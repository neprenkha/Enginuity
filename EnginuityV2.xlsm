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BUSINESSBARU\CALCULATOR BENGKEL\"/>
    </mc:Choice>
  </mc:AlternateContent>
  <xr:revisionPtr revIDLastSave="0" documentId="13_ncr:1_{A3C821A2-1049-481A-9218-C75E8C0DEC1C}" xr6:coauthVersionLast="47" xr6:coauthVersionMax="47" xr10:uidLastSave="{00000000-0000-0000-0000-000000000000}"/>
  <bookViews>
    <workbookView xWindow="57480" yWindow="-120" windowWidth="29040" windowHeight="15840" activeTab="1" xr2:uid="{00000000-000D-0000-FFFF-FFFF00000000}"/>
  </bookViews>
  <sheets>
    <sheet name="Enginuity" sheetId="1" r:id="rId1"/>
    <sheet name="CalcEngine" sheetId="38" r:id="rId2"/>
    <sheet name="CostData" sheetId="36" r:id="rId3"/>
    <sheet name="SharedBlock" sheetId="37" state="hidden" r:id="rId4"/>
    <sheet name="Dropdown" sheetId="19" r:id="rId5"/>
    <sheet name="EnginuityMap" sheetId="30" r:id="rId6"/>
    <sheet name="AllMaterialsbak" sheetId="10" r:id="rId7"/>
    <sheet name="DealerEngine" sheetId="39" r:id="rId8"/>
    <sheet name="Powdercoated" sheetId="32" r:id="rId9"/>
    <sheet name="C.Louvers" sheetId="35" r:id="rId10"/>
    <sheet name="C.FDE" sheetId="33" state="hidden" r:id="rId11"/>
    <sheet name="C.Telescopic SLD" sheetId="34" state="hidden" r:id="rId12"/>
    <sheet name="WAV_TEST" sheetId="24" state="veryHidden" r:id="rId13"/>
    <sheet name="WAV_1" sheetId="25" state="veryHidden" r:id="rId14"/>
  </sheets>
  <definedNames>
    <definedName name="_xlpm.A" hidden="1" xlm="1">#NAME?</definedName>
    <definedName name="_xlpm.Acol" hidden="1" xlm="1">#NAME?</definedName>
    <definedName name="_xlpm.actOk" hidden="1" xlm="1">#NAME?</definedName>
    <definedName name="_xlpm.aK" hidden="1" xlm="1">#NAME?</definedName>
    <definedName name="_xlpm.aN" hidden="1" xlm="1">#NAME?</definedName>
    <definedName name="_xlpm.arr" hidden="1" xlm="1">#NAME?</definedName>
    <definedName name="_xlpm.arrAll" hidden="1" xlm="1">#NAME?</definedName>
    <definedName name="_xlpm.arrF" hidden="1" xlm="1">#NAME?</definedName>
    <definedName name="_xlpm.arrG" hidden="1" xlm="1">#NAME?</definedName>
    <definedName name="_xlpm.arrND" hidden="1" xlm="1">#NAME?</definedName>
    <definedName name="_xlpm.B" hidden="1" xlm="1">#NAME?</definedName>
    <definedName name="_xlpm.BA" hidden="1" xlm="1">#NAME?</definedName>
    <definedName name="_xlpm.BA_CLEAN" hidden="1" xlm="1">#NAME?</definedName>
    <definedName name="_xlpm.BA_N" hidden="1" xlm="1">#NAME?</definedName>
    <definedName name="_xlpm.BA_NORM" hidden="1" xlm="1">#NAME?</definedName>
    <definedName name="_xlpm.BA_SRC" hidden="1" xlm="1">#NAME?</definedName>
    <definedName name="_xlpm.BA_TRIM" hidden="1" xlm="1">#NAME?</definedName>
    <definedName name="_xlpm.BA0" hidden="1" xlm="1">#NAME?</definedName>
    <definedName name="_xlpm.BAcol" hidden="1" xlm="1">#NAME?</definedName>
    <definedName name="_xlpm.base" hidden="1" xlm="1">#NAME?</definedName>
    <definedName name="_xlpm.baseH" hidden="1" xlm="1">#NAME?</definedName>
    <definedName name="_xlpm.baseMask" hidden="1" xlm="1">#NAME?</definedName>
    <definedName name="_xlpm.baseW" hidden="1" xlm="1">#NAME?</definedName>
    <definedName name="_xlpm.BB" hidden="1" xlm="1">#NAME?</definedName>
    <definedName name="_xlpm.BB_SRC" hidden="1" xlm="1">#NAME?</definedName>
    <definedName name="_xlpm.bBars" hidden="1" xlm="1">#NAME?</definedName>
    <definedName name="_xlpm.BBcol" hidden="1" xlm="1">#NAME?</definedName>
    <definedName name="_xlpm.bcap" hidden="1" xlm="1">#NAME?</definedName>
    <definedName name="_xlpm.Bcol" hidden="1" xlm="1">#NAME?</definedName>
    <definedName name="_xlpm.bK" hidden="1" xlm="1">#NAME?</definedName>
    <definedName name="_xlpm.blades" hidden="1" xlm="1">#NAME?</definedName>
    <definedName name="_xlpm.bladesCalc" hidden="1" xlm="1">#NAME?</definedName>
    <definedName name="_xlpm.bladesFromO" hidden="1" xlm="1">#NAME?</definedName>
    <definedName name="_xlpm.bladeVals" hidden="1" xlm="1">#NAME?</definedName>
    <definedName name="_xlpm.blen" hidden="1" xlm="1">#NAME?</definedName>
    <definedName name="_xlpm.blkF" hidden="1" xlm="1">#NAME?</definedName>
    <definedName name="_xlpm.blkM" hidden="1" xlm="1">#NAME?</definedName>
    <definedName name="_xlpm.blkN" hidden="1" xlm="1">#NAME?</definedName>
    <definedName name="_xlpm.blkO" hidden="1" xlm="1">#NAME?</definedName>
    <definedName name="_xlpm.bN" hidden="1" xlm="1">#NAME?</definedName>
    <definedName name="_xlpm.bpcs" hidden="1" xlm="1">#NAME?</definedName>
    <definedName name="_xlpm.bR" hidden="1" xlm="1">#NAME?</definedName>
    <definedName name="_xlpm.bracketQty" hidden="1" xlm="1">#NAME?</definedName>
    <definedName name="_xlpm.brand" hidden="1" xlm="1">#NAME?</definedName>
    <definedName name="_xlpm.brand_ok" hidden="1" xlm="1">#NAME?</definedName>
    <definedName name="_xlpm.C" hidden="1" xlm="1">#NAME?</definedName>
    <definedName name="_xlpm.Ccol" hidden="1" xlm="1">#NAME?</definedName>
    <definedName name="_xlpm.cd" hidden="1" xlm="1">#NAME?</definedName>
    <definedName name="_xlpm.ceCode" hidden="1" xlm="1">#NAME?</definedName>
    <definedName name="_xlpm.ceGrp" hidden="1" xlm="1">#NAME?</definedName>
    <definedName name="_xlpm.ceMrg" hidden="1" xlm="1">#NAME?</definedName>
    <definedName name="_xlpm.cePrd" hidden="1" xlm="1">#NAME?</definedName>
    <definedName name="_xlpm.ceSpan" hidden="1" xlm="1">#NAME?</definedName>
    <definedName name="_xlpm.ceSvc" hidden="1" xlm="1">#NAME?</definedName>
    <definedName name="_xlpm.ceVar" hidden="1" xlm="1">#NAME?</definedName>
    <definedName name="_xlpm.ceVarName" hidden="1" xlm="1">#NAME?</definedName>
    <definedName name="_xlpm.cfg" hidden="1" xlm="1">#NAME?</definedName>
    <definedName name="_xlpm.cfg_ok" hidden="1" xlm="1">#NAME?</definedName>
    <definedName name="_xlpm.cfgMask" hidden="1" xlm="1">#NAME?</definedName>
    <definedName name="_xlpm.cfgSel" hidden="1" xlm="1">#NAME?</definedName>
    <definedName name="_xlpm.ch" hidden="1" xlm="1">#NAME?</definedName>
    <definedName name="_xlpm.chunk" hidden="1" xlm="1">#NAME?</definedName>
    <definedName name="_xlpm.cK" hidden="1" xlm="1">#NAME?</definedName>
    <definedName name="_xlpm.clean" hidden="1" xlm="1">#NAME?</definedName>
    <definedName name="_xlpm.cMask" hidden="1" xlm="1">#NAME?</definedName>
    <definedName name="_xlpm.cN" hidden="1" xlm="1">#NAME?</definedName>
    <definedName name="_xlpm.cnt" hidden="1" xlm="1">#NAME?</definedName>
    <definedName name="_xlpm.col" hidden="1" xlm="1">#NAME?</definedName>
    <definedName name="_xlpm.condBase" hidden="1" xlm="1">#NAME?</definedName>
    <definedName name="_xlpm.condVit" hidden="1" xlm="1">#NAME?</definedName>
    <definedName name="_xlpm.core" hidden="1" xlm="1">#NAME?</definedName>
    <definedName name="_xlpm.ctwCount" hidden="1" xlm="1">#NAME?</definedName>
    <definedName name="_xlpm.ctwH" hidden="1" xlm="1">#NAME?</definedName>
    <definedName name="_xlpm.ctwLim" hidden="1" xlm="1">#NAME?</definedName>
    <definedName name="_xlpm.D" hidden="1" xlm="1">#NAME?</definedName>
    <definedName name="_xlpm.data" hidden="1" xlm="1">#NAME?</definedName>
    <definedName name="_xlpm.Dcol" hidden="1" xlm="1">#NAME?</definedName>
    <definedName name="_xlpm.def" hidden="1" xlm="1">#NAME?</definedName>
    <definedName name="_xlpm.defPos" hidden="1" xlm="1">#NAME?</definedName>
    <definedName name="_xlpm.defV" hidden="1" xlm="1">#NAME?</definedName>
    <definedName name="_xlpm.desc" hidden="1" xlm="1">#NAME?</definedName>
    <definedName name="_xlpm.descRaw" hidden="1" xlm="1">#NAME?</definedName>
    <definedName name="_xlpm.disp" hidden="1" xlm="1">#NAME?</definedName>
    <definedName name="_xlpm.dK" hidden="1" xlm="1">#NAME?</definedName>
    <definedName name="_xlpm.dMask" hidden="1" xlm="1">#NAME?</definedName>
    <definedName name="_xlpm.dN" hidden="1" xlm="1">#NAME?</definedName>
    <definedName name="_xlpm.dPrefix" hidden="1" xlm="1">#NAME?</definedName>
    <definedName name="_xlpm.ds" hidden="1" xlm="1">#NAME?</definedName>
    <definedName name="_xlpm.E" hidden="1" xlm="1">#NAME?</definedName>
    <definedName name="_xlpm.Ecol" hidden="1" xlm="1">#NAME?</definedName>
    <definedName name="_xlpm.eff" hidden="1" xlm="1">#NAME?</definedName>
    <definedName name="_xlpm.eK" hidden="1" xlm="1">#NAME?</definedName>
    <definedName name="_xlpm.eN" hidden="1" xlm="1">#NAME?</definedName>
    <definedName name="_xlpm.EV" hidden="1" xlm="1">#NAME?</definedName>
    <definedName name="_xlpm.f" hidden="1" xlm="1">#NAME?</definedName>
    <definedName name="_xlpm.famOk" hidden="1" xlm="1">#NAME?</definedName>
    <definedName name="_xlpm.Fcol" hidden="1" xlm="1">#NAME?</definedName>
    <definedName name="_xlpm.firstRow" hidden="1" xlm="1">#NAME?</definedName>
    <definedName name="_xlpm.flag" hidden="1" xlm="1">#NAME?</definedName>
    <definedName name="_xlpm.fOk" hidden="1" xlm="1">#NAME?</definedName>
    <definedName name="_xlpm.free" hidden="1" xlm="1">#NAME?</definedName>
    <definedName name="_xlpm.fx" hidden="1" xlm="1">#NAME?</definedName>
    <definedName name="_xlpm.fxH" hidden="1" xlm="1">#NAME?</definedName>
    <definedName name="_xlpm.fxSD" hidden="1" xlm="1">#NAME?</definedName>
    <definedName name="_xlpm.fxSel" hidden="1" xlm="1">#NAME?</definedName>
    <definedName name="_xlpm.fxTB" hidden="1" xlm="1">#NAME?</definedName>
    <definedName name="_xlpm.fxV" hidden="1" xlm="1">#NAME?</definedName>
    <definedName name="_xlpm.Gcol" hidden="1" xlm="1">#NAME?</definedName>
    <definedName name="_xlpm.GLASS_CLEAN" hidden="1" xlm="1">#NAME?</definedName>
    <definedName name="_xlpm.GroupCol" hidden="1" xlm="1">#NAME?</definedName>
    <definedName name="_xlpm.grp" hidden="1" xlm="1">#NAME?</definedName>
    <definedName name="_xlpm.grp_ok" hidden="1" xlm="1">#NAME?</definedName>
    <definedName name="_xlpm.h" hidden="1" xlm="1">#NAME?</definedName>
    <definedName name="_xlpm.hasBlk" hidden="1" xlm="1">#NAME?</definedName>
    <definedName name="_xlpm.hasDef" hidden="1" xlm="1">#NAME?</definedName>
    <definedName name="_xlpm.hasPrd" hidden="1" xlm="1">#NAME?</definedName>
    <definedName name="_xlpm.hasStrict" hidden="1" xlm="1">#NAME?</definedName>
    <definedName name="_xlpm.hasVar" hidden="1" xlm="1">#NAME?</definedName>
    <definedName name="_xlpm.hBars" hidden="1" xlm="1">#NAME?</definedName>
    <definedName name="_xlpm.Hcol" hidden="1" xlm="1">#NAME?</definedName>
    <definedName name="_xlpm.hCount" hidden="1" xlm="1">#NAME?</definedName>
    <definedName name="_xlpm.height_ok" hidden="1" xlm="1">#NAME?</definedName>
    <definedName name="_xlpm.heightSel" hidden="1" xlm="1">#NAME?</definedName>
    <definedName name="_xlpm.hft" hidden="1" xlm="1">#NAME?</definedName>
    <definedName name="_xlpm.hg" hidden="1" xlm="1">#NAME?</definedName>
    <definedName name="_xlpm.hgH" hidden="1" xlm="1">#NAME?</definedName>
    <definedName name="_xlpm.hgSD" hidden="1" xlm="1">#NAME?</definedName>
    <definedName name="_xlpm.hgSdVal" hidden="1" xlm="1">#NAME?</definedName>
    <definedName name="_xlpm.hgSel" hidden="1" xlm="1">#NAME?</definedName>
    <definedName name="_xlpm.hgTB" hidden="1" xlm="1">#NAME?</definedName>
    <definedName name="_xlpm.hgTbVal" hidden="1" xlm="1">#NAME?</definedName>
    <definedName name="_xlpm.hgV" hidden="1" xlm="1">#NAME?</definedName>
    <definedName name="_xlpm.hit" hidden="1" xlm="1">#NAME?</definedName>
    <definedName name="_xlpm.hits" hidden="1" xlm="1">#NAME?</definedName>
    <definedName name="_xlpm.hlen" hidden="1" xlm="1">#NAME?</definedName>
    <definedName name="_xlpm.hLim" hidden="1" xlm="1">#NAME?</definedName>
    <definedName name="_xlpm.hLimFT" hidden="1" xlm="1">#NAME?</definedName>
    <definedName name="_xlpm.hLines" hidden="1" xlm="1">#NAME?</definedName>
    <definedName name="_xlpm.hm" hidden="1" xlm="1">#NAME?</definedName>
    <definedName name="_xlpm.hpcs" hidden="1" xlm="1">#NAME?</definedName>
    <definedName name="_xlpm.hPieces" hidden="1" xlm="1">#NAME?</definedName>
    <definedName name="_xlpm.hQty" hidden="1" xlm="1">#NAME?</definedName>
    <definedName name="_xlpm.htag" hidden="1" xlm="1">#NAME?</definedName>
    <definedName name="_xlpm.i" hidden="1" xlm="1">#NAME?</definedName>
    <definedName name="_xlpm.idx" hidden="1" xlm="1">#NAME?</definedName>
    <definedName name="_xlpm.inBlk" hidden="1" xlm="1">#NAME?</definedName>
    <definedName name="_xlpm.inF" hidden="1" xlm="1">#NAME?</definedName>
    <definedName name="_xlpm.inG" hidden="1" xlm="1">#NAME?</definedName>
    <definedName name="_xlpm.isBlank" hidden="1" xlm="1">#NAME?</definedName>
    <definedName name="_xlpm.isFamily" hidden="1" xlm="1">#NAME?</definedName>
    <definedName name="_xlpm.isFix" hidden="1" xlm="1">#NAME?</definedName>
    <definedName name="_xlpm.isHdr" hidden="1" xlm="1">#NAME?</definedName>
    <definedName name="_xlpm.isLvr" hidden="1" xlm="1">#NAME?</definedName>
    <definedName name="_xlpm.isLvrSel" hidden="1" xlm="1">#NAME?</definedName>
    <definedName name="_xlpm.isMW" hidden="1" xlm="1">#NAME?</definedName>
    <definedName name="_xlpm.isOpt" hidden="1" xlm="1">#NAME?</definedName>
    <definedName name="_xlpm.isShower" hidden="1" xlm="1">#NAME?</definedName>
    <definedName name="_xlpm.isSS" hidden="1" xlm="1">#NAME?</definedName>
    <definedName name="_xlpm.isVent" hidden="1" xlm="1">#NAME?</definedName>
    <definedName name="_xlpm.isVS" hidden="1" xlm="1">#NAME?</definedName>
    <definedName name="_xlpm.items" hidden="1" xlm="1">#NAME?</definedName>
    <definedName name="_xlpm.itemsN" hidden="1" xlm="1">#NAME?</definedName>
    <definedName name="_xlpm.itm" hidden="1" xlm="1">#NAME?</definedName>
    <definedName name="_xlpm.k" hidden="1" xlm="1">#NAME?</definedName>
    <definedName name="_xlpm.kBars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klen" hidden="1" xlm="1">#NAME?</definedName>
    <definedName name="_xlpm.kpcs" hidden="1" xlm="1">#NAME?</definedName>
    <definedName name="_xlpm.L" hidden="1" xlm="1">#NAME?</definedName>
    <definedName name="_xlpm.lab" hidden="1" xlm="1">#NAME?</definedName>
    <definedName name="_xlpm.lastRow" hidden="1" xlm="1">#NAME?</definedName>
    <definedName name="_xlpm.leadSym" hidden="1" xlm="1">#NAME?</definedName>
    <definedName name="_xlpm.legacyBrand" hidden="1" xlm="1">#NAME?</definedName>
    <definedName name="_xlpm.legacyList" hidden="1" xlm="1">#NAME?</definedName>
    <definedName name="_xlpm.legacyOther" hidden="1" xlm="1">#NAME?</definedName>
    <definedName name="_xlpm.legacyVitally" hidden="1" xlm="1">#NAME?</definedName>
    <definedName name="_xlpm.len" hidden="1" xlm="1">#NAME?</definedName>
    <definedName name="_xlpm.lenFt" hidden="1" xlm="1">#NAME?</definedName>
    <definedName name="_xlpm.lim" hidden="1" xlm="1">#NAME?</definedName>
    <definedName name="_xlpm.lines" hidden="1" xlm="1">#NAME?</definedName>
    <definedName name="_xlpm.list" hidden="1" xlm="1">#NAME?</definedName>
    <definedName name="_xlpm.load" hidden="1" xlm="1">#NAME?</definedName>
    <definedName name="_xlpm.loc" hidden="1" xlm="1">#NAME?</definedName>
    <definedName name="_xlpm.low" hidden="1" xlm="1">#NAME?</definedName>
    <definedName name="_xlpm.lst" hidden="1" xlm="1">#NAME?</definedName>
    <definedName name="_xlpm.m" hidden="1" xlm="1">#NAME?</definedName>
    <definedName name="_xlpm.mark" hidden="1" xlm="1">#NAME?</definedName>
    <definedName name="_xlpm.marked" hidden="1" xlm="1">#NAME?</definedName>
    <definedName name="_xlpm.mask" hidden="1" xlm="1">#NAME?</definedName>
    <definedName name="_xlpm.maskF_GEN" hidden="1" xlm="1">#NAME?</definedName>
    <definedName name="_xlpm.maskF_SS" hidden="1" xlm="1">#NAME?</definedName>
    <definedName name="_xlpm.maskG_GEN" hidden="1" xlm="1">#NAME?</definedName>
    <definedName name="_xlpm.mat_ok" hidden="1" xlm="1">#NAME?</definedName>
    <definedName name="_xlpm.matSel" hidden="1" xlm="1">#NAME?</definedName>
    <definedName name="_xlpm.mGEN" hidden="1" xlm="1">#NAME?</definedName>
    <definedName name="_xlpm.midJ" hidden="1" xlm="1">#NAME?</definedName>
    <definedName name="_xlpm.minList" hidden="1" xlm="1">#NAME?</definedName>
    <definedName name="_xlpm.ml" hidden="1" xlm="1">#NAME?</definedName>
    <definedName name="_xlpm.mm" hidden="1" xlm="1">#NAME?</definedName>
    <definedName name="_xlpm.mmpos" hidden="1" xlm="1">#NAME?</definedName>
    <definedName name="_xlpm.mode" hidden="1" xlm="1">#NAME?</definedName>
    <definedName name="_xlpm.mrg" hidden="1" xlm="1">#NAME?</definedName>
    <definedName name="_xlpm.mSS" hidden="1" xlm="1">#NAME?</definedName>
    <definedName name="_xlpm.mStrict" hidden="1" xlm="1">#NAME?</definedName>
    <definedName name="_xlpm.n" hidden="1" xlm="1">#NAME?</definedName>
    <definedName name="_xlpm.names" hidden="1" xlm="1">#NAME?</definedName>
    <definedName name="_xlpm.namesN" hidden="1" xlm="1">#NAME?</definedName>
    <definedName name="_xlpm.nm" hidden="1" xlm="1">#NAME?</definedName>
    <definedName name="_xlpm.noDef" hidden="1" xlm="1">#NAME?</definedName>
    <definedName name="_xlpm.norm" hidden="1" xlm="1">#NAME?</definedName>
    <definedName name="_xlpm.nums" hidden="1" xlm="1">#NAME?</definedName>
    <definedName name="_xlpm.nz" hidden="1" xlm="1">#NAME?</definedName>
    <definedName name="_xlpm.o" hidden="1" xlm="1">#NAME?</definedName>
    <definedName name="_xlpm.occSD" hidden="1" xlm="1">#NAME?</definedName>
    <definedName name="_xlpm.occTB" hidden="1" xlm="1">#NAME?</definedName>
    <definedName name="_xlpm.ok" hidden="1" xlm="1">#NAME?</definedName>
    <definedName name="_xlpm.oldPos" hidden="1" xlm="1">#NAME?</definedName>
    <definedName name="_xlpm.ord" hidden="1" xlm="1">#NAME?</definedName>
    <definedName name="_xlpm.out" hidden="1" xlm="1">#NAME?</definedName>
    <definedName name="_xlpm.over" hidden="1" xlm="1">#NAME?</definedName>
    <definedName name="_xlpm.p" hidden="1" xlm="1">#NAME?</definedName>
    <definedName name="_xlpm.panel" hidden="1" xlm="1">#NAME?</definedName>
    <definedName name="_xlpm.panel_ok" hidden="1" xlm="1">#NAME?</definedName>
    <definedName name="_xlpm.panelQty" hidden="1" xlm="1">#NAME?</definedName>
    <definedName name="_xlpm.panelW" hidden="1" xlm="1">#NAME?</definedName>
    <definedName name="_xlpm.pcs" hidden="1" xlm="1">#NAME?</definedName>
    <definedName name="_xlpm.perBar" hidden="1" xlm="1">#NAME?</definedName>
    <definedName name="_xlpm.pick" hidden="1" xlm="1">#NAME?</definedName>
    <definedName name="_xlpm.pickMask" hidden="1" xlm="1">#NAME?</definedName>
    <definedName name="_xlpm.pickPos" hidden="1" xlm="1">#NAME?</definedName>
    <definedName name="_xlpm.pickVar" hidden="1" xlm="1">#NAME?</definedName>
    <definedName name="_xlpm.Pilihan" hidden="1" xlm="1">#NAME?</definedName>
    <definedName name="_xlpm.pos" hidden="1" xlm="1">#NAME?</definedName>
    <definedName name="_xlpm.pr" hidden="1" xlm="1">#NAME?</definedName>
    <definedName name="_xlpm.prd" hidden="1" xlm="1">#NAME?</definedName>
    <definedName name="_xlpm.pri" hidden="1" xlm="1">#NAME?</definedName>
    <definedName name="_xlpm.price" hidden="1" xlm="1">#NAME?</definedName>
    <definedName name="_xlpm.priceMapBlades" hidden="1" xlm="1">#NAME?</definedName>
    <definedName name="_xlpm.priceMapVals" hidden="1" xlm="1">#NAME?</definedName>
    <definedName name="_xlpm.priceNum" hidden="1" xlm="1">#NAME?</definedName>
    <definedName name="_xlpm.prices" hidden="1" xlm="1">#NAME?</definedName>
    <definedName name="_xlpm.priceVals" hidden="1" xlm="1">#NAME?</definedName>
    <definedName name="_xlpm.prNum" hidden="1" xlm="1">#NAME?</definedName>
    <definedName name="_xlpm.prRaw" hidden="1" xlm="1">#NAME?</definedName>
    <definedName name="_xlpm.prSorted" hidden="1" xlm="1">#NAME?</definedName>
    <definedName name="_xlpm.prTxt" hidden="1" xlm="1">#NAME?</definedName>
    <definedName name="_xlpm.prV" hidden="1" xlm="1">#NAME?</definedName>
    <definedName name="_xlpm.prw" hidden="1" xlm="1">#NAME?</definedName>
    <definedName name="_xlpm.pw" hidden="1" xlm="1">#NAME?</definedName>
    <definedName name="_xlpm.q" hidden="1" xlm="1">#NAME?</definedName>
    <definedName name="_xlpm.r" hidden="1" xlm="1">#NAME?</definedName>
    <definedName name="_xlpm.rA" hidden="1" xlm="1">#NAME?</definedName>
    <definedName name="_xlpm.raw" hidden="1" xlm="1">#NAME?</definedName>
    <definedName name="_xlpm.rB" hidden="1" xlm="1">#NAME?</definedName>
    <definedName name="_xlpm.rBase" hidden="1" xlm="1">#NAME?</definedName>
    <definedName name="_xlpm.rC" hidden="1" xlm="1">#NAME?</definedName>
    <definedName name="_xlpm.rD" hidden="1" xlm="1">#NAME?</definedName>
    <definedName name="_xlpm.rDef" hidden="1" xlm="1">#NAME?</definedName>
    <definedName name="_xlpm.remH" hidden="1" xlm="1">#NAME?</definedName>
    <definedName name="_xlpm.remW" hidden="1" xlm="1">#NAME?</definedName>
    <definedName name="_xlpm.rk" hidden="1" xlm="1">#NAME?</definedName>
    <definedName name="_xlpm.rng" hidden="1" xlm="1">#NAME?</definedName>
    <definedName name="_xlpm.rngL" hidden="1" xlm="1">#NAME?</definedName>
    <definedName name="_xlpm.rOld" hidden="1" xlm="1">#NAME?</definedName>
    <definedName name="_xlpm.rowL" hidden="1" xlm="1">#NAME?</definedName>
    <definedName name="_xlpm.rowR" hidden="1" xlm="1">#NAME?</definedName>
    <definedName name="_xlpm.rows" hidden="1" xlm="1">#NAME?</definedName>
    <definedName name="_xlpm.runFT" hidden="1" xlm="1">#NAME?</definedName>
    <definedName name="_xlpm.rVar" hidden="1" xlm="1">#NAME?</definedName>
    <definedName name="_xlpm.s" hidden="1" xlm="1">#NAME?</definedName>
    <definedName name="_xlpm.SA" hidden="1" xlm="1">#NAME?</definedName>
    <definedName name="_xlpm.SAN" hidden="1" xlm="1">#NAME?</definedName>
    <definedName name="_xlpm.SB" hidden="1" xlm="1">#NAME?</definedName>
    <definedName name="_xlpm.SBN" hidden="1" xlm="1">#NAME?</definedName>
    <definedName name="_xlpm.SBNN" hidden="1" xlm="1">#NAME?</definedName>
    <definedName name="_xlpm.SC" hidden="1" xlm="1">#NAME?</definedName>
    <definedName name="_xlpm.SCN" hidden="1" xlm="1">#NAME?</definedName>
    <definedName name="_xlpm.SD" hidden="1" xlm="1">#NAME?</definedName>
    <definedName name="_xlpm.SDN" hidden="1" xlm="1">#NAME?</definedName>
    <definedName name="_xlpm.sdVal" hidden="1" xlm="1">#NAME?</definedName>
    <definedName name="_xlpm.SE" hidden="1" xlm="1">#NAME?</definedName>
    <definedName name="_xlpm.sel" hidden="1" xlm="1">#NAME?</definedName>
    <definedName name="_xlpm.selA" hidden="1" xlm="1">#NAME?</definedName>
    <definedName name="_xlpm.selC" hidden="1" xlm="1">#NAME?</definedName>
    <definedName name="_xlpm.selF" hidden="1" xlm="1">#NAME?</definedName>
    <definedName name="_xlpm.selPrefix" hidden="1" xlm="1">#NAME?</definedName>
    <definedName name="_xlpm.SEN" hidden="1" xlm="1">#NAME?</definedName>
    <definedName name="_xlpm.seq" hidden="1" xlm="1">#NAME?</definedName>
    <definedName name="_xlpm.series" hidden="1" xlm="1">#NAME?</definedName>
    <definedName name="_xlpm.series_ok" hidden="1" xlm="1">#NAME?</definedName>
    <definedName name="_xlpm.setNorm" hidden="1" xlm="1">#NAME?</definedName>
    <definedName name="_xlpm.setRaw" hidden="1" xlm="1">#NAME?</definedName>
    <definedName name="_xlpm.setSorted" hidden="1" xlm="1">#NAME?</definedName>
    <definedName name="_xlpm.SF" hidden="1" xlm="1">#NAME?</definedName>
    <definedName name="_xlpm.sfH" hidden="1" xlm="1">#NAME?</definedName>
    <definedName name="_xlpm.SG" hidden="1" xlm="1">#NAME?</definedName>
    <definedName name="_xlpm.SH" hidden="1" xlm="1">#NAME?</definedName>
    <definedName name="_xlpm.sideJ" hidden="1" xlm="1">#NAME?</definedName>
    <definedName name="_xlpm.sizeNum" hidden="1" xlm="1">#NAME?</definedName>
    <definedName name="_xlpm.sizeTxt" hidden="1" xlm="1">#NAME?</definedName>
    <definedName name="_xlpm.sorted" hidden="1" xlm="1">#NAME?</definedName>
    <definedName name="_xlpm.span" hidden="1" xlm="1">#NAME?</definedName>
    <definedName name="_xlpm.spanFT" hidden="1" xlm="1">#NAME?</definedName>
    <definedName name="_xlpm.spanMM" hidden="1" xlm="1">#NAME?</definedName>
    <definedName name="_xlpm.src" hidden="1" xlm="1">#NAME?</definedName>
    <definedName name="_xlpm.srcA" hidden="1" xlm="1">#NAME?</definedName>
    <definedName name="_xlpm.srcB" hidden="1" xlm="1">#NAME?</definedName>
    <definedName name="_xlpm.srcC" hidden="1" xlm="1">#NAME?</definedName>
    <definedName name="_xlpm.srcClean" hidden="1" xlm="1">#NAME?</definedName>
    <definedName name="_xlpm.srcD" hidden="1" xlm="1">#NAME?</definedName>
    <definedName name="_xlpm.srcDesc" hidden="1" xlm="1">#NAME?</definedName>
    <definedName name="_xlpm.srcDs" hidden="1" xlm="1">#NAME?</definedName>
    <definedName name="_xlpm.srcF" hidden="1" xlm="1">#NAME?</definedName>
    <definedName name="_xlpm.srcM" hidden="1" xlm="1">#NAME?</definedName>
    <definedName name="_xlpm.srcN" hidden="1" xlm="1">#NAME?</definedName>
    <definedName name="_xlpm.srcO" hidden="1" xlm="1">#NAME?</definedName>
    <definedName name="_xlpm.srcP" hidden="1" xlm="1">#NAME?</definedName>
    <definedName name="_xlpm.srcTp" hidden="1" xlm="1">#NAME?</definedName>
    <definedName name="_xlpm.srList" hidden="1" xlm="1">#NAME?</definedName>
    <definedName name="_xlpm.srt" hidden="1" xlm="1">#NAME?</definedName>
    <definedName name="_xlpm.star" hidden="1" xlm="1">#NAME?</definedName>
    <definedName name="_xlpm.strict" hidden="1" xlm="1">#NAME?</definedName>
    <definedName name="_xlpm.strictList" hidden="1" xlm="1">#NAME?</definedName>
    <definedName name="_xlpm.svc" hidden="1" xlm="1">#NAME?</definedName>
    <definedName name="_xlpm.sym" hidden="1" xlm="1">#NAME?</definedName>
    <definedName name="_xlpm.sz" hidden="1" xlm="1">#NAME?</definedName>
    <definedName name="_xlpm.szTxt" hidden="1" xlm="1">#NAME?</definedName>
    <definedName name="_xlpm.tag" hidden="1" xlm="1">#NAME?</definedName>
    <definedName name="_xlpm.tb" hidden="1" xlm="1">#NAME?</definedName>
    <definedName name="_xlpm.tbVal" hidden="1" xlm="1">#NAME?</definedName>
    <definedName name="_xlpm.thick" hidden="1" xlm="1">#NAME?</definedName>
    <definedName name="_xlpm.thk" hidden="1" xlm="1">#NAME?</definedName>
    <definedName name="_xlpm.top" hidden="1" xlm="1">#NAME?</definedName>
    <definedName name="_xlpm.tot" hidden="1" xlm="1">#NAME?</definedName>
    <definedName name="_xlpm.tp" hidden="1" xlm="1">#NAME?</definedName>
    <definedName name="_xlpm.txt" hidden="1" xlm="1">#NAME?</definedName>
    <definedName name="_xlpm.u" hidden="1" xlm="1">#NAME?</definedName>
    <definedName name="_xlpm.usable" hidden="1" xlm="1">#NAME?</definedName>
    <definedName name="_xlpm.v" hidden="1" xlm="1">#NAME?</definedName>
    <definedName name="_xlpm.valid" hidden="1" xlm="1">#NAME?</definedName>
    <definedName name="_xlpm.vals" hidden="1" xlm="1">#NAME?</definedName>
    <definedName name="_xlpm.var" hidden="1" xlm="1">#NAME?</definedName>
    <definedName name="_xlpm.var_ok" hidden="1" xlm="1">#NAME?</definedName>
    <definedName name="_xlpm.varMask" hidden="1" xlm="1">#NAME?</definedName>
    <definedName name="_xlpm.varSel" hidden="1" xlm="1">#NAME?</definedName>
    <definedName name="_xlpm.vCount" hidden="1" xlm="1">#NAME?</definedName>
    <definedName name="_xlpm.vitally_ok" hidden="1" xlm="1">#NAME?</definedName>
    <definedName name="_xlpm.vm" hidden="1" xlm="1">#NAME?</definedName>
    <definedName name="_xlpm.vPieces" hidden="1" xlm="1">#NAME?</definedName>
    <definedName name="_xlpm.vQty" hidden="1" xlm="1">#NAME?</definedName>
    <definedName name="_xlpm.vSel" hidden="1" xlm="1">#NAME?</definedName>
    <definedName name="_xlpm.w" hidden="1" xlm="1">#NAME?</definedName>
    <definedName name="_xlpm.x" hidden="1" xlm="1">#NAME?</definedName>
    <definedName name="A_List">OFFSET(Dropdown!$A$1,0,0,COUNTA(Dropdown!$A$1:$A$5000),1)</definedName>
    <definedName name="B_List">OFFSET(Dropdown!$B$1,0,0,COUNTA(Dropdown!$B$1:$B$5000),1)</definedName>
    <definedName name="C_List">OFFSET(Dropdown!$C$1,0,0,COUNTA(Dropdown!$C$1:$C$5000),1)</definedName>
    <definedName name="D_List">OFFSET(Dropdown!$D$1,0,0,COUNTA(Dropdown!$D$1:$D$5000),1)</definedName>
    <definedName name="E_List">Dropdown!$E$1:INDEX(Dropdown!$E$1:$E$5000,IFERROR(MATCH(2,1/(Dropdown!$E$1:$E$5000&lt;&gt;""),1),1))</definedName>
    <definedName name="F_List">Dropdown!$F$1:INDEX(Dropdown!$F$1:$F$5000,IFERROR(MATCH(2,1/(Dropdown!$F$1:$F$5000&lt;&gt;""),1),1))</definedName>
    <definedName name="G_List">Dropdown!$G$1:INDEX(Dropdown!$G$1:$G$5000,IFERROR(MATCH(2,1/(Dropdown!$G$1:$G$5000&lt;&gt;""),1),1))</definedName>
    <definedName name="H_List">Dropdown!$H$1:INDEX(Dropdown!$H$1:$H$5000,IFERROR(MATCH(2,1/(Dropdown!$H$1:$H$5000&lt;&gt;""),1),1))</definedName>
    <definedName name="I_List">Dropdown!$I$1:INDEX(Dropdown!$I$1:$I$5000,IFERROR(MATCH(2,1/(Dropdown!$I$1:$I$5000&lt;&gt;""),1),1))</definedName>
    <definedName name="J_List">Dropdown!$J$1:INDEX(Dropdown!$J$1:$J$5000,IFERROR(MATCH(2,1/(Dropdown!$J$1:$J$5000&lt;&gt;""),1),1))</definedName>
    <definedName name="K_List">Dropdown!$K$1:INDEX(Dropdown!$K$1:$K$5000,IFERROR(MATCH(2,1/(Dropdown!$K$1:$K$5000&lt;&gt;""),1),1))</definedName>
    <definedName name="L_List">Dropdown!$L$1:INDEX(Dropdown!$L$1:$L$5000,IFERROR(MATCH(2,1/(Dropdown!$L$1:$L$5000&lt;&gt;""),1),1))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93" i="38" l="1" a="1"/>
  <c r="P93" i="38" s="1"/>
  <c r="P94" i="38" a="1"/>
  <c r="P94" i="38" s="1"/>
  <c r="P95" i="38" a="1"/>
  <c r="P95" i="38" s="1"/>
  <c r="P96" i="38" a="1"/>
  <c r="P96" i="38" s="1"/>
  <c r="P97" i="38" a="1"/>
  <c r="P97" i="38" s="1"/>
  <c r="P98" i="38" a="1"/>
  <c r="P98" i="38" s="1"/>
  <c r="P99" i="38" a="1"/>
  <c r="P99" i="38" s="1"/>
  <c r="P100" i="38" a="1"/>
  <c r="P100" i="38" s="1"/>
  <c r="P101" i="38" a="1"/>
  <c r="P101" i="38" s="1"/>
  <c r="P102" i="38" a="1"/>
  <c r="P102" i="38" s="1"/>
  <c r="P103" i="38" a="1"/>
  <c r="P103" i="38" s="1"/>
  <c r="P104" i="38" a="1"/>
  <c r="P104" i="38" s="1"/>
  <c r="P105" i="38" a="1"/>
  <c r="P105" i="38" s="1"/>
  <c r="P106" i="38" a="1"/>
  <c r="P106" i="38" s="1"/>
  <c r="P107" i="38" a="1"/>
  <c r="P107" i="38" s="1"/>
  <c r="P108" i="38" a="1"/>
  <c r="P108" i="38" s="1"/>
  <c r="P92" i="38" a="1"/>
  <c r="P92" i="38" s="1"/>
  <c r="F91" i="38"/>
  <c r="W3" i="38" a="1"/>
  <c r="W3" i="38" s="1"/>
  <c r="W4" i="38" a="1"/>
  <c r="W4" i="38" s="1"/>
  <c r="W7" i="38" a="1"/>
  <c r="W7" i="38" s="1"/>
  <c r="W10" i="38" a="1"/>
  <c r="W10" i="38" s="1"/>
  <c r="W9" i="38" a="1"/>
  <c r="W9" i="38" s="1"/>
  <c r="W6" i="38" a="1"/>
  <c r="W6" i="38" s="1"/>
  <c r="W2" i="38" a="1"/>
  <c r="W2" i="38" s="1"/>
  <c r="B12" i="35"/>
  <c r="B11" i="35"/>
  <c r="B10" i="35"/>
  <c r="B4" i="35"/>
  <c r="B5" i="35"/>
  <c r="T7" i="38" a="1"/>
  <c r="T7" i="38" s="1"/>
  <c r="T8" i="38" a="1"/>
  <c r="T8" i="38" s="1"/>
  <c r="T9" i="38" a="1"/>
  <c r="T9" i="38" s="1"/>
  <c r="T10" i="38" a="1"/>
  <c r="T10" i="38" s="1"/>
  <c r="T6" i="38" a="1"/>
  <c r="T6" i="38" s="1"/>
  <c r="Q7" i="38" a="1"/>
  <c r="Q7" i="38" s="1"/>
  <c r="Q8" i="38" a="1"/>
  <c r="Q8" i="38" s="1"/>
  <c r="Q9" i="38" a="1"/>
  <c r="Q9" i="38" s="1"/>
  <c r="Q10" i="38" a="1"/>
  <c r="Q10" i="38" s="1"/>
  <c r="Q6" i="38" a="1"/>
  <c r="Q6" i="38" s="1"/>
  <c r="W5" i="38" a="1"/>
  <c r="W5" i="38" s="1"/>
  <c r="W12" i="38" a="1"/>
  <c r="W12" i="38" s="1"/>
  <c r="W13" i="38" a="1"/>
  <c r="W13" i="38" s="1"/>
  <c r="W14" i="38" a="1"/>
  <c r="W14" i="38" s="1"/>
  <c r="W15" i="38" a="1"/>
  <c r="W15" i="38" s="1"/>
  <c r="Y43" i="36"/>
  <c r="Y44" i="36"/>
  <c r="Y45" i="36"/>
  <c r="Y46" i="36"/>
  <c r="Y47" i="36"/>
  <c r="Y22" i="36"/>
  <c r="Q117" i="38" a="1"/>
  <c r="Q117" i="38" s="1"/>
  <c r="T117" i="38" a="1"/>
  <c r="T117" i="38" s="1"/>
  <c r="P109" i="38" a="1"/>
  <c r="P109" i="38" s="1"/>
  <c r="P110" i="38" a="1"/>
  <c r="P110" i="38" s="1"/>
  <c r="T93" i="38" a="1"/>
  <c r="T93" i="38" s="1"/>
  <c r="T94" i="38" a="1"/>
  <c r="T94" i="38" s="1"/>
  <c r="T95" i="38" a="1"/>
  <c r="T95" i="38" s="1"/>
  <c r="T96" i="38" a="1"/>
  <c r="T96" i="38" s="1"/>
  <c r="T97" i="38" a="1"/>
  <c r="T97" i="38" s="1"/>
  <c r="T98" i="38" a="1"/>
  <c r="T98" i="38" s="1"/>
  <c r="T99" i="38" a="1"/>
  <c r="T99" i="38" s="1"/>
  <c r="T100" i="38" a="1"/>
  <c r="T100" i="38" s="1"/>
  <c r="T101" i="38" a="1"/>
  <c r="T101" i="38" s="1"/>
  <c r="T102" i="38" a="1"/>
  <c r="T102" i="38" s="1"/>
  <c r="T103" i="38" a="1"/>
  <c r="T103" i="38" s="1"/>
  <c r="T104" i="38" a="1"/>
  <c r="T104" i="38" s="1"/>
  <c r="T105" i="38" a="1"/>
  <c r="T105" i="38" s="1"/>
  <c r="T106" i="38" a="1"/>
  <c r="T106" i="38" s="1"/>
  <c r="T107" i="38" a="1"/>
  <c r="T107" i="38" s="1"/>
  <c r="T108" i="38" a="1"/>
  <c r="T108" i="38" s="1"/>
  <c r="Q107" i="38" a="1"/>
  <c r="Q107" i="38" s="1"/>
  <c r="Q108" i="38" a="1"/>
  <c r="Q108" i="38" s="1"/>
  <c r="B32" i="1" a="1"/>
  <c r="B32" i="1" s="1"/>
  <c r="B15" i="1" a="1"/>
  <c r="B15" i="1" s="1"/>
  <c r="Q105" i="38" a="1"/>
  <c r="Q105" i="38" s="1"/>
  <c r="Q106" i="38" a="1"/>
  <c r="Q106" i="38" s="1"/>
  <c r="Q103" i="38" a="1"/>
  <c r="Q103" i="38" s="1"/>
  <c r="Q104" i="38" a="1"/>
  <c r="Q104" i="38" s="1"/>
  <c r="T112" i="38"/>
  <c r="R112" i="38" s="1"/>
  <c r="Q94" i="38" a="1"/>
  <c r="Q94" i="38" s="1"/>
  <c r="Q95" i="38" a="1"/>
  <c r="Q95" i="38" s="1"/>
  <c r="G91" i="38"/>
  <c r="W94" i="38" l="1" a="1"/>
  <c r="W94" i="38" s="1"/>
  <c r="W106" i="38" a="1"/>
  <c r="W106" i="38" s="1"/>
  <c r="W105" i="38" a="1"/>
  <c r="W105" i="38" s="1"/>
  <c r="W108" i="38" a="1"/>
  <c r="W108" i="38" s="1"/>
  <c r="W95" i="38" a="1"/>
  <c r="W95" i="38" s="1"/>
  <c r="W107" i="38" a="1"/>
  <c r="W107" i="38" s="1"/>
  <c r="W104" i="38" a="1"/>
  <c r="W104" i="38" s="1"/>
  <c r="W103" i="38" a="1"/>
  <c r="W103" i="38" s="1"/>
  <c r="R6" i="38"/>
  <c r="R10" i="38"/>
  <c r="R9" i="38"/>
  <c r="R8" i="38"/>
  <c r="R7" i="38"/>
  <c r="B1" i="19"/>
  <c r="C1" i="19"/>
  <c r="D1" i="19"/>
  <c r="E1" i="19"/>
  <c r="A1" i="19"/>
  <c r="Q93" i="38" a="1"/>
  <c r="Q93" i="38" s="1"/>
  <c r="W93" i="38" s="1" a="1"/>
  <c r="W93" i="38" s="1"/>
  <c r="T92" i="38" a="1"/>
  <c r="T92" i="38" s="1"/>
  <c r="Q92" i="38" a="1"/>
  <c r="Q92" i="38" s="1"/>
  <c r="T91" i="38" a="1"/>
  <c r="T91" i="38" s="1"/>
  <c r="Q91" i="38" a="1"/>
  <c r="Q91" i="38" s="1"/>
  <c r="W91" i="38" l="1" a="1"/>
  <c r="W91" i="38" s="1"/>
  <c r="W92" i="38" a="1"/>
  <c r="W92" i="38" s="1"/>
  <c r="U120" i="38"/>
  <c r="T120" i="38" a="1"/>
  <c r="T120" i="38" s="1"/>
  <c r="R120" i="38" s="1"/>
  <c r="Q120" i="38"/>
  <c r="T119" i="38" a="1"/>
  <c r="T119" i="38" s="1"/>
  <c r="Q119" i="38"/>
  <c r="V111" i="38" a="1"/>
  <c r="V111" i="38" s="1"/>
  <c r="Q102" i="38" a="1"/>
  <c r="Q102" i="38" s="1"/>
  <c r="W102" i="38" s="1" a="1"/>
  <c r="W102" i="38" s="1"/>
  <c r="Q101" i="38" a="1"/>
  <c r="Q101" i="38" s="1"/>
  <c r="W101" i="38" s="1" a="1"/>
  <c r="W101" i="38" s="1"/>
  <c r="Q100" i="38" a="1"/>
  <c r="Q100" i="38" s="1"/>
  <c r="W100" i="38" s="1" a="1"/>
  <c r="W100" i="38" s="1"/>
  <c r="Q99" i="38" a="1"/>
  <c r="Q99" i="38" s="1"/>
  <c r="W99" i="38" s="1" a="1"/>
  <c r="W99" i="38" s="1"/>
  <c r="Q98" i="38" a="1"/>
  <c r="Q98" i="38" s="1"/>
  <c r="W98" i="38" s="1" a="1"/>
  <c r="W98" i="38" s="1"/>
  <c r="Q97" i="38" a="1"/>
  <c r="Q97" i="38" s="1"/>
  <c r="W97" i="38" s="1" a="1"/>
  <c r="W97" i="38" s="1"/>
  <c r="Q96" i="38" a="1"/>
  <c r="Q96" i="38" s="1"/>
  <c r="W96" i="38" s="1" a="1"/>
  <c r="W96" i="38" s="1"/>
  <c r="H91" i="38"/>
  <c r="Q83" i="38"/>
  <c r="T83" i="38" a="1"/>
  <c r="T83" i="38" s="1"/>
  <c r="U83" i="38"/>
  <c r="Q84" i="38"/>
  <c r="T84" i="38" a="1"/>
  <c r="T84" i="38" s="1"/>
  <c r="U84" i="38"/>
  <c r="Q85" i="38"/>
  <c r="T85" i="38" a="1"/>
  <c r="T85" i="38" s="1"/>
  <c r="U85" i="38"/>
  <c r="Q86" i="38"/>
  <c r="T86" i="38" a="1"/>
  <c r="T86" i="38" s="1"/>
  <c r="U86" i="38"/>
  <c r="Q87" i="38"/>
  <c r="T87" i="38" a="1"/>
  <c r="T87" i="38" s="1"/>
  <c r="U87" i="38"/>
  <c r="Q88" i="38"/>
  <c r="T88" i="38" a="1"/>
  <c r="T88" i="38" s="1"/>
  <c r="U88" i="38"/>
  <c r="Q89" i="38"/>
  <c r="T89" i="38" a="1"/>
  <c r="T89" i="38" s="1"/>
  <c r="U89" i="38"/>
  <c r="Q90" i="38"/>
  <c r="T90" i="38" a="1"/>
  <c r="T90" i="38" s="1"/>
  <c r="U90" i="38"/>
  <c r="E60" i="38"/>
  <c r="D60" i="38"/>
  <c r="C60" i="38"/>
  <c r="B60" i="38"/>
  <c r="A60" i="38"/>
  <c r="W59" i="38" a="1"/>
  <c r="W59" i="38" s="1"/>
  <c r="P59" i="38" s="1"/>
  <c r="W58" i="38" a="1"/>
  <c r="W58" i="38" s="1"/>
  <c r="P58" i="38" s="1"/>
  <c r="W57" i="38" a="1"/>
  <c r="W57" i="38" s="1"/>
  <c r="P57" i="38" s="1"/>
  <c r="W56" i="38" a="1"/>
  <c r="W56" i="38" s="1"/>
  <c r="P56" i="38" s="1"/>
  <c r="W55" i="38" a="1"/>
  <c r="W55" i="38" s="1"/>
  <c r="P55" i="38" s="1"/>
  <c r="W54" i="38" a="1"/>
  <c r="W54" i="38" s="1"/>
  <c r="P54" i="38" s="1"/>
  <c r="W53" i="38" a="1"/>
  <c r="W53" i="38" s="1"/>
  <c r="P53" i="38" s="1"/>
  <c r="W52" i="38" a="1"/>
  <c r="W52" i="38" s="1"/>
  <c r="P52" i="38" s="1"/>
  <c r="W51" i="38" a="1"/>
  <c r="W51" i="38" s="1"/>
  <c r="P51" i="38" s="1"/>
  <c r="W50" i="38" a="1"/>
  <c r="W50" i="38" s="1"/>
  <c r="P50" i="38" s="1"/>
  <c r="W49" i="38" a="1"/>
  <c r="W49" i="38" s="1"/>
  <c r="P49" i="38" s="1"/>
  <c r="W48" i="38" a="1"/>
  <c r="W48" i="38" s="1"/>
  <c r="P48" i="38" s="1"/>
  <c r="W47" i="38" a="1"/>
  <c r="W47" i="38" s="1"/>
  <c r="P47" i="38" s="1"/>
  <c r="W46" i="38" a="1"/>
  <c r="W46" i="38" s="1"/>
  <c r="P46" i="38" s="1"/>
  <c r="W45" i="38" a="1"/>
  <c r="W45" i="38" s="1"/>
  <c r="P45" i="38" s="1"/>
  <c r="W44" i="38" a="1"/>
  <c r="W44" i="38" s="1"/>
  <c r="W43" i="38" a="1"/>
  <c r="W43" i="38" s="1"/>
  <c r="W42" i="38" a="1"/>
  <c r="W42" i="38" s="1"/>
  <c r="W41" i="38" a="1"/>
  <c r="W41" i="38" s="1"/>
  <c r="W40" i="38" a="1"/>
  <c r="W40" i="38" s="1"/>
  <c r="W39" i="38" a="1"/>
  <c r="W39" i="38" s="1"/>
  <c r="P39" i="38" s="1"/>
  <c r="W38" i="38" a="1"/>
  <c r="W38" i="38" s="1"/>
  <c r="P38" i="38" s="1"/>
  <c r="W37" i="38" a="1"/>
  <c r="W37" i="38" s="1"/>
  <c r="P37" i="38" s="1"/>
  <c r="W88" i="38" l="1" a="1"/>
  <c r="W88" i="38" s="1"/>
  <c r="W90" i="38" a="1"/>
  <c r="W90" i="38" s="1"/>
  <c r="W115" i="38" a="1"/>
  <c r="W115" i="38" s="1"/>
  <c r="P115" i="38" s="1" a="1"/>
  <c r="P115" i="38" s="1"/>
  <c r="W111" i="38" a="1"/>
  <c r="W111" i="38" s="1"/>
  <c r="P111" i="38" s="1" a="1"/>
  <c r="P111" i="38" s="1"/>
  <c r="W113" i="38" a="1"/>
  <c r="W113" i="38" s="1"/>
  <c r="P113" i="38" s="1" a="1"/>
  <c r="P113" i="38" s="1"/>
  <c r="W114" i="38" a="1"/>
  <c r="W114" i="38" s="1"/>
  <c r="P114" i="38" s="1" a="1"/>
  <c r="P114" i="38" s="1"/>
  <c r="W116" i="38" a="1"/>
  <c r="W116" i="38" s="1"/>
  <c r="P116" i="38" s="1" a="1"/>
  <c r="P116" i="38" s="1"/>
  <c r="W87" i="38" a="1"/>
  <c r="W87" i="38" s="1"/>
  <c r="W89" i="38" a="1"/>
  <c r="W89" i="38" s="1"/>
  <c r="R86" i="38"/>
  <c r="W86" i="38" a="1"/>
  <c r="W86" i="38" s="1"/>
  <c r="R85" i="38"/>
  <c r="W85" i="38" a="1"/>
  <c r="W85" i="38" s="1"/>
  <c r="R84" i="38"/>
  <c r="W84" i="38" a="1"/>
  <c r="W84" i="38" s="1"/>
  <c r="R83" i="38"/>
  <c r="W83" i="38" a="1"/>
  <c r="W83" i="38" s="1"/>
  <c r="U210" i="38"/>
  <c r="T210" i="38" a="1"/>
  <c r="T210" i="38" s="1"/>
  <c r="W210" i="38" s="1" a="1"/>
  <c r="W210" i="38" s="1"/>
  <c r="Q210" i="38"/>
  <c r="U209" i="38"/>
  <c r="T209" i="38" a="1"/>
  <c r="T209" i="38" s="1"/>
  <c r="Q209" i="38"/>
  <c r="U208" i="38"/>
  <c r="T208" i="38" a="1"/>
  <c r="T208" i="38" s="1"/>
  <c r="Q208" i="38"/>
  <c r="U207" i="38"/>
  <c r="T207" i="38" a="1"/>
  <c r="T207" i="38" s="1"/>
  <c r="Q207" i="38"/>
  <c r="U206" i="38"/>
  <c r="T206" i="38" a="1"/>
  <c r="T206" i="38" s="1"/>
  <c r="R206" i="38" s="1"/>
  <c r="Q206" i="38"/>
  <c r="U205" i="38"/>
  <c r="T205" i="38" a="1"/>
  <c r="T205" i="38" s="1"/>
  <c r="R205" i="38" s="1"/>
  <c r="Q205" i="38"/>
  <c r="U204" i="38"/>
  <c r="T204" i="38" a="1"/>
  <c r="T204" i="38" s="1"/>
  <c r="R204" i="38" s="1"/>
  <c r="Q204" i="38"/>
  <c r="P202" i="38" a="1"/>
  <c r="P202" i="38" s="1"/>
  <c r="V201" i="38" a="1"/>
  <c r="V201" i="38" s="1"/>
  <c r="V200" i="38" a="1"/>
  <c r="V200" i="38" s="1"/>
  <c r="V199" i="38" a="1"/>
  <c r="V199" i="38" s="1"/>
  <c r="V198" i="38" a="1"/>
  <c r="V198" i="38" s="1"/>
  <c r="T197" i="38"/>
  <c r="R197" i="38" s="1"/>
  <c r="V196" i="38" a="1"/>
  <c r="V196" i="38" s="1"/>
  <c r="T196" i="38" a="1"/>
  <c r="T196" i="38" s="1"/>
  <c r="Q196" i="38" a="1"/>
  <c r="Q196" i="38" s="1"/>
  <c r="V195" i="38" a="1"/>
  <c r="V195" i="38" s="1"/>
  <c r="T195" i="38" a="1"/>
  <c r="T195" i="38" s="1"/>
  <c r="Q195" i="38" a="1"/>
  <c r="Q195" i="38" s="1"/>
  <c r="V194" i="38" a="1"/>
  <c r="V194" i="38" s="1"/>
  <c r="T194" i="38" a="1"/>
  <c r="T194" i="38" s="1"/>
  <c r="Q194" i="38" a="1"/>
  <c r="Q194" i="38" s="1"/>
  <c r="V193" i="38" a="1"/>
  <c r="V193" i="38" s="1"/>
  <c r="T193" i="38" a="1"/>
  <c r="T193" i="38" s="1"/>
  <c r="Q193" i="38" a="1"/>
  <c r="Q193" i="38" s="1"/>
  <c r="V192" i="38" a="1"/>
  <c r="V192" i="38" s="1"/>
  <c r="T192" i="38" a="1"/>
  <c r="T192" i="38" s="1"/>
  <c r="Q192" i="38" a="1"/>
  <c r="Q192" i="38" s="1"/>
  <c r="V191" i="38" a="1"/>
  <c r="V191" i="38" s="1"/>
  <c r="T191" i="38" a="1"/>
  <c r="T191" i="38" s="1"/>
  <c r="Q191" i="38" a="1"/>
  <c r="Q191" i="38" s="1"/>
  <c r="V190" i="38" a="1"/>
  <c r="V190" i="38" s="1"/>
  <c r="T190" i="38" a="1"/>
  <c r="T190" i="38" s="1"/>
  <c r="Q190" i="38" a="1"/>
  <c r="Q190" i="38" s="1"/>
  <c r="V189" i="38" a="1"/>
  <c r="V189" i="38" s="1"/>
  <c r="T189" i="38" a="1"/>
  <c r="T189" i="38" s="1"/>
  <c r="Q189" i="38" a="1"/>
  <c r="Q189" i="38" s="1"/>
  <c r="V188" i="38" a="1"/>
  <c r="V188" i="38" s="1"/>
  <c r="T188" i="38" a="1"/>
  <c r="T188" i="38" s="1"/>
  <c r="Q188" i="38" a="1"/>
  <c r="Q188" i="38" s="1"/>
  <c r="T187" i="38"/>
  <c r="Q187" i="38" a="1"/>
  <c r="Q187" i="38" s="1"/>
  <c r="Q186" i="38" a="1"/>
  <c r="Q186" i="38" s="1"/>
  <c r="W186" i="38" s="1" a="1"/>
  <c r="W186" i="38" s="1"/>
  <c r="Q185" i="38" a="1"/>
  <c r="Q185" i="38" s="1"/>
  <c r="W185" i="38" s="1" a="1"/>
  <c r="W185" i="38" s="1"/>
  <c r="P185" i="38" s="1" a="1"/>
  <c r="P185" i="38" s="1"/>
  <c r="T184" i="38" a="1"/>
  <c r="T184" i="38" s="1"/>
  <c r="Q184" i="38" a="1"/>
  <c r="Q184" i="38" s="1"/>
  <c r="T183" i="38" a="1"/>
  <c r="T183" i="38" s="1"/>
  <c r="Q183" i="38" a="1"/>
  <c r="Q183" i="38" s="1"/>
  <c r="T182" i="38" a="1"/>
  <c r="T182" i="38" s="1"/>
  <c r="Q182" i="38" a="1"/>
  <c r="Q182" i="38" s="1"/>
  <c r="T181" i="38" a="1"/>
  <c r="T181" i="38" s="1"/>
  <c r="Q181" i="38" a="1"/>
  <c r="Q181" i="38" s="1"/>
  <c r="G181" i="38"/>
  <c r="F181" i="38"/>
  <c r="Q395" i="38" a="1"/>
  <c r="Q395" i="38" s="1"/>
  <c r="W395" i="38" s="1" a="1"/>
  <c r="W395" i="38" s="1"/>
  <c r="Q396" i="38" a="1"/>
  <c r="Q396" i="38" s="1"/>
  <c r="W396" i="38" s="1" a="1"/>
  <c r="W396" i="38" s="1"/>
  <c r="Q397" i="38" a="1"/>
  <c r="Q397" i="38" s="1"/>
  <c r="T397" i="38"/>
  <c r="V398" i="38" a="1"/>
  <c r="V398" i="38" s="1"/>
  <c r="W208" i="38" l="1" a="1"/>
  <c r="W208" i="38" s="1"/>
  <c r="W205" i="38" a="1"/>
  <c r="W205" i="38" s="1"/>
  <c r="W193" i="38" a="1"/>
  <c r="W193" i="38" s="1"/>
  <c r="P193" i="38" s="1" a="1"/>
  <c r="P193" i="38" s="1"/>
  <c r="W207" i="38" a="1"/>
  <c r="W207" i="38" s="1"/>
  <c r="W209" i="38" a="1"/>
  <c r="W209" i="38" s="1"/>
  <c r="W184" i="38" a="1"/>
  <c r="W184" i="38" s="1"/>
  <c r="P184" i="38" s="1" a="1"/>
  <c r="P184" i="38" s="1"/>
  <c r="W204" i="38" a="1"/>
  <c r="W204" i="38" s="1"/>
  <c r="W206" i="38" a="1"/>
  <c r="W206" i="38" s="1"/>
  <c r="W194" i="38" a="1"/>
  <c r="W194" i="38" s="1"/>
  <c r="P194" i="38" s="1" a="1"/>
  <c r="P194" i="38" s="1"/>
  <c r="W188" i="38" a="1"/>
  <c r="W188" i="38" s="1"/>
  <c r="P188" i="38" s="1" a="1"/>
  <c r="P188" i="38" s="1"/>
  <c r="W191" i="38" a="1"/>
  <c r="W191" i="38" s="1"/>
  <c r="P191" i="38" s="1" a="1"/>
  <c r="P191" i="38" s="1"/>
  <c r="W183" i="38" a="1"/>
  <c r="W183" i="38" s="1"/>
  <c r="W192" i="38" a="1"/>
  <c r="W192" i="38" s="1"/>
  <c r="P192" i="38" s="1" a="1"/>
  <c r="P192" i="38" s="1"/>
  <c r="W196" i="38" a="1"/>
  <c r="W196" i="38" s="1"/>
  <c r="P196" i="38" s="1" a="1"/>
  <c r="P196" i="38" s="1"/>
  <c r="W189" i="38" a="1"/>
  <c r="W189" i="38" s="1"/>
  <c r="P189" i="38" s="1" a="1"/>
  <c r="P189" i="38" s="1"/>
  <c r="W181" i="38" a="1"/>
  <c r="W181" i="38" s="1"/>
  <c r="W190" i="38" a="1"/>
  <c r="W190" i="38" s="1"/>
  <c r="P190" i="38" s="1" a="1"/>
  <c r="P190" i="38" s="1"/>
  <c r="W182" i="38" a="1"/>
  <c r="W182" i="38" s="1"/>
  <c r="W198" i="38" a="1"/>
  <c r="W198" i="38" s="1"/>
  <c r="P198" i="38" s="1" a="1"/>
  <c r="P198" i="38" s="1"/>
  <c r="W199" i="38" a="1"/>
  <c r="W199" i="38" s="1"/>
  <c r="P199" i="38" s="1" a="1"/>
  <c r="P199" i="38" s="1"/>
  <c r="W200" i="38" a="1"/>
  <c r="W200" i="38" s="1"/>
  <c r="P200" i="38" s="1" a="1"/>
  <c r="P200" i="38" s="1"/>
  <c r="W201" i="38" a="1"/>
  <c r="W201" i="38" s="1"/>
  <c r="P201" i="38" s="1" a="1"/>
  <c r="P201" i="38" s="1"/>
  <c r="W195" i="38" a="1"/>
  <c r="W195" i="38" s="1"/>
  <c r="P195" i="38" s="1" a="1"/>
  <c r="P195" i="38" s="1"/>
  <c r="L2" i="19" a="1"/>
  <c r="L2" i="19" s="1"/>
  <c r="K2" i="19" a="1"/>
  <c r="K2" i="19" s="1"/>
  <c r="J2" i="19" a="1"/>
  <c r="J2" i="19" s="1"/>
  <c r="I2" i="19" a="1"/>
  <c r="I2" i="19" s="1"/>
  <c r="H2" i="19" a="1"/>
  <c r="H2" i="19" s="1"/>
  <c r="G2" i="19" a="1"/>
  <c r="F2" i="19" a="1"/>
  <c r="F2" i="19" s="1"/>
  <c r="G1" i="19" a="1"/>
  <c r="G1" i="19" s="1"/>
  <c r="H1" i="19" a="1"/>
  <c r="H1" i="19" s="1"/>
  <c r="I1" i="19" a="1"/>
  <c r="I1" i="19" s="1"/>
  <c r="J1" i="19" a="1"/>
  <c r="J1" i="19" s="1"/>
  <c r="K1" i="19" a="1"/>
  <c r="K1" i="19" s="1"/>
  <c r="L1" i="19" a="1"/>
  <c r="L1" i="19" s="1"/>
  <c r="F1" i="19" a="1"/>
  <c r="F1" i="19" s="1"/>
  <c r="G391" i="38"/>
  <c r="U690" i="38"/>
  <c r="T690" i="38" a="1"/>
  <c r="T690" i="38" s="1"/>
  <c r="Q690" i="38"/>
  <c r="U689" i="38"/>
  <c r="T689" i="38" a="1"/>
  <c r="T689" i="38" s="1"/>
  <c r="Q689" i="38"/>
  <c r="U688" i="38"/>
  <c r="T688" i="38" a="1"/>
  <c r="T688" i="38" s="1"/>
  <c r="Q688" i="38"/>
  <c r="U687" i="38"/>
  <c r="T687" i="38" a="1"/>
  <c r="T687" i="38" s="1"/>
  <c r="Q687" i="38"/>
  <c r="U686" i="38"/>
  <c r="T686" i="38" a="1"/>
  <c r="T686" i="38" s="1"/>
  <c r="Q686" i="38"/>
  <c r="U685" i="38"/>
  <c r="T685" i="38" a="1"/>
  <c r="T685" i="38" s="1"/>
  <c r="R685" i="38" s="1"/>
  <c r="Q685" i="38"/>
  <c r="U684" i="38"/>
  <c r="T684" i="38" a="1"/>
  <c r="T684" i="38" s="1"/>
  <c r="Q684" i="38"/>
  <c r="U683" i="38"/>
  <c r="T683" i="38" a="1"/>
  <c r="T683" i="38" s="1"/>
  <c r="R683" i="38" s="1"/>
  <c r="Q683" i="38"/>
  <c r="P682" i="38" a="1"/>
  <c r="P682" i="38" s="1"/>
  <c r="V681" i="38" a="1"/>
  <c r="V681" i="38" s="1"/>
  <c r="V680" i="38" a="1"/>
  <c r="V680" i="38" s="1"/>
  <c r="V679" i="38" a="1"/>
  <c r="V679" i="38" s="1"/>
  <c r="V678" i="38" a="1"/>
  <c r="V678" i="38" s="1"/>
  <c r="T677" i="38"/>
  <c r="R677" i="38" s="1"/>
  <c r="V676" i="38" a="1"/>
  <c r="V676" i="38" s="1"/>
  <c r="T676" i="38" a="1"/>
  <c r="T676" i="38" s="1"/>
  <c r="Q676" i="38" a="1"/>
  <c r="Q676" i="38" s="1"/>
  <c r="V675" i="38" a="1"/>
  <c r="V675" i="38" s="1"/>
  <c r="T675" i="38" a="1"/>
  <c r="T675" i="38" s="1"/>
  <c r="Q675" i="38" a="1"/>
  <c r="Q675" i="38" s="1"/>
  <c r="V674" i="38" a="1"/>
  <c r="V674" i="38" s="1"/>
  <c r="T674" i="38" a="1"/>
  <c r="T674" i="38" s="1"/>
  <c r="Q674" i="38" a="1"/>
  <c r="Q674" i="38" s="1"/>
  <c r="V673" i="38" a="1"/>
  <c r="V673" i="38" s="1"/>
  <c r="T673" i="38" a="1"/>
  <c r="T673" i="38" s="1"/>
  <c r="Q673" i="38" a="1"/>
  <c r="Q673" i="38" s="1"/>
  <c r="V672" i="38" a="1"/>
  <c r="V672" i="38" s="1"/>
  <c r="T672" i="38" a="1"/>
  <c r="T672" i="38" s="1"/>
  <c r="Q672" i="38" a="1"/>
  <c r="Q672" i="38" s="1"/>
  <c r="V671" i="38" a="1"/>
  <c r="V671" i="38" s="1"/>
  <c r="T671" i="38" a="1"/>
  <c r="T671" i="38" s="1"/>
  <c r="Q671" i="38" a="1"/>
  <c r="Q671" i="38" s="1"/>
  <c r="V670" i="38" a="1"/>
  <c r="V670" i="38" s="1"/>
  <c r="T670" i="38" a="1"/>
  <c r="T670" i="38" s="1"/>
  <c r="Q670" i="38" a="1"/>
  <c r="Q670" i="38" s="1"/>
  <c r="V669" i="38" a="1"/>
  <c r="V669" i="38" s="1"/>
  <c r="T669" i="38" a="1"/>
  <c r="T669" i="38" s="1"/>
  <c r="Q669" i="38" a="1"/>
  <c r="Q669" i="38" s="1"/>
  <c r="V668" i="38" a="1"/>
  <c r="V668" i="38" s="1"/>
  <c r="T668" i="38" a="1"/>
  <c r="T668" i="38" s="1"/>
  <c r="Q668" i="38" a="1"/>
  <c r="Q668" i="38" s="1"/>
  <c r="V667" i="38" a="1"/>
  <c r="V667" i="38" s="1"/>
  <c r="T667" i="38" a="1"/>
  <c r="T667" i="38" s="1"/>
  <c r="Q667" i="38" a="1"/>
  <c r="Q667" i="38" s="1"/>
  <c r="T666" i="38" a="1"/>
  <c r="T666" i="38" s="1"/>
  <c r="R666" i="38"/>
  <c r="Q666" i="38" a="1"/>
  <c r="Q666" i="38" s="1"/>
  <c r="V665" i="38" a="1"/>
  <c r="V665" i="38" s="1"/>
  <c r="T665" i="38" a="1"/>
  <c r="T665" i="38" s="1"/>
  <c r="Q665" i="38" a="1"/>
  <c r="Q665" i="38" s="1"/>
  <c r="T664" i="38" a="1"/>
  <c r="T664" i="38" s="1"/>
  <c r="Q664" i="38" a="1"/>
  <c r="Q664" i="38" s="1"/>
  <c r="T663" i="38" a="1"/>
  <c r="T663" i="38" s="1"/>
  <c r="Q663" i="38" a="1"/>
  <c r="Q663" i="38" s="1"/>
  <c r="T662" i="38" a="1"/>
  <c r="T662" i="38" s="1"/>
  <c r="Q662" i="38" a="1"/>
  <c r="Q662" i="38" s="1"/>
  <c r="T661" i="38" a="1"/>
  <c r="T661" i="38" s="1"/>
  <c r="Q661" i="38" a="1"/>
  <c r="Q661" i="38" s="1"/>
  <c r="H661" i="38"/>
  <c r="G661" i="38"/>
  <c r="F661" i="38"/>
  <c r="U660" i="38"/>
  <c r="T660" i="38" a="1"/>
  <c r="T660" i="38" s="1"/>
  <c r="Q660" i="38"/>
  <c r="U659" i="38"/>
  <c r="T659" i="38" a="1"/>
  <c r="T659" i="38" s="1"/>
  <c r="Q659" i="38"/>
  <c r="U658" i="38"/>
  <c r="T658" i="38" a="1"/>
  <c r="T658" i="38" s="1"/>
  <c r="Q658" i="38"/>
  <c r="U657" i="38"/>
  <c r="T657" i="38" a="1"/>
  <c r="T657" i="38" s="1"/>
  <c r="Q657" i="38"/>
  <c r="U656" i="38"/>
  <c r="T656" i="38" a="1"/>
  <c r="T656" i="38" s="1"/>
  <c r="Q656" i="38"/>
  <c r="U655" i="38"/>
  <c r="T655" i="38" a="1"/>
  <c r="T655" i="38" s="1"/>
  <c r="R655" i="38" s="1"/>
  <c r="Q655" i="38"/>
  <c r="U654" i="38"/>
  <c r="T654" i="38" a="1"/>
  <c r="T654" i="38" s="1"/>
  <c r="R654" i="38" s="1"/>
  <c r="Q654" i="38"/>
  <c r="U653" i="38"/>
  <c r="T653" i="38" a="1"/>
  <c r="T653" i="38" s="1"/>
  <c r="R653" i="38" s="1"/>
  <c r="Q653" i="38"/>
  <c r="P652" i="38" a="1"/>
  <c r="P652" i="38" s="1"/>
  <c r="V651" i="38" a="1"/>
  <c r="V651" i="38" s="1"/>
  <c r="V650" i="38" a="1"/>
  <c r="V650" i="38" s="1"/>
  <c r="V649" i="38" a="1"/>
  <c r="V649" i="38" s="1"/>
  <c r="V648" i="38" a="1"/>
  <c r="V648" i="38" s="1"/>
  <c r="T647" i="38"/>
  <c r="R647" i="38" s="1"/>
  <c r="V646" i="38" a="1"/>
  <c r="V646" i="38" s="1"/>
  <c r="T646" i="38" a="1"/>
  <c r="T646" i="38" s="1"/>
  <c r="Q646" i="38" a="1"/>
  <c r="Q646" i="38" s="1"/>
  <c r="V645" i="38" a="1"/>
  <c r="V645" i="38" s="1"/>
  <c r="T645" i="38" a="1"/>
  <c r="T645" i="38" s="1"/>
  <c r="Q645" i="38" a="1"/>
  <c r="Q645" i="38" s="1"/>
  <c r="V644" i="38" a="1"/>
  <c r="V644" i="38" s="1"/>
  <c r="T644" i="38" a="1"/>
  <c r="T644" i="38" s="1"/>
  <c r="Q644" i="38" a="1"/>
  <c r="Q644" i="38" s="1"/>
  <c r="V643" i="38" a="1"/>
  <c r="V643" i="38" s="1"/>
  <c r="T643" i="38" a="1"/>
  <c r="T643" i="38" s="1"/>
  <c r="Q643" i="38" a="1"/>
  <c r="Q643" i="38" s="1"/>
  <c r="V642" i="38" a="1"/>
  <c r="V642" i="38" s="1"/>
  <c r="T642" i="38" a="1"/>
  <c r="T642" i="38" s="1"/>
  <c r="Q642" i="38" a="1"/>
  <c r="Q642" i="38" s="1"/>
  <c r="V641" i="38" a="1"/>
  <c r="V641" i="38" s="1"/>
  <c r="T641" i="38" a="1"/>
  <c r="T641" i="38" s="1"/>
  <c r="Q641" i="38" a="1"/>
  <c r="Q641" i="38" s="1"/>
  <c r="V640" i="38" a="1"/>
  <c r="V640" i="38" s="1"/>
  <c r="T640" i="38" a="1"/>
  <c r="T640" i="38" s="1"/>
  <c r="Q640" i="38" a="1"/>
  <c r="Q640" i="38" s="1"/>
  <c r="V639" i="38" a="1"/>
  <c r="V639" i="38" s="1"/>
  <c r="T639" i="38" a="1"/>
  <c r="T639" i="38" s="1"/>
  <c r="Q639" i="38" a="1"/>
  <c r="Q639" i="38" s="1"/>
  <c r="V638" i="38" a="1"/>
  <c r="V638" i="38" s="1"/>
  <c r="T638" i="38" a="1"/>
  <c r="T638" i="38" s="1"/>
  <c r="Q638" i="38" a="1"/>
  <c r="Q638" i="38" s="1"/>
  <c r="V637" i="38" a="1"/>
  <c r="V637" i="38" s="1"/>
  <c r="T637" i="38" a="1"/>
  <c r="T637" i="38" s="1"/>
  <c r="Q637" i="38" a="1"/>
  <c r="Q637" i="38" s="1"/>
  <c r="T636" i="38" a="1"/>
  <c r="T636" i="38" s="1"/>
  <c r="R636" i="38"/>
  <c r="Q636" i="38" a="1"/>
  <c r="Q636" i="38" s="1"/>
  <c r="V635" i="38" a="1"/>
  <c r="V635" i="38" s="1"/>
  <c r="T635" i="38" a="1"/>
  <c r="T635" i="38" s="1"/>
  <c r="Q635" i="38" a="1"/>
  <c r="Q635" i="38" s="1"/>
  <c r="T634" i="38" a="1"/>
  <c r="T634" i="38" s="1"/>
  <c r="Q634" i="38" a="1"/>
  <c r="Q634" i="38" s="1"/>
  <c r="T633" i="38" a="1"/>
  <c r="T633" i="38" s="1"/>
  <c r="Q633" i="38" a="1"/>
  <c r="Q633" i="38" s="1"/>
  <c r="T632" i="38" a="1"/>
  <c r="T632" i="38" s="1"/>
  <c r="Q632" i="38" a="1"/>
  <c r="Q632" i="38" s="1"/>
  <c r="T631" i="38" a="1"/>
  <c r="T631" i="38" s="1"/>
  <c r="Q631" i="38" a="1"/>
  <c r="Q631" i="38" s="1"/>
  <c r="H631" i="38"/>
  <c r="G631" i="38"/>
  <c r="F631" i="38"/>
  <c r="U630" i="38"/>
  <c r="T630" i="38" a="1"/>
  <c r="T630" i="38" s="1"/>
  <c r="Q630" i="38"/>
  <c r="U629" i="38"/>
  <c r="T629" i="38" a="1"/>
  <c r="T629" i="38" s="1"/>
  <c r="W629" i="38" s="1" a="1"/>
  <c r="W629" i="38" s="1"/>
  <c r="Q629" i="38"/>
  <c r="U628" i="38"/>
  <c r="T628" i="38" a="1"/>
  <c r="T628" i="38" s="1"/>
  <c r="Q628" i="38"/>
  <c r="U627" i="38"/>
  <c r="T627" i="38" a="1"/>
  <c r="T627" i="38" s="1"/>
  <c r="Q627" i="38"/>
  <c r="U626" i="38"/>
  <c r="T626" i="38" a="1"/>
  <c r="T626" i="38" s="1"/>
  <c r="R626" i="38" s="1"/>
  <c r="Q626" i="38"/>
  <c r="U625" i="38"/>
  <c r="T625" i="38" a="1"/>
  <c r="T625" i="38" s="1"/>
  <c r="R625" i="38" s="1"/>
  <c r="Q625" i="38"/>
  <c r="U624" i="38"/>
  <c r="T624" i="38" a="1"/>
  <c r="T624" i="38" s="1"/>
  <c r="R624" i="38" s="1"/>
  <c r="Q624" i="38"/>
  <c r="U623" i="38"/>
  <c r="T623" i="38" a="1"/>
  <c r="T623" i="38" s="1"/>
  <c r="R623" i="38" s="1"/>
  <c r="Q623" i="38"/>
  <c r="P622" i="38" a="1"/>
  <c r="P622" i="38" s="1"/>
  <c r="V621" i="38" a="1"/>
  <c r="V621" i="38" s="1"/>
  <c r="V620" i="38" a="1"/>
  <c r="V620" i="38" s="1"/>
  <c r="V619" i="38" a="1"/>
  <c r="V619" i="38" s="1"/>
  <c r="V618" i="38" a="1"/>
  <c r="V618" i="38" s="1"/>
  <c r="T617" i="38"/>
  <c r="R617" i="38" s="1"/>
  <c r="V616" i="38" a="1"/>
  <c r="V616" i="38" s="1"/>
  <c r="T616" i="38" a="1"/>
  <c r="T616" i="38" s="1"/>
  <c r="Q616" i="38" a="1"/>
  <c r="Q616" i="38" s="1"/>
  <c r="V615" i="38" a="1"/>
  <c r="V615" i="38" s="1"/>
  <c r="T615" i="38" a="1"/>
  <c r="T615" i="38" s="1"/>
  <c r="Q615" i="38" a="1"/>
  <c r="Q615" i="38" s="1"/>
  <c r="V614" i="38" a="1"/>
  <c r="V614" i="38" s="1"/>
  <c r="T614" i="38" a="1"/>
  <c r="T614" i="38" s="1"/>
  <c r="Q614" i="38" a="1"/>
  <c r="Q614" i="38" s="1"/>
  <c r="V613" i="38" a="1"/>
  <c r="V613" i="38" s="1"/>
  <c r="T613" i="38" a="1"/>
  <c r="T613" i="38" s="1"/>
  <c r="Q613" i="38" a="1"/>
  <c r="Q613" i="38" s="1"/>
  <c r="V612" i="38" a="1"/>
  <c r="V612" i="38" s="1"/>
  <c r="T612" i="38" a="1"/>
  <c r="T612" i="38" s="1"/>
  <c r="Q612" i="38" a="1"/>
  <c r="Q612" i="38" s="1"/>
  <c r="V611" i="38" a="1"/>
  <c r="V611" i="38" s="1"/>
  <c r="T611" i="38" a="1"/>
  <c r="T611" i="38" s="1"/>
  <c r="Q611" i="38" a="1"/>
  <c r="Q611" i="38" s="1"/>
  <c r="V610" i="38" a="1"/>
  <c r="V610" i="38" s="1"/>
  <c r="T610" i="38" a="1"/>
  <c r="T610" i="38" s="1"/>
  <c r="Q610" i="38" a="1"/>
  <c r="Q610" i="38" s="1"/>
  <c r="V609" i="38" a="1"/>
  <c r="V609" i="38" s="1"/>
  <c r="T609" i="38" a="1"/>
  <c r="T609" i="38" s="1"/>
  <c r="Q609" i="38" a="1"/>
  <c r="Q609" i="38" s="1"/>
  <c r="V608" i="38" a="1"/>
  <c r="V608" i="38" s="1"/>
  <c r="T608" i="38" a="1"/>
  <c r="T608" i="38" s="1"/>
  <c r="Q608" i="38" a="1"/>
  <c r="Q608" i="38" s="1"/>
  <c r="V607" i="38" a="1"/>
  <c r="V607" i="38" s="1"/>
  <c r="T607" i="38" a="1"/>
  <c r="T607" i="38" s="1"/>
  <c r="Q607" i="38" a="1"/>
  <c r="Q607" i="38" s="1"/>
  <c r="T606" i="38" a="1"/>
  <c r="T606" i="38" s="1"/>
  <c r="R606" i="38"/>
  <c r="Q606" i="38" a="1"/>
  <c r="Q606" i="38" s="1"/>
  <c r="V605" i="38" a="1"/>
  <c r="V605" i="38" s="1"/>
  <c r="T605" i="38" a="1"/>
  <c r="T605" i="38" s="1"/>
  <c r="Q605" i="38" a="1"/>
  <c r="Q605" i="38" s="1"/>
  <c r="T604" i="38" a="1"/>
  <c r="T604" i="38" s="1"/>
  <c r="Q604" i="38" a="1"/>
  <c r="Q604" i="38" s="1"/>
  <c r="T603" i="38" a="1"/>
  <c r="T603" i="38" s="1"/>
  <c r="Q603" i="38" a="1"/>
  <c r="Q603" i="38" s="1"/>
  <c r="T602" i="38" a="1"/>
  <c r="T602" i="38" s="1"/>
  <c r="Q602" i="38" a="1"/>
  <c r="Q602" i="38" s="1"/>
  <c r="T601" i="38" a="1"/>
  <c r="T601" i="38" s="1"/>
  <c r="Q601" i="38" a="1"/>
  <c r="Q601" i="38" s="1"/>
  <c r="H601" i="38"/>
  <c r="G601" i="38"/>
  <c r="F601" i="38"/>
  <c r="U600" i="38"/>
  <c r="T600" i="38" a="1"/>
  <c r="T600" i="38" s="1"/>
  <c r="Q600" i="38"/>
  <c r="U599" i="38"/>
  <c r="T599" i="38" a="1"/>
  <c r="T599" i="38" s="1"/>
  <c r="Q599" i="38"/>
  <c r="U598" i="38"/>
  <c r="T598" i="38" a="1"/>
  <c r="T598" i="38" s="1"/>
  <c r="Q598" i="38"/>
  <c r="U597" i="38"/>
  <c r="T597" i="38" a="1"/>
  <c r="T597" i="38" s="1"/>
  <c r="Q597" i="38"/>
  <c r="U596" i="38"/>
  <c r="T596" i="38" a="1"/>
  <c r="T596" i="38" s="1"/>
  <c r="R596" i="38" s="1"/>
  <c r="Q596" i="38"/>
  <c r="U595" i="38"/>
  <c r="T595" i="38" a="1"/>
  <c r="T595" i="38" s="1"/>
  <c r="Q595" i="38"/>
  <c r="U594" i="38"/>
  <c r="T594" i="38" a="1"/>
  <c r="T594" i="38" s="1"/>
  <c r="Q594" i="38"/>
  <c r="U593" i="38"/>
  <c r="T593" i="38" a="1"/>
  <c r="T593" i="38" s="1"/>
  <c r="Q593" i="38"/>
  <c r="P592" i="38" a="1"/>
  <c r="P592" i="38" s="1"/>
  <c r="V591" i="38" a="1"/>
  <c r="V591" i="38" s="1"/>
  <c r="V590" i="38" a="1"/>
  <c r="V590" i="38" s="1"/>
  <c r="V589" i="38" a="1"/>
  <c r="V589" i="38" s="1"/>
  <c r="V588" i="38" a="1"/>
  <c r="V588" i="38" s="1"/>
  <c r="T587" i="38"/>
  <c r="R587" i="38" s="1"/>
  <c r="V586" i="38" a="1"/>
  <c r="V586" i="38" s="1"/>
  <c r="T586" i="38" a="1"/>
  <c r="T586" i="38" s="1"/>
  <c r="Q586" i="38" a="1"/>
  <c r="Q586" i="38" s="1"/>
  <c r="V585" i="38" a="1"/>
  <c r="V585" i="38" s="1"/>
  <c r="T585" i="38" a="1"/>
  <c r="T585" i="38" s="1"/>
  <c r="Q585" i="38" a="1"/>
  <c r="Q585" i="38" s="1"/>
  <c r="V584" i="38" a="1"/>
  <c r="V584" i="38" s="1"/>
  <c r="T584" i="38" a="1"/>
  <c r="T584" i="38" s="1"/>
  <c r="Q584" i="38" a="1"/>
  <c r="Q584" i="38" s="1"/>
  <c r="V583" i="38" a="1"/>
  <c r="V583" i="38" s="1"/>
  <c r="T583" i="38" a="1"/>
  <c r="T583" i="38" s="1"/>
  <c r="Q583" i="38" a="1"/>
  <c r="Q583" i="38" s="1"/>
  <c r="V582" i="38" a="1"/>
  <c r="V582" i="38" s="1"/>
  <c r="T582" i="38" a="1"/>
  <c r="T582" i="38" s="1"/>
  <c r="Q582" i="38" a="1"/>
  <c r="Q582" i="38" s="1"/>
  <c r="V581" i="38" a="1"/>
  <c r="V581" i="38" s="1"/>
  <c r="T581" i="38" a="1"/>
  <c r="T581" i="38" s="1"/>
  <c r="Q581" i="38" a="1"/>
  <c r="Q581" i="38" s="1"/>
  <c r="V580" i="38" a="1"/>
  <c r="V580" i="38" s="1"/>
  <c r="T580" i="38" a="1"/>
  <c r="T580" i="38" s="1"/>
  <c r="Q580" i="38" a="1"/>
  <c r="Q580" i="38" s="1"/>
  <c r="V579" i="38" a="1"/>
  <c r="V579" i="38" s="1"/>
  <c r="T579" i="38" a="1"/>
  <c r="T579" i="38" s="1"/>
  <c r="Q579" i="38" a="1"/>
  <c r="Q579" i="38" s="1"/>
  <c r="V578" i="38" a="1"/>
  <c r="V578" i="38" s="1"/>
  <c r="T578" i="38" a="1"/>
  <c r="T578" i="38" s="1"/>
  <c r="Q578" i="38" a="1"/>
  <c r="Q578" i="38" s="1"/>
  <c r="V577" i="38" a="1"/>
  <c r="V577" i="38" s="1"/>
  <c r="T577" i="38" a="1"/>
  <c r="T577" i="38" s="1"/>
  <c r="Q577" i="38" a="1"/>
  <c r="Q577" i="38" s="1"/>
  <c r="T576" i="38" a="1"/>
  <c r="T576" i="38" s="1"/>
  <c r="R576" i="38"/>
  <c r="Q576" i="38" a="1"/>
  <c r="Q576" i="38" s="1"/>
  <c r="V575" i="38" a="1"/>
  <c r="V575" i="38" s="1"/>
  <c r="T575" i="38" a="1"/>
  <c r="T575" i="38" s="1"/>
  <c r="Q575" i="38" a="1"/>
  <c r="Q575" i="38" s="1"/>
  <c r="T574" i="38" a="1"/>
  <c r="T574" i="38" s="1"/>
  <c r="Q574" i="38" a="1"/>
  <c r="Q574" i="38" s="1"/>
  <c r="T573" i="38" a="1"/>
  <c r="T573" i="38" s="1"/>
  <c r="Q573" i="38" a="1"/>
  <c r="Q573" i="38" s="1"/>
  <c r="T572" i="38" a="1"/>
  <c r="T572" i="38" s="1"/>
  <c r="Q572" i="38" a="1"/>
  <c r="Q572" i="38" s="1"/>
  <c r="T571" i="38" a="1"/>
  <c r="T571" i="38" s="1"/>
  <c r="Q571" i="38" a="1"/>
  <c r="Q571" i="38" s="1"/>
  <c r="H571" i="38"/>
  <c r="G571" i="38"/>
  <c r="F571" i="38"/>
  <c r="U570" i="38"/>
  <c r="T570" i="38" a="1"/>
  <c r="T570" i="38" s="1"/>
  <c r="Q570" i="38"/>
  <c r="U569" i="38"/>
  <c r="T569" i="38" a="1"/>
  <c r="T569" i="38" s="1"/>
  <c r="Q569" i="38"/>
  <c r="U568" i="38"/>
  <c r="T568" i="38" a="1"/>
  <c r="T568" i="38" s="1"/>
  <c r="Q568" i="38"/>
  <c r="U567" i="38"/>
  <c r="T567" i="38" a="1"/>
  <c r="T567" i="38" s="1"/>
  <c r="W567" i="38" s="1" a="1"/>
  <c r="W567" i="38" s="1"/>
  <c r="Q567" i="38"/>
  <c r="U566" i="38"/>
  <c r="T566" i="38" a="1"/>
  <c r="T566" i="38" s="1"/>
  <c r="Q566" i="38"/>
  <c r="U565" i="38"/>
  <c r="T565" i="38" a="1"/>
  <c r="T565" i="38" s="1"/>
  <c r="Q565" i="38"/>
  <c r="U564" i="38"/>
  <c r="T564" i="38" a="1"/>
  <c r="T564" i="38" s="1"/>
  <c r="R564" i="38" s="1"/>
  <c r="Q564" i="38"/>
  <c r="U563" i="38"/>
  <c r="T563" i="38" a="1"/>
  <c r="T563" i="38" s="1"/>
  <c r="R563" i="38" s="1"/>
  <c r="Q563" i="38"/>
  <c r="P562" i="38" a="1"/>
  <c r="P562" i="38" s="1"/>
  <c r="V561" i="38" a="1"/>
  <c r="V561" i="38" s="1"/>
  <c r="V560" i="38" a="1"/>
  <c r="V560" i="38" s="1"/>
  <c r="V559" i="38" a="1"/>
  <c r="V559" i="38" s="1"/>
  <c r="V558" i="38" a="1"/>
  <c r="V558" i="38" s="1"/>
  <c r="T557" i="38"/>
  <c r="R557" i="38" s="1"/>
  <c r="V556" i="38" a="1"/>
  <c r="V556" i="38" s="1"/>
  <c r="T556" i="38" a="1"/>
  <c r="T556" i="38" s="1"/>
  <c r="Q556" i="38" a="1"/>
  <c r="Q556" i="38" s="1"/>
  <c r="V555" i="38" a="1"/>
  <c r="V555" i="38" s="1"/>
  <c r="T555" i="38" a="1"/>
  <c r="T555" i="38" s="1"/>
  <c r="Q555" i="38" a="1"/>
  <c r="Q555" i="38" s="1"/>
  <c r="V554" i="38" a="1"/>
  <c r="V554" i="38" s="1"/>
  <c r="T554" i="38" a="1"/>
  <c r="T554" i="38" s="1"/>
  <c r="Q554" i="38" a="1"/>
  <c r="Q554" i="38" s="1"/>
  <c r="V553" i="38" a="1"/>
  <c r="V553" i="38" s="1"/>
  <c r="T553" i="38" a="1"/>
  <c r="T553" i="38" s="1"/>
  <c r="Q553" i="38" a="1"/>
  <c r="Q553" i="38" s="1"/>
  <c r="V552" i="38" a="1"/>
  <c r="V552" i="38" s="1"/>
  <c r="T552" i="38" a="1"/>
  <c r="T552" i="38" s="1"/>
  <c r="Q552" i="38" a="1"/>
  <c r="Q552" i="38" s="1"/>
  <c r="V551" i="38" a="1"/>
  <c r="V551" i="38" s="1"/>
  <c r="T551" i="38" a="1"/>
  <c r="T551" i="38" s="1"/>
  <c r="Q551" i="38" a="1"/>
  <c r="Q551" i="38" s="1"/>
  <c r="V550" i="38" a="1"/>
  <c r="V550" i="38" s="1"/>
  <c r="T550" i="38" a="1"/>
  <c r="T550" i="38" s="1"/>
  <c r="Q550" i="38" a="1"/>
  <c r="Q550" i="38" s="1"/>
  <c r="V549" i="38" a="1"/>
  <c r="V549" i="38" s="1"/>
  <c r="T549" i="38" a="1"/>
  <c r="T549" i="38" s="1"/>
  <c r="Q549" i="38" a="1"/>
  <c r="Q549" i="38" s="1"/>
  <c r="V548" i="38" a="1"/>
  <c r="V548" i="38" s="1"/>
  <c r="T548" i="38" a="1"/>
  <c r="T548" i="38" s="1"/>
  <c r="Q548" i="38" a="1"/>
  <c r="Q548" i="38" s="1"/>
  <c r="V547" i="38" a="1"/>
  <c r="V547" i="38" s="1"/>
  <c r="T547" i="38" a="1"/>
  <c r="T547" i="38" s="1"/>
  <c r="Q547" i="38" a="1"/>
  <c r="Q547" i="38" s="1"/>
  <c r="T546" i="38" a="1"/>
  <c r="T546" i="38" s="1"/>
  <c r="R546" i="38"/>
  <c r="Q546" i="38" a="1"/>
  <c r="Q546" i="38" s="1"/>
  <c r="V545" i="38" a="1"/>
  <c r="V545" i="38" s="1"/>
  <c r="T545" i="38" a="1"/>
  <c r="T545" i="38" s="1"/>
  <c r="Q545" i="38" a="1"/>
  <c r="Q545" i="38" s="1"/>
  <c r="T544" i="38" a="1"/>
  <c r="T544" i="38" s="1"/>
  <c r="Q544" i="38" a="1"/>
  <c r="Q544" i="38" s="1"/>
  <c r="T543" i="38" a="1"/>
  <c r="T543" i="38" s="1"/>
  <c r="Q543" i="38" a="1"/>
  <c r="Q543" i="38" s="1"/>
  <c r="T542" i="38" a="1"/>
  <c r="T542" i="38" s="1"/>
  <c r="Q542" i="38" a="1"/>
  <c r="Q542" i="38" s="1"/>
  <c r="T541" i="38" a="1"/>
  <c r="T541" i="38" s="1"/>
  <c r="Q541" i="38" a="1"/>
  <c r="Q541" i="38" s="1"/>
  <c r="H541" i="38"/>
  <c r="G541" i="38"/>
  <c r="F541" i="38"/>
  <c r="U540" i="38"/>
  <c r="T540" i="38" a="1"/>
  <c r="T540" i="38" s="1"/>
  <c r="Q540" i="38"/>
  <c r="U539" i="38"/>
  <c r="T539" i="38" a="1"/>
  <c r="T539" i="38" s="1"/>
  <c r="Q539" i="38"/>
  <c r="U538" i="38"/>
  <c r="T538" i="38" a="1"/>
  <c r="T538" i="38" s="1"/>
  <c r="Q538" i="38"/>
  <c r="U537" i="38"/>
  <c r="T537" i="38" a="1"/>
  <c r="T537" i="38" s="1"/>
  <c r="Q537" i="38"/>
  <c r="U536" i="38"/>
  <c r="T536" i="38" a="1"/>
  <c r="T536" i="38" s="1"/>
  <c r="Q536" i="38"/>
  <c r="U535" i="38"/>
  <c r="T535" i="38" a="1"/>
  <c r="T535" i="38" s="1"/>
  <c r="R535" i="38" s="1"/>
  <c r="Q535" i="38"/>
  <c r="U534" i="38"/>
  <c r="T534" i="38" a="1"/>
  <c r="T534" i="38" s="1"/>
  <c r="R534" i="38" s="1"/>
  <c r="Q534" i="38"/>
  <c r="U533" i="38"/>
  <c r="T533" i="38" a="1"/>
  <c r="T533" i="38" s="1"/>
  <c r="R533" i="38" s="1"/>
  <c r="Q533" i="38"/>
  <c r="P532" i="38" a="1"/>
  <c r="P532" i="38" s="1"/>
  <c r="V531" i="38" a="1"/>
  <c r="V531" i="38" s="1"/>
  <c r="V530" i="38" a="1"/>
  <c r="V530" i="38" s="1"/>
  <c r="V529" i="38" a="1"/>
  <c r="V529" i="38" s="1"/>
  <c r="V528" i="38" a="1"/>
  <c r="V528" i="38" s="1"/>
  <c r="T527" i="38"/>
  <c r="R527" i="38" s="1"/>
  <c r="V526" i="38" a="1"/>
  <c r="V526" i="38" s="1"/>
  <c r="T526" i="38" a="1"/>
  <c r="T526" i="38" s="1"/>
  <c r="Q526" i="38" a="1"/>
  <c r="Q526" i="38" s="1"/>
  <c r="V525" i="38" a="1"/>
  <c r="V525" i="38" s="1"/>
  <c r="T525" i="38" a="1"/>
  <c r="T525" i="38" s="1"/>
  <c r="Q525" i="38" a="1"/>
  <c r="Q525" i="38" s="1"/>
  <c r="V524" i="38" a="1"/>
  <c r="V524" i="38" s="1"/>
  <c r="T524" i="38" a="1"/>
  <c r="T524" i="38" s="1"/>
  <c r="Q524" i="38" a="1"/>
  <c r="Q524" i="38" s="1"/>
  <c r="V523" i="38" a="1"/>
  <c r="V523" i="38" s="1"/>
  <c r="T523" i="38" a="1"/>
  <c r="T523" i="38" s="1"/>
  <c r="Q523" i="38" a="1"/>
  <c r="Q523" i="38" s="1"/>
  <c r="V522" i="38" a="1"/>
  <c r="V522" i="38" s="1"/>
  <c r="T522" i="38" a="1"/>
  <c r="T522" i="38" s="1"/>
  <c r="Q522" i="38" a="1"/>
  <c r="Q522" i="38" s="1"/>
  <c r="V521" i="38" a="1"/>
  <c r="V521" i="38" s="1"/>
  <c r="T521" i="38" a="1"/>
  <c r="T521" i="38" s="1"/>
  <c r="Q521" i="38" a="1"/>
  <c r="Q521" i="38" s="1"/>
  <c r="V520" i="38" a="1"/>
  <c r="V520" i="38" s="1"/>
  <c r="T520" i="38" a="1"/>
  <c r="T520" i="38" s="1"/>
  <c r="Q520" i="38" a="1"/>
  <c r="Q520" i="38" s="1"/>
  <c r="V519" i="38" a="1"/>
  <c r="V519" i="38" s="1"/>
  <c r="T519" i="38" a="1"/>
  <c r="T519" i="38" s="1"/>
  <c r="Q519" i="38" a="1"/>
  <c r="Q519" i="38" s="1"/>
  <c r="V518" i="38" a="1"/>
  <c r="V518" i="38" s="1"/>
  <c r="T518" i="38" a="1"/>
  <c r="T518" i="38" s="1"/>
  <c r="Q518" i="38" a="1"/>
  <c r="Q518" i="38" s="1"/>
  <c r="V517" i="38" a="1"/>
  <c r="V517" i="38" s="1"/>
  <c r="T517" i="38" a="1"/>
  <c r="T517" i="38" s="1"/>
  <c r="Q517" i="38" a="1"/>
  <c r="Q517" i="38" s="1"/>
  <c r="T516" i="38" a="1"/>
  <c r="T516" i="38" s="1"/>
  <c r="R516" i="38"/>
  <c r="Q516" i="38" a="1"/>
  <c r="Q516" i="38" s="1"/>
  <c r="V515" i="38" a="1"/>
  <c r="V515" i="38" s="1"/>
  <c r="T515" i="38" a="1"/>
  <c r="T515" i="38" s="1"/>
  <c r="Q515" i="38" a="1"/>
  <c r="Q515" i="38" s="1"/>
  <c r="T514" i="38" a="1"/>
  <c r="T514" i="38" s="1"/>
  <c r="Q514" i="38" a="1"/>
  <c r="Q514" i="38" s="1"/>
  <c r="T513" i="38" a="1"/>
  <c r="T513" i="38" s="1"/>
  <c r="Q513" i="38" a="1"/>
  <c r="Q513" i="38" s="1"/>
  <c r="T512" i="38" a="1"/>
  <c r="T512" i="38" s="1"/>
  <c r="Q512" i="38" a="1"/>
  <c r="Q512" i="38" s="1"/>
  <c r="T511" i="38" a="1"/>
  <c r="T511" i="38" s="1"/>
  <c r="Q511" i="38" a="1"/>
  <c r="Q511" i="38" s="1"/>
  <c r="H511" i="38"/>
  <c r="G511" i="38"/>
  <c r="F511" i="38"/>
  <c r="U510" i="38"/>
  <c r="T510" i="38" a="1"/>
  <c r="T510" i="38" s="1"/>
  <c r="Q510" i="38"/>
  <c r="U509" i="38"/>
  <c r="T509" i="38" a="1"/>
  <c r="T509" i="38" s="1"/>
  <c r="Q509" i="38"/>
  <c r="U508" i="38"/>
  <c r="T508" i="38" a="1"/>
  <c r="T508" i="38" s="1"/>
  <c r="Q508" i="38"/>
  <c r="U507" i="38"/>
  <c r="T507" i="38" a="1"/>
  <c r="T507" i="38" s="1"/>
  <c r="Q507" i="38"/>
  <c r="U506" i="38"/>
  <c r="T506" i="38" a="1"/>
  <c r="T506" i="38" s="1"/>
  <c r="Q506" i="38"/>
  <c r="U505" i="38"/>
  <c r="T505" i="38" a="1"/>
  <c r="T505" i="38" s="1"/>
  <c r="Q505" i="38"/>
  <c r="U504" i="38"/>
  <c r="T504" i="38" a="1"/>
  <c r="T504" i="38" s="1"/>
  <c r="R504" i="38" s="1"/>
  <c r="Q504" i="38"/>
  <c r="U503" i="38"/>
  <c r="T503" i="38" a="1"/>
  <c r="T503" i="38" s="1"/>
  <c r="R503" i="38" s="1"/>
  <c r="Q503" i="38"/>
  <c r="P502" i="38" a="1"/>
  <c r="P502" i="38" s="1"/>
  <c r="V501" i="38" a="1"/>
  <c r="V501" i="38" s="1"/>
  <c r="V500" i="38" a="1"/>
  <c r="V500" i="38" s="1"/>
  <c r="V499" i="38" a="1"/>
  <c r="V499" i="38" s="1"/>
  <c r="V498" i="38" a="1"/>
  <c r="V498" i="38" s="1"/>
  <c r="T497" i="38"/>
  <c r="R497" i="38" s="1"/>
  <c r="V496" i="38" a="1"/>
  <c r="V496" i="38" s="1"/>
  <c r="T496" i="38" a="1"/>
  <c r="T496" i="38" s="1"/>
  <c r="Q496" i="38" a="1"/>
  <c r="Q496" i="38" s="1"/>
  <c r="V495" i="38" a="1"/>
  <c r="V495" i="38" s="1"/>
  <c r="T495" i="38" a="1"/>
  <c r="T495" i="38" s="1"/>
  <c r="Q495" i="38" a="1"/>
  <c r="Q495" i="38" s="1"/>
  <c r="V494" i="38" a="1"/>
  <c r="V494" i="38" s="1"/>
  <c r="T494" i="38" a="1"/>
  <c r="T494" i="38" s="1"/>
  <c r="Q494" i="38" a="1"/>
  <c r="Q494" i="38" s="1"/>
  <c r="V493" i="38" a="1"/>
  <c r="V493" i="38" s="1"/>
  <c r="T493" i="38" a="1"/>
  <c r="T493" i="38" s="1"/>
  <c r="Q493" i="38" a="1"/>
  <c r="Q493" i="38" s="1"/>
  <c r="V492" i="38" a="1"/>
  <c r="V492" i="38" s="1"/>
  <c r="T492" i="38" a="1"/>
  <c r="T492" i="38" s="1"/>
  <c r="Q492" i="38" a="1"/>
  <c r="Q492" i="38" s="1"/>
  <c r="V491" i="38" a="1"/>
  <c r="V491" i="38" s="1"/>
  <c r="T491" i="38" a="1"/>
  <c r="T491" i="38" s="1"/>
  <c r="Q491" i="38" a="1"/>
  <c r="Q491" i="38" s="1"/>
  <c r="V490" i="38" a="1"/>
  <c r="V490" i="38" s="1"/>
  <c r="T490" i="38" a="1"/>
  <c r="T490" i="38" s="1"/>
  <c r="Q490" i="38" a="1"/>
  <c r="Q490" i="38" s="1"/>
  <c r="V489" i="38" a="1"/>
  <c r="V489" i="38" s="1"/>
  <c r="T489" i="38" a="1"/>
  <c r="T489" i="38" s="1"/>
  <c r="Q489" i="38" a="1"/>
  <c r="Q489" i="38" s="1"/>
  <c r="V488" i="38" a="1"/>
  <c r="V488" i="38" s="1"/>
  <c r="T488" i="38" a="1"/>
  <c r="T488" i="38" s="1"/>
  <c r="Q488" i="38" a="1"/>
  <c r="Q488" i="38" s="1"/>
  <c r="V487" i="38" a="1"/>
  <c r="V487" i="38" s="1"/>
  <c r="T487" i="38" a="1"/>
  <c r="T487" i="38" s="1"/>
  <c r="Q487" i="38" a="1"/>
  <c r="Q487" i="38" s="1"/>
  <c r="T486" i="38" a="1"/>
  <c r="T486" i="38" s="1"/>
  <c r="R486" i="38"/>
  <c r="Q486" i="38" a="1"/>
  <c r="Q486" i="38" s="1"/>
  <c r="V485" i="38" a="1"/>
  <c r="V485" i="38" s="1"/>
  <c r="T485" i="38" a="1"/>
  <c r="T485" i="38" s="1"/>
  <c r="Q485" i="38" a="1"/>
  <c r="Q485" i="38" s="1"/>
  <c r="T484" i="38" a="1"/>
  <c r="T484" i="38" s="1"/>
  <c r="Q484" i="38" a="1"/>
  <c r="Q484" i="38" s="1"/>
  <c r="T483" i="38" a="1"/>
  <c r="T483" i="38" s="1"/>
  <c r="Q483" i="38" a="1"/>
  <c r="Q483" i="38" s="1"/>
  <c r="T482" i="38" a="1"/>
  <c r="T482" i="38" s="1"/>
  <c r="Q482" i="38" a="1"/>
  <c r="Q482" i="38" s="1"/>
  <c r="T481" i="38" a="1"/>
  <c r="T481" i="38" s="1"/>
  <c r="Q481" i="38" a="1"/>
  <c r="Q481" i="38" s="1"/>
  <c r="H481" i="38"/>
  <c r="G481" i="38"/>
  <c r="F481" i="38"/>
  <c r="U420" i="38"/>
  <c r="T420" i="38" a="1"/>
  <c r="T420" i="38" s="1"/>
  <c r="Q420" i="38"/>
  <c r="U419" i="38"/>
  <c r="T419" i="38" a="1"/>
  <c r="T419" i="38" s="1"/>
  <c r="Q419" i="38"/>
  <c r="U418" i="38"/>
  <c r="T418" i="38" a="1"/>
  <c r="T418" i="38" s="1"/>
  <c r="Q418" i="38"/>
  <c r="U417" i="38"/>
  <c r="T417" i="38" a="1"/>
  <c r="T417" i="38" s="1"/>
  <c r="Q417" i="38"/>
  <c r="U416" i="38"/>
  <c r="T416" i="38" a="1"/>
  <c r="T416" i="38" s="1"/>
  <c r="Q416" i="38"/>
  <c r="U415" i="38"/>
  <c r="T415" i="38" a="1"/>
  <c r="T415" i="38" s="1"/>
  <c r="Q415" i="38"/>
  <c r="U414" i="38"/>
  <c r="T414" i="38" a="1"/>
  <c r="T414" i="38" s="1"/>
  <c r="R414" i="38" s="1"/>
  <c r="Q414" i="38"/>
  <c r="P412" i="38" a="1"/>
  <c r="P412" i="38" s="1"/>
  <c r="V411" i="38" a="1"/>
  <c r="V411" i="38" s="1"/>
  <c r="V410" i="38" a="1"/>
  <c r="V410" i="38" s="1"/>
  <c r="V409" i="38" a="1"/>
  <c r="V409" i="38" s="1"/>
  <c r="V408" i="38" a="1"/>
  <c r="V408" i="38" s="1"/>
  <c r="T407" i="38"/>
  <c r="R407" i="38" s="1"/>
  <c r="V406" i="38" a="1"/>
  <c r="V406" i="38" s="1"/>
  <c r="T406" i="38" a="1"/>
  <c r="T406" i="38" s="1"/>
  <c r="Q406" i="38" a="1"/>
  <c r="Q406" i="38" s="1"/>
  <c r="V405" i="38" a="1"/>
  <c r="V405" i="38" s="1"/>
  <c r="T405" i="38" a="1"/>
  <c r="T405" i="38" s="1"/>
  <c r="Q405" i="38" a="1"/>
  <c r="Q405" i="38" s="1"/>
  <c r="V404" i="38" a="1"/>
  <c r="V404" i="38" s="1"/>
  <c r="T404" i="38" a="1"/>
  <c r="T404" i="38" s="1"/>
  <c r="Q404" i="38" a="1"/>
  <c r="Q404" i="38" s="1"/>
  <c r="V403" i="38" a="1"/>
  <c r="V403" i="38" s="1"/>
  <c r="T403" i="38" a="1"/>
  <c r="T403" i="38" s="1"/>
  <c r="Q403" i="38" a="1"/>
  <c r="Q403" i="38" s="1"/>
  <c r="V402" i="38" a="1"/>
  <c r="V402" i="38" s="1"/>
  <c r="T402" i="38" a="1"/>
  <c r="T402" i="38" s="1"/>
  <c r="Q402" i="38" a="1"/>
  <c r="Q402" i="38" s="1"/>
  <c r="V401" i="38" a="1"/>
  <c r="V401" i="38" s="1"/>
  <c r="T401" i="38" a="1"/>
  <c r="T401" i="38" s="1"/>
  <c r="Q401" i="38" a="1"/>
  <c r="Q401" i="38" s="1"/>
  <c r="V400" i="38" a="1"/>
  <c r="V400" i="38" s="1"/>
  <c r="T400" i="38" a="1"/>
  <c r="T400" i="38" s="1"/>
  <c r="Q400" i="38" a="1"/>
  <c r="Q400" i="38" s="1"/>
  <c r="V399" i="38" a="1"/>
  <c r="V399" i="38" s="1"/>
  <c r="T399" i="38" a="1"/>
  <c r="T399" i="38" s="1"/>
  <c r="Q399" i="38" a="1"/>
  <c r="Q399" i="38" s="1"/>
  <c r="T398" i="38" a="1"/>
  <c r="T398" i="38" s="1"/>
  <c r="Q398" i="38" a="1"/>
  <c r="Q398" i="38" s="1"/>
  <c r="T394" i="38" a="1"/>
  <c r="T394" i="38" s="1"/>
  <c r="Q394" i="38" a="1"/>
  <c r="Q394" i="38" s="1"/>
  <c r="T393" i="38" a="1"/>
  <c r="T393" i="38" s="1"/>
  <c r="Q393" i="38" a="1"/>
  <c r="Q393" i="38" s="1"/>
  <c r="T392" i="38" a="1"/>
  <c r="T392" i="38" s="1"/>
  <c r="Q392" i="38" a="1"/>
  <c r="Q392" i="38" s="1"/>
  <c r="T391" i="38" a="1"/>
  <c r="T391" i="38" s="1"/>
  <c r="Q391" i="38" a="1"/>
  <c r="Q391" i="38" s="1"/>
  <c r="F391" i="38"/>
  <c r="T77" i="38"/>
  <c r="R77" i="38" s="1"/>
  <c r="R66" i="38"/>
  <c r="K23" i="36"/>
  <c r="K24" i="36"/>
  <c r="K25" i="36"/>
  <c r="K26" i="36"/>
  <c r="J23" i="36"/>
  <c r="J24" i="36"/>
  <c r="J25" i="36"/>
  <c r="J26" i="36"/>
  <c r="I23" i="36"/>
  <c r="I24" i="36"/>
  <c r="I25" i="36"/>
  <c r="I26" i="36"/>
  <c r="H23" i="36"/>
  <c r="H24" i="36"/>
  <c r="H25" i="36"/>
  <c r="H26" i="36"/>
  <c r="U3" i="38"/>
  <c r="W687" i="38" l="1" a="1"/>
  <c r="W687" i="38" s="1"/>
  <c r="W688" i="38" a="1"/>
  <c r="W688" i="38" s="1"/>
  <c r="W539" i="38" a="1"/>
  <c r="W539" i="38" s="1"/>
  <c r="W600" i="38" a="1"/>
  <c r="W600" i="38" s="1"/>
  <c r="W689" i="38" a="1"/>
  <c r="W689" i="38" s="1"/>
  <c r="W398" i="38" a="1"/>
  <c r="W398" i="38" s="1"/>
  <c r="P398" i="38" s="1" a="1"/>
  <c r="P398" i="38" s="1"/>
  <c r="W540" i="38" a="1"/>
  <c r="W540" i="38" s="1"/>
  <c r="W506" i="38" a="1"/>
  <c r="W506" i="38" s="1"/>
  <c r="W537" i="38" a="1"/>
  <c r="W537" i="38" s="1"/>
  <c r="W658" i="38" a="1"/>
  <c r="W658" i="38" s="1"/>
  <c r="W660" i="38" a="1"/>
  <c r="W660" i="38" s="1"/>
  <c r="W659" i="38" a="1"/>
  <c r="W659" i="38" s="1"/>
  <c r="W509" i="38" a="1"/>
  <c r="W509" i="38" s="1"/>
  <c r="W570" i="38" a="1"/>
  <c r="W570" i="38" s="1"/>
  <c r="W598" i="38" a="1"/>
  <c r="W598" i="38" s="1"/>
  <c r="W657" i="38" a="1"/>
  <c r="W657" i="38" s="1"/>
  <c r="W419" i="38" a="1"/>
  <c r="W419" i="38" s="1"/>
  <c r="W627" i="38" a="1"/>
  <c r="W627" i="38" s="1"/>
  <c r="W690" i="38" a="1"/>
  <c r="W690" i="38" s="1"/>
  <c r="W630" i="38" a="1"/>
  <c r="W630" i="38" s="1"/>
  <c r="W668" i="38" a="1"/>
  <c r="W668" i="38" s="1"/>
  <c r="P668" i="38" s="1" a="1"/>
  <c r="P668" i="38" s="1"/>
  <c r="W394" i="38" a="1"/>
  <c r="W394" i="38" s="1"/>
  <c r="P394" i="38" s="1" a="1"/>
  <c r="P394" i="38" s="1"/>
  <c r="G2" i="19"/>
  <c r="W187" i="38" s="1" a="1"/>
  <c r="W187" i="38" s="1"/>
  <c r="W662" i="38" a="1"/>
  <c r="W662" i="38" s="1"/>
  <c r="W632" i="38" a="1"/>
  <c r="W632" i="38" s="1"/>
  <c r="W683" i="38" a="1"/>
  <c r="W683" i="38" s="1"/>
  <c r="W635" i="38" a="1"/>
  <c r="W635" i="38" s="1"/>
  <c r="P635" i="38" s="1" a="1"/>
  <c r="P635" i="38" s="1"/>
  <c r="W670" i="38" a="1"/>
  <c r="W670" i="38" s="1"/>
  <c r="P670" i="38" s="1" a="1"/>
  <c r="P670" i="38" s="1"/>
  <c r="W585" i="38" a="1"/>
  <c r="W585" i="38" s="1"/>
  <c r="P585" i="38" s="1" a="1"/>
  <c r="P585" i="38" s="1"/>
  <c r="W671" i="38" a="1"/>
  <c r="W671" i="38" s="1"/>
  <c r="P671" i="38" s="1" a="1"/>
  <c r="P671" i="38" s="1"/>
  <c r="W672" i="38" a="1"/>
  <c r="W672" i="38" s="1"/>
  <c r="P672" i="38" s="1" a="1"/>
  <c r="P672" i="38" s="1"/>
  <c r="W581" i="38" a="1"/>
  <c r="W581" i="38" s="1"/>
  <c r="P581" i="38" s="1" a="1"/>
  <c r="P581" i="38" s="1"/>
  <c r="W675" i="38" a="1"/>
  <c r="W675" i="38" s="1"/>
  <c r="P675" i="38" s="1" a="1"/>
  <c r="P675" i="38" s="1"/>
  <c r="W667" i="38" a="1"/>
  <c r="W667" i="38" s="1"/>
  <c r="P667" i="38" s="1" a="1"/>
  <c r="P667" i="38" s="1"/>
  <c r="W631" i="38" a="1"/>
  <c r="W631" i="38" s="1"/>
  <c r="W646" i="38" a="1"/>
  <c r="W646" i="38" s="1"/>
  <c r="P646" i="38" s="1" a="1"/>
  <c r="P646" i="38" s="1"/>
  <c r="W661" i="38" a="1"/>
  <c r="W661" i="38" s="1"/>
  <c r="W663" i="38" a="1"/>
  <c r="W663" i="38" s="1"/>
  <c r="W664" i="38" a="1"/>
  <c r="W664" i="38" s="1"/>
  <c r="W596" i="38" a="1"/>
  <c r="W596" i="38" s="1"/>
  <c r="W607" i="38" a="1"/>
  <c r="W607" i="38" s="1"/>
  <c r="P607" i="38" s="1" a="1"/>
  <c r="P607" i="38" s="1"/>
  <c r="W669" i="38" a="1"/>
  <c r="W669" i="38" s="1"/>
  <c r="P669" i="38" s="1" a="1"/>
  <c r="P669" i="38" s="1"/>
  <c r="W638" i="38" a="1"/>
  <c r="W638" i="38" s="1"/>
  <c r="P638" i="38" s="1" a="1"/>
  <c r="P638" i="38" s="1"/>
  <c r="W583" i="38" a="1"/>
  <c r="W583" i="38" s="1"/>
  <c r="P583" i="38" s="1" a="1"/>
  <c r="P583" i="38" s="1"/>
  <c r="W653" i="38" a="1"/>
  <c r="W653" i="38" s="1"/>
  <c r="W640" i="38" a="1"/>
  <c r="W640" i="38" s="1"/>
  <c r="P640" i="38" s="1" a="1"/>
  <c r="P640" i="38" s="1"/>
  <c r="W685" i="38" a="1"/>
  <c r="W685" i="38" s="1"/>
  <c r="W517" i="38" a="1"/>
  <c r="W517" i="38" s="1"/>
  <c r="P517" i="38" s="1" a="1"/>
  <c r="P517" i="38" s="1"/>
  <c r="W673" i="38" a="1"/>
  <c r="W673" i="38" s="1"/>
  <c r="P673" i="38" s="1" a="1"/>
  <c r="P673" i="38" s="1"/>
  <c r="W643" i="38" a="1"/>
  <c r="W643" i="38" s="1"/>
  <c r="P643" i="38" s="1" a="1"/>
  <c r="P643" i="38" s="1"/>
  <c r="W577" i="38" a="1"/>
  <c r="W577" i="38" s="1"/>
  <c r="P577" i="38" s="1" a="1"/>
  <c r="P577" i="38" s="1"/>
  <c r="W633" i="38" a="1"/>
  <c r="W633" i="38" s="1"/>
  <c r="W645" i="38" a="1"/>
  <c r="W645" i="38" s="1"/>
  <c r="P645" i="38" s="1" a="1"/>
  <c r="P645" i="38" s="1"/>
  <c r="W676" i="38" a="1"/>
  <c r="W676" i="38" s="1"/>
  <c r="P676" i="38" s="1" a="1"/>
  <c r="P676" i="38" s="1"/>
  <c r="W579" i="38" a="1"/>
  <c r="W579" i="38" s="1"/>
  <c r="P579" i="38" s="1" a="1"/>
  <c r="P579" i="38" s="1"/>
  <c r="W678" i="38" a="1"/>
  <c r="W678" i="38" s="1"/>
  <c r="P678" i="38" s="1" a="1"/>
  <c r="P678" i="38" s="1"/>
  <c r="W679" i="38" a="1"/>
  <c r="W679" i="38" s="1"/>
  <c r="P679" i="38" s="1" a="1"/>
  <c r="P679" i="38" s="1"/>
  <c r="W680" i="38" a="1"/>
  <c r="W680" i="38" s="1"/>
  <c r="P680" i="38" s="1" a="1"/>
  <c r="P680" i="38" s="1"/>
  <c r="W681" i="38" a="1"/>
  <c r="W681" i="38" s="1"/>
  <c r="P681" i="38" s="1" a="1"/>
  <c r="P681" i="38" s="1"/>
  <c r="W684" i="38" a="1"/>
  <c r="W684" i="38" s="1"/>
  <c r="R684" i="38"/>
  <c r="W686" i="38" a="1"/>
  <c r="W686" i="38" s="1"/>
  <c r="R686" i="38"/>
  <c r="W674" i="38" a="1"/>
  <c r="W674" i="38" s="1"/>
  <c r="P674" i="38" s="1" a="1"/>
  <c r="P674" i="38" s="1"/>
  <c r="W665" i="38" a="1"/>
  <c r="W665" i="38" s="1"/>
  <c r="P665" i="38" s="1" a="1"/>
  <c r="P665" i="38" s="1"/>
  <c r="W642" i="38" a="1"/>
  <c r="W642" i="38" s="1"/>
  <c r="P642" i="38" s="1" a="1"/>
  <c r="P642" i="38" s="1"/>
  <c r="W625" i="38" a="1"/>
  <c r="W625" i="38" s="1"/>
  <c r="W644" i="38" a="1"/>
  <c r="W644" i="38" s="1"/>
  <c r="P644" i="38" s="1" a="1"/>
  <c r="P644" i="38" s="1"/>
  <c r="W615" i="38" a="1"/>
  <c r="W615" i="38" s="1"/>
  <c r="P615" i="38" s="1" a="1"/>
  <c r="P615" i="38" s="1"/>
  <c r="W637" i="38" a="1"/>
  <c r="W637" i="38" s="1"/>
  <c r="P637" i="38" s="1" a="1"/>
  <c r="P637" i="38" s="1"/>
  <c r="W616" i="38" a="1"/>
  <c r="W616" i="38" s="1"/>
  <c r="P616" i="38" s="1" a="1"/>
  <c r="P616" i="38" s="1"/>
  <c r="W639" i="38" a="1"/>
  <c r="W639" i="38" s="1"/>
  <c r="P639" i="38" s="1" a="1"/>
  <c r="P639" i="38" s="1"/>
  <c r="W634" i="38" a="1"/>
  <c r="W634" i="38" s="1"/>
  <c r="W599" i="38" a="1"/>
  <c r="W599" i="38" s="1"/>
  <c r="W609" i="38" a="1"/>
  <c r="W609" i="38" s="1"/>
  <c r="P609" i="38" s="1" a="1"/>
  <c r="P609" i="38" s="1"/>
  <c r="W641" i="38" a="1"/>
  <c r="W641" i="38" s="1"/>
  <c r="P641" i="38" s="1" a="1"/>
  <c r="P641" i="38" s="1"/>
  <c r="W654" i="38" a="1"/>
  <c r="W654" i="38" s="1"/>
  <c r="W655" i="38" a="1"/>
  <c r="W655" i="38" s="1"/>
  <c r="W649" i="38" a="1"/>
  <c r="W649" i="38" s="1"/>
  <c r="P649" i="38" s="1" a="1"/>
  <c r="P649" i="38" s="1"/>
  <c r="W650" i="38" a="1"/>
  <c r="W650" i="38" s="1"/>
  <c r="P650" i="38" s="1" a="1"/>
  <c r="P650" i="38" s="1"/>
  <c r="W651" i="38" a="1"/>
  <c r="W651" i="38" s="1"/>
  <c r="P651" i="38" s="1" a="1"/>
  <c r="P651" i="38" s="1"/>
  <c r="W601" i="38" a="1"/>
  <c r="W601" i="38" s="1"/>
  <c r="W656" i="38" a="1"/>
  <c r="W656" i="38" s="1"/>
  <c r="R656" i="38"/>
  <c r="W648" i="38" a="1"/>
  <c r="W648" i="38" s="1"/>
  <c r="P648" i="38" s="1" a="1"/>
  <c r="P648" i="38" s="1"/>
  <c r="W603" i="38" a="1"/>
  <c r="W603" i="38" s="1"/>
  <c r="W626" i="38" a="1"/>
  <c r="W626" i="38" s="1"/>
  <c r="W514" i="38" a="1"/>
  <c r="W514" i="38" s="1"/>
  <c r="W604" i="38" a="1"/>
  <c r="W604" i="38" s="1"/>
  <c r="W571" i="38" a="1"/>
  <c r="W571" i="38" s="1"/>
  <c r="W614" i="38" a="1"/>
  <c r="W614" i="38" s="1"/>
  <c r="P614" i="38" s="1" a="1"/>
  <c r="P614" i="38" s="1"/>
  <c r="W564" i="38" a="1"/>
  <c r="W564" i="38" s="1"/>
  <c r="W628" i="38" a="1"/>
  <c r="W628" i="38" s="1"/>
  <c r="W608" i="38" a="1"/>
  <c r="W608" i="38" s="1"/>
  <c r="P608" i="38" s="1" a="1"/>
  <c r="P608" i="38" s="1"/>
  <c r="W623" i="38" a="1"/>
  <c r="W623" i="38" s="1"/>
  <c r="W569" i="38" a="1"/>
  <c r="W569" i="38" s="1"/>
  <c r="W624" i="38" a="1"/>
  <c r="W624" i="38" s="1"/>
  <c r="W602" i="38" a="1"/>
  <c r="W602" i="38" s="1"/>
  <c r="W612" i="38" a="1"/>
  <c r="W612" i="38" s="1"/>
  <c r="P612" i="38" s="1" a="1"/>
  <c r="P612" i="38" s="1"/>
  <c r="W621" i="38" a="1"/>
  <c r="W621" i="38" s="1"/>
  <c r="P621" i="38" s="1" a="1"/>
  <c r="P621" i="38" s="1"/>
  <c r="W620" i="38" a="1"/>
  <c r="W620" i="38" s="1"/>
  <c r="P620" i="38" s="1" a="1"/>
  <c r="P620" i="38" s="1"/>
  <c r="W610" i="38" a="1"/>
  <c r="W610" i="38" s="1"/>
  <c r="P610" i="38" s="1" a="1"/>
  <c r="P610" i="38" s="1"/>
  <c r="W611" i="38" a="1"/>
  <c r="W611" i="38" s="1"/>
  <c r="P611" i="38" s="1" a="1"/>
  <c r="P611" i="38" s="1"/>
  <c r="W613" i="38" a="1"/>
  <c r="W613" i="38" s="1"/>
  <c r="P613" i="38" s="1" a="1"/>
  <c r="P613" i="38" s="1"/>
  <c r="W619" i="38" a="1"/>
  <c r="W619" i="38" s="1"/>
  <c r="P619" i="38" s="1" a="1"/>
  <c r="P619" i="38" s="1"/>
  <c r="R595" i="38"/>
  <c r="W595" i="38" a="1"/>
  <c r="W595" i="38" s="1"/>
  <c r="W605" i="38" a="1"/>
  <c r="W605" i="38" s="1"/>
  <c r="P605" i="38" s="1" a="1"/>
  <c r="P605" i="38" s="1"/>
  <c r="W618" i="38" a="1"/>
  <c r="W618" i="38" s="1"/>
  <c r="P618" i="38" s="1" a="1"/>
  <c r="P618" i="38" s="1"/>
  <c r="W582" i="38" a="1"/>
  <c r="W582" i="38" s="1"/>
  <c r="P582" i="38" s="1" a="1"/>
  <c r="P582" i="38" s="1"/>
  <c r="W551" i="38" a="1"/>
  <c r="W551" i="38" s="1"/>
  <c r="P551" i="38" s="1" a="1"/>
  <c r="P551" i="38" s="1"/>
  <c r="W573" i="38" a="1"/>
  <c r="W573" i="38" s="1"/>
  <c r="W584" i="38" a="1"/>
  <c r="W584" i="38" s="1"/>
  <c r="P584" i="38" s="1" a="1"/>
  <c r="P584" i="38" s="1"/>
  <c r="W597" i="38" a="1"/>
  <c r="W597" i="38" s="1"/>
  <c r="W574" i="38" a="1"/>
  <c r="W574" i="38" s="1"/>
  <c r="W542" i="38" a="1"/>
  <c r="W542" i="38" s="1"/>
  <c r="W520" i="38" a="1"/>
  <c r="W520" i="38" s="1"/>
  <c r="P520" i="38" s="1" a="1"/>
  <c r="P520" i="38" s="1"/>
  <c r="W586" i="38" a="1"/>
  <c r="W586" i="38" s="1"/>
  <c r="P586" i="38" s="1" a="1"/>
  <c r="P586" i="38" s="1"/>
  <c r="W554" i="38" a="1"/>
  <c r="W554" i="38" s="1"/>
  <c r="P554" i="38" s="1" a="1"/>
  <c r="P554" i="38" s="1"/>
  <c r="W522" i="38" a="1"/>
  <c r="W522" i="38" s="1"/>
  <c r="P522" i="38" s="1" a="1"/>
  <c r="P522" i="38" s="1"/>
  <c r="W545" i="38" a="1"/>
  <c r="W545" i="38" s="1"/>
  <c r="P545" i="38" s="1" a="1"/>
  <c r="P545" i="38" s="1"/>
  <c r="W578" i="38" a="1"/>
  <c r="W578" i="38" s="1"/>
  <c r="P578" i="38" s="1" a="1"/>
  <c r="P578" i="38" s="1"/>
  <c r="W547" i="38" a="1"/>
  <c r="W547" i="38" s="1"/>
  <c r="P547" i="38" s="1" a="1"/>
  <c r="P547" i="38" s="1"/>
  <c r="W580" i="38" a="1"/>
  <c r="W580" i="38" s="1"/>
  <c r="P580" i="38" s="1" a="1"/>
  <c r="P580" i="38" s="1"/>
  <c r="W549" i="38" a="1"/>
  <c r="W549" i="38" s="1"/>
  <c r="P549" i="38" s="1" a="1"/>
  <c r="P549" i="38" s="1"/>
  <c r="W588" i="38" a="1"/>
  <c r="W588" i="38" s="1"/>
  <c r="P588" i="38" s="1" a="1"/>
  <c r="P588" i="38" s="1"/>
  <c r="W591" i="38" a="1"/>
  <c r="W591" i="38" s="1"/>
  <c r="P591" i="38" s="1" a="1"/>
  <c r="P591" i="38" s="1"/>
  <c r="W589" i="38" a="1"/>
  <c r="W589" i="38" s="1"/>
  <c r="P589" i="38" s="1" a="1"/>
  <c r="P589" i="38" s="1"/>
  <c r="W593" i="38" a="1"/>
  <c r="W593" i="38" s="1"/>
  <c r="R593" i="38"/>
  <c r="W594" i="38" a="1"/>
  <c r="W594" i="38" s="1"/>
  <c r="R594" i="38"/>
  <c r="W572" i="38" a="1"/>
  <c r="W572" i="38" s="1"/>
  <c r="W541" i="38" a="1"/>
  <c r="W541" i="38" s="1"/>
  <c r="W575" i="38" a="1"/>
  <c r="W575" i="38" s="1"/>
  <c r="P575" i="38" s="1" a="1"/>
  <c r="P575" i="38" s="1"/>
  <c r="W590" i="38" a="1"/>
  <c r="W590" i="38" s="1"/>
  <c r="P590" i="38" s="1" a="1"/>
  <c r="P590" i="38" s="1"/>
  <c r="W552" i="38" a="1"/>
  <c r="W552" i="38" s="1"/>
  <c r="P552" i="38" s="1" a="1"/>
  <c r="P552" i="38" s="1"/>
  <c r="W521" i="38" a="1"/>
  <c r="W521" i="38" s="1"/>
  <c r="P521" i="38" s="1" a="1"/>
  <c r="P521" i="38" s="1"/>
  <c r="W543" i="38" a="1"/>
  <c r="W543" i="38" s="1"/>
  <c r="W553" i="38" a="1"/>
  <c r="W553" i="38" s="1"/>
  <c r="P553" i="38" s="1" a="1"/>
  <c r="P553" i="38" s="1"/>
  <c r="W535" i="38" a="1"/>
  <c r="W535" i="38" s="1"/>
  <c r="W503" i="38" a="1"/>
  <c r="W503" i="38" s="1"/>
  <c r="W544" i="38" a="1"/>
  <c r="W544" i="38" s="1"/>
  <c r="W555" i="38" a="1"/>
  <c r="W555" i="38" s="1"/>
  <c r="P555" i="38" s="1" a="1"/>
  <c r="P555" i="38" s="1"/>
  <c r="W568" i="38" a="1"/>
  <c r="W568" i="38" s="1"/>
  <c r="W491" i="38" a="1"/>
  <c r="W491" i="38" s="1"/>
  <c r="P491" i="38" s="1" a="1"/>
  <c r="P491" i="38" s="1"/>
  <c r="W524" i="38" a="1"/>
  <c r="W524" i="38" s="1"/>
  <c r="P524" i="38" s="1" a="1"/>
  <c r="P524" i="38" s="1"/>
  <c r="W556" i="38" a="1"/>
  <c r="W556" i="38" s="1"/>
  <c r="P556" i="38" s="1" a="1"/>
  <c r="P556" i="38" s="1"/>
  <c r="W493" i="38" a="1"/>
  <c r="W493" i="38" s="1"/>
  <c r="P493" i="38" s="1" a="1"/>
  <c r="P493" i="38" s="1"/>
  <c r="W548" i="38" a="1"/>
  <c r="W548" i="38" s="1"/>
  <c r="P548" i="38" s="1" a="1"/>
  <c r="P548" i="38" s="1"/>
  <c r="W550" i="38" a="1"/>
  <c r="W550" i="38" s="1"/>
  <c r="P550" i="38" s="1" a="1"/>
  <c r="P550" i="38" s="1"/>
  <c r="W563" i="38" a="1"/>
  <c r="W563" i="38" s="1"/>
  <c r="W519" i="38" a="1"/>
  <c r="W519" i="38" s="1"/>
  <c r="P519" i="38" s="1" a="1"/>
  <c r="P519" i="38" s="1"/>
  <c r="W558" i="38" a="1"/>
  <c r="W558" i="38" s="1"/>
  <c r="P558" i="38" s="1" a="1"/>
  <c r="P558" i="38" s="1"/>
  <c r="W559" i="38" a="1"/>
  <c r="W559" i="38" s="1"/>
  <c r="P559" i="38" s="1" a="1"/>
  <c r="P559" i="38" s="1"/>
  <c r="W560" i="38" a="1"/>
  <c r="W560" i="38" s="1"/>
  <c r="P560" i="38" s="1" a="1"/>
  <c r="P560" i="38" s="1"/>
  <c r="W561" i="38" a="1"/>
  <c r="W561" i="38" s="1"/>
  <c r="P561" i="38" s="1" a="1"/>
  <c r="P561" i="38" s="1"/>
  <c r="W565" i="38" a="1"/>
  <c r="W565" i="38" s="1"/>
  <c r="R565" i="38"/>
  <c r="W566" i="38" a="1"/>
  <c r="W566" i="38" s="1"/>
  <c r="R566" i="38"/>
  <c r="W511" i="38" a="1"/>
  <c r="W511" i="38" s="1"/>
  <c r="W513" i="38" a="1"/>
  <c r="W513" i="38" s="1"/>
  <c r="W492" i="38" a="1"/>
  <c r="W492" i="38" s="1"/>
  <c r="P492" i="38" s="1" a="1"/>
  <c r="P492" i="38" s="1"/>
  <c r="W523" i="38" a="1"/>
  <c r="W523" i="38" s="1"/>
  <c r="P523" i="38" s="1" a="1"/>
  <c r="P523" i="38" s="1"/>
  <c r="W515" i="38" a="1"/>
  <c r="W515" i="38" s="1"/>
  <c r="P515" i="38" s="1" a="1"/>
  <c r="P515" i="38" s="1"/>
  <c r="W525" i="38" a="1"/>
  <c r="W525" i="38" s="1"/>
  <c r="P525" i="38" s="1" a="1"/>
  <c r="P525" i="38" s="1"/>
  <c r="W538" i="38" a="1"/>
  <c r="W538" i="38" s="1"/>
  <c r="W508" i="38" a="1"/>
  <c r="W508" i="38" s="1"/>
  <c r="W526" i="38" a="1"/>
  <c r="W526" i="38" s="1"/>
  <c r="P526" i="38" s="1" a="1"/>
  <c r="P526" i="38" s="1"/>
  <c r="W533" i="38" a="1"/>
  <c r="W533" i="38" s="1"/>
  <c r="W534" i="38" a="1"/>
  <c r="W534" i="38" s="1"/>
  <c r="W490" i="38" a="1"/>
  <c r="W490" i="38" s="1"/>
  <c r="P490" i="38" s="1" a="1"/>
  <c r="P490" i="38" s="1"/>
  <c r="W531" i="38" a="1"/>
  <c r="W531" i="38" s="1"/>
  <c r="P531" i="38" s="1" a="1"/>
  <c r="P531" i="38" s="1"/>
  <c r="W530" i="38" a="1"/>
  <c r="W530" i="38" s="1"/>
  <c r="P530" i="38" s="1" a="1"/>
  <c r="P530" i="38" s="1"/>
  <c r="W512" i="38" a="1"/>
  <c r="W512" i="38" s="1"/>
  <c r="W536" i="38" a="1"/>
  <c r="W536" i="38" s="1"/>
  <c r="R536" i="38"/>
  <c r="W529" i="38" a="1"/>
  <c r="W529" i="38" s="1"/>
  <c r="P529" i="38" s="1" a="1"/>
  <c r="P529" i="38" s="1"/>
  <c r="W518" i="38" a="1"/>
  <c r="W518" i="38" s="1"/>
  <c r="P518" i="38" s="1" a="1"/>
  <c r="P518" i="38" s="1"/>
  <c r="W528" i="38" a="1"/>
  <c r="W528" i="38" s="1"/>
  <c r="P528" i="38" s="1" a="1"/>
  <c r="P528" i="38" s="1"/>
  <c r="W483" i="38" a="1"/>
  <c r="W483" i="38" s="1"/>
  <c r="R506" i="38"/>
  <c r="W484" i="38" a="1"/>
  <c r="W484" i="38" s="1"/>
  <c r="W494" i="38" a="1"/>
  <c r="W494" i="38" s="1"/>
  <c r="P494" i="38" s="1" a="1"/>
  <c r="P494" i="38" s="1"/>
  <c r="W495" i="38" a="1"/>
  <c r="W495" i="38" s="1"/>
  <c r="P495" i="38" s="1" a="1"/>
  <c r="P495" i="38" s="1"/>
  <c r="W507" i="38" a="1"/>
  <c r="W507" i="38" s="1"/>
  <c r="W487" i="38" a="1"/>
  <c r="W487" i="38" s="1"/>
  <c r="P487" i="38" s="1" a="1"/>
  <c r="P487" i="38" s="1"/>
  <c r="W496" i="38" a="1"/>
  <c r="W496" i="38" s="1"/>
  <c r="P496" i="38" s="1" a="1"/>
  <c r="P496" i="38" s="1"/>
  <c r="W510" i="38" a="1"/>
  <c r="W510" i="38" s="1"/>
  <c r="W481" i="38" a="1"/>
  <c r="W481" i="38" s="1"/>
  <c r="W504" i="38" a="1"/>
  <c r="W504" i="38" s="1"/>
  <c r="W482" i="38" a="1"/>
  <c r="W482" i="38" s="1"/>
  <c r="W501" i="38" a="1"/>
  <c r="W501" i="38" s="1"/>
  <c r="P501" i="38" s="1" a="1"/>
  <c r="P501" i="38" s="1"/>
  <c r="W499" i="38" a="1"/>
  <c r="W499" i="38" s="1"/>
  <c r="P499" i="38" s="1" a="1"/>
  <c r="P499" i="38" s="1"/>
  <c r="W500" i="38" a="1"/>
  <c r="W500" i="38" s="1"/>
  <c r="P500" i="38" s="1" a="1"/>
  <c r="P500" i="38" s="1"/>
  <c r="W505" i="38" a="1"/>
  <c r="W505" i="38" s="1"/>
  <c r="R505" i="38"/>
  <c r="W485" i="38" a="1"/>
  <c r="W485" i="38" s="1"/>
  <c r="P485" i="38" s="1" a="1"/>
  <c r="P485" i="38" s="1"/>
  <c r="W488" i="38" a="1"/>
  <c r="W488" i="38" s="1"/>
  <c r="P488" i="38" s="1" a="1"/>
  <c r="P488" i="38" s="1"/>
  <c r="W489" i="38" a="1"/>
  <c r="W489" i="38" s="1"/>
  <c r="P489" i="38" s="1" a="1"/>
  <c r="P489" i="38" s="1"/>
  <c r="W498" i="38" a="1"/>
  <c r="W498" i="38" s="1"/>
  <c r="P498" i="38" s="1" a="1"/>
  <c r="P498" i="38" s="1"/>
  <c r="W400" i="38" a="1"/>
  <c r="W400" i="38" s="1"/>
  <c r="P400" i="38" s="1" a="1"/>
  <c r="P400" i="38" s="1"/>
  <c r="W414" i="38" a="1"/>
  <c r="W414" i="38" s="1"/>
  <c r="W391" i="38" a="1"/>
  <c r="W391" i="38" s="1"/>
  <c r="W392" i="38" a="1"/>
  <c r="W392" i="38" s="1"/>
  <c r="W393" i="38" a="1"/>
  <c r="W393" i="38" s="1"/>
  <c r="P395" i="38" a="1"/>
  <c r="P395" i="38" s="1"/>
  <c r="W405" i="38" a="1"/>
  <c r="W405" i="38" s="1"/>
  <c r="P405" i="38" s="1" a="1"/>
  <c r="P405" i="38" s="1"/>
  <c r="W406" i="38" a="1"/>
  <c r="W406" i="38" s="1"/>
  <c r="P406" i="38" s="1" a="1"/>
  <c r="P406" i="38" s="1"/>
  <c r="W402" i="38" a="1"/>
  <c r="W402" i="38" s="1"/>
  <c r="P402" i="38" s="1" a="1"/>
  <c r="P402" i="38" s="1"/>
  <c r="W417" i="38" a="1"/>
  <c r="W417" i="38" s="1"/>
  <c r="W404" i="38" a="1"/>
  <c r="W404" i="38" s="1"/>
  <c r="P404" i="38" s="1" a="1"/>
  <c r="P404" i="38" s="1"/>
  <c r="W418" i="38" a="1"/>
  <c r="W418" i="38" s="1"/>
  <c r="W420" i="38" a="1"/>
  <c r="W420" i="38" s="1"/>
  <c r="W399" i="38" a="1"/>
  <c r="W399" i="38" s="1"/>
  <c r="P399" i="38" s="1" a="1"/>
  <c r="P399" i="38" s="1"/>
  <c r="W401" i="38" a="1"/>
  <c r="W401" i="38" s="1"/>
  <c r="P401" i="38" s="1" a="1"/>
  <c r="P401" i="38" s="1"/>
  <c r="W408" i="38" a="1"/>
  <c r="W408" i="38" s="1"/>
  <c r="P408" i="38" s="1" a="1"/>
  <c r="P408" i="38" s="1"/>
  <c r="W409" i="38" a="1"/>
  <c r="W409" i="38" s="1"/>
  <c r="P409" i="38" s="1" a="1"/>
  <c r="P409" i="38" s="1"/>
  <c r="W410" i="38" a="1"/>
  <c r="W410" i="38" s="1"/>
  <c r="P410" i="38" s="1" a="1"/>
  <c r="P410" i="38" s="1"/>
  <c r="W411" i="38" a="1"/>
  <c r="W411" i="38" s="1"/>
  <c r="P411" i="38" s="1" a="1"/>
  <c r="P411" i="38" s="1"/>
  <c r="W415" i="38" a="1"/>
  <c r="W415" i="38" s="1"/>
  <c r="R415" i="38"/>
  <c r="W416" i="38" a="1"/>
  <c r="W416" i="38" s="1"/>
  <c r="R416" i="38"/>
  <c r="W403" i="38" a="1"/>
  <c r="W403" i="38" s="1"/>
  <c r="P403" i="38" s="1" a="1"/>
  <c r="P403" i="38" s="1"/>
  <c r="W397" i="38" l="1" a="1"/>
  <c r="W397" i="38" s="1"/>
  <c r="T62" i="38" a="1"/>
  <c r="T62" i="38" s="1"/>
  <c r="T63" i="38" a="1"/>
  <c r="T63" i="38" s="1"/>
  <c r="T64" i="38" a="1"/>
  <c r="T64" i="38" s="1"/>
  <c r="T65" i="38" a="1"/>
  <c r="T65" i="38" s="1"/>
  <c r="T66" i="38" a="1"/>
  <c r="T66" i="38" s="1"/>
  <c r="T67" i="38" a="1"/>
  <c r="T67" i="38" s="1"/>
  <c r="T68" i="38" a="1"/>
  <c r="T68" i="38" s="1"/>
  <c r="T69" i="38" a="1"/>
  <c r="T69" i="38" s="1"/>
  <c r="T70" i="38" a="1"/>
  <c r="T70" i="38" s="1"/>
  <c r="T71" i="38" a="1"/>
  <c r="T71" i="38" s="1"/>
  <c r="T72" i="38" a="1"/>
  <c r="T72" i="38" s="1"/>
  <c r="T73" i="38" a="1"/>
  <c r="T73" i="38" s="1"/>
  <c r="T74" i="38" a="1"/>
  <c r="T74" i="38" s="1"/>
  <c r="T75" i="38" a="1"/>
  <c r="T75" i="38" s="1"/>
  <c r="T76" i="38" a="1"/>
  <c r="T76" i="38" s="1"/>
  <c r="T61" i="38" a="1"/>
  <c r="T61" i="38" s="1"/>
  <c r="Q65" i="38" a="1"/>
  <c r="Q65" i="38" s="1"/>
  <c r="Q66" i="38" a="1"/>
  <c r="Q66" i="38" s="1"/>
  <c r="Q67" i="38" a="1"/>
  <c r="Q67" i="38" s="1"/>
  <c r="Q68" i="38" a="1"/>
  <c r="Q68" i="38" s="1"/>
  <c r="Q69" i="38" a="1"/>
  <c r="Q69" i="38" s="1"/>
  <c r="Q70" i="38" a="1"/>
  <c r="Q70" i="38" s="1"/>
  <c r="Q71" i="38" a="1"/>
  <c r="Q71" i="38" s="1"/>
  <c r="Q72" i="38" a="1"/>
  <c r="Q72" i="38" s="1"/>
  <c r="Q73" i="38" a="1"/>
  <c r="Q73" i="38" s="1"/>
  <c r="Q74" i="38" a="1"/>
  <c r="Q74" i="38" s="1"/>
  <c r="Q75" i="38" a="1"/>
  <c r="Q75" i="38" s="1"/>
  <c r="Q76" i="38" a="1"/>
  <c r="Q76" i="38" s="1"/>
  <c r="W76" i="38" s="1" a="1"/>
  <c r="W76" i="38" s="1"/>
  <c r="Q62" i="38" a="1"/>
  <c r="Q62" i="38" s="1"/>
  <c r="Q63" i="38" a="1"/>
  <c r="Q63" i="38" s="1"/>
  <c r="Q64" i="38" a="1"/>
  <c r="Q64" i="38" s="1"/>
  <c r="Q61" i="38" a="1"/>
  <c r="Q61" i="38" s="1"/>
  <c r="Y28" i="36"/>
  <c r="Y27" i="36"/>
  <c r="Y26" i="36"/>
  <c r="Y25" i="36"/>
  <c r="Y24" i="36"/>
  <c r="Y23" i="36"/>
  <c r="AC38" i="36"/>
  <c r="AC39" i="36"/>
  <c r="AC40" i="36"/>
  <c r="AC41" i="36"/>
  <c r="AC42" i="36"/>
  <c r="AC43" i="36"/>
  <c r="AC44" i="36"/>
  <c r="W119" i="38" s="1" a="1"/>
  <c r="W119" i="38" s="1"/>
  <c r="AC45" i="36"/>
  <c r="AC46" i="36"/>
  <c r="AC47" i="36"/>
  <c r="AC48" i="36"/>
  <c r="W63" i="38" l="1" a="1"/>
  <c r="W63" i="38" s="1"/>
  <c r="W64" i="38" a="1"/>
  <c r="W64" i="38" s="1"/>
  <c r="W70" i="38" a="1"/>
  <c r="W70" i="38" s="1"/>
  <c r="W75" i="38" a="1"/>
  <c r="W75" i="38" s="1"/>
  <c r="W74" i="38" a="1"/>
  <c r="W74" i="38" s="1"/>
  <c r="W69" i="38" a="1"/>
  <c r="W69" i="38" s="1"/>
  <c r="W73" i="38" a="1"/>
  <c r="W73" i="38" s="1"/>
  <c r="W71" i="38" a="1"/>
  <c r="W71" i="38" s="1"/>
  <c r="W68" i="38" a="1"/>
  <c r="W68" i="38" s="1"/>
  <c r="W67" i="38" a="1"/>
  <c r="W67" i="38" s="1"/>
  <c r="W65" i="38" a="1"/>
  <c r="W65" i="38" s="1"/>
  <c r="W72" i="38" a="1"/>
  <c r="W72" i="38" s="1"/>
  <c r="AC36" i="36"/>
  <c r="AC37" i="36"/>
  <c r="AC31" i="36" l="1"/>
  <c r="AC32" i="36"/>
  <c r="AC33" i="36"/>
  <c r="AC34" i="36"/>
  <c r="AC35" i="36"/>
  <c r="AC23" i="36"/>
  <c r="AC24" i="36"/>
  <c r="AC25" i="36"/>
  <c r="AC26" i="36"/>
  <c r="AC27" i="36"/>
  <c r="AC28" i="36"/>
  <c r="AC29" i="36"/>
  <c r="AC30" i="36"/>
  <c r="W120" i="38" l="1" a="1"/>
  <c r="W120" i="38" s="1"/>
  <c r="S22" i="36" a="1"/>
  <c r="S22" i="36" s="1"/>
  <c r="O22" i="36" a="1"/>
  <c r="O22" i="36" s="1"/>
  <c r="G61" i="38"/>
  <c r="H61" i="38"/>
  <c r="F61" i="38"/>
  <c r="W19" i="38" l="1" a="1"/>
  <c r="W19" i="38" s="1"/>
  <c r="P19" i="38" s="1"/>
  <c r="W27" i="38" a="1"/>
  <c r="W27" i="38" s="1"/>
  <c r="P27" i="38" s="1"/>
  <c r="W17" i="38" a="1"/>
  <c r="W17" i="38" s="1"/>
  <c r="P17" i="38" s="1"/>
  <c r="W21" i="38" a="1"/>
  <c r="W21" i="38" s="1"/>
  <c r="P21" i="38" s="1"/>
  <c r="W28" i="38" a="1"/>
  <c r="W28" i="38" s="1"/>
  <c r="P28" i="38" s="1"/>
  <c r="P5" i="38"/>
  <c r="W16" i="38" a="1"/>
  <c r="W16" i="38" s="1"/>
  <c r="P16" i="38" s="1"/>
  <c r="W23" i="38" a="1"/>
  <c r="W23" i="38" s="1"/>
  <c r="P23" i="38" s="1"/>
  <c r="P15" i="38"/>
  <c r="W18" i="38" a="1"/>
  <c r="W18" i="38" s="1"/>
  <c r="P18" i="38" s="1"/>
  <c r="W20" i="38" a="1"/>
  <c r="W20" i="38" s="1"/>
  <c r="P20" i="38" s="1"/>
  <c r="W22" i="38" a="1"/>
  <c r="W22" i="38" s="1"/>
  <c r="P22" i="38" s="1"/>
  <c r="W24" i="38" a="1"/>
  <c r="W24" i="38" s="1"/>
  <c r="P24" i="38" s="1"/>
  <c r="W25" i="38" a="1"/>
  <c r="W25" i="38" s="1"/>
  <c r="P25" i="38" s="1"/>
  <c r="W26" i="38" a="1"/>
  <c r="W26" i="38" s="1"/>
  <c r="P26" i="38" s="1"/>
  <c r="W29" i="38" a="1"/>
  <c r="W29" i="38" s="1"/>
  <c r="P29" i="38" s="1"/>
  <c r="W30" i="38" a="1"/>
  <c r="W30" i="38" s="1"/>
  <c r="P30" i="38" s="1"/>
  <c r="D2" i="19" a="1"/>
  <c r="D2" i="19" s="1"/>
  <c r="B2" i="19" a="1"/>
  <c r="B2" i="19" s="1"/>
  <c r="P6" i="36" a="1"/>
  <c r="P6" i="36" s="1"/>
  <c r="Q6" i="36" s="1"/>
  <c r="P7" i="36" a="1"/>
  <c r="P7" i="36" s="1"/>
  <c r="Q7" i="36" s="1"/>
  <c r="P8" i="36" a="1"/>
  <c r="P8" i="36" s="1"/>
  <c r="Q8" i="36" s="1"/>
  <c r="P9" i="36" a="1"/>
  <c r="P9" i="36" s="1"/>
  <c r="Q9" i="36" s="1"/>
  <c r="P10" i="36" a="1"/>
  <c r="P10" i="36" s="1"/>
  <c r="Q10" i="36" s="1"/>
  <c r="P11" i="36" a="1"/>
  <c r="P11" i="36" s="1"/>
  <c r="Q11" i="36" s="1"/>
  <c r="P12" i="36" a="1"/>
  <c r="P12" i="36" s="1"/>
  <c r="Q12" i="36" s="1"/>
  <c r="A22" i="36" a="1"/>
  <c r="A22" i="36" s="1"/>
  <c r="BA3" i="10" l="1" a="1"/>
  <c r="BA3" i="10" s="1"/>
  <c r="P15" i="36" a="1"/>
  <c r="P15" i="36" s="1"/>
  <c r="O15" i="36" a="1"/>
  <c r="O15" i="36" s="1"/>
  <c r="P14" i="36" a="1"/>
  <c r="P14" i="36" s="1"/>
  <c r="O14" i="36" a="1"/>
  <c r="O14" i="36" s="1"/>
  <c r="Q13" i="36" a="1"/>
  <c r="Q13" i="36" s="1"/>
  <c r="P13" i="36" a="1"/>
  <c r="P13" i="36" s="1"/>
  <c r="C2" i="19" l="1" a="1"/>
  <c r="C2" i="19" s="1"/>
  <c r="A2" i="19" a="1"/>
  <c r="A2" i="19" s="1"/>
  <c r="H52" i="36"/>
  <c r="I52" i="36"/>
  <c r="J52" i="36"/>
  <c r="K52" i="36"/>
  <c r="H53" i="36"/>
  <c r="I53" i="36"/>
  <c r="J53" i="36"/>
  <c r="K53" i="36"/>
  <c r="H54" i="36"/>
  <c r="I54" i="36"/>
  <c r="J54" i="36"/>
  <c r="K54" i="36"/>
  <c r="H55" i="36"/>
  <c r="I55" i="36"/>
  <c r="J55" i="36"/>
  <c r="K55" i="36"/>
  <c r="H56" i="36"/>
  <c r="I56" i="36"/>
  <c r="J56" i="36"/>
  <c r="K56" i="36"/>
  <c r="H57" i="36"/>
  <c r="I57" i="36"/>
  <c r="J57" i="36"/>
  <c r="K57" i="36"/>
  <c r="H58" i="36"/>
  <c r="I58" i="36"/>
  <c r="J58" i="36"/>
  <c r="K58" i="36"/>
  <c r="H59" i="36"/>
  <c r="I59" i="36"/>
  <c r="J59" i="36"/>
  <c r="K59" i="36"/>
  <c r="H60" i="36"/>
  <c r="I60" i="36"/>
  <c r="J60" i="36"/>
  <c r="K60" i="36"/>
  <c r="H61" i="36"/>
  <c r="I61" i="36"/>
  <c r="J61" i="36"/>
  <c r="K61" i="36"/>
  <c r="H62" i="36"/>
  <c r="I62" i="36"/>
  <c r="J62" i="36"/>
  <c r="K62" i="36"/>
  <c r="H63" i="36"/>
  <c r="I63" i="36"/>
  <c r="J63" i="36"/>
  <c r="K63" i="36"/>
  <c r="H64" i="36"/>
  <c r="I64" i="36"/>
  <c r="J64" i="36"/>
  <c r="K64" i="36"/>
  <c r="H65" i="36"/>
  <c r="I65" i="36"/>
  <c r="J65" i="36"/>
  <c r="K65" i="36"/>
  <c r="H66" i="36"/>
  <c r="I66" i="36"/>
  <c r="J66" i="36"/>
  <c r="K66" i="36"/>
  <c r="H67" i="36"/>
  <c r="I67" i="36"/>
  <c r="J67" i="36"/>
  <c r="K67" i="36"/>
  <c r="H68" i="36"/>
  <c r="I68" i="36"/>
  <c r="J68" i="36"/>
  <c r="K68" i="36"/>
  <c r="H69" i="36"/>
  <c r="I69" i="36"/>
  <c r="J69" i="36"/>
  <c r="K69" i="36"/>
  <c r="H70" i="36"/>
  <c r="I70" i="36"/>
  <c r="J70" i="36"/>
  <c r="K70" i="36"/>
  <c r="H71" i="36"/>
  <c r="I71" i="36"/>
  <c r="J71" i="36"/>
  <c r="K71" i="36"/>
  <c r="H72" i="36"/>
  <c r="I72" i="36"/>
  <c r="J72" i="36"/>
  <c r="K72" i="36"/>
  <c r="H73" i="36"/>
  <c r="I73" i="36"/>
  <c r="J73" i="36"/>
  <c r="K73" i="36"/>
  <c r="H74" i="36"/>
  <c r="I74" i="36"/>
  <c r="J74" i="36"/>
  <c r="K74" i="36"/>
  <c r="H75" i="36"/>
  <c r="I75" i="36"/>
  <c r="J75" i="36"/>
  <c r="K75" i="36"/>
  <c r="H76" i="36"/>
  <c r="I76" i="36"/>
  <c r="J76" i="36"/>
  <c r="K76" i="36"/>
  <c r="H77" i="36"/>
  <c r="I77" i="36"/>
  <c r="J77" i="36"/>
  <c r="K77" i="36"/>
  <c r="H78" i="36"/>
  <c r="I78" i="36"/>
  <c r="J78" i="36"/>
  <c r="K78" i="36"/>
  <c r="H79" i="36"/>
  <c r="I79" i="36"/>
  <c r="J79" i="36"/>
  <c r="K79" i="36"/>
  <c r="H80" i="36"/>
  <c r="I80" i="36"/>
  <c r="J80" i="36"/>
  <c r="K80" i="36"/>
  <c r="H81" i="36"/>
  <c r="I81" i="36"/>
  <c r="J81" i="36"/>
  <c r="K81" i="36"/>
  <c r="H82" i="36"/>
  <c r="I82" i="36"/>
  <c r="J82" i="36"/>
  <c r="K82" i="36"/>
  <c r="H83" i="36"/>
  <c r="I83" i="36"/>
  <c r="J83" i="36"/>
  <c r="K83" i="36"/>
  <c r="H84" i="36"/>
  <c r="I84" i="36"/>
  <c r="J84" i="36"/>
  <c r="K84" i="36"/>
  <c r="H85" i="36"/>
  <c r="I85" i="36"/>
  <c r="J85" i="36"/>
  <c r="K85" i="36"/>
  <c r="H86" i="36"/>
  <c r="I86" i="36"/>
  <c r="J86" i="36"/>
  <c r="K86" i="36"/>
  <c r="H87" i="36"/>
  <c r="I87" i="36"/>
  <c r="J87" i="36"/>
  <c r="K87" i="36"/>
  <c r="H88" i="36"/>
  <c r="I88" i="36"/>
  <c r="J88" i="36"/>
  <c r="K88" i="36"/>
  <c r="H89" i="36"/>
  <c r="I89" i="36"/>
  <c r="J89" i="36"/>
  <c r="K89" i="36"/>
  <c r="H90" i="36"/>
  <c r="I90" i="36"/>
  <c r="J90" i="36"/>
  <c r="K90" i="36"/>
  <c r="H91" i="36"/>
  <c r="I91" i="36"/>
  <c r="J91" i="36"/>
  <c r="K91" i="36"/>
  <c r="H92" i="36"/>
  <c r="I92" i="36"/>
  <c r="J92" i="36"/>
  <c r="K92" i="36"/>
  <c r="H93" i="36"/>
  <c r="I93" i="36"/>
  <c r="J93" i="36"/>
  <c r="K93" i="36"/>
  <c r="H94" i="36"/>
  <c r="I94" i="36"/>
  <c r="J94" i="36"/>
  <c r="K94" i="36"/>
  <c r="H95" i="36"/>
  <c r="I95" i="36"/>
  <c r="J95" i="36"/>
  <c r="K95" i="36"/>
  <c r="H96" i="36"/>
  <c r="I96" i="36"/>
  <c r="J96" i="36"/>
  <c r="K96" i="36"/>
  <c r="H97" i="36"/>
  <c r="I97" i="36"/>
  <c r="J97" i="36"/>
  <c r="K97" i="36"/>
  <c r="H98" i="36"/>
  <c r="I98" i="36"/>
  <c r="J98" i="36"/>
  <c r="K98" i="36"/>
  <c r="H99" i="36"/>
  <c r="I99" i="36"/>
  <c r="J99" i="36"/>
  <c r="K99" i="36"/>
  <c r="H100" i="36"/>
  <c r="I100" i="36"/>
  <c r="J100" i="36"/>
  <c r="K100" i="36"/>
  <c r="H101" i="36"/>
  <c r="I101" i="36"/>
  <c r="J101" i="36"/>
  <c r="K101" i="36"/>
  <c r="H102" i="36"/>
  <c r="I102" i="36"/>
  <c r="J102" i="36"/>
  <c r="K102" i="36"/>
  <c r="H103" i="36"/>
  <c r="I103" i="36"/>
  <c r="J103" i="36"/>
  <c r="K103" i="36"/>
  <c r="H104" i="36"/>
  <c r="I104" i="36"/>
  <c r="J104" i="36"/>
  <c r="K104" i="36"/>
  <c r="H105" i="36"/>
  <c r="I105" i="36"/>
  <c r="J105" i="36"/>
  <c r="K105" i="36"/>
  <c r="H106" i="36"/>
  <c r="I106" i="36"/>
  <c r="J106" i="36"/>
  <c r="K106" i="36"/>
  <c r="H107" i="36"/>
  <c r="I107" i="36"/>
  <c r="J107" i="36"/>
  <c r="K107" i="36"/>
  <c r="H108" i="36"/>
  <c r="I108" i="36"/>
  <c r="J108" i="36"/>
  <c r="K108" i="36"/>
  <c r="H109" i="36"/>
  <c r="I109" i="36"/>
  <c r="J109" i="36"/>
  <c r="K109" i="36"/>
  <c r="H110" i="36"/>
  <c r="I110" i="36"/>
  <c r="J110" i="36"/>
  <c r="K110" i="36"/>
  <c r="H111" i="36"/>
  <c r="I111" i="36"/>
  <c r="J111" i="36"/>
  <c r="K111" i="36"/>
  <c r="H112" i="36"/>
  <c r="I112" i="36"/>
  <c r="J112" i="36"/>
  <c r="K112" i="36"/>
  <c r="H113" i="36"/>
  <c r="I113" i="36"/>
  <c r="J113" i="36"/>
  <c r="K113" i="36"/>
  <c r="H114" i="36"/>
  <c r="I114" i="36"/>
  <c r="J114" i="36"/>
  <c r="K114" i="36"/>
  <c r="H115" i="36"/>
  <c r="I115" i="36"/>
  <c r="J115" i="36"/>
  <c r="K115" i="36"/>
  <c r="H116" i="36"/>
  <c r="I116" i="36"/>
  <c r="J116" i="36"/>
  <c r="K116" i="36"/>
  <c r="H117" i="36"/>
  <c r="I117" i="36"/>
  <c r="J117" i="36"/>
  <c r="K117" i="36"/>
  <c r="H118" i="36"/>
  <c r="I118" i="36"/>
  <c r="J118" i="36"/>
  <c r="K118" i="36"/>
  <c r="H119" i="36"/>
  <c r="I119" i="36"/>
  <c r="J119" i="36"/>
  <c r="K119" i="36"/>
  <c r="H120" i="36"/>
  <c r="I120" i="36"/>
  <c r="J120" i="36"/>
  <c r="K120" i="36"/>
  <c r="H121" i="36"/>
  <c r="I121" i="36"/>
  <c r="J121" i="36"/>
  <c r="K121" i="36"/>
  <c r="H122" i="36"/>
  <c r="I122" i="36"/>
  <c r="J122" i="36"/>
  <c r="K122" i="36"/>
  <c r="H123" i="36"/>
  <c r="I123" i="36"/>
  <c r="J123" i="36"/>
  <c r="K123" i="36"/>
  <c r="H124" i="36"/>
  <c r="I124" i="36"/>
  <c r="J124" i="36"/>
  <c r="K124" i="36"/>
  <c r="H125" i="36"/>
  <c r="I125" i="36"/>
  <c r="J125" i="36"/>
  <c r="K125" i="36"/>
  <c r="H126" i="36"/>
  <c r="I126" i="36"/>
  <c r="J126" i="36"/>
  <c r="K126" i="36"/>
  <c r="H127" i="36"/>
  <c r="I127" i="36"/>
  <c r="J127" i="36"/>
  <c r="K127" i="36"/>
  <c r="H128" i="36"/>
  <c r="I128" i="36"/>
  <c r="J128" i="36"/>
  <c r="K128" i="36"/>
  <c r="H129" i="36"/>
  <c r="I129" i="36"/>
  <c r="J129" i="36"/>
  <c r="K129" i="36"/>
  <c r="H130" i="36"/>
  <c r="I130" i="36"/>
  <c r="J130" i="36"/>
  <c r="K130" i="36"/>
  <c r="H131" i="36"/>
  <c r="I131" i="36"/>
  <c r="J131" i="36"/>
  <c r="K131" i="36"/>
  <c r="H132" i="36"/>
  <c r="I132" i="36"/>
  <c r="J132" i="36"/>
  <c r="K132" i="36"/>
  <c r="H133" i="36"/>
  <c r="I133" i="36"/>
  <c r="J133" i="36"/>
  <c r="K133" i="36"/>
  <c r="H134" i="36"/>
  <c r="I134" i="36"/>
  <c r="J134" i="36"/>
  <c r="K134" i="36"/>
  <c r="H135" i="36"/>
  <c r="I135" i="36"/>
  <c r="J135" i="36"/>
  <c r="K135" i="36"/>
  <c r="H136" i="36"/>
  <c r="I136" i="36"/>
  <c r="J136" i="36"/>
  <c r="K136" i="36"/>
  <c r="H137" i="36"/>
  <c r="I137" i="36"/>
  <c r="J137" i="36"/>
  <c r="K137" i="36"/>
  <c r="H138" i="36"/>
  <c r="I138" i="36"/>
  <c r="J138" i="36"/>
  <c r="K138" i="36"/>
  <c r="H139" i="36"/>
  <c r="I139" i="36"/>
  <c r="J139" i="36"/>
  <c r="K139" i="36"/>
  <c r="H140" i="36"/>
  <c r="I140" i="36"/>
  <c r="J140" i="36"/>
  <c r="K140" i="36"/>
  <c r="H141" i="36"/>
  <c r="I141" i="36"/>
  <c r="J141" i="36"/>
  <c r="K141" i="36"/>
  <c r="H142" i="36"/>
  <c r="I142" i="36"/>
  <c r="J142" i="36"/>
  <c r="K142" i="36"/>
  <c r="H143" i="36"/>
  <c r="I143" i="36"/>
  <c r="J143" i="36"/>
  <c r="K143" i="36"/>
  <c r="H144" i="36"/>
  <c r="I144" i="36"/>
  <c r="J144" i="36"/>
  <c r="K144" i="36"/>
  <c r="H145" i="36"/>
  <c r="I145" i="36"/>
  <c r="J145" i="36"/>
  <c r="K145" i="36"/>
  <c r="H146" i="36"/>
  <c r="I146" i="36"/>
  <c r="J146" i="36"/>
  <c r="K146" i="36"/>
  <c r="H147" i="36"/>
  <c r="I147" i="36"/>
  <c r="J147" i="36"/>
  <c r="K147" i="36"/>
  <c r="H148" i="36"/>
  <c r="I148" i="36"/>
  <c r="J148" i="36"/>
  <c r="K148" i="36"/>
  <c r="H149" i="36"/>
  <c r="I149" i="36"/>
  <c r="J149" i="36"/>
  <c r="K149" i="36"/>
  <c r="H150" i="36"/>
  <c r="I150" i="36"/>
  <c r="J150" i="36"/>
  <c r="K150" i="36"/>
  <c r="H151" i="36"/>
  <c r="I151" i="36"/>
  <c r="J151" i="36"/>
  <c r="K151" i="36"/>
  <c r="H152" i="36"/>
  <c r="I152" i="36"/>
  <c r="J152" i="36"/>
  <c r="K152" i="36"/>
  <c r="H153" i="36"/>
  <c r="I153" i="36"/>
  <c r="J153" i="36"/>
  <c r="K153" i="36"/>
  <c r="H154" i="36"/>
  <c r="I154" i="36"/>
  <c r="J154" i="36"/>
  <c r="K154" i="36"/>
  <c r="H155" i="36"/>
  <c r="I155" i="36"/>
  <c r="J155" i="36"/>
  <c r="K155" i="36"/>
  <c r="H156" i="36"/>
  <c r="I156" i="36"/>
  <c r="J156" i="36"/>
  <c r="K156" i="36"/>
  <c r="H157" i="36"/>
  <c r="I157" i="36"/>
  <c r="J157" i="36"/>
  <c r="K157" i="36"/>
  <c r="H158" i="36"/>
  <c r="I158" i="36"/>
  <c r="J158" i="36"/>
  <c r="K158" i="36"/>
  <c r="H159" i="36"/>
  <c r="I159" i="36"/>
  <c r="J159" i="36"/>
  <c r="K159" i="36"/>
  <c r="H160" i="36"/>
  <c r="I160" i="36"/>
  <c r="J160" i="36"/>
  <c r="K160" i="36"/>
  <c r="H161" i="36"/>
  <c r="I161" i="36"/>
  <c r="J161" i="36"/>
  <c r="K161" i="36"/>
  <c r="H162" i="36"/>
  <c r="I162" i="36"/>
  <c r="J162" i="36"/>
  <c r="K162" i="36"/>
  <c r="H163" i="36"/>
  <c r="I163" i="36"/>
  <c r="J163" i="36"/>
  <c r="K163" i="36"/>
  <c r="H164" i="36"/>
  <c r="I164" i="36"/>
  <c r="J164" i="36"/>
  <c r="K164" i="36"/>
  <c r="H165" i="36"/>
  <c r="I165" i="36"/>
  <c r="J165" i="36"/>
  <c r="K165" i="36"/>
  <c r="H166" i="36"/>
  <c r="I166" i="36"/>
  <c r="J166" i="36"/>
  <c r="K166" i="36"/>
  <c r="H167" i="36"/>
  <c r="I167" i="36"/>
  <c r="J167" i="36"/>
  <c r="K167" i="36"/>
  <c r="H168" i="36"/>
  <c r="I168" i="36"/>
  <c r="J168" i="36"/>
  <c r="K168" i="36"/>
  <c r="H169" i="36"/>
  <c r="I169" i="36"/>
  <c r="J169" i="36"/>
  <c r="K169" i="36"/>
  <c r="H170" i="36"/>
  <c r="I170" i="36"/>
  <c r="J170" i="36"/>
  <c r="K170" i="36"/>
  <c r="H171" i="36"/>
  <c r="I171" i="36"/>
  <c r="J171" i="36"/>
  <c r="K171" i="36"/>
  <c r="H172" i="36"/>
  <c r="I172" i="36"/>
  <c r="J172" i="36"/>
  <c r="K172" i="36"/>
  <c r="H173" i="36"/>
  <c r="I173" i="36"/>
  <c r="J173" i="36"/>
  <c r="K173" i="36"/>
  <c r="H174" i="36"/>
  <c r="I174" i="36"/>
  <c r="J174" i="36"/>
  <c r="K174" i="36"/>
  <c r="H175" i="36"/>
  <c r="I175" i="36"/>
  <c r="J175" i="36"/>
  <c r="K175" i="36"/>
  <c r="H176" i="36"/>
  <c r="I176" i="36"/>
  <c r="J176" i="36"/>
  <c r="K176" i="36"/>
  <c r="H177" i="36"/>
  <c r="I177" i="36"/>
  <c r="J177" i="36"/>
  <c r="K177" i="36"/>
  <c r="H178" i="36"/>
  <c r="I178" i="36"/>
  <c r="J178" i="36"/>
  <c r="K178" i="36"/>
  <c r="H179" i="36"/>
  <c r="I179" i="36"/>
  <c r="J179" i="36"/>
  <c r="K179" i="36"/>
  <c r="H180" i="36"/>
  <c r="I180" i="36"/>
  <c r="J180" i="36"/>
  <c r="K180" i="36"/>
  <c r="H181" i="36"/>
  <c r="I181" i="36"/>
  <c r="J181" i="36"/>
  <c r="K181" i="36"/>
  <c r="H182" i="36"/>
  <c r="I182" i="36"/>
  <c r="J182" i="36"/>
  <c r="K182" i="36"/>
  <c r="H183" i="36"/>
  <c r="I183" i="36"/>
  <c r="J183" i="36"/>
  <c r="K183" i="36"/>
  <c r="H184" i="36"/>
  <c r="I184" i="36"/>
  <c r="J184" i="36"/>
  <c r="K184" i="36"/>
  <c r="H185" i="36"/>
  <c r="I185" i="36"/>
  <c r="J185" i="36"/>
  <c r="K185" i="36"/>
  <c r="H186" i="36"/>
  <c r="I186" i="36"/>
  <c r="J186" i="36"/>
  <c r="K186" i="36"/>
  <c r="H187" i="36"/>
  <c r="I187" i="36"/>
  <c r="J187" i="36"/>
  <c r="K187" i="36"/>
  <c r="H188" i="36"/>
  <c r="I188" i="36"/>
  <c r="J188" i="36"/>
  <c r="K188" i="36"/>
  <c r="H189" i="36"/>
  <c r="I189" i="36"/>
  <c r="J189" i="36"/>
  <c r="K189" i="36"/>
  <c r="H190" i="36"/>
  <c r="I190" i="36"/>
  <c r="J190" i="36"/>
  <c r="K190" i="36"/>
  <c r="H191" i="36"/>
  <c r="I191" i="36"/>
  <c r="J191" i="36"/>
  <c r="K191" i="36"/>
  <c r="H192" i="36"/>
  <c r="I192" i="36"/>
  <c r="J192" i="36"/>
  <c r="K192" i="36"/>
  <c r="H193" i="36"/>
  <c r="I193" i="36"/>
  <c r="J193" i="36"/>
  <c r="K193" i="36"/>
  <c r="H194" i="36"/>
  <c r="I194" i="36"/>
  <c r="J194" i="36"/>
  <c r="K194" i="36"/>
  <c r="H195" i="36"/>
  <c r="I195" i="36"/>
  <c r="J195" i="36"/>
  <c r="K195" i="36"/>
  <c r="H196" i="36"/>
  <c r="I196" i="36"/>
  <c r="J196" i="36"/>
  <c r="K196" i="36"/>
  <c r="H197" i="36"/>
  <c r="I197" i="36"/>
  <c r="J197" i="36"/>
  <c r="K197" i="36"/>
  <c r="H198" i="36"/>
  <c r="I198" i="36"/>
  <c r="J198" i="36"/>
  <c r="K198" i="36"/>
  <c r="H199" i="36"/>
  <c r="I199" i="36"/>
  <c r="J199" i="36"/>
  <c r="K199" i="36"/>
  <c r="H200" i="36"/>
  <c r="I200" i="36"/>
  <c r="J200" i="36"/>
  <c r="K200" i="36"/>
  <c r="H201" i="36"/>
  <c r="I201" i="36"/>
  <c r="J201" i="36"/>
  <c r="K201" i="36"/>
  <c r="H202" i="36"/>
  <c r="I202" i="36"/>
  <c r="J202" i="36"/>
  <c r="K202" i="36"/>
  <c r="H203" i="36"/>
  <c r="I203" i="36"/>
  <c r="J203" i="36"/>
  <c r="K203" i="36"/>
  <c r="H204" i="36"/>
  <c r="I204" i="36"/>
  <c r="J204" i="36"/>
  <c r="K204" i="36"/>
  <c r="H205" i="36"/>
  <c r="I205" i="36"/>
  <c r="J205" i="36"/>
  <c r="K205" i="36"/>
  <c r="H206" i="36"/>
  <c r="I206" i="36"/>
  <c r="J206" i="36"/>
  <c r="K206" i="36"/>
  <c r="H207" i="36"/>
  <c r="I207" i="36"/>
  <c r="J207" i="36"/>
  <c r="K207" i="36"/>
  <c r="H208" i="36"/>
  <c r="I208" i="36"/>
  <c r="J208" i="36"/>
  <c r="K208" i="36"/>
  <c r="H209" i="36"/>
  <c r="I209" i="36"/>
  <c r="J209" i="36"/>
  <c r="K209" i="36"/>
  <c r="H210" i="36"/>
  <c r="I210" i="36"/>
  <c r="J210" i="36"/>
  <c r="K210" i="36"/>
  <c r="H211" i="36"/>
  <c r="I211" i="36"/>
  <c r="J211" i="36"/>
  <c r="K211" i="36"/>
  <c r="H212" i="36"/>
  <c r="I212" i="36"/>
  <c r="J212" i="36"/>
  <c r="K212" i="36"/>
  <c r="H213" i="36"/>
  <c r="I213" i="36"/>
  <c r="J213" i="36"/>
  <c r="K213" i="36"/>
  <c r="H214" i="36"/>
  <c r="I214" i="36"/>
  <c r="J214" i="36"/>
  <c r="K214" i="36"/>
  <c r="H215" i="36"/>
  <c r="I215" i="36"/>
  <c r="J215" i="36"/>
  <c r="K215" i="36"/>
  <c r="H216" i="36"/>
  <c r="I216" i="36"/>
  <c r="J216" i="36"/>
  <c r="K216" i="36"/>
  <c r="H217" i="36"/>
  <c r="I217" i="36"/>
  <c r="J217" i="36"/>
  <c r="K217" i="36"/>
  <c r="H218" i="36"/>
  <c r="I218" i="36"/>
  <c r="J218" i="36"/>
  <c r="K218" i="36"/>
  <c r="H219" i="36"/>
  <c r="I219" i="36"/>
  <c r="J219" i="36"/>
  <c r="K219" i="36"/>
  <c r="H220" i="36"/>
  <c r="I220" i="36"/>
  <c r="J220" i="36"/>
  <c r="K220" i="36"/>
  <c r="H221" i="36"/>
  <c r="I221" i="36"/>
  <c r="J221" i="36"/>
  <c r="K221" i="36"/>
  <c r="H222" i="36"/>
  <c r="I222" i="36"/>
  <c r="J222" i="36"/>
  <c r="K222" i="36"/>
  <c r="H223" i="36"/>
  <c r="I223" i="36"/>
  <c r="J223" i="36"/>
  <c r="K223" i="36"/>
  <c r="H224" i="36"/>
  <c r="I224" i="36"/>
  <c r="J224" i="36"/>
  <c r="K224" i="36"/>
  <c r="H225" i="36"/>
  <c r="I225" i="36"/>
  <c r="J225" i="36"/>
  <c r="K225" i="36"/>
  <c r="H226" i="36"/>
  <c r="I226" i="36"/>
  <c r="J226" i="36"/>
  <c r="K226" i="36"/>
  <c r="H227" i="36"/>
  <c r="I227" i="36"/>
  <c r="J227" i="36"/>
  <c r="K227" i="36"/>
  <c r="H228" i="36"/>
  <c r="I228" i="36"/>
  <c r="J228" i="36"/>
  <c r="K228" i="36"/>
  <c r="H229" i="36"/>
  <c r="I229" i="36"/>
  <c r="J229" i="36"/>
  <c r="K229" i="36"/>
  <c r="H230" i="36"/>
  <c r="I230" i="36"/>
  <c r="J230" i="36"/>
  <c r="K230" i="36"/>
  <c r="H231" i="36"/>
  <c r="I231" i="36"/>
  <c r="J231" i="36"/>
  <c r="K231" i="36"/>
  <c r="H232" i="36"/>
  <c r="I232" i="36"/>
  <c r="J232" i="36"/>
  <c r="K232" i="36"/>
  <c r="H233" i="36"/>
  <c r="I233" i="36"/>
  <c r="J233" i="36"/>
  <c r="K233" i="36"/>
  <c r="H234" i="36"/>
  <c r="I234" i="36"/>
  <c r="J234" i="36"/>
  <c r="K234" i="36"/>
  <c r="H235" i="36"/>
  <c r="I235" i="36"/>
  <c r="J235" i="36"/>
  <c r="K235" i="36"/>
  <c r="H236" i="36"/>
  <c r="I236" i="36"/>
  <c r="J236" i="36"/>
  <c r="K236" i="36"/>
  <c r="H237" i="36"/>
  <c r="I237" i="36"/>
  <c r="J237" i="36"/>
  <c r="K237" i="36"/>
  <c r="H238" i="36"/>
  <c r="I238" i="36"/>
  <c r="J238" i="36"/>
  <c r="K238" i="36"/>
  <c r="H239" i="36"/>
  <c r="I239" i="36"/>
  <c r="J239" i="36"/>
  <c r="K239" i="36"/>
  <c r="H240" i="36"/>
  <c r="I240" i="36"/>
  <c r="J240" i="36"/>
  <c r="K240" i="36"/>
  <c r="H241" i="36"/>
  <c r="I241" i="36"/>
  <c r="J241" i="36"/>
  <c r="K241" i="36"/>
  <c r="H242" i="36"/>
  <c r="I242" i="36"/>
  <c r="J242" i="36"/>
  <c r="K242" i="36"/>
  <c r="H243" i="36"/>
  <c r="I243" i="36"/>
  <c r="J243" i="36"/>
  <c r="K243" i="36"/>
  <c r="H244" i="36"/>
  <c r="I244" i="36"/>
  <c r="J244" i="36"/>
  <c r="K244" i="36"/>
  <c r="H245" i="36"/>
  <c r="I245" i="36"/>
  <c r="J245" i="36"/>
  <c r="K245" i="36"/>
  <c r="H246" i="36"/>
  <c r="I246" i="36"/>
  <c r="J246" i="36"/>
  <c r="K246" i="36"/>
  <c r="H247" i="36"/>
  <c r="I247" i="36"/>
  <c r="J247" i="36"/>
  <c r="K247" i="36"/>
  <c r="H248" i="36"/>
  <c r="I248" i="36"/>
  <c r="J248" i="36"/>
  <c r="K248" i="36"/>
  <c r="H249" i="36"/>
  <c r="I249" i="36"/>
  <c r="J249" i="36"/>
  <c r="K249" i="36"/>
  <c r="H250" i="36"/>
  <c r="I250" i="36"/>
  <c r="J250" i="36"/>
  <c r="K250" i="36"/>
  <c r="H251" i="36"/>
  <c r="I251" i="36"/>
  <c r="J251" i="36"/>
  <c r="K251" i="36"/>
  <c r="H252" i="36"/>
  <c r="I252" i="36"/>
  <c r="J252" i="36"/>
  <c r="K252" i="36"/>
  <c r="H253" i="36"/>
  <c r="I253" i="36"/>
  <c r="J253" i="36"/>
  <c r="K253" i="36"/>
  <c r="H254" i="36"/>
  <c r="I254" i="36"/>
  <c r="J254" i="36"/>
  <c r="K254" i="36"/>
  <c r="H255" i="36"/>
  <c r="I255" i="36"/>
  <c r="J255" i="36"/>
  <c r="K255" i="36"/>
  <c r="H256" i="36"/>
  <c r="I256" i="36"/>
  <c r="J256" i="36"/>
  <c r="K256" i="36"/>
  <c r="H257" i="36"/>
  <c r="I257" i="36"/>
  <c r="J257" i="36"/>
  <c r="K257" i="36"/>
  <c r="H258" i="36"/>
  <c r="I258" i="36"/>
  <c r="J258" i="36"/>
  <c r="K258" i="36"/>
  <c r="H259" i="36"/>
  <c r="I259" i="36"/>
  <c r="J259" i="36"/>
  <c r="K259" i="36"/>
  <c r="H260" i="36"/>
  <c r="I260" i="36"/>
  <c r="J260" i="36"/>
  <c r="K260" i="36"/>
  <c r="H261" i="36"/>
  <c r="I261" i="36"/>
  <c r="J261" i="36"/>
  <c r="K261" i="36"/>
  <c r="H262" i="36"/>
  <c r="I262" i="36"/>
  <c r="J262" i="36"/>
  <c r="K262" i="36"/>
  <c r="H263" i="36"/>
  <c r="I263" i="36"/>
  <c r="J263" i="36"/>
  <c r="K263" i="36"/>
  <c r="H264" i="36"/>
  <c r="I264" i="36"/>
  <c r="J264" i="36"/>
  <c r="K264" i="36"/>
  <c r="H265" i="36"/>
  <c r="I265" i="36"/>
  <c r="J265" i="36"/>
  <c r="K265" i="36"/>
  <c r="H266" i="36"/>
  <c r="I266" i="36"/>
  <c r="J266" i="36"/>
  <c r="K266" i="36"/>
  <c r="H267" i="36"/>
  <c r="I267" i="36"/>
  <c r="J267" i="36"/>
  <c r="K267" i="36"/>
  <c r="H268" i="36"/>
  <c r="I268" i="36"/>
  <c r="J268" i="36"/>
  <c r="K268" i="36"/>
  <c r="H269" i="36"/>
  <c r="I269" i="36"/>
  <c r="J269" i="36"/>
  <c r="K269" i="36"/>
  <c r="H270" i="36"/>
  <c r="I270" i="36"/>
  <c r="J270" i="36"/>
  <c r="K270" i="36"/>
  <c r="H271" i="36"/>
  <c r="I271" i="36"/>
  <c r="J271" i="36"/>
  <c r="K271" i="36"/>
  <c r="H272" i="36"/>
  <c r="I272" i="36"/>
  <c r="J272" i="36"/>
  <c r="K272" i="36"/>
  <c r="H273" i="36"/>
  <c r="I273" i="36"/>
  <c r="J273" i="36"/>
  <c r="K273" i="36"/>
  <c r="H274" i="36"/>
  <c r="I274" i="36"/>
  <c r="J274" i="36"/>
  <c r="K274" i="36"/>
  <c r="H275" i="36"/>
  <c r="I275" i="36"/>
  <c r="J275" i="36"/>
  <c r="K275" i="36"/>
  <c r="H276" i="36"/>
  <c r="I276" i="36"/>
  <c r="J276" i="36"/>
  <c r="K276" i="36"/>
  <c r="H277" i="36"/>
  <c r="I277" i="36"/>
  <c r="J277" i="36"/>
  <c r="K277" i="36"/>
  <c r="H278" i="36"/>
  <c r="I278" i="36"/>
  <c r="J278" i="36"/>
  <c r="K278" i="36"/>
  <c r="H279" i="36"/>
  <c r="I279" i="36"/>
  <c r="J279" i="36"/>
  <c r="K279" i="36"/>
  <c r="H280" i="36"/>
  <c r="I280" i="36"/>
  <c r="J280" i="36"/>
  <c r="K280" i="36"/>
  <c r="H281" i="36"/>
  <c r="I281" i="36"/>
  <c r="J281" i="36"/>
  <c r="K281" i="36"/>
  <c r="H282" i="36"/>
  <c r="I282" i="36"/>
  <c r="J282" i="36"/>
  <c r="K282" i="36"/>
  <c r="H283" i="36"/>
  <c r="I283" i="36"/>
  <c r="J283" i="36"/>
  <c r="K283" i="36"/>
  <c r="H284" i="36"/>
  <c r="I284" i="36"/>
  <c r="J284" i="36"/>
  <c r="K284" i="36"/>
  <c r="H285" i="36"/>
  <c r="I285" i="36"/>
  <c r="J285" i="36"/>
  <c r="K285" i="36"/>
  <c r="H286" i="36"/>
  <c r="I286" i="36"/>
  <c r="J286" i="36"/>
  <c r="K286" i="36"/>
  <c r="H287" i="36"/>
  <c r="I287" i="36"/>
  <c r="J287" i="36"/>
  <c r="K287" i="36"/>
  <c r="H288" i="36"/>
  <c r="I288" i="36"/>
  <c r="J288" i="36"/>
  <c r="K288" i="36"/>
  <c r="H289" i="36"/>
  <c r="I289" i="36"/>
  <c r="J289" i="36"/>
  <c r="K289" i="36"/>
  <c r="H290" i="36"/>
  <c r="I290" i="36"/>
  <c r="J290" i="36"/>
  <c r="K290" i="36"/>
  <c r="H291" i="36"/>
  <c r="I291" i="36"/>
  <c r="J291" i="36"/>
  <c r="K291" i="36"/>
  <c r="H292" i="36"/>
  <c r="I292" i="36"/>
  <c r="J292" i="36"/>
  <c r="K292" i="36"/>
  <c r="H293" i="36"/>
  <c r="I293" i="36"/>
  <c r="J293" i="36"/>
  <c r="K293" i="36"/>
  <c r="H294" i="36"/>
  <c r="I294" i="36"/>
  <c r="J294" i="36"/>
  <c r="K294" i="36"/>
  <c r="H295" i="36"/>
  <c r="I295" i="36"/>
  <c r="J295" i="36"/>
  <c r="K295" i="36"/>
  <c r="H296" i="36"/>
  <c r="I296" i="36"/>
  <c r="J296" i="36"/>
  <c r="K296" i="36"/>
  <c r="H297" i="36"/>
  <c r="I297" i="36"/>
  <c r="J297" i="36"/>
  <c r="K297" i="36"/>
  <c r="H298" i="36"/>
  <c r="I298" i="36"/>
  <c r="J298" i="36"/>
  <c r="K298" i="36"/>
  <c r="H299" i="36"/>
  <c r="I299" i="36"/>
  <c r="J299" i="36"/>
  <c r="K299" i="36"/>
  <c r="H300" i="36"/>
  <c r="I300" i="36"/>
  <c r="J300" i="36"/>
  <c r="K300" i="36"/>
  <c r="H301" i="36"/>
  <c r="I301" i="36"/>
  <c r="J301" i="36"/>
  <c r="K301" i="36"/>
  <c r="H302" i="36"/>
  <c r="I302" i="36"/>
  <c r="J302" i="36"/>
  <c r="K302" i="36"/>
  <c r="H303" i="36"/>
  <c r="I303" i="36"/>
  <c r="J303" i="36"/>
  <c r="K303" i="36"/>
  <c r="H304" i="36"/>
  <c r="I304" i="36"/>
  <c r="J304" i="36"/>
  <c r="K304" i="36"/>
  <c r="H305" i="36"/>
  <c r="I305" i="36"/>
  <c r="J305" i="36"/>
  <c r="K305" i="36"/>
  <c r="H306" i="36"/>
  <c r="I306" i="36"/>
  <c r="J306" i="36"/>
  <c r="K306" i="36"/>
  <c r="H307" i="36"/>
  <c r="I307" i="36"/>
  <c r="J307" i="36"/>
  <c r="K307" i="36"/>
  <c r="H308" i="36"/>
  <c r="I308" i="36"/>
  <c r="J308" i="36"/>
  <c r="K308" i="36"/>
  <c r="H309" i="36"/>
  <c r="I309" i="36"/>
  <c r="J309" i="36"/>
  <c r="K309" i="36"/>
  <c r="H310" i="36"/>
  <c r="I310" i="36"/>
  <c r="J310" i="36"/>
  <c r="K310" i="36"/>
  <c r="H311" i="36"/>
  <c r="I311" i="36"/>
  <c r="J311" i="36"/>
  <c r="K311" i="36"/>
  <c r="H312" i="36"/>
  <c r="I312" i="36"/>
  <c r="J312" i="36"/>
  <c r="K312" i="36"/>
  <c r="H313" i="36"/>
  <c r="I313" i="36"/>
  <c r="J313" i="36"/>
  <c r="K313" i="36"/>
  <c r="H314" i="36"/>
  <c r="I314" i="36"/>
  <c r="J314" i="36"/>
  <c r="K314" i="36"/>
  <c r="H315" i="36"/>
  <c r="I315" i="36"/>
  <c r="J315" i="36"/>
  <c r="K315" i="36"/>
  <c r="H316" i="36"/>
  <c r="I316" i="36"/>
  <c r="J316" i="36"/>
  <c r="K316" i="36"/>
  <c r="H317" i="36"/>
  <c r="I317" i="36"/>
  <c r="J317" i="36"/>
  <c r="K317" i="36"/>
  <c r="H318" i="36"/>
  <c r="I318" i="36"/>
  <c r="J318" i="36"/>
  <c r="K318" i="36"/>
  <c r="H319" i="36"/>
  <c r="I319" i="36"/>
  <c r="J319" i="36"/>
  <c r="K319" i="36"/>
  <c r="H320" i="36"/>
  <c r="I320" i="36"/>
  <c r="J320" i="36"/>
  <c r="K320" i="36"/>
  <c r="H321" i="36"/>
  <c r="I321" i="36"/>
  <c r="J321" i="36"/>
  <c r="K321" i="36"/>
  <c r="H322" i="36"/>
  <c r="I322" i="36"/>
  <c r="J322" i="36"/>
  <c r="K322" i="36"/>
  <c r="H323" i="36"/>
  <c r="I323" i="36"/>
  <c r="J323" i="36"/>
  <c r="K323" i="36"/>
  <c r="H324" i="36"/>
  <c r="I324" i="36"/>
  <c r="J324" i="36"/>
  <c r="K324" i="36"/>
  <c r="H325" i="36"/>
  <c r="I325" i="36"/>
  <c r="J325" i="36"/>
  <c r="K325" i="36"/>
  <c r="H326" i="36"/>
  <c r="I326" i="36"/>
  <c r="J326" i="36"/>
  <c r="K326" i="36"/>
  <c r="H327" i="36"/>
  <c r="I327" i="36"/>
  <c r="J327" i="36"/>
  <c r="K327" i="36"/>
  <c r="H328" i="36"/>
  <c r="I328" i="36"/>
  <c r="J328" i="36"/>
  <c r="K328" i="36"/>
  <c r="H329" i="36"/>
  <c r="I329" i="36"/>
  <c r="J329" i="36"/>
  <c r="K329" i="36"/>
  <c r="H330" i="36"/>
  <c r="I330" i="36"/>
  <c r="J330" i="36"/>
  <c r="K330" i="36"/>
  <c r="H331" i="36"/>
  <c r="I331" i="36"/>
  <c r="J331" i="36"/>
  <c r="K331" i="36"/>
  <c r="H332" i="36"/>
  <c r="I332" i="36"/>
  <c r="J332" i="36"/>
  <c r="K332" i="36"/>
  <c r="H333" i="36"/>
  <c r="I333" i="36"/>
  <c r="J333" i="36"/>
  <c r="K333" i="36"/>
  <c r="H334" i="36"/>
  <c r="I334" i="36"/>
  <c r="J334" i="36"/>
  <c r="K334" i="36"/>
  <c r="H335" i="36"/>
  <c r="I335" i="36"/>
  <c r="J335" i="36"/>
  <c r="K335" i="36"/>
  <c r="H336" i="36"/>
  <c r="I336" i="36"/>
  <c r="J336" i="36"/>
  <c r="K336" i="36"/>
  <c r="H337" i="36"/>
  <c r="I337" i="36"/>
  <c r="J337" i="36"/>
  <c r="K337" i="36"/>
  <c r="H338" i="36"/>
  <c r="I338" i="36"/>
  <c r="J338" i="36"/>
  <c r="K338" i="36"/>
  <c r="H339" i="36"/>
  <c r="I339" i="36"/>
  <c r="J339" i="36"/>
  <c r="K339" i="36"/>
  <c r="H340" i="36"/>
  <c r="I340" i="36"/>
  <c r="J340" i="36"/>
  <c r="K340" i="36"/>
  <c r="H341" i="36"/>
  <c r="I341" i="36"/>
  <c r="J341" i="36"/>
  <c r="K341" i="36"/>
  <c r="H342" i="36"/>
  <c r="I342" i="36"/>
  <c r="J342" i="36"/>
  <c r="K342" i="36"/>
  <c r="H343" i="36"/>
  <c r="I343" i="36"/>
  <c r="J343" i="36"/>
  <c r="K343" i="36"/>
  <c r="H344" i="36"/>
  <c r="I344" i="36"/>
  <c r="J344" i="36"/>
  <c r="K344" i="36"/>
  <c r="H345" i="36"/>
  <c r="I345" i="36"/>
  <c r="J345" i="36"/>
  <c r="K345" i="36"/>
  <c r="H346" i="36"/>
  <c r="I346" i="36"/>
  <c r="J346" i="36"/>
  <c r="K346" i="36"/>
  <c r="H347" i="36"/>
  <c r="I347" i="36"/>
  <c r="J347" i="36"/>
  <c r="K347" i="36"/>
  <c r="H348" i="36"/>
  <c r="I348" i="36"/>
  <c r="J348" i="36"/>
  <c r="K348" i="36"/>
  <c r="H349" i="36"/>
  <c r="I349" i="36"/>
  <c r="J349" i="36"/>
  <c r="K349" i="36"/>
  <c r="H350" i="36"/>
  <c r="I350" i="36"/>
  <c r="J350" i="36"/>
  <c r="K350" i="36"/>
  <c r="H351" i="36"/>
  <c r="I351" i="36"/>
  <c r="J351" i="36"/>
  <c r="K351" i="36"/>
  <c r="H352" i="36"/>
  <c r="I352" i="36"/>
  <c r="J352" i="36"/>
  <c r="K352" i="36"/>
  <c r="H353" i="36"/>
  <c r="I353" i="36"/>
  <c r="J353" i="36"/>
  <c r="K353" i="36"/>
  <c r="H354" i="36"/>
  <c r="I354" i="36"/>
  <c r="J354" i="36"/>
  <c r="K354" i="36"/>
  <c r="H355" i="36"/>
  <c r="I355" i="36"/>
  <c r="J355" i="36"/>
  <c r="K355" i="36"/>
  <c r="H356" i="36"/>
  <c r="I356" i="36"/>
  <c r="J356" i="36"/>
  <c r="K356" i="36"/>
  <c r="H357" i="36"/>
  <c r="I357" i="36"/>
  <c r="J357" i="36"/>
  <c r="K357" i="36"/>
  <c r="H358" i="36"/>
  <c r="I358" i="36"/>
  <c r="J358" i="36"/>
  <c r="K358" i="36"/>
  <c r="H359" i="36"/>
  <c r="I359" i="36"/>
  <c r="J359" i="36"/>
  <c r="K359" i="36"/>
  <c r="H360" i="36"/>
  <c r="I360" i="36"/>
  <c r="J360" i="36"/>
  <c r="K360" i="36"/>
  <c r="H361" i="36"/>
  <c r="I361" i="36"/>
  <c r="J361" i="36"/>
  <c r="K361" i="36"/>
  <c r="H362" i="36"/>
  <c r="I362" i="36"/>
  <c r="J362" i="36"/>
  <c r="K362" i="36"/>
  <c r="H363" i="36"/>
  <c r="I363" i="36"/>
  <c r="J363" i="36"/>
  <c r="K363" i="36"/>
  <c r="H364" i="36"/>
  <c r="I364" i="36"/>
  <c r="J364" i="36"/>
  <c r="K364" i="36"/>
  <c r="H365" i="36"/>
  <c r="I365" i="36"/>
  <c r="J365" i="36"/>
  <c r="K365" i="36"/>
  <c r="H366" i="36"/>
  <c r="I366" i="36"/>
  <c r="J366" i="36"/>
  <c r="K366" i="36"/>
  <c r="H367" i="36"/>
  <c r="I367" i="36"/>
  <c r="J367" i="36"/>
  <c r="K367" i="36"/>
  <c r="H368" i="36"/>
  <c r="I368" i="36"/>
  <c r="J368" i="36"/>
  <c r="K368" i="36"/>
  <c r="H369" i="36"/>
  <c r="I369" i="36"/>
  <c r="J369" i="36"/>
  <c r="K369" i="36"/>
  <c r="H370" i="36"/>
  <c r="I370" i="36"/>
  <c r="J370" i="36"/>
  <c r="K370" i="36"/>
  <c r="H371" i="36"/>
  <c r="I371" i="36"/>
  <c r="J371" i="36"/>
  <c r="K371" i="36"/>
  <c r="H372" i="36"/>
  <c r="I372" i="36"/>
  <c r="J372" i="36"/>
  <c r="K372" i="36"/>
  <c r="H373" i="36"/>
  <c r="I373" i="36"/>
  <c r="J373" i="36"/>
  <c r="K373" i="36"/>
  <c r="H374" i="36"/>
  <c r="I374" i="36"/>
  <c r="J374" i="36"/>
  <c r="K374" i="36"/>
  <c r="H375" i="36"/>
  <c r="I375" i="36"/>
  <c r="J375" i="36"/>
  <c r="K375" i="36"/>
  <c r="H376" i="36"/>
  <c r="I376" i="36"/>
  <c r="J376" i="36"/>
  <c r="K376" i="36"/>
  <c r="H377" i="36"/>
  <c r="I377" i="36"/>
  <c r="J377" i="36"/>
  <c r="K377" i="36"/>
  <c r="H378" i="36"/>
  <c r="I378" i="36"/>
  <c r="J378" i="36"/>
  <c r="K378" i="36"/>
  <c r="H379" i="36"/>
  <c r="I379" i="36"/>
  <c r="J379" i="36"/>
  <c r="K379" i="36"/>
  <c r="H380" i="36"/>
  <c r="I380" i="36"/>
  <c r="J380" i="36"/>
  <c r="K380" i="36"/>
  <c r="H381" i="36"/>
  <c r="I381" i="36"/>
  <c r="J381" i="36"/>
  <c r="K381" i="36"/>
  <c r="H382" i="36"/>
  <c r="I382" i="36"/>
  <c r="J382" i="36"/>
  <c r="K382" i="36"/>
  <c r="H383" i="36"/>
  <c r="I383" i="36"/>
  <c r="J383" i="36"/>
  <c r="K383" i="36"/>
  <c r="H384" i="36"/>
  <c r="I384" i="36"/>
  <c r="J384" i="36"/>
  <c r="K384" i="36"/>
  <c r="H385" i="36"/>
  <c r="I385" i="36"/>
  <c r="J385" i="36"/>
  <c r="K385" i="36"/>
  <c r="H386" i="36"/>
  <c r="I386" i="36"/>
  <c r="J386" i="36"/>
  <c r="K386" i="36"/>
  <c r="H387" i="36"/>
  <c r="I387" i="36"/>
  <c r="J387" i="36"/>
  <c r="K387" i="36"/>
  <c r="H388" i="36"/>
  <c r="I388" i="36"/>
  <c r="J388" i="36"/>
  <c r="K388" i="36"/>
  <c r="H389" i="36"/>
  <c r="I389" i="36"/>
  <c r="J389" i="36"/>
  <c r="K389" i="36"/>
  <c r="H390" i="36"/>
  <c r="I390" i="36"/>
  <c r="J390" i="36"/>
  <c r="K390" i="36"/>
  <c r="H391" i="36"/>
  <c r="I391" i="36"/>
  <c r="J391" i="36"/>
  <c r="K391" i="36"/>
  <c r="H392" i="36"/>
  <c r="I392" i="36"/>
  <c r="J392" i="36"/>
  <c r="K392" i="36"/>
  <c r="H393" i="36"/>
  <c r="I393" i="36"/>
  <c r="J393" i="36"/>
  <c r="K393" i="36"/>
  <c r="H394" i="36"/>
  <c r="I394" i="36"/>
  <c r="J394" i="36"/>
  <c r="K394" i="36"/>
  <c r="H395" i="36"/>
  <c r="I395" i="36"/>
  <c r="J395" i="36"/>
  <c r="K395" i="36"/>
  <c r="H396" i="36"/>
  <c r="I396" i="36"/>
  <c r="J396" i="36"/>
  <c r="K396" i="36"/>
  <c r="H397" i="36"/>
  <c r="I397" i="36"/>
  <c r="J397" i="36"/>
  <c r="K397" i="36"/>
  <c r="H398" i="36"/>
  <c r="I398" i="36"/>
  <c r="J398" i="36"/>
  <c r="K398" i="36"/>
  <c r="H399" i="36"/>
  <c r="I399" i="36"/>
  <c r="J399" i="36"/>
  <c r="K399" i="36"/>
  <c r="H400" i="36"/>
  <c r="I400" i="36"/>
  <c r="J400" i="36"/>
  <c r="K400" i="36"/>
  <c r="H401" i="36"/>
  <c r="I401" i="36"/>
  <c r="J401" i="36"/>
  <c r="K401" i="36"/>
  <c r="H402" i="36"/>
  <c r="I402" i="36"/>
  <c r="J402" i="36"/>
  <c r="K402" i="36"/>
  <c r="H403" i="36"/>
  <c r="I403" i="36"/>
  <c r="J403" i="36"/>
  <c r="K403" i="36"/>
  <c r="H404" i="36"/>
  <c r="I404" i="36"/>
  <c r="J404" i="36"/>
  <c r="K404" i="36"/>
  <c r="H405" i="36"/>
  <c r="I405" i="36"/>
  <c r="J405" i="36"/>
  <c r="K405" i="36"/>
  <c r="H406" i="36"/>
  <c r="I406" i="36"/>
  <c r="J406" i="36"/>
  <c r="K406" i="36"/>
  <c r="H407" i="36"/>
  <c r="I407" i="36"/>
  <c r="J407" i="36"/>
  <c r="K407" i="36"/>
  <c r="H408" i="36"/>
  <c r="I408" i="36"/>
  <c r="J408" i="36"/>
  <c r="K408" i="36"/>
  <c r="H409" i="36"/>
  <c r="I409" i="36"/>
  <c r="J409" i="36"/>
  <c r="K409" i="36"/>
  <c r="H410" i="36"/>
  <c r="I410" i="36"/>
  <c r="J410" i="36"/>
  <c r="K410" i="36"/>
  <c r="H411" i="36"/>
  <c r="I411" i="36"/>
  <c r="J411" i="36"/>
  <c r="K411" i="36"/>
  <c r="H412" i="36"/>
  <c r="I412" i="36"/>
  <c r="J412" i="36"/>
  <c r="K412" i="36"/>
  <c r="H413" i="36"/>
  <c r="I413" i="36"/>
  <c r="J413" i="36"/>
  <c r="K413" i="36"/>
  <c r="H414" i="36"/>
  <c r="I414" i="36"/>
  <c r="J414" i="36"/>
  <c r="K414" i="36"/>
  <c r="H415" i="36"/>
  <c r="I415" i="36"/>
  <c r="J415" i="36"/>
  <c r="K415" i="36"/>
  <c r="H416" i="36"/>
  <c r="I416" i="36"/>
  <c r="J416" i="36"/>
  <c r="K416" i="36"/>
  <c r="H417" i="36"/>
  <c r="I417" i="36"/>
  <c r="J417" i="36"/>
  <c r="K417" i="36"/>
  <c r="H418" i="36"/>
  <c r="I418" i="36"/>
  <c r="J418" i="36"/>
  <c r="K418" i="36"/>
  <c r="H419" i="36"/>
  <c r="I419" i="36"/>
  <c r="J419" i="36"/>
  <c r="K419" i="36"/>
  <c r="H420" i="36"/>
  <c r="I420" i="36"/>
  <c r="J420" i="36"/>
  <c r="K420" i="36"/>
  <c r="H421" i="36"/>
  <c r="I421" i="36"/>
  <c r="J421" i="36"/>
  <c r="K421" i="36"/>
  <c r="H422" i="36"/>
  <c r="I422" i="36"/>
  <c r="J422" i="36"/>
  <c r="K422" i="36"/>
  <c r="H423" i="36"/>
  <c r="I423" i="36"/>
  <c r="J423" i="36"/>
  <c r="K423" i="36"/>
  <c r="H424" i="36"/>
  <c r="I424" i="36"/>
  <c r="J424" i="36"/>
  <c r="K424" i="36"/>
  <c r="H425" i="36"/>
  <c r="I425" i="36"/>
  <c r="J425" i="36"/>
  <c r="K425" i="36"/>
  <c r="H426" i="36"/>
  <c r="I426" i="36"/>
  <c r="J426" i="36"/>
  <c r="K426" i="36"/>
  <c r="H427" i="36"/>
  <c r="I427" i="36"/>
  <c r="J427" i="36"/>
  <c r="K427" i="36"/>
  <c r="H428" i="36"/>
  <c r="I428" i="36"/>
  <c r="J428" i="36"/>
  <c r="K428" i="36"/>
  <c r="H429" i="36"/>
  <c r="I429" i="36"/>
  <c r="J429" i="36"/>
  <c r="K429" i="36"/>
  <c r="H430" i="36"/>
  <c r="I430" i="36"/>
  <c r="J430" i="36"/>
  <c r="K430" i="36"/>
  <c r="H431" i="36"/>
  <c r="I431" i="36"/>
  <c r="J431" i="36"/>
  <c r="K431" i="36"/>
  <c r="H432" i="36"/>
  <c r="I432" i="36"/>
  <c r="J432" i="36"/>
  <c r="K432" i="36"/>
  <c r="H433" i="36"/>
  <c r="I433" i="36"/>
  <c r="J433" i="36"/>
  <c r="K433" i="36"/>
  <c r="H434" i="36"/>
  <c r="I434" i="36"/>
  <c r="J434" i="36"/>
  <c r="K434" i="36"/>
  <c r="H435" i="36"/>
  <c r="I435" i="36"/>
  <c r="J435" i="36"/>
  <c r="K435" i="36"/>
  <c r="H436" i="36"/>
  <c r="I436" i="36"/>
  <c r="J436" i="36"/>
  <c r="K436" i="36"/>
  <c r="H437" i="36"/>
  <c r="I437" i="36"/>
  <c r="J437" i="36"/>
  <c r="K437" i="36"/>
  <c r="H438" i="36"/>
  <c r="I438" i="36"/>
  <c r="J438" i="36"/>
  <c r="K438" i="36"/>
  <c r="H439" i="36"/>
  <c r="I439" i="36"/>
  <c r="J439" i="36"/>
  <c r="K439" i="36"/>
  <c r="H440" i="36"/>
  <c r="I440" i="36"/>
  <c r="J440" i="36"/>
  <c r="K440" i="36"/>
  <c r="H441" i="36"/>
  <c r="I441" i="36"/>
  <c r="J441" i="36"/>
  <c r="K441" i="36"/>
  <c r="H442" i="36"/>
  <c r="I442" i="36"/>
  <c r="J442" i="36"/>
  <c r="K442" i="36"/>
  <c r="H443" i="36"/>
  <c r="I443" i="36"/>
  <c r="J443" i="36"/>
  <c r="K443" i="36"/>
  <c r="H444" i="36"/>
  <c r="I444" i="36"/>
  <c r="J444" i="36"/>
  <c r="K444" i="36"/>
  <c r="H445" i="36"/>
  <c r="I445" i="36"/>
  <c r="J445" i="36"/>
  <c r="K445" i="36"/>
  <c r="H446" i="36"/>
  <c r="I446" i="36"/>
  <c r="J446" i="36"/>
  <c r="K446" i="36"/>
  <c r="H447" i="36"/>
  <c r="I447" i="36"/>
  <c r="J447" i="36"/>
  <c r="K447" i="36"/>
  <c r="H448" i="36"/>
  <c r="I448" i="36"/>
  <c r="J448" i="36"/>
  <c r="K448" i="36"/>
  <c r="H449" i="36"/>
  <c r="I449" i="36"/>
  <c r="J449" i="36"/>
  <c r="K449" i="36"/>
  <c r="H450" i="36"/>
  <c r="I450" i="36"/>
  <c r="J450" i="36"/>
  <c r="K450" i="36"/>
  <c r="H451" i="36"/>
  <c r="I451" i="36"/>
  <c r="J451" i="36"/>
  <c r="K451" i="36"/>
  <c r="H452" i="36"/>
  <c r="I452" i="36"/>
  <c r="J452" i="36"/>
  <c r="K452" i="36"/>
  <c r="H453" i="36"/>
  <c r="I453" i="36"/>
  <c r="J453" i="36"/>
  <c r="K453" i="36"/>
  <c r="H454" i="36"/>
  <c r="I454" i="36"/>
  <c r="J454" i="36"/>
  <c r="K454" i="36"/>
  <c r="H455" i="36"/>
  <c r="I455" i="36"/>
  <c r="J455" i="36"/>
  <c r="K455" i="36"/>
  <c r="H456" i="36"/>
  <c r="I456" i="36"/>
  <c r="J456" i="36"/>
  <c r="K456" i="36"/>
  <c r="H457" i="36"/>
  <c r="I457" i="36"/>
  <c r="J457" i="36"/>
  <c r="K457" i="36"/>
  <c r="H458" i="36"/>
  <c r="I458" i="36"/>
  <c r="J458" i="36"/>
  <c r="K458" i="36"/>
  <c r="H459" i="36"/>
  <c r="I459" i="36"/>
  <c r="J459" i="36"/>
  <c r="K459" i="36"/>
  <c r="H460" i="36"/>
  <c r="I460" i="36"/>
  <c r="J460" i="36"/>
  <c r="K460" i="36"/>
  <c r="H461" i="36"/>
  <c r="I461" i="36"/>
  <c r="J461" i="36"/>
  <c r="K461" i="36"/>
  <c r="H462" i="36"/>
  <c r="I462" i="36"/>
  <c r="J462" i="36"/>
  <c r="K462" i="36"/>
  <c r="H463" i="36"/>
  <c r="I463" i="36"/>
  <c r="J463" i="36"/>
  <c r="K463" i="36"/>
  <c r="H464" i="36"/>
  <c r="I464" i="36"/>
  <c r="J464" i="36"/>
  <c r="K464" i="36"/>
  <c r="H465" i="36"/>
  <c r="I465" i="36"/>
  <c r="J465" i="36"/>
  <c r="K465" i="36"/>
  <c r="H466" i="36"/>
  <c r="I466" i="36"/>
  <c r="J466" i="36"/>
  <c r="K466" i="36"/>
  <c r="H467" i="36"/>
  <c r="I467" i="36"/>
  <c r="J467" i="36"/>
  <c r="K467" i="36"/>
  <c r="H468" i="36"/>
  <c r="I468" i="36"/>
  <c r="J468" i="36"/>
  <c r="K468" i="36"/>
  <c r="H469" i="36"/>
  <c r="I469" i="36"/>
  <c r="J469" i="36"/>
  <c r="K469" i="36"/>
  <c r="H470" i="36"/>
  <c r="I470" i="36"/>
  <c r="J470" i="36"/>
  <c r="K470" i="36"/>
  <c r="H471" i="36"/>
  <c r="I471" i="36"/>
  <c r="J471" i="36"/>
  <c r="K471" i="36"/>
  <c r="H472" i="36"/>
  <c r="I472" i="36"/>
  <c r="J472" i="36"/>
  <c r="K472" i="36"/>
  <c r="H473" i="36"/>
  <c r="I473" i="36"/>
  <c r="J473" i="36"/>
  <c r="K473" i="36"/>
  <c r="H474" i="36"/>
  <c r="I474" i="36"/>
  <c r="J474" i="36"/>
  <c r="K474" i="36"/>
  <c r="H475" i="36"/>
  <c r="I475" i="36"/>
  <c r="J475" i="36"/>
  <c r="K475" i="36"/>
  <c r="H476" i="36"/>
  <c r="I476" i="36"/>
  <c r="J476" i="36"/>
  <c r="K476" i="36"/>
  <c r="H477" i="36"/>
  <c r="I477" i="36"/>
  <c r="J477" i="36"/>
  <c r="K477" i="36"/>
  <c r="H478" i="36"/>
  <c r="I478" i="36"/>
  <c r="J478" i="36"/>
  <c r="K478" i="36"/>
  <c r="H479" i="36"/>
  <c r="I479" i="36"/>
  <c r="J479" i="36"/>
  <c r="K479" i="36"/>
  <c r="H480" i="36"/>
  <c r="I480" i="36"/>
  <c r="J480" i="36"/>
  <c r="K480" i="36"/>
  <c r="H481" i="36"/>
  <c r="I481" i="36"/>
  <c r="J481" i="36"/>
  <c r="K481" i="36"/>
  <c r="H482" i="36"/>
  <c r="I482" i="36"/>
  <c r="J482" i="36"/>
  <c r="K482" i="36"/>
  <c r="H483" i="36"/>
  <c r="I483" i="36"/>
  <c r="J483" i="36"/>
  <c r="K483" i="36"/>
  <c r="H484" i="36"/>
  <c r="I484" i="36"/>
  <c r="J484" i="36"/>
  <c r="K484" i="36"/>
  <c r="H485" i="36"/>
  <c r="I485" i="36"/>
  <c r="J485" i="36"/>
  <c r="K485" i="36"/>
  <c r="H486" i="36"/>
  <c r="I486" i="36"/>
  <c r="J486" i="36"/>
  <c r="K486" i="36"/>
  <c r="H487" i="36"/>
  <c r="I487" i="36"/>
  <c r="J487" i="36"/>
  <c r="K487" i="36"/>
  <c r="H488" i="36"/>
  <c r="I488" i="36"/>
  <c r="J488" i="36"/>
  <c r="K488" i="36"/>
  <c r="H489" i="36"/>
  <c r="I489" i="36"/>
  <c r="J489" i="36"/>
  <c r="K489" i="36"/>
  <c r="H490" i="36"/>
  <c r="I490" i="36"/>
  <c r="J490" i="36"/>
  <c r="K490" i="36"/>
  <c r="H491" i="36"/>
  <c r="I491" i="36"/>
  <c r="J491" i="36"/>
  <c r="K491" i="36"/>
  <c r="H492" i="36"/>
  <c r="I492" i="36"/>
  <c r="J492" i="36"/>
  <c r="K492" i="36"/>
  <c r="H493" i="36"/>
  <c r="I493" i="36"/>
  <c r="J493" i="36"/>
  <c r="K493" i="36"/>
  <c r="H494" i="36"/>
  <c r="I494" i="36"/>
  <c r="J494" i="36"/>
  <c r="K494" i="36"/>
  <c r="H495" i="36"/>
  <c r="I495" i="36"/>
  <c r="J495" i="36"/>
  <c r="K495" i="36"/>
  <c r="H496" i="36"/>
  <c r="I496" i="36"/>
  <c r="J496" i="36"/>
  <c r="K496" i="36"/>
  <c r="H497" i="36"/>
  <c r="I497" i="36"/>
  <c r="J497" i="36"/>
  <c r="K497" i="36"/>
  <c r="H498" i="36"/>
  <c r="I498" i="36"/>
  <c r="J498" i="36"/>
  <c r="K498" i="36"/>
  <c r="H499" i="36"/>
  <c r="I499" i="36"/>
  <c r="J499" i="36"/>
  <c r="K499" i="36"/>
  <c r="H500" i="36"/>
  <c r="I500" i="36"/>
  <c r="J500" i="36"/>
  <c r="K500" i="36"/>
  <c r="H501" i="36"/>
  <c r="I501" i="36"/>
  <c r="J501" i="36"/>
  <c r="K501" i="36"/>
  <c r="H502" i="36"/>
  <c r="I502" i="36"/>
  <c r="J502" i="36"/>
  <c r="K502" i="36"/>
  <c r="H503" i="36"/>
  <c r="I503" i="36"/>
  <c r="J503" i="36"/>
  <c r="K503" i="36"/>
  <c r="H504" i="36"/>
  <c r="I504" i="36"/>
  <c r="J504" i="36"/>
  <c r="K504" i="36"/>
  <c r="H505" i="36"/>
  <c r="I505" i="36"/>
  <c r="J505" i="36"/>
  <c r="K505" i="36"/>
  <c r="H506" i="36"/>
  <c r="I506" i="36"/>
  <c r="J506" i="36"/>
  <c r="K506" i="36"/>
  <c r="H507" i="36"/>
  <c r="I507" i="36"/>
  <c r="J507" i="36"/>
  <c r="K507" i="36"/>
  <c r="H508" i="36"/>
  <c r="I508" i="36"/>
  <c r="J508" i="36"/>
  <c r="K508" i="36"/>
  <c r="H509" i="36"/>
  <c r="I509" i="36"/>
  <c r="J509" i="36"/>
  <c r="K509" i="36"/>
  <c r="H510" i="36"/>
  <c r="I510" i="36"/>
  <c r="J510" i="36"/>
  <c r="K510" i="36"/>
  <c r="H511" i="36"/>
  <c r="I511" i="36"/>
  <c r="J511" i="36"/>
  <c r="K511" i="36"/>
  <c r="H512" i="36"/>
  <c r="I512" i="36"/>
  <c r="J512" i="36"/>
  <c r="K512" i="36"/>
  <c r="H513" i="36"/>
  <c r="I513" i="36"/>
  <c r="J513" i="36"/>
  <c r="K513" i="36"/>
  <c r="H514" i="36"/>
  <c r="I514" i="36"/>
  <c r="J514" i="36"/>
  <c r="K514" i="36"/>
  <c r="H515" i="36"/>
  <c r="I515" i="36"/>
  <c r="J515" i="36"/>
  <c r="K515" i="36"/>
  <c r="H516" i="36"/>
  <c r="I516" i="36"/>
  <c r="J516" i="36"/>
  <c r="K516" i="36"/>
  <c r="H517" i="36"/>
  <c r="I517" i="36"/>
  <c r="J517" i="36"/>
  <c r="K517" i="36"/>
  <c r="H518" i="36"/>
  <c r="I518" i="36"/>
  <c r="J518" i="36"/>
  <c r="K518" i="36"/>
  <c r="H519" i="36"/>
  <c r="I519" i="36"/>
  <c r="J519" i="36"/>
  <c r="K519" i="36"/>
  <c r="H520" i="36"/>
  <c r="I520" i="36"/>
  <c r="J520" i="36"/>
  <c r="K520" i="36"/>
  <c r="H521" i="36"/>
  <c r="I521" i="36"/>
  <c r="J521" i="36"/>
  <c r="K521" i="36"/>
  <c r="H522" i="36"/>
  <c r="I522" i="36"/>
  <c r="J522" i="36"/>
  <c r="K522" i="36"/>
  <c r="H523" i="36"/>
  <c r="I523" i="36"/>
  <c r="J523" i="36"/>
  <c r="K523" i="36"/>
  <c r="H524" i="36"/>
  <c r="I524" i="36"/>
  <c r="J524" i="36"/>
  <c r="K524" i="36"/>
  <c r="H525" i="36"/>
  <c r="I525" i="36"/>
  <c r="J525" i="36"/>
  <c r="K525" i="36"/>
  <c r="H526" i="36"/>
  <c r="I526" i="36"/>
  <c r="J526" i="36"/>
  <c r="K526" i="36"/>
  <c r="H527" i="36"/>
  <c r="I527" i="36"/>
  <c r="J527" i="36"/>
  <c r="K527" i="36"/>
  <c r="H528" i="36"/>
  <c r="I528" i="36"/>
  <c r="J528" i="36"/>
  <c r="K528" i="36"/>
  <c r="H529" i="36"/>
  <c r="I529" i="36"/>
  <c r="J529" i="36"/>
  <c r="K529" i="36"/>
  <c r="H530" i="36"/>
  <c r="I530" i="36"/>
  <c r="J530" i="36"/>
  <c r="K530" i="36"/>
  <c r="H531" i="36"/>
  <c r="I531" i="36"/>
  <c r="J531" i="36"/>
  <c r="K531" i="36"/>
  <c r="H532" i="36"/>
  <c r="I532" i="36"/>
  <c r="J532" i="36"/>
  <c r="K532" i="36"/>
  <c r="H533" i="36"/>
  <c r="I533" i="36"/>
  <c r="J533" i="36"/>
  <c r="K533" i="36"/>
  <c r="H534" i="36"/>
  <c r="I534" i="36"/>
  <c r="J534" i="36"/>
  <c r="K534" i="36"/>
  <c r="H535" i="36"/>
  <c r="I535" i="36"/>
  <c r="J535" i="36"/>
  <c r="K535" i="36"/>
  <c r="H536" i="36"/>
  <c r="I536" i="36"/>
  <c r="J536" i="36"/>
  <c r="K536" i="36"/>
  <c r="H537" i="36"/>
  <c r="I537" i="36"/>
  <c r="J537" i="36"/>
  <c r="K537" i="36"/>
  <c r="H538" i="36"/>
  <c r="I538" i="36"/>
  <c r="J538" i="36"/>
  <c r="K538" i="36"/>
  <c r="H539" i="36"/>
  <c r="I539" i="36"/>
  <c r="J539" i="36"/>
  <c r="K539" i="36"/>
  <c r="H540" i="36"/>
  <c r="I540" i="36"/>
  <c r="J540" i="36"/>
  <c r="K540" i="36"/>
  <c r="H541" i="36"/>
  <c r="I541" i="36"/>
  <c r="J541" i="36"/>
  <c r="K541" i="36"/>
  <c r="H542" i="36"/>
  <c r="I542" i="36"/>
  <c r="J542" i="36"/>
  <c r="K542" i="36"/>
  <c r="H543" i="36"/>
  <c r="I543" i="36"/>
  <c r="J543" i="36"/>
  <c r="K543" i="36"/>
  <c r="H544" i="36"/>
  <c r="I544" i="36"/>
  <c r="J544" i="36"/>
  <c r="K544" i="36"/>
  <c r="H545" i="36"/>
  <c r="I545" i="36"/>
  <c r="J545" i="36"/>
  <c r="K545" i="36"/>
  <c r="H546" i="36"/>
  <c r="I546" i="36"/>
  <c r="J546" i="36"/>
  <c r="K546" i="36"/>
  <c r="H547" i="36"/>
  <c r="I547" i="36"/>
  <c r="J547" i="36"/>
  <c r="K547" i="36"/>
  <c r="H548" i="36"/>
  <c r="I548" i="36"/>
  <c r="J548" i="36"/>
  <c r="K548" i="36"/>
  <c r="H549" i="36"/>
  <c r="I549" i="36"/>
  <c r="J549" i="36"/>
  <c r="K549" i="36"/>
  <c r="H550" i="36"/>
  <c r="I550" i="36"/>
  <c r="J550" i="36"/>
  <c r="K550" i="36"/>
  <c r="H551" i="36"/>
  <c r="I551" i="36"/>
  <c r="J551" i="36"/>
  <c r="K551" i="36"/>
  <c r="H552" i="36"/>
  <c r="I552" i="36"/>
  <c r="J552" i="36"/>
  <c r="K552" i="36"/>
  <c r="H553" i="36"/>
  <c r="I553" i="36"/>
  <c r="J553" i="36"/>
  <c r="K553" i="36"/>
  <c r="H554" i="36"/>
  <c r="I554" i="36"/>
  <c r="J554" i="36"/>
  <c r="K554" i="36"/>
  <c r="H555" i="36"/>
  <c r="I555" i="36"/>
  <c r="J555" i="36"/>
  <c r="K555" i="36"/>
  <c r="H556" i="36"/>
  <c r="I556" i="36"/>
  <c r="J556" i="36"/>
  <c r="K556" i="36"/>
  <c r="H557" i="36"/>
  <c r="I557" i="36"/>
  <c r="J557" i="36"/>
  <c r="K557" i="36"/>
  <c r="H558" i="36"/>
  <c r="I558" i="36"/>
  <c r="J558" i="36"/>
  <c r="K558" i="36"/>
  <c r="H559" i="36"/>
  <c r="I559" i="36"/>
  <c r="J559" i="36"/>
  <c r="K559" i="36"/>
  <c r="H560" i="36"/>
  <c r="I560" i="36"/>
  <c r="J560" i="36"/>
  <c r="K560" i="36"/>
  <c r="H561" i="36"/>
  <c r="I561" i="36"/>
  <c r="J561" i="36"/>
  <c r="K561" i="36"/>
  <c r="H562" i="36"/>
  <c r="I562" i="36"/>
  <c r="J562" i="36"/>
  <c r="K562" i="36"/>
  <c r="H563" i="36"/>
  <c r="I563" i="36"/>
  <c r="J563" i="36"/>
  <c r="K563" i="36"/>
  <c r="H564" i="36"/>
  <c r="I564" i="36"/>
  <c r="J564" i="36"/>
  <c r="K564" i="36"/>
  <c r="H565" i="36"/>
  <c r="I565" i="36"/>
  <c r="J565" i="36"/>
  <c r="K565" i="36"/>
  <c r="H566" i="36"/>
  <c r="I566" i="36"/>
  <c r="J566" i="36"/>
  <c r="K566" i="36"/>
  <c r="H567" i="36"/>
  <c r="I567" i="36"/>
  <c r="J567" i="36"/>
  <c r="K567" i="36"/>
  <c r="H568" i="36"/>
  <c r="I568" i="36"/>
  <c r="J568" i="36"/>
  <c r="K568" i="36"/>
  <c r="H569" i="36"/>
  <c r="I569" i="36"/>
  <c r="J569" i="36"/>
  <c r="K569" i="36"/>
  <c r="H570" i="36"/>
  <c r="I570" i="36"/>
  <c r="J570" i="36"/>
  <c r="K570" i="36"/>
  <c r="H571" i="36"/>
  <c r="I571" i="36"/>
  <c r="J571" i="36"/>
  <c r="K571" i="36"/>
  <c r="H572" i="36"/>
  <c r="I572" i="36"/>
  <c r="J572" i="36"/>
  <c r="K572" i="36"/>
  <c r="H573" i="36"/>
  <c r="I573" i="36"/>
  <c r="J573" i="36"/>
  <c r="K573" i="36"/>
  <c r="H574" i="36"/>
  <c r="I574" i="36"/>
  <c r="J574" i="36"/>
  <c r="K574" i="36"/>
  <c r="H575" i="36"/>
  <c r="I575" i="36"/>
  <c r="J575" i="36"/>
  <c r="K575" i="36"/>
  <c r="H576" i="36"/>
  <c r="I576" i="36"/>
  <c r="J576" i="36"/>
  <c r="K576" i="36"/>
  <c r="H577" i="36"/>
  <c r="I577" i="36"/>
  <c r="J577" i="36"/>
  <c r="K577" i="36"/>
  <c r="H578" i="36"/>
  <c r="I578" i="36"/>
  <c r="J578" i="36"/>
  <c r="K578" i="36"/>
  <c r="H579" i="36"/>
  <c r="I579" i="36"/>
  <c r="J579" i="36"/>
  <c r="K579" i="36"/>
  <c r="H580" i="36"/>
  <c r="I580" i="36"/>
  <c r="J580" i="36"/>
  <c r="K580" i="36"/>
  <c r="H581" i="36"/>
  <c r="I581" i="36"/>
  <c r="J581" i="36"/>
  <c r="K581" i="36"/>
  <c r="H582" i="36"/>
  <c r="I582" i="36"/>
  <c r="J582" i="36"/>
  <c r="K582" i="36"/>
  <c r="H583" i="36"/>
  <c r="I583" i="36"/>
  <c r="J583" i="36"/>
  <c r="K583" i="36"/>
  <c r="H584" i="36"/>
  <c r="I584" i="36"/>
  <c r="J584" i="36"/>
  <c r="K584" i="36"/>
  <c r="H585" i="36"/>
  <c r="I585" i="36"/>
  <c r="J585" i="36"/>
  <c r="K585" i="36"/>
  <c r="H586" i="36"/>
  <c r="I586" i="36"/>
  <c r="J586" i="36"/>
  <c r="K586" i="36"/>
  <c r="H587" i="36"/>
  <c r="I587" i="36"/>
  <c r="J587" i="36"/>
  <c r="K587" i="36"/>
  <c r="H588" i="36"/>
  <c r="I588" i="36"/>
  <c r="J588" i="36"/>
  <c r="K588" i="36"/>
  <c r="H589" i="36"/>
  <c r="I589" i="36"/>
  <c r="J589" i="36"/>
  <c r="K589" i="36"/>
  <c r="H590" i="36"/>
  <c r="I590" i="36"/>
  <c r="J590" i="36"/>
  <c r="K590" i="36"/>
  <c r="H591" i="36"/>
  <c r="I591" i="36"/>
  <c r="J591" i="36"/>
  <c r="K591" i="36"/>
  <c r="H592" i="36"/>
  <c r="I592" i="36"/>
  <c r="J592" i="36"/>
  <c r="K592" i="36"/>
  <c r="H593" i="36"/>
  <c r="I593" i="36"/>
  <c r="J593" i="36"/>
  <c r="K593" i="36"/>
  <c r="H594" i="36"/>
  <c r="I594" i="36"/>
  <c r="J594" i="36"/>
  <c r="K594" i="36"/>
  <c r="H595" i="36"/>
  <c r="I595" i="36"/>
  <c r="J595" i="36"/>
  <c r="K595" i="36"/>
  <c r="H596" i="36"/>
  <c r="I596" i="36"/>
  <c r="J596" i="36"/>
  <c r="K596" i="36"/>
  <c r="H597" i="36"/>
  <c r="I597" i="36"/>
  <c r="J597" i="36"/>
  <c r="K597" i="36"/>
  <c r="H598" i="36"/>
  <c r="I598" i="36"/>
  <c r="J598" i="36"/>
  <c r="K598" i="36"/>
  <c r="H599" i="36"/>
  <c r="I599" i="36"/>
  <c r="J599" i="36"/>
  <c r="K599" i="36"/>
  <c r="H600" i="36"/>
  <c r="I600" i="36"/>
  <c r="J600" i="36"/>
  <c r="K600" i="36"/>
  <c r="H601" i="36"/>
  <c r="I601" i="36"/>
  <c r="J601" i="36"/>
  <c r="K601" i="36"/>
  <c r="H602" i="36"/>
  <c r="I602" i="36"/>
  <c r="J602" i="36"/>
  <c r="K602" i="36"/>
  <c r="H603" i="36"/>
  <c r="I603" i="36"/>
  <c r="J603" i="36"/>
  <c r="K603" i="36"/>
  <c r="H604" i="36"/>
  <c r="I604" i="36"/>
  <c r="J604" i="36"/>
  <c r="K604" i="36"/>
  <c r="H605" i="36"/>
  <c r="I605" i="36"/>
  <c r="J605" i="36"/>
  <c r="K605" i="36"/>
  <c r="H606" i="36"/>
  <c r="I606" i="36"/>
  <c r="J606" i="36"/>
  <c r="K606" i="36"/>
  <c r="H607" i="36"/>
  <c r="I607" i="36"/>
  <c r="J607" i="36"/>
  <c r="K607" i="36"/>
  <c r="H608" i="36"/>
  <c r="I608" i="36"/>
  <c r="J608" i="36"/>
  <c r="K608" i="36"/>
  <c r="H609" i="36"/>
  <c r="I609" i="36"/>
  <c r="J609" i="36"/>
  <c r="K609" i="36"/>
  <c r="H610" i="36"/>
  <c r="I610" i="36"/>
  <c r="J610" i="36"/>
  <c r="K610" i="36"/>
  <c r="H611" i="36"/>
  <c r="I611" i="36"/>
  <c r="J611" i="36"/>
  <c r="K611" i="36"/>
  <c r="H612" i="36"/>
  <c r="I612" i="36"/>
  <c r="J612" i="36"/>
  <c r="K612" i="36"/>
  <c r="H613" i="36"/>
  <c r="I613" i="36"/>
  <c r="J613" i="36"/>
  <c r="K613" i="36"/>
  <c r="H614" i="36"/>
  <c r="I614" i="36"/>
  <c r="J614" i="36"/>
  <c r="K614" i="36"/>
  <c r="H615" i="36"/>
  <c r="I615" i="36"/>
  <c r="J615" i="36"/>
  <c r="K615" i="36"/>
  <c r="H616" i="36"/>
  <c r="I616" i="36"/>
  <c r="J616" i="36"/>
  <c r="K616" i="36"/>
  <c r="H617" i="36"/>
  <c r="I617" i="36"/>
  <c r="J617" i="36"/>
  <c r="K617" i="36"/>
  <c r="H618" i="36"/>
  <c r="I618" i="36"/>
  <c r="J618" i="36"/>
  <c r="K618" i="36"/>
  <c r="H619" i="36"/>
  <c r="I619" i="36"/>
  <c r="J619" i="36"/>
  <c r="K619" i="36"/>
  <c r="H620" i="36"/>
  <c r="I620" i="36"/>
  <c r="J620" i="36"/>
  <c r="K620" i="36"/>
  <c r="H621" i="36"/>
  <c r="I621" i="36"/>
  <c r="J621" i="36"/>
  <c r="K621" i="36"/>
  <c r="H622" i="36"/>
  <c r="I622" i="36"/>
  <c r="J622" i="36"/>
  <c r="K622" i="36"/>
  <c r="H623" i="36"/>
  <c r="I623" i="36"/>
  <c r="J623" i="36"/>
  <c r="K623" i="36"/>
  <c r="H624" i="36"/>
  <c r="I624" i="36"/>
  <c r="J624" i="36"/>
  <c r="K624" i="36"/>
  <c r="H625" i="36"/>
  <c r="I625" i="36"/>
  <c r="J625" i="36"/>
  <c r="K625" i="36"/>
  <c r="H626" i="36"/>
  <c r="I626" i="36"/>
  <c r="J626" i="36"/>
  <c r="K626" i="36"/>
  <c r="H627" i="36"/>
  <c r="I627" i="36"/>
  <c r="J627" i="36"/>
  <c r="K627" i="36"/>
  <c r="H628" i="36"/>
  <c r="I628" i="36"/>
  <c r="J628" i="36"/>
  <c r="K628" i="36"/>
  <c r="H629" i="36"/>
  <c r="I629" i="36"/>
  <c r="J629" i="36"/>
  <c r="K629" i="36"/>
  <c r="H630" i="36"/>
  <c r="I630" i="36"/>
  <c r="J630" i="36"/>
  <c r="K630" i="36"/>
  <c r="H631" i="36"/>
  <c r="I631" i="36"/>
  <c r="J631" i="36"/>
  <c r="K631" i="36"/>
  <c r="H632" i="36"/>
  <c r="I632" i="36"/>
  <c r="J632" i="36"/>
  <c r="K632" i="36"/>
  <c r="H633" i="36"/>
  <c r="I633" i="36"/>
  <c r="J633" i="36"/>
  <c r="K633" i="36"/>
  <c r="H634" i="36"/>
  <c r="I634" i="36"/>
  <c r="J634" i="36"/>
  <c r="K634" i="36"/>
  <c r="H635" i="36"/>
  <c r="I635" i="36"/>
  <c r="J635" i="36"/>
  <c r="K635" i="36"/>
  <c r="H636" i="36"/>
  <c r="I636" i="36"/>
  <c r="J636" i="36"/>
  <c r="K636" i="36"/>
  <c r="H637" i="36"/>
  <c r="I637" i="36"/>
  <c r="J637" i="36"/>
  <c r="K637" i="36"/>
  <c r="H638" i="36"/>
  <c r="I638" i="36"/>
  <c r="J638" i="36"/>
  <c r="K638" i="36"/>
  <c r="H639" i="36"/>
  <c r="I639" i="36"/>
  <c r="J639" i="36"/>
  <c r="K639" i="36"/>
  <c r="H640" i="36"/>
  <c r="I640" i="36"/>
  <c r="J640" i="36"/>
  <c r="K640" i="36"/>
  <c r="H641" i="36"/>
  <c r="I641" i="36"/>
  <c r="J641" i="36"/>
  <c r="K641" i="36"/>
  <c r="H642" i="36"/>
  <c r="I642" i="36"/>
  <c r="J642" i="36"/>
  <c r="K642" i="36"/>
  <c r="H643" i="36"/>
  <c r="I643" i="36"/>
  <c r="J643" i="36"/>
  <c r="K643" i="36"/>
  <c r="H644" i="36"/>
  <c r="I644" i="36"/>
  <c r="J644" i="36"/>
  <c r="K644" i="36"/>
  <c r="H645" i="36"/>
  <c r="I645" i="36"/>
  <c r="J645" i="36"/>
  <c r="K645" i="36"/>
  <c r="H646" i="36"/>
  <c r="I646" i="36"/>
  <c r="J646" i="36"/>
  <c r="K646" i="36"/>
  <c r="H647" i="36"/>
  <c r="I647" i="36"/>
  <c r="J647" i="36"/>
  <c r="K647" i="36"/>
  <c r="H648" i="36"/>
  <c r="I648" i="36"/>
  <c r="J648" i="36"/>
  <c r="K648" i="36"/>
  <c r="H649" i="36"/>
  <c r="I649" i="36"/>
  <c r="J649" i="36"/>
  <c r="K649" i="36"/>
  <c r="H650" i="36"/>
  <c r="I650" i="36"/>
  <c r="J650" i="36"/>
  <c r="K650" i="36"/>
  <c r="H651" i="36"/>
  <c r="I651" i="36"/>
  <c r="J651" i="36"/>
  <c r="K651" i="36"/>
  <c r="H652" i="36"/>
  <c r="I652" i="36"/>
  <c r="J652" i="36"/>
  <c r="K652" i="36"/>
  <c r="H653" i="36"/>
  <c r="I653" i="36"/>
  <c r="J653" i="36"/>
  <c r="K653" i="36"/>
  <c r="H654" i="36"/>
  <c r="I654" i="36"/>
  <c r="J654" i="36"/>
  <c r="K654" i="36"/>
  <c r="H655" i="36"/>
  <c r="I655" i="36"/>
  <c r="J655" i="36"/>
  <c r="K655" i="36"/>
  <c r="H656" i="36"/>
  <c r="I656" i="36"/>
  <c r="J656" i="36"/>
  <c r="K656" i="36"/>
  <c r="H657" i="36"/>
  <c r="I657" i="36"/>
  <c r="J657" i="36"/>
  <c r="K657" i="36"/>
  <c r="H658" i="36"/>
  <c r="I658" i="36"/>
  <c r="J658" i="36"/>
  <c r="K658" i="36"/>
  <c r="H659" i="36"/>
  <c r="I659" i="36"/>
  <c r="J659" i="36"/>
  <c r="K659" i="36"/>
  <c r="H660" i="36"/>
  <c r="I660" i="36"/>
  <c r="J660" i="36"/>
  <c r="K660" i="36"/>
  <c r="H661" i="36"/>
  <c r="I661" i="36"/>
  <c r="J661" i="36"/>
  <c r="K661" i="36"/>
  <c r="H662" i="36"/>
  <c r="I662" i="36"/>
  <c r="J662" i="36"/>
  <c r="K662" i="36"/>
  <c r="H663" i="36"/>
  <c r="I663" i="36"/>
  <c r="J663" i="36"/>
  <c r="K663" i="36"/>
  <c r="H664" i="36"/>
  <c r="I664" i="36"/>
  <c r="J664" i="36"/>
  <c r="K664" i="36"/>
  <c r="H665" i="36"/>
  <c r="I665" i="36"/>
  <c r="J665" i="36"/>
  <c r="K665" i="36"/>
  <c r="H666" i="36"/>
  <c r="I666" i="36"/>
  <c r="J666" i="36"/>
  <c r="K666" i="36"/>
  <c r="H667" i="36"/>
  <c r="I667" i="36"/>
  <c r="J667" i="36"/>
  <c r="K667" i="36"/>
  <c r="H668" i="36"/>
  <c r="I668" i="36"/>
  <c r="J668" i="36"/>
  <c r="K668" i="36"/>
  <c r="H669" i="36"/>
  <c r="I669" i="36"/>
  <c r="J669" i="36"/>
  <c r="K669" i="36"/>
  <c r="H670" i="36"/>
  <c r="I670" i="36"/>
  <c r="J670" i="36"/>
  <c r="K670" i="36"/>
  <c r="H671" i="36"/>
  <c r="I671" i="36"/>
  <c r="J671" i="36"/>
  <c r="K671" i="36"/>
  <c r="H672" i="36"/>
  <c r="I672" i="36"/>
  <c r="J672" i="36"/>
  <c r="K672" i="36"/>
  <c r="H673" i="36"/>
  <c r="I673" i="36"/>
  <c r="J673" i="36"/>
  <c r="K673" i="36"/>
  <c r="H674" i="36"/>
  <c r="I674" i="36"/>
  <c r="J674" i="36"/>
  <c r="K674" i="36"/>
  <c r="H675" i="36"/>
  <c r="I675" i="36"/>
  <c r="J675" i="36"/>
  <c r="K675" i="36"/>
  <c r="H676" i="36"/>
  <c r="I676" i="36"/>
  <c r="J676" i="36"/>
  <c r="K676" i="36"/>
  <c r="H677" i="36"/>
  <c r="I677" i="36"/>
  <c r="J677" i="36"/>
  <c r="K677" i="36"/>
  <c r="H678" i="36"/>
  <c r="I678" i="36"/>
  <c r="J678" i="36"/>
  <c r="K678" i="36"/>
  <c r="H679" i="36"/>
  <c r="I679" i="36"/>
  <c r="J679" i="36"/>
  <c r="K679" i="36"/>
  <c r="H680" i="36"/>
  <c r="I680" i="36"/>
  <c r="J680" i="36"/>
  <c r="K680" i="36"/>
  <c r="H681" i="36"/>
  <c r="I681" i="36"/>
  <c r="J681" i="36"/>
  <c r="K681" i="36"/>
  <c r="H682" i="36"/>
  <c r="I682" i="36"/>
  <c r="J682" i="36"/>
  <c r="K682" i="36"/>
  <c r="H683" i="36"/>
  <c r="I683" i="36"/>
  <c r="J683" i="36"/>
  <c r="K683" i="36"/>
  <c r="H684" i="36"/>
  <c r="I684" i="36"/>
  <c r="J684" i="36"/>
  <c r="K684" i="36"/>
  <c r="H685" i="36"/>
  <c r="I685" i="36"/>
  <c r="J685" i="36"/>
  <c r="K685" i="36"/>
  <c r="H686" i="36"/>
  <c r="I686" i="36"/>
  <c r="J686" i="36"/>
  <c r="K686" i="36"/>
  <c r="H687" i="36"/>
  <c r="I687" i="36"/>
  <c r="J687" i="36"/>
  <c r="K687" i="36"/>
  <c r="H688" i="36"/>
  <c r="I688" i="36"/>
  <c r="J688" i="36"/>
  <c r="K688" i="36"/>
  <c r="H689" i="36"/>
  <c r="I689" i="36"/>
  <c r="J689" i="36"/>
  <c r="K689" i="36"/>
  <c r="H690" i="36"/>
  <c r="I690" i="36"/>
  <c r="J690" i="36"/>
  <c r="K690" i="36"/>
  <c r="H691" i="36"/>
  <c r="I691" i="36"/>
  <c r="J691" i="36"/>
  <c r="K691" i="36"/>
  <c r="H692" i="36"/>
  <c r="I692" i="36"/>
  <c r="J692" i="36"/>
  <c r="K692" i="36"/>
  <c r="H693" i="36"/>
  <c r="I693" i="36"/>
  <c r="J693" i="36"/>
  <c r="K693" i="36"/>
  <c r="H694" i="36"/>
  <c r="I694" i="36"/>
  <c r="J694" i="36"/>
  <c r="K694" i="36"/>
  <c r="H695" i="36"/>
  <c r="I695" i="36"/>
  <c r="J695" i="36"/>
  <c r="K695" i="36"/>
  <c r="H696" i="36"/>
  <c r="I696" i="36"/>
  <c r="J696" i="36"/>
  <c r="K696" i="36"/>
  <c r="H697" i="36"/>
  <c r="I697" i="36"/>
  <c r="J697" i="36"/>
  <c r="K697" i="36"/>
  <c r="H698" i="36"/>
  <c r="I698" i="36"/>
  <c r="J698" i="36"/>
  <c r="K698" i="36"/>
  <c r="H699" i="36"/>
  <c r="I699" i="36"/>
  <c r="J699" i="36"/>
  <c r="K699" i="36"/>
  <c r="H700" i="36"/>
  <c r="I700" i="36"/>
  <c r="J700" i="36"/>
  <c r="K700" i="36"/>
  <c r="H701" i="36"/>
  <c r="I701" i="36"/>
  <c r="J701" i="36"/>
  <c r="K701" i="36"/>
  <c r="H702" i="36"/>
  <c r="I702" i="36"/>
  <c r="J702" i="36"/>
  <c r="K702" i="36"/>
  <c r="H703" i="36"/>
  <c r="I703" i="36"/>
  <c r="J703" i="36"/>
  <c r="K703" i="36"/>
  <c r="H704" i="36"/>
  <c r="I704" i="36"/>
  <c r="J704" i="36"/>
  <c r="K704" i="36"/>
  <c r="H705" i="36"/>
  <c r="I705" i="36"/>
  <c r="J705" i="36"/>
  <c r="K705" i="36"/>
  <c r="H706" i="36"/>
  <c r="I706" i="36"/>
  <c r="J706" i="36"/>
  <c r="K706" i="36"/>
  <c r="H707" i="36"/>
  <c r="I707" i="36"/>
  <c r="J707" i="36"/>
  <c r="K707" i="36"/>
  <c r="H708" i="36"/>
  <c r="I708" i="36"/>
  <c r="J708" i="36"/>
  <c r="K708" i="36"/>
  <c r="H709" i="36"/>
  <c r="I709" i="36"/>
  <c r="J709" i="36"/>
  <c r="K709" i="36"/>
  <c r="H710" i="36"/>
  <c r="I710" i="36"/>
  <c r="J710" i="36"/>
  <c r="K710" i="36"/>
  <c r="H711" i="36"/>
  <c r="I711" i="36"/>
  <c r="J711" i="36"/>
  <c r="K711" i="36"/>
  <c r="H712" i="36"/>
  <c r="I712" i="36"/>
  <c r="J712" i="36"/>
  <c r="K712" i="36"/>
  <c r="H713" i="36"/>
  <c r="I713" i="36"/>
  <c r="J713" i="36"/>
  <c r="K713" i="36"/>
  <c r="H714" i="36"/>
  <c r="I714" i="36"/>
  <c r="J714" i="36"/>
  <c r="K714" i="36"/>
  <c r="H715" i="36"/>
  <c r="I715" i="36"/>
  <c r="J715" i="36"/>
  <c r="K715" i="36"/>
  <c r="H716" i="36"/>
  <c r="I716" i="36"/>
  <c r="J716" i="36"/>
  <c r="K716" i="36"/>
  <c r="H717" i="36"/>
  <c r="I717" i="36"/>
  <c r="J717" i="36"/>
  <c r="K717" i="36"/>
  <c r="H718" i="36"/>
  <c r="I718" i="36"/>
  <c r="J718" i="36"/>
  <c r="K718" i="36"/>
  <c r="H719" i="36"/>
  <c r="I719" i="36"/>
  <c r="J719" i="36"/>
  <c r="K719" i="36"/>
  <c r="H720" i="36"/>
  <c r="I720" i="36"/>
  <c r="J720" i="36"/>
  <c r="K720" i="36"/>
  <c r="H721" i="36"/>
  <c r="I721" i="36"/>
  <c r="J721" i="36"/>
  <c r="K721" i="36"/>
  <c r="H722" i="36"/>
  <c r="I722" i="36"/>
  <c r="J722" i="36"/>
  <c r="K722" i="36"/>
  <c r="H723" i="36"/>
  <c r="I723" i="36"/>
  <c r="J723" i="36"/>
  <c r="K723" i="36"/>
  <c r="H724" i="36"/>
  <c r="I724" i="36"/>
  <c r="J724" i="36"/>
  <c r="K724" i="36"/>
  <c r="H725" i="36"/>
  <c r="I725" i="36"/>
  <c r="J725" i="36"/>
  <c r="K725" i="36"/>
  <c r="H726" i="36"/>
  <c r="I726" i="36"/>
  <c r="J726" i="36"/>
  <c r="K726" i="36"/>
  <c r="H727" i="36"/>
  <c r="I727" i="36"/>
  <c r="J727" i="36"/>
  <c r="K727" i="36"/>
  <c r="H728" i="36"/>
  <c r="I728" i="36"/>
  <c r="J728" i="36"/>
  <c r="K728" i="36"/>
  <c r="H729" i="36"/>
  <c r="I729" i="36"/>
  <c r="J729" i="36"/>
  <c r="K729" i="36"/>
  <c r="H730" i="36"/>
  <c r="I730" i="36"/>
  <c r="J730" i="36"/>
  <c r="K730" i="36"/>
  <c r="H731" i="36"/>
  <c r="I731" i="36"/>
  <c r="J731" i="36"/>
  <c r="K731" i="36"/>
  <c r="H732" i="36"/>
  <c r="I732" i="36"/>
  <c r="J732" i="36"/>
  <c r="K732" i="36"/>
  <c r="H733" i="36"/>
  <c r="I733" i="36"/>
  <c r="J733" i="36"/>
  <c r="K733" i="36"/>
  <c r="H734" i="36"/>
  <c r="I734" i="36"/>
  <c r="J734" i="36"/>
  <c r="K734" i="36"/>
  <c r="H735" i="36"/>
  <c r="I735" i="36"/>
  <c r="J735" i="36"/>
  <c r="K735" i="36"/>
  <c r="H736" i="36"/>
  <c r="I736" i="36"/>
  <c r="J736" i="36"/>
  <c r="K736" i="36"/>
  <c r="H737" i="36"/>
  <c r="I737" i="36"/>
  <c r="J737" i="36"/>
  <c r="K737" i="36"/>
  <c r="H738" i="36"/>
  <c r="I738" i="36"/>
  <c r="J738" i="36"/>
  <c r="K738" i="36"/>
  <c r="H739" i="36"/>
  <c r="I739" i="36"/>
  <c r="J739" i="36"/>
  <c r="K739" i="36"/>
  <c r="H740" i="36"/>
  <c r="I740" i="36"/>
  <c r="J740" i="36"/>
  <c r="K740" i="36"/>
  <c r="H741" i="36"/>
  <c r="I741" i="36"/>
  <c r="J741" i="36"/>
  <c r="K741" i="36"/>
  <c r="H742" i="36"/>
  <c r="I742" i="36"/>
  <c r="J742" i="36"/>
  <c r="K742" i="36"/>
  <c r="H743" i="36"/>
  <c r="I743" i="36"/>
  <c r="J743" i="36"/>
  <c r="K743" i="36"/>
  <c r="H744" i="36"/>
  <c r="I744" i="36"/>
  <c r="J744" i="36"/>
  <c r="K744" i="36"/>
  <c r="H745" i="36"/>
  <c r="I745" i="36"/>
  <c r="J745" i="36"/>
  <c r="K745" i="36"/>
  <c r="H746" i="36"/>
  <c r="I746" i="36"/>
  <c r="J746" i="36"/>
  <c r="K746" i="36"/>
  <c r="H747" i="36"/>
  <c r="I747" i="36"/>
  <c r="J747" i="36"/>
  <c r="K747" i="36"/>
  <c r="H748" i="36"/>
  <c r="I748" i="36"/>
  <c r="J748" i="36"/>
  <c r="K748" i="36"/>
  <c r="H749" i="36"/>
  <c r="I749" i="36"/>
  <c r="J749" i="36"/>
  <c r="K749" i="36"/>
  <c r="H750" i="36"/>
  <c r="I750" i="36"/>
  <c r="J750" i="36"/>
  <c r="K750" i="36"/>
  <c r="H751" i="36"/>
  <c r="I751" i="36"/>
  <c r="J751" i="36"/>
  <c r="K751" i="36"/>
  <c r="H752" i="36"/>
  <c r="I752" i="36"/>
  <c r="J752" i="36"/>
  <c r="K752" i="36"/>
  <c r="H753" i="36"/>
  <c r="I753" i="36"/>
  <c r="J753" i="36"/>
  <c r="K753" i="36"/>
  <c r="H754" i="36"/>
  <c r="I754" i="36"/>
  <c r="J754" i="36"/>
  <c r="K754" i="36"/>
  <c r="H755" i="36"/>
  <c r="I755" i="36"/>
  <c r="J755" i="36"/>
  <c r="K755" i="36"/>
  <c r="H756" i="36"/>
  <c r="I756" i="36"/>
  <c r="J756" i="36"/>
  <c r="K756" i="36"/>
  <c r="H757" i="36"/>
  <c r="I757" i="36"/>
  <c r="J757" i="36"/>
  <c r="K757" i="36"/>
  <c r="H758" i="36"/>
  <c r="I758" i="36"/>
  <c r="J758" i="36"/>
  <c r="K758" i="36"/>
  <c r="H759" i="36"/>
  <c r="I759" i="36"/>
  <c r="J759" i="36"/>
  <c r="K759" i="36"/>
  <c r="H760" i="36"/>
  <c r="I760" i="36"/>
  <c r="J760" i="36"/>
  <c r="K760" i="36"/>
  <c r="H761" i="36"/>
  <c r="I761" i="36"/>
  <c r="J761" i="36"/>
  <c r="K761" i="36"/>
  <c r="H762" i="36"/>
  <c r="I762" i="36"/>
  <c r="J762" i="36"/>
  <c r="K762" i="36"/>
  <c r="H763" i="36"/>
  <c r="I763" i="36"/>
  <c r="J763" i="36"/>
  <c r="K763" i="36"/>
  <c r="H764" i="36"/>
  <c r="I764" i="36"/>
  <c r="J764" i="36"/>
  <c r="K764" i="36"/>
  <c r="H765" i="36"/>
  <c r="I765" i="36"/>
  <c r="J765" i="36"/>
  <c r="K765" i="36"/>
  <c r="H766" i="36"/>
  <c r="I766" i="36"/>
  <c r="J766" i="36"/>
  <c r="K766" i="36"/>
  <c r="H767" i="36"/>
  <c r="I767" i="36"/>
  <c r="J767" i="36"/>
  <c r="K767" i="36"/>
  <c r="H768" i="36"/>
  <c r="I768" i="36"/>
  <c r="J768" i="36"/>
  <c r="K768" i="36"/>
  <c r="H769" i="36"/>
  <c r="I769" i="36"/>
  <c r="J769" i="36"/>
  <c r="K769" i="36"/>
  <c r="H770" i="36"/>
  <c r="I770" i="36"/>
  <c r="J770" i="36"/>
  <c r="K770" i="36"/>
  <c r="H771" i="36"/>
  <c r="I771" i="36"/>
  <c r="J771" i="36"/>
  <c r="K771" i="36"/>
  <c r="H772" i="36"/>
  <c r="I772" i="36"/>
  <c r="J772" i="36"/>
  <c r="K772" i="36"/>
  <c r="H773" i="36"/>
  <c r="I773" i="36"/>
  <c r="J773" i="36"/>
  <c r="K773" i="36"/>
  <c r="H774" i="36"/>
  <c r="I774" i="36"/>
  <c r="J774" i="36"/>
  <c r="K774" i="36"/>
  <c r="H775" i="36"/>
  <c r="I775" i="36"/>
  <c r="J775" i="36"/>
  <c r="K775" i="36"/>
  <c r="H776" i="36"/>
  <c r="I776" i="36"/>
  <c r="J776" i="36"/>
  <c r="K776" i="36"/>
  <c r="H777" i="36"/>
  <c r="I777" i="36"/>
  <c r="J777" i="36"/>
  <c r="K777" i="36"/>
  <c r="H778" i="36"/>
  <c r="I778" i="36"/>
  <c r="J778" i="36"/>
  <c r="K778" i="36"/>
  <c r="H779" i="36"/>
  <c r="I779" i="36"/>
  <c r="J779" i="36"/>
  <c r="K779" i="36"/>
  <c r="H780" i="36"/>
  <c r="I780" i="36"/>
  <c r="J780" i="36"/>
  <c r="K780" i="36"/>
  <c r="H781" i="36"/>
  <c r="I781" i="36"/>
  <c r="J781" i="36"/>
  <c r="K781" i="36"/>
  <c r="H782" i="36"/>
  <c r="I782" i="36"/>
  <c r="J782" i="36"/>
  <c r="K782" i="36"/>
  <c r="H783" i="36"/>
  <c r="I783" i="36"/>
  <c r="J783" i="36"/>
  <c r="K783" i="36"/>
  <c r="H784" i="36"/>
  <c r="I784" i="36"/>
  <c r="J784" i="36"/>
  <c r="K784" i="36"/>
  <c r="H785" i="36"/>
  <c r="I785" i="36"/>
  <c r="J785" i="36"/>
  <c r="K785" i="36"/>
  <c r="H786" i="36"/>
  <c r="I786" i="36"/>
  <c r="J786" i="36"/>
  <c r="K786" i="36"/>
  <c r="H787" i="36"/>
  <c r="I787" i="36"/>
  <c r="J787" i="36"/>
  <c r="K787" i="36"/>
  <c r="H788" i="36"/>
  <c r="I788" i="36"/>
  <c r="J788" i="36"/>
  <c r="K788" i="36"/>
  <c r="H789" i="36"/>
  <c r="I789" i="36"/>
  <c r="J789" i="36"/>
  <c r="K789" i="36"/>
  <c r="H790" i="36"/>
  <c r="I790" i="36"/>
  <c r="J790" i="36"/>
  <c r="K790" i="36"/>
  <c r="H791" i="36"/>
  <c r="I791" i="36"/>
  <c r="J791" i="36"/>
  <c r="K791" i="36"/>
  <c r="H792" i="36"/>
  <c r="I792" i="36"/>
  <c r="J792" i="36"/>
  <c r="K792" i="36"/>
  <c r="H793" i="36"/>
  <c r="I793" i="36"/>
  <c r="J793" i="36"/>
  <c r="K793" i="36"/>
  <c r="H794" i="36"/>
  <c r="I794" i="36"/>
  <c r="J794" i="36"/>
  <c r="K794" i="36"/>
  <c r="H795" i="36"/>
  <c r="I795" i="36"/>
  <c r="J795" i="36"/>
  <c r="K795" i="36"/>
  <c r="H796" i="36"/>
  <c r="I796" i="36"/>
  <c r="J796" i="36"/>
  <c r="K796" i="36"/>
  <c r="H797" i="36"/>
  <c r="I797" i="36"/>
  <c r="J797" i="36"/>
  <c r="K797" i="36"/>
  <c r="H798" i="36"/>
  <c r="I798" i="36"/>
  <c r="J798" i="36"/>
  <c r="K798" i="36"/>
  <c r="H799" i="36"/>
  <c r="I799" i="36"/>
  <c r="J799" i="36"/>
  <c r="K799" i="36"/>
  <c r="H800" i="36"/>
  <c r="I800" i="36"/>
  <c r="J800" i="36"/>
  <c r="K800" i="36"/>
  <c r="H801" i="36"/>
  <c r="I801" i="36"/>
  <c r="J801" i="36"/>
  <c r="K801" i="36"/>
  <c r="H802" i="36"/>
  <c r="I802" i="36"/>
  <c r="J802" i="36"/>
  <c r="K802" i="36"/>
  <c r="H803" i="36"/>
  <c r="I803" i="36"/>
  <c r="J803" i="36"/>
  <c r="K803" i="36"/>
  <c r="H804" i="36"/>
  <c r="I804" i="36"/>
  <c r="J804" i="36"/>
  <c r="K804" i="36"/>
  <c r="H805" i="36"/>
  <c r="I805" i="36"/>
  <c r="J805" i="36"/>
  <c r="K805" i="36"/>
  <c r="H806" i="36"/>
  <c r="I806" i="36"/>
  <c r="J806" i="36"/>
  <c r="K806" i="36"/>
  <c r="H807" i="36"/>
  <c r="I807" i="36"/>
  <c r="J807" i="36"/>
  <c r="K807" i="36"/>
  <c r="H808" i="36"/>
  <c r="I808" i="36"/>
  <c r="J808" i="36"/>
  <c r="K808" i="36"/>
  <c r="H809" i="36"/>
  <c r="I809" i="36"/>
  <c r="J809" i="36"/>
  <c r="K809" i="36"/>
  <c r="H810" i="36"/>
  <c r="I810" i="36"/>
  <c r="J810" i="36"/>
  <c r="K810" i="36"/>
  <c r="H811" i="36"/>
  <c r="I811" i="36"/>
  <c r="J811" i="36"/>
  <c r="K811" i="36"/>
  <c r="H812" i="36"/>
  <c r="I812" i="36"/>
  <c r="J812" i="36"/>
  <c r="K812" i="36"/>
  <c r="H813" i="36"/>
  <c r="I813" i="36"/>
  <c r="J813" i="36"/>
  <c r="K813" i="36"/>
  <c r="H814" i="36"/>
  <c r="I814" i="36"/>
  <c r="J814" i="36"/>
  <c r="K814" i="36"/>
  <c r="H815" i="36"/>
  <c r="I815" i="36"/>
  <c r="J815" i="36"/>
  <c r="K815" i="36"/>
  <c r="H816" i="36"/>
  <c r="I816" i="36"/>
  <c r="J816" i="36"/>
  <c r="K816" i="36"/>
  <c r="H817" i="36"/>
  <c r="I817" i="36"/>
  <c r="J817" i="36"/>
  <c r="K817" i="36"/>
  <c r="H818" i="36"/>
  <c r="I818" i="36"/>
  <c r="J818" i="36"/>
  <c r="K818" i="36"/>
  <c r="H819" i="36"/>
  <c r="I819" i="36"/>
  <c r="J819" i="36"/>
  <c r="K819" i="36"/>
  <c r="H820" i="36"/>
  <c r="I820" i="36"/>
  <c r="J820" i="36"/>
  <c r="K820" i="36"/>
  <c r="H821" i="36"/>
  <c r="I821" i="36"/>
  <c r="J821" i="36"/>
  <c r="K821" i="36"/>
  <c r="H822" i="36"/>
  <c r="I822" i="36"/>
  <c r="J822" i="36"/>
  <c r="K822" i="36"/>
  <c r="H823" i="36"/>
  <c r="I823" i="36"/>
  <c r="J823" i="36"/>
  <c r="K823" i="36"/>
  <c r="H824" i="36"/>
  <c r="I824" i="36"/>
  <c r="J824" i="36"/>
  <c r="K824" i="36"/>
  <c r="H825" i="36"/>
  <c r="I825" i="36"/>
  <c r="J825" i="36"/>
  <c r="K825" i="36"/>
  <c r="H826" i="36"/>
  <c r="I826" i="36"/>
  <c r="J826" i="36"/>
  <c r="K826" i="36"/>
  <c r="H827" i="36"/>
  <c r="I827" i="36"/>
  <c r="J827" i="36"/>
  <c r="K827" i="36"/>
  <c r="H828" i="36"/>
  <c r="I828" i="36"/>
  <c r="J828" i="36"/>
  <c r="K828" i="36"/>
  <c r="H829" i="36"/>
  <c r="I829" i="36"/>
  <c r="J829" i="36"/>
  <c r="K829" i="36"/>
  <c r="H830" i="36"/>
  <c r="I830" i="36"/>
  <c r="J830" i="36"/>
  <c r="K830" i="36"/>
  <c r="H831" i="36"/>
  <c r="I831" i="36"/>
  <c r="J831" i="36"/>
  <c r="K831" i="36"/>
  <c r="H832" i="36"/>
  <c r="I832" i="36"/>
  <c r="J832" i="36"/>
  <c r="K832" i="36"/>
  <c r="H833" i="36"/>
  <c r="I833" i="36"/>
  <c r="J833" i="36"/>
  <c r="K833" i="36"/>
  <c r="H834" i="36"/>
  <c r="I834" i="36"/>
  <c r="J834" i="36"/>
  <c r="K834" i="36"/>
  <c r="H835" i="36"/>
  <c r="I835" i="36"/>
  <c r="J835" i="36"/>
  <c r="K835" i="36"/>
  <c r="H836" i="36"/>
  <c r="I836" i="36"/>
  <c r="J836" i="36"/>
  <c r="K836" i="36"/>
  <c r="H837" i="36"/>
  <c r="I837" i="36"/>
  <c r="J837" i="36"/>
  <c r="K837" i="36"/>
  <c r="H838" i="36"/>
  <c r="I838" i="36"/>
  <c r="J838" i="36"/>
  <c r="K838" i="36"/>
  <c r="H839" i="36"/>
  <c r="I839" i="36"/>
  <c r="J839" i="36"/>
  <c r="K839" i="36"/>
  <c r="H840" i="36"/>
  <c r="I840" i="36"/>
  <c r="J840" i="36"/>
  <c r="K840" i="36"/>
  <c r="H841" i="36"/>
  <c r="I841" i="36"/>
  <c r="J841" i="36"/>
  <c r="K841" i="36"/>
  <c r="H842" i="36"/>
  <c r="I842" i="36"/>
  <c r="J842" i="36"/>
  <c r="K842" i="36"/>
  <c r="H843" i="36"/>
  <c r="I843" i="36"/>
  <c r="J843" i="36"/>
  <c r="K843" i="36"/>
  <c r="H844" i="36"/>
  <c r="I844" i="36"/>
  <c r="J844" i="36"/>
  <c r="K844" i="36"/>
  <c r="H845" i="36"/>
  <c r="I845" i="36"/>
  <c r="J845" i="36"/>
  <c r="K845" i="36"/>
  <c r="H846" i="36"/>
  <c r="I846" i="36"/>
  <c r="J846" i="36"/>
  <c r="K846" i="36"/>
  <c r="H847" i="36"/>
  <c r="I847" i="36"/>
  <c r="J847" i="36"/>
  <c r="K847" i="36"/>
  <c r="H848" i="36"/>
  <c r="I848" i="36"/>
  <c r="J848" i="36"/>
  <c r="K848" i="36"/>
  <c r="H849" i="36"/>
  <c r="I849" i="36"/>
  <c r="J849" i="36"/>
  <c r="K849" i="36"/>
  <c r="H850" i="36"/>
  <c r="I850" i="36"/>
  <c r="J850" i="36"/>
  <c r="K850" i="36"/>
  <c r="H851" i="36"/>
  <c r="I851" i="36"/>
  <c r="J851" i="36"/>
  <c r="K851" i="36"/>
  <c r="H852" i="36"/>
  <c r="I852" i="36"/>
  <c r="J852" i="36"/>
  <c r="K852" i="36"/>
  <c r="H853" i="36"/>
  <c r="I853" i="36"/>
  <c r="J853" i="36"/>
  <c r="K853" i="36"/>
  <c r="H854" i="36"/>
  <c r="I854" i="36"/>
  <c r="J854" i="36"/>
  <c r="K854" i="36"/>
  <c r="H855" i="36"/>
  <c r="I855" i="36"/>
  <c r="J855" i="36"/>
  <c r="K855" i="36"/>
  <c r="H856" i="36"/>
  <c r="I856" i="36"/>
  <c r="J856" i="36"/>
  <c r="K856" i="36"/>
  <c r="H857" i="36"/>
  <c r="I857" i="36"/>
  <c r="J857" i="36"/>
  <c r="K857" i="36"/>
  <c r="H858" i="36"/>
  <c r="I858" i="36"/>
  <c r="J858" i="36"/>
  <c r="K858" i="36"/>
  <c r="H859" i="36"/>
  <c r="I859" i="36"/>
  <c r="J859" i="36"/>
  <c r="K859" i="36"/>
  <c r="H860" i="36"/>
  <c r="I860" i="36"/>
  <c r="J860" i="36"/>
  <c r="K860" i="36"/>
  <c r="H861" i="36"/>
  <c r="I861" i="36"/>
  <c r="J861" i="36"/>
  <c r="K861" i="36"/>
  <c r="H862" i="36"/>
  <c r="I862" i="36"/>
  <c r="J862" i="36"/>
  <c r="K862" i="36"/>
  <c r="H863" i="36"/>
  <c r="I863" i="36"/>
  <c r="J863" i="36"/>
  <c r="K863" i="36"/>
  <c r="H864" i="36"/>
  <c r="I864" i="36"/>
  <c r="J864" i="36"/>
  <c r="K864" i="36"/>
  <c r="H865" i="36"/>
  <c r="I865" i="36"/>
  <c r="J865" i="36"/>
  <c r="K865" i="36"/>
  <c r="H866" i="36"/>
  <c r="I866" i="36"/>
  <c r="J866" i="36"/>
  <c r="K866" i="36"/>
  <c r="H867" i="36"/>
  <c r="I867" i="36"/>
  <c r="J867" i="36"/>
  <c r="K867" i="36"/>
  <c r="H868" i="36"/>
  <c r="I868" i="36"/>
  <c r="J868" i="36"/>
  <c r="K868" i="36"/>
  <c r="H869" i="36"/>
  <c r="I869" i="36"/>
  <c r="J869" i="36"/>
  <c r="K869" i="36"/>
  <c r="H870" i="36"/>
  <c r="I870" i="36"/>
  <c r="J870" i="36"/>
  <c r="K870" i="36"/>
  <c r="H871" i="36"/>
  <c r="I871" i="36"/>
  <c r="J871" i="36"/>
  <c r="K871" i="36"/>
  <c r="H872" i="36"/>
  <c r="I872" i="36"/>
  <c r="J872" i="36"/>
  <c r="K872" i="36"/>
  <c r="H873" i="36"/>
  <c r="I873" i="36"/>
  <c r="J873" i="36"/>
  <c r="K873" i="36"/>
  <c r="H874" i="36"/>
  <c r="I874" i="36"/>
  <c r="J874" i="36"/>
  <c r="K874" i="36"/>
  <c r="H875" i="36"/>
  <c r="I875" i="36"/>
  <c r="J875" i="36"/>
  <c r="K875" i="36"/>
  <c r="H876" i="36"/>
  <c r="I876" i="36"/>
  <c r="J876" i="36"/>
  <c r="K876" i="36"/>
  <c r="H877" i="36"/>
  <c r="I877" i="36"/>
  <c r="J877" i="36"/>
  <c r="K877" i="36"/>
  <c r="H878" i="36"/>
  <c r="I878" i="36"/>
  <c r="J878" i="36"/>
  <c r="K878" i="36"/>
  <c r="H879" i="36"/>
  <c r="I879" i="36"/>
  <c r="J879" i="36"/>
  <c r="K879" i="36"/>
  <c r="H880" i="36"/>
  <c r="I880" i="36"/>
  <c r="J880" i="36"/>
  <c r="K880" i="36"/>
  <c r="H881" i="36"/>
  <c r="I881" i="36"/>
  <c r="J881" i="36"/>
  <c r="K881" i="36"/>
  <c r="H882" i="36"/>
  <c r="I882" i="36"/>
  <c r="J882" i="36"/>
  <c r="K882" i="36"/>
  <c r="H883" i="36"/>
  <c r="I883" i="36"/>
  <c r="J883" i="36"/>
  <c r="K883" i="36"/>
  <c r="H884" i="36"/>
  <c r="I884" i="36"/>
  <c r="J884" i="36"/>
  <c r="K884" i="36"/>
  <c r="H885" i="36"/>
  <c r="I885" i="36"/>
  <c r="J885" i="36"/>
  <c r="K885" i="36"/>
  <c r="H886" i="36"/>
  <c r="I886" i="36"/>
  <c r="J886" i="36"/>
  <c r="K886" i="36"/>
  <c r="H887" i="36"/>
  <c r="I887" i="36"/>
  <c r="J887" i="36"/>
  <c r="K887" i="36"/>
  <c r="H888" i="36"/>
  <c r="I888" i="36"/>
  <c r="J888" i="36"/>
  <c r="K888" i="36"/>
  <c r="H889" i="36"/>
  <c r="I889" i="36"/>
  <c r="J889" i="36"/>
  <c r="K889" i="36"/>
  <c r="H890" i="36"/>
  <c r="I890" i="36"/>
  <c r="J890" i="36"/>
  <c r="K890" i="36"/>
  <c r="H891" i="36"/>
  <c r="I891" i="36"/>
  <c r="J891" i="36"/>
  <c r="K891" i="36"/>
  <c r="H892" i="36"/>
  <c r="I892" i="36"/>
  <c r="J892" i="36"/>
  <c r="K892" i="36"/>
  <c r="H893" i="36"/>
  <c r="I893" i="36"/>
  <c r="J893" i="36"/>
  <c r="K893" i="36"/>
  <c r="H894" i="36"/>
  <c r="I894" i="36"/>
  <c r="J894" i="36"/>
  <c r="K894" i="36"/>
  <c r="H895" i="36"/>
  <c r="I895" i="36"/>
  <c r="J895" i="36"/>
  <c r="K895" i="36"/>
  <c r="H896" i="36"/>
  <c r="I896" i="36"/>
  <c r="J896" i="36"/>
  <c r="K896" i="36"/>
  <c r="H897" i="36"/>
  <c r="I897" i="36"/>
  <c r="J897" i="36"/>
  <c r="K897" i="36"/>
  <c r="H898" i="36"/>
  <c r="I898" i="36"/>
  <c r="J898" i="36"/>
  <c r="K898" i="36"/>
  <c r="H899" i="36"/>
  <c r="I899" i="36"/>
  <c r="J899" i="36"/>
  <c r="K899" i="36"/>
  <c r="H900" i="36"/>
  <c r="I900" i="36"/>
  <c r="J900" i="36"/>
  <c r="K900" i="36"/>
  <c r="H901" i="36"/>
  <c r="I901" i="36"/>
  <c r="J901" i="36"/>
  <c r="K901" i="36"/>
  <c r="H902" i="36"/>
  <c r="I902" i="36"/>
  <c r="J902" i="36"/>
  <c r="K902" i="36"/>
  <c r="H903" i="36"/>
  <c r="I903" i="36"/>
  <c r="J903" i="36"/>
  <c r="K903" i="36"/>
  <c r="H904" i="36"/>
  <c r="I904" i="36"/>
  <c r="J904" i="36"/>
  <c r="K904" i="36"/>
  <c r="H905" i="36"/>
  <c r="I905" i="36"/>
  <c r="J905" i="36"/>
  <c r="K905" i="36"/>
  <c r="H906" i="36"/>
  <c r="I906" i="36"/>
  <c r="J906" i="36"/>
  <c r="K906" i="36"/>
  <c r="H907" i="36"/>
  <c r="I907" i="36"/>
  <c r="J907" i="36"/>
  <c r="K907" i="36"/>
  <c r="H908" i="36"/>
  <c r="I908" i="36"/>
  <c r="J908" i="36"/>
  <c r="K908" i="36"/>
  <c r="H909" i="36"/>
  <c r="I909" i="36"/>
  <c r="J909" i="36"/>
  <c r="K909" i="36"/>
  <c r="H910" i="36"/>
  <c r="I910" i="36"/>
  <c r="J910" i="36"/>
  <c r="K910" i="36"/>
  <c r="H911" i="36"/>
  <c r="I911" i="36"/>
  <c r="J911" i="36"/>
  <c r="K911" i="36"/>
  <c r="H912" i="36"/>
  <c r="I912" i="36"/>
  <c r="J912" i="36"/>
  <c r="K912" i="36"/>
  <c r="H913" i="36"/>
  <c r="I913" i="36"/>
  <c r="J913" i="36"/>
  <c r="K913" i="36"/>
  <c r="H914" i="36"/>
  <c r="I914" i="36"/>
  <c r="J914" i="36"/>
  <c r="K914" i="36"/>
  <c r="H915" i="36"/>
  <c r="I915" i="36"/>
  <c r="J915" i="36"/>
  <c r="K915" i="36"/>
  <c r="H916" i="36"/>
  <c r="I916" i="36"/>
  <c r="J916" i="36"/>
  <c r="K916" i="36"/>
  <c r="H917" i="36"/>
  <c r="I917" i="36"/>
  <c r="J917" i="36"/>
  <c r="K917" i="36"/>
  <c r="H918" i="36"/>
  <c r="I918" i="36"/>
  <c r="J918" i="36"/>
  <c r="K918" i="36"/>
  <c r="H919" i="36"/>
  <c r="I919" i="36"/>
  <c r="J919" i="36"/>
  <c r="K919" i="36"/>
  <c r="H920" i="36"/>
  <c r="I920" i="36"/>
  <c r="J920" i="36"/>
  <c r="K920" i="36"/>
  <c r="H921" i="36"/>
  <c r="I921" i="36"/>
  <c r="J921" i="36"/>
  <c r="K921" i="36"/>
  <c r="H922" i="36"/>
  <c r="I922" i="36"/>
  <c r="J922" i="36"/>
  <c r="K922" i="36"/>
  <c r="H923" i="36"/>
  <c r="I923" i="36"/>
  <c r="J923" i="36"/>
  <c r="K923" i="36"/>
  <c r="H924" i="36"/>
  <c r="I924" i="36"/>
  <c r="J924" i="36"/>
  <c r="K924" i="36"/>
  <c r="H925" i="36"/>
  <c r="I925" i="36"/>
  <c r="J925" i="36"/>
  <c r="K925" i="36"/>
  <c r="H926" i="36"/>
  <c r="I926" i="36"/>
  <c r="J926" i="36"/>
  <c r="K926" i="36"/>
  <c r="H927" i="36"/>
  <c r="I927" i="36"/>
  <c r="J927" i="36"/>
  <c r="K927" i="36"/>
  <c r="H928" i="36"/>
  <c r="I928" i="36"/>
  <c r="J928" i="36"/>
  <c r="K928" i="36"/>
  <c r="H929" i="36"/>
  <c r="I929" i="36"/>
  <c r="J929" i="36"/>
  <c r="K929" i="36"/>
  <c r="H930" i="36"/>
  <c r="I930" i="36"/>
  <c r="J930" i="36"/>
  <c r="K930" i="36"/>
  <c r="H931" i="36"/>
  <c r="I931" i="36"/>
  <c r="J931" i="36"/>
  <c r="K931" i="36"/>
  <c r="H932" i="36"/>
  <c r="I932" i="36"/>
  <c r="J932" i="36"/>
  <c r="K932" i="36"/>
  <c r="H933" i="36"/>
  <c r="I933" i="36"/>
  <c r="J933" i="36"/>
  <c r="K933" i="36"/>
  <c r="H934" i="36"/>
  <c r="I934" i="36"/>
  <c r="J934" i="36"/>
  <c r="K934" i="36"/>
  <c r="H935" i="36"/>
  <c r="I935" i="36"/>
  <c r="J935" i="36"/>
  <c r="K935" i="36"/>
  <c r="H936" i="36"/>
  <c r="I936" i="36"/>
  <c r="J936" i="36"/>
  <c r="K936" i="36"/>
  <c r="H937" i="36"/>
  <c r="I937" i="36"/>
  <c r="J937" i="36"/>
  <c r="K937" i="36"/>
  <c r="H938" i="36"/>
  <c r="I938" i="36"/>
  <c r="J938" i="36"/>
  <c r="K938" i="36"/>
  <c r="H939" i="36"/>
  <c r="I939" i="36"/>
  <c r="J939" i="36"/>
  <c r="K939" i="36"/>
  <c r="H940" i="36"/>
  <c r="I940" i="36"/>
  <c r="J940" i="36"/>
  <c r="K940" i="36"/>
  <c r="H941" i="36"/>
  <c r="I941" i="36"/>
  <c r="J941" i="36"/>
  <c r="K941" i="36"/>
  <c r="H942" i="36"/>
  <c r="I942" i="36"/>
  <c r="J942" i="36"/>
  <c r="K942" i="36"/>
  <c r="H943" i="36"/>
  <c r="I943" i="36"/>
  <c r="J943" i="36"/>
  <c r="K943" i="36"/>
  <c r="H944" i="36"/>
  <c r="I944" i="36"/>
  <c r="J944" i="36"/>
  <c r="K944" i="36"/>
  <c r="H945" i="36"/>
  <c r="I945" i="36"/>
  <c r="J945" i="36"/>
  <c r="K945" i="36"/>
  <c r="H946" i="36"/>
  <c r="I946" i="36"/>
  <c r="J946" i="36"/>
  <c r="K946" i="36"/>
  <c r="H947" i="36"/>
  <c r="I947" i="36"/>
  <c r="J947" i="36"/>
  <c r="K947" i="36"/>
  <c r="H948" i="36"/>
  <c r="I948" i="36"/>
  <c r="J948" i="36"/>
  <c r="K948" i="36"/>
  <c r="H949" i="36"/>
  <c r="I949" i="36"/>
  <c r="J949" i="36"/>
  <c r="K949" i="36"/>
  <c r="H950" i="36"/>
  <c r="I950" i="36"/>
  <c r="J950" i="36"/>
  <c r="K950" i="36"/>
  <c r="H951" i="36"/>
  <c r="I951" i="36"/>
  <c r="J951" i="36"/>
  <c r="K951" i="36"/>
  <c r="H952" i="36"/>
  <c r="I952" i="36"/>
  <c r="J952" i="36"/>
  <c r="K952" i="36"/>
  <c r="H953" i="36"/>
  <c r="I953" i="36"/>
  <c r="J953" i="36"/>
  <c r="K953" i="36"/>
  <c r="H954" i="36"/>
  <c r="I954" i="36"/>
  <c r="J954" i="36"/>
  <c r="K954" i="36"/>
  <c r="H955" i="36"/>
  <c r="I955" i="36"/>
  <c r="J955" i="36"/>
  <c r="K955" i="36"/>
  <c r="H956" i="36"/>
  <c r="I956" i="36"/>
  <c r="J956" i="36"/>
  <c r="K956" i="36"/>
  <c r="H957" i="36"/>
  <c r="I957" i="36"/>
  <c r="J957" i="36"/>
  <c r="K957" i="36"/>
  <c r="H958" i="36"/>
  <c r="I958" i="36"/>
  <c r="J958" i="36"/>
  <c r="K958" i="36"/>
  <c r="H959" i="36"/>
  <c r="I959" i="36"/>
  <c r="J959" i="36"/>
  <c r="K959" i="36"/>
  <c r="H960" i="36"/>
  <c r="I960" i="36"/>
  <c r="J960" i="36"/>
  <c r="K960" i="36"/>
  <c r="H961" i="36"/>
  <c r="I961" i="36"/>
  <c r="J961" i="36"/>
  <c r="K961" i="36"/>
  <c r="H962" i="36"/>
  <c r="I962" i="36"/>
  <c r="J962" i="36"/>
  <c r="K962" i="36"/>
  <c r="H963" i="36"/>
  <c r="I963" i="36"/>
  <c r="J963" i="36"/>
  <c r="K963" i="36"/>
  <c r="H964" i="36"/>
  <c r="I964" i="36"/>
  <c r="J964" i="36"/>
  <c r="K964" i="36"/>
  <c r="H965" i="36"/>
  <c r="I965" i="36"/>
  <c r="J965" i="36"/>
  <c r="K965" i="36"/>
  <c r="H966" i="36"/>
  <c r="I966" i="36"/>
  <c r="J966" i="36"/>
  <c r="K966" i="36"/>
  <c r="H967" i="36"/>
  <c r="I967" i="36"/>
  <c r="J967" i="36"/>
  <c r="K967" i="36"/>
  <c r="H968" i="36"/>
  <c r="I968" i="36"/>
  <c r="J968" i="36"/>
  <c r="K968" i="36"/>
  <c r="H969" i="36"/>
  <c r="I969" i="36"/>
  <c r="J969" i="36"/>
  <c r="K969" i="36"/>
  <c r="H970" i="36"/>
  <c r="I970" i="36"/>
  <c r="J970" i="36"/>
  <c r="K970" i="36"/>
  <c r="H971" i="36"/>
  <c r="I971" i="36"/>
  <c r="J971" i="36"/>
  <c r="K971" i="36"/>
  <c r="H972" i="36"/>
  <c r="I972" i="36"/>
  <c r="J972" i="36"/>
  <c r="K972" i="36"/>
  <c r="H973" i="36"/>
  <c r="I973" i="36"/>
  <c r="J973" i="36"/>
  <c r="K973" i="36"/>
  <c r="H974" i="36"/>
  <c r="I974" i="36"/>
  <c r="J974" i="36"/>
  <c r="K974" i="36"/>
  <c r="H975" i="36"/>
  <c r="I975" i="36"/>
  <c r="J975" i="36"/>
  <c r="K975" i="36"/>
  <c r="H976" i="36"/>
  <c r="I976" i="36"/>
  <c r="J976" i="36"/>
  <c r="K976" i="36"/>
  <c r="H977" i="36"/>
  <c r="I977" i="36"/>
  <c r="J977" i="36"/>
  <c r="K977" i="36"/>
  <c r="H978" i="36"/>
  <c r="I978" i="36"/>
  <c r="J978" i="36"/>
  <c r="K978" i="36"/>
  <c r="H979" i="36"/>
  <c r="I979" i="36"/>
  <c r="J979" i="36"/>
  <c r="K979" i="36"/>
  <c r="H980" i="36"/>
  <c r="I980" i="36"/>
  <c r="J980" i="36"/>
  <c r="K980" i="36"/>
  <c r="H981" i="36"/>
  <c r="I981" i="36"/>
  <c r="J981" i="36"/>
  <c r="K981" i="36"/>
  <c r="H982" i="36"/>
  <c r="I982" i="36"/>
  <c r="J982" i="36"/>
  <c r="K982" i="36"/>
  <c r="H983" i="36"/>
  <c r="I983" i="36"/>
  <c r="J983" i="36"/>
  <c r="K983" i="36"/>
  <c r="H984" i="36"/>
  <c r="I984" i="36"/>
  <c r="J984" i="36"/>
  <c r="K984" i="36"/>
  <c r="H985" i="36"/>
  <c r="I985" i="36"/>
  <c r="J985" i="36"/>
  <c r="K985" i="36"/>
  <c r="H986" i="36"/>
  <c r="I986" i="36"/>
  <c r="J986" i="36"/>
  <c r="K986" i="36"/>
  <c r="H987" i="36"/>
  <c r="I987" i="36"/>
  <c r="J987" i="36"/>
  <c r="K987" i="36"/>
  <c r="H988" i="36"/>
  <c r="I988" i="36"/>
  <c r="J988" i="36"/>
  <c r="K988" i="36"/>
  <c r="H989" i="36"/>
  <c r="I989" i="36"/>
  <c r="J989" i="36"/>
  <c r="K989" i="36"/>
  <c r="H990" i="36"/>
  <c r="I990" i="36"/>
  <c r="J990" i="36"/>
  <c r="K990" i="36"/>
  <c r="H991" i="36"/>
  <c r="I991" i="36"/>
  <c r="J991" i="36"/>
  <c r="K991" i="36"/>
  <c r="H992" i="36"/>
  <c r="I992" i="36"/>
  <c r="J992" i="36"/>
  <c r="K992" i="36"/>
  <c r="H993" i="36"/>
  <c r="I993" i="36"/>
  <c r="J993" i="36"/>
  <c r="K993" i="36"/>
  <c r="H994" i="36"/>
  <c r="I994" i="36"/>
  <c r="J994" i="36"/>
  <c r="K994" i="36"/>
  <c r="H995" i="36"/>
  <c r="I995" i="36"/>
  <c r="J995" i="36"/>
  <c r="K995" i="36"/>
  <c r="H996" i="36"/>
  <c r="I996" i="36"/>
  <c r="J996" i="36"/>
  <c r="K996" i="36"/>
  <c r="H997" i="36"/>
  <c r="I997" i="36"/>
  <c r="J997" i="36"/>
  <c r="K997" i="36"/>
  <c r="H998" i="36"/>
  <c r="I998" i="36"/>
  <c r="J998" i="36"/>
  <c r="K998" i="36"/>
  <c r="H999" i="36"/>
  <c r="I999" i="36"/>
  <c r="J999" i="36"/>
  <c r="K999" i="36"/>
  <c r="H1000" i="36"/>
  <c r="I1000" i="36"/>
  <c r="J1000" i="36"/>
  <c r="K1000" i="36"/>
  <c r="K1030" i="36"/>
  <c r="K1031" i="36"/>
  <c r="K1032" i="36"/>
  <c r="K1033" i="36"/>
  <c r="K1034" i="36"/>
  <c r="K1035" i="36"/>
  <c r="K1036" i="36"/>
  <c r="K1037" i="36"/>
  <c r="K1038" i="36"/>
  <c r="K1039" i="36"/>
  <c r="K1040" i="36"/>
  <c r="K1041" i="36"/>
  <c r="K1042" i="36"/>
  <c r="K1043" i="36"/>
  <c r="K1044" i="36"/>
  <c r="K1045" i="36"/>
  <c r="K1046" i="36"/>
  <c r="K1047" i="36"/>
  <c r="K1048" i="36"/>
  <c r="K1049" i="36"/>
  <c r="K1050" i="36"/>
  <c r="K1051" i="36"/>
  <c r="K1052" i="36"/>
  <c r="K1053" i="36"/>
  <c r="K1054" i="36"/>
  <c r="K1055" i="36"/>
  <c r="K1056" i="36"/>
  <c r="K1057" i="36"/>
  <c r="K1058" i="36"/>
  <c r="K1059" i="36"/>
  <c r="K1060" i="36"/>
  <c r="K1061" i="36"/>
  <c r="K1062" i="36"/>
  <c r="K1063" i="36"/>
  <c r="K1064" i="36"/>
  <c r="K1065" i="36"/>
  <c r="K1066" i="36"/>
  <c r="K1067" i="36"/>
  <c r="K1068" i="36"/>
  <c r="K1069" i="36"/>
  <c r="K1070" i="36"/>
  <c r="K1071" i="36"/>
  <c r="K1072" i="36"/>
  <c r="K1073" i="36"/>
  <c r="K1074" i="36"/>
  <c r="K1075" i="36"/>
  <c r="K1076" i="36"/>
  <c r="K1077" i="36"/>
  <c r="K1078" i="36"/>
  <c r="K1079" i="36"/>
  <c r="K1080" i="36"/>
  <c r="K1081" i="36"/>
  <c r="K1082" i="36"/>
  <c r="K1083" i="36"/>
  <c r="K1084" i="36"/>
  <c r="K1085" i="36"/>
  <c r="K1086" i="36"/>
  <c r="K1087" i="36"/>
  <c r="K1088" i="36"/>
  <c r="K1089" i="36"/>
  <c r="K1090" i="36"/>
  <c r="K1091" i="36"/>
  <c r="K1092" i="36"/>
  <c r="K1093" i="36"/>
  <c r="K1094" i="36"/>
  <c r="K1095" i="36"/>
  <c r="K1096" i="36"/>
  <c r="K1097" i="36"/>
  <c r="K1098" i="36"/>
  <c r="K1099" i="36"/>
  <c r="K1100" i="36"/>
  <c r="K1101" i="36"/>
  <c r="K1102" i="36"/>
  <c r="K1103" i="36"/>
  <c r="K1104" i="36"/>
  <c r="K1105" i="36"/>
  <c r="K1106" i="36"/>
  <c r="K1107" i="36"/>
  <c r="K1108" i="36"/>
  <c r="K1109" i="36"/>
  <c r="K1110" i="36"/>
  <c r="K1111" i="36"/>
  <c r="K1112" i="36"/>
  <c r="K1113" i="36"/>
  <c r="K1114" i="36"/>
  <c r="K1115" i="36"/>
  <c r="K1116" i="36"/>
  <c r="K1117" i="36"/>
  <c r="K1118" i="36"/>
  <c r="K1119" i="36"/>
  <c r="K1120" i="36"/>
  <c r="K1121" i="36"/>
  <c r="K1122" i="36"/>
  <c r="K1123" i="36"/>
  <c r="K1124" i="36"/>
  <c r="K1125" i="36"/>
  <c r="K1126" i="36"/>
  <c r="K1127" i="36"/>
  <c r="K1128" i="36"/>
  <c r="K1129" i="36"/>
  <c r="K1130" i="36"/>
  <c r="K1131" i="36"/>
  <c r="K1132" i="36"/>
  <c r="K1133" i="36"/>
  <c r="K1134" i="36"/>
  <c r="K1135" i="36"/>
  <c r="K1136" i="36"/>
  <c r="K1137" i="36"/>
  <c r="K1138" i="36"/>
  <c r="K1139" i="36"/>
  <c r="K1140" i="36"/>
  <c r="K1141" i="36"/>
  <c r="K1142" i="36"/>
  <c r="K1143" i="36"/>
  <c r="K1144" i="36"/>
  <c r="K1145" i="36"/>
  <c r="K1146" i="36"/>
  <c r="K1147" i="36"/>
  <c r="K1148" i="36"/>
  <c r="K1149" i="36"/>
  <c r="K1150" i="36"/>
  <c r="K1151" i="36"/>
  <c r="K1152" i="36"/>
  <c r="K1153" i="36"/>
  <c r="K1154" i="36"/>
  <c r="K1155" i="36"/>
  <c r="K1156" i="36"/>
  <c r="K1157" i="36"/>
  <c r="K1158" i="36"/>
  <c r="K1159" i="36"/>
  <c r="K1160" i="36"/>
  <c r="K1161" i="36"/>
  <c r="K1162" i="36"/>
  <c r="K1163" i="36"/>
  <c r="K1164" i="36"/>
  <c r="K1165" i="36"/>
  <c r="K1166" i="36"/>
  <c r="K1167" i="36"/>
  <c r="K1168" i="36"/>
  <c r="K1169" i="36"/>
  <c r="K1170" i="36"/>
  <c r="K1171" i="36"/>
  <c r="K1172" i="36"/>
  <c r="K1173" i="36"/>
  <c r="K1174" i="36"/>
  <c r="K1175" i="36"/>
  <c r="K1176" i="36"/>
  <c r="K1177" i="36"/>
  <c r="K1178" i="36"/>
  <c r="K1179" i="36"/>
  <c r="K1180" i="36"/>
  <c r="K1181" i="36"/>
  <c r="K1182" i="36"/>
  <c r="K1183" i="36"/>
  <c r="K1184" i="36"/>
  <c r="K1185" i="36"/>
  <c r="K1186" i="36"/>
  <c r="K1187" i="36"/>
  <c r="K1188" i="36"/>
  <c r="K1189" i="36"/>
  <c r="K1190" i="36"/>
  <c r="K1191" i="36"/>
  <c r="K1192" i="36"/>
  <c r="K1193" i="36"/>
  <c r="K1194" i="36"/>
  <c r="K1195" i="36"/>
  <c r="K1196" i="36"/>
  <c r="K1197" i="36"/>
  <c r="K1198" i="36"/>
  <c r="K1199" i="36"/>
  <c r="K1200" i="36"/>
  <c r="K1201" i="36"/>
  <c r="K1202" i="36"/>
  <c r="K1203" i="36"/>
  <c r="K1204" i="36"/>
  <c r="K1205" i="36"/>
  <c r="K1206" i="36"/>
  <c r="K1207" i="36"/>
  <c r="K1208" i="36"/>
  <c r="K1209" i="36"/>
  <c r="K1210" i="36"/>
  <c r="K1211" i="36"/>
  <c r="K1212" i="36"/>
  <c r="K1213" i="36"/>
  <c r="K1214" i="36"/>
  <c r="K1215" i="36"/>
  <c r="K1216" i="36"/>
  <c r="K1217" i="36"/>
  <c r="K1218" i="36"/>
  <c r="K1219" i="36"/>
  <c r="K1220" i="36"/>
  <c r="K1221" i="36"/>
  <c r="K1222" i="36"/>
  <c r="K1223" i="36"/>
  <c r="K1224" i="36"/>
  <c r="K1225" i="36"/>
  <c r="K1226" i="36"/>
  <c r="K1227" i="36"/>
  <c r="K1228" i="36"/>
  <c r="K1229" i="36"/>
  <c r="K1230" i="36"/>
  <c r="K1231" i="36"/>
  <c r="K1232" i="36"/>
  <c r="K1233" i="36"/>
  <c r="K1234" i="36"/>
  <c r="K1235" i="36"/>
  <c r="K1236" i="36"/>
  <c r="K1237" i="36"/>
  <c r="K1238" i="36"/>
  <c r="K1239" i="36"/>
  <c r="K1240" i="36"/>
  <c r="K1241" i="36"/>
  <c r="K1242" i="36"/>
  <c r="K1243" i="36"/>
  <c r="K1244" i="36"/>
  <c r="K1245" i="36"/>
  <c r="K1246" i="36"/>
  <c r="K1247" i="36"/>
  <c r="K1248" i="36"/>
  <c r="K1249" i="36"/>
  <c r="K1250" i="36"/>
  <c r="K1251" i="36"/>
  <c r="K1252" i="36"/>
  <c r="K1253" i="36"/>
  <c r="K1254" i="36"/>
  <c r="K1255" i="36"/>
  <c r="K1256" i="36"/>
  <c r="K1257" i="36"/>
  <c r="K1258" i="36"/>
  <c r="K1259" i="36"/>
  <c r="K1260" i="36"/>
  <c r="K1261" i="36"/>
  <c r="K1262" i="36"/>
  <c r="K1263" i="36"/>
  <c r="K1264" i="36"/>
  <c r="K1265" i="36"/>
  <c r="K1266" i="36"/>
  <c r="K1267" i="36"/>
  <c r="K1268" i="36"/>
  <c r="K1269" i="36"/>
  <c r="K1270" i="36"/>
  <c r="K1271" i="36"/>
  <c r="K1272" i="36"/>
  <c r="K1273" i="36"/>
  <c r="K1274" i="36"/>
  <c r="K1275" i="36"/>
  <c r="K1276" i="36"/>
  <c r="K1277" i="36"/>
  <c r="K1278" i="36"/>
  <c r="K1279" i="36"/>
  <c r="K1280" i="36"/>
  <c r="K1281" i="36"/>
  <c r="K1282" i="36"/>
  <c r="K1283" i="36"/>
  <c r="K1284" i="36"/>
  <c r="K1285" i="36"/>
  <c r="K1286" i="36"/>
  <c r="K1287" i="36"/>
  <c r="K1288" i="36"/>
  <c r="K1289" i="36"/>
  <c r="K1290" i="36"/>
  <c r="K1291" i="36"/>
  <c r="K1292" i="36"/>
  <c r="K1293" i="36"/>
  <c r="K1294" i="36"/>
  <c r="K1295" i="36"/>
  <c r="K1296" i="36"/>
  <c r="K1297" i="36"/>
  <c r="K1298" i="36"/>
  <c r="K1299" i="36"/>
  <c r="K1300" i="36"/>
  <c r="K1301" i="36"/>
  <c r="K1302" i="36"/>
  <c r="K1303" i="36"/>
  <c r="K1304" i="36"/>
  <c r="K1305" i="36"/>
  <c r="K1306" i="36"/>
  <c r="K1307" i="36"/>
  <c r="K1308" i="36"/>
  <c r="K1309" i="36"/>
  <c r="K1310" i="36"/>
  <c r="K1311" i="36"/>
  <c r="K1312" i="36"/>
  <c r="K1313" i="36"/>
  <c r="K1314" i="36"/>
  <c r="K1315" i="36"/>
  <c r="K1316" i="36"/>
  <c r="K1317" i="36"/>
  <c r="K1318" i="36"/>
  <c r="K1319" i="36"/>
  <c r="K1320" i="36"/>
  <c r="K1321" i="36"/>
  <c r="K1322" i="36"/>
  <c r="K1323" i="36"/>
  <c r="K1324" i="36"/>
  <c r="K1325" i="36"/>
  <c r="K1326" i="36"/>
  <c r="K1327" i="36"/>
  <c r="K1328" i="36"/>
  <c r="K1329" i="36"/>
  <c r="K1330" i="36"/>
  <c r="K1331" i="36"/>
  <c r="K1332" i="36"/>
  <c r="K1333" i="36"/>
  <c r="K1334" i="36"/>
  <c r="K1335" i="36"/>
  <c r="K1336" i="36"/>
  <c r="K1337" i="36"/>
  <c r="K1338" i="36"/>
  <c r="K1339" i="36"/>
  <c r="K1340" i="36"/>
  <c r="K1341" i="36"/>
  <c r="K1342" i="36"/>
  <c r="K1343" i="36"/>
  <c r="K1344" i="36"/>
  <c r="K1345" i="36"/>
  <c r="K1346" i="36"/>
  <c r="K1347" i="36"/>
  <c r="K1348" i="36"/>
  <c r="K1349" i="36"/>
  <c r="K1350" i="36"/>
  <c r="K1351" i="36"/>
  <c r="K1352" i="36"/>
  <c r="K1353" i="36"/>
  <c r="K1354" i="36"/>
  <c r="K1355" i="36"/>
  <c r="K1356" i="36"/>
  <c r="K1357" i="36"/>
  <c r="K1358" i="36"/>
  <c r="K1359" i="36"/>
  <c r="K1360" i="36"/>
  <c r="K1361" i="36"/>
  <c r="K1362" i="36"/>
  <c r="K1363" i="36"/>
  <c r="K1364" i="36"/>
  <c r="K1365" i="36"/>
  <c r="K1366" i="36"/>
  <c r="K1367" i="36"/>
  <c r="K1368" i="36"/>
  <c r="K1369" i="36"/>
  <c r="K1370" i="36"/>
  <c r="K1371" i="36"/>
  <c r="K1372" i="36"/>
  <c r="K1373" i="36"/>
  <c r="K1374" i="36"/>
  <c r="K1375" i="36"/>
  <c r="K1376" i="36"/>
  <c r="K1377" i="36"/>
  <c r="K1378" i="36"/>
  <c r="K1379" i="36"/>
  <c r="K1380" i="36"/>
  <c r="K1381" i="36"/>
  <c r="K1382" i="36"/>
  <c r="K1383" i="36"/>
  <c r="K1384" i="36"/>
  <c r="K1385" i="36"/>
  <c r="K1386" i="36"/>
  <c r="K1387" i="36"/>
  <c r="K1388" i="36"/>
  <c r="K1389" i="36"/>
  <c r="K1390" i="36"/>
  <c r="K1391" i="36"/>
  <c r="K1392" i="36"/>
  <c r="K1393" i="36"/>
  <c r="K1394" i="36"/>
  <c r="K1395" i="36"/>
  <c r="K1396" i="36"/>
  <c r="K1397" i="36"/>
  <c r="K1398" i="36"/>
  <c r="K1399" i="36"/>
  <c r="K1400" i="36"/>
  <c r="K1401" i="36"/>
  <c r="K1402" i="36"/>
  <c r="K1403" i="36"/>
  <c r="K1404" i="36"/>
  <c r="K1405" i="36"/>
  <c r="K1406" i="36"/>
  <c r="K1407" i="36"/>
  <c r="K1408" i="36"/>
  <c r="K1409" i="36"/>
  <c r="K1410" i="36"/>
  <c r="K1411" i="36"/>
  <c r="K1412" i="36"/>
  <c r="K1413" i="36"/>
  <c r="K1414" i="36"/>
  <c r="K1415" i="36"/>
  <c r="K1416" i="36"/>
  <c r="K1417" i="36"/>
  <c r="K1418" i="36"/>
  <c r="K1419" i="36"/>
  <c r="K1420" i="36"/>
  <c r="K1421" i="36"/>
  <c r="K1422" i="36"/>
  <c r="K1423" i="36"/>
  <c r="K1424" i="36"/>
  <c r="K1425" i="36"/>
  <c r="K1426" i="36"/>
  <c r="K1427" i="36"/>
  <c r="K1428" i="36"/>
  <c r="K1429" i="36"/>
  <c r="K1430" i="36"/>
  <c r="K1431" i="36"/>
  <c r="K1432" i="36"/>
  <c r="K1433" i="36"/>
  <c r="K1434" i="36"/>
  <c r="K1435" i="36"/>
  <c r="K1436" i="36"/>
  <c r="K1437" i="36"/>
  <c r="K1438" i="36"/>
  <c r="K1439" i="36"/>
  <c r="K1440" i="36"/>
  <c r="K1441" i="36"/>
  <c r="K1442" i="36"/>
  <c r="K1443" i="36"/>
  <c r="K1444" i="36"/>
  <c r="K1445" i="36"/>
  <c r="K1446" i="36"/>
  <c r="K1447" i="36"/>
  <c r="K1448" i="36"/>
  <c r="K1449" i="36"/>
  <c r="K1450" i="36"/>
  <c r="K1451" i="36"/>
  <c r="K1452" i="36"/>
  <c r="K1453" i="36"/>
  <c r="K1454" i="36"/>
  <c r="K1455" i="36"/>
  <c r="K1456" i="36"/>
  <c r="K1457" i="36"/>
  <c r="K1458" i="36"/>
  <c r="K1459" i="36"/>
  <c r="K1460" i="36"/>
  <c r="K1461" i="36"/>
  <c r="K1462" i="36"/>
  <c r="K1463" i="36"/>
  <c r="K1464" i="36"/>
  <c r="K1465" i="36"/>
  <c r="K1466" i="36"/>
  <c r="K1467" i="36"/>
  <c r="K1468" i="36"/>
  <c r="K1469" i="36"/>
  <c r="K1470" i="36"/>
  <c r="K1471" i="36"/>
  <c r="K1472" i="36"/>
  <c r="K1473" i="36"/>
  <c r="K1474" i="36"/>
  <c r="K1475" i="36"/>
  <c r="K1476" i="36"/>
  <c r="K1477" i="36"/>
  <c r="K1478" i="36"/>
  <c r="K1479" i="36"/>
  <c r="K1480" i="36"/>
  <c r="K1481" i="36"/>
  <c r="K1482" i="36"/>
  <c r="K1483" i="36"/>
  <c r="K1484" i="36"/>
  <c r="K1485" i="36"/>
  <c r="K1486" i="36"/>
  <c r="K1487" i="36"/>
  <c r="K1488" i="36"/>
  <c r="K1489" i="36"/>
  <c r="K1490" i="36"/>
  <c r="K1491" i="36"/>
  <c r="K1492" i="36"/>
  <c r="K1493" i="36"/>
  <c r="K1494" i="36"/>
  <c r="K1495" i="36"/>
  <c r="K1496" i="36"/>
  <c r="K1497" i="36"/>
  <c r="K1498" i="36"/>
  <c r="K1499" i="36"/>
  <c r="K1500" i="36"/>
  <c r="K1501" i="36"/>
  <c r="K1502" i="36"/>
  <c r="K1503" i="36"/>
  <c r="K1504" i="36"/>
  <c r="K1505" i="36"/>
  <c r="K1506" i="36"/>
  <c r="K1507" i="36"/>
  <c r="K1508" i="36"/>
  <c r="K1509" i="36"/>
  <c r="K1510" i="36"/>
  <c r="K1511" i="36"/>
  <c r="K1512" i="36"/>
  <c r="K1513" i="36"/>
  <c r="K1514" i="36"/>
  <c r="K1515" i="36"/>
  <c r="K1516" i="36"/>
  <c r="K1517" i="36"/>
  <c r="K1518" i="36"/>
  <c r="K1519" i="36"/>
  <c r="K1520" i="36"/>
  <c r="K1521" i="36"/>
  <c r="K1522" i="36"/>
  <c r="K1523" i="36"/>
  <c r="K1524" i="36"/>
  <c r="K1525" i="36"/>
  <c r="K1526" i="36"/>
  <c r="K1527" i="36"/>
  <c r="K1528" i="36"/>
  <c r="K1529" i="36"/>
  <c r="K1530" i="36"/>
  <c r="K1531" i="36"/>
  <c r="K1532" i="36"/>
  <c r="K1533" i="36"/>
  <c r="K1534" i="36"/>
  <c r="K1535" i="36"/>
  <c r="K1536" i="36"/>
  <c r="K1537" i="36"/>
  <c r="K1538" i="36"/>
  <c r="K1539" i="36"/>
  <c r="K1540" i="36"/>
  <c r="K1541" i="36"/>
  <c r="K1542" i="36"/>
  <c r="K1543" i="36"/>
  <c r="K1544" i="36"/>
  <c r="K1545" i="36"/>
  <c r="K1546" i="36"/>
  <c r="K1547" i="36"/>
  <c r="K1548" i="36"/>
  <c r="K1549" i="36"/>
  <c r="K1550" i="36"/>
  <c r="K1551" i="36"/>
  <c r="K1552" i="36"/>
  <c r="K1553" i="36"/>
  <c r="K1554" i="36"/>
  <c r="K1555" i="36"/>
  <c r="K1556" i="36"/>
  <c r="K1557" i="36"/>
  <c r="K1558" i="36"/>
  <c r="K1559" i="36"/>
  <c r="K1560" i="36"/>
  <c r="K1561" i="36"/>
  <c r="K1562" i="36"/>
  <c r="K1563" i="36"/>
  <c r="K1564" i="36"/>
  <c r="K1565" i="36"/>
  <c r="K1566" i="36"/>
  <c r="K1567" i="36"/>
  <c r="K1568" i="36"/>
  <c r="K1569" i="36"/>
  <c r="K1570" i="36"/>
  <c r="K1571" i="36"/>
  <c r="K1572" i="36"/>
  <c r="K1573" i="36"/>
  <c r="K1574" i="36"/>
  <c r="K1575" i="36"/>
  <c r="K1576" i="36"/>
  <c r="K1577" i="36"/>
  <c r="K1578" i="36"/>
  <c r="K1579" i="36"/>
  <c r="K1580" i="36"/>
  <c r="K1581" i="36"/>
  <c r="K1582" i="36"/>
  <c r="K1583" i="36"/>
  <c r="K1584" i="36"/>
  <c r="K1585" i="36"/>
  <c r="K1586" i="36"/>
  <c r="K1587" i="36"/>
  <c r="K1588" i="36"/>
  <c r="K1589" i="36"/>
  <c r="K1590" i="36"/>
  <c r="K1591" i="36"/>
  <c r="K1592" i="36"/>
  <c r="K1593" i="36"/>
  <c r="K1594" i="36"/>
  <c r="K1595" i="36"/>
  <c r="K1596" i="36"/>
  <c r="K1597" i="36"/>
  <c r="K1598" i="36"/>
  <c r="K1599" i="36"/>
  <c r="K1600" i="36"/>
  <c r="K1601" i="36"/>
  <c r="K1602" i="36"/>
  <c r="K1603" i="36"/>
  <c r="K1604" i="36"/>
  <c r="K1605" i="36"/>
  <c r="K1606" i="36"/>
  <c r="K1607" i="36"/>
  <c r="K1608" i="36"/>
  <c r="K1609" i="36"/>
  <c r="K1610" i="36"/>
  <c r="K1611" i="36"/>
  <c r="K1612" i="36"/>
  <c r="K1613" i="36"/>
  <c r="K1614" i="36"/>
  <c r="K1615" i="36"/>
  <c r="K1616" i="36"/>
  <c r="K1617" i="36"/>
  <c r="K1618" i="36"/>
  <c r="K1619" i="36"/>
  <c r="K1620" i="36"/>
  <c r="K1621" i="36"/>
  <c r="K1622" i="36"/>
  <c r="K1623" i="36"/>
  <c r="K1624" i="36"/>
  <c r="K1625" i="36"/>
  <c r="K1626" i="36"/>
  <c r="K1627" i="36"/>
  <c r="K1628" i="36"/>
  <c r="K1629" i="36"/>
  <c r="K1630" i="36"/>
  <c r="K1631" i="36"/>
  <c r="K1632" i="36"/>
  <c r="K1633" i="36"/>
  <c r="K1634" i="36"/>
  <c r="K1635" i="36"/>
  <c r="K1636" i="36"/>
  <c r="K1637" i="36"/>
  <c r="K1638" i="36"/>
  <c r="K1639" i="36"/>
  <c r="K1640" i="36"/>
  <c r="K1641" i="36"/>
  <c r="K1642" i="36"/>
  <c r="K1643" i="36"/>
  <c r="K1644" i="36"/>
  <c r="K1645" i="36"/>
  <c r="K1646" i="36"/>
  <c r="K1647" i="36"/>
  <c r="K1648" i="36"/>
  <c r="K1649" i="36"/>
  <c r="K1650" i="36"/>
  <c r="K1651" i="36"/>
  <c r="K1652" i="36"/>
  <c r="K1653" i="36"/>
  <c r="K1654" i="36"/>
  <c r="K1655" i="36"/>
  <c r="K1656" i="36"/>
  <c r="K1657" i="36"/>
  <c r="K1658" i="36"/>
  <c r="K1659" i="36"/>
  <c r="K1660" i="36"/>
  <c r="K1661" i="36"/>
  <c r="K1662" i="36"/>
  <c r="K1663" i="36"/>
  <c r="K1664" i="36"/>
  <c r="K1665" i="36"/>
  <c r="K1666" i="36"/>
  <c r="K1667" i="36"/>
  <c r="K1668" i="36"/>
  <c r="K1669" i="36"/>
  <c r="K1670" i="36"/>
  <c r="K1671" i="36"/>
  <c r="K1672" i="36"/>
  <c r="K1673" i="36"/>
  <c r="K1674" i="36"/>
  <c r="K1675" i="36"/>
  <c r="K1676" i="36"/>
  <c r="K1677" i="36"/>
  <c r="K1678" i="36"/>
  <c r="K1679" i="36"/>
  <c r="K1680" i="36"/>
  <c r="K1681" i="36"/>
  <c r="K1682" i="36"/>
  <c r="K1683" i="36"/>
  <c r="K1684" i="36"/>
  <c r="K1685" i="36"/>
  <c r="K1686" i="36"/>
  <c r="K1687" i="36"/>
  <c r="K1688" i="36"/>
  <c r="K1689" i="36"/>
  <c r="K1690" i="36"/>
  <c r="K1691" i="36"/>
  <c r="K1692" i="36"/>
  <c r="K1693" i="36"/>
  <c r="K1694" i="36"/>
  <c r="K1695" i="36"/>
  <c r="K1696" i="36"/>
  <c r="K1697" i="36"/>
  <c r="K1698" i="36"/>
  <c r="K1699" i="36"/>
  <c r="K1700" i="36"/>
  <c r="K1701" i="36"/>
  <c r="K1702" i="36"/>
  <c r="K1703" i="36"/>
  <c r="K1704" i="36"/>
  <c r="K1705" i="36"/>
  <c r="K1706" i="36"/>
  <c r="K1707" i="36"/>
  <c r="K1708" i="36"/>
  <c r="K1709" i="36"/>
  <c r="K1710" i="36"/>
  <c r="K1711" i="36"/>
  <c r="K1712" i="36"/>
  <c r="K1713" i="36"/>
  <c r="K1714" i="36"/>
  <c r="K1715" i="36"/>
  <c r="K1716" i="36"/>
  <c r="K1717" i="36"/>
  <c r="K1718" i="36"/>
  <c r="K1719" i="36"/>
  <c r="K1720" i="36"/>
  <c r="K1721" i="36"/>
  <c r="K1722" i="36"/>
  <c r="K1723" i="36"/>
  <c r="K1724" i="36"/>
  <c r="K1725" i="36"/>
  <c r="K1726" i="36"/>
  <c r="K1727" i="36"/>
  <c r="K1728" i="36"/>
  <c r="K1729" i="36"/>
  <c r="K1730" i="36"/>
  <c r="K1731" i="36"/>
  <c r="K1732" i="36"/>
  <c r="K1733" i="36"/>
  <c r="K1734" i="36"/>
  <c r="K1735" i="36"/>
  <c r="K1736" i="36"/>
  <c r="K1737" i="36"/>
  <c r="K1738" i="36"/>
  <c r="K1739" i="36"/>
  <c r="K1740" i="36"/>
  <c r="K1741" i="36"/>
  <c r="K1742" i="36"/>
  <c r="K1743" i="36"/>
  <c r="K1744" i="36"/>
  <c r="K1745" i="36"/>
  <c r="K1746" i="36"/>
  <c r="K1747" i="36"/>
  <c r="K1748" i="36"/>
  <c r="K1749" i="36"/>
  <c r="K1750" i="36"/>
  <c r="K1751" i="36"/>
  <c r="K1752" i="36"/>
  <c r="K1753" i="36"/>
  <c r="K1754" i="36"/>
  <c r="K1755" i="36"/>
  <c r="K1756" i="36"/>
  <c r="K1757" i="36"/>
  <c r="K1758" i="36"/>
  <c r="K1759" i="36"/>
  <c r="K1760" i="36"/>
  <c r="K1761" i="36"/>
  <c r="K1762" i="36"/>
  <c r="K1763" i="36"/>
  <c r="K1764" i="36"/>
  <c r="K1765" i="36"/>
  <c r="K1766" i="36"/>
  <c r="K1767" i="36"/>
  <c r="K1768" i="36"/>
  <c r="K1769" i="36"/>
  <c r="K1770" i="36"/>
  <c r="K1771" i="36"/>
  <c r="K1772" i="36"/>
  <c r="K1773" i="36"/>
  <c r="K1774" i="36"/>
  <c r="K1775" i="36"/>
  <c r="K1776" i="36"/>
  <c r="K1777" i="36"/>
  <c r="K1778" i="36"/>
  <c r="K1779" i="36"/>
  <c r="K1780" i="36"/>
  <c r="K1781" i="36"/>
  <c r="K1782" i="36"/>
  <c r="K1783" i="36"/>
  <c r="K1784" i="36"/>
  <c r="K1785" i="36"/>
  <c r="K1786" i="36"/>
  <c r="K1787" i="36"/>
  <c r="K1788" i="36"/>
  <c r="K1789" i="36"/>
  <c r="K1790" i="36"/>
  <c r="K1791" i="36"/>
  <c r="K1792" i="36"/>
  <c r="K1793" i="36"/>
  <c r="K1794" i="36"/>
  <c r="K1795" i="36"/>
  <c r="K1796" i="36"/>
  <c r="K1797" i="36"/>
  <c r="K1798" i="36"/>
  <c r="K1799" i="36"/>
  <c r="K1800" i="36"/>
  <c r="K1801" i="36"/>
  <c r="K1802" i="36"/>
  <c r="K1803" i="36"/>
  <c r="K1804" i="36"/>
  <c r="K1805" i="36"/>
  <c r="K1806" i="36"/>
  <c r="K1807" i="36"/>
  <c r="K1808" i="36"/>
  <c r="K1809" i="36"/>
  <c r="K1810" i="36"/>
  <c r="K1811" i="36"/>
  <c r="K1812" i="36"/>
  <c r="K1813" i="36"/>
  <c r="K1814" i="36"/>
  <c r="K1815" i="36"/>
  <c r="K1816" i="36"/>
  <c r="K1817" i="36"/>
  <c r="K1818" i="36"/>
  <c r="K1819" i="36"/>
  <c r="K1820" i="36"/>
  <c r="K1821" i="36"/>
  <c r="K1822" i="36"/>
  <c r="K1823" i="36"/>
  <c r="K1824" i="36"/>
  <c r="K1825" i="36"/>
  <c r="K1826" i="36"/>
  <c r="K1827" i="36"/>
  <c r="K1828" i="36"/>
  <c r="K1829" i="36"/>
  <c r="K1830" i="36"/>
  <c r="K1831" i="36"/>
  <c r="K1832" i="36"/>
  <c r="K1833" i="36"/>
  <c r="K1834" i="36"/>
  <c r="K1835" i="36"/>
  <c r="K1836" i="36"/>
  <c r="K1837" i="36"/>
  <c r="K1838" i="36"/>
  <c r="K1839" i="36"/>
  <c r="K1840" i="36"/>
  <c r="K1841" i="36"/>
  <c r="K1842" i="36"/>
  <c r="K1843" i="36"/>
  <c r="K1844" i="36"/>
  <c r="K1845" i="36"/>
  <c r="K1846" i="36"/>
  <c r="K1847" i="36"/>
  <c r="K1848" i="36"/>
  <c r="K1849" i="36"/>
  <c r="K1850" i="36"/>
  <c r="K1851" i="36"/>
  <c r="K1852" i="36"/>
  <c r="K1853" i="36"/>
  <c r="K1854" i="36"/>
  <c r="K1855" i="36"/>
  <c r="K1856" i="36"/>
  <c r="K1857" i="36"/>
  <c r="K1858" i="36"/>
  <c r="K1859" i="36"/>
  <c r="K1860" i="36"/>
  <c r="K1861" i="36"/>
  <c r="K1862" i="36"/>
  <c r="K1863" i="36"/>
  <c r="K1864" i="36"/>
  <c r="K1865" i="36"/>
  <c r="K1866" i="36"/>
  <c r="K1867" i="36"/>
  <c r="K1868" i="36"/>
  <c r="K1869" i="36"/>
  <c r="K1870" i="36"/>
  <c r="K1871" i="36"/>
  <c r="K1872" i="36"/>
  <c r="K1873" i="36"/>
  <c r="K1874" i="36"/>
  <c r="K1875" i="36"/>
  <c r="K1876" i="36"/>
  <c r="K1877" i="36"/>
  <c r="K1878" i="36"/>
  <c r="K1879" i="36"/>
  <c r="K1880" i="36"/>
  <c r="K1881" i="36"/>
  <c r="K1882" i="36"/>
  <c r="K1883" i="36"/>
  <c r="K1884" i="36"/>
  <c r="K1885" i="36"/>
  <c r="K1886" i="36"/>
  <c r="K1887" i="36"/>
  <c r="K1888" i="36"/>
  <c r="K1889" i="36"/>
  <c r="K1890" i="36"/>
  <c r="K1891" i="36"/>
  <c r="K1892" i="36"/>
  <c r="K1893" i="36"/>
  <c r="K1894" i="36"/>
  <c r="K1895" i="36"/>
  <c r="K1896" i="36"/>
  <c r="K1897" i="36"/>
  <c r="K1898" i="36"/>
  <c r="K1899" i="36"/>
  <c r="K1900" i="36"/>
  <c r="K1901" i="36"/>
  <c r="K1902" i="36"/>
  <c r="K1903" i="36"/>
  <c r="K1904" i="36"/>
  <c r="K1905" i="36"/>
  <c r="K1906" i="36"/>
  <c r="K1907" i="36"/>
  <c r="K1908" i="36"/>
  <c r="K1909" i="36"/>
  <c r="K1910" i="36"/>
  <c r="K1911" i="36"/>
  <c r="K1912" i="36"/>
  <c r="K1913" i="36"/>
  <c r="K1914" i="36"/>
  <c r="K1915" i="36"/>
  <c r="K1916" i="36"/>
  <c r="K1917" i="36"/>
  <c r="K1918" i="36"/>
  <c r="K1919" i="36"/>
  <c r="K1920" i="36"/>
  <c r="K1921" i="36"/>
  <c r="K1922" i="36"/>
  <c r="K1923" i="36"/>
  <c r="K1924" i="36"/>
  <c r="K1925" i="36"/>
  <c r="K1926" i="36"/>
  <c r="K1927" i="36"/>
  <c r="K1928" i="36"/>
  <c r="K1929" i="36"/>
  <c r="K1930" i="36"/>
  <c r="K1931" i="36"/>
  <c r="K1932" i="36"/>
  <c r="K1933" i="36"/>
  <c r="K1934" i="36"/>
  <c r="K1935" i="36"/>
  <c r="K1936" i="36"/>
  <c r="K1937" i="36"/>
  <c r="K1938" i="36"/>
  <c r="K1939" i="36"/>
  <c r="K1940" i="36"/>
  <c r="K1941" i="36"/>
  <c r="K1942" i="36"/>
  <c r="K1943" i="36"/>
  <c r="K1944" i="36"/>
  <c r="K1945" i="36"/>
  <c r="K1946" i="36"/>
  <c r="K1947" i="36"/>
  <c r="K1948" i="36"/>
  <c r="K1949" i="36"/>
  <c r="K1950" i="36"/>
  <c r="K1951" i="36"/>
  <c r="K1952" i="36"/>
  <c r="K1953" i="36"/>
  <c r="K1954" i="36"/>
  <c r="K1955" i="36"/>
  <c r="K1956" i="36"/>
  <c r="K1957" i="36"/>
  <c r="K1958" i="36"/>
  <c r="K1959" i="36"/>
  <c r="K1960" i="36"/>
  <c r="K1961" i="36"/>
  <c r="K1962" i="36"/>
  <c r="K1963" i="36"/>
  <c r="K1964" i="36"/>
  <c r="K1965" i="36"/>
  <c r="K1966" i="36"/>
  <c r="K1967" i="36"/>
  <c r="K1968" i="36"/>
  <c r="K1969" i="36"/>
  <c r="K1970" i="36"/>
  <c r="K1971" i="36"/>
  <c r="K1972" i="36"/>
  <c r="K1973" i="36"/>
  <c r="K1974" i="36"/>
  <c r="K1975" i="36"/>
  <c r="K1976" i="36"/>
  <c r="K1977" i="36"/>
  <c r="K1978" i="36"/>
  <c r="J1030" i="36"/>
  <c r="J1031" i="36"/>
  <c r="J1032" i="36"/>
  <c r="J1033" i="36"/>
  <c r="J1034" i="36"/>
  <c r="J1035" i="36"/>
  <c r="J1036" i="36"/>
  <c r="J1037" i="36"/>
  <c r="J1038" i="36"/>
  <c r="J1039" i="36"/>
  <c r="J1040" i="36"/>
  <c r="J1041" i="36"/>
  <c r="J1042" i="36"/>
  <c r="J1043" i="36"/>
  <c r="J1044" i="36"/>
  <c r="J1045" i="36"/>
  <c r="J1046" i="36"/>
  <c r="J1047" i="36"/>
  <c r="J1048" i="36"/>
  <c r="J1049" i="36"/>
  <c r="J1050" i="36"/>
  <c r="J1051" i="36"/>
  <c r="J1052" i="36"/>
  <c r="J1053" i="36"/>
  <c r="J1054" i="36"/>
  <c r="J1055" i="36"/>
  <c r="J1056" i="36"/>
  <c r="J1057" i="36"/>
  <c r="J1058" i="36"/>
  <c r="J1059" i="36"/>
  <c r="J1060" i="36"/>
  <c r="J1061" i="36"/>
  <c r="J1062" i="36"/>
  <c r="J1063" i="36"/>
  <c r="J1064" i="36"/>
  <c r="J1065" i="36"/>
  <c r="J1066" i="36"/>
  <c r="J1067" i="36"/>
  <c r="J1068" i="36"/>
  <c r="J1069" i="36"/>
  <c r="J1070" i="36"/>
  <c r="J1071" i="36"/>
  <c r="J1072" i="36"/>
  <c r="J1073" i="36"/>
  <c r="J1074" i="36"/>
  <c r="J1075" i="36"/>
  <c r="J1076" i="36"/>
  <c r="J1077" i="36"/>
  <c r="J1078" i="36"/>
  <c r="J1079" i="36"/>
  <c r="J1080" i="36"/>
  <c r="J1081" i="36"/>
  <c r="J1082" i="36"/>
  <c r="J1083" i="36"/>
  <c r="J1084" i="36"/>
  <c r="J1085" i="36"/>
  <c r="J1086" i="36"/>
  <c r="J1087" i="36"/>
  <c r="J1088" i="36"/>
  <c r="J1089" i="36"/>
  <c r="J1090" i="36"/>
  <c r="J1091" i="36"/>
  <c r="J1092" i="36"/>
  <c r="J1093" i="36"/>
  <c r="J1094" i="36"/>
  <c r="J1095" i="36"/>
  <c r="J1096" i="36"/>
  <c r="J1097" i="36"/>
  <c r="J1098" i="36"/>
  <c r="J1099" i="36"/>
  <c r="J1100" i="36"/>
  <c r="J1101" i="36"/>
  <c r="J1102" i="36"/>
  <c r="J1103" i="36"/>
  <c r="J1104" i="36"/>
  <c r="J1105" i="36"/>
  <c r="J1106" i="36"/>
  <c r="J1107" i="36"/>
  <c r="J1108" i="36"/>
  <c r="J1109" i="36"/>
  <c r="J1110" i="36"/>
  <c r="J1111" i="36"/>
  <c r="J1112" i="36"/>
  <c r="J1113" i="36"/>
  <c r="J1114" i="36"/>
  <c r="J1115" i="36"/>
  <c r="J1116" i="36"/>
  <c r="J1117" i="36"/>
  <c r="J1118" i="36"/>
  <c r="J1119" i="36"/>
  <c r="J1120" i="36"/>
  <c r="J1121" i="36"/>
  <c r="J1122" i="36"/>
  <c r="J1123" i="36"/>
  <c r="J1124" i="36"/>
  <c r="J1125" i="36"/>
  <c r="J1126" i="36"/>
  <c r="J1127" i="36"/>
  <c r="J1128" i="36"/>
  <c r="J1129" i="36"/>
  <c r="J1130" i="36"/>
  <c r="J1131" i="36"/>
  <c r="J1132" i="36"/>
  <c r="J1133" i="36"/>
  <c r="J1134" i="36"/>
  <c r="J1135" i="36"/>
  <c r="J1136" i="36"/>
  <c r="J1137" i="36"/>
  <c r="J1138" i="36"/>
  <c r="J1139" i="36"/>
  <c r="J1140" i="36"/>
  <c r="J1141" i="36"/>
  <c r="J1142" i="36"/>
  <c r="J1143" i="36"/>
  <c r="J1144" i="36"/>
  <c r="J1145" i="36"/>
  <c r="J1146" i="36"/>
  <c r="J1147" i="36"/>
  <c r="J1148" i="36"/>
  <c r="J1149" i="36"/>
  <c r="J1150" i="36"/>
  <c r="J1151" i="36"/>
  <c r="J1152" i="36"/>
  <c r="J1153" i="36"/>
  <c r="J1154" i="36"/>
  <c r="J1155" i="36"/>
  <c r="J1156" i="36"/>
  <c r="J1157" i="36"/>
  <c r="J1158" i="36"/>
  <c r="J1159" i="36"/>
  <c r="J1160" i="36"/>
  <c r="J1161" i="36"/>
  <c r="J1162" i="36"/>
  <c r="J1163" i="36"/>
  <c r="J1164" i="36"/>
  <c r="J1165" i="36"/>
  <c r="J1166" i="36"/>
  <c r="J1167" i="36"/>
  <c r="J1168" i="36"/>
  <c r="J1169" i="36"/>
  <c r="J1170" i="36"/>
  <c r="J1171" i="36"/>
  <c r="J1172" i="36"/>
  <c r="J1173" i="36"/>
  <c r="J1174" i="36"/>
  <c r="J1175" i="36"/>
  <c r="J1176" i="36"/>
  <c r="J1177" i="36"/>
  <c r="J1178" i="36"/>
  <c r="J1179" i="36"/>
  <c r="J1180" i="36"/>
  <c r="J1181" i="36"/>
  <c r="J1182" i="36"/>
  <c r="J1183" i="36"/>
  <c r="J1184" i="36"/>
  <c r="J1185" i="36"/>
  <c r="J1186" i="36"/>
  <c r="J1187" i="36"/>
  <c r="J1188" i="36"/>
  <c r="J1189" i="36"/>
  <c r="J1190" i="36"/>
  <c r="J1191" i="36"/>
  <c r="J1192" i="36"/>
  <c r="J1193" i="36"/>
  <c r="J1194" i="36"/>
  <c r="J1195" i="36"/>
  <c r="J1196" i="36"/>
  <c r="J1197" i="36"/>
  <c r="J1198" i="36"/>
  <c r="J1199" i="36"/>
  <c r="J1200" i="36"/>
  <c r="J1201" i="36"/>
  <c r="J1202" i="36"/>
  <c r="J1203" i="36"/>
  <c r="J1204" i="36"/>
  <c r="J1205" i="36"/>
  <c r="J1206" i="36"/>
  <c r="J1207" i="36"/>
  <c r="J1208" i="36"/>
  <c r="J1209" i="36"/>
  <c r="J1210" i="36"/>
  <c r="J1211" i="36"/>
  <c r="J1212" i="36"/>
  <c r="J1213" i="36"/>
  <c r="J1214" i="36"/>
  <c r="J1215" i="36"/>
  <c r="J1216" i="36"/>
  <c r="J1217" i="36"/>
  <c r="J1218" i="36"/>
  <c r="J1219" i="36"/>
  <c r="J1220" i="36"/>
  <c r="J1221" i="36"/>
  <c r="J1222" i="36"/>
  <c r="J1223" i="36"/>
  <c r="J1224" i="36"/>
  <c r="J1225" i="36"/>
  <c r="J1226" i="36"/>
  <c r="J1227" i="36"/>
  <c r="J1228" i="36"/>
  <c r="J1229" i="36"/>
  <c r="J1230" i="36"/>
  <c r="J1231" i="36"/>
  <c r="J1232" i="36"/>
  <c r="J1233" i="36"/>
  <c r="J1234" i="36"/>
  <c r="J1235" i="36"/>
  <c r="J1236" i="36"/>
  <c r="J1237" i="36"/>
  <c r="J1238" i="36"/>
  <c r="J1239" i="36"/>
  <c r="J1240" i="36"/>
  <c r="J1241" i="36"/>
  <c r="J1242" i="36"/>
  <c r="J1243" i="36"/>
  <c r="J1244" i="36"/>
  <c r="J1245" i="36"/>
  <c r="J1246" i="36"/>
  <c r="J1247" i="36"/>
  <c r="J1248" i="36"/>
  <c r="J1249" i="36"/>
  <c r="J1250" i="36"/>
  <c r="J1251" i="36"/>
  <c r="J1252" i="36"/>
  <c r="J1253" i="36"/>
  <c r="J1254" i="36"/>
  <c r="J1255" i="36"/>
  <c r="J1256" i="36"/>
  <c r="J1257" i="36"/>
  <c r="J1258" i="36"/>
  <c r="J1259" i="36"/>
  <c r="J1260" i="36"/>
  <c r="J1261" i="36"/>
  <c r="J1262" i="36"/>
  <c r="J1263" i="36"/>
  <c r="J1264" i="36"/>
  <c r="J1265" i="36"/>
  <c r="J1266" i="36"/>
  <c r="J1267" i="36"/>
  <c r="J1268" i="36"/>
  <c r="J1269" i="36"/>
  <c r="J1270" i="36"/>
  <c r="J1271" i="36"/>
  <c r="J1272" i="36"/>
  <c r="J1273" i="36"/>
  <c r="J1274" i="36"/>
  <c r="J1275" i="36"/>
  <c r="J1276" i="36"/>
  <c r="J1277" i="36"/>
  <c r="J1278" i="36"/>
  <c r="J1279" i="36"/>
  <c r="J1280" i="36"/>
  <c r="J1281" i="36"/>
  <c r="J1282" i="36"/>
  <c r="J1283" i="36"/>
  <c r="J1284" i="36"/>
  <c r="J1285" i="36"/>
  <c r="J1286" i="36"/>
  <c r="J1287" i="36"/>
  <c r="J1288" i="36"/>
  <c r="J1289" i="36"/>
  <c r="J1290" i="36"/>
  <c r="J1291" i="36"/>
  <c r="J1292" i="36"/>
  <c r="J1293" i="36"/>
  <c r="J1294" i="36"/>
  <c r="J1295" i="36"/>
  <c r="J1296" i="36"/>
  <c r="J1297" i="36"/>
  <c r="J1298" i="36"/>
  <c r="J1299" i="36"/>
  <c r="J1300" i="36"/>
  <c r="J1301" i="36"/>
  <c r="J1302" i="36"/>
  <c r="J1303" i="36"/>
  <c r="J1304" i="36"/>
  <c r="J1305" i="36"/>
  <c r="J1306" i="36"/>
  <c r="J1307" i="36"/>
  <c r="J1308" i="36"/>
  <c r="J1309" i="36"/>
  <c r="J1310" i="36"/>
  <c r="J1311" i="36"/>
  <c r="J1312" i="36"/>
  <c r="J1313" i="36"/>
  <c r="J1314" i="36"/>
  <c r="J1315" i="36"/>
  <c r="J1316" i="36"/>
  <c r="J1317" i="36"/>
  <c r="J1318" i="36"/>
  <c r="J1319" i="36"/>
  <c r="J1320" i="36"/>
  <c r="J1321" i="36"/>
  <c r="J1322" i="36"/>
  <c r="J1323" i="36"/>
  <c r="J1324" i="36"/>
  <c r="J1325" i="36"/>
  <c r="J1326" i="36"/>
  <c r="J1327" i="36"/>
  <c r="J1328" i="36"/>
  <c r="J1329" i="36"/>
  <c r="J1330" i="36"/>
  <c r="J1331" i="36"/>
  <c r="J1332" i="36"/>
  <c r="J1333" i="36"/>
  <c r="J1334" i="36"/>
  <c r="J1335" i="36"/>
  <c r="J1336" i="36"/>
  <c r="J1337" i="36"/>
  <c r="J1338" i="36"/>
  <c r="J1339" i="36"/>
  <c r="J1340" i="36"/>
  <c r="J1341" i="36"/>
  <c r="J1342" i="36"/>
  <c r="J1343" i="36"/>
  <c r="J1344" i="36"/>
  <c r="J1345" i="36"/>
  <c r="J1346" i="36"/>
  <c r="J1347" i="36"/>
  <c r="J1348" i="36"/>
  <c r="J1349" i="36"/>
  <c r="J1350" i="36"/>
  <c r="J1351" i="36"/>
  <c r="J1352" i="36"/>
  <c r="J1353" i="36"/>
  <c r="J1354" i="36"/>
  <c r="J1355" i="36"/>
  <c r="J1356" i="36"/>
  <c r="J1357" i="36"/>
  <c r="J1358" i="36"/>
  <c r="J1359" i="36"/>
  <c r="J1360" i="36"/>
  <c r="J1361" i="36"/>
  <c r="J1362" i="36"/>
  <c r="J1363" i="36"/>
  <c r="J1364" i="36"/>
  <c r="J1365" i="36"/>
  <c r="J1366" i="36"/>
  <c r="J1367" i="36"/>
  <c r="J1368" i="36"/>
  <c r="J1369" i="36"/>
  <c r="J1370" i="36"/>
  <c r="J1371" i="36"/>
  <c r="J1372" i="36"/>
  <c r="J1373" i="36"/>
  <c r="J1374" i="36"/>
  <c r="J1375" i="36"/>
  <c r="J1376" i="36"/>
  <c r="J1377" i="36"/>
  <c r="J1378" i="36"/>
  <c r="J1379" i="36"/>
  <c r="J1380" i="36"/>
  <c r="J1381" i="36"/>
  <c r="J1382" i="36"/>
  <c r="J1383" i="36"/>
  <c r="J1384" i="36"/>
  <c r="J1385" i="36"/>
  <c r="J1386" i="36"/>
  <c r="J1387" i="36"/>
  <c r="J1388" i="36"/>
  <c r="J1389" i="36"/>
  <c r="J1390" i="36"/>
  <c r="J1391" i="36"/>
  <c r="J1392" i="36"/>
  <c r="J1393" i="36"/>
  <c r="J1394" i="36"/>
  <c r="J1395" i="36"/>
  <c r="J1396" i="36"/>
  <c r="J1397" i="36"/>
  <c r="J1398" i="36"/>
  <c r="J1399" i="36"/>
  <c r="J1400" i="36"/>
  <c r="J1401" i="36"/>
  <c r="J1402" i="36"/>
  <c r="J1403" i="36"/>
  <c r="J1404" i="36"/>
  <c r="J1405" i="36"/>
  <c r="J1406" i="36"/>
  <c r="J1407" i="36"/>
  <c r="J1408" i="36"/>
  <c r="J1409" i="36"/>
  <c r="J1410" i="36"/>
  <c r="J1411" i="36"/>
  <c r="J1412" i="36"/>
  <c r="J1413" i="36"/>
  <c r="J1414" i="36"/>
  <c r="J1415" i="36"/>
  <c r="J1416" i="36"/>
  <c r="J1417" i="36"/>
  <c r="J1418" i="36"/>
  <c r="J1419" i="36"/>
  <c r="J1420" i="36"/>
  <c r="J1421" i="36"/>
  <c r="J1422" i="36"/>
  <c r="J1423" i="36"/>
  <c r="J1424" i="36"/>
  <c r="J1425" i="36"/>
  <c r="J1426" i="36"/>
  <c r="J1427" i="36"/>
  <c r="J1428" i="36"/>
  <c r="J1429" i="36"/>
  <c r="J1430" i="36"/>
  <c r="J1431" i="36"/>
  <c r="J1432" i="36"/>
  <c r="J1433" i="36"/>
  <c r="J1434" i="36"/>
  <c r="J1435" i="36"/>
  <c r="J1436" i="36"/>
  <c r="J1437" i="36"/>
  <c r="J1438" i="36"/>
  <c r="J1439" i="36"/>
  <c r="J1440" i="36"/>
  <c r="J1441" i="36"/>
  <c r="J1442" i="36"/>
  <c r="J1443" i="36"/>
  <c r="J1444" i="36"/>
  <c r="J1445" i="36"/>
  <c r="J1446" i="36"/>
  <c r="J1447" i="36"/>
  <c r="J1448" i="36"/>
  <c r="J1449" i="36"/>
  <c r="J1450" i="36"/>
  <c r="J1451" i="36"/>
  <c r="J1452" i="36"/>
  <c r="J1453" i="36"/>
  <c r="J1454" i="36"/>
  <c r="J1455" i="36"/>
  <c r="J1456" i="36"/>
  <c r="J1457" i="36"/>
  <c r="J1458" i="36"/>
  <c r="J1459" i="36"/>
  <c r="J1460" i="36"/>
  <c r="J1461" i="36"/>
  <c r="J1462" i="36"/>
  <c r="J1463" i="36"/>
  <c r="J1464" i="36"/>
  <c r="J1465" i="36"/>
  <c r="J1466" i="36"/>
  <c r="J1467" i="36"/>
  <c r="J1468" i="36"/>
  <c r="J1469" i="36"/>
  <c r="J1470" i="36"/>
  <c r="J1471" i="36"/>
  <c r="J1472" i="36"/>
  <c r="J1473" i="36"/>
  <c r="J1474" i="36"/>
  <c r="J1475" i="36"/>
  <c r="J1476" i="36"/>
  <c r="J1477" i="36"/>
  <c r="J1478" i="36"/>
  <c r="J1479" i="36"/>
  <c r="J1480" i="36"/>
  <c r="J1481" i="36"/>
  <c r="J1482" i="36"/>
  <c r="J1483" i="36"/>
  <c r="J1484" i="36"/>
  <c r="J1485" i="36"/>
  <c r="J1486" i="36"/>
  <c r="J1487" i="36"/>
  <c r="J1488" i="36"/>
  <c r="J1489" i="36"/>
  <c r="J1490" i="36"/>
  <c r="J1491" i="36"/>
  <c r="J1492" i="36"/>
  <c r="J1493" i="36"/>
  <c r="J1494" i="36"/>
  <c r="J1495" i="36"/>
  <c r="J1496" i="36"/>
  <c r="J1497" i="36"/>
  <c r="J1498" i="36"/>
  <c r="J1499" i="36"/>
  <c r="J1500" i="36"/>
  <c r="J1501" i="36"/>
  <c r="J1502" i="36"/>
  <c r="J1503" i="36"/>
  <c r="J1504" i="36"/>
  <c r="J1505" i="36"/>
  <c r="J1506" i="36"/>
  <c r="J1507" i="36"/>
  <c r="J1508" i="36"/>
  <c r="J1509" i="36"/>
  <c r="J1510" i="36"/>
  <c r="J1511" i="36"/>
  <c r="J1512" i="36"/>
  <c r="J1513" i="36"/>
  <c r="J1514" i="36"/>
  <c r="J1515" i="36"/>
  <c r="J1516" i="36"/>
  <c r="J1517" i="36"/>
  <c r="J1518" i="36"/>
  <c r="J1519" i="36"/>
  <c r="J1520" i="36"/>
  <c r="J1521" i="36"/>
  <c r="J1522" i="36"/>
  <c r="J1523" i="36"/>
  <c r="J1524" i="36"/>
  <c r="J1525" i="36"/>
  <c r="J1526" i="36"/>
  <c r="J1527" i="36"/>
  <c r="J1528" i="36"/>
  <c r="J1529" i="36"/>
  <c r="J1530" i="36"/>
  <c r="J1531" i="36"/>
  <c r="J1532" i="36"/>
  <c r="J1533" i="36"/>
  <c r="J1534" i="36"/>
  <c r="J1535" i="36"/>
  <c r="J1536" i="36"/>
  <c r="J1537" i="36"/>
  <c r="J1538" i="36"/>
  <c r="J1539" i="36"/>
  <c r="J1540" i="36"/>
  <c r="J1541" i="36"/>
  <c r="J1542" i="36"/>
  <c r="J1543" i="36"/>
  <c r="J1544" i="36"/>
  <c r="J1545" i="36"/>
  <c r="J1546" i="36"/>
  <c r="J1547" i="36"/>
  <c r="J1548" i="36"/>
  <c r="J1549" i="36"/>
  <c r="J1550" i="36"/>
  <c r="J1551" i="36"/>
  <c r="J1552" i="36"/>
  <c r="J1553" i="36"/>
  <c r="J1554" i="36"/>
  <c r="J1555" i="36"/>
  <c r="J1556" i="36"/>
  <c r="J1557" i="36"/>
  <c r="J1558" i="36"/>
  <c r="J1559" i="36"/>
  <c r="J1560" i="36"/>
  <c r="J1561" i="36"/>
  <c r="J1562" i="36"/>
  <c r="J1563" i="36"/>
  <c r="J1564" i="36"/>
  <c r="J1565" i="36"/>
  <c r="J1566" i="36"/>
  <c r="J1567" i="36"/>
  <c r="J1568" i="36"/>
  <c r="J1569" i="36"/>
  <c r="J1570" i="36"/>
  <c r="J1571" i="36"/>
  <c r="J1572" i="36"/>
  <c r="J1573" i="36"/>
  <c r="J1574" i="36"/>
  <c r="J1575" i="36"/>
  <c r="J1576" i="36"/>
  <c r="J1577" i="36"/>
  <c r="J1578" i="36"/>
  <c r="J1579" i="36"/>
  <c r="J1580" i="36"/>
  <c r="J1581" i="36"/>
  <c r="J1582" i="36"/>
  <c r="J1583" i="36"/>
  <c r="J1584" i="36"/>
  <c r="J1585" i="36"/>
  <c r="J1586" i="36"/>
  <c r="J1587" i="36"/>
  <c r="J1588" i="36"/>
  <c r="J1589" i="36"/>
  <c r="J1590" i="36"/>
  <c r="J1591" i="36"/>
  <c r="J1592" i="36"/>
  <c r="J1593" i="36"/>
  <c r="J1594" i="36"/>
  <c r="J1595" i="36"/>
  <c r="J1596" i="36"/>
  <c r="J1597" i="36"/>
  <c r="J1598" i="36"/>
  <c r="J1599" i="36"/>
  <c r="J1600" i="36"/>
  <c r="J1601" i="36"/>
  <c r="J1602" i="36"/>
  <c r="J1603" i="36"/>
  <c r="J1604" i="36"/>
  <c r="J1605" i="36"/>
  <c r="J1606" i="36"/>
  <c r="J1607" i="36"/>
  <c r="J1608" i="36"/>
  <c r="J1609" i="36"/>
  <c r="J1610" i="36"/>
  <c r="J1611" i="36"/>
  <c r="J1612" i="36"/>
  <c r="J1613" i="36"/>
  <c r="J1614" i="36"/>
  <c r="J1615" i="36"/>
  <c r="J1616" i="36"/>
  <c r="J1617" i="36"/>
  <c r="J1618" i="36"/>
  <c r="J1619" i="36"/>
  <c r="J1620" i="36"/>
  <c r="J1621" i="36"/>
  <c r="J1622" i="36"/>
  <c r="J1623" i="36"/>
  <c r="J1624" i="36"/>
  <c r="J1625" i="36"/>
  <c r="J1626" i="36"/>
  <c r="J1627" i="36"/>
  <c r="J1628" i="36"/>
  <c r="J1629" i="36"/>
  <c r="J1630" i="36"/>
  <c r="J1631" i="36"/>
  <c r="J1632" i="36"/>
  <c r="J1633" i="36"/>
  <c r="J1634" i="36"/>
  <c r="J1635" i="36"/>
  <c r="J1636" i="36"/>
  <c r="J1637" i="36"/>
  <c r="J1638" i="36"/>
  <c r="J1639" i="36"/>
  <c r="J1640" i="36"/>
  <c r="J1641" i="36"/>
  <c r="J1642" i="36"/>
  <c r="J1643" i="36"/>
  <c r="J1644" i="36"/>
  <c r="J1645" i="36"/>
  <c r="J1646" i="36"/>
  <c r="J1647" i="36"/>
  <c r="J1648" i="36"/>
  <c r="J1649" i="36"/>
  <c r="J1650" i="36"/>
  <c r="J1651" i="36"/>
  <c r="J1652" i="36"/>
  <c r="J1653" i="36"/>
  <c r="J1654" i="36"/>
  <c r="J1655" i="36"/>
  <c r="J1656" i="36"/>
  <c r="J1657" i="36"/>
  <c r="J1658" i="36"/>
  <c r="J1659" i="36"/>
  <c r="J1660" i="36"/>
  <c r="J1661" i="36"/>
  <c r="J1662" i="36"/>
  <c r="J1663" i="36"/>
  <c r="J1664" i="36"/>
  <c r="J1665" i="36"/>
  <c r="J1666" i="36"/>
  <c r="J1667" i="36"/>
  <c r="J1668" i="36"/>
  <c r="J1669" i="36"/>
  <c r="J1670" i="36"/>
  <c r="J1671" i="36"/>
  <c r="J1672" i="36"/>
  <c r="J1673" i="36"/>
  <c r="J1674" i="36"/>
  <c r="J1675" i="36"/>
  <c r="J1676" i="36"/>
  <c r="J1677" i="36"/>
  <c r="J1678" i="36"/>
  <c r="J1679" i="36"/>
  <c r="J1680" i="36"/>
  <c r="J1681" i="36"/>
  <c r="J1682" i="36"/>
  <c r="J1683" i="36"/>
  <c r="J1684" i="36"/>
  <c r="J1685" i="36"/>
  <c r="J1686" i="36"/>
  <c r="J1687" i="36"/>
  <c r="J1688" i="36"/>
  <c r="J1689" i="36"/>
  <c r="J1690" i="36"/>
  <c r="J1691" i="36"/>
  <c r="J1692" i="36"/>
  <c r="J1693" i="36"/>
  <c r="J1694" i="36"/>
  <c r="J1695" i="36"/>
  <c r="J1696" i="36"/>
  <c r="J1697" i="36"/>
  <c r="J1698" i="36"/>
  <c r="J1699" i="36"/>
  <c r="J1700" i="36"/>
  <c r="J1701" i="36"/>
  <c r="J1702" i="36"/>
  <c r="J1703" i="36"/>
  <c r="J1704" i="36"/>
  <c r="J1705" i="36"/>
  <c r="J1706" i="36"/>
  <c r="J1707" i="36"/>
  <c r="J1708" i="36"/>
  <c r="J1709" i="36"/>
  <c r="J1710" i="36"/>
  <c r="J1711" i="36"/>
  <c r="J1712" i="36"/>
  <c r="J1713" i="36"/>
  <c r="J1714" i="36"/>
  <c r="J1715" i="36"/>
  <c r="J1716" i="36"/>
  <c r="J1717" i="36"/>
  <c r="J1718" i="36"/>
  <c r="J1719" i="36"/>
  <c r="J1720" i="36"/>
  <c r="J1721" i="36"/>
  <c r="J1722" i="36"/>
  <c r="J1723" i="36"/>
  <c r="J1724" i="36"/>
  <c r="J1725" i="36"/>
  <c r="J1726" i="36"/>
  <c r="J1727" i="36"/>
  <c r="J1728" i="36"/>
  <c r="J1729" i="36"/>
  <c r="J1730" i="36"/>
  <c r="J1731" i="36"/>
  <c r="J1732" i="36"/>
  <c r="J1733" i="36"/>
  <c r="J1734" i="36"/>
  <c r="J1735" i="36"/>
  <c r="J1736" i="36"/>
  <c r="J1737" i="36"/>
  <c r="J1738" i="36"/>
  <c r="J1739" i="36"/>
  <c r="J1740" i="36"/>
  <c r="J1741" i="36"/>
  <c r="J1742" i="36"/>
  <c r="J1743" i="36"/>
  <c r="J1744" i="36"/>
  <c r="J1745" i="36"/>
  <c r="J1746" i="36"/>
  <c r="J1747" i="36"/>
  <c r="J1748" i="36"/>
  <c r="J1749" i="36"/>
  <c r="J1750" i="36"/>
  <c r="J1751" i="36"/>
  <c r="J1752" i="36"/>
  <c r="J1753" i="36"/>
  <c r="J1754" i="36"/>
  <c r="J1755" i="36"/>
  <c r="J1756" i="36"/>
  <c r="J1757" i="36"/>
  <c r="J1758" i="36"/>
  <c r="J1759" i="36"/>
  <c r="J1760" i="36"/>
  <c r="J1761" i="36"/>
  <c r="J1762" i="36"/>
  <c r="J1763" i="36"/>
  <c r="J1764" i="36"/>
  <c r="J1765" i="36"/>
  <c r="J1766" i="36"/>
  <c r="J1767" i="36"/>
  <c r="J1768" i="36"/>
  <c r="J1769" i="36"/>
  <c r="J1770" i="36"/>
  <c r="J1771" i="36"/>
  <c r="J1772" i="36"/>
  <c r="J1773" i="36"/>
  <c r="J1774" i="36"/>
  <c r="J1775" i="36"/>
  <c r="J1776" i="36"/>
  <c r="J1777" i="36"/>
  <c r="J1778" i="36"/>
  <c r="J1779" i="36"/>
  <c r="J1780" i="36"/>
  <c r="J1781" i="36"/>
  <c r="J1782" i="36"/>
  <c r="J1783" i="36"/>
  <c r="J1784" i="36"/>
  <c r="J1785" i="36"/>
  <c r="J1786" i="36"/>
  <c r="J1787" i="36"/>
  <c r="J1788" i="36"/>
  <c r="J1789" i="36"/>
  <c r="J1790" i="36"/>
  <c r="J1791" i="36"/>
  <c r="J1792" i="36"/>
  <c r="J1793" i="36"/>
  <c r="J1794" i="36"/>
  <c r="J1795" i="36"/>
  <c r="J1796" i="36"/>
  <c r="J1797" i="36"/>
  <c r="J1798" i="36"/>
  <c r="J1799" i="36"/>
  <c r="J1800" i="36"/>
  <c r="J1801" i="36"/>
  <c r="J1802" i="36"/>
  <c r="J1803" i="36"/>
  <c r="J1804" i="36"/>
  <c r="J1805" i="36"/>
  <c r="J1806" i="36"/>
  <c r="J1807" i="36"/>
  <c r="J1808" i="36"/>
  <c r="J1809" i="36"/>
  <c r="J1810" i="36"/>
  <c r="J1811" i="36"/>
  <c r="J1812" i="36"/>
  <c r="J1813" i="36"/>
  <c r="J1814" i="36"/>
  <c r="J1815" i="36"/>
  <c r="J1816" i="36"/>
  <c r="J1817" i="36"/>
  <c r="J1818" i="36"/>
  <c r="J1819" i="36"/>
  <c r="J1820" i="36"/>
  <c r="J1821" i="36"/>
  <c r="J1822" i="36"/>
  <c r="J1823" i="36"/>
  <c r="J1824" i="36"/>
  <c r="J1825" i="36"/>
  <c r="J1826" i="36"/>
  <c r="J1827" i="36"/>
  <c r="J1828" i="36"/>
  <c r="J1829" i="36"/>
  <c r="J1830" i="36"/>
  <c r="J1831" i="36"/>
  <c r="J1832" i="36"/>
  <c r="J1833" i="36"/>
  <c r="J1834" i="36"/>
  <c r="J1835" i="36"/>
  <c r="J1836" i="36"/>
  <c r="J1837" i="36"/>
  <c r="J1838" i="36"/>
  <c r="J1839" i="36"/>
  <c r="J1840" i="36"/>
  <c r="J1841" i="36"/>
  <c r="J1842" i="36"/>
  <c r="J1843" i="36"/>
  <c r="J1844" i="36"/>
  <c r="J1845" i="36"/>
  <c r="J1846" i="36"/>
  <c r="J1847" i="36"/>
  <c r="J1848" i="36"/>
  <c r="J1849" i="36"/>
  <c r="J1850" i="36"/>
  <c r="J1851" i="36"/>
  <c r="J1852" i="36"/>
  <c r="J1853" i="36"/>
  <c r="J1854" i="36"/>
  <c r="J1855" i="36"/>
  <c r="J1856" i="36"/>
  <c r="J1857" i="36"/>
  <c r="J1858" i="36"/>
  <c r="J1859" i="36"/>
  <c r="J1860" i="36"/>
  <c r="J1861" i="36"/>
  <c r="J1862" i="36"/>
  <c r="J1863" i="36"/>
  <c r="J1864" i="36"/>
  <c r="J1865" i="36"/>
  <c r="J1866" i="36"/>
  <c r="J1867" i="36"/>
  <c r="J1868" i="36"/>
  <c r="J1869" i="36"/>
  <c r="J1870" i="36"/>
  <c r="J1871" i="36"/>
  <c r="J1872" i="36"/>
  <c r="J1873" i="36"/>
  <c r="J1874" i="36"/>
  <c r="J1875" i="36"/>
  <c r="J1876" i="36"/>
  <c r="J1877" i="36"/>
  <c r="J1878" i="36"/>
  <c r="J1879" i="36"/>
  <c r="J1880" i="36"/>
  <c r="J1881" i="36"/>
  <c r="J1882" i="36"/>
  <c r="J1883" i="36"/>
  <c r="J1884" i="36"/>
  <c r="J1885" i="36"/>
  <c r="J1886" i="36"/>
  <c r="J1887" i="36"/>
  <c r="J1888" i="36"/>
  <c r="J1889" i="36"/>
  <c r="J1890" i="36"/>
  <c r="J1891" i="36"/>
  <c r="J1892" i="36"/>
  <c r="J1893" i="36"/>
  <c r="J1894" i="36"/>
  <c r="J1895" i="36"/>
  <c r="J1896" i="36"/>
  <c r="J1897" i="36"/>
  <c r="J1898" i="36"/>
  <c r="J1899" i="36"/>
  <c r="J1900" i="36"/>
  <c r="J1901" i="36"/>
  <c r="J1902" i="36"/>
  <c r="J1903" i="36"/>
  <c r="J1904" i="36"/>
  <c r="J1905" i="36"/>
  <c r="J1906" i="36"/>
  <c r="J1907" i="36"/>
  <c r="J1908" i="36"/>
  <c r="J1909" i="36"/>
  <c r="J1910" i="36"/>
  <c r="J1911" i="36"/>
  <c r="J1912" i="36"/>
  <c r="J1913" i="36"/>
  <c r="J1914" i="36"/>
  <c r="J1915" i="36"/>
  <c r="J1916" i="36"/>
  <c r="J1917" i="36"/>
  <c r="J1918" i="36"/>
  <c r="J1919" i="36"/>
  <c r="J1920" i="36"/>
  <c r="J1921" i="36"/>
  <c r="J1922" i="36"/>
  <c r="J1923" i="36"/>
  <c r="J1924" i="36"/>
  <c r="J1925" i="36"/>
  <c r="J1926" i="36"/>
  <c r="J1927" i="36"/>
  <c r="J1928" i="36"/>
  <c r="J1929" i="36"/>
  <c r="J1930" i="36"/>
  <c r="J1931" i="36"/>
  <c r="J1932" i="36"/>
  <c r="J1933" i="36"/>
  <c r="J1934" i="36"/>
  <c r="J1935" i="36"/>
  <c r="J1936" i="36"/>
  <c r="J1937" i="36"/>
  <c r="J1938" i="36"/>
  <c r="J1939" i="36"/>
  <c r="J1940" i="36"/>
  <c r="J1941" i="36"/>
  <c r="J1942" i="36"/>
  <c r="J1943" i="36"/>
  <c r="J1944" i="36"/>
  <c r="J1945" i="36"/>
  <c r="J1946" i="36"/>
  <c r="J1947" i="36"/>
  <c r="J1948" i="36"/>
  <c r="J1949" i="36"/>
  <c r="J1950" i="36"/>
  <c r="J1951" i="36"/>
  <c r="J1952" i="36"/>
  <c r="J1953" i="36"/>
  <c r="J1954" i="36"/>
  <c r="J1955" i="36"/>
  <c r="J1956" i="36"/>
  <c r="J1957" i="36"/>
  <c r="J1958" i="36"/>
  <c r="J1959" i="36"/>
  <c r="J1960" i="36"/>
  <c r="J1961" i="36"/>
  <c r="J1962" i="36"/>
  <c r="J1963" i="36"/>
  <c r="J1964" i="36"/>
  <c r="J1965" i="36"/>
  <c r="J1966" i="36"/>
  <c r="J1967" i="36"/>
  <c r="J1968" i="36"/>
  <c r="J1969" i="36"/>
  <c r="J1970" i="36"/>
  <c r="J1971" i="36"/>
  <c r="J1972" i="36"/>
  <c r="J1973" i="36"/>
  <c r="J1974" i="36"/>
  <c r="J1975" i="36"/>
  <c r="J1976" i="36"/>
  <c r="J1977" i="36"/>
  <c r="J1978" i="36"/>
  <c r="I1030" i="36"/>
  <c r="I1031" i="36"/>
  <c r="I1032" i="36"/>
  <c r="I1033" i="36"/>
  <c r="I1034" i="36"/>
  <c r="I1035" i="36"/>
  <c r="I1036" i="36"/>
  <c r="I1037" i="36"/>
  <c r="I1038" i="36"/>
  <c r="I1039" i="36"/>
  <c r="I1040" i="36"/>
  <c r="I1041" i="36"/>
  <c r="I1042" i="36"/>
  <c r="I1043" i="36"/>
  <c r="I1044" i="36"/>
  <c r="I1045" i="36"/>
  <c r="I1046" i="36"/>
  <c r="I1047" i="36"/>
  <c r="I1048" i="36"/>
  <c r="I1049" i="36"/>
  <c r="I1050" i="36"/>
  <c r="I1051" i="36"/>
  <c r="I1052" i="36"/>
  <c r="I1053" i="36"/>
  <c r="I1054" i="36"/>
  <c r="I1055" i="36"/>
  <c r="I1056" i="36"/>
  <c r="I1057" i="36"/>
  <c r="I1058" i="36"/>
  <c r="I1059" i="36"/>
  <c r="I1060" i="36"/>
  <c r="I1061" i="36"/>
  <c r="I1062" i="36"/>
  <c r="I1063" i="36"/>
  <c r="I1064" i="36"/>
  <c r="I1065" i="36"/>
  <c r="I1066" i="36"/>
  <c r="I1067" i="36"/>
  <c r="I1068" i="36"/>
  <c r="I1069" i="36"/>
  <c r="I1070" i="36"/>
  <c r="I1071" i="36"/>
  <c r="I1072" i="36"/>
  <c r="I1073" i="36"/>
  <c r="I1074" i="36"/>
  <c r="I1075" i="36"/>
  <c r="I1076" i="36"/>
  <c r="I1077" i="36"/>
  <c r="I1078" i="36"/>
  <c r="I1079" i="36"/>
  <c r="I1080" i="36"/>
  <c r="I1081" i="36"/>
  <c r="I1082" i="36"/>
  <c r="I1083" i="36"/>
  <c r="I1084" i="36"/>
  <c r="I1085" i="36"/>
  <c r="I1086" i="36"/>
  <c r="I1087" i="36"/>
  <c r="I1088" i="36"/>
  <c r="I1089" i="36"/>
  <c r="I1090" i="36"/>
  <c r="I1091" i="36"/>
  <c r="I1092" i="36"/>
  <c r="I1093" i="36"/>
  <c r="I1094" i="36"/>
  <c r="I1095" i="36"/>
  <c r="I1096" i="36"/>
  <c r="I1097" i="36"/>
  <c r="I1098" i="36"/>
  <c r="I1099" i="36"/>
  <c r="I1100" i="36"/>
  <c r="I1101" i="36"/>
  <c r="I1102" i="36"/>
  <c r="I1103" i="36"/>
  <c r="I1104" i="36"/>
  <c r="I1105" i="36"/>
  <c r="I1106" i="36"/>
  <c r="I1107" i="36"/>
  <c r="I1108" i="36"/>
  <c r="I1109" i="36"/>
  <c r="I1110" i="36"/>
  <c r="I1111" i="36"/>
  <c r="I1112" i="36"/>
  <c r="I1113" i="36"/>
  <c r="I1114" i="36"/>
  <c r="I1115" i="36"/>
  <c r="I1116" i="36"/>
  <c r="I1117" i="36"/>
  <c r="I1118" i="36"/>
  <c r="I1119" i="36"/>
  <c r="I1120" i="36"/>
  <c r="I1121" i="36"/>
  <c r="I1122" i="36"/>
  <c r="I1123" i="36"/>
  <c r="I1124" i="36"/>
  <c r="I1125" i="36"/>
  <c r="I1126" i="36"/>
  <c r="I1127" i="36"/>
  <c r="I1128" i="36"/>
  <c r="I1129" i="36"/>
  <c r="I1130" i="36"/>
  <c r="I1131" i="36"/>
  <c r="I1132" i="36"/>
  <c r="I1133" i="36"/>
  <c r="I1134" i="36"/>
  <c r="I1135" i="36"/>
  <c r="I1136" i="36"/>
  <c r="I1137" i="36"/>
  <c r="I1138" i="36"/>
  <c r="I1139" i="36"/>
  <c r="I1140" i="36"/>
  <c r="I1141" i="36"/>
  <c r="I1142" i="36"/>
  <c r="I1143" i="36"/>
  <c r="I1144" i="36"/>
  <c r="I1145" i="36"/>
  <c r="I1146" i="36"/>
  <c r="I1147" i="36"/>
  <c r="I1148" i="36"/>
  <c r="I1149" i="36"/>
  <c r="I1150" i="36"/>
  <c r="I1151" i="36"/>
  <c r="I1152" i="36"/>
  <c r="I1153" i="36"/>
  <c r="I1154" i="36"/>
  <c r="I1155" i="36"/>
  <c r="I1156" i="36"/>
  <c r="I1157" i="36"/>
  <c r="I1158" i="36"/>
  <c r="I1159" i="36"/>
  <c r="I1160" i="36"/>
  <c r="I1161" i="36"/>
  <c r="I1162" i="36"/>
  <c r="I1163" i="36"/>
  <c r="I1164" i="36"/>
  <c r="I1165" i="36"/>
  <c r="I1166" i="36"/>
  <c r="I1167" i="36"/>
  <c r="I1168" i="36"/>
  <c r="I1169" i="36"/>
  <c r="I1170" i="36"/>
  <c r="I1171" i="36"/>
  <c r="I1172" i="36"/>
  <c r="I1173" i="36"/>
  <c r="I1174" i="36"/>
  <c r="I1175" i="36"/>
  <c r="I1176" i="36"/>
  <c r="I1177" i="36"/>
  <c r="I1178" i="36"/>
  <c r="I1179" i="36"/>
  <c r="I1180" i="36"/>
  <c r="I1181" i="36"/>
  <c r="I1182" i="36"/>
  <c r="I1183" i="36"/>
  <c r="I1184" i="36"/>
  <c r="I1185" i="36"/>
  <c r="I1186" i="36"/>
  <c r="I1187" i="36"/>
  <c r="I1188" i="36"/>
  <c r="I1189" i="36"/>
  <c r="I1190" i="36"/>
  <c r="I1191" i="36"/>
  <c r="I1192" i="36"/>
  <c r="I1193" i="36"/>
  <c r="I1194" i="36"/>
  <c r="I1195" i="36"/>
  <c r="I1196" i="36"/>
  <c r="I1197" i="36"/>
  <c r="I1198" i="36"/>
  <c r="I1199" i="36"/>
  <c r="I1200" i="36"/>
  <c r="I1201" i="36"/>
  <c r="I1202" i="36"/>
  <c r="I1203" i="36"/>
  <c r="I1204" i="36"/>
  <c r="I1205" i="36"/>
  <c r="I1206" i="36"/>
  <c r="I1207" i="36"/>
  <c r="I1208" i="36"/>
  <c r="I1209" i="36"/>
  <c r="I1210" i="36"/>
  <c r="I1211" i="36"/>
  <c r="I1212" i="36"/>
  <c r="I1213" i="36"/>
  <c r="I1214" i="36"/>
  <c r="I1215" i="36"/>
  <c r="I1216" i="36"/>
  <c r="I1217" i="36"/>
  <c r="I1218" i="36"/>
  <c r="I1219" i="36"/>
  <c r="I1220" i="36"/>
  <c r="I1221" i="36"/>
  <c r="I1222" i="36"/>
  <c r="I1223" i="36"/>
  <c r="I1224" i="36"/>
  <c r="I1225" i="36"/>
  <c r="I1226" i="36"/>
  <c r="I1227" i="36"/>
  <c r="I1228" i="36"/>
  <c r="I1229" i="36"/>
  <c r="I1230" i="36"/>
  <c r="I1231" i="36"/>
  <c r="I1232" i="36"/>
  <c r="I1233" i="36"/>
  <c r="I1234" i="36"/>
  <c r="I1235" i="36"/>
  <c r="I1236" i="36"/>
  <c r="I1237" i="36"/>
  <c r="I1238" i="36"/>
  <c r="I1239" i="36"/>
  <c r="I1240" i="36"/>
  <c r="I1241" i="36"/>
  <c r="I1242" i="36"/>
  <c r="I1243" i="36"/>
  <c r="I1244" i="36"/>
  <c r="I1245" i="36"/>
  <c r="I1246" i="36"/>
  <c r="I1247" i="36"/>
  <c r="I1248" i="36"/>
  <c r="I1249" i="36"/>
  <c r="I1250" i="36"/>
  <c r="I1251" i="36"/>
  <c r="I1252" i="36"/>
  <c r="I1253" i="36"/>
  <c r="I1254" i="36"/>
  <c r="I1255" i="36"/>
  <c r="I1256" i="36"/>
  <c r="I1257" i="36"/>
  <c r="I1258" i="36"/>
  <c r="I1259" i="36"/>
  <c r="I1260" i="36"/>
  <c r="I1261" i="36"/>
  <c r="I1262" i="36"/>
  <c r="I1263" i="36"/>
  <c r="I1264" i="36"/>
  <c r="I1265" i="36"/>
  <c r="I1266" i="36"/>
  <c r="I1267" i="36"/>
  <c r="I1268" i="36"/>
  <c r="I1269" i="36"/>
  <c r="I1270" i="36"/>
  <c r="I1271" i="36"/>
  <c r="I1272" i="36"/>
  <c r="I1273" i="36"/>
  <c r="I1274" i="36"/>
  <c r="I1275" i="36"/>
  <c r="I1276" i="36"/>
  <c r="I1277" i="36"/>
  <c r="I1278" i="36"/>
  <c r="I1279" i="36"/>
  <c r="I1280" i="36"/>
  <c r="I1281" i="36"/>
  <c r="I1282" i="36"/>
  <c r="I1283" i="36"/>
  <c r="I1284" i="36"/>
  <c r="I1285" i="36"/>
  <c r="I1286" i="36"/>
  <c r="I1287" i="36"/>
  <c r="I1288" i="36"/>
  <c r="I1289" i="36"/>
  <c r="I1290" i="36"/>
  <c r="I1291" i="36"/>
  <c r="I1292" i="36"/>
  <c r="I1293" i="36"/>
  <c r="I1294" i="36"/>
  <c r="I1295" i="36"/>
  <c r="I1296" i="36"/>
  <c r="I1297" i="36"/>
  <c r="I1298" i="36"/>
  <c r="I1299" i="36"/>
  <c r="I1300" i="36"/>
  <c r="I1301" i="36"/>
  <c r="I1302" i="36"/>
  <c r="I1303" i="36"/>
  <c r="I1304" i="36"/>
  <c r="I1305" i="36"/>
  <c r="I1306" i="36"/>
  <c r="I1307" i="36"/>
  <c r="I1308" i="36"/>
  <c r="I1309" i="36"/>
  <c r="I1310" i="36"/>
  <c r="I1311" i="36"/>
  <c r="I1312" i="36"/>
  <c r="I1313" i="36"/>
  <c r="I1314" i="36"/>
  <c r="I1315" i="36"/>
  <c r="I1316" i="36"/>
  <c r="I1317" i="36"/>
  <c r="I1318" i="36"/>
  <c r="I1319" i="36"/>
  <c r="I1320" i="36"/>
  <c r="I1321" i="36"/>
  <c r="I1322" i="36"/>
  <c r="I1323" i="36"/>
  <c r="I1324" i="36"/>
  <c r="I1325" i="36"/>
  <c r="I1326" i="36"/>
  <c r="I1327" i="36"/>
  <c r="I1328" i="36"/>
  <c r="I1329" i="36"/>
  <c r="I1330" i="36"/>
  <c r="I1331" i="36"/>
  <c r="I1332" i="36"/>
  <c r="I1333" i="36"/>
  <c r="I1334" i="36"/>
  <c r="I1335" i="36"/>
  <c r="I1336" i="36"/>
  <c r="I1337" i="36"/>
  <c r="I1338" i="36"/>
  <c r="I1339" i="36"/>
  <c r="I1340" i="36"/>
  <c r="I1341" i="36"/>
  <c r="I1342" i="36"/>
  <c r="I1343" i="36"/>
  <c r="I1344" i="36"/>
  <c r="I1345" i="36"/>
  <c r="I1346" i="36"/>
  <c r="I1347" i="36"/>
  <c r="I1348" i="36"/>
  <c r="I1349" i="36"/>
  <c r="I1350" i="36"/>
  <c r="I1351" i="36"/>
  <c r="I1352" i="36"/>
  <c r="I1353" i="36"/>
  <c r="I1354" i="36"/>
  <c r="I1355" i="36"/>
  <c r="I1356" i="36"/>
  <c r="I1357" i="36"/>
  <c r="I1358" i="36"/>
  <c r="I1359" i="36"/>
  <c r="I1360" i="36"/>
  <c r="I1361" i="36"/>
  <c r="I1362" i="36"/>
  <c r="I1363" i="36"/>
  <c r="I1364" i="36"/>
  <c r="I1365" i="36"/>
  <c r="I1366" i="36"/>
  <c r="I1367" i="36"/>
  <c r="I1368" i="36"/>
  <c r="I1369" i="36"/>
  <c r="I1370" i="36"/>
  <c r="I1371" i="36"/>
  <c r="I1372" i="36"/>
  <c r="I1373" i="36"/>
  <c r="I1374" i="36"/>
  <c r="I1375" i="36"/>
  <c r="I1376" i="36"/>
  <c r="I1377" i="36"/>
  <c r="I1378" i="36"/>
  <c r="I1379" i="36"/>
  <c r="I1380" i="36"/>
  <c r="I1381" i="36"/>
  <c r="I1382" i="36"/>
  <c r="I1383" i="36"/>
  <c r="I1384" i="36"/>
  <c r="I1385" i="36"/>
  <c r="I1386" i="36"/>
  <c r="I1387" i="36"/>
  <c r="I1388" i="36"/>
  <c r="I1389" i="36"/>
  <c r="I1390" i="36"/>
  <c r="I1391" i="36"/>
  <c r="I1392" i="36"/>
  <c r="I1393" i="36"/>
  <c r="I1394" i="36"/>
  <c r="I1395" i="36"/>
  <c r="I1396" i="36"/>
  <c r="I1397" i="36"/>
  <c r="I1398" i="36"/>
  <c r="I1399" i="36"/>
  <c r="I1400" i="36"/>
  <c r="I1401" i="36"/>
  <c r="I1402" i="36"/>
  <c r="I1403" i="36"/>
  <c r="I1404" i="36"/>
  <c r="I1405" i="36"/>
  <c r="I1406" i="36"/>
  <c r="I1407" i="36"/>
  <c r="I1408" i="36"/>
  <c r="I1409" i="36"/>
  <c r="I1410" i="36"/>
  <c r="I1411" i="36"/>
  <c r="I1412" i="36"/>
  <c r="I1413" i="36"/>
  <c r="I1414" i="36"/>
  <c r="I1415" i="36"/>
  <c r="I1416" i="36"/>
  <c r="I1417" i="36"/>
  <c r="I1418" i="36"/>
  <c r="I1419" i="36"/>
  <c r="I1420" i="36"/>
  <c r="I1421" i="36"/>
  <c r="I1422" i="36"/>
  <c r="I1423" i="36"/>
  <c r="I1424" i="36"/>
  <c r="I1425" i="36"/>
  <c r="I1426" i="36"/>
  <c r="I1427" i="36"/>
  <c r="I1428" i="36"/>
  <c r="I1429" i="36"/>
  <c r="I1430" i="36"/>
  <c r="I1431" i="36"/>
  <c r="I1432" i="36"/>
  <c r="I1433" i="36"/>
  <c r="I1434" i="36"/>
  <c r="I1435" i="36"/>
  <c r="I1436" i="36"/>
  <c r="I1437" i="36"/>
  <c r="I1438" i="36"/>
  <c r="I1439" i="36"/>
  <c r="I1440" i="36"/>
  <c r="I1441" i="36"/>
  <c r="I1442" i="36"/>
  <c r="I1443" i="36"/>
  <c r="I1444" i="36"/>
  <c r="I1445" i="36"/>
  <c r="I1446" i="36"/>
  <c r="I1447" i="36"/>
  <c r="I1448" i="36"/>
  <c r="I1449" i="36"/>
  <c r="I1450" i="36"/>
  <c r="I1451" i="36"/>
  <c r="I1452" i="36"/>
  <c r="I1453" i="36"/>
  <c r="I1454" i="36"/>
  <c r="I1455" i="36"/>
  <c r="I1456" i="36"/>
  <c r="I1457" i="36"/>
  <c r="I1458" i="36"/>
  <c r="I1459" i="36"/>
  <c r="I1460" i="36"/>
  <c r="I1461" i="36"/>
  <c r="I1462" i="36"/>
  <c r="I1463" i="36"/>
  <c r="I1464" i="36"/>
  <c r="I1465" i="36"/>
  <c r="I1466" i="36"/>
  <c r="I1467" i="36"/>
  <c r="I1468" i="36"/>
  <c r="I1469" i="36"/>
  <c r="I1470" i="36"/>
  <c r="I1471" i="36"/>
  <c r="I1472" i="36"/>
  <c r="I1473" i="36"/>
  <c r="I1474" i="36"/>
  <c r="I1475" i="36"/>
  <c r="I1476" i="36"/>
  <c r="I1477" i="36"/>
  <c r="I1478" i="36"/>
  <c r="I1479" i="36"/>
  <c r="I1480" i="36"/>
  <c r="I1481" i="36"/>
  <c r="I1482" i="36"/>
  <c r="I1483" i="36"/>
  <c r="I1484" i="36"/>
  <c r="I1485" i="36"/>
  <c r="I1486" i="36"/>
  <c r="I1487" i="36"/>
  <c r="I1488" i="36"/>
  <c r="I1489" i="36"/>
  <c r="I1490" i="36"/>
  <c r="I1491" i="36"/>
  <c r="I1492" i="36"/>
  <c r="I1493" i="36"/>
  <c r="I1494" i="36"/>
  <c r="I1495" i="36"/>
  <c r="I1496" i="36"/>
  <c r="I1497" i="36"/>
  <c r="I1498" i="36"/>
  <c r="I1499" i="36"/>
  <c r="I1500" i="36"/>
  <c r="I1501" i="36"/>
  <c r="I1502" i="36"/>
  <c r="I1503" i="36"/>
  <c r="I1504" i="36"/>
  <c r="I1505" i="36"/>
  <c r="I1506" i="36"/>
  <c r="I1507" i="36"/>
  <c r="I1508" i="36"/>
  <c r="I1509" i="36"/>
  <c r="I1510" i="36"/>
  <c r="I1511" i="36"/>
  <c r="I1512" i="36"/>
  <c r="I1513" i="36"/>
  <c r="I1514" i="36"/>
  <c r="I1515" i="36"/>
  <c r="I1516" i="36"/>
  <c r="I1517" i="36"/>
  <c r="I1518" i="36"/>
  <c r="I1519" i="36"/>
  <c r="I1520" i="36"/>
  <c r="I1521" i="36"/>
  <c r="I1522" i="36"/>
  <c r="I1523" i="36"/>
  <c r="I1524" i="36"/>
  <c r="I1525" i="36"/>
  <c r="I1526" i="36"/>
  <c r="I1527" i="36"/>
  <c r="I1528" i="36"/>
  <c r="I1529" i="36"/>
  <c r="I1530" i="36"/>
  <c r="I1531" i="36"/>
  <c r="I1532" i="36"/>
  <c r="I1533" i="36"/>
  <c r="I1534" i="36"/>
  <c r="I1535" i="36"/>
  <c r="I1536" i="36"/>
  <c r="I1537" i="36"/>
  <c r="I1538" i="36"/>
  <c r="I1539" i="36"/>
  <c r="I1540" i="36"/>
  <c r="I1541" i="36"/>
  <c r="I1542" i="36"/>
  <c r="I1543" i="36"/>
  <c r="I1544" i="36"/>
  <c r="I1545" i="36"/>
  <c r="I1546" i="36"/>
  <c r="I1547" i="36"/>
  <c r="I1548" i="36"/>
  <c r="I1549" i="36"/>
  <c r="I1550" i="36"/>
  <c r="I1551" i="36"/>
  <c r="I1552" i="36"/>
  <c r="I1553" i="36"/>
  <c r="I1554" i="36"/>
  <c r="I1555" i="36"/>
  <c r="I1556" i="36"/>
  <c r="I1557" i="36"/>
  <c r="I1558" i="36"/>
  <c r="I1559" i="36"/>
  <c r="I1560" i="36"/>
  <c r="I1561" i="36"/>
  <c r="I1562" i="36"/>
  <c r="I1563" i="36"/>
  <c r="I1564" i="36"/>
  <c r="I1565" i="36"/>
  <c r="I1566" i="36"/>
  <c r="I1567" i="36"/>
  <c r="I1568" i="36"/>
  <c r="I1569" i="36"/>
  <c r="I1570" i="36"/>
  <c r="I1571" i="36"/>
  <c r="I1572" i="36"/>
  <c r="I1573" i="36"/>
  <c r="I1574" i="36"/>
  <c r="I1575" i="36"/>
  <c r="I1576" i="36"/>
  <c r="I1577" i="36"/>
  <c r="I1578" i="36"/>
  <c r="I1579" i="36"/>
  <c r="I1580" i="36"/>
  <c r="I1581" i="36"/>
  <c r="I1582" i="36"/>
  <c r="I1583" i="36"/>
  <c r="I1584" i="36"/>
  <c r="I1585" i="36"/>
  <c r="I1586" i="36"/>
  <c r="I1587" i="36"/>
  <c r="I1588" i="36"/>
  <c r="I1589" i="36"/>
  <c r="I1590" i="36"/>
  <c r="I1591" i="36"/>
  <c r="I1592" i="36"/>
  <c r="I1593" i="36"/>
  <c r="I1594" i="36"/>
  <c r="I1595" i="36"/>
  <c r="I1596" i="36"/>
  <c r="I1597" i="36"/>
  <c r="I1598" i="36"/>
  <c r="I1599" i="36"/>
  <c r="I1600" i="36"/>
  <c r="I1601" i="36"/>
  <c r="I1602" i="36"/>
  <c r="I1603" i="36"/>
  <c r="I1604" i="36"/>
  <c r="I1605" i="36"/>
  <c r="I1606" i="36"/>
  <c r="I1607" i="36"/>
  <c r="I1608" i="36"/>
  <c r="I1609" i="36"/>
  <c r="I1610" i="36"/>
  <c r="I1611" i="36"/>
  <c r="I1612" i="36"/>
  <c r="I1613" i="36"/>
  <c r="I1614" i="36"/>
  <c r="I1615" i="36"/>
  <c r="I1616" i="36"/>
  <c r="I1617" i="36"/>
  <c r="I1618" i="36"/>
  <c r="I1619" i="36"/>
  <c r="I1620" i="36"/>
  <c r="I1621" i="36"/>
  <c r="I1622" i="36"/>
  <c r="I1623" i="36"/>
  <c r="I1624" i="36"/>
  <c r="I1625" i="36"/>
  <c r="I1626" i="36"/>
  <c r="I1627" i="36"/>
  <c r="I1628" i="36"/>
  <c r="I1629" i="36"/>
  <c r="I1630" i="36"/>
  <c r="I1631" i="36"/>
  <c r="I1632" i="36"/>
  <c r="I1633" i="36"/>
  <c r="I1634" i="36"/>
  <c r="I1635" i="36"/>
  <c r="I1636" i="36"/>
  <c r="I1637" i="36"/>
  <c r="I1638" i="36"/>
  <c r="I1639" i="36"/>
  <c r="I1640" i="36"/>
  <c r="I1641" i="36"/>
  <c r="I1642" i="36"/>
  <c r="I1643" i="36"/>
  <c r="I1644" i="36"/>
  <c r="I1645" i="36"/>
  <c r="I1646" i="36"/>
  <c r="I1647" i="36"/>
  <c r="I1648" i="36"/>
  <c r="I1649" i="36"/>
  <c r="I1650" i="36"/>
  <c r="I1651" i="36"/>
  <c r="I1652" i="36"/>
  <c r="I1653" i="36"/>
  <c r="I1654" i="36"/>
  <c r="I1655" i="36"/>
  <c r="I1656" i="36"/>
  <c r="I1657" i="36"/>
  <c r="I1658" i="36"/>
  <c r="I1659" i="36"/>
  <c r="I1660" i="36"/>
  <c r="I1661" i="36"/>
  <c r="I1662" i="36"/>
  <c r="I1663" i="36"/>
  <c r="I1664" i="36"/>
  <c r="I1665" i="36"/>
  <c r="I1666" i="36"/>
  <c r="I1667" i="36"/>
  <c r="I1668" i="36"/>
  <c r="I1669" i="36"/>
  <c r="I1670" i="36"/>
  <c r="I1671" i="36"/>
  <c r="I1672" i="36"/>
  <c r="I1673" i="36"/>
  <c r="I1674" i="36"/>
  <c r="I1675" i="36"/>
  <c r="I1676" i="36"/>
  <c r="I1677" i="36"/>
  <c r="I1678" i="36"/>
  <c r="I1679" i="36"/>
  <c r="I1680" i="36"/>
  <c r="I1681" i="36"/>
  <c r="I1682" i="36"/>
  <c r="I1683" i="36"/>
  <c r="I1684" i="36"/>
  <c r="I1685" i="36"/>
  <c r="I1686" i="36"/>
  <c r="I1687" i="36"/>
  <c r="I1688" i="36"/>
  <c r="I1689" i="36"/>
  <c r="I1690" i="36"/>
  <c r="I1691" i="36"/>
  <c r="I1692" i="36"/>
  <c r="I1693" i="36"/>
  <c r="I1694" i="36"/>
  <c r="I1695" i="36"/>
  <c r="I1696" i="36"/>
  <c r="I1697" i="36"/>
  <c r="I1698" i="36"/>
  <c r="I1699" i="36"/>
  <c r="I1700" i="36"/>
  <c r="I1701" i="36"/>
  <c r="I1702" i="36"/>
  <c r="I1703" i="36"/>
  <c r="I1704" i="36"/>
  <c r="I1705" i="36"/>
  <c r="I1706" i="36"/>
  <c r="I1707" i="36"/>
  <c r="I1708" i="36"/>
  <c r="I1709" i="36"/>
  <c r="I1710" i="36"/>
  <c r="I1711" i="36"/>
  <c r="I1712" i="36"/>
  <c r="I1713" i="36"/>
  <c r="I1714" i="36"/>
  <c r="I1715" i="36"/>
  <c r="I1716" i="36"/>
  <c r="I1717" i="36"/>
  <c r="I1718" i="36"/>
  <c r="I1719" i="36"/>
  <c r="I1720" i="36"/>
  <c r="I1721" i="36"/>
  <c r="I1722" i="36"/>
  <c r="I1723" i="36"/>
  <c r="I1724" i="36"/>
  <c r="I1725" i="36"/>
  <c r="I1726" i="36"/>
  <c r="I1727" i="36"/>
  <c r="I1728" i="36"/>
  <c r="I1729" i="36"/>
  <c r="I1730" i="36"/>
  <c r="I1731" i="36"/>
  <c r="I1732" i="36"/>
  <c r="I1733" i="36"/>
  <c r="I1734" i="36"/>
  <c r="I1735" i="36"/>
  <c r="I1736" i="36"/>
  <c r="I1737" i="36"/>
  <c r="I1738" i="36"/>
  <c r="I1739" i="36"/>
  <c r="I1740" i="36"/>
  <c r="I1741" i="36"/>
  <c r="I1742" i="36"/>
  <c r="I1743" i="36"/>
  <c r="I1744" i="36"/>
  <c r="I1745" i="36"/>
  <c r="I1746" i="36"/>
  <c r="I1747" i="36"/>
  <c r="I1748" i="36"/>
  <c r="I1749" i="36"/>
  <c r="I1750" i="36"/>
  <c r="I1751" i="36"/>
  <c r="I1752" i="36"/>
  <c r="I1753" i="36"/>
  <c r="I1754" i="36"/>
  <c r="I1755" i="36"/>
  <c r="I1756" i="36"/>
  <c r="I1757" i="36"/>
  <c r="I1758" i="36"/>
  <c r="I1759" i="36"/>
  <c r="I1760" i="36"/>
  <c r="I1761" i="36"/>
  <c r="I1762" i="36"/>
  <c r="I1763" i="36"/>
  <c r="I1764" i="36"/>
  <c r="I1765" i="36"/>
  <c r="I1766" i="36"/>
  <c r="I1767" i="36"/>
  <c r="I1768" i="36"/>
  <c r="I1769" i="36"/>
  <c r="I1770" i="36"/>
  <c r="I1771" i="36"/>
  <c r="I1772" i="36"/>
  <c r="I1773" i="36"/>
  <c r="I1774" i="36"/>
  <c r="I1775" i="36"/>
  <c r="I1776" i="36"/>
  <c r="I1777" i="36"/>
  <c r="I1778" i="36"/>
  <c r="I1779" i="36"/>
  <c r="I1780" i="36"/>
  <c r="I1781" i="36"/>
  <c r="I1782" i="36"/>
  <c r="I1783" i="36"/>
  <c r="I1784" i="36"/>
  <c r="I1785" i="36"/>
  <c r="I1786" i="36"/>
  <c r="I1787" i="36"/>
  <c r="I1788" i="36"/>
  <c r="I1789" i="36"/>
  <c r="I1790" i="36"/>
  <c r="I1791" i="36"/>
  <c r="I1792" i="36"/>
  <c r="I1793" i="36"/>
  <c r="I1794" i="36"/>
  <c r="I1795" i="36"/>
  <c r="I1796" i="36"/>
  <c r="I1797" i="36"/>
  <c r="I1798" i="36"/>
  <c r="I1799" i="36"/>
  <c r="I1800" i="36"/>
  <c r="I1801" i="36"/>
  <c r="I1802" i="36"/>
  <c r="I1803" i="36"/>
  <c r="I1804" i="36"/>
  <c r="I1805" i="36"/>
  <c r="I1806" i="36"/>
  <c r="I1807" i="36"/>
  <c r="I1808" i="36"/>
  <c r="I1809" i="36"/>
  <c r="I1810" i="36"/>
  <c r="I1811" i="36"/>
  <c r="I1812" i="36"/>
  <c r="I1813" i="36"/>
  <c r="I1814" i="36"/>
  <c r="I1815" i="36"/>
  <c r="I1816" i="36"/>
  <c r="I1817" i="36"/>
  <c r="I1818" i="36"/>
  <c r="I1819" i="36"/>
  <c r="I1820" i="36"/>
  <c r="I1821" i="36"/>
  <c r="I1822" i="36"/>
  <c r="I1823" i="36"/>
  <c r="I1824" i="36"/>
  <c r="I1825" i="36"/>
  <c r="I1826" i="36"/>
  <c r="I1827" i="36"/>
  <c r="I1828" i="36"/>
  <c r="I1829" i="36"/>
  <c r="I1830" i="36"/>
  <c r="I1831" i="36"/>
  <c r="I1832" i="36"/>
  <c r="I1833" i="36"/>
  <c r="I1834" i="36"/>
  <c r="I1835" i="36"/>
  <c r="I1836" i="36"/>
  <c r="I1837" i="36"/>
  <c r="I1838" i="36"/>
  <c r="I1839" i="36"/>
  <c r="I1840" i="36"/>
  <c r="I1841" i="36"/>
  <c r="I1842" i="36"/>
  <c r="I1843" i="36"/>
  <c r="I1844" i="36"/>
  <c r="I1845" i="36"/>
  <c r="I1846" i="36"/>
  <c r="I1847" i="36"/>
  <c r="I1848" i="36"/>
  <c r="I1849" i="36"/>
  <c r="I1850" i="36"/>
  <c r="I1851" i="36"/>
  <c r="I1852" i="36"/>
  <c r="I1853" i="36"/>
  <c r="I1854" i="36"/>
  <c r="I1855" i="36"/>
  <c r="I1856" i="36"/>
  <c r="I1857" i="36"/>
  <c r="I1858" i="36"/>
  <c r="I1859" i="36"/>
  <c r="I1860" i="36"/>
  <c r="I1861" i="36"/>
  <c r="I1862" i="36"/>
  <c r="I1863" i="36"/>
  <c r="I1864" i="36"/>
  <c r="I1865" i="36"/>
  <c r="I1866" i="36"/>
  <c r="I1867" i="36"/>
  <c r="I1868" i="36"/>
  <c r="I1869" i="36"/>
  <c r="I1870" i="36"/>
  <c r="I1871" i="36"/>
  <c r="I1872" i="36"/>
  <c r="I1873" i="36"/>
  <c r="I1874" i="36"/>
  <c r="I1875" i="36"/>
  <c r="I1876" i="36"/>
  <c r="I1877" i="36"/>
  <c r="I1878" i="36"/>
  <c r="I1879" i="36"/>
  <c r="I1880" i="36"/>
  <c r="I1881" i="36"/>
  <c r="I1882" i="36"/>
  <c r="I1883" i="36"/>
  <c r="I1884" i="36"/>
  <c r="I1885" i="36"/>
  <c r="I1886" i="36"/>
  <c r="I1887" i="36"/>
  <c r="I1888" i="36"/>
  <c r="I1889" i="36"/>
  <c r="I1890" i="36"/>
  <c r="I1891" i="36"/>
  <c r="I1892" i="36"/>
  <c r="I1893" i="36"/>
  <c r="I1894" i="36"/>
  <c r="I1895" i="36"/>
  <c r="I1896" i="36"/>
  <c r="I1897" i="36"/>
  <c r="I1898" i="36"/>
  <c r="I1899" i="36"/>
  <c r="I1900" i="36"/>
  <c r="I1901" i="36"/>
  <c r="I1902" i="36"/>
  <c r="I1903" i="36"/>
  <c r="I1904" i="36"/>
  <c r="I1905" i="36"/>
  <c r="I1906" i="36"/>
  <c r="I1907" i="36"/>
  <c r="I1908" i="36"/>
  <c r="I1909" i="36"/>
  <c r="I1910" i="36"/>
  <c r="I1911" i="36"/>
  <c r="I1912" i="36"/>
  <c r="I1913" i="36"/>
  <c r="I1914" i="36"/>
  <c r="I1915" i="36"/>
  <c r="I1916" i="36"/>
  <c r="I1917" i="36"/>
  <c r="I1918" i="36"/>
  <c r="I1919" i="36"/>
  <c r="I1920" i="36"/>
  <c r="I1921" i="36"/>
  <c r="I1922" i="36"/>
  <c r="I1923" i="36"/>
  <c r="I1924" i="36"/>
  <c r="I1925" i="36"/>
  <c r="I1926" i="36"/>
  <c r="I1927" i="36"/>
  <c r="I1928" i="36"/>
  <c r="I1929" i="36"/>
  <c r="I1930" i="36"/>
  <c r="I1931" i="36"/>
  <c r="I1932" i="36"/>
  <c r="I1933" i="36"/>
  <c r="I1934" i="36"/>
  <c r="I1935" i="36"/>
  <c r="I1936" i="36"/>
  <c r="I1937" i="36"/>
  <c r="I1938" i="36"/>
  <c r="I1939" i="36"/>
  <c r="I1940" i="36"/>
  <c r="I1941" i="36"/>
  <c r="I1942" i="36"/>
  <c r="I1943" i="36"/>
  <c r="I1944" i="36"/>
  <c r="I1945" i="36"/>
  <c r="I1946" i="36"/>
  <c r="I1947" i="36"/>
  <c r="I1948" i="36"/>
  <c r="I1949" i="36"/>
  <c r="I1950" i="36"/>
  <c r="I1951" i="36"/>
  <c r="I1952" i="36"/>
  <c r="I1953" i="36"/>
  <c r="I1954" i="36"/>
  <c r="I1955" i="36"/>
  <c r="I1956" i="36"/>
  <c r="I1957" i="36"/>
  <c r="I1958" i="36"/>
  <c r="I1959" i="36"/>
  <c r="I1960" i="36"/>
  <c r="I1961" i="36"/>
  <c r="I1962" i="36"/>
  <c r="I1963" i="36"/>
  <c r="I1964" i="36"/>
  <c r="I1965" i="36"/>
  <c r="I1966" i="36"/>
  <c r="I1967" i="36"/>
  <c r="I1968" i="36"/>
  <c r="I1969" i="36"/>
  <c r="I1970" i="36"/>
  <c r="I1971" i="36"/>
  <c r="I1972" i="36"/>
  <c r="I1973" i="36"/>
  <c r="I1974" i="36"/>
  <c r="I1975" i="36"/>
  <c r="I1976" i="36"/>
  <c r="I1977" i="36"/>
  <c r="I1978" i="36"/>
  <c r="H1030" i="36"/>
  <c r="H1031" i="36"/>
  <c r="H1032" i="36"/>
  <c r="H1033" i="36"/>
  <c r="H1034" i="36"/>
  <c r="H1035" i="36"/>
  <c r="H1036" i="36"/>
  <c r="H1037" i="36"/>
  <c r="H1038" i="36"/>
  <c r="H1039" i="36"/>
  <c r="H1040" i="36"/>
  <c r="H1041" i="36"/>
  <c r="H1042" i="36"/>
  <c r="H1043" i="36"/>
  <c r="H1044" i="36"/>
  <c r="H1045" i="36"/>
  <c r="H1046" i="36"/>
  <c r="H1047" i="36"/>
  <c r="H1048" i="36"/>
  <c r="H1049" i="36"/>
  <c r="H1050" i="36"/>
  <c r="H1051" i="36"/>
  <c r="H1052" i="36"/>
  <c r="H1053" i="36"/>
  <c r="H1054" i="36"/>
  <c r="H1055" i="36"/>
  <c r="H1056" i="36"/>
  <c r="H1057" i="36"/>
  <c r="H1058" i="36"/>
  <c r="H1059" i="36"/>
  <c r="H1060" i="36"/>
  <c r="H1061" i="36"/>
  <c r="H1062" i="36"/>
  <c r="H1063" i="36"/>
  <c r="H1064" i="36"/>
  <c r="H1065" i="36"/>
  <c r="H1066" i="36"/>
  <c r="H1067" i="36"/>
  <c r="H1068" i="36"/>
  <c r="H1069" i="36"/>
  <c r="H1070" i="36"/>
  <c r="H1071" i="36"/>
  <c r="H1072" i="36"/>
  <c r="H1073" i="36"/>
  <c r="H1074" i="36"/>
  <c r="H1075" i="36"/>
  <c r="H1076" i="36"/>
  <c r="H1077" i="36"/>
  <c r="H1078" i="36"/>
  <c r="H1079" i="36"/>
  <c r="H1080" i="36"/>
  <c r="H1081" i="36"/>
  <c r="H1082" i="36"/>
  <c r="H1083" i="36"/>
  <c r="H1084" i="36"/>
  <c r="H1085" i="36"/>
  <c r="H1086" i="36"/>
  <c r="H1087" i="36"/>
  <c r="H1088" i="36"/>
  <c r="H1089" i="36"/>
  <c r="H1090" i="36"/>
  <c r="H1091" i="36"/>
  <c r="H1092" i="36"/>
  <c r="H1093" i="36"/>
  <c r="H1094" i="36"/>
  <c r="H1095" i="36"/>
  <c r="H1096" i="36"/>
  <c r="H1097" i="36"/>
  <c r="H1098" i="36"/>
  <c r="H1099" i="36"/>
  <c r="H1100" i="36"/>
  <c r="H1101" i="36"/>
  <c r="H1102" i="36"/>
  <c r="H1103" i="36"/>
  <c r="H1104" i="36"/>
  <c r="H1105" i="36"/>
  <c r="H1106" i="36"/>
  <c r="H1107" i="36"/>
  <c r="H1108" i="36"/>
  <c r="H1109" i="36"/>
  <c r="H1110" i="36"/>
  <c r="H1111" i="36"/>
  <c r="H1112" i="36"/>
  <c r="H1113" i="36"/>
  <c r="H1114" i="36"/>
  <c r="H1115" i="36"/>
  <c r="H1116" i="36"/>
  <c r="H1117" i="36"/>
  <c r="H1118" i="36"/>
  <c r="H1119" i="36"/>
  <c r="H1120" i="36"/>
  <c r="H1121" i="36"/>
  <c r="H1122" i="36"/>
  <c r="H1123" i="36"/>
  <c r="H1124" i="36"/>
  <c r="H1125" i="36"/>
  <c r="H1126" i="36"/>
  <c r="H1127" i="36"/>
  <c r="H1128" i="36"/>
  <c r="H1129" i="36"/>
  <c r="H1130" i="36"/>
  <c r="H1131" i="36"/>
  <c r="H1132" i="36"/>
  <c r="H1133" i="36"/>
  <c r="H1134" i="36"/>
  <c r="H1135" i="36"/>
  <c r="H1136" i="36"/>
  <c r="H1137" i="36"/>
  <c r="H1138" i="36"/>
  <c r="H1139" i="36"/>
  <c r="H1140" i="36"/>
  <c r="H1141" i="36"/>
  <c r="H1142" i="36"/>
  <c r="H1143" i="36"/>
  <c r="H1144" i="36"/>
  <c r="H1145" i="36"/>
  <c r="H1146" i="36"/>
  <c r="H1147" i="36"/>
  <c r="H1148" i="36"/>
  <c r="H1149" i="36"/>
  <c r="H1150" i="36"/>
  <c r="H1151" i="36"/>
  <c r="H1152" i="36"/>
  <c r="H1153" i="36"/>
  <c r="H1154" i="36"/>
  <c r="H1155" i="36"/>
  <c r="H1156" i="36"/>
  <c r="H1157" i="36"/>
  <c r="H1158" i="36"/>
  <c r="H1159" i="36"/>
  <c r="H1160" i="36"/>
  <c r="H1161" i="36"/>
  <c r="H1162" i="36"/>
  <c r="H1163" i="36"/>
  <c r="H1164" i="36"/>
  <c r="H1165" i="36"/>
  <c r="H1166" i="36"/>
  <c r="H1167" i="36"/>
  <c r="H1168" i="36"/>
  <c r="H1169" i="36"/>
  <c r="H1170" i="36"/>
  <c r="H1171" i="36"/>
  <c r="H1172" i="36"/>
  <c r="H1173" i="36"/>
  <c r="H1174" i="36"/>
  <c r="H1175" i="36"/>
  <c r="H1176" i="36"/>
  <c r="H1177" i="36"/>
  <c r="H1178" i="36"/>
  <c r="H1179" i="36"/>
  <c r="H1180" i="36"/>
  <c r="H1181" i="36"/>
  <c r="H1182" i="36"/>
  <c r="H1183" i="36"/>
  <c r="H1184" i="36"/>
  <c r="H1185" i="36"/>
  <c r="H1186" i="36"/>
  <c r="H1187" i="36"/>
  <c r="H1188" i="36"/>
  <c r="H1189" i="36"/>
  <c r="H1190" i="36"/>
  <c r="H1191" i="36"/>
  <c r="H1192" i="36"/>
  <c r="H1193" i="36"/>
  <c r="H1194" i="36"/>
  <c r="H1195" i="36"/>
  <c r="H1196" i="36"/>
  <c r="H1197" i="36"/>
  <c r="H1198" i="36"/>
  <c r="H1199" i="36"/>
  <c r="H1200" i="36"/>
  <c r="H1201" i="36"/>
  <c r="H1202" i="36"/>
  <c r="H1203" i="36"/>
  <c r="H1204" i="36"/>
  <c r="H1205" i="36"/>
  <c r="H1206" i="36"/>
  <c r="H1207" i="36"/>
  <c r="H1208" i="36"/>
  <c r="H1209" i="36"/>
  <c r="H1210" i="36"/>
  <c r="H1211" i="36"/>
  <c r="H1212" i="36"/>
  <c r="H1213" i="36"/>
  <c r="H1214" i="36"/>
  <c r="H1215" i="36"/>
  <c r="H1216" i="36"/>
  <c r="H1217" i="36"/>
  <c r="H1218" i="36"/>
  <c r="H1219" i="36"/>
  <c r="H1220" i="36"/>
  <c r="H1221" i="36"/>
  <c r="H1222" i="36"/>
  <c r="H1223" i="36"/>
  <c r="H1224" i="36"/>
  <c r="H1225" i="36"/>
  <c r="H1226" i="36"/>
  <c r="H1227" i="36"/>
  <c r="H1228" i="36"/>
  <c r="H1229" i="36"/>
  <c r="H1230" i="36"/>
  <c r="H1231" i="36"/>
  <c r="H1232" i="36"/>
  <c r="H1233" i="36"/>
  <c r="H1234" i="36"/>
  <c r="H1235" i="36"/>
  <c r="H1236" i="36"/>
  <c r="H1237" i="36"/>
  <c r="H1238" i="36"/>
  <c r="H1239" i="36"/>
  <c r="H1240" i="36"/>
  <c r="H1241" i="36"/>
  <c r="H1242" i="36"/>
  <c r="H1243" i="36"/>
  <c r="H1244" i="36"/>
  <c r="H1245" i="36"/>
  <c r="H1246" i="36"/>
  <c r="H1247" i="36"/>
  <c r="H1248" i="36"/>
  <c r="H1249" i="36"/>
  <c r="H1250" i="36"/>
  <c r="H1251" i="36"/>
  <c r="H1252" i="36"/>
  <c r="H1253" i="36"/>
  <c r="H1254" i="36"/>
  <c r="H1255" i="36"/>
  <c r="H1256" i="36"/>
  <c r="H1257" i="36"/>
  <c r="H1258" i="36"/>
  <c r="H1259" i="36"/>
  <c r="H1260" i="36"/>
  <c r="H1261" i="36"/>
  <c r="H1262" i="36"/>
  <c r="H1263" i="36"/>
  <c r="H1264" i="36"/>
  <c r="H1265" i="36"/>
  <c r="H1266" i="36"/>
  <c r="H1267" i="36"/>
  <c r="H1268" i="36"/>
  <c r="H1269" i="36"/>
  <c r="H1270" i="36"/>
  <c r="H1271" i="36"/>
  <c r="H1272" i="36"/>
  <c r="H1273" i="36"/>
  <c r="H1274" i="36"/>
  <c r="H1275" i="36"/>
  <c r="H1276" i="36"/>
  <c r="H1277" i="36"/>
  <c r="H1278" i="36"/>
  <c r="H1279" i="36"/>
  <c r="H1280" i="36"/>
  <c r="H1281" i="36"/>
  <c r="H1282" i="36"/>
  <c r="H1283" i="36"/>
  <c r="H1284" i="36"/>
  <c r="H1285" i="36"/>
  <c r="H1286" i="36"/>
  <c r="H1287" i="36"/>
  <c r="H1288" i="36"/>
  <c r="H1289" i="36"/>
  <c r="H1290" i="36"/>
  <c r="H1291" i="36"/>
  <c r="H1292" i="36"/>
  <c r="H1293" i="36"/>
  <c r="H1294" i="36"/>
  <c r="H1295" i="36"/>
  <c r="H1296" i="36"/>
  <c r="H1297" i="36"/>
  <c r="H1298" i="36"/>
  <c r="H1299" i="36"/>
  <c r="H1300" i="36"/>
  <c r="H1301" i="36"/>
  <c r="H1302" i="36"/>
  <c r="H1303" i="36"/>
  <c r="H1304" i="36"/>
  <c r="H1305" i="36"/>
  <c r="H1306" i="36"/>
  <c r="H1307" i="36"/>
  <c r="H1308" i="36"/>
  <c r="H1309" i="36"/>
  <c r="H1310" i="36"/>
  <c r="H1311" i="36"/>
  <c r="H1312" i="36"/>
  <c r="H1313" i="36"/>
  <c r="H1314" i="36"/>
  <c r="H1315" i="36"/>
  <c r="H1316" i="36"/>
  <c r="H1317" i="36"/>
  <c r="H1318" i="36"/>
  <c r="H1319" i="36"/>
  <c r="H1320" i="36"/>
  <c r="H1321" i="36"/>
  <c r="H1322" i="36"/>
  <c r="H1323" i="36"/>
  <c r="H1324" i="36"/>
  <c r="H1325" i="36"/>
  <c r="H1326" i="36"/>
  <c r="H1327" i="36"/>
  <c r="H1328" i="36"/>
  <c r="H1329" i="36"/>
  <c r="H1330" i="36"/>
  <c r="H1331" i="36"/>
  <c r="H1332" i="36"/>
  <c r="H1333" i="36"/>
  <c r="H1334" i="36"/>
  <c r="H1335" i="36"/>
  <c r="H1336" i="36"/>
  <c r="H1337" i="36"/>
  <c r="H1338" i="36"/>
  <c r="H1339" i="36"/>
  <c r="H1340" i="36"/>
  <c r="H1341" i="36"/>
  <c r="H1342" i="36"/>
  <c r="H1343" i="36"/>
  <c r="H1344" i="36"/>
  <c r="H1345" i="36"/>
  <c r="H1346" i="36"/>
  <c r="H1347" i="36"/>
  <c r="H1348" i="36"/>
  <c r="H1349" i="36"/>
  <c r="H1350" i="36"/>
  <c r="H1351" i="36"/>
  <c r="H1352" i="36"/>
  <c r="H1353" i="36"/>
  <c r="H1354" i="36"/>
  <c r="H1355" i="36"/>
  <c r="H1356" i="36"/>
  <c r="H1357" i="36"/>
  <c r="H1358" i="36"/>
  <c r="H1359" i="36"/>
  <c r="H1360" i="36"/>
  <c r="H1361" i="36"/>
  <c r="H1362" i="36"/>
  <c r="H1363" i="36"/>
  <c r="H1364" i="36"/>
  <c r="H1365" i="36"/>
  <c r="H1366" i="36"/>
  <c r="H1367" i="36"/>
  <c r="H1368" i="36"/>
  <c r="H1369" i="36"/>
  <c r="H1370" i="36"/>
  <c r="H1371" i="36"/>
  <c r="H1372" i="36"/>
  <c r="H1373" i="36"/>
  <c r="H1374" i="36"/>
  <c r="H1375" i="36"/>
  <c r="H1376" i="36"/>
  <c r="H1377" i="36"/>
  <c r="H1378" i="36"/>
  <c r="H1379" i="36"/>
  <c r="H1380" i="36"/>
  <c r="H1381" i="36"/>
  <c r="H1382" i="36"/>
  <c r="H1383" i="36"/>
  <c r="H1384" i="36"/>
  <c r="H1385" i="36"/>
  <c r="H1386" i="36"/>
  <c r="H1387" i="36"/>
  <c r="H1388" i="36"/>
  <c r="H1389" i="36"/>
  <c r="H1390" i="36"/>
  <c r="H1391" i="36"/>
  <c r="H1392" i="36"/>
  <c r="H1393" i="36"/>
  <c r="H1394" i="36"/>
  <c r="H1395" i="36"/>
  <c r="H1396" i="36"/>
  <c r="H1397" i="36"/>
  <c r="H1398" i="36"/>
  <c r="H1399" i="36"/>
  <c r="H1400" i="36"/>
  <c r="H1401" i="36"/>
  <c r="H1402" i="36"/>
  <c r="H1403" i="36"/>
  <c r="H1404" i="36"/>
  <c r="H1405" i="36"/>
  <c r="H1406" i="36"/>
  <c r="H1407" i="36"/>
  <c r="H1408" i="36"/>
  <c r="H1409" i="36"/>
  <c r="H1410" i="36"/>
  <c r="H1411" i="36"/>
  <c r="H1412" i="36"/>
  <c r="H1413" i="36"/>
  <c r="H1414" i="36"/>
  <c r="H1415" i="36"/>
  <c r="H1416" i="36"/>
  <c r="H1417" i="36"/>
  <c r="H1418" i="36"/>
  <c r="H1419" i="36"/>
  <c r="H1420" i="36"/>
  <c r="H1421" i="36"/>
  <c r="H1422" i="36"/>
  <c r="H1423" i="36"/>
  <c r="H1424" i="36"/>
  <c r="H1425" i="36"/>
  <c r="H1426" i="36"/>
  <c r="H1427" i="36"/>
  <c r="H1428" i="36"/>
  <c r="H1429" i="36"/>
  <c r="H1430" i="36"/>
  <c r="H1431" i="36"/>
  <c r="H1432" i="36"/>
  <c r="H1433" i="36"/>
  <c r="H1434" i="36"/>
  <c r="H1435" i="36"/>
  <c r="H1436" i="36"/>
  <c r="H1437" i="36"/>
  <c r="H1438" i="36"/>
  <c r="H1439" i="36"/>
  <c r="H1440" i="36"/>
  <c r="H1441" i="36"/>
  <c r="H1442" i="36"/>
  <c r="H1443" i="36"/>
  <c r="H1444" i="36"/>
  <c r="H1445" i="36"/>
  <c r="H1446" i="36"/>
  <c r="H1447" i="36"/>
  <c r="H1448" i="36"/>
  <c r="H1449" i="36"/>
  <c r="H1450" i="36"/>
  <c r="H1451" i="36"/>
  <c r="H1452" i="36"/>
  <c r="H1453" i="36"/>
  <c r="H1454" i="36"/>
  <c r="H1455" i="36"/>
  <c r="H1456" i="36"/>
  <c r="H1457" i="36"/>
  <c r="H1458" i="36"/>
  <c r="H1459" i="36"/>
  <c r="H1460" i="36"/>
  <c r="H1461" i="36"/>
  <c r="H1462" i="36"/>
  <c r="H1463" i="36"/>
  <c r="H1464" i="36"/>
  <c r="H1465" i="36"/>
  <c r="H1466" i="36"/>
  <c r="H1467" i="36"/>
  <c r="H1468" i="36"/>
  <c r="H1469" i="36"/>
  <c r="H1470" i="36"/>
  <c r="H1471" i="36"/>
  <c r="H1472" i="36"/>
  <c r="H1473" i="36"/>
  <c r="H1474" i="36"/>
  <c r="H1475" i="36"/>
  <c r="H1476" i="36"/>
  <c r="H1477" i="36"/>
  <c r="H1478" i="36"/>
  <c r="H1479" i="36"/>
  <c r="H1480" i="36"/>
  <c r="H1481" i="36"/>
  <c r="H1482" i="36"/>
  <c r="H1483" i="36"/>
  <c r="H1484" i="36"/>
  <c r="H1485" i="36"/>
  <c r="H1486" i="36"/>
  <c r="H1487" i="36"/>
  <c r="H1488" i="36"/>
  <c r="H1489" i="36"/>
  <c r="H1490" i="36"/>
  <c r="H1491" i="36"/>
  <c r="H1492" i="36"/>
  <c r="H1493" i="36"/>
  <c r="H1494" i="36"/>
  <c r="H1495" i="36"/>
  <c r="H1496" i="36"/>
  <c r="H1497" i="36"/>
  <c r="H1498" i="36"/>
  <c r="H1499" i="36"/>
  <c r="H1500" i="36"/>
  <c r="H1501" i="36"/>
  <c r="H1502" i="36"/>
  <c r="H1503" i="36"/>
  <c r="H1504" i="36"/>
  <c r="H1505" i="36"/>
  <c r="H1506" i="36"/>
  <c r="H1507" i="36"/>
  <c r="H1508" i="36"/>
  <c r="H1509" i="36"/>
  <c r="H1510" i="36"/>
  <c r="H1511" i="36"/>
  <c r="H1512" i="36"/>
  <c r="H1513" i="36"/>
  <c r="H1514" i="36"/>
  <c r="H1515" i="36"/>
  <c r="H1516" i="36"/>
  <c r="H1517" i="36"/>
  <c r="H1518" i="36"/>
  <c r="H1519" i="36"/>
  <c r="H1520" i="36"/>
  <c r="H1521" i="36"/>
  <c r="H1522" i="36"/>
  <c r="H1523" i="36"/>
  <c r="H1524" i="36"/>
  <c r="H1525" i="36"/>
  <c r="H1526" i="36"/>
  <c r="H1527" i="36"/>
  <c r="H1528" i="36"/>
  <c r="H1529" i="36"/>
  <c r="H1530" i="36"/>
  <c r="H1531" i="36"/>
  <c r="H1532" i="36"/>
  <c r="H1533" i="36"/>
  <c r="H1534" i="36"/>
  <c r="H1535" i="36"/>
  <c r="H1536" i="36"/>
  <c r="H1537" i="36"/>
  <c r="H1538" i="36"/>
  <c r="H1539" i="36"/>
  <c r="H1540" i="36"/>
  <c r="H1541" i="36"/>
  <c r="H1542" i="36"/>
  <c r="H1543" i="36"/>
  <c r="H1544" i="36"/>
  <c r="H1545" i="36"/>
  <c r="H1546" i="36"/>
  <c r="H1547" i="36"/>
  <c r="H1548" i="36"/>
  <c r="H1549" i="36"/>
  <c r="H1550" i="36"/>
  <c r="H1551" i="36"/>
  <c r="H1552" i="36"/>
  <c r="H1553" i="36"/>
  <c r="H1554" i="36"/>
  <c r="H1555" i="36"/>
  <c r="H1556" i="36"/>
  <c r="H1557" i="36"/>
  <c r="H1558" i="36"/>
  <c r="H1559" i="36"/>
  <c r="H1560" i="36"/>
  <c r="H1561" i="36"/>
  <c r="H1562" i="36"/>
  <c r="H1563" i="36"/>
  <c r="H1564" i="36"/>
  <c r="H1565" i="36"/>
  <c r="H1566" i="36"/>
  <c r="H1567" i="36"/>
  <c r="H1568" i="36"/>
  <c r="H1569" i="36"/>
  <c r="H1570" i="36"/>
  <c r="H1571" i="36"/>
  <c r="H1572" i="36"/>
  <c r="H1573" i="36"/>
  <c r="H1574" i="36"/>
  <c r="H1575" i="36"/>
  <c r="H1576" i="36"/>
  <c r="H1577" i="36"/>
  <c r="H1578" i="36"/>
  <c r="H1579" i="36"/>
  <c r="H1580" i="36"/>
  <c r="H1581" i="36"/>
  <c r="H1582" i="36"/>
  <c r="H1583" i="36"/>
  <c r="H1584" i="36"/>
  <c r="H1585" i="36"/>
  <c r="H1586" i="36"/>
  <c r="H1587" i="36"/>
  <c r="H1588" i="36"/>
  <c r="H1589" i="36"/>
  <c r="H1590" i="36"/>
  <c r="H1591" i="36"/>
  <c r="H1592" i="36"/>
  <c r="H1593" i="36"/>
  <c r="H1594" i="36"/>
  <c r="H1595" i="36"/>
  <c r="H1596" i="36"/>
  <c r="H1597" i="36"/>
  <c r="H1598" i="36"/>
  <c r="H1599" i="36"/>
  <c r="H1600" i="36"/>
  <c r="H1601" i="36"/>
  <c r="H1602" i="36"/>
  <c r="H1603" i="36"/>
  <c r="H1604" i="36"/>
  <c r="H1605" i="36"/>
  <c r="H1606" i="36"/>
  <c r="H1607" i="36"/>
  <c r="H1608" i="36"/>
  <c r="H1609" i="36"/>
  <c r="H1610" i="36"/>
  <c r="H1611" i="36"/>
  <c r="H1612" i="36"/>
  <c r="H1613" i="36"/>
  <c r="H1614" i="36"/>
  <c r="H1615" i="36"/>
  <c r="H1616" i="36"/>
  <c r="H1617" i="36"/>
  <c r="H1618" i="36"/>
  <c r="H1619" i="36"/>
  <c r="H1620" i="36"/>
  <c r="H1621" i="36"/>
  <c r="H1622" i="36"/>
  <c r="H1623" i="36"/>
  <c r="H1624" i="36"/>
  <c r="H1625" i="36"/>
  <c r="H1626" i="36"/>
  <c r="H1627" i="36"/>
  <c r="H1628" i="36"/>
  <c r="H1629" i="36"/>
  <c r="H1630" i="36"/>
  <c r="H1631" i="36"/>
  <c r="H1632" i="36"/>
  <c r="H1633" i="36"/>
  <c r="H1634" i="36"/>
  <c r="H1635" i="36"/>
  <c r="H1636" i="36"/>
  <c r="H1637" i="36"/>
  <c r="H1638" i="36"/>
  <c r="H1639" i="36"/>
  <c r="H1640" i="36"/>
  <c r="H1641" i="36"/>
  <c r="H1642" i="36"/>
  <c r="H1643" i="36"/>
  <c r="H1644" i="36"/>
  <c r="H1645" i="36"/>
  <c r="H1646" i="36"/>
  <c r="H1647" i="36"/>
  <c r="H1648" i="36"/>
  <c r="H1649" i="36"/>
  <c r="H1650" i="36"/>
  <c r="H1651" i="36"/>
  <c r="H1652" i="36"/>
  <c r="H1653" i="36"/>
  <c r="H1654" i="36"/>
  <c r="H1655" i="36"/>
  <c r="H1656" i="36"/>
  <c r="H1657" i="36"/>
  <c r="H1658" i="36"/>
  <c r="H1659" i="36"/>
  <c r="H1660" i="36"/>
  <c r="H1661" i="36"/>
  <c r="H1662" i="36"/>
  <c r="H1663" i="36"/>
  <c r="H1664" i="36"/>
  <c r="H1665" i="36"/>
  <c r="H1666" i="36"/>
  <c r="H1667" i="36"/>
  <c r="H1668" i="36"/>
  <c r="H1669" i="36"/>
  <c r="H1670" i="36"/>
  <c r="H1671" i="36"/>
  <c r="H1672" i="36"/>
  <c r="H1673" i="36"/>
  <c r="H1674" i="36"/>
  <c r="H1675" i="36"/>
  <c r="H1676" i="36"/>
  <c r="H1677" i="36"/>
  <c r="H1678" i="36"/>
  <c r="H1679" i="36"/>
  <c r="H1680" i="36"/>
  <c r="H1681" i="36"/>
  <c r="H1682" i="36"/>
  <c r="H1683" i="36"/>
  <c r="H1684" i="36"/>
  <c r="H1685" i="36"/>
  <c r="H1686" i="36"/>
  <c r="H1687" i="36"/>
  <c r="H1688" i="36"/>
  <c r="H1689" i="36"/>
  <c r="H1690" i="36"/>
  <c r="H1691" i="36"/>
  <c r="H1692" i="36"/>
  <c r="H1693" i="36"/>
  <c r="H1694" i="36"/>
  <c r="H1695" i="36"/>
  <c r="H1696" i="36"/>
  <c r="H1697" i="36"/>
  <c r="H1698" i="36"/>
  <c r="H1699" i="36"/>
  <c r="H1700" i="36"/>
  <c r="H1701" i="36"/>
  <c r="H1702" i="36"/>
  <c r="H1703" i="36"/>
  <c r="H1704" i="36"/>
  <c r="H1705" i="36"/>
  <c r="H1706" i="36"/>
  <c r="H1707" i="36"/>
  <c r="H1708" i="36"/>
  <c r="H1709" i="36"/>
  <c r="H1710" i="36"/>
  <c r="H1711" i="36"/>
  <c r="H1712" i="36"/>
  <c r="H1713" i="36"/>
  <c r="H1714" i="36"/>
  <c r="H1715" i="36"/>
  <c r="H1716" i="36"/>
  <c r="H1717" i="36"/>
  <c r="H1718" i="36"/>
  <c r="H1719" i="36"/>
  <c r="H1720" i="36"/>
  <c r="H1721" i="36"/>
  <c r="H1722" i="36"/>
  <c r="H1723" i="36"/>
  <c r="H1724" i="36"/>
  <c r="H1725" i="36"/>
  <c r="H1726" i="36"/>
  <c r="H1727" i="36"/>
  <c r="H1728" i="36"/>
  <c r="H1729" i="36"/>
  <c r="H1730" i="36"/>
  <c r="H1731" i="36"/>
  <c r="H1732" i="36"/>
  <c r="H1733" i="36"/>
  <c r="H1734" i="36"/>
  <c r="H1735" i="36"/>
  <c r="H1736" i="36"/>
  <c r="H1737" i="36"/>
  <c r="H1738" i="36"/>
  <c r="H1739" i="36"/>
  <c r="H1740" i="36"/>
  <c r="H1741" i="36"/>
  <c r="H1742" i="36"/>
  <c r="H1743" i="36"/>
  <c r="H1744" i="36"/>
  <c r="H1745" i="36"/>
  <c r="H1746" i="36"/>
  <c r="H1747" i="36"/>
  <c r="H1748" i="36"/>
  <c r="H1749" i="36"/>
  <c r="H1750" i="36"/>
  <c r="H1751" i="36"/>
  <c r="H1752" i="36"/>
  <c r="H1753" i="36"/>
  <c r="H1754" i="36"/>
  <c r="H1755" i="36"/>
  <c r="H1756" i="36"/>
  <c r="H1757" i="36"/>
  <c r="H1758" i="36"/>
  <c r="H1759" i="36"/>
  <c r="H1760" i="36"/>
  <c r="H1761" i="36"/>
  <c r="H1762" i="36"/>
  <c r="H1763" i="36"/>
  <c r="H1764" i="36"/>
  <c r="H1765" i="36"/>
  <c r="H1766" i="36"/>
  <c r="H1767" i="36"/>
  <c r="H1768" i="36"/>
  <c r="H1769" i="36"/>
  <c r="H1770" i="36"/>
  <c r="H1771" i="36"/>
  <c r="H1772" i="36"/>
  <c r="H1773" i="36"/>
  <c r="H1774" i="36"/>
  <c r="H1775" i="36"/>
  <c r="H1776" i="36"/>
  <c r="H1777" i="36"/>
  <c r="H1778" i="36"/>
  <c r="H1779" i="36"/>
  <c r="H1780" i="36"/>
  <c r="H1781" i="36"/>
  <c r="H1782" i="36"/>
  <c r="H1783" i="36"/>
  <c r="H1784" i="36"/>
  <c r="H1785" i="36"/>
  <c r="H1786" i="36"/>
  <c r="H1787" i="36"/>
  <c r="H1788" i="36"/>
  <c r="H1789" i="36"/>
  <c r="H1790" i="36"/>
  <c r="H1791" i="36"/>
  <c r="H1792" i="36"/>
  <c r="H1793" i="36"/>
  <c r="H1794" i="36"/>
  <c r="H1795" i="36"/>
  <c r="H1796" i="36"/>
  <c r="H1797" i="36"/>
  <c r="H1798" i="36"/>
  <c r="H1799" i="36"/>
  <c r="H1800" i="36"/>
  <c r="H1801" i="36"/>
  <c r="H1802" i="36"/>
  <c r="H1803" i="36"/>
  <c r="H1804" i="36"/>
  <c r="H1805" i="36"/>
  <c r="H1806" i="36"/>
  <c r="H1807" i="36"/>
  <c r="H1808" i="36"/>
  <c r="H1809" i="36"/>
  <c r="H1810" i="36"/>
  <c r="H1811" i="36"/>
  <c r="H1812" i="36"/>
  <c r="H1813" i="36"/>
  <c r="H1814" i="36"/>
  <c r="H1815" i="36"/>
  <c r="H1816" i="36"/>
  <c r="H1817" i="36"/>
  <c r="H1818" i="36"/>
  <c r="H1819" i="36"/>
  <c r="H1820" i="36"/>
  <c r="H1821" i="36"/>
  <c r="H1822" i="36"/>
  <c r="H1823" i="36"/>
  <c r="H1824" i="36"/>
  <c r="H1825" i="36"/>
  <c r="H1826" i="36"/>
  <c r="H1827" i="36"/>
  <c r="H1828" i="36"/>
  <c r="H1829" i="36"/>
  <c r="H1830" i="36"/>
  <c r="H1831" i="36"/>
  <c r="H1832" i="36"/>
  <c r="H1833" i="36"/>
  <c r="H1834" i="36"/>
  <c r="H1835" i="36"/>
  <c r="H1836" i="36"/>
  <c r="H1837" i="36"/>
  <c r="H1838" i="36"/>
  <c r="H1839" i="36"/>
  <c r="H1840" i="36"/>
  <c r="H1841" i="36"/>
  <c r="H1842" i="36"/>
  <c r="H1843" i="36"/>
  <c r="H1844" i="36"/>
  <c r="H1845" i="36"/>
  <c r="H1846" i="36"/>
  <c r="H1847" i="36"/>
  <c r="H1848" i="36"/>
  <c r="H1849" i="36"/>
  <c r="H1850" i="36"/>
  <c r="H1851" i="36"/>
  <c r="H1852" i="36"/>
  <c r="H1853" i="36"/>
  <c r="H1854" i="36"/>
  <c r="H1855" i="36"/>
  <c r="H1856" i="36"/>
  <c r="H1857" i="36"/>
  <c r="H1858" i="36"/>
  <c r="H1859" i="36"/>
  <c r="H1860" i="36"/>
  <c r="H1861" i="36"/>
  <c r="H1862" i="36"/>
  <c r="H1863" i="36"/>
  <c r="H1864" i="36"/>
  <c r="H1865" i="36"/>
  <c r="H1866" i="36"/>
  <c r="H1867" i="36"/>
  <c r="H1868" i="36"/>
  <c r="H1869" i="36"/>
  <c r="H1870" i="36"/>
  <c r="H1871" i="36"/>
  <c r="H1872" i="36"/>
  <c r="H1873" i="36"/>
  <c r="H1874" i="36"/>
  <c r="H1875" i="36"/>
  <c r="H1876" i="36"/>
  <c r="H1877" i="36"/>
  <c r="H1878" i="36"/>
  <c r="H1879" i="36"/>
  <c r="H1880" i="36"/>
  <c r="H1881" i="36"/>
  <c r="H1882" i="36"/>
  <c r="H1883" i="36"/>
  <c r="H1884" i="36"/>
  <c r="H1885" i="36"/>
  <c r="H1886" i="36"/>
  <c r="H1887" i="36"/>
  <c r="H1888" i="36"/>
  <c r="H1889" i="36"/>
  <c r="H1890" i="36"/>
  <c r="H1891" i="36"/>
  <c r="H1892" i="36"/>
  <c r="H1893" i="36"/>
  <c r="H1894" i="36"/>
  <c r="H1895" i="36"/>
  <c r="H1896" i="36"/>
  <c r="H1897" i="36"/>
  <c r="H1898" i="36"/>
  <c r="H1899" i="36"/>
  <c r="H1900" i="36"/>
  <c r="H1901" i="36"/>
  <c r="H1902" i="36"/>
  <c r="H1903" i="36"/>
  <c r="H1904" i="36"/>
  <c r="H1905" i="36"/>
  <c r="H1906" i="36"/>
  <c r="H1907" i="36"/>
  <c r="H1908" i="36"/>
  <c r="H1909" i="36"/>
  <c r="H1910" i="36"/>
  <c r="H1911" i="36"/>
  <c r="H1912" i="36"/>
  <c r="H1913" i="36"/>
  <c r="H1914" i="36"/>
  <c r="H1915" i="36"/>
  <c r="H1916" i="36"/>
  <c r="H1917" i="36"/>
  <c r="H1918" i="36"/>
  <c r="H1919" i="36"/>
  <c r="H1920" i="36"/>
  <c r="H1921" i="36"/>
  <c r="H1922" i="36"/>
  <c r="H1923" i="36"/>
  <c r="H1924" i="36"/>
  <c r="H1925" i="36"/>
  <c r="H1926" i="36"/>
  <c r="H1927" i="36"/>
  <c r="H1928" i="36"/>
  <c r="H1929" i="36"/>
  <c r="H1930" i="36"/>
  <c r="H1931" i="36"/>
  <c r="H1932" i="36"/>
  <c r="H1933" i="36"/>
  <c r="H1934" i="36"/>
  <c r="H1935" i="36"/>
  <c r="H1936" i="36"/>
  <c r="H1937" i="36"/>
  <c r="H1938" i="36"/>
  <c r="H1939" i="36"/>
  <c r="H1940" i="36"/>
  <c r="H1941" i="36"/>
  <c r="H1942" i="36"/>
  <c r="H1943" i="36"/>
  <c r="H1944" i="36"/>
  <c r="H1945" i="36"/>
  <c r="H1946" i="36"/>
  <c r="H1947" i="36"/>
  <c r="H1948" i="36"/>
  <c r="H1949" i="36"/>
  <c r="H1950" i="36"/>
  <c r="H1951" i="36"/>
  <c r="H1952" i="36"/>
  <c r="H1953" i="36"/>
  <c r="H1954" i="36"/>
  <c r="H1955" i="36"/>
  <c r="H1956" i="36"/>
  <c r="H1957" i="36"/>
  <c r="H1958" i="36"/>
  <c r="H1959" i="36"/>
  <c r="H1960" i="36"/>
  <c r="H1961" i="36"/>
  <c r="H1962" i="36"/>
  <c r="H1963" i="36"/>
  <c r="H1964" i="36"/>
  <c r="H1965" i="36"/>
  <c r="H1966" i="36"/>
  <c r="H1967" i="36"/>
  <c r="H1968" i="36"/>
  <c r="H1969" i="36"/>
  <c r="H1970" i="36"/>
  <c r="H1971" i="36"/>
  <c r="H1972" i="36"/>
  <c r="H1973" i="36"/>
  <c r="H1974" i="36"/>
  <c r="H1975" i="36"/>
  <c r="H1976" i="36"/>
  <c r="H1977" i="36"/>
  <c r="H1978" i="36"/>
  <c r="BB240" i="10"/>
  <c r="P31" i="39" l="1"/>
  <c r="P30" i="39"/>
  <c r="P29" i="39"/>
  <c r="P28" i="39"/>
  <c r="P27" i="39"/>
  <c r="P26" i="39"/>
  <c r="P25" i="39"/>
  <c r="P24" i="39"/>
  <c r="P23" i="39"/>
  <c r="P22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P4" i="39"/>
  <c r="P3" i="39"/>
  <c r="P2" i="39"/>
  <c r="M11" i="32"/>
  <c r="B6" i="36"/>
  <c r="B7" i="36"/>
  <c r="B8" i="36" s="1"/>
  <c r="I22" i="33"/>
  <c r="I21" i="33"/>
  <c r="I20" i="33"/>
  <c r="O697" i="10"/>
  <c r="Q697" i="10" s="1"/>
  <c r="P697" i="10"/>
  <c r="P696" i="10"/>
  <c r="BA4" i="10" a="1"/>
  <c r="BA4" i="10" s="1"/>
  <c r="E24" i="32"/>
  <c r="E23" i="32"/>
  <c r="E22" i="32"/>
  <c r="H22" i="32" s="1"/>
  <c r="E21" i="32"/>
  <c r="E20" i="32"/>
  <c r="E19" i="32"/>
  <c r="E18" i="32"/>
  <c r="E17" i="32"/>
  <c r="E16" i="32"/>
  <c r="H16" i="32" s="1"/>
  <c r="E15" i="32"/>
  <c r="H15" i="32" s="1"/>
  <c r="E14" i="32"/>
  <c r="E13" i="32"/>
  <c r="B8" i="32"/>
  <c r="F19" i="32" s="1"/>
  <c r="B5" i="32"/>
  <c r="H28" i="36" l="1"/>
  <c r="I29" i="36"/>
  <c r="H33" i="36"/>
  <c r="I27" i="36"/>
  <c r="I28" i="36"/>
  <c r="H30" i="36"/>
  <c r="I30" i="36"/>
  <c r="I32" i="36"/>
  <c r="I33" i="36"/>
  <c r="I34" i="36"/>
  <c r="H27" i="36"/>
  <c r="I31" i="36"/>
  <c r="H34" i="36"/>
  <c r="H32" i="36"/>
  <c r="I35" i="36"/>
  <c r="H29" i="36"/>
  <c r="H31" i="36"/>
  <c r="H35" i="36"/>
  <c r="H1026" i="36"/>
  <c r="H1027" i="36"/>
  <c r="H1028" i="36"/>
  <c r="I49" i="36"/>
  <c r="H41" i="36"/>
  <c r="H49" i="36"/>
  <c r="H1005" i="36"/>
  <c r="I41" i="36"/>
  <c r="I1005" i="36"/>
  <c r="H1029" i="36"/>
  <c r="H51" i="36"/>
  <c r="H42" i="36"/>
  <c r="H50" i="36"/>
  <c r="H1006" i="36"/>
  <c r="H43" i="36"/>
  <c r="H1007" i="36"/>
  <c r="I42" i="36"/>
  <c r="I50" i="36"/>
  <c r="I1006" i="36"/>
  <c r="I43" i="36"/>
  <c r="I51" i="36"/>
  <c r="I1007" i="36"/>
  <c r="H36" i="36"/>
  <c r="H44" i="36"/>
  <c r="H1008" i="36"/>
  <c r="I1013" i="36"/>
  <c r="I36" i="36"/>
  <c r="I44" i="36"/>
  <c r="I1008" i="36"/>
  <c r="I1014" i="36"/>
  <c r="I1015" i="36"/>
  <c r="I1016" i="36"/>
  <c r="H37" i="36"/>
  <c r="H45" i="36"/>
  <c r="H1009" i="36"/>
  <c r="I1017" i="36"/>
  <c r="I1019" i="36"/>
  <c r="H1014" i="36"/>
  <c r="I37" i="36"/>
  <c r="I45" i="36"/>
  <c r="I1009" i="36"/>
  <c r="I1018" i="36"/>
  <c r="I1025" i="36"/>
  <c r="H1021" i="36"/>
  <c r="H1016" i="36"/>
  <c r="I1020" i="36"/>
  <c r="H1015" i="36"/>
  <c r="I1022" i="36"/>
  <c r="H38" i="36"/>
  <c r="H46" i="36"/>
  <c r="H1010" i="36"/>
  <c r="I1021" i="36"/>
  <c r="H1017" i="36"/>
  <c r="H1020" i="36"/>
  <c r="I38" i="36"/>
  <c r="I46" i="36"/>
  <c r="I1010" i="36"/>
  <c r="H1013" i="36"/>
  <c r="I1023" i="36"/>
  <c r="H1018" i="36"/>
  <c r="H1019" i="36"/>
  <c r="I1024" i="36"/>
  <c r="H39" i="36"/>
  <c r="H47" i="36"/>
  <c r="H1011" i="36"/>
  <c r="I39" i="36"/>
  <c r="I47" i="36"/>
  <c r="I1011" i="36"/>
  <c r="I1026" i="36"/>
  <c r="I1027" i="36"/>
  <c r="H1022" i="36"/>
  <c r="I1028" i="36"/>
  <c r="H1023" i="36"/>
  <c r="H40" i="36"/>
  <c r="H48" i="36"/>
  <c r="H1012" i="36"/>
  <c r="I1029" i="36"/>
  <c r="H1024" i="36"/>
  <c r="H1025" i="36"/>
  <c r="I40" i="36"/>
  <c r="I48" i="36"/>
  <c r="I1012" i="36"/>
  <c r="J27" i="36"/>
  <c r="J31" i="36"/>
  <c r="J35" i="36"/>
  <c r="K27" i="36"/>
  <c r="K28" i="36"/>
  <c r="K32" i="36"/>
  <c r="K34" i="36"/>
  <c r="J30" i="36"/>
  <c r="J28" i="36"/>
  <c r="J33" i="36"/>
  <c r="J34" i="36"/>
  <c r="K29" i="36"/>
  <c r="K31" i="36"/>
  <c r="J29" i="36"/>
  <c r="K30" i="36"/>
  <c r="K35" i="36"/>
  <c r="K33" i="36"/>
  <c r="J32" i="36"/>
  <c r="J40" i="36"/>
  <c r="J48" i="36"/>
  <c r="J1012" i="36"/>
  <c r="K40" i="36"/>
  <c r="K48" i="36"/>
  <c r="K1012" i="36"/>
  <c r="K1014" i="36"/>
  <c r="K1013" i="36"/>
  <c r="J41" i="36"/>
  <c r="J49" i="36"/>
  <c r="J1005" i="36"/>
  <c r="K1015" i="36"/>
  <c r="K1021" i="36"/>
  <c r="K41" i="36"/>
  <c r="K49" i="36"/>
  <c r="K1005" i="36"/>
  <c r="K1016" i="36"/>
  <c r="J1015" i="36"/>
  <c r="K1017" i="36"/>
  <c r="J1013" i="36"/>
  <c r="K1018" i="36"/>
  <c r="J42" i="36"/>
  <c r="J50" i="36"/>
  <c r="J1006" i="36"/>
  <c r="K1019" i="36"/>
  <c r="K42" i="36"/>
  <c r="K50" i="36"/>
  <c r="K1006" i="36"/>
  <c r="K1020" i="36"/>
  <c r="J1014" i="36"/>
  <c r="K1022" i="36"/>
  <c r="J1016" i="36"/>
  <c r="J43" i="36"/>
  <c r="J51" i="36"/>
  <c r="J1007" i="36"/>
  <c r="K1023" i="36"/>
  <c r="J1017" i="36"/>
  <c r="K1007" i="36"/>
  <c r="K1024" i="36"/>
  <c r="K43" i="36"/>
  <c r="K51" i="36"/>
  <c r="J1018" i="36"/>
  <c r="K1025" i="36"/>
  <c r="J1019" i="36"/>
  <c r="K1026" i="36"/>
  <c r="J1020" i="36"/>
  <c r="J1021" i="36"/>
  <c r="J36" i="36"/>
  <c r="J44" i="36"/>
  <c r="J1008" i="36"/>
  <c r="K1027" i="36"/>
  <c r="K36" i="36"/>
  <c r="K44" i="36"/>
  <c r="K1008" i="36"/>
  <c r="K1028" i="36"/>
  <c r="J1022" i="36"/>
  <c r="K1029" i="36"/>
  <c r="J1023" i="36"/>
  <c r="J1024" i="36"/>
  <c r="J37" i="36"/>
  <c r="J45" i="36"/>
  <c r="J1009" i="36"/>
  <c r="J1025" i="36"/>
  <c r="K37" i="36"/>
  <c r="K45" i="36"/>
  <c r="K1009" i="36"/>
  <c r="J1026" i="36"/>
  <c r="J1027" i="36"/>
  <c r="J1028" i="36"/>
  <c r="J38" i="36"/>
  <c r="J46" i="36"/>
  <c r="J1010" i="36"/>
  <c r="J1029" i="36"/>
  <c r="K38" i="36"/>
  <c r="K46" i="36"/>
  <c r="K1010" i="36"/>
  <c r="J39" i="36"/>
  <c r="J47" i="36"/>
  <c r="J1011" i="36"/>
  <c r="K39" i="36"/>
  <c r="K47" i="36"/>
  <c r="K1011" i="36"/>
  <c r="J22" i="36"/>
  <c r="K22" i="36"/>
  <c r="W62" i="38" a="1"/>
  <c r="W62" i="38" s="1"/>
  <c r="H22" i="36"/>
  <c r="W117" i="38" s="1" a="1"/>
  <c r="W117" i="38" s="1"/>
  <c r="I22" i="36"/>
  <c r="F16" i="32"/>
  <c r="G16" i="32" s="1"/>
  <c r="J16" i="32" s="1"/>
  <c r="F18" i="32"/>
  <c r="F20" i="32"/>
  <c r="G20" i="32" s="1"/>
  <c r="F13" i="32"/>
  <c r="G13" i="32" s="1"/>
  <c r="J13" i="32" s="1"/>
  <c r="F17" i="32"/>
  <c r="F14" i="32"/>
  <c r="I14" i="32" s="1"/>
  <c r="F22" i="32"/>
  <c r="I22" i="32" s="1"/>
  <c r="F15" i="32"/>
  <c r="I15" i="32" s="1"/>
  <c r="F24" i="32"/>
  <c r="F21" i="32"/>
  <c r="I21" i="32" s="1"/>
  <c r="F23" i="32"/>
  <c r="G23" i="32" s="1"/>
  <c r="J23" i="32" s="1"/>
  <c r="H13" i="32"/>
  <c r="I16" i="32"/>
  <c r="H17" i="32"/>
  <c r="H19" i="32"/>
  <c r="H18" i="32"/>
  <c r="I17" i="32"/>
  <c r="I18" i="32"/>
  <c r="I19" i="32"/>
  <c r="I20" i="32"/>
  <c r="I24" i="32"/>
  <c r="H24" i="32"/>
  <c r="G19" i="32"/>
  <c r="J19" i="32" s="1"/>
  <c r="G21" i="32"/>
  <c r="J21" i="32" s="1"/>
  <c r="G24" i="32"/>
  <c r="K24" i="32" s="1"/>
  <c r="H14" i="32"/>
  <c r="H23" i="32"/>
  <c r="H21" i="32"/>
  <c r="G17" i="32"/>
  <c r="G18" i="32"/>
  <c r="J18" i="32" s="1"/>
  <c r="H20" i="32"/>
  <c r="B13" i="35"/>
  <c r="C54" i="35"/>
  <c r="C34" i="35" s="1"/>
  <c r="C53" i="35"/>
  <c r="C52" i="35"/>
  <c r="C35" i="35" s="1"/>
  <c r="C51" i="35"/>
  <c r="C33" i="35" s="1"/>
  <c r="C50" i="35"/>
  <c r="C46" i="35" s="1"/>
  <c r="B27" i="35" s="1"/>
  <c r="C27" i="35" s="1"/>
  <c r="C49" i="35"/>
  <c r="C32" i="35"/>
  <c r="B30" i="35"/>
  <c r="AH18" i="35"/>
  <c r="AH17" i="35"/>
  <c r="AH16" i="35"/>
  <c r="AH15" i="35"/>
  <c r="AH14" i="35"/>
  <c r="W14" i="35"/>
  <c r="W15" i="35" s="1"/>
  <c r="P12" i="35"/>
  <c r="O12" i="35"/>
  <c r="N12" i="35"/>
  <c r="AH11" i="35"/>
  <c r="P11" i="35"/>
  <c r="O11" i="35"/>
  <c r="N11" i="35"/>
  <c r="AH10" i="35"/>
  <c r="P10" i="35"/>
  <c r="O10" i="35"/>
  <c r="N10" i="35"/>
  <c r="P9" i="35"/>
  <c r="O9" i="35"/>
  <c r="N9" i="35"/>
  <c r="P8" i="35"/>
  <c r="O8" i="35"/>
  <c r="N8" i="35"/>
  <c r="AH7" i="35"/>
  <c r="P7" i="35"/>
  <c r="O7" i="35"/>
  <c r="N7" i="35"/>
  <c r="AH6" i="35"/>
  <c r="P6" i="35"/>
  <c r="O6" i="35"/>
  <c r="N6" i="35"/>
  <c r="AH5" i="35"/>
  <c r="P5" i="35"/>
  <c r="O5" i="35"/>
  <c r="N5" i="35"/>
  <c r="AH4" i="35"/>
  <c r="P4" i="35"/>
  <c r="O4" i="35"/>
  <c r="N4" i="35"/>
  <c r="AH3" i="35"/>
  <c r="P3" i="35"/>
  <c r="O3" i="35"/>
  <c r="N3" i="35"/>
  <c r="X2" i="35" a="1"/>
  <c r="X2" i="35" s="1"/>
  <c r="S2" i="35"/>
  <c r="R2" i="35"/>
  <c r="Q2" i="35"/>
  <c r="P2" i="35"/>
  <c r="O2" i="35"/>
  <c r="N2" i="35"/>
  <c r="B31" i="33"/>
  <c r="P2307" i="10"/>
  <c r="Q2307" i="10" s="1"/>
  <c r="P2292" i="10"/>
  <c r="Q2292" i="10" s="1"/>
  <c r="Q2297" i="10" s="1"/>
  <c r="P2309" i="10"/>
  <c r="O2308" i="10"/>
  <c r="P2308" i="10"/>
  <c r="Q2323" i="10"/>
  <c r="Q2322" i="10"/>
  <c r="O2311" i="10"/>
  <c r="P2310" i="10"/>
  <c r="D2307" i="10" a="1"/>
  <c r="D2307" i="10" s="1"/>
  <c r="D2292" i="10" a="1"/>
  <c r="D2292" i="10" s="1"/>
  <c r="O2296" i="10"/>
  <c r="Q2296" i="10" s="1"/>
  <c r="P2297" i="10"/>
  <c r="P2296" i="10"/>
  <c r="O1222" i="10"/>
  <c r="O2294" i="10"/>
  <c r="O2295" i="10"/>
  <c r="P2272" i="10"/>
  <c r="P2255" i="10"/>
  <c r="O2255" i="10" a="1"/>
  <c r="O2255" i="10" s="1"/>
  <c r="Q2255" i="10" s="1" a="1"/>
  <c r="Q2255" i="10" s="1"/>
  <c r="Q2253" i="10"/>
  <c r="O2249" i="10"/>
  <c r="Q2249" i="10" s="1"/>
  <c r="P2247" i="10"/>
  <c r="O2247" i="10" a="1"/>
  <c r="O2247" i="10" s="1"/>
  <c r="Q2247" i="10" s="1" a="1"/>
  <c r="Q2247" i="10" s="1"/>
  <c r="Q2245" i="10"/>
  <c r="B43" i="34"/>
  <c r="B45" i="34" s="1"/>
  <c r="G13" i="34" s="1"/>
  <c r="B36" i="34"/>
  <c r="B33" i="34"/>
  <c r="B29" i="34"/>
  <c r="F22" i="34"/>
  <c r="F21" i="34"/>
  <c r="F19" i="34"/>
  <c r="F17" i="34"/>
  <c r="G12" i="34"/>
  <c r="H12" i="34" s="1"/>
  <c r="C12" i="34"/>
  <c r="B12" i="34"/>
  <c r="G11" i="34"/>
  <c r="H11" i="34" s="1"/>
  <c r="C11" i="34"/>
  <c r="B11" i="34"/>
  <c r="B10" i="34" s="1"/>
  <c r="C10" i="34"/>
  <c r="B57" i="35"/>
  <c r="B54" i="35"/>
  <c r="B56" i="35"/>
  <c r="B60" i="35"/>
  <c r="B50" i="35"/>
  <c r="B52" i="35"/>
  <c r="B55" i="35"/>
  <c r="B53" i="35"/>
  <c r="B61" i="35"/>
  <c r="B51" i="35"/>
  <c r="B49" i="35"/>
  <c r="B58" i="35"/>
  <c r="B47" i="35"/>
  <c r="B46" i="35"/>
  <c r="B48" i="35"/>
  <c r="B59" i="35"/>
  <c r="C47" i="35" l="1"/>
  <c r="B28" i="35" s="1"/>
  <c r="C28" i="35" s="1"/>
  <c r="W61" i="38" a="1"/>
  <c r="W61" i="38" s="1"/>
  <c r="V67" i="38" a="1"/>
  <c r="V67" i="38" s="1"/>
  <c r="P67" i="38" s="1" a="1"/>
  <c r="P67" i="38" s="1"/>
  <c r="V68" i="38" a="1"/>
  <c r="V68" i="38" s="1"/>
  <c r="P68" i="38" s="1" a="1"/>
  <c r="P68" i="38" s="1"/>
  <c r="V70" i="38" a="1"/>
  <c r="V70" i="38" s="1"/>
  <c r="P70" i="38" s="1" a="1"/>
  <c r="P70" i="38" s="1"/>
  <c r="V69" i="38" a="1"/>
  <c r="V69" i="38" s="1"/>
  <c r="P69" i="38" s="1" a="1"/>
  <c r="P69" i="38" s="1"/>
  <c r="V65" i="38" a="1"/>
  <c r="V65" i="38" s="1"/>
  <c r="P65" i="38" s="1" a="1"/>
  <c r="P65" i="38" s="1"/>
  <c r="V71" i="38" a="1"/>
  <c r="V71" i="38" s="1"/>
  <c r="P71" i="38" s="1" a="1"/>
  <c r="P71" i="38" s="1"/>
  <c r="V74" i="38" a="1"/>
  <c r="V74" i="38" s="1"/>
  <c r="P74" i="38" s="1" a="1"/>
  <c r="P74" i="38" s="1"/>
  <c r="V78" i="38" a="1"/>
  <c r="V78" i="38" s="1"/>
  <c r="V79" i="38" a="1"/>
  <c r="V79" i="38" s="1"/>
  <c r="V72" i="38" a="1"/>
  <c r="V72" i="38" s="1"/>
  <c r="P72" i="38" s="1" a="1"/>
  <c r="P72" i="38" s="1"/>
  <c r="V73" i="38" a="1"/>
  <c r="V73" i="38" s="1"/>
  <c r="P73" i="38" s="1" a="1"/>
  <c r="P73" i="38" s="1"/>
  <c r="V75" i="38" a="1"/>
  <c r="V75" i="38" s="1"/>
  <c r="P75" i="38" s="1" a="1"/>
  <c r="P75" i="38" s="1"/>
  <c r="V76" i="38" a="1"/>
  <c r="V76" i="38" s="1"/>
  <c r="P76" i="38" s="1" a="1"/>
  <c r="P76" i="38" s="1"/>
  <c r="V80" i="38" a="1"/>
  <c r="V80" i="38" s="1"/>
  <c r="V81" i="38" a="1"/>
  <c r="V81" i="38" s="1"/>
  <c r="I23" i="32"/>
  <c r="I13" i="32"/>
  <c r="J20" i="32"/>
  <c r="K20" i="32"/>
  <c r="G14" i="32"/>
  <c r="K14" i="32" s="1"/>
  <c r="G22" i="32"/>
  <c r="K22" i="32" s="1"/>
  <c r="G15" i="32"/>
  <c r="K15" i="32" s="1"/>
  <c r="K21" i="32"/>
  <c r="K23" i="32"/>
  <c r="J24" i="32"/>
  <c r="K18" i="32"/>
  <c r="K13" i="32"/>
  <c r="L13" i="32" s="1"/>
  <c r="K16" i="32"/>
  <c r="K19" i="32"/>
  <c r="J14" i="32"/>
  <c r="J22" i="32"/>
  <c r="K17" i="32"/>
  <c r="J17" i="32"/>
  <c r="C48" i="35"/>
  <c r="B29" i="35" s="1"/>
  <c r="C29" i="35" s="1"/>
  <c r="C56" i="35"/>
  <c r="B31" i="35"/>
  <c r="C31" i="35" s="1"/>
  <c r="C59" i="35"/>
  <c r="Q2294" i="10"/>
  <c r="F14" i="34"/>
  <c r="B39" i="34"/>
  <c r="B32" i="34"/>
  <c r="F23" i="34"/>
  <c r="H13" i="34"/>
  <c r="B44" i="34"/>
  <c r="AM5" i="33"/>
  <c r="AM4" i="33"/>
  <c r="C37" i="35" l="1"/>
  <c r="W81" i="38" a="1"/>
  <c r="W81" i="38" s="1"/>
  <c r="P81" i="38" s="1" a="1"/>
  <c r="P81" i="38" s="1"/>
  <c r="W80" i="38" a="1"/>
  <c r="W80" i="38" s="1"/>
  <c r="P80" i="38" s="1" a="1"/>
  <c r="P80" i="38" s="1"/>
  <c r="W79" i="38" a="1"/>
  <c r="W79" i="38" s="1"/>
  <c r="P79" i="38" s="1" a="1"/>
  <c r="P79" i="38" s="1"/>
  <c r="W78" i="38" a="1"/>
  <c r="W78" i="38" s="1"/>
  <c r="P78" i="38" s="1" a="1"/>
  <c r="P78" i="38" s="1"/>
  <c r="J15" i="32"/>
  <c r="K25" i="32"/>
  <c r="B25" i="35"/>
  <c r="B35" i="34"/>
  <c r="B37" i="34" s="1"/>
  <c r="B38" i="34" s="1"/>
  <c r="B34" i="34"/>
  <c r="B46" i="34"/>
  <c r="G14" i="34"/>
  <c r="H14" i="34" s="1"/>
  <c r="G17" i="34"/>
  <c r="F5" i="34"/>
  <c r="F16" i="34"/>
  <c r="B40" i="34"/>
  <c r="B28" i="33"/>
  <c r="B27" i="33"/>
  <c r="B39" i="33"/>
  <c r="G17" i="33" s="1"/>
  <c r="B38" i="33"/>
  <c r="G13" i="33" s="1"/>
  <c r="AN4" i="33"/>
  <c r="F17" i="33"/>
  <c r="L3" i="33" a="1"/>
  <c r="L3" i="33" s="1"/>
  <c r="M3" i="33" a="1"/>
  <c r="M3" i="33" s="1"/>
  <c r="N3" i="33" a="1"/>
  <c r="N3" i="33" s="1"/>
  <c r="O3" i="33" a="1"/>
  <c r="O3" i="33" s="1"/>
  <c r="P3" i="33" a="1"/>
  <c r="P3" i="33" s="1"/>
  <c r="Q3" i="33" a="1"/>
  <c r="Q3" i="33" s="1"/>
  <c r="R3" i="33" a="1"/>
  <c r="R3" i="33" s="1"/>
  <c r="S3" i="33" a="1"/>
  <c r="S3" i="33" s="1"/>
  <c r="T3" i="33" a="1"/>
  <c r="T3" i="33" s="1"/>
  <c r="U3" i="33" a="1"/>
  <c r="U3" i="33" s="1"/>
  <c r="V3" i="33" a="1"/>
  <c r="V3" i="33" s="1"/>
  <c r="W3" i="33" a="1"/>
  <c r="W3" i="33" s="1"/>
  <c r="X3" i="33" a="1"/>
  <c r="X3" i="33" s="1"/>
  <c r="Y3" i="33" a="1"/>
  <c r="Y3" i="33" s="1"/>
  <c r="Z3" i="33" a="1"/>
  <c r="Z3" i="33" s="1"/>
  <c r="AA3" i="33" a="1"/>
  <c r="AA3" i="33" s="1"/>
  <c r="AB3" i="33" a="1"/>
  <c r="AB3" i="33" s="1"/>
  <c r="AC3" i="33" a="1"/>
  <c r="AC3" i="33" s="1"/>
  <c r="AD3" i="33" a="1"/>
  <c r="AD3" i="33" s="1"/>
  <c r="K3" i="33" a="1"/>
  <c r="K3" i="33" s="1"/>
  <c r="AN6" i="33"/>
  <c r="AM7" i="33"/>
  <c r="AM6" i="33"/>
  <c r="G5" i="34" l="1"/>
  <c r="G6" i="34"/>
  <c r="F15" i="34"/>
  <c r="F6" i="34"/>
  <c r="H17" i="34"/>
  <c r="F25" i="34"/>
  <c r="B41" i="34"/>
  <c r="B29" i="33"/>
  <c r="B30" i="33" s="1"/>
  <c r="B32" i="33" s="1"/>
  <c r="B35" i="33" a="1"/>
  <c r="B35" i="33" s="1"/>
  <c r="B34" i="33" a="1"/>
  <c r="B34" i="33" s="1"/>
  <c r="B47" i="34" l="1"/>
  <c r="H5" i="34" s="1"/>
  <c r="G16" i="34"/>
  <c r="H16" i="34" s="1"/>
  <c r="B42" i="34"/>
  <c r="I5" i="34"/>
  <c r="B33" i="33"/>
  <c r="B48" i="34" l="1"/>
  <c r="H6" i="34" s="1"/>
  <c r="I6" i="34" s="1"/>
  <c r="G15" i="34"/>
  <c r="B36" i="33"/>
  <c r="H15" i="34" l="1"/>
  <c r="F24" i="34"/>
  <c r="C31" i="33"/>
  <c r="F14" i="33"/>
  <c r="B13" i="33"/>
  <c r="G12" i="33"/>
  <c r="G11" i="33"/>
  <c r="Q2239" i="10"/>
  <c r="Q2238" i="10"/>
  <c r="P2233" i="10"/>
  <c r="P2226" i="10"/>
  <c r="O2226" i="10"/>
  <c r="Q2226" i="10" s="1"/>
  <c r="P2225" i="10"/>
  <c r="P2223" i="10"/>
  <c r="P2207" i="10"/>
  <c r="O2207" i="10"/>
  <c r="Q2207" i="10" s="1"/>
  <c r="P2206" i="10"/>
  <c r="P2205" i="10"/>
  <c r="P345" i="10"/>
  <c r="P346" i="10"/>
  <c r="P347" i="10"/>
  <c r="U24" i="32"/>
  <c r="U23" i="32"/>
  <c r="U22" i="32"/>
  <c r="U21" i="32"/>
  <c r="U20" i="32"/>
  <c r="U19" i="32"/>
  <c r="U18" i="32"/>
  <c r="U17" i="32"/>
  <c r="U16" i="32"/>
  <c r="U15" i="32"/>
  <c r="U14" i="32"/>
  <c r="U13" i="32"/>
  <c r="R8" i="32"/>
  <c r="V15" i="32" s="1"/>
  <c r="R5" i="32"/>
  <c r="P642" i="10"/>
  <c r="P593" i="10"/>
  <c r="P544" i="10"/>
  <c r="P2043" i="10"/>
  <c r="M2038" i="10"/>
  <c r="M2039" i="10" s="1"/>
  <c r="M2040" i="10" s="1"/>
  <c r="M2041" i="10" s="1"/>
  <c r="M2042" i="10" s="1"/>
  <c r="M2043" i="10" s="1"/>
  <c r="M2044" i="10" s="1"/>
  <c r="M2045" i="10" s="1"/>
  <c r="M2046" i="10" s="1"/>
  <c r="M2047" i="10" s="1"/>
  <c r="M2048" i="10" s="1"/>
  <c r="M2049" i="10" s="1"/>
  <c r="M2050" i="10" s="1"/>
  <c r="M2051" i="10" s="1"/>
  <c r="M2052" i="10" s="1"/>
  <c r="M2053" i="10" s="1"/>
  <c r="M2054" i="10" s="1"/>
  <c r="M2055" i="10" s="1"/>
  <c r="M2056" i="10" s="1"/>
  <c r="M2057" i="10" s="1"/>
  <c r="M2058" i="10" s="1"/>
  <c r="M2059" i="10" s="1"/>
  <c r="M2060" i="10" s="1"/>
  <c r="M2061" i="10" s="1"/>
  <c r="M2062" i="10" s="1"/>
  <c r="M2063" i="10" s="1"/>
  <c r="M2064" i="10" s="1"/>
  <c r="M2065" i="10" s="1"/>
  <c r="M2066" i="10" s="1"/>
  <c r="M2067" i="10" s="1"/>
  <c r="M2068" i="10" s="1"/>
  <c r="M2069" i="10" s="1"/>
  <c r="M2070" i="10" s="1"/>
  <c r="M2071" i="10" s="1"/>
  <c r="M2072" i="10" s="1"/>
  <c r="M2073" i="10" s="1"/>
  <c r="M2074" i="10" s="1"/>
  <c r="M2075" i="10" s="1"/>
  <c r="M2076" i="10" s="1"/>
  <c r="M2077" i="10" s="1"/>
  <c r="M2078" i="10" s="1"/>
  <c r="M2079" i="10" s="1"/>
  <c r="M2080" i="10" s="1"/>
  <c r="M2081" i="10" s="1"/>
  <c r="M2082" i="10" s="1"/>
  <c r="M2083" i="10" s="1"/>
  <c r="M2084" i="10" s="1"/>
  <c r="M2085" i="10" s="1"/>
  <c r="M2086" i="10" s="1"/>
  <c r="M2087" i="10" s="1"/>
  <c r="M2088" i="10" s="1"/>
  <c r="M2089" i="10" s="1"/>
  <c r="M2090" i="10" s="1"/>
  <c r="M2091" i="10" s="1"/>
  <c r="M2092" i="10" s="1"/>
  <c r="M2093" i="10" s="1"/>
  <c r="M2094" i="10" s="1"/>
  <c r="M2095" i="10" s="1"/>
  <c r="M2096" i="10" s="1"/>
  <c r="M2097" i="10" s="1"/>
  <c r="M2098" i="10" s="1"/>
  <c r="M2099" i="10" s="1"/>
  <c r="M2100" i="10" s="1"/>
  <c r="M2101" i="10" s="1"/>
  <c r="M2102" i="10" s="1"/>
  <c r="M2103" i="10" s="1"/>
  <c r="M2104" i="10" s="1"/>
  <c r="M2105" i="10" s="1"/>
  <c r="M2106" i="10" s="1"/>
  <c r="M2107" i="10" s="1"/>
  <c r="M2108" i="10" s="1"/>
  <c r="M2109" i="10" s="1"/>
  <c r="M2110" i="10" s="1"/>
  <c r="M2111" i="10" s="1"/>
  <c r="M2112" i="10" s="1"/>
  <c r="M2113" i="10" s="1"/>
  <c r="M2114" i="10" s="1"/>
  <c r="M2115" i="10" s="1"/>
  <c r="M2116" i="10" s="1"/>
  <c r="M2117" i="10" s="1"/>
  <c r="M2118" i="10" s="1"/>
  <c r="M2119" i="10" s="1"/>
  <c r="M2120" i="10" s="1"/>
  <c r="M2121" i="10" s="1"/>
  <c r="M2122" i="10" s="1"/>
  <c r="M2123" i="10" s="1"/>
  <c r="M2124" i="10" s="1"/>
  <c r="M2125" i="10" s="1"/>
  <c r="M2126" i="10" s="1"/>
  <c r="M2127" i="10" s="1"/>
  <c r="M2128" i="10" s="1"/>
  <c r="M2129" i="10" s="1"/>
  <c r="M2130" i="10" s="1"/>
  <c r="M2131" i="10" s="1"/>
  <c r="M2132" i="10" s="1"/>
  <c r="M2133" i="10" s="1"/>
  <c r="M2134" i="10" s="1"/>
  <c r="M2135" i="10" s="1"/>
  <c r="M2136" i="10" s="1"/>
  <c r="M2137" i="10" s="1"/>
  <c r="M2138" i="10" s="1"/>
  <c r="M2139" i="10" s="1"/>
  <c r="M2140" i="10" s="1"/>
  <c r="M2141" i="10" s="1"/>
  <c r="M2142" i="10" s="1"/>
  <c r="M2143" i="10" s="1"/>
  <c r="M2144" i="10" s="1"/>
  <c r="M2145" i="10" s="1"/>
  <c r="M2146" i="10" s="1"/>
  <c r="M2147" i="10" s="1"/>
  <c r="M2148" i="10" s="1"/>
  <c r="M2149" i="10" s="1"/>
  <c r="M2150" i="10" s="1"/>
  <c r="M2151" i="10" s="1"/>
  <c r="M2152" i="10" s="1"/>
  <c r="M2153" i="10" s="1"/>
  <c r="M2154" i="10" s="1"/>
  <c r="M2155" i="10" s="1"/>
  <c r="M2156" i="10" s="1"/>
  <c r="M2157" i="10" s="1"/>
  <c r="M2158" i="10" s="1"/>
  <c r="M2159" i="10" s="1"/>
  <c r="M2160" i="10" s="1"/>
  <c r="M2161" i="10" s="1"/>
  <c r="M2162" i="10" s="1"/>
  <c r="M2163" i="10" s="1"/>
  <c r="M2164" i="10" s="1"/>
  <c r="M2165" i="10" s="1"/>
  <c r="M2166" i="10" s="1"/>
  <c r="M2167" i="10" s="1"/>
  <c r="M2168" i="10" s="1"/>
  <c r="M2169" i="10" s="1"/>
  <c r="M2170" i="10" s="1"/>
  <c r="M2171" i="10" s="1"/>
  <c r="M2172" i="10" s="1"/>
  <c r="M2173" i="10" s="1"/>
  <c r="M2174" i="10" s="1"/>
  <c r="M2175" i="10" s="1"/>
  <c r="M2176" i="10" s="1"/>
  <c r="M2177" i="10" s="1"/>
  <c r="M2178" i="10" s="1"/>
  <c r="M2179" i="10" s="1"/>
  <c r="M2180" i="10" s="1"/>
  <c r="M2181" i="10" s="1"/>
  <c r="M2182" i="10" s="1"/>
  <c r="M2183" i="10" s="1"/>
  <c r="M2184" i="10" s="1"/>
  <c r="M2185" i="10" s="1"/>
  <c r="M2186" i="10" s="1"/>
  <c r="M2187" i="10" s="1"/>
  <c r="M2188" i="10" s="1"/>
  <c r="M2189" i="10" s="1"/>
  <c r="M2190" i="10" s="1"/>
  <c r="M2191" i="10" s="1"/>
  <c r="M2192" i="10" s="1"/>
  <c r="P2040" i="10"/>
  <c r="P840" i="10"/>
  <c r="X18" i="32" l="1"/>
  <c r="X17" i="32"/>
  <c r="B40" i="33"/>
  <c r="H11" i="33"/>
  <c r="F21" i="33"/>
  <c r="H12" i="33"/>
  <c r="F22" i="33"/>
  <c r="Y15" i="32"/>
  <c r="X20" i="32"/>
  <c r="X21" i="32"/>
  <c r="X14" i="32"/>
  <c r="X23" i="32"/>
  <c r="X22" i="32"/>
  <c r="X24" i="32"/>
  <c r="W15" i="32"/>
  <c r="V16" i="32"/>
  <c r="Y16" i="32" s="1"/>
  <c r="X16" i="32"/>
  <c r="X13" i="32"/>
  <c r="V18" i="32"/>
  <c r="Y18" i="32" s="1"/>
  <c r="V23" i="32"/>
  <c r="Y23" i="32" s="1"/>
  <c r="V24" i="32"/>
  <c r="Y24" i="32" s="1"/>
  <c r="V14" i="32"/>
  <c r="Y14" i="32" s="1"/>
  <c r="V19" i="32"/>
  <c r="Y19" i="32" s="1"/>
  <c r="X19" i="32"/>
  <c r="X15" i="32"/>
  <c r="V20" i="32"/>
  <c r="V21" i="32"/>
  <c r="V17" i="32"/>
  <c r="Y17" i="32" s="1"/>
  <c r="V22" i="32"/>
  <c r="Y22" i="32" s="1"/>
  <c r="V13" i="32"/>
  <c r="Y13" i="32" s="1"/>
  <c r="P842" i="10"/>
  <c r="P841" i="10"/>
  <c r="Q1834" i="10"/>
  <c r="Q1832" i="10"/>
  <c r="Q1831" i="10"/>
  <c r="P1834" i="10"/>
  <c r="P1832" i="10"/>
  <c r="P1833" i="10"/>
  <c r="P1824" i="10"/>
  <c r="P1820" i="10"/>
  <c r="P1819" i="10"/>
  <c r="P1831" i="10"/>
  <c r="P1222" i="10"/>
  <c r="Q1222" i="10" s="1"/>
  <c r="P1221" i="10"/>
  <c r="Q1221" i="10" s="1"/>
  <c r="P260" i="10"/>
  <c r="P250" i="10"/>
  <c r="P262" i="10"/>
  <c r="O262" i="10"/>
  <c r="Q262" i="10" s="1"/>
  <c r="P261" i="10"/>
  <c r="P251" i="10"/>
  <c r="O252" i="10"/>
  <c r="Q252" i="10" s="1"/>
  <c r="P252" i="10"/>
  <c r="B48" i="1"/>
  <c r="Q996" i="10"/>
  <c r="Q995" i="10"/>
  <c r="P995" i="10"/>
  <c r="C38" i="33" l="1"/>
  <c r="F23" i="33"/>
  <c r="C30" i="33"/>
  <c r="C32" i="33"/>
  <c r="F15" i="33"/>
  <c r="F7" i="33"/>
  <c r="F16" i="33"/>
  <c r="F6" i="33"/>
  <c r="W23" i="32"/>
  <c r="Z23" i="32" s="1"/>
  <c r="W22" i="32"/>
  <c r="W19" i="32"/>
  <c r="W20" i="32"/>
  <c r="Y20" i="32"/>
  <c r="W16" i="32"/>
  <c r="Y21" i="32"/>
  <c r="W21" i="32"/>
  <c r="W14" i="32"/>
  <c r="W24" i="32"/>
  <c r="W18" i="32"/>
  <c r="W17" i="32"/>
  <c r="AA15" i="32"/>
  <c r="Z15" i="32"/>
  <c r="W13" i="32"/>
  <c r="Q1011" i="10"/>
  <c r="P1711" i="10"/>
  <c r="P1004" i="10"/>
  <c r="Q1010" i="10"/>
  <c r="Q1012" i="10"/>
  <c r="Q1013" i="10"/>
  <c r="P1015" i="10"/>
  <c r="Q1022" i="10"/>
  <c r="P1032" i="10"/>
  <c r="P1880" i="10"/>
  <c r="Q1881" i="10"/>
  <c r="Q1882" i="10"/>
  <c r="Q1883" i="10"/>
  <c r="Q1884" i="10"/>
  <c r="Q1885" i="10"/>
  <c r="Q1886" i="10"/>
  <c r="Q1887" i="10"/>
  <c r="Q1888" i="10"/>
  <c r="Q1889" i="10"/>
  <c r="Q1890" i="10"/>
  <c r="Q1891" i="10"/>
  <c r="Q1892" i="10"/>
  <c r="Q1893" i="10"/>
  <c r="Q1894" i="10"/>
  <c r="Q1895" i="10"/>
  <c r="Q1896" i="10"/>
  <c r="Q1897" i="10"/>
  <c r="Q1898" i="10"/>
  <c r="Q1899" i="10"/>
  <c r="Q1900" i="10"/>
  <c r="Q1901" i="10"/>
  <c r="Q1577" i="10"/>
  <c r="P1602" i="10"/>
  <c r="O1602" i="10"/>
  <c r="H13" i="33" l="1"/>
  <c r="B41" i="33"/>
  <c r="C33" i="33"/>
  <c r="AA23" i="32"/>
  <c r="Z19" i="32"/>
  <c r="AA19" i="32"/>
  <c r="Z18" i="32"/>
  <c r="AA18" i="32"/>
  <c r="Z16" i="32"/>
  <c r="AA16" i="32"/>
  <c r="Z22" i="32"/>
  <c r="AA22" i="32"/>
  <c r="AA24" i="32"/>
  <c r="Z24" i="32"/>
  <c r="Z13" i="32"/>
  <c r="AA13" i="32"/>
  <c r="AA17" i="32"/>
  <c r="Z17" i="32"/>
  <c r="Z14" i="32"/>
  <c r="AA14" i="32"/>
  <c r="AA21" i="32"/>
  <c r="Z21" i="32"/>
  <c r="AA20" i="32"/>
  <c r="Z20" i="32"/>
  <c r="AY241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884" i="10"/>
  <c r="B1635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P1749" i="10"/>
  <c r="P1750" i="10"/>
  <c r="O1750" i="10"/>
  <c r="M1687" i="10"/>
  <c r="M1689" i="10" s="1"/>
  <c r="M1691" i="10" s="1"/>
  <c r="M1693" i="10" s="1"/>
  <c r="M1695" i="10" s="1"/>
  <c r="M1697" i="10" s="1"/>
  <c r="M1699" i="10" s="1"/>
  <c r="M1701" i="10" s="1"/>
  <c r="M1686" i="10"/>
  <c r="M1688" i="10" s="1"/>
  <c r="M1690" i="10" s="1"/>
  <c r="M1692" i="10" s="1"/>
  <c r="M1694" i="10" s="1"/>
  <c r="M1696" i="10" s="1"/>
  <c r="M1698" i="10" s="1"/>
  <c r="M1700" i="10" s="1"/>
  <c r="P1690" i="10"/>
  <c r="P1688" i="10"/>
  <c r="G16" i="33" l="1"/>
  <c r="B37" i="33"/>
  <c r="B42" i="33" s="1"/>
  <c r="C36" i="33"/>
  <c r="AA25" i="32"/>
  <c r="AY242" i="10"/>
  <c r="BB242" i="10" s="1"/>
  <c r="BB241" i="10"/>
  <c r="AY243" i="10"/>
  <c r="BB243" i="10" s="1"/>
  <c r="P1685" i="10"/>
  <c r="P1664" i="10"/>
  <c r="P1643" i="10"/>
  <c r="P1641" i="10"/>
  <c r="P1638" i="10"/>
  <c r="Q1212" i="10"/>
  <c r="Q1206" i="10"/>
  <c r="Q1207" i="10"/>
  <c r="Q1208" i="10"/>
  <c r="Q1209" i="10"/>
  <c r="Q1210" i="10"/>
  <c r="Q1211" i="10"/>
  <c r="H16" i="33" l="1"/>
  <c r="G15" i="33"/>
  <c r="I19" i="33" s="1"/>
  <c r="C37" i="33"/>
  <c r="C41" i="33"/>
  <c r="H6" i="33"/>
  <c r="AY244" i="10"/>
  <c r="BB244" i="10" s="1"/>
  <c r="E1499" i="10"/>
  <c r="E1498" i="10"/>
  <c r="C1499" i="10"/>
  <c r="C1500" i="10"/>
  <c r="C1501" i="10"/>
  <c r="C1502" i="10"/>
  <c r="C1503" i="10"/>
  <c r="C1504" i="10"/>
  <c r="C1505" i="10"/>
  <c r="C1506" i="10"/>
  <c r="C1498" i="10"/>
  <c r="G1498" i="10"/>
  <c r="F1498" i="10"/>
  <c r="D1499" i="10"/>
  <c r="D1500" i="10"/>
  <c r="D1498" i="10"/>
  <c r="D1189" i="10"/>
  <c r="D1190" i="10"/>
  <c r="D1191" i="10"/>
  <c r="D1192" i="10"/>
  <c r="D1193" i="10"/>
  <c r="D1194" i="10"/>
  <c r="D1195" i="10"/>
  <c r="D1196" i="10"/>
  <c r="D1188" i="10"/>
  <c r="D1206" i="10"/>
  <c r="D1207" i="10"/>
  <c r="D1208" i="10"/>
  <c r="D1209" i="10"/>
  <c r="D1210" i="10"/>
  <c r="D1211" i="10"/>
  <c r="D1212" i="10"/>
  <c r="D1213" i="10"/>
  <c r="D1205" i="10"/>
  <c r="D1231" i="10"/>
  <c r="D1232" i="10"/>
  <c r="D1233" i="10"/>
  <c r="D1234" i="10"/>
  <c r="D1235" i="10"/>
  <c r="D1236" i="10"/>
  <c r="D1237" i="10"/>
  <c r="D1238" i="10"/>
  <c r="D1230" i="10"/>
  <c r="D1172" i="10"/>
  <c r="D1173" i="10"/>
  <c r="D1174" i="10"/>
  <c r="D1175" i="10"/>
  <c r="D1176" i="10"/>
  <c r="D1177" i="10"/>
  <c r="D1178" i="10"/>
  <c r="D1179" i="10"/>
  <c r="D1171" i="10"/>
  <c r="D1079" i="10"/>
  <c r="D1078" i="10"/>
  <c r="D1077" i="10"/>
  <c r="D1076" i="10"/>
  <c r="D1075" i="10"/>
  <c r="D1074" i="10"/>
  <c r="D1073" i="10"/>
  <c r="D1072" i="10"/>
  <c r="D1071" i="10"/>
  <c r="D1096" i="10"/>
  <c r="D1095" i="10"/>
  <c r="D1094" i="10"/>
  <c r="D1093" i="10"/>
  <c r="D1092" i="10"/>
  <c r="D1091" i="10"/>
  <c r="D1090" i="10"/>
  <c r="D1089" i="10"/>
  <c r="D1088" i="10"/>
  <c r="D1106" i="10"/>
  <c r="D1107" i="10"/>
  <c r="D1108" i="10"/>
  <c r="D1109" i="10"/>
  <c r="D1110" i="10"/>
  <c r="D1111" i="10"/>
  <c r="D1112" i="10"/>
  <c r="D1113" i="10"/>
  <c r="D1105" i="10"/>
  <c r="D1593" i="10"/>
  <c r="D1601" i="10"/>
  <c r="D1600" i="10"/>
  <c r="D1599" i="10"/>
  <c r="D1598" i="10"/>
  <c r="D1597" i="10"/>
  <c r="D1596" i="10"/>
  <c r="D1595" i="10"/>
  <c r="D1594" i="10"/>
  <c r="D1577" i="10"/>
  <c r="D1578" i="10"/>
  <c r="D1579" i="10"/>
  <c r="D1580" i="10"/>
  <c r="D1581" i="10"/>
  <c r="D1582" i="10"/>
  <c r="D1583" i="10"/>
  <c r="D1584" i="10"/>
  <c r="D1576" i="10"/>
  <c r="P748" i="10"/>
  <c r="P596" i="10"/>
  <c r="P548" i="10"/>
  <c r="H15" i="33" l="1"/>
  <c r="C42" i="33"/>
  <c r="H7" i="33"/>
  <c r="H8" i="33" s="1"/>
  <c r="AY245" i="10"/>
  <c r="BB245" i="10" s="1"/>
  <c r="P1239" i="10"/>
  <c r="O1239" i="10"/>
  <c r="P1214" i="10"/>
  <c r="O1214" i="10"/>
  <c r="P1618" i="10"/>
  <c r="P1617" i="10"/>
  <c r="O1617" i="10"/>
  <c r="P1612" i="10"/>
  <c r="P1608" i="10"/>
  <c r="O1608" i="10"/>
  <c r="P1607" i="10"/>
  <c r="O1607" i="10"/>
  <c r="P1606" i="10"/>
  <c r="O1606" i="10"/>
  <c r="Q1606" i="10" s="1"/>
  <c r="O1604" i="10"/>
  <c r="Q1595" i="10"/>
  <c r="Q1594" i="10"/>
  <c r="M1594" i="10"/>
  <c r="M1596" i="10" s="1"/>
  <c r="M1598" i="10" s="1"/>
  <c r="M1600" i="10" s="1"/>
  <c r="M1593" i="10"/>
  <c r="M1595" i="10" s="1"/>
  <c r="M1597" i="10" s="1"/>
  <c r="M1599" i="10" s="1"/>
  <c r="M1601" i="10" s="1"/>
  <c r="P1591" i="10"/>
  <c r="O1591" i="10"/>
  <c r="P1590" i="10"/>
  <c r="O1590" i="10"/>
  <c r="P1589" i="10"/>
  <c r="O1589" i="10"/>
  <c r="Q1589" i="10" s="1"/>
  <c r="O1587" i="10"/>
  <c r="P1585" i="10"/>
  <c r="O1585" i="10"/>
  <c r="M1579" i="10"/>
  <c r="M1581" i="10" s="1"/>
  <c r="M1583" i="10" s="1"/>
  <c r="Q1578" i="10"/>
  <c r="M1578" i="10"/>
  <c r="M1580" i="10" s="1"/>
  <c r="M1582" i="10" s="1"/>
  <c r="M1584" i="10" s="1"/>
  <c r="O1202" i="10"/>
  <c r="O1085" i="10"/>
  <c r="P1203" i="10"/>
  <c r="O1203" i="10"/>
  <c r="P1202" i="10"/>
  <c r="P1201" i="10"/>
  <c r="O1201" i="10"/>
  <c r="Q1201" i="10" s="1"/>
  <c r="O1199" i="10"/>
  <c r="P1197" i="10"/>
  <c r="O1197" i="10"/>
  <c r="P1186" i="10"/>
  <c r="O1186" i="10"/>
  <c r="P1185" i="10"/>
  <c r="O1185" i="10"/>
  <c r="P1184" i="10"/>
  <c r="O1184" i="10"/>
  <c r="O1182" i="10"/>
  <c r="P1180" i="10"/>
  <c r="O1180" i="10"/>
  <c r="P1120" i="10"/>
  <c r="O1120" i="10"/>
  <c r="P1119" i="10"/>
  <c r="O1119" i="10"/>
  <c r="P1118" i="10"/>
  <c r="O1118" i="10"/>
  <c r="O1116" i="10"/>
  <c r="P1114" i="10"/>
  <c r="O1114" i="10"/>
  <c r="P1103" i="10"/>
  <c r="O1103" i="10"/>
  <c r="P1102" i="10"/>
  <c r="O1102" i="10"/>
  <c r="P1101" i="10"/>
  <c r="O1101" i="10"/>
  <c r="O1099" i="10"/>
  <c r="P1097" i="10"/>
  <c r="O1097" i="10"/>
  <c r="P598" i="10"/>
  <c r="P550" i="10"/>
  <c r="P799" i="10"/>
  <c r="P750" i="10"/>
  <c r="P647" i="10"/>
  <c r="E1481" i="10"/>
  <c r="Q1488" i="10"/>
  <c r="Q1489" i="10"/>
  <c r="Q1487" i="10"/>
  <c r="D1482" i="10"/>
  <c r="D1483" i="10"/>
  <c r="D1484" i="10"/>
  <c r="D1485" i="10"/>
  <c r="D1486" i="10"/>
  <c r="D1481" i="10"/>
  <c r="E1482" i="10"/>
  <c r="Q1491" i="10" s="1"/>
  <c r="E1483" i="10"/>
  <c r="Q1492" i="10" s="1"/>
  <c r="E1484" i="10"/>
  <c r="Q1493" i="10" s="1"/>
  <c r="Q1490" i="10" l="1"/>
  <c r="AY246" i="10"/>
  <c r="BB246" i="10" s="1"/>
  <c r="D1463" i="10"/>
  <c r="D1464" i="10"/>
  <c r="D1466" i="10"/>
  <c r="D1468" i="10"/>
  <c r="Q1468" i="10" s="1"/>
  <c r="D1469" i="10"/>
  <c r="Q1469" i="10" s="1"/>
  <c r="D1470" i="10"/>
  <c r="Q1470" i="10" s="1"/>
  <c r="D1471" i="10"/>
  <c r="Q1471" i="10" s="1"/>
  <c r="D1472" i="10"/>
  <c r="Q1472" i="10" s="1"/>
  <c r="D1473" i="10"/>
  <c r="Q1473" i="10" s="1"/>
  <c r="D1474" i="10"/>
  <c r="Q1474" i="10" s="1"/>
  <c r="D1476" i="10"/>
  <c r="Q1476" i="10" s="1"/>
  <c r="D1477" i="10"/>
  <c r="Q1477" i="10" s="1"/>
  <c r="D1478" i="10"/>
  <c r="Q1478" i="10" s="1"/>
  <c r="D1479" i="10"/>
  <c r="Q1479" i="10" s="1"/>
  <c r="D1461" i="10"/>
  <c r="D1437" i="10"/>
  <c r="D1438" i="10"/>
  <c r="D1457" i="10"/>
  <c r="Q1457" i="10" s="1"/>
  <c r="D1458" i="10"/>
  <c r="Q1458" i="10" s="1"/>
  <c r="D1459" i="10"/>
  <c r="Q1459" i="10" s="1"/>
  <c r="D1456" i="10"/>
  <c r="Q1456" i="10" s="1"/>
  <c r="D1453" i="10"/>
  <c r="Q1453" i="10" s="1"/>
  <c r="D1454" i="10"/>
  <c r="Q1454" i="10" s="1"/>
  <c r="D1452" i="10"/>
  <c r="Q1452" i="10" s="1"/>
  <c r="D1449" i="10"/>
  <c r="D1450" i="10"/>
  <c r="D1448" i="10"/>
  <c r="D1441" i="10"/>
  <c r="D1442" i="10"/>
  <c r="D1443" i="10"/>
  <c r="D1444" i="10"/>
  <c r="D1445" i="10"/>
  <c r="D1446" i="10"/>
  <c r="D1440" i="10"/>
  <c r="B7" i="25"/>
  <c r="C7" i="25"/>
  <c r="D7" i="25"/>
  <c r="F7" i="25" s="1"/>
  <c r="E7" i="25"/>
  <c r="C8" i="25"/>
  <c r="D8" i="25"/>
  <c r="F10" i="25"/>
  <c r="F8" i="25" s="1"/>
  <c r="F11" i="25"/>
  <c r="F12" i="25"/>
  <c r="F13" i="25"/>
  <c r="F14" i="25"/>
  <c r="F15" i="25"/>
  <c r="F16" i="25"/>
  <c r="F17" i="25"/>
  <c r="F18" i="25"/>
  <c r="F53" i="25" s="1"/>
  <c r="F19" i="25"/>
  <c r="F20" i="25"/>
  <c r="F21" i="25"/>
  <c r="F22" i="25"/>
  <c r="F23" i="25"/>
  <c r="F24" i="25"/>
  <c r="F25" i="25"/>
  <c r="F26" i="25"/>
  <c r="F27" i="25"/>
  <c r="F28" i="25"/>
  <c r="F29" i="25"/>
  <c r="D30" i="25"/>
  <c r="E30" i="25"/>
  <c r="A32" i="25"/>
  <c r="B32" i="25"/>
  <c r="C32" i="25"/>
  <c r="F32" i="25"/>
  <c r="A33" i="25"/>
  <c r="B33" i="25"/>
  <c r="C33" i="25"/>
  <c r="F33" i="25"/>
  <c r="A34" i="25"/>
  <c r="B34" i="25"/>
  <c r="C34" i="25"/>
  <c r="F34" i="25"/>
  <c r="A35" i="25"/>
  <c r="B35" i="25"/>
  <c r="C35" i="25"/>
  <c r="F35" i="25"/>
  <c r="F52" i="25" s="1"/>
  <c r="A36" i="25"/>
  <c r="B36" i="25"/>
  <c r="C36" i="25"/>
  <c r="F36" i="25"/>
  <c r="A37" i="25"/>
  <c r="B37" i="25"/>
  <c r="C37" i="25"/>
  <c r="F37" i="25"/>
  <c r="A38" i="25"/>
  <c r="B38" i="25"/>
  <c r="C38" i="25"/>
  <c r="F38" i="25"/>
  <c r="A39" i="25"/>
  <c r="B39" i="25"/>
  <c r="C39" i="25"/>
  <c r="F39" i="25"/>
  <c r="A40" i="25"/>
  <c r="B40" i="25"/>
  <c r="C40" i="25"/>
  <c r="F40" i="25"/>
  <c r="A41" i="25"/>
  <c r="B41" i="25"/>
  <c r="C41" i="25"/>
  <c r="F41" i="25"/>
  <c r="A42" i="25"/>
  <c r="B42" i="25"/>
  <c r="C42" i="25"/>
  <c r="F42" i="25"/>
  <c r="A43" i="25"/>
  <c r="B43" i="25"/>
  <c r="C43" i="25"/>
  <c r="F43" i="25"/>
  <c r="A44" i="25"/>
  <c r="B44" i="25"/>
  <c r="C44" i="25"/>
  <c r="F44" i="25"/>
  <c r="A45" i="25"/>
  <c r="B45" i="25"/>
  <c r="C45" i="25"/>
  <c r="F45" i="25"/>
  <c r="A46" i="25"/>
  <c r="B46" i="25"/>
  <c r="C46" i="25"/>
  <c r="F46" i="25"/>
  <c r="A47" i="25"/>
  <c r="B47" i="25"/>
  <c r="C47" i="25"/>
  <c r="F47" i="25"/>
  <c r="A48" i="25"/>
  <c r="B48" i="25"/>
  <c r="C48" i="25"/>
  <c r="F48" i="25"/>
  <c r="A49" i="25"/>
  <c r="B49" i="25"/>
  <c r="C49" i="25"/>
  <c r="F49" i="25"/>
  <c r="A50" i="25"/>
  <c r="B50" i="25"/>
  <c r="C50" i="25"/>
  <c r="F50" i="25"/>
  <c r="A51" i="25"/>
  <c r="B51" i="25"/>
  <c r="C51" i="25"/>
  <c r="F51" i="25"/>
  <c r="N3" i="1"/>
  <c r="A11" i="1"/>
  <c r="M3" i="1" s="1"/>
  <c r="P1425" i="10"/>
  <c r="B8" i="1"/>
  <c r="B7" i="1"/>
  <c r="B10" i="1" s="1"/>
  <c r="B6" i="1" a="1"/>
  <c r="B6" i="1" s="1"/>
  <c r="V91" i="38" l="1"/>
  <c r="P91" i="38" s="1" a="1"/>
  <c r="P91" i="38" s="1"/>
  <c r="B13" i="1"/>
  <c r="V6" i="38"/>
  <c r="V9" i="38"/>
  <c r="P9" i="38" s="1"/>
  <c r="V92" i="38"/>
  <c r="V99" i="38"/>
  <c r="V102" i="38"/>
  <c r="V96" i="38"/>
  <c r="V105" i="38"/>
  <c r="V108" i="38"/>
  <c r="V106" i="38"/>
  <c r="V103" i="38"/>
  <c r="V100" i="38"/>
  <c r="V97" i="38"/>
  <c r="V94" i="38"/>
  <c r="V101" i="38"/>
  <c r="V107" i="38"/>
  <c r="V95" i="38"/>
  <c r="V104" i="38"/>
  <c r="V98" i="38"/>
  <c r="V93" i="38"/>
  <c r="V181" i="38"/>
  <c r="P181" i="38" s="1" a="1"/>
  <c r="P181" i="38" s="1"/>
  <c r="V391" i="38"/>
  <c r="V514" i="38"/>
  <c r="P514" i="38" s="1" a="1"/>
  <c r="P514" i="38" s="1"/>
  <c r="V664" i="38"/>
  <c r="P664" i="38" s="1" a="1"/>
  <c r="P664" i="38" s="1"/>
  <c r="V604" i="38"/>
  <c r="P604" i="38" s="1" a="1"/>
  <c r="P604" i="38" s="1"/>
  <c r="V544" i="38"/>
  <c r="P544" i="38" s="1" a="1"/>
  <c r="P544" i="38" s="1"/>
  <c r="V484" i="38"/>
  <c r="P484" i="38" s="1" a="1"/>
  <c r="P484" i="38" s="1"/>
  <c r="V574" i="38"/>
  <c r="P574" i="38" s="1" a="1"/>
  <c r="P574" i="38" s="1"/>
  <c r="V634" i="38"/>
  <c r="P634" i="38" s="1" a="1"/>
  <c r="P634" i="38" s="1"/>
  <c r="P391" i="38" a="1"/>
  <c r="P391" i="38" s="1"/>
  <c r="V541" i="38"/>
  <c r="P541" i="38" s="1" a="1"/>
  <c r="P541" i="38" s="1"/>
  <c r="V631" i="38"/>
  <c r="P631" i="38" s="1" a="1"/>
  <c r="P631" i="38" s="1"/>
  <c r="V481" i="38"/>
  <c r="P481" i="38" s="1" a="1"/>
  <c r="P481" i="38" s="1"/>
  <c r="V571" i="38"/>
  <c r="P571" i="38" s="1" a="1"/>
  <c r="P571" i="38" s="1"/>
  <c r="V661" i="38"/>
  <c r="P661" i="38" s="1" a="1"/>
  <c r="P661" i="38" s="1"/>
  <c r="V511" i="38"/>
  <c r="P511" i="38" s="1" a="1"/>
  <c r="P511" i="38" s="1"/>
  <c r="V601" i="38"/>
  <c r="P601" i="38" s="1" a="1"/>
  <c r="P601" i="38" s="1"/>
  <c r="V61" i="38"/>
  <c r="V64" i="38"/>
  <c r="B6" i="35"/>
  <c r="B26" i="35" s="1"/>
  <c r="Q1750" i="10"/>
  <c r="Q1225" i="10"/>
  <c r="Q5" i="10"/>
  <c r="Q2214" i="10"/>
  <c r="Q2217" i="10"/>
  <c r="Q2196" i="10"/>
  <c r="Q2199" i="10"/>
  <c r="Q346" i="10"/>
  <c r="Q2222" i="10"/>
  <c r="Q2204" i="10"/>
  <c r="Q2213" i="10"/>
  <c r="Q2201" i="10"/>
  <c r="Q2197" i="10"/>
  <c r="Q2234" i="10"/>
  <c r="Q2195" i="10"/>
  <c r="Q2233" i="10"/>
  <c r="Q2194" i="10"/>
  <c r="Q343" i="10"/>
  <c r="Q2219" i="10"/>
  <c r="Q2216" i="10"/>
  <c r="Q2215" i="10"/>
  <c r="Q2212" i="10"/>
  <c r="Q2198" i="10"/>
  <c r="Q2063" i="10"/>
  <c r="Q2200" i="10"/>
  <c r="Q2218" i="10"/>
  <c r="Q2037" i="10"/>
  <c r="Q2049" i="10"/>
  <c r="Q2060" i="10"/>
  <c r="Q2057" i="10"/>
  <c r="Q2055" i="10"/>
  <c r="Q2053" i="10"/>
  <c r="Q2050" i="10"/>
  <c r="Q2047" i="10"/>
  <c r="Q2045" i="10"/>
  <c r="Q2038" i="10"/>
  <c r="Q2058" i="10"/>
  <c r="Q2054" i="10"/>
  <c r="Q2051" i="10"/>
  <c r="Q2048" i="10"/>
  <c r="Q2041" i="10"/>
  <c r="Q2039" i="10"/>
  <c r="Q2062" i="10"/>
  <c r="Q2061" i="10"/>
  <c r="Q2040" i="10"/>
  <c r="Q2042" i="10"/>
  <c r="Q841" i="10"/>
  <c r="Q840" i="10"/>
  <c r="Q1835" i="10"/>
  <c r="Q1833" i="10"/>
  <c r="Q250" i="10"/>
  <c r="Q260" i="10"/>
  <c r="Q998" i="10"/>
  <c r="Q990" i="10" s="1"/>
  <c r="Q1000" i="10"/>
  <c r="Q1004" i="10"/>
  <c r="Q1006" i="10"/>
  <c r="Q1009" i="10"/>
  <c r="O996" i="10" s="1" a="1"/>
  <c r="O996" i="10" s="1"/>
  <c r="Q1030" i="10"/>
  <c r="Q1031" i="10"/>
  <c r="Q1027" i="10"/>
  <c r="Q1015" i="10"/>
  <c r="Q1016" i="10"/>
  <c r="Q1019" i="10"/>
  <c r="Q1020" i="10"/>
  <c r="Q1028" i="10"/>
  <c r="Q1786" i="10"/>
  <c r="Q1880" i="10"/>
  <c r="O1785" i="10" a="1"/>
  <c r="O1785" i="10" s="1"/>
  <c r="P1785" i="10" s="1" a="1"/>
  <c r="P1785" i="10" s="1"/>
  <c r="Q1788" i="10"/>
  <c r="Q1787" i="10"/>
  <c r="Q1783" i="10"/>
  <c r="Q1782" i="10"/>
  <c r="Q1686" i="10"/>
  <c r="AY247" i="10"/>
  <c r="BB247" i="10" s="1"/>
  <c r="Q1733" i="10"/>
  <c r="Q2" i="10"/>
  <c r="Q1749" i="10"/>
  <c r="Q1702" i="10"/>
  <c r="Q1684" i="10"/>
  <c r="Q1637" i="10"/>
  <c r="Q1639" i="10"/>
  <c r="Q1665" i="10"/>
  <c r="Q1664" i="10"/>
  <c r="Q1636" i="10"/>
  <c r="Q1635" i="10"/>
  <c r="L1498" i="10"/>
  <c r="Q361" i="10"/>
  <c r="Q351" i="10"/>
  <c r="Q400" i="10"/>
  <c r="Q410" i="10"/>
  <c r="Q1116" i="10"/>
  <c r="Q1199" i="10"/>
  <c r="Q1098" i="10"/>
  <c r="O1098" i="10" s="1"/>
  <c r="Q1099" i="10"/>
  <c r="Q1198" i="10"/>
  <c r="O1198" i="10" s="1"/>
  <c r="Q1181" i="10"/>
  <c r="O1181" i="10" s="1"/>
  <c r="Q1619" i="10"/>
  <c r="Q1618" i="10"/>
  <c r="Q1603" i="10"/>
  <c r="O1603" i="10" s="1"/>
  <c r="Q1604" i="10"/>
  <c r="Q1617" i="10"/>
  <c r="Q1587" i="10"/>
  <c r="Q1612" i="10"/>
  <c r="Q1586" i="10"/>
  <c r="O1586" i="10" s="1"/>
  <c r="Q1182" i="10"/>
  <c r="Q1115" i="10"/>
  <c r="O1115" i="10" s="1"/>
  <c r="Q1466" i="10"/>
  <c r="L1452" i="10"/>
  <c r="Q1420" i="10"/>
  <c r="Q1438" i="10"/>
  <c r="L1481" i="10"/>
  <c r="L1448" i="10"/>
  <c r="L1456" i="10"/>
  <c r="Q1437" i="10"/>
  <c r="Q1461" i="10"/>
  <c r="L1437" i="10"/>
  <c r="L1461" i="10"/>
  <c r="Q1449" i="10"/>
  <c r="Q1448" i="10"/>
  <c r="L1440" i="10"/>
  <c r="Q1450" i="10"/>
  <c r="Q78" i="10"/>
  <c r="L1433" i="10"/>
  <c r="L1428" i="10"/>
  <c r="Q1422" i="10"/>
  <c r="L1420" i="10"/>
  <c r="M2" i="1"/>
  <c r="L1425" i="10"/>
  <c r="B9" i="1"/>
  <c r="V112" i="38" s="1"/>
  <c r="Q1424" i="10"/>
  <c r="Q1423" i="10"/>
  <c r="Q1421" i="10"/>
  <c r="Q1537" i="10"/>
  <c r="P1551" i="10"/>
  <c r="P1549" i="10"/>
  <c r="Q1548" i="10"/>
  <c r="Q1547" i="10"/>
  <c r="Q1546" i="10"/>
  <c r="Q1545" i="10"/>
  <c r="Q1544" i="10"/>
  <c r="Q1543" i="10"/>
  <c r="Q1542" i="10"/>
  <c r="Q1541" i="10"/>
  <c r="Q1540" i="10"/>
  <c r="Q1539" i="10"/>
  <c r="Q1538" i="10"/>
  <c r="V10" i="38" l="1"/>
  <c r="V7" i="38"/>
  <c r="B32" i="35"/>
  <c r="C55" i="35"/>
  <c r="B34" i="35"/>
  <c r="B36" i="35"/>
  <c r="C30" i="35"/>
  <c r="C58" i="35" s="1"/>
  <c r="C39" i="35" s="1"/>
  <c r="C26" i="35"/>
  <c r="B33" i="35"/>
  <c r="B35" i="35"/>
  <c r="B37" i="35"/>
  <c r="C25" i="35"/>
  <c r="V117" i="38" a="1"/>
  <c r="V117" i="38" s="1"/>
  <c r="P117" i="38" s="1" a="1"/>
  <c r="P117" i="38" s="1"/>
  <c r="W8" i="38"/>
  <c r="W11" i="38"/>
  <c r="Q410" i="36" s="1"/>
  <c r="P5" i="36" s="1" a="1"/>
  <c r="P5" i="36" s="1"/>
  <c r="Q5" i="36" s="1"/>
  <c r="V119" i="38" a="1"/>
  <c r="V119" i="38" s="1"/>
  <c r="V120" i="38"/>
  <c r="P120" i="38" s="1" a="1"/>
  <c r="P120" i="38" s="1"/>
  <c r="V118" i="38"/>
  <c r="S118" i="38" s="1" a="1"/>
  <c r="S118" i="38" s="1"/>
  <c r="V205" i="38"/>
  <c r="P205" i="38" s="1" a="1"/>
  <c r="P205" i="38" s="1"/>
  <c r="V204" i="38"/>
  <c r="P204" i="38" s="1" a="1"/>
  <c r="P204" i="38" s="1"/>
  <c r="V197" i="38"/>
  <c r="V87" i="38"/>
  <c r="P87" i="38" s="1" a="1"/>
  <c r="P87" i="38" s="1"/>
  <c r="V207" i="38"/>
  <c r="P207" i="38" s="1" a="1"/>
  <c r="P207" i="38" s="1"/>
  <c r="V83" i="38" a="1"/>
  <c r="V83" i="38" s="1"/>
  <c r="P83" i="38" s="1" a="1"/>
  <c r="P83" i="38" s="1"/>
  <c r="V84" i="38"/>
  <c r="P84" i="38" s="1" a="1"/>
  <c r="P84" i="38" s="1"/>
  <c r="V85" i="38" a="1"/>
  <c r="V85" i="38" s="1"/>
  <c r="P85" i="38" s="1" a="1"/>
  <c r="P85" i="38" s="1"/>
  <c r="V183" i="38"/>
  <c r="P183" i="38" s="1" a="1"/>
  <c r="P183" i="38" s="1"/>
  <c r="V187" i="38"/>
  <c r="P187" i="38" s="1" a="1"/>
  <c r="P187" i="38" s="1"/>
  <c r="V182" i="38"/>
  <c r="P182" i="38" s="1" a="1"/>
  <c r="P182" i="38" s="1"/>
  <c r="V414" i="38"/>
  <c r="P414" i="38" s="1" a="1"/>
  <c r="P414" i="38" s="1"/>
  <c r="V415" i="38"/>
  <c r="P415" i="38" s="1" a="1"/>
  <c r="P415" i="38" s="1"/>
  <c r="V392" i="38"/>
  <c r="P392" i="38" s="1" a="1"/>
  <c r="P392" i="38" s="1"/>
  <c r="V397" i="38"/>
  <c r="V393" i="38"/>
  <c r="V210" i="38" s="1"/>
  <c r="V507" i="38"/>
  <c r="P507" i="38" s="1" a="1"/>
  <c r="P507" i="38" s="1"/>
  <c r="V657" i="38"/>
  <c r="P657" i="38" s="1" a="1"/>
  <c r="P657" i="38" s="1"/>
  <c r="V597" i="38"/>
  <c r="P597" i="38" s="1" a="1"/>
  <c r="P597" i="38" s="1"/>
  <c r="V687" i="38"/>
  <c r="P687" i="38" s="1" a="1"/>
  <c r="P687" i="38" s="1"/>
  <c r="V417" i="38"/>
  <c r="P417" i="38" s="1" a="1"/>
  <c r="P417" i="38" s="1"/>
  <c r="V537" i="38"/>
  <c r="P537" i="38" s="1" a="1"/>
  <c r="P537" i="38" s="1"/>
  <c r="V627" i="38"/>
  <c r="P627" i="38" s="1" a="1"/>
  <c r="P627" i="38" s="1"/>
  <c r="V567" i="38"/>
  <c r="P567" i="38" s="1" a="1"/>
  <c r="P567" i="38" s="1"/>
  <c r="V677" i="38"/>
  <c r="V407" i="38"/>
  <c r="V527" i="38"/>
  <c r="V617" i="38"/>
  <c r="V557" i="38"/>
  <c r="V647" i="38"/>
  <c r="V77" i="38"/>
  <c r="V497" i="38"/>
  <c r="V587" i="38"/>
  <c r="V683" i="38" a="1"/>
  <c r="V683" i="38" s="1"/>
  <c r="P683" i="38" s="1" a="1"/>
  <c r="P683" i="38" s="1"/>
  <c r="V662" i="38" a="1"/>
  <c r="V662" i="38" s="1"/>
  <c r="P662" i="38" s="1" a="1"/>
  <c r="P662" i="38" s="1"/>
  <c r="V663" i="38"/>
  <c r="P663" i="38" s="1" a="1"/>
  <c r="P663" i="38" s="1"/>
  <c r="V685" i="38" a="1"/>
  <c r="V685" i="38" s="1"/>
  <c r="P685" i="38" s="1" a="1"/>
  <c r="P685" i="38" s="1"/>
  <c r="V684" i="38"/>
  <c r="P684" i="38" s="1" a="1"/>
  <c r="P684" i="38" s="1"/>
  <c r="V653" i="38" a="1"/>
  <c r="V653" i="38" s="1"/>
  <c r="P653" i="38" s="1" a="1"/>
  <c r="P653" i="38" s="1"/>
  <c r="V633" i="38"/>
  <c r="P633" i="38" s="1" a="1"/>
  <c r="P633" i="38" s="1"/>
  <c r="V655" i="38" a="1"/>
  <c r="V655" i="38" s="1"/>
  <c r="P655" i="38" s="1" a="1"/>
  <c r="P655" i="38" s="1"/>
  <c r="V632" i="38" a="1"/>
  <c r="V632" i="38" s="1"/>
  <c r="P632" i="38" s="1" a="1"/>
  <c r="P632" i="38" s="1"/>
  <c r="V654" i="38"/>
  <c r="P654" i="38" s="1" a="1"/>
  <c r="P654" i="38" s="1"/>
  <c r="V623" i="38" a="1"/>
  <c r="V623" i="38" s="1"/>
  <c r="P623" i="38" s="1" a="1"/>
  <c r="P623" i="38" s="1"/>
  <c r="V603" i="38"/>
  <c r="P603" i="38" s="1" a="1"/>
  <c r="P603" i="38" s="1"/>
  <c r="V625" i="38" a="1"/>
  <c r="V625" i="38" s="1"/>
  <c r="P625" i="38" s="1" a="1"/>
  <c r="P625" i="38" s="1"/>
  <c r="V602" i="38" a="1"/>
  <c r="V602" i="38" s="1"/>
  <c r="P602" i="38" s="1" a="1"/>
  <c r="P602" i="38" s="1"/>
  <c r="V624" i="38"/>
  <c r="P624" i="38" s="1" a="1"/>
  <c r="P624" i="38" s="1"/>
  <c r="V593" i="38" a="1"/>
  <c r="V593" i="38" s="1"/>
  <c r="P593" i="38" s="1" a="1"/>
  <c r="P593" i="38" s="1"/>
  <c r="V573" i="38"/>
  <c r="P573" i="38" s="1" a="1"/>
  <c r="P573" i="38" s="1"/>
  <c r="V595" i="38" a="1"/>
  <c r="V595" i="38" s="1"/>
  <c r="P595" i="38" s="1" a="1"/>
  <c r="P595" i="38" s="1"/>
  <c r="V572" i="38" a="1"/>
  <c r="V572" i="38" s="1"/>
  <c r="P572" i="38" s="1" a="1"/>
  <c r="P572" i="38" s="1"/>
  <c r="V594" i="38"/>
  <c r="P594" i="38" s="1" a="1"/>
  <c r="P594" i="38" s="1"/>
  <c r="V563" i="38" a="1"/>
  <c r="V563" i="38" s="1"/>
  <c r="P563" i="38" s="1" a="1"/>
  <c r="P563" i="38" s="1"/>
  <c r="V543" i="38"/>
  <c r="P543" i="38" s="1" a="1"/>
  <c r="P543" i="38" s="1"/>
  <c r="V565" i="38" a="1"/>
  <c r="V565" i="38" s="1"/>
  <c r="P565" i="38" s="1" a="1"/>
  <c r="P565" i="38" s="1"/>
  <c r="V542" i="38" a="1"/>
  <c r="V542" i="38" s="1"/>
  <c r="P542" i="38" s="1" a="1"/>
  <c r="P542" i="38" s="1"/>
  <c r="V564" i="38"/>
  <c r="P564" i="38" s="1" a="1"/>
  <c r="P564" i="38" s="1"/>
  <c r="V533" i="38" a="1"/>
  <c r="V533" i="38" s="1"/>
  <c r="P533" i="38" s="1" a="1"/>
  <c r="P533" i="38" s="1"/>
  <c r="V513" i="38"/>
  <c r="P513" i="38" s="1" a="1"/>
  <c r="P513" i="38" s="1"/>
  <c r="V535" i="38" a="1"/>
  <c r="V535" i="38" s="1"/>
  <c r="P535" i="38" s="1" a="1"/>
  <c r="P535" i="38" s="1"/>
  <c r="V512" i="38" a="1"/>
  <c r="V512" i="38" s="1"/>
  <c r="P512" i="38" s="1" a="1"/>
  <c r="P512" i="38" s="1"/>
  <c r="V534" i="38"/>
  <c r="P534" i="38" s="1" a="1"/>
  <c r="P534" i="38" s="1"/>
  <c r="V503" i="38" a="1"/>
  <c r="V503" i="38" s="1"/>
  <c r="P503" i="38" s="1" a="1"/>
  <c r="P503" i="38" s="1"/>
  <c r="V483" i="38"/>
  <c r="P483" i="38" s="1" a="1"/>
  <c r="P483" i="38" s="1"/>
  <c r="V505" i="38" a="1"/>
  <c r="V505" i="38" s="1"/>
  <c r="P505" i="38" s="1" a="1"/>
  <c r="P505" i="38" s="1"/>
  <c r="V482" i="38" a="1"/>
  <c r="V482" i="38" s="1"/>
  <c r="P482" i="38" s="1" a="1"/>
  <c r="P482" i="38" s="1"/>
  <c r="V504" i="38"/>
  <c r="P504" i="38" s="1" a="1"/>
  <c r="P504" i="38" s="1"/>
  <c r="V62" i="38" a="1"/>
  <c r="V62" i="38" s="1"/>
  <c r="V2" i="38" a="1"/>
  <c r="V2" i="38" s="1"/>
  <c r="V3" i="38" s="1"/>
  <c r="V63" i="38"/>
  <c r="P61" i="38" a="1"/>
  <c r="P61" i="38" s="1"/>
  <c r="P64" i="38" a="1"/>
  <c r="P64" i="38" s="1"/>
  <c r="Q2298" i="10"/>
  <c r="Q2324" i="10"/>
  <c r="Q2310" i="10"/>
  <c r="Q345" i="10"/>
  <c r="Q2251" i="10"/>
  <c r="Q2243" i="10"/>
  <c r="O2064" i="10"/>
  <c r="O2043" i="10" s="1"/>
  <c r="AY248" i="10"/>
  <c r="BB248" i="10" s="1"/>
  <c r="B46" i="1"/>
  <c r="Q1441" i="10"/>
  <c r="Q1444" i="10"/>
  <c r="Q1442" i="10"/>
  <c r="Q1445" i="10"/>
  <c r="Q1443" i="10"/>
  <c r="Q1446" i="10"/>
  <c r="Q1464" i="10"/>
  <c r="Q1463" i="10"/>
  <c r="Q1440" i="10"/>
  <c r="Q1428" i="10"/>
  <c r="Q1429" i="10"/>
  <c r="Q1431" i="10"/>
  <c r="Q1430" i="10"/>
  <c r="O2298" i="10"/>
  <c r="P2294" i="10"/>
  <c r="P2298" i="10"/>
  <c r="P2295" i="10"/>
  <c r="Q2295" i="10" s="1"/>
  <c r="O1373" i="10"/>
  <c r="Q1374" i="10"/>
  <c r="Q1370" i="10"/>
  <c r="P7" i="38" l="1"/>
  <c r="B39" i="35"/>
  <c r="W10" i="35"/>
  <c r="W16" i="35" s="1"/>
  <c r="W17" i="35" s="1"/>
  <c r="W18" i="35" s="1"/>
  <c r="C57" i="35"/>
  <c r="J9" i="35"/>
  <c r="J10" i="35"/>
  <c r="J5" i="35"/>
  <c r="R5" i="35" s="1"/>
  <c r="J11" i="35"/>
  <c r="J3" i="35"/>
  <c r="J7" i="35"/>
  <c r="J12" i="35"/>
  <c r="J8" i="35"/>
  <c r="J6" i="35"/>
  <c r="J4" i="35"/>
  <c r="R4" i="35" s="1"/>
  <c r="C36" i="35"/>
  <c r="C61" i="35"/>
  <c r="C60" i="35"/>
  <c r="T118" i="38" a="1"/>
  <c r="T118" i="38" s="1"/>
  <c r="R118" i="38" s="1"/>
  <c r="U118" i="38"/>
  <c r="Q118" i="38"/>
  <c r="P393" i="38" a="1"/>
  <c r="P393" i="38" s="1"/>
  <c r="P119" i="38" a="1"/>
  <c r="P119" i="38" s="1"/>
  <c r="V90" i="38"/>
  <c r="P90" i="38" s="1" a="1"/>
  <c r="P90" i="38" s="1"/>
  <c r="V89" i="38"/>
  <c r="P89" i="38" s="1" a="1"/>
  <c r="P89" i="38" s="1"/>
  <c r="V86" i="38"/>
  <c r="P86" i="38" s="1" a="1"/>
  <c r="P86" i="38" s="1"/>
  <c r="V88" i="38"/>
  <c r="P88" i="38" s="1" a="1"/>
  <c r="P88" i="38" s="1"/>
  <c r="V206" i="38"/>
  <c r="P206" i="38" s="1" a="1"/>
  <c r="P206" i="38" s="1"/>
  <c r="V209" i="38"/>
  <c r="P209" i="38" s="1" a="1"/>
  <c r="P209" i="38" s="1"/>
  <c r="V208" i="38"/>
  <c r="P208" i="38" s="1" a="1"/>
  <c r="P208" i="38" s="1"/>
  <c r="V418" i="38"/>
  <c r="P418" i="38" s="1" a="1"/>
  <c r="P418" i="38" s="1"/>
  <c r="V419" i="38"/>
  <c r="P419" i="38" s="1" a="1"/>
  <c r="P419" i="38" s="1"/>
  <c r="V420" i="38"/>
  <c r="V416" i="38"/>
  <c r="P416" i="38" s="1" a="1"/>
  <c r="P416" i="38" s="1"/>
  <c r="V660" i="38"/>
  <c r="V690" i="38"/>
  <c r="V686" i="38"/>
  <c r="P686" i="38" s="1" a="1"/>
  <c r="P686" i="38" s="1"/>
  <c r="V689" i="38"/>
  <c r="P689" i="38" s="1" a="1"/>
  <c r="P689" i="38" s="1"/>
  <c r="V688" i="38"/>
  <c r="P688" i="38" s="1" a="1"/>
  <c r="P688" i="38" s="1"/>
  <c r="V656" i="38"/>
  <c r="P656" i="38" s="1" a="1"/>
  <c r="P656" i="38" s="1"/>
  <c r="V659" i="38"/>
  <c r="P659" i="38" s="1" a="1"/>
  <c r="P659" i="38" s="1"/>
  <c r="V658" i="38"/>
  <c r="P658" i="38" s="1" a="1"/>
  <c r="P658" i="38" s="1"/>
  <c r="V600" i="38"/>
  <c r="V630" i="38"/>
  <c r="V626" i="38"/>
  <c r="P626" i="38" s="1" a="1"/>
  <c r="P626" i="38" s="1"/>
  <c r="V629" i="38"/>
  <c r="P629" i="38" s="1" a="1"/>
  <c r="P629" i="38" s="1"/>
  <c r="V628" i="38"/>
  <c r="P628" i="38" s="1" a="1"/>
  <c r="P628" i="38" s="1"/>
  <c r="V596" i="38"/>
  <c r="P596" i="38" s="1" a="1"/>
  <c r="P596" i="38" s="1"/>
  <c r="V599" i="38"/>
  <c r="P599" i="38" s="1" a="1"/>
  <c r="P599" i="38" s="1"/>
  <c r="V598" i="38"/>
  <c r="P598" i="38" s="1" a="1"/>
  <c r="P598" i="38" s="1"/>
  <c r="V540" i="38"/>
  <c r="V570" i="38"/>
  <c r="V566" i="38"/>
  <c r="P566" i="38" s="1" a="1"/>
  <c r="P566" i="38" s="1"/>
  <c r="V569" i="38"/>
  <c r="P569" i="38" s="1" a="1"/>
  <c r="P569" i="38" s="1"/>
  <c r="V568" i="38"/>
  <c r="P568" i="38" s="1" a="1"/>
  <c r="P568" i="38" s="1"/>
  <c r="V536" i="38"/>
  <c r="P536" i="38" s="1" a="1"/>
  <c r="P536" i="38" s="1"/>
  <c r="V539" i="38"/>
  <c r="P539" i="38" s="1" a="1"/>
  <c r="P539" i="38" s="1"/>
  <c r="V538" i="38"/>
  <c r="P538" i="38" s="1" a="1"/>
  <c r="P538" i="38" s="1"/>
  <c r="V510" i="38"/>
  <c r="V506" i="38"/>
  <c r="P506" i="38" s="1" a="1"/>
  <c r="P506" i="38" s="1"/>
  <c r="V509" i="38"/>
  <c r="P509" i="38" s="1" a="1"/>
  <c r="P509" i="38" s="1"/>
  <c r="V508" i="38"/>
  <c r="P508" i="38" s="1" a="1"/>
  <c r="P508" i="38" s="1"/>
  <c r="P63" i="38" a="1"/>
  <c r="P63" i="38" s="1"/>
  <c r="P62" i="38" a="1"/>
  <c r="P62" i="38" s="1"/>
  <c r="J14" i="1"/>
  <c r="P3" i="38"/>
  <c r="AY249" i="10"/>
  <c r="BB249" i="10" s="1"/>
  <c r="Q1213" i="10"/>
  <c r="Q1192" i="10"/>
  <c r="Q1584" i="10"/>
  <c r="Q1601" i="10"/>
  <c r="Q1583" i="10"/>
  <c r="Q1600" i="10"/>
  <c r="Q1580" i="10"/>
  <c r="Q1597" i="10"/>
  <c r="Q1579" i="10"/>
  <c r="Q1596" i="10"/>
  <c r="Q1375" i="10"/>
  <c r="Q1376" i="10"/>
  <c r="Q1377" i="10"/>
  <c r="Q1378" i="10"/>
  <c r="Q1379" i="10"/>
  <c r="Q1380" i="10"/>
  <c r="Q1381" i="10"/>
  <c r="Q1382" i="10"/>
  <c r="Q1383" i="10"/>
  <c r="Q1384" i="10"/>
  <c r="Q1385" i="10"/>
  <c r="Q1386" i="10"/>
  <c r="Q1387" i="10"/>
  <c r="Q1388" i="10"/>
  <c r="Q1389" i="10"/>
  <c r="Q1390" i="10"/>
  <c r="Q1391" i="10"/>
  <c r="Q1392" i="10"/>
  <c r="Q1393" i="10"/>
  <c r="Q1394" i="10"/>
  <c r="Q1395" i="10"/>
  <c r="Q1396" i="10"/>
  <c r="Q1397" i="10"/>
  <c r="Q1398" i="10"/>
  <c r="Q1399" i="10"/>
  <c r="Q1400" i="10"/>
  <c r="Q1347" i="10"/>
  <c r="Q1348" i="10"/>
  <c r="Q1349" i="10"/>
  <c r="Q1350" i="10"/>
  <c r="Q1351" i="10"/>
  <c r="Q1352" i="10"/>
  <c r="Q1353" i="10"/>
  <c r="Q1354" i="10"/>
  <c r="Q1355" i="10"/>
  <c r="Q1356" i="10"/>
  <c r="Q1357" i="10"/>
  <c r="Q1358" i="10"/>
  <c r="Q1359" i="10"/>
  <c r="Q1360" i="10"/>
  <c r="Q1361" i="10"/>
  <c r="Q1362" i="10"/>
  <c r="Q1363" i="10"/>
  <c r="Q1364" i="10"/>
  <c r="Q1365" i="10"/>
  <c r="Q1366" i="10"/>
  <c r="Q1367" i="10"/>
  <c r="Q1368" i="10"/>
  <c r="Q1369" i="10"/>
  <c r="Q1371" i="10"/>
  <c r="Q1372" i="10"/>
  <c r="Q1346" i="10"/>
  <c r="P1401" i="10"/>
  <c r="O1401" i="10"/>
  <c r="P1373" i="10"/>
  <c r="Q1373" i="10" s="1"/>
  <c r="Q1314" i="10"/>
  <c r="Q1331" i="10"/>
  <c r="Q1332" i="10"/>
  <c r="Q1333" i="10"/>
  <c r="Q1334" i="10"/>
  <c r="Q1335" i="10"/>
  <c r="Q1336" i="10"/>
  <c r="Q1337" i="10"/>
  <c r="Q1338" i="10"/>
  <c r="Q1339" i="10"/>
  <c r="Q1340" i="10"/>
  <c r="Q1341" i="10"/>
  <c r="Q1342" i="10"/>
  <c r="Q1343" i="10"/>
  <c r="Q1330" i="10"/>
  <c r="Q1315" i="10"/>
  <c r="Q1316" i="10"/>
  <c r="Q1317" i="10"/>
  <c r="Q1318" i="10"/>
  <c r="Q1319" i="10"/>
  <c r="Q1320" i="10"/>
  <c r="Q1321" i="10"/>
  <c r="Q1322" i="10"/>
  <c r="Q1323" i="10"/>
  <c r="Q1324" i="10"/>
  <c r="Q1325" i="10"/>
  <c r="Q1326" i="10"/>
  <c r="Q1327" i="10"/>
  <c r="P1344" i="10"/>
  <c r="O1344" i="10"/>
  <c r="O1328" i="10"/>
  <c r="P1328" i="10"/>
  <c r="P8" i="38" l="1"/>
  <c r="Q409" i="36"/>
  <c r="P4" i="36" s="1" a="1"/>
  <c r="P4" i="36" s="1"/>
  <c r="C40" i="35"/>
  <c r="B40" i="35"/>
  <c r="R3" i="35"/>
  <c r="R15" i="35" s="1"/>
  <c r="J15" i="35"/>
  <c r="C38" i="35"/>
  <c r="B38" i="35"/>
  <c r="W118" i="38" a="1"/>
  <c r="W118" i="38" s="1"/>
  <c r="P118" i="38" s="1" a="1"/>
  <c r="P118" i="38" s="1"/>
  <c r="W66" i="38"/>
  <c r="P66" i="38" s="1" a="1"/>
  <c r="P66" i="38" s="1"/>
  <c r="W666" i="38"/>
  <c r="P666" i="38" s="1" a="1"/>
  <c r="P666" i="38" s="1"/>
  <c r="P397" i="38" a="1"/>
  <c r="P397" i="38" s="1"/>
  <c r="W606" i="38"/>
  <c r="P606" i="38" s="1" a="1"/>
  <c r="P606" i="38" s="1"/>
  <c r="W636" i="38"/>
  <c r="P636" i="38" s="1" a="1"/>
  <c r="P636" i="38" s="1"/>
  <c r="W546" i="38"/>
  <c r="P546" i="38" s="1" a="1"/>
  <c r="P546" i="38" s="1"/>
  <c r="W576" i="38"/>
  <c r="P576" i="38" s="1" a="1"/>
  <c r="P576" i="38" s="1"/>
  <c r="W486" i="38"/>
  <c r="P486" i="38" s="1" a="1"/>
  <c r="P486" i="38" s="1"/>
  <c r="W516" i="38"/>
  <c r="P516" i="38" s="1" a="1"/>
  <c r="P516" i="38" s="1"/>
  <c r="P4" i="38"/>
  <c r="AY250" i="10"/>
  <c r="BB250" i="10" s="1"/>
  <c r="Q1401" i="10"/>
  <c r="Q1344" i="10"/>
  <c r="Q1328" i="10"/>
  <c r="O1261" i="10"/>
  <c r="P1291" i="10"/>
  <c r="O1291" i="10"/>
  <c r="P1261" i="10"/>
  <c r="Q1262" i="10"/>
  <c r="O1218" i="10"/>
  <c r="Q1312" i="10"/>
  <c r="Q1311" i="10"/>
  <c r="Q1310" i="10"/>
  <c r="Q1309" i="10"/>
  <c r="Q1308" i="10"/>
  <c r="Q1307" i="10"/>
  <c r="Q1306" i="10"/>
  <c r="Q1304" i="10"/>
  <c r="Q1303" i="10"/>
  <c r="Q1302" i="10"/>
  <c r="Q1301" i="10"/>
  <c r="Q1300" i="10"/>
  <c r="Q1299" i="10"/>
  <c r="Q1298" i="10"/>
  <c r="Q1296" i="10"/>
  <c r="Q1295" i="10"/>
  <c r="Q1294" i="10"/>
  <c r="Q1293" i="10"/>
  <c r="Q1292" i="10"/>
  <c r="Q1290" i="10"/>
  <c r="Q1289" i="10"/>
  <c r="Q1288" i="10"/>
  <c r="Q1287" i="10"/>
  <c r="Q1286" i="10"/>
  <c r="Q1285" i="10"/>
  <c r="Q1284" i="10"/>
  <c r="Q1282" i="10"/>
  <c r="Q1281" i="10"/>
  <c r="Q1280" i="10"/>
  <c r="Q1279" i="10"/>
  <c r="Q1278" i="10"/>
  <c r="Q1277" i="10"/>
  <c r="Q1276" i="10"/>
  <c r="Q1274" i="10"/>
  <c r="Q1273" i="10"/>
  <c r="Q1272" i="10"/>
  <c r="Q1271" i="10"/>
  <c r="Q1270" i="10"/>
  <c r="Q1269" i="10"/>
  <c r="Q1268" i="10"/>
  <c r="Q1266" i="10"/>
  <c r="Q1265" i="10"/>
  <c r="Q1264" i="10"/>
  <c r="Q1263" i="10"/>
  <c r="Q1255" i="10"/>
  <c r="Q1256" i="10"/>
  <c r="Q1257" i="10"/>
  <c r="Q1258" i="10"/>
  <c r="Q1259" i="10"/>
  <c r="Q1260" i="10"/>
  <c r="Q1254" i="10"/>
  <c r="Q1231" i="10"/>
  <c r="Q1230" i="10"/>
  <c r="O1226" i="10"/>
  <c r="P1226" i="10"/>
  <c r="O1243" i="10"/>
  <c r="Q1189" i="10"/>
  <c r="Q1190" i="10"/>
  <c r="Q1191" i="10"/>
  <c r="Q1238" i="10"/>
  <c r="Q1237" i="10"/>
  <c r="Q1236" i="10"/>
  <c r="Q1235" i="10"/>
  <c r="Q1233" i="10"/>
  <c r="Q1232" i="10"/>
  <c r="Q1196" i="10"/>
  <c r="Q1195" i="10"/>
  <c r="Q1179" i="10"/>
  <c r="Q1178" i="10"/>
  <c r="Q1174" i="10"/>
  <c r="Q1173" i="10"/>
  <c r="Q1172" i="10"/>
  <c r="Q1112" i="10"/>
  <c r="Q1108" i="10"/>
  <c r="Q1107" i="10"/>
  <c r="Q1106" i="10"/>
  <c r="P1243" i="10"/>
  <c r="P1242" i="10"/>
  <c r="O1242" i="10"/>
  <c r="O1241" i="10"/>
  <c r="E91" i="38" l="1" a="1"/>
  <c r="E91" i="38" s="1"/>
  <c r="E181" i="38" a="1"/>
  <c r="E181" i="38" s="1"/>
  <c r="Q4" i="36"/>
  <c r="W112" i="38" s="1"/>
  <c r="P112" i="38" s="1" a="1"/>
  <c r="P112" i="38" s="1"/>
  <c r="E391" i="38" a="1"/>
  <c r="E391" i="38" s="1"/>
  <c r="E61" i="38" a="1"/>
  <c r="E61" i="38" s="1"/>
  <c r="E481" i="38" a="1"/>
  <c r="E481" i="38" s="1"/>
  <c r="E541" i="38" a="1"/>
  <c r="E541" i="38" s="1"/>
  <c r="E601" i="38" a="1"/>
  <c r="E601" i="38" s="1"/>
  <c r="E661" i="38" a="1"/>
  <c r="E661" i="38" s="1"/>
  <c r="E631" i="38" a="1"/>
  <c r="E631" i="38" s="1"/>
  <c r="E571" i="38" a="1"/>
  <c r="E571" i="38" s="1"/>
  <c r="E511" i="38" a="1"/>
  <c r="E511" i="38" s="1"/>
  <c r="I9" i="35"/>
  <c r="I5" i="35"/>
  <c r="Q5" i="35" s="1"/>
  <c r="I11" i="35"/>
  <c r="I10" i="35"/>
  <c r="I4" i="35"/>
  <c r="Q4" i="35" s="1"/>
  <c r="I8" i="35"/>
  <c r="I6" i="35"/>
  <c r="I12" i="35"/>
  <c r="I3" i="35"/>
  <c r="I7" i="35"/>
  <c r="K8" i="35"/>
  <c r="K6" i="35"/>
  <c r="K5" i="35"/>
  <c r="S5" i="35" s="1"/>
  <c r="K7" i="35"/>
  <c r="K9" i="35"/>
  <c r="K4" i="35"/>
  <c r="S4" i="35" s="1"/>
  <c r="K12" i="35"/>
  <c r="K3" i="35"/>
  <c r="K10" i="35"/>
  <c r="K11" i="35"/>
  <c r="Q1224" i="10"/>
  <c r="Q1226" i="10"/>
  <c r="AY251" i="10"/>
  <c r="BB251" i="10" s="1"/>
  <c r="Q1291" i="10"/>
  <c r="Q1261" i="10"/>
  <c r="P1225" i="10"/>
  <c r="O1217" i="10"/>
  <c r="P14" i="1"/>
  <c r="W527" i="38" l="1"/>
  <c r="P527" i="38" s="1" a="1"/>
  <c r="P527" i="38" s="1"/>
  <c r="W557" i="38"/>
  <c r="P557" i="38" s="1" a="1"/>
  <c r="P557" i="38" s="1"/>
  <c r="W587" i="38"/>
  <c r="P587" i="38" s="1" a="1"/>
  <c r="P587" i="38" s="1"/>
  <c r="W407" i="38"/>
  <c r="P407" i="38" s="1" a="1"/>
  <c r="P407" i="38" s="1"/>
  <c r="W677" i="38"/>
  <c r="P677" i="38" s="1" a="1"/>
  <c r="P677" i="38" s="1"/>
  <c r="W617" i="38"/>
  <c r="P617" i="38" s="1" a="1"/>
  <c r="P617" i="38" s="1"/>
  <c r="E3" i="19" a="1"/>
  <c r="E3" i="19" s="1"/>
  <c r="E2" i="19"/>
  <c r="W197" i="38"/>
  <c r="P197" i="38" s="1" a="1"/>
  <c r="P197" i="38" s="1"/>
  <c r="W497" i="38"/>
  <c r="P497" i="38" s="1" a="1"/>
  <c r="P497" i="38" s="1"/>
  <c r="W77" i="38"/>
  <c r="P77" i="38" s="1" a="1"/>
  <c r="P77" i="38" s="1"/>
  <c r="W647" i="38"/>
  <c r="P647" i="38" s="1" a="1"/>
  <c r="P647" i="38" s="1"/>
  <c r="S3" i="35"/>
  <c r="S15" i="35" s="1"/>
  <c r="K15" i="35"/>
  <c r="Q3" i="35"/>
  <c r="Q15" i="35" s="1"/>
  <c r="I15" i="35"/>
  <c r="O1221" i="10" a="1"/>
  <c r="O1221" i="10" s="1"/>
  <c r="AY252" i="10"/>
  <c r="BB252" i="10" s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7" i="1"/>
  <c r="P6" i="1"/>
  <c r="P7" i="1"/>
  <c r="P8" i="1"/>
  <c r="P9" i="1"/>
  <c r="P10" i="1"/>
  <c r="P11" i="1"/>
  <c r="P12" i="1"/>
  <c r="P13" i="1"/>
  <c r="P15" i="1"/>
  <c r="P16" i="1"/>
  <c r="P17" i="1"/>
  <c r="P18" i="1"/>
  <c r="P19" i="1"/>
  <c r="P20" i="1"/>
  <c r="P21" i="1"/>
  <c r="P22" i="1"/>
  <c r="P23" i="1"/>
  <c r="P24" i="1"/>
  <c r="P5" i="1"/>
  <c r="P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AY253" i="10" l="1"/>
  <c r="BB253" i="10" s="1"/>
  <c r="P3" i="1"/>
  <c r="P48" i="1"/>
  <c r="P47" i="1"/>
  <c r="P797" i="10"/>
  <c r="P694" i="10"/>
  <c r="P645" i="10"/>
  <c r="AY254" i="10" l="1"/>
  <c r="BB254" i="10" s="1"/>
  <c r="O1216" i="10"/>
  <c r="P1218" i="10"/>
  <c r="P1217" i="10"/>
  <c r="O1084" i="10"/>
  <c r="O1086" i="10"/>
  <c r="M1189" i="10"/>
  <c r="M1191" i="10" s="1"/>
  <c r="M1193" i="10" s="1"/>
  <c r="M1195" i="10" s="1"/>
  <c r="M1188" i="10"/>
  <c r="M1190" i="10" s="1"/>
  <c r="M1192" i="10" s="1"/>
  <c r="M1194" i="10" s="1"/>
  <c r="M1196" i="10" s="1"/>
  <c r="M1174" i="10"/>
  <c r="M1176" i="10" s="1"/>
  <c r="M1178" i="10" s="1"/>
  <c r="M1173" i="10"/>
  <c r="M1175" i="10" s="1"/>
  <c r="M1177" i="10" s="1"/>
  <c r="M1179" i="10" s="1"/>
  <c r="P1134" i="10"/>
  <c r="O1134" i="10" a="1"/>
  <c r="O1134" i="10" s="1"/>
  <c r="Q1132" i="10"/>
  <c r="O1126" i="10" a="1"/>
  <c r="O1126" i="10" s="1"/>
  <c r="P570" i="10"/>
  <c r="P569" i="10"/>
  <c r="O569" i="10"/>
  <c r="AY255" i="10" l="1"/>
  <c r="BB255" i="10" s="1"/>
  <c r="P1126" i="10"/>
  <c r="Q1124" i="10"/>
  <c r="AY256" i="10" l="1"/>
  <c r="BB256" i="10" s="1"/>
  <c r="P1151" i="10"/>
  <c r="O1128" i="10"/>
  <c r="Q1128" i="10" s="1"/>
  <c r="M1108" i="10"/>
  <c r="M1110" i="10" s="1"/>
  <c r="M1112" i="10" s="1"/>
  <c r="M1107" i="10"/>
  <c r="M1109" i="10" s="1"/>
  <c r="M1111" i="10" s="1"/>
  <c r="M1113" i="10" s="1"/>
  <c r="M1089" i="10"/>
  <c r="M1091" i="10" s="1"/>
  <c r="M1093" i="10" s="1"/>
  <c r="M1095" i="10" s="1"/>
  <c r="M1088" i="10"/>
  <c r="M1090" i="10" s="1"/>
  <c r="M1092" i="10" s="1"/>
  <c r="M1094" i="10" s="1"/>
  <c r="M1096" i="10" s="1"/>
  <c r="O1082" i="10"/>
  <c r="AY257" i="10" l="1"/>
  <c r="BB257" i="10" s="1"/>
  <c r="P1084" i="10"/>
  <c r="P1085" i="10"/>
  <c r="P1086" i="10"/>
  <c r="O1080" i="10"/>
  <c r="P1080" i="10"/>
  <c r="M1074" i="10"/>
  <c r="M1076" i="10" s="1"/>
  <c r="M1078" i="10" s="1"/>
  <c r="M1073" i="10"/>
  <c r="M1075" i="10" s="1"/>
  <c r="M1077" i="10" s="1"/>
  <c r="M1079" i="10" s="1"/>
  <c r="AY258" i="10" l="1"/>
  <c r="BB258" i="10" s="1"/>
  <c r="N2" i="10"/>
  <c r="D53" i="1"/>
  <c r="P78" i="10"/>
  <c r="P67" i="10"/>
  <c r="P66" i="10"/>
  <c r="P409" i="10"/>
  <c r="P408" i="10"/>
  <c r="P399" i="10"/>
  <c r="P398" i="10"/>
  <c r="P360" i="10"/>
  <c r="P359" i="10"/>
  <c r="P350" i="10"/>
  <c r="P349" i="10"/>
  <c r="P162" i="10"/>
  <c r="P161" i="10"/>
  <c r="P181" i="10"/>
  <c r="P180" i="10"/>
  <c r="P131" i="10"/>
  <c r="P130" i="10"/>
  <c r="P113" i="10"/>
  <c r="P112" i="10"/>
  <c r="Q58" i="10"/>
  <c r="AY259" i="10" l="1"/>
  <c r="BB259" i="10" s="1"/>
  <c r="P57" i="10"/>
  <c r="P56" i="10"/>
  <c r="P407" i="10"/>
  <c r="P397" i="10"/>
  <c r="P358" i="10"/>
  <c r="P348" i="10"/>
  <c r="P259" i="10"/>
  <c r="AY260" i="10" l="1"/>
  <c r="BB260" i="10" s="1"/>
  <c r="P249" i="10"/>
  <c r="P220" i="10"/>
  <c r="P205" i="10"/>
  <c r="P178" i="10"/>
  <c r="P160" i="10"/>
  <c r="P129" i="10"/>
  <c r="P111" i="10"/>
  <c r="AY261" i="10" l="1"/>
  <c r="BB261" i="10" s="1"/>
  <c r="P65" i="10"/>
  <c r="P55" i="10"/>
  <c r="P1051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AY262" i="10" l="1"/>
  <c r="BB262" i="10" s="1"/>
  <c r="P1069" i="10"/>
  <c r="AY263" i="10" l="1"/>
  <c r="BB263" i="10" s="1"/>
  <c r="P1045" i="10"/>
  <c r="P990" i="10"/>
  <c r="P998" i="10" s="1"/>
  <c r="Q987" i="10"/>
  <c r="P982" i="10"/>
  <c r="AY264" i="10" l="1"/>
  <c r="BB264" i="10" s="1"/>
  <c r="Q815" i="10"/>
  <c r="AY265" i="10" l="1"/>
  <c r="BB265" i="10" s="1"/>
  <c r="P509" i="10"/>
  <c r="P515" i="10"/>
  <c r="Q813" i="10"/>
  <c r="P805" i="10"/>
  <c r="Q767" i="10"/>
  <c r="Q765" i="10"/>
  <c r="P756" i="10"/>
  <c r="P691" i="10"/>
  <c r="P717" i="10"/>
  <c r="P668" i="10"/>
  <c r="P641" i="10"/>
  <c r="P640" i="10"/>
  <c r="P639" i="10"/>
  <c r="P619" i="10"/>
  <c r="P592" i="10"/>
  <c r="P591" i="10"/>
  <c r="P590" i="10"/>
  <c r="P543" i="10"/>
  <c r="P542" i="10"/>
  <c r="P541" i="10"/>
  <c r="AY266" i="10" l="1"/>
  <c r="BB266" i="10" s="1"/>
  <c r="Q1216" i="10"/>
  <c r="Q1241" i="10"/>
  <c r="Q1082" i="10"/>
  <c r="Q993" i="10"/>
  <c r="Q936" i="10"/>
  <c r="Q747" i="10"/>
  <c r="Q796" i="10"/>
  <c r="Q791" i="10"/>
  <c r="Q742" i="10"/>
  <c r="Q788" i="10"/>
  <c r="Q739" i="10"/>
  <c r="AY267" i="10" l="1"/>
  <c r="BB267" i="10" s="1"/>
  <c r="P502" i="10"/>
  <c r="P479" i="10"/>
  <c r="P465" i="10"/>
  <c r="P453" i="10"/>
  <c r="P438" i="10"/>
  <c r="P406" i="10"/>
  <c r="P405" i="10"/>
  <c r="P404" i="10"/>
  <c r="P396" i="10"/>
  <c r="P395" i="10"/>
  <c r="P394" i="10"/>
  <c r="P357" i="10"/>
  <c r="P356" i="10"/>
  <c r="P355" i="10"/>
  <c r="P389" i="10"/>
  <c r="AY268" i="10" l="1"/>
  <c r="BB268" i="10" s="1"/>
  <c r="P257" i="10"/>
  <c r="P247" i="10"/>
  <c r="P285" i="10"/>
  <c r="P236" i="10"/>
  <c r="P218" i="10"/>
  <c r="P203" i="10"/>
  <c r="P139" i="10"/>
  <c r="P188" i="10"/>
  <c r="AY269" i="10" l="1"/>
  <c r="BB269" i="10" s="1"/>
  <c r="P64" i="10"/>
  <c r="P63" i="10"/>
  <c r="P62" i="10"/>
  <c r="P61" i="10"/>
  <c r="AY270" i="10" l="1"/>
  <c r="BB270" i="10" s="1"/>
  <c r="P54" i="10"/>
  <c r="P53" i="10"/>
  <c r="P52" i="10"/>
  <c r="P51" i="10"/>
  <c r="AY271" i="10" l="1"/>
  <c r="BB271" i="10" s="1"/>
  <c r="AY272" i="10" l="1"/>
  <c r="BB272" i="10" s="1"/>
  <c r="Q1549" i="10"/>
  <c r="Q899" i="10"/>
  <c r="Q898" i="10"/>
  <c r="Q897" i="10"/>
  <c r="Q896" i="10"/>
  <c r="Q1175" i="10"/>
  <c r="Q1240" i="10"/>
  <c r="O1240" i="10" s="1"/>
  <c r="Q1215" i="10"/>
  <c r="Q1081" i="10"/>
  <c r="Q569" i="10"/>
  <c r="Q1047" i="10"/>
  <c r="H2" i="10"/>
  <c r="J2" i="10" s="1"/>
  <c r="D5" i="10"/>
  <c r="F5" i="10" s="1"/>
  <c r="D3" i="10"/>
  <c r="F3" i="10" s="1"/>
  <c r="D2" i="10"/>
  <c r="F2" i="10" s="1"/>
  <c r="D4" i="10"/>
  <c r="F4" i="10" s="1"/>
  <c r="D6" i="10"/>
  <c r="F6" i="10" s="1"/>
  <c r="Q1069" i="10"/>
  <c r="Q1050" i="10"/>
  <c r="Q1068" i="10"/>
  <c r="Q1064" i="10"/>
  <c r="Q1067" i="10"/>
  <c r="Q1063" i="10"/>
  <c r="Q1066" i="10"/>
  <c r="Q1065" i="10"/>
  <c r="Q1048" i="10"/>
  <c r="Q1042" i="10"/>
  <c r="Q1043" i="10"/>
  <c r="Q1040" i="10"/>
  <c r="Q1041" i="10"/>
  <c r="Q1039" i="10"/>
  <c r="Q1044" i="10"/>
  <c r="Q1045" i="10"/>
  <c r="Q906" i="10"/>
  <c r="Q994" i="10"/>
  <c r="Q984" i="10"/>
  <c r="Q982" i="10"/>
  <c r="Q937" i="10"/>
  <c r="Q940" i="10"/>
  <c r="Q939" i="10"/>
  <c r="Q935" i="10"/>
  <c r="Q934" i="10"/>
  <c r="Q933" i="10"/>
  <c r="Q903" i="10"/>
  <c r="Q902" i="10"/>
  <c r="Q916" i="10"/>
  <c r="Q907" i="10"/>
  <c r="Q905" i="10"/>
  <c r="Q917" i="10"/>
  <c r="Q888" i="10"/>
  <c r="Q887" i="10"/>
  <c r="Q894" i="10"/>
  <c r="Q285" i="10"/>
  <c r="Q895" i="10"/>
  <c r="Q511" i="10"/>
  <c r="Q504" i="10"/>
  <c r="Q513" i="10"/>
  <c r="Q839" i="10"/>
  <c r="Q506" i="10"/>
  <c r="Q515" i="10"/>
  <c r="Q508" i="10"/>
  <c r="Q509" i="10"/>
  <c r="Q787" i="10"/>
  <c r="Q806" i="10"/>
  <c r="Q805" i="10"/>
  <c r="Q789" i="10"/>
  <c r="Q786" i="10"/>
  <c r="Q790" i="10"/>
  <c r="Q793" i="10"/>
  <c r="Q792" i="10"/>
  <c r="Q757" i="10"/>
  <c r="Q743" i="10"/>
  <c r="Q738" i="10"/>
  <c r="Q756" i="10"/>
  <c r="Q744" i="10"/>
  <c r="Q737" i="10"/>
  <c r="Q740" i="10"/>
  <c r="Q741" i="10"/>
  <c r="Q543" i="10"/>
  <c r="Q641" i="10"/>
  <c r="Q592" i="10"/>
  <c r="Q63" i="10"/>
  <c r="Q53" i="10"/>
  <c r="Q689" i="10"/>
  <c r="Q688" i="10"/>
  <c r="Q493" i="10"/>
  <c r="Q468" i="10"/>
  <c r="Q457" i="10"/>
  <c r="Q445" i="10"/>
  <c r="Q293" i="10"/>
  <c r="Q244" i="10"/>
  <c r="O12" i="10"/>
  <c r="Q213" i="10"/>
  <c r="Q200" i="10"/>
  <c r="Q217" i="10"/>
  <c r="Q215" i="10"/>
  <c r="Q202" i="10"/>
  <c r="Q198" i="10"/>
  <c r="Q174" i="10"/>
  <c r="Q119" i="10"/>
  <c r="Q118" i="10"/>
  <c r="Q156" i="10"/>
  <c r="Q103" i="10"/>
  <c r="Q101" i="10"/>
  <c r="Q125" i="10"/>
  <c r="Q155" i="10"/>
  <c r="Q121" i="10"/>
  <c r="Q150" i="10"/>
  <c r="Q122" i="10"/>
  <c r="Q124" i="10"/>
  <c r="Q153" i="10"/>
  <c r="Q173" i="10"/>
  <c r="Q171" i="10"/>
  <c r="Q170" i="10"/>
  <c r="Q149" i="10"/>
  <c r="Q168" i="10"/>
  <c r="Q167" i="10"/>
  <c r="Q152" i="10"/>
  <c r="Q104" i="10"/>
  <c r="Q107" i="10"/>
  <c r="Q106" i="10"/>
  <c r="Q100" i="10"/>
  <c r="Q4" i="10"/>
  <c r="Q18" i="10"/>
  <c r="Q17" i="10"/>
  <c r="Q9" i="10"/>
  <c r="Q13" i="10"/>
  <c r="Q12" i="10"/>
  <c r="Q11" i="10"/>
  <c r="Q10" i="10"/>
  <c r="Q8" i="10"/>
  <c r="O598" i="10" l="1"/>
  <c r="Q598" i="10" s="1"/>
  <c r="O1690" i="10"/>
  <c r="Q1690" i="10" s="1"/>
  <c r="O1643" i="10"/>
  <c r="Q1643" i="10" s="1"/>
  <c r="O647" i="10"/>
  <c r="Q647" i="10" s="1"/>
  <c r="O550" i="10"/>
  <c r="Q550" i="10" s="1"/>
  <c r="O799" i="10"/>
  <c r="Q799" i="10" s="1"/>
  <c r="O750" i="10"/>
  <c r="Q750" i="10" s="1"/>
  <c r="O1032" i="10"/>
  <c r="Q1032" i="10" s="1"/>
  <c r="AY273" i="10"/>
  <c r="BB273" i="10" s="1"/>
  <c r="Q2293" i="10"/>
  <c r="Q1234" i="10"/>
  <c r="Q1113" i="10"/>
  <c r="Q1109" i="10"/>
  <c r="O131" i="10"/>
  <c r="Q131" i="10" s="1"/>
  <c r="O399" i="10"/>
  <c r="Q399" i="10" s="1"/>
  <c r="O162" i="10"/>
  <c r="Q162" i="10" s="1"/>
  <c r="O113" i="10"/>
  <c r="Q113" i="10" s="1"/>
  <c r="O181" i="10"/>
  <c r="Q181" i="10" s="1"/>
  <c r="O409" i="10"/>
  <c r="Q409" i="10" s="1"/>
  <c r="O67" i="10"/>
  <c r="Q67" i="10" s="1"/>
  <c r="O57" i="10"/>
  <c r="Q57" i="10" s="1"/>
  <c r="O350" i="10"/>
  <c r="Q350" i="10" s="1"/>
  <c r="O360" i="10"/>
  <c r="Q360" i="10" s="1"/>
  <c r="O1215" i="10"/>
  <c r="Q1122" i="10"/>
  <c r="Q1130" i="10"/>
  <c r="Q1126" i="10" a="1"/>
  <c r="Q1126" i="10" s="1"/>
  <c r="Q1134" i="10" a="1"/>
  <c r="Q1134" i="10" s="1"/>
  <c r="O1081" i="10"/>
  <c r="O1051" i="10"/>
  <c r="Q1051" i="10" s="1"/>
  <c r="AY274" i="10" l="1"/>
  <c r="BB274" i="10" s="1"/>
  <c r="Q692" i="10"/>
  <c r="Q690" i="10"/>
  <c r="Q669" i="10"/>
  <c r="Q718" i="10"/>
  <c r="Q717" i="10"/>
  <c r="Q668" i="10"/>
  <c r="Q619" i="10"/>
  <c r="Q570" i="10"/>
  <c r="Q571" i="10"/>
  <c r="Q620" i="10"/>
  <c r="Q501" i="10"/>
  <c r="Q502" i="10"/>
  <c r="Q496" i="10"/>
  <c r="Q495" i="10"/>
  <c r="Q498" i="10"/>
  <c r="Q488" i="10"/>
  <c r="Q489" i="10"/>
  <c r="Q487" i="10"/>
  <c r="Q486" i="10"/>
  <c r="Q485" i="10"/>
  <c r="Q484" i="10"/>
  <c r="Q483" i="10"/>
  <c r="Q482" i="10"/>
  <c r="Q473" i="10"/>
  <c r="Q459" i="10"/>
  <c r="Q471" i="10"/>
  <c r="Q479" i="10"/>
  <c r="Q460" i="10"/>
  <c r="Q469" i="10"/>
  <c r="Q465" i="10"/>
  <c r="Q456" i="10"/>
  <c r="Q472" i="10"/>
  <c r="Q458" i="10"/>
  <c r="Q446" i="10"/>
  <c r="Q444" i="10"/>
  <c r="Q453" i="10"/>
  <c r="Q447" i="10"/>
  <c r="Q438" i="10"/>
  <c r="Q395" i="10"/>
  <c r="Q448" i="10"/>
  <c r="Q405" i="10"/>
  <c r="Q356" i="10"/>
  <c r="Q884" i="10"/>
  <c r="Q389" i="10"/>
  <c r="Q297" i="10"/>
  <c r="Q296" i="10"/>
  <c r="Q204" i="10"/>
  <c r="Q214" i="10"/>
  <c r="Q216" i="10"/>
  <c r="Q201" i="10"/>
  <c r="Q219" i="10"/>
  <c r="Q199" i="10"/>
  <c r="Q139" i="10"/>
  <c r="Q140" i="10"/>
  <c r="Q236" i="10"/>
  <c r="Q189" i="10"/>
  <c r="Q188" i="10"/>
  <c r="Q154" i="10"/>
  <c r="Q102" i="10"/>
  <c r="Q79" i="10"/>
  <c r="Q105" i="10"/>
  <c r="Q169" i="10"/>
  <c r="Q159" i="10"/>
  <c r="Q151" i="10"/>
  <c r="Q172" i="10"/>
  <c r="Q128" i="10"/>
  <c r="Q123" i="10"/>
  <c r="Q120" i="10"/>
  <c r="Q177" i="10"/>
  <c r="Q110" i="10"/>
  <c r="Q16" i="10"/>
  <c r="Q15" i="10"/>
  <c r="Q14" i="10"/>
  <c r="Q22" i="10"/>
  <c r="Q21" i="10"/>
  <c r="Q23" i="10"/>
  <c r="O3" i="10"/>
  <c r="O8" i="10"/>
  <c r="AY275" i="10" l="1"/>
  <c r="BB275" i="10" s="1"/>
  <c r="Q949" i="10"/>
  <c r="Q946" i="10"/>
  <c r="O947" i="10"/>
  <c r="O915" i="10"/>
  <c r="Q914" i="10"/>
  <c r="Q835" i="10"/>
  <c r="Q639" i="10"/>
  <c r="Q541" i="10"/>
  <c r="Q590" i="10"/>
  <c r="Q470" i="10"/>
  <c r="Q477" i="10"/>
  <c r="Q478" i="10"/>
  <c r="Q464" i="10"/>
  <c r="Q474" i="10"/>
  <c r="Q476" i="10"/>
  <c r="Q461" i="10"/>
  <c r="Q463" i="10"/>
  <c r="Q462" i="10"/>
  <c r="Q450" i="10"/>
  <c r="Q452" i="10"/>
  <c r="Q451" i="10"/>
  <c r="Q449" i="10"/>
  <c r="Q394" i="10"/>
  <c r="Q355" i="10"/>
  <c r="Q404" i="10"/>
  <c r="Q51" i="10"/>
  <c r="Q61" i="10"/>
  <c r="AY276" i="10" l="1"/>
  <c r="BB276" i="10" s="1"/>
  <c r="Q441" i="10"/>
  <c r="Q392" i="10"/>
  <c r="Q442" i="10"/>
  <c r="Q393" i="10"/>
  <c r="Q193" i="10"/>
  <c r="Q240" i="10"/>
  <c r="Q289" i="10"/>
  <c r="Q239" i="10"/>
  <c r="Q144" i="10"/>
  <c r="Q194" i="10"/>
  <c r="Q145" i="10"/>
  <c r="Q288" i="10"/>
  <c r="Q986" i="10"/>
  <c r="AY277" i="10" l="1"/>
  <c r="BB277" i="10" s="1"/>
  <c r="Q256" i="10"/>
  <c r="AY278" i="10" l="1"/>
  <c r="BB278" i="10" s="1"/>
  <c r="Q1435" i="10"/>
  <c r="AY279" i="10" l="1"/>
  <c r="BB279" i="10" s="1"/>
  <c r="O1435" i="10"/>
  <c r="Q1482" i="10"/>
  <c r="Q1483" i="10"/>
  <c r="Q1484" i="10"/>
  <c r="Q1485" i="10"/>
  <c r="Q1486" i="10"/>
  <c r="Q1481" i="10"/>
  <c r="Q1096" i="10"/>
  <c r="Q1095" i="10"/>
  <c r="Q1091" i="10"/>
  <c r="Q1090" i="10"/>
  <c r="Q1092" i="10"/>
  <c r="Q1089" i="10"/>
  <c r="Q1075" i="10"/>
  <c r="Q1073" i="10"/>
  <c r="Q1072" i="10"/>
  <c r="Q1074" i="10"/>
  <c r="Q1079" i="10"/>
  <c r="Q1078" i="10"/>
  <c r="AY280" i="10" l="1"/>
  <c r="AY282" i="10"/>
  <c r="I30" i="1"/>
  <c r="B11" i="1"/>
  <c r="N2" i="1" s="1"/>
  <c r="AY283" i="10" l="1"/>
  <c r="BB282" i="10"/>
  <c r="AY281" i="10"/>
  <c r="BB281" i="10" s="1"/>
  <c r="BB280" i="10"/>
  <c r="BA12" i="10" a="1"/>
  <c r="BA12" i="10" s="1"/>
  <c r="BB12" i="10" s="1" a="1"/>
  <c r="BB12" i="10" s="1"/>
  <c r="BA11" i="10" a="1"/>
  <c r="BA11" i="10" s="1"/>
  <c r="BB11" i="10" s="1" a="1"/>
  <c r="BB11" i="10" s="1"/>
  <c r="BA9" i="10" a="1"/>
  <c r="BA9" i="10" s="1"/>
  <c r="BB9" i="10" s="1" a="1"/>
  <c r="BB9" i="10" s="1"/>
  <c r="BA13" i="10" a="1"/>
  <c r="BA13" i="10" s="1"/>
  <c r="BB13" i="10" s="1" a="1"/>
  <c r="BB13" i="10" s="1"/>
  <c r="BA15" i="10" a="1"/>
  <c r="BA15" i="10" s="1"/>
  <c r="BB15" i="10" s="1" a="1"/>
  <c r="BB15" i="10" s="1"/>
  <c r="BA17" i="10" a="1"/>
  <c r="BA17" i="10" s="1"/>
  <c r="BB17" i="10" s="1" a="1"/>
  <c r="BB17" i="10" s="1"/>
  <c r="BA18" i="10" a="1"/>
  <c r="BA18" i="10" s="1"/>
  <c r="BB18" i="10" s="1" a="1"/>
  <c r="BB18" i="10" s="1"/>
  <c r="BA20" i="10" a="1"/>
  <c r="BA20" i="10" s="1"/>
  <c r="BB20" i="10" s="1" a="1"/>
  <c r="BB20" i="10" s="1"/>
  <c r="BA25" i="10" a="1"/>
  <c r="BA25" i="10" s="1"/>
  <c r="BB25" i="10" s="1" a="1"/>
  <c r="BB25" i="10" s="1"/>
  <c r="BA29" i="10" a="1"/>
  <c r="BA29" i="10" s="1"/>
  <c r="BB29" i="10" s="1" a="1"/>
  <c r="BB29" i="10" s="1"/>
  <c r="BA41" i="10" a="1"/>
  <c r="BA41" i="10" s="1"/>
  <c r="BA42" i="10" a="1"/>
  <c r="BA42" i="10" s="1"/>
  <c r="BA43" i="10" a="1"/>
  <c r="BA43" i="10" s="1"/>
  <c r="BB4" i="10" a="1"/>
  <c r="BB4" i="10" s="1"/>
  <c r="BA6" i="10" a="1"/>
  <c r="BA6" i="10" s="1"/>
  <c r="BB6" i="10" s="1" a="1"/>
  <c r="BB6" i="10" s="1"/>
  <c r="BA7" i="10" a="1"/>
  <c r="BA7" i="10" s="1"/>
  <c r="BB7" i="10" s="1" a="1"/>
  <c r="BB7" i="10" s="1"/>
  <c r="BA5" i="10" a="1"/>
  <c r="BA5" i="10" s="1"/>
  <c r="N25" i="1"/>
  <c r="AY284" i="10" l="1"/>
  <c r="BB283" i="10"/>
  <c r="BB5" i="10" a="1"/>
  <c r="BB5" i="10" s="1"/>
  <c r="BA8" i="10" a="1"/>
  <c r="BA8" i="10" s="1"/>
  <c r="BB8" i="10" s="1" a="1"/>
  <c r="BB8" i="10" s="1"/>
  <c r="AY285" i="10" l="1"/>
  <c r="BB284" i="10"/>
  <c r="Q1433" i="10"/>
  <c r="O1433" i="10" s="1"/>
  <c r="Q1434" i="10"/>
  <c r="O1434" i="10" s="1"/>
  <c r="BA16" i="10" a="1"/>
  <c r="BA16" i="10" s="1"/>
  <c r="BB16" i="10" s="1" a="1"/>
  <c r="BB16" i="10" s="1"/>
  <c r="Q1425" i="10"/>
  <c r="Q497" i="10"/>
  <c r="Q494" i="10"/>
  <c r="Q497" i="1"/>
  <c r="Q494" i="1"/>
  <c r="U51" i="10" l="1"/>
  <c r="Q2311" i="10"/>
  <c r="U2311" i="10" s="1"/>
  <c r="U1732" i="10"/>
  <c r="U1756" i="10"/>
  <c r="U1757" i="10"/>
  <c r="U1750" i="10"/>
  <c r="U1754" i="10"/>
  <c r="U1733" i="10"/>
  <c r="U1751" i="10"/>
  <c r="U1755" i="10"/>
  <c r="Q1744" i="10"/>
  <c r="U1744" i="10" s="1"/>
  <c r="Q1745" i="10"/>
  <c r="U1745" i="10" s="1"/>
  <c r="U1749" i="10"/>
  <c r="U1753" i="10"/>
  <c r="U1402" i="10"/>
  <c r="U1403" i="10"/>
  <c r="U1404" i="10"/>
  <c r="U1405" i="10"/>
  <c r="U1406" i="10"/>
  <c r="U1407" i="10"/>
  <c r="U1408" i="10"/>
  <c r="U1409" i="10"/>
  <c r="U1410" i="10"/>
  <c r="U1411" i="10"/>
  <c r="U1400" i="10"/>
  <c r="U1399" i="10"/>
  <c r="U1401" i="10"/>
  <c r="U2322" i="10"/>
  <c r="U2329" i="10"/>
  <c r="U2306" i="10"/>
  <c r="U2287" i="10"/>
  <c r="U2323" i="10"/>
  <c r="U2299" i="10"/>
  <c r="U2305" i="10"/>
  <c r="U2279" i="10"/>
  <c r="U2324" i="10"/>
  <c r="U2325" i="10"/>
  <c r="U2296" i="10"/>
  <c r="U2304" i="10"/>
  <c r="U2288" i="10"/>
  <c r="U2326" i="10"/>
  <c r="U2297" i="10"/>
  <c r="U2298" i="10"/>
  <c r="U2302" i="10"/>
  <c r="U2277" i="10"/>
  <c r="U2300" i="10"/>
  <c r="U2286" i="10"/>
  <c r="U2330" i="10"/>
  <c r="U2301" i="10"/>
  <c r="U2290" i="10"/>
  <c r="U2332" i="10"/>
  <c r="U2303" i="10"/>
  <c r="U2333" i="10"/>
  <c r="U2334" i="10"/>
  <c r="U2335" i="10"/>
  <c r="U2336" i="10"/>
  <c r="U2276" i="10"/>
  <c r="U2278" i="10"/>
  <c r="U2291" i="10"/>
  <c r="U2280" i="10"/>
  <c r="U2283" i="10"/>
  <c r="U2285" i="10"/>
  <c r="U2281" i="10"/>
  <c r="U2282" i="10"/>
  <c r="U2284" i="10"/>
  <c r="U2289" i="10"/>
  <c r="U2313" i="10"/>
  <c r="U2314" i="10"/>
  <c r="U2315" i="10"/>
  <c r="U2316" i="10"/>
  <c r="U2317" i="10"/>
  <c r="U2318" i="10"/>
  <c r="U2319" i="10"/>
  <c r="U2320" i="10"/>
  <c r="U2321" i="10"/>
  <c r="U2310" i="10"/>
  <c r="U2312" i="10"/>
  <c r="U2293" i="10"/>
  <c r="U2331" i="10"/>
  <c r="U2328" i="10"/>
  <c r="U2294" i="10"/>
  <c r="U2295" i="10"/>
  <c r="U2292" i="10"/>
  <c r="Q1550" i="10" a="1"/>
  <c r="Q1550" i="10" s="1"/>
  <c r="U1550" i="10" s="1"/>
  <c r="Q2275" i="10"/>
  <c r="U2275" i="10" s="1"/>
  <c r="Q2274" i="10"/>
  <c r="U2274" i="10" s="1"/>
  <c r="Q2273" i="10"/>
  <c r="U2273" i="10" s="1"/>
  <c r="Q2242" i="10"/>
  <c r="U2242" i="10" s="1"/>
  <c r="Q2241" i="10"/>
  <c r="U2241" i="10" s="1"/>
  <c r="Q2240" i="10"/>
  <c r="U2240" i="10" s="1"/>
  <c r="Q2203" i="10"/>
  <c r="U2203" i="10" s="1"/>
  <c r="Q2202" i="10"/>
  <c r="U2202" i="10" s="1"/>
  <c r="Q2237" i="10"/>
  <c r="U2237" i="10" s="1"/>
  <c r="Q2236" i="10"/>
  <c r="U2236" i="10" s="1"/>
  <c r="Q2235" i="10"/>
  <c r="U2235" i="10" s="1"/>
  <c r="Q2220" i="10"/>
  <c r="U2220" i="10" s="1"/>
  <c r="Q2221" i="10"/>
  <c r="U2221" i="10" s="1"/>
  <c r="Q344" i="10"/>
  <c r="Q347" i="10"/>
  <c r="U2042" i="10"/>
  <c r="Q54" i="10"/>
  <c r="Q64" i="10"/>
  <c r="U64" i="10" s="1"/>
  <c r="U2055" i="10"/>
  <c r="U2037" i="10"/>
  <c r="U1592" i="10"/>
  <c r="U1880" i="10"/>
  <c r="Q1581" i="10"/>
  <c r="U1581" i="10" s="1"/>
  <c r="Q1598" i="10"/>
  <c r="U1598" i="10" s="1"/>
  <c r="Q1176" i="10"/>
  <c r="U1176" i="10" s="1"/>
  <c r="Q1193" i="10"/>
  <c r="U1193" i="10" s="1"/>
  <c r="Q1110" i="10"/>
  <c r="U1110" i="10" s="1"/>
  <c r="Q1093" i="10"/>
  <c r="U1093" i="10" s="1"/>
  <c r="Q1076" i="10"/>
  <c r="U1076" i="10" s="1"/>
  <c r="Q1118" i="10"/>
  <c r="U1118" i="10" s="1"/>
  <c r="Q1101" i="10"/>
  <c r="U1101" i="10" s="1"/>
  <c r="Q1084" i="10"/>
  <c r="U1084" i="10" s="1"/>
  <c r="Q1599" i="10"/>
  <c r="U1599" i="10" s="1"/>
  <c r="Q1582" i="10"/>
  <c r="U1582" i="10" s="1"/>
  <c r="Q1177" i="10"/>
  <c r="U1177" i="10" s="1"/>
  <c r="Q1194" i="10"/>
  <c r="Q1111" i="10"/>
  <c r="U1111" i="10" s="1"/>
  <c r="Q1077" i="10"/>
  <c r="U1077" i="10" s="1"/>
  <c r="Q1094" i="10"/>
  <c r="U1094" i="10" s="1"/>
  <c r="U1839" i="10"/>
  <c r="U1835" i="10"/>
  <c r="Q891" i="10"/>
  <c r="U891" i="10" s="1"/>
  <c r="Q889" i="10"/>
  <c r="U889" i="10" s="1"/>
  <c r="Q890" i="10"/>
  <c r="U890" i="10" s="1"/>
  <c r="U1221" i="10"/>
  <c r="U1222" i="10"/>
  <c r="Q1205" i="10"/>
  <c r="U1205" i="10" s="1"/>
  <c r="U996" i="10"/>
  <c r="U997" i="10"/>
  <c r="U998" i="10"/>
  <c r="U1000" i="10"/>
  <c r="U995" i="10"/>
  <c r="Q991" i="10"/>
  <c r="U991" i="10" s="1"/>
  <c r="U1002" i="10"/>
  <c r="U1003" i="10"/>
  <c r="U1006" i="10"/>
  <c r="U1004" i="10"/>
  <c r="AY286" i="10"/>
  <c r="BB285" i="10"/>
  <c r="Q999" i="10"/>
  <c r="U999" i="10" s="1"/>
  <c r="Q1001" i="10"/>
  <c r="U1001" i="10" s="1"/>
  <c r="Q1021" i="10"/>
  <c r="U1021" i="10" s="1"/>
  <c r="Q1005" i="10"/>
  <c r="U1005" i="10" s="1"/>
  <c r="Q1029" i="10"/>
  <c r="U1029" i="10" s="1"/>
  <c r="Q1017" i="10"/>
  <c r="U1017" i="10" s="1"/>
  <c r="Q1007" i="10"/>
  <c r="U1007" i="10" s="1"/>
  <c r="U5529" i="10"/>
  <c r="U1831" i="10"/>
  <c r="U5034" i="10"/>
  <c r="U5156" i="10"/>
  <c r="U4713" i="10"/>
  <c r="Q745" i="10"/>
  <c r="U4889" i="10"/>
  <c r="U657" i="10"/>
  <c r="U4599" i="10"/>
  <c r="U1937" i="10"/>
  <c r="U36" i="10"/>
  <c r="U4562" i="10"/>
  <c r="U4498" i="10"/>
  <c r="U4625" i="10"/>
  <c r="U3796" i="10"/>
  <c r="U2178" i="10"/>
  <c r="U1496" i="10"/>
  <c r="U1483" i="10"/>
  <c r="Q191" i="10"/>
  <c r="U191" i="10" s="1"/>
  <c r="Q629" i="10"/>
  <c r="U629" i="10" s="1"/>
  <c r="Q626" i="10"/>
  <c r="U626" i="10" s="1"/>
  <c r="Q681" i="10"/>
  <c r="U681" i="10" s="1"/>
  <c r="U1263" i="10"/>
  <c r="U309" i="10"/>
  <c r="U706" i="10"/>
  <c r="U365" i="10"/>
  <c r="U5521" i="10"/>
  <c r="U925" i="10"/>
  <c r="U520" i="10"/>
  <c r="U1495" i="10"/>
  <c r="U789" i="10"/>
  <c r="U1035" i="10"/>
  <c r="U4847" i="10"/>
  <c r="U3140" i="10"/>
  <c r="U4986" i="10"/>
  <c r="U2084" i="10"/>
  <c r="U5586" i="10"/>
  <c r="U5446" i="10"/>
  <c r="U5137" i="10"/>
  <c r="U5041" i="10"/>
  <c r="U4979" i="10"/>
  <c r="U2908" i="10"/>
  <c r="U4692" i="10"/>
  <c r="Q455" i="10"/>
  <c r="U455" i="10" s="1"/>
  <c r="U5012" i="10"/>
  <c r="U5193" i="10"/>
  <c r="U193" i="10"/>
  <c r="U2611" i="10"/>
  <c r="U208" i="10"/>
  <c r="U3820" i="10"/>
  <c r="U4910" i="10"/>
  <c r="U3856" i="10"/>
  <c r="U4370" i="10"/>
  <c r="U771" i="10"/>
  <c r="U3709" i="10"/>
  <c r="U1075" i="10"/>
  <c r="Q582" i="10"/>
  <c r="U582" i="10" s="1"/>
  <c r="U361" i="10"/>
  <c r="Q481" i="10"/>
  <c r="U481" i="10" s="1"/>
  <c r="Q176" i="10"/>
  <c r="U176" i="10" s="1"/>
  <c r="Q679" i="10"/>
  <c r="U679" i="10" s="1"/>
  <c r="U770" i="10"/>
  <c r="U744" i="10"/>
  <c r="U648" i="10"/>
  <c r="U3299" i="10"/>
  <c r="U386" i="10"/>
  <c r="U952" i="10"/>
  <c r="U562" i="10"/>
  <c r="U23" i="10"/>
  <c r="U806" i="10"/>
  <c r="U2551" i="10"/>
  <c r="U5325" i="10"/>
  <c r="U5347" i="10"/>
  <c r="U5363" i="10"/>
  <c r="U3313" i="10"/>
  <c r="U5531" i="10"/>
  <c r="U5476" i="10"/>
  <c r="U5131" i="10"/>
  <c r="U5292" i="10"/>
  <c r="U4008" i="10"/>
  <c r="U5378" i="10"/>
  <c r="U3741" i="10"/>
  <c r="U120" i="10"/>
  <c r="U392" i="10"/>
  <c r="Q837" i="10"/>
  <c r="U837" i="10" s="1"/>
  <c r="U114" i="10"/>
  <c r="U4754" i="10"/>
  <c r="U30" i="10"/>
  <c r="U449" i="10"/>
  <c r="U171" i="10"/>
  <c r="U5442" i="10"/>
  <c r="U4543" i="10"/>
  <c r="U5438" i="10"/>
  <c r="U5330" i="10"/>
  <c r="U563" i="10"/>
  <c r="U144" i="10"/>
  <c r="U162" i="10"/>
  <c r="U902" i="10"/>
  <c r="U31" i="10"/>
  <c r="U4017" i="10"/>
  <c r="U5040" i="10"/>
  <c r="U669" i="10"/>
  <c r="U5301" i="10"/>
  <c r="U5082" i="10"/>
  <c r="U1977" i="10"/>
  <c r="U3541" i="10"/>
  <c r="U350" i="10"/>
  <c r="U255" i="10"/>
  <c r="Q672" i="10"/>
  <c r="U672" i="10" s="1"/>
  <c r="Q286" i="10"/>
  <c r="U286" i="10" s="1"/>
  <c r="Q746" i="10"/>
  <c r="U746" i="10" s="1"/>
  <c r="U5491" i="10"/>
  <c r="U5460" i="10"/>
  <c r="U4616" i="10"/>
  <c r="U315" i="10"/>
  <c r="U882" i="10"/>
  <c r="U846" i="10"/>
  <c r="U979" i="10"/>
  <c r="U4579" i="10"/>
  <c r="U5398" i="10"/>
  <c r="U5174" i="10"/>
  <c r="U4456" i="10"/>
  <c r="U5409" i="10"/>
  <c r="U4094" i="10"/>
  <c r="U3873" i="10"/>
  <c r="U5224" i="10"/>
  <c r="U5395" i="10"/>
  <c r="U2184" i="10"/>
  <c r="U4007" i="10"/>
  <c r="U5179" i="10"/>
  <c r="U3936" i="10"/>
  <c r="U551" i="10"/>
  <c r="U3875" i="10"/>
  <c r="U340" i="10"/>
  <c r="U1053" i="10"/>
  <c r="U1331" i="10"/>
  <c r="Q812" i="10"/>
  <c r="U812" i="10" s="1"/>
  <c r="U413" i="10"/>
  <c r="U4461" i="10"/>
  <c r="U4894" i="10"/>
  <c r="U5434" i="10"/>
  <c r="U5031" i="10"/>
  <c r="U1095" i="10"/>
  <c r="Q238" i="10"/>
  <c r="U238" i="10" s="1"/>
  <c r="Q810" i="10"/>
  <c r="U810" i="10" s="1"/>
  <c r="Q766" i="10"/>
  <c r="U766" i="10" s="1"/>
  <c r="Q573" i="10"/>
  <c r="U573" i="10" s="1"/>
  <c r="O10" i="10"/>
  <c r="U924" i="10"/>
  <c r="U3252" i="10"/>
  <c r="U5481" i="10"/>
  <c r="U3591" i="10"/>
  <c r="U567" i="10"/>
  <c r="U4736" i="10"/>
  <c r="U298" i="10"/>
  <c r="U848" i="10"/>
  <c r="U5144" i="10"/>
  <c r="U5313" i="10"/>
  <c r="U5161" i="10"/>
  <c r="U4455" i="10"/>
  <c r="U4607" i="10"/>
  <c r="U4093" i="10"/>
  <c r="U5408" i="10"/>
  <c r="U5223" i="10"/>
  <c r="U5165" i="10"/>
  <c r="U4933" i="10"/>
  <c r="U3731" i="10"/>
  <c r="U4606" i="10"/>
  <c r="U5050" i="10"/>
  <c r="U3990" i="10"/>
  <c r="U3835" i="10"/>
  <c r="U1850" i="10"/>
  <c r="U5501" i="10"/>
  <c r="U661" i="10"/>
  <c r="U181" i="10"/>
  <c r="Q836" i="10"/>
  <c r="U836" i="10" s="1"/>
  <c r="Q146" i="10"/>
  <c r="U146" i="10" s="1"/>
  <c r="Q719" i="10"/>
  <c r="U719" i="10" s="1"/>
  <c r="U699" i="10"/>
  <c r="U3528" i="10"/>
  <c r="U3590" i="10"/>
  <c r="U733" i="10"/>
  <c r="U431" i="10"/>
  <c r="U489" i="10"/>
  <c r="U419" i="10"/>
  <c r="U140" i="10"/>
  <c r="U4120" i="10"/>
  <c r="U5307" i="10"/>
  <c r="U3701" i="10"/>
  <c r="U4358" i="10"/>
  <c r="U3537" i="10"/>
  <c r="U4092" i="10"/>
  <c r="U4384" i="10"/>
  <c r="U5126" i="10"/>
  <c r="U5549" i="10"/>
  <c r="U5310" i="10"/>
  <c r="U4932" i="10"/>
  <c r="U5464" i="10"/>
  <c r="U4826" i="10"/>
  <c r="Q807" i="10"/>
  <c r="U807" i="10" s="1"/>
  <c r="F7" i="10"/>
  <c r="U3605" i="10"/>
  <c r="U5248" i="10"/>
  <c r="U320" i="10"/>
  <c r="U1360" i="10"/>
  <c r="U3816" i="10"/>
  <c r="Q761" i="10"/>
  <c r="U761" i="10" s="1"/>
  <c r="Q143" i="10"/>
  <c r="U143" i="10" s="1"/>
  <c r="Q147" i="10"/>
  <c r="U147" i="10" s="1"/>
  <c r="U570" i="10"/>
  <c r="U822" i="10"/>
  <c r="U217" i="10"/>
  <c r="U636" i="10"/>
  <c r="U970" i="10"/>
  <c r="U958" i="10"/>
  <c r="U5257" i="10"/>
  <c r="U167" i="10"/>
  <c r="U5581" i="10"/>
  <c r="U5468" i="10"/>
  <c r="U4286" i="10"/>
  <c r="U4357" i="10"/>
  <c r="U4158" i="10"/>
  <c r="U3573" i="10"/>
  <c r="U4479" i="10"/>
  <c r="U4507" i="10"/>
  <c r="U4136" i="10"/>
  <c r="U4862" i="10"/>
  <c r="U4963" i="10"/>
  <c r="U4440" i="10"/>
  <c r="U5368" i="10"/>
  <c r="U805" i="10"/>
  <c r="U2823" i="10"/>
  <c r="U5334" i="10"/>
  <c r="U2828" i="10"/>
  <c r="U1873" i="10"/>
  <c r="U801" i="10"/>
  <c r="Q439" i="10"/>
  <c r="U439" i="10" s="1"/>
  <c r="U131" i="10"/>
  <c r="Q80" i="10"/>
  <c r="U80" i="10" s="1"/>
  <c r="U313" i="10"/>
  <c r="U796" i="10"/>
  <c r="U539" i="10"/>
  <c r="U411" i="10"/>
  <c r="U264" i="10"/>
  <c r="U509" i="10"/>
  <c r="U4895" i="10"/>
  <c r="U4727" i="10"/>
  <c r="U4680" i="10"/>
  <c r="U3508" i="10"/>
  <c r="U2665" i="10"/>
  <c r="U4356" i="10"/>
  <c r="U4157" i="10"/>
  <c r="U3193" i="10"/>
  <c r="U4030" i="10"/>
  <c r="U3409" i="10"/>
  <c r="U4135" i="10"/>
  <c r="U5430" i="10"/>
  <c r="U3774" i="10"/>
  <c r="U4694" i="10"/>
  <c r="U4958" i="10"/>
  <c r="U1435" i="10"/>
  <c r="U4432" i="10"/>
  <c r="U4611" i="10"/>
  <c r="U389" i="10"/>
  <c r="U843" i="10"/>
  <c r="U841" i="10"/>
  <c r="U416" i="10"/>
  <c r="U442" i="10"/>
  <c r="U1293" i="10"/>
  <c r="O5" i="10"/>
  <c r="U1015" i="10"/>
  <c r="U603" i="10"/>
  <c r="U346" i="10"/>
  <c r="U282" i="10"/>
  <c r="U3509" i="10"/>
  <c r="U412" i="10"/>
  <c r="U183" i="10"/>
  <c r="U928" i="10"/>
  <c r="U4547" i="10"/>
  <c r="U3507" i="10"/>
  <c r="U2663" i="10"/>
  <c r="U2599" i="10"/>
  <c r="U4156" i="10"/>
  <c r="U2933" i="10"/>
  <c r="U4029" i="10"/>
  <c r="U4186" i="10"/>
  <c r="U4038" i="10"/>
  <c r="U5096" i="10"/>
  <c r="U4338" i="10"/>
  <c r="U5076" i="10"/>
  <c r="U5487" i="10"/>
  <c r="U409" i="10"/>
  <c r="U2523" i="10"/>
  <c r="U4499" i="10"/>
  <c r="U5176" i="10"/>
  <c r="U815" i="10"/>
  <c r="U363" i="10"/>
  <c r="U709" i="10"/>
  <c r="U288" i="10"/>
  <c r="Q237" i="10"/>
  <c r="U237" i="10" s="1"/>
  <c r="U566" i="10"/>
  <c r="U474" i="10"/>
  <c r="U823" i="10"/>
  <c r="U25" i="10"/>
  <c r="U88" i="10"/>
  <c r="U737" i="10"/>
  <c r="U423" i="10"/>
  <c r="U501" i="10"/>
  <c r="U4184" i="10"/>
  <c r="U3043" i="10"/>
  <c r="U2651" i="10"/>
  <c r="U4984" i="10"/>
  <c r="U3656" i="10"/>
  <c r="U1328" i="10"/>
  <c r="U4028" i="10"/>
  <c r="U4025" i="10"/>
  <c r="U3308" i="10"/>
  <c r="U5095" i="10"/>
  <c r="U4337" i="10"/>
  <c r="U4146" i="10"/>
  <c r="U5493" i="10"/>
  <c r="U5261" i="10"/>
  <c r="U5380" i="10"/>
  <c r="U4659" i="10"/>
  <c r="U4418" i="10"/>
  <c r="U604" i="10"/>
  <c r="U3881" i="10"/>
  <c r="Q84" i="10"/>
  <c r="U84" i="10" s="1"/>
  <c r="Q763" i="10"/>
  <c r="U763" i="10" s="1"/>
  <c r="Q769" i="10"/>
  <c r="U769" i="10" s="1"/>
  <c r="Q795" i="10"/>
  <c r="U795" i="10" s="1"/>
  <c r="U21" i="10"/>
  <c r="U185" i="10"/>
  <c r="U884" i="10"/>
  <c r="U214" i="10"/>
  <c r="U828" i="10"/>
  <c r="U343" i="10"/>
  <c r="U387" i="10"/>
  <c r="U915" i="10"/>
  <c r="U2496" i="10"/>
  <c r="U3867" i="10"/>
  <c r="U4506" i="10"/>
  <c r="U3960" i="10"/>
  <c r="U3152" i="10"/>
  <c r="U2052" i="10"/>
  <c r="U3209" i="10"/>
  <c r="U4728" i="10"/>
  <c r="U4122" i="10"/>
  <c r="U3974" i="10"/>
  <c r="U3643" i="10"/>
  <c r="U4078" i="10"/>
  <c r="U3085" i="10"/>
  <c r="U602" i="10"/>
  <c r="U4737" i="10"/>
  <c r="U3568" i="10"/>
  <c r="U5343" i="10"/>
  <c r="Q141" i="10"/>
  <c r="U141" i="10" s="1"/>
  <c r="U1096" i="10"/>
  <c r="U22" i="10"/>
  <c r="U697" i="10"/>
  <c r="Q357" i="10"/>
  <c r="U357" i="10" s="1"/>
  <c r="O14" i="10"/>
  <c r="U499" i="10"/>
  <c r="U887" i="10"/>
  <c r="U529" i="10"/>
  <c r="U772" i="10"/>
  <c r="Q241" i="10"/>
  <c r="U241" i="10" s="1"/>
  <c r="U500" i="10"/>
  <c r="U5412" i="10"/>
  <c r="U370" i="10"/>
  <c r="U3462" i="10"/>
  <c r="U4570" i="10"/>
  <c r="U4345" i="10"/>
  <c r="U3303" i="10"/>
  <c r="U2384" i="10"/>
  <c r="U527" i="10"/>
  <c r="U5483" i="10"/>
  <c r="U4183" i="10"/>
  <c r="U5177" i="10"/>
  <c r="U4996" i="10"/>
  <c r="U5068" i="10"/>
  <c r="U5147" i="10"/>
  <c r="U4709" i="10"/>
  <c r="U5025" i="10"/>
  <c r="U3163" i="10"/>
  <c r="U4244" i="10"/>
  <c r="U4751" i="10"/>
  <c r="U207" i="10"/>
  <c r="U366" i="10"/>
  <c r="Q727" i="10"/>
  <c r="U727" i="10" s="1"/>
  <c r="Q621" i="10"/>
  <c r="U621" i="10" s="1"/>
  <c r="Q628" i="10"/>
  <c r="U628" i="10" s="1"/>
  <c r="U849" i="10"/>
  <c r="U438" i="10"/>
  <c r="U333" i="10"/>
  <c r="U5459" i="10"/>
  <c r="U1023" i="10"/>
  <c r="U177" i="10"/>
  <c r="U3423" i="10"/>
  <c r="U462" i="10"/>
  <c r="U506" i="10"/>
  <c r="U4409" i="10"/>
  <c r="U3114" i="10"/>
  <c r="U4565" i="10"/>
  <c r="U2058" i="10"/>
  <c r="U908" i="10"/>
  <c r="U3129" i="10"/>
  <c r="U3958" i="10"/>
  <c r="U5049" i="10"/>
  <c r="U3529" i="10"/>
  <c r="U2675" i="10"/>
  <c r="U3880" i="10"/>
  <c r="U4739" i="10"/>
  <c r="U4952" i="10"/>
  <c r="U4316" i="10"/>
  <c r="U253" i="10"/>
  <c r="U17" i="10"/>
  <c r="U804" i="10"/>
  <c r="U3244" i="10"/>
  <c r="U441" i="10"/>
  <c r="U1323" i="10"/>
  <c r="U4679" i="10"/>
  <c r="U980" i="10"/>
  <c r="U900" i="10"/>
  <c r="U5479" i="10"/>
  <c r="Q510" i="10"/>
  <c r="U510" i="10" s="1"/>
  <c r="U4602" i="10"/>
  <c r="U4505" i="10"/>
  <c r="U969" i="10"/>
  <c r="U939" i="10"/>
  <c r="U5112" i="10"/>
  <c r="U1573" i="10"/>
  <c r="U4532" i="10"/>
  <c r="U2116" i="10"/>
  <c r="U650" i="10"/>
  <c r="U1009" i="10"/>
  <c r="U3612" i="10"/>
  <c r="U4055" i="10"/>
  <c r="U4903" i="10"/>
  <c r="U3501" i="10"/>
  <c r="U1042" i="10"/>
  <c r="U115" i="10"/>
  <c r="U521" i="10"/>
  <c r="U4269" i="10"/>
  <c r="U4177" i="10"/>
  <c r="U187" i="10"/>
  <c r="U221" i="10"/>
  <c r="U750" i="10"/>
  <c r="U67" i="10"/>
  <c r="Q503" i="10"/>
  <c r="U503" i="10" s="1"/>
  <c r="Q759" i="10"/>
  <c r="U759" i="10" s="1"/>
  <c r="U988" i="10"/>
  <c r="U2961" i="10"/>
  <c r="U1069" i="10"/>
  <c r="U553" i="10"/>
  <c r="U4567" i="10"/>
  <c r="U1376" i="10"/>
  <c r="U4243" i="10"/>
  <c r="U2759" i="10"/>
  <c r="U2691" i="10"/>
  <c r="U784" i="10"/>
  <c r="U4918" i="10"/>
  <c r="U3830" i="10"/>
  <c r="U5316" i="10"/>
  <c r="U4806" i="10"/>
  <c r="U2587" i="10"/>
  <c r="U3422" i="10"/>
  <c r="U168" i="10"/>
  <c r="U687" i="10"/>
  <c r="Q19" i="10"/>
  <c r="U19" i="10" s="1"/>
  <c r="Q584" i="10"/>
  <c r="U584" i="10" s="1"/>
  <c r="Q575" i="10"/>
  <c r="U575" i="10" s="1"/>
  <c r="U1686" i="10"/>
  <c r="U145" i="10"/>
  <c r="U961" i="10"/>
  <c r="U1486" i="10"/>
  <c r="U1485" i="10"/>
  <c r="U1115" i="10"/>
  <c r="U1079" i="10"/>
  <c r="Q108" i="10"/>
  <c r="U108" i="10" s="1"/>
  <c r="U223" i="10"/>
  <c r="Q243" i="10"/>
  <c r="U243" i="10" s="1"/>
  <c r="Q158" i="10"/>
  <c r="U158" i="10" s="1"/>
  <c r="U1020" i="10"/>
  <c r="U3245" i="10"/>
  <c r="U753" i="10"/>
  <c r="U4617" i="10"/>
  <c r="U3227" i="10"/>
  <c r="U637" i="10"/>
  <c r="U477" i="10"/>
  <c r="U5550" i="10"/>
  <c r="U486" i="10"/>
  <c r="U4342" i="10"/>
  <c r="U773" i="10"/>
  <c r="U5239" i="10"/>
  <c r="U324" i="10"/>
  <c r="U4295" i="10"/>
  <c r="U463" i="10"/>
  <c r="U367" i="10"/>
  <c r="U4245" i="10"/>
  <c r="U5236" i="10"/>
  <c r="U3734" i="10"/>
  <c r="U4835" i="10"/>
  <c r="U3444" i="10"/>
  <c r="U400" i="10"/>
  <c r="U3865" i="10"/>
  <c r="U3424" i="10"/>
  <c r="U5107" i="10"/>
  <c r="Q760" i="10"/>
  <c r="U760" i="10" s="1"/>
  <c r="U5497" i="10"/>
  <c r="U163" i="10"/>
  <c r="U1092" i="10"/>
  <c r="Q631" i="10"/>
  <c r="U631" i="10" s="1"/>
  <c r="Q693" i="10"/>
  <c r="U693" i="10" s="1"/>
  <c r="U68" i="10"/>
  <c r="U239" i="10"/>
  <c r="Q580" i="10"/>
  <c r="U580" i="10" s="1"/>
  <c r="U5422" i="10"/>
  <c r="U4976" i="10"/>
  <c r="U847" i="10"/>
  <c r="U3549" i="10"/>
  <c r="U898" i="10"/>
  <c r="U978" i="10"/>
  <c r="U380" i="10"/>
  <c r="U686" i="10"/>
  <c r="U703" i="10"/>
  <c r="U3782" i="10"/>
  <c r="U1058" i="10"/>
  <c r="Q1049" i="10"/>
  <c r="U1049" i="10" s="1"/>
  <c r="U4424" i="10"/>
  <c r="U1052" i="10"/>
  <c r="U2747" i="10"/>
  <c r="U844" i="10"/>
  <c r="U303" i="10"/>
  <c r="U3646" i="10"/>
  <c r="U4283" i="10"/>
  <c r="U3624" i="10"/>
  <c r="U3861" i="10"/>
  <c r="U2567" i="10"/>
  <c r="U4047" i="10"/>
  <c r="Q816" i="10"/>
  <c r="U816" i="10" s="1"/>
  <c r="U3015" i="10"/>
  <c r="U3451" i="10"/>
  <c r="U536" i="10"/>
  <c r="O7" i="10"/>
  <c r="U5519" i="10"/>
  <c r="U240" i="10"/>
  <c r="Q192" i="10"/>
  <c r="U192" i="10" s="1"/>
  <c r="Q678" i="10"/>
  <c r="U678" i="10" s="1"/>
  <c r="Q722" i="10"/>
  <c r="U722" i="10" s="1"/>
  <c r="Q724" i="10"/>
  <c r="U724" i="10" s="1"/>
  <c r="Q142" i="10"/>
  <c r="U142" i="10" s="1"/>
  <c r="Q195" i="10"/>
  <c r="U195" i="10" s="1"/>
  <c r="U371" i="10"/>
  <c r="U1484" i="10"/>
  <c r="U799" i="10"/>
  <c r="U399" i="10"/>
  <c r="Q406" i="10"/>
  <c r="U406" i="10" s="1"/>
  <c r="Q583" i="10"/>
  <c r="U583" i="10" s="1"/>
  <c r="U802" i="10"/>
  <c r="U951" i="10"/>
  <c r="U429" i="10"/>
  <c r="U4257" i="10"/>
  <c r="U377" i="10"/>
  <c r="U335" i="10"/>
  <c r="U123" i="10"/>
  <c r="U4831" i="10"/>
  <c r="U560" i="10"/>
  <c r="U3543" i="10"/>
  <c r="U5230" i="10"/>
  <c r="U5001" i="10"/>
  <c r="U3272" i="10"/>
  <c r="U4789" i="10"/>
  <c r="U5221" i="10"/>
  <c r="U5256" i="10"/>
  <c r="U490" i="10"/>
  <c r="U973" i="10"/>
  <c r="U4529" i="10"/>
  <c r="U3962" i="10"/>
  <c r="U5024" i="10"/>
  <c r="U3922" i="10"/>
  <c r="U5275" i="10"/>
  <c r="U3139" i="10"/>
  <c r="U307" i="10"/>
  <c r="U3488" i="10"/>
  <c r="U1696" i="10"/>
  <c r="U1089" i="10"/>
  <c r="Q680" i="10"/>
  <c r="U680" i="10" s="1"/>
  <c r="U1697" i="10"/>
  <c r="U595" i="10"/>
  <c r="U354" i="10"/>
  <c r="U57" i="10"/>
  <c r="Q492" i="10"/>
  <c r="U492" i="10" s="1"/>
  <c r="Q671" i="10"/>
  <c r="U671" i="10" s="1"/>
  <c r="Q197" i="10"/>
  <c r="U197" i="10" s="1"/>
  <c r="U448" i="10"/>
  <c r="U895" i="10"/>
  <c r="U267" i="10"/>
  <c r="U3309" i="10"/>
  <c r="U186" i="10"/>
  <c r="U1036" i="10"/>
  <c r="U888" i="10"/>
  <c r="U4473" i="10"/>
  <c r="U430" i="10"/>
  <c r="U4152" i="10"/>
  <c r="U5377" i="10"/>
  <c r="U5573" i="10"/>
  <c r="U3271" i="10"/>
  <c r="U4291" i="10"/>
  <c r="U5220" i="10"/>
  <c r="U4232" i="10"/>
  <c r="U652" i="10"/>
  <c r="U3824" i="10"/>
  <c r="U4504" i="10"/>
  <c r="U3393" i="10"/>
  <c r="U1884" i="10"/>
  <c r="U5092" i="10"/>
  <c r="U279" i="10"/>
  <c r="U4577" i="10"/>
  <c r="U107" i="10"/>
  <c r="U556" i="10"/>
  <c r="U2635" i="10"/>
  <c r="U5361" i="10"/>
  <c r="U1072" i="10"/>
  <c r="Q175" i="10"/>
  <c r="U175" i="10" s="1"/>
  <c r="Q248" i="10"/>
  <c r="U248" i="10" s="1"/>
  <c r="Q242" i="10"/>
  <c r="U242" i="10" s="1"/>
  <c r="Q758" i="10"/>
  <c r="U758" i="10" s="1"/>
  <c r="U5423" i="10"/>
  <c r="U1073" i="10"/>
  <c r="U1090" i="10"/>
  <c r="Q196" i="10"/>
  <c r="U196" i="10" s="1"/>
  <c r="Q585" i="10"/>
  <c r="U585" i="10" s="1"/>
  <c r="Q625" i="10"/>
  <c r="U625" i="10" s="1"/>
  <c r="Q20" i="10"/>
  <c r="U20" i="10" s="1"/>
  <c r="U447" i="10"/>
  <c r="U817" i="10"/>
  <c r="U4438" i="10"/>
  <c r="U4374" i="10"/>
  <c r="U599" i="10"/>
  <c r="U484" i="10"/>
  <c r="U1013" i="10"/>
  <c r="U4467" i="10"/>
  <c r="U44" i="10"/>
  <c r="U2464" i="10"/>
  <c r="U5284" i="10"/>
  <c r="U3257" i="10"/>
  <c r="U2928" i="10"/>
  <c r="U2715" i="10"/>
  <c r="U5251" i="10"/>
  <c r="U5255" i="10"/>
  <c r="U229" i="10"/>
  <c r="U426" i="10"/>
  <c r="U5086" i="10"/>
  <c r="U3728" i="10"/>
  <c r="U2940" i="10"/>
  <c r="U483" i="10"/>
  <c r="Q82" i="10"/>
  <c r="U82" i="10" s="1"/>
  <c r="Q992" i="10"/>
  <c r="U992" i="10" s="1"/>
  <c r="U328" i="10"/>
  <c r="U494" i="10"/>
  <c r="U497" i="10"/>
  <c r="U5171" i="10"/>
  <c r="U4448" i="10"/>
  <c r="U1482" i="10"/>
  <c r="U1481" i="10"/>
  <c r="U2697" i="10"/>
  <c r="U1078" i="10"/>
  <c r="Q157" i="10"/>
  <c r="U157" i="10" s="1"/>
  <c r="U262" i="10"/>
  <c r="Q295" i="10"/>
  <c r="U295" i="10" s="1"/>
  <c r="Q632" i="10"/>
  <c r="U632" i="10" s="1"/>
  <c r="U956" i="10"/>
  <c r="U427" i="10"/>
  <c r="U4399" i="10"/>
  <c r="U4717" i="10"/>
  <c r="U182" i="10"/>
  <c r="U537" i="10"/>
  <c r="U690" i="10"/>
  <c r="U875" i="10"/>
  <c r="U7" i="10"/>
  <c r="U3547" i="10"/>
  <c r="U4926" i="10"/>
  <c r="U4258" i="10"/>
  <c r="U2924" i="10"/>
  <c r="U4130" i="10"/>
  <c r="U5090" i="10"/>
  <c r="U5158" i="10"/>
  <c r="U5093" i="10"/>
  <c r="U1031" i="10"/>
  <c r="U5485" i="10"/>
  <c r="U4020" i="10"/>
  <c r="U711" i="10"/>
  <c r="U4743" i="10"/>
  <c r="U3545" i="10"/>
  <c r="U916" i="10"/>
  <c r="U179" i="10"/>
  <c r="U3557" i="10"/>
  <c r="U2629" i="10"/>
  <c r="Q467" i="10"/>
  <c r="U467" i="10" s="1"/>
  <c r="U5458" i="10"/>
  <c r="U547" i="10"/>
  <c r="U1698" i="10"/>
  <c r="U1091" i="10"/>
  <c r="Q675" i="10"/>
  <c r="U675" i="10" s="1"/>
  <c r="U4386" i="10"/>
  <c r="U1074" i="10"/>
  <c r="U1082" i="10"/>
  <c r="Q721" i="10"/>
  <c r="U721" i="10" s="1"/>
  <c r="U393" i="10"/>
  <c r="Q809" i="10"/>
  <c r="U809" i="10" s="1"/>
  <c r="U194" i="10"/>
  <c r="U731" i="10"/>
  <c r="U840" i="10"/>
  <c r="U4681" i="10"/>
  <c r="U94" i="10"/>
  <c r="U788" i="10"/>
  <c r="U1038" i="10"/>
  <c r="U715" i="10"/>
  <c r="U4954" i="10"/>
  <c r="U4612" i="10"/>
  <c r="U5358" i="10"/>
  <c r="U1915" i="10"/>
  <c r="U2921" i="10"/>
  <c r="U3969" i="10"/>
  <c r="U4279" i="10"/>
  <c r="U5157" i="10"/>
  <c r="U4069" i="10"/>
  <c r="U133" i="10"/>
  <c r="U5399" i="10"/>
  <c r="U4306" i="10"/>
  <c r="U1067" i="10"/>
  <c r="U5414" i="10"/>
  <c r="Q258" i="10"/>
  <c r="U258" i="10" s="1"/>
  <c r="Q287" i="10"/>
  <c r="U287" i="10" s="1"/>
  <c r="U224" i="10"/>
  <c r="U418" i="10"/>
  <c r="U5208" i="10"/>
  <c r="U3539" i="10"/>
  <c r="U3928" i="10"/>
  <c r="U5187" i="10"/>
  <c r="U5123" i="10"/>
  <c r="U5028" i="10"/>
  <c r="U5390" i="10"/>
  <c r="U5302" i="10"/>
  <c r="U1016" i="10"/>
  <c r="Q443" i="10"/>
  <c r="U443" i="10" s="1"/>
  <c r="Q677" i="10"/>
  <c r="U677" i="10" s="1"/>
  <c r="O13" i="10"/>
  <c r="Q728" i="10"/>
  <c r="U728" i="10" s="1"/>
  <c r="U24" i="10"/>
  <c r="U5403" i="10"/>
  <c r="U732" i="10"/>
  <c r="U538" i="10"/>
  <c r="U559" i="10"/>
  <c r="U1022" i="10"/>
  <c r="U316" i="10"/>
  <c r="U5411" i="10"/>
  <c r="U993" i="10"/>
  <c r="U3375" i="10"/>
  <c r="U3737" i="10"/>
  <c r="U3661" i="10"/>
  <c r="U4407" i="10"/>
  <c r="U4126" i="10"/>
  <c r="U3220" i="10"/>
  <c r="U4760" i="10"/>
  <c r="U4962" i="10"/>
  <c r="U4004" i="10"/>
  <c r="U5064" i="10"/>
  <c r="U4967" i="10"/>
  <c r="U4905" i="10"/>
  <c r="U5246" i="10"/>
  <c r="U1692" i="10"/>
  <c r="U345" i="10"/>
  <c r="U369" i="10"/>
  <c r="U124" i="10"/>
  <c r="U4767" i="10"/>
  <c r="U4054" i="10"/>
  <c r="U113" i="10"/>
  <c r="U598" i="10"/>
  <c r="U4647" i="10"/>
  <c r="U378" i="10"/>
  <c r="U278" i="10"/>
  <c r="U77" i="10"/>
  <c r="U476" i="10"/>
  <c r="U91" i="10"/>
  <c r="U4631" i="10"/>
  <c r="U873" i="10"/>
  <c r="U2907" i="10"/>
  <c r="U4318" i="10"/>
  <c r="U4253" i="10"/>
  <c r="U4182" i="10"/>
  <c r="U3215" i="10"/>
  <c r="U1467" i="10"/>
  <c r="U3730" i="10"/>
  <c r="U4801" i="10"/>
  <c r="U5059" i="10"/>
  <c r="U5063" i="10"/>
  <c r="U4869" i="10"/>
  <c r="U4630" i="10"/>
  <c r="U4480" i="10"/>
  <c r="U1261" i="10"/>
  <c r="Q391" i="10"/>
  <c r="U391" i="10" s="1"/>
  <c r="U5134" i="10"/>
  <c r="U480" i="10"/>
  <c r="U513" i="10"/>
  <c r="U3584" i="10"/>
  <c r="U4575" i="10"/>
  <c r="U256" i="10"/>
  <c r="Q630" i="10"/>
  <c r="U630" i="10" s="1"/>
  <c r="U58" i="10"/>
  <c r="O4" i="10"/>
  <c r="U643" i="10"/>
  <c r="U351" i="10"/>
  <c r="U360" i="10"/>
  <c r="U1278" i="10"/>
  <c r="Q81" i="10"/>
  <c r="U81" i="10" s="1"/>
  <c r="U1033" i="10"/>
  <c r="U3316" i="10"/>
  <c r="U342" i="10"/>
  <c r="U852" i="10"/>
  <c r="U11" i="10"/>
  <c r="U90" i="10"/>
  <c r="U511" i="10"/>
  <c r="U450" i="10"/>
  <c r="U966" i="10"/>
  <c r="U3806" i="10"/>
  <c r="U4317" i="10"/>
  <c r="U4784" i="10"/>
  <c r="U3443" i="10"/>
  <c r="U3117" i="10"/>
  <c r="U4626" i="10"/>
  <c r="U4215" i="10"/>
  <c r="U5312" i="10"/>
  <c r="U4898" i="10"/>
  <c r="U4921" i="10"/>
  <c r="U4868" i="10"/>
  <c r="U3567" i="10"/>
  <c r="Q581" i="10"/>
  <c r="U581" i="10" s="1"/>
  <c r="Q83" i="10"/>
  <c r="U83" i="10" s="1"/>
  <c r="U3310" i="10"/>
  <c r="U4663" i="10"/>
  <c r="U4615" i="10"/>
  <c r="U610" i="10"/>
  <c r="U310" i="10"/>
  <c r="U301" i="10"/>
  <c r="U3156" i="10"/>
  <c r="U379" i="10"/>
  <c r="U322" i="10"/>
  <c r="U26" i="10"/>
  <c r="U920" i="10"/>
  <c r="U311" i="10"/>
  <c r="U981" i="10"/>
  <c r="U519" i="10"/>
  <c r="U4863" i="10"/>
  <c r="U473" i="10"/>
  <c r="U92" i="10"/>
  <c r="U526" i="10"/>
  <c r="U76" i="10"/>
  <c r="U1062" i="10"/>
  <c r="U5545" i="10"/>
  <c r="U5507" i="10"/>
  <c r="U3603" i="10"/>
  <c r="U4648" i="10"/>
  <c r="U4482" i="10"/>
  <c r="U5072" i="10"/>
  <c r="U5509" i="10"/>
  <c r="U3240" i="10"/>
  <c r="U5366" i="10"/>
  <c r="U2887" i="10"/>
  <c r="U4661" i="10"/>
  <c r="U4284" i="10"/>
  <c r="U452" i="10"/>
  <c r="U4608" i="10"/>
  <c r="U2006" i="10"/>
  <c r="U3331" i="10"/>
  <c r="U4214" i="10"/>
  <c r="U4326" i="10"/>
  <c r="U4533" i="10"/>
  <c r="U4949" i="10"/>
  <c r="U5180" i="10"/>
  <c r="U485" i="10"/>
  <c r="U5504" i="10"/>
  <c r="U3947" i="10"/>
  <c r="U5117" i="10"/>
  <c r="U4197" i="10"/>
  <c r="U4372" i="10"/>
  <c r="U5338" i="10"/>
  <c r="U3372" i="10"/>
  <c r="U4134" i="10"/>
  <c r="U4341" i="10"/>
  <c r="U5237" i="10"/>
  <c r="U5145" i="10"/>
  <c r="U683" i="10"/>
  <c r="U4099" i="10"/>
  <c r="U4721" i="10"/>
  <c r="U5160" i="10"/>
  <c r="U4664" i="10"/>
  <c r="U201" i="10"/>
  <c r="U3874" i="10"/>
  <c r="U5450" i="10"/>
  <c r="U4072" i="10"/>
  <c r="U5011" i="10"/>
  <c r="U4425" i="10"/>
  <c r="U4023" i="10"/>
  <c r="U3909" i="10"/>
  <c r="U3544" i="10"/>
  <c r="U4758" i="10"/>
  <c r="U3845" i="10"/>
  <c r="U4827" i="10"/>
  <c r="U3649" i="10"/>
  <c r="U4804" i="10"/>
  <c r="U5013" i="10"/>
  <c r="U4082" i="10"/>
  <c r="U4031" i="10"/>
  <c r="U4297" i="10"/>
  <c r="U1996" i="10"/>
  <c r="Q673" i="10"/>
  <c r="U673" i="10" s="1"/>
  <c r="U344" i="10"/>
  <c r="U552" i="10"/>
  <c r="Q623" i="10"/>
  <c r="U623" i="10" s="1"/>
  <c r="U5008" i="10"/>
  <c r="U534" i="10"/>
  <c r="U4444" i="10"/>
  <c r="U861" i="10"/>
  <c r="U275" i="10"/>
  <c r="U456" i="10"/>
  <c r="U3717" i="10"/>
  <c r="U607" i="10"/>
  <c r="U1012" i="10"/>
  <c r="U605" i="10"/>
  <c r="U375" i="10"/>
  <c r="U1045" i="10"/>
  <c r="U436" i="10"/>
  <c r="U658" i="10"/>
  <c r="U5373" i="10"/>
  <c r="U3484" i="10"/>
  <c r="U829" i="10"/>
  <c r="U857" i="10"/>
  <c r="U135" i="10"/>
  <c r="U5587" i="10"/>
  <c r="U4382" i="10"/>
  <c r="U3311" i="10"/>
  <c r="U272" i="10"/>
  <c r="U3171" i="10"/>
  <c r="U4321" i="10"/>
  <c r="U3598" i="10"/>
  <c r="U4584" i="10"/>
  <c r="U4088" i="10"/>
  <c r="U5402" i="10"/>
  <c r="U2883" i="10"/>
  <c r="U5315" i="10"/>
  <c r="U3801" i="10"/>
  <c r="U1056" i="10"/>
  <c r="U4703" i="10"/>
  <c r="U3082" i="10"/>
  <c r="U3081" i="10"/>
  <c r="U3485" i="10"/>
  <c r="U4325" i="10"/>
  <c r="U4500" i="10"/>
  <c r="U5078" i="10"/>
  <c r="U4699" i="10"/>
  <c r="Q644" i="10"/>
  <c r="U644" i="10" s="1"/>
  <c r="U3373" i="10"/>
  <c r="U2965" i="10"/>
  <c r="U5116" i="10"/>
  <c r="U110" i="10"/>
  <c r="U4196" i="10"/>
  <c r="U4019" i="10"/>
  <c r="U5286" i="10"/>
  <c r="U5053" i="10"/>
  <c r="U2686" i="10"/>
  <c r="U4133" i="10"/>
  <c r="U4308" i="10"/>
  <c r="U4200" i="10"/>
  <c r="U3693" i="10"/>
  <c r="U265" i="10"/>
  <c r="U3938" i="10"/>
  <c r="U3984" i="10"/>
  <c r="U5159" i="10"/>
  <c r="U4119" i="10"/>
  <c r="U710" i="10"/>
  <c r="U3705" i="10"/>
  <c r="U3054" i="10"/>
  <c r="U4998" i="10"/>
  <c r="U4402" i="10"/>
  <c r="U5428" i="10"/>
  <c r="U4084" i="10"/>
  <c r="U3908" i="10"/>
  <c r="U2030" i="10"/>
  <c r="U4085" i="10"/>
  <c r="U4899" i="10"/>
  <c r="U5535" i="10"/>
  <c r="U3956" i="10"/>
  <c r="U4674" i="10"/>
  <c r="U5367" i="10"/>
  <c r="U3886" i="10"/>
  <c r="U3536" i="10"/>
  <c r="U3667" i="10"/>
  <c r="U374" i="10"/>
  <c r="U132" i="10"/>
  <c r="Q576" i="10"/>
  <c r="U576" i="10" s="1"/>
  <c r="O6" i="10"/>
  <c r="Q246" i="10"/>
  <c r="U246" i="10" s="1"/>
  <c r="U790" i="10"/>
  <c r="U435" i="10"/>
  <c r="U4655" i="10"/>
  <c r="U571" i="10"/>
  <c r="U783" i="10"/>
  <c r="U5499" i="10"/>
  <c r="U866" i="10"/>
  <c r="U540" i="10"/>
  <c r="U319" i="10"/>
  <c r="U219" i="10"/>
  <c r="U532" i="10"/>
  <c r="U786" i="10"/>
  <c r="U49" i="10"/>
  <c r="U974" i="10"/>
  <c r="U3464" i="10"/>
  <c r="U152" i="10"/>
  <c r="U702" i="10"/>
  <c r="U87" i="10"/>
  <c r="Q594" i="10"/>
  <c r="U594" i="10" s="1"/>
  <c r="U5538" i="10"/>
  <c r="U4414" i="10"/>
  <c r="U3686" i="10"/>
  <c r="U3645" i="10"/>
  <c r="Q942" i="10"/>
  <c r="U942" i="10" s="1"/>
  <c r="U3985" i="10"/>
  <c r="U4832" i="10"/>
  <c r="U3258" i="10"/>
  <c r="U4583" i="10"/>
  <c r="U3487" i="10"/>
  <c r="U5262" i="10"/>
  <c r="U4538" i="10"/>
  <c r="U4873" i="10"/>
  <c r="U3408" i="10"/>
  <c r="U5289" i="10"/>
  <c r="U4254" i="10"/>
  <c r="U1344" i="10"/>
  <c r="U3079" i="10"/>
  <c r="U3219" i="10"/>
  <c r="U4324" i="10"/>
  <c r="U4147" i="10"/>
  <c r="U3429" i="10"/>
  <c r="U4378" i="10"/>
  <c r="U5461" i="10"/>
  <c r="U3497" i="10"/>
  <c r="U2026" i="10"/>
  <c r="U4635" i="10"/>
  <c r="U811" i="10"/>
  <c r="U4227" i="10"/>
  <c r="U2825" i="10"/>
  <c r="U5540" i="10"/>
  <c r="U5052" i="10"/>
  <c r="U46" i="10"/>
  <c r="U4132" i="10"/>
  <c r="U3955" i="10"/>
  <c r="U4199" i="10"/>
  <c r="U4982" i="10"/>
  <c r="U774" i="10"/>
  <c r="U3773" i="10"/>
  <c r="U5005" i="10"/>
  <c r="U5062" i="10"/>
  <c r="U3894" i="10"/>
  <c r="U963" i="10"/>
  <c r="U4224" i="10"/>
  <c r="U3266" i="10"/>
  <c r="U4997" i="10"/>
  <c r="U5009" i="10"/>
  <c r="U4040" i="10"/>
  <c r="U3604" i="10"/>
  <c r="U3939" i="10"/>
  <c r="U2749" i="10"/>
  <c r="U3523" i="10"/>
  <c r="U4738" i="10"/>
  <c r="U3849" i="10"/>
  <c r="U5295" i="10"/>
  <c r="U4513" i="10"/>
  <c r="U5186" i="10"/>
  <c r="U1555" i="10"/>
  <c r="U3613" i="10"/>
  <c r="U3707" i="10"/>
  <c r="U5214" i="10"/>
  <c r="Q440" i="10"/>
  <c r="U440" i="10" s="1"/>
  <c r="U206" i="10"/>
  <c r="Q126" i="10"/>
  <c r="U126" i="10" s="1"/>
  <c r="U751" i="10"/>
  <c r="U1690" i="10"/>
  <c r="Q944" i="10"/>
  <c r="U944" i="10" s="1"/>
  <c r="U943" i="10"/>
  <c r="U4413" i="10"/>
  <c r="U153" i="10"/>
  <c r="U139" i="10"/>
  <c r="U4582" i="10"/>
  <c r="U352" i="10"/>
  <c r="U154" i="10"/>
  <c r="U508" i="10"/>
  <c r="U984" i="10"/>
  <c r="U209" i="10"/>
  <c r="U1025" i="10"/>
  <c r="U684" i="10"/>
  <c r="U330" i="10"/>
  <c r="U3532" i="10"/>
  <c r="U73" i="10"/>
  <c r="U383" i="10"/>
  <c r="U2" i="10"/>
  <c r="U5558" i="10"/>
  <c r="U3463" i="10"/>
  <c r="U5138" i="10"/>
  <c r="U927" i="10"/>
  <c r="U4450" i="10"/>
  <c r="U862" i="10"/>
  <c r="U1070" i="10"/>
  <c r="U4927" i="10"/>
  <c r="U1970" i="10"/>
  <c r="U4486" i="10"/>
  <c r="U3017" i="10"/>
  <c r="U5250" i="10"/>
  <c r="U4377" i="10"/>
  <c r="U5429" i="10"/>
  <c r="U3021" i="10"/>
  <c r="U5110" i="10"/>
  <c r="U13" i="10"/>
  <c r="U3075" i="10"/>
  <c r="U4786" i="10"/>
  <c r="U4355" i="10"/>
  <c r="U3347" i="10"/>
  <c r="U3195" i="10"/>
  <c r="U4217" i="10"/>
  <c r="U5413" i="10"/>
  <c r="U5149" i="10"/>
  <c r="U1471" i="10"/>
  <c r="U4314" i="10"/>
  <c r="U457" i="10"/>
  <c r="U4066" i="10"/>
  <c r="U4304" i="10"/>
  <c r="U5341" i="10"/>
  <c r="U4571" i="10"/>
  <c r="U747" i="10"/>
  <c r="U4163" i="10"/>
  <c r="U4881" i="10"/>
  <c r="U4102" i="10"/>
  <c r="U4309" i="10"/>
  <c r="U1027" i="10"/>
  <c r="U4288" i="10"/>
  <c r="U2137" i="10"/>
  <c r="U5061" i="10"/>
  <c r="U1499" i="10"/>
  <c r="U5383" i="10"/>
  <c r="U4319" i="10"/>
  <c r="U533" i="10"/>
  <c r="U3972" i="10"/>
  <c r="U4750" i="10"/>
  <c r="U4966" i="10"/>
  <c r="U4369" i="10"/>
  <c r="U4641" i="10"/>
  <c r="U5051" i="10"/>
  <c r="U4305" i="10"/>
  <c r="U3500" i="10"/>
  <c r="U4489" i="10"/>
  <c r="U4844" i="10"/>
  <c r="U4000" i="10"/>
  <c r="U4855" i="10"/>
  <c r="U1043" i="10"/>
  <c r="U4344" i="10"/>
  <c r="U3251" i="10"/>
  <c r="U1281" i="10"/>
  <c r="Q725" i="10"/>
  <c r="U725" i="10" s="1"/>
  <c r="Q574" i="10"/>
  <c r="U574" i="10" s="1"/>
  <c r="Q808" i="10"/>
  <c r="U808" i="10" s="1"/>
  <c r="Q475" i="10"/>
  <c r="U475" i="10" s="1"/>
  <c r="U986" i="10"/>
  <c r="Q938" i="10"/>
  <c r="U938" i="10" s="1"/>
  <c r="U589" i="10"/>
  <c r="U384" i="10"/>
  <c r="U855" i="10"/>
  <c r="U616" i="10"/>
  <c r="U4225" i="10"/>
  <c r="Q985" i="10"/>
  <c r="U985" i="10" s="1"/>
  <c r="U543" i="10"/>
  <c r="U283" i="10"/>
  <c r="U471" i="10"/>
  <c r="U15" i="10"/>
  <c r="U780" i="10"/>
  <c r="U554" i="10"/>
  <c r="U775" i="10"/>
  <c r="U3525" i="10"/>
  <c r="U128" i="10"/>
  <c r="U921" i="10"/>
  <c r="U434" i="10"/>
  <c r="U3503" i="10"/>
  <c r="U4446" i="10"/>
  <c r="U2661" i="10"/>
  <c r="U3889" i="10"/>
  <c r="Q948" i="10"/>
  <c r="U948" i="10" s="1"/>
  <c r="Q512" i="10"/>
  <c r="U512" i="10" s="1"/>
  <c r="U5462" i="10"/>
  <c r="U3903" i="10"/>
  <c r="U2699" i="10"/>
  <c r="U3380" i="10"/>
  <c r="U3648" i="10"/>
  <c r="U5470" i="10"/>
  <c r="U3149" i="10"/>
  <c r="U5384" i="10"/>
  <c r="U5048" i="10"/>
  <c r="U5277" i="10"/>
  <c r="U4252" i="10"/>
  <c r="U971" i="10"/>
  <c r="U4387" i="10"/>
  <c r="U3399" i="10"/>
  <c r="U3067" i="10"/>
  <c r="U3561" i="10"/>
  <c r="U5243" i="10"/>
  <c r="U5465" i="10"/>
  <c r="U5505" i="10"/>
  <c r="U4125" i="10"/>
  <c r="U5554" i="10"/>
  <c r="U2864" i="10"/>
  <c r="U136" i="10"/>
  <c r="U4929" i="10"/>
  <c r="U3599" i="10"/>
  <c r="U5532" i="10"/>
  <c r="U3493" i="10"/>
  <c r="U586" i="10"/>
  <c r="U5026" i="10"/>
  <c r="U1371" i="10"/>
  <c r="U5125" i="10"/>
  <c r="U2843" i="10"/>
  <c r="U54" i="10"/>
  <c r="U2695" i="10"/>
  <c r="U2804" i="10"/>
  <c r="U4037" i="10"/>
  <c r="U4180" i="10"/>
  <c r="U4795" i="10"/>
  <c r="U2892" i="10"/>
  <c r="U372" i="10"/>
  <c r="U5027" i="10"/>
  <c r="U5132" i="10"/>
  <c r="U3941" i="10"/>
  <c r="U3756" i="10"/>
  <c r="U3582" i="10"/>
  <c r="U5233" i="10"/>
  <c r="U4849" i="10"/>
  <c r="U5183" i="10"/>
  <c r="U5154" i="10"/>
  <c r="U2552" i="10"/>
  <c r="U5119" i="10"/>
  <c r="U4872" i="10"/>
  <c r="U850" i="10"/>
  <c r="U3797" i="10"/>
  <c r="U3904" i="10"/>
  <c r="U5036" i="10"/>
  <c r="U122" i="10"/>
  <c r="U86" i="10"/>
  <c r="U940" i="10"/>
  <c r="U682" i="10"/>
  <c r="U871" i="10"/>
  <c r="U451" i="10"/>
  <c r="U1938" i="10"/>
  <c r="U522" i="10"/>
  <c r="U568" i="10"/>
  <c r="U880" i="10"/>
  <c r="U3805" i="10"/>
  <c r="U3305" i="10"/>
  <c r="U4445" i="10"/>
  <c r="U281" i="10"/>
  <c r="U225" i="10"/>
  <c r="U285" i="10"/>
  <c r="U4073" i="10"/>
  <c r="U4478" i="10"/>
  <c r="U1249" i="10"/>
  <c r="U4485" i="10"/>
  <c r="U4660" i="10"/>
  <c r="U5427" i="10"/>
  <c r="U5080" i="10"/>
  <c r="U4520" i="10"/>
  <c r="U4024" i="10"/>
  <c r="U3713" i="10"/>
  <c r="U1723" i="10"/>
  <c r="U874" i="10"/>
  <c r="U3181" i="10"/>
  <c r="U3601" i="10"/>
  <c r="U4194" i="10"/>
  <c r="U4592" i="10"/>
  <c r="U5146" i="10"/>
  <c r="U4920" i="10"/>
  <c r="U4693" i="10"/>
  <c r="U5148" i="10"/>
  <c r="U5490" i="10"/>
  <c r="U4153" i="10"/>
  <c r="U934" i="10"/>
  <c r="U3905" i="10"/>
  <c r="U3278" i="10"/>
  <c r="U5559" i="10"/>
  <c r="U4250" i="10"/>
  <c r="U329" i="10"/>
  <c r="U4002" i="10"/>
  <c r="U4048" i="10"/>
  <c r="U4101" i="10"/>
  <c r="U4276" i="10"/>
  <c r="U5467" i="10"/>
  <c r="U4383" i="10"/>
  <c r="U3118" i="10"/>
  <c r="U5060" i="10"/>
  <c r="U5075" i="10"/>
  <c r="U5218" i="10"/>
  <c r="U3870" i="10"/>
  <c r="U929" i="10"/>
  <c r="U4003" i="10"/>
  <c r="U4810" i="10"/>
  <c r="U4964" i="10"/>
  <c r="U4718" i="10"/>
  <c r="U4128" i="10"/>
  <c r="U5306" i="10"/>
  <c r="U3519" i="10"/>
  <c r="U3700" i="10"/>
  <c r="U5242" i="10"/>
  <c r="U2701" i="10"/>
  <c r="U4670" i="10"/>
  <c r="U4871" i="10"/>
  <c r="U3527" i="10"/>
  <c r="U4573" i="10"/>
  <c r="U1523" i="10"/>
  <c r="U150" i="10"/>
  <c r="U95" i="10"/>
  <c r="U660" i="10"/>
  <c r="U714" i="10"/>
  <c r="U903" i="10"/>
  <c r="U515" i="10"/>
  <c r="U5495" i="10"/>
  <c r="U923" i="10"/>
  <c r="U317" i="10"/>
  <c r="U119" i="10"/>
  <c r="U590" i="10"/>
  <c r="U3363" i="10"/>
  <c r="U5170" i="10"/>
  <c r="U4381" i="10"/>
  <c r="U865" i="10"/>
  <c r="U60" i="10"/>
  <c r="U606" i="10"/>
  <c r="U5115" i="10"/>
  <c r="U3371" i="10"/>
  <c r="U975" i="10"/>
  <c r="U3379" i="10"/>
  <c r="U3441" i="10"/>
  <c r="U4552" i="10"/>
  <c r="U4056" i="10"/>
  <c r="U3427" i="10"/>
  <c r="U4503" i="10"/>
  <c r="U5317" i="10"/>
  <c r="U3767" i="10"/>
  <c r="U777" i="10"/>
  <c r="U4226" i="10"/>
  <c r="U4688" i="10"/>
  <c r="U5185" i="10"/>
  <c r="U3919" i="10"/>
  <c r="U4392" i="10"/>
  <c r="U3896" i="10"/>
  <c r="U5319" i="10"/>
  <c r="U4124" i="10"/>
  <c r="U5033" i="10"/>
  <c r="U5369" i="10"/>
  <c r="U421" i="10"/>
  <c r="U5440" i="10"/>
  <c r="U3750" i="10"/>
  <c r="U5393" i="10"/>
  <c r="U1659" i="10"/>
  <c r="U40" i="10"/>
  <c r="U4865" i="10"/>
  <c r="U5124" i="10"/>
  <c r="U5139" i="10"/>
  <c r="U5133" i="10"/>
  <c r="U3175" i="10"/>
  <c r="U3176" i="10"/>
  <c r="U4036" i="10"/>
  <c r="U3725" i="10"/>
  <c r="U3945" i="10"/>
  <c r="U4893" i="10"/>
  <c r="U913" i="10"/>
  <c r="U4866" i="10"/>
  <c r="U3608" i="10"/>
  <c r="U3940" i="10"/>
  <c r="U5100" i="10"/>
  <c r="U5247" i="10"/>
  <c r="U5000" i="10"/>
  <c r="U4558" i="10"/>
  <c r="U4733" i="10"/>
  <c r="U4936" i="10"/>
  <c r="U1122" i="10"/>
  <c r="U3619" i="10"/>
  <c r="U3847" i="10"/>
  <c r="U336" i="10"/>
  <c r="U4980" i="10"/>
  <c r="U4572" i="10"/>
  <c r="U1998" i="10"/>
  <c r="U756" i="10"/>
  <c r="U535" i="10"/>
  <c r="U946" i="10"/>
  <c r="U8" i="10"/>
  <c r="U835" i="10"/>
  <c r="U3977" i="10"/>
  <c r="U5309" i="10"/>
  <c r="U5143" i="10"/>
  <c r="U156" i="10"/>
  <c r="U821" i="10"/>
  <c r="U172" i="10"/>
  <c r="U2459" i="10"/>
  <c r="U2693" i="10"/>
  <c r="U514" i="10"/>
  <c r="Q893" i="10"/>
  <c r="U893" i="10" s="1"/>
  <c r="Q892" i="10"/>
  <c r="U892" i="10" s="1"/>
  <c r="Q909" i="10"/>
  <c r="U909" i="10" s="1"/>
  <c r="U5142" i="10"/>
  <c r="U4477" i="10"/>
  <c r="U558" i="10"/>
  <c r="U4484" i="10"/>
  <c r="U4371" i="10"/>
  <c r="U3468" i="10"/>
  <c r="U4535" i="10"/>
  <c r="U4519" i="10"/>
  <c r="U3405" i="10"/>
  <c r="U5267" i="10"/>
  <c r="U4474" i="10"/>
  <c r="U296" i="10"/>
  <c r="U5281" i="10"/>
  <c r="U3951" i="10"/>
  <c r="U4033" i="10"/>
  <c r="U4173" i="10"/>
  <c r="U3188" i="10"/>
  <c r="U4375" i="10"/>
  <c r="U4917" i="10"/>
  <c r="U4667" i="10"/>
  <c r="U4830" i="10"/>
  <c r="U4856" i="10"/>
  <c r="U164" i="10"/>
  <c r="U4416" i="10"/>
  <c r="U3161" i="10"/>
  <c r="U5557" i="10"/>
  <c r="U4089" i="10"/>
  <c r="U870" i="10"/>
  <c r="U3841" i="10"/>
  <c r="U2793" i="10"/>
  <c r="U4100" i="10"/>
  <c r="U3923" i="10"/>
  <c r="U5333" i="10"/>
  <c r="U3934" i="10"/>
  <c r="U1662" i="10"/>
  <c r="U5091" i="10"/>
  <c r="U4466" i="10"/>
  <c r="U5327" i="10"/>
  <c r="U3869" i="10"/>
  <c r="U656" i="10"/>
  <c r="U3842" i="10"/>
  <c r="U1780" i="10"/>
  <c r="U4995" i="10"/>
  <c r="U4778" i="10"/>
  <c r="U4223" i="10"/>
  <c r="U3975" i="10"/>
  <c r="U4618" i="10"/>
  <c r="U3699" i="10"/>
  <c r="U4935" i="10"/>
  <c r="U1725" i="10"/>
  <c r="U4668" i="10"/>
  <c r="U4774" i="10"/>
  <c r="U331" i="10"/>
  <c r="U3760" i="10"/>
  <c r="U4794" i="10"/>
  <c r="U1693" i="10"/>
  <c r="U1010" i="10"/>
  <c r="U118" i="10"/>
  <c r="U273" i="10"/>
  <c r="U228" i="10"/>
  <c r="U4759" i="10"/>
  <c r="U5351" i="10"/>
  <c r="U3504" i="10"/>
  <c r="U827" i="10"/>
  <c r="U735" i="10"/>
  <c r="U212" i="10"/>
  <c r="U608" i="10"/>
  <c r="U3953" i="10"/>
  <c r="U897" i="10"/>
  <c r="U189" i="10"/>
  <c r="U962" i="10"/>
  <c r="U736" i="10"/>
  <c r="U4951" i="10"/>
  <c r="U3369" i="10"/>
  <c r="U269" i="10"/>
  <c r="U3377" i="10"/>
  <c r="U5106" i="10"/>
  <c r="U4551" i="10"/>
  <c r="U3445" i="10"/>
  <c r="U3425" i="10"/>
  <c r="U4278" i="10"/>
  <c r="U5054" i="10"/>
  <c r="U3366" i="10"/>
  <c r="U39" i="10"/>
  <c r="U4065" i="10"/>
  <c r="U4237" i="10"/>
  <c r="U5568" i="10"/>
  <c r="U4107" i="10"/>
  <c r="U4391" i="10"/>
  <c r="U3147" i="10"/>
  <c r="U4585" i="10"/>
  <c r="U3615" i="10"/>
  <c r="U4328" i="10"/>
  <c r="U3832" i="10"/>
  <c r="Q546" i="10"/>
  <c r="U546" i="10" s="1"/>
  <c r="U3248" i="10"/>
  <c r="U1973" i="10"/>
  <c r="U4329" i="10"/>
  <c r="U5273" i="10"/>
  <c r="U325" i="10"/>
  <c r="U5376" i="10"/>
  <c r="U5419" i="10"/>
  <c r="U5155" i="10"/>
  <c r="U4530" i="10"/>
  <c r="U4969" i="10"/>
  <c r="U4957" i="10"/>
  <c r="U651" i="10"/>
  <c r="U4067" i="10"/>
  <c r="U4657" i="10"/>
  <c r="U5276" i="10"/>
  <c r="U4892" i="10"/>
  <c r="U271" i="10"/>
  <c r="U4705" i="10"/>
  <c r="U2152" i="10"/>
  <c r="U3971" i="10"/>
  <c r="U3576" i="10"/>
  <c r="U3770" i="10"/>
  <c r="U4902" i="10"/>
  <c r="U2643" i="10"/>
  <c r="U3697" i="10"/>
  <c r="U3911" i="10"/>
  <c r="U116" i="10"/>
  <c r="U4890" i="10"/>
  <c r="U4773" i="10"/>
  <c r="U936" i="10"/>
  <c r="U4145" i="10"/>
  <c r="U3766" i="10"/>
  <c r="U3920" i="10"/>
  <c r="U337" i="10"/>
  <c r="U692" i="10"/>
  <c r="U47" i="10"/>
  <c r="U4981" i="10"/>
  <c r="U5530" i="10"/>
  <c r="U4517" i="10"/>
  <c r="U3703" i="10"/>
  <c r="U860" i="10"/>
  <c r="U953" i="10"/>
  <c r="U466" i="10"/>
  <c r="U231" i="10"/>
  <c r="U627" i="10"/>
  <c r="Q941" i="10"/>
  <c r="U941" i="10" s="1"/>
  <c r="U93" i="10"/>
  <c r="U446" i="10"/>
  <c r="U318" i="10"/>
  <c r="U705" i="10"/>
  <c r="U5364" i="10"/>
  <c r="U4476" i="10"/>
  <c r="U12" i="10"/>
  <c r="U4515" i="10"/>
  <c r="U3563" i="10"/>
  <c r="U3467" i="10"/>
  <c r="U4310" i="10"/>
  <c r="U4422" i="10"/>
  <c r="U2555" i="10"/>
  <c r="U4457" i="10"/>
  <c r="U4313" i="10"/>
  <c r="U741" i="10"/>
  <c r="U4961" i="10"/>
  <c r="U4139" i="10"/>
  <c r="U4544" i="10"/>
  <c r="U3187" i="10"/>
  <c r="U4150" i="10"/>
  <c r="U5298" i="10"/>
  <c r="U4346" i="10"/>
  <c r="U2947" i="10"/>
  <c r="U4311" i="10"/>
  <c r="U5466" i="10"/>
  <c r="U4511" i="10"/>
  <c r="U1296" i="10"/>
  <c r="U2139" i="10"/>
  <c r="U4792" i="10"/>
  <c r="U4" i="10"/>
  <c r="U4352" i="10"/>
  <c r="U3001" i="10"/>
  <c r="U4131" i="10"/>
  <c r="U4817" i="10"/>
  <c r="U5410" i="10"/>
  <c r="U3933" i="10"/>
  <c r="U458" i="10"/>
  <c r="U4930" i="10"/>
  <c r="U5105" i="10"/>
  <c r="U5527" i="10"/>
  <c r="U3868" i="10"/>
  <c r="U877" i="10"/>
  <c r="U3663" i="10"/>
  <c r="U592" i="10"/>
  <c r="U4834" i="10"/>
  <c r="U4797" i="10"/>
  <c r="U3878" i="10"/>
  <c r="U2471" i="10"/>
  <c r="U1691" i="10"/>
  <c r="U4838" i="10"/>
  <c r="U914" i="10"/>
  <c r="U3866" i="10"/>
  <c r="U3743" i="10"/>
  <c r="U964" i="10"/>
  <c r="U5071" i="10"/>
  <c r="U3571" i="10"/>
  <c r="U2456" i="10"/>
  <c r="U972" i="10"/>
  <c r="U5353" i="10"/>
  <c r="U4549" i="10"/>
  <c r="U3738" i="10"/>
  <c r="U3572" i="10"/>
  <c r="U830" i="10"/>
  <c r="U664" i="10"/>
  <c r="U976" i="10"/>
  <c r="U5371" i="10"/>
  <c r="U634" i="10"/>
  <c r="U813" i="10"/>
  <c r="U1026" i="10"/>
  <c r="U994" i="10"/>
  <c r="U987" i="10"/>
  <c r="U930" i="10"/>
  <c r="U5582" i="10"/>
  <c r="U3368" i="10"/>
  <c r="U43" i="10"/>
  <c r="U3421" i="10"/>
  <c r="U3857" i="10"/>
  <c r="U4454" i="10"/>
  <c r="U2851" i="10"/>
  <c r="U3267" i="10"/>
  <c r="U3566" i="10"/>
  <c r="U5046" i="10"/>
  <c r="U2860" i="10"/>
  <c r="U420" i="10"/>
  <c r="U4576" i="10"/>
  <c r="U2170" i="10"/>
  <c r="U3457" i="10"/>
  <c r="U1942" i="10"/>
  <c r="U4294" i="10"/>
  <c r="U4501" i="10"/>
  <c r="U5564" i="10"/>
  <c r="U3024" i="10"/>
  <c r="U4327" i="10"/>
  <c r="U2855" i="10"/>
  <c r="U5379" i="10"/>
  <c r="U3415" i="10"/>
  <c r="U2345" i="10"/>
  <c r="U4264" i="10"/>
  <c r="U3764" i="10"/>
  <c r="U3052" i="10"/>
  <c r="U1909" i="10"/>
  <c r="U4994" i="10"/>
  <c r="U5201" i="10"/>
  <c r="U5365" i="10"/>
  <c r="U4956" i="10"/>
  <c r="U233" i="10"/>
  <c r="U3906" i="10"/>
  <c r="U3888" i="10"/>
  <c r="U5480" i="10"/>
  <c r="U4411" i="10"/>
  <c r="U620" i="10"/>
  <c r="U5216" i="10"/>
  <c r="U79" i="10"/>
  <c r="U3808" i="10"/>
  <c r="U2535" i="10"/>
  <c r="U3769" i="10"/>
  <c r="U4901" i="10"/>
  <c r="U2210" i="10"/>
  <c r="U3930" i="10"/>
  <c r="U4837" i="10"/>
  <c r="U4729" i="10"/>
  <c r="U4772" i="10"/>
  <c r="U611" i="10"/>
  <c r="U3715" i="10"/>
  <c r="U5336" i="10"/>
  <c r="U1684" i="10"/>
  <c r="U45" i="10"/>
  <c r="U305" i="10"/>
  <c r="U842" i="10"/>
  <c r="U4581" i="10"/>
  <c r="U3772" i="10"/>
  <c r="U3614" i="10"/>
  <c r="U3565" i="10"/>
  <c r="U381" i="10"/>
  <c r="U151" i="10"/>
  <c r="U654" i="10"/>
  <c r="U5563" i="10"/>
  <c r="U635" i="10"/>
  <c r="U700" i="10"/>
  <c r="U864" i="10"/>
  <c r="U832" i="10"/>
  <c r="U762" i="10"/>
  <c r="U704" i="10"/>
  <c r="U5566" i="10"/>
  <c r="U3995" i="10"/>
  <c r="U937" i="10"/>
  <c r="U4354" i="10"/>
  <c r="U4912" i="10"/>
  <c r="U3327" i="10"/>
  <c r="U3607" i="10"/>
  <c r="U4421" i="10"/>
  <c r="U4596" i="10"/>
  <c r="U5389" i="10"/>
  <c r="U5016" i="10"/>
  <c r="U1024" i="10"/>
  <c r="U3499" i="10"/>
  <c r="U1974" i="10"/>
  <c r="U4639" i="10"/>
  <c r="U2416" i="10"/>
  <c r="U2732" i="10"/>
  <c r="U3403" i="10"/>
  <c r="U5537" i="10"/>
  <c r="U4185" i="10"/>
  <c r="U2939" i="10"/>
  <c r="U4086" i="10"/>
  <c r="U5381" i="10"/>
  <c r="U4062" i="10"/>
  <c r="U2723" i="10"/>
  <c r="U2107" i="10"/>
  <c r="U4247" i="10"/>
  <c r="U5544" i="10"/>
  <c r="U4447" i="10"/>
  <c r="U3970" i="10"/>
  <c r="U4016" i="10"/>
  <c r="U3675" i="10"/>
  <c r="U3932" i="10"/>
  <c r="U968" i="10"/>
  <c r="U4769" i="10"/>
  <c r="U4878" i="10"/>
  <c r="U5397" i="10"/>
  <c r="U3243" i="10"/>
  <c r="U587" i="10"/>
  <c r="U4192" i="10"/>
  <c r="U845" i="10"/>
  <c r="U4673" i="10"/>
  <c r="U3202" i="10"/>
  <c r="U3768" i="10"/>
  <c r="U3877" i="10"/>
  <c r="U460" i="10"/>
  <c r="U4793" i="10"/>
  <c r="U3812" i="10"/>
  <c r="U364" i="10"/>
  <c r="U5432" i="10"/>
  <c r="U4803" i="10"/>
  <c r="U4821" i="10"/>
  <c r="U1464" i="10"/>
  <c r="U3763" i="10"/>
  <c r="U1874" i="10"/>
  <c r="U188" i="10"/>
  <c r="U853" i="10"/>
  <c r="U236" i="10"/>
  <c r="U4516" i="10"/>
  <c r="U385" i="10"/>
  <c r="U321" i="10"/>
  <c r="U414" i="10"/>
  <c r="U382" i="10"/>
  <c r="U601" i="10"/>
  <c r="U254" i="10"/>
  <c r="U5477" i="10"/>
  <c r="U4698" i="10"/>
  <c r="U488" i="10"/>
  <c r="U3056" i="10"/>
  <c r="U4271" i="10"/>
  <c r="U4453" i="10"/>
  <c r="U4628" i="10"/>
  <c r="U3263" i="10"/>
  <c r="U3349" i="10"/>
  <c r="U5345" i="10"/>
  <c r="U3992" i="10"/>
  <c r="U1055" i="10"/>
  <c r="U4671" i="10"/>
  <c r="U2448" i="10"/>
  <c r="U3580" i="10"/>
  <c r="U2090" i="10"/>
  <c r="U4293" i="10"/>
  <c r="U4468" i="10"/>
  <c r="U5150" i="10"/>
  <c r="U5433" i="10"/>
  <c r="U4230" i="10"/>
  <c r="U4437" i="10"/>
  <c r="U5331" i="10"/>
  <c r="U5085" i="10"/>
  <c r="U1375" i="10"/>
  <c r="U4263" i="10"/>
  <c r="U1563" i="10"/>
  <c r="U5294" i="10"/>
  <c r="U3312" i="10"/>
  <c r="U1161" i="10"/>
  <c r="U4833" i="10"/>
  <c r="U4942" i="10"/>
  <c r="U5561" i="10"/>
  <c r="U4475" i="10"/>
  <c r="U742" i="10"/>
  <c r="U3739" i="10"/>
  <c r="U4845" i="10"/>
  <c r="U5352" i="10"/>
  <c r="U4090" i="10"/>
  <c r="U394" i="10"/>
  <c r="U5311" i="10"/>
  <c r="U588" i="10"/>
  <c r="U3623" i="10"/>
  <c r="U2781" i="10"/>
  <c r="U4315" i="10"/>
  <c r="U3876" i="10"/>
  <c r="U459" i="10"/>
  <c r="U3765" i="10"/>
  <c r="U4867" i="10"/>
  <c r="U202" i="10"/>
  <c r="U3239" i="10"/>
  <c r="U3775" i="10"/>
  <c r="U5225" i="10"/>
  <c r="U1677" i="10"/>
  <c r="U4948" i="10"/>
  <c r="U3112" i="10"/>
  <c r="U388" i="10"/>
  <c r="U4634" i="10"/>
  <c r="U4724" i="10"/>
  <c r="U1527" i="10"/>
  <c r="U63" i="10"/>
  <c r="U27" i="10"/>
  <c r="U244" i="10"/>
  <c r="U10" i="10"/>
  <c r="U3839" i="10"/>
  <c r="U734" i="10"/>
  <c r="Q886" i="10"/>
  <c r="U886" i="10" s="1"/>
  <c r="U61" i="10"/>
  <c r="U29" i="10"/>
  <c r="U216" i="10"/>
  <c r="U639" i="10"/>
  <c r="U5394" i="10"/>
  <c r="U3655" i="10"/>
  <c r="U199" i="10"/>
  <c r="U4193" i="10"/>
  <c r="U4429" i="10"/>
  <c r="U3323" i="10"/>
  <c r="U3401" i="10"/>
  <c r="U4420" i="10"/>
  <c r="U4307" i="10"/>
  <c r="U4488" i="10"/>
  <c r="U4471" i="10"/>
  <c r="U4809" i="10"/>
  <c r="U3621" i="10"/>
  <c r="U3050" i="10"/>
  <c r="U4190" i="10"/>
  <c r="U3076" i="10"/>
  <c r="U2729" i="10"/>
  <c r="U3011" i="10"/>
  <c r="U5019" i="10"/>
  <c r="U4888" i="10"/>
  <c r="U5253" i="10"/>
  <c r="U3295" i="10"/>
  <c r="U5570" i="10"/>
  <c r="U4061" i="10"/>
  <c r="U564" i="10"/>
  <c r="U2075" i="10"/>
  <c r="U4022" i="10"/>
  <c r="U5415" i="10"/>
  <c r="U3998" i="10"/>
  <c r="U2659" i="10"/>
  <c r="U3807" i="10"/>
  <c r="U2267" i="10"/>
  <c r="U5478" i="10"/>
  <c r="U3367" i="10"/>
  <c r="U165" i="10"/>
  <c r="U5280" i="10"/>
  <c r="U5546" i="10"/>
  <c r="U5047" i="10"/>
  <c r="U5081" i="10"/>
  <c r="U169" i="10"/>
  <c r="U2683" i="10"/>
  <c r="U555" i="10"/>
  <c r="U5184" i="10"/>
  <c r="U867" i="10"/>
  <c r="U2875" i="10"/>
  <c r="U4931" i="10"/>
  <c r="U266" i="10"/>
  <c r="U5496" i="10"/>
  <c r="U3664" i="10"/>
  <c r="U1034" i="10"/>
  <c r="U3863" i="10"/>
  <c r="U4481" i="10"/>
  <c r="U5374" i="10"/>
  <c r="U2566" i="10"/>
  <c r="U4076" i="10"/>
  <c r="U2470" i="10"/>
  <c r="U708" i="10"/>
  <c r="U906" i="10"/>
  <c r="U4009" i="10"/>
  <c r="U4756" i="10"/>
  <c r="U1559" i="10"/>
  <c r="U698" i="10"/>
  <c r="U666" i="10"/>
  <c r="U498" i="10"/>
  <c r="U263" i="10"/>
  <c r="U3407" i="10"/>
  <c r="U33" i="10"/>
  <c r="U960" i="10"/>
  <c r="U415" i="10"/>
  <c r="U1019" i="10"/>
  <c r="U950" i="10"/>
  <c r="U955" i="10"/>
  <c r="U5473" i="10"/>
  <c r="U4537" i="10"/>
  <c r="U901" i="10"/>
  <c r="U5217" i="10"/>
  <c r="U5163" i="10"/>
  <c r="U4452" i="10"/>
  <c r="U4339" i="10"/>
  <c r="U3259" i="10"/>
  <c r="U5042" i="10"/>
  <c r="U3383" i="10"/>
  <c r="U3356" i="10"/>
  <c r="U5222" i="10"/>
  <c r="U4222" i="10"/>
  <c r="U3108" i="10"/>
  <c r="U5213" i="10"/>
  <c r="U2463" i="10"/>
  <c r="U4292" i="10"/>
  <c r="U4115" i="10"/>
  <c r="U4360" i="10"/>
  <c r="U3864" i="10"/>
  <c r="U4229" i="10"/>
  <c r="U4404" i="10"/>
  <c r="U5585" i="10"/>
  <c r="U5084" i="10"/>
  <c r="U339" i="10"/>
  <c r="U4166" i="10"/>
  <c r="U4373" i="10"/>
  <c r="U5211" i="10"/>
  <c r="U5021" i="10"/>
  <c r="U2654" i="10"/>
  <c r="U5344" i="10"/>
  <c r="U5387" i="10"/>
  <c r="U5436" i="10"/>
  <c r="U4154" i="10"/>
  <c r="U4256" i="10"/>
  <c r="U2105" i="10"/>
  <c r="U5471" i="10"/>
  <c r="U3929" i="10"/>
  <c r="U967" i="10"/>
  <c r="U3837" i="10"/>
  <c r="U362" i="10"/>
  <c r="U4160" i="10"/>
  <c r="U1047" i="10"/>
  <c r="U4857" i="10"/>
  <c r="U3907" i="10"/>
  <c r="U839" i="10"/>
  <c r="U3927" i="10"/>
  <c r="U4545" i="10"/>
  <c r="U743" i="10"/>
  <c r="U4662" i="10"/>
  <c r="U3968" i="10"/>
  <c r="U5326" i="10"/>
  <c r="U2401" i="10"/>
  <c r="U2114" i="10"/>
  <c r="U663" i="10"/>
  <c r="U740" i="10"/>
  <c r="U5122" i="10"/>
  <c r="U200" i="10"/>
  <c r="U5396" i="10"/>
  <c r="U3066" i="10"/>
  <c r="U38" i="10"/>
  <c r="U297" i="10"/>
  <c r="U85" i="10"/>
  <c r="U792" i="10"/>
  <c r="U1008" i="10"/>
  <c r="U35" i="10"/>
  <c r="U4403" i="10"/>
  <c r="Q904" i="10"/>
  <c r="U904" i="10" s="1"/>
  <c r="U896" i="10"/>
  <c r="U858" i="10"/>
  <c r="U826" i="10"/>
  <c r="U373" i="10"/>
  <c r="U730" i="10"/>
  <c r="U5447" i="10"/>
  <c r="U3449" i="10"/>
  <c r="U676" i="10"/>
  <c r="U4704" i="10"/>
  <c r="U2970" i="10"/>
  <c r="U3321" i="10"/>
  <c r="U5074" i="10"/>
  <c r="U4451" i="10"/>
  <c r="U3481" i="10"/>
  <c r="U4487" i="10"/>
  <c r="U4246" i="10"/>
  <c r="U5534" i="10"/>
  <c r="U5245" i="10"/>
  <c r="U2495" i="10"/>
  <c r="U4189" i="10"/>
  <c r="U2727" i="10"/>
  <c r="U4722" i="10"/>
  <c r="U3084" i="10"/>
  <c r="U4343" i="10"/>
  <c r="U5252" i="10"/>
  <c r="U2491" i="10"/>
  <c r="U5190" i="10"/>
  <c r="U4060" i="10"/>
  <c r="U18" i="10"/>
  <c r="U5189" i="10"/>
  <c r="U3143" i="10"/>
  <c r="U5492" i="10"/>
  <c r="U3997" i="10"/>
  <c r="U293" i="10"/>
  <c r="U4320" i="10"/>
  <c r="U2169" i="10"/>
  <c r="U5254" i="10"/>
  <c r="U5241" i="10"/>
  <c r="F8" i="10"/>
  <c r="U1851" i="10"/>
  <c r="U2772" i="10"/>
  <c r="U5508" i="10"/>
  <c r="U4985" i="10"/>
  <c r="U614" i="10"/>
  <c r="U4860" i="10"/>
  <c r="U137" i="10"/>
  <c r="U5279" i="10"/>
  <c r="U5238" i="10"/>
  <c r="U4536" i="10"/>
  <c r="U4770" i="10"/>
  <c r="U454" i="10"/>
  <c r="U3691" i="10"/>
  <c r="U3459" i="10"/>
  <c r="U1028" i="10"/>
  <c r="U3609" i="10"/>
  <c r="U5087" i="10"/>
  <c r="U5526" i="10"/>
  <c r="U470" i="10"/>
  <c r="U4745" i="10"/>
  <c r="U2368" i="10"/>
  <c r="U665" i="10"/>
  <c r="U633" i="10"/>
  <c r="U787" i="10"/>
  <c r="U569" i="10"/>
  <c r="U5575" i="10"/>
  <c r="U5240" i="10"/>
  <c r="U323" i="10"/>
  <c r="U3662" i="10"/>
  <c r="U3030" i="10"/>
  <c r="U4483" i="10"/>
  <c r="U3521" i="10"/>
  <c r="U3317" i="10"/>
  <c r="U3685" i="10"/>
  <c r="U3381" i="10"/>
  <c r="U1531" i="10"/>
  <c r="U4955" i="10"/>
  <c r="U4221" i="10"/>
  <c r="U5097" i="10"/>
  <c r="U5212" i="10"/>
  <c r="U907" i="10"/>
  <c r="U4323" i="10"/>
  <c r="U3284" i="10"/>
  <c r="U4359" i="10"/>
  <c r="U3019" i="10"/>
  <c r="U4228" i="10"/>
  <c r="U4051" i="10"/>
  <c r="U3592" i="10"/>
  <c r="U4603" i="10"/>
  <c r="U912" i="10"/>
  <c r="U4165" i="10"/>
  <c r="U4340" i="10"/>
  <c r="U5567" i="10"/>
  <c r="U5020" i="10"/>
  <c r="U609" i="10"/>
  <c r="U2896" i="10"/>
  <c r="U2836" i="10"/>
  <c r="U5551" i="10"/>
  <c r="U3993" i="10"/>
  <c r="U5426" i="10"/>
  <c r="U4351" i="10"/>
  <c r="U3086" i="10"/>
  <c r="U5128" i="10"/>
  <c r="U4632" i="10"/>
  <c r="U69" i="10"/>
  <c r="U3836" i="10"/>
  <c r="U935" i="10"/>
  <c r="U1819" i="10"/>
  <c r="U4777" i="10"/>
  <c r="U3447" i="10"/>
  <c r="U3740" i="10"/>
  <c r="U1050" i="10"/>
  <c r="U5108" i="10"/>
  <c r="U4032" i="10"/>
  <c r="U739" i="10"/>
  <c r="U4691" i="10"/>
  <c r="U4063" i="10"/>
  <c r="U5299" i="10"/>
  <c r="U561" i="10"/>
  <c r="U5205" i="10"/>
  <c r="U3593" i="10"/>
  <c r="U347" i="10"/>
  <c r="U600" i="10"/>
  <c r="Q190" i="10"/>
  <c r="U190" i="10" s="1"/>
  <c r="Q670" i="10"/>
  <c r="U670" i="10" s="1"/>
  <c r="U53" i="10"/>
  <c r="U919" i="10"/>
  <c r="U712" i="10"/>
  <c r="U4289" i="10"/>
  <c r="U32" i="10"/>
  <c r="U820" i="10"/>
  <c r="U5439" i="10"/>
  <c r="U3505" i="10"/>
  <c r="U4041" i="10"/>
  <c r="U4768" i="10"/>
  <c r="U1041" i="10"/>
  <c r="U738" i="10"/>
  <c r="U284" i="10"/>
  <c r="U917" i="10"/>
  <c r="U332" i="10"/>
  <c r="U5349" i="10"/>
  <c r="U16" i="10"/>
  <c r="U478" i="10"/>
  <c r="U922" i="10"/>
  <c r="U312" i="10"/>
  <c r="U280" i="10"/>
  <c r="U210" i="10"/>
  <c r="U184" i="10"/>
  <c r="U4712" i="10"/>
  <c r="U4216" i="10"/>
  <c r="U1059" i="10"/>
  <c r="U4799" i="10"/>
  <c r="U2897" i="10"/>
  <c r="U3376" i="10"/>
  <c r="U3723" i="10"/>
  <c r="U4290" i="10"/>
  <c r="U4848" i="10"/>
  <c r="U4390" i="10"/>
  <c r="U3526" i="10"/>
  <c r="U5198" i="10"/>
  <c r="U5244" i="10"/>
  <c r="U5448" i="10"/>
  <c r="U4188" i="10"/>
  <c r="U778" i="10"/>
  <c r="U2919" i="10"/>
  <c r="U3438" i="10"/>
  <c r="U3083" i="10"/>
  <c r="U4118" i="10"/>
  <c r="U5283" i="10"/>
  <c r="U4658" i="10"/>
  <c r="U4823" i="10"/>
  <c r="U3533" i="10"/>
  <c r="U495" i="10"/>
  <c r="U5188" i="10"/>
  <c r="U5203" i="10"/>
  <c r="U4923" i="10"/>
  <c r="U3996" i="10"/>
  <c r="U5506" i="10"/>
  <c r="U4415" i="10"/>
  <c r="U2255" i="10"/>
  <c r="U5588" i="10"/>
  <c r="U5113" i="10"/>
  <c r="U4990" i="10"/>
  <c r="U3051" i="10"/>
  <c r="U2216" i="10"/>
  <c r="U4104" i="10"/>
  <c r="U3569" i="10"/>
  <c r="U931" i="10"/>
  <c r="U4379" i="10"/>
  <c r="U550" i="10"/>
  <c r="U3804" i="10"/>
  <c r="U5454" i="10"/>
  <c r="U3991" i="10"/>
  <c r="U4609" i="10"/>
  <c r="U5583" i="10"/>
  <c r="U3988" i="10"/>
  <c r="U4127" i="10"/>
  <c r="U1064" i="10"/>
  <c r="U4114" i="10"/>
  <c r="U3579" i="10"/>
  <c r="U4361" i="10"/>
  <c r="U525" i="10"/>
  <c r="U5015" i="10"/>
  <c r="U2009" i="10"/>
  <c r="Q723" i="10"/>
  <c r="U723" i="10" s="1"/>
  <c r="Q622" i="10"/>
  <c r="U622" i="10" s="1"/>
  <c r="O11" i="10"/>
  <c r="Q720" i="10"/>
  <c r="U720" i="10" s="1"/>
  <c r="U531" i="10"/>
  <c r="U685" i="10"/>
  <c r="U502" i="10"/>
  <c r="U453" i="10"/>
  <c r="U4380" i="10"/>
  <c r="U765" i="10"/>
  <c r="U863" i="10"/>
  <c r="U4518" i="10"/>
  <c r="U5249" i="10"/>
  <c r="U5437" i="10"/>
  <c r="U4666" i="10"/>
  <c r="U662" i="10"/>
  <c r="U482" i="10"/>
  <c r="U701" i="10"/>
  <c r="U59" i="10"/>
  <c r="U276" i="10"/>
  <c r="U74" i="10"/>
  <c r="U4548" i="10"/>
  <c r="U834" i="10"/>
  <c r="U125" i="10"/>
  <c r="U729" i="10"/>
  <c r="U1014" i="10"/>
  <c r="U982" i="10"/>
  <c r="U464" i="10"/>
  <c r="U854" i="10"/>
  <c r="U3673" i="10"/>
  <c r="U4695" i="10"/>
  <c r="U5297" i="10"/>
  <c r="U3771" i="10"/>
  <c r="U1643" i="10"/>
  <c r="U4322" i="10"/>
  <c r="U4880" i="10"/>
  <c r="U2700" i="10"/>
  <c r="U4079" i="10"/>
  <c r="U3184" i="10"/>
  <c r="U4564" i="10"/>
  <c r="U4201" i="10"/>
  <c r="U4220" i="10"/>
  <c r="U5182" i="10"/>
  <c r="U4731" i="10"/>
  <c r="U617" i="10"/>
  <c r="U4162" i="10"/>
  <c r="U4560" i="10"/>
  <c r="U4262" i="10"/>
  <c r="U4469" i="10"/>
  <c r="U4259" i="10"/>
  <c r="U3120" i="10"/>
  <c r="U5565" i="10"/>
  <c r="U4282" i="10"/>
  <c r="U78" i="10"/>
  <c r="U4164" i="10"/>
  <c r="U3987" i="10"/>
  <c r="U5533" i="10"/>
  <c r="U4539" i="10"/>
  <c r="U5229" i="10"/>
  <c r="U3247" i="10"/>
  <c r="U1129" i="10"/>
  <c r="U5192" i="10"/>
  <c r="U4696" i="10"/>
  <c r="U5288" i="10"/>
  <c r="U3902" i="10"/>
  <c r="U1635" i="10"/>
  <c r="U5127" i="10"/>
  <c r="U4087" i="10"/>
  <c r="U4105" i="10"/>
  <c r="U3155" i="10"/>
  <c r="U37" i="10"/>
  <c r="U4829" i="10"/>
  <c r="U5109" i="10"/>
  <c r="U4790" i="10"/>
  <c r="U5120" i="10"/>
  <c r="U5372" i="10"/>
  <c r="U4755" i="10"/>
  <c r="U4702" i="10"/>
  <c r="U5335" i="10"/>
  <c r="U5584" i="10"/>
  <c r="U3577" i="10"/>
  <c r="U4841" i="10"/>
  <c r="U268" i="10"/>
  <c r="U3747" i="10"/>
  <c r="U1539" i="10"/>
  <c r="U410" i="10"/>
  <c r="Q674" i="10"/>
  <c r="U674" i="10" s="1"/>
  <c r="Q109" i="10"/>
  <c r="U109" i="10" s="1"/>
  <c r="Q768" i="10"/>
  <c r="U768" i="10" s="1"/>
  <c r="U881" i="10"/>
  <c r="U491" i="10"/>
  <c r="U1044" i="10"/>
  <c r="U5421" i="10"/>
  <c r="U4406" i="10"/>
  <c r="U668" i="10"/>
  <c r="U401" i="10"/>
  <c r="U1883" i="10"/>
  <c r="U3931" i="10"/>
  <c r="U3465" i="10"/>
  <c r="U3689" i="10"/>
  <c r="U989" i="10"/>
  <c r="Q517" i="10"/>
  <c r="U517" i="10" s="1"/>
  <c r="U226" i="10"/>
  <c r="U159" i="10"/>
  <c r="U530" i="10"/>
  <c r="U327" i="10"/>
  <c r="U3871" i="10"/>
  <c r="U667" i="10"/>
  <c r="U28" i="10"/>
  <c r="U376" i="10"/>
  <c r="U437" i="10"/>
  <c r="U405" i="10"/>
  <c r="U270" i="10"/>
  <c r="U341" i="10"/>
  <c r="U4711" i="10"/>
  <c r="U3651" i="10"/>
  <c r="U5416" i="10"/>
  <c r="U4350" i="10"/>
  <c r="U1637" i="10"/>
  <c r="U2915" i="10"/>
  <c r="U4111" i="10"/>
  <c r="U4129" i="10"/>
  <c r="U4301" i="10"/>
  <c r="U4389" i="10"/>
  <c r="U3291" i="10"/>
  <c r="U5270" i="10"/>
  <c r="U4763" i="10"/>
  <c r="U5070" i="10"/>
  <c r="U3696" i="10"/>
  <c r="U232" i="10"/>
  <c r="U5121" i="10"/>
  <c r="U3887" i="10"/>
  <c r="U3353" i="10"/>
  <c r="U1947" i="10"/>
  <c r="U2988" i="10"/>
  <c r="U5474" i="10"/>
  <c r="U2619" i="10"/>
  <c r="U876" i="10"/>
  <c r="U5219" i="10"/>
  <c r="U4594" i="10"/>
  <c r="U5444" i="10"/>
  <c r="U3452" i="10"/>
  <c r="U5375" i="10"/>
  <c r="U3966" i="10"/>
  <c r="U1699" i="10"/>
  <c r="U4168" i="10"/>
  <c r="U3653" i="10"/>
  <c r="U4757" i="10"/>
  <c r="U4925" i="10"/>
  <c r="U565" i="10"/>
  <c r="U4103" i="10"/>
  <c r="U4886" i="10"/>
  <c r="U5282" i="10"/>
  <c r="U4058" i="10"/>
  <c r="U899" i="10"/>
  <c r="U4828" i="10"/>
  <c r="U5443" i="10"/>
  <c r="U3762" i="10"/>
  <c r="U5215" i="10"/>
  <c r="U4725" i="10"/>
  <c r="U4274" i="10"/>
  <c r="U3660" i="10"/>
  <c r="U5457" i="10"/>
  <c r="U5135" i="10"/>
  <c r="U4636" i="10"/>
  <c r="U4840" i="10"/>
  <c r="U299" i="10"/>
  <c r="U4678" i="10"/>
  <c r="U1724" i="10"/>
  <c r="U1039" i="10"/>
  <c r="U641" i="10"/>
  <c r="U403" i="10"/>
  <c r="U5404" i="10"/>
  <c r="U3475" i="10"/>
  <c r="U507" i="10"/>
  <c r="U655" i="10"/>
  <c r="U3963" i="10"/>
  <c r="U3761" i="10"/>
  <c r="U4800" i="10"/>
  <c r="U3194" i="10"/>
  <c r="Q814" i="10"/>
  <c r="U814" i="10" s="1"/>
  <c r="U541" i="10"/>
  <c r="Q505" i="10"/>
  <c r="U505" i="10" s="1"/>
  <c r="U824" i="10"/>
  <c r="U1040" i="10"/>
  <c r="U355" i="10"/>
  <c r="U4441" i="10"/>
  <c r="U353" i="10"/>
  <c r="U954" i="10"/>
  <c r="U1046" i="10"/>
  <c r="U851" i="10"/>
  <c r="U819" i="10"/>
  <c r="U755" i="10"/>
  <c r="U3671" i="10"/>
  <c r="U4470" i="10"/>
  <c r="U5141" i="10"/>
  <c r="U3049" i="10"/>
  <c r="U2432" i="10"/>
  <c r="U4161" i="10"/>
  <c r="U4397" i="10"/>
  <c r="U5089" i="10"/>
  <c r="U4875" i="10"/>
  <c r="U3183" i="10"/>
  <c r="U4275" i="10"/>
  <c r="U5178" i="10"/>
  <c r="U3733" i="10"/>
  <c r="U4521" i="10"/>
  <c r="U4410" i="10"/>
  <c r="U1030" i="10"/>
  <c r="U4001" i="10"/>
  <c r="U4077" i="10"/>
  <c r="U4261" i="10"/>
  <c r="U4436" i="10"/>
  <c r="U4098" i="10"/>
  <c r="U4336" i="10"/>
  <c r="U5562" i="10"/>
  <c r="U4121" i="10"/>
  <c r="U779" i="10"/>
  <c r="U4195" i="10"/>
  <c r="U2427" i="10"/>
  <c r="U5517" i="10"/>
  <c r="U4218" i="10"/>
  <c r="U5114" i="10"/>
  <c r="U4989" i="10"/>
  <c r="U2622" i="10"/>
  <c r="U5191" i="10"/>
  <c r="U4151" i="10"/>
  <c r="U5370" i="10"/>
  <c r="U3901" i="10"/>
  <c r="U404" i="10"/>
  <c r="U5030" i="10"/>
  <c r="U3862" i="10"/>
  <c r="U5197" i="10"/>
  <c r="U5017" i="10"/>
  <c r="U1051" i="10"/>
  <c r="U3802" i="10"/>
  <c r="U5359" i="10"/>
  <c r="U5172" i="10"/>
  <c r="U4766" i="10"/>
  <c r="U5362" i="10"/>
  <c r="U4273" i="10"/>
  <c r="U4701" i="10"/>
  <c r="U5576" i="10"/>
  <c r="U3918" i="10"/>
  <c r="U3575" i="10"/>
  <c r="U4839" i="10"/>
  <c r="U872" i="10"/>
  <c r="U3629" i="10"/>
  <c r="U3119" i="10"/>
  <c r="U222" i="10"/>
  <c r="Q148" i="10"/>
  <c r="U148" i="10" s="1"/>
  <c r="O9" i="10"/>
  <c r="Q245" i="10"/>
  <c r="U245" i="10" s="1"/>
  <c r="U781" i="10"/>
  <c r="U965" i="10"/>
  <c r="U785" i="10"/>
  <c r="U3630" i="10"/>
  <c r="Q911" i="10"/>
  <c r="U911" i="10" s="1"/>
  <c r="U314" i="10"/>
  <c r="U173" i="10"/>
  <c r="U3145" i="10"/>
  <c r="U5227" i="10"/>
  <c r="U3899" i="10"/>
  <c r="U14" i="10"/>
  <c r="U444" i="10"/>
  <c r="Q838" i="10"/>
  <c r="U838" i="10" s="1"/>
  <c r="U417" i="10"/>
  <c r="U215" i="10"/>
  <c r="U718" i="10"/>
  <c r="U5453" i="10"/>
  <c r="U4435" i="10"/>
  <c r="U1018" i="10"/>
  <c r="U793" i="10"/>
  <c r="U469" i="10"/>
  <c r="U306" i="10"/>
  <c r="U274" i="10"/>
  <c r="U713" i="10"/>
  <c r="U50" i="10"/>
  <c r="U4614" i="10"/>
  <c r="U3355" i="10"/>
  <c r="U5329" i="10"/>
  <c r="U4349" i="10"/>
  <c r="U869" i="10"/>
  <c r="U5153" i="10"/>
  <c r="U4971" i="10"/>
  <c r="U4640" i="10"/>
  <c r="U2234" i="10"/>
  <c r="U4388" i="10"/>
  <c r="U4946" i="10"/>
  <c r="U4887" i="10"/>
  <c r="U4442" i="10"/>
  <c r="U5503" i="10"/>
  <c r="U3241" i="10"/>
  <c r="U613" i="10"/>
  <c r="U5536" i="10"/>
  <c r="U4075" i="10"/>
  <c r="U2011" i="10"/>
  <c r="U2832" i="10"/>
  <c r="U4993" i="10"/>
  <c r="U3720" i="10"/>
  <c r="U4853" i="10"/>
  <c r="U5305" i="10"/>
  <c r="U618" i="10"/>
  <c r="U5058" i="10"/>
  <c r="U2395" i="10"/>
  <c r="U5350" i="10"/>
  <c r="U5401" i="10"/>
  <c r="U5449" i="10"/>
  <c r="U3965" i="10"/>
  <c r="U757" i="10"/>
  <c r="U4167" i="10"/>
  <c r="U4950" i="10"/>
  <c r="U5321" i="10"/>
  <c r="U4924" i="10"/>
  <c r="U4006" i="10"/>
  <c r="U4213" i="10"/>
  <c r="U5524" i="10"/>
  <c r="U3897" i="10"/>
  <c r="U5539" i="10"/>
  <c r="U4347" i="10"/>
  <c r="U5265" i="10"/>
  <c r="U4052" i="10"/>
  <c r="U3736" i="10"/>
  <c r="U5065" i="10"/>
  <c r="U4785" i="10"/>
  <c r="U3659" i="10"/>
  <c r="U4553" i="10"/>
  <c r="U3783" i="10"/>
  <c r="U4155" i="10"/>
  <c r="U4742" i="10"/>
  <c r="U166" i="10"/>
  <c r="U4677" i="10"/>
  <c r="U3588" i="10"/>
  <c r="Q764" i="10"/>
  <c r="U764" i="10" s="1"/>
  <c r="Q572" i="10"/>
  <c r="U572" i="10" s="1"/>
  <c r="U649" i="10"/>
  <c r="U800" i="10"/>
  <c r="U523" i="10"/>
  <c r="U5339" i="10"/>
  <c r="U879" i="10"/>
  <c r="U3180" i="10"/>
  <c r="U149" i="10"/>
  <c r="U89" i="10"/>
  <c r="U75" i="10"/>
  <c r="U5291" i="10"/>
  <c r="U134" i="10"/>
  <c r="U3727" i="10"/>
  <c r="U5320" i="10"/>
  <c r="Q516" i="10"/>
  <c r="U516" i="10" s="1"/>
  <c r="U833" i="10"/>
  <c r="U894" i="10"/>
  <c r="U949" i="10"/>
  <c r="U428" i="10"/>
  <c r="U5391" i="10"/>
  <c r="U2667" i="10"/>
  <c r="U825" i="10"/>
  <c r="U472" i="10"/>
  <c r="U883" i="10"/>
  <c r="U528" i="10"/>
  <c r="U496" i="10"/>
  <c r="U518" i="10"/>
  <c r="U368" i="10"/>
  <c r="U3548" i="10"/>
  <c r="U3795" i="10"/>
  <c r="U5407" i="10"/>
  <c r="U3047" i="10"/>
  <c r="U612" i="10"/>
  <c r="U4672" i="10"/>
  <c r="U2874" i="10"/>
  <c r="U3581" i="10"/>
  <c r="U2966" i="10"/>
  <c r="U3182" i="10"/>
  <c r="U3439" i="10"/>
  <c r="U3336" i="10"/>
  <c r="U3307" i="10"/>
  <c r="U4393" i="10"/>
  <c r="U4249" i="10"/>
  <c r="U356" i="10"/>
  <c r="U4512" i="10"/>
  <c r="U1946" i="10"/>
  <c r="U4260" i="10"/>
  <c r="U4083" i="10"/>
  <c r="U3937" i="10"/>
  <c r="U3341" i="10"/>
  <c r="U4265" i="10"/>
  <c r="U4824" i="10"/>
  <c r="U425" i="10"/>
  <c r="U4034" i="10"/>
  <c r="U4208" i="10"/>
  <c r="U5555" i="10"/>
  <c r="U4057" i="10"/>
  <c r="U5406" i="10"/>
  <c r="U4988" i="10"/>
  <c r="U468" i="10"/>
  <c r="U5094" i="10"/>
  <c r="U3926" i="10"/>
  <c r="U5340" i="10"/>
  <c r="U3900" i="10"/>
  <c r="U945" i="10"/>
  <c r="U5029" i="10"/>
  <c r="U4148" i="10"/>
  <c r="U5441" i="10"/>
  <c r="U4953" i="10"/>
  <c r="U4983" i="10"/>
  <c r="U3035" i="10"/>
  <c r="U3273" i="10"/>
  <c r="U4947" i="10"/>
  <c r="U4765" i="10"/>
  <c r="U4885" i="10"/>
  <c r="U4206" i="10"/>
  <c r="U4219" i="10"/>
  <c r="U3385" i="10"/>
  <c r="U2520" i="10"/>
  <c r="U3654" i="10"/>
  <c r="U3710" i="10"/>
  <c r="U579" i="10"/>
  <c r="U4707" i="10"/>
  <c r="U1320" i="10"/>
  <c r="U252" i="10"/>
  <c r="Q127" i="10"/>
  <c r="U127" i="10" s="1"/>
  <c r="Q578" i="10"/>
  <c r="U578" i="10" s="1"/>
  <c r="Q396" i="10"/>
  <c r="U396" i="10" s="1"/>
  <c r="Q390" i="10"/>
  <c r="U390" i="10" s="1"/>
  <c r="U41" i="10"/>
  <c r="U5274" i="10"/>
  <c r="U493" i="10"/>
  <c r="U4412" i="10"/>
  <c r="U831" i="10"/>
  <c r="U791" i="10"/>
  <c r="U424" i="10"/>
  <c r="U659" i="10"/>
  <c r="U3631" i="10"/>
  <c r="U3226" i="10"/>
  <c r="U977" i="10"/>
  <c r="U34" i="10"/>
  <c r="U926" i="10"/>
  <c r="U445" i="10"/>
  <c r="U308" i="10"/>
  <c r="U234" i="10"/>
  <c r="U4580" i="10"/>
  <c r="U3502" i="10"/>
  <c r="U504" i="10"/>
  <c r="U479" i="10"/>
  <c r="U338" i="10"/>
  <c r="U334" i="10"/>
  <c r="U302" i="10"/>
  <c r="U1057" i="10"/>
  <c r="U174" i="10"/>
  <c r="U4613" i="10"/>
  <c r="U4788" i="10"/>
  <c r="U5083" i="10"/>
  <c r="U4348" i="10"/>
  <c r="U227" i="10"/>
  <c r="U3622" i="10"/>
  <c r="U2998" i="10"/>
  <c r="U4735" i="10"/>
  <c r="U1905" i="10"/>
  <c r="U4419" i="10"/>
  <c r="U3644" i="10"/>
  <c r="U4859" i="10"/>
  <c r="U4281" i="10"/>
  <c r="U5303" i="10"/>
  <c r="U1627" i="10"/>
  <c r="D10" i="10"/>
  <c r="F10" i="10" s="1"/>
  <c r="U3417" i="10"/>
  <c r="U2997" i="10"/>
  <c r="U1979" i="10"/>
  <c r="U4690" i="10"/>
  <c r="U5472" i="10"/>
  <c r="U3851" i="10"/>
  <c r="U4296" i="10"/>
  <c r="U3798" i="10"/>
  <c r="U72" i="10"/>
  <c r="U4897" i="10"/>
  <c r="U3212" i="10"/>
  <c r="U2951" i="10"/>
  <c r="U5209" i="10"/>
  <c r="U4649" i="10"/>
  <c r="U3964" i="10"/>
  <c r="U211" i="10"/>
  <c r="U4070" i="10"/>
  <c r="U4277" i="10"/>
  <c r="U5522" i="10"/>
  <c r="U4443" i="10"/>
  <c r="U688" i="10"/>
  <c r="U4005" i="10"/>
  <c r="U4434" i="10"/>
  <c r="U5357" i="10"/>
  <c r="U4600" i="10"/>
  <c r="U5494" i="10"/>
  <c r="U4026" i="10"/>
  <c r="U5032" i="10"/>
  <c r="U3564" i="10"/>
  <c r="U4764" i="10"/>
  <c r="U5571" i="10"/>
  <c r="U4940" i="10"/>
  <c r="U3898" i="10"/>
  <c r="U5523" i="10"/>
  <c r="U1587" i="10"/>
  <c r="U4376" i="10"/>
  <c r="U4741" i="10"/>
  <c r="U1066" i="10"/>
  <c r="U3454" i="10"/>
  <c r="U289" i="10"/>
  <c r="Q624" i="10"/>
  <c r="U624" i="10" s="1"/>
  <c r="Q577" i="10"/>
  <c r="U577" i="10" s="1"/>
  <c r="Q794" i="10"/>
  <c r="U794" i="10" s="1"/>
  <c r="U3550" i="10"/>
  <c r="U3611" i="10"/>
  <c r="U4137" i="10"/>
  <c r="U859" i="10"/>
  <c r="U121" i="10"/>
  <c r="U433" i="10"/>
  <c r="U4550" i="10"/>
  <c r="Q983" i="10"/>
  <c r="U983" i="10" s="1"/>
  <c r="U959" i="10"/>
  <c r="U957" i="10"/>
  <c r="U990" i="10"/>
  <c r="U155" i="10"/>
  <c r="U767" i="10"/>
  <c r="U856" i="10"/>
  <c r="U524" i="10"/>
  <c r="U5431" i="10"/>
  <c r="U2929" i="10"/>
  <c r="U638" i="10"/>
  <c r="U402" i="10"/>
  <c r="U752" i="10"/>
  <c r="U905" i="10"/>
  <c r="U1061" i="10"/>
  <c r="U1060" i="10"/>
  <c r="U3246" i="10"/>
  <c r="U1054" i="10"/>
  <c r="U4643" i="10"/>
  <c r="U3724" i="10"/>
  <c r="U5166" i="10"/>
  <c r="U3491" i="10"/>
  <c r="U5574" i="10"/>
  <c r="U2889" i="10"/>
  <c r="U5207" i="10"/>
  <c r="U4285" i="10"/>
  <c r="U71" i="10"/>
  <c r="U4097" i="10"/>
  <c r="U4779" i="10"/>
  <c r="U3335" i="10"/>
  <c r="U4439" i="10"/>
  <c r="U4423" i="10"/>
  <c r="U3235" i="10"/>
  <c r="U5455" i="10"/>
  <c r="U5181" i="10"/>
  <c r="U2431" i="10"/>
  <c r="U5057" i="10"/>
  <c r="U3823" i="10"/>
  <c r="U3456" i="10"/>
  <c r="U2377" i="10"/>
  <c r="U4198" i="10"/>
  <c r="U4405" i="10"/>
  <c r="E12" i="10"/>
  <c r="F12" i="10" s="1"/>
  <c r="U3177" i="10"/>
  <c r="U1941" i="10"/>
  <c r="U4231" i="10"/>
  <c r="U5014" i="10"/>
  <c r="U5308" i="10"/>
  <c r="U5337" i="10"/>
  <c r="U1037" i="10"/>
  <c r="U4068" i="10"/>
  <c r="U3759" i="10"/>
  <c r="U5510" i="10"/>
  <c r="U3961" i="10"/>
  <c r="U619" i="10"/>
  <c r="U4035" i="10"/>
  <c r="U4782" i="10"/>
  <c r="U5469" i="10"/>
  <c r="U4181" i="10"/>
  <c r="U5314" i="10"/>
  <c r="U4568" i="10"/>
  <c r="U4934" i="10"/>
  <c r="U4654" i="10"/>
  <c r="U4825" i="10"/>
  <c r="U4870" i="10"/>
  <c r="U422" i="10"/>
  <c r="U3895" i="10"/>
  <c r="U3879" i="10"/>
  <c r="U707" i="10"/>
  <c r="U3828" i="10"/>
  <c r="U4960" i="10"/>
  <c r="U5525" i="10"/>
  <c r="U4884" i="10"/>
  <c r="U2541" i="10"/>
  <c r="U70" i="10"/>
  <c r="U1660" i="10"/>
  <c r="U2467" i="10"/>
  <c r="U5498" i="10"/>
  <c r="U3169" i="10"/>
  <c r="U1617" i="10"/>
  <c r="U4514" i="10"/>
  <c r="U2830" i="10"/>
  <c r="U3840" i="10"/>
  <c r="U3200" i="10"/>
  <c r="U3413" i="10"/>
  <c r="U2841" i="10"/>
  <c r="U3216" i="10"/>
  <c r="U3489" i="10"/>
  <c r="U3287" i="10"/>
  <c r="U4018" i="10"/>
  <c r="U3692" i="10"/>
  <c r="U3270" i="10"/>
  <c r="U4113" i="10"/>
  <c r="U5232" i="10"/>
  <c r="U1253" i="10"/>
  <c r="U4975" i="10"/>
  <c r="U2583" i="10"/>
  <c r="U2339" i="10"/>
  <c r="U5541" i="10"/>
  <c r="U1877" i="10"/>
  <c r="U1558" i="10"/>
  <c r="U2603" i="10"/>
  <c r="U3041" i="10"/>
  <c r="U2842" i="10"/>
  <c r="U3192" i="10"/>
  <c r="U2106" i="10"/>
  <c r="U3206" i="10"/>
  <c r="U3560" i="10"/>
  <c r="U2103" i="10"/>
  <c r="U2023" i="10"/>
  <c r="U2181" i="10"/>
  <c r="U1181" i="10"/>
  <c r="U2676" i="10"/>
  <c r="U42" i="10"/>
  <c r="U2866" i="10"/>
  <c r="U3364" i="10"/>
  <c r="U2926" i="10"/>
  <c r="U1836" i="10"/>
  <c r="U1470" i="10"/>
  <c r="U3518" i="10"/>
  <c r="U3046" i="10"/>
  <c r="U3436" i="10"/>
  <c r="U2196" i="10"/>
  <c r="U2386" i="10"/>
  <c r="U2626" i="10"/>
  <c r="U2880" i="10"/>
  <c r="U1530" i="10"/>
  <c r="U1912" i="10"/>
  <c r="U2677" i="10"/>
  <c r="U1139" i="10"/>
  <c r="U2946" i="10"/>
  <c r="U2568" i="10"/>
  <c r="U1926" i="10"/>
  <c r="U3752" i="10"/>
  <c r="U1961" i="10"/>
  <c r="U4459" i="10"/>
  <c r="U1294" i="10"/>
  <c r="U1995" i="10"/>
  <c r="U3392" i="10"/>
  <c r="U1522" i="10"/>
  <c r="U5420" i="10"/>
  <c r="U2895" i="10"/>
  <c r="U2607" i="10"/>
  <c r="U3071" i="10"/>
  <c r="U2204" i="10"/>
  <c r="U1461" i="10"/>
  <c r="U4174" i="10"/>
  <c r="U3570" i="10"/>
  <c r="U1134" i="10"/>
  <c r="U3810" i="10"/>
  <c r="U3370" i="10"/>
  <c r="U5323" i="10"/>
  <c r="U1717" i="10"/>
  <c r="U1921" i="10"/>
  <c r="U3637" i="10"/>
  <c r="U2519" i="10"/>
  <c r="U1267" i="10"/>
  <c r="U2681" i="10"/>
  <c r="U2574" i="10"/>
  <c r="Q1576" i="10"/>
  <c r="U1576" i="10" s="1"/>
  <c r="Q1593" i="10"/>
  <c r="U1593" i="10" s="1"/>
  <c r="Q1184" i="10"/>
  <c r="U1184" i="10" s="1"/>
  <c r="Q1242" i="10"/>
  <c r="U1242" i="10" s="1"/>
  <c r="Q1217" i="10"/>
  <c r="U1217" i="10" s="1"/>
  <c r="Q1188" i="10"/>
  <c r="U1188" i="10" s="1"/>
  <c r="Q1105" i="10"/>
  <c r="U1105" i="10" s="1"/>
  <c r="Q1171" i="10"/>
  <c r="U1171" i="10" s="1"/>
  <c r="Q1071" i="10"/>
  <c r="U1071" i="10" s="1"/>
  <c r="Q1088" i="10"/>
  <c r="U1088" i="10" s="1"/>
  <c r="U3535" i="10"/>
  <c r="U4808" i="10"/>
  <c r="U3967" i="10"/>
  <c r="U2627" i="10"/>
  <c r="U2207" i="10"/>
  <c r="U4589" i="10"/>
  <c r="U2598" i="10"/>
  <c r="U4604" i="10"/>
  <c r="U4807" i="10"/>
  <c r="U4541" i="10"/>
  <c r="U3329" i="10"/>
  <c r="U1501" i="10"/>
  <c r="U1297" i="10"/>
  <c r="U3190" i="10"/>
  <c r="U1616" i="10"/>
  <c r="Q1789" i="10"/>
  <c r="U1789" i="10" s="1"/>
  <c r="Q1785" i="10"/>
  <c r="U1785" i="10" s="1"/>
  <c r="U1561" i="10"/>
  <c r="U2039" i="10"/>
  <c r="U2466" i="10"/>
  <c r="U3166" i="10"/>
  <c r="U3222" i="10"/>
  <c r="U1787" i="10"/>
  <c r="U1364" i="10"/>
  <c r="U1169" i="10"/>
  <c r="U5548" i="10"/>
  <c r="U2510" i="10"/>
  <c r="U3102" i="10"/>
  <c r="Q1784" i="10"/>
  <c r="U1784" i="10" s="1"/>
  <c r="U2655" i="10"/>
  <c r="U3712" i="10"/>
  <c r="U1595" i="10"/>
  <c r="U4043" i="10"/>
  <c r="U1932" i="10"/>
  <c r="U4944" i="10"/>
  <c r="U2898" i="10"/>
  <c r="U1121" i="10"/>
  <c r="U1395" i="10"/>
  <c r="U3265" i="10"/>
  <c r="U1517" i="10"/>
  <c r="U2748" i="10"/>
  <c r="U1870" i="10"/>
  <c r="U2716" i="10"/>
  <c r="U2419" i="10"/>
  <c r="U1986" i="10"/>
  <c r="U2031" i="10"/>
  <c r="U2525" i="10"/>
  <c r="U2355" i="10"/>
  <c r="U2081" i="10"/>
  <c r="U2232" i="10"/>
  <c r="U2341" i="10"/>
  <c r="U2452" i="10"/>
  <c r="U1858" i="10"/>
  <c r="U2119" i="10"/>
  <c r="U4494" i="10"/>
  <c r="U2000" i="10"/>
  <c r="U2238" i="10"/>
  <c r="U2195" i="10"/>
  <c r="U2945" i="10"/>
  <c r="U3127" i="10"/>
  <c r="U3205" i="10"/>
  <c r="U3917" i="10"/>
  <c r="U1775" i="10"/>
  <c r="U2269" i="10"/>
  <c r="U3063" i="10"/>
  <c r="U2117" i="10"/>
  <c r="U3853" i="10"/>
  <c r="U1679" i="10"/>
  <c r="U3410" i="10"/>
  <c r="U1761" i="10"/>
  <c r="U2936" i="10"/>
  <c r="U2950" i="10"/>
  <c r="U3277" i="10"/>
  <c r="U1132" i="10"/>
  <c r="U3718" i="10"/>
  <c r="U2029" i="10"/>
  <c r="U3115" i="10"/>
  <c r="U1931" i="10"/>
  <c r="U4363" i="10"/>
  <c r="U3490" i="10"/>
  <c r="U1843" i="10"/>
  <c r="U2188" i="10"/>
  <c r="U5500" i="10"/>
  <c r="U4798" i="10"/>
  <c r="U2503" i="10"/>
  <c r="U3735" i="10"/>
  <c r="U717" i="10"/>
  <c r="U3844" i="10"/>
  <c r="U3483" i="10"/>
  <c r="U3912" i="10"/>
  <c r="U3304" i="10"/>
  <c r="U326" i="10"/>
  <c r="U3419" i="10"/>
  <c r="U4748" i="10"/>
  <c r="U3744" i="10"/>
  <c r="U3957" i="10"/>
  <c r="U1063" i="10"/>
  <c r="U5055" i="10"/>
  <c r="U3026" i="10"/>
  <c r="U5512" i="10"/>
  <c r="U4633" i="10"/>
  <c r="U5445" i="10"/>
  <c r="U4540" i="10"/>
  <c r="U117" i="10"/>
  <c r="U3711" i="10"/>
  <c r="U4502" i="10"/>
  <c r="U4714" i="10"/>
  <c r="U1579" i="10"/>
  <c r="U5007" i="10"/>
  <c r="U2833" i="10"/>
  <c r="U1280" i="10"/>
  <c r="U1842" i="10"/>
  <c r="U3360" i="10"/>
  <c r="U2507" i="10"/>
  <c r="U4908" i="10"/>
  <c r="U1389" i="10"/>
  <c r="U4816" i="10"/>
  <c r="U2770" i="10"/>
  <c r="U2145" i="10"/>
  <c r="U1806" i="10"/>
  <c r="U2652" i="10"/>
  <c r="U2706" i="10"/>
  <c r="U2176" i="10"/>
  <c r="U2263" i="10"/>
  <c r="U2788" i="10"/>
  <c r="U2017" i="10"/>
  <c r="U2168" i="10"/>
  <c r="U2182" i="10"/>
  <c r="U4013" i="10"/>
  <c r="U1871" i="10"/>
  <c r="U2365" i="10"/>
  <c r="U2546" i="10"/>
  <c r="U3040" i="10"/>
  <c r="U3542" i="10"/>
  <c r="U3652" i="10"/>
  <c r="U4588" i="10"/>
  <c r="U2396" i="10"/>
  <c r="U3478" i="10"/>
  <c r="U2564" i="10"/>
  <c r="U4524" i="10"/>
  <c r="U1390" i="10"/>
  <c r="U3281" i="10"/>
  <c r="U1266" i="10"/>
  <c r="U1856" i="10"/>
  <c r="U2967" i="10"/>
  <c r="U3045" i="10"/>
  <c r="U3339" i="10"/>
  <c r="U3434" i="10"/>
  <c r="U4396" i="10"/>
  <c r="U2987" i="10"/>
  <c r="U4973" i="10"/>
  <c r="U2346" i="10"/>
  <c r="U4010" i="10"/>
  <c r="U1378" i="10"/>
  <c r="U2511" i="10"/>
  <c r="U1639" i="10"/>
  <c r="U4629" i="10"/>
  <c r="U3453" i="10"/>
  <c r="U947" i="10"/>
  <c r="U4646" i="10"/>
  <c r="U3404" i="10"/>
  <c r="U3676" i="10"/>
  <c r="U3018" i="10"/>
  <c r="U3983" i="10"/>
  <c r="U1809" i="10"/>
  <c r="U2367" i="10"/>
  <c r="U2801" i="10"/>
  <c r="U1387" i="10"/>
  <c r="U3884" i="10"/>
  <c r="U1804" i="10"/>
  <c r="U3790" i="10"/>
  <c r="U1714" i="10"/>
  <c r="U3264" i="10"/>
  <c r="U2477" i="10"/>
  <c r="U1596" i="10"/>
  <c r="U1650" i="10"/>
  <c r="U3199" i="10"/>
  <c r="U3702" i="10"/>
  <c r="U1764" i="10"/>
  <c r="U3666" i="10"/>
  <c r="U3136" i="10"/>
  <c r="U3223" i="10"/>
  <c r="U3301" i="10"/>
  <c r="U4749" i="10"/>
  <c r="U2670" i="10"/>
  <c r="U1309" i="10"/>
  <c r="U1490" i="10"/>
  <c r="U2016" i="10"/>
  <c r="U2518" i="10"/>
  <c r="U2628" i="10"/>
  <c r="U3515" i="10"/>
  <c r="U1276" i="10"/>
  <c r="U2454" i="10"/>
  <c r="U1540" i="10"/>
  <c r="U3432" i="10"/>
  <c r="U2157" i="10"/>
  <c r="U4495" i="10"/>
  <c r="U2879" i="10"/>
  <c r="U1943" i="10"/>
  <c r="U2021" i="10"/>
  <c r="U5130" i="10"/>
  <c r="U2410" i="10"/>
  <c r="U3208" i="10"/>
  <c r="U1963" i="10"/>
  <c r="U3679" i="10"/>
  <c r="U2472" i="10"/>
  <c r="U3482" i="10"/>
  <c r="U2625" i="10"/>
  <c r="U1359" i="10"/>
  <c r="U2758" i="10"/>
  <c r="U4059" i="10"/>
  <c r="U754" i="10"/>
  <c r="U3589" i="10"/>
  <c r="U3829" i="10"/>
  <c r="U3162" i="10"/>
  <c r="U1994" i="10"/>
  <c r="U4814" i="10"/>
  <c r="U1311" i="10"/>
  <c r="U1777" i="10"/>
  <c r="U1248" i="10"/>
  <c r="U2922" i="10"/>
  <c r="U4939" i="10"/>
  <c r="U2475" i="10"/>
  <c r="U4879" i="10"/>
  <c r="U2705" i="10"/>
  <c r="U1325" i="10"/>
  <c r="U4752" i="10"/>
  <c r="U2641" i="10"/>
  <c r="U2175" i="10"/>
  <c r="U2678" i="10"/>
  <c r="U2371" i="10"/>
  <c r="U2642" i="10"/>
  <c r="U2112" i="10"/>
  <c r="U2199" i="10"/>
  <c r="U4684" i="10"/>
  <c r="U1646" i="10"/>
  <c r="U2492" i="10"/>
  <c r="U2481" i="10"/>
  <c r="U3039" i="10"/>
  <c r="U1398" i="10"/>
  <c r="U1604" i="10"/>
  <c r="U4619" i="10"/>
  <c r="U2508" i="10"/>
  <c r="U4212" i="10"/>
  <c r="U1334" i="10"/>
  <c r="U2147" i="10"/>
  <c r="U4555" i="10"/>
  <c r="U2444" i="10"/>
  <c r="U3395" i="10"/>
  <c r="U1137" i="10"/>
  <c r="U1855" i="10"/>
  <c r="U3382" i="10"/>
  <c r="U3492" i="10"/>
  <c r="U4106" i="10"/>
  <c r="U1162" i="10"/>
  <c r="U4427" i="10"/>
  <c r="U3402" i="10"/>
  <c r="U5388" i="10"/>
  <c r="U1767" i="10"/>
  <c r="U1569" i="10"/>
  <c r="U2853" i="10"/>
  <c r="U4312" i="10"/>
  <c r="U5486" i="10"/>
  <c r="U4762" i="10"/>
  <c r="U465" i="10"/>
  <c r="U4645" i="10"/>
  <c r="U4852" i="10"/>
  <c r="U2138" i="10"/>
  <c r="U3788" i="10"/>
  <c r="U1168" i="10"/>
  <c r="U2558" i="10"/>
  <c r="U1898" i="10"/>
  <c r="U3915" i="10"/>
  <c r="U1355" i="10"/>
  <c r="U3855" i="10"/>
  <c r="U1649" i="10"/>
  <c r="U2239" i="10"/>
  <c r="U2411" i="10"/>
  <c r="U3721" i="10"/>
  <c r="U2128" i="10"/>
  <c r="U3390" i="10"/>
  <c r="U2645" i="10"/>
  <c r="U1283" i="10"/>
  <c r="U1586" i="10"/>
  <c r="U3135" i="10"/>
  <c r="U3638" i="10"/>
  <c r="U1157" i="10"/>
  <c r="U3636" i="10"/>
  <c r="U1372" i="10"/>
  <c r="U1361" i="10"/>
  <c r="U2015" i="10"/>
  <c r="U2485" i="10"/>
  <c r="U2211" i="10"/>
  <c r="U3553" i="10"/>
  <c r="U1388" i="10"/>
  <c r="U5235" i="10"/>
  <c r="U2421" i="10"/>
  <c r="U3714" i="10"/>
  <c r="U3471" i="10"/>
  <c r="U1324" i="10"/>
  <c r="U4302" i="10"/>
  <c r="U1808" i="10"/>
  <c r="U3070" i="10"/>
  <c r="U2358" i="10"/>
  <c r="U2468" i="10"/>
  <c r="U3578" i="10"/>
  <c r="U1609" i="10"/>
  <c r="U3276" i="10"/>
  <c r="U2378" i="10"/>
  <c r="U4364" i="10"/>
  <c r="U2854" i="10"/>
  <c r="U2839" i="10"/>
  <c r="U2719" i="10"/>
  <c r="U2957" i="10"/>
  <c r="U2973" i="10"/>
  <c r="U4937" i="10"/>
  <c r="U4796" i="10"/>
  <c r="U5175" i="10"/>
  <c r="U2631" i="10"/>
  <c r="U9" i="10"/>
  <c r="U3706" i="10"/>
  <c r="U2985" i="10"/>
  <c r="U3813" i="10"/>
  <c r="U4021" i="10"/>
  <c r="U4233" i="10"/>
  <c r="U4095" i="10"/>
  <c r="U1383" i="10"/>
  <c r="U3742" i="10"/>
  <c r="U3348" i="10"/>
  <c r="U5111" i="10"/>
  <c r="U4605" i="10"/>
  <c r="U2876" i="10"/>
  <c r="U3781" i="10"/>
  <c r="U2857" i="10"/>
  <c r="U5475" i="10"/>
  <c r="U3732" i="10"/>
  <c r="U48" i="10"/>
  <c r="U3587" i="10"/>
  <c r="U3647" i="10"/>
  <c r="U3097" i="10"/>
  <c r="U3144" i="10"/>
  <c r="U4333" i="10"/>
  <c r="U2191" i="10"/>
  <c r="U1534" i="10"/>
  <c r="U1136" i="10"/>
  <c r="U1279" i="10"/>
  <c r="U2185" i="10"/>
  <c r="U5067" i="10"/>
  <c r="U2890" i="10"/>
  <c r="U4686" i="10"/>
  <c r="U2192" i="10"/>
  <c r="U2430" i="10"/>
  <c r="U1163" i="10"/>
  <c r="U4815" i="10"/>
  <c r="U3023" i="10"/>
  <c r="U2366" i="10"/>
  <c r="U1589" i="10"/>
  <c r="U2914" i="10"/>
  <c r="U2577" i="10"/>
  <c r="U2111" i="10"/>
  <c r="U2614" i="10"/>
  <c r="U2724" i="10"/>
  <c r="U4715" i="10"/>
  <c r="U2604" i="10"/>
  <c r="U4462" i="10"/>
  <c r="U1968" i="10"/>
  <c r="U3230" i="10"/>
  <c r="U1397" i="10"/>
  <c r="U3778" i="10"/>
  <c r="U5290" i="10"/>
  <c r="U2155" i="10"/>
  <c r="U4211" i="10"/>
  <c r="U1333" i="10"/>
  <c r="U2690" i="10"/>
  <c r="U5226" i="10"/>
  <c r="U2091" i="10"/>
  <c r="U2796" i="10"/>
  <c r="U2703" i="10"/>
  <c r="U2046" i="10"/>
  <c r="U1174" i="10"/>
  <c r="U1412" i="10"/>
  <c r="U2554" i="10"/>
  <c r="U2536" i="10"/>
  <c r="U5098" i="10"/>
  <c r="U1130" i="10"/>
  <c r="U4395" i="10"/>
  <c r="U1830" i="10"/>
  <c r="U1815" i="10"/>
  <c r="U1695" i="10"/>
  <c r="U1933" i="10"/>
  <c r="U1949" i="10"/>
  <c r="U5553" i="10"/>
  <c r="U4601" i="10"/>
  <c r="U782" i="10"/>
  <c r="U4644" i="10"/>
  <c r="U4531" i="10"/>
  <c r="U2073" i="10"/>
  <c r="U2120" i="10"/>
  <c r="U2971" i="10"/>
  <c r="U2990" i="10"/>
  <c r="U2685" i="10"/>
  <c r="U2159" i="10"/>
  <c r="U2526" i="10"/>
  <c r="U3048" i="10"/>
  <c r="U4586" i="10"/>
  <c r="U1866" i="10"/>
  <c r="U3639" i="10"/>
  <c r="U3087" i="10"/>
  <c r="U1374" i="10"/>
  <c r="U2826" i="10"/>
  <c r="U3789" i="10"/>
  <c r="U1999" i="10"/>
  <c r="U1310" i="10"/>
  <c r="U2484" i="10"/>
  <c r="U1890" i="10"/>
  <c r="U1521" i="10"/>
  <c r="U3326" i="10"/>
  <c r="U1526" i="10"/>
  <c r="U1700" i="10"/>
  <c r="U3677" i="10"/>
  <c r="U1580" i="10"/>
  <c r="U3342" i="10"/>
  <c r="U2863" i="10"/>
  <c r="U2754" i="10"/>
  <c r="U4266" i="10"/>
  <c r="U3594" i="10"/>
  <c r="U5234" i="10"/>
  <c r="U2260" i="10"/>
  <c r="U1634" i="10"/>
  <c r="U4202" i="10"/>
  <c r="U3530" i="10"/>
  <c r="U3821" i="10"/>
  <c r="U1647" i="10"/>
  <c r="U3197" i="10"/>
  <c r="U2051" i="10"/>
  <c r="U1498" i="10"/>
  <c r="U1512" i="10"/>
  <c r="U4074" i="10"/>
  <c r="U1577" i="10"/>
  <c r="U3207" i="10"/>
  <c r="U2949" i="10"/>
  <c r="U3254" i="10"/>
  <c r="U2910" i="10"/>
  <c r="U2891" i="10"/>
  <c r="U4916" i="10"/>
  <c r="U213" i="10"/>
  <c r="U3780" i="10"/>
  <c r="U4566" i="10"/>
  <c r="U5543" i="10"/>
  <c r="U3531" i="10"/>
  <c r="U461" i="10"/>
  <c r="U3585" i="10"/>
  <c r="U3003" i="10"/>
  <c r="U3512" i="10"/>
  <c r="U2439" i="10"/>
  <c r="U5004" i="10"/>
  <c r="U1966" i="10"/>
  <c r="U1661" i="10"/>
  <c r="U2958" i="10"/>
  <c r="U1502" i="10"/>
  <c r="U2024" i="10"/>
  <c r="U3511" i="10"/>
  <c r="U2153" i="10"/>
  <c r="U4205" i="10"/>
  <c r="U2063" i="10"/>
  <c r="U2557" i="10"/>
  <c r="U1802" i="10"/>
  <c r="U4622" i="10"/>
  <c r="U2798" i="10"/>
  <c r="U2493" i="10"/>
  <c r="U1396" i="10"/>
  <c r="U3073" i="10"/>
  <c r="U2064" i="10"/>
  <c r="U2581" i="10"/>
  <c r="U5386" i="10"/>
  <c r="U2251" i="10"/>
  <c r="U3981" i="10"/>
  <c r="U3357" i="10"/>
  <c r="U1172" i="10"/>
  <c r="U1730" i="10"/>
  <c r="U2171" i="10"/>
  <c r="U2570" i="10"/>
  <c r="U4210" i="10"/>
  <c r="U3123" i="10"/>
  <c r="U2849" i="10"/>
  <c r="U3674" i="10"/>
  <c r="U2506" i="10"/>
  <c r="U5516" i="10"/>
  <c r="U2478" i="10"/>
  <c r="U2173" i="10"/>
  <c r="U1173" i="10"/>
  <c r="U3618" i="10"/>
  <c r="U2489" i="10"/>
  <c r="U3546" i="10"/>
  <c r="U2504" i="10"/>
  <c r="U5066" i="10"/>
  <c r="U1925" i="10"/>
  <c r="U2230" i="10"/>
  <c r="U1886" i="10"/>
  <c r="U1867" i="10"/>
  <c r="U3892" i="10"/>
  <c r="U3799" i="10"/>
  <c r="U5088" i="10"/>
  <c r="U4522" i="10"/>
  <c r="U4836" i="10"/>
  <c r="U4723" i="10"/>
  <c r="U5285" i="10"/>
  <c r="U4669" i="10"/>
  <c r="U170" i="10"/>
  <c r="U4642" i="10"/>
  <c r="U5456" i="10"/>
  <c r="U5079" i="10"/>
  <c r="U3534" i="10"/>
  <c r="U1011" i="10"/>
  <c r="U4710" i="10"/>
  <c r="U3486" i="10"/>
  <c r="U2761" i="10"/>
  <c r="U5304" i="10"/>
  <c r="U204" i="10"/>
  <c r="U4675" i="10"/>
  <c r="U3758" i="10"/>
  <c r="U2488" i="10"/>
  <c r="U1351" i="10"/>
  <c r="U3980" i="10"/>
  <c r="U2637" i="10"/>
  <c r="U2812" i="10"/>
  <c r="U1934" i="10"/>
  <c r="U2653" i="10"/>
  <c r="U2343" i="10"/>
  <c r="U3034" i="10"/>
  <c r="U3016" i="10"/>
  <c r="U5101" i="10"/>
  <c r="U2862" i="10"/>
  <c r="U1533" i="10"/>
  <c r="U2089" i="10"/>
  <c r="U3558" i="10"/>
  <c r="U1774" i="10"/>
  <c r="U1469" i="10"/>
  <c r="U2049" i="10"/>
  <c r="U2959" i="10"/>
  <c r="U1182" i="10"/>
  <c r="U1525" i="10"/>
  <c r="U1187" i="10"/>
  <c r="U4362" i="10"/>
  <c r="U3690" i="10"/>
  <c r="U4685" i="10"/>
  <c r="U2638" i="10"/>
  <c r="U2163" i="10"/>
  <c r="U2913" i="10"/>
  <c r="U2714" i="10"/>
  <c r="U1514" i="10"/>
  <c r="U5073" i="10"/>
  <c r="U2099" i="10"/>
  <c r="U1825" i="10"/>
  <c r="U2650" i="10"/>
  <c r="U1354" i="10"/>
  <c r="U4492" i="10"/>
  <c r="U1358" i="10"/>
  <c r="U3324" i="10"/>
  <c r="U2164" i="10"/>
  <c r="U2594" i="10"/>
  <c r="U2918" i="10"/>
  <c r="U2522" i="10"/>
  <c r="U1480" i="10"/>
  <c r="U4042" i="10"/>
  <c r="U3396" i="10"/>
  <c r="U3221" i="10"/>
  <c r="U3037" i="10"/>
  <c r="U3306" i="10"/>
  <c r="U4914" i="10"/>
  <c r="U5268" i="10"/>
  <c r="U5342" i="10"/>
  <c r="U4287" i="10"/>
  <c r="U2094" i="10"/>
  <c r="U4039" i="10"/>
  <c r="U4822" i="10"/>
  <c r="U5173" i="10"/>
  <c r="U3994" i="10"/>
  <c r="U5346" i="10"/>
  <c r="U5528" i="10"/>
  <c r="U803" i="10"/>
  <c r="U4064" i="10"/>
  <c r="U2584" i="10"/>
  <c r="U3811" i="10"/>
  <c r="U3440" i="10"/>
  <c r="U5577" i="10"/>
  <c r="U3617" i="10"/>
  <c r="U1032" i="10"/>
  <c r="U3583" i="10"/>
  <c r="U5103" i="10"/>
  <c r="U4597" i="10"/>
  <c r="U4123" i="10"/>
  <c r="U818" i="10"/>
  <c r="U3669" i="10"/>
  <c r="U3893" i="10"/>
  <c r="U4776" i="10"/>
  <c r="U4280" i="10"/>
  <c r="U235" i="10"/>
  <c r="U3625" i="10"/>
  <c r="U4049" i="10"/>
  <c r="U1368" i="10"/>
  <c r="U2502" i="10"/>
  <c r="U5035" i="10"/>
  <c r="U1900" i="10"/>
  <c r="U1788" i="10"/>
  <c r="U2605" i="10"/>
  <c r="U2780" i="10"/>
  <c r="U1191" i="10"/>
  <c r="U2010" i="10"/>
  <c r="U1992" i="10"/>
  <c r="U4876" i="10"/>
  <c r="U1838" i="10"/>
  <c r="U2684" i="10"/>
  <c r="U2952" i="10"/>
  <c r="U4141" i="10"/>
  <c r="U2445" i="10"/>
  <c r="U2620" i="10"/>
  <c r="U3698" i="10"/>
  <c r="U3168" i="10"/>
  <c r="U1935" i="10"/>
  <c r="U2429" i="10"/>
  <c r="U2420" i="10"/>
  <c r="U2850" i="10"/>
  <c r="U3088" i="10"/>
  <c r="U2666" i="10"/>
  <c r="U4652" i="10"/>
  <c r="U1614" i="10"/>
  <c r="U1277" i="10"/>
  <c r="U3538" i="10"/>
  <c r="U1889" i="10"/>
  <c r="U1658" i="10"/>
  <c r="U1833" i="10"/>
  <c r="U3791" i="10"/>
  <c r="U3474" i="10"/>
  <c r="U2944" i="10"/>
  <c r="U1594" i="10"/>
  <c r="U1769" i="10"/>
  <c r="U3389" i="10"/>
  <c r="U2125" i="10"/>
  <c r="U3027" i="10"/>
  <c r="U1538" i="10"/>
  <c r="U2904" i="10"/>
  <c r="U1894" i="10"/>
  <c r="U1466" i="10"/>
  <c r="U1799" i="10"/>
  <c r="U3514" i="10"/>
  <c r="U1316" i="10"/>
  <c r="U3060" i="10"/>
  <c r="U2013" i="10"/>
  <c r="U3398" i="10"/>
  <c r="U1382" i="10"/>
  <c r="U4011" i="10"/>
  <c r="U2571" i="10"/>
  <c r="U3948" i="10"/>
  <c r="U2406" i="10"/>
  <c r="U2969" i="10"/>
  <c r="U3852" i="10"/>
  <c r="U2509" i="10"/>
  <c r="U2905" i="10"/>
  <c r="U1928" i="10"/>
  <c r="U4941" i="10"/>
  <c r="U1165" i="10"/>
  <c r="U1564" i="10"/>
  <c r="U2674" i="10"/>
  <c r="U2144" i="10"/>
  <c r="U2734" i="10"/>
  <c r="U1373" i="10"/>
  <c r="U1332" i="10"/>
  <c r="U1826" i="10"/>
  <c r="U2810" i="10"/>
  <c r="U1929" i="10"/>
  <c r="U3596" i="10"/>
  <c r="U2460" i="10"/>
  <c r="U2514" i="10"/>
  <c r="U3008" i="10"/>
  <c r="U2649" i="10"/>
  <c r="U2696" i="10"/>
  <c r="U5520" i="10"/>
  <c r="U2450" i="10"/>
  <c r="U1920" i="10"/>
  <c r="U2585" i="10"/>
  <c r="U2632" i="10"/>
  <c r="U4523" i="10"/>
  <c r="U2412" i="10"/>
  <c r="U1148" i="10"/>
  <c r="U2003" i="10"/>
  <c r="U2753" i="10"/>
  <c r="U3013" i="10"/>
  <c r="U2457" i="10"/>
  <c r="U2886" i="10"/>
  <c r="U2425" i="10"/>
  <c r="U3522" i="10"/>
  <c r="U2036" i="10"/>
  <c r="U3164" i="10"/>
  <c r="U2790" i="10"/>
  <c r="U5200" i="10"/>
  <c r="U5043" i="10"/>
  <c r="U5118" i="10"/>
  <c r="U3838" i="10"/>
  <c r="U3234" i="10"/>
  <c r="U3942" i="10"/>
  <c r="U4149" i="10"/>
  <c r="U5348" i="10"/>
  <c r="U3833" i="10"/>
  <c r="U3976" i="10"/>
  <c r="U3406" i="10"/>
  <c r="U5018" i="10"/>
  <c r="U4159" i="10"/>
  <c r="U2733" i="10"/>
  <c r="U3843" i="10"/>
  <c r="U4241" i="10"/>
  <c r="U5271" i="10"/>
  <c r="U3616" i="10"/>
  <c r="U230" i="10"/>
  <c r="U3374" i="10"/>
  <c r="U4268" i="10"/>
  <c r="U5569" i="10"/>
  <c r="U3800" i="10"/>
  <c r="U304" i="10"/>
  <c r="U3668" i="10"/>
  <c r="U3726" i="10"/>
  <c r="U4775" i="10"/>
  <c r="U3729" i="10"/>
  <c r="U776" i="10"/>
  <c r="U3420" i="10"/>
  <c r="U4911" i="10"/>
  <c r="U1463" i="10"/>
  <c r="U2597" i="10"/>
  <c r="U5259" i="10"/>
  <c r="U1547" i="10"/>
  <c r="U5003" i="10"/>
  <c r="U1868" i="10"/>
  <c r="U2392" i="10"/>
  <c r="U1286" i="10"/>
  <c r="U1945" i="10"/>
  <c r="U1159" i="10"/>
  <c r="U4907" i="10"/>
  <c r="U1357" i="10"/>
  <c r="U1881" i="10"/>
  <c r="U2247" i="10"/>
  <c r="U4812" i="10"/>
  <c r="U2379" i="10"/>
  <c r="U4720" i="10"/>
  <c r="U1618" i="10"/>
  <c r="U3167" i="10"/>
  <c r="U2381" i="10"/>
  <c r="U2556" i="10"/>
  <c r="U2259" i="10"/>
  <c r="U3009" i="10"/>
  <c r="U1786" i="10"/>
  <c r="U2792" i="10"/>
  <c r="U4683" i="10"/>
  <c r="U2572" i="10"/>
  <c r="U1340" i="10"/>
  <c r="U1394" i="10"/>
  <c r="U1984" i="10"/>
  <c r="U1991" i="10"/>
  <c r="U4496" i="10"/>
  <c r="U1330" i="10"/>
  <c r="U2943" i="10"/>
  <c r="U1529" i="10"/>
  <c r="U1927" i="10"/>
  <c r="U3431" i="10"/>
  <c r="U1292" i="10"/>
  <c r="U5424" i="10"/>
  <c r="U3378" i="10"/>
  <c r="U1729" i="10"/>
  <c r="U2935" i="10"/>
  <c r="U1989" i="10"/>
  <c r="U1369" i="10"/>
  <c r="U1862" i="10"/>
  <c r="U1337" i="10"/>
  <c r="U2498" i="10"/>
  <c r="U2899" i="10"/>
  <c r="U3954" i="10"/>
  <c r="U1766" i="10"/>
  <c r="U5263" i="10"/>
  <c r="U3687" i="10"/>
  <c r="U5542" i="10"/>
  <c r="U4861" i="10"/>
  <c r="U2813" i="10"/>
  <c r="U4965" i="10"/>
  <c r="U5204" i="10"/>
  <c r="U5385" i="10"/>
  <c r="U5560" i="10"/>
  <c r="U4999" i="10"/>
  <c r="U3959" i="10"/>
  <c r="U5417" i="10"/>
  <c r="U4734" i="10"/>
  <c r="U1479" i="10"/>
  <c r="U4706" i="10"/>
  <c r="U4689" i="10"/>
  <c r="U5077" i="10"/>
  <c r="U4187" i="10"/>
  <c r="U4992" i="10"/>
  <c r="U3749" i="10"/>
  <c r="U5513" i="10"/>
  <c r="U4665" i="10"/>
  <c r="U878" i="10"/>
  <c r="U4708" i="10"/>
  <c r="U4595" i="10"/>
  <c r="U3745" i="10"/>
  <c r="U4534" i="10"/>
  <c r="U487" i="10"/>
  <c r="U4353" i="10"/>
  <c r="U3680" i="10"/>
  <c r="U2934" i="10"/>
  <c r="U1541" i="10"/>
  <c r="U4682" i="10"/>
  <c r="U2986" i="10"/>
  <c r="U3979" i="10"/>
  <c r="U2539" i="10"/>
  <c r="U1272" i="10"/>
  <c r="U2501" i="10"/>
  <c r="U3384" i="10"/>
  <c r="U2374" i="10"/>
  <c r="U3883" i="10"/>
  <c r="U1772" i="10"/>
  <c r="U3320" i="10"/>
  <c r="U3334" i="10"/>
  <c r="U3785" i="10"/>
  <c r="U3818" i="10"/>
  <c r="U3683" i="10"/>
  <c r="U2609" i="10"/>
  <c r="U2143" i="10"/>
  <c r="U2668" i="10"/>
  <c r="U1500" i="10"/>
  <c r="U3634" i="10"/>
  <c r="U1985" i="10"/>
  <c r="U2745" i="10"/>
  <c r="U1768" i="10"/>
  <c r="U3635" i="10"/>
  <c r="U1548" i="10"/>
  <c r="U3477" i="10"/>
  <c r="U2449" i="10"/>
  <c r="U3007" i="10"/>
  <c r="U3064" i="10"/>
  <c r="U3078" i="10"/>
  <c r="U3397" i="10"/>
  <c r="U2385" i="10"/>
  <c r="U1919" i="10"/>
  <c r="U3000" i="10"/>
  <c r="U3014" i="10"/>
  <c r="U5194" i="10"/>
  <c r="U2059" i="10"/>
  <c r="U4400" i="10"/>
  <c r="U2354" i="10"/>
  <c r="U2848" i="10"/>
  <c r="U1911" i="10"/>
  <c r="U3460" i="10"/>
  <c r="U2872" i="10"/>
  <c r="U2981" i="10"/>
  <c r="U2840" i="10"/>
  <c r="U1875" i="10"/>
  <c r="U3479" i="10"/>
  <c r="U2885" i="10"/>
  <c r="U1307" i="10"/>
  <c r="U3053" i="10"/>
  <c r="U3916" i="10"/>
  <c r="U1910" i="10"/>
  <c r="U3044" i="10"/>
  <c r="U3633" i="10"/>
  <c r="U1962" i="10"/>
  <c r="U5195" i="10"/>
  <c r="U1515" i="10"/>
  <c r="U2423" i="10"/>
  <c r="U1413" i="10"/>
  <c r="U2360" i="10"/>
  <c r="U1254" i="10"/>
  <c r="U5578" i="10"/>
  <c r="U2443" i="10"/>
  <c r="U4843" i="10"/>
  <c r="U2794" i="10"/>
  <c r="U4783" i="10"/>
  <c r="U1553" i="10"/>
  <c r="U3358" i="10"/>
  <c r="U1644" i="10"/>
  <c r="U4656" i="10"/>
  <c r="U2610" i="10"/>
  <c r="U3104" i="10"/>
  <c r="U1721" i="10"/>
  <c r="U2087" i="10"/>
  <c r="U5354" i="10"/>
  <c r="U2219" i="10"/>
  <c r="U4623" i="10"/>
  <c r="U1329" i="10"/>
  <c r="U1983" i="10"/>
  <c r="U2040" i="10"/>
  <c r="U2054" i="10"/>
  <c r="U4559" i="10"/>
  <c r="U1265" i="10"/>
  <c r="U3134" i="10"/>
  <c r="U1976" i="10"/>
  <c r="U1990" i="10"/>
  <c r="U4170" i="10"/>
  <c r="U3498" i="10"/>
  <c r="U3213" i="10"/>
  <c r="U1170" i="10"/>
  <c r="U1824" i="10"/>
  <c r="U3350" i="10"/>
  <c r="U2436" i="10"/>
  <c r="U1848" i="10"/>
  <c r="U1957" i="10"/>
  <c r="U1816" i="10"/>
  <c r="U1727" i="10"/>
  <c r="U3250" i="10"/>
  <c r="U4110" i="10"/>
  <c r="U1861" i="10"/>
  <c r="U3125" i="10"/>
  <c r="U868" i="10"/>
  <c r="U4864" i="10"/>
  <c r="U3275" i="10"/>
  <c r="U2901" i="10"/>
  <c r="U2020" i="10"/>
  <c r="U3130" i="10"/>
  <c r="U2249" i="10"/>
  <c r="U4650" i="10"/>
  <c r="U2954" i="10"/>
  <c r="U1335" i="10"/>
  <c r="U2948" i="10"/>
  <c r="U2469" i="10"/>
  <c r="U4554" i="10"/>
  <c r="U1291" i="10"/>
  <c r="U3351" i="10"/>
  <c r="U1158" i="10"/>
  <c r="U3819" i="10"/>
  <c r="U1770" i="10"/>
  <c r="U3755" i="10"/>
  <c r="U2096" i="10"/>
  <c r="U3600" i="10"/>
  <c r="U1554" i="10"/>
  <c r="U2080" i="10"/>
  <c r="U3160" i="10"/>
  <c r="U3174" i="10"/>
  <c r="U4330" i="10"/>
  <c r="U3658" i="10"/>
  <c r="U3559" i="10"/>
  <c r="U1936" i="10"/>
  <c r="U3198" i="10"/>
  <c r="U3095" i="10"/>
  <c r="U3173" i="10"/>
  <c r="U3476" i="10"/>
  <c r="U1872" i="10"/>
  <c r="U2110" i="10"/>
  <c r="U3031" i="10"/>
  <c r="U3109" i="10"/>
  <c r="U3642" i="10"/>
  <c r="U2474" i="10"/>
  <c r="U4463" i="10"/>
  <c r="U2847" i="10"/>
  <c r="U1380" i="10"/>
  <c r="U2903" i="10"/>
  <c r="U2404" i="10"/>
  <c r="U2871" i="10"/>
  <c r="U2942" i="10"/>
  <c r="U2161" i="10"/>
  <c r="U4781" i="10"/>
  <c r="U3332" i="10"/>
  <c r="U1930" i="10"/>
  <c r="U2838" i="10"/>
  <c r="U1924" i="10"/>
  <c r="U2391" i="10"/>
  <c r="U1381" i="10"/>
  <c r="U3470" i="10"/>
  <c r="U2858" i="10"/>
  <c r="U2405" i="10"/>
  <c r="U5514" i="10"/>
  <c r="U2057" i="10"/>
  <c r="U4590" i="10"/>
  <c r="U2991" i="10"/>
  <c r="U1246" i="10"/>
  <c r="U3754" i="10"/>
  <c r="U4719" i="10"/>
  <c r="U2545" i="10"/>
  <c r="U3103" i="10"/>
  <c r="U2136" i="10"/>
  <c r="U2150" i="10"/>
  <c r="U2953" i="10"/>
  <c r="U2634" i="10"/>
  <c r="U4430" i="10"/>
  <c r="U2831" i="10"/>
  <c r="U2174" i="10"/>
  <c r="U2071" i="10"/>
  <c r="U2149" i="10"/>
  <c r="U4366" i="10"/>
  <c r="U2767" i="10"/>
  <c r="U3261" i="10"/>
  <c r="U2007" i="10"/>
  <c r="U2085" i="10"/>
  <c r="U2618" i="10"/>
  <c r="U1322" i="10"/>
  <c r="U3343" i="10"/>
  <c r="U2800" i="10"/>
  <c r="U1823" i="10"/>
  <c r="U1142" i="10"/>
  <c r="U2019" i="10"/>
  <c r="U1879" i="10"/>
  <c r="U1348" i="10"/>
  <c r="U1847" i="10"/>
  <c r="U1918" i="10"/>
  <c r="U2672" i="10"/>
  <c r="U3597" i="10"/>
  <c r="U1156" i="10"/>
  <c r="U5140" i="10"/>
  <c r="U3748" i="10"/>
  <c r="U4732" i="10"/>
  <c r="U933" i="10"/>
  <c r="U5056" i="10"/>
  <c r="U4426" i="10"/>
  <c r="U5045" i="10"/>
  <c r="U3694" i="10"/>
  <c r="U5293" i="10"/>
  <c r="U4638" i="10"/>
  <c r="U3361" i="10"/>
  <c r="U3815" i="10"/>
  <c r="U3020" i="10"/>
  <c r="U106" i="10"/>
  <c r="U4578" i="10"/>
  <c r="U5360" i="10"/>
  <c r="U3628" i="10"/>
  <c r="U3688" i="10"/>
  <c r="U1048" i="10"/>
  <c r="U4959" i="10"/>
  <c r="U2002" i="10"/>
  <c r="U2740" i="10"/>
  <c r="U1603" i="10"/>
  <c r="U3065" i="10"/>
  <c r="U2088" i="10"/>
  <c r="U3098" i="10"/>
  <c r="U2217" i="10"/>
  <c r="U2805" i="10"/>
  <c r="U2531" i="10"/>
  <c r="U1303" i="10"/>
  <c r="U2916" i="10"/>
  <c r="U3002" i="10"/>
  <c r="U1175" i="10"/>
  <c r="U1317" i="10"/>
  <c r="U4490" i="10"/>
  <c r="U2920" i="10"/>
  <c r="U3517" i="10"/>
  <c r="U1967" i="10"/>
  <c r="U2461" i="10"/>
  <c r="U2730" i="10"/>
  <c r="U3681" i="10"/>
  <c r="U1489" i="10"/>
  <c r="U2079" i="10"/>
  <c r="U3191" i="10"/>
  <c r="U3269" i="10"/>
  <c r="U2778" i="10"/>
  <c r="U1578" i="10"/>
  <c r="U3279" i="10"/>
  <c r="U1807" i="10"/>
  <c r="U3325" i="10"/>
  <c r="U3510" i="10"/>
  <c r="U3620" i="10"/>
  <c r="U3113" i="10"/>
  <c r="U2542" i="10"/>
  <c r="U3446" i="10"/>
  <c r="U3556" i="10"/>
  <c r="U1562" i="10"/>
  <c r="U2600" i="10"/>
  <c r="U4270" i="10"/>
  <c r="U1776" i="10"/>
  <c r="U3038" i="10"/>
  <c r="U3586" i="10"/>
  <c r="U3318" i="10"/>
  <c r="U1987" i="10"/>
  <c r="U3286" i="10"/>
  <c r="U3069" i="10"/>
  <c r="U1648" i="10"/>
  <c r="U5324" i="10"/>
  <c r="U2593" i="10"/>
  <c r="U1827" i="10"/>
  <c r="U4676" i="10"/>
  <c r="U4563" i="10"/>
  <c r="U5502" i="10"/>
  <c r="U3935" i="10"/>
  <c r="U1964" i="10"/>
  <c r="U1716" i="10"/>
  <c r="U3170" i="10"/>
  <c r="U2041" i="10"/>
  <c r="U2407" i="10"/>
  <c r="U2074" i="10"/>
  <c r="U3080" i="10"/>
  <c r="U1781" i="10"/>
  <c r="U1507" i="10"/>
  <c r="U2806" i="10"/>
  <c r="U1892" i="10"/>
  <c r="U1978" i="10"/>
  <c r="U2121" i="10"/>
  <c r="U2742" i="10"/>
  <c r="U2852" i="10"/>
  <c r="U3387" i="10"/>
  <c r="U1896" i="10"/>
  <c r="U4109" i="10"/>
  <c r="U2766" i="10"/>
  <c r="U1993" i="10"/>
  <c r="U4526" i="10"/>
  <c r="U2032" i="10"/>
  <c r="U3294" i="10"/>
  <c r="U2167" i="10"/>
  <c r="U2245" i="10"/>
  <c r="U1897" i="10"/>
  <c r="U3949" i="10"/>
  <c r="U2606" i="10"/>
  <c r="U2486" i="10"/>
  <c r="U2596" i="10"/>
  <c r="U3885" i="10"/>
  <c r="U1518" i="10"/>
  <c r="U1149" i="10"/>
  <c r="U2422" i="10"/>
  <c r="U2532" i="10"/>
  <c r="U2553" i="10"/>
  <c r="U2671" i="10"/>
  <c r="U2014" i="10"/>
  <c r="U1141" i="10"/>
  <c r="U2562" i="10"/>
  <c r="U3285" i="10"/>
  <c r="U3554" i="10"/>
  <c r="U2262" i="10"/>
  <c r="U2045" i="10"/>
  <c r="U2543" i="10"/>
  <c r="U4300" i="10"/>
  <c r="U1854" i="10"/>
  <c r="U1473" i="10"/>
  <c r="U4945" i="10"/>
  <c r="U3910" i="10"/>
  <c r="U4117" i="10"/>
  <c r="U4900" i="10"/>
  <c r="U4787" i="10"/>
  <c r="U5269" i="10"/>
  <c r="U4251" i="10"/>
  <c r="U1068" i="10"/>
  <c r="U5151" i="10"/>
  <c r="U1619" i="10"/>
  <c r="U4904" i="10"/>
  <c r="U4408" i="10"/>
  <c r="U5210" i="10"/>
  <c r="U4637" i="10"/>
  <c r="U277" i="10"/>
  <c r="U3814" i="10"/>
  <c r="U4598" i="10"/>
  <c r="U615" i="10"/>
  <c r="U4417" i="10"/>
  <c r="U3753" i="10"/>
  <c r="U3627" i="10"/>
  <c r="U3131" i="10"/>
  <c r="U4791" i="10"/>
  <c r="U4510" i="10"/>
  <c r="U1478" i="10"/>
  <c r="U2579" i="10"/>
  <c r="U2146" i="10"/>
  <c r="U3480" i="10"/>
  <c r="U1319" i="10"/>
  <c r="U3033" i="10"/>
  <c r="U2056" i="10"/>
  <c r="U2644" i="10"/>
  <c r="U3074" i="10"/>
  <c r="U2773" i="10"/>
  <c r="U2499" i="10"/>
  <c r="U2937" i="10"/>
  <c r="U2984" i="10"/>
  <c r="U1654" i="10"/>
  <c r="U1828" i="10"/>
  <c r="U2938" i="10"/>
  <c r="U2215" i="10"/>
  <c r="U4909" i="10"/>
  <c r="U2413" i="10"/>
  <c r="U2588" i="10"/>
  <c r="U2856" i="10"/>
  <c r="U3435" i="10"/>
  <c r="U2927" i="10"/>
  <c r="U2270" i="10"/>
  <c r="U3606" i="10"/>
  <c r="U2713" i="10"/>
  <c r="U2760" i="10"/>
  <c r="U4653" i="10"/>
  <c r="U2428" i="10"/>
  <c r="U1366" i="10"/>
  <c r="U1572" i="10"/>
  <c r="U5580" i="10"/>
  <c r="U2189" i="10"/>
  <c r="U2364" i="10"/>
  <c r="U1302" i="10"/>
  <c r="U1508" i="10"/>
  <c r="U1497" i="10"/>
  <c r="U1895" i="10"/>
  <c r="U3787" i="10"/>
  <c r="U1615" i="10"/>
  <c r="U3165" i="10"/>
  <c r="U2132" i="10"/>
  <c r="U1506" i="10"/>
  <c r="U2261" i="10"/>
  <c r="U2530" i="10"/>
  <c r="U3253" i="10"/>
  <c r="U3196" i="10"/>
  <c r="U1391" i="10"/>
  <c r="U2791" i="10"/>
  <c r="U3005" i="10"/>
  <c r="U2624" i="10"/>
  <c r="U2375" i="10"/>
  <c r="U2483" i="10"/>
  <c r="U2050" i="10"/>
  <c r="U1475" i="10"/>
  <c r="U1913" i="10"/>
  <c r="U1960" i="10"/>
  <c r="U2709" i="10"/>
  <c r="U2435" i="10"/>
  <c r="U1914" i="10"/>
  <c r="U3302" i="10"/>
  <c r="U4780" i="10"/>
  <c r="U1532" i="10"/>
  <c r="U1832" i="10"/>
  <c r="U4045" i="10"/>
  <c r="U1903" i="10"/>
  <c r="U1150" i="10"/>
  <c r="U2582" i="10"/>
  <c r="U2692" i="10"/>
  <c r="U1657" i="10"/>
  <c r="U4620" i="10"/>
  <c r="U2253" i="10"/>
  <c r="U1308" i="10"/>
  <c r="U2453" i="10"/>
  <c r="U2179" i="10"/>
  <c r="U4556" i="10"/>
  <c r="U2476" i="10"/>
  <c r="U4179" i="10"/>
  <c r="U2389" i="10"/>
  <c r="U2115" i="10"/>
  <c r="U2968" i="10"/>
  <c r="U2982" i="10"/>
  <c r="U5484" i="10"/>
  <c r="U2446" i="10"/>
  <c r="U2141" i="10"/>
  <c r="U2995" i="10"/>
  <c r="U1665" i="10"/>
  <c r="U3124" i="10"/>
  <c r="U1474" i="10"/>
  <c r="U3092" i="10"/>
  <c r="U5010" i="10"/>
  <c r="U2956" i="10"/>
  <c r="U1981" i="10"/>
  <c r="U2623" i="10"/>
  <c r="U3925" i="10"/>
  <c r="U932" i="10"/>
  <c r="U4928" i="10"/>
  <c r="U3552" i="10"/>
  <c r="U3665" i="10"/>
  <c r="U4081" i="10"/>
  <c r="U3913" i="10"/>
  <c r="U4509" i="10"/>
  <c r="U1852" i="10"/>
  <c r="U2930" i="10"/>
  <c r="U1336" i="10"/>
  <c r="U1350" i="10"/>
  <c r="U3448" i="10"/>
  <c r="U1287" i="10"/>
  <c r="U1363" i="10"/>
  <c r="U3233" i="10"/>
  <c r="U2612" i="10"/>
  <c r="U3042" i="10"/>
  <c r="U3352" i="10"/>
  <c r="U1653" i="10"/>
  <c r="U1347" i="10"/>
  <c r="U2873" i="10"/>
  <c r="U3751" i="10"/>
  <c r="U1676" i="10"/>
  <c r="U2809" i="10"/>
  <c r="U2151" i="10"/>
  <c r="U4813" i="10"/>
  <c r="U2702" i="10"/>
  <c r="U2397" i="10"/>
  <c r="U1494" i="10"/>
  <c r="U3128" i="10"/>
  <c r="U3142" i="10"/>
  <c r="U3555" i="10"/>
  <c r="U2540" i="10"/>
  <c r="U5266" i="10"/>
  <c r="U1365" i="10"/>
  <c r="U3746" i="10"/>
  <c r="U3472" i="10"/>
  <c r="U1356" i="10"/>
  <c r="U5202" i="10"/>
  <c r="U1301" i="10"/>
  <c r="U3682" i="10"/>
  <c r="U1944" i="10"/>
  <c r="U1958" i="10"/>
  <c r="U4460" i="10"/>
  <c r="U1326" i="10"/>
  <c r="U3292" i="10"/>
  <c r="U3346" i="10"/>
  <c r="U2816" i="10"/>
  <c r="U2100" i="10"/>
  <c r="U2689" i="10"/>
  <c r="U2068" i="10"/>
  <c r="U3986" i="10"/>
  <c r="U2989" i="10"/>
  <c r="U5002" i="10"/>
  <c r="U3132" i="10"/>
  <c r="U2814" i="10"/>
  <c r="U4546" i="10"/>
  <c r="U5328" i="10"/>
  <c r="U5102" i="10"/>
  <c r="U3412" i="10"/>
  <c r="U3952" i="10"/>
  <c r="U1906" i="10"/>
  <c r="U2400" i="10"/>
  <c r="U2487" i="10"/>
  <c r="U2565" i="10"/>
  <c r="U2424" i="10"/>
  <c r="U2438" i="10"/>
  <c r="U2834" i="10"/>
  <c r="U2209" i="10"/>
  <c r="U2451" i="10"/>
  <c r="U2018" i="10"/>
  <c r="U1127" i="10"/>
  <c r="U2548" i="10"/>
  <c r="U2978" i="10"/>
  <c r="U1849" i="10"/>
  <c r="U1126" i="10"/>
  <c r="U4811" i="10"/>
  <c r="U2347" i="10"/>
  <c r="U3238" i="10"/>
  <c r="U4716" i="10"/>
  <c r="U1678" i="10"/>
  <c r="U1341" i="10"/>
  <c r="U2549" i="10"/>
  <c r="U1155" i="10"/>
  <c r="U2104" i="10"/>
  <c r="U2118" i="10"/>
  <c r="U4651" i="10"/>
  <c r="U1516" i="10"/>
  <c r="U4242" i="10"/>
  <c r="U2722" i="10"/>
  <c r="U4587" i="10"/>
  <c r="U2123" i="10"/>
  <c r="U4178" i="10"/>
  <c r="U2228" i="10"/>
  <c r="U2658" i="10"/>
  <c r="U2999" i="10"/>
  <c r="U3077" i="10"/>
  <c r="U3340" i="10"/>
  <c r="U2093" i="10"/>
  <c r="U1116" i="10"/>
  <c r="U1792" i="10"/>
  <c r="U2963" i="10"/>
  <c r="U2784" i="10"/>
  <c r="U2931" i="10"/>
  <c r="U4593" i="10"/>
  <c r="U3978" i="10"/>
  <c r="U1917" i="10"/>
  <c r="U5023" i="10"/>
  <c r="U2994" i="10"/>
  <c r="U3461" i="10"/>
  <c r="U4943" i="10"/>
  <c r="U5405" i="10"/>
  <c r="U4508" i="10"/>
  <c r="U5039" i="10"/>
  <c r="U2865" i="10"/>
  <c r="U1312" i="10"/>
  <c r="U1509" i="10"/>
  <c r="U1304" i="10"/>
  <c r="U1318" i="10"/>
  <c r="U1810" i="10"/>
  <c r="U3328" i="10"/>
  <c r="U1299" i="10"/>
  <c r="U3201" i="10"/>
  <c r="U1144" i="10"/>
  <c r="U2342" i="10"/>
  <c r="U1524" i="10"/>
  <c r="U1954" i="10"/>
  <c r="U3288" i="10"/>
  <c r="U2373" i="10"/>
  <c r="U3784" i="10"/>
  <c r="U3786" i="10"/>
  <c r="U3224" i="10"/>
  <c r="U2214" i="10"/>
  <c r="U3678" i="10"/>
  <c r="U2349" i="10"/>
  <c r="U2524" i="10"/>
  <c r="U1493" i="10"/>
  <c r="U2818" i="10"/>
  <c r="U3159" i="10"/>
  <c r="U3237" i="10"/>
  <c r="U3595" i="10"/>
  <c r="U2187" i="10"/>
  <c r="U5169" i="10"/>
  <c r="U1140" i="10"/>
  <c r="U2881" i="10"/>
  <c r="U3513" i="10"/>
  <c r="U3562" i="10"/>
  <c r="U4977" i="10"/>
  <c r="U3091" i="10"/>
  <c r="U2817" i="10"/>
  <c r="U1975" i="10"/>
  <c r="U2053" i="10"/>
  <c r="U4491" i="10"/>
  <c r="U2380" i="10"/>
  <c r="U4368" i="10"/>
  <c r="U1138" i="10"/>
  <c r="U2815" i="10"/>
  <c r="U1939" i="10"/>
  <c r="U1760" i="10"/>
  <c r="U3282" i="10"/>
  <c r="U3520" i="10"/>
  <c r="U1899" i="10"/>
  <c r="U3450" i="10"/>
  <c r="U4299" i="10"/>
  <c r="U5228" i="10"/>
  <c r="U3779" i="10"/>
  <c r="U3989" i="10"/>
  <c r="U3469" i="10"/>
  <c r="U4858" i="10"/>
  <c r="U910" i="10"/>
  <c r="U4740" i="10"/>
  <c r="U4627" i="10"/>
  <c r="U4169" i="10"/>
  <c r="U3999" i="10"/>
  <c r="U2028" i="10"/>
  <c r="U4385" i="10"/>
  <c r="U3719" i="10"/>
  <c r="U3632" i="10"/>
  <c r="U3411" i="10"/>
  <c r="U4015" i="10"/>
  <c r="U1841" i="10"/>
  <c r="U2399" i="10"/>
  <c r="U2902" i="10"/>
  <c r="U3012" i="10"/>
  <c r="U2455" i="10"/>
  <c r="U2533" i="10"/>
  <c r="U2769" i="10"/>
  <c r="U2802" i="10"/>
  <c r="U2177" i="10"/>
  <c r="U2359" i="10"/>
  <c r="U1190" i="10"/>
  <c r="U2387" i="10"/>
  <c r="U3137" i="10"/>
  <c r="U2264" i="10"/>
  <c r="U1285" i="10"/>
  <c r="U5482" i="10"/>
  <c r="U2762" i="10"/>
  <c r="U2200" i="10"/>
  <c r="U3333" i="10"/>
  <c r="U4747" i="10"/>
  <c r="U2636" i="10"/>
  <c r="U1468" i="10"/>
  <c r="U2388" i="10"/>
  <c r="U1794" i="10"/>
  <c r="U2135" i="10"/>
  <c r="U2213" i="10"/>
  <c r="U5322" i="10"/>
  <c r="U3626" i="10"/>
  <c r="U3825" i="10"/>
  <c r="U2131" i="10"/>
  <c r="U1857" i="10"/>
  <c r="U5258" i="10"/>
  <c r="U2538" i="10"/>
  <c r="U3757" i="10"/>
  <c r="U2067" i="10"/>
  <c r="U1793" i="10"/>
  <c r="U3414" i="10"/>
  <c r="U3524" i="10"/>
  <c r="U3388" i="10"/>
  <c r="U1164" i="10"/>
  <c r="U3116" i="10"/>
  <c r="U2257" i="10"/>
  <c r="U3006" i="10"/>
  <c r="U3314" i="10"/>
  <c r="U2783" i="10"/>
  <c r="U2704" i="10"/>
  <c r="U5296" i="10"/>
  <c r="U3338" i="10"/>
  <c r="U2426" i="10"/>
  <c r="U2779" i="10"/>
  <c r="U4204" i="10"/>
  <c r="U4968" i="10"/>
  <c r="U4472" i="10"/>
  <c r="U5425" i="10"/>
  <c r="U4700" i="10"/>
  <c r="U689" i="10"/>
  <c r="U4805" i="10"/>
  <c r="U5044" i="10"/>
  <c r="U5463" i="10"/>
  <c r="U3834" i="10"/>
  <c r="U557" i="10"/>
  <c r="U3708" i="10"/>
  <c r="U3289" i="10"/>
  <c r="U5129" i="10"/>
  <c r="U4574" i="10"/>
  <c r="U2534" i="10"/>
  <c r="U3179" i="10"/>
  <c r="U4044" i="10"/>
  <c r="U5572" i="10"/>
  <c r="U4027" i="10"/>
  <c r="U4846" i="10"/>
  <c r="U2352" i="10"/>
  <c r="U1343" i="10"/>
  <c r="U1878" i="10"/>
  <c r="U1988" i="10"/>
  <c r="U1367" i="10"/>
  <c r="U1477" i="10"/>
  <c r="U1713" i="10"/>
  <c r="U1778" i="10"/>
  <c r="U3296" i="10"/>
  <c r="U1271" i="10"/>
  <c r="U2437" i="10"/>
  <c r="U2113" i="10"/>
  <c r="U3319" i="10"/>
  <c r="U2820" i="10"/>
  <c r="U4458" i="10"/>
  <c r="U2025" i="10"/>
  <c r="U3255" i="10"/>
  <c r="U3716" i="10"/>
  <c r="U1612" i="10"/>
  <c r="U2992" i="10"/>
  <c r="U1300" i="10"/>
  <c r="U2977" i="10"/>
  <c r="U3574" i="10"/>
  <c r="U3684" i="10"/>
  <c r="U4298" i="10"/>
  <c r="U2602" i="10"/>
  <c r="U5552" i="10"/>
  <c r="U3506" i="10"/>
  <c r="U2976" i="10"/>
  <c r="U4234" i="10"/>
  <c r="U1386" i="10"/>
  <c r="U5488" i="10"/>
  <c r="U3442" i="10"/>
  <c r="U2912" i="10"/>
  <c r="U2390" i="10"/>
  <c r="U2500" i="10"/>
  <c r="U5162" i="10"/>
  <c r="U2027" i="10"/>
  <c r="U4431" i="10"/>
  <c r="U2768" i="10"/>
  <c r="U1982" i="10"/>
  <c r="U2974" i="10"/>
  <c r="U1680" i="10"/>
  <c r="U4335" i="10"/>
  <c r="U1273" i="10"/>
  <c r="U4970" i="10"/>
  <c r="U5515" i="10"/>
  <c r="U918" i="10"/>
  <c r="U4071" i="10"/>
  <c r="U4854" i="10"/>
  <c r="U5300" i="10"/>
  <c r="U4255" i="10"/>
  <c r="U2062" i="10"/>
  <c r="U4802" i="10"/>
  <c r="U4913" i="10"/>
  <c r="U3540" i="10"/>
  <c r="U4972" i="10"/>
  <c r="U3944" i="10"/>
  <c r="U3359" i="10"/>
  <c r="U5318" i="10"/>
  <c r="U3657" i="10"/>
  <c r="U432" i="10"/>
  <c r="U3777" i="10"/>
  <c r="U3924" i="10"/>
  <c r="U5556" i="10"/>
  <c r="U4697" i="10"/>
  <c r="U300" i="10"/>
  <c r="U4771" i="10"/>
  <c r="U4050" i="10"/>
  <c r="U5332" i="10"/>
  <c r="U3496" i="10"/>
  <c r="U2369" i="10"/>
  <c r="U4896" i="10"/>
  <c r="U3430" i="10"/>
  <c r="U5518" i="10"/>
  <c r="U4730" i="10"/>
  <c r="U3822" i="10"/>
  <c r="U1264" i="10"/>
  <c r="U2590" i="10"/>
  <c r="U2869" i="10"/>
  <c r="U2595" i="10"/>
  <c r="U2870" i="10"/>
  <c r="U2980" i="10"/>
  <c r="U2256" i="10"/>
  <c r="U2737" i="10"/>
  <c r="U2774" i="10"/>
  <c r="U1349" i="10"/>
  <c r="U2738" i="10"/>
  <c r="U3232" i="10"/>
  <c r="U1796" i="10"/>
  <c r="U3337" i="10"/>
  <c r="U2888" i="10"/>
  <c r="U2231" i="10"/>
  <c r="U1189" i="10"/>
  <c r="U5418" i="10"/>
  <c r="U3921" i="10"/>
  <c r="U2227" i="10"/>
  <c r="U1953" i="10"/>
  <c r="U2550" i="10"/>
  <c r="U2660" i="10"/>
  <c r="U2764" i="10"/>
  <c r="U1546" i="10"/>
  <c r="U4528" i="10"/>
  <c r="U2482" i="10"/>
  <c r="U1952" i="10"/>
  <c r="U1147" i="10"/>
  <c r="U1801" i="10"/>
  <c r="U4464" i="10"/>
  <c r="U2418" i="10"/>
  <c r="U1888" i="10"/>
  <c r="U1270" i="10"/>
  <c r="U1476" i="10"/>
  <c r="U4138" i="10"/>
  <c r="U3466" i="10"/>
  <c r="U3280" i="10"/>
  <c r="U2639" i="10"/>
  <c r="U3133" i="10"/>
  <c r="U3249" i="10"/>
  <c r="U1950" i="10"/>
  <c r="U2575" i="10"/>
  <c r="U2983" i="10"/>
  <c r="U1798" i="10"/>
  <c r="U2776" i="10"/>
  <c r="U1455" i="10"/>
  <c r="U1916" i="10"/>
  <c r="U3872" i="10"/>
  <c r="U2615" i="10"/>
  <c r="U5435" i="10"/>
  <c r="U3695" i="10"/>
  <c r="U4365" i="10"/>
  <c r="U1566" i="10"/>
  <c r="U1845" i="10"/>
  <c r="U1571" i="10"/>
  <c r="U1846" i="10"/>
  <c r="U1956" i="10"/>
  <c r="U3151" i="10"/>
  <c r="U1247" i="10"/>
  <c r="U1681" i="10"/>
  <c r="U2271" i="10"/>
  <c r="U1718" i="10"/>
  <c r="U2884" i="10"/>
  <c r="U1682" i="10"/>
  <c r="U2208" i="10"/>
  <c r="U1143" i="10"/>
  <c r="U2403" i="10"/>
  <c r="U2906" i="10"/>
  <c r="U1864" i="10"/>
  <c r="U3670" i="10"/>
  <c r="U2756" i="10"/>
  <c r="U4394" i="10"/>
  <c r="U3722" i="10"/>
  <c r="U4753" i="10"/>
  <c r="U3602" i="10"/>
  <c r="U3072" i="10"/>
  <c r="U1462" i="10"/>
  <c r="U1636" i="10"/>
  <c r="U2746" i="10"/>
  <c r="U1865" i="10"/>
  <c r="U3437" i="10"/>
  <c r="U1362" i="10"/>
  <c r="U2975" i="10"/>
  <c r="U2682" i="10"/>
  <c r="U2664" i="10"/>
  <c r="U3344" i="10"/>
  <c r="U1298" i="10"/>
  <c r="U2911" i="10"/>
  <c r="U2357" i="10"/>
  <c r="U2083" i="10"/>
  <c r="U3610" i="10"/>
  <c r="U2442" i="10"/>
  <c r="U4238" i="10"/>
  <c r="U1583" i="10"/>
  <c r="U2109" i="10"/>
  <c r="U3101" i="10"/>
  <c r="U1487" i="10"/>
  <c r="U4142" i="10"/>
  <c r="U2917" i="10"/>
  <c r="U1720" i="10"/>
  <c r="U1656" i="10"/>
  <c r="U99" i="10"/>
  <c r="U4096" i="10"/>
  <c r="U3416" i="10"/>
  <c r="U3943" i="10"/>
  <c r="U4726" i="10"/>
  <c r="U4891" i="10"/>
  <c r="U4922" i="10"/>
  <c r="U653" i="10"/>
  <c r="U3776" i="10"/>
  <c r="U3400" i="10"/>
  <c r="U5022" i="10"/>
  <c r="U5400" i="10"/>
  <c r="U138" i="10"/>
  <c r="U4610" i="10"/>
  <c r="U5392" i="10"/>
  <c r="U5278" i="10"/>
  <c r="U3495" i="10"/>
  <c r="U1065" i="10"/>
  <c r="U4991" i="10"/>
  <c r="U2962" i="10"/>
  <c r="U5511" i="10"/>
  <c r="U4569" i="10"/>
  <c r="U3111" i="10"/>
  <c r="U3022" i="10"/>
  <c r="U2717" i="10"/>
  <c r="U2708" i="10"/>
  <c r="U3138" i="10"/>
  <c r="U2837" i="10"/>
  <c r="U2563" i="10"/>
  <c r="U2127" i="10"/>
  <c r="U2494" i="10"/>
  <c r="U2224" i="10"/>
  <c r="U2462" i="10"/>
  <c r="U2741" i="10"/>
  <c r="U1860" i="10"/>
  <c r="U2673" i="10"/>
  <c r="U3231" i="10"/>
  <c r="U2710" i="10"/>
  <c r="U1315" i="10"/>
  <c r="U1882" i="10"/>
  <c r="U2183" i="10"/>
  <c r="U2646" i="10"/>
  <c r="U3203" i="10"/>
  <c r="U2698" i="10"/>
  <c r="U4624" i="10"/>
  <c r="U2578" i="10"/>
  <c r="U2048" i="10"/>
  <c r="U2517" i="10"/>
  <c r="U2243" i="10"/>
  <c r="U1722" i="10"/>
  <c r="U2728" i="10"/>
  <c r="U4591" i="10"/>
  <c r="U2417" i="10"/>
  <c r="U1951" i="10"/>
  <c r="U2617" i="10"/>
  <c r="U1959" i="10"/>
  <c r="U4527" i="10"/>
  <c r="U2353" i="10"/>
  <c r="U1887" i="10"/>
  <c r="U1269" i="10"/>
  <c r="U3650" i="10"/>
  <c r="U2586" i="10"/>
  <c r="U1290" i="10"/>
  <c r="U1275" i="10"/>
  <c r="U2414" i="10"/>
  <c r="U3260" i="10"/>
  <c r="U1712" i="10"/>
  <c r="U3228" i="10"/>
  <c r="U2350" i="10"/>
  <c r="U4877" i="10"/>
  <c r="U1893" i="10"/>
  <c r="U2807" i="10"/>
  <c r="U3973" i="10"/>
  <c r="U4116" i="10"/>
  <c r="U5206" i="10"/>
  <c r="U3803" i="10"/>
  <c r="U5" i="10"/>
  <c r="U5152" i="10"/>
  <c r="U4746" i="10"/>
  <c r="U4191" i="10"/>
  <c r="U2765" i="10"/>
  <c r="U3846" i="10"/>
  <c r="U4053" i="10"/>
  <c r="U5489" i="10"/>
  <c r="U4761" i="10"/>
  <c r="U395" i="10"/>
  <c r="U3809" i="10"/>
  <c r="U4209" i="10"/>
  <c r="U3848" i="10"/>
  <c r="U3148" i="10"/>
  <c r="U647" i="10"/>
  <c r="U4449" i="10"/>
  <c r="U3854" i="10"/>
  <c r="U4919" i="10"/>
  <c r="U3494" i="10"/>
  <c r="U4987" i="10"/>
  <c r="U4542" i="10"/>
  <c r="U1510" i="10"/>
  <c r="U5382" i="10"/>
  <c r="U5272" i="10"/>
  <c r="U4012" i="10"/>
  <c r="U2669" i="10"/>
  <c r="U2844" i="10"/>
  <c r="U2547" i="10"/>
  <c r="U3297" i="10"/>
  <c r="U1652" i="10"/>
  <c r="U3106" i="10"/>
  <c r="U1902" i="10"/>
  <c r="U2621" i="10"/>
  <c r="U2095" i="10"/>
  <c r="U2589" i="10"/>
  <c r="U2580" i="10"/>
  <c r="U1379" i="10"/>
  <c r="U2160" i="10"/>
  <c r="U2398" i="10"/>
  <c r="U2516" i="10"/>
  <c r="U1922" i="10"/>
  <c r="U1817" i="10"/>
  <c r="U2613" i="10"/>
  <c r="U1251" i="10"/>
  <c r="U1818" i="10"/>
  <c r="U2824" i="10"/>
  <c r="U4687" i="10"/>
  <c r="U2513" i="10"/>
  <c r="U2047" i="10"/>
  <c r="U2356" i="10"/>
  <c r="U2786" i="10"/>
  <c r="U3096" i="10"/>
  <c r="U3110" i="10"/>
  <c r="U4398" i="10"/>
  <c r="U1904" i="10"/>
  <c r="U2142" i="10"/>
  <c r="U3032" i="10"/>
  <c r="U2022" i="10"/>
  <c r="U4334" i="10"/>
  <c r="U1840" i="10"/>
  <c r="U2078" i="10"/>
  <c r="U3059" i="10"/>
  <c r="U1570" i="10"/>
  <c r="U2521" i="10"/>
  <c r="U1544" i="10"/>
  <c r="U5452" i="10"/>
  <c r="U2061" i="10"/>
  <c r="U1098" i="10"/>
  <c r="U1519" i="10"/>
  <c r="U2819" i="10"/>
  <c r="U5356" i="10"/>
  <c r="U2340" i="10"/>
  <c r="U2198" i="10"/>
  <c r="U3157" i="10"/>
  <c r="U3831" i="10"/>
  <c r="U198" i="10"/>
  <c r="U3315" i="10"/>
  <c r="U4108" i="10"/>
  <c r="U3551" i="10"/>
  <c r="U4091" i="10"/>
  <c r="U5287" i="10"/>
  <c r="U3455" i="10"/>
  <c r="U2337" i="10"/>
  <c r="U4744" i="10"/>
  <c r="U4248" i="10"/>
  <c r="U5099" i="10"/>
  <c r="U1645" i="10"/>
  <c r="U1820" i="10"/>
  <c r="U1491" i="10"/>
  <c r="U2515" i="10"/>
  <c r="U2082" i="10"/>
  <c r="U2573" i="10"/>
  <c r="U1597" i="10"/>
  <c r="U2894" i="10"/>
  <c r="U1565" i="10"/>
  <c r="U1556" i="10"/>
  <c r="U3010" i="10"/>
  <c r="U3055" i="10"/>
  <c r="U1342" i="10"/>
  <c r="U1492" i="10"/>
  <c r="U3105" i="10"/>
  <c r="U3256" i="10"/>
  <c r="U3365" i="10"/>
  <c r="U1557" i="10"/>
  <c r="U2882" i="10"/>
  <c r="U2777" i="10"/>
  <c r="U1800" i="10"/>
  <c r="U3641" i="10"/>
  <c r="U1393" i="10"/>
  <c r="U3262" i="10"/>
  <c r="U1268" i="10"/>
  <c r="U1762" i="10"/>
  <c r="U2072" i="10"/>
  <c r="U2086" i="10"/>
  <c r="U3211" i="10"/>
  <c r="U2799" i="10"/>
  <c r="U3293" i="10"/>
  <c r="U2008" i="10"/>
  <c r="U3141" i="10"/>
  <c r="U2979" i="10"/>
  <c r="U2735" i="10"/>
  <c r="U3229" i="10"/>
  <c r="U2035" i="10"/>
  <c r="U2785" i="10"/>
  <c r="U1465" i="10"/>
  <c r="U1863" i="10"/>
  <c r="U4428" i="10"/>
  <c r="U2348" i="10"/>
  <c r="U5069" i="10"/>
  <c r="U1166" i="10"/>
  <c r="U4367" i="10"/>
  <c r="U2955" i="10"/>
  <c r="U4332" i="10"/>
  <c r="U1284" i="10"/>
  <c r="U2165" i="10"/>
  <c r="U1584" i="10"/>
  <c r="U2608" i="10"/>
  <c r="U2479" i="10"/>
  <c r="U1327" i="10"/>
  <c r="U4906" i="10"/>
  <c r="U3354" i="10"/>
  <c r="U2925" i="10"/>
  <c r="U1167" i="10"/>
  <c r="U2569" i="10"/>
  <c r="Q1202" i="10"/>
  <c r="U1202" i="10" s="1"/>
  <c r="Q1186" i="10"/>
  <c r="U1186" i="10" s="1"/>
  <c r="Q1102" i="10"/>
  <c r="U1102" i="10" s="1"/>
  <c r="Q1591" i="10"/>
  <c r="U1591" i="10" s="1"/>
  <c r="Q1608" i="10"/>
  <c r="U1608" i="10" s="1"/>
  <c r="Q1607" i="10"/>
  <c r="U1607" i="10" s="1"/>
  <c r="Q1120" i="10"/>
  <c r="U1120" i="10" s="1"/>
  <c r="Q1590" i="10"/>
  <c r="U1590" i="10" s="1"/>
  <c r="Q1203" i="10"/>
  <c r="U1203" i="10" s="1"/>
  <c r="Q1103" i="10"/>
  <c r="U1103" i="10" s="1"/>
  <c r="Q1185" i="10"/>
  <c r="U1185" i="10" s="1"/>
  <c r="Q1119" i="10"/>
  <c r="U1119" i="10" s="1"/>
  <c r="Q1218" i="10"/>
  <c r="U1218" i="10" s="1"/>
  <c r="Q1243" i="10"/>
  <c r="U1243" i="10" s="1"/>
  <c r="Q1085" i="10"/>
  <c r="U1085" i="10" s="1"/>
  <c r="Q1086" i="10"/>
  <c r="U1086" i="10" s="1"/>
  <c r="U1822" i="10"/>
  <c r="U2134" i="10"/>
  <c r="U2415" i="10"/>
  <c r="U2861" i="10"/>
  <c r="U2846" i="10"/>
  <c r="U1837" i="10"/>
  <c r="U1771" i="10"/>
  <c r="U2782" i="10"/>
  <c r="U1758" i="10"/>
  <c r="U1891" i="10"/>
  <c r="U3100" i="10"/>
  <c r="U2909" i="10"/>
  <c r="U2108" i="10"/>
  <c r="U4176" i="10"/>
  <c r="U3036" i="10"/>
  <c r="U2757" i="10"/>
  <c r="U3946" i="10"/>
  <c r="U4046" i="10"/>
  <c r="U3418" i="10"/>
  <c r="U3516" i="10"/>
  <c r="U5167" i="10"/>
  <c r="Q1602" i="10"/>
  <c r="U1602" i="10" s="1"/>
  <c r="U1701" i="10"/>
  <c r="U2101" i="10"/>
  <c r="U3204" i="10"/>
  <c r="U2964" i="10"/>
  <c r="U3330" i="10"/>
  <c r="U1940" i="10"/>
  <c r="U2222" i="10"/>
  <c r="U3090" i="10"/>
  <c r="Q3" i="10"/>
  <c r="U4561" i="10"/>
  <c r="U1352" i="10"/>
  <c r="U2859" i="10"/>
  <c r="U1568" i="10"/>
  <c r="U1377" i="10"/>
  <c r="U5104" i="10"/>
  <c r="U4080" i="10"/>
  <c r="U3882" i="10"/>
  <c r="U5164" i="10"/>
  <c r="U4140" i="10"/>
  <c r="U5355" i="10"/>
  <c r="U2265" i="10"/>
  <c r="U5547" i="10"/>
  <c r="U3058" i="10"/>
  <c r="U2034" i="10"/>
  <c r="U1472" i="10"/>
  <c r="U2190" i="10"/>
  <c r="U1503" i="10"/>
  <c r="U1694" i="10"/>
  <c r="U105" i="10"/>
  <c r="U1225" i="10"/>
  <c r="U3154" i="10"/>
  <c r="U3210" i="10"/>
  <c r="U1206" i="10"/>
  <c r="U2130" i="10"/>
  <c r="U2186" i="10"/>
  <c r="U1229" i="10"/>
  <c r="U3274" i="10"/>
  <c r="U3089" i="10"/>
  <c r="U2473" i="10"/>
  <c r="U1230" i="10"/>
  <c r="U2250" i="10"/>
  <c r="U2065" i="10"/>
  <c r="U101" i="10"/>
  <c r="U2376" i="10"/>
  <c r="U1552" i="10"/>
  <c r="U2694" i="10"/>
  <c r="U1419" i="10"/>
  <c r="U1829" i="10"/>
  <c r="U3394" i="10"/>
  <c r="U4851" i="10"/>
  <c r="U2370" i="10"/>
  <c r="U3827" i="10"/>
  <c r="U4850" i="10"/>
  <c r="U3283" i="10"/>
  <c r="U3826" i="10"/>
  <c r="U2648" i="10"/>
  <c r="U1560" i="10"/>
  <c r="U2679" i="10"/>
  <c r="U3094" i="10"/>
  <c r="Q1610" i="10"/>
  <c r="U1610" i="10" s="1"/>
  <c r="U2900" i="10"/>
  <c r="U1876" i="10"/>
  <c r="U2739" i="10"/>
  <c r="U1430" i="10"/>
  <c r="U1814" i="10"/>
  <c r="U1813" i="10"/>
  <c r="U1812" i="10"/>
  <c r="U2001" i="10"/>
  <c r="U1574" i="10"/>
  <c r="D9" i="10"/>
  <c r="F9" i="10" s="1"/>
  <c r="O1641" i="10" s="1"/>
  <c r="Q1641" i="10" s="1"/>
  <c r="U1641" i="10" s="1"/>
  <c r="U2662" i="10"/>
  <c r="Q1674" i="10"/>
  <c r="U1674" i="10" s="1"/>
  <c r="Q1707" i="10"/>
  <c r="U1707" i="10" s="1"/>
  <c r="Q1706" i="10"/>
  <c r="U1706" i="10" s="1"/>
  <c r="Q1704" i="10"/>
  <c r="U1704" i="10" s="1"/>
  <c r="U1424" i="10"/>
  <c r="Q291" i="10"/>
  <c r="U291" i="10" s="1"/>
  <c r="Q726" i="10"/>
  <c r="U726" i="10" s="1"/>
  <c r="U1453" i="10"/>
  <c r="Q1632" i="10"/>
  <c r="U1632" i="10" s="1"/>
  <c r="Q1214" i="10"/>
  <c r="U1214" i="10" s="1"/>
  <c r="Q1687" i="10"/>
  <c r="U1687" i="10" s="1"/>
  <c r="U4143" i="10"/>
  <c r="Q1633" i="10"/>
  <c r="U1633" i="10" s="1"/>
  <c r="U1885" i="10"/>
  <c r="U4974" i="10"/>
  <c r="Q1740" i="10"/>
  <c r="U1740" i="10" s="1"/>
  <c r="U4915" i="10"/>
  <c r="U4557" i="10"/>
  <c r="U5199" i="10"/>
  <c r="U2993" i="10"/>
  <c r="U2744" i="10"/>
  <c r="U3891" i="10"/>
  <c r="U3473" i="10"/>
  <c r="U3672" i="10"/>
  <c r="U1969" i="10"/>
  <c r="U2797" i="10"/>
  <c r="U1773" i="10"/>
  <c r="Q1741" i="10"/>
  <c r="U1741" i="10" s="1"/>
  <c r="U2731" i="10"/>
  <c r="U2527" i="10"/>
  <c r="O1100" i="10"/>
  <c r="Q1100" i="10" s="1"/>
  <c r="U1100" i="10" s="1"/>
  <c r="Q1114" i="10"/>
  <c r="U1114" i="10" s="1"/>
  <c r="U2718" i="10"/>
  <c r="U1948" i="10"/>
  <c r="Q1746" i="10"/>
  <c r="U1746" i="10" s="1"/>
  <c r="U1425" i="10"/>
  <c r="U1231" i="10"/>
  <c r="Q1197" i="10"/>
  <c r="U1197" i="10" s="1"/>
  <c r="U1256" i="10"/>
  <c r="U1238" i="10"/>
  <c r="U1104" i="10"/>
  <c r="U1223" i="10"/>
  <c r="Q1220" i="10"/>
  <c r="U1220" i="10" s="1"/>
  <c r="U1241" i="10"/>
  <c r="Q1671" i="10"/>
  <c r="U1671" i="10" s="1"/>
  <c r="O1117" i="10"/>
  <c r="Q1117" i="10" s="1"/>
  <c r="U1117" i="10" s="1"/>
  <c r="U1215" i="10"/>
  <c r="U1431" i="10"/>
  <c r="U1112" i="10"/>
  <c r="E11" i="10"/>
  <c r="F11" i="10" s="1"/>
  <c r="O798" i="10" s="1"/>
  <c r="Q798" i="10" s="1"/>
  <c r="U798" i="10" s="1"/>
  <c r="O1183" i="10"/>
  <c r="Q1183" i="10" s="1"/>
  <c r="U1183" i="10" s="1"/>
  <c r="U2480" i="10"/>
  <c r="Q1675" i="10"/>
  <c r="U1675" i="10" s="1"/>
  <c r="U2126" i="10"/>
  <c r="Q290" i="10"/>
  <c r="U290" i="10" s="1"/>
  <c r="U1763" i="10"/>
  <c r="U3391" i="10"/>
  <c r="U3150" i="10"/>
  <c r="U2972" i="10"/>
  <c r="U1099" i="10"/>
  <c r="Q294" i="10"/>
  <c r="U294" i="10" s="1"/>
  <c r="U1428" i="10"/>
  <c r="U1421" i="10"/>
  <c r="U1426" i="10"/>
  <c r="U2775" i="10"/>
  <c r="U1702" i="10"/>
  <c r="U4239" i="10"/>
  <c r="U2576" i="10"/>
  <c r="U1178" i="10"/>
  <c r="U1321" i="10"/>
  <c r="U4433" i="10"/>
  <c r="U1683" i="10"/>
  <c r="U2465" i="10"/>
  <c r="U4171" i="10"/>
  <c r="U2060" i="10"/>
  <c r="U102" i="10"/>
  <c r="U1213" i="10"/>
  <c r="Q1630" i="10"/>
  <c r="U1630" i="10" s="1"/>
  <c r="U1433" i="10"/>
  <c r="Q1613" i="10"/>
  <c r="U1613" i="10" s="1"/>
  <c r="U2447" i="10"/>
  <c r="U1790" i="10"/>
  <c r="U3704" i="10"/>
  <c r="U1192" i="10"/>
  <c r="U5136" i="10"/>
  <c r="U2066" i="10"/>
  <c r="U2560" i="10"/>
  <c r="U4842" i="10"/>
  <c r="U3146" i="10"/>
  <c r="U1234" i="10"/>
  <c r="U1199" i="10"/>
  <c r="U1226" i="10"/>
  <c r="Q1710" i="10"/>
  <c r="U1710" i="10" s="1"/>
  <c r="U1445" i="10"/>
  <c r="U1448" i="10"/>
  <c r="U2372" i="10"/>
  <c r="U2960" i="10"/>
  <c r="U1965" i="10"/>
  <c r="U2140" i="10"/>
  <c r="U3189" i="10"/>
  <c r="U1252" i="10"/>
  <c r="U2166" i="10"/>
  <c r="U3300" i="10"/>
  <c r="U4621" i="10"/>
  <c r="U1295" i="10"/>
  <c r="U2941" i="10"/>
  <c r="U2680" i="10"/>
  <c r="U1575" i="10"/>
  <c r="U4112" i="10"/>
  <c r="U3025" i="10"/>
  <c r="U1504" i="10"/>
  <c r="U3817" i="10"/>
  <c r="U2122" i="10"/>
  <c r="U1195" i="10"/>
  <c r="O1083" i="10"/>
  <c r="Q1083" i="10" s="1"/>
  <c r="U1083" i="10" s="1"/>
  <c r="Q1611" i="10"/>
  <c r="U1611" i="10" s="1"/>
  <c r="Q1742" i="10"/>
  <c r="U1742" i="10" s="1"/>
  <c r="Q1244" i="10"/>
  <c r="U1244" i="10" s="1"/>
  <c r="U2559" i="10"/>
  <c r="U3290" i="10"/>
  <c r="U2409" i="10"/>
  <c r="U1109" i="10"/>
  <c r="L2" i="1"/>
  <c r="Q1622" i="10"/>
  <c r="U1622" i="10" s="1"/>
  <c r="U1459" i="10"/>
  <c r="Q1666" i="10"/>
  <c r="U1666" i="10" s="1"/>
  <c r="U2736" i="10"/>
  <c r="U1759" i="10"/>
  <c r="U2229" i="10"/>
  <c r="U1955" i="10"/>
  <c r="U3099" i="10"/>
  <c r="U2923" i="10"/>
  <c r="U4978" i="10"/>
  <c r="U3028" i="10"/>
  <c r="U3458" i="10"/>
  <c r="U2133" i="10"/>
  <c r="U5260" i="10"/>
  <c r="U2893" i="10"/>
  <c r="U3068" i="10"/>
  <c r="U2711" i="10"/>
  <c r="U1606" i="10"/>
  <c r="U4175" i="10"/>
  <c r="U2512" i="10"/>
  <c r="U1535" i="10"/>
  <c r="U2266" i="10"/>
  <c r="U1240" i="10"/>
  <c r="U1212" i="10"/>
  <c r="Q1624" i="10"/>
  <c r="U1624" i="10" s="1"/>
  <c r="Q1620" i="10"/>
  <c r="U1620" i="10" s="1"/>
  <c r="Q1748" i="10"/>
  <c r="U1748" i="10" s="1"/>
  <c r="U2004" i="10"/>
  <c r="U2434" i="10"/>
  <c r="U2996" i="10"/>
  <c r="U1859" i="10"/>
  <c r="U4236" i="10"/>
  <c r="U1869" i="10"/>
  <c r="U2044" i="10"/>
  <c r="U1655" i="10"/>
  <c r="U2789" i="10"/>
  <c r="U5006" i="10"/>
  <c r="U1488" i="10"/>
  <c r="U2750" i="10"/>
  <c r="U3225" i="10"/>
  <c r="U2248" i="10"/>
  <c r="U1209" i="10"/>
  <c r="U104" i="10"/>
  <c r="U1423" i="10"/>
  <c r="U1442" i="10"/>
  <c r="Q1670" i="10"/>
  <c r="U1670" i="10" s="1"/>
  <c r="U2867" i="10"/>
  <c r="U1346" i="10"/>
  <c r="U1972" i="10"/>
  <c r="U3426" i="10"/>
  <c r="U5579" i="10"/>
  <c r="U2156" i="10"/>
  <c r="U1081" i="10"/>
  <c r="U3126" i="10"/>
  <c r="U1765" i="10"/>
  <c r="U3982" i="10"/>
  <c r="U2383" i="10"/>
  <c r="U1726" i="10"/>
  <c r="U2201" i="10"/>
  <c r="U1128" i="10"/>
  <c r="U1113" i="10"/>
  <c r="U1237" i="10"/>
  <c r="Q1628" i="10"/>
  <c r="U1628" i="10" s="1"/>
  <c r="Q1743" i="10"/>
  <c r="U1743" i="10" s="1"/>
  <c r="U1434" i="10"/>
  <c r="U2835" i="10"/>
  <c r="U2402" i="10"/>
  <c r="U4267" i="10"/>
  <c r="U2827" i="10"/>
  <c r="U3860" i="10"/>
  <c r="U2102" i="10"/>
  <c r="U3236" i="10"/>
  <c r="U4525" i="10"/>
  <c r="U1135" i="10"/>
  <c r="U2877" i="10"/>
  <c r="U3640" i="10"/>
  <c r="U1511" i="10"/>
  <c r="Q1153" i="10"/>
  <c r="U1153" i="10" s="1"/>
  <c r="U1196" i="10"/>
  <c r="Q292" i="10"/>
  <c r="U292" i="10" s="1"/>
  <c r="U1460" i="10"/>
  <c r="U1436" i="10"/>
  <c r="U2382" i="10"/>
  <c r="U2077" i="10"/>
  <c r="U1907" i="10"/>
  <c r="U2657" i="10"/>
  <c r="U2458" i="10"/>
  <c r="U2601" i="10"/>
  <c r="U5264" i="10"/>
  <c r="U3218" i="10"/>
  <c r="U1537" i="10"/>
  <c r="U1314" i="10"/>
  <c r="U1803" i="10"/>
  <c r="U4883" i="10"/>
  <c r="U3093" i="10"/>
  <c r="U2212" i="10"/>
  <c r="U3433" i="10"/>
  <c r="U2158" i="10"/>
  <c r="U1853" i="10"/>
  <c r="U2616" i="10"/>
  <c r="U2630" i="10"/>
  <c r="U1201" i="10"/>
  <c r="Q1154" i="10"/>
  <c r="U1154" i="10" s="1"/>
  <c r="Q1709" i="10"/>
  <c r="U1709" i="10" s="1"/>
  <c r="U1446" i="10"/>
  <c r="Q1245" i="10"/>
  <c r="U1245" i="10" s="1"/>
  <c r="U1601" i="10"/>
  <c r="U1338" i="10"/>
  <c r="U1513" i="10"/>
  <c r="U4240" i="10"/>
  <c r="U2194" i="10"/>
  <c r="U2688" i="10"/>
  <c r="U3186" i="10"/>
  <c r="U2561" i="10"/>
  <c r="U4938" i="10"/>
  <c r="U3242" i="10"/>
  <c r="U3859" i="10"/>
  <c r="U2069" i="10"/>
  <c r="U1124" i="10"/>
  <c r="U5196" i="10"/>
  <c r="U2829" i="10"/>
  <c r="U3004" i="10"/>
  <c r="U1528" i="10"/>
  <c r="U1542" i="10"/>
  <c r="U1313" i="10"/>
  <c r="Q1673" i="10"/>
  <c r="U1673" i="10" s="1"/>
  <c r="Q1667" i="10"/>
  <c r="U1667" i="10" s="1"/>
  <c r="U2258" i="10"/>
  <c r="U2752" i="10"/>
  <c r="U2393" i="10"/>
  <c r="U2440" i="10"/>
  <c r="U1339" i="10"/>
  <c r="U3153" i="10"/>
  <c r="U2687" i="10"/>
  <c r="U2162" i="10"/>
  <c r="U1505" i="10"/>
  <c r="U3914" i="10"/>
  <c r="U2218" i="10"/>
  <c r="U4882" i="10"/>
  <c r="U2932" i="10"/>
  <c r="U1795" i="10"/>
  <c r="U4172" i="10"/>
  <c r="U1805" i="10"/>
  <c r="U1980" i="10"/>
  <c r="U2647" i="10"/>
  <c r="U2725" i="10"/>
  <c r="U1258" i="10"/>
  <c r="U1235" i="10"/>
  <c r="U1211" i="10"/>
  <c r="Q1629" i="10"/>
  <c r="U1629" i="10" s="1"/>
  <c r="U1452" i="10"/>
  <c r="Q1736" i="10"/>
  <c r="U1736" i="10" s="1"/>
  <c r="U3217" i="10"/>
  <c r="U1728" i="10"/>
  <c r="U1305" i="10"/>
  <c r="U1384" i="10"/>
  <c r="U4303" i="10"/>
  <c r="U2129" i="10"/>
  <c r="U1663" i="10"/>
  <c r="U3121" i="10"/>
  <c r="U2656" i="10"/>
  <c r="U3386" i="10"/>
  <c r="U2505" i="10"/>
  <c r="U3858" i="10"/>
  <c r="U1908" i="10"/>
  <c r="U3362" i="10"/>
  <c r="U5451" i="10"/>
  <c r="U2092" i="10"/>
  <c r="U3172" i="10"/>
  <c r="U1259" i="10"/>
  <c r="U100" i="10"/>
  <c r="U1454" i="10"/>
  <c r="U1440" i="10"/>
  <c r="U1458" i="10"/>
  <c r="U2193" i="10"/>
  <c r="U2751" i="10"/>
  <c r="U2808" i="10"/>
  <c r="U2822" i="10"/>
  <c r="U2811" i="10"/>
  <c r="U2640" i="10"/>
  <c r="U2878" i="10"/>
  <c r="U2097" i="10"/>
  <c r="U1600" i="10"/>
  <c r="U2362" i="10"/>
  <c r="U1353" i="10"/>
  <c r="U4465" i="10"/>
  <c r="U2771" i="10"/>
  <c r="U2338" i="10"/>
  <c r="U4203" i="10"/>
  <c r="U2763" i="10"/>
  <c r="U4820" i="10"/>
  <c r="U3062" i="10"/>
  <c r="U2148" i="10"/>
  <c r="U1106" i="10"/>
  <c r="U1416" i="10"/>
  <c r="U1224" i="10"/>
  <c r="Q1631" i="10"/>
  <c r="U1631" i="10" s="1"/>
  <c r="Q1097" i="10"/>
  <c r="U1097" i="10" s="1"/>
  <c r="U1444" i="10"/>
  <c r="U2344" i="10"/>
  <c r="U3345" i="10"/>
  <c r="U1715" i="10"/>
  <c r="U1250" i="10"/>
  <c r="U5037" i="10"/>
  <c r="U3178" i="10"/>
  <c r="U3794" i="10"/>
  <c r="U2038" i="10"/>
  <c r="U2755" i="10"/>
  <c r="U1233" i="10"/>
  <c r="U1198" i="10"/>
  <c r="Q6" i="10"/>
  <c r="Q1239" i="10"/>
  <c r="U1239" i="10" s="1"/>
  <c r="Q1738" i="10"/>
  <c r="U1738" i="10" s="1"/>
  <c r="U1432" i="10"/>
  <c r="U1288" i="10"/>
  <c r="U5168" i="10"/>
  <c r="U3122" i="10"/>
  <c r="U2497" i="10"/>
  <c r="U4874" i="10"/>
  <c r="U2154" i="10"/>
  <c r="U4819" i="10"/>
  <c r="U3029" i="10"/>
  <c r="U1731" i="10"/>
  <c r="U1262" i="10"/>
  <c r="Q1152" i="10"/>
  <c r="U1152" i="10" s="1"/>
  <c r="Q1705" i="10"/>
  <c r="U1705" i="10" s="1"/>
  <c r="Q1585" i="10"/>
  <c r="U1585" i="10" s="1"/>
  <c r="U98" i="10"/>
  <c r="U1145" i="10"/>
  <c r="U4144" i="10"/>
  <c r="U2098" i="10"/>
  <c r="U3850" i="10"/>
  <c r="U2441" i="10"/>
  <c r="U3793" i="10"/>
  <c r="U2005" i="10"/>
  <c r="U3298" i="10"/>
  <c r="U1207" i="10"/>
  <c r="U1108" i="10"/>
  <c r="U1422" i="10"/>
  <c r="U1439" i="10"/>
  <c r="Q1640" i="10"/>
  <c r="U1640" i="10" s="1"/>
  <c r="U2712" i="10"/>
  <c r="U2726" i="10"/>
  <c r="U5231" i="10"/>
  <c r="U3057" i="10"/>
  <c r="U2592" i="10"/>
  <c r="U3322" i="10"/>
  <c r="U1289" i="10"/>
  <c r="U4818" i="10"/>
  <c r="U2868" i="10"/>
  <c r="U1227" i="10"/>
  <c r="U1236" i="10"/>
  <c r="U1107" i="10"/>
  <c r="Q1621" i="10"/>
  <c r="U1621" i="10" s="1"/>
  <c r="Q1080" i="10"/>
  <c r="U1080" i="10" s="1"/>
  <c r="Q1685" i="10"/>
  <c r="U1685" i="10" s="1"/>
  <c r="U2743" i="10"/>
  <c r="U2821" i="10"/>
  <c r="U4207" i="10"/>
  <c r="U2033" i="10"/>
  <c r="U1536" i="10"/>
  <c r="U3792" i="10"/>
  <c r="U1844" i="10"/>
  <c r="U2433" i="10"/>
  <c r="U1260" i="10"/>
  <c r="U1194" i="10"/>
  <c r="U1210" i="10"/>
  <c r="Q1703" i="10"/>
  <c r="U1703" i="10" s="1"/>
  <c r="Q1739" i="10"/>
  <c r="U1739" i="10" s="1"/>
  <c r="U1457" i="10"/>
  <c r="U1719" i="10"/>
  <c r="U1797" i="10"/>
  <c r="U5038" i="10"/>
  <c r="U2544" i="10"/>
  <c r="U2591" i="10"/>
  <c r="U1146" i="10"/>
  <c r="U1160" i="10"/>
  <c r="U4401" i="10"/>
  <c r="U2707" i="10"/>
  <c r="U1345" i="10"/>
  <c r="U1232" i="10"/>
  <c r="U1216" i="10"/>
  <c r="U103" i="10"/>
  <c r="U1429" i="10"/>
  <c r="U1447" i="10"/>
  <c r="Q1626" i="10"/>
  <c r="U1626" i="10" s="1"/>
  <c r="U3107" i="10"/>
  <c r="U1997" i="10"/>
  <c r="U2172" i="10"/>
  <c r="U2197" i="10"/>
  <c r="U1923" i="10"/>
  <c r="U4331" i="10"/>
  <c r="U1901" i="10"/>
  <c r="U2076" i="10"/>
  <c r="U3158" i="10"/>
  <c r="U3268" i="10"/>
  <c r="U4014" i="10"/>
  <c r="U1520" i="10"/>
  <c r="U1567" i="10"/>
  <c r="U2233" i="10"/>
  <c r="U1543" i="10"/>
  <c r="U3214" i="10"/>
  <c r="U1651" i="10"/>
  <c r="U2528" i="10"/>
  <c r="U1257" i="10"/>
  <c r="U1549" i="10"/>
  <c r="U96" i="10"/>
  <c r="U1420" i="10"/>
  <c r="U1438" i="10"/>
  <c r="U1441" i="10"/>
  <c r="U2268" i="10"/>
  <c r="U1971" i="10"/>
  <c r="U2721" i="10"/>
  <c r="U3428" i="10"/>
  <c r="U2490" i="10"/>
  <c r="U2633" i="10"/>
  <c r="U4272" i="10"/>
  <c r="U2226" i="10"/>
  <c r="U2720" i="10"/>
  <c r="U1306" i="10"/>
  <c r="U1417" i="10"/>
  <c r="U2394" i="10"/>
  <c r="U2537" i="10"/>
  <c r="U3890" i="10"/>
  <c r="U2803" i="10"/>
  <c r="U1282" i="10"/>
  <c r="U4235" i="10"/>
  <c r="U2124" i="10"/>
  <c r="U2012" i="10"/>
  <c r="U2070" i="10"/>
  <c r="U2180" i="10"/>
  <c r="U3950" i="10"/>
  <c r="U1392" i="10"/>
  <c r="U2845" i="10"/>
  <c r="U1255" i="10"/>
  <c r="U1208" i="10"/>
  <c r="Q1672" i="10"/>
  <c r="U1672" i="10" s="1"/>
  <c r="U1427" i="10"/>
  <c r="U1451" i="10"/>
  <c r="U1370" i="10"/>
  <c r="U1545" i="10"/>
  <c r="U2363" i="10"/>
  <c r="U3185" i="10"/>
  <c r="U1664" i="10"/>
  <c r="U2361" i="10"/>
  <c r="U2408" i="10"/>
  <c r="U1274" i="10"/>
  <c r="U1385" i="10"/>
  <c r="U4497" i="10"/>
  <c r="U1779" i="10"/>
  <c r="U2529" i="10"/>
  <c r="U1179" i="10"/>
  <c r="U2795" i="10"/>
  <c r="U1087" i="10"/>
  <c r="U3061" i="10"/>
  <c r="U2787" i="10"/>
  <c r="U4493" i="10"/>
  <c r="U2351" i="10"/>
  <c r="U1821" i="10"/>
  <c r="U1204" i="10"/>
  <c r="U1228" i="10"/>
  <c r="Q1708" i="10"/>
  <c r="U1708" i="10" s="1"/>
  <c r="Q1623" i="10"/>
  <c r="U1623" i="10" s="1"/>
  <c r="U1450" i="10"/>
  <c r="O1200" i="10"/>
  <c r="Q1200" i="10" s="1"/>
  <c r="U1200" i="10" s="1"/>
  <c r="Q1219" i="10"/>
  <c r="U1219" i="10" s="1"/>
  <c r="Q1180" i="10"/>
  <c r="U1180" i="10" s="1"/>
  <c r="Q1737" i="10"/>
  <c r="U1737" i="10" s="1"/>
  <c r="Q1668" i="10"/>
  <c r="U1668" i="10" s="1"/>
  <c r="U1443" i="10"/>
  <c r="Q1625" i="10"/>
  <c r="U1625" i="10" s="1"/>
  <c r="U1437" i="10"/>
  <c r="BA21" i="10" a="1"/>
  <c r="BA21" i="10" s="1"/>
  <c r="BB21" i="10" s="1" a="1"/>
  <c r="BB21" i="10" s="1"/>
  <c r="U1449" i="10"/>
  <c r="U1456" i="10"/>
  <c r="Q1735" i="10"/>
  <c r="U1735" i="10" s="1"/>
  <c r="O1588" i="10"/>
  <c r="Q1588" i="10" s="1"/>
  <c r="U1588" i="10" s="1"/>
  <c r="U1415" i="10"/>
  <c r="U97" i="10"/>
  <c r="Q1747" i="10"/>
  <c r="U1747" i="10" s="1"/>
  <c r="O1605" i="10"/>
  <c r="Q1605" i="10" s="1"/>
  <c r="U1605" i="10" s="1"/>
  <c r="Q1669" i="10"/>
  <c r="U1669" i="10" s="1"/>
  <c r="Q1734" i="10"/>
  <c r="U1734" i="10" s="1"/>
  <c r="O646" i="10"/>
  <c r="Q646" i="10" s="1"/>
  <c r="U646" i="10" s="1"/>
  <c r="O66" i="10"/>
  <c r="Q66" i="10" s="1"/>
  <c r="U66" i="10" s="1"/>
  <c r="O549" i="10"/>
  <c r="Q549" i="10" s="1"/>
  <c r="U549" i="10" s="1"/>
  <c r="O597" i="10"/>
  <c r="Q597" i="10" s="1"/>
  <c r="U597" i="10" s="1"/>
  <c r="O56" i="10"/>
  <c r="Q56" i="10" s="1"/>
  <c r="U56" i="10" s="1"/>
  <c r="O749" i="10"/>
  <c r="Q749" i="10" s="1"/>
  <c r="U749" i="10" s="1"/>
  <c r="O180" i="10"/>
  <c r="Q180" i="10" s="1"/>
  <c r="U180" i="10" s="1"/>
  <c r="O797" i="10" l="1"/>
  <c r="Q797" i="10" s="1"/>
  <c r="U797" i="10" s="1"/>
  <c r="O1551" i="10"/>
  <c r="Q1551" i="10" s="1"/>
  <c r="U1551" i="10" s="1"/>
  <c r="O748" i="10"/>
  <c r="Q748" i="10" s="1"/>
  <c r="U748" i="10" s="1"/>
  <c r="O205" i="10"/>
  <c r="Q205" i="10" s="1"/>
  <c r="U205" i="10" s="1"/>
  <c r="O65" i="10"/>
  <c r="O111" i="10"/>
  <c r="Q111" i="10" s="1"/>
  <c r="U111" i="10" s="1"/>
  <c r="O2205" i="10"/>
  <c r="Q2205" i="10" s="1"/>
  <c r="U2205" i="10" s="1"/>
  <c r="O2223" i="10"/>
  <c r="Q2223" i="10" s="1"/>
  <c r="U2223" i="10" s="1"/>
  <c r="U745" i="10"/>
  <c r="U716" i="10"/>
  <c r="O2225" i="10"/>
  <c r="Q2225" i="10" s="1"/>
  <c r="U2225" i="10" s="1"/>
  <c r="O2206" i="10"/>
  <c r="Q2206" i="10" s="1"/>
  <c r="U2206" i="10" s="1"/>
  <c r="U1418" i="10"/>
  <c r="U1414" i="10"/>
  <c r="U2327" i="10"/>
  <c r="Q2252" i="10"/>
  <c r="U2252" i="10" s="1"/>
  <c r="Q2244" i="10"/>
  <c r="U2244" i="10" s="1"/>
  <c r="Q2254" i="10"/>
  <c r="U2254" i="10" s="1"/>
  <c r="Q2246" i="10"/>
  <c r="U2246" i="10" s="1"/>
  <c r="U6" i="10"/>
  <c r="Q642" i="10"/>
  <c r="U642" i="10" s="1"/>
  <c r="Q593" i="10"/>
  <c r="U593" i="10" s="1"/>
  <c r="Q1125" i="10"/>
  <c r="U1125" i="10" s="1"/>
  <c r="Q544" i="10"/>
  <c r="U544" i="10" s="1"/>
  <c r="Q1133" i="10"/>
  <c r="U1133" i="10" s="1"/>
  <c r="O408" i="10"/>
  <c r="Q408" i="10" s="1"/>
  <c r="U408" i="10" s="1"/>
  <c r="O261" i="10"/>
  <c r="Q261" i="10" s="1"/>
  <c r="U261" i="10" s="1"/>
  <c r="O251" i="10"/>
  <c r="Q251" i="10" s="1"/>
  <c r="U251" i="10" s="1"/>
  <c r="O397" i="10"/>
  <c r="Q397" i="10" s="1"/>
  <c r="U397" i="10" s="1"/>
  <c r="O129" i="10"/>
  <c r="Q129" i="10" s="1"/>
  <c r="U129" i="10" s="1"/>
  <c r="O55" i="10"/>
  <c r="Q55" i="10" s="1"/>
  <c r="U55" i="10" s="1"/>
  <c r="O407" i="10"/>
  <c r="Q407" i="10" s="1"/>
  <c r="U407" i="10" s="1"/>
  <c r="O694" i="10"/>
  <c r="Q694" i="10" s="1"/>
  <c r="U694" i="10" s="1"/>
  <c r="O220" i="10"/>
  <c r="Q220" i="10" s="1"/>
  <c r="U220" i="10" s="1"/>
  <c r="O358" i="10"/>
  <c r="Q358" i="10" s="1"/>
  <c r="U358" i="10" s="1"/>
  <c r="O1688" i="10"/>
  <c r="Q1688" i="10" s="1"/>
  <c r="U1688" i="10" s="1"/>
  <c r="O178" i="10"/>
  <c r="Q178" i="10" s="1"/>
  <c r="U178" i="10" s="1"/>
  <c r="O160" i="10"/>
  <c r="Q160" i="10" s="1"/>
  <c r="U160" i="10" s="1"/>
  <c r="O249" i="10"/>
  <c r="Q249" i="10" s="1"/>
  <c r="U249" i="10" s="1"/>
  <c r="O596" i="10"/>
  <c r="Q596" i="10" s="1"/>
  <c r="U596" i="10" s="1"/>
  <c r="O645" i="10"/>
  <c r="Q645" i="10" s="1"/>
  <c r="U645" i="10" s="1"/>
  <c r="O548" i="10"/>
  <c r="Q548" i="10" s="1"/>
  <c r="U548" i="10" s="1"/>
  <c r="O348" i="10"/>
  <c r="Q348" i="10" s="1"/>
  <c r="U348" i="10" s="1"/>
  <c r="O259" i="10"/>
  <c r="Q259" i="10" s="1"/>
  <c r="U259" i="10" s="1"/>
  <c r="O398" i="10"/>
  <c r="Q398" i="10" s="1"/>
  <c r="U398" i="10" s="1"/>
  <c r="O130" i="10"/>
  <c r="Q130" i="10" s="1"/>
  <c r="U130" i="10" s="1"/>
  <c r="O359" i="10"/>
  <c r="Q359" i="10" s="1"/>
  <c r="U359" i="10" s="1"/>
  <c r="O349" i="10"/>
  <c r="Q349" i="10" s="1"/>
  <c r="U349" i="10" s="1"/>
  <c r="O161" i="10"/>
  <c r="Q161" i="10" s="1"/>
  <c r="U161" i="10" s="1"/>
  <c r="U260" i="10"/>
  <c r="O112" i="10"/>
  <c r="Q112" i="10" s="1"/>
  <c r="U112" i="10" s="1"/>
  <c r="U250" i="10"/>
  <c r="O695" i="10"/>
  <c r="Q695" i="10" s="1"/>
  <c r="U695" i="10" s="1"/>
  <c r="O1642" i="10"/>
  <c r="Q1642" i="10" s="1"/>
  <c r="U1642" i="10" s="1"/>
  <c r="O1689" i="10"/>
  <c r="Q1689" i="10" s="1"/>
  <c r="U1689" i="10" s="1"/>
  <c r="AY287" i="10"/>
  <c r="BB286" i="10"/>
  <c r="Q640" i="10"/>
  <c r="U640" i="10" s="1"/>
  <c r="U1834" i="10"/>
  <c r="Q542" i="10"/>
  <c r="U542" i="10" s="1"/>
  <c r="Q591" i="10"/>
  <c r="U591" i="10" s="1"/>
  <c r="U1783" i="10"/>
  <c r="Q257" i="10"/>
  <c r="U257" i="10" s="1"/>
  <c r="Q52" i="10"/>
  <c r="U52" i="10" s="1"/>
  <c r="U1791" i="10"/>
  <c r="Q62" i="10"/>
  <c r="U62" i="10" s="1"/>
  <c r="U3" i="10"/>
  <c r="Q218" i="10"/>
  <c r="U218" i="10" s="1"/>
  <c r="Q1131" i="10"/>
  <c r="U1131" i="10" s="1"/>
  <c r="Q1638" i="10"/>
  <c r="U1638" i="10" s="1"/>
  <c r="Q691" i="10"/>
  <c r="U691" i="10" s="1"/>
  <c r="Q545" i="10"/>
  <c r="U545" i="10" s="1"/>
  <c r="Q1123" i="10"/>
  <c r="U1123" i="10" s="1"/>
  <c r="Q885" i="10"/>
  <c r="U885" i="10" s="1"/>
  <c r="Q247" i="10"/>
  <c r="U247" i="10" s="1"/>
  <c r="Q203" i="10"/>
  <c r="U203" i="10" s="1"/>
  <c r="BA26" i="10" a="1"/>
  <c r="BA26" i="10" s="1"/>
  <c r="BB26" i="10" s="1" a="1"/>
  <c r="BB26" i="10" s="1"/>
  <c r="H8" i="1" l="1" a="1"/>
  <c r="H8" i="1" s="1"/>
  <c r="H6" i="1" a="1"/>
  <c r="H6" i="1" s="1"/>
  <c r="H27" i="1" a="1"/>
  <c r="H27" i="1" s="1"/>
  <c r="G12" i="1" a="1"/>
  <c r="G12" i="1" s="1"/>
  <c r="D14" i="1" a="1"/>
  <c r="D14" i="1" s="1"/>
  <c r="F14" i="1" s="1" a="1"/>
  <c r="F14" i="1" s="1"/>
  <c r="G28" i="1" a="1"/>
  <c r="G28" i="1" s="1"/>
  <c r="H10" i="1" a="1"/>
  <c r="H10" i="1" s="1"/>
  <c r="D11" i="1" a="1"/>
  <c r="D11" i="1" s="1"/>
  <c r="F11" i="1" s="1" a="1"/>
  <c r="F11" i="1" s="1"/>
  <c r="H16" i="1" a="1"/>
  <c r="H16" i="1" s="1"/>
  <c r="G8" i="1" a="1"/>
  <c r="G8" i="1" s="1"/>
  <c r="D5" i="1" a="1"/>
  <c r="D5" i="1" s="1"/>
  <c r="F5" i="1" s="1" a="1"/>
  <c r="F5" i="1" s="1"/>
  <c r="G18" i="1" a="1"/>
  <c r="G18" i="1" s="1"/>
  <c r="G14" i="1" a="1"/>
  <c r="G14" i="1" s="1"/>
  <c r="D23" i="1" a="1"/>
  <c r="D23" i="1" s="1"/>
  <c r="F23" i="1" s="1" a="1"/>
  <c r="F23" i="1" s="1"/>
  <c r="H18" i="1" a="1"/>
  <c r="H18" i="1" s="1"/>
  <c r="G26" i="1" a="1"/>
  <c r="G26" i="1" s="1"/>
  <c r="G13" i="1" a="1"/>
  <c r="G13" i="1" s="1"/>
  <c r="D20" i="1" a="1"/>
  <c r="D20" i="1" s="1"/>
  <c r="F20" i="1" s="1" a="1"/>
  <c r="F20" i="1" s="1"/>
  <c r="H13" i="1" a="1"/>
  <c r="H13" i="1" s="1"/>
  <c r="H25" i="1" a="1"/>
  <c r="H25" i="1" s="1"/>
  <c r="D27" i="1" a="1"/>
  <c r="D27" i="1" s="1"/>
  <c r="F27" i="1" s="1" a="1"/>
  <c r="F27" i="1" s="1"/>
  <c r="H19" i="1" a="1"/>
  <c r="H19" i="1" s="1"/>
  <c r="H14" i="1" a="1"/>
  <c r="H14" i="1" s="1"/>
  <c r="D28" i="1" a="1"/>
  <c r="D28" i="1" s="1"/>
  <c r="F28" i="1" s="1" a="1"/>
  <c r="F28" i="1" s="1"/>
  <c r="H26" i="1" a="1"/>
  <c r="H26" i="1" s="1"/>
  <c r="G27" i="1" a="1"/>
  <c r="G27" i="1" s="1"/>
  <c r="D18" i="1" a="1"/>
  <c r="D18" i="1" s="1"/>
  <c r="F18" i="1" s="1" a="1"/>
  <c r="F18" i="1" s="1"/>
  <c r="H4" i="1" a="1"/>
  <c r="H4" i="1" s="1"/>
  <c r="H15" i="1" a="1"/>
  <c r="H15" i="1" s="1"/>
  <c r="H11" i="1" a="1"/>
  <c r="H11" i="1" s="1"/>
  <c r="D6" i="1" a="1"/>
  <c r="D6" i="1" s="1"/>
  <c r="F6" i="1" s="1" a="1"/>
  <c r="F6" i="1" s="1"/>
  <c r="G7" i="1" a="1"/>
  <c r="G7" i="1" s="1"/>
  <c r="G15" i="1" a="1"/>
  <c r="G15" i="1" s="1"/>
  <c r="D21" i="1" a="1"/>
  <c r="D21" i="1" s="1"/>
  <c r="F21" i="1" s="1" a="1"/>
  <c r="F21" i="1" s="1"/>
  <c r="H20" i="1" a="1"/>
  <c r="H20" i="1" s="1"/>
  <c r="G11" i="1" a="1"/>
  <c r="G11" i="1" s="1"/>
  <c r="D7" i="1" a="1"/>
  <c r="D7" i="1" s="1"/>
  <c r="F7" i="1" s="1" a="1"/>
  <c r="F7" i="1" s="1"/>
  <c r="H28" i="1" a="1"/>
  <c r="H28" i="1" s="1"/>
  <c r="G21" i="1" a="1"/>
  <c r="G21" i="1" s="1"/>
  <c r="G24" i="1" a="1"/>
  <c r="G24" i="1" s="1"/>
  <c r="D4" i="1" a="1"/>
  <c r="D4" i="1" s="1"/>
  <c r="F4" i="1" s="1" a="1"/>
  <c r="F4" i="1" s="1"/>
  <c r="G6" i="1" a="1"/>
  <c r="G6" i="1" s="1"/>
  <c r="G22" i="1" a="1"/>
  <c r="G22" i="1" s="1"/>
  <c r="D8" i="1" a="1"/>
  <c r="D8" i="1" s="1"/>
  <c r="F8" i="1" s="1" a="1"/>
  <c r="F8" i="1" s="1"/>
  <c r="G25" i="1" a="1"/>
  <c r="G25" i="1" s="1"/>
  <c r="D16" i="1" a="1"/>
  <c r="D16" i="1" s="1"/>
  <c r="F16" i="1" s="1" a="1"/>
  <c r="F16" i="1" s="1"/>
  <c r="H22" i="1" a="1"/>
  <c r="H22" i="1" s="1"/>
  <c r="D9" i="1" a="1"/>
  <c r="D9" i="1" s="1"/>
  <c r="H7" i="1" a="1"/>
  <c r="H7" i="1" s="1"/>
  <c r="D19" i="1" a="1"/>
  <c r="D19" i="1" s="1"/>
  <c r="F19" i="1" s="1" a="1"/>
  <c r="F19" i="1" s="1"/>
  <c r="G10" i="1" a="1"/>
  <c r="G10" i="1" s="1"/>
  <c r="D15" i="1" a="1"/>
  <c r="D15" i="1" s="1"/>
  <c r="F15" i="1" s="1" a="1"/>
  <c r="F15" i="1" s="1"/>
  <c r="G16" i="1" a="1"/>
  <c r="G16" i="1" s="1"/>
  <c r="D22" i="1" a="1"/>
  <c r="D22" i="1" s="1"/>
  <c r="F22" i="1" s="1" a="1"/>
  <c r="F22" i="1" s="1"/>
  <c r="D26" i="1" a="1"/>
  <c r="D26" i="1" s="1"/>
  <c r="F26" i="1" s="1" a="1"/>
  <c r="F26" i="1" s="1"/>
  <c r="G17" i="1" a="1"/>
  <c r="G17" i="1" s="1"/>
  <c r="D24" i="1" a="1"/>
  <c r="D24" i="1" s="1"/>
  <c r="F24" i="1" s="1" a="1"/>
  <c r="F24" i="1" s="1"/>
  <c r="G4" i="1" a="1"/>
  <c r="G4" i="1" s="1"/>
  <c r="D25" i="1" a="1"/>
  <c r="D25" i="1" s="1"/>
  <c r="F25" i="1" s="1" a="1"/>
  <c r="F25" i="1" s="1"/>
  <c r="H21" i="1" a="1"/>
  <c r="H21" i="1" s="1"/>
  <c r="D10" i="1" a="1"/>
  <c r="D10" i="1" s="1"/>
  <c r="F10" i="1" s="1" a="1"/>
  <c r="F10" i="1" s="1"/>
  <c r="D12" i="1" a="1"/>
  <c r="D12" i="1" s="1"/>
  <c r="F12" i="1" s="1" a="1"/>
  <c r="F12" i="1" s="1"/>
  <c r="D13" i="1" a="1"/>
  <c r="D13" i="1" s="1"/>
  <c r="F13" i="1" s="1" a="1"/>
  <c r="F13" i="1" s="1"/>
  <c r="G9" i="1" a="1"/>
  <c r="G9" i="1" s="1"/>
  <c r="D17" i="1" a="1"/>
  <c r="D17" i="1" s="1"/>
  <c r="F17" i="1" s="1" a="1"/>
  <c r="F17" i="1" s="1"/>
  <c r="G5" i="1" a="1"/>
  <c r="G5" i="1" s="1"/>
  <c r="H5" i="1" a="1"/>
  <c r="H5" i="1" s="1"/>
  <c r="G20" i="1" a="1"/>
  <c r="G20" i="1" s="1"/>
  <c r="G23" i="1" a="1"/>
  <c r="G23" i="1" s="1"/>
  <c r="H9" i="1" a="1"/>
  <c r="H9" i="1" s="1"/>
  <c r="H23" i="1" a="1"/>
  <c r="H23" i="1" s="1"/>
  <c r="G19" i="1" a="1"/>
  <c r="G19" i="1" s="1"/>
  <c r="H12" i="1" a="1"/>
  <c r="H12" i="1" s="1"/>
  <c r="H24" i="1" a="1"/>
  <c r="H24" i="1" s="1"/>
  <c r="H17" i="1" a="1"/>
  <c r="H17" i="1" s="1"/>
  <c r="Q65" i="10"/>
  <c r="U65" i="10" s="1"/>
  <c r="AY288" i="10"/>
  <c r="BB287" i="10"/>
  <c r="BA30" i="10" a="1"/>
  <c r="BA30" i="10" s="1"/>
  <c r="F9" i="1" l="1" a="1"/>
  <c r="F9" i="1" s="1"/>
  <c r="AC22" i="36"/>
  <c r="I4" i="1"/>
  <c r="AY289" i="10"/>
  <c r="BB288" i="10"/>
  <c r="BB30" i="10" a="1"/>
  <c r="BB30" i="10" s="1"/>
  <c r="BA34" i="10" a="1"/>
  <c r="BA34" i="10" s="1"/>
  <c r="BB34" i="10" s="1" a="1"/>
  <c r="BB34" i="10" s="1"/>
  <c r="AY290" i="10" l="1"/>
  <c r="BB289" i="10"/>
  <c r="BA38" i="10" a="1"/>
  <c r="BA38" i="10" s="1"/>
  <c r="AY291" i="10" l="1"/>
  <c r="BB290" i="10"/>
  <c r="AY292" i="10" l="1"/>
  <c r="BB291" i="10"/>
  <c r="BA19" i="10" a="1"/>
  <c r="BA19" i="10" s="1"/>
  <c r="BB19" i="10" s="1" a="1"/>
  <c r="BB19" i="10" s="1"/>
  <c r="AY293" i="10" l="1"/>
  <c r="BB292" i="10"/>
  <c r="BA22" i="10" a="1"/>
  <c r="BA22" i="10" s="1"/>
  <c r="BB22" i="10" s="1" a="1"/>
  <c r="BB22" i="10" s="1"/>
  <c r="AY294" i="10" l="1"/>
  <c r="BB293" i="10"/>
  <c r="BA23" i="10" a="1"/>
  <c r="BA23" i="10" s="1"/>
  <c r="BB23" i="10" s="1" a="1"/>
  <c r="BB23" i="10" s="1"/>
  <c r="AY295" i="10" l="1"/>
  <c r="BB294" i="10"/>
  <c r="BA27" i="10" a="1"/>
  <c r="BA27" i="10" s="1"/>
  <c r="BB27" i="10" s="1" a="1"/>
  <c r="BB27" i="10" s="1"/>
  <c r="AY296" i="10" l="1"/>
  <c r="BB295" i="10"/>
  <c r="BA31" i="10" a="1"/>
  <c r="BA31" i="10" s="1"/>
  <c r="BB31" i="10" s="1" a="1"/>
  <c r="BB31" i="10" s="1"/>
  <c r="AY297" i="10" l="1"/>
  <c r="BB296" i="10"/>
  <c r="BA33" i="10" a="1"/>
  <c r="BA33" i="10" s="1"/>
  <c r="BB33" i="10" s="1" a="1"/>
  <c r="BB33" i="10" s="1"/>
  <c r="AY298" i="10" l="1"/>
  <c r="BB297" i="10"/>
  <c r="BA36" i="10" a="1"/>
  <c r="BA36" i="10" s="1"/>
  <c r="BB36" i="10" s="1" a="1"/>
  <c r="BB36" i="10" s="1"/>
  <c r="AY299" i="10" l="1"/>
  <c r="BB298" i="10"/>
  <c r="AY300" i="10" l="1"/>
  <c r="BB299" i="10"/>
  <c r="BA39" i="10" a="1"/>
  <c r="BA39" i="10" s="1"/>
  <c r="AY301" i="10" l="1"/>
  <c r="BB300" i="10"/>
  <c r="AY302" i="10" l="1"/>
  <c r="BB301" i="10"/>
  <c r="AY303" i="10" l="1"/>
  <c r="BB302" i="10"/>
  <c r="AY304" i="10" l="1"/>
  <c r="BB303" i="10"/>
  <c r="AY305" i="10" l="1"/>
  <c r="BB304" i="10"/>
  <c r="AY306" i="10" l="1"/>
  <c r="BB305" i="10"/>
  <c r="AY307" i="10" l="1"/>
  <c r="BB306" i="10"/>
  <c r="AY308" i="10" l="1"/>
  <c r="BB307" i="10"/>
  <c r="AY309" i="10" l="1"/>
  <c r="BB308" i="10"/>
  <c r="AY310" i="10" l="1"/>
  <c r="BB309" i="10"/>
  <c r="AY311" i="10" l="1"/>
  <c r="BB310" i="10"/>
  <c r="AY312" i="10" l="1"/>
  <c r="BB311" i="10"/>
  <c r="AY313" i="10" l="1"/>
  <c r="BB312" i="10"/>
  <c r="AY314" i="10" l="1"/>
  <c r="BB313" i="10"/>
  <c r="AY315" i="10" l="1"/>
  <c r="BB314" i="10"/>
  <c r="AY316" i="10" l="1"/>
  <c r="BB315" i="10"/>
  <c r="AY317" i="10" l="1"/>
  <c r="BB316" i="10"/>
  <c r="AY318" i="10" l="1"/>
  <c r="BB317" i="10"/>
  <c r="AY319" i="10" l="1"/>
  <c r="BB318" i="10"/>
  <c r="AY320" i="10" l="1"/>
  <c r="BB319" i="10"/>
  <c r="AY321" i="10" l="1"/>
  <c r="BB320" i="10"/>
  <c r="AY322" i="10" l="1"/>
  <c r="BB321" i="10"/>
  <c r="BB322" i="10" l="1"/>
  <c r="AY323" i="10"/>
  <c r="BB323" i="10" l="1"/>
  <c r="AY324" i="10"/>
  <c r="BB324" i="10" l="1"/>
  <c r="AY325" i="10"/>
  <c r="BB325" i="10" l="1"/>
  <c r="AY326" i="10"/>
  <c r="BB326" i="10" l="1"/>
  <c r="AY327" i="10"/>
  <c r="BB327" i="10" l="1"/>
  <c r="AY328" i="10"/>
  <c r="BB328" i="10" l="1"/>
  <c r="AY329" i="10"/>
  <c r="BB329" i="10" l="1"/>
  <c r="AY330" i="10"/>
  <c r="BB330" i="10" l="1"/>
  <c r="AY331" i="10"/>
  <c r="BB331" i="10" l="1"/>
  <c r="AY332" i="10"/>
  <c r="BB332" i="10" l="1"/>
  <c r="AY333" i="10"/>
  <c r="BB333" i="10" l="1"/>
  <c r="AY334" i="10"/>
  <c r="BB334" i="10" l="1"/>
  <c r="AY335" i="10"/>
  <c r="BB335" i="10" l="1"/>
  <c r="AY336" i="10"/>
  <c r="BB336" i="10" l="1"/>
  <c r="AY337" i="10"/>
  <c r="BB337" i="10" l="1"/>
  <c r="AY338" i="10"/>
  <c r="BB338" i="10" l="1"/>
  <c r="AY339" i="10"/>
  <c r="BB339" i="10" l="1"/>
  <c r="AY340" i="10"/>
  <c r="BB340" i="10" l="1"/>
  <c r="AY341" i="10"/>
  <c r="BB341" i="10" l="1"/>
  <c r="AY342" i="10"/>
  <c r="BB342" i="10" l="1"/>
  <c r="AY343" i="10"/>
  <c r="BB343" i="10" l="1"/>
  <c r="AY344" i="10"/>
  <c r="BB344" i="10" l="1"/>
  <c r="AY345" i="10"/>
  <c r="BB345" i="10" l="1"/>
  <c r="AY346" i="10"/>
  <c r="BB346" i="10" l="1"/>
  <c r="AY347" i="10"/>
  <c r="BB347" i="10" l="1"/>
  <c r="AY348" i="10"/>
  <c r="BB348" i="10" l="1"/>
  <c r="AY349" i="10"/>
  <c r="BB349" i="10" l="1"/>
  <c r="AY350" i="10"/>
  <c r="BB350" i="10" l="1"/>
  <c r="AY351" i="10"/>
  <c r="BB351" i="10" l="1"/>
  <c r="AY352" i="10"/>
  <c r="BB352" i="10" l="1"/>
  <c r="AY353" i="10"/>
  <c r="BB353" i="10" l="1"/>
  <c r="AY354" i="10"/>
  <c r="BB354" i="10" l="1"/>
  <c r="AY355" i="10"/>
  <c r="BB355" i="10" l="1"/>
  <c r="AY356" i="10"/>
  <c r="BB356" i="10" l="1"/>
  <c r="AY357" i="10"/>
  <c r="BB357" i="10" l="1"/>
  <c r="AY358" i="10"/>
  <c r="BB358" i="10" l="1"/>
  <c r="AY359" i="10"/>
  <c r="BB359" i="10" l="1"/>
  <c r="AY360" i="10"/>
  <c r="BB360" i="10" l="1"/>
  <c r="AY361" i="10"/>
  <c r="BB361" i="10" l="1"/>
  <c r="AY362" i="10"/>
  <c r="BB362" i="10" l="1"/>
  <c r="AY363" i="10"/>
  <c r="BB363" i="10" l="1"/>
  <c r="AY364" i="10"/>
  <c r="BA24" i="10" a="1"/>
  <c r="BA24" i="10" s="1"/>
  <c r="BB24" i="10" s="1" a="1"/>
  <c r="BB24" i="10" s="1"/>
  <c r="BB364" i="10" l="1"/>
  <c r="AY365" i="10"/>
  <c r="BA28" i="10" a="1"/>
  <c r="BA28" i="10" s="1"/>
  <c r="BB28" i="10" s="1" a="1"/>
  <c r="BB28" i="10" s="1"/>
  <c r="BB365" i="10" l="1"/>
  <c r="AY366" i="10"/>
  <c r="BA32" i="10" a="1"/>
  <c r="BA32" i="10" s="1"/>
  <c r="BB32" i="10" s="1" a="1"/>
  <c r="BB32" i="10" s="1"/>
  <c r="BB366" i="10" l="1"/>
  <c r="AY367" i="10"/>
  <c r="BA35" i="10" a="1"/>
  <c r="BA35" i="10" s="1"/>
  <c r="BB35" i="10" s="1" a="1"/>
  <c r="BB35" i="10" s="1"/>
  <c r="BB367" i="10" l="1"/>
  <c r="AY368" i="10"/>
  <c r="BA37" i="10" a="1"/>
  <c r="BA37" i="10" s="1"/>
  <c r="BB368" i="10" l="1"/>
  <c r="AY369" i="10"/>
  <c r="BB369" i="10" l="1"/>
  <c r="AY370" i="10"/>
  <c r="BB370" i="10" l="1"/>
  <c r="AY371" i="10"/>
  <c r="BB371" i="10" l="1"/>
  <c r="AY372" i="10"/>
  <c r="BA40" i="10" a="1"/>
  <c r="BA40" i="10" s="1"/>
  <c r="BB372" i="10" l="1"/>
  <c r="AY373" i="10"/>
  <c r="BB373" i="10" l="1"/>
  <c r="AY374" i="10"/>
  <c r="BB374" i="10" l="1"/>
  <c r="AY375" i="10"/>
  <c r="BB375" i="10" l="1"/>
  <c r="AY376" i="10"/>
  <c r="BB376" i="10" l="1"/>
  <c r="AY377" i="10"/>
  <c r="BB377" i="10" l="1"/>
  <c r="AY378" i="10"/>
  <c r="BB378" i="10" l="1"/>
  <c r="AY379" i="10"/>
  <c r="BB379" i="10" l="1"/>
  <c r="AY380" i="10"/>
  <c r="BB380" i="10" l="1"/>
  <c r="AY381" i="10"/>
  <c r="BB381" i="10" l="1"/>
  <c r="AY382" i="10"/>
  <c r="BB382" i="10" l="1"/>
  <c r="AY383" i="10"/>
  <c r="BB383" i="10" l="1"/>
  <c r="AY384" i="10"/>
  <c r="BB384" i="10" l="1"/>
  <c r="AY385" i="10"/>
  <c r="BB385" i="10" l="1"/>
  <c r="AY386" i="10"/>
  <c r="BB386" i="10" l="1"/>
  <c r="AY387" i="10"/>
  <c r="BB387" i="10" l="1"/>
  <c r="AY388" i="10"/>
  <c r="BB388" i="10" l="1"/>
  <c r="AY389" i="10"/>
  <c r="BB389" i="10" l="1"/>
  <c r="AY390" i="10"/>
  <c r="BB390" i="10" l="1"/>
  <c r="AY391" i="10"/>
  <c r="BB391" i="10" l="1"/>
  <c r="AY392" i="10"/>
  <c r="BB392" i="10" l="1"/>
  <c r="AY393" i="10"/>
  <c r="BB393" i="10" l="1"/>
  <c r="AY394" i="10"/>
  <c r="BB394" i="10" l="1"/>
  <c r="AY395" i="10"/>
  <c r="BB395" i="10" l="1"/>
  <c r="AY396" i="10"/>
  <c r="BB396" i="10" l="1"/>
  <c r="AY397" i="10"/>
  <c r="BB397" i="10" l="1"/>
  <c r="AY398" i="10"/>
  <c r="BB398" i="10" l="1"/>
  <c r="AY399" i="10"/>
  <c r="BB399" i="10" l="1"/>
  <c r="AY400" i="10"/>
  <c r="BB400" i="10" l="1"/>
  <c r="AY401" i="10"/>
  <c r="BB401" i="10" l="1"/>
  <c r="AY402" i="10"/>
  <c r="BB402" i="10" l="1"/>
  <c r="AY403" i="10"/>
  <c r="BB403" i="10" l="1"/>
  <c r="AY404" i="10"/>
  <c r="BB404" i="10" l="1"/>
  <c r="AY405" i="10"/>
  <c r="BB405" i="10" l="1"/>
  <c r="AY406" i="10"/>
  <c r="BB406" i="10" l="1"/>
  <c r="AY407" i="10"/>
  <c r="BB407" i="10" l="1"/>
  <c r="AY408" i="10"/>
  <c r="BB408" i="10" l="1"/>
  <c r="AY409" i="10"/>
  <c r="BB409" i="10" l="1"/>
  <c r="AY410" i="10"/>
  <c r="BB410" i="10" l="1"/>
  <c r="AY411" i="10"/>
  <c r="BB411" i="10" l="1"/>
  <c r="AY412" i="10"/>
  <c r="BB412" i="10" l="1"/>
  <c r="AY413" i="10"/>
  <c r="BB413" i="10" l="1"/>
  <c r="AY414" i="10"/>
  <c r="BB414" i="10" l="1"/>
  <c r="AY415" i="10"/>
  <c r="BB415" i="10" l="1"/>
  <c r="AY416" i="10"/>
  <c r="BB416" i="10" l="1"/>
  <c r="AY417" i="10"/>
  <c r="BB417" i="10" l="1"/>
  <c r="AY418" i="10"/>
  <c r="BB418" i="10" l="1"/>
  <c r="AY419" i="10"/>
  <c r="BB419" i="10" l="1"/>
  <c r="AY420" i="10"/>
  <c r="BB420" i="10" l="1"/>
  <c r="AY421" i="10"/>
  <c r="BB421" i="10" l="1"/>
  <c r="AY422" i="10"/>
  <c r="BB422" i="10" l="1"/>
  <c r="AY423" i="10"/>
  <c r="BB423" i="10" l="1"/>
  <c r="AY424" i="10"/>
  <c r="BB424" i="10" l="1"/>
  <c r="AY425" i="10"/>
  <c r="BB425" i="10" l="1"/>
  <c r="AY426" i="10"/>
  <c r="BB426" i="10" l="1"/>
  <c r="AY427" i="10"/>
  <c r="BB427" i="10" l="1"/>
  <c r="AY428" i="10"/>
  <c r="BB428" i="10" l="1"/>
  <c r="AY429" i="10"/>
  <c r="BB429" i="10" l="1"/>
  <c r="AY430" i="10"/>
  <c r="BB430" i="10" l="1"/>
  <c r="AY431" i="10"/>
  <c r="BB431" i="10" l="1"/>
  <c r="AY432" i="10"/>
  <c r="BB432" i="10" l="1"/>
  <c r="AY433" i="10"/>
  <c r="BB433" i="10" l="1"/>
  <c r="AY434" i="10"/>
  <c r="BB434" i="10" l="1"/>
  <c r="AY435" i="10"/>
  <c r="BB435" i="10" l="1"/>
  <c r="AY436" i="10"/>
  <c r="BA14" i="10" a="1"/>
  <c r="BA14" i="10" s="1"/>
  <c r="BB14" i="10" s="1" a="1"/>
  <c r="BB14" i="10" s="1"/>
  <c r="BB436" i="10" l="1"/>
  <c r="AY437" i="10"/>
  <c r="BB437" i="10" l="1"/>
  <c r="AY438" i="10"/>
  <c r="U1811" i="10"/>
  <c r="BB438" i="10" l="1"/>
  <c r="AY439" i="10"/>
  <c r="U1782" i="10"/>
  <c r="BB439" i="10" l="1"/>
  <c r="AY440" i="10"/>
  <c r="BB440" i="10" l="1"/>
  <c r="AY441" i="10"/>
  <c r="BB441" i="10" l="1"/>
  <c r="AY442" i="10"/>
  <c r="BB442" i="10" l="1"/>
  <c r="AY443" i="10"/>
  <c r="BB443" i="10" l="1"/>
  <c r="AY444" i="10"/>
  <c r="BB444" i="10" l="1"/>
  <c r="AY445" i="10"/>
  <c r="BB445" i="10" l="1"/>
  <c r="AY446" i="10"/>
  <c r="BB446" i="10" l="1"/>
  <c r="AY447" i="10"/>
  <c r="BB447" i="10" l="1"/>
  <c r="AY448" i="10"/>
  <c r="BB448" i="10" l="1"/>
  <c r="AY449" i="10"/>
  <c r="BB449" i="10" l="1"/>
  <c r="AY450" i="10"/>
  <c r="BB450" i="10" l="1"/>
  <c r="AY451" i="10"/>
  <c r="BB451" i="10" l="1"/>
  <c r="AY452" i="10"/>
  <c r="BB452" i="10" l="1"/>
  <c r="AY453" i="10"/>
  <c r="BB453" i="10" l="1"/>
  <c r="AY454" i="10"/>
  <c r="BB454" i="10" l="1"/>
  <c r="AY455" i="10"/>
  <c r="BB455" i="10" l="1"/>
  <c r="AY456" i="10"/>
  <c r="BB456" i="10" l="1"/>
  <c r="AY457" i="10"/>
  <c r="BB457" i="10" l="1"/>
  <c r="AY458" i="10"/>
  <c r="BB458" i="10" l="1"/>
  <c r="AY459" i="10"/>
  <c r="BB459" i="10" l="1"/>
  <c r="AY460" i="10"/>
  <c r="BB460" i="10" l="1"/>
  <c r="AY461" i="10"/>
  <c r="BB461" i="10" l="1"/>
  <c r="AY462" i="10"/>
  <c r="BB462" i="10" l="1"/>
  <c r="AY463" i="10"/>
  <c r="BB463" i="10" l="1"/>
  <c r="AY464" i="10"/>
  <c r="BB464" i="10" l="1"/>
  <c r="AY465" i="10"/>
  <c r="BB465" i="10" l="1"/>
  <c r="AY466" i="10"/>
  <c r="BB466" i="10" l="1"/>
  <c r="AY467" i="10"/>
  <c r="BA10" i="10" l="1" a="1"/>
  <c r="BA10" i="10" s="1"/>
  <c r="AY468" i="10"/>
  <c r="BB467" i="10"/>
  <c r="AY469" i="10" l="1"/>
  <c r="BB468" i="10"/>
  <c r="BB10" i="10" a="1"/>
  <c r="BB10" i="10" s="1"/>
  <c r="AY470" i="10" l="1"/>
  <c r="BB469" i="10"/>
  <c r="AY471" i="10" l="1"/>
  <c r="BB470" i="10"/>
  <c r="I29" i="1" l="1"/>
  <c r="AY472" i="10"/>
  <c r="BB471" i="10"/>
  <c r="AY473" i="10" l="1"/>
  <c r="BB472" i="10"/>
  <c r="AY474" i="10" l="1"/>
  <c r="BB473" i="10"/>
  <c r="AY475" i="10" l="1"/>
  <c r="BB474" i="10"/>
  <c r="AY476" i="10" l="1"/>
  <c r="BB475" i="10"/>
  <c r="AY477" i="10" l="1"/>
  <c r="BB476" i="10"/>
  <c r="AY478" i="10" l="1"/>
  <c r="BB477" i="10"/>
  <c r="AY479" i="10" l="1"/>
  <c r="BB478" i="10"/>
  <c r="AY480" i="10" l="1"/>
  <c r="BB479" i="10"/>
  <c r="AY481" i="10" l="1"/>
  <c r="BB480" i="10"/>
  <c r="AY482" i="10" l="1"/>
  <c r="BB481" i="10"/>
  <c r="AY483" i="10" l="1"/>
  <c r="BB483" i="10" s="1"/>
  <c r="BB482" i="10"/>
  <c r="Q2043" i="10"/>
  <c r="U2043" i="10" s="1"/>
  <c r="C39" i="33" l="1"/>
  <c r="G14" i="33"/>
  <c r="H14" i="33" l="1"/>
  <c r="F24" i="33"/>
  <c r="F25" i="33"/>
  <c r="H17" i="33"/>
  <c r="G6" i="33"/>
  <c r="G7" i="33"/>
  <c r="I7" i="33" s="1"/>
  <c r="C40" i="33"/>
  <c r="I6" i="33" l="1"/>
  <c r="G8" i="33"/>
  <c r="Q2308" i="10"/>
  <c r="U2308" i="10" s="1"/>
  <c r="Q2309" i="10"/>
  <c r="U2309" i="10" s="1"/>
  <c r="U2307" i="10"/>
  <c r="D1122" i="10" l="1" a="1"/>
  <c r="D1122" i="10" s="1"/>
  <c r="D1027" i="10" a="1"/>
  <c r="D1027" i="10" s="1"/>
  <c r="D492" i="10" a="1"/>
  <c r="D492" i="10" s="1"/>
  <c r="D737" i="10" a="1"/>
  <c r="D737" i="10" s="1"/>
  <c r="D51" i="10" a="1"/>
  <c r="D51" i="10" s="1"/>
  <c r="D1684" i="10" a="1"/>
  <c r="D1684" i="10" s="1"/>
  <c r="D149" i="10" a="1"/>
  <c r="D149" i="10" s="1"/>
  <c r="D990" i="10" a="1"/>
  <c r="D990" i="10" s="1"/>
  <c r="D1004" i="10" a="1"/>
  <c r="D1004" i="10" s="1"/>
  <c r="D2037" i="10" a="1"/>
  <c r="D2037" i="10" s="1"/>
  <c r="D1635" i="10" a="1"/>
  <c r="D1635" i="10" s="1"/>
  <c r="D2194" i="10" a="1"/>
  <c r="D2194" i="10" s="1"/>
  <c r="D639" i="10" a="1"/>
  <c r="D639" i="10" s="1"/>
  <c r="D1537" i="10" a="1"/>
  <c r="D1537" i="10" s="1"/>
  <c r="D541" i="10" a="1"/>
  <c r="D541" i="10" s="1"/>
  <c r="D982" i="10" a="1"/>
  <c r="D982" i="10" s="1"/>
  <c r="D481" i="10" a="1"/>
  <c r="D481" i="10" s="1"/>
  <c r="D247" i="10" a="1"/>
  <c r="D247" i="10" s="1"/>
  <c r="D468" i="10" a="1"/>
  <c r="D468" i="10" s="1"/>
  <c r="D345" i="10" a="1"/>
  <c r="D345" i="10" s="1"/>
  <c r="BB3" i="10" a="1"/>
  <c r="BB3" i="10" s="1"/>
  <c r="O2" i="10" s="1"/>
  <c r="D786" i="10" a="1"/>
  <c r="D786" i="10" s="1"/>
  <c r="D394" i="10" a="1"/>
  <c r="D394" i="10" s="1"/>
  <c r="D100" i="10" a="1"/>
  <c r="D100" i="10" s="1"/>
  <c r="D1047" i="10" a="1"/>
  <c r="D1047" i="10" s="1"/>
  <c r="D1015" i="10" a="1"/>
  <c r="D1015" i="10" s="1"/>
  <c r="D835" i="10" a="1"/>
  <c r="D835" i="10" s="1"/>
  <c r="D501" i="10" a="1"/>
  <c r="D501" i="10" s="1"/>
  <c r="D1610" i="10" a="1"/>
  <c r="D1610" i="10" s="1"/>
  <c r="D515" i="10" a="1"/>
  <c r="D515" i="10" s="1"/>
  <c r="D198" i="10" a="1"/>
  <c r="D198" i="10" s="1"/>
  <c r="D443" i="10" a="1"/>
  <c r="D443" i="10" s="1"/>
  <c r="D1733" i="10" a="1"/>
  <c r="D1733" i="10" s="1"/>
  <c r="D455" i="10" a="1"/>
  <c r="D455" i="10" s="1"/>
  <c r="D688" i="10" a="1"/>
  <c r="D688" i="10" s="1"/>
  <c r="D1782" i="10" a="1"/>
  <c r="D1782" i="10" s="1"/>
  <c r="D590" i="10" a="1"/>
  <c r="D590" i="10" s="1"/>
  <c r="D1880" i="10" a="1"/>
  <c r="D1880" i="10" s="1"/>
  <c r="D2243" i="10" a="1"/>
  <c r="D2243" i="10" s="1"/>
  <c r="O805" i="10" l="1"/>
  <c r="O236" i="10"/>
  <c r="O982" i="10"/>
  <c r="O1045" i="10"/>
  <c r="O139" i="10"/>
  <c r="O479" i="10"/>
  <c r="O1789" i="10"/>
  <c r="O438" i="10"/>
  <c r="O509" i="10"/>
  <c r="O619" i="10"/>
  <c r="O2233" i="10"/>
  <c r="O998" i="10"/>
  <c r="O995" i="10" s="1"/>
  <c r="O1004" i="10"/>
  <c r="O502" i="10"/>
  <c r="O188" i="10"/>
  <c r="O1749" i="10"/>
  <c r="O1784" i="10"/>
  <c r="O389" i="10"/>
  <c r="O515" i="10"/>
  <c r="O1151" i="10"/>
  <c r="Q1151" i="10" s="1" a="1"/>
  <c r="Q1151" i="10" s="1"/>
  <c r="U1151" i="10" s="1"/>
  <c r="O2040" i="10"/>
  <c r="O668" i="10"/>
  <c r="O1069" i="10"/>
  <c r="O78" i="10"/>
  <c r="O2272" i="10"/>
  <c r="Q2272" i="10" s="1" a="1"/>
  <c r="Q2272" i="10" s="1"/>
  <c r="U2272" i="10" s="1"/>
  <c r="O1612" i="10"/>
  <c r="O1549" i="10"/>
  <c r="O465" i="10"/>
  <c r="O1618" i="10"/>
  <c r="O1664" i="10"/>
  <c r="O1015" i="10"/>
  <c r="O717" i="10"/>
  <c r="O453" i="10"/>
  <c r="O756" i="10"/>
  <c r="O570" i="10"/>
  <c r="O285" i="10"/>
  <c r="O990" i="10"/>
  <c r="O840" i="10"/>
  <c r="O1880" i="10"/>
  <c r="O1711" i="10" l="1" a="1"/>
  <c r="O1711" i="10" s="1"/>
  <c r="Q1711" i="10" s="1"/>
  <c r="U1711" i="10" s="1"/>
  <c r="P1752" i="10"/>
  <c r="U1752" i="10" l="1"/>
  <c r="O696" i="10"/>
  <c r="Q696" i="10" s="1"/>
  <c r="U696" i="10" s="1"/>
  <c r="I16" i="1" l="1"/>
  <c r="I25" i="1"/>
  <c r="I23" i="1"/>
  <c r="I27" i="1"/>
  <c r="I26" i="1"/>
  <c r="I9" i="1"/>
  <c r="I20" i="1"/>
  <c r="I12" i="1"/>
  <c r="I7" i="1"/>
  <c r="I19" i="1"/>
  <c r="I13" i="1"/>
  <c r="I10" i="1"/>
  <c r="I14" i="1"/>
  <c r="I21" i="1"/>
  <c r="I8" i="1"/>
  <c r="I15" i="1"/>
  <c r="I11" i="1"/>
  <c r="I17" i="1"/>
  <c r="I22" i="1"/>
  <c r="I24" i="1"/>
  <c r="I5" i="1"/>
  <c r="I18" i="1"/>
  <c r="I6" i="1"/>
  <c r="I28" i="1"/>
  <c r="B33" i="1" l="1"/>
  <c r="B51" i="1" l="1"/>
  <c r="B53" i="1" s="1"/>
  <c r="O25" i="1"/>
  <c r="B40" i="1"/>
  <c r="B35" i="1"/>
  <c r="B37" i="1"/>
  <c r="B41" i="1" s="1"/>
  <c r="O2" i="1" l="1"/>
  <c r="P2" i="1" s="1"/>
  <c r="B38" i="1"/>
  <c r="B3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P407" authorId="0" shapeId="0" xr:uid="{86A2B8F3-8285-45CC-97DD-2457294C6DA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P408" authorId="0" shapeId="0" xr:uid="{4C8D4871-079C-4F7B-9900-16934272397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P413" authorId="0" shapeId="0" xr:uid="{01F744D9-8ADE-422A-BCE5-446DFD57250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P414" authorId="0" shapeId="0" xr:uid="{0B8B6811-7730-4156-9247-E81709B4A73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P415" authorId="0" shapeId="0" xr:uid="{6B873417-17CD-488E-8938-7A8ED8FC856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C7" authorId="0" shapeId="0" xr:uid="{4736AFCA-9D3B-46CB-AD8D-8E3F00249F1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8" authorId="0" shapeId="0" xr:uid="{56D7D8C6-F28D-4377-B905-7D3E8E36CD8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11" authorId="0" shapeId="0" xr:uid="{3CEB9A5F-430B-42BE-ABC4-7A74C04A64A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Friction Stay = $B$2 × Bilangan Panel (Enginuity!$B$13)
Casement Handle = $B$3 × Bilangan Panel (Enginuity!$B$13)
Casement Outer Frame = [2 × 1 (tinggi tetap) + 2 × Lebar] × $B$6
Casement Inner Frame = [2 × 1 × Bilangan Panel + 2 × Lebar] × $B$7
Casement Mullion Frame = (Bilangan Panel − 1) × 1 × $B$8
SF Profile Horizontal Mullion ↔ (lebar x harga) = Lebar × $B$4</t>
        </r>
      </text>
    </comment>
    <comment ref="C12" authorId="0" shapeId="0" xr:uid="{4957441D-79BA-43D3-B60E-366C5CAD973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Casement Outer Frame = [2 × 1 (tinggi tetap) + 2 × Lebar] × $B$6
Beading = [2 × 1 × Bilangan Panel + 2 × Lebar] × $B$9
Casement Mullion Frame = (Bilangan Panel − 1) × 1 × $B$8
SF Profile Horizontal Mullion ↔ (lebar x harga) = Lebar × $B$4</t>
        </r>
      </text>
    </comment>
    <comment ref="AW116" authorId="0" shapeId="0" xr:uid="{007AB959-E6AF-491D-952C-CCE2EDCD61C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AW119" authorId="0" shapeId="0" xr:uid="{787B806B-FAA1-4192-BC42-BBA1B68648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AW166" authorId="0" shapeId="0" xr:uid="{0EFBE459-DB71-46F3-89D1-D7EED5A27BE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AW167" authorId="0" shapeId="0" xr:uid="{3BFC1C5D-4846-4DFE-8575-055C2BFE9AF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85" authorId="0" shapeId="0" xr:uid="{B6643BF2-7E59-43ED-9E09-68A144E689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BA486" authorId="0" shapeId="0" xr:uid="{5CE85D4C-4E01-4547-A9B9-0EB9ACBB442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BA493" authorId="0" shapeId="0" xr:uid="{657FCC54-8296-45E3-8357-62BEAA31AB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BA494" authorId="0" shapeId="0" xr:uid="{193CCA9B-1DE6-4E54-BFAA-A93BAB9710F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95" authorId="0" shapeId="0" xr:uid="{559B1D5D-0AFF-4833-A99C-D8CED04A8B1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A8" authorId="0" shapeId="0" xr:uid="{D72D301E-412B-41A7-B9C6-EF0DA9C3208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Auto = Blank</t>
        </r>
        <r>
          <rPr>
            <sz val="9"/>
            <color indexed="81"/>
            <rFont val="Tahoma"/>
            <family val="2"/>
          </rPr>
          <t xml:space="preserve">
Guna pitch auto. Balance = 0.
</t>
        </r>
        <r>
          <rPr>
            <b/>
            <sz val="9"/>
            <color indexed="81"/>
            <rFont val="Tahoma"/>
            <family val="2"/>
          </rPr>
          <t>End Gap = EG</t>
        </r>
        <r>
          <rPr>
            <sz val="9"/>
            <color indexed="81"/>
            <rFont val="Tahoma"/>
            <family val="2"/>
          </rPr>
          <t xml:space="preserve">
Semua pitch ikut nilai guna. Lebihan atau kurang tinggal di hujung terakhir.
</t>
        </r>
        <r>
          <rPr>
            <b/>
            <sz val="9"/>
            <color indexed="81"/>
            <rFont val="Tahoma"/>
            <family val="2"/>
          </rPr>
          <t xml:space="preserve">
2-End Balance = 2EB</t>
        </r>
        <r>
          <rPr>
            <sz val="9"/>
            <color indexed="81"/>
            <rFont val="Tahoma"/>
            <family val="2"/>
          </rPr>
          <t xml:space="preserve">
Tengah ikut pitch guna. Lebihan atau kurang diagih di hujung awal dan hujung akhir.</t>
        </r>
      </text>
    </comment>
    <comment ref="A27" authorId="0" shapeId="0" xr:uid="{4AF992FA-8113-4919-99C8-61EB400D3A8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auto yang calculator kira untuk susunan sama rata.</t>
        </r>
      </text>
    </comment>
    <comment ref="A28" authorId="0" shapeId="0" xr:uid="{3DC2B70D-8F44-4BA3-A5E8-03AD343585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sebenar yang perlu digunakan semasa pasang. Jika tiada override, nilai ini ikut Pitch Auto C/C.</t>
        </r>
      </text>
    </comment>
    <comment ref="A29" authorId="0" shapeId="0" xr:uid="{FF962BF2-E113-49F3-A015-3A3C89B81DA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Beza adjustment di hujung susunan blade. Jika guna Full Auto, nilai ini = 0.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<sst xmlns="http://schemas.openxmlformats.org/spreadsheetml/2006/main" count="11460" uniqueCount="2004">
  <si>
    <t>Description</t>
  </si>
  <si>
    <t>Awning</t>
  </si>
  <si>
    <t>Converted Width (ft)</t>
  </si>
  <si>
    <t>Casement Window Standard</t>
  </si>
  <si>
    <t>Area (sqft)</t>
  </si>
  <si>
    <t>Recommended Panel Quantity</t>
  </si>
  <si>
    <t>Default Profit Margin %</t>
  </si>
  <si>
    <t>SRP Price</t>
  </si>
  <si>
    <t>Cost Price</t>
  </si>
  <si>
    <t>Subframe 1" X 2"</t>
  </si>
  <si>
    <t>Custom Discount</t>
  </si>
  <si>
    <t>Sliding Door Economy</t>
  </si>
  <si>
    <t>Sliding Window Economy</t>
  </si>
  <si>
    <t>Sliding Window Performance</t>
  </si>
  <si>
    <t>Swing Door Frame</t>
  </si>
  <si>
    <t>5mm 2312blue / 5312green</t>
  </si>
  <si>
    <t>5mm Bronze / Bzfl</t>
  </si>
  <si>
    <t>5mm Bzml / Egyml</t>
  </si>
  <si>
    <t>2mm Clear / Fl</t>
  </si>
  <si>
    <t>5mm Clear / Fl</t>
  </si>
  <si>
    <t>8mm Clear / Fl</t>
  </si>
  <si>
    <t>5mm Dark Grey / Dgrfl</t>
  </si>
  <si>
    <t>6mm Dark Grey / Dgrfl</t>
  </si>
  <si>
    <t>5mm Emerald Green</t>
  </si>
  <si>
    <t>6mm Emerald Green</t>
  </si>
  <si>
    <t>5mm Jj Refle Green, Blue</t>
  </si>
  <si>
    <t>5mm Light Green / Gnfl</t>
  </si>
  <si>
    <t>6mm Light Green / Gnfl</t>
  </si>
  <si>
    <t>8mm Light Green / Gnfl</t>
  </si>
  <si>
    <t>4mm Mirror</t>
  </si>
  <si>
    <t>5mm Mirror</t>
  </si>
  <si>
    <t>6mm Mirror</t>
  </si>
  <si>
    <t>6mm Sflw</t>
  </si>
  <si>
    <t>6mm Tg1 - Tg3 Designer Glass</t>
  </si>
  <si>
    <t>6mm Tg4 Designer Glass</t>
  </si>
  <si>
    <t>5mm Color Paint (Solid)</t>
  </si>
  <si>
    <t>6mm Color Paint (Solid)</t>
  </si>
  <si>
    <t>5mm Color Paint (Metallic)</t>
  </si>
  <si>
    <t>6mm Color Paint (Metallic)</t>
  </si>
  <si>
    <t>2mm Mosq Net 4ft X 100ft</t>
  </si>
  <si>
    <t>5mm Clear Tempered (Panel)</t>
  </si>
  <si>
    <t>6mm Clear Tempered (Panel)</t>
  </si>
  <si>
    <t>8mm Clear Tempered (Panel)</t>
  </si>
  <si>
    <t>10mm Clear Tempered (Panel)</t>
  </si>
  <si>
    <t>12mm Clear Tempered (Panel)</t>
  </si>
  <si>
    <t>6mm Clear Tempered (Door)</t>
  </si>
  <si>
    <t>8mm Clear Tempered (Door)</t>
  </si>
  <si>
    <t>10mm Clear Tempered (Door)</t>
  </si>
  <si>
    <t>12mm Clear Tempered (Door)</t>
  </si>
  <si>
    <t>5mm Euro Grey Tempered (Panel)</t>
  </si>
  <si>
    <t>6mm Euro Grey Tempered (Panel)</t>
  </si>
  <si>
    <t>8mm Euro Grey Tempered (Panel)</t>
  </si>
  <si>
    <t>10mm Euro Grey Tempered (Panel)</t>
  </si>
  <si>
    <t>12mm Euro Grey Tempered (Panel)</t>
  </si>
  <si>
    <t>6mm Euro Grey Tempered (Door)</t>
  </si>
  <si>
    <t>8mm Euro Grey Tempered (Door)</t>
  </si>
  <si>
    <t>10mm Euro Grey Tempered (Door)</t>
  </si>
  <si>
    <t>12mm Euro Grey Tempered (Door)</t>
  </si>
  <si>
    <t>5mm Euro Grey Tempered (Door)</t>
  </si>
  <si>
    <t>5mm Light Green Tempered (Panel)</t>
  </si>
  <si>
    <t>6mm Light Green Tempered (Panel)</t>
  </si>
  <si>
    <t>8mm Light Green Tempered (Panel)</t>
  </si>
  <si>
    <t>10mm Light Green Tempered (Panel)</t>
  </si>
  <si>
    <t>12mm Light Green Tempered (Panel)</t>
  </si>
  <si>
    <t>12mm Light Green Tempered (Door)</t>
  </si>
  <si>
    <t>12mm Bronze Tempered (Panel)</t>
  </si>
  <si>
    <t>12mm Bronze Tempered (Door)</t>
  </si>
  <si>
    <t>6.38mm Clear Laminated (Panel)</t>
  </si>
  <si>
    <t>8.38mm Clear Laminated (Panel)</t>
  </si>
  <si>
    <t>10.38mm Clear Laminated (Panel)</t>
  </si>
  <si>
    <t>12.38mm Clear Laminated (Panel)</t>
  </si>
  <si>
    <t>10.38mm Dark Grey Laminated (Panel)</t>
  </si>
  <si>
    <t>6.38mm Light Green Laminated (Panel)</t>
  </si>
  <si>
    <t>8.38mm Light Green Laminated (Panel)</t>
  </si>
  <si>
    <t>10.38mm Light Green Laminated (Panel)</t>
  </si>
  <si>
    <t>12.38mm Light Green Laminated (Panel)</t>
  </si>
  <si>
    <t>Louver Blade N/A</t>
  </si>
  <si>
    <t>Louver Blade P/C</t>
  </si>
  <si>
    <t>Total</t>
  </si>
  <si>
    <t xml:space="preserve">Width </t>
  </si>
  <si>
    <t>Height / Length</t>
  </si>
  <si>
    <t>Converted Height / Lenght (ft)</t>
  </si>
  <si>
    <t>3mm ACP</t>
  </si>
  <si>
    <t>Confirmed Gab Size</t>
  </si>
  <si>
    <t>Casement Window Performance Dual-Window</t>
  </si>
  <si>
    <t>Casement Window Performance Multi-Point Conceal</t>
  </si>
  <si>
    <t>Casement Window Performance Multi-Point Exposed</t>
  </si>
  <si>
    <t>Ceiling Aluminium Strip</t>
  </si>
  <si>
    <t>Ceiling Plaster</t>
  </si>
  <si>
    <t>Folding Door Exposed</t>
  </si>
  <si>
    <t>Partition / Shopfront Frameless</t>
  </si>
  <si>
    <t>Sliding Door Top Hang 4” Profile</t>
  </si>
  <si>
    <t>Swing Door 4” Profile</t>
  </si>
  <si>
    <t>--- Product Type ---</t>
  </si>
  <si>
    <t>--- Select Panel ---</t>
  </si>
  <si>
    <t>Sliding Door Performance</t>
  </si>
  <si>
    <t>Margin</t>
  </si>
  <si>
    <t>PC</t>
  </si>
  <si>
    <t>Qty</t>
  </si>
  <si>
    <t>Depth</t>
  </si>
  <si>
    <t>Converted Depth (ft)</t>
  </si>
  <si>
    <t>Frame Perimeter Size (ft)</t>
  </si>
  <si>
    <t>UOM</t>
  </si>
  <si>
    <t>Ft</t>
  </si>
  <si>
    <t>Cutallow</t>
  </si>
  <si>
    <t>UnitPrice</t>
  </si>
  <si>
    <t>MaterialDescription</t>
  </si>
  <si>
    <t>NA</t>
  </si>
  <si>
    <t>Interlock Inner</t>
  </si>
  <si>
    <t>Inner Centre Jamb</t>
  </si>
  <si>
    <t>FormulaLogic</t>
  </si>
  <si>
    <t>Pair</t>
  </si>
  <si>
    <t>Pcs</t>
  </si>
  <si>
    <t>Casement Handle</t>
  </si>
  <si>
    <t>Beading</t>
  </si>
  <si>
    <t>Outer Gasket</t>
  </si>
  <si>
    <t>Inner Gasket</t>
  </si>
  <si>
    <t>STD</t>
  </si>
  <si>
    <t>Crescent Lock</t>
  </si>
  <si>
    <t>Cost Per Sqft</t>
  </si>
  <si>
    <t>SRP Per Sqft</t>
  </si>
  <si>
    <t>Sqft</t>
  </si>
  <si>
    <t>Skidder</t>
  </si>
  <si>
    <t>Sash Profile (MESH)</t>
  </si>
  <si>
    <t>Friction Stay</t>
  </si>
  <si>
    <t>CT-CD7600 Handle</t>
  </si>
  <si>
    <t>TC-55 Push Rod (35mm)</t>
  </si>
  <si>
    <t>TC-67 Lock Cam (17mm)</t>
  </si>
  <si>
    <t>SSK-Canter Keeper</t>
  </si>
  <si>
    <t>MHG-103 Conceal Hinge</t>
  </si>
  <si>
    <t>MHG-103 Bracket Hinge</t>
  </si>
  <si>
    <t>Angle Plate 16.4 X 2.3mm</t>
  </si>
  <si>
    <t>MUT 9 X 19mm Corner Bracket 1.8mm</t>
  </si>
  <si>
    <t>Inner Bracket</t>
  </si>
  <si>
    <t>Outer Bracket</t>
  </si>
  <si>
    <t>Hinge 805</t>
  </si>
  <si>
    <t>MP Keeper 804 6mm</t>
  </si>
  <si>
    <t>Lock Cam 807</t>
  </si>
  <si>
    <t>Push Rod 808 30mm</t>
  </si>
  <si>
    <t>Handle 036</t>
  </si>
  <si>
    <t>Roller</t>
  </si>
  <si>
    <t>Price</t>
  </si>
  <si>
    <t>UOM Price</t>
  </si>
  <si>
    <t>Sliding Door Lock Single With Key SD1 Luxury Door</t>
  </si>
  <si>
    <t>MR25 Sliding Double Roller PMB (100KG)</t>
  </si>
  <si>
    <t>MP-925 Top Holder</t>
  </si>
  <si>
    <t>SDA-16V Sliding Lock Keeper Deluxe Lock</t>
  </si>
  <si>
    <t>161 PVC Interlock Cover</t>
  </si>
  <si>
    <t>DH055 ST Guchi Door Stopper Black</t>
  </si>
  <si>
    <t>SY-11 Crescent Lock</t>
  </si>
  <si>
    <t>MP-924 Side Stopper</t>
  </si>
  <si>
    <t>MR-13 SLW Roller</t>
  </si>
  <si>
    <t>Metal Track (U-Track)</t>
  </si>
  <si>
    <t>Angle Bead / Corner Bead</t>
  </si>
  <si>
    <t xml:space="preserve">Drywall Screw </t>
  </si>
  <si>
    <t>Joint Tape / Paper Tape</t>
  </si>
  <si>
    <t xml:space="preserve">Joint Compound / Putty </t>
  </si>
  <si>
    <t>Sealant/Caulk</t>
  </si>
  <si>
    <t>Fr</t>
  </si>
  <si>
    <t>ft</t>
  </si>
  <si>
    <t>gm</t>
  </si>
  <si>
    <t>pcs</t>
  </si>
  <si>
    <t>kg</t>
  </si>
  <si>
    <t>liter</t>
  </si>
  <si>
    <t>Metal Stud (C-Stud) Vertical ↕</t>
  </si>
  <si>
    <t>Metal Stud (C-Stud) Horizontal ↔</t>
  </si>
  <si>
    <t>Labour</t>
  </si>
  <si>
    <t>Maxi Lite Paint</t>
  </si>
  <si>
    <t>UAC Powder Jointing Compound 40kg/Bag</t>
  </si>
  <si>
    <t>12mm SCG Fiber Cemboard 4' X 8'</t>
  </si>
  <si>
    <t>12mm Gypson Partition Board 4' X 8'</t>
  </si>
  <si>
    <t>9mm Gypson Partition Board 4' X 8'</t>
  </si>
  <si>
    <t>9mm SCG Fiber Cemboard 4' X 8'</t>
  </si>
  <si>
    <t>Standard</t>
  </si>
  <si>
    <t>Profit Margin</t>
  </si>
  <si>
    <t>#</t>
  </si>
  <si>
    <t>Set</t>
  </si>
  <si>
    <t>Wall Mirror</t>
  </si>
  <si>
    <t>Backing Board (Plywood/Cement)</t>
  </si>
  <si>
    <t>Aluminium J-Trim (Side)</t>
  </si>
  <si>
    <t>Aluminium U-Trim (Bottom)</t>
  </si>
  <si>
    <t>Self Drilling Screw</t>
  </si>
  <si>
    <t>Top Roller</t>
  </si>
  <si>
    <t>Bottom Guide</t>
  </si>
  <si>
    <t>T28 Flat Handle + T29 Lock Case</t>
  </si>
  <si>
    <t>MPH961 Latch Bolt</t>
  </si>
  <si>
    <t>Parameter Frame (Outer Frame)</t>
  </si>
  <si>
    <t>Horizontal Header Beam ↔</t>
  </si>
  <si>
    <t>Vertical Cantilever ↕</t>
  </si>
  <si>
    <t>Support Post</t>
  </si>
  <si>
    <t>Skylight Capping</t>
  </si>
  <si>
    <t>C-Purlin</t>
  </si>
  <si>
    <t>Rain Gutter</t>
  </si>
  <si>
    <t>Gutter Down Pipe</t>
  </si>
  <si>
    <t>Gutter Beam  ↔</t>
  </si>
  <si>
    <t>#10 X 1" Self Tapping Screw</t>
  </si>
  <si>
    <t>Post Capping</t>
  </si>
  <si>
    <t>Wedge Anchor M12 X 100</t>
  </si>
  <si>
    <t>Flat Economy Hand Paint + Antirust</t>
  </si>
  <si>
    <t>GOX7 Texture Paint (5L) - Black</t>
  </si>
  <si>
    <t>Gutter</t>
  </si>
  <si>
    <t>Primer Paint</t>
  </si>
  <si>
    <t>Metaldeck STD</t>
  </si>
  <si>
    <t>Metaldeck (PU)</t>
  </si>
  <si>
    <t>GI Carrier Rail (MF)</t>
  </si>
  <si>
    <t>Alum Ceiling Trim (W/G)</t>
  </si>
  <si>
    <t>GI Bracing</t>
  </si>
  <si>
    <t>Wall Angle</t>
  </si>
  <si>
    <t>Rod Anchor/Expansion Bolt</t>
  </si>
  <si>
    <t>Suspension Rod / M/S Stud</t>
  </si>
  <si>
    <t>Ceiling Panel 100mm / 4"</t>
  </si>
  <si>
    <t>Ceiling Aluminium Baffle Box</t>
  </si>
  <si>
    <t>Baffle Panel</t>
  </si>
  <si>
    <t>T-Holder</t>
  </si>
  <si>
    <t>Endcap</t>
  </si>
  <si>
    <t>Total Outer Frame 1" X 1"</t>
  </si>
  <si>
    <t>Vertical Mullion ↕ 1" X 1"</t>
  </si>
  <si>
    <t>Horizontal Inner ↔ 6/8" X 6/8"</t>
  </si>
  <si>
    <t>Total Outer Flat Bar 1" X 3mm</t>
  </si>
  <si>
    <t>Horizontal Mullion ↔ 1" X 1"</t>
  </si>
  <si>
    <t>Total Windoor Frame 1" X 1"</t>
  </si>
  <si>
    <t>Skru/plug (Wall plug)</t>
  </si>
  <si>
    <t xml:space="preserve">Window Lock </t>
  </si>
  <si>
    <t xml:space="preserve">Hinge </t>
  </si>
  <si>
    <t xml:space="preserve">Silicone/Sealant </t>
  </si>
  <si>
    <t xml:space="preserve">Powdercoated </t>
  </si>
  <si>
    <t>Misc Cost</t>
  </si>
  <si>
    <t>Total Outer Frame Grill Box 1" X 1"</t>
  </si>
  <si>
    <t>L/S</t>
  </si>
  <si>
    <t>Horizontal Inner Grill Box L/R ↔ 6/8" X 6/8"</t>
  </si>
  <si>
    <t>Horizontal Inner Grill Box T/B ↔ 6/8" X 6/8"</t>
  </si>
  <si>
    <t>Partition / Shopfront Aluminium Frame 3" / Louvers</t>
  </si>
  <si>
    <t>Partition / Shopfront Aluminium Frame 4" / Louvers</t>
  </si>
  <si>
    <t>Armor 7025 Mortise Lock</t>
  </si>
  <si>
    <t>Pad lock eye</t>
  </si>
  <si>
    <t>Side Jamb</t>
  </si>
  <si>
    <t>Flush Bolt + Dust Socket</t>
  </si>
  <si>
    <t>ML1689-SS ST Guchi S/G Mortise Hook Lock c/w Profile Cylinder 70mm (Double)</t>
  </si>
  <si>
    <t>1-Way Sliding Track</t>
  </si>
  <si>
    <t>2-Way Sliding Track</t>
  </si>
  <si>
    <t>3-Way Sliding Track</t>
  </si>
  <si>
    <t>Door Inner Inner Frame 1" X 2"</t>
  </si>
  <si>
    <t>Floor Spring</t>
  </si>
  <si>
    <t>2Ft Handle</t>
  </si>
  <si>
    <t>4" U-Channel N/A</t>
  </si>
  <si>
    <t>1" X 1.6mm U-Channel Black</t>
  </si>
  <si>
    <t>1" X 1.6mm U-Channel N/A</t>
  </si>
  <si>
    <t xml:space="preserve">Ready Made 765mmH Stainless Steel Post </t>
  </si>
  <si>
    <t>2" SS Custom Weld Hand Railing &amp; Fabrication</t>
  </si>
  <si>
    <t>2" SS Custom Weld Post &amp; Fabrication</t>
  </si>
  <si>
    <t>2" Post Cover Cap</t>
  </si>
  <si>
    <t>Metal Work</t>
  </si>
  <si>
    <t>Ceiling &amp; Partition Board</t>
  </si>
  <si>
    <t>Vitally</t>
  </si>
  <si>
    <t>Aluminium &amp; Glass Standard</t>
  </si>
  <si>
    <t>Aluminium &amp; Glass Performance</t>
  </si>
  <si>
    <t>Frameless Glass</t>
  </si>
  <si>
    <t>Lattice Design</t>
  </si>
  <si>
    <t xml:space="preserve">Formula </t>
  </si>
  <si>
    <t>Outer Frame W X H</t>
  </si>
  <si>
    <t>Outer Side Jamb</t>
  </si>
  <si>
    <t>Double Centre Jamb</t>
  </si>
  <si>
    <t>Sliding Interlock</t>
  </si>
  <si>
    <t>Single Horizontal Mullion ↔</t>
  </si>
  <si>
    <t>Single Vertical Mullion ↕</t>
  </si>
  <si>
    <t>Default Vertical Mullion by Panel ↕</t>
  </si>
  <si>
    <t>Inner Frame</t>
  </si>
  <si>
    <t>Sliding Side Inner</t>
  </si>
  <si>
    <t>Additional Material</t>
  </si>
  <si>
    <t>Lattice Design 12 Box / Panel</t>
  </si>
  <si>
    <t>TagList</t>
  </si>
  <si>
    <t>Tag Qty</t>
  </si>
  <si>
    <t>Double Side Panel Inner (Glass Gasket)</t>
  </si>
  <si>
    <t>Outer &amp; Inner Double Tape</t>
  </si>
  <si>
    <t>Qty Panel</t>
  </si>
  <si>
    <t>Total Sqft W X H @ W X H X D</t>
  </si>
  <si>
    <t>Friction Stay Top Hung</t>
  </si>
  <si>
    <t>Single Horizontal Mullion ↔ Bila Tambah Top Hung</t>
  </si>
  <si>
    <t>1-Way Sliding Top Track</t>
  </si>
  <si>
    <t>Outer &amp; Inner Double Side Tape</t>
  </si>
  <si>
    <t>Outer &amp; Inner Double Side Black Tape</t>
  </si>
  <si>
    <t>2-Way Sliding Top Track</t>
  </si>
  <si>
    <t>3-Way Sliding Top Track</t>
  </si>
  <si>
    <t>1-Way Sliding Bottom Track</t>
  </si>
  <si>
    <t>2-Way Sliding Bottom Track</t>
  </si>
  <si>
    <t>3-Way Sliding Bottom Track</t>
  </si>
  <si>
    <t>1-Way Side Jamb</t>
  </si>
  <si>
    <t>2-Way Side Jamb</t>
  </si>
  <si>
    <t>3-Way Side Jamb</t>
  </si>
  <si>
    <t>Sliding Top Inner</t>
  </si>
  <si>
    <t>Sliding Bottom Inner</t>
  </si>
  <si>
    <t>A5 Lock</t>
  </si>
  <si>
    <t>Angle Cover Sliding Top Track</t>
  </si>
  <si>
    <t>Leju S Series S88 SN</t>
  </si>
  <si>
    <t>AFG1002 Floor Guide</t>
  </si>
  <si>
    <t>3/8" Metal Stud c/w Bolt &amp; Nut</t>
  </si>
  <si>
    <t>2-Way Flush Bolt</t>
  </si>
  <si>
    <t>2-Way Dust Socket</t>
  </si>
  <si>
    <t>MR007N Top Roller</t>
  </si>
  <si>
    <t>Flush Bolt</t>
  </si>
  <si>
    <t>Dust Socket</t>
  </si>
  <si>
    <t>Door Hinge</t>
  </si>
  <si>
    <t>Tubular Lock</t>
  </si>
  <si>
    <t>Door Closer</t>
  </si>
  <si>
    <t>Centre Clip</t>
  </si>
  <si>
    <t>Door Frame</t>
  </si>
  <si>
    <t>Partition Board 4"</t>
  </si>
  <si>
    <t>Partition Board Std</t>
  </si>
  <si>
    <t>Inner Corner Bracket</t>
  </si>
  <si>
    <t>Slide Lock Bar</t>
  </si>
  <si>
    <t>Folding Door Top Track</t>
  </si>
  <si>
    <t>Folding Door Botom Track</t>
  </si>
  <si>
    <t>Attachment Door Clip</t>
  </si>
  <si>
    <t>Outer Woolpile</t>
  </si>
  <si>
    <t>MF601KS MP Lockset</t>
  </si>
  <si>
    <t>Bottle</t>
  </si>
  <si>
    <t>X'TRASEAL X'Bond MC-903 Construction Adhesive Sealant 320g</t>
  </si>
  <si>
    <t>X'TRASEAL SN-501 Neutral Silicone Sealant</t>
  </si>
  <si>
    <t>X'TRASEAL SN-501 Neutral/Black Silicone Sealant</t>
  </si>
  <si>
    <t>X'TRASEAL SN-501 Neutral</t>
  </si>
  <si>
    <t>Frameless</t>
  </si>
  <si>
    <t>Railing</t>
  </si>
  <si>
    <t>Grill</t>
  </si>
  <si>
    <t>Window</t>
  </si>
  <si>
    <t>Swing Door</t>
  </si>
  <si>
    <t>Sliding Door</t>
  </si>
  <si>
    <t>c/w Box</t>
  </si>
  <si>
    <t>Gab Size</t>
  </si>
  <si>
    <t>c/w Window Opening</t>
  </si>
  <si>
    <t>--- Choose Variant ---</t>
  </si>
  <si>
    <t>X</t>
  </si>
  <si>
    <t>Shower Screen</t>
  </si>
  <si>
    <t>Sliding Door Roller Set</t>
  </si>
  <si>
    <t>3m Track</t>
  </si>
  <si>
    <t>Handle</t>
  </si>
  <si>
    <t>Sliding Door Auto Systen</t>
  </si>
  <si>
    <t>Lock</t>
  </si>
  <si>
    <t>Electric Auto System</t>
  </si>
  <si>
    <t>Soft Close</t>
  </si>
  <si>
    <t>Screen Only</t>
  </si>
  <si>
    <t>CKS-301 Hinge</t>
  </si>
  <si>
    <t>CKS-626 Door Handle</t>
  </si>
  <si>
    <t>CKS-201, 204, 205 Side Strip</t>
  </si>
  <si>
    <t>CKS-206 Bottom Strip</t>
  </si>
  <si>
    <t>Glass Clip-GC08 12mm</t>
  </si>
  <si>
    <t>L Shape Support</t>
  </si>
  <si>
    <t>SH-Fixed Angle</t>
  </si>
  <si>
    <t>SH-ADJ Header Adjuster</t>
  </si>
  <si>
    <t>SH-Header Square 6Ft/Pcs</t>
  </si>
  <si>
    <t>ACP / Polycarbonate / Glass</t>
  </si>
  <si>
    <t>Metaldeck / PU Metaldeck</t>
  </si>
  <si>
    <t>PRICE</t>
  </si>
  <si>
    <t>12"H Top Hung Standard Casement Profile</t>
  </si>
  <si>
    <t>C-Purlin + Primer Paint</t>
  </si>
  <si>
    <t>Gutter + Primer Paint</t>
  </si>
  <si>
    <t>C-Purlin + Hidden Gutter + Primer Paint</t>
  </si>
  <si>
    <t>12"H Top / Bottom Fix Standard Casement Profile</t>
  </si>
  <si>
    <t>SF Profile Horizontal Mullion ↔</t>
  </si>
  <si>
    <t>SF Profile Fix SF Vertical Mullion ↕</t>
  </si>
  <si>
    <t>Price / Pc / Ft</t>
  </si>
  <si>
    <t>Casement Outer Frame</t>
  </si>
  <si>
    <t>Casement Inner Frame</t>
  </si>
  <si>
    <t>Casement Mullion Frame</t>
  </si>
  <si>
    <t>Casement Beading</t>
  </si>
  <si>
    <t>--- AddOn 1 ---</t>
  </si>
  <si>
    <t>--- AddOn 2 ---</t>
  </si>
  <si>
    <t>Bifold Mini Pro</t>
  </si>
  <si>
    <t>Below 30" x 84" ecobonz 2.5mm Glossy / VACP 800 Series</t>
  </si>
  <si>
    <t>Below 30" x 84" ecoscreen 2.5mm</t>
  </si>
  <si>
    <t>Below 30" x 84" ecopoly 2.5mm</t>
  </si>
  <si>
    <t>Below 30" x 84" Aerolite</t>
  </si>
  <si>
    <t>Below 30" x 84" Full Louvers</t>
  </si>
  <si>
    <t>Bifold</t>
  </si>
  <si>
    <t>Bifold Mini Lite</t>
  </si>
  <si>
    <t>1. Below 30" x 84" Composite</t>
  </si>
  <si>
    <t xml:space="preserve">Lattice 8 Box </t>
  </si>
  <si>
    <t xml:space="preserve">Lattice 12 Box </t>
  </si>
  <si>
    <t>Louvers 1/8</t>
  </si>
  <si>
    <t>Louvers 1/4</t>
  </si>
  <si>
    <t>Louvers 1/2</t>
  </si>
  <si>
    <t>Hollow Fix 1" x 1-1/2"</t>
  </si>
  <si>
    <t>Double Lock</t>
  </si>
  <si>
    <t>Supply &amp; Install</t>
  </si>
  <si>
    <t>Supply &amp; Courier</t>
  </si>
  <si>
    <t>Self Collect</t>
  </si>
  <si>
    <t>Dapatkan Margin %</t>
  </si>
  <si>
    <t>Kos / Harga Jual</t>
  </si>
  <si>
    <t>Harga Jual / Margin %</t>
  </si>
  <si>
    <t>Multi Panel</t>
  </si>
  <si>
    <t>Hollow Fix Installation Charges</t>
  </si>
  <si>
    <t>Outer Frame W X H Hollow 1" X 3"</t>
  </si>
  <si>
    <t>Inner Frame Hollow 1/2" X 1</t>
  </si>
  <si>
    <t>Single Horizontal Mullion ↔ 1" X 3"</t>
  </si>
  <si>
    <t>Single Vertical Mullion ↕ 1" X 3"</t>
  </si>
  <si>
    <t>Outer Bracket 1" X 3" 059 Corner Bracket</t>
  </si>
  <si>
    <t>Mullion Hollow Bracket 1" X 3" 020</t>
  </si>
  <si>
    <t>Aluminium Adjustable</t>
  </si>
  <si>
    <t>Aluminium Fix</t>
  </si>
  <si>
    <t>PVC Adjustable</t>
  </si>
  <si>
    <t>PVC Fix</t>
  </si>
  <si>
    <t>Black Stainless Steel Mesh</t>
  </si>
  <si>
    <t>4mm Naco Glass</t>
  </si>
  <si>
    <t>Bi-Fold One Lite</t>
  </si>
  <si>
    <t>Bi-Fold One Pro</t>
  </si>
  <si>
    <t>Bi-Fold King Pro</t>
  </si>
  <si>
    <t>Swing Door 800 Series</t>
  </si>
  <si>
    <t>Additional Size Complete Set</t>
  </si>
  <si>
    <t>Additional Size Full Louvers</t>
  </si>
  <si>
    <t>Water Seal WS01</t>
  </si>
  <si>
    <t>Round Glass Handle</t>
  </si>
  <si>
    <t>BUTTON RANGE</t>
  </si>
  <si>
    <t>VersionName</t>
  </si>
  <si>
    <t>TEST</t>
  </si>
  <si>
    <t>Timestamp</t>
  </si>
  <si>
    <t>SourceSheet</t>
  </si>
  <si>
    <t>Enginuity</t>
  </si>
  <si>
    <t>WorkArea</t>
  </si>
  <si>
    <t>K1:P49</t>
  </si>
  <si>
    <t>§BLK§</t>
  </si>
  <si>
    <t>§TXT§UOM</t>
  </si>
  <si>
    <t>§TXT§QTY</t>
  </si>
  <si>
    <t>§TXT§UNIT PRICE</t>
  </si>
  <si>
    <t>§TXT§TOTAL</t>
  </si>
  <si>
    <t>Formula</t>
  </si>
  <si>
    <t>§TXT§ASDASD</t>
  </si>
  <si>
    <t>§TXT§E</t>
  </si>
  <si>
    <t>§TXT§TEST</t>
  </si>
  <si>
    <t>§TXT§TETE</t>
  </si>
  <si>
    <t>§TXT§TETET</t>
  </si>
  <si>
    <t>§TXT§ETET</t>
  </si>
  <si>
    <t>Unit Price</t>
  </si>
  <si>
    <t>§TXT§Qty</t>
  </si>
  <si>
    <t>§TXT§Unit Price</t>
  </si>
  <si>
    <t>§TXT§Total</t>
  </si>
  <si>
    <t>§TXT§#</t>
  </si>
  <si>
    <t>Profit</t>
  </si>
  <si>
    <t>Total Cost</t>
  </si>
  <si>
    <t>Total SRP</t>
  </si>
  <si>
    <t>§TXT§Total SRP</t>
  </si>
  <si>
    <t>§TXT§Total Cost</t>
  </si>
  <si>
    <t>§TXT§Profit</t>
  </si>
  <si>
    <t>HDS-3501 Square Half Deadbolt</t>
  </si>
  <si>
    <t>Swing Door Frame 740A</t>
  </si>
  <si>
    <t>830A</t>
  </si>
  <si>
    <t>740A</t>
  </si>
  <si>
    <t>NA / PC.Matt Black / PC.White / SB.Grey</t>
  </si>
  <si>
    <t>Inch</t>
  </si>
  <si>
    <t>49</t>
  </si>
  <si>
    <t>Below 36" x 84" ecobonz 2.5mm Glossy / VACP 800 Series</t>
  </si>
  <si>
    <t>Below 36" x 84" ecoscreen 2.5mm</t>
  </si>
  <si>
    <t>Below 36" x 84" ecopoly 2.5mm</t>
  </si>
  <si>
    <t>Below 36" x 84" Aerolite</t>
  </si>
  <si>
    <t>Below 36" x 84" N.Glass + Lamina Film / N.Dark Grey Glass 5mm</t>
  </si>
  <si>
    <t>Below 36" x 84" N.Clear Glass 5mm</t>
  </si>
  <si>
    <t>Below 36" x 84" Tempered Glass 5mm</t>
  </si>
  <si>
    <t>Below 36" x 84" Full Louvers</t>
  </si>
  <si>
    <t>1. Below 36" x 84" Composite</t>
  </si>
  <si>
    <t>Suspended Sliding Door</t>
  </si>
  <si>
    <t>310A</t>
  </si>
  <si>
    <t>Below 34" x 84" ecobonz 2.5mm Glossy / VACP 800 Series</t>
  </si>
  <si>
    <t>Below 34" x 84" ecoscreen 2.5mm</t>
  </si>
  <si>
    <t>Below 34" x 84" ecopoly 2.5mm</t>
  </si>
  <si>
    <t>Below 34" x 84" Aerolite</t>
  </si>
  <si>
    <t>Below 34" x 84" Composite</t>
  </si>
  <si>
    <t>Below 34" x 84" N.Glass + Lamina Film [Full] 5mm / N.Dark Grey Glass 5mm</t>
  </si>
  <si>
    <t>1. Below 34" x 84" N.Clear Glass 5mm</t>
  </si>
  <si>
    <t>Below 34" x 84" Tempered Glass 5mm</t>
  </si>
  <si>
    <t>Below 34" x 84" Full Louvers</t>
  </si>
  <si>
    <t>--- Frame Finish ---</t>
  </si>
  <si>
    <t>--- Product Group ---</t>
  </si>
  <si>
    <t>Convert Any No to WhatsApp Link</t>
  </si>
  <si>
    <t>Link</t>
  </si>
  <si>
    <t>Acrylic 36" (72" H)</t>
  </si>
  <si>
    <t>Acrylic 42" (72" H)</t>
  </si>
  <si>
    <t>Acrylic 48" (72" H)</t>
  </si>
  <si>
    <t>Acrylic 54" (72" H)</t>
  </si>
  <si>
    <t>Acrylic 60" (72" H)</t>
  </si>
  <si>
    <t>Acrylic 66" (72" H)</t>
  </si>
  <si>
    <t>Acrylic 72" (72" H)</t>
  </si>
  <si>
    <t>N.Glass + Lamina Film (Full) 4mm</t>
  </si>
  <si>
    <t>N.Glass + Lamina Film (Full) 4mm 36" (72" H)</t>
  </si>
  <si>
    <t>N.Glass + Lamina Film (Full) 4mm 42" (72" H)</t>
  </si>
  <si>
    <t>N.Glass + Lamina Film (Full) 4mm 48" (72" H)</t>
  </si>
  <si>
    <t>N.Glass + Lamina Film (Full) 4mm 54" (72" H)</t>
  </si>
  <si>
    <t>N.Glass + Lamina Film (Full) 4mm 60" (72" H)</t>
  </si>
  <si>
    <t>ecobonz®/ecoscreen 2.5mm 36" (72" H)</t>
  </si>
  <si>
    <t>ecobonz®/ecoscreen 2.5mm 42" (72" H)</t>
  </si>
  <si>
    <t>ecobonz®/ecoscreen 2.5mm 48" (72" H)</t>
  </si>
  <si>
    <t>ecobonz®/ecoscreen 2.5mm 54" (72" H)</t>
  </si>
  <si>
    <t>ecobonz®/ecoscreen 2.5mm 60" (72" H)</t>
  </si>
  <si>
    <t>ecobonz®/ecoscreen 2.5mm 66" (72" H)</t>
  </si>
  <si>
    <t>ecobonz®/ecoscreen 2.5mm 72" (72" H)</t>
  </si>
  <si>
    <t>ecobonz®/ecoscreen 4.5mm 36" (72" H)</t>
  </si>
  <si>
    <t>ecobonz®/ecoscreen 4.5mm 42" (72" H)</t>
  </si>
  <si>
    <t>ecobonz®/ecoscreen 4.5mm 48" (72" H)</t>
  </si>
  <si>
    <t>ecobonz®/ecoscreen 4.5mm 54" (72" H)</t>
  </si>
  <si>
    <t>ecobonz®/ecoscreen 4.5mm 60" (72" H)</t>
  </si>
  <si>
    <t>ecobonz®/ecoscreen 4.5mm 66" (72" H)</t>
  </si>
  <si>
    <t>ecobonz®/ecoscreen 4.5mm 72" (72" H)</t>
  </si>
  <si>
    <t>Acrylic 36" (84" H)</t>
  </si>
  <si>
    <t>Acrylic 42" (84" H)</t>
  </si>
  <si>
    <t>Acrylic 48" (84" H)</t>
  </si>
  <si>
    <t>Acrylic 54" (84" H)</t>
  </si>
  <si>
    <t>Acrylic 60" (84" H)</t>
  </si>
  <si>
    <t>Acrylic 66" (84" H)</t>
  </si>
  <si>
    <t>Acrylic 72" (84" H)</t>
  </si>
  <si>
    <t>N.Glass + Lamina Film (Full) 4mm 36" (84" H)</t>
  </si>
  <si>
    <t>N.Glass + Lamina Film (Full) 4mm 42" (84" H)</t>
  </si>
  <si>
    <t>N.Glass + Lamina Film (Full) 4mm 48" (84" H)</t>
  </si>
  <si>
    <t>N.Glass + Lamina Film (Full) 4mm 54" (84" H)</t>
  </si>
  <si>
    <t>N.Glass + Lamina Film (Full) 4mm 60" (84" H)</t>
  </si>
  <si>
    <t>ecobonz®Glossy / ecoscreen 2.5mm 36" (84" H)</t>
  </si>
  <si>
    <t>ecobonz®Glossy / ecoscreen 2.5mm 42" (84" H)</t>
  </si>
  <si>
    <t>ecobonz®Glossy / ecoscreen 2.5mm 48" (84" H)</t>
  </si>
  <si>
    <t>ecobonz®Glossy / ecoscreen 2.5mm 54" (84" H)</t>
  </si>
  <si>
    <t>ecobonz®Glossy / ecoscreen 2.5mm 60" (84" H)</t>
  </si>
  <si>
    <t>ecobonz®Glossy / ecoscreen 2.5mm 66" (84" H)</t>
  </si>
  <si>
    <t>ecobonz®Glossy / ecoscreen 2.5mm 72" (84" H)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</si>
  <si>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</si>
  <si>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</si>
  <si>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</si>
  <si>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</si>
  <si>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</si>
  <si>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</si>
  <si>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</si>
  <si>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</si>
  <si>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</si>
  <si>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ecobonz®Glossy / ecoscreen 4.5mm 36" (84" H)</t>
  </si>
  <si>
    <t>ecobonz®Glossy / ecoscreen 4.5mm 42" (84" H)</t>
  </si>
  <si>
    <t>ecobonz®Glossy / ecoscreen 4.5mm 48" (84" H)</t>
  </si>
  <si>
    <t>ecobonz®Glossy / ecoscreen 4.5mm 54" (84" H)</t>
  </si>
  <si>
    <t>ecobonz®Glossy / ecoscreen 4.5mm 60" (84" H)</t>
  </si>
  <si>
    <t>ecobonz®Glossy / ecoscreen 4.5mm 66" (84" H)</t>
  </si>
  <si>
    <t>ecobonz®Glossy / ecoscreen 4.5mm 72" (84" H)</t>
  </si>
  <si>
    <t>ecobonz®/ecoscreen 4.5mm</t>
  </si>
  <si>
    <t>ecobonz®/ecoscreen 2.5mm</t>
  </si>
  <si>
    <t>72" Height</t>
  </si>
  <si>
    <t>84" Height</t>
  </si>
  <si>
    <t>HOLLOW 1.0MM 6/8"</t>
  </si>
  <si>
    <t>HOLLOW 1.2MM 6/8"</t>
  </si>
  <si>
    <t>HOLLOW 1.2MM 1/2" X 1"</t>
  </si>
  <si>
    <t>HOLLOW 1.0MM 1"</t>
  </si>
  <si>
    <t>HOLLOW 1.2MM 1"</t>
  </si>
  <si>
    <t>HOLLOW 1.6MM 1"</t>
  </si>
  <si>
    <t>HOLLOW 1.9MM 1"</t>
  </si>
  <si>
    <t xml:space="preserve">HOLLOW 1.0MM  1X2 </t>
  </si>
  <si>
    <t xml:space="preserve">HOLLOW 1.2MM  1X2 </t>
  </si>
  <si>
    <t xml:space="preserve">HOLLOW 1.6MM  1X2 </t>
  </si>
  <si>
    <t xml:space="preserve">HOLLOW 1.9MM  1X2 </t>
  </si>
  <si>
    <t xml:space="preserve">HOLLOW 2.3MM  1X2 </t>
  </si>
  <si>
    <t>HOLLOW 1.2MM 1-1/2"</t>
  </si>
  <si>
    <t>HOLLOW 1.6MM 1-1/2"</t>
  </si>
  <si>
    <t>HOLLOW 1.9MM 1-1/2"</t>
  </si>
  <si>
    <t>HOLLOW 1.9MM 1-1/2" X 2 1/2"</t>
  </si>
  <si>
    <t>HOLLOW 1.2MM 1" X 3"</t>
  </si>
  <si>
    <t>HOLLOW 1.6MM 1" X 3"</t>
  </si>
  <si>
    <t>HOLLOW 1.2MM 1-1/2" X 3"</t>
  </si>
  <si>
    <t>HOLLOW 1.6MM 1-1/2" X 3"</t>
  </si>
  <si>
    <t>HOLLOW 1.9MM 1-1/2" X 3"</t>
  </si>
  <si>
    <t>HOLLOW 1.2MM 2"</t>
  </si>
  <si>
    <t>HOLLOW 1.6MM 2"</t>
  </si>
  <si>
    <t>HOLLOW 1.9MM 2"</t>
  </si>
  <si>
    <t>HOLLOW 2.3MM 2"</t>
  </si>
  <si>
    <t>HOLLOW 1.2MM 2X3</t>
  </si>
  <si>
    <t>HOLLOW 1.6MM 2X3</t>
  </si>
  <si>
    <t>HOLLOW 2.3MM 2X3</t>
  </si>
  <si>
    <t>HOLLOW 3.0MM 2X3</t>
  </si>
  <si>
    <t>HOLLOW 1.2MM 2X4</t>
  </si>
  <si>
    <t>HOLLOW 1.6MM 2X4</t>
  </si>
  <si>
    <t>HOLLOW 1.9MM 2X4</t>
  </si>
  <si>
    <t>HOLLOW 2.3MM 2X4</t>
  </si>
  <si>
    <t>HOLLOW 1.6MM 2X5</t>
  </si>
  <si>
    <t>HOLLOW 1.9MM 2X5</t>
  </si>
  <si>
    <t>HOLLOW 2.3MM 2X5</t>
  </si>
  <si>
    <t>HOLLOW 3.0MM 2X5</t>
  </si>
  <si>
    <t>HOLLOW 1.6MM 2X6</t>
  </si>
  <si>
    <t>HOLLOW 1.9MM 2X6</t>
  </si>
  <si>
    <t>HOLLOW 2.3MM 2X6</t>
  </si>
  <si>
    <t>HOLLOW 3.0MM 2X6</t>
  </si>
  <si>
    <t>HOLLOW 1.6MM 3X3</t>
  </si>
  <si>
    <t>HOLLOW 4.0MM 3X4</t>
  </si>
  <si>
    <t>HOLLOW 3.0MM 3X5 (AWNING LEBIH 20FT)</t>
  </si>
  <si>
    <t>HOLLOW 1.6MM 4X4</t>
  </si>
  <si>
    <t>HOLLOW 1.9MM 4X4</t>
  </si>
  <si>
    <t>HOLLOW 2.3MM 4X4</t>
  </si>
  <si>
    <t>HOLLOW 3.0MM 4X4</t>
  </si>
  <si>
    <t>2" X (AAA) X 6M M/S B/PIPE</t>
  </si>
  <si>
    <t>3MM X 6/8" X 6M M/S F/BAR</t>
  </si>
  <si>
    <t>3MM X 1" X 6M M/S F/BAR</t>
  </si>
  <si>
    <t>3MM X 2" X 6M M/S F/BAR (T-BAR SKYLIGHT GLASS BOTTOM)</t>
  </si>
  <si>
    <t xml:space="preserve">6MM X 2" X 6M M/S F/BAR </t>
  </si>
  <si>
    <t>3MM X 4" X 6M M/S F/BAR  (T-BAR SKYLIGHT STRUCTURE)</t>
  </si>
  <si>
    <t xml:space="preserve">ANGLE BAR 3.0MM 6/8"  </t>
  </si>
  <si>
    <t>ANGLE BAR 6.0MM 1"</t>
  </si>
  <si>
    <t xml:space="preserve">ANGLE BAR 3.0MM 1-1/2"  </t>
  </si>
  <si>
    <t>ANGLE BAR 6.0MM 1-1/2"</t>
  </si>
  <si>
    <t>ANGLE BAR 6.0MM 1X2</t>
  </si>
  <si>
    <t xml:space="preserve">2" X 2" X 1.6 SLIDING DOOR TRACK </t>
  </si>
  <si>
    <t>SQUARE NETTING 1.8M X 3M (2" X 2") X 2.5MM(TH)</t>
  </si>
  <si>
    <t>1/2" X 3" X 6' X 8' X 3.5MM ANTI CLIMB FENCING</t>
  </si>
  <si>
    <t>1" X 3" X 6' X 8' X 3.5MM ANTI CLIMB FENCING</t>
  </si>
  <si>
    <t>CHECKER PLATE 3MM SIAP POTONG 1" BENGOK ATAS &amp; BAWAH 10" PIJAK X 36L</t>
  </si>
  <si>
    <t>CHECKER PLATE 3MM 4' X 8'</t>
  </si>
  <si>
    <t>POTONG &amp; BEND UNTUK TANGGA / PCS</t>
  </si>
  <si>
    <t>0.9MM X 4' X 8' CR SHEET</t>
  </si>
  <si>
    <t>1.0MM X 4' X 8' CR SHEET</t>
  </si>
  <si>
    <t>1.2MM X 4' X 8' CR SHEET</t>
  </si>
  <si>
    <t>3MM X 4' X 8' M/S PLATE</t>
  </si>
  <si>
    <t>2015 X 4' X 8' M/S EXP/METAL 9MM X 29MM X 2.0MM</t>
  </si>
  <si>
    <t>BHL 1/2X18G 4' X 8' M/S EXP/METAL 13MM X 30MM X 1.2MM</t>
  </si>
  <si>
    <t>1520 X 4' X 8' M/S EXP/METAL 16MM X 38MM X 1.5MM</t>
  </si>
  <si>
    <t>7503 X 4' X 8' M/S EXP/METAL 22MM X 57MM X 3.0MM</t>
  </si>
  <si>
    <t>AWNING POST COVER</t>
  </si>
  <si>
    <t>SKYLIGHT U CHANNEL</t>
  </si>
  <si>
    <t>SKYLIGHT CAPPING</t>
  </si>
  <si>
    <t>SKYLIGHT 1X1 ANGLE</t>
  </si>
  <si>
    <t>SKYLIGHT 1 1/2" X 1 1/2" ANGLE</t>
  </si>
  <si>
    <t>SKYLIGHT RUBBER 153M / ROLL</t>
  </si>
  <si>
    <t>BLACK OXIDE-18L PAINT HESIN HARDWARE TRADING SDN.BHD.</t>
  </si>
  <si>
    <t xml:space="preserve">AWNING OCI SILICONE /BOTTLE </t>
  </si>
  <si>
    <t>UNIBOND ACP 4MM NORMAL COLOUR SILVER/WHITE GOLD/WHITE BROWN/WHITE GREY/SILVER GREY/WHITE /SQFT</t>
  </si>
  <si>
    <t>UNIBOND ACP 4MM SPECIAL COLOUR  BLACK/WHITE SILVER/SILVER /SQFT</t>
  </si>
  <si>
    <t>VERMAX POLY EMBOSSED (CLEAR) 5MM / SQFT (UNTUK PINTU / TINGKAP)</t>
  </si>
  <si>
    <t>VERMAX POLY PLAIN (CLEAR) 5MM / SQFT (UNTUK PINTU / TINGKAP)</t>
  </si>
  <si>
    <t>VERMAX HIGH QUALITY POLY PLAIN 4MM /SQFT  (UNTUK PINTU / TINGKAP)</t>
  </si>
  <si>
    <t>VERMAX HIGH QUALITY POLY EMBOSSED 3MM /SQFT (UNTUK PINTU / TINGKAP)</t>
  </si>
  <si>
    <t>VERMAX HIGH QUALITY POLY PLAIN 3MM /SQFT (UNTUK PINTU / TINGKAP)</t>
  </si>
  <si>
    <t>3MM POLY PLAIN ROOF/AWNING</t>
  </si>
  <si>
    <t>3MM POLY EMBOSSED ROOF/AWNING</t>
  </si>
  <si>
    <t>18MM VIETNAM COMMERCIAL GRED (FLOORING USE) PLYWOOD</t>
  </si>
  <si>
    <t>SLIDING DOOR LOCK</t>
  </si>
  <si>
    <t>POWDERCOATED / SQFT</t>
  </si>
  <si>
    <t>POWDERCOATED DOOR/WINDOW + SANDBLAST</t>
  </si>
  <si>
    <t>POWDERCOATED GATE &amp; SANDBLAST</t>
  </si>
  <si>
    <t>C PURLIN 10" x 3" 1.6mm @ RM 25/mtr @ RM 7.62 / ft</t>
  </si>
  <si>
    <t>C PURLIN 10" x 3" 2.0mm @ RM 30.40/mtr @ RM 9.26592 / ft</t>
  </si>
  <si>
    <t>C PURLIN 10" x 3" 2.3mm @ RM 34.80/mtr @ RM 10.607 / ft</t>
  </si>
  <si>
    <t>C PURLIN 10" x 3" 2.5mm @ RM 38.40/mtr @ RM 11.7043 / ft</t>
  </si>
  <si>
    <t>C PURLIN 12" x 4" 1.6mm @ RM 30.55 / mtr @ RM 9.31164 / ft</t>
  </si>
  <si>
    <t>C PURLIN 12" x 4" 2.0mm @ RM 38.40 / mtr @ RM 11.70432 / ft</t>
  </si>
  <si>
    <t>C PURLIN 12" x 4" 2.3mm @ RM 43.06 / mtr @ RM 13.124688 / ft</t>
  </si>
  <si>
    <t>C PURLIN 12" x 4" 2.5mm @ RM 47.20 / mtr @ RM 14.38656 / ft</t>
  </si>
  <si>
    <t>Aluminium Ceiling Strip</t>
  </si>
  <si>
    <t>305/305H-(A)  50MM STANDARD COLOR</t>
  </si>
  <si>
    <t>310/310H-(A) 100MM STANDARD COLOR</t>
  </si>
  <si>
    <t>315/315H-(A) 150MM STANDARD COLOR</t>
  </si>
  <si>
    <t>320/320H-(A) 200MM STANDARD COLOR</t>
  </si>
  <si>
    <t>305/305H-(A)  50MM WOOD GRAIN</t>
  </si>
  <si>
    <t>310/310H-(A) 100MM WOOD GRAIN</t>
  </si>
  <si>
    <t>315/315H-(A) 150MM WOOD GRAIN</t>
  </si>
  <si>
    <t>320/320H-(A) 200MM WOOD GRAIN</t>
  </si>
  <si>
    <t>305/305H-(A)  50MM WOOD GRAIN (T)</t>
  </si>
  <si>
    <t>310/310H-(A) 100MM WOOD GRAIN (T)</t>
  </si>
  <si>
    <t>315/315H-(A) 150MM WOOD GRAIN (T)</t>
  </si>
  <si>
    <t>320/320H-(A) 200MM WOOD GRAIN (T)</t>
  </si>
  <si>
    <t>GI CARRIER RAIL (MF) 4880MM</t>
  </si>
  <si>
    <t>ALUM CEILING TRIM (STD) 3660MM</t>
  </si>
  <si>
    <t>ALUM CEILING TRIM (W/G) 3660</t>
  </si>
  <si>
    <t>GI BRACING 2440MM</t>
  </si>
  <si>
    <t>GI BRACING (P/COATED) 2440MM</t>
  </si>
  <si>
    <t>GI PANEL JOINT (100MM)</t>
  </si>
  <si>
    <t>GI PANEL JOINT (150MM)</t>
  </si>
  <si>
    <t>GI PANEL JOINT (200MM)</t>
  </si>
  <si>
    <t>BRC</t>
  </si>
  <si>
    <t>A7 BRC (BS) 2.2M X 6M</t>
  </si>
  <si>
    <t>Stainless Steel</t>
  </si>
  <si>
    <t xml:space="preserve">6/8" X 1.2 ROUND TUBE </t>
  </si>
  <si>
    <t>1" X 1.2 ROUND TUBE</t>
  </si>
  <si>
    <t>1 1/2" X 1.2 ROUND TUBE</t>
  </si>
  <si>
    <t>2" X 1.2 ROUND TUBE</t>
  </si>
  <si>
    <t>2" X 1.2 SQUARE HOLLOW</t>
  </si>
  <si>
    <t>1" X 2" X 1.2 SQUARE HOLLOW</t>
  </si>
  <si>
    <t>1/2" X 1.2 SQUARE HOLLOW</t>
  </si>
  <si>
    <t>1 6/8" X 3" X 1.5 SQUARE HOLLOW</t>
  </si>
  <si>
    <t>2" X 4" X 1.5 SQUARE HOLLOW</t>
  </si>
  <si>
    <t>MS Steel SHS</t>
  </si>
  <si>
    <t>MS Steel CSC</t>
  </si>
  <si>
    <t>2" AAA</t>
  </si>
  <si>
    <t>Fence</t>
  </si>
  <si>
    <t>PVC Link Fence 8' X 45'</t>
  </si>
  <si>
    <t>6" X 3mm</t>
  </si>
  <si>
    <t>2" X 1.3mm Prezinc Pipe</t>
  </si>
  <si>
    <t>8" X 4.5mm</t>
  </si>
  <si>
    <t>Steel Bar</t>
  </si>
  <si>
    <t>R8 X 6M</t>
  </si>
  <si>
    <t>Y12 X 6M</t>
  </si>
  <si>
    <t>Wall to Wall</t>
  </si>
  <si>
    <t xml:space="preserve">Acrylic </t>
  </si>
  <si>
    <t>4" 3.0mm A</t>
  </si>
  <si>
    <t>3" x 3.2mm A</t>
  </si>
  <si>
    <t>3" x 4.0mm C</t>
  </si>
  <si>
    <t>3" x 4.0mm B</t>
  </si>
  <si>
    <t>Corner Entry / L-Shape</t>
  </si>
  <si>
    <t>ecobonz®Glossy / ecoscreen 2.5mm 36" (72" H)</t>
  </si>
  <si>
    <t>ecobonz®Glossy / ecoscreen 2.5mm 42" (72" H)</t>
  </si>
  <si>
    <t>ecobonz®Glossy / ecoscreen 4.5mm 36" (72" H)</t>
  </si>
  <si>
    <t>ecobonz®Glossy / ecoscreen 4.5mm 42" (72" H)</t>
  </si>
  <si>
    <t>ecopoly 2.5mm 36" (72" H)</t>
  </si>
  <si>
    <t>ecopoly 2.5mm 42" (72" H)</t>
  </si>
  <si>
    <t>ecopoly 4.5mm 36" (72" H)</t>
  </si>
  <si>
    <t>ecopoly 4.5mm 42" (72" H)</t>
  </si>
  <si>
    <t>Tempered Glass 4mm 36" (72" H)</t>
  </si>
  <si>
    <t>Tempered Glass 4mm 42" (72" H)</t>
  </si>
  <si>
    <t>Acrylic</t>
  </si>
  <si>
    <t>ecobonz®Glossy / ecoscreen 2.5mm</t>
  </si>
  <si>
    <t>ecobonz®Glossy / ecoscreen 4.5mm</t>
  </si>
  <si>
    <t>ecopoly 2.5mm</t>
  </si>
  <si>
    <t>ecopoly 4.5mm</t>
  </si>
  <si>
    <t>Tempered Glass 4mm</t>
  </si>
  <si>
    <t>ecopoly 2.5mm 36" (84" H)</t>
  </si>
  <si>
    <t>ecopoly 2.5mm 42" (84" H)</t>
  </si>
  <si>
    <t>ecopoly 4.5mm 36" (84" H)</t>
  </si>
  <si>
    <t>ecopoly 4.5mm 42" (84" H)</t>
  </si>
  <si>
    <t>Tempered Glass 4mm 36" (84" H)</t>
  </si>
  <si>
    <t>Tempered Glass 4mm 42" (84" H)</t>
  </si>
  <si>
    <t>Fix</t>
  </si>
  <si>
    <t>Acrylic 12" (72" H)</t>
  </si>
  <si>
    <t>Acrylic 18" (72" H)</t>
  </si>
  <si>
    <t>Acrylic 24" (72" H)</t>
  </si>
  <si>
    <t>Acrylic 30" (72" H)</t>
  </si>
  <si>
    <t>N.Glass+ Lamina Film (Full) 4mm 12" (72" H)</t>
  </si>
  <si>
    <t>N.Glass+ Lamina Film (Full) 4mm 18" (72" H)</t>
  </si>
  <si>
    <t>N.Glass+ Lamina Film (Full) 4mm 30" (72" H)</t>
  </si>
  <si>
    <t>N.Glass+ Lamina Film (Full) 4mm 36" (72" H)</t>
  </si>
  <si>
    <t>N.Glass+ Lamina Film (Full) 4mm 42" (72" H)</t>
  </si>
  <si>
    <t>N.Glass+ Lamina Film (Full) 4mm 48" (72" H)</t>
  </si>
  <si>
    <t>ecobonz®Glossy / ecoscreen 2.5mm 12" (72" H)</t>
  </si>
  <si>
    <t>ecobonz®Glossy / ecoscreen 2.5mm 18" (72" H)</t>
  </si>
  <si>
    <t>ecobonz®Glossy / ecoscreen 2.5mm 24" (72" H)</t>
  </si>
  <si>
    <t>ecobonz®Glossy / ecoscreen 2.5mm 30" (72" H)</t>
  </si>
  <si>
    <t>ecobonz®Glossy / ecoscreen 2.5mm 48" (72" H)</t>
  </si>
  <si>
    <t>ecobonz®Glossy / ecoscreen 4.5mm 12" (72" H)</t>
  </si>
  <si>
    <t>ecobonz®Glossy / ecoscreen 4.5mm 18" (72" H)</t>
  </si>
  <si>
    <t>ecobonz®Glossy / ecoscreen 4.5mm 24" (72" H)</t>
  </si>
  <si>
    <t>ecobonz®Glossy / ecoscreen 4.5mm 30" (72" H)</t>
  </si>
  <si>
    <t>ecobonz®Glossy / ecoscreen 4.5mm 48" (72" H)</t>
  </si>
  <si>
    <t>Acrylic 12" (84" H)</t>
  </si>
  <si>
    <t>Acrylic 18" (84" H)</t>
  </si>
  <si>
    <t>Acrylic 24" (84" H)</t>
  </si>
  <si>
    <t>Acrylic 30" (84" H)</t>
  </si>
  <si>
    <t>N.Glass+ Lamina Film (Full) 4mm 12" (84" H)</t>
  </si>
  <si>
    <t>N.Glass+ Lamina Film (Full) 4mm 18" (84" H)</t>
  </si>
  <si>
    <t>N.Glass+ Lamina Film (Full) 4mm 30" (84" H)</t>
  </si>
  <si>
    <t>N.Glass+ Lamina Film (Full) 4mm 36" (84" H)</t>
  </si>
  <si>
    <t>N.Glass+ Lamina Film (Full) 4mm 42" (84" H)</t>
  </si>
  <si>
    <t>N.Glass+ Lamina Film (Full) 4mm 48" (84" H)</t>
  </si>
  <si>
    <t>ecobonz®Glossy / ecoscreen 2.5mm 12" (84" H)</t>
  </si>
  <si>
    <t>ecobonz®Glossy / ecoscreen 2.5mm 18" (84" H)</t>
  </si>
  <si>
    <t>ecobonz®Glossy / ecoscreen 2.5mm 24" (84" H)</t>
  </si>
  <si>
    <t>ecobonz®Glossy / ecoscreen 2.5mm 30" (84" H)</t>
  </si>
  <si>
    <t>ecobonz®Glossy / ecoscreen 4.5mm 12" (84" H)</t>
  </si>
  <si>
    <t>ecobonz®Glossy / ecoscreen 4.5mm 18" (84" H)</t>
  </si>
  <si>
    <t>ecobonz®Glossy / ecoscreen 4.5mm 24" (84" H)</t>
  </si>
  <si>
    <t>ecobonz®Glossy / ecoscreen 4.5mm 30" (84" H)</t>
  </si>
  <si>
    <t>Auxiliary Lock</t>
  </si>
  <si>
    <t>Retractable Mosquito Net White</t>
  </si>
  <si>
    <t>Retractable Mosquito Net Black</t>
  </si>
  <si>
    <t>5mm Normal Glass / 3mm ACP</t>
  </si>
  <si>
    <t>5mm Sand Blast Glass</t>
  </si>
  <si>
    <t>5mm Tempered Glass</t>
  </si>
  <si>
    <t>5mm Tempered Sand Blast Glass</t>
  </si>
  <si>
    <t>Life Window</t>
  </si>
  <si>
    <t>Lattice</t>
  </si>
  <si>
    <t>Grill DOOR HANDLE LEVER</t>
  </si>
  <si>
    <t>Retractable Mosquito Net</t>
  </si>
  <si>
    <t>Black</t>
  </si>
  <si>
    <t>White</t>
  </si>
  <si>
    <t>Installation Charges</t>
  </si>
  <si>
    <t>Premium Series</t>
  </si>
  <si>
    <t>Soft Close &amp; Telescopic Sliding Door</t>
  </si>
  <si>
    <t>1 Panel Action</t>
  </si>
  <si>
    <t>1 Panel Action 1 Fixed</t>
  </si>
  <si>
    <t>2 Panel Action (FX)</t>
  </si>
  <si>
    <t>2 Panel Action 2 Fixed (FX)</t>
  </si>
  <si>
    <t>2 Panel Action (TX)</t>
  </si>
  <si>
    <t>2 Panel Action 1 Fixed (TX)</t>
  </si>
  <si>
    <t>3 Panel Action (TX)</t>
  </si>
  <si>
    <t>3 Panel Action 1 Fixed (TX)</t>
  </si>
  <si>
    <t>4 Panel Action (TX)</t>
  </si>
  <si>
    <t>4 Panel Action 1 Fixed (TX)</t>
  </si>
  <si>
    <t>5 Panel Action (TX)</t>
  </si>
  <si>
    <t>5 Panel Action 1 Fixed (TX)</t>
  </si>
  <si>
    <t>Panel</t>
  </si>
  <si>
    <t>Enginuity!A1</t>
  </si>
  <si>
    <t>Enginuity!17</t>
  </si>
  <si>
    <t>Enginuity!18</t>
  </si>
  <si>
    <t>TX = teleskopik (semua panel bergerak) | FX = fixed/standard mix (ada panel mati) | Max size per panel 1200W x 3000H (mm) | Lebar &lt; 800mm: tiada Soft Close | Bilangan panel mesti ikut Variant dropdown A18 | Produk ini perlu saiz tepat untuk kiraan glass | Rujuk Recommended Panel di A18 | Sebarang percanggahan spesifikasi perlu rujuk teknikal</t>
  </si>
  <si>
    <t>Second-Hand Glass Disclaimer: Due to age/degradation, any breakage during handling/installation is at client’s risk. Replacement/re-install quoted separately. | Removal Disclaimer: Damage inherent to the existing system during removal is not covered. | Client Responsibilities: Provide complete &amp; compatible hardware, correct sizes;ensure openings are level/plumb. Delays/missing items may incur additional/re-visit charges.</t>
  </si>
  <si>
    <t>R91005 × 6.1m PC - Clip Profile</t>
  </si>
  <si>
    <t>91006 × 6.1m PC - Capping Profile</t>
  </si>
  <si>
    <t>SASH Profile</t>
  </si>
  <si>
    <t>Harga anggaran SRP /Sqft ialah RM19.00 dan ke atas, base size 4H X 4W | Premium heavy-duty accessories and hardware engineered for maximum durability, smooth performance, and long-lasting security.</t>
  </si>
  <si>
    <t>Harga anggaran SRP /Sqft ialah RM30.00 dan ke atas, base size 7H X 6W | Premium heavy-duty accessories and hardware engineered for maximum durability, smooth performance, and long-lasting security.</t>
  </si>
  <si>
    <t>Harga anggaran SRP /Sqft ialah RM35.00 dan ke atas, base size 7H X 3W | Premium heavy-duty accessories and hardware engineered for maximum durability, smooth performance, and long-lasting security.</t>
  </si>
  <si>
    <t>Designed to replace the main glass or ACP panel with high-security stainless steel mesh for enhanced safety and durability. | Kiraan ini meliputi Sash Profile yang diperlukan apabila menggantikan panel utama kaca atau ACP kepada Security Stainless Steel Mesh. | Kira guna saiz penuh dan ikut bilangan panel sama seperti tingkap/pintu yang akan guna SASH Profile.</t>
  </si>
  <si>
    <t>Service &amp; Repair</t>
  </si>
  <si>
    <t>Dismantaling &amp; Removal</t>
  </si>
  <si>
    <t>Calculator Table</t>
  </si>
  <si>
    <t>§TXT§Calculator Table</t>
  </si>
  <si>
    <t>Costing Table</t>
  </si>
  <si>
    <t>§TXT§Costing Table</t>
  </si>
  <si>
    <t>Pintu tophung jenis ni hanya boleh buat 1,2,4 Panel Sahaja| Kalau Customer nak 3 Panel Suggest Economy Sliding Door / Slim Profile | Sahkan orientasi pintu slide (dalam/luar, kiri/kanan); spesifikasi piawai: gasket + bottom guide di sisi dapur/tersembunyi; pemasangan terbalik atas permintaan.| Permintaan pelanggan yang disahkan mesti ditanda pada lukisan, dilampirkan semasa pemasangan, dan diingatkan kepada installer untuk mengelakkan salah pasang.</t>
  </si>
  <si>
    <t>Semak semua dropdown sebelum kiraan | Rujuk B36 (SRP Per Sqft) untuk semak logik | Lapor teknikal jika kiraan pelik/tidak menepati logik| Add Both: L2:P2 → K5:P24 (SRP) &amp; N27:P46 (Cost), L5:O24 boleh edit ayat pelanggan| K27:P46 auto cost &amp; profit, B12 wajib diisi untuk masuk jadual bulk | Clear: kosongkan K5:O24 (backup dulu), Input kuning = manual | K5:P24 &amp; K27:P46 tanpa warna (mudah copy), K3:P24 → Ctrl+C → WhatsApp: paste terus | Messenger: paste ke Paint → simpan PNG/JPG → hantar, Caj minimum: RM350 (terpakai jika SRP &lt; RM2,500).|Perubahan pada hardware/aksesori atau kaedah pemasangan mesti disahkan pelanggan; jika tiada, guna spesifikasi standard syarikat</t>
  </si>
  <si>
    <t>Hacking (embedded frames)</t>
  </si>
  <si>
    <t>Aluminium/uPVC Frame</t>
  </si>
  <si>
    <t>Timber/Wood Frame</t>
  </si>
  <si>
    <t>U-Channel Frameless</t>
  </si>
  <si>
    <t>Glass Louvre/Jalousie Frames</t>
  </si>
  <si>
    <t>Hacking (Light)</t>
  </si>
  <si>
    <t>Dismantle/hack embedded frame; unhang/remove sash/leaf; cut silicone/anchors | Unit: FR = 2*(W+H) | Included: basic protection &amp; dust control | Excluded: make-good, disposal, re-installation | Removal Disclaimer: Damage inherent to the existing system during removal is not covered.</t>
  </si>
  <si>
    <t>Aluminium/uPVC Frame – Dismantle and hack out embedded aluminium/uPVC door/window frame and tracks, including unhang/remove sash/panel, with basic protection and dust control; make-good, disposal and re-installation excluded.</t>
  </si>
  <si>
    <t>Glass Louvre/Jalousie Frames – Dismantle and hack out embedded glass louvre/jalousie frame, stating if slat salvage is required, with basic protection and dust control; make-good, disposal and re-installation excluded.</t>
  </si>
  <si>
    <t>MS/SS Frame – Dismantle and hack out embedded mild steel/stainless frame, grille or gate using heavy-duty methods (uplift may apply), with basic protection and dust control; make-good, disposal and re-installation excluded.</t>
  </si>
  <si>
    <t>Timber/Wood Frame – Dismantle and hack out embedded timber door/window frame, including unhang leaf/panel, with basic protection and dust control; make-good, disposal and re-installation excluded.</t>
  </si>
  <si>
    <t>U-Channel Frameless – Dismantle and hack out frameless tempered glass set in embedded U-channel at floor/wall/ceiling (tile/PU risk; uplift may apply), with basic protection and dust control; make-good, disposal and re-installation excluded.</t>
  </si>
  <si>
    <t>Disposal / Debris Haulage</t>
  </si>
  <si>
    <t>1T – per trip (truck + labour + tipping)</t>
  </si>
  <si>
    <t>Tonne</t>
  </si>
  <si>
    <t>Fr - Linear Measure</t>
  </si>
  <si>
    <t>Sqft - Surface Area</t>
  </si>
  <si>
    <t>Override UOM Qty</t>
  </si>
  <si>
    <t>Fr - Linear Measure = perimeter only| Sqft - Surface Area = total surface area | Load, transport and legally dispose of demolition debris | Unit: Trip | Included: labour, truck &amp; tipping fees | Excluded: site-wide cleaning | Kira tonne → jumlahkan semua item → roundup → pilih lori → 1T RM350, 3T RM550, 5T RM700| Masukkan kedalam Calculator Table secara manual</t>
  </si>
  <si>
    <t>MS/SS Frame/Rolling Shutter</t>
  </si>
  <si>
    <t>Product Materials &amp; Cost Breakdown</t>
  </si>
  <si>
    <t>Wall Demolition (Basic) - Hack and remove wall finishes/partitions by surface area; basic protection and dust control; make-good, material supply, disposal and re-installation excluded; measure: Sqft; minimum charge per job may apply.</t>
  </si>
  <si>
    <t>Embedded Panels/Finishes (General) - Dismantle and hack out embedded panels/finishes (glass panels, tile finish wall/floor, timber wall panel, ACP/PVC/FRP composite); basic protection and dust control; make-good, material supply, disposal and re-installation excluded; measure: Sqft.</t>
  </si>
  <si>
    <t>Heavy Embedded Surface - Dismantle and hack out heavy embedded surfaces (stone cladding/marble/granite; glass block feature wall); basic protection and dust control; make-good, material supply, disposal and re-installation excluded; measure: Sqft.</t>
  </si>
  <si>
    <t>Metal Signage Plate (Embedded) - Remove embedded metal signage plate; basic protection and dust control; make-good, material supply, disposal and re-installation excluded; measure: Sqft.</t>
  </si>
  <si>
    <t>Wall Demo (Basic)</t>
  </si>
  <si>
    <t>Embedded Panels/Finishes (General)</t>
  </si>
  <si>
    <t>Heavy Embedded Surface (Stone/Glass Block)</t>
  </si>
  <si>
    <t>Metal Signage (Embedded)</t>
  </si>
  <si>
    <t>Hacking (Surface Demolition)</t>
  </si>
  <si>
    <t>Light Removal – Non-Embedded</t>
  </si>
  <si>
    <t>Low – Small/Easy</t>
  </si>
  <si>
    <t>Medium – Moderate</t>
  </si>
  <si>
    <t>Heavy – Risk/Complex</t>
  </si>
  <si>
    <t>Make-Good</t>
  </si>
  <si>
    <t>Sqft - Area</t>
  </si>
  <si>
    <t>Point</t>
  </si>
  <si>
    <t>Silicone Reseal (Perimeter)</t>
  </si>
  <si>
    <t>Perimeter Skim 2-4"</t>
  </si>
  <si>
    <t>Final Cleaning</t>
  </si>
  <si>
    <t>Paint Spot (Prime+Topcoat)</t>
  </si>
  <si>
    <t>Plaster &amp; Skim (Area)</t>
  </si>
  <si>
    <t>Facade Patch &amp; Repaint</t>
  </si>
  <si>
    <t>Waterproofing Patch</t>
  </si>
  <si>
    <t>Tile Re-Lay</t>
  </si>
  <si>
    <t>Glass Refit/Replace</t>
  </si>
  <si>
    <t>Skirting/Architrave</t>
  </si>
  <si>
    <t>Gutter/Downpipe Reconnect</t>
  </si>
  <si>
    <t>Jamb/Sill Rebuild</t>
  </si>
  <si>
    <t>New Frame Install</t>
  </si>
  <si>
    <t>Track Re-Level</t>
  </si>
  <si>
    <t>Board-Up (Temporary)</t>
  </si>
  <si>
    <t>Anchor-Hole Patch</t>
  </si>
  <si>
    <t>Welding Patch/Bracket</t>
  </si>
  <si>
    <t>Electrical Make-Safe</t>
  </si>
  <si>
    <t>Plumbing Cap/Reroute</t>
  </si>
  <si>
    <t>Lf</t>
  </si>
  <si>
    <t>Unit</t>
  </si>
  <si>
    <t>Silicone Reseal (Perimeter) Remove old bead; clean substrates; apply anti-fungal silicone; tool finish | Unit: FR = 2*(W+H) | Included: cut-out, solvent clean, new bead, masking &amp; tooling | Excluded: leak tracing/test, glass/frame replacement, perimeter plaster | Disclaimer: substrate must be dry/stable; curing 24–48h; water test billed separately</t>
  </si>
  <si>
    <t>Perimeter Skim 2–4" Feather &amp; skim 2–4" band around opening; align corners; light sanding | Unit: FR = 2*(W+H) | Included: masking, 1–2 skim coats, sanding flush | Excluded: full-wall plaster, paint, patch &gt;4", structural repair | Disclaimer: colour/texture match best-effort; curing 24–72h</t>
  </si>
  <si>
    <t>Final Cleaning Sweep/vacuum dust; wipe surfaces; remove light debris | Unit: SQFT = W×H (area served) | Included: dusting, mopping, wipe-down | Excluded: waste haulage, stain removal, high-access | Disclaimer: fine dust may resettle within 24h</t>
  </si>
  <si>
    <t>Paint Spot (Prime+Topcoat) Prime &amp; topcoat patched area; edge blending | Unit: SQFT = W×H | Included: spot primer, 1–2 coats, minor masking | Excluded: full wall/room repaint, scaffolding | Disclaimer: exact colour match not guaranteed on aged paint</t>
  </si>
  <si>
    <t>Plaster &amp; Skim (Area) Patch voids/rough areas; plaster/skim; sand flush | Unit: SQFT = W×H | Included: surface prep, 1–2 coats, sanding | Excluded: paint, waterproofing, major re-level | Disclaimer: hairline cracks possible on old substrates; curing 24–72h</t>
  </si>
  <si>
    <t>Facade Patch &amp; Repaint Patch anchor holes; seal; repaint signage area | Unit: SQFT = W×H | Included: surface prep, sealer/primer, 1–2 coats | Excluded: permit/night work, access equipment | Disclaimer: UV fade/stains may telegraph; access billed separately</t>
  </si>
  <si>
    <t>Waterproofing Patch Localised cementitious/PU patch to wet area | Unit: SQFT = W×H | Included: substrate prep, application, curing revisit | Excluded: full retile, pipe leak tracing | Disclaimer: substrate must be dry; flood test optional add-on</t>
  </si>
  <si>
    <t>Tile Re-Lay Remove &amp; relay tiles; align &amp; grout | Unit: SQFT = W×H | Included: thinset, laying, grouting | Excluded: tile supply, heavy hacking, waterproofing | Disclaimer: shade/batch variation may occur</t>
  </si>
  <si>
    <t>Glass Refit/Replace Remove &amp; refit/replace glass panel | Unit: SQFT = W×H (panel) | Included: measurement, setting blocks, seal | Excluded: special access, tempered on-site cut | Disclaimer: handle with care; safety PPE required on site</t>
  </si>
  <si>
    <t>Skirting/Architrave Cut, mitre &amp; fix; filler touch-up | Unit: LF = linear length installed | Included: cutting, fixing, basic filler | Excluded: paint, profile supply if special order | Disclaimer: profile match best-effort</t>
  </si>
  <si>
    <t>Gutter/Downpipe Reconnect Reconnect joints/brackets; seal leaks | Unit: LF = linear run worked | Included: bracket replace (minor), joint sealant | Excluded: full system replacement, high-access gear | Disclaimer: heavy rain test not included</t>
  </si>
  <si>
    <t>Jamb/Sill Rebuild Rebuild jamb/sill edges; square &amp; true | Unit: LF = length treated | Included: mortar/compound build-up, sanding | Excluded: frame change, paint | Disclaimer: curing 24–72h before finishing</t>
  </si>
  <si>
    <t>New Frame Install Install new frame; plumb, level &amp; fix | Unit: UNIT = per opening | Included: fasteners, packers/foam, perimeter seal | Excluded: hacking/make-good beyond line, paint | Disclaimer: allow tolerances per manufacturer</t>
  </si>
  <si>
    <t>Track Re-Level Remove/pack/recast track/threshold; realign | Unit: UNIT = per set | Included: re-level, fixings, test run | Excluded: full floor retile, new track supply | Disclaimer: downtime required for curing if recast</t>
  </si>
  <si>
    <t>Board-Up (Temporary) Cut &amp; secure temporary panel; weather-strip | Unit: UNIT = per opening | Included: panel, fixings, basic weather seal | Excluded: guard service, long-term maintenance | Disclaimer: short-term protection only</t>
  </si>
  <si>
    <t>Anchor-Hole Patch Fill &amp; sand anchor/plug holes | Unit: POINT = per hole/location | Included: fill compound/cement, sand smooth | Excluded: paint colour match | Disclaimer: deep holes may need multiple passes</t>
  </si>
  <si>
    <t>Welding Patch/Bracket Cut/weld/grind; prime repaired area | Unit: POINT = per patch/bracket | Included: weld, grind, anti-rust primer | Excluded: hot-work permit, access gear | Disclaimer: fire safety controls required</t>
  </si>
  <si>
    <t>Electrical Make-Safe Isolate circuit; remove fitting; cap/cover | Unit: POINT = per point | Included: isolation, termination, cover plate | Excluded: rewiring beyond point, testing report | Disclaimer: power shutdown may be required</t>
  </si>
  <si>
    <t>Plumbing Cap/Reroute Shut off; cap or reroute short length | Unit: POINT = per point | Included: shutoff, cap/fittings, basic leak test | Excluded: wall/floor hacking, retile | Disclaimer: pressure test recommended after works</t>
  </si>
  <si>
    <t>Installation (Labour-Only)</t>
  </si>
  <si>
    <t>Perimeter Foam Fill</t>
  </si>
  <si>
    <t>Glass Panel Install (Existing Frame, Pre-Cut)</t>
  </si>
  <si>
    <t>Security Mesh Panel Install (Sash Profile)</t>
  </si>
  <si>
    <t>Weatherstrip / Brush Seal Install</t>
  </si>
  <si>
    <t>Insect Screen Install (Magnetic/Frame)</t>
  </si>
  <si>
    <t>Door Leaf Install (Swing); Window Install (Casement); Threshold / Bottom Seal Install</t>
  </si>
  <si>
    <t>Sliding Door Panel Install; Window Install (Sliding); Frame-Only Install (Alu/uPVC/Timber/MS/SS)</t>
  </si>
  <si>
    <t>Bi-Fold Door Set Install</t>
  </si>
  <si>
    <t>Grille / Burglar Bar Install</t>
  </si>
  <si>
    <t>Frameless Glass (U-Channel) Install</t>
  </si>
  <si>
    <t>Shower Screen Set Install</t>
  </si>
  <si>
    <t>Restrictor / Safety Stay Install</t>
  </si>
  <si>
    <t>Door Hardware Pack Install</t>
  </si>
  <si>
    <t>Patch Fittings / Glass Hardware Install</t>
  </si>
  <si>
    <t>Door Closer / Floor Spring Install</t>
  </si>
  <si>
    <t>Inject PU foam along perimeter; trim excess | Unit: FR = 2*(W+H) | Included: standard PU foam, fill &amp; trim | Excluded: plaster/skim, paint, waterproofing | Disclaimer: substrates must be dry; expansion/curing time applies</t>
  </si>
  <si>
    <t>Fit client-supplied pre-cut glass into existing frame; set blocks; silicone seal | Unit: SQFT = W×H | Included: labour, setting blocks, sealant | Excluded: on-site cutting, access gear | Disclaimer: second-hand glass at client’s risk; exact sizing required</t>
  </si>
  <si>
    <t>Install client-supplied mesh panel + SASH profile; fix &amp; perimeter seal | Unit: SQFT = W×H | Included: labour &amp; standard fixings | Excluded: mesh/profile supply, make-good | Disclaimer: custom panels non-returnable; accurate measurements mandatory</t>
  </si>
  <si>
    <t>Cut to length; install; set compression | Unit: LF = measured run | Included: labour &amp; tuning | Excluded: seal supply | Disclaimer: performance depends on frame alignment/pressure</t>
  </si>
  <si>
    <t>Measure, fit and secure screen to opening | Unit: UNIT = per opening | Included: labour &amp; tuning | Excluded: screen/material supply | Disclaimer: out-of-square openings may need custom kit</t>
  </si>
  <si>
    <t>Hang leaf / fit casement sash / install threshold or bottom seal; align &amp; tune | Unit: UNIT = per opening | Included: labour, drilling/fit, basic sealing/tuning | Excluded: material supply unless stated, frame change, paint | Disclaimer: client supplies complete compatible hardware; opening must be plumb/level</t>
  </si>
  <si>
    <t>Hang sliding panels / fit sliding sashes / set frame plumb-level &amp; anchor; test run | Unit: UNIT = per set/opening | Included: labour, alignment, standard anchors/seal | Excluded: new track/glass/leaf, civil make-good | Disclaimer: track/substrate condition affects result; tolerances per manufacturer</t>
  </si>
  <si>
    <t>Install top/bottom tracks; hang leaves; align &amp; tune | Unit: UNIT = per set | Included: labour, alignment | Excluded: floor works, special access | Disclaimer: clearances per catalogue; curing time if bedded</t>
  </si>
  <si>
    <t>Fix grille to opening with brackets/anchors; align | Unit: UNIT = per opening | Included: labour, standard anchors | Excluded: repaint, heavy hacking | Disclaimer: substrate strength governs fixing; permit/access if required</t>
  </si>
  <si>
    <t>Fix U-channel; set glass; wedge &amp; seal | Unit: UNIT = per set | Included: labour, alignment, sealant | Excluded: structural calcs, high-access gear | Disclaimer: level substrate essential; safety handling required</t>
  </si>
  <si>
    <t>Assemble &amp; install framed/frameless set; seal &amp; test | Unit: UNIT = per set | Included: labour, standard silicone | Excluded: waterproofing, re-tiling | Disclaimer: floor slope/level affects seal; allow curing before use</t>
  </si>
  <si>
    <t>Fit restrictor/stay; set opening limit | Unit: POINT = per unit | Included: labour, drilling/fix | Excluded: special hardware | Disclaimer: limit per manufacturer spec; client supplies item</t>
  </si>
  <si>
    <t>Install hinges/handle/lockset pack; drill &amp; fit | Unit: POINT = per set | Included: labour, alignment | Excluded: premium hardware, paint touch-up | Disclaimer: hardware must be complete/compatible</t>
  </si>
  <si>
    <t>Fit patch/hinge/handle to glass; align | Unit: POINT = per unit | Included: labour, drilling/cut-out | Excluded: new glass | Disclaimer: hole specs must match hardware; client supplies item</t>
  </si>
  <si>
    <t>Install closer/floor spring; mortise/cut-out; tune speed | Unit: POINT = per unit | Included: labour, fixing &amp; adjustment | Excluded: hot-work permits, tile/patch works | Disclaimer: floor spring may need civil patch; safety controls apply</t>
  </si>
  <si>
    <t>Rain Cap / Deflector Add-On</t>
  </si>
  <si>
    <t>Insect Screen / Net Add-On</t>
  </si>
  <si>
    <t>Waterproofing Patch Around Opening</t>
  </si>
  <si>
    <t>Roof Turbine Ventilator 12" — (Metal Deck)</t>
  </si>
  <si>
    <t>Roof Turbine Ventilator 14" — (Metal Deck)</t>
  </si>
  <si>
    <t>Roof Turbine Ventilator 16" — (Metal Deck)</t>
  </si>
  <si>
    <t>Roof Turbine Ventilator 18" — (Metal Deck)</t>
  </si>
  <si>
    <t>Roof Turbine Ventilator 20" — (Metal Deck)</t>
  </si>
  <si>
    <t>Roof Turbine Ventilator 24" — (Metal Deck)</t>
  </si>
  <si>
    <t>Tile Roof Flashing / Upstand</t>
  </si>
  <si>
    <t>High-Access / 2-Storey Surcharge</t>
  </si>
  <si>
    <t>Remove &amp; Dispose Existing Ventilator</t>
  </si>
  <si>
    <t>Core Drill RC Slab / Concrete</t>
  </si>
  <si>
    <t>Ventilation</t>
  </si>
  <si>
    <t>Wind Turbine</t>
  </si>
  <si>
    <t>Duct / Extension Collar (per ft)</t>
  </si>
  <si>
    <t>Cut opening, fit unit, std flashing &amp; seal; test spin | Unit: UNIT (per opening) | Included: unit+labour+std flashing | Excluded: tile flashing/upstand, high-access, removal, core drill RC | Auto-Add: Rain Cap/Deflector; Insect Screen/Net; Waterproofing Patch (SQFT rounded by size) | A20 Reminder: 1 Add-On sahaja; &gt;1 jenis tambah baris manual (copy desc+price) | Min Order: RM350 jika subtotal S&amp;I &lt; RM2,500 | Disclaimer: weather-dependent; roof must be sound; water test not included</t>
  </si>
  <si>
    <t>Bi-Fold One Air</t>
  </si>
  <si>
    <t>Bi-Fold King Air</t>
  </si>
  <si>
    <t>Optional sekiranya site memerlukan pemasangan bracket / atas permintaan pelanggan, boleh di sertakan dengan menyatakan harga optional pada pelanggan| Wajib di masukkan size lebar keseluruhan L shape</t>
  </si>
  <si>
    <t>Polycarbonate</t>
  </si>
  <si>
    <t>3" Horizontal SF Mullion ↔</t>
  </si>
  <si>
    <t>Custom Horizontal SF Mullion ↔</t>
  </si>
  <si>
    <t>4" Horizontal SF Mullion ↔</t>
  </si>
  <si>
    <t>Sebarang kerosakan paip atau wiring tersembunyi akibat drilling adalah tanggungjawab pemilik sekiranya layout tidak diberitahu kepada pemasang</t>
  </si>
  <si>
    <t>Harga minimum shower screen sekiranya tidak termasuk dengan pintu RM850/set sekiranya ambil lebih dari 1 boleh bagi RM750/set|Sekiranya shower screen + pintu sila abaikan harga minimum di atas, kira ikut size usage</t>
  </si>
  <si>
    <t xml:space="preserve">Below 30" x 84" N.Glass + Lamina Film / N.Dark Grey </t>
  </si>
  <si>
    <t>Below 30" x 84" N.Clear Glass</t>
  </si>
  <si>
    <t>Below 30" x 84" Tempered Glass</t>
  </si>
  <si>
    <t>Smart Tinted</t>
  </si>
  <si>
    <t>Smart Film</t>
  </si>
  <si>
    <t>Smart Glass</t>
  </si>
  <si>
    <t>Transformer 100W (AC110/220V 50/60Hz)</t>
  </si>
  <si>
    <t>Transformer 200W (AC110/220V 50/60Hz)</t>
  </si>
  <si>
    <t>Transformer 300W (AC110/220V 50/60Hz)</t>
  </si>
  <si>
    <t>Transportation – W. Persekutuan/Selangor</t>
  </si>
  <si>
    <t>Transportation – Seremban</t>
  </si>
  <si>
    <t>Transportation – Perak/Melaka</t>
  </si>
  <si>
    <t>Transportation – Kuantan</t>
  </si>
  <si>
    <t>Transportation – Penang/Johor Bahru</t>
  </si>
  <si>
    <t>Transportation – Kedah/Kuala Terengganu</t>
  </si>
  <si>
    <t>Transportation – Perlis</t>
  </si>
  <si>
    <t>Transportation – Kelantan</t>
  </si>
  <si>
    <t>Transportation – Sabah/Sarawak</t>
  </si>
  <si>
    <t>Accommodation</t>
  </si>
  <si>
    <t>Day</t>
  </si>
  <si>
    <t>Nos</t>
  </si>
  <si>
    <t>Trip</t>
  </si>
  <si>
    <t>Labour Charge</t>
  </si>
  <si>
    <t>TBA</t>
  </si>
  <si>
    <t>Glass Thickness (mm)</t>
  </si>
  <si>
    <t>Weight (Kg)</t>
  </si>
  <si>
    <t>Confirmed Panel / Bi-Fold Qty</t>
  </si>
  <si>
    <t>Tinggi &gt; 8ft auto tambah Hollow Fix (semak senarai untuk kiraan tepat) | Bil. panel dikira auto / Merujuk pada bilangan set | Confirmed Panel Qty = override sahaja (jangan melebihi spesifikasi) | Wajib pilih servis: Supply &amp; Install / Supply &amp; Courier / Self Collect</t>
  </si>
  <si>
    <t>Folding Door Slim Series</t>
  </si>
  <si>
    <t>Security Swing Door</t>
  </si>
  <si>
    <t>Pairs</t>
  </si>
  <si>
    <t>Folding Door ACC.MK79 Bolt Stopper</t>
  </si>
  <si>
    <t>MP-19640 Corner Bracket Size: 19.6mm X 40mm X 14mm</t>
  </si>
  <si>
    <t>MP-26550 Corner Bracket Size: 26.5mm X 50mm X 4.0mm</t>
  </si>
  <si>
    <t>Outer Gasket 6980 X 153m</t>
  </si>
  <si>
    <t>Inner Gasket 2474 X 153m</t>
  </si>
  <si>
    <t>Inner Door + Outer Dual Window Sealant Joint</t>
  </si>
  <si>
    <t>12</t>
  </si>
  <si>
    <t>Panel List</t>
  </si>
  <si>
    <r>
      <rPr>
        <sz val="11"/>
        <color theme="1"/>
        <rFont val="Calibri"/>
        <family val="2"/>
      </rPr>
      <t>↓</t>
    </r>
    <r>
      <rPr>
        <sz val="11"/>
        <color theme="1"/>
        <rFont val="Calibri"/>
        <family val="2"/>
        <scheme val="minor"/>
      </rPr>
      <t>Pnl Searc</t>
    </r>
    <r>
      <rPr>
        <sz val="11"/>
        <color theme="1"/>
        <rFont val="Calibri"/>
        <family val="2"/>
      </rPr>
      <t>↓</t>
    </r>
  </si>
  <si>
    <t>Default</t>
  </si>
  <si>
    <t>Harga (RM/sqft)</t>
  </si>
  <si>
    <t>3mm Clear Float Glass</t>
  </si>
  <si>
    <t>4mm Clear Float Glass</t>
  </si>
  <si>
    <t>5mm Clear Float Glass</t>
  </si>
  <si>
    <t>6mm Clear Float Glass</t>
  </si>
  <si>
    <t>8mm Clear Float Glass</t>
  </si>
  <si>
    <t>10mm Clear Float Glass</t>
  </si>
  <si>
    <t>12mm Clear Float Glass</t>
  </si>
  <si>
    <t>4mm Mist Float Glass</t>
  </si>
  <si>
    <t>5mm Mist Float Glass</t>
  </si>
  <si>
    <t>6mm Mist Float Glass</t>
  </si>
  <si>
    <t>5mm Dark Grey Float Glass</t>
  </si>
  <si>
    <t>6mm Dark Grey Float Glass</t>
  </si>
  <si>
    <t>5mm Asahi Blue Float Glass</t>
  </si>
  <si>
    <t>6mm Asahi Blue Float Glass</t>
  </si>
  <si>
    <t>3mm Frosted Float Glass</t>
  </si>
  <si>
    <t>4mm Frosted Float Glass</t>
  </si>
  <si>
    <t>5mm Frosted Float Glass</t>
  </si>
  <si>
    <t>6mm Frosted Float Glass</t>
  </si>
  <si>
    <t>8mm Frosted Float Glass</t>
  </si>
  <si>
    <t>10mm Frosted Float Glass</t>
  </si>
  <si>
    <t>12mm Frosted Float Glass</t>
  </si>
  <si>
    <t>3mm White Frosted Float Glass</t>
  </si>
  <si>
    <t>4mm White Frosted Float Glass</t>
  </si>
  <si>
    <t>5mm White Frosted Float Glass</t>
  </si>
  <si>
    <t>6mm White Frosted Float Glass</t>
  </si>
  <si>
    <t>5mm Green Float Glass</t>
  </si>
  <si>
    <t>6mm Green Float Glass</t>
  </si>
  <si>
    <t>8mm Green Float Glass</t>
  </si>
  <si>
    <t>5mm Mist Bronze Float Glass</t>
  </si>
  <si>
    <t>6mm Mist Bronze Float Glass</t>
  </si>
  <si>
    <t>5mm Mist Dark Grey Float Glass</t>
  </si>
  <si>
    <t>6mm Mist Dark Grey Float Glass</t>
  </si>
  <si>
    <t>6mm Smart Float Glass</t>
  </si>
  <si>
    <t>5mm Extra Mist Float Glass</t>
  </si>
  <si>
    <t>6mm Extra Mist Float Glass</t>
  </si>
  <si>
    <t>5mm Reflective Grey Float Glass</t>
  </si>
  <si>
    <t>6mm Reflective Grey Float Glass</t>
  </si>
  <si>
    <t>5mm Reflective Bronze Float Glass</t>
  </si>
  <si>
    <t>6mm Reflective Bronze Float Glass</t>
  </si>
  <si>
    <t>5mm Bronze Float Glass</t>
  </si>
  <si>
    <t>6mm Bronze Float Glass</t>
  </si>
  <si>
    <t>8mm Bronze Float Glass</t>
  </si>
  <si>
    <t>5mm Low-E Clear Float Glass</t>
  </si>
  <si>
    <t>6mm Low-E Clear Float Glass</t>
  </si>
  <si>
    <t>5mm Low-E Green Float Glass</t>
  </si>
  <si>
    <t>6mm Low-E Green Float Glass</t>
  </si>
  <si>
    <t>5mm Euro Grey Float Glass</t>
  </si>
  <si>
    <t>6mm Euro Grey Float Glass</t>
  </si>
  <si>
    <t>8mm Euro Grey Float Glass</t>
  </si>
  <si>
    <t>5mm Mist Euro Grey Float Glass</t>
  </si>
  <si>
    <t>6mm Mist Euro Grey Float Glass</t>
  </si>
  <si>
    <t>4mm Naco Float Glass</t>
  </si>
  <si>
    <t>5mm Naco Float Glass</t>
  </si>
  <si>
    <t>4mm Karatachi Float Glass</t>
  </si>
  <si>
    <t>5mm Karatachi Float Glass</t>
  </si>
  <si>
    <t>✂ 5mm Clear Float Glass</t>
  </si>
  <si>
    <t>✂ 5mm Naco Float Glass</t>
  </si>
  <si>
    <t>✂ 5mm Karatachi Float Glass</t>
  </si>
  <si>
    <t>✂ 5mm Bronze Float Glass</t>
  </si>
  <si>
    <t>✂ 5mm Green Float Glass</t>
  </si>
  <si>
    <t>✂ 5mm Dark Green Float Glass</t>
  </si>
  <si>
    <t>✂ 5mm Asahi Blue Float Glass</t>
  </si>
  <si>
    <t>✂ 5mm Euro Grey Float Glass</t>
  </si>
  <si>
    <t>✂ 5mm Dark Grey Float Glass</t>
  </si>
  <si>
    <t>✂ 5mm Crystal Float Glass</t>
  </si>
  <si>
    <t>✂ 5mm Reflective Blue Float Glass</t>
  </si>
  <si>
    <t>✂ 5mm Reflective Green Float Glass</t>
  </si>
  <si>
    <t>✂ 5mm Reflective Bronze Float Glass</t>
  </si>
  <si>
    <t>✂ 5mm Reflective Grey Float Glass</t>
  </si>
  <si>
    <t>✂ 5mm Reflective Gold Float Glass</t>
  </si>
  <si>
    <t>✂ 5mm Bronze Mirror Float Glass</t>
  </si>
  <si>
    <t>✂ 5mm Grey Mirror Float Glass</t>
  </si>
  <si>
    <t>✂ 5mm Dark Grey Mirror Float Glass</t>
  </si>
  <si>
    <t>✂ 3mm Clear Float Glass</t>
  </si>
  <si>
    <t>✂ 4mm Clear Float Glass</t>
  </si>
  <si>
    <t>✂ 6mm Clear Float Glass</t>
  </si>
  <si>
    <t>✂ 8mm Clear Float Glass</t>
  </si>
  <si>
    <t>✂ 8mm Clear Float Glass Polished Edge</t>
  </si>
  <si>
    <t>✂ 10mm Clear Float Glass</t>
  </si>
  <si>
    <t>✂ 10mm Clear Float Glass Polished Edge</t>
  </si>
  <si>
    <t>✂ 12mm Clear Float Glass</t>
  </si>
  <si>
    <t>✂ 12mm Clear Float Glass Polished Edge</t>
  </si>
  <si>
    <t>✂ 15mm Clear Float Glass</t>
  </si>
  <si>
    <t>✂ 15mm Clear Float Glass Polished Edge</t>
  </si>
  <si>
    <t>✂ 19mm Clear Float Glass</t>
  </si>
  <si>
    <t>✂ 19mm Clear Float Glass Polished Edge</t>
  </si>
  <si>
    <t>✂ 4mm Naco Float Glass</t>
  </si>
  <si>
    <t>✂ 4mm Karatachi Float Glass</t>
  </si>
  <si>
    <t>✂ 6mm Bronze Float Glass</t>
  </si>
  <si>
    <t>✂ 8mm Bronze Float Glass</t>
  </si>
  <si>
    <t>✂ 8mm Bronze Float Glass Polished Edge</t>
  </si>
  <si>
    <t>✂ 10mm Bronze Float Glass</t>
  </si>
  <si>
    <t>✂ 10mm Bronze Float Glass Polished Edge</t>
  </si>
  <si>
    <t>✂ 12mm Bronze Float Glass</t>
  </si>
  <si>
    <t>✂ 12mm Bronze Float Glass Polished Edge</t>
  </si>
  <si>
    <t>✂ 6mm Green Float Glass</t>
  </si>
  <si>
    <t>✂ 8mm Green Float Glass</t>
  </si>
  <si>
    <t>✂ 8mm Green Float Glass Polished Edge</t>
  </si>
  <si>
    <t>✂ 10mm Green Float Glass</t>
  </si>
  <si>
    <t>✂ 10mm Green Float Glass Polished Edge</t>
  </si>
  <si>
    <t>✂ 12mm Green Float Glass</t>
  </si>
  <si>
    <t>✂ 12mm Green Float Glass Polished Edge</t>
  </si>
  <si>
    <t>✂ 6mm Dark Green Float Glass</t>
  </si>
  <si>
    <t>✂ 6mm Asahi Blue Float Glass</t>
  </si>
  <si>
    <t>✂ 6mm Euro Grey Float Glass</t>
  </si>
  <si>
    <t>✂ 8mm Euro Grey Float Glass</t>
  </si>
  <si>
    <t>✂ 8mm Euro Grey Float Glass Polished Edge</t>
  </si>
  <si>
    <t>✂ 10mm Euro Grey Float Glass</t>
  </si>
  <si>
    <t>✂ 10mm Euro Grey Float Glass Polished Edge</t>
  </si>
  <si>
    <t>✂ 12mm Euro Grey Float Glass</t>
  </si>
  <si>
    <t>✂ 12mm Euro Grey Float Glass Polished Edge</t>
  </si>
  <si>
    <t>✂ 6mm Dark Grey Float Glass</t>
  </si>
  <si>
    <t>✂ 3mm Crystal Float Glass</t>
  </si>
  <si>
    <t>✂ 4mm Crystal Float Glass</t>
  </si>
  <si>
    <t>✂ 6mm Crystal Float Glass</t>
  </si>
  <si>
    <t>✂ 8mm Crystal Float Glass</t>
  </si>
  <si>
    <t>✂ 8mm Crystal Float Glass Polished Edge</t>
  </si>
  <si>
    <t>✂ 10mm Crystal Float Glass</t>
  </si>
  <si>
    <t>✂ 10mm Crystal Float Glass Polished Edge</t>
  </si>
  <si>
    <t>✂ 12mm Crystal Float Glass</t>
  </si>
  <si>
    <t>✂ 12mm Crystal Float Glass Polished Edge</t>
  </si>
  <si>
    <t>✂ 15mm Crystal Float Glass</t>
  </si>
  <si>
    <t>✂ 15mm Crystal Float Glass Polished Edge</t>
  </si>
  <si>
    <t>✂ 19mm Crystal Float Glass</t>
  </si>
  <si>
    <t>✂ 19mm Crystal Float Glass Polished Edge</t>
  </si>
  <si>
    <t>✂ 6mm Reflective Blue Float Glass</t>
  </si>
  <si>
    <t>✂ 6mm Reflective Green Float Glass</t>
  </si>
  <si>
    <t>✂ 4mm Bronze Mirror Float Glass</t>
  </si>
  <si>
    <t>✂ 4mm Grey Mirror Float Glass</t>
  </si>
  <si>
    <t>✂ 4mm Dark Grey Mirror Float Glass</t>
  </si>
  <si>
    <t>4mm Clear Tempered Glass Panel</t>
  </si>
  <si>
    <t>5mm Clear Tempered Glass Panel</t>
  </si>
  <si>
    <t>6mm Clear Tempered Glass Panel</t>
  </si>
  <si>
    <t>8mm Clear Tempered Glass Panel</t>
  </si>
  <si>
    <t>10mm Clear Tempered Glass Panel</t>
  </si>
  <si>
    <t>12mm Clear Tempered Glass Panel</t>
  </si>
  <si>
    <t>15mm Clear Tempered Glass Panel</t>
  </si>
  <si>
    <t>19mm Clear Tempered Glass Panel</t>
  </si>
  <si>
    <t>5mm Bronze Tempered Glass Panel</t>
  </si>
  <si>
    <t>6mm Bronze Tempered Glass Panel</t>
  </si>
  <si>
    <t>8mm Bronze Tempered Glass Panel</t>
  </si>
  <si>
    <t>10mm Bronze Tempered Glass Panel</t>
  </si>
  <si>
    <t>12mm Bronze Tempered Glass Panel</t>
  </si>
  <si>
    <t>5mm Green Tempered Glass Panel</t>
  </si>
  <si>
    <t>6mm Green Tempered Glass Panel</t>
  </si>
  <si>
    <t>8mm Green Tempered Glass Panel</t>
  </si>
  <si>
    <t>10mm Green Tempered Glass Panel</t>
  </si>
  <si>
    <t>12mm Green Tempered Glass Panel</t>
  </si>
  <si>
    <t>5mm Blue Tempered Glass Panel</t>
  </si>
  <si>
    <t>6mm Blue Tempered Glass Panel</t>
  </si>
  <si>
    <t>5mm Grey Tempered Glass Panel</t>
  </si>
  <si>
    <t>6mm Grey Tempered Glass Panel</t>
  </si>
  <si>
    <t>8mm Grey Tempered Glass Panel</t>
  </si>
  <si>
    <t>10mm Grey Tempered Glass Panel</t>
  </si>
  <si>
    <t>12mm Grey Tempered Glass Panel</t>
  </si>
  <si>
    <t>4mm Crystal Tempered Glass Panel</t>
  </si>
  <si>
    <t>5mm Crystal Tempered Glass Panel</t>
  </si>
  <si>
    <t>6mm Crystal Tempered Glass Panel</t>
  </si>
  <si>
    <t>8mm Crystal Tempered Glass Panel</t>
  </si>
  <si>
    <t>10mm Crystal Tempered Glass Panel</t>
  </si>
  <si>
    <t>12mm Crystal Tempered Glass Panel</t>
  </si>
  <si>
    <t>15mm Crystal Tempered Glass Panel</t>
  </si>
  <si>
    <t>19mm Crystal Tempered Glass Panel</t>
  </si>
  <si>
    <t>5mm Reflective Blue Tempered Glass Panel</t>
  </si>
  <si>
    <t>6mm Reflective Blue Tempered Glass Panel</t>
  </si>
  <si>
    <t>5mm Reflective Green Tempered Glass Panel</t>
  </si>
  <si>
    <t>6mm Reflective Green Tempered Glass Panel</t>
  </si>
  <si>
    <t>5mm Reflective Bronze Tempered Glass Panel</t>
  </si>
  <si>
    <t>5mm Reflective Grey Tempered Glass Panel</t>
  </si>
  <si>
    <t>5mm Reflective Gold Tempered Glass Panel</t>
  </si>
  <si>
    <t>6.38mm Clear Laminated Glass Panel</t>
  </si>
  <si>
    <t>8.38mm Clear Laminated Glass Panel</t>
  </si>
  <si>
    <t>9.38mm Clear Laminated Glass Panel</t>
  </si>
  <si>
    <t>10.38mm Clear Laminated Glass Panel</t>
  </si>
  <si>
    <t>12.38mm Clear Laminated Glass Panel</t>
  </si>
  <si>
    <t>14.38mm Clear Laminated Glass Panel</t>
  </si>
  <si>
    <t>16.38mm Clear Laminated Glass Panel</t>
  </si>
  <si>
    <t>20.76mm Clear Laminated Glass Panel</t>
  </si>
  <si>
    <t>24.76mm Clear Laminated Glass Panel</t>
  </si>
  <si>
    <t>6.38mm Colored PVB Laminated Glass Panel</t>
  </si>
  <si>
    <t>8.38mm Colored PVB Laminated Glass Panel</t>
  </si>
  <si>
    <t>9.38mm Colored PVB Laminated Glass Panel</t>
  </si>
  <si>
    <t>10.38mm Colored PVB Laminated Glass Panel</t>
  </si>
  <si>
    <t>12.38mm Colored PVB Laminated Glass Panel</t>
  </si>
  <si>
    <t>14.38mm Colored PVB Laminated Glass Panel</t>
  </si>
  <si>
    <t>16.38mm Colored PVB Laminated Glass Panel</t>
  </si>
  <si>
    <t>20.76mm Colored PVB Laminated Glass Panel</t>
  </si>
  <si>
    <t>24.76mm Colored PVB Laminated Glass Panel</t>
  </si>
  <si>
    <t>6.38mm White Translucent Laminated Glass Panel</t>
  </si>
  <si>
    <t>8.38mm White Translucent Laminated Glass Panel</t>
  </si>
  <si>
    <t>9.38mm White Translucent Laminated Glass Panel</t>
  </si>
  <si>
    <t>10.38mm White Translucent Laminated Glass Panel</t>
  </si>
  <si>
    <t>12.38mm White Translucent Laminated Glass Panel</t>
  </si>
  <si>
    <t>14.38mm White Translucent Laminated Glass Panel</t>
  </si>
  <si>
    <t>16.38mm White Translucent Laminated Glass Panel</t>
  </si>
  <si>
    <t>20.76mm White Translucent Laminated Glass Panel</t>
  </si>
  <si>
    <t>24.76mm White Translucent Laminated Glass Panel</t>
  </si>
  <si>
    <t>6.38mm Polar White Laminated Glass Panel</t>
  </si>
  <si>
    <t>8.38mm Polar White Laminated Glass Panel</t>
  </si>
  <si>
    <t>9.38mm Polar White Laminated Glass Panel</t>
  </si>
  <si>
    <t>10.38mm Polar White Laminated Glass Panel</t>
  </si>
  <si>
    <t>12.38mm Polar White Laminated Glass Panel</t>
  </si>
  <si>
    <t>14.38mm Polar White Laminated Glass Panel</t>
  </si>
  <si>
    <t>16.38mm Polar White Laminated Glass Panel</t>
  </si>
  <si>
    <t>20.76mm Polar White Laminated Glass Panel</t>
  </si>
  <si>
    <t>24.76mm Polar White Laminated Glass Panel</t>
  </si>
  <si>
    <t>🚪 4mm Clear Tempered Glass Door</t>
  </si>
  <si>
    <t>🚪 5mm Clear Tempered Glass Door</t>
  </si>
  <si>
    <t>🚪 6mm Clear Tempered Glass Door</t>
  </si>
  <si>
    <t>🚪 8mm Clear Tempered Glass Door</t>
  </si>
  <si>
    <t>🚪 10mm Clear Tempered Glass Door</t>
  </si>
  <si>
    <t>🚪 12mm Clear Tempered Glass Door</t>
  </si>
  <si>
    <t>🚪 15mm Clear Tempered Glass Door</t>
  </si>
  <si>
    <t>🚪 19mm Clear Tempered Glass Door</t>
  </si>
  <si>
    <t>🚪 5mm Bronze Tempered Glass Door</t>
  </si>
  <si>
    <t>🚪 6mm Bronze Tempered Glass Door</t>
  </si>
  <si>
    <t>🚪 8mm Bronze Tempered Glass Door</t>
  </si>
  <si>
    <t>🚪 10mm Bronze Tempered Glass Door</t>
  </si>
  <si>
    <t>🚪 12mm Bronze Tempered Glass Door</t>
  </si>
  <si>
    <t>🚪 5mm Green Tempered Glass Door</t>
  </si>
  <si>
    <t>🚪 6mm Green Tempered Glass Door</t>
  </si>
  <si>
    <t>🚪 8mm Green Tempered Glass Door</t>
  </si>
  <si>
    <t>🚪 10mm Green Tempered Glass Door</t>
  </si>
  <si>
    <t>🚪 12mm Green Tempered Glass Door</t>
  </si>
  <si>
    <t>🚪 5mm Blue Tempered Glass Door</t>
  </si>
  <si>
    <t>🚪 6mm Blue Tempered Glass Door</t>
  </si>
  <si>
    <t>🚪 5mm Grey Tempered Glass Door</t>
  </si>
  <si>
    <t>🚪 6mm Grey Tempered Glass Door</t>
  </si>
  <si>
    <t>🚪 8mm Grey Tempered Glass Door</t>
  </si>
  <si>
    <t>🚪 10mm Grey Tempered Glass Door</t>
  </si>
  <si>
    <t>🚪 12mm Grey Tempered Glass Door</t>
  </si>
  <si>
    <t>🚪 4mm Crystal Tempered Glass Door</t>
  </si>
  <si>
    <t>🚪 5mm Crystal Tempered Glass Door</t>
  </si>
  <si>
    <t>🚪 6mm Crystal Tempered Glass Door</t>
  </si>
  <si>
    <t>🚪 8mm Crystal Tempered Glass Door</t>
  </si>
  <si>
    <t>🚪 10mm Crystal Tempered Glass Door</t>
  </si>
  <si>
    <t>🚪 12mm Crystal Tempered Glass Door</t>
  </si>
  <si>
    <t>🚪 15mm Crystal Tempered Glass Door</t>
  </si>
  <si>
    <t>🚪 19mm Crystal Tempered Glass Door</t>
  </si>
  <si>
    <t>🚪 5mm Reflective Blue Tempered Glass Door</t>
  </si>
  <si>
    <t>🚪 6mm Reflective Blue Tempered Glass Door</t>
  </si>
  <si>
    <t>🚪 5mm Reflective Green Tempered Glass Door</t>
  </si>
  <si>
    <t>🚪 6mm Reflective Green Tempered Glass Door</t>
  </si>
  <si>
    <t>🚪 5mm Reflective Bronze Tempered Glass Door</t>
  </si>
  <si>
    <t>🚪 5mm Reflective Grey Tempered Glass Door</t>
  </si>
  <si>
    <t>🚪 5mm Reflective Gold Tempered Glass Door</t>
  </si>
  <si>
    <t>🚪 6.38mm Clear Laminated Glass Door</t>
  </si>
  <si>
    <t>🚪 8.38mm Clear Laminated Glass Door</t>
  </si>
  <si>
    <t>🚪 9.38mm Clear Laminated Glass Door</t>
  </si>
  <si>
    <t>🚪 10.38mm Clear Laminated Glass Door</t>
  </si>
  <si>
    <t>🚪 12.38mm Clear Laminated Glass Door</t>
  </si>
  <si>
    <t>🚪 14.38mm Clear Laminated Glass Door</t>
  </si>
  <si>
    <t>🚪 16.38mm Clear Laminated Glass Door</t>
  </si>
  <si>
    <t>🚪 20.76mm Clear Laminated Glass Door</t>
  </si>
  <si>
    <t>🚪 24.76mm Clear Laminated Glass Door</t>
  </si>
  <si>
    <t>🚪 6.38mm Colored PVB Laminated Glass Door</t>
  </si>
  <si>
    <t>🚪 8.38mm Colored PVB Laminated Glass Door</t>
  </si>
  <si>
    <t>🚪 9.38mm Colored PVB Laminated Glass Door</t>
  </si>
  <si>
    <t>🚪 10.38mm Colored PVB Laminated Glass Door</t>
  </si>
  <si>
    <t>🚪 12.38mm Colored PVB Laminated Glass Door</t>
  </si>
  <si>
    <t>🚪 14.38mm Colored PVB Laminated Glass Door</t>
  </si>
  <si>
    <t>🚪 16.38mm Colored PVB Laminated Glass Door</t>
  </si>
  <si>
    <t>🚪 20.76mm Colored PVB Laminated Glass Door</t>
  </si>
  <si>
    <t>🚪 24.76mm Colored PVB Laminated Glass Door</t>
  </si>
  <si>
    <t>🚪 6.38mm White Translucent Laminated Glass Door</t>
  </si>
  <si>
    <t>🚪 8.38mm White Translucent Laminated Glass Door</t>
  </si>
  <si>
    <t>🚪 9.38mm White Translucent Laminated Glass Door</t>
  </si>
  <si>
    <t>🚪 10.38mm White Translucent Laminated Glass Door</t>
  </si>
  <si>
    <t>🚪 12.38mm White Translucent Laminated Glass Door</t>
  </si>
  <si>
    <t>🚪 14.38mm White Translucent Laminated Glass Door</t>
  </si>
  <si>
    <t>🚪 16.38mm White Translucent Laminated Glass Door</t>
  </si>
  <si>
    <t>🚪 20.76mm White Translucent Laminated Glass Door</t>
  </si>
  <si>
    <t>🚪 24.76mm White Translucent Laminated Glass Door</t>
  </si>
  <si>
    <t>🚪 6.38mm Polar White Laminated Glass Door</t>
  </si>
  <si>
    <t>🚪 8.38mm Polar White Laminated Glass Door</t>
  </si>
  <si>
    <t>🚪 9.38mm Polar White Laminated Glass Door</t>
  </si>
  <si>
    <t>🚪 10.38mm Polar White Laminated Glass Door</t>
  </si>
  <si>
    <t>🚪 12.38mm Polar White Laminated Glass Door</t>
  </si>
  <si>
    <t>🚪 14.38mm Polar White Laminated Glass Door</t>
  </si>
  <si>
    <t>🚪 16.38mm Polar White Laminated Glass Door</t>
  </si>
  <si>
    <t>🚪 20.76mm Polar White Laminated Glass Door</t>
  </si>
  <si>
    <t>🚪 24.76mm Polar White Laminated Glass Door</t>
  </si>
  <si>
    <t>9.52mm Clear Tempered Laminated Glass Panel</t>
  </si>
  <si>
    <t>11.52mm Clear Tempered Laminated Glass Panel</t>
  </si>
  <si>
    <t>13.52mm Clear Tempered Laminated Glass Panel</t>
  </si>
  <si>
    <t>15.52mm Clear Tempered Laminated Glass Panel</t>
  </si>
  <si>
    <t>17.52mm Clear Tempered Laminated Glass Panel</t>
  </si>
  <si>
    <t>19.52mm Clear Tempered Laminated Glass Panel</t>
  </si>
  <si>
    <t>21.52mm Clear Tempered Laminated Glass Panel</t>
  </si>
  <si>
    <t>23.52mm Clear Tempered Laminated Glass Panel</t>
  </si>
  <si>
    <t>25.52mm Clear Tempered Laminated Glass Panel</t>
  </si>
  <si>
    <t>9.52mm Colored PVB Tempered Laminated Glass Panel</t>
  </si>
  <si>
    <t>11.52mm Colored PVB Tempered Laminated Glass Panel</t>
  </si>
  <si>
    <t>13.52mm Colored PVB Tempered Laminated Glass Panel</t>
  </si>
  <si>
    <t>15.52mm Colored PVB Tempered Laminated Glass Panel</t>
  </si>
  <si>
    <t>17.52mm Colored PVB Tempered Laminated Glass Panel</t>
  </si>
  <si>
    <t>19.52mm Colored PVB Tempered Laminated Glass Panel</t>
  </si>
  <si>
    <t>21.52mm Colored PVB Tempered Laminated Glass Panel</t>
  </si>
  <si>
    <t>23.52mm Colored PVB Tempered Laminated Glass Panel</t>
  </si>
  <si>
    <t>25.52mm Colored PVB Tempered Laminated Glass Panel</t>
  </si>
  <si>
    <t>9.52mm White Translucent Tempered Laminated Glass Panel</t>
  </si>
  <si>
    <t>11.52mm White Translucent Tempered Laminated Glass Panel</t>
  </si>
  <si>
    <t>13.52mm White Translucent Tempered Laminated Glass Panel</t>
  </si>
  <si>
    <t>15.52mm White Translucent Tempered Laminated Glass Panel</t>
  </si>
  <si>
    <t>17.52mm White Translucent Tempered Laminated Glass Panel</t>
  </si>
  <si>
    <t>19.52mm White Translucent Tempered Laminated Glass Panel</t>
  </si>
  <si>
    <t>21.52mm White Translucent Tempered Laminated Glass Panel</t>
  </si>
  <si>
    <t>23.52mm White Translucent Tempered Laminated Glass Panel</t>
  </si>
  <si>
    <t>25.52mm White Translucent Tempered Laminated Glass Panel</t>
  </si>
  <si>
    <t>9.52mm Polar White Tempered Laminated Glass Panel</t>
  </si>
  <si>
    <t>11.52mm Polar White Tempered Laminated Glass Panel</t>
  </si>
  <si>
    <t>13.52mm Polar White Tempered Laminated Glass Panel</t>
  </si>
  <si>
    <t>15.52mm Polar White Tempered Laminated Glass Panel</t>
  </si>
  <si>
    <t>17.52mm Polar White Tempered Laminated Glass Panel</t>
  </si>
  <si>
    <t>19.52mm Polar White Tempered Laminated Glass Panel</t>
  </si>
  <si>
    <t>21.52mm Polar White Tempered Laminated Glass Panel</t>
  </si>
  <si>
    <t>23.52mm Polar White Tempered Laminated Glass Panel</t>
  </si>
  <si>
    <t>25.52mm Polar White Tempered Laminated Glass Panel</t>
  </si>
  <si>
    <t>🚪 9.52mm Clear Tempered Laminated Glass Door</t>
  </si>
  <si>
    <t>🚪 11.52mm Clear Tempered Laminated Glass Door</t>
  </si>
  <si>
    <t>🚪 13.52mm Clear Tempered Laminated Glass Door</t>
  </si>
  <si>
    <t>🚪 15.52mm Clear Tempered Laminated Glass Door</t>
  </si>
  <si>
    <t>🚪 17.52mm Clear Tempered Laminated Glass Door</t>
  </si>
  <si>
    <t>🚪 19.52mm Clear Tempered Laminated Glass Door</t>
  </si>
  <si>
    <t>🚪 21.52mm Clear Tempered Laminated Glass Door</t>
  </si>
  <si>
    <t>🚪 23.52mm Clear Tempered Laminated Glass Door</t>
  </si>
  <si>
    <t>🚪 25.52mm Clear Tempered Laminated Glass Door</t>
  </si>
  <si>
    <t>🚪 9.52mm Colored PVB Tempered Laminated Glass Door</t>
  </si>
  <si>
    <t>🚪 11.52mm Colored PVB Tempered Laminated Glass Door</t>
  </si>
  <si>
    <t>🚪 13.52mm Colored PVB Tempered Laminated Glass Door</t>
  </si>
  <si>
    <t>🚪 15.52mm Colored PVB Tempered Laminated Glass Door</t>
  </si>
  <si>
    <t>🚪 17.52mm Colored PVB Tempered Laminated Glass Door</t>
  </si>
  <si>
    <t>🚪 19.52mm Colored PVB Tempered Laminated Glass Door</t>
  </si>
  <si>
    <t>🚪 21.52mm Colored PVB Tempered Laminated Glass Door</t>
  </si>
  <si>
    <t>🚪 23.52mm Colored PVB Tempered Laminated Glass Door</t>
  </si>
  <si>
    <t>🚪 25.52mm Colored PVB Tempered Laminated Glass Door</t>
  </si>
  <si>
    <t>🚪 9.52mm White Translucent Tempered Laminated Glass Door</t>
  </si>
  <si>
    <t>🚪 11.52mm White Translucent Tempered Laminated Glass Door</t>
  </si>
  <si>
    <t>🚪 13.52mm White Translucent Tempered Laminated Glass Door</t>
  </si>
  <si>
    <t>🚪 15.52mm White Translucent Tempered Laminated Glass Door</t>
  </si>
  <si>
    <t>🚪 17.52mm White Translucent Tempered Laminated Glass Door</t>
  </si>
  <si>
    <t>🚪 19.52mm White Translucent Tempered Laminated Glass Door</t>
  </si>
  <si>
    <t>🚪 21.52mm White Translucent Tempered Laminated Glass Door</t>
  </si>
  <si>
    <t>🚪 23.52mm White Translucent Tempered Laminated Glass Door</t>
  </si>
  <si>
    <t>🚪 25.52mm White Translucent Tempered Laminated Glass Door</t>
  </si>
  <si>
    <t>🚪 9.52mm Polar White Tempered Laminated Glass Door</t>
  </si>
  <si>
    <t>🚪 11.52mm Polar White Tempered Laminated Glass Door</t>
  </si>
  <si>
    <t>🚪 13.52mm Polar White Tempered Laminated Glass Door</t>
  </si>
  <si>
    <t>🚪 15.52mm Polar White Tempered Laminated Glass Door</t>
  </si>
  <si>
    <t>🚪 17.52mm Polar White Tempered Laminated Glass Door</t>
  </si>
  <si>
    <t>🚪 19.52mm Polar White Tempered Laminated Glass Door</t>
  </si>
  <si>
    <t>🚪 21.52mm Polar White Tempered Laminated Glass Door</t>
  </si>
  <si>
    <t>🚪 23.52mm Polar White Tempered Laminated Glass Door</t>
  </si>
  <si>
    <t>🚪 25.52mm Polar White Tempered Laminated Glass Door</t>
  </si>
  <si>
    <t>100mm (4 inch) Ceiling Panel</t>
  </si>
  <si>
    <t>4mm Mirror Clear Float Glass</t>
  </si>
  <si>
    <t>5mm Mirror Clear Float Glass</t>
  </si>
  <si>
    <t>6mm Mirror Clear Float Glass</t>
  </si>
  <si>
    <t>✂ 3mm Mirror Clear Float Glass</t>
  </si>
  <si>
    <t>✂ 4mm Mirror Clear Float Glass</t>
  </si>
  <si>
    <t>✂ 5mm Mirror Clear Float Glass</t>
  </si>
  <si>
    <t>12mm Partition Board Gypsum 4ft x 8ft</t>
  </si>
  <si>
    <t>9mm Partition Board Gypsum 4ft x 8ft</t>
  </si>
  <si>
    <t>Mosquito Net 4ft x 100ft</t>
  </si>
  <si>
    <t>9mm Partition Board SCG Fiber Cement Board 4ft x 8ft</t>
  </si>
  <si>
    <t>12mm Partition Board SCG Fiber Cement Board 4ft x 8ft</t>
  </si>
  <si>
    <t>9mm Plaster Ceiling Board 4ft x 6ft Gypsum</t>
  </si>
  <si>
    <t>5mm Texture (TG) Clear Tempered Glass Panel</t>
  </si>
  <si>
    <t>5mm Crystal Clear Tempered Glass Panel</t>
  </si>
  <si>
    <t>5mm Texture (TG) Clear Float Glass Panel</t>
  </si>
  <si>
    <t>5mm Crystal Clear Float Glass Panel</t>
  </si>
  <si>
    <t>✂ 5mm Texture (TG) Clear Float Glass</t>
  </si>
  <si>
    <t>✂ 5mm Crystal Clear Float Glass</t>
  </si>
  <si>
    <t>Metaldeck PU Panel Awnings</t>
  </si>
  <si>
    <t>Metaldeck Std Panel Awnings</t>
  </si>
  <si>
    <t>Polycarbonate Awnings Panel</t>
  </si>
  <si>
    <t>Breezway Louver 4"</t>
  </si>
  <si>
    <t>Breezway Louver 6"</t>
  </si>
  <si>
    <t>Altair Weatherstrip Extrusion &amp; Insert (3000mm)</t>
  </si>
  <si>
    <t>Breezway</t>
  </si>
  <si>
    <t>4" Aluminium Louver Blade (2900mm) - BK/WH/NA/MF</t>
  </si>
  <si>
    <t>4" Aluminium Louver Blade (2900mm) - Woodgrain</t>
  </si>
  <si>
    <t>4" Custom Panel</t>
  </si>
  <si>
    <t>6" Custom Panel</t>
  </si>
  <si>
    <t>4" Aluminium Custom Louver Blade Panel eg. Glass &amp; etc.</t>
  </si>
  <si>
    <t>4" Woodgrain</t>
  </si>
  <si>
    <t>6" Aluminium Louver Blade (2900mm) - BK/WH/NA/MF</t>
  </si>
  <si>
    <t>6" Aluminium Louver Blade (2900mm) - Woodgrain</t>
  </si>
  <si>
    <t>6" Aluminium Custom Louver Blade Panel eg. Glass &amp; etc.</t>
  </si>
  <si>
    <t>4" BK/WH/NA/ MF</t>
  </si>
  <si>
    <t>6" BK/WH/NA/ MF</t>
  </si>
  <si>
    <t>6" Woodgrain</t>
  </si>
  <si>
    <t>6mm Thickness Sahaja</t>
  </si>
  <si>
    <t>150 X 150</t>
  </si>
  <si>
    <t>Products</t>
  </si>
  <si>
    <t>Carpet</t>
  </si>
  <si>
    <t>Tiles</t>
  </si>
  <si>
    <t>War</t>
  </si>
  <si>
    <t>Plato</t>
  </si>
  <si>
    <t>Line Line</t>
  </si>
  <si>
    <t>Banner Line</t>
  </si>
  <si>
    <t>Tonal</t>
  </si>
  <si>
    <t>Linear</t>
  </si>
  <si>
    <t>Infinite Mixes S</t>
  </si>
  <si>
    <t>Maston</t>
  </si>
  <si>
    <t>Malta</t>
  </si>
  <si>
    <t>Waves</t>
  </si>
  <si>
    <t>Particles</t>
  </si>
  <si>
    <t>Anywhere</t>
  </si>
  <si>
    <t>Everywhere</t>
  </si>
  <si>
    <t>Interpac</t>
  </si>
  <si>
    <t>Gridlock</t>
  </si>
  <si>
    <t>Mozaik</t>
  </si>
  <si>
    <t>Cabel</t>
  </si>
  <si>
    <t>New Zealand</t>
  </si>
  <si>
    <t>Bond</t>
  </si>
  <si>
    <t>Dusky</t>
  </si>
  <si>
    <t>Coding</t>
  </si>
  <si>
    <t>Rec. Gab Size / Perimeter Size / Min Qty</t>
  </si>
  <si>
    <t>Eeyes</t>
  </si>
  <si>
    <t>Infinite Mixes</t>
  </si>
  <si>
    <t>Contract PVC Sq</t>
  </si>
  <si>
    <t>Network Sq</t>
  </si>
  <si>
    <t>Wajib pilih servis: Supply &amp; Install / Supply &amp; Courier / Self Collect | L-Shape Shower Screen : guna sisi paling panjang (cth 36" &amp; 42" → 42") | Turutan panel termurah: Acrylic → *(N.Glass + Lamina Film (Full) 4mm ≡ ecobonz®/ecoscreen 2.5mm)* → ecobonz®/ecoscreen 4.5mm</t>
  </si>
  <si>
    <t>5mm Euro Grey Tempered Glass Panel</t>
  </si>
  <si>
    <t>6mm Euro Grey Tempered Glass Panel</t>
  </si>
  <si>
    <t>8mm Euro Grey Tempered Glass Panel</t>
  </si>
  <si>
    <t>10mm Euro Grey Tempered Glass Panel</t>
  </si>
  <si>
    <t>12mm Euro Grey Tempered Glass Panel</t>
  </si>
  <si>
    <t>5mm Dark Grey Tempered Glass Panel</t>
  </si>
  <si>
    <t>6mm Dark Grey Tempered Glass Panel</t>
  </si>
  <si>
    <t>🚪 5mm Euro Grey Tempered Glass Door</t>
  </si>
  <si>
    <t>🚪 6mm Euro Grey Tempered Glass Door</t>
  </si>
  <si>
    <t>🚪 8mm Euro Grey Tempered Glass Door</t>
  </si>
  <si>
    <t>🚪 10mm Euro Grey Tempered Glass Door</t>
  </si>
  <si>
    <t>🚪 12mm Euro Grey Tempered Glass Door</t>
  </si>
  <si>
    <t>🚪 5mm Dark Grey Tempered Glass Door</t>
  </si>
  <si>
    <t>🚪 6mm Dark Grey Tempered Glass Door</t>
  </si>
  <si>
    <t>🚪 5mm Texture (TG) Clear Tempered Glass Door</t>
  </si>
  <si>
    <t>🚪 5mm Crystal Clear Tempered Glass Door</t>
  </si>
  <si>
    <t>Fix Glass</t>
  </si>
  <si>
    <t>Shower Header</t>
  </si>
  <si>
    <t>--- AddOn 3 ---</t>
  </si>
  <si>
    <t>Black Stainless Steel Mesh 1.0mm</t>
  </si>
  <si>
    <t>Black Aluminium Mesh 1.6mm</t>
  </si>
  <si>
    <t>Black Aluminium Mesh 1.8mm</t>
  </si>
  <si>
    <t>Size sesuai 2.5'W X 7'H / panel, lebar boleh kurang tapi bimbang tak muat masuk, dan boleh lebih tapi tidak melebihi 3ft lebar | Pilih 1 Panel di B14 Untuk 1 Pintu | Size pintu di B16 sekiranya lebar  melebihi 2.5ft / 762mm</t>
  </si>
  <si>
    <t xml:space="preserve">Ceiling Aluminium Cell </t>
  </si>
  <si>
    <t>100X 100</t>
  </si>
  <si>
    <t>200 X 200</t>
  </si>
  <si>
    <t>050 X 050</t>
  </si>
  <si>
    <t>4.5mm Plain Color ACP Awnings</t>
  </si>
  <si>
    <t>4.5mm Plain Wood Grain ACP Awnings</t>
  </si>
  <si>
    <t xml:space="preserve">Plywood Background </t>
  </si>
  <si>
    <t>Wainstcoting Perimeter Frame</t>
  </si>
  <si>
    <t>Bag</t>
  </si>
  <si>
    <t>YTL PCC Cement Castle 50kg Bag</t>
  </si>
  <si>
    <t>Fine Sand 20kg Bag</t>
  </si>
  <si>
    <t>Coarse Sand 20kg Bag</t>
  </si>
  <si>
    <t>Sheet</t>
  </si>
  <si>
    <t>Plywood 9mm 4'x8' Formwork Sheet</t>
  </si>
  <si>
    <t>Pc</t>
  </si>
  <si>
    <t>Timber 1"x2"x10' Formwork Stud</t>
  </si>
  <si>
    <t>Kg</t>
  </si>
  <si>
    <t>Nails 2" Formwork</t>
  </si>
  <si>
    <t>Nails 3" Formwork (Optional)</t>
  </si>
  <si>
    <t>Tin</t>
  </si>
  <si>
    <t>Formwork Release Oil 5L</t>
  </si>
  <si>
    <t>Bar</t>
  </si>
  <si>
    <t>MS Y-Bar (Deformed) Ø12mm x 12m</t>
  </si>
  <si>
    <t>MS R-Bar (Round) Ø8mm x 12m</t>
  </si>
  <si>
    <t>Round Bar Ø6mm x 12m (R6)</t>
  </si>
  <si>
    <t>Roll</t>
  </si>
  <si>
    <t>GI Wire 20# Binding Wire Roll</t>
  </si>
  <si>
    <t>Chemical Anchor Cartridge for Dowel Fixing</t>
  </si>
  <si>
    <t>SikaGrout Pumpable Shrinkage Compensated Grout Bag</t>
  </si>
  <si>
    <t>Skim Coat Halus 25kg Bag</t>
  </si>
  <si>
    <t>Primer / Sealer 5L Tin</t>
  </si>
  <si>
    <t>Nippon Super Matex Wall Paint 18L (White)</t>
  </si>
  <si>
    <t>Batu 3/4" Aggregate 20kg Bag</t>
  </si>
  <si>
    <t>mm</t>
  </si>
  <si>
    <t>Boxed Up</t>
  </si>
  <si>
    <t>Total Boxed Up</t>
  </si>
  <si>
    <t>Cost Per Fr</t>
  </si>
  <si>
    <t>SRP Per Fr</t>
  </si>
  <si>
    <t>2" Angle For Bracket</t>
  </si>
  <si>
    <t>WIDTH</t>
  </si>
  <si>
    <t>HEIGHT</t>
  </si>
  <si>
    <t>LOUVERS</t>
  </si>
  <si>
    <t>U CHANNEL</t>
  </si>
  <si>
    <t>HOLLOW</t>
  </si>
  <si>
    <t>Qty Set</t>
  </si>
  <si>
    <t>Panel Qty</t>
  </si>
  <si>
    <t>DERIVED (auto)</t>
  </si>
  <si>
    <t>Universal Profile + Powdercoat Price Calculator (Full Bar + Per Ft)</t>
  </si>
  <si>
    <t>INPUTS (edit yellow cells)</t>
  </si>
  <si>
    <t>Profile Rate (RM/kg)</t>
  </si>
  <si>
    <t>WINGIAB</t>
  </si>
  <si>
    <t>Stock Length (m)</t>
  </si>
  <si>
    <t>Stock Length (ft)</t>
  </si>
  <si>
    <t>SMOOTH</t>
  </si>
  <si>
    <t>SAND</t>
  </si>
  <si>
    <t>W.GRAIN I/DOOR</t>
  </si>
  <si>
    <t>W.GRAIN O/DOOR</t>
  </si>
  <si>
    <t>Supplier</t>
  </si>
  <si>
    <t>Finish</t>
  </si>
  <si>
    <t>SUPERB</t>
  </si>
  <si>
    <t>Powdercoat Rate (RM/sqft)</t>
  </si>
  <si>
    <t>PROFILE LINES (max 12) - edit yellow cells only</t>
  </si>
  <si>
    <t>Pro # / Name</t>
  </si>
  <si>
    <t>Kg/m</t>
  </si>
  <si>
    <t>AP (mm)</t>
  </si>
  <si>
    <t>Profile / Pcs</t>
  </si>
  <si>
    <t>Powdercoat / Pcs</t>
  </si>
  <si>
    <t>Total / Pcs</t>
  </si>
  <si>
    <t>Profile /ft</t>
  </si>
  <si>
    <t>Powdercoat ft</t>
  </si>
  <si>
    <t>Total /ft</t>
  </si>
  <si>
    <t>TOTAL RM (Qty)</t>
  </si>
  <si>
    <t>GRAND TOTAL</t>
  </si>
  <si>
    <t>Qty By Pcs</t>
  </si>
  <si>
    <t>LV 50040</t>
  </si>
  <si>
    <t>UC 041010</t>
  </si>
  <si>
    <t>SST</t>
  </si>
  <si>
    <t>Total RM/ft</t>
  </si>
  <si>
    <t>Powdercoat RM/ft</t>
  </si>
  <si>
    <t>Profile RM/ft</t>
  </si>
  <si>
    <t>Total RM/bar</t>
  </si>
  <si>
    <t>Powdercoat RM/bar</t>
  </si>
  <si>
    <t>Profile RM/bar</t>
  </si>
  <si>
    <t>Bars Qty</t>
  </si>
  <si>
    <t>SST %</t>
  </si>
  <si>
    <t>SUPERB PC RATE (RM/sqft)</t>
  </si>
  <si>
    <t>WINGIAB PC RATE (RM/sqft)</t>
  </si>
  <si>
    <t>Sliding Door Standard</t>
  </si>
  <si>
    <t>A6 Lock 32mm</t>
  </si>
  <si>
    <t>Total fabrication hours</t>
  </si>
  <si>
    <t>Ref shift hours (benchmark)</t>
  </si>
  <si>
    <t>LINKED FROM LOUVERS CALC (auto)</t>
  </si>
  <si>
    <t>Total blades (all sets)</t>
  </si>
  <si>
    <t>Days (no buffer)</t>
  </si>
  <si>
    <t>FABRICATION TIMELINE (Blade-based, universal)</t>
  </si>
  <si>
    <t>Manpower (pax)</t>
  </si>
  <si>
    <t>Ref sets per shift (benchmark)</t>
  </si>
  <si>
    <t>Efficiency (1.00 default)</t>
  </si>
  <si>
    <t>Blades per hour @2pax (from benchmark)</t>
  </si>
  <si>
    <t>Blades per hour (actual)</t>
  </si>
  <si>
    <t>Days (+15% buffer)</t>
  </si>
  <si>
    <t>Work hours per day (e.g. 8)</t>
  </si>
  <si>
    <t>INPUT (Editable)</t>
  </si>
  <si>
    <t>m</t>
  </si>
  <si>
    <t>Ref blades per shift (2 pax)</t>
  </si>
  <si>
    <t>Centre clip deduct each (mm)</t>
  </si>
  <si>
    <t>Glass deduct const (mm)</t>
  </si>
  <si>
    <t>FOLDING DOOR CUTTING CALCULATOR</t>
  </si>
  <si>
    <t>PANEL ARRANGEMENT (outside view) - helper</t>
  </si>
  <si>
    <t>Edit YELLOW only. Cutting tables are at E:I. Panel arrangement is at AE1 (helper).</t>
  </si>
  <si>
    <t>INPUT</t>
  </si>
  <si>
    <t>CUTTING SIZE &amp; GLASS QTY</t>
  </si>
  <si>
    <t>HELPERS (editable)</t>
  </si>
  <si>
    <t>Width W (mm)</t>
  </si>
  <si>
    <t>DESCRIPTION</t>
  </si>
  <si>
    <t>PCS</t>
  </si>
  <si>
    <t>H (mm)</t>
  </si>
  <si>
    <t>W (mm)</t>
  </si>
  <si>
    <t>Fractional (H x W)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</si>
  <si>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</si>
  <si>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</si>
  <si>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</si>
  <si>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</si>
  <si>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</si>
  <si>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</si>
  <si>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</si>
  <si>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</si>
  <si>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</si>
  <si>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</si>
  <si>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</si>
  <si>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</si>
  <si>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</si>
  <si>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</si>
  <si>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</si>
  <si>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</si>
  <si>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</si>
  <si>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</si>
  <si>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</si>
  <si>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</si>
  <si>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Height H (mm)</t>
  </si>
  <si>
    <t>(INNER) PANEL K (Small)</t>
  </si>
  <si>
    <t>B</t>
  </si>
  <si>
    <t>TrackType</t>
  </si>
  <si>
    <t>TopDeduct</t>
  </si>
  <si>
    <t>BottomDeduct</t>
  </si>
  <si>
    <t>GapTop</t>
  </si>
  <si>
    <t>GapBottom</t>
  </si>
  <si>
    <t>Total panels N</t>
  </si>
  <si>
    <t>(INNER) PANEL B (Big)</t>
  </si>
  <si>
    <t>K</t>
  </si>
  <si>
    <t>Left panels L</t>
  </si>
  <si>
    <t>Right panels R</t>
  </si>
  <si>
    <t>CUTTING SIZE &amp; PROFILE QTY</t>
  </si>
  <si>
    <t>Track type (HeightType)</t>
  </si>
  <si>
    <t>Fractional</t>
  </si>
  <si>
    <t>Note</t>
  </si>
  <si>
    <t>(OUTER) TOP TRACK</t>
  </si>
  <si>
    <t>(OUTER) BOTTOM TRACK</t>
  </si>
  <si>
    <t>Check: N = L + R</t>
  </si>
  <si>
    <t>(OUTER) SIDE JAMB</t>
  </si>
  <si>
    <t>(INNER) HEIGHT</t>
  </si>
  <si>
    <t>SETTINGS (adjustable)</t>
  </si>
  <si>
    <t>(INNER) WIDTH PANEL B</t>
  </si>
  <si>
    <t>Side jamb total deduct (mm)</t>
  </si>
  <si>
    <t>(INNER) WIDTH PANEL K</t>
  </si>
  <si>
    <t>Side hole deduct (mm) 3/8</t>
  </si>
  <si>
    <t>Middle hole deduct (mm) 2/8</t>
  </si>
  <si>
    <t>Diff Big-Small (mm) 3/8-4/8</t>
  </si>
  <si>
    <t>SUMMARY</t>
  </si>
  <si>
    <t>Centre clip deduct total (mm)</t>
  </si>
  <si>
    <t>Total width deduction (mm)</t>
  </si>
  <si>
    <t>Net width after deduction (mm)</t>
  </si>
  <si>
    <t>Count B panels</t>
  </si>
  <si>
    <t>Count K panels</t>
  </si>
  <si>
    <t>K width (mm)</t>
  </si>
  <si>
    <t>B width (mm)</t>
  </si>
  <si>
    <t>Side jamb cut height (mm)</t>
  </si>
  <si>
    <t>Inner cut height (mm)</t>
  </si>
  <si>
    <t>Glass cut height (mm)</t>
  </si>
  <si>
    <t>Glass width K (mm)</t>
  </si>
  <si>
    <t>Glass width B (mm)</t>
  </si>
  <si>
    <t>Total joints (N+1)</t>
  </si>
  <si>
    <t>Side joints (L&gt;0)+(R&gt;0)</t>
  </si>
  <si>
    <t>Middle joints</t>
  </si>
  <si>
    <t>Joint deduct total (mm)</t>
  </si>
  <si>
    <t>Yes</t>
  </si>
  <si>
    <t>Centre clip</t>
  </si>
  <si>
    <t>Centre clip hole deduct (mm) 1 in</t>
  </si>
  <si>
    <t>Top Track</t>
  </si>
  <si>
    <t>Bottom Track</t>
  </si>
  <si>
    <t>Inner &amp; Beading</t>
  </si>
  <si>
    <t>REQUIRED PROFILE</t>
  </si>
  <si>
    <t>U SHAPE</t>
  </si>
  <si>
    <t>UsableLen</t>
  </si>
  <si>
    <t>CENTRE CLIP</t>
  </si>
  <si>
    <t>Max(W) 800mm</t>
  </si>
  <si>
    <t>U BOX</t>
  </si>
  <si>
    <t>HOOK</t>
  </si>
  <si>
    <t>TRACKLESS</t>
  </si>
  <si>
    <t>TotalInnerDeduct</t>
  </si>
  <si>
    <t>TotalSideJambDeduct</t>
  </si>
  <si>
    <t>Spare setting 1 (future)</t>
  </si>
  <si>
    <t>HackAdd</t>
  </si>
  <si>
    <t>Floor Hack / Concealed track</t>
  </si>
  <si>
    <t>TOTAL</t>
  </si>
  <si>
    <t>QTY</t>
  </si>
  <si>
    <t>TTL PANEL</t>
  </si>
  <si>
    <t>TELESCOPIC / FOLDING-STYLE CUTTING CALCULATOR (Template)</t>
  </si>
  <si>
    <t>INPUT (edit yellow only)</t>
  </si>
  <si>
    <t>Opening width</t>
  </si>
  <si>
    <t>Opening height</t>
  </si>
  <si>
    <t>Left Fix</t>
  </si>
  <si>
    <t>Panels fixed on LEFT</t>
  </si>
  <si>
    <t>Left Action</t>
  </si>
  <si>
    <t>Panels moving on LEFT</t>
  </si>
  <si>
    <t>Right Fix</t>
  </si>
  <si>
    <t>Panels fixed on RIGHT</t>
  </si>
  <si>
    <t>Right Action</t>
  </si>
  <si>
    <t>Panels moving on RIGHT</t>
  </si>
  <si>
    <t>Choose from helpers</t>
  </si>
  <si>
    <t>Yes/No</t>
  </si>
  <si>
    <t>Door Jamb (90930)</t>
  </si>
  <si>
    <t>WITHOUT</t>
  </si>
  <si>
    <t>WITHOUT/WITH</t>
  </si>
  <si>
    <t>B overlap deduct (mm)</t>
  </si>
  <si>
    <t>B from drawing</t>
  </si>
  <si>
    <t>C door jamb deduct (mm)</t>
  </si>
  <si>
    <t>C for 90930</t>
  </si>
  <si>
    <t>Side jamb base deduct (mm)</t>
  </si>
  <si>
    <t>Base jamb deduction</t>
  </si>
  <si>
    <t>Diff Big-Small (mm)</t>
  </si>
  <si>
    <t>Bwidth-Kwidth</t>
  </si>
  <si>
    <t>For glass H &amp; W</t>
  </si>
  <si>
    <t>UsableLen (profile) (mm)</t>
  </si>
  <si>
    <t>Stock length</t>
  </si>
  <si>
    <t>Auto = base + (WITH? 2*C:0)</t>
  </si>
  <si>
    <t>Uses Middle hole deduct</t>
  </si>
  <si>
    <t>Auto split</t>
  </si>
  <si>
    <t>Keeps total exact</t>
  </si>
  <si>
    <t>Effective height (mm)</t>
  </si>
  <si>
    <t>H + HackAdd if YES</t>
  </si>
  <si>
    <t>EffectiveH - TotalInnerDeduct</t>
  </si>
  <si>
    <t>EffectiveH - TotalSideJambDeduct</t>
  </si>
  <si>
    <t>Louvers 2"</t>
  </si>
  <si>
    <t>Louvers 5"</t>
  </si>
  <si>
    <t>Outer Frame W X H Hollow 2" X 2"</t>
  </si>
  <si>
    <t>Inner Frame Hollow 2" X 2"</t>
  </si>
  <si>
    <t>Single Horizontal Mullion ↔ 2" X 2"</t>
  </si>
  <si>
    <t>Single Vertical Mullion ↕ 2" X 2"</t>
  </si>
  <si>
    <t xml:space="preserve">2" Louver Blade N/A </t>
  </si>
  <si>
    <t>2" Louver Blade P/C</t>
  </si>
  <si>
    <t xml:space="preserve">5" Louver Blade N/A </t>
  </si>
  <si>
    <t>5" Louver Blade P/C</t>
  </si>
  <si>
    <t>Life Windows</t>
  </si>
  <si>
    <t>ACP (Normal White, Black)</t>
  </si>
  <si>
    <t>5mm Normal Glass</t>
  </si>
  <si>
    <t>5mm Dark Grey Glass</t>
  </si>
  <si>
    <t>5mm clear Tempered Glass</t>
  </si>
  <si>
    <t>5mm Dark Grey Tempered Glass</t>
  </si>
  <si>
    <t>5mm normal Moru</t>
  </si>
  <si>
    <t>5mm Tempered Moru</t>
  </si>
  <si>
    <t>Forested sticker (Sandblasting)</t>
  </si>
  <si>
    <t>Installation</t>
  </si>
  <si>
    <t>Security Mesh Door</t>
  </si>
  <si>
    <t>Push &amp; Swing</t>
  </si>
  <si>
    <t>Centre lock clearance adjust (mm)</t>
  </si>
  <si>
    <t>Louvers Fabrication Cal</t>
  </si>
  <si>
    <t xml:space="preserve">Input </t>
  </si>
  <si>
    <t>Value</t>
  </si>
  <si>
    <t>Opening Width</t>
  </si>
  <si>
    <t>Opening Height</t>
  </si>
  <si>
    <t>Pitch Override (C/C Rivet)</t>
  </si>
  <si>
    <t>Biarkan kosong untuk guna Auto Pitch. Isi nilai manual hanya jika mahu paksa pitch tertentu, contoh 45.</t>
  </si>
  <si>
    <t>Pitch Mode  (C/C Rivet)</t>
  </si>
  <si>
    <t>Auto = Blank</t>
  </si>
  <si>
    <t>Outer Mode (Vertical / Horizontal)</t>
  </si>
  <si>
    <t>Vertical</t>
  </si>
  <si>
    <t>Vertical Mode; Outer kiri dan kanan full height. Outer atas dan bawah sambung di dalam antara dua batang menegak. Horizontal Mode; Outer atas dan bawah full width. Outer kiri dan kanan sambung di dalam antara dua batang melintang.</t>
  </si>
  <si>
    <t>Profile Size</t>
  </si>
  <si>
    <t>Profile Depth</t>
  </si>
  <si>
    <t>Flange</t>
  </si>
  <si>
    <t>Return Lip</t>
  </si>
  <si>
    <t>Blade Face (Ref Only)</t>
  </si>
  <si>
    <t>Outer Profile Seat (H)</t>
  </si>
  <si>
    <t>Outer Profile Seat (W)</t>
  </si>
  <si>
    <t>Profile Stock Length</t>
  </si>
  <si>
    <t>U-Channel Thickness</t>
  </si>
  <si>
    <t>U-Channel Qty / Panel</t>
  </si>
  <si>
    <t>Saw Cut Loss</t>
  </si>
  <si>
    <t>Spare Cell</t>
  </si>
  <si>
    <t xml:space="preserve">Output </t>
  </si>
  <si>
    <t>By Panel</t>
  </si>
  <si>
    <t>By Set</t>
  </si>
  <si>
    <t>Fab. Blade Qty</t>
  </si>
  <si>
    <t>Fab. Blade Size (L)</t>
  </si>
  <si>
    <t>Fab. Pitch Auto C/C</t>
  </si>
  <si>
    <t>Fab. Pitch Used C/C</t>
  </si>
  <si>
    <t>Fab. End Pitch</t>
  </si>
  <si>
    <t>Fab. U-Channel (H) Qty</t>
  </si>
  <si>
    <t>Fab. U-Channel Size (H)</t>
  </si>
  <si>
    <t>Fab. Outer (H) Qty</t>
  </si>
  <si>
    <t>Fab. Outer Size (H)</t>
  </si>
  <si>
    <t>Fab. Outer (W) Qty</t>
  </si>
  <si>
    <t xml:space="preserve">Fab. Outer Size (W) </t>
  </si>
  <si>
    <t>Fab. Mullion (H) Qty</t>
  </si>
  <si>
    <t xml:space="preserve">Fab. Mullion Size (H) </t>
  </si>
  <si>
    <t>Buy Blade</t>
  </si>
  <si>
    <t>Buy U-Channel</t>
  </si>
  <si>
    <t>Buy Outer + Mullion</t>
  </si>
  <si>
    <t xml:space="preserve">Helper </t>
  </si>
  <si>
    <t>Used</t>
  </si>
  <si>
    <t>Auto Pitch</t>
  </si>
  <si>
    <t>Use Pitch</t>
  </si>
  <si>
    <t>Pitch Balance</t>
  </si>
  <si>
    <t>Inner Width</t>
  </si>
  <si>
    <t>Inner Height</t>
  </si>
  <si>
    <t>Outer Height Used</t>
  </si>
  <si>
    <t>Outer Width Used</t>
  </si>
  <si>
    <t>Outer (H) Qty Used</t>
  </si>
  <si>
    <t>Outer (W) Qty Used</t>
  </si>
  <si>
    <t>Mullion Qty Used</t>
  </si>
  <si>
    <t>Mullion Height Used</t>
  </si>
  <si>
    <t>Buy Blade Calc</t>
  </si>
  <si>
    <t>Buy U-Channel Calc</t>
  </si>
  <si>
    <t>Buy Outer Calc</t>
  </si>
  <si>
    <t>Buy Mullion Calc</t>
  </si>
  <si>
    <t>Profile</t>
  </si>
  <si>
    <t>Company</t>
  </si>
  <si>
    <t>Superb Alum</t>
  </si>
  <si>
    <t>Wingiab</t>
  </si>
  <si>
    <t>Code</t>
  </si>
  <si>
    <t xml:space="preserve">Profile </t>
  </si>
  <si>
    <t>Size</t>
  </si>
  <si>
    <t>LU 216</t>
  </si>
  <si>
    <t>LV 50041</t>
  </si>
  <si>
    <t>Dragon City</t>
  </si>
  <si>
    <t>LV135</t>
  </si>
  <si>
    <t>U-Chan</t>
  </si>
  <si>
    <t>UC 082411</t>
  </si>
  <si>
    <t>LU 217</t>
  </si>
  <si>
    <t>2B-FH-304-4 TECA Friction Hinge RL 4"</t>
  </si>
  <si>
    <t>91803 Glass</t>
  </si>
  <si>
    <t>91713 MESH</t>
  </si>
  <si>
    <t>91718 MESH</t>
  </si>
  <si>
    <t>91715 Outer</t>
  </si>
  <si>
    <t>91803 x 6.1m Heavy Duty Dual Window Glass Inner</t>
  </si>
  <si>
    <t>91713/91718 x 6.1m Heavy Duty Dual Window Mesh Inner + Beading</t>
  </si>
  <si>
    <t>91715 x 6.1m Heavy Duty Dual Window Outer</t>
  </si>
  <si>
    <t>SQ304-HDES-80 HD90 SUS304 Ultra Heavy Duty Square Groove Stay (SS) Width 27MM Thickness 2.5MM - 4 Bar</t>
  </si>
  <si>
    <t>SDL-CT-SLH-135 SLH-1350MP Multipoint Transmission Lock Solid Handle</t>
  </si>
  <si>
    <t>CT-T011-SS-20 T011 Transmission Lockcase With Push Rod (S/S) - 20MM</t>
  </si>
  <si>
    <t>HMD-CT-CD777 CDD770 Canter Multi-Point Handle</t>
  </si>
  <si>
    <t>MP566-1-2 TC-66 Lock Cam (12MM)</t>
  </si>
  <si>
    <t>MKP0345-11 MKP-034S Multipoint Keeper (11MM) - Small</t>
  </si>
  <si>
    <t>MP5713 MKP-060 Adjustable Keeper</t>
  </si>
  <si>
    <t>RM</t>
  </si>
  <si>
    <t>Dual Security Door Insert</t>
  </si>
  <si>
    <t>Qty +/-</t>
  </si>
  <si>
    <t>Panel (W)</t>
  </si>
  <si>
    <t>Panel (H)</t>
  </si>
  <si>
    <t>Glass(W)</t>
  </si>
  <si>
    <t>Glass(H)</t>
  </si>
  <si>
    <t>Different</t>
  </si>
  <si>
    <t>Setting</t>
  </si>
  <si>
    <t>Desc</t>
  </si>
  <si>
    <t>AP</t>
  </si>
  <si>
    <t>N/A</t>
  </si>
  <si>
    <t>M/B</t>
  </si>
  <si>
    <t>M/F</t>
  </si>
  <si>
    <t>Sort</t>
  </si>
  <si>
    <t>Remark</t>
  </si>
  <si>
    <t>Grp</t>
  </si>
  <si>
    <t>N/A RM/Kg</t>
  </si>
  <si>
    <t>M/B RM/Kg</t>
  </si>
  <si>
    <t>M/F RM/Kg</t>
  </si>
  <si>
    <t>Raw Length (mm)</t>
  </si>
  <si>
    <t>Raw Length (ft)</t>
  </si>
  <si>
    <t>Coated Usable (mm)</t>
  </si>
  <si>
    <t>Coated Usable (ft)</t>
  </si>
  <si>
    <t>P/C Type</t>
  </si>
  <si>
    <t>W/G Type</t>
  </si>
  <si>
    <t>Coated Base</t>
  </si>
  <si>
    <t>Coated Fallback</t>
  </si>
  <si>
    <t>Search</t>
  </si>
  <si>
    <t>Type</t>
  </si>
  <si>
    <t>Aluminium</t>
  </si>
  <si>
    <t>Outer</t>
  </si>
  <si>
    <t>Profile Section</t>
  </si>
  <si>
    <t>P/C</t>
  </si>
  <si>
    <t>W/G</t>
  </si>
  <si>
    <t>P/C Smooth Rate</t>
  </si>
  <si>
    <t>P/C Sand Rate</t>
  </si>
  <si>
    <t>W/G Indoor Rate</t>
  </si>
  <si>
    <t>W/G Outdoor Rate</t>
  </si>
  <si>
    <t>Coated SST %</t>
  </si>
  <si>
    <t>P/C TYPE LIST</t>
  </si>
  <si>
    <t>W/G TYPE LIST</t>
  </si>
  <si>
    <t>COATED BASE LIST</t>
  </si>
  <si>
    <t>COATED FALLBACK LIST</t>
  </si>
  <si>
    <t>Smooth</t>
  </si>
  <si>
    <t>Indoor</t>
  </si>
  <si>
    <t>Sand</t>
  </si>
  <si>
    <t>Outdoor</t>
  </si>
  <si>
    <t>Product Group</t>
  </si>
  <si>
    <t>Service Mode</t>
  </si>
  <si>
    <t>Product Type</t>
  </si>
  <si>
    <t>Frame Finish</t>
  </si>
  <si>
    <t>Panel / Infill</t>
  </si>
  <si>
    <t>AddOn 1</t>
  </si>
  <si>
    <t>AddOn 2</t>
  </si>
  <si>
    <t>AddOn 3</t>
  </si>
  <si>
    <t>AddOn 4</t>
  </si>
  <si>
    <t>AddOn 5</t>
  </si>
  <si>
    <t>AddOn 6</t>
  </si>
  <si>
    <t>AddOn 7</t>
  </si>
  <si>
    <t>Margin%</t>
  </si>
  <si>
    <t>Gap Size</t>
  </si>
  <si>
    <t>Helper</t>
  </si>
  <si>
    <t>Spare</t>
  </si>
  <si>
    <t>Use Qty</t>
  </si>
  <si>
    <t>Install Only</t>
  </si>
  <si>
    <t>Supply Only</t>
  </si>
  <si>
    <t>Supply &amp; Delivery</t>
  </si>
  <si>
    <t>Inner</t>
  </si>
  <si>
    <t>Mullion</t>
  </si>
  <si>
    <t>Stock UOM</t>
  </si>
  <si>
    <t>Stock Qty</t>
  </si>
  <si>
    <t>Stock Price</t>
  </si>
  <si>
    <t>Use UOM</t>
  </si>
  <si>
    <t>Price/unit</t>
  </si>
  <si>
    <t>Hardware &amp; Accessories</t>
  </si>
  <si>
    <t>Price Adjustment</t>
  </si>
  <si>
    <t>Title 4</t>
  </si>
  <si>
    <t>Title 5</t>
  </si>
  <si>
    <t>Title 6</t>
  </si>
  <si>
    <t>Title 7</t>
  </si>
  <si>
    <t>Horizontal Mullion ↔</t>
  </si>
  <si>
    <t>Vertical Mullion ↕</t>
  </si>
  <si>
    <t>Modifier Type</t>
  </si>
  <si>
    <t>Fix - Casement</t>
  </si>
  <si>
    <t>Top / Bottom</t>
  </si>
  <si>
    <t>Top + Bottom</t>
  </si>
  <si>
    <t>L / R</t>
  </si>
  <si>
    <t>L + R</t>
  </si>
  <si>
    <t>Top / Bottom + L / R</t>
  </si>
  <si>
    <t>Top / Bottom + L + R</t>
  </si>
  <si>
    <t>Top + Bottom + L / R</t>
  </si>
  <si>
    <t>Top + Bottom + L + R</t>
  </si>
  <si>
    <t>Display</t>
  </si>
  <si>
    <t>Gasket</t>
  </si>
  <si>
    <t>Override Price/Unit</t>
  </si>
  <si>
    <t>6154 Gasket</t>
  </si>
  <si>
    <t>Hinge</t>
  </si>
  <si>
    <t>Casement Friction Stay</t>
  </si>
  <si>
    <t>Hung Window Friction Stay</t>
  </si>
  <si>
    <t>Hung Friction Stay</t>
  </si>
  <si>
    <t>153M</t>
  </si>
  <si>
    <t>French Window-5MM</t>
  </si>
  <si>
    <t>2566 Gasket</t>
  </si>
  <si>
    <t>Casement Fixed Panel</t>
  </si>
  <si>
    <t>3320S</t>
  </si>
  <si>
    <t>3320S Gasket</t>
  </si>
  <si>
    <t>3320 Gasket</t>
  </si>
  <si>
    <t>1058 Gasket</t>
  </si>
  <si>
    <t>Black Tape</t>
  </si>
  <si>
    <t>BT10</t>
  </si>
  <si>
    <t>1" x 2 Black Tape</t>
  </si>
  <si>
    <t>1M x 60M</t>
  </si>
  <si>
    <t>BT15</t>
  </si>
  <si>
    <t>1.5" x 2 Black Tape</t>
  </si>
  <si>
    <t>BT20</t>
  </si>
  <si>
    <t>2" x 2 Black Tape</t>
  </si>
  <si>
    <t>BT25</t>
  </si>
  <si>
    <t>2.5" x 2 Black Tape</t>
  </si>
  <si>
    <t>BT30</t>
  </si>
  <si>
    <t>3" x 2 Black Tape</t>
  </si>
  <si>
    <t>BT35</t>
  </si>
  <si>
    <t>3.5" x 2 Black Tape</t>
  </si>
  <si>
    <t>BT40</t>
  </si>
  <si>
    <t>4" x 2 Black Tape</t>
  </si>
  <si>
    <t>2152 Gasket</t>
  </si>
  <si>
    <t>6154L</t>
  </si>
  <si>
    <t>6154L Gasket</t>
  </si>
  <si>
    <t>92M</t>
  </si>
  <si>
    <t>CW Glazing</t>
  </si>
  <si>
    <t>Sliding Door 5MM-6MM</t>
  </si>
  <si>
    <t>F18</t>
  </si>
  <si>
    <t>Casement Weatherstrip</t>
  </si>
  <si>
    <t>F18 Gasket</t>
  </si>
  <si>
    <t>305M</t>
  </si>
  <si>
    <t>F16S</t>
  </si>
  <si>
    <t>F16S Gasket</t>
  </si>
  <si>
    <t>3320ML</t>
  </si>
  <si>
    <t>3320ML Gasket</t>
  </si>
  <si>
    <t>Casement Glazing</t>
  </si>
  <si>
    <t>Weather Strip</t>
  </si>
  <si>
    <t>5X7 VSP</t>
  </si>
  <si>
    <t>Grey</t>
  </si>
  <si>
    <t>5X7 VSP Weather Strip</t>
  </si>
  <si>
    <t>400M</t>
  </si>
  <si>
    <t>CWS-OUTER</t>
  </si>
  <si>
    <t>CWS-INNER</t>
  </si>
  <si>
    <t>CWS-MULLION</t>
  </si>
  <si>
    <t>CWS-BEADING</t>
  </si>
  <si>
    <t>6154 Inner Glass Gasket</t>
  </si>
  <si>
    <t>F18 Outer Gasket</t>
  </si>
  <si>
    <t>F16S Inner Gasket</t>
  </si>
  <si>
    <t>F18 Mullion Gasket</t>
  </si>
  <si>
    <t>Casement Beading Gasket</t>
  </si>
  <si>
    <t>Curtain Wall</t>
  </si>
  <si>
    <t>Top Hung Window / Fix Window</t>
  </si>
  <si>
    <t>FT</t>
  </si>
  <si>
    <t>Fix Window</t>
  </si>
  <si>
    <t>SF3-PIANO</t>
  </si>
  <si>
    <t>SF3-PIANO BEADING</t>
  </si>
  <si>
    <t>SF3-B</t>
  </si>
  <si>
    <t>SF3-CERMIN MATA</t>
  </si>
  <si>
    <t>SF3-135 DEGREE</t>
  </si>
  <si>
    <t>SF3-M</t>
  </si>
  <si>
    <t>SF3-90 DEGREE</t>
  </si>
  <si>
    <t>Outer / Innner</t>
  </si>
  <si>
    <t>SF4-PIANO</t>
  </si>
  <si>
    <t>SF4-PIANO BEADING</t>
  </si>
  <si>
    <t>SF4-B</t>
  </si>
  <si>
    <t>SF4-CERMIN MATA</t>
  </si>
  <si>
    <t>SF4-M</t>
  </si>
  <si>
    <t>SF2-PIANO</t>
  </si>
  <si>
    <t>SF2-PIANO BEADING</t>
  </si>
  <si>
    <t>SF2-B</t>
  </si>
  <si>
    <t>SF2-CERMIN MATA</t>
  </si>
  <si>
    <t>SF2-M</t>
  </si>
  <si>
    <t>Def</t>
  </si>
  <si>
    <t>Opt1</t>
  </si>
  <si>
    <t>Opt2</t>
  </si>
  <si>
    <t>Opt3</t>
  </si>
  <si>
    <t>Opt4</t>
  </si>
  <si>
    <t>SF 2"</t>
  </si>
  <si>
    <t>SF 3"</t>
  </si>
  <si>
    <t>SF 4"</t>
  </si>
  <si>
    <t>Option</t>
  </si>
  <si>
    <t>Hollow 1" X 3"</t>
  </si>
  <si>
    <t>Hollow 1" X 2"</t>
  </si>
  <si>
    <t>Outer / Mullion</t>
  </si>
  <si>
    <t>▼ [Lattice]</t>
  </si>
  <si>
    <t>Opt5</t>
  </si>
  <si>
    <t>Opt6</t>
  </si>
  <si>
    <t>Z-Louvre Blade - 2"</t>
  </si>
  <si>
    <t>Z-Louvre Blade - 5"</t>
  </si>
  <si>
    <t>CTW-70212</t>
  </si>
  <si>
    <t>ANGLE-1X1X1.59</t>
  </si>
  <si>
    <t>Misc</t>
  </si>
  <si>
    <t>Angle Bracket</t>
  </si>
  <si>
    <t>Silicone</t>
  </si>
  <si>
    <t>VT230</t>
  </si>
  <si>
    <t>VITAL VT230 X-BOND Beige 300ML</t>
  </si>
  <si>
    <t>1 CTN x 24 BTL</t>
  </si>
  <si>
    <t>VT210</t>
  </si>
  <si>
    <t>VT210 Neutral Sealant Clear/WH/Grey 300ML</t>
  </si>
  <si>
    <t>VT211</t>
  </si>
  <si>
    <t>VITAL Silicon VT211 Matt Black/Grey 300ML</t>
  </si>
  <si>
    <t>VT220</t>
  </si>
  <si>
    <t>VT220 WH Gap Sealant 300ML</t>
  </si>
  <si>
    <t>VT222</t>
  </si>
  <si>
    <t>VT222 WH Gap Sealant 300ML</t>
  </si>
  <si>
    <t>Sealant</t>
  </si>
  <si>
    <t>ML</t>
  </si>
  <si>
    <t>CTW / SF Partition / Z-Louvre</t>
  </si>
  <si>
    <t>Z-Louvre Blde</t>
  </si>
  <si>
    <t>LOUVRE-5"</t>
  </si>
  <si>
    <t>LOUVRE-2"</t>
  </si>
  <si>
    <t>U-CHANNEL-12.7MMHX31.75MMW</t>
  </si>
  <si>
    <t>U Channel 1/2"H x 1 2/8"W</t>
  </si>
  <si>
    <t>U Channel 1"H x 3"W</t>
  </si>
  <si>
    <t>U-CHANNEL-25.4MMHX76.2MMW</t>
  </si>
  <si>
    <t>2" Z-Louvre Blade</t>
  </si>
  <si>
    <t>5" Z-Louvre Blade</t>
  </si>
  <si>
    <t>louv</t>
  </si>
  <si>
    <t>0192812460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</si>
</sst>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RM&quot;#,##0.00"/>
    <numFmt numFmtId="165" formatCode="0.0"/>
    <numFmt numFmtId="166" formatCode="0.00_ ;\-0.00\ "/>
    <numFmt numFmtId="167" formatCode="#,##0.0"/>
    <numFmt numFmtId="168" formatCode="0.00000000000000"/>
    <numFmt numFmtId="169" formatCode="#,##0.000000"/>
    <numFmt numFmtId="170" formatCode="&quot;RM&quot;\ #,##0.00"/>
    <numFmt numFmtId="171" formatCode="0.000"/>
    <numFmt numFmtId="172" formatCode="#,##0.000"/>
    <numFmt numFmtId="173" formatCode="0.0%"/>
    <numFmt numFmtId="174" formatCode="#,##0.00000000"/>
    <numFmt numFmtId="175" formatCode="0.0000%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theme="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i/>
      <sz val="11"/>
      <color rgb="FF404040"/>
      <name val="Calibri"/>
      <family val="2"/>
    </font>
    <font>
      <b/>
      <sz val="11"/>
      <color rgb="FF1F4E79"/>
      <name val="Calibri"/>
      <family val="2"/>
    </font>
    <font>
      <sz val="11"/>
      <name val="Calibri"/>
      <family val="2"/>
    </font>
    <font>
      <sz val="11"/>
      <color rgb="FF0000FF"/>
      <name val="Calibri"/>
      <family val="2"/>
    </font>
    <font>
      <b/>
      <sz val="11"/>
      <color rgb="FF000000"/>
      <name val="Calibri"/>
      <family val="2"/>
    </font>
    <font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7"/>
      <name val="Calibri"/>
      <family val="2"/>
    </font>
    <font>
      <i/>
      <sz val="11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theme="4"/>
        <bgColor indexed="64"/>
      </patternFill>
    </fill>
    <fill>
      <patternFill patternType="solid">
        <fgColor rgb="FF2F5597"/>
      </patternFill>
    </fill>
    <fill>
      <patternFill patternType="solid">
        <fgColor rgb="FFE7E6E6"/>
      </patternFill>
    </fill>
    <fill>
      <patternFill patternType="solid">
        <fgColor rgb="FFC6E0B4"/>
      </patternFill>
    </fill>
    <fill>
      <patternFill patternType="solid">
        <fgColor theme="1"/>
        <bgColor indexed="64"/>
      </patternFill>
    </fill>
    <fill>
      <patternFill patternType="solid">
        <fgColor rgb="FF305496"/>
      </patternFill>
    </fill>
    <fill>
      <patternFill patternType="solid">
        <fgColor rgb="FF203764"/>
      </patternFill>
    </fill>
    <fill>
      <patternFill patternType="solid">
        <fgColor rgb="FFFFFFFF"/>
      </patternFill>
    </fill>
    <fill>
      <patternFill patternType="solid">
        <fgColor rgb="FFE2EFDA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9E9E9E"/>
      </left>
      <right/>
      <top/>
      <bottom style="thin">
        <color rgb="FF9E9E9E"/>
      </bottom>
      <diagonal/>
    </border>
    <border>
      <left/>
      <right/>
      <top/>
      <bottom style="thin">
        <color rgb="FF9E9E9E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/>
      <diagonal/>
    </border>
    <border>
      <left style="thin">
        <color rgb="FF9E9E9E"/>
      </left>
      <right/>
      <top style="thin">
        <color rgb="FF9E9E9E"/>
      </top>
      <bottom/>
      <diagonal/>
    </border>
    <border>
      <left/>
      <right/>
      <top style="thin">
        <color rgb="FF9E9E9E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52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2" borderId="3" xfId="0" applyNumberFormat="1" applyFill="1" applyBorder="1" applyAlignment="1" applyProtection="1">
      <alignment horizontal="center" vertical="center"/>
      <protection locked="0"/>
    </xf>
    <xf numFmtId="4" fontId="0" fillId="2" borderId="5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 vertical="center"/>
      <protection locked="0"/>
    </xf>
    <xf numFmtId="4" fontId="0" fillId="2" borderId="9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10" fontId="0" fillId="2" borderId="9" xfId="0" applyNumberForma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" fillId="0" borderId="0" xfId="0" applyNumberFormat="1" applyFont="1" applyAlignment="1" applyProtection="1">
      <alignment horizontal="right" vertical="center"/>
      <protection locked="0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/>
    </xf>
    <xf numFmtId="2" fontId="0" fillId="2" borderId="1" xfId="0" applyNumberFormat="1" applyFill="1" applyBorder="1" applyAlignment="1">
      <alignment horizontal="left" vertical="center"/>
    </xf>
    <xf numFmtId="49" fontId="2" fillId="5" borderId="0" xfId="0" applyNumberFormat="1" applyFont="1" applyFill="1" applyAlignment="1" applyProtection="1">
      <alignment horizontal="center" vertical="center"/>
      <protection locked="0"/>
    </xf>
    <xf numFmtId="4" fontId="2" fillId="5" borderId="0" xfId="0" applyNumberFormat="1" applyFont="1" applyFill="1" applyAlignment="1">
      <alignment horizontal="center" vertical="center"/>
    </xf>
    <xf numFmtId="0" fontId="0" fillId="5" borderId="0" xfId="0" applyFill="1"/>
    <xf numFmtId="4" fontId="0" fillId="5" borderId="0" xfId="0" applyNumberFormat="1" applyFill="1"/>
    <xf numFmtId="0" fontId="0" fillId="5" borderId="0" xfId="0" applyFill="1" applyAlignment="1">
      <alignment horizontal="center" vertical="center"/>
    </xf>
    <xf numFmtId="49" fontId="0" fillId="5" borderId="0" xfId="0" applyNumberFormat="1" applyFill="1" applyAlignment="1">
      <alignment horizontal="center"/>
    </xf>
    <xf numFmtId="4" fontId="0" fillId="5" borderId="0" xfId="0" applyNumberFormat="1" applyFill="1" applyAlignment="1">
      <alignment horizontal="center" vertical="center"/>
    </xf>
    <xf numFmtId="49" fontId="0" fillId="3" borderId="2" xfId="0" applyNumberFormat="1" applyFill="1" applyBorder="1"/>
    <xf numFmtId="49" fontId="0" fillId="6" borderId="0" xfId="0" applyNumberFormat="1" applyFill="1" applyAlignment="1">
      <alignment horizontal="center" vertical="center"/>
    </xf>
    <xf numFmtId="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4" fontId="0" fillId="6" borderId="0" xfId="0" applyNumberFormat="1" applyFill="1" applyAlignment="1">
      <alignment horizontal="center"/>
    </xf>
    <xf numFmtId="49" fontId="0" fillId="3" borderId="4" xfId="0" applyNumberFormat="1" applyFill="1" applyBorder="1"/>
    <xf numFmtId="1" fontId="0" fillId="0" borderId="0" xfId="0" applyNumberFormat="1" applyAlignment="1">
      <alignment horizontal="center" vertical="center"/>
    </xf>
    <xf numFmtId="49" fontId="0" fillId="3" borderId="6" xfId="0" applyNumberFormat="1" applyFill="1" applyBorder="1"/>
    <xf numFmtId="49" fontId="0" fillId="0" borderId="2" xfId="0" applyNumberFormat="1" applyBorder="1"/>
    <xf numFmtId="4" fontId="0" fillId="0" borderId="3" xfId="0" applyNumberFormat="1" applyBorder="1" applyAlignment="1">
      <alignment horizontal="center" vertical="center"/>
    </xf>
    <xf numFmtId="49" fontId="0" fillId="0" borderId="4" xfId="0" applyNumberFormat="1" applyBorder="1"/>
    <xf numFmtId="4" fontId="0" fillId="0" borderId="5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 wrapText="1"/>
    </xf>
    <xf numFmtId="49" fontId="0" fillId="0" borderId="6" xfId="0" applyNumberFormat="1" applyBorder="1"/>
    <xf numFmtId="4" fontId="0" fillId="0" borderId="7" xfId="0" applyNumberFormat="1" applyBorder="1" applyAlignment="1">
      <alignment horizontal="center"/>
    </xf>
    <xf numFmtId="49" fontId="2" fillId="4" borderId="2" xfId="0" applyNumberFormat="1" applyFont="1" applyFill="1" applyBorder="1"/>
    <xf numFmtId="49" fontId="2" fillId="3" borderId="8" xfId="0" applyNumberFormat="1" applyFont="1" applyFill="1" applyBorder="1" applyAlignment="1">
      <alignment horizontal="left" vertical="center"/>
    </xf>
    <xf numFmtId="4" fontId="0" fillId="4" borderId="3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left"/>
    </xf>
    <xf numFmtId="49" fontId="2" fillId="3" borderId="4" xfId="0" applyNumberFormat="1" applyFont="1" applyFill="1" applyBorder="1"/>
    <xf numFmtId="4" fontId="0" fillId="3" borderId="5" xfId="0" applyNumberFormat="1" applyFill="1" applyBorder="1" applyAlignment="1">
      <alignment horizont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0" fillId="3" borderId="8" xfId="0" applyNumberFormat="1" applyFill="1" applyBorder="1"/>
    <xf numFmtId="49" fontId="0" fillId="9" borderId="0" xfId="0" applyNumberFormat="1" applyFill="1"/>
    <xf numFmtId="4" fontId="0" fillId="9" borderId="0" xfId="0" applyNumberFormat="1" applyFill="1" applyAlignment="1">
      <alignment horizontal="center"/>
    </xf>
    <xf numFmtId="0" fontId="0" fillId="9" borderId="0" xfId="0" applyFill="1"/>
    <xf numFmtId="4" fontId="0" fillId="9" borderId="0" xfId="0" applyNumberFormat="1" applyFill="1"/>
    <xf numFmtId="0" fontId="0" fillId="9" borderId="0" xfId="0" applyFill="1" applyAlignment="1">
      <alignment horizontal="center" vertical="center"/>
    </xf>
    <xf numFmtId="4" fontId="0" fillId="9" borderId="0" xfId="0" applyNumberForma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6" fillId="0" borderId="0" xfId="0" applyNumberFormat="1" applyFont="1"/>
    <xf numFmtId="164" fontId="0" fillId="0" borderId="0" xfId="0" applyNumberFormat="1"/>
    <xf numFmtId="10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4" fontId="0" fillId="0" borderId="3" xfId="0" applyNumberFormat="1" applyBorder="1" applyAlignment="1" applyProtection="1">
      <alignment horizontal="left" vertical="center"/>
      <protection locked="0"/>
    </xf>
    <xf numFmtId="0" fontId="1" fillId="0" borderId="0" xfId="0" applyFont="1"/>
    <xf numFmtId="165" fontId="0" fillId="0" borderId="1" xfId="0" applyNumberFormat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left" vertical="center"/>
    </xf>
    <xf numFmtId="49" fontId="2" fillId="0" borderId="0" xfId="0" applyNumberFormat="1" applyFont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10" xfId="0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49" fontId="0" fillId="11" borderId="0" xfId="0" applyNumberFormat="1" applyFill="1" applyAlignment="1">
      <alignment horizontal="center"/>
    </xf>
    <xf numFmtId="0" fontId="0" fillId="11" borderId="0" xfId="0" applyFill="1"/>
    <xf numFmtId="4" fontId="0" fillId="0" borderId="1" xfId="0" applyNumberFormat="1" applyBorder="1" applyAlignment="1">
      <alignment horizontal="right" vertical="center"/>
    </xf>
    <xf numFmtId="4" fontId="0" fillId="0" borderId="1" xfId="0" applyNumberFormat="1" applyBorder="1"/>
    <xf numFmtId="0" fontId="0" fillId="0" borderId="1" xfId="0" applyBorder="1"/>
    <xf numFmtId="4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5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0" fontId="0" fillId="0" borderId="1" xfId="0" applyNumberFormat="1" applyBorder="1" applyAlignment="1">
      <alignment horizontal="left" vertical="center"/>
    </xf>
    <xf numFmtId="168" fontId="0" fillId="0" borderId="0" xfId="0" applyNumberFormat="1"/>
    <xf numFmtId="4" fontId="0" fillId="2" borderId="1" xfId="0" applyNumberForma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2" fontId="0" fillId="2" borderId="1" xfId="0" applyNumberFormat="1" applyFill="1" applyBorder="1" applyAlignment="1">
      <alignment horizontal="center"/>
    </xf>
    <xf numFmtId="4" fontId="0" fillId="6" borderId="1" xfId="0" applyNumberFormat="1" applyFill="1" applyBorder="1" applyAlignment="1">
      <alignment vertical="center"/>
    </xf>
    <xf numFmtId="0" fontId="0" fillId="6" borderId="1" xfId="0" applyFill="1" applyBorder="1" applyAlignment="1">
      <alignment vertical="center"/>
    </xf>
    <xf numFmtId="10" fontId="0" fillId="6" borderId="1" xfId="0" applyNumberFormat="1" applyFill="1" applyBorder="1" applyAlignment="1">
      <alignment horizontal="left" vertical="center"/>
    </xf>
    <xf numFmtId="4" fontId="0" fillId="2" borderId="1" xfId="0" applyNumberFormat="1" applyFill="1" applyBorder="1"/>
    <xf numFmtId="0" fontId="8" fillId="0" borderId="0" xfId="0" applyFont="1" applyAlignment="1">
      <alignment horizontal="center" vertical="center"/>
    </xf>
    <xf numFmtId="22" fontId="0" fillId="0" borderId="0" xfId="0" applyNumberFormat="1"/>
    <xf numFmtId="2" fontId="0" fillId="6" borderId="0" xfId="0" applyNumberFormat="1" applyFill="1" applyProtection="1">
      <protection locked="0"/>
    </xf>
    <xf numFmtId="4" fontId="0" fillId="6" borderId="0" xfId="0" applyNumberFormat="1" applyFill="1" applyAlignment="1" applyProtection="1">
      <alignment horizontal="center" vertical="center"/>
      <protection locked="0"/>
    </xf>
    <xf numFmtId="4" fontId="0" fillId="6" borderId="0" xfId="0" applyNumberFormat="1" applyFill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9" borderId="0" xfId="0" applyFont="1" applyFill="1" applyAlignment="1">
      <alignment horizontal="right" vertical="center"/>
    </xf>
    <xf numFmtId="4" fontId="0" fillId="9" borderId="0" xfId="0" applyNumberFormat="1" applyFill="1" applyAlignment="1">
      <alignment horizontal="right" vertical="center"/>
    </xf>
    <xf numFmtId="4" fontId="2" fillId="0" borderId="0" xfId="0" applyNumberFormat="1" applyFont="1" applyAlignment="1">
      <alignment horizontal="center" vertical="center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left" vertical="center"/>
      <protection locked="0"/>
    </xf>
    <xf numFmtId="4" fontId="0" fillId="10" borderId="1" xfId="0" applyNumberFormat="1" applyFill="1" applyBorder="1" applyAlignment="1">
      <alignment horizontal="center" vertical="center"/>
    </xf>
    <xf numFmtId="4" fontId="2" fillId="10" borderId="1" xfId="0" applyNumberFormat="1" applyFont="1" applyFill="1" applyBorder="1" applyAlignment="1">
      <alignment vertical="center"/>
    </xf>
    <xf numFmtId="4" fontId="1" fillId="10" borderId="1" xfId="0" applyNumberFormat="1" applyFont="1" applyFill="1" applyBorder="1" applyAlignment="1">
      <alignment vertical="center"/>
    </xf>
    <xf numFmtId="4" fontId="0" fillId="10" borderId="1" xfId="0" applyNumberForma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vertical="center"/>
      <protection locked="0"/>
    </xf>
    <xf numFmtId="4" fontId="2" fillId="10" borderId="1" xfId="0" applyNumberFormat="1" applyFon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/>
    </xf>
    <xf numFmtId="10" fontId="0" fillId="2" borderId="1" xfId="0" applyNumberFormat="1" applyFill="1" applyBorder="1" applyAlignment="1">
      <alignment horizontal="left" vertical="center"/>
    </xf>
    <xf numFmtId="4" fontId="0" fillId="2" borderId="0" xfId="0" applyNumberFormat="1" applyFill="1"/>
    <xf numFmtId="49" fontId="0" fillId="2" borderId="1" xfId="0" applyNumberFormat="1" applyFill="1" applyBorder="1"/>
    <xf numFmtId="4" fontId="10" fillId="0" borderId="1" xfId="1" applyNumberFormat="1" applyBorder="1" applyAlignment="1">
      <alignment horizontal="center"/>
    </xf>
    <xf numFmtId="2" fontId="11" fillId="6" borderId="1" xfId="0" applyNumberFormat="1" applyFont="1" applyFill="1" applyBorder="1"/>
    <xf numFmtId="4" fontId="2" fillId="6" borderId="1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4" fontId="0" fillId="6" borderId="1" xfId="0" applyNumberFormat="1" applyFill="1" applyBorder="1"/>
    <xf numFmtId="4" fontId="0" fillId="6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center" vertical="center"/>
    </xf>
    <xf numFmtId="4" fontId="0" fillId="0" borderId="9" xfId="0" applyNumberFormat="1" applyBorder="1"/>
    <xf numFmtId="2" fontId="0" fillId="0" borderId="9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166" fontId="0" fillId="6" borderId="1" xfId="0" applyNumberFormat="1" applyFill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2" xfId="0" applyNumberFormat="1" applyBorder="1"/>
    <xf numFmtId="1" fontId="0" fillId="0" borderId="8" xfId="0" applyNumberFormat="1" applyBorder="1" applyAlignment="1">
      <alignment horizontal="center" vertical="center"/>
    </xf>
    <xf numFmtId="0" fontId="0" fillId="6" borderId="9" xfId="0" applyFill="1" applyBorder="1" applyAlignment="1">
      <alignment horizontal="left" vertical="center"/>
    </xf>
    <xf numFmtId="166" fontId="0" fillId="2" borderId="1" xfId="0" applyNumberFormat="1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4" fontId="0" fillId="0" borderId="5" xfId="0" applyNumberFormat="1" applyBorder="1" applyAlignment="1">
      <alignment horizontal="right" vertical="center"/>
    </xf>
    <xf numFmtId="49" fontId="6" fillId="0" borderId="4" xfId="0" applyNumberFormat="1" applyFont="1" applyBorder="1"/>
    <xf numFmtId="4" fontId="6" fillId="0" borderId="5" xfId="0" applyNumberFormat="1" applyFont="1" applyBorder="1" applyAlignment="1">
      <alignment horizontal="right"/>
    </xf>
    <xf numFmtId="49" fontId="0" fillId="6" borderId="4" xfId="0" applyNumberFormat="1" applyFill="1" applyBorder="1"/>
    <xf numFmtId="4" fontId="0" fillId="6" borderId="5" xfId="0" applyNumberFormat="1" applyFill="1" applyBorder="1" applyAlignment="1">
      <alignment horizontal="right" vertical="center"/>
    </xf>
    <xf numFmtId="49" fontId="2" fillId="8" borderId="4" xfId="0" applyNumberFormat="1" applyFont="1" applyFill="1" applyBorder="1"/>
    <xf numFmtId="4" fontId="0" fillId="8" borderId="5" xfId="0" applyNumberFormat="1" applyFill="1" applyBorder="1" applyAlignment="1">
      <alignment horizontal="right"/>
    </xf>
    <xf numFmtId="49" fontId="7" fillId="7" borderId="6" xfId="0" applyNumberFormat="1" applyFont="1" applyFill="1" applyBorder="1"/>
    <xf numFmtId="4" fontId="7" fillId="7" borderId="7" xfId="0" applyNumberFormat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7" borderId="0" xfId="0" applyFill="1"/>
    <xf numFmtId="4" fontId="0" fillId="7" borderId="0" xfId="0" applyNumberFormat="1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4" fontId="0" fillId="7" borderId="0" xfId="0" applyNumberFormat="1" applyFill="1"/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0" borderId="0" xfId="0" applyNumberFormat="1" applyAlignment="1" applyProtection="1">
      <alignment horizontal="right" vertical="center"/>
      <protection locked="0"/>
    </xf>
    <xf numFmtId="4" fontId="0" fillId="0" borderId="5" xfId="0" applyNumberFormat="1" applyBorder="1" applyAlignment="1" applyProtection="1">
      <alignment horizontal="right" vertical="center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6" xfId="0" applyBorder="1" applyAlignment="1">
      <alignment horizontal="center" vertical="center"/>
    </xf>
    <xf numFmtId="49" fontId="0" fillId="0" borderId="13" xfId="0" applyNumberFormat="1" applyBorder="1" applyAlignment="1" applyProtection="1">
      <alignment horizontal="left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4" fontId="0" fillId="4" borderId="3" xfId="0" applyNumberFormat="1" applyFill="1" applyBorder="1" applyAlignment="1" applyProtection="1">
      <alignment horizontal="center" vertical="center" wrapText="1"/>
      <protection locked="0"/>
    </xf>
    <xf numFmtId="2" fontId="2" fillId="4" borderId="2" xfId="0" applyNumberFormat="1" applyFont="1" applyFill="1" applyBorder="1"/>
    <xf numFmtId="49" fontId="0" fillId="6" borderId="1" xfId="0" applyNumberFormat="1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left" vertical="center"/>
    </xf>
    <xf numFmtId="4" fontId="0" fillId="12" borderId="0" xfId="0" applyNumberFormat="1" applyFill="1"/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/>
    </xf>
    <xf numFmtId="165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4" fontId="0" fillId="13" borderId="1" xfId="0" applyNumberFormat="1" applyFill="1" applyBorder="1" applyAlignment="1">
      <alignment horizontal="center" vertical="center"/>
    </xf>
    <xf numFmtId="49" fontId="0" fillId="13" borderId="1" xfId="0" applyNumberFormat="1" applyFill="1" applyBorder="1" applyAlignment="1">
      <alignment horizontal="left" vertical="center"/>
    </xf>
    <xf numFmtId="4" fontId="0" fillId="2" borderId="5" xfId="0" applyNumberFormat="1" applyFill="1" applyBorder="1" applyAlignment="1" applyProtection="1">
      <alignment horizontal="center" vertical="center" wrapText="1"/>
      <protection locked="0"/>
    </xf>
    <xf numFmtId="4" fontId="0" fillId="0" borderId="5" xfId="0" applyNumberFormat="1" applyBorder="1" applyAlignment="1" applyProtection="1">
      <alignment horizontal="center" vertical="center" wrapText="1"/>
      <protection locked="0"/>
    </xf>
    <xf numFmtId="0" fontId="0" fillId="2" borderId="1" xfId="0" applyFill="1" applyBorder="1"/>
    <xf numFmtId="4" fontId="0" fillId="2" borderId="7" xfId="0" applyNumberFormat="1" applyFill="1" applyBorder="1" applyAlignment="1" applyProtection="1">
      <alignment horizontal="center" vertical="center" wrapText="1"/>
      <protection locked="0"/>
    </xf>
    <xf numFmtId="49" fontId="2" fillId="9" borderId="0" xfId="0" applyNumberFormat="1" applyFont="1" applyFill="1" applyAlignment="1" applyProtection="1">
      <alignment horizontal="center" vertical="center"/>
      <protection locked="0"/>
    </xf>
    <xf numFmtId="49" fontId="2" fillId="9" borderId="2" xfId="0" applyNumberFormat="1" applyFont="1" applyFill="1" applyBorder="1" applyAlignment="1" applyProtection="1">
      <alignment horizontal="center" vertical="center"/>
      <protection locked="0"/>
    </xf>
    <xf numFmtId="49" fontId="2" fillId="9" borderId="3" xfId="0" applyNumberFormat="1" applyFont="1" applyFill="1" applyBorder="1" applyAlignment="1" applyProtection="1">
      <alignment horizontal="center" vertical="center"/>
      <protection locked="0"/>
    </xf>
    <xf numFmtId="49" fontId="2" fillId="9" borderId="6" xfId="0" applyNumberFormat="1" applyFont="1" applyFill="1" applyBorder="1" applyAlignment="1" applyProtection="1">
      <alignment horizontal="center" vertical="center"/>
      <protection locked="0"/>
    </xf>
    <xf numFmtId="4" fontId="2" fillId="9" borderId="7" xfId="0" applyNumberFormat="1" applyFont="1" applyFill="1" applyBorder="1" applyAlignment="1" applyProtection="1">
      <alignment horizontal="center" vertical="center"/>
      <protection locked="0"/>
    </xf>
    <xf numFmtId="4" fontId="0" fillId="12" borderId="5" xfId="0" applyNumberFormat="1" applyFill="1" applyBorder="1" applyAlignment="1" applyProtection="1">
      <alignment horizontal="center"/>
      <protection locked="0"/>
    </xf>
    <xf numFmtId="0" fontId="0" fillId="2" borderId="0" xfId="0" applyFill="1"/>
    <xf numFmtId="0" fontId="0" fillId="2" borderId="5" xfId="0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/>
    </xf>
    <xf numFmtId="49" fontId="0" fillId="0" borderId="8" xfId="0" applyNumberFormat="1" applyBorder="1" applyAlignment="1">
      <alignment horizontal="right" vertical="center"/>
    </xf>
    <xf numFmtId="4" fontId="0" fillId="0" borderId="8" xfId="0" applyNumberFormat="1" applyBorder="1" applyAlignment="1">
      <alignment horizontal="right" vertical="center"/>
    </xf>
    <xf numFmtId="4" fontId="0" fillId="2" borderId="8" xfId="0" applyNumberFormat="1" applyFill="1" applyBorder="1" applyAlignment="1">
      <alignment horizontal="right"/>
    </xf>
    <xf numFmtId="4" fontId="0" fillId="2" borderId="8" xfId="0" applyNumberFormat="1" applyFill="1" applyBorder="1" applyAlignment="1">
      <alignment horizontal="right" vertical="center"/>
    </xf>
    <xf numFmtId="49" fontId="0" fillId="2" borderId="8" xfId="0" applyNumberFormat="1" applyFill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0" fillId="13" borderId="8" xfId="0" applyFill="1" applyBorder="1" applyAlignment="1">
      <alignment horizontal="right" vertical="center"/>
    </xf>
    <xf numFmtId="0" fontId="0" fillId="6" borderId="8" xfId="0" applyFill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6" borderId="8" xfId="0" applyFill="1" applyBorder="1" applyAlignment="1">
      <alignment horizontal="left" vertical="center"/>
    </xf>
    <xf numFmtId="49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13" borderId="9" xfId="0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6" fontId="0" fillId="0" borderId="9" xfId="0" applyNumberFormat="1" applyBorder="1" applyAlignment="1">
      <alignment horizontal="left" vertical="center"/>
    </xf>
    <xf numFmtId="0" fontId="0" fillId="0" borderId="9" xfId="0" applyBorder="1"/>
    <xf numFmtId="49" fontId="0" fillId="0" borderId="9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49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center" vertical="center"/>
    </xf>
    <xf numFmtId="4" fontId="0" fillId="0" borderId="9" xfId="0" applyNumberFormat="1" applyBorder="1" applyAlignment="1">
      <alignment vertical="center"/>
    </xf>
    <xf numFmtId="4" fontId="0" fillId="2" borderId="9" xfId="0" applyNumberFormat="1" applyFill="1" applyBorder="1" applyAlignment="1">
      <alignment vertical="center"/>
    </xf>
    <xf numFmtId="10" fontId="0" fillId="2" borderId="9" xfId="0" applyNumberFormat="1" applyFill="1" applyBorder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4" fontId="0" fillId="6" borderId="9" xfId="0" applyNumberFormat="1" applyFill="1" applyBorder="1"/>
    <xf numFmtId="2" fontId="0" fillId="2" borderId="9" xfId="0" applyNumberFormat="1" applyFill="1" applyBorder="1" applyAlignment="1">
      <alignment horizontal="left" vertical="center"/>
    </xf>
    <xf numFmtId="0" fontId="0" fillId="0" borderId="10" xfId="0" applyBorder="1"/>
    <xf numFmtId="4" fontId="0" fillId="0" borderId="10" xfId="0" applyNumberFormat="1" applyBorder="1"/>
    <xf numFmtId="16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4" fillId="15" borderId="14" xfId="0" applyFont="1" applyFill="1" applyBorder="1" applyAlignment="1">
      <alignment horizontal="left" vertical="center" wrapText="1"/>
    </xf>
    <xf numFmtId="170" fontId="0" fillId="16" borderId="14" xfId="0" applyNumberFormat="1" applyFill="1" applyBorder="1" applyAlignment="1">
      <alignment horizontal="right" vertical="center" wrapText="1"/>
    </xf>
    <xf numFmtId="4" fontId="0" fillId="16" borderId="14" xfId="0" applyNumberFormat="1" applyFill="1" applyBorder="1" applyAlignment="1">
      <alignment horizontal="right" vertical="center" wrapText="1"/>
    </xf>
    <xf numFmtId="4" fontId="0" fillId="14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center" vertical="center" wrapText="1"/>
    </xf>
    <xf numFmtId="0" fontId="0" fillId="16" borderId="14" xfId="0" applyFill="1" applyBorder="1" applyAlignment="1">
      <alignment horizontal="right" vertical="center" wrapText="1"/>
    </xf>
    <xf numFmtId="170" fontId="0" fillId="14" borderId="14" xfId="0" applyNumberFormat="1" applyFill="1" applyBorder="1" applyAlignment="1">
      <alignment horizontal="right" vertical="center" wrapText="1"/>
    </xf>
    <xf numFmtId="0" fontId="0" fillId="16" borderId="14" xfId="0" applyFill="1" applyBorder="1" applyAlignment="1">
      <alignment horizontal="left" vertical="center" wrapText="1"/>
    </xf>
    <xf numFmtId="3" fontId="0" fillId="16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right" vertical="center" wrapText="1"/>
    </xf>
    <xf numFmtId="170" fontId="14" fillId="15" borderId="14" xfId="0" applyNumberFormat="1" applyFont="1" applyFill="1" applyBorder="1"/>
    <xf numFmtId="171" fontId="0" fillId="0" borderId="0" xfId="0" applyNumberFormat="1"/>
    <xf numFmtId="171" fontId="14" fillId="15" borderId="14" xfId="0" applyNumberFormat="1" applyFont="1" applyFill="1" applyBorder="1" applyAlignment="1">
      <alignment horizontal="center" vertical="center" wrapText="1"/>
    </xf>
    <xf numFmtId="171" fontId="0" fillId="16" borderId="14" xfId="0" applyNumberFormat="1" applyFill="1" applyBorder="1" applyAlignment="1">
      <alignment horizontal="right" vertical="center" wrapText="1"/>
    </xf>
    <xf numFmtId="172" fontId="0" fillId="16" borderId="14" xfId="0" applyNumberFormat="1" applyFill="1" applyBorder="1" applyAlignment="1">
      <alignment horizontal="right" vertical="center" wrapText="1"/>
    </xf>
    <xf numFmtId="0" fontId="14" fillId="15" borderId="18" xfId="0" applyFont="1" applyFill="1" applyBorder="1" applyAlignment="1">
      <alignment horizontal="left" vertical="center" wrapText="1"/>
    </xf>
    <xf numFmtId="173" fontId="0" fillId="16" borderId="14" xfId="0" applyNumberFormat="1" applyFill="1" applyBorder="1" applyAlignment="1">
      <alignment horizontal="right" vertical="center" wrapText="1"/>
    </xf>
    <xf numFmtId="0" fontId="0" fillId="0" borderId="4" xfId="0" applyBorder="1"/>
    <xf numFmtId="0" fontId="0" fillId="0" borderId="5" xfId="0" applyBorder="1"/>
    <xf numFmtId="0" fontId="14" fillId="15" borderId="19" xfId="0" applyFont="1" applyFill="1" applyBorder="1" applyAlignment="1">
      <alignment horizontal="center" vertical="center" wrapText="1"/>
    </xf>
    <xf numFmtId="0" fontId="14" fillId="15" borderId="20" xfId="0" applyFont="1" applyFill="1" applyBorder="1" applyAlignment="1">
      <alignment horizontal="center" vertical="center" wrapText="1"/>
    </xf>
    <xf numFmtId="170" fontId="0" fillId="14" borderId="21" xfId="0" applyNumberFormat="1" applyFill="1" applyBorder="1" applyAlignment="1">
      <alignment horizontal="right" vertical="center" wrapText="1"/>
    </xf>
    <xf numFmtId="170" fontId="0" fillId="14" borderId="22" xfId="0" applyNumberFormat="1" applyFill="1" applyBorder="1" applyAlignment="1">
      <alignment horizontal="right" vertical="center" wrapText="1"/>
    </xf>
    <xf numFmtId="170" fontId="0" fillId="14" borderId="23" xfId="0" applyNumberFormat="1" applyFill="1" applyBorder="1" applyAlignment="1">
      <alignment horizontal="right" vertical="center" wrapText="1"/>
    </xf>
    <xf numFmtId="0" fontId="0" fillId="6" borderId="0" xfId="0" applyFill="1"/>
    <xf numFmtId="0" fontId="14" fillId="20" borderId="25" xfId="0" applyFont="1" applyFill="1" applyBorder="1" applyAlignment="1">
      <alignment horizontal="center" vertical="center" wrapText="1"/>
    </xf>
    <xf numFmtId="0" fontId="14" fillId="21" borderId="25" xfId="0" applyFont="1" applyFill="1" applyBorder="1" applyAlignment="1">
      <alignment horizontal="center" vertical="center" wrapText="1"/>
    </xf>
    <xf numFmtId="0" fontId="0" fillId="22" borderId="0" xfId="0" applyFill="1"/>
    <xf numFmtId="0" fontId="17" fillId="20" borderId="25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/>
    </xf>
    <xf numFmtId="171" fontId="18" fillId="16" borderId="1" xfId="0" applyNumberFormat="1" applyFont="1" applyFill="1" applyBorder="1" applyAlignment="1">
      <alignment horizontal="right" vertical="center"/>
    </xf>
    <xf numFmtId="0" fontId="15" fillId="23" borderId="1" xfId="0" applyFont="1" applyFill="1" applyBorder="1" applyAlignment="1">
      <alignment horizontal="center" vertical="center" wrapText="1"/>
    </xf>
    <xf numFmtId="0" fontId="15" fillId="23" borderId="25" xfId="0" applyFont="1" applyFill="1" applyBorder="1" applyAlignment="1">
      <alignment horizontal="center" vertical="center" wrapText="1"/>
    </xf>
    <xf numFmtId="171" fontId="14" fillId="21" borderId="1" xfId="0" applyNumberFormat="1" applyFont="1" applyFill="1" applyBorder="1" applyAlignment="1">
      <alignment horizontal="right" vertical="center"/>
    </xf>
    <xf numFmtId="0" fontId="14" fillId="21" borderId="1" xfId="0" applyFont="1" applyFill="1" applyBorder="1" applyAlignment="1">
      <alignment horizontal="left" vertical="center" wrapText="1"/>
    </xf>
    <xf numFmtId="1" fontId="0" fillId="0" borderId="25" xfId="0" applyNumberFormat="1" applyBorder="1" applyAlignment="1">
      <alignment horizontal="right" vertical="center"/>
    </xf>
    <xf numFmtId="0" fontId="0" fillId="0" borderId="25" xfId="0" applyBorder="1" applyAlignment="1">
      <alignment horizontal="center" vertical="center" wrapText="1"/>
    </xf>
    <xf numFmtId="1" fontId="18" fillId="16" borderId="1" xfId="0" applyNumberFormat="1" applyFont="1" applyFill="1" applyBorder="1" applyAlignment="1">
      <alignment horizontal="center" vertical="center"/>
    </xf>
    <xf numFmtId="49" fontId="18" fillId="16" borderId="1" xfId="0" applyNumberFormat="1" applyFont="1" applyFill="1" applyBorder="1" applyAlignment="1">
      <alignment horizontal="center" vertical="center" wrapText="1"/>
    </xf>
    <xf numFmtId="0" fontId="17" fillId="20" borderId="1" xfId="0" applyFont="1" applyFill="1" applyBorder="1" applyAlignment="1">
      <alignment horizontal="left" vertical="center" wrapText="1"/>
    </xf>
    <xf numFmtId="0" fontId="14" fillId="20" borderId="1" xfId="0" applyFont="1" applyFill="1" applyBorder="1" applyAlignment="1">
      <alignment horizontal="center" vertical="center" wrapText="1"/>
    </xf>
    <xf numFmtId="171" fontId="18" fillId="16" borderId="8" xfId="0" applyNumberFormat="1" applyFont="1" applyFill="1" applyBorder="1" applyAlignment="1">
      <alignment horizontal="right" vertical="center"/>
    </xf>
    <xf numFmtId="171" fontId="0" fillId="0" borderId="0" xfId="0" applyNumberFormat="1" applyAlignment="1">
      <alignment horizontal="center" vertical="center"/>
    </xf>
    <xf numFmtId="1" fontId="14" fillId="21" borderId="1" xfId="0" applyNumberFormat="1" applyFont="1" applyFill="1" applyBorder="1" applyAlignment="1">
      <alignment horizontal="center" vertical="center"/>
    </xf>
    <xf numFmtId="0" fontId="14" fillId="21" borderId="1" xfId="0" applyFont="1" applyFill="1" applyBorder="1" applyAlignment="1">
      <alignment horizontal="center" vertical="center" wrapText="1"/>
    </xf>
    <xf numFmtId="0" fontId="15" fillId="22" borderId="0" xfId="0" applyFont="1" applyFill="1" applyAlignment="1">
      <alignment horizontal="center" vertical="center" wrapText="1"/>
    </xf>
    <xf numFmtId="0" fontId="17" fillId="22" borderId="0" xfId="0" applyFont="1" applyFill="1" applyAlignment="1">
      <alignment horizontal="center" vertical="center" wrapText="1"/>
    </xf>
    <xf numFmtId="0" fontId="0" fillId="22" borderId="0" xfId="0" applyFill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17" fillId="7" borderId="0" xfId="0" applyFont="1" applyFill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right" vertical="center" wrapText="1"/>
    </xf>
    <xf numFmtId="2" fontId="0" fillId="0" borderId="1" xfId="0" applyNumberFormat="1" applyBorder="1"/>
    <xf numFmtId="0" fontId="15" fillId="23" borderId="28" xfId="0" applyFont="1" applyFill="1" applyBorder="1" applyAlignment="1">
      <alignment horizontal="center" vertical="center" wrapText="1"/>
    </xf>
    <xf numFmtId="0" fontId="15" fillId="23" borderId="29" xfId="0" applyFont="1" applyFill="1" applyBorder="1" applyAlignment="1">
      <alignment horizontal="center" vertical="center" wrapText="1"/>
    </xf>
    <xf numFmtId="0" fontId="15" fillId="23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right" vertical="center"/>
    </xf>
    <xf numFmtId="2" fontId="0" fillId="0" borderId="8" xfId="0" applyNumberFormat="1" applyBorder="1" applyAlignment="1">
      <alignment horizontal="right" vertical="center"/>
    </xf>
    <xf numFmtId="0" fontId="15" fillId="23" borderId="30" xfId="0" applyFont="1" applyFill="1" applyBorder="1" applyAlignment="1">
      <alignment horizontal="center" vertical="center" wrapText="1"/>
    </xf>
    <xf numFmtId="2" fontId="0" fillId="0" borderId="9" xfId="0" applyNumberFormat="1" applyBorder="1" applyAlignment="1">
      <alignment horizontal="right" vertical="center"/>
    </xf>
    <xf numFmtId="0" fontId="0" fillId="2" borderId="9" xfId="0" applyFill="1" applyBorder="1"/>
    <xf numFmtId="0" fontId="0" fillId="18" borderId="9" xfId="0" applyFill="1" applyBorder="1"/>
    <xf numFmtId="0" fontId="0" fillId="18" borderId="8" xfId="0" applyFill="1" applyBorder="1" applyAlignment="1">
      <alignment horizontal="center" vertic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" fontId="0" fillId="6" borderId="0" xfId="0" applyNumberForma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" fontId="0" fillId="6" borderId="0" xfId="0" applyNumberForma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" fontId="0" fillId="0" borderId="0" xfId="0" applyNumberFormat="1"/>
    <xf numFmtId="0" fontId="15" fillId="17" borderId="31" xfId="0" applyFont="1" applyFill="1" applyBorder="1" applyAlignment="1">
      <alignment horizontal="left" vertical="center" wrapText="1"/>
    </xf>
    <xf numFmtId="0" fontId="15" fillId="24" borderId="31" xfId="0" applyFont="1" applyFill="1" applyBorder="1" applyAlignment="1">
      <alignment horizontal="center" vertical="center" wrapText="1"/>
    </xf>
    <xf numFmtId="0" fontId="15" fillId="24" borderId="31" xfId="0" applyFont="1" applyFill="1" applyBorder="1" applyAlignment="1">
      <alignment horizontal="left" vertical="center" wrapText="1"/>
    </xf>
    <xf numFmtId="0" fontId="15" fillId="17" borderId="31" xfId="0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right" vertical="center"/>
    </xf>
    <xf numFmtId="0" fontId="0" fillId="14" borderId="1" xfId="0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49" fontId="0" fillId="18" borderId="1" xfId="0" applyNumberForma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10" fontId="0" fillId="18" borderId="1" xfId="0" applyNumberForma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16" borderId="31" xfId="0" applyFont="1" applyFill="1" applyBorder="1" applyAlignment="1">
      <alignment horizontal="right" vertical="center" wrapText="1"/>
    </xf>
    <xf numFmtId="0" fontId="9" fillId="14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right" vertical="center" wrapText="1"/>
    </xf>
    <xf numFmtId="0" fontId="9" fillId="16" borderId="31" xfId="0" applyFont="1" applyFill="1" applyBorder="1" applyAlignment="1">
      <alignment horizontal="left" vertical="center" wrapText="1"/>
    </xf>
    <xf numFmtId="0" fontId="21" fillId="26" borderId="31" xfId="0" applyFont="1" applyFill="1" applyBorder="1" applyAlignment="1">
      <alignment horizontal="right" vertical="center" wrapText="1"/>
    </xf>
    <xf numFmtId="3" fontId="14" fillId="21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4" fillId="15" borderId="1" xfId="0" applyFont="1" applyFill="1" applyBorder="1" applyAlignment="1">
      <alignment horizontal="center" vertical="center"/>
    </xf>
    <xf numFmtId="3" fontId="0" fillId="16" borderId="1" xfId="0" applyNumberFormat="1" applyFill="1" applyBorder="1" applyAlignment="1">
      <alignment horizontal="right" vertical="center"/>
    </xf>
    <xf numFmtId="3" fontId="0" fillId="14" borderId="1" xfId="0" applyNumberFormat="1" applyFill="1" applyBorder="1" applyAlignment="1">
      <alignment horizontal="left" vertical="center"/>
    </xf>
    <xf numFmtId="3" fontId="0" fillId="2" borderId="10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left" vertical="center" wrapText="1"/>
    </xf>
    <xf numFmtId="3" fontId="14" fillId="15" borderId="1" xfId="0" applyNumberFormat="1" applyFon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right" vertical="center"/>
    </xf>
    <xf numFmtId="4" fontId="0" fillId="16" borderId="1" xfId="0" applyNumberFormat="1" applyFill="1" applyBorder="1" applyAlignment="1">
      <alignment horizontal="right" vertical="center"/>
    </xf>
    <xf numFmtId="174" fontId="0" fillId="16" borderId="1" xfId="0" applyNumberFormat="1" applyFill="1" applyBorder="1" applyAlignment="1">
      <alignment horizontal="right" vertical="center"/>
    </xf>
    <xf numFmtId="174" fontId="0" fillId="14" borderId="1" xfId="0" applyNumberFormat="1" applyFill="1" applyBorder="1" applyAlignment="1">
      <alignment horizontal="right" vertical="center"/>
    </xf>
    <xf numFmtId="4" fontId="0" fillId="14" borderId="1" xfId="0" applyNumberFormat="1" applyFill="1" applyBorder="1" applyAlignment="1">
      <alignment horizontal="right" vertical="center"/>
    </xf>
    <xf numFmtId="49" fontId="0" fillId="16" borderId="1" xfId="0" applyNumberFormat="1" applyFill="1" applyBorder="1" applyAlignment="1">
      <alignment horizontal="left" vertical="center"/>
    </xf>
    <xf numFmtId="0" fontId="19" fillId="14" borderId="1" xfId="0" applyFont="1" applyFill="1" applyBorder="1" applyAlignment="1">
      <alignment horizontal="left" vertical="center"/>
    </xf>
    <xf numFmtId="0" fontId="19" fillId="0" borderId="0" xfId="0" applyFont="1" applyAlignment="1">
      <alignment vertical="center" wrapText="1"/>
    </xf>
    <xf numFmtId="0" fontId="0" fillId="0" borderId="0" xfId="0" applyAlignment="1">
      <alignment vertical="center"/>
    </xf>
    <xf numFmtId="2" fontId="20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2" fontId="9" fillId="0" borderId="0" xfId="0" applyNumberFormat="1" applyFont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2" xfId="0" applyBorder="1"/>
    <xf numFmtId="4" fontId="0" fillId="0" borderId="10" xfId="0" applyNumberFormat="1" applyBorder="1" applyAlignment="1">
      <alignment horizontal="center" vertical="center"/>
    </xf>
    <xf numFmtId="0" fontId="0" fillId="0" borderId="10" xfId="0" quotePrefix="1" applyBorder="1" applyAlignment="1">
      <alignment horizontal="center" vertical="center"/>
    </xf>
    <xf numFmtId="3" fontId="0" fillId="18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center" vertical="center"/>
    </xf>
    <xf numFmtId="4" fontId="22" fillId="7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/>
    </xf>
    <xf numFmtId="3" fontId="23" fillId="22" borderId="0" xfId="0" applyNumberFormat="1" applyFont="1" applyFill="1"/>
    <xf numFmtId="0" fontId="19" fillId="0" borderId="4" xfId="0" applyFont="1" applyBorder="1" applyAlignment="1">
      <alignment horizontal="left" vertical="center" wrapText="1"/>
    </xf>
    <xf numFmtId="171" fontId="0" fillId="0" borderId="0" xfId="0" applyNumberFormat="1" applyAlignment="1">
      <alignment horizontal="left"/>
    </xf>
    <xf numFmtId="0" fontId="24" fillId="1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71" fontId="0" fillId="0" borderId="1" xfId="0" applyNumberFormat="1" applyBorder="1" applyAlignment="1">
      <alignment horizontal="left"/>
    </xf>
    <xf numFmtId="0" fontId="1" fillId="0" borderId="0" xfId="0" applyFont="1" applyAlignment="1">
      <alignment vertical="center"/>
    </xf>
    <xf numFmtId="0" fontId="0" fillId="7" borderId="0" xfId="0" applyFill="1" applyAlignment="1">
      <alignment vertical="center"/>
    </xf>
    <xf numFmtId="0" fontId="25" fillId="0" borderId="8" xfId="0" applyFont="1" applyBorder="1" applyAlignment="1">
      <alignment horizontal="left" vertical="center"/>
    </xf>
    <xf numFmtId="0" fontId="0" fillId="0" borderId="24" xfId="0" applyBorder="1" applyAlignment="1">
      <alignment vertical="center"/>
    </xf>
    <xf numFmtId="4" fontId="0" fillId="0" borderId="0" xfId="0" applyNumberFormat="1" applyAlignment="1">
      <alignment vertical="center"/>
    </xf>
    <xf numFmtId="4" fontId="0" fillId="7" borderId="0" xfId="0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171" fontId="0" fillId="7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4" fontId="0" fillId="0" borderId="5" xfId="0" applyNumberFormat="1" applyBorder="1" applyAlignment="1">
      <alignment horizontal="center"/>
    </xf>
    <xf numFmtId="4" fontId="0" fillId="0" borderId="5" xfId="0" applyNumberFormat="1" applyBorder="1" applyAlignment="1" applyProtection="1">
      <alignment horizontal="center"/>
      <protection locked="0"/>
    </xf>
    <xf numFmtId="49" fontId="2" fillId="0" borderId="6" xfId="0" applyNumberFormat="1" applyFont="1" applyBorder="1" applyAlignment="1" applyProtection="1">
      <alignment horizontal="center" vertical="center"/>
      <protection locked="0"/>
    </xf>
    <xf numFmtId="4" fontId="0" fillId="0" borderId="7" xfId="0" applyNumberFormat="1" applyBorder="1" applyAlignment="1" applyProtection="1">
      <alignment horizontal="center" vertical="center" wrapText="1"/>
      <protection locked="0"/>
    </xf>
    <xf numFmtId="175" fontId="0" fillId="0" borderId="5" xfId="0" applyNumberFormat="1" applyBorder="1" applyAlignment="1">
      <alignment horizontal="right" vertical="center"/>
    </xf>
    <xf numFmtId="0" fontId="0" fillId="0" borderId="3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0" fillId="0" borderId="0" xfId="0" applyNumberFormat="1" applyAlignment="1">
      <alignment vertical="center"/>
    </xf>
    <xf numFmtId="0" fontId="0" fillId="0" borderId="6" xfId="0" applyBorder="1"/>
    <xf numFmtId="0" fontId="0" fillId="0" borderId="7" xfId="0" applyBorder="1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32" xfId="0" applyBorder="1" applyAlignment="1">
      <alignment vertical="center"/>
    </xf>
    <xf numFmtId="0" fontId="0" fillId="7" borderId="0" xfId="0" applyFill="1" applyAlignment="1">
      <alignment horizontal="left" vertical="center"/>
    </xf>
    <xf numFmtId="0" fontId="0" fillId="2" borderId="3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2" xfId="0" applyBorder="1"/>
    <xf numFmtId="10" fontId="0" fillId="0" borderId="32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3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13" fillId="0" borderId="0" xfId="0" applyFont="1" applyAlignment="1">
      <alignment horizontal="left" vertical="center" wrapText="1"/>
    </xf>
    <xf numFmtId="0" fontId="0" fillId="0" borderId="0" xfId="0"/>
    <xf numFmtId="0" fontId="15" fillId="17" borderId="0" xfId="0" applyFont="1" applyFill="1" applyAlignment="1">
      <alignment horizontal="left" vertical="center" wrapText="1"/>
    </xf>
    <xf numFmtId="0" fontId="14" fillId="15" borderId="17" xfId="0" applyFont="1" applyFill="1" applyBorder="1" applyAlignment="1">
      <alignment horizontal="center" vertical="center" wrapText="1"/>
    </xf>
    <xf numFmtId="0" fontId="14" fillId="15" borderId="15" xfId="0" applyFont="1" applyFill="1" applyBorder="1" applyAlignment="1">
      <alignment horizontal="center" vertical="center" wrapText="1"/>
    </xf>
    <xf numFmtId="0" fontId="14" fillId="15" borderId="16" xfId="0" applyFont="1" applyFill="1" applyBorder="1" applyAlignment="1">
      <alignment horizontal="center" vertical="center" wrapText="1"/>
    </xf>
    <xf numFmtId="0" fontId="14" fillId="15" borderId="8" xfId="0" applyFont="1" applyFill="1" applyBorder="1" applyAlignment="1">
      <alignment horizontal="center" vertical="center" wrapText="1"/>
    </xf>
    <xf numFmtId="0" fontId="14" fillId="15" borderId="24" xfId="0" applyFont="1" applyFill="1" applyBorder="1" applyAlignment="1">
      <alignment horizontal="center" vertical="center" wrapText="1"/>
    </xf>
    <xf numFmtId="0" fontId="14" fillId="15" borderId="9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15" fillId="1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5" fillId="19" borderId="8" xfId="0" applyFont="1" applyFill="1" applyBorder="1" applyAlignment="1">
      <alignment horizontal="center" vertical="center" wrapText="1"/>
    </xf>
    <xf numFmtId="0" fontId="15" fillId="19" borderId="24" xfId="0" applyFont="1" applyFill="1" applyBorder="1" applyAlignment="1">
      <alignment horizontal="center" vertical="center" wrapText="1"/>
    </xf>
    <xf numFmtId="0" fontId="15" fillId="19" borderId="9" xfId="0" applyFont="1" applyFill="1" applyBorder="1" applyAlignment="1">
      <alignment horizontal="center" vertical="center" wrapText="1"/>
    </xf>
    <xf numFmtId="0" fontId="16" fillId="17" borderId="25" xfId="0" applyFont="1" applyFill="1" applyBorder="1" applyAlignment="1">
      <alignment horizontal="left" vertical="center" wrapText="1"/>
    </xf>
    <xf numFmtId="0" fontId="15" fillId="19" borderId="26" xfId="0" applyFont="1" applyFill="1" applyBorder="1" applyAlignment="1">
      <alignment horizontal="center" vertical="center" wrapText="1"/>
    </xf>
    <xf numFmtId="0" fontId="15" fillId="19" borderId="27" xfId="0" applyFont="1" applyFill="1" applyBorder="1" applyAlignment="1">
      <alignment horizontal="center" vertical="center" wrapText="1"/>
    </xf>
    <xf numFmtId="0" fontId="17" fillId="20" borderId="25" xfId="0" applyFont="1" applyFill="1" applyBorder="1" applyAlignment="1">
      <alignment horizontal="left" vertical="center" wrapText="1"/>
    </xf>
    <xf numFmtId="0" fontId="16" fillId="24" borderId="0" xfId="0" applyFont="1" applyFill="1" applyAlignment="1">
      <alignment horizontal="left" vertical="center" wrapText="1"/>
    </xf>
    <xf numFmtId="0" fontId="15" fillId="17" borderId="31" xfId="0" applyFont="1" applyFill="1" applyBorder="1" applyAlignment="1">
      <alignment horizontal="left" vertical="center" wrapText="1"/>
    </xf>
    <xf numFmtId="0" fontId="0" fillId="0" borderId="31" xfId="0" applyBorder="1"/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123825</xdr:rowOff>
        </xdr:from>
        <xdr:to>
          <xdr:col>9</xdr:col>
          <xdr:colOff>1085850</xdr:colOff>
          <xdr:row>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0</xdr:rowOff>
        </xdr:from>
        <xdr:to>
          <xdr:col>9</xdr:col>
          <xdr:colOff>1085850</xdr:colOff>
          <xdr:row>8</xdr:row>
          <xdr:rowOff>57150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3</xdr:row>
          <xdr:rowOff>123825</xdr:rowOff>
        </xdr:from>
        <xdr:to>
          <xdr:col>16</xdr:col>
          <xdr:colOff>1085850</xdr:colOff>
          <xdr:row>5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6</xdr:row>
          <xdr:rowOff>57150</xdr:rowOff>
        </xdr:from>
        <xdr:to>
          <xdr:col>16</xdr:col>
          <xdr:colOff>1085850</xdr:colOff>
          <xdr:row>7</xdr:row>
          <xdr:rowOff>123825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9</xdr:row>
          <xdr:rowOff>0</xdr:rowOff>
        </xdr:from>
        <xdr:to>
          <xdr:col>16</xdr:col>
          <xdr:colOff>1085850</xdr:colOff>
          <xdr:row>10</xdr:row>
          <xdr:rowOff>57150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Versions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11</xdr:row>
          <xdr:rowOff>123825</xdr:rowOff>
        </xdr:from>
        <xdr:to>
          <xdr:col>16</xdr:col>
          <xdr:colOff>1085850</xdr:colOff>
          <xdr:row>13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Version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30</xdr:row>
      <xdr:rowOff>0</xdr:rowOff>
    </xdr:from>
    <xdr:to>
      <xdr:col>9</xdr:col>
      <xdr:colOff>0</xdr:colOff>
      <xdr:row>48</xdr:row>
      <xdr:rowOff>0</xdr:rowOff>
    </xdr:to>
    <xdr:sp macro="" textlink="">
      <xdr:nvSpPr>
        <xdr:cNvPr id="3" name="SpecNote" hidden="1">
          <a:extLst>
            <a:ext uri="{FF2B5EF4-FFF2-40B4-BE49-F238E27FC236}">
              <a16:creationId xmlns:a16="http://schemas.microsoft.com/office/drawing/2014/main" id="{88F30330-DF8E-0FEF-4664-27AD77FB868D}"/>
            </a:ext>
          </a:extLst>
        </xdr:cNvPr>
        <xdr:cNvSpPr txBox="1"/>
      </xdr:nvSpPr>
      <xdr:spPr>
        <a:xfrm>
          <a:off x="3571875" y="5715000"/>
          <a:ext cx="6991350" cy="3429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noAutofit/>
        </a:bodyPr>
        <a:lstStyle/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Harga anggaran SRP /Sqft ialah RM30.00 dan ke atas, base size 7H X 6W</a:t>
          </a:r>
        </a:p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Premium heavy-duty accessories and hardware engineered for maximum durability, smooth performance, and long-lasting security.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41274</xdr:colOff>
      <xdr:row>19</xdr:row>
      <xdr:rowOff>25399</xdr:rowOff>
    </xdr:from>
    <xdr:to>
      <xdr:col>40</xdr:col>
      <xdr:colOff>57889</xdr:colOff>
      <xdr:row>49</xdr:row>
      <xdr:rowOff>91351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8155F5-0010-4C26-A787-95A92EF71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295774" y="3695699"/>
          <a:ext cx="19485715" cy="5780952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208"/>
  <sheetViews>
    <sheetView zoomScale="75" zoomScaleNormal="75" workbookViewId="0">
      <selection activeCell="A21" sqref="A21"/>
    </sheetView>
  </sheetViews>
  <sheetFormatPr defaultRowHeight="15" x14ac:dyDescent="0.25"/>
  <cols>
    <col min="1" max="1" width="37.42578125" style="8" customWidth="1"/>
    <col min="2" max="2" width="14.42578125" style="6" bestFit="1" customWidth="1"/>
    <col min="3" max="3" width="1.7109375" customWidth="1"/>
    <col min="4" max="4" width="60.7109375" style="5" customWidth="1"/>
    <col min="5" max="5" width="7" style="1" customWidth="1"/>
    <col min="6" max="6" width="8.5703125" style="7" bestFit="1" customWidth="1"/>
    <col min="7" max="7" width="6.85546875" style="2" bestFit="1" customWidth="1"/>
    <col min="8" max="8" width="10.5703125" style="5" bestFit="1" customWidth="1"/>
    <col min="9" max="9" width="12.7109375" customWidth="1"/>
    <col min="10" max="10" width="16.7109375" style="1" customWidth="1"/>
    <col min="11" max="11" width="3.5703125" style="1" customWidth="1"/>
    <col min="12" max="12" width="123.140625" style="1" customWidth="1"/>
    <col min="13" max="13" width="6.42578125" style="1" bestFit="1" customWidth="1"/>
    <col min="14" max="14" width="7.5703125" style="1" bestFit="1" customWidth="1"/>
    <col min="15" max="16" width="12.7109375" style="26" customWidth="1"/>
    <col min="17" max="17" width="16.7109375" customWidth="1"/>
    <col min="18" max="25" width="1.7109375" customWidth="1"/>
    <col min="26" max="27" width="38.28515625" bestFit="1" customWidth="1"/>
    <col min="28" max="28" width="15.140625" bestFit="1" customWidth="1"/>
    <col min="29" max="29" width="9.140625" customWidth="1"/>
    <col min="30" max="30" width="19.5703125" bestFit="1" customWidth="1"/>
    <col min="31" max="31" width="9.140625" customWidth="1"/>
  </cols>
  <sheetData>
    <row r="1" spans="1:30" x14ac:dyDescent="0.25">
      <c r="A1" s="87" t="s">
        <v>254</v>
      </c>
      <c r="B1" s="3"/>
      <c r="J1" s="141" t="s">
        <v>410</v>
      </c>
      <c r="M1" s="2" t="s">
        <v>102</v>
      </c>
      <c r="N1" s="2" t="s">
        <v>98</v>
      </c>
      <c r="O1" s="2" t="s">
        <v>430</v>
      </c>
      <c r="P1" s="2" t="s">
        <v>78</v>
      </c>
      <c r="AD1" s="82"/>
    </row>
    <row r="2" spans="1:30" x14ac:dyDescent="0.25">
      <c r="A2" s="39" t="s">
        <v>159</v>
      </c>
      <c r="B2" s="40"/>
      <c r="C2" s="41"/>
      <c r="D2" s="42"/>
      <c r="E2" s="43"/>
      <c r="F2" s="44"/>
      <c r="G2" s="45"/>
      <c r="H2" s="42"/>
      <c r="I2" s="41"/>
      <c r="K2" s="127"/>
      <c r="L2" s="124" t="str">
        <f>B3 &amp; A2 &amp; "W X " &amp; B4 &amp; A2 &amp; "H " &amp; " " &amp; A1 &amp; " " &amp; B13 &amp; " Panel " &amp; A17 &amp; " " &amp; A18 &amp; " " &amp; A19 &amp; " " &amp; A20 &amp; " " &amp; A21 &amp; " " &amp; A22</f>
        <v>20ftW X 13ftH  Aluminium &amp; Glass Standard 7 Panel Supply &amp; Delivery CTW / SF Partition / Z-Louvre W/G Z-Louvre Blade - 5" SF 4" ▼ [Lattice]</v>
      </c>
      <c r="M2" s="125" t="str">
        <f>IF(A11="","",A11)</f>
        <v>Set</v>
      </c>
      <c r="N2" s="125">
        <f>IF(B11="","",B11)</f>
        <v>1</v>
      </c>
      <c r="O2" s="126">
        <f>IF(B37="","",B37)</f>
        <v>24370.848952590961</v>
      </c>
      <c r="P2" s="126">
        <f>IF(OR(NOT(ISNUMBER(N2)),NOT(ISNUMBER(O2))),"",N2*O2)</f>
        <v>24370.848952590961</v>
      </c>
      <c r="Q2" s="34"/>
      <c r="AC2" s="82"/>
    </row>
    <row r="3" spans="1:30" x14ac:dyDescent="0.25">
      <c r="A3" s="46" t="s">
        <v>79</v>
      </c>
      <c r="B3" s="27">
        <v>20</v>
      </c>
      <c r="C3" s="47"/>
      <c r="D3" s="50" t="s">
        <v>823</v>
      </c>
      <c r="E3" s="48" t="s">
        <v>1783</v>
      </c>
      <c r="F3" s="49" t="s">
        <v>98</v>
      </c>
      <c r="G3" s="47" t="s">
        <v>102</v>
      </c>
      <c r="H3" s="50" t="s">
        <v>142</v>
      </c>
      <c r="I3" s="49" t="s">
        <v>78</v>
      </c>
      <c r="M3" s="2" t="str">
        <f>IF(A11="","",A11)</f>
        <v>Set</v>
      </c>
      <c r="N3" s="2" t="str">
        <f>IF(SUM(N5:N24)=0,"",SUM(N5:N24))</f>
        <v/>
      </c>
      <c r="O3" s="130" t="s">
        <v>437</v>
      </c>
      <c r="P3" s="35" t="str">
        <f>IF(SUM(P5:P24)=0,"",SUM(P5:P24))</f>
        <v/>
      </c>
    </row>
    <row r="4" spans="1:30" x14ac:dyDescent="0.25">
      <c r="A4" s="51" t="s">
        <v>80</v>
      </c>
      <c r="B4" s="28">
        <v>13</v>
      </c>
      <c r="C4" s="1"/>
      <c r="D4" t="str" cm="1">
        <f t="array" ref="D4">IFERROR(INDEX(CalcEngine!R:R,SMALL(CalcEngine!P:P,ROW()-3)),"")</f>
        <v>Outer</v>
      </c>
      <c r="E4" s="25"/>
      <c r="F4" s="52" cm="1">
        <f t="array" ref="F4">IF(D4="","",MAX(0,IFERROR(INDEX(CalcEngine!V:V,SMALL(CalcEngine!P:P,ROW()-3)),0)+N(E4)))</f>
        <v>66</v>
      </c>
      <c r="G4" s="2" t="str" cm="1">
        <f t="array" ref="G4">IFERROR(INDEX(CalcEngine!U:U,SMALL(CalcEngine!P:P,ROW()-3)),"")</f>
        <v>Ft</v>
      </c>
      <c r="H4" s="5" cm="1">
        <f t="array" ref="H4">IFERROR(INDEX(CalcEngine!W:W,SMALL(CalcEngine!P:P,ROW()-3)),"")</f>
        <v>13.89</v>
      </c>
      <c r="I4" s="5">
        <f>IF(AND(ISNUMBER(F4), ISNUMBER(H4)), F4*H4, "")</f>
        <v>916.74</v>
      </c>
      <c r="K4" s="194" t="s">
        <v>175</v>
      </c>
      <c r="L4" s="195" t="s">
        <v>797</v>
      </c>
      <c r="M4" s="195" t="s">
        <v>102</v>
      </c>
      <c r="N4" s="195" t="s">
        <v>98</v>
      </c>
      <c r="O4" s="196" t="s">
        <v>430</v>
      </c>
      <c r="P4" s="195" t="s">
        <v>78</v>
      </c>
    </row>
    <row r="5" spans="1:30" x14ac:dyDescent="0.25">
      <c r="A5" s="53" t="s">
        <v>99</v>
      </c>
      <c r="B5" s="29"/>
      <c r="C5" s="1"/>
      <c r="D5" t="str" cm="1">
        <f t="array" ref="D5">IFERROR(INDEX(CalcEngine!R:R,SMALL(CalcEngine!P:P,ROW()-3)),"")</f>
        <v>Vertical Mullion ↕</v>
      </c>
      <c r="E5" s="25"/>
      <c r="F5" s="52" cm="1">
        <f t="array" ref="F5">IF(D5="","",MAX(0,IFERROR(INDEX(CalcEngine!V:V,SMALL(CalcEngine!P:P,ROW()-3)),0)+N(E5)))</f>
        <v>78</v>
      </c>
      <c r="G5" s="2" t="str" cm="1">
        <f t="array" ref="G5">IFERROR(INDEX(CalcEngine!U:U,SMALL(CalcEngine!P:P,ROW()-3)),"")</f>
        <v>Ft</v>
      </c>
      <c r="H5" s="5" cm="1">
        <f t="array" ref="H5">IFERROR(INDEX(CalcEngine!W:W,SMALL(CalcEngine!P:P,ROW()-3)),"")</f>
        <v>13.89</v>
      </c>
      <c r="I5" s="5">
        <f t="shared" ref="I5:I30" si="0">IF(AND(ISNUMBER(F5), ISNUMBER(H5)), F5*H5, "")</f>
        <v>1083.42</v>
      </c>
      <c r="K5" s="185"/>
      <c r="L5" s="186"/>
      <c r="M5" s="32"/>
      <c r="N5" s="32"/>
      <c r="O5" s="187"/>
      <c r="P5" s="188" t="str">
        <f>IF(OR(NOT(ISNUMBER(N5)),NOT(ISNUMBER(O5))),"",N5*O5)</f>
        <v/>
      </c>
    </row>
    <row r="6" spans="1:30" x14ac:dyDescent="0.25">
      <c r="A6" s="54" t="s">
        <v>2</v>
      </c>
      <c r="B6" s="55" cm="1">
        <f t="array" ref="B6">IF($B$3="","",
  _xlfn.SWITCH(
    $A$2,
    "mm", $B$3/304.8,
    "cm", $B$3/30.48,
    "m",  $B$3*3.28084,
    "in", $B$3/12,
    "ft", $B$3,
    "Invalid Unit"
  )
)</f>
        <v>20</v>
      </c>
      <c r="C6" s="1"/>
      <c r="D6" t="str" cm="1">
        <f t="array" ref="D6">IFERROR(INDEX(CalcEngine!R:R,SMALL(CalcEngine!P:P,ROW()-3)),"")</f>
        <v>Horizontal Mullion ↔</v>
      </c>
      <c r="E6" s="25"/>
      <c r="F6" s="52" cm="1">
        <f t="array" ref="F6">IF(D6="","",MAX(0,IFERROR(INDEX(CalcEngine!V:V,SMALL(CalcEngine!P:P,ROW()-3)),0)+N(E6)))</f>
        <v>20</v>
      </c>
      <c r="G6" s="2" t="str" cm="1">
        <f t="array" ref="G6">IFERROR(INDEX(CalcEngine!U:U,SMALL(CalcEngine!P:P,ROW()-3)),"")</f>
        <v>Ft</v>
      </c>
      <c r="H6" s="5" cm="1">
        <f t="array" ref="H6">IFERROR(INDEX(CalcEngine!W:W,SMALL(CalcEngine!P:P,ROW()-3)),"")</f>
        <v>13.89</v>
      </c>
      <c r="I6" s="5">
        <f t="shared" si="0"/>
        <v>277.8</v>
      </c>
      <c r="K6" s="185"/>
      <c r="L6" s="186"/>
      <c r="M6" s="32"/>
      <c r="N6" s="32"/>
      <c r="O6" s="187"/>
      <c r="P6" s="188" t="str">
        <f t="shared" ref="P6:P24" si="1">IF(OR(NOT(ISNUMBER(N6)),NOT(ISNUMBER(O6))),"",N6*O6)</f>
        <v/>
      </c>
    </row>
    <row r="7" spans="1:30" x14ac:dyDescent="0.25">
      <c r="A7" s="56" t="s">
        <v>81</v>
      </c>
      <c r="B7" s="57">
        <f>IF(B4="", "",
   IF($A$2="mm", B4/304.8,
   IF($A$2="cm", B4/30.48,
   IF($A$2="m",  B4*3.28084,
   IF($A$2="in", B4/12,
   IF($A$2="ft", B4,
   "Invalid Unit"))))))</f>
        <v>13</v>
      </c>
      <c r="C7" s="1"/>
      <c r="D7" t="str" cm="1">
        <f t="array" ref="D7">IFERROR(INDEX(CalcEngine!R:R,SMALL(CalcEngine!P:P,ROW()-3)),"")</f>
        <v>⬒ Z-Louvre Blade - 5"</v>
      </c>
      <c r="E7" s="25"/>
      <c r="F7" s="52" cm="1">
        <f t="array" ref="F7">IF(D7="","",MAX(0,IFERROR(INDEX(CalcEngine!V:V,SMALL(CalcEngine!P:P,ROW()-3)),0)+N(E7)))</f>
        <v>260</v>
      </c>
      <c r="G7" s="2" t="str" cm="1">
        <f t="array" ref="G7">IFERROR(INDEX(CalcEngine!U:U,SMALL(CalcEngine!P:P,ROW()-3)),"")</f>
        <v>Sqft</v>
      </c>
      <c r="H7" s="5" cm="1">
        <f t="array" ref="H7">IFERROR(INDEX(CalcEngine!W:W,SMALL(CalcEngine!P:P,ROW()-3)),"")</f>
        <v>32.037384615384617</v>
      </c>
      <c r="I7" s="5">
        <f t="shared" si="0"/>
        <v>8329.7200000000012</v>
      </c>
      <c r="K7" s="185"/>
      <c r="L7" s="186"/>
      <c r="M7" s="32"/>
      <c r="N7" s="32"/>
      <c r="O7" s="187"/>
      <c r="P7" s="188" t="str">
        <f t="shared" si="1"/>
        <v/>
      </c>
    </row>
    <row r="8" spans="1:30" x14ac:dyDescent="0.25">
      <c r="A8" s="56" t="s">
        <v>100</v>
      </c>
      <c r="B8" s="57" t="str">
        <f>IF(B5="", "",
   IF($A$2="mm", B5/304.8,
   IF($A$2="cm", B5/30.48,
   IF($A$2="m",  B5*3.28084,
   IF($A$2="in", B5/12,
   IF($A$2="ft", B5,
   "Invalid Unit"))))))</f>
        <v/>
      </c>
      <c r="C8" s="1"/>
      <c r="D8" t="str" cm="1">
        <f t="array" ref="D8">IFERROR(INDEX(CalcEngine!R:R,SMALL(CalcEngine!P:P,ROW()-3)),"")</f>
        <v>Angle Bracket</v>
      </c>
      <c r="E8" s="25"/>
      <c r="F8" s="52" cm="1">
        <f t="array" ref="F8">IF(D8="","",MAX(0,IFERROR(INDEX(CalcEngine!V:V,SMALL(CalcEngine!P:P,ROW()-3)),0)+N(E8)))</f>
        <v>60</v>
      </c>
      <c r="G8" s="2" t="str" cm="1">
        <f t="array" ref="G8">IFERROR(INDEX(CalcEngine!U:U,SMALL(CalcEngine!P:P,ROW()-3)),"")</f>
        <v>Pcs</v>
      </c>
      <c r="H8" s="5" cm="1">
        <f t="array" ref="H8">IFERROR(INDEX(CalcEngine!W:W,SMALL(CalcEngine!P:P,ROW()-3)),"")</f>
        <v>0.13</v>
      </c>
      <c r="I8" s="5">
        <f t="shared" si="0"/>
        <v>7.8000000000000007</v>
      </c>
      <c r="K8" s="185"/>
      <c r="L8" s="186"/>
      <c r="M8" s="32"/>
      <c r="N8" s="32"/>
      <c r="O8" s="187"/>
      <c r="P8" s="188" t="str">
        <f t="shared" si="1"/>
        <v/>
      </c>
    </row>
    <row r="9" spans="1:30" x14ac:dyDescent="0.25">
      <c r="A9" s="56" t="s">
        <v>4</v>
      </c>
      <c r="B9" s="58">
        <f>IF(OR(B6="",B7=""),"",
  B6 * B7
)</f>
        <v>260</v>
      </c>
      <c r="C9" s="1"/>
      <c r="D9" t="str" cm="1">
        <f t="array" ref="D9">IFERROR(INDEX(CalcEngine!R:R,SMALL(CalcEngine!P:P,ROW()-3)),"")</f>
        <v>2.5" x 2 Black Tape</v>
      </c>
      <c r="E9" s="25"/>
      <c r="F9" s="52" cm="1">
        <f t="array" ref="F9">IF(D9="","",MAX(0,IFERROR(INDEX(CalcEngine!V:V,SMALL(CalcEngine!P:P,ROW()-3)),0)+N(E9)))</f>
        <v>328</v>
      </c>
      <c r="G9" s="2" t="str" cm="1">
        <f t="array" ref="G9">IFERROR(INDEX(CalcEngine!U:U,SMALL(CalcEngine!P:P,ROW()-3)),"")</f>
        <v>Ft</v>
      </c>
      <c r="H9" s="5" cm="1">
        <f t="array" ref="H9">IFERROR(INDEX(CalcEngine!W:W,SMALL(CalcEngine!P:P,ROW()-3)),"")</f>
        <v>0.2</v>
      </c>
      <c r="I9" s="5">
        <f t="shared" si="0"/>
        <v>65.600000000000009</v>
      </c>
      <c r="K9" s="185"/>
      <c r="L9" s="186"/>
      <c r="M9" s="32"/>
      <c r="N9" s="32"/>
      <c r="O9" s="187"/>
      <c r="P9" s="188" t="str">
        <f t="shared" si="1"/>
        <v/>
      </c>
    </row>
    <row r="10" spans="1:30" x14ac:dyDescent="0.25">
      <c r="A10" s="59" t="s">
        <v>101</v>
      </c>
      <c r="B10" s="60" t="str">
        <f>IF(OR(B6="",B7="",B8=""),"",
   B6*B7 + 2*B6*B8 + 2*B7*B8)</f>
        <v/>
      </c>
      <c r="C10" s="1"/>
      <c r="D10" t="str" cm="1">
        <f t="array" ref="D10">IFERROR(INDEX(CalcEngine!R:R,SMALL(CalcEngine!P:P,ROW()-3)),"")</f>
        <v>Sealant</v>
      </c>
      <c r="E10" s="25"/>
      <c r="F10" s="52" cm="1">
        <f t="array" ref="F10">IF(D10="","",MAX(0,IFERROR(INDEX(CalcEngine!V:V,SMALL(CalcEngine!P:P,ROW()-3)),0)+N(E10)))</f>
        <v>3219</v>
      </c>
      <c r="G10" s="2" t="str" cm="1">
        <f t="array" ref="G10">IFERROR(INDEX(CalcEngine!U:U,SMALL(CalcEngine!P:P,ROW()-3)),"")</f>
        <v>ML</v>
      </c>
      <c r="H10" s="5" cm="1">
        <f t="array" ref="H10">IFERROR(INDEX(CalcEngine!W:W,SMALL(CalcEngine!P:P,ROW()-3)),"")</f>
        <v>0.1</v>
      </c>
      <c r="I10" s="5">
        <f t="shared" si="0"/>
        <v>321.90000000000003</v>
      </c>
      <c r="K10" s="185"/>
      <c r="L10" s="186"/>
      <c r="M10" s="32"/>
      <c r="N10" s="32"/>
      <c r="O10" s="187"/>
      <c r="P10" s="188" t="str">
        <f t="shared" si="1"/>
        <v/>
      </c>
    </row>
    <row r="11" spans="1:30" x14ac:dyDescent="0.25">
      <c r="A11" s="199" t="str">
        <f>IF(LEN(TRIM(B12))&gt;0,"Set","Tonne")</f>
        <v>Set</v>
      </c>
      <c r="B11" s="198">
        <f>IF(LEN(TRIM(B12))&gt;0,B12,F4)</f>
        <v>1</v>
      </c>
      <c r="C11" s="1"/>
      <c r="D11" t="str" cm="1">
        <f t="array" ref="D11">IFERROR(INDEX(CalcEngine!R:R,SMALL(CalcEngine!P:P,ROW()-3)),"")</f>
        <v>6154 Gasket</v>
      </c>
      <c r="E11" s="25"/>
      <c r="F11" s="52" cm="1">
        <f t="array" ref="F11">IF(D11="","",MAX(0,IFERROR(INDEX(CalcEngine!V:V,SMALL(CalcEngine!P:P,ROW()-3)),0)+N(E11)))</f>
        <v>164</v>
      </c>
      <c r="G11" s="2" t="str" cm="1">
        <f t="array" ref="G11">IFERROR(INDEX(CalcEngine!U:U,SMALL(CalcEngine!P:P,ROW()-3)),"")</f>
        <v>Ft</v>
      </c>
      <c r="H11" s="5" cm="1">
        <f t="array" ref="H11">IFERROR(INDEX(CalcEngine!W:W,SMALL(CalcEngine!P:P,ROW()-3)),"")</f>
        <v>0.30000000000000004</v>
      </c>
      <c r="I11" s="5">
        <f t="shared" si="0"/>
        <v>49.20000000000001</v>
      </c>
      <c r="K11" s="185"/>
      <c r="L11" s="186"/>
      <c r="M11" s="32"/>
      <c r="N11" s="32"/>
      <c r="O11" s="187"/>
      <c r="P11" s="188" t="str">
        <f t="shared" si="1"/>
        <v/>
      </c>
    </row>
    <row r="12" spans="1:30" x14ac:dyDescent="0.25">
      <c r="A12" s="62" t="s">
        <v>820</v>
      </c>
      <c r="B12" s="30">
        <v>1</v>
      </c>
      <c r="C12" s="1"/>
      <c r="D12" t="str" cm="1">
        <f t="array" ref="D12">IFERROR(INDEX(CalcEngine!R:R,SMALL(CalcEngine!P:P,ROW()-3)),"")</f>
        <v/>
      </c>
      <c r="E12" s="25"/>
      <c r="F12" s="52" t="str" cm="1">
        <f t="array" ref="F12">IF(D12="","",MAX(0,IFERROR(INDEX(CalcEngine!V:V,SMALL(CalcEngine!P:P,ROW()-3)),0)+N(E12)))</f>
        <v/>
      </c>
      <c r="G12" s="2" t="str" cm="1">
        <f t="array" ref="G12">IFERROR(INDEX(CalcEngine!U:U,SMALL(CalcEngine!P:P,ROW()-3)),"")</f>
        <v/>
      </c>
      <c r="H12" s="5" t="str" cm="1">
        <f t="array" ref="H12">IFERROR(INDEX(CalcEngine!W:W,SMALL(CalcEngine!P:P,ROW()-3)),"")</f>
        <v/>
      </c>
      <c r="I12" s="5" t="str">
        <f t="shared" si="0"/>
        <v/>
      </c>
      <c r="K12" s="185"/>
      <c r="L12" s="186"/>
      <c r="M12" s="32"/>
      <c r="N12" s="32"/>
      <c r="O12" s="187"/>
      <c r="P12" s="188" t="str">
        <f t="shared" si="1"/>
        <v/>
      </c>
    </row>
    <row r="13" spans="1:30" x14ac:dyDescent="0.25">
      <c r="A13" s="61" t="s">
        <v>5</v>
      </c>
      <c r="B13" s="63">
        <f>IF(B14&lt;&gt;"", B14, IFERROR(ROUNDUP(B6*304.8/B15,0),""))</f>
        <v>7</v>
      </c>
      <c r="C13" s="1"/>
      <c r="D13" t="str" cm="1">
        <f t="array" ref="D13">IFERROR(INDEX(CalcEngine!R:R,SMALL(CalcEngine!P:P,ROW()-3)),"")</f>
        <v/>
      </c>
      <c r="E13" s="25"/>
      <c r="F13" s="52" t="str" cm="1">
        <f t="array" ref="F13">IF(D13="","",MAX(0,IFERROR(INDEX(CalcEngine!V:V,SMALL(CalcEngine!P:P,ROW()-3)),0)+N(E13)))</f>
        <v/>
      </c>
      <c r="G13" s="2" t="str" cm="1">
        <f t="array" ref="G13">IFERROR(INDEX(CalcEngine!U:U,SMALL(CalcEngine!P:P,ROW()-3)),"")</f>
        <v/>
      </c>
      <c r="H13" s="5" t="str" cm="1">
        <f t="array" ref="H13">IFERROR(INDEX(CalcEngine!W:W,SMALL(CalcEngine!P:P,ROW()-3)),"")</f>
        <v/>
      </c>
      <c r="I13" s="5" t="str">
        <f t="shared" si="0"/>
        <v/>
      </c>
      <c r="K13" s="185"/>
      <c r="L13" s="186"/>
      <c r="M13" s="32"/>
      <c r="N13" s="32"/>
      <c r="O13" s="187"/>
      <c r="P13" s="188" t="str">
        <f t="shared" si="1"/>
        <v/>
      </c>
    </row>
    <row r="14" spans="1:30" x14ac:dyDescent="0.25">
      <c r="A14" s="64" t="s">
        <v>963</v>
      </c>
      <c r="B14" s="29"/>
      <c r="C14" s="1"/>
      <c r="D14" t="str" cm="1">
        <f t="array" ref="D14">IFERROR(INDEX(CalcEngine!R:R,SMALL(CalcEngine!P:P,ROW()-3)),"")</f>
        <v/>
      </c>
      <c r="E14" s="25"/>
      <c r="F14" s="52" t="str" cm="1">
        <f t="array" ref="F14">IF(D14="","",MAX(0,IFERROR(INDEX(CalcEngine!V:V,SMALL(CalcEngine!P:P,ROW()-3)),0)+N(E14)))</f>
        <v/>
      </c>
      <c r="G14" s="2" t="str" cm="1">
        <f t="array" ref="G14">IFERROR(INDEX(CalcEngine!U:U,SMALL(CalcEngine!P:P,ROW()-3)),"")</f>
        <v/>
      </c>
      <c r="H14" s="5" t="str" cm="1">
        <f t="array" ref="H14">IFERROR(INDEX(CalcEngine!W:W,SMALL(CalcEngine!P:P,ROW()-3)),"")</f>
        <v/>
      </c>
      <c r="I14" s="5" t="str">
        <f t="shared" si="0"/>
        <v/>
      </c>
      <c r="J14" s="1" t="str">
        <f>CalcEngine!V2</f>
        <v/>
      </c>
      <c r="K14" s="185"/>
      <c r="L14" s="186"/>
      <c r="M14" s="32"/>
      <c r="N14" s="32"/>
      <c r="O14" s="187"/>
      <c r="P14" s="188" t="str">
        <f t="shared" si="1"/>
        <v/>
      </c>
    </row>
    <row r="15" spans="1:30" x14ac:dyDescent="0.25">
      <c r="A15" s="65" t="s">
        <v>1397</v>
      </c>
      <c r="B15" s="66" cm="1">
        <f t="array" ref="B15">IF(B16&lt;&gt;"",B16,
IF(Enginuity!$A$17="","",
_xlfn.LET(
_xlpm.r,ROW(CalcEngine!$A$2:$A$5000),
_xlpm.grp,UPPER(TRIM(Enginuity!$A$1)),
_xlpm.svc,UPPER(TRIM(Enginuity!$A$17)),
_xlpm.prd,UPPER(TRIM(Enginuity!$A$18)),
_xlpm.varSel,UPPER(TRIM(Enginuity!$A$21)),
_xlpm.srcA,UPPER(TRIM(CalcEngine!$A$2:$A$5000)),
_xlpm.srcB,UPPER(TRIM(CalcEngine!$B$2:$B$5000)),
_xlpm.srcC,UPPER(TRIM(CalcEngine!$C$2:$C$5000)),
_xlpm.srcD,UPPER(TRIM(CalcEngine!$D$2:$D$5000)),
_xlpm.srcF,UPPER(TRIM(CalcEngine!$F$2:$F$5000)),
_xlpm.srcN,CalcEngine!$N$2:$N$5000,
_xlpm.srcO,UPPER(TRIM(CalcEngine!$O$2:$O$5000)),
_xlpm.top,IFERROR(_xlfn.XLOOKUP(1,(_xlpm.srcA=_xlpm.grp)*(_xlpm.srcC=_xlpm.prd)*(_xlpm.srcB="INSTALL ONLY")*(_xlpm.srcD="N/A"),_xlpm.r,""),""),
_xlpm.blkF,IF(_xlpm.top="","",UPPER(TRIM(INDEX(CalcEngine!$F:$F,_xlfn.SEQUENCE(30,,_xlpm.top))))),
_xlpm.blkN,IF(_xlpm.top="","",INDEX(CalcEngine!$N:$N,_xlfn.SEQUENCE(30,,_xlpm.top))),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_xlpm.rOld,IFERROR(_xlfn.XLOOKUP(1,(_xlpm.srcA=_xlpm.grp)*(_xlpm.srcB=_xlpm.svc)*(_xlpm.srcN&lt;&gt;""),_xlpm.srcN,""),""),
IF(_xlpm.pickPos&lt;&gt;"",INDEX(_xlpm.blkN,_xlpm.pickPos),
IF(_xlpm.defPos&lt;&gt;"",INDEX(_xlpm.blkN,_xlpm.defPos),
_xlpm.rOld))
)))</f>
        <v>914.4</v>
      </c>
      <c r="C15" s="1"/>
      <c r="D15" t="str" cm="1">
        <f t="array" ref="D15">IFERROR(INDEX(CalcEngine!R:R,SMALL(CalcEngine!P:P,ROW()-3)),"")</f>
        <v/>
      </c>
      <c r="E15" s="25"/>
      <c r="F15" s="52" t="str" cm="1">
        <f t="array" ref="F15">IF(D15="","",MAX(0,IFERROR(INDEX(CalcEngine!V:V,SMALL(CalcEngine!P:P,ROW()-3)),0)+N(E15)))</f>
        <v/>
      </c>
      <c r="G15" s="2" t="str" cm="1">
        <f t="array" ref="G15">IFERROR(INDEX(CalcEngine!U:U,SMALL(CalcEngine!P:P,ROW()-3)),"")</f>
        <v/>
      </c>
      <c r="H15" s="5" t="str" cm="1">
        <f t="array" ref="H15">IFERROR(INDEX(CalcEngine!W:W,SMALL(CalcEngine!P:P,ROW()-3)),"")</f>
        <v/>
      </c>
      <c r="I15" s="5" t="str">
        <f t="shared" si="0"/>
        <v/>
      </c>
      <c r="K15" s="185"/>
      <c r="L15" s="189"/>
      <c r="M15" s="32"/>
      <c r="N15" s="32"/>
      <c r="O15" s="187"/>
      <c r="P15" s="188" t="str">
        <f t="shared" si="1"/>
        <v/>
      </c>
    </row>
    <row r="16" spans="1:30" x14ac:dyDescent="0.25">
      <c r="A16" s="53" t="s">
        <v>83</v>
      </c>
      <c r="B16" s="31"/>
      <c r="C16" s="1"/>
      <c r="D16" t="str" cm="1">
        <f t="array" ref="D16">IFERROR(INDEX(CalcEngine!R:R,SMALL(CalcEngine!P:P,ROW()-3)),"")</f>
        <v/>
      </c>
      <c r="E16" s="25"/>
      <c r="F16" s="52" t="str" cm="1">
        <f t="array" ref="F16">IF(D16="","",MAX(0,IFERROR(INDEX(CalcEngine!V:V,SMALL(CalcEngine!P:P,ROW()-3)),0)+N(E16)))</f>
        <v/>
      </c>
      <c r="G16" s="2" t="str" cm="1">
        <f t="array" ref="G16">IFERROR(INDEX(CalcEngine!U:U,SMALL(CalcEngine!P:P,ROW()-3)),"")</f>
        <v/>
      </c>
      <c r="H16" s="5" t="str" cm="1">
        <f t="array" ref="H16">IFERROR(INDEX(CalcEngine!W:W,SMALL(CalcEngine!P:P,ROW()-3)),"")</f>
        <v/>
      </c>
      <c r="I16" s="5" t="str">
        <f t="shared" si="0"/>
        <v/>
      </c>
      <c r="K16" s="185"/>
      <c r="L16" s="189"/>
      <c r="M16" s="32"/>
      <c r="N16" s="32"/>
      <c r="O16" s="187"/>
      <c r="P16" s="188" t="str">
        <f t="shared" si="1"/>
        <v/>
      </c>
    </row>
    <row r="17" spans="1:17" x14ac:dyDescent="0.25">
      <c r="A17" s="67" t="s">
        <v>1848</v>
      </c>
      <c r="B17" s="81"/>
      <c r="C17" s="1"/>
      <c r="D17" t="str" cm="1">
        <f t="array" ref="D17">IFERROR(INDEX(CalcEngine!R:R,SMALL(CalcEngine!P:P,ROW()-3)),"")</f>
        <v/>
      </c>
      <c r="E17" s="25"/>
      <c r="F17" s="52" t="str" cm="1">
        <f t="array" ref="F17">IF(D17="","",MAX(0,IFERROR(INDEX(CalcEngine!V:V,SMALL(CalcEngine!P:P,ROW()-3)),0)+N(E17)))</f>
        <v/>
      </c>
      <c r="G17" s="2" t="str" cm="1">
        <f t="array" ref="G17">IFERROR(INDEX(CalcEngine!U:U,SMALL(CalcEngine!P:P,ROW()-3)),"")</f>
        <v/>
      </c>
      <c r="H17" s="5" t="str" cm="1">
        <f t="array" ref="H17">IFERROR(INDEX(CalcEngine!W:W,SMALL(CalcEngine!P:P,ROW()-3)),"")</f>
        <v/>
      </c>
      <c r="I17" s="5" t="str">
        <f t="shared" si="0"/>
        <v/>
      </c>
      <c r="K17" s="185"/>
      <c r="L17" s="186"/>
      <c r="M17" s="32"/>
      <c r="N17" s="32"/>
      <c r="O17" s="187"/>
      <c r="P17" s="188" t="str">
        <f t="shared" si="1"/>
        <v/>
      </c>
    </row>
    <row r="18" spans="1:17" x14ac:dyDescent="0.25">
      <c r="A18" s="68" t="s">
        <v>1992</v>
      </c>
      <c r="B18" s="404"/>
      <c r="C18" s="1"/>
      <c r="D18" t="str" cm="1">
        <f t="array" ref="D18">IFERROR(INDEX(CalcEngine!R:R,SMALL(CalcEngine!P:P,ROW()-3)),"")</f>
        <v/>
      </c>
      <c r="E18" s="25"/>
      <c r="F18" s="52" t="str" cm="1">
        <f t="array" ref="F18">IF(D18="","",MAX(0,IFERROR(INDEX(CalcEngine!V:V,SMALL(CalcEngine!P:P,ROW()-3)),0)+N(E18)))</f>
        <v/>
      </c>
      <c r="G18" s="2" t="str" cm="1">
        <f t="array" ref="G18">IFERROR(INDEX(CalcEngine!U:U,SMALL(CalcEngine!P:P,ROW()-3)),"")</f>
        <v/>
      </c>
      <c r="H18" s="5" t="str" cm="1">
        <f t="array" ref="H18">IFERROR(INDEX(CalcEngine!W:W,SMALL(CalcEngine!P:P,ROW()-3)),"")</f>
        <v/>
      </c>
      <c r="I18" s="5" t="str">
        <f t="shared" si="0"/>
        <v/>
      </c>
      <c r="K18" s="185"/>
      <c r="L18" s="186"/>
      <c r="M18" s="32"/>
      <c r="N18" s="32"/>
      <c r="O18" s="187"/>
      <c r="P18" s="188" t="str">
        <f t="shared" si="1"/>
        <v/>
      </c>
    </row>
    <row r="19" spans="1:17" x14ac:dyDescent="0.25">
      <c r="A19" s="68" t="s">
        <v>1815</v>
      </c>
      <c r="B19" s="220" t="s">
        <v>976</v>
      </c>
      <c r="C19" s="1"/>
      <c r="D19" t="str" cm="1">
        <f t="array" ref="D19">IFERROR(INDEX(CalcEngine!R:R,SMALL(CalcEngine!P:P,ROW()-3)),"")</f>
        <v/>
      </c>
      <c r="E19" s="25"/>
      <c r="F19" s="52" t="str" cm="1">
        <f t="array" ref="F19">IF(D19="","",MAX(0,IFERROR(INDEX(CalcEngine!V:V,SMALL(CalcEngine!P:P,ROW()-3)),0)+N(E19)))</f>
        <v/>
      </c>
      <c r="G19" s="2" t="str" cm="1">
        <f t="array" ref="G19">IFERROR(INDEX(CalcEngine!U:U,SMALL(CalcEngine!P:P,ROW()-3)),"")</f>
        <v/>
      </c>
      <c r="H19" s="5" t="str" cm="1">
        <f t="array" ref="H19">IFERROR(INDEX(CalcEngine!W:W,SMALL(CalcEngine!P:P,ROW()-3)),"")</f>
        <v/>
      </c>
      <c r="I19" s="5" t="str">
        <f t="shared" si="0"/>
        <v/>
      </c>
      <c r="K19" s="185"/>
      <c r="L19" s="186"/>
      <c r="M19" s="32"/>
      <c r="N19" s="32"/>
      <c r="O19" s="187"/>
      <c r="P19" s="188" t="str">
        <f t="shared" si="1"/>
        <v/>
      </c>
    </row>
    <row r="20" spans="1:17" x14ac:dyDescent="0.25">
      <c r="A20" s="68" t="s">
        <v>1973</v>
      </c>
      <c r="B20" s="222" t="s">
        <v>2002</v>
      </c>
      <c r="C20" s="1"/>
      <c r="D20" t="str" cm="1">
        <f t="array" ref="D20">IFERROR(INDEX(CalcEngine!R:R,SMALL(CalcEngine!P:P,ROW()-3)),"")</f>
        <v/>
      </c>
      <c r="E20" s="25"/>
      <c r="F20" s="52" t="str" cm="1">
        <f t="array" ref="F20">IF(D20="","",MAX(0,IFERROR(INDEX(CalcEngine!V:V,SMALL(CalcEngine!P:P,ROW()-3)),0)+N(E20)))</f>
        <v/>
      </c>
      <c r="G20" s="2" t="str" cm="1">
        <f t="array" ref="G20">IFERROR(INDEX(CalcEngine!U:U,SMALL(CalcEngine!P:P,ROW()-3)),"")</f>
        <v/>
      </c>
      <c r="H20" s="5" t="str" cm="1">
        <f t="array" ref="H20">IFERROR(INDEX(CalcEngine!W:W,SMALL(CalcEngine!P:P,ROW()-3)),"")</f>
        <v/>
      </c>
      <c r="I20" s="5" t="str">
        <f t="shared" si="0"/>
        <v/>
      </c>
      <c r="K20" s="185"/>
      <c r="L20" s="186"/>
      <c r="M20" s="32"/>
      <c r="N20" s="32"/>
      <c r="O20" s="187"/>
      <c r="P20" s="188" t="str">
        <f t="shared" si="1"/>
        <v/>
      </c>
    </row>
    <row r="21" spans="1:17" x14ac:dyDescent="0.25">
      <c r="A21" s="68" t="s">
        <v>1964</v>
      </c>
      <c r="B21" s="212"/>
      <c r="C21" s="1"/>
      <c r="D21" t="str" cm="1">
        <f t="array" ref="D21">IFERROR(INDEX(CalcEngine!R:R,SMALL(CalcEngine!P:P,ROW()-3)),"")</f>
        <v/>
      </c>
      <c r="E21" s="25"/>
      <c r="F21" s="52" t="str" cm="1">
        <f t="array" ref="F21">IF(D21="","",MAX(0,IFERROR(INDEX(CalcEngine!V:V,SMALL(CalcEngine!P:P,ROW()-3)),0)+N(E21)))</f>
        <v/>
      </c>
      <c r="G21" s="2" t="str" cm="1">
        <f t="array" ref="G21">IFERROR(INDEX(CalcEngine!U:U,SMALL(CalcEngine!P:P,ROW()-3)),"")</f>
        <v/>
      </c>
      <c r="H21" s="5" t="str" cm="1">
        <f t="array" ref="H21">IFERROR(INDEX(CalcEngine!W:W,SMALL(CalcEngine!P:P,ROW()-3)),"")</f>
        <v/>
      </c>
      <c r="I21" s="5" t="str">
        <f t="shared" si="0"/>
        <v/>
      </c>
      <c r="K21" s="185"/>
      <c r="L21" s="186"/>
      <c r="M21" s="32"/>
      <c r="N21" s="32"/>
      <c r="O21" s="187"/>
      <c r="P21" s="188" t="str">
        <f t="shared" si="1"/>
        <v/>
      </c>
    </row>
    <row r="22" spans="1:17" x14ac:dyDescent="0.25">
      <c r="A22" s="68" t="s">
        <v>1969</v>
      </c>
      <c r="B22" s="211"/>
      <c r="C22" s="1"/>
      <c r="D22" t="str" cm="1">
        <f t="array" ref="D22">IFERROR(INDEX(CalcEngine!R:R,SMALL(CalcEngine!P:P,ROW()-3)),"")</f>
        <v/>
      </c>
      <c r="E22" s="25"/>
      <c r="F22" s="52" t="str" cm="1">
        <f t="array" ref="F22">IF(D22="","",MAX(0,IFERROR(INDEX(CalcEngine!V:V,SMALL(CalcEngine!P:P,ROW()-3)),0)+N(E22)))</f>
        <v/>
      </c>
      <c r="G22" s="2" t="str" cm="1">
        <f t="array" ref="G22">IFERROR(INDEX(CalcEngine!U:U,SMALL(CalcEngine!P:P,ROW()-3)),"")</f>
        <v/>
      </c>
      <c r="H22" s="5" t="str" cm="1">
        <f t="array" ref="H22">IFERROR(INDEX(CalcEngine!W:W,SMALL(CalcEngine!P:P,ROW()-3)),"")</f>
        <v/>
      </c>
      <c r="I22" s="5" t="str">
        <f t="shared" si="0"/>
        <v/>
      </c>
      <c r="K22" s="185"/>
      <c r="L22" s="186"/>
      <c r="M22" s="32"/>
      <c r="N22" s="32"/>
      <c r="O22" s="187"/>
      <c r="P22" s="188" t="str">
        <f t="shared" si="1"/>
        <v/>
      </c>
    </row>
    <row r="23" spans="1:17" x14ac:dyDescent="0.25">
      <c r="A23" s="422">
        <v>0</v>
      </c>
      <c r="B23" s="404"/>
      <c r="C23" s="1"/>
      <c r="D23" t="str" cm="1">
        <f t="array" ref="D23">IFERROR(INDEX(CalcEngine!R:R,SMALL(CalcEngine!P:P,ROW()-3)),"")</f>
        <v/>
      </c>
      <c r="E23" s="25"/>
      <c r="F23" s="52" t="str" cm="1">
        <f t="array" ref="F23">IF(D23="","",MAX(0,IFERROR(INDEX(CalcEngine!V:V,SMALL(CalcEngine!P:P,ROW()-3)),0)+N(E23)))</f>
        <v/>
      </c>
      <c r="G23" s="2" t="str" cm="1">
        <f t="array" ref="G23">IFERROR(INDEX(CalcEngine!U:U,SMALL(CalcEngine!P:P,ROW()-3)),"")</f>
        <v/>
      </c>
      <c r="H23" s="5" t="str" cm="1">
        <f t="array" ref="H23">IFERROR(INDEX(CalcEngine!W:W,SMALL(CalcEngine!P:P,ROW()-3)),"")</f>
        <v/>
      </c>
      <c r="I23" s="5" t="str">
        <f t="shared" si="0"/>
        <v/>
      </c>
      <c r="K23" s="185"/>
      <c r="L23" s="186"/>
      <c r="M23" s="32"/>
      <c r="N23" s="32"/>
      <c r="O23" s="187"/>
      <c r="P23" s="188" t="str">
        <f t="shared" si="1"/>
        <v/>
      </c>
    </row>
    <row r="24" spans="1:17" x14ac:dyDescent="0.25">
      <c r="A24" s="68">
        <v>0</v>
      </c>
      <c r="B24" s="405"/>
      <c r="C24" s="1"/>
      <c r="D24" t="str" cm="1">
        <f t="array" ref="D24">IFERROR(INDEX(CalcEngine!R:R,SMALL(CalcEngine!P:P,ROW()-3)),"")</f>
        <v/>
      </c>
      <c r="E24" s="25"/>
      <c r="F24" s="52" t="str" cm="1">
        <f t="array" ref="F24">IF(D24="","",MAX(0,IFERROR(INDEX(CalcEngine!V:V,SMALL(CalcEngine!P:P,ROW()-3)),0)+N(E24)))</f>
        <v/>
      </c>
      <c r="G24" s="2" t="str" cm="1">
        <f t="array" ref="G24">IFERROR(INDEX(CalcEngine!U:U,SMALL(CalcEngine!P:P,ROW()-3)),"")</f>
        <v/>
      </c>
      <c r="H24" s="5" t="str" cm="1">
        <f t="array" ref="H24">IFERROR(INDEX(CalcEngine!W:W,SMALL(CalcEngine!P:P,ROW()-3)),"")</f>
        <v/>
      </c>
      <c r="I24" s="5" t="str">
        <f t="shared" si="0"/>
        <v/>
      </c>
      <c r="K24" s="185"/>
      <c r="L24" s="186"/>
      <c r="M24" s="32"/>
      <c r="N24" s="32"/>
      <c r="O24" s="187"/>
      <c r="P24" s="188" t="str">
        <f t="shared" si="1"/>
        <v/>
      </c>
    </row>
    <row r="25" spans="1:17" x14ac:dyDescent="0.25">
      <c r="A25" s="423"/>
      <c r="B25" s="404"/>
      <c r="C25" s="1"/>
      <c r="D25" t="str" cm="1">
        <f t="array" ref="D25">IFERROR(INDEX(CalcEngine!R:R,SMALL(CalcEngine!P:P,ROW()-3)),"")</f>
        <v/>
      </c>
      <c r="E25" s="25"/>
      <c r="F25" s="52" t="str" cm="1">
        <f t="array" ref="F25">IF(D25="","",MAX(0,IFERROR(INDEX(CalcEngine!V:V,SMALL(CalcEngine!P:P,ROW()-3)),0)+N(E25)))</f>
        <v/>
      </c>
      <c r="G25" s="2" t="str" cm="1">
        <f t="array" ref="G25">IFERROR(INDEX(CalcEngine!U:U,SMALL(CalcEngine!P:P,ROW()-3)),"")</f>
        <v/>
      </c>
      <c r="H25" s="5" t="str" cm="1">
        <f t="array" ref="H25">IFERROR(INDEX(CalcEngine!W:W,SMALL(CalcEngine!P:P,ROW()-3)),"")</f>
        <v/>
      </c>
      <c r="I25" s="5" t="str">
        <f t="shared" si="0"/>
        <v/>
      </c>
      <c r="K25" s="190"/>
      <c r="L25" s="191"/>
      <c r="M25" s="192"/>
      <c r="N25" s="192">
        <f>IF(N2="","",N2)</f>
        <v>1</v>
      </c>
      <c r="O25" s="192">
        <f>IF(B33="","",B33)</f>
        <v>11052.18</v>
      </c>
      <c r="P25" s="193"/>
    </row>
    <row r="26" spans="1:17" x14ac:dyDescent="0.25">
      <c r="A26" s="423"/>
      <c r="B26" s="405"/>
      <c r="C26" s="1"/>
      <c r="D26" t="str" cm="1">
        <f t="array" ref="D26">IFERROR(INDEX(CalcEngine!R:R,SMALL(CalcEngine!P:P,ROW()-3)),"")</f>
        <v/>
      </c>
      <c r="E26" s="25"/>
      <c r="F26" s="52" t="str" cm="1">
        <f t="array" ref="F26">IF(D26="","",MAX(0,IFERROR(INDEX(CalcEngine!V:V,SMALL(CalcEngine!P:P,ROW()-3)),0)+N(E26)))</f>
        <v/>
      </c>
      <c r="G26" s="2" t="str" cm="1">
        <f t="array" ref="G26">IFERROR(INDEX(CalcEngine!U:U,SMALL(CalcEngine!P:P,ROW()-3)),"")</f>
        <v/>
      </c>
      <c r="H26" s="5" t="str" cm="1">
        <f t="array" ref="H26">IFERROR(INDEX(CalcEngine!W:W,SMALL(CalcEngine!P:P,ROW()-3)),"")</f>
        <v/>
      </c>
      <c r="I26" s="5" t="str">
        <f t="shared" si="0"/>
        <v/>
      </c>
      <c r="J26" s="122"/>
      <c r="K26" s="131" t="s">
        <v>175</v>
      </c>
      <c r="L26" s="131" t="s">
        <v>799</v>
      </c>
      <c r="M26" s="131" t="s">
        <v>102</v>
      </c>
      <c r="N26" s="131" t="s">
        <v>98</v>
      </c>
      <c r="O26" s="131" t="s">
        <v>430</v>
      </c>
      <c r="P26" s="131" t="s">
        <v>78</v>
      </c>
      <c r="Q26" s="34"/>
    </row>
    <row r="27" spans="1:17" x14ac:dyDescent="0.25">
      <c r="A27" s="406"/>
      <c r="B27" s="407"/>
      <c r="C27" s="1"/>
      <c r="D27" t="str" cm="1">
        <f t="array" ref="D27">IFERROR(INDEX(CalcEngine!R:R,SMALL(CalcEngine!P:P,ROW()-3)),"")</f>
        <v/>
      </c>
      <c r="E27" s="25"/>
      <c r="F27" s="52" t="str" cm="1">
        <f t="array" ref="F27">IF(D27="","",MAX(0,IFERROR(INDEX(CalcEngine!V:V,SMALL(CalcEngine!P:P,ROW()-3)),0)+N(E27)))</f>
        <v/>
      </c>
      <c r="G27" s="2" t="str" cm="1">
        <f t="array" ref="G27">IFERROR(INDEX(CalcEngine!U:U,SMALL(CalcEngine!P:P,ROW()-3)),"")</f>
        <v/>
      </c>
      <c r="H27" s="5" t="str" cm="1">
        <f t="array" ref="H27">IFERROR(INDEX(CalcEngine!W:W,SMALL(CalcEngine!P:P,ROW()-3)),"")</f>
        <v/>
      </c>
      <c r="I27" s="5" t="str">
        <f t="shared" si="0"/>
        <v/>
      </c>
      <c r="K27" s="132" t="str">
        <f>IF(K5="","",K5)</f>
        <v/>
      </c>
      <c r="L27" s="133" t="str">
        <f>IF(L5="","",L5)</f>
        <v/>
      </c>
      <c r="M27" s="132" t="str">
        <f>IF(M5="","",M5)</f>
        <v/>
      </c>
      <c r="N27" s="134"/>
      <c r="O27" s="135"/>
      <c r="P27" s="135" t="str">
        <f>IF(OR(NOT(ISNUMBER(N27)),NOT(ISNUMBER(O27))),"",N27*O27)</f>
        <v/>
      </c>
    </row>
    <row r="28" spans="1:17" x14ac:dyDescent="0.25">
      <c r="A28" s="215"/>
      <c r="B28" s="215"/>
      <c r="C28" s="1"/>
      <c r="D28" t="str" cm="1">
        <f t="array" ref="D28">IFERROR(INDEX(CalcEngine!R:R,SMALL(CalcEngine!P:P,ROW()-3)),"")</f>
        <v/>
      </c>
      <c r="E28" s="25"/>
      <c r="F28" s="52" t="str" cm="1">
        <f t="array" ref="F28">IF(D28="","",MAX(0,IFERROR(INDEX(CalcEngine!V:V,SMALL(CalcEngine!P:P,ROW()-3)),0)+N(E28)))</f>
        <v/>
      </c>
      <c r="G28" s="2" t="str" cm="1">
        <f t="array" ref="G28">IFERROR(INDEX(CalcEngine!U:U,SMALL(CalcEngine!P:P,ROW()-3)),"")</f>
        <v/>
      </c>
      <c r="H28" s="5" t="str" cm="1">
        <f t="array" ref="H28">IFERROR(INDEX(CalcEngine!W:W,SMALL(CalcEngine!P:P,ROW()-3)),"")</f>
        <v/>
      </c>
      <c r="I28" s="5" t="str">
        <f t="shared" si="0"/>
        <v/>
      </c>
      <c r="K28" s="132" t="str">
        <f t="shared" ref="K28:K46" si="2">IF(K6="","",K6)</f>
        <v/>
      </c>
      <c r="L28" s="133" t="str">
        <f t="shared" ref="L28:M46" si="3">IF(L6="","",L6)</f>
        <v/>
      </c>
      <c r="M28" s="132" t="str">
        <f t="shared" si="3"/>
        <v/>
      </c>
      <c r="N28" s="134"/>
      <c r="O28" s="136"/>
      <c r="P28" s="135" t="str">
        <f t="shared" ref="P28:P46" si="4">IF(OR(NOT(ISNUMBER(N28)),NOT(ISNUMBER(O28))),"",N28*O28)</f>
        <v/>
      </c>
    </row>
    <row r="29" spans="1:17" x14ac:dyDescent="0.25">
      <c r="A29" s="215"/>
      <c r="B29" s="215"/>
      <c r="C29" s="1"/>
      <c r="D29" s="213"/>
      <c r="E29" s="2"/>
      <c r="F29" s="90"/>
      <c r="H29" s="121"/>
      <c r="I29" s="5" t="str">
        <f t="shared" si="0"/>
        <v/>
      </c>
      <c r="K29" s="132" t="str">
        <f t="shared" si="2"/>
        <v/>
      </c>
      <c r="L29" s="133" t="str">
        <f t="shared" si="3"/>
        <v/>
      </c>
      <c r="M29" s="132" t="str">
        <f t="shared" si="3"/>
        <v/>
      </c>
      <c r="N29" s="134"/>
      <c r="O29" s="138"/>
      <c r="P29" s="135" t="str">
        <f t="shared" si="4"/>
        <v/>
      </c>
    </row>
    <row r="30" spans="1:17" x14ac:dyDescent="0.25">
      <c r="A30" s="215"/>
      <c r="B30" s="215"/>
      <c r="C30" s="1"/>
      <c r="D30" s="213"/>
      <c r="E30" s="2"/>
      <c r="F30" s="90"/>
      <c r="H30" s="121"/>
      <c r="I30" s="5" t="str">
        <f t="shared" si="0"/>
        <v/>
      </c>
      <c r="K30" s="132" t="str">
        <f t="shared" si="2"/>
        <v/>
      </c>
      <c r="L30" s="133" t="str">
        <f t="shared" si="3"/>
        <v/>
      </c>
      <c r="M30" s="132" t="str">
        <f t="shared" si="3"/>
        <v/>
      </c>
      <c r="N30" s="134"/>
      <c r="O30" s="138"/>
      <c r="P30" s="135" t="str">
        <f t="shared" si="4"/>
        <v/>
      </c>
    </row>
    <row r="31" spans="1:17" x14ac:dyDescent="0.25">
      <c r="A31" s="203"/>
      <c r="B31" s="214"/>
      <c r="C31" s="1"/>
      <c r="D31" s="181"/>
      <c r="E31" s="182"/>
      <c r="F31" s="183"/>
      <c r="G31" s="182"/>
      <c r="H31" s="184"/>
      <c r="I31" s="184"/>
      <c r="K31" s="132" t="str">
        <f t="shared" si="2"/>
        <v/>
      </c>
      <c r="L31" s="133" t="str">
        <f t="shared" si="3"/>
        <v/>
      </c>
      <c r="M31" s="132" t="str">
        <f t="shared" si="3"/>
        <v/>
      </c>
      <c r="N31" s="134"/>
      <c r="O31" s="138"/>
      <c r="P31" s="135" t="str">
        <f t="shared" si="4"/>
        <v/>
      </c>
    </row>
    <row r="32" spans="1:17" x14ac:dyDescent="0.25">
      <c r="A32" s="56" t="s">
        <v>6</v>
      </c>
      <c r="B32" s="408" cm="1">
        <f t="array" ref="B32">_xlfn.LET(
_xlpm.r,ROW(CalcEngine!$A$2:$A$5000),
_xlpm.grp,UPPER(TRIM(Enginuity!$A$1)),
_xlpm.svc,UPPER(TRIM(Enginuity!$A$17)),
_xlpm.prd,UPPER(TRIM(Enginuity!$A$18)),
_xlpm.varSel,UPPER(TRIM(Enginuity!$A$21)),
_xlpm.srcA,UPPER(TRIM(CalcEngine!$A$2:$A$5000)),
_xlpm.srcB,UPPER(TRIM(CalcEngine!$B$2:$B$5000)),
_xlpm.srcC,UPPER(TRIM(CalcEngine!$C$2:$C$5000)),
_xlpm.srcD,UPPER(TRIM(CalcEngine!$D$2:$D$5000)),
_xlpm.srcF,UPPER(TRIM(CalcEngine!$F$2:$F$5000)),
_xlpm.srcM,CalcEngine!$M$2:$M$5000,
_xlpm.srcO,UPPER(TRIM(CalcEngine!$O$2:$O$5000)),
_xlpm.top,IFERROR(_xlfn.XLOOKUP(1,(_xlpm.srcA=_xlpm.grp)*(_xlpm.srcC=_xlpm.prd)*(_xlpm.srcB="INSTALL ONLY")*(_xlpm.srcD="N/A"),_xlpm.r,""),""),
_xlpm.blkF,IF(_xlpm.top="","",UPPER(TRIM(INDEX(CalcEngine!$F:$F,_xlfn.SEQUENCE(30,,_xlpm.top))))),
_xlpm.blkM,IF(_xlpm.top="","",INDEX(CalcEngine!$M:$M,_xlfn.SEQUENCE(30,,_xlpm.top))),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_xlpm.rOld,IF(OR(_xlpm.grp="VITALLY",_xlpm.grp="METAL WORK"),
        IFERROR(_xlfn.XLOOKUP(1,(_xlpm.srcA=_xlpm.grp)*(_xlpm.srcC=_xlpm.prd)*(_xlpm.srcM&lt;&gt;""),_xlpm.srcM,0),0),
        IFERROR(_xlfn.XLOOKUP(1,(_xlpm.srcA=_xlpm.grp)*(_xlpm.srcB=_xlpm.svc)*(_xlpm.srcM&lt;&gt;""),_xlpm.srcM,0),0)),
IF(_xlpm.pickPos&lt;&gt;"",INDEX(_xlpm.blkM,_xlpm.pickPos),
IF(_xlpm.defPos&lt;&gt;"",INDEX(_xlpm.blkM,_xlpm.defPos),
_xlpm.rOld))-IFERROR(B34,0)
)</f>
        <v>0.54649999999999999</v>
      </c>
      <c r="C32" s="1"/>
      <c r="D32" s="181"/>
      <c r="E32" s="182"/>
      <c r="F32" s="183"/>
      <c r="G32" s="182"/>
      <c r="H32" s="184"/>
      <c r="I32" s="184"/>
      <c r="K32" s="132" t="str">
        <f t="shared" si="2"/>
        <v/>
      </c>
      <c r="L32" s="133" t="str">
        <f t="shared" si="3"/>
        <v/>
      </c>
      <c r="M32" s="132" t="str">
        <f t="shared" si="3"/>
        <v/>
      </c>
      <c r="N32" s="137"/>
      <c r="O32" s="138"/>
      <c r="P32" s="135" t="str">
        <f t="shared" si="4"/>
        <v/>
      </c>
    </row>
    <row r="33" spans="1:16" x14ac:dyDescent="0.25">
      <c r="A33" s="56" t="s">
        <v>8</v>
      </c>
      <c r="B33" s="170">
        <f>SUMIF(I4:I40, "&lt;&gt;0")</f>
        <v>11052.18</v>
      </c>
      <c r="C33" s="1"/>
      <c r="D33" s="181"/>
      <c r="E33" s="182"/>
      <c r="F33" s="183"/>
      <c r="G33" s="182"/>
      <c r="H33" s="184"/>
      <c r="I33" s="184"/>
      <c r="K33" s="132" t="str">
        <f t="shared" si="2"/>
        <v/>
      </c>
      <c r="L33" s="133" t="str">
        <f t="shared" si="3"/>
        <v/>
      </c>
      <c r="M33" s="132" t="str">
        <f t="shared" si="3"/>
        <v/>
      </c>
      <c r="N33" s="137"/>
      <c r="O33" s="138"/>
      <c r="P33" s="135" t="str">
        <f t="shared" si="4"/>
        <v/>
      </c>
    </row>
    <row r="34" spans="1:16" x14ac:dyDescent="0.25">
      <c r="A34" s="69" t="s">
        <v>10</v>
      </c>
      <c r="B34" s="33"/>
      <c r="C34" s="1"/>
      <c r="D34" s="181"/>
      <c r="E34" s="182"/>
      <c r="F34" s="183"/>
      <c r="G34" s="182"/>
      <c r="H34" s="184"/>
      <c r="I34" s="184"/>
      <c r="K34" s="132" t="str">
        <f t="shared" si="2"/>
        <v/>
      </c>
      <c r="L34" s="133" t="str">
        <f t="shared" si="3"/>
        <v/>
      </c>
      <c r="M34" s="132" t="str">
        <f t="shared" si="3"/>
        <v/>
      </c>
      <c r="N34" s="137"/>
      <c r="O34" s="138"/>
      <c r="P34" s="135" t="str">
        <f t="shared" si="4"/>
        <v/>
      </c>
    </row>
    <row r="35" spans="1:16" x14ac:dyDescent="0.25">
      <c r="A35" s="56" t="s">
        <v>119</v>
      </c>
      <c r="B35" s="170">
        <f>IF(AND(ISNUMBER(B33), ISNUMBER(B9), B9&lt;&gt;0), B33/B9, "")</f>
        <v>42.508384615384614</v>
      </c>
      <c r="C35" s="1"/>
      <c r="D35" s="181"/>
      <c r="E35" s="182"/>
      <c r="F35" s="183"/>
      <c r="G35" s="182"/>
      <c r="H35" s="184"/>
      <c r="I35" s="184"/>
      <c r="K35" s="132" t="str">
        <f t="shared" si="2"/>
        <v/>
      </c>
      <c r="L35" s="133" t="str">
        <f t="shared" si="3"/>
        <v/>
      </c>
      <c r="M35" s="132" t="str">
        <f t="shared" si="3"/>
        <v/>
      </c>
      <c r="N35" s="137"/>
      <c r="O35" s="138"/>
      <c r="P35" s="135" t="str">
        <f t="shared" si="4"/>
        <v/>
      </c>
    </row>
    <row r="36" spans="1:16" x14ac:dyDescent="0.25">
      <c r="A36" s="171" t="s">
        <v>120</v>
      </c>
      <c r="B36" s="172">
        <f>IF(AND(ISNUMBER(B37), ISNUMBER(B9), B9&lt;&gt;0), B37/B9, "")</f>
        <v>93.734034433042154</v>
      </c>
      <c r="C36" s="1"/>
      <c r="D36" s="181"/>
      <c r="E36" s="182"/>
      <c r="F36" s="183"/>
      <c r="G36" s="182"/>
      <c r="H36" s="184"/>
      <c r="I36" s="184"/>
      <c r="K36" s="132" t="str">
        <f t="shared" si="2"/>
        <v/>
      </c>
      <c r="L36" s="133" t="str">
        <f t="shared" si="3"/>
        <v/>
      </c>
      <c r="M36" s="132" t="str">
        <f t="shared" si="3"/>
        <v/>
      </c>
      <c r="N36" s="137"/>
      <c r="O36" s="138"/>
      <c r="P36" s="135" t="str">
        <f t="shared" si="4"/>
        <v/>
      </c>
    </row>
    <row r="37" spans="1:16" x14ac:dyDescent="0.25">
      <c r="A37" s="173" t="s">
        <v>7</v>
      </c>
      <c r="B37" s="174">
        <f>IF(AND(ISNUMBER(B33), ISNUMBER(B32), B33&lt;&gt;0, B32&lt;&gt;1), B33/(1-B32), "")</f>
        <v>24370.848952590961</v>
      </c>
      <c r="C37" s="1"/>
      <c r="D37" s="181"/>
      <c r="E37" s="182"/>
      <c r="F37" s="183"/>
      <c r="G37" s="182"/>
      <c r="H37" s="184"/>
      <c r="I37" s="184"/>
      <c r="K37" s="132" t="str">
        <f t="shared" si="2"/>
        <v/>
      </c>
      <c r="L37" s="133" t="str">
        <f t="shared" si="3"/>
        <v/>
      </c>
      <c r="M37" s="132" t="str">
        <f t="shared" si="3"/>
        <v/>
      </c>
      <c r="N37" s="137"/>
      <c r="O37" s="138"/>
      <c r="P37" s="135" t="str">
        <f t="shared" si="4"/>
        <v/>
      </c>
    </row>
    <row r="38" spans="1:16" x14ac:dyDescent="0.25">
      <c r="A38" s="175" t="s">
        <v>174</v>
      </c>
      <c r="B38" s="176">
        <f>IF(OR(B37="",B33=""),"",IFERROR(IF(B37-B33=0,"-",B37-B33),""))</f>
        <v>13318.668952590961</v>
      </c>
      <c r="C38" s="1"/>
      <c r="D38" s="181"/>
      <c r="E38" s="182"/>
      <c r="F38" s="183"/>
      <c r="G38" s="182"/>
      <c r="H38" s="184"/>
      <c r="I38" s="184"/>
      <c r="K38" s="132" t="str">
        <f t="shared" si="2"/>
        <v/>
      </c>
      <c r="L38" s="133" t="str">
        <f t="shared" si="3"/>
        <v/>
      </c>
      <c r="M38" s="132" t="str">
        <f t="shared" si="3"/>
        <v/>
      </c>
      <c r="N38" s="137"/>
      <c r="O38" s="138"/>
      <c r="P38" s="135" t="str">
        <f t="shared" si="4"/>
        <v/>
      </c>
    </row>
    <row r="39" spans="1:16" x14ac:dyDescent="0.25">
      <c r="A39" s="177"/>
      <c r="B39" s="178"/>
      <c r="C39" s="1"/>
      <c r="D39" s="181"/>
      <c r="E39" s="182"/>
      <c r="F39" s="183"/>
      <c r="G39" s="182"/>
      <c r="H39" s="184"/>
      <c r="I39" s="184"/>
      <c r="K39" s="132" t="str">
        <f t="shared" si="2"/>
        <v/>
      </c>
      <c r="L39" s="133" t="str">
        <f t="shared" si="3"/>
        <v/>
      </c>
      <c r="M39" s="132" t="str">
        <f t="shared" si="3"/>
        <v/>
      </c>
      <c r="N39" s="137"/>
      <c r="O39" s="138"/>
      <c r="P39" s="135" t="str">
        <f t="shared" si="4"/>
        <v/>
      </c>
    </row>
    <row r="40" spans="1:16" x14ac:dyDescent="0.25">
      <c r="A40" s="77" t="s">
        <v>1462</v>
      </c>
      <c r="B40" s="77">
        <f>IF(OR($B$33="",$B$6=""),"",IFERROR($B$33/$B$6,""))</f>
        <v>552.60900000000004</v>
      </c>
      <c r="C40" s="1"/>
      <c r="D40" s="181"/>
      <c r="E40" s="182"/>
      <c r="F40" s="183"/>
      <c r="G40" s="182"/>
      <c r="H40" s="184"/>
      <c r="I40" s="184"/>
      <c r="K40" s="132" t="str">
        <f t="shared" si="2"/>
        <v/>
      </c>
      <c r="L40" s="133" t="str">
        <f t="shared" si="3"/>
        <v/>
      </c>
      <c r="M40" s="132" t="str">
        <f t="shared" si="3"/>
        <v/>
      </c>
      <c r="N40" s="137"/>
      <c r="O40" s="138"/>
      <c r="P40" s="135" t="str">
        <f t="shared" si="4"/>
        <v/>
      </c>
    </row>
    <row r="41" spans="1:16" x14ac:dyDescent="0.25">
      <c r="A41" s="77" t="s">
        <v>1463</v>
      </c>
      <c r="B41" s="77">
        <f>IF(OR($B$37="",$B$6=""),"",IFERROR($B$37/$B$6,""))</f>
        <v>1218.542447629548</v>
      </c>
      <c r="C41" s="1"/>
      <c r="D41" s="181"/>
      <c r="E41" s="182"/>
      <c r="F41" s="183"/>
      <c r="G41" s="182"/>
      <c r="H41" s="184"/>
      <c r="I41" s="184"/>
      <c r="K41" s="132" t="str">
        <f t="shared" si="2"/>
        <v/>
      </c>
      <c r="L41" s="133" t="str">
        <f t="shared" si="3"/>
        <v/>
      </c>
      <c r="M41" s="132" t="str">
        <f t="shared" si="3"/>
        <v/>
      </c>
      <c r="N41" s="137"/>
      <c r="O41" s="138"/>
      <c r="P41" s="135" t="str">
        <f t="shared" si="4"/>
        <v/>
      </c>
    </row>
    <row r="42" spans="1:16" x14ac:dyDescent="0.25">
      <c r="A42" s="77"/>
      <c r="B42" s="77"/>
      <c r="C42" s="1"/>
      <c r="D42" s="181"/>
      <c r="E42" s="182"/>
      <c r="F42" s="183"/>
      <c r="G42" s="182"/>
      <c r="H42" s="184"/>
      <c r="I42" s="184"/>
      <c r="K42" s="132" t="str">
        <f t="shared" si="2"/>
        <v/>
      </c>
      <c r="L42" s="133" t="str">
        <f t="shared" si="3"/>
        <v/>
      </c>
      <c r="M42" s="132" t="str">
        <f t="shared" si="3"/>
        <v/>
      </c>
      <c r="N42" s="137"/>
      <c r="O42" s="138"/>
      <c r="P42" s="135" t="str">
        <f t="shared" si="4"/>
        <v/>
      </c>
    </row>
    <row r="43" spans="1:16" x14ac:dyDescent="0.25">
      <c r="A43" s="77"/>
      <c r="B43" s="77"/>
      <c r="C43" s="1"/>
      <c r="D43" s="181"/>
      <c r="E43" s="182"/>
      <c r="F43" s="183"/>
      <c r="G43" s="182"/>
      <c r="H43" s="184"/>
      <c r="I43" s="184"/>
      <c r="K43" s="132" t="str">
        <f t="shared" si="2"/>
        <v/>
      </c>
      <c r="L43" s="133" t="str">
        <f t="shared" si="3"/>
        <v/>
      </c>
      <c r="M43" s="132" t="str">
        <f t="shared" si="3"/>
        <v/>
      </c>
      <c r="N43" s="137"/>
      <c r="O43" s="138"/>
      <c r="P43" s="135" t="str">
        <f t="shared" si="4"/>
        <v/>
      </c>
    </row>
    <row r="44" spans="1:16" x14ac:dyDescent="0.25">
      <c r="A44" s="77"/>
      <c r="B44" s="77"/>
      <c r="C44" s="1"/>
      <c r="D44" s="181"/>
      <c r="E44" s="182"/>
      <c r="F44" s="183"/>
      <c r="G44" s="182"/>
      <c r="H44" s="184"/>
      <c r="I44" s="184"/>
      <c r="K44" s="132" t="str">
        <f t="shared" si="2"/>
        <v/>
      </c>
      <c r="L44" s="133" t="str">
        <f t="shared" si="3"/>
        <v/>
      </c>
      <c r="M44" s="132" t="str">
        <f t="shared" si="3"/>
        <v/>
      </c>
      <c r="N44" s="137"/>
      <c r="O44" s="138"/>
      <c r="P44" s="135" t="str">
        <f t="shared" si="4"/>
        <v/>
      </c>
    </row>
    <row r="45" spans="1:16" x14ac:dyDescent="0.25">
      <c r="A45" s="216" t="s">
        <v>961</v>
      </c>
      <c r="B45" s="217" t="s">
        <v>962</v>
      </c>
      <c r="C45" s="1"/>
      <c r="D45" s="181"/>
      <c r="E45" s="182"/>
      <c r="F45" s="183"/>
      <c r="G45" s="182"/>
      <c r="H45" s="184"/>
      <c r="I45" s="184"/>
      <c r="K45" s="132" t="str">
        <f t="shared" si="2"/>
        <v/>
      </c>
      <c r="L45" s="133" t="str">
        <f t="shared" si="3"/>
        <v/>
      </c>
      <c r="M45" s="132" t="str">
        <f t="shared" si="3"/>
        <v/>
      </c>
      <c r="N45" s="137"/>
      <c r="O45" s="138"/>
      <c r="P45" s="135" t="str">
        <f t="shared" si="4"/>
        <v/>
      </c>
    </row>
    <row r="46" spans="1:16" x14ac:dyDescent="0.25">
      <c r="A46" s="218" t="s">
        <v>974</v>
      </c>
      <c r="B46" s="219">
        <f>IF(OR(B9="",A46="",B9=0,A46=0),"",B9*A46*0.2333)</f>
        <v>727.89600000000007</v>
      </c>
      <c r="C46" s="1"/>
      <c r="D46" s="181"/>
      <c r="E46" s="182"/>
      <c r="F46" s="183"/>
      <c r="G46" s="182"/>
      <c r="H46" s="184"/>
      <c r="I46" s="184"/>
      <c r="K46" s="132" t="str">
        <f t="shared" si="2"/>
        <v/>
      </c>
      <c r="L46" s="133" t="str">
        <f t="shared" si="3"/>
        <v/>
      </c>
      <c r="M46" s="132" t="str">
        <f t="shared" si="3"/>
        <v/>
      </c>
      <c r="N46" s="137"/>
      <c r="O46" s="138"/>
      <c r="P46" s="135" t="str">
        <f t="shared" si="4"/>
        <v/>
      </c>
    </row>
    <row r="47" spans="1:16" x14ac:dyDescent="0.25">
      <c r="A47" s="146" t="s">
        <v>470</v>
      </c>
      <c r="B47" s="147" t="s">
        <v>471</v>
      </c>
      <c r="C47" s="1"/>
      <c r="D47" s="181"/>
      <c r="E47" s="182"/>
      <c r="F47" s="183"/>
      <c r="G47" s="182"/>
      <c r="H47" s="184"/>
      <c r="I47" s="184"/>
      <c r="L47" s="16"/>
      <c r="M47" s="32"/>
      <c r="N47" s="32"/>
      <c r="O47" s="139" t="s">
        <v>436</v>
      </c>
      <c r="P47" s="140" t="str">
        <f>IF(SUM(P27:P46)=0,"",SUM(P27:P46))</f>
        <v/>
      </c>
    </row>
    <row r="48" spans="1:16" x14ac:dyDescent="0.25">
      <c r="A48" s="144" t="s">
        <v>2003</v>
      </c>
      <c r="B48" s="145" t="str">
        <f>HYPERLINK(
   "https://www.wasap.my/" &amp;
   IF(LEFT(SUBSTITUTE(SUBSTITUTE(SUBSTITUTE(SUBSTITUTE(A48,"+","")," ",""),"-",""),"(",""),2)="60",
      SUBSTITUTE(SUBSTITUTE(SUBSTITUTE(SUBSTITUTE(A48,"+","")," ",""),"-",""),"(",""),
      "60" &amp; RIGHT(SUBSTITUTE(SUBSTITUTE(SUBSTITUTE(SUBSTITUTE(A48,"+","")," ",""),"-",""),"(",""),LEN(SUBSTITUTE(SUBSTITUTE(SUBSTITUTE(SUBSTITUTE(A48,"+","")," ",""),"-",""),"(",""))-1)
   ),
   "WhatsApp Link"
)</f>
        <v>WhatsApp Link</v>
      </c>
      <c r="C48" s="1"/>
      <c r="D48" s="181"/>
      <c r="E48" s="182"/>
      <c r="F48" s="183"/>
      <c r="G48" s="182"/>
      <c r="H48" s="184"/>
      <c r="I48" s="184"/>
      <c r="L48" s="16"/>
      <c r="M48" s="32"/>
      <c r="N48" s="32"/>
      <c r="O48" s="139" t="s">
        <v>435</v>
      </c>
      <c r="P48" s="140" t="str">
        <f>IF(AND(COUNT(P5:P24)=0,COUNT(P27:P46)=0),"",SUM(P5:P24)-SUM(P27:P46))</f>
        <v/>
      </c>
    </row>
    <row r="49" spans="1:16" x14ac:dyDescent="0.25">
      <c r="A49" s="70"/>
      <c r="B49" s="71"/>
      <c r="C49" s="72"/>
      <c r="D49" s="73"/>
      <c r="E49" s="74"/>
      <c r="F49" s="71"/>
      <c r="G49" s="75"/>
      <c r="H49" s="73"/>
      <c r="I49" s="72"/>
      <c r="J49" s="74"/>
      <c r="K49" s="74"/>
      <c r="L49" s="128"/>
      <c r="M49" s="75"/>
      <c r="N49" s="75"/>
      <c r="O49" s="129"/>
      <c r="P49" s="129"/>
    </row>
    <row r="50" spans="1:16" x14ac:dyDescent="0.25">
      <c r="A50" s="78" t="s">
        <v>385</v>
      </c>
      <c r="C50" s="1"/>
      <c r="F50" s="6"/>
      <c r="I50" s="5"/>
      <c r="L50" s="1" t="s">
        <v>423</v>
      </c>
    </row>
    <row r="51" spans="1:16" x14ac:dyDescent="0.25">
      <c r="A51" s="5" t="s">
        <v>386</v>
      </c>
      <c r="B51" s="115">
        <f>B33</f>
        <v>11052.18</v>
      </c>
      <c r="F51" s="6"/>
    </row>
    <row r="52" spans="1:16" x14ac:dyDescent="0.25">
      <c r="A52" s="5" t="s">
        <v>387</v>
      </c>
      <c r="B52" s="117">
        <v>2200</v>
      </c>
      <c r="F52" s="6"/>
    </row>
    <row r="53" spans="1:16" x14ac:dyDescent="0.25">
      <c r="A53" s="5"/>
      <c r="B53" s="116">
        <f>IF(A50="Dapatkan Margin %",
   ((B52-B51)/B52),
 IF(A50="Dapatkan Kos",
   B51*(1-B52),
 IF(A50="Dapatkan Harga Jual",
   B51/(1-B52),
 "")))</f>
        <v>-4.0237181818181815</v>
      </c>
      <c r="D53" s="5" t="str">
        <f>IFERROR(INDEX(#REF!, MATCH(TRIM(Enginuity!$A$19),#REF!, 0)), "")</f>
        <v/>
      </c>
      <c r="F53" s="6"/>
    </row>
    <row r="54" spans="1:16" x14ac:dyDescent="0.25">
      <c r="A54" s="5"/>
      <c r="F54" s="6"/>
    </row>
    <row r="55" spans="1:16" x14ac:dyDescent="0.25">
      <c r="A55" s="5"/>
      <c r="F55" s="6"/>
    </row>
    <row r="56" spans="1:16" x14ac:dyDescent="0.25">
      <c r="A56" s="5"/>
      <c r="F56" s="6"/>
    </row>
    <row r="57" spans="1:16" x14ac:dyDescent="0.25">
      <c r="A57" s="5"/>
      <c r="F57" s="6"/>
    </row>
    <row r="58" spans="1:16" x14ac:dyDescent="0.25">
      <c r="A58" s="5"/>
      <c r="F58" s="6"/>
    </row>
    <row r="59" spans="1:16" x14ac:dyDescent="0.25">
      <c r="A59" s="5"/>
      <c r="F59" s="6"/>
    </row>
    <row r="60" spans="1:16" x14ac:dyDescent="0.25">
      <c r="A60" s="5"/>
      <c r="F60" s="6"/>
    </row>
    <row r="61" spans="1:16" x14ac:dyDescent="0.25">
      <c r="A61" s="5"/>
      <c r="F61" s="6"/>
    </row>
    <row r="62" spans="1:16" x14ac:dyDescent="0.25">
      <c r="A62" s="78"/>
      <c r="F62" s="6"/>
    </row>
    <row r="63" spans="1:16" x14ac:dyDescent="0.25">
      <c r="A63" s="114"/>
      <c r="F63" s="6"/>
    </row>
    <row r="64" spans="1:16" x14ac:dyDescent="0.25">
      <c r="A64" s="78"/>
      <c r="F64" s="6"/>
    </row>
    <row r="65" spans="1:6" x14ac:dyDescent="0.25">
      <c r="A65" s="78"/>
      <c r="F65" s="6"/>
    </row>
    <row r="66" spans="1:6" x14ac:dyDescent="0.25">
      <c r="A66" s="78"/>
      <c r="F66" s="6"/>
    </row>
    <row r="67" spans="1:6" x14ac:dyDescent="0.25">
      <c r="A67" s="78"/>
      <c r="F67" s="6"/>
    </row>
    <row r="68" spans="1:6" x14ac:dyDescent="0.25">
      <c r="F68" s="6"/>
    </row>
    <row r="69" spans="1:6" x14ac:dyDescent="0.25">
      <c r="F69" s="6"/>
    </row>
    <row r="70" spans="1:6" x14ac:dyDescent="0.25">
      <c r="F70" s="6"/>
    </row>
    <row r="71" spans="1:6" x14ac:dyDescent="0.25">
      <c r="F71" s="6"/>
    </row>
    <row r="72" spans="1:6" x14ac:dyDescent="0.25">
      <c r="F72" s="6"/>
    </row>
    <row r="73" spans="1:6" x14ac:dyDescent="0.25">
      <c r="F73" s="6"/>
    </row>
    <row r="74" spans="1:6" x14ac:dyDescent="0.25">
      <c r="F74" s="6"/>
    </row>
    <row r="75" spans="1:6" x14ac:dyDescent="0.25">
      <c r="F75" s="6"/>
    </row>
    <row r="76" spans="1:6" x14ac:dyDescent="0.25">
      <c r="F76" s="6"/>
    </row>
    <row r="77" spans="1:6" x14ac:dyDescent="0.25">
      <c r="F77" s="6"/>
    </row>
    <row r="78" spans="1:6" x14ac:dyDescent="0.25">
      <c r="F78" s="6"/>
    </row>
    <row r="79" spans="1:6" x14ac:dyDescent="0.25">
      <c r="F79" s="6"/>
    </row>
    <row r="80" spans="1:6" x14ac:dyDescent="0.25">
      <c r="F80" s="6"/>
    </row>
    <row r="81" spans="6:6" x14ac:dyDescent="0.25">
      <c r="F81" s="6"/>
    </row>
    <row r="82" spans="6:6" x14ac:dyDescent="0.25">
      <c r="F82" s="6"/>
    </row>
    <row r="83" spans="6:6" x14ac:dyDescent="0.25">
      <c r="F83" s="6"/>
    </row>
    <row r="84" spans="6:6" x14ac:dyDescent="0.25">
      <c r="F84" s="6"/>
    </row>
    <row r="85" spans="6:6" x14ac:dyDescent="0.25">
      <c r="F85" s="6"/>
    </row>
    <row r="86" spans="6:6" x14ac:dyDescent="0.25">
      <c r="F86" s="6"/>
    </row>
    <row r="87" spans="6:6" x14ac:dyDescent="0.25">
      <c r="F87" s="6"/>
    </row>
    <row r="88" spans="6:6" x14ac:dyDescent="0.25">
      <c r="F88" s="6"/>
    </row>
    <row r="89" spans="6:6" x14ac:dyDescent="0.25">
      <c r="F89" s="6"/>
    </row>
    <row r="90" spans="6:6" x14ac:dyDescent="0.25">
      <c r="F90" s="6"/>
    </row>
    <row r="91" spans="6:6" x14ac:dyDescent="0.25">
      <c r="F91" s="6"/>
    </row>
    <row r="92" spans="6:6" x14ac:dyDescent="0.25">
      <c r="F92" s="6"/>
    </row>
    <row r="93" spans="6:6" x14ac:dyDescent="0.25">
      <c r="F93" s="6"/>
    </row>
    <row r="94" spans="6:6" x14ac:dyDescent="0.25">
      <c r="F94" s="6"/>
    </row>
    <row r="95" spans="6:6" x14ac:dyDescent="0.25">
      <c r="F95" s="6"/>
    </row>
    <row r="96" spans="6:6" x14ac:dyDescent="0.25">
      <c r="F96" s="6"/>
    </row>
    <row r="97" spans="6:6" x14ac:dyDescent="0.25">
      <c r="F97" s="6"/>
    </row>
    <row r="98" spans="6:6" x14ac:dyDescent="0.25">
      <c r="F98" s="6"/>
    </row>
    <row r="99" spans="6:6" x14ac:dyDescent="0.25">
      <c r="F99" s="6"/>
    </row>
    <row r="100" spans="6:6" x14ac:dyDescent="0.25">
      <c r="F100" s="6"/>
    </row>
    <row r="101" spans="6:6" x14ac:dyDescent="0.25">
      <c r="F101" s="6"/>
    </row>
    <row r="102" spans="6:6" x14ac:dyDescent="0.25">
      <c r="F102" s="6"/>
    </row>
    <row r="103" spans="6:6" x14ac:dyDescent="0.25">
      <c r="F103" s="6"/>
    </row>
    <row r="104" spans="6:6" x14ac:dyDescent="0.25">
      <c r="F104" s="6"/>
    </row>
    <row r="105" spans="6:6" x14ac:dyDescent="0.25">
      <c r="F105" s="6"/>
    </row>
    <row r="106" spans="6:6" x14ac:dyDescent="0.25">
      <c r="F106" s="6"/>
    </row>
    <row r="107" spans="6:6" x14ac:dyDescent="0.25">
      <c r="F107" s="6"/>
    </row>
    <row r="108" spans="6:6" x14ac:dyDescent="0.25">
      <c r="F108" s="6"/>
    </row>
    <row r="109" spans="6:6" x14ac:dyDescent="0.25">
      <c r="F109" s="6"/>
    </row>
    <row r="110" spans="6:6" x14ac:dyDescent="0.25">
      <c r="F110" s="6"/>
    </row>
    <row r="111" spans="6:6" x14ac:dyDescent="0.25">
      <c r="F111" s="6"/>
    </row>
    <row r="112" spans="6:6" x14ac:dyDescent="0.25">
      <c r="F112" s="6"/>
    </row>
    <row r="113" spans="6:6" x14ac:dyDescent="0.25">
      <c r="F113" s="6"/>
    </row>
    <row r="114" spans="6:6" x14ac:dyDescent="0.25">
      <c r="F114" s="6"/>
    </row>
    <row r="115" spans="6:6" x14ac:dyDescent="0.25">
      <c r="F115" s="6"/>
    </row>
    <row r="116" spans="6:6" x14ac:dyDescent="0.25">
      <c r="F116" s="6"/>
    </row>
    <row r="117" spans="6:6" x14ac:dyDescent="0.25">
      <c r="F117" s="6"/>
    </row>
    <row r="118" spans="6:6" x14ac:dyDescent="0.25">
      <c r="F118" s="6"/>
    </row>
    <row r="119" spans="6:6" x14ac:dyDescent="0.25">
      <c r="F119" s="6"/>
    </row>
    <row r="120" spans="6:6" x14ac:dyDescent="0.25">
      <c r="F120" s="6"/>
    </row>
    <row r="121" spans="6:6" x14ac:dyDescent="0.25">
      <c r="F121" s="6"/>
    </row>
    <row r="122" spans="6:6" x14ac:dyDescent="0.25">
      <c r="F122" s="6"/>
    </row>
    <row r="123" spans="6:6" x14ac:dyDescent="0.25">
      <c r="F123" s="6"/>
    </row>
    <row r="124" spans="6:6" x14ac:dyDescent="0.25">
      <c r="F124" s="6"/>
    </row>
    <row r="125" spans="6:6" x14ac:dyDescent="0.25">
      <c r="F125" s="6"/>
    </row>
    <row r="126" spans="6:6" x14ac:dyDescent="0.25">
      <c r="F126" s="6"/>
    </row>
    <row r="127" spans="6:6" x14ac:dyDescent="0.25">
      <c r="F127" s="6"/>
    </row>
    <row r="128" spans="6:6" x14ac:dyDescent="0.25">
      <c r="F128" s="6"/>
    </row>
    <row r="129" spans="6:6" x14ac:dyDescent="0.25">
      <c r="F129" s="6"/>
    </row>
    <row r="130" spans="6:6" x14ac:dyDescent="0.25">
      <c r="F130" s="6"/>
    </row>
    <row r="131" spans="6:6" x14ac:dyDescent="0.25">
      <c r="F131" s="6"/>
    </row>
    <row r="132" spans="6:6" x14ac:dyDescent="0.25">
      <c r="F132" s="6"/>
    </row>
    <row r="133" spans="6:6" x14ac:dyDescent="0.25">
      <c r="F133" s="6"/>
    </row>
    <row r="134" spans="6:6" x14ac:dyDescent="0.25">
      <c r="F134" s="6"/>
    </row>
    <row r="135" spans="6:6" x14ac:dyDescent="0.25">
      <c r="F135" s="6"/>
    </row>
    <row r="136" spans="6:6" x14ac:dyDescent="0.25">
      <c r="F136" s="6"/>
    </row>
    <row r="137" spans="6:6" x14ac:dyDescent="0.25">
      <c r="F137" s="6"/>
    </row>
    <row r="138" spans="6:6" x14ac:dyDescent="0.25">
      <c r="F138" s="6"/>
    </row>
    <row r="139" spans="6:6" x14ac:dyDescent="0.25">
      <c r="F139" s="6"/>
    </row>
    <row r="140" spans="6:6" x14ac:dyDescent="0.25">
      <c r="F140" s="6"/>
    </row>
    <row r="141" spans="6:6" x14ac:dyDescent="0.25">
      <c r="F141" s="6"/>
    </row>
    <row r="142" spans="6:6" x14ac:dyDescent="0.25">
      <c r="F142" s="6"/>
    </row>
    <row r="143" spans="6:6" x14ac:dyDescent="0.25">
      <c r="F143" s="6"/>
    </row>
    <row r="144" spans="6:6" x14ac:dyDescent="0.25">
      <c r="F144" s="6"/>
    </row>
    <row r="145" spans="6:6" x14ac:dyDescent="0.25">
      <c r="F145" s="6"/>
    </row>
    <row r="146" spans="6:6" x14ac:dyDescent="0.25">
      <c r="F146" s="6"/>
    </row>
    <row r="147" spans="6:6" x14ac:dyDescent="0.25">
      <c r="F147" s="6"/>
    </row>
    <row r="148" spans="6:6" x14ac:dyDescent="0.25">
      <c r="F148" s="6"/>
    </row>
    <row r="149" spans="6:6" x14ac:dyDescent="0.25">
      <c r="F149" s="6"/>
    </row>
    <row r="150" spans="6:6" x14ac:dyDescent="0.25">
      <c r="F150" s="6"/>
    </row>
    <row r="151" spans="6:6" x14ac:dyDescent="0.25">
      <c r="F151" s="6"/>
    </row>
    <row r="152" spans="6:6" x14ac:dyDescent="0.25">
      <c r="F152" s="6"/>
    </row>
    <row r="153" spans="6:6" x14ac:dyDescent="0.25">
      <c r="F153" s="6"/>
    </row>
    <row r="154" spans="6:6" x14ac:dyDescent="0.25">
      <c r="F154" s="6"/>
    </row>
    <row r="155" spans="6:6" x14ac:dyDescent="0.25">
      <c r="F155" s="6"/>
    </row>
    <row r="156" spans="6:6" x14ac:dyDescent="0.25">
      <c r="F156" s="6"/>
    </row>
    <row r="157" spans="6:6" x14ac:dyDescent="0.25">
      <c r="F157" s="6"/>
    </row>
    <row r="158" spans="6:6" x14ac:dyDescent="0.25">
      <c r="F158" s="6"/>
    </row>
    <row r="159" spans="6:6" x14ac:dyDescent="0.25">
      <c r="F159" s="6"/>
    </row>
    <row r="160" spans="6:6" x14ac:dyDescent="0.25">
      <c r="F160" s="6"/>
    </row>
    <row r="161" spans="6:6" x14ac:dyDescent="0.25">
      <c r="F161" s="6"/>
    </row>
    <row r="162" spans="6:6" x14ac:dyDescent="0.25">
      <c r="F162" s="6"/>
    </row>
    <row r="163" spans="6:6" x14ac:dyDescent="0.25">
      <c r="F163" s="6"/>
    </row>
    <row r="164" spans="6:6" x14ac:dyDescent="0.25">
      <c r="F164" s="6"/>
    </row>
    <row r="165" spans="6:6" x14ac:dyDescent="0.25">
      <c r="F165" s="6"/>
    </row>
    <row r="166" spans="6:6" x14ac:dyDescent="0.25">
      <c r="F166" s="6"/>
    </row>
    <row r="167" spans="6:6" x14ac:dyDescent="0.25">
      <c r="F167" s="6"/>
    </row>
    <row r="168" spans="6:6" x14ac:dyDescent="0.25">
      <c r="F168" s="6"/>
    </row>
    <row r="169" spans="6:6" x14ac:dyDescent="0.25">
      <c r="F169" s="6"/>
    </row>
    <row r="170" spans="6:6" x14ac:dyDescent="0.25">
      <c r="F170" s="6"/>
    </row>
    <row r="171" spans="6:6" x14ac:dyDescent="0.25">
      <c r="F171" s="6"/>
    </row>
    <row r="172" spans="6:6" x14ac:dyDescent="0.25">
      <c r="F172" s="6"/>
    </row>
    <row r="173" spans="6:6" x14ac:dyDescent="0.25">
      <c r="F173" s="6"/>
    </row>
    <row r="174" spans="6:6" x14ac:dyDescent="0.25">
      <c r="F174" s="6"/>
    </row>
    <row r="175" spans="6:6" x14ac:dyDescent="0.25">
      <c r="F175" s="6"/>
    </row>
    <row r="176" spans="6:6" x14ac:dyDescent="0.25">
      <c r="F176" s="6"/>
    </row>
    <row r="177" spans="6:6" x14ac:dyDescent="0.25">
      <c r="F177" s="6"/>
    </row>
    <row r="178" spans="6:6" x14ac:dyDescent="0.25">
      <c r="F178" s="6"/>
    </row>
    <row r="179" spans="6:6" x14ac:dyDescent="0.25">
      <c r="F179" s="6"/>
    </row>
    <row r="180" spans="6:6" x14ac:dyDescent="0.25">
      <c r="F180" s="6"/>
    </row>
    <row r="181" spans="6:6" x14ac:dyDescent="0.25">
      <c r="F181" s="6"/>
    </row>
    <row r="182" spans="6:6" x14ac:dyDescent="0.25">
      <c r="F182" s="6"/>
    </row>
    <row r="183" spans="6:6" x14ac:dyDescent="0.25">
      <c r="F183" s="6"/>
    </row>
    <row r="184" spans="6:6" x14ac:dyDescent="0.25">
      <c r="F184" s="6"/>
    </row>
    <row r="185" spans="6:6" x14ac:dyDescent="0.25">
      <c r="F185" s="6"/>
    </row>
    <row r="186" spans="6:6" x14ac:dyDescent="0.25">
      <c r="F186" s="6"/>
    </row>
    <row r="187" spans="6:6" x14ac:dyDescent="0.25">
      <c r="F187" s="6"/>
    </row>
    <row r="188" spans="6:6" x14ac:dyDescent="0.25">
      <c r="F188" s="6"/>
    </row>
    <row r="189" spans="6:6" x14ac:dyDescent="0.25">
      <c r="F189" s="6"/>
    </row>
    <row r="190" spans="6:6" x14ac:dyDescent="0.25">
      <c r="F190" s="6"/>
    </row>
    <row r="191" spans="6:6" x14ac:dyDescent="0.25">
      <c r="F191" s="6"/>
    </row>
    <row r="192" spans="6:6" x14ac:dyDescent="0.25">
      <c r="F192" s="6"/>
    </row>
    <row r="193" spans="6:6" x14ac:dyDescent="0.25">
      <c r="F193" s="6"/>
    </row>
    <row r="194" spans="6:6" x14ac:dyDescent="0.25">
      <c r="F194" s="6"/>
    </row>
    <row r="195" spans="6:6" x14ac:dyDescent="0.25">
      <c r="F195" s="6"/>
    </row>
    <row r="196" spans="6:6" x14ac:dyDescent="0.25">
      <c r="F196" s="6"/>
    </row>
    <row r="197" spans="6:6" x14ac:dyDescent="0.25">
      <c r="F197" s="6"/>
    </row>
    <row r="198" spans="6:6" x14ac:dyDescent="0.25">
      <c r="F198" s="6"/>
    </row>
    <row r="199" spans="6:6" x14ac:dyDescent="0.25">
      <c r="F199" s="6"/>
    </row>
    <row r="200" spans="6:6" x14ac:dyDescent="0.25">
      <c r="F200" s="6"/>
    </row>
    <row r="201" spans="6:6" x14ac:dyDescent="0.25">
      <c r="F201" s="6"/>
    </row>
    <row r="202" spans="6:6" x14ac:dyDescent="0.25">
      <c r="F202" s="6"/>
    </row>
    <row r="203" spans="6:6" x14ac:dyDescent="0.25">
      <c r="F203" s="6"/>
    </row>
    <row r="204" spans="6:6" x14ac:dyDescent="0.25">
      <c r="F204" s="6"/>
    </row>
    <row r="205" spans="6:6" x14ac:dyDescent="0.25">
      <c r="F205" s="6"/>
    </row>
    <row r="206" spans="6:6" x14ac:dyDescent="0.25">
      <c r="F206" s="6"/>
    </row>
    <row r="207" spans="6:6" x14ac:dyDescent="0.25">
      <c r="F207" s="6"/>
    </row>
    <row r="208" spans="6:6" x14ac:dyDescent="0.25">
      <c r="F208" s="6"/>
    </row>
    <row r="209" spans="6:6" x14ac:dyDescent="0.25">
      <c r="F209" s="6"/>
    </row>
    <row r="210" spans="6:6" x14ac:dyDescent="0.25">
      <c r="F210" s="6"/>
    </row>
    <row r="211" spans="6:6" x14ac:dyDescent="0.25">
      <c r="F211" s="6"/>
    </row>
    <row r="212" spans="6:6" x14ac:dyDescent="0.25">
      <c r="F212" s="6"/>
    </row>
    <row r="213" spans="6:6" x14ac:dyDescent="0.25">
      <c r="F213" s="6"/>
    </row>
    <row r="214" spans="6:6" x14ac:dyDescent="0.25">
      <c r="F214" s="6"/>
    </row>
    <row r="215" spans="6:6" x14ac:dyDescent="0.25">
      <c r="F215" s="6"/>
    </row>
    <row r="216" spans="6:6" x14ac:dyDescent="0.25">
      <c r="F216" s="6"/>
    </row>
    <row r="217" spans="6:6" x14ac:dyDescent="0.25">
      <c r="F217" s="6"/>
    </row>
    <row r="218" spans="6:6" x14ac:dyDescent="0.25">
      <c r="F218" s="6"/>
    </row>
    <row r="219" spans="6:6" x14ac:dyDescent="0.25">
      <c r="F219" s="6"/>
    </row>
    <row r="220" spans="6:6" x14ac:dyDescent="0.25">
      <c r="F220" s="6"/>
    </row>
    <row r="221" spans="6:6" x14ac:dyDescent="0.25">
      <c r="F221" s="6"/>
    </row>
    <row r="222" spans="6:6" x14ac:dyDescent="0.25">
      <c r="F222" s="6"/>
    </row>
    <row r="223" spans="6:6" x14ac:dyDescent="0.25">
      <c r="F223" s="6"/>
    </row>
    <row r="224" spans="6:6" x14ac:dyDescent="0.25">
      <c r="F224" s="6"/>
    </row>
    <row r="225" spans="6:6" x14ac:dyDescent="0.25">
      <c r="F225" s="6"/>
    </row>
    <row r="226" spans="6:6" x14ac:dyDescent="0.25">
      <c r="F226" s="6"/>
    </row>
    <row r="227" spans="6:6" x14ac:dyDescent="0.25">
      <c r="F227" s="6"/>
    </row>
    <row r="228" spans="6:6" x14ac:dyDescent="0.25">
      <c r="F228" s="6"/>
    </row>
    <row r="229" spans="6:6" x14ac:dyDescent="0.25">
      <c r="F229" s="6"/>
    </row>
    <row r="230" spans="6:6" x14ac:dyDescent="0.25">
      <c r="F230" s="6"/>
    </row>
    <row r="231" spans="6:6" x14ac:dyDescent="0.25">
      <c r="F231" s="6"/>
    </row>
    <row r="232" spans="6:6" x14ac:dyDescent="0.25">
      <c r="F232" s="6"/>
    </row>
    <row r="233" spans="6:6" x14ac:dyDescent="0.25">
      <c r="F233" s="6"/>
    </row>
    <row r="234" spans="6:6" x14ac:dyDescent="0.25">
      <c r="F234" s="6"/>
    </row>
    <row r="235" spans="6:6" x14ac:dyDescent="0.25">
      <c r="F235" s="6"/>
    </row>
    <row r="236" spans="6:6" x14ac:dyDescent="0.25">
      <c r="F236" s="6"/>
    </row>
    <row r="237" spans="6:6" x14ac:dyDescent="0.25">
      <c r="F237" s="6"/>
    </row>
    <row r="238" spans="6:6" x14ac:dyDescent="0.25">
      <c r="F238" s="6"/>
    </row>
    <row r="239" spans="6:6" x14ac:dyDescent="0.25">
      <c r="F239" s="6"/>
    </row>
    <row r="240" spans="6:6" x14ac:dyDescent="0.25">
      <c r="F240" s="6"/>
    </row>
    <row r="241" spans="6:6" x14ac:dyDescent="0.25">
      <c r="F241" s="6"/>
    </row>
    <row r="242" spans="6:6" x14ac:dyDescent="0.25">
      <c r="F242" s="6"/>
    </row>
    <row r="243" spans="6:6" x14ac:dyDescent="0.25">
      <c r="F243" s="6"/>
    </row>
    <row r="244" spans="6:6" x14ac:dyDescent="0.25">
      <c r="F244" s="6"/>
    </row>
    <row r="245" spans="6:6" x14ac:dyDescent="0.25">
      <c r="F245" s="6"/>
    </row>
    <row r="246" spans="6:6" x14ac:dyDescent="0.25">
      <c r="F246" s="6"/>
    </row>
    <row r="247" spans="6:6" x14ac:dyDescent="0.25">
      <c r="F247" s="6"/>
    </row>
    <row r="248" spans="6:6" x14ac:dyDescent="0.25">
      <c r="F248" s="6"/>
    </row>
    <row r="249" spans="6:6" x14ac:dyDescent="0.25">
      <c r="F249" s="6"/>
    </row>
    <row r="250" spans="6:6" x14ac:dyDescent="0.25">
      <c r="F250" s="6"/>
    </row>
    <row r="251" spans="6:6" x14ac:dyDescent="0.25">
      <c r="F251" s="6"/>
    </row>
    <row r="252" spans="6:6" x14ac:dyDescent="0.25">
      <c r="F252" s="6"/>
    </row>
    <row r="253" spans="6:6" x14ac:dyDescent="0.25">
      <c r="F253" s="6"/>
    </row>
    <row r="254" spans="6:6" x14ac:dyDescent="0.25">
      <c r="F254" s="6"/>
    </row>
    <row r="255" spans="6:6" x14ac:dyDescent="0.25">
      <c r="F255" s="6"/>
    </row>
    <row r="256" spans="6:6" x14ac:dyDescent="0.25">
      <c r="F256" s="6"/>
    </row>
    <row r="257" spans="6:6" x14ac:dyDescent="0.25">
      <c r="F257" s="6"/>
    </row>
    <row r="258" spans="6:6" x14ac:dyDescent="0.25">
      <c r="F258" s="6"/>
    </row>
    <row r="259" spans="6:6" x14ac:dyDescent="0.25">
      <c r="F259" s="6"/>
    </row>
    <row r="260" spans="6:6" x14ac:dyDescent="0.25">
      <c r="F260" s="6"/>
    </row>
    <row r="261" spans="6:6" x14ac:dyDescent="0.25">
      <c r="F261" s="6"/>
    </row>
    <row r="262" spans="6:6" x14ac:dyDescent="0.25">
      <c r="F262" s="6"/>
    </row>
    <row r="263" spans="6:6" x14ac:dyDescent="0.25">
      <c r="F263" s="6"/>
    </row>
    <row r="264" spans="6:6" x14ac:dyDescent="0.25">
      <c r="F264" s="6"/>
    </row>
    <row r="265" spans="6:6" x14ac:dyDescent="0.25">
      <c r="F265" s="6"/>
    </row>
    <row r="266" spans="6:6" x14ac:dyDescent="0.25">
      <c r="F266" s="6"/>
    </row>
    <row r="267" spans="6:6" x14ac:dyDescent="0.25">
      <c r="F267" s="6"/>
    </row>
    <row r="268" spans="6:6" x14ac:dyDescent="0.25">
      <c r="F268" s="6"/>
    </row>
    <row r="269" spans="6:6" x14ac:dyDescent="0.25">
      <c r="F269" s="6"/>
    </row>
    <row r="270" spans="6:6" x14ac:dyDescent="0.25">
      <c r="F270" s="6"/>
    </row>
    <row r="271" spans="6:6" x14ac:dyDescent="0.25">
      <c r="F271" s="6"/>
    </row>
    <row r="272" spans="6:6" x14ac:dyDescent="0.25">
      <c r="F272" s="6"/>
    </row>
    <row r="273" spans="6:6" x14ac:dyDescent="0.25">
      <c r="F273" s="6"/>
    </row>
    <row r="274" spans="6:6" x14ac:dyDescent="0.25">
      <c r="F274" s="6"/>
    </row>
    <row r="275" spans="6:6" x14ac:dyDescent="0.25">
      <c r="F275" s="6"/>
    </row>
    <row r="276" spans="6:6" x14ac:dyDescent="0.25">
      <c r="F276" s="6"/>
    </row>
    <row r="277" spans="6:6" x14ac:dyDescent="0.25">
      <c r="F277" s="6"/>
    </row>
    <row r="278" spans="6:6" x14ac:dyDescent="0.25">
      <c r="F278" s="6"/>
    </row>
    <row r="279" spans="6:6" x14ac:dyDescent="0.25">
      <c r="F279" s="6"/>
    </row>
    <row r="280" spans="6:6" x14ac:dyDescent="0.25">
      <c r="F280" s="6"/>
    </row>
    <row r="281" spans="6:6" x14ac:dyDescent="0.25">
      <c r="F281" s="6"/>
    </row>
    <row r="282" spans="6:6" x14ac:dyDescent="0.25">
      <c r="F282" s="6"/>
    </row>
    <row r="283" spans="6:6" x14ac:dyDescent="0.25">
      <c r="F283" s="6"/>
    </row>
    <row r="284" spans="6:6" x14ac:dyDescent="0.25">
      <c r="F284" s="6"/>
    </row>
    <row r="285" spans="6:6" x14ac:dyDescent="0.25">
      <c r="F285" s="6"/>
    </row>
    <row r="286" spans="6:6" x14ac:dyDescent="0.25">
      <c r="F286" s="6"/>
    </row>
    <row r="287" spans="6:6" x14ac:dyDescent="0.25">
      <c r="F287" s="6"/>
    </row>
    <row r="288" spans="6:6" x14ac:dyDescent="0.25">
      <c r="F288" s="6"/>
    </row>
    <row r="289" spans="6:6" x14ac:dyDescent="0.25">
      <c r="F289" s="6"/>
    </row>
    <row r="290" spans="6:6" x14ac:dyDescent="0.25">
      <c r="F290" s="6"/>
    </row>
    <row r="291" spans="6:6" x14ac:dyDescent="0.25">
      <c r="F291" s="6"/>
    </row>
    <row r="292" spans="6:6" x14ac:dyDescent="0.25">
      <c r="F292" s="6"/>
    </row>
    <row r="293" spans="6:6" x14ac:dyDescent="0.25">
      <c r="F293" s="6"/>
    </row>
    <row r="294" spans="6:6" x14ac:dyDescent="0.25">
      <c r="F294" s="6"/>
    </row>
    <row r="295" spans="6:6" x14ac:dyDescent="0.25">
      <c r="F295" s="6"/>
    </row>
    <row r="296" spans="6:6" x14ac:dyDescent="0.25">
      <c r="F296" s="6"/>
    </row>
    <row r="297" spans="6:6" x14ac:dyDescent="0.25">
      <c r="F297" s="6"/>
    </row>
    <row r="298" spans="6:6" x14ac:dyDescent="0.25">
      <c r="F298" s="6"/>
    </row>
    <row r="299" spans="6:6" x14ac:dyDescent="0.25">
      <c r="F299" s="6"/>
    </row>
    <row r="300" spans="6:6" x14ac:dyDescent="0.25">
      <c r="F300" s="6"/>
    </row>
    <row r="301" spans="6:6" x14ac:dyDescent="0.25">
      <c r="F301" s="6"/>
    </row>
    <row r="302" spans="6:6" x14ac:dyDescent="0.25">
      <c r="F302" s="6"/>
    </row>
    <row r="303" spans="6:6" x14ac:dyDescent="0.25">
      <c r="F303" s="6"/>
    </row>
    <row r="304" spans="6:6" x14ac:dyDescent="0.25">
      <c r="F304" s="6"/>
    </row>
    <row r="305" spans="6:6" x14ac:dyDescent="0.25">
      <c r="F305" s="6"/>
    </row>
    <row r="306" spans="6:6" x14ac:dyDescent="0.25">
      <c r="F306" s="6"/>
    </row>
    <row r="307" spans="6:6" x14ac:dyDescent="0.25">
      <c r="F307" s="6"/>
    </row>
    <row r="308" spans="6:6" x14ac:dyDescent="0.25">
      <c r="F308" s="6"/>
    </row>
    <row r="309" spans="6:6" x14ac:dyDescent="0.25">
      <c r="F309" s="6"/>
    </row>
    <row r="310" spans="6:6" x14ac:dyDescent="0.25">
      <c r="F310" s="6"/>
    </row>
    <row r="311" spans="6:6" x14ac:dyDescent="0.25">
      <c r="F311" s="6"/>
    </row>
    <row r="312" spans="6:6" x14ac:dyDescent="0.25">
      <c r="F312" s="6"/>
    </row>
    <row r="313" spans="6:6" x14ac:dyDescent="0.25">
      <c r="F313" s="6"/>
    </row>
    <row r="314" spans="6:6" x14ac:dyDescent="0.25">
      <c r="F314" s="6"/>
    </row>
    <row r="315" spans="6:6" x14ac:dyDescent="0.25">
      <c r="F315" s="6"/>
    </row>
    <row r="316" spans="6:6" x14ac:dyDescent="0.25">
      <c r="F316" s="6"/>
    </row>
    <row r="317" spans="6:6" x14ac:dyDescent="0.25">
      <c r="F317" s="6"/>
    </row>
    <row r="318" spans="6:6" x14ac:dyDescent="0.25">
      <c r="F318" s="6"/>
    </row>
    <row r="319" spans="6:6" x14ac:dyDescent="0.25">
      <c r="F319" s="6"/>
    </row>
    <row r="320" spans="6:6" x14ac:dyDescent="0.25">
      <c r="F320" s="6"/>
    </row>
    <row r="321" spans="6:6" x14ac:dyDescent="0.25">
      <c r="F321" s="6"/>
    </row>
    <row r="322" spans="6:6" x14ac:dyDescent="0.25">
      <c r="F322" s="6"/>
    </row>
    <row r="323" spans="6:6" x14ac:dyDescent="0.25">
      <c r="F323" s="6"/>
    </row>
    <row r="324" spans="6:6" x14ac:dyDescent="0.25">
      <c r="F324" s="6"/>
    </row>
    <row r="325" spans="6:6" x14ac:dyDescent="0.25">
      <c r="F325" s="6"/>
    </row>
    <row r="326" spans="6:6" x14ac:dyDescent="0.25">
      <c r="F326" s="6"/>
    </row>
    <row r="327" spans="6:6" x14ac:dyDescent="0.25">
      <c r="F327" s="6"/>
    </row>
    <row r="328" spans="6:6" x14ac:dyDescent="0.25">
      <c r="F328" s="6"/>
    </row>
    <row r="329" spans="6:6" x14ac:dyDescent="0.25">
      <c r="F329" s="6"/>
    </row>
    <row r="330" spans="6:6" x14ac:dyDescent="0.25">
      <c r="F330" s="6"/>
    </row>
    <row r="331" spans="6:6" x14ac:dyDescent="0.25">
      <c r="F331" s="6"/>
    </row>
    <row r="332" spans="6:6" x14ac:dyDescent="0.25">
      <c r="F332" s="6"/>
    </row>
    <row r="333" spans="6:6" x14ac:dyDescent="0.25">
      <c r="F333" s="6"/>
    </row>
    <row r="334" spans="6:6" x14ac:dyDescent="0.25">
      <c r="F334" s="6"/>
    </row>
    <row r="335" spans="6:6" x14ac:dyDescent="0.25">
      <c r="F335" s="6"/>
    </row>
    <row r="336" spans="6:6" x14ac:dyDescent="0.25">
      <c r="F336" s="6"/>
    </row>
    <row r="337" spans="6:6" x14ac:dyDescent="0.25">
      <c r="F337" s="6"/>
    </row>
    <row r="338" spans="6:6" x14ac:dyDescent="0.25">
      <c r="F338" s="6"/>
    </row>
    <row r="339" spans="6:6" x14ac:dyDescent="0.25">
      <c r="F339" s="6"/>
    </row>
    <row r="340" spans="6:6" x14ac:dyDescent="0.25">
      <c r="F340" s="6"/>
    </row>
    <row r="341" spans="6:6" x14ac:dyDescent="0.25">
      <c r="F341" s="6"/>
    </row>
    <row r="342" spans="6:6" x14ac:dyDescent="0.25">
      <c r="F342" s="6"/>
    </row>
    <row r="343" spans="6:6" x14ac:dyDescent="0.25">
      <c r="F343" s="6"/>
    </row>
    <row r="344" spans="6:6" x14ac:dyDescent="0.25">
      <c r="F344" s="6"/>
    </row>
    <row r="345" spans="6:6" x14ac:dyDescent="0.25">
      <c r="F345" s="6"/>
    </row>
    <row r="346" spans="6:6" x14ac:dyDescent="0.25">
      <c r="F346" s="6"/>
    </row>
    <row r="347" spans="6:6" x14ac:dyDescent="0.25">
      <c r="F347" s="6"/>
    </row>
    <row r="348" spans="6:6" x14ac:dyDescent="0.25">
      <c r="F348" s="6"/>
    </row>
    <row r="349" spans="6:6" x14ac:dyDescent="0.25">
      <c r="F349" s="6"/>
    </row>
    <row r="350" spans="6:6" x14ac:dyDescent="0.25">
      <c r="F350" s="6"/>
    </row>
    <row r="351" spans="6:6" x14ac:dyDescent="0.25">
      <c r="F351" s="6"/>
    </row>
    <row r="352" spans="6:6" x14ac:dyDescent="0.25">
      <c r="F352" s="6"/>
    </row>
    <row r="353" spans="6:6" x14ac:dyDescent="0.25">
      <c r="F353" s="6"/>
    </row>
    <row r="354" spans="6:6" x14ac:dyDescent="0.25">
      <c r="F354" s="6"/>
    </row>
    <row r="355" spans="6:6" x14ac:dyDescent="0.25">
      <c r="F355" s="6"/>
    </row>
    <row r="356" spans="6:6" x14ac:dyDescent="0.25">
      <c r="F356" s="6"/>
    </row>
    <row r="357" spans="6:6" x14ac:dyDescent="0.25">
      <c r="F357" s="6"/>
    </row>
    <row r="358" spans="6:6" x14ac:dyDescent="0.25">
      <c r="F358" s="6"/>
    </row>
    <row r="359" spans="6:6" x14ac:dyDescent="0.25">
      <c r="F359" s="6"/>
    </row>
    <row r="360" spans="6:6" x14ac:dyDescent="0.25">
      <c r="F360" s="6"/>
    </row>
    <row r="361" spans="6:6" x14ac:dyDescent="0.25">
      <c r="F361" s="6"/>
    </row>
    <row r="362" spans="6:6" x14ac:dyDescent="0.25">
      <c r="F362" s="6"/>
    </row>
    <row r="363" spans="6:6" x14ac:dyDescent="0.25">
      <c r="F363" s="6"/>
    </row>
    <row r="364" spans="6:6" x14ac:dyDescent="0.25">
      <c r="F364" s="6"/>
    </row>
    <row r="365" spans="6:6" x14ac:dyDescent="0.25">
      <c r="F365" s="6"/>
    </row>
    <row r="366" spans="6:6" x14ac:dyDescent="0.25">
      <c r="F366" s="6"/>
    </row>
    <row r="367" spans="6:6" x14ac:dyDescent="0.25">
      <c r="F367" s="6"/>
    </row>
    <row r="368" spans="6:6" x14ac:dyDescent="0.25">
      <c r="F368" s="6"/>
    </row>
    <row r="369" spans="6:6" x14ac:dyDescent="0.25">
      <c r="F369" s="6"/>
    </row>
    <row r="370" spans="6:6" x14ac:dyDescent="0.25">
      <c r="F370" s="6"/>
    </row>
    <row r="371" spans="6:6" x14ac:dyDescent="0.25">
      <c r="F371" s="6"/>
    </row>
    <row r="372" spans="6:6" x14ac:dyDescent="0.25">
      <c r="F372" s="6"/>
    </row>
    <row r="373" spans="6:6" x14ac:dyDescent="0.25">
      <c r="F373" s="6"/>
    </row>
    <row r="374" spans="6:6" x14ac:dyDescent="0.25">
      <c r="F374" s="6"/>
    </row>
    <row r="375" spans="6:6" x14ac:dyDescent="0.25">
      <c r="F375" s="6"/>
    </row>
    <row r="376" spans="6:6" x14ac:dyDescent="0.25">
      <c r="F376" s="6"/>
    </row>
    <row r="377" spans="6:6" x14ac:dyDescent="0.25">
      <c r="F377" s="6"/>
    </row>
    <row r="378" spans="6:6" x14ac:dyDescent="0.25">
      <c r="F378" s="6"/>
    </row>
    <row r="379" spans="6:6" x14ac:dyDescent="0.25">
      <c r="F379" s="6"/>
    </row>
    <row r="380" spans="6:6" x14ac:dyDescent="0.25">
      <c r="F380" s="6"/>
    </row>
    <row r="381" spans="6:6" x14ac:dyDescent="0.25">
      <c r="F381" s="6"/>
    </row>
    <row r="382" spans="6:6" x14ac:dyDescent="0.25">
      <c r="F382" s="6"/>
    </row>
    <row r="383" spans="6:6" x14ac:dyDescent="0.25">
      <c r="F383" s="6"/>
    </row>
    <row r="384" spans="6:6" x14ac:dyDescent="0.25">
      <c r="F384" s="6"/>
    </row>
    <row r="385" spans="6:6" x14ac:dyDescent="0.25">
      <c r="F385" s="6"/>
    </row>
    <row r="386" spans="6:6" x14ac:dyDescent="0.25">
      <c r="F386" s="6"/>
    </row>
    <row r="387" spans="6:6" x14ac:dyDescent="0.25">
      <c r="F387" s="6"/>
    </row>
    <row r="388" spans="6:6" x14ac:dyDescent="0.25">
      <c r="F388" s="6"/>
    </row>
    <row r="389" spans="6:6" x14ac:dyDescent="0.25">
      <c r="F389" s="6"/>
    </row>
    <row r="390" spans="6:6" x14ac:dyDescent="0.25">
      <c r="F390" s="6"/>
    </row>
    <row r="391" spans="6:6" x14ac:dyDescent="0.25">
      <c r="F391" s="6"/>
    </row>
    <row r="392" spans="6:6" x14ac:dyDescent="0.25">
      <c r="F392" s="6"/>
    </row>
    <row r="393" spans="6:6" x14ac:dyDescent="0.25">
      <c r="F393" s="6"/>
    </row>
    <row r="394" spans="6:6" x14ac:dyDescent="0.25">
      <c r="F394" s="6"/>
    </row>
    <row r="395" spans="6:6" x14ac:dyDescent="0.25">
      <c r="F395" s="6"/>
    </row>
    <row r="396" spans="6:6" x14ac:dyDescent="0.25">
      <c r="F396" s="6"/>
    </row>
    <row r="397" spans="6:6" x14ac:dyDescent="0.25">
      <c r="F397" s="6"/>
    </row>
    <row r="398" spans="6:6" x14ac:dyDescent="0.25">
      <c r="F398" s="6"/>
    </row>
    <row r="399" spans="6:6" x14ac:dyDescent="0.25">
      <c r="F399" s="6"/>
    </row>
    <row r="400" spans="6:6" x14ac:dyDescent="0.25">
      <c r="F400" s="6"/>
    </row>
    <row r="401" spans="6:6" x14ac:dyDescent="0.25">
      <c r="F401" s="6"/>
    </row>
    <row r="402" spans="6:6" x14ac:dyDescent="0.25">
      <c r="F402" s="6"/>
    </row>
    <row r="403" spans="6:6" x14ac:dyDescent="0.25">
      <c r="F403" s="6"/>
    </row>
    <row r="404" spans="6:6" x14ac:dyDescent="0.25">
      <c r="F404" s="6"/>
    </row>
    <row r="405" spans="6:6" x14ac:dyDescent="0.25">
      <c r="F405" s="6"/>
    </row>
    <row r="406" spans="6:6" x14ac:dyDescent="0.25">
      <c r="F406" s="6"/>
    </row>
    <row r="407" spans="6:6" x14ac:dyDescent="0.25">
      <c r="F407" s="6"/>
    </row>
    <row r="408" spans="6:6" x14ac:dyDescent="0.25">
      <c r="F408" s="6"/>
    </row>
    <row r="409" spans="6:6" x14ac:dyDescent="0.25">
      <c r="F409" s="6"/>
    </row>
    <row r="410" spans="6:6" x14ac:dyDescent="0.25">
      <c r="F410" s="6"/>
    </row>
    <row r="411" spans="6:6" x14ac:dyDescent="0.25">
      <c r="F411" s="6"/>
    </row>
    <row r="412" spans="6:6" x14ac:dyDescent="0.25">
      <c r="F412" s="6"/>
    </row>
    <row r="413" spans="6:6" x14ac:dyDescent="0.25">
      <c r="F413" s="6"/>
    </row>
    <row r="414" spans="6:6" x14ac:dyDescent="0.25">
      <c r="F414" s="6"/>
    </row>
    <row r="415" spans="6:6" x14ac:dyDescent="0.25">
      <c r="F415" s="6"/>
    </row>
    <row r="416" spans="6:6" x14ac:dyDescent="0.25">
      <c r="F416" s="6"/>
    </row>
    <row r="417" spans="6:6" x14ac:dyDescent="0.25">
      <c r="F417" s="6"/>
    </row>
    <row r="418" spans="6:6" x14ac:dyDescent="0.25">
      <c r="F418" s="6"/>
    </row>
    <row r="419" spans="6:6" x14ac:dyDescent="0.25">
      <c r="F419" s="6"/>
    </row>
    <row r="420" spans="6:6" x14ac:dyDescent="0.25">
      <c r="F420" s="6"/>
    </row>
    <row r="421" spans="6:6" x14ac:dyDescent="0.25">
      <c r="F421" s="6"/>
    </row>
    <row r="422" spans="6:6" x14ac:dyDescent="0.25">
      <c r="F422" s="6"/>
    </row>
    <row r="423" spans="6:6" x14ac:dyDescent="0.25">
      <c r="F423" s="6"/>
    </row>
    <row r="424" spans="6:6" x14ac:dyDescent="0.25">
      <c r="F424" s="6"/>
    </row>
    <row r="425" spans="6:6" x14ac:dyDescent="0.25">
      <c r="F425" s="6"/>
    </row>
    <row r="426" spans="6:6" x14ac:dyDescent="0.25">
      <c r="F426" s="6"/>
    </row>
    <row r="427" spans="6:6" x14ac:dyDescent="0.25">
      <c r="F427" s="6"/>
    </row>
    <row r="428" spans="6:6" x14ac:dyDescent="0.25">
      <c r="F428" s="6"/>
    </row>
    <row r="429" spans="6:6" x14ac:dyDescent="0.25">
      <c r="F429" s="6"/>
    </row>
    <row r="430" spans="6:6" x14ac:dyDescent="0.25">
      <c r="F430" s="6"/>
    </row>
    <row r="431" spans="6:6" x14ac:dyDescent="0.25">
      <c r="F431" s="6"/>
    </row>
    <row r="432" spans="6:6" x14ac:dyDescent="0.25">
      <c r="F432" s="6"/>
    </row>
    <row r="433" spans="6:6" x14ac:dyDescent="0.25">
      <c r="F433" s="6"/>
    </row>
    <row r="434" spans="6:6" x14ac:dyDescent="0.25">
      <c r="F434" s="6"/>
    </row>
    <row r="435" spans="6:6" x14ac:dyDescent="0.25">
      <c r="F435" s="6"/>
    </row>
    <row r="436" spans="6:6" x14ac:dyDescent="0.25">
      <c r="F436" s="6"/>
    </row>
    <row r="437" spans="6:6" x14ac:dyDescent="0.25">
      <c r="F437" s="6"/>
    </row>
    <row r="438" spans="6:6" x14ac:dyDescent="0.25">
      <c r="F438" s="6"/>
    </row>
    <row r="439" spans="6:6" x14ac:dyDescent="0.25">
      <c r="F439" s="6"/>
    </row>
    <row r="440" spans="6:6" x14ac:dyDescent="0.25">
      <c r="F440" s="6"/>
    </row>
    <row r="441" spans="6:6" x14ac:dyDescent="0.25">
      <c r="F441" s="6"/>
    </row>
    <row r="442" spans="6:6" x14ac:dyDescent="0.25">
      <c r="F442" s="6"/>
    </row>
    <row r="443" spans="6:6" x14ac:dyDescent="0.25">
      <c r="F443" s="6"/>
    </row>
    <row r="444" spans="6:6" x14ac:dyDescent="0.25">
      <c r="F444" s="6"/>
    </row>
    <row r="445" spans="6:6" x14ac:dyDescent="0.25">
      <c r="F445" s="6"/>
    </row>
    <row r="446" spans="6:6" x14ac:dyDescent="0.25">
      <c r="F446" s="6"/>
    </row>
    <row r="447" spans="6:6" x14ac:dyDescent="0.25">
      <c r="F447" s="6"/>
    </row>
    <row r="448" spans="6:6" x14ac:dyDescent="0.25">
      <c r="F448" s="6"/>
    </row>
    <row r="449" spans="6:6" x14ac:dyDescent="0.25">
      <c r="F449" s="6"/>
    </row>
    <row r="450" spans="6:6" x14ac:dyDescent="0.25">
      <c r="F450" s="6"/>
    </row>
    <row r="451" spans="6:6" x14ac:dyDescent="0.25">
      <c r="F451" s="6"/>
    </row>
    <row r="452" spans="6:6" x14ac:dyDescent="0.25">
      <c r="F452" s="6"/>
    </row>
    <row r="453" spans="6:6" x14ac:dyDescent="0.25">
      <c r="F453" s="6"/>
    </row>
    <row r="454" spans="6:6" x14ac:dyDescent="0.25">
      <c r="F454" s="6"/>
    </row>
    <row r="455" spans="6:6" x14ac:dyDescent="0.25">
      <c r="F455" s="6"/>
    </row>
    <row r="456" spans="6:6" x14ac:dyDescent="0.25">
      <c r="F456" s="6"/>
    </row>
    <row r="457" spans="6:6" x14ac:dyDescent="0.25">
      <c r="F457" s="6"/>
    </row>
    <row r="458" spans="6:6" x14ac:dyDescent="0.25">
      <c r="F458" s="6"/>
    </row>
    <row r="459" spans="6:6" x14ac:dyDescent="0.25">
      <c r="F459" s="6"/>
    </row>
    <row r="460" spans="6:6" x14ac:dyDescent="0.25">
      <c r="F460" s="6"/>
    </row>
    <row r="461" spans="6:6" x14ac:dyDescent="0.25">
      <c r="F461" s="6"/>
    </row>
    <row r="462" spans="6:6" x14ac:dyDescent="0.25">
      <c r="F462" s="6"/>
    </row>
    <row r="463" spans="6:6" x14ac:dyDescent="0.25">
      <c r="F463" s="6"/>
    </row>
    <row r="464" spans="6:6" x14ac:dyDescent="0.25">
      <c r="F464" s="6"/>
    </row>
    <row r="465" spans="6:6" x14ac:dyDescent="0.25">
      <c r="F465" s="6"/>
    </row>
    <row r="466" spans="6:6" x14ac:dyDescent="0.25">
      <c r="F466" s="6"/>
    </row>
    <row r="467" spans="6:6" x14ac:dyDescent="0.25">
      <c r="F467" s="6"/>
    </row>
    <row r="468" spans="6:6" x14ac:dyDescent="0.25">
      <c r="F468" s="6"/>
    </row>
    <row r="469" spans="6:6" x14ac:dyDescent="0.25">
      <c r="F469" s="6"/>
    </row>
    <row r="470" spans="6:6" x14ac:dyDescent="0.25">
      <c r="F470" s="6"/>
    </row>
    <row r="471" spans="6:6" x14ac:dyDescent="0.25">
      <c r="F471" s="6"/>
    </row>
    <row r="472" spans="6:6" x14ac:dyDescent="0.25">
      <c r="F472" s="6"/>
    </row>
    <row r="473" spans="6:6" x14ac:dyDescent="0.25">
      <c r="F473" s="6"/>
    </row>
    <row r="474" spans="6:6" x14ac:dyDescent="0.25">
      <c r="F474" s="6"/>
    </row>
    <row r="475" spans="6:6" x14ac:dyDescent="0.25">
      <c r="F475" s="6"/>
    </row>
    <row r="476" spans="6:6" x14ac:dyDescent="0.25">
      <c r="F476" s="6"/>
    </row>
    <row r="477" spans="6:6" x14ac:dyDescent="0.25">
      <c r="F477" s="6"/>
    </row>
    <row r="478" spans="6:6" x14ac:dyDescent="0.25">
      <c r="F478" s="6"/>
    </row>
    <row r="479" spans="6:6" x14ac:dyDescent="0.25">
      <c r="F479" s="6"/>
    </row>
    <row r="480" spans="6:6" x14ac:dyDescent="0.25">
      <c r="F480" s="6"/>
    </row>
    <row r="481" spans="3:17" x14ac:dyDescent="0.25">
      <c r="C481" t="s">
        <v>173</v>
      </c>
      <c r="F481" s="6"/>
    </row>
    <row r="482" spans="3:17" x14ac:dyDescent="0.25">
      <c r="F482" s="6"/>
    </row>
    <row r="483" spans="3:17" x14ac:dyDescent="0.25">
      <c r="F483" s="6"/>
    </row>
    <row r="484" spans="3:17" x14ac:dyDescent="0.25">
      <c r="F484" s="6"/>
    </row>
    <row r="485" spans="3:17" x14ac:dyDescent="0.25">
      <c r="F485" s="6"/>
    </row>
    <row r="486" spans="3:17" x14ac:dyDescent="0.25">
      <c r="F486" s="6"/>
    </row>
    <row r="487" spans="3:17" x14ac:dyDescent="0.25">
      <c r="F487" s="6"/>
    </row>
    <row r="488" spans="3:17" x14ac:dyDescent="0.25">
      <c r="F488" s="6"/>
    </row>
    <row r="489" spans="3:17" x14ac:dyDescent="0.25">
      <c r="F489" s="6"/>
    </row>
    <row r="490" spans="3:17" x14ac:dyDescent="0.25">
      <c r="F490" s="6"/>
    </row>
    <row r="491" spans="3:17" x14ac:dyDescent="0.25">
      <c r="F491" s="6"/>
    </row>
    <row r="492" spans="3:17" x14ac:dyDescent="0.25">
      <c r="C492" t="s">
        <v>173</v>
      </c>
      <c r="F492" s="6"/>
    </row>
    <row r="493" spans="3:17" x14ac:dyDescent="0.25">
      <c r="C493" t="s">
        <v>173</v>
      </c>
      <c r="F493" s="6"/>
    </row>
    <row r="494" spans="3:17" x14ac:dyDescent="0.25">
      <c r="C494" t="s">
        <v>173</v>
      </c>
      <c r="F494" s="6"/>
      <c r="Q494">
        <f>ROUNDUP(Enginuity!B6 * 304.8 / Enginuity!B15, 0) * 2</f>
        <v>14</v>
      </c>
    </row>
    <row r="495" spans="3:17" x14ac:dyDescent="0.25">
      <c r="C495" t="s">
        <v>173</v>
      </c>
      <c r="F495" s="6"/>
    </row>
    <row r="496" spans="3:17" x14ac:dyDescent="0.25">
      <c r="C496" t="s">
        <v>173</v>
      </c>
      <c r="F496" s="6"/>
    </row>
    <row r="497" spans="3:17" x14ac:dyDescent="0.25">
      <c r="C497" t="s">
        <v>173</v>
      </c>
      <c r="F497" s="6"/>
      <c r="Q497">
        <f>ROUNDUP(Enginuity!B6 * 304.8 / Enginuity!B15, 0) * 8</f>
        <v>56</v>
      </c>
    </row>
    <row r="498" spans="3:17" x14ac:dyDescent="0.25">
      <c r="C498" t="s">
        <v>173</v>
      </c>
      <c r="F498" s="6"/>
    </row>
    <row r="499" spans="3:17" x14ac:dyDescent="0.25">
      <c r="F499" s="6"/>
    </row>
    <row r="500" spans="3:17" x14ac:dyDescent="0.25">
      <c r="F500" s="6"/>
    </row>
    <row r="501" spans="3:17" x14ac:dyDescent="0.25">
      <c r="F501" s="6"/>
    </row>
    <row r="502" spans="3:17" x14ac:dyDescent="0.25">
      <c r="F502" s="6"/>
    </row>
    <row r="503" spans="3:17" x14ac:dyDescent="0.25">
      <c r="F503" s="6"/>
    </row>
    <row r="504" spans="3:17" x14ac:dyDescent="0.25">
      <c r="F504" s="6"/>
    </row>
    <row r="505" spans="3:17" x14ac:dyDescent="0.25">
      <c r="F505" s="6"/>
    </row>
    <row r="506" spans="3:17" x14ac:dyDescent="0.25">
      <c r="F506" s="6"/>
    </row>
    <row r="507" spans="3:17" x14ac:dyDescent="0.25">
      <c r="F507" s="6"/>
    </row>
    <row r="508" spans="3:17" x14ac:dyDescent="0.25">
      <c r="F508" s="6"/>
    </row>
    <row r="509" spans="3:17" x14ac:dyDescent="0.25">
      <c r="F509" s="6"/>
    </row>
    <row r="510" spans="3:17" x14ac:dyDescent="0.25">
      <c r="F510" s="6"/>
    </row>
    <row r="511" spans="3:17" x14ac:dyDescent="0.25">
      <c r="F511" s="6"/>
    </row>
    <row r="512" spans="3:17" x14ac:dyDescent="0.25">
      <c r="F512" s="6"/>
    </row>
    <row r="513" spans="6:6" x14ac:dyDescent="0.25">
      <c r="F513" s="6"/>
    </row>
    <row r="514" spans="6:6" x14ac:dyDescent="0.25">
      <c r="F514" s="6"/>
    </row>
    <row r="515" spans="6:6" x14ac:dyDescent="0.25">
      <c r="F515" s="6"/>
    </row>
    <row r="516" spans="6:6" x14ac:dyDescent="0.25">
      <c r="F516" s="6"/>
    </row>
    <row r="517" spans="6:6" x14ac:dyDescent="0.25">
      <c r="F517" s="6"/>
    </row>
    <row r="518" spans="6:6" x14ac:dyDescent="0.25">
      <c r="F518" s="6"/>
    </row>
    <row r="519" spans="6:6" x14ac:dyDescent="0.25">
      <c r="F519" s="6"/>
    </row>
    <row r="520" spans="6:6" x14ac:dyDescent="0.25">
      <c r="F520" s="6"/>
    </row>
    <row r="521" spans="6:6" x14ac:dyDescent="0.25">
      <c r="F521" s="6"/>
    </row>
    <row r="522" spans="6:6" x14ac:dyDescent="0.25">
      <c r="F522" s="6"/>
    </row>
    <row r="523" spans="6:6" x14ac:dyDescent="0.25">
      <c r="F523" s="6"/>
    </row>
    <row r="524" spans="6:6" x14ac:dyDescent="0.25">
      <c r="F524" s="6"/>
    </row>
    <row r="525" spans="6:6" x14ac:dyDescent="0.25">
      <c r="F525" s="6"/>
    </row>
    <row r="526" spans="6:6" x14ac:dyDescent="0.25">
      <c r="F526" s="6"/>
    </row>
    <row r="527" spans="6:6" x14ac:dyDescent="0.25">
      <c r="F527" s="6"/>
    </row>
    <row r="528" spans="6:6" x14ac:dyDescent="0.25">
      <c r="F528" s="6"/>
    </row>
    <row r="529" spans="6:6" x14ac:dyDescent="0.25">
      <c r="F529" s="6"/>
    </row>
    <row r="530" spans="6:6" x14ac:dyDescent="0.25">
      <c r="F530" s="6"/>
    </row>
    <row r="531" spans="6:6" x14ac:dyDescent="0.25">
      <c r="F531" s="6"/>
    </row>
    <row r="532" spans="6:6" x14ac:dyDescent="0.25">
      <c r="F532" s="6"/>
    </row>
    <row r="533" spans="6:6" x14ac:dyDescent="0.25">
      <c r="F533" s="6"/>
    </row>
    <row r="534" spans="6:6" x14ac:dyDescent="0.25">
      <c r="F534" s="6"/>
    </row>
    <row r="535" spans="6:6" x14ac:dyDescent="0.25">
      <c r="F535" s="6"/>
    </row>
    <row r="536" spans="6:6" x14ac:dyDescent="0.25">
      <c r="F536" s="6"/>
    </row>
    <row r="537" spans="6:6" x14ac:dyDescent="0.25">
      <c r="F537" s="6"/>
    </row>
    <row r="538" spans="6:6" x14ac:dyDescent="0.25">
      <c r="F538" s="6"/>
    </row>
    <row r="539" spans="6:6" x14ac:dyDescent="0.25">
      <c r="F539" s="6"/>
    </row>
    <row r="540" spans="6:6" x14ac:dyDescent="0.25">
      <c r="F540" s="6"/>
    </row>
    <row r="541" spans="6:6" x14ac:dyDescent="0.25">
      <c r="F541" s="6"/>
    </row>
    <row r="542" spans="6:6" x14ac:dyDescent="0.25">
      <c r="F542" s="6"/>
    </row>
    <row r="543" spans="6:6" x14ac:dyDescent="0.25">
      <c r="F543" s="6"/>
    </row>
    <row r="544" spans="6:6" x14ac:dyDescent="0.25">
      <c r="F544" s="6"/>
    </row>
    <row r="545" spans="6:6" x14ac:dyDescent="0.25">
      <c r="F545" s="6"/>
    </row>
    <row r="546" spans="6:6" x14ac:dyDescent="0.25">
      <c r="F546" s="6"/>
    </row>
    <row r="547" spans="6:6" x14ac:dyDescent="0.25">
      <c r="F547" s="6"/>
    </row>
    <row r="548" spans="6:6" x14ac:dyDescent="0.25">
      <c r="F548" s="6"/>
    </row>
    <row r="549" spans="6:6" x14ac:dyDescent="0.25">
      <c r="F549" s="6"/>
    </row>
    <row r="550" spans="6:6" x14ac:dyDescent="0.25">
      <c r="F550" s="6"/>
    </row>
    <row r="551" spans="6:6" x14ac:dyDescent="0.25">
      <c r="F551" s="6"/>
    </row>
    <row r="552" spans="6:6" x14ac:dyDescent="0.25">
      <c r="F552" s="6"/>
    </row>
    <row r="553" spans="6:6" x14ac:dyDescent="0.25">
      <c r="F553" s="6"/>
    </row>
    <row r="554" spans="6:6" x14ac:dyDescent="0.25">
      <c r="F554" s="6"/>
    </row>
    <row r="555" spans="6:6" x14ac:dyDescent="0.25">
      <c r="F555" s="6"/>
    </row>
    <row r="556" spans="6:6" x14ac:dyDescent="0.25">
      <c r="F556" s="6"/>
    </row>
    <row r="557" spans="6:6" x14ac:dyDescent="0.25">
      <c r="F557" s="6"/>
    </row>
    <row r="558" spans="6:6" x14ac:dyDescent="0.25">
      <c r="F558" s="6"/>
    </row>
    <row r="559" spans="6:6" x14ac:dyDescent="0.25">
      <c r="F559" s="6"/>
    </row>
    <row r="560" spans="6:6" x14ac:dyDescent="0.25">
      <c r="F560" s="6"/>
    </row>
    <row r="561" spans="6:6" x14ac:dyDescent="0.25">
      <c r="F561" s="6"/>
    </row>
    <row r="562" spans="6:6" x14ac:dyDescent="0.25">
      <c r="F562" s="6"/>
    </row>
    <row r="563" spans="6:6" x14ac:dyDescent="0.25">
      <c r="F563" s="6"/>
    </row>
    <row r="564" spans="6:6" x14ac:dyDescent="0.25">
      <c r="F564" s="6"/>
    </row>
    <row r="565" spans="6:6" x14ac:dyDescent="0.25">
      <c r="F565" s="6"/>
    </row>
    <row r="566" spans="6:6" x14ac:dyDescent="0.25">
      <c r="F566" s="6"/>
    </row>
    <row r="567" spans="6:6" x14ac:dyDescent="0.25">
      <c r="F567" s="6"/>
    </row>
    <row r="568" spans="6:6" x14ac:dyDescent="0.25">
      <c r="F568" s="6"/>
    </row>
    <row r="569" spans="6:6" x14ac:dyDescent="0.25">
      <c r="F569" s="6"/>
    </row>
    <row r="570" spans="6:6" x14ac:dyDescent="0.25">
      <c r="F570" s="6"/>
    </row>
    <row r="571" spans="6:6" x14ac:dyDescent="0.25">
      <c r="F571" s="6"/>
    </row>
    <row r="572" spans="6:6" x14ac:dyDescent="0.25">
      <c r="F572" s="6"/>
    </row>
    <row r="573" spans="6:6" x14ac:dyDescent="0.25">
      <c r="F573" s="6"/>
    </row>
    <row r="574" spans="6:6" x14ac:dyDescent="0.25">
      <c r="F574" s="6"/>
    </row>
    <row r="575" spans="6:6" x14ac:dyDescent="0.25">
      <c r="F575" s="6"/>
    </row>
    <row r="576" spans="6:6" x14ac:dyDescent="0.25">
      <c r="F576" s="6"/>
    </row>
    <row r="577" spans="6:6" x14ac:dyDescent="0.25">
      <c r="F577" s="6"/>
    </row>
    <row r="578" spans="6:6" x14ac:dyDescent="0.25">
      <c r="F578" s="6"/>
    </row>
    <row r="579" spans="6:6" x14ac:dyDescent="0.25">
      <c r="F579" s="6"/>
    </row>
    <row r="580" spans="6:6" x14ac:dyDescent="0.25">
      <c r="F580" s="6"/>
    </row>
    <row r="581" spans="6:6" x14ac:dyDescent="0.25">
      <c r="F581" s="6"/>
    </row>
    <row r="582" spans="6:6" x14ac:dyDescent="0.25">
      <c r="F582" s="6"/>
    </row>
    <row r="583" spans="6:6" x14ac:dyDescent="0.25">
      <c r="F583" s="6"/>
    </row>
    <row r="584" spans="6:6" x14ac:dyDescent="0.25">
      <c r="F584" s="6"/>
    </row>
    <row r="585" spans="6:6" x14ac:dyDescent="0.25">
      <c r="F585" s="6"/>
    </row>
    <row r="586" spans="6:6" x14ac:dyDescent="0.25">
      <c r="F586" s="6"/>
    </row>
    <row r="587" spans="6:6" x14ac:dyDescent="0.25">
      <c r="F587" s="6"/>
    </row>
    <row r="588" spans="6:6" x14ac:dyDescent="0.25">
      <c r="F588" s="6"/>
    </row>
    <row r="589" spans="6:6" x14ac:dyDescent="0.25">
      <c r="F589" s="6"/>
    </row>
    <row r="590" spans="6:6" x14ac:dyDescent="0.25">
      <c r="F590" s="6"/>
    </row>
    <row r="591" spans="6:6" x14ac:dyDescent="0.25">
      <c r="F591" s="6"/>
    </row>
    <row r="592" spans="6:6" x14ac:dyDescent="0.25">
      <c r="F592" s="6"/>
    </row>
    <row r="593" spans="6:6" x14ac:dyDescent="0.25">
      <c r="F593" s="6"/>
    </row>
    <row r="594" spans="6:6" x14ac:dyDescent="0.25">
      <c r="F594" s="6"/>
    </row>
    <row r="595" spans="6:6" x14ac:dyDescent="0.25">
      <c r="F595" s="6"/>
    </row>
    <row r="596" spans="6:6" x14ac:dyDescent="0.25">
      <c r="F596" s="6"/>
    </row>
    <row r="597" spans="6:6" x14ac:dyDescent="0.25">
      <c r="F597" s="6"/>
    </row>
    <row r="598" spans="6:6" x14ac:dyDescent="0.25">
      <c r="F598" s="6"/>
    </row>
    <row r="599" spans="6:6" x14ac:dyDescent="0.25">
      <c r="F599" s="6"/>
    </row>
    <row r="600" spans="6:6" x14ac:dyDescent="0.25">
      <c r="F600" s="6"/>
    </row>
    <row r="601" spans="6:6" x14ac:dyDescent="0.25">
      <c r="F601" s="6"/>
    </row>
    <row r="602" spans="6:6" x14ac:dyDescent="0.25">
      <c r="F602" s="6"/>
    </row>
    <row r="603" spans="6:6" x14ac:dyDescent="0.25">
      <c r="F603" s="6"/>
    </row>
    <row r="604" spans="6:6" x14ac:dyDescent="0.25">
      <c r="F604" s="6"/>
    </row>
    <row r="605" spans="6:6" x14ac:dyDescent="0.25">
      <c r="F605" s="6"/>
    </row>
    <row r="606" spans="6:6" x14ac:dyDescent="0.25">
      <c r="F606" s="6"/>
    </row>
    <row r="607" spans="6:6" x14ac:dyDescent="0.25">
      <c r="F607" s="6"/>
    </row>
    <row r="608" spans="6:6" x14ac:dyDescent="0.25">
      <c r="F608" s="6"/>
    </row>
    <row r="609" spans="6:6" x14ac:dyDescent="0.25">
      <c r="F609" s="6"/>
    </row>
    <row r="610" spans="6:6" x14ac:dyDescent="0.25">
      <c r="F610" s="6"/>
    </row>
    <row r="611" spans="6:6" x14ac:dyDescent="0.25">
      <c r="F611" s="6"/>
    </row>
    <row r="612" spans="6:6" x14ac:dyDescent="0.25">
      <c r="F612" s="6"/>
    </row>
    <row r="613" spans="6:6" x14ac:dyDescent="0.25">
      <c r="F613" s="6"/>
    </row>
    <row r="614" spans="6:6" x14ac:dyDescent="0.25">
      <c r="F614" s="6"/>
    </row>
    <row r="615" spans="6:6" x14ac:dyDescent="0.25">
      <c r="F615" s="6"/>
    </row>
    <row r="616" spans="6:6" x14ac:dyDescent="0.25">
      <c r="F616" s="6"/>
    </row>
    <row r="617" spans="6:6" x14ac:dyDescent="0.25">
      <c r="F617" s="6"/>
    </row>
    <row r="618" spans="6:6" x14ac:dyDescent="0.25">
      <c r="F618" s="6"/>
    </row>
    <row r="619" spans="6:6" x14ac:dyDescent="0.25">
      <c r="F619" s="6"/>
    </row>
    <row r="620" spans="6:6" x14ac:dyDescent="0.25">
      <c r="F620" s="6"/>
    </row>
    <row r="621" spans="6:6" x14ac:dyDescent="0.25">
      <c r="F621" s="6"/>
    </row>
    <row r="622" spans="6:6" x14ac:dyDescent="0.25">
      <c r="F622" s="6"/>
    </row>
    <row r="623" spans="6:6" x14ac:dyDescent="0.25">
      <c r="F623" s="6"/>
    </row>
    <row r="624" spans="6:6" x14ac:dyDescent="0.25">
      <c r="F624" s="6"/>
    </row>
    <row r="625" spans="6:6" x14ac:dyDescent="0.25">
      <c r="F625" s="6"/>
    </row>
    <row r="626" spans="6:6" x14ac:dyDescent="0.25">
      <c r="F626" s="6"/>
    </row>
    <row r="627" spans="6:6" x14ac:dyDescent="0.25">
      <c r="F627" s="6"/>
    </row>
    <row r="628" spans="6:6" x14ac:dyDescent="0.25">
      <c r="F628" s="6"/>
    </row>
    <row r="629" spans="6:6" x14ac:dyDescent="0.25">
      <c r="F629" s="6"/>
    </row>
    <row r="630" spans="6:6" x14ac:dyDescent="0.25">
      <c r="F630" s="6"/>
    </row>
    <row r="631" spans="6:6" x14ac:dyDescent="0.25">
      <c r="F631" s="6"/>
    </row>
    <row r="632" spans="6:6" x14ac:dyDescent="0.25">
      <c r="F632" s="6"/>
    </row>
    <row r="633" spans="6:6" x14ac:dyDescent="0.25">
      <c r="F633" s="6"/>
    </row>
    <row r="634" spans="6:6" x14ac:dyDescent="0.25">
      <c r="F634" s="6"/>
    </row>
    <row r="635" spans="6:6" x14ac:dyDescent="0.25">
      <c r="F635" s="6"/>
    </row>
    <row r="636" spans="6:6" x14ac:dyDescent="0.25">
      <c r="F636" s="6"/>
    </row>
    <row r="637" spans="6:6" x14ac:dyDescent="0.25">
      <c r="F637" s="6"/>
    </row>
    <row r="638" spans="6:6" x14ac:dyDescent="0.25">
      <c r="F638" s="6"/>
    </row>
    <row r="639" spans="6:6" x14ac:dyDescent="0.25">
      <c r="F639" s="6"/>
    </row>
    <row r="640" spans="6:6" x14ac:dyDescent="0.25">
      <c r="F640" s="6"/>
    </row>
    <row r="641" spans="6:6" x14ac:dyDescent="0.25">
      <c r="F641" s="6"/>
    </row>
    <row r="642" spans="6:6" x14ac:dyDescent="0.25">
      <c r="F642" s="6"/>
    </row>
    <row r="643" spans="6:6" x14ac:dyDescent="0.25">
      <c r="F643" s="6"/>
    </row>
    <row r="644" spans="6:6" x14ac:dyDescent="0.25">
      <c r="F644" s="6"/>
    </row>
    <row r="645" spans="6:6" x14ac:dyDescent="0.25">
      <c r="F645" s="6"/>
    </row>
    <row r="646" spans="6:6" x14ac:dyDescent="0.25">
      <c r="F646" s="6"/>
    </row>
    <row r="647" spans="6:6" x14ac:dyDescent="0.25">
      <c r="F647" s="6"/>
    </row>
    <row r="648" spans="6:6" x14ac:dyDescent="0.25">
      <c r="F648" s="6"/>
    </row>
    <row r="649" spans="6:6" x14ac:dyDescent="0.25">
      <c r="F649" s="6"/>
    </row>
    <row r="650" spans="6:6" x14ac:dyDescent="0.25">
      <c r="F650" s="6"/>
    </row>
    <row r="651" spans="6:6" x14ac:dyDescent="0.25">
      <c r="F651" s="6"/>
    </row>
    <row r="652" spans="6:6" x14ac:dyDescent="0.25">
      <c r="F652" s="6"/>
    </row>
    <row r="653" spans="6:6" x14ac:dyDescent="0.25">
      <c r="F653" s="6"/>
    </row>
    <row r="654" spans="6:6" x14ac:dyDescent="0.25">
      <c r="F654" s="6"/>
    </row>
    <row r="655" spans="6:6" x14ac:dyDescent="0.25">
      <c r="F655" s="6"/>
    </row>
    <row r="656" spans="6:6" x14ac:dyDescent="0.25">
      <c r="F656" s="6"/>
    </row>
    <row r="657" spans="6:6" x14ac:dyDescent="0.25">
      <c r="F657" s="6"/>
    </row>
    <row r="658" spans="6:6" x14ac:dyDescent="0.25">
      <c r="F658" s="6"/>
    </row>
    <row r="659" spans="6:6" x14ac:dyDescent="0.25">
      <c r="F659" s="6"/>
    </row>
    <row r="660" spans="6:6" x14ac:dyDescent="0.25">
      <c r="F660" s="6"/>
    </row>
    <row r="661" spans="6:6" x14ac:dyDescent="0.25">
      <c r="F661" s="6"/>
    </row>
    <row r="662" spans="6:6" x14ac:dyDescent="0.25">
      <c r="F662" s="6"/>
    </row>
    <row r="663" spans="6:6" x14ac:dyDescent="0.25">
      <c r="F663" s="6"/>
    </row>
    <row r="664" spans="6:6" x14ac:dyDescent="0.25">
      <c r="F664" s="6"/>
    </row>
    <row r="665" spans="6:6" x14ac:dyDescent="0.25">
      <c r="F665" s="6"/>
    </row>
    <row r="666" spans="6:6" x14ac:dyDescent="0.25">
      <c r="F666" s="6"/>
    </row>
    <row r="667" spans="6:6" x14ac:dyDescent="0.25">
      <c r="F667" s="6"/>
    </row>
    <row r="668" spans="6:6" x14ac:dyDescent="0.25">
      <c r="F668" s="6"/>
    </row>
    <row r="669" spans="6:6" x14ac:dyDescent="0.25">
      <c r="F669" s="6"/>
    </row>
    <row r="670" spans="6:6" x14ac:dyDescent="0.25">
      <c r="F670" s="6"/>
    </row>
    <row r="671" spans="6:6" x14ac:dyDescent="0.25">
      <c r="F671" s="6"/>
    </row>
    <row r="672" spans="6:6" x14ac:dyDescent="0.25">
      <c r="F672" s="6"/>
    </row>
    <row r="673" spans="6:6" x14ac:dyDescent="0.25">
      <c r="F673" s="6"/>
    </row>
    <row r="674" spans="6:6" x14ac:dyDescent="0.25">
      <c r="F674" s="6"/>
    </row>
    <row r="675" spans="6:6" x14ac:dyDescent="0.25">
      <c r="F675" s="6"/>
    </row>
    <row r="676" spans="6:6" x14ac:dyDescent="0.25">
      <c r="F676" s="6"/>
    </row>
    <row r="677" spans="6:6" x14ac:dyDescent="0.25">
      <c r="F677" s="6"/>
    </row>
    <row r="678" spans="6:6" x14ac:dyDescent="0.25">
      <c r="F678" s="6"/>
    </row>
    <row r="679" spans="6:6" x14ac:dyDescent="0.25">
      <c r="F679" s="6"/>
    </row>
    <row r="680" spans="6:6" x14ac:dyDescent="0.25">
      <c r="F680" s="6"/>
    </row>
    <row r="681" spans="6:6" x14ac:dyDescent="0.25">
      <c r="F681" s="6"/>
    </row>
    <row r="682" spans="6:6" x14ac:dyDescent="0.25">
      <c r="F682" s="6"/>
    </row>
    <row r="683" spans="6:6" x14ac:dyDescent="0.25">
      <c r="F683" s="6"/>
    </row>
    <row r="684" spans="6:6" x14ac:dyDescent="0.25">
      <c r="F684" s="6"/>
    </row>
    <row r="685" spans="6:6" x14ac:dyDescent="0.25">
      <c r="F685" s="6"/>
    </row>
    <row r="686" spans="6:6" x14ac:dyDescent="0.25">
      <c r="F686" s="6"/>
    </row>
    <row r="687" spans="6:6" x14ac:dyDescent="0.25">
      <c r="F687" s="6"/>
    </row>
    <row r="688" spans="6:6" x14ac:dyDescent="0.25">
      <c r="F688" s="6"/>
    </row>
    <row r="689" spans="6:6" x14ac:dyDescent="0.25">
      <c r="F689" s="6"/>
    </row>
    <row r="690" spans="6:6" x14ac:dyDescent="0.25">
      <c r="F690" s="6"/>
    </row>
    <row r="691" spans="6:6" x14ac:dyDescent="0.25">
      <c r="F691" s="6"/>
    </row>
    <row r="692" spans="6:6" x14ac:dyDescent="0.25">
      <c r="F692" s="6"/>
    </row>
    <row r="693" spans="6:6" x14ac:dyDescent="0.25">
      <c r="F693" s="6"/>
    </row>
    <row r="694" spans="6:6" x14ac:dyDescent="0.25">
      <c r="F694" s="6"/>
    </row>
    <row r="695" spans="6:6" x14ac:dyDescent="0.25">
      <c r="F695" s="6"/>
    </row>
    <row r="696" spans="6:6" x14ac:dyDescent="0.25">
      <c r="F696" s="6"/>
    </row>
    <row r="697" spans="6:6" x14ac:dyDescent="0.25">
      <c r="F697" s="6"/>
    </row>
    <row r="698" spans="6:6" x14ac:dyDescent="0.25">
      <c r="F698" s="6"/>
    </row>
    <row r="699" spans="6:6" x14ac:dyDescent="0.25">
      <c r="F699" s="6"/>
    </row>
    <row r="700" spans="6:6" x14ac:dyDescent="0.25">
      <c r="F700" s="6"/>
    </row>
    <row r="701" spans="6:6" x14ac:dyDescent="0.25">
      <c r="F701" s="6"/>
    </row>
    <row r="702" spans="6:6" x14ac:dyDescent="0.25">
      <c r="F702" s="6"/>
    </row>
    <row r="703" spans="6:6" x14ac:dyDescent="0.25">
      <c r="F703" s="6"/>
    </row>
    <row r="704" spans="6:6" x14ac:dyDescent="0.25">
      <c r="F704" s="6"/>
    </row>
    <row r="705" spans="6:6" x14ac:dyDescent="0.25">
      <c r="F705" s="6"/>
    </row>
    <row r="706" spans="6:6" x14ac:dyDescent="0.25">
      <c r="F706" s="6"/>
    </row>
    <row r="707" spans="6:6" x14ac:dyDescent="0.25">
      <c r="F707" s="6"/>
    </row>
    <row r="708" spans="6:6" x14ac:dyDescent="0.25">
      <c r="F708" s="6"/>
    </row>
    <row r="709" spans="6:6" x14ac:dyDescent="0.25">
      <c r="F709" s="6"/>
    </row>
    <row r="710" spans="6:6" x14ac:dyDescent="0.25">
      <c r="F710" s="6"/>
    </row>
    <row r="711" spans="6:6" x14ac:dyDescent="0.25">
      <c r="F711" s="6"/>
    </row>
    <row r="712" spans="6:6" x14ac:dyDescent="0.25">
      <c r="F712" s="6"/>
    </row>
    <row r="713" spans="6:6" x14ac:dyDescent="0.25">
      <c r="F713" s="6"/>
    </row>
    <row r="714" spans="6:6" x14ac:dyDescent="0.25">
      <c r="F714" s="6"/>
    </row>
    <row r="715" spans="6:6" x14ac:dyDescent="0.25">
      <c r="F715" s="6"/>
    </row>
    <row r="716" spans="6:6" x14ac:dyDescent="0.25">
      <c r="F716" s="6"/>
    </row>
    <row r="717" spans="6:6" x14ac:dyDescent="0.25">
      <c r="F717" s="6"/>
    </row>
    <row r="718" spans="6:6" x14ac:dyDescent="0.25">
      <c r="F718" s="6"/>
    </row>
    <row r="719" spans="6:6" x14ac:dyDescent="0.25">
      <c r="F719" s="6"/>
    </row>
    <row r="720" spans="6:6" x14ac:dyDescent="0.25">
      <c r="F720" s="6"/>
    </row>
    <row r="721" spans="6:6" x14ac:dyDescent="0.25">
      <c r="F721" s="6"/>
    </row>
    <row r="722" spans="6:6" x14ac:dyDescent="0.25">
      <c r="F722" s="6"/>
    </row>
    <row r="723" spans="6:6" x14ac:dyDescent="0.25">
      <c r="F723" s="6"/>
    </row>
    <row r="724" spans="6:6" x14ac:dyDescent="0.25">
      <c r="F724" s="6"/>
    </row>
    <row r="725" spans="6:6" x14ac:dyDescent="0.25">
      <c r="F725" s="6"/>
    </row>
    <row r="726" spans="6:6" x14ac:dyDescent="0.25">
      <c r="F726" s="6"/>
    </row>
    <row r="727" spans="6:6" x14ac:dyDescent="0.25">
      <c r="F727" s="6"/>
    </row>
    <row r="728" spans="6:6" x14ac:dyDescent="0.25">
      <c r="F728" s="6"/>
    </row>
    <row r="729" spans="6:6" x14ac:dyDescent="0.25">
      <c r="F729" s="6"/>
    </row>
    <row r="730" spans="6:6" x14ac:dyDescent="0.25">
      <c r="F730" s="6"/>
    </row>
    <row r="731" spans="6:6" x14ac:dyDescent="0.25">
      <c r="F731" s="6"/>
    </row>
    <row r="732" spans="6:6" x14ac:dyDescent="0.25">
      <c r="F732" s="6"/>
    </row>
    <row r="733" spans="6:6" x14ac:dyDescent="0.25">
      <c r="F733" s="6"/>
    </row>
    <row r="734" spans="6:6" x14ac:dyDescent="0.25">
      <c r="F734" s="6"/>
    </row>
    <row r="735" spans="6:6" x14ac:dyDescent="0.25">
      <c r="F735" s="6"/>
    </row>
    <row r="736" spans="6:6" x14ac:dyDescent="0.25">
      <c r="F736" s="6"/>
    </row>
    <row r="737" spans="6:6" x14ac:dyDescent="0.25">
      <c r="F737" s="6"/>
    </row>
    <row r="738" spans="6:6" x14ac:dyDescent="0.25">
      <c r="F738" s="6"/>
    </row>
    <row r="739" spans="6:6" x14ac:dyDescent="0.25">
      <c r="F739" s="6"/>
    </row>
    <row r="740" spans="6:6" x14ac:dyDescent="0.25">
      <c r="F740" s="6"/>
    </row>
    <row r="741" spans="6:6" x14ac:dyDescent="0.25">
      <c r="F741" s="6"/>
    </row>
    <row r="742" spans="6:6" x14ac:dyDescent="0.25">
      <c r="F742" s="6"/>
    </row>
    <row r="743" spans="6:6" x14ac:dyDescent="0.25">
      <c r="F743" s="6"/>
    </row>
    <row r="744" spans="6:6" x14ac:dyDescent="0.25">
      <c r="F744" s="6"/>
    </row>
    <row r="745" spans="6:6" x14ac:dyDescent="0.25">
      <c r="F745" s="6"/>
    </row>
    <row r="746" spans="6:6" x14ac:dyDescent="0.25">
      <c r="F746" s="6"/>
    </row>
    <row r="747" spans="6:6" x14ac:dyDescent="0.25">
      <c r="F747" s="6"/>
    </row>
    <row r="748" spans="6:6" x14ac:dyDescent="0.25">
      <c r="F748" s="6"/>
    </row>
    <row r="749" spans="6:6" x14ac:dyDescent="0.25">
      <c r="F749" s="6"/>
    </row>
    <row r="750" spans="6:6" x14ac:dyDescent="0.25">
      <c r="F750" s="6"/>
    </row>
    <row r="751" spans="6:6" x14ac:dyDescent="0.25">
      <c r="F751" s="6"/>
    </row>
    <row r="752" spans="6:6" x14ac:dyDescent="0.25">
      <c r="F752" s="6"/>
    </row>
    <row r="753" spans="6:6" x14ac:dyDescent="0.25">
      <c r="F753" s="6"/>
    </row>
    <row r="754" spans="6:6" x14ac:dyDescent="0.25">
      <c r="F754" s="6"/>
    </row>
    <row r="755" spans="6:6" x14ac:dyDescent="0.25">
      <c r="F755" s="6"/>
    </row>
    <row r="756" spans="6:6" x14ac:dyDescent="0.25">
      <c r="F756" s="6"/>
    </row>
    <row r="757" spans="6:6" x14ac:dyDescent="0.25">
      <c r="F757" s="6"/>
    </row>
    <row r="758" spans="6:6" x14ac:dyDescent="0.25">
      <c r="F758" s="6"/>
    </row>
    <row r="759" spans="6:6" x14ac:dyDescent="0.25">
      <c r="F759" s="6"/>
    </row>
    <row r="760" spans="6:6" x14ac:dyDescent="0.25">
      <c r="F760" s="6"/>
    </row>
    <row r="761" spans="6:6" x14ac:dyDescent="0.25">
      <c r="F761" s="6"/>
    </row>
    <row r="762" spans="6:6" x14ac:dyDescent="0.25">
      <c r="F762" s="6"/>
    </row>
    <row r="763" spans="6:6" x14ac:dyDescent="0.25">
      <c r="F763" s="6"/>
    </row>
    <row r="764" spans="6:6" x14ac:dyDescent="0.25">
      <c r="F764" s="6"/>
    </row>
    <row r="765" spans="6:6" x14ac:dyDescent="0.25">
      <c r="F765" s="6"/>
    </row>
    <row r="766" spans="6:6" x14ac:dyDescent="0.25">
      <c r="F766" s="6"/>
    </row>
    <row r="767" spans="6:6" x14ac:dyDescent="0.25">
      <c r="F767" s="6"/>
    </row>
    <row r="768" spans="6:6" x14ac:dyDescent="0.25">
      <c r="F768" s="6"/>
    </row>
    <row r="769" spans="6:6" x14ac:dyDescent="0.25">
      <c r="F769" s="6"/>
    </row>
    <row r="770" spans="6:6" x14ac:dyDescent="0.25">
      <c r="F770" s="6"/>
    </row>
    <row r="771" spans="6:6" x14ac:dyDescent="0.25">
      <c r="F771" s="6"/>
    </row>
    <row r="772" spans="6:6" x14ac:dyDescent="0.25">
      <c r="F772" s="6"/>
    </row>
    <row r="773" spans="6:6" x14ac:dyDescent="0.25">
      <c r="F773" s="6"/>
    </row>
    <row r="774" spans="6:6" x14ac:dyDescent="0.25">
      <c r="F774" s="6"/>
    </row>
    <row r="775" spans="6:6" x14ac:dyDescent="0.25">
      <c r="F775" s="6"/>
    </row>
    <row r="776" spans="6:6" x14ac:dyDescent="0.25">
      <c r="F776" s="6"/>
    </row>
    <row r="777" spans="6:6" x14ac:dyDescent="0.25">
      <c r="F777" s="6"/>
    </row>
    <row r="778" spans="6:6" x14ac:dyDescent="0.25">
      <c r="F778" s="6"/>
    </row>
    <row r="779" spans="6:6" x14ac:dyDescent="0.25">
      <c r="F779" s="6"/>
    </row>
    <row r="780" spans="6:6" x14ac:dyDescent="0.25">
      <c r="F780" s="6"/>
    </row>
    <row r="781" spans="6:6" x14ac:dyDescent="0.25">
      <c r="F781" s="6"/>
    </row>
    <row r="782" spans="6:6" x14ac:dyDescent="0.25">
      <c r="F782" s="6"/>
    </row>
    <row r="783" spans="6:6" x14ac:dyDescent="0.25">
      <c r="F783" s="6"/>
    </row>
    <row r="784" spans="6:6" x14ac:dyDescent="0.25">
      <c r="F784" s="6"/>
    </row>
    <row r="785" spans="6:6" x14ac:dyDescent="0.25">
      <c r="F785" s="6"/>
    </row>
    <row r="786" spans="6:6" x14ac:dyDescent="0.25">
      <c r="F786" s="6"/>
    </row>
    <row r="787" spans="6:6" x14ac:dyDescent="0.25">
      <c r="F787" s="6"/>
    </row>
    <row r="788" spans="6:6" x14ac:dyDescent="0.25">
      <c r="F788" s="6"/>
    </row>
    <row r="789" spans="6:6" x14ac:dyDescent="0.25">
      <c r="F789" s="6"/>
    </row>
    <row r="790" spans="6:6" x14ac:dyDescent="0.25">
      <c r="F790" s="6"/>
    </row>
    <row r="791" spans="6:6" x14ac:dyDescent="0.25">
      <c r="F791" s="6"/>
    </row>
    <row r="792" spans="6:6" x14ac:dyDescent="0.25">
      <c r="F792" s="6"/>
    </row>
    <row r="793" spans="6:6" x14ac:dyDescent="0.25">
      <c r="F793" s="6"/>
    </row>
    <row r="794" spans="6:6" x14ac:dyDescent="0.25">
      <c r="F794" s="6"/>
    </row>
    <row r="795" spans="6:6" x14ac:dyDescent="0.25">
      <c r="F795" s="6"/>
    </row>
    <row r="796" spans="6:6" x14ac:dyDescent="0.25">
      <c r="F796" s="6"/>
    </row>
    <row r="797" spans="6:6" x14ac:dyDescent="0.25">
      <c r="F797" s="6"/>
    </row>
    <row r="798" spans="6:6" x14ac:dyDescent="0.25">
      <c r="F798" s="6"/>
    </row>
    <row r="799" spans="6:6" x14ac:dyDescent="0.25">
      <c r="F799" s="6"/>
    </row>
    <row r="800" spans="6:6" x14ac:dyDescent="0.25">
      <c r="F800" s="6"/>
    </row>
    <row r="801" spans="6:6" x14ac:dyDescent="0.25">
      <c r="F801" s="6"/>
    </row>
    <row r="802" spans="6:6" x14ac:dyDescent="0.25">
      <c r="F802" s="6"/>
    </row>
    <row r="803" spans="6:6" x14ac:dyDescent="0.25">
      <c r="F803" s="6"/>
    </row>
    <row r="804" spans="6:6" x14ac:dyDescent="0.25">
      <c r="F804" s="6"/>
    </row>
    <row r="805" spans="6:6" x14ac:dyDescent="0.25">
      <c r="F805" s="6"/>
    </row>
    <row r="806" spans="6:6" x14ac:dyDescent="0.25">
      <c r="F806" s="6"/>
    </row>
    <row r="807" spans="6:6" x14ac:dyDescent="0.25">
      <c r="F807" s="6"/>
    </row>
    <row r="808" spans="6:6" x14ac:dyDescent="0.25">
      <c r="F808" s="6"/>
    </row>
    <row r="809" spans="6:6" x14ac:dyDescent="0.25">
      <c r="F809" s="6"/>
    </row>
    <row r="810" spans="6:6" x14ac:dyDescent="0.25">
      <c r="F810" s="6"/>
    </row>
    <row r="811" spans="6:6" x14ac:dyDescent="0.25">
      <c r="F811" s="6"/>
    </row>
    <row r="812" spans="6:6" x14ac:dyDescent="0.25">
      <c r="F812" s="6"/>
    </row>
    <row r="813" spans="6:6" x14ac:dyDescent="0.25">
      <c r="F813" s="6"/>
    </row>
    <row r="814" spans="6:6" x14ac:dyDescent="0.25">
      <c r="F814" s="6"/>
    </row>
    <row r="815" spans="6:6" x14ac:dyDescent="0.25">
      <c r="F815" s="6"/>
    </row>
    <row r="816" spans="6:6" x14ac:dyDescent="0.25">
      <c r="F816" s="6"/>
    </row>
    <row r="817" spans="6:6" x14ac:dyDescent="0.25">
      <c r="F817" s="6"/>
    </row>
    <row r="818" spans="6:6" x14ac:dyDescent="0.25">
      <c r="F818" s="6"/>
    </row>
    <row r="819" spans="6:6" x14ac:dyDescent="0.25">
      <c r="F819" s="6"/>
    </row>
    <row r="820" spans="6:6" x14ac:dyDescent="0.25">
      <c r="F820" s="6"/>
    </row>
    <row r="821" spans="6:6" x14ac:dyDescent="0.25">
      <c r="F821" s="6"/>
    </row>
    <row r="822" spans="6:6" x14ac:dyDescent="0.25">
      <c r="F822" s="6"/>
    </row>
    <row r="823" spans="6:6" x14ac:dyDescent="0.25">
      <c r="F823" s="6"/>
    </row>
    <row r="824" spans="6:6" x14ac:dyDescent="0.25">
      <c r="F824" s="6"/>
    </row>
    <row r="825" spans="6:6" x14ac:dyDescent="0.25">
      <c r="F825" s="6"/>
    </row>
    <row r="826" spans="6:6" x14ac:dyDescent="0.25">
      <c r="F826" s="6"/>
    </row>
    <row r="827" spans="6:6" x14ac:dyDescent="0.25">
      <c r="F827" s="6"/>
    </row>
    <row r="828" spans="6:6" x14ac:dyDescent="0.25">
      <c r="F828" s="6"/>
    </row>
    <row r="829" spans="6:6" x14ac:dyDescent="0.25">
      <c r="F829" s="6"/>
    </row>
    <row r="830" spans="6:6" x14ac:dyDescent="0.25">
      <c r="F830" s="6"/>
    </row>
    <row r="831" spans="6:6" x14ac:dyDescent="0.25">
      <c r="F831" s="6"/>
    </row>
    <row r="832" spans="6:6" x14ac:dyDescent="0.25">
      <c r="F832" s="6"/>
    </row>
    <row r="833" spans="6:6" x14ac:dyDescent="0.25">
      <c r="F833" s="6"/>
    </row>
    <row r="834" spans="6:6" x14ac:dyDescent="0.25">
      <c r="F834" s="6"/>
    </row>
    <row r="835" spans="6:6" x14ac:dyDescent="0.25">
      <c r="F835" s="6"/>
    </row>
    <row r="836" spans="6:6" x14ac:dyDescent="0.25">
      <c r="F836" s="6"/>
    </row>
    <row r="837" spans="6:6" x14ac:dyDescent="0.25">
      <c r="F837" s="6"/>
    </row>
    <row r="838" spans="6:6" x14ac:dyDescent="0.25">
      <c r="F838" s="6"/>
    </row>
    <row r="839" spans="6:6" x14ac:dyDescent="0.25">
      <c r="F839" s="6"/>
    </row>
    <row r="840" spans="6:6" x14ac:dyDescent="0.25">
      <c r="F840" s="6"/>
    </row>
    <row r="841" spans="6:6" x14ac:dyDescent="0.25">
      <c r="F841" s="6"/>
    </row>
    <row r="842" spans="6:6" x14ac:dyDescent="0.25">
      <c r="F842" s="6"/>
    </row>
    <row r="843" spans="6:6" x14ac:dyDescent="0.25">
      <c r="F843" s="6"/>
    </row>
    <row r="844" spans="6:6" x14ac:dyDescent="0.25">
      <c r="F844" s="6"/>
    </row>
    <row r="845" spans="6:6" x14ac:dyDescent="0.25">
      <c r="F845" s="6"/>
    </row>
    <row r="846" spans="6:6" x14ac:dyDescent="0.25">
      <c r="F846" s="6"/>
    </row>
    <row r="847" spans="6:6" x14ac:dyDescent="0.25">
      <c r="F847" s="6"/>
    </row>
    <row r="848" spans="6:6" x14ac:dyDescent="0.25">
      <c r="F848" s="6"/>
    </row>
    <row r="849" spans="6:6" x14ac:dyDescent="0.25">
      <c r="F849" s="6"/>
    </row>
    <row r="850" spans="6:6" x14ac:dyDescent="0.25">
      <c r="F850" s="6"/>
    </row>
    <row r="851" spans="6:6" x14ac:dyDescent="0.25">
      <c r="F851" s="6"/>
    </row>
    <row r="852" spans="6:6" x14ac:dyDescent="0.25">
      <c r="F852" s="6"/>
    </row>
    <row r="853" spans="6:6" x14ac:dyDescent="0.25">
      <c r="F853" s="6"/>
    </row>
    <row r="854" spans="6:6" x14ac:dyDescent="0.25">
      <c r="F854" s="6"/>
    </row>
    <row r="855" spans="6:6" x14ac:dyDescent="0.25">
      <c r="F855" s="6"/>
    </row>
    <row r="856" spans="6:6" x14ac:dyDescent="0.25">
      <c r="F856" s="6"/>
    </row>
    <row r="857" spans="6:6" x14ac:dyDescent="0.25">
      <c r="F857" s="6"/>
    </row>
    <row r="858" spans="6:6" x14ac:dyDescent="0.25">
      <c r="F858" s="6"/>
    </row>
    <row r="859" spans="6:6" x14ac:dyDescent="0.25">
      <c r="F859" s="6"/>
    </row>
    <row r="860" spans="6:6" x14ac:dyDescent="0.25">
      <c r="F860" s="6"/>
    </row>
    <row r="861" spans="6:6" x14ac:dyDescent="0.25">
      <c r="F861" s="6"/>
    </row>
    <row r="862" spans="6:6" x14ac:dyDescent="0.25">
      <c r="F862" s="6"/>
    </row>
    <row r="863" spans="6:6" x14ac:dyDescent="0.25">
      <c r="F863" s="6"/>
    </row>
    <row r="864" spans="6:6" x14ac:dyDescent="0.25">
      <c r="F864" s="6"/>
    </row>
    <row r="865" spans="6:6" x14ac:dyDescent="0.25">
      <c r="F865" s="6"/>
    </row>
    <row r="866" spans="6:6" x14ac:dyDescent="0.25">
      <c r="F866" s="6"/>
    </row>
    <row r="867" spans="6:6" x14ac:dyDescent="0.25">
      <c r="F867" s="6"/>
    </row>
    <row r="868" spans="6:6" x14ac:dyDescent="0.25">
      <c r="F868" s="6"/>
    </row>
    <row r="869" spans="6:6" x14ac:dyDescent="0.25">
      <c r="F869" s="6"/>
    </row>
    <row r="870" spans="6:6" x14ac:dyDescent="0.25">
      <c r="F870" s="6"/>
    </row>
    <row r="871" spans="6:6" x14ac:dyDescent="0.25">
      <c r="F871" s="6"/>
    </row>
    <row r="872" spans="6:6" x14ac:dyDescent="0.25">
      <c r="F872" s="6"/>
    </row>
    <row r="873" spans="6:6" x14ac:dyDescent="0.25">
      <c r="F873" s="6"/>
    </row>
    <row r="874" spans="6:6" x14ac:dyDescent="0.25">
      <c r="F874" s="6"/>
    </row>
    <row r="875" spans="6:6" x14ac:dyDescent="0.25">
      <c r="F875" s="6"/>
    </row>
    <row r="876" spans="6:6" x14ac:dyDescent="0.25">
      <c r="F876" s="6"/>
    </row>
    <row r="877" spans="6:6" x14ac:dyDescent="0.25">
      <c r="F877" s="6"/>
    </row>
    <row r="878" spans="6:6" x14ac:dyDescent="0.25">
      <c r="F878" s="6"/>
    </row>
    <row r="879" spans="6:6" x14ac:dyDescent="0.25">
      <c r="F879" s="6"/>
    </row>
    <row r="880" spans="6:6" x14ac:dyDescent="0.25">
      <c r="F880" s="6"/>
    </row>
    <row r="881" spans="6:6" x14ac:dyDescent="0.25">
      <c r="F881" s="6"/>
    </row>
    <row r="882" spans="6:6" x14ac:dyDescent="0.25">
      <c r="F882" s="6"/>
    </row>
    <row r="883" spans="6:6" x14ac:dyDescent="0.25">
      <c r="F883" s="6"/>
    </row>
    <row r="884" spans="6:6" x14ac:dyDescent="0.25">
      <c r="F884" s="6"/>
    </row>
    <row r="885" spans="6:6" x14ac:dyDescent="0.25">
      <c r="F885" s="6"/>
    </row>
    <row r="886" spans="6:6" x14ac:dyDescent="0.25">
      <c r="F886" s="6"/>
    </row>
    <row r="887" spans="6:6" x14ac:dyDescent="0.25">
      <c r="F887" s="6"/>
    </row>
    <row r="888" spans="6:6" x14ac:dyDescent="0.25">
      <c r="F888" s="6"/>
    </row>
    <row r="889" spans="6:6" x14ac:dyDescent="0.25">
      <c r="F889" s="6"/>
    </row>
    <row r="890" spans="6:6" x14ac:dyDescent="0.25">
      <c r="F890" s="6"/>
    </row>
    <row r="891" spans="6:6" x14ac:dyDescent="0.25">
      <c r="F891" s="6"/>
    </row>
    <row r="892" spans="6:6" x14ac:dyDescent="0.25">
      <c r="F892" s="6"/>
    </row>
    <row r="893" spans="6:6" x14ac:dyDescent="0.25">
      <c r="F893" s="6"/>
    </row>
    <row r="894" spans="6:6" x14ac:dyDescent="0.25">
      <c r="F894" s="6"/>
    </row>
    <row r="895" spans="6:6" x14ac:dyDescent="0.25">
      <c r="F895" s="6"/>
    </row>
    <row r="896" spans="6:6" x14ac:dyDescent="0.25">
      <c r="F896" s="6"/>
    </row>
    <row r="897" spans="6:6" x14ac:dyDescent="0.25">
      <c r="F897" s="6"/>
    </row>
    <row r="898" spans="6:6" x14ac:dyDescent="0.25">
      <c r="F898" s="6"/>
    </row>
    <row r="899" spans="6:6" x14ac:dyDescent="0.25">
      <c r="F899" s="6"/>
    </row>
    <row r="900" spans="6:6" x14ac:dyDescent="0.25">
      <c r="F900" s="6"/>
    </row>
    <row r="901" spans="6:6" x14ac:dyDescent="0.25">
      <c r="F901" s="6"/>
    </row>
    <row r="902" spans="6:6" x14ac:dyDescent="0.25">
      <c r="F902" s="6"/>
    </row>
    <row r="903" spans="6:6" x14ac:dyDescent="0.25">
      <c r="F903" s="6"/>
    </row>
    <row r="904" spans="6:6" x14ac:dyDescent="0.25">
      <c r="F904" s="6"/>
    </row>
    <row r="905" spans="6:6" x14ac:dyDescent="0.25">
      <c r="F905" s="6"/>
    </row>
    <row r="906" spans="6:6" x14ac:dyDescent="0.25">
      <c r="F906" s="6"/>
    </row>
    <row r="907" spans="6:6" x14ac:dyDescent="0.25">
      <c r="F907" s="6"/>
    </row>
    <row r="908" spans="6:6" x14ac:dyDescent="0.25">
      <c r="F908" s="6"/>
    </row>
    <row r="909" spans="6:6" x14ac:dyDescent="0.25">
      <c r="F909" s="6"/>
    </row>
    <row r="910" spans="6:6" x14ac:dyDescent="0.25">
      <c r="F910" s="6"/>
    </row>
    <row r="911" spans="6:6" x14ac:dyDescent="0.25">
      <c r="F911" s="6"/>
    </row>
    <row r="912" spans="6:6" x14ac:dyDescent="0.25">
      <c r="F912" s="6"/>
    </row>
    <row r="913" spans="6:6" x14ac:dyDescent="0.25">
      <c r="F913" s="6"/>
    </row>
    <row r="914" spans="6:6" x14ac:dyDescent="0.25">
      <c r="F914" s="6"/>
    </row>
    <row r="915" spans="6:6" x14ac:dyDescent="0.25">
      <c r="F915" s="6"/>
    </row>
    <row r="916" spans="6:6" x14ac:dyDescent="0.25">
      <c r="F916" s="6"/>
    </row>
    <row r="917" spans="6:6" x14ac:dyDescent="0.25">
      <c r="F917" s="6"/>
    </row>
    <row r="918" spans="6:6" x14ac:dyDescent="0.25">
      <c r="F918" s="6"/>
    </row>
    <row r="919" spans="6:6" x14ac:dyDescent="0.25">
      <c r="F919" s="6"/>
    </row>
    <row r="920" spans="6:6" x14ac:dyDescent="0.25">
      <c r="F920" s="6"/>
    </row>
    <row r="921" spans="6:6" x14ac:dyDescent="0.25">
      <c r="F921" s="6"/>
    </row>
    <row r="922" spans="6:6" x14ac:dyDescent="0.25">
      <c r="F922" s="6"/>
    </row>
    <row r="923" spans="6:6" x14ac:dyDescent="0.25">
      <c r="F923" s="6"/>
    </row>
    <row r="924" spans="6:6" x14ac:dyDescent="0.25">
      <c r="F924" s="6"/>
    </row>
    <row r="925" spans="6:6" x14ac:dyDescent="0.25">
      <c r="F925" s="6"/>
    </row>
    <row r="926" spans="6:6" x14ac:dyDescent="0.25">
      <c r="F926" s="6"/>
    </row>
    <row r="927" spans="6:6" x14ac:dyDescent="0.25">
      <c r="F927" s="6"/>
    </row>
    <row r="928" spans="6:6" x14ac:dyDescent="0.25">
      <c r="F928" s="6"/>
    </row>
    <row r="929" spans="6:6" x14ac:dyDescent="0.25">
      <c r="F929" s="6"/>
    </row>
    <row r="930" spans="6:6" x14ac:dyDescent="0.25">
      <c r="F930" s="6"/>
    </row>
    <row r="931" spans="6:6" x14ac:dyDescent="0.25">
      <c r="F931" s="6"/>
    </row>
    <row r="932" spans="6:6" x14ac:dyDescent="0.25">
      <c r="F932" s="6"/>
    </row>
    <row r="933" spans="6:6" x14ac:dyDescent="0.25">
      <c r="F933" s="6"/>
    </row>
    <row r="934" spans="6:6" x14ac:dyDescent="0.25">
      <c r="F934" s="6"/>
    </row>
    <row r="935" spans="6:6" x14ac:dyDescent="0.25">
      <c r="F935" s="6"/>
    </row>
    <row r="936" spans="6:6" x14ac:dyDescent="0.25">
      <c r="F936" s="6"/>
    </row>
    <row r="937" spans="6:6" x14ac:dyDescent="0.25">
      <c r="F937" s="6"/>
    </row>
    <row r="938" spans="6:6" x14ac:dyDescent="0.25">
      <c r="F938" s="6"/>
    </row>
    <row r="939" spans="6:6" x14ac:dyDescent="0.25">
      <c r="F939" s="6"/>
    </row>
    <row r="940" spans="6:6" x14ac:dyDescent="0.25">
      <c r="F940" s="6"/>
    </row>
    <row r="941" spans="6:6" x14ac:dyDescent="0.25">
      <c r="F941" s="6"/>
    </row>
    <row r="942" spans="6:6" x14ac:dyDescent="0.25">
      <c r="F942" s="6"/>
    </row>
    <row r="943" spans="6:6" x14ac:dyDescent="0.25">
      <c r="F943" s="6"/>
    </row>
    <row r="944" spans="6:6" x14ac:dyDescent="0.25">
      <c r="F944" s="6"/>
    </row>
    <row r="945" spans="6:6" x14ac:dyDescent="0.25">
      <c r="F945" s="6"/>
    </row>
    <row r="946" spans="6:6" x14ac:dyDescent="0.25">
      <c r="F946" s="6"/>
    </row>
    <row r="947" spans="6:6" x14ac:dyDescent="0.25">
      <c r="F947" s="6"/>
    </row>
    <row r="948" spans="6:6" x14ac:dyDescent="0.25">
      <c r="F948" s="6"/>
    </row>
    <row r="949" spans="6:6" x14ac:dyDescent="0.25">
      <c r="F949" s="6"/>
    </row>
    <row r="950" spans="6:6" x14ac:dyDescent="0.25">
      <c r="F950" s="6"/>
    </row>
    <row r="951" spans="6:6" x14ac:dyDescent="0.25">
      <c r="F951" s="6"/>
    </row>
    <row r="952" spans="6:6" x14ac:dyDescent="0.25">
      <c r="F952" s="6"/>
    </row>
    <row r="953" spans="6:6" x14ac:dyDescent="0.25">
      <c r="F953" s="6"/>
    </row>
    <row r="954" spans="6:6" x14ac:dyDescent="0.25">
      <c r="F954" s="6"/>
    </row>
    <row r="955" spans="6:6" x14ac:dyDescent="0.25">
      <c r="F955" s="6"/>
    </row>
    <row r="956" spans="6:6" x14ac:dyDescent="0.25">
      <c r="F956" s="6"/>
    </row>
    <row r="957" spans="6:6" x14ac:dyDescent="0.25">
      <c r="F957" s="6"/>
    </row>
    <row r="958" spans="6:6" x14ac:dyDescent="0.25">
      <c r="F958" s="6"/>
    </row>
    <row r="959" spans="6:6" x14ac:dyDescent="0.25">
      <c r="F959" s="6"/>
    </row>
    <row r="960" spans="6:6" x14ac:dyDescent="0.25">
      <c r="F960" s="6"/>
    </row>
    <row r="961" spans="6:6" x14ac:dyDescent="0.25">
      <c r="F961" s="6"/>
    </row>
    <row r="962" spans="6:6" x14ac:dyDescent="0.25">
      <c r="F962" s="6"/>
    </row>
    <row r="963" spans="6:6" x14ac:dyDescent="0.25">
      <c r="F963" s="6"/>
    </row>
    <row r="964" spans="6:6" x14ac:dyDescent="0.25">
      <c r="F964" s="6"/>
    </row>
    <row r="965" spans="6:6" x14ac:dyDescent="0.25">
      <c r="F965" s="6"/>
    </row>
    <row r="966" spans="6:6" x14ac:dyDescent="0.25">
      <c r="F966" s="6"/>
    </row>
    <row r="967" spans="6:6" x14ac:dyDescent="0.25">
      <c r="F967" s="6"/>
    </row>
    <row r="968" spans="6:6" x14ac:dyDescent="0.25">
      <c r="F968" s="6"/>
    </row>
    <row r="969" spans="6:6" x14ac:dyDescent="0.25">
      <c r="F969" s="6"/>
    </row>
    <row r="970" spans="6:6" x14ac:dyDescent="0.25">
      <c r="F970" s="6"/>
    </row>
    <row r="971" spans="6:6" x14ac:dyDescent="0.25">
      <c r="F971" s="6"/>
    </row>
    <row r="972" spans="6:6" x14ac:dyDescent="0.25">
      <c r="F972" s="6"/>
    </row>
    <row r="973" spans="6:6" x14ac:dyDescent="0.25">
      <c r="F973" s="6"/>
    </row>
    <row r="974" spans="6:6" x14ac:dyDescent="0.25">
      <c r="F974" s="6"/>
    </row>
    <row r="975" spans="6:6" x14ac:dyDescent="0.25">
      <c r="F975" s="6"/>
    </row>
    <row r="976" spans="6:6" x14ac:dyDescent="0.25">
      <c r="F976" s="6"/>
    </row>
    <row r="977" spans="6:6" x14ac:dyDescent="0.25">
      <c r="F977" s="6"/>
    </row>
    <row r="978" spans="6:6" x14ac:dyDescent="0.25">
      <c r="F978" s="6"/>
    </row>
    <row r="979" spans="6:6" x14ac:dyDescent="0.25">
      <c r="F979" s="6"/>
    </row>
    <row r="980" spans="6:6" x14ac:dyDescent="0.25">
      <c r="F980" s="6"/>
    </row>
    <row r="981" spans="6:6" x14ac:dyDescent="0.25">
      <c r="F981" s="6"/>
    </row>
    <row r="982" spans="6:6" x14ac:dyDescent="0.25">
      <c r="F982" s="6"/>
    </row>
    <row r="983" spans="6:6" x14ac:dyDescent="0.25">
      <c r="F983" s="6"/>
    </row>
    <row r="984" spans="6:6" x14ac:dyDescent="0.25">
      <c r="F984" s="6"/>
    </row>
    <row r="985" spans="6:6" x14ac:dyDescent="0.25">
      <c r="F985" s="6"/>
    </row>
    <row r="986" spans="6:6" x14ac:dyDescent="0.25">
      <c r="F986" s="6"/>
    </row>
    <row r="987" spans="6:6" x14ac:dyDescent="0.25">
      <c r="F987" s="6"/>
    </row>
    <row r="988" spans="6:6" x14ac:dyDescent="0.25">
      <c r="F988" s="6"/>
    </row>
    <row r="989" spans="6:6" x14ac:dyDescent="0.25">
      <c r="F989" s="6"/>
    </row>
    <row r="990" spans="6:6" x14ac:dyDescent="0.25">
      <c r="F990" s="6"/>
    </row>
    <row r="991" spans="6:6" x14ac:dyDescent="0.25">
      <c r="F991" s="6"/>
    </row>
    <row r="992" spans="6:6" x14ac:dyDescent="0.25">
      <c r="F992" s="6"/>
    </row>
    <row r="993" spans="6:6" x14ac:dyDescent="0.25">
      <c r="F993" s="6"/>
    </row>
    <row r="994" spans="6:6" x14ac:dyDescent="0.25">
      <c r="F994" s="6"/>
    </row>
    <row r="995" spans="6:6" x14ac:dyDescent="0.25">
      <c r="F995" s="6"/>
    </row>
    <row r="996" spans="6:6" x14ac:dyDescent="0.25">
      <c r="F996" s="6"/>
    </row>
    <row r="997" spans="6:6" x14ac:dyDescent="0.25">
      <c r="F997" s="6"/>
    </row>
    <row r="998" spans="6:6" x14ac:dyDescent="0.25">
      <c r="F998" s="6"/>
    </row>
    <row r="999" spans="6:6" x14ac:dyDescent="0.25">
      <c r="F999" s="6"/>
    </row>
    <row r="1000" spans="6:6" x14ac:dyDescent="0.25">
      <c r="F1000" s="6"/>
    </row>
    <row r="1001" spans="6:6" x14ac:dyDescent="0.25">
      <c r="F1001" s="6"/>
    </row>
    <row r="1002" spans="6:6" x14ac:dyDescent="0.25">
      <c r="F1002" s="6"/>
    </row>
    <row r="1003" spans="6:6" x14ac:dyDescent="0.25">
      <c r="F1003" s="6"/>
    </row>
    <row r="1004" spans="6:6" x14ac:dyDescent="0.25">
      <c r="F1004" s="6"/>
    </row>
    <row r="1005" spans="6:6" x14ac:dyDescent="0.25">
      <c r="F1005" s="6"/>
    </row>
    <row r="1006" spans="6:6" x14ac:dyDescent="0.25">
      <c r="F1006" s="6"/>
    </row>
    <row r="1007" spans="6:6" x14ac:dyDescent="0.25">
      <c r="F1007" s="6"/>
    </row>
    <row r="1008" spans="6:6" x14ac:dyDescent="0.25">
      <c r="F1008" s="6"/>
    </row>
    <row r="1009" spans="6:6" x14ac:dyDescent="0.25">
      <c r="F1009" s="6"/>
    </row>
    <row r="1010" spans="6:6" x14ac:dyDescent="0.25">
      <c r="F1010" s="6"/>
    </row>
    <row r="1011" spans="6:6" x14ac:dyDescent="0.25">
      <c r="F1011" s="6"/>
    </row>
    <row r="1012" spans="6:6" x14ac:dyDescent="0.25">
      <c r="F1012" s="6"/>
    </row>
    <row r="1013" spans="6:6" x14ac:dyDescent="0.25">
      <c r="F1013" s="6"/>
    </row>
    <row r="1014" spans="6:6" x14ac:dyDescent="0.25">
      <c r="F1014" s="6"/>
    </row>
    <row r="1015" spans="6:6" x14ac:dyDescent="0.25">
      <c r="F1015" s="6"/>
    </row>
    <row r="1016" spans="6:6" x14ac:dyDescent="0.25">
      <c r="F1016" s="6"/>
    </row>
    <row r="1017" spans="6:6" x14ac:dyDescent="0.25">
      <c r="F1017" s="6"/>
    </row>
    <row r="1018" spans="6:6" x14ac:dyDescent="0.25">
      <c r="F1018" s="6"/>
    </row>
    <row r="1019" spans="6:6" x14ac:dyDescent="0.25">
      <c r="F1019" s="6"/>
    </row>
    <row r="1020" spans="6:6" x14ac:dyDescent="0.25">
      <c r="F1020" s="6"/>
    </row>
    <row r="1021" spans="6:6" x14ac:dyDescent="0.25">
      <c r="F1021" s="6"/>
    </row>
    <row r="1022" spans="6:6" x14ac:dyDescent="0.25">
      <c r="F1022" s="6"/>
    </row>
    <row r="1023" spans="6:6" x14ac:dyDescent="0.25">
      <c r="F1023" s="6"/>
    </row>
    <row r="1024" spans="6:6" x14ac:dyDescent="0.25">
      <c r="F1024" s="6"/>
    </row>
    <row r="1025" spans="6:6" x14ac:dyDescent="0.25">
      <c r="F1025" s="6"/>
    </row>
    <row r="1026" spans="6:6" x14ac:dyDescent="0.25">
      <c r="F1026" s="6"/>
    </row>
    <row r="1027" spans="6:6" x14ac:dyDescent="0.25">
      <c r="F1027" s="6"/>
    </row>
    <row r="1028" spans="6:6" x14ac:dyDescent="0.25">
      <c r="F1028" s="6"/>
    </row>
    <row r="1029" spans="6:6" x14ac:dyDescent="0.25">
      <c r="F1029" s="6"/>
    </row>
    <row r="1030" spans="6:6" x14ac:dyDescent="0.25">
      <c r="F1030" s="6"/>
    </row>
    <row r="1031" spans="6:6" x14ac:dyDescent="0.25">
      <c r="F1031" s="6"/>
    </row>
    <row r="1032" spans="6:6" x14ac:dyDescent="0.25">
      <c r="F1032" s="6"/>
    </row>
    <row r="1033" spans="6:6" x14ac:dyDescent="0.25">
      <c r="F1033" s="6"/>
    </row>
    <row r="1034" spans="6:6" x14ac:dyDescent="0.25">
      <c r="F1034" s="6"/>
    </row>
    <row r="1035" spans="6:6" x14ac:dyDescent="0.25">
      <c r="F1035" s="6"/>
    </row>
    <row r="1036" spans="6:6" x14ac:dyDescent="0.25">
      <c r="F1036" s="6"/>
    </row>
    <row r="1037" spans="6:6" x14ac:dyDescent="0.25">
      <c r="F1037" s="6"/>
    </row>
    <row r="1038" spans="6:6" x14ac:dyDescent="0.25">
      <c r="F1038" s="6"/>
    </row>
    <row r="1039" spans="6:6" x14ac:dyDescent="0.25">
      <c r="F1039" s="6"/>
    </row>
    <row r="1040" spans="6:6" x14ac:dyDescent="0.25">
      <c r="F1040" s="6"/>
    </row>
    <row r="1041" spans="6:6" x14ac:dyDescent="0.25">
      <c r="F1041" s="6"/>
    </row>
    <row r="1042" spans="6:6" x14ac:dyDescent="0.25">
      <c r="F1042" s="6"/>
    </row>
    <row r="1043" spans="6:6" x14ac:dyDescent="0.25">
      <c r="F1043" s="6"/>
    </row>
    <row r="1044" spans="6:6" x14ac:dyDescent="0.25">
      <c r="F1044" s="6"/>
    </row>
    <row r="1045" spans="6:6" x14ac:dyDescent="0.25">
      <c r="F1045" s="6"/>
    </row>
    <row r="1046" spans="6:6" x14ac:dyDescent="0.25">
      <c r="F1046" s="6"/>
    </row>
    <row r="1047" spans="6:6" x14ac:dyDescent="0.25">
      <c r="F1047" s="6"/>
    </row>
    <row r="1048" spans="6:6" x14ac:dyDescent="0.25">
      <c r="F1048" s="6"/>
    </row>
    <row r="1049" spans="6:6" x14ac:dyDescent="0.25">
      <c r="F1049" s="6"/>
    </row>
    <row r="1050" spans="6:6" x14ac:dyDescent="0.25">
      <c r="F1050" s="6"/>
    </row>
    <row r="1051" spans="6:6" x14ac:dyDescent="0.25">
      <c r="F1051" s="6"/>
    </row>
    <row r="1052" spans="6:6" x14ac:dyDescent="0.25">
      <c r="F1052" s="6"/>
    </row>
    <row r="1053" spans="6:6" x14ac:dyDescent="0.25">
      <c r="F1053" s="6"/>
    </row>
    <row r="1054" spans="6:6" x14ac:dyDescent="0.25">
      <c r="F1054" s="6"/>
    </row>
    <row r="1055" spans="6:6" x14ac:dyDescent="0.25">
      <c r="F1055" s="6"/>
    </row>
    <row r="1056" spans="6:6" x14ac:dyDescent="0.25">
      <c r="F1056" s="6"/>
    </row>
    <row r="1057" spans="6:6" x14ac:dyDescent="0.25">
      <c r="F1057" s="6"/>
    </row>
    <row r="1058" spans="6:6" x14ac:dyDescent="0.25">
      <c r="F1058" s="6"/>
    </row>
    <row r="1059" spans="6:6" x14ac:dyDescent="0.25">
      <c r="F1059" s="6"/>
    </row>
    <row r="1060" spans="6:6" x14ac:dyDescent="0.25">
      <c r="F1060" s="6"/>
    </row>
    <row r="1061" spans="6:6" x14ac:dyDescent="0.25">
      <c r="F1061" s="6"/>
    </row>
    <row r="1062" spans="6:6" x14ac:dyDescent="0.25">
      <c r="F1062" s="6"/>
    </row>
    <row r="1063" spans="6:6" x14ac:dyDescent="0.25">
      <c r="F1063" s="6"/>
    </row>
    <row r="1064" spans="6:6" x14ac:dyDescent="0.25">
      <c r="F1064" s="6"/>
    </row>
    <row r="1065" spans="6:6" x14ac:dyDescent="0.25">
      <c r="F1065" s="6"/>
    </row>
    <row r="1066" spans="6:6" x14ac:dyDescent="0.25">
      <c r="F1066" s="6"/>
    </row>
    <row r="1067" spans="6:6" x14ac:dyDescent="0.25">
      <c r="F1067" s="6"/>
    </row>
    <row r="1068" spans="6:6" x14ac:dyDescent="0.25">
      <c r="F1068" s="6"/>
    </row>
    <row r="1069" spans="6:6" x14ac:dyDescent="0.25">
      <c r="F1069" s="6"/>
    </row>
    <row r="1070" spans="6:6" x14ac:dyDescent="0.25">
      <c r="F1070" s="6"/>
    </row>
    <row r="1071" spans="6:6" x14ac:dyDescent="0.25">
      <c r="F1071" s="6"/>
    </row>
    <row r="1072" spans="6:6" x14ac:dyDescent="0.25">
      <c r="F1072" s="6"/>
    </row>
    <row r="1073" spans="6:6" x14ac:dyDescent="0.25">
      <c r="F1073" s="6"/>
    </row>
    <row r="1074" spans="6:6" x14ac:dyDescent="0.25">
      <c r="F1074" s="6"/>
    </row>
    <row r="1075" spans="6:6" x14ac:dyDescent="0.25">
      <c r="F1075" s="6"/>
    </row>
    <row r="1076" spans="6:6" x14ac:dyDescent="0.25">
      <c r="F1076" s="6"/>
    </row>
    <row r="1077" spans="6:6" x14ac:dyDescent="0.25">
      <c r="F1077" s="6"/>
    </row>
    <row r="1078" spans="6:6" x14ac:dyDescent="0.25">
      <c r="F1078" s="6"/>
    </row>
    <row r="1079" spans="6:6" x14ac:dyDescent="0.25">
      <c r="F1079" s="6"/>
    </row>
    <row r="1080" spans="6:6" x14ac:dyDescent="0.25">
      <c r="F1080" s="6"/>
    </row>
    <row r="1081" spans="6:6" x14ac:dyDescent="0.25">
      <c r="F1081" s="6"/>
    </row>
    <row r="1082" spans="6:6" x14ac:dyDescent="0.25">
      <c r="F1082" s="6"/>
    </row>
    <row r="1083" spans="6:6" x14ac:dyDescent="0.25">
      <c r="F1083" s="6"/>
    </row>
    <row r="1084" spans="6:6" x14ac:dyDescent="0.25">
      <c r="F1084" s="6"/>
    </row>
    <row r="1085" spans="6:6" x14ac:dyDescent="0.25">
      <c r="F1085" s="6"/>
    </row>
    <row r="1086" spans="6:6" x14ac:dyDescent="0.25">
      <c r="F1086" s="6"/>
    </row>
    <row r="1087" spans="6:6" x14ac:dyDescent="0.25">
      <c r="F1087" s="6"/>
    </row>
    <row r="1088" spans="6:6" x14ac:dyDescent="0.25">
      <c r="F1088" s="6"/>
    </row>
    <row r="1089" spans="6:6" x14ac:dyDescent="0.25">
      <c r="F1089" s="6"/>
    </row>
    <row r="1090" spans="6:6" x14ac:dyDescent="0.25">
      <c r="F1090" s="6"/>
    </row>
    <row r="1091" spans="6:6" x14ac:dyDescent="0.25">
      <c r="F1091" s="6"/>
    </row>
    <row r="1092" spans="6:6" x14ac:dyDescent="0.25">
      <c r="F1092" s="6"/>
    </row>
    <row r="1093" spans="6:6" x14ac:dyDescent="0.25">
      <c r="F1093" s="6"/>
    </row>
    <row r="1094" spans="6:6" x14ac:dyDescent="0.25">
      <c r="F1094" s="6"/>
    </row>
    <row r="1095" spans="6:6" x14ac:dyDescent="0.25">
      <c r="F1095" s="6"/>
    </row>
    <row r="1096" spans="6:6" x14ac:dyDescent="0.25">
      <c r="F1096" s="6"/>
    </row>
    <row r="1097" spans="6:6" x14ac:dyDescent="0.25">
      <c r="F1097" s="6"/>
    </row>
    <row r="1098" spans="6:6" x14ac:dyDescent="0.25">
      <c r="F1098" s="6"/>
    </row>
    <row r="1099" spans="6:6" x14ac:dyDescent="0.25">
      <c r="F1099" s="6"/>
    </row>
    <row r="1100" spans="6:6" x14ac:dyDescent="0.25">
      <c r="F1100" s="6"/>
    </row>
    <row r="1101" spans="6:6" x14ac:dyDescent="0.25">
      <c r="F1101" s="6"/>
    </row>
    <row r="1102" spans="6:6" x14ac:dyDescent="0.25">
      <c r="F1102" s="6"/>
    </row>
    <row r="1103" spans="6:6" x14ac:dyDescent="0.25">
      <c r="F1103" s="6"/>
    </row>
    <row r="1104" spans="6:6" x14ac:dyDescent="0.25">
      <c r="F1104" s="6"/>
    </row>
    <row r="1105" spans="6:6" x14ac:dyDescent="0.25">
      <c r="F1105" s="6"/>
    </row>
    <row r="1106" spans="6:6" x14ac:dyDescent="0.25">
      <c r="F1106" s="6"/>
    </row>
    <row r="1107" spans="6:6" x14ac:dyDescent="0.25">
      <c r="F1107" s="6"/>
    </row>
    <row r="1108" spans="6:6" x14ac:dyDescent="0.25">
      <c r="F1108" s="6"/>
    </row>
    <row r="1109" spans="6:6" x14ac:dyDescent="0.25">
      <c r="F1109" s="6"/>
    </row>
    <row r="1110" spans="6:6" x14ac:dyDescent="0.25">
      <c r="F1110" s="6"/>
    </row>
    <row r="1111" spans="6:6" x14ac:dyDescent="0.25">
      <c r="F1111" s="6"/>
    </row>
    <row r="1112" spans="6:6" x14ac:dyDescent="0.25">
      <c r="F1112" s="6"/>
    </row>
    <row r="1113" spans="6:6" x14ac:dyDescent="0.25">
      <c r="F1113" s="6"/>
    </row>
    <row r="1114" spans="6:6" x14ac:dyDescent="0.25">
      <c r="F1114" s="6"/>
    </row>
    <row r="1115" spans="6:6" x14ac:dyDescent="0.25">
      <c r="F1115" s="6"/>
    </row>
    <row r="1116" spans="6:6" x14ac:dyDescent="0.25">
      <c r="F1116" s="6"/>
    </row>
    <row r="1117" spans="6:6" x14ac:dyDescent="0.25">
      <c r="F1117" s="6"/>
    </row>
    <row r="1118" spans="6:6" x14ac:dyDescent="0.25">
      <c r="F1118" s="6"/>
    </row>
    <row r="1119" spans="6:6" x14ac:dyDescent="0.25">
      <c r="F1119" s="6"/>
    </row>
    <row r="1120" spans="6:6" x14ac:dyDescent="0.25">
      <c r="F1120" s="6"/>
    </row>
    <row r="1121" spans="6:6" x14ac:dyDescent="0.25">
      <c r="F1121" s="6"/>
    </row>
    <row r="1122" spans="6:6" x14ac:dyDescent="0.25">
      <c r="F1122" s="6"/>
    </row>
    <row r="1123" spans="6:6" x14ac:dyDescent="0.25">
      <c r="F1123" s="6"/>
    </row>
    <row r="1124" spans="6:6" x14ac:dyDescent="0.25">
      <c r="F1124" s="6"/>
    </row>
    <row r="1125" spans="6:6" x14ac:dyDescent="0.25">
      <c r="F1125" s="6"/>
    </row>
    <row r="1126" spans="6:6" x14ac:dyDescent="0.25">
      <c r="F1126" s="6"/>
    </row>
    <row r="1127" spans="6:6" x14ac:dyDescent="0.25">
      <c r="F1127" s="6"/>
    </row>
    <row r="1128" spans="6:6" x14ac:dyDescent="0.25">
      <c r="F1128" s="6"/>
    </row>
    <row r="1129" spans="6:6" x14ac:dyDescent="0.25">
      <c r="F1129" s="6"/>
    </row>
    <row r="1130" spans="6:6" x14ac:dyDescent="0.25">
      <c r="F1130" s="6"/>
    </row>
    <row r="1131" spans="6:6" x14ac:dyDescent="0.25">
      <c r="F1131" s="6"/>
    </row>
    <row r="1132" spans="6:6" x14ac:dyDescent="0.25">
      <c r="F1132" s="6"/>
    </row>
    <row r="1133" spans="6:6" x14ac:dyDescent="0.25">
      <c r="F1133" s="6"/>
    </row>
    <row r="1134" spans="6:6" x14ac:dyDescent="0.25">
      <c r="F1134" s="6"/>
    </row>
    <row r="1135" spans="6:6" x14ac:dyDescent="0.25">
      <c r="F1135" s="6"/>
    </row>
    <row r="1136" spans="6:6" x14ac:dyDescent="0.25">
      <c r="F1136" s="6"/>
    </row>
    <row r="1137" spans="6:6" x14ac:dyDescent="0.25">
      <c r="F1137" s="6"/>
    </row>
    <row r="1138" spans="6:6" x14ac:dyDescent="0.25">
      <c r="F1138" s="6"/>
    </row>
    <row r="1139" spans="6:6" x14ac:dyDescent="0.25">
      <c r="F1139" s="6"/>
    </row>
    <row r="1140" spans="6:6" x14ac:dyDescent="0.25">
      <c r="F1140" s="6"/>
    </row>
    <row r="1141" spans="6:6" x14ac:dyDescent="0.25">
      <c r="F1141" s="6"/>
    </row>
    <row r="1142" spans="6:6" x14ac:dyDescent="0.25">
      <c r="F1142" s="6"/>
    </row>
    <row r="1143" spans="6:6" x14ac:dyDescent="0.25">
      <c r="F1143" s="6"/>
    </row>
    <row r="1144" spans="6:6" x14ac:dyDescent="0.25">
      <c r="F1144" s="6"/>
    </row>
    <row r="1145" spans="6:6" x14ac:dyDescent="0.25">
      <c r="F1145" s="6"/>
    </row>
    <row r="1146" spans="6:6" x14ac:dyDescent="0.25">
      <c r="F1146" s="6"/>
    </row>
    <row r="1147" spans="6:6" x14ac:dyDescent="0.25">
      <c r="F1147" s="6"/>
    </row>
    <row r="1148" spans="6:6" x14ac:dyDescent="0.25">
      <c r="F1148" s="6"/>
    </row>
    <row r="1149" spans="6:6" x14ac:dyDescent="0.25">
      <c r="F1149" s="6"/>
    </row>
    <row r="1150" spans="6:6" x14ac:dyDescent="0.25">
      <c r="F1150" s="6"/>
    </row>
    <row r="1151" spans="6:6" x14ac:dyDescent="0.25">
      <c r="F1151" s="6"/>
    </row>
    <row r="1152" spans="6:6" x14ac:dyDescent="0.25">
      <c r="F1152" s="6"/>
    </row>
    <row r="1153" spans="6:6" x14ac:dyDescent="0.25">
      <c r="F1153" s="6"/>
    </row>
    <row r="1154" spans="6:6" x14ac:dyDescent="0.25">
      <c r="F1154" s="6"/>
    </row>
    <row r="1155" spans="6:6" x14ac:dyDescent="0.25">
      <c r="F1155" s="6"/>
    </row>
    <row r="1156" spans="6:6" x14ac:dyDescent="0.25">
      <c r="F1156" s="6"/>
    </row>
    <row r="1157" spans="6:6" x14ac:dyDescent="0.25">
      <c r="F1157" s="6"/>
    </row>
    <row r="1158" spans="6:6" x14ac:dyDescent="0.25">
      <c r="F1158" s="6"/>
    </row>
    <row r="1159" spans="6:6" x14ac:dyDescent="0.25">
      <c r="F1159" s="6"/>
    </row>
    <row r="1160" spans="6:6" x14ac:dyDescent="0.25">
      <c r="F1160" s="6"/>
    </row>
    <row r="1161" spans="6:6" x14ac:dyDescent="0.25">
      <c r="F1161" s="6"/>
    </row>
    <row r="1162" spans="6:6" x14ac:dyDescent="0.25">
      <c r="F1162" s="6"/>
    </row>
    <row r="1163" spans="6:6" x14ac:dyDescent="0.25">
      <c r="F1163" s="6"/>
    </row>
    <row r="1164" spans="6:6" x14ac:dyDescent="0.25">
      <c r="F1164" s="6"/>
    </row>
    <row r="1165" spans="6:6" x14ac:dyDescent="0.25">
      <c r="F1165" s="6"/>
    </row>
    <row r="1166" spans="6:6" x14ac:dyDescent="0.25">
      <c r="F1166" s="6"/>
    </row>
    <row r="1167" spans="6:6" x14ac:dyDescent="0.25">
      <c r="F1167" s="6"/>
    </row>
    <row r="1168" spans="6:6" x14ac:dyDescent="0.25">
      <c r="F1168" s="6"/>
    </row>
    <row r="1169" spans="6:6" x14ac:dyDescent="0.25">
      <c r="F1169" s="6"/>
    </row>
    <row r="1170" spans="6:6" x14ac:dyDescent="0.25">
      <c r="F1170" s="6"/>
    </row>
    <row r="1171" spans="6:6" x14ac:dyDescent="0.25">
      <c r="F1171" s="6"/>
    </row>
    <row r="1172" spans="6:6" x14ac:dyDescent="0.25">
      <c r="F1172" s="6"/>
    </row>
    <row r="1173" spans="6:6" x14ac:dyDescent="0.25">
      <c r="F1173" s="6"/>
    </row>
    <row r="1174" spans="6:6" x14ac:dyDescent="0.25">
      <c r="F1174" s="6"/>
    </row>
    <row r="1175" spans="6:6" x14ac:dyDescent="0.25">
      <c r="F1175" s="6"/>
    </row>
    <row r="1176" spans="6:6" x14ac:dyDescent="0.25">
      <c r="F1176" s="6"/>
    </row>
    <row r="1177" spans="6:6" x14ac:dyDescent="0.25">
      <c r="F1177" s="6"/>
    </row>
    <row r="1178" spans="6:6" x14ac:dyDescent="0.25">
      <c r="F1178" s="6"/>
    </row>
    <row r="1179" spans="6:6" x14ac:dyDescent="0.25">
      <c r="F1179" s="6"/>
    </row>
    <row r="1180" spans="6:6" x14ac:dyDescent="0.25">
      <c r="F1180" s="6"/>
    </row>
    <row r="1181" spans="6:6" x14ac:dyDescent="0.25">
      <c r="F1181" s="6"/>
    </row>
    <row r="1182" spans="6:6" x14ac:dyDescent="0.25">
      <c r="F1182" s="6"/>
    </row>
    <row r="1183" spans="6:6" x14ac:dyDescent="0.25">
      <c r="F1183" s="6"/>
    </row>
    <row r="1184" spans="6:6" x14ac:dyDescent="0.25">
      <c r="F1184" s="6"/>
    </row>
    <row r="1185" spans="6:6" x14ac:dyDescent="0.25">
      <c r="F1185" s="6"/>
    </row>
    <row r="1186" spans="6:6" x14ac:dyDescent="0.25">
      <c r="F1186" s="6"/>
    </row>
    <row r="1187" spans="6:6" x14ac:dyDescent="0.25">
      <c r="F1187" s="6"/>
    </row>
    <row r="1188" spans="6:6" x14ac:dyDescent="0.25">
      <c r="F1188" s="6"/>
    </row>
    <row r="1189" spans="6:6" x14ac:dyDescent="0.25">
      <c r="F1189" s="6"/>
    </row>
    <row r="1190" spans="6:6" x14ac:dyDescent="0.25">
      <c r="F1190" s="6"/>
    </row>
    <row r="1191" spans="6:6" x14ac:dyDescent="0.25">
      <c r="F1191" s="6"/>
    </row>
    <row r="1192" spans="6:6" x14ac:dyDescent="0.25">
      <c r="F1192" s="6"/>
    </row>
    <row r="1193" spans="6:6" x14ac:dyDescent="0.25">
      <c r="F1193" s="6"/>
    </row>
    <row r="1194" spans="6:6" x14ac:dyDescent="0.25">
      <c r="F1194" s="6"/>
    </row>
    <row r="1195" spans="6:6" x14ac:dyDescent="0.25">
      <c r="F1195" s="6"/>
    </row>
    <row r="1196" spans="6:6" x14ac:dyDescent="0.25">
      <c r="F1196" s="6"/>
    </row>
    <row r="1197" spans="6:6" x14ac:dyDescent="0.25">
      <c r="F1197" s="6"/>
    </row>
    <row r="1198" spans="6:6" x14ac:dyDescent="0.25">
      <c r="F1198" s="6"/>
    </row>
    <row r="1199" spans="6:6" x14ac:dyDescent="0.25">
      <c r="F1199" s="6"/>
    </row>
    <row r="1200" spans="6:6" x14ac:dyDescent="0.25">
      <c r="F1200" s="6"/>
    </row>
    <row r="1201" spans="6:6" x14ac:dyDescent="0.25">
      <c r="F1201" s="6"/>
    </row>
    <row r="1202" spans="6:6" x14ac:dyDescent="0.25">
      <c r="F1202" s="6"/>
    </row>
    <row r="1203" spans="6:6" x14ac:dyDescent="0.25">
      <c r="F1203" s="6"/>
    </row>
    <row r="1204" spans="6:6" x14ac:dyDescent="0.25">
      <c r="F1204" s="6"/>
    </row>
    <row r="1205" spans="6:6" x14ac:dyDescent="0.25">
      <c r="F1205" s="6"/>
    </row>
    <row r="1206" spans="6:6" x14ac:dyDescent="0.25">
      <c r="F1206" s="6"/>
    </row>
    <row r="1207" spans="6:6" x14ac:dyDescent="0.25">
      <c r="F1207" s="6"/>
    </row>
    <row r="1208" spans="6:6" x14ac:dyDescent="0.25">
      <c r="F1208" s="6"/>
    </row>
  </sheetData>
  <protectedRanges>
    <protectedRange algorithmName="SHA-512" hashValue="5xG6qPKw1mVfo0gw0taPOkOvtqSeZpeh+ndpeqnUjZ7k7MBxANGIpPvuZVWuBWh2Zo5GIEISU+DNk3aU89pC5Q==" saltValue="pWJiOeUr8PJU8K6x2Q9tWA==" spinCount="100000" sqref="A17:A22 A45:A46 B45 B28 A27:A28 A29:B30" name="Range1"/>
  </protectedRanges>
  <phoneticPr fontId="3" type="noConversion"/>
  <dataValidations count="15">
    <dataValidation type="list" allowBlank="1" showInputMessage="1" showErrorMessage="1" sqref="A2" xr:uid="{35CFB174-0D76-4B57-8B03-451BCFF0E256}">
      <formula1>"--- Select Unit ---,mm,cm,m,in,ft"</formula1>
    </dataValidation>
    <dataValidation type="list" allowBlank="1" showInputMessage="1" showErrorMessage="1" sqref="L50" xr:uid="{ECF627F0-E0FE-4B7B-8C59-58AE242EEC53}">
      <formula1>"Formula,Custom Text Edit"</formula1>
    </dataValidation>
    <dataValidation type="list" allowBlank="1" showInputMessage="1" showErrorMessage="1" sqref="A50" xr:uid="{DCF75860-2D8E-4CE5-9B5A-84907F4447A8}">
      <formula1>"Dapatkan Margin %,Dapatkan Kos,Dapatkan Harga Jual"</formula1>
    </dataValidation>
    <dataValidation type="list" allowBlank="1" showInputMessage="1" showErrorMessage="1" sqref="A20" xr:uid="{64AA7110-0FE8-4A6D-86D5-22525C78EFAA}">
      <formula1>E_List</formula1>
    </dataValidation>
    <dataValidation type="list" allowBlank="1" showInputMessage="1" showErrorMessage="1" sqref="A1" xr:uid="{120BFCB8-3309-4046-B7B2-192BAC13CC97}">
      <formula1>A_List</formula1>
    </dataValidation>
    <dataValidation type="list" allowBlank="1" showInputMessage="1" showErrorMessage="1" sqref="A19" xr:uid="{3A7ACC95-B816-40CB-B41F-E0F113ADA682}">
      <formula1>D_List</formula1>
    </dataValidation>
    <dataValidation type="list" allowBlank="1" showInputMessage="1" showErrorMessage="1" sqref="A21" xr:uid="{B0DD1754-D002-4D66-9050-8BBAEC8960A9}">
      <formula1>F_List</formula1>
    </dataValidation>
    <dataValidation type="list" allowBlank="1" showInputMessage="1" showErrorMessage="1" sqref="A22" xr:uid="{EF59F103-8911-4031-A867-038D4A0C13A4}">
      <formula1>G_List</formula1>
    </dataValidation>
    <dataValidation type="list" allowBlank="1" showInputMessage="1" showErrorMessage="1" sqref="A18" xr:uid="{C2BA12A4-89C9-4FEC-8ED8-9A0761B7A582}">
      <formula1>C_List</formula1>
    </dataValidation>
    <dataValidation type="list" allowBlank="1" showInputMessage="1" showErrorMessage="1" sqref="A17" xr:uid="{49591103-8C44-49B9-A6FA-37B68F953C73}">
      <formula1>B_List</formula1>
    </dataValidation>
    <dataValidation type="list" allowBlank="1" showInputMessage="1" showErrorMessage="1" sqref="A23" xr:uid="{06728618-48BB-4B2A-A113-F35ABB46F61E}">
      <formula1>H_List</formula1>
    </dataValidation>
    <dataValidation type="list" allowBlank="1" showInputMessage="1" showErrorMessage="1" sqref="A24" xr:uid="{B350D805-8601-4C0F-935A-8996E5B843BB}">
      <formula1>I_List</formula1>
    </dataValidation>
    <dataValidation type="list" allowBlank="1" showInputMessage="1" showErrorMessage="1" sqref="A25" xr:uid="{8BD56C7D-47FF-4480-A5B2-E34E154381C2}">
      <formula1>J_List</formula1>
    </dataValidation>
    <dataValidation type="list" allowBlank="1" showInputMessage="1" showErrorMessage="1" sqref="A26" xr:uid="{2BE4A06B-14DA-43DA-B648-08153FFE2935}">
      <formula1>K_List</formula1>
    </dataValidation>
    <dataValidation type="list" allowBlank="1" showInputMessage="1" showErrorMessage="1" sqref="A27" xr:uid="{97055093-E11E-495F-898A-5261B6B7D8AD}">
      <formula1>L_List</formula1>
    </dataValidation>
  </dataValidations>
  <pageMargins left="3.937007874015748E-2" right="3.937007874015748E-2" top="3.937007874015748E-2" bottom="3.937007874015748E-2" header="0.31496062992125984" footer="0.31496062992125984"/>
  <pageSetup paperSize="8" orientation="landscape" horizontalDpi="1200" verticalDpi="1200" r:id="rId1"/>
  <ignoredErrors>
    <ignoredError sqref="A46" numberStoredAsText="1"/>
    <ignoredError sqref="B46" numberStoredAsText="1" unlockedFormula="1"/>
    <ignoredError sqref="B1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7" r:id="rId4" name="Button 99">
              <controlPr defaultSize="0" print="0" autoFill="0" autoPict="0" macro="[0]!Sheet1.AddBoth">
                <anchor moveWithCells="1" sizeWithCells="1">
                  <from>
                    <xdr:col>9</xdr:col>
                    <xdr:colOff>19050</xdr:colOff>
                    <xdr:row>3</xdr:row>
                    <xdr:rowOff>123825</xdr:rowOff>
                  </from>
                  <to>
                    <xdr:col>9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5" name="Button 100">
              <controlPr defaultSize="0" print="0" autoFill="0" autoPict="0" macro="[0]!Sheet1.ClearTable">
                <anchor moveWithCells="1" sizeWithCells="1">
                  <from>
                    <xdr:col>9</xdr:col>
                    <xdr:colOff>19050</xdr:colOff>
                    <xdr:row>7</xdr:row>
                    <xdr:rowOff>0</xdr:rowOff>
                  </from>
                  <to>
                    <xdr:col>9</xdr:col>
                    <xdr:colOff>1085850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6" name="Button 101">
              <controlPr defaultSize="0" print="0" autoFill="0" autoPict="0" macro="[0]!Sheet1.SaveWorkAreaVersion">
                <anchor moveWithCells="1" sizeWithCells="1">
                  <from>
                    <xdr:col>16</xdr:col>
                    <xdr:colOff>19050</xdr:colOff>
                    <xdr:row>3</xdr:row>
                    <xdr:rowOff>123825</xdr:rowOff>
                  </from>
                  <to>
                    <xdr:col>16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7" name="Button 102">
              <controlPr defaultSize="0" print="0" autoFill="0" autoPict="0" macro="[0]!Sheet1.RestoreWorkAreaVersion">
                <anchor moveWithCells="1" sizeWithCells="1">
                  <from>
                    <xdr:col>16</xdr:col>
                    <xdr:colOff>19050</xdr:colOff>
                    <xdr:row>6</xdr:row>
                    <xdr:rowOff>57150</xdr:rowOff>
                  </from>
                  <to>
                    <xdr:col>16</xdr:col>
                    <xdr:colOff>1085850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" name="Button 103">
              <controlPr defaultSize="0" print="0" autoFill="0" autoPict="0" macro="[0]!Sheet1.ListWorkAreaVersions">
                <anchor moveWithCells="1" sizeWithCells="1">
                  <from>
                    <xdr:col>16</xdr:col>
                    <xdr:colOff>19050</xdr:colOff>
                    <xdr:row>9</xdr:row>
                    <xdr:rowOff>0</xdr:rowOff>
                  </from>
                  <to>
                    <xdr:col>16</xdr:col>
                    <xdr:colOff>1085850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" name="Button 104">
              <controlPr defaultSize="0" print="0" autoFill="0" autoPict="0" macro="[0]!Sheet1.DeleteWorkAreaVersion">
                <anchor moveWithCells="1" sizeWithCells="1">
                  <from>
                    <xdr:col>16</xdr:col>
                    <xdr:colOff>19050</xdr:colOff>
                    <xdr:row>11</xdr:row>
                    <xdr:rowOff>123825</xdr:rowOff>
                  </from>
                  <to>
                    <xdr:col>16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9CC-26F7-4712-8F25-57DC852285FB}">
  <sheetPr codeName="Sheet13"/>
  <dimension ref="A1:W690"/>
  <sheetViews>
    <sheetView tabSelected="1" topLeftCell="A70" zoomScale="75" zoomScaleNormal="75" workbookViewId="0">
      <selection activeCell="W106" sqref="W106"/>
    </sheetView>
  </sheetViews>
  <sheetFormatPr defaultRowHeight="15" x14ac:dyDescent="0.25"/>
  <cols>
    <col min="1" max="1" width="14.28515625" style="370" bestFit="1" customWidth="1"/>
    <col min="2" max="2" width="13.28515625" style="370" bestFit="1" customWidth="1"/>
    <col min="3" max="3" width="12.85546875" style="370" bestFit="1" customWidth="1"/>
    <col min="4" max="4" width="12.7109375" style="370" bestFit="1" customWidth="1"/>
    <col min="5" max="5" width="12" style="370" bestFit="1" customWidth="1"/>
    <col min="6" max="12" width="8.7109375" style="370" bestFit="1" customWidth="1"/>
    <col min="13" max="15" width="9.140625" style="370"/>
    <col min="16" max="16" width="9.140625" style="1"/>
    <col min="17" max="17" width="13.28515625" style="1" bestFit="1" customWidth="1"/>
    <col min="18" max="18" width="22.28515625" style="16" bestFit="1" customWidth="1"/>
    <col min="19" max="19" width="33.140625" style="24" bestFit="1" customWidth="1"/>
    <col min="20" max="20" width="22.28515625" style="1" bestFit="1" customWidth="1"/>
    <col min="21" max="22" width="9.140625" style="1"/>
    <col min="23" max="16384" width="9.140625" style="370"/>
  </cols>
  <sheetData>
    <row r="1" spans="1:23" x14ac:dyDescent="0.25">
      <c r="A1" s="375"/>
      <c r="B1" s="409"/>
      <c r="C1" s="409"/>
      <c r="D1" s="409"/>
      <c r="E1" s="409"/>
      <c r="F1" s="409"/>
      <c r="G1" s="409"/>
      <c r="H1" s="409"/>
      <c r="I1" s="409"/>
      <c r="J1" s="409"/>
      <c r="K1" s="409"/>
      <c r="L1" s="409"/>
      <c r="M1" s="409"/>
      <c r="N1" s="409"/>
      <c r="O1" s="409"/>
      <c r="P1" s="409" t="s">
        <v>1864</v>
      </c>
      <c r="Q1" s="409" t="s">
        <v>1810</v>
      </c>
      <c r="R1" s="428"/>
      <c r="S1" s="409" t="s">
        <v>1756</v>
      </c>
      <c r="T1" s="409" t="s">
        <v>1790</v>
      </c>
      <c r="U1" s="409" t="s">
        <v>102</v>
      </c>
      <c r="V1" s="409" t="s">
        <v>1845</v>
      </c>
      <c r="W1" s="410" t="s">
        <v>430</v>
      </c>
    </row>
    <row r="2" spans="1:23" x14ac:dyDescent="0.25">
      <c r="A2" s="275"/>
      <c r="M2" s="411"/>
      <c r="P2" s="1" t="s">
        <v>1865</v>
      </c>
      <c r="Q2" s="1" t="s">
        <v>1811</v>
      </c>
      <c r="S2" s="1" t="s">
        <v>1929</v>
      </c>
      <c r="T2" s="16" t="s">
        <v>114</v>
      </c>
      <c r="U2" s="1" t="s">
        <v>103</v>
      </c>
      <c r="V2" s="1" t="str" cm="1">
        <f t="array" ref="V2">_xlfn.LET(_xlpm.sel,TRIM(Enginuity!$A$22),_xlpm.tb,_xlfn.SWITCH(_xlpm.sel,"Top / Bottom",1,"Top + Bottom",2,"L / R",0,"L + R",0,"Top / Bottom + L / R",1,"Top / Bottom + L + R",1,"Top + Bottom + L / R",2,"Top + Bottom + L + R",2,0),_xlpm.sd,_xlfn.SWITCH(_xlpm.sel,"Top / Bottom",0,"Top + Bottom",0,"L / R",1,"L + R",2,"Top / Bottom + L / R",1,"Top / Bottom + L + R",2,"Top + Bottom + L / R",1,"Top + Bottom + L + R",2,0),_xlpm.tbVal,IF(AND(_xlpm.tb&gt;0,Enginuity!$B$6&gt;0,Enginuity!$B$13&gt;0),((4*Enginuity!$B$13)+(2*Enginuity!$B$6))*_xlpm.tb,0),_xlpm.sdVal,IF(AND(_xlpm.sd&gt;0,Enginuity!$B$7&gt;0),((2*Enginuity!$B$7)+(2*2))*_xlpm.sd,0),_xlpm.tot,_xlpm.tbVal+_xlpm.sdVal,IF(_xlpm.tot=0,"",_xlpm.tot))</f>
        <v/>
      </c>
      <c r="W2" s="400" cm="1">
        <f t="array" ref="W2">IFERROR(_xlfn.XLOOKUP(1,(TRIM(CostData!$B$22:$B$1000)=TRIM($Q2))*(TRIM(CostData!$C$22:$C$1000)=TRIM($S2))*(TRIM(CostData!$E$22:$E$1000)=TRIM($T2)),_xlfn.SWITCH(TRIM(Enginuity!$A$19),"N/A",CostData!$H$22:$H$1000,"M/B",CostData!$I$22:$I$1000,"P/C",CostData!$J$22:$J$1000,"W/G",CostData!$K$22:$K$1000,""),""),"")</f>
        <v>3.65</v>
      </c>
    </row>
    <row r="3" spans="1:23" x14ac:dyDescent="0.25">
      <c r="A3" s="275"/>
      <c r="P3" s="1" t="str">
        <f>IF(OR(TRIM($A3)&lt;&gt;TRIM(Enginuity!$A$1),TRIM($C3)&lt;&gt;TRIM(Enginuity!$A$18),TRIM($U3)="",$V3="",$V3=0,$W3="",$W3=0),"",ROW())</f>
        <v/>
      </c>
      <c r="Q3" s="1" t="s">
        <v>1875</v>
      </c>
      <c r="R3" s="16" t="s">
        <v>1934</v>
      </c>
      <c r="S3" s="1">
        <v>6154</v>
      </c>
      <c r="T3" s="16" t="s">
        <v>1877</v>
      </c>
      <c r="U3" s="1" t="str">
        <f>IF($S3="","",IFERROR(_xlfn.XLOOKUP($S3,CostData!$U$22:$U$1000,CostData!$AA$22:$AA$1000,""),""))</f>
        <v>Ft</v>
      </c>
      <c r="V3" s="1" t="str">
        <f>V2</f>
        <v/>
      </c>
      <c r="W3" s="400" cm="1">
        <f t="array" ref="W3">IF(INDEX($S:$S,ROW())="","",IFERROR(_xlfn.XLOOKUP(INDEX($S:$S,ROW()),CostData!$U$22:$U$1000,CostData!$AC$22:$AC$1000,""),""))</f>
        <v>0.30000000000000004</v>
      </c>
    </row>
    <row r="4" spans="1:23" x14ac:dyDescent="0.25">
      <c r="A4" s="275"/>
      <c r="P4" s="1" t="str">
        <f>IF(OR(TRIM($A4)&lt;&gt;TRIM(Enginuity!$A$1),TRIM($C4)&lt;&gt;TRIM(Enginuity!$A$18),TRIM($U4)="",$V4="",$V4=0,$W4="",$W4=0),"",ROW())</f>
        <v/>
      </c>
      <c r="S4" s="1"/>
      <c r="T4" s="16"/>
      <c r="W4" s="400" t="str" cm="1">
        <f t="array" ref="W4">IF(INDEX($S:$S,ROW())="","",IFERROR(_xlfn.XLOOKUP(INDEX($S:$S,ROW()),CostData!$U$22:$U$1000,CostData!$AC$22:$AC$1000,""),""))</f>
        <v/>
      </c>
    </row>
    <row r="5" spans="1:23" x14ac:dyDescent="0.25">
      <c r="A5" s="275"/>
      <c r="P5" s="1" t="str">
        <f>IF(OR(TRIM($A5)&lt;&gt;TRIM(Enginuity!$A$1),TRIM($C5)&lt;&gt;TRIM(Enginuity!$A$18),TRIM($U5)="",$V5="",$V5=0,$W5="",$W5=0),"",ROW())</f>
        <v/>
      </c>
      <c r="S5" s="1"/>
      <c r="T5" s="16"/>
      <c r="W5" s="400" t="str" cm="1">
        <f t="array" ref="W5">IF(INDEX($S:$S,ROW())="","",IFERROR(_xlfn.XLOOKUP(INDEX($S:$S,ROW()),CostData!$U$22:$U$1000,CostData!$AC$22:$AC$1000,""),""))</f>
        <v/>
      </c>
    </row>
    <row r="6" spans="1:23" x14ac:dyDescent="0.25">
      <c r="A6" s="275"/>
      <c r="P6" s="1" t="s">
        <v>1993</v>
      </c>
      <c r="Q6" s="1" t="str" cm="1">
        <f t="array" ref="Q6">_xlfn.LET(_xlpm.cd,INDEX($S:$S,ROW()),IF(_xlpm.cd="","",IFERROR(_xlfn.XLOOKUP(_xlpm.cd,CostData!$C$22:$C$1000,CostData!$B$22:$B$1000,""),"")))</f>
        <v>Aluminium</v>
      </c>
      <c r="R6" s="16" t="str">
        <f>T6</f>
        <v>2" Z-Louvre Blade</v>
      </c>
      <c r="S6" s="1" t="s">
        <v>1995</v>
      </c>
      <c r="T6" s="16" t="str" cm="1">
        <f t="array" ref="T6">_xlfn.LET(_xlpm.cd,INDEX($S:$S,ROW()),IF(_xlpm.cd="","",IFERROR(_xlfn.XLOOKUP(_xlpm.cd,CostData!$C$22:$C$1000,CostData!$E$22:$E$1000,""),"")))</f>
        <v>2" Z-Louvre Blade</v>
      </c>
      <c r="U6" s="1" t="s">
        <v>103</v>
      </c>
      <c r="V6" s="1">
        <f>IFERROR(IF(OR(Enginuity!$B$6="",Enginuity!$B$7=""),"",ROUNDUP((Enginuity!$B$7*304.8)/41,0)*Enginuity!$B$6),"")</f>
        <v>1940</v>
      </c>
      <c r="W6" s="400" cm="1">
        <f t="array" ref="W6">IFERROR(_xlfn.XLOOKUP(1,(TRIM(CostData!$B$22:$B$1000)=TRIM($Q6))*(TRIM(CostData!$C$22:$C$1000)=TRIM($S6))*(TRIM(CostData!$E$22:$E$1000)=TRIM($T6)),_xlfn.SWITCH(TRIM(Enginuity!$A$19),"N/A",CostData!$H$22:$H$1000,"M/B",CostData!$I$22:$I$1000,"P/C",CostData!$J$22:$J$1000,"W/G",CostData!$K$22:$K$1000,""),""),"")</f>
        <v>3.55</v>
      </c>
    </row>
    <row r="7" spans="1:23" x14ac:dyDescent="0.25">
      <c r="A7" s="275"/>
      <c r="P7" s="1" t="str">
        <f>IF(OR(TRIM($A7)&lt;&gt;TRIM(Enginuity!$A$1),TRIM($C7)&lt;&gt;TRIM(Enginuity!$A$18),TRIM($U7)="",$V7="",$V7=0,$W7="",$W7=0),"",ROW())</f>
        <v/>
      </c>
      <c r="Q7" s="1" t="str" cm="1">
        <f t="array" ref="Q7">_xlfn.LET(_xlpm.cd,INDEX($S:$S,ROW()),IF(_xlpm.cd="","",IFERROR(_xlfn.XLOOKUP(_xlpm.cd,CostData!$C$22:$C$1000,CostData!$B$22:$B$1000,""),"")))</f>
        <v>Aluminium</v>
      </c>
      <c r="R7" s="16" t="str">
        <f t="shared" ref="R7:R10" si="0">T7</f>
        <v>U Channel 1/2"H x 1 2/8"W</v>
      </c>
      <c r="S7" s="1" t="s">
        <v>1996</v>
      </c>
      <c r="T7" s="16" t="str" cm="1">
        <f t="array" ref="T7">_xlfn.LET(_xlpm.cd,INDEX($S:$S,ROW()),IF(_xlpm.cd="","",IFERROR(_xlfn.XLOOKUP(_xlpm.cd,CostData!$C$22:$C$1000,CostData!$E$22:$E$1000,""),"")))</f>
        <v>U Channel 1/2"H x 1 2/8"W</v>
      </c>
      <c r="U7" s="1" t="s">
        <v>103</v>
      </c>
      <c r="V7" s="1">
        <f>IFERROR(IF(OR(Enginuity!$B$7="",IF(Enginuity!$B$14&lt;&gt;"",Enginuity!$B$14,Enginuity!$B$13)=""),"",IF(Enginuity!$B$14&lt;&gt;"",Enginuity!$B$14,Enginuity!$B$13)*2*Enginuity!$B$7),"")</f>
        <v>182</v>
      </c>
      <c r="W7" s="400" cm="1">
        <f t="array" ref="W7">IFERROR(_xlfn.XLOOKUP(1,(TRIM(CostData!$B$22:$B$1000)=TRIM($Q7))*(TRIM(CostData!$C$22:$C$1000)=TRIM($S7))*(TRIM(CostData!$E$22:$E$1000)=TRIM($T7)),_xlfn.SWITCH(TRIM(Enginuity!$A$19),"N/A",CostData!$H$22:$H$1000,"M/B",CostData!$I$22:$I$1000,"P/C",CostData!$J$22:$J$1000,"W/G",CostData!$K$22:$K$1000,""),""),"")</f>
        <v>2.91</v>
      </c>
    </row>
    <row r="8" spans="1:23" x14ac:dyDescent="0.25">
      <c r="A8" s="275"/>
      <c r="P8" s="1" t="str">
        <f>IF(OR(TRIM($A8)&lt;&gt;TRIM(Enginuity!$A$1),TRIM($C8)&lt;&gt;TRIM(Enginuity!$A$18),TRIM($U8)="",$V8="",$V8=0,$W8="",$W8=0),"",ROW())</f>
        <v/>
      </c>
      <c r="Q8" s="1" t="str" cm="1">
        <f t="array" ref="Q8">_xlfn.LET(_xlpm.cd,INDEX($S:$S,ROW()),IF(_xlpm.cd="","",IFERROR(_xlfn.XLOOKUP(_xlpm.cd,CostData!$C$22:$C$1000,CostData!$B$22:$B$1000,""),"")))</f>
        <v/>
      </c>
      <c r="R8" s="16" t="str">
        <f t="shared" si="0"/>
        <v/>
      </c>
      <c r="S8" s="1"/>
      <c r="T8" s="16" t="str" cm="1">
        <f t="array" ref="T8">_xlfn.LET(_xlpm.cd,INDEX($S:$S,ROW()),IF(_xlpm.cd="","",IFERROR(_xlfn.XLOOKUP(_xlpm.cd,CostData!$C$22:$C$1000,CostData!$E$22:$E$1000,""),"")))</f>
        <v/>
      </c>
      <c r="W8" s="400">
        <f>IFERROR(SUMPRODUCT(V6:V7,W6:W7)/Enginuity!$B$9,"")</f>
        <v>28.525461538461538</v>
      </c>
    </row>
    <row r="9" spans="1:23" x14ac:dyDescent="0.25">
      <c r="A9" s="275"/>
      <c r="P9" s="1" t="str">
        <f>IF(OR(TRIM($A9)&lt;&gt;TRIM(Enginuity!$A$1),TRIM($C9)&lt;&gt;TRIM(Enginuity!$A$18),TRIM($U9)="",$V9="",$V9=0,$W9="",$W9=0),"",ROW())</f>
        <v/>
      </c>
      <c r="Q9" s="1" t="str" cm="1">
        <f t="array" ref="Q9">_xlfn.LET(_xlpm.cd,INDEX($S:$S,ROW()),IF(_xlpm.cd="","",IFERROR(_xlfn.XLOOKUP(_xlpm.cd,CostData!$C$22:$C$1000,CostData!$B$22:$B$1000,""),"")))</f>
        <v>Aluminium</v>
      </c>
      <c r="R9" s="16" t="str">
        <f t="shared" si="0"/>
        <v>5" Z-Louvre Blade</v>
      </c>
      <c r="S9" s="1" t="s">
        <v>1994</v>
      </c>
      <c r="T9" s="16" t="str" cm="1">
        <f t="array" ref="T9">_xlfn.LET(_xlpm.cd,INDEX($S:$S,ROW()),IF(_xlpm.cd="","",IFERROR(_xlfn.XLOOKUP(_xlpm.cd,CostData!$C$22:$C$1000,CostData!$E$22:$E$1000,""),"")))</f>
        <v>5" Z-Louvre Blade</v>
      </c>
      <c r="U9" s="1" t="s">
        <v>103</v>
      </c>
      <c r="V9" s="1">
        <f>IFERROR(IF(OR(Enginuity!$B$6="",Enginuity!$B$7=""),"",ROUNDUP((Enginuity!$B$7*304.8)/96,0)*Enginuity!$B$6),"")</f>
        <v>840</v>
      </c>
      <c r="W9" s="400" cm="1">
        <f t="array" ref="W9">IFERROR(_xlfn.XLOOKUP(1,(TRIM(CostData!$B$22:$B$1000)=TRIM($Q9))*(TRIM(CostData!$C$22:$C$1000)=TRIM($S9))*(TRIM(CostData!$E$22:$E$1000)=TRIM($T9)),_xlfn.SWITCH(TRIM(Enginuity!$A$19),"N/A",CostData!$H$22:$H$1000,"M/B",CostData!$I$22:$I$1000,"P/C",CostData!$J$22:$J$1000,"W/G",CostData!$K$22:$K$1000,""),""),"")</f>
        <v>8.56</v>
      </c>
    </row>
    <row r="10" spans="1:23" x14ac:dyDescent="0.25">
      <c r="A10" s="275"/>
      <c r="Q10" s="1" t="str" cm="1">
        <f t="array" ref="Q10">_xlfn.LET(_xlpm.cd,INDEX($S:$S,ROW()),IF(_xlpm.cd="","",IFERROR(_xlfn.XLOOKUP(_xlpm.cd,CostData!$C$22:$C$1000,CostData!$B$22:$B$1000,""),"")))</f>
        <v>Aluminium</v>
      </c>
      <c r="R10" s="16" t="str">
        <f t="shared" si="0"/>
        <v>U Channel 1"H x 3"W</v>
      </c>
      <c r="S10" s="1" t="s">
        <v>1999</v>
      </c>
      <c r="T10" s="16" t="str" cm="1">
        <f t="array" ref="T10">_xlfn.LET(_xlpm.cd,INDEX($S:$S,ROW()),IF(_xlpm.cd="","",IFERROR(_xlfn.XLOOKUP(_xlpm.cd,CostData!$C$22:$C$1000,CostData!$E$22:$E$1000,""),"")))</f>
        <v>U Channel 1"H x 3"W</v>
      </c>
      <c r="U10" s="1" t="s">
        <v>103</v>
      </c>
      <c r="V10" s="1">
        <f>IFERROR(IF(OR(Enginuity!$B$7="",IF(Enginuity!$B$14&lt;&gt;"",Enginuity!$B$14,Enginuity!$B$13)=""),"",IF(Enginuity!$B$14&lt;&gt;"",Enginuity!$B$14,Enginuity!$B$13)*2*Enginuity!$B$7),"")</f>
        <v>182</v>
      </c>
      <c r="W10" s="400" cm="1">
        <f t="array" ref="W10">IFERROR(_xlfn.XLOOKUP(1,(TRIM(CostData!$B$22:$B$1000)=TRIM($Q10))*(TRIM(CostData!$C$22:$C$1000)=TRIM($S10))*(TRIM(CostData!$E$22:$E$1000)=TRIM($T10)),_xlfn.SWITCH(TRIM(Enginuity!$A$19),"N/A",CostData!$H$22:$H$1000,"M/B",CostData!$I$22:$I$1000,"P/C",CostData!$J$22:$J$1000,"W/G",CostData!$K$22:$K$1000,""),""),"")</f>
        <v>6.26</v>
      </c>
    </row>
    <row r="11" spans="1:23" x14ac:dyDescent="0.25">
      <c r="A11" s="275"/>
      <c r="S11" s="1"/>
      <c r="W11" s="400">
        <f>IFERROR(SUMPRODUCT(V9:V10,W9:W10)/Enginuity!$B$9,"")</f>
        <v>32.037384615384617</v>
      </c>
    </row>
    <row r="12" spans="1:23" x14ac:dyDescent="0.25">
      <c r="A12" s="275"/>
      <c r="S12" s="1"/>
      <c r="W12" s="400" t="str" cm="1">
        <f t="array" ref="W12">IF(INDEX($S:$S,ROW())="","",IFERROR(_xlfn.XLOOKUP(INDEX($S:$S,ROW()),CostData!$U$22:$U$1000,CostData!$AC$22:$AC$1000,""),""))</f>
        <v/>
      </c>
    </row>
    <row r="13" spans="1:23" x14ac:dyDescent="0.25">
      <c r="A13" s="275"/>
      <c r="S13" s="1"/>
      <c r="W13" s="400" t="str" cm="1">
        <f t="array" ref="W13">IF(INDEX($S:$S,ROW())="","",IFERROR(_xlfn.XLOOKUP(INDEX($S:$S,ROW()),CostData!$U$22:$U$1000,CostData!$AC$22:$AC$1000,""),""))</f>
        <v/>
      </c>
    </row>
    <row r="14" spans="1:23" x14ac:dyDescent="0.25">
      <c r="A14" s="275"/>
      <c r="S14" s="1"/>
      <c r="W14" s="400" t="str" cm="1">
        <f t="array" ref="W14">IF(INDEX($S:$S,ROW())="","",IFERROR(_xlfn.XLOOKUP(INDEX($S:$S,ROW()),CostData!$U$22:$U$1000,CostData!$AC$22:$AC$1000,""),""))</f>
        <v/>
      </c>
    </row>
    <row r="15" spans="1:23" x14ac:dyDescent="0.25">
      <c r="A15" s="275"/>
      <c r="P15" s="1" t="str">
        <f>IF(OR(TRIM($A15)&lt;&gt;TRIM(Enginuity!$A$1),TRIM($C15)&lt;&gt;TRIM(Enginuity!$A$18),TRIM($U15)="",$V15="",$V15=0,$W15="",$W15=0),"",ROW())</f>
        <v/>
      </c>
      <c r="S15" s="1"/>
      <c r="W15" s="400" t="str" cm="1">
        <f t="array" ref="W15">IF(INDEX($S:$S,ROW())="","",IFERROR(_xlfn.XLOOKUP(INDEX($S:$S,ROW()),CostData!$U$22:$U$1000,CostData!$AC$22:$AC$1000,""),""))</f>
        <v/>
      </c>
    </row>
    <row r="16" spans="1:23" x14ac:dyDescent="0.25">
      <c r="A16" s="275"/>
      <c r="P16" s="1" t="str">
        <f>IF(OR(TRIM($A16)&lt;&gt;TRIM(Enginuity!$A$1),TRIM($C16)&lt;&gt;TRIM(Enginuity!$A$18),TRIM($U16)="",$V16="",$V16=0,$W16="",$W16=0),"",ROW())</f>
        <v/>
      </c>
      <c r="S16" s="1"/>
      <c r="W16" s="400" t="str" cm="1">
        <f t="array" ref="W16">IF(OR(TRIM(CalcEngine!$A16)&lt;&gt;TRIM(Enginuity!$A$1),TRIM(CalcEngine!$C16)&lt;&gt;TRIM(Enginuity!$A$18),CalcEngine!$V16="",CalcEngine!$V16=0),"",IFERROR(_xlfn.XLOOKUP(1,(TRIM(CostData!$B$22:$B$1000)="Aluminium")*(TRIM(CostData!$C$22:$C$1000)="CWS")*(TRIM(CostData!$E$22:$E$1000)=TRIM(CalcEngine!$T16)),_xlfn.SWITCH(TRIM(Enginuity!$A$19),"N/A",CostData!$H$22:$H$1000,"M/B",CostData!$I$22:$I$1000,"P/C",CostData!$J$22:$J$1000,"W/G",CostData!$K$22:$K$1000,""),""),""))</f>
        <v/>
      </c>
    </row>
    <row r="17" spans="1:23" x14ac:dyDescent="0.25">
      <c r="A17" s="275"/>
      <c r="P17" s="1" t="str">
        <f>IF(OR(TRIM($A17)&lt;&gt;TRIM(Enginuity!$A$1),TRIM($C17)&lt;&gt;TRIM(Enginuity!$A$18),TRIM($U17)="",$V17="",$V17=0,$W17="",$W17=0),"",ROW())</f>
        <v/>
      </c>
      <c r="S17" s="1"/>
      <c r="W17" s="400" t="str" cm="1">
        <f t="array" ref="W17">IF(OR(TRIM(CalcEngine!$A17)&lt;&gt;TRIM(Enginuity!$A$1),TRIM(CalcEngine!$C17)&lt;&gt;TRIM(Enginuity!$A$18),CalcEngine!$V17="",CalcEngine!$V17=0),"",IFERROR(_xlfn.XLOOKUP(1,(TRIM(CostData!$B$22:$B$1000)="Aluminium")*(TRIM(CostData!$C$22:$C$1000)="CWS")*(TRIM(CostData!$E$22:$E$1000)=TRIM(CalcEngine!$T17)),_xlfn.SWITCH(TRIM(Enginuity!$A$19),"N/A",CostData!$H$22:$H$1000,"M/B",CostData!$I$22:$I$1000,"P/C",CostData!$J$22:$J$1000,"W/G",CostData!$K$22:$K$1000,""),""),""))</f>
        <v/>
      </c>
    </row>
    <row r="18" spans="1:23" x14ac:dyDescent="0.25">
      <c r="A18" s="275"/>
      <c r="P18" s="1" t="str">
        <f>IF(OR(TRIM($A18)&lt;&gt;TRIM(Enginuity!$A$1),TRIM($C18)&lt;&gt;TRIM(Enginuity!$A$18),TRIM($U18)="",$V18="",$V18=0,$W18="",$W18=0),"",ROW())</f>
        <v/>
      </c>
      <c r="S18" s="1"/>
      <c r="W18" s="400" t="str" cm="1">
        <f t="array" ref="W18">IF(OR(TRIM(CalcEngine!$A18)&lt;&gt;TRIM(Enginuity!$A$1),TRIM(CalcEngine!$C18)&lt;&gt;TRIM(Enginuity!$A$18),CalcEngine!$V18="",CalcEngine!$V18=0),"",IFERROR(_xlfn.XLOOKUP(1,(TRIM(CostData!$B$22:$B$1000)="Aluminium")*(TRIM(CostData!$C$22:$C$1000)="CWS")*(TRIM(CostData!$E$22:$E$1000)=TRIM(CalcEngine!$T18)),_xlfn.SWITCH(TRIM(Enginuity!$A$19),"N/A",CostData!$H$22:$H$1000,"M/B",CostData!$I$22:$I$1000,"P/C",CostData!$J$22:$J$1000,"W/G",CostData!$K$22:$K$1000,""),""),""))</f>
        <v/>
      </c>
    </row>
    <row r="19" spans="1:23" x14ac:dyDescent="0.25">
      <c r="A19" s="275"/>
      <c r="P19" s="1" t="str">
        <f>IF(OR(TRIM($A19)&lt;&gt;TRIM(Enginuity!$A$1),TRIM($C19)&lt;&gt;TRIM(Enginuity!$A$18),TRIM($U19)="",$V19="",$V19=0,$W19="",$W19=0),"",ROW())</f>
        <v/>
      </c>
      <c r="S19" s="1"/>
      <c r="W19" s="400" t="str" cm="1">
        <f t="array" ref="W19">IF(OR(TRIM(CalcEngine!$A19)&lt;&gt;TRIM(Enginuity!$A$1),TRIM(CalcEngine!$C19)&lt;&gt;TRIM(Enginuity!$A$18),CalcEngine!$V19="",CalcEngine!$V19=0),"",IFERROR(_xlfn.XLOOKUP(1,(TRIM(CostData!$B$22:$B$1000)="Aluminium")*(TRIM(CostData!$C$22:$C$1000)="CWS")*(TRIM(CostData!$E$22:$E$1000)=TRIM(CalcEngine!$T19)),_xlfn.SWITCH(TRIM(Enginuity!$A$19),"N/A",CostData!$H$22:$H$1000,"M/B",CostData!$I$22:$I$1000,"P/C",CostData!$J$22:$J$1000,"W/G",CostData!$K$22:$K$1000,""),""),""))</f>
        <v/>
      </c>
    </row>
    <row r="20" spans="1:23" x14ac:dyDescent="0.25">
      <c r="A20" s="275"/>
      <c r="P20" s="1" t="str">
        <f>IF(OR(TRIM($A20)&lt;&gt;TRIM(Enginuity!$A$1),TRIM($C20)&lt;&gt;TRIM(Enginuity!$A$18),TRIM($U20)="",$V20="",$V20=0,$W20="",$W20=0),"",ROW())</f>
        <v/>
      </c>
      <c r="S20" s="1"/>
      <c r="W20" s="400" t="str" cm="1">
        <f t="array" ref="W20">IF(OR(TRIM(CalcEngine!$A20)&lt;&gt;TRIM(Enginuity!$A$1),TRIM(CalcEngine!$C20)&lt;&gt;TRIM(Enginuity!$A$18),CalcEngine!$V20="",CalcEngine!$V20=0),"",IFERROR(_xlfn.XLOOKUP(1,(TRIM(CostData!$B$22:$B$1000)="Aluminium")*(TRIM(CostData!$C$22:$C$1000)="CWS")*(TRIM(CostData!$E$22:$E$1000)=TRIM(CalcEngine!$T20)),_xlfn.SWITCH(TRIM(Enginuity!$A$19),"N/A",CostData!$H$22:$H$1000,"M/B",CostData!$I$22:$I$1000,"P/C",CostData!$J$22:$J$1000,"W/G",CostData!$K$22:$K$1000,""),""),""))</f>
        <v/>
      </c>
    </row>
    <row r="21" spans="1:23" x14ac:dyDescent="0.25">
      <c r="A21" s="275"/>
      <c r="P21" s="1" t="str">
        <f>IF(OR(TRIM($A21)&lt;&gt;TRIM(Enginuity!$A$1),TRIM($C21)&lt;&gt;TRIM(Enginuity!$A$18),TRIM($U21)="",$V21="",$V21=0,$W21="",$W21=0),"",ROW())</f>
        <v/>
      </c>
      <c r="S21" s="1"/>
      <c r="W21" s="400" t="str" cm="1">
        <f t="array" ref="W21">IF(OR(TRIM(CalcEngine!$A21)&lt;&gt;TRIM(Enginuity!$A$1),TRIM(CalcEngine!$C21)&lt;&gt;TRIM(Enginuity!$A$18),CalcEngine!$V21="",CalcEngine!$V21=0),"",IFERROR(_xlfn.XLOOKUP(1,(TRIM(CostData!$B$22:$B$1000)="Aluminium")*(TRIM(CostData!$C$22:$C$1000)="CWS")*(TRIM(CostData!$E$22:$E$1000)=TRIM(CalcEngine!$T21)),_xlfn.SWITCH(TRIM(Enginuity!$A$19),"N/A",CostData!$H$22:$H$1000,"M/B",CostData!$I$22:$I$1000,"P/C",CostData!$J$22:$J$1000,"W/G",CostData!$K$22:$K$1000,""),""),""))</f>
        <v/>
      </c>
    </row>
    <row r="22" spans="1:23" x14ac:dyDescent="0.25">
      <c r="A22" s="275"/>
      <c r="P22" s="1" t="str">
        <f>IF(OR(TRIM($A22)&lt;&gt;TRIM(Enginuity!$A$1),TRIM($C22)&lt;&gt;TRIM(Enginuity!$A$18),TRIM($U22)="",$V22="",$V22=0,$W22="",$W22=0),"",ROW())</f>
        <v/>
      </c>
      <c r="S22" s="1"/>
      <c r="W22" s="400" t="str" cm="1">
        <f t="array" ref="W22">IF(OR(TRIM(CalcEngine!$A22)&lt;&gt;TRIM(Enginuity!$A$1),TRIM(CalcEngine!$C22)&lt;&gt;TRIM(Enginuity!$A$18),CalcEngine!$V22="",CalcEngine!$V22=0),"",IFERROR(_xlfn.XLOOKUP(1,(TRIM(CostData!$B$22:$B$1000)="Aluminium")*(TRIM(CostData!$C$22:$C$1000)="CWS")*(TRIM(CostData!$E$22:$E$1000)=TRIM(CalcEngine!$T22)),_xlfn.SWITCH(TRIM(Enginuity!$A$19),"N/A",CostData!$H$22:$H$1000,"M/B",CostData!$I$22:$I$1000,"P/C",CostData!$J$22:$J$1000,"W/G",CostData!$K$22:$K$1000,""),""),""))</f>
        <v/>
      </c>
    </row>
    <row r="23" spans="1:23" x14ac:dyDescent="0.25">
      <c r="A23" s="275"/>
      <c r="P23" s="1" t="str">
        <f>IF(OR(TRIM($A23)&lt;&gt;TRIM(Enginuity!$A$1),TRIM($C23)&lt;&gt;TRIM(Enginuity!$A$18),TRIM($U23)="",$V23="",$V23=0,$W23="",$W23=0),"",ROW())</f>
        <v/>
      </c>
      <c r="S23" s="1"/>
      <c r="W23" s="400" t="str" cm="1">
        <f t="array" ref="W23">IF(OR(TRIM(CalcEngine!$A23)&lt;&gt;TRIM(Enginuity!$A$1),TRIM(CalcEngine!$C23)&lt;&gt;TRIM(Enginuity!$A$18),CalcEngine!$V23="",CalcEngine!$V23=0),"",IFERROR(_xlfn.XLOOKUP(1,(TRIM(CostData!$B$22:$B$1000)="Aluminium")*(TRIM(CostData!$C$22:$C$1000)="CWS")*(TRIM(CostData!$E$22:$E$1000)=TRIM(CalcEngine!$T23)),_xlfn.SWITCH(TRIM(Enginuity!$A$19),"N/A",CostData!$H$22:$H$1000,"M/B",CostData!$I$22:$I$1000,"P/C",CostData!$J$22:$J$1000,"W/G",CostData!$K$22:$K$1000,""),""),""))</f>
        <v/>
      </c>
    </row>
    <row r="24" spans="1:23" x14ac:dyDescent="0.25">
      <c r="A24" s="275"/>
      <c r="P24" s="1" t="str">
        <f>IF(OR(TRIM($A24)&lt;&gt;TRIM(Enginuity!$A$1),TRIM($C24)&lt;&gt;TRIM(Enginuity!$A$18),TRIM($U24)="",$V24="",$V24=0,$W24="",$W24=0),"",ROW())</f>
        <v/>
      </c>
      <c r="S24" s="1"/>
      <c r="W24" s="400" t="str" cm="1">
        <f t="array" ref="W24">IF(OR(TRIM(CalcEngine!$A24)&lt;&gt;TRIM(Enginuity!$A$1),TRIM(CalcEngine!$C24)&lt;&gt;TRIM(Enginuity!$A$18),CalcEngine!$V24="",CalcEngine!$V24=0),"",IFERROR(_xlfn.XLOOKUP(1,(TRIM(CostData!$B$22:$B$1000)="Aluminium")*(TRIM(CostData!$C$22:$C$1000)="CWS")*(TRIM(CostData!$E$22:$E$1000)=TRIM(CalcEngine!$T24)),_xlfn.SWITCH(TRIM(Enginuity!$A$19),"N/A",CostData!$H$22:$H$1000,"M/B",CostData!$I$22:$I$1000,"P/C",CostData!$J$22:$J$1000,"W/G",CostData!$K$22:$K$1000,""),""),""))</f>
        <v/>
      </c>
    </row>
    <row r="25" spans="1:23" x14ac:dyDescent="0.25">
      <c r="A25" s="275"/>
      <c r="P25" s="1" t="str">
        <f>IF(OR(TRIM($A25)&lt;&gt;TRIM(Enginuity!$A$1),TRIM($C25)&lt;&gt;TRIM(Enginuity!$A$18),TRIM($U25)="",$V25="",$V25=0,$W25="",$W25=0),"",ROW())</f>
        <v/>
      </c>
      <c r="S25" s="1"/>
      <c r="W25" s="400" t="str" cm="1">
        <f t="array" ref="W25">IF(OR(TRIM(CalcEngine!$A25)&lt;&gt;TRIM(Enginuity!$A$1),TRIM(CalcEngine!$C25)&lt;&gt;TRIM(Enginuity!$A$18),CalcEngine!$V25="",CalcEngine!$V25=0),"",IFERROR(_xlfn.XLOOKUP(1,(TRIM(CostData!$B$22:$B$1000)="Aluminium")*(TRIM(CostData!$C$22:$C$1000)="CWS")*(TRIM(CostData!$E$22:$E$1000)=TRIM(CalcEngine!$T25)),_xlfn.SWITCH(TRIM(Enginuity!$A$19),"N/A",CostData!$H$22:$H$1000,"M/B",CostData!$I$22:$I$1000,"P/C",CostData!$J$22:$J$1000,"W/G",CostData!$K$22:$K$1000,""),""),""))</f>
        <v/>
      </c>
    </row>
    <row r="26" spans="1:23" x14ac:dyDescent="0.25">
      <c r="A26" s="275"/>
      <c r="P26" s="1" t="str">
        <f>IF(OR(TRIM($A26)&lt;&gt;TRIM(Enginuity!$A$1),TRIM($C26)&lt;&gt;TRIM(Enginuity!$A$18),TRIM($U26)="",$V26="",$V26=0,$W26="",$W26=0),"",ROW())</f>
        <v/>
      </c>
      <c r="S26" s="1"/>
      <c r="W26" s="400" t="str" cm="1">
        <f t="array" ref="W26">IF(OR(TRIM(CalcEngine!$A26)&lt;&gt;TRIM(Enginuity!$A$1),TRIM(CalcEngine!$C26)&lt;&gt;TRIM(Enginuity!$A$18),CalcEngine!$V26="",CalcEngine!$V26=0),"",IFERROR(_xlfn.XLOOKUP(1,(TRIM(CostData!$B$22:$B$1000)="Aluminium")*(TRIM(CostData!$C$22:$C$1000)="CWS")*(TRIM(CostData!$E$22:$E$1000)=TRIM(CalcEngine!$T26)),_xlfn.SWITCH(TRIM(Enginuity!$A$19),"N/A",CostData!$H$22:$H$1000,"M/B",CostData!$I$22:$I$1000,"P/C",CostData!$J$22:$J$1000,"W/G",CostData!$K$22:$K$1000,""),""),""))</f>
        <v/>
      </c>
    </row>
    <row r="27" spans="1:23" x14ac:dyDescent="0.25">
      <c r="A27" s="275"/>
      <c r="P27" s="1" t="str">
        <f>IF(OR(TRIM($A27)&lt;&gt;TRIM(Enginuity!$A$1),TRIM($C27)&lt;&gt;TRIM(Enginuity!$A$18),TRIM($U27)="",$V27="",$V27=0,$W27="",$W27=0),"",ROW())</f>
        <v/>
      </c>
      <c r="S27" s="1"/>
      <c r="W27" s="400" t="str" cm="1">
        <f t="array" ref="W27">IF(OR(TRIM(CalcEngine!$A27)&lt;&gt;TRIM(Enginuity!$A$1),TRIM(CalcEngine!$C27)&lt;&gt;TRIM(Enginuity!$A$18),CalcEngine!$V27="",CalcEngine!$V27=0),"",IFERROR(_xlfn.XLOOKUP(1,(TRIM(CostData!$B$22:$B$1000)="Aluminium")*(TRIM(CostData!$C$22:$C$1000)="CWS")*(TRIM(CostData!$E$22:$E$1000)=TRIM(CalcEngine!$T27)),_xlfn.SWITCH(TRIM(Enginuity!$A$19),"N/A",CostData!$H$22:$H$1000,"M/B",CostData!$I$22:$I$1000,"P/C",CostData!$J$22:$J$1000,"W/G",CostData!$K$22:$K$1000,""),""),""))</f>
        <v/>
      </c>
    </row>
    <row r="28" spans="1:23" x14ac:dyDescent="0.25">
      <c r="A28" s="275"/>
      <c r="P28" s="1" t="str">
        <f>IF(OR(TRIM($A28)&lt;&gt;TRIM(Enginuity!$A$1),TRIM($C28)&lt;&gt;TRIM(Enginuity!$A$18),TRIM($U28)="",$V28="",$V28=0,$W28="",$W28=0),"",ROW())</f>
        <v/>
      </c>
      <c r="S28" s="1"/>
      <c r="W28" s="400" t="str" cm="1">
        <f t="array" ref="W28">IF(OR(TRIM(CalcEngine!$A28)&lt;&gt;TRIM(Enginuity!$A$1),TRIM(CalcEngine!$C28)&lt;&gt;TRIM(Enginuity!$A$18),CalcEngine!$V28="",CalcEngine!$V28=0),"",IFERROR(_xlfn.XLOOKUP(1,(TRIM(CostData!$B$22:$B$1000)="Aluminium")*(TRIM(CostData!$C$22:$C$1000)="CWS")*(TRIM(CostData!$E$22:$E$1000)=TRIM(CalcEngine!$T28)),_xlfn.SWITCH(TRIM(Enginuity!$A$19),"N/A",CostData!$H$22:$H$1000,"M/B",CostData!$I$22:$I$1000,"P/C",CostData!$J$22:$J$1000,"W/G",CostData!$K$22:$K$1000,""),""),""))</f>
        <v/>
      </c>
    </row>
    <row r="29" spans="1:23" x14ac:dyDescent="0.25">
      <c r="A29" s="275"/>
      <c r="P29" s="1" t="str">
        <f>IF(OR(TRIM($A29)&lt;&gt;TRIM(Enginuity!$A$1),TRIM($C29)&lt;&gt;TRIM(Enginuity!$A$18),TRIM($U29)="",$V29="",$V29=0,$W29="",$W29=0),"",ROW())</f>
        <v/>
      </c>
      <c r="S29" s="1"/>
      <c r="W29" s="400" t="str" cm="1">
        <f t="array" ref="W29">IF(OR(TRIM(CalcEngine!$A29)&lt;&gt;TRIM(Enginuity!$A$1),TRIM(CalcEngine!$C29)&lt;&gt;TRIM(Enginuity!$A$18),CalcEngine!$V29="",CalcEngine!$V29=0),"",IFERROR(_xlfn.XLOOKUP(1,(TRIM(CostData!$B$22:$B$1000)="Aluminium")*(TRIM(CostData!$C$22:$C$1000)="CWS")*(TRIM(CostData!$E$22:$E$1000)=TRIM(CalcEngine!$T29)),_xlfn.SWITCH(TRIM(Enginuity!$A$19),"N/A",CostData!$H$22:$H$1000,"M/B",CostData!$I$22:$I$1000,"P/C",CostData!$J$22:$J$1000,"W/G",CostData!$K$22:$K$1000,""),""),""))</f>
        <v/>
      </c>
    </row>
    <row r="30" spans="1:23" x14ac:dyDescent="0.25">
      <c r="A30" s="275"/>
      <c r="P30" s="1" t="str">
        <f>IF(OR(TRIM($A30)&lt;&gt;TRIM(Enginuity!$A$1),TRIM($C30)&lt;&gt;TRIM(Enginuity!$A$18),TRIM($U30)="",$V30="",$V30=0,$W30="",$W30=0),"",ROW())</f>
        <v/>
      </c>
      <c r="S30" s="1"/>
      <c r="W30" s="400" t="str" cm="1">
        <f t="array" ref="W30">IF(OR(TRIM(CalcEngine!$A30)&lt;&gt;TRIM(Enginuity!$A$1),TRIM(CalcEngine!$C30)&lt;&gt;TRIM(Enginuity!$A$18),CalcEngine!$V30="",CalcEngine!$V30=0),"",IFERROR(_xlfn.XLOOKUP(1,(TRIM(CostData!$B$22:$B$1000)="Aluminium")*(TRIM(CostData!$C$22:$C$1000)="CWS")*(TRIM(CostData!$E$22:$E$1000)=TRIM(CalcEngine!$T30)),_xlfn.SWITCH(TRIM(Enginuity!$A$19),"N/A",CostData!$H$22:$H$1000,"M/B",CostData!$I$22:$I$1000,"P/C",CostData!$J$22:$J$1000,"W/G",CostData!$K$22:$K$1000,""),""),""))</f>
        <v/>
      </c>
    </row>
    <row r="31" spans="1:23" x14ac:dyDescent="0.25">
      <c r="A31" s="20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S31" s="1"/>
      <c r="W31" s="427"/>
    </row>
    <row r="32" spans="1:23" x14ac:dyDescent="0.25">
      <c r="A32" s="275"/>
      <c r="M32" s="411"/>
      <c r="S32" s="1"/>
      <c r="W32" s="400"/>
    </row>
    <row r="33" spans="1:23" x14ac:dyDescent="0.25">
      <c r="A33" s="275"/>
      <c r="S33" s="1"/>
      <c r="W33" s="400"/>
    </row>
    <row r="34" spans="1:23" x14ac:dyDescent="0.25">
      <c r="A34" s="275"/>
      <c r="S34" s="1"/>
      <c r="W34" s="400"/>
    </row>
    <row r="35" spans="1:23" x14ac:dyDescent="0.25">
      <c r="A35" s="275"/>
      <c r="S35" s="1"/>
      <c r="W35" s="400"/>
    </row>
    <row r="36" spans="1:23" x14ac:dyDescent="0.25">
      <c r="A36" s="275"/>
      <c r="S36" s="1"/>
      <c r="W36" s="400"/>
    </row>
    <row r="37" spans="1:23" x14ac:dyDescent="0.25">
      <c r="A37" s="275"/>
      <c r="P37" s="1" t="str">
        <f>IF(OR(TRIM($A37)&lt;&gt;TRIM(Enginuity!$A$1),TRIM($C37)&lt;&gt;TRIM(Enginuity!$A$18),TRIM($U37)="",$V37="",$V37=0,$W37="",$W37=0),"",ROW())</f>
        <v/>
      </c>
      <c r="S37" s="1"/>
      <c r="W37" s="400" t="str" cm="1">
        <f t="array" ref="W37">IF(OR(TRIM(CalcEngine!$A37)&lt;&gt;TRIM(Enginuity!$A$1),TRIM(CalcEngine!$C37)&lt;&gt;TRIM(Enginuity!$A$18),CalcEngine!$V37="",CalcEngine!$V37=0),"",IFERROR(_xlfn.XLOOKUP(1,(TRIM(CostData!$B$22:$B$1000)="Aluminium")*(TRIM(CostData!$C$22:$C$1000)="CWS")*(TRIM(CostData!$E$22:$E$1000)=TRIM(CalcEngine!$T37)),_xlfn.SWITCH(TRIM(Enginuity!$A$19),"N/A",CostData!$H$22:$H$1000,"M/B",CostData!$I$22:$I$1000,"P/C",CostData!$J$22:$J$1000,"W/G",CostData!$K$22:$K$1000,""),""),""))</f>
        <v/>
      </c>
    </row>
    <row r="38" spans="1:23" x14ac:dyDescent="0.25">
      <c r="A38" s="275"/>
      <c r="P38" s="1" t="str">
        <f>IF(OR(TRIM($A38)&lt;&gt;TRIM(Enginuity!$A$1),TRIM($C38)&lt;&gt;TRIM(Enginuity!$A$18),TRIM($U38)="",$V38="",$V38=0,$W38="",$W38=0),"",ROW())</f>
        <v/>
      </c>
      <c r="S38" s="1"/>
      <c r="W38" s="400" t="str" cm="1">
        <f t="array" ref="W38">IF(OR(TRIM(CalcEngine!$A38)&lt;&gt;TRIM(Enginuity!$A$1),TRIM(CalcEngine!$C38)&lt;&gt;TRIM(Enginuity!$A$18),CalcEngine!$V38="",CalcEngine!$V38=0),"",IFERROR(_xlfn.XLOOKUP(1,(TRIM(CostData!$B$22:$B$1000)="Aluminium")*(TRIM(CostData!$C$22:$C$1000)="CWS")*(TRIM(CostData!$E$22:$E$1000)=TRIM(CalcEngine!$T38)),_xlfn.SWITCH(TRIM(Enginuity!$A$19),"N/A",CostData!$H$22:$H$1000,"M/B",CostData!$I$22:$I$1000,"P/C",CostData!$J$22:$J$1000,"W/G",CostData!$K$22:$K$1000,""),""),""))</f>
        <v/>
      </c>
    </row>
    <row r="39" spans="1:23" x14ac:dyDescent="0.25">
      <c r="A39" s="275"/>
      <c r="P39" s="1" t="str">
        <f>IF(OR(TRIM($A39)&lt;&gt;TRIM(Enginuity!$A$1),TRIM($C39)&lt;&gt;TRIM(Enginuity!$A$18),TRIM($U39)="",$V39="",$V39=0,$W39="",$W39=0),"",ROW())</f>
        <v/>
      </c>
      <c r="S39" s="1"/>
      <c r="W39" s="400" t="str" cm="1">
        <f t="array" ref="W39">IF(OR(TRIM(CalcEngine!$A39)&lt;&gt;TRIM(Enginuity!$A$1),TRIM(CalcEngine!$C39)&lt;&gt;TRIM(Enginuity!$A$18),CalcEngine!$V39="",CalcEngine!$V39=0),"",IFERROR(_xlfn.XLOOKUP(1,(TRIM(CostData!$B$22:$B$1000)="Aluminium")*(TRIM(CostData!$C$22:$C$1000)="CWS")*(TRIM(CostData!$E$22:$E$1000)=TRIM(CalcEngine!$T39)),_xlfn.SWITCH(TRIM(Enginuity!$A$19),"N/A",CostData!$H$22:$H$1000,"M/B",CostData!$I$22:$I$1000,"P/C",CostData!$J$22:$J$1000,"W/G",CostData!$K$22:$K$1000,""),""),""))</f>
        <v/>
      </c>
    </row>
    <row r="40" spans="1:23" x14ac:dyDescent="0.25">
      <c r="A40" s="275"/>
      <c r="S40" s="1"/>
      <c r="W40" s="400" t="str" cm="1">
        <f t="array" ref="W40">IF(OR(TRIM(CalcEngine!$A40)&lt;&gt;TRIM(Enginuity!$A$1),TRIM(CalcEngine!$C40)&lt;&gt;TRIM(Enginuity!$A$18),CalcEngine!$V40="",CalcEngine!$V40=0),"",IFERROR(_xlfn.XLOOKUP(1,(TRIM(CostData!$B$22:$B$1000)="Aluminium")*(TRIM(CostData!$C$22:$C$1000)="CWS")*(TRIM(CostData!$E$22:$E$1000)=TRIM(CalcEngine!$T40)),_xlfn.SWITCH(TRIM(Enginuity!$A$19),"N/A",CostData!$H$22:$H$1000,"M/B",CostData!$I$22:$I$1000,"P/C",CostData!$J$22:$J$1000,"W/G",CostData!$K$22:$K$1000,""),""),""))</f>
        <v/>
      </c>
    </row>
    <row r="41" spans="1:23" x14ac:dyDescent="0.25">
      <c r="A41" s="275"/>
      <c r="S41" s="1"/>
      <c r="W41" s="400" t="str" cm="1">
        <f t="array" ref="W41">IF(OR(TRIM(CalcEngine!$A41)&lt;&gt;TRIM(Enginuity!$A$1),TRIM(CalcEngine!$C41)&lt;&gt;TRIM(Enginuity!$A$18),CalcEngine!$V41="",CalcEngine!$V41=0),"",IFERROR(_xlfn.XLOOKUP(1,(TRIM(CostData!$B$22:$B$1000)="Aluminium")*(TRIM(CostData!$C$22:$C$1000)="CWS")*(TRIM(CostData!$E$22:$E$1000)=TRIM(CalcEngine!$T41)),_xlfn.SWITCH(TRIM(Enginuity!$A$19),"N/A",CostData!$H$22:$H$1000,"M/B",CostData!$I$22:$I$1000,"P/C",CostData!$J$22:$J$1000,"W/G",CostData!$K$22:$K$1000,""),""),""))</f>
        <v/>
      </c>
    </row>
    <row r="42" spans="1:23" x14ac:dyDescent="0.25">
      <c r="A42" s="275"/>
      <c r="S42" s="1"/>
      <c r="W42" s="400" t="str" cm="1">
        <f t="array" ref="W42">IF(OR(TRIM(CalcEngine!$A42)&lt;&gt;TRIM(Enginuity!$A$1),TRIM(CalcEngine!$C42)&lt;&gt;TRIM(Enginuity!$A$18),CalcEngine!$V42="",CalcEngine!$V42=0),"",IFERROR(_xlfn.XLOOKUP(1,(TRIM(CostData!$B$22:$B$1000)="Aluminium")*(TRIM(CostData!$C$22:$C$1000)="CWS")*(TRIM(CostData!$E$22:$E$1000)=TRIM(CalcEngine!$T42)),_xlfn.SWITCH(TRIM(Enginuity!$A$19),"N/A",CostData!$H$22:$H$1000,"M/B",CostData!$I$22:$I$1000,"P/C",CostData!$J$22:$J$1000,"W/G",CostData!$K$22:$K$1000,""),""),""))</f>
        <v/>
      </c>
    </row>
    <row r="43" spans="1:23" x14ac:dyDescent="0.25">
      <c r="A43" s="275"/>
      <c r="S43" s="1"/>
      <c r="W43" s="400" t="str" cm="1">
        <f t="array" ref="W43">IF(OR(TRIM(CalcEngine!$A43)&lt;&gt;TRIM(Enginuity!$A$1),TRIM(CalcEngine!$C43)&lt;&gt;TRIM(Enginuity!$A$18),CalcEngine!$V43="",CalcEngine!$V43=0),"",IFERROR(_xlfn.XLOOKUP(1,(TRIM(CostData!$B$22:$B$1000)="Aluminium")*(TRIM(CostData!$C$22:$C$1000)="CWS")*(TRIM(CostData!$E$22:$E$1000)=TRIM(CalcEngine!$T43)),_xlfn.SWITCH(TRIM(Enginuity!$A$19),"N/A",CostData!$H$22:$H$1000,"M/B",CostData!$I$22:$I$1000,"P/C",CostData!$J$22:$J$1000,"W/G",CostData!$K$22:$K$1000,""),""),""))</f>
        <v/>
      </c>
    </row>
    <row r="44" spans="1:23" x14ac:dyDescent="0.25">
      <c r="A44" s="275"/>
      <c r="S44" s="1"/>
      <c r="W44" s="400" t="str" cm="1">
        <f t="array" ref="W44">IF(OR(TRIM(CalcEngine!$A44)&lt;&gt;TRIM(Enginuity!$A$1),TRIM(CalcEngine!$C44)&lt;&gt;TRIM(Enginuity!$A$18),CalcEngine!$V44="",CalcEngine!$V44=0),"",IFERROR(_xlfn.XLOOKUP(1,(TRIM(CostData!$B$22:$B$1000)="Aluminium")*(TRIM(CostData!$C$22:$C$1000)="CWS")*(TRIM(CostData!$E$22:$E$1000)=TRIM(CalcEngine!$T44)),_xlfn.SWITCH(TRIM(Enginuity!$A$19),"N/A",CostData!$H$22:$H$1000,"M/B",CostData!$I$22:$I$1000,"P/C",CostData!$J$22:$J$1000,"W/G",CostData!$K$22:$K$1000,""),""),""))</f>
        <v/>
      </c>
    </row>
    <row r="45" spans="1:23" x14ac:dyDescent="0.25">
      <c r="A45" s="275"/>
      <c r="P45" s="1" t="str">
        <f>IF(OR(TRIM($A45)&lt;&gt;TRIM(Enginuity!$A$1),TRIM($C45)&lt;&gt;TRIM(Enginuity!$A$18),TRIM($U45)="",$V45="",$V45=0,$W45="",$W45=0),"",ROW())</f>
        <v/>
      </c>
      <c r="S45" s="1"/>
      <c r="W45" s="400" t="str" cm="1">
        <f t="array" ref="W45">IF(OR(TRIM(CalcEngine!$A45)&lt;&gt;TRIM(Enginuity!$A$1),TRIM(CalcEngine!$C45)&lt;&gt;TRIM(Enginuity!$A$18),CalcEngine!$V45="",CalcEngine!$V45=0),"",IFERROR(_xlfn.XLOOKUP(1,(TRIM(CostData!$B$22:$B$1000)="Aluminium")*(TRIM(CostData!$C$22:$C$1000)="CWS")*(TRIM(CostData!$E$22:$E$1000)=TRIM(CalcEngine!$T45)),_xlfn.SWITCH(TRIM(Enginuity!$A$19),"N/A",CostData!$H$22:$H$1000,"M/B",CostData!$I$22:$I$1000,"P/C",CostData!$J$22:$J$1000,"W/G",CostData!$K$22:$K$1000,""),""),""))</f>
        <v/>
      </c>
    </row>
    <row r="46" spans="1:23" x14ac:dyDescent="0.25">
      <c r="A46" s="275"/>
      <c r="P46" s="1" t="str">
        <f>IF(OR(TRIM($A46)&lt;&gt;TRIM(Enginuity!$A$1),TRIM($C46)&lt;&gt;TRIM(Enginuity!$A$18),TRIM($U46)="",$V46="",$V46=0,$W46="",$W46=0),"",ROW())</f>
        <v/>
      </c>
      <c r="S46" s="1"/>
      <c r="W46" s="400" t="str" cm="1">
        <f t="array" ref="W46">IF(OR(TRIM(CalcEngine!$A46)&lt;&gt;TRIM(Enginuity!$A$1),TRIM(CalcEngine!$C46)&lt;&gt;TRIM(Enginuity!$A$18),CalcEngine!$V46="",CalcEngine!$V46=0),"",IFERROR(_xlfn.XLOOKUP(1,(TRIM(CostData!$B$22:$B$1000)="Aluminium")*(TRIM(CostData!$C$22:$C$1000)="CWS")*(TRIM(CostData!$E$22:$E$1000)=TRIM(CalcEngine!$T46)),_xlfn.SWITCH(TRIM(Enginuity!$A$19),"N/A",CostData!$H$22:$H$1000,"M/B",CostData!$I$22:$I$1000,"P/C",CostData!$J$22:$J$1000,"W/G",CostData!$K$22:$K$1000,""),""),""))</f>
        <v/>
      </c>
    </row>
    <row r="47" spans="1:23" x14ac:dyDescent="0.25">
      <c r="A47" s="275"/>
      <c r="P47" s="1" t="str">
        <f>IF(OR(TRIM($A47)&lt;&gt;TRIM(Enginuity!$A$1),TRIM($C47)&lt;&gt;TRIM(Enginuity!$A$18),TRIM($U47)="",$V47="",$V47=0,$W47="",$W47=0),"",ROW())</f>
        <v/>
      </c>
      <c r="S47" s="1"/>
      <c r="W47" s="400" t="str" cm="1">
        <f t="array" ref="W47">IF(OR(TRIM(CalcEngine!$A47)&lt;&gt;TRIM(Enginuity!$A$1),TRIM(CalcEngine!$C47)&lt;&gt;TRIM(Enginuity!$A$18),CalcEngine!$V47="",CalcEngine!$V47=0),"",IFERROR(_xlfn.XLOOKUP(1,(TRIM(CostData!$B$22:$B$1000)="Aluminium")*(TRIM(CostData!$C$22:$C$1000)="CWS")*(TRIM(CostData!$E$22:$E$1000)=TRIM(CalcEngine!$T47)),_xlfn.SWITCH(TRIM(Enginuity!$A$19),"N/A",CostData!$H$22:$H$1000,"M/B",CostData!$I$22:$I$1000,"P/C",CostData!$J$22:$J$1000,"W/G",CostData!$K$22:$K$1000,""),""),""))</f>
        <v/>
      </c>
    </row>
    <row r="48" spans="1:23" x14ac:dyDescent="0.25">
      <c r="A48" s="275"/>
      <c r="P48" s="1" t="str">
        <f>IF(OR(TRIM($A48)&lt;&gt;TRIM(Enginuity!$A$1),TRIM($C48)&lt;&gt;TRIM(Enginuity!$A$18),TRIM($U48)="",$V48="",$V48=0,$W48="",$W48=0),"",ROW())</f>
        <v/>
      </c>
      <c r="S48" s="1"/>
      <c r="W48" s="400" t="str" cm="1">
        <f t="array" ref="W48">IF(OR(TRIM(CalcEngine!$A48)&lt;&gt;TRIM(Enginuity!$A$1),TRIM(CalcEngine!$C48)&lt;&gt;TRIM(Enginuity!$A$18),CalcEngine!$V48="",CalcEngine!$V48=0),"",IFERROR(_xlfn.XLOOKUP(1,(TRIM(CostData!$B$22:$B$1000)="Aluminium")*(TRIM(CostData!$C$22:$C$1000)="CWS")*(TRIM(CostData!$E$22:$E$1000)=TRIM(CalcEngine!$T48)),_xlfn.SWITCH(TRIM(Enginuity!$A$19),"N/A",CostData!$H$22:$H$1000,"M/B",CostData!$I$22:$I$1000,"P/C",CostData!$J$22:$J$1000,"W/G",CostData!$K$22:$K$1000,""),""),""))</f>
        <v/>
      </c>
    </row>
    <row r="49" spans="1:23" x14ac:dyDescent="0.25">
      <c r="A49" s="275"/>
      <c r="P49" s="1" t="str">
        <f>IF(OR(TRIM($A49)&lt;&gt;TRIM(Enginuity!$A$1),TRIM($C49)&lt;&gt;TRIM(Enginuity!$A$18),TRIM($U49)="",$V49="",$V49=0,$W49="",$W49=0),"",ROW())</f>
        <v/>
      </c>
      <c r="S49" s="1"/>
      <c r="W49" s="400" t="str" cm="1">
        <f t="array" ref="W49">IF(OR(TRIM(CalcEngine!$A49)&lt;&gt;TRIM(Enginuity!$A$1),TRIM(CalcEngine!$C49)&lt;&gt;TRIM(Enginuity!$A$18),CalcEngine!$V49="",CalcEngine!$V49=0),"",IFERROR(_xlfn.XLOOKUP(1,(TRIM(CostData!$B$22:$B$1000)="Aluminium")*(TRIM(CostData!$C$22:$C$1000)="CWS")*(TRIM(CostData!$E$22:$E$1000)=TRIM(CalcEngine!$T49)),_xlfn.SWITCH(TRIM(Enginuity!$A$19),"N/A",CostData!$H$22:$H$1000,"M/B",CostData!$I$22:$I$1000,"P/C",CostData!$J$22:$J$1000,"W/G",CostData!$K$22:$K$1000,""),""),""))</f>
        <v/>
      </c>
    </row>
    <row r="50" spans="1:23" x14ac:dyDescent="0.25">
      <c r="A50" s="275"/>
      <c r="P50" s="1" t="str">
        <f>IF(OR(TRIM($A50)&lt;&gt;TRIM(Enginuity!$A$1),TRIM($C50)&lt;&gt;TRIM(Enginuity!$A$18),TRIM($U50)="",$V50="",$V50=0,$W50="",$W50=0),"",ROW())</f>
        <v/>
      </c>
      <c r="S50" s="1"/>
      <c r="W50" s="400" t="str" cm="1">
        <f t="array" ref="W50">IF(OR(TRIM(CalcEngine!$A50)&lt;&gt;TRIM(Enginuity!$A$1),TRIM(CalcEngine!$C50)&lt;&gt;TRIM(Enginuity!$A$18),CalcEngine!$V50="",CalcEngine!$V50=0),"",IFERROR(_xlfn.XLOOKUP(1,(TRIM(CostData!$B$22:$B$1000)="Aluminium")*(TRIM(CostData!$C$22:$C$1000)="CWS")*(TRIM(CostData!$E$22:$E$1000)=TRIM(CalcEngine!$T50)),_xlfn.SWITCH(TRIM(Enginuity!$A$19),"N/A",CostData!$H$22:$H$1000,"M/B",CostData!$I$22:$I$1000,"P/C",CostData!$J$22:$J$1000,"W/G",CostData!$K$22:$K$1000,""),""),""))</f>
        <v/>
      </c>
    </row>
    <row r="51" spans="1:23" x14ac:dyDescent="0.25">
      <c r="A51" s="275"/>
      <c r="P51" s="1" t="str">
        <f>IF(OR(TRIM($A51)&lt;&gt;TRIM(Enginuity!$A$1),TRIM($C51)&lt;&gt;TRIM(Enginuity!$A$18),TRIM($U51)="",$V51="",$V51=0,$W51="",$W51=0),"",ROW())</f>
        <v/>
      </c>
      <c r="S51" s="1"/>
      <c r="W51" s="400" t="str" cm="1">
        <f t="array" ref="W51">IF(OR(TRIM(CalcEngine!$A51)&lt;&gt;TRIM(Enginuity!$A$1),TRIM(CalcEngine!$C51)&lt;&gt;TRIM(Enginuity!$A$18),CalcEngine!$V51="",CalcEngine!$V51=0),"",IFERROR(_xlfn.XLOOKUP(1,(TRIM(CostData!$B$22:$B$1000)="Aluminium")*(TRIM(CostData!$C$22:$C$1000)="CWS")*(TRIM(CostData!$E$22:$E$1000)=TRIM(CalcEngine!$T51)),_xlfn.SWITCH(TRIM(Enginuity!$A$19),"N/A",CostData!$H$22:$H$1000,"M/B",CostData!$I$22:$I$1000,"P/C",CostData!$J$22:$J$1000,"W/G",CostData!$K$22:$K$1000,""),""),""))</f>
        <v/>
      </c>
    </row>
    <row r="52" spans="1:23" x14ac:dyDescent="0.25">
      <c r="A52" s="275"/>
      <c r="P52" s="1" t="str">
        <f>IF(OR(TRIM($A52)&lt;&gt;TRIM(Enginuity!$A$1),TRIM($C52)&lt;&gt;TRIM(Enginuity!$A$18),TRIM($U52)="",$V52="",$V52=0,$W52="",$W52=0),"",ROW())</f>
        <v/>
      </c>
      <c r="S52" s="1"/>
      <c r="W52" s="400" t="str" cm="1">
        <f t="array" ref="W52">IF(OR(TRIM(CalcEngine!$A52)&lt;&gt;TRIM(Enginuity!$A$1),TRIM(CalcEngine!$C52)&lt;&gt;TRIM(Enginuity!$A$18),CalcEngine!$V52="",CalcEngine!$V52=0),"",IFERROR(_xlfn.XLOOKUP(1,(TRIM(CostData!$B$22:$B$1000)="Aluminium")*(TRIM(CostData!$C$22:$C$1000)="CWS")*(TRIM(CostData!$E$22:$E$1000)=TRIM(CalcEngine!$T52)),_xlfn.SWITCH(TRIM(Enginuity!$A$19),"N/A",CostData!$H$22:$H$1000,"M/B",CostData!$I$22:$I$1000,"P/C",CostData!$J$22:$J$1000,"W/G",CostData!$K$22:$K$1000,""),""),""))</f>
        <v/>
      </c>
    </row>
    <row r="53" spans="1:23" x14ac:dyDescent="0.25">
      <c r="A53" s="275"/>
      <c r="P53" s="1" t="str">
        <f>IF(OR(TRIM($A53)&lt;&gt;TRIM(Enginuity!$A$1),TRIM($C53)&lt;&gt;TRIM(Enginuity!$A$18),TRIM($U53)="",$V53="",$V53=0,$W53="",$W53=0),"",ROW())</f>
        <v/>
      </c>
      <c r="S53" s="1"/>
      <c r="W53" s="400" t="str" cm="1">
        <f t="array" ref="W53">IF(OR(TRIM(CalcEngine!$A53)&lt;&gt;TRIM(Enginuity!$A$1),TRIM(CalcEngine!$C53)&lt;&gt;TRIM(Enginuity!$A$18),CalcEngine!$V53="",CalcEngine!$V53=0),"",IFERROR(_xlfn.XLOOKUP(1,(TRIM(CostData!$B$22:$B$1000)="Aluminium")*(TRIM(CostData!$C$22:$C$1000)="CWS")*(TRIM(CostData!$E$22:$E$1000)=TRIM(CalcEngine!$T53)),_xlfn.SWITCH(TRIM(Enginuity!$A$19),"N/A",CostData!$H$22:$H$1000,"M/B",CostData!$I$22:$I$1000,"P/C",CostData!$J$22:$J$1000,"W/G",CostData!$K$22:$K$1000,""),""),""))</f>
        <v/>
      </c>
    </row>
    <row r="54" spans="1:23" x14ac:dyDescent="0.25">
      <c r="A54" s="275"/>
      <c r="P54" s="1" t="str">
        <f>IF(OR(TRIM($A54)&lt;&gt;TRIM(Enginuity!$A$1),TRIM($C54)&lt;&gt;TRIM(Enginuity!$A$18),TRIM($U54)="",$V54="",$V54=0,$W54="",$W54=0),"",ROW())</f>
        <v/>
      </c>
      <c r="S54" s="1"/>
      <c r="W54" s="400" t="str" cm="1">
        <f t="array" ref="W54">IF(OR(TRIM(CalcEngine!$A54)&lt;&gt;TRIM(Enginuity!$A$1),TRIM(CalcEngine!$C54)&lt;&gt;TRIM(Enginuity!$A$18),CalcEngine!$V54="",CalcEngine!$V54=0),"",IFERROR(_xlfn.XLOOKUP(1,(TRIM(CostData!$B$22:$B$1000)="Aluminium")*(TRIM(CostData!$C$22:$C$1000)="CWS")*(TRIM(CostData!$E$22:$E$1000)=TRIM(CalcEngine!$T54)),_xlfn.SWITCH(TRIM(Enginuity!$A$19),"N/A",CostData!$H$22:$H$1000,"M/B",CostData!$I$22:$I$1000,"P/C",CostData!$J$22:$J$1000,"W/G",CostData!$K$22:$K$1000,""),""),""))</f>
        <v/>
      </c>
    </row>
    <row r="55" spans="1:23" x14ac:dyDescent="0.25">
      <c r="A55" s="275"/>
      <c r="P55" s="1" t="str">
        <f>IF(OR(TRIM($A55)&lt;&gt;TRIM(Enginuity!$A$1),TRIM($C55)&lt;&gt;TRIM(Enginuity!$A$18),TRIM($U55)="",$V55="",$V55=0,$W55="",$W55=0),"",ROW())</f>
        <v/>
      </c>
      <c r="S55" s="1"/>
      <c r="W55" s="400" t="str" cm="1">
        <f t="array" ref="W55">IF(OR(TRIM(CalcEngine!$A55)&lt;&gt;TRIM(Enginuity!$A$1),TRIM(CalcEngine!$C55)&lt;&gt;TRIM(Enginuity!$A$18),CalcEngine!$V55="",CalcEngine!$V55=0),"",IFERROR(_xlfn.XLOOKUP(1,(TRIM(CostData!$B$22:$B$1000)="Aluminium")*(TRIM(CostData!$C$22:$C$1000)="CWS")*(TRIM(CostData!$E$22:$E$1000)=TRIM(CalcEngine!$T55)),_xlfn.SWITCH(TRIM(Enginuity!$A$19),"N/A",CostData!$H$22:$H$1000,"M/B",CostData!$I$22:$I$1000,"P/C",CostData!$J$22:$J$1000,"W/G",CostData!$K$22:$K$1000,""),""),""))</f>
        <v/>
      </c>
    </row>
    <row r="56" spans="1:23" x14ac:dyDescent="0.25">
      <c r="A56" s="275"/>
      <c r="P56" s="1" t="str">
        <f>IF(OR(TRIM($A56)&lt;&gt;TRIM(Enginuity!$A$1),TRIM($C56)&lt;&gt;TRIM(Enginuity!$A$18),TRIM($U56)="",$V56="",$V56=0,$W56="",$W56=0),"",ROW())</f>
        <v/>
      </c>
      <c r="S56" s="1"/>
      <c r="W56" s="400" t="str" cm="1">
        <f t="array" ref="W56">IF(OR(TRIM(CalcEngine!$A56)&lt;&gt;TRIM(Enginuity!$A$1),TRIM(CalcEngine!$C56)&lt;&gt;TRIM(Enginuity!$A$18),CalcEngine!$V56="",CalcEngine!$V56=0),"",IFERROR(_xlfn.XLOOKUP(1,(TRIM(CostData!$B$22:$B$1000)="Aluminium")*(TRIM(CostData!$C$22:$C$1000)="CWS")*(TRIM(CostData!$E$22:$E$1000)=TRIM(CalcEngine!$T56)),_xlfn.SWITCH(TRIM(Enginuity!$A$19),"N/A",CostData!$H$22:$H$1000,"M/B",CostData!$I$22:$I$1000,"P/C",CostData!$J$22:$J$1000,"W/G",CostData!$K$22:$K$1000,""),""),""))</f>
        <v/>
      </c>
    </row>
    <row r="57" spans="1:23" x14ac:dyDescent="0.25">
      <c r="A57" s="275"/>
      <c r="P57" s="1" t="str">
        <f>IF(OR(TRIM($A57)&lt;&gt;TRIM(Enginuity!$A$1),TRIM($C57)&lt;&gt;TRIM(Enginuity!$A$18),TRIM($U57)="",$V57="",$V57=0,$W57="",$W57=0),"",ROW())</f>
        <v/>
      </c>
      <c r="S57" s="1"/>
      <c r="W57" s="400" t="str" cm="1">
        <f t="array" ref="W57">IF(OR(TRIM(CalcEngine!$A57)&lt;&gt;TRIM(Enginuity!$A$1),TRIM(CalcEngine!$C57)&lt;&gt;TRIM(Enginuity!$A$18),CalcEngine!$V57="",CalcEngine!$V57=0),"",IFERROR(_xlfn.XLOOKUP(1,(TRIM(CostData!$B$22:$B$1000)="Aluminium")*(TRIM(CostData!$C$22:$C$1000)="CWS")*(TRIM(CostData!$E$22:$E$1000)=TRIM(CalcEngine!$T57)),_xlfn.SWITCH(TRIM(Enginuity!$A$19),"N/A",CostData!$H$22:$H$1000,"M/B",CostData!$I$22:$I$1000,"P/C",CostData!$J$22:$J$1000,"W/G",CostData!$K$22:$K$1000,""),""),""))</f>
        <v/>
      </c>
    </row>
    <row r="58" spans="1:23" x14ac:dyDescent="0.25">
      <c r="A58" s="275"/>
      <c r="P58" s="1" t="str">
        <f>IF(OR(TRIM($A58)&lt;&gt;TRIM(Enginuity!$A$1),TRIM($C58)&lt;&gt;TRIM(Enginuity!$A$18),TRIM($U58)="",$V58="",$V58=0,$W58="",$W58=0),"",ROW())</f>
        <v/>
      </c>
      <c r="S58" s="1"/>
      <c r="W58" s="400" t="str" cm="1">
        <f t="array" ref="W58">IF(OR(TRIM(CalcEngine!$A58)&lt;&gt;TRIM(Enginuity!$A$1),TRIM(CalcEngine!$C58)&lt;&gt;TRIM(Enginuity!$A$18),CalcEngine!$V58="",CalcEngine!$V58=0),"",IFERROR(_xlfn.XLOOKUP(1,(TRIM(CostData!$B$22:$B$1000)="Aluminium")*(TRIM(CostData!$C$22:$C$1000)="CWS")*(TRIM(CostData!$E$22:$E$1000)=TRIM(CalcEngine!$T58)),_xlfn.SWITCH(TRIM(Enginuity!$A$19),"N/A",CostData!$H$22:$H$1000,"M/B",CostData!$I$22:$I$1000,"P/C",CostData!$J$22:$J$1000,"W/G",CostData!$K$22:$K$1000,""),""),""))</f>
        <v/>
      </c>
    </row>
    <row r="59" spans="1:23" x14ac:dyDescent="0.25">
      <c r="A59" s="275"/>
      <c r="P59" s="1" t="str">
        <f>IF(OR(TRIM($A59)&lt;&gt;TRIM(Enginuity!$A$1),TRIM($C59)&lt;&gt;TRIM(Enginuity!$A$18),TRIM($U59)="",$V59="",$V59=0,$W59="",$W59=0),"",ROW())</f>
        <v/>
      </c>
      <c r="S59" s="1"/>
      <c r="W59" s="400" t="str" cm="1">
        <f t="array" ref="W59">IF(OR(TRIM(CalcEngine!$A59)&lt;&gt;TRIM(Enginuity!$A$1),TRIM(CalcEngine!$C59)&lt;&gt;TRIM(Enginuity!$A$18),CalcEngine!$V59="",CalcEngine!$V59=0),"",IFERROR(_xlfn.XLOOKUP(1,(TRIM(CostData!$B$22:$B$1000)="Aluminium")*(TRIM(CostData!$C$22:$C$1000)="CWS")*(TRIM(CostData!$E$22:$E$1000)=TRIM(CalcEngine!$T59)),_xlfn.SWITCH(TRIM(Enginuity!$A$19),"N/A",CostData!$H$22:$H$1000,"M/B",CostData!$I$22:$I$1000,"P/C",CostData!$J$22:$J$1000,"W/G",CostData!$K$22:$K$1000,""),""),""))</f>
        <v/>
      </c>
    </row>
    <row r="60" spans="1:23" x14ac:dyDescent="0.25">
      <c r="A60" s="375" t="str">
        <f>"▼ [Product Group]"</f>
        <v>▼ [Product Group]</v>
      </c>
      <c r="B60" s="409" t="str">
        <f>"▼ [Service Mode]"</f>
        <v>▼ [Service Mode]</v>
      </c>
      <c r="C60" s="409" t="str">
        <f>"▼ [Product Type]"</f>
        <v>▼ [Product Type]</v>
      </c>
      <c r="D60" s="409" t="str">
        <f>"▼ [Frame Finish]"</f>
        <v>▼ [Frame Finish]</v>
      </c>
      <c r="E60" s="409" t="str">
        <f>"▼ [Panel / Infill]"</f>
        <v>▼ [Panel / Infill]</v>
      </c>
      <c r="F60" s="409" t="s">
        <v>1834</v>
      </c>
      <c r="G60" s="409" t="s">
        <v>1835</v>
      </c>
      <c r="H60" s="409" t="s">
        <v>1836</v>
      </c>
      <c r="I60" s="409" t="s">
        <v>1837</v>
      </c>
      <c r="J60" s="409" t="s">
        <v>1838</v>
      </c>
      <c r="K60" s="409" t="s">
        <v>1839</v>
      </c>
      <c r="L60" s="409" t="s">
        <v>1840</v>
      </c>
      <c r="M60" s="409" t="s">
        <v>1841</v>
      </c>
      <c r="N60" s="409" t="s">
        <v>1842</v>
      </c>
      <c r="O60" s="409" t="s">
        <v>1965</v>
      </c>
      <c r="P60" s="409" t="s">
        <v>1843</v>
      </c>
      <c r="Q60" s="409" t="s">
        <v>1810</v>
      </c>
      <c r="R60" s="428" t="s">
        <v>1874</v>
      </c>
      <c r="S60" s="417" t="s">
        <v>1756</v>
      </c>
      <c r="T60" s="409" t="s">
        <v>1790</v>
      </c>
      <c r="U60" s="409" t="s">
        <v>102</v>
      </c>
      <c r="V60" s="409" t="s">
        <v>1845</v>
      </c>
      <c r="W60" s="410" t="s">
        <v>430</v>
      </c>
    </row>
    <row r="61" spans="1:23" x14ac:dyDescent="0.25">
      <c r="A61" s="275" t="s">
        <v>254</v>
      </c>
      <c r="B61" s="370" t="s">
        <v>1846</v>
      </c>
      <c r="C61" s="370" t="s">
        <v>3</v>
      </c>
      <c r="D61" s="370" t="s">
        <v>1792</v>
      </c>
      <c r="E61" s="370" t="str" cm="1">
        <f t="array" ref="E61:E70">IFERROR(INDEX(_xlfn._xlws.FILTER(CostData!$P$3:$P$12,CostData!$P$3:$P$12&lt;&gt;""),_xlfn.SEQUENCE(10)),"")</f>
        <v>Default</v>
      </c>
      <c r="F61" s="370" t="str">
        <f>"▼ [Variant]"</f>
        <v>▼ [Variant]</v>
      </c>
      <c r="G61" s="370" t="str">
        <f>"▼ [Fix - Casement]"</f>
        <v>▼ [Fix - Casement]</v>
      </c>
      <c r="H61" s="370" t="str">
        <f>"▼ [Hung Window - Casement]"</f>
        <v>▼ [Hung Window - Casement]</v>
      </c>
      <c r="I61" s="370" t="s">
        <v>1858</v>
      </c>
      <c r="J61" s="370" t="s">
        <v>1859</v>
      </c>
      <c r="K61" s="370" t="s">
        <v>1860</v>
      </c>
      <c r="L61" s="370" t="s">
        <v>1861</v>
      </c>
      <c r="M61" s="411">
        <v>0.54649999999999999</v>
      </c>
      <c r="N61" s="370">
        <v>609.6</v>
      </c>
      <c r="P61" s="1" t="str" cm="1">
        <f t="array" ref="P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" s="1" t="str" cm="1">
        <f t="array" ref="Q61">_xlfn.LET(_xlpm.cd,INDEX($S:$S,ROW()),IF(_xlpm.cd="","",IFERROR(_xlfn.XLOOKUP(_xlpm.cd,CostData!$C$22:$C$1000,CostData!$B$22:$B$1000,""),"")))</f>
        <v>Aluminium</v>
      </c>
      <c r="R61" s="16" t="s">
        <v>1812</v>
      </c>
      <c r="S61" s="24" t="s">
        <v>1926</v>
      </c>
      <c r="T61" s="1" t="str" cm="1">
        <f t="array" ref="T61">_xlfn.LET(_xlpm.cd,INDEX($S:$S,ROW()),IF(_xlpm.cd="","",IFERROR(_xlfn.XLOOKUP(_xlpm.cd,CostData!$C$22:$C$1000,CostData!$E$22:$E$1000,""),"")))</f>
        <v>Outer</v>
      </c>
      <c r="U61" s="1" t="s">
        <v>103</v>
      </c>
      <c r="V61" s="1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W61" s="400" t="str" cm="1">
        <f t="array" ref="W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2" spans="1:23" x14ac:dyDescent="0.25">
      <c r="A62" s="275" t="s">
        <v>254</v>
      </c>
      <c r="B62" s="370" t="s">
        <v>1848</v>
      </c>
      <c r="C62" s="370" t="s">
        <v>3</v>
      </c>
      <c r="D62" s="370" t="s">
        <v>1814</v>
      </c>
      <c r="E62" s="370" t="str">
        <v>Z-Louvre Blade - 2"</v>
      </c>
      <c r="G62" s="370" t="s">
        <v>1866</v>
      </c>
      <c r="H62" s="370" t="s">
        <v>1866</v>
      </c>
      <c r="P62" s="1" t="str" cm="1">
        <f t="array" ref="P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" s="1" t="str" cm="1">
        <f t="array" ref="Q62">_xlfn.LET(_xlpm.cd,INDEX($S:$S,ROW()),IF(_xlpm.cd="","",IFERROR(_xlfn.XLOOKUP(_xlpm.cd,CostData!$C$22:$C$1000,CostData!$B$22:$B$1000,""),"")))</f>
        <v>Aluminium</v>
      </c>
      <c r="R62" s="16" t="s">
        <v>1849</v>
      </c>
      <c r="S62" s="24" t="s">
        <v>1927</v>
      </c>
      <c r="T62" s="1" t="str" cm="1">
        <f t="array" ref="T62">_xlfn.LET(_xlpm.cd,INDEX($S:$S,ROW()),IF(_xlpm.cd="","",IFERROR(_xlfn.XLOOKUP(_xlpm.cd,CostData!$C$22:$C$1000,CostData!$E$22:$E$1000,""),"")))</f>
        <v>Inner</v>
      </c>
      <c r="U62" s="1" t="s">
        <v>103</v>
      </c>
      <c r="V62" s="1" cm="1">
        <f t="array" ref="V6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222</v>
      </c>
      <c r="W62" s="400" t="str" cm="1">
        <f t="array" ref="W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" spans="1:23" x14ac:dyDescent="0.25">
      <c r="A63" s="275" t="s">
        <v>254</v>
      </c>
      <c r="B63" s="370" t="s">
        <v>382</v>
      </c>
      <c r="C63" s="370" t="s">
        <v>3</v>
      </c>
      <c r="D63" s="370" t="s">
        <v>1793</v>
      </c>
      <c r="E63" s="370" t="str">
        <v>Z-Louvre Blade - 5"</v>
      </c>
      <c r="G63" s="370" t="s">
        <v>1867</v>
      </c>
      <c r="H63" s="370" t="s">
        <v>1867</v>
      </c>
      <c r="P63" s="1" t="str" cm="1">
        <f t="array" ref="P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" s="1" t="str" cm="1">
        <f t="array" ref="Q63">_xlfn.LET(_xlpm.cd,INDEX($S:$S,ROW()),IF(_xlpm.cd="","",IFERROR(_xlfn.XLOOKUP(_xlpm.cd,CostData!$C$22:$C$1000,CostData!$B$22:$B$1000,""),"")))</f>
        <v>Aluminium</v>
      </c>
      <c r="R63" s="16" t="s">
        <v>1863</v>
      </c>
      <c r="S63" s="24" t="s">
        <v>1928</v>
      </c>
      <c r="T63" s="1" t="str" cm="1">
        <f t="array" ref="T63">_xlfn.LET(_xlpm.cd,INDEX($S:$S,ROW()),IF(_xlpm.cd="","",IFERROR(_xlfn.XLOOKUP(_xlpm.cd,CostData!$C$22:$C$1000,CostData!$E$22:$E$1000,""),"")))</f>
        <v>Mullion</v>
      </c>
      <c r="U63" s="1" t="s">
        <v>103</v>
      </c>
      <c r="V6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78</v>
      </c>
      <c r="W63" s="400" t="str" cm="1">
        <f t="array" ref="W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" spans="1:23" x14ac:dyDescent="0.25">
      <c r="A64" s="275" t="s">
        <v>254</v>
      </c>
      <c r="B64" s="370" t="s">
        <v>1847</v>
      </c>
      <c r="C64" s="370" t="s">
        <v>3</v>
      </c>
      <c r="D64" s="370" t="s">
        <v>1815</v>
      </c>
      <c r="E64" s="370" t="str">
        <v/>
      </c>
      <c r="G64" s="370" t="s">
        <v>1868</v>
      </c>
      <c r="H64" s="370" t="s">
        <v>1868</v>
      </c>
      <c r="P64" s="1" t="str" cm="1">
        <f t="array" ref="P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" s="1" t="str" cm="1">
        <f t="array" ref="Q64">_xlfn.LET(_xlpm.cd,INDEX($S:$S,ROW()),IF(_xlpm.cd="","",IFERROR(_xlfn.XLOOKUP(_xlpm.cd,CostData!$C$22:$C$1000,CostData!$B$22:$B$1000,""),"")))</f>
        <v>Aluminium</v>
      </c>
      <c r="R64" s="16" t="s">
        <v>1862</v>
      </c>
      <c r="S64" s="24" t="s">
        <v>1928</v>
      </c>
      <c r="T64" s="1" t="str" cm="1">
        <f t="array" ref="T64">_xlfn.LET(_xlpm.cd,INDEX($S:$S,ROW()),IF(_xlpm.cd="","",IFERROR(_xlfn.XLOOKUP(_xlpm.cd,CostData!$C$22:$C$1000,CostData!$E$22:$E$1000,""),"")))</f>
        <v>Mullion</v>
      </c>
      <c r="U64" s="1" t="s">
        <v>103</v>
      </c>
      <c r="V6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4" s="400" t="str" cm="1">
        <f t="array" ref="W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5" spans="1:23" x14ac:dyDescent="0.25">
      <c r="A65" s="275" t="s">
        <v>254</v>
      </c>
      <c r="C65" s="370" t="s">
        <v>3</v>
      </c>
      <c r="E65" s="370" t="str">
        <v/>
      </c>
      <c r="G65" s="370" t="s">
        <v>1869</v>
      </c>
      <c r="H65" s="370" t="s">
        <v>1869</v>
      </c>
      <c r="P65" s="1" t="str" cm="1">
        <f t="array" ref="P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" s="1" t="str" cm="1">
        <f t="array" ref="Q65">_xlfn.LET(_xlpm.cd,INDEX($S:$S,ROW()),IF(_xlpm.cd="","",IFERROR(_xlfn.XLOOKUP(_xlpm.cd,CostData!$C$22:$C$1000,CostData!$B$22:$B$1000,""),"")))</f>
        <v/>
      </c>
      <c r="T65" s="1" t="str" cm="1">
        <f t="array" ref="T65">_xlfn.LET(_xlpm.cd,INDEX($S:$S,ROW()),IF(_xlpm.cd="","",IFERROR(_xlfn.XLOOKUP(_xlpm.cd,CostData!$C$22:$C$1000,CostData!$E$22:$E$1000,""),"")))</f>
        <v/>
      </c>
      <c r="V65" s="1" t="str" cm="1">
        <f t="array" ref="V65">IFERROR(_xlfn.XLOOKUP(1,(TRIM(CostData!$B$22:$B$1000)="Aluminium")*(TRIM(CostData!$C$22:$C$1000)="CWS")*(TRIM(CostData!$E$22:$E$1000)=TRIM($S65)),_xlfn.SWITCH(TRIM(Enginuity!$A$19),"N/A",CostData!$H$22:$H$1000,"M/B",CostData!$I$22:$I$1000,"P/C",CostData!$J$22:$J$1000,"W/G",CostData!$K$22:$K$1000,""),""),"")</f>
        <v/>
      </c>
      <c r="W65" s="400" t="str" cm="1">
        <f t="array" ref="W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" spans="1:23" x14ac:dyDescent="0.25">
      <c r="A66" s="275" t="s">
        <v>254</v>
      </c>
      <c r="C66" s="370" t="s">
        <v>3</v>
      </c>
      <c r="E66" s="370" t="str">
        <v/>
      </c>
      <c r="G66" s="370" t="s">
        <v>1870</v>
      </c>
      <c r="H66" s="370" t="s">
        <v>1870</v>
      </c>
      <c r="P66" s="1" t="str" cm="1">
        <f t="array" ref="P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" s="1" t="str" cm="1">
        <f t="array" ref="Q66">_xlfn.LET(_xlpm.cd,INDEX($S:$S,ROW()),IF(_xlpm.cd="","",IFERROR(_xlfn.XLOOKUP(_xlpm.cd,CostData!$C$22:$C$1000,CostData!$B$22:$B$1000,""),"")))</f>
        <v/>
      </c>
      <c r="R66" s="16" t="str">
        <f>IF(Enginuity!$A$22="","",Enginuity!$A$22&amp;" Fix Window")</f>
        <v>▼ [Lattice] Fix Window</v>
      </c>
      <c r="T66" s="1" t="str" cm="1">
        <f t="array" ref="T66">_xlfn.LET(_xlpm.cd,INDEX($S:$S,ROW()),IF(_xlpm.cd="","",IFERROR(_xlfn.XLOOKUP(_xlpm.cd,CostData!$C$22:$C$1000,CostData!$E$22:$E$1000,""),"")))</f>
        <v/>
      </c>
      <c r="U66" s="1" t="s">
        <v>176</v>
      </c>
      <c r="V66" s="1">
        <v>1</v>
      </c>
      <c r="W66" s="400" t="str">
        <f>IF(Enginuity!$A$22&lt;&gt;"",$W$4,"")</f>
        <v/>
      </c>
    </row>
    <row r="67" spans="1:23" x14ac:dyDescent="0.25">
      <c r="A67" s="275" t="s">
        <v>254</v>
      </c>
      <c r="C67" s="370" t="s">
        <v>3</v>
      </c>
      <c r="E67" s="370" t="str">
        <v/>
      </c>
      <c r="G67" s="370" t="s">
        <v>1871</v>
      </c>
      <c r="H67" s="370" t="s">
        <v>1871</v>
      </c>
      <c r="P67" s="1" t="str" cm="1">
        <f t="array" ref="P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" s="1" t="str" cm="1">
        <f t="array" ref="Q67">_xlfn.LET(_xlpm.cd,INDEX($S:$S,ROW()),IF(_xlpm.cd="","",IFERROR(_xlfn.XLOOKUP(_xlpm.cd,CostData!$C$22:$C$1000,CostData!$B$22:$B$1000,""),"")))</f>
        <v/>
      </c>
      <c r="T67" s="1" t="str" cm="1">
        <f t="array" ref="T67">_xlfn.LET(_xlpm.cd,INDEX($S:$S,ROW()),IF(_xlpm.cd="","",IFERROR(_xlfn.XLOOKUP(_xlpm.cd,CostData!$C$22:$C$1000,CostData!$E$22:$E$1000,""),"")))</f>
        <v/>
      </c>
      <c r="V67" s="1" t="str" cm="1">
        <f t="array" ref="V67">IFERROR(_xlfn.XLOOKUP(1,(TRIM(CostData!$B$22:$B$1000)="Aluminium")*(TRIM(CostData!$C$22:$C$1000)="CWS")*(TRIM(CostData!$E$22:$E$1000)=TRIM($S67)),_xlfn.SWITCH(TRIM(Enginuity!$A$19),"N/A",CostData!$H$22:$H$1000,"M/B",CostData!$I$22:$I$1000,"P/C",CostData!$J$22:$J$1000,"W/G",CostData!$K$22:$K$1000,""),""),"")</f>
        <v/>
      </c>
      <c r="W67" s="400" t="str" cm="1">
        <f t="array" ref="W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8" spans="1:23" x14ac:dyDescent="0.25">
      <c r="A68" s="275" t="s">
        <v>254</v>
      </c>
      <c r="C68" s="370" t="s">
        <v>3</v>
      </c>
      <c r="E68" s="370" t="str">
        <v/>
      </c>
      <c r="G68" s="370" t="s">
        <v>1872</v>
      </c>
      <c r="H68" s="370" t="s">
        <v>1872</v>
      </c>
      <c r="P68" s="1" t="str" cm="1">
        <f t="array" ref="P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" s="1" t="str" cm="1">
        <f t="array" ref="Q68">_xlfn.LET(_xlpm.cd,INDEX($S:$S,ROW()),IF(_xlpm.cd="","",IFERROR(_xlfn.XLOOKUP(_xlpm.cd,CostData!$C$22:$C$1000,CostData!$B$22:$B$1000,""),"")))</f>
        <v/>
      </c>
      <c r="T68" s="1" t="str" cm="1">
        <f t="array" ref="T68">_xlfn.LET(_xlpm.cd,INDEX($S:$S,ROW()),IF(_xlpm.cd="","",IFERROR(_xlfn.XLOOKUP(_xlpm.cd,CostData!$C$22:$C$1000,CostData!$E$22:$E$1000,""),"")))</f>
        <v/>
      </c>
      <c r="V68" s="1" t="str" cm="1">
        <f t="array" ref="V68">IFERROR(_xlfn.XLOOKUP(1,(TRIM(CostData!$B$22:$B$1000)="Aluminium")*(TRIM(CostData!$C$22:$C$1000)="CWS")*(TRIM(CostData!$E$22:$E$1000)=TRIM($S68)),_xlfn.SWITCH(TRIM(Enginuity!$A$19),"N/A",CostData!$H$22:$H$1000,"M/B",CostData!$I$22:$I$1000,"P/C",CostData!$J$22:$J$1000,"W/G",CostData!$K$22:$K$1000,""),""),"")</f>
        <v/>
      </c>
      <c r="W68" s="400" t="str" cm="1">
        <f t="array" ref="W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9" spans="1:23" x14ac:dyDescent="0.25">
      <c r="A69" s="275" t="s">
        <v>254</v>
      </c>
      <c r="C69" s="370" t="s">
        <v>3</v>
      </c>
      <c r="E69" s="370" t="str">
        <v/>
      </c>
      <c r="G69" s="370" t="s">
        <v>1873</v>
      </c>
      <c r="H69" s="370" t="s">
        <v>1873</v>
      </c>
      <c r="P69" s="1" t="str" cm="1">
        <f t="array" ref="P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9" s="1" t="str" cm="1">
        <f t="array" ref="Q69">_xlfn.LET(_xlpm.cd,INDEX($S:$S,ROW()),IF(_xlpm.cd="","",IFERROR(_xlfn.XLOOKUP(_xlpm.cd,CostData!$C$22:$C$1000,CostData!$B$22:$B$1000,""),"")))</f>
        <v/>
      </c>
      <c r="T69" s="1" t="str" cm="1">
        <f t="array" ref="T69">_xlfn.LET(_xlpm.cd,INDEX($S:$S,ROW()),IF(_xlpm.cd="","",IFERROR(_xlfn.XLOOKUP(_xlpm.cd,CostData!$C$22:$C$1000,CostData!$E$22:$E$1000,""),"")))</f>
        <v/>
      </c>
      <c r="V69" s="1" t="str" cm="1">
        <f t="array" ref="V69">IFERROR(_xlfn.XLOOKUP(1,(TRIM(CostData!$B$22:$B$1000)="Aluminium")*(TRIM(CostData!$C$22:$C$1000)="CWS")*(TRIM(CostData!$E$22:$E$1000)=TRIM($S69)),_xlfn.SWITCH(TRIM(Enginuity!$A$19),"N/A",CostData!$H$22:$H$1000,"M/B",CostData!$I$22:$I$1000,"P/C",CostData!$J$22:$J$1000,"W/G",CostData!$K$22:$K$1000,""),""),"")</f>
        <v/>
      </c>
      <c r="W69" s="400" t="str" cm="1">
        <f t="array" ref="W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0" spans="1:23" x14ac:dyDescent="0.25">
      <c r="A70" s="275" t="s">
        <v>254</v>
      </c>
      <c r="C70" s="370" t="s">
        <v>3</v>
      </c>
      <c r="E70" s="370" t="str">
        <v/>
      </c>
      <c r="P70" s="1" t="str" cm="1">
        <f t="array" ref="P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0" s="1" t="str" cm="1">
        <f t="array" ref="Q70">_xlfn.LET(_xlpm.cd,INDEX($S:$S,ROW()),IF(_xlpm.cd="","",IFERROR(_xlfn.XLOOKUP(_xlpm.cd,CostData!$C$22:$C$1000,CostData!$B$22:$B$1000,""),"")))</f>
        <v/>
      </c>
      <c r="T70" s="1" t="str" cm="1">
        <f t="array" ref="T70">_xlfn.LET(_xlpm.cd,INDEX($S:$S,ROW()),IF(_xlpm.cd="","",IFERROR(_xlfn.XLOOKUP(_xlpm.cd,CostData!$C$22:$C$1000,CostData!$E$22:$E$1000,""),"")))</f>
        <v/>
      </c>
      <c r="V70" s="1" t="str" cm="1">
        <f t="array" ref="V70">IFERROR(_xlfn.XLOOKUP(1,(TRIM(CostData!$B$22:$B$1000)="Aluminium")*(TRIM(CostData!$C$22:$C$1000)="CWS")*(TRIM(CostData!$E$22:$E$1000)=TRIM($S70)),_xlfn.SWITCH(TRIM(Enginuity!$A$19),"N/A",CostData!$H$22:$H$1000,"M/B",CostData!$I$22:$I$1000,"P/C",CostData!$J$22:$J$1000,"W/G",CostData!$K$22:$K$1000,""),""),"")</f>
        <v/>
      </c>
      <c r="W70" s="400" t="str" cm="1">
        <f t="array" ref="W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1" spans="1:23" x14ac:dyDescent="0.25">
      <c r="A71" s="275" t="s">
        <v>254</v>
      </c>
      <c r="C71" s="370" t="s">
        <v>3</v>
      </c>
      <c r="P71" s="1" t="str" cm="1">
        <f t="array" ref="P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1" s="1" t="str" cm="1">
        <f t="array" ref="Q71">_xlfn.LET(_xlpm.cd,INDEX($S:$S,ROW()),IF(_xlpm.cd="","",IFERROR(_xlfn.XLOOKUP(_xlpm.cd,CostData!$C$22:$C$1000,CostData!$B$22:$B$1000,""),"")))</f>
        <v/>
      </c>
      <c r="T71" s="1" t="str" cm="1">
        <f t="array" ref="T71">_xlfn.LET(_xlpm.cd,INDEX($S:$S,ROW()),IF(_xlpm.cd="","",IFERROR(_xlfn.XLOOKUP(_xlpm.cd,CostData!$C$22:$C$1000,CostData!$E$22:$E$1000,""),"")))</f>
        <v/>
      </c>
      <c r="V71" s="1" t="str" cm="1">
        <f t="array" ref="V71">IFERROR(_xlfn.XLOOKUP(1,(TRIM(CostData!$B$22:$B$1000)="Aluminium")*(TRIM(CostData!$C$22:$C$1000)="CWS")*(TRIM(CostData!$E$22:$E$1000)=TRIM($S71)),_xlfn.SWITCH(TRIM(Enginuity!$A$19),"N/A",CostData!$H$22:$H$1000,"M/B",CostData!$I$22:$I$1000,"P/C",CostData!$J$22:$J$1000,"W/G",CostData!$K$22:$K$1000,""),""),"")</f>
        <v/>
      </c>
      <c r="W71" s="400" t="str" cm="1">
        <f t="array" ref="W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2" spans="1:23" x14ac:dyDescent="0.25">
      <c r="A72" s="275" t="s">
        <v>254</v>
      </c>
      <c r="C72" s="370" t="s">
        <v>3</v>
      </c>
      <c r="P72" s="1" t="str" cm="1">
        <f t="array" ref="P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2" s="1" t="str" cm="1">
        <f t="array" ref="Q72">_xlfn.LET(_xlpm.cd,INDEX($S:$S,ROW()),IF(_xlpm.cd="","",IFERROR(_xlfn.XLOOKUP(_xlpm.cd,CostData!$C$22:$C$1000,CostData!$B$22:$B$1000,""),"")))</f>
        <v/>
      </c>
      <c r="T72" s="1" t="str" cm="1">
        <f t="array" ref="T72">_xlfn.LET(_xlpm.cd,INDEX($S:$S,ROW()),IF(_xlpm.cd="","",IFERROR(_xlfn.XLOOKUP(_xlpm.cd,CostData!$C$22:$C$1000,CostData!$E$22:$E$1000,""),"")))</f>
        <v/>
      </c>
      <c r="V72" s="1" t="str" cm="1">
        <f t="array" ref="V72">IFERROR(_xlfn.XLOOKUP(1,(TRIM(CostData!$B$22:$B$1000)="Aluminium")*(TRIM(CostData!$C$22:$C$1000)="CWS")*(TRIM(CostData!$E$22:$E$1000)=TRIM($S72)),_xlfn.SWITCH(TRIM(Enginuity!$A$19),"N/A",CostData!$H$22:$H$1000,"M/B",CostData!$I$22:$I$1000,"P/C",CostData!$J$22:$J$1000,"W/G",CostData!$K$22:$K$1000,""),""),"")</f>
        <v/>
      </c>
      <c r="W72" s="400" t="str" cm="1">
        <f t="array" ref="W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3" spans="1:23" x14ac:dyDescent="0.25">
      <c r="A73" s="275" t="s">
        <v>254</v>
      </c>
      <c r="C73" s="370" t="s">
        <v>3</v>
      </c>
      <c r="P73" s="1" t="str" cm="1">
        <f t="array" ref="P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3" s="1" t="str" cm="1">
        <f t="array" ref="Q73">_xlfn.LET(_xlpm.cd,INDEX($S:$S,ROW()),IF(_xlpm.cd="","",IFERROR(_xlfn.XLOOKUP(_xlpm.cd,CostData!$C$22:$C$1000,CostData!$B$22:$B$1000,""),"")))</f>
        <v/>
      </c>
      <c r="T73" s="1" t="str" cm="1">
        <f t="array" ref="T73">_xlfn.LET(_xlpm.cd,INDEX($S:$S,ROW()),IF(_xlpm.cd="","",IFERROR(_xlfn.XLOOKUP(_xlpm.cd,CostData!$C$22:$C$1000,CostData!$E$22:$E$1000,""),"")))</f>
        <v/>
      </c>
      <c r="V73" s="1" t="str" cm="1">
        <f t="array" ref="V73">IFERROR(_xlfn.XLOOKUP(1,(TRIM(CostData!$B$22:$B$1000)="Aluminium")*(TRIM(CostData!$C$22:$C$1000)="CWS")*(TRIM(CostData!$E$22:$E$1000)=TRIM($S73)),_xlfn.SWITCH(TRIM(Enginuity!$A$19),"N/A",CostData!$H$22:$H$1000,"M/B",CostData!$I$22:$I$1000,"P/C",CostData!$J$22:$J$1000,"W/G",CostData!$K$22:$K$1000,""),""),"")</f>
        <v/>
      </c>
      <c r="W73" s="400" t="str" cm="1">
        <f t="array" ref="W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4" spans="1:23" x14ac:dyDescent="0.25">
      <c r="A74" s="275" t="s">
        <v>254</v>
      </c>
      <c r="C74" s="370" t="s">
        <v>3</v>
      </c>
      <c r="P74" s="1" t="str" cm="1">
        <f t="array" ref="P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4" s="1" t="str" cm="1">
        <f t="array" ref="Q74">_xlfn.LET(_xlpm.cd,INDEX($S:$S,ROW()),IF(_xlpm.cd="","",IFERROR(_xlfn.XLOOKUP(_xlpm.cd,CostData!$C$22:$C$1000,CostData!$B$22:$B$1000,""),"")))</f>
        <v/>
      </c>
      <c r="T74" s="1" t="str" cm="1">
        <f t="array" ref="T74">_xlfn.LET(_xlpm.cd,INDEX($S:$S,ROW()),IF(_xlpm.cd="","",IFERROR(_xlfn.XLOOKUP(_xlpm.cd,CostData!$C$22:$C$1000,CostData!$E$22:$E$1000,""),"")))</f>
        <v/>
      </c>
      <c r="V74" s="1" t="str" cm="1">
        <f t="array" ref="V74">IFERROR(_xlfn.XLOOKUP(1,(TRIM(CostData!$B$22:$B$1000)="Aluminium")*(TRIM(CostData!$C$22:$C$1000)="CWS")*(TRIM(CostData!$E$22:$E$1000)=TRIM($S74)),_xlfn.SWITCH(TRIM(Enginuity!$A$19),"N/A",CostData!$H$22:$H$1000,"M/B",CostData!$I$22:$I$1000,"P/C",CostData!$J$22:$J$1000,"W/G",CostData!$K$22:$K$1000,""),""),"")</f>
        <v/>
      </c>
      <c r="W74" s="400" t="str" cm="1">
        <f t="array" ref="W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5" spans="1:23" x14ac:dyDescent="0.25">
      <c r="A75" s="275" t="s">
        <v>254</v>
      </c>
      <c r="C75" s="370" t="s">
        <v>3</v>
      </c>
      <c r="P75" s="1" t="str" cm="1">
        <f t="array" ref="P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5" s="1" t="str" cm="1">
        <f t="array" ref="Q75">_xlfn.LET(_xlpm.cd,INDEX($S:$S,ROW()),IF(_xlpm.cd="","",IFERROR(_xlfn.XLOOKUP(_xlpm.cd,CostData!$C$22:$C$1000,CostData!$B$22:$B$1000,""),"")))</f>
        <v/>
      </c>
      <c r="T75" s="1" t="str" cm="1">
        <f t="array" ref="T75">_xlfn.LET(_xlpm.cd,INDEX($S:$S,ROW()),IF(_xlpm.cd="","",IFERROR(_xlfn.XLOOKUP(_xlpm.cd,CostData!$C$22:$C$1000,CostData!$E$22:$E$1000,""),"")))</f>
        <v/>
      </c>
      <c r="V75" s="1" t="str" cm="1">
        <f t="array" ref="V75">IFERROR(_xlfn.XLOOKUP(1,(TRIM(CostData!$B$22:$B$1000)="Aluminium")*(TRIM(CostData!$C$22:$C$1000)="CWS")*(TRIM(CostData!$E$22:$E$1000)=TRIM($S75)),_xlfn.SWITCH(TRIM(Enginuity!$A$19),"N/A",CostData!$H$22:$H$1000,"M/B",CostData!$I$22:$I$1000,"P/C",CostData!$J$22:$J$1000,"W/G",CostData!$K$22:$K$1000,""),""),"")</f>
        <v/>
      </c>
      <c r="W75" s="400" t="str" cm="1">
        <f t="array" ref="W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6" spans="1:23" x14ac:dyDescent="0.25">
      <c r="A76" s="275" t="s">
        <v>254</v>
      </c>
      <c r="C76" s="370" t="s">
        <v>3</v>
      </c>
      <c r="P76" s="1" t="str" cm="1">
        <f t="array" ref="P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6" s="1" t="str" cm="1">
        <f t="array" ref="Q76">_xlfn.LET(_xlpm.cd,INDEX($S:$S,ROW()),IF(_xlpm.cd="","",IFERROR(_xlfn.XLOOKUP(_xlpm.cd,CostData!$C$22:$C$1000,CostData!$B$22:$B$1000,""),"")))</f>
        <v/>
      </c>
      <c r="T76" s="1" t="str" cm="1">
        <f t="array" ref="T76">_xlfn.LET(_xlpm.cd,INDEX($S:$S,ROW()),IF(_xlpm.cd="","",IFERROR(_xlfn.XLOOKUP(_xlpm.cd,CostData!$C$22:$C$1000,CostData!$E$22:$E$1000,""),"")))</f>
        <v/>
      </c>
      <c r="V76" s="1" t="str" cm="1">
        <f t="array" ref="V76">IFERROR(_xlfn.XLOOKUP(1,(TRIM(CostData!$B$22:$B$1000)="Aluminium")*(TRIM(CostData!$C$22:$C$1000)="CWS")*(TRIM(CostData!$E$22:$E$1000)=TRIM($S76)),_xlfn.SWITCH(TRIM(Enginuity!$A$19),"N/A",CostData!$H$22:$H$1000,"M/B",CostData!$I$22:$I$1000,"P/C",CostData!$J$22:$J$1000,"W/G",CostData!$K$22:$K$1000,""),""),"")</f>
        <v/>
      </c>
      <c r="W76" s="400" t="str" cm="1">
        <f t="array" ref="W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7" spans="1:23" x14ac:dyDescent="0.25">
      <c r="A77" s="275" t="s">
        <v>254</v>
      </c>
      <c r="C77" s="370" t="s">
        <v>3</v>
      </c>
      <c r="P77" s="1" t="str" cm="1">
        <f t="array" ref="P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7" s="1" t="s">
        <v>1833</v>
      </c>
      <c r="R77" s="16" t="str">
        <f>IF($T77="","","⬒ "&amp;$T77)</f>
        <v>⬒ Z-Louvre Blade - 5"</v>
      </c>
      <c r="T77" s="1" t="str">
        <f>IF(Enginuity!$A$20="","",Enginuity!$A$20)</f>
        <v>Z-Louvre Blade - 5"</v>
      </c>
      <c r="U77" s="1" t="s">
        <v>121</v>
      </c>
      <c r="V77" s="1">
        <f>IF(Enginuity!$B$9="","",Enginuity!$B$9)</f>
        <v>260</v>
      </c>
      <c r="W77" s="400">
        <f>IFERROR(INDEX(CostData!$Q$3:$Q$12,MATCH(TRIM(Enginuity!$A$20),CostData!$P$3:$P$12,0)),"")</f>
        <v>32.037384615384617</v>
      </c>
    </row>
    <row r="78" spans="1:23" x14ac:dyDescent="0.25">
      <c r="A78" s="275" t="s">
        <v>254</v>
      </c>
      <c r="C78" s="370" t="s">
        <v>3</v>
      </c>
      <c r="P78" s="1" t="str" cm="1">
        <f t="array" ref="P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8" s="1" t="str" cm="1">
        <f t="array" ref="V78">IFERROR(_xlfn.XLOOKUP(1,(TRIM(CostData!$B$22:$B$1000)="Aluminium")*(TRIM(CostData!$C$22:$C$1000)="CWS")*(TRIM(CostData!$E$22:$E$1000)=TRIM($S78)),_xlfn.SWITCH(TRIM(Enginuity!$A$19),"N/A",CostData!$H$22:$H$1000,"M/B",CostData!$I$22:$I$1000,"P/C",CostData!$J$22:$J$1000,"W/G",CostData!$K$22:$K$1000,""),""),"")</f>
        <v/>
      </c>
      <c r="W78" s="400" t="str" cm="1">
        <f t="array" ref="W78">IF(OR(TRIM(CalcEngine!$A78)&lt;&gt;TRIM(Enginuity!$A$1),TRIM(CalcEngine!$C78)&lt;&gt;TRIM(Enginuity!$A$18),CalcEngine!$V78="",CalcEngine!$V78=0),"",IFERROR(_xlfn.XLOOKUP(1,(TRIM(CostData!$B$22:$B$1000)="Aluminium")*(TRIM(CostData!$C$22:$C$1000)="CWS")*(TRIM(CostData!$E$22:$E$1000)=TRIM(CalcEngine!$T78)),_xlfn.SWITCH(TRIM(Enginuity!$A$19),"N/A",CostData!$H$22:$H$1000,"M/B",CostData!$I$22:$I$1000,"P/C",CostData!$J$22:$J$1000,"W/G",CostData!$K$22:$K$1000,""),""),""))</f>
        <v/>
      </c>
    </row>
    <row r="79" spans="1:23" x14ac:dyDescent="0.25">
      <c r="A79" s="275" t="s">
        <v>254</v>
      </c>
      <c r="C79" s="370" t="s">
        <v>3</v>
      </c>
      <c r="P79" s="1" t="str" cm="1">
        <f t="array" ref="P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9" s="1" t="str" cm="1">
        <f t="array" ref="V79">IFERROR(_xlfn.XLOOKUP(1,(TRIM(CostData!$B$22:$B$1000)="Aluminium")*(TRIM(CostData!$C$22:$C$1000)="CWS")*(TRIM(CostData!$E$22:$E$1000)=TRIM($S79)),_xlfn.SWITCH(TRIM(Enginuity!$A$19),"N/A",CostData!$H$22:$H$1000,"M/B",CostData!$I$22:$I$1000,"P/C",CostData!$J$22:$J$1000,"W/G",CostData!$K$22:$K$1000,""),""),"")</f>
        <v/>
      </c>
      <c r="W79" s="400" t="str" cm="1">
        <f t="array" ref="W79">IF(OR(TRIM(CalcEngine!$A79)&lt;&gt;TRIM(Enginuity!$A$1),TRIM(CalcEngine!$C79)&lt;&gt;TRIM(Enginuity!$A$18),CalcEngine!$V79="",CalcEngine!$V79=0),"",IFERROR(_xlfn.XLOOKUP(1,(TRIM(CostData!$B$22:$B$1000)="Aluminium")*(TRIM(CostData!$C$22:$C$1000)="CWS")*(TRIM(CostData!$E$22:$E$1000)=TRIM(CalcEngine!$T79)),_xlfn.SWITCH(TRIM(Enginuity!$A$19),"N/A",CostData!$H$22:$H$1000,"M/B",CostData!$I$22:$I$1000,"P/C",CostData!$J$22:$J$1000,"W/G",CostData!$K$22:$K$1000,""),""),""))</f>
        <v/>
      </c>
    </row>
    <row r="80" spans="1:23" x14ac:dyDescent="0.25">
      <c r="A80" s="275" t="s">
        <v>254</v>
      </c>
      <c r="C80" s="370" t="s">
        <v>3</v>
      </c>
      <c r="P80" s="1" t="str" cm="1">
        <f t="array" ref="P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0" s="1" t="str" cm="1">
        <f t="array" ref="V80">IFERROR(_xlfn.XLOOKUP(1,(TRIM(CostData!$B$22:$B$1000)="Aluminium")*(TRIM(CostData!$C$22:$C$1000)="CWS")*(TRIM(CostData!$E$22:$E$1000)=TRIM($S80)),_xlfn.SWITCH(TRIM(Enginuity!$A$19),"N/A",CostData!$H$22:$H$1000,"M/B",CostData!$I$22:$I$1000,"P/C",CostData!$J$22:$J$1000,"W/G",CostData!$K$22:$K$1000,""),""),"")</f>
        <v/>
      </c>
      <c r="W80" s="400" t="str" cm="1">
        <f t="array" ref="W80">IF(OR(TRIM(CalcEngine!$A80)&lt;&gt;TRIM(Enginuity!$A$1),TRIM(CalcEngine!$C80)&lt;&gt;TRIM(Enginuity!$A$18),CalcEngine!$V80="",CalcEngine!$V80=0),"",IFERROR(_xlfn.XLOOKUP(1,(TRIM(CostData!$B$22:$B$1000)="Aluminium")*(TRIM(CostData!$C$22:$C$1000)="CWS")*(TRIM(CostData!$E$22:$E$1000)=TRIM(CalcEngine!$T80)),_xlfn.SWITCH(TRIM(Enginuity!$A$19),"N/A",CostData!$H$22:$H$1000,"M/B",CostData!$I$22:$I$1000,"P/C",CostData!$J$22:$J$1000,"W/G",CostData!$K$22:$K$1000,""),""),""))</f>
        <v/>
      </c>
    </row>
    <row r="81" spans="1:23" x14ac:dyDescent="0.25">
      <c r="A81" s="275" t="s">
        <v>254</v>
      </c>
      <c r="C81" s="370" t="s">
        <v>3</v>
      </c>
      <c r="P81" s="1" t="str" cm="1">
        <f t="array" ref="P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1" s="1" t="str" cm="1">
        <f t="array" ref="V81">IFERROR(_xlfn.XLOOKUP(1,(TRIM(CostData!$B$22:$B$1000)="Aluminium")*(TRIM(CostData!$C$22:$C$1000)="CWS")*(TRIM(CostData!$E$22:$E$1000)=TRIM($S81)),_xlfn.SWITCH(TRIM(Enginuity!$A$19),"N/A",CostData!$H$22:$H$1000,"M/B",CostData!$I$22:$I$1000,"P/C",CostData!$J$22:$J$1000,"W/G",CostData!$K$22:$K$1000,""),""),"")</f>
        <v/>
      </c>
      <c r="W81" s="400" t="str" cm="1">
        <f t="array" ref="W81">IF(OR(TRIM(CalcEngine!$A81)&lt;&gt;TRIM(Enginuity!$A$1),TRIM(CalcEngine!$C81)&lt;&gt;TRIM(Enginuity!$A$18),CalcEngine!$V81="",CalcEngine!$V81=0),"",IFERROR(_xlfn.XLOOKUP(1,(TRIM(CostData!$B$22:$B$1000)="Aluminium")*(TRIM(CostData!$C$22:$C$1000)="CWS")*(TRIM(CostData!$E$22:$E$1000)=TRIM(CalcEngine!$T81)),_xlfn.SWITCH(TRIM(Enginuity!$A$19),"N/A",CostData!$H$22:$H$1000,"M/B",CostData!$I$22:$I$1000,"P/C",CostData!$J$22:$J$1000,"W/G",CostData!$K$22:$K$1000,""),""),""))</f>
        <v/>
      </c>
    </row>
    <row r="82" spans="1:23" x14ac:dyDescent="0.25">
      <c r="A82" s="275" t="s">
        <v>254</v>
      </c>
      <c r="C82" s="370" t="s">
        <v>3</v>
      </c>
      <c r="W82" s="400"/>
    </row>
    <row r="83" spans="1:23" x14ac:dyDescent="0.25">
      <c r="A83" s="275" t="s">
        <v>254</v>
      </c>
      <c r="C83" s="370" t="s">
        <v>3</v>
      </c>
      <c r="P83" s="1" t="str" cm="1">
        <f t="array" ref="P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3" s="1" t="str">
        <f>IF($S83="","",IFERROR(_xlfn.XLOOKUP($S83,CostData!$U$22:$U$1000,CostData!$T$22:$T$1000,""),""))</f>
        <v>Hinge</v>
      </c>
      <c r="R83" s="16" t="str">
        <f>IF($S83="","",$T83)</f>
        <v>Hung Friction Stay</v>
      </c>
      <c r="S83" s="24" t="s">
        <v>1880</v>
      </c>
      <c r="T83" s="1" t="str" cm="1">
        <f t="array" ref="T83">_xlfn.LET(_xlpm.cd,INDEX($S:$S,ROW()),IF(_xlpm.cd="","",IFERROR(_xlfn.XLOOKUP(_xlpm.cd,CostData!$U$22:$U$1000,CostData!$W$22:$W$1000,""),"")))</f>
        <v>Hung Friction Stay</v>
      </c>
      <c r="U83" s="1" t="str">
        <f>IF($S83="","",IFERROR(_xlfn.XLOOKUP($S83,CostData!$U$22:$U$1000,CostData!$AA$22:$AA$1000,""),""))</f>
        <v>Pair</v>
      </c>
      <c r="V83" s="1" t="str" cm="1">
        <f t="array" ref="V8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83" s="400" t="str" cm="1">
        <f t="array" ref="W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4" spans="1:23" x14ac:dyDescent="0.25">
      <c r="A84" s="275" t="s">
        <v>254</v>
      </c>
      <c r="C84" s="370" t="s">
        <v>3</v>
      </c>
      <c r="P84" s="1" t="str" cm="1">
        <f t="array" ref="P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4" s="1" t="str">
        <f>IF($S84="","",IFERROR(_xlfn.XLOOKUP($S84,CostData!$U$22:$U$1000,CostData!$T$22:$T$1000,""),""))</f>
        <v>Hinge</v>
      </c>
      <c r="R84" s="16" t="str">
        <f>IF($S84="","",$T84)</f>
        <v>Casement Friction Stay</v>
      </c>
      <c r="S84" s="24" t="s">
        <v>1879</v>
      </c>
      <c r="T84" s="1" t="str" cm="1">
        <f t="array" ref="T84">_xlfn.LET(_xlpm.cd,INDEX($S:$S,ROW()),IF(_xlpm.cd="","",IFERROR(_xlfn.XLOOKUP(_xlpm.cd,CostData!$U$22:$U$1000,CostData!$W$22:$W$1000,""),"")))</f>
        <v>Casement Friction Stay</v>
      </c>
      <c r="U84" s="1" t="str">
        <f>IF($S84="","",IFERROR(_xlfn.XLOOKUP($S84,CostData!$U$22:$U$1000,CostData!$AA$22:$AA$1000,""),""))</f>
        <v>Pair</v>
      </c>
      <c r="V84" s="1">
        <f>IF(Enginuity!$B$13&gt;0,Enginuity!$B$13,"")</f>
        <v>7</v>
      </c>
      <c r="W84" s="400" t="str" cm="1">
        <f t="array" ref="W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5" spans="1:23" x14ac:dyDescent="0.25">
      <c r="A85" s="275" t="s">
        <v>254</v>
      </c>
      <c r="C85" s="370" t="s">
        <v>3</v>
      </c>
      <c r="P85" s="1" t="str" cm="1">
        <f t="array" ref="P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5" s="1" t="str">
        <f>IF($S85="","",IFERROR(_xlfn.XLOOKUP($S85,CostData!$U$22:$U$1000,CostData!$T$22:$T$1000,""),""))</f>
        <v>Handle</v>
      </c>
      <c r="R85" s="16" t="str">
        <f>IF($S85="","",$T85)</f>
        <v>Casement Handle</v>
      </c>
      <c r="S85" s="24" t="s">
        <v>113</v>
      </c>
      <c r="T85" s="1" t="str" cm="1">
        <f t="array" ref="T85">_xlfn.LET(_xlpm.cd,INDEX($S:$S,ROW()),IF(_xlpm.cd="","",IFERROR(_xlfn.XLOOKUP(_xlpm.cd,CostData!$U$22:$U$1000,CostData!$W$22:$W$1000,""),"")))</f>
        <v>Casement Handle</v>
      </c>
      <c r="U85" s="1" t="str">
        <f>IF($S85="","",IFERROR(_xlfn.XLOOKUP($S85,CostData!$U$22:$U$1000,CostData!$AA$22:$AA$1000,""),""))</f>
        <v>Pcs</v>
      </c>
      <c r="V85" s="1" cm="1">
        <f t="array" ref="V8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7</v>
      </c>
      <c r="W85" s="400" t="str" cm="1">
        <f t="array" ref="W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6" spans="1:23" x14ac:dyDescent="0.25">
      <c r="A86" s="275" t="s">
        <v>254</v>
      </c>
      <c r="C86" s="370" t="s">
        <v>3</v>
      </c>
      <c r="P86" s="1" t="str" cm="1">
        <f t="array" ref="P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6" s="1" t="str">
        <f>IF($S86="","",IFERROR(_xlfn.XLOOKUP($S86,CostData!$U$22:$U$1000,CostData!$T$22:$T$1000,""),""))</f>
        <v>Black Tape</v>
      </c>
      <c r="R86" s="16" t="str">
        <f>IF($S86="","",$T86)</f>
        <v>2.5" x 2 Black Tape</v>
      </c>
      <c r="S86" s="24" t="s">
        <v>1898</v>
      </c>
      <c r="T86" s="1" t="str" cm="1">
        <f t="array" ref="T86">_xlfn.LET(_xlpm.cd,INDEX($S:$S,ROW()),IF(_xlpm.cd="","",IFERROR(_xlfn.XLOOKUP(_xlpm.cd,CostData!$U$22:$U$1000,CostData!$W$22:$W$1000,""),"")))</f>
        <v>2.5" x 2 Black Tape</v>
      </c>
      <c r="U86" s="1" t="str">
        <f>IF($S86="","",IFERROR(_xlfn.XLOOKUP($S86,CostData!$U$22:$U$1000,CostData!$AA$22:$AA$1000,""),""))</f>
        <v>Ft</v>
      </c>
      <c r="V86" s="1">
        <f>IF(SUM($V$61:$V$64)=0,"",SUM($V$61:$V$64))</f>
        <v>560</v>
      </c>
      <c r="W86" s="400" t="str" cm="1">
        <f t="array" ref="W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7" spans="1:23" x14ac:dyDescent="0.25">
      <c r="A87" s="275" t="s">
        <v>254</v>
      </c>
      <c r="C87" s="370" t="s">
        <v>3</v>
      </c>
      <c r="P87" s="1" t="str" cm="1">
        <f t="array" ref="P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7" s="1" t="str">
        <f>IF($S87="","",IFERROR(_xlfn.XLOOKUP($S87,CostData!$U$22:$U$1000,CostData!$T$22:$T$1000,""),""))</f>
        <v>Gasket</v>
      </c>
      <c r="R87" s="16" t="s">
        <v>1931</v>
      </c>
      <c r="S87" s="24" t="s">
        <v>1912</v>
      </c>
      <c r="T87" s="1" t="str" cm="1">
        <f t="array" ref="T87">_xlfn.LET(_xlpm.cd,INDEX($S:$S,ROW()),IF(_xlpm.cd="","",IFERROR(_xlfn.XLOOKUP(_xlpm.cd,CostData!$U$22:$U$1000,CostData!$W$22:$W$1000,""),"")))</f>
        <v>F18 Gasket</v>
      </c>
      <c r="U87" s="1" t="str">
        <f>IF($S87="","",IFERROR(_xlfn.XLOOKUP($S87,CostData!$U$22:$U$1000,CostData!$AA$22:$AA$1000,""),""))</f>
        <v>Ft</v>
      </c>
      <c r="V87" s="1">
        <f>IF($V$61="","",$V$61)</f>
        <v>260</v>
      </c>
      <c r="W87" s="400" t="str" cm="1">
        <f t="array" ref="W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8" spans="1:23" x14ac:dyDescent="0.25">
      <c r="A88" s="275" t="s">
        <v>254</v>
      </c>
      <c r="C88" s="370" t="s">
        <v>3</v>
      </c>
      <c r="P88" s="1" t="str" cm="1">
        <f t="array" ref="P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8" s="1" t="str">
        <f>IF($S88="","",IFERROR(_xlfn.XLOOKUP($S88,CostData!$U$22:$U$1000,CostData!$T$22:$T$1000,""),""))</f>
        <v>Gasket</v>
      </c>
      <c r="R88" s="16" t="s">
        <v>1932</v>
      </c>
      <c r="S88" s="24" t="s">
        <v>1916</v>
      </c>
      <c r="T88" s="1" t="str" cm="1">
        <f t="array" ref="T88">_xlfn.LET(_xlpm.cd,INDEX($S:$S,ROW()),IF(_xlpm.cd="","",IFERROR(_xlfn.XLOOKUP(_xlpm.cd,CostData!$U$22:$U$1000,CostData!$W$22:$W$1000,""),"")))</f>
        <v>F16S Gasket</v>
      </c>
      <c r="U88" s="1" t="str">
        <f>IF($S88="","",IFERROR(_xlfn.XLOOKUP($S88,CostData!$U$22:$U$1000,CostData!$AA$22:$AA$1000,""),""))</f>
        <v>Ft</v>
      </c>
      <c r="V88" s="1">
        <f>IF($V$62="","",$V$62)</f>
        <v>222</v>
      </c>
      <c r="W88" s="400" t="str" cm="1">
        <f t="array" ref="W8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9" spans="1:23" x14ac:dyDescent="0.25">
      <c r="A89" s="275" t="s">
        <v>254</v>
      </c>
      <c r="C89" s="370" t="s">
        <v>3</v>
      </c>
      <c r="P89" s="1" t="str" cm="1">
        <f t="array" ref="P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9" s="1" t="str">
        <f>IF($S89="","",IFERROR(_xlfn.XLOOKUP($S89,CostData!$U$22:$U$1000,CostData!$T$22:$T$1000,""),""))</f>
        <v>Gasket</v>
      </c>
      <c r="R89" s="16" t="s">
        <v>1930</v>
      </c>
      <c r="S89" s="24">
        <v>6154</v>
      </c>
      <c r="T89" s="1" t="str" cm="1">
        <f t="array" ref="T89">_xlfn.LET(_xlpm.cd,INDEX($S:$S,ROW()),IF(_xlpm.cd="","",IFERROR(_xlfn.XLOOKUP(_xlpm.cd,CostData!$U$22:$U$1000,CostData!$W$22:$W$1000,""),"")))</f>
        <v>6154 Gasket</v>
      </c>
      <c r="U89" s="1" t="str">
        <f>IF($S89="","",IFERROR(_xlfn.XLOOKUP($S89,CostData!$U$22:$U$1000,CostData!$AA$22:$AA$1000,""),""))</f>
        <v>Ft</v>
      </c>
      <c r="V89" s="1">
        <f>IF($V$62="","",$V$62)</f>
        <v>222</v>
      </c>
      <c r="W89" s="400" t="str" cm="1">
        <f t="array" ref="W8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0" spans="1:23" x14ac:dyDescent="0.25">
      <c r="A90" s="412" t="s">
        <v>254</v>
      </c>
      <c r="B90" s="399"/>
      <c r="C90" s="399" t="s">
        <v>3</v>
      </c>
      <c r="D90" s="399"/>
      <c r="E90" s="399"/>
      <c r="F90" s="399"/>
      <c r="G90" s="399"/>
      <c r="H90" s="399"/>
      <c r="I90" s="399"/>
      <c r="J90" s="399"/>
      <c r="K90" s="399"/>
      <c r="L90" s="399"/>
      <c r="M90" s="399"/>
      <c r="N90" s="399"/>
      <c r="O90" s="399"/>
      <c r="P90" s="401" t="str" cm="1">
        <f t="array" ref="P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90" s="401" t="str">
        <f>IF($S90="","",IFERROR(_xlfn.XLOOKUP($S90,CostData!$U$22:$U$1000,CostData!$T$22:$T$1000,""),""))</f>
        <v>Gasket</v>
      </c>
      <c r="R90" s="429" t="s">
        <v>1933</v>
      </c>
      <c r="S90" s="418">
        <v>6154</v>
      </c>
      <c r="T90" s="401" t="str" cm="1">
        <f t="array" ref="T90">_xlfn.LET(_xlpm.cd,INDEX($S:$S,ROW()),IF(_xlpm.cd="","",IFERROR(_xlfn.XLOOKUP(_xlpm.cd,CostData!$U$22:$U$1000,CostData!$W$22:$W$1000,""),"")))</f>
        <v>6154 Gasket</v>
      </c>
      <c r="U90" s="401" t="str">
        <f>IF($S90="","",IFERROR(_xlfn.XLOOKUP($S90,CostData!$U$22:$U$1000,CostData!$AA$22:$AA$1000,""),""))</f>
        <v>Ft</v>
      </c>
      <c r="V90" s="401">
        <f>IF(SUM($V$63:$V$64)=0,"",SUM($V$63:$V$64)*2)</f>
        <v>156</v>
      </c>
      <c r="W90" s="413" t="str" cm="1">
        <f t="array" ref="W9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1" spans="1:23" x14ac:dyDescent="0.25">
      <c r="A91" s="275" t="s">
        <v>254</v>
      </c>
      <c r="B91" s="370" t="s">
        <v>1846</v>
      </c>
      <c r="C91" s="370" t="s">
        <v>1992</v>
      </c>
      <c r="D91" s="370" t="s">
        <v>1792</v>
      </c>
      <c r="E91" s="370" t="str" cm="1">
        <f t="array" ref="E91:E100">IFERROR(INDEX(_xlfn._xlws.FILTER(CostData!$P$3:$P$12,CostData!$P$3:$P$12&lt;&gt;""),_xlfn.SEQUENCE(10)),"")</f>
        <v>Default</v>
      </c>
      <c r="F91" s="370" t="str">
        <f>"▼ [Variant]"</f>
        <v>▼ [Variant]</v>
      </c>
      <c r="G91" s="370" t="str">
        <f>"▼ [Lattice]"</f>
        <v>▼ [Lattice]</v>
      </c>
      <c r="H91" s="370" t="str">
        <f>"▼ [Hung Window - Casement]"</f>
        <v>▼ [Hung Window - Casement]</v>
      </c>
      <c r="I91" s="370" t="s">
        <v>1858</v>
      </c>
      <c r="J91" s="370" t="s">
        <v>1859</v>
      </c>
      <c r="K91" s="370" t="s">
        <v>1860</v>
      </c>
      <c r="L91" s="370" t="s">
        <v>1861</v>
      </c>
      <c r="M91" s="411">
        <v>0.54649999999999999</v>
      </c>
      <c r="N91" s="370">
        <v>914.4</v>
      </c>
      <c r="O91" s="370" t="s">
        <v>1957</v>
      </c>
      <c r="P91" s="1" t="str" cm="1">
        <f t="array" ref="P91">_xlfn.LET(_xlpm.r,ROW(),_xlpm.a,TRIM(INDEX($A:$A,_xlpm.r)),_xlpm.c,TRIM(INDEX($C:$C,_xlpm.r)),_xlpm.v,INDEX($V:$V,_xlpm.r),_xlpm.selA,TRIM(Enginuity!$A$1),_xlpm.selC,TRIM(Enginuity!$A$18),_xlpm.sel,TRIM(Enginuity!$A$21),_xlpm.famOk,_xlfn.SWITCH(_xlpm.sel,"Curtain Wall",AND(_xlpm.r&gt;=91,_xlpm.r&lt;=93),"SF 2""",AND(_xlpm.r&gt;=94,_xlpm.r&lt;=96),"Z-Louvre Blade - 2""",AND(_xlpm.r&gt;=94,_xlpm.r&lt;=96),"SF 3""",AND(_xlpm.r&gt;=97,_xlpm.r&lt;=99),"Z-Louvre Blade - 5""",AND(_xlpm.r&gt;=97,_xlpm.r&lt;=99),"SF 4""",AND(_xlpm.r&gt;=100,_xlpm.r&lt;=102),FALSE),IF(OR(_xlpm.a&lt;&gt;_xlpm.selA,_xlpm.c&lt;&gt;_xlpm.selC,_xlpm.v="",_xlpm.v=0,NOT(_xlpm.famOk)),"",_xlpm.r))</f>
        <v/>
      </c>
      <c r="Q91" s="1" t="str" cm="1">
        <f t="array" ref="Q91">_xlfn.LET(_xlpm.cd,INDEX($S:$S,ROW()),IF(_xlpm.cd="","",IFERROR(_xlfn.XLOOKUP(_xlpm.cd,CostData!$C$22:$C$1000,CostData!$B$22:$B$1000,""),"")))</f>
        <v>Aluminium</v>
      </c>
      <c r="R91" s="16" t="s">
        <v>1812</v>
      </c>
      <c r="S91" s="24" t="s">
        <v>1974</v>
      </c>
      <c r="T91" s="1" t="str" cm="1">
        <f t="array" ref="T91">_xlfn.LET(_xlpm.cd,INDEX($S:$S,ROW()),IF(_xlpm.cd="","",IFERROR(_xlfn.XLOOKUP(_xlpm.cd,CostData!$C$22:$C$1000,CostData!$E$22:$E$1000,""),"")))</f>
        <v>Outer</v>
      </c>
      <c r="U91" s="1" t="s">
        <v>103</v>
      </c>
      <c r="V91" s="1">
        <f>_xlfn.LET(_xlpm.w,Enginuity!$B$6,_xlpm.h,Enginuity!$B$7,_xlpm.tot,(2*_xlpm.w)+(2*_xlpm.h),IF(_xlpm.tot=0,"",_xlpm.tot))</f>
        <v>66</v>
      </c>
      <c r="W91" s="400" cm="1">
        <f t="array" ref="W91">_xlfn.LET(_xlpm.a,TRIM($A91),_xlpm.c,TRIM($C91),_xlpm.f,TRIM($F91),_xlpm.tp,TRIM($Q91),_xlpm.cd,TRIM($S91),_xlpm.ds,TRIM($T91),_xlpm.selA,TRIM(Enginuity!$A$1),_xlpm.selC,TRIM(Enginuity!$A$18),_xlpm.selF,TRIM(Enginuity!$A$21),_xlpm.p,IFERROR(_xlfn.XMATCH(_xlpm.cd,CostData!$C$22:$C$1000,0),0),_xlpm.srcTp,IF(_xlpm.p=0,"",TRIM(INDEX(CostData!$B$22:$B$1000,_xlpm.p))),_xlpm.srcDs,IF(_xlpm.p=0,"",TRIM(INDEX(CostData!$E$22:$E$1000,_xlpm.p))),_xlpm.fOk,IF(OR(_xlpm.f="",LEFT(_xlpm.f,1)="▼"),TRUE,_xlpm.f=_xlpm.selF),IF(OR(_xlpm.a&lt;&gt;_xlpm.selA,_xlpm.c&lt;&gt;_xlpm.selC,_xlpm.cd="",_xlpm.p=0,_xlpm.tp&lt;&gt;_xlpm.srcTp,_xlpm.ds&lt;&gt;_xlpm.srcDs,NOT(_xlpm.fOk)),"",_xlfn.SWITCH(TRIM(Enginuity!$A$19),"N/A",INDEX(CostData!$H$22:$H$1000,_xlpm.p),"M/B",INDEX(CostData!$I$22:$I$1000,_xlpm.p),"P/C",INDEX(CostData!$J$22:$J$1000,_xlpm.p),"W/G",INDEX(CostData!$K$22:$K$1000,_xlpm.p),"")))</f>
        <v>26.14</v>
      </c>
    </row>
    <row r="92" spans="1:23" x14ac:dyDescent="0.25">
      <c r="A92" s="275" t="s">
        <v>254</v>
      </c>
      <c r="B92" s="370" t="s">
        <v>1848</v>
      </c>
      <c r="C92" s="370" t="s">
        <v>1992</v>
      </c>
      <c r="D92" s="370" t="s">
        <v>1814</v>
      </c>
      <c r="E92" s="370" t="str">
        <v>Z-Louvre Blade - 2"</v>
      </c>
      <c r="F92" s="370" t="s">
        <v>1935</v>
      </c>
      <c r="M92" s="411">
        <v>0.54649999999999999</v>
      </c>
      <c r="N92" s="370">
        <v>1500</v>
      </c>
      <c r="O92" s="370" t="s">
        <v>1958</v>
      </c>
      <c r="P92" s="1" t="str" cm="1">
        <f t="array" ref="P92">_xlfn.LET(_xlpm.a,INDEX($A:$A,ROW()),_xlpm.c,INDEX($C:$C,ROW()),_xlpm.v,INDEX($V:$V,ROW()),_xlpm.cd,UPPER(TRIM(INDEX($S:$S,ROW()))),_xlpm.sel,UPPER(TRIM(Enginuity!$A$21)),_xlpm.isFamily,_xlfn.SWITCH(_xlpm.sel,"CURTAIN WALL",LEFT(_xlpm.cd,4)="CTW-","SF 2""",LEFT(_xlpm.cd,4)="SF2-","SF 3""",LEFT(_xlpm.cd,4)="SF3-","SF 4""",LEFT(_xlpm.cd,4)="SF4-","Z-LOUVRE BLADE - 2""",FALSE,"Z-LOUVRE BLADE - 5""",FALSE,FALSE),IF(OR(TRIM(_xlpm.a)&lt;&gt;TRIM(Enginuity!$A$1),TRIM(_xlpm.c)&lt;&gt;TRIM(Enginuity!$A$18),_xlpm.v="",_xlpm.v=0,NOT(_xlpm.isFamily)),"",ROW()))</f>
        <v/>
      </c>
      <c r="Q92" s="1" t="str" cm="1">
        <f t="array" ref="Q92">_xlfn.LET(_xlpm.cd,INDEX($S:$S,ROW()),IF(_xlpm.cd="","",IFERROR(_xlfn.XLOOKUP(_xlpm.cd,CostData!$C$22:$C$1000,CostData!$B$22:$B$1000,""),"")))</f>
        <v>Aluminium</v>
      </c>
      <c r="R92" s="16" t="s">
        <v>1863</v>
      </c>
      <c r="S92" s="24" t="s">
        <v>1974</v>
      </c>
      <c r="T92" s="1" t="str" cm="1">
        <f t="array" ref="T92">_xlfn.LET(_xlpm.cd,INDEX($S:$S,ROW()),IF(_xlpm.cd="","",IFERROR(_xlfn.XLOOKUP(_xlpm.cd,CostData!$C$22:$C$1000,CostData!$E$22:$E$1000,""),"")))</f>
        <v>Outer</v>
      </c>
      <c r="U92" s="1" t="s">
        <v>103</v>
      </c>
      <c r="V92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78</v>
      </c>
      <c r="W92" s="400" cm="1">
        <f t="array" ref="W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26.14</v>
      </c>
    </row>
    <row r="93" spans="1:23" x14ac:dyDescent="0.25">
      <c r="A93" s="275" t="s">
        <v>254</v>
      </c>
      <c r="B93" s="370" t="s">
        <v>382</v>
      </c>
      <c r="C93" s="370" t="s">
        <v>1992</v>
      </c>
      <c r="D93" s="370" t="s">
        <v>1793</v>
      </c>
      <c r="E93" s="370" t="str">
        <v>Z-Louvre Blade - 5"</v>
      </c>
      <c r="F93" s="370" t="s">
        <v>1962</v>
      </c>
      <c r="M93" s="411">
        <v>0.54649999999999999</v>
      </c>
      <c r="N93" s="370">
        <v>914.4</v>
      </c>
      <c r="O93" s="370" t="s">
        <v>1959</v>
      </c>
      <c r="P93" s="1" t="str" cm="1">
        <f t="array" ref="P93">_xlfn.LET(_xlpm.a,INDEX($A:$A,ROW()),_xlpm.c,INDEX($C:$C,ROW()),_xlpm.v,INDEX($V:$V,ROW()),_xlpm.cd,UPPER(TRIM(INDEX($S:$S,ROW()))),_xlpm.sel,UPPER(TRIM(Enginuity!$A$21)),_xlpm.isFamily,_xlfn.SWITCH(_xlpm.sel,"CURTAIN WALL",LEFT(_xlpm.cd,4)="CTW-","SF 2""",LEFT(_xlpm.cd,4)="SF2-","SF 3""",LEFT(_xlpm.cd,4)="SF3-","SF 4""",LEFT(_xlpm.cd,4)="SF4-","Z-LOUVRE BLADE - 2""",FALSE,"Z-LOUVRE BLADE - 5""",FALSE,FALSE),IF(OR(TRIM(_xlpm.a)&lt;&gt;TRIM(Enginuity!$A$1),TRIM(_xlpm.c)&lt;&gt;TRIM(Enginuity!$A$18),_xlpm.v="",_xlpm.v=0,NOT(_xlpm.isFamily)),"",ROW()))</f>
        <v/>
      </c>
      <c r="Q93" s="1" t="str" cm="1">
        <f t="array" ref="Q93">_xlfn.LET(_xlpm.cd,INDEX($S:$S,ROW()),IF(_xlpm.cd="","",IFERROR(_xlfn.XLOOKUP(_xlpm.cd,CostData!$C$22:$C$1000,CostData!$B$22:$B$1000,""),"")))</f>
        <v>Aluminium</v>
      </c>
      <c r="R93" s="16" t="s">
        <v>1862</v>
      </c>
      <c r="S93" s="24" t="s">
        <v>1974</v>
      </c>
      <c r="T93" s="1" t="str" cm="1">
        <f t="array" ref="T93">_xlfn.LET(_xlpm.cd,INDEX($S:$S,ROW()),IF(_xlpm.cd="","",IFERROR(_xlfn.XLOOKUP(_xlpm.cd,CostData!$C$22:$C$1000,CostData!$E$22:$E$1000,""),"")))</f>
        <v>Outer</v>
      </c>
      <c r="U93" s="1" t="s">
        <v>103</v>
      </c>
      <c r="V93" s="1">
        <f>_xlfn.LET(_xlpm.w,Enginuity!$B$6,_xlpm.h,Enginuity!$B$7,_xlpm.hLimFT,11.811,_xlpm.hCount,MAX(ROUNDUP(_xlpm.h/_xlpm.hLimFT,0)-1,0),_xlpm.tot,_xlpm.hCount*_xlpm.w,IF(_xlpm.tot=0,"",_xlpm.tot))</f>
        <v>20</v>
      </c>
      <c r="W93" s="400" cm="1">
        <f t="array" ref="W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26.14</v>
      </c>
    </row>
    <row r="94" spans="1:23" x14ac:dyDescent="0.25">
      <c r="A94" s="275" t="s">
        <v>254</v>
      </c>
      <c r="B94" s="370" t="s">
        <v>1847</v>
      </c>
      <c r="C94" s="370" t="s">
        <v>1992</v>
      </c>
      <c r="D94" s="370" t="s">
        <v>1815</v>
      </c>
      <c r="E94" s="370" t="str">
        <v/>
      </c>
      <c r="F94" s="370" t="s">
        <v>1963</v>
      </c>
      <c r="M94" s="411">
        <v>0.54649999999999999</v>
      </c>
      <c r="N94" s="370">
        <v>914.4</v>
      </c>
      <c r="O94" s="370" t="s">
        <v>1960</v>
      </c>
      <c r="P94" s="1" t="str" cm="1">
        <f t="array" ref="P94">_xlfn.LET(_xlpm.a,INDEX($A:$A,ROW()),_xlpm.c,INDEX($C:$C,ROW()),_xlpm.v,INDEX($V:$V,ROW()),_xlpm.cd,UPPER(TRIM(INDEX($S:$S,ROW()))),_xlpm.sel,UPPER(TRIM(Enginuity!$A$21)),_xlpm.isFamily,_xlfn.SWITCH(_xlpm.sel,"CURTAIN WALL",LEFT(_xlpm.cd,4)="CTW-","SF 2""",LEFT(_xlpm.cd,4)="SF2-","SF 3""",LEFT(_xlpm.cd,4)="SF3-","SF 4""",LEFT(_xlpm.cd,4)="SF4-","Z-LOUVRE BLADE - 2""",FALSE,"Z-LOUVRE BLADE - 5""",FALSE,FALSE),IF(OR(TRIM(_xlpm.a)&lt;&gt;TRIM(Enginuity!$A$1),TRIM(_xlpm.c)&lt;&gt;TRIM(Enginuity!$A$18),_xlpm.v="",_xlpm.v=0,NOT(_xlpm.isFamily)),"",ROW()))</f>
        <v/>
      </c>
      <c r="Q94" s="1" t="str" cm="1">
        <f t="array" ref="Q94">_xlfn.LET(_xlpm.cd,INDEX($S:$S,ROW()),IF(_xlpm.cd="","",IFERROR(_xlfn.XLOOKUP(_xlpm.cd,CostData!$C$22:$C$1000,CostData!$B$22:$B$1000,""),"")))</f>
        <v>Aluminium</v>
      </c>
      <c r="R94" s="16" t="s">
        <v>1812</v>
      </c>
      <c r="S94" s="24" t="s">
        <v>1955</v>
      </c>
      <c r="T94" s="1" t="str" cm="1">
        <f t="array" ref="T94">_xlfn.LET(_xlpm.cd,INDEX($S:$S,ROW()),IF(_xlpm.cd="","",IFERROR(_xlfn.XLOOKUP(_xlpm.cd,CostData!$C$22:$C$1000,CostData!$E$22:$E$1000,""),"")))</f>
        <v>Outer / Innner</v>
      </c>
      <c r="U94" s="1" t="s">
        <v>103</v>
      </c>
      <c r="V94" s="1">
        <f>_xlfn.LET(_xlpm.w,Enginuity!$B$6,_xlpm.h,Enginuity!$B$7,_xlpm.tot,(2*_xlpm.w)+(2*_xlpm.h),IF(_xlpm.tot=0,"",_xlpm.tot))</f>
        <v>66</v>
      </c>
      <c r="W94" s="400" cm="1">
        <f t="array" ref="W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9.31</v>
      </c>
    </row>
    <row r="95" spans="1:23" x14ac:dyDescent="0.25">
      <c r="A95" s="275" t="s">
        <v>254</v>
      </c>
      <c r="C95" s="370" t="s">
        <v>1992</v>
      </c>
      <c r="E95" s="370" t="str">
        <v/>
      </c>
      <c r="F95" s="370" t="s">
        <v>1964</v>
      </c>
      <c r="M95" s="411">
        <v>0.54649999999999999</v>
      </c>
      <c r="N95" s="370">
        <v>914.4</v>
      </c>
      <c r="O95" s="370" t="s">
        <v>1961</v>
      </c>
      <c r="P95" s="1" t="str" cm="1">
        <f t="array" ref="P95">_xlfn.LET(_xlpm.a,INDEX($A:$A,ROW()),_xlpm.c,INDEX($C:$C,ROW()),_xlpm.v,INDEX($V:$V,ROW()),_xlpm.cd,UPPER(TRIM(INDEX($S:$S,ROW()))),_xlpm.sel,UPPER(TRIM(Enginuity!$A$21)),_xlpm.isFamily,_xlfn.SWITCH(_xlpm.sel,"CURTAIN WALL",LEFT(_xlpm.cd,4)="CTW-","SF 2""",LEFT(_xlpm.cd,4)="SF2-","SF 3""",LEFT(_xlpm.cd,4)="SF3-","SF 4""",LEFT(_xlpm.cd,4)="SF4-","Z-LOUVRE BLADE - 2""",FALSE,"Z-LOUVRE BLADE - 5""",FALSE,FALSE),IF(OR(TRIM(_xlpm.a)&lt;&gt;TRIM(Enginuity!$A$1),TRIM(_xlpm.c)&lt;&gt;TRIM(Enginuity!$A$18),_xlpm.v="",_xlpm.v=0,NOT(_xlpm.isFamily)),"",ROW()))</f>
        <v/>
      </c>
      <c r="Q95" s="1" t="str" cm="1">
        <f t="array" ref="Q95">_xlfn.LET(_xlpm.cd,INDEX($S:$S,ROW()),IF(_xlpm.cd="","",IFERROR(_xlfn.XLOOKUP(_xlpm.cd,CostData!$C$22:$C$1000,CostData!$B$22:$B$1000,""),"")))</f>
        <v>Aluminium</v>
      </c>
      <c r="R95" s="16" t="s">
        <v>1863</v>
      </c>
      <c r="S95" s="24" t="s">
        <v>1955</v>
      </c>
      <c r="T95" s="1" t="str" cm="1">
        <f t="array" ref="T95">_xlfn.LET(_xlpm.cd,INDEX($S:$S,ROW()),IF(_xlpm.cd="","",IFERROR(_xlfn.XLOOKUP(_xlpm.cd,CostData!$C$22:$C$1000,CostData!$E$22:$E$1000,""),"")))</f>
        <v>Outer / Innner</v>
      </c>
      <c r="U95" s="1" t="s">
        <v>103</v>
      </c>
      <c r="V95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78</v>
      </c>
      <c r="W95" s="400" cm="1">
        <f t="array" ref="W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9.31</v>
      </c>
    </row>
    <row r="96" spans="1:23" x14ac:dyDescent="0.25">
      <c r="A96" s="275" t="s">
        <v>254</v>
      </c>
      <c r="C96" s="370" t="s">
        <v>1992</v>
      </c>
      <c r="E96" s="370" t="str">
        <v/>
      </c>
      <c r="F96" s="370" t="s">
        <v>1972</v>
      </c>
      <c r="M96" s="411">
        <v>0.54649999999999999</v>
      </c>
      <c r="N96" s="370">
        <v>1000</v>
      </c>
      <c r="O96" s="370" t="s">
        <v>1970</v>
      </c>
      <c r="P96" s="1" t="str" cm="1">
        <f t="array" ref="P96">_xlfn.LET(_xlpm.a,INDEX($A:$A,ROW()),_xlpm.c,INDEX($C:$C,ROW()),_xlpm.v,INDEX($V:$V,ROW()),_xlpm.cd,UPPER(TRIM(INDEX($S:$S,ROW()))),_xlpm.sel,UPPER(TRIM(Enginuity!$A$21)),_xlpm.isFamily,_xlfn.SWITCH(_xlpm.sel,"CURTAIN WALL",LEFT(_xlpm.cd,4)="CTW-","SF 2""",LEFT(_xlpm.cd,4)="SF2-","SF 3""",LEFT(_xlpm.cd,4)="SF3-","SF 4""",LEFT(_xlpm.cd,4)="SF4-","Z-LOUVRE BLADE - 2""",FALSE,"Z-LOUVRE BLADE - 5""",FALSE,FALSE),IF(OR(TRIM(_xlpm.a)&lt;&gt;TRIM(Enginuity!$A$1),TRIM(_xlpm.c)&lt;&gt;TRIM(Enginuity!$A$18),_xlpm.v="",_xlpm.v=0,NOT(_xlpm.isFamily)),"",ROW()))</f>
        <v/>
      </c>
      <c r="Q96" s="1" t="str" cm="1">
        <f t="array" ref="Q96">_xlfn.LET(_xlpm.cd,INDEX($S:$S,ROW()),IF(_xlpm.cd="","",IFERROR(_xlfn.XLOOKUP(_xlpm.cd,CostData!$C$22:$C$1000,CostData!$B$22:$B$1000,""),"")))</f>
        <v>Aluminium</v>
      </c>
      <c r="R96" s="16" t="s">
        <v>1862</v>
      </c>
      <c r="S96" s="24" t="s">
        <v>1955</v>
      </c>
      <c r="T96" s="1" t="str" cm="1">
        <f t="array" ref="T96">_xlfn.LET(_xlpm.cd,INDEX($S:$S,ROW()),IF(_xlpm.cd="","",IFERROR(_xlfn.XLOOKUP(_xlpm.cd,CostData!$C$22:$C$1000,CostData!$E$22:$E$1000,""),"")))</f>
        <v>Outer / Innner</v>
      </c>
      <c r="U96" s="1" t="s">
        <v>103</v>
      </c>
      <c r="V96" s="1">
        <f>_xlfn.LET(_xlpm.w,Enginuity!$B$6,_xlpm.h,Enginuity!$B$7,_xlpm.tot,IF(_xlpm.h&gt;8,_xlpm.w,0),IF(_xlpm.tot=0,"",_xlpm.tot))</f>
        <v>20</v>
      </c>
      <c r="W96" s="400" cm="1">
        <f t="array" ref="W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9.31</v>
      </c>
    </row>
    <row r="97" spans="1:23" x14ac:dyDescent="0.25">
      <c r="A97" s="275" t="s">
        <v>254</v>
      </c>
      <c r="C97" s="370" t="s">
        <v>1992</v>
      </c>
      <c r="E97" s="370" t="str">
        <v/>
      </c>
      <c r="F97" s="370" t="s">
        <v>1973</v>
      </c>
      <c r="M97" s="411">
        <v>0.54649999999999999</v>
      </c>
      <c r="N97" s="370">
        <v>1000</v>
      </c>
      <c r="O97" s="370" t="s">
        <v>1971</v>
      </c>
      <c r="P97" s="1" t="str" cm="1">
        <f t="array" ref="P97">_xlfn.LET(_xlpm.a,INDEX($A:$A,ROW()),_xlpm.c,INDEX($C:$C,ROW()),_xlpm.v,INDEX($V:$V,ROW()),_xlpm.cd,UPPER(TRIM(INDEX($S:$S,ROW()))),_xlpm.sel,UPPER(TRIM(Enginuity!$A$21)),_xlpm.isFamily,_xlfn.SWITCH(_xlpm.sel,"CURTAIN WALL",LEFT(_xlpm.cd,4)="CTW-","SF 2""",LEFT(_xlpm.cd,4)="SF2-","SF 3""",LEFT(_xlpm.cd,4)="SF3-","SF 4""",LEFT(_xlpm.cd,4)="SF4-","Z-LOUVRE BLADE - 2""",FALSE,"Z-LOUVRE BLADE - 5""",FALSE,FALSE),IF(OR(TRIM(_xlpm.a)&lt;&gt;TRIM(Enginuity!$A$1),TRIM(_xlpm.c)&lt;&gt;TRIM(Enginuity!$A$18),_xlpm.v="",_xlpm.v=0,NOT(_xlpm.isFamily)),"",ROW()))</f>
        <v/>
      </c>
      <c r="Q97" s="1" t="str" cm="1">
        <f t="array" ref="Q97">_xlfn.LET(_xlpm.cd,INDEX($S:$S,ROW()),IF(_xlpm.cd="","",IFERROR(_xlfn.XLOOKUP(_xlpm.cd,CostData!$C$22:$C$1000,CostData!$B$22:$B$1000,""),"")))</f>
        <v>Aluminium</v>
      </c>
      <c r="R97" s="16" t="s">
        <v>1812</v>
      </c>
      <c r="S97" s="24" t="s">
        <v>1942</v>
      </c>
      <c r="T97" s="1" t="str" cm="1">
        <f t="array" ref="T97">_xlfn.LET(_xlpm.cd,INDEX($S:$S,ROW()),IF(_xlpm.cd="","",IFERROR(_xlfn.XLOOKUP(_xlpm.cd,CostData!$C$22:$C$1000,CostData!$E$22:$E$1000,""),"")))</f>
        <v>Outer / Innner</v>
      </c>
      <c r="U97" s="1" t="s">
        <v>103</v>
      </c>
      <c r="V97" s="1">
        <f>_xlfn.LET(_xlpm.w,Enginuity!$B$6,_xlpm.h,Enginuity!$B$7,_xlpm.tot,(2*_xlpm.w)+(2*_xlpm.h),IF(_xlpm.tot=0,"",_xlpm.tot))</f>
        <v>66</v>
      </c>
      <c r="W97" s="400" cm="1">
        <f t="array" ref="W9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11.47</v>
      </c>
    </row>
    <row r="98" spans="1:23" x14ac:dyDescent="0.25">
      <c r="A98" s="275" t="s">
        <v>254</v>
      </c>
      <c r="C98" s="370" t="s">
        <v>1992</v>
      </c>
      <c r="E98" s="370" t="str">
        <v/>
      </c>
      <c r="M98" s="411"/>
      <c r="P98" s="1" t="str" cm="1">
        <f t="array" ref="P98">_xlfn.LET(_xlpm.a,INDEX($A:$A,ROW()),_xlpm.c,INDEX($C:$C,ROW()),_xlpm.v,INDEX($V:$V,ROW()),_xlpm.cd,UPPER(TRIM(INDEX($S:$S,ROW()))),_xlpm.sel,UPPER(TRIM(Enginuity!$A$21)),_xlpm.isFamily,_xlfn.SWITCH(_xlpm.sel,"CURTAIN WALL",LEFT(_xlpm.cd,4)="CTW-","SF 2""",LEFT(_xlpm.cd,4)="SF2-","SF 3""",LEFT(_xlpm.cd,4)="SF3-","SF 4""",LEFT(_xlpm.cd,4)="SF4-","Z-LOUVRE BLADE - 2""",FALSE,"Z-LOUVRE BLADE - 5""",FALSE,FALSE),IF(OR(TRIM(_xlpm.a)&lt;&gt;TRIM(Enginuity!$A$1),TRIM(_xlpm.c)&lt;&gt;TRIM(Enginuity!$A$18),_xlpm.v="",_xlpm.v=0,NOT(_xlpm.isFamily)),"",ROW()))</f>
        <v/>
      </c>
      <c r="Q98" s="1" t="str" cm="1">
        <f t="array" ref="Q98">_xlfn.LET(_xlpm.cd,INDEX($S:$S,ROW()),IF(_xlpm.cd="","",IFERROR(_xlfn.XLOOKUP(_xlpm.cd,CostData!$C$22:$C$1000,CostData!$B$22:$B$1000,""),"")))</f>
        <v>Aluminium</v>
      </c>
      <c r="R98" s="16" t="s">
        <v>1863</v>
      </c>
      <c r="S98" s="24" t="s">
        <v>1942</v>
      </c>
      <c r="T98" s="1" t="str" cm="1">
        <f t="array" ref="T98">_xlfn.LET(_xlpm.cd,INDEX($S:$S,ROW()),IF(_xlpm.cd="","",IFERROR(_xlfn.XLOOKUP(_xlpm.cd,CostData!$C$22:$C$1000,CostData!$E$22:$E$1000,""),"")))</f>
        <v>Outer / Innner</v>
      </c>
      <c r="U98" s="1" t="s">
        <v>103</v>
      </c>
      <c r="V98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78</v>
      </c>
      <c r="W98" s="400" cm="1">
        <f t="array" ref="W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11.47</v>
      </c>
    </row>
    <row r="99" spans="1:23" x14ac:dyDescent="0.25">
      <c r="A99" s="275" t="s">
        <v>254</v>
      </c>
      <c r="C99" s="370" t="s">
        <v>1992</v>
      </c>
      <c r="E99" s="370" t="str">
        <v/>
      </c>
      <c r="P99" s="1" t="str" cm="1">
        <f t="array" ref="P99">_xlfn.LET(_xlpm.a,INDEX($A:$A,ROW()),_xlpm.c,INDEX($C:$C,ROW()),_xlpm.v,INDEX($V:$V,ROW()),_xlpm.cd,UPPER(TRIM(INDEX($S:$S,ROW()))),_xlpm.sel,UPPER(TRIM(Enginuity!$A$21)),_xlpm.isFamily,_xlfn.SWITCH(_xlpm.sel,"CURTAIN WALL",LEFT(_xlpm.cd,4)="CTW-","SF 2""",LEFT(_xlpm.cd,4)="SF2-","SF 3""",LEFT(_xlpm.cd,4)="SF3-","SF 4""",LEFT(_xlpm.cd,4)="SF4-","Z-LOUVRE BLADE - 2""",FALSE,"Z-LOUVRE BLADE - 5""",FALSE,FALSE),IF(OR(TRIM(_xlpm.a)&lt;&gt;TRIM(Enginuity!$A$1),TRIM(_xlpm.c)&lt;&gt;TRIM(Enginuity!$A$18),_xlpm.v="",_xlpm.v=0,NOT(_xlpm.isFamily)),"",ROW()))</f>
        <v/>
      </c>
      <c r="Q99" s="1" t="str" cm="1">
        <f t="array" ref="Q99">_xlfn.LET(_xlpm.cd,INDEX($S:$S,ROW()),IF(_xlpm.cd="","",IFERROR(_xlfn.XLOOKUP(_xlpm.cd,CostData!$C$22:$C$1000,CostData!$B$22:$B$1000,""),"")))</f>
        <v>Aluminium</v>
      </c>
      <c r="R99" s="16" t="s">
        <v>1862</v>
      </c>
      <c r="S99" s="24" t="s">
        <v>1942</v>
      </c>
      <c r="T99" s="1" t="str" cm="1">
        <f t="array" ref="T99">_xlfn.LET(_xlpm.cd,INDEX($S:$S,ROW()),IF(_xlpm.cd="","",IFERROR(_xlfn.XLOOKUP(_xlpm.cd,CostData!$C$22:$C$1000,CostData!$E$22:$E$1000,""),"")))</f>
        <v>Outer / Innner</v>
      </c>
      <c r="U99" s="1" t="s">
        <v>103</v>
      </c>
      <c r="V99" s="1">
        <f>_xlfn.LET(_xlpm.w,Enginuity!$B$6,_xlpm.h,Enginuity!$B$7,_xlpm.tot,IF(_xlpm.h&gt;8,_xlpm.w,0),IF(_xlpm.tot=0,"",_xlpm.tot))</f>
        <v>20</v>
      </c>
      <c r="W99" s="400" cm="1">
        <f t="array" ref="W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11.47</v>
      </c>
    </row>
    <row r="100" spans="1:23" x14ac:dyDescent="0.25">
      <c r="A100" s="275" t="s">
        <v>254</v>
      </c>
      <c r="C100" s="370" t="s">
        <v>1992</v>
      </c>
      <c r="E100" s="370" t="str">
        <v/>
      </c>
      <c r="P100" s="1" cm="1">
        <f t="array" ref="P100">_xlfn.LET(_xlpm.a,INDEX($A:$A,ROW()),_xlpm.c,INDEX($C:$C,ROW()),_xlpm.v,INDEX($V:$V,ROW()),_xlpm.cd,UPPER(TRIM(INDEX($S:$S,ROW()))),_xlpm.sel,UPPER(TRIM(Enginuity!$A$21)),_xlpm.isFamily,_xlfn.SWITCH(_xlpm.sel,"CURTAIN WALL",LEFT(_xlpm.cd,4)="CTW-","SF 2""",LEFT(_xlpm.cd,4)="SF2-","SF 3""",LEFT(_xlpm.cd,4)="SF3-","SF 4""",LEFT(_xlpm.cd,4)="SF4-","Z-LOUVRE BLADE - 2""",FALSE,"Z-LOUVRE BLADE - 5""",FALSE,FALSE),IF(OR(TRIM(_xlpm.a)&lt;&gt;TRIM(Enginuity!$A$1),TRIM(_xlpm.c)&lt;&gt;TRIM(Enginuity!$A$18),_xlpm.v="",_xlpm.v=0,NOT(_xlpm.isFamily)),"",ROW()))</f>
        <v>100</v>
      </c>
      <c r="Q100" s="1" t="str" cm="1">
        <f t="array" ref="Q100">_xlfn.LET(_xlpm.cd,INDEX($S:$S,ROW()),IF(_xlpm.cd="","",IFERROR(_xlfn.XLOOKUP(_xlpm.cd,CostData!$C$22:$C$1000,CostData!$B$22:$B$1000,""),"")))</f>
        <v>Aluminium</v>
      </c>
      <c r="R100" s="16" t="s">
        <v>1812</v>
      </c>
      <c r="S100" s="24" t="s">
        <v>1950</v>
      </c>
      <c r="T100" s="1" t="str" cm="1">
        <f t="array" ref="T100">_xlfn.LET(_xlpm.cd,INDEX($S:$S,ROW()),IF(_xlpm.cd="","",IFERROR(_xlfn.XLOOKUP(_xlpm.cd,CostData!$C$22:$C$1000,CostData!$E$22:$E$1000,""),"")))</f>
        <v>Outer / Innner</v>
      </c>
      <c r="U100" s="1" t="s">
        <v>103</v>
      </c>
      <c r="V100" s="1">
        <f>_xlfn.LET(_xlpm.w,Enginuity!$B$6,_xlpm.h,Enginuity!$B$7,_xlpm.tot,(2*_xlpm.w)+(2*_xlpm.h),IF(_xlpm.tot=0,"",_xlpm.tot))</f>
        <v>66</v>
      </c>
      <c r="W100" s="400" cm="1">
        <f t="array" ref="W1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13.89</v>
      </c>
    </row>
    <row r="101" spans="1:23" x14ac:dyDescent="0.25">
      <c r="A101" s="275" t="s">
        <v>254</v>
      </c>
      <c r="C101" s="370" t="s">
        <v>1992</v>
      </c>
      <c r="P101" s="1" cm="1">
        <f t="array" ref="P101">_xlfn.LET(_xlpm.a,INDEX($A:$A,ROW()),_xlpm.c,INDEX($C:$C,ROW()),_xlpm.v,INDEX($V:$V,ROW()),_xlpm.cd,UPPER(TRIM(INDEX($S:$S,ROW()))),_xlpm.sel,UPPER(TRIM(Enginuity!$A$21)),_xlpm.isFamily,_xlfn.SWITCH(_xlpm.sel,"CURTAIN WALL",LEFT(_xlpm.cd,4)="CTW-","SF 2""",LEFT(_xlpm.cd,4)="SF2-","SF 3""",LEFT(_xlpm.cd,4)="SF3-","SF 4""",LEFT(_xlpm.cd,4)="SF4-","Z-LOUVRE BLADE - 2""",FALSE,"Z-LOUVRE BLADE - 5""",FALSE,FALSE),IF(OR(TRIM(_xlpm.a)&lt;&gt;TRIM(Enginuity!$A$1),TRIM(_xlpm.c)&lt;&gt;TRIM(Enginuity!$A$18),_xlpm.v="",_xlpm.v=0,NOT(_xlpm.isFamily)),"",ROW()))</f>
        <v>101</v>
      </c>
      <c r="Q101" s="1" t="str" cm="1">
        <f t="array" ref="Q101">_xlfn.LET(_xlpm.cd,INDEX($S:$S,ROW()),IF(_xlpm.cd="","",IFERROR(_xlfn.XLOOKUP(_xlpm.cd,CostData!$C$22:$C$1000,CostData!$B$22:$B$1000,""),"")))</f>
        <v>Aluminium</v>
      </c>
      <c r="R101" s="16" t="s">
        <v>1863</v>
      </c>
      <c r="S101" s="24" t="s">
        <v>1950</v>
      </c>
      <c r="T101" s="1" t="str" cm="1">
        <f t="array" ref="T101">_xlfn.LET(_xlpm.cd,INDEX($S:$S,ROW()),IF(_xlpm.cd="","",IFERROR(_xlfn.XLOOKUP(_xlpm.cd,CostData!$C$22:$C$1000,CostData!$E$22:$E$1000,""),"")))</f>
        <v>Outer / Innner</v>
      </c>
      <c r="U101" s="1" t="s">
        <v>103</v>
      </c>
      <c r="V101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78</v>
      </c>
      <c r="W101" s="400" cm="1">
        <f t="array" ref="W1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13.89</v>
      </c>
    </row>
    <row r="102" spans="1:23" x14ac:dyDescent="0.25">
      <c r="A102" s="275" t="s">
        <v>254</v>
      </c>
      <c r="C102" s="370" t="s">
        <v>1992</v>
      </c>
      <c r="P102" s="1" cm="1">
        <f t="array" ref="P102">_xlfn.LET(_xlpm.a,INDEX($A:$A,ROW()),_xlpm.c,INDEX($C:$C,ROW()),_xlpm.v,INDEX($V:$V,ROW()),_xlpm.cd,UPPER(TRIM(INDEX($S:$S,ROW()))),_xlpm.sel,UPPER(TRIM(Enginuity!$A$21)),_xlpm.isFamily,_xlfn.SWITCH(_xlpm.sel,"CURTAIN WALL",LEFT(_xlpm.cd,4)="CTW-","SF 2""",LEFT(_xlpm.cd,4)="SF2-","SF 3""",LEFT(_xlpm.cd,4)="SF3-","SF 4""",LEFT(_xlpm.cd,4)="SF4-","Z-LOUVRE BLADE - 2""",FALSE,"Z-LOUVRE BLADE - 5""",FALSE,FALSE),IF(OR(TRIM(_xlpm.a)&lt;&gt;TRIM(Enginuity!$A$1),TRIM(_xlpm.c)&lt;&gt;TRIM(Enginuity!$A$18),_xlpm.v="",_xlpm.v=0,NOT(_xlpm.isFamily)),"",ROW()))</f>
        <v>102</v>
      </c>
      <c r="Q102" s="1" t="str" cm="1">
        <f t="array" ref="Q102">_xlfn.LET(_xlpm.cd,INDEX($S:$S,ROW()),IF(_xlpm.cd="","",IFERROR(_xlfn.XLOOKUP(_xlpm.cd,CostData!$C$22:$C$1000,CostData!$B$22:$B$1000,""),"")))</f>
        <v>Aluminium</v>
      </c>
      <c r="R102" s="16" t="s">
        <v>1862</v>
      </c>
      <c r="S102" s="24" t="s">
        <v>1950</v>
      </c>
      <c r="T102" s="1" t="str" cm="1">
        <f t="array" ref="T102">_xlfn.LET(_xlpm.cd,INDEX($S:$S,ROW()),IF(_xlpm.cd="","",IFERROR(_xlfn.XLOOKUP(_xlpm.cd,CostData!$C$22:$C$1000,CostData!$E$22:$E$1000,""),"")))</f>
        <v>Outer / Innner</v>
      </c>
      <c r="U102" s="1" t="s">
        <v>103</v>
      </c>
      <c r="V102" s="1">
        <f>_xlfn.LET(_xlpm.w,Enginuity!$B$6,_xlpm.h,Enginuity!$B$7,_xlpm.tot,IF(_xlpm.h&gt;8,_xlpm.w,0),IF(_xlpm.tot=0,"",_xlpm.tot))</f>
        <v>20</v>
      </c>
      <c r="W102" s="400" cm="1">
        <f t="array" ref="W1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13.89</v>
      </c>
    </row>
    <row r="103" spans="1:23" x14ac:dyDescent="0.25">
      <c r="A103" s="275" t="s">
        <v>254</v>
      </c>
      <c r="C103" s="370" t="s">
        <v>1992</v>
      </c>
      <c r="P103" s="1" t="str" cm="1">
        <f t="array" ref="P103">_xlfn.LET(_xlpm.a,INDEX($A:$A,ROW()),_xlpm.c,INDEX($C:$C,ROW()),_xlpm.v,INDEX($V:$V,ROW()),_xlpm.cd,UPPER(TRIM(INDEX($S:$S,ROW()))),_xlpm.sel,UPPER(TRIM(Enginuity!$A$21)),_xlpm.isFamily,_xlfn.SWITCH(_xlpm.sel,"CURTAIN WALL",LEFT(_xlpm.cd,4)="CTW-","SF 2""",LEFT(_xlpm.cd,4)="SF2-","SF 3""",LEFT(_xlpm.cd,4)="SF3-","SF 4""",LEFT(_xlpm.cd,4)="SF4-","Z-LOUVRE BLADE - 2""",FALSE,"Z-LOUVRE BLADE - 5""",FALSE,FALSE),IF(OR(TRIM(_xlpm.a)&lt;&gt;TRIM(Enginuity!$A$1),TRIM(_xlpm.c)&lt;&gt;TRIM(Enginuity!$A$18),_xlpm.v="",_xlpm.v=0,NOT(_xlpm.isFamily)),"",ROW()))</f>
        <v/>
      </c>
      <c r="Q103" s="1" t="str" cm="1">
        <f t="array" ref="Q103">_xlfn.LET(_xlpm.cd,INDEX($S:$S,ROW()),IF(_xlpm.cd="","",IFERROR(_xlfn.XLOOKUP(_xlpm.cd,CostData!$C$22:$C$1000,CostData!$B$22:$B$1000,""),"")))</f>
        <v>Aluminium</v>
      </c>
      <c r="R103" s="16" t="s">
        <v>1812</v>
      </c>
      <c r="S103" s="24" t="s">
        <v>1967</v>
      </c>
      <c r="T103" s="1" t="str" cm="1">
        <f t="array" ref="T103">_xlfn.LET(_xlpm.cd,INDEX($S:$S,ROW()),IF(_xlpm.cd="","",IFERROR(_xlfn.XLOOKUP(_xlpm.cd,CostData!$C$22:$C$1000,CostData!$E$22:$E$1000,""),"")))</f>
        <v>Outer / Mullion</v>
      </c>
      <c r="U103" s="1" t="s">
        <v>103</v>
      </c>
      <c r="V103" s="1">
        <f>_xlfn.LET(_xlpm.w,Enginuity!$B$6,_xlpm.h,Enginuity!$B$7,_xlpm.tot,(2*_xlpm.w)+(2*_xlpm.h),IF(_xlpm.tot=0,"",_xlpm.tot))</f>
        <v>66</v>
      </c>
      <c r="W103" s="400" cm="1">
        <f t="array" ref="W1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4.79</v>
      </c>
    </row>
    <row r="104" spans="1:23" x14ac:dyDescent="0.25">
      <c r="A104" s="275" t="s">
        <v>254</v>
      </c>
      <c r="C104" s="370" t="s">
        <v>1992</v>
      </c>
      <c r="P104" s="1" t="str" cm="1">
        <f t="array" ref="P104">_xlfn.LET(_xlpm.a,INDEX($A:$A,ROW()),_xlpm.c,INDEX($C:$C,ROW()),_xlpm.v,INDEX($V:$V,ROW()),_xlpm.cd,UPPER(TRIM(INDEX($S:$S,ROW()))),_xlpm.sel,UPPER(TRIM(Enginuity!$A$21)),_xlpm.isFamily,_xlfn.SWITCH(_xlpm.sel,"CURTAIN WALL",LEFT(_xlpm.cd,4)="CTW-","SF 2""",LEFT(_xlpm.cd,4)="SF2-","SF 3""",LEFT(_xlpm.cd,4)="SF3-","SF 4""",LEFT(_xlpm.cd,4)="SF4-","Z-LOUVRE BLADE - 2""",FALSE,"Z-LOUVRE BLADE - 5""",FALSE,FALSE),IF(OR(TRIM(_xlpm.a)&lt;&gt;TRIM(Enginuity!$A$1),TRIM(_xlpm.c)&lt;&gt;TRIM(Enginuity!$A$18),_xlpm.v="",_xlpm.v=0,NOT(_xlpm.isFamily)),"",ROW()))</f>
        <v/>
      </c>
      <c r="Q104" s="1" t="str" cm="1">
        <f t="array" ref="Q104">_xlfn.LET(_xlpm.cd,INDEX($S:$S,ROW()),IF(_xlpm.cd="","",IFERROR(_xlfn.XLOOKUP(_xlpm.cd,CostData!$C$22:$C$1000,CostData!$B$22:$B$1000,""),"")))</f>
        <v>Aluminium</v>
      </c>
      <c r="R104" s="16" t="s">
        <v>1863</v>
      </c>
      <c r="S104" s="24" t="s">
        <v>1967</v>
      </c>
      <c r="T104" s="1" t="str" cm="1">
        <f t="array" ref="T104">_xlfn.LET(_xlpm.cd,INDEX($S:$S,ROW()),IF(_xlpm.cd="","",IFERROR(_xlfn.XLOOKUP(_xlpm.cd,CostData!$C$22:$C$1000,CostData!$E$22:$E$1000,""),"")))</f>
        <v>Outer / Mullion</v>
      </c>
      <c r="U104" s="1" t="s">
        <v>103</v>
      </c>
      <c r="V104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78</v>
      </c>
      <c r="W104" s="400" cm="1">
        <f t="array" ref="W1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4.79</v>
      </c>
    </row>
    <row r="105" spans="1:23" x14ac:dyDescent="0.25">
      <c r="A105" s="275" t="s">
        <v>254</v>
      </c>
      <c r="C105" s="370" t="s">
        <v>1992</v>
      </c>
      <c r="P105" s="1" t="str" cm="1">
        <f t="array" ref="P105">_xlfn.LET(_xlpm.a,INDEX($A:$A,ROW()),_xlpm.c,INDEX($C:$C,ROW()),_xlpm.v,INDEX($V:$V,ROW()),_xlpm.cd,UPPER(TRIM(INDEX($S:$S,ROW()))),_xlpm.sel,UPPER(TRIM(Enginuity!$A$21)),_xlpm.isFamily,_xlfn.SWITCH(_xlpm.sel,"CURTAIN WALL",LEFT(_xlpm.cd,4)="CTW-","SF 2""",LEFT(_xlpm.cd,4)="SF2-","SF 3""",LEFT(_xlpm.cd,4)="SF3-","SF 4""",LEFT(_xlpm.cd,4)="SF4-","Z-LOUVRE BLADE - 2""",FALSE,"Z-LOUVRE BLADE - 5""",FALSE,FALSE),IF(OR(TRIM(_xlpm.a)&lt;&gt;TRIM(Enginuity!$A$1),TRIM(_xlpm.c)&lt;&gt;TRIM(Enginuity!$A$18),_xlpm.v="",_xlpm.v=0,NOT(_xlpm.isFamily)),"",ROW()))</f>
        <v/>
      </c>
      <c r="Q105" s="1" t="str" cm="1">
        <f t="array" ref="Q105">_xlfn.LET(_xlpm.cd,INDEX($S:$S,ROW()),IF(_xlpm.cd="","",IFERROR(_xlfn.XLOOKUP(_xlpm.cd,CostData!$C$22:$C$1000,CostData!$B$22:$B$1000,""),"")))</f>
        <v>Aluminium</v>
      </c>
      <c r="R105" s="16" t="s">
        <v>1862</v>
      </c>
      <c r="S105" s="24" t="s">
        <v>1967</v>
      </c>
      <c r="T105" s="1" t="str" cm="1">
        <f t="array" ref="T105">_xlfn.LET(_xlpm.cd,INDEX($S:$S,ROW()),IF(_xlpm.cd="","",IFERROR(_xlfn.XLOOKUP(_xlpm.cd,CostData!$C$22:$C$1000,CostData!$E$22:$E$1000,""),"")))</f>
        <v>Outer / Mullion</v>
      </c>
      <c r="U105" s="1" t="s">
        <v>103</v>
      </c>
      <c r="V105" s="1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>20</v>
      </c>
      <c r="W105" s="400" cm="1">
        <f t="array" ref="W1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4.79</v>
      </c>
    </row>
    <row r="106" spans="1:23" x14ac:dyDescent="0.25">
      <c r="A106" s="275" t="s">
        <v>254</v>
      </c>
      <c r="C106" s="370" t="s">
        <v>1992</v>
      </c>
      <c r="P106" s="1" t="str" cm="1">
        <f t="array" ref="P106">_xlfn.LET(_xlpm.a,INDEX($A:$A,ROW()),_xlpm.c,INDEX($C:$C,ROW()),_xlpm.v,INDEX($V:$V,ROW()),_xlpm.cd,UPPER(TRIM(INDEX($S:$S,ROW()))),_xlpm.sel,UPPER(TRIM(Enginuity!$A$21)),_xlpm.isFamily,_xlfn.SWITCH(_xlpm.sel,"CURTAIN WALL",LEFT(_xlpm.cd,4)="CTW-","SF 2""",LEFT(_xlpm.cd,4)="SF2-","SF 3""",LEFT(_xlpm.cd,4)="SF3-","SF 4""",LEFT(_xlpm.cd,4)="SF4-","Z-LOUVRE BLADE - 2""",FALSE,"Z-LOUVRE BLADE - 5""",FALSE,FALSE),IF(OR(TRIM(_xlpm.a)&lt;&gt;TRIM(Enginuity!$A$1),TRIM(_xlpm.c)&lt;&gt;TRIM(Enginuity!$A$18),_xlpm.v="",_xlpm.v=0,NOT(_xlpm.isFamily)),"",ROW()))</f>
        <v/>
      </c>
      <c r="Q106" s="1" t="str" cm="1">
        <f t="array" ref="Q106">_xlfn.LET(_xlpm.cd,INDEX($S:$S,ROW()),IF(_xlpm.cd="","",IFERROR(_xlfn.XLOOKUP(_xlpm.cd,CostData!$C$22:$C$1000,CostData!$B$22:$B$1000,""),"")))</f>
        <v>Aluminium</v>
      </c>
      <c r="R106" s="16" t="s">
        <v>1812</v>
      </c>
      <c r="S106" s="24" t="s">
        <v>1966</v>
      </c>
      <c r="T106" s="1" t="str" cm="1">
        <f t="array" ref="T106">_xlfn.LET(_xlpm.cd,INDEX($S:$S,ROW()),IF(_xlpm.cd="","",IFERROR(_xlfn.XLOOKUP(_xlpm.cd,CostData!$C$22:$C$1000,CostData!$E$22:$E$1000,""),"")))</f>
        <v>Outer / Mullion</v>
      </c>
      <c r="U106" s="1" t="s">
        <v>103</v>
      </c>
      <c r="V106" s="1">
        <f>_xlfn.LET(_xlpm.w,Enginuity!$B$6,_xlpm.h,Enginuity!$B$7,_xlpm.tot,(2*_xlpm.w)+(2*_xlpm.h),IF(_xlpm.tot=0,"",_xlpm.tot))</f>
        <v>66</v>
      </c>
      <c r="W106" s="400" cm="1">
        <f t="array" ref="W1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6.41</v>
      </c>
    </row>
    <row r="107" spans="1:23" x14ac:dyDescent="0.25">
      <c r="A107" s="275" t="s">
        <v>254</v>
      </c>
      <c r="C107" s="370" t="s">
        <v>1992</v>
      </c>
      <c r="P107" s="1" t="str" cm="1">
        <f t="array" ref="P107">_xlfn.LET(_xlpm.a,INDEX($A:$A,ROW()),_xlpm.c,INDEX($C:$C,ROW()),_xlpm.v,INDEX($V:$V,ROW()),_xlpm.cd,UPPER(TRIM(INDEX($S:$S,ROW()))),_xlpm.sel,UPPER(TRIM(Enginuity!$A$21)),_xlpm.isFamily,_xlfn.SWITCH(_xlpm.sel,"CURTAIN WALL",LEFT(_xlpm.cd,4)="CTW-","SF 2""",LEFT(_xlpm.cd,4)="SF2-","SF 3""",LEFT(_xlpm.cd,4)="SF3-","SF 4""",LEFT(_xlpm.cd,4)="SF4-","Z-LOUVRE BLADE - 2""",FALSE,"Z-LOUVRE BLADE - 5""",FALSE,FALSE),IF(OR(TRIM(_xlpm.a)&lt;&gt;TRIM(Enginuity!$A$1),TRIM(_xlpm.c)&lt;&gt;TRIM(Enginuity!$A$18),_xlpm.v="",_xlpm.v=0,NOT(_xlpm.isFamily)),"",ROW()))</f>
        <v/>
      </c>
      <c r="Q107" s="1" t="str" cm="1">
        <f t="array" ref="Q107">_xlfn.LET(_xlpm.cd,INDEX($S:$S,ROW()),IF(_xlpm.cd="","",IFERROR(_xlfn.XLOOKUP(_xlpm.cd,CostData!$C$22:$C$1000,CostData!$B$22:$B$1000,""),"")))</f>
        <v>Aluminium</v>
      </c>
      <c r="R107" s="16" t="s">
        <v>1863</v>
      </c>
      <c r="S107" s="24" t="s">
        <v>1966</v>
      </c>
      <c r="T107" s="1" t="str" cm="1">
        <f t="array" ref="T107">_xlfn.LET(_xlpm.cd,INDEX($S:$S,ROW()),IF(_xlpm.cd="","",IFERROR(_xlfn.XLOOKUP(_xlpm.cd,CostData!$C$22:$C$1000,CostData!$E$22:$E$1000,""),"")))</f>
        <v>Outer / Mullion</v>
      </c>
      <c r="U107" s="1" t="s">
        <v>103</v>
      </c>
      <c r="V107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78</v>
      </c>
      <c r="W107" s="400" cm="1">
        <f t="array" ref="W1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6.41</v>
      </c>
    </row>
    <row r="108" spans="1:23" x14ac:dyDescent="0.25">
      <c r="A108" s="275" t="s">
        <v>254</v>
      </c>
      <c r="C108" s="370" t="s">
        <v>1992</v>
      </c>
      <c r="P108" s="1" t="str" cm="1">
        <f t="array" ref="P108">_xlfn.LET(_xlpm.a,INDEX($A:$A,ROW()),_xlpm.c,INDEX($C:$C,ROW()),_xlpm.v,INDEX($V:$V,ROW()),_xlpm.cd,UPPER(TRIM(INDEX($S:$S,ROW()))),_xlpm.sel,UPPER(TRIM(Enginuity!$A$21)),_xlpm.isFamily,_xlfn.SWITCH(_xlpm.sel,"CURTAIN WALL",LEFT(_xlpm.cd,4)="CTW-","SF 2""",LEFT(_xlpm.cd,4)="SF2-","SF 3""",LEFT(_xlpm.cd,4)="SF3-","SF 4""",LEFT(_xlpm.cd,4)="SF4-","Z-LOUVRE BLADE - 2""",FALSE,"Z-LOUVRE BLADE - 5""",FALSE,FALSE),IF(OR(TRIM(_xlpm.a)&lt;&gt;TRIM(Enginuity!$A$1),TRIM(_xlpm.c)&lt;&gt;TRIM(Enginuity!$A$18),_xlpm.v="",_xlpm.v=0,NOT(_xlpm.isFamily)),"",ROW()))</f>
        <v/>
      </c>
      <c r="Q108" s="1" t="str" cm="1">
        <f t="array" ref="Q108">_xlfn.LET(_xlpm.cd,INDEX($S:$S,ROW()),IF(_xlpm.cd="","",IFERROR(_xlfn.XLOOKUP(_xlpm.cd,CostData!$C$22:$C$1000,CostData!$B$22:$B$1000,""),"")))</f>
        <v>Aluminium</v>
      </c>
      <c r="R108" s="16" t="s">
        <v>1862</v>
      </c>
      <c r="S108" s="24" t="s">
        <v>1966</v>
      </c>
      <c r="T108" s="1" t="str" cm="1">
        <f t="array" ref="T108">_xlfn.LET(_xlpm.cd,INDEX($S:$S,ROW()),IF(_xlpm.cd="","",IFERROR(_xlfn.XLOOKUP(_xlpm.cd,CostData!$C$22:$C$1000,CostData!$E$22:$E$1000,""),"")))</f>
        <v>Outer / Mullion</v>
      </c>
      <c r="U108" s="1" t="s">
        <v>103</v>
      </c>
      <c r="V108" s="1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>20</v>
      </c>
      <c r="W108" s="400" cm="1">
        <f t="array" ref="W1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6.41</v>
      </c>
    </row>
    <row r="109" spans="1:23" x14ac:dyDescent="0.25">
      <c r="A109" s="275" t="s">
        <v>254</v>
      </c>
      <c r="C109" s="370" t="s">
        <v>1992</v>
      </c>
      <c r="P109" s="1" t="str" cm="1">
        <f t="array" ref="P10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</row>
    <row r="110" spans="1:23" x14ac:dyDescent="0.25">
      <c r="A110" s="275" t="s">
        <v>254</v>
      </c>
      <c r="C110" s="370" t="s">
        <v>1992</v>
      </c>
      <c r="P110" s="1" t="str" cm="1">
        <f t="array" ref="P11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</row>
    <row r="111" spans="1:23" x14ac:dyDescent="0.25">
      <c r="A111" s="275" t="s">
        <v>254</v>
      </c>
      <c r="C111" s="370" t="s">
        <v>1992</v>
      </c>
      <c r="P111" s="1" t="str" cm="1">
        <f t="array" ref="P111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V111" s="1" t="str" cm="1">
        <f t="array" ref="V111">IFERROR(_xlfn.XLOOKUP(1,(TRIM(CostData!$B$22:$B$1000)="Aluminium")*(TRIM(CostData!$C$22:$C$1000)="CWS")*(TRIM(CostData!$E$22:$E$1000)=TRIM($S111)),_xlfn.SWITCH(TRIM(Enginuity!$A$19),"N/A",CostData!$H$22:$H$1000,"M/B",CostData!$I$22:$I$1000,"P/C",CostData!$J$22:$J$1000,"W/G",CostData!$K$22:$K$1000,""),""),"")</f>
        <v/>
      </c>
      <c r="W111" s="400" t="str" cm="1">
        <f t="array" ref="W111">IF(OR(TRIM(CalcEngine!$A111)&lt;&gt;TRIM(Enginuity!$A$1),TRIM(CalcEngine!$C111)&lt;&gt;TRIM(Enginuity!$A$18),CalcEngine!$V111="",CalcEngine!$V111=0),"",IFERROR(_xlfn.XLOOKUP(1,(TRIM(CostData!$B$22:$B$1000)="Aluminium")*(TRIM(CostData!$C$22:$C$1000)="CWS")*(TRIM(CostData!$E$22:$E$1000)=TRIM(CalcEngine!$T111)),_xlfn.SWITCH(TRIM(Enginuity!$A$19),"N/A",CostData!$H$22:$H$1000,"M/B",CostData!$I$22:$I$1000,"P/C",CostData!$J$22:$J$1000,"W/G",CostData!$K$22:$K$1000,""),""),""))</f>
        <v/>
      </c>
    </row>
    <row r="112" spans="1:23" x14ac:dyDescent="0.25">
      <c r="A112" s="275" t="s">
        <v>254</v>
      </c>
      <c r="C112" s="370" t="s">
        <v>1992</v>
      </c>
      <c r="P112" s="1" cm="1">
        <f t="array" ref="P112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>112</v>
      </c>
      <c r="Q112" s="1" t="s">
        <v>1833</v>
      </c>
      <c r="R112" s="16" t="str">
        <f>IF($T112="","","⬒ "&amp;$T112)</f>
        <v>⬒ Z-Louvre Blade - 5"</v>
      </c>
      <c r="T112" s="1" t="str">
        <f>IF(Enginuity!$A$20="","",Enginuity!$A$20)</f>
        <v>Z-Louvre Blade - 5"</v>
      </c>
      <c r="U112" s="1" t="s">
        <v>121</v>
      </c>
      <c r="V112" s="1">
        <f>IF(Enginuity!$B$9="","",Enginuity!$B$9)</f>
        <v>260</v>
      </c>
      <c r="W112" s="400">
        <f>IFERROR(INDEX(CostData!$Q$3:$Q$12,MATCH(TRIM(Enginuity!$A$20),CostData!$P$3:$P$12,0)),"")</f>
        <v>32.037384615384617</v>
      </c>
    </row>
    <row r="113" spans="1:23" x14ac:dyDescent="0.25">
      <c r="A113" s="275" t="s">
        <v>254</v>
      </c>
      <c r="C113" s="370" t="s">
        <v>1992</v>
      </c>
      <c r="P113" s="1" t="str" cm="1">
        <f t="array" ref="P113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3" s="400" t="str" cm="1">
        <f t="array" ref="W11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4" spans="1:23" x14ac:dyDescent="0.25">
      <c r="A114" s="275" t="s">
        <v>254</v>
      </c>
      <c r="C114" s="370" t="s">
        <v>1992</v>
      </c>
      <c r="P114" s="1" t="str" cm="1">
        <f t="array" ref="P114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4" s="400" t="str" cm="1">
        <f t="array" ref="W1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5" spans="1:23" x14ac:dyDescent="0.25">
      <c r="A115" s="275" t="s">
        <v>254</v>
      </c>
      <c r="C115" s="370" t="s">
        <v>1992</v>
      </c>
      <c r="P115" s="1" t="str" cm="1">
        <f t="array" ref="P115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5" s="400" t="str" cm="1">
        <f t="array" ref="W1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6" spans="1:23" x14ac:dyDescent="0.25">
      <c r="A116" s="275" t="s">
        <v>254</v>
      </c>
      <c r="C116" s="370" t="s">
        <v>1992</v>
      </c>
      <c r="P116" s="1" t="str" cm="1">
        <f t="array" ref="P116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6" s="400" t="str" cm="1">
        <f t="array" ref="W1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7" spans="1:23" x14ac:dyDescent="0.25">
      <c r="A117" s="275" t="s">
        <v>254</v>
      </c>
      <c r="C117" s="370" t="s">
        <v>1992</v>
      </c>
      <c r="P117" s="1" cm="1">
        <f t="array" ref="P117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>117</v>
      </c>
      <c r="Q117" s="1" t="str" cm="1">
        <f t="array" ref="Q117">_xlfn.LET(_xlpm.cd,INDEX($S:$S,ROW()),IF(_xlpm.cd="","",IFERROR(_xlfn.XLOOKUP(_xlpm.cd,CostData!$C$22:$C$1000,CostData!$B$22:$B$1000,""),"")))</f>
        <v>Aluminium</v>
      </c>
      <c r="R117" s="16" t="s">
        <v>1977</v>
      </c>
      <c r="S117" s="24" t="s">
        <v>1975</v>
      </c>
      <c r="T117" s="1" t="str" cm="1">
        <f t="array" ref="T117">_xlfn.LET(_xlpm.cd,INDEX($S:$S,ROW()),IF(_xlpm.cd="","",IFERROR(_xlfn.XLOOKUP(_xlpm.cd,CostData!$C$22:$C$1000,CostData!$E$22:$E$1000,""),"")))</f>
        <v>Misc</v>
      </c>
      <c r="U117" s="1" t="s">
        <v>112</v>
      </c>
      <c r="V117" s="1" cm="1">
        <f t="array" ref="V117">_xlfn.LET(
_xlpm.v,TRIM(Enginuity!$A$21),
_xlpm.p,Enginuity!$B$13,
_xlpm.h,Enginuity!$B$7,
_xlpm.ctwLim,11.811,
_xlpm.sfH,IF(_xlpm.h&gt;8,1,0),
_xlpm.ctwH,MAX(ROUNDUP(_xlpm.h/_xlpm.ctwLim,0)-1,0),
_xlpm.hLines,_xlfn.SWITCH(_xlpm.v,
"Curtain Wall",_xlpm.ctwH,
"SF 2""",_xlpm.sfH,
"SF 3""",_xlpm.sfH,
"SF 4""",_xlpm.sfH,
"Z-Louvre Blade - 2""",0,
"Z-Louvre Blade - 5""",0,
0),
_xlpm.vPieces,MAX(_xlpm.p-1,0),
_xlpm.hPieces,_xlpm.p*_xlpm.hLines,
_xlpm.tot,8+(4*_xlpm.vPieces)+(4*_xlpm.hPieces),
IF(OR(_xlpm.v="",_xlpm.p=""),"",_xlpm.tot))</f>
        <v>60</v>
      </c>
      <c r="W117" s="400" cm="1">
        <f t="array" ref="W117">_xlfn.LET(
_xlpm.a,INDEX($A:$A,ROW()),
_xlpm.c,INDEX($C:$C,ROW()),
_xlpm.tp,INDEX($Q:$Q,ROW()),
_xlpm.cd,INDEX($S:$S,ROW()),
_xlpm.ds,INDEX($T:$T,ROW()),
_xlpm.p,IFERROR(_xlfn.XMATCH(_xlpm.cd,CostData!$C$22:$C$1000,0),0),
_xlpm.srcTp,IF(_xlpm.p=0,"",INDEX(CostData!$B$22:$B$1000,_xlpm.p)),
_xlpm.srcDs,IF(_xlpm.p=0,"",INDEX(CostData!$E$22:$E$1000,_xlpm.p)),
IF(
OR(TRIM(_xlpm.a)&lt;&gt;TRIM(Enginuity!$A$1),TRIM(_xlpm.c)&lt;&gt;TRIM(Enginuity!$A$18),_xlpm.cd="",_xlpm.p=0,TRIM(_xlpm.tp)&lt;&gt;TRIM(_xlpm.srcTp),TRIM(_xlpm.ds)&lt;&gt;TRIM(_xlpm.srcDs)),
"",
ROUNDUP(INDEX(CostData!$H$22:$H$1000,_xlpm.p)/12,2)
))</f>
        <v>0.13</v>
      </c>
    </row>
    <row r="118" spans="1:23" x14ac:dyDescent="0.25">
      <c r="A118" s="275" t="s">
        <v>254</v>
      </c>
      <c r="C118" s="370" t="s">
        <v>1992</v>
      </c>
      <c r="P118" s="1" cm="1">
        <f t="array" ref="P118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>118</v>
      </c>
      <c r="Q118" s="1" t="str">
        <f>IF($S118="","",IFERROR(_xlfn.XLOOKUP($S118,CostData!$U$22:$U$1000,CostData!$T$22:$T$1000,""),""))</f>
        <v>Black Tape</v>
      </c>
      <c r="R118" s="16" t="str">
        <f>IF($S118="","",$T118)</f>
        <v>2.5" x 2 Black Tape</v>
      </c>
      <c r="S118" s="24" t="str" cm="1">
        <f t="array" ref="S118">IF($V118="","",_xlfn.LET(_xlpm.v,TRIM(Enginuity!$A$21),_xlfn.SWITCH(_xlpm.v,"Curtain Wall","BT40","SF 2""","BT25","SF 3""","BT25","SF 4""","BT25","Z-Louvre Blade - 2""","BT15","Z-Louvre Blade - 5""","BT15","")))</f>
        <v>BT25</v>
      </c>
      <c r="T118" s="1" t="str" cm="1">
        <f t="array" ref="T118">_xlfn.LET(_xlpm.cd,INDEX($S:$S,ROW()),IF(_xlpm.cd="","",IFERROR(_xlfn.XLOOKUP(_xlpm.cd,CostData!$U$22:$U$1000,CostData!$W$22:$W$1000,""),"")))</f>
        <v>2.5" x 2 Black Tape</v>
      </c>
      <c r="U118" s="1" t="str">
        <f>IF($S118="","",IFERROR(_xlfn.XLOOKUP($S118,CostData!$U$22:$U$1000,CostData!$AA$22:$AA$1000,""),""))</f>
        <v>Ft</v>
      </c>
      <c r="V118" s="1">
        <f>_xlfn.LET(_xlpm.tot,SUM(N($V$91),N($V$92),N($V$93))*2,IF(_xlpm.tot=0,"",_xlpm.tot))</f>
        <v>328</v>
      </c>
      <c r="W118" s="400" cm="1">
        <f t="array" ref="W1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</v>
      </c>
    </row>
    <row r="119" spans="1:23" x14ac:dyDescent="0.25">
      <c r="A119" s="275" t="s">
        <v>254</v>
      </c>
      <c r="C119" s="370" t="s">
        <v>1992</v>
      </c>
      <c r="P119" s="1" cm="1">
        <f t="array" ref="P11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>119</v>
      </c>
      <c r="Q119" s="1" t="str">
        <f>IF($S119="","",IFERROR(_xlfn.XLOOKUP($S119,CostData!$U$22:$U$1000,CostData!$T$22:$T$1000,""),""))</f>
        <v>Silicone</v>
      </c>
      <c r="R119" s="16" t="s">
        <v>1990</v>
      </c>
      <c r="S119" s="24" t="s">
        <v>1982</v>
      </c>
      <c r="T119" s="1" t="str" cm="1">
        <f t="array" ref="T119">_xlfn.LET(_xlpm.cd,INDEX($S:$S,ROW()),IF(_xlpm.cd="","",IFERROR(_xlfn.XLOOKUP(_xlpm.cd,CostData!$U$22:$U$1000,CostData!$W$22:$W$1000,""),"")))</f>
        <v>VT210 Neutral Sealant Clear/WH/Grey 300ML</v>
      </c>
      <c r="U119" s="1" t="s">
        <v>1991</v>
      </c>
      <c r="V119" s="1" cm="1">
        <f t="array" ref="V119">_xlfn.LET(
_xlpm.v,TRIM(Enginuity!$A$21),
_xlpm.o,N($V$91),
_xlpm.vm,N($V$92),
_xlpm.hm,N($V$93),
_xlpm.runFT,
_xlfn.SWITCH(_xlpm.v,
"Curtain Wall",_xlpm.o+((_xlpm.vm+_xlpm.hm)*2),
"SF 2""",_xlpm.o*2,
"SF 3""",_xlpm.o*2,
"SF 4""",_xlpm.o*2,
"Z-Louvre Blade - 2""",_xlpm.o,
"Z-Louvre Blade - 5""",_xlpm.o,
0),
_xlpm.ml,_xlpm.runFT*24.384,
IF(_xlpm.ml=0,"",ROUNDUP(_xlpm.ml,0))
)</f>
        <v>3219</v>
      </c>
      <c r="W119" s="400" cm="1">
        <f t="array" ref="W1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0.1</v>
      </c>
    </row>
    <row r="120" spans="1:23" x14ac:dyDescent="0.25">
      <c r="A120" s="412" t="s">
        <v>254</v>
      </c>
      <c r="B120" s="399"/>
      <c r="C120" s="370" t="s">
        <v>1992</v>
      </c>
      <c r="D120" s="399"/>
      <c r="E120" s="399"/>
      <c r="F120" s="399"/>
      <c r="G120" s="399"/>
      <c r="H120" s="399"/>
      <c r="I120" s="399"/>
      <c r="J120" s="399"/>
      <c r="K120" s="399"/>
      <c r="L120" s="399"/>
      <c r="M120" s="399"/>
      <c r="N120" s="399"/>
      <c r="O120" s="399"/>
      <c r="P120" s="1" cm="1">
        <f t="array" ref="P12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>120</v>
      </c>
      <c r="Q120" s="401" t="str">
        <f>IF($S120="","",IFERROR(_xlfn.XLOOKUP($S120,CostData!$U$22:$U$1000,CostData!$T$22:$T$1000,""),""))</f>
        <v>Gasket</v>
      </c>
      <c r="R120" s="429" t="str">
        <f>T120</f>
        <v>6154 Gasket</v>
      </c>
      <c r="S120" s="418">
        <v>6154</v>
      </c>
      <c r="T120" s="401" t="str" cm="1">
        <f t="array" ref="T120">_xlfn.LET(_xlpm.cd,INDEX($S:$S,ROW()),IF(_xlpm.cd="","",IFERROR(_xlfn.XLOOKUP(_xlpm.cd,CostData!$U$22:$U$1000,CostData!$W$22:$W$1000,""),"")))</f>
        <v>6154 Gasket</v>
      </c>
      <c r="U120" s="401" t="str">
        <f>IF($S120="","",IFERROR(_xlfn.XLOOKUP($S120,CostData!$U$22:$U$1000,CostData!$AA$22:$AA$1000,""),""))</f>
        <v>Ft</v>
      </c>
      <c r="V120" s="401">
        <f>_xlfn.LET(_xlpm.v,TRIM(Enginuity!$A$21),_xlpm.o,N($V$91),_xlpm.vm,N($V$92),_xlpm.hm,N($V$93),_xlpm.tot,_xlpm.o+_xlpm.vm+_xlpm.hm,IF(OR(_xlpm.v="SF 2""",_xlpm.v="SF 3""",_xlpm.v="SF 4"""),IF(_xlpm.tot=0,"",_xlpm.tot),""))</f>
        <v>164</v>
      </c>
      <c r="W120" s="413" cm="1">
        <f t="array" ref="W1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0.30000000000000004</v>
      </c>
    </row>
    <row r="121" spans="1:23" x14ac:dyDescent="0.25">
      <c r="A121" s="419"/>
      <c r="B121" s="415"/>
      <c r="C121" s="415"/>
      <c r="D121" s="415"/>
      <c r="E121" s="415"/>
      <c r="F121" s="415"/>
      <c r="G121" s="415"/>
      <c r="H121" s="415"/>
      <c r="I121" s="415"/>
      <c r="J121" s="415"/>
      <c r="K121" s="415"/>
      <c r="L121" s="415"/>
      <c r="M121" s="420"/>
      <c r="N121" s="415"/>
      <c r="O121" s="415"/>
      <c r="P121" s="409"/>
      <c r="Q121" s="409"/>
      <c r="R121" s="428"/>
      <c r="S121" s="417"/>
      <c r="T121" s="409"/>
      <c r="U121" s="409"/>
      <c r="V121" s="409"/>
      <c r="W121" s="421"/>
    </row>
    <row r="122" spans="1:23" x14ac:dyDescent="0.25">
      <c r="A122" s="275"/>
      <c r="W122" s="400"/>
    </row>
    <row r="123" spans="1:23" x14ac:dyDescent="0.25">
      <c r="A123" s="275"/>
      <c r="W123" s="400"/>
    </row>
    <row r="124" spans="1:23" x14ac:dyDescent="0.25">
      <c r="A124" s="275"/>
      <c r="W124" s="400"/>
    </row>
    <row r="125" spans="1:23" x14ac:dyDescent="0.25">
      <c r="A125" s="275"/>
      <c r="W125" s="400"/>
    </row>
    <row r="126" spans="1:23" x14ac:dyDescent="0.25">
      <c r="A126" s="275"/>
      <c r="W126" s="400"/>
    </row>
    <row r="127" spans="1:23" x14ac:dyDescent="0.25">
      <c r="A127" s="275"/>
      <c r="W127" s="400"/>
    </row>
    <row r="128" spans="1:23" x14ac:dyDescent="0.25">
      <c r="A128" s="275"/>
      <c r="W128" s="400"/>
    </row>
    <row r="129" spans="1:23" x14ac:dyDescent="0.25">
      <c r="A129" s="275"/>
      <c r="W129" s="400"/>
    </row>
    <row r="130" spans="1:23" x14ac:dyDescent="0.25">
      <c r="A130" s="275"/>
      <c r="W130" s="400"/>
    </row>
    <row r="131" spans="1:23" x14ac:dyDescent="0.25">
      <c r="A131" s="275"/>
      <c r="W131" s="400"/>
    </row>
    <row r="132" spans="1:23" x14ac:dyDescent="0.25">
      <c r="A132" s="275"/>
      <c r="W132" s="400"/>
    </row>
    <row r="133" spans="1:23" x14ac:dyDescent="0.25">
      <c r="A133" s="275"/>
      <c r="W133" s="400"/>
    </row>
    <row r="134" spans="1:23" x14ac:dyDescent="0.25">
      <c r="A134" s="275"/>
      <c r="W134" s="400"/>
    </row>
    <row r="135" spans="1:23" x14ac:dyDescent="0.25">
      <c r="A135" s="275"/>
      <c r="W135" s="400"/>
    </row>
    <row r="136" spans="1:23" x14ac:dyDescent="0.25">
      <c r="A136" s="275"/>
      <c r="W136" s="400"/>
    </row>
    <row r="137" spans="1:23" x14ac:dyDescent="0.25">
      <c r="A137" s="275"/>
      <c r="W137" s="400"/>
    </row>
    <row r="138" spans="1:23" x14ac:dyDescent="0.25">
      <c r="A138" s="275"/>
      <c r="W138" s="400"/>
    </row>
    <row r="139" spans="1:23" x14ac:dyDescent="0.25">
      <c r="A139" s="275"/>
      <c r="W139" s="400"/>
    </row>
    <row r="140" spans="1:23" x14ac:dyDescent="0.25">
      <c r="A140" s="275"/>
      <c r="W140" s="400"/>
    </row>
    <row r="141" spans="1:23" x14ac:dyDescent="0.25">
      <c r="A141" s="275"/>
      <c r="W141" s="400"/>
    </row>
    <row r="142" spans="1:23" x14ac:dyDescent="0.25">
      <c r="A142" s="275"/>
      <c r="W142" s="400"/>
    </row>
    <row r="143" spans="1:23" x14ac:dyDescent="0.25">
      <c r="A143" s="275"/>
      <c r="W143" s="400"/>
    </row>
    <row r="144" spans="1:23" x14ac:dyDescent="0.25">
      <c r="A144" s="275"/>
      <c r="W144" s="400"/>
    </row>
    <row r="145" spans="1:23" x14ac:dyDescent="0.25">
      <c r="A145" s="275"/>
      <c r="W145" s="400"/>
    </row>
    <row r="146" spans="1:23" x14ac:dyDescent="0.25">
      <c r="A146" s="275"/>
      <c r="W146" s="400"/>
    </row>
    <row r="147" spans="1:23" x14ac:dyDescent="0.25">
      <c r="A147" s="275"/>
      <c r="W147" s="400"/>
    </row>
    <row r="148" spans="1:23" x14ac:dyDescent="0.25">
      <c r="A148" s="275"/>
      <c r="W148" s="400"/>
    </row>
    <row r="149" spans="1:23" x14ac:dyDescent="0.25">
      <c r="A149" s="275"/>
      <c r="W149" s="400"/>
    </row>
    <row r="150" spans="1:23" x14ac:dyDescent="0.25">
      <c r="A150" s="412"/>
      <c r="B150" s="399"/>
      <c r="C150" s="399"/>
      <c r="D150" s="399"/>
      <c r="E150" s="399"/>
      <c r="F150" s="399"/>
      <c r="G150" s="399"/>
      <c r="H150" s="399"/>
      <c r="I150" s="399"/>
      <c r="J150" s="399"/>
      <c r="K150" s="399"/>
      <c r="L150" s="399"/>
      <c r="M150" s="399"/>
      <c r="N150" s="399"/>
      <c r="O150" s="399"/>
      <c r="P150" s="401"/>
      <c r="Q150" s="401"/>
      <c r="R150" s="429"/>
      <c r="S150" s="418"/>
      <c r="T150" s="401"/>
      <c r="U150" s="401"/>
      <c r="V150" s="401"/>
      <c r="W150" s="413"/>
    </row>
    <row r="151" spans="1:23" x14ac:dyDescent="0.25">
      <c r="A151" s="419"/>
      <c r="B151" s="415"/>
      <c r="C151" s="415"/>
      <c r="D151" s="415"/>
      <c r="E151" s="415"/>
      <c r="F151" s="415"/>
      <c r="G151" s="415"/>
      <c r="H151" s="415"/>
      <c r="I151" s="415"/>
      <c r="J151" s="415"/>
      <c r="K151" s="415"/>
      <c r="L151" s="415"/>
      <c r="M151" s="420"/>
      <c r="N151" s="415"/>
      <c r="O151" s="415"/>
      <c r="P151" s="409"/>
      <c r="Q151" s="409"/>
      <c r="R151" s="428"/>
      <c r="S151" s="417"/>
      <c r="T151" s="409"/>
      <c r="U151" s="409"/>
      <c r="V151" s="409"/>
      <c r="W151" s="421"/>
    </row>
    <row r="152" spans="1:23" x14ac:dyDescent="0.25">
      <c r="A152" s="275"/>
      <c r="W152" s="400"/>
    </row>
    <row r="153" spans="1:23" x14ac:dyDescent="0.25">
      <c r="A153" s="275"/>
      <c r="W153" s="400"/>
    </row>
    <row r="154" spans="1:23" x14ac:dyDescent="0.25">
      <c r="A154" s="275"/>
      <c r="W154" s="400"/>
    </row>
    <row r="155" spans="1:23" x14ac:dyDescent="0.25">
      <c r="A155" s="275"/>
      <c r="W155" s="400"/>
    </row>
    <row r="156" spans="1:23" x14ac:dyDescent="0.25">
      <c r="A156" s="275"/>
      <c r="W156" s="400"/>
    </row>
    <row r="157" spans="1:23" x14ac:dyDescent="0.25">
      <c r="A157" s="275"/>
      <c r="W157" s="400"/>
    </row>
    <row r="158" spans="1:23" x14ac:dyDescent="0.25">
      <c r="A158" s="275"/>
      <c r="W158" s="400"/>
    </row>
    <row r="159" spans="1:23" x14ac:dyDescent="0.25">
      <c r="A159" s="275"/>
      <c r="W159" s="400"/>
    </row>
    <row r="160" spans="1:23" x14ac:dyDescent="0.25">
      <c r="A160" s="275"/>
      <c r="W160" s="400"/>
    </row>
    <row r="161" spans="1:23" x14ac:dyDescent="0.25">
      <c r="A161" s="275"/>
      <c r="W161" s="400"/>
    </row>
    <row r="162" spans="1:23" x14ac:dyDescent="0.25">
      <c r="A162" s="275"/>
      <c r="W162" s="400"/>
    </row>
    <row r="163" spans="1:23" x14ac:dyDescent="0.25">
      <c r="A163" s="275"/>
      <c r="W163" s="400"/>
    </row>
    <row r="164" spans="1:23" x14ac:dyDescent="0.25">
      <c r="A164" s="275"/>
      <c r="W164" s="400"/>
    </row>
    <row r="165" spans="1:23" x14ac:dyDescent="0.25">
      <c r="A165" s="275"/>
      <c r="W165" s="400"/>
    </row>
    <row r="166" spans="1:23" x14ac:dyDescent="0.25">
      <c r="A166" s="275"/>
      <c r="W166" s="400"/>
    </row>
    <row r="167" spans="1:23" x14ac:dyDescent="0.25">
      <c r="A167" s="275"/>
      <c r="W167" s="400"/>
    </row>
    <row r="168" spans="1:23" x14ac:dyDescent="0.25">
      <c r="A168" s="275"/>
      <c r="W168" s="400"/>
    </row>
    <row r="169" spans="1:23" x14ac:dyDescent="0.25">
      <c r="A169" s="275"/>
      <c r="W169" s="400"/>
    </row>
    <row r="170" spans="1:23" x14ac:dyDescent="0.25">
      <c r="A170" s="275"/>
      <c r="W170" s="400"/>
    </row>
    <row r="171" spans="1:23" x14ac:dyDescent="0.25">
      <c r="A171" s="275"/>
      <c r="W171" s="400"/>
    </row>
    <row r="172" spans="1:23" x14ac:dyDescent="0.25">
      <c r="A172" s="275"/>
      <c r="W172" s="400"/>
    </row>
    <row r="173" spans="1:23" x14ac:dyDescent="0.25">
      <c r="A173" s="275"/>
      <c r="W173" s="400"/>
    </row>
    <row r="174" spans="1:23" x14ac:dyDescent="0.25">
      <c r="A174" s="275"/>
      <c r="W174" s="400"/>
    </row>
    <row r="175" spans="1:23" x14ac:dyDescent="0.25">
      <c r="A175" s="275"/>
      <c r="W175" s="400"/>
    </row>
    <row r="176" spans="1:23" x14ac:dyDescent="0.25">
      <c r="A176" s="275"/>
      <c r="W176" s="400"/>
    </row>
    <row r="177" spans="1:23" x14ac:dyDescent="0.25">
      <c r="A177" s="275"/>
      <c r="W177" s="400"/>
    </row>
    <row r="178" spans="1:23" x14ac:dyDescent="0.25">
      <c r="A178" s="275"/>
      <c r="W178" s="400"/>
    </row>
    <row r="179" spans="1:23" x14ac:dyDescent="0.25">
      <c r="A179" s="275"/>
      <c r="W179" s="400"/>
    </row>
    <row r="180" spans="1:23" x14ac:dyDescent="0.25">
      <c r="A180" s="412"/>
      <c r="B180" s="399"/>
      <c r="C180" s="399"/>
      <c r="D180" s="399"/>
      <c r="E180" s="399"/>
      <c r="F180" s="399"/>
      <c r="G180" s="399"/>
      <c r="H180" s="399"/>
      <c r="I180" s="399"/>
      <c r="J180" s="399"/>
      <c r="K180" s="399"/>
      <c r="L180" s="399"/>
      <c r="M180" s="399"/>
      <c r="N180" s="399"/>
      <c r="O180" s="399"/>
      <c r="P180" s="401"/>
      <c r="Q180" s="401"/>
      <c r="R180" s="429"/>
      <c r="S180" s="418"/>
      <c r="T180" s="401"/>
      <c r="U180" s="401"/>
      <c r="V180" s="401"/>
      <c r="W180" s="413"/>
    </row>
    <row r="181" spans="1:23" x14ac:dyDescent="0.25">
      <c r="A181" s="419" t="s">
        <v>254</v>
      </c>
      <c r="B181" s="415" t="s">
        <v>1846</v>
      </c>
      <c r="C181" s="415" t="s">
        <v>1936</v>
      </c>
      <c r="D181" s="415" t="s">
        <v>1792</v>
      </c>
      <c r="E181" s="415" t="str" cm="1">
        <f t="array" ref="E181:E190">IFERROR(INDEX(_xlfn._xlws.FILTER(CostData!$P$3:$P$12,CostData!$P$3:$P$12&lt;&gt;""),_xlfn.SEQUENCE(10)),"")</f>
        <v>Default</v>
      </c>
      <c r="F181" s="415" t="str">
        <f>"▼ [Variant]"</f>
        <v>▼ [Variant]</v>
      </c>
      <c r="G181" s="415" t="str">
        <f>"▼ [Fix - Casement]"</f>
        <v>▼ [Fix - Casement]</v>
      </c>
      <c r="H181" s="415"/>
      <c r="I181" s="415"/>
      <c r="J181" s="415"/>
      <c r="K181" s="415"/>
      <c r="L181" s="415"/>
      <c r="M181" s="420">
        <v>0.54649999999999999</v>
      </c>
      <c r="N181" s="415">
        <v>609.6</v>
      </c>
      <c r="O181" s="415"/>
      <c r="P181" s="409" t="str" cm="1">
        <f t="array" ref="P1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1" s="409" t="str" cm="1">
        <f t="array" ref="Q181">_xlfn.LET(_xlpm.cd,INDEX($S:$S,ROW()),IF(_xlpm.cd="","",IFERROR(_xlfn.XLOOKUP(_xlpm.cd,CostData!$C$22:$C$1000,CostData!$B$22:$B$1000,""),"")))</f>
        <v>Aluminium</v>
      </c>
      <c r="R181" s="428" t="s">
        <v>1812</v>
      </c>
      <c r="S181" s="417" t="s">
        <v>1926</v>
      </c>
      <c r="T181" s="409" t="str" cm="1">
        <f t="array" ref="T181">_xlfn.LET(_xlpm.cd,INDEX($S:$S,ROW()),IF(_xlpm.cd="","",IFERROR(_xlfn.XLOOKUP(_xlpm.cd,CostData!$C$22:$C$1000,CostData!$E$22:$E$1000,""),"")))</f>
        <v>Outer</v>
      </c>
      <c r="U181" s="409" t="s">
        <v>103</v>
      </c>
      <c r="V181" s="409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W181" s="421" t="str" cm="1">
        <f t="array" ref="W1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2" spans="1:23" x14ac:dyDescent="0.25">
      <c r="A182" s="275" t="s">
        <v>254</v>
      </c>
      <c r="B182" s="370" t="s">
        <v>1848</v>
      </c>
      <c r="C182" s="415" t="s">
        <v>1936</v>
      </c>
      <c r="D182" s="370" t="s">
        <v>1814</v>
      </c>
      <c r="E182" s="370" t="str">
        <v>Z-Louvre Blade - 2"</v>
      </c>
      <c r="G182" s="370" t="s">
        <v>1938</v>
      </c>
      <c r="P182" s="1" t="str" cm="1">
        <f t="array" ref="P1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2" s="1" t="str" cm="1">
        <f t="array" ref="Q182">_xlfn.LET(_xlpm.cd,INDEX($S:$S,ROW()),IF(_xlpm.cd="","",IFERROR(_xlfn.XLOOKUP(_xlpm.cd,CostData!$C$22:$C$1000,CostData!$B$22:$B$1000,""),"")))</f>
        <v>Aluminium</v>
      </c>
      <c r="R182" s="16" t="s">
        <v>1849</v>
      </c>
      <c r="S182" s="24" t="s">
        <v>1927</v>
      </c>
      <c r="T182" s="1" t="str" cm="1">
        <f t="array" ref="T182">_xlfn.LET(_xlpm.cd,INDEX($S:$S,ROW()),IF(_xlpm.cd="","",IFERROR(_xlfn.XLOOKUP(_xlpm.cd,CostData!$C$22:$C$1000,CostData!$E$22:$E$1000,""),"")))</f>
        <v>Inner</v>
      </c>
      <c r="U182" s="1" t="s">
        <v>103</v>
      </c>
      <c r="V18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222</v>
      </c>
      <c r="W182" s="400" t="str" cm="1">
        <f t="array" ref="W1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3" spans="1:23" x14ac:dyDescent="0.25">
      <c r="A183" s="275" t="s">
        <v>254</v>
      </c>
      <c r="B183" s="370" t="s">
        <v>382</v>
      </c>
      <c r="C183" s="415" t="s">
        <v>1936</v>
      </c>
      <c r="D183" s="370" t="s">
        <v>1793</v>
      </c>
      <c r="E183" s="370" t="str">
        <v>Z-Louvre Blade - 5"</v>
      </c>
      <c r="P183" s="1" t="str" cm="1">
        <f t="array" ref="P1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3" s="1" t="str" cm="1">
        <f t="array" ref="Q183">_xlfn.LET(_xlpm.cd,INDEX($S:$S,ROW()),IF(_xlpm.cd="","",IFERROR(_xlfn.XLOOKUP(_xlpm.cd,CostData!$C$22:$C$1000,CostData!$B$22:$B$1000,""),"")))</f>
        <v>Aluminium</v>
      </c>
      <c r="R183" s="16" t="s">
        <v>1863</v>
      </c>
      <c r="S183" s="24" t="s">
        <v>1928</v>
      </c>
      <c r="T183" s="1" t="str" cm="1">
        <f t="array" ref="T183">_xlfn.LET(_xlpm.cd,INDEX($S:$S,ROW()),IF(_xlpm.cd="","",IFERROR(_xlfn.XLOOKUP(_xlpm.cd,CostData!$C$22:$C$1000,CostData!$E$22:$E$1000,""),"")))</f>
        <v>Mullion</v>
      </c>
      <c r="U183" s="1" t="s">
        <v>103</v>
      </c>
      <c r="V183" s="1">
        <f>IF(AND(Enginuity!$B$7&gt;0,Enginuity!$B$13&gt;1),(Enginuity!$B$13-1)*Enginuity!$B$7,"")</f>
        <v>78</v>
      </c>
      <c r="W183" s="400" t="str" cm="1">
        <f t="array" ref="W1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4" spans="1:23" x14ac:dyDescent="0.25">
      <c r="A184" s="275" t="s">
        <v>254</v>
      </c>
      <c r="B184" s="370" t="s">
        <v>1847</v>
      </c>
      <c r="C184" s="415" t="s">
        <v>1936</v>
      </c>
      <c r="D184" s="370" t="s">
        <v>1815</v>
      </c>
      <c r="E184" s="370" t="str">
        <v/>
      </c>
      <c r="P184" s="1" t="str" cm="1">
        <f t="array" ref="P1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4" s="1" t="str" cm="1">
        <f t="array" ref="Q184">_xlfn.LET(_xlpm.cd,INDEX($S:$S,ROW()),IF(_xlpm.cd="","",IFERROR(_xlfn.XLOOKUP(_xlpm.cd,CostData!$C$22:$C$1000,CostData!$B$22:$B$1000,""),"")))</f>
        <v>Aluminium</v>
      </c>
      <c r="R184" s="16" t="s">
        <v>1862</v>
      </c>
      <c r="S184" s="24" t="s">
        <v>1928</v>
      </c>
      <c r="T184" s="1" t="str" cm="1">
        <f t="array" ref="T184">_xlfn.LET(_xlpm.cd,INDEX($S:$S,ROW()),IF(_xlpm.cd="","",IFERROR(_xlfn.XLOOKUP(_xlpm.cd,CostData!$C$22:$C$1000,CostData!$E$22:$E$1000,""),"")))</f>
        <v>Mullion</v>
      </c>
      <c r="U184" s="1" t="s">
        <v>103</v>
      </c>
      <c r="W184" s="400" t="str" cm="1">
        <f t="array" ref="W1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5" spans="1:23" x14ac:dyDescent="0.25">
      <c r="A185" s="275" t="s">
        <v>254</v>
      </c>
      <c r="C185" s="415" t="s">
        <v>1936</v>
      </c>
      <c r="E185" s="370" t="str">
        <v/>
      </c>
      <c r="P185" s="1" t="str" cm="1">
        <f t="array" ref="P1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5" s="1" t="str" cm="1">
        <f t="array" ref="Q185">_xlfn.LET(_xlpm.cd,INDEX($S:$S,ROW()),IF(_xlpm.cd="","",IFERROR(_xlfn.XLOOKUP(_xlpm.cd,CostData!$C$22:$C$1000,CostData!$B$22:$B$1000,""),"")))</f>
        <v/>
      </c>
      <c r="W185" s="400" t="str" cm="1">
        <f t="array" ref="W1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6" spans="1:23" x14ac:dyDescent="0.25">
      <c r="A186" s="275" t="s">
        <v>254</v>
      </c>
      <c r="C186" s="415" t="s">
        <v>1936</v>
      </c>
      <c r="E186" s="370" t="str">
        <v/>
      </c>
      <c r="Q186" s="1" t="str" cm="1">
        <f t="array" ref="Q186">_xlfn.LET(_xlpm.cd,INDEX($S:$S,ROW()),IF(_xlpm.cd="","",IFERROR(_xlfn.XLOOKUP(_xlpm.cd,CostData!$C$22:$C$1000,CostData!$B$22:$B$1000,""),"")))</f>
        <v/>
      </c>
      <c r="W186" s="400" t="str" cm="1">
        <f t="array" ref="W18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7" spans="1:23" x14ac:dyDescent="0.25">
      <c r="A187" s="275" t="s">
        <v>254</v>
      </c>
      <c r="C187" s="415" t="s">
        <v>1936</v>
      </c>
      <c r="E187" s="370" t="str">
        <v/>
      </c>
      <c r="P187" s="1" t="str" cm="1">
        <f t="array" ref="P1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7" s="1" t="str" cm="1">
        <f t="array" ref="Q187">_xlfn.LET(_xlpm.cd,INDEX($S:$S,ROW()),IF(_xlpm.cd="","",IFERROR(_xlfn.XLOOKUP(_xlpm.cd,CostData!$C$22:$C$1000,CostData!$B$22:$B$1000,""),"")))</f>
        <v>Aluminium</v>
      </c>
      <c r="R187" s="16" t="s">
        <v>114</v>
      </c>
      <c r="S187" s="24" t="s">
        <v>1929</v>
      </c>
      <c r="T187" s="9" t="e">
        <f>Enginuity!#REF!</f>
        <v>#REF!</v>
      </c>
      <c r="U187" s="1" t="s">
        <v>1937</v>
      </c>
      <c r="V187" s="1">
        <f>IF(TRIM(Enginuity!$A$22)="","",IF(AND(Enginuity!$B$6&gt;0,Enginuity!$B$7&gt;0,Enginuity!$B$13&gt;0),(2*Enginuity!$B$7*Enginuity!$B$13)+(2*Enginuity!$B$6),""))</f>
        <v>222</v>
      </c>
      <c r="W187" s="400" t="str" cm="1">
        <f t="array" ref="W18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188" spans="1:23" x14ac:dyDescent="0.25">
      <c r="A188" s="275" t="s">
        <v>254</v>
      </c>
      <c r="C188" s="415" t="s">
        <v>1936</v>
      </c>
      <c r="E188" s="370" t="str">
        <v/>
      </c>
      <c r="P188" s="1" t="str" cm="1">
        <f t="array" ref="P1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8" s="1" t="str" cm="1">
        <f t="array" ref="Q188">_xlfn.LET(_xlpm.cd,INDEX($S:$S,ROW()),IF(_xlpm.cd="","",IFERROR(_xlfn.XLOOKUP(_xlpm.cd,CostData!$C$22:$C$1000,CostData!$B$22:$B$1000,""),"")))</f>
        <v/>
      </c>
      <c r="T188" s="1" t="str" cm="1">
        <f t="array" ref="T188">_xlfn.LET(_xlpm.cd,INDEX($S:$S,ROW()),IF(_xlpm.cd="","",IFERROR(_xlfn.XLOOKUP(_xlpm.cd,CostData!$C$22:$C$1000,CostData!$E$22:$E$1000,""),"")))</f>
        <v/>
      </c>
      <c r="V188" s="1" t="str" cm="1">
        <f t="array" ref="V188">IFERROR(_xlfn.XLOOKUP(1,(TRIM(CostData!$B$22:$B$1000)="Aluminium")*(TRIM(CostData!$C$22:$C$1000)="CWS")*(TRIM(CostData!$E$22:$E$1000)=TRIM($S188)),_xlfn.SWITCH(TRIM(Enginuity!$A$19),"N/A",CostData!$H$22:$H$1000,"M/B",CostData!$I$22:$I$1000,"P/C",CostData!$J$22:$J$1000,"W/G",CostData!$K$22:$K$1000,""),""),"")</f>
        <v/>
      </c>
      <c r="W188" s="400" t="str" cm="1">
        <f t="array" ref="W1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9" spans="1:23" x14ac:dyDescent="0.25">
      <c r="A189" s="275" t="s">
        <v>254</v>
      </c>
      <c r="C189" s="415" t="s">
        <v>1936</v>
      </c>
      <c r="E189" s="370" t="str">
        <v/>
      </c>
      <c r="P189" s="1" t="str" cm="1">
        <f t="array" ref="P1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9" s="1" t="str" cm="1">
        <f t="array" ref="Q189">_xlfn.LET(_xlpm.cd,INDEX($S:$S,ROW()),IF(_xlpm.cd="","",IFERROR(_xlfn.XLOOKUP(_xlpm.cd,CostData!$C$22:$C$1000,CostData!$B$22:$B$1000,""),"")))</f>
        <v/>
      </c>
      <c r="T189" s="1" t="str" cm="1">
        <f t="array" ref="T189">_xlfn.LET(_xlpm.cd,INDEX($S:$S,ROW()),IF(_xlpm.cd="","",IFERROR(_xlfn.XLOOKUP(_xlpm.cd,CostData!$C$22:$C$1000,CostData!$E$22:$E$1000,""),"")))</f>
        <v/>
      </c>
      <c r="V189" s="1" t="str" cm="1">
        <f t="array" ref="V189">IFERROR(_xlfn.XLOOKUP(1,(TRIM(CostData!$B$22:$B$1000)="Aluminium")*(TRIM(CostData!$C$22:$C$1000)="CWS")*(TRIM(CostData!$E$22:$E$1000)=TRIM($S189)),_xlfn.SWITCH(TRIM(Enginuity!$A$19),"N/A",CostData!$H$22:$H$1000,"M/B",CostData!$I$22:$I$1000,"P/C",CostData!$J$22:$J$1000,"W/G",CostData!$K$22:$K$1000,""),""),"")</f>
        <v/>
      </c>
      <c r="W189" s="400" t="str" cm="1">
        <f t="array" ref="W1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0" spans="1:23" x14ac:dyDescent="0.25">
      <c r="A190" s="275" t="s">
        <v>254</v>
      </c>
      <c r="C190" s="415" t="s">
        <v>1936</v>
      </c>
      <c r="E190" s="370" t="str">
        <v/>
      </c>
      <c r="P190" s="1" t="str" cm="1">
        <f t="array" ref="P1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0" s="1" t="str" cm="1">
        <f t="array" ref="Q190">_xlfn.LET(_xlpm.cd,INDEX($S:$S,ROW()),IF(_xlpm.cd="","",IFERROR(_xlfn.XLOOKUP(_xlpm.cd,CostData!$C$22:$C$1000,CostData!$B$22:$B$1000,""),"")))</f>
        <v/>
      </c>
      <c r="T190" s="1" t="str" cm="1">
        <f t="array" ref="T190">_xlfn.LET(_xlpm.cd,INDEX($S:$S,ROW()),IF(_xlpm.cd="","",IFERROR(_xlfn.XLOOKUP(_xlpm.cd,CostData!$C$22:$C$1000,CostData!$E$22:$E$1000,""),"")))</f>
        <v/>
      </c>
      <c r="V190" s="1" t="str" cm="1">
        <f t="array" ref="V190">IFERROR(_xlfn.XLOOKUP(1,(TRIM(CostData!$B$22:$B$1000)="Aluminium")*(TRIM(CostData!$C$22:$C$1000)="CWS")*(TRIM(CostData!$E$22:$E$1000)=TRIM($S190)),_xlfn.SWITCH(TRIM(Enginuity!$A$19),"N/A",CostData!$H$22:$H$1000,"M/B",CostData!$I$22:$I$1000,"P/C",CostData!$J$22:$J$1000,"W/G",CostData!$K$22:$K$1000,""),""),"")</f>
        <v/>
      </c>
      <c r="W190" s="400" t="str" cm="1">
        <f t="array" ref="W1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1" spans="1:23" x14ac:dyDescent="0.25">
      <c r="A191" s="275" t="s">
        <v>254</v>
      </c>
      <c r="C191" s="415" t="s">
        <v>1936</v>
      </c>
      <c r="P191" s="1" t="str" cm="1">
        <f t="array" ref="P1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1" s="1" t="str" cm="1">
        <f t="array" ref="Q191">_xlfn.LET(_xlpm.cd,INDEX($S:$S,ROW()),IF(_xlpm.cd="","",IFERROR(_xlfn.XLOOKUP(_xlpm.cd,CostData!$C$22:$C$1000,CostData!$B$22:$B$1000,""),"")))</f>
        <v/>
      </c>
      <c r="T191" s="1" t="str" cm="1">
        <f t="array" ref="T191">_xlfn.LET(_xlpm.cd,INDEX($S:$S,ROW()),IF(_xlpm.cd="","",IFERROR(_xlfn.XLOOKUP(_xlpm.cd,CostData!$C$22:$C$1000,CostData!$E$22:$E$1000,""),"")))</f>
        <v/>
      </c>
      <c r="V191" s="1" t="str" cm="1">
        <f t="array" ref="V191">IFERROR(_xlfn.XLOOKUP(1,(TRIM(CostData!$B$22:$B$1000)="Aluminium")*(TRIM(CostData!$C$22:$C$1000)="CWS")*(TRIM(CostData!$E$22:$E$1000)=TRIM($S191)),_xlfn.SWITCH(TRIM(Enginuity!$A$19),"N/A",CostData!$H$22:$H$1000,"M/B",CostData!$I$22:$I$1000,"P/C",CostData!$J$22:$J$1000,"W/G",CostData!$K$22:$K$1000,""),""),"")</f>
        <v/>
      </c>
      <c r="W191" s="400" t="str" cm="1">
        <f t="array" ref="W1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2" spans="1:23" x14ac:dyDescent="0.25">
      <c r="A192" s="275" t="s">
        <v>254</v>
      </c>
      <c r="C192" s="415" t="s">
        <v>1936</v>
      </c>
      <c r="P192" s="1" t="str" cm="1">
        <f t="array" ref="P1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2" s="1" t="str" cm="1">
        <f t="array" ref="Q192">_xlfn.LET(_xlpm.cd,INDEX($S:$S,ROW()),IF(_xlpm.cd="","",IFERROR(_xlfn.XLOOKUP(_xlpm.cd,CostData!$C$22:$C$1000,CostData!$B$22:$B$1000,""),"")))</f>
        <v/>
      </c>
      <c r="T192" s="1" t="str" cm="1">
        <f t="array" ref="T192">_xlfn.LET(_xlpm.cd,INDEX($S:$S,ROW()),IF(_xlpm.cd="","",IFERROR(_xlfn.XLOOKUP(_xlpm.cd,CostData!$C$22:$C$1000,CostData!$E$22:$E$1000,""),"")))</f>
        <v/>
      </c>
      <c r="V192" s="1" t="str" cm="1">
        <f t="array" ref="V192">IFERROR(_xlfn.XLOOKUP(1,(TRIM(CostData!$B$22:$B$1000)="Aluminium")*(TRIM(CostData!$C$22:$C$1000)="CWS")*(TRIM(CostData!$E$22:$E$1000)=TRIM($S192)),_xlfn.SWITCH(TRIM(Enginuity!$A$19),"N/A",CostData!$H$22:$H$1000,"M/B",CostData!$I$22:$I$1000,"P/C",CostData!$J$22:$J$1000,"W/G",CostData!$K$22:$K$1000,""),""),"")</f>
        <v/>
      </c>
      <c r="W192" s="400" t="str" cm="1">
        <f t="array" ref="W1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3" spans="1:23" x14ac:dyDescent="0.25">
      <c r="A193" s="275" t="s">
        <v>254</v>
      </c>
      <c r="C193" s="415" t="s">
        <v>1936</v>
      </c>
      <c r="P193" s="1" t="str" cm="1">
        <f t="array" ref="P1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3" s="1" t="str" cm="1">
        <f t="array" ref="Q193">_xlfn.LET(_xlpm.cd,INDEX($S:$S,ROW()),IF(_xlpm.cd="","",IFERROR(_xlfn.XLOOKUP(_xlpm.cd,CostData!$C$22:$C$1000,CostData!$B$22:$B$1000,""),"")))</f>
        <v/>
      </c>
      <c r="T193" s="1" t="str" cm="1">
        <f t="array" ref="T193">_xlfn.LET(_xlpm.cd,INDEX($S:$S,ROW()),IF(_xlpm.cd="","",IFERROR(_xlfn.XLOOKUP(_xlpm.cd,CostData!$C$22:$C$1000,CostData!$E$22:$E$1000,""),"")))</f>
        <v/>
      </c>
      <c r="V193" s="1" t="str" cm="1">
        <f t="array" ref="V193">IFERROR(_xlfn.XLOOKUP(1,(TRIM(CostData!$B$22:$B$1000)="Aluminium")*(TRIM(CostData!$C$22:$C$1000)="CWS")*(TRIM(CostData!$E$22:$E$1000)=TRIM($S193)),_xlfn.SWITCH(TRIM(Enginuity!$A$19),"N/A",CostData!$H$22:$H$1000,"M/B",CostData!$I$22:$I$1000,"P/C",CostData!$J$22:$J$1000,"W/G",CostData!$K$22:$K$1000,""),""),"")</f>
        <v/>
      </c>
      <c r="W193" s="400" t="str" cm="1">
        <f t="array" ref="W1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4" spans="1:23" x14ac:dyDescent="0.25">
      <c r="A194" s="275" t="s">
        <v>254</v>
      </c>
      <c r="C194" s="415" t="s">
        <v>1936</v>
      </c>
      <c r="P194" s="1" t="str" cm="1">
        <f t="array" ref="P1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4" s="1" t="str" cm="1">
        <f t="array" ref="Q194">_xlfn.LET(_xlpm.cd,INDEX($S:$S,ROW()),IF(_xlpm.cd="","",IFERROR(_xlfn.XLOOKUP(_xlpm.cd,CostData!$C$22:$C$1000,CostData!$B$22:$B$1000,""),"")))</f>
        <v/>
      </c>
      <c r="T194" s="1" t="str" cm="1">
        <f t="array" ref="T194">_xlfn.LET(_xlpm.cd,INDEX($S:$S,ROW()),IF(_xlpm.cd="","",IFERROR(_xlfn.XLOOKUP(_xlpm.cd,CostData!$C$22:$C$1000,CostData!$E$22:$E$1000,""),"")))</f>
        <v/>
      </c>
      <c r="V194" s="1" t="str" cm="1">
        <f t="array" ref="V194">IFERROR(_xlfn.XLOOKUP(1,(TRIM(CostData!$B$22:$B$1000)="Aluminium")*(TRIM(CostData!$C$22:$C$1000)="CWS")*(TRIM(CostData!$E$22:$E$1000)=TRIM($S194)),_xlfn.SWITCH(TRIM(Enginuity!$A$19),"N/A",CostData!$H$22:$H$1000,"M/B",CostData!$I$22:$I$1000,"P/C",CostData!$J$22:$J$1000,"W/G",CostData!$K$22:$K$1000,""),""),"")</f>
        <v/>
      </c>
      <c r="W194" s="400" t="str" cm="1">
        <f t="array" ref="W1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5" spans="1:23" x14ac:dyDescent="0.25">
      <c r="A195" s="275" t="s">
        <v>254</v>
      </c>
      <c r="C195" s="415" t="s">
        <v>1936</v>
      </c>
      <c r="P195" s="1" t="str" cm="1">
        <f t="array" ref="P1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5" s="1" t="str" cm="1">
        <f t="array" ref="Q195">_xlfn.LET(_xlpm.cd,INDEX($S:$S,ROW()),IF(_xlpm.cd="","",IFERROR(_xlfn.XLOOKUP(_xlpm.cd,CostData!$C$22:$C$1000,CostData!$B$22:$B$1000,""),"")))</f>
        <v/>
      </c>
      <c r="T195" s="1" t="str" cm="1">
        <f t="array" ref="T195">_xlfn.LET(_xlpm.cd,INDEX($S:$S,ROW()),IF(_xlpm.cd="","",IFERROR(_xlfn.XLOOKUP(_xlpm.cd,CostData!$C$22:$C$1000,CostData!$E$22:$E$1000,""),"")))</f>
        <v/>
      </c>
      <c r="V195" s="1" t="str" cm="1">
        <f t="array" ref="V195">IFERROR(_xlfn.XLOOKUP(1,(TRIM(CostData!$B$22:$B$1000)="Aluminium")*(TRIM(CostData!$C$22:$C$1000)="CWS")*(TRIM(CostData!$E$22:$E$1000)=TRIM($S195)),_xlfn.SWITCH(TRIM(Enginuity!$A$19),"N/A",CostData!$H$22:$H$1000,"M/B",CostData!$I$22:$I$1000,"P/C",CostData!$J$22:$J$1000,"W/G",CostData!$K$22:$K$1000,""),""),"")</f>
        <v/>
      </c>
      <c r="W195" s="400" t="str" cm="1">
        <f t="array" ref="W1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6" spans="1:23" x14ac:dyDescent="0.25">
      <c r="A196" s="275" t="s">
        <v>254</v>
      </c>
      <c r="C196" s="415" t="s">
        <v>1936</v>
      </c>
      <c r="P196" s="1" t="str" cm="1">
        <f t="array" ref="P1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6" s="1" t="str" cm="1">
        <f t="array" ref="Q196">_xlfn.LET(_xlpm.cd,INDEX($S:$S,ROW()),IF(_xlpm.cd="","",IFERROR(_xlfn.XLOOKUP(_xlpm.cd,CostData!$C$22:$C$1000,CostData!$B$22:$B$1000,""),"")))</f>
        <v/>
      </c>
      <c r="T196" s="1" t="str" cm="1">
        <f t="array" ref="T196">_xlfn.LET(_xlpm.cd,INDEX($S:$S,ROW()),IF(_xlpm.cd="","",IFERROR(_xlfn.XLOOKUP(_xlpm.cd,CostData!$C$22:$C$1000,CostData!$E$22:$E$1000,""),"")))</f>
        <v/>
      </c>
      <c r="V196" s="1" t="str" cm="1">
        <f t="array" ref="V196">IFERROR(_xlfn.XLOOKUP(1,(TRIM(CostData!$B$22:$B$1000)="Aluminium")*(TRIM(CostData!$C$22:$C$1000)="CWS")*(TRIM(CostData!$E$22:$E$1000)=TRIM($S196)),_xlfn.SWITCH(TRIM(Enginuity!$A$19),"N/A",CostData!$H$22:$H$1000,"M/B",CostData!$I$22:$I$1000,"P/C",CostData!$J$22:$J$1000,"W/G",CostData!$K$22:$K$1000,""),""),"")</f>
        <v/>
      </c>
      <c r="W196" s="400" t="str" cm="1">
        <f t="array" ref="W1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7" spans="1:23" x14ac:dyDescent="0.25">
      <c r="A197" s="275" t="s">
        <v>254</v>
      </c>
      <c r="C197" s="415" t="s">
        <v>1936</v>
      </c>
      <c r="P197" s="1" t="str" cm="1">
        <f t="array" ref="P1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7" s="1" t="s">
        <v>1833</v>
      </c>
      <c r="R197" s="16" t="str">
        <f>IF($T197="","","⬒ "&amp;$T197)</f>
        <v>⬒ Z-Louvre Blade - 5"</v>
      </c>
      <c r="T197" s="1" t="str">
        <f>IF(Enginuity!$A$20="","",Enginuity!$A$20)</f>
        <v>Z-Louvre Blade - 5"</v>
      </c>
      <c r="U197" s="1" t="s">
        <v>121</v>
      </c>
      <c r="V197" s="1">
        <f>IF(Enginuity!$B$9="","",Enginuity!$B$9)</f>
        <v>260</v>
      </c>
      <c r="W197" s="400">
        <f>IFERROR(INDEX(CostData!$Q$3:$Q$12,MATCH(TRIM(Enginuity!$A$20),CostData!$P$3:$P$12,0)),"")</f>
        <v>32.037384615384617</v>
      </c>
    </row>
    <row r="198" spans="1:23" x14ac:dyDescent="0.25">
      <c r="A198" s="275" t="s">
        <v>254</v>
      </c>
      <c r="C198" s="415" t="s">
        <v>1936</v>
      </c>
      <c r="P198" s="1" t="str" cm="1">
        <f t="array" ref="P1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198" s="1" t="str" cm="1">
        <f t="array" ref="V198">IFERROR(_xlfn.XLOOKUP(1,(TRIM(CostData!$B$22:$B$1000)="Aluminium")*(TRIM(CostData!$C$22:$C$1000)="CWS")*(TRIM(CostData!$E$22:$E$1000)=TRIM($S198)),_xlfn.SWITCH(TRIM(Enginuity!$A$19),"N/A",CostData!$H$22:$H$1000,"M/B",CostData!$I$22:$I$1000,"P/C",CostData!$J$22:$J$1000,"W/G",CostData!$K$22:$K$1000,""),""),"")</f>
        <v/>
      </c>
      <c r="W198" s="400" t="str" cm="1">
        <f t="array" ref="W198">IF(OR(TRIM(CalcEngine!$A198)&lt;&gt;TRIM(Enginuity!$A$1),TRIM(CalcEngine!$C198)&lt;&gt;TRIM(Enginuity!$A$18),CalcEngine!$V198="",CalcEngine!$V198=0),"",IFERROR(_xlfn.XLOOKUP(1,(TRIM(CostData!$B$22:$B$1000)="Aluminium")*(TRIM(CostData!$C$22:$C$1000)="CWS")*(TRIM(CostData!$E$22:$E$1000)=TRIM(CalcEngine!$T198)),_xlfn.SWITCH(TRIM(Enginuity!$A$19),"N/A",CostData!$H$22:$H$1000,"M/B",CostData!$I$22:$I$1000,"P/C",CostData!$J$22:$J$1000,"W/G",CostData!$K$22:$K$1000,""),""),""))</f>
        <v/>
      </c>
    </row>
    <row r="199" spans="1:23" x14ac:dyDescent="0.25">
      <c r="A199" s="275" t="s">
        <v>254</v>
      </c>
      <c r="C199" s="415" t="s">
        <v>1936</v>
      </c>
      <c r="P199" s="1" t="str" cm="1">
        <f t="array" ref="P1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199" s="1" t="str" cm="1">
        <f t="array" ref="V199">IFERROR(_xlfn.XLOOKUP(1,(TRIM(CostData!$B$22:$B$1000)="Aluminium")*(TRIM(CostData!$C$22:$C$1000)="CWS")*(TRIM(CostData!$E$22:$E$1000)=TRIM($S199)),_xlfn.SWITCH(TRIM(Enginuity!$A$19),"N/A",CostData!$H$22:$H$1000,"M/B",CostData!$I$22:$I$1000,"P/C",CostData!$J$22:$J$1000,"W/G",CostData!$K$22:$K$1000,""),""),"")</f>
        <v/>
      </c>
      <c r="W199" s="400" t="str" cm="1">
        <f t="array" ref="W199">IF(OR(TRIM(CalcEngine!$A199)&lt;&gt;TRIM(Enginuity!$A$1),TRIM(CalcEngine!$C199)&lt;&gt;TRIM(Enginuity!$A$18),CalcEngine!$V199="",CalcEngine!$V199=0),"",IFERROR(_xlfn.XLOOKUP(1,(TRIM(CostData!$B$22:$B$1000)="Aluminium")*(TRIM(CostData!$C$22:$C$1000)="CWS")*(TRIM(CostData!$E$22:$E$1000)=TRIM(CalcEngine!$T199)),_xlfn.SWITCH(TRIM(Enginuity!$A$19),"N/A",CostData!$H$22:$H$1000,"M/B",CostData!$I$22:$I$1000,"P/C",CostData!$J$22:$J$1000,"W/G",CostData!$K$22:$K$1000,""),""),""))</f>
        <v/>
      </c>
    </row>
    <row r="200" spans="1:23" x14ac:dyDescent="0.25">
      <c r="A200" s="275" t="s">
        <v>254</v>
      </c>
      <c r="C200" s="415" t="s">
        <v>1936</v>
      </c>
      <c r="P200" s="1" t="str" cm="1">
        <f t="array" ref="P2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200" s="1" t="str" cm="1">
        <f t="array" ref="V200">IFERROR(_xlfn.XLOOKUP(1,(TRIM(CostData!$B$22:$B$1000)="Aluminium")*(TRIM(CostData!$C$22:$C$1000)="CWS")*(TRIM(CostData!$E$22:$E$1000)=TRIM($S200)),_xlfn.SWITCH(TRIM(Enginuity!$A$19),"N/A",CostData!$H$22:$H$1000,"M/B",CostData!$I$22:$I$1000,"P/C",CostData!$J$22:$J$1000,"W/G",CostData!$K$22:$K$1000,""),""),"")</f>
        <v/>
      </c>
      <c r="W200" s="400" t="str" cm="1">
        <f t="array" ref="W200">IF(OR(TRIM(CalcEngine!$A200)&lt;&gt;TRIM(Enginuity!$A$1),TRIM(CalcEngine!$C200)&lt;&gt;TRIM(Enginuity!$A$18),CalcEngine!$V200="",CalcEngine!$V200=0),"",IFERROR(_xlfn.XLOOKUP(1,(TRIM(CostData!$B$22:$B$1000)="Aluminium")*(TRIM(CostData!$C$22:$C$1000)="CWS")*(TRIM(CostData!$E$22:$E$1000)=TRIM(CalcEngine!$T200)),_xlfn.SWITCH(TRIM(Enginuity!$A$19),"N/A",CostData!$H$22:$H$1000,"M/B",CostData!$I$22:$I$1000,"P/C",CostData!$J$22:$J$1000,"W/G",CostData!$K$22:$K$1000,""),""),""))</f>
        <v/>
      </c>
    </row>
    <row r="201" spans="1:23" x14ac:dyDescent="0.25">
      <c r="A201" s="275" t="s">
        <v>254</v>
      </c>
      <c r="C201" s="415" t="s">
        <v>1936</v>
      </c>
      <c r="P201" s="1" t="str" cm="1">
        <f t="array" ref="P2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201" s="1" t="str" cm="1">
        <f t="array" ref="V201">IFERROR(_xlfn.XLOOKUP(1,(TRIM(CostData!$B$22:$B$1000)="Aluminium")*(TRIM(CostData!$C$22:$C$1000)="CWS")*(TRIM(CostData!$E$22:$E$1000)=TRIM($S201)),_xlfn.SWITCH(TRIM(Enginuity!$A$19),"N/A",CostData!$H$22:$H$1000,"M/B",CostData!$I$22:$I$1000,"P/C",CostData!$J$22:$J$1000,"W/G",CostData!$K$22:$K$1000,""),""),"")</f>
        <v/>
      </c>
      <c r="W201" s="400" t="str" cm="1">
        <f t="array" ref="W201">IF(OR(TRIM(CalcEngine!$A201)&lt;&gt;TRIM(Enginuity!$A$1),TRIM(CalcEngine!$C201)&lt;&gt;TRIM(Enginuity!$A$18),CalcEngine!$V201="",CalcEngine!$V201=0),"",IFERROR(_xlfn.XLOOKUP(1,(TRIM(CostData!$B$22:$B$1000)="Aluminium")*(TRIM(CostData!$C$22:$C$1000)="CWS")*(TRIM(CostData!$E$22:$E$1000)=TRIM(CalcEngine!$T201)),_xlfn.SWITCH(TRIM(Enginuity!$A$19),"N/A",CostData!$H$22:$H$1000,"M/B",CostData!$I$22:$I$1000,"P/C",CostData!$J$22:$J$1000,"W/G",CostData!$K$22:$K$1000,""),""),""))</f>
        <v/>
      </c>
    </row>
    <row r="202" spans="1:23" x14ac:dyDescent="0.25">
      <c r="A202" s="275" t="s">
        <v>254</v>
      </c>
      <c r="C202" s="415" t="s">
        <v>1936</v>
      </c>
      <c r="P202" s="1" t="str" cm="1">
        <f t="array" ref="P2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02" s="400"/>
    </row>
    <row r="203" spans="1:23" x14ac:dyDescent="0.25">
      <c r="A203" s="275" t="s">
        <v>254</v>
      </c>
      <c r="C203" s="415" t="s">
        <v>1936</v>
      </c>
      <c r="W203" s="400"/>
    </row>
    <row r="204" spans="1:23" x14ac:dyDescent="0.25">
      <c r="A204" s="275" t="s">
        <v>254</v>
      </c>
      <c r="C204" s="415" t="s">
        <v>1936</v>
      </c>
      <c r="P204" s="1" t="str" cm="1">
        <f t="array" ref="P2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4" s="1" t="str">
        <f>IF($S204="","",IFERROR(_xlfn.XLOOKUP($S204,CostData!$U$22:$U$1000,CostData!$T$22:$T$1000,""),""))</f>
        <v>Hinge</v>
      </c>
      <c r="R204" s="16" t="str">
        <f>IF($S204="","",$T204)</f>
        <v>Hung Friction Stay</v>
      </c>
      <c r="S204" s="24" t="s">
        <v>1880</v>
      </c>
      <c r="T204" s="1" t="str" cm="1">
        <f t="array" ref="T204">_xlfn.LET(_xlpm.cd,INDEX($S:$S,ROW()),IF(_xlpm.cd="","",IFERROR(_xlfn.XLOOKUP(_xlpm.cd,CostData!$U$22:$U$1000,CostData!$W$22:$W$1000,""),"")))</f>
        <v>Hung Friction Stay</v>
      </c>
      <c r="U204" s="1" t="str">
        <f>IF($S204="","",IFERROR(_xlfn.XLOOKUP($S204,CostData!$U$22:$U$1000,CostData!$AA$22:$AA$1000,""),""))</f>
        <v>Pair</v>
      </c>
      <c r="V204" s="1">
        <f>IF(TRIM(Enginuity!$A$22)="Fix Window","",IF(Enginuity!$B$13&gt;0,Enginuity!$B$13,""))</f>
        <v>7</v>
      </c>
      <c r="W204" s="400" t="str" cm="1">
        <f t="array" ref="W2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5" spans="1:23" x14ac:dyDescent="0.25">
      <c r="A205" s="275" t="s">
        <v>254</v>
      </c>
      <c r="C205" s="415" t="s">
        <v>1936</v>
      </c>
      <c r="P205" s="1" t="str" cm="1">
        <f t="array" ref="P2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5" s="1" t="str">
        <f>IF($S205="","",IFERROR(_xlfn.XLOOKUP($S205,CostData!$U$22:$U$1000,CostData!$T$22:$T$1000,""),""))</f>
        <v>Handle</v>
      </c>
      <c r="R205" s="16" t="str">
        <f>IF($S205="","",$T205)</f>
        <v>Casement Handle</v>
      </c>
      <c r="S205" s="24" t="s">
        <v>113</v>
      </c>
      <c r="T205" s="1" t="str" cm="1">
        <f t="array" ref="T205">_xlfn.LET(_xlpm.cd,INDEX($S:$S,ROW()),IF(_xlpm.cd="","",IFERROR(_xlfn.XLOOKUP(_xlpm.cd,CostData!$U$22:$U$1000,CostData!$W$22:$W$1000,""),"")))</f>
        <v>Casement Handle</v>
      </c>
      <c r="U205" s="1" t="str">
        <f>IF($S205="","",IFERROR(_xlfn.XLOOKUP($S205,CostData!$U$22:$U$1000,CostData!$AA$22:$AA$1000,""),""))</f>
        <v>Pcs</v>
      </c>
      <c r="V205" s="1">
        <f>IF(TRIM(Enginuity!$A$22)="Fix Window","",IF(Enginuity!$B$13="","",Enginuity!$B$13))</f>
        <v>7</v>
      </c>
      <c r="W205" s="400" t="str" cm="1">
        <f t="array" ref="W2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6" spans="1:23" x14ac:dyDescent="0.25">
      <c r="A206" s="275" t="s">
        <v>254</v>
      </c>
      <c r="C206" s="415" t="s">
        <v>1936</v>
      </c>
      <c r="P206" s="1" t="str" cm="1">
        <f t="array" ref="P2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6" s="1" t="str">
        <f>IF($S206="","",IFERROR(_xlfn.XLOOKUP($S206,CostData!$U$22:$U$1000,CostData!$T$22:$T$1000,""),""))</f>
        <v>Black Tape</v>
      </c>
      <c r="R206" s="16" t="str">
        <f>IF($S206="","",$T206)</f>
        <v>2.5" x 2 Black Tape</v>
      </c>
      <c r="S206" s="24" t="s">
        <v>1898</v>
      </c>
      <c r="T206" s="1" t="str" cm="1">
        <f t="array" ref="T206">_xlfn.LET(_xlpm.cd,INDEX($S:$S,ROW()),IF(_xlpm.cd="","",IFERROR(_xlfn.XLOOKUP(_xlpm.cd,CostData!$U$22:$U$1000,CostData!$W$22:$W$1000,""),"")))</f>
        <v>2.5" x 2 Black Tape</v>
      </c>
      <c r="U206" s="1" t="str">
        <f>IF($S206="","",IFERROR(_xlfn.XLOOKUP($S206,CostData!$U$22:$U$1000,CostData!$AA$22:$AA$1000,""),""))</f>
        <v>Ft</v>
      </c>
      <c r="V206" s="1">
        <f>IF(SUM($V$391:$V$394)=0,"",SUM($V$391:$V$394))</f>
        <v>560</v>
      </c>
      <c r="W206" s="400" t="str" cm="1">
        <f t="array" ref="W2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7" spans="1:23" x14ac:dyDescent="0.25">
      <c r="A207" s="275" t="s">
        <v>254</v>
      </c>
      <c r="C207" s="415" t="s">
        <v>1936</v>
      </c>
      <c r="P207" s="1" t="str" cm="1">
        <f t="array" ref="P2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7" s="1" t="str">
        <f>IF($S207="","",IFERROR(_xlfn.XLOOKUP($S207,CostData!$U$22:$U$1000,CostData!$T$22:$T$1000,""),""))</f>
        <v>Gasket</v>
      </c>
      <c r="R207" s="16" t="s">
        <v>1931</v>
      </c>
      <c r="S207" s="24">
        <v>6154</v>
      </c>
      <c r="T207" s="1" t="str" cm="1">
        <f t="array" ref="T207">_xlfn.LET(_xlpm.cd,INDEX($S:$S,ROW()),IF(_xlpm.cd="","",IFERROR(_xlfn.XLOOKUP(_xlpm.cd,CostData!$U$22:$U$1000,CostData!$W$22:$W$1000,""),"")))</f>
        <v>6154 Gasket</v>
      </c>
      <c r="U207" s="1" t="str">
        <f>IF($S207="","",IFERROR(_xlfn.XLOOKUP($S207,CostData!$U$22:$U$1000,CostData!$AA$22:$AA$1000,""),""))</f>
        <v>Ft</v>
      </c>
      <c r="V207" s="1">
        <f>IF($V$61="","",$V$61)</f>
        <v>260</v>
      </c>
      <c r="W207" s="400" t="str" cm="1">
        <f t="array" ref="W2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8" spans="1:23" x14ac:dyDescent="0.25">
      <c r="A208" s="275" t="s">
        <v>254</v>
      </c>
      <c r="C208" s="415" t="s">
        <v>1936</v>
      </c>
      <c r="P208" s="1" t="str" cm="1">
        <f t="array" ref="P2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8" s="1" t="str">
        <f>IF($S208="","",IFERROR(_xlfn.XLOOKUP($S208,CostData!$U$22:$U$1000,CostData!$T$22:$T$1000,""),""))</f>
        <v>Gasket</v>
      </c>
      <c r="R208" s="16" t="s">
        <v>1932</v>
      </c>
      <c r="S208" s="24" t="s">
        <v>1916</v>
      </c>
      <c r="T208" s="1" t="str" cm="1">
        <f t="array" ref="T208">_xlfn.LET(_xlpm.cd,INDEX($S:$S,ROW()),IF(_xlpm.cd="","",IFERROR(_xlfn.XLOOKUP(_xlpm.cd,CostData!$U$22:$U$1000,CostData!$W$22:$W$1000,""),"")))</f>
        <v>F16S Gasket</v>
      </c>
      <c r="U208" s="1" t="str">
        <f>IF($S208="","",IFERROR(_xlfn.XLOOKUP($S208,CostData!$U$22:$U$1000,CostData!$AA$22:$AA$1000,""),""))</f>
        <v>Ft</v>
      </c>
      <c r="V208" s="1">
        <f>IF($V$392="","",$V$392)</f>
        <v>222</v>
      </c>
      <c r="W208" s="400" t="str" cm="1">
        <f t="array" ref="W2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9" spans="1:23" x14ac:dyDescent="0.25">
      <c r="A209" s="275" t="s">
        <v>254</v>
      </c>
      <c r="C209" s="415" t="s">
        <v>1936</v>
      </c>
      <c r="P209" s="1" t="str" cm="1">
        <f t="array" ref="P2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9" s="1" t="str">
        <f>IF($S209="","",IFERROR(_xlfn.XLOOKUP($S209,CostData!$U$22:$U$1000,CostData!$T$22:$T$1000,""),""))</f>
        <v>Gasket</v>
      </c>
      <c r="R209" s="16" t="s">
        <v>1930</v>
      </c>
      <c r="S209" s="24">
        <v>6154</v>
      </c>
      <c r="T209" s="1" t="str" cm="1">
        <f t="array" ref="T209">_xlfn.LET(_xlpm.cd,INDEX($S:$S,ROW()),IF(_xlpm.cd="","",IFERROR(_xlfn.XLOOKUP(_xlpm.cd,CostData!$U$22:$U$1000,CostData!$W$22:$W$1000,""),"")))</f>
        <v>6154 Gasket</v>
      </c>
      <c r="U209" s="1" t="str">
        <f>IF($S209="","",IFERROR(_xlfn.XLOOKUP($S209,CostData!$U$22:$U$1000,CostData!$AA$22:$AA$1000,""),""))</f>
        <v>Ft</v>
      </c>
      <c r="V209" s="1">
        <f>IF($V$392="","",$V$392)</f>
        <v>222</v>
      </c>
      <c r="W209" s="400" t="str" cm="1">
        <f t="array" ref="W2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0" spans="1:23" x14ac:dyDescent="0.25">
      <c r="A210" s="412" t="s">
        <v>254</v>
      </c>
      <c r="B210" s="399"/>
      <c r="C210" s="415" t="s">
        <v>1936</v>
      </c>
      <c r="D210" s="399"/>
      <c r="E210" s="399"/>
      <c r="F210" s="399"/>
      <c r="G210" s="399"/>
      <c r="H210" s="399"/>
      <c r="I210" s="399"/>
      <c r="J210" s="399"/>
      <c r="K210" s="399"/>
      <c r="L210" s="399"/>
      <c r="M210" s="399"/>
      <c r="N210" s="399"/>
      <c r="O210" s="399"/>
      <c r="P210" s="401"/>
      <c r="Q210" s="401" t="str">
        <f>IF($S210="","",IFERROR(_xlfn.XLOOKUP($S210,CostData!$U$22:$U$1000,CostData!$T$22:$T$1000,""),""))</f>
        <v>Gasket</v>
      </c>
      <c r="R210" s="429" t="s">
        <v>1933</v>
      </c>
      <c r="S210" s="418">
        <v>6154</v>
      </c>
      <c r="T210" s="401" t="str" cm="1">
        <f t="array" ref="T210">_xlfn.LET(_xlpm.cd,INDEX($S:$S,ROW()),IF(_xlpm.cd="","",IFERROR(_xlfn.XLOOKUP(_xlpm.cd,CostData!$U$22:$U$1000,CostData!$W$22:$W$1000,""),"")))</f>
        <v>6154 Gasket</v>
      </c>
      <c r="U210" s="401" t="str">
        <f>IF($S210="","",IFERROR(_xlfn.XLOOKUP($S210,CostData!$U$22:$U$1000,CostData!$AA$22:$AA$1000,""),""))</f>
        <v>Ft</v>
      </c>
      <c r="V210" s="401">
        <f>IF(SUM($V$393:$V$394)=0,"",SUM($V$393:$V$394)*2)</f>
        <v>156</v>
      </c>
      <c r="W210" s="413" t="str" cm="1">
        <f t="array" ref="W2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1" spans="1:23" x14ac:dyDescent="0.25">
      <c r="A211" s="419"/>
      <c r="B211" s="415"/>
      <c r="C211" s="415"/>
      <c r="D211" s="415"/>
      <c r="E211" s="415"/>
      <c r="F211" s="415"/>
      <c r="G211" s="415"/>
      <c r="H211" s="415"/>
      <c r="I211" s="415"/>
      <c r="J211" s="415"/>
      <c r="K211" s="415"/>
      <c r="L211" s="415"/>
      <c r="M211" s="420"/>
      <c r="N211" s="415"/>
      <c r="O211" s="415"/>
      <c r="P211" s="409"/>
      <c r="Q211" s="409"/>
      <c r="R211" s="428"/>
      <c r="S211" s="417"/>
      <c r="T211" s="409"/>
      <c r="U211" s="409"/>
      <c r="V211" s="409"/>
      <c r="W211" s="421"/>
    </row>
    <row r="212" spans="1:23" x14ac:dyDescent="0.25">
      <c r="A212" s="275"/>
      <c r="W212" s="400"/>
    </row>
    <row r="213" spans="1:23" x14ac:dyDescent="0.25">
      <c r="A213" s="275"/>
      <c r="W213" s="400"/>
    </row>
    <row r="214" spans="1:23" x14ac:dyDescent="0.25">
      <c r="A214" s="275"/>
      <c r="W214" s="400"/>
    </row>
    <row r="215" spans="1:23" x14ac:dyDescent="0.25">
      <c r="A215" s="275"/>
      <c r="W215" s="400"/>
    </row>
    <row r="216" spans="1:23" x14ac:dyDescent="0.25">
      <c r="A216" s="275"/>
      <c r="W216" s="400"/>
    </row>
    <row r="217" spans="1:23" x14ac:dyDescent="0.25">
      <c r="A217" s="275"/>
      <c r="W217" s="400"/>
    </row>
    <row r="218" spans="1:23" x14ac:dyDescent="0.25">
      <c r="A218" s="275"/>
      <c r="W218" s="400"/>
    </row>
    <row r="219" spans="1:23" x14ac:dyDescent="0.25">
      <c r="A219" s="275"/>
      <c r="W219" s="400"/>
    </row>
    <row r="220" spans="1:23" x14ac:dyDescent="0.25">
      <c r="A220" s="275"/>
      <c r="W220" s="400"/>
    </row>
    <row r="221" spans="1:23" x14ac:dyDescent="0.25">
      <c r="A221" s="275"/>
      <c r="W221" s="400"/>
    </row>
    <row r="222" spans="1:23" x14ac:dyDescent="0.25">
      <c r="A222" s="275"/>
      <c r="W222" s="400"/>
    </row>
    <row r="223" spans="1:23" x14ac:dyDescent="0.25">
      <c r="A223" s="275"/>
      <c r="W223" s="400"/>
    </row>
    <row r="224" spans="1:23" x14ac:dyDescent="0.25">
      <c r="A224" s="275"/>
      <c r="W224" s="400"/>
    </row>
    <row r="225" spans="1:23" x14ac:dyDescent="0.25">
      <c r="A225" s="275"/>
      <c r="W225" s="400"/>
    </row>
    <row r="226" spans="1:23" x14ac:dyDescent="0.25">
      <c r="A226" s="275"/>
      <c r="W226" s="400"/>
    </row>
    <row r="227" spans="1:23" x14ac:dyDescent="0.25">
      <c r="A227" s="275"/>
      <c r="W227" s="400"/>
    </row>
    <row r="228" spans="1:23" x14ac:dyDescent="0.25">
      <c r="A228" s="275"/>
      <c r="W228" s="400"/>
    </row>
    <row r="229" spans="1:23" x14ac:dyDescent="0.25">
      <c r="A229" s="275"/>
      <c r="W229" s="400"/>
    </row>
    <row r="230" spans="1:23" x14ac:dyDescent="0.25">
      <c r="A230" s="275"/>
      <c r="W230" s="400"/>
    </row>
    <row r="231" spans="1:23" x14ac:dyDescent="0.25">
      <c r="A231" s="275"/>
      <c r="W231" s="400"/>
    </row>
    <row r="232" spans="1:23" x14ac:dyDescent="0.25">
      <c r="A232" s="275"/>
      <c r="W232" s="400"/>
    </row>
    <row r="233" spans="1:23" x14ac:dyDescent="0.25">
      <c r="A233" s="275"/>
      <c r="W233" s="400"/>
    </row>
    <row r="234" spans="1:23" x14ac:dyDescent="0.25">
      <c r="A234" s="275"/>
      <c r="W234" s="400"/>
    </row>
    <row r="235" spans="1:23" x14ac:dyDescent="0.25">
      <c r="A235" s="275"/>
      <c r="W235" s="400"/>
    </row>
    <row r="236" spans="1:23" x14ac:dyDescent="0.25">
      <c r="A236" s="275"/>
      <c r="W236" s="400"/>
    </row>
    <row r="237" spans="1:23" x14ac:dyDescent="0.25">
      <c r="A237" s="275"/>
      <c r="W237" s="400"/>
    </row>
    <row r="238" spans="1:23" x14ac:dyDescent="0.25">
      <c r="A238" s="275"/>
      <c r="W238" s="400"/>
    </row>
    <row r="239" spans="1:23" x14ac:dyDescent="0.25">
      <c r="A239" s="275"/>
      <c r="W239" s="400"/>
    </row>
    <row r="240" spans="1:23" x14ac:dyDescent="0.25">
      <c r="A240" s="412"/>
      <c r="B240" s="399"/>
      <c r="C240" s="399"/>
      <c r="D240" s="399"/>
      <c r="E240" s="399"/>
      <c r="F240" s="399"/>
      <c r="G240" s="399"/>
      <c r="H240" s="399"/>
      <c r="I240" s="399"/>
      <c r="J240" s="399"/>
      <c r="K240" s="399"/>
      <c r="L240" s="399"/>
      <c r="M240" s="399"/>
      <c r="N240" s="399"/>
      <c r="O240" s="399"/>
      <c r="P240" s="401"/>
      <c r="Q240" s="401"/>
      <c r="R240" s="429"/>
      <c r="S240" s="418"/>
      <c r="T240" s="401"/>
      <c r="U240" s="401"/>
      <c r="V240" s="401"/>
      <c r="W240" s="413"/>
    </row>
    <row r="241" spans="1:23" x14ac:dyDescent="0.25">
      <c r="A241" s="419"/>
      <c r="B241" s="415"/>
      <c r="C241" s="415"/>
      <c r="D241" s="415"/>
      <c r="E241" s="415"/>
      <c r="F241" s="415"/>
      <c r="G241" s="415"/>
      <c r="H241" s="415"/>
      <c r="I241" s="415"/>
      <c r="J241" s="415"/>
      <c r="K241" s="415"/>
      <c r="L241" s="415"/>
      <c r="M241" s="420"/>
      <c r="N241" s="415"/>
      <c r="O241" s="415"/>
      <c r="P241" s="409"/>
      <c r="Q241" s="409"/>
      <c r="R241" s="428"/>
      <c r="S241" s="417"/>
      <c r="T241" s="409"/>
      <c r="U241" s="409"/>
      <c r="V241" s="409"/>
      <c r="W241" s="421"/>
    </row>
    <row r="242" spans="1:23" x14ac:dyDescent="0.25">
      <c r="A242" s="275"/>
      <c r="W242" s="400"/>
    </row>
    <row r="243" spans="1:23" x14ac:dyDescent="0.25">
      <c r="A243" s="275"/>
      <c r="W243" s="400"/>
    </row>
    <row r="244" spans="1:23" x14ac:dyDescent="0.25">
      <c r="A244" s="275"/>
      <c r="W244" s="400"/>
    </row>
    <row r="245" spans="1:23" x14ac:dyDescent="0.25">
      <c r="A245" s="275"/>
      <c r="W245" s="400"/>
    </row>
    <row r="246" spans="1:23" x14ac:dyDescent="0.25">
      <c r="A246" s="275"/>
      <c r="W246" s="400"/>
    </row>
    <row r="247" spans="1:23" x14ac:dyDescent="0.25">
      <c r="A247" s="275"/>
      <c r="W247" s="400"/>
    </row>
    <row r="248" spans="1:23" x14ac:dyDescent="0.25">
      <c r="A248" s="275"/>
      <c r="W248" s="400"/>
    </row>
    <row r="249" spans="1:23" x14ac:dyDescent="0.25">
      <c r="A249" s="275"/>
      <c r="W249" s="400"/>
    </row>
    <row r="250" spans="1:23" x14ac:dyDescent="0.25">
      <c r="A250" s="275"/>
      <c r="W250" s="400"/>
    </row>
    <row r="251" spans="1:23" x14ac:dyDescent="0.25">
      <c r="A251" s="275"/>
      <c r="W251" s="400"/>
    </row>
    <row r="252" spans="1:23" x14ac:dyDescent="0.25">
      <c r="A252" s="275"/>
      <c r="W252" s="400"/>
    </row>
    <row r="253" spans="1:23" x14ac:dyDescent="0.25">
      <c r="A253" s="275"/>
      <c r="W253" s="400"/>
    </row>
    <row r="254" spans="1:23" x14ac:dyDescent="0.25">
      <c r="A254" s="275"/>
      <c r="W254" s="400"/>
    </row>
    <row r="255" spans="1:23" x14ac:dyDescent="0.25">
      <c r="A255" s="275"/>
      <c r="W255" s="400"/>
    </row>
    <row r="256" spans="1:23" x14ac:dyDescent="0.25">
      <c r="A256" s="275"/>
      <c r="W256" s="400"/>
    </row>
    <row r="257" spans="1:23" x14ac:dyDescent="0.25">
      <c r="A257" s="275"/>
      <c r="W257" s="400"/>
    </row>
    <row r="258" spans="1:23" x14ac:dyDescent="0.25">
      <c r="A258" s="275"/>
      <c r="W258" s="400"/>
    </row>
    <row r="259" spans="1:23" x14ac:dyDescent="0.25">
      <c r="A259" s="275"/>
      <c r="W259" s="400"/>
    </row>
    <row r="260" spans="1:23" x14ac:dyDescent="0.25">
      <c r="A260" s="275"/>
      <c r="W260" s="400"/>
    </row>
    <row r="261" spans="1:23" x14ac:dyDescent="0.25">
      <c r="A261" s="275"/>
      <c r="W261" s="400"/>
    </row>
    <row r="262" spans="1:23" x14ac:dyDescent="0.25">
      <c r="A262" s="275"/>
      <c r="W262" s="400"/>
    </row>
    <row r="263" spans="1:23" x14ac:dyDescent="0.25">
      <c r="A263" s="275"/>
      <c r="W263" s="400"/>
    </row>
    <row r="264" spans="1:23" x14ac:dyDescent="0.25">
      <c r="A264" s="275"/>
      <c r="W264" s="400"/>
    </row>
    <row r="265" spans="1:23" x14ac:dyDescent="0.25">
      <c r="A265" s="275"/>
      <c r="W265" s="400"/>
    </row>
    <row r="266" spans="1:23" x14ac:dyDescent="0.25">
      <c r="A266" s="275"/>
      <c r="W266" s="400"/>
    </row>
    <row r="267" spans="1:23" x14ac:dyDescent="0.25">
      <c r="A267" s="275"/>
      <c r="W267" s="400"/>
    </row>
    <row r="268" spans="1:23" x14ac:dyDescent="0.25">
      <c r="A268" s="275"/>
      <c r="W268" s="400"/>
    </row>
    <row r="269" spans="1:23" x14ac:dyDescent="0.25">
      <c r="A269" s="275"/>
      <c r="W269" s="400"/>
    </row>
    <row r="270" spans="1:23" x14ac:dyDescent="0.25">
      <c r="A270" s="412"/>
      <c r="B270" s="399"/>
      <c r="C270" s="399"/>
      <c r="D270" s="399"/>
      <c r="E270" s="399"/>
      <c r="F270" s="399"/>
      <c r="G270" s="399"/>
      <c r="H270" s="399"/>
      <c r="I270" s="399"/>
      <c r="J270" s="399"/>
      <c r="K270" s="399"/>
      <c r="L270" s="399"/>
      <c r="M270" s="399"/>
      <c r="N270" s="399"/>
      <c r="O270" s="399"/>
      <c r="P270" s="401"/>
      <c r="Q270" s="401"/>
      <c r="R270" s="429"/>
      <c r="S270" s="418"/>
      <c r="T270" s="401"/>
      <c r="U270" s="401"/>
      <c r="V270" s="401"/>
      <c r="W270" s="413"/>
    </row>
    <row r="271" spans="1:23" x14ac:dyDescent="0.25">
      <c r="A271" s="424"/>
      <c r="B271" s="415"/>
      <c r="C271" s="415"/>
      <c r="D271" s="415"/>
      <c r="E271" s="415"/>
      <c r="F271" s="415"/>
      <c r="G271" s="415"/>
      <c r="H271" s="415"/>
      <c r="I271" s="415"/>
      <c r="J271" s="415"/>
      <c r="K271" s="415"/>
      <c r="L271" s="415"/>
      <c r="M271" s="415"/>
      <c r="N271" s="415"/>
      <c r="O271" s="415"/>
      <c r="P271" s="409"/>
      <c r="Q271" s="409"/>
      <c r="R271" s="428"/>
      <c r="S271" s="417"/>
      <c r="T271" s="409"/>
      <c r="U271" s="409"/>
      <c r="V271" s="409"/>
      <c r="W271" s="421"/>
    </row>
    <row r="272" spans="1:23" x14ac:dyDescent="0.25">
      <c r="A272" s="425"/>
      <c r="W272" s="400"/>
    </row>
    <row r="273" spans="1:23" x14ac:dyDescent="0.25">
      <c r="A273" s="425"/>
      <c r="W273" s="400"/>
    </row>
    <row r="274" spans="1:23" x14ac:dyDescent="0.25">
      <c r="A274" s="425"/>
      <c r="W274" s="400"/>
    </row>
    <row r="275" spans="1:23" x14ac:dyDescent="0.25">
      <c r="A275" s="425"/>
      <c r="W275" s="400"/>
    </row>
    <row r="276" spans="1:23" x14ac:dyDescent="0.25">
      <c r="A276" s="425"/>
      <c r="W276" s="400"/>
    </row>
    <row r="277" spans="1:23" x14ac:dyDescent="0.25">
      <c r="A277" s="425"/>
      <c r="W277" s="400"/>
    </row>
    <row r="278" spans="1:23" x14ac:dyDescent="0.25">
      <c r="A278" s="425"/>
      <c r="W278" s="400"/>
    </row>
    <row r="279" spans="1:23" x14ac:dyDescent="0.25">
      <c r="A279" s="425"/>
      <c r="W279" s="400"/>
    </row>
    <row r="280" spans="1:23" x14ac:dyDescent="0.25">
      <c r="A280" s="425"/>
      <c r="W280" s="400"/>
    </row>
    <row r="281" spans="1:23" x14ac:dyDescent="0.25">
      <c r="A281" s="425"/>
      <c r="W281" s="400"/>
    </row>
    <row r="282" spans="1:23" x14ac:dyDescent="0.25">
      <c r="A282" s="425"/>
      <c r="W282" s="400"/>
    </row>
    <row r="283" spans="1:23" x14ac:dyDescent="0.25">
      <c r="A283" s="425"/>
      <c r="W283" s="400"/>
    </row>
    <row r="284" spans="1:23" x14ac:dyDescent="0.25">
      <c r="A284" s="425"/>
      <c r="W284" s="400"/>
    </row>
    <row r="285" spans="1:23" x14ac:dyDescent="0.25">
      <c r="A285" s="425"/>
      <c r="W285" s="400"/>
    </row>
    <row r="286" spans="1:23" x14ac:dyDescent="0.25">
      <c r="A286" s="425"/>
      <c r="W286" s="400"/>
    </row>
    <row r="287" spans="1:23" x14ac:dyDescent="0.25">
      <c r="A287" s="425"/>
      <c r="W287" s="400"/>
    </row>
    <row r="288" spans="1:23" x14ac:dyDescent="0.25">
      <c r="A288" s="425"/>
      <c r="W288" s="400"/>
    </row>
    <row r="289" spans="1:23" x14ac:dyDescent="0.25">
      <c r="A289" s="425"/>
      <c r="W289" s="400"/>
    </row>
    <row r="290" spans="1:23" x14ac:dyDescent="0.25">
      <c r="A290" s="425"/>
      <c r="W290" s="400"/>
    </row>
    <row r="291" spans="1:23" x14ac:dyDescent="0.25">
      <c r="A291" s="425"/>
      <c r="W291" s="400"/>
    </row>
    <row r="292" spans="1:23" x14ac:dyDescent="0.25">
      <c r="A292" s="425"/>
      <c r="W292" s="400"/>
    </row>
    <row r="293" spans="1:23" x14ac:dyDescent="0.25">
      <c r="A293" s="425"/>
      <c r="W293" s="400"/>
    </row>
    <row r="294" spans="1:23" x14ac:dyDescent="0.25">
      <c r="A294" s="425"/>
      <c r="W294" s="400"/>
    </row>
    <row r="295" spans="1:23" x14ac:dyDescent="0.25">
      <c r="A295" s="425"/>
      <c r="W295" s="400"/>
    </row>
    <row r="296" spans="1:23" x14ac:dyDescent="0.25">
      <c r="A296" s="425"/>
      <c r="W296" s="400"/>
    </row>
    <row r="297" spans="1:23" x14ac:dyDescent="0.25">
      <c r="A297" s="425"/>
      <c r="W297" s="400"/>
    </row>
    <row r="298" spans="1:23" x14ac:dyDescent="0.25">
      <c r="A298" s="425"/>
      <c r="W298" s="400"/>
    </row>
    <row r="299" spans="1:23" x14ac:dyDescent="0.25">
      <c r="A299" s="425"/>
      <c r="W299" s="400"/>
    </row>
    <row r="300" spans="1:23" x14ac:dyDescent="0.25">
      <c r="A300" s="426"/>
      <c r="B300" s="399"/>
      <c r="C300" s="399"/>
      <c r="D300" s="399"/>
      <c r="E300" s="399"/>
      <c r="F300" s="399"/>
      <c r="G300" s="399"/>
      <c r="H300" s="399"/>
      <c r="I300" s="399"/>
      <c r="J300" s="399"/>
      <c r="K300" s="399"/>
      <c r="L300" s="399"/>
      <c r="M300" s="399"/>
      <c r="N300" s="399"/>
      <c r="O300" s="399"/>
      <c r="P300" s="401"/>
      <c r="Q300" s="401"/>
      <c r="R300" s="429"/>
      <c r="S300" s="418"/>
      <c r="T300" s="401"/>
      <c r="U300" s="401"/>
      <c r="V300" s="401"/>
      <c r="W300" s="413"/>
    </row>
    <row r="301" spans="1:23" x14ac:dyDescent="0.25">
      <c r="A301" s="419"/>
      <c r="B301" s="415"/>
      <c r="C301" s="415"/>
      <c r="D301" s="415"/>
      <c r="E301" s="415"/>
      <c r="F301" s="415"/>
      <c r="G301" s="415"/>
      <c r="H301" s="415"/>
      <c r="I301" s="415"/>
      <c r="J301" s="415"/>
      <c r="K301" s="415"/>
      <c r="L301" s="415"/>
      <c r="M301" s="420"/>
      <c r="N301" s="415"/>
      <c r="O301" s="415"/>
      <c r="P301" s="409"/>
      <c r="Q301" s="409"/>
      <c r="R301" s="428"/>
      <c r="S301" s="417"/>
      <c r="T301" s="409"/>
      <c r="U301" s="409"/>
      <c r="V301" s="409"/>
      <c r="W301" s="421"/>
    </row>
    <row r="302" spans="1:23" x14ac:dyDescent="0.25">
      <c r="A302" s="275"/>
      <c r="W302" s="400"/>
    </row>
    <row r="303" spans="1:23" x14ac:dyDescent="0.25">
      <c r="A303" s="275"/>
      <c r="W303" s="400"/>
    </row>
    <row r="304" spans="1:23" x14ac:dyDescent="0.25">
      <c r="A304" s="275"/>
      <c r="W304" s="400"/>
    </row>
    <row r="305" spans="1:23" x14ac:dyDescent="0.25">
      <c r="A305" s="275"/>
      <c r="W305" s="400"/>
    </row>
    <row r="306" spans="1:23" x14ac:dyDescent="0.25">
      <c r="A306" s="275"/>
      <c r="W306" s="400"/>
    </row>
    <row r="307" spans="1:23" x14ac:dyDescent="0.25">
      <c r="A307" s="275"/>
      <c r="W307" s="400"/>
    </row>
    <row r="308" spans="1:23" x14ac:dyDescent="0.25">
      <c r="A308" s="275"/>
      <c r="W308" s="400"/>
    </row>
    <row r="309" spans="1:23" x14ac:dyDescent="0.25">
      <c r="A309" s="275"/>
      <c r="W309" s="400"/>
    </row>
    <row r="310" spans="1:23" x14ac:dyDescent="0.25">
      <c r="A310" s="275"/>
      <c r="W310" s="400"/>
    </row>
    <row r="311" spans="1:23" x14ac:dyDescent="0.25">
      <c r="A311" s="275"/>
      <c r="W311" s="400"/>
    </row>
    <row r="312" spans="1:23" x14ac:dyDescent="0.25">
      <c r="A312" s="275"/>
      <c r="W312" s="400"/>
    </row>
    <row r="313" spans="1:23" x14ac:dyDescent="0.25">
      <c r="A313" s="275"/>
      <c r="W313" s="400"/>
    </row>
    <row r="314" spans="1:23" x14ac:dyDescent="0.25">
      <c r="A314" s="275"/>
      <c r="W314" s="400"/>
    </row>
    <row r="315" spans="1:23" x14ac:dyDescent="0.25">
      <c r="A315" s="275"/>
      <c r="W315" s="400"/>
    </row>
    <row r="316" spans="1:23" x14ac:dyDescent="0.25">
      <c r="A316" s="275"/>
      <c r="W316" s="400"/>
    </row>
    <row r="317" spans="1:23" x14ac:dyDescent="0.25">
      <c r="A317" s="275"/>
      <c r="W317" s="400"/>
    </row>
    <row r="318" spans="1:23" x14ac:dyDescent="0.25">
      <c r="A318" s="275"/>
      <c r="W318" s="400"/>
    </row>
    <row r="319" spans="1:23" x14ac:dyDescent="0.25">
      <c r="A319" s="275"/>
      <c r="W319" s="400"/>
    </row>
    <row r="320" spans="1:23" x14ac:dyDescent="0.25">
      <c r="A320" s="275"/>
      <c r="W320" s="400"/>
    </row>
    <row r="321" spans="1:23" x14ac:dyDescent="0.25">
      <c r="A321" s="275"/>
      <c r="W321" s="400"/>
    </row>
    <row r="322" spans="1:23" x14ac:dyDescent="0.25">
      <c r="A322" s="275"/>
      <c r="W322" s="400"/>
    </row>
    <row r="323" spans="1:23" x14ac:dyDescent="0.25">
      <c r="A323" s="275"/>
      <c r="W323" s="400"/>
    </row>
    <row r="324" spans="1:23" x14ac:dyDescent="0.25">
      <c r="A324" s="275"/>
      <c r="W324" s="400"/>
    </row>
    <row r="325" spans="1:23" x14ac:dyDescent="0.25">
      <c r="A325" s="275"/>
      <c r="W325" s="400"/>
    </row>
    <row r="326" spans="1:23" x14ac:dyDescent="0.25">
      <c r="A326" s="275"/>
      <c r="W326" s="400"/>
    </row>
    <row r="327" spans="1:23" x14ac:dyDescent="0.25">
      <c r="A327" s="275"/>
      <c r="W327" s="400"/>
    </row>
    <row r="328" spans="1:23" x14ac:dyDescent="0.25">
      <c r="A328" s="275"/>
      <c r="W328" s="400"/>
    </row>
    <row r="329" spans="1:23" x14ac:dyDescent="0.25">
      <c r="A329" s="275"/>
      <c r="W329" s="400"/>
    </row>
    <row r="330" spans="1:23" x14ac:dyDescent="0.25">
      <c r="A330" s="412"/>
      <c r="B330" s="399"/>
      <c r="C330" s="399"/>
      <c r="D330" s="399"/>
      <c r="E330" s="399"/>
      <c r="F330" s="399"/>
      <c r="G330" s="399"/>
      <c r="H330" s="399"/>
      <c r="I330" s="399"/>
      <c r="J330" s="399"/>
      <c r="K330" s="399"/>
      <c r="L330" s="399"/>
      <c r="M330" s="399"/>
      <c r="N330" s="399"/>
      <c r="O330" s="399"/>
      <c r="P330" s="401"/>
      <c r="Q330" s="401"/>
      <c r="R330" s="429"/>
      <c r="S330" s="418"/>
      <c r="T330" s="401"/>
      <c r="U330" s="401"/>
      <c r="V330" s="401"/>
      <c r="W330" s="413"/>
    </row>
    <row r="331" spans="1:23" x14ac:dyDescent="0.25">
      <c r="A331" s="419"/>
      <c r="B331" s="415"/>
      <c r="C331" s="415"/>
      <c r="D331" s="415"/>
      <c r="E331" s="415"/>
      <c r="F331" s="415"/>
      <c r="G331" s="415"/>
      <c r="H331" s="415"/>
      <c r="I331" s="415"/>
      <c r="J331" s="415"/>
      <c r="K331" s="415"/>
      <c r="L331" s="415"/>
      <c r="M331" s="420"/>
      <c r="N331" s="415"/>
      <c r="O331" s="415"/>
      <c r="P331" s="409"/>
      <c r="Q331" s="409"/>
      <c r="R331" s="428"/>
      <c r="S331" s="417"/>
      <c r="T331" s="409"/>
      <c r="U331" s="409"/>
      <c r="V331" s="409"/>
      <c r="W331" s="421"/>
    </row>
    <row r="332" spans="1:23" x14ac:dyDescent="0.25">
      <c r="A332" s="275"/>
      <c r="W332" s="400"/>
    </row>
    <row r="333" spans="1:23" x14ac:dyDescent="0.25">
      <c r="A333" s="275"/>
      <c r="W333" s="400"/>
    </row>
    <row r="334" spans="1:23" x14ac:dyDescent="0.25">
      <c r="A334" s="275"/>
      <c r="W334" s="400"/>
    </row>
    <row r="335" spans="1:23" x14ac:dyDescent="0.25">
      <c r="A335" s="275"/>
      <c r="W335" s="400"/>
    </row>
    <row r="336" spans="1:23" x14ac:dyDescent="0.25">
      <c r="A336" s="275"/>
      <c r="W336" s="400"/>
    </row>
    <row r="337" spans="1:23" x14ac:dyDescent="0.25">
      <c r="A337" s="275"/>
      <c r="W337" s="400"/>
    </row>
    <row r="338" spans="1:23" x14ac:dyDescent="0.25">
      <c r="A338" s="275"/>
      <c r="W338" s="400"/>
    </row>
    <row r="339" spans="1:23" x14ac:dyDescent="0.25">
      <c r="A339" s="275"/>
      <c r="W339" s="400"/>
    </row>
    <row r="340" spans="1:23" x14ac:dyDescent="0.25">
      <c r="A340" s="275"/>
      <c r="W340" s="400"/>
    </row>
    <row r="341" spans="1:23" x14ac:dyDescent="0.25">
      <c r="A341" s="275"/>
      <c r="W341" s="400"/>
    </row>
    <row r="342" spans="1:23" x14ac:dyDescent="0.25">
      <c r="A342" s="275"/>
      <c r="W342" s="400"/>
    </row>
    <row r="343" spans="1:23" x14ac:dyDescent="0.25">
      <c r="A343" s="275"/>
      <c r="W343" s="400"/>
    </row>
    <row r="344" spans="1:23" x14ac:dyDescent="0.25">
      <c r="A344" s="275"/>
      <c r="W344" s="400"/>
    </row>
    <row r="345" spans="1:23" x14ac:dyDescent="0.25">
      <c r="A345" s="275"/>
      <c r="W345" s="400"/>
    </row>
    <row r="346" spans="1:23" x14ac:dyDescent="0.25">
      <c r="A346" s="275"/>
      <c r="W346" s="400"/>
    </row>
    <row r="347" spans="1:23" x14ac:dyDescent="0.25">
      <c r="A347" s="275"/>
      <c r="W347" s="400"/>
    </row>
    <row r="348" spans="1:23" x14ac:dyDescent="0.25">
      <c r="A348" s="275"/>
      <c r="W348" s="400"/>
    </row>
    <row r="349" spans="1:23" x14ac:dyDescent="0.25">
      <c r="A349" s="275"/>
      <c r="W349" s="400"/>
    </row>
    <row r="350" spans="1:23" x14ac:dyDescent="0.25">
      <c r="A350" s="275"/>
      <c r="W350" s="400"/>
    </row>
    <row r="351" spans="1:23" x14ac:dyDescent="0.25">
      <c r="A351" s="275"/>
      <c r="W351" s="400"/>
    </row>
    <row r="352" spans="1:23" x14ac:dyDescent="0.25">
      <c r="A352" s="275"/>
      <c r="W352" s="400"/>
    </row>
    <row r="353" spans="1:23" x14ac:dyDescent="0.25">
      <c r="A353" s="275"/>
      <c r="W353" s="400"/>
    </row>
    <row r="354" spans="1:23" x14ac:dyDescent="0.25">
      <c r="A354" s="275"/>
      <c r="W354" s="400"/>
    </row>
    <row r="355" spans="1:23" x14ac:dyDescent="0.25">
      <c r="A355" s="275"/>
      <c r="W355" s="400"/>
    </row>
    <row r="356" spans="1:23" x14ac:dyDescent="0.25">
      <c r="A356" s="275"/>
      <c r="W356" s="400"/>
    </row>
    <row r="357" spans="1:23" x14ac:dyDescent="0.25">
      <c r="A357" s="275"/>
      <c r="W357" s="400"/>
    </row>
    <row r="358" spans="1:23" x14ac:dyDescent="0.25">
      <c r="A358" s="275"/>
      <c r="W358" s="400"/>
    </row>
    <row r="359" spans="1:23" x14ac:dyDescent="0.25">
      <c r="A359" s="275"/>
      <c r="W359" s="400"/>
    </row>
    <row r="360" spans="1:23" x14ac:dyDescent="0.25">
      <c r="A360" s="412"/>
      <c r="B360" s="399"/>
      <c r="C360" s="399"/>
      <c r="D360" s="399"/>
      <c r="E360" s="399"/>
      <c r="F360" s="399"/>
      <c r="G360" s="399"/>
      <c r="H360" s="399"/>
      <c r="I360" s="399"/>
      <c r="J360" s="399"/>
      <c r="K360" s="399"/>
      <c r="L360" s="399"/>
      <c r="M360" s="399"/>
      <c r="N360" s="399"/>
      <c r="O360" s="399"/>
      <c r="P360" s="401"/>
      <c r="Q360" s="401"/>
      <c r="R360" s="429"/>
      <c r="S360" s="418"/>
      <c r="T360" s="401"/>
      <c r="U360" s="401"/>
      <c r="V360" s="401"/>
      <c r="W360" s="413"/>
    </row>
    <row r="361" spans="1:23" x14ac:dyDescent="0.25">
      <c r="A361" s="419"/>
      <c r="B361" s="415"/>
      <c r="C361" s="415"/>
      <c r="D361" s="415"/>
      <c r="E361" s="415"/>
      <c r="F361" s="415"/>
      <c r="G361" s="415"/>
      <c r="H361" s="415"/>
      <c r="I361" s="415"/>
      <c r="J361" s="415"/>
      <c r="K361" s="415"/>
      <c r="L361" s="415"/>
      <c r="M361" s="420"/>
      <c r="N361" s="415"/>
      <c r="O361" s="415"/>
      <c r="P361" s="409"/>
      <c r="Q361" s="409"/>
      <c r="R361" s="428"/>
      <c r="S361" s="417"/>
      <c r="T361" s="409"/>
      <c r="U361" s="409"/>
      <c r="V361" s="409"/>
      <c r="W361" s="421"/>
    </row>
    <row r="362" spans="1:23" x14ac:dyDescent="0.25">
      <c r="A362" s="275"/>
      <c r="W362" s="400"/>
    </row>
    <row r="363" spans="1:23" x14ac:dyDescent="0.25">
      <c r="A363" s="275"/>
      <c r="W363" s="400"/>
    </row>
    <row r="364" spans="1:23" x14ac:dyDescent="0.25">
      <c r="A364" s="275"/>
      <c r="W364" s="400"/>
    </row>
    <row r="365" spans="1:23" x14ac:dyDescent="0.25">
      <c r="A365" s="275"/>
      <c r="W365" s="400"/>
    </row>
    <row r="366" spans="1:23" x14ac:dyDescent="0.25">
      <c r="A366" s="275"/>
      <c r="W366" s="400"/>
    </row>
    <row r="367" spans="1:23" x14ac:dyDescent="0.25">
      <c r="A367" s="275"/>
      <c r="W367" s="400"/>
    </row>
    <row r="368" spans="1:23" x14ac:dyDescent="0.25">
      <c r="A368" s="275"/>
      <c r="W368" s="400"/>
    </row>
    <row r="369" spans="1:23" x14ac:dyDescent="0.25">
      <c r="A369" s="275"/>
      <c r="W369" s="400"/>
    </row>
    <row r="370" spans="1:23" x14ac:dyDescent="0.25">
      <c r="A370" s="275"/>
      <c r="W370" s="400"/>
    </row>
    <row r="371" spans="1:23" x14ac:dyDescent="0.25">
      <c r="A371" s="275"/>
      <c r="W371" s="400"/>
    </row>
    <row r="372" spans="1:23" x14ac:dyDescent="0.25">
      <c r="A372" s="275"/>
      <c r="W372" s="400"/>
    </row>
    <row r="373" spans="1:23" x14ac:dyDescent="0.25">
      <c r="A373" s="275"/>
      <c r="W373" s="400"/>
    </row>
    <row r="374" spans="1:23" x14ac:dyDescent="0.25">
      <c r="A374" s="275"/>
      <c r="W374" s="400"/>
    </row>
    <row r="375" spans="1:23" x14ac:dyDescent="0.25">
      <c r="A375" s="275"/>
      <c r="W375" s="400"/>
    </row>
    <row r="376" spans="1:23" x14ac:dyDescent="0.25">
      <c r="A376" s="275"/>
      <c r="W376" s="400"/>
    </row>
    <row r="377" spans="1:23" x14ac:dyDescent="0.25">
      <c r="A377" s="275"/>
      <c r="W377" s="400"/>
    </row>
    <row r="378" spans="1:23" x14ac:dyDescent="0.25">
      <c r="A378" s="275"/>
      <c r="W378" s="400"/>
    </row>
    <row r="379" spans="1:23" x14ac:dyDescent="0.25">
      <c r="A379" s="275"/>
      <c r="W379" s="400"/>
    </row>
    <row r="380" spans="1:23" x14ac:dyDescent="0.25">
      <c r="A380" s="275"/>
      <c r="W380" s="400"/>
    </row>
    <row r="381" spans="1:23" x14ac:dyDescent="0.25">
      <c r="A381" s="275"/>
      <c r="W381" s="400"/>
    </row>
    <row r="382" spans="1:23" x14ac:dyDescent="0.25">
      <c r="A382" s="275"/>
      <c r="W382" s="400"/>
    </row>
    <row r="383" spans="1:23" x14ac:dyDescent="0.25">
      <c r="A383" s="275"/>
      <c r="W383" s="400"/>
    </row>
    <row r="384" spans="1:23" x14ac:dyDescent="0.25">
      <c r="A384" s="275"/>
      <c r="W384" s="400"/>
    </row>
    <row r="385" spans="1:23" x14ac:dyDescent="0.25">
      <c r="A385" s="275"/>
      <c r="W385" s="400"/>
    </row>
    <row r="386" spans="1:23" x14ac:dyDescent="0.25">
      <c r="A386" s="275"/>
      <c r="W386" s="400"/>
    </row>
    <row r="387" spans="1:23" x14ac:dyDescent="0.25">
      <c r="A387" s="275"/>
      <c r="W387" s="400"/>
    </row>
    <row r="388" spans="1:23" x14ac:dyDescent="0.25">
      <c r="A388" s="275"/>
      <c r="W388" s="400"/>
    </row>
    <row r="389" spans="1:23" x14ac:dyDescent="0.25">
      <c r="A389" s="275"/>
      <c r="W389" s="400"/>
    </row>
    <row r="390" spans="1:23" x14ac:dyDescent="0.25">
      <c r="A390" s="412"/>
      <c r="B390" s="399"/>
      <c r="C390" s="399"/>
      <c r="D390" s="399"/>
      <c r="E390" s="399"/>
      <c r="F390" s="399"/>
      <c r="G390" s="399"/>
      <c r="H390" s="399"/>
      <c r="I390" s="399"/>
      <c r="J390" s="399"/>
      <c r="K390" s="399"/>
      <c r="L390" s="399"/>
      <c r="M390" s="399"/>
      <c r="N390" s="399"/>
      <c r="O390" s="399"/>
      <c r="P390" s="401"/>
      <c r="Q390" s="401"/>
      <c r="R390" s="429"/>
      <c r="S390" s="418"/>
      <c r="T390" s="401"/>
      <c r="U390" s="401"/>
      <c r="V390" s="401"/>
      <c r="W390" s="413"/>
    </row>
    <row r="391" spans="1:23" x14ac:dyDescent="0.25">
      <c r="A391" s="419" t="s">
        <v>254</v>
      </c>
      <c r="B391" s="415" t="s">
        <v>1846</v>
      </c>
      <c r="C391" s="415" t="s">
        <v>1936</v>
      </c>
      <c r="D391" s="415" t="s">
        <v>1792</v>
      </c>
      <c r="E391" s="415" t="str" cm="1">
        <f t="array" ref="E391:E400">IFERROR(INDEX(_xlfn._xlws.FILTER(CostData!$P$3:$P$12,CostData!$P$3:$P$12&lt;&gt;""),_xlfn.SEQUENCE(10)),"")</f>
        <v>Default</v>
      </c>
      <c r="F391" s="415" t="str">
        <f>"▼ [Variant]"</f>
        <v>▼ [Variant]</v>
      </c>
      <c r="G391" s="415" t="str">
        <f>"▼ [Fix - Casement]"</f>
        <v>▼ [Fix - Casement]</v>
      </c>
      <c r="H391" s="415"/>
      <c r="I391" s="415"/>
      <c r="J391" s="415"/>
      <c r="K391" s="415"/>
      <c r="L391" s="415"/>
      <c r="M391" s="420">
        <v>0.54649999999999999</v>
      </c>
      <c r="N391" s="415">
        <v>609.6</v>
      </c>
      <c r="O391" s="415"/>
      <c r="P391" s="409" t="str" cm="1">
        <f t="array" ref="P3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1" s="409" t="str" cm="1">
        <f t="array" ref="Q391">_xlfn.LET(_xlpm.cd,INDEX($S:$S,ROW()),IF(_xlpm.cd="","",IFERROR(_xlfn.XLOOKUP(_xlpm.cd,CostData!$C$22:$C$1000,CostData!$B$22:$B$1000,""),"")))</f>
        <v>Aluminium</v>
      </c>
      <c r="R391" s="428" t="s">
        <v>1812</v>
      </c>
      <c r="S391" s="417" t="s">
        <v>1926</v>
      </c>
      <c r="T391" s="409" t="str" cm="1">
        <f t="array" ref="T391">_xlfn.LET(_xlpm.cd,INDEX($S:$S,ROW()),IF(_xlpm.cd="","",IFERROR(_xlfn.XLOOKUP(_xlpm.cd,CostData!$C$22:$C$1000,CostData!$E$22:$E$1000,""),"")))</f>
        <v>Outer</v>
      </c>
      <c r="U391" s="409" t="s">
        <v>103</v>
      </c>
      <c r="V391" s="409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W391" s="421" t="str" cm="1">
        <f t="array" ref="W3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2" spans="1:23" x14ac:dyDescent="0.25">
      <c r="A392" s="275" t="s">
        <v>254</v>
      </c>
      <c r="B392" s="370" t="s">
        <v>1848</v>
      </c>
      <c r="C392" s="415" t="s">
        <v>1936</v>
      </c>
      <c r="D392" s="370" t="s">
        <v>1814</v>
      </c>
      <c r="E392" s="370" t="str">
        <v>Z-Louvre Blade - 2"</v>
      </c>
      <c r="G392" s="370" t="s">
        <v>1938</v>
      </c>
      <c r="P392" s="1" t="str" cm="1">
        <f t="array" ref="P3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2" s="1" t="str" cm="1">
        <f t="array" ref="Q392">_xlfn.LET(_xlpm.cd,INDEX($S:$S,ROW()),IF(_xlpm.cd="","",IFERROR(_xlfn.XLOOKUP(_xlpm.cd,CostData!$C$22:$C$1000,CostData!$B$22:$B$1000,""),"")))</f>
        <v>Aluminium</v>
      </c>
      <c r="R392" s="16" t="s">
        <v>1849</v>
      </c>
      <c r="S392" s="24" t="s">
        <v>1927</v>
      </c>
      <c r="T392" s="1" t="str" cm="1">
        <f t="array" ref="T392">_xlfn.LET(_xlpm.cd,INDEX($S:$S,ROW()),IF(_xlpm.cd="","",IFERROR(_xlfn.XLOOKUP(_xlpm.cd,CostData!$C$22:$C$1000,CostData!$E$22:$E$1000,""),"")))</f>
        <v>Inner</v>
      </c>
      <c r="U392" s="1" t="s">
        <v>103</v>
      </c>
      <c r="V39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222</v>
      </c>
      <c r="W392" s="400" t="str" cm="1">
        <f t="array" ref="W3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3" spans="1:23" x14ac:dyDescent="0.25">
      <c r="A393" s="275" t="s">
        <v>254</v>
      </c>
      <c r="B393" s="370" t="s">
        <v>382</v>
      </c>
      <c r="C393" s="415" t="s">
        <v>1936</v>
      </c>
      <c r="D393" s="370" t="s">
        <v>1793</v>
      </c>
      <c r="E393" s="370" t="str">
        <v>Z-Louvre Blade - 5"</v>
      </c>
      <c r="P393" s="1" t="str" cm="1">
        <f t="array" ref="P3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3" s="1" t="str" cm="1">
        <f t="array" ref="Q393">_xlfn.LET(_xlpm.cd,INDEX($S:$S,ROW()),IF(_xlpm.cd="","",IFERROR(_xlfn.XLOOKUP(_xlpm.cd,CostData!$C$22:$C$1000,CostData!$B$22:$B$1000,""),"")))</f>
        <v>Aluminium</v>
      </c>
      <c r="R393" s="16" t="s">
        <v>1863</v>
      </c>
      <c r="S393" s="24" t="s">
        <v>1928</v>
      </c>
      <c r="T393" s="1" t="str" cm="1">
        <f t="array" ref="T393">_xlfn.LET(_xlpm.cd,INDEX($S:$S,ROW()),IF(_xlpm.cd="","",IFERROR(_xlfn.XLOOKUP(_xlpm.cd,CostData!$C$22:$C$1000,CostData!$E$22:$E$1000,""),"")))</f>
        <v>Mullion</v>
      </c>
      <c r="U393" s="1" t="s">
        <v>103</v>
      </c>
      <c r="V393" s="1">
        <f>IF(AND(Enginuity!$B$7&gt;0,Enginuity!$B$13&gt;1),(Enginuity!$B$13-1)*Enginuity!$B$7,"")</f>
        <v>78</v>
      </c>
      <c r="W393" s="400" t="str" cm="1">
        <f t="array" ref="W3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4" spans="1:23" x14ac:dyDescent="0.25">
      <c r="A394" s="275" t="s">
        <v>254</v>
      </c>
      <c r="B394" s="370" t="s">
        <v>1847</v>
      </c>
      <c r="C394" s="415" t="s">
        <v>1936</v>
      </c>
      <c r="D394" s="370" t="s">
        <v>1815</v>
      </c>
      <c r="E394" s="370" t="str">
        <v/>
      </c>
      <c r="P394" s="1" t="str" cm="1">
        <f t="array" ref="P3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4" s="1" t="str" cm="1">
        <f t="array" ref="Q394">_xlfn.LET(_xlpm.cd,INDEX($S:$S,ROW()),IF(_xlpm.cd="","",IFERROR(_xlfn.XLOOKUP(_xlpm.cd,CostData!$C$22:$C$1000,CostData!$B$22:$B$1000,""),"")))</f>
        <v>Aluminium</v>
      </c>
      <c r="R394" s="16" t="s">
        <v>1862</v>
      </c>
      <c r="S394" s="24" t="s">
        <v>1928</v>
      </c>
      <c r="T394" s="1" t="str" cm="1">
        <f t="array" ref="T394">_xlfn.LET(_xlpm.cd,INDEX($S:$S,ROW()),IF(_xlpm.cd="","",IFERROR(_xlfn.XLOOKUP(_xlpm.cd,CostData!$C$22:$C$1000,CostData!$E$22:$E$1000,""),"")))</f>
        <v>Mullion</v>
      </c>
      <c r="U394" s="1" t="s">
        <v>103</v>
      </c>
      <c r="W394" s="400" t="str" cm="1">
        <f t="array" ref="W3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5" spans="1:23" x14ac:dyDescent="0.25">
      <c r="A395" s="275" t="s">
        <v>254</v>
      </c>
      <c r="C395" s="415" t="s">
        <v>1936</v>
      </c>
      <c r="E395" s="370" t="str">
        <v/>
      </c>
      <c r="P395" s="1" t="str" cm="1">
        <f t="array" ref="P3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5" s="1" t="str" cm="1">
        <f t="array" ref="Q395">_xlfn.LET(_xlpm.cd,INDEX($S:$S,ROW()),IF(_xlpm.cd="","",IFERROR(_xlfn.XLOOKUP(_xlpm.cd,CostData!$C$22:$C$1000,CostData!$B$22:$B$1000,""),"")))</f>
        <v/>
      </c>
      <c r="W395" s="400" t="str" cm="1">
        <f t="array" ref="W3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6" spans="1:23" x14ac:dyDescent="0.25">
      <c r="A396" s="275" t="s">
        <v>254</v>
      </c>
      <c r="C396" s="415" t="s">
        <v>1936</v>
      </c>
      <c r="E396" s="370" t="str">
        <v/>
      </c>
      <c r="Q396" s="1" t="str" cm="1">
        <f t="array" ref="Q396">_xlfn.LET(_xlpm.cd,INDEX($S:$S,ROW()),IF(_xlpm.cd="","",IFERROR(_xlfn.XLOOKUP(_xlpm.cd,CostData!$C$22:$C$1000,CostData!$B$22:$B$1000,""),"")))</f>
        <v/>
      </c>
      <c r="W396" s="400" t="str" cm="1">
        <f t="array" ref="W3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7" spans="1:23" x14ac:dyDescent="0.25">
      <c r="A397" s="275" t="s">
        <v>254</v>
      </c>
      <c r="C397" s="415" t="s">
        <v>1936</v>
      </c>
      <c r="E397" s="370" t="str">
        <v/>
      </c>
      <c r="P397" s="1" t="str" cm="1">
        <f t="array" ref="P3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7" s="1" t="str" cm="1">
        <f t="array" ref="Q397">_xlfn.LET(_xlpm.cd,INDEX($S:$S,ROW()),IF(_xlpm.cd="","",IFERROR(_xlfn.XLOOKUP(_xlpm.cd,CostData!$C$22:$C$1000,CostData!$B$22:$B$1000,""),"")))</f>
        <v>Aluminium</v>
      </c>
      <c r="R397" s="16" t="s">
        <v>114</v>
      </c>
      <c r="S397" s="24" t="s">
        <v>1929</v>
      </c>
      <c r="T397" s="9" t="str">
        <f>Enginuity!A22</f>
        <v>▼ [Lattice]</v>
      </c>
      <c r="U397" s="1" t="s">
        <v>1937</v>
      </c>
      <c r="V397" s="1">
        <f>IF(TRIM(Enginuity!$A$22)="","",IF(AND(Enginuity!$B$6&gt;0,Enginuity!$B$7&gt;0,Enginuity!$B$13&gt;0),(2*Enginuity!$B$7*Enginuity!$B$13)+(2*Enginuity!$B$6),""))</f>
        <v>222</v>
      </c>
      <c r="W397" s="400" t="str" cm="1">
        <f t="array" ref="W39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98" spans="1:23" x14ac:dyDescent="0.25">
      <c r="A398" s="275" t="s">
        <v>254</v>
      </c>
      <c r="C398" s="415" t="s">
        <v>1936</v>
      </c>
      <c r="E398" s="370" t="str">
        <v/>
      </c>
      <c r="P398" s="1" t="str" cm="1">
        <f t="array" ref="P3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8" s="1" t="str" cm="1">
        <f t="array" ref="Q398">_xlfn.LET(_xlpm.cd,INDEX($S:$S,ROW()),IF(_xlpm.cd="","",IFERROR(_xlfn.XLOOKUP(_xlpm.cd,CostData!$C$22:$C$1000,CostData!$B$22:$B$1000,""),"")))</f>
        <v/>
      </c>
      <c r="T398" s="1" t="str" cm="1">
        <f t="array" ref="T398">_xlfn.LET(_xlpm.cd,INDEX($S:$S,ROW()),IF(_xlpm.cd="","",IFERROR(_xlfn.XLOOKUP(_xlpm.cd,CostData!$C$22:$C$1000,CostData!$E$22:$E$1000,""),"")))</f>
        <v/>
      </c>
      <c r="V398" s="1" t="str" cm="1">
        <f t="array" ref="V398">IFERROR(_xlfn.XLOOKUP(1,(TRIM(CostData!$B$22:$B$1000)="Aluminium")*(TRIM(CostData!$C$22:$C$1000)="CWS")*(TRIM(CostData!$E$22:$E$1000)=TRIM($S398)),_xlfn.SWITCH(TRIM(Enginuity!$A$19),"N/A",CostData!$H$22:$H$1000,"M/B",CostData!$I$22:$I$1000,"P/C",CostData!$J$22:$J$1000,"W/G",CostData!$K$22:$K$1000,""),""),"")</f>
        <v/>
      </c>
      <c r="W398" s="400" t="str" cm="1">
        <f t="array" ref="W3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9" spans="1:23" x14ac:dyDescent="0.25">
      <c r="A399" s="275" t="s">
        <v>254</v>
      </c>
      <c r="C399" s="415" t="s">
        <v>1936</v>
      </c>
      <c r="E399" s="370" t="str">
        <v/>
      </c>
      <c r="P399" s="1" t="str" cm="1">
        <f t="array" ref="P3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9" s="1" t="str" cm="1">
        <f t="array" ref="Q399">_xlfn.LET(_xlpm.cd,INDEX($S:$S,ROW()),IF(_xlpm.cd="","",IFERROR(_xlfn.XLOOKUP(_xlpm.cd,CostData!$C$22:$C$1000,CostData!$B$22:$B$1000,""),"")))</f>
        <v/>
      </c>
      <c r="T399" s="1" t="str" cm="1">
        <f t="array" ref="T399">_xlfn.LET(_xlpm.cd,INDEX($S:$S,ROW()),IF(_xlpm.cd="","",IFERROR(_xlfn.XLOOKUP(_xlpm.cd,CostData!$C$22:$C$1000,CostData!$E$22:$E$1000,""),"")))</f>
        <v/>
      </c>
      <c r="V399" s="1" t="str" cm="1">
        <f t="array" ref="V399">IFERROR(_xlfn.XLOOKUP(1,(TRIM(CostData!$B$22:$B$1000)="Aluminium")*(TRIM(CostData!$C$22:$C$1000)="CWS")*(TRIM(CostData!$E$22:$E$1000)=TRIM($S399)),_xlfn.SWITCH(TRIM(Enginuity!$A$19),"N/A",CostData!$H$22:$H$1000,"M/B",CostData!$I$22:$I$1000,"P/C",CostData!$J$22:$J$1000,"W/G",CostData!$K$22:$K$1000,""),""),"")</f>
        <v/>
      </c>
      <c r="W399" s="400" t="str" cm="1">
        <f t="array" ref="W3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0" spans="1:23" x14ac:dyDescent="0.25">
      <c r="A400" s="275" t="s">
        <v>254</v>
      </c>
      <c r="C400" s="415" t="s">
        <v>1936</v>
      </c>
      <c r="E400" s="370" t="str">
        <v/>
      </c>
      <c r="P400" s="1" t="str" cm="1">
        <f t="array" ref="P4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0" s="1" t="str" cm="1">
        <f t="array" ref="Q400">_xlfn.LET(_xlpm.cd,INDEX($S:$S,ROW()),IF(_xlpm.cd="","",IFERROR(_xlfn.XLOOKUP(_xlpm.cd,CostData!$C$22:$C$1000,CostData!$B$22:$B$1000,""),"")))</f>
        <v/>
      </c>
      <c r="T400" s="1" t="str" cm="1">
        <f t="array" ref="T400">_xlfn.LET(_xlpm.cd,INDEX($S:$S,ROW()),IF(_xlpm.cd="","",IFERROR(_xlfn.XLOOKUP(_xlpm.cd,CostData!$C$22:$C$1000,CostData!$E$22:$E$1000,""),"")))</f>
        <v/>
      </c>
      <c r="V400" s="1" t="str" cm="1">
        <f t="array" ref="V400">IFERROR(_xlfn.XLOOKUP(1,(TRIM(CostData!$B$22:$B$1000)="Aluminium")*(TRIM(CostData!$C$22:$C$1000)="CWS")*(TRIM(CostData!$E$22:$E$1000)=TRIM($S400)),_xlfn.SWITCH(TRIM(Enginuity!$A$19),"N/A",CostData!$H$22:$H$1000,"M/B",CostData!$I$22:$I$1000,"P/C",CostData!$J$22:$J$1000,"W/G",CostData!$K$22:$K$1000,""),""),"")</f>
        <v/>
      </c>
      <c r="W400" s="400" t="str" cm="1">
        <f t="array" ref="W4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1" spans="1:23" x14ac:dyDescent="0.25">
      <c r="A401" s="275" t="s">
        <v>254</v>
      </c>
      <c r="C401" s="415" t="s">
        <v>1936</v>
      </c>
      <c r="P401" s="1" t="str" cm="1">
        <f t="array" ref="P4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1" s="1" t="str" cm="1">
        <f t="array" ref="Q401">_xlfn.LET(_xlpm.cd,INDEX($S:$S,ROW()),IF(_xlpm.cd="","",IFERROR(_xlfn.XLOOKUP(_xlpm.cd,CostData!$C$22:$C$1000,CostData!$B$22:$B$1000,""),"")))</f>
        <v/>
      </c>
      <c r="T401" s="1" t="str" cm="1">
        <f t="array" ref="T401">_xlfn.LET(_xlpm.cd,INDEX($S:$S,ROW()),IF(_xlpm.cd="","",IFERROR(_xlfn.XLOOKUP(_xlpm.cd,CostData!$C$22:$C$1000,CostData!$E$22:$E$1000,""),"")))</f>
        <v/>
      </c>
      <c r="V401" s="1" t="str" cm="1">
        <f t="array" ref="V401">IFERROR(_xlfn.XLOOKUP(1,(TRIM(CostData!$B$22:$B$1000)="Aluminium")*(TRIM(CostData!$C$22:$C$1000)="CWS")*(TRIM(CostData!$E$22:$E$1000)=TRIM($S401)),_xlfn.SWITCH(TRIM(Enginuity!$A$19),"N/A",CostData!$H$22:$H$1000,"M/B",CostData!$I$22:$I$1000,"P/C",CostData!$J$22:$J$1000,"W/G",CostData!$K$22:$K$1000,""),""),"")</f>
        <v/>
      </c>
      <c r="W401" s="400" t="str" cm="1">
        <f t="array" ref="W4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2" spans="1:23" x14ac:dyDescent="0.25">
      <c r="A402" s="275" t="s">
        <v>254</v>
      </c>
      <c r="C402" s="415" t="s">
        <v>1936</v>
      </c>
      <c r="P402" s="1" t="str" cm="1">
        <f t="array" ref="P4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2" s="1" t="str" cm="1">
        <f t="array" ref="Q402">_xlfn.LET(_xlpm.cd,INDEX($S:$S,ROW()),IF(_xlpm.cd="","",IFERROR(_xlfn.XLOOKUP(_xlpm.cd,CostData!$C$22:$C$1000,CostData!$B$22:$B$1000,""),"")))</f>
        <v/>
      </c>
      <c r="T402" s="1" t="str" cm="1">
        <f t="array" ref="T402">_xlfn.LET(_xlpm.cd,INDEX($S:$S,ROW()),IF(_xlpm.cd="","",IFERROR(_xlfn.XLOOKUP(_xlpm.cd,CostData!$C$22:$C$1000,CostData!$E$22:$E$1000,""),"")))</f>
        <v/>
      </c>
      <c r="V402" s="1" t="str" cm="1">
        <f t="array" ref="V402">IFERROR(_xlfn.XLOOKUP(1,(TRIM(CostData!$B$22:$B$1000)="Aluminium")*(TRIM(CostData!$C$22:$C$1000)="CWS")*(TRIM(CostData!$E$22:$E$1000)=TRIM($S402)),_xlfn.SWITCH(TRIM(Enginuity!$A$19),"N/A",CostData!$H$22:$H$1000,"M/B",CostData!$I$22:$I$1000,"P/C",CostData!$J$22:$J$1000,"W/G",CostData!$K$22:$K$1000,""),""),"")</f>
        <v/>
      </c>
      <c r="W402" s="400" t="str" cm="1">
        <f t="array" ref="W4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3" spans="1:23" x14ac:dyDescent="0.25">
      <c r="A403" s="275" t="s">
        <v>254</v>
      </c>
      <c r="C403" s="415" t="s">
        <v>1936</v>
      </c>
      <c r="P403" s="1" t="str" cm="1">
        <f t="array" ref="P4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3" s="1" t="str" cm="1">
        <f t="array" ref="Q403">_xlfn.LET(_xlpm.cd,INDEX($S:$S,ROW()),IF(_xlpm.cd="","",IFERROR(_xlfn.XLOOKUP(_xlpm.cd,CostData!$C$22:$C$1000,CostData!$B$22:$B$1000,""),"")))</f>
        <v/>
      </c>
      <c r="T403" s="1" t="str" cm="1">
        <f t="array" ref="T403">_xlfn.LET(_xlpm.cd,INDEX($S:$S,ROW()),IF(_xlpm.cd="","",IFERROR(_xlfn.XLOOKUP(_xlpm.cd,CostData!$C$22:$C$1000,CostData!$E$22:$E$1000,""),"")))</f>
        <v/>
      </c>
      <c r="V403" s="1" t="str" cm="1">
        <f t="array" ref="V403">IFERROR(_xlfn.XLOOKUP(1,(TRIM(CostData!$B$22:$B$1000)="Aluminium")*(TRIM(CostData!$C$22:$C$1000)="CWS")*(TRIM(CostData!$E$22:$E$1000)=TRIM($S403)),_xlfn.SWITCH(TRIM(Enginuity!$A$19),"N/A",CostData!$H$22:$H$1000,"M/B",CostData!$I$22:$I$1000,"P/C",CostData!$J$22:$J$1000,"W/G",CostData!$K$22:$K$1000,""),""),"")</f>
        <v/>
      </c>
      <c r="W403" s="400" t="str" cm="1">
        <f t="array" ref="W4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4" spans="1:23" x14ac:dyDescent="0.25">
      <c r="A404" s="275" t="s">
        <v>254</v>
      </c>
      <c r="C404" s="415" t="s">
        <v>1936</v>
      </c>
      <c r="P404" s="1" t="str" cm="1">
        <f t="array" ref="P4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4" s="1" t="str" cm="1">
        <f t="array" ref="Q404">_xlfn.LET(_xlpm.cd,INDEX($S:$S,ROW()),IF(_xlpm.cd="","",IFERROR(_xlfn.XLOOKUP(_xlpm.cd,CostData!$C$22:$C$1000,CostData!$B$22:$B$1000,""),"")))</f>
        <v/>
      </c>
      <c r="T404" s="1" t="str" cm="1">
        <f t="array" ref="T404">_xlfn.LET(_xlpm.cd,INDEX($S:$S,ROW()),IF(_xlpm.cd="","",IFERROR(_xlfn.XLOOKUP(_xlpm.cd,CostData!$C$22:$C$1000,CostData!$E$22:$E$1000,""),"")))</f>
        <v/>
      </c>
      <c r="V404" s="1" t="str" cm="1">
        <f t="array" ref="V404">IFERROR(_xlfn.XLOOKUP(1,(TRIM(CostData!$B$22:$B$1000)="Aluminium")*(TRIM(CostData!$C$22:$C$1000)="CWS")*(TRIM(CostData!$E$22:$E$1000)=TRIM($S404)),_xlfn.SWITCH(TRIM(Enginuity!$A$19),"N/A",CostData!$H$22:$H$1000,"M/B",CostData!$I$22:$I$1000,"P/C",CostData!$J$22:$J$1000,"W/G",CostData!$K$22:$K$1000,""),""),"")</f>
        <v/>
      </c>
      <c r="W404" s="400" t="str" cm="1">
        <f t="array" ref="W4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5" spans="1:23" x14ac:dyDescent="0.25">
      <c r="A405" s="275" t="s">
        <v>254</v>
      </c>
      <c r="C405" s="415" t="s">
        <v>1936</v>
      </c>
      <c r="P405" s="1" t="str" cm="1">
        <f t="array" ref="P4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5" s="1" t="str" cm="1">
        <f t="array" ref="Q405">_xlfn.LET(_xlpm.cd,INDEX($S:$S,ROW()),IF(_xlpm.cd="","",IFERROR(_xlfn.XLOOKUP(_xlpm.cd,CostData!$C$22:$C$1000,CostData!$B$22:$B$1000,""),"")))</f>
        <v/>
      </c>
      <c r="T405" s="1" t="str" cm="1">
        <f t="array" ref="T405">_xlfn.LET(_xlpm.cd,INDEX($S:$S,ROW()),IF(_xlpm.cd="","",IFERROR(_xlfn.XLOOKUP(_xlpm.cd,CostData!$C$22:$C$1000,CostData!$E$22:$E$1000,""),"")))</f>
        <v/>
      </c>
      <c r="V405" s="1" t="str" cm="1">
        <f t="array" ref="V405">IFERROR(_xlfn.XLOOKUP(1,(TRIM(CostData!$B$22:$B$1000)="Aluminium")*(TRIM(CostData!$C$22:$C$1000)="CWS")*(TRIM(CostData!$E$22:$E$1000)=TRIM($S405)),_xlfn.SWITCH(TRIM(Enginuity!$A$19),"N/A",CostData!$H$22:$H$1000,"M/B",CostData!$I$22:$I$1000,"P/C",CostData!$J$22:$J$1000,"W/G",CostData!$K$22:$K$1000,""),""),"")</f>
        <v/>
      </c>
      <c r="W405" s="400" t="str" cm="1">
        <f t="array" ref="W4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6" spans="1:23" x14ac:dyDescent="0.25">
      <c r="A406" s="275" t="s">
        <v>254</v>
      </c>
      <c r="C406" s="415" t="s">
        <v>1936</v>
      </c>
      <c r="P406" s="1" t="str" cm="1">
        <f t="array" ref="P4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6" s="1" t="str" cm="1">
        <f t="array" ref="Q406">_xlfn.LET(_xlpm.cd,INDEX($S:$S,ROW()),IF(_xlpm.cd="","",IFERROR(_xlfn.XLOOKUP(_xlpm.cd,CostData!$C$22:$C$1000,CostData!$B$22:$B$1000,""),"")))</f>
        <v/>
      </c>
      <c r="T406" s="1" t="str" cm="1">
        <f t="array" ref="T406">_xlfn.LET(_xlpm.cd,INDEX($S:$S,ROW()),IF(_xlpm.cd="","",IFERROR(_xlfn.XLOOKUP(_xlpm.cd,CostData!$C$22:$C$1000,CostData!$E$22:$E$1000,""),"")))</f>
        <v/>
      </c>
      <c r="V406" s="1" t="str" cm="1">
        <f t="array" ref="V406">IFERROR(_xlfn.XLOOKUP(1,(TRIM(CostData!$B$22:$B$1000)="Aluminium")*(TRIM(CostData!$C$22:$C$1000)="CWS")*(TRIM(CostData!$E$22:$E$1000)=TRIM($S406)),_xlfn.SWITCH(TRIM(Enginuity!$A$19),"N/A",CostData!$H$22:$H$1000,"M/B",CostData!$I$22:$I$1000,"P/C",CostData!$J$22:$J$1000,"W/G",CostData!$K$22:$K$1000,""),""),"")</f>
        <v/>
      </c>
      <c r="W406" s="400" t="str" cm="1">
        <f t="array" ref="W4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7" spans="1:23" x14ac:dyDescent="0.25">
      <c r="A407" s="275" t="s">
        <v>254</v>
      </c>
      <c r="C407" s="415" t="s">
        <v>1936</v>
      </c>
      <c r="P407" s="1" t="str" cm="1">
        <f t="array" ref="P4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7" s="1" t="s">
        <v>1833</v>
      </c>
      <c r="R407" s="16" t="str">
        <f>IF($T407="","","⬒ "&amp;$T407)</f>
        <v>⬒ Z-Louvre Blade - 5"</v>
      </c>
      <c r="T407" s="1" t="str">
        <f>IF(Enginuity!$A$20="","",Enginuity!$A$20)</f>
        <v>Z-Louvre Blade - 5"</v>
      </c>
      <c r="U407" s="1" t="s">
        <v>121</v>
      </c>
      <c r="V407" s="1">
        <f>IF(Enginuity!$B$9="","",Enginuity!$B$9)</f>
        <v>260</v>
      </c>
      <c r="W407" s="400">
        <f>IFERROR(INDEX(CostData!$Q$3:$Q$12,MATCH(TRIM(Enginuity!$A$20),CostData!$P$3:$P$12,0)),"")</f>
        <v>32.037384615384617</v>
      </c>
    </row>
    <row r="408" spans="1:23" x14ac:dyDescent="0.25">
      <c r="A408" s="275" t="s">
        <v>254</v>
      </c>
      <c r="C408" s="415" t="s">
        <v>1936</v>
      </c>
      <c r="P408" s="1" t="str" cm="1">
        <f t="array" ref="P4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8" s="1" t="str" cm="1">
        <f t="array" ref="V408">IFERROR(_xlfn.XLOOKUP(1,(TRIM(CostData!$B$22:$B$1000)="Aluminium")*(TRIM(CostData!$C$22:$C$1000)="CWS")*(TRIM(CostData!$E$22:$E$1000)=TRIM($S408)),_xlfn.SWITCH(TRIM(Enginuity!$A$19),"N/A",CostData!$H$22:$H$1000,"M/B",CostData!$I$22:$I$1000,"P/C",CostData!$J$22:$J$1000,"W/G",CostData!$K$22:$K$1000,""),""),"")</f>
        <v/>
      </c>
      <c r="W408" s="400" t="str" cm="1">
        <f t="array" ref="W408">IF(OR(TRIM(CalcEngine!$A408)&lt;&gt;TRIM(Enginuity!$A$1),TRIM(CalcEngine!$C408)&lt;&gt;TRIM(Enginuity!$A$18),CalcEngine!$V408="",CalcEngine!$V408=0),"",IFERROR(_xlfn.XLOOKUP(1,(TRIM(CostData!$B$22:$B$1000)="Aluminium")*(TRIM(CostData!$C$22:$C$1000)="CWS")*(TRIM(CostData!$E$22:$E$1000)=TRIM(CalcEngine!$T408)),_xlfn.SWITCH(TRIM(Enginuity!$A$19),"N/A",CostData!$H$22:$H$1000,"M/B",CostData!$I$22:$I$1000,"P/C",CostData!$J$22:$J$1000,"W/G",CostData!$K$22:$K$1000,""),""),""))</f>
        <v/>
      </c>
    </row>
    <row r="409" spans="1:23" x14ac:dyDescent="0.25">
      <c r="A409" s="275" t="s">
        <v>254</v>
      </c>
      <c r="C409" s="415" t="s">
        <v>1936</v>
      </c>
      <c r="P409" s="1" t="str" cm="1">
        <f t="array" ref="P4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9" s="1" t="str" cm="1">
        <f t="array" ref="V409">IFERROR(_xlfn.XLOOKUP(1,(TRIM(CostData!$B$22:$B$1000)="Aluminium")*(TRIM(CostData!$C$22:$C$1000)="CWS")*(TRIM(CostData!$E$22:$E$1000)=TRIM($S409)),_xlfn.SWITCH(TRIM(Enginuity!$A$19),"N/A",CostData!$H$22:$H$1000,"M/B",CostData!$I$22:$I$1000,"P/C",CostData!$J$22:$J$1000,"W/G",CostData!$K$22:$K$1000,""),""),"")</f>
        <v/>
      </c>
      <c r="W409" s="400" t="str" cm="1">
        <f t="array" ref="W409">IF(OR(TRIM(CalcEngine!$A409)&lt;&gt;TRIM(Enginuity!$A$1),TRIM(CalcEngine!$C409)&lt;&gt;TRIM(Enginuity!$A$18),CalcEngine!$V409="",CalcEngine!$V409=0),"",IFERROR(_xlfn.XLOOKUP(1,(TRIM(CostData!$B$22:$B$1000)="Aluminium")*(TRIM(CostData!$C$22:$C$1000)="CWS")*(TRIM(CostData!$E$22:$E$1000)=TRIM(CalcEngine!$T409)),_xlfn.SWITCH(TRIM(Enginuity!$A$19),"N/A",CostData!$H$22:$H$1000,"M/B",CostData!$I$22:$I$1000,"P/C",CostData!$J$22:$J$1000,"W/G",CostData!$K$22:$K$1000,""),""),""))</f>
        <v/>
      </c>
    </row>
    <row r="410" spans="1:23" x14ac:dyDescent="0.25">
      <c r="A410" s="275" t="s">
        <v>254</v>
      </c>
      <c r="C410" s="415" t="s">
        <v>1936</v>
      </c>
      <c r="P410" s="1" t="str" cm="1">
        <f t="array" ref="P4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0" s="1" t="str" cm="1">
        <f t="array" ref="V410">IFERROR(_xlfn.XLOOKUP(1,(TRIM(CostData!$B$22:$B$1000)="Aluminium")*(TRIM(CostData!$C$22:$C$1000)="CWS")*(TRIM(CostData!$E$22:$E$1000)=TRIM($S410)),_xlfn.SWITCH(TRIM(Enginuity!$A$19),"N/A",CostData!$H$22:$H$1000,"M/B",CostData!$I$22:$I$1000,"P/C",CostData!$J$22:$J$1000,"W/G",CostData!$K$22:$K$1000,""),""),"")</f>
        <v/>
      </c>
      <c r="W410" s="400" t="str" cm="1">
        <f t="array" ref="W410">IF(OR(TRIM(CalcEngine!$A410)&lt;&gt;TRIM(Enginuity!$A$1),TRIM(CalcEngine!$C410)&lt;&gt;TRIM(Enginuity!$A$18),CalcEngine!$V410="",CalcEngine!$V410=0),"",IFERROR(_xlfn.XLOOKUP(1,(TRIM(CostData!$B$22:$B$1000)="Aluminium")*(TRIM(CostData!$C$22:$C$1000)="CWS")*(TRIM(CostData!$E$22:$E$1000)=TRIM(CalcEngine!$T410)),_xlfn.SWITCH(TRIM(Enginuity!$A$19),"N/A",CostData!$H$22:$H$1000,"M/B",CostData!$I$22:$I$1000,"P/C",CostData!$J$22:$J$1000,"W/G",CostData!$K$22:$K$1000,""),""),""))</f>
        <v/>
      </c>
    </row>
    <row r="411" spans="1:23" x14ac:dyDescent="0.25">
      <c r="A411" s="275" t="s">
        <v>254</v>
      </c>
      <c r="C411" s="415" t="s">
        <v>1936</v>
      </c>
      <c r="P411" s="1" t="str" cm="1">
        <f t="array" ref="P4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1" s="1" t="str" cm="1">
        <f t="array" ref="V411">IFERROR(_xlfn.XLOOKUP(1,(TRIM(CostData!$B$22:$B$1000)="Aluminium")*(TRIM(CostData!$C$22:$C$1000)="CWS")*(TRIM(CostData!$E$22:$E$1000)=TRIM($S411)),_xlfn.SWITCH(TRIM(Enginuity!$A$19),"N/A",CostData!$H$22:$H$1000,"M/B",CostData!$I$22:$I$1000,"P/C",CostData!$J$22:$J$1000,"W/G",CostData!$K$22:$K$1000,""),""),"")</f>
        <v/>
      </c>
      <c r="W411" s="400" t="str" cm="1">
        <f t="array" ref="W411">IF(OR(TRIM(CalcEngine!$A411)&lt;&gt;TRIM(Enginuity!$A$1),TRIM(CalcEngine!$C411)&lt;&gt;TRIM(Enginuity!$A$18),CalcEngine!$V411="",CalcEngine!$V411=0),"",IFERROR(_xlfn.XLOOKUP(1,(TRIM(CostData!$B$22:$B$1000)="Aluminium")*(TRIM(CostData!$C$22:$C$1000)="CWS")*(TRIM(CostData!$E$22:$E$1000)=TRIM(CalcEngine!$T411)),_xlfn.SWITCH(TRIM(Enginuity!$A$19),"N/A",CostData!$H$22:$H$1000,"M/B",CostData!$I$22:$I$1000,"P/C",CostData!$J$22:$J$1000,"W/G",CostData!$K$22:$K$1000,""),""),""))</f>
        <v/>
      </c>
    </row>
    <row r="412" spans="1:23" x14ac:dyDescent="0.25">
      <c r="A412" s="275" t="s">
        <v>254</v>
      </c>
      <c r="C412" s="415" t="s">
        <v>1936</v>
      </c>
      <c r="P412" s="1" t="str" cm="1">
        <f t="array" ref="P4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12" s="400"/>
    </row>
    <row r="413" spans="1:23" x14ac:dyDescent="0.25">
      <c r="A413" s="275" t="s">
        <v>254</v>
      </c>
      <c r="C413" s="415" t="s">
        <v>1936</v>
      </c>
      <c r="W413" s="400"/>
    </row>
    <row r="414" spans="1:23" x14ac:dyDescent="0.25">
      <c r="A414" s="275" t="s">
        <v>254</v>
      </c>
      <c r="C414" s="415" t="s">
        <v>1936</v>
      </c>
      <c r="P414" s="1" t="str" cm="1">
        <f t="array" ref="P4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4" s="1" t="str">
        <f>IF($S414="","",IFERROR(_xlfn.XLOOKUP($S414,CostData!$U$22:$U$1000,CostData!$T$22:$T$1000,""),""))</f>
        <v>Hinge</v>
      </c>
      <c r="R414" s="16" t="str">
        <f>IF($S414="","",$T414)</f>
        <v>Hung Friction Stay</v>
      </c>
      <c r="S414" s="24" t="s">
        <v>1880</v>
      </c>
      <c r="T414" s="1" t="str" cm="1">
        <f t="array" ref="T414">_xlfn.LET(_xlpm.cd,INDEX($S:$S,ROW()),IF(_xlpm.cd="","",IFERROR(_xlfn.XLOOKUP(_xlpm.cd,CostData!$U$22:$U$1000,CostData!$W$22:$W$1000,""),"")))</f>
        <v>Hung Friction Stay</v>
      </c>
      <c r="U414" s="1" t="str">
        <f>IF($S414="","",IFERROR(_xlfn.XLOOKUP($S414,CostData!$U$22:$U$1000,CostData!$AA$22:$AA$1000,""),""))</f>
        <v>Pair</v>
      </c>
      <c r="V414" s="1">
        <f>IF(TRIM(Enginuity!$A$22)="Fix Window","",IF(Enginuity!$B$13&gt;0,Enginuity!$B$13,""))</f>
        <v>7</v>
      </c>
      <c r="W414" s="400" t="str" cm="1">
        <f t="array" ref="W4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5" spans="1:23" x14ac:dyDescent="0.25">
      <c r="A415" s="275" t="s">
        <v>254</v>
      </c>
      <c r="C415" s="415" t="s">
        <v>1936</v>
      </c>
      <c r="P415" s="1" t="str" cm="1">
        <f t="array" ref="P4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5" s="1" t="str">
        <f>IF($S415="","",IFERROR(_xlfn.XLOOKUP($S415,CostData!$U$22:$U$1000,CostData!$T$22:$T$1000,""),""))</f>
        <v>Handle</v>
      </c>
      <c r="R415" s="16" t="str">
        <f>IF($S415="","",$T415)</f>
        <v>Casement Handle</v>
      </c>
      <c r="S415" s="24" t="s">
        <v>113</v>
      </c>
      <c r="T415" s="1" t="str" cm="1">
        <f t="array" ref="T415">_xlfn.LET(_xlpm.cd,INDEX($S:$S,ROW()),IF(_xlpm.cd="","",IFERROR(_xlfn.XLOOKUP(_xlpm.cd,CostData!$U$22:$U$1000,CostData!$W$22:$W$1000,""),"")))</f>
        <v>Casement Handle</v>
      </c>
      <c r="U415" s="1" t="str">
        <f>IF($S415="","",IFERROR(_xlfn.XLOOKUP($S415,CostData!$U$22:$U$1000,CostData!$AA$22:$AA$1000,""),""))</f>
        <v>Pcs</v>
      </c>
      <c r="V415" s="1">
        <f>IF(TRIM(Enginuity!$A$22)="Fix Window","",IF(Enginuity!$B$13="","",Enginuity!$B$13))</f>
        <v>7</v>
      </c>
      <c r="W415" s="400" t="str" cm="1">
        <f t="array" ref="W4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6" spans="1:23" x14ac:dyDescent="0.25">
      <c r="A416" s="275" t="s">
        <v>254</v>
      </c>
      <c r="C416" s="415" t="s">
        <v>1936</v>
      </c>
      <c r="P416" s="1" t="str" cm="1">
        <f t="array" ref="P4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6" s="1" t="str">
        <f>IF($S416="","",IFERROR(_xlfn.XLOOKUP($S416,CostData!$U$22:$U$1000,CostData!$T$22:$T$1000,""),""))</f>
        <v>Black Tape</v>
      </c>
      <c r="R416" s="16" t="str">
        <f>IF($S416="","",$T416)</f>
        <v>2.5" x 2 Black Tape</v>
      </c>
      <c r="S416" s="24" t="s">
        <v>1898</v>
      </c>
      <c r="T416" s="1" t="str" cm="1">
        <f t="array" ref="T416">_xlfn.LET(_xlpm.cd,INDEX($S:$S,ROW()),IF(_xlpm.cd="","",IFERROR(_xlfn.XLOOKUP(_xlpm.cd,CostData!$U$22:$U$1000,CostData!$W$22:$W$1000,""),"")))</f>
        <v>2.5" x 2 Black Tape</v>
      </c>
      <c r="U416" s="1" t="str">
        <f>IF($S416="","",IFERROR(_xlfn.XLOOKUP($S416,CostData!$U$22:$U$1000,CostData!$AA$22:$AA$1000,""),""))</f>
        <v>Ft</v>
      </c>
      <c r="V416" s="1">
        <f>IF(SUM($V$391:$V$394)=0,"",SUM($V$391:$V$394))</f>
        <v>560</v>
      </c>
      <c r="W416" s="400" t="str" cm="1">
        <f t="array" ref="W4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7" spans="1:23" x14ac:dyDescent="0.25">
      <c r="A417" s="275" t="s">
        <v>254</v>
      </c>
      <c r="C417" s="415" t="s">
        <v>1936</v>
      </c>
      <c r="P417" s="1" t="str" cm="1">
        <f t="array" ref="P4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7" s="1" t="str">
        <f>IF($S417="","",IFERROR(_xlfn.XLOOKUP($S417,CostData!$U$22:$U$1000,CostData!$T$22:$T$1000,""),""))</f>
        <v>Gasket</v>
      </c>
      <c r="R417" s="16" t="s">
        <v>1931</v>
      </c>
      <c r="S417" s="24">
        <v>6154</v>
      </c>
      <c r="T417" s="1" t="str" cm="1">
        <f t="array" ref="T417">_xlfn.LET(_xlpm.cd,INDEX($S:$S,ROW()),IF(_xlpm.cd="","",IFERROR(_xlfn.XLOOKUP(_xlpm.cd,CostData!$U$22:$U$1000,CostData!$W$22:$W$1000,""),"")))</f>
        <v>6154 Gasket</v>
      </c>
      <c r="U417" s="1" t="str">
        <f>IF($S417="","",IFERROR(_xlfn.XLOOKUP($S417,CostData!$U$22:$U$1000,CostData!$AA$22:$AA$1000,""),""))</f>
        <v>Ft</v>
      </c>
      <c r="V417" s="1">
        <f>IF($V$61="","",$V$61)</f>
        <v>260</v>
      </c>
      <c r="W417" s="400" t="str" cm="1">
        <f t="array" ref="W41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8" spans="1:23" x14ac:dyDescent="0.25">
      <c r="A418" s="275" t="s">
        <v>254</v>
      </c>
      <c r="C418" s="415" t="s">
        <v>1936</v>
      </c>
      <c r="P418" s="1" t="str" cm="1">
        <f t="array" ref="P4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8" s="1" t="str">
        <f>IF($S418="","",IFERROR(_xlfn.XLOOKUP($S418,CostData!$U$22:$U$1000,CostData!$T$22:$T$1000,""),""))</f>
        <v>Gasket</v>
      </c>
      <c r="R418" s="16" t="s">
        <v>1932</v>
      </c>
      <c r="S418" s="24" t="s">
        <v>1916</v>
      </c>
      <c r="T418" s="1" t="str" cm="1">
        <f t="array" ref="T418">_xlfn.LET(_xlpm.cd,INDEX($S:$S,ROW()),IF(_xlpm.cd="","",IFERROR(_xlfn.XLOOKUP(_xlpm.cd,CostData!$U$22:$U$1000,CostData!$W$22:$W$1000,""),"")))</f>
        <v>F16S Gasket</v>
      </c>
      <c r="U418" s="1" t="str">
        <f>IF($S418="","",IFERROR(_xlfn.XLOOKUP($S418,CostData!$U$22:$U$1000,CostData!$AA$22:$AA$1000,""),""))</f>
        <v>Ft</v>
      </c>
      <c r="V418" s="1">
        <f>IF($V$392="","",$V$392)</f>
        <v>222</v>
      </c>
      <c r="W418" s="400" t="str" cm="1">
        <f t="array" ref="W4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9" spans="1:23" x14ac:dyDescent="0.25">
      <c r="A419" s="275" t="s">
        <v>254</v>
      </c>
      <c r="C419" s="415" t="s">
        <v>1936</v>
      </c>
      <c r="P419" s="1" t="str" cm="1">
        <f t="array" ref="P4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9" s="1" t="str">
        <f>IF($S419="","",IFERROR(_xlfn.XLOOKUP($S419,CostData!$U$22:$U$1000,CostData!$T$22:$T$1000,""),""))</f>
        <v>Gasket</v>
      </c>
      <c r="R419" s="16" t="s">
        <v>1930</v>
      </c>
      <c r="S419" s="24">
        <v>6154</v>
      </c>
      <c r="T419" s="1" t="str" cm="1">
        <f t="array" ref="T419">_xlfn.LET(_xlpm.cd,INDEX($S:$S,ROW()),IF(_xlpm.cd="","",IFERROR(_xlfn.XLOOKUP(_xlpm.cd,CostData!$U$22:$U$1000,CostData!$W$22:$W$1000,""),"")))</f>
        <v>6154 Gasket</v>
      </c>
      <c r="U419" s="1" t="str">
        <f>IF($S419="","",IFERROR(_xlfn.XLOOKUP($S419,CostData!$U$22:$U$1000,CostData!$AA$22:$AA$1000,""),""))</f>
        <v>Ft</v>
      </c>
      <c r="V419" s="1">
        <f>IF($V$392="","",$V$392)</f>
        <v>222</v>
      </c>
      <c r="W419" s="400" t="str" cm="1">
        <f t="array" ref="W4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0" spans="1:23" x14ac:dyDescent="0.25">
      <c r="A420" s="412" t="s">
        <v>254</v>
      </c>
      <c r="B420" s="399"/>
      <c r="C420" s="415" t="s">
        <v>1936</v>
      </c>
      <c r="D420" s="399"/>
      <c r="E420" s="399"/>
      <c r="F420" s="399"/>
      <c r="G420" s="399"/>
      <c r="H420" s="399"/>
      <c r="I420" s="399"/>
      <c r="J420" s="399"/>
      <c r="K420" s="399"/>
      <c r="L420" s="399"/>
      <c r="M420" s="399"/>
      <c r="N420" s="399"/>
      <c r="O420" s="399"/>
      <c r="P420" s="401"/>
      <c r="Q420" s="401" t="str">
        <f>IF($S420="","",IFERROR(_xlfn.XLOOKUP($S420,CostData!$U$22:$U$1000,CostData!$T$22:$T$1000,""),""))</f>
        <v>Gasket</v>
      </c>
      <c r="R420" s="429" t="s">
        <v>1933</v>
      </c>
      <c r="S420" s="418">
        <v>6154</v>
      </c>
      <c r="T420" s="401" t="str" cm="1">
        <f t="array" ref="T420">_xlfn.LET(_xlpm.cd,INDEX($S:$S,ROW()),IF(_xlpm.cd="","",IFERROR(_xlfn.XLOOKUP(_xlpm.cd,CostData!$U$22:$U$1000,CostData!$W$22:$W$1000,""),"")))</f>
        <v>6154 Gasket</v>
      </c>
      <c r="U420" s="401" t="str">
        <f>IF($S420="","",IFERROR(_xlfn.XLOOKUP($S420,CostData!$U$22:$U$1000,CostData!$AA$22:$AA$1000,""),""))</f>
        <v>Ft</v>
      </c>
      <c r="V420" s="401">
        <f>IF(SUM($V$393:$V$394)=0,"",SUM($V$393:$V$394)*2)</f>
        <v>156</v>
      </c>
      <c r="W420" s="413" t="str" cm="1">
        <f t="array" ref="W4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1" spans="1:23" x14ac:dyDescent="0.25">
      <c r="A451" s="419"/>
      <c r="B451" s="415"/>
      <c r="C451" s="415"/>
      <c r="D451" s="415"/>
      <c r="E451" s="415"/>
      <c r="F451" s="415"/>
      <c r="G451" s="415"/>
      <c r="H451" s="415"/>
      <c r="I451" s="415"/>
      <c r="J451" s="415"/>
      <c r="K451" s="415"/>
      <c r="L451" s="415"/>
      <c r="M451" s="420"/>
      <c r="N451" s="415"/>
      <c r="O451" s="415"/>
      <c r="P451" s="409"/>
      <c r="Q451" s="409"/>
      <c r="R451" s="428"/>
      <c r="S451" s="417"/>
      <c r="T451" s="409"/>
      <c r="U451" s="409"/>
      <c r="V451" s="409"/>
      <c r="W451" s="421"/>
    </row>
    <row r="452" spans="1:23" x14ac:dyDescent="0.25">
      <c r="A452" s="275"/>
      <c r="W452" s="400"/>
    </row>
    <row r="453" spans="1:23" x14ac:dyDescent="0.25">
      <c r="A453" s="275"/>
      <c r="W453" s="400"/>
    </row>
    <row r="454" spans="1:23" x14ac:dyDescent="0.25">
      <c r="A454" s="275"/>
      <c r="W454" s="400"/>
    </row>
    <row r="455" spans="1:23" x14ac:dyDescent="0.25">
      <c r="A455" s="275"/>
      <c r="W455" s="400"/>
    </row>
    <row r="456" spans="1:23" x14ac:dyDescent="0.25">
      <c r="A456" s="275"/>
      <c r="W456" s="400"/>
    </row>
    <row r="457" spans="1:23" x14ac:dyDescent="0.25">
      <c r="A457" s="275"/>
      <c r="W457" s="400"/>
    </row>
    <row r="458" spans="1:23" x14ac:dyDescent="0.25">
      <c r="A458" s="275"/>
      <c r="W458" s="400"/>
    </row>
    <row r="459" spans="1:23" x14ac:dyDescent="0.25">
      <c r="A459" s="275"/>
      <c r="W459" s="400"/>
    </row>
    <row r="460" spans="1:23" x14ac:dyDescent="0.25">
      <c r="A460" s="275"/>
      <c r="W460" s="400"/>
    </row>
    <row r="461" spans="1:23" x14ac:dyDescent="0.25">
      <c r="A461" s="275"/>
      <c r="W461" s="400"/>
    </row>
    <row r="462" spans="1:23" x14ac:dyDescent="0.25">
      <c r="A462" s="275"/>
      <c r="W462" s="400"/>
    </row>
    <row r="463" spans="1:23" x14ac:dyDescent="0.25">
      <c r="A463" s="275"/>
      <c r="W463" s="400"/>
    </row>
    <row r="464" spans="1:23" x14ac:dyDescent="0.25">
      <c r="A464" s="275"/>
      <c r="W464" s="400"/>
    </row>
    <row r="465" spans="1:23" x14ac:dyDescent="0.25">
      <c r="A465" s="275"/>
      <c r="W465" s="400"/>
    </row>
    <row r="466" spans="1:23" x14ac:dyDescent="0.25">
      <c r="A466" s="275"/>
      <c r="W466" s="400"/>
    </row>
    <row r="467" spans="1:23" x14ac:dyDescent="0.25">
      <c r="A467" s="275"/>
      <c r="W467" s="400"/>
    </row>
    <row r="468" spans="1:23" x14ac:dyDescent="0.25">
      <c r="A468" s="275"/>
      <c r="W468" s="400"/>
    </row>
    <row r="469" spans="1:23" x14ac:dyDescent="0.25">
      <c r="A469" s="275"/>
      <c r="W469" s="400"/>
    </row>
    <row r="470" spans="1:23" x14ac:dyDescent="0.25">
      <c r="A470" s="275"/>
      <c r="W470" s="400"/>
    </row>
    <row r="471" spans="1:23" x14ac:dyDescent="0.25">
      <c r="A471" s="275"/>
      <c r="W471" s="400"/>
    </row>
    <row r="472" spans="1:23" x14ac:dyDescent="0.25">
      <c r="A472" s="275"/>
      <c r="W472" s="400"/>
    </row>
    <row r="473" spans="1:23" x14ac:dyDescent="0.25">
      <c r="A473" s="275"/>
      <c r="W473" s="400"/>
    </row>
    <row r="474" spans="1:23" x14ac:dyDescent="0.25">
      <c r="A474" s="275"/>
      <c r="W474" s="400"/>
    </row>
    <row r="475" spans="1:23" x14ac:dyDescent="0.25">
      <c r="A475" s="275"/>
      <c r="W475" s="400"/>
    </row>
    <row r="476" spans="1:23" x14ac:dyDescent="0.25">
      <c r="A476" s="275"/>
      <c r="W476" s="400"/>
    </row>
    <row r="477" spans="1:23" x14ac:dyDescent="0.25">
      <c r="A477" s="275"/>
      <c r="W477" s="400"/>
    </row>
    <row r="478" spans="1:23" x14ac:dyDescent="0.25">
      <c r="A478" s="275"/>
      <c r="W478" s="400"/>
    </row>
    <row r="479" spans="1:23" x14ac:dyDescent="0.25">
      <c r="A479" s="275"/>
      <c r="W479" s="400"/>
    </row>
    <row r="480" spans="1:23" x14ac:dyDescent="0.25">
      <c r="A480" s="412"/>
      <c r="B480" s="399"/>
      <c r="C480" s="399"/>
      <c r="D480" s="399"/>
      <c r="E480" s="399"/>
      <c r="F480" s="399"/>
      <c r="G480" s="399"/>
      <c r="H480" s="399"/>
      <c r="I480" s="399"/>
      <c r="J480" s="399"/>
      <c r="K480" s="399"/>
      <c r="L480" s="399"/>
      <c r="M480" s="399"/>
      <c r="N480" s="399"/>
      <c r="O480" s="399"/>
      <c r="P480" s="401"/>
      <c r="Q480" s="401"/>
      <c r="R480" s="429"/>
      <c r="S480" s="418"/>
      <c r="T480" s="401"/>
      <c r="U480" s="401"/>
      <c r="V480" s="401"/>
      <c r="W480" s="413"/>
    </row>
    <row r="481" spans="1:23" x14ac:dyDescent="0.25">
      <c r="A481" s="419" t="s">
        <v>254</v>
      </c>
      <c r="B481" s="415" t="s">
        <v>1846</v>
      </c>
      <c r="C481" s="415" t="s">
        <v>1935</v>
      </c>
      <c r="D481" s="415" t="s">
        <v>1792</v>
      </c>
      <c r="E481" s="415" t="str" cm="1">
        <f t="array" ref="E481:E490">IFERROR(INDEX(_xlfn._xlws.FILTER(CostData!$P$3:$P$12,CostData!$P$3:$P$12&lt;&gt;""),_xlfn.SEQUENCE(10)),"")</f>
        <v>Default</v>
      </c>
      <c r="F481" s="415" t="str">
        <f>"▼ [Variant]"</f>
        <v>▼ [Variant]</v>
      </c>
      <c r="G481" s="415" t="str">
        <f>"▼ [Fix - Casement]"</f>
        <v>▼ [Fix - Casement]</v>
      </c>
      <c r="H481" s="415" t="str">
        <f>"▼ [Hung Window - Casement]"</f>
        <v>▼ [Hung Window - Casement]</v>
      </c>
      <c r="I481" s="415" t="s">
        <v>1858</v>
      </c>
      <c r="J481" s="415" t="s">
        <v>1859</v>
      </c>
      <c r="K481" s="415" t="s">
        <v>1860</v>
      </c>
      <c r="L481" s="415" t="s">
        <v>1861</v>
      </c>
      <c r="M481" s="420">
        <v>0.54649999999999999</v>
      </c>
      <c r="N481" s="415">
        <v>609.6</v>
      </c>
      <c r="O481" s="415"/>
      <c r="P481" s="409" t="str" cm="1">
        <f t="array" ref="P4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1" s="409" t="str" cm="1">
        <f t="array" ref="Q481">_xlfn.LET(_xlpm.cd,INDEX($S:$S,ROW()),IF(_xlpm.cd="","",IFERROR(_xlfn.XLOOKUP(_xlpm.cd,CostData!$C$22:$C$1000,CostData!$B$22:$B$1000,""),"")))</f>
        <v>Aluminium</v>
      </c>
      <c r="R481" s="428" t="s">
        <v>1812</v>
      </c>
      <c r="S481" s="417" t="s">
        <v>1926</v>
      </c>
      <c r="T481" s="409" t="str" cm="1">
        <f t="array" ref="T481">_xlfn.LET(_xlpm.cd,INDEX($S:$S,ROW()),IF(_xlpm.cd="","",IFERROR(_xlfn.XLOOKUP(_xlpm.cd,CostData!$C$22:$C$1000,CostData!$E$22:$E$1000,""),"")))</f>
        <v>Outer</v>
      </c>
      <c r="U481" s="409" t="s">
        <v>103</v>
      </c>
      <c r="V481" s="409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W481" s="421" t="str" cm="1">
        <f t="array" ref="W4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2" spans="1:23" x14ac:dyDescent="0.25">
      <c r="A482" s="275" t="s">
        <v>254</v>
      </c>
      <c r="B482" s="370" t="s">
        <v>1848</v>
      </c>
      <c r="C482" s="370" t="s">
        <v>1935</v>
      </c>
      <c r="D482" s="370" t="s">
        <v>1814</v>
      </c>
      <c r="E482" s="370" t="str">
        <v>Z-Louvre Blade - 2"</v>
      </c>
      <c r="G482" s="370" t="s">
        <v>1866</v>
      </c>
      <c r="H482" s="370" t="s">
        <v>1866</v>
      </c>
      <c r="P482" s="1" t="str" cm="1">
        <f t="array" ref="P4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2" s="1" t="str" cm="1">
        <f t="array" ref="Q482">_xlfn.LET(_xlpm.cd,INDEX($S:$S,ROW()),IF(_xlpm.cd="","",IFERROR(_xlfn.XLOOKUP(_xlpm.cd,CostData!$C$22:$C$1000,CostData!$B$22:$B$1000,""),"")))</f>
        <v>Aluminium</v>
      </c>
      <c r="R482" s="16" t="s">
        <v>1849</v>
      </c>
      <c r="S482" s="24" t="s">
        <v>1927</v>
      </c>
      <c r="T482" s="1" t="str" cm="1">
        <f t="array" ref="T482">_xlfn.LET(_xlpm.cd,INDEX($S:$S,ROW()),IF(_xlpm.cd="","",IFERROR(_xlfn.XLOOKUP(_xlpm.cd,CostData!$C$22:$C$1000,CostData!$E$22:$E$1000,""),"")))</f>
        <v>Inner</v>
      </c>
      <c r="U482" s="1" t="s">
        <v>103</v>
      </c>
      <c r="V482" s="1" cm="1">
        <f t="array" ref="V48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222</v>
      </c>
      <c r="W482" s="400" t="str" cm="1">
        <f t="array" ref="W4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3" spans="1:23" x14ac:dyDescent="0.25">
      <c r="A483" s="275" t="s">
        <v>254</v>
      </c>
      <c r="B483" s="370" t="s">
        <v>382</v>
      </c>
      <c r="C483" s="370" t="s">
        <v>1935</v>
      </c>
      <c r="D483" s="370" t="s">
        <v>1793</v>
      </c>
      <c r="E483" s="370" t="str">
        <v>Z-Louvre Blade - 5"</v>
      </c>
      <c r="G483" s="370" t="s">
        <v>1867</v>
      </c>
      <c r="H483" s="370" t="s">
        <v>1867</v>
      </c>
      <c r="P483" s="1" t="str" cm="1">
        <f t="array" ref="P4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3" s="1" t="str" cm="1">
        <f t="array" ref="Q483">_xlfn.LET(_xlpm.cd,INDEX($S:$S,ROW()),IF(_xlpm.cd="","",IFERROR(_xlfn.XLOOKUP(_xlpm.cd,CostData!$C$22:$C$1000,CostData!$B$22:$B$1000,""),"")))</f>
        <v>Aluminium</v>
      </c>
      <c r="R483" s="16" t="s">
        <v>1863</v>
      </c>
      <c r="S483" s="24" t="s">
        <v>1928</v>
      </c>
      <c r="T483" s="1" t="str" cm="1">
        <f t="array" ref="T483">_xlfn.LET(_xlpm.cd,INDEX($S:$S,ROW()),IF(_xlpm.cd="","",IFERROR(_xlfn.XLOOKUP(_xlpm.cd,CostData!$C$22:$C$1000,CostData!$E$22:$E$1000,""),"")))</f>
        <v>Mullion</v>
      </c>
      <c r="U483" s="1" t="s">
        <v>103</v>
      </c>
      <c r="V48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78</v>
      </c>
      <c r="W483" s="400" t="str" cm="1">
        <f t="array" ref="W4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4" spans="1:23" x14ac:dyDescent="0.25">
      <c r="A484" s="275" t="s">
        <v>254</v>
      </c>
      <c r="B484" s="370" t="s">
        <v>1847</v>
      </c>
      <c r="C484" s="370" t="s">
        <v>1935</v>
      </c>
      <c r="D484" s="370" t="s">
        <v>1815</v>
      </c>
      <c r="E484" s="370" t="str">
        <v/>
      </c>
      <c r="G484" s="370" t="s">
        <v>1868</v>
      </c>
      <c r="H484" s="370" t="s">
        <v>1868</v>
      </c>
      <c r="P484" s="1" t="str" cm="1">
        <f t="array" ref="P4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4" s="1" t="str" cm="1">
        <f t="array" ref="Q484">_xlfn.LET(_xlpm.cd,INDEX($S:$S,ROW()),IF(_xlpm.cd="","",IFERROR(_xlfn.XLOOKUP(_xlpm.cd,CostData!$C$22:$C$1000,CostData!$B$22:$B$1000,""),"")))</f>
        <v>Aluminium</v>
      </c>
      <c r="R484" s="16" t="s">
        <v>1862</v>
      </c>
      <c r="S484" s="24" t="s">
        <v>1928</v>
      </c>
      <c r="T484" s="1" t="str" cm="1">
        <f t="array" ref="T484">_xlfn.LET(_xlpm.cd,INDEX($S:$S,ROW()),IF(_xlpm.cd="","",IFERROR(_xlfn.XLOOKUP(_xlpm.cd,CostData!$C$22:$C$1000,CostData!$E$22:$E$1000,""),"")))</f>
        <v>Mullion</v>
      </c>
      <c r="U484" s="1" t="s">
        <v>103</v>
      </c>
      <c r="V48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484" s="400" t="str" cm="1">
        <f t="array" ref="W4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5" spans="1:23" x14ac:dyDescent="0.25">
      <c r="A485" s="275" t="s">
        <v>254</v>
      </c>
      <c r="C485" s="370" t="s">
        <v>1935</v>
      </c>
      <c r="E485" s="370" t="str">
        <v/>
      </c>
      <c r="G485" s="370" t="s">
        <v>1869</v>
      </c>
      <c r="H485" s="370" t="s">
        <v>1869</v>
      </c>
      <c r="P485" s="1" t="str" cm="1">
        <f t="array" ref="P4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5" s="1" t="str" cm="1">
        <f t="array" ref="Q485">_xlfn.LET(_xlpm.cd,INDEX($S:$S,ROW()),IF(_xlpm.cd="","",IFERROR(_xlfn.XLOOKUP(_xlpm.cd,CostData!$C$22:$C$1000,CostData!$B$22:$B$1000,""),"")))</f>
        <v/>
      </c>
      <c r="T485" s="1" t="str" cm="1">
        <f t="array" ref="T485">_xlfn.LET(_xlpm.cd,INDEX($S:$S,ROW()),IF(_xlpm.cd="","",IFERROR(_xlfn.XLOOKUP(_xlpm.cd,CostData!$C$22:$C$1000,CostData!$E$22:$E$1000,""),"")))</f>
        <v/>
      </c>
      <c r="V485" s="1" t="str" cm="1">
        <f t="array" ref="V485">IFERROR(_xlfn.XLOOKUP(1,(TRIM(CostData!$B$22:$B$1000)="Aluminium")*(TRIM(CostData!$C$22:$C$1000)="CWS")*(TRIM(CostData!$E$22:$E$1000)=TRIM($S485)),_xlfn.SWITCH(TRIM(Enginuity!$A$19),"N/A",CostData!$H$22:$H$1000,"M/B",CostData!$I$22:$I$1000,"P/C",CostData!$J$22:$J$1000,"W/G",CostData!$K$22:$K$1000,""),""),"")</f>
        <v/>
      </c>
      <c r="W485" s="400" t="str" cm="1">
        <f t="array" ref="W4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6" spans="1:23" x14ac:dyDescent="0.25">
      <c r="A486" s="275" t="s">
        <v>254</v>
      </c>
      <c r="C486" s="370" t="s">
        <v>1935</v>
      </c>
      <c r="E486" s="370" t="str">
        <v/>
      </c>
      <c r="G486" s="370" t="s">
        <v>1870</v>
      </c>
      <c r="H486" s="370" t="s">
        <v>1870</v>
      </c>
      <c r="P486" s="1" t="str" cm="1">
        <f t="array" ref="P4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6" s="1" t="str" cm="1">
        <f t="array" ref="Q486">_xlfn.LET(_xlpm.cd,INDEX($S:$S,ROW()),IF(_xlpm.cd="","",IFERROR(_xlfn.XLOOKUP(_xlpm.cd,CostData!$C$22:$C$1000,CostData!$B$22:$B$1000,""),"")))</f>
        <v/>
      </c>
      <c r="R486" s="16" t="str">
        <f>IF(Enginuity!$A$22="","",Enginuity!$A$22&amp;" Fix Window")</f>
        <v>▼ [Lattice] Fix Window</v>
      </c>
      <c r="T486" s="1" t="str" cm="1">
        <f t="array" ref="T486">_xlfn.LET(_xlpm.cd,INDEX($S:$S,ROW()),IF(_xlpm.cd="","",IFERROR(_xlfn.XLOOKUP(_xlpm.cd,CostData!$C$22:$C$1000,CostData!$E$22:$E$1000,""),"")))</f>
        <v/>
      </c>
      <c r="U486" s="1" t="s">
        <v>176</v>
      </c>
      <c r="V486" s="1">
        <v>1</v>
      </c>
      <c r="W486" s="400" t="str">
        <f>IF(Enginuity!$A$22&lt;&gt;"",$W$4,"")</f>
        <v/>
      </c>
    </row>
    <row r="487" spans="1:23" x14ac:dyDescent="0.25">
      <c r="A487" s="275" t="s">
        <v>254</v>
      </c>
      <c r="C487" s="370" t="s">
        <v>1935</v>
      </c>
      <c r="E487" s="370" t="str">
        <v/>
      </c>
      <c r="G487" s="370" t="s">
        <v>1871</v>
      </c>
      <c r="H487" s="370" t="s">
        <v>1871</v>
      </c>
      <c r="P487" s="1" t="str" cm="1">
        <f t="array" ref="P4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7" s="1" t="str" cm="1">
        <f t="array" ref="Q487">_xlfn.LET(_xlpm.cd,INDEX($S:$S,ROW()),IF(_xlpm.cd="","",IFERROR(_xlfn.XLOOKUP(_xlpm.cd,CostData!$C$22:$C$1000,CostData!$B$22:$B$1000,""),"")))</f>
        <v/>
      </c>
      <c r="T487" s="1" t="str" cm="1">
        <f t="array" ref="T487">_xlfn.LET(_xlpm.cd,INDEX($S:$S,ROW()),IF(_xlpm.cd="","",IFERROR(_xlfn.XLOOKUP(_xlpm.cd,CostData!$C$22:$C$1000,CostData!$E$22:$E$1000,""),"")))</f>
        <v/>
      </c>
      <c r="V487" s="1" t="str" cm="1">
        <f t="array" ref="V487">IFERROR(_xlfn.XLOOKUP(1,(TRIM(CostData!$B$22:$B$1000)="Aluminium")*(TRIM(CostData!$C$22:$C$1000)="CWS")*(TRIM(CostData!$E$22:$E$1000)=TRIM($S487)),_xlfn.SWITCH(TRIM(Enginuity!$A$19),"N/A",CostData!$H$22:$H$1000,"M/B",CostData!$I$22:$I$1000,"P/C",CostData!$J$22:$J$1000,"W/G",CostData!$K$22:$K$1000,""),""),"")</f>
        <v/>
      </c>
      <c r="W487" s="400" t="str" cm="1">
        <f t="array" ref="W4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8" spans="1:23" x14ac:dyDescent="0.25">
      <c r="A488" s="275" t="s">
        <v>254</v>
      </c>
      <c r="C488" s="370" t="s">
        <v>1935</v>
      </c>
      <c r="E488" s="370" t="str">
        <v/>
      </c>
      <c r="G488" s="370" t="s">
        <v>1872</v>
      </c>
      <c r="H488" s="370" t="s">
        <v>1872</v>
      </c>
      <c r="P488" s="1" t="str" cm="1">
        <f t="array" ref="P4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8" s="1" t="str" cm="1">
        <f t="array" ref="Q488">_xlfn.LET(_xlpm.cd,INDEX($S:$S,ROW()),IF(_xlpm.cd="","",IFERROR(_xlfn.XLOOKUP(_xlpm.cd,CostData!$C$22:$C$1000,CostData!$B$22:$B$1000,""),"")))</f>
        <v/>
      </c>
      <c r="T488" s="1" t="str" cm="1">
        <f t="array" ref="T488">_xlfn.LET(_xlpm.cd,INDEX($S:$S,ROW()),IF(_xlpm.cd="","",IFERROR(_xlfn.XLOOKUP(_xlpm.cd,CostData!$C$22:$C$1000,CostData!$E$22:$E$1000,""),"")))</f>
        <v/>
      </c>
      <c r="V488" s="1" t="str" cm="1">
        <f t="array" ref="V488">IFERROR(_xlfn.XLOOKUP(1,(TRIM(CostData!$B$22:$B$1000)="Aluminium")*(TRIM(CostData!$C$22:$C$1000)="CWS")*(TRIM(CostData!$E$22:$E$1000)=TRIM($S488)),_xlfn.SWITCH(TRIM(Enginuity!$A$19),"N/A",CostData!$H$22:$H$1000,"M/B",CostData!$I$22:$I$1000,"P/C",CostData!$J$22:$J$1000,"W/G",CostData!$K$22:$K$1000,""),""),"")</f>
        <v/>
      </c>
      <c r="W488" s="400" t="str" cm="1">
        <f t="array" ref="W4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9" spans="1:23" x14ac:dyDescent="0.25">
      <c r="A489" s="275" t="s">
        <v>254</v>
      </c>
      <c r="C489" s="370" t="s">
        <v>1935</v>
      </c>
      <c r="E489" s="370" t="str">
        <v/>
      </c>
      <c r="G489" s="370" t="s">
        <v>1873</v>
      </c>
      <c r="H489" s="370" t="s">
        <v>1873</v>
      </c>
      <c r="P489" s="1" t="str" cm="1">
        <f t="array" ref="P4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9" s="1" t="str" cm="1">
        <f t="array" ref="Q489">_xlfn.LET(_xlpm.cd,INDEX($S:$S,ROW()),IF(_xlpm.cd="","",IFERROR(_xlfn.XLOOKUP(_xlpm.cd,CostData!$C$22:$C$1000,CostData!$B$22:$B$1000,""),"")))</f>
        <v/>
      </c>
      <c r="T489" s="1" t="str" cm="1">
        <f t="array" ref="T489">_xlfn.LET(_xlpm.cd,INDEX($S:$S,ROW()),IF(_xlpm.cd="","",IFERROR(_xlfn.XLOOKUP(_xlpm.cd,CostData!$C$22:$C$1000,CostData!$E$22:$E$1000,""),"")))</f>
        <v/>
      </c>
      <c r="V489" s="1" t="str" cm="1">
        <f t="array" ref="V489">IFERROR(_xlfn.XLOOKUP(1,(TRIM(CostData!$B$22:$B$1000)="Aluminium")*(TRIM(CostData!$C$22:$C$1000)="CWS")*(TRIM(CostData!$E$22:$E$1000)=TRIM($S489)),_xlfn.SWITCH(TRIM(Enginuity!$A$19),"N/A",CostData!$H$22:$H$1000,"M/B",CostData!$I$22:$I$1000,"P/C",CostData!$J$22:$J$1000,"W/G",CostData!$K$22:$K$1000,""),""),"")</f>
        <v/>
      </c>
      <c r="W489" s="400" t="str" cm="1">
        <f t="array" ref="W4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0" spans="1:23" x14ac:dyDescent="0.25">
      <c r="A490" s="275" t="s">
        <v>254</v>
      </c>
      <c r="C490" s="370" t="s">
        <v>1935</v>
      </c>
      <c r="E490" s="370" t="str">
        <v/>
      </c>
      <c r="P490" s="1" t="str" cm="1">
        <f t="array" ref="P4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0" s="1" t="str" cm="1">
        <f t="array" ref="Q490">_xlfn.LET(_xlpm.cd,INDEX($S:$S,ROW()),IF(_xlpm.cd="","",IFERROR(_xlfn.XLOOKUP(_xlpm.cd,CostData!$C$22:$C$1000,CostData!$B$22:$B$1000,""),"")))</f>
        <v/>
      </c>
      <c r="T490" s="1" t="str" cm="1">
        <f t="array" ref="T490">_xlfn.LET(_xlpm.cd,INDEX($S:$S,ROW()),IF(_xlpm.cd="","",IFERROR(_xlfn.XLOOKUP(_xlpm.cd,CostData!$C$22:$C$1000,CostData!$E$22:$E$1000,""),"")))</f>
        <v/>
      </c>
      <c r="V490" s="1" t="str" cm="1">
        <f t="array" ref="V490">IFERROR(_xlfn.XLOOKUP(1,(TRIM(CostData!$B$22:$B$1000)="Aluminium")*(TRIM(CostData!$C$22:$C$1000)="CWS")*(TRIM(CostData!$E$22:$E$1000)=TRIM($S490)),_xlfn.SWITCH(TRIM(Enginuity!$A$19),"N/A",CostData!$H$22:$H$1000,"M/B",CostData!$I$22:$I$1000,"P/C",CostData!$J$22:$J$1000,"W/G",CostData!$K$22:$K$1000,""),""),"")</f>
        <v/>
      </c>
      <c r="W490" s="400" t="str" cm="1">
        <f t="array" ref="W4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1" spans="1:23" x14ac:dyDescent="0.25">
      <c r="A491" s="275" t="s">
        <v>254</v>
      </c>
      <c r="C491" s="370" t="s">
        <v>1935</v>
      </c>
      <c r="P491" s="1" t="str" cm="1">
        <f t="array" ref="P4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1" s="1" t="str" cm="1">
        <f t="array" ref="Q491">_xlfn.LET(_xlpm.cd,INDEX($S:$S,ROW()),IF(_xlpm.cd="","",IFERROR(_xlfn.XLOOKUP(_xlpm.cd,CostData!$C$22:$C$1000,CostData!$B$22:$B$1000,""),"")))</f>
        <v/>
      </c>
      <c r="T491" s="1" t="str" cm="1">
        <f t="array" ref="T491">_xlfn.LET(_xlpm.cd,INDEX($S:$S,ROW()),IF(_xlpm.cd="","",IFERROR(_xlfn.XLOOKUP(_xlpm.cd,CostData!$C$22:$C$1000,CostData!$E$22:$E$1000,""),"")))</f>
        <v/>
      </c>
      <c r="V491" s="1" t="str" cm="1">
        <f t="array" ref="V491">IFERROR(_xlfn.XLOOKUP(1,(TRIM(CostData!$B$22:$B$1000)="Aluminium")*(TRIM(CostData!$C$22:$C$1000)="CWS")*(TRIM(CostData!$E$22:$E$1000)=TRIM($S491)),_xlfn.SWITCH(TRIM(Enginuity!$A$19),"N/A",CostData!$H$22:$H$1000,"M/B",CostData!$I$22:$I$1000,"P/C",CostData!$J$22:$J$1000,"W/G",CostData!$K$22:$K$1000,""),""),"")</f>
        <v/>
      </c>
      <c r="W491" s="400" t="str" cm="1">
        <f t="array" ref="W4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2" spans="1:23" x14ac:dyDescent="0.25">
      <c r="A492" s="275" t="s">
        <v>254</v>
      </c>
      <c r="C492" s="370" t="s">
        <v>1935</v>
      </c>
      <c r="P492" s="1" t="str" cm="1">
        <f t="array" ref="P4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2" s="1" t="str" cm="1">
        <f t="array" ref="Q492">_xlfn.LET(_xlpm.cd,INDEX($S:$S,ROW()),IF(_xlpm.cd="","",IFERROR(_xlfn.XLOOKUP(_xlpm.cd,CostData!$C$22:$C$1000,CostData!$B$22:$B$1000,""),"")))</f>
        <v/>
      </c>
      <c r="T492" s="1" t="str" cm="1">
        <f t="array" ref="T492">_xlfn.LET(_xlpm.cd,INDEX($S:$S,ROW()),IF(_xlpm.cd="","",IFERROR(_xlfn.XLOOKUP(_xlpm.cd,CostData!$C$22:$C$1000,CostData!$E$22:$E$1000,""),"")))</f>
        <v/>
      </c>
      <c r="V492" s="1" t="str" cm="1">
        <f t="array" ref="V492">IFERROR(_xlfn.XLOOKUP(1,(TRIM(CostData!$B$22:$B$1000)="Aluminium")*(TRIM(CostData!$C$22:$C$1000)="CWS")*(TRIM(CostData!$E$22:$E$1000)=TRIM($S492)),_xlfn.SWITCH(TRIM(Enginuity!$A$19),"N/A",CostData!$H$22:$H$1000,"M/B",CostData!$I$22:$I$1000,"P/C",CostData!$J$22:$J$1000,"W/G",CostData!$K$22:$K$1000,""),""),"")</f>
        <v/>
      </c>
      <c r="W492" s="400" t="str" cm="1">
        <f t="array" ref="W4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3" spans="1:23" x14ac:dyDescent="0.25">
      <c r="A493" s="275" t="s">
        <v>254</v>
      </c>
      <c r="C493" s="370" t="s">
        <v>1935</v>
      </c>
      <c r="P493" s="1" t="str" cm="1">
        <f t="array" ref="P4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3" s="1" t="str" cm="1">
        <f t="array" ref="Q493">_xlfn.LET(_xlpm.cd,INDEX($S:$S,ROW()),IF(_xlpm.cd="","",IFERROR(_xlfn.XLOOKUP(_xlpm.cd,CostData!$C$22:$C$1000,CostData!$B$22:$B$1000,""),"")))</f>
        <v/>
      </c>
      <c r="T493" s="1" t="str" cm="1">
        <f t="array" ref="T493">_xlfn.LET(_xlpm.cd,INDEX($S:$S,ROW()),IF(_xlpm.cd="","",IFERROR(_xlfn.XLOOKUP(_xlpm.cd,CostData!$C$22:$C$1000,CostData!$E$22:$E$1000,""),"")))</f>
        <v/>
      </c>
      <c r="V493" s="1" t="str" cm="1">
        <f t="array" ref="V493">IFERROR(_xlfn.XLOOKUP(1,(TRIM(CostData!$B$22:$B$1000)="Aluminium")*(TRIM(CostData!$C$22:$C$1000)="CWS")*(TRIM(CostData!$E$22:$E$1000)=TRIM($S493)),_xlfn.SWITCH(TRIM(Enginuity!$A$19),"N/A",CostData!$H$22:$H$1000,"M/B",CostData!$I$22:$I$1000,"P/C",CostData!$J$22:$J$1000,"W/G",CostData!$K$22:$K$1000,""),""),"")</f>
        <v/>
      </c>
      <c r="W493" s="400" t="str" cm="1">
        <f t="array" ref="W4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4" spans="1:23" x14ac:dyDescent="0.25">
      <c r="A494" s="275" t="s">
        <v>254</v>
      </c>
      <c r="C494" s="370" t="s">
        <v>1935</v>
      </c>
      <c r="P494" s="1" t="str" cm="1">
        <f t="array" ref="P4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4" s="1" t="str" cm="1">
        <f t="array" ref="Q494">_xlfn.LET(_xlpm.cd,INDEX($S:$S,ROW()),IF(_xlpm.cd="","",IFERROR(_xlfn.XLOOKUP(_xlpm.cd,CostData!$C$22:$C$1000,CostData!$B$22:$B$1000,""),"")))</f>
        <v/>
      </c>
      <c r="T494" s="1" t="str" cm="1">
        <f t="array" ref="T494">_xlfn.LET(_xlpm.cd,INDEX($S:$S,ROW()),IF(_xlpm.cd="","",IFERROR(_xlfn.XLOOKUP(_xlpm.cd,CostData!$C$22:$C$1000,CostData!$E$22:$E$1000,""),"")))</f>
        <v/>
      </c>
      <c r="V494" s="1" t="str" cm="1">
        <f t="array" ref="V494">IFERROR(_xlfn.XLOOKUP(1,(TRIM(CostData!$B$22:$B$1000)="Aluminium")*(TRIM(CostData!$C$22:$C$1000)="CWS")*(TRIM(CostData!$E$22:$E$1000)=TRIM($S494)),_xlfn.SWITCH(TRIM(Enginuity!$A$19),"N/A",CostData!$H$22:$H$1000,"M/B",CostData!$I$22:$I$1000,"P/C",CostData!$J$22:$J$1000,"W/G",CostData!$K$22:$K$1000,""),""),"")</f>
        <v/>
      </c>
      <c r="W494" s="400" t="str" cm="1">
        <f t="array" ref="W4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5" spans="1:23" x14ac:dyDescent="0.25">
      <c r="A495" s="275" t="s">
        <v>254</v>
      </c>
      <c r="C495" s="370" t="s">
        <v>1935</v>
      </c>
      <c r="P495" s="1" t="str" cm="1">
        <f t="array" ref="P4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5" s="1" t="str" cm="1">
        <f t="array" ref="Q495">_xlfn.LET(_xlpm.cd,INDEX($S:$S,ROW()),IF(_xlpm.cd="","",IFERROR(_xlfn.XLOOKUP(_xlpm.cd,CostData!$C$22:$C$1000,CostData!$B$22:$B$1000,""),"")))</f>
        <v/>
      </c>
      <c r="T495" s="1" t="str" cm="1">
        <f t="array" ref="T495">_xlfn.LET(_xlpm.cd,INDEX($S:$S,ROW()),IF(_xlpm.cd="","",IFERROR(_xlfn.XLOOKUP(_xlpm.cd,CostData!$C$22:$C$1000,CostData!$E$22:$E$1000,""),"")))</f>
        <v/>
      </c>
      <c r="V495" s="1" t="str" cm="1">
        <f t="array" ref="V495">IFERROR(_xlfn.XLOOKUP(1,(TRIM(CostData!$B$22:$B$1000)="Aluminium")*(TRIM(CostData!$C$22:$C$1000)="CWS")*(TRIM(CostData!$E$22:$E$1000)=TRIM($S495)),_xlfn.SWITCH(TRIM(Enginuity!$A$19),"N/A",CostData!$H$22:$H$1000,"M/B",CostData!$I$22:$I$1000,"P/C",CostData!$J$22:$J$1000,"W/G",CostData!$K$22:$K$1000,""),""),"")</f>
        <v/>
      </c>
      <c r="W495" s="400" t="str" cm="1">
        <f t="array" ref="W4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6" spans="1:23" x14ac:dyDescent="0.25">
      <c r="A496" s="275" t="s">
        <v>254</v>
      </c>
      <c r="C496" s="370" t="s">
        <v>1935</v>
      </c>
      <c r="P496" s="1" t="str" cm="1">
        <f t="array" ref="P4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6" s="1" t="str" cm="1">
        <f t="array" ref="Q496">_xlfn.LET(_xlpm.cd,INDEX($S:$S,ROW()),IF(_xlpm.cd="","",IFERROR(_xlfn.XLOOKUP(_xlpm.cd,CostData!$C$22:$C$1000,CostData!$B$22:$B$1000,""),"")))</f>
        <v/>
      </c>
      <c r="T496" s="1" t="str" cm="1">
        <f t="array" ref="T496">_xlfn.LET(_xlpm.cd,INDEX($S:$S,ROW()),IF(_xlpm.cd="","",IFERROR(_xlfn.XLOOKUP(_xlpm.cd,CostData!$C$22:$C$1000,CostData!$E$22:$E$1000,""),"")))</f>
        <v/>
      </c>
      <c r="V496" s="1" t="str" cm="1">
        <f t="array" ref="V496">IFERROR(_xlfn.XLOOKUP(1,(TRIM(CostData!$B$22:$B$1000)="Aluminium")*(TRIM(CostData!$C$22:$C$1000)="CWS")*(TRIM(CostData!$E$22:$E$1000)=TRIM($S496)),_xlfn.SWITCH(TRIM(Enginuity!$A$19),"N/A",CostData!$H$22:$H$1000,"M/B",CostData!$I$22:$I$1000,"P/C",CostData!$J$22:$J$1000,"W/G",CostData!$K$22:$K$1000,""),""),"")</f>
        <v/>
      </c>
      <c r="W496" s="400" t="str" cm="1">
        <f t="array" ref="W4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7" spans="1:23" x14ac:dyDescent="0.25">
      <c r="A497" s="275" t="s">
        <v>254</v>
      </c>
      <c r="C497" s="370" t="s">
        <v>1935</v>
      </c>
      <c r="P497" s="1" t="str" cm="1">
        <f t="array" ref="P4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7" s="1" t="s">
        <v>1833</v>
      </c>
      <c r="R497" s="16" t="str">
        <f>IF($T497="","","⬒ "&amp;$T497)</f>
        <v>⬒ Z-Louvre Blade - 5"</v>
      </c>
      <c r="T497" s="1" t="str">
        <f>IF(Enginuity!$A$20="","",Enginuity!$A$20)</f>
        <v>Z-Louvre Blade - 5"</v>
      </c>
      <c r="U497" s="1" t="s">
        <v>121</v>
      </c>
      <c r="V497" s="1">
        <f>IF(Enginuity!$B$9="","",Enginuity!$B$9)</f>
        <v>260</v>
      </c>
      <c r="W497" s="400">
        <f>IFERROR(INDEX(CostData!$Q$3:$Q$12,MATCH(TRIM(Enginuity!$A$20),CostData!$P$3:$P$12,0)),"")</f>
        <v>32.037384615384617</v>
      </c>
    </row>
    <row r="498" spans="1:23" x14ac:dyDescent="0.25">
      <c r="A498" s="275" t="s">
        <v>254</v>
      </c>
      <c r="C498" s="370" t="s">
        <v>1935</v>
      </c>
      <c r="P498" s="1" t="str" cm="1">
        <f t="array" ref="P4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8" s="1" t="str" cm="1">
        <f t="array" ref="V498">IFERROR(_xlfn.XLOOKUP(1,(TRIM(CostData!$B$22:$B$1000)="Aluminium")*(TRIM(CostData!$C$22:$C$1000)="CWS")*(TRIM(CostData!$E$22:$E$1000)=TRIM($S498)),_xlfn.SWITCH(TRIM(Enginuity!$A$19),"N/A",CostData!$H$22:$H$1000,"M/B",CostData!$I$22:$I$1000,"P/C",CostData!$J$22:$J$1000,"W/G",CostData!$K$22:$K$1000,""),""),"")</f>
        <v/>
      </c>
      <c r="W498" s="400" t="str" cm="1">
        <f t="array" ref="W498">IF(OR(TRIM(CalcEngine!$A498)&lt;&gt;TRIM(Enginuity!$A$1),TRIM(CalcEngine!$C498)&lt;&gt;TRIM(Enginuity!$A$18),CalcEngine!$V498="",CalcEngine!$V498=0),"",IFERROR(_xlfn.XLOOKUP(1,(TRIM(CostData!$B$22:$B$1000)="Aluminium")*(TRIM(CostData!$C$22:$C$1000)="CWS")*(TRIM(CostData!$E$22:$E$1000)=TRIM(CalcEngine!$T498)),_xlfn.SWITCH(TRIM(Enginuity!$A$19),"N/A",CostData!$H$22:$H$1000,"M/B",CostData!$I$22:$I$1000,"P/C",CostData!$J$22:$J$1000,"W/G",CostData!$K$22:$K$1000,""),""),""))</f>
        <v/>
      </c>
    </row>
    <row r="499" spans="1:23" x14ac:dyDescent="0.25">
      <c r="A499" s="275" t="s">
        <v>254</v>
      </c>
      <c r="C499" s="370" t="s">
        <v>1935</v>
      </c>
      <c r="P499" s="1" t="str" cm="1">
        <f t="array" ref="P4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9" s="1" t="str" cm="1">
        <f t="array" ref="V499">IFERROR(_xlfn.XLOOKUP(1,(TRIM(CostData!$B$22:$B$1000)="Aluminium")*(TRIM(CostData!$C$22:$C$1000)="CWS")*(TRIM(CostData!$E$22:$E$1000)=TRIM($S499)),_xlfn.SWITCH(TRIM(Enginuity!$A$19),"N/A",CostData!$H$22:$H$1000,"M/B",CostData!$I$22:$I$1000,"P/C",CostData!$J$22:$J$1000,"W/G",CostData!$K$22:$K$1000,""),""),"")</f>
        <v/>
      </c>
      <c r="W499" s="400" t="str" cm="1">
        <f t="array" ref="W499">IF(OR(TRIM(CalcEngine!$A499)&lt;&gt;TRIM(Enginuity!$A$1),TRIM(CalcEngine!$C499)&lt;&gt;TRIM(Enginuity!$A$18),CalcEngine!$V499="",CalcEngine!$V499=0),"",IFERROR(_xlfn.XLOOKUP(1,(TRIM(CostData!$B$22:$B$1000)="Aluminium")*(TRIM(CostData!$C$22:$C$1000)="CWS")*(TRIM(CostData!$E$22:$E$1000)=TRIM(CalcEngine!$T499)),_xlfn.SWITCH(TRIM(Enginuity!$A$19),"N/A",CostData!$H$22:$H$1000,"M/B",CostData!$I$22:$I$1000,"P/C",CostData!$J$22:$J$1000,"W/G",CostData!$K$22:$K$1000,""),""),""))</f>
        <v/>
      </c>
    </row>
    <row r="500" spans="1:23" x14ac:dyDescent="0.25">
      <c r="A500" s="275" t="s">
        <v>254</v>
      </c>
      <c r="C500" s="370" t="s">
        <v>1935</v>
      </c>
      <c r="P500" s="1" t="str" cm="1">
        <f t="array" ref="P5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0" s="1" t="str" cm="1">
        <f t="array" ref="V500">IFERROR(_xlfn.XLOOKUP(1,(TRIM(CostData!$B$22:$B$1000)="Aluminium")*(TRIM(CostData!$C$22:$C$1000)="CWS")*(TRIM(CostData!$E$22:$E$1000)=TRIM($S500)),_xlfn.SWITCH(TRIM(Enginuity!$A$19),"N/A",CostData!$H$22:$H$1000,"M/B",CostData!$I$22:$I$1000,"P/C",CostData!$J$22:$J$1000,"W/G",CostData!$K$22:$K$1000,""),""),"")</f>
        <v/>
      </c>
      <c r="W500" s="400" t="str" cm="1">
        <f t="array" ref="W500">IF(OR(TRIM(CalcEngine!$A500)&lt;&gt;TRIM(Enginuity!$A$1),TRIM(CalcEngine!$C500)&lt;&gt;TRIM(Enginuity!$A$18),CalcEngine!$V500="",CalcEngine!$V500=0),"",IFERROR(_xlfn.XLOOKUP(1,(TRIM(CostData!$B$22:$B$1000)="Aluminium")*(TRIM(CostData!$C$22:$C$1000)="CWS")*(TRIM(CostData!$E$22:$E$1000)=TRIM(CalcEngine!$T500)),_xlfn.SWITCH(TRIM(Enginuity!$A$19),"N/A",CostData!$H$22:$H$1000,"M/B",CostData!$I$22:$I$1000,"P/C",CostData!$J$22:$J$1000,"W/G",CostData!$K$22:$K$1000,""),""),""))</f>
        <v/>
      </c>
    </row>
    <row r="501" spans="1:23" x14ac:dyDescent="0.25">
      <c r="A501" s="275" t="s">
        <v>254</v>
      </c>
      <c r="C501" s="370" t="s">
        <v>1935</v>
      </c>
      <c r="P501" s="1" t="str" cm="1">
        <f t="array" ref="P5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1" s="1" t="str" cm="1">
        <f t="array" ref="V501">IFERROR(_xlfn.XLOOKUP(1,(TRIM(CostData!$B$22:$B$1000)="Aluminium")*(TRIM(CostData!$C$22:$C$1000)="CWS")*(TRIM(CostData!$E$22:$E$1000)=TRIM($S501)),_xlfn.SWITCH(TRIM(Enginuity!$A$19),"N/A",CostData!$H$22:$H$1000,"M/B",CostData!$I$22:$I$1000,"P/C",CostData!$J$22:$J$1000,"W/G",CostData!$K$22:$K$1000,""),""),"")</f>
        <v/>
      </c>
      <c r="W501" s="400" t="str" cm="1">
        <f t="array" ref="W501">IF(OR(TRIM(CalcEngine!$A501)&lt;&gt;TRIM(Enginuity!$A$1),TRIM(CalcEngine!$C501)&lt;&gt;TRIM(Enginuity!$A$18),CalcEngine!$V501="",CalcEngine!$V501=0),"",IFERROR(_xlfn.XLOOKUP(1,(TRIM(CostData!$B$22:$B$1000)="Aluminium")*(TRIM(CostData!$C$22:$C$1000)="CWS")*(TRIM(CostData!$E$22:$E$1000)=TRIM(CalcEngine!$T501)),_xlfn.SWITCH(TRIM(Enginuity!$A$19),"N/A",CostData!$H$22:$H$1000,"M/B",CostData!$I$22:$I$1000,"P/C",CostData!$J$22:$J$1000,"W/G",CostData!$K$22:$K$1000,""),""),""))</f>
        <v/>
      </c>
    </row>
    <row r="502" spans="1:23" x14ac:dyDescent="0.25">
      <c r="A502" s="275" t="s">
        <v>254</v>
      </c>
      <c r="C502" s="370" t="s">
        <v>1935</v>
      </c>
      <c r="P502" s="1" t="str" cm="1">
        <f t="array" ref="P5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02" s="400"/>
    </row>
    <row r="503" spans="1:23" x14ac:dyDescent="0.25">
      <c r="A503" s="275" t="s">
        <v>254</v>
      </c>
      <c r="C503" s="370" t="s">
        <v>1935</v>
      </c>
      <c r="P503" s="1" t="str" cm="1">
        <f t="array" ref="P5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3" s="1" t="str">
        <f>IF($S503="","",IFERROR(_xlfn.XLOOKUP($S503,CostData!$U$22:$U$1000,CostData!$T$22:$T$1000,""),""))</f>
        <v>Hinge</v>
      </c>
      <c r="R503" s="16" t="str">
        <f>IF($S503="","",$T503)</f>
        <v>Hung Friction Stay</v>
      </c>
      <c r="S503" s="24" t="s">
        <v>1880</v>
      </c>
      <c r="T503" s="1" t="str" cm="1">
        <f t="array" ref="T503">_xlfn.LET(_xlpm.cd,INDEX($S:$S,ROW()),IF(_xlpm.cd="","",IFERROR(_xlfn.XLOOKUP(_xlpm.cd,CostData!$U$22:$U$1000,CostData!$W$22:$W$1000,""),"")))</f>
        <v>Hung Friction Stay</v>
      </c>
      <c r="U503" s="1" t="str">
        <f>IF($S503="","",IFERROR(_xlfn.XLOOKUP($S503,CostData!$U$22:$U$1000,CostData!$AA$22:$AA$1000,""),""))</f>
        <v>Pair</v>
      </c>
      <c r="V503" s="1" t="str" cm="1">
        <f t="array" ref="V50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03" s="400" t="str" cm="1">
        <f t="array" ref="W5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4" spans="1:23" x14ac:dyDescent="0.25">
      <c r="A504" s="275" t="s">
        <v>254</v>
      </c>
      <c r="C504" s="370" t="s">
        <v>1935</v>
      </c>
      <c r="P504" s="1" t="str" cm="1">
        <f t="array" ref="P5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4" s="1" t="str">
        <f>IF($S504="","",IFERROR(_xlfn.XLOOKUP($S504,CostData!$U$22:$U$1000,CostData!$T$22:$T$1000,""),""))</f>
        <v>Hinge</v>
      </c>
      <c r="R504" s="16" t="str">
        <f>IF($S504="","",$T504)</f>
        <v>Casement Friction Stay</v>
      </c>
      <c r="S504" s="24" t="s">
        <v>1879</v>
      </c>
      <c r="T504" s="1" t="str" cm="1">
        <f t="array" ref="T504">_xlfn.LET(_xlpm.cd,INDEX($S:$S,ROW()),IF(_xlpm.cd="","",IFERROR(_xlfn.XLOOKUP(_xlpm.cd,CostData!$U$22:$U$1000,CostData!$W$22:$W$1000,""),"")))</f>
        <v>Casement Friction Stay</v>
      </c>
      <c r="U504" s="1" t="str">
        <f>IF($S504="","",IFERROR(_xlfn.XLOOKUP($S504,CostData!$U$22:$U$1000,CostData!$AA$22:$AA$1000,""),""))</f>
        <v>Pair</v>
      </c>
      <c r="V504" s="1">
        <f>IF(Enginuity!$B$13&gt;0,Enginuity!$B$13,"")</f>
        <v>7</v>
      </c>
      <c r="W504" s="400" t="str" cm="1">
        <f t="array" ref="W5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5" spans="1:23" x14ac:dyDescent="0.25">
      <c r="A505" s="275" t="s">
        <v>254</v>
      </c>
      <c r="C505" s="370" t="s">
        <v>1935</v>
      </c>
      <c r="P505" s="1" t="str" cm="1">
        <f t="array" ref="P5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5" s="1" t="str">
        <f>IF($S505="","",IFERROR(_xlfn.XLOOKUP($S505,CostData!$U$22:$U$1000,CostData!$T$22:$T$1000,""),""))</f>
        <v>Handle</v>
      </c>
      <c r="R505" s="16" t="str">
        <f>IF($S505="","",$T505)</f>
        <v>Casement Handle</v>
      </c>
      <c r="S505" s="24" t="s">
        <v>113</v>
      </c>
      <c r="T505" s="1" t="str" cm="1">
        <f t="array" ref="T505">_xlfn.LET(_xlpm.cd,INDEX($S:$S,ROW()),IF(_xlpm.cd="","",IFERROR(_xlfn.XLOOKUP(_xlpm.cd,CostData!$U$22:$U$1000,CostData!$W$22:$W$1000,""),"")))</f>
        <v>Casement Handle</v>
      </c>
      <c r="U505" s="1" t="str">
        <f>IF($S505="","",IFERROR(_xlfn.XLOOKUP($S505,CostData!$U$22:$U$1000,CostData!$AA$22:$AA$1000,""),""))</f>
        <v>Pcs</v>
      </c>
      <c r="V505" s="1" cm="1">
        <f t="array" ref="V50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7</v>
      </c>
      <c r="W505" s="400" t="str" cm="1">
        <f t="array" ref="W5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6" spans="1:23" x14ac:dyDescent="0.25">
      <c r="A506" s="275" t="s">
        <v>254</v>
      </c>
      <c r="C506" s="370" t="s">
        <v>1935</v>
      </c>
      <c r="P506" s="1" t="str" cm="1">
        <f t="array" ref="P5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6" s="1" t="str">
        <f>IF($S506="","",IFERROR(_xlfn.XLOOKUP($S506,CostData!$U$22:$U$1000,CostData!$T$22:$T$1000,""),""))</f>
        <v>Black Tape</v>
      </c>
      <c r="R506" s="16" t="str">
        <f>IF($S506="","",$T506)</f>
        <v>2.5" x 2 Black Tape</v>
      </c>
      <c r="S506" s="24" t="s">
        <v>1898</v>
      </c>
      <c r="T506" s="1" t="str" cm="1">
        <f t="array" ref="T506">_xlfn.LET(_xlpm.cd,INDEX($S:$S,ROW()),IF(_xlpm.cd="","",IFERROR(_xlfn.XLOOKUP(_xlpm.cd,CostData!$U$22:$U$1000,CostData!$W$22:$W$1000,""),"")))</f>
        <v>2.5" x 2 Black Tape</v>
      </c>
      <c r="U506" s="1" t="str">
        <f>IF($S506="","",IFERROR(_xlfn.XLOOKUP($S506,CostData!$U$22:$U$1000,CostData!$AA$22:$AA$1000,""),""))</f>
        <v>Ft</v>
      </c>
      <c r="V506" s="1">
        <f>IF(SUM($V$61:$V$64)=0,"",SUM($V$61:$V$64))</f>
        <v>560</v>
      </c>
      <c r="W506" s="400" t="str" cm="1">
        <f t="array" ref="W5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7" spans="1:23" x14ac:dyDescent="0.25">
      <c r="A507" s="275" t="s">
        <v>254</v>
      </c>
      <c r="C507" s="370" t="s">
        <v>1935</v>
      </c>
      <c r="P507" s="1" t="str" cm="1">
        <f t="array" ref="P5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7" s="1" t="str">
        <f>IF($S507="","",IFERROR(_xlfn.XLOOKUP($S507,CostData!$U$22:$U$1000,CostData!$T$22:$T$1000,""),""))</f>
        <v>Gasket</v>
      </c>
      <c r="R507" s="16" t="s">
        <v>1931</v>
      </c>
      <c r="S507" s="24" t="s">
        <v>1912</v>
      </c>
      <c r="T507" s="1" t="str" cm="1">
        <f t="array" ref="T507">_xlfn.LET(_xlpm.cd,INDEX($S:$S,ROW()),IF(_xlpm.cd="","",IFERROR(_xlfn.XLOOKUP(_xlpm.cd,CostData!$U$22:$U$1000,CostData!$W$22:$W$1000,""),"")))</f>
        <v>F18 Gasket</v>
      </c>
      <c r="U507" s="1" t="str">
        <f>IF($S507="","",IFERROR(_xlfn.XLOOKUP($S507,CostData!$U$22:$U$1000,CostData!$AA$22:$AA$1000,""),""))</f>
        <v>Ft</v>
      </c>
      <c r="V507" s="1">
        <f>IF($V$61="","",$V$61)</f>
        <v>260</v>
      </c>
      <c r="W507" s="400" t="str" cm="1">
        <f t="array" ref="W5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8" spans="1:23" x14ac:dyDescent="0.25">
      <c r="A508" s="275" t="s">
        <v>254</v>
      </c>
      <c r="C508" s="370" t="s">
        <v>1935</v>
      </c>
      <c r="P508" s="1" t="str" cm="1">
        <f t="array" ref="P5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8" s="1" t="str">
        <f>IF($S508="","",IFERROR(_xlfn.XLOOKUP($S508,CostData!$U$22:$U$1000,CostData!$T$22:$T$1000,""),""))</f>
        <v>Gasket</v>
      </c>
      <c r="R508" s="16" t="s">
        <v>1932</v>
      </c>
      <c r="S508" s="24" t="s">
        <v>1916</v>
      </c>
      <c r="T508" s="1" t="str" cm="1">
        <f t="array" ref="T508">_xlfn.LET(_xlpm.cd,INDEX($S:$S,ROW()),IF(_xlpm.cd="","",IFERROR(_xlfn.XLOOKUP(_xlpm.cd,CostData!$U$22:$U$1000,CostData!$W$22:$W$1000,""),"")))</f>
        <v>F16S Gasket</v>
      </c>
      <c r="U508" s="1" t="str">
        <f>IF($S508="","",IFERROR(_xlfn.XLOOKUP($S508,CostData!$U$22:$U$1000,CostData!$AA$22:$AA$1000,""),""))</f>
        <v>Ft</v>
      </c>
      <c r="V508" s="1">
        <f>IF($V$62="","",$V$62)</f>
        <v>222</v>
      </c>
      <c r="W508" s="400" t="str" cm="1">
        <f t="array" ref="W5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9" spans="1:23" x14ac:dyDescent="0.25">
      <c r="A509" s="275" t="s">
        <v>254</v>
      </c>
      <c r="C509" s="370" t="s">
        <v>1935</v>
      </c>
      <c r="P509" s="1" t="str" cm="1">
        <f t="array" ref="P5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9" s="1" t="str">
        <f>IF($S509="","",IFERROR(_xlfn.XLOOKUP($S509,CostData!$U$22:$U$1000,CostData!$T$22:$T$1000,""),""))</f>
        <v>Gasket</v>
      </c>
      <c r="R509" s="16" t="s">
        <v>1930</v>
      </c>
      <c r="S509" s="24">
        <v>6154</v>
      </c>
      <c r="T509" s="1" t="str" cm="1">
        <f t="array" ref="T509">_xlfn.LET(_xlpm.cd,INDEX($S:$S,ROW()),IF(_xlpm.cd="","",IFERROR(_xlfn.XLOOKUP(_xlpm.cd,CostData!$U$22:$U$1000,CostData!$W$22:$W$1000,""),"")))</f>
        <v>6154 Gasket</v>
      </c>
      <c r="U509" s="1" t="str">
        <f>IF($S509="","",IFERROR(_xlfn.XLOOKUP($S509,CostData!$U$22:$U$1000,CostData!$AA$22:$AA$1000,""),""))</f>
        <v>Ft</v>
      </c>
      <c r="V509" s="1">
        <f>IF($V$62="","",$V$62)</f>
        <v>222</v>
      </c>
      <c r="W509" s="400" t="str" cm="1">
        <f t="array" ref="W5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0" spans="1:23" x14ac:dyDescent="0.25">
      <c r="A510" s="412" t="s">
        <v>254</v>
      </c>
      <c r="B510" s="399"/>
      <c r="C510" s="399" t="s">
        <v>1935</v>
      </c>
      <c r="D510" s="399"/>
      <c r="E510" s="399"/>
      <c r="F510" s="399"/>
      <c r="G510" s="399"/>
      <c r="H510" s="399"/>
      <c r="I510" s="399"/>
      <c r="J510" s="399"/>
      <c r="K510" s="399"/>
      <c r="L510" s="399"/>
      <c r="M510" s="399"/>
      <c r="N510" s="399"/>
      <c r="O510" s="399"/>
      <c r="P510" s="401"/>
      <c r="Q510" s="401" t="str">
        <f>IF($S510="","",IFERROR(_xlfn.XLOOKUP($S510,CostData!$U$22:$U$1000,CostData!$T$22:$T$1000,""),""))</f>
        <v>Gasket</v>
      </c>
      <c r="R510" s="429" t="s">
        <v>1933</v>
      </c>
      <c r="S510" s="418">
        <v>6154</v>
      </c>
      <c r="T510" s="401" t="str" cm="1">
        <f t="array" ref="T510">_xlfn.LET(_xlpm.cd,INDEX($S:$S,ROW()),IF(_xlpm.cd="","",IFERROR(_xlfn.XLOOKUP(_xlpm.cd,CostData!$U$22:$U$1000,CostData!$W$22:$W$1000,""),"")))</f>
        <v>6154 Gasket</v>
      </c>
      <c r="U510" s="401" t="str">
        <f>IF($S510="","",IFERROR(_xlfn.XLOOKUP($S510,CostData!$U$22:$U$1000,CostData!$AA$22:$AA$1000,""),""))</f>
        <v>Ft</v>
      </c>
      <c r="V510" s="401">
        <f>IF(SUM($V$63:$V$64)=0,"",SUM($V$63:$V$64)*2)</f>
        <v>156</v>
      </c>
      <c r="W510" s="413" t="str" cm="1">
        <f t="array" ref="W5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1" spans="1:23" x14ac:dyDescent="0.25">
      <c r="A511" s="419" t="s">
        <v>254</v>
      </c>
      <c r="B511" s="415" t="s">
        <v>1846</v>
      </c>
      <c r="C511" s="415" t="s">
        <v>1935</v>
      </c>
      <c r="D511" s="415" t="s">
        <v>1792</v>
      </c>
      <c r="E511" s="415" t="str" cm="1">
        <f t="array" ref="E511:E520">IFERROR(INDEX(_xlfn._xlws.FILTER(CostData!$P$3:$P$12,CostData!$P$3:$P$12&lt;&gt;""),_xlfn.SEQUENCE(10)),"")</f>
        <v>Default</v>
      </c>
      <c r="F511" s="415" t="str">
        <f>"▼ [Variant]"</f>
        <v>▼ [Variant]</v>
      </c>
      <c r="G511" s="415" t="str">
        <f>"▼ [Fix - Casement]"</f>
        <v>▼ [Fix - Casement]</v>
      </c>
      <c r="H511" s="415" t="str">
        <f>"▼ [Hung Window - Casement]"</f>
        <v>▼ [Hung Window - Casement]</v>
      </c>
      <c r="I511" s="415" t="s">
        <v>1858</v>
      </c>
      <c r="J511" s="415" t="s">
        <v>1859</v>
      </c>
      <c r="K511" s="415" t="s">
        <v>1860</v>
      </c>
      <c r="L511" s="415" t="s">
        <v>1861</v>
      </c>
      <c r="M511" s="420">
        <v>0.54649999999999999</v>
      </c>
      <c r="N511" s="415">
        <v>609.6</v>
      </c>
      <c r="O511" s="415"/>
      <c r="P511" s="409" t="str" cm="1">
        <f t="array" ref="P5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1" s="409" t="str" cm="1">
        <f t="array" ref="Q511">_xlfn.LET(_xlpm.cd,INDEX($S:$S,ROW()),IF(_xlpm.cd="","",IFERROR(_xlfn.XLOOKUP(_xlpm.cd,CostData!$C$22:$C$1000,CostData!$B$22:$B$1000,""),"")))</f>
        <v>Aluminium</v>
      </c>
      <c r="R511" s="428" t="s">
        <v>1812</v>
      </c>
      <c r="S511" s="417" t="s">
        <v>1926</v>
      </c>
      <c r="T511" s="409" t="str" cm="1">
        <f t="array" ref="T511">_xlfn.LET(_xlpm.cd,INDEX($S:$S,ROW()),IF(_xlpm.cd="","",IFERROR(_xlfn.XLOOKUP(_xlpm.cd,CostData!$C$22:$C$1000,CostData!$E$22:$E$1000,""),"")))</f>
        <v>Outer</v>
      </c>
      <c r="U511" s="409" t="s">
        <v>103</v>
      </c>
      <c r="V511" s="409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W511" s="421" t="str" cm="1">
        <f t="array" ref="W5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2" spans="1:23" x14ac:dyDescent="0.25">
      <c r="A512" s="275" t="s">
        <v>254</v>
      </c>
      <c r="B512" s="370" t="s">
        <v>1848</v>
      </c>
      <c r="C512" s="370" t="s">
        <v>1935</v>
      </c>
      <c r="D512" s="370" t="s">
        <v>1814</v>
      </c>
      <c r="E512" s="370" t="str">
        <v>Z-Louvre Blade - 2"</v>
      </c>
      <c r="G512" s="370" t="s">
        <v>1866</v>
      </c>
      <c r="H512" s="370" t="s">
        <v>1866</v>
      </c>
      <c r="P512" s="1" t="str" cm="1">
        <f t="array" ref="P5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2" s="1" t="str" cm="1">
        <f t="array" ref="Q512">_xlfn.LET(_xlpm.cd,INDEX($S:$S,ROW()),IF(_xlpm.cd="","",IFERROR(_xlfn.XLOOKUP(_xlpm.cd,CostData!$C$22:$C$1000,CostData!$B$22:$B$1000,""),"")))</f>
        <v>Aluminium</v>
      </c>
      <c r="R512" s="16" t="s">
        <v>1849</v>
      </c>
      <c r="S512" s="24" t="s">
        <v>1927</v>
      </c>
      <c r="T512" s="1" t="str" cm="1">
        <f t="array" ref="T512">_xlfn.LET(_xlpm.cd,INDEX($S:$S,ROW()),IF(_xlpm.cd="","",IFERROR(_xlfn.XLOOKUP(_xlpm.cd,CostData!$C$22:$C$1000,CostData!$E$22:$E$1000,""),"")))</f>
        <v>Inner</v>
      </c>
      <c r="U512" s="1" t="s">
        <v>103</v>
      </c>
      <c r="V512" s="1" cm="1">
        <f t="array" ref="V51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222</v>
      </c>
      <c r="W512" s="400" t="str" cm="1">
        <f t="array" ref="W5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3" spans="1:23" x14ac:dyDescent="0.25">
      <c r="A513" s="275" t="s">
        <v>254</v>
      </c>
      <c r="B513" s="370" t="s">
        <v>382</v>
      </c>
      <c r="C513" s="370" t="s">
        <v>1935</v>
      </c>
      <c r="D513" s="370" t="s">
        <v>1793</v>
      </c>
      <c r="E513" s="370" t="str">
        <v>Z-Louvre Blade - 5"</v>
      </c>
      <c r="G513" s="370" t="s">
        <v>1867</v>
      </c>
      <c r="H513" s="370" t="s">
        <v>1867</v>
      </c>
      <c r="P513" s="1" t="str" cm="1">
        <f t="array" ref="P5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3" s="1" t="str" cm="1">
        <f t="array" ref="Q513">_xlfn.LET(_xlpm.cd,INDEX($S:$S,ROW()),IF(_xlpm.cd="","",IFERROR(_xlfn.XLOOKUP(_xlpm.cd,CostData!$C$22:$C$1000,CostData!$B$22:$B$1000,""),"")))</f>
        <v>Aluminium</v>
      </c>
      <c r="R513" s="16" t="s">
        <v>1863</v>
      </c>
      <c r="S513" s="24" t="s">
        <v>1928</v>
      </c>
      <c r="T513" s="1" t="str" cm="1">
        <f t="array" ref="T513">_xlfn.LET(_xlpm.cd,INDEX($S:$S,ROW()),IF(_xlpm.cd="","",IFERROR(_xlfn.XLOOKUP(_xlpm.cd,CostData!$C$22:$C$1000,CostData!$E$22:$E$1000,""),"")))</f>
        <v>Mullion</v>
      </c>
      <c r="U513" s="1" t="s">
        <v>103</v>
      </c>
      <c r="V51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78</v>
      </c>
      <c r="W513" s="400" t="str" cm="1">
        <f t="array" ref="W5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4" spans="1:23" x14ac:dyDescent="0.25">
      <c r="A514" s="275" t="s">
        <v>254</v>
      </c>
      <c r="B514" s="370" t="s">
        <v>1847</v>
      </c>
      <c r="C514" s="370" t="s">
        <v>1935</v>
      </c>
      <c r="D514" s="370" t="s">
        <v>1815</v>
      </c>
      <c r="E514" s="370" t="str">
        <v/>
      </c>
      <c r="G514" s="370" t="s">
        <v>1868</v>
      </c>
      <c r="H514" s="370" t="s">
        <v>1868</v>
      </c>
      <c r="P514" s="1" t="str" cm="1">
        <f t="array" ref="P5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4" s="1" t="str" cm="1">
        <f t="array" ref="Q514">_xlfn.LET(_xlpm.cd,INDEX($S:$S,ROW()),IF(_xlpm.cd="","",IFERROR(_xlfn.XLOOKUP(_xlpm.cd,CostData!$C$22:$C$1000,CostData!$B$22:$B$1000,""),"")))</f>
        <v>Aluminium</v>
      </c>
      <c r="R514" s="16" t="s">
        <v>1862</v>
      </c>
      <c r="S514" s="24" t="s">
        <v>1928</v>
      </c>
      <c r="T514" s="1" t="str" cm="1">
        <f t="array" ref="T514">_xlfn.LET(_xlpm.cd,INDEX($S:$S,ROW()),IF(_xlpm.cd="","",IFERROR(_xlfn.XLOOKUP(_xlpm.cd,CostData!$C$22:$C$1000,CostData!$E$22:$E$1000,""),"")))</f>
        <v>Mullion</v>
      </c>
      <c r="U514" s="1" t="s">
        <v>103</v>
      </c>
      <c r="V51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14" s="400" t="str" cm="1">
        <f t="array" ref="W5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5" spans="1:23" x14ac:dyDescent="0.25">
      <c r="A515" s="275" t="s">
        <v>254</v>
      </c>
      <c r="C515" s="370" t="s">
        <v>1935</v>
      </c>
      <c r="E515" s="370" t="str">
        <v/>
      </c>
      <c r="G515" s="370" t="s">
        <v>1869</v>
      </c>
      <c r="H515" s="370" t="s">
        <v>1869</v>
      </c>
      <c r="P515" s="1" t="str" cm="1">
        <f t="array" ref="P5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5" s="1" t="str" cm="1">
        <f t="array" ref="Q515">_xlfn.LET(_xlpm.cd,INDEX($S:$S,ROW()),IF(_xlpm.cd="","",IFERROR(_xlfn.XLOOKUP(_xlpm.cd,CostData!$C$22:$C$1000,CostData!$B$22:$B$1000,""),"")))</f>
        <v/>
      </c>
      <c r="T515" s="1" t="str" cm="1">
        <f t="array" ref="T515">_xlfn.LET(_xlpm.cd,INDEX($S:$S,ROW()),IF(_xlpm.cd="","",IFERROR(_xlfn.XLOOKUP(_xlpm.cd,CostData!$C$22:$C$1000,CostData!$E$22:$E$1000,""),"")))</f>
        <v/>
      </c>
      <c r="V515" s="1" t="str" cm="1">
        <f t="array" ref="V515">IFERROR(_xlfn.XLOOKUP(1,(TRIM(CostData!$B$22:$B$1000)="Aluminium")*(TRIM(CostData!$C$22:$C$1000)="CWS")*(TRIM(CostData!$E$22:$E$1000)=TRIM($S515)),_xlfn.SWITCH(TRIM(Enginuity!$A$19),"N/A",CostData!$H$22:$H$1000,"M/B",CostData!$I$22:$I$1000,"P/C",CostData!$J$22:$J$1000,"W/G",CostData!$K$22:$K$1000,""),""),"")</f>
        <v/>
      </c>
      <c r="W515" s="400" t="str" cm="1">
        <f t="array" ref="W5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6" spans="1:23" x14ac:dyDescent="0.25">
      <c r="A516" s="275" t="s">
        <v>254</v>
      </c>
      <c r="C516" s="370" t="s">
        <v>1935</v>
      </c>
      <c r="E516" s="370" t="str">
        <v/>
      </c>
      <c r="G516" s="370" t="s">
        <v>1870</v>
      </c>
      <c r="H516" s="370" t="s">
        <v>1870</v>
      </c>
      <c r="P516" s="1" t="str" cm="1">
        <f t="array" ref="P5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6" s="1" t="str" cm="1">
        <f t="array" ref="Q516">_xlfn.LET(_xlpm.cd,INDEX($S:$S,ROW()),IF(_xlpm.cd="","",IFERROR(_xlfn.XLOOKUP(_xlpm.cd,CostData!$C$22:$C$1000,CostData!$B$22:$B$1000,""),"")))</f>
        <v/>
      </c>
      <c r="R516" s="16" t="str">
        <f>IF(Enginuity!$A$22="","",Enginuity!$A$22&amp;" Fix Window")</f>
        <v>▼ [Lattice] Fix Window</v>
      </c>
      <c r="T516" s="1" t="str" cm="1">
        <f t="array" ref="T516">_xlfn.LET(_xlpm.cd,INDEX($S:$S,ROW()),IF(_xlpm.cd="","",IFERROR(_xlfn.XLOOKUP(_xlpm.cd,CostData!$C$22:$C$1000,CostData!$E$22:$E$1000,""),"")))</f>
        <v/>
      </c>
      <c r="U516" s="1" t="s">
        <v>176</v>
      </c>
      <c r="V516" s="1">
        <v>1</v>
      </c>
      <c r="W516" s="400" t="str">
        <f>IF(Enginuity!$A$22&lt;&gt;"",$W$4,"")</f>
        <v/>
      </c>
    </row>
    <row r="517" spans="1:23" x14ac:dyDescent="0.25">
      <c r="A517" s="275" t="s">
        <v>254</v>
      </c>
      <c r="C517" s="370" t="s">
        <v>1935</v>
      </c>
      <c r="E517" s="370" t="str">
        <v/>
      </c>
      <c r="G517" s="370" t="s">
        <v>1871</v>
      </c>
      <c r="H517" s="370" t="s">
        <v>1871</v>
      </c>
      <c r="P517" s="1" t="str" cm="1">
        <f t="array" ref="P5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7" s="1" t="str" cm="1">
        <f t="array" ref="Q517">_xlfn.LET(_xlpm.cd,INDEX($S:$S,ROW()),IF(_xlpm.cd="","",IFERROR(_xlfn.XLOOKUP(_xlpm.cd,CostData!$C$22:$C$1000,CostData!$B$22:$B$1000,""),"")))</f>
        <v/>
      </c>
      <c r="T517" s="1" t="str" cm="1">
        <f t="array" ref="T517">_xlfn.LET(_xlpm.cd,INDEX($S:$S,ROW()),IF(_xlpm.cd="","",IFERROR(_xlfn.XLOOKUP(_xlpm.cd,CostData!$C$22:$C$1000,CostData!$E$22:$E$1000,""),"")))</f>
        <v/>
      </c>
      <c r="V517" s="1" t="str" cm="1">
        <f t="array" ref="V517">IFERROR(_xlfn.XLOOKUP(1,(TRIM(CostData!$B$22:$B$1000)="Aluminium")*(TRIM(CostData!$C$22:$C$1000)="CWS")*(TRIM(CostData!$E$22:$E$1000)=TRIM($S517)),_xlfn.SWITCH(TRIM(Enginuity!$A$19),"N/A",CostData!$H$22:$H$1000,"M/B",CostData!$I$22:$I$1000,"P/C",CostData!$J$22:$J$1000,"W/G",CostData!$K$22:$K$1000,""),""),"")</f>
        <v/>
      </c>
      <c r="W517" s="400" t="str" cm="1">
        <f t="array" ref="W5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8" spans="1:23" x14ac:dyDescent="0.25">
      <c r="A518" s="275" t="s">
        <v>254</v>
      </c>
      <c r="C518" s="370" t="s">
        <v>1935</v>
      </c>
      <c r="E518" s="370" t="str">
        <v/>
      </c>
      <c r="G518" s="370" t="s">
        <v>1872</v>
      </c>
      <c r="H518" s="370" t="s">
        <v>1872</v>
      </c>
      <c r="P518" s="1" t="str" cm="1">
        <f t="array" ref="P5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8" s="1" t="str" cm="1">
        <f t="array" ref="Q518">_xlfn.LET(_xlpm.cd,INDEX($S:$S,ROW()),IF(_xlpm.cd="","",IFERROR(_xlfn.XLOOKUP(_xlpm.cd,CostData!$C$22:$C$1000,CostData!$B$22:$B$1000,""),"")))</f>
        <v/>
      </c>
      <c r="T518" s="1" t="str" cm="1">
        <f t="array" ref="T518">_xlfn.LET(_xlpm.cd,INDEX($S:$S,ROW()),IF(_xlpm.cd="","",IFERROR(_xlfn.XLOOKUP(_xlpm.cd,CostData!$C$22:$C$1000,CostData!$E$22:$E$1000,""),"")))</f>
        <v/>
      </c>
      <c r="V518" s="1" t="str" cm="1">
        <f t="array" ref="V518">IFERROR(_xlfn.XLOOKUP(1,(TRIM(CostData!$B$22:$B$1000)="Aluminium")*(TRIM(CostData!$C$22:$C$1000)="CWS")*(TRIM(CostData!$E$22:$E$1000)=TRIM($S518)),_xlfn.SWITCH(TRIM(Enginuity!$A$19),"N/A",CostData!$H$22:$H$1000,"M/B",CostData!$I$22:$I$1000,"P/C",CostData!$J$22:$J$1000,"W/G",CostData!$K$22:$K$1000,""),""),"")</f>
        <v/>
      </c>
      <c r="W518" s="400" t="str" cm="1">
        <f t="array" ref="W5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9" spans="1:23" x14ac:dyDescent="0.25">
      <c r="A519" s="275" t="s">
        <v>254</v>
      </c>
      <c r="C519" s="370" t="s">
        <v>1935</v>
      </c>
      <c r="E519" s="370" t="str">
        <v/>
      </c>
      <c r="G519" s="370" t="s">
        <v>1873</v>
      </c>
      <c r="H519" s="370" t="s">
        <v>1873</v>
      </c>
      <c r="P519" s="1" t="str" cm="1">
        <f t="array" ref="P5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9" s="1" t="str" cm="1">
        <f t="array" ref="Q519">_xlfn.LET(_xlpm.cd,INDEX($S:$S,ROW()),IF(_xlpm.cd="","",IFERROR(_xlfn.XLOOKUP(_xlpm.cd,CostData!$C$22:$C$1000,CostData!$B$22:$B$1000,""),"")))</f>
        <v/>
      </c>
      <c r="T519" s="1" t="str" cm="1">
        <f t="array" ref="T519">_xlfn.LET(_xlpm.cd,INDEX($S:$S,ROW()),IF(_xlpm.cd="","",IFERROR(_xlfn.XLOOKUP(_xlpm.cd,CostData!$C$22:$C$1000,CostData!$E$22:$E$1000,""),"")))</f>
        <v/>
      </c>
      <c r="V519" s="1" t="str" cm="1">
        <f t="array" ref="V519">IFERROR(_xlfn.XLOOKUP(1,(TRIM(CostData!$B$22:$B$1000)="Aluminium")*(TRIM(CostData!$C$22:$C$1000)="CWS")*(TRIM(CostData!$E$22:$E$1000)=TRIM($S519)),_xlfn.SWITCH(TRIM(Enginuity!$A$19),"N/A",CostData!$H$22:$H$1000,"M/B",CostData!$I$22:$I$1000,"P/C",CostData!$J$22:$J$1000,"W/G",CostData!$K$22:$K$1000,""),""),"")</f>
        <v/>
      </c>
      <c r="W519" s="400" t="str" cm="1">
        <f t="array" ref="W5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0" spans="1:23" x14ac:dyDescent="0.25">
      <c r="A520" s="275" t="s">
        <v>254</v>
      </c>
      <c r="C520" s="370" t="s">
        <v>1935</v>
      </c>
      <c r="E520" s="370" t="str">
        <v/>
      </c>
      <c r="P520" s="1" t="str" cm="1">
        <f t="array" ref="P5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0" s="1" t="str" cm="1">
        <f t="array" ref="Q520">_xlfn.LET(_xlpm.cd,INDEX($S:$S,ROW()),IF(_xlpm.cd="","",IFERROR(_xlfn.XLOOKUP(_xlpm.cd,CostData!$C$22:$C$1000,CostData!$B$22:$B$1000,""),"")))</f>
        <v/>
      </c>
      <c r="T520" s="1" t="str" cm="1">
        <f t="array" ref="T520">_xlfn.LET(_xlpm.cd,INDEX($S:$S,ROW()),IF(_xlpm.cd="","",IFERROR(_xlfn.XLOOKUP(_xlpm.cd,CostData!$C$22:$C$1000,CostData!$E$22:$E$1000,""),"")))</f>
        <v/>
      </c>
      <c r="V520" s="1" t="str" cm="1">
        <f t="array" ref="V520">IFERROR(_xlfn.XLOOKUP(1,(TRIM(CostData!$B$22:$B$1000)="Aluminium")*(TRIM(CostData!$C$22:$C$1000)="CWS")*(TRIM(CostData!$E$22:$E$1000)=TRIM($S520)),_xlfn.SWITCH(TRIM(Enginuity!$A$19),"N/A",CostData!$H$22:$H$1000,"M/B",CostData!$I$22:$I$1000,"P/C",CostData!$J$22:$J$1000,"W/G",CostData!$K$22:$K$1000,""),""),"")</f>
        <v/>
      </c>
      <c r="W520" s="400" t="str" cm="1">
        <f t="array" ref="W5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1" spans="1:23" x14ac:dyDescent="0.25">
      <c r="A521" s="275" t="s">
        <v>254</v>
      </c>
      <c r="C521" s="370" t="s">
        <v>1935</v>
      </c>
      <c r="P521" s="1" t="str" cm="1">
        <f t="array" ref="P5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1" s="1" t="str" cm="1">
        <f t="array" ref="Q521">_xlfn.LET(_xlpm.cd,INDEX($S:$S,ROW()),IF(_xlpm.cd="","",IFERROR(_xlfn.XLOOKUP(_xlpm.cd,CostData!$C$22:$C$1000,CostData!$B$22:$B$1000,""),"")))</f>
        <v/>
      </c>
      <c r="T521" s="1" t="str" cm="1">
        <f t="array" ref="T521">_xlfn.LET(_xlpm.cd,INDEX($S:$S,ROW()),IF(_xlpm.cd="","",IFERROR(_xlfn.XLOOKUP(_xlpm.cd,CostData!$C$22:$C$1000,CostData!$E$22:$E$1000,""),"")))</f>
        <v/>
      </c>
      <c r="V521" s="1" t="str" cm="1">
        <f t="array" ref="V521">IFERROR(_xlfn.XLOOKUP(1,(TRIM(CostData!$B$22:$B$1000)="Aluminium")*(TRIM(CostData!$C$22:$C$1000)="CWS")*(TRIM(CostData!$E$22:$E$1000)=TRIM($S521)),_xlfn.SWITCH(TRIM(Enginuity!$A$19),"N/A",CostData!$H$22:$H$1000,"M/B",CostData!$I$22:$I$1000,"P/C",CostData!$J$22:$J$1000,"W/G",CostData!$K$22:$K$1000,""),""),"")</f>
        <v/>
      </c>
      <c r="W521" s="400" t="str" cm="1">
        <f t="array" ref="W5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2" spans="1:23" x14ac:dyDescent="0.25">
      <c r="A522" s="275" t="s">
        <v>254</v>
      </c>
      <c r="C522" s="370" t="s">
        <v>1935</v>
      </c>
      <c r="P522" s="1" t="str" cm="1">
        <f t="array" ref="P5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2" s="1" t="str" cm="1">
        <f t="array" ref="Q522">_xlfn.LET(_xlpm.cd,INDEX($S:$S,ROW()),IF(_xlpm.cd="","",IFERROR(_xlfn.XLOOKUP(_xlpm.cd,CostData!$C$22:$C$1000,CostData!$B$22:$B$1000,""),"")))</f>
        <v/>
      </c>
      <c r="T522" s="1" t="str" cm="1">
        <f t="array" ref="T522">_xlfn.LET(_xlpm.cd,INDEX($S:$S,ROW()),IF(_xlpm.cd="","",IFERROR(_xlfn.XLOOKUP(_xlpm.cd,CostData!$C$22:$C$1000,CostData!$E$22:$E$1000,""),"")))</f>
        <v/>
      </c>
      <c r="V522" s="1" t="str" cm="1">
        <f t="array" ref="V522">IFERROR(_xlfn.XLOOKUP(1,(TRIM(CostData!$B$22:$B$1000)="Aluminium")*(TRIM(CostData!$C$22:$C$1000)="CWS")*(TRIM(CostData!$E$22:$E$1000)=TRIM($S522)),_xlfn.SWITCH(TRIM(Enginuity!$A$19),"N/A",CostData!$H$22:$H$1000,"M/B",CostData!$I$22:$I$1000,"P/C",CostData!$J$22:$J$1000,"W/G",CostData!$K$22:$K$1000,""),""),"")</f>
        <v/>
      </c>
      <c r="W522" s="400" t="str" cm="1">
        <f t="array" ref="W5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3" spans="1:23" x14ac:dyDescent="0.25">
      <c r="A523" s="275" t="s">
        <v>254</v>
      </c>
      <c r="C523" s="370" t="s">
        <v>1935</v>
      </c>
      <c r="P523" s="1" t="str" cm="1">
        <f t="array" ref="P5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3" s="1" t="str" cm="1">
        <f t="array" ref="Q523">_xlfn.LET(_xlpm.cd,INDEX($S:$S,ROW()),IF(_xlpm.cd="","",IFERROR(_xlfn.XLOOKUP(_xlpm.cd,CostData!$C$22:$C$1000,CostData!$B$22:$B$1000,""),"")))</f>
        <v/>
      </c>
      <c r="T523" s="1" t="str" cm="1">
        <f t="array" ref="T523">_xlfn.LET(_xlpm.cd,INDEX($S:$S,ROW()),IF(_xlpm.cd="","",IFERROR(_xlfn.XLOOKUP(_xlpm.cd,CostData!$C$22:$C$1000,CostData!$E$22:$E$1000,""),"")))</f>
        <v/>
      </c>
      <c r="V523" s="1" t="str" cm="1">
        <f t="array" ref="V523">IFERROR(_xlfn.XLOOKUP(1,(TRIM(CostData!$B$22:$B$1000)="Aluminium")*(TRIM(CostData!$C$22:$C$1000)="CWS")*(TRIM(CostData!$E$22:$E$1000)=TRIM($S523)),_xlfn.SWITCH(TRIM(Enginuity!$A$19),"N/A",CostData!$H$22:$H$1000,"M/B",CostData!$I$22:$I$1000,"P/C",CostData!$J$22:$J$1000,"W/G",CostData!$K$22:$K$1000,""),""),"")</f>
        <v/>
      </c>
      <c r="W523" s="400" t="str" cm="1">
        <f t="array" ref="W5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4" spans="1:23" x14ac:dyDescent="0.25">
      <c r="A524" s="275" t="s">
        <v>254</v>
      </c>
      <c r="C524" s="370" t="s">
        <v>1935</v>
      </c>
      <c r="P524" s="1" t="str" cm="1">
        <f t="array" ref="P5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4" s="1" t="str" cm="1">
        <f t="array" ref="Q524">_xlfn.LET(_xlpm.cd,INDEX($S:$S,ROW()),IF(_xlpm.cd="","",IFERROR(_xlfn.XLOOKUP(_xlpm.cd,CostData!$C$22:$C$1000,CostData!$B$22:$B$1000,""),"")))</f>
        <v/>
      </c>
      <c r="T524" s="1" t="str" cm="1">
        <f t="array" ref="T524">_xlfn.LET(_xlpm.cd,INDEX($S:$S,ROW()),IF(_xlpm.cd="","",IFERROR(_xlfn.XLOOKUP(_xlpm.cd,CostData!$C$22:$C$1000,CostData!$E$22:$E$1000,""),"")))</f>
        <v/>
      </c>
      <c r="V524" s="1" t="str" cm="1">
        <f t="array" ref="V524">IFERROR(_xlfn.XLOOKUP(1,(TRIM(CostData!$B$22:$B$1000)="Aluminium")*(TRIM(CostData!$C$22:$C$1000)="CWS")*(TRIM(CostData!$E$22:$E$1000)=TRIM($S524)),_xlfn.SWITCH(TRIM(Enginuity!$A$19),"N/A",CostData!$H$22:$H$1000,"M/B",CostData!$I$22:$I$1000,"P/C",CostData!$J$22:$J$1000,"W/G",CostData!$K$22:$K$1000,""),""),"")</f>
        <v/>
      </c>
      <c r="W524" s="400" t="str" cm="1">
        <f t="array" ref="W5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5" spans="1:23" x14ac:dyDescent="0.25">
      <c r="A525" s="275" t="s">
        <v>254</v>
      </c>
      <c r="C525" s="370" t="s">
        <v>1935</v>
      </c>
      <c r="P525" s="1" t="str" cm="1">
        <f t="array" ref="P5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5" s="1" t="str" cm="1">
        <f t="array" ref="Q525">_xlfn.LET(_xlpm.cd,INDEX($S:$S,ROW()),IF(_xlpm.cd="","",IFERROR(_xlfn.XLOOKUP(_xlpm.cd,CostData!$C$22:$C$1000,CostData!$B$22:$B$1000,""),"")))</f>
        <v/>
      </c>
      <c r="T525" s="1" t="str" cm="1">
        <f t="array" ref="T525">_xlfn.LET(_xlpm.cd,INDEX($S:$S,ROW()),IF(_xlpm.cd="","",IFERROR(_xlfn.XLOOKUP(_xlpm.cd,CostData!$C$22:$C$1000,CostData!$E$22:$E$1000,""),"")))</f>
        <v/>
      </c>
      <c r="V525" s="1" t="str" cm="1">
        <f t="array" ref="V525">IFERROR(_xlfn.XLOOKUP(1,(TRIM(CostData!$B$22:$B$1000)="Aluminium")*(TRIM(CostData!$C$22:$C$1000)="CWS")*(TRIM(CostData!$E$22:$E$1000)=TRIM($S525)),_xlfn.SWITCH(TRIM(Enginuity!$A$19),"N/A",CostData!$H$22:$H$1000,"M/B",CostData!$I$22:$I$1000,"P/C",CostData!$J$22:$J$1000,"W/G",CostData!$K$22:$K$1000,""),""),"")</f>
        <v/>
      </c>
      <c r="W525" s="400" t="str" cm="1">
        <f t="array" ref="W5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6" spans="1:23" x14ac:dyDescent="0.25">
      <c r="A526" s="275" t="s">
        <v>254</v>
      </c>
      <c r="C526" s="370" t="s">
        <v>1935</v>
      </c>
      <c r="P526" s="1" t="str" cm="1">
        <f t="array" ref="P5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6" s="1" t="str" cm="1">
        <f t="array" ref="Q526">_xlfn.LET(_xlpm.cd,INDEX($S:$S,ROW()),IF(_xlpm.cd="","",IFERROR(_xlfn.XLOOKUP(_xlpm.cd,CostData!$C$22:$C$1000,CostData!$B$22:$B$1000,""),"")))</f>
        <v/>
      </c>
      <c r="T526" s="1" t="str" cm="1">
        <f t="array" ref="T526">_xlfn.LET(_xlpm.cd,INDEX($S:$S,ROW()),IF(_xlpm.cd="","",IFERROR(_xlfn.XLOOKUP(_xlpm.cd,CostData!$C$22:$C$1000,CostData!$E$22:$E$1000,""),"")))</f>
        <v/>
      </c>
      <c r="V526" s="1" t="str" cm="1">
        <f t="array" ref="V526">IFERROR(_xlfn.XLOOKUP(1,(TRIM(CostData!$B$22:$B$1000)="Aluminium")*(TRIM(CostData!$C$22:$C$1000)="CWS")*(TRIM(CostData!$E$22:$E$1000)=TRIM($S526)),_xlfn.SWITCH(TRIM(Enginuity!$A$19),"N/A",CostData!$H$22:$H$1000,"M/B",CostData!$I$22:$I$1000,"P/C",CostData!$J$22:$J$1000,"W/G",CostData!$K$22:$K$1000,""),""),"")</f>
        <v/>
      </c>
      <c r="W526" s="400" t="str" cm="1">
        <f t="array" ref="W5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7" spans="1:23" x14ac:dyDescent="0.25">
      <c r="A527" s="275" t="s">
        <v>254</v>
      </c>
      <c r="C527" s="370" t="s">
        <v>1935</v>
      </c>
      <c r="P527" s="1" t="str" cm="1">
        <f t="array" ref="P5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7" s="1" t="s">
        <v>1833</v>
      </c>
      <c r="R527" s="16" t="str">
        <f>IF($T527="","","⬒ "&amp;$T527)</f>
        <v>⬒ Z-Louvre Blade - 5"</v>
      </c>
      <c r="T527" s="1" t="str">
        <f>IF(Enginuity!$A$20="","",Enginuity!$A$20)</f>
        <v>Z-Louvre Blade - 5"</v>
      </c>
      <c r="U527" s="1" t="s">
        <v>121</v>
      </c>
      <c r="V527" s="1">
        <f>IF(Enginuity!$B$9="","",Enginuity!$B$9)</f>
        <v>260</v>
      </c>
      <c r="W527" s="400">
        <f>IFERROR(INDEX(CostData!$Q$3:$Q$12,MATCH(TRIM(Enginuity!$A$20),CostData!$P$3:$P$12,0)),"")</f>
        <v>32.037384615384617</v>
      </c>
    </row>
    <row r="528" spans="1:23" x14ac:dyDescent="0.25">
      <c r="A528" s="275" t="s">
        <v>254</v>
      </c>
      <c r="C528" s="370" t="s">
        <v>1935</v>
      </c>
      <c r="P528" s="1" t="str" cm="1">
        <f t="array" ref="P5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8" s="1" t="str" cm="1">
        <f t="array" ref="V528">IFERROR(_xlfn.XLOOKUP(1,(TRIM(CostData!$B$22:$B$1000)="Aluminium")*(TRIM(CostData!$C$22:$C$1000)="CWS")*(TRIM(CostData!$E$22:$E$1000)=TRIM($S528)),_xlfn.SWITCH(TRIM(Enginuity!$A$19),"N/A",CostData!$H$22:$H$1000,"M/B",CostData!$I$22:$I$1000,"P/C",CostData!$J$22:$J$1000,"W/G",CostData!$K$22:$K$1000,""),""),"")</f>
        <v/>
      </c>
      <c r="W528" s="400" t="str" cm="1">
        <f t="array" ref="W528">IF(OR(TRIM(CalcEngine!$A528)&lt;&gt;TRIM(Enginuity!$A$1),TRIM(CalcEngine!$C528)&lt;&gt;TRIM(Enginuity!$A$18),CalcEngine!$V528="",CalcEngine!$V528=0),"",IFERROR(_xlfn.XLOOKUP(1,(TRIM(CostData!$B$22:$B$1000)="Aluminium")*(TRIM(CostData!$C$22:$C$1000)="CWS")*(TRIM(CostData!$E$22:$E$1000)=TRIM(CalcEngine!$T528)),_xlfn.SWITCH(TRIM(Enginuity!$A$19),"N/A",CostData!$H$22:$H$1000,"M/B",CostData!$I$22:$I$1000,"P/C",CostData!$J$22:$J$1000,"W/G",CostData!$K$22:$K$1000,""),""),""))</f>
        <v/>
      </c>
    </row>
    <row r="529" spans="1:23" x14ac:dyDescent="0.25">
      <c r="A529" s="275" t="s">
        <v>254</v>
      </c>
      <c r="C529" s="370" t="s">
        <v>1935</v>
      </c>
      <c r="P529" s="1" t="str" cm="1">
        <f t="array" ref="P5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9" s="1" t="str" cm="1">
        <f t="array" ref="V529">IFERROR(_xlfn.XLOOKUP(1,(TRIM(CostData!$B$22:$B$1000)="Aluminium")*(TRIM(CostData!$C$22:$C$1000)="CWS")*(TRIM(CostData!$E$22:$E$1000)=TRIM($S529)),_xlfn.SWITCH(TRIM(Enginuity!$A$19),"N/A",CostData!$H$22:$H$1000,"M/B",CostData!$I$22:$I$1000,"P/C",CostData!$J$22:$J$1000,"W/G",CostData!$K$22:$K$1000,""),""),"")</f>
        <v/>
      </c>
      <c r="W529" s="400" t="str" cm="1">
        <f t="array" ref="W529">IF(OR(TRIM(CalcEngine!$A529)&lt;&gt;TRIM(Enginuity!$A$1),TRIM(CalcEngine!$C529)&lt;&gt;TRIM(Enginuity!$A$18),CalcEngine!$V529="",CalcEngine!$V529=0),"",IFERROR(_xlfn.XLOOKUP(1,(TRIM(CostData!$B$22:$B$1000)="Aluminium")*(TRIM(CostData!$C$22:$C$1000)="CWS")*(TRIM(CostData!$E$22:$E$1000)=TRIM(CalcEngine!$T529)),_xlfn.SWITCH(TRIM(Enginuity!$A$19),"N/A",CostData!$H$22:$H$1000,"M/B",CostData!$I$22:$I$1000,"P/C",CostData!$J$22:$J$1000,"W/G",CostData!$K$22:$K$1000,""),""),""))</f>
        <v/>
      </c>
    </row>
    <row r="530" spans="1:23" x14ac:dyDescent="0.25">
      <c r="A530" s="275" t="s">
        <v>254</v>
      </c>
      <c r="C530" s="370" t="s">
        <v>1935</v>
      </c>
      <c r="P530" s="1" t="str" cm="1">
        <f t="array" ref="P5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0" s="1" t="str" cm="1">
        <f t="array" ref="V530">IFERROR(_xlfn.XLOOKUP(1,(TRIM(CostData!$B$22:$B$1000)="Aluminium")*(TRIM(CostData!$C$22:$C$1000)="CWS")*(TRIM(CostData!$E$22:$E$1000)=TRIM($S530)),_xlfn.SWITCH(TRIM(Enginuity!$A$19),"N/A",CostData!$H$22:$H$1000,"M/B",CostData!$I$22:$I$1000,"P/C",CostData!$J$22:$J$1000,"W/G",CostData!$K$22:$K$1000,""),""),"")</f>
        <v/>
      </c>
      <c r="W530" s="400" t="str" cm="1">
        <f t="array" ref="W530">IF(OR(TRIM(CalcEngine!$A530)&lt;&gt;TRIM(Enginuity!$A$1),TRIM(CalcEngine!$C530)&lt;&gt;TRIM(Enginuity!$A$18),CalcEngine!$V530="",CalcEngine!$V530=0),"",IFERROR(_xlfn.XLOOKUP(1,(TRIM(CostData!$B$22:$B$1000)="Aluminium")*(TRIM(CostData!$C$22:$C$1000)="CWS")*(TRIM(CostData!$E$22:$E$1000)=TRIM(CalcEngine!$T530)),_xlfn.SWITCH(TRIM(Enginuity!$A$19),"N/A",CostData!$H$22:$H$1000,"M/B",CostData!$I$22:$I$1000,"P/C",CostData!$J$22:$J$1000,"W/G",CostData!$K$22:$K$1000,""),""),""))</f>
        <v/>
      </c>
    </row>
    <row r="531" spans="1:23" x14ac:dyDescent="0.25">
      <c r="A531" s="275" t="s">
        <v>254</v>
      </c>
      <c r="C531" s="370" t="s">
        <v>1935</v>
      </c>
      <c r="P531" s="1" t="str" cm="1">
        <f t="array" ref="P5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1" s="1" t="str" cm="1">
        <f t="array" ref="V531">IFERROR(_xlfn.XLOOKUP(1,(TRIM(CostData!$B$22:$B$1000)="Aluminium")*(TRIM(CostData!$C$22:$C$1000)="CWS")*(TRIM(CostData!$E$22:$E$1000)=TRIM($S531)),_xlfn.SWITCH(TRIM(Enginuity!$A$19),"N/A",CostData!$H$22:$H$1000,"M/B",CostData!$I$22:$I$1000,"P/C",CostData!$J$22:$J$1000,"W/G",CostData!$K$22:$K$1000,""),""),"")</f>
        <v/>
      </c>
      <c r="W531" s="400" t="str" cm="1">
        <f t="array" ref="W531">IF(OR(TRIM(CalcEngine!$A531)&lt;&gt;TRIM(Enginuity!$A$1),TRIM(CalcEngine!$C531)&lt;&gt;TRIM(Enginuity!$A$18),CalcEngine!$V531="",CalcEngine!$V531=0),"",IFERROR(_xlfn.XLOOKUP(1,(TRIM(CostData!$B$22:$B$1000)="Aluminium")*(TRIM(CostData!$C$22:$C$1000)="CWS")*(TRIM(CostData!$E$22:$E$1000)=TRIM(CalcEngine!$T531)),_xlfn.SWITCH(TRIM(Enginuity!$A$19),"N/A",CostData!$H$22:$H$1000,"M/B",CostData!$I$22:$I$1000,"P/C",CostData!$J$22:$J$1000,"W/G",CostData!$K$22:$K$1000,""),""),""))</f>
        <v/>
      </c>
    </row>
    <row r="532" spans="1:23" x14ac:dyDescent="0.25">
      <c r="A532" s="275" t="s">
        <v>254</v>
      </c>
      <c r="C532" s="370" t="s">
        <v>1935</v>
      </c>
      <c r="P532" s="1" t="str" cm="1">
        <f t="array" ref="P5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32" s="400"/>
    </row>
    <row r="533" spans="1:23" x14ac:dyDescent="0.25">
      <c r="A533" s="275" t="s">
        <v>254</v>
      </c>
      <c r="C533" s="370" t="s">
        <v>1935</v>
      </c>
      <c r="P533" s="1" t="str" cm="1">
        <f t="array" ref="P5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3" s="1" t="str">
        <f>IF($S533="","",IFERROR(_xlfn.XLOOKUP($S533,CostData!$U$22:$U$1000,CostData!$T$22:$T$1000,""),""))</f>
        <v>Hinge</v>
      </c>
      <c r="R533" s="16" t="str">
        <f>IF($S533="","",$T533)</f>
        <v>Hung Friction Stay</v>
      </c>
      <c r="S533" s="24" t="s">
        <v>1880</v>
      </c>
      <c r="T533" s="1" t="str" cm="1">
        <f t="array" ref="T533">_xlfn.LET(_xlpm.cd,INDEX($S:$S,ROW()),IF(_xlpm.cd="","",IFERROR(_xlfn.XLOOKUP(_xlpm.cd,CostData!$U$22:$U$1000,CostData!$W$22:$W$1000,""),"")))</f>
        <v>Hung Friction Stay</v>
      </c>
      <c r="U533" s="1" t="str">
        <f>IF($S533="","",IFERROR(_xlfn.XLOOKUP($S533,CostData!$U$22:$U$1000,CostData!$AA$22:$AA$1000,""),""))</f>
        <v>Pair</v>
      </c>
      <c r="V533" s="1" t="str" cm="1">
        <f t="array" ref="V53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33" s="400" t="str" cm="1">
        <f t="array" ref="W5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4" spans="1:23" x14ac:dyDescent="0.25">
      <c r="A534" s="275" t="s">
        <v>254</v>
      </c>
      <c r="C534" s="370" t="s">
        <v>1935</v>
      </c>
      <c r="P534" s="1" t="str" cm="1">
        <f t="array" ref="P5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4" s="1" t="str">
        <f>IF($S534="","",IFERROR(_xlfn.XLOOKUP($S534,CostData!$U$22:$U$1000,CostData!$T$22:$T$1000,""),""))</f>
        <v>Hinge</v>
      </c>
      <c r="R534" s="16" t="str">
        <f>IF($S534="","",$T534)</f>
        <v>Casement Friction Stay</v>
      </c>
      <c r="S534" s="24" t="s">
        <v>1879</v>
      </c>
      <c r="T534" s="1" t="str" cm="1">
        <f t="array" ref="T534">_xlfn.LET(_xlpm.cd,INDEX($S:$S,ROW()),IF(_xlpm.cd="","",IFERROR(_xlfn.XLOOKUP(_xlpm.cd,CostData!$U$22:$U$1000,CostData!$W$22:$W$1000,""),"")))</f>
        <v>Casement Friction Stay</v>
      </c>
      <c r="U534" s="1" t="str">
        <f>IF($S534="","",IFERROR(_xlfn.XLOOKUP($S534,CostData!$U$22:$U$1000,CostData!$AA$22:$AA$1000,""),""))</f>
        <v>Pair</v>
      </c>
      <c r="V534" s="1">
        <f>IF(Enginuity!$B$13&gt;0,Enginuity!$B$13,"")</f>
        <v>7</v>
      </c>
      <c r="W534" s="400" t="str" cm="1">
        <f t="array" ref="W5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5" spans="1:23" x14ac:dyDescent="0.25">
      <c r="A535" s="275" t="s">
        <v>254</v>
      </c>
      <c r="C535" s="370" t="s">
        <v>1935</v>
      </c>
      <c r="P535" s="1" t="str" cm="1">
        <f t="array" ref="P5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5" s="1" t="str">
        <f>IF($S535="","",IFERROR(_xlfn.XLOOKUP($S535,CostData!$U$22:$U$1000,CostData!$T$22:$T$1000,""),""))</f>
        <v>Handle</v>
      </c>
      <c r="R535" s="16" t="str">
        <f>IF($S535="","",$T535)</f>
        <v>Casement Handle</v>
      </c>
      <c r="S535" s="24" t="s">
        <v>113</v>
      </c>
      <c r="T535" s="1" t="str" cm="1">
        <f t="array" ref="T535">_xlfn.LET(_xlpm.cd,INDEX($S:$S,ROW()),IF(_xlpm.cd="","",IFERROR(_xlfn.XLOOKUP(_xlpm.cd,CostData!$U$22:$U$1000,CostData!$W$22:$W$1000,""),"")))</f>
        <v>Casement Handle</v>
      </c>
      <c r="U535" s="1" t="str">
        <f>IF($S535="","",IFERROR(_xlfn.XLOOKUP($S535,CostData!$U$22:$U$1000,CostData!$AA$22:$AA$1000,""),""))</f>
        <v>Pcs</v>
      </c>
      <c r="V535" s="1" cm="1">
        <f t="array" ref="V53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7</v>
      </c>
      <c r="W535" s="400" t="str" cm="1">
        <f t="array" ref="W5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6" spans="1:23" x14ac:dyDescent="0.25">
      <c r="A536" s="275" t="s">
        <v>254</v>
      </c>
      <c r="C536" s="370" t="s">
        <v>1935</v>
      </c>
      <c r="P536" s="1" t="str" cm="1">
        <f t="array" ref="P5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6" s="1" t="str">
        <f>IF($S536="","",IFERROR(_xlfn.XLOOKUP($S536,CostData!$U$22:$U$1000,CostData!$T$22:$T$1000,""),""))</f>
        <v>Black Tape</v>
      </c>
      <c r="R536" s="16" t="str">
        <f>IF($S536="","",$T536)</f>
        <v>2.5" x 2 Black Tape</v>
      </c>
      <c r="S536" s="24" t="s">
        <v>1898</v>
      </c>
      <c r="T536" s="1" t="str" cm="1">
        <f t="array" ref="T536">_xlfn.LET(_xlpm.cd,INDEX($S:$S,ROW()),IF(_xlpm.cd="","",IFERROR(_xlfn.XLOOKUP(_xlpm.cd,CostData!$U$22:$U$1000,CostData!$W$22:$W$1000,""),"")))</f>
        <v>2.5" x 2 Black Tape</v>
      </c>
      <c r="U536" s="1" t="str">
        <f>IF($S536="","",IFERROR(_xlfn.XLOOKUP($S536,CostData!$U$22:$U$1000,CostData!$AA$22:$AA$1000,""),""))</f>
        <v>Ft</v>
      </c>
      <c r="V536" s="1">
        <f>IF(SUM($V$61:$V$64)=0,"",SUM($V$61:$V$64))</f>
        <v>560</v>
      </c>
      <c r="W536" s="400" t="str" cm="1">
        <f t="array" ref="W5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7" spans="1:23" x14ac:dyDescent="0.25">
      <c r="A537" s="275" t="s">
        <v>254</v>
      </c>
      <c r="C537" s="370" t="s">
        <v>1935</v>
      </c>
      <c r="P537" s="1" t="str" cm="1">
        <f t="array" ref="P5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7" s="1" t="str">
        <f>IF($S537="","",IFERROR(_xlfn.XLOOKUP($S537,CostData!$U$22:$U$1000,CostData!$T$22:$T$1000,""),""))</f>
        <v>Gasket</v>
      </c>
      <c r="R537" s="16" t="s">
        <v>1931</v>
      </c>
      <c r="S537" s="24" t="s">
        <v>1912</v>
      </c>
      <c r="T537" s="1" t="str" cm="1">
        <f t="array" ref="T537">_xlfn.LET(_xlpm.cd,INDEX($S:$S,ROW()),IF(_xlpm.cd="","",IFERROR(_xlfn.XLOOKUP(_xlpm.cd,CostData!$U$22:$U$1000,CostData!$W$22:$W$1000,""),"")))</f>
        <v>F18 Gasket</v>
      </c>
      <c r="U537" s="1" t="str">
        <f>IF($S537="","",IFERROR(_xlfn.XLOOKUP($S537,CostData!$U$22:$U$1000,CostData!$AA$22:$AA$1000,""),""))</f>
        <v>Ft</v>
      </c>
      <c r="V537" s="1">
        <f>IF($V$61="","",$V$61)</f>
        <v>260</v>
      </c>
      <c r="W537" s="400" t="str" cm="1">
        <f t="array" ref="W5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8" spans="1:23" x14ac:dyDescent="0.25">
      <c r="A538" s="275" t="s">
        <v>254</v>
      </c>
      <c r="C538" s="370" t="s">
        <v>1935</v>
      </c>
      <c r="P538" s="1" t="str" cm="1">
        <f t="array" ref="P5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8" s="1" t="str">
        <f>IF($S538="","",IFERROR(_xlfn.XLOOKUP($S538,CostData!$U$22:$U$1000,CostData!$T$22:$T$1000,""),""))</f>
        <v>Gasket</v>
      </c>
      <c r="R538" s="16" t="s">
        <v>1932</v>
      </c>
      <c r="S538" s="24" t="s">
        <v>1916</v>
      </c>
      <c r="T538" s="1" t="str" cm="1">
        <f t="array" ref="T538">_xlfn.LET(_xlpm.cd,INDEX($S:$S,ROW()),IF(_xlpm.cd="","",IFERROR(_xlfn.XLOOKUP(_xlpm.cd,CostData!$U$22:$U$1000,CostData!$W$22:$W$1000,""),"")))</f>
        <v>F16S Gasket</v>
      </c>
      <c r="U538" s="1" t="str">
        <f>IF($S538="","",IFERROR(_xlfn.XLOOKUP($S538,CostData!$U$22:$U$1000,CostData!$AA$22:$AA$1000,""),""))</f>
        <v>Ft</v>
      </c>
      <c r="V538" s="1">
        <f>IF($V$62="","",$V$62)</f>
        <v>222</v>
      </c>
      <c r="W538" s="400" t="str" cm="1">
        <f t="array" ref="W5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9" spans="1:23" x14ac:dyDescent="0.25">
      <c r="A539" s="275" t="s">
        <v>254</v>
      </c>
      <c r="C539" s="370" t="s">
        <v>1935</v>
      </c>
      <c r="P539" s="1" t="str" cm="1">
        <f t="array" ref="P5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9" s="1" t="str">
        <f>IF($S539="","",IFERROR(_xlfn.XLOOKUP($S539,CostData!$U$22:$U$1000,CostData!$T$22:$T$1000,""),""))</f>
        <v>Gasket</v>
      </c>
      <c r="R539" s="16" t="s">
        <v>1930</v>
      </c>
      <c r="S539" s="24">
        <v>6154</v>
      </c>
      <c r="T539" s="1" t="str" cm="1">
        <f t="array" ref="T539">_xlfn.LET(_xlpm.cd,INDEX($S:$S,ROW()),IF(_xlpm.cd="","",IFERROR(_xlfn.XLOOKUP(_xlpm.cd,CostData!$U$22:$U$1000,CostData!$W$22:$W$1000,""),"")))</f>
        <v>6154 Gasket</v>
      </c>
      <c r="U539" s="1" t="str">
        <f>IF($S539="","",IFERROR(_xlfn.XLOOKUP($S539,CostData!$U$22:$U$1000,CostData!$AA$22:$AA$1000,""),""))</f>
        <v>Ft</v>
      </c>
      <c r="V539" s="1">
        <f>IF($V$62="","",$V$62)</f>
        <v>222</v>
      </c>
      <c r="W539" s="400" t="str" cm="1">
        <f t="array" ref="W5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0" spans="1:23" x14ac:dyDescent="0.25">
      <c r="A540" s="412" t="s">
        <v>254</v>
      </c>
      <c r="B540" s="399"/>
      <c r="C540" s="399" t="s">
        <v>1935</v>
      </c>
      <c r="D540" s="399"/>
      <c r="E540" s="399"/>
      <c r="F540" s="399"/>
      <c r="G540" s="399"/>
      <c r="H540" s="399"/>
      <c r="I540" s="399"/>
      <c r="J540" s="399"/>
      <c r="K540" s="399"/>
      <c r="L540" s="399"/>
      <c r="M540" s="399"/>
      <c r="N540" s="399"/>
      <c r="O540" s="399"/>
      <c r="P540" s="401"/>
      <c r="Q540" s="401" t="str">
        <f>IF($S540="","",IFERROR(_xlfn.XLOOKUP($S540,CostData!$U$22:$U$1000,CostData!$T$22:$T$1000,""),""))</f>
        <v>Gasket</v>
      </c>
      <c r="R540" s="429" t="s">
        <v>1933</v>
      </c>
      <c r="S540" s="418">
        <v>6154</v>
      </c>
      <c r="T540" s="401" t="str" cm="1">
        <f t="array" ref="T540">_xlfn.LET(_xlpm.cd,INDEX($S:$S,ROW()),IF(_xlpm.cd="","",IFERROR(_xlfn.XLOOKUP(_xlpm.cd,CostData!$U$22:$U$1000,CostData!$W$22:$W$1000,""),"")))</f>
        <v>6154 Gasket</v>
      </c>
      <c r="U540" s="401" t="str">
        <f>IF($S540="","",IFERROR(_xlfn.XLOOKUP($S540,CostData!$U$22:$U$1000,CostData!$AA$22:$AA$1000,""),""))</f>
        <v>Ft</v>
      </c>
      <c r="V540" s="401">
        <f>IF(SUM($V$63:$V$64)=0,"",SUM($V$63:$V$64)*2)</f>
        <v>156</v>
      </c>
      <c r="W540" s="413" t="str" cm="1">
        <f t="array" ref="W5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1" spans="1:23" x14ac:dyDescent="0.25">
      <c r="A541" s="419" t="s">
        <v>254</v>
      </c>
      <c r="B541" s="415" t="s">
        <v>1846</v>
      </c>
      <c r="C541" s="415" t="s">
        <v>1935</v>
      </c>
      <c r="D541" s="415" t="s">
        <v>1792</v>
      </c>
      <c r="E541" s="415" t="str" cm="1">
        <f t="array" ref="E541:E550">IFERROR(INDEX(_xlfn._xlws.FILTER(CostData!$P$3:$P$12,CostData!$P$3:$P$12&lt;&gt;""),_xlfn.SEQUENCE(10)),"")</f>
        <v>Default</v>
      </c>
      <c r="F541" s="415" t="str">
        <f>"▼ [Variant]"</f>
        <v>▼ [Variant]</v>
      </c>
      <c r="G541" s="415" t="str">
        <f>"▼ [Fix - Casement]"</f>
        <v>▼ [Fix - Casement]</v>
      </c>
      <c r="H541" s="415" t="str">
        <f>"▼ [Hung Window - Casement]"</f>
        <v>▼ [Hung Window - Casement]</v>
      </c>
      <c r="I541" s="415" t="s">
        <v>1858</v>
      </c>
      <c r="J541" s="415" t="s">
        <v>1859</v>
      </c>
      <c r="K541" s="415" t="s">
        <v>1860</v>
      </c>
      <c r="L541" s="415" t="s">
        <v>1861</v>
      </c>
      <c r="M541" s="420">
        <v>0.54649999999999999</v>
      </c>
      <c r="N541" s="415">
        <v>609.6</v>
      </c>
      <c r="O541" s="415"/>
      <c r="P541" s="409" t="str" cm="1">
        <f t="array" ref="P5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1" s="409" t="str" cm="1">
        <f t="array" ref="Q541">_xlfn.LET(_xlpm.cd,INDEX($S:$S,ROW()),IF(_xlpm.cd="","",IFERROR(_xlfn.XLOOKUP(_xlpm.cd,CostData!$C$22:$C$1000,CostData!$B$22:$B$1000,""),"")))</f>
        <v>Aluminium</v>
      </c>
      <c r="R541" s="428" t="s">
        <v>1812</v>
      </c>
      <c r="S541" s="417" t="s">
        <v>1926</v>
      </c>
      <c r="T541" s="409" t="str" cm="1">
        <f t="array" ref="T541">_xlfn.LET(_xlpm.cd,INDEX($S:$S,ROW()),IF(_xlpm.cd="","",IFERROR(_xlfn.XLOOKUP(_xlpm.cd,CostData!$C$22:$C$1000,CostData!$E$22:$E$1000,""),"")))</f>
        <v>Outer</v>
      </c>
      <c r="U541" s="409" t="s">
        <v>103</v>
      </c>
      <c r="V541" s="409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W541" s="421" t="str" cm="1">
        <f t="array" ref="W5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2" spans="1:23" x14ac:dyDescent="0.25">
      <c r="A542" s="275" t="s">
        <v>254</v>
      </c>
      <c r="B542" s="370" t="s">
        <v>1848</v>
      </c>
      <c r="C542" s="370" t="s">
        <v>1935</v>
      </c>
      <c r="D542" s="370" t="s">
        <v>1814</v>
      </c>
      <c r="E542" s="370" t="str">
        <v>Z-Louvre Blade - 2"</v>
      </c>
      <c r="G542" s="370" t="s">
        <v>1866</v>
      </c>
      <c r="H542" s="370" t="s">
        <v>1866</v>
      </c>
      <c r="P542" s="1" t="str" cm="1">
        <f t="array" ref="P5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2" s="1" t="str" cm="1">
        <f t="array" ref="Q542">_xlfn.LET(_xlpm.cd,INDEX($S:$S,ROW()),IF(_xlpm.cd="","",IFERROR(_xlfn.XLOOKUP(_xlpm.cd,CostData!$C$22:$C$1000,CostData!$B$22:$B$1000,""),"")))</f>
        <v>Aluminium</v>
      </c>
      <c r="R542" s="16" t="s">
        <v>1849</v>
      </c>
      <c r="S542" s="24" t="s">
        <v>1927</v>
      </c>
      <c r="T542" s="1" t="str" cm="1">
        <f t="array" ref="T542">_xlfn.LET(_xlpm.cd,INDEX($S:$S,ROW()),IF(_xlpm.cd="","",IFERROR(_xlfn.XLOOKUP(_xlpm.cd,CostData!$C$22:$C$1000,CostData!$E$22:$E$1000,""),"")))</f>
        <v>Inner</v>
      </c>
      <c r="U542" s="1" t="s">
        <v>103</v>
      </c>
      <c r="V542" s="1" cm="1">
        <f t="array" ref="V54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222</v>
      </c>
      <c r="W542" s="400" t="str" cm="1">
        <f t="array" ref="W5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3" spans="1:23" x14ac:dyDescent="0.25">
      <c r="A543" s="275" t="s">
        <v>254</v>
      </c>
      <c r="B543" s="370" t="s">
        <v>382</v>
      </c>
      <c r="C543" s="370" t="s">
        <v>1935</v>
      </c>
      <c r="D543" s="370" t="s">
        <v>1793</v>
      </c>
      <c r="E543" s="370" t="str">
        <v>Z-Louvre Blade - 5"</v>
      </c>
      <c r="G543" s="370" t="s">
        <v>1867</v>
      </c>
      <c r="H543" s="370" t="s">
        <v>1867</v>
      </c>
      <c r="P543" s="1" t="str" cm="1">
        <f t="array" ref="P5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3" s="1" t="str" cm="1">
        <f t="array" ref="Q543">_xlfn.LET(_xlpm.cd,INDEX($S:$S,ROW()),IF(_xlpm.cd="","",IFERROR(_xlfn.XLOOKUP(_xlpm.cd,CostData!$C$22:$C$1000,CostData!$B$22:$B$1000,""),"")))</f>
        <v>Aluminium</v>
      </c>
      <c r="R543" s="16" t="s">
        <v>1863</v>
      </c>
      <c r="S543" s="24" t="s">
        <v>1928</v>
      </c>
      <c r="T543" s="1" t="str" cm="1">
        <f t="array" ref="T543">_xlfn.LET(_xlpm.cd,INDEX($S:$S,ROW()),IF(_xlpm.cd="","",IFERROR(_xlfn.XLOOKUP(_xlpm.cd,CostData!$C$22:$C$1000,CostData!$E$22:$E$1000,""),"")))</f>
        <v>Mullion</v>
      </c>
      <c r="U543" s="1" t="s">
        <v>103</v>
      </c>
      <c r="V54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78</v>
      </c>
      <c r="W543" s="400" t="str" cm="1">
        <f t="array" ref="W5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4" spans="1:23" x14ac:dyDescent="0.25">
      <c r="A544" s="275" t="s">
        <v>254</v>
      </c>
      <c r="B544" s="370" t="s">
        <v>1847</v>
      </c>
      <c r="C544" s="370" t="s">
        <v>1935</v>
      </c>
      <c r="D544" s="370" t="s">
        <v>1815</v>
      </c>
      <c r="E544" s="370" t="str">
        <v/>
      </c>
      <c r="G544" s="370" t="s">
        <v>1868</v>
      </c>
      <c r="H544" s="370" t="s">
        <v>1868</v>
      </c>
      <c r="P544" s="1" t="str" cm="1">
        <f t="array" ref="P5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4" s="1" t="str" cm="1">
        <f t="array" ref="Q544">_xlfn.LET(_xlpm.cd,INDEX($S:$S,ROW()),IF(_xlpm.cd="","",IFERROR(_xlfn.XLOOKUP(_xlpm.cd,CostData!$C$22:$C$1000,CostData!$B$22:$B$1000,""),"")))</f>
        <v>Aluminium</v>
      </c>
      <c r="R544" s="16" t="s">
        <v>1862</v>
      </c>
      <c r="S544" s="24" t="s">
        <v>1928</v>
      </c>
      <c r="T544" s="1" t="str" cm="1">
        <f t="array" ref="T544">_xlfn.LET(_xlpm.cd,INDEX($S:$S,ROW()),IF(_xlpm.cd="","",IFERROR(_xlfn.XLOOKUP(_xlpm.cd,CostData!$C$22:$C$1000,CostData!$E$22:$E$1000,""),"")))</f>
        <v>Mullion</v>
      </c>
      <c r="U544" s="1" t="s">
        <v>103</v>
      </c>
      <c r="V54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44" s="400" t="str" cm="1">
        <f t="array" ref="W5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5" spans="1:23" x14ac:dyDescent="0.25">
      <c r="A545" s="275" t="s">
        <v>254</v>
      </c>
      <c r="C545" s="370" t="s">
        <v>1935</v>
      </c>
      <c r="E545" s="370" t="str">
        <v/>
      </c>
      <c r="G545" s="370" t="s">
        <v>1869</v>
      </c>
      <c r="H545" s="370" t="s">
        <v>1869</v>
      </c>
      <c r="P545" s="1" t="str" cm="1">
        <f t="array" ref="P5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5" s="1" t="str" cm="1">
        <f t="array" ref="Q545">_xlfn.LET(_xlpm.cd,INDEX($S:$S,ROW()),IF(_xlpm.cd="","",IFERROR(_xlfn.XLOOKUP(_xlpm.cd,CostData!$C$22:$C$1000,CostData!$B$22:$B$1000,""),"")))</f>
        <v/>
      </c>
      <c r="T545" s="1" t="str" cm="1">
        <f t="array" ref="T545">_xlfn.LET(_xlpm.cd,INDEX($S:$S,ROW()),IF(_xlpm.cd="","",IFERROR(_xlfn.XLOOKUP(_xlpm.cd,CostData!$C$22:$C$1000,CostData!$E$22:$E$1000,""),"")))</f>
        <v/>
      </c>
      <c r="V545" s="1" t="str" cm="1">
        <f t="array" ref="V545">IFERROR(_xlfn.XLOOKUP(1,(TRIM(CostData!$B$22:$B$1000)="Aluminium")*(TRIM(CostData!$C$22:$C$1000)="CWS")*(TRIM(CostData!$E$22:$E$1000)=TRIM($S545)),_xlfn.SWITCH(TRIM(Enginuity!$A$19),"N/A",CostData!$H$22:$H$1000,"M/B",CostData!$I$22:$I$1000,"P/C",CostData!$J$22:$J$1000,"W/G",CostData!$K$22:$K$1000,""),""),"")</f>
        <v/>
      </c>
      <c r="W545" s="400" t="str" cm="1">
        <f t="array" ref="W5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6" spans="1:23" x14ac:dyDescent="0.25">
      <c r="A546" s="275" t="s">
        <v>254</v>
      </c>
      <c r="C546" s="370" t="s">
        <v>1935</v>
      </c>
      <c r="E546" s="370" t="str">
        <v/>
      </c>
      <c r="G546" s="370" t="s">
        <v>1870</v>
      </c>
      <c r="H546" s="370" t="s">
        <v>1870</v>
      </c>
      <c r="P546" s="1" t="str" cm="1">
        <f t="array" ref="P5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6" s="1" t="str" cm="1">
        <f t="array" ref="Q546">_xlfn.LET(_xlpm.cd,INDEX($S:$S,ROW()),IF(_xlpm.cd="","",IFERROR(_xlfn.XLOOKUP(_xlpm.cd,CostData!$C$22:$C$1000,CostData!$B$22:$B$1000,""),"")))</f>
        <v/>
      </c>
      <c r="R546" s="16" t="str">
        <f>IF(Enginuity!$A$22="","",Enginuity!$A$22&amp;" Fix Window")</f>
        <v>▼ [Lattice] Fix Window</v>
      </c>
      <c r="T546" s="1" t="str" cm="1">
        <f t="array" ref="T546">_xlfn.LET(_xlpm.cd,INDEX($S:$S,ROW()),IF(_xlpm.cd="","",IFERROR(_xlfn.XLOOKUP(_xlpm.cd,CostData!$C$22:$C$1000,CostData!$E$22:$E$1000,""),"")))</f>
        <v/>
      </c>
      <c r="U546" s="1" t="s">
        <v>176</v>
      </c>
      <c r="V546" s="1">
        <v>1</v>
      </c>
      <c r="W546" s="400" t="str">
        <f>IF(Enginuity!$A$22&lt;&gt;"",$W$4,"")</f>
        <v/>
      </c>
    </row>
    <row r="547" spans="1:23" x14ac:dyDescent="0.25">
      <c r="A547" s="275" t="s">
        <v>254</v>
      </c>
      <c r="C547" s="370" t="s">
        <v>1935</v>
      </c>
      <c r="E547" s="370" t="str">
        <v/>
      </c>
      <c r="G547" s="370" t="s">
        <v>1871</v>
      </c>
      <c r="H547" s="370" t="s">
        <v>1871</v>
      </c>
      <c r="P547" s="1" t="str" cm="1">
        <f t="array" ref="P5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7" s="1" t="str" cm="1">
        <f t="array" ref="Q547">_xlfn.LET(_xlpm.cd,INDEX($S:$S,ROW()),IF(_xlpm.cd="","",IFERROR(_xlfn.XLOOKUP(_xlpm.cd,CostData!$C$22:$C$1000,CostData!$B$22:$B$1000,""),"")))</f>
        <v/>
      </c>
      <c r="T547" s="1" t="str" cm="1">
        <f t="array" ref="T547">_xlfn.LET(_xlpm.cd,INDEX($S:$S,ROW()),IF(_xlpm.cd="","",IFERROR(_xlfn.XLOOKUP(_xlpm.cd,CostData!$C$22:$C$1000,CostData!$E$22:$E$1000,""),"")))</f>
        <v/>
      </c>
      <c r="V547" s="1" t="str" cm="1">
        <f t="array" ref="V547">IFERROR(_xlfn.XLOOKUP(1,(TRIM(CostData!$B$22:$B$1000)="Aluminium")*(TRIM(CostData!$C$22:$C$1000)="CWS")*(TRIM(CostData!$E$22:$E$1000)=TRIM($S547)),_xlfn.SWITCH(TRIM(Enginuity!$A$19),"N/A",CostData!$H$22:$H$1000,"M/B",CostData!$I$22:$I$1000,"P/C",CostData!$J$22:$J$1000,"W/G",CostData!$K$22:$K$1000,""),""),"")</f>
        <v/>
      </c>
      <c r="W547" s="400" t="str" cm="1">
        <f t="array" ref="W54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8" spans="1:23" x14ac:dyDescent="0.25">
      <c r="A548" s="275" t="s">
        <v>254</v>
      </c>
      <c r="C548" s="370" t="s">
        <v>1935</v>
      </c>
      <c r="E548" s="370" t="str">
        <v/>
      </c>
      <c r="G548" s="370" t="s">
        <v>1872</v>
      </c>
      <c r="H548" s="370" t="s">
        <v>1872</v>
      </c>
      <c r="P548" s="1" t="str" cm="1">
        <f t="array" ref="P5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8" s="1" t="str" cm="1">
        <f t="array" ref="Q548">_xlfn.LET(_xlpm.cd,INDEX($S:$S,ROW()),IF(_xlpm.cd="","",IFERROR(_xlfn.XLOOKUP(_xlpm.cd,CostData!$C$22:$C$1000,CostData!$B$22:$B$1000,""),"")))</f>
        <v/>
      </c>
      <c r="T548" s="1" t="str" cm="1">
        <f t="array" ref="T548">_xlfn.LET(_xlpm.cd,INDEX($S:$S,ROW()),IF(_xlpm.cd="","",IFERROR(_xlfn.XLOOKUP(_xlpm.cd,CostData!$C$22:$C$1000,CostData!$E$22:$E$1000,""),"")))</f>
        <v/>
      </c>
      <c r="V548" s="1" t="str" cm="1">
        <f t="array" ref="V548">IFERROR(_xlfn.XLOOKUP(1,(TRIM(CostData!$B$22:$B$1000)="Aluminium")*(TRIM(CostData!$C$22:$C$1000)="CWS")*(TRIM(CostData!$E$22:$E$1000)=TRIM($S548)),_xlfn.SWITCH(TRIM(Enginuity!$A$19),"N/A",CostData!$H$22:$H$1000,"M/B",CostData!$I$22:$I$1000,"P/C",CostData!$J$22:$J$1000,"W/G",CostData!$K$22:$K$1000,""),""),"")</f>
        <v/>
      </c>
      <c r="W548" s="400" t="str" cm="1">
        <f t="array" ref="W54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9" spans="1:23" x14ac:dyDescent="0.25">
      <c r="A549" s="275" t="s">
        <v>254</v>
      </c>
      <c r="C549" s="370" t="s">
        <v>1935</v>
      </c>
      <c r="E549" s="370" t="str">
        <v/>
      </c>
      <c r="G549" s="370" t="s">
        <v>1873</v>
      </c>
      <c r="H549" s="370" t="s">
        <v>1873</v>
      </c>
      <c r="P549" s="1" t="str" cm="1">
        <f t="array" ref="P5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9" s="1" t="str" cm="1">
        <f t="array" ref="Q549">_xlfn.LET(_xlpm.cd,INDEX($S:$S,ROW()),IF(_xlpm.cd="","",IFERROR(_xlfn.XLOOKUP(_xlpm.cd,CostData!$C$22:$C$1000,CostData!$B$22:$B$1000,""),"")))</f>
        <v/>
      </c>
      <c r="T549" s="1" t="str" cm="1">
        <f t="array" ref="T549">_xlfn.LET(_xlpm.cd,INDEX($S:$S,ROW()),IF(_xlpm.cd="","",IFERROR(_xlfn.XLOOKUP(_xlpm.cd,CostData!$C$22:$C$1000,CostData!$E$22:$E$1000,""),"")))</f>
        <v/>
      </c>
      <c r="V549" s="1" t="str" cm="1">
        <f t="array" ref="V549">IFERROR(_xlfn.XLOOKUP(1,(TRIM(CostData!$B$22:$B$1000)="Aluminium")*(TRIM(CostData!$C$22:$C$1000)="CWS")*(TRIM(CostData!$E$22:$E$1000)=TRIM($S549)),_xlfn.SWITCH(TRIM(Enginuity!$A$19),"N/A",CostData!$H$22:$H$1000,"M/B",CostData!$I$22:$I$1000,"P/C",CostData!$J$22:$J$1000,"W/G",CostData!$K$22:$K$1000,""),""),"")</f>
        <v/>
      </c>
      <c r="W549" s="400" t="str" cm="1">
        <f t="array" ref="W54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0" spans="1:23" x14ac:dyDescent="0.25">
      <c r="A550" s="275" t="s">
        <v>254</v>
      </c>
      <c r="C550" s="370" t="s">
        <v>1935</v>
      </c>
      <c r="E550" s="370" t="str">
        <v/>
      </c>
      <c r="P550" s="1" t="str" cm="1">
        <f t="array" ref="P5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0" s="1" t="str" cm="1">
        <f t="array" ref="Q550">_xlfn.LET(_xlpm.cd,INDEX($S:$S,ROW()),IF(_xlpm.cd="","",IFERROR(_xlfn.XLOOKUP(_xlpm.cd,CostData!$C$22:$C$1000,CostData!$B$22:$B$1000,""),"")))</f>
        <v/>
      </c>
      <c r="T550" s="1" t="str" cm="1">
        <f t="array" ref="T550">_xlfn.LET(_xlpm.cd,INDEX($S:$S,ROW()),IF(_xlpm.cd="","",IFERROR(_xlfn.XLOOKUP(_xlpm.cd,CostData!$C$22:$C$1000,CostData!$E$22:$E$1000,""),"")))</f>
        <v/>
      </c>
      <c r="V550" s="1" t="str" cm="1">
        <f t="array" ref="V550">IFERROR(_xlfn.XLOOKUP(1,(TRIM(CostData!$B$22:$B$1000)="Aluminium")*(TRIM(CostData!$C$22:$C$1000)="CWS")*(TRIM(CostData!$E$22:$E$1000)=TRIM($S550)),_xlfn.SWITCH(TRIM(Enginuity!$A$19),"N/A",CostData!$H$22:$H$1000,"M/B",CostData!$I$22:$I$1000,"P/C",CostData!$J$22:$J$1000,"W/G",CostData!$K$22:$K$1000,""),""),"")</f>
        <v/>
      </c>
      <c r="W550" s="400" t="str" cm="1">
        <f t="array" ref="W55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1" spans="1:23" x14ac:dyDescent="0.25">
      <c r="A551" s="275" t="s">
        <v>254</v>
      </c>
      <c r="C551" s="370" t="s">
        <v>1935</v>
      </c>
      <c r="P551" s="1" t="str" cm="1">
        <f t="array" ref="P5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1" s="1" t="str" cm="1">
        <f t="array" ref="Q551">_xlfn.LET(_xlpm.cd,INDEX($S:$S,ROW()),IF(_xlpm.cd="","",IFERROR(_xlfn.XLOOKUP(_xlpm.cd,CostData!$C$22:$C$1000,CostData!$B$22:$B$1000,""),"")))</f>
        <v/>
      </c>
      <c r="T551" s="1" t="str" cm="1">
        <f t="array" ref="T551">_xlfn.LET(_xlpm.cd,INDEX($S:$S,ROW()),IF(_xlpm.cd="","",IFERROR(_xlfn.XLOOKUP(_xlpm.cd,CostData!$C$22:$C$1000,CostData!$E$22:$E$1000,""),"")))</f>
        <v/>
      </c>
      <c r="V551" s="1" t="str" cm="1">
        <f t="array" ref="V551">IFERROR(_xlfn.XLOOKUP(1,(TRIM(CostData!$B$22:$B$1000)="Aluminium")*(TRIM(CostData!$C$22:$C$1000)="CWS")*(TRIM(CostData!$E$22:$E$1000)=TRIM($S551)),_xlfn.SWITCH(TRIM(Enginuity!$A$19),"N/A",CostData!$H$22:$H$1000,"M/B",CostData!$I$22:$I$1000,"P/C",CostData!$J$22:$J$1000,"W/G",CostData!$K$22:$K$1000,""),""),"")</f>
        <v/>
      </c>
      <c r="W551" s="400" t="str" cm="1">
        <f t="array" ref="W5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2" spans="1:23" x14ac:dyDescent="0.25">
      <c r="A552" s="275" t="s">
        <v>254</v>
      </c>
      <c r="C552" s="370" t="s">
        <v>1935</v>
      </c>
      <c r="P552" s="1" t="str" cm="1">
        <f t="array" ref="P5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2" s="1" t="str" cm="1">
        <f t="array" ref="Q552">_xlfn.LET(_xlpm.cd,INDEX($S:$S,ROW()),IF(_xlpm.cd="","",IFERROR(_xlfn.XLOOKUP(_xlpm.cd,CostData!$C$22:$C$1000,CostData!$B$22:$B$1000,""),"")))</f>
        <v/>
      </c>
      <c r="T552" s="1" t="str" cm="1">
        <f t="array" ref="T552">_xlfn.LET(_xlpm.cd,INDEX($S:$S,ROW()),IF(_xlpm.cd="","",IFERROR(_xlfn.XLOOKUP(_xlpm.cd,CostData!$C$22:$C$1000,CostData!$E$22:$E$1000,""),"")))</f>
        <v/>
      </c>
      <c r="V552" s="1" t="str" cm="1">
        <f t="array" ref="V552">IFERROR(_xlfn.XLOOKUP(1,(TRIM(CostData!$B$22:$B$1000)="Aluminium")*(TRIM(CostData!$C$22:$C$1000)="CWS")*(TRIM(CostData!$E$22:$E$1000)=TRIM($S552)),_xlfn.SWITCH(TRIM(Enginuity!$A$19),"N/A",CostData!$H$22:$H$1000,"M/B",CostData!$I$22:$I$1000,"P/C",CostData!$J$22:$J$1000,"W/G",CostData!$K$22:$K$1000,""),""),"")</f>
        <v/>
      </c>
      <c r="W552" s="400" t="str" cm="1">
        <f t="array" ref="W5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3" spans="1:23" x14ac:dyDescent="0.25">
      <c r="A553" s="275" t="s">
        <v>254</v>
      </c>
      <c r="C553" s="370" t="s">
        <v>1935</v>
      </c>
      <c r="P553" s="1" t="str" cm="1">
        <f t="array" ref="P5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3" s="1" t="str" cm="1">
        <f t="array" ref="Q553">_xlfn.LET(_xlpm.cd,INDEX($S:$S,ROW()),IF(_xlpm.cd="","",IFERROR(_xlfn.XLOOKUP(_xlpm.cd,CostData!$C$22:$C$1000,CostData!$B$22:$B$1000,""),"")))</f>
        <v/>
      </c>
      <c r="T553" s="1" t="str" cm="1">
        <f t="array" ref="T553">_xlfn.LET(_xlpm.cd,INDEX($S:$S,ROW()),IF(_xlpm.cd="","",IFERROR(_xlfn.XLOOKUP(_xlpm.cd,CostData!$C$22:$C$1000,CostData!$E$22:$E$1000,""),"")))</f>
        <v/>
      </c>
      <c r="V553" s="1" t="str" cm="1">
        <f t="array" ref="V553">IFERROR(_xlfn.XLOOKUP(1,(TRIM(CostData!$B$22:$B$1000)="Aluminium")*(TRIM(CostData!$C$22:$C$1000)="CWS")*(TRIM(CostData!$E$22:$E$1000)=TRIM($S553)),_xlfn.SWITCH(TRIM(Enginuity!$A$19),"N/A",CostData!$H$22:$H$1000,"M/B",CostData!$I$22:$I$1000,"P/C",CostData!$J$22:$J$1000,"W/G",CostData!$K$22:$K$1000,""),""),"")</f>
        <v/>
      </c>
      <c r="W553" s="400" t="str" cm="1">
        <f t="array" ref="W5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4" spans="1:23" x14ac:dyDescent="0.25">
      <c r="A554" s="275" t="s">
        <v>254</v>
      </c>
      <c r="C554" s="370" t="s">
        <v>1935</v>
      </c>
      <c r="P554" s="1" t="str" cm="1">
        <f t="array" ref="P5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4" s="1" t="str" cm="1">
        <f t="array" ref="Q554">_xlfn.LET(_xlpm.cd,INDEX($S:$S,ROW()),IF(_xlpm.cd="","",IFERROR(_xlfn.XLOOKUP(_xlpm.cd,CostData!$C$22:$C$1000,CostData!$B$22:$B$1000,""),"")))</f>
        <v/>
      </c>
      <c r="T554" s="1" t="str" cm="1">
        <f t="array" ref="T554">_xlfn.LET(_xlpm.cd,INDEX($S:$S,ROW()),IF(_xlpm.cd="","",IFERROR(_xlfn.XLOOKUP(_xlpm.cd,CostData!$C$22:$C$1000,CostData!$E$22:$E$1000,""),"")))</f>
        <v/>
      </c>
      <c r="V554" s="1" t="str" cm="1">
        <f t="array" ref="V554">IFERROR(_xlfn.XLOOKUP(1,(TRIM(CostData!$B$22:$B$1000)="Aluminium")*(TRIM(CostData!$C$22:$C$1000)="CWS")*(TRIM(CostData!$E$22:$E$1000)=TRIM($S554)),_xlfn.SWITCH(TRIM(Enginuity!$A$19),"N/A",CostData!$H$22:$H$1000,"M/B",CostData!$I$22:$I$1000,"P/C",CostData!$J$22:$J$1000,"W/G",CostData!$K$22:$K$1000,""),""),"")</f>
        <v/>
      </c>
      <c r="W554" s="400" t="str" cm="1">
        <f t="array" ref="W5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5" spans="1:23" x14ac:dyDescent="0.25">
      <c r="A555" s="275" t="s">
        <v>254</v>
      </c>
      <c r="C555" s="370" t="s">
        <v>1935</v>
      </c>
      <c r="P555" s="1" t="str" cm="1">
        <f t="array" ref="P5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5" s="1" t="str" cm="1">
        <f t="array" ref="Q555">_xlfn.LET(_xlpm.cd,INDEX($S:$S,ROW()),IF(_xlpm.cd="","",IFERROR(_xlfn.XLOOKUP(_xlpm.cd,CostData!$C$22:$C$1000,CostData!$B$22:$B$1000,""),"")))</f>
        <v/>
      </c>
      <c r="T555" s="1" t="str" cm="1">
        <f t="array" ref="T555">_xlfn.LET(_xlpm.cd,INDEX($S:$S,ROW()),IF(_xlpm.cd="","",IFERROR(_xlfn.XLOOKUP(_xlpm.cd,CostData!$C$22:$C$1000,CostData!$E$22:$E$1000,""),"")))</f>
        <v/>
      </c>
      <c r="V555" s="1" t="str" cm="1">
        <f t="array" ref="V555">IFERROR(_xlfn.XLOOKUP(1,(TRIM(CostData!$B$22:$B$1000)="Aluminium")*(TRIM(CostData!$C$22:$C$1000)="CWS")*(TRIM(CostData!$E$22:$E$1000)=TRIM($S555)),_xlfn.SWITCH(TRIM(Enginuity!$A$19),"N/A",CostData!$H$22:$H$1000,"M/B",CostData!$I$22:$I$1000,"P/C",CostData!$J$22:$J$1000,"W/G",CostData!$K$22:$K$1000,""),""),"")</f>
        <v/>
      </c>
      <c r="W555" s="400" t="str" cm="1">
        <f t="array" ref="W5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6" spans="1:23" x14ac:dyDescent="0.25">
      <c r="A556" s="275" t="s">
        <v>254</v>
      </c>
      <c r="C556" s="370" t="s">
        <v>1935</v>
      </c>
      <c r="P556" s="1" t="str" cm="1">
        <f t="array" ref="P5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6" s="1" t="str" cm="1">
        <f t="array" ref="Q556">_xlfn.LET(_xlpm.cd,INDEX($S:$S,ROW()),IF(_xlpm.cd="","",IFERROR(_xlfn.XLOOKUP(_xlpm.cd,CostData!$C$22:$C$1000,CostData!$B$22:$B$1000,""),"")))</f>
        <v/>
      </c>
      <c r="T556" s="1" t="str" cm="1">
        <f t="array" ref="T556">_xlfn.LET(_xlpm.cd,INDEX($S:$S,ROW()),IF(_xlpm.cd="","",IFERROR(_xlfn.XLOOKUP(_xlpm.cd,CostData!$C$22:$C$1000,CostData!$E$22:$E$1000,""),"")))</f>
        <v/>
      </c>
      <c r="V556" s="1" t="str" cm="1">
        <f t="array" ref="V556">IFERROR(_xlfn.XLOOKUP(1,(TRIM(CostData!$B$22:$B$1000)="Aluminium")*(TRIM(CostData!$C$22:$C$1000)="CWS")*(TRIM(CostData!$E$22:$E$1000)=TRIM($S556)),_xlfn.SWITCH(TRIM(Enginuity!$A$19),"N/A",CostData!$H$22:$H$1000,"M/B",CostData!$I$22:$I$1000,"P/C",CostData!$J$22:$J$1000,"W/G",CostData!$K$22:$K$1000,""),""),"")</f>
        <v/>
      </c>
      <c r="W556" s="400" t="str" cm="1">
        <f t="array" ref="W5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7" spans="1:23" x14ac:dyDescent="0.25">
      <c r="A557" s="275" t="s">
        <v>254</v>
      </c>
      <c r="C557" s="370" t="s">
        <v>1935</v>
      </c>
      <c r="P557" s="1" t="str" cm="1">
        <f t="array" ref="P5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7" s="1" t="s">
        <v>1833</v>
      </c>
      <c r="R557" s="16" t="str">
        <f>IF($T557="","","⬒ "&amp;$T557)</f>
        <v>⬒ Z-Louvre Blade - 5"</v>
      </c>
      <c r="T557" s="1" t="str">
        <f>IF(Enginuity!$A$20="","",Enginuity!$A$20)</f>
        <v>Z-Louvre Blade - 5"</v>
      </c>
      <c r="U557" s="1" t="s">
        <v>121</v>
      </c>
      <c r="V557" s="1">
        <f>IF(Enginuity!$B$9="","",Enginuity!$B$9)</f>
        <v>260</v>
      </c>
      <c r="W557" s="400">
        <f>IFERROR(INDEX(CostData!$Q$3:$Q$12,MATCH(TRIM(Enginuity!$A$20),CostData!$P$3:$P$12,0)),"")</f>
        <v>32.037384615384617</v>
      </c>
    </row>
    <row r="558" spans="1:23" x14ac:dyDescent="0.25">
      <c r="A558" s="275" t="s">
        <v>254</v>
      </c>
      <c r="C558" s="370" t="s">
        <v>1935</v>
      </c>
      <c r="P558" s="1" t="str" cm="1">
        <f t="array" ref="P5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58" s="1" t="str" cm="1">
        <f t="array" ref="V558">IFERROR(_xlfn.XLOOKUP(1,(TRIM(CostData!$B$22:$B$1000)="Aluminium")*(TRIM(CostData!$C$22:$C$1000)="CWS")*(TRIM(CostData!$E$22:$E$1000)=TRIM($S558)),_xlfn.SWITCH(TRIM(Enginuity!$A$19),"N/A",CostData!$H$22:$H$1000,"M/B",CostData!$I$22:$I$1000,"P/C",CostData!$J$22:$J$1000,"W/G",CostData!$K$22:$K$1000,""),""),"")</f>
        <v/>
      </c>
      <c r="W558" s="400" t="str" cm="1">
        <f t="array" ref="W558">IF(OR(TRIM(CalcEngine!$A558)&lt;&gt;TRIM(Enginuity!$A$1),TRIM(CalcEngine!$C558)&lt;&gt;TRIM(Enginuity!$A$18),CalcEngine!$V558="",CalcEngine!$V558=0),"",IFERROR(_xlfn.XLOOKUP(1,(TRIM(CostData!$B$22:$B$1000)="Aluminium")*(TRIM(CostData!$C$22:$C$1000)="CWS")*(TRIM(CostData!$E$22:$E$1000)=TRIM(CalcEngine!$T558)),_xlfn.SWITCH(TRIM(Enginuity!$A$19),"N/A",CostData!$H$22:$H$1000,"M/B",CostData!$I$22:$I$1000,"P/C",CostData!$J$22:$J$1000,"W/G",CostData!$K$22:$K$1000,""),""),""))</f>
        <v/>
      </c>
    </row>
    <row r="559" spans="1:23" x14ac:dyDescent="0.25">
      <c r="A559" s="275" t="s">
        <v>254</v>
      </c>
      <c r="C559" s="370" t="s">
        <v>1935</v>
      </c>
      <c r="P559" s="1" t="str" cm="1">
        <f t="array" ref="P5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59" s="1" t="str" cm="1">
        <f t="array" ref="V559">IFERROR(_xlfn.XLOOKUP(1,(TRIM(CostData!$B$22:$B$1000)="Aluminium")*(TRIM(CostData!$C$22:$C$1000)="CWS")*(TRIM(CostData!$E$22:$E$1000)=TRIM($S559)),_xlfn.SWITCH(TRIM(Enginuity!$A$19),"N/A",CostData!$H$22:$H$1000,"M/B",CostData!$I$22:$I$1000,"P/C",CostData!$J$22:$J$1000,"W/G",CostData!$K$22:$K$1000,""),""),"")</f>
        <v/>
      </c>
      <c r="W559" s="400" t="str" cm="1">
        <f t="array" ref="W559">IF(OR(TRIM(CalcEngine!$A559)&lt;&gt;TRIM(Enginuity!$A$1),TRIM(CalcEngine!$C559)&lt;&gt;TRIM(Enginuity!$A$18),CalcEngine!$V559="",CalcEngine!$V559=0),"",IFERROR(_xlfn.XLOOKUP(1,(TRIM(CostData!$B$22:$B$1000)="Aluminium")*(TRIM(CostData!$C$22:$C$1000)="CWS")*(TRIM(CostData!$E$22:$E$1000)=TRIM(CalcEngine!$T559)),_xlfn.SWITCH(TRIM(Enginuity!$A$19),"N/A",CostData!$H$22:$H$1000,"M/B",CostData!$I$22:$I$1000,"P/C",CostData!$J$22:$J$1000,"W/G",CostData!$K$22:$K$1000,""),""),""))</f>
        <v/>
      </c>
    </row>
    <row r="560" spans="1:23" x14ac:dyDescent="0.25">
      <c r="A560" s="275" t="s">
        <v>254</v>
      </c>
      <c r="C560" s="370" t="s">
        <v>1935</v>
      </c>
      <c r="P560" s="1" t="str" cm="1">
        <f t="array" ref="P5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60" s="1" t="str" cm="1">
        <f t="array" ref="V560">IFERROR(_xlfn.XLOOKUP(1,(TRIM(CostData!$B$22:$B$1000)="Aluminium")*(TRIM(CostData!$C$22:$C$1000)="CWS")*(TRIM(CostData!$E$22:$E$1000)=TRIM($S560)),_xlfn.SWITCH(TRIM(Enginuity!$A$19),"N/A",CostData!$H$22:$H$1000,"M/B",CostData!$I$22:$I$1000,"P/C",CostData!$J$22:$J$1000,"W/G",CostData!$K$22:$K$1000,""),""),"")</f>
        <v/>
      </c>
      <c r="W560" s="400" t="str" cm="1">
        <f t="array" ref="W560">IF(OR(TRIM(CalcEngine!$A560)&lt;&gt;TRIM(Enginuity!$A$1),TRIM(CalcEngine!$C560)&lt;&gt;TRIM(Enginuity!$A$18),CalcEngine!$V560="",CalcEngine!$V560=0),"",IFERROR(_xlfn.XLOOKUP(1,(TRIM(CostData!$B$22:$B$1000)="Aluminium")*(TRIM(CostData!$C$22:$C$1000)="CWS")*(TRIM(CostData!$E$22:$E$1000)=TRIM(CalcEngine!$T560)),_xlfn.SWITCH(TRIM(Enginuity!$A$19),"N/A",CostData!$H$22:$H$1000,"M/B",CostData!$I$22:$I$1000,"P/C",CostData!$J$22:$J$1000,"W/G",CostData!$K$22:$K$1000,""),""),""))</f>
        <v/>
      </c>
    </row>
    <row r="561" spans="1:23" x14ac:dyDescent="0.25">
      <c r="A561" s="275" t="s">
        <v>254</v>
      </c>
      <c r="C561" s="370" t="s">
        <v>1935</v>
      </c>
      <c r="P561" s="1" t="str" cm="1">
        <f t="array" ref="P5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61" s="1" t="str" cm="1">
        <f t="array" ref="V561">IFERROR(_xlfn.XLOOKUP(1,(TRIM(CostData!$B$22:$B$1000)="Aluminium")*(TRIM(CostData!$C$22:$C$1000)="CWS")*(TRIM(CostData!$E$22:$E$1000)=TRIM($S561)),_xlfn.SWITCH(TRIM(Enginuity!$A$19),"N/A",CostData!$H$22:$H$1000,"M/B",CostData!$I$22:$I$1000,"P/C",CostData!$J$22:$J$1000,"W/G",CostData!$K$22:$K$1000,""),""),"")</f>
        <v/>
      </c>
      <c r="W561" s="400" t="str" cm="1">
        <f t="array" ref="W561">IF(OR(TRIM(CalcEngine!$A561)&lt;&gt;TRIM(Enginuity!$A$1),TRIM(CalcEngine!$C561)&lt;&gt;TRIM(Enginuity!$A$18),CalcEngine!$V561="",CalcEngine!$V561=0),"",IFERROR(_xlfn.XLOOKUP(1,(TRIM(CostData!$B$22:$B$1000)="Aluminium")*(TRIM(CostData!$C$22:$C$1000)="CWS")*(TRIM(CostData!$E$22:$E$1000)=TRIM(CalcEngine!$T561)),_xlfn.SWITCH(TRIM(Enginuity!$A$19),"N/A",CostData!$H$22:$H$1000,"M/B",CostData!$I$22:$I$1000,"P/C",CostData!$J$22:$J$1000,"W/G",CostData!$K$22:$K$1000,""),""),""))</f>
        <v/>
      </c>
    </row>
    <row r="562" spans="1:23" x14ac:dyDescent="0.25">
      <c r="A562" s="275" t="s">
        <v>254</v>
      </c>
      <c r="C562" s="370" t="s">
        <v>1935</v>
      </c>
      <c r="P562" s="1" t="str" cm="1">
        <f t="array" ref="P5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62" s="400"/>
    </row>
    <row r="563" spans="1:23" x14ac:dyDescent="0.25">
      <c r="A563" s="275" t="s">
        <v>254</v>
      </c>
      <c r="C563" s="370" t="s">
        <v>1935</v>
      </c>
      <c r="P563" s="1" t="str" cm="1">
        <f t="array" ref="P5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3" s="1" t="str">
        <f>IF($S563="","",IFERROR(_xlfn.XLOOKUP($S563,CostData!$U$22:$U$1000,CostData!$T$22:$T$1000,""),""))</f>
        <v>Hinge</v>
      </c>
      <c r="R563" s="16" t="str">
        <f>IF($S563="","",$T563)</f>
        <v>Hung Friction Stay</v>
      </c>
      <c r="S563" s="24" t="s">
        <v>1880</v>
      </c>
      <c r="T563" s="1" t="str" cm="1">
        <f t="array" ref="T563">_xlfn.LET(_xlpm.cd,INDEX($S:$S,ROW()),IF(_xlpm.cd="","",IFERROR(_xlfn.XLOOKUP(_xlpm.cd,CostData!$U$22:$U$1000,CostData!$W$22:$W$1000,""),"")))</f>
        <v>Hung Friction Stay</v>
      </c>
      <c r="U563" s="1" t="str">
        <f>IF($S563="","",IFERROR(_xlfn.XLOOKUP($S563,CostData!$U$22:$U$1000,CostData!$AA$22:$AA$1000,""),""))</f>
        <v>Pair</v>
      </c>
      <c r="V563" s="1" t="str" cm="1">
        <f t="array" ref="V56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63" s="400" t="str" cm="1">
        <f t="array" ref="W56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64" spans="1:23" x14ac:dyDescent="0.25">
      <c r="A564" s="275" t="s">
        <v>254</v>
      </c>
      <c r="C564" s="370" t="s">
        <v>1935</v>
      </c>
      <c r="P564" s="1" t="str" cm="1">
        <f t="array" ref="P5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4" s="1" t="str">
        <f>IF($S564="","",IFERROR(_xlfn.XLOOKUP($S564,CostData!$U$22:$U$1000,CostData!$T$22:$T$1000,""),""))</f>
        <v>Hinge</v>
      </c>
      <c r="R564" s="16" t="str">
        <f>IF($S564="","",$T564)</f>
        <v>Casement Friction Stay</v>
      </c>
      <c r="S564" s="24" t="s">
        <v>1879</v>
      </c>
      <c r="T564" s="1" t="str" cm="1">
        <f t="array" ref="T564">_xlfn.LET(_xlpm.cd,INDEX($S:$S,ROW()),IF(_xlpm.cd="","",IFERROR(_xlfn.XLOOKUP(_xlpm.cd,CostData!$U$22:$U$1000,CostData!$W$22:$W$1000,""),"")))</f>
        <v>Casement Friction Stay</v>
      </c>
      <c r="U564" s="1" t="str">
        <f>IF($S564="","",IFERROR(_xlfn.XLOOKUP($S564,CostData!$U$22:$U$1000,CostData!$AA$22:$AA$1000,""),""))</f>
        <v>Pair</v>
      </c>
      <c r="V564" s="1">
        <f>IF(Enginuity!$B$13&gt;0,Enginuity!$B$13,"")</f>
        <v>7</v>
      </c>
      <c r="W564" s="400" t="str" cm="1">
        <f t="array" ref="W56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65" spans="1:23" x14ac:dyDescent="0.25">
      <c r="A565" s="275" t="s">
        <v>254</v>
      </c>
      <c r="C565" s="370" t="s">
        <v>1935</v>
      </c>
      <c r="P565" s="1" t="str" cm="1">
        <f t="array" ref="P5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5" s="1" t="str">
        <f>IF($S565="","",IFERROR(_xlfn.XLOOKUP($S565,CostData!$U$22:$U$1000,CostData!$T$22:$T$1000,""),""))</f>
        <v>Handle</v>
      </c>
      <c r="R565" s="16" t="str">
        <f>IF($S565="","",$T565)</f>
        <v>Casement Handle</v>
      </c>
      <c r="S565" s="24" t="s">
        <v>113</v>
      </c>
      <c r="T565" s="1" t="str" cm="1">
        <f t="array" ref="T565">_xlfn.LET(_xlpm.cd,INDEX($S:$S,ROW()),IF(_xlpm.cd="","",IFERROR(_xlfn.XLOOKUP(_xlpm.cd,CostData!$U$22:$U$1000,CostData!$W$22:$W$1000,""),"")))</f>
        <v>Casement Handle</v>
      </c>
      <c r="U565" s="1" t="str">
        <f>IF($S565="","",IFERROR(_xlfn.XLOOKUP($S565,CostData!$U$22:$U$1000,CostData!$AA$22:$AA$1000,""),""))</f>
        <v>Pcs</v>
      </c>
      <c r="V565" s="1" cm="1">
        <f t="array" ref="V56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7</v>
      </c>
      <c r="W565" s="400" t="str" cm="1">
        <f t="array" ref="W56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66" spans="1:23" x14ac:dyDescent="0.25">
      <c r="A566" s="275" t="s">
        <v>254</v>
      </c>
      <c r="C566" s="370" t="s">
        <v>1935</v>
      </c>
      <c r="P566" s="1" t="str" cm="1">
        <f t="array" ref="P5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6" s="1" t="str">
        <f>IF($S566="","",IFERROR(_xlfn.XLOOKUP($S566,CostData!$U$22:$U$1000,CostData!$T$22:$T$1000,""),""))</f>
        <v>Black Tape</v>
      </c>
      <c r="R566" s="16" t="str">
        <f>IF($S566="","",$T566)</f>
        <v>2.5" x 2 Black Tape</v>
      </c>
      <c r="S566" s="24" t="s">
        <v>1898</v>
      </c>
      <c r="T566" s="1" t="str" cm="1">
        <f t="array" ref="T566">_xlfn.LET(_xlpm.cd,INDEX($S:$S,ROW()),IF(_xlpm.cd="","",IFERROR(_xlfn.XLOOKUP(_xlpm.cd,CostData!$U$22:$U$1000,CostData!$W$22:$W$1000,""),"")))</f>
        <v>2.5" x 2 Black Tape</v>
      </c>
      <c r="U566" s="1" t="str">
        <f>IF($S566="","",IFERROR(_xlfn.XLOOKUP($S566,CostData!$U$22:$U$1000,CostData!$AA$22:$AA$1000,""),""))</f>
        <v>Ft</v>
      </c>
      <c r="V566" s="1">
        <f>IF(SUM($V$61:$V$64)=0,"",SUM($V$61:$V$64))</f>
        <v>560</v>
      </c>
      <c r="W566" s="400" t="str" cm="1">
        <f t="array" ref="W56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67" spans="1:23" x14ac:dyDescent="0.25">
      <c r="A567" s="275" t="s">
        <v>254</v>
      </c>
      <c r="C567" s="370" t="s">
        <v>1935</v>
      </c>
      <c r="P567" s="1" t="str" cm="1">
        <f t="array" ref="P5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7" s="1" t="str">
        <f>IF($S567="","",IFERROR(_xlfn.XLOOKUP($S567,CostData!$U$22:$U$1000,CostData!$T$22:$T$1000,""),""))</f>
        <v>Gasket</v>
      </c>
      <c r="R567" s="16" t="s">
        <v>1931</v>
      </c>
      <c r="S567" s="24" t="s">
        <v>1912</v>
      </c>
      <c r="T567" s="1" t="str" cm="1">
        <f t="array" ref="T567">_xlfn.LET(_xlpm.cd,INDEX($S:$S,ROW()),IF(_xlpm.cd="","",IFERROR(_xlfn.XLOOKUP(_xlpm.cd,CostData!$U$22:$U$1000,CostData!$W$22:$W$1000,""),"")))</f>
        <v>F18 Gasket</v>
      </c>
      <c r="U567" s="1" t="str">
        <f>IF($S567="","",IFERROR(_xlfn.XLOOKUP($S567,CostData!$U$22:$U$1000,CostData!$AA$22:$AA$1000,""),""))</f>
        <v>Ft</v>
      </c>
      <c r="V567" s="1">
        <f>IF($V$61="","",$V$61)</f>
        <v>260</v>
      </c>
      <c r="W567" s="400" t="str" cm="1">
        <f t="array" ref="W5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68" spans="1:23" x14ac:dyDescent="0.25">
      <c r="A568" s="275" t="s">
        <v>254</v>
      </c>
      <c r="C568" s="370" t="s">
        <v>1935</v>
      </c>
      <c r="P568" s="1" t="str" cm="1">
        <f t="array" ref="P5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8" s="1" t="str">
        <f>IF($S568="","",IFERROR(_xlfn.XLOOKUP($S568,CostData!$U$22:$U$1000,CostData!$T$22:$T$1000,""),""))</f>
        <v>Gasket</v>
      </c>
      <c r="R568" s="16" t="s">
        <v>1932</v>
      </c>
      <c r="S568" s="24" t="s">
        <v>1916</v>
      </c>
      <c r="T568" s="1" t="str" cm="1">
        <f t="array" ref="T568">_xlfn.LET(_xlpm.cd,INDEX($S:$S,ROW()),IF(_xlpm.cd="","",IFERROR(_xlfn.XLOOKUP(_xlpm.cd,CostData!$U$22:$U$1000,CostData!$W$22:$W$1000,""),"")))</f>
        <v>F16S Gasket</v>
      </c>
      <c r="U568" s="1" t="str">
        <f>IF($S568="","",IFERROR(_xlfn.XLOOKUP($S568,CostData!$U$22:$U$1000,CostData!$AA$22:$AA$1000,""),""))</f>
        <v>Ft</v>
      </c>
      <c r="V568" s="1">
        <f>IF($V$62="","",$V$62)</f>
        <v>222</v>
      </c>
      <c r="W568" s="400" t="str" cm="1">
        <f t="array" ref="W5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69" spans="1:23" x14ac:dyDescent="0.25">
      <c r="A569" s="275" t="s">
        <v>254</v>
      </c>
      <c r="C569" s="370" t="s">
        <v>1935</v>
      </c>
      <c r="P569" s="1" t="str" cm="1">
        <f t="array" ref="P5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9" s="1" t="str">
        <f>IF($S569="","",IFERROR(_xlfn.XLOOKUP($S569,CostData!$U$22:$U$1000,CostData!$T$22:$T$1000,""),""))</f>
        <v>Gasket</v>
      </c>
      <c r="R569" s="16" t="s">
        <v>1930</v>
      </c>
      <c r="S569" s="24">
        <v>6154</v>
      </c>
      <c r="T569" s="1" t="str" cm="1">
        <f t="array" ref="T569">_xlfn.LET(_xlpm.cd,INDEX($S:$S,ROW()),IF(_xlpm.cd="","",IFERROR(_xlfn.XLOOKUP(_xlpm.cd,CostData!$U$22:$U$1000,CostData!$W$22:$W$1000,""),"")))</f>
        <v>6154 Gasket</v>
      </c>
      <c r="U569" s="1" t="str">
        <f>IF($S569="","",IFERROR(_xlfn.XLOOKUP($S569,CostData!$U$22:$U$1000,CostData!$AA$22:$AA$1000,""),""))</f>
        <v>Ft</v>
      </c>
      <c r="V569" s="1">
        <f>IF($V$62="","",$V$62)</f>
        <v>222</v>
      </c>
      <c r="W569" s="400" t="str" cm="1">
        <f t="array" ref="W5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70" spans="1:23" x14ac:dyDescent="0.25">
      <c r="A570" s="412" t="s">
        <v>254</v>
      </c>
      <c r="B570" s="399"/>
      <c r="C570" s="399" t="s">
        <v>1935</v>
      </c>
      <c r="D570" s="399"/>
      <c r="E570" s="399"/>
      <c r="F570" s="399"/>
      <c r="G570" s="399"/>
      <c r="H570" s="399"/>
      <c r="I570" s="399"/>
      <c r="J570" s="399"/>
      <c r="K570" s="399"/>
      <c r="L570" s="399"/>
      <c r="M570" s="399"/>
      <c r="N570" s="399"/>
      <c r="O570" s="399"/>
      <c r="P570" s="401"/>
      <c r="Q570" s="401" t="str">
        <f>IF($S570="","",IFERROR(_xlfn.XLOOKUP($S570,CostData!$U$22:$U$1000,CostData!$T$22:$T$1000,""),""))</f>
        <v>Gasket</v>
      </c>
      <c r="R570" s="429" t="s">
        <v>1933</v>
      </c>
      <c r="S570" s="418">
        <v>6154</v>
      </c>
      <c r="T570" s="401" t="str" cm="1">
        <f t="array" ref="T570">_xlfn.LET(_xlpm.cd,INDEX($S:$S,ROW()),IF(_xlpm.cd="","",IFERROR(_xlfn.XLOOKUP(_xlpm.cd,CostData!$U$22:$U$1000,CostData!$W$22:$W$1000,""),"")))</f>
        <v>6154 Gasket</v>
      </c>
      <c r="U570" s="401" t="str">
        <f>IF($S570="","",IFERROR(_xlfn.XLOOKUP($S570,CostData!$U$22:$U$1000,CostData!$AA$22:$AA$1000,""),""))</f>
        <v>Ft</v>
      </c>
      <c r="V570" s="401">
        <f>IF(SUM($V$63:$V$64)=0,"",SUM($V$63:$V$64)*2)</f>
        <v>156</v>
      </c>
      <c r="W570" s="413" t="str" cm="1">
        <f t="array" ref="W5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71" spans="1:23" x14ac:dyDescent="0.25">
      <c r="A571" s="419" t="s">
        <v>254</v>
      </c>
      <c r="B571" s="415" t="s">
        <v>1846</v>
      </c>
      <c r="C571" s="415" t="s">
        <v>1935</v>
      </c>
      <c r="D571" s="415" t="s">
        <v>1792</v>
      </c>
      <c r="E571" s="415" t="str" cm="1">
        <f t="array" ref="E571:E580">IFERROR(INDEX(_xlfn._xlws.FILTER(CostData!$P$3:$P$12,CostData!$P$3:$P$12&lt;&gt;""),_xlfn.SEQUENCE(10)),"")</f>
        <v>Default</v>
      </c>
      <c r="F571" s="415" t="str">
        <f>"▼ [Variant]"</f>
        <v>▼ [Variant]</v>
      </c>
      <c r="G571" s="415" t="str">
        <f>"▼ [Fix - Casement]"</f>
        <v>▼ [Fix - Casement]</v>
      </c>
      <c r="H571" s="415" t="str">
        <f>"▼ [Hung Window - Casement]"</f>
        <v>▼ [Hung Window - Casement]</v>
      </c>
      <c r="I571" s="415" t="s">
        <v>1858</v>
      </c>
      <c r="J571" s="415" t="s">
        <v>1859</v>
      </c>
      <c r="K571" s="415" t="s">
        <v>1860</v>
      </c>
      <c r="L571" s="415" t="s">
        <v>1861</v>
      </c>
      <c r="M571" s="420">
        <v>0.54649999999999999</v>
      </c>
      <c r="N571" s="415">
        <v>609.6</v>
      </c>
      <c r="O571" s="415"/>
      <c r="P571" s="409" t="str" cm="1">
        <f t="array" ref="P5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1" s="409" t="str" cm="1">
        <f t="array" ref="Q571">_xlfn.LET(_xlpm.cd,INDEX($S:$S,ROW()),IF(_xlpm.cd="","",IFERROR(_xlfn.XLOOKUP(_xlpm.cd,CostData!$C$22:$C$1000,CostData!$B$22:$B$1000,""),"")))</f>
        <v>Aluminium</v>
      </c>
      <c r="R571" s="428" t="s">
        <v>1812</v>
      </c>
      <c r="S571" s="417" t="s">
        <v>1926</v>
      </c>
      <c r="T571" s="409" t="str" cm="1">
        <f t="array" ref="T571">_xlfn.LET(_xlpm.cd,INDEX($S:$S,ROW()),IF(_xlpm.cd="","",IFERROR(_xlfn.XLOOKUP(_xlpm.cd,CostData!$C$22:$C$1000,CostData!$E$22:$E$1000,""),"")))</f>
        <v>Outer</v>
      </c>
      <c r="U571" s="409" t="s">
        <v>103</v>
      </c>
      <c r="V571" s="409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W571" s="421" t="str" cm="1">
        <f t="array" ref="W5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2" spans="1:23" x14ac:dyDescent="0.25">
      <c r="A572" s="275" t="s">
        <v>254</v>
      </c>
      <c r="B572" s="370" t="s">
        <v>1848</v>
      </c>
      <c r="C572" s="370" t="s">
        <v>1935</v>
      </c>
      <c r="D572" s="370" t="s">
        <v>1814</v>
      </c>
      <c r="E572" s="370" t="str">
        <v>Z-Louvre Blade - 2"</v>
      </c>
      <c r="G572" s="370" t="s">
        <v>1866</v>
      </c>
      <c r="H572" s="370" t="s">
        <v>1866</v>
      </c>
      <c r="P572" s="1" t="str" cm="1">
        <f t="array" ref="P5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2" s="1" t="str" cm="1">
        <f t="array" ref="Q572">_xlfn.LET(_xlpm.cd,INDEX($S:$S,ROW()),IF(_xlpm.cd="","",IFERROR(_xlfn.XLOOKUP(_xlpm.cd,CostData!$C$22:$C$1000,CostData!$B$22:$B$1000,""),"")))</f>
        <v>Aluminium</v>
      </c>
      <c r="R572" s="16" t="s">
        <v>1849</v>
      </c>
      <c r="S572" s="24" t="s">
        <v>1927</v>
      </c>
      <c r="T572" s="1" t="str" cm="1">
        <f t="array" ref="T572">_xlfn.LET(_xlpm.cd,INDEX($S:$S,ROW()),IF(_xlpm.cd="","",IFERROR(_xlfn.XLOOKUP(_xlpm.cd,CostData!$C$22:$C$1000,CostData!$E$22:$E$1000,""),"")))</f>
        <v>Inner</v>
      </c>
      <c r="U572" s="1" t="s">
        <v>103</v>
      </c>
      <c r="V572" s="1" cm="1">
        <f t="array" ref="V57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222</v>
      </c>
      <c r="W572" s="400" t="str" cm="1">
        <f t="array" ref="W5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3" spans="1:23" x14ac:dyDescent="0.25">
      <c r="A573" s="275" t="s">
        <v>254</v>
      </c>
      <c r="B573" s="370" t="s">
        <v>382</v>
      </c>
      <c r="C573" s="370" t="s">
        <v>1935</v>
      </c>
      <c r="D573" s="370" t="s">
        <v>1793</v>
      </c>
      <c r="E573" s="370" t="str">
        <v>Z-Louvre Blade - 5"</v>
      </c>
      <c r="G573" s="370" t="s">
        <v>1867</v>
      </c>
      <c r="H573" s="370" t="s">
        <v>1867</v>
      </c>
      <c r="P573" s="1" t="str" cm="1">
        <f t="array" ref="P5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3" s="1" t="str" cm="1">
        <f t="array" ref="Q573">_xlfn.LET(_xlpm.cd,INDEX($S:$S,ROW()),IF(_xlpm.cd="","",IFERROR(_xlfn.XLOOKUP(_xlpm.cd,CostData!$C$22:$C$1000,CostData!$B$22:$B$1000,""),"")))</f>
        <v>Aluminium</v>
      </c>
      <c r="R573" s="16" t="s">
        <v>1863</v>
      </c>
      <c r="S573" s="24" t="s">
        <v>1928</v>
      </c>
      <c r="T573" s="1" t="str" cm="1">
        <f t="array" ref="T573">_xlfn.LET(_xlpm.cd,INDEX($S:$S,ROW()),IF(_xlpm.cd="","",IFERROR(_xlfn.XLOOKUP(_xlpm.cd,CostData!$C$22:$C$1000,CostData!$E$22:$E$1000,""),"")))</f>
        <v>Mullion</v>
      </c>
      <c r="U573" s="1" t="s">
        <v>103</v>
      </c>
      <c r="V57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78</v>
      </c>
      <c r="W573" s="400" t="str" cm="1">
        <f t="array" ref="W5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4" spans="1:23" x14ac:dyDescent="0.25">
      <c r="A574" s="275" t="s">
        <v>254</v>
      </c>
      <c r="B574" s="370" t="s">
        <v>1847</v>
      </c>
      <c r="C574" s="370" t="s">
        <v>1935</v>
      </c>
      <c r="D574" s="370" t="s">
        <v>1815</v>
      </c>
      <c r="E574" s="370" t="str">
        <v/>
      </c>
      <c r="G574" s="370" t="s">
        <v>1868</v>
      </c>
      <c r="H574" s="370" t="s">
        <v>1868</v>
      </c>
      <c r="P574" s="1" t="str" cm="1">
        <f t="array" ref="P5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4" s="1" t="str" cm="1">
        <f t="array" ref="Q574">_xlfn.LET(_xlpm.cd,INDEX($S:$S,ROW()),IF(_xlpm.cd="","",IFERROR(_xlfn.XLOOKUP(_xlpm.cd,CostData!$C$22:$C$1000,CostData!$B$22:$B$1000,""),"")))</f>
        <v>Aluminium</v>
      </c>
      <c r="R574" s="16" t="s">
        <v>1862</v>
      </c>
      <c r="S574" s="24" t="s">
        <v>1928</v>
      </c>
      <c r="T574" s="1" t="str" cm="1">
        <f t="array" ref="T574">_xlfn.LET(_xlpm.cd,INDEX($S:$S,ROW()),IF(_xlpm.cd="","",IFERROR(_xlfn.XLOOKUP(_xlpm.cd,CostData!$C$22:$C$1000,CostData!$E$22:$E$1000,""),"")))</f>
        <v>Mullion</v>
      </c>
      <c r="U574" s="1" t="s">
        <v>103</v>
      </c>
      <c r="V57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74" s="400" t="str" cm="1">
        <f t="array" ref="W5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5" spans="1:23" x14ac:dyDescent="0.25">
      <c r="A575" s="275" t="s">
        <v>254</v>
      </c>
      <c r="C575" s="370" t="s">
        <v>1935</v>
      </c>
      <c r="E575" s="370" t="str">
        <v/>
      </c>
      <c r="G575" s="370" t="s">
        <v>1869</v>
      </c>
      <c r="H575" s="370" t="s">
        <v>1869</v>
      </c>
      <c r="P575" s="1" t="str" cm="1">
        <f t="array" ref="P5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5" s="1" t="str" cm="1">
        <f t="array" ref="Q575">_xlfn.LET(_xlpm.cd,INDEX($S:$S,ROW()),IF(_xlpm.cd="","",IFERROR(_xlfn.XLOOKUP(_xlpm.cd,CostData!$C$22:$C$1000,CostData!$B$22:$B$1000,""),"")))</f>
        <v/>
      </c>
      <c r="T575" s="1" t="str" cm="1">
        <f t="array" ref="T575">_xlfn.LET(_xlpm.cd,INDEX($S:$S,ROW()),IF(_xlpm.cd="","",IFERROR(_xlfn.XLOOKUP(_xlpm.cd,CostData!$C$22:$C$1000,CostData!$E$22:$E$1000,""),"")))</f>
        <v/>
      </c>
      <c r="V575" s="1" t="str" cm="1">
        <f t="array" ref="V575">IFERROR(_xlfn.XLOOKUP(1,(TRIM(CostData!$B$22:$B$1000)="Aluminium")*(TRIM(CostData!$C$22:$C$1000)="CWS")*(TRIM(CostData!$E$22:$E$1000)=TRIM($S575)),_xlfn.SWITCH(TRIM(Enginuity!$A$19),"N/A",CostData!$H$22:$H$1000,"M/B",CostData!$I$22:$I$1000,"P/C",CostData!$J$22:$J$1000,"W/G",CostData!$K$22:$K$1000,""),""),"")</f>
        <v/>
      </c>
      <c r="W575" s="400" t="str" cm="1">
        <f t="array" ref="W5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6" spans="1:23" x14ac:dyDescent="0.25">
      <c r="A576" s="275" t="s">
        <v>254</v>
      </c>
      <c r="C576" s="370" t="s">
        <v>1935</v>
      </c>
      <c r="E576" s="370" t="str">
        <v/>
      </c>
      <c r="G576" s="370" t="s">
        <v>1870</v>
      </c>
      <c r="H576" s="370" t="s">
        <v>1870</v>
      </c>
      <c r="P576" s="1" t="str" cm="1">
        <f t="array" ref="P5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6" s="1" t="str" cm="1">
        <f t="array" ref="Q576">_xlfn.LET(_xlpm.cd,INDEX($S:$S,ROW()),IF(_xlpm.cd="","",IFERROR(_xlfn.XLOOKUP(_xlpm.cd,CostData!$C$22:$C$1000,CostData!$B$22:$B$1000,""),"")))</f>
        <v/>
      </c>
      <c r="R576" s="16" t="str">
        <f>IF(Enginuity!$A$22="","",Enginuity!$A$22&amp;" Fix Window")</f>
        <v>▼ [Lattice] Fix Window</v>
      </c>
      <c r="T576" s="1" t="str" cm="1">
        <f t="array" ref="T576">_xlfn.LET(_xlpm.cd,INDEX($S:$S,ROW()),IF(_xlpm.cd="","",IFERROR(_xlfn.XLOOKUP(_xlpm.cd,CostData!$C$22:$C$1000,CostData!$E$22:$E$1000,""),"")))</f>
        <v/>
      </c>
      <c r="U576" s="1" t="s">
        <v>176</v>
      </c>
      <c r="V576" s="1">
        <v>1</v>
      </c>
      <c r="W576" s="400" t="str">
        <f>IF(Enginuity!$A$22&lt;&gt;"",$W$4,"")</f>
        <v/>
      </c>
    </row>
    <row r="577" spans="1:23" x14ac:dyDescent="0.25">
      <c r="A577" s="275" t="s">
        <v>254</v>
      </c>
      <c r="C577" s="370" t="s">
        <v>1935</v>
      </c>
      <c r="E577" s="370" t="str">
        <v/>
      </c>
      <c r="G577" s="370" t="s">
        <v>1871</v>
      </c>
      <c r="H577" s="370" t="s">
        <v>1871</v>
      </c>
      <c r="P577" s="1" t="str" cm="1">
        <f t="array" ref="P5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7" s="1" t="str" cm="1">
        <f t="array" ref="Q577">_xlfn.LET(_xlpm.cd,INDEX($S:$S,ROW()),IF(_xlpm.cd="","",IFERROR(_xlfn.XLOOKUP(_xlpm.cd,CostData!$C$22:$C$1000,CostData!$B$22:$B$1000,""),"")))</f>
        <v/>
      </c>
      <c r="T577" s="1" t="str" cm="1">
        <f t="array" ref="T577">_xlfn.LET(_xlpm.cd,INDEX($S:$S,ROW()),IF(_xlpm.cd="","",IFERROR(_xlfn.XLOOKUP(_xlpm.cd,CostData!$C$22:$C$1000,CostData!$E$22:$E$1000,""),"")))</f>
        <v/>
      </c>
      <c r="V577" s="1" t="str" cm="1">
        <f t="array" ref="V577">IFERROR(_xlfn.XLOOKUP(1,(TRIM(CostData!$B$22:$B$1000)="Aluminium")*(TRIM(CostData!$C$22:$C$1000)="CWS")*(TRIM(CostData!$E$22:$E$1000)=TRIM($S577)),_xlfn.SWITCH(TRIM(Enginuity!$A$19),"N/A",CostData!$H$22:$H$1000,"M/B",CostData!$I$22:$I$1000,"P/C",CostData!$J$22:$J$1000,"W/G",CostData!$K$22:$K$1000,""),""),"")</f>
        <v/>
      </c>
      <c r="W577" s="400" t="str" cm="1">
        <f t="array" ref="W57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8" spans="1:23" x14ac:dyDescent="0.25">
      <c r="A578" s="275" t="s">
        <v>254</v>
      </c>
      <c r="C578" s="370" t="s">
        <v>1935</v>
      </c>
      <c r="E578" s="370" t="str">
        <v/>
      </c>
      <c r="G578" s="370" t="s">
        <v>1872</v>
      </c>
      <c r="H578" s="370" t="s">
        <v>1872</v>
      </c>
      <c r="P578" s="1" t="str" cm="1">
        <f t="array" ref="P5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8" s="1" t="str" cm="1">
        <f t="array" ref="Q578">_xlfn.LET(_xlpm.cd,INDEX($S:$S,ROW()),IF(_xlpm.cd="","",IFERROR(_xlfn.XLOOKUP(_xlpm.cd,CostData!$C$22:$C$1000,CostData!$B$22:$B$1000,""),"")))</f>
        <v/>
      </c>
      <c r="T578" s="1" t="str" cm="1">
        <f t="array" ref="T578">_xlfn.LET(_xlpm.cd,INDEX($S:$S,ROW()),IF(_xlpm.cd="","",IFERROR(_xlfn.XLOOKUP(_xlpm.cd,CostData!$C$22:$C$1000,CostData!$E$22:$E$1000,""),"")))</f>
        <v/>
      </c>
      <c r="V578" s="1" t="str" cm="1">
        <f t="array" ref="V578">IFERROR(_xlfn.XLOOKUP(1,(TRIM(CostData!$B$22:$B$1000)="Aluminium")*(TRIM(CostData!$C$22:$C$1000)="CWS")*(TRIM(CostData!$E$22:$E$1000)=TRIM($S578)),_xlfn.SWITCH(TRIM(Enginuity!$A$19),"N/A",CostData!$H$22:$H$1000,"M/B",CostData!$I$22:$I$1000,"P/C",CostData!$J$22:$J$1000,"W/G",CostData!$K$22:$K$1000,""),""),"")</f>
        <v/>
      </c>
      <c r="W578" s="400" t="str" cm="1">
        <f t="array" ref="W57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9" spans="1:23" x14ac:dyDescent="0.25">
      <c r="A579" s="275" t="s">
        <v>254</v>
      </c>
      <c r="C579" s="370" t="s">
        <v>1935</v>
      </c>
      <c r="E579" s="370" t="str">
        <v/>
      </c>
      <c r="G579" s="370" t="s">
        <v>1873</v>
      </c>
      <c r="H579" s="370" t="s">
        <v>1873</v>
      </c>
      <c r="P579" s="1" t="str" cm="1">
        <f t="array" ref="P5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9" s="1" t="str" cm="1">
        <f t="array" ref="Q579">_xlfn.LET(_xlpm.cd,INDEX($S:$S,ROW()),IF(_xlpm.cd="","",IFERROR(_xlfn.XLOOKUP(_xlpm.cd,CostData!$C$22:$C$1000,CostData!$B$22:$B$1000,""),"")))</f>
        <v/>
      </c>
      <c r="T579" s="1" t="str" cm="1">
        <f t="array" ref="T579">_xlfn.LET(_xlpm.cd,INDEX($S:$S,ROW()),IF(_xlpm.cd="","",IFERROR(_xlfn.XLOOKUP(_xlpm.cd,CostData!$C$22:$C$1000,CostData!$E$22:$E$1000,""),"")))</f>
        <v/>
      </c>
      <c r="V579" s="1" t="str" cm="1">
        <f t="array" ref="V579">IFERROR(_xlfn.XLOOKUP(1,(TRIM(CostData!$B$22:$B$1000)="Aluminium")*(TRIM(CostData!$C$22:$C$1000)="CWS")*(TRIM(CostData!$E$22:$E$1000)=TRIM($S579)),_xlfn.SWITCH(TRIM(Enginuity!$A$19),"N/A",CostData!$H$22:$H$1000,"M/B",CostData!$I$22:$I$1000,"P/C",CostData!$J$22:$J$1000,"W/G",CostData!$K$22:$K$1000,""),""),"")</f>
        <v/>
      </c>
      <c r="W579" s="400" t="str" cm="1">
        <f t="array" ref="W57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0" spans="1:23" x14ac:dyDescent="0.25">
      <c r="A580" s="275" t="s">
        <v>254</v>
      </c>
      <c r="C580" s="370" t="s">
        <v>1935</v>
      </c>
      <c r="E580" s="370" t="str">
        <v/>
      </c>
      <c r="P580" s="1" t="str" cm="1">
        <f t="array" ref="P5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0" s="1" t="str" cm="1">
        <f t="array" ref="Q580">_xlfn.LET(_xlpm.cd,INDEX($S:$S,ROW()),IF(_xlpm.cd="","",IFERROR(_xlfn.XLOOKUP(_xlpm.cd,CostData!$C$22:$C$1000,CostData!$B$22:$B$1000,""),"")))</f>
        <v/>
      </c>
      <c r="T580" s="1" t="str" cm="1">
        <f t="array" ref="T580">_xlfn.LET(_xlpm.cd,INDEX($S:$S,ROW()),IF(_xlpm.cd="","",IFERROR(_xlfn.XLOOKUP(_xlpm.cd,CostData!$C$22:$C$1000,CostData!$E$22:$E$1000,""),"")))</f>
        <v/>
      </c>
      <c r="V580" s="1" t="str" cm="1">
        <f t="array" ref="V580">IFERROR(_xlfn.XLOOKUP(1,(TRIM(CostData!$B$22:$B$1000)="Aluminium")*(TRIM(CostData!$C$22:$C$1000)="CWS")*(TRIM(CostData!$E$22:$E$1000)=TRIM($S580)),_xlfn.SWITCH(TRIM(Enginuity!$A$19),"N/A",CostData!$H$22:$H$1000,"M/B",CostData!$I$22:$I$1000,"P/C",CostData!$J$22:$J$1000,"W/G",CostData!$K$22:$K$1000,""),""),"")</f>
        <v/>
      </c>
      <c r="W580" s="400" t="str" cm="1">
        <f t="array" ref="W58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1" spans="1:23" x14ac:dyDescent="0.25">
      <c r="A581" s="275" t="s">
        <v>254</v>
      </c>
      <c r="C581" s="370" t="s">
        <v>1935</v>
      </c>
      <c r="P581" s="1" t="str" cm="1">
        <f t="array" ref="P5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1" s="1" t="str" cm="1">
        <f t="array" ref="Q581">_xlfn.LET(_xlpm.cd,INDEX($S:$S,ROW()),IF(_xlpm.cd="","",IFERROR(_xlfn.XLOOKUP(_xlpm.cd,CostData!$C$22:$C$1000,CostData!$B$22:$B$1000,""),"")))</f>
        <v/>
      </c>
      <c r="T581" s="1" t="str" cm="1">
        <f t="array" ref="T581">_xlfn.LET(_xlpm.cd,INDEX($S:$S,ROW()),IF(_xlpm.cd="","",IFERROR(_xlfn.XLOOKUP(_xlpm.cd,CostData!$C$22:$C$1000,CostData!$E$22:$E$1000,""),"")))</f>
        <v/>
      </c>
      <c r="V581" s="1" t="str" cm="1">
        <f t="array" ref="V581">IFERROR(_xlfn.XLOOKUP(1,(TRIM(CostData!$B$22:$B$1000)="Aluminium")*(TRIM(CostData!$C$22:$C$1000)="CWS")*(TRIM(CostData!$E$22:$E$1000)=TRIM($S581)),_xlfn.SWITCH(TRIM(Enginuity!$A$19),"N/A",CostData!$H$22:$H$1000,"M/B",CostData!$I$22:$I$1000,"P/C",CostData!$J$22:$J$1000,"W/G",CostData!$K$22:$K$1000,""),""),"")</f>
        <v/>
      </c>
      <c r="W581" s="400" t="str" cm="1">
        <f t="array" ref="W5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2" spans="1:23" x14ac:dyDescent="0.25">
      <c r="A582" s="275" t="s">
        <v>254</v>
      </c>
      <c r="C582" s="370" t="s">
        <v>1935</v>
      </c>
      <c r="P582" s="1" t="str" cm="1">
        <f t="array" ref="P5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2" s="1" t="str" cm="1">
        <f t="array" ref="Q582">_xlfn.LET(_xlpm.cd,INDEX($S:$S,ROW()),IF(_xlpm.cd="","",IFERROR(_xlfn.XLOOKUP(_xlpm.cd,CostData!$C$22:$C$1000,CostData!$B$22:$B$1000,""),"")))</f>
        <v/>
      </c>
      <c r="T582" s="1" t="str" cm="1">
        <f t="array" ref="T582">_xlfn.LET(_xlpm.cd,INDEX($S:$S,ROW()),IF(_xlpm.cd="","",IFERROR(_xlfn.XLOOKUP(_xlpm.cd,CostData!$C$22:$C$1000,CostData!$E$22:$E$1000,""),"")))</f>
        <v/>
      </c>
      <c r="V582" s="1" t="str" cm="1">
        <f t="array" ref="V582">IFERROR(_xlfn.XLOOKUP(1,(TRIM(CostData!$B$22:$B$1000)="Aluminium")*(TRIM(CostData!$C$22:$C$1000)="CWS")*(TRIM(CostData!$E$22:$E$1000)=TRIM($S582)),_xlfn.SWITCH(TRIM(Enginuity!$A$19),"N/A",CostData!$H$22:$H$1000,"M/B",CostData!$I$22:$I$1000,"P/C",CostData!$J$22:$J$1000,"W/G",CostData!$K$22:$K$1000,""),""),"")</f>
        <v/>
      </c>
      <c r="W582" s="400" t="str" cm="1">
        <f t="array" ref="W5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3" spans="1:23" x14ac:dyDescent="0.25">
      <c r="A583" s="275" t="s">
        <v>254</v>
      </c>
      <c r="C583" s="370" t="s">
        <v>1935</v>
      </c>
      <c r="P583" s="1" t="str" cm="1">
        <f t="array" ref="P5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3" s="1" t="str" cm="1">
        <f t="array" ref="Q583">_xlfn.LET(_xlpm.cd,INDEX($S:$S,ROW()),IF(_xlpm.cd="","",IFERROR(_xlfn.XLOOKUP(_xlpm.cd,CostData!$C$22:$C$1000,CostData!$B$22:$B$1000,""),"")))</f>
        <v/>
      </c>
      <c r="T583" s="1" t="str" cm="1">
        <f t="array" ref="T583">_xlfn.LET(_xlpm.cd,INDEX($S:$S,ROW()),IF(_xlpm.cd="","",IFERROR(_xlfn.XLOOKUP(_xlpm.cd,CostData!$C$22:$C$1000,CostData!$E$22:$E$1000,""),"")))</f>
        <v/>
      </c>
      <c r="V583" s="1" t="str" cm="1">
        <f t="array" ref="V583">IFERROR(_xlfn.XLOOKUP(1,(TRIM(CostData!$B$22:$B$1000)="Aluminium")*(TRIM(CostData!$C$22:$C$1000)="CWS")*(TRIM(CostData!$E$22:$E$1000)=TRIM($S583)),_xlfn.SWITCH(TRIM(Enginuity!$A$19),"N/A",CostData!$H$22:$H$1000,"M/B",CostData!$I$22:$I$1000,"P/C",CostData!$J$22:$J$1000,"W/G",CostData!$K$22:$K$1000,""),""),"")</f>
        <v/>
      </c>
      <c r="W583" s="400" t="str" cm="1">
        <f t="array" ref="W5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4" spans="1:23" x14ac:dyDescent="0.25">
      <c r="A584" s="275" t="s">
        <v>254</v>
      </c>
      <c r="C584" s="370" t="s">
        <v>1935</v>
      </c>
      <c r="P584" s="1" t="str" cm="1">
        <f t="array" ref="P5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4" s="1" t="str" cm="1">
        <f t="array" ref="Q584">_xlfn.LET(_xlpm.cd,INDEX($S:$S,ROW()),IF(_xlpm.cd="","",IFERROR(_xlfn.XLOOKUP(_xlpm.cd,CostData!$C$22:$C$1000,CostData!$B$22:$B$1000,""),"")))</f>
        <v/>
      </c>
      <c r="T584" s="1" t="str" cm="1">
        <f t="array" ref="T584">_xlfn.LET(_xlpm.cd,INDEX($S:$S,ROW()),IF(_xlpm.cd="","",IFERROR(_xlfn.XLOOKUP(_xlpm.cd,CostData!$C$22:$C$1000,CostData!$E$22:$E$1000,""),"")))</f>
        <v/>
      </c>
      <c r="V584" s="1" t="str" cm="1">
        <f t="array" ref="V584">IFERROR(_xlfn.XLOOKUP(1,(TRIM(CostData!$B$22:$B$1000)="Aluminium")*(TRIM(CostData!$C$22:$C$1000)="CWS")*(TRIM(CostData!$E$22:$E$1000)=TRIM($S584)),_xlfn.SWITCH(TRIM(Enginuity!$A$19),"N/A",CostData!$H$22:$H$1000,"M/B",CostData!$I$22:$I$1000,"P/C",CostData!$J$22:$J$1000,"W/G",CostData!$K$22:$K$1000,""),""),"")</f>
        <v/>
      </c>
      <c r="W584" s="400" t="str" cm="1">
        <f t="array" ref="W5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5" spans="1:23" x14ac:dyDescent="0.25">
      <c r="A585" s="275" t="s">
        <v>254</v>
      </c>
      <c r="C585" s="370" t="s">
        <v>1935</v>
      </c>
      <c r="P585" s="1" t="str" cm="1">
        <f t="array" ref="P5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5" s="1" t="str" cm="1">
        <f t="array" ref="Q585">_xlfn.LET(_xlpm.cd,INDEX($S:$S,ROW()),IF(_xlpm.cd="","",IFERROR(_xlfn.XLOOKUP(_xlpm.cd,CostData!$C$22:$C$1000,CostData!$B$22:$B$1000,""),"")))</f>
        <v/>
      </c>
      <c r="T585" s="1" t="str" cm="1">
        <f t="array" ref="T585">_xlfn.LET(_xlpm.cd,INDEX($S:$S,ROW()),IF(_xlpm.cd="","",IFERROR(_xlfn.XLOOKUP(_xlpm.cd,CostData!$C$22:$C$1000,CostData!$E$22:$E$1000,""),"")))</f>
        <v/>
      </c>
      <c r="V585" s="1" t="str" cm="1">
        <f t="array" ref="V585">IFERROR(_xlfn.XLOOKUP(1,(TRIM(CostData!$B$22:$B$1000)="Aluminium")*(TRIM(CostData!$C$22:$C$1000)="CWS")*(TRIM(CostData!$E$22:$E$1000)=TRIM($S585)),_xlfn.SWITCH(TRIM(Enginuity!$A$19),"N/A",CostData!$H$22:$H$1000,"M/B",CostData!$I$22:$I$1000,"P/C",CostData!$J$22:$J$1000,"W/G",CostData!$K$22:$K$1000,""),""),"")</f>
        <v/>
      </c>
      <c r="W585" s="400" t="str" cm="1">
        <f t="array" ref="W5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6" spans="1:23" x14ac:dyDescent="0.25">
      <c r="A586" s="275" t="s">
        <v>254</v>
      </c>
      <c r="C586" s="370" t="s">
        <v>1935</v>
      </c>
      <c r="P586" s="1" t="str" cm="1">
        <f t="array" ref="P5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6" s="1" t="str" cm="1">
        <f t="array" ref="Q586">_xlfn.LET(_xlpm.cd,INDEX($S:$S,ROW()),IF(_xlpm.cd="","",IFERROR(_xlfn.XLOOKUP(_xlpm.cd,CostData!$C$22:$C$1000,CostData!$B$22:$B$1000,""),"")))</f>
        <v/>
      </c>
      <c r="T586" s="1" t="str" cm="1">
        <f t="array" ref="T586">_xlfn.LET(_xlpm.cd,INDEX($S:$S,ROW()),IF(_xlpm.cd="","",IFERROR(_xlfn.XLOOKUP(_xlpm.cd,CostData!$C$22:$C$1000,CostData!$E$22:$E$1000,""),"")))</f>
        <v/>
      </c>
      <c r="V586" s="1" t="str" cm="1">
        <f t="array" ref="V586">IFERROR(_xlfn.XLOOKUP(1,(TRIM(CostData!$B$22:$B$1000)="Aluminium")*(TRIM(CostData!$C$22:$C$1000)="CWS")*(TRIM(CostData!$E$22:$E$1000)=TRIM($S586)),_xlfn.SWITCH(TRIM(Enginuity!$A$19),"N/A",CostData!$H$22:$H$1000,"M/B",CostData!$I$22:$I$1000,"P/C",CostData!$J$22:$J$1000,"W/G",CostData!$K$22:$K$1000,""),""),"")</f>
        <v/>
      </c>
      <c r="W586" s="400" t="str" cm="1">
        <f t="array" ref="W58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7" spans="1:23" x14ac:dyDescent="0.25">
      <c r="A587" s="275" t="s">
        <v>254</v>
      </c>
      <c r="C587" s="370" t="s">
        <v>1935</v>
      </c>
      <c r="P587" s="1" t="str" cm="1">
        <f t="array" ref="P5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7" s="1" t="s">
        <v>1833</v>
      </c>
      <c r="R587" s="16" t="str">
        <f>IF($T587="","","⬒ "&amp;$T587)</f>
        <v>⬒ Z-Louvre Blade - 5"</v>
      </c>
      <c r="T587" s="1" t="str">
        <f>IF(Enginuity!$A$20="","",Enginuity!$A$20)</f>
        <v>Z-Louvre Blade - 5"</v>
      </c>
      <c r="U587" s="1" t="s">
        <v>121</v>
      </c>
      <c r="V587" s="1">
        <f>IF(Enginuity!$B$9="","",Enginuity!$B$9)</f>
        <v>260</v>
      </c>
      <c r="W587" s="400">
        <f>IFERROR(INDEX(CostData!$Q$3:$Q$12,MATCH(TRIM(Enginuity!$A$20),CostData!$P$3:$P$12,0)),"")</f>
        <v>32.037384615384617</v>
      </c>
    </row>
    <row r="588" spans="1:23" x14ac:dyDescent="0.25">
      <c r="A588" s="275" t="s">
        <v>254</v>
      </c>
      <c r="C588" s="370" t="s">
        <v>1935</v>
      </c>
      <c r="P588" s="1" t="str" cm="1">
        <f t="array" ref="P5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88" s="1" t="str" cm="1">
        <f t="array" ref="V588">IFERROR(_xlfn.XLOOKUP(1,(TRIM(CostData!$B$22:$B$1000)="Aluminium")*(TRIM(CostData!$C$22:$C$1000)="CWS")*(TRIM(CostData!$E$22:$E$1000)=TRIM($S588)),_xlfn.SWITCH(TRIM(Enginuity!$A$19),"N/A",CostData!$H$22:$H$1000,"M/B",CostData!$I$22:$I$1000,"P/C",CostData!$J$22:$J$1000,"W/G",CostData!$K$22:$K$1000,""),""),"")</f>
        <v/>
      </c>
      <c r="W588" s="400" t="str" cm="1">
        <f t="array" ref="W588">IF(OR(TRIM(CalcEngine!$A588)&lt;&gt;TRIM(Enginuity!$A$1),TRIM(CalcEngine!$C588)&lt;&gt;TRIM(Enginuity!$A$18),CalcEngine!$V588="",CalcEngine!$V588=0),"",IFERROR(_xlfn.XLOOKUP(1,(TRIM(CostData!$B$22:$B$1000)="Aluminium")*(TRIM(CostData!$C$22:$C$1000)="CWS")*(TRIM(CostData!$E$22:$E$1000)=TRIM(CalcEngine!$T588)),_xlfn.SWITCH(TRIM(Enginuity!$A$19),"N/A",CostData!$H$22:$H$1000,"M/B",CostData!$I$22:$I$1000,"P/C",CostData!$J$22:$J$1000,"W/G",CostData!$K$22:$K$1000,""),""),""))</f>
        <v/>
      </c>
    </row>
    <row r="589" spans="1:23" x14ac:dyDescent="0.25">
      <c r="A589" s="275" t="s">
        <v>254</v>
      </c>
      <c r="C589" s="370" t="s">
        <v>1935</v>
      </c>
      <c r="P589" s="1" t="str" cm="1">
        <f t="array" ref="P5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89" s="1" t="str" cm="1">
        <f t="array" ref="V589">IFERROR(_xlfn.XLOOKUP(1,(TRIM(CostData!$B$22:$B$1000)="Aluminium")*(TRIM(CostData!$C$22:$C$1000)="CWS")*(TRIM(CostData!$E$22:$E$1000)=TRIM($S589)),_xlfn.SWITCH(TRIM(Enginuity!$A$19),"N/A",CostData!$H$22:$H$1000,"M/B",CostData!$I$22:$I$1000,"P/C",CostData!$J$22:$J$1000,"W/G",CostData!$K$22:$K$1000,""),""),"")</f>
        <v/>
      </c>
      <c r="W589" s="400" t="str" cm="1">
        <f t="array" ref="W589">IF(OR(TRIM(CalcEngine!$A589)&lt;&gt;TRIM(Enginuity!$A$1),TRIM(CalcEngine!$C589)&lt;&gt;TRIM(Enginuity!$A$18),CalcEngine!$V589="",CalcEngine!$V589=0),"",IFERROR(_xlfn.XLOOKUP(1,(TRIM(CostData!$B$22:$B$1000)="Aluminium")*(TRIM(CostData!$C$22:$C$1000)="CWS")*(TRIM(CostData!$E$22:$E$1000)=TRIM(CalcEngine!$T589)),_xlfn.SWITCH(TRIM(Enginuity!$A$19),"N/A",CostData!$H$22:$H$1000,"M/B",CostData!$I$22:$I$1000,"P/C",CostData!$J$22:$J$1000,"W/G",CostData!$K$22:$K$1000,""),""),""))</f>
        <v/>
      </c>
    </row>
    <row r="590" spans="1:23" x14ac:dyDescent="0.25">
      <c r="A590" s="275" t="s">
        <v>254</v>
      </c>
      <c r="C590" s="370" t="s">
        <v>1935</v>
      </c>
      <c r="P590" s="1" t="str" cm="1">
        <f t="array" ref="P5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90" s="1" t="str" cm="1">
        <f t="array" ref="V590">IFERROR(_xlfn.XLOOKUP(1,(TRIM(CostData!$B$22:$B$1000)="Aluminium")*(TRIM(CostData!$C$22:$C$1000)="CWS")*(TRIM(CostData!$E$22:$E$1000)=TRIM($S590)),_xlfn.SWITCH(TRIM(Enginuity!$A$19),"N/A",CostData!$H$22:$H$1000,"M/B",CostData!$I$22:$I$1000,"P/C",CostData!$J$22:$J$1000,"W/G",CostData!$K$22:$K$1000,""),""),"")</f>
        <v/>
      </c>
      <c r="W590" s="400" t="str" cm="1">
        <f t="array" ref="W590">IF(OR(TRIM(CalcEngine!$A590)&lt;&gt;TRIM(Enginuity!$A$1),TRIM(CalcEngine!$C590)&lt;&gt;TRIM(Enginuity!$A$18),CalcEngine!$V590="",CalcEngine!$V590=0),"",IFERROR(_xlfn.XLOOKUP(1,(TRIM(CostData!$B$22:$B$1000)="Aluminium")*(TRIM(CostData!$C$22:$C$1000)="CWS")*(TRIM(CostData!$E$22:$E$1000)=TRIM(CalcEngine!$T590)),_xlfn.SWITCH(TRIM(Enginuity!$A$19),"N/A",CostData!$H$22:$H$1000,"M/B",CostData!$I$22:$I$1000,"P/C",CostData!$J$22:$J$1000,"W/G",CostData!$K$22:$K$1000,""),""),""))</f>
        <v/>
      </c>
    </row>
    <row r="591" spans="1:23" x14ac:dyDescent="0.25">
      <c r="A591" s="275" t="s">
        <v>254</v>
      </c>
      <c r="C591" s="370" t="s">
        <v>1935</v>
      </c>
      <c r="P591" s="1" t="str" cm="1">
        <f t="array" ref="P5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91" s="1" t="str" cm="1">
        <f t="array" ref="V591">IFERROR(_xlfn.XLOOKUP(1,(TRIM(CostData!$B$22:$B$1000)="Aluminium")*(TRIM(CostData!$C$22:$C$1000)="CWS")*(TRIM(CostData!$E$22:$E$1000)=TRIM($S591)),_xlfn.SWITCH(TRIM(Enginuity!$A$19),"N/A",CostData!$H$22:$H$1000,"M/B",CostData!$I$22:$I$1000,"P/C",CostData!$J$22:$J$1000,"W/G",CostData!$K$22:$K$1000,""),""),"")</f>
        <v/>
      </c>
      <c r="W591" s="400" t="str" cm="1">
        <f t="array" ref="W591">IF(OR(TRIM(CalcEngine!$A591)&lt;&gt;TRIM(Enginuity!$A$1),TRIM(CalcEngine!$C591)&lt;&gt;TRIM(Enginuity!$A$18),CalcEngine!$V591="",CalcEngine!$V591=0),"",IFERROR(_xlfn.XLOOKUP(1,(TRIM(CostData!$B$22:$B$1000)="Aluminium")*(TRIM(CostData!$C$22:$C$1000)="CWS")*(TRIM(CostData!$E$22:$E$1000)=TRIM(CalcEngine!$T591)),_xlfn.SWITCH(TRIM(Enginuity!$A$19),"N/A",CostData!$H$22:$H$1000,"M/B",CostData!$I$22:$I$1000,"P/C",CostData!$J$22:$J$1000,"W/G",CostData!$K$22:$K$1000,""),""),""))</f>
        <v/>
      </c>
    </row>
    <row r="592" spans="1:23" x14ac:dyDescent="0.25">
      <c r="A592" s="275" t="s">
        <v>254</v>
      </c>
      <c r="C592" s="370" t="s">
        <v>1935</v>
      </c>
      <c r="P592" s="1" t="str" cm="1">
        <f t="array" ref="P5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92" s="400"/>
    </row>
    <row r="593" spans="1:23" x14ac:dyDescent="0.25">
      <c r="A593" s="275" t="s">
        <v>254</v>
      </c>
      <c r="C593" s="370" t="s">
        <v>1935</v>
      </c>
      <c r="P593" s="1" t="str" cm="1">
        <f t="array" ref="P5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3" s="1" t="str">
        <f>IF($S593="","",IFERROR(_xlfn.XLOOKUP($S593,CostData!$U$22:$U$1000,CostData!$T$22:$T$1000,""),""))</f>
        <v>Hinge</v>
      </c>
      <c r="R593" s="16" t="str">
        <f>IF($S593="","",$T593)</f>
        <v>Hung Friction Stay</v>
      </c>
      <c r="S593" s="24" t="s">
        <v>1880</v>
      </c>
      <c r="T593" s="1" t="str" cm="1">
        <f t="array" ref="T593">_xlfn.LET(_xlpm.cd,INDEX($S:$S,ROW()),IF(_xlpm.cd="","",IFERROR(_xlfn.XLOOKUP(_xlpm.cd,CostData!$U$22:$U$1000,CostData!$W$22:$W$1000,""),"")))</f>
        <v>Hung Friction Stay</v>
      </c>
      <c r="U593" s="1" t="str">
        <f>IF($S593="","",IFERROR(_xlfn.XLOOKUP($S593,CostData!$U$22:$U$1000,CostData!$AA$22:$AA$1000,""),""))</f>
        <v>Pair</v>
      </c>
      <c r="V593" s="1" t="str" cm="1">
        <f t="array" ref="V59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93" s="400" t="str" cm="1">
        <f t="array" ref="W59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94" spans="1:23" x14ac:dyDescent="0.25">
      <c r="A594" s="275" t="s">
        <v>254</v>
      </c>
      <c r="C594" s="370" t="s">
        <v>1935</v>
      </c>
      <c r="P594" s="1" t="str" cm="1">
        <f t="array" ref="P5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4" s="1" t="str">
        <f>IF($S594="","",IFERROR(_xlfn.XLOOKUP($S594,CostData!$U$22:$U$1000,CostData!$T$22:$T$1000,""),""))</f>
        <v>Hinge</v>
      </c>
      <c r="R594" s="16" t="str">
        <f>IF($S594="","",$T594)</f>
        <v>Casement Friction Stay</v>
      </c>
      <c r="S594" s="24" t="s">
        <v>1879</v>
      </c>
      <c r="T594" s="1" t="str" cm="1">
        <f t="array" ref="T594">_xlfn.LET(_xlpm.cd,INDEX($S:$S,ROW()),IF(_xlpm.cd="","",IFERROR(_xlfn.XLOOKUP(_xlpm.cd,CostData!$U$22:$U$1000,CostData!$W$22:$W$1000,""),"")))</f>
        <v>Casement Friction Stay</v>
      </c>
      <c r="U594" s="1" t="str">
        <f>IF($S594="","",IFERROR(_xlfn.XLOOKUP($S594,CostData!$U$22:$U$1000,CostData!$AA$22:$AA$1000,""),""))</f>
        <v>Pair</v>
      </c>
      <c r="V594" s="1">
        <f>IF(Enginuity!$B$13&gt;0,Enginuity!$B$13,"")</f>
        <v>7</v>
      </c>
      <c r="W594" s="400" t="str" cm="1">
        <f t="array" ref="W59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95" spans="1:23" x14ac:dyDescent="0.25">
      <c r="A595" s="275" t="s">
        <v>254</v>
      </c>
      <c r="C595" s="370" t="s">
        <v>1935</v>
      </c>
      <c r="P595" s="1" t="str" cm="1">
        <f t="array" ref="P5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5" s="1" t="str">
        <f>IF($S595="","",IFERROR(_xlfn.XLOOKUP($S595,CostData!$U$22:$U$1000,CostData!$T$22:$T$1000,""),""))</f>
        <v>Handle</v>
      </c>
      <c r="R595" s="16" t="str">
        <f>IF($S595="","",$T595)</f>
        <v>Casement Handle</v>
      </c>
      <c r="S595" s="24" t="s">
        <v>113</v>
      </c>
      <c r="T595" s="1" t="str" cm="1">
        <f t="array" ref="T595">_xlfn.LET(_xlpm.cd,INDEX($S:$S,ROW()),IF(_xlpm.cd="","",IFERROR(_xlfn.XLOOKUP(_xlpm.cd,CostData!$U$22:$U$1000,CostData!$W$22:$W$1000,""),"")))</f>
        <v>Casement Handle</v>
      </c>
      <c r="U595" s="1" t="str">
        <f>IF($S595="","",IFERROR(_xlfn.XLOOKUP($S595,CostData!$U$22:$U$1000,CostData!$AA$22:$AA$1000,""),""))</f>
        <v>Pcs</v>
      </c>
      <c r="V595" s="1" cm="1">
        <f t="array" ref="V59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7</v>
      </c>
      <c r="W595" s="400" t="str" cm="1">
        <f t="array" ref="W59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96" spans="1:23" x14ac:dyDescent="0.25">
      <c r="A596" s="275" t="s">
        <v>254</v>
      </c>
      <c r="C596" s="370" t="s">
        <v>1935</v>
      </c>
      <c r="P596" s="1" t="str" cm="1">
        <f t="array" ref="P5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6" s="1" t="str">
        <f>IF($S596="","",IFERROR(_xlfn.XLOOKUP($S596,CostData!$U$22:$U$1000,CostData!$T$22:$T$1000,""),""))</f>
        <v>Black Tape</v>
      </c>
      <c r="R596" s="16" t="str">
        <f>IF($S596="","",$T596)</f>
        <v>2.5" x 2 Black Tape</v>
      </c>
      <c r="S596" s="24" t="s">
        <v>1898</v>
      </c>
      <c r="T596" s="1" t="str" cm="1">
        <f t="array" ref="T596">_xlfn.LET(_xlpm.cd,INDEX($S:$S,ROW()),IF(_xlpm.cd="","",IFERROR(_xlfn.XLOOKUP(_xlpm.cd,CostData!$U$22:$U$1000,CostData!$W$22:$W$1000,""),"")))</f>
        <v>2.5" x 2 Black Tape</v>
      </c>
      <c r="U596" s="1" t="str">
        <f>IF($S596="","",IFERROR(_xlfn.XLOOKUP($S596,CostData!$U$22:$U$1000,CostData!$AA$22:$AA$1000,""),""))</f>
        <v>Ft</v>
      </c>
      <c r="V596" s="1">
        <f>IF(SUM($V$61:$V$64)=0,"",SUM($V$61:$V$64))</f>
        <v>560</v>
      </c>
      <c r="W596" s="400" t="str" cm="1">
        <f t="array" ref="W59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97" spans="1:23" x14ac:dyDescent="0.25">
      <c r="A597" s="275" t="s">
        <v>254</v>
      </c>
      <c r="C597" s="370" t="s">
        <v>1935</v>
      </c>
      <c r="P597" s="1" t="str" cm="1">
        <f t="array" ref="P5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7" s="1" t="str">
        <f>IF($S597="","",IFERROR(_xlfn.XLOOKUP($S597,CostData!$U$22:$U$1000,CostData!$T$22:$T$1000,""),""))</f>
        <v>Gasket</v>
      </c>
      <c r="R597" s="16" t="s">
        <v>1931</v>
      </c>
      <c r="S597" s="24" t="s">
        <v>1912</v>
      </c>
      <c r="T597" s="1" t="str" cm="1">
        <f t="array" ref="T597">_xlfn.LET(_xlpm.cd,INDEX($S:$S,ROW()),IF(_xlpm.cd="","",IFERROR(_xlfn.XLOOKUP(_xlpm.cd,CostData!$U$22:$U$1000,CostData!$W$22:$W$1000,""),"")))</f>
        <v>F18 Gasket</v>
      </c>
      <c r="U597" s="1" t="str">
        <f>IF($S597="","",IFERROR(_xlfn.XLOOKUP($S597,CostData!$U$22:$U$1000,CostData!$AA$22:$AA$1000,""),""))</f>
        <v>Ft</v>
      </c>
      <c r="V597" s="1">
        <f>IF($V$61="","",$V$61)</f>
        <v>260</v>
      </c>
      <c r="W597" s="400" t="str" cm="1">
        <f t="array" ref="W59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98" spans="1:23" x14ac:dyDescent="0.25">
      <c r="A598" s="275" t="s">
        <v>254</v>
      </c>
      <c r="C598" s="370" t="s">
        <v>1935</v>
      </c>
      <c r="P598" s="1" t="str" cm="1">
        <f t="array" ref="P5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8" s="1" t="str">
        <f>IF($S598="","",IFERROR(_xlfn.XLOOKUP($S598,CostData!$U$22:$U$1000,CostData!$T$22:$T$1000,""),""))</f>
        <v>Gasket</v>
      </c>
      <c r="R598" s="16" t="s">
        <v>1932</v>
      </c>
      <c r="S598" s="24" t="s">
        <v>1916</v>
      </c>
      <c r="T598" s="1" t="str" cm="1">
        <f t="array" ref="T598">_xlfn.LET(_xlpm.cd,INDEX($S:$S,ROW()),IF(_xlpm.cd="","",IFERROR(_xlfn.XLOOKUP(_xlpm.cd,CostData!$U$22:$U$1000,CostData!$W$22:$W$1000,""),"")))</f>
        <v>F16S Gasket</v>
      </c>
      <c r="U598" s="1" t="str">
        <f>IF($S598="","",IFERROR(_xlfn.XLOOKUP($S598,CostData!$U$22:$U$1000,CostData!$AA$22:$AA$1000,""),""))</f>
        <v>Ft</v>
      </c>
      <c r="V598" s="1">
        <f>IF($V$62="","",$V$62)</f>
        <v>222</v>
      </c>
      <c r="W598" s="400" t="str" cm="1">
        <f t="array" ref="W59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99" spans="1:23" x14ac:dyDescent="0.25">
      <c r="A599" s="275" t="s">
        <v>254</v>
      </c>
      <c r="C599" s="370" t="s">
        <v>1935</v>
      </c>
      <c r="P599" s="1" t="str" cm="1">
        <f t="array" ref="P5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9" s="1" t="str">
        <f>IF($S599="","",IFERROR(_xlfn.XLOOKUP($S599,CostData!$U$22:$U$1000,CostData!$T$22:$T$1000,""),""))</f>
        <v>Gasket</v>
      </c>
      <c r="R599" s="16" t="s">
        <v>1930</v>
      </c>
      <c r="S599" s="24">
        <v>6154</v>
      </c>
      <c r="T599" s="1" t="str" cm="1">
        <f t="array" ref="T599">_xlfn.LET(_xlpm.cd,INDEX($S:$S,ROW()),IF(_xlpm.cd="","",IFERROR(_xlfn.XLOOKUP(_xlpm.cd,CostData!$U$22:$U$1000,CostData!$W$22:$W$1000,""),"")))</f>
        <v>6154 Gasket</v>
      </c>
      <c r="U599" s="1" t="str">
        <f>IF($S599="","",IFERROR(_xlfn.XLOOKUP($S599,CostData!$U$22:$U$1000,CostData!$AA$22:$AA$1000,""),""))</f>
        <v>Ft</v>
      </c>
      <c r="V599" s="1">
        <f>IF($V$62="","",$V$62)</f>
        <v>222</v>
      </c>
      <c r="W599" s="400" t="str" cm="1">
        <f t="array" ref="W59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00" spans="1:23" x14ac:dyDescent="0.25">
      <c r="A600" s="412" t="s">
        <v>254</v>
      </c>
      <c r="B600" s="399"/>
      <c r="C600" s="399" t="s">
        <v>1935</v>
      </c>
      <c r="D600" s="399"/>
      <c r="E600" s="399"/>
      <c r="F600" s="399"/>
      <c r="G600" s="399"/>
      <c r="H600" s="399"/>
      <c r="I600" s="399"/>
      <c r="J600" s="399"/>
      <c r="K600" s="399"/>
      <c r="L600" s="399"/>
      <c r="M600" s="399"/>
      <c r="N600" s="399"/>
      <c r="O600" s="399"/>
      <c r="P600" s="401"/>
      <c r="Q600" s="401" t="str">
        <f>IF($S600="","",IFERROR(_xlfn.XLOOKUP($S600,CostData!$U$22:$U$1000,CostData!$T$22:$T$1000,""),""))</f>
        <v>Gasket</v>
      </c>
      <c r="R600" s="429" t="s">
        <v>1933</v>
      </c>
      <c r="S600" s="418">
        <v>6154</v>
      </c>
      <c r="T600" s="401" t="str" cm="1">
        <f t="array" ref="T600">_xlfn.LET(_xlpm.cd,INDEX($S:$S,ROW()),IF(_xlpm.cd="","",IFERROR(_xlfn.XLOOKUP(_xlpm.cd,CostData!$U$22:$U$1000,CostData!$W$22:$W$1000,""),"")))</f>
        <v>6154 Gasket</v>
      </c>
      <c r="U600" s="401" t="str">
        <f>IF($S600="","",IFERROR(_xlfn.XLOOKUP($S600,CostData!$U$22:$U$1000,CostData!$AA$22:$AA$1000,""),""))</f>
        <v>Ft</v>
      </c>
      <c r="V600" s="401">
        <f>IF(SUM($V$63:$V$64)=0,"",SUM($V$63:$V$64)*2)</f>
        <v>156</v>
      </c>
      <c r="W600" s="413" t="str" cm="1">
        <f t="array" ref="W60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01" spans="1:23" x14ac:dyDescent="0.25">
      <c r="A601" s="419" t="s">
        <v>254</v>
      </c>
      <c r="B601" s="415" t="s">
        <v>1846</v>
      </c>
      <c r="C601" s="415" t="s">
        <v>1935</v>
      </c>
      <c r="D601" s="415" t="s">
        <v>1792</v>
      </c>
      <c r="E601" s="415" t="str" cm="1">
        <f t="array" ref="E601:E610">IFERROR(INDEX(_xlfn._xlws.FILTER(CostData!$P$3:$P$12,CostData!$P$3:$P$12&lt;&gt;""),_xlfn.SEQUENCE(10)),"")</f>
        <v>Default</v>
      </c>
      <c r="F601" s="415" t="str">
        <f>"▼ [Variant]"</f>
        <v>▼ [Variant]</v>
      </c>
      <c r="G601" s="415" t="str">
        <f>"▼ [Fix - Casement]"</f>
        <v>▼ [Fix - Casement]</v>
      </c>
      <c r="H601" s="415" t="str">
        <f>"▼ [Hung Window - Casement]"</f>
        <v>▼ [Hung Window - Casement]</v>
      </c>
      <c r="I601" s="415" t="s">
        <v>1858</v>
      </c>
      <c r="J601" s="415" t="s">
        <v>1859</v>
      </c>
      <c r="K601" s="415" t="s">
        <v>1860</v>
      </c>
      <c r="L601" s="415" t="s">
        <v>1861</v>
      </c>
      <c r="M601" s="420">
        <v>0.54649999999999999</v>
      </c>
      <c r="N601" s="415">
        <v>609.6</v>
      </c>
      <c r="O601" s="415"/>
      <c r="P601" s="409" t="str" cm="1">
        <f t="array" ref="P6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1" s="409" t="str" cm="1">
        <f t="array" ref="Q601">_xlfn.LET(_xlpm.cd,INDEX($S:$S,ROW()),IF(_xlpm.cd="","",IFERROR(_xlfn.XLOOKUP(_xlpm.cd,CostData!$C$22:$C$1000,CostData!$B$22:$B$1000,""),"")))</f>
        <v>Aluminium</v>
      </c>
      <c r="R601" s="428" t="s">
        <v>1812</v>
      </c>
      <c r="S601" s="417" t="s">
        <v>1926</v>
      </c>
      <c r="T601" s="409" t="str" cm="1">
        <f t="array" ref="T601">_xlfn.LET(_xlpm.cd,INDEX($S:$S,ROW()),IF(_xlpm.cd="","",IFERROR(_xlfn.XLOOKUP(_xlpm.cd,CostData!$C$22:$C$1000,CostData!$E$22:$E$1000,""),"")))</f>
        <v>Outer</v>
      </c>
      <c r="U601" s="409" t="s">
        <v>103</v>
      </c>
      <c r="V601" s="409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W601" s="421" t="str" cm="1">
        <f t="array" ref="W6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2" spans="1:23" x14ac:dyDescent="0.25">
      <c r="A602" s="275" t="s">
        <v>254</v>
      </c>
      <c r="B602" s="370" t="s">
        <v>1848</v>
      </c>
      <c r="C602" s="370" t="s">
        <v>1935</v>
      </c>
      <c r="D602" s="370" t="s">
        <v>1814</v>
      </c>
      <c r="E602" s="370" t="str">
        <v>Z-Louvre Blade - 2"</v>
      </c>
      <c r="G602" s="370" t="s">
        <v>1866</v>
      </c>
      <c r="H602" s="370" t="s">
        <v>1866</v>
      </c>
      <c r="P602" s="1" t="str" cm="1">
        <f t="array" ref="P6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2" s="1" t="str" cm="1">
        <f t="array" ref="Q602">_xlfn.LET(_xlpm.cd,INDEX($S:$S,ROW()),IF(_xlpm.cd="","",IFERROR(_xlfn.XLOOKUP(_xlpm.cd,CostData!$C$22:$C$1000,CostData!$B$22:$B$1000,""),"")))</f>
        <v>Aluminium</v>
      </c>
      <c r="R602" s="16" t="s">
        <v>1849</v>
      </c>
      <c r="S602" s="24" t="s">
        <v>1927</v>
      </c>
      <c r="T602" s="1" t="str" cm="1">
        <f t="array" ref="T602">_xlfn.LET(_xlpm.cd,INDEX($S:$S,ROW()),IF(_xlpm.cd="","",IFERROR(_xlfn.XLOOKUP(_xlpm.cd,CostData!$C$22:$C$1000,CostData!$E$22:$E$1000,""),"")))</f>
        <v>Inner</v>
      </c>
      <c r="U602" s="1" t="s">
        <v>103</v>
      </c>
      <c r="V602" s="1" cm="1">
        <f t="array" ref="V60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222</v>
      </c>
      <c r="W602" s="400" t="str" cm="1">
        <f t="array" ref="W6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3" spans="1:23" x14ac:dyDescent="0.25">
      <c r="A603" s="275" t="s">
        <v>254</v>
      </c>
      <c r="B603" s="370" t="s">
        <v>382</v>
      </c>
      <c r="C603" s="370" t="s">
        <v>1935</v>
      </c>
      <c r="D603" s="370" t="s">
        <v>1793</v>
      </c>
      <c r="E603" s="370" t="str">
        <v>Z-Louvre Blade - 5"</v>
      </c>
      <c r="G603" s="370" t="s">
        <v>1867</v>
      </c>
      <c r="H603" s="370" t="s">
        <v>1867</v>
      </c>
      <c r="P603" s="1" t="str" cm="1">
        <f t="array" ref="P6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3" s="1" t="str" cm="1">
        <f t="array" ref="Q603">_xlfn.LET(_xlpm.cd,INDEX($S:$S,ROW()),IF(_xlpm.cd="","",IFERROR(_xlfn.XLOOKUP(_xlpm.cd,CostData!$C$22:$C$1000,CostData!$B$22:$B$1000,""),"")))</f>
        <v>Aluminium</v>
      </c>
      <c r="R603" s="16" t="s">
        <v>1863</v>
      </c>
      <c r="S603" s="24" t="s">
        <v>1928</v>
      </c>
      <c r="T603" s="1" t="str" cm="1">
        <f t="array" ref="T603">_xlfn.LET(_xlpm.cd,INDEX($S:$S,ROW()),IF(_xlpm.cd="","",IFERROR(_xlfn.XLOOKUP(_xlpm.cd,CostData!$C$22:$C$1000,CostData!$E$22:$E$1000,""),"")))</f>
        <v>Mullion</v>
      </c>
      <c r="U603" s="1" t="s">
        <v>103</v>
      </c>
      <c r="V60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78</v>
      </c>
      <c r="W603" s="400" t="str" cm="1">
        <f t="array" ref="W6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4" spans="1:23" x14ac:dyDescent="0.25">
      <c r="A604" s="275" t="s">
        <v>254</v>
      </c>
      <c r="B604" s="370" t="s">
        <v>1847</v>
      </c>
      <c r="C604" s="370" t="s">
        <v>1935</v>
      </c>
      <c r="D604" s="370" t="s">
        <v>1815</v>
      </c>
      <c r="E604" s="370" t="str">
        <v/>
      </c>
      <c r="G604" s="370" t="s">
        <v>1868</v>
      </c>
      <c r="H604" s="370" t="s">
        <v>1868</v>
      </c>
      <c r="P604" s="1" t="str" cm="1">
        <f t="array" ref="P6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4" s="1" t="str" cm="1">
        <f t="array" ref="Q604">_xlfn.LET(_xlpm.cd,INDEX($S:$S,ROW()),IF(_xlpm.cd="","",IFERROR(_xlfn.XLOOKUP(_xlpm.cd,CostData!$C$22:$C$1000,CostData!$B$22:$B$1000,""),"")))</f>
        <v>Aluminium</v>
      </c>
      <c r="R604" s="16" t="s">
        <v>1862</v>
      </c>
      <c r="S604" s="24" t="s">
        <v>1928</v>
      </c>
      <c r="T604" s="1" t="str" cm="1">
        <f t="array" ref="T604">_xlfn.LET(_xlpm.cd,INDEX($S:$S,ROW()),IF(_xlpm.cd="","",IFERROR(_xlfn.XLOOKUP(_xlpm.cd,CostData!$C$22:$C$1000,CostData!$E$22:$E$1000,""),"")))</f>
        <v>Mullion</v>
      </c>
      <c r="U604" s="1" t="s">
        <v>103</v>
      </c>
      <c r="V60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04" s="400" t="str" cm="1">
        <f t="array" ref="W6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5" spans="1:23" x14ac:dyDescent="0.25">
      <c r="A605" s="275" t="s">
        <v>254</v>
      </c>
      <c r="C605" s="370" t="s">
        <v>1935</v>
      </c>
      <c r="E605" s="370" t="str">
        <v/>
      </c>
      <c r="G605" s="370" t="s">
        <v>1869</v>
      </c>
      <c r="H605" s="370" t="s">
        <v>1869</v>
      </c>
      <c r="P605" s="1" t="str" cm="1">
        <f t="array" ref="P6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5" s="1" t="str" cm="1">
        <f t="array" ref="Q605">_xlfn.LET(_xlpm.cd,INDEX($S:$S,ROW()),IF(_xlpm.cd="","",IFERROR(_xlfn.XLOOKUP(_xlpm.cd,CostData!$C$22:$C$1000,CostData!$B$22:$B$1000,""),"")))</f>
        <v/>
      </c>
      <c r="T605" s="1" t="str" cm="1">
        <f t="array" ref="T605">_xlfn.LET(_xlpm.cd,INDEX($S:$S,ROW()),IF(_xlpm.cd="","",IFERROR(_xlfn.XLOOKUP(_xlpm.cd,CostData!$C$22:$C$1000,CostData!$E$22:$E$1000,""),"")))</f>
        <v/>
      </c>
      <c r="V605" s="1" t="str" cm="1">
        <f t="array" ref="V605">IFERROR(_xlfn.XLOOKUP(1,(TRIM(CostData!$B$22:$B$1000)="Aluminium")*(TRIM(CostData!$C$22:$C$1000)="CWS")*(TRIM(CostData!$E$22:$E$1000)=TRIM($S605)),_xlfn.SWITCH(TRIM(Enginuity!$A$19),"N/A",CostData!$H$22:$H$1000,"M/B",CostData!$I$22:$I$1000,"P/C",CostData!$J$22:$J$1000,"W/G",CostData!$K$22:$K$1000,""),""),"")</f>
        <v/>
      </c>
      <c r="W605" s="400" t="str" cm="1">
        <f t="array" ref="W6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6" spans="1:23" x14ac:dyDescent="0.25">
      <c r="A606" s="275" t="s">
        <v>254</v>
      </c>
      <c r="C606" s="370" t="s">
        <v>1935</v>
      </c>
      <c r="E606" s="370" t="str">
        <v/>
      </c>
      <c r="G606" s="370" t="s">
        <v>1870</v>
      </c>
      <c r="H606" s="370" t="s">
        <v>1870</v>
      </c>
      <c r="P606" s="1" t="str" cm="1">
        <f t="array" ref="P6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6" s="1" t="str" cm="1">
        <f t="array" ref="Q606">_xlfn.LET(_xlpm.cd,INDEX($S:$S,ROW()),IF(_xlpm.cd="","",IFERROR(_xlfn.XLOOKUP(_xlpm.cd,CostData!$C$22:$C$1000,CostData!$B$22:$B$1000,""),"")))</f>
        <v/>
      </c>
      <c r="R606" s="16" t="str">
        <f>IF(Enginuity!$A$22="","",Enginuity!$A$22&amp;" Fix Window")</f>
        <v>▼ [Lattice] Fix Window</v>
      </c>
      <c r="T606" s="1" t="str" cm="1">
        <f t="array" ref="T606">_xlfn.LET(_xlpm.cd,INDEX($S:$S,ROW()),IF(_xlpm.cd="","",IFERROR(_xlfn.XLOOKUP(_xlpm.cd,CostData!$C$22:$C$1000,CostData!$E$22:$E$1000,""),"")))</f>
        <v/>
      </c>
      <c r="U606" s="1" t="s">
        <v>176</v>
      </c>
      <c r="V606" s="1">
        <v>1</v>
      </c>
      <c r="W606" s="400" t="str">
        <f>IF(Enginuity!$A$22&lt;&gt;"",$W$4,"")</f>
        <v/>
      </c>
    </row>
    <row r="607" spans="1:23" x14ac:dyDescent="0.25">
      <c r="A607" s="275" t="s">
        <v>254</v>
      </c>
      <c r="C607" s="370" t="s">
        <v>1935</v>
      </c>
      <c r="E607" s="370" t="str">
        <v/>
      </c>
      <c r="G607" s="370" t="s">
        <v>1871</v>
      </c>
      <c r="H607" s="370" t="s">
        <v>1871</v>
      </c>
      <c r="P607" s="1" t="str" cm="1">
        <f t="array" ref="P6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7" s="1" t="str" cm="1">
        <f t="array" ref="Q607">_xlfn.LET(_xlpm.cd,INDEX($S:$S,ROW()),IF(_xlpm.cd="","",IFERROR(_xlfn.XLOOKUP(_xlpm.cd,CostData!$C$22:$C$1000,CostData!$B$22:$B$1000,""),"")))</f>
        <v/>
      </c>
      <c r="T607" s="1" t="str" cm="1">
        <f t="array" ref="T607">_xlfn.LET(_xlpm.cd,INDEX($S:$S,ROW()),IF(_xlpm.cd="","",IFERROR(_xlfn.XLOOKUP(_xlpm.cd,CostData!$C$22:$C$1000,CostData!$E$22:$E$1000,""),"")))</f>
        <v/>
      </c>
      <c r="V607" s="1" t="str" cm="1">
        <f t="array" ref="V607">IFERROR(_xlfn.XLOOKUP(1,(TRIM(CostData!$B$22:$B$1000)="Aluminium")*(TRIM(CostData!$C$22:$C$1000)="CWS")*(TRIM(CostData!$E$22:$E$1000)=TRIM($S607)),_xlfn.SWITCH(TRIM(Enginuity!$A$19),"N/A",CostData!$H$22:$H$1000,"M/B",CostData!$I$22:$I$1000,"P/C",CostData!$J$22:$J$1000,"W/G",CostData!$K$22:$K$1000,""),""),"")</f>
        <v/>
      </c>
      <c r="W607" s="400" t="str" cm="1">
        <f t="array" ref="W6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8" spans="1:23" x14ac:dyDescent="0.25">
      <c r="A608" s="275" t="s">
        <v>254</v>
      </c>
      <c r="C608" s="370" t="s">
        <v>1935</v>
      </c>
      <c r="E608" s="370" t="str">
        <v/>
      </c>
      <c r="G608" s="370" t="s">
        <v>1872</v>
      </c>
      <c r="H608" s="370" t="s">
        <v>1872</v>
      </c>
      <c r="P608" s="1" t="str" cm="1">
        <f t="array" ref="P6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8" s="1" t="str" cm="1">
        <f t="array" ref="Q608">_xlfn.LET(_xlpm.cd,INDEX($S:$S,ROW()),IF(_xlpm.cd="","",IFERROR(_xlfn.XLOOKUP(_xlpm.cd,CostData!$C$22:$C$1000,CostData!$B$22:$B$1000,""),"")))</f>
        <v/>
      </c>
      <c r="T608" s="1" t="str" cm="1">
        <f t="array" ref="T608">_xlfn.LET(_xlpm.cd,INDEX($S:$S,ROW()),IF(_xlpm.cd="","",IFERROR(_xlfn.XLOOKUP(_xlpm.cd,CostData!$C$22:$C$1000,CostData!$E$22:$E$1000,""),"")))</f>
        <v/>
      </c>
      <c r="V608" s="1" t="str" cm="1">
        <f t="array" ref="V608">IFERROR(_xlfn.XLOOKUP(1,(TRIM(CostData!$B$22:$B$1000)="Aluminium")*(TRIM(CostData!$C$22:$C$1000)="CWS")*(TRIM(CostData!$E$22:$E$1000)=TRIM($S608)),_xlfn.SWITCH(TRIM(Enginuity!$A$19),"N/A",CostData!$H$22:$H$1000,"M/B",CostData!$I$22:$I$1000,"P/C",CostData!$J$22:$J$1000,"W/G",CostData!$K$22:$K$1000,""),""),"")</f>
        <v/>
      </c>
      <c r="W608" s="400" t="str" cm="1">
        <f t="array" ref="W6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9" spans="1:23" x14ac:dyDescent="0.25">
      <c r="A609" s="275" t="s">
        <v>254</v>
      </c>
      <c r="C609" s="370" t="s">
        <v>1935</v>
      </c>
      <c r="E609" s="370" t="str">
        <v/>
      </c>
      <c r="G609" s="370" t="s">
        <v>1873</v>
      </c>
      <c r="H609" s="370" t="s">
        <v>1873</v>
      </c>
      <c r="P609" s="1" t="str" cm="1">
        <f t="array" ref="P6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9" s="1" t="str" cm="1">
        <f t="array" ref="Q609">_xlfn.LET(_xlpm.cd,INDEX($S:$S,ROW()),IF(_xlpm.cd="","",IFERROR(_xlfn.XLOOKUP(_xlpm.cd,CostData!$C$22:$C$1000,CostData!$B$22:$B$1000,""),"")))</f>
        <v/>
      </c>
      <c r="T609" s="1" t="str" cm="1">
        <f t="array" ref="T609">_xlfn.LET(_xlpm.cd,INDEX($S:$S,ROW()),IF(_xlpm.cd="","",IFERROR(_xlfn.XLOOKUP(_xlpm.cd,CostData!$C$22:$C$1000,CostData!$E$22:$E$1000,""),"")))</f>
        <v/>
      </c>
      <c r="V609" s="1" t="str" cm="1">
        <f t="array" ref="V609">IFERROR(_xlfn.XLOOKUP(1,(TRIM(CostData!$B$22:$B$1000)="Aluminium")*(TRIM(CostData!$C$22:$C$1000)="CWS")*(TRIM(CostData!$E$22:$E$1000)=TRIM($S609)),_xlfn.SWITCH(TRIM(Enginuity!$A$19),"N/A",CostData!$H$22:$H$1000,"M/B",CostData!$I$22:$I$1000,"P/C",CostData!$J$22:$J$1000,"W/G",CostData!$K$22:$K$1000,""),""),"")</f>
        <v/>
      </c>
      <c r="W609" s="400" t="str" cm="1">
        <f t="array" ref="W60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0" spans="1:23" x14ac:dyDescent="0.25">
      <c r="A610" s="275" t="s">
        <v>254</v>
      </c>
      <c r="C610" s="370" t="s">
        <v>1935</v>
      </c>
      <c r="E610" s="370" t="str">
        <v/>
      </c>
      <c r="P610" s="1" t="str" cm="1">
        <f t="array" ref="P6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0" s="1" t="str" cm="1">
        <f t="array" ref="Q610">_xlfn.LET(_xlpm.cd,INDEX($S:$S,ROW()),IF(_xlpm.cd="","",IFERROR(_xlfn.XLOOKUP(_xlpm.cd,CostData!$C$22:$C$1000,CostData!$B$22:$B$1000,""),"")))</f>
        <v/>
      </c>
      <c r="T610" s="1" t="str" cm="1">
        <f t="array" ref="T610">_xlfn.LET(_xlpm.cd,INDEX($S:$S,ROW()),IF(_xlpm.cd="","",IFERROR(_xlfn.XLOOKUP(_xlpm.cd,CostData!$C$22:$C$1000,CostData!$E$22:$E$1000,""),"")))</f>
        <v/>
      </c>
      <c r="V610" s="1" t="str" cm="1">
        <f t="array" ref="V610">IFERROR(_xlfn.XLOOKUP(1,(TRIM(CostData!$B$22:$B$1000)="Aluminium")*(TRIM(CostData!$C$22:$C$1000)="CWS")*(TRIM(CostData!$E$22:$E$1000)=TRIM($S610)),_xlfn.SWITCH(TRIM(Enginuity!$A$19),"N/A",CostData!$H$22:$H$1000,"M/B",CostData!$I$22:$I$1000,"P/C",CostData!$J$22:$J$1000,"W/G",CostData!$K$22:$K$1000,""),""),"")</f>
        <v/>
      </c>
      <c r="W610" s="400" t="str" cm="1">
        <f t="array" ref="W61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1" spans="1:23" x14ac:dyDescent="0.25">
      <c r="A611" s="275" t="s">
        <v>254</v>
      </c>
      <c r="C611" s="370" t="s">
        <v>1935</v>
      </c>
      <c r="P611" s="1" t="str" cm="1">
        <f t="array" ref="P6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1" s="1" t="str" cm="1">
        <f t="array" ref="Q611">_xlfn.LET(_xlpm.cd,INDEX($S:$S,ROW()),IF(_xlpm.cd="","",IFERROR(_xlfn.XLOOKUP(_xlpm.cd,CostData!$C$22:$C$1000,CostData!$B$22:$B$1000,""),"")))</f>
        <v/>
      </c>
      <c r="T611" s="1" t="str" cm="1">
        <f t="array" ref="T611">_xlfn.LET(_xlpm.cd,INDEX($S:$S,ROW()),IF(_xlpm.cd="","",IFERROR(_xlfn.XLOOKUP(_xlpm.cd,CostData!$C$22:$C$1000,CostData!$E$22:$E$1000,""),"")))</f>
        <v/>
      </c>
      <c r="V611" s="1" t="str" cm="1">
        <f t="array" ref="V611">IFERROR(_xlfn.XLOOKUP(1,(TRIM(CostData!$B$22:$B$1000)="Aluminium")*(TRIM(CostData!$C$22:$C$1000)="CWS")*(TRIM(CostData!$E$22:$E$1000)=TRIM($S611)),_xlfn.SWITCH(TRIM(Enginuity!$A$19),"N/A",CostData!$H$22:$H$1000,"M/B",CostData!$I$22:$I$1000,"P/C",CostData!$J$22:$J$1000,"W/G",CostData!$K$22:$K$1000,""),""),"")</f>
        <v/>
      </c>
      <c r="W611" s="400" t="str" cm="1">
        <f t="array" ref="W6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2" spans="1:23" x14ac:dyDescent="0.25">
      <c r="A612" s="275" t="s">
        <v>254</v>
      </c>
      <c r="C612" s="370" t="s">
        <v>1935</v>
      </c>
      <c r="P612" s="1" t="str" cm="1">
        <f t="array" ref="P6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2" s="1" t="str" cm="1">
        <f t="array" ref="Q612">_xlfn.LET(_xlpm.cd,INDEX($S:$S,ROW()),IF(_xlpm.cd="","",IFERROR(_xlfn.XLOOKUP(_xlpm.cd,CostData!$C$22:$C$1000,CostData!$B$22:$B$1000,""),"")))</f>
        <v/>
      </c>
      <c r="T612" s="1" t="str" cm="1">
        <f t="array" ref="T612">_xlfn.LET(_xlpm.cd,INDEX($S:$S,ROW()),IF(_xlpm.cd="","",IFERROR(_xlfn.XLOOKUP(_xlpm.cd,CostData!$C$22:$C$1000,CostData!$E$22:$E$1000,""),"")))</f>
        <v/>
      </c>
      <c r="V612" s="1" t="str" cm="1">
        <f t="array" ref="V612">IFERROR(_xlfn.XLOOKUP(1,(TRIM(CostData!$B$22:$B$1000)="Aluminium")*(TRIM(CostData!$C$22:$C$1000)="CWS")*(TRIM(CostData!$E$22:$E$1000)=TRIM($S612)),_xlfn.SWITCH(TRIM(Enginuity!$A$19),"N/A",CostData!$H$22:$H$1000,"M/B",CostData!$I$22:$I$1000,"P/C",CostData!$J$22:$J$1000,"W/G",CostData!$K$22:$K$1000,""),""),"")</f>
        <v/>
      </c>
      <c r="W612" s="400" t="str" cm="1">
        <f t="array" ref="W6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3" spans="1:23" x14ac:dyDescent="0.25">
      <c r="A613" s="275" t="s">
        <v>254</v>
      </c>
      <c r="C613" s="370" t="s">
        <v>1935</v>
      </c>
      <c r="P613" s="1" t="str" cm="1">
        <f t="array" ref="P6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3" s="1" t="str" cm="1">
        <f t="array" ref="Q613">_xlfn.LET(_xlpm.cd,INDEX($S:$S,ROW()),IF(_xlpm.cd="","",IFERROR(_xlfn.XLOOKUP(_xlpm.cd,CostData!$C$22:$C$1000,CostData!$B$22:$B$1000,""),"")))</f>
        <v/>
      </c>
      <c r="T613" s="1" t="str" cm="1">
        <f t="array" ref="T613">_xlfn.LET(_xlpm.cd,INDEX($S:$S,ROW()),IF(_xlpm.cd="","",IFERROR(_xlfn.XLOOKUP(_xlpm.cd,CostData!$C$22:$C$1000,CostData!$E$22:$E$1000,""),"")))</f>
        <v/>
      </c>
      <c r="V613" s="1" t="str" cm="1">
        <f t="array" ref="V613">IFERROR(_xlfn.XLOOKUP(1,(TRIM(CostData!$B$22:$B$1000)="Aluminium")*(TRIM(CostData!$C$22:$C$1000)="CWS")*(TRIM(CostData!$E$22:$E$1000)=TRIM($S613)),_xlfn.SWITCH(TRIM(Enginuity!$A$19),"N/A",CostData!$H$22:$H$1000,"M/B",CostData!$I$22:$I$1000,"P/C",CostData!$J$22:$J$1000,"W/G",CostData!$K$22:$K$1000,""),""),"")</f>
        <v/>
      </c>
      <c r="W613" s="400" t="str" cm="1">
        <f t="array" ref="W6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4" spans="1:23" x14ac:dyDescent="0.25">
      <c r="A614" s="275" t="s">
        <v>254</v>
      </c>
      <c r="C614" s="370" t="s">
        <v>1935</v>
      </c>
      <c r="P614" s="1" t="str" cm="1">
        <f t="array" ref="P6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4" s="1" t="str" cm="1">
        <f t="array" ref="Q614">_xlfn.LET(_xlpm.cd,INDEX($S:$S,ROW()),IF(_xlpm.cd="","",IFERROR(_xlfn.XLOOKUP(_xlpm.cd,CostData!$C$22:$C$1000,CostData!$B$22:$B$1000,""),"")))</f>
        <v/>
      </c>
      <c r="T614" s="1" t="str" cm="1">
        <f t="array" ref="T614">_xlfn.LET(_xlpm.cd,INDEX($S:$S,ROW()),IF(_xlpm.cd="","",IFERROR(_xlfn.XLOOKUP(_xlpm.cd,CostData!$C$22:$C$1000,CostData!$E$22:$E$1000,""),"")))</f>
        <v/>
      </c>
      <c r="V614" s="1" t="str" cm="1">
        <f t="array" ref="V614">IFERROR(_xlfn.XLOOKUP(1,(TRIM(CostData!$B$22:$B$1000)="Aluminium")*(TRIM(CostData!$C$22:$C$1000)="CWS")*(TRIM(CostData!$E$22:$E$1000)=TRIM($S614)),_xlfn.SWITCH(TRIM(Enginuity!$A$19),"N/A",CostData!$H$22:$H$1000,"M/B",CostData!$I$22:$I$1000,"P/C",CostData!$J$22:$J$1000,"W/G",CostData!$K$22:$K$1000,""),""),"")</f>
        <v/>
      </c>
      <c r="W614" s="400" t="str" cm="1">
        <f t="array" ref="W6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5" spans="1:23" x14ac:dyDescent="0.25">
      <c r="A615" s="275" t="s">
        <v>254</v>
      </c>
      <c r="C615" s="370" t="s">
        <v>1935</v>
      </c>
      <c r="P615" s="1" t="str" cm="1">
        <f t="array" ref="P6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5" s="1" t="str" cm="1">
        <f t="array" ref="Q615">_xlfn.LET(_xlpm.cd,INDEX($S:$S,ROW()),IF(_xlpm.cd="","",IFERROR(_xlfn.XLOOKUP(_xlpm.cd,CostData!$C$22:$C$1000,CostData!$B$22:$B$1000,""),"")))</f>
        <v/>
      </c>
      <c r="T615" s="1" t="str" cm="1">
        <f t="array" ref="T615">_xlfn.LET(_xlpm.cd,INDEX($S:$S,ROW()),IF(_xlpm.cd="","",IFERROR(_xlfn.XLOOKUP(_xlpm.cd,CostData!$C$22:$C$1000,CostData!$E$22:$E$1000,""),"")))</f>
        <v/>
      </c>
      <c r="V615" s="1" t="str" cm="1">
        <f t="array" ref="V615">IFERROR(_xlfn.XLOOKUP(1,(TRIM(CostData!$B$22:$B$1000)="Aluminium")*(TRIM(CostData!$C$22:$C$1000)="CWS")*(TRIM(CostData!$E$22:$E$1000)=TRIM($S615)),_xlfn.SWITCH(TRIM(Enginuity!$A$19),"N/A",CostData!$H$22:$H$1000,"M/B",CostData!$I$22:$I$1000,"P/C",CostData!$J$22:$J$1000,"W/G",CostData!$K$22:$K$1000,""),""),"")</f>
        <v/>
      </c>
      <c r="W615" s="400" t="str" cm="1">
        <f t="array" ref="W6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6" spans="1:23" x14ac:dyDescent="0.25">
      <c r="A616" s="275" t="s">
        <v>254</v>
      </c>
      <c r="C616" s="370" t="s">
        <v>1935</v>
      </c>
      <c r="P616" s="1" t="str" cm="1">
        <f t="array" ref="P6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6" s="1" t="str" cm="1">
        <f t="array" ref="Q616">_xlfn.LET(_xlpm.cd,INDEX($S:$S,ROW()),IF(_xlpm.cd="","",IFERROR(_xlfn.XLOOKUP(_xlpm.cd,CostData!$C$22:$C$1000,CostData!$B$22:$B$1000,""),"")))</f>
        <v/>
      </c>
      <c r="T616" s="1" t="str" cm="1">
        <f t="array" ref="T616">_xlfn.LET(_xlpm.cd,INDEX($S:$S,ROW()),IF(_xlpm.cd="","",IFERROR(_xlfn.XLOOKUP(_xlpm.cd,CostData!$C$22:$C$1000,CostData!$E$22:$E$1000,""),"")))</f>
        <v/>
      </c>
      <c r="V616" s="1" t="str" cm="1">
        <f t="array" ref="V616">IFERROR(_xlfn.XLOOKUP(1,(TRIM(CostData!$B$22:$B$1000)="Aluminium")*(TRIM(CostData!$C$22:$C$1000)="CWS")*(TRIM(CostData!$E$22:$E$1000)=TRIM($S616)),_xlfn.SWITCH(TRIM(Enginuity!$A$19),"N/A",CostData!$H$22:$H$1000,"M/B",CostData!$I$22:$I$1000,"P/C",CostData!$J$22:$J$1000,"W/G",CostData!$K$22:$K$1000,""),""),"")</f>
        <v/>
      </c>
      <c r="W616" s="400" t="str" cm="1">
        <f t="array" ref="W61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7" spans="1:23" x14ac:dyDescent="0.25">
      <c r="A617" s="275" t="s">
        <v>254</v>
      </c>
      <c r="C617" s="370" t="s">
        <v>1935</v>
      </c>
      <c r="P617" s="1" t="str" cm="1">
        <f t="array" ref="P6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7" s="1" t="s">
        <v>1833</v>
      </c>
      <c r="R617" s="16" t="str">
        <f>IF($T617="","","⬒ "&amp;$T617)</f>
        <v>⬒ Z-Louvre Blade - 5"</v>
      </c>
      <c r="T617" s="1" t="str">
        <f>IF(Enginuity!$A$20="","",Enginuity!$A$20)</f>
        <v>Z-Louvre Blade - 5"</v>
      </c>
      <c r="U617" s="1" t="s">
        <v>121</v>
      </c>
      <c r="V617" s="1">
        <f>IF(Enginuity!$B$9="","",Enginuity!$B$9)</f>
        <v>260</v>
      </c>
      <c r="W617" s="400">
        <f>IFERROR(INDEX(CostData!$Q$3:$Q$12,MATCH(TRIM(Enginuity!$A$20),CostData!$P$3:$P$12,0)),"")</f>
        <v>32.037384615384617</v>
      </c>
    </row>
    <row r="618" spans="1:23" x14ac:dyDescent="0.25">
      <c r="A618" s="275" t="s">
        <v>254</v>
      </c>
      <c r="C618" s="370" t="s">
        <v>1935</v>
      </c>
      <c r="P618" s="1" t="str" cm="1">
        <f t="array" ref="P6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18" s="1" t="str" cm="1">
        <f t="array" ref="V618">IFERROR(_xlfn.XLOOKUP(1,(TRIM(CostData!$B$22:$B$1000)="Aluminium")*(TRIM(CostData!$C$22:$C$1000)="CWS")*(TRIM(CostData!$E$22:$E$1000)=TRIM($S618)),_xlfn.SWITCH(TRIM(Enginuity!$A$19),"N/A",CostData!$H$22:$H$1000,"M/B",CostData!$I$22:$I$1000,"P/C",CostData!$J$22:$J$1000,"W/G",CostData!$K$22:$K$1000,""),""),"")</f>
        <v/>
      </c>
      <c r="W618" s="400" t="str" cm="1">
        <f t="array" ref="W618">IF(OR(TRIM(CalcEngine!$A618)&lt;&gt;TRIM(Enginuity!$A$1),TRIM(CalcEngine!$C618)&lt;&gt;TRIM(Enginuity!$A$18),CalcEngine!$V618="",CalcEngine!$V618=0),"",IFERROR(_xlfn.XLOOKUP(1,(TRIM(CostData!$B$22:$B$1000)="Aluminium")*(TRIM(CostData!$C$22:$C$1000)="CWS")*(TRIM(CostData!$E$22:$E$1000)=TRIM(CalcEngine!$T618)),_xlfn.SWITCH(TRIM(Enginuity!$A$19),"N/A",CostData!$H$22:$H$1000,"M/B",CostData!$I$22:$I$1000,"P/C",CostData!$J$22:$J$1000,"W/G",CostData!$K$22:$K$1000,""),""),""))</f>
        <v/>
      </c>
    </row>
    <row r="619" spans="1:23" x14ac:dyDescent="0.25">
      <c r="A619" s="275" t="s">
        <v>254</v>
      </c>
      <c r="C619" s="370" t="s">
        <v>1935</v>
      </c>
      <c r="P619" s="1" t="str" cm="1">
        <f t="array" ref="P6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19" s="1" t="str" cm="1">
        <f t="array" ref="V619">IFERROR(_xlfn.XLOOKUP(1,(TRIM(CostData!$B$22:$B$1000)="Aluminium")*(TRIM(CostData!$C$22:$C$1000)="CWS")*(TRIM(CostData!$E$22:$E$1000)=TRIM($S619)),_xlfn.SWITCH(TRIM(Enginuity!$A$19),"N/A",CostData!$H$22:$H$1000,"M/B",CostData!$I$22:$I$1000,"P/C",CostData!$J$22:$J$1000,"W/G",CostData!$K$22:$K$1000,""),""),"")</f>
        <v/>
      </c>
      <c r="W619" s="400" t="str" cm="1">
        <f t="array" ref="W619">IF(OR(TRIM(CalcEngine!$A619)&lt;&gt;TRIM(Enginuity!$A$1),TRIM(CalcEngine!$C619)&lt;&gt;TRIM(Enginuity!$A$18),CalcEngine!$V619="",CalcEngine!$V619=0),"",IFERROR(_xlfn.XLOOKUP(1,(TRIM(CostData!$B$22:$B$1000)="Aluminium")*(TRIM(CostData!$C$22:$C$1000)="CWS")*(TRIM(CostData!$E$22:$E$1000)=TRIM(CalcEngine!$T619)),_xlfn.SWITCH(TRIM(Enginuity!$A$19),"N/A",CostData!$H$22:$H$1000,"M/B",CostData!$I$22:$I$1000,"P/C",CostData!$J$22:$J$1000,"W/G",CostData!$K$22:$K$1000,""),""),""))</f>
        <v/>
      </c>
    </row>
    <row r="620" spans="1:23" x14ac:dyDescent="0.25">
      <c r="A620" s="275" t="s">
        <v>254</v>
      </c>
      <c r="C620" s="370" t="s">
        <v>1935</v>
      </c>
      <c r="P620" s="1" t="str" cm="1">
        <f t="array" ref="P6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20" s="1" t="str" cm="1">
        <f t="array" ref="V620">IFERROR(_xlfn.XLOOKUP(1,(TRIM(CostData!$B$22:$B$1000)="Aluminium")*(TRIM(CostData!$C$22:$C$1000)="CWS")*(TRIM(CostData!$E$22:$E$1000)=TRIM($S620)),_xlfn.SWITCH(TRIM(Enginuity!$A$19),"N/A",CostData!$H$22:$H$1000,"M/B",CostData!$I$22:$I$1000,"P/C",CostData!$J$22:$J$1000,"W/G",CostData!$K$22:$K$1000,""),""),"")</f>
        <v/>
      </c>
      <c r="W620" s="400" t="str" cm="1">
        <f t="array" ref="W620">IF(OR(TRIM(CalcEngine!$A620)&lt;&gt;TRIM(Enginuity!$A$1),TRIM(CalcEngine!$C620)&lt;&gt;TRIM(Enginuity!$A$18),CalcEngine!$V620="",CalcEngine!$V620=0),"",IFERROR(_xlfn.XLOOKUP(1,(TRIM(CostData!$B$22:$B$1000)="Aluminium")*(TRIM(CostData!$C$22:$C$1000)="CWS")*(TRIM(CostData!$E$22:$E$1000)=TRIM(CalcEngine!$T620)),_xlfn.SWITCH(TRIM(Enginuity!$A$19),"N/A",CostData!$H$22:$H$1000,"M/B",CostData!$I$22:$I$1000,"P/C",CostData!$J$22:$J$1000,"W/G",CostData!$K$22:$K$1000,""),""),""))</f>
        <v/>
      </c>
    </row>
    <row r="621" spans="1:23" x14ac:dyDescent="0.25">
      <c r="A621" s="275" t="s">
        <v>254</v>
      </c>
      <c r="C621" s="370" t="s">
        <v>1935</v>
      </c>
      <c r="P621" s="1" t="str" cm="1">
        <f t="array" ref="P6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21" s="1" t="str" cm="1">
        <f t="array" ref="V621">IFERROR(_xlfn.XLOOKUP(1,(TRIM(CostData!$B$22:$B$1000)="Aluminium")*(TRIM(CostData!$C$22:$C$1000)="CWS")*(TRIM(CostData!$E$22:$E$1000)=TRIM($S621)),_xlfn.SWITCH(TRIM(Enginuity!$A$19),"N/A",CostData!$H$22:$H$1000,"M/B",CostData!$I$22:$I$1000,"P/C",CostData!$J$22:$J$1000,"W/G",CostData!$K$22:$K$1000,""),""),"")</f>
        <v/>
      </c>
      <c r="W621" s="400" t="str" cm="1">
        <f t="array" ref="W621">IF(OR(TRIM(CalcEngine!$A621)&lt;&gt;TRIM(Enginuity!$A$1),TRIM(CalcEngine!$C621)&lt;&gt;TRIM(Enginuity!$A$18),CalcEngine!$V621="",CalcEngine!$V621=0),"",IFERROR(_xlfn.XLOOKUP(1,(TRIM(CostData!$B$22:$B$1000)="Aluminium")*(TRIM(CostData!$C$22:$C$1000)="CWS")*(TRIM(CostData!$E$22:$E$1000)=TRIM(CalcEngine!$T621)),_xlfn.SWITCH(TRIM(Enginuity!$A$19),"N/A",CostData!$H$22:$H$1000,"M/B",CostData!$I$22:$I$1000,"P/C",CostData!$J$22:$J$1000,"W/G",CostData!$K$22:$K$1000,""),""),""))</f>
        <v/>
      </c>
    </row>
    <row r="622" spans="1:23" x14ac:dyDescent="0.25">
      <c r="A622" s="275" t="s">
        <v>254</v>
      </c>
      <c r="C622" s="370" t="s">
        <v>1935</v>
      </c>
      <c r="P622" s="1" t="str" cm="1">
        <f t="array" ref="P6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622" s="400"/>
    </row>
    <row r="623" spans="1:23" x14ac:dyDescent="0.25">
      <c r="A623" s="275" t="s">
        <v>254</v>
      </c>
      <c r="C623" s="370" t="s">
        <v>1935</v>
      </c>
      <c r="P623" s="1" t="str" cm="1">
        <f t="array" ref="P6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3" s="1" t="str">
        <f>IF($S623="","",IFERROR(_xlfn.XLOOKUP($S623,CostData!$U$22:$U$1000,CostData!$T$22:$T$1000,""),""))</f>
        <v>Hinge</v>
      </c>
      <c r="R623" s="16" t="str">
        <f>IF($S623="","",$T623)</f>
        <v>Hung Friction Stay</v>
      </c>
      <c r="S623" s="24" t="s">
        <v>1880</v>
      </c>
      <c r="T623" s="1" t="str" cm="1">
        <f t="array" ref="T623">_xlfn.LET(_xlpm.cd,INDEX($S:$S,ROW()),IF(_xlpm.cd="","",IFERROR(_xlfn.XLOOKUP(_xlpm.cd,CostData!$U$22:$U$1000,CostData!$W$22:$W$1000,""),"")))</f>
        <v>Hung Friction Stay</v>
      </c>
      <c r="U623" s="1" t="str">
        <f>IF($S623="","",IFERROR(_xlfn.XLOOKUP($S623,CostData!$U$22:$U$1000,CostData!$AA$22:$AA$1000,""),""))</f>
        <v>Pair</v>
      </c>
      <c r="V623" s="1" t="str" cm="1">
        <f t="array" ref="V62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623" s="400" t="str" cm="1">
        <f t="array" ref="W62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24" spans="1:23" x14ac:dyDescent="0.25">
      <c r="A624" s="275" t="s">
        <v>254</v>
      </c>
      <c r="C624" s="370" t="s">
        <v>1935</v>
      </c>
      <c r="P624" s="1" t="str" cm="1">
        <f t="array" ref="P6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4" s="1" t="str">
        <f>IF($S624="","",IFERROR(_xlfn.XLOOKUP($S624,CostData!$U$22:$U$1000,CostData!$T$22:$T$1000,""),""))</f>
        <v>Hinge</v>
      </c>
      <c r="R624" s="16" t="str">
        <f>IF($S624="","",$T624)</f>
        <v>Casement Friction Stay</v>
      </c>
      <c r="S624" s="24" t="s">
        <v>1879</v>
      </c>
      <c r="T624" s="1" t="str" cm="1">
        <f t="array" ref="T624">_xlfn.LET(_xlpm.cd,INDEX($S:$S,ROW()),IF(_xlpm.cd="","",IFERROR(_xlfn.XLOOKUP(_xlpm.cd,CostData!$U$22:$U$1000,CostData!$W$22:$W$1000,""),"")))</f>
        <v>Casement Friction Stay</v>
      </c>
      <c r="U624" s="1" t="str">
        <f>IF($S624="","",IFERROR(_xlfn.XLOOKUP($S624,CostData!$U$22:$U$1000,CostData!$AA$22:$AA$1000,""),""))</f>
        <v>Pair</v>
      </c>
      <c r="V624" s="1">
        <f>IF(Enginuity!$B$13&gt;0,Enginuity!$B$13,"")</f>
        <v>7</v>
      </c>
      <c r="W624" s="400" t="str" cm="1">
        <f t="array" ref="W62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25" spans="1:23" x14ac:dyDescent="0.25">
      <c r="A625" s="275" t="s">
        <v>254</v>
      </c>
      <c r="C625" s="370" t="s">
        <v>1935</v>
      </c>
      <c r="P625" s="1" t="str" cm="1">
        <f t="array" ref="P6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5" s="1" t="str">
        <f>IF($S625="","",IFERROR(_xlfn.XLOOKUP($S625,CostData!$U$22:$U$1000,CostData!$T$22:$T$1000,""),""))</f>
        <v>Handle</v>
      </c>
      <c r="R625" s="16" t="str">
        <f>IF($S625="","",$T625)</f>
        <v>Casement Handle</v>
      </c>
      <c r="S625" s="24" t="s">
        <v>113</v>
      </c>
      <c r="T625" s="1" t="str" cm="1">
        <f t="array" ref="T625">_xlfn.LET(_xlpm.cd,INDEX($S:$S,ROW()),IF(_xlpm.cd="","",IFERROR(_xlfn.XLOOKUP(_xlpm.cd,CostData!$U$22:$U$1000,CostData!$W$22:$W$1000,""),"")))</f>
        <v>Casement Handle</v>
      </c>
      <c r="U625" s="1" t="str">
        <f>IF($S625="","",IFERROR(_xlfn.XLOOKUP($S625,CostData!$U$22:$U$1000,CostData!$AA$22:$AA$1000,""),""))</f>
        <v>Pcs</v>
      </c>
      <c r="V625" s="1" cm="1">
        <f t="array" ref="V62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7</v>
      </c>
      <c r="W625" s="400" t="str" cm="1">
        <f t="array" ref="W62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26" spans="1:23" x14ac:dyDescent="0.25">
      <c r="A626" s="275" t="s">
        <v>254</v>
      </c>
      <c r="C626" s="370" t="s">
        <v>1935</v>
      </c>
      <c r="P626" s="1" t="str" cm="1">
        <f t="array" ref="P6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6" s="1" t="str">
        <f>IF($S626="","",IFERROR(_xlfn.XLOOKUP($S626,CostData!$U$22:$U$1000,CostData!$T$22:$T$1000,""),""))</f>
        <v>Black Tape</v>
      </c>
      <c r="R626" s="16" t="str">
        <f>IF($S626="","",$T626)</f>
        <v>2.5" x 2 Black Tape</v>
      </c>
      <c r="S626" s="24" t="s">
        <v>1898</v>
      </c>
      <c r="T626" s="1" t="str" cm="1">
        <f t="array" ref="T626">_xlfn.LET(_xlpm.cd,INDEX($S:$S,ROW()),IF(_xlpm.cd="","",IFERROR(_xlfn.XLOOKUP(_xlpm.cd,CostData!$U$22:$U$1000,CostData!$W$22:$W$1000,""),"")))</f>
        <v>2.5" x 2 Black Tape</v>
      </c>
      <c r="U626" s="1" t="str">
        <f>IF($S626="","",IFERROR(_xlfn.XLOOKUP($S626,CostData!$U$22:$U$1000,CostData!$AA$22:$AA$1000,""),""))</f>
        <v>Ft</v>
      </c>
      <c r="V626" s="1">
        <f>IF(SUM($V$61:$V$64)=0,"",SUM($V$61:$V$64))</f>
        <v>560</v>
      </c>
      <c r="W626" s="400" t="str" cm="1">
        <f t="array" ref="W62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27" spans="1:23" x14ac:dyDescent="0.25">
      <c r="A627" s="275" t="s">
        <v>254</v>
      </c>
      <c r="C627" s="370" t="s">
        <v>1935</v>
      </c>
      <c r="P627" s="1" t="str" cm="1">
        <f t="array" ref="P6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7" s="1" t="str">
        <f>IF($S627="","",IFERROR(_xlfn.XLOOKUP($S627,CostData!$U$22:$U$1000,CostData!$T$22:$T$1000,""),""))</f>
        <v>Gasket</v>
      </c>
      <c r="R627" s="16" t="s">
        <v>1931</v>
      </c>
      <c r="S627" s="24" t="s">
        <v>1912</v>
      </c>
      <c r="T627" s="1" t="str" cm="1">
        <f t="array" ref="T627">_xlfn.LET(_xlpm.cd,INDEX($S:$S,ROW()),IF(_xlpm.cd="","",IFERROR(_xlfn.XLOOKUP(_xlpm.cd,CostData!$U$22:$U$1000,CostData!$W$22:$W$1000,""),"")))</f>
        <v>F18 Gasket</v>
      </c>
      <c r="U627" s="1" t="str">
        <f>IF($S627="","",IFERROR(_xlfn.XLOOKUP($S627,CostData!$U$22:$U$1000,CostData!$AA$22:$AA$1000,""),""))</f>
        <v>Ft</v>
      </c>
      <c r="V627" s="1">
        <f>IF($V$61="","",$V$61)</f>
        <v>260</v>
      </c>
      <c r="W627" s="400" t="str" cm="1">
        <f t="array" ref="W62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28" spans="1:23" x14ac:dyDescent="0.25">
      <c r="A628" s="275" t="s">
        <v>254</v>
      </c>
      <c r="C628" s="370" t="s">
        <v>1935</v>
      </c>
      <c r="P628" s="1" t="str" cm="1">
        <f t="array" ref="P6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8" s="1" t="str">
        <f>IF($S628="","",IFERROR(_xlfn.XLOOKUP($S628,CostData!$U$22:$U$1000,CostData!$T$22:$T$1000,""),""))</f>
        <v>Gasket</v>
      </c>
      <c r="R628" s="16" t="s">
        <v>1932</v>
      </c>
      <c r="S628" s="24" t="s">
        <v>1916</v>
      </c>
      <c r="T628" s="1" t="str" cm="1">
        <f t="array" ref="T628">_xlfn.LET(_xlpm.cd,INDEX($S:$S,ROW()),IF(_xlpm.cd="","",IFERROR(_xlfn.XLOOKUP(_xlpm.cd,CostData!$U$22:$U$1000,CostData!$W$22:$W$1000,""),"")))</f>
        <v>F16S Gasket</v>
      </c>
      <c r="U628" s="1" t="str">
        <f>IF($S628="","",IFERROR(_xlfn.XLOOKUP($S628,CostData!$U$22:$U$1000,CostData!$AA$22:$AA$1000,""),""))</f>
        <v>Ft</v>
      </c>
      <c r="V628" s="1">
        <f>IF($V$62="","",$V$62)</f>
        <v>222</v>
      </c>
      <c r="W628" s="400" t="str" cm="1">
        <f t="array" ref="W62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29" spans="1:23" x14ac:dyDescent="0.25">
      <c r="A629" s="275" t="s">
        <v>254</v>
      </c>
      <c r="C629" s="370" t="s">
        <v>1935</v>
      </c>
      <c r="P629" s="1" t="str" cm="1">
        <f t="array" ref="P6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9" s="1" t="str">
        <f>IF($S629="","",IFERROR(_xlfn.XLOOKUP($S629,CostData!$U$22:$U$1000,CostData!$T$22:$T$1000,""),""))</f>
        <v>Gasket</v>
      </c>
      <c r="R629" s="16" t="s">
        <v>1930</v>
      </c>
      <c r="S629" s="24">
        <v>6154</v>
      </c>
      <c r="T629" s="1" t="str" cm="1">
        <f t="array" ref="T629">_xlfn.LET(_xlpm.cd,INDEX($S:$S,ROW()),IF(_xlpm.cd="","",IFERROR(_xlfn.XLOOKUP(_xlpm.cd,CostData!$U$22:$U$1000,CostData!$W$22:$W$1000,""),"")))</f>
        <v>6154 Gasket</v>
      </c>
      <c r="U629" s="1" t="str">
        <f>IF($S629="","",IFERROR(_xlfn.XLOOKUP($S629,CostData!$U$22:$U$1000,CostData!$AA$22:$AA$1000,""),""))</f>
        <v>Ft</v>
      </c>
      <c r="V629" s="1">
        <f>IF($V$62="","",$V$62)</f>
        <v>222</v>
      </c>
      <c r="W629" s="400" t="str" cm="1">
        <f t="array" ref="W62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30" spans="1:23" x14ac:dyDescent="0.25">
      <c r="A630" s="412" t="s">
        <v>254</v>
      </c>
      <c r="B630" s="399"/>
      <c r="C630" s="399" t="s">
        <v>1935</v>
      </c>
      <c r="D630" s="399"/>
      <c r="E630" s="399"/>
      <c r="F630" s="399"/>
      <c r="G630" s="399"/>
      <c r="H630" s="399"/>
      <c r="I630" s="399"/>
      <c r="J630" s="399"/>
      <c r="K630" s="399"/>
      <c r="L630" s="399"/>
      <c r="M630" s="399"/>
      <c r="N630" s="399"/>
      <c r="O630" s="399"/>
      <c r="P630" s="401"/>
      <c r="Q630" s="401" t="str">
        <f>IF($S630="","",IFERROR(_xlfn.XLOOKUP($S630,CostData!$U$22:$U$1000,CostData!$T$22:$T$1000,""),""))</f>
        <v>Gasket</v>
      </c>
      <c r="R630" s="429" t="s">
        <v>1933</v>
      </c>
      <c r="S630" s="418">
        <v>6154</v>
      </c>
      <c r="T630" s="401" t="str" cm="1">
        <f t="array" ref="T630">_xlfn.LET(_xlpm.cd,INDEX($S:$S,ROW()),IF(_xlpm.cd="","",IFERROR(_xlfn.XLOOKUP(_xlpm.cd,CostData!$U$22:$U$1000,CostData!$W$22:$W$1000,""),"")))</f>
        <v>6154 Gasket</v>
      </c>
      <c r="U630" s="401" t="str">
        <f>IF($S630="","",IFERROR(_xlfn.XLOOKUP($S630,CostData!$U$22:$U$1000,CostData!$AA$22:$AA$1000,""),""))</f>
        <v>Ft</v>
      </c>
      <c r="V630" s="401">
        <f>IF(SUM($V$63:$V$64)=0,"",SUM($V$63:$V$64)*2)</f>
        <v>156</v>
      </c>
      <c r="W630" s="413" t="str" cm="1">
        <f t="array" ref="W63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31" spans="1:23" x14ac:dyDescent="0.25">
      <c r="A631" s="419" t="s">
        <v>254</v>
      </c>
      <c r="B631" s="415" t="s">
        <v>1846</v>
      </c>
      <c r="C631" s="415" t="s">
        <v>1935</v>
      </c>
      <c r="D631" s="415" t="s">
        <v>1792</v>
      </c>
      <c r="E631" s="415" t="str" cm="1">
        <f t="array" ref="E631:E640">IFERROR(INDEX(_xlfn._xlws.FILTER(CostData!$P$3:$P$12,CostData!$P$3:$P$12&lt;&gt;""),_xlfn.SEQUENCE(10)),"")</f>
        <v>Default</v>
      </c>
      <c r="F631" s="415" t="str">
        <f>"▼ [Variant]"</f>
        <v>▼ [Variant]</v>
      </c>
      <c r="G631" s="415" t="str">
        <f>"▼ [Fix - Casement]"</f>
        <v>▼ [Fix - Casement]</v>
      </c>
      <c r="H631" s="415" t="str">
        <f>"▼ [Hung Window - Casement]"</f>
        <v>▼ [Hung Window - Casement]</v>
      </c>
      <c r="I631" s="415" t="s">
        <v>1858</v>
      </c>
      <c r="J631" s="415" t="s">
        <v>1859</v>
      </c>
      <c r="K631" s="415" t="s">
        <v>1860</v>
      </c>
      <c r="L631" s="415" t="s">
        <v>1861</v>
      </c>
      <c r="M631" s="420">
        <v>0.54649999999999999</v>
      </c>
      <c r="N631" s="415">
        <v>609.6</v>
      </c>
      <c r="O631" s="415"/>
      <c r="P631" s="409" t="str" cm="1">
        <f t="array" ref="P6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1" s="409" t="str" cm="1">
        <f t="array" ref="Q631">_xlfn.LET(_xlpm.cd,INDEX($S:$S,ROW()),IF(_xlpm.cd="","",IFERROR(_xlfn.XLOOKUP(_xlpm.cd,CostData!$C$22:$C$1000,CostData!$B$22:$B$1000,""),"")))</f>
        <v>Aluminium</v>
      </c>
      <c r="R631" s="428" t="s">
        <v>1812</v>
      </c>
      <c r="S631" s="417" t="s">
        <v>1926</v>
      </c>
      <c r="T631" s="409" t="str" cm="1">
        <f t="array" ref="T631">_xlfn.LET(_xlpm.cd,INDEX($S:$S,ROW()),IF(_xlpm.cd="","",IFERROR(_xlfn.XLOOKUP(_xlpm.cd,CostData!$C$22:$C$1000,CostData!$E$22:$E$1000,""),"")))</f>
        <v>Outer</v>
      </c>
      <c r="U631" s="409" t="s">
        <v>103</v>
      </c>
      <c r="V631" s="409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W631" s="421" t="str" cm="1">
        <f t="array" ref="W6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2" spans="1:23" x14ac:dyDescent="0.25">
      <c r="A632" s="275" t="s">
        <v>254</v>
      </c>
      <c r="B632" s="370" t="s">
        <v>1848</v>
      </c>
      <c r="C632" s="370" t="s">
        <v>1935</v>
      </c>
      <c r="D632" s="370" t="s">
        <v>1814</v>
      </c>
      <c r="E632" s="370" t="str">
        <v>Z-Louvre Blade - 2"</v>
      </c>
      <c r="G632" s="370" t="s">
        <v>1866</v>
      </c>
      <c r="H632" s="370" t="s">
        <v>1866</v>
      </c>
      <c r="P632" s="1" t="str" cm="1">
        <f t="array" ref="P6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2" s="1" t="str" cm="1">
        <f t="array" ref="Q632">_xlfn.LET(_xlpm.cd,INDEX($S:$S,ROW()),IF(_xlpm.cd="","",IFERROR(_xlfn.XLOOKUP(_xlpm.cd,CostData!$C$22:$C$1000,CostData!$B$22:$B$1000,""),"")))</f>
        <v>Aluminium</v>
      </c>
      <c r="R632" s="16" t="s">
        <v>1849</v>
      </c>
      <c r="S632" s="24" t="s">
        <v>1927</v>
      </c>
      <c r="T632" s="1" t="str" cm="1">
        <f t="array" ref="T632">_xlfn.LET(_xlpm.cd,INDEX($S:$S,ROW()),IF(_xlpm.cd="","",IFERROR(_xlfn.XLOOKUP(_xlpm.cd,CostData!$C$22:$C$1000,CostData!$E$22:$E$1000,""),"")))</f>
        <v>Inner</v>
      </c>
      <c r="U632" s="1" t="s">
        <v>103</v>
      </c>
      <c r="V632" s="1" cm="1">
        <f t="array" ref="V63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222</v>
      </c>
      <c r="W632" s="400" t="str" cm="1">
        <f t="array" ref="W6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3" spans="1:23" x14ac:dyDescent="0.25">
      <c r="A633" s="275" t="s">
        <v>254</v>
      </c>
      <c r="B633" s="370" t="s">
        <v>382</v>
      </c>
      <c r="C633" s="370" t="s">
        <v>1935</v>
      </c>
      <c r="D633" s="370" t="s">
        <v>1793</v>
      </c>
      <c r="E633" s="370" t="str">
        <v>Z-Louvre Blade - 5"</v>
      </c>
      <c r="G633" s="370" t="s">
        <v>1867</v>
      </c>
      <c r="H633" s="370" t="s">
        <v>1867</v>
      </c>
      <c r="P633" s="1" t="str" cm="1">
        <f t="array" ref="P6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3" s="1" t="str" cm="1">
        <f t="array" ref="Q633">_xlfn.LET(_xlpm.cd,INDEX($S:$S,ROW()),IF(_xlpm.cd="","",IFERROR(_xlfn.XLOOKUP(_xlpm.cd,CostData!$C$22:$C$1000,CostData!$B$22:$B$1000,""),"")))</f>
        <v>Aluminium</v>
      </c>
      <c r="R633" s="16" t="s">
        <v>1863</v>
      </c>
      <c r="S633" s="24" t="s">
        <v>1928</v>
      </c>
      <c r="T633" s="1" t="str" cm="1">
        <f t="array" ref="T633">_xlfn.LET(_xlpm.cd,INDEX($S:$S,ROW()),IF(_xlpm.cd="","",IFERROR(_xlfn.XLOOKUP(_xlpm.cd,CostData!$C$22:$C$1000,CostData!$E$22:$E$1000,""),"")))</f>
        <v>Mullion</v>
      </c>
      <c r="U633" s="1" t="s">
        <v>103</v>
      </c>
      <c r="V63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78</v>
      </c>
      <c r="W633" s="400" t="str" cm="1">
        <f t="array" ref="W6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4" spans="1:23" x14ac:dyDescent="0.25">
      <c r="A634" s="275" t="s">
        <v>254</v>
      </c>
      <c r="B634" s="370" t="s">
        <v>1847</v>
      </c>
      <c r="C634" s="370" t="s">
        <v>1935</v>
      </c>
      <c r="D634" s="370" t="s">
        <v>1815</v>
      </c>
      <c r="E634" s="370" t="str">
        <v/>
      </c>
      <c r="G634" s="370" t="s">
        <v>1868</v>
      </c>
      <c r="H634" s="370" t="s">
        <v>1868</v>
      </c>
      <c r="P634" s="1" t="str" cm="1">
        <f t="array" ref="P6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4" s="1" t="str" cm="1">
        <f t="array" ref="Q634">_xlfn.LET(_xlpm.cd,INDEX($S:$S,ROW()),IF(_xlpm.cd="","",IFERROR(_xlfn.XLOOKUP(_xlpm.cd,CostData!$C$22:$C$1000,CostData!$B$22:$B$1000,""),"")))</f>
        <v>Aluminium</v>
      </c>
      <c r="R634" s="16" t="s">
        <v>1862</v>
      </c>
      <c r="S634" s="24" t="s">
        <v>1928</v>
      </c>
      <c r="T634" s="1" t="str" cm="1">
        <f t="array" ref="T634">_xlfn.LET(_xlpm.cd,INDEX($S:$S,ROW()),IF(_xlpm.cd="","",IFERROR(_xlfn.XLOOKUP(_xlpm.cd,CostData!$C$22:$C$1000,CostData!$E$22:$E$1000,""),"")))</f>
        <v>Mullion</v>
      </c>
      <c r="U634" s="1" t="s">
        <v>103</v>
      </c>
      <c r="V63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34" s="400" t="str" cm="1">
        <f t="array" ref="W6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5" spans="1:23" x14ac:dyDescent="0.25">
      <c r="A635" s="275" t="s">
        <v>254</v>
      </c>
      <c r="C635" s="370" t="s">
        <v>1935</v>
      </c>
      <c r="E635" s="370" t="str">
        <v/>
      </c>
      <c r="G635" s="370" t="s">
        <v>1869</v>
      </c>
      <c r="H635" s="370" t="s">
        <v>1869</v>
      </c>
      <c r="P635" s="1" t="str" cm="1">
        <f t="array" ref="P6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5" s="1" t="str" cm="1">
        <f t="array" ref="Q635">_xlfn.LET(_xlpm.cd,INDEX($S:$S,ROW()),IF(_xlpm.cd="","",IFERROR(_xlfn.XLOOKUP(_xlpm.cd,CostData!$C$22:$C$1000,CostData!$B$22:$B$1000,""),"")))</f>
        <v/>
      </c>
      <c r="T635" s="1" t="str" cm="1">
        <f t="array" ref="T635">_xlfn.LET(_xlpm.cd,INDEX($S:$S,ROW()),IF(_xlpm.cd="","",IFERROR(_xlfn.XLOOKUP(_xlpm.cd,CostData!$C$22:$C$1000,CostData!$E$22:$E$1000,""),"")))</f>
        <v/>
      </c>
      <c r="V635" s="1" t="str" cm="1">
        <f t="array" ref="V635">IFERROR(_xlfn.XLOOKUP(1,(TRIM(CostData!$B$22:$B$1000)="Aluminium")*(TRIM(CostData!$C$22:$C$1000)="CWS")*(TRIM(CostData!$E$22:$E$1000)=TRIM($S635)),_xlfn.SWITCH(TRIM(Enginuity!$A$19),"N/A",CostData!$H$22:$H$1000,"M/B",CostData!$I$22:$I$1000,"P/C",CostData!$J$22:$J$1000,"W/G",CostData!$K$22:$K$1000,""),""),"")</f>
        <v/>
      </c>
      <c r="W635" s="400" t="str" cm="1">
        <f t="array" ref="W6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6" spans="1:23" x14ac:dyDescent="0.25">
      <c r="A636" s="275" t="s">
        <v>254</v>
      </c>
      <c r="C636" s="370" t="s">
        <v>1935</v>
      </c>
      <c r="E636" s="370" t="str">
        <v/>
      </c>
      <c r="G636" s="370" t="s">
        <v>1870</v>
      </c>
      <c r="H636" s="370" t="s">
        <v>1870</v>
      </c>
      <c r="P636" s="1" t="str" cm="1">
        <f t="array" ref="P6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6" s="1" t="str" cm="1">
        <f t="array" ref="Q636">_xlfn.LET(_xlpm.cd,INDEX($S:$S,ROW()),IF(_xlpm.cd="","",IFERROR(_xlfn.XLOOKUP(_xlpm.cd,CostData!$C$22:$C$1000,CostData!$B$22:$B$1000,""),"")))</f>
        <v/>
      </c>
      <c r="R636" s="16" t="str">
        <f>IF(Enginuity!$A$22="","",Enginuity!$A$22&amp;" Fix Window")</f>
        <v>▼ [Lattice] Fix Window</v>
      </c>
      <c r="T636" s="1" t="str" cm="1">
        <f t="array" ref="T636">_xlfn.LET(_xlpm.cd,INDEX($S:$S,ROW()),IF(_xlpm.cd="","",IFERROR(_xlfn.XLOOKUP(_xlpm.cd,CostData!$C$22:$C$1000,CostData!$E$22:$E$1000,""),"")))</f>
        <v/>
      </c>
      <c r="U636" s="1" t="s">
        <v>176</v>
      </c>
      <c r="V636" s="1">
        <v>1</v>
      </c>
      <c r="W636" s="400" t="str">
        <f>IF(Enginuity!$A$22&lt;&gt;"",$W$4,"")</f>
        <v/>
      </c>
    </row>
    <row r="637" spans="1:23" x14ac:dyDescent="0.25">
      <c r="A637" s="275" t="s">
        <v>254</v>
      </c>
      <c r="C637" s="370" t="s">
        <v>1935</v>
      </c>
      <c r="E637" s="370" t="str">
        <v/>
      </c>
      <c r="G637" s="370" t="s">
        <v>1871</v>
      </c>
      <c r="H637" s="370" t="s">
        <v>1871</v>
      </c>
      <c r="P637" s="1" t="str" cm="1">
        <f t="array" ref="P6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7" s="1" t="str" cm="1">
        <f t="array" ref="Q637">_xlfn.LET(_xlpm.cd,INDEX($S:$S,ROW()),IF(_xlpm.cd="","",IFERROR(_xlfn.XLOOKUP(_xlpm.cd,CostData!$C$22:$C$1000,CostData!$B$22:$B$1000,""),"")))</f>
        <v/>
      </c>
      <c r="T637" s="1" t="str" cm="1">
        <f t="array" ref="T637">_xlfn.LET(_xlpm.cd,INDEX($S:$S,ROW()),IF(_xlpm.cd="","",IFERROR(_xlfn.XLOOKUP(_xlpm.cd,CostData!$C$22:$C$1000,CostData!$E$22:$E$1000,""),"")))</f>
        <v/>
      </c>
      <c r="V637" s="1" t="str" cm="1">
        <f t="array" ref="V637">IFERROR(_xlfn.XLOOKUP(1,(TRIM(CostData!$B$22:$B$1000)="Aluminium")*(TRIM(CostData!$C$22:$C$1000)="CWS")*(TRIM(CostData!$E$22:$E$1000)=TRIM($S637)),_xlfn.SWITCH(TRIM(Enginuity!$A$19),"N/A",CostData!$H$22:$H$1000,"M/B",CostData!$I$22:$I$1000,"P/C",CostData!$J$22:$J$1000,"W/G",CostData!$K$22:$K$1000,""),""),"")</f>
        <v/>
      </c>
      <c r="W637" s="400" t="str" cm="1">
        <f t="array" ref="W63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8" spans="1:23" x14ac:dyDescent="0.25">
      <c r="A638" s="275" t="s">
        <v>254</v>
      </c>
      <c r="C638" s="370" t="s">
        <v>1935</v>
      </c>
      <c r="E638" s="370" t="str">
        <v/>
      </c>
      <c r="G638" s="370" t="s">
        <v>1872</v>
      </c>
      <c r="H638" s="370" t="s">
        <v>1872</v>
      </c>
      <c r="P638" s="1" t="str" cm="1">
        <f t="array" ref="P6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8" s="1" t="str" cm="1">
        <f t="array" ref="Q638">_xlfn.LET(_xlpm.cd,INDEX($S:$S,ROW()),IF(_xlpm.cd="","",IFERROR(_xlfn.XLOOKUP(_xlpm.cd,CostData!$C$22:$C$1000,CostData!$B$22:$B$1000,""),"")))</f>
        <v/>
      </c>
      <c r="T638" s="1" t="str" cm="1">
        <f t="array" ref="T638">_xlfn.LET(_xlpm.cd,INDEX($S:$S,ROW()),IF(_xlpm.cd="","",IFERROR(_xlfn.XLOOKUP(_xlpm.cd,CostData!$C$22:$C$1000,CostData!$E$22:$E$1000,""),"")))</f>
        <v/>
      </c>
      <c r="V638" s="1" t="str" cm="1">
        <f t="array" ref="V638">IFERROR(_xlfn.XLOOKUP(1,(TRIM(CostData!$B$22:$B$1000)="Aluminium")*(TRIM(CostData!$C$22:$C$1000)="CWS")*(TRIM(CostData!$E$22:$E$1000)=TRIM($S638)),_xlfn.SWITCH(TRIM(Enginuity!$A$19),"N/A",CostData!$H$22:$H$1000,"M/B",CostData!$I$22:$I$1000,"P/C",CostData!$J$22:$J$1000,"W/G",CostData!$K$22:$K$1000,""),""),"")</f>
        <v/>
      </c>
      <c r="W638" s="400" t="str" cm="1">
        <f t="array" ref="W63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9" spans="1:23" x14ac:dyDescent="0.25">
      <c r="A639" s="275" t="s">
        <v>254</v>
      </c>
      <c r="C639" s="370" t="s">
        <v>1935</v>
      </c>
      <c r="E639" s="370" t="str">
        <v/>
      </c>
      <c r="G639" s="370" t="s">
        <v>1873</v>
      </c>
      <c r="H639" s="370" t="s">
        <v>1873</v>
      </c>
      <c r="P639" s="1" t="str" cm="1">
        <f t="array" ref="P6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9" s="1" t="str" cm="1">
        <f t="array" ref="Q639">_xlfn.LET(_xlpm.cd,INDEX($S:$S,ROW()),IF(_xlpm.cd="","",IFERROR(_xlfn.XLOOKUP(_xlpm.cd,CostData!$C$22:$C$1000,CostData!$B$22:$B$1000,""),"")))</f>
        <v/>
      </c>
      <c r="T639" s="1" t="str" cm="1">
        <f t="array" ref="T639">_xlfn.LET(_xlpm.cd,INDEX($S:$S,ROW()),IF(_xlpm.cd="","",IFERROR(_xlfn.XLOOKUP(_xlpm.cd,CostData!$C$22:$C$1000,CostData!$E$22:$E$1000,""),"")))</f>
        <v/>
      </c>
      <c r="V639" s="1" t="str" cm="1">
        <f t="array" ref="V639">IFERROR(_xlfn.XLOOKUP(1,(TRIM(CostData!$B$22:$B$1000)="Aluminium")*(TRIM(CostData!$C$22:$C$1000)="CWS")*(TRIM(CostData!$E$22:$E$1000)=TRIM($S639)),_xlfn.SWITCH(TRIM(Enginuity!$A$19),"N/A",CostData!$H$22:$H$1000,"M/B",CostData!$I$22:$I$1000,"P/C",CostData!$J$22:$J$1000,"W/G",CostData!$K$22:$K$1000,""),""),"")</f>
        <v/>
      </c>
      <c r="W639" s="400" t="str" cm="1">
        <f t="array" ref="W63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0" spans="1:23" x14ac:dyDescent="0.25">
      <c r="A640" s="275" t="s">
        <v>254</v>
      </c>
      <c r="C640" s="370" t="s">
        <v>1935</v>
      </c>
      <c r="E640" s="370" t="str">
        <v/>
      </c>
      <c r="P640" s="1" t="str" cm="1">
        <f t="array" ref="P6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0" s="1" t="str" cm="1">
        <f t="array" ref="Q640">_xlfn.LET(_xlpm.cd,INDEX($S:$S,ROW()),IF(_xlpm.cd="","",IFERROR(_xlfn.XLOOKUP(_xlpm.cd,CostData!$C$22:$C$1000,CostData!$B$22:$B$1000,""),"")))</f>
        <v/>
      </c>
      <c r="T640" s="1" t="str" cm="1">
        <f t="array" ref="T640">_xlfn.LET(_xlpm.cd,INDEX($S:$S,ROW()),IF(_xlpm.cd="","",IFERROR(_xlfn.XLOOKUP(_xlpm.cd,CostData!$C$22:$C$1000,CostData!$E$22:$E$1000,""),"")))</f>
        <v/>
      </c>
      <c r="V640" s="1" t="str" cm="1">
        <f t="array" ref="V640">IFERROR(_xlfn.XLOOKUP(1,(TRIM(CostData!$B$22:$B$1000)="Aluminium")*(TRIM(CostData!$C$22:$C$1000)="CWS")*(TRIM(CostData!$E$22:$E$1000)=TRIM($S640)),_xlfn.SWITCH(TRIM(Enginuity!$A$19),"N/A",CostData!$H$22:$H$1000,"M/B",CostData!$I$22:$I$1000,"P/C",CostData!$J$22:$J$1000,"W/G",CostData!$K$22:$K$1000,""),""),"")</f>
        <v/>
      </c>
      <c r="W640" s="400" t="str" cm="1">
        <f t="array" ref="W64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1" spans="1:23" x14ac:dyDescent="0.25">
      <c r="A641" s="275" t="s">
        <v>254</v>
      </c>
      <c r="C641" s="370" t="s">
        <v>1935</v>
      </c>
      <c r="P641" s="1" t="str" cm="1">
        <f t="array" ref="P6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1" s="1" t="str" cm="1">
        <f t="array" ref="Q641">_xlfn.LET(_xlpm.cd,INDEX($S:$S,ROW()),IF(_xlpm.cd="","",IFERROR(_xlfn.XLOOKUP(_xlpm.cd,CostData!$C$22:$C$1000,CostData!$B$22:$B$1000,""),"")))</f>
        <v/>
      </c>
      <c r="T641" s="1" t="str" cm="1">
        <f t="array" ref="T641">_xlfn.LET(_xlpm.cd,INDEX($S:$S,ROW()),IF(_xlpm.cd="","",IFERROR(_xlfn.XLOOKUP(_xlpm.cd,CostData!$C$22:$C$1000,CostData!$E$22:$E$1000,""),"")))</f>
        <v/>
      </c>
      <c r="V641" s="1" t="str" cm="1">
        <f t="array" ref="V641">IFERROR(_xlfn.XLOOKUP(1,(TRIM(CostData!$B$22:$B$1000)="Aluminium")*(TRIM(CostData!$C$22:$C$1000)="CWS")*(TRIM(CostData!$E$22:$E$1000)=TRIM($S641)),_xlfn.SWITCH(TRIM(Enginuity!$A$19),"N/A",CostData!$H$22:$H$1000,"M/B",CostData!$I$22:$I$1000,"P/C",CostData!$J$22:$J$1000,"W/G",CostData!$K$22:$K$1000,""),""),"")</f>
        <v/>
      </c>
      <c r="W641" s="400" t="str" cm="1">
        <f t="array" ref="W6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2" spans="1:23" x14ac:dyDescent="0.25">
      <c r="A642" s="275" t="s">
        <v>254</v>
      </c>
      <c r="C642" s="370" t="s">
        <v>1935</v>
      </c>
      <c r="P642" s="1" t="str" cm="1">
        <f t="array" ref="P6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2" s="1" t="str" cm="1">
        <f t="array" ref="Q642">_xlfn.LET(_xlpm.cd,INDEX($S:$S,ROW()),IF(_xlpm.cd="","",IFERROR(_xlfn.XLOOKUP(_xlpm.cd,CostData!$C$22:$C$1000,CostData!$B$22:$B$1000,""),"")))</f>
        <v/>
      </c>
      <c r="T642" s="1" t="str" cm="1">
        <f t="array" ref="T642">_xlfn.LET(_xlpm.cd,INDEX($S:$S,ROW()),IF(_xlpm.cd="","",IFERROR(_xlfn.XLOOKUP(_xlpm.cd,CostData!$C$22:$C$1000,CostData!$E$22:$E$1000,""),"")))</f>
        <v/>
      </c>
      <c r="V642" s="1" t="str" cm="1">
        <f t="array" ref="V642">IFERROR(_xlfn.XLOOKUP(1,(TRIM(CostData!$B$22:$B$1000)="Aluminium")*(TRIM(CostData!$C$22:$C$1000)="CWS")*(TRIM(CostData!$E$22:$E$1000)=TRIM($S642)),_xlfn.SWITCH(TRIM(Enginuity!$A$19),"N/A",CostData!$H$22:$H$1000,"M/B",CostData!$I$22:$I$1000,"P/C",CostData!$J$22:$J$1000,"W/G",CostData!$K$22:$K$1000,""),""),"")</f>
        <v/>
      </c>
      <c r="W642" s="400" t="str" cm="1">
        <f t="array" ref="W6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3" spans="1:23" x14ac:dyDescent="0.25">
      <c r="A643" s="275" t="s">
        <v>254</v>
      </c>
      <c r="C643" s="370" t="s">
        <v>1935</v>
      </c>
      <c r="P643" s="1" t="str" cm="1">
        <f t="array" ref="P6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3" s="1" t="str" cm="1">
        <f t="array" ref="Q643">_xlfn.LET(_xlpm.cd,INDEX($S:$S,ROW()),IF(_xlpm.cd="","",IFERROR(_xlfn.XLOOKUP(_xlpm.cd,CostData!$C$22:$C$1000,CostData!$B$22:$B$1000,""),"")))</f>
        <v/>
      </c>
      <c r="T643" s="1" t="str" cm="1">
        <f t="array" ref="T643">_xlfn.LET(_xlpm.cd,INDEX($S:$S,ROW()),IF(_xlpm.cd="","",IFERROR(_xlfn.XLOOKUP(_xlpm.cd,CostData!$C$22:$C$1000,CostData!$E$22:$E$1000,""),"")))</f>
        <v/>
      </c>
      <c r="V643" s="1" t="str" cm="1">
        <f t="array" ref="V643">IFERROR(_xlfn.XLOOKUP(1,(TRIM(CostData!$B$22:$B$1000)="Aluminium")*(TRIM(CostData!$C$22:$C$1000)="CWS")*(TRIM(CostData!$E$22:$E$1000)=TRIM($S643)),_xlfn.SWITCH(TRIM(Enginuity!$A$19),"N/A",CostData!$H$22:$H$1000,"M/B",CostData!$I$22:$I$1000,"P/C",CostData!$J$22:$J$1000,"W/G",CostData!$K$22:$K$1000,""),""),"")</f>
        <v/>
      </c>
      <c r="W643" s="400" t="str" cm="1">
        <f t="array" ref="W6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4" spans="1:23" x14ac:dyDescent="0.25">
      <c r="A644" s="275" t="s">
        <v>254</v>
      </c>
      <c r="C644" s="370" t="s">
        <v>1935</v>
      </c>
      <c r="P644" s="1" t="str" cm="1">
        <f t="array" ref="P6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4" s="1" t="str" cm="1">
        <f t="array" ref="Q644">_xlfn.LET(_xlpm.cd,INDEX($S:$S,ROW()),IF(_xlpm.cd="","",IFERROR(_xlfn.XLOOKUP(_xlpm.cd,CostData!$C$22:$C$1000,CostData!$B$22:$B$1000,""),"")))</f>
        <v/>
      </c>
      <c r="T644" s="1" t="str" cm="1">
        <f t="array" ref="T644">_xlfn.LET(_xlpm.cd,INDEX($S:$S,ROW()),IF(_xlpm.cd="","",IFERROR(_xlfn.XLOOKUP(_xlpm.cd,CostData!$C$22:$C$1000,CostData!$E$22:$E$1000,""),"")))</f>
        <v/>
      </c>
      <c r="V644" s="1" t="str" cm="1">
        <f t="array" ref="V644">IFERROR(_xlfn.XLOOKUP(1,(TRIM(CostData!$B$22:$B$1000)="Aluminium")*(TRIM(CostData!$C$22:$C$1000)="CWS")*(TRIM(CostData!$E$22:$E$1000)=TRIM($S644)),_xlfn.SWITCH(TRIM(Enginuity!$A$19),"N/A",CostData!$H$22:$H$1000,"M/B",CostData!$I$22:$I$1000,"P/C",CostData!$J$22:$J$1000,"W/G",CostData!$K$22:$K$1000,""),""),"")</f>
        <v/>
      </c>
      <c r="W644" s="400" t="str" cm="1">
        <f t="array" ref="W6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5" spans="1:23" x14ac:dyDescent="0.25">
      <c r="A645" s="275" t="s">
        <v>254</v>
      </c>
      <c r="C645" s="370" t="s">
        <v>1935</v>
      </c>
      <c r="P645" s="1" t="str" cm="1">
        <f t="array" ref="P6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5" s="1" t="str" cm="1">
        <f t="array" ref="Q645">_xlfn.LET(_xlpm.cd,INDEX($S:$S,ROW()),IF(_xlpm.cd="","",IFERROR(_xlfn.XLOOKUP(_xlpm.cd,CostData!$C$22:$C$1000,CostData!$B$22:$B$1000,""),"")))</f>
        <v/>
      </c>
      <c r="T645" s="1" t="str" cm="1">
        <f t="array" ref="T645">_xlfn.LET(_xlpm.cd,INDEX($S:$S,ROW()),IF(_xlpm.cd="","",IFERROR(_xlfn.XLOOKUP(_xlpm.cd,CostData!$C$22:$C$1000,CostData!$E$22:$E$1000,""),"")))</f>
        <v/>
      </c>
      <c r="V645" s="1" t="str" cm="1">
        <f t="array" ref="V645">IFERROR(_xlfn.XLOOKUP(1,(TRIM(CostData!$B$22:$B$1000)="Aluminium")*(TRIM(CostData!$C$22:$C$1000)="CWS")*(TRIM(CostData!$E$22:$E$1000)=TRIM($S645)),_xlfn.SWITCH(TRIM(Enginuity!$A$19),"N/A",CostData!$H$22:$H$1000,"M/B",CostData!$I$22:$I$1000,"P/C",CostData!$J$22:$J$1000,"W/G",CostData!$K$22:$K$1000,""),""),"")</f>
        <v/>
      </c>
      <c r="W645" s="400" t="str" cm="1">
        <f t="array" ref="W6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6" spans="1:23" x14ac:dyDescent="0.25">
      <c r="A646" s="275" t="s">
        <v>254</v>
      </c>
      <c r="C646" s="370" t="s">
        <v>1935</v>
      </c>
      <c r="P646" s="1" t="str" cm="1">
        <f t="array" ref="P6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6" s="1" t="str" cm="1">
        <f t="array" ref="Q646">_xlfn.LET(_xlpm.cd,INDEX($S:$S,ROW()),IF(_xlpm.cd="","",IFERROR(_xlfn.XLOOKUP(_xlpm.cd,CostData!$C$22:$C$1000,CostData!$B$22:$B$1000,""),"")))</f>
        <v/>
      </c>
      <c r="T646" s="1" t="str" cm="1">
        <f t="array" ref="T646">_xlfn.LET(_xlpm.cd,INDEX($S:$S,ROW()),IF(_xlpm.cd="","",IFERROR(_xlfn.XLOOKUP(_xlpm.cd,CostData!$C$22:$C$1000,CostData!$E$22:$E$1000,""),"")))</f>
        <v/>
      </c>
      <c r="V646" s="1" t="str" cm="1">
        <f t="array" ref="V646">IFERROR(_xlfn.XLOOKUP(1,(TRIM(CostData!$B$22:$B$1000)="Aluminium")*(TRIM(CostData!$C$22:$C$1000)="CWS")*(TRIM(CostData!$E$22:$E$1000)=TRIM($S646)),_xlfn.SWITCH(TRIM(Enginuity!$A$19),"N/A",CostData!$H$22:$H$1000,"M/B",CostData!$I$22:$I$1000,"P/C",CostData!$J$22:$J$1000,"W/G",CostData!$K$22:$K$1000,""),""),"")</f>
        <v/>
      </c>
      <c r="W646" s="400" t="str" cm="1">
        <f t="array" ref="W6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7" spans="1:23" x14ac:dyDescent="0.25">
      <c r="A647" s="275" t="s">
        <v>254</v>
      </c>
      <c r="C647" s="370" t="s">
        <v>1935</v>
      </c>
      <c r="P647" s="1" t="str" cm="1">
        <f t="array" ref="P6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7" s="1" t="s">
        <v>1833</v>
      </c>
      <c r="R647" s="16" t="str">
        <f>IF($T647="","","⬒ "&amp;$T647)</f>
        <v>⬒ Z-Louvre Blade - 5"</v>
      </c>
      <c r="T647" s="1" t="str">
        <f>IF(Enginuity!$A$20="","",Enginuity!$A$20)</f>
        <v>Z-Louvre Blade - 5"</v>
      </c>
      <c r="U647" s="1" t="s">
        <v>121</v>
      </c>
      <c r="V647" s="1">
        <f>IF(Enginuity!$B$9="","",Enginuity!$B$9)</f>
        <v>260</v>
      </c>
      <c r="W647" s="400">
        <f>IFERROR(INDEX(CostData!$Q$3:$Q$12,MATCH(TRIM(Enginuity!$A$20),CostData!$P$3:$P$12,0)),"")</f>
        <v>32.037384615384617</v>
      </c>
    </row>
    <row r="648" spans="1:23" x14ac:dyDescent="0.25">
      <c r="A648" s="275" t="s">
        <v>254</v>
      </c>
      <c r="C648" s="370" t="s">
        <v>1935</v>
      </c>
      <c r="P648" s="1" t="str" cm="1">
        <f t="array" ref="P6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48" s="1" t="str" cm="1">
        <f t="array" ref="V648">IFERROR(_xlfn.XLOOKUP(1,(TRIM(CostData!$B$22:$B$1000)="Aluminium")*(TRIM(CostData!$C$22:$C$1000)="CWS")*(TRIM(CostData!$E$22:$E$1000)=TRIM($S648)),_xlfn.SWITCH(TRIM(Enginuity!$A$19),"N/A",CostData!$H$22:$H$1000,"M/B",CostData!$I$22:$I$1000,"P/C",CostData!$J$22:$J$1000,"W/G",CostData!$K$22:$K$1000,""),""),"")</f>
        <v/>
      </c>
      <c r="W648" s="400" t="str" cm="1">
        <f t="array" ref="W648">IF(OR(TRIM(CalcEngine!$A648)&lt;&gt;TRIM(Enginuity!$A$1),TRIM(CalcEngine!$C648)&lt;&gt;TRIM(Enginuity!$A$18),CalcEngine!$V648="",CalcEngine!$V648=0),"",IFERROR(_xlfn.XLOOKUP(1,(TRIM(CostData!$B$22:$B$1000)="Aluminium")*(TRIM(CostData!$C$22:$C$1000)="CWS")*(TRIM(CostData!$E$22:$E$1000)=TRIM(CalcEngine!$T648)),_xlfn.SWITCH(TRIM(Enginuity!$A$19),"N/A",CostData!$H$22:$H$1000,"M/B",CostData!$I$22:$I$1000,"P/C",CostData!$J$22:$J$1000,"W/G",CostData!$K$22:$K$1000,""),""),""))</f>
        <v/>
      </c>
    </row>
    <row r="649" spans="1:23" x14ac:dyDescent="0.25">
      <c r="A649" s="275" t="s">
        <v>254</v>
      </c>
      <c r="C649" s="370" t="s">
        <v>1935</v>
      </c>
      <c r="P649" s="1" t="str" cm="1">
        <f t="array" ref="P6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49" s="1" t="str" cm="1">
        <f t="array" ref="V649">IFERROR(_xlfn.XLOOKUP(1,(TRIM(CostData!$B$22:$B$1000)="Aluminium")*(TRIM(CostData!$C$22:$C$1000)="CWS")*(TRIM(CostData!$E$22:$E$1000)=TRIM($S649)),_xlfn.SWITCH(TRIM(Enginuity!$A$19),"N/A",CostData!$H$22:$H$1000,"M/B",CostData!$I$22:$I$1000,"P/C",CostData!$J$22:$J$1000,"W/G",CostData!$K$22:$K$1000,""),""),"")</f>
        <v/>
      </c>
      <c r="W649" s="400" t="str" cm="1">
        <f t="array" ref="W649">IF(OR(TRIM(CalcEngine!$A649)&lt;&gt;TRIM(Enginuity!$A$1),TRIM(CalcEngine!$C649)&lt;&gt;TRIM(Enginuity!$A$18),CalcEngine!$V649="",CalcEngine!$V649=0),"",IFERROR(_xlfn.XLOOKUP(1,(TRIM(CostData!$B$22:$B$1000)="Aluminium")*(TRIM(CostData!$C$22:$C$1000)="CWS")*(TRIM(CostData!$E$22:$E$1000)=TRIM(CalcEngine!$T649)),_xlfn.SWITCH(TRIM(Enginuity!$A$19),"N/A",CostData!$H$22:$H$1000,"M/B",CostData!$I$22:$I$1000,"P/C",CostData!$J$22:$J$1000,"W/G",CostData!$K$22:$K$1000,""),""),""))</f>
        <v/>
      </c>
    </row>
    <row r="650" spans="1:23" x14ac:dyDescent="0.25">
      <c r="A650" s="275" t="s">
        <v>254</v>
      </c>
      <c r="C650" s="370" t="s">
        <v>1935</v>
      </c>
      <c r="P650" s="1" t="str" cm="1">
        <f t="array" ref="P6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50" s="1" t="str" cm="1">
        <f t="array" ref="V650">IFERROR(_xlfn.XLOOKUP(1,(TRIM(CostData!$B$22:$B$1000)="Aluminium")*(TRIM(CostData!$C$22:$C$1000)="CWS")*(TRIM(CostData!$E$22:$E$1000)=TRIM($S650)),_xlfn.SWITCH(TRIM(Enginuity!$A$19),"N/A",CostData!$H$22:$H$1000,"M/B",CostData!$I$22:$I$1000,"P/C",CostData!$J$22:$J$1000,"W/G",CostData!$K$22:$K$1000,""),""),"")</f>
        <v/>
      </c>
      <c r="W650" s="400" t="str" cm="1">
        <f t="array" ref="W650">IF(OR(TRIM(CalcEngine!$A650)&lt;&gt;TRIM(Enginuity!$A$1),TRIM(CalcEngine!$C650)&lt;&gt;TRIM(Enginuity!$A$18),CalcEngine!$V650="",CalcEngine!$V650=0),"",IFERROR(_xlfn.XLOOKUP(1,(TRIM(CostData!$B$22:$B$1000)="Aluminium")*(TRIM(CostData!$C$22:$C$1000)="CWS")*(TRIM(CostData!$E$22:$E$1000)=TRIM(CalcEngine!$T650)),_xlfn.SWITCH(TRIM(Enginuity!$A$19),"N/A",CostData!$H$22:$H$1000,"M/B",CostData!$I$22:$I$1000,"P/C",CostData!$J$22:$J$1000,"W/G",CostData!$K$22:$K$1000,""),""),""))</f>
        <v/>
      </c>
    </row>
    <row r="651" spans="1:23" x14ac:dyDescent="0.25">
      <c r="A651" s="275" t="s">
        <v>254</v>
      </c>
      <c r="C651" s="370" t="s">
        <v>1935</v>
      </c>
      <c r="P651" s="1" t="str" cm="1">
        <f t="array" ref="P6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51" s="1" t="str" cm="1">
        <f t="array" ref="V651">IFERROR(_xlfn.XLOOKUP(1,(TRIM(CostData!$B$22:$B$1000)="Aluminium")*(TRIM(CostData!$C$22:$C$1000)="CWS")*(TRIM(CostData!$E$22:$E$1000)=TRIM($S651)),_xlfn.SWITCH(TRIM(Enginuity!$A$19),"N/A",CostData!$H$22:$H$1000,"M/B",CostData!$I$22:$I$1000,"P/C",CostData!$J$22:$J$1000,"W/G",CostData!$K$22:$K$1000,""),""),"")</f>
        <v/>
      </c>
      <c r="W651" s="400" t="str" cm="1">
        <f t="array" ref="W651">IF(OR(TRIM(CalcEngine!$A651)&lt;&gt;TRIM(Enginuity!$A$1),TRIM(CalcEngine!$C651)&lt;&gt;TRIM(Enginuity!$A$18),CalcEngine!$V651="",CalcEngine!$V651=0),"",IFERROR(_xlfn.XLOOKUP(1,(TRIM(CostData!$B$22:$B$1000)="Aluminium")*(TRIM(CostData!$C$22:$C$1000)="CWS")*(TRIM(CostData!$E$22:$E$1000)=TRIM(CalcEngine!$T651)),_xlfn.SWITCH(TRIM(Enginuity!$A$19),"N/A",CostData!$H$22:$H$1000,"M/B",CostData!$I$22:$I$1000,"P/C",CostData!$J$22:$J$1000,"W/G",CostData!$K$22:$K$1000,""),""),""))</f>
        <v/>
      </c>
    </row>
    <row r="652" spans="1:23" x14ac:dyDescent="0.25">
      <c r="A652" s="275" t="s">
        <v>254</v>
      </c>
      <c r="C652" s="370" t="s">
        <v>1935</v>
      </c>
      <c r="P652" s="1" t="str" cm="1">
        <f t="array" ref="P6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652" s="400"/>
    </row>
    <row r="653" spans="1:23" x14ac:dyDescent="0.25">
      <c r="A653" s="275" t="s">
        <v>254</v>
      </c>
      <c r="C653" s="370" t="s">
        <v>1935</v>
      </c>
      <c r="P653" s="1" t="str" cm="1">
        <f t="array" ref="P6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3" s="1" t="str">
        <f>IF($S653="","",IFERROR(_xlfn.XLOOKUP($S653,CostData!$U$22:$U$1000,CostData!$T$22:$T$1000,""),""))</f>
        <v>Hinge</v>
      </c>
      <c r="R653" s="16" t="str">
        <f>IF($S653="","",$T653)</f>
        <v>Hung Friction Stay</v>
      </c>
      <c r="S653" s="24" t="s">
        <v>1880</v>
      </c>
      <c r="T653" s="1" t="str" cm="1">
        <f t="array" ref="T653">_xlfn.LET(_xlpm.cd,INDEX($S:$S,ROW()),IF(_xlpm.cd="","",IFERROR(_xlfn.XLOOKUP(_xlpm.cd,CostData!$U$22:$U$1000,CostData!$W$22:$W$1000,""),"")))</f>
        <v>Hung Friction Stay</v>
      </c>
      <c r="U653" s="1" t="str">
        <f>IF($S653="","",IFERROR(_xlfn.XLOOKUP($S653,CostData!$U$22:$U$1000,CostData!$AA$22:$AA$1000,""),""))</f>
        <v>Pair</v>
      </c>
      <c r="V653" s="1" t="str" cm="1">
        <f t="array" ref="V65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653" s="400" t="str" cm="1">
        <f t="array" ref="W65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54" spans="1:23" x14ac:dyDescent="0.25">
      <c r="A654" s="275" t="s">
        <v>254</v>
      </c>
      <c r="C654" s="370" t="s">
        <v>1935</v>
      </c>
      <c r="P654" s="1" t="str" cm="1">
        <f t="array" ref="P6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4" s="1" t="str">
        <f>IF($S654="","",IFERROR(_xlfn.XLOOKUP($S654,CostData!$U$22:$U$1000,CostData!$T$22:$T$1000,""),""))</f>
        <v>Hinge</v>
      </c>
      <c r="R654" s="16" t="str">
        <f>IF($S654="","",$T654)</f>
        <v>Casement Friction Stay</v>
      </c>
      <c r="S654" s="24" t="s">
        <v>1879</v>
      </c>
      <c r="T654" s="1" t="str" cm="1">
        <f t="array" ref="T654">_xlfn.LET(_xlpm.cd,INDEX($S:$S,ROW()),IF(_xlpm.cd="","",IFERROR(_xlfn.XLOOKUP(_xlpm.cd,CostData!$U$22:$U$1000,CostData!$W$22:$W$1000,""),"")))</f>
        <v>Casement Friction Stay</v>
      </c>
      <c r="U654" s="1" t="str">
        <f>IF($S654="","",IFERROR(_xlfn.XLOOKUP($S654,CostData!$U$22:$U$1000,CostData!$AA$22:$AA$1000,""),""))</f>
        <v>Pair</v>
      </c>
      <c r="V654" s="1">
        <f>IF(Enginuity!$B$13&gt;0,Enginuity!$B$13,"")</f>
        <v>7</v>
      </c>
      <c r="W654" s="400" t="str" cm="1">
        <f t="array" ref="W65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55" spans="1:23" x14ac:dyDescent="0.25">
      <c r="A655" s="275" t="s">
        <v>254</v>
      </c>
      <c r="C655" s="370" t="s">
        <v>1935</v>
      </c>
      <c r="P655" s="1" t="str" cm="1">
        <f t="array" ref="P6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5" s="1" t="str">
        <f>IF($S655="","",IFERROR(_xlfn.XLOOKUP($S655,CostData!$U$22:$U$1000,CostData!$T$22:$T$1000,""),""))</f>
        <v>Handle</v>
      </c>
      <c r="R655" s="16" t="str">
        <f>IF($S655="","",$T655)</f>
        <v>Casement Handle</v>
      </c>
      <c r="S655" s="24" t="s">
        <v>113</v>
      </c>
      <c r="T655" s="1" t="str" cm="1">
        <f t="array" ref="T655">_xlfn.LET(_xlpm.cd,INDEX($S:$S,ROW()),IF(_xlpm.cd="","",IFERROR(_xlfn.XLOOKUP(_xlpm.cd,CostData!$U$22:$U$1000,CostData!$W$22:$W$1000,""),"")))</f>
        <v>Casement Handle</v>
      </c>
      <c r="U655" s="1" t="str">
        <f>IF($S655="","",IFERROR(_xlfn.XLOOKUP($S655,CostData!$U$22:$U$1000,CostData!$AA$22:$AA$1000,""),""))</f>
        <v>Pcs</v>
      </c>
      <c r="V655" s="1" cm="1">
        <f t="array" ref="V65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7</v>
      </c>
      <c r="W655" s="400" t="str" cm="1">
        <f t="array" ref="W65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56" spans="1:23" x14ac:dyDescent="0.25">
      <c r="A656" s="275" t="s">
        <v>254</v>
      </c>
      <c r="C656" s="370" t="s">
        <v>1935</v>
      </c>
      <c r="P656" s="1" t="str" cm="1">
        <f t="array" ref="P6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6" s="1" t="str">
        <f>IF($S656="","",IFERROR(_xlfn.XLOOKUP($S656,CostData!$U$22:$U$1000,CostData!$T$22:$T$1000,""),""))</f>
        <v>Black Tape</v>
      </c>
      <c r="R656" s="16" t="str">
        <f>IF($S656="","",$T656)</f>
        <v>2.5" x 2 Black Tape</v>
      </c>
      <c r="S656" s="24" t="s">
        <v>1898</v>
      </c>
      <c r="T656" s="1" t="str" cm="1">
        <f t="array" ref="T656">_xlfn.LET(_xlpm.cd,INDEX($S:$S,ROW()),IF(_xlpm.cd="","",IFERROR(_xlfn.XLOOKUP(_xlpm.cd,CostData!$U$22:$U$1000,CostData!$W$22:$W$1000,""),"")))</f>
        <v>2.5" x 2 Black Tape</v>
      </c>
      <c r="U656" s="1" t="str">
        <f>IF($S656="","",IFERROR(_xlfn.XLOOKUP($S656,CostData!$U$22:$U$1000,CostData!$AA$22:$AA$1000,""),""))</f>
        <v>Ft</v>
      </c>
      <c r="V656" s="1">
        <f>IF(SUM($V$61:$V$64)=0,"",SUM($V$61:$V$64))</f>
        <v>560</v>
      </c>
      <c r="W656" s="400" t="str" cm="1">
        <f t="array" ref="W65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57" spans="1:23" x14ac:dyDescent="0.25">
      <c r="A657" s="275" t="s">
        <v>254</v>
      </c>
      <c r="C657" s="370" t="s">
        <v>1935</v>
      </c>
      <c r="P657" s="1" t="str" cm="1">
        <f t="array" ref="P6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7" s="1" t="str">
        <f>IF($S657="","",IFERROR(_xlfn.XLOOKUP($S657,CostData!$U$22:$U$1000,CostData!$T$22:$T$1000,""),""))</f>
        <v>Gasket</v>
      </c>
      <c r="R657" s="16" t="s">
        <v>1931</v>
      </c>
      <c r="S657" s="24" t="s">
        <v>1912</v>
      </c>
      <c r="T657" s="1" t="str" cm="1">
        <f t="array" ref="T657">_xlfn.LET(_xlpm.cd,INDEX($S:$S,ROW()),IF(_xlpm.cd="","",IFERROR(_xlfn.XLOOKUP(_xlpm.cd,CostData!$U$22:$U$1000,CostData!$W$22:$W$1000,""),"")))</f>
        <v>F18 Gasket</v>
      </c>
      <c r="U657" s="1" t="str">
        <f>IF($S657="","",IFERROR(_xlfn.XLOOKUP($S657,CostData!$U$22:$U$1000,CostData!$AA$22:$AA$1000,""),""))</f>
        <v>Ft</v>
      </c>
      <c r="V657" s="1">
        <f>IF($V$61="","",$V$61)</f>
        <v>260</v>
      </c>
      <c r="W657" s="400" t="str" cm="1">
        <f t="array" ref="W65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58" spans="1:23" x14ac:dyDescent="0.25">
      <c r="A658" s="275" t="s">
        <v>254</v>
      </c>
      <c r="C658" s="370" t="s">
        <v>1935</v>
      </c>
      <c r="P658" s="1" t="str" cm="1">
        <f t="array" ref="P6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8" s="1" t="str">
        <f>IF($S658="","",IFERROR(_xlfn.XLOOKUP($S658,CostData!$U$22:$U$1000,CostData!$T$22:$T$1000,""),""))</f>
        <v>Gasket</v>
      </c>
      <c r="R658" s="16" t="s">
        <v>1932</v>
      </c>
      <c r="S658" s="24" t="s">
        <v>1916</v>
      </c>
      <c r="T658" s="1" t="str" cm="1">
        <f t="array" ref="T658">_xlfn.LET(_xlpm.cd,INDEX($S:$S,ROW()),IF(_xlpm.cd="","",IFERROR(_xlfn.XLOOKUP(_xlpm.cd,CostData!$U$22:$U$1000,CostData!$W$22:$W$1000,""),"")))</f>
        <v>F16S Gasket</v>
      </c>
      <c r="U658" s="1" t="str">
        <f>IF($S658="","",IFERROR(_xlfn.XLOOKUP($S658,CostData!$U$22:$U$1000,CostData!$AA$22:$AA$1000,""),""))</f>
        <v>Ft</v>
      </c>
      <c r="V658" s="1">
        <f>IF($V$62="","",$V$62)</f>
        <v>222</v>
      </c>
      <c r="W658" s="400" t="str" cm="1">
        <f t="array" ref="W65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59" spans="1:23" x14ac:dyDescent="0.25">
      <c r="A659" s="275" t="s">
        <v>254</v>
      </c>
      <c r="C659" s="370" t="s">
        <v>1935</v>
      </c>
      <c r="P659" s="1" t="str" cm="1">
        <f t="array" ref="P6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9" s="1" t="str">
        <f>IF($S659="","",IFERROR(_xlfn.XLOOKUP($S659,CostData!$U$22:$U$1000,CostData!$T$22:$T$1000,""),""))</f>
        <v>Gasket</v>
      </c>
      <c r="R659" s="16" t="s">
        <v>1930</v>
      </c>
      <c r="S659" s="24">
        <v>6154</v>
      </c>
      <c r="T659" s="1" t="str" cm="1">
        <f t="array" ref="T659">_xlfn.LET(_xlpm.cd,INDEX($S:$S,ROW()),IF(_xlpm.cd="","",IFERROR(_xlfn.XLOOKUP(_xlpm.cd,CostData!$U$22:$U$1000,CostData!$W$22:$W$1000,""),"")))</f>
        <v>6154 Gasket</v>
      </c>
      <c r="U659" s="1" t="str">
        <f>IF($S659="","",IFERROR(_xlfn.XLOOKUP($S659,CostData!$U$22:$U$1000,CostData!$AA$22:$AA$1000,""),""))</f>
        <v>Ft</v>
      </c>
      <c r="V659" s="1">
        <f>IF($V$62="","",$V$62)</f>
        <v>222</v>
      </c>
      <c r="W659" s="400" t="str" cm="1">
        <f t="array" ref="W65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60" spans="1:23" x14ac:dyDescent="0.25">
      <c r="A660" s="412" t="s">
        <v>254</v>
      </c>
      <c r="B660" s="399"/>
      <c r="C660" s="399" t="s">
        <v>1935</v>
      </c>
      <c r="D660" s="399"/>
      <c r="E660" s="399"/>
      <c r="F660" s="399"/>
      <c r="G660" s="399"/>
      <c r="H660" s="399"/>
      <c r="I660" s="399"/>
      <c r="J660" s="399"/>
      <c r="K660" s="399"/>
      <c r="L660" s="399"/>
      <c r="M660" s="399"/>
      <c r="N660" s="399"/>
      <c r="O660" s="399"/>
      <c r="P660" s="401"/>
      <c r="Q660" s="401" t="str">
        <f>IF($S660="","",IFERROR(_xlfn.XLOOKUP($S660,CostData!$U$22:$U$1000,CostData!$T$22:$T$1000,""),""))</f>
        <v>Gasket</v>
      </c>
      <c r="R660" s="429" t="s">
        <v>1933</v>
      </c>
      <c r="S660" s="418">
        <v>6154</v>
      </c>
      <c r="T660" s="401" t="str" cm="1">
        <f t="array" ref="T660">_xlfn.LET(_xlpm.cd,INDEX($S:$S,ROW()),IF(_xlpm.cd="","",IFERROR(_xlfn.XLOOKUP(_xlpm.cd,CostData!$U$22:$U$1000,CostData!$W$22:$W$1000,""),"")))</f>
        <v>6154 Gasket</v>
      </c>
      <c r="U660" s="401" t="str">
        <f>IF($S660="","",IFERROR(_xlfn.XLOOKUP($S660,CostData!$U$22:$U$1000,CostData!$AA$22:$AA$1000,""),""))</f>
        <v>Ft</v>
      </c>
      <c r="V660" s="401">
        <f>IF(SUM($V$63:$V$64)=0,"",SUM($V$63:$V$64)*2)</f>
        <v>156</v>
      </c>
      <c r="W660" s="413" t="str" cm="1">
        <f t="array" ref="W66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61" spans="1:23" x14ac:dyDescent="0.25">
      <c r="A661" s="419" t="s">
        <v>254</v>
      </c>
      <c r="B661" s="415" t="s">
        <v>1846</v>
      </c>
      <c r="C661" s="415" t="s">
        <v>1935</v>
      </c>
      <c r="D661" s="415" t="s">
        <v>1792</v>
      </c>
      <c r="E661" s="415" t="str" cm="1">
        <f t="array" ref="E661:E670">IFERROR(INDEX(_xlfn._xlws.FILTER(CostData!$P$3:$P$12,CostData!$P$3:$P$12&lt;&gt;""),_xlfn.SEQUENCE(10)),"")</f>
        <v>Default</v>
      </c>
      <c r="F661" s="415" t="str">
        <f>"▼ [Variant]"</f>
        <v>▼ [Variant]</v>
      </c>
      <c r="G661" s="415" t="str">
        <f>"▼ [Fix - Casement]"</f>
        <v>▼ [Fix - Casement]</v>
      </c>
      <c r="H661" s="415" t="str">
        <f>"▼ [Hung Window - Casement]"</f>
        <v>▼ [Hung Window - Casement]</v>
      </c>
      <c r="I661" s="415" t="s">
        <v>1858</v>
      </c>
      <c r="J661" s="415" t="s">
        <v>1859</v>
      </c>
      <c r="K661" s="415" t="s">
        <v>1860</v>
      </c>
      <c r="L661" s="415" t="s">
        <v>1861</v>
      </c>
      <c r="M661" s="420">
        <v>0.54649999999999999</v>
      </c>
      <c r="N661" s="415">
        <v>609.6</v>
      </c>
      <c r="O661" s="415"/>
      <c r="P661" s="409" t="str" cm="1">
        <f t="array" ref="P6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1" s="409" t="str" cm="1">
        <f t="array" ref="Q661">_xlfn.LET(_xlpm.cd,INDEX($S:$S,ROW()),IF(_xlpm.cd="","",IFERROR(_xlfn.XLOOKUP(_xlpm.cd,CostData!$C$22:$C$1000,CostData!$B$22:$B$1000,""),"")))</f>
        <v>Aluminium</v>
      </c>
      <c r="R661" s="428" t="s">
        <v>1812</v>
      </c>
      <c r="S661" s="417" t="s">
        <v>1926</v>
      </c>
      <c r="T661" s="409" t="str" cm="1">
        <f t="array" ref="T661">_xlfn.LET(_xlpm.cd,INDEX($S:$S,ROW()),IF(_xlpm.cd="","",IFERROR(_xlfn.XLOOKUP(_xlpm.cd,CostData!$C$22:$C$1000,CostData!$E$22:$E$1000,""),"")))</f>
        <v>Outer</v>
      </c>
      <c r="U661" s="409" t="s">
        <v>103</v>
      </c>
      <c r="V661" s="409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W661" s="421" t="str" cm="1">
        <f t="array" ref="W6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2" spans="1:23" x14ac:dyDescent="0.25">
      <c r="A662" s="275" t="s">
        <v>254</v>
      </c>
      <c r="B662" s="370" t="s">
        <v>1848</v>
      </c>
      <c r="C662" s="370" t="s">
        <v>1935</v>
      </c>
      <c r="D662" s="370" t="s">
        <v>1814</v>
      </c>
      <c r="E662" s="370" t="str">
        <v>Z-Louvre Blade - 2"</v>
      </c>
      <c r="G662" s="370" t="s">
        <v>1866</v>
      </c>
      <c r="H662" s="370" t="s">
        <v>1866</v>
      </c>
      <c r="P662" s="1" t="str" cm="1">
        <f t="array" ref="P6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2" s="1" t="str" cm="1">
        <f t="array" ref="Q662">_xlfn.LET(_xlpm.cd,INDEX($S:$S,ROW()),IF(_xlpm.cd="","",IFERROR(_xlfn.XLOOKUP(_xlpm.cd,CostData!$C$22:$C$1000,CostData!$B$22:$B$1000,""),"")))</f>
        <v>Aluminium</v>
      </c>
      <c r="R662" s="16" t="s">
        <v>1849</v>
      </c>
      <c r="S662" s="24" t="s">
        <v>1927</v>
      </c>
      <c r="T662" s="1" t="str" cm="1">
        <f t="array" ref="T662">_xlfn.LET(_xlpm.cd,INDEX($S:$S,ROW()),IF(_xlpm.cd="","",IFERROR(_xlfn.XLOOKUP(_xlpm.cd,CostData!$C$22:$C$1000,CostData!$E$22:$E$1000,""),"")))</f>
        <v>Inner</v>
      </c>
      <c r="U662" s="1" t="s">
        <v>103</v>
      </c>
      <c r="V662" s="1" cm="1">
        <f t="array" ref="V66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222</v>
      </c>
      <c r="W662" s="400" t="str" cm="1">
        <f t="array" ref="W6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3" spans="1:23" x14ac:dyDescent="0.25">
      <c r="A663" s="275" t="s">
        <v>254</v>
      </c>
      <c r="B663" s="370" t="s">
        <v>382</v>
      </c>
      <c r="C663" s="370" t="s">
        <v>1935</v>
      </c>
      <c r="D663" s="370" t="s">
        <v>1793</v>
      </c>
      <c r="E663" s="370" t="str">
        <v>Z-Louvre Blade - 5"</v>
      </c>
      <c r="G663" s="370" t="s">
        <v>1867</v>
      </c>
      <c r="H663" s="370" t="s">
        <v>1867</v>
      </c>
      <c r="P663" s="1" t="str" cm="1">
        <f t="array" ref="P6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3" s="1" t="str" cm="1">
        <f t="array" ref="Q663">_xlfn.LET(_xlpm.cd,INDEX($S:$S,ROW()),IF(_xlpm.cd="","",IFERROR(_xlfn.XLOOKUP(_xlpm.cd,CostData!$C$22:$C$1000,CostData!$B$22:$B$1000,""),"")))</f>
        <v>Aluminium</v>
      </c>
      <c r="R663" s="16" t="s">
        <v>1863</v>
      </c>
      <c r="S663" s="24" t="s">
        <v>1928</v>
      </c>
      <c r="T663" s="1" t="str" cm="1">
        <f t="array" ref="T663">_xlfn.LET(_xlpm.cd,INDEX($S:$S,ROW()),IF(_xlpm.cd="","",IFERROR(_xlfn.XLOOKUP(_xlpm.cd,CostData!$C$22:$C$1000,CostData!$E$22:$E$1000,""),"")))</f>
        <v>Mullion</v>
      </c>
      <c r="U663" s="1" t="s">
        <v>103</v>
      </c>
      <c r="V66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78</v>
      </c>
      <c r="W663" s="400" t="str" cm="1">
        <f t="array" ref="W6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4" spans="1:23" x14ac:dyDescent="0.25">
      <c r="A664" s="275" t="s">
        <v>254</v>
      </c>
      <c r="B664" s="370" t="s">
        <v>1847</v>
      </c>
      <c r="C664" s="370" t="s">
        <v>1935</v>
      </c>
      <c r="D664" s="370" t="s">
        <v>1815</v>
      </c>
      <c r="E664" s="370" t="str">
        <v/>
      </c>
      <c r="G664" s="370" t="s">
        <v>1868</v>
      </c>
      <c r="H664" s="370" t="s">
        <v>1868</v>
      </c>
      <c r="P664" s="1" t="str" cm="1">
        <f t="array" ref="P6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4" s="1" t="str" cm="1">
        <f t="array" ref="Q664">_xlfn.LET(_xlpm.cd,INDEX($S:$S,ROW()),IF(_xlpm.cd="","",IFERROR(_xlfn.XLOOKUP(_xlpm.cd,CostData!$C$22:$C$1000,CostData!$B$22:$B$1000,""),"")))</f>
        <v>Aluminium</v>
      </c>
      <c r="R664" s="16" t="s">
        <v>1862</v>
      </c>
      <c r="S664" s="24" t="s">
        <v>1928</v>
      </c>
      <c r="T664" s="1" t="str" cm="1">
        <f t="array" ref="T664">_xlfn.LET(_xlpm.cd,INDEX($S:$S,ROW()),IF(_xlpm.cd="","",IFERROR(_xlfn.XLOOKUP(_xlpm.cd,CostData!$C$22:$C$1000,CostData!$E$22:$E$1000,""),"")))</f>
        <v>Mullion</v>
      </c>
      <c r="U664" s="1" t="s">
        <v>103</v>
      </c>
      <c r="V66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64" s="400" t="str" cm="1">
        <f t="array" ref="W6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5" spans="1:23" x14ac:dyDescent="0.25">
      <c r="A665" s="275" t="s">
        <v>254</v>
      </c>
      <c r="C665" s="370" t="s">
        <v>1935</v>
      </c>
      <c r="E665" s="370" t="str">
        <v/>
      </c>
      <c r="G665" s="370" t="s">
        <v>1869</v>
      </c>
      <c r="H665" s="370" t="s">
        <v>1869</v>
      </c>
      <c r="P665" s="1" t="str" cm="1">
        <f t="array" ref="P6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5" s="1" t="str" cm="1">
        <f t="array" ref="Q665">_xlfn.LET(_xlpm.cd,INDEX($S:$S,ROW()),IF(_xlpm.cd="","",IFERROR(_xlfn.XLOOKUP(_xlpm.cd,CostData!$C$22:$C$1000,CostData!$B$22:$B$1000,""),"")))</f>
        <v/>
      </c>
      <c r="T665" s="1" t="str" cm="1">
        <f t="array" ref="T665">_xlfn.LET(_xlpm.cd,INDEX($S:$S,ROW()),IF(_xlpm.cd="","",IFERROR(_xlfn.XLOOKUP(_xlpm.cd,CostData!$C$22:$C$1000,CostData!$E$22:$E$1000,""),"")))</f>
        <v/>
      </c>
      <c r="V665" s="1" t="str" cm="1">
        <f t="array" ref="V665">IFERROR(_xlfn.XLOOKUP(1,(TRIM(CostData!$B$22:$B$1000)="Aluminium")*(TRIM(CostData!$C$22:$C$1000)="CWS")*(TRIM(CostData!$E$22:$E$1000)=TRIM($S665)),_xlfn.SWITCH(TRIM(Enginuity!$A$19),"N/A",CostData!$H$22:$H$1000,"M/B",CostData!$I$22:$I$1000,"P/C",CostData!$J$22:$J$1000,"W/G",CostData!$K$22:$K$1000,""),""),"")</f>
        <v/>
      </c>
      <c r="W665" s="400" t="str" cm="1">
        <f t="array" ref="W6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6" spans="1:23" x14ac:dyDescent="0.25">
      <c r="A666" s="275" t="s">
        <v>254</v>
      </c>
      <c r="C666" s="370" t="s">
        <v>1935</v>
      </c>
      <c r="E666" s="370" t="str">
        <v/>
      </c>
      <c r="G666" s="370" t="s">
        <v>1870</v>
      </c>
      <c r="H666" s="370" t="s">
        <v>1870</v>
      </c>
      <c r="P666" s="1" t="str" cm="1">
        <f t="array" ref="P6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6" s="1" t="str" cm="1">
        <f t="array" ref="Q666">_xlfn.LET(_xlpm.cd,INDEX($S:$S,ROW()),IF(_xlpm.cd="","",IFERROR(_xlfn.XLOOKUP(_xlpm.cd,CostData!$C$22:$C$1000,CostData!$B$22:$B$1000,""),"")))</f>
        <v/>
      </c>
      <c r="R666" s="16" t="str">
        <f>IF(Enginuity!$A$22="","",Enginuity!$A$22&amp;" Fix Window")</f>
        <v>▼ [Lattice] Fix Window</v>
      </c>
      <c r="T666" s="1" t="str" cm="1">
        <f t="array" ref="T666">_xlfn.LET(_xlpm.cd,INDEX($S:$S,ROW()),IF(_xlpm.cd="","",IFERROR(_xlfn.XLOOKUP(_xlpm.cd,CostData!$C$22:$C$1000,CostData!$E$22:$E$1000,""),"")))</f>
        <v/>
      </c>
      <c r="U666" s="1" t="s">
        <v>176</v>
      </c>
      <c r="V666" s="1">
        <v>1</v>
      </c>
      <c r="W666" s="400" t="str">
        <f>IF(Enginuity!$A$22&lt;&gt;"",$W$4,"")</f>
        <v/>
      </c>
    </row>
    <row r="667" spans="1:23" x14ac:dyDescent="0.25">
      <c r="A667" s="275" t="s">
        <v>254</v>
      </c>
      <c r="C667" s="370" t="s">
        <v>1935</v>
      </c>
      <c r="E667" s="370" t="str">
        <v/>
      </c>
      <c r="G667" s="370" t="s">
        <v>1871</v>
      </c>
      <c r="H667" s="370" t="s">
        <v>1871</v>
      </c>
      <c r="P667" s="1" t="str" cm="1">
        <f t="array" ref="P6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7" s="1" t="str" cm="1">
        <f t="array" ref="Q667">_xlfn.LET(_xlpm.cd,INDEX($S:$S,ROW()),IF(_xlpm.cd="","",IFERROR(_xlfn.XLOOKUP(_xlpm.cd,CostData!$C$22:$C$1000,CostData!$B$22:$B$1000,""),"")))</f>
        <v/>
      </c>
      <c r="T667" s="1" t="str" cm="1">
        <f t="array" ref="T667">_xlfn.LET(_xlpm.cd,INDEX($S:$S,ROW()),IF(_xlpm.cd="","",IFERROR(_xlfn.XLOOKUP(_xlpm.cd,CostData!$C$22:$C$1000,CostData!$E$22:$E$1000,""),"")))</f>
        <v/>
      </c>
      <c r="V667" s="1" t="str" cm="1">
        <f t="array" ref="V667">IFERROR(_xlfn.XLOOKUP(1,(TRIM(CostData!$B$22:$B$1000)="Aluminium")*(TRIM(CostData!$C$22:$C$1000)="CWS")*(TRIM(CostData!$E$22:$E$1000)=TRIM($S667)),_xlfn.SWITCH(TRIM(Enginuity!$A$19),"N/A",CostData!$H$22:$H$1000,"M/B",CostData!$I$22:$I$1000,"P/C",CostData!$J$22:$J$1000,"W/G",CostData!$K$22:$K$1000,""),""),"")</f>
        <v/>
      </c>
      <c r="W667" s="400" t="str" cm="1">
        <f t="array" ref="W6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8" spans="1:23" x14ac:dyDescent="0.25">
      <c r="A668" s="275" t="s">
        <v>254</v>
      </c>
      <c r="C668" s="370" t="s">
        <v>1935</v>
      </c>
      <c r="E668" s="370" t="str">
        <v/>
      </c>
      <c r="G668" s="370" t="s">
        <v>1872</v>
      </c>
      <c r="H668" s="370" t="s">
        <v>1872</v>
      </c>
      <c r="P668" s="1" t="str" cm="1">
        <f t="array" ref="P6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8" s="1" t="str" cm="1">
        <f t="array" ref="Q668">_xlfn.LET(_xlpm.cd,INDEX($S:$S,ROW()),IF(_xlpm.cd="","",IFERROR(_xlfn.XLOOKUP(_xlpm.cd,CostData!$C$22:$C$1000,CostData!$B$22:$B$1000,""),"")))</f>
        <v/>
      </c>
      <c r="T668" s="1" t="str" cm="1">
        <f t="array" ref="T668">_xlfn.LET(_xlpm.cd,INDEX($S:$S,ROW()),IF(_xlpm.cd="","",IFERROR(_xlfn.XLOOKUP(_xlpm.cd,CostData!$C$22:$C$1000,CostData!$E$22:$E$1000,""),"")))</f>
        <v/>
      </c>
      <c r="V668" s="1" t="str" cm="1">
        <f t="array" ref="V668">IFERROR(_xlfn.XLOOKUP(1,(TRIM(CostData!$B$22:$B$1000)="Aluminium")*(TRIM(CostData!$C$22:$C$1000)="CWS")*(TRIM(CostData!$E$22:$E$1000)=TRIM($S668)),_xlfn.SWITCH(TRIM(Enginuity!$A$19),"N/A",CostData!$H$22:$H$1000,"M/B",CostData!$I$22:$I$1000,"P/C",CostData!$J$22:$J$1000,"W/G",CostData!$K$22:$K$1000,""),""),"")</f>
        <v/>
      </c>
      <c r="W668" s="400" t="str" cm="1">
        <f t="array" ref="W6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9" spans="1:23" x14ac:dyDescent="0.25">
      <c r="A669" s="275" t="s">
        <v>254</v>
      </c>
      <c r="C669" s="370" t="s">
        <v>1935</v>
      </c>
      <c r="E669" s="370" t="str">
        <v/>
      </c>
      <c r="G669" s="370" t="s">
        <v>1873</v>
      </c>
      <c r="H669" s="370" t="s">
        <v>1873</v>
      </c>
      <c r="P669" s="1" t="str" cm="1">
        <f t="array" ref="P6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9" s="1" t="str" cm="1">
        <f t="array" ref="Q669">_xlfn.LET(_xlpm.cd,INDEX($S:$S,ROW()),IF(_xlpm.cd="","",IFERROR(_xlfn.XLOOKUP(_xlpm.cd,CostData!$C$22:$C$1000,CostData!$B$22:$B$1000,""),"")))</f>
        <v/>
      </c>
      <c r="T669" s="1" t="str" cm="1">
        <f t="array" ref="T669">_xlfn.LET(_xlpm.cd,INDEX($S:$S,ROW()),IF(_xlpm.cd="","",IFERROR(_xlfn.XLOOKUP(_xlpm.cd,CostData!$C$22:$C$1000,CostData!$E$22:$E$1000,""),"")))</f>
        <v/>
      </c>
      <c r="V669" s="1" t="str" cm="1">
        <f t="array" ref="V669">IFERROR(_xlfn.XLOOKUP(1,(TRIM(CostData!$B$22:$B$1000)="Aluminium")*(TRIM(CostData!$C$22:$C$1000)="CWS")*(TRIM(CostData!$E$22:$E$1000)=TRIM($S669)),_xlfn.SWITCH(TRIM(Enginuity!$A$19),"N/A",CostData!$H$22:$H$1000,"M/B",CostData!$I$22:$I$1000,"P/C",CostData!$J$22:$J$1000,"W/G",CostData!$K$22:$K$1000,""),""),"")</f>
        <v/>
      </c>
      <c r="W669" s="400" t="str" cm="1">
        <f t="array" ref="W6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0" spans="1:23" x14ac:dyDescent="0.25">
      <c r="A670" s="275" t="s">
        <v>254</v>
      </c>
      <c r="C670" s="370" t="s">
        <v>1935</v>
      </c>
      <c r="E670" s="370" t="str">
        <v/>
      </c>
      <c r="P670" s="1" t="str" cm="1">
        <f t="array" ref="P6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0" s="1" t="str" cm="1">
        <f t="array" ref="Q670">_xlfn.LET(_xlpm.cd,INDEX($S:$S,ROW()),IF(_xlpm.cd="","",IFERROR(_xlfn.XLOOKUP(_xlpm.cd,CostData!$C$22:$C$1000,CostData!$B$22:$B$1000,""),"")))</f>
        <v/>
      </c>
      <c r="T670" s="1" t="str" cm="1">
        <f t="array" ref="T670">_xlfn.LET(_xlpm.cd,INDEX($S:$S,ROW()),IF(_xlpm.cd="","",IFERROR(_xlfn.XLOOKUP(_xlpm.cd,CostData!$C$22:$C$1000,CostData!$E$22:$E$1000,""),"")))</f>
        <v/>
      </c>
      <c r="V670" s="1" t="str" cm="1">
        <f t="array" ref="V670">IFERROR(_xlfn.XLOOKUP(1,(TRIM(CostData!$B$22:$B$1000)="Aluminium")*(TRIM(CostData!$C$22:$C$1000)="CWS")*(TRIM(CostData!$E$22:$E$1000)=TRIM($S670)),_xlfn.SWITCH(TRIM(Enginuity!$A$19),"N/A",CostData!$H$22:$H$1000,"M/B",CostData!$I$22:$I$1000,"P/C",CostData!$J$22:$J$1000,"W/G",CostData!$K$22:$K$1000,""),""),"")</f>
        <v/>
      </c>
      <c r="W670" s="400" t="str" cm="1">
        <f t="array" ref="W6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1" spans="1:23" x14ac:dyDescent="0.25">
      <c r="A671" s="275" t="s">
        <v>254</v>
      </c>
      <c r="C671" s="370" t="s">
        <v>1935</v>
      </c>
      <c r="P671" s="1" t="str" cm="1">
        <f t="array" ref="P6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1" s="1" t="str" cm="1">
        <f t="array" ref="Q671">_xlfn.LET(_xlpm.cd,INDEX($S:$S,ROW()),IF(_xlpm.cd="","",IFERROR(_xlfn.XLOOKUP(_xlpm.cd,CostData!$C$22:$C$1000,CostData!$B$22:$B$1000,""),"")))</f>
        <v/>
      </c>
      <c r="T671" s="1" t="str" cm="1">
        <f t="array" ref="T671">_xlfn.LET(_xlpm.cd,INDEX($S:$S,ROW()),IF(_xlpm.cd="","",IFERROR(_xlfn.XLOOKUP(_xlpm.cd,CostData!$C$22:$C$1000,CostData!$E$22:$E$1000,""),"")))</f>
        <v/>
      </c>
      <c r="V671" s="1" t="str" cm="1">
        <f t="array" ref="V671">IFERROR(_xlfn.XLOOKUP(1,(TRIM(CostData!$B$22:$B$1000)="Aluminium")*(TRIM(CostData!$C$22:$C$1000)="CWS")*(TRIM(CostData!$E$22:$E$1000)=TRIM($S671)),_xlfn.SWITCH(TRIM(Enginuity!$A$19),"N/A",CostData!$H$22:$H$1000,"M/B",CostData!$I$22:$I$1000,"P/C",CostData!$J$22:$J$1000,"W/G",CostData!$K$22:$K$1000,""),""),"")</f>
        <v/>
      </c>
      <c r="W671" s="400" t="str" cm="1">
        <f t="array" ref="W6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2" spans="1:23" x14ac:dyDescent="0.25">
      <c r="A672" s="275" t="s">
        <v>254</v>
      </c>
      <c r="C672" s="370" t="s">
        <v>1935</v>
      </c>
      <c r="P672" s="1" t="str" cm="1">
        <f t="array" ref="P6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2" s="1" t="str" cm="1">
        <f t="array" ref="Q672">_xlfn.LET(_xlpm.cd,INDEX($S:$S,ROW()),IF(_xlpm.cd="","",IFERROR(_xlfn.XLOOKUP(_xlpm.cd,CostData!$C$22:$C$1000,CostData!$B$22:$B$1000,""),"")))</f>
        <v/>
      </c>
      <c r="T672" s="1" t="str" cm="1">
        <f t="array" ref="T672">_xlfn.LET(_xlpm.cd,INDEX($S:$S,ROW()),IF(_xlpm.cd="","",IFERROR(_xlfn.XLOOKUP(_xlpm.cd,CostData!$C$22:$C$1000,CostData!$E$22:$E$1000,""),"")))</f>
        <v/>
      </c>
      <c r="V672" s="1" t="str" cm="1">
        <f t="array" ref="V672">IFERROR(_xlfn.XLOOKUP(1,(TRIM(CostData!$B$22:$B$1000)="Aluminium")*(TRIM(CostData!$C$22:$C$1000)="CWS")*(TRIM(CostData!$E$22:$E$1000)=TRIM($S672)),_xlfn.SWITCH(TRIM(Enginuity!$A$19),"N/A",CostData!$H$22:$H$1000,"M/B",CostData!$I$22:$I$1000,"P/C",CostData!$J$22:$J$1000,"W/G",CostData!$K$22:$K$1000,""),""),"")</f>
        <v/>
      </c>
      <c r="W672" s="400" t="str" cm="1">
        <f t="array" ref="W6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3" spans="1:23" x14ac:dyDescent="0.25">
      <c r="A673" s="275" t="s">
        <v>254</v>
      </c>
      <c r="C673" s="370" t="s">
        <v>1935</v>
      </c>
      <c r="P673" s="1" t="str" cm="1">
        <f t="array" ref="P6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3" s="1" t="str" cm="1">
        <f t="array" ref="Q673">_xlfn.LET(_xlpm.cd,INDEX($S:$S,ROW()),IF(_xlpm.cd="","",IFERROR(_xlfn.XLOOKUP(_xlpm.cd,CostData!$C$22:$C$1000,CostData!$B$22:$B$1000,""),"")))</f>
        <v/>
      </c>
      <c r="T673" s="1" t="str" cm="1">
        <f t="array" ref="T673">_xlfn.LET(_xlpm.cd,INDEX($S:$S,ROW()),IF(_xlpm.cd="","",IFERROR(_xlfn.XLOOKUP(_xlpm.cd,CostData!$C$22:$C$1000,CostData!$E$22:$E$1000,""),"")))</f>
        <v/>
      </c>
      <c r="V673" s="1" t="str" cm="1">
        <f t="array" ref="V673">IFERROR(_xlfn.XLOOKUP(1,(TRIM(CostData!$B$22:$B$1000)="Aluminium")*(TRIM(CostData!$C$22:$C$1000)="CWS")*(TRIM(CostData!$E$22:$E$1000)=TRIM($S673)),_xlfn.SWITCH(TRIM(Enginuity!$A$19),"N/A",CostData!$H$22:$H$1000,"M/B",CostData!$I$22:$I$1000,"P/C",CostData!$J$22:$J$1000,"W/G",CostData!$K$22:$K$1000,""),""),"")</f>
        <v/>
      </c>
      <c r="W673" s="400" t="str" cm="1">
        <f t="array" ref="W6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4" spans="1:23" x14ac:dyDescent="0.25">
      <c r="A674" s="275" t="s">
        <v>254</v>
      </c>
      <c r="C674" s="370" t="s">
        <v>1935</v>
      </c>
      <c r="P674" s="1" t="str" cm="1">
        <f t="array" ref="P6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4" s="1" t="str" cm="1">
        <f t="array" ref="Q674">_xlfn.LET(_xlpm.cd,INDEX($S:$S,ROW()),IF(_xlpm.cd="","",IFERROR(_xlfn.XLOOKUP(_xlpm.cd,CostData!$C$22:$C$1000,CostData!$B$22:$B$1000,""),"")))</f>
        <v/>
      </c>
      <c r="T674" s="1" t="str" cm="1">
        <f t="array" ref="T674">_xlfn.LET(_xlpm.cd,INDEX($S:$S,ROW()),IF(_xlpm.cd="","",IFERROR(_xlfn.XLOOKUP(_xlpm.cd,CostData!$C$22:$C$1000,CostData!$E$22:$E$1000,""),"")))</f>
        <v/>
      </c>
      <c r="V674" s="1" t="str" cm="1">
        <f t="array" ref="V674">IFERROR(_xlfn.XLOOKUP(1,(TRIM(CostData!$B$22:$B$1000)="Aluminium")*(TRIM(CostData!$C$22:$C$1000)="CWS")*(TRIM(CostData!$E$22:$E$1000)=TRIM($S674)),_xlfn.SWITCH(TRIM(Enginuity!$A$19),"N/A",CostData!$H$22:$H$1000,"M/B",CostData!$I$22:$I$1000,"P/C",CostData!$J$22:$J$1000,"W/G",CostData!$K$22:$K$1000,""),""),"")</f>
        <v/>
      </c>
      <c r="W674" s="400" t="str" cm="1">
        <f t="array" ref="W6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5" spans="1:23" x14ac:dyDescent="0.25">
      <c r="A675" s="275" t="s">
        <v>254</v>
      </c>
      <c r="C675" s="370" t="s">
        <v>1935</v>
      </c>
      <c r="P675" s="1" t="str" cm="1">
        <f t="array" ref="P6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5" s="1" t="str" cm="1">
        <f t="array" ref="Q675">_xlfn.LET(_xlpm.cd,INDEX($S:$S,ROW()),IF(_xlpm.cd="","",IFERROR(_xlfn.XLOOKUP(_xlpm.cd,CostData!$C$22:$C$1000,CostData!$B$22:$B$1000,""),"")))</f>
        <v/>
      </c>
      <c r="T675" s="1" t="str" cm="1">
        <f t="array" ref="T675">_xlfn.LET(_xlpm.cd,INDEX($S:$S,ROW()),IF(_xlpm.cd="","",IFERROR(_xlfn.XLOOKUP(_xlpm.cd,CostData!$C$22:$C$1000,CostData!$E$22:$E$1000,""),"")))</f>
        <v/>
      </c>
      <c r="V675" s="1" t="str" cm="1">
        <f t="array" ref="V675">IFERROR(_xlfn.XLOOKUP(1,(TRIM(CostData!$B$22:$B$1000)="Aluminium")*(TRIM(CostData!$C$22:$C$1000)="CWS")*(TRIM(CostData!$E$22:$E$1000)=TRIM($S675)),_xlfn.SWITCH(TRIM(Enginuity!$A$19),"N/A",CostData!$H$22:$H$1000,"M/B",CostData!$I$22:$I$1000,"P/C",CostData!$J$22:$J$1000,"W/G",CostData!$K$22:$K$1000,""),""),"")</f>
        <v/>
      </c>
      <c r="W675" s="400" t="str" cm="1">
        <f t="array" ref="W6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6" spans="1:23" x14ac:dyDescent="0.25">
      <c r="A676" s="275" t="s">
        <v>254</v>
      </c>
      <c r="C676" s="370" t="s">
        <v>1935</v>
      </c>
      <c r="P676" s="1" t="str" cm="1">
        <f t="array" ref="P6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6" s="1" t="str" cm="1">
        <f t="array" ref="Q676">_xlfn.LET(_xlpm.cd,INDEX($S:$S,ROW()),IF(_xlpm.cd="","",IFERROR(_xlfn.XLOOKUP(_xlpm.cd,CostData!$C$22:$C$1000,CostData!$B$22:$B$1000,""),"")))</f>
        <v/>
      </c>
      <c r="T676" s="1" t="str" cm="1">
        <f t="array" ref="T676">_xlfn.LET(_xlpm.cd,INDEX($S:$S,ROW()),IF(_xlpm.cd="","",IFERROR(_xlfn.XLOOKUP(_xlpm.cd,CostData!$C$22:$C$1000,CostData!$E$22:$E$1000,""),"")))</f>
        <v/>
      </c>
      <c r="V676" s="1" t="str" cm="1">
        <f t="array" ref="V676">IFERROR(_xlfn.XLOOKUP(1,(TRIM(CostData!$B$22:$B$1000)="Aluminium")*(TRIM(CostData!$C$22:$C$1000)="CWS")*(TRIM(CostData!$E$22:$E$1000)=TRIM($S676)),_xlfn.SWITCH(TRIM(Enginuity!$A$19),"N/A",CostData!$H$22:$H$1000,"M/B",CostData!$I$22:$I$1000,"P/C",CostData!$J$22:$J$1000,"W/G",CostData!$K$22:$K$1000,""),""),"")</f>
        <v/>
      </c>
      <c r="W676" s="400" t="str" cm="1">
        <f t="array" ref="W6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7" spans="1:23" x14ac:dyDescent="0.25">
      <c r="A677" s="275" t="s">
        <v>254</v>
      </c>
      <c r="C677" s="370" t="s">
        <v>1935</v>
      </c>
      <c r="P677" s="1" t="str" cm="1">
        <f t="array" ref="P6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7" s="1" t="s">
        <v>1833</v>
      </c>
      <c r="R677" s="16" t="str">
        <f>IF($T677="","","⬒ "&amp;$T677)</f>
        <v>⬒ Z-Louvre Blade - 5"</v>
      </c>
      <c r="T677" s="1" t="str">
        <f>IF(Enginuity!$A$20="","",Enginuity!$A$20)</f>
        <v>Z-Louvre Blade - 5"</v>
      </c>
      <c r="U677" s="1" t="s">
        <v>121</v>
      </c>
      <c r="V677" s="1">
        <f>IF(Enginuity!$B$9="","",Enginuity!$B$9)</f>
        <v>260</v>
      </c>
      <c r="W677" s="400">
        <f>IFERROR(INDEX(CostData!$Q$3:$Q$12,MATCH(TRIM(Enginuity!$A$20),CostData!$P$3:$P$12,0)),"")</f>
        <v>32.037384615384617</v>
      </c>
    </row>
    <row r="678" spans="1:23" x14ac:dyDescent="0.25">
      <c r="A678" s="275" t="s">
        <v>254</v>
      </c>
      <c r="C678" s="370" t="s">
        <v>1935</v>
      </c>
      <c r="P678" s="1" t="str" cm="1">
        <f t="array" ref="P6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78" s="1" t="str" cm="1">
        <f t="array" ref="V678">IFERROR(_xlfn.XLOOKUP(1,(TRIM(CostData!$B$22:$B$1000)="Aluminium")*(TRIM(CostData!$C$22:$C$1000)="CWS")*(TRIM(CostData!$E$22:$E$1000)=TRIM($S678)),_xlfn.SWITCH(TRIM(Enginuity!$A$19),"N/A",CostData!$H$22:$H$1000,"M/B",CostData!$I$22:$I$1000,"P/C",CostData!$J$22:$J$1000,"W/G",CostData!$K$22:$K$1000,""),""),"")</f>
        <v/>
      </c>
      <c r="W678" s="400" t="str" cm="1">
        <f t="array" ref="W678">IF(OR(TRIM(CalcEngine!$A678)&lt;&gt;TRIM(Enginuity!$A$1),TRIM(CalcEngine!$C678)&lt;&gt;TRIM(Enginuity!$A$18),CalcEngine!$V678="",CalcEngine!$V678=0),"",IFERROR(_xlfn.XLOOKUP(1,(TRIM(CostData!$B$22:$B$1000)="Aluminium")*(TRIM(CostData!$C$22:$C$1000)="CWS")*(TRIM(CostData!$E$22:$E$1000)=TRIM(CalcEngine!$T678)),_xlfn.SWITCH(TRIM(Enginuity!$A$19),"N/A",CostData!$H$22:$H$1000,"M/B",CostData!$I$22:$I$1000,"P/C",CostData!$J$22:$J$1000,"W/G",CostData!$K$22:$K$1000,""),""),""))</f>
        <v/>
      </c>
    </row>
    <row r="679" spans="1:23" x14ac:dyDescent="0.25">
      <c r="A679" s="275" t="s">
        <v>254</v>
      </c>
      <c r="C679" s="370" t="s">
        <v>1935</v>
      </c>
      <c r="P679" s="1" t="str" cm="1">
        <f t="array" ref="P6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79" s="1" t="str" cm="1">
        <f t="array" ref="V679">IFERROR(_xlfn.XLOOKUP(1,(TRIM(CostData!$B$22:$B$1000)="Aluminium")*(TRIM(CostData!$C$22:$C$1000)="CWS")*(TRIM(CostData!$E$22:$E$1000)=TRIM($S679)),_xlfn.SWITCH(TRIM(Enginuity!$A$19),"N/A",CostData!$H$22:$H$1000,"M/B",CostData!$I$22:$I$1000,"P/C",CostData!$J$22:$J$1000,"W/G",CostData!$K$22:$K$1000,""),""),"")</f>
        <v/>
      </c>
      <c r="W679" s="400" t="str" cm="1">
        <f t="array" ref="W679">IF(OR(TRIM(CalcEngine!$A679)&lt;&gt;TRIM(Enginuity!$A$1),TRIM(CalcEngine!$C679)&lt;&gt;TRIM(Enginuity!$A$18),CalcEngine!$V679="",CalcEngine!$V679=0),"",IFERROR(_xlfn.XLOOKUP(1,(TRIM(CostData!$B$22:$B$1000)="Aluminium")*(TRIM(CostData!$C$22:$C$1000)="CWS")*(TRIM(CostData!$E$22:$E$1000)=TRIM(CalcEngine!$T679)),_xlfn.SWITCH(TRIM(Enginuity!$A$19),"N/A",CostData!$H$22:$H$1000,"M/B",CostData!$I$22:$I$1000,"P/C",CostData!$J$22:$J$1000,"W/G",CostData!$K$22:$K$1000,""),""),""))</f>
        <v/>
      </c>
    </row>
    <row r="680" spans="1:23" x14ac:dyDescent="0.25">
      <c r="A680" s="275" t="s">
        <v>254</v>
      </c>
      <c r="C680" s="370" t="s">
        <v>1935</v>
      </c>
      <c r="P680" s="1" t="str" cm="1">
        <f t="array" ref="P6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80" s="1" t="str" cm="1">
        <f t="array" ref="V680">IFERROR(_xlfn.XLOOKUP(1,(TRIM(CostData!$B$22:$B$1000)="Aluminium")*(TRIM(CostData!$C$22:$C$1000)="CWS")*(TRIM(CostData!$E$22:$E$1000)=TRIM($S680)),_xlfn.SWITCH(TRIM(Enginuity!$A$19),"N/A",CostData!$H$22:$H$1000,"M/B",CostData!$I$22:$I$1000,"P/C",CostData!$J$22:$J$1000,"W/G",CostData!$K$22:$K$1000,""),""),"")</f>
        <v/>
      </c>
      <c r="W680" s="400" t="str" cm="1">
        <f t="array" ref="W680">IF(OR(TRIM(CalcEngine!$A680)&lt;&gt;TRIM(Enginuity!$A$1),TRIM(CalcEngine!$C680)&lt;&gt;TRIM(Enginuity!$A$18),CalcEngine!$V680="",CalcEngine!$V680=0),"",IFERROR(_xlfn.XLOOKUP(1,(TRIM(CostData!$B$22:$B$1000)="Aluminium")*(TRIM(CostData!$C$22:$C$1000)="CWS")*(TRIM(CostData!$E$22:$E$1000)=TRIM(CalcEngine!$T680)),_xlfn.SWITCH(TRIM(Enginuity!$A$19),"N/A",CostData!$H$22:$H$1000,"M/B",CostData!$I$22:$I$1000,"P/C",CostData!$J$22:$J$1000,"W/G",CostData!$K$22:$K$1000,""),""),""))</f>
        <v/>
      </c>
    </row>
    <row r="681" spans="1:23" x14ac:dyDescent="0.25">
      <c r="A681" s="275" t="s">
        <v>254</v>
      </c>
      <c r="C681" s="370" t="s">
        <v>1935</v>
      </c>
      <c r="P681" s="1" t="str" cm="1">
        <f t="array" ref="P6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81" s="1" t="str" cm="1">
        <f t="array" ref="V681">IFERROR(_xlfn.XLOOKUP(1,(TRIM(CostData!$B$22:$B$1000)="Aluminium")*(TRIM(CostData!$C$22:$C$1000)="CWS")*(TRIM(CostData!$E$22:$E$1000)=TRIM($S681)),_xlfn.SWITCH(TRIM(Enginuity!$A$19),"N/A",CostData!$H$22:$H$1000,"M/B",CostData!$I$22:$I$1000,"P/C",CostData!$J$22:$J$1000,"W/G",CostData!$K$22:$K$1000,""),""),"")</f>
        <v/>
      </c>
      <c r="W681" s="400" t="str" cm="1">
        <f t="array" ref="W681">IF(OR(TRIM(CalcEngine!$A681)&lt;&gt;TRIM(Enginuity!$A$1),TRIM(CalcEngine!$C681)&lt;&gt;TRIM(Enginuity!$A$18),CalcEngine!$V681="",CalcEngine!$V681=0),"",IFERROR(_xlfn.XLOOKUP(1,(TRIM(CostData!$B$22:$B$1000)="Aluminium")*(TRIM(CostData!$C$22:$C$1000)="CWS")*(TRIM(CostData!$E$22:$E$1000)=TRIM(CalcEngine!$T681)),_xlfn.SWITCH(TRIM(Enginuity!$A$19),"N/A",CostData!$H$22:$H$1000,"M/B",CostData!$I$22:$I$1000,"P/C",CostData!$J$22:$J$1000,"W/G",CostData!$K$22:$K$1000,""),""),""))</f>
        <v/>
      </c>
    </row>
    <row r="682" spans="1:23" x14ac:dyDescent="0.25">
      <c r="A682" s="275" t="s">
        <v>254</v>
      </c>
      <c r="C682" s="370" t="s">
        <v>1935</v>
      </c>
      <c r="P682" s="1" t="str" cm="1">
        <f t="array" ref="P6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682" s="400"/>
    </row>
    <row r="683" spans="1:23" x14ac:dyDescent="0.25">
      <c r="A683" s="275" t="s">
        <v>254</v>
      </c>
      <c r="C683" s="370" t="s">
        <v>1935</v>
      </c>
      <c r="P683" s="1" t="str" cm="1">
        <f t="array" ref="P6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3" s="1" t="str">
        <f>IF($S683="","",IFERROR(_xlfn.XLOOKUP($S683,CostData!$U$22:$U$1000,CostData!$T$22:$T$1000,""),""))</f>
        <v>Hinge</v>
      </c>
      <c r="R683" s="16" t="str">
        <f>IF($S683="","",$T683)</f>
        <v>Hung Friction Stay</v>
      </c>
      <c r="S683" s="24" t="s">
        <v>1880</v>
      </c>
      <c r="T683" s="1" t="str" cm="1">
        <f t="array" ref="T683">_xlfn.LET(_xlpm.cd,INDEX($S:$S,ROW()),IF(_xlpm.cd="","",IFERROR(_xlfn.XLOOKUP(_xlpm.cd,CostData!$U$22:$U$1000,CostData!$W$22:$W$1000,""),"")))</f>
        <v>Hung Friction Stay</v>
      </c>
      <c r="U683" s="1" t="str">
        <f>IF($S683="","",IFERROR(_xlfn.XLOOKUP($S683,CostData!$U$22:$U$1000,CostData!$AA$22:$AA$1000,""),""))</f>
        <v>Pair</v>
      </c>
      <c r="V683" s="1" t="str" cm="1">
        <f t="array" ref="V68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683" s="400" t="str" cm="1">
        <f t="array" ref="W6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84" spans="1:23" x14ac:dyDescent="0.25">
      <c r="A684" s="275" t="s">
        <v>254</v>
      </c>
      <c r="C684" s="370" t="s">
        <v>1935</v>
      </c>
      <c r="P684" s="1" t="str" cm="1">
        <f t="array" ref="P6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4" s="1" t="str">
        <f>IF($S684="","",IFERROR(_xlfn.XLOOKUP($S684,CostData!$U$22:$U$1000,CostData!$T$22:$T$1000,""),""))</f>
        <v>Hinge</v>
      </c>
      <c r="R684" s="16" t="str">
        <f>IF($S684="","",$T684)</f>
        <v>Casement Friction Stay</v>
      </c>
      <c r="S684" s="24" t="s">
        <v>1879</v>
      </c>
      <c r="T684" s="1" t="str" cm="1">
        <f t="array" ref="T684">_xlfn.LET(_xlpm.cd,INDEX($S:$S,ROW()),IF(_xlpm.cd="","",IFERROR(_xlfn.XLOOKUP(_xlpm.cd,CostData!$U$22:$U$1000,CostData!$W$22:$W$1000,""),"")))</f>
        <v>Casement Friction Stay</v>
      </c>
      <c r="U684" s="1" t="str">
        <f>IF($S684="","",IFERROR(_xlfn.XLOOKUP($S684,CostData!$U$22:$U$1000,CostData!$AA$22:$AA$1000,""),""))</f>
        <v>Pair</v>
      </c>
      <c r="V684" s="1">
        <f>IF(Enginuity!$B$13&gt;0,Enginuity!$B$13,"")</f>
        <v>7</v>
      </c>
      <c r="W684" s="400" t="str" cm="1">
        <f t="array" ref="W6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85" spans="1:23" x14ac:dyDescent="0.25">
      <c r="A685" s="275" t="s">
        <v>254</v>
      </c>
      <c r="C685" s="370" t="s">
        <v>1935</v>
      </c>
      <c r="P685" s="1" t="str" cm="1">
        <f t="array" ref="P6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5" s="1" t="str">
        <f>IF($S685="","",IFERROR(_xlfn.XLOOKUP($S685,CostData!$U$22:$U$1000,CostData!$T$22:$T$1000,""),""))</f>
        <v>Handle</v>
      </c>
      <c r="R685" s="16" t="str">
        <f>IF($S685="","",$T685)</f>
        <v>Casement Handle</v>
      </c>
      <c r="S685" s="24" t="s">
        <v>113</v>
      </c>
      <c r="T685" s="1" t="str" cm="1">
        <f t="array" ref="T685">_xlfn.LET(_xlpm.cd,INDEX($S:$S,ROW()),IF(_xlpm.cd="","",IFERROR(_xlfn.XLOOKUP(_xlpm.cd,CostData!$U$22:$U$1000,CostData!$W$22:$W$1000,""),"")))</f>
        <v>Casement Handle</v>
      </c>
      <c r="U685" s="1" t="str">
        <f>IF($S685="","",IFERROR(_xlfn.XLOOKUP($S685,CostData!$U$22:$U$1000,CostData!$AA$22:$AA$1000,""),""))</f>
        <v>Pcs</v>
      </c>
      <c r="V685" s="1" cm="1">
        <f t="array" ref="V68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7</v>
      </c>
      <c r="W685" s="400" t="str" cm="1">
        <f t="array" ref="W6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86" spans="1:23" x14ac:dyDescent="0.25">
      <c r="A686" s="275" t="s">
        <v>254</v>
      </c>
      <c r="C686" s="370" t="s">
        <v>1935</v>
      </c>
      <c r="P686" s="1" t="str" cm="1">
        <f t="array" ref="P6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6" s="1" t="str">
        <f>IF($S686="","",IFERROR(_xlfn.XLOOKUP($S686,CostData!$U$22:$U$1000,CostData!$T$22:$T$1000,""),""))</f>
        <v>Black Tape</v>
      </c>
      <c r="R686" s="16" t="str">
        <f>IF($S686="","",$T686)</f>
        <v>2.5" x 2 Black Tape</v>
      </c>
      <c r="S686" s="24" t="s">
        <v>1898</v>
      </c>
      <c r="T686" s="1" t="str" cm="1">
        <f t="array" ref="T686">_xlfn.LET(_xlpm.cd,INDEX($S:$S,ROW()),IF(_xlpm.cd="","",IFERROR(_xlfn.XLOOKUP(_xlpm.cd,CostData!$U$22:$U$1000,CostData!$W$22:$W$1000,""),"")))</f>
        <v>2.5" x 2 Black Tape</v>
      </c>
      <c r="U686" s="1" t="str">
        <f>IF($S686="","",IFERROR(_xlfn.XLOOKUP($S686,CostData!$U$22:$U$1000,CostData!$AA$22:$AA$1000,""),""))</f>
        <v>Ft</v>
      </c>
      <c r="V686" s="1">
        <f>IF(SUM($V$61:$V$64)=0,"",SUM($V$61:$V$64))</f>
        <v>560</v>
      </c>
      <c r="W686" s="400" t="str" cm="1">
        <f t="array" ref="W6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87" spans="1:23" x14ac:dyDescent="0.25">
      <c r="A687" s="275" t="s">
        <v>254</v>
      </c>
      <c r="C687" s="370" t="s">
        <v>1935</v>
      </c>
      <c r="P687" s="1" t="str" cm="1">
        <f t="array" ref="P6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7" s="1" t="str">
        <f>IF($S687="","",IFERROR(_xlfn.XLOOKUP($S687,CostData!$U$22:$U$1000,CostData!$T$22:$T$1000,""),""))</f>
        <v>Gasket</v>
      </c>
      <c r="R687" s="16" t="s">
        <v>1931</v>
      </c>
      <c r="S687" s="24" t="s">
        <v>1912</v>
      </c>
      <c r="T687" s="1" t="str" cm="1">
        <f t="array" ref="T687">_xlfn.LET(_xlpm.cd,INDEX($S:$S,ROW()),IF(_xlpm.cd="","",IFERROR(_xlfn.XLOOKUP(_xlpm.cd,CostData!$U$22:$U$1000,CostData!$W$22:$W$1000,""),"")))</f>
        <v>F18 Gasket</v>
      </c>
      <c r="U687" s="1" t="str">
        <f>IF($S687="","",IFERROR(_xlfn.XLOOKUP($S687,CostData!$U$22:$U$1000,CostData!$AA$22:$AA$1000,""),""))</f>
        <v>Ft</v>
      </c>
      <c r="V687" s="1">
        <f>IF($V$61="","",$V$61)</f>
        <v>260</v>
      </c>
      <c r="W687" s="400" t="str" cm="1">
        <f t="array" ref="W6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88" spans="1:23" x14ac:dyDescent="0.25">
      <c r="A688" s="275" t="s">
        <v>254</v>
      </c>
      <c r="C688" s="370" t="s">
        <v>1935</v>
      </c>
      <c r="P688" s="1" t="str" cm="1">
        <f t="array" ref="P6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8" s="1" t="str">
        <f>IF($S688="","",IFERROR(_xlfn.XLOOKUP($S688,CostData!$U$22:$U$1000,CostData!$T$22:$T$1000,""),""))</f>
        <v>Gasket</v>
      </c>
      <c r="R688" s="16" t="s">
        <v>1932</v>
      </c>
      <c r="S688" s="24" t="s">
        <v>1916</v>
      </c>
      <c r="T688" s="1" t="str" cm="1">
        <f t="array" ref="T688">_xlfn.LET(_xlpm.cd,INDEX($S:$S,ROW()),IF(_xlpm.cd="","",IFERROR(_xlfn.XLOOKUP(_xlpm.cd,CostData!$U$22:$U$1000,CostData!$W$22:$W$1000,""),"")))</f>
        <v>F16S Gasket</v>
      </c>
      <c r="U688" s="1" t="str">
        <f>IF($S688="","",IFERROR(_xlfn.XLOOKUP($S688,CostData!$U$22:$U$1000,CostData!$AA$22:$AA$1000,""),""))</f>
        <v>Ft</v>
      </c>
      <c r="V688" s="1">
        <f>IF($V$62="","",$V$62)</f>
        <v>222</v>
      </c>
      <c r="W688" s="400" t="str" cm="1">
        <f t="array" ref="W68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89" spans="1:23" x14ac:dyDescent="0.25">
      <c r="A689" s="275" t="s">
        <v>254</v>
      </c>
      <c r="C689" s="370" t="s">
        <v>1935</v>
      </c>
      <c r="P689" s="1" t="str" cm="1">
        <f t="array" ref="P6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9" s="1" t="str">
        <f>IF($S689="","",IFERROR(_xlfn.XLOOKUP($S689,CostData!$U$22:$U$1000,CostData!$T$22:$T$1000,""),""))</f>
        <v>Gasket</v>
      </c>
      <c r="R689" s="16" t="s">
        <v>1930</v>
      </c>
      <c r="S689" s="24">
        <v>6154</v>
      </c>
      <c r="T689" s="1" t="str" cm="1">
        <f t="array" ref="T689">_xlfn.LET(_xlpm.cd,INDEX($S:$S,ROW()),IF(_xlpm.cd="","",IFERROR(_xlfn.XLOOKUP(_xlpm.cd,CostData!$U$22:$U$1000,CostData!$W$22:$W$1000,""),"")))</f>
        <v>6154 Gasket</v>
      </c>
      <c r="U689" s="1" t="str">
        <f>IF($S689="","",IFERROR(_xlfn.XLOOKUP($S689,CostData!$U$22:$U$1000,CostData!$AA$22:$AA$1000,""),""))</f>
        <v>Ft</v>
      </c>
      <c r="V689" s="1">
        <f>IF($V$62="","",$V$62)</f>
        <v>222</v>
      </c>
      <c r="W689" s="400" t="str" cm="1">
        <f t="array" ref="W68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90" spans="1:23" x14ac:dyDescent="0.25">
      <c r="A690" s="412" t="s">
        <v>254</v>
      </c>
      <c r="B690" s="399"/>
      <c r="C690" s="399" t="s">
        <v>1935</v>
      </c>
      <c r="D690" s="399"/>
      <c r="E690" s="399"/>
      <c r="F690" s="399"/>
      <c r="G690" s="399"/>
      <c r="H690" s="399"/>
      <c r="I690" s="399"/>
      <c r="J690" s="399"/>
      <c r="K690" s="399"/>
      <c r="L690" s="399"/>
      <c r="M690" s="399"/>
      <c r="N690" s="399"/>
      <c r="O690" s="399"/>
      <c r="P690" s="401"/>
      <c r="Q690" s="401" t="str">
        <f>IF($S690="","",IFERROR(_xlfn.XLOOKUP($S690,CostData!$U$22:$U$1000,CostData!$T$22:$T$1000,""),""))</f>
        <v>Gasket</v>
      </c>
      <c r="R690" s="429" t="s">
        <v>1933</v>
      </c>
      <c r="S690" s="418">
        <v>6154</v>
      </c>
      <c r="T690" s="401" t="str" cm="1">
        <f t="array" ref="T690">_xlfn.LET(_xlpm.cd,INDEX($S:$S,ROW()),IF(_xlpm.cd="","",IFERROR(_xlfn.XLOOKUP(_xlpm.cd,CostData!$U$22:$U$1000,CostData!$W$22:$W$1000,""),"")))</f>
        <v>6154 Gasket</v>
      </c>
      <c r="U690" s="401" t="str">
        <f>IF($S690="","",IFERROR(_xlfn.XLOOKUP($S690,CostData!$U$22:$U$1000,CostData!$AA$22:$AA$1000,""),""))</f>
        <v>Ft</v>
      </c>
      <c r="V690" s="401">
        <f>IF(SUM($V$63:$V$64)=0,"",SUM($V$63:$V$64)*2)</f>
        <v>156</v>
      </c>
      <c r="W690" s="413" t="str" cm="1">
        <f t="array" ref="W69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</sheetData>
  <sortState xmlns:xlrd2="http://schemas.microsoft.com/office/spreadsheetml/2017/richdata2" ref="B61:B64">
    <sortCondition ref="B61:B64"/>
  </sortState>
  <phoneticPr fontId="3" type="noConversion"/>
  <conditionalFormatting sqref="T1:W1 P1">
    <cfRule type="duplicateValues" dxfId="3" priority="5"/>
  </conditionalFormatting>
  <conditionalFormatting sqref="T31:W31 P31">
    <cfRule type="duplicateValues" dxfId="2" priority="1"/>
  </conditionalFormatting>
  <conditionalFormatting sqref="T60:W60 P60">
    <cfRule type="duplicateValues" dxfId="1" priority="8"/>
  </conditionalFormatting>
  <pageMargins left="0.7" right="0.7" top="0.75" bottom="0.75" header="0.3" footer="0.3"/>
  <pageSetup orientation="portrait" horizontalDpi="1200" verticalDpi="1200" r:id="rId1"/>
  <ignoredErrors>
    <ignoredError sqref="V117:W1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74430-B3E1-4A03-B78D-BABB30AACA32}">
  <sheetPr codeName="Sheet7"/>
  <dimension ref="A1:AC1979"/>
  <sheetViews>
    <sheetView zoomScale="75" zoomScaleNormal="75" workbookViewId="0">
      <pane ySplit="35" topLeftCell="A347" activePane="bottomLeft" state="frozen"/>
      <selection pane="bottomLeft" activeCell="H26" sqref="H26"/>
    </sheetView>
  </sheetViews>
  <sheetFormatPr defaultRowHeight="15" x14ac:dyDescent="0.25"/>
  <cols>
    <col min="1" max="1" width="19.5703125" style="370" bestFit="1" customWidth="1"/>
    <col min="2" max="2" width="11" style="370" bestFit="1" customWidth="1"/>
    <col min="3" max="3" width="20.5703125" style="370" bestFit="1" customWidth="1"/>
    <col min="4" max="4" width="12.5703125" style="1" bestFit="1" customWidth="1"/>
    <col min="5" max="5" width="13.5703125" style="1" bestFit="1" customWidth="1"/>
    <col min="6" max="6" width="10.7109375" style="300" customWidth="1"/>
    <col min="7" max="7" width="8.7109375" style="300" customWidth="1"/>
    <col min="8" max="11" width="6.42578125" style="394" bestFit="1" customWidth="1"/>
    <col min="12" max="12" width="7.140625" style="370" bestFit="1" customWidth="1"/>
    <col min="13" max="13" width="10.42578125" style="370" bestFit="1" customWidth="1"/>
    <col min="14" max="14" width="1.7109375" style="402" customWidth="1"/>
    <col min="15" max="15" width="12" style="370" bestFit="1" customWidth="1"/>
    <col min="16" max="16" width="61.140625" style="370" bestFit="1" customWidth="1"/>
    <col min="17" max="17" width="15.42578125" style="370" bestFit="1" customWidth="1"/>
    <col min="18" max="18" width="1.7109375" style="402" customWidth="1"/>
    <col min="19" max="19" width="4.5703125" style="1" bestFit="1" customWidth="1"/>
    <col min="20" max="20" width="7.7109375" style="370" bestFit="1" customWidth="1"/>
    <col min="21" max="21" width="25.7109375" style="1" bestFit="1" customWidth="1"/>
    <col min="22" max="22" width="25.7109375" style="16" bestFit="1" customWidth="1"/>
    <col min="23" max="23" width="11" style="370" bestFit="1" customWidth="1"/>
    <col min="24" max="24" width="9.42578125" style="370" bestFit="1" customWidth="1"/>
    <col min="25" max="25" width="10.28515625" style="370" bestFit="1" customWidth="1"/>
    <col min="26" max="26" width="11" style="1" bestFit="1" customWidth="1"/>
    <col min="27" max="27" width="8.140625" style="1" bestFit="1" customWidth="1"/>
    <col min="28" max="28" width="9.140625" style="370"/>
    <col min="29" max="29" width="9.42578125" style="370" bestFit="1" customWidth="1"/>
    <col min="30" max="30" width="4.5703125" style="370" bestFit="1" customWidth="1"/>
    <col min="31" max="31" width="5.7109375" style="370" bestFit="1" customWidth="1"/>
    <col min="32" max="32" width="10.85546875" style="370" bestFit="1" customWidth="1"/>
    <col min="33" max="33" width="9.42578125" style="370" bestFit="1" customWidth="1"/>
    <col min="34" max="34" width="11" style="370" bestFit="1" customWidth="1"/>
    <col min="35" max="35" width="9.42578125" style="370" bestFit="1" customWidth="1"/>
    <col min="36" max="36" width="10.28515625" style="370" bestFit="1" customWidth="1"/>
    <col min="37" max="37" width="6.85546875" style="370" bestFit="1" customWidth="1"/>
    <col min="38" max="38" width="4.85546875" style="370" bestFit="1" customWidth="1"/>
    <col min="39" max="39" width="8.140625" style="370" bestFit="1" customWidth="1"/>
    <col min="40" max="16384" width="9.140625" style="370"/>
  </cols>
  <sheetData>
    <row r="1" spans="1:17" x14ac:dyDescent="0.25">
      <c r="A1" s="370" t="s">
        <v>1789</v>
      </c>
      <c r="B1" s="370" t="s">
        <v>1694</v>
      </c>
    </row>
    <row r="2" spans="1:17" x14ac:dyDescent="0.25">
      <c r="A2" s="370" t="s">
        <v>1798</v>
      </c>
      <c r="B2" s="394">
        <v>22.1</v>
      </c>
      <c r="D2" s="1" t="s">
        <v>1821</v>
      </c>
      <c r="E2" s="1" t="s">
        <v>1822</v>
      </c>
      <c r="F2" s="300" t="s">
        <v>1823</v>
      </c>
      <c r="G2" s="300" t="s">
        <v>1824</v>
      </c>
      <c r="P2" s="1" t="s">
        <v>975</v>
      </c>
      <c r="Q2" s="1" t="s">
        <v>141</v>
      </c>
    </row>
    <row r="3" spans="1:17" x14ac:dyDescent="0.25">
      <c r="A3" s="370" t="s">
        <v>1799</v>
      </c>
      <c r="B3" s="394">
        <v>24.7</v>
      </c>
      <c r="D3" s="1" t="s">
        <v>1825</v>
      </c>
      <c r="E3" s="1" t="s">
        <v>1826</v>
      </c>
      <c r="F3" s="300" t="s">
        <v>1794</v>
      </c>
      <c r="G3" s="300" t="s">
        <v>1792</v>
      </c>
      <c r="P3" t="s">
        <v>977</v>
      </c>
      <c r="Q3" s="5">
        <v>3.9</v>
      </c>
    </row>
    <row r="4" spans="1:17" x14ac:dyDescent="0.25">
      <c r="A4" s="370" t="s">
        <v>1800</v>
      </c>
      <c r="B4" s="394">
        <v>19.899999999999999</v>
      </c>
      <c r="D4" s="1" t="s">
        <v>1827</v>
      </c>
      <c r="E4" s="1" t="s">
        <v>1828</v>
      </c>
      <c r="F4" s="300" t="s">
        <v>1792</v>
      </c>
      <c r="G4" s="300" t="s">
        <v>1794</v>
      </c>
      <c r="P4" t="str" cm="1">
        <f t="array" ref="P4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ROWS($P$4:P4)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- 2"</v>
      </c>
      <c r="Q4" s="5">
        <f>IF(P4="","",IFERROR(_xlfn.XLOOKUP(TRIM(SUBSTITUTE(P4," ★","")),CostData!$P$22:$P$1000,CostData!$Q$22:$Q$1000,""),""))</f>
        <v>28.525461538461538</v>
      </c>
    </row>
    <row r="5" spans="1:17" x14ac:dyDescent="0.25">
      <c r="A5" s="370" t="s">
        <v>1801</v>
      </c>
      <c r="B5" s="394">
        <v>6100</v>
      </c>
      <c r="P5" t="str" cm="1">
        <f t="array" ref="P5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ROWS($P$4:P5)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- 5"</v>
      </c>
      <c r="Q5" s="5">
        <f>IF(P5="","",IFERROR(_xlfn.XLOOKUP(TRIM(SUBSTITUTE(P5," ★","")),CostData!$P$22:$P$1000,CostData!$Q$22:$Q$1000,""),""))</f>
        <v>32.037384615384617</v>
      </c>
    </row>
    <row r="6" spans="1:17" x14ac:dyDescent="0.25">
      <c r="A6" s="370" t="s">
        <v>1802</v>
      </c>
      <c r="B6" s="394">
        <f>B5/304.8</f>
        <v>20.013123359580053</v>
      </c>
      <c r="P6" t="str" cm="1">
        <f t="array" ref="P6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ROWS($P$4:P6)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6" s="5" t="str">
        <f>IF(P6="","",IFERROR(_xlfn.XLOOKUP(TRIM(SUBSTITUTE(P6," ★","")),CostData!$P$22:$P$1000,CostData!$Q$22:$Q$1000,""),""))</f>
        <v/>
      </c>
    </row>
    <row r="7" spans="1:17" x14ac:dyDescent="0.25">
      <c r="A7" s="370" t="s">
        <v>1803</v>
      </c>
      <c r="B7" s="394">
        <f>B5-40</f>
        <v>6060</v>
      </c>
      <c r="P7" t="str" cm="1">
        <f t="array" ref="P7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ROWS($P$4:P7)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7" s="5" t="str">
        <f>IF(P7="","",IFERROR(_xlfn.XLOOKUP(TRIM(SUBSTITUTE(P7," ★","")),CostData!$P$22:$P$1000,CostData!$Q$22:$Q$1000,""),""))</f>
        <v/>
      </c>
    </row>
    <row r="8" spans="1:17" x14ac:dyDescent="0.25">
      <c r="A8" s="370" t="s">
        <v>1804</v>
      </c>
      <c r="B8" s="394">
        <f>B7/304.8</f>
        <v>19.881889763779526</v>
      </c>
      <c r="P8" t="str" cm="1">
        <f t="array" ref="P8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ROWS($P$4:P8)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8" s="5" t="str">
        <f>IF(P8="","",IFERROR(_xlfn.XLOOKUP(TRIM(SUBSTITUTE(P8," ★","")),CostData!$P$22:$P$1000,CostData!$Q$22:$Q$1000,""),""))</f>
        <v/>
      </c>
    </row>
    <row r="9" spans="1:17" x14ac:dyDescent="0.25">
      <c r="A9" s="370" t="s">
        <v>1805</v>
      </c>
      <c r="B9" s="2" t="s">
        <v>1827</v>
      </c>
      <c r="P9" t="str" cm="1">
        <f t="array" ref="P9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ROWS($P$4:P9)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9" s="5" t="str">
        <f>IF(P9="","",IFERROR(_xlfn.XLOOKUP(TRIM(SUBSTITUTE(P9," ★","")),CostData!$P$22:$P$1000,CostData!$Q$22:$Q$1000,""),""))</f>
        <v/>
      </c>
    </row>
    <row r="10" spans="1:17" x14ac:dyDescent="0.25">
      <c r="A10" s="370" t="s">
        <v>1816</v>
      </c>
      <c r="B10" s="2">
        <v>1.2</v>
      </c>
      <c r="P10" t="str" cm="1">
        <f t="array" ref="P10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ROWS($P$4:P10)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0" s="5" t="str">
        <f>IF(P10="","",IFERROR(_xlfn.XLOOKUP(TRIM(SUBSTITUTE(P10," ★","")),CostData!$P$22:$P$1000,CostData!$Q$22:$Q$1000,""),""))</f>
        <v/>
      </c>
    </row>
    <row r="11" spans="1:17" x14ac:dyDescent="0.25">
      <c r="A11" s="370" t="s">
        <v>1817</v>
      </c>
      <c r="B11" s="2">
        <v>1.3</v>
      </c>
      <c r="P11" t="str" cm="1">
        <f t="array" ref="P11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ROWS($P$4:P11)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1" s="5" t="str">
        <f>IF(P11="","",IFERROR(_xlfn.XLOOKUP(TRIM(SUBSTITUTE(P11," ★","")),CostData!$P$22:$P$1000,CostData!$Q$22:$Q$1000,""),""))</f>
        <v/>
      </c>
    </row>
    <row r="12" spans="1:17" x14ac:dyDescent="0.25">
      <c r="A12" s="370" t="s">
        <v>1806</v>
      </c>
      <c r="B12" s="2" t="s">
        <v>1828</v>
      </c>
      <c r="P12" t="str" cm="1">
        <f t="array" ref="P12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ROWS($P$4:P12)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2" s="5" t="str">
        <f>IF(P12="","",IFERROR(_xlfn.XLOOKUP(TRIM(SUBSTITUTE(P12," ★","")),CostData!$P$22:$P$1000,CostData!$Q$22:$Q$1000,""),""))</f>
        <v/>
      </c>
    </row>
    <row r="13" spans="1:17" x14ac:dyDescent="0.25">
      <c r="A13" s="370" t="s">
        <v>1818</v>
      </c>
      <c r="B13" s="2">
        <v>4</v>
      </c>
      <c r="P13" s="181" t="str" cm="1">
        <f t="array" ref="P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3" s="184" t="str" cm="1">
        <f t="array" ref="Q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4" spans="1:17" x14ac:dyDescent="0.25">
      <c r="A14" s="370" t="s">
        <v>1819</v>
      </c>
      <c r="B14" s="2">
        <v>4.4000000000000004</v>
      </c>
      <c r="O14" t="str" cm="1">
        <f t="array" ref="O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4" s="5" t="str" cm="1">
        <f t="array" ref="P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5" spans="1:17" x14ac:dyDescent="0.25">
      <c r="A15" s="370" t="s">
        <v>1807</v>
      </c>
      <c r="B15" s="2" t="s">
        <v>1794</v>
      </c>
      <c r="O15" t="str" cm="1">
        <f t="array" ref="O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5" s="5" t="str" cm="1">
        <f t="array" ref="P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6" spans="1:17" x14ac:dyDescent="0.25">
      <c r="A16" s="370" t="s">
        <v>1808</v>
      </c>
      <c r="B16" s="2" t="s">
        <v>1794</v>
      </c>
    </row>
    <row r="17" spans="1:29" x14ac:dyDescent="0.25">
      <c r="A17" s="370" t="s">
        <v>1820</v>
      </c>
      <c r="B17" s="396">
        <v>0.05</v>
      </c>
    </row>
    <row r="18" spans="1:29" x14ac:dyDescent="0.25">
      <c r="A18" s="370" t="s">
        <v>1857</v>
      </c>
      <c r="B18" s="396">
        <v>0.03</v>
      </c>
    </row>
    <row r="19" spans="1:29" x14ac:dyDescent="0.25">
      <c r="A19" s="390" t="s">
        <v>1813</v>
      </c>
      <c r="O19" s="390" t="s">
        <v>1833</v>
      </c>
      <c r="S19" s="414" t="s">
        <v>1856</v>
      </c>
    </row>
    <row r="20" spans="1:29" x14ac:dyDescent="0.25">
      <c r="A20" s="392" t="s">
        <v>1809</v>
      </c>
      <c r="B20" s="393"/>
      <c r="C20" s="393"/>
      <c r="D20" s="247"/>
      <c r="E20" s="17"/>
    </row>
    <row r="21" spans="1:29" x14ac:dyDescent="0.25">
      <c r="A21" s="1" t="s">
        <v>175</v>
      </c>
      <c r="B21" s="1" t="s">
        <v>1810</v>
      </c>
      <c r="C21" s="1" t="s">
        <v>1756</v>
      </c>
      <c r="D21" s="1" t="s">
        <v>1797</v>
      </c>
      <c r="E21" s="1" t="s">
        <v>1790</v>
      </c>
      <c r="F21" s="300" t="s">
        <v>1489</v>
      </c>
      <c r="G21" s="300" t="s">
        <v>1791</v>
      </c>
      <c r="H21" s="2" t="s">
        <v>1792</v>
      </c>
      <c r="I21" s="2" t="s">
        <v>1793</v>
      </c>
      <c r="J21" s="2" t="s">
        <v>1814</v>
      </c>
      <c r="K21" s="2" t="s">
        <v>1815</v>
      </c>
      <c r="L21" s="1" t="s">
        <v>1795</v>
      </c>
      <c r="M21" s="1" t="s">
        <v>1796</v>
      </c>
      <c r="O21" s="1" t="s">
        <v>175</v>
      </c>
      <c r="P21" s="4" t="s">
        <v>1790</v>
      </c>
      <c r="Q21" s="6" t="s">
        <v>141</v>
      </c>
      <c r="S21" s="1" t="s">
        <v>175</v>
      </c>
      <c r="T21" s="1" t="s">
        <v>1810</v>
      </c>
      <c r="U21" s="1" t="s">
        <v>1756</v>
      </c>
      <c r="V21" s="16" t="s">
        <v>1797</v>
      </c>
      <c r="W21" s="1" t="s">
        <v>1790</v>
      </c>
      <c r="X21" s="1" t="s">
        <v>1851</v>
      </c>
      <c r="Y21" s="1" t="s">
        <v>1852</v>
      </c>
      <c r="Z21" s="26" t="s">
        <v>1853</v>
      </c>
      <c r="AA21" s="1" t="s">
        <v>1854</v>
      </c>
      <c r="AB21" s="26" t="s">
        <v>1876</v>
      </c>
      <c r="AC21" s="26" t="s">
        <v>1855</v>
      </c>
    </row>
    <row r="22" spans="1:29" x14ac:dyDescent="0.25">
      <c r="A22" s="370" cm="1">
        <f t="array" ref="A22:A1000">_xlfn.LET(_xlpm.r,B22:B1000,_xlpm.nz,_xlfn._xlws.FILTER(ROW(_xlpm.r),_xlpm.r&lt;&gt;""),IF(_xlpm.r="","",MATCH(ROW(_xlpm.r),_xlpm.nz,0)))</f>
        <v>1</v>
      </c>
      <c r="B22" s="1" t="s">
        <v>1811</v>
      </c>
      <c r="C22" s="370" t="s">
        <v>1975</v>
      </c>
      <c r="D22" s="1" t="s">
        <v>1976</v>
      </c>
      <c r="E22" s="1" t="s">
        <v>1976</v>
      </c>
      <c r="F22" s="300">
        <v>0.21199999999999999</v>
      </c>
      <c r="G22" s="300">
        <v>101.6</v>
      </c>
      <c r="H22" s="394">
        <f t="shared" ref="H22:H51" si="0">IF($C22="","",ROUND((($B$2*$F22*($B$5/1000))/$B$6)*(1+IF($B$18="",0,$B$18)),2))</f>
        <v>1.47</v>
      </c>
      <c r="I22" s="394">
        <f t="shared" ref="I22:I51" si="1">IF($C22="","",ROUND((($B$3*$F22*($B$5/1000))/$B$6)*(1+IF($B$18="",0,$B$18)),2))</f>
        <v>1.64</v>
      </c>
      <c r="J22" s="394">
        <f t="shared" ref="J22:J51" si="2">IF(OR($C22="",$B$9="",$B$15=""),"",ROUND((((((IF($B$15="N/A",$B$2,$B$4))*$F22*($B$5/1000))+((($G22/1000)*($B$5/1000)*10.7639104)*(IF($B$9="Smooth",$B$10,IF($B$9="Sand",$B$11,0)))))*(1+$B$17))/$B$8)*(1+IF($B$18="",0,$B$18)),2))</f>
        <v>1.87</v>
      </c>
      <c r="K22" s="394">
        <f t="shared" ref="K22:K51" si="3">IF(OR($C22="",$B$12="",$B$15=""),"",ROUND((((((IF($B$15="N/A",$B$2,$B$4))*$F22*($B$5/1000))+((($G22/1000)*($B$5/1000)*10.7639104)*(IF($B$12="Indoor",$B$13,IF($B$12="Outdoor",$B$14,0)))))*(1+$B$17))/$B$8)*(1+IF($B$18="",0,$B$18)),2))</f>
        <v>3</v>
      </c>
      <c r="O22" s="370" cm="1">
        <f t="array" ref="O22:O1000">_xlfn.LET(_xlpm.r,P22:P1000,_xlpm.nz,_xlfn._xlws.FILTER(ROW(_xlpm.r),_xlpm.r&lt;&gt;""),IF(_xlpm.r="","",MATCH(ROW(_xlpm.r),_xlpm.nz,0)))</f>
        <v>1</v>
      </c>
      <c r="P22" t="s">
        <v>979</v>
      </c>
      <c r="Q22" s="5">
        <v>1.65</v>
      </c>
      <c r="S22" s="1" cm="1">
        <f t="array" ref="S22:S1000">_xlfn.LET(_xlpm.r,W22:W1000,_xlpm.nz,_xlfn._xlws.FILTER(ROW(_xlpm.r),_xlpm.r&lt;&gt;""),IF(_xlpm.r="","",MATCH(ROW(_xlpm.r),_xlpm.nz,0)))</f>
        <v>1</v>
      </c>
      <c r="T22" s="370" t="s">
        <v>1890</v>
      </c>
      <c r="U22" s="1" t="s">
        <v>1891</v>
      </c>
      <c r="V22" s="16" t="s">
        <v>1890</v>
      </c>
      <c r="W22" s="370" t="s">
        <v>1892</v>
      </c>
      <c r="X22" s="370" t="s">
        <v>1893</v>
      </c>
      <c r="Y22" s="370">
        <f>60/((1*2)*0.0254)*3.28084</f>
        <v>3875.0078740157478</v>
      </c>
      <c r="Z22" s="1">
        <v>310</v>
      </c>
      <c r="AA22" s="1" t="s">
        <v>103</v>
      </c>
      <c r="AC22" s="26">
        <f>IF($AB22&lt;&gt;"",$AB22,IFERROR(ROUNDUP($Z22/$Y22,1),""))</f>
        <v>0.1</v>
      </c>
    </row>
    <row r="23" spans="1:29" x14ac:dyDescent="0.25">
      <c r="A23" s="370">
        <v>2</v>
      </c>
      <c r="B23" s="370" t="s">
        <v>1811</v>
      </c>
      <c r="C23" s="16" t="s">
        <v>1953</v>
      </c>
      <c r="D23" s="1" t="s">
        <v>1946</v>
      </c>
      <c r="E23" s="1" t="s">
        <v>1946</v>
      </c>
      <c r="F23" s="300">
        <v>0.186</v>
      </c>
      <c r="G23" s="300">
        <v>121.97</v>
      </c>
      <c r="H23" s="394">
        <f t="shared" si="0"/>
        <v>1.29</v>
      </c>
      <c r="I23" s="394">
        <f t="shared" si="1"/>
        <v>1.44</v>
      </c>
      <c r="J23" s="394">
        <f t="shared" si="2"/>
        <v>1.79</v>
      </c>
      <c r="K23" s="394">
        <f t="shared" si="3"/>
        <v>3.14</v>
      </c>
      <c r="O23" s="370">
        <v>2</v>
      </c>
      <c r="P23" t="s">
        <v>993</v>
      </c>
      <c r="Q23" s="5">
        <v>5.0999999999999996</v>
      </c>
      <c r="S23" s="1">
        <v>2</v>
      </c>
      <c r="T23" s="370" t="s">
        <v>1890</v>
      </c>
      <c r="U23" s="1" t="s">
        <v>1894</v>
      </c>
      <c r="V23" s="16" t="s">
        <v>1890</v>
      </c>
      <c r="W23" s="370" t="s">
        <v>1895</v>
      </c>
      <c r="X23" s="370" t="s">
        <v>1893</v>
      </c>
      <c r="Y23" s="370">
        <f>60/((1.5*2)*0.0254)*3.28084</f>
        <v>2583.338582677166</v>
      </c>
      <c r="Z23" s="1">
        <v>310</v>
      </c>
      <c r="AA23" s="1" t="s">
        <v>103</v>
      </c>
      <c r="AC23" s="26">
        <f t="shared" ref="AC23:AC48" si="4">IF($AB23&lt;&gt;"",$AB23,IFERROR(ROUNDUP($Z23/$Y23,1),""))</f>
        <v>0.2</v>
      </c>
    </row>
    <row r="24" spans="1:29" x14ac:dyDescent="0.25">
      <c r="A24" s="370">
        <v>3</v>
      </c>
      <c r="B24" s="370" t="s">
        <v>1811</v>
      </c>
      <c r="C24" s="16" t="s">
        <v>1953</v>
      </c>
      <c r="D24" s="1" t="s">
        <v>1946</v>
      </c>
      <c r="E24" s="1" t="s">
        <v>1946</v>
      </c>
      <c r="F24" s="300">
        <v>0.186</v>
      </c>
      <c r="G24" s="300">
        <v>121.97</v>
      </c>
      <c r="H24" s="394">
        <f t="shared" si="0"/>
        <v>1.29</v>
      </c>
      <c r="I24" s="394">
        <f t="shared" si="1"/>
        <v>1.44</v>
      </c>
      <c r="J24" s="394">
        <f t="shared" si="2"/>
        <v>1.79</v>
      </c>
      <c r="K24" s="394">
        <f t="shared" si="3"/>
        <v>3.14</v>
      </c>
      <c r="O24" s="370">
        <v>3</v>
      </c>
      <c r="P24" t="s">
        <v>1000</v>
      </c>
      <c r="Q24" s="5">
        <v>5.6</v>
      </c>
      <c r="S24" s="1">
        <v>3</v>
      </c>
      <c r="T24" s="370" t="s">
        <v>1890</v>
      </c>
      <c r="U24" s="1" t="s">
        <v>1896</v>
      </c>
      <c r="V24" s="16" t="s">
        <v>1890</v>
      </c>
      <c r="W24" s="370" t="s">
        <v>1897</v>
      </c>
      <c r="X24" s="370" t="s">
        <v>1893</v>
      </c>
      <c r="Y24" s="370">
        <f>60/((2*2)*0.0254)*3.28084</f>
        <v>1937.5039370078739</v>
      </c>
      <c r="Z24" s="1">
        <v>310</v>
      </c>
      <c r="AA24" s="1" t="s">
        <v>103</v>
      </c>
      <c r="AC24" s="26">
        <f t="shared" si="4"/>
        <v>0.2</v>
      </c>
    </row>
    <row r="25" spans="1:29" x14ac:dyDescent="0.25">
      <c r="A25" s="370">
        <v>4</v>
      </c>
      <c r="B25" s="370" t="s">
        <v>1811</v>
      </c>
      <c r="C25" s="370" t="s">
        <v>1940</v>
      </c>
      <c r="D25" s="1" t="s">
        <v>1946</v>
      </c>
      <c r="E25" s="1" t="s">
        <v>1946</v>
      </c>
      <c r="F25" s="300">
        <v>0.20200000000000001</v>
      </c>
      <c r="G25" s="300">
        <v>141.24</v>
      </c>
      <c r="H25" s="394">
        <f t="shared" si="0"/>
        <v>1.4</v>
      </c>
      <c r="I25" s="394">
        <f t="shared" si="1"/>
        <v>1.57</v>
      </c>
      <c r="J25" s="394">
        <f t="shared" si="2"/>
        <v>1.99</v>
      </c>
      <c r="K25" s="394">
        <f t="shared" si="3"/>
        <v>3.55</v>
      </c>
      <c r="O25" s="370">
        <v>4</v>
      </c>
      <c r="P25" t="s">
        <v>980</v>
      </c>
      <c r="Q25" s="5">
        <v>1.8</v>
      </c>
      <c r="S25" s="1">
        <v>4</v>
      </c>
      <c r="T25" s="370" t="s">
        <v>1890</v>
      </c>
      <c r="U25" s="1" t="s">
        <v>1898</v>
      </c>
      <c r="V25" s="16" t="s">
        <v>1890</v>
      </c>
      <c r="W25" s="370" t="s">
        <v>1899</v>
      </c>
      <c r="X25" s="370" t="s">
        <v>1893</v>
      </c>
      <c r="Y25" s="370">
        <f>60/((2.5*2)*0.0254)*3.28084</f>
        <v>1550.0031496062993</v>
      </c>
      <c r="Z25" s="1">
        <v>310</v>
      </c>
      <c r="AA25" s="1" t="s">
        <v>103</v>
      </c>
      <c r="AC25" s="26">
        <f t="shared" si="4"/>
        <v>0.2</v>
      </c>
    </row>
    <row r="26" spans="1:29" x14ac:dyDescent="0.25">
      <c r="A26" s="370">
        <v>5</v>
      </c>
      <c r="B26" s="370" t="s">
        <v>1811</v>
      </c>
      <c r="C26" s="370" t="s">
        <v>1995</v>
      </c>
      <c r="D26" s="1" t="s">
        <v>2000</v>
      </c>
      <c r="E26" s="1" t="s">
        <v>2000</v>
      </c>
      <c r="F26" s="300">
        <v>0.19400000000000001</v>
      </c>
      <c r="G26" s="300">
        <v>144.18</v>
      </c>
      <c r="H26" s="394">
        <f t="shared" si="0"/>
        <v>1.35</v>
      </c>
      <c r="I26" s="394">
        <f t="shared" si="1"/>
        <v>1.5</v>
      </c>
      <c r="J26" s="394">
        <f t="shared" si="2"/>
        <v>1.95</v>
      </c>
      <c r="K26" s="394">
        <f t="shared" si="3"/>
        <v>3.55</v>
      </c>
      <c r="O26" s="370">
        <v>5</v>
      </c>
      <c r="P26" t="s">
        <v>994</v>
      </c>
      <c r="Q26" s="5">
        <v>6.1</v>
      </c>
      <c r="S26" s="1">
        <v>5</v>
      </c>
      <c r="T26" s="370" t="s">
        <v>1890</v>
      </c>
      <c r="U26" s="1" t="s">
        <v>1900</v>
      </c>
      <c r="V26" s="16" t="s">
        <v>1890</v>
      </c>
      <c r="W26" s="370" t="s">
        <v>1901</v>
      </c>
      <c r="X26" s="370" t="s">
        <v>1893</v>
      </c>
      <c r="Y26" s="370">
        <f>60/((3*2)*0.0254)*3.28084</f>
        <v>1291.669291338583</v>
      </c>
      <c r="Z26" s="1">
        <v>310</v>
      </c>
      <c r="AA26" s="1" t="s">
        <v>103</v>
      </c>
      <c r="AC26" s="26">
        <f t="shared" si="4"/>
        <v>0.30000000000000004</v>
      </c>
    </row>
    <row r="27" spans="1:29" x14ac:dyDescent="0.25">
      <c r="A27" s="370">
        <v>6</v>
      </c>
      <c r="B27" s="370" t="s">
        <v>1811</v>
      </c>
      <c r="C27" s="370" t="s">
        <v>1929</v>
      </c>
      <c r="D27" s="1" t="s">
        <v>114</v>
      </c>
      <c r="E27" s="1" t="s">
        <v>114</v>
      </c>
      <c r="F27" s="300">
        <v>0.19600000000000001</v>
      </c>
      <c r="G27" s="300">
        <v>150.05000000000001</v>
      </c>
      <c r="H27" s="394">
        <f t="shared" si="0"/>
        <v>1.36</v>
      </c>
      <c r="I27" s="394">
        <f t="shared" si="1"/>
        <v>1.52</v>
      </c>
      <c r="J27" s="394">
        <f t="shared" si="2"/>
        <v>1.99</v>
      </c>
      <c r="K27" s="394">
        <f t="shared" si="3"/>
        <v>3.65</v>
      </c>
      <c r="O27" s="370">
        <v>6</v>
      </c>
      <c r="P27" t="s">
        <v>1032</v>
      </c>
      <c r="Q27" s="5">
        <v>2.9</v>
      </c>
      <c r="S27" s="1">
        <v>6</v>
      </c>
      <c r="T27" s="370" t="s">
        <v>1890</v>
      </c>
      <c r="U27" s="1" t="s">
        <v>1902</v>
      </c>
      <c r="V27" s="16" t="s">
        <v>1890</v>
      </c>
      <c r="W27" s="370" t="s">
        <v>1903</v>
      </c>
      <c r="X27" s="370" t="s">
        <v>1893</v>
      </c>
      <c r="Y27" s="370">
        <f>60/((3.5*2)*0.0254)*3.28084</f>
        <v>1107.1451068616423</v>
      </c>
      <c r="Z27" s="1">
        <v>310</v>
      </c>
      <c r="AA27" s="1" t="s">
        <v>103</v>
      </c>
      <c r="AC27" s="26">
        <f t="shared" si="4"/>
        <v>0.30000000000000004</v>
      </c>
    </row>
    <row r="28" spans="1:29" x14ac:dyDescent="0.25">
      <c r="A28" s="370">
        <v>7</v>
      </c>
      <c r="B28" s="370" t="s">
        <v>1811</v>
      </c>
      <c r="C28" s="370" t="s">
        <v>1967</v>
      </c>
      <c r="D28" s="1" t="s">
        <v>1968</v>
      </c>
      <c r="E28" s="1" t="s">
        <v>1968</v>
      </c>
      <c r="F28" s="300">
        <v>0.36299999999999999</v>
      </c>
      <c r="G28" s="300">
        <v>152.4</v>
      </c>
      <c r="H28" s="394">
        <f t="shared" si="0"/>
        <v>2.52</v>
      </c>
      <c r="I28" s="394">
        <f t="shared" si="1"/>
        <v>2.81</v>
      </c>
      <c r="J28" s="394">
        <f t="shared" si="2"/>
        <v>3.1</v>
      </c>
      <c r="K28" s="394">
        <f t="shared" si="3"/>
        <v>4.79</v>
      </c>
      <c r="O28" s="370">
        <v>7</v>
      </c>
      <c r="P28" t="s">
        <v>1334</v>
      </c>
      <c r="Q28" s="5">
        <v>4.25</v>
      </c>
      <c r="S28" s="1">
        <v>7</v>
      </c>
      <c r="T28" s="370" t="s">
        <v>1890</v>
      </c>
      <c r="U28" s="1" t="s">
        <v>1904</v>
      </c>
      <c r="V28" s="16" t="s">
        <v>1890</v>
      </c>
      <c r="W28" s="370" t="s">
        <v>1905</v>
      </c>
      <c r="X28" s="370" t="s">
        <v>1893</v>
      </c>
      <c r="Y28" s="370">
        <f>60/((4*2)*0.0254)*3.28084</f>
        <v>968.75196850393695</v>
      </c>
      <c r="Z28" s="1">
        <v>310</v>
      </c>
      <c r="AA28" s="1" t="s">
        <v>103</v>
      </c>
      <c r="AC28" s="26">
        <f t="shared" si="4"/>
        <v>0.4</v>
      </c>
    </row>
    <row r="29" spans="1:29" x14ac:dyDescent="0.25">
      <c r="A29" s="370">
        <v>8</v>
      </c>
      <c r="B29" s="370" t="s">
        <v>1811</v>
      </c>
      <c r="C29" s="370" t="s">
        <v>1948</v>
      </c>
      <c r="D29" s="1" t="s">
        <v>1946</v>
      </c>
      <c r="E29" s="1" t="s">
        <v>1946</v>
      </c>
      <c r="F29" s="300">
        <v>0.28100000000000003</v>
      </c>
      <c r="G29" s="300">
        <v>166.19</v>
      </c>
      <c r="H29" s="394">
        <f t="shared" si="0"/>
        <v>1.95</v>
      </c>
      <c r="I29" s="394">
        <f t="shared" si="1"/>
        <v>2.1800000000000002</v>
      </c>
      <c r="J29" s="394">
        <f t="shared" si="2"/>
        <v>2.63</v>
      </c>
      <c r="K29" s="394">
        <f t="shared" si="3"/>
        <v>4.47</v>
      </c>
      <c r="O29" s="370">
        <v>8</v>
      </c>
      <c r="P29" t="s">
        <v>986</v>
      </c>
      <c r="Q29" s="5">
        <v>4.25</v>
      </c>
      <c r="S29" s="1">
        <v>8</v>
      </c>
      <c r="T29" s="370" t="s">
        <v>1875</v>
      </c>
      <c r="U29" s="1">
        <v>2566</v>
      </c>
      <c r="V29" s="16" t="s">
        <v>1883</v>
      </c>
      <c r="W29" s="370" t="s">
        <v>1884</v>
      </c>
      <c r="X29" s="370" t="s">
        <v>1882</v>
      </c>
      <c r="Y29" s="370">
        <v>501.96852000000001</v>
      </c>
      <c r="Z29" s="1">
        <v>102.6</v>
      </c>
      <c r="AA29" s="1" t="s">
        <v>103</v>
      </c>
      <c r="AC29" s="26">
        <f t="shared" si="4"/>
        <v>0.30000000000000004</v>
      </c>
    </row>
    <row r="30" spans="1:29" x14ac:dyDescent="0.25">
      <c r="A30" s="370">
        <v>9</v>
      </c>
      <c r="B30" s="370" t="s">
        <v>1811</v>
      </c>
      <c r="C30" s="370" t="s">
        <v>1966</v>
      </c>
      <c r="D30" s="1" t="s">
        <v>1968</v>
      </c>
      <c r="E30" s="1" t="s">
        <v>1968</v>
      </c>
      <c r="F30" s="300">
        <v>0.48699999999999999</v>
      </c>
      <c r="G30" s="300">
        <v>203.2</v>
      </c>
      <c r="H30" s="394">
        <f t="shared" si="0"/>
        <v>3.38</v>
      </c>
      <c r="I30" s="394">
        <f t="shared" si="1"/>
        <v>3.78</v>
      </c>
      <c r="J30" s="394">
        <f t="shared" si="2"/>
        <v>4.16</v>
      </c>
      <c r="K30" s="394">
        <f t="shared" si="3"/>
        <v>6.41</v>
      </c>
      <c r="O30" s="370">
        <v>9</v>
      </c>
      <c r="P30" t="s">
        <v>1030</v>
      </c>
      <c r="Q30" s="5">
        <v>2.5</v>
      </c>
      <c r="S30" s="1">
        <v>9</v>
      </c>
      <c r="T30" s="370" t="s">
        <v>1875</v>
      </c>
      <c r="U30" s="1">
        <v>2152</v>
      </c>
      <c r="W30" s="370" t="s">
        <v>1906</v>
      </c>
      <c r="X30" s="370" t="s">
        <v>1882</v>
      </c>
      <c r="Y30" s="370">
        <v>501.96852000000001</v>
      </c>
      <c r="Z30" s="1">
        <v>48</v>
      </c>
      <c r="AA30" s="1" t="s">
        <v>103</v>
      </c>
      <c r="AC30" s="26">
        <f t="shared" si="4"/>
        <v>0.1</v>
      </c>
    </row>
    <row r="31" spans="1:29" x14ac:dyDescent="0.25">
      <c r="A31" s="370">
        <v>10</v>
      </c>
      <c r="B31" s="370" t="s">
        <v>1811</v>
      </c>
      <c r="C31" s="370" t="s">
        <v>1926</v>
      </c>
      <c r="D31" s="1" t="s">
        <v>1812</v>
      </c>
      <c r="E31" s="1" t="s">
        <v>1812</v>
      </c>
      <c r="F31" s="300">
        <v>0.32800000000000001</v>
      </c>
      <c r="G31" s="300">
        <v>231.88</v>
      </c>
      <c r="H31" s="394">
        <f t="shared" si="0"/>
        <v>2.2799999999999998</v>
      </c>
      <c r="I31" s="394">
        <f t="shared" si="1"/>
        <v>2.54</v>
      </c>
      <c r="J31" s="394">
        <f t="shared" si="2"/>
        <v>3.24</v>
      </c>
      <c r="K31" s="394">
        <f t="shared" si="3"/>
        <v>5.81</v>
      </c>
      <c r="O31" s="370">
        <v>10</v>
      </c>
      <c r="P31" t="s">
        <v>1001</v>
      </c>
      <c r="Q31" s="5">
        <v>6.6</v>
      </c>
      <c r="S31" s="1">
        <v>10</v>
      </c>
      <c r="T31" s="370" t="s">
        <v>1875</v>
      </c>
      <c r="U31" s="1">
        <v>6154</v>
      </c>
      <c r="V31" s="16" t="s">
        <v>1885</v>
      </c>
      <c r="W31" s="370" t="s">
        <v>1877</v>
      </c>
      <c r="X31" s="370" t="s">
        <v>1882</v>
      </c>
      <c r="Y31" s="370">
        <v>501.96852000000001</v>
      </c>
      <c r="Z31" s="1">
        <v>144</v>
      </c>
      <c r="AA31" s="1" t="s">
        <v>103</v>
      </c>
      <c r="AC31" s="370">
        <f>IF($AB31&lt;&gt;"",$AB31,IFERROR(ROUNDUP($Z31/$Y31,1),""))</f>
        <v>0.30000000000000004</v>
      </c>
    </row>
    <row r="32" spans="1:29" x14ac:dyDescent="0.25">
      <c r="A32" s="370">
        <v>11</v>
      </c>
      <c r="B32" s="370" t="s">
        <v>1811</v>
      </c>
      <c r="C32" s="370" t="s">
        <v>1954</v>
      </c>
      <c r="D32" s="1" t="s">
        <v>1946</v>
      </c>
      <c r="E32" s="1" t="s">
        <v>1946</v>
      </c>
      <c r="F32" s="300">
        <v>0.69499999999999995</v>
      </c>
      <c r="G32" s="300">
        <v>236.92</v>
      </c>
      <c r="H32" s="394">
        <f t="shared" si="0"/>
        <v>4.82</v>
      </c>
      <c r="I32" s="394">
        <f t="shared" si="1"/>
        <v>5.39</v>
      </c>
      <c r="J32" s="394">
        <f t="shared" si="2"/>
        <v>5.69</v>
      </c>
      <c r="K32" s="394">
        <f t="shared" si="3"/>
        <v>8.31</v>
      </c>
      <c r="O32" s="370">
        <v>11</v>
      </c>
      <c r="P32" t="s">
        <v>991</v>
      </c>
      <c r="Q32" s="5">
        <v>5.4</v>
      </c>
      <c r="S32" s="1">
        <v>11</v>
      </c>
      <c r="T32" s="370" t="s">
        <v>1875</v>
      </c>
      <c r="U32" s="1" t="s">
        <v>1907</v>
      </c>
      <c r="V32" s="16" t="s">
        <v>1885</v>
      </c>
      <c r="W32" s="370" t="s">
        <v>1908</v>
      </c>
      <c r="X32" s="370" t="s">
        <v>1909</v>
      </c>
      <c r="Y32" s="370">
        <v>301.83728000000002</v>
      </c>
      <c r="Z32" s="1">
        <v>118</v>
      </c>
      <c r="AA32" s="1" t="s">
        <v>103</v>
      </c>
      <c r="AC32" s="370">
        <f t="shared" si="4"/>
        <v>0.4</v>
      </c>
    </row>
    <row r="33" spans="1:29" x14ac:dyDescent="0.25">
      <c r="A33" s="370">
        <v>12</v>
      </c>
      <c r="B33" s="370" t="s">
        <v>1811</v>
      </c>
      <c r="C33" s="370" t="s">
        <v>1927</v>
      </c>
      <c r="D33" s="1" t="s">
        <v>1849</v>
      </c>
      <c r="E33" s="1" t="s">
        <v>1849</v>
      </c>
      <c r="F33" s="300">
        <v>0.502</v>
      </c>
      <c r="G33" s="300">
        <v>249.38</v>
      </c>
      <c r="H33" s="394">
        <f t="shared" si="0"/>
        <v>3.48</v>
      </c>
      <c r="I33" s="394">
        <f t="shared" si="1"/>
        <v>3.89</v>
      </c>
      <c r="J33" s="394">
        <f t="shared" si="2"/>
        <v>4.47</v>
      </c>
      <c r="K33" s="394">
        <f t="shared" si="3"/>
        <v>7.23</v>
      </c>
      <c r="O33" s="370">
        <v>12</v>
      </c>
      <c r="P33" t="s">
        <v>1018</v>
      </c>
      <c r="Q33" s="5">
        <v>4.4000000000000004</v>
      </c>
      <c r="S33" s="1">
        <v>12</v>
      </c>
      <c r="T33" s="370" t="s">
        <v>1875</v>
      </c>
      <c r="U33" s="1">
        <v>3320</v>
      </c>
      <c r="V33" s="16" t="s">
        <v>1910</v>
      </c>
      <c r="W33" s="370" t="s">
        <v>1888</v>
      </c>
      <c r="X33" s="370" t="s">
        <v>1882</v>
      </c>
      <c r="Y33" s="370">
        <v>501.96852000000001</v>
      </c>
      <c r="Z33" s="1">
        <v>84.5</v>
      </c>
      <c r="AA33" s="1" t="s">
        <v>103</v>
      </c>
      <c r="AC33" s="370">
        <f t="shared" si="4"/>
        <v>0.2</v>
      </c>
    </row>
    <row r="34" spans="1:29" x14ac:dyDescent="0.25">
      <c r="A34" s="370">
        <v>13</v>
      </c>
      <c r="B34" s="370" t="s">
        <v>1811</v>
      </c>
      <c r="C34" s="370" t="s">
        <v>1955</v>
      </c>
      <c r="D34" s="1" t="s">
        <v>1946</v>
      </c>
      <c r="E34" s="1" t="s">
        <v>1946</v>
      </c>
      <c r="F34" s="300">
        <v>0.77900000000000003</v>
      </c>
      <c r="G34" s="300">
        <v>265.33</v>
      </c>
      <c r="H34" s="394">
        <f t="shared" si="0"/>
        <v>5.4</v>
      </c>
      <c r="I34" s="394">
        <f t="shared" si="1"/>
        <v>6.04</v>
      </c>
      <c r="J34" s="394">
        <f t="shared" si="2"/>
        <v>6.38</v>
      </c>
      <c r="K34" s="394">
        <f t="shared" si="3"/>
        <v>9.31</v>
      </c>
      <c r="O34" s="370">
        <v>13</v>
      </c>
      <c r="P34" t="s">
        <v>981</v>
      </c>
      <c r="Q34" s="5">
        <v>2.0499999999999998</v>
      </c>
      <c r="S34" s="1">
        <v>13</v>
      </c>
      <c r="T34" s="370" t="s">
        <v>1875</v>
      </c>
      <c r="U34" s="1">
        <v>1058</v>
      </c>
      <c r="V34" s="16" t="s">
        <v>1911</v>
      </c>
      <c r="W34" s="370" t="s">
        <v>1889</v>
      </c>
      <c r="X34" s="370" t="s">
        <v>1882</v>
      </c>
      <c r="Y34" s="370">
        <v>501.96852000000001</v>
      </c>
      <c r="Z34" s="1">
        <v>100.1</v>
      </c>
      <c r="AA34" s="1" t="s">
        <v>103</v>
      </c>
      <c r="AC34" s="370">
        <f t="shared" si="4"/>
        <v>0.2</v>
      </c>
    </row>
    <row r="35" spans="1:29" x14ac:dyDescent="0.25">
      <c r="A35" s="370">
        <v>14</v>
      </c>
      <c r="B35" s="370" t="s">
        <v>1811</v>
      </c>
      <c r="C35" s="370" t="s">
        <v>1928</v>
      </c>
      <c r="D35" s="1" t="s">
        <v>1850</v>
      </c>
      <c r="E35" s="1" t="s">
        <v>1850</v>
      </c>
      <c r="F35" s="300">
        <v>0.52500000000000002</v>
      </c>
      <c r="G35" s="300">
        <v>266.07</v>
      </c>
      <c r="H35" s="394">
        <f t="shared" si="0"/>
        <v>3.64</v>
      </c>
      <c r="I35" s="394">
        <f t="shared" si="1"/>
        <v>4.07</v>
      </c>
      <c r="J35" s="394">
        <f t="shared" si="2"/>
        <v>4.7</v>
      </c>
      <c r="K35" s="394">
        <f t="shared" si="3"/>
        <v>7.65</v>
      </c>
      <c r="O35" s="370">
        <v>14</v>
      </c>
      <c r="P35" t="s">
        <v>1348</v>
      </c>
      <c r="Q35" s="5">
        <v>10</v>
      </c>
      <c r="S35" s="1">
        <v>14</v>
      </c>
      <c r="T35" s="370" t="s">
        <v>1875</v>
      </c>
      <c r="U35" s="1" t="s">
        <v>1912</v>
      </c>
      <c r="V35" s="16" t="s">
        <v>1913</v>
      </c>
      <c r="W35" s="370" t="s">
        <v>1914</v>
      </c>
      <c r="X35" s="370" t="s">
        <v>1915</v>
      </c>
      <c r="Y35" s="370">
        <v>1000.6562</v>
      </c>
      <c r="Z35" s="1">
        <v>72.599999999999994</v>
      </c>
      <c r="AA35" s="1" t="s">
        <v>103</v>
      </c>
      <c r="AC35" s="370">
        <f t="shared" si="4"/>
        <v>0.1</v>
      </c>
    </row>
    <row r="36" spans="1:29" x14ac:dyDescent="0.25">
      <c r="A36" s="370">
        <v>15</v>
      </c>
      <c r="B36" s="370" t="s">
        <v>1811</v>
      </c>
      <c r="C36" s="370" t="s">
        <v>1941</v>
      </c>
      <c r="D36" s="1" t="s">
        <v>1946</v>
      </c>
      <c r="E36" s="1" t="s">
        <v>1946</v>
      </c>
      <c r="F36" s="300">
        <v>0.874</v>
      </c>
      <c r="G36" s="300">
        <v>279.69</v>
      </c>
      <c r="H36" s="394">
        <f t="shared" si="0"/>
        <v>6.06</v>
      </c>
      <c r="I36" s="394">
        <f t="shared" si="1"/>
        <v>6.78</v>
      </c>
      <c r="J36" s="394">
        <f t="shared" si="2"/>
        <v>7.07</v>
      </c>
      <c r="K36" s="394">
        <f t="shared" si="3"/>
        <v>10.17</v>
      </c>
      <c r="O36" s="370">
        <v>15</v>
      </c>
      <c r="P36" t="s">
        <v>1349</v>
      </c>
      <c r="Q36" s="5">
        <v>12</v>
      </c>
      <c r="S36" s="1">
        <v>15</v>
      </c>
      <c r="T36" s="370" t="s">
        <v>1875</v>
      </c>
      <c r="U36" s="1" t="s">
        <v>1916</v>
      </c>
      <c r="V36" s="16" t="s">
        <v>1913</v>
      </c>
      <c r="W36" s="370" t="s">
        <v>1917</v>
      </c>
      <c r="X36" s="370" t="s">
        <v>1915</v>
      </c>
      <c r="Y36" s="370">
        <v>1000.6562</v>
      </c>
      <c r="Z36" s="1">
        <v>67</v>
      </c>
      <c r="AA36" s="1" t="s">
        <v>103</v>
      </c>
      <c r="AC36" s="370">
        <f t="shared" si="4"/>
        <v>0.1</v>
      </c>
    </row>
    <row r="37" spans="1:29" x14ac:dyDescent="0.25">
      <c r="A37" s="370">
        <v>16</v>
      </c>
      <c r="B37" s="370" t="s">
        <v>1811</v>
      </c>
      <c r="C37" s="370" t="s">
        <v>1952</v>
      </c>
      <c r="D37" s="1" t="s">
        <v>1946</v>
      </c>
      <c r="E37" s="1" t="s">
        <v>1946</v>
      </c>
      <c r="F37" s="300">
        <v>0.45400000000000001</v>
      </c>
      <c r="G37" s="300">
        <v>289.99</v>
      </c>
      <c r="H37" s="394">
        <f t="shared" si="0"/>
        <v>3.15</v>
      </c>
      <c r="I37" s="394">
        <f t="shared" si="1"/>
        <v>3.52</v>
      </c>
      <c r="J37" s="394">
        <f t="shared" si="2"/>
        <v>4.34</v>
      </c>
      <c r="K37" s="394">
        <f t="shared" si="3"/>
        <v>7.56</v>
      </c>
      <c r="O37" s="370">
        <v>16</v>
      </c>
      <c r="P37" t="s">
        <v>989</v>
      </c>
      <c r="Q37" s="5">
        <v>2.9</v>
      </c>
      <c r="S37" s="1">
        <v>16</v>
      </c>
      <c r="T37" s="370" t="s">
        <v>1875</v>
      </c>
      <c r="U37" s="1" t="s">
        <v>1918</v>
      </c>
      <c r="W37" s="370" t="s">
        <v>1919</v>
      </c>
      <c r="X37" s="370" t="s">
        <v>1882</v>
      </c>
      <c r="Y37" s="370">
        <v>501.96852000000001</v>
      </c>
      <c r="Z37" s="1">
        <v>104</v>
      </c>
      <c r="AA37" s="1" t="s">
        <v>103</v>
      </c>
      <c r="AC37" s="370">
        <f t="shared" si="4"/>
        <v>0.30000000000000004</v>
      </c>
    </row>
    <row r="38" spans="1:29" x14ac:dyDescent="0.25">
      <c r="A38" s="370">
        <v>17</v>
      </c>
      <c r="B38" s="370" t="s">
        <v>1811</v>
      </c>
      <c r="C38" s="370" t="s">
        <v>1942</v>
      </c>
      <c r="D38" s="1" t="s">
        <v>1946</v>
      </c>
      <c r="E38" s="1" t="s">
        <v>1946</v>
      </c>
      <c r="F38" s="300">
        <v>0.98</v>
      </c>
      <c r="G38" s="300">
        <v>318.08</v>
      </c>
      <c r="H38" s="394">
        <f t="shared" si="0"/>
        <v>6.8</v>
      </c>
      <c r="I38" s="394">
        <f t="shared" si="1"/>
        <v>7.6</v>
      </c>
      <c r="J38" s="394">
        <f t="shared" si="2"/>
        <v>7.95</v>
      </c>
      <c r="K38" s="394">
        <f t="shared" si="3"/>
        <v>11.47</v>
      </c>
      <c r="O38" s="370">
        <v>17</v>
      </c>
      <c r="P38" t="s">
        <v>1025</v>
      </c>
      <c r="Q38" s="5">
        <v>4.5999999999999996</v>
      </c>
      <c r="S38" s="1">
        <v>17</v>
      </c>
      <c r="T38" s="370" t="s">
        <v>1875</v>
      </c>
      <c r="U38" s="1" t="s">
        <v>1886</v>
      </c>
      <c r="V38" s="16" t="s">
        <v>1920</v>
      </c>
      <c r="W38" s="370" t="s">
        <v>1887</v>
      </c>
      <c r="X38" s="370" t="s">
        <v>1882</v>
      </c>
      <c r="Y38" s="370">
        <v>501.96852000000001</v>
      </c>
      <c r="Z38" s="1">
        <v>66</v>
      </c>
      <c r="AA38" s="1" t="s">
        <v>103</v>
      </c>
      <c r="AC38" s="370">
        <f t="shared" si="4"/>
        <v>0.2</v>
      </c>
    </row>
    <row r="39" spans="1:29" x14ac:dyDescent="0.25">
      <c r="A39" s="370">
        <v>18</v>
      </c>
      <c r="B39" s="370" t="s">
        <v>1811</v>
      </c>
      <c r="C39" s="370" t="s">
        <v>1949</v>
      </c>
      <c r="D39" s="1" t="s">
        <v>1946</v>
      </c>
      <c r="E39" s="1" t="s">
        <v>1946</v>
      </c>
      <c r="F39" s="300">
        <v>1.113</v>
      </c>
      <c r="G39" s="300">
        <v>330.49</v>
      </c>
      <c r="H39" s="394">
        <f t="shared" si="0"/>
        <v>7.72</v>
      </c>
      <c r="I39" s="394">
        <f t="shared" si="1"/>
        <v>8.6300000000000008</v>
      </c>
      <c r="J39" s="394">
        <f t="shared" si="2"/>
        <v>8.8800000000000008</v>
      </c>
      <c r="K39" s="394">
        <f t="shared" si="3"/>
        <v>12.54</v>
      </c>
      <c r="O39" s="370">
        <v>18</v>
      </c>
      <c r="P39" t="s">
        <v>1012</v>
      </c>
      <c r="Q39" s="5">
        <v>3.9</v>
      </c>
      <c r="S39" s="1">
        <v>18</v>
      </c>
      <c r="T39" s="1" t="s">
        <v>334</v>
      </c>
      <c r="U39" s="1" t="s">
        <v>113</v>
      </c>
      <c r="V39" s="16" t="s">
        <v>334</v>
      </c>
      <c r="W39" s="1" t="s">
        <v>113</v>
      </c>
      <c r="X39" s="1"/>
      <c r="Y39" s="1"/>
      <c r="Z39" s="26"/>
      <c r="AA39" s="1" t="s">
        <v>112</v>
      </c>
      <c r="AB39" s="26">
        <v>1.4</v>
      </c>
      <c r="AC39" s="370">
        <f t="shared" si="4"/>
        <v>1.4</v>
      </c>
    </row>
    <row r="40" spans="1:29" x14ac:dyDescent="0.25">
      <c r="A40" s="370">
        <v>19</v>
      </c>
      <c r="B40" s="370" t="s">
        <v>1811</v>
      </c>
      <c r="C40" s="370" t="s">
        <v>1956</v>
      </c>
      <c r="D40" s="1" t="s">
        <v>1946</v>
      </c>
      <c r="E40" s="1" t="s">
        <v>1946</v>
      </c>
      <c r="F40" s="300">
        <v>0.51700000000000002</v>
      </c>
      <c r="G40" s="300">
        <v>333.56</v>
      </c>
      <c r="H40" s="394">
        <f t="shared" si="0"/>
        <v>3.59</v>
      </c>
      <c r="I40" s="394">
        <f t="shared" si="1"/>
        <v>4.01</v>
      </c>
      <c r="J40" s="394">
        <f t="shared" si="2"/>
        <v>4.96</v>
      </c>
      <c r="K40" s="394">
        <f t="shared" si="3"/>
        <v>8.66</v>
      </c>
      <c r="O40" s="370">
        <v>19</v>
      </c>
      <c r="P40" t="s">
        <v>995</v>
      </c>
      <c r="Q40" s="5">
        <v>7.7</v>
      </c>
      <c r="S40" s="1">
        <v>19</v>
      </c>
      <c r="T40" s="1" t="s">
        <v>1878</v>
      </c>
      <c r="U40" s="1" t="s">
        <v>1879</v>
      </c>
      <c r="V40" s="16" t="s">
        <v>1879</v>
      </c>
      <c r="W40" s="1" t="s">
        <v>1879</v>
      </c>
      <c r="X40" s="1"/>
      <c r="Y40" s="1"/>
      <c r="Z40" s="26"/>
      <c r="AA40" s="1" t="s">
        <v>111</v>
      </c>
      <c r="AB40" s="26">
        <v>4.5</v>
      </c>
      <c r="AC40" s="370">
        <f t="shared" si="4"/>
        <v>4.5</v>
      </c>
    </row>
    <row r="41" spans="1:29" x14ac:dyDescent="0.25">
      <c r="A41" s="370">
        <v>20</v>
      </c>
      <c r="B41" s="370" t="s">
        <v>1811</v>
      </c>
      <c r="C41" s="370" t="s">
        <v>1994</v>
      </c>
      <c r="D41" s="1" t="s">
        <v>2001</v>
      </c>
      <c r="E41" s="1" t="s">
        <v>2001</v>
      </c>
      <c r="F41" s="300">
        <v>0.48199999999999998</v>
      </c>
      <c r="G41" s="300">
        <v>342</v>
      </c>
      <c r="H41" s="394">
        <f t="shared" si="0"/>
        <v>3.34</v>
      </c>
      <c r="I41" s="394">
        <f t="shared" si="1"/>
        <v>3.74</v>
      </c>
      <c r="J41" s="394">
        <f t="shared" si="2"/>
        <v>4.7699999999999996</v>
      </c>
      <c r="K41" s="394">
        <f t="shared" si="3"/>
        <v>8.56</v>
      </c>
      <c r="O41" s="370">
        <v>20</v>
      </c>
      <c r="P41" t="s">
        <v>1004</v>
      </c>
      <c r="Q41" s="5">
        <v>2.9</v>
      </c>
      <c r="S41" s="1">
        <v>20</v>
      </c>
      <c r="T41" s="1" t="s">
        <v>1878</v>
      </c>
      <c r="U41" s="1" t="s">
        <v>1880</v>
      </c>
      <c r="V41" s="16" t="s">
        <v>1880</v>
      </c>
      <c r="W41" s="1" t="s">
        <v>1881</v>
      </c>
      <c r="X41" s="1"/>
      <c r="Y41" s="1"/>
      <c r="Z41" s="26"/>
      <c r="AA41" s="1" t="s">
        <v>111</v>
      </c>
      <c r="AB41" s="26">
        <v>9.5</v>
      </c>
      <c r="AC41" s="370">
        <f t="shared" si="4"/>
        <v>9.5</v>
      </c>
    </row>
    <row r="42" spans="1:29" x14ac:dyDescent="0.25">
      <c r="A42" s="370">
        <v>21</v>
      </c>
      <c r="B42" s="370" t="s">
        <v>1811</v>
      </c>
      <c r="C42" s="370" t="s">
        <v>1943</v>
      </c>
      <c r="D42" s="1" t="s">
        <v>1946</v>
      </c>
      <c r="E42" s="1" t="s">
        <v>1946</v>
      </c>
      <c r="F42" s="300">
        <v>1.35</v>
      </c>
      <c r="G42" s="300">
        <v>343.85</v>
      </c>
      <c r="H42" s="394">
        <f t="shared" si="0"/>
        <v>9.3699999999999992</v>
      </c>
      <c r="I42" s="394">
        <f t="shared" si="1"/>
        <v>10.47</v>
      </c>
      <c r="J42" s="394">
        <f t="shared" si="2"/>
        <v>10.51</v>
      </c>
      <c r="K42" s="394">
        <f t="shared" si="3"/>
        <v>14.32</v>
      </c>
      <c r="O42" s="370">
        <v>21</v>
      </c>
      <c r="P42" t="s">
        <v>1033</v>
      </c>
      <c r="Q42" s="5">
        <v>3.7</v>
      </c>
      <c r="S42" s="1">
        <v>21</v>
      </c>
      <c r="T42" s="370" t="s">
        <v>1921</v>
      </c>
      <c r="U42" s="1" t="s">
        <v>1922</v>
      </c>
      <c r="V42" s="16" t="s">
        <v>1923</v>
      </c>
      <c r="W42" s="370" t="s">
        <v>1924</v>
      </c>
      <c r="X42" s="370" t="s">
        <v>1925</v>
      </c>
      <c r="Y42" s="370">
        <v>1312.336</v>
      </c>
      <c r="Z42" s="1">
        <v>135</v>
      </c>
      <c r="AA42" s="1" t="s">
        <v>103</v>
      </c>
      <c r="AC42" s="370">
        <f t="shared" si="4"/>
        <v>0.2</v>
      </c>
    </row>
    <row r="43" spans="1:29" x14ac:dyDescent="0.25">
      <c r="A43" s="370">
        <v>22</v>
      </c>
      <c r="B43" s="370" t="s">
        <v>1811</v>
      </c>
      <c r="C43" s="370" t="s">
        <v>1950</v>
      </c>
      <c r="D43" s="1" t="s">
        <v>1946</v>
      </c>
      <c r="E43" s="1" t="s">
        <v>1946</v>
      </c>
      <c r="F43" s="300">
        <v>1.2250000000000001</v>
      </c>
      <c r="G43" s="300">
        <v>368.88</v>
      </c>
      <c r="H43" s="394">
        <f t="shared" si="0"/>
        <v>8.5</v>
      </c>
      <c r="I43" s="394">
        <f t="shared" si="1"/>
        <v>9.5</v>
      </c>
      <c r="J43" s="394">
        <f t="shared" si="2"/>
        <v>9.8000000000000007</v>
      </c>
      <c r="K43" s="394">
        <f t="shared" si="3"/>
        <v>13.89</v>
      </c>
      <c r="O43" s="370">
        <v>22</v>
      </c>
      <c r="P43" t="s">
        <v>1021</v>
      </c>
      <c r="Q43" s="5">
        <v>9</v>
      </c>
      <c r="S43" s="1">
        <v>22</v>
      </c>
      <c r="T43" s="370" t="s">
        <v>1978</v>
      </c>
      <c r="U43" s="1" t="s">
        <v>1979</v>
      </c>
      <c r="V43" s="16" t="s">
        <v>1978</v>
      </c>
      <c r="W43" s="370" t="s">
        <v>1980</v>
      </c>
      <c r="X43" s="370" t="s">
        <v>1981</v>
      </c>
      <c r="Y43" s="370">
        <f>24*300</f>
        <v>7200</v>
      </c>
      <c r="Z43" s="1">
        <v>146.4</v>
      </c>
      <c r="AA43" s="1" t="s">
        <v>1991</v>
      </c>
      <c r="AC43" s="370">
        <f t="shared" si="4"/>
        <v>0.1</v>
      </c>
    </row>
    <row r="44" spans="1:29" x14ac:dyDescent="0.25">
      <c r="A44" s="370">
        <v>23</v>
      </c>
      <c r="B44" s="370" t="s">
        <v>1811</v>
      </c>
      <c r="C44" s="370" t="s">
        <v>1945</v>
      </c>
      <c r="D44" s="1" t="s">
        <v>1946</v>
      </c>
      <c r="E44" s="1" t="s">
        <v>1946</v>
      </c>
      <c r="F44" s="300">
        <v>1.508</v>
      </c>
      <c r="G44" s="300">
        <v>381.58</v>
      </c>
      <c r="H44" s="394">
        <f t="shared" si="0"/>
        <v>10.46</v>
      </c>
      <c r="I44" s="394">
        <f t="shared" si="1"/>
        <v>11.69</v>
      </c>
      <c r="J44" s="394">
        <f t="shared" si="2"/>
        <v>11.73</v>
      </c>
      <c r="K44" s="394">
        <f t="shared" si="3"/>
        <v>15.95</v>
      </c>
      <c r="O44" s="370">
        <v>23</v>
      </c>
      <c r="P44" t="s">
        <v>1023</v>
      </c>
      <c r="Q44" s="5">
        <v>10.6</v>
      </c>
      <c r="S44" s="1">
        <v>23</v>
      </c>
      <c r="T44" s="1" t="s">
        <v>1978</v>
      </c>
      <c r="U44" s="1" t="s">
        <v>1982</v>
      </c>
      <c r="V44" s="16" t="s">
        <v>1978</v>
      </c>
      <c r="W44" s="1" t="s">
        <v>1983</v>
      </c>
      <c r="X44" s="1" t="s">
        <v>1981</v>
      </c>
      <c r="Y44" s="1">
        <f>24*300</f>
        <v>7200</v>
      </c>
      <c r="Z44" s="26">
        <v>182.4</v>
      </c>
      <c r="AA44" s="1" t="s">
        <v>1991</v>
      </c>
      <c r="AC44" s="370">
        <f t="shared" si="4"/>
        <v>0.1</v>
      </c>
    </row>
    <row r="45" spans="1:29" x14ac:dyDescent="0.25">
      <c r="A45" s="370">
        <v>24</v>
      </c>
      <c r="B45" s="370" t="s">
        <v>1811</v>
      </c>
      <c r="C45" s="370" t="s">
        <v>1939</v>
      </c>
      <c r="D45" s="1" t="s">
        <v>1946</v>
      </c>
      <c r="E45" s="1" t="s">
        <v>1946</v>
      </c>
      <c r="F45" s="300">
        <v>0.63600000000000001</v>
      </c>
      <c r="G45" s="300">
        <v>390.57</v>
      </c>
      <c r="H45" s="394">
        <f t="shared" si="0"/>
        <v>4.41</v>
      </c>
      <c r="I45" s="394">
        <f t="shared" si="1"/>
        <v>4.93</v>
      </c>
      <c r="J45" s="394">
        <f t="shared" si="2"/>
        <v>6.01</v>
      </c>
      <c r="K45" s="394">
        <f t="shared" si="3"/>
        <v>10.34</v>
      </c>
      <c r="O45" s="370">
        <v>24</v>
      </c>
      <c r="P45" t="s">
        <v>1335</v>
      </c>
      <c r="Q45" s="5">
        <v>4.75</v>
      </c>
      <c r="S45" s="1">
        <v>24</v>
      </c>
      <c r="T45" s="1" t="s">
        <v>1978</v>
      </c>
      <c r="U45" s="1" t="s">
        <v>1984</v>
      </c>
      <c r="V45" s="16" t="s">
        <v>1978</v>
      </c>
      <c r="W45" s="1" t="s">
        <v>1985</v>
      </c>
      <c r="X45" s="1" t="s">
        <v>1981</v>
      </c>
      <c r="Y45" s="1">
        <f>24*300</f>
        <v>7200</v>
      </c>
      <c r="Z45" s="26">
        <v>177.6</v>
      </c>
      <c r="AA45" s="1" t="s">
        <v>1991</v>
      </c>
      <c r="AB45" s="26"/>
      <c r="AC45" s="370">
        <f t="shared" si="4"/>
        <v>0.1</v>
      </c>
    </row>
    <row r="46" spans="1:29" x14ac:dyDescent="0.25">
      <c r="A46" s="370">
        <v>25</v>
      </c>
      <c r="B46" s="370" t="s">
        <v>1811</v>
      </c>
      <c r="C46" s="370" t="s">
        <v>1944</v>
      </c>
      <c r="D46" s="1" t="s">
        <v>1946</v>
      </c>
      <c r="E46" s="1" t="s">
        <v>1946</v>
      </c>
      <c r="F46" s="300">
        <v>0.71399999999999997</v>
      </c>
      <c r="G46" s="300">
        <v>439.29</v>
      </c>
      <c r="H46" s="394">
        <f t="shared" si="0"/>
        <v>4.95</v>
      </c>
      <c r="I46" s="394">
        <f t="shared" si="1"/>
        <v>5.54</v>
      </c>
      <c r="J46" s="394">
        <f t="shared" si="2"/>
        <v>6.75</v>
      </c>
      <c r="K46" s="394">
        <f t="shared" si="3"/>
        <v>11.62</v>
      </c>
      <c r="O46" s="370">
        <v>25</v>
      </c>
      <c r="P46" t="s">
        <v>1007</v>
      </c>
      <c r="Q46" s="5">
        <v>8</v>
      </c>
      <c r="S46" s="1">
        <v>25</v>
      </c>
      <c r="T46" s="1" t="s">
        <v>1978</v>
      </c>
      <c r="U46" s="1" t="s">
        <v>1986</v>
      </c>
      <c r="V46" s="16" t="s">
        <v>1978</v>
      </c>
      <c r="W46" s="1" t="s">
        <v>1987</v>
      </c>
      <c r="X46" s="1" t="s">
        <v>1981</v>
      </c>
      <c r="Y46" s="1">
        <f>24*300</f>
        <v>7200</v>
      </c>
      <c r="Z46" s="26">
        <v>103.2</v>
      </c>
      <c r="AA46" s="1" t="s">
        <v>1991</v>
      </c>
      <c r="AB46" s="26"/>
      <c r="AC46" s="370">
        <f t="shared" si="4"/>
        <v>0.1</v>
      </c>
    </row>
    <row r="47" spans="1:29" x14ac:dyDescent="0.25">
      <c r="A47" s="370">
        <v>26</v>
      </c>
      <c r="B47" s="370" t="s">
        <v>1811</v>
      </c>
      <c r="C47" s="370" t="s">
        <v>1947</v>
      </c>
      <c r="D47" s="1" t="s">
        <v>1946</v>
      </c>
      <c r="E47" s="1" t="s">
        <v>1946</v>
      </c>
      <c r="F47" s="300">
        <v>0.81</v>
      </c>
      <c r="G47" s="300">
        <v>463.91</v>
      </c>
      <c r="H47" s="394">
        <f t="shared" si="0"/>
        <v>5.62</v>
      </c>
      <c r="I47" s="394">
        <f t="shared" si="1"/>
        <v>6.28</v>
      </c>
      <c r="J47" s="394">
        <f t="shared" si="2"/>
        <v>7.5</v>
      </c>
      <c r="K47" s="394">
        <f t="shared" si="3"/>
        <v>12.64</v>
      </c>
      <c r="O47" s="370">
        <v>26</v>
      </c>
      <c r="P47" t="s">
        <v>1009</v>
      </c>
      <c r="Q47" s="5">
        <v>8</v>
      </c>
      <c r="S47" s="1">
        <v>26</v>
      </c>
      <c r="T47" s="370" t="s">
        <v>1978</v>
      </c>
      <c r="U47" s="1" t="s">
        <v>1988</v>
      </c>
      <c r="V47" s="16" t="s">
        <v>1978</v>
      </c>
      <c r="W47" s="370" t="s">
        <v>1989</v>
      </c>
      <c r="X47" s="370" t="s">
        <v>1981</v>
      </c>
      <c r="Y47" s="370">
        <f>24*300</f>
        <v>7200</v>
      </c>
      <c r="Z47" s="1">
        <v>88.8</v>
      </c>
      <c r="AA47" s="1" t="s">
        <v>1991</v>
      </c>
      <c r="AB47" s="26"/>
      <c r="AC47" s="370">
        <f t="shared" si="4"/>
        <v>0.1</v>
      </c>
    </row>
    <row r="48" spans="1:29" x14ac:dyDescent="0.25">
      <c r="A48" s="370">
        <v>27</v>
      </c>
      <c r="B48" s="370" t="s">
        <v>1811</v>
      </c>
      <c r="C48" s="370" t="s">
        <v>1951</v>
      </c>
      <c r="D48" s="1" t="s">
        <v>1946</v>
      </c>
      <c r="E48" s="1" t="s">
        <v>1946</v>
      </c>
      <c r="F48" s="300">
        <v>0.89300000000000002</v>
      </c>
      <c r="G48" s="300">
        <v>512.72</v>
      </c>
      <c r="H48" s="394">
        <f t="shared" si="0"/>
        <v>6.2</v>
      </c>
      <c r="I48" s="394">
        <f t="shared" si="1"/>
        <v>6.92</v>
      </c>
      <c r="J48" s="394">
        <f t="shared" si="2"/>
        <v>8.2799999999999994</v>
      </c>
      <c r="K48" s="394">
        <f t="shared" si="3"/>
        <v>13.95</v>
      </c>
      <c r="O48" s="370">
        <v>27</v>
      </c>
      <c r="P48" t="s">
        <v>1028</v>
      </c>
      <c r="Q48" s="5">
        <v>8</v>
      </c>
      <c r="S48" s="1" t="str">
        <v/>
      </c>
      <c r="AC48" s="370" t="str">
        <f t="shared" si="4"/>
        <v/>
      </c>
    </row>
    <row r="49" spans="1:19" x14ac:dyDescent="0.25">
      <c r="A49" s="370">
        <v>28</v>
      </c>
      <c r="B49" s="370" t="s">
        <v>1811</v>
      </c>
      <c r="C49" s="16" t="s">
        <v>1974</v>
      </c>
      <c r="D49" s="1" t="s">
        <v>1812</v>
      </c>
      <c r="E49" s="1" t="s">
        <v>1812</v>
      </c>
      <c r="F49" s="300">
        <v>2.6779999999999999</v>
      </c>
      <c r="G49" s="300">
        <v>538.36500000000001</v>
      </c>
      <c r="H49" s="394">
        <f t="shared" si="0"/>
        <v>18.579999999999998</v>
      </c>
      <c r="I49" s="394">
        <f t="shared" si="1"/>
        <v>20.77</v>
      </c>
      <c r="J49" s="394">
        <f t="shared" si="2"/>
        <v>20.18</v>
      </c>
      <c r="K49" s="394">
        <f t="shared" si="3"/>
        <v>26.14</v>
      </c>
      <c r="O49" s="370">
        <v>28</v>
      </c>
      <c r="P49" t="s">
        <v>987</v>
      </c>
      <c r="Q49" s="5">
        <v>4.75</v>
      </c>
      <c r="S49" s="1" t="str">
        <v/>
      </c>
    </row>
    <row r="50" spans="1:19" x14ac:dyDescent="0.25">
      <c r="A50" s="370">
        <v>29</v>
      </c>
      <c r="B50" s="370" t="s">
        <v>1811</v>
      </c>
      <c r="C50" s="370" t="s">
        <v>1996</v>
      </c>
      <c r="D50" s="1" t="s">
        <v>1997</v>
      </c>
      <c r="E50" s="1" t="s">
        <v>1997</v>
      </c>
      <c r="F50" s="300">
        <v>0.15</v>
      </c>
      <c r="G50" s="300">
        <v>122.3</v>
      </c>
      <c r="H50" s="394">
        <f t="shared" si="0"/>
        <v>1.04</v>
      </c>
      <c r="I50" s="394">
        <f t="shared" si="1"/>
        <v>1.1599999999999999</v>
      </c>
      <c r="J50" s="394">
        <f t="shared" si="2"/>
        <v>1.56</v>
      </c>
      <c r="K50" s="394">
        <f t="shared" si="3"/>
        <v>2.91</v>
      </c>
      <c r="O50" s="370">
        <v>29</v>
      </c>
      <c r="P50" t="s">
        <v>1031</v>
      </c>
      <c r="Q50" s="5">
        <v>3</v>
      </c>
      <c r="S50" s="1" t="str">
        <v/>
      </c>
    </row>
    <row r="51" spans="1:19" x14ac:dyDescent="0.25">
      <c r="A51" s="370">
        <v>30</v>
      </c>
      <c r="B51" s="370" t="s">
        <v>1811</v>
      </c>
      <c r="C51" s="370" t="s">
        <v>1999</v>
      </c>
      <c r="D51" s="1" t="s">
        <v>1998</v>
      </c>
      <c r="E51" s="1" t="s">
        <v>1998</v>
      </c>
      <c r="F51" s="300">
        <v>0.35299999999999998</v>
      </c>
      <c r="G51" s="300">
        <v>249.9</v>
      </c>
      <c r="H51" s="394">
        <f t="shared" si="0"/>
        <v>2.4500000000000002</v>
      </c>
      <c r="I51" s="394">
        <f t="shared" si="1"/>
        <v>2.74</v>
      </c>
      <c r="J51" s="394">
        <f t="shared" si="2"/>
        <v>3.49</v>
      </c>
      <c r="K51" s="394">
        <f t="shared" si="3"/>
        <v>6.26</v>
      </c>
      <c r="O51" s="370">
        <v>30</v>
      </c>
      <c r="P51" t="s">
        <v>1016</v>
      </c>
      <c r="Q51" s="5">
        <v>6.5</v>
      </c>
      <c r="S51" s="1" t="str">
        <v/>
      </c>
    </row>
    <row r="52" spans="1:19" x14ac:dyDescent="0.25">
      <c r="A52" s="370" t="str">
        <v/>
      </c>
      <c r="H52" s="394" t="str">
        <f t="shared" ref="H52:H86" si="5">IF($C52="","",ROUND((($B$2*$F52*($B$5/1000))/$B$6)*(1+IF($B$18="",0,$B$18)),2))</f>
        <v/>
      </c>
      <c r="I52" s="394" t="str">
        <f t="shared" ref="I52:I86" si="6">IF($C52="","",ROUND((($B$3*$F52*($B$5/1000))/$B$6)*(1+IF($B$18="",0,$B$18)),2))</f>
        <v/>
      </c>
      <c r="J52" s="394" t="str">
        <f t="shared" ref="J52:J86" si="7">IF(OR($C52="",$B$9="",$B$15=""),"",ROUND((((((IF($B$15="N/A",$B$2,$B$4))*$F52*($B$5/1000))+((($G52/1000)*($B$5/1000)*10.7639104)*(IF($B$9="Smooth",$B$10,IF($B$9="Sand",$B$11,0)))))*(1+$B$17))/$B$8)*(1+IF($B$18="",0,$B$18)),2))</f>
        <v/>
      </c>
      <c r="K52" s="394" t="str">
        <f t="shared" ref="K52:K86" si="8">IF(OR($C52="",$B$12="",$B$15=""),"",ROUND((((((IF($B$15="N/A",$B$2,$B$4))*$F52*($B$5/1000))+((($G52/1000)*($B$5/1000)*10.7639104)*(IF($B$12="Indoor",$B$13,IF($B$12="Outdoor",$B$14,0)))))*(1+$B$17))/$B$8)*(1+IF($B$18="",0,$B$18)),2))</f>
        <v/>
      </c>
      <c r="O52" s="370">
        <v>31</v>
      </c>
      <c r="P52" t="s">
        <v>1014</v>
      </c>
      <c r="Q52" s="5">
        <v>6.5</v>
      </c>
      <c r="S52" s="1" t="str">
        <v/>
      </c>
    </row>
    <row r="53" spans="1:19" x14ac:dyDescent="0.25">
      <c r="A53" s="370" t="str">
        <v/>
      </c>
      <c r="H53" s="394" t="str">
        <f t="shared" si="5"/>
        <v/>
      </c>
      <c r="I53" s="394" t="str">
        <f t="shared" si="6"/>
        <v/>
      </c>
      <c r="J53" s="394" t="str">
        <f t="shared" si="7"/>
        <v/>
      </c>
      <c r="K53" s="394" t="str">
        <f t="shared" si="8"/>
        <v/>
      </c>
      <c r="O53" s="370">
        <v>32</v>
      </c>
      <c r="P53" t="s">
        <v>1002</v>
      </c>
      <c r="Q53" s="5">
        <v>8.1999999999999993</v>
      </c>
      <c r="S53" s="1" t="str">
        <v/>
      </c>
    </row>
    <row r="54" spans="1:19" x14ac:dyDescent="0.25">
      <c r="A54" s="370" t="str">
        <v/>
      </c>
      <c r="H54" s="394" t="str">
        <f t="shared" si="5"/>
        <v/>
      </c>
      <c r="I54" s="394" t="str">
        <f t="shared" si="6"/>
        <v/>
      </c>
      <c r="J54" s="394" t="str">
        <f t="shared" si="7"/>
        <v/>
      </c>
      <c r="K54" s="394" t="str">
        <f t="shared" si="8"/>
        <v/>
      </c>
      <c r="O54" s="370">
        <v>33</v>
      </c>
      <c r="P54" t="s">
        <v>992</v>
      </c>
      <c r="Q54" s="5">
        <v>5.9</v>
      </c>
      <c r="S54" s="1" t="str">
        <v/>
      </c>
    </row>
    <row r="55" spans="1:19" x14ac:dyDescent="0.25">
      <c r="A55" s="370" t="str">
        <v/>
      </c>
      <c r="H55" s="394" t="str">
        <f t="shared" si="5"/>
        <v/>
      </c>
      <c r="I55" s="394" t="str">
        <f t="shared" si="6"/>
        <v/>
      </c>
      <c r="J55" s="394" t="str">
        <f t="shared" si="7"/>
        <v/>
      </c>
      <c r="K55" s="394" t="str">
        <f t="shared" si="8"/>
        <v/>
      </c>
      <c r="O55" s="370">
        <v>34</v>
      </c>
      <c r="P55" t="s">
        <v>1019</v>
      </c>
      <c r="Q55" s="5">
        <v>5.3</v>
      </c>
      <c r="S55" s="1" t="str">
        <v/>
      </c>
    </row>
    <row r="56" spans="1:19" x14ac:dyDescent="0.25">
      <c r="A56" s="370" t="str">
        <v/>
      </c>
      <c r="H56" s="394" t="str">
        <f t="shared" si="5"/>
        <v/>
      </c>
      <c r="I56" s="394" t="str">
        <f t="shared" si="6"/>
        <v/>
      </c>
      <c r="J56" s="394" t="str">
        <f t="shared" si="7"/>
        <v/>
      </c>
      <c r="K56" s="394" t="str">
        <f t="shared" si="8"/>
        <v/>
      </c>
      <c r="O56" s="370">
        <v>35</v>
      </c>
      <c r="P56" t="s">
        <v>982</v>
      </c>
      <c r="Q56" s="5">
        <v>2.5</v>
      </c>
      <c r="S56" s="1" t="str">
        <v/>
      </c>
    </row>
    <row r="57" spans="1:19" x14ac:dyDescent="0.25">
      <c r="A57" s="370" t="str">
        <v/>
      </c>
      <c r="H57" s="394" t="str">
        <f t="shared" si="5"/>
        <v/>
      </c>
      <c r="I57" s="394" t="str">
        <f t="shared" si="6"/>
        <v/>
      </c>
      <c r="J57" s="394" t="str">
        <f t="shared" si="7"/>
        <v/>
      </c>
      <c r="K57" s="394" t="str">
        <f t="shared" si="8"/>
        <v/>
      </c>
      <c r="O57" s="370">
        <v>36</v>
      </c>
      <c r="P57" t="s">
        <v>990</v>
      </c>
      <c r="Q57" s="5">
        <v>5.0999999999999996</v>
      </c>
      <c r="S57" s="1" t="str">
        <v/>
      </c>
    </row>
    <row r="58" spans="1:19" x14ac:dyDescent="0.25">
      <c r="A58" s="370" t="str">
        <v/>
      </c>
      <c r="H58" s="394" t="str">
        <f t="shared" si="5"/>
        <v/>
      </c>
      <c r="I58" s="394" t="str">
        <f t="shared" si="6"/>
        <v/>
      </c>
      <c r="J58" s="394" t="str">
        <f t="shared" si="7"/>
        <v/>
      </c>
      <c r="K58" s="394" t="str">
        <f t="shared" si="8"/>
        <v/>
      </c>
      <c r="O58" s="370">
        <v>37</v>
      </c>
      <c r="P58" t="s">
        <v>1026</v>
      </c>
      <c r="Q58" s="5">
        <v>5.5</v>
      </c>
      <c r="S58" s="1" t="str">
        <v/>
      </c>
    </row>
    <row r="59" spans="1:19" x14ac:dyDescent="0.25">
      <c r="A59" s="370" t="str">
        <v/>
      </c>
      <c r="H59" s="394" t="str">
        <f t="shared" si="5"/>
        <v/>
      </c>
      <c r="I59" s="394" t="str">
        <f t="shared" si="6"/>
        <v/>
      </c>
      <c r="J59" s="394" t="str">
        <f t="shared" si="7"/>
        <v/>
      </c>
      <c r="K59" s="394" t="str">
        <f t="shared" si="8"/>
        <v/>
      </c>
      <c r="O59" s="370">
        <v>38</v>
      </c>
      <c r="P59" t="s">
        <v>1013</v>
      </c>
      <c r="Q59" s="5">
        <v>4.9000000000000004</v>
      </c>
      <c r="S59" s="1" t="str">
        <v/>
      </c>
    </row>
    <row r="60" spans="1:19" x14ac:dyDescent="0.25">
      <c r="A60" s="370" t="str">
        <v/>
      </c>
      <c r="H60" s="394" t="str">
        <f t="shared" si="5"/>
        <v/>
      </c>
      <c r="I60" s="394" t="str">
        <f t="shared" si="6"/>
        <v/>
      </c>
      <c r="J60" s="394" t="str">
        <f t="shared" si="7"/>
        <v/>
      </c>
      <c r="K60" s="394" t="str">
        <f t="shared" si="8"/>
        <v/>
      </c>
      <c r="O60" s="370">
        <v>39</v>
      </c>
      <c r="P60" t="s">
        <v>996</v>
      </c>
      <c r="Q60" s="5">
        <v>8.6999999999999993</v>
      </c>
      <c r="S60" s="1" t="str">
        <v/>
      </c>
    </row>
    <row r="61" spans="1:19" x14ac:dyDescent="0.25">
      <c r="A61" s="370" t="str">
        <v/>
      </c>
      <c r="H61" s="394" t="str">
        <f t="shared" si="5"/>
        <v/>
      </c>
      <c r="I61" s="394" t="str">
        <f t="shared" si="6"/>
        <v/>
      </c>
      <c r="J61" s="394" t="str">
        <f t="shared" si="7"/>
        <v/>
      </c>
      <c r="K61" s="394" t="str">
        <f t="shared" si="8"/>
        <v/>
      </c>
      <c r="O61" s="370">
        <v>40</v>
      </c>
      <c r="P61" t="s">
        <v>1005</v>
      </c>
      <c r="Q61" s="5">
        <v>3.5</v>
      </c>
      <c r="S61" s="1" t="str">
        <v/>
      </c>
    </row>
    <row r="62" spans="1:19" x14ac:dyDescent="0.25">
      <c r="A62" s="370" t="str">
        <v/>
      </c>
      <c r="H62" s="394" t="str">
        <f t="shared" si="5"/>
        <v/>
      </c>
      <c r="I62" s="394" t="str">
        <f t="shared" si="6"/>
        <v/>
      </c>
      <c r="J62" s="394" t="str">
        <f t="shared" si="7"/>
        <v/>
      </c>
      <c r="K62" s="394" t="str">
        <f t="shared" si="8"/>
        <v/>
      </c>
      <c r="O62" s="370">
        <v>41</v>
      </c>
      <c r="P62" t="s">
        <v>1022</v>
      </c>
      <c r="Q62" s="5">
        <v>10</v>
      </c>
      <c r="S62" s="1" t="str">
        <v/>
      </c>
    </row>
    <row r="63" spans="1:19" x14ac:dyDescent="0.25">
      <c r="A63" s="370" t="str">
        <v/>
      </c>
      <c r="H63" s="394" t="str">
        <f t="shared" si="5"/>
        <v/>
      </c>
      <c r="I63" s="394" t="str">
        <f t="shared" si="6"/>
        <v/>
      </c>
      <c r="J63" s="394" t="str">
        <f t="shared" si="7"/>
        <v/>
      </c>
      <c r="K63" s="394" t="str">
        <f t="shared" si="8"/>
        <v/>
      </c>
      <c r="O63" s="370">
        <v>42</v>
      </c>
      <c r="P63" t="s">
        <v>1024</v>
      </c>
      <c r="Q63" s="5">
        <v>11</v>
      </c>
      <c r="S63" s="1" t="str">
        <v/>
      </c>
    </row>
    <row r="64" spans="1:19" x14ac:dyDescent="0.25">
      <c r="A64" s="370" t="str">
        <v/>
      </c>
      <c r="H64" s="394" t="str">
        <f t="shared" si="5"/>
        <v/>
      </c>
      <c r="I64" s="394" t="str">
        <f t="shared" si="6"/>
        <v/>
      </c>
      <c r="J64" s="394" t="str">
        <f t="shared" si="7"/>
        <v/>
      </c>
      <c r="K64" s="394" t="str">
        <f t="shared" si="8"/>
        <v/>
      </c>
      <c r="O64" s="370">
        <v>43</v>
      </c>
      <c r="P64" t="s">
        <v>1336</v>
      </c>
      <c r="Q64" s="5">
        <v>5.5</v>
      </c>
      <c r="S64" s="1" t="str">
        <v/>
      </c>
    </row>
    <row r="65" spans="1:19" x14ac:dyDescent="0.25">
      <c r="A65" s="370" t="str">
        <v/>
      </c>
      <c r="H65" s="394" t="str">
        <f t="shared" si="5"/>
        <v/>
      </c>
      <c r="I65" s="394" t="str">
        <f t="shared" si="6"/>
        <v/>
      </c>
      <c r="J65" s="394" t="str">
        <f t="shared" si="7"/>
        <v/>
      </c>
      <c r="K65" s="394" t="str">
        <f t="shared" si="8"/>
        <v/>
      </c>
      <c r="O65" s="370">
        <v>44</v>
      </c>
      <c r="P65" t="s">
        <v>1008</v>
      </c>
      <c r="Q65" s="5">
        <v>8.9</v>
      </c>
      <c r="S65" s="1" t="str">
        <v/>
      </c>
    </row>
    <row r="66" spans="1:19" x14ac:dyDescent="0.25">
      <c r="A66" s="370" t="str">
        <v/>
      </c>
      <c r="H66" s="394" t="str">
        <f t="shared" si="5"/>
        <v/>
      </c>
      <c r="I66" s="394" t="str">
        <f t="shared" si="6"/>
        <v/>
      </c>
      <c r="J66" s="394" t="str">
        <f t="shared" si="7"/>
        <v/>
      </c>
      <c r="K66" s="394" t="str">
        <f t="shared" si="8"/>
        <v/>
      </c>
      <c r="O66" s="370">
        <v>45</v>
      </c>
      <c r="P66" t="s">
        <v>1010</v>
      </c>
      <c r="Q66" s="5">
        <v>8.9</v>
      </c>
      <c r="S66" s="1" t="str">
        <v/>
      </c>
    </row>
    <row r="67" spans="1:19" x14ac:dyDescent="0.25">
      <c r="A67" s="370" t="str">
        <v/>
      </c>
      <c r="H67" s="394" t="str">
        <f t="shared" si="5"/>
        <v/>
      </c>
      <c r="I67" s="394" t="str">
        <f t="shared" si="6"/>
        <v/>
      </c>
      <c r="J67" s="394" t="str">
        <f t="shared" si="7"/>
        <v/>
      </c>
      <c r="K67" s="394" t="str">
        <f t="shared" si="8"/>
        <v/>
      </c>
      <c r="O67" s="370">
        <v>46</v>
      </c>
      <c r="P67" t="s">
        <v>1029</v>
      </c>
      <c r="Q67" s="5">
        <v>8.9</v>
      </c>
      <c r="S67" s="1" t="str">
        <v/>
      </c>
    </row>
    <row r="68" spans="1:19" x14ac:dyDescent="0.25">
      <c r="A68" s="370" t="str">
        <v/>
      </c>
      <c r="H68" s="394" t="str">
        <f t="shared" si="5"/>
        <v/>
      </c>
      <c r="I68" s="394" t="str">
        <f t="shared" si="6"/>
        <v/>
      </c>
      <c r="J68" s="394" t="str">
        <f t="shared" si="7"/>
        <v/>
      </c>
      <c r="K68" s="394" t="str">
        <f t="shared" si="8"/>
        <v/>
      </c>
      <c r="O68" s="370">
        <v>47</v>
      </c>
      <c r="P68" t="s">
        <v>988</v>
      </c>
      <c r="Q68" s="5">
        <v>5.5</v>
      </c>
      <c r="S68" s="1" t="str">
        <v/>
      </c>
    </row>
    <row r="69" spans="1:19" x14ac:dyDescent="0.25">
      <c r="A69" s="370" t="str">
        <v/>
      </c>
      <c r="H69" s="394" t="str">
        <f t="shared" si="5"/>
        <v/>
      </c>
      <c r="I69" s="394" t="str">
        <f t="shared" si="6"/>
        <v/>
      </c>
      <c r="J69" s="394" t="str">
        <f t="shared" si="7"/>
        <v/>
      </c>
      <c r="K69" s="394" t="str">
        <f t="shared" si="8"/>
        <v/>
      </c>
      <c r="O69" s="370">
        <v>48</v>
      </c>
      <c r="P69" t="s">
        <v>1017</v>
      </c>
      <c r="Q69" s="5">
        <v>7</v>
      </c>
      <c r="S69" s="1" t="str">
        <v/>
      </c>
    </row>
    <row r="70" spans="1:19" x14ac:dyDescent="0.25">
      <c r="A70" s="370" t="str">
        <v/>
      </c>
      <c r="H70" s="394" t="str">
        <f t="shared" si="5"/>
        <v/>
      </c>
      <c r="I70" s="394" t="str">
        <f t="shared" si="6"/>
        <v/>
      </c>
      <c r="J70" s="394" t="str">
        <f t="shared" si="7"/>
        <v/>
      </c>
      <c r="K70" s="394" t="str">
        <f t="shared" si="8"/>
        <v/>
      </c>
      <c r="O70" s="370">
        <v>49</v>
      </c>
      <c r="P70" t="s">
        <v>1015</v>
      </c>
      <c r="Q70" s="5">
        <v>7</v>
      </c>
      <c r="S70" s="1" t="str">
        <v/>
      </c>
    </row>
    <row r="71" spans="1:19" x14ac:dyDescent="0.25">
      <c r="A71" s="370" t="str">
        <v/>
      </c>
      <c r="H71" s="394" t="str">
        <f t="shared" si="5"/>
        <v/>
      </c>
      <c r="I71" s="394" t="str">
        <f t="shared" si="6"/>
        <v/>
      </c>
      <c r="J71" s="394" t="str">
        <f t="shared" si="7"/>
        <v/>
      </c>
      <c r="K71" s="394" t="str">
        <f t="shared" si="8"/>
        <v/>
      </c>
      <c r="O71" s="370">
        <v>50</v>
      </c>
      <c r="P71" t="s">
        <v>1011</v>
      </c>
      <c r="Q71" s="5">
        <v>4</v>
      </c>
      <c r="S71" s="1" t="str">
        <v/>
      </c>
    </row>
    <row r="72" spans="1:19" x14ac:dyDescent="0.25">
      <c r="A72" s="370" t="str">
        <v/>
      </c>
      <c r="H72" s="394" t="str">
        <f t="shared" si="5"/>
        <v/>
      </c>
      <c r="I72" s="394" t="str">
        <f t="shared" si="6"/>
        <v/>
      </c>
      <c r="J72" s="394" t="str">
        <f t="shared" si="7"/>
        <v/>
      </c>
      <c r="K72" s="394" t="str">
        <f t="shared" si="8"/>
        <v/>
      </c>
      <c r="O72" s="370">
        <v>51</v>
      </c>
      <c r="P72" t="s">
        <v>1003</v>
      </c>
      <c r="Q72" s="5">
        <v>9.1999999999999993</v>
      </c>
      <c r="S72" s="1" t="str">
        <v/>
      </c>
    </row>
    <row r="73" spans="1:19" x14ac:dyDescent="0.25">
      <c r="A73" s="370" t="str">
        <v/>
      </c>
      <c r="H73" s="394" t="str">
        <f t="shared" si="5"/>
        <v/>
      </c>
      <c r="I73" s="394" t="str">
        <f t="shared" si="6"/>
        <v/>
      </c>
      <c r="J73" s="394" t="str">
        <f t="shared" si="7"/>
        <v/>
      </c>
      <c r="K73" s="394" t="str">
        <f t="shared" si="8"/>
        <v/>
      </c>
      <c r="O73" s="370">
        <v>52</v>
      </c>
      <c r="P73" t="s">
        <v>1020</v>
      </c>
      <c r="Q73" s="5">
        <v>8.5</v>
      </c>
      <c r="S73" s="1" t="str">
        <v/>
      </c>
    </row>
    <row r="74" spans="1:19" x14ac:dyDescent="0.25">
      <c r="A74" s="370" t="str">
        <v/>
      </c>
      <c r="H74" s="394" t="str">
        <f t="shared" si="5"/>
        <v/>
      </c>
      <c r="I74" s="394" t="str">
        <f t="shared" si="6"/>
        <v/>
      </c>
      <c r="J74" s="394" t="str">
        <f t="shared" si="7"/>
        <v/>
      </c>
      <c r="K74" s="394" t="str">
        <f t="shared" si="8"/>
        <v/>
      </c>
      <c r="O74" s="370">
        <v>53</v>
      </c>
      <c r="P74" t="s">
        <v>983</v>
      </c>
      <c r="Q74" s="5">
        <v>3.6</v>
      </c>
      <c r="S74" s="1" t="str">
        <v/>
      </c>
    </row>
    <row r="75" spans="1:19" x14ac:dyDescent="0.25">
      <c r="A75" s="370" t="str">
        <v/>
      </c>
      <c r="H75" s="394" t="str">
        <f t="shared" si="5"/>
        <v/>
      </c>
      <c r="I75" s="394" t="str">
        <f t="shared" si="6"/>
        <v/>
      </c>
      <c r="J75" s="394" t="str">
        <f t="shared" si="7"/>
        <v/>
      </c>
      <c r="K75" s="394" t="str">
        <f t="shared" si="8"/>
        <v/>
      </c>
      <c r="O75" s="370">
        <v>54</v>
      </c>
      <c r="P75" t="s">
        <v>1027</v>
      </c>
      <c r="Q75" s="5">
        <v>8.5</v>
      </c>
      <c r="S75" s="1" t="str">
        <v/>
      </c>
    </row>
    <row r="76" spans="1:19" x14ac:dyDescent="0.25">
      <c r="A76" s="370" t="str">
        <v/>
      </c>
      <c r="H76" s="394" t="str">
        <f t="shared" si="5"/>
        <v/>
      </c>
      <c r="I76" s="394" t="str">
        <f t="shared" si="6"/>
        <v/>
      </c>
      <c r="J76" s="394" t="str">
        <f t="shared" si="7"/>
        <v/>
      </c>
      <c r="K76" s="394" t="str">
        <f t="shared" si="8"/>
        <v/>
      </c>
      <c r="O76" s="370">
        <v>55</v>
      </c>
      <c r="P76" t="s">
        <v>997</v>
      </c>
      <c r="Q76" s="5">
        <v>12</v>
      </c>
      <c r="S76" s="1" t="str">
        <v/>
      </c>
    </row>
    <row r="77" spans="1:19" x14ac:dyDescent="0.25">
      <c r="A77" s="370" t="str">
        <v/>
      </c>
      <c r="H77" s="394" t="str">
        <f t="shared" si="5"/>
        <v/>
      </c>
      <c r="I77" s="394" t="str">
        <f t="shared" si="6"/>
        <v/>
      </c>
      <c r="J77" s="394" t="str">
        <f t="shared" si="7"/>
        <v/>
      </c>
      <c r="K77" s="394" t="str">
        <f t="shared" si="8"/>
        <v/>
      </c>
      <c r="O77" s="370">
        <v>56</v>
      </c>
      <c r="P77" t="s">
        <v>1006</v>
      </c>
      <c r="Q77" s="5">
        <v>4</v>
      </c>
      <c r="S77" s="1" t="str">
        <v/>
      </c>
    </row>
    <row r="78" spans="1:19" x14ac:dyDescent="0.25">
      <c r="A78" s="370" t="str">
        <v/>
      </c>
      <c r="H78" s="394" t="str">
        <f t="shared" si="5"/>
        <v/>
      </c>
      <c r="I78" s="394" t="str">
        <f t="shared" si="6"/>
        <v/>
      </c>
      <c r="J78" s="394" t="str">
        <f t="shared" si="7"/>
        <v/>
      </c>
      <c r="K78" s="394" t="str">
        <f t="shared" si="8"/>
        <v/>
      </c>
      <c r="O78" s="370">
        <v>57</v>
      </c>
      <c r="P78" t="s">
        <v>984</v>
      </c>
      <c r="Q78" s="5">
        <v>4.9000000000000004</v>
      </c>
      <c r="S78" s="1" t="str">
        <v/>
      </c>
    </row>
    <row r="79" spans="1:19" x14ac:dyDescent="0.25">
      <c r="A79" s="370" t="str">
        <v/>
      </c>
      <c r="H79" s="394" t="str">
        <f t="shared" si="5"/>
        <v/>
      </c>
      <c r="I79" s="394" t="str">
        <f t="shared" si="6"/>
        <v/>
      </c>
      <c r="J79" s="394" t="str">
        <f t="shared" si="7"/>
        <v/>
      </c>
      <c r="K79" s="394" t="str">
        <f t="shared" si="8"/>
        <v/>
      </c>
      <c r="O79" s="370">
        <v>58</v>
      </c>
      <c r="P79" t="s">
        <v>998</v>
      </c>
      <c r="Q79" s="5">
        <v>13</v>
      </c>
      <c r="S79" s="1" t="str">
        <v/>
      </c>
    </row>
    <row r="80" spans="1:19" x14ac:dyDescent="0.25">
      <c r="A80" s="370" t="str">
        <v/>
      </c>
      <c r="H80" s="394" t="str">
        <f t="shared" si="5"/>
        <v/>
      </c>
      <c r="I80" s="394" t="str">
        <f t="shared" si="6"/>
        <v/>
      </c>
      <c r="J80" s="394" t="str">
        <f t="shared" si="7"/>
        <v/>
      </c>
      <c r="K80" s="394" t="str">
        <f t="shared" si="8"/>
        <v/>
      </c>
      <c r="O80" s="370">
        <v>59</v>
      </c>
      <c r="P80" t="s">
        <v>985</v>
      </c>
      <c r="Q80" s="5">
        <v>5.7</v>
      </c>
      <c r="S80" s="1" t="str">
        <v/>
      </c>
    </row>
    <row r="81" spans="1:19" x14ac:dyDescent="0.25">
      <c r="A81" s="370" t="str">
        <v/>
      </c>
      <c r="H81" s="394" t="str">
        <f t="shared" si="5"/>
        <v/>
      </c>
      <c r="I81" s="394" t="str">
        <f t="shared" si="6"/>
        <v/>
      </c>
      <c r="J81" s="394" t="str">
        <f t="shared" si="7"/>
        <v/>
      </c>
      <c r="K81" s="394" t="str">
        <f t="shared" si="8"/>
        <v/>
      </c>
      <c r="O81" s="370">
        <v>60</v>
      </c>
      <c r="P81" t="s">
        <v>999</v>
      </c>
      <c r="Q81" s="5">
        <v>14</v>
      </c>
      <c r="S81" s="1" t="str">
        <v/>
      </c>
    </row>
    <row r="82" spans="1:19" x14ac:dyDescent="0.25">
      <c r="A82" s="370" t="str">
        <v/>
      </c>
      <c r="H82" s="394" t="str">
        <f t="shared" si="5"/>
        <v/>
      </c>
      <c r="I82" s="394" t="str">
        <f t="shared" si="6"/>
        <v/>
      </c>
      <c r="J82" s="394" t="str">
        <f t="shared" si="7"/>
        <v/>
      </c>
      <c r="K82" s="394" t="str">
        <f t="shared" si="8"/>
        <v/>
      </c>
      <c r="O82" s="370">
        <v>61</v>
      </c>
      <c r="P82" t="s">
        <v>1052</v>
      </c>
      <c r="Q82" s="5">
        <v>2.5</v>
      </c>
      <c r="S82" s="1" t="str">
        <v/>
      </c>
    </row>
    <row r="83" spans="1:19" x14ac:dyDescent="0.25">
      <c r="A83" s="370" t="str">
        <v/>
      </c>
      <c r="H83" s="394" t="str">
        <f t="shared" si="5"/>
        <v/>
      </c>
      <c r="I83" s="394" t="str">
        <f t="shared" si="6"/>
        <v/>
      </c>
      <c r="J83" s="394" t="str">
        <f t="shared" si="7"/>
        <v/>
      </c>
      <c r="K83" s="394" t="str">
        <f t="shared" si="8"/>
        <v/>
      </c>
      <c r="O83" s="370">
        <v>62</v>
      </c>
      <c r="P83" t="s">
        <v>1053</v>
      </c>
      <c r="Q83" s="5">
        <v>2.7</v>
      </c>
      <c r="S83" s="1" t="str">
        <v/>
      </c>
    </row>
    <row r="84" spans="1:19" x14ac:dyDescent="0.25">
      <c r="A84" s="370" t="str">
        <v/>
      </c>
      <c r="H84" s="394" t="str">
        <f t="shared" si="5"/>
        <v/>
      </c>
      <c r="I84" s="394" t="str">
        <f t="shared" si="6"/>
        <v/>
      </c>
      <c r="J84" s="394" t="str">
        <f t="shared" si="7"/>
        <v/>
      </c>
      <c r="K84" s="394" t="str">
        <f t="shared" si="8"/>
        <v/>
      </c>
      <c r="O84" s="370">
        <v>63</v>
      </c>
      <c r="P84" t="s">
        <v>1034</v>
      </c>
      <c r="Q84" s="5">
        <v>3.1</v>
      </c>
      <c r="S84" s="1" t="str">
        <v/>
      </c>
    </row>
    <row r="85" spans="1:19" x14ac:dyDescent="0.25">
      <c r="A85" s="370" t="str">
        <v/>
      </c>
      <c r="H85" s="394" t="str">
        <f t="shared" si="5"/>
        <v/>
      </c>
      <c r="I85" s="394" t="str">
        <f t="shared" si="6"/>
        <v/>
      </c>
      <c r="J85" s="394" t="str">
        <f t="shared" si="7"/>
        <v/>
      </c>
      <c r="K85" s="394" t="str">
        <f t="shared" si="8"/>
        <v/>
      </c>
      <c r="O85" s="370">
        <v>64</v>
      </c>
      <c r="P85" t="s">
        <v>1054</v>
      </c>
      <c r="Q85" s="5">
        <v>3.6</v>
      </c>
      <c r="S85" s="1" t="str">
        <v/>
      </c>
    </row>
    <row r="86" spans="1:19" x14ac:dyDescent="0.25">
      <c r="A86" s="370" t="str">
        <v/>
      </c>
      <c r="H86" s="394" t="str">
        <f t="shared" si="5"/>
        <v/>
      </c>
      <c r="I86" s="394" t="str">
        <f t="shared" si="6"/>
        <v/>
      </c>
      <c r="J86" s="394" t="str">
        <f t="shared" si="7"/>
        <v/>
      </c>
      <c r="K86" s="394" t="str">
        <f t="shared" si="8"/>
        <v/>
      </c>
      <c r="O86" s="370">
        <v>65</v>
      </c>
      <c r="P86" t="s">
        <v>1055</v>
      </c>
      <c r="Q86" s="5">
        <v>6.5</v>
      </c>
      <c r="S86" s="1" t="str">
        <v/>
      </c>
    </row>
    <row r="87" spans="1:19" x14ac:dyDescent="0.25">
      <c r="A87" s="370" t="str">
        <v/>
      </c>
      <c r="H87" s="394" t="str">
        <f t="shared" ref="H87:H150" si="9">IF($C87="","",ROUND((($B$2*$F87*($B$5/1000))/$B$6)*(1+IF($B$18="",0,$B$18)),2))</f>
        <v/>
      </c>
      <c r="I87" s="394" t="str">
        <f t="shared" ref="I87:I150" si="10">IF($C87="","",ROUND((($B$3*$F87*($B$5/1000))/$B$6)*(1+IF($B$18="",0,$B$18)),2))</f>
        <v/>
      </c>
      <c r="J87" s="394" t="str">
        <f t="shared" ref="J87:J150" si="11">IF(OR($C87="",$B$9="",$B$15=""),"",ROUND((((((IF($B$15="N/A",$B$2,$B$4))*$F87*($B$5/1000))+((($G87/1000)*($B$5/1000)*10.7639104)*(IF($B$9="Smooth",$B$10,IF($B$9="Sand",$B$11,0)))))*(1+$B$17))/$B$8)*(1+IF($B$18="",0,$B$18)),2))</f>
        <v/>
      </c>
      <c r="K87" s="394" t="str">
        <f t="shared" ref="K87:K150" si="12">IF(OR($C87="",$B$12="",$B$15=""),"",ROUND((((((IF($B$15="N/A",$B$2,$B$4))*$F87*($B$5/1000))+((($G87/1000)*($B$5/1000)*10.7639104)*(IF($B$12="Indoor",$B$13,IF($B$12="Outdoor",$B$14,0)))))*(1+$B$17))/$B$8)*(1+IF($B$18="",0,$B$18)),2))</f>
        <v/>
      </c>
      <c r="O87" s="370">
        <v>66</v>
      </c>
      <c r="P87" t="s">
        <v>1056</v>
      </c>
      <c r="Q87" s="5">
        <v>7</v>
      </c>
      <c r="S87" s="1" t="str">
        <v/>
      </c>
    </row>
    <row r="88" spans="1:19" x14ac:dyDescent="0.25">
      <c r="A88" s="370" t="str">
        <v/>
      </c>
      <c r="H88" s="394" t="str">
        <f t="shared" si="9"/>
        <v/>
      </c>
      <c r="I88" s="394" t="str">
        <f t="shared" si="10"/>
        <v/>
      </c>
      <c r="J88" s="394" t="str">
        <f t="shared" si="11"/>
        <v/>
      </c>
      <c r="K88" s="394" t="str">
        <f t="shared" si="12"/>
        <v/>
      </c>
      <c r="O88" s="370">
        <v>67</v>
      </c>
      <c r="P88" t="s">
        <v>1057</v>
      </c>
      <c r="Q88" s="5">
        <v>7.5</v>
      </c>
      <c r="S88" s="1" t="str">
        <v/>
      </c>
    </row>
    <row r="89" spans="1:19" x14ac:dyDescent="0.25">
      <c r="A89" s="370" t="str">
        <v/>
      </c>
      <c r="H89" s="394" t="str">
        <f t="shared" si="9"/>
        <v/>
      </c>
      <c r="I89" s="394" t="str">
        <f t="shared" si="10"/>
        <v/>
      </c>
      <c r="J89" s="394" t="str">
        <f t="shared" si="11"/>
        <v/>
      </c>
      <c r="K89" s="394" t="str">
        <f t="shared" si="12"/>
        <v/>
      </c>
      <c r="O89" s="370">
        <v>68</v>
      </c>
      <c r="P89" t="s">
        <v>1058</v>
      </c>
      <c r="Q89" s="5">
        <v>8</v>
      </c>
      <c r="S89" s="1" t="str">
        <v/>
      </c>
    </row>
    <row r="90" spans="1:19" x14ac:dyDescent="0.25">
      <c r="A90" s="370" t="str">
        <v/>
      </c>
      <c r="H90" s="394" t="str">
        <f t="shared" si="9"/>
        <v/>
      </c>
      <c r="I90" s="394" t="str">
        <f t="shared" si="10"/>
        <v/>
      </c>
      <c r="J90" s="394" t="str">
        <f t="shared" si="11"/>
        <v/>
      </c>
      <c r="K90" s="394" t="str">
        <f t="shared" si="12"/>
        <v/>
      </c>
      <c r="O90" s="370">
        <v>69</v>
      </c>
      <c r="P90" t="s">
        <v>1059</v>
      </c>
      <c r="Q90" s="5">
        <v>8.5</v>
      </c>
      <c r="S90" s="1" t="str">
        <v/>
      </c>
    </row>
    <row r="91" spans="1:19" x14ac:dyDescent="0.25">
      <c r="A91" s="370" t="str">
        <v/>
      </c>
      <c r="H91" s="394" t="str">
        <f t="shared" si="9"/>
        <v/>
      </c>
      <c r="I91" s="394" t="str">
        <f t="shared" si="10"/>
        <v/>
      </c>
      <c r="J91" s="394" t="str">
        <f t="shared" si="11"/>
        <v/>
      </c>
      <c r="K91" s="394" t="str">
        <f t="shared" si="12"/>
        <v/>
      </c>
      <c r="O91" s="370">
        <v>70</v>
      </c>
      <c r="P91" t="s">
        <v>1060</v>
      </c>
      <c r="Q91" s="5">
        <v>9</v>
      </c>
      <c r="S91" s="1" t="str">
        <v/>
      </c>
    </row>
    <row r="92" spans="1:19" x14ac:dyDescent="0.25">
      <c r="A92" s="370" t="str">
        <v/>
      </c>
      <c r="H92" s="394" t="str">
        <f t="shared" si="9"/>
        <v/>
      </c>
      <c r="I92" s="394" t="str">
        <f t="shared" si="10"/>
        <v/>
      </c>
      <c r="J92" s="394" t="str">
        <f t="shared" si="11"/>
        <v/>
      </c>
      <c r="K92" s="394" t="str">
        <f t="shared" si="12"/>
        <v/>
      </c>
      <c r="O92" s="370">
        <v>71</v>
      </c>
      <c r="P92" t="s">
        <v>1061</v>
      </c>
      <c r="Q92" s="5">
        <v>25</v>
      </c>
      <c r="S92" s="1" t="str">
        <v/>
      </c>
    </row>
    <row r="93" spans="1:19" x14ac:dyDescent="0.25">
      <c r="A93" s="370" t="str">
        <v/>
      </c>
      <c r="H93" s="394" t="str">
        <f t="shared" si="9"/>
        <v/>
      </c>
      <c r="I93" s="394" t="str">
        <f t="shared" si="10"/>
        <v/>
      </c>
      <c r="J93" s="394" t="str">
        <f t="shared" si="11"/>
        <v/>
      </c>
      <c r="K93" s="394" t="str">
        <f t="shared" si="12"/>
        <v/>
      </c>
      <c r="O93" s="370">
        <v>72</v>
      </c>
      <c r="P93" t="s">
        <v>1062</v>
      </c>
      <c r="Q93" s="5">
        <v>26</v>
      </c>
      <c r="S93" s="1" t="str">
        <v/>
      </c>
    </row>
    <row r="94" spans="1:19" x14ac:dyDescent="0.25">
      <c r="A94" s="370" t="str">
        <v/>
      </c>
      <c r="H94" s="394" t="str">
        <f t="shared" si="9"/>
        <v/>
      </c>
      <c r="I94" s="394" t="str">
        <f t="shared" si="10"/>
        <v/>
      </c>
      <c r="J94" s="394" t="str">
        <f t="shared" si="11"/>
        <v/>
      </c>
      <c r="K94" s="394" t="str">
        <f t="shared" si="12"/>
        <v/>
      </c>
      <c r="O94" s="370">
        <v>73</v>
      </c>
      <c r="P94" t="s">
        <v>1063</v>
      </c>
      <c r="Q94" s="5">
        <v>35</v>
      </c>
      <c r="S94" s="1" t="str">
        <v/>
      </c>
    </row>
    <row r="95" spans="1:19" x14ac:dyDescent="0.25">
      <c r="A95" s="370" t="str">
        <v/>
      </c>
      <c r="H95" s="394" t="str">
        <f t="shared" si="9"/>
        <v/>
      </c>
      <c r="I95" s="394" t="str">
        <f t="shared" si="10"/>
        <v/>
      </c>
      <c r="J95" s="394" t="str">
        <f t="shared" si="11"/>
        <v/>
      </c>
      <c r="K95" s="394" t="str">
        <f t="shared" si="12"/>
        <v/>
      </c>
      <c r="O95" s="370">
        <v>74</v>
      </c>
      <c r="P95" t="s">
        <v>1064</v>
      </c>
      <c r="Q95" s="5">
        <v>36</v>
      </c>
      <c r="S95" s="1" t="str">
        <v/>
      </c>
    </row>
    <row r="96" spans="1:19" x14ac:dyDescent="0.25">
      <c r="A96" s="370" t="str">
        <v/>
      </c>
      <c r="H96" s="394" t="str">
        <f t="shared" si="9"/>
        <v/>
      </c>
      <c r="I96" s="394" t="str">
        <f t="shared" si="10"/>
        <v/>
      </c>
      <c r="J96" s="394" t="str">
        <f t="shared" si="11"/>
        <v/>
      </c>
      <c r="K96" s="394" t="str">
        <f t="shared" si="12"/>
        <v/>
      </c>
      <c r="O96" s="370">
        <v>75</v>
      </c>
      <c r="P96" t="s">
        <v>1350</v>
      </c>
      <c r="Q96" s="5">
        <v>12</v>
      </c>
      <c r="S96" s="1" t="str">
        <v/>
      </c>
    </row>
    <row r="97" spans="1:19" x14ac:dyDescent="0.25">
      <c r="A97" s="370" t="str">
        <v/>
      </c>
      <c r="H97" s="394" t="str">
        <f t="shared" si="9"/>
        <v/>
      </c>
      <c r="I97" s="394" t="str">
        <f t="shared" si="10"/>
        <v/>
      </c>
      <c r="J97" s="394" t="str">
        <f t="shared" si="11"/>
        <v/>
      </c>
      <c r="K97" s="394" t="str">
        <f t="shared" si="12"/>
        <v/>
      </c>
      <c r="O97" s="370">
        <v>76</v>
      </c>
      <c r="P97" t="s">
        <v>1065</v>
      </c>
      <c r="Q97" s="5">
        <v>3.5</v>
      </c>
      <c r="S97" s="1" t="str">
        <v/>
      </c>
    </row>
    <row r="98" spans="1:19" x14ac:dyDescent="0.25">
      <c r="A98" s="370" t="str">
        <v/>
      </c>
      <c r="H98" s="394" t="str">
        <f t="shared" si="9"/>
        <v/>
      </c>
      <c r="I98" s="394" t="str">
        <f t="shared" si="10"/>
        <v/>
      </c>
      <c r="J98" s="394" t="str">
        <f t="shared" si="11"/>
        <v/>
      </c>
      <c r="K98" s="394" t="str">
        <f t="shared" si="12"/>
        <v/>
      </c>
      <c r="O98" s="370">
        <v>77</v>
      </c>
      <c r="P98" t="s">
        <v>1035</v>
      </c>
      <c r="Q98" s="5">
        <v>4.3</v>
      </c>
      <c r="S98" s="1" t="str">
        <v/>
      </c>
    </row>
    <row r="99" spans="1:19" x14ac:dyDescent="0.25">
      <c r="A99" s="370" t="str">
        <v/>
      </c>
      <c r="H99" s="394" t="str">
        <f t="shared" si="9"/>
        <v/>
      </c>
      <c r="I99" s="394" t="str">
        <f t="shared" si="10"/>
        <v/>
      </c>
      <c r="J99" s="394" t="str">
        <f t="shared" si="11"/>
        <v/>
      </c>
      <c r="K99" s="394" t="str">
        <f t="shared" si="12"/>
        <v/>
      </c>
      <c r="O99" s="370">
        <v>78</v>
      </c>
      <c r="P99" t="s">
        <v>1066</v>
      </c>
      <c r="Q99" s="5">
        <v>4.3</v>
      </c>
      <c r="S99" s="1" t="str">
        <v/>
      </c>
    </row>
    <row r="100" spans="1:19" x14ac:dyDescent="0.25">
      <c r="A100" s="370" t="str">
        <v/>
      </c>
      <c r="H100" s="394" t="str">
        <f t="shared" si="9"/>
        <v/>
      </c>
      <c r="I100" s="394" t="str">
        <f t="shared" si="10"/>
        <v/>
      </c>
      <c r="J100" s="394" t="str">
        <f t="shared" si="11"/>
        <v/>
      </c>
      <c r="K100" s="394" t="str">
        <f t="shared" si="12"/>
        <v/>
      </c>
      <c r="O100" s="370">
        <v>79</v>
      </c>
      <c r="P100" t="s">
        <v>1036</v>
      </c>
      <c r="Q100" s="5">
        <v>5.2</v>
      </c>
      <c r="S100" s="1" t="str">
        <v/>
      </c>
    </row>
    <row r="101" spans="1:19" x14ac:dyDescent="0.25">
      <c r="A101" s="370" t="str">
        <v/>
      </c>
      <c r="H101" s="394" t="str">
        <f t="shared" si="9"/>
        <v/>
      </c>
      <c r="I101" s="394" t="str">
        <f t="shared" si="10"/>
        <v/>
      </c>
      <c r="J101" s="394" t="str">
        <f t="shared" si="11"/>
        <v/>
      </c>
      <c r="K101" s="394" t="str">
        <f t="shared" si="12"/>
        <v/>
      </c>
      <c r="O101" s="370">
        <v>80</v>
      </c>
      <c r="P101" t="s">
        <v>1037</v>
      </c>
      <c r="Q101" s="5">
        <v>6.2</v>
      </c>
      <c r="S101" s="1" t="str">
        <v/>
      </c>
    </row>
    <row r="102" spans="1:19" x14ac:dyDescent="0.25">
      <c r="A102" s="370" t="str">
        <v/>
      </c>
      <c r="H102" s="394" t="str">
        <f t="shared" si="9"/>
        <v/>
      </c>
      <c r="I102" s="394" t="str">
        <f t="shared" si="10"/>
        <v/>
      </c>
      <c r="J102" s="394" t="str">
        <f t="shared" si="11"/>
        <v/>
      </c>
      <c r="K102" s="394" t="str">
        <f t="shared" si="12"/>
        <v/>
      </c>
      <c r="O102" s="370">
        <v>81</v>
      </c>
      <c r="P102" t="s">
        <v>1067</v>
      </c>
      <c r="Q102" s="5">
        <v>7.5</v>
      </c>
      <c r="S102" s="1" t="str">
        <v/>
      </c>
    </row>
    <row r="103" spans="1:19" x14ac:dyDescent="0.25">
      <c r="A103" s="370" t="str">
        <v/>
      </c>
      <c r="H103" s="394" t="str">
        <f t="shared" si="9"/>
        <v/>
      </c>
      <c r="I103" s="394" t="str">
        <f t="shared" si="10"/>
        <v/>
      </c>
      <c r="J103" s="394" t="str">
        <f t="shared" si="11"/>
        <v/>
      </c>
      <c r="K103" s="394" t="str">
        <f t="shared" si="12"/>
        <v/>
      </c>
      <c r="O103" s="370">
        <v>82</v>
      </c>
      <c r="P103" t="s">
        <v>1068</v>
      </c>
      <c r="Q103" s="5">
        <v>13</v>
      </c>
      <c r="S103" s="1" t="str">
        <v/>
      </c>
    </row>
    <row r="104" spans="1:19" x14ac:dyDescent="0.25">
      <c r="A104" s="370" t="str">
        <v/>
      </c>
      <c r="H104" s="394" t="str">
        <f t="shared" si="9"/>
        <v/>
      </c>
      <c r="I104" s="394" t="str">
        <f t="shared" si="10"/>
        <v/>
      </c>
      <c r="J104" s="394" t="str">
        <f t="shared" si="11"/>
        <v/>
      </c>
      <c r="K104" s="394" t="str">
        <f t="shared" si="12"/>
        <v/>
      </c>
      <c r="O104" s="370">
        <v>83</v>
      </c>
      <c r="P104" t="s">
        <v>1069</v>
      </c>
      <c r="Q104" s="5">
        <v>13.5</v>
      </c>
      <c r="S104" s="1" t="str">
        <v/>
      </c>
    </row>
    <row r="105" spans="1:19" x14ac:dyDescent="0.25">
      <c r="A105" s="370" t="str">
        <v/>
      </c>
      <c r="H105" s="394" t="str">
        <f t="shared" si="9"/>
        <v/>
      </c>
      <c r="I105" s="394" t="str">
        <f t="shared" si="10"/>
        <v/>
      </c>
      <c r="J105" s="394" t="str">
        <f t="shared" si="11"/>
        <v/>
      </c>
      <c r="K105" s="394" t="str">
        <f t="shared" si="12"/>
        <v/>
      </c>
      <c r="O105" s="370">
        <v>84</v>
      </c>
      <c r="P105" t="s">
        <v>1070</v>
      </c>
      <c r="Q105" s="5">
        <v>15</v>
      </c>
      <c r="S105" s="1" t="str">
        <v/>
      </c>
    </row>
    <row r="106" spans="1:19" x14ac:dyDescent="0.25">
      <c r="A106" s="370" t="str">
        <v/>
      </c>
      <c r="H106" s="394" t="str">
        <f t="shared" si="9"/>
        <v/>
      </c>
      <c r="I106" s="394" t="str">
        <f t="shared" si="10"/>
        <v/>
      </c>
      <c r="J106" s="394" t="str">
        <f t="shared" si="11"/>
        <v/>
      </c>
      <c r="K106" s="394" t="str">
        <f t="shared" si="12"/>
        <v/>
      </c>
      <c r="O106" s="370">
        <v>85</v>
      </c>
      <c r="P106" t="s">
        <v>1071</v>
      </c>
      <c r="Q106" s="5">
        <v>15.5</v>
      </c>
      <c r="S106" s="1" t="str">
        <v/>
      </c>
    </row>
    <row r="107" spans="1:19" x14ac:dyDescent="0.25">
      <c r="A107" s="370" t="str">
        <v/>
      </c>
      <c r="H107" s="394" t="str">
        <f t="shared" si="9"/>
        <v/>
      </c>
      <c r="I107" s="394" t="str">
        <f t="shared" si="10"/>
        <v/>
      </c>
      <c r="J107" s="394" t="str">
        <f t="shared" si="11"/>
        <v/>
      </c>
      <c r="K107" s="394" t="str">
        <f t="shared" si="12"/>
        <v/>
      </c>
      <c r="O107" s="370">
        <v>86</v>
      </c>
      <c r="P107" t="s">
        <v>1072</v>
      </c>
      <c r="Q107" s="5">
        <v>16</v>
      </c>
      <c r="S107" s="1" t="str">
        <v/>
      </c>
    </row>
    <row r="108" spans="1:19" x14ac:dyDescent="0.25">
      <c r="A108" s="370" t="str">
        <v/>
      </c>
      <c r="H108" s="394" t="str">
        <f t="shared" si="9"/>
        <v/>
      </c>
      <c r="I108" s="394" t="str">
        <f t="shared" si="10"/>
        <v/>
      </c>
      <c r="J108" s="394" t="str">
        <f t="shared" si="11"/>
        <v/>
      </c>
      <c r="K108" s="394" t="str">
        <f t="shared" si="12"/>
        <v/>
      </c>
      <c r="O108" s="370">
        <v>87</v>
      </c>
      <c r="P108" t="s">
        <v>1073</v>
      </c>
      <c r="Q108" s="5">
        <v>16.5</v>
      </c>
      <c r="S108" s="1" t="str">
        <v/>
      </c>
    </row>
    <row r="109" spans="1:19" x14ac:dyDescent="0.25">
      <c r="A109" s="370" t="str">
        <v/>
      </c>
      <c r="H109" s="394" t="str">
        <f t="shared" si="9"/>
        <v/>
      </c>
      <c r="I109" s="394" t="str">
        <f t="shared" si="10"/>
        <v/>
      </c>
      <c r="J109" s="394" t="str">
        <f t="shared" si="11"/>
        <v/>
      </c>
      <c r="K109" s="394" t="str">
        <f t="shared" si="12"/>
        <v/>
      </c>
      <c r="O109" s="370">
        <v>88</v>
      </c>
      <c r="P109" t="s">
        <v>1038</v>
      </c>
      <c r="Q109" s="5">
        <v>4.5999999999999996</v>
      </c>
      <c r="S109" s="1" t="str">
        <v/>
      </c>
    </row>
    <row r="110" spans="1:19" x14ac:dyDescent="0.25">
      <c r="A110" s="370" t="str">
        <v/>
      </c>
      <c r="H110" s="394" t="str">
        <f t="shared" si="9"/>
        <v/>
      </c>
      <c r="I110" s="394" t="str">
        <f t="shared" si="10"/>
        <v/>
      </c>
      <c r="J110" s="394" t="str">
        <f t="shared" si="11"/>
        <v/>
      </c>
      <c r="K110" s="394" t="str">
        <f t="shared" si="12"/>
        <v/>
      </c>
      <c r="O110" s="370">
        <v>89</v>
      </c>
      <c r="P110" t="s">
        <v>1074</v>
      </c>
      <c r="Q110" s="5">
        <v>5.4</v>
      </c>
      <c r="S110" s="1" t="str">
        <v/>
      </c>
    </row>
    <row r="111" spans="1:19" x14ac:dyDescent="0.25">
      <c r="A111" s="370" t="str">
        <v/>
      </c>
      <c r="H111" s="394" t="str">
        <f t="shared" si="9"/>
        <v/>
      </c>
      <c r="I111" s="394" t="str">
        <f t="shared" si="10"/>
        <v/>
      </c>
      <c r="J111" s="394" t="str">
        <f t="shared" si="11"/>
        <v/>
      </c>
      <c r="K111" s="394" t="str">
        <f t="shared" si="12"/>
        <v/>
      </c>
      <c r="O111" s="370">
        <v>90</v>
      </c>
      <c r="P111" t="s">
        <v>1075</v>
      </c>
      <c r="Q111" s="5">
        <v>9</v>
      </c>
      <c r="S111" s="1" t="str">
        <v/>
      </c>
    </row>
    <row r="112" spans="1:19" x14ac:dyDescent="0.25">
      <c r="A112" s="370" t="str">
        <v/>
      </c>
      <c r="H112" s="394" t="str">
        <f t="shared" si="9"/>
        <v/>
      </c>
      <c r="I112" s="394" t="str">
        <f t="shared" si="10"/>
        <v/>
      </c>
      <c r="J112" s="394" t="str">
        <f t="shared" si="11"/>
        <v/>
      </c>
      <c r="K112" s="394" t="str">
        <f t="shared" si="12"/>
        <v/>
      </c>
      <c r="O112" s="370">
        <v>91</v>
      </c>
      <c r="P112" t="s">
        <v>1076</v>
      </c>
      <c r="Q112" s="5">
        <v>9.5</v>
      </c>
      <c r="S112" s="1" t="str">
        <v/>
      </c>
    </row>
    <row r="113" spans="1:19" x14ac:dyDescent="0.25">
      <c r="A113" s="370" t="str">
        <v/>
      </c>
      <c r="H113" s="394" t="str">
        <f t="shared" si="9"/>
        <v/>
      </c>
      <c r="I113" s="394" t="str">
        <f t="shared" si="10"/>
        <v/>
      </c>
      <c r="J113" s="394" t="str">
        <f t="shared" si="11"/>
        <v/>
      </c>
      <c r="K113" s="394" t="str">
        <f t="shared" si="12"/>
        <v/>
      </c>
      <c r="O113" s="370">
        <v>92</v>
      </c>
      <c r="P113" t="s">
        <v>1077</v>
      </c>
      <c r="Q113" s="5">
        <v>10</v>
      </c>
      <c r="S113" s="1" t="str">
        <v/>
      </c>
    </row>
    <row r="114" spans="1:19" x14ac:dyDescent="0.25">
      <c r="A114" s="370" t="str">
        <v/>
      </c>
      <c r="H114" s="394" t="str">
        <f t="shared" si="9"/>
        <v/>
      </c>
      <c r="I114" s="394" t="str">
        <f t="shared" si="10"/>
        <v/>
      </c>
      <c r="J114" s="394" t="str">
        <f t="shared" si="11"/>
        <v/>
      </c>
      <c r="K114" s="394" t="str">
        <f t="shared" si="12"/>
        <v/>
      </c>
      <c r="O114" s="370">
        <v>93</v>
      </c>
      <c r="P114" t="s">
        <v>1078</v>
      </c>
      <c r="Q114" s="5">
        <v>10.5</v>
      </c>
      <c r="S114" s="1" t="str">
        <v/>
      </c>
    </row>
    <row r="115" spans="1:19" x14ac:dyDescent="0.25">
      <c r="A115" s="370" t="str">
        <v/>
      </c>
      <c r="H115" s="394" t="str">
        <f t="shared" si="9"/>
        <v/>
      </c>
      <c r="I115" s="394" t="str">
        <f t="shared" si="10"/>
        <v/>
      </c>
      <c r="J115" s="394" t="str">
        <f t="shared" si="11"/>
        <v/>
      </c>
      <c r="K115" s="394" t="str">
        <f t="shared" si="12"/>
        <v/>
      </c>
      <c r="O115" s="370">
        <v>94</v>
      </c>
      <c r="P115" t="s">
        <v>1079</v>
      </c>
      <c r="Q115" s="5">
        <v>11</v>
      </c>
      <c r="S115" s="1" t="str">
        <v/>
      </c>
    </row>
    <row r="116" spans="1:19" x14ac:dyDescent="0.25">
      <c r="A116" s="370" t="str">
        <v/>
      </c>
      <c r="H116" s="394" t="str">
        <f t="shared" si="9"/>
        <v/>
      </c>
      <c r="I116" s="394" t="str">
        <f t="shared" si="10"/>
        <v/>
      </c>
      <c r="J116" s="394" t="str">
        <f t="shared" si="11"/>
        <v/>
      </c>
      <c r="K116" s="394" t="str">
        <f t="shared" si="12"/>
        <v/>
      </c>
      <c r="O116" s="370">
        <v>95</v>
      </c>
      <c r="P116" t="s">
        <v>1080</v>
      </c>
      <c r="Q116" s="5">
        <v>11.5</v>
      </c>
      <c r="S116" s="1" t="str">
        <v/>
      </c>
    </row>
    <row r="117" spans="1:19" x14ac:dyDescent="0.25">
      <c r="A117" s="370" t="str">
        <v/>
      </c>
      <c r="H117" s="394" t="str">
        <f t="shared" si="9"/>
        <v/>
      </c>
      <c r="I117" s="394" t="str">
        <f t="shared" si="10"/>
        <v/>
      </c>
      <c r="J117" s="394" t="str">
        <f t="shared" si="11"/>
        <v/>
      </c>
      <c r="K117" s="394" t="str">
        <f t="shared" si="12"/>
        <v/>
      </c>
      <c r="O117" s="370">
        <v>96</v>
      </c>
      <c r="P117" t="s">
        <v>1039</v>
      </c>
      <c r="Q117" s="5">
        <v>5.7</v>
      </c>
      <c r="S117" s="1" t="str">
        <v/>
      </c>
    </row>
    <row r="118" spans="1:19" x14ac:dyDescent="0.25">
      <c r="A118" s="370" t="str">
        <v/>
      </c>
      <c r="H118" s="394" t="str">
        <f t="shared" si="9"/>
        <v/>
      </c>
      <c r="I118" s="394" t="str">
        <f t="shared" si="10"/>
        <v/>
      </c>
      <c r="J118" s="394" t="str">
        <f t="shared" si="11"/>
        <v/>
      </c>
      <c r="K118" s="394" t="str">
        <f t="shared" si="12"/>
        <v/>
      </c>
      <c r="O118" s="370">
        <v>97</v>
      </c>
      <c r="P118" t="s">
        <v>1081</v>
      </c>
      <c r="Q118" s="5">
        <v>7</v>
      </c>
      <c r="S118" s="1" t="str">
        <v/>
      </c>
    </row>
    <row r="119" spans="1:19" x14ac:dyDescent="0.25">
      <c r="A119" s="370" t="str">
        <v/>
      </c>
      <c r="H119" s="394" t="str">
        <f t="shared" si="9"/>
        <v/>
      </c>
      <c r="I119" s="394" t="str">
        <f t="shared" si="10"/>
        <v/>
      </c>
      <c r="J119" s="394" t="str">
        <f t="shared" si="11"/>
        <v/>
      </c>
      <c r="K119" s="394" t="str">
        <f t="shared" si="12"/>
        <v/>
      </c>
      <c r="O119" s="370">
        <v>98</v>
      </c>
      <c r="P119" t="s">
        <v>1040</v>
      </c>
      <c r="Q119" s="5">
        <v>7.6</v>
      </c>
      <c r="S119" s="1" t="str">
        <v/>
      </c>
    </row>
    <row r="120" spans="1:19" x14ac:dyDescent="0.25">
      <c r="A120" s="370" t="str">
        <v/>
      </c>
      <c r="H120" s="394" t="str">
        <f t="shared" si="9"/>
        <v/>
      </c>
      <c r="I120" s="394" t="str">
        <f t="shared" si="10"/>
        <v/>
      </c>
      <c r="J120" s="394" t="str">
        <f t="shared" si="11"/>
        <v/>
      </c>
      <c r="K120" s="394" t="str">
        <f t="shared" si="12"/>
        <v/>
      </c>
      <c r="O120" s="370">
        <v>99</v>
      </c>
      <c r="P120" t="s">
        <v>1082</v>
      </c>
      <c r="Q120" s="5">
        <v>8.4</v>
      </c>
      <c r="S120" s="1" t="str">
        <v/>
      </c>
    </row>
    <row r="121" spans="1:19" x14ac:dyDescent="0.25">
      <c r="A121" s="370" t="str">
        <v/>
      </c>
      <c r="H121" s="394" t="str">
        <f t="shared" si="9"/>
        <v/>
      </c>
      <c r="I121" s="394" t="str">
        <f t="shared" si="10"/>
        <v/>
      </c>
      <c r="J121" s="394" t="str">
        <f t="shared" si="11"/>
        <v/>
      </c>
      <c r="K121" s="394" t="str">
        <f t="shared" si="12"/>
        <v/>
      </c>
      <c r="O121" s="370">
        <v>100</v>
      </c>
      <c r="P121" t="s">
        <v>1041</v>
      </c>
      <c r="Q121" s="5">
        <v>6.2</v>
      </c>
      <c r="S121" s="1" t="str">
        <v/>
      </c>
    </row>
    <row r="122" spans="1:19" x14ac:dyDescent="0.25">
      <c r="A122" s="370" t="str">
        <v/>
      </c>
      <c r="H122" s="394" t="str">
        <f t="shared" si="9"/>
        <v/>
      </c>
      <c r="I122" s="394" t="str">
        <f t="shared" si="10"/>
        <v/>
      </c>
      <c r="J122" s="394" t="str">
        <f t="shared" si="11"/>
        <v/>
      </c>
      <c r="K122" s="394" t="str">
        <f t="shared" si="12"/>
        <v/>
      </c>
      <c r="O122" s="370">
        <v>101</v>
      </c>
      <c r="P122" t="s">
        <v>1083</v>
      </c>
      <c r="Q122" s="5">
        <v>7.5</v>
      </c>
      <c r="S122" s="1" t="str">
        <v/>
      </c>
    </row>
    <row r="123" spans="1:19" x14ac:dyDescent="0.25">
      <c r="A123" s="370" t="str">
        <v/>
      </c>
      <c r="H123" s="394" t="str">
        <f t="shared" si="9"/>
        <v/>
      </c>
      <c r="I123" s="394" t="str">
        <f t="shared" si="10"/>
        <v/>
      </c>
      <c r="J123" s="394" t="str">
        <f t="shared" si="11"/>
        <v/>
      </c>
      <c r="K123" s="394" t="str">
        <f t="shared" si="12"/>
        <v/>
      </c>
      <c r="O123" s="370">
        <v>102</v>
      </c>
      <c r="P123" t="s">
        <v>1084</v>
      </c>
      <c r="Q123" s="5">
        <v>13</v>
      </c>
      <c r="S123" s="1" t="str">
        <v/>
      </c>
    </row>
    <row r="124" spans="1:19" x14ac:dyDescent="0.25">
      <c r="A124" s="370" t="str">
        <v/>
      </c>
      <c r="H124" s="394" t="str">
        <f t="shared" si="9"/>
        <v/>
      </c>
      <c r="I124" s="394" t="str">
        <f t="shared" si="10"/>
        <v/>
      </c>
      <c r="J124" s="394" t="str">
        <f t="shared" si="11"/>
        <v/>
      </c>
      <c r="K124" s="394" t="str">
        <f t="shared" si="12"/>
        <v/>
      </c>
      <c r="O124" s="370">
        <v>103</v>
      </c>
      <c r="P124" t="s">
        <v>1085</v>
      </c>
      <c r="Q124" s="5">
        <v>13.5</v>
      </c>
      <c r="S124" s="1" t="str">
        <v/>
      </c>
    </row>
    <row r="125" spans="1:19" x14ac:dyDescent="0.25">
      <c r="A125" s="370" t="str">
        <v/>
      </c>
      <c r="H125" s="394" t="str">
        <f t="shared" si="9"/>
        <v/>
      </c>
      <c r="I125" s="394" t="str">
        <f t="shared" si="10"/>
        <v/>
      </c>
      <c r="J125" s="394" t="str">
        <f t="shared" si="11"/>
        <v/>
      </c>
      <c r="K125" s="394" t="str">
        <f t="shared" si="12"/>
        <v/>
      </c>
      <c r="O125" s="370">
        <v>104</v>
      </c>
      <c r="P125" t="s">
        <v>1086</v>
      </c>
      <c r="Q125" s="5">
        <v>15</v>
      </c>
      <c r="S125" s="1" t="str">
        <v/>
      </c>
    </row>
    <row r="126" spans="1:19" x14ac:dyDescent="0.25">
      <c r="A126" s="370" t="str">
        <v/>
      </c>
      <c r="H126" s="394" t="str">
        <f t="shared" si="9"/>
        <v/>
      </c>
      <c r="I126" s="394" t="str">
        <f t="shared" si="10"/>
        <v/>
      </c>
      <c r="J126" s="394" t="str">
        <f t="shared" si="11"/>
        <v/>
      </c>
      <c r="K126" s="394" t="str">
        <f t="shared" si="12"/>
        <v/>
      </c>
      <c r="O126" s="370">
        <v>105</v>
      </c>
      <c r="P126" t="s">
        <v>1087</v>
      </c>
      <c r="Q126" s="5">
        <v>15.5</v>
      </c>
      <c r="S126" s="1" t="str">
        <v/>
      </c>
    </row>
    <row r="127" spans="1:19" x14ac:dyDescent="0.25">
      <c r="A127" s="370" t="str">
        <v/>
      </c>
      <c r="H127" s="394" t="str">
        <f t="shared" si="9"/>
        <v/>
      </c>
      <c r="I127" s="394" t="str">
        <f t="shared" si="10"/>
        <v/>
      </c>
      <c r="J127" s="394" t="str">
        <f t="shared" si="11"/>
        <v/>
      </c>
      <c r="K127" s="394" t="str">
        <f t="shared" si="12"/>
        <v/>
      </c>
      <c r="O127" s="370">
        <v>106</v>
      </c>
      <c r="P127" t="s">
        <v>1088</v>
      </c>
      <c r="Q127" s="5">
        <v>16</v>
      </c>
      <c r="S127" s="1" t="str">
        <v/>
      </c>
    </row>
    <row r="128" spans="1:19" x14ac:dyDescent="0.25">
      <c r="A128" s="370" t="str">
        <v/>
      </c>
      <c r="H128" s="394" t="str">
        <f t="shared" si="9"/>
        <v/>
      </c>
      <c r="I128" s="394" t="str">
        <f t="shared" si="10"/>
        <v/>
      </c>
      <c r="J128" s="394" t="str">
        <f t="shared" si="11"/>
        <v/>
      </c>
      <c r="K128" s="394" t="str">
        <f t="shared" si="12"/>
        <v/>
      </c>
      <c r="O128" s="370">
        <v>107</v>
      </c>
      <c r="P128" t="s">
        <v>1089</v>
      </c>
      <c r="Q128" s="5">
        <v>16.5</v>
      </c>
      <c r="S128" s="1" t="str">
        <v/>
      </c>
    </row>
    <row r="129" spans="1:19" x14ac:dyDescent="0.25">
      <c r="A129" s="370" t="str">
        <v/>
      </c>
      <c r="H129" s="394" t="str">
        <f t="shared" si="9"/>
        <v/>
      </c>
      <c r="I129" s="394" t="str">
        <f t="shared" si="10"/>
        <v/>
      </c>
      <c r="J129" s="394" t="str">
        <f t="shared" si="11"/>
        <v/>
      </c>
      <c r="K129" s="394" t="str">
        <f t="shared" si="12"/>
        <v/>
      </c>
      <c r="O129" s="370">
        <v>108</v>
      </c>
      <c r="P129" t="s">
        <v>1042</v>
      </c>
      <c r="Q129" s="5">
        <v>4.5</v>
      </c>
      <c r="S129" s="1" t="str">
        <v/>
      </c>
    </row>
    <row r="130" spans="1:19" x14ac:dyDescent="0.25">
      <c r="A130" s="370" t="str">
        <v/>
      </c>
      <c r="H130" s="394" t="str">
        <f t="shared" si="9"/>
        <v/>
      </c>
      <c r="I130" s="394" t="str">
        <f t="shared" si="10"/>
        <v/>
      </c>
      <c r="J130" s="394" t="str">
        <f t="shared" si="11"/>
        <v/>
      </c>
      <c r="K130" s="394" t="str">
        <f t="shared" si="12"/>
        <v/>
      </c>
      <c r="O130" s="370">
        <v>109</v>
      </c>
      <c r="P130" t="s">
        <v>1090</v>
      </c>
      <c r="Q130" s="5">
        <v>6.5</v>
      </c>
      <c r="S130" s="1" t="str">
        <v/>
      </c>
    </row>
    <row r="131" spans="1:19" x14ac:dyDescent="0.25">
      <c r="A131" s="370" t="str">
        <v/>
      </c>
      <c r="H131" s="394" t="str">
        <f t="shared" si="9"/>
        <v/>
      </c>
      <c r="I131" s="394" t="str">
        <f t="shared" si="10"/>
        <v/>
      </c>
      <c r="J131" s="394" t="str">
        <f t="shared" si="11"/>
        <v/>
      </c>
      <c r="K131" s="394" t="str">
        <f t="shared" si="12"/>
        <v/>
      </c>
      <c r="O131" s="370">
        <v>110</v>
      </c>
      <c r="P131" t="s">
        <v>1091</v>
      </c>
      <c r="Q131" s="5">
        <v>6</v>
      </c>
      <c r="S131" s="1" t="str">
        <v/>
      </c>
    </row>
    <row r="132" spans="1:19" x14ac:dyDescent="0.25">
      <c r="A132" s="370" t="str">
        <v/>
      </c>
      <c r="H132" s="394" t="str">
        <f t="shared" si="9"/>
        <v/>
      </c>
      <c r="I132" s="394" t="str">
        <f t="shared" si="10"/>
        <v/>
      </c>
      <c r="J132" s="394" t="str">
        <f t="shared" si="11"/>
        <v/>
      </c>
      <c r="K132" s="394" t="str">
        <f t="shared" si="12"/>
        <v/>
      </c>
      <c r="O132" s="370">
        <v>111</v>
      </c>
      <c r="P132" t="s">
        <v>1092</v>
      </c>
      <c r="Q132" s="5">
        <v>7.4</v>
      </c>
      <c r="S132" s="1" t="str">
        <v/>
      </c>
    </row>
    <row r="133" spans="1:19" x14ac:dyDescent="0.25">
      <c r="A133" s="370" t="str">
        <v/>
      </c>
      <c r="H133" s="394" t="str">
        <f t="shared" si="9"/>
        <v/>
      </c>
      <c r="I133" s="394" t="str">
        <f t="shared" si="10"/>
        <v/>
      </c>
      <c r="J133" s="394" t="str">
        <f t="shared" si="11"/>
        <v/>
      </c>
      <c r="K133" s="394" t="str">
        <f t="shared" si="12"/>
        <v/>
      </c>
      <c r="O133" s="370">
        <v>112</v>
      </c>
      <c r="P133" t="s">
        <v>1043</v>
      </c>
      <c r="Q133" s="5">
        <v>9.5</v>
      </c>
      <c r="S133" s="1" t="str">
        <v/>
      </c>
    </row>
    <row r="134" spans="1:19" x14ac:dyDescent="0.25">
      <c r="A134" s="370" t="str">
        <v/>
      </c>
      <c r="H134" s="394" t="str">
        <f t="shared" si="9"/>
        <v/>
      </c>
      <c r="I134" s="394" t="str">
        <f t="shared" si="10"/>
        <v/>
      </c>
      <c r="J134" s="394" t="str">
        <f t="shared" si="11"/>
        <v/>
      </c>
      <c r="K134" s="394" t="str">
        <f t="shared" si="12"/>
        <v/>
      </c>
      <c r="O134" s="370">
        <v>113</v>
      </c>
      <c r="P134" t="s">
        <v>1351</v>
      </c>
      <c r="Q134" s="5">
        <v>14</v>
      </c>
      <c r="S134" s="1" t="str">
        <v/>
      </c>
    </row>
    <row r="135" spans="1:19" x14ac:dyDescent="0.25">
      <c r="A135" s="370" t="str">
        <v/>
      </c>
      <c r="H135" s="394" t="str">
        <f t="shared" si="9"/>
        <v/>
      </c>
      <c r="I135" s="394" t="str">
        <f t="shared" si="10"/>
        <v/>
      </c>
      <c r="J135" s="394" t="str">
        <f t="shared" si="11"/>
        <v/>
      </c>
      <c r="K135" s="394" t="str">
        <f t="shared" si="12"/>
        <v/>
      </c>
      <c r="O135" s="370">
        <v>114</v>
      </c>
      <c r="P135" t="s">
        <v>1093</v>
      </c>
      <c r="Q135" s="5">
        <v>11</v>
      </c>
      <c r="S135" s="1" t="str">
        <v/>
      </c>
    </row>
    <row r="136" spans="1:19" x14ac:dyDescent="0.25">
      <c r="A136" s="370" t="str">
        <v/>
      </c>
      <c r="H136" s="394" t="str">
        <f t="shared" si="9"/>
        <v/>
      </c>
      <c r="I136" s="394" t="str">
        <f t="shared" si="10"/>
        <v/>
      </c>
      <c r="J136" s="394" t="str">
        <f t="shared" si="11"/>
        <v/>
      </c>
      <c r="K136" s="394" t="str">
        <f t="shared" si="12"/>
        <v/>
      </c>
      <c r="O136" s="370">
        <v>115</v>
      </c>
      <c r="P136" t="s">
        <v>1094</v>
      </c>
      <c r="Q136" s="5">
        <v>18.5</v>
      </c>
      <c r="S136" s="1" t="str">
        <v/>
      </c>
    </row>
    <row r="137" spans="1:19" x14ac:dyDescent="0.25">
      <c r="A137" s="370" t="str">
        <v/>
      </c>
      <c r="H137" s="394" t="str">
        <f t="shared" si="9"/>
        <v/>
      </c>
      <c r="I137" s="394" t="str">
        <f t="shared" si="10"/>
        <v/>
      </c>
      <c r="J137" s="394" t="str">
        <f t="shared" si="11"/>
        <v/>
      </c>
      <c r="K137" s="394" t="str">
        <f t="shared" si="12"/>
        <v/>
      </c>
      <c r="O137" s="370">
        <v>116</v>
      </c>
      <c r="P137" t="s">
        <v>1095</v>
      </c>
      <c r="Q137" s="5">
        <v>19</v>
      </c>
      <c r="S137" s="1" t="str">
        <v/>
      </c>
    </row>
    <row r="138" spans="1:19" x14ac:dyDescent="0.25">
      <c r="A138" s="370" t="str">
        <v/>
      </c>
      <c r="H138" s="394" t="str">
        <f t="shared" si="9"/>
        <v/>
      </c>
      <c r="I138" s="394" t="str">
        <f t="shared" si="10"/>
        <v/>
      </c>
      <c r="J138" s="394" t="str">
        <f t="shared" si="11"/>
        <v/>
      </c>
      <c r="K138" s="394" t="str">
        <f t="shared" si="12"/>
        <v/>
      </c>
      <c r="O138" s="370">
        <v>117</v>
      </c>
      <c r="P138" t="s">
        <v>1096</v>
      </c>
      <c r="Q138" s="5">
        <v>20.5</v>
      </c>
      <c r="S138" s="1" t="str">
        <v/>
      </c>
    </row>
    <row r="139" spans="1:19" x14ac:dyDescent="0.25">
      <c r="A139" s="370" t="str">
        <v/>
      </c>
      <c r="H139" s="394" t="str">
        <f t="shared" si="9"/>
        <v/>
      </c>
      <c r="I139" s="394" t="str">
        <f t="shared" si="10"/>
        <v/>
      </c>
      <c r="J139" s="394" t="str">
        <f t="shared" si="11"/>
        <v/>
      </c>
      <c r="K139" s="394" t="str">
        <f t="shared" si="12"/>
        <v/>
      </c>
      <c r="O139" s="370">
        <v>118</v>
      </c>
      <c r="P139" t="s">
        <v>1097</v>
      </c>
      <c r="Q139" s="5">
        <v>21</v>
      </c>
      <c r="S139" s="1" t="str">
        <v/>
      </c>
    </row>
    <row r="140" spans="1:19" x14ac:dyDescent="0.25">
      <c r="A140" s="370" t="str">
        <v/>
      </c>
      <c r="H140" s="394" t="str">
        <f t="shared" si="9"/>
        <v/>
      </c>
      <c r="I140" s="394" t="str">
        <f t="shared" si="10"/>
        <v/>
      </c>
      <c r="J140" s="394" t="str">
        <f t="shared" si="11"/>
        <v/>
      </c>
      <c r="K140" s="394" t="str">
        <f t="shared" si="12"/>
        <v/>
      </c>
      <c r="O140" s="370">
        <v>119</v>
      </c>
      <c r="P140" t="s">
        <v>1098</v>
      </c>
      <c r="Q140" s="5">
        <v>22.5</v>
      </c>
      <c r="S140" s="1" t="str">
        <v/>
      </c>
    </row>
    <row r="141" spans="1:19" x14ac:dyDescent="0.25">
      <c r="A141" s="370" t="str">
        <v/>
      </c>
      <c r="H141" s="394" t="str">
        <f t="shared" si="9"/>
        <v/>
      </c>
      <c r="I141" s="394" t="str">
        <f t="shared" si="10"/>
        <v/>
      </c>
      <c r="J141" s="394" t="str">
        <f t="shared" si="11"/>
        <v/>
      </c>
      <c r="K141" s="394" t="str">
        <f t="shared" si="12"/>
        <v/>
      </c>
      <c r="O141" s="370">
        <v>120</v>
      </c>
      <c r="P141" t="s">
        <v>1099</v>
      </c>
      <c r="Q141" s="5">
        <v>23</v>
      </c>
      <c r="S141" s="1" t="str">
        <v/>
      </c>
    </row>
    <row r="142" spans="1:19" x14ac:dyDescent="0.25">
      <c r="A142" s="370" t="str">
        <v/>
      </c>
      <c r="H142" s="394" t="str">
        <f t="shared" si="9"/>
        <v/>
      </c>
      <c r="I142" s="394" t="str">
        <f t="shared" si="10"/>
        <v/>
      </c>
      <c r="J142" s="394" t="str">
        <f t="shared" si="11"/>
        <v/>
      </c>
      <c r="K142" s="394" t="str">
        <f t="shared" si="12"/>
        <v/>
      </c>
      <c r="O142" s="370">
        <v>121</v>
      </c>
      <c r="P142" t="s">
        <v>1100</v>
      </c>
      <c r="Q142" s="5">
        <v>47</v>
      </c>
      <c r="S142" s="1" t="str">
        <v/>
      </c>
    </row>
    <row r="143" spans="1:19" x14ac:dyDescent="0.25">
      <c r="A143" s="370" t="str">
        <v/>
      </c>
      <c r="H143" s="394" t="str">
        <f t="shared" si="9"/>
        <v/>
      </c>
      <c r="I143" s="394" t="str">
        <f t="shared" si="10"/>
        <v/>
      </c>
      <c r="J143" s="394" t="str">
        <f t="shared" si="11"/>
        <v/>
      </c>
      <c r="K143" s="394" t="str">
        <f t="shared" si="12"/>
        <v/>
      </c>
      <c r="O143" s="370">
        <v>122</v>
      </c>
      <c r="P143" t="s">
        <v>1101</v>
      </c>
      <c r="Q143" s="5">
        <v>48</v>
      </c>
      <c r="S143" s="1" t="str">
        <v/>
      </c>
    </row>
    <row r="144" spans="1:19" x14ac:dyDescent="0.25">
      <c r="A144" s="370" t="str">
        <v/>
      </c>
      <c r="H144" s="394" t="str">
        <f t="shared" si="9"/>
        <v/>
      </c>
      <c r="I144" s="394" t="str">
        <f t="shared" si="10"/>
        <v/>
      </c>
      <c r="J144" s="394" t="str">
        <f t="shared" si="11"/>
        <v/>
      </c>
      <c r="K144" s="394" t="str">
        <f t="shared" si="12"/>
        <v/>
      </c>
      <c r="O144" s="370">
        <v>123</v>
      </c>
      <c r="P144" t="s">
        <v>1102</v>
      </c>
      <c r="Q144" s="5">
        <v>52</v>
      </c>
      <c r="S144" s="1" t="str">
        <v/>
      </c>
    </row>
    <row r="145" spans="1:19" x14ac:dyDescent="0.25">
      <c r="A145" s="370" t="str">
        <v/>
      </c>
      <c r="H145" s="394" t="str">
        <f t="shared" si="9"/>
        <v/>
      </c>
      <c r="I145" s="394" t="str">
        <f t="shared" si="10"/>
        <v/>
      </c>
      <c r="J145" s="394" t="str">
        <f t="shared" si="11"/>
        <v/>
      </c>
      <c r="K145" s="394" t="str">
        <f t="shared" si="12"/>
        <v/>
      </c>
      <c r="O145" s="370">
        <v>124</v>
      </c>
      <c r="P145" t="s">
        <v>1103</v>
      </c>
      <c r="Q145" s="5">
        <v>53</v>
      </c>
      <c r="S145" s="1" t="str">
        <v/>
      </c>
    </row>
    <row r="146" spans="1:19" x14ac:dyDescent="0.25">
      <c r="A146" s="370" t="str">
        <v/>
      </c>
      <c r="H146" s="394" t="str">
        <f t="shared" si="9"/>
        <v/>
      </c>
      <c r="I146" s="394" t="str">
        <f t="shared" si="10"/>
        <v/>
      </c>
      <c r="J146" s="394" t="str">
        <f t="shared" si="11"/>
        <v/>
      </c>
      <c r="K146" s="394" t="str">
        <f t="shared" si="12"/>
        <v/>
      </c>
      <c r="O146" s="370">
        <v>125</v>
      </c>
      <c r="P146" t="s">
        <v>1044</v>
      </c>
      <c r="Q146" s="5">
        <v>15</v>
      </c>
      <c r="S146" s="1" t="str">
        <v/>
      </c>
    </row>
    <row r="147" spans="1:19" x14ac:dyDescent="0.25">
      <c r="A147" s="370" t="str">
        <v/>
      </c>
      <c r="H147" s="394" t="str">
        <f t="shared" si="9"/>
        <v/>
      </c>
      <c r="I147" s="394" t="str">
        <f t="shared" si="10"/>
        <v/>
      </c>
      <c r="J147" s="394" t="str">
        <f t="shared" si="11"/>
        <v/>
      </c>
      <c r="K147" s="394" t="str">
        <f t="shared" si="12"/>
        <v/>
      </c>
      <c r="O147" s="370">
        <v>126</v>
      </c>
      <c r="P147" t="s">
        <v>1104</v>
      </c>
      <c r="Q147" s="5">
        <v>16</v>
      </c>
      <c r="S147" s="1" t="str">
        <v/>
      </c>
    </row>
    <row r="148" spans="1:19" x14ac:dyDescent="0.25">
      <c r="A148" s="370" t="str">
        <v/>
      </c>
      <c r="H148" s="394" t="str">
        <f t="shared" si="9"/>
        <v/>
      </c>
      <c r="I148" s="394" t="str">
        <f t="shared" si="10"/>
        <v/>
      </c>
      <c r="J148" s="394" t="str">
        <f t="shared" si="11"/>
        <v/>
      </c>
      <c r="K148" s="394" t="str">
        <f t="shared" si="12"/>
        <v/>
      </c>
      <c r="O148" s="370">
        <v>127</v>
      </c>
      <c r="P148" t="s">
        <v>1045</v>
      </c>
      <c r="Q148" s="5">
        <v>15</v>
      </c>
      <c r="S148" s="1" t="str">
        <v/>
      </c>
    </row>
    <row r="149" spans="1:19" x14ac:dyDescent="0.25">
      <c r="A149" s="370" t="str">
        <v/>
      </c>
      <c r="H149" s="394" t="str">
        <f t="shared" si="9"/>
        <v/>
      </c>
      <c r="I149" s="394" t="str">
        <f t="shared" si="10"/>
        <v/>
      </c>
      <c r="J149" s="394" t="str">
        <f t="shared" si="11"/>
        <v/>
      </c>
      <c r="K149" s="394" t="str">
        <f t="shared" si="12"/>
        <v/>
      </c>
      <c r="O149" s="370">
        <v>128</v>
      </c>
      <c r="P149" t="s">
        <v>1105</v>
      </c>
      <c r="Q149" s="5">
        <v>16</v>
      </c>
      <c r="S149" s="1" t="str">
        <v/>
      </c>
    </row>
    <row r="150" spans="1:19" x14ac:dyDescent="0.25">
      <c r="A150" s="370" t="str">
        <v/>
      </c>
      <c r="H150" s="394" t="str">
        <f t="shared" si="9"/>
        <v/>
      </c>
      <c r="I150" s="394" t="str">
        <f t="shared" si="10"/>
        <v/>
      </c>
      <c r="J150" s="394" t="str">
        <f t="shared" si="11"/>
        <v/>
      </c>
      <c r="K150" s="394" t="str">
        <f t="shared" si="12"/>
        <v/>
      </c>
      <c r="O150" s="370">
        <v>129</v>
      </c>
      <c r="P150" t="s">
        <v>1046</v>
      </c>
      <c r="Q150" s="5">
        <v>16</v>
      </c>
      <c r="S150" s="1" t="str">
        <v/>
      </c>
    </row>
    <row r="151" spans="1:19" x14ac:dyDescent="0.25">
      <c r="A151" s="370" t="str">
        <v/>
      </c>
      <c r="H151" s="394" t="str">
        <f t="shared" ref="H151:H214" si="13">IF($C151="","",ROUND((($B$2*$F151*($B$5/1000))/$B$6)*(1+IF($B$18="",0,$B$18)),2))</f>
        <v/>
      </c>
      <c r="I151" s="394" t="str">
        <f t="shared" ref="I151:I214" si="14">IF($C151="","",ROUND((($B$3*$F151*($B$5/1000))/$B$6)*(1+IF($B$18="",0,$B$18)),2))</f>
        <v/>
      </c>
      <c r="J151" s="394" t="str">
        <f t="shared" ref="J151:J214" si="15">IF(OR($C151="",$B$9="",$B$15=""),"",ROUND((((((IF($B$15="N/A",$B$2,$B$4))*$F151*($B$5/1000))+((($G151/1000)*($B$5/1000)*10.7639104)*(IF($B$9="Smooth",$B$10,IF($B$9="Sand",$B$11,0)))))*(1+$B$17))/$B$8)*(1+IF($B$18="",0,$B$18)),2))</f>
        <v/>
      </c>
      <c r="K151" s="394" t="str">
        <f t="shared" ref="K151:K214" si="16">IF(OR($C151="",$B$12="",$B$15=""),"",ROUND((((((IF($B$15="N/A",$B$2,$B$4))*$F151*($B$5/1000))+((($G151/1000)*($B$5/1000)*10.7639104)*(IF($B$12="Indoor",$B$13,IF($B$12="Outdoor",$B$14,0)))))*(1+$B$17))/$B$8)*(1+IF($B$18="",0,$B$18)),2))</f>
        <v/>
      </c>
      <c r="O151" s="370">
        <v>130</v>
      </c>
      <c r="P151" t="s">
        <v>1047</v>
      </c>
      <c r="Q151" s="5">
        <v>16</v>
      </c>
      <c r="S151" s="1" t="str">
        <v/>
      </c>
    </row>
    <row r="152" spans="1:19" x14ac:dyDescent="0.25">
      <c r="A152" s="370" t="str">
        <v/>
      </c>
      <c r="H152" s="394" t="str">
        <f t="shared" si="13"/>
        <v/>
      </c>
      <c r="I152" s="394" t="str">
        <f t="shared" si="14"/>
        <v/>
      </c>
      <c r="J152" s="394" t="str">
        <f t="shared" si="15"/>
        <v/>
      </c>
      <c r="K152" s="394" t="str">
        <f t="shared" si="16"/>
        <v/>
      </c>
      <c r="O152" s="370">
        <v>131</v>
      </c>
      <c r="P152" t="s">
        <v>1048</v>
      </c>
      <c r="Q152" s="5">
        <v>17.5</v>
      </c>
      <c r="S152" s="1" t="str">
        <v/>
      </c>
    </row>
    <row r="153" spans="1:19" x14ac:dyDescent="0.25">
      <c r="A153" s="370" t="str">
        <v/>
      </c>
      <c r="H153" s="394" t="str">
        <f t="shared" si="13"/>
        <v/>
      </c>
      <c r="I153" s="394" t="str">
        <f t="shared" si="14"/>
        <v/>
      </c>
      <c r="J153" s="394" t="str">
        <f t="shared" si="15"/>
        <v/>
      </c>
      <c r="K153" s="394" t="str">
        <f t="shared" si="16"/>
        <v/>
      </c>
      <c r="O153" s="370">
        <v>132</v>
      </c>
      <c r="P153" t="s">
        <v>1337</v>
      </c>
      <c r="Q153" s="5">
        <v>6.8</v>
      </c>
      <c r="S153" s="1" t="str">
        <v/>
      </c>
    </row>
    <row r="154" spans="1:19" x14ac:dyDescent="0.25">
      <c r="A154" s="370" t="str">
        <v/>
      </c>
      <c r="H154" s="394" t="str">
        <f t="shared" si="13"/>
        <v/>
      </c>
      <c r="I154" s="394" t="str">
        <f t="shared" si="14"/>
        <v/>
      </c>
      <c r="J154" s="394" t="str">
        <f t="shared" si="15"/>
        <v/>
      </c>
      <c r="K154" s="394" t="str">
        <f t="shared" si="16"/>
        <v/>
      </c>
      <c r="O154" s="370">
        <v>133</v>
      </c>
      <c r="P154" t="s">
        <v>1338</v>
      </c>
      <c r="Q154" s="5">
        <v>7.5</v>
      </c>
      <c r="S154" s="1" t="str">
        <v/>
      </c>
    </row>
    <row r="155" spans="1:19" x14ac:dyDescent="0.25">
      <c r="A155" s="370" t="str">
        <v/>
      </c>
      <c r="H155" s="394" t="str">
        <f t="shared" si="13"/>
        <v/>
      </c>
      <c r="I155" s="394" t="str">
        <f t="shared" si="14"/>
        <v/>
      </c>
      <c r="J155" s="394" t="str">
        <f t="shared" si="15"/>
        <v/>
      </c>
      <c r="K155" s="394" t="str">
        <f t="shared" si="16"/>
        <v/>
      </c>
      <c r="O155" s="370">
        <v>134</v>
      </c>
      <c r="P155" t="s">
        <v>1339</v>
      </c>
      <c r="Q155" s="5">
        <v>8.3000000000000007</v>
      </c>
      <c r="S155" s="1" t="str">
        <v/>
      </c>
    </row>
    <row r="156" spans="1:19" x14ac:dyDescent="0.25">
      <c r="A156" s="370" t="str">
        <v/>
      </c>
      <c r="H156" s="394" t="str">
        <f t="shared" si="13"/>
        <v/>
      </c>
      <c r="I156" s="394" t="str">
        <f t="shared" si="14"/>
        <v/>
      </c>
      <c r="J156" s="394" t="str">
        <f t="shared" si="15"/>
        <v/>
      </c>
      <c r="K156" s="394" t="str">
        <f t="shared" si="16"/>
        <v/>
      </c>
      <c r="O156" s="370">
        <v>135</v>
      </c>
      <c r="P156" t="s">
        <v>1106</v>
      </c>
      <c r="Q156" s="5">
        <v>10.5</v>
      </c>
      <c r="S156" s="1" t="str">
        <v/>
      </c>
    </row>
    <row r="157" spans="1:19" x14ac:dyDescent="0.25">
      <c r="A157" s="370" t="str">
        <v/>
      </c>
      <c r="H157" s="394" t="str">
        <f t="shared" si="13"/>
        <v/>
      </c>
      <c r="I157" s="394" t="str">
        <f t="shared" si="14"/>
        <v/>
      </c>
      <c r="J157" s="394" t="str">
        <f t="shared" si="15"/>
        <v/>
      </c>
      <c r="K157" s="394" t="str">
        <f t="shared" si="16"/>
        <v/>
      </c>
      <c r="O157" s="370">
        <v>136</v>
      </c>
      <c r="P157" t="s">
        <v>1049</v>
      </c>
      <c r="Q157" s="5">
        <v>11.5</v>
      </c>
      <c r="S157" s="1" t="str">
        <v/>
      </c>
    </row>
    <row r="158" spans="1:19" x14ac:dyDescent="0.25">
      <c r="A158" s="370" t="str">
        <v/>
      </c>
      <c r="H158" s="394" t="str">
        <f t="shared" si="13"/>
        <v/>
      </c>
      <c r="I158" s="394" t="str">
        <f t="shared" si="14"/>
        <v/>
      </c>
      <c r="J158" s="394" t="str">
        <f t="shared" si="15"/>
        <v/>
      </c>
      <c r="K158" s="394" t="str">
        <f t="shared" si="16"/>
        <v/>
      </c>
      <c r="O158" s="370">
        <v>137</v>
      </c>
      <c r="P158" t="s">
        <v>1107</v>
      </c>
      <c r="Q158" s="5">
        <v>10.5</v>
      </c>
      <c r="S158" s="1" t="str">
        <v/>
      </c>
    </row>
    <row r="159" spans="1:19" x14ac:dyDescent="0.25">
      <c r="A159" s="370" t="str">
        <v/>
      </c>
      <c r="H159" s="394" t="str">
        <f t="shared" si="13"/>
        <v/>
      </c>
      <c r="I159" s="394" t="str">
        <f t="shared" si="14"/>
        <v/>
      </c>
      <c r="J159" s="394" t="str">
        <f t="shared" si="15"/>
        <v/>
      </c>
      <c r="K159" s="394" t="str">
        <f t="shared" si="16"/>
        <v/>
      </c>
      <c r="O159" s="370">
        <v>138</v>
      </c>
      <c r="P159" t="s">
        <v>1050</v>
      </c>
      <c r="Q159" s="5">
        <v>11.5</v>
      </c>
      <c r="S159" s="1" t="str">
        <v/>
      </c>
    </row>
    <row r="160" spans="1:19" x14ac:dyDescent="0.25">
      <c r="A160" s="370" t="str">
        <v/>
      </c>
      <c r="H160" s="394" t="str">
        <f t="shared" si="13"/>
        <v/>
      </c>
      <c r="I160" s="394" t="str">
        <f t="shared" si="14"/>
        <v/>
      </c>
      <c r="J160" s="394" t="str">
        <f t="shared" si="15"/>
        <v/>
      </c>
      <c r="K160" s="394" t="str">
        <f t="shared" si="16"/>
        <v/>
      </c>
      <c r="O160" s="370">
        <v>139</v>
      </c>
      <c r="P160" t="s">
        <v>1108</v>
      </c>
      <c r="Q160" s="5">
        <v>10.5</v>
      </c>
      <c r="S160" s="1" t="str">
        <v/>
      </c>
    </row>
    <row r="161" spans="1:19" x14ac:dyDescent="0.25">
      <c r="A161" s="370" t="str">
        <v/>
      </c>
      <c r="H161" s="394" t="str">
        <f t="shared" si="13"/>
        <v/>
      </c>
      <c r="I161" s="394" t="str">
        <f t="shared" si="14"/>
        <v/>
      </c>
      <c r="J161" s="394" t="str">
        <f t="shared" si="15"/>
        <v/>
      </c>
      <c r="K161" s="394" t="str">
        <f t="shared" si="16"/>
        <v/>
      </c>
      <c r="O161" s="370">
        <v>140</v>
      </c>
      <c r="P161" t="s">
        <v>1051</v>
      </c>
      <c r="Q161" s="5">
        <v>11.5</v>
      </c>
      <c r="S161" s="1" t="str">
        <v/>
      </c>
    </row>
    <row r="162" spans="1:19" x14ac:dyDescent="0.25">
      <c r="A162" s="370" t="str">
        <v/>
      </c>
      <c r="H162" s="394" t="str">
        <f t="shared" si="13"/>
        <v/>
      </c>
      <c r="I162" s="394" t="str">
        <f t="shared" si="14"/>
        <v/>
      </c>
      <c r="J162" s="394" t="str">
        <f t="shared" si="15"/>
        <v/>
      </c>
      <c r="K162" s="394" t="str">
        <f t="shared" si="16"/>
        <v/>
      </c>
      <c r="O162" s="370">
        <v>141</v>
      </c>
      <c r="P162" t="s">
        <v>1185</v>
      </c>
      <c r="Q162" s="5">
        <v>7.7</v>
      </c>
      <c r="S162" s="1" t="str">
        <v/>
      </c>
    </row>
    <row r="163" spans="1:19" x14ac:dyDescent="0.25">
      <c r="A163" s="370" t="str">
        <v/>
      </c>
      <c r="H163" s="394" t="str">
        <f t="shared" si="13"/>
        <v/>
      </c>
      <c r="I163" s="394" t="str">
        <f t="shared" si="14"/>
        <v/>
      </c>
      <c r="J163" s="394" t="str">
        <f t="shared" si="15"/>
        <v/>
      </c>
      <c r="K163" s="394" t="str">
        <f t="shared" si="16"/>
        <v/>
      </c>
      <c r="O163" s="370">
        <v>142</v>
      </c>
      <c r="P163" t="s">
        <v>1186</v>
      </c>
      <c r="Q163" s="5">
        <v>8.25</v>
      </c>
      <c r="S163" s="1" t="str">
        <v/>
      </c>
    </row>
    <row r="164" spans="1:19" x14ac:dyDescent="0.25">
      <c r="A164" s="370" t="str">
        <v/>
      </c>
      <c r="H164" s="394" t="str">
        <f t="shared" si="13"/>
        <v/>
      </c>
      <c r="I164" s="394" t="str">
        <f t="shared" si="14"/>
        <v/>
      </c>
      <c r="J164" s="394" t="str">
        <f t="shared" si="15"/>
        <v/>
      </c>
      <c r="K164" s="394" t="str">
        <f t="shared" si="16"/>
        <v/>
      </c>
      <c r="O164" s="370">
        <v>143</v>
      </c>
      <c r="P164" t="s">
        <v>1187</v>
      </c>
      <c r="Q164" s="5">
        <v>8.8000000000000007</v>
      </c>
      <c r="S164" s="1" t="str">
        <v/>
      </c>
    </row>
    <row r="165" spans="1:19" x14ac:dyDescent="0.25">
      <c r="A165" s="370" t="str">
        <v/>
      </c>
      <c r="H165" s="394" t="str">
        <f t="shared" si="13"/>
        <v/>
      </c>
      <c r="I165" s="394" t="str">
        <f t="shared" si="14"/>
        <v/>
      </c>
      <c r="J165" s="394" t="str">
        <f t="shared" si="15"/>
        <v/>
      </c>
      <c r="K165" s="394" t="str">
        <f t="shared" si="16"/>
        <v/>
      </c>
      <c r="O165" s="370">
        <v>144</v>
      </c>
      <c r="P165" t="s">
        <v>1188</v>
      </c>
      <c r="Q165" s="5">
        <v>9.9</v>
      </c>
      <c r="S165" s="1" t="str">
        <v/>
      </c>
    </row>
    <row r="166" spans="1:19" x14ac:dyDescent="0.25">
      <c r="A166" s="370" t="str">
        <v/>
      </c>
      <c r="H166" s="394" t="str">
        <f t="shared" si="13"/>
        <v/>
      </c>
      <c r="I166" s="394" t="str">
        <f t="shared" si="14"/>
        <v/>
      </c>
      <c r="J166" s="394" t="str">
        <f t="shared" si="15"/>
        <v/>
      </c>
      <c r="K166" s="394" t="str">
        <f t="shared" si="16"/>
        <v/>
      </c>
      <c r="O166" s="370">
        <v>145</v>
      </c>
      <c r="P166" t="s">
        <v>1189</v>
      </c>
      <c r="Q166" s="5">
        <v>11</v>
      </c>
      <c r="S166" s="1" t="str">
        <v/>
      </c>
    </row>
    <row r="167" spans="1:19" x14ac:dyDescent="0.25">
      <c r="A167" s="370" t="str">
        <v/>
      </c>
      <c r="H167" s="394" t="str">
        <f t="shared" si="13"/>
        <v/>
      </c>
      <c r="I167" s="394" t="str">
        <f t="shared" si="14"/>
        <v/>
      </c>
      <c r="J167" s="394" t="str">
        <f t="shared" si="15"/>
        <v/>
      </c>
      <c r="K167" s="394" t="str">
        <f t="shared" si="16"/>
        <v/>
      </c>
      <c r="O167" s="370">
        <v>146</v>
      </c>
      <c r="P167" t="s">
        <v>1190</v>
      </c>
      <c r="Q167" s="5">
        <v>12.1</v>
      </c>
      <c r="S167" s="1" t="str">
        <v/>
      </c>
    </row>
    <row r="168" spans="1:19" x14ac:dyDescent="0.25">
      <c r="A168" s="370" t="str">
        <v/>
      </c>
      <c r="H168" s="394" t="str">
        <f t="shared" si="13"/>
        <v/>
      </c>
      <c r="I168" s="394" t="str">
        <f t="shared" si="14"/>
        <v/>
      </c>
      <c r="J168" s="394" t="str">
        <f t="shared" si="15"/>
        <v/>
      </c>
      <c r="K168" s="394" t="str">
        <f t="shared" si="16"/>
        <v/>
      </c>
      <c r="O168" s="370">
        <v>147</v>
      </c>
      <c r="P168" t="s">
        <v>1191</v>
      </c>
      <c r="Q168" s="5">
        <v>31.9</v>
      </c>
      <c r="S168" s="1" t="str">
        <v/>
      </c>
    </row>
    <row r="169" spans="1:19" x14ac:dyDescent="0.25">
      <c r="A169" s="370" t="str">
        <v/>
      </c>
      <c r="H169" s="394" t="str">
        <f t="shared" si="13"/>
        <v/>
      </c>
      <c r="I169" s="394" t="str">
        <f t="shared" si="14"/>
        <v/>
      </c>
      <c r="J169" s="394" t="str">
        <f t="shared" si="15"/>
        <v/>
      </c>
      <c r="K169" s="394" t="str">
        <f t="shared" si="16"/>
        <v/>
      </c>
      <c r="O169" s="370">
        <v>148</v>
      </c>
      <c r="P169" t="s">
        <v>1192</v>
      </c>
      <c r="Q169" s="5">
        <v>42.9</v>
      </c>
      <c r="S169" s="1" t="str">
        <v/>
      </c>
    </row>
    <row r="170" spans="1:19" x14ac:dyDescent="0.25">
      <c r="A170" s="370" t="str">
        <v/>
      </c>
      <c r="H170" s="394" t="str">
        <f t="shared" si="13"/>
        <v/>
      </c>
      <c r="I170" s="394" t="str">
        <f t="shared" si="14"/>
        <v/>
      </c>
      <c r="J170" s="394" t="str">
        <f t="shared" si="15"/>
        <v/>
      </c>
      <c r="K170" s="394" t="str">
        <f t="shared" si="16"/>
        <v/>
      </c>
      <c r="O170" s="370">
        <v>149</v>
      </c>
      <c r="P170" t="s">
        <v>1193</v>
      </c>
      <c r="Q170" s="5">
        <v>11.39</v>
      </c>
      <c r="S170" s="1" t="str">
        <v/>
      </c>
    </row>
    <row r="171" spans="1:19" x14ac:dyDescent="0.25">
      <c r="A171" s="370" t="str">
        <v/>
      </c>
      <c r="H171" s="394" t="str">
        <f t="shared" si="13"/>
        <v/>
      </c>
      <c r="I171" s="394" t="str">
        <f t="shared" si="14"/>
        <v/>
      </c>
      <c r="J171" s="394" t="str">
        <f t="shared" si="15"/>
        <v/>
      </c>
      <c r="K171" s="394" t="str">
        <f t="shared" si="16"/>
        <v/>
      </c>
      <c r="O171" s="370">
        <v>150</v>
      </c>
      <c r="P171" t="s">
        <v>1194</v>
      </c>
      <c r="Q171" s="5">
        <v>12.6</v>
      </c>
      <c r="S171" s="1" t="str">
        <v/>
      </c>
    </row>
    <row r="172" spans="1:19" x14ac:dyDescent="0.25">
      <c r="A172" s="370" t="str">
        <v/>
      </c>
      <c r="H172" s="394" t="str">
        <f t="shared" si="13"/>
        <v/>
      </c>
      <c r="I172" s="394" t="str">
        <f t="shared" si="14"/>
        <v/>
      </c>
      <c r="J172" s="394" t="str">
        <f t="shared" si="15"/>
        <v/>
      </c>
      <c r="K172" s="394" t="str">
        <f t="shared" si="16"/>
        <v/>
      </c>
      <c r="O172" s="370">
        <v>151</v>
      </c>
      <c r="P172" t="s">
        <v>1195</v>
      </c>
      <c r="Q172" s="5">
        <v>18.649999999999999</v>
      </c>
      <c r="S172" s="1" t="str">
        <v/>
      </c>
    </row>
    <row r="173" spans="1:19" x14ac:dyDescent="0.25">
      <c r="A173" s="370" t="str">
        <v/>
      </c>
      <c r="H173" s="394" t="str">
        <f t="shared" si="13"/>
        <v/>
      </c>
      <c r="I173" s="394" t="str">
        <f t="shared" si="14"/>
        <v/>
      </c>
      <c r="J173" s="394" t="str">
        <f t="shared" si="15"/>
        <v/>
      </c>
      <c r="K173" s="394" t="str">
        <f t="shared" si="16"/>
        <v/>
      </c>
      <c r="O173" s="370">
        <v>152</v>
      </c>
      <c r="P173" t="s">
        <v>1196</v>
      </c>
      <c r="Q173" s="5">
        <v>21.07</v>
      </c>
      <c r="S173" s="1" t="str">
        <v/>
      </c>
    </row>
    <row r="174" spans="1:19" x14ac:dyDescent="0.25">
      <c r="A174" s="370" t="str">
        <v/>
      </c>
      <c r="H174" s="394" t="str">
        <f t="shared" si="13"/>
        <v/>
      </c>
      <c r="I174" s="394" t="str">
        <f t="shared" si="14"/>
        <v/>
      </c>
      <c r="J174" s="394" t="str">
        <f t="shared" si="15"/>
        <v/>
      </c>
      <c r="K174" s="394" t="str">
        <f t="shared" si="16"/>
        <v/>
      </c>
      <c r="O174" s="370">
        <v>153</v>
      </c>
      <c r="P174" t="s">
        <v>1197</v>
      </c>
      <c r="Q174" s="5">
        <v>22.28</v>
      </c>
      <c r="S174" s="1" t="str">
        <v/>
      </c>
    </row>
    <row r="175" spans="1:19" x14ac:dyDescent="0.25">
      <c r="A175" s="370" t="str">
        <v/>
      </c>
      <c r="H175" s="394" t="str">
        <f t="shared" si="13"/>
        <v/>
      </c>
      <c r="I175" s="394" t="str">
        <f t="shared" si="14"/>
        <v/>
      </c>
      <c r="J175" s="394" t="str">
        <f t="shared" si="15"/>
        <v/>
      </c>
      <c r="K175" s="394" t="str">
        <f t="shared" si="16"/>
        <v/>
      </c>
      <c r="O175" s="370">
        <v>154</v>
      </c>
      <c r="P175" t="s">
        <v>1198</v>
      </c>
      <c r="Q175" s="5">
        <v>10.78</v>
      </c>
      <c r="S175" s="1" t="str">
        <v/>
      </c>
    </row>
    <row r="176" spans="1:19" x14ac:dyDescent="0.25">
      <c r="A176" s="370" t="str">
        <v/>
      </c>
      <c r="H176" s="394" t="str">
        <f t="shared" si="13"/>
        <v/>
      </c>
      <c r="I176" s="394" t="str">
        <f t="shared" si="14"/>
        <v/>
      </c>
      <c r="J176" s="394" t="str">
        <f t="shared" si="15"/>
        <v/>
      </c>
      <c r="K176" s="394" t="str">
        <f t="shared" si="16"/>
        <v/>
      </c>
      <c r="O176" s="370">
        <v>155</v>
      </c>
      <c r="P176" t="s">
        <v>1199</v>
      </c>
      <c r="Q176" s="5">
        <v>11.99</v>
      </c>
      <c r="S176" s="1" t="str">
        <v/>
      </c>
    </row>
    <row r="177" spans="1:19" x14ac:dyDescent="0.25">
      <c r="A177" s="370" t="str">
        <v/>
      </c>
      <c r="H177" s="394" t="str">
        <f t="shared" si="13"/>
        <v/>
      </c>
      <c r="I177" s="394" t="str">
        <f t="shared" si="14"/>
        <v/>
      </c>
      <c r="J177" s="394" t="str">
        <f t="shared" si="15"/>
        <v/>
      </c>
      <c r="K177" s="394" t="str">
        <f t="shared" si="16"/>
        <v/>
      </c>
      <c r="O177" s="370">
        <v>156</v>
      </c>
      <c r="P177" t="s">
        <v>1200</v>
      </c>
      <c r="Q177" s="5">
        <v>13.81</v>
      </c>
      <c r="S177" s="1" t="str">
        <v/>
      </c>
    </row>
    <row r="178" spans="1:19" x14ac:dyDescent="0.25">
      <c r="A178" s="370" t="str">
        <v/>
      </c>
      <c r="H178" s="394" t="str">
        <f t="shared" si="13"/>
        <v/>
      </c>
      <c r="I178" s="394" t="str">
        <f t="shared" si="14"/>
        <v/>
      </c>
      <c r="J178" s="394" t="str">
        <f t="shared" si="15"/>
        <v/>
      </c>
      <c r="K178" s="394" t="str">
        <f t="shared" si="16"/>
        <v/>
      </c>
      <c r="O178" s="370">
        <v>157</v>
      </c>
      <c r="P178" t="s">
        <v>1201</v>
      </c>
      <c r="Q178" s="5">
        <v>15.62</v>
      </c>
      <c r="S178" s="1" t="str">
        <v/>
      </c>
    </row>
    <row r="179" spans="1:19" x14ac:dyDescent="0.25">
      <c r="A179" s="370" t="str">
        <v/>
      </c>
      <c r="H179" s="394" t="str">
        <f t="shared" si="13"/>
        <v/>
      </c>
      <c r="I179" s="394" t="str">
        <f t="shared" si="14"/>
        <v/>
      </c>
      <c r="J179" s="394" t="str">
        <f t="shared" si="15"/>
        <v/>
      </c>
      <c r="K179" s="394" t="str">
        <f t="shared" si="16"/>
        <v/>
      </c>
      <c r="O179" s="370">
        <v>158</v>
      </c>
      <c r="P179" t="s">
        <v>1202</v>
      </c>
      <c r="Q179" s="5">
        <v>16.829999999999998</v>
      </c>
      <c r="S179" s="1" t="str">
        <v/>
      </c>
    </row>
    <row r="180" spans="1:19" x14ac:dyDescent="0.25">
      <c r="A180" s="370" t="str">
        <v/>
      </c>
      <c r="H180" s="394" t="str">
        <f t="shared" si="13"/>
        <v/>
      </c>
      <c r="I180" s="394" t="str">
        <f t="shared" si="14"/>
        <v/>
      </c>
      <c r="J180" s="394" t="str">
        <f t="shared" si="15"/>
        <v/>
      </c>
      <c r="K180" s="394" t="str">
        <f t="shared" si="16"/>
        <v/>
      </c>
      <c r="O180" s="370">
        <v>159</v>
      </c>
      <c r="P180" t="s">
        <v>1203</v>
      </c>
      <c r="Q180" s="5">
        <v>16.23</v>
      </c>
      <c r="S180" s="1" t="str">
        <v/>
      </c>
    </row>
    <row r="181" spans="1:19" x14ac:dyDescent="0.25">
      <c r="A181" s="370" t="str">
        <v/>
      </c>
      <c r="H181" s="394" t="str">
        <f t="shared" si="13"/>
        <v/>
      </c>
      <c r="I181" s="394" t="str">
        <f t="shared" si="14"/>
        <v/>
      </c>
      <c r="J181" s="394" t="str">
        <f t="shared" si="15"/>
        <v/>
      </c>
      <c r="K181" s="394" t="str">
        <f t="shared" si="16"/>
        <v/>
      </c>
      <c r="O181" s="370">
        <v>160</v>
      </c>
      <c r="P181" t="s">
        <v>1204</v>
      </c>
      <c r="Q181" s="5">
        <v>17.440000000000001</v>
      </c>
      <c r="S181" s="1" t="str">
        <v/>
      </c>
    </row>
    <row r="182" spans="1:19" x14ac:dyDescent="0.25">
      <c r="A182" s="370" t="str">
        <v/>
      </c>
      <c r="H182" s="394" t="str">
        <f t="shared" si="13"/>
        <v/>
      </c>
      <c r="I182" s="394" t="str">
        <f t="shared" si="14"/>
        <v/>
      </c>
      <c r="J182" s="394" t="str">
        <f t="shared" si="15"/>
        <v/>
      </c>
      <c r="K182" s="394" t="str">
        <f t="shared" si="16"/>
        <v/>
      </c>
      <c r="O182" s="370">
        <v>161</v>
      </c>
      <c r="P182" t="s">
        <v>1205</v>
      </c>
      <c r="Q182" s="5">
        <v>11.39</v>
      </c>
      <c r="S182" s="1" t="str">
        <v/>
      </c>
    </row>
    <row r="183" spans="1:19" x14ac:dyDescent="0.25">
      <c r="A183" s="370" t="str">
        <v/>
      </c>
      <c r="H183" s="394" t="str">
        <f t="shared" si="13"/>
        <v/>
      </c>
      <c r="I183" s="394" t="str">
        <f t="shared" si="14"/>
        <v/>
      </c>
      <c r="J183" s="394" t="str">
        <f t="shared" si="15"/>
        <v/>
      </c>
      <c r="K183" s="394" t="str">
        <f t="shared" si="16"/>
        <v/>
      </c>
      <c r="O183" s="370">
        <v>162</v>
      </c>
      <c r="P183" t="s">
        <v>1206</v>
      </c>
      <c r="Q183" s="5">
        <v>12.6</v>
      </c>
      <c r="S183" s="1" t="str">
        <v/>
      </c>
    </row>
    <row r="184" spans="1:19" x14ac:dyDescent="0.25">
      <c r="A184" s="370" t="str">
        <v/>
      </c>
      <c r="H184" s="394" t="str">
        <f t="shared" si="13"/>
        <v/>
      </c>
      <c r="I184" s="394" t="str">
        <f t="shared" si="14"/>
        <v/>
      </c>
      <c r="J184" s="394" t="str">
        <f t="shared" si="15"/>
        <v/>
      </c>
      <c r="K184" s="394" t="str">
        <f t="shared" si="16"/>
        <v/>
      </c>
      <c r="O184" s="370">
        <v>163</v>
      </c>
      <c r="P184" t="s">
        <v>1207</v>
      </c>
      <c r="Q184" s="5">
        <v>18.649999999999999</v>
      </c>
      <c r="S184" s="1" t="str">
        <v/>
      </c>
    </row>
    <row r="185" spans="1:19" x14ac:dyDescent="0.25">
      <c r="A185" s="370" t="str">
        <v/>
      </c>
      <c r="H185" s="394" t="str">
        <f t="shared" si="13"/>
        <v/>
      </c>
      <c r="I185" s="394" t="str">
        <f t="shared" si="14"/>
        <v/>
      </c>
      <c r="J185" s="394" t="str">
        <f t="shared" si="15"/>
        <v/>
      </c>
      <c r="K185" s="394" t="str">
        <f t="shared" si="16"/>
        <v/>
      </c>
      <c r="O185" s="370">
        <v>164</v>
      </c>
      <c r="P185" t="s">
        <v>1208</v>
      </c>
      <c r="Q185" s="5">
        <v>21.07</v>
      </c>
      <c r="S185" s="1" t="str">
        <v/>
      </c>
    </row>
    <row r="186" spans="1:19" x14ac:dyDescent="0.25">
      <c r="A186" s="370" t="str">
        <v/>
      </c>
      <c r="H186" s="394" t="str">
        <f t="shared" si="13"/>
        <v/>
      </c>
      <c r="I186" s="394" t="str">
        <f t="shared" si="14"/>
        <v/>
      </c>
      <c r="J186" s="394" t="str">
        <f t="shared" si="15"/>
        <v/>
      </c>
      <c r="K186" s="394" t="str">
        <f t="shared" si="16"/>
        <v/>
      </c>
      <c r="O186" s="370">
        <v>165</v>
      </c>
      <c r="P186" t="s">
        <v>1209</v>
      </c>
      <c r="Q186" s="5">
        <v>22.28</v>
      </c>
      <c r="S186" s="1" t="str">
        <v/>
      </c>
    </row>
    <row r="187" spans="1:19" x14ac:dyDescent="0.25">
      <c r="A187" s="370" t="str">
        <v/>
      </c>
      <c r="H187" s="394" t="str">
        <f t="shared" si="13"/>
        <v/>
      </c>
      <c r="I187" s="394" t="str">
        <f t="shared" si="14"/>
        <v/>
      </c>
      <c r="J187" s="394" t="str">
        <f t="shared" si="15"/>
        <v/>
      </c>
      <c r="K187" s="394" t="str">
        <f t="shared" si="16"/>
        <v/>
      </c>
      <c r="O187" s="370">
        <v>166</v>
      </c>
      <c r="P187" t="s">
        <v>1410</v>
      </c>
      <c r="Q187" s="5">
        <v>11.39</v>
      </c>
      <c r="S187" s="1" t="str">
        <v/>
      </c>
    </row>
    <row r="188" spans="1:19" x14ac:dyDescent="0.25">
      <c r="A188" s="370" t="str">
        <v/>
      </c>
      <c r="H188" s="394" t="str">
        <f t="shared" si="13"/>
        <v/>
      </c>
      <c r="I188" s="394" t="str">
        <f t="shared" si="14"/>
        <v/>
      </c>
      <c r="J188" s="394" t="str">
        <f t="shared" si="15"/>
        <v/>
      </c>
      <c r="K188" s="394" t="str">
        <f t="shared" si="16"/>
        <v/>
      </c>
      <c r="O188" s="370">
        <v>167</v>
      </c>
      <c r="P188" t="s">
        <v>1411</v>
      </c>
      <c r="Q188" s="5">
        <v>12.6</v>
      </c>
      <c r="S188" s="1" t="str">
        <v/>
      </c>
    </row>
    <row r="189" spans="1:19" x14ac:dyDescent="0.25">
      <c r="A189" s="370" t="str">
        <v/>
      </c>
      <c r="H189" s="394" t="str">
        <f t="shared" si="13"/>
        <v/>
      </c>
      <c r="I189" s="394" t="str">
        <f t="shared" si="14"/>
        <v/>
      </c>
      <c r="J189" s="394" t="str">
        <f t="shared" si="15"/>
        <v/>
      </c>
      <c r="K189" s="394" t="str">
        <f t="shared" si="16"/>
        <v/>
      </c>
      <c r="O189" s="370">
        <v>168</v>
      </c>
      <c r="P189" t="s">
        <v>1412</v>
      </c>
      <c r="Q189" s="5">
        <v>18.649999999999999</v>
      </c>
      <c r="S189" s="1" t="str">
        <v/>
      </c>
    </row>
    <row r="190" spans="1:19" x14ac:dyDescent="0.25">
      <c r="A190" s="370" t="str">
        <v/>
      </c>
      <c r="H190" s="394" t="str">
        <f t="shared" si="13"/>
        <v/>
      </c>
      <c r="I190" s="394" t="str">
        <f t="shared" si="14"/>
        <v/>
      </c>
      <c r="J190" s="394" t="str">
        <f t="shared" si="15"/>
        <v/>
      </c>
      <c r="K190" s="394" t="str">
        <f t="shared" si="16"/>
        <v/>
      </c>
      <c r="O190" s="370">
        <v>169</v>
      </c>
      <c r="P190" t="s">
        <v>1413</v>
      </c>
      <c r="Q190" s="5">
        <v>21.07</v>
      </c>
      <c r="S190" s="1" t="str">
        <v/>
      </c>
    </row>
    <row r="191" spans="1:19" x14ac:dyDescent="0.25">
      <c r="A191" s="370" t="str">
        <v/>
      </c>
      <c r="H191" s="394" t="str">
        <f t="shared" si="13"/>
        <v/>
      </c>
      <c r="I191" s="394" t="str">
        <f t="shared" si="14"/>
        <v/>
      </c>
      <c r="J191" s="394" t="str">
        <f t="shared" si="15"/>
        <v/>
      </c>
      <c r="K191" s="394" t="str">
        <f t="shared" si="16"/>
        <v/>
      </c>
      <c r="O191" s="370">
        <v>170</v>
      </c>
      <c r="P191" t="s">
        <v>1414</v>
      </c>
      <c r="Q191" s="5">
        <v>22.28</v>
      </c>
      <c r="S191" s="1" t="str">
        <v/>
      </c>
    </row>
    <row r="192" spans="1:19" x14ac:dyDescent="0.25">
      <c r="A192" s="370" t="str">
        <v/>
      </c>
      <c r="H192" s="394" t="str">
        <f t="shared" si="13"/>
        <v/>
      </c>
      <c r="I192" s="394" t="str">
        <f t="shared" si="14"/>
        <v/>
      </c>
      <c r="J192" s="394" t="str">
        <f t="shared" si="15"/>
        <v/>
      </c>
      <c r="K192" s="394" t="str">
        <f t="shared" si="16"/>
        <v/>
      </c>
      <c r="O192" s="370">
        <v>171</v>
      </c>
      <c r="P192" t="s">
        <v>1415</v>
      </c>
      <c r="Q192" s="5">
        <v>9.52</v>
      </c>
      <c r="S192" s="1" t="str">
        <v/>
      </c>
    </row>
    <row r="193" spans="1:19" x14ac:dyDescent="0.25">
      <c r="A193" s="370" t="str">
        <v/>
      </c>
      <c r="H193" s="394" t="str">
        <f t="shared" si="13"/>
        <v/>
      </c>
      <c r="I193" s="394" t="str">
        <f t="shared" si="14"/>
        <v/>
      </c>
      <c r="J193" s="394" t="str">
        <f t="shared" si="15"/>
        <v/>
      </c>
      <c r="K193" s="394" t="str">
        <f t="shared" si="16"/>
        <v/>
      </c>
      <c r="O193" s="370">
        <v>172</v>
      </c>
      <c r="P193" t="s">
        <v>1416</v>
      </c>
      <c r="Q193" s="5">
        <v>11.5</v>
      </c>
      <c r="S193" s="1" t="str">
        <v/>
      </c>
    </row>
    <row r="194" spans="1:19" x14ac:dyDescent="0.25">
      <c r="A194" s="370" t="str">
        <v/>
      </c>
      <c r="H194" s="394" t="str">
        <f t="shared" si="13"/>
        <v/>
      </c>
      <c r="I194" s="394" t="str">
        <f t="shared" si="14"/>
        <v/>
      </c>
      <c r="J194" s="394" t="str">
        <f t="shared" si="15"/>
        <v/>
      </c>
      <c r="K194" s="394" t="str">
        <f t="shared" si="16"/>
        <v/>
      </c>
      <c r="O194" s="370">
        <v>173</v>
      </c>
      <c r="P194" t="s">
        <v>1210</v>
      </c>
      <c r="Q194" s="5">
        <v>16.829999999999998</v>
      </c>
      <c r="S194" s="1" t="str">
        <v/>
      </c>
    </row>
    <row r="195" spans="1:19" x14ac:dyDescent="0.25">
      <c r="A195" s="370" t="str">
        <v/>
      </c>
      <c r="H195" s="394" t="str">
        <f t="shared" si="13"/>
        <v/>
      </c>
      <c r="I195" s="394" t="str">
        <f t="shared" si="14"/>
        <v/>
      </c>
      <c r="J195" s="394" t="str">
        <f t="shared" si="15"/>
        <v/>
      </c>
      <c r="K195" s="394" t="str">
        <f t="shared" si="16"/>
        <v/>
      </c>
      <c r="O195" s="370">
        <v>174</v>
      </c>
      <c r="P195" t="s">
        <v>1211</v>
      </c>
      <c r="Q195" s="5">
        <v>18.04</v>
      </c>
      <c r="S195" s="1" t="str">
        <v/>
      </c>
    </row>
    <row r="196" spans="1:19" x14ac:dyDescent="0.25">
      <c r="A196" s="370" t="str">
        <v/>
      </c>
      <c r="H196" s="394" t="str">
        <f t="shared" si="13"/>
        <v/>
      </c>
      <c r="I196" s="394" t="str">
        <f t="shared" si="14"/>
        <v/>
      </c>
      <c r="J196" s="394" t="str">
        <f t="shared" si="15"/>
        <v/>
      </c>
      <c r="K196" s="394" t="str">
        <f t="shared" si="16"/>
        <v/>
      </c>
      <c r="O196" s="370">
        <v>175</v>
      </c>
      <c r="P196" t="s">
        <v>1212</v>
      </c>
      <c r="Q196" s="5">
        <v>19.25</v>
      </c>
      <c r="S196" s="1" t="str">
        <v/>
      </c>
    </row>
    <row r="197" spans="1:19" x14ac:dyDescent="0.25">
      <c r="A197" s="370" t="str">
        <v/>
      </c>
      <c r="H197" s="394" t="str">
        <f t="shared" si="13"/>
        <v/>
      </c>
      <c r="I197" s="394" t="str">
        <f t="shared" si="14"/>
        <v/>
      </c>
      <c r="J197" s="394" t="str">
        <f t="shared" si="15"/>
        <v/>
      </c>
      <c r="K197" s="394" t="str">
        <f t="shared" si="16"/>
        <v/>
      </c>
      <c r="O197" s="370">
        <v>176</v>
      </c>
      <c r="P197" t="s">
        <v>1213</v>
      </c>
      <c r="Q197" s="5">
        <v>25.3</v>
      </c>
      <c r="S197" s="1" t="str">
        <v/>
      </c>
    </row>
    <row r="198" spans="1:19" x14ac:dyDescent="0.25">
      <c r="A198" s="370" t="str">
        <v/>
      </c>
      <c r="H198" s="394" t="str">
        <f t="shared" si="13"/>
        <v/>
      </c>
      <c r="I198" s="394" t="str">
        <f t="shared" si="14"/>
        <v/>
      </c>
      <c r="J198" s="394" t="str">
        <f t="shared" si="15"/>
        <v/>
      </c>
      <c r="K198" s="394" t="str">
        <f t="shared" si="16"/>
        <v/>
      </c>
      <c r="O198" s="370">
        <v>177</v>
      </c>
      <c r="P198" t="s">
        <v>1214</v>
      </c>
      <c r="Q198" s="5">
        <v>27.72</v>
      </c>
      <c r="S198" s="1" t="str">
        <v/>
      </c>
    </row>
    <row r="199" spans="1:19" x14ac:dyDescent="0.25">
      <c r="A199" s="370" t="str">
        <v/>
      </c>
      <c r="H199" s="394" t="str">
        <f t="shared" si="13"/>
        <v/>
      </c>
      <c r="I199" s="394" t="str">
        <f t="shared" si="14"/>
        <v/>
      </c>
      <c r="J199" s="394" t="str">
        <f t="shared" si="15"/>
        <v/>
      </c>
      <c r="K199" s="394" t="str">
        <f t="shared" si="16"/>
        <v/>
      </c>
      <c r="O199" s="370">
        <v>178</v>
      </c>
      <c r="P199" t="s">
        <v>1215</v>
      </c>
      <c r="Q199" s="5">
        <v>30.14</v>
      </c>
      <c r="S199" s="1" t="str">
        <v/>
      </c>
    </row>
    <row r="200" spans="1:19" x14ac:dyDescent="0.25">
      <c r="A200" s="370" t="str">
        <v/>
      </c>
      <c r="H200" s="394" t="str">
        <f t="shared" si="13"/>
        <v/>
      </c>
      <c r="I200" s="394" t="str">
        <f t="shared" si="14"/>
        <v/>
      </c>
      <c r="J200" s="394" t="str">
        <f t="shared" si="15"/>
        <v/>
      </c>
      <c r="K200" s="394" t="str">
        <f t="shared" si="16"/>
        <v/>
      </c>
      <c r="O200" s="370">
        <v>179</v>
      </c>
      <c r="P200" t="s">
        <v>1216</v>
      </c>
      <c r="Q200" s="5">
        <v>61.6</v>
      </c>
      <c r="S200" s="1" t="str">
        <v/>
      </c>
    </row>
    <row r="201" spans="1:19" x14ac:dyDescent="0.25">
      <c r="A201" s="370" t="str">
        <v/>
      </c>
      <c r="H201" s="394" t="str">
        <f t="shared" si="13"/>
        <v/>
      </c>
      <c r="I201" s="394" t="str">
        <f t="shared" si="14"/>
        <v/>
      </c>
      <c r="J201" s="394" t="str">
        <f t="shared" si="15"/>
        <v/>
      </c>
      <c r="K201" s="394" t="str">
        <f t="shared" si="16"/>
        <v/>
      </c>
      <c r="O201" s="370">
        <v>180</v>
      </c>
      <c r="P201" t="s">
        <v>1217</v>
      </c>
      <c r="Q201" s="5">
        <v>67.650000000000006</v>
      </c>
      <c r="S201" s="1" t="str">
        <v/>
      </c>
    </row>
    <row r="202" spans="1:19" x14ac:dyDescent="0.25">
      <c r="A202" s="370" t="str">
        <v/>
      </c>
      <c r="H202" s="394" t="str">
        <f t="shared" si="13"/>
        <v/>
      </c>
      <c r="I202" s="394" t="str">
        <f t="shared" si="14"/>
        <v/>
      </c>
      <c r="J202" s="394" t="str">
        <f t="shared" si="15"/>
        <v/>
      </c>
      <c r="K202" s="394" t="str">
        <f t="shared" si="16"/>
        <v/>
      </c>
      <c r="O202" s="370">
        <v>181</v>
      </c>
      <c r="P202" t="s">
        <v>1218</v>
      </c>
      <c r="Q202" s="5">
        <v>19.25</v>
      </c>
      <c r="S202" s="1" t="str">
        <v/>
      </c>
    </row>
    <row r="203" spans="1:19" x14ac:dyDescent="0.25">
      <c r="A203" s="370" t="str">
        <v/>
      </c>
      <c r="H203" s="394" t="str">
        <f t="shared" si="13"/>
        <v/>
      </c>
      <c r="I203" s="394" t="str">
        <f t="shared" si="14"/>
        <v/>
      </c>
      <c r="J203" s="394" t="str">
        <f t="shared" si="15"/>
        <v/>
      </c>
      <c r="K203" s="394" t="str">
        <f t="shared" si="16"/>
        <v/>
      </c>
      <c r="O203" s="370">
        <v>182</v>
      </c>
      <c r="P203" t="s">
        <v>1219</v>
      </c>
      <c r="Q203" s="5">
        <v>20.46</v>
      </c>
      <c r="S203" s="1" t="str">
        <v/>
      </c>
    </row>
    <row r="204" spans="1:19" x14ac:dyDescent="0.25">
      <c r="A204" s="370" t="str">
        <v/>
      </c>
      <c r="H204" s="394" t="str">
        <f t="shared" si="13"/>
        <v/>
      </c>
      <c r="I204" s="394" t="str">
        <f t="shared" si="14"/>
        <v/>
      </c>
      <c r="J204" s="394" t="str">
        <f t="shared" si="15"/>
        <v/>
      </c>
      <c r="K204" s="394" t="str">
        <f t="shared" si="16"/>
        <v/>
      </c>
      <c r="O204" s="370">
        <v>183</v>
      </c>
      <c r="P204" t="s">
        <v>1220</v>
      </c>
      <c r="Q204" s="5">
        <v>19.25</v>
      </c>
      <c r="S204" s="1" t="str">
        <v/>
      </c>
    </row>
    <row r="205" spans="1:19" x14ac:dyDescent="0.25">
      <c r="A205" s="370" t="str">
        <v/>
      </c>
      <c r="H205" s="394" t="str">
        <f t="shared" si="13"/>
        <v/>
      </c>
      <c r="I205" s="394" t="str">
        <f t="shared" si="14"/>
        <v/>
      </c>
      <c r="J205" s="394" t="str">
        <f t="shared" si="15"/>
        <v/>
      </c>
      <c r="K205" s="394" t="str">
        <f t="shared" si="16"/>
        <v/>
      </c>
      <c r="O205" s="370">
        <v>184</v>
      </c>
      <c r="P205" t="s">
        <v>1221</v>
      </c>
      <c r="Q205" s="5">
        <v>20.46</v>
      </c>
      <c r="S205" s="1" t="str">
        <v/>
      </c>
    </row>
    <row r="206" spans="1:19" x14ac:dyDescent="0.25">
      <c r="A206" s="370" t="str">
        <v/>
      </c>
      <c r="H206" s="394" t="str">
        <f t="shared" si="13"/>
        <v/>
      </c>
      <c r="I206" s="394" t="str">
        <f t="shared" si="14"/>
        <v/>
      </c>
      <c r="J206" s="394" t="str">
        <f t="shared" si="15"/>
        <v/>
      </c>
      <c r="K206" s="394" t="str">
        <f t="shared" si="16"/>
        <v/>
      </c>
      <c r="O206" s="370">
        <v>185</v>
      </c>
      <c r="P206" t="s">
        <v>1222</v>
      </c>
      <c r="Q206" s="5">
        <v>20.46</v>
      </c>
      <c r="S206" s="1" t="str">
        <v/>
      </c>
    </row>
    <row r="207" spans="1:19" x14ac:dyDescent="0.25">
      <c r="A207" s="370" t="str">
        <v/>
      </c>
      <c r="H207" s="394" t="str">
        <f t="shared" si="13"/>
        <v/>
      </c>
      <c r="I207" s="394" t="str">
        <f t="shared" si="14"/>
        <v/>
      </c>
      <c r="J207" s="394" t="str">
        <f t="shared" si="15"/>
        <v/>
      </c>
      <c r="K207" s="394" t="str">
        <f t="shared" si="16"/>
        <v/>
      </c>
      <c r="O207" s="370">
        <v>186</v>
      </c>
      <c r="P207" t="s">
        <v>1223</v>
      </c>
      <c r="Q207" s="5">
        <v>20.46</v>
      </c>
      <c r="S207" s="1" t="str">
        <v/>
      </c>
    </row>
    <row r="208" spans="1:19" x14ac:dyDescent="0.25">
      <c r="A208" s="370" t="str">
        <v/>
      </c>
      <c r="H208" s="394" t="str">
        <f t="shared" si="13"/>
        <v/>
      </c>
      <c r="I208" s="394" t="str">
        <f t="shared" si="14"/>
        <v/>
      </c>
      <c r="J208" s="394" t="str">
        <f t="shared" si="15"/>
        <v/>
      </c>
      <c r="K208" s="394" t="str">
        <f t="shared" si="16"/>
        <v/>
      </c>
      <c r="O208" s="370">
        <v>187</v>
      </c>
      <c r="P208" t="s">
        <v>1224</v>
      </c>
      <c r="Q208" s="5">
        <v>22.28</v>
      </c>
      <c r="S208" s="1" t="str">
        <v/>
      </c>
    </row>
    <row r="209" spans="1:19" x14ac:dyDescent="0.25">
      <c r="A209" s="370" t="str">
        <v/>
      </c>
      <c r="H209" s="394" t="str">
        <f t="shared" si="13"/>
        <v/>
      </c>
      <c r="I209" s="394" t="str">
        <f t="shared" si="14"/>
        <v/>
      </c>
      <c r="J209" s="394" t="str">
        <f t="shared" si="15"/>
        <v/>
      </c>
      <c r="K209" s="394" t="str">
        <f t="shared" si="16"/>
        <v/>
      </c>
      <c r="O209" s="370">
        <v>188</v>
      </c>
      <c r="P209" t="s">
        <v>1417</v>
      </c>
      <c r="Q209" s="5">
        <v>20.46</v>
      </c>
      <c r="S209" s="1" t="str">
        <v/>
      </c>
    </row>
    <row r="210" spans="1:19" x14ac:dyDescent="0.25">
      <c r="A210" s="370" t="str">
        <v/>
      </c>
      <c r="H210" s="394" t="str">
        <f t="shared" si="13"/>
        <v/>
      </c>
      <c r="I210" s="394" t="str">
        <f t="shared" si="14"/>
        <v/>
      </c>
      <c r="J210" s="394" t="str">
        <f t="shared" si="15"/>
        <v/>
      </c>
      <c r="K210" s="394" t="str">
        <f t="shared" si="16"/>
        <v/>
      </c>
      <c r="O210" s="370">
        <v>189</v>
      </c>
      <c r="P210" t="s">
        <v>1418</v>
      </c>
      <c r="Q210" s="5">
        <v>22.88</v>
      </c>
      <c r="S210" s="1" t="str">
        <v/>
      </c>
    </row>
    <row r="211" spans="1:19" x14ac:dyDescent="0.25">
      <c r="A211" s="370" t="str">
        <v/>
      </c>
      <c r="H211" s="394" t="str">
        <f t="shared" si="13"/>
        <v/>
      </c>
      <c r="I211" s="394" t="str">
        <f t="shared" si="14"/>
        <v/>
      </c>
      <c r="J211" s="394" t="str">
        <f t="shared" si="15"/>
        <v/>
      </c>
      <c r="K211" s="394" t="str">
        <f t="shared" si="16"/>
        <v/>
      </c>
      <c r="O211" s="370">
        <v>190</v>
      </c>
      <c r="P211" t="s">
        <v>1109</v>
      </c>
      <c r="Q211" s="5">
        <v>6.6</v>
      </c>
      <c r="S211" s="1" t="str">
        <v/>
      </c>
    </row>
    <row r="212" spans="1:19" x14ac:dyDescent="0.25">
      <c r="A212" s="370" t="str">
        <v/>
      </c>
      <c r="H212" s="394" t="str">
        <f t="shared" si="13"/>
        <v/>
      </c>
      <c r="I212" s="394" t="str">
        <f t="shared" si="14"/>
        <v/>
      </c>
      <c r="J212" s="394" t="str">
        <f t="shared" si="15"/>
        <v/>
      </c>
      <c r="K212" s="394" t="str">
        <f t="shared" si="16"/>
        <v/>
      </c>
      <c r="O212" s="370">
        <v>191</v>
      </c>
      <c r="P212" t="s">
        <v>1110</v>
      </c>
      <c r="Q212" s="5">
        <v>7.15</v>
      </c>
      <c r="S212" s="1" t="str">
        <v/>
      </c>
    </row>
    <row r="213" spans="1:19" x14ac:dyDescent="0.25">
      <c r="A213" s="370" t="str">
        <v/>
      </c>
      <c r="H213" s="394" t="str">
        <f t="shared" si="13"/>
        <v/>
      </c>
      <c r="I213" s="394" t="str">
        <f t="shared" si="14"/>
        <v/>
      </c>
      <c r="J213" s="394" t="str">
        <f t="shared" si="15"/>
        <v/>
      </c>
      <c r="K213" s="394" t="str">
        <f t="shared" si="16"/>
        <v/>
      </c>
      <c r="O213" s="370">
        <v>192</v>
      </c>
      <c r="P213" t="s">
        <v>1111</v>
      </c>
      <c r="Q213" s="5">
        <v>7.7</v>
      </c>
      <c r="S213" s="1" t="str">
        <v/>
      </c>
    </row>
    <row r="214" spans="1:19" x14ac:dyDescent="0.25">
      <c r="A214" s="370" t="str">
        <v/>
      </c>
      <c r="H214" s="394" t="str">
        <f t="shared" si="13"/>
        <v/>
      </c>
      <c r="I214" s="394" t="str">
        <f t="shared" si="14"/>
        <v/>
      </c>
      <c r="J214" s="394" t="str">
        <f t="shared" si="15"/>
        <v/>
      </c>
      <c r="K214" s="394" t="str">
        <f t="shared" si="16"/>
        <v/>
      </c>
      <c r="O214" s="370">
        <v>193</v>
      </c>
      <c r="P214" t="s">
        <v>1112</v>
      </c>
      <c r="Q214" s="5">
        <v>8.8000000000000007</v>
      </c>
      <c r="S214" s="1" t="str">
        <v/>
      </c>
    </row>
    <row r="215" spans="1:19" x14ac:dyDescent="0.25">
      <c r="A215" s="370" t="str">
        <v/>
      </c>
      <c r="H215" s="394" t="str">
        <f t="shared" ref="H215:H278" si="17">IF($C215="","",ROUND((($B$2*$F215*($B$5/1000))/$B$6)*(1+IF($B$18="",0,$B$18)),2))</f>
        <v/>
      </c>
      <c r="I215" s="394" t="str">
        <f t="shared" ref="I215:I278" si="18">IF($C215="","",ROUND((($B$3*$F215*($B$5/1000))/$B$6)*(1+IF($B$18="",0,$B$18)),2))</f>
        <v/>
      </c>
      <c r="J215" s="394" t="str">
        <f t="shared" ref="J215:J278" si="19">IF(OR($C215="",$B$9="",$B$15=""),"",ROUND((((((IF($B$15="N/A",$B$2,$B$4))*$F215*($B$5/1000))+((($G215/1000)*($B$5/1000)*10.7639104)*(IF($B$9="Smooth",$B$10,IF($B$9="Sand",$B$11,0)))))*(1+$B$17))/$B$8)*(1+IF($B$18="",0,$B$18)),2))</f>
        <v/>
      </c>
      <c r="K215" s="394" t="str">
        <f t="shared" ref="K215:K278" si="20">IF(OR($C215="",$B$12="",$B$15=""),"",ROUND((((((IF($B$15="N/A",$B$2,$B$4))*$F215*($B$5/1000))+((($G215/1000)*($B$5/1000)*10.7639104)*(IF($B$12="Indoor",$B$13,IF($B$12="Outdoor",$B$14,0)))))*(1+$B$17))/$B$8)*(1+IF($B$18="",0,$B$18)),2))</f>
        <v/>
      </c>
      <c r="O215" s="370">
        <v>194</v>
      </c>
      <c r="P215" t="s">
        <v>1113</v>
      </c>
      <c r="Q215" s="5">
        <v>9.9</v>
      </c>
      <c r="S215" s="1" t="str">
        <v/>
      </c>
    </row>
    <row r="216" spans="1:19" x14ac:dyDescent="0.25">
      <c r="A216" s="370" t="str">
        <v/>
      </c>
      <c r="H216" s="394" t="str">
        <f t="shared" si="17"/>
        <v/>
      </c>
      <c r="I216" s="394" t="str">
        <f t="shared" si="18"/>
        <v/>
      </c>
      <c r="J216" s="394" t="str">
        <f t="shared" si="19"/>
        <v/>
      </c>
      <c r="K216" s="394" t="str">
        <f t="shared" si="20"/>
        <v/>
      </c>
      <c r="O216" s="370">
        <v>195</v>
      </c>
      <c r="P216" t="s">
        <v>1114</v>
      </c>
      <c r="Q216" s="5">
        <v>11</v>
      </c>
      <c r="S216" s="1" t="str">
        <v/>
      </c>
    </row>
    <row r="217" spans="1:19" x14ac:dyDescent="0.25">
      <c r="A217" s="370" t="str">
        <v/>
      </c>
      <c r="H217" s="394" t="str">
        <f t="shared" si="17"/>
        <v/>
      </c>
      <c r="I217" s="394" t="str">
        <f t="shared" si="18"/>
        <v/>
      </c>
      <c r="J217" s="394" t="str">
        <f t="shared" si="19"/>
        <v/>
      </c>
      <c r="K217" s="394" t="str">
        <f t="shared" si="20"/>
        <v/>
      </c>
      <c r="O217" s="370">
        <v>196</v>
      </c>
      <c r="P217" t="s">
        <v>1115</v>
      </c>
      <c r="Q217" s="5">
        <v>30.8</v>
      </c>
      <c r="S217" s="1" t="str">
        <v/>
      </c>
    </row>
    <row r="218" spans="1:19" x14ac:dyDescent="0.25">
      <c r="A218" s="370" t="str">
        <v/>
      </c>
      <c r="H218" s="394" t="str">
        <f t="shared" si="17"/>
        <v/>
      </c>
      <c r="I218" s="394" t="str">
        <f t="shared" si="18"/>
        <v/>
      </c>
      <c r="J218" s="394" t="str">
        <f t="shared" si="19"/>
        <v/>
      </c>
      <c r="K218" s="394" t="str">
        <f t="shared" si="20"/>
        <v/>
      </c>
      <c r="O218" s="370">
        <v>197</v>
      </c>
      <c r="P218" t="s">
        <v>1116</v>
      </c>
      <c r="Q218" s="5">
        <v>41.8</v>
      </c>
      <c r="S218" s="1" t="str">
        <v/>
      </c>
    </row>
    <row r="219" spans="1:19" x14ac:dyDescent="0.25">
      <c r="A219" s="370" t="str">
        <v/>
      </c>
      <c r="H219" s="394" t="str">
        <f t="shared" si="17"/>
        <v/>
      </c>
      <c r="I219" s="394" t="str">
        <f t="shared" si="18"/>
        <v/>
      </c>
      <c r="J219" s="394" t="str">
        <f t="shared" si="19"/>
        <v/>
      </c>
      <c r="K219" s="394" t="str">
        <f t="shared" si="20"/>
        <v/>
      </c>
      <c r="O219" s="370">
        <v>198</v>
      </c>
      <c r="P219" t="s">
        <v>1117</v>
      </c>
      <c r="Q219" s="5">
        <v>10.29</v>
      </c>
      <c r="S219" s="1" t="str">
        <v/>
      </c>
    </row>
    <row r="220" spans="1:19" x14ac:dyDescent="0.25">
      <c r="A220" s="370" t="str">
        <v/>
      </c>
      <c r="H220" s="394" t="str">
        <f t="shared" si="17"/>
        <v/>
      </c>
      <c r="I220" s="394" t="str">
        <f t="shared" si="18"/>
        <v/>
      </c>
      <c r="J220" s="394" t="str">
        <f t="shared" si="19"/>
        <v/>
      </c>
      <c r="K220" s="394" t="str">
        <f t="shared" si="20"/>
        <v/>
      </c>
      <c r="O220" s="370">
        <v>199</v>
      </c>
      <c r="P220" t="s">
        <v>1118</v>
      </c>
      <c r="Q220" s="5">
        <v>11.5</v>
      </c>
      <c r="S220" s="1" t="str">
        <v/>
      </c>
    </row>
    <row r="221" spans="1:19" x14ac:dyDescent="0.25">
      <c r="A221" s="370" t="str">
        <v/>
      </c>
      <c r="H221" s="394" t="str">
        <f t="shared" si="17"/>
        <v/>
      </c>
      <c r="I221" s="394" t="str">
        <f t="shared" si="18"/>
        <v/>
      </c>
      <c r="J221" s="394" t="str">
        <f t="shared" si="19"/>
        <v/>
      </c>
      <c r="K221" s="394" t="str">
        <f t="shared" si="20"/>
        <v/>
      </c>
      <c r="O221" s="370">
        <v>200</v>
      </c>
      <c r="P221" t="s">
        <v>1119</v>
      </c>
      <c r="Q221" s="5">
        <v>17.55</v>
      </c>
      <c r="S221" s="1" t="str">
        <v/>
      </c>
    </row>
    <row r="222" spans="1:19" x14ac:dyDescent="0.25">
      <c r="A222" s="370" t="str">
        <v/>
      </c>
      <c r="H222" s="394" t="str">
        <f t="shared" si="17"/>
        <v/>
      </c>
      <c r="I222" s="394" t="str">
        <f t="shared" si="18"/>
        <v/>
      </c>
      <c r="J222" s="394" t="str">
        <f t="shared" si="19"/>
        <v/>
      </c>
      <c r="K222" s="394" t="str">
        <f t="shared" si="20"/>
        <v/>
      </c>
      <c r="O222" s="370">
        <v>201</v>
      </c>
      <c r="P222" t="s">
        <v>1120</v>
      </c>
      <c r="Q222" s="5">
        <v>19.97</v>
      </c>
      <c r="S222" s="1" t="str">
        <v/>
      </c>
    </row>
    <row r="223" spans="1:19" x14ac:dyDescent="0.25">
      <c r="A223" s="370" t="str">
        <v/>
      </c>
      <c r="H223" s="394" t="str">
        <f t="shared" si="17"/>
        <v/>
      </c>
      <c r="I223" s="394" t="str">
        <f t="shared" si="18"/>
        <v/>
      </c>
      <c r="J223" s="394" t="str">
        <f t="shared" si="19"/>
        <v/>
      </c>
      <c r="K223" s="394" t="str">
        <f t="shared" si="20"/>
        <v/>
      </c>
      <c r="O223" s="370">
        <v>202</v>
      </c>
      <c r="P223" t="s">
        <v>1121</v>
      </c>
      <c r="Q223" s="5">
        <v>21.18</v>
      </c>
      <c r="S223" s="1" t="str">
        <v/>
      </c>
    </row>
    <row r="224" spans="1:19" x14ac:dyDescent="0.25">
      <c r="A224" s="370" t="str">
        <v/>
      </c>
      <c r="H224" s="394" t="str">
        <f t="shared" si="17"/>
        <v/>
      </c>
      <c r="I224" s="394" t="str">
        <f t="shared" si="18"/>
        <v/>
      </c>
      <c r="J224" s="394" t="str">
        <f t="shared" si="19"/>
        <v/>
      </c>
      <c r="K224" s="394" t="str">
        <f t="shared" si="20"/>
        <v/>
      </c>
      <c r="O224" s="370">
        <v>203</v>
      </c>
      <c r="P224" t="s">
        <v>1122</v>
      </c>
      <c r="Q224" s="5">
        <v>9.68</v>
      </c>
      <c r="S224" s="1" t="str">
        <v/>
      </c>
    </row>
    <row r="225" spans="1:19" x14ac:dyDescent="0.25">
      <c r="A225" s="370" t="str">
        <v/>
      </c>
      <c r="H225" s="394" t="str">
        <f t="shared" si="17"/>
        <v/>
      </c>
      <c r="I225" s="394" t="str">
        <f t="shared" si="18"/>
        <v/>
      </c>
      <c r="J225" s="394" t="str">
        <f t="shared" si="19"/>
        <v/>
      </c>
      <c r="K225" s="394" t="str">
        <f t="shared" si="20"/>
        <v/>
      </c>
      <c r="O225" s="370">
        <v>204</v>
      </c>
      <c r="P225" t="s">
        <v>1123</v>
      </c>
      <c r="Q225" s="5">
        <v>10.89</v>
      </c>
      <c r="S225" s="1" t="str">
        <v/>
      </c>
    </row>
    <row r="226" spans="1:19" x14ac:dyDescent="0.25">
      <c r="A226" s="370" t="str">
        <v/>
      </c>
      <c r="H226" s="394" t="str">
        <f t="shared" si="17"/>
        <v/>
      </c>
      <c r="I226" s="394" t="str">
        <f t="shared" si="18"/>
        <v/>
      </c>
      <c r="J226" s="394" t="str">
        <f t="shared" si="19"/>
        <v/>
      </c>
      <c r="K226" s="394" t="str">
        <f t="shared" si="20"/>
        <v/>
      </c>
      <c r="O226" s="370">
        <v>205</v>
      </c>
      <c r="P226" t="s">
        <v>1124</v>
      </c>
      <c r="Q226" s="5">
        <v>12.71</v>
      </c>
      <c r="S226" s="1" t="str">
        <v/>
      </c>
    </row>
    <row r="227" spans="1:19" x14ac:dyDescent="0.25">
      <c r="A227" s="370" t="str">
        <v/>
      </c>
      <c r="H227" s="394" t="str">
        <f t="shared" si="17"/>
        <v/>
      </c>
      <c r="I227" s="394" t="str">
        <f t="shared" si="18"/>
        <v/>
      </c>
      <c r="J227" s="394" t="str">
        <f t="shared" si="19"/>
        <v/>
      </c>
      <c r="K227" s="394" t="str">
        <f t="shared" si="20"/>
        <v/>
      </c>
      <c r="O227" s="370">
        <v>206</v>
      </c>
      <c r="P227" t="s">
        <v>1125</v>
      </c>
      <c r="Q227" s="5">
        <v>14.52</v>
      </c>
      <c r="S227" s="1" t="str">
        <v/>
      </c>
    </row>
    <row r="228" spans="1:19" x14ac:dyDescent="0.25">
      <c r="A228" s="370" t="str">
        <v/>
      </c>
      <c r="H228" s="394" t="str">
        <f t="shared" si="17"/>
        <v/>
      </c>
      <c r="I228" s="394" t="str">
        <f t="shared" si="18"/>
        <v/>
      </c>
      <c r="J228" s="394" t="str">
        <f t="shared" si="19"/>
        <v/>
      </c>
      <c r="K228" s="394" t="str">
        <f t="shared" si="20"/>
        <v/>
      </c>
      <c r="O228" s="370">
        <v>207</v>
      </c>
      <c r="P228" t="s">
        <v>1126</v>
      </c>
      <c r="Q228" s="5">
        <v>15.73</v>
      </c>
      <c r="S228" s="1" t="str">
        <v/>
      </c>
    </row>
    <row r="229" spans="1:19" x14ac:dyDescent="0.25">
      <c r="A229" s="370" t="str">
        <v/>
      </c>
      <c r="H229" s="394" t="str">
        <f t="shared" si="17"/>
        <v/>
      </c>
      <c r="I229" s="394" t="str">
        <f t="shared" si="18"/>
        <v/>
      </c>
      <c r="J229" s="394" t="str">
        <f t="shared" si="19"/>
        <v/>
      </c>
      <c r="K229" s="394" t="str">
        <f t="shared" si="20"/>
        <v/>
      </c>
      <c r="O229" s="370">
        <v>208</v>
      </c>
      <c r="P229" t="s">
        <v>1127</v>
      </c>
      <c r="Q229" s="5">
        <v>15.13</v>
      </c>
      <c r="S229" s="1" t="str">
        <v/>
      </c>
    </row>
    <row r="230" spans="1:19" x14ac:dyDescent="0.25">
      <c r="A230" s="370" t="str">
        <v/>
      </c>
      <c r="H230" s="394" t="str">
        <f t="shared" si="17"/>
        <v/>
      </c>
      <c r="I230" s="394" t="str">
        <f t="shared" si="18"/>
        <v/>
      </c>
      <c r="J230" s="394" t="str">
        <f t="shared" si="19"/>
        <v/>
      </c>
      <c r="K230" s="394" t="str">
        <f t="shared" si="20"/>
        <v/>
      </c>
      <c r="O230" s="370">
        <v>209</v>
      </c>
      <c r="P230" t="s">
        <v>1128</v>
      </c>
      <c r="Q230" s="5">
        <v>16.34</v>
      </c>
      <c r="S230" s="1" t="str">
        <v/>
      </c>
    </row>
    <row r="231" spans="1:19" x14ac:dyDescent="0.25">
      <c r="A231" s="370" t="str">
        <v/>
      </c>
      <c r="H231" s="394" t="str">
        <f t="shared" si="17"/>
        <v/>
      </c>
      <c r="I231" s="394" t="str">
        <f t="shared" si="18"/>
        <v/>
      </c>
      <c r="J231" s="394" t="str">
        <f t="shared" si="19"/>
        <v/>
      </c>
      <c r="K231" s="394" t="str">
        <f t="shared" si="20"/>
        <v/>
      </c>
      <c r="O231" s="370">
        <v>210</v>
      </c>
      <c r="P231" t="s">
        <v>1129</v>
      </c>
      <c r="Q231" s="5">
        <v>10.29</v>
      </c>
      <c r="S231" s="1" t="str">
        <v/>
      </c>
    </row>
    <row r="232" spans="1:19" x14ac:dyDescent="0.25">
      <c r="A232" s="370" t="str">
        <v/>
      </c>
      <c r="H232" s="394" t="str">
        <f t="shared" si="17"/>
        <v/>
      </c>
      <c r="I232" s="394" t="str">
        <f t="shared" si="18"/>
        <v/>
      </c>
      <c r="J232" s="394" t="str">
        <f t="shared" si="19"/>
        <v/>
      </c>
      <c r="K232" s="394" t="str">
        <f t="shared" si="20"/>
        <v/>
      </c>
      <c r="O232" s="370">
        <v>211</v>
      </c>
      <c r="P232" t="s">
        <v>1130</v>
      </c>
      <c r="Q232" s="5">
        <v>11.5</v>
      </c>
      <c r="S232" s="1" t="str">
        <v/>
      </c>
    </row>
    <row r="233" spans="1:19" x14ac:dyDescent="0.25">
      <c r="A233" s="370" t="str">
        <v/>
      </c>
      <c r="H233" s="394" t="str">
        <f t="shared" si="17"/>
        <v/>
      </c>
      <c r="I233" s="394" t="str">
        <f t="shared" si="18"/>
        <v/>
      </c>
      <c r="J233" s="394" t="str">
        <f t="shared" si="19"/>
        <v/>
      </c>
      <c r="K233" s="394" t="str">
        <f t="shared" si="20"/>
        <v/>
      </c>
      <c r="O233" s="370">
        <v>212</v>
      </c>
      <c r="P233" t="s">
        <v>1131</v>
      </c>
      <c r="Q233" s="5">
        <v>17.55</v>
      </c>
      <c r="S233" s="1" t="str">
        <v/>
      </c>
    </row>
    <row r="234" spans="1:19" x14ac:dyDescent="0.25">
      <c r="A234" s="370" t="str">
        <v/>
      </c>
      <c r="H234" s="394" t="str">
        <f t="shared" si="17"/>
        <v/>
      </c>
      <c r="I234" s="394" t="str">
        <f t="shared" si="18"/>
        <v/>
      </c>
      <c r="J234" s="394" t="str">
        <f t="shared" si="19"/>
        <v/>
      </c>
      <c r="K234" s="394" t="str">
        <f t="shared" si="20"/>
        <v/>
      </c>
      <c r="O234" s="370">
        <v>213</v>
      </c>
      <c r="P234" t="s">
        <v>1132</v>
      </c>
      <c r="Q234" s="5">
        <v>19.97</v>
      </c>
      <c r="S234" s="1" t="str">
        <v/>
      </c>
    </row>
    <row r="235" spans="1:19" x14ac:dyDescent="0.25">
      <c r="A235" s="370" t="str">
        <v/>
      </c>
      <c r="H235" s="394" t="str">
        <f t="shared" si="17"/>
        <v/>
      </c>
      <c r="I235" s="394" t="str">
        <f t="shared" si="18"/>
        <v/>
      </c>
      <c r="J235" s="394" t="str">
        <f t="shared" si="19"/>
        <v/>
      </c>
      <c r="K235" s="394" t="str">
        <f t="shared" si="20"/>
        <v/>
      </c>
      <c r="O235" s="370">
        <v>214</v>
      </c>
      <c r="P235" t="s">
        <v>1133</v>
      </c>
      <c r="Q235" s="5">
        <v>21.18</v>
      </c>
      <c r="S235" s="1" t="str">
        <v/>
      </c>
    </row>
    <row r="236" spans="1:19" x14ac:dyDescent="0.25">
      <c r="A236" s="370" t="str">
        <v/>
      </c>
      <c r="H236" s="394" t="str">
        <f t="shared" si="17"/>
        <v/>
      </c>
      <c r="I236" s="394" t="str">
        <f t="shared" si="18"/>
        <v/>
      </c>
      <c r="J236" s="394" t="str">
        <f t="shared" si="19"/>
        <v/>
      </c>
      <c r="K236" s="394" t="str">
        <f t="shared" si="20"/>
        <v/>
      </c>
      <c r="O236" s="370">
        <v>215</v>
      </c>
      <c r="P236" t="s">
        <v>1403</v>
      </c>
      <c r="Q236" s="5">
        <v>10.29</v>
      </c>
      <c r="S236" s="1" t="str">
        <v/>
      </c>
    </row>
    <row r="237" spans="1:19" x14ac:dyDescent="0.25">
      <c r="A237" s="370" t="str">
        <v/>
      </c>
      <c r="H237" s="394" t="str">
        <f t="shared" si="17"/>
        <v/>
      </c>
      <c r="I237" s="394" t="str">
        <f t="shared" si="18"/>
        <v/>
      </c>
      <c r="J237" s="394" t="str">
        <f t="shared" si="19"/>
        <v/>
      </c>
      <c r="K237" s="394" t="str">
        <f t="shared" si="20"/>
        <v/>
      </c>
      <c r="O237" s="370">
        <v>216</v>
      </c>
      <c r="P237" t="s">
        <v>1404</v>
      </c>
      <c r="Q237" s="5">
        <v>11.5</v>
      </c>
      <c r="S237" s="1" t="str">
        <v/>
      </c>
    </row>
    <row r="238" spans="1:19" x14ac:dyDescent="0.25">
      <c r="A238" s="370" t="str">
        <v/>
      </c>
      <c r="H238" s="394" t="str">
        <f t="shared" si="17"/>
        <v/>
      </c>
      <c r="I238" s="394" t="str">
        <f t="shared" si="18"/>
        <v/>
      </c>
      <c r="J238" s="394" t="str">
        <f t="shared" si="19"/>
        <v/>
      </c>
      <c r="K238" s="394" t="str">
        <f t="shared" si="20"/>
        <v/>
      </c>
      <c r="O238" s="370">
        <v>217</v>
      </c>
      <c r="P238" t="s">
        <v>1405</v>
      </c>
      <c r="Q238" s="5">
        <v>17.55</v>
      </c>
      <c r="S238" s="1" t="str">
        <v/>
      </c>
    </row>
    <row r="239" spans="1:19" x14ac:dyDescent="0.25">
      <c r="A239" s="370" t="str">
        <v/>
      </c>
      <c r="H239" s="394" t="str">
        <f t="shared" si="17"/>
        <v/>
      </c>
      <c r="I239" s="394" t="str">
        <f t="shared" si="18"/>
        <v/>
      </c>
      <c r="J239" s="394" t="str">
        <f t="shared" si="19"/>
        <v/>
      </c>
      <c r="K239" s="394" t="str">
        <f t="shared" si="20"/>
        <v/>
      </c>
      <c r="O239" s="370">
        <v>218</v>
      </c>
      <c r="P239" t="s">
        <v>1406</v>
      </c>
      <c r="Q239" s="5">
        <v>19.97</v>
      </c>
      <c r="S239" s="1" t="str">
        <v/>
      </c>
    </row>
    <row r="240" spans="1:19" x14ac:dyDescent="0.25">
      <c r="A240" s="370" t="str">
        <v/>
      </c>
      <c r="H240" s="394" t="str">
        <f t="shared" si="17"/>
        <v/>
      </c>
      <c r="I240" s="394" t="str">
        <f t="shared" si="18"/>
        <v/>
      </c>
      <c r="J240" s="394" t="str">
        <f t="shared" si="19"/>
        <v/>
      </c>
      <c r="K240" s="394" t="str">
        <f t="shared" si="20"/>
        <v/>
      </c>
      <c r="O240" s="370">
        <v>219</v>
      </c>
      <c r="P240" t="s">
        <v>1407</v>
      </c>
      <c r="Q240" s="5">
        <v>21.18</v>
      </c>
      <c r="S240" s="1" t="str">
        <v/>
      </c>
    </row>
    <row r="241" spans="1:19" x14ac:dyDescent="0.25">
      <c r="A241" s="370" t="str">
        <v/>
      </c>
      <c r="H241" s="394" t="str">
        <f t="shared" si="17"/>
        <v/>
      </c>
      <c r="I241" s="394" t="str">
        <f t="shared" si="18"/>
        <v/>
      </c>
      <c r="J241" s="394" t="str">
        <f t="shared" si="19"/>
        <v/>
      </c>
      <c r="K241" s="394" t="str">
        <f t="shared" si="20"/>
        <v/>
      </c>
      <c r="O241" s="370">
        <v>220</v>
      </c>
      <c r="P241" t="s">
        <v>1408</v>
      </c>
      <c r="Q241" s="5">
        <v>8.42</v>
      </c>
      <c r="S241" s="1" t="str">
        <v/>
      </c>
    </row>
    <row r="242" spans="1:19" x14ac:dyDescent="0.25">
      <c r="A242" s="370" t="str">
        <v/>
      </c>
      <c r="H242" s="394" t="str">
        <f t="shared" si="17"/>
        <v/>
      </c>
      <c r="I242" s="394" t="str">
        <f t="shared" si="18"/>
        <v/>
      </c>
      <c r="J242" s="394" t="str">
        <f t="shared" si="19"/>
        <v/>
      </c>
      <c r="K242" s="394" t="str">
        <f t="shared" si="20"/>
        <v/>
      </c>
      <c r="O242" s="370">
        <v>221</v>
      </c>
      <c r="P242" t="s">
        <v>1409</v>
      </c>
      <c r="Q242" s="5">
        <v>10.4</v>
      </c>
      <c r="S242" s="1" t="str">
        <v/>
      </c>
    </row>
    <row r="243" spans="1:19" x14ac:dyDescent="0.25">
      <c r="A243" s="370" t="str">
        <v/>
      </c>
      <c r="H243" s="394" t="str">
        <f t="shared" si="17"/>
        <v/>
      </c>
      <c r="I243" s="394" t="str">
        <f t="shared" si="18"/>
        <v/>
      </c>
      <c r="J243" s="394" t="str">
        <f t="shared" si="19"/>
        <v/>
      </c>
      <c r="K243" s="394" t="str">
        <f t="shared" si="20"/>
        <v/>
      </c>
      <c r="O243" s="370">
        <v>222</v>
      </c>
      <c r="P243" t="s">
        <v>1134</v>
      </c>
      <c r="Q243" s="5">
        <v>15.73</v>
      </c>
      <c r="S243" s="1" t="str">
        <v/>
      </c>
    </row>
    <row r="244" spans="1:19" x14ac:dyDescent="0.25">
      <c r="A244" s="370" t="str">
        <v/>
      </c>
      <c r="H244" s="394" t="str">
        <f t="shared" si="17"/>
        <v/>
      </c>
      <c r="I244" s="394" t="str">
        <f t="shared" si="18"/>
        <v/>
      </c>
      <c r="J244" s="394" t="str">
        <f t="shared" si="19"/>
        <v/>
      </c>
      <c r="K244" s="394" t="str">
        <f t="shared" si="20"/>
        <v/>
      </c>
      <c r="O244" s="370">
        <v>223</v>
      </c>
      <c r="P244" t="s">
        <v>1135</v>
      </c>
      <c r="Q244" s="5">
        <v>16.940000000000001</v>
      </c>
      <c r="S244" s="1" t="str">
        <v/>
      </c>
    </row>
    <row r="245" spans="1:19" x14ac:dyDescent="0.25">
      <c r="A245" s="370" t="str">
        <v/>
      </c>
      <c r="H245" s="394" t="str">
        <f t="shared" si="17"/>
        <v/>
      </c>
      <c r="I245" s="394" t="str">
        <f t="shared" si="18"/>
        <v/>
      </c>
      <c r="J245" s="394" t="str">
        <f t="shared" si="19"/>
        <v/>
      </c>
      <c r="K245" s="394" t="str">
        <f t="shared" si="20"/>
        <v/>
      </c>
      <c r="O245" s="370">
        <v>224</v>
      </c>
      <c r="P245" t="s">
        <v>1136</v>
      </c>
      <c r="Q245" s="5">
        <v>18.149999999999999</v>
      </c>
      <c r="S245" s="1" t="str">
        <v/>
      </c>
    </row>
    <row r="246" spans="1:19" x14ac:dyDescent="0.25">
      <c r="A246" s="370" t="str">
        <v/>
      </c>
      <c r="H246" s="394" t="str">
        <f t="shared" si="17"/>
        <v/>
      </c>
      <c r="I246" s="394" t="str">
        <f t="shared" si="18"/>
        <v/>
      </c>
      <c r="J246" s="394" t="str">
        <f t="shared" si="19"/>
        <v/>
      </c>
      <c r="K246" s="394" t="str">
        <f t="shared" si="20"/>
        <v/>
      </c>
      <c r="O246" s="370">
        <v>225</v>
      </c>
      <c r="P246" t="s">
        <v>1137</v>
      </c>
      <c r="Q246" s="5">
        <v>24.2</v>
      </c>
      <c r="S246" s="1" t="str">
        <v/>
      </c>
    </row>
    <row r="247" spans="1:19" x14ac:dyDescent="0.25">
      <c r="A247" s="370" t="str">
        <v/>
      </c>
      <c r="H247" s="394" t="str">
        <f t="shared" si="17"/>
        <v/>
      </c>
      <c r="I247" s="394" t="str">
        <f t="shared" si="18"/>
        <v/>
      </c>
      <c r="J247" s="394" t="str">
        <f t="shared" si="19"/>
        <v/>
      </c>
      <c r="K247" s="394" t="str">
        <f t="shared" si="20"/>
        <v/>
      </c>
      <c r="O247" s="370">
        <v>226</v>
      </c>
      <c r="P247" t="s">
        <v>1138</v>
      </c>
      <c r="Q247" s="5">
        <v>26.62</v>
      </c>
      <c r="S247" s="1" t="str">
        <v/>
      </c>
    </row>
    <row r="248" spans="1:19" x14ac:dyDescent="0.25">
      <c r="A248" s="370" t="str">
        <v/>
      </c>
      <c r="H248" s="394" t="str">
        <f t="shared" si="17"/>
        <v/>
      </c>
      <c r="I248" s="394" t="str">
        <f t="shared" si="18"/>
        <v/>
      </c>
      <c r="J248" s="394" t="str">
        <f t="shared" si="19"/>
        <v/>
      </c>
      <c r="K248" s="394" t="str">
        <f t="shared" si="20"/>
        <v/>
      </c>
      <c r="O248" s="370">
        <v>227</v>
      </c>
      <c r="P248" t="s">
        <v>1139</v>
      </c>
      <c r="Q248" s="5">
        <v>29.04</v>
      </c>
      <c r="S248" s="1" t="str">
        <v/>
      </c>
    </row>
    <row r="249" spans="1:19" x14ac:dyDescent="0.25">
      <c r="A249" s="370" t="str">
        <v/>
      </c>
      <c r="H249" s="394" t="str">
        <f t="shared" si="17"/>
        <v/>
      </c>
      <c r="I249" s="394" t="str">
        <f t="shared" si="18"/>
        <v/>
      </c>
      <c r="J249" s="394" t="str">
        <f t="shared" si="19"/>
        <v/>
      </c>
      <c r="K249" s="394" t="str">
        <f t="shared" si="20"/>
        <v/>
      </c>
      <c r="O249" s="370">
        <v>228</v>
      </c>
      <c r="P249" t="s">
        <v>1140</v>
      </c>
      <c r="Q249" s="5">
        <v>60.5</v>
      </c>
      <c r="S249" s="1" t="str">
        <v/>
      </c>
    </row>
    <row r="250" spans="1:19" x14ac:dyDescent="0.25">
      <c r="A250" s="370" t="str">
        <v/>
      </c>
      <c r="H250" s="394" t="str">
        <f t="shared" si="17"/>
        <v/>
      </c>
      <c r="I250" s="394" t="str">
        <f t="shared" si="18"/>
        <v/>
      </c>
      <c r="J250" s="394" t="str">
        <f t="shared" si="19"/>
        <v/>
      </c>
      <c r="K250" s="394" t="str">
        <f t="shared" si="20"/>
        <v/>
      </c>
      <c r="O250" s="370">
        <v>229</v>
      </c>
      <c r="P250" t="s">
        <v>1141</v>
      </c>
      <c r="Q250" s="5">
        <v>66.55</v>
      </c>
      <c r="S250" s="1" t="str">
        <v/>
      </c>
    </row>
    <row r="251" spans="1:19" x14ac:dyDescent="0.25">
      <c r="A251" s="370" t="str">
        <v/>
      </c>
      <c r="H251" s="394" t="str">
        <f t="shared" si="17"/>
        <v/>
      </c>
      <c r="I251" s="394" t="str">
        <f t="shared" si="18"/>
        <v/>
      </c>
      <c r="J251" s="394" t="str">
        <f t="shared" si="19"/>
        <v/>
      </c>
      <c r="K251" s="394" t="str">
        <f t="shared" si="20"/>
        <v/>
      </c>
      <c r="O251" s="370">
        <v>230</v>
      </c>
      <c r="P251" t="s">
        <v>1142</v>
      </c>
      <c r="Q251" s="5">
        <v>18.149999999999999</v>
      </c>
      <c r="S251" s="1" t="str">
        <v/>
      </c>
    </row>
    <row r="252" spans="1:19" x14ac:dyDescent="0.25">
      <c r="A252" s="370" t="str">
        <v/>
      </c>
      <c r="H252" s="394" t="str">
        <f t="shared" si="17"/>
        <v/>
      </c>
      <c r="I252" s="394" t="str">
        <f t="shared" si="18"/>
        <v/>
      </c>
      <c r="J252" s="394" t="str">
        <f t="shared" si="19"/>
        <v/>
      </c>
      <c r="K252" s="394" t="str">
        <f t="shared" si="20"/>
        <v/>
      </c>
      <c r="O252" s="370">
        <v>231</v>
      </c>
      <c r="P252" t="s">
        <v>1143</v>
      </c>
      <c r="Q252" s="5">
        <v>19.36</v>
      </c>
      <c r="S252" s="1" t="str">
        <v/>
      </c>
    </row>
    <row r="253" spans="1:19" x14ac:dyDescent="0.25">
      <c r="A253" s="370" t="str">
        <v/>
      </c>
      <c r="H253" s="394" t="str">
        <f t="shared" si="17"/>
        <v/>
      </c>
      <c r="I253" s="394" t="str">
        <f t="shared" si="18"/>
        <v/>
      </c>
      <c r="J253" s="394" t="str">
        <f t="shared" si="19"/>
        <v/>
      </c>
      <c r="K253" s="394" t="str">
        <f t="shared" si="20"/>
        <v/>
      </c>
      <c r="O253" s="370">
        <v>232</v>
      </c>
      <c r="P253" t="s">
        <v>1144</v>
      </c>
      <c r="Q253" s="5">
        <v>18.149999999999999</v>
      </c>
      <c r="S253" s="1" t="str">
        <v/>
      </c>
    </row>
    <row r="254" spans="1:19" x14ac:dyDescent="0.25">
      <c r="A254" s="370" t="str">
        <v/>
      </c>
      <c r="H254" s="394" t="str">
        <f t="shared" si="17"/>
        <v/>
      </c>
      <c r="I254" s="394" t="str">
        <f t="shared" si="18"/>
        <v/>
      </c>
      <c r="J254" s="394" t="str">
        <f t="shared" si="19"/>
        <v/>
      </c>
      <c r="K254" s="394" t="str">
        <f t="shared" si="20"/>
        <v/>
      </c>
      <c r="O254" s="370">
        <v>233</v>
      </c>
      <c r="P254" t="s">
        <v>1145</v>
      </c>
      <c r="Q254" s="5">
        <v>19.36</v>
      </c>
      <c r="S254" s="1" t="str">
        <v/>
      </c>
    </row>
    <row r="255" spans="1:19" x14ac:dyDescent="0.25">
      <c r="A255" s="370" t="str">
        <v/>
      </c>
      <c r="H255" s="394" t="str">
        <f t="shared" si="17"/>
        <v/>
      </c>
      <c r="I255" s="394" t="str">
        <f t="shared" si="18"/>
        <v/>
      </c>
      <c r="J255" s="394" t="str">
        <f t="shared" si="19"/>
        <v/>
      </c>
      <c r="K255" s="394" t="str">
        <f t="shared" si="20"/>
        <v/>
      </c>
      <c r="O255" s="370">
        <v>234</v>
      </c>
      <c r="P255" t="s">
        <v>1146</v>
      </c>
      <c r="Q255" s="5">
        <v>19.36</v>
      </c>
      <c r="S255" s="1" t="str">
        <v/>
      </c>
    </row>
    <row r="256" spans="1:19" x14ac:dyDescent="0.25">
      <c r="A256" s="370" t="str">
        <v/>
      </c>
      <c r="H256" s="394" t="str">
        <f t="shared" si="17"/>
        <v/>
      </c>
      <c r="I256" s="394" t="str">
        <f t="shared" si="18"/>
        <v/>
      </c>
      <c r="J256" s="394" t="str">
        <f t="shared" si="19"/>
        <v/>
      </c>
      <c r="K256" s="394" t="str">
        <f t="shared" si="20"/>
        <v/>
      </c>
      <c r="O256" s="370">
        <v>235</v>
      </c>
      <c r="P256" t="s">
        <v>1147</v>
      </c>
      <c r="Q256" s="5">
        <v>19.36</v>
      </c>
      <c r="S256" s="1" t="str">
        <v/>
      </c>
    </row>
    <row r="257" spans="1:19" x14ac:dyDescent="0.25">
      <c r="A257" s="370" t="str">
        <v/>
      </c>
      <c r="H257" s="394" t="str">
        <f t="shared" si="17"/>
        <v/>
      </c>
      <c r="I257" s="394" t="str">
        <f t="shared" si="18"/>
        <v/>
      </c>
      <c r="J257" s="394" t="str">
        <f t="shared" si="19"/>
        <v/>
      </c>
      <c r="K257" s="394" t="str">
        <f t="shared" si="20"/>
        <v/>
      </c>
      <c r="O257" s="370">
        <v>236</v>
      </c>
      <c r="P257" t="s">
        <v>1148</v>
      </c>
      <c r="Q257" s="5">
        <v>21.18</v>
      </c>
      <c r="S257" s="1" t="str">
        <v/>
      </c>
    </row>
    <row r="258" spans="1:19" x14ac:dyDescent="0.25">
      <c r="A258" s="370" t="str">
        <v/>
      </c>
      <c r="H258" s="394" t="str">
        <f t="shared" si="17"/>
        <v/>
      </c>
      <c r="I258" s="394" t="str">
        <f t="shared" si="18"/>
        <v/>
      </c>
      <c r="J258" s="394" t="str">
        <f t="shared" si="19"/>
        <v/>
      </c>
      <c r="K258" s="394" t="str">
        <f t="shared" si="20"/>
        <v/>
      </c>
      <c r="O258" s="370">
        <v>237</v>
      </c>
      <c r="P258" t="s">
        <v>1346</v>
      </c>
      <c r="Q258" s="5">
        <v>19.36</v>
      </c>
      <c r="S258" s="1" t="str">
        <v/>
      </c>
    </row>
    <row r="259" spans="1:19" x14ac:dyDescent="0.25">
      <c r="A259" s="370" t="str">
        <v/>
      </c>
      <c r="H259" s="394" t="str">
        <f t="shared" si="17"/>
        <v/>
      </c>
      <c r="I259" s="394" t="str">
        <f t="shared" si="18"/>
        <v/>
      </c>
      <c r="J259" s="394" t="str">
        <f t="shared" si="19"/>
        <v/>
      </c>
      <c r="K259" s="394" t="str">
        <f t="shared" si="20"/>
        <v/>
      </c>
      <c r="O259" s="370">
        <v>238</v>
      </c>
      <c r="P259" t="s">
        <v>1347</v>
      </c>
      <c r="Q259" s="5">
        <v>21.78</v>
      </c>
      <c r="S259" s="1" t="str">
        <v/>
      </c>
    </row>
    <row r="260" spans="1:19" x14ac:dyDescent="0.25">
      <c r="A260" s="370" t="str">
        <v/>
      </c>
      <c r="H260" s="394" t="str">
        <f t="shared" si="17"/>
        <v/>
      </c>
      <c r="I260" s="394" t="str">
        <f t="shared" si="18"/>
        <v/>
      </c>
      <c r="J260" s="394" t="str">
        <f t="shared" si="19"/>
        <v/>
      </c>
      <c r="K260" s="394" t="str">
        <f t="shared" si="20"/>
        <v/>
      </c>
      <c r="O260" s="370">
        <v>239</v>
      </c>
      <c r="P260" t="s">
        <v>1149</v>
      </c>
      <c r="Q260" s="5">
        <v>8.25</v>
      </c>
      <c r="S260" s="1" t="str">
        <v/>
      </c>
    </row>
    <row r="261" spans="1:19" x14ac:dyDescent="0.25">
      <c r="A261" s="370" t="str">
        <v/>
      </c>
      <c r="H261" s="394" t="str">
        <f t="shared" si="17"/>
        <v/>
      </c>
      <c r="I261" s="394" t="str">
        <f t="shared" si="18"/>
        <v/>
      </c>
      <c r="J261" s="394" t="str">
        <f t="shared" si="19"/>
        <v/>
      </c>
      <c r="K261" s="394" t="str">
        <f t="shared" si="20"/>
        <v/>
      </c>
      <c r="O261" s="370">
        <v>240</v>
      </c>
      <c r="P261" t="s">
        <v>1150</v>
      </c>
      <c r="Q261" s="5">
        <v>10.45</v>
      </c>
      <c r="S261" s="1" t="str">
        <v/>
      </c>
    </row>
    <row r="262" spans="1:19" x14ac:dyDescent="0.25">
      <c r="A262" s="370" t="str">
        <v/>
      </c>
      <c r="H262" s="394" t="str">
        <f t="shared" si="17"/>
        <v/>
      </c>
      <c r="I262" s="394" t="str">
        <f t="shared" si="18"/>
        <v/>
      </c>
      <c r="J262" s="394" t="str">
        <f t="shared" si="19"/>
        <v/>
      </c>
      <c r="K262" s="394" t="str">
        <f t="shared" si="20"/>
        <v/>
      </c>
      <c r="O262" s="370">
        <v>241</v>
      </c>
      <c r="P262" t="s">
        <v>1151</v>
      </c>
      <c r="Q262" s="5">
        <v>11</v>
      </c>
      <c r="S262" s="1" t="str">
        <v/>
      </c>
    </row>
    <row r="263" spans="1:19" x14ac:dyDescent="0.25">
      <c r="A263" s="370" t="str">
        <v/>
      </c>
      <c r="H263" s="394" t="str">
        <f t="shared" si="17"/>
        <v/>
      </c>
      <c r="I263" s="394" t="str">
        <f t="shared" si="18"/>
        <v/>
      </c>
      <c r="J263" s="394" t="str">
        <f t="shared" si="19"/>
        <v/>
      </c>
      <c r="K263" s="394" t="str">
        <f t="shared" si="20"/>
        <v/>
      </c>
      <c r="O263" s="370">
        <v>242</v>
      </c>
      <c r="P263" t="s">
        <v>1152</v>
      </c>
      <c r="Q263" s="5">
        <v>12.1</v>
      </c>
      <c r="S263" s="1" t="str">
        <v/>
      </c>
    </row>
    <row r="264" spans="1:19" x14ac:dyDescent="0.25">
      <c r="A264" s="370" t="str">
        <v/>
      </c>
      <c r="H264" s="394" t="str">
        <f t="shared" si="17"/>
        <v/>
      </c>
      <c r="I264" s="394" t="str">
        <f t="shared" si="18"/>
        <v/>
      </c>
      <c r="J264" s="394" t="str">
        <f t="shared" si="19"/>
        <v/>
      </c>
      <c r="K264" s="394" t="str">
        <f t="shared" si="20"/>
        <v/>
      </c>
      <c r="O264" s="370">
        <v>243</v>
      </c>
      <c r="P264" t="s">
        <v>1153</v>
      </c>
      <c r="Q264" s="5">
        <v>13.2</v>
      </c>
      <c r="S264" s="1" t="str">
        <v/>
      </c>
    </row>
    <row r="265" spans="1:19" x14ac:dyDescent="0.25">
      <c r="A265" s="370" t="str">
        <v/>
      </c>
      <c r="H265" s="394" t="str">
        <f t="shared" si="17"/>
        <v/>
      </c>
      <c r="I265" s="394" t="str">
        <f t="shared" si="18"/>
        <v/>
      </c>
      <c r="J265" s="394" t="str">
        <f t="shared" si="19"/>
        <v/>
      </c>
      <c r="K265" s="394" t="str">
        <f t="shared" si="20"/>
        <v/>
      </c>
      <c r="O265" s="370">
        <v>244</v>
      </c>
      <c r="P265" t="s">
        <v>1154</v>
      </c>
      <c r="Q265" s="5">
        <v>16.5</v>
      </c>
      <c r="S265" s="1" t="str">
        <v/>
      </c>
    </row>
    <row r="266" spans="1:19" x14ac:dyDescent="0.25">
      <c r="A266" s="370" t="str">
        <v/>
      </c>
      <c r="H266" s="394" t="str">
        <f t="shared" si="17"/>
        <v/>
      </c>
      <c r="I266" s="394" t="str">
        <f t="shared" si="18"/>
        <v/>
      </c>
      <c r="J266" s="394" t="str">
        <f t="shared" si="19"/>
        <v/>
      </c>
      <c r="K266" s="394" t="str">
        <f t="shared" si="20"/>
        <v/>
      </c>
      <c r="O266" s="370">
        <v>245</v>
      </c>
      <c r="P266" t="s">
        <v>1155</v>
      </c>
      <c r="Q266" s="5">
        <v>18.149999999999999</v>
      </c>
      <c r="S266" s="1" t="str">
        <v/>
      </c>
    </row>
    <row r="267" spans="1:19" x14ac:dyDescent="0.25">
      <c r="A267" s="370" t="str">
        <v/>
      </c>
      <c r="H267" s="394" t="str">
        <f t="shared" si="17"/>
        <v/>
      </c>
      <c r="I267" s="394" t="str">
        <f t="shared" si="18"/>
        <v/>
      </c>
      <c r="J267" s="394" t="str">
        <f t="shared" si="19"/>
        <v/>
      </c>
      <c r="K267" s="394" t="str">
        <f t="shared" si="20"/>
        <v/>
      </c>
      <c r="O267" s="370">
        <v>246</v>
      </c>
      <c r="P267" t="s">
        <v>1156</v>
      </c>
      <c r="Q267" s="5">
        <v>23.1</v>
      </c>
      <c r="S267" s="1" t="str">
        <v/>
      </c>
    </row>
    <row r="268" spans="1:19" x14ac:dyDescent="0.25">
      <c r="A268" s="370" t="str">
        <v/>
      </c>
      <c r="H268" s="394" t="str">
        <f t="shared" si="17"/>
        <v/>
      </c>
      <c r="I268" s="394" t="str">
        <f t="shared" si="18"/>
        <v/>
      </c>
      <c r="J268" s="394" t="str">
        <f t="shared" si="19"/>
        <v/>
      </c>
      <c r="K268" s="394" t="str">
        <f t="shared" si="20"/>
        <v/>
      </c>
      <c r="O268" s="370">
        <v>247</v>
      </c>
      <c r="P268" t="s">
        <v>1157</v>
      </c>
      <c r="Q268" s="5">
        <v>27.5</v>
      </c>
      <c r="S268" s="1" t="str">
        <v/>
      </c>
    </row>
    <row r="269" spans="1:19" x14ac:dyDescent="0.25">
      <c r="A269" s="370" t="str">
        <v/>
      </c>
      <c r="H269" s="394" t="str">
        <f t="shared" si="17"/>
        <v/>
      </c>
      <c r="I269" s="394" t="str">
        <f t="shared" si="18"/>
        <v/>
      </c>
      <c r="J269" s="394" t="str">
        <f t="shared" si="19"/>
        <v/>
      </c>
      <c r="K269" s="394" t="str">
        <f t="shared" si="20"/>
        <v/>
      </c>
      <c r="O269" s="370">
        <v>248</v>
      </c>
      <c r="P269" t="s">
        <v>1158</v>
      </c>
      <c r="Q269" s="5">
        <v>9.35</v>
      </c>
      <c r="S269" s="1" t="str">
        <v/>
      </c>
    </row>
    <row r="270" spans="1:19" x14ac:dyDescent="0.25">
      <c r="A270" s="370" t="str">
        <v/>
      </c>
      <c r="H270" s="394" t="str">
        <f t="shared" si="17"/>
        <v/>
      </c>
      <c r="I270" s="394" t="str">
        <f t="shared" si="18"/>
        <v/>
      </c>
      <c r="J270" s="394" t="str">
        <f t="shared" si="19"/>
        <v/>
      </c>
      <c r="K270" s="394" t="str">
        <f t="shared" si="20"/>
        <v/>
      </c>
      <c r="O270" s="370">
        <v>249</v>
      </c>
      <c r="P270" t="s">
        <v>1159</v>
      </c>
      <c r="Q270" s="5">
        <v>11.55</v>
      </c>
      <c r="S270" s="1" t="str">
        <v/>
      </c>
    </row>
    <row r="271" spans="1:19" x14ac:dyDescent="0.25">
      <c r="A271" s="370" t="str">
        <v/>
      </c>
      <c r="H271" s="394" t="str">
        <f t="shared" si="17"/>
        <v/>
      </c>
      <c r="I271" s="394" t="str">
        <f t="shared" si="18"/>
        <v/>
      </c>
      <c r="J271" s="394" t="str">
        <f t="shared" si="19"/>
        <v/>
      </c>
      <c r="K271" s="394" t="str">
        <f t="shared" si="20"/>
        <v/>
      </c>
      <c r="O271" s="370">
        <v>250</v>
      </c>
      <c r="P271" t="s">
        <v>1160</v>
      </c>
      <c r="Q271" s="5">
        <v>12.1</v>
      </c>
      <c r="S271" s="1" t="str">
        <v/>
      </c>
    </row>
    <row r="272" spans="1:19" x14ac:dyDescent="0.25">
      <c r="A272" s="370" t="str">
        <v/>
      </c>
      <c r="H272" s="394" t="str">
        <f t="shared" si="17"/>
        <v/>
      </c>
      <c r="I272" s="394" t="str">
        <f t="shared" si="18"/>
        <v/>
      </c>
      <c r="J272" s="394" t="str">
        <f t="shared" si="19"/>
        <v/>
      </c>
      <c r="K272" s="394" t="str">
        <f t="shared" si="20"/>
        <v/>
      </c>
      <c r="O272" s="370">
        <v>251</v>
      </c>
      <c r="P272" t="s">
        <v>1161</v>
      </c>
      <c r="Q272" s="5">
        <v>13.2</v>
      </c>
      <c r="S272" s="1" t="str">
        <v/>
      </c>
    </row>
    <row r="273" spans="1:19" x14ac:dyDescent="0.25">
      <c r="A273" s="370" t="str">
        <v/>
      </c>
      <c r="H273" s="394" t="str">
        <f t="shared" si="17"/>
        <v/>
      </c>
      <c r="I273" s="394" t="str">
        <f t="shared" si="18"/>
        <v/>
      </c>
      <c r="J273" s="394" t="str">
        <f t="shared" si="19"/>
        <v/>
      </c>
      <c r="K273" s="394" t="str">
        <f t="shared" si="20"/>
        <v/>
      </c>
      <c r="O273" s="370">
        <v>252</v>
      </c>
      <c r="P273" t="s">
        <v>1162</v>
      </c>
      <c r="Q273" s="5">
        <v>14.3</v>
      </c>
      <c r="S273" s="1" t="str">
        <v/>
      </c>
    </row>
    <row r="274" spans="1:19" x14ac:dyDescent="0.25">
      <c r="A274" s="370" t="str">
        <v/>
      </c>
      <c r="H274" s="394" t="str">
        <f t="shared" si="17"/>
        <v/>
      </c>
      <c r="I274" s="394" t="str">
        <f t="shared" si="18"/>
        <v/>
      </c>
      <c r="J274" s="394" t="str">
        <f t="shared" si="19"/>
        <v/>
      </c>
      <c r="K274" s="394" t="str">
        <f t="shared" si="20"/>
        <v/>
      </c>
      <c r="O274" s="370">
        <v>253</v>
      </c>
      <c r="P274" t="s">
        <v>1163</v>
      </c>
      <c r="Q274" s="5">
        <v>17.600000000000001</v>
      </c>
      <c r="S274" s="1" t="str">
        <v/>
      </c>
    </row>
    <row r="275" spans="1:19" x14ac:dyDescent="0.25">
      <c r="A275" s="370" t="str">
        <v/>
      </c>
      <c r="H275" s="394" t="str">
        <f t="shared" si="17"/>
        <v/>
      </c>
      <c r="I275" s="394" t="str">
        <f t="shared" si="18"/>
        <v/>
      </c>
      <c r="J275" s="394" t="str">
        <f t="shared" si="19"/>
        <v/>
      </c>
      <c r="K275" s="394" t="str">
        <f t="shared" si="20"/>
        <v/>
      </c>
      <c r="O275" s="370">
        <v>254</v>
      </c>
      <c r="P275" t="s">
        <v>1164</v>
      </c>
      <c r="Q275" s="5">
        <v>19.25</v>
      </c>
      <c r="S275" s="1" t="str">
        <v/>
      </c>
    </row>
    <row r="276" spans="1:19" x14ac:dyDescent="0.25">
      <c r="A276" s="370" t="str">
        <v/>
      </c>
      <c r="H276" s="394" t="str">
        <f t="shared" si="17"/>
        <v/>
      </c>
      <c r="I276" s="394" t="str">
        <f t="shared" si="18"/>
        <v/>
      </c>
      <c r="J276" s="394" t="str">
        <f t="shared" si="19"/>
        <v/>
      </c>
      <c r="K276" s="394" t="str">
        <f t="shared" si="20"/>
        <v/>
      </c>
      <c r="O276" s="370">
        <v>255</v>
      </c>
      <c r="P276" t="s">
        <v>1165</v>
      </c>
      <c r="Q276" s="5">
        <v>24.2</v>
      </c>
      <c r="S276" s="1" t="str">
        <v/>
      </c>
    </row>
    <row r="277" spans="1:19" x14ac:dyDescent="0.25">
      <c r="A277" s="370" t="str">
        <v/>
      </c>
      <c r="H277" s="394" t="str">
        <f t="shared" si="17"/>
        <v/>
      </c>
      <c r="I277" s="394" t="str">
        <f t="shared" si="18"/>
        <v/>
      </c>
      <c r="J277" s="394" t="str">
        <f t="shared" si="19"/>
        <v/>
      </c>
      <c r="K277" s="394" t="str">
        <f t="shared" si="20"/>
        <v/>
      </c>
      <c r="O277" s="370">
        <v>256</v>
      </c>
      <c r="P277" t="s">
        <v>1166</v>
      </c>
      <c r="Q277" s="5">
        <v>28.6</v>
      </c>
      <c r="S277" s="1" t="str">
        <v/>
      </c>
    </row>
    <row r="278" spans="1:19" x14ac:dyDescent="0.25">
      <c r="A278" s="370" t="str">
        <v/>
      </c>
      <c r="H278" s="394" t="str">
        <f t="shared" si="17"/>
        <v/>
      </c>
      <c r="I278" s="394" t="str">
        <f t="shared" si="18"/>
        <v/>
      </c>
      <c r="J278" s="394" t="str">
        <f t="shared" si="19"/>
        <v/>
      </c>
      <c r="K278" s="394" t="str">
        <f t="shared" si="20"/>
        <v/>
      </c>
      <c r="O278" s="370">
        <v>257</v>
      </c>
      <c r="P278" t="s">
        <v>1167</v>
      </c>
      <c r="Q278" s="5">
        <v>10.45</v>
      </c>
      <c r="S278" s="1" t="str">
        <v/>
      </c>
    </row>
    <row r="279" spans="1:19" x14ac:dyDescent="0.25">
      <c r="A279" s="370" t="str">
        <v/>
      </c>
      <c r="H279" s="394" t="str">
        <f t="shared" ref="H279:H342" si="21">IF($C279="","",ROUND((($B$2*$F279*($B$5/1000))/$B$6)*(1+IF($B$18="",0,$B$18)),2))</f>
        <v/>
      </c>
      <c r="I279" s="394" t="str">
        <f t="shared" ref="I279:I342" si="22">IF($C279="","",ROUND((($B$3*$F279*($B$5/1000))/$B$6)*(1+IF($B$18="",0,$B$18)),2))</f>
        <v/>
      </c>
      <c r="J279" s="394" t="str">
        <f t="shared" ref="J279:J342" si="23">IF(OR($C279="",$B$9="",$B$15=""),"",ROUND((((((IF($B$15="N/A",$B$2,$B$4))*$F279*($B$5/1000))+((($G279/1000)*($B$5/1000)*10.7639104)*(IF($B$9="Smooth",$B$10,IF($B$9="Sand",$B$11,0)))))*(1+$B$17))/$B$8)*(1+IF($B$18="",0,$B$18)),2))</f>
        <v/>
      </c>
      <c r="K279" s="394" t="str">
        <f t="shared" ref="K279:K342" si="24">IF(OR($C279="",$B$12="",$B$15=""),"",ROUND((((((IF($B$15="N/A",$B$2,$B$4))*$F279*($B$5/1000))+((($G279/1000)*($B$5/1000)*10.7639104)*(IF($B$12="Indoor",$B$13,IF($B$12="Outdoor",$B$14,0)))))*(1+$B$17))/$B$8)*(1+IF($B$18="",0,$B$18)),2))</f>
        <v/>
      </c>
      <c r="O279" s="370">
        <v>258</v>
      </c>
      <c r="P279" t="s">
        <v>1168</v>
      </c>
      <c r="Q279" s="5">
        <v>12.65</v>
      </c>
      <c r="S279" s="1" t="str">
        <v/>
      </c>
    </row>
    <row r="280" spans="1:19" x14ac:dyDescent="0.25">
      <c r="A280" s="370" t="str">
        <v/>
      </c>
      <c r="H280" s="394" t="str">
        <f t="shared" si="21"/>
        <v/>
      </c>
      <c r="I280" s="394" t="str">
        <f t="shared" si="22"/>
        <v/>
      </c>
      <c r="J280" s="394" t="str">
        <f t="shared" si="23"/>
        <v/>
      </c>
      <c r="K280" s="394" t="str">
        <f t="shared" si="24"/>
        <v/>
      </c>
      <c r="O280" s="370">
        <v>259</v>
      </c>
      <c r="P280" t="s">
        <v>1169</v>
      </c>
      <c r="Q280" s="5">
        <v>13.2</v>
      </c>
      <c r="S280" s="1" t="str">
        <v/>
      </c>
    </row>
    <row r="281" spans="1:19" x14ac:dyDescent="0.25">
      <c r="A281" s="370" t="str">
        <v/>
      </c>
      <c r="H281" s="394" t="str">
        <f t="shared" si="21"/>
        <v/>
      </c>
      <c r="I281" s="394" t="str">
        <f t="shared" si="22"/>
        <v/>
      </c>
      <c r="J281" s="394" t="str">
        <f t="shared" si="23"/>
        <v/>
      </c>
      <c r="K281" s="394" t="str">
        <f t="shared" si="24"/>
        <v/>
      </c>
      <c r="O281" s="370">
        <v>260</v>
      </c>
      <c r="P281" t="s">
        <v>1170</v>
      </c>
      <c r="Q281" s="5">
        <v>14.3</v>
      </c>
      <c r="S281" s="1" t="str">
        <v/>
      </c>
    </row>
    <row r="282" spans="1:19" x14ac:dyDescent="0.25">
      <c r="A282" s="370" t="str">
        <v/>
      </c>
      <c r="H282" s="394" t="str">
        <f t="shared" si="21"/>
        <v/>
      </c>
      <c r="I282" s="394" t="str">
        <f t="shared" si="22"/>
        <v/>
      </c>
      <c r="J282" s="394" t="str">
        <f t="shared" si="23"/>
        <v/>
      </c>
      <c r="K282" s="394" t="str">
        <f t="shared" si="24"/>
        <v/>
      </c>
      <c r="O282" s="370">
        <v>261</v>
      </c>
      <c r="P282" t="s">
        <v>1171</v>
      </c>
      <c r="Q282" s="5">
        <v>15.4</v>
      </c>
      <c r="S282" s="1" t="str">
        <v/>
      </c>
    </row>
    <row r="283" spans="1:19" x14ac:dyDescent="0.25">
      <c r="A283" s="370" t="str">
        <v/>
      </c>
      <c r="H283" s="394" t="str">
        <f t="shared" si="21"/>
        <v/>
      </c>
      <c r="I283" s="394" t="str">
        <f t="shared" si="22"/>
        <v/>
      </c>
      <c r="J283" s="394" t="str">
        <f t="shared" si="23"/>
        <v/>
      </c>
      <c r="K283" s="394" t="str">
        <f t="shared" si="24"/>
        <v/>
      </c>
      <c r="O283" s="370">
        <v>262</v>
      </c>
      <c r="P283" t="s">
        <v>1172</v>
      </c>
      <c r="Q283" s="5">
        <v>18.7</v>
      </c>
      <c r="S283" s="1" t="str">
        <v/>
      </c>
    </row>
    <row r="284" spans="1:19" x14ac:dyDescent="0.25">
      <c r="A284" s="370" t="str">
        <v/>
      </c>
      <c r="H284" s="394" t="str">
        <f t="shared" si="21"/>
        <v/>
      </c>
      <c r="I284" s="394" t="str">
        <f t="shared" si="22"/>
        <v/>
      </c>
      <c r="J284" s="394" t="str">
        <f t="shared" si="23"/>
        <v/>
      </c>
      <c r="K284" s="394" t="str">
        <f t="shared" si="24"/>
        <v/>
      </c>
      <c r="O284" s="370">
        <v>263</v>
      </c>
      <c r="P284" t="s">
        <v>1173</v>
      </c>
      <c r="Q284" s="5">
        <v>20.350000000000001</v>
      </c>
      <c r="S284" s="1" t="str">
        <v/>
      </c>
    </row>
    <row r="285" spans="1:19" x14ac:dyDescent="0.25">
      <c r="A285" s="370" t="str">
        <v/>
      </c>
      <c r="H285" s="394" t="str">
        <f t="shared" si="21"/>
        <v/>
      </c>
      <c r="I285" s="394" t="str">
        <f t="shared" si="22"/>
        <v/>
      </c>
      <c r="J285" s="394" t="str">
        <f t="shared" si="23"/>
        <v/>
      </c>
      <c r="K285" s="394" t="str">
        <f t="shared" si="24"/>
        <v/>
      </c>
      <c r="O285" s="370">
        <v>264</v>
      </c>
      <c r="P285" t="s">
        <v>1174</v>
      </c>
      <c r="Q285" s="5">
        <v>25.3</v>
      </c>
      <c r="S285" s="1" t="str">
        <v/>
      </c>
    </row>
    <row r="286" spans="1:19" x14ac:dyDescent="0.25">
      <c r="A286" s="370" t="str">
        <v/>
      </c>
      <c r="H286" s="394" t="str">
        <f t="shared" si="21"/>
        <v/>
      </c>
      <c r="I286" s="394" t="str">
        <f t="shared" si="22"/>
        <v/>
      </c>
      <c r="J286" s="394" t="str">
        <f t="shared" si="23"/>
        <v/>
      </c>
      <c r="K286" s="394" t="str">
        <f t="shared" si="24"/>
        <v/>
      </c>
      <c r="O286" s="370">
        <v>265</v>
      </c>
      <c r="P286" t="s">
        <v>1175</v>
      </c>
      <c r="Q286" s="5">
        <v>29.7</v>
      </c>
      <c r="S286" s="1" t="str">
        <v/>
      </c>
    </row>
    <row r="287" spans="1:19" x14ac:dyDescent="0.25">
      <c r="A287" s="370" t="str">
        <v/>
      </c>
      <c r="H287" s="394" t="str">
        <f t="shared" si="21"/>
        <v/>
      </c>
      <c r="I287" s="394" t="str">
        <f t="shared" si="22"/>
        <v/>
      </c>
      <c r="J287" s="394" t="str">
        <f t="shared" si="23"/>
        <v/>
      </c>
      <c r="K287" s="394" t="str">
        <f t="shared" si="24"/>
        <v/>
      </c>
      <c r="O287" s="370">
        <v>266</v>
      </c>
      <c r="P287" t="s">
        <v>1176</v>
      </c>
      <c r="Q287" s="5">
        <v>12.65</v>
      </c>
      <c r="S287" s="1" t="str">
        <v/>
      </c>
    </row>
    <row r="288" spans="1:19" x14ac:dyDescent="0.25">
      <c r="A288" s="370" t="str">
        <v/>
      </c>
      <c r="H288" s="394" t="str">
        <f t="shared" si="21"/>
        <v/>
      </c>
      <c r="I288" s="394" t="str">
        <f t="shared" si="22"/>
        <v/>
      </c>
      <c r="J288" s="394" t="str">
        <f t="shared" si="23"/>
        <v/>
      </c>
      <c r="K288" s="394" t="str">
        <f t="shared" si="24"/>
        <v/>
      </c>
      <c r="O288" s="370">
        <v>267</v>
      </c>
      <c r="P288" t="s">
        <v>1177</v>
      </c>
      <c r="Q288" s="5">
        <v>14.85</v>
      </c>
      <c r="S288" s="1" t="str">
        <v/>
      </c>
    </row>
    <row r="289" spans="1:19" x14ac:dyDescent="0.25">
      <c r="A289" s="370" t="str">
        <v/>
      </c>
      <c r="H289" s="394" t="str">
        <f t="shared" si="21"/>
        <v/>
      </c>
      <c r="I289" s="394" t="str">
        <f t="shared" si="22"/>
        <v/>
      </c>
      <c r="J289" s="394" t="str">
        <f t="shared" si="23"/>
        <v/>
      </c>
      <c r="K289" s="394" t="str">
        <f t="shared" si="24"/>
        <v/>
      </c>
      <c r="O289" s="370">
        <v>268</v>
      </c>
      <c r="P289" t="s">
        <v>1178</v>
      </c>
      <c r="Q289" s="5">
        <v>15.4</v>
      </c>
      <c r="S289" s="1" t="str">
        <v/>
      </c>
    </row>
    <row r="290" spans="1:19" x14ac:dyDescent="0.25">
      <c r="A290" s="370" t="str">
        <v/>
      </c>
      <c r="H290" s="394" t="str">
        <f t="shared" si="21"/>
        <v/>
      </c>
      <c r="I290" s="394" t="str">
        <f t="shared" si="22"/>
        <v/>
      </c>
      <c r="J290" s="394" t="str">
        <f t="shared" si="23"/>
        <v/>
      </c>
      <c r="K290" s="394" t="str">
        <f t="shared" si="24"/>
        <v/>
      </c>
      <c r="O290" s="370">
        <v>269</v>
      </c>
      <c r="P290" t="s">
        <v>1179</v>
      </c>
      <c r="Q290" s="5">
        <v>16.5</v>
      </c>
      <c r="S290" s="1" t="str">
        <v/>
      </c>
    </row>
    <row r="291" spans="1:19" x14ac:dyDescent="0.25">
      <c r="A291" s="370" t="str">
        <v/>
      </c>
      <c r="H291" s="394" t="str">
        <f t="shared" si="21"/>
        <v/>
      </c>
      <c r="I291" s="394" t="str">
        <f t="shared" si="22"/>
        <v/>
      </c>
      <c r="J291" s="394" t="str">
        <f t="shared" si="23"/>
        <v/>
      </c>
      <c r="K291" s="394" t="str">
        <f t="shared" si="24"/>
        <v/>
      </c>
      <c r="O291" s="370">
        <v>270</v>
      </c>
      <c r="P291" t="s">
        <v>1180</v>
      </c>
      <c r="Q291" s="5">
        <v>17.600000000000001</v>
      </c>
      <c r="S291" s="1" t="str">
        <v/>
      </c>
    </row>
    <row r="292" spans="1:19" x14ac:dyDescent="0.25">
      <c r="A292" s="370" t="str">
        <v/>
      </c>
      <c r="H292" s="394" t="str">
        <f t="shared" si="21"/>
        <v/>
      </c>
      <c r="I292" s="394" t="str">
        <f t="shared" si="22"/>
        <v/>
      </c>
      <c r="J292" s="394" t="str">
        <f t="shared" si="23"/>
        <v/>
      </c>
      <c r="K292" s="394" t="str">
        <f t="shared" si="24"/>
        <v/>
      </c>
      <c r="O292" s="370">
        <v>271</v>
      </c>
      <c r="P292" t="s">
        <v>1181</v>
      </c>
      <c r="Q292" s="5">
        <v>20.9</v>
      </c>
      <c r="S292" s="1" t="str">
        <v/>
      </c>
    </row>
    <row r="293" spans="1:19" x14ac:dyDescent="0.25">
      <c r="A293" s="370" t="str">
        <v/>
      </c>
      <c r="H293" s="394" t="str">
        <f t="shared" si="21"/>
        <v/>
      </c>
      <c r="I293" s="394" t="str">
        <f t="shared" si="22"/>
        <v/>
      </c>
      <c r="J293" s="394" t="str">
        <f t="shared" si="23"/>
        <v/>
      </c>
      <c r="K293" s="394" t="str">
        <f t="shared" si="24"/>
        <v/>
      </c>
      <c r="O293" s="370">
        <v>272</v>
      </c>
      <c r="P293" t="s">
        <v>1182</v>
      </c>
      <c r="Q293" s="5">
        <v>22.55</v>
      </c>
      <c r="S293" s="1" t="str">
        <v/>
      </c>
    </row>
    <row r="294" spans="1:19" x14ac:dyDescent="0.25">
      <c r="A294" s="370" t="str">
        <v/>
      </c>
      <c r="H294" s="394" t="str">
        <f t="shared" si="21"/>
        <v/>
      </c>
      <c r="I294" s="394" t="str">
        <f t="shared" si="22"/>
        <v/>
      </c>
      <c r="J294" s="394" t="str">
        <f t="shared" si="23"/>
        <v/>
      </c>
      <c r="K294" s="394" t="str">
        <f t="shared" si="24"/>
        <v/>
      </c>
      <c r="O294" s="370">
        <v>273</v>
      </c>
      <c r="P294" t="s">
        <v>1183</v>
      </c>
      <c r="Q294" s="5">
        <v>27.5</v>
      </c>
      <c r="S294" s="1" t="str">
        <v/>
      </c>
    </row>
    <row r="295" spans="1:19" x14ac:dyDescent="0.25">
      <c r="A295" s="370" t="str">
        <v/>
      </c>
      <c r="H295" s="394" t="str">
        <f t="shared" si="21"/>
        <v/>
      </c>
      <c r="I295" s="394" t="str">
        <f t="shared" si="22"/>
        <v/>
      </c>
      <c r="J295" s="394" t="str">
        <f t="shared" si="23"/>
        <v/>
      </c>
      <c r="K295" s="394" t="str">
        <f t="shared" si="24"/>
        <v/>
      </c>
      <c r="O295" s="370">
        <v>274</v>
      </c>
      <c r="P295" t="s">
        <v>1184</v>
      </c>
      <c r="Q295" s="5">
        <v>31.9</v>
      </c>
      <c r="S295" s="1" t="str">
        <v/>
      </c>
    </row>
    <row r="296" spans="1:19" x14ac:dyDescent="0.25">
      <c r="A296" s="370" t="str">
        <v/>
      </c>
      <c r="H296" s="394" t="str">
        <f t="shared" si="21"/>
        <v/>
      </c>
      <c r="I296" s="394" t="str">
        <f t="shared" si="22"/>
        <v/>
      </c>
      <c r="J296" s="394" t="str">
        <f t="shared" si="23"/>
        <v/>
      </c>
      <c r="K296" s="394" t="str">
        <f t="shared" si="24"/>
        <v/>
      </c>
      <c r="O296" s="370">
        <v>275</v>
      </c>
      <c r="P296" t="s">
        <v>1225</v>
      </c>
      <c r="Q296" s="5">
        <v>8.25</v>
      </c>
      <c r="S296" s="1" t="str">
        <v/>
      </c>
    </row>
    <row r="297" spans="1:19" x14ac:dyDescent="0.25">
      <c r="A297" s="370" t="str">
        <v/>
      </c>
      <c r="H297" s="394" t="str">
        <f t="shared" si="21"/>
        <v/>
      </c>
      <c r="I297" s="394" t="str">
        <f t="shared" si="22"/>
        <v/>
      </c>
      <c r="J297" s="394" t="str">
        <f t="shared" si="23"/>
        <v/>
      </c>
      <c r="K297" s="394" t="str">
        <f t="shared" si="24"/>
        <v/>
      </c>
      <c r="O297" s="370">
        <v>276</v>
      </c>
      <c r="P297" t="s">
        <v>1226</v>
      </c>
      <c r="Q297" s="5">
        <v>10.45</v>
      </c>
      <c r="S297" s="1" t="str">
        <v/>
      </c>
    </row>
    <row r="298" spans="1:19" x14ac:dyDescent="0.25">
      <c r="A298" s="370" t="str">
        <v/>
      </c>
      <c r="H298" s="394" t="str">
        <f t="shared" si="21"/>
        <v/>
      </c>
      <c r="I298" s="394" t="str">
        <f t="shared" si="22"/>
        <v/>
      </c>
      <c r="J298" s="394" t="str">
        <f t="shared" si="23"/>
        <v/>
      </c>
      <c r="K298" s="394" t="str">
        <f t="shared" si="24"/>
        <v/>
      </c>
      <c r="O298" s="370">
        <v>277</v>
      </c>
      <c r="P298" t="s">
        <v>1227</v>
      </c>
      <c r="Q298" s="5">
        <v>11</v>
      </c>
      <c r="S298" s="1" t="str">
        <v/>
      </c>
    </row>
    <row r="299" spans="1:19" x14ac:dyDescent="0.25">
      <c r="A299" s="370" t="str">
        <v/>
      </c>
      <c r="H299" s="394" t="str">
        <f t="shared" si="21"/>
        <v/>
      </c>
      <c r="I299" s="394" t="str">
        <f t="shared" si="22"/>
        <v/>
      </c>
      <c r="J299" s="394" t="str">
        <f t="shared" si="23"/>
        <v/>
      </c>
      <c r="K299" s="394" t="str">
        <f t="shared" si="24"/>
        <v/>
      </c>
      <c r="O299" s="370">
        <v>278</v>
      </c>
      <c r="P299" t="s">
        <v>1228</v>
      </c>
      <c r="Q299" s="5">
        <v>12.1</v>
      </c>
      <c r="S299" s="1" t="str">
        <v/>
      </c>
    </row>
    <row r="300" spans="1:19" x14ac:dyDescent="0.25">
      <c r="A300" s="370" t="str">
        <v/>
      </c>
      <c r="H300" s="394" t="str">
        <f t="shared" si="21"/>
        <v/>
      </c>
      <c r="I300" s="394" t="str">
        <f t="shared" si="22"/>
        <v/>
      </c>
      <c r="J300" s="394" t="str">
        <f t="shared" si="23"/>
        <v/>
      </c>
      <c r="K300" s="394" t="str">
        <f t="shared" si="24"/>
        <v/>
      </c>
      <c r="O300" s="370">
        <v>279</v>
      </c>
      <c r="P300" t="s">
        <v>1229</v>
      </c>
      <c r="Q300" s="5">
        <v>13.2</v>
      </c>
      <c r="S300" s="1" t="str">
        <v/>
      </c>
    </row>
    <row r="301" spans="1:19" x14ac:dyDescent="0.25">
      <c r="A301" s="370" t="str">
        <v/>
      </c>
      <c r="H301" s="394" t="str">
        <f t="shared" si="21"/>
        <v/>
      </c>
      <c r="I301" s="394" t="str">
        <f t="shared" si="22"/>
        <v/>
      </c>
      <c r="J301" s="394" t="str">
        <f t="shared" si="23"/>
        <v/>
      </c>
      <c r="K301" s="394" t="str">
        <f t="shared" si="24"/>
        <v/>
      </c>
      <c r="O301" s="370">
        <v>280</v>
      </c>
      <c r="P301" t="s">
        <v>1230</v>
      </c>
      <c r="Q301" s="5">
        <v>16.5</v>
      </c>
      <c r="S301" s="1" t="str">
        <v/>
      </c>
    </row>
    <row r="302" spans="1:19" x14ac:dyDescent="0.25">
      <c r="A302" s="370" t="str">
        <v/>
      </c>
      <c r="H302" s="394" t="str">
        <f t="shared" si="21"/>
        <v/>
      </c>
      <c r="I302" s="394" t="str">
        <f t="shared" si="22"/>
        <v/>
      </c>
      <c r="J302" s="394" t="str">
        <f t="shared" si="23"/>
        <v/>
      </c>
      <c r="K302" s="394" t="str">
        <f t="shared" si="24"/>
        <v/>
      </c>
      <c r="O302" s="370">
        <v>281</v>
      </c>
      <c r="P302" t="s">
        <v>1231</v>
      </c>
      <c r="Q302" s="5">
        <v>18.149999999999999</v>
      </c>
      <c r="S302" s="1" t="str">
        <v/>
      </c>
    </row>
    <row r="303" spans="1:19" x14ac:dyDescent="0.25">
      <c r="A303" s="370" t="str">
        <v/>
      </c>
      <c r="H303" s="394" t="str">
        <f t="shared" si="21"/>
        <v/>
      </c>
      <c r="I303" s="394" t="str">
        <f t="shared" si="22"/>
        <v/>
      </c>
      <c r="J303" s="394" t="str">
        <f t="shared" si="23"/>
        <v/>
      </c>
      <c r="K303" s="394" t="str">
        <f t="shared" si="24"/>
        <v/>
      </c>
      <c r="O303" s="370">
        <v>282</v>
      </c>
      <c r="P303" t="s">
        <v>1232</v>
      </c>
      <c r="Q303" s="5">
        <v>23.1</v>
      </c>
      <c r="S303" s="1" t="str">
        <v/>
      </c>
    </row>
    <row r="304" spans="1:19" x14ac:dyDescent="0.25">
      <c r="A304" s="370" t="str">
        <v/>
      </c>
      <c r="H304" s="394" t="str">
        <f t="shared" si="21"/>
        <v/>
      </c>
      <c r="I304" s="394" t="str">
        <f t="shared" si="22"/>
        <v/>
      </c>
      <c r="J304" s="394" t="str">
        <f t="shared" si="23"/>
        <v/>
      </c>
      <c r="K304" s="394" t="str">
        <f t="shared" si="24"/>
        <v/>
      </c>
      <c r="O304" s="370">
        <v>283</v>
      </c>
      <c r="P304" t="s">
        <v>1233</v>
      </c>
      <c r="Q304" s="5">
        <v>27.5</v>
      </c>
      <c r="S304" s="1" t="str">
        <v/>
      </c>
    </row>
    <row r="305" spans="1:19" x14ac:dyDescent="0.25">
      <c r="A305" s="370" t="str">
        <v/>
      </c>
      <c r="H305" s="394" t="str">
        <f t="shared" si="21"/>
        <v/>
      </c>
      <c r="I305" s="394" t="str">
        <f t="shared" si="22"/>
        <v/>
      </c>
      <c r="J305" s="394" t="str">
        <f t="shared" si="23"/>
        <v/>
      </c>
      <c r="K305" s="394" t="str">
        <f t="shared" si="24"/>
        <v/>
      </c>
      <c r="O305" s="370">
        <v>284</v>
      </c>
      <c r="P305" t="s">
        <v>1234</v>
      </c>
      <c r="Q305" s="5">
        <v>9.35</v>
      </c>
      <c r="S305" s="1" t="str">
        <v/>
      </c>
    </row>
    <row r="306" spans="1:19" x14ac:dyDescent="0.25">
      <c r="A306" s="370" t="str">
        <v/>
      </c>
      <c r="H306" s="394" t="str">
        <f t="shared" si="21"/>
        <v/>
      </c>
      <c r="I306" s="394" t="str">
        <f t="shared" si="22"/>
        <v/>
      </c>
      <c r="J306" s="394" t="str">
        <f t="shared" si="23"/>
        <v/>
      </c>
      <c r="K306" s="394" t="str">
        <f t="shared" si="24"/>
        <v/>
      </c>
      <c r="O306" s="370">
        <v>285</v>
      </c>
      <c r="P306" t="s">
        <v>1235</v>
      </c>
      <c r="Q306" s="5">
        <v>11.55</v>
      </c>
      <c r="S306" s="1" t="str">
        <v/>
      </c>
    </row>
    <row r="307" spans="1:19" x14ac:dyDescent="0.25">
      <c r="A307" s="370" t="str">
        <v/>
      </c>
      <c r="H307" s="394" t="str">
        <f t="shared" si="21"/>
        <v/>
      </c>
      <c r="I307" s="394" t="str">
        <f t="shared" si="22"/>
        <v/>
      </c>
      <c r="J307" s="394" t="str">
        <f t="shared" si="23"/>
        <v/>
      </c>
      <c r="K307" s="394" t="str">
        <f t="shared" si="24"/>
        <v/>
      </c>
      <c r="O307" s="370">
        <v>286</v>
      </c>
      <c r="P307" t="s">
        <v>1236</v>
      </c>
      <c r="Q307" s="5">
        <v>12.1</v>
      </c>
      <c r="S307" s="1" t="str">
        <v/>
      </c>
    </row>
    <row r="308" spans="1:19" x14ac:dyDescent="0.25">
      <c r="A308" s="370" t="str">
        <v/>
      </c>
      <c r="H308" s="394" t="str">
        <f t="shared" si="21"/>
        <v/>
      </c>
      <c r="I308" s="394" t="str">
        <f t="shared" si="22"/>
        <v/>
      </c>
      <c r="J308" s="394" t="str">
        <f t="shared" si="23"/>
        <v/>
      </c>
      <c r="K308" s="394" t="str">
        <f t="shared" si="24"/>
        <v/>
      </c>
      <c r="O308" s="370">
        <v>287</v>
      </c>
      <c r="P308" t="s">
        <v>1237</v>
      </c>
      <c r="Q308" s="5">
        <v>13.2</v>
      </c>
      <c r="S308" s="1" t="str">
        <v/>
      </c>
    </row>
    <row r="309" spans="1:19" x14ac:dyDescent="0.25">
      <c r="A309" s="370" t="str">
        <v/>
      </c>
      <c r="H309" s="394" t="str">
        <f t="shared" si="21"/>
        <v/>
      </c>
      <c r="I309" s="394" t="str">
        <f t="shared" si="22"/>
        <v/>
      </c>
      <c r="J309" s="394" t="str">
        <f t="shared" si="23"/>
        <v/>
      </c>
      <c r="K309" s="394" t="str">
        <f t="shared" si="24"/>
        <v/>
      </c>
      <c r="O309" s="370">
        <v>288</v>
      </c>
      <c r="P309" t="s">
        <v>1238</v>
      </c>
      <c r="Q309" s="5">
        <v>14.3</v>
      </c>
      <c r="S309" s="1" t="str">
        <v/>
      </c>
    </row>
    <row r="310" spans="1:19" x14ac:dyDescent="0.25">
      <c r="A310" s="370" t="str">
        <v/>
      </c>
      <c r="H310" s="394" t="str">
        <f t="shared" si="21"/>
        <v/>
      </c>
      <c r="I310" s="394" t="str">
        <f t="shared" si="22"/>
        <v/>
      </c>
      <c r="J310" s="394" t="str">
        <f t="shared" si="23"/>
        <v/>
      </c>
      <c r="K310" s="394" t="str">
        <f t="shared" si="24"/>
        <v/>
      </c>
      <c r="O310" s="370">
        <v>289</v>
      </c>
      <c r="P310" t="s">
        <v>1239</v>
      </c>
      <c r="Q310" s="5">
        <v>17.600000000000001</v>
      </c>
      <c r="S310" s="1" t="str">
        <v/>
      </c>
    </row>
    <row r="311" spans="1:19" x14ac:dyDescent="0.25">
      <c r="A311" s="370" t="str">
        <v/>
      </c>
      <c r="H311" s="394" t="str">
        <f t="shared" si="21"/>
        <v/>
      </c>
      <c r="I311" s="394" t="str">
        <f t="shared" si="22"/>
        <v/>
      </c>
      <c r="J311" s="394" t="str">
        <f t="shared" si="23"/>
        <v/>
      </c>
      <c r="K311" s="394" t="str">
        <f t="shared" si="24"/>
        <v/>
      </c>
      <c r="O311" s="370">
        <v>290</v>
      </c>
      <c r="P311" t="s">
        <v>1240</v>
      </c>
      <c r="Q311" s="5">
        <v>19.25</v>
      </c>
      <c r="S311" s="1" t="str">
        <v/>
      </c>
    </row>
    <row r="312" spans="1:19" x14ac:dyDescent="0.25">
      <c r="A312" s="370" t="str">
        <v/>
      </c>
      <c r="H312" s="394" t="str">
        <f t="shared" si="21"/>
        <v/>
      </c>
      <c r="I312" s="394" t="str">
        <f t="shared" si="22"/>
        <v/>
      </c>
      <c r="J312" s="394" t="str">
        <f t="shared" si="23"/>
        <v/>
      </c>
      <c r="K312" s="394" t="str">
        <f t="shared" si="24"/>
        <v/>
      </c>
      <c r="O312" s="370">
        <v>291</v>
      </c>
      <c r="P312" t="s">
        <v>1241</v>
      </c>
      <c r="Q312" s="5">
        <v>24.2</v>
      </c>
      <c r="S312" s="1" t="str">
        <v/>
      </c>
    </row>
    <row r="313" spans="1:19" x14ac:dyDescent="0.25">
      <c r="A313" s="370" t="str">
        <v/>
      </c>
      <c r="H313" s="394" t="str">
        <f t="shared" si="21"/>
        <v/>
      </c>
      <c r="I313" s="394" t="str">
        <f t="shared" si="22"/>
        <v/>
      </c>
      <c r="J313" s="394" t="str">
        <f t="shared" si="23"/>
        <v/>
      </c>
      <c r="K313" s="394" t="str">
        <f t="shared" si="24"/>
        <v/>
      </c>
      <c r="O313" s="370">
        <v>292</v>
      </c>
      <c r="P313" t="s">
        <v>1242</v>
      </c>
      <c r="Q313" s="5">
        <v>28.6</v>
      </c>
      <c r="S313" s="1" t="str">
        <v/>
      </c>
    </row>
    <row r="314" spans="1:19" x14ac:dyDescent="0.25">
      <c r="A314" s="370" t="str">
        <v/>
      </c>
      <c r="H314" s="394" t="str">
        <f t="shared" si="21"/>
        <v/>
      </c>
      <c r="I314" s="394" t="str">
        <f t="shared" si="22"/>
        <v/>
      </c>
      <c r="J314" s="394" t="str">
        <f t="shared" si="23"/>
        <v/>
      </c>
      <c r="K314" s="394" t="str">
        <f t="shared" si="24"/>
        <v/>
      </c>
      <c r="O314" s="370">
        <v>293</v>
      </c>
      <c r="P314" t="s">
        <v>1243</v>
      </c>
      <c r="Q314" s="5">
        <v>10.45</v>
      </c>
      <c r="S314" s="1" t="str">
        <v/>
      </c>
    </row>
    <row r="315" spans="1:19" x14ac:dyDescent="0.25">
      <c r="A315" s="370" t="str">
        <v/>
      </c>
      <c r="H315" s="394" t="str">
        <f t="shared" si="21"/>
        <v/>
      </c>
      <c r="I315" s="394" t="str">
        <f t="shared" si="22"/>
        <v/>
      </c>
      <c r="J315" s="394" t="str">
        <f t="shared" si="23"/>
        <v/>
      </c>
      <c r="K315" s="394" t="str">
        <f t="shared" si="24"/>
        <v/>
      </c>
      <c r="O315" s="370">
        <v>294</v>
      </c>
      <c r="P315" t="s">
        <v>1244</v>
      </c>
      <c r="Q315" s="5">
        <v>12.65</v>
      </c>
      <c r="S315" s="1" t="str">
        <v/>
      </c>
    </row>
    <row r="316" spans="1:19" x14ac:dyDescent="0.25">
      <c r="A316" s="370" t="str">
        <v/>
      </c>
      <c r="H316" s="394" t="str">
        <f t="shared" si="21"/>
        <v/>
      </c>
      <c r="I316" s="394" t="str">
        <f t="shared" si="22"/>
        <v/>
      </c>
      <c r="J316" s="394" t="str">
        <f t="shared" si="23"/>
        <v/>
      </c>
      <c r="K316" s="394" t="str">
        <f t="shared" si="24"/>
        <v/>
      </c>
      <c r="O316" s="370">
        <v>295</v>
      </c>
      <c r="P316" t="s">
        <v>1245</v>
      </c>
      <c r="Q316" s="5">
        <v>13.2</v>
      </c>
      <c r="S316" s="1" t="str">
        <v/>
      </c>
    </row>
    <row r="317" spans="1:19" x14ac:dyDescent="0.25">
      <c r="A317" s="370" t="str">
        <v/>
      </c>
      <c r="H317" s="394" t="str">
        <f t="shared" si="21"/>
        <v/>
      </c>
      <c r="I317" s="394" t="str">
        <f t="shared" si="22"/>
        <v/>
      </c>
      <c r="J317" s="394" t="str">
        <f t="shared" si="23"/>
        <v/>
      </c>
      <c r="K317" s="394" t="str">
        <f t="shared" si="24"/>
        <v/>
      </c>
      <c r="O317" s="370">
        <v>296</v>
      </c>
      <c r="P317" t="s">
        <v>1246</v>
      </c>
      <c r="Q317" s="5">
        <v>14.3</v>
      </c>
      <c r="S317" s="1" t="str">
        <v/>
      </c>
    </row>
    <row r="318" spans="1:19" x14ac:dyDescent="0.25">
      <c r="A318" s="370" t="str">
        <v/>
      </c>
      <c r="H318" s="394" t="str">
        <f t="shared" si="21"/>
        <v/>
      </c>
      <c r="I318" s="394" t="str">
        <f t="shared" si="22"/>
        <v/>
      </c>
      <c r="J318" s="394" t="str">
        <f t="shared" si="23"/>
        <v/>
      </c>
      <c r="K318" s="394" t="str">
        <f t="shared" si="24"/>
        <v/>
      </c>
      <c r="O318" s="370">
        <v>297</v>
      </c>
      <c r="P318" t="s">
        <v>1247</v>
      </c>
      <c r="Q318" s="5">
        <v>15.4</v>
      </c>
      <c r="S318" s="1" t="str">
        <v/>
      </c>
    </row>
    <row r="319" spans="1:19" x14ac:dyDescent="0.25">
      <c r="A319" s="370" t="str">
        <v/>
      </c>
      <c r="H319" s="394" t="str">
        <f t="shared" si="21"/>
        <v/>
      </c>
      <c r="I319" s="394" t="str">
        <f t="shared" si="22"/>
        <v/>
      </c>
      <c r="J319" s="394" t="str">
        <f t="shared" si="23"/>
        <v/>
      </c>
      <c r="K319" s="394" t="str">
        <f t="shared" si="24"/>
        <v/>
      </c>
      <c r="O319" s="370">
        <v>298</v>
      </c>
      <c r="P319" t="s">
        <v>1248</v>
      </c>
      <c r="Q319" s="5">
        <v>18.7</v>
      </c>
      <c r="S319" s="1" t="str">
        <v/>
      </c>
    </row>
    <row r="320" spans="1:19" x14ac:dyDescent="0.25">
      <c r="A320" s="370" t="str">
        <v/>
      </c>
      <c r="H320" s="394" t="str">
        <f t="shared" si="21"/>
        <v/>
      </c>
      <c r="I320" s="394" t="str">
        <f t="shared" si="22"/>
        <v/>
      </c>
      <c r="J320" s="394" t="str">
        <f t="shared" si="23"/>
        <v/>
      </c>
      <c r="K320" s="394" t="str">
        <f t="shared" si="24"/>
        <v/>
      </c>
      <c r="O320" s="370">
        <v>299</v>
      </c>
      <c r="P320" t="s">
        <v>1249</v>
      </c>
      <c r="Q320" s="5">
        <v>20.350000000000001</v>
      </c>
      <c r="S320" s="1" t="str">
        <v/>
      </c>
    </row>
    <row r="321" spans="1:19" x14ac:dyDescent="0.25">
      <c r="A321" s="370" t="str">
        <v/>
      </c>
      <c r="H321" s="394" t="str">
        <f t="shared" si="21"/>
        <v/>
      </c>
      <c r="I321" s="394" t="str">
        <f t="shared" si="22"/>
        <v/>
      </c>
      <c r="J321" s="394" t="str">
        <f t="shared" si="23"/>
        <v/>
      </c>
      <c r="K321" s="394" t="str">
        <f t="shared" si="24"/>
        <v/>
      </c>
      <c r="O321" s="370">
        <v>300</v>
      </c>
      <c r="P321" t="s">
        <v>1250</v>
      </c>
      <c r="Q321" s="5">
        <v>25.3</v>
      </c>
      <c r="S321" s="1" t="str">
        <v/>
      </c>
    </row>
    <row r="322" spans="1:19" x14ac:dyDescent="0.25">
      <c r="A322" s="370" t="str">
        <v/>
      </c>
      <c r="H322" s="394" t="str">
        <f t="shared" si="21"/>
        <v/>
      </c>
      <c r="I322" s="394" t="str">
        <f t="shared" si="22"/>
        <v/>
      </c>
      <c r="J322" s="394" t="str">
        <f t="shared" si="23"/>
        <v/>
      </c>
      <c r="K322" s="394" t="str">
        <f t="shared" si="24"/>
        <v/>
      </c>
      <c r="O322" s="370">
        <v>301</v>
      </c>
      <c r="P322" t="s">
        <v>1251</v>
      </c>
      <c r="Q322" s="5">
        <v>29.7</v>
      </c>
      <c r="S322" s="1" t="str">
        <v/>
      </c>
    </row>
    <row r="323" spans="1:19" x14ac:dyDescent="0.25">
      <c r="A323" s="370" t="str">
        <v/>
      </c>
      <c r="H323" s="394" t="str">
        <f t="shared" si="21"/>
        <v/>
      </c>
      <c r="I323" s="394" t="str">
        <f t="shared" si="22"/>
        <v/>
      </c>
      <c r="J323" s="394" t="str">
        <f t="shared" si="23"/>
        <v/>
      </c>
      <c r="K323" s="394" t="str">
        <f t="shared" si="24"/>
        <v/>
      </c>
      <c r="O323" s="370">
        <v>302</v>
      </c>
      <c r="P323" t="s">
        <v>1252</v>
      </c>
      <c r="Q323" s="5">
        <v>12.65</v>
      </c>
      <c r="S323" s="1" t="str">
        <v/>
      </c>
    </row>
    <row r="324" spans="1:19" x14ac:dyDescent="0.25">
      <c r="A324" s="370" t="str">
        <v/>
      </c>
      <c r="H324" s="394" t="str">
        <f t="shared" si="21"/>
        <v/>
      </c>
      <c r="I324" s="394" t="str">
        <f t="shared" si="22"/>
        <v/>
      </c>
      <c r="J324" s="394" t="str">
        <f t="shared" si="23"/>
        <v/>
      </c>
      <c r="K324" s="394" t="str">
        <f t="shared" si="24"/>
        <v/>
      </c>
      <c r="O324" s="370">
        <v>303</v>
      </c>
      <c r="P324" t="s">
        <v>1253</v>
      </c>
      <c r="Q324" s="5">
        <v>14.85</v>
      </c>
      <c r="S324" s="1" t="str">
        <v/>
      </c>
    </row>
    <row r="325" spans="1:19" x14ac:dyDescent="0.25">
      <c r="A325" s="370" t="str">
        <v/>
      </c>
      <c r="H325" s="394" t="str">
        <f t="shared" si="21"/>
        <v/>
      </c>
      <c r="I325" s="394" t="str">
        <f t="shared" si="22"/>
        <v/>
      </c>
      <c r="J325" s="394" t="str">
        <f t="shared" si="23"/>
        <v/>
      </c>
      <c r="K325" s="394" t="str">
        <f t="shared" si="24"/>
        <v/>
      </c>
      <c r="O325" s="370">
        <v>304</v>
      </c>
      <c r="P325" t="s">
        <v>1254</v>
      </c>
      <c r="Q325" s="5">
        <v>15.4</v>
      </c>
      <c r="S325" s="1" t="str">
        <v/>
      </c>
    </row>
    <row r="326" spans="1:19" x14ac:dyDescent="0.25">
      <c r="A326" s="370" t="str">
        <v/>
      </c>
      <c r="H326" s="394" t="str">
        <f t="shared" si="21"/>
        <v/>
      </c>
      <c r="I326" s="394" t="str">
        <f t="shared" si="22"/>
        <v/>
      </c>
      <c r="J326" s="394" t="str">
        <f t="shared" si="23"/>
        <v/>
      </c>
      <c r="K326" s="394" t="str">
        <f t="shared" si="24"/>
        <v/>
      </c>
      <c r="O326" s="370">
        <v>305</v>
      </c>
      <c r="P326" t="s">
        <v>1255</v>
      </c>
      <c r="Q326" s="5">
        <v>16.5</v>
      </c>
      <c r="S326" s="1" t="str">
        <v/>
      </c>
    </row>
    <row r="327" spans="1:19" x14ac:dyDescent="0.25">
      <c r="A327" s="370" t="str">
        <v/>
      </c>
      <c r="H327" s="394" t="str">
        <f t="shared" si="21"/>
        <v/>
      </c>
      <c r="I327" s="394" t="str">
        <f t="shared" si="22"/>
        <v/>
      </c>
      <c r="J327" s="394" t="str">
        <f t="shared" si="23"/>
        <v/>
      </c>
      <c r="K327" s="394" t="str">
        <f t="shared" si="24"/>
        <v/>
      </c>
      <c r="O327" s="370">
        <v>306</v>
      </c>
      <c r="P327" t="s">
        <v>1256</v>
      </c>
      <c r="Q327" s="5">
        <v>17.600000000000001</v>
      </c>
      <c r="S327" s="1" t="str">
        <v/>
      </c>
    </row>
    <row r="328" spans="1:19" x14ac:dyDescent="0.25">
      <c r="A328" s="370" t="str">
        <v/>
      </c>
      <c r="H328" s="394" t="str">
        <f t="shared" si="21"/>
        <v/>
      </c>
      <c r="I328" s="394" t="str">
        <f t="shared" si="22"/>
        <v/>
      </c>
      <c r="J328" s="394" t="str">
        <f t="shared" si="23"/>
        <v/>
      </c>
      <c r="K328" s="394" t="str">
        <f t="shared" si="24"/>
        <v/>
      </c>
      <c r="O328" s="370">
        <v>307</v>
      </c>
      <c r="P328" t="s">
        <v>1257</v>
      </c>
      <c r="Q328" s="5">
        <v>20.9</v>
      </c>
      <c r="S328" s="1" t="str">
        <v/>
      </c>
    </row>
    <row r="329" spans="1:19" x14ac:dyDescent="0.25">
      <c r="A329" s="370" t="str">
        <v/>
      </c>
      <c r="H329" s="394" t="str">
        <f t="shared" si="21"/>
        <v/>
      </c>
      <c r="I329" s="394" t="str">
        <f t="shared" si="22"/>
        <v/>
      </c>
      <c r="J329" s="394" t="str">
        <f t="shared" si="23"/>
        <v/>
      </c>
      <c r="K329" s="394" t="str">
        <f t="shared" si="24"/>
        <v/>
      </c>
      <c r="O329" s="370">
        <v>308</v>
      </c>
      <c r="P329" t="s">
        <v>1258</v>
      </c>
      <c r="Q329" s="5">
        <v>22.55</v>
      </c>
      <c r="S329" s="1" t="str">
        <v/>
      </c>
    </row>
    <row r="330" spans="1:19" x14ac:dyDescent="0.25">
      <c r="A330" s="370" t="str">
        <v/>
      </c>
      <c r="H330" s="394" t="str">
        <f t="shared" si="21"/>
        <v/>
      </c>
      <c r="I330" s="394" t="str">
        <f t="shared" si="22"/>
        <v/>
      </c>
      <c r="J330" s="394" t="str">
        <f t="shared" si="23"/>
        <v/>
      </c>
      <c r="K330" s="394" t="str">
        <f t="shared" si="24"/>
        <v/>
      </c>
      <c r="O330" s="370">
        <v>309</v>
      </c>
      <c r="P330" t="s">
        <v>1259</v>
      </c>
      <c r="Q330" s="5">
        <v>27.5</v>
      </c>
      <c r="S330" s="1" t="str">
        <v/>
      </c>
    </row>
    <row r="331" spans="1:19" x14ac:dyDescent="0.25">
      <c r="A331" s="370" t="str">
        <v/>
      </c>
      <c r="H331" s="394" t="str">
        <f t="shared" si="21"/>
        <v/>
      </c>
      <c r="I331" s="394" t="str">
        <f t="shared" si="22"/>
        <v/>
      </c>
      <c r="J331" s="394" t="str">
        <f t="shared" si="23"/>
        <v/>
      </c>
      <c r="K331" s="394" t="str">
        <f t="shared" si="24"/>
        <v/>
      </c>
      <c r="O331" s="370">
        <v>310</v>
      </c>
      <c r="P331" t="s">
        <v>1260</v>
      </c>
      <c r="Q331" s="5">
        <v>31.9</v>
      </c>
      <c r="S331" s="1" t="str">
        <v/>
      </c>
    </row>
    <row r="332" spans="1:19" x14ac:dyDescent="0.25">
      <c r="A332" s="370" t="str">
        <v/>
      </c>
      <c r="H332" s="394" t="str">
        <f t="shared" si="21"/>
        <v/>
      </c>
      <c r="I332" s="394" t="str">
        <f t="shared" si="22"/>
        <v/>
      </c>
      <c r="J332" s="394" t="str">
        <f t="shared" si="23"/>
        <v/>
      </c>
      <c r="K332" s="394" t="str">
        <f t="shared" si="24"/>
        <v/>
      </c>
      <c r="O332" s="370">
        <v>311</v>
      </c>
      <c r="P332" t="s">
        <v>1261</v>
      </c>
      <c r="Q332" s="5">
        <v>23.1</v>
      </c>
      <c r="S332" s="1" t="str">
        <v/>
      </c>
    </row>
    <row r="333" spans="1:19" x14ac:dyDescent="0.25">
      <c r="A333" s="370" t="str">
        <v/>
      </c>
      <c r="H333" s="394" t="str">
        <f t="shared" si="21"/>
        <v/>
      </c>
      <c r="I333" s="394" t="str">
        <f t="shared" si="22"/>
        <v/>
      </c>
      <c r="J333" s="394" t="str">
        <f t="shared" si="23"/>
        <v/>
      </c>
      <c r="K333" s="394" t="str">
        <f t="shared" si="24"/>
        <v/>
      </c>
      <c r="O333" s="370">
        <v>312</v>
      </c>
      <c r="P333" t="s">
        <v>1262</v>
      </c>
      <c r="Q333" s="5">
        <v>24.2</v>
      </c>
      <c r="S333" s="1" t="str">
        <v/>
      </c>
    </row>
    <row r="334" spans="1:19" x14ac:dyDescent="0.25">
      <c r="A334" s="370" t="str">
        <v/>
      </c>
      <c r="H334" s="394" t="str">
        <f t="shared" si="21"/>
        <v/>
      </c>
      <c r="I334" s="394" t="str">
        <f t="shared" si="22"/>
        <v/>
      </c>
      <c r="J334" s="394" t="str">
        <f t="shared" si="23"/>
        <v/>
      </c>
      <c r="K334" s="394" t="str">
        <f t="shared" si="24"/>
        <v/>
      </c>
      <c r="O334" s="370">
        <v>313</v>
      </c>
      <c r="P334" t="s">
        <v>1263</v>
      </c>
      <c r="Q334" s="5">
        <v>25.3</v>
      </c>
      <c r="S334" s="1" t="str">
        <v/>
      </c>
    </row>
    <row r="335" spans="1:19" x14ac:dyDescent="0.25">
      <c r="A335" s="370" t="str">
        <v/>
      </c>
      <c r="H335" s="394" t="str">
        <f t="shared" si="21"/>
        <v/>
      </c>
      <c r="I335" s="394" t="str">
        <f t="shared" si="22"/>
        <v/>
      </c>
      <c r="J335" s="394" t="str">
        <f t="shared" si="23"/>
        <v/>
      </c>
      <c r="K335" s="394" t="str">
        <f t="shared" si="24"/>
        <v/>
      </c>
      <c r="O335" s="370">
        <v>314</v>
      </c>
      <c r="P335" t="s">
        <v>1264</v>
      </c>
      <c r="Q335" s="5">
        <v>28.6</v>
      </c>
      <c r="S335" s="1" t="str">
        <v/>
      </c>
    </row>
    <row r="336" spans="1:19" x14ac:dyDescent="0.25">
      <c r="A336" s="370" t="str">
        <v/>
      </c>
      <c r="H336" s="394" t="str">
        <f t="shared" si="21"/>
        <v/>
      </c>
      <c r="I336" s="394" t="str">
        <f t="shared" si="22"/>
        <v/>
      </c>
      <c r="J336" s="394" t="str">
        <f t="shared" si="23"/>
        <v/>
      </c>
      <c r="K336" s="394" t="str">
        <f t="shared" si="24"/>
        <v/>
      </c>
      <c r="O336" s="370">
        <v>315</v>
      </c>
      <c r="P336" t="s">
        <v>1265</v>
      </c>
      <c r="Q336" s="5">
        <v>30.8</v>
      </c>
      <c r="S336" s="1" t="str">
        <v/>
      </c>
    </row>
    <row r="337" spans="1:19" x14ac:dyDescent="0.25">
      <c r="A337" s="370" t="str">
        <v/>
      </c>
      <c r="H337" s="394" t="str">
        <f t="shared" si="21"/>
        <v/>
      </c>
      <c r="I337" s="394" t="str">
        <f t="shared" si="22"/>
        <v/>
      </c>
      <c r="J337" s="394" t="str">
        <f t="shared" si="23"/>
        <v/>
      </c>
      <c r="K337" s="394" t="str">
        <f t="shared" si="24"/>
        <v/>
      </c>
      <c r="O337" s="370">
        <v>316</v>
      </c>
      <c r="P337" t="s">
        <v>1266</v>
      </c>
      <c r="Q337" s="5">
        <v>33</v>
      </c>
      <c r="S337" s="1" t="str">
        <v/>
      </c>
    </row>
    <row r="338" spans="1:19" x14ac:dyDescent="0.25">
      <c r="A338" s="370" t="str">
        <v/>
      </c>
      <c r="H338" s="394" t="str">
        <f t="shared" si="21"/>
        <v/>
      </c>
      <c r="I338" s="394" t="str">
        <f t="shared" si="22"/>
        <v/>
      </c>
      <c r="J338" s="394" t="str">
        <f t="shared" si="23"/>
        <v/>
      </c>
      <c r="K338" s="394" t="str">
        <f t="shared" si="24"/>
        <v/>
      </c>
      <c r="O338" s="370">
        <v>317</v>
      </c>
      <c r="P338" t="s">
        <v>1267</v>
      </c>
      <c r="Q338" s="5">
        <v>35.200000000000003</v>
      </c>
      <c r="S338" s="1" t="str">
        <v/>
      </c>
    </row>
    <row r="339" spans="1:19" x14ac:dyDescent="0.25">
      <c r="A339" s="370" t="str">
        <v/>
      </c>
      <c r="H339" s="394" t="str">
        <f t="shared" si="21"/>
        <v/>
      </c>
      <c r="I339" s="394" t="str">
        <f t="shared" si="22"/>
        <v/>
      </c>
      <c r="J339" s="394" t="str">
        <f t="shared" si="23"/>
        <v/>
      </c>
      <c r="K339" s="394" t="str">
        <f t="shared" si="24"/>
        <v/>
      </c>
      <c r="O339" s="370">
        <v>318</v>
      </c>
      <c r="P339" t="s">
        <v>1268</v>
      </c>
      <c r="Q339" s="5">
        <v>37.4</v>
      </c>
      <c r="S339" s="1" t="str">
        <v/>
      </c>
    </row>
    <row r="340" spans="1:19" x14ac:dyDescent="0.25">
      <c r="A340" s="370" t="str">
        <v/>
      </c>
      <c r="H340" s="394" t="str">
        <f t="shared" si="21"/>
        <v/>
      </c>
      <c r="I340" s="394" t="str">
        <f t="shared" si="22"/>
        <v/>
      </c>
      <c r="J340" s="394" t="str">
        <f t="shared" si="23"/>
        <v/>
      </c>
      <c r="K340" s="394" t="str">
        <f t="shared" si="24"/>
        <v/>
      </c>
      <c r="O340" s="370">
        <v>319</v>
      </c>
      <c r="P340" t="s">
        <v>1269</v>
      </c>
      <c r="Q340" s="5">
        <v>39.6</v>
      </c>
      <c r="S340" s="1" t="str">
        <v/>
      </c>
    </row>
    <row r="341" spans="1:19" x14ac:dyDescent="0.25">
      <c r="A341" s="370" t="str">
        <v/>
      </c>
      <c r="H341" s="394" t="str">
        <f t="shared" si="21"/>
        <v/>
      </c>
      <c r="I341" s="394" t="str">
        <f t="shared" si="22"/>
        <v/>
      </c>
      <c r="J341" s="394" t="str">
        <f t="shared" si="23"/>
        <v/>
      </c>
      <c r="K341" s="394" t="str">
        <f t="shared" si="24"/>
        <v/>
      </c>
      <c r="O341" s="370">
        <v>320</v>
      </c>
      <c r="P341" t="s">
        <v>1270</v>
      </c>
      <c r="Q341" s="5">
        <v>24.2</v>
      </c>
      <c r="S341" s="1" t="str">
        <v/>
      </c>
    </row>
    <row r="342" spans="1:19" x14ac:dyDescent="0.25">
      <c r="A342" s="370" t="str">
        <v/>
      </c>
      <c r="H342" s="394" t="str">
        <f t="shared" si="21"/>
        <v/>
      </c>
      <c r="I342" s="394" t="str">
        <f t="shared" si="22"/>
        <v/>
      </c>
      <c r="J342" s="394" t="str">
        <f t="shared" si="23"/>
        <v/>
      </c>
      <c r="K342" s="394" t="str">
        <f t="shared" si="24"/>
        <v/>
      </c>
      <c r="O342" s="370">
        <v>321</v>
      </c>
      <c r="P342" t="s">
        <v>1271</v>
      </c>
      <c r="Q342" s="5">
        <v>25.3</v>
      </c>
      <c r="S342" s="1" t="str">
        <v/>
      </c>
    </row>
    <row r="343" spans="1:19" x14ac:dyDescent="0.25">
      <c r="A343" s="370" t="str">
        <v/>
      </c>
      <c r="H343" s="394" t="str">
        <f t="shared" ref="H343:H406" si="25">IF($C343="","",ROUND((($B$2*$F343*($B$5/1000))/$B$6)*(1+IF($B$18="",0,$B$18)),2))</f>
        <v/>
      </c>
      <c r="I343" s="394" t="str">
        <f t="shared" ref="I343:I406" si="26">IF($C343="","",ROUND((($B$3*$F343*($B$5/1000))/$B$6)*(1+IF($B$18="",0,$B$18)),2))</f>
        <v/>
      </c>
      <c r="J343" s="394" t="str">
        <f t="shared" ref="J343:J406" si="27">IF(OR($C343="",$B$9="",$B$15=""),"",ROUND((((((IF($B$15="N/A",$B$2,$B$4))*$F343*($B$5/1000))+((($G343/1000)*($B$5/1000)*10.7639104)*(IF($B$9="Smooth",$B$10,IF($B$9="Sand",$B$11,0)))))*(1+$B$17))/$B$8)*(1+IF($B$18="",0,$B$18)),2))</f>
        <v/>
      </c>
      <c r="K343" s="394" t="str">
        <f t="shared" ref="K343:K406" si="28">IF(OR($C343="",$B$12="",$B$15=""),"",ROUND((((((IF($B$15="N/A",$B$2,$B$4))*$F343*($B$5/1000))+((($G343/1000)*($B$5/1000)*10.7639104)*(IF($B$12="Indoor",$B$13,IF($B$12="Outdoor",$B$14,0)))))*(1+$B$17))/$B$8)*(1+IF($B$18="",0,$B$18)),2))</f>
        <v/>
      </c>
      <c r="O343" s="370">
        <v>322</v>
      </c>
      <c r="P343" t="s">
        <v>1272</v>
      </c>
      <c r="Q343" s="5">
        <v>26.4</v>
      </c>
      <c r="S343" s="1" t="str">
        <v/>
      </c>
    </row>
    <row r="344" spans="1:19" x14ac:dyDescent="0.25">
      <c r="A344" s="370" t="str">
        <v/>
      </c>
      <c r="H344" s="394" t="str">
        <f t="shared" si="25"/>
        <v/>
      </c>
      <c r="I344" s="394" t="str">
        <f t="shared" si="26"/>
        <v/>
      </c>
      <c r="J344" s="394" t="str">
        <f t="shared" si="27"/>
        <v/>
      </c>
      <c r="K344" s="394" t="str">
        <f t="shared" si="28"/>
        <v/>
      </c>
      <c r="O344" s="370">
        <v>323</v>
      </c>
      <c r="P344" t="s">
        <v>1273</v>
      </c>
      <c r="Q344" s="5">
        <v>29.7</v>
      </c>
      <c r="S344" s="1" t="str">
        <v/>
      </c>
    </row>
    <row r="345" spans="1:19" x14ac:dyDescent="0.25">
      <c r="A345" s="370" t="str">
        <v/>
      </c>
      <c r="H345" s="394" t="str">
        <f t="shared" si="25"/>
        <v/>
      </c>
      <c r="I345" s="394" t="str">
        <f t="shared" si="26"/>
        <v/>
      </c>
      <c r="J345" s="394" t="str">
        <f t="shared" si="27"/>
        <v/>
      </c>
      <c r="K345" s="394" t="str">
        <f t="shared" si="28"/>
        <v/>
      </c>
      <c r="O345" s="370">
        <v>324</v>
      </c>
      <c r="P345" t="s">
        <v>1274</v>
      </c>
      <c r="Q345" s="5">
        <v>31.9</v>
      </c>
      <c r="S345" s="1" t="str">
        <v/>
      </c>
    </row>
    <row r="346" spans="1:19" x14ac:dyDescent="0.25">
      <c r="A346" s="370" t="str">
        <v/>
      </c>
      <c r="H346" s="394" t="str">
        <f t="shared" si="25"/>
        <v/>
      </c>
      <c r="I346" s="394" t="str">
        <f t="shared" si="26"/>
        <v/>
      </c>
      <c r="J346" s="394" t="str">
        <f t="shared" si="27"/>
        <v/>
      </c>
      <c r="K346" s="394" t="str">
        <f t="shared" si="28"/>
        <v/>
      </c>
      <c r="O346" s="370">
        <v>325</v>
      </c>
      <c r="P346" t="s">
        <v>1275</v>
      </c>
      <c r="Q346" s="5">
        <v>34.1</v>
      </c>
      <c r="S346" s="1" t="str">
        <v/>
      </c>
    </row>
    <row r="347" spans="1:19" x14ac:dyDescent="0.25">
      <c r="A347" s="370" t="str">
        <v/>
      </c>
      <c r="H347" s="394" t="str">
        <f t="shared" si="25"/>
        <v/>
      </c>
      <c r="I347" s="394" t="str">
        <f t="shared" si="26"/>
        <v/>
      </c>
      <c r="J347" s="394" t="str">
        <f t="shared" si="27"/>
        <v/>
      </c>
      <c r="K347" s="394" t="str">
        <f t="shared" si="28"/>
        <v/>
      </c>
      <c r="O347" s="370">
        <v>326</v>
      </c>
      <c r="P347" t="s">
        <v>1276</v>
      </c>
      <c r="Q347" s="5">
        <v>36.299999999999997</v>
      </c>
      <c r="S347" s="1" t="str">
        <v/>
      </c>
    </row>
    <row r="348" spans="1:19" x14ac:dyDescent="0.25">
      <c r="A348" s="370" t="str">
        <v/>
      </c>
      <c r="H348" s="394" t="str">
        <f t="shared" si="25"/>
        <v/>
      </c>
      <c r="I348" s="394" t="str">
        <f t="shared" si="26"/>
        <v/>
      </c>
      <c r="J348" s="394" t="str">
        <f t="shared" si="27"/>
        <v/>
      </c>
      <c r="K348" s="394" t="str">
        <f t="shared" si="28"/>
        <v/>
      </c>
      <c r="O348" s="370">
        <v>327</v>
      </c>
      <c r="P348" t="s">
        <v>1277</v>
      </c>
      <c r="Q348" s="5">
        <v>38.5</v>
      </c>
      <c r="S348" s="1" t="str">
        <v/>
      </c>
    </row>
    <row r="349" spans="1:19" x14ac:dyDescent="0.25">
      <c r="A349" s="370" t="str">
        <v/>
      </c>
      <c r="H349" s="394" t="str">
        <f t="shared" si="25"/>
        <v/>
      </c>
      <c r="I349" s="394" t="str">
        <f t="shared" si="26"/>
        <v/>
      </c>
      <c r="J349" s="394" t="str">
        <f t="shared" si="27"/>
        <v/>
      </c>
      <c r="K349" s="394" t="str">
        <f t="shared" si="28"/>
        <v/>
      </c>
      <c r="O349" s="370">
        <v>328</v>
      </c>
      <c r="P349" t="s">
        <v>1278</v>
      </c>
      <c r="Q349" s="5">
        <v>40.700000000000003</v>
      </c>
      <c r="S349" s="1" t="str">
        <v/>
      </c>
    </row>
    <row r="350" spans="1:19" x14ac:dyDescent="0.25">
      <c r="A350" s="370" t="str">
        <v/>
      </c>
      <c r="H350" s="394" t="str">
        <f t="shared" si="25"/>
        <v/>
      </c>
      <c r="I350" s="394" t="str">
        <f t="shared" si="26"/>
        <v/>
      </c>
      <c r="J350" s="394" t="str">
        <f t="shared" si="27"/>
        <v/>
      </c>
      <c r="K350" s="394" t="str">
        <f t="shared" si="28"/>
        <v/>
      </c>
      <c r="O350" s="370">
        <v>329</v>
      </c>
      <c r="P350" t="s">
        <v>1279</v>
      </c>
      <c r="Q350" s="5">
        <v>25.3</v>
      </c>
      <c r="S350" s="1" t="str">
        <v/>
      </c>
    </row>
    <row r="351" spans="1:19" x14ac:dyDescent="0.25">
      <c r="A351" s="370" t="str">
        <v/>
      </c>
      <c r="H351" s="394" t="str">
        <f t="shared" si="25"/>
        <v/>
      </c>
      <c r="I351" s="394" t="str">
        <f t="shared" si="26"/>
        <v/>
      </c>
      <c r="J351" s="394" t="str">
        <f t="shared" si="27"/>
        <v/>
      </c>
      <c r="K351" s="394" t="str">
        <f t="shared" si="28"/>
        <v/>
      </c>
      <c r="O351" s="370">
        <v>330</v>
      </c>
      <c r="P351" t="s">
        <v>1280</v>
      </c>
      <c r="Q351" s="5">
        <v>26.4</v>
      </c>
      <c r="S351" s="1" t="str">
        <v/>
      </c>
    </row>
    <row r="352" spans="1:19" x14ac:dyDescent="0.25">
      <c r="A352" s="370" t="str">
        <v/>
      </c>
      <c r="H352" s="394" t="str">
        <f t="shared" si="25"/>
        <v/>
      </c>
      <c r="I352" s="394" t="str">
        <f t="shared" si="26"/>
        <v/>
      </c>
      <c r="J352" s="394" t="str">
        <f t="shared" si="27"/>
        <v/>
      </c>
      <c r="K352" s="394" t="str">
        <f t="shared" si="28"/>
        <v/>
      </c>
      <c r="O352" s="370">
        <v>331</v>
      </c>
      <c r="P352" t="s">
        <v>1281</v>
      </c>
      <c r="Q352" s="5">
        <v>27.5</v>
      </c>
      <c r="S352" s="1" t="str">
        <v/>
      </c>
    </row>
    <row r="353" spans="1:19" x14ac:dyDescent="0.25">
      <c r="A353" s="370" t="str">
        <v/>
      </c>
      <c r="H353" s="394" t="str">
        <f t="shared" si="25"/>
        <v/>
      </c>
      <c r="I353" s="394" t="str">
        <f t="shared" si="26"/>
        <v/>
      </c>
      <c r="J353" s="394" t="str">
        <f t="shared" si="27"/>
        <v/>
      </c>
      <c r="K353" s="394" t="str">
        <f t="shared" si="28"/>
        <v/>
      </c>
      <c r="O353" s="370">
        <v>332</v>
      </c>
      <c r="P353" t="s">
        <v>1282</v>
      </c>
      <c r="Q353" s="5">
        <v>30.8</v>
      </c>
      <c r="S353" s="1" t="str">
        <v/>
      </c>
    </row>
    <row r="354" spans="1:19" x14ac:dyDescent="0.25">
      <c r="A354" s="370" t="str">
        <v/>
      </c>
      <c r="H354" s="394" t="str">
        <f t="shared" si="25"/>
        <v/>
      </c>
      <c r="I354" s="394" t="str">
        <f t="shared" si="26"/>
        <v/>
      </c>
      <c r="J354" s="394" t="str">
        <f t="shared" si="27"/>
        <v/>
      </c>
      <c r="K354" s="394" t="str">
        <f t="shared" si="28"/>
        <v/>
      </c>
      <c r="O354" s="370">
        <v>333</v>
      </c>
      <c r="P354" t="s">
        <v>1283</v>
      </c>
      <c r="Q354" s="5">
        <v>33</v>
      </c>
      <c r="S354" s="1" t="str">
        <v/>
      </c>
    </row>
    <row r="355" spans="1:19" x14ac:dyDescent="0.25">
      <c r="A355" s="370" t="str">
        <v/>
      </c>
      <c r="H355" s="394" t="str">
        <f t="shared" si="25"/>
        <v/>
      </c>
      <c r="I355" s="394" t="str">
        <f t="shared" si="26"/>
        <v/>
      </c>
      <c r="J355" s="394" t="str">
        <f t="shared" si="27"/>
        <v/>
      </c>
      <c r="K355" s="394" t="str">
        <f t="shared" si="28"/>
        <v/>
      </c>
      <c r="O355" s="370">
        <v>334</v>
      </c>
      <c r="P355" t="s">
        <v>1284</v>
      </c>
      <c r="Q355" s="5">
        <v>35.200000000000003</v>
      </c>
      <c r="S355" s="1" t="str">
        <v/>
      </c>
    </row>
    <row r="356" spans="1:19" x14ac:dyDescent="0.25">
      <c r="A356" s="370" t="str">
        <v/>
      </c>
      <c r="H356" s="394" t="str">
        <f t="shared" si="25"/>
        <v/>
      </c>
      <c r="I356" s="394" t="str">
        <f t="shared" si="26"/>
        <v/>
      </c>
      <c r="J356" s="394" t="str">
        <f t="shared" si="27"/>
        <v/>
      </c>
      <c r="K356" s="394" t="str">
        <f t="shared" si="28"/>
        <v/>
      </c>
      <c r="O356" s="370">
        <v>335</v>
      </c>
      <c r="P356" t="s">
        <v>1285</v>
      </c>
      <c r="Q356" s="5">
        <v>37.4</v>
      </c>
      <c r="S356" s="1" t="str">
        <v/>
      </c>
    </row>
    <row r="357" spans="1:19" x14ac:dyDescent="0.25">
      <c r="A357" s="370" t="str">
        <v/>
      </c>
      <c r="H357" s="394" t="str">
        <f t="shared" si="25"/>
        <v/>
      </c>
      <c r="I357" s="394" t="str">
        <f t="shared" si="26"/>
        <v/>
      </c>
      <c r="J357" s="394" t="str">
        <f t="shared" si="27"/>
        <v/>
      </c>
      <c r="K357" s="394" t="str">
        <f t="shared" si="28"/>
        <v/>
      </c>
      <c r="O357" s="370">
        <v>336</v>
      </c>
      <c r="P357" t="s">
        <v>1286</v>
      </c>
      <c r="Q357" s="5">
        <v>39.6</v>
      </c>
      <c r="S357" s="1" t="str">
        <v/>
      </c>
    </row>
    <row r="358" spans="1:19" x14ac:dyDescent="0.25">
      <c r="A358" s="370" t="str">
        <v/>
      </c>
      <c r="H358" s="394" t="str">
        <f t="shared" si="25"/>
        <v/>
      </c>
      <c r="I358" s="394" t="str">
        <f t="shared" si="26"/>
        <v/>
      </c>
      <c r="J358" s="394" t="str">
        <f t="shared" si="27"/>
        <v/>
      </c>
      <c r="K358" s="394" t="str">
        <f t="shared" si="28"/>
        <v/>
      </c>
      <c r="O358" s="370">
        <v>337</v>
      </c>
      <c r="P358" t="s">
        <v>1287</v>
      </c>
      <c r="Q358" s="5">
        <v>41.8</v>
      </c>
      <c r="S358" s="1" t="str">
        <v/>
      </c>
    </row>
    <row r="359" spans="1:19" x14ac:dyDescent="0.25">
      <c r="A359" s="370" t="str">
        <v/>
      </c>
      <c r="H359" s="394" t="str">
        <f t="shared" si="25"/>
        <v/>
      </c>
      <c r="I359" s="394" t="str">
        <f t="shared" si="26"/>
        <v/>
      </c>
      <c r="J359" s="394" t="str">
        <f t="shared" si="27"/>
        <v/>
      </c>
      <c r="K359" s="394" t="str">
        <f t="shared" si="28"/>
        <v/>
      </c>
      <c r="O359" s="370">
        <v>338</v>
      </c>
      <c r="P359" t="s">
        <v>1288</v>
      </c>
      <c r="Q359" s="5">
        <v>27.5</v>
      </c>
      <c r="S359" s="1" t="str">
        <v/>
      </c>
    </row>
    <row r="360" spans="1:19" x14ac:dyDescent="0.25">
      <c r="A360" s="370" t="str">
        <v/>
      </c>
      <c r="H360" s="394" t="str">
        <f t="shared" si="25"/>
        <v/>
      </c>
      <c r="I360" s="394" t="str">
        <f t="shared" si="26"/>
        <v/>
      </c>
      <c r="J360" s="394" t="str">
        <f t="shared" si="27"/>
        <v/>
      </c>
      <c r="K360" s="394" t="str">
        <f t="shared" si="28"/>
        <v/>
      </c>
      <c r="O360" s="370">
        <v>339</v>
      </c>
      <c r="P360" t="s">
        <v>1289</v>
      </c>
      <c r="Q360" s="5">
        <v>28.6</v>
      </c>
      <c r="S360" s="1" t="str">
        <v/>
      </c>
    </row>
    <row r="361" spans="1:19" x14ac:dyDescent="0.25">
      <c r="A361" s="370" t="str">
        <v/>
      </c>
      <c r="H361" s="394" t="str">
        <f t="shared" si="25"/>
        <v/>
      </c>
      <c r="I361" s="394" t="str">
        <f t="shared" si="26"/>
        <v/>
      </c>
      <c r="J361" s="394" t="str">
        <f t="shared" si="27"/>
        <v/>
      </c>
      <c r="K361" s="394" t="str">
        <f t="shared" si="28"/>
        <v/>
      </c>
      <c r="O361" s="370">
        <v>340</v>
      </c>
      <c r="P361" t="s">
        <v>1290</v>
      </c>
      <c r="Q361" s="5">
        <v>29.7</v>
      </c>
      <c r="S361" s="1" t="str">
        <v/>
      </c>
    </row>
    <row r="362" spans="1:19" x14ac:dyDescent="0.25">
      <c r="A362" s="370" t="str">
        <v/>
      </c>
      <c r="H362" s="394" t="str">
        <f t="shared" si="25"/>
        <v/>
      </c>
      <c r="I362" s="394" t="str">
        <f t="shared" si="26"/>
        <v/>
      </c>
      <c r="J362" s="394" t="str">
        <f t="shared" si="27"/>
        <v/>
      </c>
      <c r="K362" s="394" t="str">
        <f t="shared" si="28"/>
        <v/>
      </c>
      <c r="O362" s="370">
        <v>341</v>
      </c>
      <c r="P362" t="s">
        <v>1291</v>
      </c>
      <c r="Q362" s="5">
        <v>33</v>
      </c>
      <c r="S362" s="1" t="str">
        <v/>
      </c>
    </row>
    <row r="363" spans="1:19" x14ac:dyDescent="0.25">
      <c r="A363" s="370" t="str">
        <v/>
      </c>
      <c r="H363" s="394" t="str">
        <f t="shared" si="25"/>
        <v/>
      </c>
      <c r="I363" s="394" t="str">
        <f t="shared" si="26"/>
        <v/>
      </c>
      <c r="J363" s="394" t="str">
        <f t="shared" si="27"/>
        <v/>
      </c>
      <c r="K363" s="394" t="str">
        <f t="shared" si="28"/>
        <v/>
      </c>
      <c r="O363" s="370">
        <v>342</v>
      </c>
      <c r="P363" t="s">
        <v>1292</v>
      </c>
      <c r="Q363" s="5">
        <v>35.200000000000003</v>
      </c>
      <c r="S363" s="1" t="str">
        <v/>
      </c>
    </row>
    <row r="364" spans="1:19" x14ac:dyDescent="0.25">
      <c r="A364" s="370" t="str">
        <v/>
      </c>
      <c r="H364" s="394" t="str">
        <f t="shared" si="25"/>
        <v/>
      </c>
      <c r="I364" s="394" t="str">
        <f t="shared" si="26"/>
        <v/>
      </c>
      <c r="J364" s="394" t="str">
        <f t="shared" si="27"/>
        <v/>
      </c>
      <c r="K364" s="394" t="str">
        <f t="shared" si="28"/>
        <v/>
      </c>
      <c r="O364" s="370">
        <v>343</v>
      </c>
      <c r="P364" t="s">
        <v>1293</v>
      </c>
      <c r="Q364" s="5">
        <v>37.4</v>
      </c>
      <c r="S364" s="1" t="str">
        <v/>
      </c>
    </row>
    <row r="365" spans="1:19" x14ac:dyDescent="0.25">
      <c r="A365" s="370" t="str">
        <v/>
      </c>
      <c r="H365" s="394" t="str">
        <f t="shared" si="25"/>
        <v/>
      </c>
      <c r="I365" s="394" t="str">
        <f t="shared" si="26"/>
        <v/>
      </c>
      <c r="J365" s="394" t="str">
        <f t="shared" si="27"/>
        <v/>
      </c>
      <c r="K365" s="394" t="str">
        <f t="shared" si="28"/>
        <v/>
      </c>
      <c r="O365" s="370">
        <v>344</v>
      </c>
      <c r="P365" t="s">
        <v>1294</v>
      </c>
      <c r="Q365" s="5">
        <v>39.6</v>
      </c>
      <c r="S365" s="1" t="str">
        <v/>
      </c>
    </row>
    <row r="366" spans="1:19" x14ac:dyDescent="0.25">
      <c r="A366" s="370" t="str">
        <v/>
      </c>
      <c r="H366" s="394" t="str">
        <f t="shared" si="25"/>
        <v/>
      </c>
      <c r="I366" s="394" t="str">
        <f t="shared" si="26"/>
        <v/>
      </c>
      <c r="J366" s="394" t="str">
        <f t="shared" si="27"/>
        <v/>
      </c>
      <c r="K366" s="394" t="str">
        <f t="shared" si="28"/>
        <v/>
      </c>
      <c r="O366" s="370">
        <v>345</v>
      </c>
      <c r="P366" t="s">
        <v>1295</v>
      </c>
      <c r="Q366" s="5">
        <v>41.8</v>
      </c>
      <c r="S366" s="1" t="str">
        <v/>
      </c>
    </row>
    <row r="367" spans="1:19" x14ac:dyDescent="0.25">
      <c r="A367" s="370" t="str">
        <v/>
      </c>
      <c r="H367" s="394" t="str">
        <f t="shared" si="25"/>
        <v/>
      </c>
      <c r="I367" s="394" t="str">
        <f t="shared" si="26"/>
        <v/>
      </c>
      <c r="J367" s="394" t="str">
        <f t="shared" si="27"/>
        <v/>
      </c>
      <c r="K367" s="394" t="str">
        <f t="shared" si="28"/>
        <v/>
      </c>
      <c r="O367" s="370">
        <v>346</v>
      </c>
      <c r="P367" t="s">
        <v>1296</v>
      </c>
      <c r="Q367" s="5">
        <v>44</v>
      </c>
      <c r="S367" s="1" t="str">
        <v/>
      </c>
    </row>
    <row r="368" spans="1:19" x14ac:dyDescent="0.25">
      <c r="A368" s="370" t="str">
        <v/>
      </c>
      <c r="H368" s="394" t="str">
        <f t="shared" si="25"/>
        <v/>
      </c>
      <c r="I368" s="394" t="str">
        <f t="shared" si="26"/>
        <v/>
      </c>
      <c r="J368" s="394" t="str">
        <f t="shared" si="27"/>
        <v/>
      </c>
      <c r="K368" s="394" t="str">
        <f t="shared" si="28"/>
        <v/>
      </c>
      <c r="O368" s="370">
        <v>347</v>
      </c>
      <c r="P368" t="s">
        <v>1297</v>
      </c>
      <c r="Q368" s="5">
        <v>23.1</v>
      </c>
      <c r="S368" s="1" t="str">
        <v/>
      </c>
    </row>
    <row r="369" spans="1:19" x14ac:dyDescent="0.25">
      <c r="A369" s="370" t="str">
        <v/>
      </c>
      <c r="H369" s="394" t="str">
        <f t="shared" si="25"/>
        <v/>
      </c>
      <c r="I369" s="394" t="str">
        <f t="shared" si="26"/>
        <v/>
      </c>
      <c r="J369" s="394" t="str">
        <f t="shared" si="27"/>
        <v/>
      </c>
      <c r="K369" s="394" t="str">
        <f t="shared" si="28"/>
        <v/>
      </c>
      <c r="O369" s="370">
        <v>348</v>
      </c>
      <c r="P369" t="s">
        <v>1298</v>
      </c>
      <c r="Q369" s="5">
        <v>24.2</v>
      </c>
      <c r="S369" s="1" t="str">
        <v/>
      </c>
    </row>
    <row r="370" spans="1:19" x14ac:dyDescent="0.25">
      <c r="A370" s="370" t="str">
        <v/>
      </c>
      <c r="H370" s="394" t="str">
        <f t="shared" si="25"/>
        <v/>
      </c>
      <c r="I370" s="394" t="str">
        <f t="shared" si="26"/>
        <v/>
      </c>
      <c r="J370" s="394" t="str">
        <f t="shared" si="27"/>
        <v/>
      </c>
      <c r="K370" s="394" t="str">
        <f t="shared" si="28"/>
        <v/>
      </c>
      <c r="O370" s="370">
        <v>349</v>
      </c>
      <c r="P370" t="s">
        <v>1299</v>
      </c>
      <c r="Q370" s="5">
        <v>25.3</v>
      </c>
      <c r="S370" s="1" t="str">
        <v/>
      </c>
    </row>
    <row r="371" spans="1:19" x14ac:dyDescent="0.25">
      <c r="A371" s="370" t="str">
        <v/>
      </c>
      <c r="H371" s="394" t="str">
        <f t="shared" si="25"/>
        <v/>
      </c>
      <c r="I371" s="394" t="str">
        <f t="shared" si="26"/>
        <v/>
      </c>
      <c r="J371" s="394" t="str">
        <f t="shared" si="27"/>
        <v/>
      </c>
      <c r="K371" s="394" t="str">
        <f t="shared" si="28"/>
        <v/>
      </c>
      <c r="O371" s="370">
        <v>350</v>
      </c>
      <c r="P371" t="s">
        <v>1300</v>
      </c>
      <c r="Q371" s="5">
        <v>28.6</v>
      </c>
      <c r="S371" s="1" t="str">
        <v/>
      </c>
    </row>
    <row r="372" spans="1:19" x14ac:dyDescent="0.25">
      <c r="A372" s="370" t="str">
        <v/>
      </c>
      <c r="H372" s="394" t="str">
        <f t="shared" si="25"/>
        <v/>
      </c>
      <c r="I372" s="394" t="str">
        <f t="shared" si="26"/>
        <v/>
      </c>
      <c r="J372" s="394" t="str">
        <f t="shared" si="27"/>
        <v/>
      </c>
      <c r="K372" s="394" t="str">
        <f t="shared" si="28"/>
        <v/>
      </c>
      <c r="O372" s="370">
        <v>351</v>
      </c>
      <c r="P372" t="s">
        <v>1301</v>
      </c>
      <c r="Q372" s="5">
        <v>30.8</v>
      </c>
      <c r="S372" s="1" t="str">
        <v/>
      </c>
    </row>
    <row r="373" spans="1:19" x14ac:dyDescent="0.25">
      <c r="A373" s="370" t="str">
        <v/>
      </c>
      <c r="H373" s="394" t="str">
        <f t="shared" si="25"/>
        <v/>
      </c>
      <c r="I373" s="394" t="str">
        <f t="shared" si="26"/>
        <v/>
      </c>
      <c r="J373" s="394" t="str">
        <f t="shared" si="27"/>
        <v/>
      </c>
      <c r="K373" s="394" t="str">
        <f t="shared" si="28"/>
        <v/>
      </c>
      <c r="O373" s="370">
        <v>352</v>
      </c>
      <c r="P373" t="s">
        <v>1302</v>
      </c>
      <c r="Q373" s="5">
        <v>33</v>
      </c>
      <c r="S373" s="1" t="str">
        <v/>
      </c>
    </row>
    <row r="374" spans="1:19" x14ac:dyDescent="0.25">
      <c r="A374" s="370" t="str">
        <v/>
      </c>
      <c r="H374" s="394" t="str">
        <f t="shared" si="25"/>
        <v/>
      </c>
      <c r="I374" s="394" t="str">
        <f t="shared" si="26"/>
        <v/>
      </c>
      <c r="J374" s="394" t="str">
        <f t="shared" si="27"/>
        <v/>
      </c>
      <c r="K374" s="394" t="str">
        <f t="shared" si="28"/>
        <v/>
      </c>
      <c r="O374" s="370">
        <v>353</v>
      </c>
      <c r="P374" t="s">
        <v>1303</v>
      </c>
      <c r="Q374" s="5">
        <v>35.200000000000003</v>
      </c>
      <c r="S374" s="1" t="str">
        <v/>
      </c>
    </row>
    <row r="375" spans="1:19" x14ac:dyDescent="0.25">
      <c r="A375" s="370" t="str">
        <v/>
      </c>
      <c r="H375" s="394" t="str">
        <f t="shared" si="25"/>
        <v/>
      </c>
      <c r="I375" s="394" t="str">
        <f t="shared" si="26"/>
        <v/>
      </c>
      <c r="J375" s="394" t="str">
        <f t="shared" si="27"/>
        <v/>
      </c>
      <c r="K375" s="394" t="str">
        <f t="shared" si="28"/>
        <v/>
      </c>
      <c r="O375" s="370">
        <v>354</v>
      </c>
      <c r="P375" t="s">
        <v>1304</v>
      </c>
      <c r="Q375" s="5">
        <v>37.4</v>
      </c>
      <c r="S375" s="1" t="str">
        <v/>
      </c>
    </row>
    <row r="376" spans="1:19" x14ac:dyDescent="0.25">
      <c r="A376" s="370" t="str">
        <v/>
      </c>
      <c r="H376" s="394" t="str">
        <f t="shared" si="25"/>
        <v/>
      </c>
      <c r="I376" s="394" t="str">
        <f t="shared" si="26"/>
        <v/>
      </c>
      <c r="J376" s="394" t="str">
        <f t="shared" si="27"/>
        <v/>
      </c>
      <c r="K376" s="394" t="str">
        <f t="shared" si="28"/>
        <v/>
      </c>
      <c r="O376" s="370">
        <v>355</v>
      </c>
      <c r="P376" t="s">
        <v>1305</v>
      </c>
      <c r="Q376" s="5">
        <v>39.6</v>
      </c>
      <c r="S376" s="1" t="str">
        <v/>
      </c>
    </row>
    <row r="377" spans="1:19" x14ac:dyDescent="0.25">
      <c r="A377" s="370" t="str">
        <v/>
      </c>
      <c r="H377" s="394" t="str">
        <f t="shared" si="25"/>
        <v/>
      </c>
      <c r="I377" s="394" t="str">
        <f t="shared" si="26"/>
        <v/>
      </c>
      <c r="J377" s="394" t="str">
        <f t="shared" si="27"/>
        <v/>
      </c>
      <c r="K377" s="394" t="str">
        <f t="shared" si="28"/>
        <v/>
      </c>
      <c r="O377" s="370">
        <v>356</v>
      </c>
      <c r="P377" t="s">
        <v>1306</v>
      </c>
      <c r="Q377" s="5">
        <v>24.2</v>
      </c>
      <c r="S377" s="1" t="str">
        <v/>
      </c>
    </row>
    <row r="378" spans="1:19" x14ac:dyDescent="0.25">
      <c r="A378" s="370" t="str">
        <v/>
      </c>
      <c r="H378" s="394" t="str">
        <f t="shared" si="25"/>
        <v/>
      </c>
      <c r="I378" s="394" t="str">
        <f t="shared" si="26"/>
        <v/>
      </c>
      <c r="J378" s="394" t="str">
        <f t="shared" si="27"/>
        <v/>
      </c>
      <c r="K378" s="394" t="str">
        <f t="shared" si="28"/>
        <v/>
      </c>
      <c r="O378" s="370">
        <v>357</v>
      </c>
      <c r="P378" t="s">
        <v>1307</v>
      </c>
      <c r="Q378" s="5">
        <v>25.3</v>
      </c>
      <c r="S378" s="1" t="str">
        <v/>
      </c>
    </row>
    <row r="379" spans="1:19" x14ac:dyDescent="0.25">
      <c r="A379" s="370" t="str">
        <v/>
      </c>
      <c r="H379" s="394" t="str">
        <f t="shared" si="25"/>
        <v/>
      </c>
      <c r="I379" s="394" t="str">
        <f t="shared" si="26"/>
        <v/>
      </c>
      <c r="J379" s="394" t="str">
        <f t="shared" si="27"/>
        <v/>
      </c>
      <c r="K379" s="394" t="str">
        <f t="shared" si="28"/>
        <v/>
      </c>
      <c r="O379" s="370">
        <v>358</v>
      </c>
      <c r="P379" t="s">
        <v>1308</v>
      </c>
      <c r="Q379" s="5">
        <v>26.4</v>
      </c>
      <c r="S379" s="1" t="str">
        <v/>
      </c>
    </row>
    <row r="380" spans="1:19" x14ac:dyDescent="0.25">
      <c r="A380" s="370" t="str">
        <v/>
      </c>
      <c r="H380" s="394" t="str">
        <f t="shared" si="25"/>
        <v/>
      </c>
      <c r="I380" s="394" t="str">
        <f t="shared" si="26"/>
        <v/>
      </c>
      <c r="J380" s="394" t="str">
        <f t="shared" si="27"/>
        <v/>
      </c>
      <c r="K380" s="394" t="str">
        <f t="shared" si="28"/>
        <v/>
      </c>
      <c r="O380" s="370">
        <v>359</v>
      </c>
      <c r="P380" t="s">
        <v>1309</v>
      </c>
      <c r="Q380" s="5">
        <v>29.7</v>
      </c>
      <c r="S380" s="1" t="str">
        <v/>
      </c>
    </row>
    <row r="381" spans="1:19" x14ac:dyDescent="0.25">
      <c r="A381" s="370" t="str">
        <v/>
      </c>
      <c r="H381" s="394" t="str">
        <f t="shared" si="25"/>
        <v/>
      </c>
      <c r="I381" s="394" t="str">
        <f t="shared" si="26"/>
        <v/>
      </c>
      <c r="J381" s="394" t="str">
        <f t="shared" si="27"/>
        <v/>
      </c>
      <c r="K381" s="394" t="str">
        <f t="shared" si="28"/>
        <v/>
      </c>
      <c r="O381" s="370">
        <v>360</v>
      </c>
      <c r="P381" t="s">
        <v>1310</v>
      </c>
      <c r="Q381" s="5">
        <v>31.9</v>
      </c>
      <c r="S381" s="1" t="str">
        <v/>
      </c>
    </row>
    <row r="382" spans="1:19" x14ac:dyDescent="0.25">
      <c r="A382" s="370" t="str">
        <v/>
      </c>
      <c r="H382" s="394" t="str">
        <f t="shared" si="25"/>
        <v/>
      </c>
      <c r="I382" s="394" t="str">
        <f t="shared" si="26"/>
        <v/>
      </c>
      <c r="J382" s="394" t="str">
        <f t="shared" si="27"/>
        <v/>
      </c>
      <c r="K382" s="394" t="str">
        <f t="shared" si="28"/>
        <v/>
      </c>
      <c r="O382" s="370">
        <v>361</v>
      </c>
      <c r="P382" t="s">
        <v>1311</v>
      </c>
      <c r="Q382" s="5">
        <v>34.1</v>
      </c>
      <c r="S382" s="1" t="str">
        <v/>
      </c>
    </row>
    <row r="383" spans="1:19" x14ac:dyDescent="0.25">
      <c r="A383" s="370" t="str">
        <v/>
      </c>
      <c r="H383" s="394" t="str">
        <f t="shared" si="25"/>
        <v/>
      </c>
      <c r="I383" s="394" t="str">
        <f t="shared" si="26"/>
        <v/>
      </c>
      <c r="J383" s="394" t="str">
        <f t="shared" si="27"/>
        <v/>
      </c>
      <c r="K383" s="394" t="str">
        <f t="shared" si="28"/>
        <v/>
      </c>
      <c r="O383" s="370">
        <v>362</v>
      </c>
      <c r="P383" t="s">
        <v>1312</v>
      </c>
      <c r="Q383" s="5">
        <v>36.299999999999997</v>
      </c>
      <c r="S383" s="1" t="str">
        <v/>
      </c>
    </row>
    <row r="384" spans="1:19" x14ac:dyDescent="0.25">
      <c r="A384" s="370" t="str">
        <v/>
      </c>
      <c r="H384" s="394" t="str">
        <f t="shared" si="25"/>
        <v/>
      </c>
      <c r="I384" s="394" t="str">
        <f t="shared" si="26"/>
        <v/>
      </c>
      <c r="J384" s="394" t="str">
        <f t="shared" si="27"/>
        <v/>
      </c>
      <c r="K384" s="394" t="str">
        <f t="shared" si="28"/>
        <v/>
      </c>
      <c r="O384" s="370">
        <v>363</v>
      </c>
      <c r="P384" t="s">
        <v>1313</v>
      </c>
      <c r="Q384" s="5">
        <v>38.5</v>
      </c>
      <c r="S384" s="1" t="str">
        <v/>
      </c>
    </row>
    <row r="385" spans="1:19" x14ac:dyDescent="0.25">
      <c r="A385" s="370" t="str">
        <v/>
      </c>
      <c r="H385" s="394" t="str">
        <f t="shared" si="25"/>
        <v/>
      </c>
      <c r="I385" s="394" t="str">
        <f t="shared" si="26"/>
        <v/>
      </c>
      <c r="J385" s="394" t="str">
        <f t="shared" si="27"/>
        <v/>
      </c>
      <c r="K385" s="394" t="str">
        <f t="shared" si="28"/>
        <v/>
      </c>
      <c r="O385" s="370">
        <v>364</v>
      </c>
      <c r="P385" t="s">
        <v>1314</v>
      </c>
      <c r="Q385" s="5">
        <v>40.700000000000003</v>
      </c>
      <c r="S385" s="1" t="str">
        <v/>
      </c>
    </row>
    <row r="386" spans="1:19" x14ac:dyDescent="0.25">
      <c r="A386" s="370" t="str">
        <v/>
      </c>
      <c r="H386" s="394" t="str">
        <f t="shared" si="25"/>
        <v/>
      </c>
      <c r="I386" s="394" t="str">
        <f t="shared" si="26"/>
        <v/>
      </c>
      <c r="J386" s="394" t="str">
        <f t="shared" si="27"/>
        <v/>
      </c>
      <c r="K386" s="394" t="str">
        <f t="shared" si="28"/>
        <v/>
      </c>
      <c r="O386" s="370">
        <v>365</v>
      </c>
      <c r="P386" t="s">
        <v>1315</v>
      </c>
      <c r="Q386" s="5">
        <v>25.3</v>
      </c>
      <c r="S386" s="1" t="str">
        <v/>
      </c>
    </row>
    <row r="387" spans="1:19" x14ac:dyDescent="0.25">
      <c r="A387" s="370" t="str">
        <v/>
      </c>
      <c r="H387" s="394" t="str">
        <f t="shared" si="25"/>
        <v/>
      </c>
      <c r="I387" s="394" t="str">
        <f t="shared" si="26"/>
        <v/>
      </c>
      <c r="J387" s="394" t="str">
        <f t="shared" si="27"/>
        <v/>
      </c>
      <c r="K387" s="394" t="str">
        <f t="shared" si="28"/>
        <v/>
      </c>
      <c r="O387" s="370">
        <v>366</v>
      </c>
      <c r="P387" t="s">
        <v>1316</v>
      </c>
      <c r="Q387" s="5">
        <v>26.4</v>
      </c>
      <c r="S387" s="1" t="str">
        <v/>
      </c>
    </row>
    <row r="388" spans="1:19" x14ac:dyDescent="0.25">
      <c r="A388" s="370" t="str">
        <v/>
      </c>
      <c r="H388" s="394" t="str">
        <f t="shared" si="25"/>
        <v/>
      </c>
      <c r="I388" s="394" t="str">
        <f t="shared" si="26"/>
        <v/>
      </c>
      <c r="J388" s="394" t="str">
        <f t="shared" si="27"/>
        <v/>
      </c>
      <c r="K388" s="394" t="str">
        <f t="shared" si="28"/>
        <v/>
      </c>
      <c r="O388" s="370">
        <v>367</v>
      </c>
      <c r="P388" t="s">
        <v>1317</v>
      </c>
      <c r="Q388" s="5">
        <v>27.5</v>
      </c>
      <c r="S388" s="1" t="str">
        <v/>
      </c>
    </row>
    <row r="389" spans="1:19" x14ac:dyDescent="0.25">
      <c r="A389" s="370" t="str">
        <v/>
      </c>
      <c r="H389" s="394" t="str">
        <f t="shared" si="25"/>
        <v/>
      </c>
      <c r="I389" s="394" t="str">
        <f t="shared" si="26"/>
        <v/>
      </c>
      <c r="J389" s="394" t="str">
        <f t="shared" si="27"/>
        <v/>
      </c>
      <c r="K389" s="394" t="str">
        <f t="shared" si="28"/>
        <v/>
      </c>
      <c r="O389" s="370">
        <v>368</v>
      </c>
      <c r="P389" t="s">
        <v>1318</v>
      </c>
      <c r="Q389" s="5">
        <v>30.8</v>
      </c>
      <c r="S389" s="1" t="str">
        <v/>
      </c>
    </row>
    <row r="390" spans="1:19" x14ac:dyDescent="0.25">
      <c r="A390" s="370" t="str">
        <v/>
      </c>
      <c r="H390" s="394" t="str">
        <f t="shared" si="25"/>
        <v/>
      </c>
      <c r="I390" s="394" t="str">
        <f t="shared" si="26"/>
        <v/>
      </c>
      <c r="J390" s="394" t="str">
        <f t="shared" si="27"/>
        <v/>
      </c>
      <c r="K390" s="394" t="str">
        <f t="shared" si="28"/>
        <v/>
      </c>
      <c r="O390" s="370">
        <v>369</v>
      </c>
      <c r="P390" t="s">
        <v>1319</v>
      </c>
      <c r="Q390" s="5">
        <v>33</v>
      </c>
      <c r="S390" s="1" t="str">
        <v/>
      </c>
    </row>
    <row r="391" spans="1:19" x14ac:dyDescent="0.25">
      <c r="A391" s="370" t="str">
        <v/>
      </c>
      <c r="H391" s="394" t="str">
        <f t="shared" si="25"/>
        <v/>
      </c>
      <c r="I391" s="394" t="str">
        <f t="shared" si="26"/>
        <v/>
      </c>
      <c r="J391" s="394" t="str">
        <f t="shared" si="27"/>
        <v/>
      </c>
      <c r="K391" s="394" t="str">
        <f t="shared" si="28"/>
        <v/>
      </c>
      <c r="O391" s="370">
        <v>370</v>
      </c>
      <c r="P391" t="s">
        <v>1320</v>
      </c>
      <c r="Q391" s="5">
        <v>35.200000000000003</v>
      </c>
      <c r="S391" s="1" t="str">
        <v/>
      </c>
    </row>
    <row r="392" spans="1:19" x14ac:dyDescent="0.25">
      <c r="A392" s="370" t="str">
        <v/>
      </c>
      <c r="H392" s="394" t="str">
        <f t="shared" si="25"/>
        <v/>
      </c>
      <c r="I392" s="394" t="str">
        <f t="shared" si="26"/>
        <v/>
      </c>
      <c r="J392" s="394" t="str">
        <f t="shared" si="27"/>
        <v/>
      </c>
      <c r="K392" s="394" t="str">
        <f t="shared" si="28"/>
        <v/>
      </c>
      <c r="O392" s="370">
        <v>371</v>
      </c>
      <c r="P392" t="s">
        <v>1321</v>
      </c>
      <c r="Q392" s="5">
        <v>37.4</v>
      </c>
      <c r="S392" s="1" t="str">
        <v/>
      </c>
    </row>
    <row r="393" spans="1:19" x14ac:dyDescent="0.25">
      <c r="A393" s="370" t="str">
        <v/>
      </c>
      <c r="H393" s="394" t="str">
        <f t="shared" si="25"/>
        <v/>
      </c>
      <c r="I393" s="394" t="str">
        <f t="shared" si="26"/>
        <v/>
      </c>
      <c r="J393" s="394" t="str">
        <f t="shared" si="27"/>
        <v/>
      </c>
      <c r="K393" s="394" t="str">
        <f t="shared" si="28"/>
        <v/>
      </c>
      <c r="O393" s="370">
        <v>372</v>
      </c>
      <c r="P393" t="s">
        <v>1322</v>
      </c>
      <c r="Q393" s="5">
        <v>39.6</v>
      </c>
      <c r="S393" s="1" t="str">
        <v/>
      </c>
    </row>
    <row r="394" spans="1:19" x14ac:dyDescent="0.25">
      <c r="A394" s="370" t="str">
        <v/>
      </c>
      <c r="H394" s="394" t="str">
        <f t="shared" si="25"/>
        <v/>
      </c>
      <c r="I394" s="394" t="str">
        <f t="shared" si="26"/>
        <v/>
      </c>
      <c r="J394" s="394" t="str">
        <f t="shared" si="27"/>
        <v/>
      </c>
      <c r="K394" s="394" t="str">
        <f t="shared" si="28"/>
        <v/>
      </c>
      <c r="O394" s="370">
        <v>373</v>
      </c>
      <c r="P394" t="s">
        <v>1323</v>
      </c>
      <c r="Q394" s="5">
        <v>41.8</v>
      </c>
      <c r="S394" s="1" t="str">
        <v/>
      </c>
    </row>
    <row r="395" spans="1:19" x14ac:dyDescent="0.25">
      <c r="A395" s="370" t="str">
        <v/>
      </c>
      <c r="H395" s="394" t="str">
        <f t="shared" si="25"/>
        <v/>
      </c>
      <c r="I395" s="394" t="str">
        <f t="shared" si="26"/>
        <v/>
      </c>
      <c r="J395" s="394" t="str">
        <f t="shared" si="27"/>
        <v/>
      </c>
      <c r="K395" s="394" t="str">
        <f t="shared" si="28"/>
        <v/>
      </c>
      <c r="O395" s="370">
        <v>374</v>
      </c>
      <c r="P395" t="s">
        <v>1324</v>
      </c>
      <c r="Q395" s="5">
        <v>27.5</v>
      </c>
      <c r="S395" s="1" t="str">
        <v/>
      </c>
    </row>
    <row r="396" spans="1:19" x14ac:dyDescent="0.25">
      <c r="A396" s="370" t="str">
        <v/>
      </c>
      <c r="H396" s="394" t="str">
        <f t="shared" si="25"/>
        <v/>
      </c>
      <c r="I396" s="394" t="str">
        <f t="shared" si="26"/>
        <v/>
      </c>
      <c r="J396" s="394" t="str">
        <f t="shared" si="27"/>
        <v/>
      </c>
      <c r="K396" s="394" t="str">
        <f t="shared" si="28"/>
        <v/>
      </c>
      <c r="O396" s="370">
        <v>375</v>
      </c>
      <c r="P396" t="s">
        <v>1325</v>
      </c>
      <c r="Q396" s="5">
        <v>28.6</v>
      </c>
      <c r="S396" s="1" t="str">
        <v/>
      </c>
    </row>
    <row r="397" spans="1:19" x14ac:dyDescent="0.25">
      <c r="A397" s="370" t="str">
        <v/>
      </c>
      <c r="H397" s="394" t="str">
        <f t="shared" si="25"/>
        <v/>
      </c>
      <c r="I397" s="394" t="str">
        <f t="shared" si="26"/>
        <v/>
      </c>
      <c r="J397" s="394" t="str">
        <f t="shared" si="27"/>
        <v/>
      </c>
      <c r="K397" s="394" t="str">
        <f t="shared" si="28"/>
        <v/>
      </c>
      <c r="O397" s="370">
        <v>376</v>
      </c>
      <c r="P397" t="s">
        <v>1326</v>
      </c>
      <c r="Q397" s="5">
        <v>29.7</v>
      </c>
      <c r="S397" s="1" t="str">
        <v/>
      </c>
    </row>
    <row r="398" spans="1:19" x14ac:dyDescent="0.25">
      <c r="A398" s="370" t="str">
        <v/>
      </c>
      <c r="H398" s="394" t="str">
        <f t="shared" si="25"/>
        <v/>
      </c>
      <c r="I398" s="394" t="str">
        <f t="shared" si="26"/>
        <v/>
      </c>
      <c r="J398" s="394" t="str">
        <f t="shared" si="27"/>
        <v/>
      </c>
      <c r="K398" s="394" t="str">
        <f t="shared" si="28"/>
        <v/>
      </c>
      <c r="O398" s="370">
        <v>377</v>
      </c>
      <c r="P398" t="s">
        <v>1327</v>
      </c>
      <c r="Q398" s="5">
        <v>33</v>
      </c>
      <c r="S398" s="1" t="str">
        <v/>
      </c>
    </row>
    <row r="399" spans="1:19" x14ac:dyDescent="0.25">
      <c r="A399" s="370" t="str">
        <v/>
      </c>
      <c r="H399" s="394" t="str">
        <f t="shared" si="25"/>
        <v/>
      </c>
      <c r="I399" s="394" t="str">
        <f t="shared" si="26"/>
        <v/>
      </c>
      <c r="J399" s="394" t="str">
        <f t="shared" si="27"/>
        <v/>
      </c>
      <c r="K399" s="394" t="str">
        <f t="shared" si="28"/>
        <v/>
      </c>
      <c r="O399" s="370">
        <v>378</v>
      </c>
      <c r="P399" t="s">
        <v>1328</v>
      </c>
      <c r="Q399" s="5">
        <v>35.200000000000003</v>
      </c>
      <c r="S399" s="1" t="str">
        <v/>
      </c>
    </row>
    <row r="400" spans="1:19" x14ac:dyDescent="0.25">
      <c r="A400" s="370" t="str">
        <v/>
      </c>
      <c r="H400" s="394" t="str">
        <f t="shared" si="25"/>
        <v/>
      </c>
      <c r="I400" s="394" t="str">
        <f t="shared" si="26"/>
        <v/>
      </c>
      <c r="J400" s="394" t="str">
        <f t="shared" si="27"/>
        <v/>
      </c>
      <c r="K400" s="394" t="str">
        <f t="shared" si="28"/>
        <v/>
      </c>
      <c r="O400" s="370">
        <v>379</v>
      </c>
      <c r="P400" t="s">
        <v>1329</v>
      </c>
      <c r="Q400" s="5">
        <v>37.4</v>
      </c>
      <c r="S400" s="1" t="str">
        <v/>
      </c>
    </row>
    <row r="401" spans="1:19" x14ac:dyDescent="0.25">
      <c r="A401" s="370" t="str">
        <v/>
      </c>
      <c r="H401" s="394" t="str">
        <f t="shared" si="25"/>
        <v/>
      </c>
      <c r="I401" s="394" t="str">
        <f t="shared" si="26"/>
        <v/>
      </c>
      <c r="J401" s="394" t="str">
        <f t="shared" si="27"/>
        <v/>
      </c>
      <c r="K401" s="394" t="str">
        <f t="shared" si="28"/>
        <v/>
      </c>
      <c r="O401" s="370">
        <v>380</v>
      </c>
      <c r="P401" t="s">
        <v>1330</v>
      </c>
      <c r="Q401" s="5">
        <v>39.6</v>
      </c>
      <c r="S401" s="1" t="str">
        <v/>
      </c>
    </row>
    <row r="402" spans="1:19" x14ac:dyDescent="0.25">
      <c r="A402" s="370" t="str">
        <v/>
      </c>
      <c r="H402" s="394" t="str">
        <f t="shared" si="25"/>
        <v/>
      </c>
      <c r="I402" s="394" t="str">
        <f t="shared" si="26"/>
        <v/>
      </c>
      <c r="J402" s="394" t="str">
        <f t="shared" si="27"/>
        <v/>
      </c>
      <c r="K402" s="394" t="str">
        <f t="shared" si="28"/>
        <v/>
      </c>
      <c r="O402" s="370">
        <v>381</v>
      </c>
      <c r="P402" t="s">
        <v>1331</v>
      </c>
      <c r="Q402" s="5">
        <v>41.8</v>
      </c>
      <c r="S402" s="1" t="str">
        <v/>
      </c>
    </row>
    <row r="403" spans="1:19" x14ac:dyDescent="0.25">
      <c r="A403" s="370" t="str">
        <v/>
      </c>
      <c r="H403" s="394" t="str">
        <f t="shared" si="25"/>
        <v/>
      </c>
      <c r="I403" s="394" t="str">
        <f t="shared" si="26"/>
        <v/>
      </c>
      <c r="J403" s="394" t="str">
        <f t="shared" si="27"/>
        <v/>
      </c>
      <c r="K403" s="394" t="str">
        <f t="shared" si="28"/>
        <v/>
      </c>
      <c r="O403" s="370">
        <v>382</v>
      </c>
      <c r="P403" t="s">
        <v>1332</v>
      </c>
      <c r="Q403" s="5">
        <v>44</v>
      </c>
      <c r="S403" s="1" t="str">
        <v/>
      </c>
    </row>
    <row r="404" spans="1:19" x14ac:dyDescent="0.25">
      <c r="A404" s="370" t="str">
        <v/>
      </c>
      <c r="H404" s="394" t="str">
        <f t="shared" si="25"/>
        <v/>
      </c>
      <c r="I404" s="394" t="str">
        <f t="shared" si="26"/>
        <v/>
      </c>
      <c r="J404" s="394" t="str">
        <f t="shared" si="27"/>
        <v/>
      </c>
      <c r="K404" s="394" t="str">
        <f t="shared" si="28"/>
        <v/>
      </c>
      <c r="O404" s="370">
        <v>383</v>
      </c>
      <c r="P404" t="s">
        <v>1346</v>
      </c>
      <c r="Q404" s="5">
        <v>17.600000000000001</v>
      </c>
      <c r="S404" s="1" t="str">
        <v/>
      </c>
    </row>
    <row r="405" spans="1:19" x14ac:dyDescent="0.25">
      <c r="A405" s="370" t="str">
        <v/>
      </c>
      <c r="H405" s="394" t="str">
        <f t="shared" si="25"/>
        <v/>
      </c>
      <c r="I405" s="394" t="str">
        <f t="shared" si="26"/>
        <v/>
      </c>
      <c r="J405" s="394" t="str">
        <f t="shared" si="27"/>
        <v/>
      </c>
      <c r="K405" s="394" t="str">
        <f t="shared" si="28"/>
        <v/>
      </c>
      <c r="O405" s="370">
        <v>384</v>
      </c>
      <c r="P405" t="s">
        <v>1347</v>
      </c>
      <c r="Q405" s="5">
        <v>19.8</v>
      </c>
      <c r="S405" s="1" t="str">
        <v/>
      </c>
    </row>
    <row r="406" spans="1:19" x14ac:dyDescent="0.25">
      <c r="A406" s="370" t="str">
        <v/>
      </c>
      <c r="H406" s="394" t="str">
        <f t="shared" si="25"/>
        <v/>
      </c>
      <c r="I406" s="394" t="str">
        <f t="shared" si="26"/>
        <v/>
      </c>
      <c r="J406" s="394" t="str">
        <f t="shared" si="27"/>
        <v/>
      </c>
      <c r="K406" s="394" t="str">
        <f t="shared" si="28"/>
        <v/>
      </c>
      <c r="O406" s="370">
        <v>385</v>
      </c>
      <c r="P406" t="s">
        <v>1333</v>
      </c>
      <c r="Q406" s="5">
        <v>2.38</v>
      </c>
      <c r="S406" s="1" t="str">
        <v/>
      </c>
    </row>
    <row r="407" spans="1:19" x14ac:dyDescent="0.25">
      <c r="A407" s="370" t="str">
        <v/>
      </c>
      <c r="H407" s="394" t="str">
        <f t="shared" ref="H407:H470" si="29">IF($C407="","",ROUND((($B$2*$F407*($B$5/1000))/$B$6)*(1+IF($B$18="",0,$B$18)),2))</f>
        <v/>
      </c>
      <c r="I407" s="394" t="str">
        <f t="shared" ref="I407:I470" si="30">IF($C407="","",ROUND((($B$3*$F407*($B$5/1000))/$B$6)*(1+IF($B$18="",0,$B$18)),2))</f>
        <v/>
      </c>
      <c r="J407" s="394" t="str">
        <f t="shared" ref="J407:J470" si="31">IF(OR($C407="",$B$9="",$B$15=""),"",ROUND((((((IF($B$15="N/A",$B$2,$B$4))*$F407*($B$5/1000))+((($G407/1000)*($B$5/1000)*10.7639104)*(IF($B$9="Smooth",$B$10,IF($B$9="Sand",$B$11,0)))))*(1+$B$17))/$B$8)*(1+IF($B$18="",0,$B$18)),2))</f>
        <v/>
      </c>
      <c r="K407" s="394" t="str">
        <f t="shared" ref="K407:K470" si="32">IF(OR($C407="",$B$12="",$B$15=""),"",ROUND((((((IF($B$15="N/A",$B$2,$B$4))*$F407*($B$5/1000))+((($G407/1000)*($B$5/1000)*10.7639104)*(IF($B$12="Indoor",$B$13,IF($B$12="Outdoor",$B$14,0)))))*(1+$B$17))/$B$8)*(1+IF($B$18="",0,$B$18)),2))</f>
        <v/>
      </c>
      <c r="O407" s="370">
        <v>386</v>
      </c>
      <c r="P407" t="s">
        <v>1340</v>
      </c>
      <c r="Q407" s="5">
        <v>2.25</v>
      </c>
      <c r="S407" s="1" t="str">
        <v/>
      </c>
    </row>
    <row r="408" spans="1:19" x14ac:dyDescent="0.25">
      <c r="A408" s="370" t="str">
        <v/>
      </c>
      <c r="H408" s="394" t="str">
        <f t="shared" si="29"/>
        <v/>
      </c>
      <c r="I408" s="394" t="str">
        <f t="shared" si="30"/>
        <v/>
      </c>
      <c r="J408" s="394" t="str">
        <f t="shared" si="31"/>
        <v/>
      </c>
      <c r="K408" s="394" t="str">
        <f t="shared" si="32"/>
        <v/>
      </c>
      <c r="O408" s="370">
        <v>387</v>
      </c>
      <c r="P408" t="s">
        <v>1344</v>
      </c>
      <c r="Q408" s="5">
        <v>5.44</v>
      </c>
      <c r="S408" s="1" t="str">
        <v/>
      </c>
    </row>
    <row r="409" spans="1:19" x14ac:dyDescent="0.25">
      <c r="A409" s="370" t="str">
        <v/>
      </c>
      <c r="H409" s="394" t="str">
        <f t="shared" si="29"/>
        <v/>
      </c>
      <c r="I409" s="394" t="str">
        <f t="shared" si="30"/>
        <v/>
      </c>
      <c r="J409" s="394" t="str">
        <f t="shared" si="31"/>
        <v/>
      </c>
      <c r="K409" s="394" t="str">
        <f t="shared" si="32"/>
        <v/>
      </c>
      <c r="O409" s="370">
        <v>388</v>
      </c>
      <c r="P409" t="s">
        <v>1972</v>
      </c>
      <c r="Q409" s="5">
        <f>CalcEngine!W8</f>
        <v>28.525461538461538</v>
      </c>
      <c r="S409" s="1" t="str">
        <v/>
      </c>
    </row>
    <row r="410" spans="1:19" x14ac:dyDescent="0.25">
      <c r="A410" s="370" t="str">
        <v/>
      </c>
      <c r="H410" s="394" t="str">
        <f t="shared" si="29"/>
        <v/>
      </c>
      <c r="I410" s="394" t="str">
        <f t="shared" si="30"/>
        <v/>
      </c>
      <c r="J410" s="394" t="str">
        <f t="shared" si="31"/>
        <v/>
      </c>
      <c r="K410" s="394" t="str">
        <f t="shared" si="32"/>
        <v/>
      </c>
      <c r="O410" s="370">
        <v>389</v>
      </c>
      <c r="P410" t="s">
        <v>1973</v>
      </c>
      <c r="Q410" s="5">
        <f>CalcEngine!W11</f>
        <v>32.037384615384617</v>
      </c>
      <c r="S410" s="1" t="str">
        <v/>
      </c>
    </row>
    <row r="411" spans="1:19" x14ac:dyDescent="0.25">
      <c r="A411" s="370" t="str">
        <v/>
      </c>
      <c r="H411" s="394" t="str">
        <f t="shared" si="29"/>
        <v/>
      </c>
      <c r="I411" s="394" t="str">
        <f t="shared" si="30"/>
        <v/>
      </c>
      <c r="J411" s="394" t="str">
        <f t="shared" si="31"/>
        <v/>
      </c>
      <c r="K411" s="394" t="str">
        <f t="shared" si="32"/>
        <v/>
      </c>
      <c r="O411" s="370">
        <v>390</v>
      </c>
      <c r="P411" t="s">
        <v>1430</v>
      </c>
      <c r="Q411" s="5">
        <v>3.5</v>
      </c>
      <c r="S411" s="1" t="str">
        <v/>
      </c>
    </row>
    <row r="412" spans="1:19" x14ac:dyDescent="0.25">
      <c r="A412" s="370" t="str">
        <v/>
      </c>
      <c r="H412" s="394" t="str">
        <f t="shared" si="29"/>
        <v/>
      </c>
      <c r="I412" s="394" t="str">
        <f t="shared" si="30"/>
        <v/>
      </c>
      <c r="J412" s="394" t="str">
        <f t="shared" si="31"/>
        <v/>
      </c>
      <c r="K412" s="394" t="str">
        <f t="shared" si="32"/>
        <v/>
      </c>
      <c r="O412" s="370">
        <v>391</v>
      </c>
      <c r="P412" t="s">
        <v>1431</v>
      </c>
      <c r="Q412" s="5">
        <v>4.5</v>
      </c>
      <c r="S412" s="1" t="str">
        <v/>
      </c>
    </row>
    <row r="413" spans="1:19" x14ac:dyDescent="0.25">
      <c r="A413" s="370" t="str">
        <v/>
      </c>
      <c r="H413" s="394" t="str">
        <f t="shared" si="29"/>
        <v/>
      </c>
      <c r="I413" s="394" t="str">
        <f t="shared" si="30"/>
        <v/>
      </c>
      <c r="J413" s="394" t="str">
        <f t="shared" si="31"/>
        <v/>
      </c>
      <c r="K413" s="394" t="str">
        <f t="shared" si="32"/>
        <v/>
      </c>
      <c r="O413" s="370">
        <v>392</v>
      </c>
      <c r="P413" t="s">
        <v>1341</v>
      </c>
      <c r="Q413" s="5">
        <v>1.35</v>
      </c>
      <c r="S413" s="1" t="str">
        <v/>
      </c>
    </row>
    <row r="414" spans="1:19" x14ac:dyDescent="0.25">
      <c r="A414" s="370" t="str">
        <v/>
      </c>
      <c r="H414" s="394" t="str">
        <f t="shared" si="29"/>
        <v/>
      </c>
      <c r="I414" s="394" t="str">
        <f t="shared" si="30"/>
        <v/>
      </c>
      <c r="J414" s="394" t="str">
        <f t="shared" si="31"/>
        <v/>
      </c>
      <c r="K414" s="394" t="str">
        <f t="shared" si="32"/>
        <v/>
      </c>
      <c r="O414" s="370">
        <v>393</v>
      </c>
      <c r="P414" t="s">
        <v>1343</v>
      </c>
      <c r="Q414" s="5">
        <v>4.0599999999999996</v>
      </c>
      <c r="S414" s="1" t="str">
        <v/>
      </c>
    </row>
    <row r="415" spans="1:19" x14ac:dyDescent="0.25">
      <c r="A415" s="370" t="str">
        <v/>
      </c>
      <c r="H415" s="394" t="str">
        <f t="shared" si="29"/>
        <v/>
      </c>
      <c r="I415" s="394" t="str">
        <f t="shared" si="30"/>
        <v/>
      </c>
      <c r="J415" s="394" t="str">
        <f t="shared" si="31"/>
        <v/>
      </c>
      <c r="K415" s="394" t="str">
        <f t="shared" si="32"/>
        <v/>
      </c>
      <c r="O415" s="370">
        <v>394</v>
      </c>
      <c r="P415" t="s">
        <v>1345</v>
      </c>
      <c r="Q415" s="5">
        <v>0.7</v>
      </c>
      <c r="S415" s="1" t="str">
        <v/>
      </c>
    </row>
    <row r="416" spans="1:19" x14ac:dyDescent="0.25">
      <c r="A416" s="370" t="str">
        <v/>
      </c>
      <c r="H416" s="394" t="str">
        <f t="shared" si="29"/>
        <v/>
      </c>
      <c r="I416" s="394" t="str">
        <f t="shared" si="30"/>
        <v/>
      </c>
      <c r="J416" s="394" t="str">
        <f t="shared" si="31"/>
        <v/>
      </c>
      <c r="K416" s="394" t="str">
        <f t="shared" si="32"/>
        <v/>
      </c>
      <c r="O416" s="370">
        <v>395</v>
      </c>
      <c r="P416" t="s">
        <v>212</v>
      </c>
      <c r="Q416" s="5">
        <v>7.01</v>
      </c>
      <c r="S416" s="1" t="str">
        <v/>
      </c>
    </row>
    <row r="417" spans="1:19" x14ac:dyDescent="0.25">
      <c r="A417" s="370" t="str">
        <v/>
      </c>
      <c r="H417" s="394" t="str">
        <f t="shared" si="29"/>
        <v/>
      </c>
      <c r="I417" s="394" t="str">
        <f t="shared" si="30"/>
        <v/>
      </c>
      <c r="J417" s="394" t="str">
        <f t="shared" si="31"/>
        <v/>
      </c>
      <c r="K417" s="394" t="str">
        <f t="shared" si="32"/>
        <v/>
      </c>
      <c r="O417" s="370">
        <v>396</v>
      </c>
      <c r="P417" t="s">
        <v>1423</v>
      </c>
      <c r="Q417" s="5">
        <v>13.5</v>
      </c>
      <c r="S417" s="1" t="str">
        <v/>
      </c>
    </row>
    <row r="418" spans="1:19" x14ac:dyDescent="0.25">
      <c r="A418" s="370" t="str">
        <v/>
      </c>
      <c r="H418" s="394" t="str">
        <f t="shared" si="29"/>
        <v/>
      </c>
      <c r="I418" s="394" t="str">
        <f t="shared" si="30"/>
        <v/>
      </c>
      <c r="J418" s="394" t="str">
        <f t="shared" si="31"/>
        <v/>
      </c>
      <c r="K418" s="394" t="str">
        <f t="shared" si="32"/>
        <v/>
      </c>
      <c r="O418" s="370">
        <v>397</v>
      </c>
      <c r="P418" t="s">
        <v>1424</v>
      </c>
      <c r="Q418" s="5">
        <v>15</v>
      </c>
      <c r="S418" s="1" t="str">
        <v/>
      </c>
    </row>
    <row r="419" spans="1:19" x14ac:dyDescent="0.25">
      <c r="A419" s="370" t="str">
        <v/>
      </c>
      <c r="H419" s="394" t="str">
        <f t="shared" si="29"/>
        <v/>
      </c>
      <c r="I419" s="394" t="str">
        <f t="shared" si="30"/>
        <v/>
      </c>
      <c r="J419" s="394" t="str">
        <f t="shared" si="31"/>
        <v/>
      </c>
      <c r="K419" s="394" t="str">
        <f t="shared" si="32"/>
        <v/>
      </c>
      <c r="O419" s="370">
        <v>398</v>
      </c>
      <c r="P419" t="s">
        <v>1422</v>
      </c>
      <c r="Q419" s="5">
        <v>18.75</v>
      </c>
      <c r="S419" s="1" t="str">
        <v/>
      </c>
    </row>
    <row r="420" spans="1:19" x14ac:dyDescent="0.25">
      <c r="A420" s="370" t="str">
        <v/>
      </c>
      <c r="H420" s="394" t="str">
        <f t="shared" si="29"/>
        <v/>
      </c>
      <c r="I420" s="394" t="str">
        <f t="shared" si="30"/>
        <v/>
      </c>
      <c r="J420" s="394" t="str">
        <f t="shared" si="31"/>
        <v/>
      </c>
      <c r="K420" s="394" t="str">
        <f t="shared" si="32"/>
        <v/>
      </c>
      <c r="O420" s="370">
        <v>399</v>
      </c>
      <c r="P420" t="s">
        <v>1352</v>
      </c>
      <c r="Q420" s="5">
        <v>5.28</v>
      </c>
      <c r="S420" s="1" t="str">
        <v/>
      </c>
    </row>
    <row r="421" spans="1:19" x14ac:dyDescent="0.25">
      <c r="A421" s="370" t="str">
        <v/>
      </c>
      <c r="H421" s="394" t="str">
        <f t="shared" si="29"/>
        <v/>
      </c>
      <c r="I421" s="394" t="str">
        <f t="shared" si="30"/>
        <v/>
      </c>
      <c r="J421" s="394" t="str">
        <f t="shared" si="31"/>
        <v/>
      </c>
      <c r="K421" s="394" t="str">
        <f t="shared" si="32"/>
        <v/>
      </c>
      <c r="O421" s="370">
        <v>400</v>
      </c>
      <c r="P421" t="s">
        <v>1353</v>
      </c>
      <c r="Q421" s="5">
        <v>1.6</v>
      </c>
      <c r="S421" s="1" t="str">
        <v/>
      </c>
    </row>
    <row r="422" spans="1:19" x14ac:dyDescent="0.25">
      <c r="A422" s="370" t="str">
        <v/>
      </c>
      <c r="H422" s="394" t="str">
        <f t="shared" si="29"/>
        <v/>
      </c>
      <c r="I422" s="394" t="str">
        <f t="shared" si="30"/>
        <v/>
      </c>
      <c r="J422" s="394" t="str">
        <f t="shared" si="31"/>
        <v/>
      </c>
      <c r="K422" s="394" t="str">
        <f t="shared" si="32"/>
        <v/>
      </c>
      <c r="O422" s="370">
        <v>401</v>
      </c>
      <c r="P422" t="s">
        <v>1342</v>
      </c>
      <c r="Q422" s="5">
        <v>0.63</v>
      </c>
      <c r="S422" s="1" t="str">
        <v/>
      </c>
    </row>
    <row r="423" spans="1:19" x14ac:dyDescent="0.25">
      <c r="A423" s="370" t="str">
        <v/>
      </c>
      <c r="H423" s="394" t="str">
        <f t="shared" si="29"/>
        <v/>
      </c>
      <c r="I423" s="394" t="str">
        <f t="shared" si="30"/>
        <v/>
      </c>
      <c r="J423" s="394" t="str">
        <f t="shared" si="31"/>
        <v/>
      </c>
      <c r="K423" s="394" t="str">
        <f t="shared" si="32"/>
        <v/>
      </c>
      <c r="O423" s="370">
        <v>402</v>
      </c>
      <c r="P423" t="s">
        <v>1354</v>
      </c>
      <c r="Q423" s="5">
        <v>5.9</v>
      </c>
      <c r="S423" s="1" t="str">
        <v/>
      </c>
    </row>
    <row r="424" spans="1:19" x14ac:dyDescent="0.25">
      <c r="A424" s="370" t="str">
        <v/>
      </c>
      <c r="H424" s="394" t="str">
        <f t="shared" si="29"/>
        <v/>
      </c>
      <c r="I424" s="394" t="str">
        <f t="shared" si="30"/>
        <v/>
      </c>
      <c r="J424" s="394" t="str">
        <f t="shared" si="31"/>
        <v/>
      </c>
      <c r="K424" s="394" t="str">
        <f t="shared" si="32"/>
        <v/>
      </c>
      <c r="O424" s="370" t="str">
        <v/>
      </c>
      <c r="S424" s="1" t="str">
        <v/>
      </c>
    </row>
    <row r="425" spans="1:19" x14ac:dyDescent="0.25">
      <c r="A425" s="370" t="str">
        <v/>
      </c>
      <c r="H425" s="394" t="str">
        <f t="shared" si="29"/>
        <v/>
      </c>
      <c r="I425" s="394" t="str">
        <f t="shared" si="30"/>
        <v/>
      </c>
      <c r="J425" s="394" t="str">
        <f t="shared" si="31"/>
        <v/>
      </c>
      <c r="K425" s="394" t="str">
        <f t="shared" si="32"/>
        <v/>
      </c>
      <c r="O425" s="370">
        <v>403</v>
      </c>
      <c r="P425" t="s">
        <v>1376</v>
      </c>
      <c r="Q425">
        <v>1.35</v>
      </c>
      <c r="S425" s="1" t="str">
        <v/>
      </c>
    </row>
    <row r="426" spans="1:19" x14ac:dyDescent="0.25">
      <c r="A426" s="370" t="str">
        <v/>
      </c>
      <c r="H426" s="394" t="str">
        <f t="shared" si="29"/>
        <v/>
      </c>
      <c r="I426" s="394" t="str">
        <f t="shared" si="30"/>
        <v/>
      </c>
      <c r="J426" s="394" t="str">
        <f t="shared" si="31"/>
        <v/>
      </c>
      <c r="K426" s="394" t="str">
        <f t="shared" si="32"/>
        <v/>
      </c>
      <c r="O426" s="370">
        <v>404</v>
      </c>
      <c r="P426" t="s">
        <v>1377</v>
      </c>
      <c r="Q426">
        <v>1.48</v>
      </c>
      <c r="S426" s="1" t="str">
        <v/>
      </c>
    </row>
    <row r="427" spans="1:19" x14ac:dyDescent="0.25">
      <c r="A427" s="370" t="str">
        <v/>
      </c>
      <c r="H427" s="394" t="str">
        <f t="shared" si="29"/>
        <v/>
      </c>
      <c r="I427" s="394" t="str">
        <f t="shared" si="30"/>
        <v/>
      </c>
      <c r="J427" s="394" t="str">
        <f t="shared" si="31"/>
        <v/>
      </c>
      <c r="K427" s="394" t="str">
        <f t="shared" si="32"/>
        <v/>
      </c>
      <c r="O427" s="370">
        <v>405</v>
      </c>
      <c r="P427" t="s">
        <v>1379</v>
      </c>
      <c r="Q427">
        <v>1.68</v>
      </c>
      <c r="S427" s="1" t="str">
        <v/>
      </c>
    </row>
    <row r="428" spans="1:19" x14ac:dyDescent="0.25">
      <c r="A428" s="370" t="str">
        <v/>
      </c>
      <c r="H428" s="394" t="str">
        <f t="shared" si="29"/>
        <v/>
      </c>
      <c r="I428" s="394" t="str">
        <f t="shared" si="30"/>
        <v/>
      </c>
      <c r="J428" s="394" t="str">
        <f t="shared" si="31"/>
        <v/>
      </c>
      <c r="K428" s="394" t="str">
        <f t="shared" si="32"/>
        <v/>
      </c>
      <c r="O428" s="370">
        <v>406</v>
      </c>
      <c r="P428" t="s">
        <v>1398</v>
      </c>
      <c r="Q428">
        <v>1.68</v>
      </c>
      <c r="S428" s="1" t="str">
        <v/>
      </c>
    </row>
    <row r="429" spans="1:19" x14ac:dyDescent="0.25">
      <c r="A429" s="370" t="str">
        <v/>
      </c>
      <c r="H429" s="394" t="str">
        <f t="shared" si="29"/>
        <v/>
      </c>
      <c r="I429" s="394" t="str">
        <f t="shared" si="30"/>
        <v/>
      </c>
      <c r="J429" s="394" t="str">
        <f t="shared" si="31"/>
        <v/>
      </c>
      <c r="K429" s="394" t="str">
        <f t="shared" si="32"/>
        <v/>
      </c>
      <c r="O429" s="370">
        <v>407</v>
      </c>
      <c r="P429" t="s">
        <v>1399</v>
      </c>
      <c r="Q429">
        <v>1.68</v>
      </c>
      <c r="S429" s="1" t="str">
        <v/>
      </c>
    </row>
    <row r="430" spans="1:19" x14ac:dyDescent="0.25">
      <c r="A430" s="370" t="str">
        <v/>
      </c>
      <c r="H430" s="394" t="str">
        <f t="shared" si="29"/>
        <v/>
      </c>
      <c r="I430" s="394" t="str">
        <f t="shared" si="30"/>
        <v/>
      </c>
      <c r="J430" s="394" t="str">
        <f t="shared" si="31"/>
        <v/>
      </c>
      <c r="K430" s="394" t="str">
        <f t="shared" si="32"/>
        <v/>
      </c>
      <c r="O430" s="370">
        <v>408</v>
      </c>
      <c r="P430" t="s">
        <v>1382</v>
      </c>
      <c r="Q430">
        <v>1.68</v>
      </c>
      <c r="S430" s="1" t="str">
        <v/>
      </c>
    </row>
    <row r="431" spans="1:19" x14ac:dyDescent="0.25">
      <c r="A431" s="370" t="str">
        <v/>
      </c>
      <c r="H431" s="394" t="str">
        <f t="shared" si="29"/>
        <v/>
      </c>
      <c r="I431" s="394" t="str">
        <f t="shared" si="30"/>
        <v/>
      </c>
      <c r="J431" s="394" t="str">
        <f t="shared" si="31"/>
        <v/>
      </c>
      <c r="K431" s="394" t="str">
        <f t="shared" si="32"/>
        <v/>
      </c>
      <c r="O431" s="370">
        <v>409</v>
      </c>
      <c r="P431" t="s">
        <v>1378</v>
      </c>
      <c r="Q431">
        <v>1.68</v>
      </c>
      <c r="S431" s="1" t="str">
        <v/>
      </c>
    </row>
    <row r="432" spans="1:19" x14ac:dyDescent="0.25">
      <c r="A432" s="370" t="str">
        <v/>
      </c>
      <c r="H432" s="394" t="str">
        <f t="shared" si="29"/>
        <v/>
      </c>
      <c r="I432" s="394" t="str">
        <f t="shared" si="30"/>
        <v/>
      </c>
      <c r="J432" s="394" t="str">
        <f t="shared" si="31"/>
        <v/>
      </c>
      <c r="K432" s="394" t="str">
        <f t="shared" si="32"/>
        <v/>
      </c>
      <c r="O432" s="370">
        <v>410</v>
      </c>
      <c r="P432" t="s">
        <v>1381</v>
      </c>
      <c r="Q432">
        <v>1.68</v>
      </c>
      <c r="S432" s="1" t="str">
        <v/>
      </c>
    </row>
    <row r="433" spans="1:19" x14ac:dyDescent="0.25">
      <c r="A433" s="370" t="str">
        <v/>
      </c>
      <c r="H433" s="394" t="str">
        <f t="shared" si="29"/>
        <v/>
      </c>
      <c r="I433" s="394" t="str">
        <f t="shared" si="30"/>
        <v/>
      </c>
      <c r="J433" s="394" t="str">
        <f t="shared" si="31"/>
        <v/>
      </c>
      <c r="K433" s="394" t="str">
        <f t="shared" si="32"/>
        <v/>
      </c>
      <c r="O433" s="370">
        <v>411</v>
      </c>
      <c r="P433" t="s">
        <v>1380</v>
      </c>
      <c r="Q433">
        <v>1.68</v>
      </c>
      <c r="S433" s="1" t="str">
        <v/>
      </c>
    </row>
    <row r="434" spans="1:19" x14ac:dyDescent="0.25">
      <c r="A434" s="370" t="str">
        <v/>
      </c>
      <c r="H434" s="394" t="str">
        <f t="shared" si="29"/>
        <v/>
      </c>
      <c r="I434" s="394" t="str">
        <f t="shared" si="30"/>
        <v/>
      </c>
      <c r="J434" s="394" t="str">
        <f t="shared" si="31"/>
        <v/>
      </c>
      <c r="K434" s="394" t="str">
        <f t="shared" si="32"/>
        <v/>
      </c>
      <c r="O434" s="370">
        <v>412</v>
      </c>
      <c r="P434" t="s">
        <v>1400</v>
      </c>
      <c r="Q434">
        <v>1.99</v>
      </c>
      <c r="S434" s="1" t="str">
        <v/>
      </c>
    </row>
    <row r="435" spans="1:19" x14ac:dyDescent="0.25">
      <c r="A435" s="370" t="str">
        <v/>
      </c>
      <c r="H435" s="394" t="str">
        <f t="shared" si="29"/>
        <v/>
      </c>
      <c r="I435" s="394" t="str">
        <f t="shared" si="30"/>
        <v/>
      </c>
      <c r="J435" s="394" t="str">
        <f t="shared" si="31"/>
        <v/>
      </c>
      <c r="K435" s="394" t="str">
        <f t="shared" si="32"/>
        <v/>
      </c>
      <c r="O435" s="370">
        <v>413</v>
      </c>
      <c r="P435" t="s">
        <v>1383</v>
      </c>
      <c r="Q435">
        <v>1.99</v>
      </c>
      <c r="S435" s="1" t="str">
        <v/>
      </c>
    </row>
    <row r="436" spans="1:19" x14ac:dyDescent="0.25">
      <c r="A436" s="370" t="str">
        <v/>
      </c>
      <c r="H436" s="394" t="str">
        <f t="shared" si="29"/>
        <v/>
      </c>
      <c r="I436" s="394" t="str">
        <f t="shared" si="30"/>
        <v/>
      </c>
      <c r="J436" s="394" t="str">
        <f t="shared" si="31"/>
        <v/>
      </c>
      <c r="K436" s="394" t="str">
        <f t="shared" si="32"/>
        <v/>
      </c>
      <c r="O436" s="370">
        <v>414</v>
      </c>
      <c r="P436" t="s">
        <v>1384</v>
      </c>
      <c r="Q436">
        <v>1.99</v>
      </c>
      <c r="S436" s="1" t="str">
        <v/>
      </c>
    </row>
    <row r="437" spans="1:19" x14ac:dyDescent="0.25">
      <c r="A437" s="370" t="str">
        <v/>
      </c>
      <c r="H437" s="394" t="str">
        <f t="shared" si="29"/>
        <v/>
      </c>
      <c r="I437" s="394" t="str">
        <f t="shared" si="30"/>
        <v/>
      </c>
      <c r="J437" s="394" t="str">
        <f t="shared" si="31"/>
        <v/>
      </c>
      <c r="K437" s="394" t="str">
        <f t="shared" si="32"/>
        <v/>
      </c>
      <c r="O437" s="370">
        <v>415</v>
      </c>
      <c r="P437" t="s">
        <v>1386</v>
      </c>
      <c r="Q437">
        <v>1.99</v>
      </c>
      <c r="S437" s="1" t="str">
        <v/>
      </c>
    </row>
    <row r="438" spans="1:19" x14ac:dyDescent="0.25">
      <c r="A438" s="370" t="str">
        <v/>
      </c>
      <c r="H438" s="394" t="str">
        <f t="shared" si="29"/>
        <v/>
      </c>
      <c r="I438" s="394" t="str">
        <f t="shared" si="30"/>
        <v/>
      </c>
      <c r="J438" s="394" t="str">
        <f t="shared" si="31"/>
        <v/>
      </c>
      <c r="K438" s="394" t="str">
        <f t="shared" si="32"/>
        <v/>
      </c>
      <c r="O438" s="370">
        <v>416</v>
      </c>
      <c r="P438" t="s">
        <v>1385</v>
      </c>
      <c r="Q438">
        <v>1.99</v>
      </c>
      <c r="S438" s="1" t="str">
        <v/>
      </c>
    </row>
    <row r="439" spans="1:19" x14ac:dyDescent="0.25">
      <c r="A439" s="370" t="str">
        <v/>
      </c>
      <c r="H439" s="394" t="str">
        <f t="shared" si="29"/>
        <v/>
      </c>
      <c r="I439" s="394" t="str">
        <f t="shared" si="30"/>
        <v/>
      </c>
      <c r="J439" s="394" t="str">
        <f t="shared" si="31"/>
        <v/>
      </c>
      <c r="K439" s="394" t="str">
        <f t="shared" si="32"/>
        <v/>
      </c>
      <c r="O439" s="370">
        <v>417</v>
      </c>
      <c r="P439" t="s">
        <v>1387</v>
      </c>
      <c r="Q439">
        <v>2.1800000000000002</v>
      </c>
      <c r="S439" s="1" t="str">
        <v/>
      </c>
    </row>
    <row r="440" spans="1:19" x14ac:dyDescent="0.25">
      <c r="A440" s="370" t="str">
        <v/>
      </c>
      <c r="H440" s="394" t="str">
        <f t="shared" si="29"/>
        <v/>
      </c>
      <c r="I440" s="394" t="str">
        <f t="shared" si="30"/>
        <v/>
      </c>
      <c r="J440" s="394" t="str">
        <f t="shared" si="31"/>
        <v/>
      </c>
      <c r="K440" s="394" t="str">
        <f t="shared" si="32"/>
        <v/>
      </c>
      <c r="O440" s="370">
        <v>418</v>
      </c>
      <c r="P440" t="s">
        <v>1388</v>
      </c>
      <c r="Q440">
        <v>2.1800000000000002</v>
      </c>
      <c r="S440" s="1" t="str">
        <v/>
      </c>
    </row>
    <row r="441" spans="1:19" x14ac:dyDescent="0.25">
      <c r="A441" s="370" t="str">
        <v/>
      </c>
      <c r="H441" s="394" t="str">
        <f t="shared" si="29"/>
        <v/>
      </c>
      <c r="I441" s="394" t="str">
        <f t="shared" si="30"/>
        <v/>
      </c>
      <c r="J441" s="394" t="str">
        <f t="shared" si="31"/>
        <v/>
      </c>
      <c r="K441" s="394" t="str">
        <f t="shared" si="32"/>
        <v/>
      </c>
      <c r="O441" s="370">
        <v>419</v>
      </c>
      <c r="P441" t="s">
        <v>1392</v>
      </c>
      <c r="Q441">
        <v>2.2799999999999998</v>
      </c>
      <c r="S441" s="1" t="str">
        <v/>
      </c>
    </row>
    <row r="442" spans="1:19" x14ac:dyDescent="0.25">
      <c r="A442" s="370" t="str">
        <v/>
      </c>
      <c r="H442" s="394" t="str">
        <f t="shared" si="29"/>
        <v/>
      </c>
      <c r="I442" s="394" t="str">
        <f t="shared" si="30"/>
        <v/>
      </c>
      <c r="J442" s="394" t="str">
        <f t="shared" si="31"/>
        <v/>
      </c>
      <c r="K442" s="394" t="str">
        <f t="shared" si="32"/>
        <v/>
      </c>
      <c r="O442" s="370">
        <v>420</v>
      </c>
      <c r="P442" t="s">
        <v>1390</v>
      </c>
      <c r="Q442">
        <v>2.2799999999999998</v>
      </c>
      <c r="S442" s="1" t="str">
        <v/>
      </c>
    </row>
    <row r="443" spans="1:19" x14ac:dyDescent="0.25">
      <c r="A443" s="370" t="str">
        <v/>
      </c>
      <c r="H443" s="394" t="str">
        <f t="shared" si="29"/>
        <v/>
      </c>
      <c r="I443" s="394" t="str">
        <f t="shared" si="30"/>
        <v/>
      </c>
      <c r="J443" s="394" t="str">
        <f t="shared" si="31"/>
        <v/>
      </c>
      <c r="K443" s="394" t="str">
        <f t="shared" si="32"/>
        <v/>
      </c>
      <c r="O443" s="370">
        <v>421</v>
      </c>
      <c r="P443" t="s">
        <v>1389</v>
      </c>
      <c r="Q443">
        <v>2.2799999999999998</v>
      </c>
      <c r="S443" s="1" t="str">
        <v/>
      </c>
    </row>
    <row r="444" spans="1:19" x14ac:dyDescent="0.25">
      <c r="A444" s="370" t="str">
        <v/>
      </c>
      <c r="H444" s="394" t="str">
        <f t="shared" si="29"/>
        <v/>
      </c>
      <c r="I444" s="394" t="str">
        <f t="shared" si="30"/>
        <v/>
      </c>
      <c r="J444" s="394" t="str">
        <f t="shared" si="31"/>
        <v/>
      </c>
      <c r="K444" s="394" t="str">
        <f t="shared" si="32"/>
        <v/>
      </c>
      <c r="O444" s="370">
        <v>422</v>
      </c>
      <c r="P444" t="s">
        <v>1391</v>
      </c>
      <c r="Q444">
        <v>2.2799999999999998</v>
      </c>
      <c r="S444" s="1" t="str">
        <v/>
      </c>
    </row>
    <row r="445" spans="1:19" x14ac:dyDescent="0.25">
      <c r="A445" s="370" t="str">
        <v/>
      </c>
      <c r="H445" s="394" t="str">
        <f t="shared" si="29"/>
        <v/>
      </c>
      <c r="I445" s="394" t="str">
        <f t="shared" si="30"/>
        <v/>
      </c>
      <c r="J445" s="394" t="str">
        <f t="shared" si="31"/>
        <v/>
      </c>
      <c r="K445" s="394" t="str">
        <f t="shared" si="32"/>
        <v/>
      </c>
      <c r="O445" s="370">
        <v>423</v>
      </c>
      <c r="P445" t="s">
        <v>1393</v>
      </c>
      <c r="Q445">
        <v>2.2799999999999998</v>
      </c>
      <c r="S445" s="1" t="str">
        <v/>
      </c>
    </row>
    <row r="446" spans="1:19" x14ac:dyDescent="0.25">
      <c r="A446" s="370" t="str">
        <v/>
      </c>
      <c r="H446" s="394" t="str">
        <f t="shared" si="29"/>
        <v/>
      </c>
      <c r="I446" s="394" t="str">
        <f t="shared" si="30"/>
        <v/>
      </c>
      <c r="J446" s="394" t="str">
        <f t="shared" si="31"/>
        <v/>
      </c>
      <c r="K446" s="394" t="str">
        <f t="shared" si="32"/>
        <v/>
      </c>
      <c r="O446" s="370">
        <v>424</v>
      </c>
      <c r="P446" t="s">
        <v>1394</v>
      </c>
      <c r="Q446">
        <v>2.48</v>
      </c>
      <c r="S446" s="1" t="str">
        <v/>
      </c>
    </row>
    <row r="447" spans="1:19" x14ac:dyDescent="0.25">
      <c r="A447" s="370" t="str">
        <v/>
      </c>
      <c r="H447" s="394" t="str">
        <f t="shared" si="29"/>
        <v/>
      </c>
      <c r="I447" s="394" t="str">
        <f t="shared" si="30"/>
        <v/>
      </c>
      <c r="J447" s="394" t="str">
        <f t="shared" si="31"/>
        <v/>
      </c>
      <c r="K447" s="394" t="str">
        <f t="shared" si="32"/>
        <v/>
      </c>
      <c r="O447" s="370">
        <v>425</v>
      </c>
      <c r="P447" t="s">
        <v>1395</v>
      </c>
      <c r="Q447">
        <v>2.48</v>
      </c>
      <c r="S447" s="1" t="str">
        <v/>
      </c>
    </row>
    <row r="448" spans="1:19" x14ac:dyDescent="0.25">
      <c r="A448" s="370" t="str">
        <v/>
      </c>
      <c r="H448" s="394" t="str">
        <f t="shared" si="29"/>
        <v/>
      </c>
      <c r="I448" s="394" t="str">
        <f t="shared" si="30"/>
        <v/>
      </c>
      <c r="J448" s="394" t="str">
        <f t="shared" si="31"/>
        <v/>
      </c>
      <c r="K448" s="394" t="str">
        <f t="shared" si="32"/>
        <v/>
      </c>
      <c r="O448" s="370">
        <v>426</v>
      </c>
      <c r="P448" t="s">
        <v>1401</v>
      </c>
      <c r="Q448">
        <v>2.59</v>
      </c>
      <c r="S448" s="1" t="str">
        <v/>
      </c>
    </row>
    <row r="449" spans="1:19" x14ac:dyDescent="0.25">
      <c r="A449" s="370" t="str">
        <v/>
      </c>
      <c r="H449" s="394" t="str">
        <f t="shared" si="29"/>
        <v/>
      </c>
      <c r="I449" s="394" t="str">
        <f t="shared" si="30"/>
        <v/>
      </c>
      <c r="J449" s="394" t="str">
        <f t="shared" si="31"/>
        <v/>
      </c>
      <c r="K449" s="394" t="str">
        <f t="shared" si="32"/>
        <v/>
      </c>
      <c r="O449" s="370">
        <v>427</v>
      </c>
      <c r="P449" t="s">
        <v>1396</v>
      </c>
      <c r="Q449">
        <v>2.88</v>
      </c>
      <c r="S449" s="1" t="str">
        <v/>
      </c>
    </row>
    <row r="450" spans="1:19" x14ac:dyDescent="0.25">
      <c r="A450" s="370" t="str">
        <v/>
      </c>
      <c r="H450" s="394" t="str">
        <f t="shared" si="29"/>
        <v/>
      </c>
      <c r="I450" s="394" t="str">
        <f t="shared" si="30"/>
        <v/>
      </c>
      <c r="J450" s="394" t="str">
        <f t="shared" si="31"/>
        <v/>
      </c>
      <c r="K450" s="394" t="str">
        <f t="shared" si="32"/>
        <v/>
      </c>
      <c r="O450" s="370" t="str">
        <v/>
      </c>
      <c r="S450" s="1" t="str">
        <v/>
      </c>
    </row>
    <row r="451" spans="1:19" x14ac:dyDescent="0.25">
      <c r="A451" s="370" t="str">
        <v/>
      </c>
      <c r="H451" s="394" t="str">
        <f t="shared" si="29"/>
        <v/>
      </c>
      <c r="I451" s="394" t="str">
        <f t="shared" si="30"/>
        <v/>
      </c>
      <c r="J451" s="394" t="str">
        <f t="shared" si="31"/>
        <v/>
      </c>
      <c r="K451" s="394" t="str">
        <f t="shared" si="32"/>
        <v/>
      </c>
      <c r="O451" s="370" t="str">
        <v/>
      </c>
      <c r="S451" s="1" t="str">
        <v/>
      </c>
    </row>
    <row r="452" spans="1:19" x14ac:dyDescent="0.25">
      <c r="A452" s="370" t="str">
        <v/>
      </c>
      <c r="H452" s="394" t="str">
        <f t="shared" si="29"/>
        <v/>
      </c>
      <c r="I452" s="394" t="str">
        <f t="shared" si="30"/>
        <v/>
      </c>
      <c r="J452" s="394" t="str">
        <f t="shared" si="31"/>
        <v/>
      </c>
      <c r="K452" s="394" t="str">
        <f t="shared" si="32"/>
        <v/>
      </c>
      <c r="O452" s="370" t="str">
        <v/>
      </c>
      <c r="S452" s="1" t="str">
        <v/>
      </c>
    </row>
    <row r="453" spans="1:19" x14ac:dyDescent="0.25">
      <c r="A453" s="370" t="str">
        <v/>
      </c>
      <c r="H453" s="394" t="str">
        <f t="shared" si="29"/>
        <v/>
      </c>
      <c r="I453" s="394" t="str">
        <f t="shared" si="30"/>
        <v/>
      </c>
      <c r="J453" s="394" t="str">
        <f t="shared" si="31"/>
        <v/>
      </c>
      <c r="K453" s="394" t="str">
        <f t="shared" si="32"/>
        <v/>
      </c>
      <c r="O453" s="370" t="str">
        <v/>
      </c>
      <c r="S453" s="1" t="str">
        <v/>
      </c>
    </row>
    <row r="454" spans="1:19" x14ac:dyDescent="0.25">
      <c r="A454" s="370" t="str">
        <v/>
      </c>
      <c r="H454" s="394" t="str">
        <f t="shared" si="29"/>
        <v/>
      </c>
      <c r="I454" s="394" t="str">
        <f t="shared" si="30"/>
        <v/>
      </c>
      <c r="J454" s="394" t="str">
        <f t="shared" si="31"/>
        <v/>
      </c>
      <c r="K454" s="394" t="str">
        <f t="shared" si="32"/>
        <v/>
      </c>
      <c r="O454" s="370" t="str">
        <v/>
      </c>
      <c r="S454" s="1" t="str">
        <v/>
      </c>
    </row>
    <row r="455" spans="1:19" x14ac:dyDescent="0.25">
      <c r="A455" s="370" t="str">
        <v/>
      </c>
      <c r="H455" s="394" t="str">
        <f t="shared" si="29"/>
        <v/>
      </c>
      <c r="I455" s="394" t="str">
        <f t="shared" si="30"/>
        <v/>
      </c>
      <c r="J455" s="394" t="str">
        <f t="shared" si="31"/>
        <v/>
      </c>
      <c r="K455" s="394" t="str">
        <f t="shared" si="32"/>
        <v/>
      </c>
      <c r="O455" s="370" t="str">
        <v/>
      </c>
      <c r="S455" s="1" t="str">
        <v/>
      </c>
    </row>
    <row r="456" spans="1:19" x14ac:dyDescent="0.25">
      <c r="A456" s="370" t="str">
        <v/>
      </c>
      <c r="H456" s="394" t="str">
        <f t="shared" si="29"/>
        <v/>
      </c>
      <c r="I456" s="394" t="str">
        <f t="shared" si="30"/>
        <v/>
      </c>
      <c r="J456" s="394" t="str">
        <f t="shared" si="31"/>
        <v/>
      </c>
      <c r="K456" s="394" t="str">
        <f t="shared" si="32"/>
        <v/>
      </c>
      <c r="O456" s="370" t="str">
        <v/>
      </c>
      <c r="S456" s="1" t="str">
        <v/>
      </c>
    </row>
    <row r="457" spans="1:19" x14ac:dyDescent="0.25">
      <c r="A457" s="370" t="str">
        <v/>
      </c>
      <c r="H457" s="394" t="str">
        <f t="shared" si="29"/>
        <v/>
      </c>
      <c r="I457" s="394" t="str">
        <f t="shared" si="30"/>
        <v/>
      </c>
      <c r="J457" s="394" t="str">
        <f t="shared" si="31"/>
        <v/>
      </c>
      <c r="K457" s="394" t="str">
        <f t="shared" si="32"/>
        <v/>
      </c>
      <c r="O457" s="370" t="str">
        <v/>
      </c>
      <c r="S457" s="1" t="str">
        <v/>
      </c>
    </row>
    <row r="458" spans="1:19" x14ac:dyDescent="0.25">
      <c r="A458" s="370" t="str">
        <v/>
      </c>
      <c r="H458" s="394" t="str">
        <f t="shared" si="29"/>
        <v/>
      </c>
      <c r="I458" s="394" t="str">
        <f t="shared" si="30"/>
        <v/>
      </c>
      <c r="J458" s="394" t="str">
        <f t="shared" si="31"/>
        <v/>
      </c>
      <c r="K458" s="394" t="str">
        <f t="shared" si="32"/>
        <v/>
      </c>
      <c r="O458" s="370" t="str">
        <v/>
      </c>
      <c r="S458" s="1" t="str">
        <v/>
      </c>
    </row>
    <row r="459" spans="1:19" x14ac:dyDescent="0.25">
      <c r="A459" s="370" t="str">
        <v/>
      </c>
      <c r="H459" s="394" t="str">
        <f t="shared" si="29"/>
        <v/>
      </c>
      <c r="I459" s="394" t="str">
        <f t="shared" si="30"/>
        <v/>
      </c>
      <c r="J459" s="394" t="str">
        <f t="shared" si="31"/>
        <v/>
      </c>
      <c r="K459" s="394" t="str">
        <f t="shared" si="32"/>
        <v/>
      </c>
      <c r="O459" s="370" t="str">
        <v/>
      </c>
      <c r="S459" s="1" t="str">
        <v/>
      </c>
    </row>
    <row r="460" spans="1:19" x14ac:dyDescent="0.25">
      <c r="A460" s="370" t="str">
        <v/>
      </c>
      <c r="H460" s="394" t="str">
        <f t="shared" si="29"/>
        <v/>
      </c>
      <c r="I460" s="394" t="str">
        <f t="shared" si="30"/>
        <v/>
      </c>
      <c r="J460" s="394" t="str">
        <f t="shared" si="31"/>
        <v/>
      </c>
      <c r="K460" s="394" t="str">
        <f t="shared" si="32"/>
        <v/>
      </c>
      <c r="O460" s="370" t="str">
        <v/>
      </c>
      <c r="S460" s="1" t="str">
        <v/>
      </c>
    </row>
    <row r="461" spans="1:19" x14ac:dyDescent="0.25">
      <c r="A461" s="370" t="str">
        <v/>
      </c>
      <c r="H461" s="394" t="str">
        <f t="shared" si="29"/>
        <v/>
      </c>
      <c r="I461" s="394" t="str">
        <f t="shared" si="30"/>
        <v/>
      </c>
      <c r="J461" s="394" t="str">
        <f t="shared" si="31"/>
        <v/>
      </c>
      <c r="K461" s="394" t="str">
        <f t="shared" si="32"/>
        <v/>
      </c>
      <c r="O461" s="370" t="str">
        <v/>
      </c>
      <c r="S461" s="1" t="str">
        <v/>
      </c>
    </row>
    <row r="462" spans="1:19" x14ac:dyDescent="0.25">
      <c r="A462" s="370" t="str">
        <v/>
      </c>
      <c r="H462" s="394" t="str">
        <f t="shared" si="29"/>
        <v/>
      </c>
      <c r="I462" s="394" t="str">
        <f t="shared" si="30"/>
        <v/>
      </c>
      <c r="J462" s="394" t="str">
        <f t="shared" si="31"/>
        <v/>
      </c>
      <c r="K462" s="394" t="str">
        <f t="shared" si="32"/>
        <v/>
      </c>
      <c r="O462" s="370" t="str">
        <v/>
      </c>
      <c r="S462" s="1" t="str">
        <v/>
      </c>
    </row>
    <row r="463" spans="1:19" x14ac:dyDescent="0.25">
      <c r="A463" s="370" t="str">
        <v/>
      </c>
      <c r="H463" s="394" t="str">
        <f t="shared" si="29"/>
        <v/>
      </c>
      <c r="I463" s="394" t="str">
        <f t="shared" si="30"/>
        <v/>
      </c>
      <c r="J463" s="394" t="str">
        <f t="shared" si="31"/>
        <v/>
      </c>
      <c r="K463" s="394" t="str">
        <f t="shared" si="32"/>
        <v/>
      </c>
      <c r="O463" s="370" t="str">
        <v/>
      </c>
      <c r="S463" s="1" t="str">
        <v/>
      </c>
    </row>
    <row r="464" spans="1:19" x14ac:dyDescent="0.25">
      <c r="A464" s="370" t="str">
        <v/>
      </c>
      <c r="H464" s="394" t="str">
        <f t="shared" si="29"/>
        <v/>
      </c>
      <c r="I464" s="394" t="str">
        <f t="shared" si="30"/>
        <v/>
      </c>
      <c r="J464" s="394" t="str">
        <f t="shared" si="31"/>
        <v/>
      </c>
      <c r="K464" s="394" t="str">
        <f t="shared" si="32"/>
        <v/>
      </c>
      <c r="O464" s="370" t="str">
        <v/>
      </c>
      <c r="S464" s="1" t="str">
        <v/>
      </c>
    </row>
    <row r="465" spans="1:19" x14ac:dyDescent="0.25">
      <c r="A465" s="370" t="str">
        <v/>
      </c>
      <c r="H465" s="394" t="str">
        <f t="shared" si="29"/>
        <v/>
      </c>
      <c r="I465" s="394" t="str">
        <f t="shared" si="30"/>
        <v/>
      </c>
      <c r="J465" s="394" t="str">
        <f t="shared" si="31"/>
        <v/>
      </c>
      <c r="K465" s="394" t="str">
        <f t="shared" si="32"/>
        <v/>
      </c>
      <c r="O465" s="370" t="str">
        <v/>
      </c>
      <c r="S465" s="1" t="str">
        <v/>
      </c>
    </row>
    <row r="466" spans="1:19" x14ac:dyDescent="0.25">
      <c r="A466" s="370" t="str">
        <v/>
      </c>
      <c r="H466" s="394" t="str">
        <f t="shared" si="29"/>
        <v/>
      </c>
      <c r="I466" s="394" t="str">
        <f t="shared" si="30"/>
        <v/>
      </c>
      <c r="J466" s="394" t="str">
        <f t="shared" si="31"/>
        <v/>
      </c>
      <c r="K466" s="394" t="str">
        <f t="shared" si="32"/>
        <v/>
      </c>
      <c r="O466" s="370" t="str">
        <v/>
      </c>
      <c r="S466" s="1" t="str">
        <v/>
      </c>
    </row>
    <row r="467" spans="1:19" x14ac:dyDescent="0.25">
      <c r="A467" s="370" t="str">
        <v/>
      </c>
      <c r="H467" s="394" t="str">
        <f t="shared" si="29"/>
        <v/>
      </c>
      <c r="I467" s="394" t="str">
        <f t="shared" si="30"/>
        <v/>
      </c>
      <c r="J467" s="394" t="str">
        <f t="shared" si="31"/>
        <v/>
      </c>
      <c r="K467" s="394" t="str">
        <f t="shared" si="32"/>
        <v/>
      </c>
      <c r="O467" s="370" t="str">
        <v/>
      </c>
      <c r="S467" s="1" t="str">
        <v/>
      </c>
    </row>
    <row r="468" spans="1:19" x14ac:dyDescent="0.25">
      <c r="A468" s="370" t="str">
        <v/>
      </c>
      <c r="H468" s="394" t="str">
        <f t="shared" si="29"/>
        <v/>
      </c>
      <c r="I468" s="394" t="str">
        <f t="shared" si="30"/>
        <v/>
      </c>
      <c r="J468" s="394" t="str">
        <f t="shared" si="31"/>
        <v/>
      </c>
      <c r="K468" s="394" t="str">
        <f t="shared" si="32"/>
        <v/>
      </c>
      <c r="O468" s="370" t="str">
        <v/>
      </c>
      <c r="S468" s="1" t="str">
        <v/>
      </c>
    </row>
    <row r="469" spans="1:19" x14ac:dyDescent="0.25">
      <c r="A469" s="370" t="str">
        <v/>
      </c>
      <c r="H469" s="394" t="str">
        <f t="shared" si="29"/>
        <v/>
      </c>
      <c r="I469" s="394" t="str">
        <f t="shared" si="30"/>
        <v/>
      </c>
      <c r="J469" s="394" t="str">
        <f t="shared" si="31"/>
        <v/>
      </c>
      <c r="K469" s="394" t="str">
        <f t="shared" si="32"/>
        <v/>
      </c>
      <c r="O469" s="370" t="str">
        <v/>
      </c>
      <c r="S469" s="1" t="str">
        <v/>
      </c>
    </row>
    <row r="470" spans="1:19" x14ac:dyDescent="0.25">
      <c r="A470" s="370" t="str">
        <v/>
      </c>
      <c r="H470" s="394" t="str">
        <f t="shared" si="29"/>
        <v/>
      </c>
      <c r="I470" s="394" t="str">
        <f t="shared" si="30"/>
        <v/>
      </c>
      <c r="J470" s="394" t="str">
        <f t="shared" si="31"/>
        <v/>
      </c>
      <c r="K470" s="394" t="str">
        <f t="shared" si="32"/>
        <v/>
      </c>
      <c r="O470" s="370" t="str">
        <v/>
      </c>
      <c r="S470" s="1" t="str">
        <v/>
      </c>
    </row>
    <row r="471" spans="1:19" x14ac:dyDescent="0.25">
      <c r="A471" s="370" t="str">
        <v/>
      </c>
      <c r="H471" s="394" t="str">
        <f t="shared" ref="H471:H534" si="33">IF($C471="","",ROUND((($B$2*$F471*($B$5/1000))/$B$6)*(1+IF($B$18="",0,$B$18)),2))</f>
        <v/>
      </c>
      <c r="I471" s="394" t="str">
        <f t="shared" ref="I471:I534" si="34">IF($C471="","",ROUND((($B$3*$F471*($B$5/1000))/$B$6)*(1+IF($B$18="",0,$B$18)),2))</f>
        <v/>
      </c>
      <c r="J471" s="394" t="str">
        <f t="shared" ref="J471:J534" si="35">IF(OR($C471="",$B$9="",$B$15=""),"",ROUND((((((IF($B$15="N/A",$B$2,$B$4))*$F471*($B$5/1000))+((($G471/1000)*($B$5/1000)*10.7639104)*(IF($B$9="Smooth",$B$10,IF($B$9="Sand",$B$11,0)))))*(1+$B$17))/$B$8)*(1+IF($B$18="",0,$B$18)),2))</f>
        <v/>
      </c>
      <c r="K471" s="394" t="str">
        <f t="shared" ref="K471:K534" si="36">IF(OR($C471="",$B$12="",$B$15=""),"",ROUND((((((IF($B$15="N/A",$B$2,$B$4))*$F471*($B$5/1000))+((($G471/1000)*($B$5/1000)*10.7639104)*(IF($B$12="Indoor",$B$13,IF($B$12="Outdoor",$B$14,0)))))*(1+$B$17))/$B$8)*(1+IF($B$18="",0,$B$18)),2))</f>
        <v/>
      </c>
      <c r="O471" s="370" t="str">
        <v/>
      </c>
      <c r="S471" s="1" t="str">
        <v/>
      </c>
    </row>
    <row r="472" spans="1:19" x14ac:dyDescent="0.25">
      <c r="A472" s="370" t="str">
        <v/>
      </c>
      <c r="H472" s="394" t="str">
        <f t="shared" si="33"/>
        <v/>
      </c>
      <c r="I472" s="394" t="str">
        <f t="shared" si="34"/>
        <v/>
      </c>
      <c r="J472" s="394" t="str">
        <f t="shared" si="35"/>
        <v/>
      </c>
      <c r="K472" s="394" t="str">
        <f t="shared" si="36"/>
        <v/>
      </c>
      <c r="O472" s="370" t="str">
        <v/>
      </c>
      <c r="S472" s="1" t="str">
        <v/>
      </c>
    </row>
    <row r="473" spans="1:19" x14ac:dyDescent="0.25">
      <c r="A473" s="370" t="str">
        <v/>
      </c>
      <c r="H473" s="394" t="str">
        <f t="shared" si="33"/>
        <v/>
      </c>
      <c r="I473" s="394" t="str">
        <f t="shared" si="34"/>
        <v/>
      </c>
      <c r="J473" s="394" t="str">
        <f t="shared" si="35"/>
        <v/>
      </c>
      <c r="K473" s="394" t="str">
        <f t="shared" si="36"/>
        <v/>
      </c>
      <c r="O473" s="370" t="str">
        <v/>
      </c>
      <c r="S473" s="1" t="str">
        <v/>
      </c>
    </row>
    <row r="474" spans="1:19" x14ac:dyDescent="0.25">
      <c r="A474" s="370" t="str">
        <v/>
      </c>
      <c r="H474" s="394" t="str">
        <f t="shared" si="33"/>
        <v/>
      </c>
      <c r="I474" s="394" t="str">
        <f t="shared" si="34"/>
        <v/>
      </c>
      <c r="J474" s="394" t="str">
        <f t="shared" si="35"/>
        <v/>
      </c>
      <c r="K474" s="394" t="str">
        <f t="shared" si="36"/>
        <v/>
      </c>
      <c r="O474" s="370" t="str">
        <v/>
      </c>
      <c r="S474" s="1" t="str">
        <v/>
      </c>
    </row>
    <row r="475" spans="1:19" x14ac:dyDescent="0.25">
      <c r="A475" s="370" t="str">
        <v/>
      </c>
      <c r="H475" s="394" t="str">
        <f t="shared" si="33"/>
        <v/>
      </c>
      <c r="I475" s="394" t="str">
        <f t="shared" si="34"/>
        <v/>
      </c>
      <c r="J475" s="394" t="str">
        <f t="shared" si="35"/>
        <v/>
      </c>
      <c r="K475" s="394" t="str">
        <f t="shared" si="36"/>
        <v/>
      </c>
      <c r="O475" s="370" t="str">
        <v/>
      </c>
      <c r="S475" s="1" t="str">
        <v/>
      </c>
    </row>
    <row r="476" spans="1:19" x14ac:dyDescent="0.25">
      <c r="A476" s="370" t="str">
        <v/>
      </c>
      <c r="H476" s="394" t="str">
        <f t="shared" si="33"/>
        <v/>
      </c>
      <c r="I476" s="394" t="str">
        <f t="shared" si="34"/>
        <v/>
      </c>
      <c r="J476" s="394" t="str">
        <f t="shared" si="35"/>
        <v/>
      </c>
      <c r="K476" s="394" t="str">
        <f t="shared" si="36"/>
        <v/>
      </c>
      <c r="O476" s="370" t="str">
        <v/>
      </c>
      <c r="S476" s="1" t="str">
        <v/>
      </c>
    </row>
    <row r="477" spans="1:19" x14ac:dyDescent="0.25">
      <c r="A477" s="370" t="str">
        <v/>
      </c>
      <c r="H477" s="394" t="str">
        <f t="shared" si="33"/>
        <v/>
      </c>
      <c r="I477" s="394" t="str">
        <f t="shared" si="34"/>
        <v/>
      </c>
      <c r="J477" s="394" t="str">
        <f t="shared" si="35"/>
        <v/>
      </c>
      <c r="K477" s="394" t="str">
        <f t="shared" si="36"/>
        <v/>
      </c>
      <c r="O477" s="370" t="str">
        <v/>
      </c>
      <c r="S477" s="1" t="str">
        <v/>
      </c>
    </row>
    <row r="478" spans="1:19" x14ac:dyDescent="0.25">
      <c r="A478" s="370" t="str">
        <v/>
      </c>
      <c r="H478" s="394" t="str">
        <f t="shared" si="33"/>
        <v/>
      </c>
      <c r="I478" s="394" t="str">
        <f t="shared" si="34"/>
        <v/>
      </c>
      <c r="J478" s="394" t="str">
        <f t="shared" si="35"/>
        <v/>
      </c>
      <c r="K478" s="394" t="str">
        <f t="shared" si="36"/>
        <v/>
      </c>
      <c r="O478" s="370" t="str">
        <v/>
      </c>
      <c r="S478" s="1" t="str">
        <v/>
      </c>
    </row>
    <row r="479" spans="1:19" x14ac:dyDescent="0.25">
      <c r="A479" s="370" t="str">
        <v/>
      </c>
      <c r="H479" s="394" t="str">
        <f t="shared" si="33"/>
        <v/>
      </c>
      <c r="I479" s="394" t="str">
        <f t="shared" si="34"/>
        <v/>
      </c>
      <c r="J479" s="394" t="str">
        <f t="shared" si="35"/>
        <v/>
      </c>
      <c r="K479" s="394" t="str">
        <f t="shared" si="36"/>
        <v/>
      </c>
      <c r="O479" s="370" t="str">
        <v/>
      </c>
      <c r="S479" s="1" t="str">
        <v/>
      </c>
    </row>
    <row r="480" spans="1:19" x14ac:dyDescent="0.25">
      <c r="A480" s="370" t="str">
        <v/>
      </c>
      <c r="H480" s="394" t="str">
        <f t="shared" si="33"/>
        <v/>
      </c>
      <c r="I480" s="394" t="str">
        <f t="shared" si="34"/>
        <v/>
      </c>
      <c r="J480" s="394" t="str">
        <f t="shared" si="35"/>
        <v/>
      </c>
      <c r="K480" s="394" t="str">
        <f t="shared" si="36"/>
        <v/>
      </c>
      <c r="O480" s="370" t="str">
        <v/>
      </c>
      <c r="S480" s="1" t="str">
        <v/>
      </c>
    </row>
    <row r="481" spans="1:19" x14ac:dyDescent="0.25">
      <c r="A481" s="370" t="str">
        <v/>
      </c>
      <c r="H481" s="394" t="str">
        <f t="shared" si="33"/>
        <v/>
      </c>
      <c r="I481" s="394" t="str">
        <f t="shared" si="34"/>
        <v/>
      </c>
      <c r="J481" s="394" t="str">
        <f t="shared" si="35"/>
        <v/>
      </c>
      <c r="K481" s="394" t="str">
        <f t="shared" si="36"/>
        <v/>
      </c>
      <c r="O481" s="370" t="str">
        <v/>
      </c>
      <c r="S481" s="1" t="str">
        <v/>
      </c>
    </row>
    <row r="482" spans="1:19" x14ac:dyDescent="0.25">
      <c r="A482" s="370" t="str">
        <v/>
      </c>
      <c r="H482" s="394" t="str">
        <f t="shared" si="33"/>
        <v/>
      </c>
      <c r="I482" s="394" t="str">
        <f t="shared" si="34"/>
        <v/>
      </c>
      <c r="J482" s="394" t="str">
        <f t="shared" si="35"/>
        <v/>
      </c>
      <c r="K482" s="394" t="str">
        <f t="shared" si="36"/>
        <v/>
      </c>
      <c r="O482" s="370" t="str">
        <v/>
      </c>
      <c r="S482" s="1" t="str">
        <v/>
      </c>
    </row>
    <row r="483" spans="1:19" x14ac:dyDescent="0.25">
      <c r="A483" s="370" t="str">
        <v/>
      </c>
      <c r="H483" s="394" t="str">
        <f t="shared" si="33"/>
        <v/>
      </c>
      <c r="I483" s="394" t="str">
        <f t="shared" si="34"/>
        <v/>
      </c>
      <c r="J483" s="394" t="str">
        <f t="shared" si="35"/>
        <v/>
      </c>
      <c r="K483" s="394" t="str">
        <f t="shared" si="36"/>
        <v/>
      </c>
      <c r="O483" s="370" t="str">
        <v/>
      </c>
      <c r="S483" s="1" t="str">
        <v/>
      </c>
    </row>
    <row r="484" spans="1:19" x14ac:dyDescent="0.25">
      <c r="A484" s="370" t="str">
        <v/>
      </c>
      <c r="H484" s="394" t="str">
        <f t="shared" si="33"/>
        <v/>
      </c>
      <c r="I484" s="394" t="str">
        <f t="shared" si="34"/>
        <v/>
      </c>
      <c r="J484" s="394" t="str">
        <f t="shared" si="35"/>
        <v/>
      </c>
      <c r="K484" s="394" t="str">
        <f t="shared" si="36"/>
        <v/>
      </c>
      <c r="O484" s="370" t="str">
        <v/>
      </c>
      <c r="S484" s="1" t="str">
        <v/>
      </c>
    </row>
    <row r="485" spans="1:19" x14ac:dyDescent="0.25">
      <c r="A485" s="370" t="str">
        <v/>
      </c>
      <c r="H485" s="394" t="str">
        <f t="shared" si="33"/>
        <v/>
      </c>
      <c r="I485" s="394" t="str">
        <f t="shared" si="34"/>
        <v/>
      </c>
      <c r="J485" s="394" t="str">
        <f t="shared" si="35"/>
        <v/>
      </c>
      <c r="K485" s="394" t="str">
        <f t="shared" si="36"/>
        <v/>
      </c>
      <c r="O485" s="370" t="str">
        <v/>
      </c>
      <c r="S485" s="1" t="str">
        <v/>
      </c>
    </row>
    <row r="486" spans="1:19" x14ac:dyDescent="0.25">
      <c r="A486" s="370" t="str">
        <v/>
      </c>
      <c r="H486" s="394" t="str">
        <f t="shared" si="33"/>
        <v/>
      </c>
      <c r="I486" s="394" t="str">
        <f t="shared" si="34"/>
        <v/>
      </c>
      <c r="J486" s="394" t="str">
        <f t="shared" si="35"/>
        <v/>
      </c>
      <c r="K486" s="394" t="str">
        <f t="shared" si="36"/>
        <v/>
      </c>
      <c r="O486" s="370" t="str">
        <v/>
      </c>
      <c r="S486" s="1" t="str">
        <v/>
      </c>
    </row>
    <row r="487" spans="1:19" x14ac:dyDescent="0.25">
      <c r="A487" s="370" t="str">
        <v/>
      </c>
      <c r="H487" s="394" t="str">
        <f t="shared" si="33"/>
        <v/>
      </c>
      <c r="I487" s="394" t="str">
        <f t="shared" si="34"/>
        <v/>
      </c>
      <c r="J487" s="394" t="str">
        <f t="shared" si="35"/>
        <v/>
      </c>
      <c r="K487" s="394" t="str">
        <f t="shared" si="36"/>
        <v/>
      </c>
      <c r="O487" s="370" t="str">
        <v/>
      </c>
      <c r="S487" s="1" t="str">
        <v/>
      </c>
    </row>
    <row r="488" spans="1:19" x14ac:dyDescent="0.25">
      <c r="A488" s="370" t="str">
        <v/>
      </c>
      <c r="H488" s="394" t="str">
        <f t="shared" si="33"/>
        <v/>
      </c>
      <c r="I488" s="394" t="str">
        <f t="shared" si="34"/>
        <v/>
      </c>
      <c r="J488" s="394" t="str">
        <f t="shared" si="35"/>
        <v/>
      </c>
      <c r="K488" s="394" t="str">
        <f t="shared" si="36"/>
        <v/>
      </c>
      <c r="O488" s="370" t="str">
        <v/>
      </c>
      <c r="S488" s="1" t="str">
        <v/>
      </c>
    </row>
    <row r="489" spans="1:19" x14ac:dyDescent="0.25">
      <c r="A489" s="370" t="str">
        <v/>
      </c>
      <c r="H489" s="394" t="str">
        <f t="shared" si="33"/>
        <v/>
      </c>
      <c r="I489" s="394" t="str">
        <f t="shared" si="34"/>
        <v/>
      </c>
      <c r="J489" s="394" t="str">
        <f t="shared" si="35"/>
        <v/>
      </c>
      <c r="K489" s="394" t="str">
        <f t="shared" si="36"/>
        <v/>
      </c>
      <c r="O489" s="370" t="str">
        <v/>
      </c>
      <c r="S489" s="1" t="str">
        <v/>
      </c>
    </row>
    <row r="490" spans="1:19" x14ac:dyDescent="0.25">
      <c r="A490" s="370" t="str">
        <v/>
      </c>
      <c r="H490" s="394" t="str">
        <f t="shared" si="33"/>
        <v/>
      </c>
      <c r="I490" s="394" t="str">
        <f t="shared" si="34"/>
        <v/>
      </c>
      <c r="J490" s="394" t="str">
        <f t="shared" si="35"/>
        <v/>
      </c>
      <c r="K490" s="394" t="str">
        <f t="shared" si="36"/>
        <v/>
      </c>
      <c r="O490" s="370" t="str">
        <v/>
      </c>
      <c r="S490" s="1" t="str">
        <v/>
      </c>
    </row>
    <row r="491" spans="1:19" x14ac:dyDescent="0.25">
      <c r="A491" s="370" t="str">
        <v/>
      </c>
      <c r="H491" s="394" t="str">
        <f t="shared" si="33"/>
        <v/>
      </c>
      <c r="I491" s="394" t="str">
        <f t="shared" si="34"/>
        <v/>
      </c>
      <c r="J491" s="394" t="str">
        <f t="shared" si="35"/>
        <v/>
      </c>
      <c r="K491" s="394" t="str">
        <f t="shared" si="36"/>
        <v/>
      </c>
      <c r="O491" s="370" t="str">
        <v/>
      </c>
      <c r="S491" s="1" t="str">
        <v/>
      </c>
    </row>
    <row r="492" spans="1:19" x14ac:dyDescent="0.25">
      <c r="A492" s="370" t="str">
        <v/>
      </c>
      <c r="H492" s="394" t="str">
        <f t="shared" si="33"/>
        <v/>
      </c>
      <c r="I492" s="394" t="str">
        <f t="shared" si="34"/>
        <v/>
      </c>
      <c r="J492" s="394" t="str">
        <f t="shared" si="35"/>
        <v/>
      </c>
      <c r="K492" s="394" t="str">
        <f t="shared" si="36"/>
        <v/>
      </c>
      <c r="O492" s="370" t="str">
        <v/>
      </c>
      <c r="S492" s="1" t="str">
        <v/>
      </c>
    </row>
    <row r="493" spans="1:19" x14ac:dyDescent="0.25">
      <c r="A493" s="370" t="str">
        <v/>
      </c>
      <c r="H493" s="394" t="str">
        <f t="shared" si="33"/>
        <v/>
      </c>
      <c r="I493" s="394" t="str">
        <f t="shared" si="34"/>
        <v/>
      </c>
      <c r="J493" s="394" t="str">
        <f t="shared" si="35"/>
        <v/>
      </c>
      <c r="K493" s="394" t="str">
        <f t="shared" si="36"/>
        <v/>
      </c>
      <c r="O493" s="370" t="str">
        <v/>
      </c>
      <c r="S493" s="1" t="str">
        <v/>
      </c>
    </row>
    <row r="494" spans="1:19" x14ac:dyDescent="0.25">
      <c r="A494" s="370" t="str">
        <v/>
      </c>
      <c r="H494" s="394" t="str">
        <f t="shared" si="33"/>
        <v/>
      </c>
      <c r="I494" s="394" t="str">
        <f t="shared" si="34"/>
        <v/>
      </c>
      <c r="J494" s="394" t="str">
        <f t="shared" si="35"/>
        <v/>
      </c>
      <c r="K494" s="394" t="str">
        <f t="shared" si="36"/>
        <v/>
      </c>
      <c r="O494" s="370" t="str">
        <v/>
      </c>
      <c r="S494" s="1" t="str">
        <v/>
      </c>
    </row>
    <row r="495" spans="1:19" x14ac:dyDescent="0.25">
      <c r="A495" s="370" t="str">
        <v/>
      </c>
      <c r="H495" s="394" t="str">
        <f t="shared" si="33"/>
        <v/>
      </c>
      <c r="I495" s="394" t="str">
        <f t="shared" si="34"/>
        <v/>
      </c>
      <c r="J495" s="394" t="str">
        <f t="shared" si="35"/>
        <v/>
      </c>
      <c r="K495" s="394" t="str">
        <f t="shared" si="36"/>
        <v/>
      </c>
      <c r="O495" s="370" t="str">
        <v/>
      </c>
      <c r="S495" s="1" t="str">
        <v/>
      </c>
    </row>
    <row r="496" spans="1:19" x14ac:dyDescent="0.25">
      <c r="A496" s="370" t="str">
        <v/>
      </c>
      <c r="H496" s="394" t="str">
        <f t="shared" si="33"/>
        <v/>
      </c>
      <c r="I496" s="394" t="str">
        <f t="shared" si="34"/>
        <v/>
      </c>
      <c r="J496" s="394" t="str">
        <f t="shared" si="35"/>
        <v/>
      </c>
      <c r="K496" s="394" t="str">
        <f t="shared" si="36"/>
        <v/>
      </c>
      <c r="O496" s="370" t="str">
        <v/>
      </c>
      <c r="S496" s="1" t="str">
        <v/>
      </c>
    </row>
    <row r="497" spans="1:19" x14ac:dyDescent="0.25">
      <c r="A497" s="370" t="str">
        <v/>
      </c>
      <c r="H497" s="394" t="str">
        <f t="shared" si="33"/>
        <v/>
      </c>
      <c r="I497" s="394" t="str">
        <f t="shared" si="34"/>
        <v/>
      </c>
      <c r="J497" s="394" t="str">
        <f t="shared" si="35"/>
        <v/>
      </c>
      <c r="K497" s="394" t="str">
        <f t="shared" si="36"/>
        <v/>
      </c>
      <c r="O497" s="370" t="str">
        <v/>
      </c>
      <c r="S497" s="1" t="str">
        <v/>
      </c>
    </row>
    <row r="498" spans="1:19" x14ac:dyDescent="0.25">
      <c r="A498" s="370" t="str">
        <v/>
      </c>
      <c r="H498" s="394" t="str">
        <f t="shared" si="33"/>
        <v/>
      </c>
      <c r="I498" s="394" t="str">
        <f t="shared" si="34"/>
        <v/>
      </c>
      <c r="J498" s="394" t="str">
        <f t="shared" si="35"/>
        <v/>
      </c>
      <c r="K498" s="394" t="str">
        <f t="shared" si="36"/>
        <v/>
      </c>
      <c r="O498" s="370" t="str">
        <v/>
      </c>
      <c r="S498" s="1" t="str">
        <v/>
      </c>
    </row>
    <row r="499" spans="1:19" x14ac:dyDescent="0.25">
      <c r="A499" s="370" t="str">
        <v/>
      </c>
      <c r="H499" s="394" t="str">
        <f t="shared" si="33"/>
        <v/>
      </c>
      <c r="I499" s="394" t="str">
        <f t="shared" si="34"/>
        <v/>
      </c>
      <c r="J499" s="394" t="str">
        <f t="shared" si="35"/>
        <v/>
      </c>
      <c r="K499" s="394" t="str">
        <f t="shared" si="36"/>
        <v/>
      </c>
      <c r="O499" s="370" t="str">
        <v/>
      </c>
      <c r="S499" s="1" t="str">
        <v/>
      </c>
    </row>
    <row r="500" spans="1:19" x14ac:dyDescent="0.25">
      <c r="A500" s="370" t="str">
        <v/>
      </c>
      <c r="H500" s="394" t="str">
        <f t="shared" si="33"/>
        <v/>
      </c>
      <c r="I500" s="394" t="str">
        <f t="shared" si="34"/>
        <v/>
      </c>
      <c r="J500" s="394" t="str">
        <f t="shared" si="35"/>
        <v/>
      </c>
      <c r="K500" s="394" t="str">
        <f t="shared" si="36"/>
        <v/>
      </c>
      <c r="O500" s="370" t="str">
        <v/>
      </c>
      <c r="S500" s="1" t="str">
        <v/>
      </c>
    </row>
    <row r="501" spans="1:19" x14ac:dyDescent="0.25">
      <c r="A501" s="370" t="str">
        <v/>
      </c>
      <c r="H501" s="394" t="str">
        <f t="shared" si="33"/>
        <v/>
      </c>
      <c r="I501" s="394" t="str">
        <f t="shared" si="34"/>
        <v/>
      </c>
      <c r="J501" s="394" t="str">
        <f t="shared" si="35"/>
        <v/>
      </c>
      <c r="K501" s="394" t="str">
        <f t="shared" si="36"/>
        <v/>
      </c>
      <c r="O501" s="370" t="str">
        <v/>
      </c>
      <c r="S501" s="1" t="str">
        <v/>
      </c>
    </row>
    <row r="502" spans="1:19" x14ac:dyDescent="0.25">
      <c r="A502" s="370" t="str">
        <v/>
      </c>
      <c r="H502" s="394" t="str">
        <f t="shared" si="33"/>
        <v/>
      </c>
      <c r="I502" s="394" t="str">
        <f t="shared" si="34"/>
        <v/>
      </c>
      <c r="J502" s="394" t="str">
        <f t="shared" si="35"/>
        <v/>
      </c>
      <c r="K502" s="394" t="str">
        <f t="shared" si="36"/>
        <v/>
      </c>
      <c r="O502" s="370" t="str">
        <v/>
      </c>
      <c r="S502" s="1" t="str">
        <v/>
      </c>
    </row>
    <row r="503" spans="1:19" x14ac:dyDescent="0.25">
      <c r="A503" s="370" t="str">
        <v/>
      </c>
      <c r="H503" s="394" t="str">
        <f t="shared" si="33"/>
        <v/>
      </c>
      <c r="I503" s="394" t="str">
        <f t="shared" si="34"/>
        <v/>
      </c>
      <c r="J503" s="394" t="str">
        <f t="shared" si="35"/>
        <v/>
      </c>
      <c r="K503" s="394" t="str">
        <f t="shared" si="36"/>
        <v/>
      </c>
      <c r="O503" s="370" t="str">
        <v/>
      </c>
      <c r="S503" s="1" t="str">
        <v/>
      </c>
    </row>
    <row r="504" spans="1:19" x14ac:dyDescent="0.25">
      <c r="A504" s="370" t="str">
        <v/>
      </c>
      <c r="H504" s="394" t="str">
        <f t="shared" si="33"/>
        <v/>
      </c>
      <c r="I504" s="394" t="str">
        <f t="shared" si="34"/>
        <v/>
      </c>
      <c r="J504" s="394" t="str">
        <f t="shared" si="35"/>
        <v/>
      </c>
      <c r="K504" s="394" t="str">
        <f t="shared" si="36"/>
        <v/>
      </c>
      <c r="O504" s="370" t="str">
        <v/>
      </c>
      <c r="S504" s="1" t="str">
        <v/>
      </c>
    </row>
    <row r="505" spans="1:19" x14ac:dyDescent="0.25">
      <c r="A505" s="370" t="str">
        <v/>
      </c>
      <c r="H505" s="394" t="str">
        <f t="shared" si="33"/>
        <v/>
      </c>
      <c r="I505" s="394" t="str">
        <f t="shared" si="34"/>
        <v/>
      </c>
      <c r="J505" s="394" t="str">
        <f t="shared" si="35"/>
        <v/>
      </c>
      <c r="K505" s="394" t="str">
        <f t="shared" si="36"/>
        <v/>
      </c>
      <c r="O505" s="370" t="str">
        <v/>
      </c>
      <c r="S505" s="1" t="str">
        <v/>
      </c>
    </row>
    <row r="506" spans="1:19" x14ac:dyDescent="0.25">
      <c r="A506" s="370" t="str">
        <v/>
      </c>
      <c r="H506" s="394" t="str">
        <f t="shared" si="33"/>
        <v/>
      </c>
      <c r="I506" s="394" t="str">
        <f t="shared" si="34"/>
        <v/>
      </c>
      <c r="J506" s="394" t="str">
        <f t="shared" si="35"/>
        <v/>
      </c>
      <c r="K506" s="394" t="str">
        <f t="shared" si="36"/>
        <v/>
      </c>
      <c r="O506" s="370" t="str">
        <v/>
      </c>
      <c r="S506" s="1" t="str">
        <v/>
      </c>
    </row>
    <row r="507" spans="1:19" x14ac:dyDescent="0.25">
      <c r="A507" s="370" t="str">
        <v/>
      </c>
      <c r="H507" s="394" t="str">
        <f t="shared" si="33"/>
        <v/>
      </c>
      <c r="I507" s="394" t="str">
        <f t="shared" si="34"/>
        <v/>
      </c>
      <c r="J507" s="394" t="str">
        <f t="shared" si="35"/>
        <v/>
      </c>
      <c r="K507" s="394" t="str">
        <f t="shared" si="36"/>
        <v/>
      </c>
      <c r="O507" s="370" t="str">
        <v/>
      </c>
      <c r="S507" s="1" t="str">
        <v/>
      </c>
    </row>
    <row r="508" spans="1:19" x14ac:dyDescent="0.25">
      <c r="A508" s="370" t="str">
        <v/>
      </c>
      <c r="H508" s="394" t="str">
        <f t="shared" si="33"/>
        <v/>
      </c>
      <c r="I508" s="394" t="str">
        <f t="shared" si="34"/>
        <v/>
      </c>
      <c r="J508" s="394" t="str">
        <f t="shared" si="35"/>
        <v/>
      </c>
      <c r="K508" s="394" t="str">
        <f t="shared" si="36"/>
        <v/>
      </c>
      <c r="O508" s="370" t="str">
        <v/>
      </c>
      <c r="S508" s="1" t="str">
        <v/>
      </c>
    </row>
    <row r="509" spans="1:19" x14ac:dyDescent="0.25">
      <c r="A509" s="370" t="str">
        <v/>
      </c>
      <c r="H509" s="394" t="str">
        <f t="shared" si="33"/>
        <v/>
      </c>
      <c r="I509" s="394" t="str">
        <f t="shared" si="34"/>
        <v/>
      </c>
      <c r="J509" s="394" t="str">
        <f t="shared" si="35"/>
        <v/>
      </c>
      <c r="K509" s="394" t="str">
        <f t="shared" si="36"/>
        <v/>
      </c>
      <c r="O509" s="370" t="str">
        <v/>
      </c>
      <c r="S509" s="1" t="str">
        <v/>
      </c>
    </row>
    <row r="510" spans="1:19" x14ac:dyDescent="0.25">
      <c r="A510" s="370" t="str">
        <v/>
      </c>
      <c r="H510" s="394" t="str">
        <f t="shared" si="33"/>
        <v/>
      </c>
      <c r="I510" s="394" t="str">
        <f t="shared" si="34"/>
        <v/>
      </c>
      <c r="J510" s="394" t="str">
        <f t="shared" si="35"/>
        <v/>
      </c>
      <c r="K510" s="394" t="str">
        <f t="shared" si="36"/>
        <v/>
      </c>
      <c r="O510" s="370" t="str">
        <v/>
      </c>
      <c r="S510" s="1" t="str">
        <v/>
      </c>
    </row>
    <row r="511" spans="1:19" x14ac:dyDescent="0.25">
      <c r="A511" s="370" t="str">
        <v/>
      </c>
      <c r="H511" s="394" t="str">
        <f t="shared" si="33"/>
        <v/>
      </c>
      <c r="I511" s="394" t="str">
        <f t="shared" si="34"/>
        <v/>
      </c>
      <c r="J511" s="394" t="str">
        <f t="shared" si="35"/>
        <v/>
      </c>
      <c r="K511" s="394" t="str">
        <f t="shared" si="36"/>
        <v/>
      </c>
      <c r="O511" s="370" t="str">
        <v/>
      </c>
      <c r="S511" s="1" t="str">
        <v/>
      </c>
    </row>
    <row r="512" spans="1:19" x14ac:dyDescent="0.25">
      <c r="A512" s="370" t="str">
        <v/>
      </c>
      <c r="H512" s="394" t="str">
        <f t="shared" si="33"/>
        <v/>
      </c>
      <c r="I512" s="394" t="str">
        <f t="shared" si="34"/>
        <v/>
      </c>
      <c r="J512" s="394" t="str">
        <f t="shared" si="35"/>
        <v/>
      </c>
      <c r="K512" s="394" t="str">
        <f t="shared" si="36"/>
        <v/>
      </c>
      <c r="O512" s="370" t="str">
        <v/>
      </c>
      <c r="S512" s="1" t="str">
        <v/>
      </c>
    </row>
    <row r="513" spans="1:19" x14ac:dyDescent="0.25">
      <c r="A513" s="370" t="str">
        <v/>
      </c>
      <c r="H513" s="394" t="str">
        <f t="shared" si="33"/>
        <v/>
      </c>
      <c r="I513" s="394" t="str">
        <f t="shared" si="34"/>
        <v/>
      </c>
      <c r="J513" s="394" t="str">
        <f t="shared" si="35"/>
        <v/>
      </c>
      <c r="K513" s="394" t="str">
        <f t="shared" si="36"/>
        <v/>
      </c>
      <c r="O513" s="370" t="str">
        <v/>
      </c>
      <c r="S513" s="1" t="str">
        <v/>
      </c>
    </row>
    <row r="514" spans="1:19" x14ac:dyDescent="0.25">
      <c r="A514" s="370" t="str">
        <v/>
      </c>
      <c r="H514" s="394" t="str">
        <f t="shared" si="33"/>
        <v/>
      </c>
      <c r="I514" s="394" t="str">
        <f t="shared" si="34"/>
        <v/>
      </c>
      <c r="J514" s="394" t="str">
        <f t="shared" si="35"/>
        <v/>
      </c>
      <c r="K514" s="394" t="str">
        <f t="shared" si="36"/>
        <v/>
      </c>
      <c r="O514" s="370" t="str">
        <v/>
      </c>
      <c r="S514" s="1" t="str">
        <v/>
      </c>
    </row>
    <row r="515" spans="1:19" x14ac:dyDescent="0.25">
      <c r="A515" s="370" t="str">
        <v/>
      </c>
      <c r="H515" s="394" t="str">
        <f t="shared" si="33"/>
        <v/>
      </c>
      <c r="I515" s="394" t="str">
        <f t="shared" si="34"/>
        <v/>
      </c>
      <c r="J515" s="394" t="str">
        <f t="shared" si="35"/>
        <v/>
      </c>
      <c r="K515" s="394" t="str">
        <f t="shared" si="36"/>
        <v/>
      </c>
      <c r="O515" s="370" t="str">
        <v/>
      </c>
      <c r="S515" s="1" t="str">
        <v/>
      </c>
    </row>
    <row r="516" spans="1:19" x14ac:dyDescent="0.25">
      <c r="A516" s="370" t="str">
        <v/>
      </c>
      <c r="H516" s="394" t="str">
        <f t="shared" si="33"/>
        <v/>
      </c>
      <c r="I516" s="394" t="str">
        <f t="shared" si="34"/>
        <v/>
      </c>
      <c r="J516" s="394" t="str">
        <f t="shared" si="35"/>
        <v/>
      </c>
      <c r="K516" s="394" t="str">
        <f t="shared" si="36"/>
        <v/>
      </c>
      <c r="O516" s="370" t="str">
        <v/>
      </c>
      <c r="S516" s="1" t="str">
        <v/>
      </c>
    </row>
    <row r="517" spans="1:19" x14ac:dyDescent="0.25">
      <c r="A517" s="370" t="str">
        <v/>
      </c>
      <c r="H517" s="394" t="str">
        <f t="shared" si="33"/>
        <v/>
      </c>
      <c r="I517" s="394" t="str">
        <f t="shared" si="34"/>
        <v/>
      </c>
      <c r="J517" s="394" t="str">
        <f t="shared" si="35"/>
        <v/>
      </c>
      <c r="K517" s="394" t="str">
        <f t="shared" si="36"/>
        <v/>
      </c>
      <c r="O517" s="370" t="str">
        <v/>
      </c>
      <c r="S517" s="1" t="str">
        <v/>
      </c>
    </row>
    <row r="518" spans="1:19" x14ac:dyDescent="0.25">
      <c r="A518" s="370" t="str">
        <v/>
      </c>
      <c r="H518" s="394" t="str">
        <f t="shared" si="33"/>
        <v/>
      </c>
      <c r="I518" s="394" t="str">
        <f t="shared" si="34"/>
        <v/>
      </c>
      <c r="J518" s="394" t="str">
        <f t="shared" si="35"/>
        <v/>
      </c>
      <c r="K518" s="394" t="str">
        <f t="shared" si="36"/>
        <v/>
      </c>
      <c r="O518" s="370" t="str">
        <v/>
      </c>
      <c r="S518" s="1" t="str">
        <v/>
      </c>
    </row>
    <row r="519" spans="1:19" x14ac:dyDescent="0.25">
      <c r="A519" s="370" t="str">
        <v/>
      </c>
      <c r="H519" s="394" t="str">
        <f t="shared" si="33"/>
        <v/>
      </c>
      <c r="I519" s="394" t="str">
        <f t="shared" si="34"/>
        <v/>
      </c>
      <c r="J519" s="394" t="str">
        <f t="shared" si="35"/>
        <v/>
      </c>
      <c r="K519" s="394" t="str">
        <f t="shared" si="36"/>
        <v/>
      </c>
      <c r="O519" s="370" t="str">
        <v/>
      </c>
      <c r="S519" s="1" t="str">
        <v/>
      </c>
    </row>
    <row r="520" spans="1:19" x14ac:dyDescent="0.25">
      <c r="A520" s="370" t="str">
        <v/>
      </c>
      <c r="H520" s="394" t="str">
        <f t="shared" si="33"/>
        <v/>
      </c>
      <c r="I520" s="394" t="str">
        <f t="shared" si="34"/>
        <v/>
      </c>
      <c r="J520" s="394" t="str">
        <f t="shared" si="35"/>
        <v/>
      </c>
      <c r="K520" s="394" t="str">
        <f t="shared" si="36"/>
        <v/>
      </c>
      <c r="O520" s="370" t="str">
        <v/>
      </c>
      <c r="S520" s="1" t="str">
        <v/>
      </c>
    </row>
    <row r="521" spans="1:19" x14ac:dyDescent="0.25">
      <c r="A521" s="370" t="str">
        <v/>
      </c>
      <c r="H521" s="394" t="str">
        <f t="shared" si="33"/>
        <v/>
      </c>
      <c r="I521" s="394" t="str">
        <f t="shared" si="34"/>
        <v/>
      </c>
      <c r="J521" s="394" t="str">
        <f t="shared" si="35"/>
        <v/>
      </c>
      <c r="K521" s="394" t="str">
        <f t="shared" si="36"/>
        <v/>
      </c>
      <c r="O521" s="370" t="str">
        <v/>
      </c>
      <c r="S521" s="1" t="str">
        <v/>
      </c>
    </row>
    <row r="522" spans="1:19" x14ac:dyDescent="0.25">
      <c r="A522" s="370" t="str">
        <v/>
      </c>
      <c r="H522" s="394" t="str">
        <f t="shared" si="33"/>
        <v/>
      </c>
      <c r="I522" s="394" t="str">
        <f t="shared" si="34"/>
        <v/>
      </c>
      <c r="J522" s="394" t="str">
        <f t="shared" si="35"/>
        <v/>
      </c>
      <c r="K522" s="394" t="str">
        <f t="shared" si="36"/>
        <v/>
      </c>
      <c r="O522" s="370" t="str">
        <v/>
      </c>
      <c r="S522" s="1" t="str">
        <v/>
      </c>
    </row>
    <row r="523" spans="1:19" x14ac:dyDescent="0.25">
      <c r="A523" s="370" t="str">
        <v/>
      </c>
      <c r="H523" s="394" t="str">
        <f t="shared" si="33"/>
        <v/>
      </c>
      <c r="I523" s="394" t="str">
        <f t="shared" si="34"/>
        <v/>
      </c>
      <c r="J523" s="394" t="str">
        <f t="shared" si="35"/>
        <v/>
      </c>
      <c r="K523" s="394" t="str">
        <f t="shared" si="36"/>
        <v/>
      </c>
      <c r="O523" s="370" t="str">
        <v/>
      </c>
      <c r="S523" s="1" t="str">
        <v/>
      </c>
    </row>
    <row r="524" spans="1:19" x14ac:dyDescent="0.25">
      <c r="A524" s="370" t="str">
        <v/>
      </c>
      <c r="H524" s="394" t="str">
        <f t="shared" si="33"/>
        <v/>
      </c>
      <c r="I524" s="394" t="str">
        <f t="shared" si="34"/>
        <v/>
      </c>
      <c r="J524" s="394" t="str">
        <f t="shared" si="35"/>
        <v/>
      </c>
      <c r="K524" s="394" t="str">
        <f t="shared" si="36"/>
        <v/>
      </c>
      <c r="O524" s="370" t="str">
        <v/>
      </c>
      <c r="S524" s="1" t="str">
        <v/>
      </c>
    </row>
    <row r="525" spans="1:19" x14ac:dyDescent="0.25">
      <c r="A525" s="370" t="str">
        <v/>
      </c>
      <c r="H525" s="394" t="str">
        <f t="shared" si="33"/>
        <v/>
      </c>
      <c r="I525" s="394" t="str">
        <f t="shared" si="34"/>
        <v/>
      </c>
      <c r="J525" s="394" t="str">
        <f t="shared" si="35"/>
        <v/>
      </c>
      <c r="K525" s="394" t="str">
        <f t="shared" si="36"/>
        <v/>
      </c>
      <c r="O525" s="370" t="str">
        <v/>
      </c>
      <c r="S525" s="1" t="str">
        <v/>
      </c>
    </row>
    <row r="526" spans="1:19" x14ac:dyDescent="0.25">
      <c r="A526" s="370" t="str">
        <v/>
      </c>
      <c r="H526" s="394" t="str">
        <f t="shared" si="33"/>
        <v/>
      </c>
      <c r="I526" s="394" t="str">
        <f t="shared" si="34"/>
        <v/>
      </c>
      <c r="J526" s="394" t="str">
        <f t="shared" si="35"/>
        <v/>
      </c>
      <c r="K526" s="394" t="str">
        <f t="shared" si="36"/>
        <v/>
      </c>
      <c r="O526" s="370" t="str">
        <v/>
      </c>
      <c r="S526" s="1" t="str">
        <v/>
      </c>
    </row>
    <row r="527" spans="1:19" x14ac:dyDescent="0.25">
      <c r="A527" s="370" t="str">
        <v/>
      </c>
      <c r="H527" s="394" t="str">
        <f t="shared" si="33"/>
        <v/>
      </c>
      <c r="I527" s="394" t="str">
        <f t="shared" si="34"/>
        <v/>
      </c>
      <c r="J527" s="394" t="str">
        <f t="shared" si="35"/>
        <v/>
      </c>
      <c r="K527" s="394" t="str">
        <f t="shared" si="36"/>
        <v/>
      </c>
      <c r="O527" s="370" t="str">
        <v/>
      </c>
      <c r="S527" s="1" t="str">
        <v/>
      </c>
    </row>
    <row r="528" spans="1:19" x14ac:dyDescent="0.25">
      <c r="A528" s="370" t="str">
        <v/>
      </c>
      <c r="H528" s="394" t="str">
        <f t="shared" si="33"/>
        <v/>
      </c>
      <c r="I528" s="394" t="str">
        <f t="shared" si="34"/>
        <v/>
      </c>
      <c r="J528" s="394" t="str">
        <f t="shared" si="35"/>
        <v/>
      </c>
      <c r="K528" s="394" t="str">
        <f t="shared" si="36"/>
        <v/>
      </c>
      <c r="O528" s="370" t="str">
        <v/>
      </c>
      <c r="S528" s="1" t="str">
        <v/>
      </c>
    </row>
    <row r="529" spans="1:19" x14ac:dyDescent="0.25">
      <c r="A529" s="370" t="str">
        <v/>
      </c>
      <c r="H529" s="394" t="str">
        <f t="shared" si="33"/>
        <v/>
      </c>
      <c r="I529" s="394" t="str">
        <f t="shared" si="34"/>
        <v/>
      </c>
      <c r="J529" s="394" t="str">
        <f t="shared" si="35"/>
        <v/>
      </c>
      <c r="K529" s="394" t="str">
        <f t="shared" si="36"/>
        <v/>
      </c>
      <c r="O529" s="370" t="str">
        <v/>
      </c>
      <c r="S529" s="1" t="str">
        <v/>
      </c>
    </row>
    <row r="530" spans="1:19" x14ac:dyDescent="0.25">
      <c r="A530" s="370" t="str">
        <v/>
      </c>
      <c r="H530" s="394" t="str">
        <f t="shared" si="33"/>
        <v/>
      </c>
      <c r="I530" s="394" t="str">
        <f t="shared" si="34"/>
        <v/>
      </c>
      <c r="J530" s="394" t="str">
        <f t="shared" si="35"/>
        <v/>
      </c>
      <c r="K530" s="394" t="str">
        <f t="shared" si="36"/>
        <v/>
      </c>
      <c r="O530" s="370" t="str">
        <v/>
      </c>
      <c r="S530" s="1" t="str">
        <v/>
      </c>
    </row>
    <row r="531" spans="1:19" x14ac:dyDescent="0.25">
      <c r="A531" s="370" t="str">
        <v/>
      </c>
      <c r="H531" s="394" t="str">
        <f t="shared" si="33"/>
        <v/>
      </c>
      <c r="I531" s="394" t="str">
        <f t="shared" si="34"/>
        <v/>
      </c>
      <c r="J531" s="394" t="str">
        <f t="shared" si="35"/>
        <v/>
      </c>
      <c r="K531" s="394" t="str">
        <f t="shared" si="36"/>
        <v/>
      </c>
      <c r="O531" s="370" t="str">
        <v/>
      </c>
      <c r="S531" s="1" t="str">
        <v/>
      </c>
    </row>
    <row r="532" spans="1:19" x14ac:dyDescent="0.25">
      <c r="A532" s="370" t="str">
        <v/>
      </c>
      <c r="H532" s="394" t="str">
        <f t="shared" si="33"/>
        <v/>
      </c>
      <c r="I532" s="394" t="str">
        <f t="shared" si="34"/>
        <v/>
      </c>
      <c r="J532" s="394" t="str">
        <f t="shared" si="35"/>
        <v/>
      </c>
      <c r="K532" s="394" t="str">
        <f t="shared" si="36"/>
        <v/>
      </c>
      <c r="O532" s="370" t="str">
        <v/>
      </c>
      <c r="S532" s="1" t="str">
        <v/>
      </c>
    </row>
    <row r="533" spans="1:19" x14ac:dyDescent="0.25">
      <c r="A533" s="370" t="str">
        <v/>
      </c>
      <c r="H533" s="394" t="str">
        <f t="shared" si="33"/>
        <v/>
      </c>
      <c r="I533" s="394" t="str">
        <f t="shared" si="34"/>
        <v/>
      </c>
      <c r="J533" s="394" t="str">
        <f t="shared" si="35"/>
        <v/>
      </c>
      <c r="K533" s="394" t="str">
        <f t="shared" si="36"/>
        <v/>
      </c>
      <c r="O533" s="370" t="str">
        <v/>
      </c>
      <c r="S533" s="1" t="str">
        <v/>
      </c>
    </row>
    <row r="534" spans="1:19" x14ac:dyDescent="0.25">
      <c r="A534" s="370" t="str">
        <v/>
      </c>
      <c r="H534" s="394" t="str">
        <f t="shared" si="33"/>
        <v/>
      </c>
      <c r="I534" s="394" t="str">
        <f t="shared" si="34"/>
        <v/>
      </c>
      <c r="J534" s="394" t="str">
        <f t="shared" si="35"/>
        <v/>
      </c>
      <c r="K534" s="394" t="str">
        <f t="shared" si="36"/>
        <v/>
      </c>
      <c r="O534" s="370" t="str">
        <v/>
      </c>
      <c r="S534" s="1" t="str">
        <v/>
      </c>
    </row>
    <row r="535" spans="1:19" x14ac:dyDescent="0.25">
      <c r="A535" s="370" t="str">
        <v/>
      </c>
      <c r="H535" s="394" t="str">
        <f t="shared" ref="H535:H598" si="37">IF($C535="","",ROUND((($B$2*$F535*($B$5/1000))/$B$6)*(1+IF($B$18="",0,$B$18)),2))</f>
        <v/>
      </c>
      <c r="I535" s="394" t="str">
        <f t="shared" ref="I535:I598" si="38">IF($C535="","",ROUND((($B$3*$F535*($B$5/1000))/$B$6)*(1+IF($B$18="",0,$B$18)),2))</f>
        <v/>
      </c>
      <c r="J535" s="394" t="str">
        <f t="shared" ref="J535:J598" si="39">IF(OR($C535="",$B$9="",$B$15=""),"",ROUND((((((IF($B$15="N/A",$B$2,$B$4))*$F535*($B$5/1000))+((($G535/1000)*($B$5/1000)*10.7639104)*(IF($B$9="Smooth",$B$10,IF($B$9="Sand",$B$11,0)))))*(1+$B$17))/$B$8)*(1+IF($B$18="",0,$B$18)),2))</f>
        <v/>
      </c>
      <c r="K535" s="394" t="str">
        <f t="shared" ref="K535:K598" si="40">IF(OR($C535="",$B$12="",$B$15=""),"",ROUND((((((IF($B$15="N/A",$B$2,$B$4))*$F535*($B$5/1000))+((($G535/1000)*($B$5/1000)*10.7639104)*(IF($B$12="Indoor",$B$13,IF($B$12="Outdoor",$B$14,0)))))*(1+$B$17))/$B$8)*(1+IF($B$18="",0,$B$18)),2))</f>
        <v/>
      </c>
      <c r="O535" s="370" t="str">
        <v/>
      </c>
      <c r="S535" s="1" t="str">
        <v/>
      </c>
    </row>
    <row r="536" spans="1:19" x14ac:dyDescent="0.25">
      <c r="A536" s="370" t="str">
        <v/>
      </c>
      <c r="H536" s="394" t="str">
        <f t="shared" si="37"/>
        <v/>
      </c>
      <c r="I536" s="394" t="str">
        <f t="shared" si="38"/>
        <v/>
      </c>
      <c r="J536" s="394" t="str">
        <f t="shared" si="39"/>
        <v/>
      </c>
      <c r="K536" s="394" t="str">
        <f t="shared" si="40"/>
        <v/>
      </c>
      <c r="O536" s="370" t="str">
        <v/>
      </c>
      <c r="S536" s="1" t="str">
        <v/>
      </c>
    </row>
    <row r="537" spans="1:19" x14ac:dyDescent="0.25">
      <c r="A537" s="370" t="str">
        <v/>
      </c>
      <c r="H537" s="394" t="str">
        <f t="shared" si="37"/>
        <v/>
      </c>
      <c r="I537" s="394" t="str">
        <f t="shared" si="38"/>
        <v/>
      </c>
      <c r="J537" s="394" t="str">
        <f t="shared" si="39"/>
        <v/>
      </c>
      <c r="K537" s="394" t="str">
        <f t="shared" si="40"/>
        <v/>
      </c>
      <c r="O537" s="370" t="str">
        <v/>
      </c>
      <c r="S537" s="1" t="str">
        <v/>
      </c>
    </row>
    <row r="538" spans="1:19" x14ac:dyDescent="0.25">
      <c r="A538" s="370" t="str">
        <v/>
      </c>
      <c r="H538" s="394" t="str">
        <f t="shared" si="37"/>
        <v/>
      </c>
      <c r="I538" s="394" t="str">
        <f t="shared" si="38"/>
        <v/>
      </c>
      <c r="J538" s="394" t="str">
        <f t="shared" si="39"/>
        <v/>
      </c>
      <c r="K538" s="394" t="str">
        <f t="shared" si="40"/>
        <v/>
      </c>
      <c r="O538" s="370" t="str">
        <v/>
      </c>
      <c r="S538" s="1" t="str">
        <v/>
      </c>
    </row>
    <row r="539" spans="1:19" x14ac:dyDescent="0.25">
      <c r="A539" s="370" t="str">
        <v/>
      </c>
      <c r="H539" s="394" t="str">
        <f t="shared" si="37"/>
        <v/>
      </c>
      <c r="I539" s="394" t="str">
        <f t="shared" si="38"/>
        <v/>
      </c>
      <c r="J539" s="394" t="str">
        <f t="shared" si="39"/>
        <v/>
      </c>
      <c r="K539" s="394" t="str">
        <f t="shared" si="40"/>
        <v/>
      </c>
      <c r="O539" s="370" t="str">
        <v/>
      </c>
      <c r="S539" s="1" t="str">
        <v/>
      </c>
    </row>
    <row r="540" spans="1:19" x14ac:dyDescent="0.25">
      <c r="A540" s="370" t="str">
        <v/>
      </c>
      <c r="H540" s="394" t="str">
        <f t="shared" si="37"/>
        <v/>
      </c>
      <c r="I540" s="394" t="str">
        <f t="shared" si="38"/>
        <v/>
      </c>
      <c r="J540" s="394" t="str">
        <f t="shared" si="39"/>
        <v/>
      </c>
      <c r="K540" s="394" t="str">
        <f t="shared" si="40"/>
        <v/>
      </c>
      <c r="O540" s="370" t="str">
        <v/>
      </c>
      <c r="S540" s="1" t="str">
        <v/>
      </c>
    </row>
    <row r="541" spans="1:19" x14ac:dyDescent="0.25">
      <c r="A541" s="370" t="str">
        <v/>
      </c>
      <c r="H541" s="394" t="str">
        <f t="shared" si="37"/>
        <v/>
      </c>
      <c r="I541" s="394" t="str">
        <f t="shared" si="38"/>
        <v/>
      </c>
      <c r="J541" s="394" t="str">
        <f t="shared" si="39"/>
        <v/>
      </c>
      <c r="K541" s="394" t="str">
        <f t="shared" si="40"/>
        <v/>
      </c>
      <c r="O541" s="370" t="str">
        <v/>
      </c>
      <c r="S541" s="1" t="str">
        <v/>
      </c>
    </row>
    <row r="542" spans="1:19" x14ac:dyDescent="0.25">
      <c r="A542" s="370" t="str">
        <v/>
      </c>
      <c r="H542" s="394" t="str">
        <f t="shared" si="37"/>
        <v/>
      </c>
      <c r="I542" s="394" t="str">
        <f t="shared" si="38"/>
        <v/>
      </c>
      <c r="J542" s="394" t="str">
        <f t="shared" si="39"/>
        <v/>
      </c>
      <c r="K542" s="394" t="str">
        <f t="shared" si="40"/>
        <v/>
      </c>
      <c r="O542" s="370" t="str">
        <v/>
      </c>
      <c r="S542" s="1" t="str">
        <v/>
      </c>
    </row>
    <row r="543" spans="1:19" x14ac:dyDescent="0.25">
      <c r="A543" s="370" t="str">
        <v/>
      </c>
      <c r="H543" s="394" t="str">
        <f t="shared" si="37"/>
        <v/>
      </c>
      <c r="I543" s="394" t="str">
        <f t="shared" si="38"/>
        <v/>
      </c>
      <c r="J543" s="394" t="str">
        <f t="shared" si="39"/>
        <v/>
      </c>
      <c r="K543" s="394" t="str">
        <f t="shared" si="40"/>
        <v/>
      </c>
      <c r="O543" s="370" t="str">
        <v/>
      </c>
      <c r="S543" s="1" t="str">
        <v/>
      </c>
    </row>
    <row r="544" spans="1:19" x14ac:dyDescent="0.25">
      <c r="A544" s="370" t="str">
        <v/>
      </c>
      <c r="H544" s="394" t="str">
        <f t="shared" si="37"/>
        <v/>
      </c>
      <c r="I544" s="394" t="str">
        <f t="shared" si="38"/>
        <v/>
      </c>
      <c r="J544" s="394" t="str">
        <f t="shared" si="39"/>
        <v/>
      </c>
      <c r="K544" s="394" t="str">
        <f t="shared" si="40"/>
        <v/>
      </c>
      <c r="O544" s="370" t="str">
        <v/>
      </c>
      <c r="S544" s="1" t="str">
        <v/>
      </c>
    </row>
    <row r="545" spans="1:19" x14ac:dyDescent="0.25">
      <c r="A545" s="370" t="str">
        <v/>
      </c>
      <c r="H545" s="394" t="str">
        <f t="shared" si="37"/>
        <v/>
      </c>
      <c r="I545" s="394" t="str">
        <f t="shared" si="38"/>
        <v/>
      </c>
      <c r="J545" s="394" t="str">
        <f t="shared" si="39"/>
        <v/>
      </c>
      <c r="K545" s="394" t="str">
        <f t="shared" si="40"/>
        <v/>
      </c>
      <c r="O545" s="370" t="str">
        <v/>
      </c>
      <c r="S545" s="1" t="str">
        <v/>
      </c>
    </row>
    <row r="546" spans="1:19" x14ac:dyDescent="0.25">
      <c r="A546" s="370" t="str">
        <v/>
      </c>
      <c r="H546" s="394" t="str">
        <f t="shared" si="37"/>
        <v/>
      </c>
      <c r="I546" s="394" t="str">
        <f t="shared" si="38"/>
        <v/>
      </c>
      <c r="J546" s="394" t="str">
        <f t="shared" si="39"/>
        <v/>
      </c>
      <c r="K546" s="394" t="str">
        <f t="shared" si="40"/>
        <v/>
      </c>
      <c r="O546" s="370" t="str">
        <v/>
      </c>
      <c r="S546" s="1" t="str">
        <v/>
      </c>
    </row>
    <row r="547" spans="1:19" x14ac:dyDescent="0.25">
      <c r="A547" s="370" t="str">
        <v/>
      </c>
      <c r="H547" s="394" t="str">
        <f t="shared" si="37"/>
        <v/>
      </c>
      <c r="I547" s="394" t="str">
        <f t="shared" si="38"/>
        <v/>
      </c>
      <c r="J547" s="394" t="str">
        <f t="shared" si="39"/>
        <v/>
      </c>
      <c r="K547" s="394" t="str">
        <f t="shared" si="40"/>
        <v/>
      </c>
      <c r="O547" s="370" t="str">
        <v/>
      </c>
      <c r="S547" s="1" t="str">
        <v/>
      </c>
    </row>
    <row r="548" spans="1:19" x14ac:dyDescent="0.25">
      <c r="A548" s="370" t="str">
        <v/>
      </c>
      <c r="H548" s="394" t="str">
        <f t="shared" si="37"/>
        <v/>
      </c>
      <c r="I548" s="394" t="str">
        <f t="shared" si="38"/>
        <v/>
      </c>
      <c r="J548" s="394" t="str">
        <f t="shared" si="39"/>
        <v/>
      </c>
      <c r="K548" s="394" t="str">
        <f t="shared" si="40"/>
        <v/>
      </c>
      <c r="O548" s="370" t="str">
        <v/>
      </c>
      <c r="S548" s="1" t="str">
        <v/>
      </c>
    </row>
    <row r="549" spans="1:19" x14ac:dyDescent="0.25">
      <c r="A549" s="370" t="str">
        <v/>
      </c>
      <c r="H549" s="394" t="str">
        <f t="shared" si="37"/>
        <v/>
      </c>
      <c r="I549" s="394" t="str">
        <f t="shared" si="38"/>
        <v/>
      </c>
      <c r="J549" s="394" t="str">
        <f t="shared" si="39"/>
        <v/>
      </c>
      <c r="K549" s="394" t="str">
        <f t="shared" si="40"/>
        <v/>
      </c>
      <c r="O549" s="370" t="str">
        <v/>
      </c>
      <c r="S549" s="1" t="str">
        <v/>
      </c>
    </row>
    <row r="550" spans="1:19" x14ac:dyDescent="0.25">
      <c r="A550" s="370" t="str">
        <v/>
      </c>
      <c r="H550" s="394" t="str">
        <f t="shared" si="37"/>
        <v/>
      </c>
      <c r="I550" s="394" t="str">
        <f t="shared" si="38"/>
        <v/>
      </c>
      <c r="J550" s="394" t="str">
        <f t="shared" si="39"/>
        <v/>
      </c>
      <c r="K550" s="394" t="str">
        <f t="shared" si="40"/>
        <v/>
      </c>
      <c r="O550" s="370" t="str">
        <v/>
      </c>
      <c r="S550" s="1" t="str">
        <v/>
      </c>
    </row>
    <row r="551" spans="1:19" x14ac:dyDescent="0.25">
      <c r="A551" s="370" t="str">
        <v/>
      </c>
      <c r="H551" s="394" t="str">
        <f t="shared" si="37"/>
        <v/>
      </c>
      <c r="I551" s="394" t="str">
        <f t="shared" si="38"/>
        <v/>
      </c>
      <c r="J551" s="394" t="str">
        <f t="shared" si="39"/>
        <v/>
      </c>
      <c r="K551" s="394" t="str">
        <f t="shared" si="40"/>
        <v/>
      </c>
      <c r="O551" s="370" t="str">
        <v/>
      </c>
      <c r="S551" s="1" t="str">
        <v/>
      </c>
    </row>
    <row r="552" spans="1:19" x14ac:dyDescent="0.25">
      <c r="A552" s="370" t="str">
        <v/>
      </c>
      <c r="H552" s="394" t="str">
        <f t="shared" si="37"/>
        <v/>
      </c>
      <c r="I552" s="394" t="str">
        <f t="shared" si="38"/>
        <v/>
      </c>
      <c r="J552" s="394" t="str">
        <f t="shared" si="39"/>
        <v/>
      </c>
      <c r="K552" s="394" t="str">
        <f t="shared" si="40"/>
        <v/>
      </c>
      <c r="O552" s="370" t="str">
        <v/>
      </c>
      <c r="S552" s="1" t="str">
        <v/>
      </c>
    </row>
    <row r="553" spans="1:19" x14ac:dyDescent="0.25">
      <c r="A553" s="370" t="str">
        <v/>
      </c>
      <c r="H553" s="394" t="str">
        <f t="shared" si="37"/>
        <v/>
      </c>
      <c r="I553" s="394" t="str">
        <f t="shared" si="38"/>
        <v/>
      </c>
      <c r="J553" s="394" t="str">
        <f t="shared" si="39"/>
        <v/>
      </c>
      <c r="K553" s="394" t="str">
        <f t="shared" si="40"/>
        <v/>
      </c>
      <c r="O553" s="370" t="str">
        <v/>
      </c>
      <c r="S553" s="1" t="str">
        <v/>
      </c>
    </row>
    <row r="554" spans="1:19" x14ac:dyDescent="0.25">
      <c r="A554" s="370" t="str">
        <v/>
      </c>
      <c r="H554" s="394" t="str">
        <f t="shared" si="37"/>
        <v/>
      </c>
      <c r="I554" s="394" t="str">
        <f t="shared" si="38"/>
        <v/>
      </c>
      <c r="J554" s="394" t="str">
        <f t="shared" si="39"/>
        <v/>
      </c>
      <c r="K554" s="394" t="str">
        <f t="shared" si="40"/>
        <v/>
      </c>
      <c r="O554" s="370" t="str">
        <v/>
      </c>
      <c r="S554" s="1" t="str">
        <v/>
      </c>
    </row>
    <row r="555" spans="1:19" x14ac:dyDescent="0.25">
      <c r="A555" s="370" t="str">
        <v/>
      </c>
      <c r="H555" s="394" t="str">
        <f t="shared" si="37"/>
        <v/>
      </c>
      <c r="I555" s="394" t="str">
        <f t="shared" si="38"/>
        <v/>
      </c>
      <c r="J555" s="394" t="str">
        <f t="shared" si="39"/>
        <v/>
      </c>
      <c r="K555" s="394" t="str">
        <f t="shared" si="40"/>
        <v/>
      </c>
      <c r="O555" s="370" t="str">
        <v/>
      </c>
      <c r="S555" s="1" t="str">
        <v/>
      </c>
    </row>
    <row r="556" spans="1:19" x14ac:dyDescent="0.25">
      <c r="A556" s="370" t="str">
        <v/>
      </c>
      <c r="H556" s="394" t="str">
        <f t="shared" si="37"/>
        <v/>
      </c>
      <c r="I556" s="394" t="str">
        <f t="shared" si="38"/>
        <v/>
      </c>
      <c r="J556" s="394" t="str">
        <f t="shared" si="39"/>
        <v/>
      </c>
      <c r="K556" s="394" t="str">
        <f t="shared" si="40"/>
        <v/>
      </c>
      <c r="O556" s="370" t="str">
        <v/>
      </c>
      <c r="S556" s="1" t="str">
        <v/>
      </c>
    </row>
    <row r="557" spans="1:19" x14ac:dyDescent="0.25">
      <c r="A557" s="370" t="str">
        <v/>
      </c>
      <c r="H557" s="394" t="str">
        <f t="shared" si="37"/>
        <v/>
      </c>
      <c r="I557" s="394" t="str">
        <f t="shared" si="38"/>
        <v/>
      </c>
      <c r="J557" s="394" t="str">
        <f t="shared" si="39"/>
        <v/>
      </c>
      <c r="K557" s="394" t="str">
        <f t="shared" si="40"/>
        <v/>
      </c>
      <c r="O557" s="370" t="str">
        <v/>
      </c>
      <c r="S557" s="1" t="str">
        <v/>
      </c>
    </row>
    <row r="558" spans="1:19" x14ac:dyDescent="0.25">
      <c r="A558" s="370" t="str">
        <v/>
      </c>
      <c r="H558" s="394" t="str">
        <f t="shared" si="37"/>
        <v/>
      </c>
      <c r="I558" s="394" t="str">
        <f t="shared" si="38"/>
        <v/>
      </c>
      <c r="J558" s="394" t="str">
        <f t="shared" si="39"/>
        <v/>
      </c>
      <c r="K558" s="394" t="str">
        <f t="shared" si="40"/>
        <v/>
      </c>
      <c r="O558" s="370" t="str">
        <v/>
      </c>
      <c r="S558" s="1" t="str">
        <v/>
      </c>
    </row>
    <row r="559" spans="1:19" x14ac:dyDescent="0.25">
      <c r="A559" s="370" t="str">
        <v/>
      </c>
      <c r="H559" s="394" t="str">
        <f t="shared" si="37"/>
        <v/>
      </c>
      <c r="I559" s="394" t="str">
        <f t="shared" si="38"/>
        <v/>
      </c>
      <c r="J559" s="394" t="str">
        <f t="shared" si="39"/>
        <v/>
      </c>
      <c r="K559" s="394" t="str">
        <f t="shared" si="40"/>
        <v/>
      </c>
      <c r="O559" s="370" t="str">
        <v/>
      </c>
      <c r="S559" s="1" t="str">
        <v/>
      </c>
    </row>
    <row r="560" spans="1:19" x14ac:dyDescent="0.25">
      <c r="A560" s="370" t="str">
        <v/>
      </c>
      <c r="H560" s="394" t="str">
        <f t="shared" si="37"/>
        <v/>
      </c>
      <c r="I560" s="394" t="str">
        <f t="shared" si="38"/>
        <v/>
      </c>
      <c r="J560" s="394" t="str">
        <f t="shared" si="39"/>
        <v/>
      </c>
      <c r="K560" s="394" t="str">
        <f t="shared" si="40"/>
        <v/>
      </c>
      <c r="O560" s="370" t="str">
        <v/>
      </c>
      <c r="S560" s="1" t="str">
        <v/>
      </c>
    </row>
    <row r="561" spans="1:19" x14ac:dyDescent="0.25">
      <c r="A561" s="370" t="str">
        <v/>
      </c>
      <c r="H561" s="394" t="str">
        <f t="shared" si="37"/>
        <v/>
      </c>
      <c r="I561" s="394" t="str">
        <f t="shared" si="38"/>
        <v/>
      </c>
      <c r="J561" s="394" t="str">
        <f t="shared" si="39"/>
        <v/>
      </c>
      <c r="K561" s="394" t="str">
        <f t="shared" si="40"/>
        <v/>
      </c>
      <c r="O561" s="370" t="str">
        <v/>
      </c>
      <c r="S561" s="1" t="str">
        <v/>
      </c>
    </row>
    <row r="562" spans="1:19" x14ac:dyDescent="0.25">
      <c r="A562" s="370" t="str">
        <v/>
      </c>
      <c r="H562" s="394" t="str">
        <f t="shared" si="37"/>
        <v/>
      </c>
      <c r="I562" s="394" t="str">
        <f t="shared" si="38"/>
        <v/>
      </c>
      <c r="J562" s="394" t="str">
        <f t="shared" si="39"/>
        <v/>
      </c>
      <c r="K562" s="394" t="str">
        <f t="shared" si="40"/>
        <v/>
      </c>
      <c r="O562" s="370" t="str">
        <v/>
      </c>
      <c r="S562" s="1" t="str">
        <v/>
      </c>
    </row>
    <row r="563" spans="1:19" x14ac:dyDescent="0.25">
      <c r="A563" s="370" t="str">
        <v/>
      </c>
      <c r="H563" s="394" t="str">
        <f t="shared" si="37"/>
        <v/>
      </c>
      <c r="I563" s="394" t="str">
        <f t="shared" si="38"/>
        <v/>
      </c>
      <c r="J563" s="394" t="str">
        <f t="shared" si="39"/>
        <v/>
      </c>
      <c r="K563" s="394" t="str">
        <f t="shared" si="40"/>
        <v/>
      </c>
      <c r="O563" s="370" t="str">
        <v/>
      </c>
      <c r="S563" s="1" t="str">
        <v/>
      </c>
    </row>
    <row r="564" spans="1:19" x14ac:dyDescent="0.25">
      <c r="A564" s="370" t="str">
        <v/>
      </c>
      <c r="H564" s="394" t="str">
        <f t="shared" si="37"/>
        <v/>
      </c>
      <c r="I564" s="394" t="str">
        <f t="shared" si="38"/>
        <v/>
      </c>
      <c r="J564" s="394" t="str">
        <f t="shared" si="39"/>
        <v/>
      </c>
      <c r="K564" s="394" t="str">
        <f t="shared" si="40"/>
        <v/>
      </c>
      <c r="O564" s="370" t="str">
        <v/>
      </c>
      <c r="S564" s="1" t="str">
        <v/>
      </c>
    </row>
    <row r="565" spans="1:19" x14ac:dyDescent="0.25">
      <c r="A565" s="370" t="str">
        <v/>
      </c>
      <c r="H565" s="394" t="str">
        <f t="shared" si="37"/>
        <v/>
      </c>
      <c r="I565" s="394" t="str">
        <f t="shared" si="38"/>
        <v/>
      </c>
      <c r="J565" s="394" t="str">
        <f t="shared" si="39"/>
        <v/>
      </c>
      <c r="K565" s="394" t="str">
        <f t="shared" si="40"/>
        <v/>
      </c>
      <c r="O565" s="370" t="str">
        <v/>
      </c>
      <c r="S565" s="1" t="str">
        <v/>
      </c>
    </row>
    <row r="566" spans="1:19" x14ac:dyDescent="0.25">
      <c r="A566" s="370" t="str">
        <v/>
      </c>
      <c r="H566" s="394" t="str">
        <f t="shared" si="37"/>
        <v/>
      </c>
      <c r="I566" s="394" t="str">
        <f t="shared" si="38"/>
        <v/>
      </c>
      <c r="J566" s="394" t="str">
        <f t="shared" si="39"/>
        <v/>
      </c>
      <c r="K566" s="394" t="str">
        <f t="shared" si="40"/>
        <v/>
      </c>
      <c r="O566" s="370" t="str">
        <v/>
      </c>
      <c r="S566" s="1" t="str">
        <v/>
      </c>
    </row>
    <row r="567" spans="1:19" x14ac:dyDescent="0.25">
      <c r="A567" s="370" t="str">
        <v/>
      </c>
      <c r="H567" s="394" t="str">
        <f t="shared" si="37"/>
        <v/>
      </c>
      <c r="I567" s="394" t="str">
        <f t="shared" si="38"/>
        <v/>
      </c>
      <c r="J567" s="394" t="str">
        <f t="shared" si="39"/>
        <v/>
      </c>
      <c r="K567" s="394" t="str">
        <f t="shared" si="40"/>
        <v/>
      </c>
      <c r="O567" s="370" t="str">
        <v/>
      </c>
      <c r="S567" s="1" t="str">
        <v/>
      </c>
    </row>
    <row r="568" spans="1:19" x14ac:dyDescent="0.25">
      <c r="A568" s="370" t="str">
        <v/>
      </c>
      <c r="H568" s="394" t="str">
        <f t="shared" si="37"/>
        <v/>
      </c>
      <c r="I568" s="394" t="str">
        <f t="shared" si="38"/>
        <v/>
      </c>
      <c r="J568" s="394" t="str">
        <f t="shared" si="39"/>
        <v/>
      </c>
      <c r="K568" s="394" t="str">
        <f t="shared" si="40"/>
        <v/>
      </c>
      <c r="O568" s="370" t="str">
        <v/>
      </c>
      <c r="S568" s="1" t="str">
        <v/>
      </c>
    </row>
    <row r="569" spans="1:19" x14ac:dyDescent="0.25">
      <c r="A569" s="370" t="str">
        <v/>
      </c>
      <c r="H569" s="394" t="str">
        <f t="shared" si="37"/>
        <v/>
      </c>
      <c r="I569" s="394" t="str">
        <f t="shared" si="38"/>
        <v/>
      </c>
      <c r="J569" s="394" t="str">
        <f t="shared" si="39"/>
        <v/>
      </c>
      <c r="K569" s="394" t="str">
        <f t="shared" si="40"/>
        <v/>
      </c>
      <c r="O569" s="370" t="str">
        <v/>
      </c>
      <c r="S569" s="1" t="str">
        <v/>
      </c>
    </row>
    <row r="570" spans="1:19" x14ac:dyDescent="0.25">
      <c r="A570" s="370" t="str">
        <v/>
      </c>
      <c r="H570" s="394" t="str">
        <f t="shared" si="37"/>
        <v/>
      </c>
      <c r="I570" s="394" t="str">
        <f t="shared" si="38"/>
        <v/>
      </c>
      <c r="J570" s="394" t="str">
        <f t="shared" si="39"/>
        <v/>
      </c>
      <c r="K570" s="394" t="str">
        <f t="shared" si="40"/>
        <v/>
      </c>
      <c r="O570" s="370" t="str">
        <v/>
      </c>
      <c r="S570" s="1" t="str">
        <v/>
      </c>
    </row>
    <row r="571" spans="1:19" x14ac:dyDescent="0.25">
      <c r="A571" s="370" t="str">
        <v/>
      </c>
      <c r="H571" s="394" t="str">
        <f t="shared" si="37"/>
        <v/>
      </c>
      <c r="I571" s="394" t="str">
        <f t="shared" si="38"/>
        <v/>
      </c>
      <c r="J571" s="394" t="str">
        <f t="shared" si="39"/>
        <v/>
      </c>
      <c r="K571" s="394" t="str">
        <f t="shared" si="40"/>
        <v/>
      </c>
      <c r="O571" s="370" t="str">
        <v/>
      </c>
      <c r="S571" s="1" t="str">
        <v/>
      </c>
    </row>
    <row r="572" spans="1:19" x14ac:dyDescent="0.25">
      <c r="A572" s="370" t="str">
        <v/>
      </c>
      <c r="H572" s="394" t="str">
        <f t="shared" si="37"/>
        <v/>
      </c>
      <c r="I572" s="394" t="str">
        <f t="shared" si="38"/>
        <v/>
      </c>
      <c r="J572" s="394" t="str">
        <f t="shared" si="39"/>
        <v/>
      </c>
      <c r="K572" s="394" t="str">
        <f t="shared" si="40"/>
        <v/>
      </c>
      <c r="O572" s="370" t="str">
        <v/>
      </c>
      <c r="S572" s="1" t="str">
        <v/>
      </c>
    </row>
    <row r="573" spans="1:19" x14ac:dyDescent="0.25">
      <c r="A573" s="370" t="str">
        <v/>
      </c>
      <c r="H573" s="394" t="str">
        <f t="shared" si="37"/>
        <v/>
      </c>
      <c r="I573" s="394" t="str">
        <f t="shared" si="38"/>
        <v/>
      </c>
      <c r="J573" s="394" t="str">
        <f t="shared" si="39"/>
        <v/>
      </c>
      <c r="K573" s="394" t="str">
        <f t="shared" si="40"/>
        <v/>
      </c>
      <c r="O573" s="370" t="str">
        <v/>
      </c>
      <c r="S573" s="1" t="str">
        <v/>
      </c>
    </row>
    <row r="574" spans="1:19" x14ac:dyDescent="0.25">
      <c r="A574" s="370" t="str">
        <v/>
      </c>
      <c r="H574" s="394" t="str">
        <f t="shared" si="37"/>
        <v/>
      </c>
      <c r="I574" s="394" t="str">
        <f t="shared" si="38"/>
        <v/>
      </c>
      <c r="J574" s="394" t="str">
        <f t="shared" si="39"/>
        <v/>
      </c>
      <c r="K574" s="394" t="str">
        <f t="shared" si="40"/>
        <v/>
      </c>
      <c r="O574" s="370" t="str">
        <v/>
      </c>
      <c r="S574" s="1" t="str">
        <v/>
      </c>
    </row>
    <row r="575" spans="1:19" x14ac:dyDescent="0.25">
      <c r="A575" s="370" t="str">
        <v/>
      </c>
      <c r="H575" s="394" t="str">
        <f t="shared" si="37"/>
        <v/>
      </c>
      <c r="I575" s="394" t="str">
        <f t="shared" si="38"/>
        <v/>
      </c>
      <c r="J575" s="394" t="str">
        <f t="shared" si="39"/>
        <v/>
      </c>
      <c r="K575" s="394" t="str">
        <f t="shared" si="40"/>
        <v/>
      </c>
      <c r="O575" s="370" t="str">
        <v/>
      </c>
      <c r="S575" s="1" t="str">
        <v/>
      </c>
    </row>
    <row r="576" spans="1:19" x14ac:dyDescent="0.25">
      <c r="A576" s="370" t="str">
        <v/>
      </c>
      <c r="H576" s="394" t="str">
        <f t="shared" si="37"/>
        <v/>
      </c>
      <c r="I576" s="394" t="str">
        <f t="shared" si="38"/>
        <v/>
      </c>
      <c r="J576" s="394" t="str">
        <f t="shared" si="39"/>
        <v/>
      </c>
      <c r="K576" s="394" t="str">
        <f t="shared" si="40"/>
        <v/>
      </c>
      <c r="O576" s="370" t="str">
        <v/>
      </c>
      <c r="S576" s="1" t="str">
        <v/>
      </c>
    </row>
    <row r="577" spans="1:19" x14ac:dyDescent="0.25">
      <c r="A577" s="370" t="str">
        <v/>
      </c>
      <c r="H577" s="394" t="str">
        <f t="shared" si="37"/>
        <v/>
      </c>
      <c r="I577" s="394" t="str">
        <f t="shared" si="38"/>
        <v/>
      </c>
      <c r="J577" s="394" t="str">
        <f t="shared" si="39"/>
        <v/>
      </c>
      <c r="K577" s="394" t="str">
        <f t="shared" si="40"/>
        <v/>
      </c>
      <c r="O577" s="370" t="str">
        <v/>
      </c>
      <c r="S577" s="1" t="str">
        <v/>
      </c>
    </row>
    <row r="578" spans="1:19" x14ac:dyDescent="0.25">
      <c r="A578" s="370" t="str">
        <v/>
      </c>
      <c r="H578" s="394" t="str">
        <f t="shared" si="37"/>
        <v/>
      </c>
      <c r="I578" s="394" t="str">
        <f t="shared" si="38"/>
        <v/>
      </c>
      <c r="J578" s="394" t="str">
        <f t="shared" si="39"/>
        <v/>
      </c>
      <c r="K578" s="394" t="str">
        <f t="shared" si="40"/>
        <v/>
      </c>
      <c r="O578" s="370" t="str">
        <v/>
      </c>
      <c r="S578" s="1" t="str">
        <v/>
      </c>
    </row>
    <row r="579" spans="1:19" x14ac:dyDescent="0.25">
      <c r="A579" s="370" t="str">
        <v/>
      </c>
      <c r="H579" s="394" t="str">
        <f t="shared" si="37"/>
        <v/>
      </c>
      <c r="I579" s="394" t="str">
        <f t="shared" si="38"/>
        <v/>
      </c>
      <c r="J579" s="394" t="str">
        <f t="shared" si="39"/>
        <v/>
      </c>
      <c r="K579" s="394" t="str">
        <f t="shared" si="40"/>
        <v/>
      </c>
      <c r="O579" s="370" t="str">
        <v/>
      </c>
      <c r="S579" s="1" t="str">
        <v/>
      </c>
    </row>
    <row r="580" spans="1:19" x14ac:dyDescent="0.25">
      <c r="A580" s="370" t="str">
        <v/>
      </c>
      <c r="H580" s="394" t="str">
        <f t="shared" si="37"/>
        <v/>
      </c>
      <c r="I580" s="394" t="str">
        <f t="shared" si="38"/>
        <v/>
      </c>
      <c r="J580" s="394" t="str">
        <f t="shared" si="39"/>
        <v/>
      </c>
      <c r="K580" s="394" t="str">
        <f t="shared" si="40"/>
        <v/>
      </c>
      <c r="O580" s="370" t="str">
        <v/>
      </c>
      <c r="S580" s="1" t="str">
        <v/>
      </c>
    </row>
    <row r="581" spans="1:19" x14ac:dyDescent="0.25">
      <c r="A581" s="370" t="str">
        <v/>
      </c>
      <c r="H581" s="394" t="str">
        <f t="shared" si="37"/>
        <v/>
      </c>
      <c r="I581" s="394" t="str">
        <f t="shared" si="38"/>
        <v/>
      </c>
      <c r="J581" s="394" t="str">
        <f t="shared" si="39"/>
        <v/>
      </c>
      <c r="K581" s="394" t="str">
        <f t="shared" si="40"/>
        <v/>
      </c>
      <c r="O581" s="370" t="str">
        <v/>
      </c>
      <c r="S581" s="1" t="str">
        <v/>
      </c>
    </row>
    <row r="582" spans="1:19" x14ac:dyDescent="0.25">
      <c r="A582" s="370" t="str">
        <v/>
      </c>
      <c r="H582" s="394" t="str">
        <f t="shared" si="37"/>
        <v/>
      </c>
      <c r="I582" s="394" t="str">
        <f t="shared" si="38"/>
        <v/>
      </c>
      <c r="J582" s="394" t="str">
        <f t="shared" si="39"/>
        <v/>
      </c>
      <c r="K582" s="394" t="str">
        <f t="shared" si="40"/>
        <v/>
      </c>
      <c r="O582" s="370" t="str">
        <v/>
      </c>
      <c r="S582" s="1" t="str">
        <v/>
      </c>
    </row>
    <row r="583" spans="1:19" x14ac:dyDescent="0.25">
      <c r="A583" s="370" t="str">
        <v/>
      </c>
      <c r="H583" s="394" t="str">
        <f t="shared" si="37"/>
        <v/>
      </c>
      <c r="I583" s="394" t="str">
        <f t="shared" si="38"/>
        <v/>
      </c>
      <c r="J583" s="394" t="str">
        <f t="shared" si="39"/>
        <v/>
      </c>
      <c r="K583" s="394" t="str">
        <f t="shared" si="40"/>
        <v/>
      </c>
      <c r="O583" s="370" t="str">
        <v/>
      </c>
      <c r="S583" s="1" t="str">
        <v/>
      </c>
    </row>
    <row r="584" spans="1:19" x14ac:dyDescent="0.25">
      <c r="A584" s="370" t="str">
        <v/>
      </c>
      <c r="H584" s="394" t="str">
        <f t="shared" si="37"/>
        <v/>
      </c>
      <c r="I584" s="394" t="str">
        <f t="shared" si="38"/>
        <v/>
      </c>
      <c r="J584" s="394" t="str">
        <f t="shared" si="39"/>
        <v/>
      </c>
      <c r="K584" s="394" t="str">
        <f t="shared" si="40"/>
        <v/>
      </c>
      <c r="O584" s="370" t="str">
        <v/>
      </c>
      <c r="S584" s="1" t="str">
        <v/>
      </c>
    </row>
    <row r="585" spans="1:19" x14ac:dyDescent="0.25">
      <c r="A585" s="370" t="str">
        <v/>
      </c>
      <c r="H585" s="394" t="str">
        <f t="shared" si="37"/>
        <v/>
      </c>
      <c r="I585" s="394" t="str">
        <f t="shared" si="38"/>
        <v/>
      </c>
      <c r="J585" s="394" t="str">
        <f t="shared" si="39"/>
        <v/>
      </c>
      <c r="K585" s="394" t="str">
        <f t="shared" si="40"/>
        <v/>
      </c>
      <c r="O585" s="370" t="str">
        <v/>
      </c>
      <c r="S585" s="1" t="str">
        <v/>
      </c>
    </row>
    <row r="586" spans="1:19" x14ac:dyDescent="0.25">
      <c r="A586" s="370" t="str">
        <v/>
      </c>
      <c r="H586" s="394" t="str">
        <f t="shared" si="37"/>
        <v/>
      </c>
      <c r="I586" s="394" t="str">
        <f t="shared" si="38"/>
        <v/>
      </c>
      <c r="J586" s="394" t="str">
        <f t="shared" si="39"/>
        <v/>
      </c>
      <c r="K586" s="394" t="str">
        <f t="shared" si="40"/>
        <v/>
      </c>
      <c r="O586" s="370" t="str">
        <v/>
      </c>
      <c r="S586" s="1" t="str">
        <v/>
      </c>
    </row>
    <row r="587" spans="1:19" x14ac:dyDescent="0.25">
      <c r="A587" s="370" t="str">
        <v/>
      </c>
      <c r="H587" s="394" t="str">
        <f t="shared" si="37"/>
        <v/>
      </c>
      <c r="I587" s="394" t="str">
        <f t="shared" si="38"/>
        <v/>
      </c>
      <c r="J587" s="394" t="str">
        <f t="shared" si="39"/>
        <v/>
      </c>
      <c r="K587" s="394" t="str">
        <f t="shared" si="40"/>
        <v/>
      </c>
      <c r="O587" s="370" t="str">
        <v/>
      </c>
      <c r="S587" s="1" t="str">
        <v/>
      </c>
    </row>
    <row r="588" spans="1:19" x14ac:dyDescent="0.25">
      <c r="A588" s="370" t="str">
        <v/>
      </c>
      <c r="H588" s="394" t="str">
        <f t="shared" si="37"/>
        <v/>
      </c>
      <c r="I588" s="394" t="str">
        <f t="shared" si="38"/>
        <v/>
      </c>
      <c r="J588" s="394" t="str">
        <f t="shared" si="39"/>
        <v/>
      </c>
      <c r="K588" s="394" t="str">
        <f t="shared" si="40"/>
        <v/>
      </c>
      <c r="O588" s="370" t="str">
        <v/>
      </c>
      <c r="S588" s="1" t="str">
        <v/>
      </c>
    </row>
    <row r="589" spans="1:19" x14ac:dyDescent="0.25">
      <c r="A589" s="370" t="str">
        <v/>
      </c>
      <c r="H589" s="394" t="str">
        <f t="shared" si="37"/>
        <v/>
      </c>
      <c r="I589" s="394" t="str">
        <f t="shared" si="38"/>
        <v/>
      </c>
      <c r="J589" s="394" t="str">
        <f t="shared" si="39"/>
        <v/>
      </c>
      <c r="K589" s="394" t="str">
        <f t="shared" si="40"/>
        <v/>
      </c>
      <c r="O589" s="370" t="str">
        <v/>
      </c>
      <c r="S589" s="1" t="str">
        <v/>
      </c>
    </row>
    <row r="590" spans="1:19" x14ac:dyDescent="0.25">
      <c r="A590" s="370" t="str">
        <v/>
      </c>
      <c r="H590" s="394" t="str">
        <f t="shared" si="37"/>
        <v/>
      </c>
      <c r="I590" s="394" t="str">
        <f t="shared" si="38"/>
        <v/>
      </c>
      <c r="J590" s="394" t="str">
        <f t="shared" si="39"/>
        <v/>
      </c>
      <c r="K590" s="394" t="str">
        <f t="shared" si="40"/>
        <v/>
      </c>
      <c r="O590" s="370" t="str">
        <v/>
      </c>
      <c r="S590" s="1" t="str">
        <v/>
      </c>
    </row>
    <row r="591" spans="1:19" x14ac:dyDescent="0.25">
      <c r="A591" s="370" t="str">
        <v/>
      </c>
      <c r="H591" s="394" t="str">
        <f t="shared" si="37"/>
        <v/>
      </c>
      <c r="I591" s="394" t="str">
        <f t="shared" si="38"/>
        <v/>
      </c>
      <c r="J591" s="394" t="str">
        <f t="shared" si="39"/>
        <v/>
      </c>
      <c r="K591" s="394" t="str">
        <f t="shared" si="40"/>
        <v/>
      </c>
      <c r="O591" s="370" t="str">
        <v/>
      </c>
      <c r="S591" s="1" t="str">
        <v/>
      </c>
    </row>
    <row r="592" spans="1:19" x14ac:dyDescent="0.25">
      <c r="A592" s="370" t="str">
        <v/>
      </c>
      <c r="H592" s="394" t="str">
        <f t="shared" si="37"/>
        <v/>
      </c>
      <c r="I592" s="394" t="str">
        <f t="shared" si="38"/>
        <v/>
      </c>
      <c r="J592" s="394" t="str">
        <f t="shared" si="39"/>
        <v/>
      </c>
      <c r="K592" s="394" t="str">
        <f t="shared" si="40"/>
        <v/>
      </c>
      <c r="O592" s="370" t="str">
        <v/>
      </c>
      <c r="S592" s="1" t="str">
        <v/>
      </c>
    </row>
    <row r="593" spans="1:19" x14ac:dyDescent="0.25">
      <c r="A593" s="370" t="str">
        <v/>
      </c>
      <c r="H593" s="394" t="str">
        <f t="shared" si="37"/>
        <v/>
      </c>
      <c r="I593" s="394" t="str">
        <f t="shared" si="38"/>
        <v/>
      </c>
      <c r="J593" s="394" t="str">
        <f t="shared" si="39"/>
        <v/>
      </c>
      <c r="K593" s="394" t="str">
        <f t="shared" si="40"/>
        <v/>
      </c>
      <c r="O593" s="370" t="str">
        <v/>
      </c>
      <c r="S593" s="1" t="str">
        <v/>
      </c>
    </row>
    <row r="594" spans="1:19" x14ac:dyDescent="0.25">
      <c r="A594" s="370" t="str">
        <v/>
      </c>
      <c r="H594" s="394" t="str">
        <f t="shared" si="37"/>
        <v/>
      </c>
      <c r="I594" s="394" t="str">
        <f t="shared" si="38"/>
        <v/>
      </c>
      <c r="J594" s="394" t="str">
        <f t="shared" si="39"/>
        <v/>
      </c>
      <c r="K594" s="394" t="str">
        <f t="shared" si="40"/>
        <v/>
      </c>
      <c r="O594" s="370" t="str">
        <v/>
      </c>
      <c r="S594" s="1" t="str">
        <v/>
      </c>
    </row>
    <row r="595" spans="1:19" x14ac:dyDescent="0.25">
      <c r="A595" s="370" t="str">
        <v/>
      </c>
      <c r="H595" s="394" t="str">
        <f t="shared" si="37"/>
        <v/>
      </c>
      <c r="I595" s="394" t="str">
        <f t="shared" si="38"/>
        <v/>
      </c>
      <c r="J595" s="394" t="str">
        <f t="shared" si="39"/>
        <v/>
      </c>
      <c r="K595" s="394" t="str">
        <f t="shared" si="40"/>
        <v/>
      </c>
      <c r="O595" s="370" t="str">
        <v/>
      </c>
      <c r="S595" s="1" t="str">
        <v/>
      </c>
    </row>
    <row r="596" spans="1:19" x14ac:dyDescent="0.25">
      <c r="A596" s="370" t="str">
        <v/>
      </c>
      <c r="H596" s="394" t="str">
        <f t="shared" si="37"/>
        <v/>
      </c>
      <c r="I596" s="394" t="str">
        <f t="shared" si="38"/>
        <v/>
      </c>
      <c r="J596" s="394" t="str">
        <f t="shared" si="39"/>
        <v/>
      </c>
      <c r="K596" s="394" t="str">
        <f t="shared" si="40"/>
        <v/>
      </c>
      <c r="O596" s="370" t="str">
        <v/>
      </c>
      <c r="S596" s="1" t="str">
        <v/>
      </c>
    </row>
    <row r="597" spans="1:19" x14ac:dyDescent="0.25">
      <c r="A597" s="370" t="str">
        <v/>
      </c>
      <c r="H597" s="394" t="str">
        <f t="shared" si="37"/>
        <v/>
      </c>
      <c r="I597" s="394" t="str">
        <f t="shared" si="38"/>
        <v/>
      </c>
      <c r="J597" s="394" t="str">
        <f t="shared" si="39"/>
        <v/>
      </c>
      <c r="K597" s="394" t="str">
        <f t="shared" si="40"/>
        <v/>
      </c>
      <c r="O597" s="370" t="str">
        <v/>
      </c>
      <c r="S597" s="1" t="str">
        <v/>
      </c>
    </row>
    <row r="598" spans="1:19" x14ac:dyDescent="0.25">
      <c r="A598" s="370" t="str">
        <v/>
      </c>
      <c r="H598" s="394" t="str">
        <f t="shared" si="37"/>
        <v/>
      </c>
      <c r="I598" s="394" t="str">
        <f t="shared" si="38"/>
        <v/>
      </c>
      <c r="J598" s="394" t="str">
        <f t="shared" si="39"/>
        <v/>
      </c>
      <c r="K598" s="394" t="str">
        <f t="shared" si="40"/>
        <v/>
      </c>
      <c r="O598" s="370" t="str">
        <v/>
      </c>
      <c r="S598" s="1" t="str">
        <v/>
      </c>
    </row>
    <row r="599" spans="1:19" x14ac:dyDescent="0.25">
      <c r="A599" s="370" t="str">
        <v/>
      </c>
      <c r="H599" s="394" t="str">
        <f t="shared" ref="H599:H662" si="41">IF($C599="","",ROUND((($B$2*$F599*($B$5/1000))/$B$6)*(1+IF($B$18="",0,$B$18)),2))</f>
        <v/>
      </c>
      <c r="I599" s="394" t="str">
        <f t="shared" ref="I599:I662" si="42">IF($C599="","",ROUND((($B$3*$F599*($B$5/1000))/$B$6)*(1+IF($B$18="",0,$B$18)),2))</f>
        <v/>
      </c>
      <c r="J599" s="394" t="str">
        <f t="shared" ref="J599:J662" si="43">IF(OR($C599="",$B$9="",$B$15=""),"",ROUND((((((IF($B$15="N/A",$B$2,$B$4))*$F599*($B$5/1000))+((($G599/1000)*($B$5/1000)*10.7639104)*(IF($B$9="Smooth",$B$10,IF($B$9="Sand",$B$11,0)))))*(1+$B$17))/$B$8)*(1+IF($B$18="",0,$B$18)),2))</f>
        <v/>
      </c>
      <c r="K599" s="394" t="str">
        <f t="shared" ref="K599:K662" si="44">IF(OR($C599="",$B$12="",$B$15=""),"",ROUND((((((IF($B$15="N/A",$B$2,$B$4))*$F599*($B$5/1000))+((($G599/1000)*($B$5/1000)*10.7639104)*(IF($B$12="Indoor",$B$13,IF($B$12="Outdoor",$B$14,0)))))*(1+$B$17))/$B$8)*(1+IF($B$18="",0,$B$18)),2))</f>
        <v/>
      </c>
      <c r="O599" s="370" t="str">
        <v/>
      </c>
      <c r="S599" s="1" t="str">
        <v/>
      </c>
    </row>
    <row r="600" spans="1:19" x14ac:dyDescent="0.25">
      <c r="A600" s="370" t="str">
        <v/>
      </c>
      <c r="H600" s="394" t="str">
        <f t="shared" si="41"/>
        <v/>
      </c>
      <c r="I600" s="394" t="str">
        <f t="shared" si="42"/>
        <v/>
      </c>
      <c r="J600" s="394" t="str">
        <f t="shared" si="43"/>
        <v/>
      </c>
      <c r="K600" s="394" t="str">
        <f t="shared" si="44"/>
        <v/>
      </c>
      <c r="O600" s="370" t="str">
        <v/>
      </c>
      <c r="S600" s="1" t="str">
        <v/>
      </c>
    </row>
    <row r="601" spans="1:19" x14ac:dyDescent="0.25">
      <c r="A601" s="370" t="str">
        <v/>
      </c>
      <c r="H601" s="394" t="str">
        <f t="shared" si="41"/>
        <v/>
      </c>
      <c r="I601" s="394" t="str">
        <f t="shared" si="42"/>
        <v/>
      </c>
      <c r="J601" s="394" t="str">
        <f t="shared" si="43"/>
        <v/>
      </c>
      <c r="K601" s="394" t="str">
        <f t="shared" si="44"/>
        <v/>
      </c>
      <c r="O601" s="370" t="str">
        <v/>
      </c>
      <c r="S601" s="1" t="str">
        <v/>
      </c>
    </row>
    <row r="602" spans="1:19" x14ac:dyDescent="0.25">
      <c r="A602" s="370" t="str">
        <v/>
      </c>
      <c r="H602" s="394" t="str">
        <f t="shared" si="41"/>
        <v/>
      </c>
      <c r="I602" s="394" t="str">
        <f t="shared" si="42"/>
        <v/>
      </c>
      <c r="J602" s="394" t="str">
        <f t="shared" si="43"/>
        <v/>
      </c>
      <c r="K602" s="394" t="str">
        <f t="shared" si="44"/>
        <v/>
      </c>
      <c r="O602" s="370" t="str">
        <v/>
      </c>
      <c r="S602" s="1" t="str">
        <v/>
      </c>
    </row>
    <row r="603" spans="1:19" x14ac:dyDescent="0.25">
      <c r="A603" s="370" t="str">
        <v/>
      </c>
      <c r="H603" s="394" t="str">
        <f t="shared" si="41"/>
        <v/>
      </c>
      <c r="I603" s="394" t="str">
        <f t="shared" si="42"/>
        <v/>
      </c>
      <c r="J603" s="394" t="str">
        <f t="shared" si="43"/>
        <v/>
      </c>
      <c r="K603" s="394" t="str">
        <f t="shared" si="44"/>
        <v/>
      </c>
      <c r="O603" s="370" t="str">
        <v/>
      </c>
      <c r="S603" s="1" t="str">
        <v/>
      </c>
    </row>
    <row r="604" spans="1:19" x14ac:dyDescent="0.25">
      <c r="A604" s="370" t="str">
        <v/>
      </c>
      <c r="H604" s="394" t="str">
        <f t="shared" si="41"/>
        <v/>
      </c>
      <c r="I604" s="394" t="str">
        <f t="shared" si="42"/>
        <v/>
      </c>
      <c r="J604" s="394" t="str">
        <f t="shared" si="43"/>
        <v/>
      </c>
      <c r="K604" s="394" t="str">
        <f t="shared" si="44"/>
        <v/>
      </c>
      <c r="O604" s="370" t="str">
        <v/>
      </c>
      <c r="S604" s="1" t="str">
        <v/>
      </c>
    </row>
    <row r="605" spans="1:19" x14ac:dyDescent="0.25">
      <c r="A605" s="370" t="str">
        <v/>
      </c>
      <c r="H605" s="394" t="str">
        <f t="shared" si="41"/>
        <v/>
      </c>
      <c r="I605" s="394" t="str">
        <f t="shared" si="42"/>
        <v/>
      </c>
      <c r="J605" s="394" t="str">
        <f t="shared" si="43"/>
        <v/>
      </c>
      <c r="K605" s="394" t="str">
        <f t="shared" si="44"/>
        <v/>
      </c>
      <c r="O605" s="370" t="str">
        <v/>
      </c>
      <c r="S605" s="1" t="str">
        <v/>
      </c>
    </row>
    <row r="606" spans="1:19" x14ac:dyDescent="0.25">
      <c r="A606" s="370" t="str">
        <v/>
      </c>
      <c r="H606" s="394" t="str">
        <f t="shared" si="41"/>
        <v/>
      </c>
      <c r="I606" s="394" t="str">
        <f t="shared" si="42"/>
        <v/>
      </c>
      <c r="J606" s="394" t="str">
        <f t="shared" si="43"/>
        <v/>
      </c>
      <c r="K606" s="394" t="str">
        <f t="shared" si="44"/>
        <v/>
      </c>
      <c r="O606" s="370" t="str">
        <v/>
      </c>
      <c r="S606" s="1" t="str">
        <v/>
      </c>
    </row>
    <row r="607" spans="1:19" x14ac:dyDescent="0.25">
      <c r="A607" s="370" t="str">
        <v/>
      </c>
      <c r="H607" s="394" t="str">
        <f t="shared" si="41"/>
        <v/>
      </c>
      <c r="I607" s="394" t="str">
        <f t="shared" si="42"/>
        <v/>
      </c>
      <c r="J607" s="394" t="str">
        <f t="shared" si="43"/>
        <v/>
      </c>
      <c r="K607" s="394" t="str">
        <f t="shared" si="44"/>
        <v/>
      </c>
      <c r="O607" s="370" t="str">
        <v/>
      </c>
      <c r="S607" s="1" t="str">
        <v/>
      </c>
    </row>
    <row r="608" spans="1:19" x14ac:dyDescent="0.25">
      <c r="A608" s="370" t="str">
        <v/>
      </c>
      <c r="H608" s="394" t="str">
        <f t="shared" si="41"/>
        <v/>
      </c>
      <c r="I608" s="394" t="str">
        <f t="shared" si="42"/>
        <v/>
      </c>
      <c r="J608" s="394" t="str">
        <f t="shared" si="43"/>
        <v/>
      </c>
      <c r="K608" s="394" t="str">
        <f t="shared" si="44"/>
        <v/>
      </c>
      <c r="O608" s="370" t="str">
        <v/>
      </c>
      <c r="S608" s="1" t="str">
        <v/>
      </c>
    </row>
    <row r="609" spans="1:19" x14ac:dyDescent="0.25">
      <c r="A609" s="370" t="str">
        <v/>
      </c>
      <c r="H609" s="394" t="str">
        <f t="shared" si="41"/>
        <v/>
      </c>
      <c r="I609" s="394" t="str">
        <f t="shared" si="42"/>
        <v/>
      </c>
      <c r="J609" s="394" t="str">
        <f t="shared" si="43"/>
        <v/>
      </c>
      <c r="K609" s="394" t="str">
        <f t="shared" si="44"/>
        <v/>
      </c>
      <c r="O609" s="370" t="str">
        <v/>
      </c>
      <c r="S609" s="1" t="str">
        <v/>
      </c>
    </row>
    <row r="610" spans="1:19" x14ac:dyDescent="0.25">
      <c r="A610" s="370" t="str">
        <v/>
      </c>
      <c r="H610" s="394" t="str">
        <f t="shared" si="41"/>
        <v/>
      </c>
      <c r="I610" s="394" t="str">
        <f t="shared" si="42"/>
        <v/>
      </c>
      <c r="J610" s="394" t="str">
        <f t="shared" si="43"/>
        <v/>
      </c>
      <c r="K610" s="394" t="str">
        <f t="shared" si="44"/>
        <v/>
      </c>
      <c r="O610" s="370" t="str">
        <v/>
      </c>
      <c r="S610" s="1" t="str">
        <v/>
      </c>
    </row>
    <row r="611" spans="1:19" x14ac:dyDescent="0.25">
      <c r="A611" s="370" t="str">
        <v/>
      </c>
      <c r="H611" s="394" t="str">
        <f t="shared" si="41"/>
        <v/>
      </c>
      <c r="I611" s="394" t="str">
        <f t="shared" si="42"/>
        <v/>
      </c>
      <c r="J611" s="394" t="str">
        <f t="shared" si="43"/>
        <v/>
      </c>
      <c r="K611" s="394" t="str">
        <f t="shared" si="44"/>
        <v/>
      </c>
      <c r="O611" s="370" t="str">
        <v/>
      </c>
      <c r="S611" s="1" t="str">
        <v/>
      </c>
    </row>
    <row r="612" spans="1:19" x14ac:dyDescent="0.25">
      <c r="A612" s="370" t="str">
        <v/>
      </c>
      <c r="H612" s="394" t="str">
        <f t="shared" si="41"/>
        <v/>
      </c>
      <c r="I612" s="394" t="str">
        <f t="shared" si="42"/>
        <v/>
      </c>
      <c r="J612" s="394" t="str">
        <f t="shared" si="43"/>
        <v/>
      </c>
      <c r="K612" s="394" t="str">
        <f t="shared" si="44"/>
        <v/>
      </c>
      <c r="O612" s="370" t="str">
        <v/>
      </c>
      <c r="S612" s="1" t="str">
        <v/>
      </c>
    </row>
    <row r="613" spans="1:19" x14ac:dyDescent="0.25">
      <c r="A613" s="370" t="str">
        <v/>
      </c>
      <c r="H613" s="394" t="str">
        <f t="shared" si="41"/>
        <v/>
      </c>
      <c r="I613" s="394" t="str">
        <f t="shared" si="42"/>
        <v/>
      </c>
      <c r="J613" s="394" t="str">
        <f t="shared" si="43"/>
        <v/>
      </c>
      <c r="K613" s="394" t="str">
        <f t="shared" si="44"/>
        <v/>
      </c>
      <c r="O613" s="370" t="str">
        <v/>
      </c>
      <c r="S613" s="1" t="str">
        <v/>
      </c>
    </row>
    <row r="614" spans="1:19" x14ac:dyDescent="0.25">
      <c r="A614" s="370" t="str">
        <v/>
      </c>
      <c r="H614" s="394" t="str">
        <f t="shared" si="41"/>
        <v/>
      </c>
      <c r="I614" s="394" t="str">
        <f t="shared" si="42"/>
        <v/>
      </c>
      <c r="J614" s="394" t="str">
        <f t="shared" si="43"/>
        <v/>
      </c>
      <c r="K614" s="394" t="str">
        <f t="shared" si="44"/>
        <v/>
      </c>
      <c r="O614" s="370" t="str">
        <v/>
      </c>
      <c r="S614" s="1" t="str">
        <v/>
      </c>
    </row>
    <row r="615" spans="1:19" x14ac:dyDescent="0.25">
      <c r="A615" s="370" t="str">
        <v/>
      </c>
      <c r="H615" s="394" t="str">
        <f t="shared" si="41"/>
        <v/>
      </c>
      <c r="I615" s="394" t="str">
        <f t="shared" si="42"/>
        <v/>
      </c>
      <c r="J615" s="394" t="str">
        <f t="shared" si="43"/>
        <v/>
      </c>
      <c r="K615" s="394" t="str">
        <f t="shared" si="44"/>
        <v/>
      </c>
      <c r="O615" s="370" t="str">
        <v/>
      </c>
      <c r="S615" s="1" t="str">
        <v/>
      </c>
    </row>
    <row r="616" spans="1:19" x14ac:dyDescent="0.25">
      <c r="A616" s="370" t="str">
        <v/>
      </c>
      <c r="H616" s="394" t="str">
        <f t="shared" si="41"/>
        <v/>
      </c>
      <c r="I616" s="394" t="str">
        <f t="shared" si="42"/>
        <v/>
      </c>
      <c r="J616" s="394" t="str">
        <f t="shared" si="43"/>
        <v/>
      </c>
      <c r="K616" s="394" t="str">
        <f t="shared" si="44"/>
        <v/>
      </c>
      <c r="O616" s="370" t="str">
        <v/>
      </c>
      <c r="S616" s="1" t="str">
        <v/>
      </c>
    </row>
    <row r="617" spans="1:19" x14ac:dyDescent="0.25">
      <c r="A617" s="370" t="str">
        <v/>
      </c>
      <c r="H617" s="394" t="str">
        <f t="shared" si="41"/>
        <v/>
      </c>
      <c r="I617" s="394" t="str">
        <f t="shared" si="42"/>
        <v/>
      </c>
      <c r="J617" s="394" t="str">
        <f t="shared" si="43"/>
        <v/>
      </c>
      <c r="K617" s="394" t="str">
        <f t="shared" si="44"/>
        <v/>
      </c>
      <c r="O617" s="370" t="str">
        <v/>
      </c>
      <c r="S617" s="1" t="str">
        <v/>
      </c>
    </row>
    <row r="618" spans="1:19" x14ac:dyDescent="0.25">
      <c r="A618" s="370" t="str">
        <v/>
      </c>
      <c r="H618" s="394" t="str">
        <f t="shared" si="41"/>
        <v/>
      </c>
      <c r="I618" s="394" t="str">
        <f t="shared" si="42"/>
        <v/>
      </c>
      <c r="J618" s="394" t="str">
        <f t="shared" si="43"/>
        <v/>
      </c>
      <c r="K618" s="394" t="str">
        <f t="shared" si="44"/>
        <v/>
      </c>
      <c r="O618" s="370" t="str">
        <v/>
      </c>
      <c r="S618" s="1" t="str">
        <v/>
      </c>
    </row>
    <row r="619" spans="1:19" x14ac:dyDescent="0.25">
      <c r="A619" s="370" t="str">
        <v/>
      </c>
      <c r="H619" s="394" t="str">
        <f t="shared" si="41"/>
        <v/>
      </c>
      <c r="I619" s="394" t="str">
        <f t="shared" si="42"/>
        <v/>
      </c>
      <c r="J619" s="394" t="str">
        <f t="shared" si="43"/>
        <v/>
      </c>
      <c r="K619" s="394" t="str">
        <f t="shared" si="44"/>
        <v/>
      </c>
      <c r="O619" s="370" t="str">
        <v/>
      </c>
      <c r="S619" s="1" t="str">
        <v/>
      </c>
    </row>
    <row r="620" spans="1:19" x14ac:dyDescent="0.25">
      <c r="A620" s="370" t="str">
        <v/>
      </c>
      <c r="H620" s="394" t="str">
        <f t="shared" si="41"/>
        <v/>
      </c>
      <c r="I620" s="394" t="str">
        <f t="shared" si="42"/>
        <v/>
      </c>
      <c r="J620" s="394" t="str">
        <f t="shared" si="43"/>
        <v/>
      </c>
      <c r="K620" s="394" t="str">
        <f t="shared" si="44"/>
        <v/>
      </c>
      <c r="O620" s="370" t="str">
        <v/>
      </c>
      <c r="S620" s="1" t="str">
        <v/>
      </c>
    </row>
    <row r="621" spans="1:19" x14ac:dyDescent="0.25">
      <c r="A621" s="370" t="str">
        <v/>
      </c>
      <c r="H621" s="394" t="str">
        <f t="shared" si="41"/>
        <v/>
      </c>
      <c r="I621" s="394" t="str">
        <f t="shared" si="42"/>
        <v/>
      </c>
      <c r="J621" s="394" t="str">
        <f t="shared" si="43"/>
        <v/>
      </c>
      <c r="K621" s="394" t="str">
        <f t="shared" si="44"/>
        <v/>
      </c>
      <c r="O621" s="370" t="str">
        <v/>
      </c>
      <c r="S621" s="1" t="str">
        <v/>
      </c>
    </row>
    <row r="622" spans="1:19" x14ac:dyDescent="0.25">
      <c r="A622" s="370" t="str">
        <v/>
      </c>
      <c r="H622" s="394" t="str">
        <f t="shared" si="41"/>
        <v/>
      </c>
      <c r="I622" s="394" t="str">
        <f t="shared" si="42"/>
        <v/>
      </c>
      <c r="J622" s="394" t="str">
        <f t="shared" si="43"/>
        <v/>
      </c>
      <c r="K622" s="394" t="str">
        <f t="shared" si="44"/>
        <v/>
      </c>
      <c r="O622" s="370" t="str">
        <v/>
      </c>
      <c r="S622" s="1" t="str">
        <v/>
      </c>
    </row>
    <row r="623" spans="1:19" x14ac:dyDescent="0.25">
      <c r="A623" s="370" t="str">
        <v/>
      </c>
      <c r="H623" s="394" t="str">
        <f t="shared" si="41"/>
        <v/>
      </c>
      <c r="I623" s="394" t="str">
        <f t="shared" si="42"/>
        <v/>
      </c>
      <c r="J623" s="394" t="str">
        <f t="shared" si="43"/>
        <v/>
      </c>
      <c r="K623" s="394" t="str">
        <f t="shared" si="44"/>
        <v/>
      </c>
      <c r="O623" s="370" t="str">
        <v/>
      </c>
      <c r="S623" s="1" t="str">
        <v/>
      </c>
    </row>
    <row r="624" spans="1:19" x14ac:dyDescent="0.25">
      <c r="A624" s="370" t="str">
        <v/>
      </c>
      <c r="H624" s="394" t="str">
        <f t="shared" si="41"/>
        <v/>
      </c>
      <c r="I624" s="394" t="str">
        <f t="shared" si="42"/>
        <v/>
      </c>
      <c r="J624" s="394" t="str">
        <f t="shared" si="43"/>
        <v/>
      </c>
      <c r="K624" s="394" t="str">
        <f t="shared" si="44"/>
        <v/>
      </c>
      <c r="O624" s="370" t="str">
        <v/>
      </c>
      <c r="S624" s="1" t="str">
        <v/>
      </c>
    </row>
    <row r="625" spans="1:19" x14ac:dyDescent="0.25">
      <c r="A625" s="370" t="str">
        <v/>
      </c>
      <c r="H625" s="394" t="str">
        <f t="shared" si="41"/>
        <v/>
      </c>
      <c r="I625" s="394" t="str">
        <f t="shared" si="42"/>
        <v/>
      </c>
      <c r="J625" s="394" t="str">
        <f t="shared" si="43"/>
        <v/>
      </c>
      <c r="K625" s="394" t="str">
        <f t="shared" si="44"/>
        <v/>
      </c>
      <c r="O625" s="370" t="str">
        <v/>
      </c>
      <c r="S625" s="1" t="str">
        <v/>
      </c>
    </row>
    <row r="626" spans="1:19" x14ac:dyDescent="0.25">
      <c r="A626" s="370" t="str">
        <v/>
      </c>
      <c r="H626" s="394" t="str">
        <f t="shared" si="41"/>
        <v/>
      </c>
      <c r="I626" s="394" t="str">
        <f t="shared" si="42"/>
        <v/>
      </c>
      <c r="J626" s="394" t="str">
        <f t="shared" si="43"/>
        <v/>
      </c>
      <c r="K626" s="394" t="str">
        <f t="shared" si="44"/>
        <v/>
      </c>
      <c r="O626" s="370" t="str">
        <v/>
      </c>
      <c r="S626" s="1" t="str">
        <v/>
      </c>
    </row>
    <row r="627" spans="1:19" x14ac:dyDescent="0.25">
      <c r="A627" s="370" t="str">
        <v/>
      </c>
      <c r="H627" s="394" t="str">
        <f t="shared" si="41"/>
        <v/>
      </c>
      <c r="I627" s="394" t="str">
        <f t="shared" si="42"/>
        <v/>
      </c>
      <c r="J627" s="394" t="str">
        <f t="shared" si="43"/>
        <v/>
      </c>
      <c r="K627" s="394" t="str">
        <f t="shared" si="44"/>
        <v/>
      </c>
      <c r="O627" s="370" t="str">
        <v/>
      </c>
      <c r="S627" s="1" t="str">
        <v/>
      </c>
    </row>
    <row r="628" spans="1:19" x14ac:dyDescent="0.25">
      <c r="A628" s="370" t="str">
        <v/>
      </c>
      <c r="H628" s="394" t="str">
        <f t="shared" si="41"/>
        <v/>
      </c>
      <c r="I628" s="394" t="str">
        <f t="shared" si="42"/>
        <v/>
      </c>
      <c r="J628" s="394" t="str">
        <f t="shared" si="43"/>
        <v/>
      </c>
      <c r="K628" s="394" t="str">
        <f t="shared" si="44"/>
        <v/>
      </c>
      <c r="O628" s="370" t="str">
        <v/>
      </c>
      <c r="S628" s="1" t="str">
        <v/>
      </c>
    </row>
    <row r="629" spans="1:19" x14ac:dyDescent="0.25">
      <c r="A629" s="370" t="str">
        <v/>
      </c>
      <c r="H629" s="394" t="str">
        <f t="shared" si="41"/>
        <v/>
      </c>
      <c r="I629" s="394" t="str">
        <f t="shared" si="42"/>
        <v/>
      </c>
      <c r="J629" s="394" t="str">
        <f t="shared" si="43"/>
        <v/>
      </c>
      <c r="K629" s="394" t="str">
        <f t="shared" si="44"/>
        <v/>
      </c>
      <c r="O629" s="370" t="str">
        <v/>
      </c>
      <c r="S629" s="1" t="str">
        <v/>
      </c>
    </row>
    <row r="630" spans="1:19" x14ac:dyDescent="0.25">
      <c r="A630" s="370" t="str">
        <v/>
      </c>
      <c r="H630" s="394" t="str">
        <f t="shared" si="41"/>
        <v/>
      </c>
      <c r="I630" s="394" t="str">
        <f t="shared" si="42"/>
        <v/>
      </c>
      <c r="J630" s="394" t="str">
        <f t="shared" si="43"/>
        <v/>
      </c>
      <c r="K630" s="394" t="str">
        <f t="shared" si="44"/>
        <v/>
      </c>
      <c r="O630" s="370" t="str">
        <v/>
      </c>
      <c r="S630" s="1" t="str">
        <v/>
      </c>
    </row>
    <row r="631" spans="1:19" x14ac:dyDescent="0.25">
      <c r="A631" s="370" t="str">
        <v/>
      </c>
      <c r="H631" s="394" t="str">
        <f t="shared" si="41"/>
        <v/>
      </c>
      <c r="I631" s="394" t="str">
        <f t="shared" si="42"/>
        <v/>
      </c>
      <c r="J631" s="394" t="str">
        <f t="shared" si="43"/>
        <v/>
      </c>
      <c r="K631" s="394" t="str">
        <f t="shared" si="44"/>
        <v/>
      </c>
      <c r="O631" s="370" t="str">
        <v/>
      </c>
      <c r="S631" s="1" t="str">
        <v/>
      </c>
    </row>
    <row r="632" spans="1:19" x14ac:dyDescent="0.25">
      <c r="A632" s="370" t="str">
        <v/>
      </c>
      <c r="H632" s="394" t="str">
        <f t="shared" si="41"/>
        <v/>
      </c>
      <c r="I632" s="394" t="str">
        <f t="shared" si="42"/>
        <v/>
      </c>
      <c r="J632" s="394" t="str">
        <f t="shared" si="43"/>
        <v/>
      </c>
      <c r="K632" s="394" t="str">
        <f t="shared" si="44"/>
        <v/>
      </c>
      <c r="O632" s="370" t="str">
        <v/>
      </c>
      <c r="S632" s="1" t="str">
        <v/>
      </c>
    </row>
    <row r="633" spans="1:19" x14ac:dyDescent="0.25">
      <c r="A633" s="370" t="str">
        <v/>
      </c>
      <c r="H633" s="394" t="str">
        <f t="shared" si="41"/>
        <v/>
      </c>
      <c r="I633" s="394" t="str">
        <f t="shared" si="42"/>
        <v/>
      </c>
      <c r="J633" s="394" t="str">
        <f t="shared" si="43"/>
        <v/>
      </c>
      <c r="K633" s="394" t="str">
        <f t="shared" si="44"/>
        <v/>
      </c>
      <c r="O633" s="370" t="str">
        <v/>
      </c>
      <c r="S633" s="1" t="str">
        <v/>
      </c>
    </row>
    <row r="634" spans="1:19" x14ac:dyDescent="0.25">
      <c r="A634" s="370" t="str">
        <v/>
      </c>
      <c r="H634" s="394" t="str">
        <f t="shared" si="41"/>
        <v/>
      </c>
      <c r="I634" s="394" t="str">
        <f t="shared" si="42"/>
        <v/>
      </c>
      <c r="J634" s="394" t="str">
        <f t="shared" si="43"/>
        <v/>
      </c>
      <c r="K634" s="394" t="str">
        <f t="shared" si="44"/>
        <v/>
      </c>
      <c r="O634" s="370" t="str">
        <v/>
      </c>
      <c r="S634" s="1" t="str">
        <v/>
      </c>
    </row>
    <row r="635" spans="1:19" x14ac:dyDescent="0.25">
      <c r="A635" s="370" t="str">
        <v/>
      </c>
      <c r="H635" s="394" t="str">
        <f t="shared" si="41"/>
        <v/>
      </c>
      <c r="I635" s="394" t="str">
        <f t="shared" si="42"/>
        <v/>
      </c>
      <c r="J635" s="394" t="str">
        <f t="shared" si="43"/>
        <v/>
      </c>
      <c r="K635" s="394" t="str">
        <f t="shared" si="44"/>
        <v/>
      </c>
      <c r="O635" s="370" t="str">
        <v/>
      </c>
      <c r="S635" s="1" t="str">
        <v/>
      </c>
    </row>
    <row r="636" spans="1:19" x14ac:dyDescent="0.25">
      <c r="A636" s="370" t="str">
        <v/>
      </c>
      <c r="H636" s="394" t="str">
        <f t="shared" si="41"/>
        <v/>
      </c>
      <c r="I636" s="394" t="str">
        <f t="shared" si="42"/>
        <v/>
      </c>
      <c r="J636" s="394" t="str">
        <f t="shared" si="43"/>
        <v/>
      </c>
      <c r="K636" s="394" t="str">
        <f t="shared" si="44"/>
        <v/>
      </c>
      <c r="O636" s="370" t="str">
        <v/>
      </c>
      <c r="S636" s="1" t="str">
        <v/>
      </c>
    </row>
    <row r="637" spans="1:19" x14ac:dyDescent="0.25">
      <c r="A637" s="370" t="str">
        <v/>
      </c>
      <c r="H637" s="394" t="str">
        <f t="shared" si="41"/>
        <v/>
      </c>
      <c r="I637" s="394" t="str">
        <f t="shared" si="42"/>
        <v/>
      </c>
      <c r="J637" s="394" t="str">
        <f t="shared" si="43"/>
        <v/>
      </c>
      <c r="K637" s="394" t="str">
        <f t="shared" si="44"/>
        <v/>
      </c>
      <c r="O637" s="370" t="str">
        <v/>
      </c>
      <c r="S637" s="1" t="str">
        <v/>
      </c>
    </row>
    <row r="638" spans="1:19" x14ac:dyDescent="0.25">
      <c r="A638" s="370" t="str">
        <v/>
      </c>
      <c r="H638" s="394" t="str">
        <f t="shared" si="41"/>
        <v/>
      </c>
      <c r="I638" s="394" t="str">
        <f t="shared" si="42"/>
        <v/>
      </c>
      <c r="J638" s="394" t="str">
        <f t="shared" si="43"/>
        <v/>
      </c>
      <c r="K638" s="394" t="str">
        <f t="shared" si="44"/>
        <v/>
      </c>
      <c r="O638" s="370" t="str">
        <v/>
      </c>
      <c r="S638" s="1" t="str">
        <v/>
      </c>
    </row>
    <row r="639" spans="1:19" x14ac:dyDescent="0.25">
      <c r="A639" s="370" t="str">
        <v/>
      </c>
      <c r="H639" s="394" t="str">
        <f t="shared" si="41"/>
        <v/>
      </c>
      <c r="I639" s="394" t="str">
        <f t="shared" si="42"/>
        <v/>
      </c>
      <c r="J639" s="394" t="str">
        <f t="shared" si="43"/>
        <v/>
      </c>
      <c r="K639" s="394" t="str">
        <f t="shared" si="44"/>
        <v/>
      </c>
      <c r="O639" s="370" t="str">
        <v/>
      </c>
      <c r="S639" s="1" t="str">
        <v/>
      </c>
    </row>
    <row r="640" spans="1:19" x14ac:dyDescent="0.25">
      <c r="A640" s="370" t="str">
        <v/>
      </c>
      <c r="H640" s="394" t="str">
        <f t="shared" si="41"/>
        <v/>
      </c>
      <c r="I640" s="394" t="str">
        <f t="shared" si="42"/>
        <v/>
      </c>
      <c r="J640" s="394" t="str">
        <f t="shared" si="43"/>
        <v/>
      </c>
      <c r="K640" s="394" t="str">
        <f t="shared" si="44"/>
        <v/>
      </c>
      <c r="O640" s="370" t="str">
        <v/>
      </c>
      <c r="S640" s="1" t="str">
        <v/>
      </c>
    </row>
    <row r="641" spans="1:19" x14ac:dyDescent="0.25">
      <c r="A641" s="370" t="str">
        <v/>
      </c>
      <c r="H641" s="394" t="str">
        <f t="shared" si="41"/>
        <v/>
      </c>
      <c r="I641" s="394" t="str">
        <f t="shared" si="42"/>
        <v/>
      </c>
      <c r="J641" s="394" t="str">
        <f t="shared" si="43"/>
        <v/>
      </c>
      <c r="K641" s="394" t="str">
        <f t="shared" si="44"/>
        <v/>
      </c>
      <c r="O641" s="370" t="str">
        <v/>
      </c>
      <c r="S641" s="1" t="str">
        <v/>
      </c>
    </row>
    <row r="642" spans="1:19" x14ac:dyDescent="0.25">
      <c r="A642" s="370" t="str">
        <v/>
      </c>
      <c r="H642" s="394" t="str">
        <f t="shared" si="41"/>
        <v/>
      </c>
      <c r="I642" s="394" t="str">
        <f t="shared" si="42"/>
        <v/>
      </c>
      <c r="J642" s="394" t="str">
        <f t="shared" si="43"/>
        <v/>
      </c>
      <c r="K642" s="394" t="str">
        <f t="shared" si="44"/>
        <v/>
      </c>
      <c r="O642" s="370" t="str">
        <v/>
      </c>
      <c r="S642" s="1" t="str">
        <v/>
      </c>
    </row>
    <row r="643" spans="1:19" x14ac:dyDescent="0.25">
      <c r="A643" s="370" t="str">
        <v/>
      </c>
      <c r="H643" s="394" t="str">
        <f t="shared" si="41"/>
        <v/>
      </c>
      <c r="I643" s="394" t="str">
        <f t="shared" si="42"/>
        <v/>
      </c>
      <c r="J643" s="394" t="str">
        <f t="shared" si="43"/>
        <v/>
      </c>
      <c r="K643" s="394" t="str">
        <f t="shared" si="44"/>
        <v/>
      </c>
      <c r="O643" s="370" t="str">
        <v/>
      </c>
      <c r="S643" s="1" t="str">
        <v/>
      </c>
    </row>
    <row r="644" spans="1:19" x14ac:dyDescent="0.25">
      <c r="A644" s="370" t="str">
        <v/>
      </c>
      <c r="H644" s="394" t="str">
        <f t="shared" si="41"/>
        <v/>
      </c>
      <c r="I644" s="394" t="str">
        <f t="shared" si="42"/>
        <v/>
      </c>
      <c r="J644" s="394" t="str">
        <f t="shared" si="43"/>
        <v/>
      </c>
      <c r="K644" s="394" t="str">
        <f t="shared" si="44"/>
        <v/>
      </c>
      <c r="O644" s="370" t="str">
        <v/>
      </c>
      <c r="S644" s="1" t="str">
        <v/>
      </c>
    </row>
    <row r="645" spans="1:19" x14ac:dyDescent="0.25">
      <c r="A645" s="370" t="str">
        <v/>
      </c>
      <c r="H645" s="394" t="str">
        <f t="shared" si="41"/>
        <v/>
      </c>
      <c r="I645" s="394" t="str">
        <f t="shared" si="42"/>
        <v/>
      </c>
      <c r="J645" s="394" t="str">
        <f t="shared" si="43"/>
        <v/>
      </c>
      <c r="K645" s="394" t="str">
        <f t="shared" si="44"/>
        <v/>
      </c>
      <c r="O645" s="370" t="str">
        <v/>
      </c>
      <c r="S645" s="1" t="str">
        <v/>
      </c>
    </row>
    <row r="646" spans="1:19" x14ac:dyDescent="0.25">
      <c r="A646" s="370" t="str">
        <v/>
      </c>
      <c r="H646" s="394" t="str">
        <f t="shared" si="41"/>
        <v/>
      </c>
      <c r="I646" s="394" t="str">
        <f t="shared" si="42"/>
        <v/>
      </c>
      <c r="J646" s="394" t="str">
        <f t="shared" si="43"/>
        <v/>
      </c>
      <c r="K646" s="394" t="str">
        <f t="shared" si="44"/>
        <v/>
      </c>
      <c r="O646" s="370" t="str">
        <v/>
      </c>
      <c r="S646" s="1" t="str">
        <v/>
      </c>
    </row>
    <row r="647" spans="1:19" x14ac:dyDescent="0.25">
      <c r="A647" s="370" t="str">
        <v/>
      </c>
      <c r="H647" s="394" t="str">
        <f t="shared" si="41"/>
        <v/>
      </c>
      <c r="I647" s="394" t="str">
        <f t="shared" si="42"/>
        <v/>
      </c>
      <c r="J647" s="394" t="str">
        <f t="shared" si="43"/>
        <v/>
      </c>
      <c r="K647" s="394" t="str">
        <f t="shared" si="44"/>
        <v/>
      </c>
      <c r="O647" s="370" t="str">
        <v/>
      </c>
      <c r="S647" s="1" t="str">
        <v/>
      </c>
    </row>
    <row r="648" spans="1:19" x14ac:dyDescent="0.25">
      <c r="A648" s="370" t="str">
        <v/>
      </c>
      <c r="H648" s="394" t="str">
        <f t="shared" si="41"/>
        <v/>
      </c>
      <c r="I648" s="394" t="str">
        <f t="shared" si="42"/>
        <v/>
      </c>
      <c r="J648" s="394" t="str">
        <f t="shared" si="43"/>
        <v/>
      </c>
      <c r="K648" s="394" t="str">
        <f t="shared" si="44"/>
        <v/>
      </c>
      <c r="O648" s="370" t="str">
        <v/>
      </c>
      <c r="S648" s="1" t="str">
        <v/>
      </c>
    </row>
    <row r="649" spans="1:19" x14ac:dyDescent="0.25">
      <c r="A649" s="370" t="str">
        <v/>
      </c>
      <c r="H649" s="394" t="str">
        <f t="shared" si="41"/>
        <v/>
      </c>
      <c r="I649" s="394" t="str">
        <f t="shared" si="42"/>
        <v/>
      </c>
      <c r="J649" s="394" t="str">
        <f t="shared" si="43"/>
        <v/>
      </c>
      <c r="K649" s="394" t="str">
        <f t="shared" si="44"/>
        <v/>
      </c>
      <c r="O649" s="370" t="str">
        <v/>
      </c>
      <c r="S649" s="1" t="str">
        <v/>
      </c>
    </row>
    <row r="650" spans="1:19" x14ac:dyDescent="0.25">
      <c r="A650" s="370" t="str">
        <v/>
      </c>
      <c r="H650" s="394" t="str">
        <f t="shared" si="41"/>
        <v/>
      </c>
      <c r="I650" s="394" t="str">
        <f t="shared" si="42"/>
        <v/>
      </c>
      <c r="J650" s="394" t="str">
        <f t="shared" si="43"/>
        <v/>
      </c>
      <c r="K650" s="394" t="str">
        <f t="shared" si="44"/>
        <v/>
      </c>
      <c r="O650" s="370" t="str">
        <v/>
      </c>
      <c r="S650" s="1" t="str">
        <v/>
      </c>
    </row>
    <row r="651" spans="1:19" x14ac:dyDescent="0.25">
      <c r="A651" s="370" t="str">
        <v/>
      </c>
      <c r="H651" s="394" t="str">
        <f t="shared" si="41"/>
        <v/>
      </c>
      <c r="I651" s="394" t="str">
        <f t="shared" si="42"/>
        <v/>
      </c>
      <c r="J651" s="394" t="str">
        <f t="shared" si="43"/>
        <v/>
      </c>
      <c r="K651" s="394" t="str">
        <f t="shared" si="44"/>
        <v/>
      </c>
      <c r="O651" s="370" t="str">
        <v/>
      </c>
      <c r="S651" s="1" t="str">
        <v/>
      </c>
    </row>
    <row r="652" spans="1:19" x14ac:dyDescent="0.25">
      <c r="A652" s="370" t="str">
        <v/>
      </c>
      <c r="H652" s="394" t="str">
        <f t="shared" si="41"/>
        <v/>
      </c>
      <c r="I652" s="394" t="str">
        <f t="shared" si="42"/>
        <v/>
      </c>
      <c r="J652" s="394" t="str">
        <f t="shared" si="43"/>
        <v/>
      </c>
      <c r="K652" s="394" t="str">
        <f t="shared" si="44"/>
        <v/>
      </c>
      <c r="O652" s="370" t="str">
        <v/>
      </c>
      <c r="S652" s="1" t="str">
        <v/>
      </c>
    </row>
    <row r="653" spans="1:19" x14ac:dyDescent="0.25">
      <c r="A653" s="370" t="str">
        <v/>
      </c>
      <c r="H653" s="394" t="str">
        <f t="shared" si="41"/>
        <v/>
      </c>
      <c r="I653" s="394" t="str">
        <f t="shared" si="42"/>
        <v/>
      </c>
      <c r="J653" s="394" t="str">
        <f t="shared" si="43"/>
        <v/>
      </c>
      <c r="K653" s="394" t="str">
        <f t="shared" si="44"/>
        <v/>
      </c>
      <c r="O653" s="370" t="str">
        <v/>
      </c>
      <c r="S653" s="1" t="str">
        <v/>
      </c>
    </row>
    <row r="654" spans="1:19" x14ac:dyDescent="0.25">
      <c r="A654" s="370" t="str">
        <v/>
      </c>
      <c r="H654" s="394" t="str">
        <f t="shared" si="41"/>
        <v/>
      </c>
      <c r="I654" s="394" t="str">
        <f t="shared" si="42"/>
        <v/>
      </c>
      <c r="J654" s="394" t="str">
        <f t="shared" si="43"/>
        <v/>
      </c>
      <c r="K654" s="394" t="str">
        <f t="shared" si="44"/>
        <v/>
      </c>
      <c r="O654" s="370" t="str">
        <v/>
      </c>
      <c r="S654" s="1" t="str">
        <v/>
      </c>
    </row>
    <row r="655" spans="1:19" x14ac:dyDescent="0.25">
      <c r="A655" s="370" t="str">
        <v/>
      </c>
      <c r="H655" s="394" t="str">
        <f t="shared" si="41"/>
        <v/>
      </c>
      <c r="I655" s="394" t="str">
        <f t="shared" si="42"/>
        <v/>
      </c>
      <c r="J655" s="394" t="str">
        <f t="shared" si="43"/>
        <v/>
      </c>
      <c r="K655" s="394" t="str">
        <f t="shared" si="44"/>
        <v/>
      </c>
      <c r="O655" s="370" t="str">
        <v/>
      </c>
      <c r="S655" s="1" t="str">
        <v/>
      </c>
    </row>
    <row r="656" spans="1:19" x14ac:dyDescent="0.25">
      <c r="A656" s="370" t="str">
        <v/>
      </c>
      <c r="H656" s="394" t="str">
        <f t="shared" si="41"/>
        <v/>
      </c>
      <c r="I656" s="394" t="str">
        <f t="shared" si="42"/>
        <v/>
      </c>
      <c r="J656" s="394" t="str">
        <f t="shared" si="43"/>
        <v/>
      </c>
      <c r="K656" s="394" t="str">
        <f t="shared" si="44"/>
        <v/>
      </c>
      <c r="O656" s="370" t="str">
        <v/>
      </c>
      <c r="S656" s="1" t="str">
        <v/>
      </c>
    </row>
    <row r="657" spans="1:19" x14ac:dyDescent="0.25">
      <c r="A657" s="370" t="str">
        <v/>
      </c>
      <c r="H657" s="394" t="str">
        <f t="shared" si="41"/>
        <v/>
      </c>
      <c r="I657" s="394" t="str">
        <f t="shared" si="42"/>
        <v/>
      </c>
      <c r="J657" s="394" t="str">
        <f t="shared" si="43"/>
        <v/>
      </c>
      <c r="K657" s="394" t="str">
        <f t="shared" si="44"/>
        <v/>
      </c>
      <c r="O657" s="370" t="str">
        <v/>
      </c>
      <c r="S657" s="1" t="str">
        <v/>
      </c>
    </row>
    <row r="658" spans="1:19" x14ac:dyDescent="0.25">
      <c r="A658" s="370" t="str">
        <v/>
      </c>
      <c r="H658" s="394" t="str">
        <f t="shared" si="41"/>
        <v/>
      </c>
      <c r="I658" s="394" t="str">
        <f t="shared" si="42"/>
        <v/>
      </c>
      <c r="J658" s="394" t="str">
        <f t="shared" si="43"/>
        <v/>
      </c>
      <c r="K658" s="394" t="str">
        <f t="shared" si="44"/>
        <v/>
      </c>
      <c r="O658" s="370" t="str">
        <v/>
      </c>
      <c r="S658" s="1" t="str">
        <v/>
      </c>
    </row>
    <row r="659" spans="1:19" x14ac:dyDescent="0.25">
      <c r="A659" s="370" t="str">
        <v/>
      </c>
      <c r="H659" s="394" t="str">
        <f t="shared" si="41"/>
        <v/>
      </c>
      <c r="I659" s="394" t="str">
        <f t="shared" si="42"/>
        <v/>
      </c>
      <c r="J659" s="394" t="str">
        <f t="shared" si="43"/>
        <v/>
      </c>
      <c r="K659" s="394" t="str">
        <f t="shared" si="44"/>
        <v/>
      </c>
      <c r="O659" s="370" t="str">
        <v/>
      </c>
      <c r="S659" s="1" t="str">
        <v/>
      </c>
    </row>
    <row r="660" spans="1:19" x14ac:dyDescent="0.25">
      <c r="A660" s="370" t="str">
        <v/>
      </c>
      <c r="H660" s="394" t="str">
        <f t="shared" si="41"/>
        <v/>
      </c>
      <c r="I660" s="394" t="str">
        <f t="shared" si="42"/>
        <v/>
      </c>
      <c r="J660" s="394" t="str">
        <f t="shared" si="43"/>
        <v/>
      </c>
      <c r="K660" s="394" t="str">
        <f t="shared" si="44"/>
        <v/>
      </c>
      <c r="O660" s="370" t="str">
        <v/>
      </c>
      <c r="S660" s="1" t="str">
        <v/>
      </c>
    </row>
    <row r="661" spans="1:19" x14ac:dyDescent="0.25">
      <c r="A661" s="370" t="str">
        <v/>
      </c>
      <c r="H661" s="394" t="str">
        <f t="shared" si="41"/>
        <v/>
      </c>
      <c r="I661" s="394" t="str">
        <f t="shared" si="42"/>
        <v/>
      </c>
      <c r="J661" s="394" t="str">
        <f t="shared" si="43"/>
        <v/>
      </c>
      <c r="K661" s="394" t="str">
        <f t="shared" si="44"/>
        <v/>
      </c>
      <c r="O661" s="370" t="str">
        <v/>
      </c>
      <c r="S661" s="1" t="str">
        <v/>
      </c>
    </row>
    <row r="662" spans="1:19" x14ac:dyDescent="0.25">
      <c r="A662" s="370" t="str">
        <v/>
      </c>
      <c r="H662" s="394" t="str">
        <f t="shared" si="41"/>
        <v/>
      </c>
      <c r="I662" s="394" t="str">
        <f t="shared" si="42"/>
        <v/>
      </c>
      <c r="J662" s="394" t="str">
        <f t="shared" si="43"/>
        <v/>
      </c>
      <c r="K662" s="394" t="str">
        <f t="shared" si="44"/>
        <v/>
      </c>
      <c r="O662" s="370" t="str">
        <v/>
      </c>
      <c r="S662" s="1" t="str">
        <v/>
      </c>
    </row>
    <row r="663" spans="1:19" x14ac:dyDescent="0.25">
      <c r="A663" s="370" t="str">
        <v/>
      </c>
      <c r="H663" s="394" t="str">
        <f t="shared" ref="H663:H726" si="45">IF($C663="","",ROUND((($B$2*$F663*($B$5/1000))/$B$6)*(1+IF($B$18="",0,$B$18)),2))</f>
        <v/>
      </c>
      <c r="I663" s="394" t="str">
        <f t="shared" ref="I663:I726" si="46">IF($C663="","",ROUND((($B$3*$F663*($B$5/1000))/$B$6)*(1+IF($B$18="",0,$B$18)),2))</f>
        <v/>
      </c>
      <c r="J663" s="394" t="str">
        <f t="shared" ref="J663:J726" si="47">IF(OR($C663="",$B$9="",$B$15=""),"",ROUND((((((IF($B$15="N/A",$B$2,$B$4))*$F663*($B$5/1000))+((($G663/1000)*($B$5/1000)*10.7639104)*(IF($B$9="Smooth",$B$10,IF($B$9="Sand",$B$11,0)))))*(1+$B$17))/$B$8)*(1+IF($B$18="",0,$B$18)),2))</f>
        <v/>
      </c>
      <c r="K663" s="394" t="str">
        <f t="shared" ref="K663:K726" si="48">IF(OR($C663="",$B$12="",$B$15=""),"",ROUND((((((IF($B$15="N/A",$B$2,$B$4))*$F663*($B$5/1000))+((($G663/1000)*($B$5/1000)*10.7639104)*(IF($B$12="Indoor",$B$13,IF($B$12="Outdoor",$B$14,0)))))*(1+$B$17))/$B$8)*(1+IF($B$18="",0,$B$18)),2))</f>
        <v/>
      </c>
      <c r="O663" s="370" t="str">
        <v/>
      </c>
      <c r="S663" s="1" t="str">
        <v/>
      </c>
    </row>
    <row r="664" spans="1:19" x14ac:dyDescent="0.25">
      <c r="A664" s="370" t="str">
        <v/>
      </c>
      <c r="H664" s="394" t="str">
        <f t="shared" si="45"/>
        <v/>
      </c>
      <c r="I664" s="394" t="str">
        <f t="shared" si="46"/>
        <v/>
      </c>
      <c r="J664" s="394" t="str">
        <f t="shared" si="47"/>
        <v/>
      </c>
      <c r="K664" s="394" t="str">
        <f t="shared" si="48"/>
        <v/>
      </c>
      <c r="O664" s="370" t="str">
        <v/>
      </c>
      <c r="S664" s="1" t="str">
        <v/>
      </c>
    </row>
    <row r="665" spans="1:19" x14ac:dyDescent="0.25">
      <c r="A665" s="370" t="str">
        <v/>
      </c>
      <c r="H665" s="394" t="str">
        <f t="shared" si="45"/>
        <v/>
      </c>
      <c r="I665" s="394" t="str">
        <f t="shared" si="46"/>
        <v/>
      </c>
      <c r="J665" s="394" t="str">
        <f t="shared" si="47"/>
        <v/>
      </c>
      <c r="K665" s="394" t="str">
        <f t="shared" si="48"/>
        <v/>
      </c>
      <c r="O665" s="370" t="str">
        <v/>
      </c>
      <c r="S665" s="1" t="str">
        <v/>
      </c>
    </row>
    <row r="666" spans="1:19" x14ac:dyDescent="0.25">
      <c r="A666" s="370" t="str">
        <v/>
      </c>
      <c r="H666" s="394" t="str">
        <f t="shared" si="45"/>
        <v/>
      </c>
      <c r="I666" s="394" t="str">
        <f t="shared" si="46"/>
        <v/>
      </c>
      <c r="J666" s="394" t="str">
        <f t="shared" si="47"/>
        <v/>
      </c>
      <c r="K666" s="394" t="str">
        <f t="shared" si="48"/>
        <v/>
      </c>
      <c r="O666" s="370" t="str">
        <v/>
      </c>
      <c r="S666" s="1" t="str">
        <v/>
      </c>
    </row>
    <row r="667" spans="1:19" x14ac:dyDescent="0.25">
      <c r="A667" s="370" t="str">
        <v/>
      </c>
      <c r="H667" s="394" t="str">
        <f t="shared" si="45"/>
        <v/>
      </c>
      <c r="I667" s="394" t="str">
        <f t="shared" si="46"/>
        <v/>
      </c>
      <c r="J667" s="394" t="str">
        <f t="shared" si="47"/>
        <v/>
      </c>
      <c r="K667" s="394" t="str">
        <f t="shared" si="48"/>
        <v/>
      </c>
      <c r="O667" s="370" t="str">
        <v/>
      </c>
      <c r="S667" s="1" t="str">
        <v/>
      </c>
    </row>
    <row r="668" spans="1:19" x14ac:dyDescent="0.25">
      <c r="A668" s="370" t="str">
        <v/>
      </c>
      <c r="H668" s="394" t="str">
        <f t="shared" si="45"/>
        <v/>
      </c>
      <c r="I668" s="394" t="str">
        <f t="shared" si="46"/>
        <v/>
      </c>
      <c r="J668" s="394" t="str">
        <f t="shared" si="47"/>
        <v/>
      </c>
      <c r="K668" s="394" t="str">
        <f t="shared" si="48"/>
        <v/>
      </c>
      <c r="O668" s="370" t="str">
        <v/>
      </c>
      <c r="S668" s="1" t="str">
        <v/>
      </c>
    </row>
    <row r="669" spans="1:19" x14ac:dyDescent="0.25">
      <c r="A669" s="370" t="str">
        <v/>
      </c>
      <c r="H669" s="394" t="str">
        <f t="shared" si="45"/>
        <v/>
      </c>
      <c r="I669" s="394" t="str">
        <f t="shared" si="46"/>
        <v/>
      </c>
      <c r="J669" s="394" t="str">
        <f t="shared" si="47"/>
        <v/>
      </c>
      <c r="K669" s="394" t="str">
        <f t="shared" si="48"/>
        <v/>
      </c>
      <c r="O669" s="370" t="str">
        <v/>
      </c>
      <c r="S669" s="1" t="str">
        <v/>
      </c>
    </row>
    <row r="670" spans="1:19" x14ac:dyDescent="0.25">
      <c r="A670" s="370" t="str">
        <v/>
      </c>
      <c r="H670" s="394" t="str">
        <f t="shared" si="45"/>
        <v/>
      </c>
      <c r="I670" s="394" t="str">
        <f t="shared" si="46"/>
        <v/>
      </c>
      <c r="J670" s="394" t="str">
        <f t="shared" si="47"/>
        <v/>
      </c>
      <c r="K670" s="394" t="str">
        <f t="shared" si="48"/>
        <v/>
      </c>
      <c r="O670" s="370" t="str">
        <v/>
      </c>
      <c r="S670" s="1" t="str">
        <v/>
      </c>
    </row>
    <row r="671" spans="1:19" x14ac:dyDescent="0.25">
      <c r="A671" s="370" t="str">
        <v/>
      </c>
      <c r="H671" s="394" t="str">
        <f t="shared" si="45"/>
        <v/>
      </c>
      <c r="I671" s="394" t="str">
        <f t="shared" si="46"/>
        <v/>
      </c>
      <c r="J671" s="394" t="str">
        <f t="shared" si="47"/>
        <v/>
      </c>
      <c r="K671" s="394" t="str">
        <f t="shared" si="48"/>
        <v/>
      </c>
      <c r="O671" s="370" t="str">
        <v/>
      </c>
      <c r="S671" s="1" t="str">
        <v/>
      </c>
    </row>
    <row r="672" spans="1:19" x14ac:dyDescent="0.25">
      <c r="A672" s="370" t="str">
        <v/>
      </c>
      <c r="H672" s="394" t="str">
        <f t="shared" si="45"/>
        <v/>
      </c>
      <c r="I672" s="394" t="str">
        <f t="shared" si="46"/>
        <v/>
      </c>
      <c r="J672" s="394" t="str">
        <f t="shared" si="47"/>
        <v/>
      </c>
      <c r="K672" s="394" t="str">
        <f t="shared" si="48"/>
        <v/>
      </c>
      <c r="O672" s="370" t="str">
        <v/>
      </c>
      <c r="S672" s="1" t="str">
        <v/>
      </c>
    </row>
    <row r="673" spans="1:19" x14ac:dyDescent="0.25">
      <c r="A673" s="370" t="str">
        <v/>
      </c>
      <c r="H673" s="394" t="str">
        <f t="shared" si="45"/>
        <v/>
      </c>
      <c r="I673" s="394" t="str">
        <f t="shared" si="46"/>
        <v/>
      </c>
      <c r="J673" s="394" t="str">
        <f t="shared" si="47"/>
        <v/>
      </c>
      <c r="K673" s="394" t="str">
        <f t="shared" si="48"/>
        <v/>
      </c>
      <c r="O673" s="370" t="str">
        <v/>
      </c>
      <c r="S673" s="1" t="str">
        <v/>
      </c>
    </row>
    <row r="674" spans="1:19" x14ac:dyDescent="0.25">
      <c r="A674" s="370" t="str">
        <v/>
      </c>
      <c r="H674" s="394" t="str">
        <f t="shared" si="45"/>
        <v/>
      </c>
      <c r="I674" s="394" t="str">
        <f t="shared" si="46"/>
        <v/>
      </c>
      <c r="J674" s="394" t="str">
        <f t="shared" si="47"/>
        <v/>
      </c>
      <c r="K674" s="394" t="str">
        <f t="shared" si="48"/>
        <v/>
      </c>
      <c r="O674" s="370" t="str">
        <v/>
      </c>
      <c r="S674" s="1" t="str">
        <v/>
      </c>
    </row>
    <row r="675" spans="1:19" x14ac:dyDescent="0.25">
      <c r="A675" s="370" t="str">
        <v/>
      </c>
      <c r="H675" s="394" t="str">
        <f t="shared" si="45"/>
        <v/>
      </c>
      <c r="I675" s="394" t="str">
        <f t="shared" si="46"/>
        <v/>
      </c>
      <c r="J675" s="394" t="str">
        <f t="shared" si="47"/>
        <v/>
      </c>
      <c r="K675" s="394" t="str">
        <f t="shared" si="48"/>
        <v/>
      </c>
      <c r="O675" s="370" t="str">
        <v/>
      </c>
      <c r="S675" s="1" t="str">
        <v/>
      </c>
    </row>
    <row r="676" spans="1:19" x14ac:dyDescent="0.25">
      <c r="A676" s="370" t="str">
        <v/>
      </c>
      <c r="H676" s="394" t="str">
        <f t="shared" si="45"/>
        <v/>
      </c>
      <c r="I676" s="394" t="str">
        <f t="shared" si="46"/>
        <v/>
      </c>
      <c r="J676" s="394" t="str">
        <f t="shared" si="47"/>
        <v/>
      </c>
      <c r="K676" s="394" t="str">
        <f t="shared" si="48"/>
        <v/>
      </c>
      <c r="O676" s="370" t="str">
        <v/>
      </c>
      <c r="S676" s="1" t="str">
        <v/>
      </c>
    </row>
    <row r="677" spans="1:19" x14ac:dyDescent="0.25">
      <c r="A677" s="370" t="str">
        <v/>
      </c>
      <c r="H677" s="394" t="str">
        <f t="shared" si="45"/>
        <v/>
      </c>
      <c r="I677" s="394" t="str">
        <f t="shared" si="46"/>
        <v/>
      </c>
      <c r="J677" s="394" t="str">
        <f t="shared" si="47"/>
        <v/>
      </c>
      <c r="K677" s="394" t="str">
        <f t="shared" si="48"/>
        <v/>
      </c>
      <c r="O677" s="370" t="str">
        <v/>
      </c>
      <c r="S677" s="1" t="str">
        <v/>
      </c>
    </row>
    <row r="678" spans="1:19" x14ac:dyDescent="0.25">
      <c r="A678" s="370" t="str">
        <v/>
      </c>
      <c r="H678" s="394" t="str">
        <f t="shared" si="45"/>
        <v/>
      </c>
      <c r="I678" s="394" t="str">
        <f t="shared" si="46"/>
        <v/>
      </c>
      <c r="J678" s="394" t="str">
        <f t="shared" si="47"/>
        <v/>
      </c>
      <c r="K678" s="394" t="str">
        <f t="shared" si="48"/>
        <v/>
      </c>
      <c r="O678" s="370" t="str">
        <v/>
      </c>
      <c r="S678" s="1" t="str">
        <v/>
      </c>
    </row>
    <row r="679" spans="1:19" x14ac:dyDescent="0.25">
      <c r="A679" s="370" t="str">
        <v/>
      </c>
      <c r="H679" s="394" t="str">
        <f t="shared" si="45"/>
        <v/>
      </c>
      <c r="I679" s="394" t="str">
        <f t="shared" si="46"/>
        <v/>
      </c>
      <c r="J679" s="394" t="str">
        <f t="shared" si="47"/>
        <v/>
      </c>
      <c r="K679" s="394" t="str">
        <f t="shared" si="48"/>
        <v/>
      </c>
      <c r="O679" s="370" t="str">
        <v/>
      </c>
      <c r="S679" s="1" t="str">
        <v/>
      </c>
    </row>
    <row r="680" spans="1:19" x14ac:dyDescent="0.25">
      <c r="A680" s="370" t="str">
        <v/>
      </c>
      <c r="H680" s="394" t="str">
        <f t="shared" si="45"/>
        <v/>
      </c>
      <c r="I680" s="394" t="str">
        <f t="shared" si="46"/>
        <v/>
      </c>
      <c r="J680" s="394" t="str">
        <f t="shared" si="47"/>
        <v/>
      </c>
      <c r="K680" s="394" t="str">
        <f t="shared" si="48"/>
        <v/>
      </c>
      <c r="O680" s="370" t="str">
        <v/>
      </c>
      <c r="S680" s="1" t="str">
        <v/>
      </c>
    </row>
    <row r="681" spans="1:19" x14ac:dyDescent="0.25">
      <c r="A681" s="370" t="str">
        <v/>
      </c>
      <c r="H681" s="394" t="str">
        <f t="shared" si="45"/>
        <v/>
      </c>
      <c r="I681" s="394" t="str">
        <f t="shared" si="46"/>
        <v/>
      </c>
      <c r="J681" s="394" t="str">
        <f t="shared" si="47"/>
        <v/>
      </c>
      <c r="K681" s="394" t="str">
        <f t="shared" si="48"/>
        <v/>
      </c>
      <c r="O681" s="370" t="str">
        <v/>
      </c>
      <c r="S681" s="1" t="str">
        <v/>
      </c>
    </row>
    <row r="682" spans="1:19" x14ac:dyDescent="0.25">
      <c r="A682" s="370" t="str">
        <v/>
      </c>
      <c r="H682" s="394" t="str">
        <f t="shared" si="45"/>
        <v/>
      </c>
      <c r="I682" s="394" t="str">
        <f t="shared" si="46"/>
        <v/>
      </c>
      <c r="J682" s="394" t="str">
        <f t="shared" si="47"/>
        <v/>
      </c>
      <c r="K682" s="394" t="str">
        <f t="shared" si="48"/>
        <v/>
      </c>
      <c r="O682" s="370" t="str">
        <v/>
      </c>
      <c r="S682" s="1" t="str">
        <v/>
      </c>
    </row>
    <row r="683" spans="1:19" x14ac:dyDescent="0.25">
      <c r="A683" s="370" t="str">
        <v/>
      </c>
      <c r="H683" s="394" t="str">
        <f t="shared" si="45"/>
        <v/>
      </c>
      <c r="I683" s="394" t="str">
        <f t="shared" si="46"/>
        <v/>
      </c>
      <c r="J683" s="394" t="str">
        <f t="shared" si="47"/>
        <v/>
      </c>
      <c r="K683" s="394" t="str">
        <f t="shared" si="48"/>
        <v/>
      </c>
      <c r="O683" s="370" t="str">
        <v/>
      </c>
      <c r="S683" s="1" t="str">
        <v/>
      </c>
    </row>
    <row r="684" spans="1:19" x14ac:dyDescent="0.25">
      <c r="A684" s="370" t="str">
        <v/>
      </c>
      <c r="H684" s="394" t="str">
        <f t="shared" si="45"/>
        <v/>
      </c>
      <c r="I684" s="394" t="str">
        <f t="shared" si="46"/>
        <v/>
      </c>
      <c r="J684" s="394" t="str">
        <f t="shared" si="47"/>
        <v/>
      </c>
      <c r="K684" s="394" t="str">
        <f t="shared" si="48"/>
        <v/>
      </c>
      <c r="O684" s="370" t="str">
        <v/>
      </c>
      <c r="S684" s="1" t="str">
        <v/>
      </c>
    </row>
    <row r="685" spans="1:19" x14ac:dyDescent="0.25">
      <c r="A685" s="370" t="str">
        <v/>
      </c>
      <c r="H685" s="394" t="str">
        <f t="shared" si="45"/>
        <v/>
      </c>
      <c r="I685" s="394" t="str">
        <f t="shared" si="46"/>
        <v/>
      </c>
      <c r="J685" s="394" t="str">
        <f t="shared" si="47"/>
        <v/>
      </c>
      <c r="K685" s="394" t="str">
        <f t="shared" si="48"/>
        <v/>
      </c>
      <c r="O685" s="370" t="str">
        <v/>
      </c>
      <c r="S685" s="1" t="str">
        <v/>
      </c>
    </row>
    <row r="686" spans="1:19" x14ac:dyDescent="0.25">
      <c r="A686" s="370" t="str">
        <v/>
      </c>
      <c r="H686" s="394" t="str">
        <f t="shared" si="45"/>
        <v/>
      </c>
      <c r="I686" s="394" t="str">
        <f t="shared" si="46"/>
        <v/>
      </c>
      <c r="J686" s="394" t="str">
        <f t="shared" si="47"/>
        <v/>
      </c>
      <c r="K686" s="394" t="str">
        <f t="shared" si="48"/>
        <v/>
      </c>
      <c r="O686" s="370" t="str">
        <v/>
      </c>
      <c r="S686" s="1" t="str">
        <v/>
      </c>
    </row>
    <row r="687" spans="1:19" x14ac:dyDescent="0.25">
      <c r="A687" s="370" t="str">
        <v/>
      </c>
      <c r="H687" s="394" t="str">
        <f t="shared" si="45"/>
        <v/>
      </c>
      <c r="I687" s="394" t="str">
        <f t="shared" si="46"/>
        <v/>
      </c>
      <c r="J687" s="394" t="str">
        <f t="shared" si="47"/>
        <v/>
      </c>
      <c r="K687" s="394" t="str">
        <f t="shared" si="48"/>
        <v/>
      </c>
      <c r="O687" s="370" t="str">
        <v/>
      </c>
      <c r="S687" s="1" t="str">
        <v/>
      </c>
    </row>
    <row r="688" spans="1:19" x14ac:dyDescent="0.25">
      <c r="A688" s="370" t="str">
        <v/>
      </c>
      <c r="H688" s="394" t="str">
        <f t="shared" si="45"/>
        <v/>
      </c>
      <c r="I688" s="394" t="str">
        <f t="shared" si="46"/>
        <v/>
      </c>
      <c r="J688" s="394" t="str">
        <f t="shared" si="47"/>
        <v/>
      </c>
      <c r="K688" s="394" t="str">
        <f t="shared" si="48"/>
        <v/>
      </c>
      <c r="O688" s="370" t="str">
        <v/>
      </c>
      <c r="S688" s="1" t="str">
        <v/>
      </c>
    </row>
    <row r="689" spans="1:19" x14ac:dyDescent="0.25">
      <c r="A689" s="370" t="str">
        <v/>
      </c>
      <c r="H689" s="394" t="str">
        <f t="shared" si="45"/>
        <v/>
      </c>
      <c r="I689" s="394" t="str">
        <f t="shared" si="46"/>
        <v/>
      </c>
      <c r="J689" s="394" t="str">
        <f t="shared" si="47"/>
        <v/>
      </c>
      <c r="K689" s="394" t="str">
        <f t="shared" si="48"/>
        <v/>
      </c>
      <c r="O689" s="370" t="str">
        <v/>
      </c>
      <c r="S689" s="1" t="str">
        <v/>
      </c>
    </row>
    <row r="690" spans="1:19" x14ac:dyDescent="0.25">
      <c r="A690" s="370" t="str">
        <v/>
      </c>
      <c r="H690" s="394" t="str">
        <f t="shared" si="45"/>
        <v/>
      </c>
      <c r="I690" s="394" t="str">
        <f t="shared" si="46"/>
        <v/>
      </c>
      <c r="J690" s="394" t="str">
        <f t="shared" si="47"/>
        <v/>
      </c>
      <c r="K690" s="394" t="str">
        <f t="shared" si="48"/>
        <v/>
      </c>
      <c r="O690" s="370" t="str">
        <v/>
      </c>
      <c r="S690" s="1" t="str">
        <v/>
      </c>
    </row>
    <row r="691" spans="1:19" x14ac:dyDescent="0.25">
      <c r="A691" s="370" t="str">
        <v/>
      </c>
      <c r="H691" s="394" t="str">
        <f t="shared" si="45"/>
        <v/>
      </c>
      <c r="I691" s="394" t="str">
        <f t="shared" si="46"/>
        <v/>
      </c>
      <c r="J691" s="394" t="str">
        <f t="shared" si="47"/>
        <v/>
      </c>
      <c r="K691" s="394" t="str">
        <f t="shared" si="48"/>
        <v/>
      </c>
      <c r="O691" s="370" t="str">
        <v/>
      </c>
      <c r="S691" s="1" t="str">
        <v/>
      </c>
    </row>
    <row r="692" spans="1:19" x14ac:dyDescent="0.25">
      <c r="A692" s="370" t="str">
        <v/>
      </c>
      <c r="H692" s="394" t="str">
        <f t="shared" si="45"/>
        <v/>
      </c>
      <c r="I692" s="394" t="str">
        <f t="shared" si="46"/>
        <v/>
      </c>
      <c r="J692" s="394" t="str">
        <f t="shared" si="47"/>
        <v/>
      </c>
      <c r="K692" s="394" t="str">
        <f t="shared" si="48"/>
        <v/>
      </c>
      <c r="O692" s="370" t="str">
        <v/>
      </c>
      <c r="S692" s="1" t="str">
        <v/>
      </c>
    </row>
    <row r="693" spans="1:19" x14ac:dyDescent="0.25">
      <c r="A693" s="370" t="str">
        <v/>
      </c>
      <c r="H693" s="394" t="str">
        <f t="shared" si="45"/>
        <v/>
      </c>
      <c r="I693" s="394" t="str">
        <f t="shared" si="46"/>
        <v/>
      </c>
      <c r="J693" s="394" t="str">
        <f t="shared" si="47"/>
        <v/>
      </c>
      <c r="K693" s="394" t="str">
        <f t="shared" si="48"/>
        <v/>
      </c>
      <c r="O693" s="370" t="str">
        <v/>
      </c>
      <c r="S693" s="1" t="str">
        <v/>
      </c>
    </row>
    <row r="694" spans="1:19" x14ac:dyDescent="0.25">
      <c r="A694" s="370" t="str">
        <v/>
      </c>
      <c r="H694" s="394" t="str">
        <f t="shared" si="45"/>
        <v/>
      </c>
      <c r="I694" s="394" t="str">
        <f t="shared" si="46"/>
        <v/>
      </c>
      <c r="J694" s="394" t="str">
        <f t="shared" si="47"/>
        <v/>
      </c>
      <c r="K694" s="394" t="str">
        <f t="shared" si="48"/>
        <v/>
      </c>
      <c r="O694" s="370" t="str">
        <v/>
      </c>
      <c r="S694" s="1" t="str">
        <v/>
      </c>
    </row>
    <row r="695" spans="1:19" x14ac:dyDescent="0.25">
      <c r="A695" s="370" t="str">
        <v/>
      </c>
      <c r="H695" s="394" t="str">
        <f t="shared" si="45"/>
        <v/>
      </c>
      <c r="I695" s="394" t="str">
        <f t="shared" si="46"/>
        <v/>
      </c>
      <c r="J695" s="394" t="str">
        <f t="shared" si="47"/>
        <v/>
      </c>
      <c r="K695" s="394" t="str">
        <f t="shared" si="48"/>
        <v/>
      </c>
      <c r="O695" s="370" t="str">
        <v/>
      </c>
      <c r="S695" s="1" t="str">
        <v/>
      </c>
    </row>
    <row r="696" spans="1:19" x14ac:dyDescent="0.25">
      <c r="A696" s="370" t="str">
        <v/>
      </c>
      <c r="H696" s="394" t="str">
        <f t="shared" si="45"/>
        <v/>
      </c>
      <c r="I696" s="394" t="str">
        <f t="shared" si="46"/>
        <v/>
      </c>
      <c r="J696" s="394" t="str">
        <f t="shared" si="47"/>
        <v/>
      </c>
      <c r="K696" s="394" t="str">
        <f t="shared" si="48"/>
        <v/>
      </c>
      <c r="O696" s="370" t="str">
        <v/>
      </c>
      <c r="S696" s="1" t="str">
        <v/>
      </c>
    </row>
    <row r="697" spans="1:19" x14ac:dyDescent="0.25">
      <c r="A697" s="370" t="str">
        <v/>
      </c>
      <c r="H697" s="394" t="str">
        <f t="shared" si="45"/>
        <v/>
      </c>
      <c r="I697" s="394" t="str">
        <f t="shared" si="46"/>
        <v/>
      </c>
      <c r="J697" s="394" t="str">
        <f t="shared" si="47"/>
        <v/>
      </c>
      <c r="K697" s="394" t="str">
        <f t="shared" si="48"/>
        <v/>
      </c>
      <c r="O697" s="370" t="str">
        <v/>
      </c>
      <c r="S697" s="1" t="str">
        <v/>
      </c>
    </row>
    <row r="698" spans="1:19" x14ac:dyDescent="0.25">
      <c r="A698" s="370" t="str">
        <v/>
      </c>
      <c r="H698" s="394" t="str">
        <f t="shared" si="45"/>
        <v/>
      </c>
      <c r="I698" s="394" t="str">
        <f t="shared" si="46"/>
        <v/>
      </c>
      <c r="J698" s="394" t="str">
        <f t="shared" si="47"/>
        <v/>
      </c>
      <c r="K698" s="394" t="str">
        <f t="shared" si="48"/>
        <v/>
      </c>
      <c r="O698" s="370" t="str">
        <v/>
      </c>
      <c r="S698" s="1" t="str">
        <v/>
      </c>
    </row>
    <row r="699" spans="1:19" x14ac:dyDescent="0.25">
      <c r="A699" s="370" t="str">
        <v/>
      </c>
      <c r="H699" s="394" t="str">
        <f t="shared" si="45"/>
        <v/>
      </c>
      <c r="I699" s="394" t="str">
        <f t="shared" si="46"/>
        <v/>
      </c>
      <c r="J699" s="394" t="str">
        <f t="shared" si="47"/>
        <v/>
      </c>
      <c r="K699" s="394" t="str">
        <f t="shared" si="48"/>
        <v/>
      </c>
      <c r="O699" s="370" t="str">
        <v/>
      </c>
      <c r="S699" s="1" t="str">
        <v/>
      </c>
    </row>
    <row r="700" spans="1:19" x14ac:dyDescent="0.25">
      <c r="A700" s="370" t="str">
        <v/>
      </c>
      <c r="H700" s="394" t="str">
        <f t="shared" si="45"/>
        <v/>
      </c>
      <c r="I700" s="394" t="str">
        <f t="shared" si="46"/>
        <v/>
      </c>
      <c r="J700" s="394" t="str">
        <f t="shared" si="47"/>
        <v/>
      </c>
      <c r="K700" s="394" t="str">
        <f t="shared" si="48"/>
        <v/>
      </c>
      <c r="O700" s="370" t="str">
        <v/>
      </c>
      <c r="S700" s="1" t="str">
        <v/>
      </c>
    </row>
    <row r="701" spans="1:19" x14ac:dyDescent="0.25">
      <c r="A701" s="370" t="str">
        <v/>
      </c>
      <c r="H701" s="394" t="str">
        <f t="shared" si="45"/>
        <v/>
      </c>
      <c r="I701" s="394" t="str">
        <f t="shared" si="46"/>
        <v/>
      </c>
      <c r="J701" s="394" t="str">
        <f t="shared" si="47"/>
        <v/>
      </c>
      <c r="K701" s="394" t="str">
        <f t="shared" si="48"/>
        <v/>
      </c>
      <c r="O701" s="370" t="str">
        <v/>
      </c>
      <c r="S701" s="1" t="str">
        <v/>
      </c>
    </row>
    <row r="702" spans="1:19" x14ac:dyDescent="0.25">
      <c r="A702" s="370" t="str">
        <v/>
      </c>
      <c r="H702" s="394" t="str">
        <f t="shared" si="45"/>
        <v/>
      </c>
      <c r="I702" s="394" t="str">
        <f t="shared" si="46"/>
        <v/>
      </c>
      <c r="J702" s="394" t="str">
        <f t="shared" si="47"/>
        <v/>
      </c>
      <c r="K702" s="394" t="str">
        <f t="shared" si="48"/>
        <v/>
      </c>
      <c r="O702" s="370" t="str">
        <v/>
      </c>
      <c r="S702" s="1" t="str">
        <v/>
      </c>
    </row>
    <row r="703" spans="1:19" x14ac:dyDescent="0.25">
      <c r="A703" s="370" t="str">
        <v/>
      </c>
      <c r="H703" s="394" t="str">
        <f t="shared" si="45"/>
        <v/>
      </c>
      <c r="I703" s="394" t="str">
        <f t="shared" si="46"/>
        <v/>
      </c>
      <c r="J703" s="394" t="str">
        <f t="shared" si="47"/>
        <v/>
      </c>
      <c r="K703" s="394" t="str">
        <f t="shared" si="48"/>
        <v/>
      </c>
      <c r="O703" s="370" t="str">
        <v/>
      </c>
      <c r="S703" s="1" t="str">
        <v/>
      </c>
    </row>
    <row r="704" spans="1:19" x14ac:dyDescent="0.25">
      <c r="A704" s="370" t="str">
        <v/>
      </c>
      <c r="H704" s="394" t="str">
        <f t="shared" si="45"/>
        <v/>
      </c>
      <c r="I704" s="394" t="str">
        <f t="shared" si="46"/>
        <v/>
      </c>
      <c r="J704" s="394" t="str">
        <f t="shared" si="47"/>
        <v/>
      </c>
      <c r="K704" s="394" t="str">
        <f t="shared" si="48"/>
        <v/>
      </c>
      <c r="O704" s="370" t="str">
        <v/>
      </c>
      <c r="S704" s="1" t="str">
        <v/>
      </c>
    </row>
    <row r="705" spans="1:19" x14ac:dyDescent="0.25">
      <c r="A705" s="370" t="str">
        <v/>
      </c>
      <c r="H705" s="394" t="str">
        <f t="shared" si="45"/>
        <v/>
      </c>
      <c r="I705" s="394" t="str">
        <f t="shared" si="46"/>
        <v/>
      </c>
      <c r="J705" s="394" t="str">
        <f t="shared" si="47"/>
        <v/>
      </c>
      <c r="K705" s="394" t="str">
        <f t="shared" si="48"/>
        <v/>
      </c>
      <c r="O705" s="370" t="str">
        <v/>
      </c>
      <c r="S705" s="1" t="str">
        <v/>
      </c>
    </row>
    <row r="706" spans="1:19" x14ac:dyDescent="0.25">
      <c r="A706" s="370" t="str">
        <v/>
      </c>
      <c r="H706" s="394" t="str">
        <f t="shared" si="45"/>
        <v/>
      </c>
      <c r="I706" s="394" t="str">
        <f t="shared" si="46"/>
        <v/>
      </c>
      <c r="J706" s="394" t="str">
        <f t="shared" si="47"/>
        <v/>
      </c>
      <c r="K706" s="394" t="str">
        <f t="shared" si="48"/>
        <v/>
      </c>
      <c r="O706" s="370" t="str">
        <v/>
      </c>
      <c r="S706" s="1" t="str">
        <v/>
      </c>
    </row>
    <row r="707" spans="1:19" x14ac:dyDescent="0.25">
      <c r="A707" s="370" t="str">
        <v/>
      </c>
      <c r="H707" s="394" t="str">
        <f t="shared" si="45"/>
        <v/>
      </c>
      <c r="I707" s="394" t="str">
        <f t="shared" si="46"/>
        <v/>
      </c>
      <c r="J707" s="394" t="str">
        <f t="shared" si="47"/>
        <v/>
      </c>
      <c r="K707" s="394" t="str">
        <f t="shared" si="48"/>
        <v/>
      </c>
      <c r="O707" s="370" t="str">
        <v/>
      </c>
      <c r="S707" s="1" t="str">
        <v/>
      </c>
    </row>
    <row r="708" spans="1:19" x14ac:dyDescent="0.25">
      <c r="A708" s="370" t="str">
        <v/>
      </c>
      <c r="H708" s="394" t="str">
        <f t="shared" si="45"/>
        <v/>
      </c>
      <c r="I708" s="394" t="str">
        <f t="shared" si="46"/>
        <v/>
      </c>
      <c r="J708" s="394" t="str">
        <f t="shared" si="47"/>
        <v/>
      </c>
      <c r="K708" s="394" t="str">
        <f t="shared" si="48"/>
        <v/>
      </c>
      <c r="O708" s="370" t="str">
        <v/>
      </c>
      <c r="S708" s="1" t="str">
        <v/>
      </c>
    </row>
    <row r="709" spans="1:19" x14ac:dyDescent="0.25">
      <c r="A709" s="370" t="str">
        <v/>
      </c>
      <c r="H709" s="394" t="str">
        <f t="shared" si="45"/>
        <v/>
      </c>
      <c r="I709" s="394" t="str">
        <f t="shared" si="46"/>
        <v/>
      </c>
      <c r="J709" s="394" t="str">
        <f t="shared" si="47"/>
        <v/>
      </c>
      <c r="K709" s="394" t="str">
        <f t="shared" si="48"/>
        <v/>
      </c>
      <c r="O709" s="370" t="str">
        <v/>
      </c>
      <c r="S709" s="1" t="str">
        <v/>
      </c>
    </row>
    <row r="710" spans="1:19" x14ac:dyDescent="0.25">
      <c r="A710" s="370" t="str">
        <v/>
      </c>
      <c r="H710" s="394" t="str">
        <f t="shared" si="45"/>
        <v/>
      </c>
      <c r="I710" s="394" t="str">
        <f t="shared" si="46"/>
        <v/>
      </c>
      <c r="J710" s="394" t="str">
        <f t="shared" si="47"/>
        <v/>
      </c>
      <c r="K710" s="394" t="str">
        <f t="shared" si="48"/>
        <v/>
      </c>
      <c r="O710" s="370" t="str">
        <v/>
      </c>
      <c r="S710" s="1" t="str">
        <v/>
      </c>
    </row>
    <row r="711" spans="1:19" x14ac:dyDescent="0.25">
      <c r="A711" s="370" t="str">
        <v/>
      </c>
      <c r="H711" s="394" t="str">
        <f t="shared" si="45"/>
        <v/>
      </c>
      <c r="I711" s="394" t="str">
        <f t="shared" si="46"/>
        <v/>
      </c>
      <c r="J711" s="394" t="str">
        <f t="shared" si="47"/>
        <v/>
      </c>
      <c r="K711" s="394" t="str">
        <f t="shared" si="48"/>
        <v/>
      </c>
      <c r="O711" s="370" t="str">
        <v/>
      </c>
      <c r="S711" s="1" t="str">
        <v/>
      </c>
    </row>
    <row r="712" spans="1:19" x14ac:dyDescent="0.25">
      <c r="A712" s="370" t="str">
        <v/>
      </c>
      <c r="H712" s="394" t="str">
        <f t="shared" si="45"/>
        <v/>
      </c>
      <c r="I712" s="394" t="str">
        <f t="shared" si="46"/>
        <v/>
      </c>
      <c r="J712" s="394" t="str">
        <f t="shared" si="47"/>
        <v/>
      </c>
      <c r="K712" s="394" t="str">
        <f t="shared" si="48"/>
        <v/>
      </c>
      <c r="O712" s="370" t="str">
        <v/>
      </c>
      <c r="S712" s="1" t="str">
        <v/>
      </c>
    </row>
    <row r="713" spans="1:19" x14ac:dyDescent="0.25">
      <c r="A713" s="370" t="str">
        <v/>
      </c>
      <c r="H713" s="394" t="str">
        <f t="shared" si="45"/>
        <v/>
      </c>
      <c r="I713" s="394" t="str">
        <f t="shared" si="46"/>
        <v/>
      </c>
      <c r="J713" s="394" t="str">
        <f t="shared" si="47"/>
        <v/>
      </c>
      <c r="K713" s="394" t="str">
        <f t="shared" si="48"/>
        <v/>
      </c>
      <c r="O713" s="370" t="str">
        <v/>
      </c>
      <c r="S713" s="1" t="str">
        <v/>
      </c>
    </row>
    <row r="714" spans="1:19" x14ac:dyDescent="0.25">
      <c r="A714" s="370" t="str">
        <v/>
      </c>
      <c r="H714" s="394" t="str">
        <f t="shared" si="45"/>
        <v/>
      </c>
      <c r="I714" s="394" t="str">
        <f t="shared" si="46"/>
        <v/>
      </c>
      <c r="J714" s="394" t="str">
        <f t="shared" si="47"/>
        <v/>
      </c>
      <c r="K714" s="394" t="str">
        <f t="shared" si="48"/>
        <v/>
      </c>
      <c r="O714" s="370" t="str">
        <v/>
      </c>
      <c r="S714" s="1" t="str">
        <v/>
      </c>
    </row>
    <row r="715" spans="1:19" x14ac:dyDescent="0.25">
      <c r="A715" s="370" t="str">
        <v/>
      </c>
      <c r="H715" s="394" t="str">
        <f t="shared" si="45"/>
        <v/>
      </c>
      <c r="I715" s="394" t="str">
        <f t="shared" si="46"/>
        <v/>
      </c>
      <c r="J715" s="394" t="str">
        <f t="shared" si="47"/>
        <v/>
      </c>
      <c r="K715" s="394" t="str">
        <f t="shared" si="48"/>
        <v/>
      </c>
      <c r="O715" s="370" t="str">
        <v/>
      </c>
      <c r="S715" s="1" t="str">
        <v/>
      </c>
    </row>
    <row r="716" spans="1:19" x14ac:dyDescent="0.25">
      <c r="A716" s="370" t="str">
        <v/>
      </c>
      <c r="H716" s="394" t="str">
        <f t="shared" si="45"/>
        <v/>
      </c>
      <c r="I716" s="394" t="str">
        <f t="shared" si="46"/>
        <v/>
      </c>
      <c r="J716" s="394" t="str">
        <f t="shared" si="47"/>
        <v/>
      </c>
      <c r="K716" s="394" t="str">
        <f t="shared" si="48"/>
        <v/>
      </c>
      <c r="O716" s="370" t="str">
        <v/>
      </c>
      <c r="S716" s="1" t="str">
        <v/>
      </c>
    </row>
    <row r="717" spans="1:19" x14ac:dyDescent="0.25">
      <c r="A717" s="370" t="str">
        <v/>
      </c>
      <c r="H717" s="394" t="str">
        <f t="shared" si="45"/>
        <v/>
      </c>
      <c r="I717" s="394" t="str">
        <f t="shared" si="46"/>
        <v/>
      </c>
      <c r="J717" s="394" t="str">
        <f t="shared" si="47"/>
        <v/>
      </c>
      <c r="K717" s="394" t="str">
        <f t="shared" si="48"/>
        <v/>
      </c>
      <c r="O717" s="370" t="str">
        <v/>
      </c>
      <c r="S717" s="1" t="str">
        <v/>
      </c>
    </row>
    <row r="718" spans="1:19" x14ac:dyDescent="0.25">
      <c r="A718" s="370" t="str">
        <v/>
      </c>
      <c r="H718" s="394" t="str">
        <f t="shared" si="45"/>
        <v/>
      </c>
      <c r="I718" s="394" t="str">
        <f t="shared" si="46"/>
        <v/>
      </c>
      <c r="J718" s="394" t="str">
        <f t="shared" si="47"/>
        <v/>
      </c>
      <c r="K718" s="394" t="str">
        <f t="shared" si="48"/>
        <v/>
      </c>
      <c r="O718" s="370" t="str">
        <v/>
      </c>
      <c r="S718" s="1" t="str">
        <v/>
      </c>
    </row>
    <row r="719" spans="1:19" x14ac:dyDescent="0.25">
      <c r="A719" s="370" t="str">
        <v/>
      </c>
      <c r="H719" s="394" t="str">
        <f t="shared" si="45"/>
        <v/>
      </c>
      <c r="I719" s="394" t="str">
        <f t="shared" si="46"/>
        <v/>
      </c>
      <c r="J719" s="394" t="str">
        <f t="shared" si="47"/>
        <v/>
      </c>
      <c r="K719" s="394" t="str">
        <f t="shared" si="48"/>
        <v/>
      </c>
      <c r="O719" s="370" t="str">
        <v/>
      </c>
      <c r="S719" s="1" t="str">
        <v/>
      </c>
    </row>
    <row r="720" spans="1:19" x14ac:dyDescent="0.25">
      <c r="A720" s="370" t="str">
        <v/>
      </c>
      <c r="H720" s="394" t="str">
        <f t="shared" si="45"/>
        <v/>
      </c>
      <c r="I720" s="394" t="str">
        <f t="shared" si="46"/>
        <v/>
      </c>
      <c r="J720" s="394" t="str">
        <f t="shared" si="47"/>
        <v/>
      </c>
      <c r="K720" s="394" t="str">
        <f t="shared" si="48"/>
        <v/>
      </c>
      <c r="O720" s="370" t="str">
        <v/>
      </c>
      <c r="S720" s="1" t="str">
        <v/>
      </c>
    </row>
    <row r="721" spans="1:19" x14ac:dyDescent="0.25">
      <c r="A721" s="370" t="str">
        <v/>
      </c>
      <c r="H721" s="394" t="str">
        <f t="shared" si="45"/>
        <v/>
      </c>
      <c r="I721" s="394" t="str">
        <f t="shared" si="46"/>
        <v/>
      </c>
      <c r="J721" s="394" t="str">
        <f t="shared" si="47"/>
        <v/>
      </c>
      <c r="K721" s="394" t="str">
        <f t="shared" si="48"/>
        <v/>
      </c>
      <c r="O721" s="370" t="str">
        <v/>
      </c>
      <c r="S721" s="1" t="str">
        <v/>
      </c>
    </row>
    <row r="722" spans="1:19" x14ac:dyDescent="0.25">
      <c r="A722" s="370" t="str">
        <v/>
      </c>
      <c r="H722" s="394" t="str">
        <f t="shared" si="45"/>
        <v/>
      </c>
      <c r="I722" s="394" t="str">
        <f t="shared" si="46"/>
        <v/>
      </c>
      <c r="J722" s="394" t="str">
        <f t="shared" si="47"/>
        <v/>
      </c>
      <c r="K722" s="394" t="str">
        <f t="shared" si="48"/>
        <v/>
      </c>
      <c r="O722" s="370" t="str">
        <v/>
      </c>
      <c r="S722" s="1" t="str">
        <v/>
      </c>
    </row>
    <row r="723" spans="1:19" x14ac:dyDescent="0.25">
      <c r="A723" s="370" t="str">
        <v/>
      </c>
      <c r="H723" s="394" t="str">
        <f t="shared" si="45"/>
        <v/>
      </c>
      <c r="I723" s="394" t="str">
        <f t="shared" si="46"/>
        <v/>
      </c>
      <c r="J723" s="394" t="str">
        <f t="shared" si="47"/>
        <v/>
      </c>
      <c r="K723" s="394" t="str">
        <f t="shared" si="48"/>
        <v/>
      </c>
      <c r="O723" s="370" t="str">
        <v/>
      </c>
      <c r="S723" s="1" t="str">
        <v/>
      </c>
    </row>
    <row r="724" spans="1:19" x14ac:dyDescent="0.25">
      <c r="A724" s="370" t="str">
        <v/>
      </c>
      <c r="H724" s="394" t="str">
        <f t="shared" si="45"/>
        <v/>
      </c>
      <c r="I724" s="394" t="str">
        <f t="shared" si="46"/>
        <v/>
      </c>
      <c r="J724" s="394" t="str">
        <f t="shared" si="47"/>
        <v/>
      </c>
      <c r="K724" s="394" t="str">
        <f t="shared" si="48"/>
        <v/>
      </c>
      <c r="O724" s="370" t="str">
        <v/>
      </c>
      <c r="S724" s="1" t="str">
        <v/>
      </c>
    </row>
    <row r="725" spans="1:19" x14ac:dyDescent="0.25">
      <c r="A725" s="370" t="str">
        <v/>
      </c>
      <c r="H725" s="394" t="str">
        <f t="shared" si="45"/>
        <v/>
      </c>
      <c r="I725" s="394" t="str">
        <f t="shared" si="46"/>
        <v/>
      </c>
      <c r="J725" s="394" t="str">
        <f t="shared" si="47"/>
        <v/>
      </c>
      <c r="K725" s="394" t="str">
        <f t="shared" si="48"/>
        <v/>
      </c>
      <c r="O725" s="370" t="str">
        <v/>
      </c>
      <c r="S725" s="1" t="str">
        <v/>
      </c>
    </row>
    <row r="726" spans="1:19" x14ac:dyDescent="0.25">
      <c r="A726" s="370" t="str">
        <v/>
      </c>
      <c r="H726" s="394" t="str">
        <f t="shared" si="45"/>
        <v/>
      </c>
      <c r="I726" s="394" t="str">
        <f t="shared" si="46"/>
        <v/>
      </c>
      <c r="J726" s="394" t="str">
        <f t="shared" si="47"/>
        <v/>
      </c>
      <c r="K726" s="394" t="str">
        <f t="shared" si="48"/>
        <v/>
      </c>
      <c r="O726" s="370" t="str">
        <v/>
      </c>
      <c r="S726" s="1" t="str">
        <v/>
      </c>
    </row>
    <row r="727" spans="1:19" x14ac:dyDescent="0.25">
      <c r="A727" s="370" t="str">
        <v/>
      </c>
      <c r="H727" s="394" t="str">
        <f t="shared" ref="H727:H790" si="49">IF($C727="","",ROUND((($B$2*$F727*($B$5/1000))/$B$6)*(1+IF($B$18="",0,$B$18)),2))</f>
        <v/>
      </c>
      <c r="I727" s="394" t="str">
        <f t="shared" ref="I727:I790" si="50">IF($C727="","",ROUND((($B$3*$F727*($B$5/1000))/$B$6)*(1+IF($B$18="",0,$B$18)),2))</f>
        <v/>
      </c>
      <c r="J727" s="394" t="str">
        <f t="shared" ref="J727:J790" si="51">IF(OR($C727="",$B$9="",$B$15=""),"",ROUND((((((IF($B$15="N/A",$B$2,$B$4))*$F727*($B$5/1000))+((($G727/1000)*($B$5/1000)*10.7639104)*(IF($B$9="Smooth",$B$10,IF($B$9="Sand",$B$11,0)))))*(1+$B$17))/$B$8)*(1+IF($B$18="",0,$B$18)),2))</f>
        <v/>
      </c>
      <c r="K727" s="394" t="str">
        <f t="shared" ref="K727:K790" si="52">IF(OR($C727="",$B$12="",$B$15=""),"",ROUND((((((IF($B$15="N/A",$B$2,$B$4))*$F727*($B$5/1000))+((($G727/1000)*($B$5/1000)*10.7639104)*(IF($B$12="Indoor",$B$13,IF($B$12="Outdoor",$B$14,0)))))*(1+$B$17))/$B$8)*(1+IF($B$18="",0,$B$18)),2))</f>
        <v/>
      </c>
      <c r="O727" s="370" t="str">
        <v/>
      </c>
      <c r="S727" s="1" t="str">
        <v/>
      </c>
    </row>
    <row r="728" spans="1:19" x14ac:dyDescent="0.25">
      <c r="A728" s="370" t="str">
        <v/>
      </c>
      <c r="H728" s="394" t="str">
        <f t="shared" si="49"/>
        <v/>
      </c>
      <c r="I728" s="394" t="str">
        <f t="shared" si="50"/>
        <v/>
      </c>
      <c r="J728" s="394" t="str">
        <f t="shared" si="51"/>
        <v/>
      </c>
      <c r="K728" s="394" t="str">
        <f t="shared" si="52"/>
        <v/>
      </c>
      <c r="O728" s="370" t="str">
        <v/>
      </c>
      <c r="S728" s="1" t="str">
        <v/>
      </c>
    </row>
    <row r="729" spans="1:19" x14ac:dyDescent="0.25">
      <c r="A729" s="370" t="str">
        <v/>
      </c>
      <c r="H729" s="394" t="str">
        <f t="shared" si="49"/>
        <v/>
      </c>
      <c r="I729" s="394" t="str">
        <f t="shared" si="50"/>
        <v/>
      </c>
      <c r="J729" s="394" t="str">
        <f t="shared" si="51"/>
        <v/>
      </c>
      <c r="K729" s="394" t="str">
        <f t="shared" si="52"/>
        <v/>
      </c>
      <c r="O729" s="370" t="str">
        <v/>
      </c>
      <c r="S729" s="1" t="str">
        <v/>
      </c>
    </row>
    <row r="730" spans="1:19" x14ac:dyDescent="0.25">
      <c r="A730" s="370" t="str">
        <v/>
      </c>
      <c r="H730" s="394" t="str">
        <f t="shared" si="49"/>
        <v/>
      </c>
      <c r="I730" s="394" t="str">
        <f t="shared" si="50"/>
        <v/>
      </c>
      <c r="J730" s="394" t="str">
        <f t="shared" si="51"/>
        <v/>
      </c>
      <c r="K730" s="394" t="str">
        <f t="shared" si="52"/>
        <v/>
      </c>
      <c r="O730" s="370" t="str">
        <v/>
      </c>
      <c r="S730" s="1" t="str">
        <v/>
      </c>
    </row>
    <row r="731" spans="1:19" x14ac:dyDescent="0.25">
      <c r="A731" s="370" t="str">
        <v/>
      </c>
      <c r="H731" s="394" t="str">
        <f t="shared" si="49"/>
        <v/>
      </c>
      <c r="I731" s="394" t="str">
        <f t="shared" si="50"/>
        <v/>
      </c>
      <c r="J731" s="394" t="str">
        <f t="shared" si="51"/>
        <v/>
      </c>
      <c r="K731" s="394" t="str">
        <f t="shared" si="52"/>
        <v/>
      </c>
      <c r="O731" s="370" t="str">
        <v/>
      </c>
      <c r="S731" s="1" t="str">
        <v/>
      </c>
    </row>
    <row r="732" spans="1:19" x14ac:dyDescent="0.25">
      <c r="A732" s="370" t="str">
        <v/>
      </c>
      <c r="H732" s="394" t="str">
        <f t="shared" si="49"/>
        <v/>
      </c>
      <c r="I732" s="394" t="str">
        <f t="shared" si="50"/>
        <v/>
      </c>
      <c r="J732" s="394" t="str">
        <f t="shared" si="51"/>
        <v/>
      </c>
      <c r="K732" s="394" t="str">
        <f t="shared" si="52"/>
        <v/>
      </c>
      <c r="O732" s="370" t="str">
        <v/>
      </c>
      <c r="S732" s="1" t="str">
        <v/>
      </c>
    </row>
    <row r="733" spans="1:19" x14ac:dyDescent="0.25">
      <c r="A733" s="370" t="str">
        <v/>
      </c>
      <c r="H733" s="394" t="str">
        <f t="shared" si="49"/>
        <v/>
      </c>
      <c r="I733" s="394" t="str">
        <f t="shared" si="50"/>
        <v/>
      </c>
      <c r="J733" s="394" t="str">
        <f t="shared" si="51"/>
        <v/>
      </c>
      <c r="K733" s="394" t="str">
        <f t="shared" si="52"/>
        <v/>
      </c>
      <c r="O733" s="370" t="str">
        <v/>
      </c>
      <c r="S733" s="1" t="str">
        <v/>
      </c>
    </row>
    <row r="734" spans="1:19" x14ac:dyDescent="0.25">
      <c r="A734" s="370" t="str">
        <v/>
      </c>
      <c r="H734" s="394" t="str">
        <f t="shared" si="49"/>
        <v/>
      </c>
      <c r="I734" s="394" t="str">
        <f t="shared" si="50"/>
        <v/>
      </c>
      <c r="J734" s="394" t="str">
        <f t="shared" si="51"/>
        <v/>
      </c>
      <c r="K734" s="394" t="str">
        <f t="shared" si="52"/>
        <v/>
      </c>
      <c r="O734" s="370" t="str">
        <v/>
      </c>
      <c r="S734" s="1" t="str">
        <v/>
      </c>
    </row>
    <row r="735" spans="1:19" x14ac:dyDescent="0.25">
      <c r="A735" s="370" t="str">
        <v/>
      </c>
      <c r="H735" s="394" t="str">
        <f t="shared" si="49"/>
        <v/>
      </c>
      <c r="I735" s="394" t="str">
        <f t="shared" si="50"/>
        <v/>
      </c>
      <c r="J735" s="394" t="str">
        <f t="shared" si="51"/>
        <v/>
      </c>
      <c r="K735" s="394" t="str">
        <f t="shared" si="52"/>
        <v/>
      </c>
      <c r="O735" s="370" t="str">
        <v/>
      </c>
      <c r="S735" s="1" t="str">
        <v/>
      </c>
    </row>
    <row r="736" spans="1:19" x14ac:dyDescent="0.25">
      <c r="A736" s="370" t="str">
        <v/>
      </c>
      <c r="H736" s="394" t="str">
        <f t="shared" si="49"/>
        <v/>
      </c>
      <c r="I736" s="394" t="str">
        <f t="shared" si="50"/>
        <v/>
      </c>
      <c r="J736" s="394" t="str">
        <f t="shared" si="51"/>
        <v/>
      </c>
      <c r="K736" s="394" t="str">
        <f t="shared" si="52"/>
        <v/>
      </c>
      <c r="O736" s="370" t="str">
        <v/>
      </c>
      <c r="S736" s="1" t="str">
        <v/>
      </c>
    </row>
    <row r="737" spans="1:19" x14ac:dyDescent="0.25">
      <c r="A737" s="370" t="str">
        <v/>
      </c>
      <c r="H737" s="394" t="str">
        <f t="shared" si="49"/>
        <v/>
      </c>
      <c r="I737" s="394" t="str">
        <f t="shared" si="50"/>
        <v/>
      </c>
      <c r="J737" s="394" t="str">
        <f t="shared" si="51"/>
        <v/>
      </c>
      <c r="K737" s="394" t="str">
        <f t="shared" si="52"/>
        <v/>
      </c>
      <c r="O737" s="370" t="str">
        <v/>
      </c>
      <c r="S737" s="1" t="str">
        <v/>
      </c>
    </row>
    <row r="738" spans="1:19" x14ac:dyDescent="0.25">
      <c r="A738" s="370" t="str">
        <v/>
      </c>
      <c r="H738" s="394" t="str">
        <f t="shared" si="49"/>
        <v/>
      </c>
      <c r="I738" s="394" t="str">
        <f t="shared" si="50"/>
        <v/>
      </c>
      <c r="J738" s="394" t="str">
        <f t="shared" si="51"/>
        <v/>
      </c>
      <c r="K738" s="394" t="str">
        <f t="shared" si="52"/>
        <v/>
      </c>
      <c r="O738" s="370" t="str">
        <v/>
      </c>
      <c r="S738" s="1" t="str">
        <v/>
      </c>
    </row>
    <row r="739" spans="1:19" x14ac:dyDescent="0.25">
      <c r="A739" s="370" t="str">
        <v/>
      </c>
      <c r="H739" s="394" t="str">
        <f t="shared" si="49"/>
        <v/>
      </c>
      <c r="I739" s="394" t="str">
        <f t="shared" si="50"/>
        <v/>
      </c>
      <c r="J739" s="394" t="str">
        <f t="shared" si="51"/>
        <v/>
      </c>
      <c r="K739" s="394" t="str">
        <f t="shared" si="52"/>
        <v/>
      </c>
      <c r="O739" s="370" t="str">
        <v/>
      </c>
      <c r="S739" s="1" t="str">
        <v/>
      </c>
    </row>
    <row r="740" spans="1:19" x14ac:dyDescent="0.25">
      <c r="A740" s="370" t="str">
        <v/>
      </c>
      <c r="H740" s="394" t="str">
        <f t="shared" si="49"/>
        <v/>
      </c>
      <c r="I740" s="394" t="str">
        <f t="shared" si="50"/>
        <v/>
      </c>
      <c r="J740" s="394" t="str">
        <f t="shared" si="51"/>
        <v/>
      </c>
      <c r="K740" s="394" t="str">
        <f t="shared" si="52"/>
        <v/>
      </c>
      <c r="O740" s="370" t="str">
        <v/>
      </c>
      <c r="S740" s="1" t="str">
        <v/>
      </c>
    </row>
    <row r="741" spans="1:19" x14ac:dyDescent="0.25">
      <c r="A741" s="370" t="str">
        <v/>
      </c>
      <c r="H741" s="394" t="str">
        <f t="shared" si="49"/>
        <v/>
      </c>
      <c r="I741" s="394" t="str">
        <f t="shared" si="50"/>
        <v/>
      </c>
      <c r="J741" s="394" t="str">
        <f t="shared" si="51"/>
        <v/>
      </c>
      <c r="K741" s="394" t="str">
        <f t="shared" si="52"/>
        <v/>
      </c>
      <c r="O741" s="370" t="str">
        <v/>
      </c>
      <c r="S741" s="1" t="str">
        <v/>
      </c>
    </row>
    <row r="742" spans="1:19" x14ac:dyDescent="0.25">
      <c r="A742" s="370" t="str">
        <v/>
      </c>
      <c r="H742" s="394" t="str">
        <f t="shared" si="49"/>
        <v/>
      </c>
      <c r="I742" s="394" t="str">
        <f t="shared" si="50"/>
        <v/>
      </c>
      <c r="J742" s="394" t="str">
        <f t="shared" si="51"/>
        <v/>
      </c>
      <c r="K742" s="394" t="str">
        <f t="shared" si="52"/>
        <v/>
      </c>
      <c r="O742" s="370" t="str">
        <v/>
      </c>
      <c r="S742" s="1" t="str">
        <v/>
      </c>
    </row>
    <row r="743" spans="1:19" x14ac:dyDescent="0.25">
      <c r="A743" s="370" t="str">
        <v/>
      </c>
      <c r="H743" s="394" t="str">
        <f t="shared" si="49"/>
        <v/>
      </c>
      <c r="I743" s="394" t="str">
        <f t="shared" si="50"/>
        <v/>
      </c>
      <c r="J743" s="394" t="str">
        <f t="shared" si="51"/>
        <v/>
      </c>
      <c r="K743" s="394" t="str">
        <f t="shared" si="52"/>
        <v/>
      </c>
      <c r="O743" s="370" t="str">
        <v/>
      </c>
      <c r="S743" s="1" t="str">
        <v/>
      </c>
    </row>
    <row r="744" spans="1:19" x14ac:dyDescent="0.25">
      <c r="A744" s="370" t="str">
        <v/>
      </c>
      <c r="H744" s="394" t="str">
        <f t="shared" si="49"/>
        <v/>
      </c>
      <c r="I744" s="394" t="str">
        <f t="shared" si="50"/>
        <v/>
      </c>
      <c r="J744" s="394" t="str">
        <f t="shared" si="51"/>
        <v/>
      </c>
      <c r="K744" s="394" t="str">
        <f t="shared" si="52"/>
        <v/>
      </c>
      <c r="O744" s="370" t="str">
        <v/>
      </c>
      <c r="S744" s="1" t="str">
        <v/>
      </c>
    </row>
    <row r="745" spans="1:19" x14ac:dyDescent="0.25">
      <c r="A745" s="370" t="str">
        <v/>
      </c>
      <c r="H745" s="394" t="str">
        <f t="shared" si="49"/>
        <v/>
      </c>
      <c r="I745" s="394" t="str">
        <f t="shared" si="50"/>
        <v/>
      </c>
      <c r="J745" s="394" t="str">
        <f t="shared" si="51"/>
        <v/>
      </c>
      <c r="K745" s="394" t="str">
        <f t="shared" si="52"/>
        <v/>
      </c>
      <c r="O745" s="370" t="str">
        <v/>
      </c>
      <c r="S745" s="1" t="str">
        <v/>
      </c>
    </row>
    <row r="746" spans="1:19" x14ac:dyDescent="0.25">
      <c r="A746" s="370" t="str">
        <v/>
      </c>
      <c r="H746" s="394" t="str">
        <f t="shared" si="49"/>
        <v/>
      </c>
      <c r="I746" s="394" t="str">
        <f t="shared" si="50"/>
        <v/>
      </c>
      <c r="J746" s="394" t="str">
        <f t="shared" si="51"/>
        <v/>
      </c>
      <c r="K746" s="394" t="str">
        <f t="shared" si="52"/>
        <v/>
      </c>
      <c r="O746" s="370" t="str">
        <v/>
      </c>
      <c r="S746" s="1" t="str">
        <v/>
      </c>
    </row>
    <row r="747" spans="1:19" x14ac:dyDescent="0.25">
      <c r="A747" s="370" t="str">
        <v/>
      </c>
      <c r="H747" s="394" t="str">
        <f t="shared" si="49"/>
        <v/>
      </c>
      <c r="I747" s="394" t="str">
        <f t="shared" si="50"/>
        <v/>
      </c>
      <c r="J747" s="394" t="str">
        <f t="shared" si="51"/>
        <v/>
      </c>
      <c r="K747" s="394" t="str">
        <f t="shared" si="52"/>
        <v/>
      </c>
      <c r="O747" s="370" t="str">
        <v/>
      </c>
      <c r="S747" s="1" t="str">
        <v/>
      </c>
    </row>
    <row r="748" spans="1:19" x14ac:dyDescent="0.25">
      <c r="A748" s="370" t="str">
        <v/>
      </c>
      <c r="H748" s="394" t="str">
        <f t="shared" si="49"/>
        <v/>
      </c>
      <c r="I748" s="394" t="str">
        <f t="shared" si="50"/>
        <v/>
      </c>
      <c r="J748" s="394" t="str">
        <f t="shared" si="51"/>
        <v/>
      </c>
      <c r="K748" s="394" t="str">
        <f t="shared" si="52"/>
        <v/>
      </c>
      <c r="O748" s="370" t="str">
        <v/>
      </c>
      <c r="S748" s="1" t="str">
        <v/>
      </c>
    </row>
    <row r="749" spans="1:19" x14ac:dyDescent="0.25">
      <c r="A749" s="370" t="str">
        <v/>
      </c>
      <c r="H749" s="394" t="str">
        <f t="shared" si="49"/>
        <v/>
      </c>
      <c r="I749" s="394" t="str">
        <f t="shared" si="50"/>
        <v/>
      </c>
      <c r="J749" s="394" t="str">
        <f t="shared" si="51"/>
        <v/>
      </c>
      <c r="K749" s="394" t="str">
        <f t="shared" si="52"/>
        <v/>
      </c>
      <c r="O749" s="370" t="str">
        <v/>
      </c>
      <c r="S749" s="1" t="str">
        <v/>
      </c>
    </row>
    <row r="750" spans="1:19" x14ac:dyDescent="0.25">
      <c r="A750" s="370" t="str">
        <v/>
      </c>
      <c r="H750" s="394" t="str">
        <f t="shared" si="49"/>
        <v/>
      </c>
      <c r="I750" s="394" t="str">
        <f t="shared" si="50"/>
        <v/>
      </c>
      <c r="J750" s="394" t="str">
        <f t="shared" si="51"/>
        <v/>
      </c>
      <c r="K750" s="394" t="str">
        <f t="shared" si="52"/>
        <v/>
      </c>
      <c r="O750" s="370" t="str">
        <v/>
      </c>
      <c r="S750" s="1" t="str">
        <v/>
      </c>
    </row>
    <row r="751" spans="1:19" x14ac:dyDescent="0.25">
      <c r="A751" s="370" t="str">
        <v/>
      </c>
      <c r="H751" s="394" t="str">
        <f t="shared" si="49"/>
        <v/>
      </c>
      <c r="I751" s="394" t="str">
        <f t="shared" si="50"/>
        <v/>
      </c>
      <c r="J751" s="394" t="str">
        <f t="shared" si="51"/>
        <v/>
      </c>
      <c r="K751" s="394" t="str">
        <f t="shared" si="52"/>
        <v/>
      </c>
      <c r="O751" s="370" t="str">
        <v/>
      </c>
      <c r="S751" s="1" t="str">
        <v/>
      </c>
    </row>
    <row r="752" spans="1:19" x14ac:dyDescent="0.25">
      <c r="A752" s="370" t="str">
        <v/>
      </c>
      <c r="H752" s="394" t="str">
        <f t="shared" si="49"/>
        <v/>
      </c>
      <c r="I752" s="394" t="str">
        <f t="shared" si="50"/>
        <v/>
      </c>
      <c r="J752" s="394" t="str">
        <f t="shared" si="51"/>
        <v/>
      </c>
      <c r="K752" s="394" t="str">
        <f t="shared" si="52"/>
        <v/>
      </c>
      <c r="O752" s="370" t="str">
        <v/>
      </c>
      <c r="S752" s="1" t="str">
        <v/>
      </c>
    </row>
    <row r="753" spans="1:19" x14ac:dyDescent="0.25">
      <c r="A753" s="370" t="str">
        <v/>
      </c>
      <c r="H753" s="394" t="str">
        <f t="shared" si="49"/>
        <v/>
      </c>
      <c r="I753" s="394" t="str">
        <f t="shared" si="50"/>
        <v/>
      </c>
      <c r="J753" s="394" t="str">
        <f t="shared" si="51"/>
        <v/>
      </c>
      <c r="K753" s="394" t="str">
        <f t="shared" si="52"/>
        <v/>
      </c>
      <c r="O753" s="370" t="str">
        <v/>
      </c>
      <c r="S753" s="1" t="str">
        <v/>
      </c>
    </row>
    <row r="754" spans="1:19" x14ac:dyDescent="0.25">
      <c r="A754" s="370" t="str">
        <v/>
      </c>
      <c r="H754" s="394" t="str">
        <f t="shared" si="49"/>
        <v/>
      </c>
      <c r="I754" s="394" t="str">
        <f t="shared" si="50"/>
        <v/>
      </c>
      <c r="J754" s="394" t="str">
        <f t="shared" si="51"/>
        <v/>
      </c>
      <c r="K754" s="394" t="str">
        <f t="shared" si="52"/>
        <v/>
      </c>
      <c r="O754" s="370" t="str">
        <v/>
      </c>
      <c r="S754" s="1" t="str">
        <v/>
      </c>
    </row>
    <row r="755" spans="1:19" x14ac:dyDescent="0.25">
      <c r="A755" s="370" t="str">
        <v/>
      </c>
      <c r="H755" s="394" t="str">
        <f t="shared" si="49"/>
        <v/>
      </c>
      <c r="I755" s="394" t="str">
        <f t="shared" si="50"/>
        <v/>
      </c>
      <c r="J755" s="394" t="str">
        <f t="shared" si="51"/>
        <v/>
      </c>
      <c r="K755" s="394" t="str">
        <f t="shared" si="52"/>
        <v/>
      </c>
      <c r="O755" s="370" t="str">
        <v/>
      </c>
      <c r="S755" s="1" t="str">
        <v/>
      </c>
    </row>
    <row r="756" spans="1:19" x14ac:dyDescent="0.25">
      <c r="A756" s="370" t="str">
        <v/>
      </c>
      <c r="H756" s="394" t="str">
        <f t="shared" si="49"/>
        <v/>
      </c>
      <c r="I756" s="394" t="str">
        <f t="shared" si="50"/>
        <v/>
      </c>
      <c r="J756" s="394" t="str">
        <f t="shared" si="51"/>
        <v/>
      </c>
      <c r="K756" s="394" t="str">
        <f t="shared" si="52"/>
        <v/>
      </c>
      <c r="O756" s="370" t="str">
        <v/>
      </c>
      <c r="S756" s="1" t="str">
        <v/>
      </c>
    </row>
    <row r="757" spans="1:19" x14ac:dyDescent="0.25">
      <c r="A757" s="370" t="str">
        <v/>
      </c>
      <c r="H757" s="394" t="str">
        <f t="shared" si="49"/>
        <v/>
      </c>
      <c r="I757" s="394" t="str">
        <f t="shared" si="50"/>
        <v/>
      </c>
      <c r="J757" s="394" t="str">
        <f t="shared" si="51"/>
        <v/>
      </c>
      <c r="K757" s="394" t="str">
        <f t="shared" si="52"/>
        <v/>
      </c>
      <c r="O757" s="370" t="str">
        <v/>
      </c>
      <c r="S757" s="1" t="str">
        <v/>
      </c>
    </row>
    <row r="758" spans="1:19" x14ac:dyDescent="0.25">
      <c r="A758" s="370" t="str">
        <v/>
      </c>
      <c r="H758" s="394" t="str">
        <f t="shared" si="49"/>
        <v/>
      </c>
      <c r="I758" s="394" t="str">
        <f t="shared" si="50"/>
        <v/>
      </c>
      <c r="J758" s="394" t="str">
        <f t="shared" si="51"/>
        <v/>
      </c>
      <c r="K758" s="394" t="str">
        <f t="shared" si="52"/>
        <v/>
      </c>
      <c r="O758" s="370" t="str">
        <v/>
      </c>
      <c r="S758" s="1" t="str">
        <v/>
      </c>
    </row>
    <row r="759" spans="1:19" x14ac:dyDescent="0.25">
      <c r="A759" s="370" t="str">
        <v/>
      </c>
      <c r="H759" s="394" t="str">
        <f t="shared" si="49"/>
        <v/>
      </c>
      <c r="I759" s="394" t="str">
        <f t="shared" si="50"/>
        <v/>
      </c>
      <c r="J759" s="394" t="str">
        <f t="shared" si="51"/>
        <v/>
      </c>
      <c r="K759" s="394" t="str">
        <f t="shared" si="52"/>
        <v/>
      </c>
      <c r="O759" s="370" t="str">
        <v/>
      </c>
      <c r="S759" s="1" t="str">
        <v/>
      </c>
    </row>
    <row r="760" spans="1:19" x14ac:dyDescent="0.25">
      <c r="A760" s="370" t="str">
        <v/>
      </c>
      <c r="H760" s="394" t="str">
        <f t="shared" si="49"/>
        <v/>
      </c>
      <c r="I760" s="394" t="str">
        <f t="shared" si="50"/>
        <v/>
      </c>
      <c r="J760" s="394" t="str">
        <f t="shared" si="51"/>
        <v/>
      </c>
      <c r="K760" s="394" t="str">
        <f t="shared" si="52"/>
        <v/>
      </c>
      <c r="O760" s="370" t="str">
        <v/>
      </c>
      <c r="S760" s="1" t="str">
        <v/>
      </c>
    </row>
    <row r="761" spans="1:19" x14ac:dyDescent="0.25">
      <c r="A761" s="370" t="str">
        <v/>
      </c>
      <c r="H761" s="394" t="str">
        <f t="shared" si="49"/>
        <v/>
      </c>
      <c r="I761" s="394" t="str">
        <f t="shared" si="50"/>
        <v/>
      </c>
      <c r="J761" s="394" t="str">
        <f t="shared" si="51"/>
        <v/>
      </c>
      <c r="K761" s="394" t="str">
        <f t="shared" si="52"/>
        <v/>
      </c>
      <c r="O761" s="370" t="str">
        <v/>
      </c>
      <c r="S761" s="1" t="str">
        <v/>
      </c>
    </row>
    <row r="762" spans="1:19" x14ac:dyDescent="0.25">
      <c r="A762" s="370" t="str">
        <v/>
      </c>
      <c r="H762" s="394" t="str">
        <f t="shared" si="49"/>
        <v/>
      </c>
      <c r="I762" s="394" t="str">
        <f t="shared" si="50"/>
        <v/>
      </c>
      <c r="J762" s="394" t="str">
        <f t="shared" si="51"/>
        <v/>
      </c>
      <c r="K762" s="394" t="str">
        <f t="shared" si="52"/>
        <v/>
      </c>
      <c r="O762" s="370" t="str">
        <v/>
      </c>
      <c r="S762" s="1" t="str">
        <v/>
      </c>
    </row>
    <row r="763" spans="1:19" x14ac:dyDescent="0.25">
      <c r="A763" s="370" t="str">
        <v/>
      </c>
      <c r="H763" s="394" t="str">
        <f t="shared" si="49"/>
        <v/>
      </c>
      <c r="I763" s="394" t="str">
        <f t="shared" si="50"/>
        <v/>
      </c>
      <c r="J763" s="394" t="str">
        <f t="shared" si="51"/>
        <v/>
      </c>
      <c r="K763" s="394" t="str">
        <f t="shared" si="52"/>
        <v/>
      </c>
      <c r="O763" s="370" t="str">
        <v/>
      </c>
      <c r="S763" s="1" t="str">
        <v/>
      </c>
    </row>
    <row r="764" spans="1:19" x14ac:dyDescent="0.25">
      <c r="A764" s="370" t="str">
        <v/>
      </c>
      <c r="H764" s="394" t="str">
        <f t="shared" si="49"/>
        <v/>
      </c>
      <c r="I764" s="394" t="str">
        <f t="shared" si="50"/>
        <v/>
      </c>
      <c r="J764" s="394" t="str">
        <f t="shared" si="51"/>
        <v/>
      </c>
      <c r="K764" s="394" t="str">
        <f t="shared" si="52"/>
        <v/>
      </c>
      <c r="O764" s="370" t="str">
        <v/>
      </c>
      <c r="S764" s="1" t="str">
        <v/>
      </c>
    </row>
    <row r="765" spans="1:19" x14ac:dyDescent="0.25">
      <c r="A765" s="370" t="str">
        <v/>
      </c>
      <c r="H765" s="394" t="str">
        <f t="shared" si="49"/>
        <v/>
      </c>
      <c r="I765" s="394" t="str">
        <f t="shared" si="50"/>
        <v/>
      </c>
      <c r="J765" s="394" t="str">
        <f t="shared" si="51"/>
        <v/>
      </c>
      <c r="K765" s="394" t="str">
        <f t="shared" si="52"/>
        <v/>
      </c>
      <c r="O765" s="370" t="str">
        <v/>
      </c>
      <c r="S765" s="1" t="str">
        <v/>
      </c>
    </row>
    <row r="766" spans="1:19" x14ac:dyDescent="0.25">
      <c r="A766" s="370" t="str">
        <v/>
      </c>
      <c r="H766" s="394" t="str">
        <f t="shared" si="49"/>
        <v/>
      </c>
      <c r="I766" s="394" t="str">
        <f t="shared" si="50"/>
        <v/>
      </c>
      <c r="J766" s="394" t="str">
        <f t="shared" si="51"/>
        <v/>
      </c>
      <c r="K766" s="394" t="str">
        <f t="shared" si="52"/>
        <v/>
      </c>
      <c r="O766" s="370" t="str">
        <v/>
      </c>
      <c r="S766" s="1" t="str">
        <v/>
      </c>
    </row>
    <row r="767" spans="1:19" x14ac:dyDescent="0.25">
      <c r="A767" s="370" t="str">
        <v/>
      </c>
      <c r="H767" s="394" t="str">
        <f t="shared" si="49"/>
        <v/>
      </c>
      <c r="I767" s="394" t="str">
        <f t="shared" si="50"/>
        <v/>
      </c>
      <c r="J767" s="394" t="str">
        <f t="shared" si="51"/>
        <v/>
      </c>
      <c r="K767" s="394" t="str">
        <f t="shared" si="52"/>
        <v/>
      </c>
      <c r="O767" s="370" t="str">
        <v/>
      </c>
      <c r="S767" s="1" t="str">
        <v/>
      </c>
    </row>
    <row r="768" spans="1:19" x14ac:dyDescent="0.25">
      <c r="A768" s="370" t="str">
        <v/>
      </c>
      <c r="H768" s="394" t="str">
        <f t="shared" si="49"/>
        <v/>
      </c>
      <c r="I768" s="394" t="str">
        <f t="shared" si="50"/>
        <v/>
      </c>
      <c r="J768" s="394" t="str">
        <f t="shared" si="51"/>
        <v/>
      </c>
      <c r="K768" s="394" t="str">
        <f t="shared" si="52"/>
        <v/>
      </c>
      <c r="O768" s="370" t="str">
        <v/>
      </c>
      <c r="S768" s="1" t="str">
        <v/>
      </c>
    </row>
    <row r="769" spans="1:19" x14ac:dyDescent="0.25">
      <c r="A769" s="370" t="str">
        <v/>
      </c>
      <c r="H769" s="394" t="str">
        <f t="shared" si="49"/>
        <v/>
      </c>
      <c r="I769" s="394" t="str">
        <f t="shared" si="50"/>
        <v/>
      </c>
      <c r="J769" s="394" t="str">
        <f t="shared" si="51"/>
        <v/>
      </c>
      <c r="K769" s="394" t="str">
        <f t="shared" si="52"/>
        <v/>
      </c>
      <c r="O769" s="370" t="str">
        <v/>
      </c>
      <c r="S769" s="1" t="str">
        <v/>
      </c>
    </row>
    <row r="770" spans="1:19" x14ac:dyDescent="0.25">
      <c r="A770" s="370" t="str">
        <v/>
      </c>
      <c r="H770" s="394" t="str">
        <f t="shared" si="49"/>
        <v/>
      </c>
      <c r="I770" s="394" t="str">
        <f t="shared" si="50"/>
        <v/>
      </c>
      <c r="J770" s="394" t="str">
        <f t="shared" si="51"/>
        <v/>
      </c>
      <c r="K770" s="394" t="str">
        <f t="shared" si="52"/>
        <v/>
      </c>
      <c r="O770" s="370" t="str">
        <v/>
      </c>
      <c r="S770" s="1" t="str">
        <v/>
      </c>
    </row>
    <row r="771" spans="1:19" x14ac:dyDescent="0.25">
      <c r="A771" s="370" t="str">
        <v/>
      </c>
      <c r="H771" s="394" t="str">
        <f t="shared" si="49"/>
        <v/>
      </c>
      <c r="I771" s="394" t="str">
        <f t="shared" si="50"/>
        <v/>
      </c>
      <c r="J771" s="394" t="str">
        <f t="shared" si="51"/>
        <v/>
      </c>
      <c r="K771" s="394" t="str">
        <f t="shared" si="52"/>
        <v/>
      </c>
      <c r="O771" s="370" t="str">
        <v/>
      </c>
      <c r="S771" s="1" t="str">
        <v/>
      </c>
    </row>
    <row r="772" spans="1:19" x14ac:dyDescent="0.25">
      <c r="A772" s="370" t="str">
        <v/>
      </c>
      <c r="H772" s="394" t="str">
        <f t="shared" si="49"/>
        <v/>
      </c>
      <c r="I772" s="394" t="str">
        <f t="shared" si="50"/>
        <v/>
      </c>
      <c r="J772" s="394" t="str">
        <f t="shared" si="51"/>
        <v/>
      </c>
      <c r="K772" s="394" t="str">
        <f t="shared" si="52"/>
        <v/>
      </c>
      <c r="O772" s="370" t="str">
        <v/>
      </c>
      <c r="S772" s="1" t="str">
        <v/>
      </c>
    </row>
    <row r="773" spans="1:19" x14ac:dyDescent="0.25">
      <c r="A773" s="370" t="str">
        <v/>
      </c>
      <c r="H773" s="394" t="str">
        <f t="shared" si="49"/>
        <v/>
      </c>
      <c r="I773" s="394" t="str">
        <f t="shared" si="50"/>
        <v/>
      </c>
      <c r="J773" s="394" t="str">
        <f t="shared" si="51"/>
        <v/>
      </c>
      <c r="K773" s="394" t="str">
        <f t="shared" si="52"/>
        <v/>
      </c>
      <c r="O773" s="370" t="str">
        <v/>
      </c>
      <c r="S773" s="1" t="str">
        <v/>
      </c>
    </row>
    <row r="774" spans="1:19" x14ac:dyDescent="0.25">
      <c r="A774" s="370" t="str">
        <v/>
      </c>
      <c r="H774" s="394" t="str">
        <f t="shared" si="49"/>
        <v/>
      </c>
      <c r="I774" s="394" t="str">
        <f t="shared" si="50"/>
        <v/>
      </c>
      <c r="J774" s="394" t="str">
        <f t="shared" si="51"/>
        <v/>
      </c>
      <c r="K774" s="394" t="str">
        <f t="shared" si="52"/>
        <v/>
      </c>
      <c r="O774" s="370" t="str">
        <v/>
      </c>
      <c r="S774" s="1" t="str">
        <v/>
      </c>
    </row>
    <row r="775" spans="1:19" x14ac:dyDescent="0.25">
      <c r="A775" s="370" t="str">
        <v/>
      </c>
      <c r="H775" s="394" t="str">
        <f t="shared" si="49"/>
        <v/>
      </c>
      <c r="I775" s="394" t="str">
        <f t="shared" si="50"/>
        <v/>
      </c>
      <c r="J775" s="394" t="str">
        <f t="shared" si="51"/>
        <v/>
      </c>
      <c r="K775" s="394" t="str">
        <f t="shared" si="52"/>
        <v/>
      </c>
      <c r="O775" s="370" t="str">
        <v/>
      </c>
      <c r="S775" s="1" t="str">
        <v/>
      </c>
    </row>
    <row r="776" spans="1:19" x14ac:dyDescent="0.25">
      <c r="A776" s="370" t="str">
        <v/>
      </c>
      <c r="H776" s="394" t="str">
        <f t="shared" si="49"/>
        <v/>
      </c>
      <c r="I776" s="394" t="str">
        <f t="shared" si="50"/>
        <v/>
      </c>
      <c r="J776" s="394" t="str">
        <f t="shared" si="51"/>
        <v/>
      </c>
      <c r="K776" s="394" t="str">
        <f t="shared" si="52"/>
        <v/>
      </c>
      <c r="O776" s="370" t="str">
        <v/>
      </c>
      <c r="S776" s="1" t="str">
        <v/>
      </c>
    </row>
    <row r="777" spans="1:19" x14ac:dyDescent="0.25">
      <c r="A777" s="370" t="str">
        <v/>
      </c>
      <c r="H777" s="394" t="str">
        <f t="shared" si="49"/>
        <v/>
      </c>
      <c r="I777" s="394" t="str">
        <f t="shared" si="50"/>
        <v/>
      </c>
      <c r="J777" s="394" t="str">
        <f t="shared" si="51"/>
        <v/>
      </c>
      <c r="K777" s="394" t="str">
        <f t="shared" si="52"/>
        <v/>
      </c>
      <c r="O777" s="370" t="str">
        <v/>
      </c>
      <c r="S777" s="1" t="str">
        <v/>
      </c>
    </row>
    <row r="778" spans="1:19" x14ac:dyDescent="0.25">
      <c r="A778" s="370" t="str">
        <v/>
      </c>
      <c r="H778" s="394" t="str">
        <f t="shared" si="49"/>
        <v/>
      </c>
      <c r="I778" s="394" t="str">
        <f t="shared" si="50"/>
        <v/>
      </c>
      <c r="J778" s="394" t="str">
        <f t="shared" si="51"/>
        <v/>
      </c>
      <c r="K778" s="394" t="str">
        <f t="shared" si="52"/>
        <v/>
      </c>
      <c r="O778" s="370" t="str">
        <v/>
      </c>
      <c r="S778" s="1" t="str">
        <v/>
      </c>
    </row>
    <row r="779" spans="1:19" x14ac:dyDescent="0.25">
      <c r="A779" s="370" t="str">
        <v/>
      </c>
      <c r="H779" s="394" t="str">
        <f t="shared" si="49"/>
        <v/>
      </c>
      <c r="I779" s="394" t="str">
        <f t="shared" si="50"/>
        <v/>
      </c>
      <c r="J779" s="394" t="str">
        <f t="shared" si="51"/>
        <v/>
      </c>
      <c r="K779" s="394" t="str">
        <f t="shared" si="52"/>
        <v/>
      </c>
      <c r="O779" s="370" t="str">
        <v/>
      </c>
      <c r="S779" s="1" t="str">
        <v/>
      </c>
    </row>
    <row r="780" spans="1:19" x14ac:dyDescent="0.25">
      <c r="A780" s="370" t="str">
        <v/>
      </c>
      <c r="H780" s="394" t="str">
        <f t="shared" si="49"/>
        <v/>
      </c>
      <c r="I780" s="394" t="str">
        <f t="shared" si="50"/>
        <v/>
      </c>
      <c r="J780" s="394" t="str">
        <f t="shared" si="51"/>
        <v/>
      </c>
      <c r="K780" s="394" t="str">
        <f t="shared" si="52"/>
        <v/>
      </c>
      <c r="O780" s="370" t="str">
        <v/>
      </c>
      <c r="S780" s="1" t="str">
        <v/>
      </c>
    </row>
    <row r="781" spans="1:19" x14ac:dyDescent="0.25">
      <c r="A781" s="370" t="str">
        <v/>
      </c>
      <c r="H781" s="394" t="str">
        <f t="shared" si="49"/>
        <v/>
      </c>
      <c r="I781" s="394" t="str">
        <f t="shared" si="50"/>
        <v/>
      </c>
      <c r="J781" s="394" t="str">
        <f t="shared" si="51"/>
        <v/>
      </c>
      <c r="K781" s="394" t="str">
        <f t="shared" si="52"/>
        <v/>
      </c>
      <c r="O781" s="370" t="str">
        <v/>
      </c>
      <c r="S781" s="1" t="str">
        <v/>
      </c>
    </row>
    <row r="782" spans="1:19" x14ac:dyDescent="0.25">
      <c r="A782" s="370" t="str">
        <v/>
      </c>
      <c r="H782" s="394" t="str">
        <f t="shared" si="49"/>
        <v/>
      </c>
      <c r="I782" s="394" t="str">
        <f t="shared" si="50"/>
        <v/>
      </c>
      <c r="J782" s="394" t="str">
        <f t="shared" si="51"/>
        <v/>
      </c>
      <c r="K782" s="394" t="str">
        <f t="shared" si="52"/>
        <v/>
      </c>
      <c r="O782" s="370" t="str">
        <v/>
      </c>
      <c r="S782" s="1" t="str">
        <v/>
      </c>
    </row>
    <row r="783" spans="1:19" x14ac:dyDescent="0.25">
      <c r="A783" s="370" t="str">
        <v/>
      </c>
      <c r="H783" s="394" t="str">
        <f t="shared" si="49"/>
        <v/>
      </c>
      <c r="I783" s="394" t="str">
        <f t="shared" si="50"/>
        <v/>
      </c>
      <c r="J783" s="394" t="str">
        <f t="shared" si="51"/>
        <v/>
      </c>
      <c r="K783" s="394" t="str">
        <f t="shared" si="52"/>
        <v/>
      </c>
      <c r="O783" s="370" t="str">
        <v/>
      </c>
      <c r="S783" s="1" t="str">
        <v/>
      </c>
    </row>
    <row r="784" spans="1:19" x14ac:dyDescent="0.25">
      <c r="A784" s="370" t="str">
        <v/>
      </c>
      <c r="H784" s="394" t="str">
        <f t="shared" si="49"/>
        <v/>
      </c>
      <c r="I784" s="394" t="str">
        <f t="shared" si="50"/>
        <v/>
      </c>
      <c r="J784" s="394" t="str">
        <f t="shared" si="51"/>
        <v/>
      </c>
      <c r="K784" s="394" t="str">
        <f t="shared" si="52"/>
        <v/>
      </c>
      <c r="O784" s="370" t="str">
        <v/>
      </c>
      <c r="S784" s="1" t="str">
        <v/>
      </c>
    </row>
    <row r="785" spans="1:19" x14ac:dyDescent="0.25">
      <c r="A785" s="370" t="str">
        <v/>
      </c>
      <c r="H785" s="394" t="str">
        <f t="shared" si="49"/>
        <v/>
      </c>
      <c r="I785" s="394" t="str">
        <f t="shared" si="50"/>
        <v/>
      </c>
      <c r="J785" s="394" t="str">
        <f t="shared" si="51"/>
        <v/>
      </c>
      <c r="K785" s="394" t="str">
        <f t="shared" si="52"/>
        <v/>
      </c>
      <c r="O785" s="370" t="str">
        <v/>
      </c>
      <c r="S785" s="1" t="str">
        <v/>
      </c>
    </row>
    <row r="786" spans="1:19" x14ac:dyDescent="0.25">
      <c r="A786" s="370" t="str">
        <v/>
      </c>
      <c r="H786" s="394" t="str">
        <f t="shared" si="49"/>
        <v/>
      </c>
      <c r="I786" s="394" t="str">
        <f t="shared" si="50"/>
        <v/>
      </c>
      <c r="J786" s="394" t="str">
        <f t="shared" si="51"/>
        <v/>
      </c>
      <c r="K786" s="394" t="str">
        <f t="shared" si="52"/>
        <v/>
      </c>
      <c r="O786" s="370" t="str">
        <v/>
      </c>
      <c r="S786" s="1" t="str">
        <v/>
      </c>
    </row>
    <row r="787" spans="1:19" x14ac:dyDescent="0.25">
      <c r="A787" s="370" t="str">
        <v/>
      </c>
      <c r="H787" s="394" t="str">
        <f t="shared" si="49"/>
        <v/>
      </c>
      <c r="I787" s="394" t="str">
        <f t="shared" si="50"/>
        <v/>
      </c>
      <c r="J787" s="394" t="str">
        <f t="shared" si="51"/>
        <v/>
      </c>
      <c r="K787" s="394" t="str">
        <f t="shared" si="52"/>
        <v/>
      </c>
      <c r="O787" s="370" t="str">
        <v/>
      </c>
      <c r="S787" s="1" t="str">
        <v/>
      </c>
    </row>
    <row r="788" spans="1:19" x14ac:dyDescent="0.25">
      <c r="A788" s="370" t="str">
        <v/>
      </c>
      <c r="H788" s="394" t="str">
        <f t="shared" si="49"/>
        <v/>
      </c>
      <c r="I788" s="394" t="str">
        <f t="shared" si="50"/>
        <v/>
      </c>
      <c r="J788" s="394" t="str">
        <f t="shared" si="51"/>
        <v/>
      </c>
      <c r="K788" s="394" t="str">
        <f t="shared" si="52"/>
        <v/>
      </c>
      <c r="O788" s="370" t="str">
        <v/>
      </c>
      <c r="S788" s="1" t="str">
        <v/>
      </c>
    </row>
    <row r="789" spans="1:19" x14ac:dyDescent="0.25">
      <c r="A789" s="370" t="str">
        <v/>
      </c>
      <c r="H789" s="394" t="str">
        <f t="shared" si="49"/>
        <v/>
      </c>
      <c r="I789" s="394" t="str">
        <f t="shared" si="50"/>
        <v/>
      </c>
      <c r="J789" s="394" t="str">
        <f t="shared" si="51"/>
        <v/>
      </c>
      <c r="K789" s="394" t="str">
        <f t="shared" si="52"/>
        <v/>
      </c>
      <c r="O789" s="370" t="str">
        <v/>
      </c>
      <c r="S789" s="1" t="str">
        <v/>
      </c>
    </row>
    <row r="790" spans="1:19" x14ac:dyDescent="0.25">
      <c r="A790" s="370" t="str">
        <v/>
      </c>
      <c r="H790" s="394" t="str">
        <f t="shared" si="49"/>
        <v/>
      </c>
      <c r="I790" s="394" t="str">
        <f t="shared" si="50"/>
        <v/>
      </c>
      <c r="J790" s="394" t="str">
        <f t="shared" si="51"/>
        <v/>
      </c>
      <c r="K790" s="394" t="str">
        <f t="shared" si="52"/>
        <v/>
      </c>
      <c r="O790" s="370" t="str">
        <v/>
      </c>
      <c r="S790" s="1" t="str">
        <v/>
      </c>
    </row>
    <row r="791" spans="1:19" x14ac:dyDescent="0.25">
      <c r="A791" s="370" t="str">
        <v/>
      </c>
      <c r="H791" s="394" t="str">
        <f t="shared" ref="H791:H854" si="53">IF($C791="","",ROUND((($B$2*$F791*($B$5/1000))/$B$6)*(1+IF($B$18="",0,$B$18)),2))</f>
        <v/>
      </c>
      <c r="I791" s="394" t="str">
        <f t="shared" ref="I791:I854" si="54">IF($C791="","",ROUND((($B$3*$F791*($B$5/1000))/$B$6)*(1+IF($B$18="",0,$B$18)),2))</f>
        <v/>
      </c>
      <c r="J791" s="394" t="str">
        <f t="shared" ref="J791:J854" si="55">IF(OR($C791="",$B$9="",$B$15=""),"",ROUND((((((IF($B$15="N/A",$B$2,$B$4))*$F791*($B$5/1000))+((($G791/1000)*($B$5/1000)*10.7639104)*(IF($B$9="Smooth",$B$10,IF($B$9="Sand",$B$11,0)))))*(1+$B$17))/$B$8)*(1+IF($B$18="",0,$B$18)),2))</f>
        <v/>
      </c>
      <c r="K791" s="394" t="str">
        <f t="shared" ref="K791:K854" si="56">IF(OR($C791="",$B$12="",$B$15=""),"",ROUND((((((IF($B$15="N/A",$B$2,$B$4))*$F791*($B$5/1000))+((($G791/1000)*($B$5/1000)*10.7639104)*(IF($B$12="Indoor",$B$13,IF($B$12="Outdoor",$B$14,0)))))*(1+$B$17))/$B$8)*(1+IF($B$18="",0,$B$18)),2))</f>
        <v/>
      </c>
      <c r="O791" s="370" t="str">
        <v/>
      </c>
      <c r="S791" s="1" t="str">
        <v/>
      </c>
    </row>
    <row r="792" spans="1:19" x14ac:dyDescent="0.25">
      <c r="A792" s="370" t="str">
        <v/>
      </c>
      <c r="H792" s="394" t="str">
        <f t="shared" si="53"/>
        <v/>
      </c>
      <c r="I792" s="394" t="str">
        <f t="shared" si="54"/>
        <v/>
      </c>
      <c r="J792" s="394" t="str">
        <f t="shared" si="55"/>
        <v/>
      </c>
      <c r="K792" s="394" t="str">
        <f t="shared" si="56"/>
        <v/>
      </c>
      <c r="O792" s="370" t="str">
        <v/>
      </c>
      <c r="S792" s="1" t="str">
        <v/>
      </c>
    </row>
    <row r="793" spans="1:19" x14ac:dyDescent="0.25">
      <c r="A793" s="370" t="str">
        <v/>
      </c>
      <c r="H793" s="394" t="str">
        <f t="shared" si="53"/>
        <v/>
      </c>
      <c r="I793" s="394" t="str">
        <f t="shared" si="54"/>
        <v/>
      </c>
      <c r="J793" s="394" t="str">
        <f t="shared" si="55"/>
        <v/>
      </c>
      <c r="K793" s="394" t="str">
        <f t="shared" si="56"/>
        <v/>
      </c>
      <c r="O793" s="370" t="str">
        <v/>
      </c>
      <c r="S793" s="1" t="str">
        <v/>
      </c>
    </row>
    <row r="794" spans="1:19" x14ac:dyDescent="0.25">
      <c r="A794" s="370" t="str">
        <v/>
      </c>
      <c r="H794" s="394" t="str">
        <f t="shared" si="53"/>
        <v/>
      </c>
      <c r="I794" s="394" t="str">
        <f t="shared" si="54"/>
        <v/>
      </c>
      <c r="J794" s="394" t="str">
        <f t="shared" si="55"/>
        <v/>
      </c>
      <c r="K794" s="394" t="str">
        <f t="shared" si="56"/>
        <v/>
      </c>
      <c r="O794" s="370" t="str">
        <v/>
      </c>
      <c r="S794" s="1" t="str">
        <v/>
      </c>
    </row>
    <row r="795" spans="1:19" x14ac:dyDescent="0.25">
      <c r="A795" s="370" t="str">
        <v/>
      </c>
      <c r="H795" s="394" t="str">
        <f t="shared" si="53"/>
        <v/>
      </c>
      <c r="I795" s="394" t="str">
        <f t="shared" si="54"/>
        <v/>
      </c>
      <c r="J795" s="394" t="str">
        <f t="shared" si="55"/>
        <v/>
      </c>
      <c r="K795" s="394" t="str">
        <f t="shared" si="56"/>
        <v/>
      </c>
      <c r="O795" s="370" t="str">
        <v/>
      </c>
      <c r="S795" s="1" t="str">
        <v/>
      </c>
    </row>
    <row r="796" spans="1:19" x14ac:dyDescent="0.25">
      <c r="A796" s="370" t="str">
        <v/>
      </c>
      <c r="H796" s="394" t="str">
        <f t="shared" si="53"/>
        <v/>
      </c>
      <c r="I796" s="394" t="str">
        <f t="shared" si="54"/>
        <v/>
      </c>
      <c r="J796" s="394" t="str">
        <f t="shared" si="55"/>
        <v/>
      </c>
      <c r="K796" s="394" t="str">
        <f t="shared" si="56"/>
        <v/>
      </c>
      <c r="O796" s="370" t="str">
        <v/>
      </c>
      <c r="S796" s="1" t="str">
        <v/>
      </c>
    </row>
    <row r="797" spans="1:19" x14ac:dyDescent="0.25">
      <c r="A797" s="370" t="str">
        <v/>
      </c>
      <c r="H797" s="394" t="str">
        <f t="shared" si="53"/>
        <v/>
      </c>
      <c r="I797" s="394" t="str">
        <f t="shared" si="54"/>
        <v/>
      </c>
      <c r="J797" s="394" t="str">
        <f t="shared" si="55"/>
        <v/>
      </c>
      <c r="K797" s="394" t="str">
        <f t="shared" si="56"/>
        <v/>
      </c>
      <c r="O797" s="370" t="str">
        <v/>
      </c>
      <c r="S797" s="1" t="str">
        <v/>
      </c>
    </row>
    <row r="798" spans="1:19" x14ac:dyDescent="0.25">
      <c r="A798" s="370" t="str">
        <v/>
      </c>
      <c r="H798" s="394" t="str">
        <f t="shared" si="53"/>
        <v/>
      </c>
      <c r="I798" s="394" t="str">
        <f t="shared" si="54"/>
        <v/>
      </c>
      <c r="J798" s="394" t="str">
        <f t="shared" si="55"/>
        <v/>
      </c>
      <c r="K798" s="394" t="str">
        <f t="shared" si="56"/>
        <v/>
      </c>
      <c r="O798" s="370" t="str">
        <v/>
      </c>
      <c r="S798" s="1" t="str">
        <v/>
      </c>
    </row>
    <row r="799" spans="1:19" x14ac:dyDescent="0.25">
      <c r="A799" s="370" t="str">
        <v/>
      </c>
      <c r="H799" s="394" t="str">
        <f t="shared" si="53"/>
        <v/>
      </c>
      <c r="I799" s="394" t="str">
        <f t="shared" si="54"/>
        <v/>
      </c>
      <c r="J799" s="394" t="str">
        <f t="shared" si="55"/>
        <v/>
      </c>
      <c r="K799" s="394" t="str">
        <f t="shared" si="56"/>
        <v/>
      </c>
      <c r="O799" s="370" t="str">
        <v/>
      </c>
      <c r="S799" s="1" t="str">
        <v/>
      </c>
    </row>
    <row r="800" spans="1:19" x14ac:dyDescent="0.25">
      <c r="A800" s="370" t="str">
        <v/>
      </c>
      <c r="H800" s="394" t="str">
        <f t="shared" si="53"/>
        <v/>
      </c>
      <c r="I800" s="394" t="str">
        <f t="shared" si="54"/>
        <v/>
      </c>
      <c r="J800" s="394" t="str">
        <f t="shared" si="55"/>
        <v/>
      </c>
      <c r="K800" s="394" t="str">
        <f t="shared" si="56"/>
        <v/>
      </c>
      <c r="O800" s="370" t="str">
        <v/>
      </c>
      <c r="S800" s="1" t="str">
        <v/>
      </c>
    </row>
    <row r="801" spans="1:19" x14ac:dyDescent="0.25">
      <c r="A801" s="370" t="str">
        <v/>
      </c>
      <c r="H801" s="394" t="str">
        <f t="shared" si="53"/>
        <v/>
      </c>
      <c r="I801" s="394" t="str">
        <f t="shared" si="54"/>
        <v/>
      </c>
      <c r="J801" s="394" t="str">
        <f t="shared" si="55"/>
        <v/>
      </c>
      <c r="K801" s="394" t="str">
        <f t="shared" si="56"/>
        <v/>
      </c>
      <c r="O801" s="370" t="str">
        <v/>
      </c>
      <c r="S801" s="1" t="str">
        <v/>
      </c>
    </row>
    <row r="802" spans="1:19" x14ac:dyDescent="0.25">
      <c r="A802" s="370" t="str">
        <v/>
      </c>
      <c r="H802" s="394" t="str">
        <f t="shared" si="53"/>
        <v/>
      </c>
      <c r="I802" s="394" t="str">
        <f t="shared" si="54"/>
        <v/>
      </c>
      <c r="J802" s="394" t="str">
        <f t="shared" si="55"/>
        <v/>
      </c>
      <c r="K802" s="394" t="str">
        <f t="shared" si="56"/>
        <v/>
      </c>
      <c r="O802" s="370" t="str">
        <v/>
      </c>
      <c r="S802" s="1" t="str">
        <v/>
      </c>
    </row>
    <row r="803" spans="1:19" x14ac:dyDescent="0.25">
      <c r="A803" s="370" t="str">
        <v/>
      </c>
      <c r="H803" s="394" t="str">
        <f t="shared" si="53"/>
        <v/>
      </c>
      <c r="I803" s="394" t="str">
        <f t="shared" si="54"/>
        <v/>
      </c>
      <c r="J803" s="394" t="str">
        <f t="shared" si="55"/>
        <v/>
      </c>
      <c r="K803" s="394" t="str">
        <f t="shared" si="56"/>
        <v/>
      </c>
      <c r="O803" s="370" t="str">
        <v/>
      </c>
      <c r="S803" s="1" t="str">
        <v/>
      </c>
    </row>
    <row r="804" spans="1:19" x14ac:dyDescent="0.25">
      <c r="A804" s="370" t="str">
        <v/>
      </c>
      <c r="H804" s="394" t="str">
        <f t="shared" si="53"/>
        <v/>
      </c>
      <c r="I804" s="394" t="str">
        <f t="shared" si="54"/>
        <v/>
      </c>
      <c r="J804" s="394" t="str">
        <f t="shared" si="55"/>
        <v/>
      </c>
      <c r="K804" s="394" t="str">
        <f t="shared" si="56"/>
        <v/>
      </c>
      <c r="O804" s="370" t="str">
        <v/>
      </c>
      <c r="S804" s="1" t="str">
        <v/>
      </c>
    </row>
    <row r="805" spans="1:19" x14ac:dyDescent="0.25">
      <c r="A805" s="370" t="str">
        <v/>
      </c>
      <c r="H805" s="394" t="str">
        <f t="shared" si="53"/>
        <v/>
      </c>
      <c r="I805" s="394" t="str">
        <f t="shared" si="54"/>
        <v/>
      </c>
      <c r="J805" s="394" t="str">
        <f t="shared" si="55"/>
        <v/>
      </c>
      <c r="K805" s="394" t="str">
        <f t="shared" si="56"/>
        <v/>
      </c>
      <c r="O805" s="370" t="str">
        <v/>
      </c>
      <c r="S805" s="1" t="str">
        <v/>
      </c>
    </row>
    <row r="806" spans="1:19" x14ac:dyDescent="0.25">
      <c r="A806" s="370" t="str">
        <v/>
      </c>
      <c r="H806" s="394" t="str">
        <f t="shared" si="53"/>
        <v/>
      </c>
      <c r="I806" s="394" t="str">
        <f t="shared" si="54"/>
        <v/>
      </c>
      <c r="J806" s="394" t="str">
        <f t="shared" si="55"/>
        <v/>
      </c>
      <c r="K806" s="394" t="str">
        <f t="shared" si="56"/>
        <v/>
      </c>
      <c r="O806" s="370" t="str">
        <v/>
      </c>
      <c r="S806" s="1" t="str">
        <v/>
      </c>
    </row>
    <row r="807" spans="1:19" x14ac:dyDescent="0.25">
      <c r="A807" s="370" t="str">
        <v/>
      </c>
      <c r="H807" s="394" t="str">
        <f t="shared" si="53"/>
        <v/>
      </c>
      <c r="I807" s="394" t="str">
        <f t="shared" si="54"/>
        <v/>
      </c>
      <c r="J807" s="394" t="str">
        <f t="shared" si="55"/>
        <v/>
      </c>
      <c r="K807" s="394" t="str">
        <f t="shared" si="56"/>
        <v/>
      </c>
      <c r="O807" s="370" t="str">
        <v/>
      </c>
      <c r="S807" s="1" t="str">
        <v/>
      </c>
    </row>
    <row r="808" spans="1:19" x14ac:dyDescent="0.25">
      <c r="A808" s="370" t="str">
        <v/>
      </c>
      <c r="H808" s="394" t="str">
        <f t="shared" si="53"/>
        <v/>
      </c>
      <c r="I808" s="394" t="str">
        <f t="shared" si="54"/>
        <v/>
      </c>
      <c r="J808" s="394" t="str">
        <f t="shared" si="55"/>
        <v/>
      </c>
      <c r="K808" s="394" t="str">
        <f t="shared" si="56"/>
        <v/>
      </c>
      <c r="O808" s="370" t="str">
        <v/>
      </c>
      <c r="S808" s="1" t="str">
        <v/>
      </c>
    </row>
    <row r="809" spans="1:19" x14ac:dyDescent="0.25">
      <c r="A809" s="370" t="str">
        <v/>
      </c>
      <c r="H809" s="394" t="str">
        <f t="shared" si="53"/>
        <v/>
      </c>
      <c r="I809" s="394" t="str">
        <f t="shared" si="54"/>
        <v/>
      </c>
      <c r="J809" s="394" t="str">
        <f t="shared" si="55"/>
        <v/>
      </c>
      <c r="K809" s="394" t="str">
        <f t="shared" si="56"/>
        <v/>
      </c>
      <c r="O809" s="370" t="str">
        <v/>
      </c>
      <c r="S809" s="1" t="str">
        <v/>
      </c>
    </row>
    <row r="810" spans="1:19" x14ac:dyDescent="0.25">
      <c r="A810" s="370" t="str">
        <v/>
      </c>
      <c r="H810" s="394" t="str">
        <f t="shared" si="53"/>
        <v/>
      </c>
      <c r="I810" s="394" t="str">
        <f t="shared" si="54"/>
        <v/>
      </c>
      <c r="J810" s="394" t="str">
        <f t="shared" si="55"/>
        <v/>
      </c>
      <c r="K810" s="394" t="str">
        <f t="shared" si="56"/>
        <v/>
      </c>
      <c r="O810" s="370" t="str">
        <v/>
      </c>
      <c r="S810" s="1" t="str">
        <v/>
      </c>
    </row>
    <row r="811" spans="1:19" x14ac:dyDescent="0.25">
      <c r="A811" s="370" t="str">
        <v/>
      </c>
      <c r="H811" s="394" t="str">
        <f t="shared" si="53"/>
        <v/>
      </c>
      <c r="I811" s="394" t="str">
        <f t="shared" si="54"/>
        <v/>
      </c>
      <c r="J811" s="394" t="str">
        <f t="shared" si="55"/>
        <v/>
      </c>
      <c r="K811" s="394" t="str">
        <f t="shared" si="56"/>
        <v/>
      </c>
      <c r="O811" s="370" t="str">
        <v/>
      </c>
      <c r="S811" s="1" t="str">
        <v/>
      </c>
    </row>
    <row r="812" spans="1:19" x14ac:dyDescent="0.25">
      <c r="A812" s="370" t="str">
        <v/>
      </c>
      <c r="H812" s="394" t="str">
        <f t="shared" si="53"/>
        <v/>
      </c>
      <c r="I812" s="394" t="str">
        <f t="shared" si="54"/>
        <v/>
      </c>
      <c r="J812" s="394" t="str">
        <f t="shared" si="55"/>
        <v/>
      </c>
      <c r="K812" s="394" t="str">
        <f t="shared" si="56"/>
        <v/>
      </c>
      <c r="O812" s="370" t="str">
        <v/>
      </c>
      <c r="S812" s="1" t="str">
        <v/>
      </c>
    </row>
    <row r="813" spans="1:19" x14ac:dyDescent="0.25">
      <c r="A813" s="370" t="str">
        <v/>
      </c>
      <c r="H813" s="394" t="str">
        <f t="shared" si="53"/>
        <v/>
      </c>
      <c r="I813" s="394" t="str">
        <f t="shared" si="54"/>
        <v/>
      </c>
      <c r="J813" s="394" t="str">
        <f t="shared" si="55"/>
        <v/>
      </c>
      <c r="K813" s="394" t="str">
        <f t="shared" si="56"/>
        <v/>
      </c>
      <c r="O813" s="370" t="str">
        <v/>
      </c>
      <c r="S813" s="1" t="str">
        <v/>
      </c>
    </row>
    <row r="814" spans="1:19" x14ac:dyDescent="0.25">
      <c r="A814" s="370" t="str">
        <v/>
      </c>
      <c r="H814" s="394" t="str">
        <f t="shared" si="53"/>
        <v/>
      </c>
      <c r="I814" s="394" t="str">
        <f t="shared" si="54"/>
        <v/>
      </c>
      <c r="J814" s="394" t="str">
        <f t="shared" si="55"/>
        <v/>
      </c>
      <c r="K814" s="394" t="str">
        <f t="shared" si="56"/>
        <v/>
      </c>
      <c r="O814" s="370" t="str">
        <v/>
      </c>
      <c r="S814" s="1" t="str">
        <v/>
      </c>
    </row>
    <row r="815" spans="1:19" x14ac:dyDescent="0.25">
      <c r="A815" s="370" t="str">
        <v/>
      </c>
      <c r="H815" s="394" t="str">
        <f t="shared" si="53"/>
        <v/>
      </c>
      <c r="I815" s="394" t="str">
        <f t="shared" si="54"/>
        <v/>
      </c>
      <c r="J815" s="394" t="str">
        <f t="shared" si="55"/>
        <v/>
      </c>
      <c r="K815" s="394" t="str">
        <f t="shared" si="56"/>
        <v/>
      </c>
      <c r="O815" s="370" t="str">
        <v/>
      </c>
      <c r="S815" s="1" t="str">
        <v/>
      </c>
    </row>
    <row r="816" spans="1:19" x14ac:dyDescent="0.25">
      <c r="A816" s="370" t="str">
        <v/>
      </c>
      <c r="H816" s="394" t="str">
        <f t="shared" si="53"/>
        <v/>
      </c>
      <c r="I816" s="394" t="str">
        <f t="shared" si="54"/>
        <v/>
      </c>
      <c r="J816" s="394" t="str">
        <f t="shared" si="55"/>
        <v/>
      </c>
      <c r="K816" s="394" t="str">
        <f t="shared" si="56"/>
        <v/>
      </c>
      <c r="O816" s="370" t="str">
        <v/>
      </c>
      <c r="S816" s="1" t="str">
        <v/>
      </c>
    </row>
    <row r="817" spans="1:19" x14ac:dyDescent="0.25">
      <c r="A817" s="370" t="str">
        <v/>
      </c>
      <c r="H817" s="394" t="str">
        <f t="shared" si="53"/>
        <v/>
      </c>
      <c r="I817" s="394" t="str">
        <f t="shared" si="54"/>
        <v/>
      </c>
      <c r="J817" s="394" t="str">
        <f t="shared" si="55"/>
        <v/>
      </c>
      <c r="K817" s="394" t="str">
        <f t="shared" si="56"/>
        <v/>
      </c>
      <c r="O817" s="370" t="str">
        <v/>
      </c>
      <c r="S817" s="1" t="str">
        <v/>
      </c>
    </row>
    <row r="818" spans="1:19" x14ac:dyDescent="0.25">
      <c r="A818" s="370" t="str">
        <v/>
      </c>
      <c r="H818" s="394" t="str">
        <f t="shared" si="53"/>
        <v/>
      </c>
      <c r="I818" s="394" t="str">
        <f t="shared" si="54"/>
        <v/>
      </c>
      <c r="J818" s="394" t="str">
        <f t="shared" si="55"/>
        <v/>
      </c>
      <c r="K818" s="394" t="str">
        <f t="shared" si="56"/>
        <v/>
      </c>
      <c r="O818" s="370" t="str">
        <v/>
      </c>
      <c r="S818" s="1" t="str">
        <v/>
      </c>
    </row>
    <row r="819" spans="1:19" x14ac:dyDescent="0.25">
      <c r="A819" s="370" t="str">
        <v/>
      </c>
      <c r="H819" s="394" t="str">
        <f t="shared" si="53"/>
        <v/>
      </c>
      <c r="I819" s="394" t="str">
        <f t="shared" si="54"/>
        <v/>
      </c>
      <c r="J819" s="394" t="str">
        <f t="shared" si="55"/>
        <v/>
      </c>
      <c r="K819" s="394" t="str">
        <f t="shared" si="56"/>
        <v/>
      </c>
      <c r="O819" s="370" t="str">
        <v/>
      </c>
      <c r="S819" s="1" t="str">
        <v/>
      </c>
    </row>
    <row r="820" spans="1:19" x14ac:dyDescent="0.25">
      <c r="A820" s="370" t="str">
        <v/>
      </c>
      <c r="H820" s="394" t="str">
        <f t="shared" si="53"/>
        <v/>
      </c>
      <c r="I820" s="394" t="str">
        <f t="shared" si="54"/>
        <v/>
      </c>
      <c r="J820" s="394" t="str">
        <f t="shared" si="55"/>
        <v/>
      </c>
      <c r="K820" s="394" t="str">
        <f t="shared" si="56"/>
        <v/>
      </c>
      <c r="O820" s="370" t="str">
        <v/>
      </c>
      <c r="S820" s="1" t="str">
        <v/>
      </c>
    </row>
    <row r="821" spans="1:19" x14ac:dyDescent="0.25">
      <c r="A821" s="370" t="str">
        <v/>
      </c>
      <c r="H821" s="394" t="str">
        <f t="shared" si="53"/>
        <v/>
      </c>
      <c r="I821" s="394" t="str">
        <f t="shared" si="54"/>
        <v/>
      </c>
      <c r="J821" s="394" t="str">
        <f t="shared" si="55"/>
        <v/>
      </c>
      <c r="K821" s="394" t="str">
        <f t="shared" si="56"/>
        <v/>
      </c>
      <c r="O821" s="370" t="str">
        <v/>
      </c>
      <c r="S821" s="1" t="str">
        <v/>
      </c>
    </row>
    <row r="822" spans="1:19" x14ac:dyDescent="0.25">
      <c r="A822" s="370" t="str">
        <v/>
      </c>
      <c r="H822" s="394" t="str">
        <f t="shared" si="53"/>
        <v/>
      </c>
      <c r="I822" s="394" t="str">
        <f t="shared" si="54"/>
        <v/>
      </c>
      <c r="J822" s="394" t="str">
        <f t="shared" si="55"/>
        <v/>
      </c>
      <c r="K822" s="394" t="str">
        <f t="shared" si="56"/>
        <v/>
      </c>
      <c r="O822" s="370" t="str">
        <v/>
      </c>
      <c r="S822" s="1" t="str">
        <v/>
      </c>
    </row>
    <row r="823" spans="1:19" x14ac:dyDescent="0.25">
      <c r="A823" s="370" t="str">
        <v/>
      </c>
      <c r="H823" s="394" t="str">
        <f t="shared" si="53"/>
        <v/>
      </c>
      <c r="I823" s="394" t="str">
        <f t="shared" si="54"/>
        <v/>
      </c>
      <c r="J823" s="394" t="str">
        <f t="shared" si="55"/>
        <v/>
      </c>
      <c r="K823" s="394" t="str">
        <f t="shared" si="56"/>
        <v/>
      </c>
      <c r="O823" s="370" t="str">
        <v/>
      </c>
      <c r="S823" s="1" t="str">
        <v/>
      </c>
    </row>
    <row r="824" spans="1:19" x14ac:dyDescent="0.25">
      <c r="A824" s="370" t="str">
        <v/>
      </c>
      <c r="H824" s="394" t="str">
        <f t="shared" si="53"/>
        <v/>
      </c>
      <c r="I824" s="394" t="str">
        <f t="shared" si="54"/>
        <v/>
      </c>
      <c r="J824" s="394" t="str">
        <f t="shared" si="55"/>
        <v/>
      </c>
      <c r="K824" s="394" t="str">
        <f t="shared" si="56"/>
        <v/>
      </c>
      <c r="O824" s="370" t="str">
        <v/>
      </c>
      <c r="S824" s="1" t="str">
        <v/>
      </c>
    </row>
    <row r="825" spans="1:19" x14ac:dyDescent="0.25">
      <c r="A825" s="370" t="str">
        <v/>
      </c>
      <c r="H825" s="394" t="str">
        <f t="shared" si="53"/>
        <v/>
      </c>
      <c r="I825" s="394" t="str">
        <f t="shared" si="54"/>
        <v/>
      </c>
      <c r="J825" s="394" t="str">
        <f t="shared" si="55"/>
        <v/>
      </c>
      <c r="K825" s="394" t="str">
        <f t="shared" si="56"/>
        <v/>
      </c>
      <c r="O825" s="370" t="str">
        <v/>
      </c>
      <c r="S825" s="1" t="str">
        <v/>
      </c>
    </row>
    <row r="826" spans="1:19" x14ac:dyDescent="0.25">
      <c r="A826" s="370" t="str">
        <v/>
      </c>
      <c r="H826" s="394" t="str">
        <f t="shared" si="53"/>
        <v/>
      </c>
      <c r="I826" s="394" t="str">
        <f t="shared" si="54"/>
        <v/>
      </c>
      <c r="J826" s="394" t="str">
        <f t="shared" si="55"/>
        <v/>
      </c>
      <c r="K826" s="394" t="str">
        <f t="shared" si="56"/>
        <v/>
      </c>
      <c r="O826" s="370" t="str">
        <v/>
      </c>
      <c r="S826" s="1" t="str">
        <v/>
      </c>
    </row>
    <row r="827" spans="1:19" x14ac:dyDescent="0.25">
      <c r="A827" s="370" t="str">
        <v/>
      </c>
      <c r="H827" s="394" t="str">
        <f t="shared" si="53"/>
        <v/>
      </c>
      <c r="I827" s="394" t="str">
        <f t="shared" si="54"/>
        <v/>
      </c>
      <c r="J827" s="394" t="str">
        <f t="shared" si="55"/>
        <v/>
      </c>
      <c r="K827" s="394" t="str">
        <f t="shared" si="56"/>
        <v/>
      </c>
      <c r="O827" s="370" t="str">
        <v/>
      </c>
      <c r="S827" s="1" t="str">
        <v/>
      </c>
    </row>
    <row r="828" spans="1:19" x14ac:dyDescent="0.25">
      <c r="A828" s="370" t="str">
        <v/>
      </c>
      <c r="H828" s="394" t="str">
        <f t="shared" si="53"/>
        <v/>
      </c>
      <c r="I828" s="394" t="str">
        <f t="shared" si="54"/>
        <v/>
      </c>
      <c r="J828" s="394" t="str">
        <f t="shared" si="55"/>
        <v/>
      </c>
      <c r="K828" s="394" t="str">
        <f t="shared" si="56"/>
        <v/>
      </c>
      <c r="O828" s="370" t="str">
        <v/>
      </c>
      <c r="S828" s="1" t="str">
        <v/>
      </c>
    </row>
    <row r="829" spans="1:19" x14ac:dyDescent="0.25">
      <c r="A829" s="370" t="str">
        <v/>
      </c>
      <c r="H829" s="394" t="str">
        <f t="shared" si="53"/>
        <v/>
      </c>
      <c r="I829" s="394" t="str">
        <f t="shared" si="54"/>
        <v/>
      </c>
      <c r="J829" s="394" t="str">
        <f t="shared" si="55"/>
        <v/>
      </c>
      <c r="K829" s="394" t="str">
        <f t="shared" si="56"/>
        <v/>
      </c>
      <c r="O829" s="370" t="str">
        <v/>
      </c>
      <c r="S829" s="1" t="str">
        <v/>
      </c>
    </row>
    <row r="830" spans="1:19" x14ac:dyDescent="0.25">
      <c r="A830" s="370" t="str">
        <v/>
      </c>
      <c r="H830" s="394" t="str">
        <f t="shared" si="53"/>
        <v/>
      </c>
      <c r="I830" s="394" t="str">
        <f t="shared" si="54"/>
        <v/>
      </c>
      <c r="J830" s="394" t="str">
        <f t="shared" si="55"/>
        <v/>
      </c>
      <c r="K830" s="394" t="str">
        <f t="shared" si="56"/>
        <v/>
      </c>
      <c r="O830" s="370" t="str">
        <v/>
      </c>
      <c r="S830" s="1" t="str">
        <v/>
      </c>
    </row>
    <row r="831" spans="1:19" x14ac:dyDescent="0.25">
      <c r="A831" s="370" t="str">
        <v/>
      </c>
      <c r="H831" s="394" t="str">
        <f t="shared" si="53"/>
        <v/>
      </c>
      <c r="I831" s="394" t="str">
        <f t="shared" si="54"/>
        <v/>
      </c>
      <c r="J831" s="394" t="str">
        <f t="shared" si="55"/>
        <v/>
      </c>
      <c r="K831" s="394" t="str">
        <f t="shared" si="56"/>
        <v/>
      </c>
      <c r="O831" s="370" t="str">
        <v/>
      </c>
      <c r="S831" s="1" t="str">
        <v/>
      </c>
    </row>
    <row r="832" spans="1:19" x14ac:dyDescent="0.25">
      <c r="A832" s="370" t="str">
        <v/>
      </c>
      <c r="H832" s="394" t="str">
        <f t="shared" si="53"/>
        <v/>
      </c>
      <c r="I832" s="394" t="str">
        <f t="shared" si="54"/>
        <v/>
      </c>
      <c r="J832" s="394" t="str">
        <f t="shared" si="55"/>
        <v/>
      </c>
      <c r="K832" s="394" t="str">
        <f t="shared" si="56"/>
        <v/>
      </c>
      <c r="O832" s="370" t="str">
        <v/>
      </c>
      <c r="S832" s="1" t="str">
        <v/>
      </c>
    </row>
    <row r="833" spans="1:19" x14ac:dyDescent="0.25">
      <c r="A833" s="370" t="str">
        <v/>
      </c>
      <c r="H833" s="394" t="str">
        <f t="shared" si="53"/>
        <v/>
      </c>
      <c r="I833" s="394" t="str">
        <f t="shared" si="54"/>
        <v/>
      </c>
      <c r="J833" s="394" t="str">
        <f t="shared" si="55"/>
        <v/>
      </c>
      <c r="K833" s="394" t="str">
        <f t="shared" si="56"/>
        <v/>
      </c>
      <c r="O833" s="370" t="str">
        <v/>
      </c>
      <c r="S833" s="1" t="str">
        <v/>
      </c>
    </row>
    <row r="834" spans="1:19" x14ac:dyDescent="0.25">
      <c r="A834" s="370" t="str">
        <v/>
      </c>
      <c r="H834" s="394" t="str">
        <f t="shared" si="53"/>
        <v/>
      </c>
      <c r="I834" s="394" t="str">
        <f t="shared" si="54"/>
        <v/>
      </c>
      <c r="J834" s="394" t="str">
        <f t="shared" si="55"/>
        <v/>
      </c>
      <c r="K834" s="394" t="str">
        <f t="shared" si="56"/>
        <v/>
      </c>
      <c r="O834" s="370" t="str">
        <v/>
      </c>
      <c r="S834" s="1" t="str">
        <v/>
      </c>
    </row>
    <row r="835" spans="1:19" x14ac:dyDescent="0.25">
      <c r="A835" s="370" t="str">
        <v/>
      </c>
      <c r="H835" s="394" t="str">
        <f t="shared" si="53"/>
        <v/>
      </c>
      <c r="I835" s="394" t="str">
        <f t="shared" si="54"/>
        <v/>
      </c>
      <c r="J835" s="394" t="str">
        <f t="shared" si="55"/>
        <v/>
      </c>
      <c r="K835" s="394" t="str">
        <f t="shared" si="56"/>
        <v/>
      </c>
      <c r="O835" s="370" t="str">
        <v/>
      </c>
      <c r="S835" s="1" t="str">
        <v/>
      </c>
    </row>
    <row r="836" spans="1:19" x14ac:dyDescent="0.25">
      <c r="A836" s="370" t="str">
        <v/>
      </c>
      <c r="H836" s="394" t="str">
        <f t="shared" si="53"/>
        <v/>
      </c>
      <c r="I836" s="394" t="str">
        <f t="shared" si="54"/>
        <v/>
      </c>
      <c r="J836" s="394" t="str">
        <f t="shared" si="55"/>
        <v/>
      </c>
      <c r="K836" s="394" t="str">
        <f t="shared" si="56"/>
        <v/>
      </c>
      <c r="O836" s="370" t="str">
        <v/>
      </c>
      <c r="S836" s="1" t="str">
        <v/>
      </c>
    </row>
    <row r="837" spans="1:19" x14ac:dyDescent="0.25">
      <c r="A837" s="370" t="str">
        <v/>
      </c>
      <c r="H837" s="394" t="str">
        <f t="shared" si="53"/>
        <v/>
      </c>
      <c r="I837" s="394" t="str">
        <f t="shared" si="54"/>
        <v/>
      </c>
      <c r="J837" s="394" t="str">
        <f t="shared" si="55"/>
        <v/>
      </c>
      <c r="K837" s="394" t="str">
        <f t="shared" si="56"/>
        <v/>
      </c>
      <c r="O837" s="370" t="str">
        <v/>
      </c>
      <c r="S837" s="1" t="str">
        <v/>
      </c>
    </row>
    <row r="838" spans="1:19" x14ac:dyDescent="0.25">
      <c r="A838" s="370" t="str">
        <v/>
      </c>
      <c r="H838" s="394" t="str">
        <f t="shared" si="53"/>
        <v/>
      </c>
      <c r="I838" s="394" t="str">
        <f t="shared" si="54"/>
        <v/>
      </c>
      <c r="J838" s="394" t="str">
        <f t="shared" si="55"/>
        <v/>
      </c>
      <c r="K838" s="394" t="str">
        <f t="shared" si="56"/>
        <v/>
      </c>
      <c r="O838" s="370" t="str">
        <v/>
      </c>
      <c r="S838" s="1" t="str">
        <v/>
      </c>
    </row>
    <row r="839" spans="1:19" x14ac:dyDescent="0.25">
      <c r="A839" s="370" t="str">
        <v/>
      </c>
      <c r="H839" s="394" t="str">
        <f t="shared" si="53"/>
        <v/>
      </c>
      <c r="I839" s="394" t="str">
        <f t="shared" si="54"/>
        <v/>
      </c>
      <c r="J839" s="394" t="str">
        <f t="shared" si="55"/>
        <v/>
      </c>
      <c r="K839" s="394" t="str">
        <f t="shared" si="56"/>
        <v/>
      </c>
      <c r="O839" s="370" t="str">
        <v/>
      </c>
      <c r="S839" s="1" t="str">
        <v/>
      </c>
    </row>
    <row r="840" spans="1:19" x14ac:dyDescent="0.25">
      <c r="A840" s="370" t="str">
        <v/>
      </c>
      <c r="H840" s="394" t="str">
        <f t="shared" si="53"/>
        <v/>
      </c>
      <c r="I840" s="394" t="str">
        <f t="shared" si="54"/>
        <v/>
      </c>
      <c r="J840" s="394" t="str">
        <f t="shared" si="55"/>
        <v/>
      </c>
      <c r="K840" s="394" t="str">
        <f t="shared" si="56"/>
        <v/>
      </c>
      <c r="O840" s="370" t="str">
        <v/>
      </c>
      <c r="S840" s="1" t="str">
        <v/>
      </c>
    </row>
    <row r="841" spans="1:19" x14ac:dyDescent="0.25">
      <c r="A841" s="370" t="str">
        <v/>
      </c>
      <c r="H841" s="394" t="str">
        <f t="shared" si="53"/>
        <v/>
      </c>
      <c r="I841" s="394" t="str">
        <f t="shared" si="54"/>
        <v/>
      </c>
      <c r="J841" s="394" t="str">
        <f t="shared" si="55"/>
        <v/>
      </c>
      <c r="K841" s="394" t="str">
        <f t="shared" si="56"/>
        <v/>
      </c>
      <c r="O841" s="370" t="str">
        <v/>
      </c>
      <c r="S841" s="1" t="str">
        <v/>
      </c>
    </row>
    <row r="842" spans="1:19" x14ac:dyDescent="0.25">
      <c r="A842" s="370" t="str">
        <v/>
      </c>
      <c r="H842" s="394" t="str">
        <f t="shared" si="53"/>
        <v/>
      </c>
      <c r="I842" s="394" t="str">
        <f t="shared" si="54"/>
        <v/>
      </c>
      <c r="J842" s="394" t="str">
        <f t="shared" si="55"/>
        <v/>
      </c>
      <c r="K842" s="394" t="str">
        <f t="shared" si="56"/>
        <v/>
      </c>
      <c r="O842" s="370" t="str">
        <v/>
      </c>
      <c r="S842" s="1" t="str">
        <v/>
      </c>
    </row>
    <row r="843" spans="1:19" x14ac:dyDescent="0.25">
      <c r="A843" s="370" t="str">
        <v/>
      </c>
      <c r="H843" s="394" t="str">
        <f t="shared" si="53"/>
        <v/>
      </c>
      <c r="I843" s="394" t="str">
        <f t="shared" si="54"/>
        <v/>
      </c>
      <c r="J843" s="394" t="str">
        <f t="shared" si="55"/>
        <v/>
      </c>
      <c r="K843" s="394" t="str">
        <f t="shared" si="56"/>
        <v/>
      </c>
      <c r="O843" s="370" t="str">
        <v/>
      </c>
      <c r="S843" s="1" t="str">
        <v/>
      </c>
    </row>
    <row r="844" spans="1:19" x14ac:dyDescent="0.25">
      <c r="A844" s="370" t="str">
        <v/>
      </c>
      <c r="H844" s="394" t="str">
        <f t="shared" si="53"/>
        <v/>
      </c>
      <c r="I844" s="394" t="str">
        <f t="shared" si="54"/>
        <v/>
      </c>
      <c r="J844" s="394" t="str">
        <f t="shared" si="55"/>
        <v/>
      </c>
      <c r="K844" s="394" t="str">
        <f t="shared" si="56"/>
        <v/>
      </c>
      <c r="O844" s="370" t="str">
        <v/>
      </c>
      <c r="S844" s="1" t="str">
        <v/>
      </c>
    </row>
    <row r="845" spans="1:19" x14ac:dyDescent="0.25">
      <c r="A845" s="370" t="str">
        <v/>
      </c>
      <c r="H845" s="394" t="str">
        <f t="shared" si="53"/>
        <v/>
      </c>
      <c r="I845" s="394" t="str">
        <f t="shared" si="54"/>
        <v/>
      </c>
      <c r="J845" s="394" t="str">
        <f t="shared" si="55"/>
        <v/>
      </c>
      <c r="K845" s="394" t="str">
        <f t="shared" si="56"/>
        <v/>
      </c>
      <c r="O845" s="370" t="str">
        <v/>
      </c>
      <c r="S845" s="1" t="str">
        <v/>
      </c>
    </row>
    <row r="846" spans="1:19" x14ac:dyDescent="0.25">
      <c r="A846" s="370" t="str">
        <v/>
      </c>
      <c r="H846" s="394" t="str">
        <f t="shared" si="53"/>
        <v/>
      </c>
      <c r="I846" s="394" t="str">
        <f t="shared" si="54"/>
        <v/>
      </c>
      <c r="J846" s="394" t="str">
        <f t="shared" si="55"/>
        <v/>
      </c>
      <c r="K846" s="394" t="str">
        <f t="shared" si="56"/>
        <v/>
      </c>
      <c r="O846" s="370" t="str">
        <v/>
      </c>
      <c r="S846" s="1" t="str">
        <v/>
      </c>
    </row>
    <row r="847" spans="1:19" x14ac:dyDescent="0.25">
      <c r="A847" s="370" t="str">
        <v/>
      </c>
      <c r="H847" s="394" t="str">
        <f t="shared" si="53"/>
        <v/>
      </c>
      <c r="I847" s="394" t="str">
        <f t="shared" si="54"/>
        <v/>
      </c>
      <c r="J847" s="394" t="str">
        <f t="shared" si="55"/>
        <v/>
      </c>
      <c r="K847" s="394" t="str">
        <f t="shared" si="56"/>
        <v/>
      </c>
      <c r="O847" s="370" t="str">
        <v/>
      </c>
      <c r="S847" s="1" t="str">
        <v/>
      </c>
    </row>
    <row r="848" spans="1:19" x14ac:dyDescent="0.25">
      <c r="A848" s="370" t="str">
        <v/>
      </c>
      <c r="H848" s="394" t="str">
        <f t="shared" si="53"/>
        <v/>
      </c>
      <c r="I848" s="394" t="str">
        <f t="shared" si="54"/>
        <v/>
      </c>
      <c r="J848" s="394" t="str">
        <f t="shared" si="55"/>
        <v/>
      </c>
      <c r="K848" s="394" t="str">
        <f t="shared" si="56"/>
        <v/>
      </c>
      <c r="O848" s="370" t="str">
        <v/>
      </c>
      <c r="S848" s="1" t="str">
        <v/>
      </c>
    </row>
    <row r="849" spans="1:19" x14ac:dyDescent="0.25">
      <c r="A849" s="370" t="str">
        <v/>
      </c>
      <c r="H849" s="394" t="str">
        <f t="shared" si="53"/>
        <v/>
      </c>
      <c r="I849" s="394" t="str">
        <f t="shared" si="54"/>
        <v/>
      </c>
      <c r="J849" s="394" t="str">
        <f t="shared" si="55"/>
        <v/>
      </c>
      <c r="K849" s="394" t="str">
        <f t="shared" si="56"/>
        <v/>
      </c>
      <c r="O849" s="370" t="str">
        <v/>
      </c>
      <c r="S849" s="1" t="str">
        <v/>
      </c>
    </row>
    <row r="850" spans="1:19" x14ac:dyDescent="0.25">
      <c r="A850" s="370" t="str">
        <v/>
      </c>
      <c r="H850" s="394" t="str">
        <f t="shared" si="53"/>
        <v/>
      </c>
      <c r="I850" s="394" t="str">
        <f t="shared" si="54"/>
        <v/>
      </c>
      <c r="J850" s="394" t="str">
        <f t="shared" si="55"/>
        <v/>
      </c>
      <c r="K850" s="394" t="str">
        <f t="shared" si="56"/>
        <v/>
      </c>
      <c r="O850" s="370" t="str">
        <v/>
      </c>
      <c r="S850" s="1" t="str">
        <v/>
      </c>
    </row>
    <row r="851" spans="1:19" x14ac:dyDescent="0.25">
      <c r="A851" s="370" t="str">
        <v/>
      </c>
      <c r="H851" s="394" t="str">
        <f t="shared" si="53"/>
        <v/>
      </c>
      <c r="I851" s="394" t="str">
        <f t="shared" si="54"/>
        <v/>
      </c>
      <c r="J851" s="394" t="str">
        <f t="shared" si="55"/>
        <v/>
      </c>
      <c r="K851" s="394" t="str">
        <f t="shared" si="56"/>
        <v/>
      </c>
      <c r="O851" s="370" t="str">
        <v/>
      </c>
      <c r="S851" s="1" t="str">
        <v/>
      </c>
    </row>
    <row r="852" spans="1:19" x14ac:dyDescent="0.25">
      <c r="A852" s="370" t="str">
        <v/>
      </c>
      <c r="H852" s="394" t="str">
        <f t="shared" si="53"/>
        <v/>
      </c>
      <c r="I852" s="394" t="str">
        <f t="shared" si="54"/>
        <v/>
      </c>
      <c r="J852" s="394" t="str">
        <f t="shared" si="55"/>
        <v/>
      </c>
      <c r="K852" s="394" t="str">
        <f t="shared" si="56"/>
        <v/>
      </c>
      <c r="O852" s="370" t="str">
        <v/>
      </c>
      <c r="S852" s="1" t="str">
        <v/>
      </c>
    </row>
    <row r="853" spans="1:19" x14ac:dyDescent="0.25">
      <c r="A853" s="370" t="str">
        <v/>
      </c>
      <c r="H853" s="394" t="str">
        <f t="shared" si="53"/>
        <v/>
      </c>
      <c r="I853" s="394" t="str">
        <f t="shared" si="54"/>
        <v/>
      </c>
      <c r="J853" s="394" t="str">
        <f t="shared" si="55"/>
        <v/>
      </c>
      <c r="K853" s="394" t="str">
        <f t="shared" si="56"/>
        <v/>
      </c>
      <c r="O853" s="370" t="str">
        <v/>
      </c>
      <c r="S853" s="1" t="str">
        <v/>
      </c>
    </row>
    <row r="854" spans="1:19" x14ac:dyDescent="0.25">
      <c r="A854" s="370" t="str">
        <v/>
      </c>
      <c r="H854" s="394" t="str">
        <f t="shared" si="53"/>
        <v/>
      </c>
      <c r="I854" s="394" t="str">
        <f t="shared" si="54"/>
        <v/>
      </c>
      <c r="J854" s="394" t="str">
        <f t="shared" si="55"/>
        <v/>
      </c>
      <c r="K854" s="394" t="str">
        <f t="shared" si="56"/>
        <v/>
      </c>
      <c r="O854" s="370" t="str">
        <v/>
      </c>
      <c r="S854" s="1" t="str">
        <v/>
      </c>
    </row>
    <row r="855" spans="1:19" x14ac:dyDescent="0.25">
      <c r="A855" s="370" t="str">
        <v/>
      </c>
      <c r="H855" s="394" t="str">
        <f t="shared" ref="H855:H918" si="57">IF($C855="","",ROUND((($B$2*$F855*($B$5/1000))/$B$6)*(1+IF($B$18="",0,$B$18)),2))</f>
        <v/>
      </c>
      <c r="I855" s="394" t="str">
        <f t="shared" ref="I855:I918" si="58">IF($C855="","",ROUND((($B$3*$F855*($B$5/1000))/$B$6)*(1+IF($B$18="",0,$B$18)),2))</f>
        <v/>
      </c>
      <c r="J855" s="394" t="str">
        <f t="shared" ref="J855:J918" si="59">IF(OR($C855="",$B$9="",$B$15=""),"",ROUND((((((IF($B$15="N/A",$B$2,$B$4))*$F855*($B$5/1000))+((($G855/1000)*($B$5/1000)*10.7639104)*(IF($B$9="Smooth",$B$10,IF($B$9="Sand",$B$11,0)))))*(1+$B$17))/$B$8)*(1+IF($B$18="",0,$B$18)),2))</f>
        <v/>
      </c>
      <c r="K855" s="394" t="str">
        <f t="shared" ref="K855:K918" si="60">IF(OR($C855="",$B$12="",$B$15=""),"",ROUND((((((IF($B$15="N/A",$B$2,$B$4))*$F855*($B$5/1000))+((($G855/1000)*($B$5/1000)*10.7639104)*(IF($B$12="Indoor",$B$13,IF($B$12="Outdoor",$B$14,0)))))*(1+$B$17))/$B$8)*(1+IF($B$18="",0,$B$18)),2))</f>
        <v/>
      </c>
      <c r="O855" s="370" t="str">
        <v/>
      </c>
      <c r="S855" s="1" t="str">
        <v/>
      </c>
    </row>
    <row r="856" spans="1:19" x14ac:dyDescent="0.25">
      <c r="A856" s="370" t="str">
        <v/>
      </c>
      <c r="H856" s="394" t="str">
        <f t="shared" si="57"/>
        <v/>
      </c>
      <c r="I856" s="394" t="str">
        <f t="shared" si="58"/>
        <v/>
      </c>
      <c r="J856" s="394" t="str">
        <f t="shared" si="59"/>
        <v/>
      </c>
      <c r="K856" s="394" t="str">
        <f t="shared" si="60"/>
        <v/>
      </c>
      <c r="O856" s="370" t="str">
        <v/>
      </c>
      <c r="S856" s="1" t="str">
        <v/>
      </c>
    </row>
    <row r="857" spans="1:19" x14ac:dyDescent="0.25">
      <c r="A857" s="370" t="str">
        <v/>
      </c>
      <c r="H857" s="394" t="str">
        <f t="shared" si="57"/>
        <v/>
      </c>
      <c r="I857" s="394" t="str">
        <f t="shared" si="58"/>
        <v/>
      </c>
      <c r="J857" s="394" t="str">
        <f t="shared" si="59"/>
        <v/>
      </c>
      <c r="K857" s="394" t="str">
        <f t="shared" si="60"/>
        <v/>
      </c>
      <c r="O857" s="370" t="str">
        <v/>
      </c>
      <c r="S857" s="1" t="str">
        <v/>
      </c>
    </row>
    <row r="858" spans="1:19" x14ac:dyDescent="0.25">
      <c r="A858" s="370" t="str">
        <v/>
      </c>
      <c r="H858" s="394" t="str">
        <f t="shared" si="57"/>
        <v/>
      </c>
      <c r="I858" s="394" t="str">
        <f t="shared" si="58"/>
        <v/>
      </c>
      <c r="J858" s="394" t="str">
        <f t="shared" si="59"/>
        <v/>
      </c>
      <c r="K858" s="394" t="str">
        <f t="shared" si="60"/>
        <v/>
      </c>
      <c r="O858" s="370" t="str">
        <v/>
      </c>
      <c r="S858" s="1" t="str">
        <v/>
      </c>
    </row>
    <row r="859" spans="1:19" x14ac:dyDescent="0.25">
      <c r="A859" s="370" t="str">
        <v/>
      </c>
      <c r="H859" s="394" t="str">
        <f t="shared" si="57"/>
        <v/>
      </c>
      <c r="I859" s="394" t="str">
        <f t="shared" si="58"/>
        <v/>
      </c>
      <c r="J859" s="394" t="str">
        <f t="shared" si="59"/>
        <v/>
      </c>
      <c r="K859" s="394" t="str">
        <f t="shared" si="60"/>
        <v/>
      </c>
      <c r="O859" s="370" t="str">
        <v/>
      </c>
      <c r="S859" s="1" t="str">
        <v/>
      </c>
    </row>
    <row r="860" spans="1:19" x14ac:dyDescent="0.25">
      <c r="A860" s="370" t="str">
        <v/>
      </c>
      <c r="H860" s="394" t="str">
        <f t="shared" si="57"/>
        <v/>
      </c>
      <c r="I860" s="394" t="str">
        <f t="shared" si="58"/>
        <v/>
      </c>
      <c r="J860" s="394" t="str">
        <f t="shared" si="59"/>
        <v/>
      </c>
      <c r="K860" s="394" t="str">
        <f t="shared" si="60"/>
        <v/>
      </c>
      <c r="O860" s="370" t="str">
        <v/>
      </c>
      <c r="S860" s="1" t="str">
        <v/>
      </c>
    </row>
    <row r="861" spans="1:19" x14ac:dyDescent="0.25">
      <c r="A861" s="370" t="str">
        <v/>
      </c>
      <c r="H861" s="394" t="str">
        <f t="shared" si="57"/>
        <v/>
      </c>
      <c r="I861" s="394" t="str">
        <f t="shared" si="58"/>
        <v/>
      </c>
      <c r="J861" s="394" t="str">
        <f t="shared" si="59"/>
        <v/>
      </c>
      <c r="K861" s="394" t="str">
        <f t="shared" si="60"/>
        <v/>
      </c>
      <c r="O861" s="370" t="str">
        <v/>
      </c>
      <c r="S861" s="1" t="str">
        <v/>
      </c>
    </row>
    <row r="862" spans="1:19" x14ac:dyDescent="0.25">
      <c r="A862" s="370" t="str">
        <v/>
      </c>
      <c r="H862" s="394" t="str">
        <f t="shared" si="57"/>
        <v/>
      </c>
      <c r="I862" s="394" t="str">
        <f t="shared" si="58"/>
        <v/>
      </c>
      <c r="J862" s="394" t="str">
        <f t="shared" si="59"/>
        <v/>
      </c>
      <c r="K862" s="394" t="str">
        <f t="shared" si="60"/>
        <v/>
      </c>
      <c r="O862" s="370" t="str">
        <v/>
      </c>
      <c r="S862" s="1" t="str">
        <v/>
      </c>
    </row>
    <row r="863" spans="1:19" x14ac:dyDescent="0.25">
      <c r="A863" s="370" t="str">
        <v/>
      </c>
      <c r="H863" s="394" t="str">
        <f t="shared" si="57"/>
        <v/>
      </c>
      <c r="I863" s="394" t="str">
        <f t="shared" si="58"/>
        <v/>
      </c>
      <c r="J863" s="394" t="str">
        <f t="shared" si="59"/>
        <v/>
      </c>
      <c r="K863" s="394" t="str">
        <f t="shared" si="60"/>
        <v/>
      </c>
      <c r="O863" s="370" t="str">
        <v/>
      </c>
      <c r="S863" s="1" t="str">
        <v/>
      </c>
    </row>
    <row r="864" spans="1:19" x14ac:dyDescent="0.25">
      <c r="A864" s="370" t="str">
        <v/>
      </c>
      <c r="H864" s="394" t="str">
        <f t="shared" si="57"/>
        <v/>
      </c>
      <c r="I864" s="394" t="str">
        <f t="shared" si="58"/>
        <v/>
      </c>
      <c r="J864" s="394" t="str">
        <f t="shared" si="59"/>
        <v/>
      </c>
      <c r="K864" s="394" t="str">
        <f t="shared" si="60"/>
        <v/>
      </c>
      <c r="O864" s="370" t="str">
        <v/>
      </c>
      <c r="S864" s="1" t="str">
        <v/>
      </c>
    </row>
    <row r="865" spans="1:19" x14ac:dyDescent="0.25">
      <c r="A865" s="370" t="str">
        <v/>
      </c>
      <c r="H865" s="394" t="str">
        <f t="shared" si="57"/>
        <v/>
      </c>
      <c r="I865" s="394" t="str">
        <f t="shared" si="58"/>
        <v/>
      </c>
      <c r="J865" s="394" t="str">
        <f t="shared" si="59"/>
        <v/>
      </c>
      <c r="K865" s="394" t="str">
        <f t="shared" si="60"/>
        <v/>
      </c>
      <c r="O865" s="370" t="str">
        <v/>
      </c>
      <c r="S865" s="1" t="str">
        <v/>
      </c>
    </row>
    <row r="866" spans="1:19" x14ac:dyDescent="0.25">
      <c r="A866" s="370" t="str">
        <v/>
      </c>
      <c r="H866" s="394" t="str">
        <f t="shared" si="57"/>
        <v/>
      </c>
      <c r="I866" s="394" t="str">
        <f t="shared" si="58"/>
        <v/>
      </c>
      <c r="J866" s="394" t="str">
        <f t="shared" si="59"/>
        <v/>
      </c>
      <c r="K866" s="394" t="str">
        <f t="shared" si="60"/>
        <v/>
      </c>
      <c r="O866" s="370" t="str">
        <v/>
      </c>
      <c r="S866" s="1" t="str">
        <v/>
      </c>
    </row>
    <row r="867" spans="1:19" x14ac:dyDescent="0.25">
      <c r="A867" s="370" t="str">
        <v/>
      </c>
      <c r="H867" s="394" t="str">
        <f t="shared" si="57"/>
        <v/>
      </c>
      <c r="I867" s="394" t="str">
        <f t="shared" si="58"/>
        <v/>
      </c>
      <c r="J867" s="394" t="str">
        <f t="shared" si="59"/>
        <v/>
      </c>
      <c r="K867" s="394" t="str">
        <f t="shared" si="60"/>
        <v/>
      </c>
      <c r="O867" s="370" t="str">
        <v/>
      </c>
      <c r="S867" s="1" t="str">
        <v/>
      </c>
    </row>
    <row r="868" spans="1:19" x14ac:dyDescent="0.25">
      <c r="A868" s="370" t="str">
        <v/>
      </c>
      <c r="H868" s="394" t="str">
        <f t="shared" si="57"/>
        <v/>
      </c>
      <c r="I868" s="394" t="str">
        <f t="shared" si="58"/>
        <v/>
      </c>
      <c r="J868" s="394" t="str">
        <f t="shared" si="59"/>
        <v/>
      </c>
      <c r="K868" s="394" t="str">
        <f t="shared" si="60"/>
        <v/>
      </c>
      <c r="O868" s="370" t="str">
        <v/>
      </c>
      <c r="S868" s="1" t="str">
        <v/>
      </c>
    </row>
    <row r="869" spans="1:19" x14ac:dyDescent="0.25">
      <c r="A869" s="370" t="str">
        <v/>
      </c>
      <c r="H869" s="394" t="str">
        <f t="shared" si="57"/>
        <v/>
      </c>
      <c r="I869" s="394" t="str">
        <f t="shared" si="58"/>
        <v/>
      </c>
      <c r="J869" s="394" t="str">
        <f t="shared" si="59"/>
        <v/>
      </c>
      <c r="K869" s="394" t="str">
        <f t="shared" si="60"/>
        <v/>
      </c>
      <c r="O869" s="370" t="str">
        <v/>
      </c>
      <c r="S869" s="1" t="str">
        <v/>
      </c>
    </row>
    <row r="870" spans="1:19" x14ac:dyDescent="0.25">
      <c r="A870" s="370" t="str">
        <v/>
      </c>
      <c r="H870" s="394" t="str">
        <f t="shared" si="57"/>
        <v/>
      </c>
      <c r="I870" s="394" t="str">
        <f t="shared" si="58"/>
        <v/>
      </c>
      <c r="J870" s="394" t="str">
        <f t="shared" si="59"/>
        <v/>
      </c>
      <c r="K870" s="394" t="str">
        <f t="shared" si="60"/>
        <v/>
      </c>
      <c r="O870" s="370" t="str">
        <v/>
      </c>
      <c r="S870" s="1" t="str">
        <v/>
      </c>
    </row>
    <row r="871" spans="1:19" x14ac:dyDescent="0.25">
      <c r="A871" s="370" t="str">
        <v/>
      </c>
      <c r="H871" s="394" t="str">
        <f t="shared" si="57"/>
        <v/>
      </c>
      <c r="I871" s="394" t="str">
        <f t="shared" si="58"/>
        <v/>
      </c>
      <c r="J871" s="394" t="str">
        <f t="shared" si="59"/>
        <v/>
      </c>
      <c r="K871" s="394" t="str">
        <f t="shared" si="60"/>
        <v/>
      </c>
      <c r="O871" s="370" t="str">
        <v/>
      </c>
      <c r="S871" s="1" t="str">
        <v/>
      </c>
    </row>
    <row r="872" spans="1:19" x14ac:dyDescent="0.25">
      <c r="A872" s="370" t="str">
        <v/>
      </c>
      <c r="H872" s="394" t="str">
        <f t="shared" si="57"/>
        <v/>
      </c>
      <c r="I872" s="394" t="str">
        <f t="shared" si="58"/>
        <v/>
      </c>
      <c r="J872" s="394" t="str">
        <f t="shared" si="59"/>
        <v/>
      </c>
      <c r="K872" s="394" t="str">
        <f t="shared" si="60"/>
        <v/>
      </c>
      <c r="O872" s="370" t="str">
        <v/>
      </c>
      <c r="S872" s="1" t="str">
        <v/>
      </c>
    </row>
    <row r="873" spans="1:19" x14ac:dyDescent="0.25">
      <c r="A873" s="370" t="str">
        <v/>
      </c>
      <c r="H873" s="394" t="str">
        <f t="shared" si="57"/>
        <v/>
      </c>
      <c r="I873" s="394" t="str">
        <f t="shared" si="58"/>
        <v/>
      </c>
      <c r="J873" s="394" t="str">
        <f t="shared" si="59"/>
        <v/>
      </c>
      <c r="K873" s="394" t="str">
        <f t="shared" si="60"/>
        <v/>
      </c>
      <c r="O873" s="370" t="str">
        <v/>
      </c>
      <c r="S873" s="1" t="str">
        <v/>
      </c>
    </row>
    <row r="874" spans="1:19" x14ac:dyDescent="0.25">
      <c r="A874" s="370" t="str">
        <v/>
      </c>
      <c r="H874" s="394" t="str">
        <f t="shared" si="57"/>
        <v/>
      </c>
      <c r="I874" s="394" t="str">
        <f t="shared" si="58"/>
        <v/>
      </c>
      <c r="J874" s="394" t="str">
        <f t="shared" si="59"/>
        <v/>
      </c>
      <c r="K874" s="394" t="str">
        <f t="shared" si="60"/>
        <v/>
      </c>
      <c r="O874" s="370" t="str">
        <v/>
      </c>
      <c r="S874" s="1" t="str">
        <v/>
      </c>
    </row>
    <row r="875" spans="1:19" x14ac:dyDescent="0.25">
      <c r="A875" s="370" t="str">
        <v/>
      </c>
      <c r="H875" s="394" t="str">
        <f t="shared" si="57"/>
        <v/>
      </c>
      <c r="I875" s="394" t="str">
        <f t="shared" si="58"/>
        <v/>
      </c>
      <c r="J875" s="394" t="str">
        <f t="shared" si="59"/>
        <v/>
      </c>
      <c r="K875" s="394" t="str">
        <f t="shared" si="60"/>
        <v/>
      </c>
      <c r="O875" s="370" t="str">
        <v/>
      </c>
      <c r="S875" s="1" t="str">
        <v/>
      </c>
    </row>
    <row r="876" spans="1:19" x14ac:dyDescent="0.25">
      <c r="A876" s="370" t="str">
        <v/>
      </c>
      <c r="H876" s="394" t="str">
        <f t="shared" si="57"/>
        <v/>
      </c>
      <c r="I876" s="394" t="str">
        <f t="shared" si="58"/>
        <v/>
      </c>
      <c r="J876" s="394" t="str">
        <f t="shared" si="59"/>
        <v/>
      </c>
      <c r="K876" s="394" t="str">
        <f t="shared" si="60"/>
        <v/>
      </c>
      <c r="O876" s="370" t="str">
        <v/>
      </c>
      <c r="S876" s="1" t="str">
        <v/>
      </c>
    </row>
    <row r="877" spans="1:19" x14ac:dyDescent="0.25">
      <c r="A877" s="370" t="str">
        <v/>
      </c>
      <c r="H877" s="394" t="str">
        <f t="shared" si="57"/>
        <v/>
      </c>
      <c r="I877" s="394" t="str">
        <f t="shared" si="58"/>
        <v/>
      </c>
      <c r="J877" s="394" t="str">
        <f t="shared" si="59"/>
        <v/>
      </c>
      <c r="K877" s="394" t="str">
        <f t="shared" si="60"/>
        <v/>
      </c>
      <c r="O877" s="370" t="str">
        <v/>
      </c>
      <c r="S877" s="1" t="str">
        <v/>
      </c>
    </row>
    <row r="878" spans="1:19" x14ac:dyDescent="0.25">
      <c r="A878" s="370" t="str">
        <v/>
      </c>
      <c r="H878" s="394" t="str">
        <f t="shared" si="57"/>
        <v/>
      </c>
      <c r="I878" s="394" t="str">
        <f t="shared" si="58"/>
        <v/>
      </c>
      <c r="J878" s="394" t="str">
        <f t="shared" si="59"/>
        <v/>
      </c>
      <c r="K878" s="394" t="str">
        <f t="shared" si="60"/>
        <v/>
      </c>
      <c r="O878" s="370" t="str">
        <v/>
      </c>
      <c r="S878" s="1" t="str">
        <v/>
      </c>
    </row>
    <row r="879" spans="1:19" x14ac:dyDescent="0.25">
      <c r="A879" s="370" t="str">
        <v/>
      </c>
      <c r="H879" s="394" t="str">
        <f t="shared" si="57"/>
        <v/>
      </c>
      <c r="I879" s="394" t="str">
        <f t="shared" si="58"/>
        <v/>
      </c>
      <c r="J879" s="394" t="str">
        <f t="shared" si="59"/>
        <v/>
      </c>
      <c r="K879" s="394" t="str">
        <f t="shared" si="60"/>
        <v/>
      </c>
      <c r="O879" s="370" t="str">
        <v/>
      </c>
      <c r="S879" s="1" t="str">
        <v/>
      </c>
    </row>
    <row r="880" spans="1:19" x14ac:dyDescent="0.25">
      <c r="A880" s="370" t="str">
        <v/>
      </c>
      <c r="H880" s="394" t="str">
        <f t="shared" si="57"/>
        <v/>
      </c>
      <c r="I880" s="394" t="str">
        <f t="shared" si="58"/>
        <v/>
      </c>
      <c r="J880" s="394" t="str">
        <f t="shared" si="59"/>
        <v/>
      </c>
      <c r="K880" s="394" t="str">
        <f t="shared" si="60"/>
        <v/>
      </c>
      <c r="O880" s="370" t="str">
        <v/>
      </c>
      <c r="S880" s="1" t="str">
        <v/>
      </c>
    </row>
    <row r="881" spans="1:19" x14ac:dyDescent="0.25">
      <c r="A881" s="370" t="str">
        <v/>
      </c>
      <c r="H881" s="394" t="str">
        <f t="shared" si="57"/>
        <v/>
      </c>
      <c r="I881" s="394" t="str">
        <f t="shared" si="58"/>
        <v/>
      </c>
      <c r="J881" s="394" t="str">
        <f t="shared" si="59"/>
        <v/>
      </c>
      <c r="K881" s="394" t="str">
        <f t="shared" si="60"/>
        <v/>
      </c>
      <c r="O881" s="370" t="str">
        <v/>
      </c>
      <c r="S881" s="1" t="str">
        <v/>
      </c>
    </row>
    <row r="882" spans="1:19" x14ac:dyDescent="0.25">
      <c r="A882" s="370" t="str">
        <v/>
      </c>
      <c r="H882" s="394" t="str">
        <f t="shared" si="57"/>
        <v/>
      </c>
      <c r="I882" s="394" t="str">
        <f t="shared" si="58"/>
        <v/>
      </c>
      <c r="J882" s="394" t="str">
        <f t="shared" si="59"/>
        <v/>
      </c>
      <c r="K882" s="394" t="str">
        <f t="shared" si="60"/>
        <v/>
      </c>
      <c r="O882" s="370" t="str">
        <v/>
      </c>
      <c r="S882" s="1" t="str">
        <v/>
      </c>
    </row>
    <row r="883" spans="1:19" x14ac:dyDescent="0.25">
      <c r="A883" s="370" t="str">
        <v/>
      </c>
      <c r="H883" s="394" t="str">
        <f t="shared" si="57"/>
        <v/>
      </c>
      <c r="I883" s="394" t="str">
        <f t="shared" si="58"/>
        <v/>
      </c>
      <c r="J883" s="394" t="str">
        <f t="shared" si="59"/>
        <v/>
      </c>
      <c r="K883" s="394" t="str">
        <f t="shared" si="60"/>
        <v/>
      </c>
      <c r="O883" s="370" t="str">
        <v/>
      </c>
      <c r="S883" s="1" t="str">
        <v/>
      </c>
    </row>
    <row r="884" spans="1:19" x14ac:dyDescent="0.25">
      <c r="A884" s="370" t="str">
        <v/>
      </c>
      <c r="H884" s="394" t="str">
        <f t="shared" si="57"/>
        <v/>
      </c>
      <c r="I884" s="394" t="str">
        <f t="shared" si="58"/>
        <v/>
      </c>
      <c r="J884" s="394" t="str">
        <f t="shared" si="59"/>
        <v/>
      </c>
      <c r="K884" s="394" t="str">
        <f t="shared" si="60"/>
        <v/>
      </c>
      <c r="O884" s="370" t="str">
        <v/>
      </c>
      <c r="S884" s="1" t="str">
        <v/>
      </c>
    </row>
    <row r="885" spans="1:19" x14ac:dyDescent="0.25">
      <c r="A885" s="370" t="str">
        <v/>
      </c>
      <c r="H885" s="394" t="str">
        <f t="shared" si="57"/>
        <v/>
      </c>
      <c r="I885" s="394" t="str">
        <f t="shared" si="58"/>
        <v/>
      </c>
      <c r="J885" s="394" t="str">
        <f t="shared" si="59"/>
        <v/>
      </c>
      <c r="K885" s="394" t="str">
        <f t="shared" si="60"/>
        <v/>
      </c>
      <c r="O885" s="370" t="str">
        <v/>
      </c>
      <c r="S885" s="1" t="str">
        <v/>
      </c>
    </row>
    <row r="886" spans="1:19" x14ac:dyDescent="0.25">
      <c r="A886" s="370" t="str">
        <v/>
      </c>
      <c r="H886" s="394" t="str">
        <f t="shared" si="57"/>
        <v/>
      </c>
      <c r="I886" s="394" t="str">
        <f t="shared" si="58"/>
        <v/>
      </c>
      <c r="J886" s="394" t="str">
        <f t="shared" si="59"/>
        <v/>
      </c>
      <c r="K886" s="394" t="str">
        <f t="shared" si="60"/>
        <v/>
      </c>
      <c r="O886" s="370" t="str">
        <v/>
      </c>
      <c r="S886" s="1" t="str">
        <v/>
      </c>
    </row>
    <row r="887" spans="1:19" x14ac:dyDescent="0.25">
      <c r="A887" s="370" t="str">
        <v/>
      </c>
      <c r="H887" s="394" t="str">
        <f t="shared" si="57"/>
        <v/>
      </c>
      <c r="I887" s="394" t="str">
        <f t="shared" si="58"/>
        <v/>
      </c>
      <c r="J887" s="394" t="str">
        <f t="shared" si="59"/>
        <v/>
      </c>
      <c r="K887" s="394" t="str">
        <f t="shared" si="60"/>
        <v/>
      </c>
      <c r="O887" s="370" t="str">
        <v/>
      </c>
      <c r="S887" s="1" t="str">
        <v/>
      </c>
    </row>
    <row r="888" spans="1:19" x14ac:dyDescent="0.25">
      <c r="A888" s="370" t="str">
        <v/>
      </c>
      <c r="H888" s="394" t="str">
        <f t="shared" si="57"/>
        <v/>
      </c>
      <c r="I888" s="394" t="str">
        <f t="shared" si="58"/>
        <v/>
      </c>
      <c r="J888" s="394" t="str">
        <f t="shared" si="59"/>
        <v/>
      </c>
      <c r="K888" s="394" t="str">
        <f t="shared" si="60"/>
        <v/>
      </c>
      <c r="O888" s="370" t="str">
        <v/>
      </c>
      <c r="S888" s="1" t="str">
        <v/>
      </c>
    </row>
    <row r="889" spans="1:19" x14ac:dyDescent="0.25">
      <c r="A889" s="370" t="str">
        <v/>
      </c>
      <c r="H889" s="394" t="str">
        <f t="shared" si="57"/>
        <v/>
      </c>
      <c r="I889" s="394" t="str">
        <f t="shared" si="58"/>
        <v/>
      </c>
      <c r="J889" s="394" t="str">
        <f t="shared" si="59"/>
        <v/>
      </c>
      <c r="K889" s="394" t="str">
        <f t="shared" si="60"/>
        <v/>
      </c>
      <c r="O889" s="370" t="str">
        <v/>
      </c>
      <c r="S889" s="1" t="str">
        <v/>
      </c>
    </row>
    <row r="890" spans="1:19" x14ac:dyDescent="0.25">
      <c r="A890" s="370" t="str">
        <v/>
      </c>
      <c r="H890" s="394" t="str">
        <f t="shared" si="57"/>
        <v/>
      </c>
      <c r="I890" s="394" t="str">
        <f t="shared" si="58"/>
        <v/>
      </c>
      <c r="J890" s="394" t="str">
        <f t="shared" si="59"/>
        <v/>
      </c>
      <c r="K890" s="394" t="str">
        <f t="shared" si="60"/>
        <v/>
      </c>
      <c r="O890" s="370" t="str">
        <v/>
      </c>
      <c r="S890" s="1" t="str">
        <v/>
      </c>
    </row>
    <row r="891" spans="1:19" x14ac:dyDescent="0.25">
      <c r="A891" s="370" t="str">
        <v/>
      </c>
      <c r="H891" s="394" t="str">
        <f t="shared" si="57"/>
        <v/>
      </c>
      <c r="I891" s="394" t="str">
        <f t="shared" si="58"/>
        <v/>
      </c>
      <c r="J891" s="394" t="str">
        <f t="shared" si="59"/>
        <v/>
      </c>
      <c r="K891" s="394" t="str">
        <f t="shared" si="60"/>
        <v/>
      </c>
      <c r="O891" s="370" t="str">
        <v/>
      </c>
      <c r="S891" s="1" t="str">
        <v/>
      </c>
    </row>
    <row r="892" spans="1:19" x14ac:dyDescent="0.25">
      <c r="A892" s="370" t="str">
        <v/>
      </c>
      <c r="H892" s="394" t="str">
        <f t="shared" si="57"/>
        <v/>
      </c>
      <c r="I892" s="394" t="str">
        <f t="shared" si="58"/>
        <v/>
      </c>
      <c r="J892" s="394" t="str">
        <f t="shared" si="59"/>
        <v/>
      </c>
      <c r="K892" s="394" t="str">
        <f t="shared" si="60"/>
        <v/>
      </c>
      <c r="O892" s="370" t="str">
        <v/>
      </c>
      <c r="S892" s="1" t="str">
        <v/>
      </c>
    </row>
    <row r="893" spans="1:19" x14ac:dyDescent="0.25">
      <c r="A893" s="370" t="str">
        <v/>
      </c>
      <c r="H893" s="394" t="str">
        <f t="shared" si="57"/>
        <v/>
      </c>
      <c r="I893" s="394" t="str">
        <f t="shared" si="58"/>
        <v/>
      </c>
      <c r="J893" s="394" t="str">
        <f t="shared" si="59"/>
        <v/>
      </c>
      <c r="K893" s="394" t="str">
        <f t="shared" si="60"/>
        <v/>
      </c>
      <c r="O893" s="370" t="str">
        <v/>
      </c>
      <c r="S893" s="1" t="str">
        <v/>
      </c>
    </row>
    <row r="894" spans="1:19" x14ac:dyDescent="0.25">
      <c r="A894" s="370" t="str">
        <v/>
      </c>
      <c r="H894" s="394" t="str">
        <f t="shared" si="57"/>
        <v/>
      </c>
      <c r="I894" s="394" t="str">
        <f t="shared" si="58"/>
        <v/>
      </c>
      <c r="J894" s="394" t="str">
        <f t="shared" si="59"/>
        <v/>
      </c>
      <c r="K894" s="394" t="str">
        <f t="shared" si="60"/>
        <v/>
      </c>
      <c r="O894" s="370" t="str">
        <v/>
      </c>
      <c r="S894" s="1" t="str">
        <v/>
      </c>
    </row>
    <row r="895" spans="1:19" x14ac:dyDescent="0.25">
      <c r="A895" s="370" t="str">
        <v/>
      </c>
      <c r="H895" s="394" t="str">
        <f t="shared" si="57"/>
        <v/>
      </c>
      <c r="I895" s="394" t="str">
        <f t="shared" si="58"/>
        <v/>
      </c>
      <c r="J895" s="394" t="str">
        <f t="shared" si="59"/>
        <v/>
      </c>
      <c r="K895" s="394" t="str">
        <f t="shared" si="60"/>
        <v/>
      </c>
      <c r="O895" s="370" t="str">
        <v/>
      </c>
      <c r="S895" s="1" t="str">
        <v/>
      </c>
    </row>
    <row r="896" spans="1:19" x14ac:dyDescent="0.25">
      <c r="A896" s="370" t="str">
        <v/>
      </c>
      <c r="H896" s="394" t="str">
        <f t="shared" si="57"/>
        <v/>
      </c>
      <c r="I896" s="394" t="str">
        <f t="shared" si="58"/>
        <v/>
      </c>
      <c r="J896" s="394" t="str">
        <f t="shared" si="59"/>
        <v/>
      </c>
      <c r="K896" s="394" t="str">
        <f t="shared" si="60"/>
        <v/>
      </c>
      <c r="O896" s="370" t="str">
        <v/>
      </c>
      <c r="S896" s="1" t="str">
        <v/>
      </c>
    </row>
    <row r="897" spans="1:19" x14ac:dyDescent="0.25">
      <c r="A897" s="370" t="str">
        <v/>
      </c>
      <c r="H897" s="394" t="str">
        <f t="shared" si="57"/>
        <v/>
      </c>
      <c r="I897" s="394" t="str">
        <f t="shared" si="58"/>
        <v/>
      </c>
      <c r="J897" s="394" t="str">
        <f t="shared" si="59"/>
        <v/>
      </c>
      <c r="K897" s="394" t="str">
        <f t="shared" si="60"/>
        <v/>
      </c>
      <c r="O897" s="370" t="str">
        <v/>
      </c>
      <c r="S897" s="1" t="str">
        <v/>
      </c>
    </row>
    <row r="898" spans="1:19" x14ac:dyDescent="0.25">
      <c r="A898" s="370" t="str">
        <v/>
      </c>
      <c r="H898" s="394" t="str">
        <f t="shared" si="57"/>
        <v/>
      </c>
      <c r="I898" s="394" t="str">
        <f t="shared" si="58"/>
        <v/>
      </c>
      <c r="J898" s="394" t="str">
        <f t="shared" si="59"/>
        <v/>
      </c>
      <c r="K898" s="394" t="str">
        <f t="shared" si="60"/>
        <v/>
      </c>
      <c r="O898" s="370" t="str">
        <v/>
      </c>
      <c r="S898" s="1" t="str">
        <v/>
      </c>
    </row>
    <row r="899" spans="1:19" x14ac:dyDescent="0.25">
      <c r="A899" s="370" t="str">
        <v/>
      </c>
      <c r="H899" s="394" t="str">
        <f t="shared" si="57"/>
        <v/>
      </c>
      <c r="I899" s="394" t="str">
        <f t="shared" si="58"/>
        <v/>
      </c>
      <c r="J899" s="394" t="str">
        <f t="shared" si="59"/>
        <v/>
      </c>
      <c r="K899" s="394" t="str">
        <f t="shared" si="60"/>
        <v/>
      </c>
      <c r="O899" s="370" t="str">
        <v/>
      </c>
      <c r="S899" s="1" t="str">
        <v/>
      </c>
    </row>
    <row r="900" spans="1:19" x14ac:dyDescent="0.25">
      <c r="A900" s="370" t="str">
        <v/>
      </c>
      <c r="H900" s="394" t="str">
        <f t="shared" si="57"/>
        <v/>
      </c>
      <c r="I900" s="394" t="str">
        <f t="shared" si="58"/>
        <v/>
      </c>
      <c r="J900" s="394" t="str">
        <f t="shared" si="59"/>
        <v/>
      </c>
      <c r="K900" s="394" t="str">
        <f t="shared" si="60"/>
        <v/>
      </c>
      <c r="O900" s="370" t="str">
        <v/>
      </c>
      <c r="S900" s="1" t="str">
        <v/>
      </c>
    </row>
    <row r="901" spans="1:19" x14ac:dyDescent="0.25">
      <c r="A901" s="370" t="str">
        <v/>
      </c>
      <c r="H901" s="394" t="str">
        <f t="shared" si="57"/>
        <v/>
      </c>
      <c r="I901" s="394" t="str">
        <f t="shared" si="58"/>
        <v/>
      </c>
      <c r="J901" s="394" t="str">
        <f t="shared" si="59"/>
        <v/>
      </c>
      <c r="K901" s="394" t="str">
        <f t="shared" si="60"/>
        <v/>
      </c>
      <c r="O901" s="370" t="str">
        <v/>
      </c>
      <c r="S901" s="1" t="str">
        <v/>
      </c>
    </row>
    <row r="902" spans="1:19" x14ac:dyDescent="0.25">
      <c r="A902" s="370" t="str">
        <v/>
      </c>
      <c r="H902" s="394" t="str">
        <f t="shared" si="57"/>
        <v/>
      </c>
      <c r="I902" s="394" t="str">
        <f t="shared" si="58"/>
        <v/>
      </c>
      <c r="J902" s="394" t="str">
        <f t="shared" si="59"/>
        <v/>
      </c>
      <c r="K902" s="394" t="str">
        <f t="shared" si="60"/>
        <v/>
      </c>
      <c r="O902" s="370" t="str">
        <v/>
      </c>
      <c r="S902" s="1" t="str">
        <v/>
      </c>
    </row>
    <row r="903" spans="1:19" x14ac:dyDescent="0.25">
      <c r="A903" s="370" t="str">
        <v/>
      </c>
      <c r="H903" s="394" t="str">
        <f t="shared" si="57"/>
        <v/>
      </c>
      <c r="I903" s="394" t="str">
        <f t="shared" si="58"/>
        <v/>
      </c>
      <c r="J903" s="394" t="str">
        <f t="shared" si="59"/>
        <v/>
      </c>
      <c r="K903" s="394" t="str">
        <f t="shared" si="60"/>
        <v/>
      </c>
      <c r="O903" s="370" t="str">
        <v/>
      </c>
      <c r="S903" s="1" t="str">
        <v/>
      </c>
    </row>
    <row r="904" spans="1:19" x14ac:dyDescent="0.25">
      <c r="A904" s="370" t="str">
        <v/>
      </c>
      <c r="H904" s="394" t="str">
        <f t="shared" si="57"/>
        <v/>
      </c>
      <c r="I904" s="394" t="str">
        <f t="shared" si="58"/>
        <v/>
      </c>
      <c r="J904" s="394" t="str">
        <f t="shared" si="59"/>
        <v/>
      </c>
      <c r="K904" s="394" t="str">
        <f t="shared" si="60"/>
        <v/>
      </c>
      <c r="O904" s="370" t="str">
        <v/>
      </c>
      <c r="S904" s="1" t="str">
        <v/>
      </c>
    </row>
    <row r="905" spans="1:19" x14ac:dyDescent="0.25">
      <c r="A905" s="370" t="str">
        <v/>
      </c>
      <c r="H905" s="394" t="str">
        <f t="shared" si="57"/>
        <v/>
      </c>
      <c r="I905" s="394" t="str">
        <f t="shared" si="58"/>
        <v/>
      </c>
      <c r="J905" s="394" t="str">
        <f t="shared" si="59"/>
        <v/>
      </c>
      <c r="K905" s="394" t="str">
        <f t="shared" si="60"/>
        <v/>
      </c>
      <c r="O905" s="370" t="str">
        <v/>
      </c>
      <c r="S905" s="1" t="str">
        <v/>
      </c>
    </row>
    <row r="906" spans="1:19" x14ac:dyDescent="0.25">
      <c r="A906" s="370" t="str">
        <v/>
      </c>
      <c r="H906" s="394" t="str">
        <f t="shared" si="57"/>
        <v/>
      </c>
      <c r="I906" s="394" t="str">
        <f t="shared" si="58"/>
        <v/>
      </c>
      <c r="J906" s="394" t="str">
        <f t="shared" si="59"/>
        <v/>
      </c>
      <c r="K906" s="394" t="str">
        <f t="shared" si="60"/>
        <v/>
      </c>
      <c r="O906" s="370" t="str">
        <v/>
      </c>
      <c r="S906" s="1" t="str">
        <v/>
      </c>
    </row>
    <row r="907" spans="1:19" x14ac:dyDescent="0.25">
      <c r="A907" s="370" t="str">
        <v/>
      </c>
      <c r="H907" s="394" t="str">
        <f t="shared" si="57"/>
        <v/>
      </c>
      <c r="I907" s="394" t="str">
        <f t="shared" si="58"/>
        <v/>
      </c>
      <c r="J907" s="394" t="str">
        <f t="shared" si="59"/>
        <v/>
      </c>
      <c r="K907" s="394" t="str">
        <f t="shared" si="60"/>
        <v/>
      </c>
      <c r="O907" s="370" t="str">
        <v/>
      </c>
      <c r="S907" s="1" t="str">
        <v/>
      </c>
    </row>
    <row r="908" spans="1:19" x14ac:dyDescent="0.25">
      <c r="A908" s="370" t="str">
        <v/>
      </c>
      <c r="H908" s="394" t="str">
        <f t="shared" si="57"/>
        <v/>
      </c>
      <c r="I908" s="394" t="str">
        <f t="shared" si="58"/>
        <v/>
      </c>
      <c r="J908" s="394" t="str">
        <f t="shared" si="59"/>
        <v/>
      </c>
      <c r="K908" s="394" t="str">
        <f t="shared" si="60"/>
        <v/>
      </c>
      <c r="O908" s="370" t="str">
        <v/>
      </c>
      <c r="S908" s="1" t="str">
        <v/>
      </c>
    </row>
    <row r="909" spans="1:19" x14ac:dyDescent="0.25">
      <c r="A909" s="370" t="str">
        <v/>
      </c>
      <c r="H909" s="394" t="str">
        <f t="shared" si="57"/>
        <v/>
      </c>
      <c r="I909" s="394" t="str">
        <f t="shared" si="58"/>
        <v/>
      </c>
      <c r="J909" s="394" t="str">
        <f t="shared" si="59"/>
        <v/>
      </c>
      <c r="K909" s="394" t="str">
        <f t="shared" si="60"/>
        <v/>
      </c>
      <c r="O909" s="370" t="str">
        <v/>
      </c>
      <c r="S909" s="1" t="str">
        <v/>
      </c>
    </row>
    <row r="910" spans="1:19" x14ac:dyDescent="0.25">
      <c r="A910" s="370" t="str">
        <v/>
      </c>
      <c r="H910" s="394" t="str">
        <f t="shared" si="57"/>
        <v/>
      </c>
      <c r="I910" s="394" t="str">
        <f t="shared" si="58"/>
        <v/>
      </c>
      <c r="J910" s="394" t="str">
        <f t="shared" si="59"/>
        <v/>
      </c>
      <c r="K910" s="394" t="str">
        <f t="shared" si="60"/>
        <v/>
      </c>
      <c r="O910" s="370" t="str">
        <v/>
      </c>
      <c r="S910" s="1" t="str">
        <v/>
      </c>
    </row>
    <row r="911" spans="1:19" x14ac:dyDescent="0.25">
      <c r="A911" s="370" t="str">
        <v/>
      </c>
      <c r="H911" s="394" t="str">
        <f t="shared" si="57"/>
        <v/>
      </c>
      <c r="I911" s="394" t="str">
        <f t="shared" si="58"/>
        <v/>
      </c>
      <c r="J911" s="394" t="str">
        <f t="shared" si="59"/>
        <v/>
      </c>
      <c r="K911" s="394" t="str">
        <f t="shared" si="60"/>
        <v/>
      </c>
      <c r="O911" s="370" t="str">
        <v/>
      </c>
      <c r="S911" s="1" t="str">
        <v/>
      </c>
    </row>
    <row r="912" spans="1:19" x14ac:dyDescent="0.25">
      <c r="A912" s="370" t="str">
        <v/>
      </c>
      <c r="H912" s="394" t="str">
        <f t="shared" si="57"/>
        <v/>
      </c>
      <c r="I912" s="394" t="str">
        <f t="shared" si="58"/>
        <v/>
      </c>
      <c r="J912" s="394" t="str">
        <f t="shared" si="59"/>
        <v/>
      </c>
      <c r="K912" s="394" t="str">
        <f t="shared" si="60"/>
        <v/>
      </c>
      <c r="O912" s="370" t="str">
        <v/>
      </c>
      <c r="S912" s="1" t="str">
        <v/>
      </c>
    </row>
    <row r="913" spans="1:19" x14ac:dyDescent="0.25">
      <c r="A913" s="370" t="str">
        <v/>
      </c>
      <c r="H913" s="394" t="str">
        <f t="shared" si="57"/>
        <v/>
      </c>
      <c r="I913" s="394" t="str">
        <f t="shared" si="58"/>
        <v/>
      </c>
      <c r="J913" s="394" t="str">
        <f t="shared" si="59"/>
        <v/>
      </c>
      <c r="K913" s="394" t="str">
        <f t="shared" si="60"/>
        <v/>
      </c>
      <c r="O913" s="370" t="str">
        <v/>
      </c>
      <c r="S913" s="1" t="str">
        <v/>
      </c>
    </row>
    <row r="914" spans="1:19" x14ac:dyDescent="0.25">
      <c r="A914" s="370" t="str">
        <v/>
      </c>
      <c r="H914" s="394" t="str">
        <f t="shared" si="57"/>
        <v/>
      </c>
      <c r="I914" s="394" t="str">
        <f t="shared" si="58"/>
        <v/>
      </c>
      <c r="J914" s="394" t="str">
        <f t="shared" si="59"/>
        <v/>
      </c>
      <c r="K914" s="394" t="str">
        <f t="shared" si="60"/>
        <v/>
      </c>
      <c r="O914" s="370" t="str">
        <v/>
      </c>
      <c r="S914" s="1" t="str">
        <v/>
      </c>
    </row>
    <row r="915" spans="1:19" x14ac:dyDescent="0.25">
      <c r="A915" s="370" t="str">
        <v/>
      </c>
      <c r="H915" s="394" t="str">
        <f t="shared" si="57"/>
        <v/>
      </c>
      <c r="I915" s="394" t="str">
        <f t="shared" si="58"/>
        <v/>
      </c>
      <c r="J915" s="394" t="str">
        <f t="shared" si="59"/>
        <v/>
      </c>
      <c r="K915" s="394" t="str">
        <f t="shared" si="60"/>
        <v/>
      </c>
      <c r="O915" s="370" t="str">
        <v/>
      </c>
      <c r="S915" s="1" t="str">
        <v/>
      </c>
    </row>
    <row r="916" spans="1:19" x14ac:dyDescent="0.25">
      <c r="A916" s="370" t="str">
        <v/>
      </c>
      <c r="H916" s="394" t="str">
        <f t="shared" si="57"/>
        <v/>
      </c>
      <c r="I916" s="394" t="str">
        <f t="shared" si="58"/>
        <v/>
      </c>
      <c r="J916" s="394" t="str">
        <f t="shared" si="59"/>
        <v/>
      </c>
      <c r="K916" s="394" t="str">
        <f t="shared" si="60"/>
        <v/>
      </c>
      <c r="O916" s="370" t="str">
        <v/>
      </c>
      <c r="S916" s="1" t="str">
        <v/>
      </c>
    </row>
    <row r="917" spans="1:19" x14ac:dyDescent="0.25">
      <c r="A917" s="370" t="str">
        <v/>
      </c>
      <c r="H917" s="394" t="str">
        <f t="shared" si="57"/>
        <v/>
      </c>
      <c r="I917" s="394" t="str">
        <f t="shared" si="58"/>
        <v/>
      </c>
      <c r="J917" s="394" t="str">
        <f t="shared" si="59"/>
        <v/>
      </c>
      <c r="K917" s="394" t="str">
        <f t="shared" si="60"/>
        <v/>
      </c>
      <c r="O917" s="370" t="str">
        <v/>
      </c>
      <c r="S917" s="1" t="str">
        <v/>
      </c>
    </row>
    <row r="918" spans="1:19" x14ac:dyDescent="0.25">
      <c r="A918" s="370" t="str">
        <v/>
      </c>
      <c r="H918" s="394" t="str">
        <f t="shared" si="57"/>
        <v/>
      </c>
      <c r="I918" s="394" t="str">
        <f t="shared" si="58"/>
        <v/>
      </c>
      <c r="J918" s="394" t="str">
        <f t="shared" si="59"/>
        <v/>
      </c>
      <c r="K918" s="394" t="str">
        <f t="shared" si="60"/>
        <v/>
      </c>
      <c r="O918" s="370" t="str">
        <v/>
      </c>
      <c r="S918" s="1" t="str">
        <v/>
      </c>
    </row>
    <row r="919" spans="1:19" x14ac:dyDescent="0.25">
      <c r="A919" s="370" t="str">
        <v/>
      </c>
      <c r="H919" s="394" t="str">
        <f t="shared" ref="H919:H982" si="61">IF($C919="","",ROUND((($B$2*$F919*($B$5/1000))/$B$6)*(1+IF($B$18="",0,$B$18)),2))</f>
        <v/>
      </c>
      <c r="I919" s="394" t="str">
        <f t="shared" ref="I919:I982" si="62">IF($C919="","",ROUND((($B$3*$F919*($B$5/1000))/$B$6)*(1+IF($B$18="",0,$B$18)),2))</f>
        <v/>
      </c>
      <c r="J919" s="394" t="str">
        <f t="shared" ref="J919:J982" si="63">IF(OR($C919="",$B$9="",$B$15=""),"",ROUND((((((IF($B$15="N/A",$B$2,$B$4))*$F919*($B$5/1000))+((($G919/1000)*($B$5/1000)*10.7639104)*(IF($B$9="Smooth",$B$10,IF($B$9="Sand",$B$11,0)))))*(1+$B$17))/$B$8)*(1+IF($B$18="",0,$B$18)),2))</f>
        <v/>
      </c>
      <c r="K919" s="394" t="str">
        <f t="shared" ref="K919:K982" si="64">IF(OR($C919="",$B$12="",$B$15=""),"",ROUND((((((IF($B$15="N/A",$B$2,$B$4))*$F919*($B$5/1000))+((($G919/1000)*($B$5/1000)*10.7639104)*(IF($B$12="Indoor",$B$13,IF($B$12="Outdoor",$B$14,0)))))*(1+$B$17))/$B$8)*(1+IF($B$18="",0,$B$18)),2))</f>
        <v/>
      </c>
      <c r="O919" s="370" t="str">
        <v/>
      </c>
      <c r="S919" s="1" t="str">
        <v/>
      </c>
    </row>
    <row r="920" spans="1:19" x14ac:dyDescent="0.25">
      <c r="A920" s="370" t="str">
        <v/>
      </c>
      <c r="H920" s="394" t="str">
        <f t="shared" si="61"/>
        <v/>
      </c>
      <c r="I920" s="394" t="str">
        <f t="shared" si="62"/>
        <v/>
      </c>
      <c r="J920" s="394" t="str">
        <f t="shared" si="63"/>
        <v/>
      </c>
      <c r="K920" s="394" t="str">
        <f t="shared" si="64"/>
        <v/>
      </c>
      <c r="O920" s="370" t="str">
        <v/>
      </c>
      <c r="S920" s="1" t="str">
        <v/>
      </c>
    </row>
    <row r="921" spans="1:19" x14ac:dyDescent="0.25">
      <c r="A921" s="370" t="str">
        <v/>
      </c>
      <c r="H921" s="394" t="str">
        <f t="shared" si="61"/>
        <v/>
      </c>
      <c r="I921" s="394" t="str">
        <f t="shared" si="62"/>
        <v/>
      </c>
      <c r="J921" s="394" t="str">
        <f t="shared" si="63"/>
        <v/>
      </c>
      <c r="K921" s="394" t="str">
        <f t="shared" si="64"/>
        <v/>
      </c>
      <c r="O921" s="370" t="str">
        <v/>
      </c>
      <c r="S921" s="1" t="str">
        <v/>
      </c>
    </row>
    <row r="922" spans="1:19" x14ac:dyDescent="0.25">
      <c r="A922" s="370" t="str">
        <v/>
      </c>
      <c r="H922" s="394" t="str">
        <f t="shared" si="61"/>
        <v/>
      </c>
      <c r="I922" s="394" t="str">
        <f t="shared" si="62"/>
        <v/>
      </c>
      <c r="J922" s="394" t="str">
        <f t="shared" si="63"/>
        <v/>
      </c>
      <c r="K922" s="394" t="str">
        <f t="shared" si="64"/>
        <v/>
      </c>
      <c r="O922" s="370" t="str">
        <v/>
      </c>
      <c r="S922" s="1" t="str">
        <v/>
      </c>
    </row>
    <row r="923" spans="1:19" x14ac:dyDescent="0.25">
      <c r="A923" s="370" t="str">
        <v/>
      </c>
      <c r="H923" s="394" t="str">
        <f t="shared" si="61"/>
        <v/>
      </c>
      <c r="I923" s="394" t="str">
        <f t="shared" si="62"/>
        <v/>
      </c>
      <c r="J923" s="394" t="str">
        <f t="shared" si="63"/>
        <v/>
      </c>
      <c r="K923" s="394" t="str">
        <f t="shared" si="64"/>
        <v/>
      </c>
      <c r="O923" s="370" t="str">
        <v/>
      </c>
      <c r="S923" s="1" t="str">
        <v/>
      </c>
    </row>
    <row r="924" spans="1:19" x14ac:dyDescent="0.25">
      <c r="A924" s="370" t="str">
        <v/>
      </c>
      <c r="H924" s="394" t="str">
        <f t="shared" si="61"/>
        <v/>
      </c>
      <c r="I924" s="394" t="str">
        <f t="shared" si="62"/>
        <v/>
      </c>
      <c r="J924" s="394" t="str">
        <f t="shared" si="63"/>
        <v/>
      </c>
      <c r="K924" s="394" t="str">
        <f t="shared" si="64"/>
        <v/>
      </c>
      <c r="O924" s="370" t="str">
        <v/>
      </c>
      <c r="S924" s="1" t="str">
        <v/>
      </c>
    </row>
    <row r="925" spans="1:19" x14ac:dyDescent="0.25">
      <c r="A925" s="370" t="str">
        <v/>
      </c>
      <c r="H925" s="394" t="str">
        <f t="shared" si="61"/>
        <v/>
      </c>
      <c r="I925" s="394" t="str">
        <f t="shared" si="62"/>
        <v/>
      </c>
      <c r="J925" s="394" t="str">
        <f t="shared" si="63"/>
        <v/>
      </c>
      <c r="K925" s="394" t="str">
        <f t="shared" si="64"/>
        <v/>
      </c>
      <c r="O925" s="370" t="str">
        <v/>
      </c>
      <c r="S925" s="1" t="str">
        <v/>
      </c>
    </row>
    <row r="926" spans="1:19" x14ac:dyDescent="0.25">
      <c r="A926" s="370" t="str">
        <v/>
      </c>
      <c r="H926" s="394" t="str">
        <f t="shared" si="61"/>
        <v/>
      </c>
      <c r="I926" s="394" t="str">
        <f t="shared" si="62"/>
        <v/>
      </c>
      <c r="J926" s="394" t="str">
        <f t="shared" si="63"/>
        <v/>
      </c>
      <c r="K926" s="394" t="str">
        <f t="shared" si="64"/>
        <v/>
      </c>
      <c r="O926" s="370" t="str">
        <v/>
      </c>
      <c r="S926" s="1" t="str">
        <v/>
      </c>
    </row>
    <row r="927" spans="1:19" x14ac:dyDescent="0.25">
      <c r="A927" s="370" t="str">
        <v/>
      </c>
      <c r="H927" s="394" t="str">
        <f t="shared" si="61"/>
        <v/>
      </c>
      <c r="I927" s="394" t="str">
        <f t="shared" si="62"/>
        <v/>
      </c>
      <c r="J927" s="394" t="str">
        <f t="shared" si="63"/>
        <v/>
      </c>
      <c r="K927" s="394" t="str">
        <f t="shared" si="64"/>
        <v/>
      </c>
      <c r="O927" s="370" t="str">
        <v/>
      </c>
      <c r="S927" s="1" t="str">
        <v/>
      </c>
    </row>
    <row r="928" spans="1:19" x14ac:dyDescent="0.25">
      <c r="A928" s="370" t="str">
        <v/>
      </c>
      <c r="H928" s="394" t="str">
        <f t="shared" si="61"/>
        <v/>
      </c>
      <c r="I928" s="394" t="str">
        <f t="shared" si="62"/>
        <v/>
      </c>
      <c r="J928" s="394" t="str">
        <f t="shared" si="63"/>
        <v/>
      </c>
      <c r="K928" s="394" t="str">
        <f t="shared" si="64"/>
        <v/>
      </c>
      <c r="O928" s="370" t="str">
        <v/>
      </c>
      <c r="S928" s="1" t="str">
        <v/>
      </c>
    </row>
    <row r="929" spans="1:19" x14ac:dyDescent="0.25">
      <c r="A929" s="370" t="str">
        <v/>
      </c>
      <c r="H929" s="394" t="str">
        <f t="shared" si="61"/>
        <v/>
      </c>
      <c r="I929" s="394" t="str">
        <f t="shared" si="62"/>
        <v/>
      </c>
      <c r="J929" s="394" t="str">
        <f t="shared" si="63"/>
        <v/>
      </c>
      <c r="K929" s="394" t="str">
        <f t="shared" si="64"/>
        <v/>
      </c>
      <c r="O929" s="370" t="str">
        <v/>
      </c>
      <c r="S929" s="1" t="str">
        <v/>
      </c>
    </row>
    <row r="930" spans="1:19" x14ac:dyDescent="0.25">
      <c r="A930" s="370" t="str">
        <v/>
      </c>
      <c r="H930" s="394" t="str">
        <f t="shared" si="61"/>
        <v/>
      </c>
      <c r="I930" s="394" t="str">
        <f t="shared" si="62"/>
        <v/>
      </c>
      <c r="J930" s="394" t="str">
        <f t="shared" si="63"/>
        <v/>
      </c>
      <c r="K930" s="394" t="str">
        <f t="shared" si="64"/>
        <v/>
      </c>
      <c r="O930" s="370" t="str">
        <v/>
      </c>
      <c r="S930" s="1" t="str">
        <v/>
      </c>
    </row>
    <row r="931" spans="1:19" x14ac:dyDescent="0.25">
      <c r="A931" s="370" t="str">
        <v/>
      </c>
      <c r="H931" s="394" t="str">
        <f t="shared" si="61"/>
        <v/>
      </c>
      <c r="I931" s="394" t="str">
        <f t="shared" si="62"/>
        <v/>
      </c>
      <c r="J931" s="394" t="str">
        <f t="shared" si="63"/>
        <v/>
      </c>
      <c r="K931" s="394" t="str">
        <f t="shared" si="64"/>
        <v/>
      </c>
      <c r="O931" s="370" t="str">
        <v/>
      </c>
      <c r="S931" s="1" t="str">
        <v/>
      </c>
    </row>
    <row r="932" spans="1:19" x14ac:dyDescent="0.25">
      <c r="A932" s="370" t="str">
        <v/>
      </c>
      <c r="H932" s="394" t="str">
        <f t="shared" si="61"/>
        <v/>
      </c>
      <c r="I932" s="394" t="str">
        <f t="shared" si="62"/>
        <v/>
      </c>
      <c r="J932" s="394" t="str">
        <f t="shared" si="63"/>
        <v/>
      </c>
      <c r="K932" s="394" t="str">
        <f t="shared" si="64"/>
        <v/>
      </c>
      <c r="O932" s="370" t="str">
        <v/>
      </c>
      <c r="S932" s="1" t="str">
        <v/>
      </c>
    </row>
    <row r="933" spans="1:19" x14ac:dyDescent="0.25">
      <c r="A933" s="370" t="str">
        <v/>
      </c>
      <c r="H933" s="394" t="str">
        <f t="shared" si="61"/>
        <v/>
      </c>
      <c r="I933" s="394" t="str">
        <f t="shared" si="62"/>
        <v/>
      </c>
      <c r="J933" s="394" t="str">
        <f t="shared" si="63"/>
        <v/>
      </c>
      <c r="K933" s="394" t="str">
        <f t="shared" si="64"/>
        <v/>
      </c>
      <c r="O933" s="370" t="str">
        <v/>
      </c>
      <c r="S933" s="1" t="str">
        <v/>
      </c>
    </row>
    <row r="934" spans="1:19" x14ac:dyDescent="0.25">
      <c r="A934" s="370" t="str">
        <v/>
      </c>
      <c r="H934" s="394" t="str">
        <f t="shared" si="61"/>
        <v/>
      </c>
      <c r="I934" s="394" t="str">
        <f t="shared" si="62"/>
        <v/>
      </c>
      <c r="J934" s="394" t="str">
        <f t="shared" si="63"/>
        <v/>
      </c>
      <c r="K934" s="394" t="str">
        <f t="shared" si="64"/>
        <v/>
      </c>
      <c r="O934" s="370" t="str">
        <v/>
      </c>
      <c r="S934" s="1" t="str">
        <v/>
      </c>
    </row>
    <row r="935" spans="1:19" x14ac:dyDescent="0.25">
      <c r="A935" s="370" t="str">
        <v/>
      </c>
      <c r="H935" s="394" t="str">
        <f t="shared" si="61"/>
        <v/>
      </c>
      <c r="I935" s="394" t="str">
        <f t="shared" si="62"/>
        <v/>
      </c>
      <c r="J935" s="394" t="str">
        <f t="shared" si="63"/>
        <v/>
      </c>
      <c r="K935" s="394" t="str">
        <f t="shared" si="64"/>
        <v/>
      </c>
      <c r="O935" s="370" t="str">
        <v/>
      </c>
      <c r="S935" s="1" t="str">
        <v/>
      </c>
    </row>
    <row r="936" spans="1:19" x14ac:dyDescent="0.25">
      <c r="A936" s="370" t="str">
        <v/>
      </c>
      <c r="H936" s="394" t="str">
        <f t="shared" si="61"/>
        <v/>
      </c>
      <c r="I936" s="394" t="str">
        <f t="shared" si="62"/>
        <v/>
      </c>
      <c r="J936" s="394" t="str">
        <f t="shared" si="63"/>
        <v/>
      </c>
      <c r="K936" s="394" t="str">
        <f t="shared" si="64"/>
        <v/>
      </c>
      <c r="O936" s="370" t="str">
        <v/>
      </c>
      <c r="S936" s="1" t="str">
        <v/>
      </c>
    </row>
    <row r="937" spans="1:19" x14ac:dyDescent="0.25">
      <c r="A937" s="370" t="str">
        <v/>
      </c>
      <c r="H937" s="394" t="str">
        <f t="shared" si="61"/>
        <v/>
      </c>
      <c r="I937" s="394" t="str">
        <f t="shared" si="62"/>
        <v/>
      </c>
      <c r="J937" s="394" t="str">
        <f t="shared" si="63"/>
        <v/>
      </c>
      <c r="K937" s="394" t="str">
        <f t="shared" si="64"/>
        <v/>
      </c>
      <c r="O937" s="370" t="str">
        <v/>
      </c>
      <c r="S937" s="1" t="str">
        <v/>
      </c>
    </row>
    <row r="938" spans="1:19" x14ac:dyDescent="0.25">
      <c r="A938" s="370" t="str">
        <v/>
      </c>
      <c r="H938" s="394" t="str">
        <f t="shared" si="61"/>
        <v/>
      </c>
      <c r="I938" s="394" t="str">
        <f t="shared" si="62"/>
        <v/>
      </c>
      <c r="J938" s="394" t="str">
        <f t="shared" si="63"/>
        <v/>
      </c>
      <c r="K938" s="394" t="str">
        <f t="shared" si="64"/>
        <v/>
      </c>
      <c r="O938" s="370" t="str">
        <v/>
      </c>
      <c r="S938" s="1" t="str">
        <v/>
      </c>
    </row>
    <row r="939" spans="1:19" x14ac:dyDescent="0.25">
      <c r="A939" s="370" t="str">
        <v/>
      </c>
      <c r="H939" s="394" t="str">
        <f t="shared" si="61"/>
        <v/>
      </c>
      <c r="I939" s="394" t="str">
        <f t="shared" si="62"/>
        <v/>
      </c>
      <c r="J939" s="394" t="str">
        <f t="shared" si="63"/>
        <v/>
      </c>
      <c r="K939" s="394" t="str">
        <f t="shared" si="64"/>
        <v/>
      </c>
      <c r="O939" s="370" t="str">
        <v/>
      </c>
      <c r="S939" s="1" t="str">
        <v/>
      </c>
    </row>
    <row r="940" spans="1:19" x14ac:dyDescent="0.25">
      <c r="A940" s="370" t="str">
        <v/>
      </c>
      <c r="H940" s="394" t="str">
        <f t="shared" si="61"/>
        <v/>
      </c>
      <c r="I940" s="394" t="str">
        <f t="shared" si="62"/>
        <v/>
      </c>
      <c r="J940" s="394" t="str">
        <f t="shared" si="63"/>
        <v/>
      </c>
      <c r="K940" s="394" t="str">
        <f t="shared" si="64"/>
        <v/>
      </c>
      <c r="O940" s="370" t="str">
        <v/>
      </c>
      <c r="S940" s="1" t="str">
        <v/>
      </c>
    </row>
    <row r="941" spans="1:19" x14ac:dyDescent="0.25">
      <c r="A941" s="370" t="str">
        <v/>
      </c>
      <c r="H941" s="394" t="str">
        <f t="shared" si="61"/>
        <v/>
      </c>
      <c r="I941" s="394" t="str">
        <f t="shared" si="62"/>
        <v/>
      </c>
      <c r="J941" s="394" t="str">
        <f t="shared" si="63"/>
        <v/>
      </c>
      <c r="K941" s="394" t="str">
        <f t="shared" si="64"/>
        <v/>
      </c>
      <c r="O941" s="370" t="str">
        <v/>
      </c>
      <c r="S941" s="1" t="str">
        <v/>
      </c>
    </row>
    <row r="942" spans="1:19" x14ac:dyDescent="0.25">
      <c r="A942" s="370" t="str">
        <v/>
      </c>
      <c r="H942" s="394" t="str">
        <f t="shared" si="61"/>
        <v/>
      </c>
      <c r="I942" s="394" t="str">
        <f t="shared" si="62"/>
        <v/>
      </c>
      <c r="J942" s="394" t="str">
        <f t="shared" si="63"/>
        <v/>
      </c>
      <c r="K942" s="394" t="str">
        <f t="shared" si="64"/>
        <v/>
      </c>
      <c r="O942" s="370" t="str">
        <v/>
      </c>
      <c r="S942" s="1" t="str">
        <v/>
      </c>
    </row>
    <row r="943" spans="1:19" x14ac:dyDescent="0.25">
      <c r="A943" s="370" t="str">
        <v/>
      </c>
      <c r="H943" s="394" t="str">
        <f t="shared" si="61"/>
        <v/>
      </c>
      <c r="I943" s="394" t="str">
        <f t="shared" si="62"/>
        <v/>
      </c>
      <c r="J943" s="394" t="str">
        <f t="shared" si="63"/>
        <v/>
      </c>
      <c r="K943" s="394" t="str">
        <f t="shared" si="64"/>
        <v/>
      </c>
      <c r="O943" s="370" t="str">
        <v/>
      </c>
      <c r="S943" s="1" t="str">
        <v/>
      </c>
    </row>
    <row r="944" spans="1:19" x14ac:dyDescent="0.25">
      <c r="A944" s="370" t="str">
        <v/>
      </c>
      <c r="H944" s="394" t="str">
        <f t="shared" si="61"/>
        <v/>
      </c>
      <c r="I944" s="394" t="str">
        <f t="shared" si="62"/>
        <v/>
      </c>
      <c r="J944" s="394" t="str">
        <f t="shared" si="63"/>
        <v/>
      </c>
      <c r="K944" s="394" t="str">
        <f t="shared" si="64"/>
        <v/>
      </c>
      <c r="O944" s="370" t="str">
        <v/>
      </c>
      <c r="S944" s="1" t="str">
        <v/>
      </c>
    </row>
    <row r="945" spans="1:19" x14ac:dyDescent="0.25">
      <c r="A945" s="370" t="str">
        <v/>
      </c>
      <c r="H945" s="394" t="str">
        <f t="shared" si="61"/>
        <v/>
      </c>
      <c r="I945" s="394" t="str">
        <f t="shared" si="62"/>
        <v/>
      </c>
      <c r="J945" s="394" t="str">
        <f t="shared" si="63"/>
        <v/>
      </c>
      <c r="K945" s="394" t="str">
        <f t="shared" si="64"/>
        <v/>
      </c>
      <c r="O945" s="370" t="str">
        <v/>
      </c>
      <c r="S945" s="1" t="str">
        <v/>
      </c>
    </row>
    <row r="946" spans="1:19" x14ac:dyDescent="0.25">
      <c r="A946" s="370" t="str">
        <v/>
      </c>
      <c r="H946" s="394" t="str">
        <f t="shared" si="61"/>
        <v/>
      </c>
      <c r="I946" s="394" t="str">
        <f t="shared" si="62"/>
        <v/>
      </c>
      <c r="J946" s="394" t="str">
        <f t="shared" si="63"/>
        <v/>
      </c>
      <c r="K946" s="394" t="str">
        <f t="shared" si="64"/>
        <v/>
      </c>
      <c r="O946" s="370" t="str">
        <v/>
      </c>
      <c r="S946" s="1" t="str">
        <v/>
      </c>
    </row>
    <row r="947" spans="1:19" x14ac:dyDescent="0.25">
      <c r="A947" s="370" t="str">
        <v/>
      </c>
      <c r="H947" s="394" t="str">
        <f t="shared" si="61"/>
        <v/>
      </c>
      <c r="I947" s="394" t="str">
        <f t="shared" si="62"/>
        <v/>
      </c>
      <c r="J947" s="394" t="str">
        <f t="shared" si="63"/>
        <v/>
      </c>
      <c r="K947" s="394" t="str">
        <f t="shared" si="64"/>
        <v/>
      </c>
      <c r="O947" s="370" t="str">
        <v/>
      </c>
      <c r="S947" s="1" t="str">
        <v/>
      </c>
    </row>
    <row r="948" spans="1:19" x14ac:dyDescent="0.25">
      <c r="A948" s="370" t="str">
        <v/>
      </c>
      <c r="H948" s="394" t="str">
        <f t="shared" si="61"/>
        <v/>
      </c>
      <c r="I948" s="394" t="str">
        <f t="shared" si="62"/>
        <v/>
      </c>
      <c r="J948" s="394" t="str">
        <f t="shared" si="63"/>
        <v/>
      </c>
      <c r="K948" s="394" t="str">
        <f t="shared" si="64"/>
        <v/>
      </c>
      <c r="O948" s="370" t="str">
        <v/>
      </c>
      <c r="S948" s="1" t="str">
        <v/>
      </c>
    </row>
    <row r="949" spans="1:19" x14ac:dyDescent="0.25">
      <c r="A949" s="370" t="str">
        <v/>
      </c>
      <c r="H949" s="394" t="str">
        <f t="shared" si="61"/>
        <v/>
      </c>
      <c r="I949" s="394" t="str">
        <f t="shared" si="62"/>
        <v/>
      </c>
      <c r="J949" s="394" t="str">
        <f t="shared" si="63"/>
        <v/>
      </c>
      <c r="K949" s="394" t="str">
        <f t="shared" si="64"/>
        <v/>
      </c>
      <c r="O949" s="370" t="str">
        <v/>
      </c>
      <c r="S949" s="1" t="str">
        <v/>
      </c>
    </row>
    <row r="950" spans="1:19" x14ac:dyDescent="0.25">
      <c r="A950" s="370" t="str">
        <v/>
      </c>
      <c r="H950" s="394" t="str">
        <f t="shared" si="61"/>
        <v/>
      </c>
      <c r="I950" s="394" t="str">
        <f t="shared" si="62"/>
        <v/>
      </c>
      <c r="J950" s="394" t="str">
        <f t="shared" si="63"/>
        <v/>
      </c>
      <c r="K950" s="394" t="str">
        <f t="shared" si="64"/>
        <v/>
      </c>
      <c r="O950" s="370" t="str">
        <v/>
      </c>
      <c r="S950" s="1" t="str">
        <v/>
      </c>
    </row>
    <row r="951" spans="1:19" x14ac:dyDescent="0.25">
      <c r="A951" s="370" t="str">
        <v/>
      </c>
      <c r="H951" s="394" t="str">
        <f t="shared" si="61"/>
        <v/>
      </c>
      <c r="I951" s="394" t="str">
        <f t="shared" si="62"/>
        <v/>
      </c>
      <c r="J951" s="394" t="str">
        <f t="shared" si="63"/>
        <v/>
      </c>
      <c r="K951" s="394" t="str">
        <f t="shared" si="64"/>
        <v/>
      </c>
      <c r="O951" s="370" t="str">
        <v/>
      </c>
      <c r="S951" s="1" t="str">
        <v/>
      </c>
    </row>
    <row r="952" spans="1:19" x14ac:dyDescent="0.25">
      <c r="A952" s="370" t="str">
        <v/>
      </c>
      <c r="H952" s="394" t="str">
        <f t="shared" si="61"/>
        <v/>
      </c>
      <c r="I952" s="394" t="str">
        <f t="shared" si="62"/>
        <v/>
      </c>
      <c r="J952" s="394" t="str">
        <f t="shared" si="63"/>
        <v/>
      </c>
      <c r="K952" s="394" t="str">
        <f t="shared" si="64"/>
        <v/>
      </c>
      <c r="O952" s="370" t="str">
        <v/>
      </c>
      <c r="S952" s="1" t="str">
        <v/>
      </c>
    </row>
    <row r="953" spans="1:19" x14ac:dyDescent="0.25">
      <c r="A953" s="370" t="str">
        <v/>
      </c>
      <c r="H953" s="394" t="str">
        <f t="shared" si="61"/>
        <v/>
      </c>
      <c r="I953" s="394" t="str">
        <f t="shared" si="62"/>
        <v/>
      </c>
      <c r="J953" s="394" t="str">
        <f t="shared" si="63"/>
        <v/>
      </c>
      <c r="K953" s="394" t="str">
        <f t="shared" si="64"/>
        <v/>
      </c>
      <c r="O953" s="370" t="str">
        <v/>
      </c>
      <c r="S953" s="1" t="str">
        <v/>
      </c>
    </row>
    <row r="954" spans="1:19" x14ac:dyDescent="0.25">
      <c r="A954" s="370" t="str">
        <v/>
      </c>
      <c r="H954" s="394" t="str">
        <f t="shared" si="61"/>
        <v/>
      </c>
      <c r="I954" s="394" t="str">
        <f t="shared" si="62"/>
        <v/>
      </c>
      <c r="J954" s="394" t="str">
        <f t="shared" si="63"/>
        <v/>
      </c>
      <c r="K954" s="394" t="str">
        <f t="shared" si="64"/>
        <v/>
      </c>
      <c r="O954" s="370" t="str">
        <v/>
      </c>
      <c r="S954" s="1" t="str">
        <v/>
      </c>
    </row>
    <row r="955" spans="1:19" x14ac:dyDescent="0.25">
      <c r="A955" s="370" t="str">
        <v/>
      </c>
      <c r="H955" s="394" t="str">
        <f t="shared" si="61"/>
        <v/>
      </c>
      <c r="I955" s="394" t="str">
        <f t="shared" si="62"/>
        <v/>
      </c>
      <c r="J955" s="394" t="str">
        <f t="shared" si="63"/>
        <v/>
      </c>
      <c r="K955" s="394" t="str">
        <f t="shared" si="64"/>
        <v/>
      </c>
      <c r="O955" s="370" t="str">
        <v/>
      </c>
      <c r="S955" s="1" t="str">
        <v/>
      </c>
    </row>
    <row r="956" spans="1:19" x14ac:dyDescent="0.25">
      <c r="A956" s="370" t="str">
        <v/>
      </c>
      <c r="H956" s="394" t="str">
        <f t="shared" si="61"/>
        <v/>
      </c>
      <c r="I956" s="394" t="str">
        <f t="shared" si="62"/>
        <v/>
      </c>
      <c r="J956" s="394" t="str">
        <f t="shared" si="63"/>
        <v/>
      </c>
      <c r="K956" s="394" t="str">
        <f t="shared" si="64"/>
        <v/>
      </c>
      <c r="O956" s="370" t="str">
        <v/>
      </c>
      <c r="S956" s="1" t="str">
        <v/>
      </c>
    </row>
    <row r="957" spans="1:19" x14ac:dyDescent="0.25">
      <c r="A957" s="370" t="str">
        <v/>
      </c>
      <c r="H957" s="394" t="str">
        <f t="shared" si="61"/>
        <v/>
      </c>
      <c r="I957" s="394" t="str">
        <f t="shared" si="62"/>
        <v/>
      </c>
      <c r="J957" s="394" t="str">
        <f t="shared" si="63"/>
        <v/>
      </c>
      <c r="K957" s="394" t="str">
        <f t="shared" si="64"/>
        <v/>
      </c>
      <c r="O957" s="370" t="str">
        <v/>
      </c>
      <c r="S957" s="1" t="str">
        <v/>
      </c>
    </row>
    <row r="958" spans="1:19" x14ac:dyDescent="0.25">
      <c r="A958" s="370" t="str">
        <v/>
      </c>
      <c r="H958" s="394" t="str">
        <f t="shared" si="61"/>
        <v/>
      </c>
      <c r="I958" s="394" t="str">
        <f t="shared" si="62"/>
        <v/>
      </c>
      <c r="J958" s="394" t="str">
        <f t="shared" si="63"/>
        <v/>
      </c>
      <c r="K958" s="394" t="str">
        <f t="shared" si="64"/>
        <v/>
      </c>
      <c r="O958" s="370" t="str">
        <v/>
      </c>
      <c r="S958" s="1" t="str">
        <v/>
      </c>
    </row>
    <row r="959" spans="1:19" x14ac:dyDescent="0.25">
      <c r="A959" s="370" t="str">
        <v/>
      </c>
      <c r="H959" s="394" t="str">
        <f t="shared" si="61"/>
        <v/>
      </c>
      <c r="I959" s="394" t="str">
        <f t="shared" si="62"/>
        <v/>
      </c>
      <c r="J959" s="394" t="str">
        <f t="shared" si="63"/>
        <v/>
      </c>
      <c r="K959" s="394" t="str">
        <f t="shared" si="64"/>
        <v/>
      </c>
      <c r="O959" s="370" t="str">
        <v/>
      </c>
      <c r="S959" s="1" t="str">
        <v/>
      </c>
    </row>
    <row r="960" spans="1:19" x14ac:dyDescent="0.25">
      <c r="A960" s="370" t="str">
        <v/>
      </c>
      <c r="H960" s="394" t="str">
        <f t="shared" si="61"/>
        <v/>
      </c>
      <c r="I960" s="394" t="str">
        <f t="shared" si="62"/>
        <v/>
      </c>
      <c r="J960" s="394" t="str">
        <f t="shared" si="63"/>
        <v/>
      </c>
      <c r="K960" s="394" t="str">
        <f t="shared" si="64"/>
        <v/>
      </c>
      <c r="O960" s="370" t="str">
        <v/>
      </c>
      <c r="S960" s="1" t="str">
        <v/>
      </c>
    </row>
    <row r="961" spans="1:19" x14ac:dyDescent="0.25">
      <c r="A961" s="370" t="str">
        <v/>
      </c>
      <c r="H961" s="394" t="str">
        <f t="shared" si="61"/>
        <v/>
      </c>
      <c r="I961" s="394" t="str">
        <f t="shared" si="62"/>
        <v/>
      </c>
      <c r="J961" s="394" t="str">
        <f t="shared" si="63"/>
        <v/>
      </c>
      <c r="K961" s="394" t="str">
        <f t="shared" si="64"/>
        <v/>
      </c>
      <c r="O961" s="370" t="str">
        <v/>
      </c>
      <c r="S961" s="1" t="str">
        <v/>
      </c>
    </row>
    <row r="962" spans="1:19" x14ac:dyDescent="0.25">
      <c r="A962" s="370" t="str">
        <v/>
      </c>
      <c r="H962" s="394" t="str">
        <f t="shared" si="61"/>
        <v/>
      </c>
      <c r="I962" s="394" t="str">
        <f t="shared" si="62"/>
        <v/>
      </c>
      <c r="J962" s="394" t="str">
        <f t="shared" si="63"/>
        <v/>
      </c>
      <c r="K962" s="394" t="str">
        <f t="shared" si="64"/>
        <v/>
      </c>
      <c r="O962" s="370" t="str">
        <v/>
      </c>
      <c r="S962" s="1" t="str">
        <v/>
      </c>
    </row>
    <row r="963" spans="1:19" x14ac:dyDescent="0.25">
      <c r="A963" s="370" t="str">
        <v/>
      </c>
      <c r="H963" s="394" t="str">
        <f t="shared" si="61"/>
        <v/>
      </c>
      <c r="I963" s="394" t="str">
        <f t="shared" si="62"/>
        <v/>
      </c>
      <c r="J963" s="394" t="str">
        <f t="shared" si="63"/>
        <v/>
      </c>
      <c r="K963" s="394" t="str">
        <f t="shared" si="64"/>
        <v/>
      </c>
      <c r="O963" s="370" t="str">
        <v/>
      </c>
      <c r="S963" s="1" t="str">
        <v/>
      </c>
    </row>
    <row r="964" spans="1:19" x14ac:dyDescent="0.25">
      <c r="A964" s="370" t="str">
        <v/>
      </c>
      <c r="H964" s="394" t="str">
        <f t="shared" si="61"/>
        <v/>
      </c>
      <c r="I964" s="394" t="str">
        <f t="shared" si="62"/>
        <v/>
      </c>
      <c r="J964" s="394" t="str">
        <f t="shared" si="63"/>
        <v/>
      </c>
      <c r="K964" s="394" t="str">
        <f t="shared" si="64"/>
        <v/>
      </c>
      <c r="O964" s="370" t="str">
        <v/>
      </c>
      <c r="S964" s="1" t="str">
        <v/>
      </c>
    </row>
    <row r="965" spans="1:19" x14ac:dyDescent="0.25">
      <c r="A965" s="370" t="str">
        <v/>
      </c>
      <c r="H965" s="394" t="str">
        <f t="shared" si="61"/>
        <v/>
      </c>
      <c r="I965" s="394" t="str">
        <f t="shared" si="62"/>
        <v/>
      </c>
      <c r="J965" s="394" t="str">
        <f t="shared" si="63"/>
        <v/>
      </c>
      <c r="K965" s="394" t="str">
        <f t="shared" si="64"/>
        <v/>
      </c>
      <c r="O965" s="370" t="str">
        <v/>
      </c>
      <c r="S965" s="1" t="str">
        <v/>
      </c>
    </row>
    <row r="966" spans="1:19" x14ac:dyDescent="0.25">
      <c r="A966" s="370" t="str">
        <v/>
      </c>
      <c r="H966" s="394" t="str">
        <f t="shared" si="61"/>
        <v/>
      </c>
      <c r="I966" s="394" t="str">
        <f t="shared" si="62"/>
        <v/>
      </c>
      <c r="J966" s="394" t="str">
        <f t="shared" si="63"/>
        <v/>
      </c>
      <c r="K966" s="394" t="str">
        <f t="shared" si="64"/>
        <v/>
      </c>
      <c r="O966" s="370" t="str">
        <v/>
      </c>
      <c r="S966" s="1" t="str">
        <v/>
      </c>
    </row>
    <row r="967" spans="1:19" x14ac:dyDescent="0.25">
      <c r="A967" s="370" t="str">
        <v/>
      </c>
      <c r="H967" s="394" t="str">
        <f t="shared" si="61"/>
        <v/>
      </c>
      <c r="I967" s="394" t="str">
        <f t="shared" si="62"/>
        <v/>
      </c>
      <c r="J967" s="394" t="str">
        <f t="shared" si="63"/>
        <v/>
      </c>
      <c r="K967" s="394" t="str">
        <f t="shared" si="64"/>
        <v/>
      </c>
      <c r="O967" s="370" t="str">
        <v/>
      </c>
      <c r="S967" s="1" t="str">
        <v/>
      </c>
    </row>
    <row r="968" spans="1:19" x14ac:dyDescent="0.25">
      <c r="A968" s="370" t="str">
        <v/>
      </c>
      <c r="H968" s="394" t="str">
        <f t="shared" si="61"/>
        <v/>
      </c>
      <c r="I968" s="394" t="str">
        <f t="shared" si="62"/>
        <v/>
      </c>
      <c r="J968" s="394" t="str">
        <f t="shared" si="63"/>
        <v/>
      </c>
      <c r="K968" s="394" t="str">
        <f t="shared" si="64"/>
        <v/>
      </c>
      <c r="O968" s="370" t="str">
        <v/>
      </c>
      <c r="S968" s="1" t="str">
        <v/>
      </c>
    </row>
    <row r="969" spans="1:19" x14ac:dyDescent="0.25">
      <c r="A969" s="370" t="str">
        <v/>
      </c>
      <c r="H969" s="394" t="str">
        <f t="shared" si="61"/>
        <v/>
      </c>
      <c r="I969" s="394" t="str">
        <f t="shared" si="62"/>
        <v/>
      </c>
      <c r="J969" s="394" t="str">
        <f t="shared" si="63"/>
        <v/>
      </c>
      <c r="K969" s="394" t="str">
        <f t="shared" si="64"/>
        <v/>
      </c>
      <c r="O969" s="370" t="str">
        <v/>
      </c>
      <c r="S969" s="1" t="str">
        <v/>
      </c>
    </row>
    <row r="970" spans="1:19" x14ac:dyDescent="0.25">
      <c r="A970" s="370" t="str">
        <v/>
      </c>
      <c r="H970" s="394" t="str">
        <f t="shared" si="61"/>
        <v/>
      </c>
      <c r="I970" s="394" t="str">
        <f t="shared" si="62"/>
        <v/>
      </c>
      <c r="J970" s="394" t="str">
        <f t="shared" si="63"/>
        <v/>
      </c>
      <c r="K970" s="394" t="str">
        <f t="shared" si="64"/>
        <v/>
      </c>
      <c r="O970" s="370" t="str">
        <v/>
      </c>
      <c r="S970" s="1" t="str">
        <v/>
      </c>
    </row>
    <row r="971" spans="1:19" x14ac:dyDescent="0.25">
      <c r="A971" s="370" t="str">
        <v/>
      </c>
      <c r="H971" s="394" t="str">
        <f t="shared" si="61"/>
        <v/>
      </c>
      <c r="I971" s="394" t="str">
        <f t="shared" si="62"/>
        <v/>
      </c>
      <c r="J971" s="394" t="str">
        <f t="shared" si="63"/>
        <v/>
      </c>
      <c r="K971" s="394" t="str">
        <f t="shared" si="64"/>
        <v/>
      </c>
      <c r="O971" s="370" t="str">
        <v/>
      </c>
      <c r="S971" s="1" t="str">
        <v/>
      </c>
    </row>
    <row r="972" spans="1:19" x14ac:dyDescent="0.25">
      <c r="A972" s="370" t="str">
        <v/>
      </c>
      <c r="H972" s="394" t="str">
        <f t="shared" si="61"/>
        <v/>
      </c>
      <c r="I972" s="394" t="str">
        <f t="shared" si="62"/>
        <v/>
      </c>
      <c r="J972" s="394" t="str">
        <f t="shared" si="63"/>
        <v/>
      </c>
      <c r="K972" s="394" t="str">
        <f t="shared" si="64"/>
        <v/>
      </c>
      <c r="O972" s="370" t="str">
        <v/>
      </c>
      <c r="S972" s="1" t="str">
        <v/>
      </c>
    </row>
    <row r="973" spans="1:19" x14ac:dyDescent="0.25">
      <c r="A973" s="370" t="str">
        <v/>
      </c>
      <c r="H973" s="394" t="str">
        <f t="shared" si="61"/>
        <v/>
      </c>
      <c r="I973" s="394" t="str">
        <f t="shared" si="62"/>
        <v/>
      </c>
      <c r="J973" s="394" t="str">
        <f t="shared" si="63"/>
        <v/>
      </c>
      <c r="K973" s="394" t="str">
        <f t="shared" si="64"/>
        <v/>
      </c>
      <c r="O973" s="370" t="str">
        <v/>
      </c>
      <c r="S973" s="1" t="str">
        <v/>
      </c>
    </row>
    <row r="974" spans="1:19" x14ac:dyDescent="0.25">
      <c r="A974" s="370" t="str">
        <v/>
      </c>
      <c r="H974" s="394" t="str">
        <f t="shared" si="61"/>
        <v/>
      </c>
      <c r="I974" s="394" t="str">
        <f t="shared" si="62"/>
        <v/>
      </c>
      <c r="J974" s="394" t="str">
        <f t="shared" si="63"/>
        <v/>
      </c>
      <c r="K974" s="394" t="str">
        <f t="shared" si="64"/>
        <v/>
      </c>
      <c r="O974" s="370" t="str">
        <v/>
      </c>
      <c r="S974" s="1" t="str">
        <v/>
      </c>
    </row>
    <row r="975" spans="1:19" x14ac:dyDescent="0.25">
      <c r="A975" s="370" t="str">
        <v/>
      </c>
      <c r="H975" s="394" t="str">
        <f t="shared" si="61"/>
        <v/>
      </c>
      <c r="I975" s="394" t="str">
        <f t="shared" si="62"/>
        <v/>
      </c>
      <c r="J975" s="394" t="str">
        <f t="shared" si="63"/>
        <v/>
      </c>
      <c r="K975" s="394" t="str">
        <f t="shared" si="64"/>
        <v/>
      </c>
      <c r="O975" s="370" t="str">
        <v/>
      </c>
      <c r="S975" s="1" t="str">
        <v/>
      </c>
    </row>
    <row r="976" spans="1:19" x14ac:dyDescent="0.25">
      <c r="A976" s="370" t="str">
        <v/>
      </c>
      <c r="H976" s="394" t="str">
        <f t="shared" si="61"/>
        <v/>
      </c>
      <c r="I976" s="394" t="str">
        <f t="shared" si="62"/>
        <v/>
      </c>
      <c r="J976" s="394" t="str">
        <f t="shared" si="63"/>
        <v/>
      </c>
      <c r="K976" s="394" t="str">
        <f t="shared" si="64"/>
        <v/>
      </c>
      <c r="O976" s="370" t="str">
        <v/>
      </c>
      <c r="S976" s="1" t="str">
        <v/>
      </c>
    </row>
    <row r="977" spans="1:19" x14ac:dyDescent="0.25">
      <c r="A977" s="370" t="str">
        <v/>
      </c>
      <c r="H977" s="394" t="str">
        <f t="shared" si="61"/>
        <v/>
      </c>
      <c r="I977" s="394" t="str">
        <f t="shared" si="62"/>
        <v/>
      </c>
      <c r="J977" s="394" t="str">
        <f t="shared" si="63"/>
        <v/>
      </c>
      <c r="K977" s="394" t="str">
        <f t="shared" si="64"/>
        <v/>
      </c>
      <c r="O977" s="370" t="str">
        <v/>
      </c>
      <c r="S977" s="1" t="str">
        <v/>
      </c>
    </row>
    <row r="978" spans="1:19" x14ac:dyDescent="0.25">
      <c r="A978" s="370" t="str">
        <v/>
      </c>
      <c r="H978" s="394" t="str">
        <f t="shared" si="61"/>
        <v/>
      </c>
      <c r="I978" s="394" t="str">
        <f t="shared" si="62"/>
        <v/>
      </c>
      <c r="J978" s="394" t="str">
        <f t="shared" si="63"/>
        <v/>
      </c>
      <c r="K978" s="394" t="str">
        <f t="shared" si="64"/>
        <v/>
      </c>
      <c r="O978" s="370" t="str">
        <v/>
      </c>
      <c r="S978" s="1" t="str">
        <v/>
      </c>
    </row>
    <row r="979" spans="1:19" x14ac:dyDescent="0.25">
      <c r="A979" s="370" t="str">
        <v/>
      </c>
      <c r="H979" s="394" t="str">
        <f t="shared" si="61"/>
        <v/>
      </c>
      <c r="I979" s="394" t="str">
        <f t="shared" si="62"/>
        <v/>
      </c>
      <c r="J979" s="394" t="str">
        <f t="shared" si="63"/>
        <v/>
      </c>
      <c r="K979" s="394" t="str">
        <f t="shared" si="64"/>
        <v/>
      </c>
      <c r="O979" s="370" t="str">
        <v/>
      </c>
      <c r="S979" s="1" t="str">
        <v/>
      </c>
    </row>
    <row r="980" spans="1:19" x14ac:dyDescent="0.25">
      <c r="A980" s="370" t="str">
        <v/>
      </c>
      <c r="H980" s="394" t="str">
        <f t="shared" si="61"/>
        <v/>
      </c>
      <c r="I980" s="394" t="str">
        <f t="shared" si="62"/>
        <v/>
      </c>
      <c r="J980" s="394" t="str">
        <f t="shared" si="63"/>
        <v/>
      </c>
      <c r="K980" s="394" t="str">
        <f t="shared" si="64"/>
        <v/>
      </c>
      <c r="O980" s="370" t="str">
        <v/>
      </c>
      <c r="S980" s="1" t="str">
        <v/>
      </c>
    </row>
    <row r="981" spans="1:19" x14ac:dyDescent="0.25">
      <c r="A981" s="370" t="str">
        <v/>
      </c>
      <c r="H981" s="394" t="str">
        <f t="shared" si="61"/>
        <v/>
      </c>
      <c r="I981" s="394" t="str">
        <f t="shared" si="62"/>
        <v/>
      </c>
      <c r="J981" s="394" t="str">
        <f t="shared" si="63"/>
        <v/>
      </c>
      <c r="K981" s="394" t="str">
        <f t="shared" si="64"/>
        <v/>
      </c>
      <c r="O981" s="370" t="str">
        <v/>
      </c>
      <c r="S981" s="1" t="str">
        <v/>
      </c>
    </row>
    <row r="982" spans="1:19" x14ac:dyDescent="0.25">
      <c r="A982" s="370" t="str">
        <v/>
      </c>
      <c r="H982" s="394" t="str">
        <f t="shared" si="61"/>
        <v/>
      </c>
      <c r="I982" s="394" t="str">
        <f t="shared" si="62"/>
        <v/>
      </c>
      <c r="J982" s="394" t="str">
        <f t="shared" si="63"/>
        <v/>
      </c>
      <c r="K982" s="394" t="str">
        <f t="shared" si="64"/>
        <v/>
      </c>
      <c r="O982" s="370" t="str">
        <v/>
      </c>
      <c r="S982" s="1" t="str">
        <v/>
      </c>
    </row>
    <row r="983" spans="1:19" x14ac:dyDescent="0.25">
      <c r="A983" s="370" t="str">
        <v/>
      </c>
      <c r="H983" s="394" t="str">
        <f t="shared" ref="H983:H1000" si="65">IF($C983="","",ROUND((($B$2*$F983*($B$5/1000))/$B$6)*(1+IF($B$18="",0,$B$18)),2))</f>
        <v/>
      </c>
      <c r="I983" s="394" t="str">
        <f t="shared" ref="I983:I1000" si="66">IF($C983="","",ROUND((($B$3*$F983*($B$5/1000))/$B$6)*(1+IF($B$18="",0,$B$18)),2))</f>
        <v/>
      </c>
      <c r="J983" s="394" t="str">
        <f t="shared" ref="J983:J1000" si="67">IF(OR($C983="",$B$9="",$B$15=""),"",ROUND((((((IF($B$15="N/A",$B$2,$B$4))*$F983*($B$5/1000))+((($G983/1000)*($B$5/1000)*10.7639104)*(IF($B$9="Smooth",$B$10,IF($B$9="Sand",$B$11,0)))))*(1+$B$17))/$B$8)*(1+IF($B$18="",0,$B$18)),2))</f>
        <v/>
      </c>
      <c r="K983" s="394" t="str">
        <f t="shared" ref="K983:K1000" si="68">IF(OR($C983="",$B$12="",$B$15=""),"",ROUND((((((IF($B$15="N/A",$B$2,$B$4))*$F983*($B$5/1000))+((($G983/1000)*($B$5/1000)*10.7639104)*(IF($B$12="Indoor",$B$13,IF($B$12="Outdoor",$B$14,0)))))*(1+$B$17))/$B$8)*(1+IF($B$18="",0,$B$18)),2))</f>
        <v/>
      </c>
      <c r="O983" s="370" t="str">
        <v/>
      </c>
      <c r="S983" s="1" t="str">
        <v/>
      </c>
    </row>
    <row r="984" spans="1:19" x14ac:dyDescent="0.25">
      <c r="A984" s="370" t="str">
        <v/>
      </c>
      <c r="H984" s="394" t="str">
        <f t="shared" si="65"/>
        <v/>
      </c>
      <c r="I984" s="394" t="str">
        <f t="shared" si="66"/>
        <v/>
      </c>
      <c r="J984" s="394" t="str">
        <f t="shared" si="67"/>
        <v/>
      </c>
      <c r="K984" s="394" t="str">
        <f t="shared" si="68"/>
        <v/>
      </c>
      <c r="O984" s="370" t="str">
        <v/>
      </c>
      <c r="S984" s="1" t="str">
        <v/>
      </c>
    </row>
    <row r="985" spans="1:19" x14ac:dyDescent="0.25">
      <c r="A985" s="370" t="str">
        <v/>
      </c>
      <c r="H985" s="394" t="str">
        <f t="shared" si="65"/>
        <v/>
      </c>
      <c r="I985" s="394" t="str">
        <f t="shared" si="66"/>
        <v/>
      </c>
      <c r="J985" s="394" t="str">
        <f t="shared" si="67"/>
        <v/>
      </c>
      <c r="K985" s="394" t="str">
        <f t="shared" si="68"/>
        <v/>
      </c>
      <c r="O985" s="370" t="str">
        <v/>
      </c>
      <c r="S985" s="1" t="str">
        <v/>
      </c>
    </row>
    <row r="986" spans="1:19" x14ac:dyDescent="0.25">
      <c r="A986" s="370" t="str">
        <v/>
      </c>
      <c r="H986" s="394" t="str">
        <f t="shared" si="65"/>
        <v/>
      </c>
      <c r="I986" s="394" t="str">
        <f t="shared" si="66"/>
        <v/>
      </c>
      <c r="J986" s="394" t="str">
        <f t="shared" si="67"/>
        <v/>
      </c>
      <c r="K986" s="394" t="str">
        <f t="shared" si="68"/>
        <v/>
      </c>
      <c r="O986" s="370" t="str">
        <v/>
      </c>
      <c r="S986" s="1" t="str">
        <v/>
      </c>
    </row>
    <row r="987" spans="1:19" x14ac:dyDescent="0.25">
      <c r="A987" s="370" t="str">
        <v/>
      </c>
      <c r="H987" s="394" t="str">
        <f t="shared" si="65"/>
        <v/>
      </c>
      <c r="I987" s="394" t="str">
        <f t="shared" si="66"/>
        <v/>
      </c>
      <c r="J987" s="394" t="str">
        <f t="shared" si="67"/>
        <v/>
      </c>
      <c r="K987" s="394" t="str">
        <f t="shared" si="68"/>
        <v/>
      </c>
      <c r="O987" s="370" t="str">
        <v/>
      </c>
      <c r="S987" s="1" t="str">
        <v/>
      </c>
    </row>
    <row r="988" spans="1:19" x14ac:dyDescent="0.25">
      <c r="A988" s="370" t="str">
        <v/>
      </c>
      <c r="H988" s="394" t="str">
        <f t="shared" si="65"/>
        <v/>
      </c>
      <c r="I988" s="394" t="str">
        <f t="shared" si="66"/>
        <v/>
      </c>
      <c r="J988" s="394" t="str">
        <f t="shared" si="67"/>
        <v/>
      </c>
      <c r="K988" s="394" t="str">
        <f t="shared" si="68"/>
        <v/>
      </c>
      <c r="O988" s="370" t="str">
        <v/>
      </c>
      <c r="S988" s="1" t="str">
        <v/>
      </c>
    </row>
    <row r="989" spans="1:19" x14ac:dyDescent="0.25">
      <c r="A989" s="370" t="str">
        <v/>
      </c>
      <c r="H989" s="394" t="str">
        <f t="shared" si="65"/>
        <v/>
      </c>
      <c r="I989" s="394" t="str">
        <f t="shared" si="66"/>
        <v/>
      </c>
      <c r="J989" s="394" t="str">
        <f t="shared" si="67"/>
        <v/>
      </c>
      <c r="K989" s="394" t="str">
        <f t="shared" si="68"/>
        <v/>
      </c>
      <c r="O989" s="370" t="str">
        <v/>
      </c>
      <c r="S989" s="1" t="str">
        <v/>
      </c>
    </row>
    <row r="990" spans="1:19" x14ac:dyDescent="0.25">
      <c r="A990" s="370" t="str">
        <v/>
      </c>
      <c r="H990" s="394" t="str">
        <f t="shared" si="65"/>
        <v/>
      </c>
      <c r="I990" s="394" t="str">
        <f t="shared" si="66"/>
        <v/>
      </c>
      <c r="J990" s="394" t="str">
        <f t="shared" si="67"/>
        <v/>
      </c>
      <c r="K990" s="394" t="str">
        <f t="shared" si="68"/>
        <v/>
      </c>
      <c r="O990" s="370" t="str">
        <v/>
      </c>
      <c r="S990" s="1" t="str">
        <v/>
      </c>
    </row>
    <row r="991" spans="1:19" x14ac:dyDescent="0.25">
      <c r="A991" s="370" t="str">
        <v/>
      </c>
      <c r="H991" s="394" t="str">
        <f t="shared" si="65"/>
        <v/>
      </c>
      <c r="I991" s="394" t="str">
        <f t="shared" si="66"/>
        <v/>
      </c>
      <c r="J991" s="394" t="str">
        <f t="shared" si="67"/>
        <v/>
      </c>
      <c r="K991" s="394" t="str">
        <f t="shared" si="68"/>
        <v/>
      </c>
      <c r="O991" s="370" t="str">
        <v/>
      </c>
      <c r="S991" s="1" t="str">
        <v/>
      </c>
    </row>
    <row r="992" spans="1:19" x14ac:dyDescent="0.25">
      <c r="A992" s="370" t="str">
        <v/>
      </c>
      <c r="H992" s="394" t="str">
        <f t="shared" si="65"/>
        <v/>
      </c>
      <c r="I992" s="394" t="str">
        <f t="shared" si="66"/>
        <v/>
      </c>
      <c r="J992" s="394" t="str">
        <f t="shared" si="67"/>
        <v/>
      </c>
      <c r="K992" s="394" t="str">
        <f t="shared" si="68"/>
        <v/>
      </c>
      <c r="O992" s="370" t="str">
        <v/>
      </c>
      <c r="S992" s="1" t="str">
        <v/>
      </c>
    </row>
    <row r="993" spans="1:27" x14ac:dyDescent="0.25">
      <c r="A993" s="370" t="str">
        <v/>
      </c>
      <c r="H993" s="394" t="str">
        <f t="shared" si="65"/>
        <v/>
      </c>
      <c r="I993" s="394" t="str">
        <f t="shared" si="66"/>
        <v/>
      </c>
      <c r="J993" s="394" t="str">
        <f t="shared" si="67"/>
        <v/>
      </c>
      <c r="K993" s="394" t="str">
        <f t="shared" si="68"/>
        <v/>
      </c>
      <c r="O993" s="370" t="str">
        <v/>
      </c>
      <c r="S993" s="1" t="str">
        <v/>
      </c>
    </row>
    <row r="994" spans="1:27" x14ac:dyDescent="0.25">
      <c r="A994" s="370" t="str">
        <v/>
      </c>
      <c r="H994" s="394" t="str">
        <f t="shared" si="65"/>
        <v/>
      </c>
      <c r="I994" s="394" t="str">
        <f t="shared" si="66"/>
        <v/>
      </c>
      <c r="J994" s="394" t="str">
        <f t="shared" si="67"/>
        <v/>
      </c>
      <c r="K994" s="394" t="str">
        <f t="shared" si="68"/>
        <v/>
      </c>
      <c r="O994" s="370" t="str">
        <v/>
      </c>
      <c r="S994" s="1" t="str">
        <v/>
      </c>
    </row>
    <row r="995" spans="1:27" x14ac:dyDescent="0.25">
      <c r="A995" s="370" t="str">
        <v/>
      </c>
      <c r="H995" s="394" t="str">
        <f t="shared" si="65"/>
        <v/>
      </c>
      <c r="I995" s="394" t="str">
        <f t="shared" si="66"/>
        <v/>
      </c>
      <c r="J995" s="394" t="str">
        <f t="shared" si="67"/>
        <v/>
      </c>
      <c r="K995" s="394" t="str">
        <f t="shared" si="68"/>
        <v/>
      </c>
      <c r="O995" s="370" t="str">
        <v/>
      </c>
      <c r="S995" s="1" t="str">
        <v/>
      </c>
    </row>
    <row r="996" spans="1:27" x14ac:dyDescent="0.25">
      <c r="A996" s="370" t="str">
        <v/>
      </c>
      <c r="H996" s="394" t="str">
        <f t="shared" si="65"/>
        <v/>
      </c>
      <c r="I996" s="394" t="str">
        <f t="shared" si="66"/>
        <v/>
      </c>
      <c r="J996" s="394" t="str">
        <f t="shared" si="67"/>
        <v/>
      </c>
      <c r="K996" s="394" t="str">
        <f t="shared" si="68"/>
        <v/>
      </c>
      <c r="O996" s="370" t="str">
        <v/>
      </c>
      <c r="S996" s="1" t="str">
        <v/>
      </c>
    </row>
    <row r="997" spans="1:27" x14ac:dyDescent="0.25">
      <c r="A997" s="370" t="str">
        <v/>
      </c>
      <c r="H997" s="394" t="str">
        <f t="shared" si="65"/>
        <v/>
      </c>
      <c r="I997" s="394" t="str">
        <f t="shared" si="66"/>
        <v/>
      </c>
      <c r="J997" s="394" t="str">
        <f t="shared" si="67"/>
        <v/>
      </c>
      <c r="K997" s="394" t="str">
        <f t="shared" si="68"/>
        <v/>
      </c>
      <c r="O997" s="370" t="str">
        <v/>
      </c>
      <c r="S997" s="1" t="str">
        <v/>
      </c>
    </row>
    <row r="998" spans="1:27" x14ac:dyDescent="0.25">
      <c r="A998" s="370" t="str">
        <v/>
      </c>
      <c r="H998" s="394" t="str">
        <f t="shared" si="65"/>
        <v/>
      </c>
      <c r="I998" s="394" t="str">
        <f t="shared" si="66"/>
        <v/>
      </c>
      <c r="J998" s="394" t="str">
        <f t="shared" si="67"/>
        <v/>
      </c>
      <c r="K998" s="394" t="str">
        <f t="shared" si="68"/>
        <v/>
      </c>
      <c r="O998" s="370" t="str">
        <v/>
      </c>
      <c r="S998" s="1" t="str">
        <v/>
      </c>
    </row>
    <row r="999" spans="1:27" x14ac:dyDescent="0.25">
      <c r="A999" s="370" t="str">
        <v/>
      </c>
      <c r="H999" s="394" t="str">
        <f t="shared" si="65"/>
        <v/>
      </c>
      <c r="I999" s="394" t="str">
        <f t="shared" si="66"/>
        <v/>
      </c>
      <c r="J999" s="394" t="str">
        <f t="shared" si="67"/>
        <v/>
      </c>
      <c r="K999" s="394" t="str">
        <f t="shared" si="68"/>
        <v/>
      </c>
      <c r="O999" s="370" t="str">
        <v/>
      </c>
      <c r="S999" s="1" t="str">
        <v/>
      </c>
    </row>
    <row r="1000" spans="1:27" x14ac:dyDescent="0.25">
      <c r="A1000" s="370" t="str">
        <v/>
      </c>
      <c r="H1000" s="394" t="str">
        <f t="shared" si="65"/>
        <v/>
      </c>
      <c r="I1000" s="394" t="str">
        <f t="shared" si="66"/>
        <v/>
      </c>
      <c r="J1000" s="394" t="str">
        <f t="shared" si="67"/>
        <v/>
      </c>
      <c r="K1000" s="394" t="str">
        <f t="shared" si="68"/>
        <v/>
      </c>
      <c r="O1000" s="370" t="str">
        <v/>
      </c>
      <c r="S1000" s="1" t="str">
        <v/>
      </c>
    </row>
    <row r="1001" spans="1:27" s="391" customFormat="1" x14ac:dyDescent="0.25">
      <c r="D1001" s="403"/>
      <c r="E1001" s="403"/>
      <c r="F1001" s="397"/>
      <c r="G1001" s="397"/>
      <c r="H1001" s="395"/>
      <c r="I1001" s="395"/>
      <c r="J1001" s="395"/>
      <c r="K1001" s="395"/>
      <c r="R1001" s="402"/>
      <c r="S1001" s="403"/>
      <c r="U1001" s="403"/>
      <c r="V1001" s="416"/>
      <c r="Z1001" s="403"/>
      <c r="AA1001" s="403"/>
    </row>
    <row r="1005" spans="1:27" x14ac:dyDescent="0.25">
      <c r="H1005" s="394">
        <f t="shared" ref="H1005:H1029" si="69">IF($C27="","",ROUND(($B$2*$F27*($B$5/1000))/$B$6,2))</f>
        <v>1.32</v>
      </c>
      <c r="I1005" s="394">
        <f t="shared" ref="I1005:I1029" si="70">IF($C27="","",ROUND(($B$3*$F27*($B$5/1000))/$B$6,2))</f>
        <v>1.48</v>
      </c>
      <c r="J1005" s="394">
        <f t="shared" ref="J1005:J1029" si="71">IF(OR($C27="",$B$9="",$B$15=""),"",ROUND(((((IF($B$15="N/A",$B$2,$B$4))*$F27*($B$5/1000))+((($G27/1000)*($B$5/1000)*10.7639104)*(IF($B$9="Smooth",$B$10,IF($B$9="Sand",$B$11,0)))))*(1+$B$17))/$B$8,2))</f>
        <v>1.93</v>
      </c>
      <c r="K1005" s="394">
        <f t="shared" ref="K1005:K1029" si="72">IF(OR($C27="",$B$12="",$B$15=""),"",ROUND(((((IF($B$15="N/A",$B$2,$B$4))*$F27*($B$5/1000))+((($G27/1000)*($B$5/1000)*10.7639104)*(IF($B$12="Indoor",$B$13,IF($B$12="Outdoor",$B$14,0)))))*(1+$B$17))/$B$8,2))</f>
        <v>3.55</v>
      </c>
    </row>
    <row r="1006" spans="1:27" x14ac:dyDescent="0.25">
      <c r="H1006" s="394">
        <f t="shared" si="69"/>
        <v>2.4500000000000002</v>
      </c>
      <c r="I1006" s="394">
        <f t="shared" si="70"/>
        <v>2.73</v>
      </c>
      <c r="J1006" s="394">
        <f t="shared" si="71"/>
        <v>3.01</v>
      </c>
      <c r="K1006" s="394">
        <f t="shared" si="72"/>
        <v>4.6500000000000004</v>
      </c>
    </row>
    <row r="1007" spans="1:27" x14ac:dyDescent="0.25">
      <c r="H1007" s="394">
        <f t="shared" si="69"/>
        <v>1.89</v>
      </c>
      <c r="I1007" s="394">
        <f t="shared" si="70"/>
        <v>2.12</v>
      </c>
      <c r="J1007" s="394">
        <f t="shared" si="71"/>
        <v>2.5499999999999998</v>
      </c>
      <c r="K1007" s="394">
        <f t="shared" si="72"/>
        <v>4.34</v>
      </c>
    </row>
    <row r="1008" spans="1:27" x14ac:dyDescent="0.25">
      <c r="H1008" s="394">
        <f t="shared" si="69"/>
        <v>3.28</v>
      </c>
      <c r="I1008" s="394">
        <f t="shared" si="70"/>
        <v>3.67</v>
      </c>
      <c r="J1008" s="394">
        <f t="shared" si="71"/>
        <v>4.04</v>
      </c>
      <c r="K1008" s="394">
        <f t="shared" si="72"/>
        <v>6.22</v>
      </c>
    </row>
    <row r="1009" spans="8:11" x14ac:dyDescent="0.25">
      <c r="H1009" s="394">
        <f t="shared" si="69"/>
        <v>2.21</v>
      </c>
      <c r="I1009" s="394">
        <f t="shared" si="70"/>
        <v>2.4700000000000002</v>
      </c>
      <c r="J1009" s="394">
        <f t="shared" si="71"/>
        <v>3.15</v>
      </c>
      <c r="K1009" s="394">
        <f t="shared" si="72"/>
        <v>5.64</v>
      </c>
    </row>
    <row r="1010" spans="8:11" x14ac:dyDescent="0.25">
      <c r="H1010" s="394">
        <f t="shared" si="69"/>
        <v>4.68</v>
      </c>
      <c r="I1010" s="394">
        <f t="shared" si="70"/>
        <v>5.23</v>
      </c>
      <c r="J1010" s="394">
        <f t="shared" si="71"/>
        <v>5.52</v>
      </c>
      <c r="K1010" s="394">
        <f t="shared" si="72"/>
        <v>8.07</v>
      </c>
    </row>
    <row r="1011" spans="8:11" x14ac:dyDescent="0.25">
      <c r="H1011" s="394">
        <f t="shared" si="69"/>
        <v>3.38</v>
      </c>
      <c r="I1011" s="394">
        <f t="shared" si="70"/>
        <v>3.78</v>
      </c>
      <c r="J1011" s="394">
        <f t="shared" si="71"/>
        <v>4.34</v>
      </c>
      <c r="K1011" s="394">
        <f t="shared" si="72"/>
        <v>7.02</v>
      </c>
    </row>
    <row r="1012" spans="8:11" x14ac:dyDescent="0.25">
      <c r="H1012" s="394">
        <f t="shared" si="69"/>
        <v>5.25</v>
      </c>
      <c r="I1012" s="394">
        <f t="shared" si="70"/>
        <v>5.86</v>
      </c>
      <c r="J1012" s="394">
        <f t="shared" si="71"/>
        <v>6.19</v>
      </c>
      <c r="K1012" s="394">
        <f t="shared" si="72"/>
        <v>9.0399999999999991</v>
      </c>
    </row>
    <row r="1013" spans="8:11" x14ac:dyDescent="0.25">
      <c r="H1013" s="394">
        <f t="shared" si="69"/>
        <v>3.54</v>
      </c>
      <c r="I1013" s="394">
        <f t="shared" si="70"/>
        <v>3.95</v>
      </c>
      <c r="J1013" s="394">
        <f t="shared" si="71"/>
        <v>4.57</v>
      </c>
      <c r="K1013" s="394">
        <f t="shared" si="72"/>
        <v>7.43</v>
      </c>
    </row>
    <row r="1014" spans="8:11" x14ac:dyDescent="0.25">
      <c r="H1014" s="394">
        <f t="shared" si="69"/>
        <v>5.89</v>
      </c>
      <c r="I1014" s="394">
        <f t="shared" si="70"/>
        <v>6.58</v>
      </c>
      <c r="J1014" s="394">
        <f t="shared" si="71"/>
        <v>6.86</v>
      </c>
      <c r="K1014" s="394">
        <f t="shared" si="72"/>
        <v>9.8699999999999992</v>
      </c>
    </row>
    <row r="1015" spans="8:11" x14ac:dyDescent="0.25">
      <c r="H1015" s="394">
        <f t="shared" si="69"/>
        <v>3.06</v>
      </c>
      <c r="I1015" s="394">
        <f t="shared" si="70"/>
        <v>3.42</v>
      </c>
      <c r="J1015" s="394">
        <f t="shared" si="71"/>
        <v>4.22</v>
      </c>
      <c r="K1015" s="394">
        <f t="shared" si="72"/>
        <v>7.34</v>
      </c>
    </row>
    <row r="1016" spans="8:11" x14ac:dyDescent="0.25">
      <c r="H1016" s="394">
        <f t="shared" si="69"/>
        <v>6.6</v>
      </c>
      <c r="I1016" s="394">
        <f t="shared" si="70"/>
        <v>7.38</v>
      </c>
      <c r="J1016" s="394">
        <f t="shared" si="71"/>
        <v>7.72</v>
      </c>
      <c r="K1016" s="394">
        <f t="shared" si="72"/>
        <v>11.14</v>
      </c>
    </row>
    <row r="1017" spans="8:11" x14ac:dyDescent="0.25">
      <c r="H1017" s="394">
        <f t="shared" si="69"/>
        <v>7.5</v>
      </c>
      <c r="I1017" s="394">
        <f t="shared" si="70"/>
        <v>8.3800000000000008</v>
      </c>
      <c r="J1017" s="394">
        <f t="shared" si="71"/>
        <v>8.6300000000000008</v>
      </c>
      <c r="K1017" s="394">
        <f t="shared" si="72"/>
        <v>12.18</v>
      </c>
    </row>
    <row r="1018" spans="8:11" x14ac:dyDescent="0.25">
      <c r="H1018" s="394">
        <f t="shared" si="69"/>
        <v>3.48</v>
      </c>
      <c r="I1018" s="394">
        <f t="shared" si="70"/>
        <v>3.89</v>
      </c>
      <c r="J1018" s="394">
        <f t="shared" si="71"/>
        <v>4.82</v>
      </c>
      <c r="K1018" s="394">
        <f t="shared" si="72"/>
        <v>8.4</v>
      </c>
    </row>
    <row r="1019" spans="8:11" x14ac:dyDescent="0.25">
      <c r="H1019" s="394">
        <f t="shared" si="69"/>
        <v>3.25</v>
      </c>
      <c r="I1019" s="394">
        <f t="shared" si="70"/>
        <v>3.63</v>
      </c>
      <c r="J1019" s="394">
        <f t="shared" si="71"/>
        <v>4.63</v>
      </c>
      <c r="K1019" s="394">
        <f t="shared" si="72"/>
        <v>8.31</v>
      </c>
    </row>
    <row r="1020" spans="8:11" x14ac:dyDescent="0.25">
      <c r="H1020" s="394">
        <f t="shared" si="69"/>
        <v>9.09</v>
      </c>
      <c r="I1020" s="394">
        <f t="shared" si="70"/>
        <v>10.16</v>
      </c>
      <c r="J1020" s="394">
        <f t="shared" si="71"/>
        <v>10.199999999999999</v>
      </c>
      <c r="K1020" s="394">
        <f t="shared" si="72"/>
        <v>13.9</v>
      </c>
    </row>
    <row r="1021" spans="8:11" x14ac:dyDescent="0.25">
      <c r="H1021" s="394">
        <f t="shared" si="69"/>
        <v>8.25</v>
      </c>
      <c r="I1021" s="394">
        <f t="shared" si="70"/>
        <v>9.2200000000000006</v>
      </c>
      <c r="J1021" s="394">
        <f t="shared" si="71"/>
        <v>9.52</v>
      </c>
      <c r="K1021" s="394">
        <f t="shared" si="72"/>
        <v>13.48</v>
      </c>
    </row>
    <row r="1022" spans="8:11" x14ac:dyDescent="0.25">
      <c r="H1022" s="394">
        <f t="shared" si="69"/>
        <v>10.16</v>
      </c>
      <c r="I1022" s="394">
        <f t="shared" si="70"/>
        <v>11.35</v>
      </c>
      <c r="J1022" s="394">
        <f t="shared" si="71"/>
        <v>11.39</v>
      </c>
      <c r="K1022" s="394">
        <f t="shared" si="72"/>
        <v>15.49</v>
      </c>
    </row>
    <row r="1023" spans="8:11" x14ac:dyDescent="0.25">
      <c r="H1023" s="394">
        <f t="shared" si="69"/>
        <v>4.28</v>
      </c>
      <c r="I1023" s="394">
        <f t="shared" si="70"/>
        <v>4.79</v>
      </c>
      <c r="J1023" s="394">
        <f t="shared" si="71"/>
        <v>5.84</v>
      </c>
      <c r="K1023" s="394">
        <f t="shared" si="72"/>
        <v>10.039999999999999</v>
      </c>
    </row>
    <row r="1024" spans="8:11" x14ac:dyDescent="0.25">
      <c r="H1024" s="394">
        <f t="shared" si="69"/>
        <v>4.8099999999999996</v>
      </c>
      <c r="I1024" s="394">
        <f t="shared" si="70"/>
        <v>5.38</v>
      </c>
      <c r="J1024" s="394">
        <f t="shared" si="71"/>
        <v>6.56</v>
      </c>
      <c r="K1024" s="394">
        <f t="shared" si="72"/>
        <v>11.28</v>
      </c>
    </row>
    <row r="1025" spans="8:11" x14ac:dyDescent="0.25">
      <c r="H1025" s="394">
        <f t="shared" si="69"/>
        <v>5.46</v>
      </c>
      <c r="I1025" s="394">
        <f t="shared" si="70"/>
        <v>6.1</v>
      </c>
      <c r="J1025" s="394">
        <f t="shared" si="71"/>
        <v>7.28</v>
      </c>
      <c r="K1025" s="394">
        <f t="shared" si="72"/>
        <v>12.27</v>
      </c>
    </row>
    <row r="1026" spans="8:11" x14ac:dyDescent="0.25">
      <c r="H1026" s="394">
        <f t="shared" si="69"/>
        <v>6.02</v>
      </c>
      <c r="I1026" s="394">
        <f t="shared" si="70"/>
        <v>6.72</v>
      </c>
      <c r="J1026" s="394">
        <f t="shared" si="71"/>
        <v>8.0399999999999991</v>
      </c>
      <c r="K1026" s="394">
        <f t="shared" si="72"/>
        <v>13.55</v>
      </c>
    </row>
    <row r="1027" spans="8:11" x14ac:dyDescent="0.25">
      <c r="H1027" s="394">
        <f t="shared" si="69"/>
        <v>18.04</v>
      </c>
      <c r="I1027" s="394">
        <f t="shared" si="70"/>
        <v>20.16</v>
      </c>
      <c r="J1027" s="394">
        <f t="shared" si="71"/>
        <v>19.600000000000001</v>
      </c>
      <c r="K1027" s="394">
        <f t="shared" si="72"/>
        <v>25.38</v>
      </c>
    </row>
    <row r="1028" spans="8:11" x14ac:dyDescent="0.25">
      <c r="H1028" s="394">
        <f t="shared" si="69"/>
        <v>1.01</v>
      </c>
      <c r="I1028" s="394">
        <f t="shared" si="70"/>
        <v>1.1299999999999999</v>
      </c>
      <c r="J1028" s="394">
        <f t="shared" si="71"/>
        <v>1.51</v>
      </c>
      <c r="K1028" s="394">
        <f t="shared" si="72"/>
        <v>2.83</v>
      </c>
    </row>
    <row r="1029" spans="8:11" x14ac:dyDescent="0.25">
      <c r="H1029" s="394">
        <f t="shared" si="69"/>
        <v>2.38</v>
      </c>
      <c r="I1029" s="394">
        <f t="shared" si="70"/>
        <v>2.66</v>
      </c>
      <c r="J1029" s="394">
        <f t="shared" si="71"/>
        <v>3.39</v>
      </c>
      <c r="K1029" s="394">
        <f t="shared" si="72"/>
        <v>6.08</v>
      </c>
    </row>
    <row r="1030" spans="8:11" x14ac:dyDescent="0.25">
      <c r="H1030" s="394" t="str">
        <f t="shared" ref="H1030:H1036" si="73">IF($C52="","",ROUND(($B$2*$F52*($B$5/1000))/$B$6,2))</f>
        <v/>
      </c>
      <c r="I1030" s="394" t="str">
        <f t="shared" ref="I1030:I1036" si="74">IF($C52="","",ROUND(($B$3*$F52*($B$5/1000))/$B$6,2))</f>
        <v/>
      </c>
      <c r="J1030" s="394" t="str">
        <f t="shared" ref="J1030:J1036" si="75">IF(OR($C52="",$B$9="",$B$15=""),"",ROUND(((((IF($B$15="N/A",$B$2,$B$4))*$F52*($B$5/1000))+((($G52/1000)*($B$5/1000)*10.7639104)*(IF($B$9="Smooth",$B$10,IF($B$9="Sand",$B$11,0)))))*(1+$B$17))/$B$8,2))</f>
        <v/>
      </c>
      <c r="K1030" s="394" t="str">
        <f t="shared" ref="K1030:K1036" si="76">IF(OR($C52="",$B$12="",$B$15=""),"",ROUND(((((IF($B$15="N/A",$B$2,$B$4))*$F52*($B$5/1000))+((($G52/1000)*($B$5/1000)*10.7639104)*(IF($B$12="Indoor",$B$13,IF($B$12="Outdoor",$B$14,0)))))*(1+$B$17))/$B$8,2))</f>
        <v/>
      </c>
    </row>
    <row r="1031" spans="8:11" x14ac:dyDescent="0.25">
      <c r="H1031" s="394" t="str">
        <f t="shared" si="73"/>
        <v/>
      </c>
      <c r="I1031" s="394" t="str">
        <f t="shared" si="74"/>
        <v/>
      </c>
      <c r="J1031" s="394" t="str">
        <f t="shared" si="75"/>
        <v/>
      </c>
      <c r="K1031" s="394" t="str">
        <f t="shared" si="76"/>
        <v/>
      </c>
    </row>
    <row r="1032" spans="8:11" x14ac:dyDescent="0.25">
      <c r="H1032" s="394" t="str">
        <f t="shared" si="73"/>
        <v/>
      </c>
      <c r="I1032" s="394" t="str">
        <f t="shared" si="74"/>
        <v/>
      </c>
      <c r="J1032" s="394" t="str">
        <f t="shared" si="75"/>
        <v/>
      </c>
      <c r="K1032" s="394" t="str">
        <f t="shared" si="76"/>
        <v/>
      </c>
    </row>
    <row r="1033" spans="8:11" x14ac:dyDescent="0.25">
      <c r="H1033" s="394" t="str">
        <f t="shared" si="73"/>
        <v/>
      </c>
      <c r="I1033" s="394" t="str">
        <f t="shared" si="74"/>
        <v/>
      </c>
      <c r="J1033" s="394" t="str">
        <f t="shared" si="75"/>
        <v/>
      </c>
      <c r="K1033" s="394" t="str">
        <f t="shared" si="76"/>
        <v/>
      </c>
    </row>
    <row r="1034" spans="8:11" x14ac:dyDescent="0.25">
      <c r="H1034" s="394" t="str">
        <f t="shared" si="73"/>
        <v/>
      </c>
      <c r="I1034" s="394" t="str">
        <f t="shared" si="74"/>
        <v/>
      </c>
      <c r="J1034" s="394" t="str">
        <f t="shared" si="75"/>
        <v/>
      </c>
      <c r="K1034" s="394" t="str">
        <f t="shared" si="76"/>
        <v/>
      </c>
    </row>
    <row r="1035" spans="8:11" x14ac:dyDescent="0.25">
      <c r="H1035" s="394" t="str">
        <f t="shared" si="73"/>
        <v/>
      </c>
      <c r="I1035" s="394" t="str">
        <f t="shared" si="74"/>
        <v/>
      </c>
      <c r="J1035" s="394" t="str">
        <f t="shared" si="75"/>
        <v/>
      </c>
      <c r="K1035" s="394" t="str">
        <f t="shared" si="76"/>
        <v/>
      </c>
    </row>
    <row r="1036" spans="8:11" x14ac:dyDescent="0.25">
      <c r="H1036" s="394" t="str">
        <f t="shared" si="73"/>
        <v/>
      </c>
      <c r="I1036" s="394" t="str">
        <f t="shared" si="74"/>
        <v/>
      </c>
      <c r="J1036" s="394" t="str">
        <f t="shared" si="75"/>
        <v/>
      </c>
      <c r="K1036" s="394" t="str">
        <f t="shared" si="76"/>
        <v/>
      </c>
    </row>
    <row r="1037" spans="8:11" x14ac:dyDescent="0.25">
      <c r="H1037" s="394" t="str">
        <f t="shared" ref="H1037:H1064" si="77">IF($C59="","",ROUND(($B$2*$F59*($B$5/1000))/$B$6,2))</f>
        <v/>
      </c>
      <c r="I1037" s="394" t="str">
        <f t="shared" ref="I1037:I1064" si="78">IF($C59="","",ROUND(($B$3*$F59*($B$5/1000))/$B$6,2))</f>
        <v/>
      </c>
      <c r="J1037" s="394" t="str">
        <f t="shared" ref="J1037:J1064" si="79">IF(OR($C59="",$B$9="",$B$15=""),"",ROUND(((((IF($B$15="N/A",$B$2,$B$4))*$F59*($B$5/1000))+((($G59/1000)*($B$5/1000)*10.7639104)*(IF($B$9="Smooth",$B$10,IF($B$9="Sand",$B$11,0)))))*(1+$B$17))/$B$8,2))</f>
        <v/>
      </c>
      <c r="K1037" s="394" t="str">
        <f t="shared" ref="K1037:K1064" si="80">IF(OR($C59="",$B$12="",$B$15=""),"",ROUND(((((IF($B$15="N/A",$B$2,$B$4))*$F59*($B$5/1000))+((($G59/1000)*($B$5/1000)*10.7639104)*(IF($B$12="Indoor",$B$13,IF($B$12="Outdoor",$B$14,0)))))*(1+$B$17))/$B$8,2))</f>
        <v/>
      </c>
    </row>
    <row r="1038" spans="8:11" x14ac:dyDescent="0.25">
      <c r="H1038" s="394" t="str">
        <f t="shared" si="77"/>
        <v/>
      </c>
      <c r="I1038" s="394" t="str">
        <f t="shared" si="78"/>
        <v/>
      </c>
      <c r="J1038" s="394" t="str">
        <f t="shared" si="79"/>
        <v/>
      </c>
      <c r="K1038" s="394" t="str">
        <f t="shared" si="80"/>
        <v/>
      </c>
    </row>
    <row r="1039" spans="8:11" x14ac:dyDescent="0.25">
      <c r="H1039" s="394" t="str">
        <f t="shared" si="77"/>
        <v/>
      </c>
      <c r="I1039" s="394" t="str">
        <f t="shared" si="78"/>
        <v/>
      </c>
      <c r="J1039" s="394" t="str">
        <f t="shared" si="79"/>
        <v/>
      </c>
      <c r="K1039" s="394" t="str">
        <f t="shared" si="80"/>
        <v/>
      </c>
    </row>
    <row r="1040" spans="8:11" x14ac:dyDescent="0.25">
      <c r="H1040" s="394" t="str">
        <f t="shared" si="77"/>
        <v/>
      </c>
      <c r="I1040" s="394" t="str">
        <f t="shared" si="78"/>
        <v/>
      </c>
      <c r="J1040" s="394" t="str">
        <f t="shared" si="79"/>
        <v/>
      </c>
      <c r="K1040" s="394" t="str">
        <f t="shared" si="80"/>
        <v/>
      </c>
    </row>
    <row r="1041" spans="8:11" x14ac:dyDescent="0.25">
      <c r="H1041" s="394" t="str">
        <f t="shared" si="77"/>
        <v/>
      </c>
      <c r="I1041" s="394" t="str">
        <f t="shared" si="78"/>
        <v/>
      </c>
      <c r="J1041" s="394" t="str">
        <f t="shared" si="79"/>
        <v/>
      </c>
      <c r="K1041" s="394" t="str">
        <f t="shared" si="80"/>
        <v/>
      </c>
    </row>
    <row r="1042" spans="8:11" x14ac:dyDescent="0.25">
      <c r="H1042" s="394" t="str">
        <f t="shared" si="77"/>
        <v/>
      </c>
      <c r="I1042" s="394" t="str">
        <f t="shared" si="78"/>
        <v/>
      </c>
      <c r="J1042" s="394" t="str">
        <f t="shared" si="79"/>
        <v/>
      </c>
      <c r="K1042" s="394" t="str">
        <f t="shared" si="80"/>
        <v/>
      </c>
    </row>
    <row r="1043" spans="8:11" x14ac:dyDescent="0.25">
      <c r="H1043" s="394" t="str">
        <f t="shared" si="77"/>
        <v/>
      </c>
      <c r="I1043" s="394" t="str">
        <f t="shared" si="78"/>
        <v/>
      </c>
      <c r="J1043" s="394" t="str">
        <f t="shared" si="79"/>
        <v/>
      </c>
      <c r="K1043" s="394" t="str">
        <f t="shared" si="80"/>
        <v/>
      </c>
    </row>
    <row r="1044" spans="8:11" x14ac:dyDescent="0.25">
      <c r="H1044" s="394" t="str">
        <f t="shared" si="77"/>
        <v/>
      </c>
      <c r="I1044" s="394" t="str">
        <f t="shared" si="78"/>
        <v/>
      </c>
      <c r="J1044" s="394" t="str">
        <f t="shared" si="79"/>
        <v/>
      </c>
      <c r="K1044" s="394" t="str">
        <f t="shared" si="80"/>
        <v/>
      </c>
    </row>
    <row r="1045" spans="8:11" x14ac:dyDescent="0.25">
      <c r="H1045" s="394" t="str">
        <f t="shared" si="77"/>
        <v/>
      </c>
      <c r="I1045" s="394" t="str">
        <f t="shared" si="78"/>
        <v/>
      </c>
      <c r="J1045" s="394" t="str">
        <f t="shared" si="79"/>
        <v/>
      </c>
      <c r="K1045" s="394" t="str">
        <f t="shared" si="80"/>
        <v/>
      </c>
    </row>
    <row r="1046" spans="8:11" x14ac:dyDescent="0.25">
      <c r="H1046" s="394" t="str">
        <f t="shared" si="77"/>
        <v/>
      </c>
      <c r="I1046" s="394" t="str">
        <f t="shared" si="78"/>
        <v/>
      </c>
      <c r="J1046" s="394" t="str">
        <f t="shared" si="79"/>
        <v/>
      </c>
      <c r="K1046" s="394" t="str">
        <f t="shared" si="80"/>
        <v/>
      </c>
    </row>
    <row r="1047" spans="8:11" x14ac:dyDescent="0.25">
      <c r="H1047" s="394" t="str">
        <f t="shared" si="77"/>
        <v/>
      </c>
      <c r="I1047" s="394" t="str">
        <f t="shared" si="78"/>
        <v/>
      </c>
      <c r="J1047" s="394" t="str">
        <f t="shared" si="79"/>
        <v/>
      </c>
      <c r="K1047" s="394" t="str">
        <f t="shared" si="80"/>
        <v/>
      </c>
    </row>
    <row r="1048" spans="8:11" x14ac:dyDescent="0.25">
      <c r="H1048" s="394" t="str">
        <f t="shared" si="77"/>
        <v/>
      </c>
      <c r="I1048" s="394" t="str">
        <f t="shared" si="78"/>
        <v/>
      </c>
      <c r="J1048" s="394" t="str">
        <f t="shared" si="79"/>
        <v/>
      </c>
      <c r="K1048" s="394" t="str">
        <f t="shared" si="80"/>
        <v/>
      </c>
    </row>
    <row r="1049" spans="8:11" x14ac:dyDescent="0.25">
      <c r="H1049" s="394" t="str">
        <f t="shared" si="77"/>
        <v/>
      </c>
      <c r="I1049" s="394" t="str">
        <f t="shared" si="78"/>
        <v/>
      </c>
      <c r="J1049" s="394" t="str">
        <f t="shared" si="79"/>
        <v/>
      </c>
      <c r="K1049" s="394" t="str">
        <f t="shared" si="80"/>
        <v/>
      </c>
    </row>
    <row r="1050" spans="8:11" x14ac:dyDescent="0.25">
      <c r="H1050" s="394" t="str">
        <f t="shared" si="77"/>
        <v/>
      </c>
      <c r="I1050" s="394" t="str">
        <f t="shared" si="78"/>
        <v/>
      </c>
      <c r="J1050" s="394" t="str">
        <f t="shared" si="79"/>
        <v/>
      </c>
      <c r="K1050" s="394" t="str">
        <f t="shared" si="80"/>
        <v/>
      </c>
    </row>
    <row r="1051" spans="8:11" x14ac:dyDescent="0.25">
      <c r="H1051" s="394" t="str">
        <f t="shared" si="77"/>
        <v/>
      </c>
      <c r="I1051" s="394" t="str">
        <f t="shared" si="78"/>
        <v/>
      </c>
      <c r="J1051" s="394" t="str">
        <f t="shared" si="79"/>
        <v/>
      </c>
      <c r="K1051" s="394" t="str">
        <f t="shared" si="80"/>
        <v/>
      </c>
    </row>
    <row r="1052" spans="8:11" x14ac:dyDescent="0.25">
      <c r="H1052" s="394" t="str">
        <f t="shared" si="77"/>
        <v/>
      </c>
      <c r="I1052" s="394" t="str">
        <f t="shared" si="78"/>
        <v/>
      </c>
      <c r="J1052" s="394" t="str">
        <f t="shared" si="79"/>
        <v/>
      </c>
      <c r="K1052" s="394" t="str">
        <f t="shared" si="80"/>
        <v/>
      </c>
    </row>
    <row r="1053" spans="8:11" x14ac:dyDescent="0.25">
      <c r="H1053" s="394" t="str">
        <f t="shared" si="77"/>
        <v/>
      </c>
      <c r="I1053" s="394" t="str">
        <f t="shared" si="78"/>
        <v/>
      </c>
      <c r="J1053" s="394" t="str">
        <f t="shared" si="79"/>
        <v/>
      </c>
      <c r="K1053" s="394" t="str">
        <f t="shared" si="80"/>
        <v/>
      </c>
    </row>
    <row r="1054" spans="8:11" x14ac:dyDescent="0.25">
      <c r="H1054" s="394" t="str">
        <f t="shared" si="77"/>
        <v/>
      </c>
      <c r="I1054" s="394" t="str">
        <f t="shared" si="78"/>
        <v/>
      </c>
      <c r="J1054" s="394" t="str">
        <f t="shared" si="79"/>
        <v/>
      </c>
      <c r="K1054" s="394" t="str">
        <f t="shared" si="80"/>
        <v/>
      </c>
    </row>
    <row r="1055" spans="8:11" x14ac:dyDescent="0.25">
      <c r="H1055" s="394" t="str">
        <f t="shared" si="77"/>
        <v/>
      </c>
      <c r="I1055" s="394" t="str">
        <f t="shared" si="78"/>
        <v/>
      </c>
      <c r="J1055" s="394" t="str">
        <f t="shared" si="79"/>
        <v/>
      </c>
      <c r="K1055" s="394" t="str">
        <f t="shared" si="80"/>
        <v/>
      </c>
    </row>
    <row r="1056" spans="8:11" x14ac:dyDescent="0.25">
      <c r="H1056" s="394" t="str">
        <f t="shared" si="77"/>
        <v/>
      </c>
      <c r="I1056" s="394" t="str">
        <f t="shared" si="78"/>
        <v/>
      </c>
      <c r="J1056" s="394" t="str">
        <f t="shared" si="79"/>
        <v/>
      </c>
      <c r="K1056" s="394" t="str">
        <f t="shared" si="80"/>
        <v/>
      </c>
    </row>
    <row r="1057" spans="8:11" x14ac:dyDescent="0.25">
      <c r="H1057" s="394" t="str">
        <f t="shared" si="77"/>
        <v/>
      </c>
      <c r="I1057" s="394" t="str">
        <f t="shared" si="78"/>
        <v/>
      </c>
      <c r="J1057" s="394" t="str">
        <f t="shared" si="79"/>
        <v/>
      </c>
      <c r="K1057" s="394" t="str">
        <f t="shared" si="80"/>
        <v/>
      </c>
    </row>
    <row r="1058" spans="8:11" x14ac:dyDescent="0.25">
      <c r="H1058" s="394" t="str">
        <f t="shared" si="77"/>
        <v/>
      </c>
      <c r="I1058" s="394" t="str">
        <f t="shared" si="78"/>
        <v/>
      </c>
      <c r="J1058" s="394" t="str">
        <f t="shared" si="79"/>
        <v/>
      </c>
      <c r="K1058" s="394" t="str">
        <f t="shared" si="80"/>
        <v/>
      </c>
    </row>
    <row r="1059" spans="8:11" x14ac:dyDescent="0.25">
      <c r="H1059" s="394" t="str">
        <f t="shared" si="77"/>
        <v/>
      </c>
      <c r="I1059" s="394" t="str">
        <f t="shared" si="78"/>
        <v/>
      </c>
      <c r="J1059" s="394" t="str">
        <f t="shared" si="79"/>
        <v/>
      </c>
      <c r="K1059" s="394" t="str">
        <f t="shared" si="80"/>
        <v/>
      </c>
    </row>
    <row r="1060" spans="8:11" x14ac:dyDescent="0.25">
      <c r="H1060" s="394" t="str">
        <f t="shared" si="77"/>
        <v/>
      </c>
      <c r="I1060" s="394" t="str">
        <f t="shared" si="78"/>
        <v/>
      </c>
      <c r="J1060" s="394" t="str">
        <f t="shared" si="79"/>
        <v/>
      </c>
      <c r="K1060" s="394" t="str">
        <f t="shared" si="80"/>
        <v/>
      </c>
    </row>
    <row r="1061" spans="8:11" x14ac:dyDescent="0.25">
      <c r="H1061" s="394" t="str">
        <f t="shared" si="77"/>
        <v/>
      </c>
      <c r="I1061" s="394" t="str">
        <f t="shared" si="78"/>
        <v/>
      </c>
      <c r="J1061" s="394" t="str">
        <f t="shared" si="79"/>
        <v/>
      </c>
      <c r="K1061" s="394" t="str">
        <f t="shared" si="80"/>
        <v/>
      </c>
    </row>
    <row r="1062" spans="8:11" x14ac:dyDescent="0.25">
      <c r="H1062" s="394" t="str">
        <f t="shared" si="77"/>
        <v/>
      </c>
      <c r="I1062" s="394" t="str">
        <f t="shared" si="78"/>
        <v/>
      </c>
      <c r="J1062" s="394" t="str">
        <f t="shared" si="79"/>
        <v/>
      </c>
      <c r="K1062" s="394" t="str">
        <f t="shared" si="80"/>
        <v/>
      </c>
    </row>
    <row r="1063" spans="8:11" x14ac:dyDescent="0.25">
      <c r="H1063" s="394" t="str">
        <f t="shared" si="77"/>
        <v/>
      </c>
      <c r="I1063" s="394" t="str">
        <f t="shared" si="78"/>
        <v/>
      </c>
      <c r="J1063" s="394" t="str">
        <f t="shared" si="79"/>
        <v/>
      </c>
      <c r="K1063" s="394" t="str">
        <f t="shared" si="80"/>
        <v/>
      </c>
    </row>
    <row r="1064" spans="8:11" x14ac:dyDescent="0.25">
      <c r="H1064" s="394" t="str">
        <f t="shared" si="77"/>
        <v/>
      </c>
      <c r="I1064" s="394" t="str">
        <f t="shared" si="78"/>
        <v/>
      </c>
      <c r="J1064" s="394" t="str">
        <f t="shared" si="79"/>
        <v/>
      </c>
      <c r="K1064" s="394" t="str">
        <f t="shared" si="80"/>
        <v/>
      </c>
    </row>
    <row r="1065" spans="8:11" x14ac:dyDescent="0.25">
      <c r="H1065" s="394" t="str">
        <f t="shared" ref="H1065:H1128" si="81">IF($C87="","",ROUND(($B$2*$F87*($B$5/1000))/$B$6,2))</f>
        <v/>
      </c>
      <c r="I1065" s="394" t="str">
        <f t="shared" ref="I1065:I1128" si="82">IF($C87="","",ROUND(($B$3*$F87*($B$5/1000))/$B$6,2))</f>
        <v/>
      </c>
      <c r="J1065" s="394" t="str">
        <f t="shared" ref="J1065:J1128" si="83">IF(OR($C87="",$B$9="",$B$15=""),"",ROUND(((((IF($B$15="N/A",$B$2,$B$4))*$F87*($B$5/1000))+((($G87/1000)*($B$5/1000)*10.7639104)*(IF($B$9="Smooth",$B$10,IF($B$9="Sand",$B$11,0)))))*(1+$B$17))/$B$8,2))</f>
        <v/>
      </c>
      <c r="K1065" s="394" t="str">
        <f t="shared" ref="K1065:K1128" si="84">IF(OR($C87="",$B$12="",$B$15=""),"",ROUND(((((IF($B$15="N/A",$B$2,$B$4))*$F87*($B$5/1000))+((($G87/1000)*($B$5/1000)*10.7639104)*(IF($B$12="Indoor",$B$13,IF($B$12="Outdoor",$B$14,0)))))*(1+$B$17))/$B$8,2))</f>
        <v/>
      </c>
    </row>
    <row r="1066" spans="8:11" x14ac:dyDescent="0.25">
      <c r="H1066" s="394" t="str">
        <f t="shared" si="81"/>
        <v/>
      </c>
      <c r="I1066" s="394" t="str">
        <f t="shared" si="82"/>
        <v/>
      </c>
      <c r="J1066" s="394" t="str">
        <f t="shared" si="83"/>
        <v/>
      </c>
      <c r="K1066" s="394" t="str">
        <f t="shared" si="84"/>
        <v/>
      </c>
    </row>
    <row r="1067" spans="8:11" x14ac:dyDescent="0.25">
      <c r="H1067" s="394" t="str">
        <f t="shared" si="81"/>
        <v/>
      </c>
      <c r="I1067" s="394" t="str">
        <f t="shared" si="82"/>
        <v/>
      </c>
      <c r="J1067" s="394" t="str">
        <f t="shared" si="83"/>
        <v/>
      </c>
      <c r="K1067" s="394" t="str">
        <f t="shared" si="84"/>
        <v/>
      </c>
    </row>
    <row r="1068" spans="8:11" x14ac:dyDescent="0.25">
      <c r="H1068" s="394" t="str">
        <f t="shared" si="81"/>
        <v/>
      </c>
      <c r="I1068" s="394" t="str">
        <f t="shared" si="82"/>
        <v/>
      </c>
      <c r="J1068" s="394" t="str">
        <f t="shared" si="83"/>
        <v/>
      </c>
      <c r="K1068" s="394" t="str">
        <f t="shared" si="84"/>
        <v/>
      </c>
    </row>
    <row r="1069" spans="8:11" x14ac:dyDescent="0.25">
      <c r="H1069" s="394" t="str">
        <f t="shared" si="81"/>
        <v/>
      </c>
      <c r="I1069" s="394" t="str">
        <f t="shared" si="82"/>
        <v/>
      </c>
      <c r="J1069" s="394" t="str">
        <f t="shared" si="83"/>
        <v/>
      </c>
      <c r="K1069" s="394" t="str">
        <f t="shared" si="84"/>
        <v/>
      </c>
    </row>
    <row r="1070" spans="8:11" x14ac:dyDescent="0.25">
      <c r="H1070" s="394" t="str">
        <f t="shared" si="81"/>
        <v/>
      </c>
      <c r="I1070" s="394" t="str">
        <f t="shared" si="82"/>
        <v/>
      </c>
      <c r="J1070" s="394" t="str">
        <f t="shared" si="83"/>
        <v/>
      </c>
      <c r="K1070" s="394" t="str">
        <f t="shared" si="84"/>
        <v/>
      </c>
    </row>
    <row r="1071" spans="8:11" x14ac:dyDescent="0.25">
      <c r="H1071" s="394" t="str">
        <f t="shared" si="81"/>
        <v/>
      </c>
      <c r="I1071" s="394" t="str">
        <f t="shared" si="82"/>
        <v/>
      </c>
      <c r="J1071" s="394" t="str">
        <f t="shared" si="83"/>
        <v/>
      </c>
      <c r="K1071" s="394" t="str">
        <f t="shared" si="84"/>
        <v/>
      </c>
    </row>
    <row r="1072" spans="8:11" x14ac:dyDescent="0.25">
      <c r="H1072" s="394" t="str">
        <f t="shared" si="81"/>
        <v/>
      </c>
      <c r="I1072" s="394" t="str">
        <f t="shared" si="82"/>
        <v/>
      </c>
      <c r="J1072" s="394" t="str">
        <f t="shared" si="83"/>
        <v/>
      </c>
      <c r="K1072" s="394" t="str">
        <f t="shared" si="84"/>
        <v/>
      </c>
    </row>
    <row r="1073" spans="8:11" x14ac:dyDescent="0.25">
      <c r="H1073" s="394" t="str">
        <f t="shared" si="81"/>
        <v/>
      </c>
      <c r="I1073" s="394" t="str">
        <f t="shared" si="82"/>
        <v/>
      </c>
      <c r="J1073" s="394" t="str">
        <f t="shared" si="83"/>
        <v/>
      </c>
      <c r="K1073" s="394" t="str">
        <f t="shared" si="84"/>
        <v/>
      </c>
    </row>
    <row r="1074" spans="8:11" x14ac:dyDescent="0.25">
      <c r="H1074" s="394" t="str">
        <f t="shared" si="81"/>
        <v/>
      </c>
      <c r="I1074" s="394" t="str">
        <f t="shared" si="82"/>
        <v/>
      </c>
      <c r="J1074" s="394" t="str">
        <f t="shared" si="83"/>
        <v/>
      </c>
      <c r="K1074" s="394" t="str">
        <f t="shared" si="84"/>
        <v/>
      </c>
    </row>
    <row r="1075" spans="8:11" x14ac:dyDescent="0.25">
      <c r="H1075" s="394" t="str">
        <f t="shared" si="81"/>
        <v/>
      </c>
      <c r="I1075" s="394" t="str">
        <f t="shared" si="82"/>
        <v/>
      </c>
      <c r="J1075" s="394" t="str">
        <f t="shared" si="83"/>
        <v/>
      </c>
      <c r="K1075" s="394" t="str">
        <f t="shared" si="84"/>
        <v/>
      </c>
    </row>
    <row r="1076" spans="8:11" x14ac:dyDescent="0.25">
      <c r="H1076" s="394" t="str">
        <f t="shared" si="81"/>
        <v/>
      </c>
      <c r="I1076" s="394" t="str">
        <f t="shared" si="82"/>
        <v/>
      </c>
      <c r="J1076" s="394" t="str">
        <f t="shared" si="83"/>
        <v/>
      </c>
      <c r="K1076" s="394" t="str">
        <f t="shared" si="84"/>
        <v/>
      </c>
    </row>
    <row r="1077" spans="8:11" x14ac:dyDescent="0.25">
      <c r="H1077" s="394" t="str">
        <f t="shared" si="81"/>
        <v/>
      </c>
      <c r="I1077" s="394" t="str">
        <f t="shared" si="82"/>
        <v/>
      </c>
      <c r="J1077" s="394" t="str">
        <f t="shared" si="83"/>
        <v/>
      </c>
      <c r="K1077" s="394" t="str">
        <f t="shared" si="84"/>
        <v/>
      </c>
    </row>
    <row r="1078" spans="8:11" x14ac:dyDescent="0.25">
      <c r="H1078" s="394" t="str">
        <f t="shared" si="81"/>
        <v/>
      </c>
      <c r="I1078" s="394" t="str">
        <f t="shared" si="82"/>
        <v/>
      </c>
      <c r="J1078" s="394" t="str">
        <f t="shared" si="83"/>
        <v/>
      </c>
      <c r="K1078" s="394" t="str">
        <f t="shared" si="84"/>
        <v/>
      </c>
    </row>
    <row r="1079" spans="8:11" x14ac:dyDescent="0.25">
      <c r="H1079" s="394" t="str">
        <f t="shared" si="81"/>
        <v/>
      </c>
      <c r="I1079" s="394" t="str">
        <f t="shared" si="82"/>
        <v/>
      </c>
      <c r="J1079" s="394" t="str">
        <f t="shared" si="83"/>
        <v/>
      </c>
      <c r="K1079" s="394" t="str">
        <f t="shared" si="84"/>
        <v/>
      </c>
    </row>
    <row r="1080" spans="8:11" x14ac:dyDescent="0.25">
      <c r="H1080" s="394" t="str">
        <f t="shared" si="81"/>
        <v/>
      </c>
      <c r="I1080" s="394" t="str">
        <f t="shared" si="82"/>
        <v/>
      </c>
      <c r="J1080" s="394" t="str">
        <f t="shared" si="83"/>
        <v/>
      </c>
      <c r="K1080" s="394" t="str">
        <f t="shared" si="84"/>
        <v/>
      </c>
    </row>
    <row r="1081" spans="8:11" x14ac:dyDescent="0.25">
      <c r="H1081" s="394" t="str">
        <f t="shared" si="81"/>
        <v/>
      </c>
      <c r="I1081" s="394" t="str">
        <f t="shared" si="82"/>
        <v/>
      </c>
      <c r="J1081" s="394" t="str">
        <f t="shared" si="83"/>
        <v/>
      </c>
      <c r="K1081" s="394" t="str">
        <f t="shared" si="84"/>
        <v/>
      </c>
    </row>
    <row r="1082" spans="8:11" x14ac:dyDescent="0.25">
      <c r="H1082" s="394" t="str">
        <f t="shared" si="81"/>
        <v/>
      </c>
      <c r="I1082" s="394" t="str">
        <f t="shared" si="82"/>
        <v/>
      </c>
      <c r="J1082" s="394" t="str">
        <f t="shared" si="83"/>
        <v/>
      </c>
      <c r="K1082" s="394" t="str">
        <f t="shared" si="84"/>
        <v/>
      </c>
    </row>
    <row r="1083" spans="8:11" x14ac:dyDescent="0.25">
      <c r="H1083" s="394" t="str">
        <f t="shared" si="81"/>
        <v/>
      </c>
      <c r="I1083" s="394" t="str">
        <f t="shared" si="82"/>
        <v/>
      </c>
      <c r="J1083" s="394" t="str">
        <f t="shared" si="83"/>
        <v/>
      </c>
      <c r="K1083" s="394" t="str">
        <f t="shared" si="84"/>
        <v/>
      </c>
    </row>
    <row r="1084" spans="8:11" x14ac:dyDescent="0.25">
      <c r="H1084" s="394" t="str">
        <f t="shared" si="81"/>
        <v/>
      </c>
      <c r="I1084" s="394" t="str">
        <f t="shared" si="82"/>
        <v/>
      </c>
      <c r="J1084" s="394" t="str">
        <f t="shared" si="83"/>
        <v/>
      </c>
      <c r="K1084" s="394" t="str">
        <f t="shared" si="84"/>
        <v/>
      </c>
    </row>
    <row r="1085" spans="8:11" x14ac:dyDescent="0.25">
      <c r="H1085" s="394" t="str">
        <f t="shared" si="81"/>
        <v/>
      </c>
      <c r="I1085" s="394" t="str">
        <f t="shared" si="82"/>
        <v/>
      </c>
      <c r="J1085" s="394" t="str">
        <f t="shared" si="83"/>
        <v/>
      </c>
      <c r="K1085" s="394" t="str">
        <f t="shared" si="84"/>
        <v/>
      </c>
    </row>
    <row r="1086" spans="8:11" x14ac:dyDescent="0.25">
      <c r="H1086" s="394" t="str">
        <f t="shared" si="81"/>
        <v/>
      </c>
      <c r="I1086" s="394" t="str">
        <f t="shared" si="82"/>
        <v/>
      </c>
      <c r="J1086" s="394" t="str">
        <f t="shared" si="83"/>
        <v/>
      </c>
      <c r="K1086" s="394" t="str">
        <f t="shared" si="84"/>
        <v/>
      </c>
    </row>
    <row r="1087" spans="8:11" x14ac:dyDescent="0.25">
      <c r="H1087" s="394" t="str">
        <f t="shared" si="81"/>
        <v/>
      </c>
      <c r="I1087" s="394" t="str">
        <f t="shared" si="82"/>
        <v/>
      </c>
      <c r="J1087" s="394" t="str">
        <f t="shared" si="83"/>
        <v/>
      </c>
      <c r="K1087" s="394" t="str">
        <f t="shared" si="84"/>
        <v/>
      </c>
    </row>
    <row r="1088" spans="8:11" x14ac:dyDescent="0.25">
      <c r="H1088" s="394" t="str">
        <f t="shared" si="81"/>
        <v/>
      </c>
      <c r="I1088" s="394" t="str">
        <f t="shared" si="82"/>
        <v/>
      </c>
      <c r="J1088" s="394" t="str">
        <f t="shared" si="83"/>
        <v/>
      </c>
      <c r="K1088" s="394" t="str">
        <f t="shared" si="84"/>
        <v/>
      </c>
    </row>
    <row r="1089" spans="8:11" x14ac:dyDescent="0.25">
      <c r="H1089" s="394" t="str">
        <f t="shared" si="81"/>
        <v/>
      </c>
      <c r="I1089" s="394" t="str">
        <f t="shared" si="82"/>
        <v/>
      </c>
      <c r="J1089" s="394" t="str">
        <f t="shared" si="83"/>
        <v/>
      </c>
      <c r="K1089" s="394" t="str">
        <f t="shared" si="84"/>
        <v/>
      </c>
    </row>
    <row r="1090" spans="8:11" x14ac:dyDescent="0.25">
      <c r="H1090" s="394" t="str">
        <f t="shared" si="81"/>
        <v/>
      </c>
      <c r="I1090" s="394" t="str">
        <f t="shared" si="82"/>
        <v/>
      </c>
      <c r="J1090" s="394" t="str">
        <f t="shared" si="83"/>
        <v/>
      </c>
      <c r="K1090" s="394" t="str">
        <f t="shared" si="84"/>
        <v/>
      </c>
    </row>
    <row r="1091" spans="8:11" x14ac:dyDescent="0.25">
      <c r="H1091" s="394" t="str">
        <f t="shared" si="81"/>
        <v/>
      </c>
      <c r="I1091" s="394" t="str">
        <f t="shared" si="82"/>
        <v/>
      </c>
      <c r="J1091" s="394" t="str">
        <f t="shared" si="83"/>
        <v/>
      </c>
      <c r="K1091" s="394" t="str">
        <f t="shared" si="84"/>
        <v/>
      </c>
    </row>
    <row r="1092" spans="8:11" x14ac:dyDescent="0.25">
      <c r="H1092" s="394" t="str">
        <f t="shared" si="81"/>
        <v/>
      </c>
      <c r="I1092" s="394" t="str">
        <f t="shared" si="82"/>
        <v/>
      </c>
      <c r="J1092" s="394" t="str">
        <f t="shared" si="83"/>
        <v/>
      </c>
      <c r="K1092" s="394" t="str">
        <f t="shared" si="84"/>
        <v/>
      </c>
    </row>
    <row r="1093" spans="8:11" x14ac:dyDescent="0.25">
      <c r="H1093" s="394" t="str">
        <f t="shared" si="81"/>
        <v/>
      </c>
      <c r="I1093" s="394" t="str">
        <f t="shared" si="82"/>
        <v/>
      </c>
      <c r="J1093" s="394" t="str">
        <f t="shared" si="83"/>
        <v/>
      </c>
      <c r="K1093" s="394" t="str">
        <f t="shared" si="84"/>
        <v/>
      </c>
    </row>
    <row r="1094" spans="8:11" x14ac:dyDescent="0.25">
      <c r="H1094" s="394" t="str">
        <f t="shared" si="81"/>
        <v/>
      </c>
      <c r="I1094" s="394" t="str">
        <f t="shared" si="82"/>
        <v/>
      </c>
      <c r="J1094" s="394" t="str">
        <f t="shared" si="83"/>
        <v/>
      </c>
      <c r="K1094" s="394" t="str">
        <f t="shared" si="84"/>
        <v/>
      </c>
    </row>
    <row r="1095" spans="8:11" x14ac:dyDescent="0.25">
      <c r="H1095" s="394" t="str">
        <f t="shared" si="81"/>
        <v/>
      </c>
      <c r="I1095" s="394" t="str">
        <f t="shared" si="82"/>
        <v/>
      </c>
      <c r="J1095" s="394" t="str">
        <f t="shared" si="83"/>
        <v/>
      </c>
      <c r="K1095" s="394" t="str">
        <f t="shared" si="84"/>
        <v/>
      </c>
    </row>
    <row r="1096" spans="8:11" x14ac:dyDescent="0.25">
      <c r="H1096" s="394" t="str">
        <f t="shared" si="81"/>
        <v/>
      </c>
      <c r="I1096" s="394" t="str">
        <f t="shared" si="82"/>
        <v/>
      </c>
      <c r="J1096" s="394" t="str">
        <f t="shared" si="83"/>
        <v/>
      </c>
      <c r="K1096" s="394" t="str">
        <f t="shared" si="84"/>
        <v/>
      </c>
    </row>
    <row r="1097" spans="8:11" x14ac:dyDescent="0.25">
      <c r="H1097" s="394" t="str">
        <f t="shared" si="81"/>
        <v/>
      </c>
      <c r="I1097" s="394" t="str">
        <f t="shared" si="82"/>
        <v/>
      </c>
      <c r="J1097" s="394" t="str">
        <f t="shared" si="83"/>
        <v/>
      </c>
      <c r="K1097" s="394" t="str">
        <f t="shared" si="84"/>
        <v/>
      </c>
    </row>
    <row r="1098" spans="8:11" x14ac:dyDescent="0.25">
      <c r="H1098" s="394" t="str">
        <f t="shared" si="81"/>
        <v/>
      </c>
      <c r="I1098" s="394" t="str">
        <f t="shared" si="82"/>
        <v/>
      </c>
      <c r="J1098" s="394" t="str">
        <f t="shared" si="83"/>
        <v/>
      </c>
      <c r="K1098" s="394" t="str">
        <f t="shared" si="84"/>
        <v/>
      </c>
    </row>
    <row r="1099" spans="8:11" x14ac:dyDescent="0.25">
      <c r="H1099" s="394" t="str">
        <f t="shared" si="81"/>
        <v/>
      </c>
      <c r="I1099" s="394" t="str">
        <f t="shared" si="82"/>
        <v/>
      </c>
      <c r="J1099" s="394" t="str">
        <f t="shared" si="83"/>
        <v/>
      </c>
      <c r="K1099" s="394" t="str">
        <f t="shared" si="84"/>
        <v/>
      </c>
    </row>
    <row r="1100" spans="8:11" x14ac:dyDescent="0.25">
      <c r="H1100" s="394" t="str">
        <f t="shared" si="81"/>
        <v/>
      </c>
      <c r="I1100" s="394" t="str">
        <f t="shared" si="82"/>
        <v/>
      </c>
      <c r="J1100" s="394" t="str">
        <f t="shared" si="83"/>
        <v/>
      </c>
      <c r="K1100" s="394" t="str">
        <f t="shared" si="84"/>
        <v/>
      </c>
    </row>
    <row r="1101" spans="8:11" x14ac:dyDescent="0.25">
      <c r="H1101" s="394" t="str">
        <f t="shared" si="81"/>
        <v/>
      </c>
      <c r="I1101" s="394" t="str">
        <f t="shared" si="82"/>
        <v/>
      </c>
      <c r="J1101" s="394" t="str">
        <f t="shared" si="83"/>
        <v/>
      </c>
      <c r="K1101" s="394" t="str">
        <f t="shared" si="84"/>
        <v/>
      </c>
    </row>
    <row r="1102" spans="8:11" x14ac:dyDescent="0.25">
      <c r="H1102" s="394" t="str">
        <f t="shared" si="81"/>
        <v/>
      </c>
      <c r="I1102" s="394" t="str">
        <f t="shared" si="82"/>
        <v/>
      </c>
      <c r="J1102" s="394" t="str">
        <f t="shared" si="83"/>
        <v/>
      </c>
      <c r="K1102" s="394" t="str">
        <f t="shared" si="84"/>
        <v/>
      </c>
    </row>
    <row r="1103" spans="8:11" x14ac:dyDescent="0.25">
      <c r="H1103" s="394" t="str">
        <f t="shared" si="81"/>
        <v/>
      </c>
      <c r="I1103" s="394" t="str">
        <f t="shared" si="82"/>
        <v/>
      </c>
      <c r="J1103" s="394" t="str">
        <f t="shared" si="83"/>
        <v/>
      </c>
      <c r="K1103" s="394" t="str">
        <f t="shared" si="84"/>
        <v/>
      </c>
    </row>
    <row r="1104" spans="8:11" x14ac:dyDescent="0.25">
      <c r="H1104" s="394" t="str">
        <f t="shared" si="81"/>
        <v/>
      </c>
      <c r="I1104" s="394" t="str">
        <f t="shared" si="82"/>
        <v/>
      </c>
      <c r="J1104" s="394" t="str">
        <f t="shared" si="83"/>
        <v/>
      </c>
      <c r="K1104" s="394" t="str">
        <f t="shared" si="84"/>
        <v/>
      </c>
    </row>
    <row r="1105" spans="8:11" x14ac:dyDescent="0.25">
      <c r="H1105" s="394" t="str">
        <f t="shared" si="81"/>
        <v/>
      </c>
      <c r="I1105" s="394" t="str">
        <f t="shared" si="82"/>
        <v/>
      </c>
      <c r="J1105" s="394" t="str">
        <f t="shared" si="83"/>
        <v/>
      </c>
      <c r="K1105" s="394" t="str">
        <f t="shared" si="84"/>
        <v/>
      </c>
    </row>
    <row r="1106" spans="8:11" x14ac:dyDescent="0.25">
      <c r="H1106" s="394" t="str">
        <f t="shared" si="81"/>
        <v/>
      </c>
      <c r="I1106" s="394" t="str">
        <f t="shared" si="82"/>
        <v/>
      </c>
      <c r="J1106" s="394" t="str">
        <f t="shared" si="83"/>
        <v/>
      </c>
      <c r="K1106" s="394" t="str">
        <f t="shared" si="84"/>
        <v/>
      </c>
    </row>
    <row r="1107" spans="8:11" x14ac:dyDescent="0.25">
      <c r="H1107" s="394" t="str">
        <f t="shared" si="81"/>
        <v/>
      </c>
      <c r="I1107" s="394" t="str">
        <f t="shared" si="82"/>
        <v/>
      </c>
      <c r="J1107" s="394" t="str">
        <f t="shared" si="83"/>
        <v/>
      </c>
      <c r="K1107" s="394" t="str">
        <f t="shared" si="84"/>
        <v/>
      </c>
    </row>
    <row r="1108" spans="8:11" x14ac:dyDescent="0.25">
      <c r="H1108" s="394" t="str">
        <f t="shared" si="81"/>
        <v/>
      </c>
      <c r="I1108" s="394" t="str">
        <f t="shared" si="82"/>
        <v/>
      </c>
      <c r="J1108" s="394" t="str">
        <f t="shared" si="83"/>
        <v/>
      </c>
      <c r="K1108" s="394" t="str">
        <f t="shared" si="84"/>
        <v/>
      </c>
    </row>
    <row r="1109" spans="8:11" x14ac:dyDescent="0.25">
      <c r="H1109" s="394" t="str">
        <f t="shared" si="81"/>
        <v/>
      </c>
      <c r="I1109" s="394" t="str">
        <f t="shared" si="82"/>
        <v/>
      </c>
      <c r="J1109" s="394" t="str">
        <f t="shared" si="83"/>
        <v/>
      </c>
      <c r="K1109" s="394" t="str">
        <f t="shared" si="84"/>
        <v/>
      </c>
    </row>
    <row r="1110" spans="8:11" x14ac:dyDescent="0.25">
      <c r="H1110" s="394" t="str">
        <f t="shared" si="81"/>
        <v/>
      </c>
      <c r="I1110" s="394" t="str">
        <f t="shared" si="82"/>
        <v/>
      </c>
      <c r="J1110" s="394" t="str">
        <f t="shared" si="83"/>
        <v/>
      </c>
      <c r="K1110" s="394" t="str">
        <f t="shared" si="84"/>
        <v/>
      </c>
    </row>
    <row r="1111" spans="8:11" x14ac:dyDescent="0.25">
      <c r="H1111" s="394" t="str">
        <f t="shared" si="81"/>
        <v/>
      </c>
      <c r="I1111" s="394" t="str">
        <f t="shared" si="82"/>
        <v/>
      </c>
      <c r="J1111" s="394" t="str">
        <f t="shared" si="83"/>
        <v/>
      </c>
      <c r="K1111" s="394" t="str">
        <f t="shared" si="84"/>
        <v/>
      </c>
    </row>
    <row r="1112" spans="8:11" x14ac:dyDescent="0.25">
      <c r="H1112" s="394" t="str">
        <f t="shared" si="81"/>
        <v/>
      </c>
      <c r="I1112" s="394" t="str">
        <f t="shared" si="82"/>
        <v/>
      </c>
      <c r="J1112" s="394" t="str">
        <f t="shared" si="83"/>
        <v/>
      </c>
      <c r="K1112" s="394" t="str">
        <f t="shared" si="84"/>
        <v/>
      </c>
    </row>
    <row r="1113" spans="8:11" x14ac:dyDescent="0.25">
      <c r="H1113" s="394" t="str">
        <f t="shared" si="81"/>
        <v/>
      </c>
      <c r="I1113" s="394" t="str">
        <f t="shared" si="82"/>
        <v/>
      </c>
      <c r="J1113" s="394" t="str">
        <f t="shared" si="83"/>
        <v/>
      </c>
      <c r="K1113" s="394" t="str">
        <f t="shared" si="84"/>
        <v/>
      </c>
    </row>
    <row r="1114" spans="8:11" x14ac:dyDescent="0.25">
      <c r="H1114" s="394" t="str">
        <f t="shared" si="81"/>
        <v/>
      </c>
      <c r="I1114" s="394" t="str">
        <f t="shared" si="82"/>
        <v/>
      </c>
      <c r="J1114" s="394" t="str">
        <f t="shared" si="83"/>
        <v/>
      </c>
      <c r="K1114" s="394" t="str">
        <f t="shared" si="84"/>
        <v/>
      </c>
    </row>
    <row r="1115" spans="8:11" x14ac:dyDescent="0.25">
      <c r="H1115" s="394" t="str">
        <f t="shared" si="81"/>
        <v/>
      </c>
      <c r="I1115" s="394" t="str">
        <f t="shared" si="82"/>
        <v/>
      </c>
      <c r="J1115" s="394" t="str">
        <f t="shared" si="83"/>
        <v/>
      </c>
      <c r="K1115" s="394" t="str">
        <f t="shared" si="84"/>
        <v/>
      </c>
    </row>
    <row r="1116" spans="8:11" x14ac:dyDescent="0.25">
      <c r="H1116" s="394" t="str">
        <f t="shared" si="81"/>
        <v/>
      </c>
      <c r="I1116" s="394" t="str">
        <f t="shared" si="82"/>
        <v/>
      </c>
      <c r="J1116" s="394" t="str">
        <f t="shared" si="83"/>
        <v/>
      </c>
      <c r="K1116" s="394" t="str">
        <f t="shared" si="84"/>
        <v/>
      </c>
    </row>
    <row r="1117" spans="8:11" x14ac:dyDescent="0.25">
      <c r="H1117" s="394" t="str">
        <f t="shared" si="81"/>
        <v/>
      </c>
      <c r="I1117" s="394" t="str">
        <f t="shared" si="82"/>
        <v/>
      </c>
      <c r="J1117" s="394" t="str">
        <f t="shared" si="83"/>
        <v/>
      </c>
      <c r="K1117" s="394" t="str">
        <f t="shared" si="84"/>
        <v/>
      </c>
    </row>
    <row r="1118" spans="8:11" x14ac:dyDescent="0.25">
      <c r="H1118" s="394" t="str">
        <f t="shared" si="81"/>
        <v/>
      </c>
      <c r="I1118" s="394" t="str">
        <f t="shared" si="82"/>
        <v/>
      </c>
      <c r="J1118" s="394" t="str">
        <f t="shared" si="83"/>
        <v/>
      </c>
      <c r="K1118" s="394" t="str">
        <f t="shared" si="84"/>
        <v/>
      </c>
    </row>
    <row r="1119" spans="8:11" x14ac:dyDescent="0.25">
      <c r="H1119" s="394" t="str">
        <f t="shared" si="81"/>
        <v/>
      </c>
      <c r="I1119" s="394" t="str">
        <f t="shared" si="82"/>
        <v/>
      </c>
      <c r="J1119" s="394" t="str">
        <f t="shared" si="83"/>
        <v/>
      </c>
      <c r="K1119" s="394" t="str">
        <f t="shared" si="84"/>
        <v/>
      </c>
    </row>
    <row r="1120" spans="8:11" x14ac:dyDescent="0.25">
      <c r="H1120" s="394" t="str">
        <f t="shared" si="81"/>
        <v/>
      </c>
      <c r="I1120" s="394" t="str">
        <f t="shared" si="82"/>
        <v/>
      </c>
      <c r="J1120" s="394" t="str">
        <f t="shared" si="83"/>
        <v/>
      </c>
      <c r="K1120" s="394" t="str">
        <f t="shared" si="84"/>
        <v/>
      </c>
    </row>
    <row r="1121" spans="8:11" x14ac:dyDescent="0.25">
      <c r="H1121" s="394" t="str">
        <f t="shared" si="81"/>
        <v/>
      </c>
      <c r="I1121" s="394" t="str">
        <f t="shared" si="82"/>
        <v/>
      </c>
      <c r="J1121" s="394" t="str">
        <f t="shared" si="83"/>
        <v/>
      </c>
      <c r="K1121" s="394" t="str">
        <f t="shared" si="84"/>
        <v/>
      </c>
    </row>
    <row r="1122" spans="8:11" x14ac:dyDescent="0.25">
      <c r="H1122" s="394" t="str">
        <f t="shared" si="81"/>
        <v/>
      </c>
      <c r="I1122" s="394" t="str">
        <f t="shared" si="82"/>
        <v/>
      </c>
      <c r="J1122" s="394" t="str">
        <f t="shared" si="83"/>
        <v/>
      </c>
      <c r="K1122" s="394" t="str">
        <f t="shared" si="84"/>
        <v/>
      </c>
    </row>
    <row r="1123" spans="8:11" x14ac:dyDescent="0.25">
      <c r="H1123" s="394" t="str">
        <f t="shared" si="81"/>
        <v/>
      </c>
      <c r="I1123" s="394" t="str">
        <f t="shared" si="82"/>
        <v/>
      </c>
      <c r="J1123" s="394" t="str">
        <f t="shared" si="83"/>
        <v/>
      </c>
      <c r="K1123" s="394" t="str">
        <f t="shared" si="84"/>
        <v/>
      </c>
    </row>
    <row r="1124" spans="8:11" x14ac:dyDescent="0.25">
      <c r="H1124" s="394" t="str">
        <f t="shared" si="81"/>
        <v/>
      </c>
      <c r="I1124" s="394" t="str">
        <f t="shared" si="82"/>
        <v/>
      </c>
      <c r="J1124" s="394" t="str">
        <f t="shared" si="83"/>
        <v/>
      </c>
      <c r="K1124" s="394" t="str">
        <f t="shared" si="84"/>
        <v/>
      </c>
    </row>
    <row r="1125" spans="8:11" x14ac:dyDescent="0.25">
      <c r="H1125" s="394" t="str">
        <f t="shared" si="81"/>
        <v/>
      </c>
      <c r="I1125" s="394" t="str">
        <f t="shared" si="82"/>
        <v/>
      </c>
      <c r="J1125" s="394" t="str">
        <f t="shared" si="83"/>
        <v/>
      </c>
      <c r="K1125" s="394" t="str">
        <f t="shared" si="84"/>
        <v/>
      </c>
    </row>
    <row r="1126" spans="8:11" x14ac:dyDescent="0.25">
      <c r="H1126" s="394" t="str">
        <f t="shared" si="81"/>
        <v/>
      </c>
      <c r="I1126" s="394" t="str">
        <f t="shared" si="82"/>
        <v/>
      </c>
      <c r="J1126" s="394" t="str">
        <f t="shared" si="83"/>
        <v/>
      </c>
      <c r="K1126" s="394" t="str">
        <f t="shared" si="84"/>
        <v/>
      </c>
    </row>
    <row r="1127" spans="8:11" x14ac:dyDescent="0.25">
      <c r="H1127" s="394" t="str">
        <f t="shared" si="81"/>
        <v/>
      </c>
      <c r="I1127" s="394" t="str">
        <f t="shared" si="82"/>
        <v/>
      </c>
      <c r="J1127" s="394" t="str">
        <f t="shared" si="83"/>
        <v/>
      </c>
      <c r="K1127" s="394" t="str">
        <f t="shared" si="84"/>
        <v/>
      </c>
    </row>
    <row r="1128" spans="8:11" x14ac:dyDescent="0.25">
      <c r="H1128" s="394" t="str">
        <f t="shared" si="81"/>
        <v/>
      </c>
      <c r="I1128" s="394" t="str">
        <f t="shared" si="82"/>
        <v/>
      </c>
      <c r="J1128" s="394" t="str">
        <f t="shared" si="83"/>
        <v/>
      </c>
      <c r="K1128" s="394" t="str">
        <f t="shared" si="84"/>
        <v/>
      </c>
    </row>
    <row r="1129" spans="8:11" x14ac:dyDescent="0.25">
      <c r="H1129" s="394" t="str">
        <f t="shared" ref="H1129:H1192" si="85">IF($C151="","",ROUND(($B$2*$F151*($B$5/1000))/$B$6,2))</f>
        <v/>
      </c>
      <c r="I1129" s="394" t="str">
        <f t="shared" ref="I1129:I1192" si="86">IF($C151="","",ROUND(($B$3*$F151*($B$5/1000))/$B$6,2))</f>
        <v/>
      </c>
      <c r="J1129" s="394" t="str">
        <f t="shared" ref="J1129:J1192" si="87">IF(OR($C151="",$B$9="",$B$15=""),"",ROUND(((((IF($B$15="N/A",$B$2,$B$4))*$F151*($B$5/1000))+((($G151/1000)*($B$5/1000)*10.7639104)*(IF($B$9="Smooth",$B$10,IF($B$9="Sand",$B$11,0)))))*(1+$B$17))/$B$8,2))</f>
        <v/>
      </c>
      <c r="K1129" s="394" t="str">
        <f t="shared" ref="K1129:K1192" si="88">IF(OR($C151="",$B$12="",$B$15=""),"",ROUND(((((IF($B$15="N/A",$B$2,$B$4))*$F151*($B$5/1000))+((($G151/1000)*($B$5/1000)*10.7639104)*(IF($B$12="Indoor",$B$13,IF($B$12="Outdoor",$B$14,0)))))*(1+$B$17))/$B$8,2))</f>
        <v/>
      </c>
    </row>
    <row r="1130" spans="8:11" x14ac:dyDescent="0.25">
      <c r="H1130" s="394" t="str">
        <f t="shared" si="85"/>
        <v/>
      </c>
      <c r="I1130" s="394" t="str">
        <f t="shared" si="86"/>
        <v/>
      </c>
      <c r="J1130" s="394" t="str">
        <f t="shared" si="87"/>
        <v/>
      </c>
      <c r="K1130" s="394" t="str">
        <f t="shared" si="88"/>
        <v/>
      </c>
    </row>
    <row r="1131" spans="8:11" x14ac:dyDescent="0.25">
      <c r="H1131" s="394" t="str">
        <f t="shared" si="85"/>
        <v/>
      </c>
      <c r="I1131" s="394" t="str">
        <f t="shared" si="86"/>
        <v/>
      </c>
      <c r="J1131" s="394" t="str">
        <f t="shared" si="87"/>
        <v/>
      </c>
      <c r="K1131" s="394" t="str">
        <f t="shared" si="88"/>
        <v/>
      </c>
    </row>
    <row r="1132" spans="8:11" x14ac:dyDescent="0.25">
      <c r="H1132" s="394" t="str">
        <f t="shared" si="85"/>
        <v/>
      </c>
      <c r="I1132" s="394" t="str">
        <f t="shared" si="86"/>
        <v/>
      </c>
      <c r="J1132" s="394" t="str">
        <f t="shared" si="87"/>
        <v/>
      </c>
      <c r="K1132" s="394" t="str">
        <f t="shared" si="88"/>
        <v/>
      </c>
    </row>
    <row r="1133" spans="8:11" x14ac:dyDescent="0.25">
      <c r="H1133" s="394" t="str">
        <f t="shared" si="85"/>
        <v/>
      </c>
      <c r="I1133" s="394" t="str">
        <f t="shared" si="86"/>
        <v/>
      </c>
      <c r="J1133" s="394" t="str">
        <f t="shared" si="87"/>
        <v/>
      </c>
      <c r="K1133" s="394" t="str">
        <f t="shared" si="88"/>
        <v/>
      </c>
    </row>
    <row r="1134" spans="8:11" x14ac:dyDescent="0.25">
      <c r="H1134" s="394" t="str">
        <f t="shared" si="85"/>
        <v/>
      </c>
      <c r="I1134" s="394" t="str">
        <f t="shared" si="86"/>
        <v/>
      </c>
      <c r="J1134" s="394" t="str">
        <f t="shared" si="87"/>
        <v/>
      </c>
      <c r="K1134" s="394" t="str">
        <f t="shared" si="88"/>
        <v/>
      </c>
    </row>
    <row r="1135" spans="8:11" x14ac:dyDescent="0.25">
      <c r="H1135" s="394" t="str">
        <f t="shared" si="85"/>
        <v/>
      </c>
      <c r="I1135" s="394" t="str">
        <f t="shared" si="86"/>
        <v/>
      </c>
      <c r="J1135" s="394" t="str">
        <f t="shared" si="87"/>
        <v/>
      </c>
      <c r="K1135" s="394" t="str">
        <f t="shared" si="88"/>
        <v/>
      </c>
    </row>
    <row r="1136" spans="8:11" x14ac:dyDescent="0.25">
      <c r="H1136" s="394" t="str">
        <f t="shared" si="85"/>
        <v/>
      </c>
      <c r="I1136" s="394" t="str">
        <f t="shared" si="86"/>
        <v/>
      </c>
      <c r="J1136" s="394" t="str">
        <f t="shared" si="87"/>
        <v/>
      </c>
      <c r="K1136" s="394" t="str">
        <f t="shared" si="88"/>
        <v/>
      </c>
    </row>
    <row r="1137" spans="8:11" x14ac:dyDescent="0.25">
      <c r="H1137" s="394" t="str">
        <f t="shared" si="85"/>
        <v/>
      </c>
      <c r="I1137" s="394" t="str">
        <f t="shared" si="86"/>
        <v/>
      </c>
      <c r="J1137" s="394" t="str">
        <f t="shared" si="87"/>
        <v/>
      </c>
      <c r="K1137" s="394" t="str">
        <f t="shared" si="88"/>
        <v/>
      </c>
    </row>
    <row r="1138" spans="8:11" x14ac:dyDescent="0.25">
      <c r="H1138" s="394" t="str">
        <f t="shared" si="85"/>
        <v/>
      </c>
      <c r="I1138" s="394" t="str">
        <f t="shared" si="86"/>
        <v/>
      </c>
      <c r="J1138" s="394" t="str">
        <f t="shared" si="87"/>
        <v/>
      </c>
      <c r="K1138" s="394" t="str">
        <f t="shared" si="88"/>
        <v/>
      </c>
    </row>
    <row r="1139" spans="8:11" x14ac:dyDescent="0.25">
      <c r="H1139" s="394" t="str">
        <f t="shared" si="85"/>
        <v/>
      </c>
      <c r="I1139" s="394" t="str">
        <f t="shared" si="86"/>
        <v/>
      </c>
      <c r="J1139" s="394" t="str">
        <f t="shared" si="87"/>
        <v/>
      </c>
      <c r="K1139" s="394" t="str">
        <f t="shared" si="88"/>
        <v/>
      </c>
    </row>
    <row r="1140" spans="8:11" x14ac:dyDescent="0.25">
      <c r="H1140" s="394" t="str">
        <f t="shared" si="85"/>
        <v/>
      </c>
      <c r="I1140" s="394" t="str">
        <f t="shared" si="86"/>
        <v/>
      </c>
      <c r="J1140" s="394" t="str">
        <f t="shared" si="87"/>
        <v/>
      </c>
      <c r="K1140" s="394" t="str">
        <f t="shared" si="88"/>
        <v/>
      </c>
    </row>
    <row r="1141" spans="8:11" x14ac:dyDescent="0.25">
      <c r="H1141" s="394" t="str">
        <f t="shared" si="85"/>
        <v/>
      </c>
      <c r="I1141" s="394" t="str">
        <f t="shared" si="86"/>
        <v/>
      </c>
      <c r="J1141" s="394" t="str">
        <f t="shared" si="87"/>
        <v/>
      </c>
      <c r="K1141" s="394" t="str">
        <f t="shared" si="88"/>
        <v/>
      </c>
    </row>
    <row r="1142" spans="8:11" x14ac:dyDescent="0.25">
      <c r="H1142" s="394" t="str">
        <f t="shared" si="85"/>
        <v/>
      </c>
      <c r="I1142" s="394" t="str">
        <f t="shared" si="86"/>
        <v/>
      </c>
      <c r="J1142" s="394" t="str">
        <f t="shared" si="87"/>
        <v/>
      </c>
      <c r="K1142" s="394" t="str">
        <f t="shared" si="88"/>
        <v/>
      </c>
    </row>
    <row r="1143" spans="8:11" x14ac:dyDescent="0.25">
      <c r="H1143" s="394" t="str">
        <f t="shared" si="85"/>
        <v/>
      </c>
      <c r="I1143" s="394" t="str">
        <f t="shared" si="86"/>
        <v/>
      </c>
      <c r="J1143" s="394" t="str">
        <f t="shared" si="87"/>
        <v/>
      </c>
      <c r="K1143" s="394" t="str">
        <f t="shared" si="88"/>
        <v/>
      </c>
    </row>
    <row r="1144" spans="8:11" x14ac:dyDescent="0.25">
      <c r="H1144" s="394" t="str">
        <f t="shared" si="85"/>
        <v/>
      </c>
      <c r="I1144" s="394" t="str">
        <f t="shared" si="86"/>
        <v/>
      </c>
      <c r="J1144" s="394" t="str">
        <f t="shared" si="87"/>
        <v/>
      </c>
      <c r="K1144" s="394" t="str">
        <f t="shared" si="88"/>
        <v/>
      </c>
    </row>
    <row r="1145" spans="8:11" x14ac:dyDescent="0.25">
      <c r="H1145" s="394" t="str">
        <f t="shared" si="85"/>
        <v/>
      </c>
      <c r="I1145" s="394" t="str">
        <f t="shared" si="86"/>
        <v/>
      </c>
      <c r="J1145" s="394" t="str">
        <f t="shared" si="87"/>
        <v/>
      </c>
      <c r="K1145" s="394" t="str">
        <f t="shared" si="88"/>
        <v/>
      </c>
    </row>
    <row r="1146" spans="8:11" x14ac:dyDescent="0.25">
      <c r="H1146" s="394" t="str">
        <f t="shared" si="85"/>
        <v/>
      </c>
      <c r="I1146" s="394" t="str">
        <f t="shared" si="86"/>
        <v/>
      </c>
      <c r="J1146" s="394" t="str">
        <f t="shared" si="87"/>
        <v/>
      </c>
      <c r="K1146" s="394" t="str">
        <f t="shared" si="88"/>
        <v/>
      </c>
    </row>
    <row r="1147" spans="8:11" x14ac:dyDescent="0.25">
      <c r="H1147" s="394" t="str">
        <f t="shared" si="85"/>
        <v/>
      </c>
      <c r="I1147" s="394" t="str">
        <f t="shared" si="86"/>
        <v/>
      </c>
      <c r="J1147" s="394" t="str">
        <f t="shared" si="87"/>
        <v/>
      </c>
      <c r="K1147" s="394" t="str">
        <f t="shared" si="88"/>
        <v/>
      </c>
    </row>
    <row r="1148" spans="8:11" x14ac:dyDescent="0.25">
      <c r="H1148" s="394" t="str">
        <f t="shared" si="85"/>
        <v/>
      </c>
      <c r="I1148" s="394" t="str">
        <f t="shared" si="86"/>
        <v/>
      </c>
      <c r="J1148" s="394" t="str">
        <f t="shared" si="87"/>
        <v/>
      </c>
      <c r="K1148" s="394" t="str">
        <f t="shared" si="88"/>
        <v/>
      </c>
    </row>
    <row r="1149" spans="8:11" x14ac:dyDescent="0.25">
      <c r="H1149" s="394" t="str">
        <f t="shared" si="85"/>
        <v/>
      </c>
      <c r="I1149" s="394" t="str">
        <f t="shared" si="86"/>
        <v/>
      </c>
      <c r="J1149" s="394" t="str">
        <f t="shared" si="87"/>
        <v/>
      </c>
      <c r="K1149" s="394" t="str">
        <f t="shared" si="88"/>
        <v/>
      </c>
    </row>
    <row r="1150" spans="8:11" x14ac:dyDescent="0.25">
      <c r="H1150" s="394" t="str">
        <f t="shared" si="85"/>
        <v/>
      </c>
      <c r="I1150" s="394" t="str">
        <f t="shared" si="86"/>
        <v/>
      </c>
      <c r="J1150" s="394" t="str">
        <f t="shared" si="87"/>
        <v/>
      </c>
      <c r="K1150" s="394" t="str">
        <f t="shared" si="88"/>
        <v/>
      </c>
    </row>
    <row r="1151" spans="8:11" x14ac:dyDescent="0.25">
      <c r="H1151" s="394" t="str">
        <f t="shared" si="85"/>
        <v/>
      </c>
      <c r="I1151" s="394" t="str">
        <f t="shared" si="86"/>
        <v/>
      </c>
      <c r="J1151" s="394" t="str">
        <f t="shared" si="87"/>
        <v/>
      </c>
      <c r="K1151" s="394" t="str">
        <f t="shared" si="88"/>
        <v/>
      </c>
    </row>
    <row r="1152" spans="8:11" x14ac:dyDescent="0.25">
      <c r="H1152" s="394" t="str">
        <f t="shared" si="85"/>
        <v/>
      </c>
      <c r="I1152" s="394" t="str">
        <f t="shared" si="86"/>
        <v/>
      </c>
      <c r="J1152" s="394" t="str">
        <f t="shared" si="87"/>
        <v/>
      </c>
      <c r="K1152" s="394" t="str">
        <f t="shared" si="88"/>
        <v/>
      </c>
    </row>
    <row r="1153" spans="8:11" x14ac:dyDescent="0.25">
      <c r="H1153" s="394" t="str">
        <f t="shared" si="85"/>
        <v/>
      </c>
      <c r="I1153" s="394" t="str">
        <f t="shared" si="86"/>
        <v/>
      </c>
      <c r="J1153" s="394" t="str">
        <f t="shared" si="87"/>
        <v/>
      </c>
      <c r="K1153" s="394" t="str">
        <f t="shared" si="88"/>
        <v/>
      </c>
    </row>
    <row r="1154" spans="8:11" x14ac:dyDescent="0.25">
      <c r="H1154" s="394" t="str">
        <f t="shared" si="85"/>
        <v/>
      </c>
      <c r="I1154" s="394" t="str">
        <f t="shared" si="86"/>
        <v/>
      </c>
      <c r="J1154" s="394" t="str">
        <f t="shared" si="87"/>
        <v/>
      </c>
      <c r="K1154" s="394" t="str">
        <f t="shared" si="88"/>
        <v/>
      </c>
    </row>
    <row r="1155" spans="8:11" x14ac:dyDescent="0.25">
      <c r="H1155" s="394" t="str">
        <f t="shared" si="85"/>
        <v/>
      </c>
      <c r="I1155" s="394" t="str">
        <f t="shared" si="86"/>
        <v/>
      </c>
      <c r="J1155" s="394" t="str">
        <f t="shared" si="87"/>
        <v/>
      </c>
      <c r="K1155" s="394" t="str">
        <f t="shared" si="88"/>
        <v/>
      </c>
    </row>
    <row r="1156" spans="8:11" x14ac:dyDescent="0.25">
      <c r="H1156" s="394" t="str">
        <f t="shared" si="85"/>
        <v/>
      </c>
      <c r="I1156" s="394" t="str">
        <f t="shared" si="86"/>
        <v/>
      </c>
      <c r="J1156" s="394" t="str">
        <f t="shared" si="87"/>
        <v/>
      </c>
      <c r="K1156" s="394" t="str">
        <f t="shared" si="88"/>
        <v/>
      </c>
    </row>
    <row r="1157" spans="8:11" x14ac:dyDescent="0.25">
      <c r="H1157" s="394" t="str">
        <f t="shared" si="85"/>
        <v/>
      </c>
      <c r="I1157" s="394" t="str">
        <f t="shared" si="86"/>
        <v/>
      </c>
      <c r="J1157" s="394" t="str">
        <f t="shared" si="87"/>
        <v/>
      </c>
      <c r="K1157" s="394" t="str">
        <f t="shared" si="88"/>
        <v/>
      </c>
    </row>
    <row r="1158" spans="8:11" x14ac:dyDescent="0.25">
      <c r="H1158" s="394" t="str">
        <f t="shared" si="85"/>
        <v/>
      </c>
      <c r="I1158" s="394" t="str">
        <f t="shared" si="86"/>
        <v/>
      </c>
      <c r="J1158" s="394" t="str">
        <f t="shared" si="87"/>
        <v/>
      </c>
      <c r="K1158" s="394" t="str">
        <f t="shared" si="88"/>
        <v/>
      </c>
    </row>
    <row r="1159" spans="8:11" x14ac:dyDescent="0.25">
      <c r="H1159" s="394" t="str">
        <f t="shared" si="85"/>
        <v/>
      </c>
      <c r="I1159" s="394" t="str">
        <f t="shared" si="86"/>
        <v/>
      </c>
      <c r="J1159" s="394" t="str">
        <f t="shared" si="87"/>
        <v/>
      </c>
      <c r="K1159" s="394" t="str">
        <f t="shared" si="88"/>
        <v/>
      </c>
    </row>
    <row r="1160" spans="8:11" x14ac:dyDescent="0.25">
      <c r="H1160" s="394" t="str">
        <f t="shared" si="85"/>
        <v/>
      </c>
      <c r="I1160" s="394" t="str">
        <f t="shared" si="86"/>
        <v/>
      </c>
      <c r="J1160" s="394" t="str">
        <f t="shared" si="87"/>
        <v/>
      </c>
      <c r="K1160" s="394" t="str">
        <f t="shared" si="88"/>
        <v/>
      </c>
    </row>
    <row r="1161" spans="8:11" x14ac:dyDescent="0.25">
      <c r="H1161" s="394" t="str">
        <f t="shared" si="85"/>
        <v/>
      </c>
      <c r="I1161" s="394" t="str">
        <f t="shared" si="86"/>
        <v/>
      </c>
      <c r="J1161" s="394" t="str">
        <f t="shared" si="87"/>
        <v/>
      </c>
      <c r="K1161" s="394" t="str">
        <f t="shared" si="88"/>
        <v/>
      </c>
    </row>
    <row r="1162" spans="8:11" x14ac:dyDescent="0.25">
      <c r="H1162" s="394" t="str">
        <f t="shared" si="85"/>
        <v/>
      </c>
      <c r="I1162" s="394" t="str">
        <f t="shared" si="86"/>
        <v/>
      </c>
      <c r="J1162" s="394" t="str">
        <f t="shared" si="87"/>
        <v/>
      </c>
      <c r="K1162" s="394" t="str">
        <f t="shared" si="88"/>
        <v/>
      </c>
    </row>
    <row r="1163" spans="8:11" x14ac:dyDescent="0.25">
      <c r="H1163" s="394" t="str">
        <f t="shared" si="85"/>
        <v/>
      </c>
      <c r="I1163" s="394" t="str">
        <f t="shared" si="86"/>
        <v/>
      </c>
      <c r="J1163" s="394" t="str">
        <f t="shared" si="87"/>
        <v/>
      </c>
      <c r="K1163" s="394" t="str">
        <f t="shared" si="88"/>
        <v/>
      </c>
    </row>
    <row r="1164" spans="8:11" x14ac:dyDescent="0.25">
      <c r="H1164" s="394" t="str">
        <f t="shared" si="85"/>
        <v/>
      </c>
      <c r="I1164" s="394" t="str">
        <f t="shared" si="86"/>
        <v/>
      </c>
      <c r="J1164" s="394" t="str">
        <f t="shared" si="87"/>
        <v/>
      </c>
      <c r="K1164" s="394" t="str">
        <f t="shared" si="88"/>
        <v/>
      </c>
    </row>
    <row r="1165" spans="8:11" x14ac:dyDescent="0.25">
      <c r="H1165" s="394" t="str">
        <f t="shared" si="85"/>
        <v/>
      </c>
      <c r="I1165" s="394" t="str">
        <f t="shared" si="86"/>
        <v/>
      </c>
      <c r="J1165" s="394" t="str">
        <f t="shared" si="87"/>
        <v/>
      </c>
      <c r="K1165" s="394" t="str">
        <f t="shared" si="88"/>
        <v/>
      </c>
    </row>
    <row r="1166" spans="8:11" x14ac:dyDescent="0.25">
      <c r="H1166" s="394" t="str">
        <f t="shared" si="85"/>
        <v/>
      </c>
      <c r="I1166" s="394" t="str">
        <f t="shared" si="86"/>
        <v/>
      </c>
      <c r="J1166" s="394" t="str">
        <f t="shared" si="87"/>
        <v/>
      </c>
      <c r="K1166" s="394" t="str">
        <f t="shared" si="88"/>
        <v/>
      </c>
    </row>
    <row r="1167" spans="8:11" x14ac:dyDescent="0.25">
      <c r="H1167" s="394" t="str">
        <f t="shared" si="85"/>
        <v/>
      </c>
      <c r="I1167" s="394" t="str">
        <f t="shared" si="86"/>
        <v/>
      </c>
      <c r="J1167" s="394" t="str">
        <f t="shared" si="87"/>
        <v/>
      </c>
      <c r="K1167" s="394" t="str">
        <f t="shared" si="88"/>
        <v/>
      </c>
    </row>
    <row r="1168" spans="8:11" x14ac:dyDescent="0.25">
      <c r="H1168" s="394" t="str">
        <f t="shared" si="85"/>
        <v/>
      </c>
      <c r="I1168" s="394" t="str">
        <f t="shared" si="86"/>
        <v/>
      </c>
      <c r="J1168" s="394" t="str">
        <f t="shared" si="87"/>
        <v/>
      </c>
      <c r="K1168" s="394" t="str">
        <f t="shared" si="88"/>
        <v/>
      </c>
    </row>
    <row r="1169" spans="8:11" x14ac:dyDescent="0.25">
      <c r="H1169" s="394" t="str">
        <f t="shared" si="85"/>
        <v/>
      </c>
      <c r="I1169" s="394" t="str">
        <f t="shared" si="86"/>
        <v/>
      </c>
      <c r="J1169" s="394" t="str">
        <f t="shared" si="87"/>
        <v/>
      </c>
      <c r="K1169" s="394" t="str">
        <f t="shared" si="88"/>
        <v/>
      </c>
    </row>
    <row r="1170" spans="8:11" x14ac:dyDescent="0.25">
      <c r="H1170" s="394" t="str">
        <f t="shared" si="85"/>
        <v/>
      </c>
      <c r="I1170" s="394" t="str">
        <f t="shared" si="86"/>
        <v/>
      </c>
      <c r="J1170" s="394" t="str">
        <f t="shared" si="87"/>
        <v/>
      </c>
      <c r="K1170" s="394" t="str">
        <f t="shared" si="88"/>
        <v/>
      </c>
    </row>
    <row r="1171" spans="8:11" x14ac:dyDescent="0.25">
      <c r="H1171" s="394" t="str">
        <f t="shared" si="85"/>
        <v/>
      </c>
      <c r="I1171" s="394" t="str">
        <f t="shared" si="86"/>
        <v/>
      </c>
      <c r="J1171" s="394" t="str">
        <f t="shared" si="87"/>
        <v/>
      </c>
      <c r="K1171" s="394" t="str">
        <f t="shared" si="88"/>
        <v/>
      </c>
    </row>
    <row r="1172" spans="8:11" x14ac:dyDescent="0.25">
      <c r="H1172" s="394" t="str">
        <f t="shared" si="85"/>
        <v/>
      </c>
      <c r="I1172" s="394" t="str">
        <f t="shared" si="86"/>
        <v/>
      </c>
      <c r="J1172" s="394" t="str">
        <f t="shared" si="87"/>
        <v/>
      </c>
      <c r="K1172" s="394" t="str">
        <f t="shared" si="88"/>
        <v/>
      </c>
    </row>
    <row r="1173" spans="8:11" x14ac:dyDescent="0.25">
      <c r="H1173" s="394" t="str">
        <f t="shared" si="85"/>
        <v/>
      </c>
      <c r="I1173" s="394" t="str">
        <f t="shared" si="86"/>
        <v/>
      </c>
      <c r="J1173" s="394" t="str">
        <f t="shared" si="87"/>
        <v/>
      </c>
      <c r="K1173" s="394" t="str">
        <f t="shared" si="88"/>
        <v/>
      </c>
    </row>
    <row r="1174" spans="8:11" x14ac:dyDescent="0.25">
      <c r="H1174" s="394" t="str">
        <f t="shared" si="85"/>
        <v/>
      </c>
      <c r="I1174" s="394" t="str">
        <f t="shared" si="86"/>
        <v/>
      </c>
      <c r="J1174" s="394" t="str">
        <f t="shared" si="87"/>
        <v/>
      </c>
      <c r="K1174" s="394" t="str">
        <f t="shared" si="88"/>
        <v/>
      </c>
    </row>
    <row r="1175" spans="8:11" x14ac:dyDescent="0.25">
      <c r="H1175" s="394" t="str">
        <f t="shared" si="85"/>
        <v/>
      </c>
      <c r="I1175" s="394" t="str">
        <f t="shared" si="86"/>
        <v/>
      </c>
      <c r="J1175" s="394" t="str">
        <f t="shared" si="87"/>
        <v/>
      </c>
      <c r="K1175" s="394" t="str">
        <f t="shared" si="88"/>
        <v/>
      </c>
    </row>
    <row r="1176" spans="8:11" x14ac:dyDescent="0.25">
      <c r="H1176" s="394" t="str">
        <f t="shared" si="85"/>
        <v/>
      </c>
      <c r="I1176" s="394" t="str">
        <f t="shared" si="86"/>
        <v/>
      </c>
      <c r="J1176" s="394" t="str">
        <f t="shared" si="87"/>
        <v/>
      </c>
      <c r="K1176" s="394" t="str">
        <f t="shared" si="88"/>
        <v/>
      </c>
    </row>
    <row r="1177" spans="8:11" x14ac:dyDescent="0.25">
      <c r="H1177" s="394" t="str">
        <f t="shared" si="85"/>
        <v/>
      </c>
      <c r="I1177" s="394" t="str">
        <f t="shared" si="86"/>
        <v/>
      </c>
      <c r="J1177" s="394" t="str">
        <f t="shared" si="87"/>
        <v/>
      </c>
      <c r="K1177" s="394" t="str">
        <f t="shared" si="88"/>
        <v/>
      </c>
    </row>
    <row r="1178" spans="8:11" x14ac:dyDescent="0.25">
      <c r="H1178" s="394" t="str">
        <f t="shared" si="85"/>
        <v/>
      </c>
      <c r="I1178" s="394" t="str">
        <f t="shared" si="86"/>
        <v/>
      </c>
      <c r="J1178" s="394" t="str">
        <f t="shared" si="87"/>
        <v/>
      </c>
      <c r="K1178" s="394" t="str">
        <f t="shared" si="88"/>
        <v/>
      </c>
    </row>
    <row r="1179" spans="8:11" x14ac:dyDescent="0.25">
      <c r="H1179" s="394" t="str">
        <f t="shared" si="85"/>
        <v/>
      </c>
      <c r="I1179" s="394" t="str">
        <f t="shared" si="86"/>
        <v/>
      </c>
      <c r="J1179" s="394" t="str">
        <f t="shared" si="87"/>
        <v/>
      </c>
      <c r="K1179" s="394" t="str">
        <f t="shared" si="88"/>
        <v/>
      </c>
    </row>
    <row r="1180" spans="8:11" x14ac:dyDescent="0.25">
      <c r="H1180" s="394" t="str">
        <f t="shared" si="85"/>
        <v/>
      </c>
      <c r="I1180" s="394" t="str">
        <f t="shared" si="86"/>
        <v/>
      </c>
      <c r="J1180" s="394" t="str">
        <f t="shared" si="87"/>
        <v/>
      </c>
      <c r="K1180" s="394" t="str">
        <f t="shared" si="88"/>
        <v/>
      </c>
    </row>
    <row r="1181" spans="8:11" x14ac:dyDescent="0.25">
      <c r="H1181" s="394" t="str">
        <f t="shared" si="85"/>
        <v/>
      </c>
      <c r="I1181" s="394" t="str">
        <f t="shared" si="86"/>
        <v/>
      </c>
      <c r="J1181" s="394" t="str">
        <f t="shared" si="87"/>
        <v/>
      </c>
      <c r="K1181" s="394" t="str">
        <f t="shared" si="88"/>
        <v/>
      </c>
    </row>
    <row r="1182" spans="8:11" x14ac:dyDescent="0.25">
      <c r="H1182" s="394" t="str">
        <f t="shared" si="85"/>
        <v/>
      </c>
      <c r="I1182" s="394" t="str">
        <f t="shared" si="86"/>
        <v/>
      </c>
      <c r="J1182" s="394" t="str">
        <f t="shared" si="87"/>
        <v/>
      </c>
      <c r="K1182" s="394" t="str">
        <f t="shared" si="88"/>
        <v/>
      </c>
    </row>
    <row r="1183" spans="8:11" x14ac:dyDescent="0.25">
      <c r="H1183" s="394" t="str">
        <f t="shared" si="85"/>
        <v/>
      </c>
      <c r="I1183" s="394" t="str">
        <f t="shared" si="86"/>
        <v/>
      </c>
      <c r="J1183" s="394" t="str">
        <f t="shared" si="87"/>
        <v/>
      </c>
      <c r="K1183" s="394" t="str">
        <f t="shared" si="88"/>
        <v/>
      </c>
    </row>
    <row r="1184" spans="8:11" x14ac:dyDescent="0.25">
      <c r="H1184" s="394" t="str">
        <f t="shared" si="85"/>
        <v/>
      </c>
      <c r="I1184" s="394" t="str">
        <f t="shared" si="86"/>
        <v/>
      </c>
      <c r="J1184" s="394" t="str">
        <f t="shared" si="87"/>
        <v/>
      </c>
      <c r="K1184" s="394" t="str">
        <f t="shared" si="88"/>
        <v/>
      </c>
    </row>
    <row r="1185" spans="8:11" x14ac:dyDescent="0.25">
      <c r="H1185" s="394" t="str">
        <f t="shared" si="85"/>
        <v/>
      </c>
      <c r="I1185" s="394" t="str">
        <f t="shared" si="86"/>
        <v/>
      </c>
      <c r="J1185" s="394" t="str">
        <f t="shared" si="87"/>
        <v/>
      </c>
      <c r="K1185" s="394" t="str">
        <f t="shared" si="88"/>
        <v/>
      </c>
    </row>
    <row r="1186" spans="8:11" x14ac:dyDescent="0.25">
      <c r="H1186" s="394" t="str">
        <f t="shared" si="85"/>
        <v/>
      </c>
      <c r="I1186" s="394" t="str">
        <f t="shared" si="86"/>
        <v/>
      </c>
      <c r="J1186" s="394" t="str">
        <f t="shared" si="87"/>
        <v/>
      </c>
      <c r="K1186" s="394" t="str">
        <f t="shared" si="88"/>
        <v/>
      </c>
    </row>
    <row r="1187" spans="8:11" x14ac:dyDescent="0.25">
      <c r="H1187" s="394" t="str">
        <f t="shared" si="85"/>
        <v/>
      </c>
      <c r="I1187" s="394" t="str">
        <f t="shared" si="86"/>
        <v/>
      </c>
      <c r="J1187" s="394" t="str">
        <f t="shared" si="87"/>
        <v/>
      </c>
      <c r="K1187" s="394" t="str">
        <f t="shared" si="88"/>
        <v/>
      </c>
    </row>
    <row r="1188" spans="8:11" x14ac:dyDescent="0.25">
      <c r="H1188" s="394" t="str">
        <f t="shared" si="85"/>
        <v/>
      </c>
      <c r="I1188" s="394" t="str">
        <f t="shared" si="86"/>
        <v/>
      </c>
      <c r="J1188" s="394" t="str">
        <f t="shared" si="87"/>
        <v/>
      </c>
      <c r="K1188" s="394" t="str">
        <f t="shared" si="88"/>
        <v/>
      </c>
    </row>
    <row r="1189" spans="8:11" x14ac:dyDescent="0.25">
      <c r="H1189" s="394" t="str">
        <f t="shared" si="85"/>
        <v/>
      </c>
      <c r="I1189" s="394" t="str">
        <f t="shared" si="86"/>
        <v/>
      </c>
      <c r="J1189" s="394" t="str">
        <f t="shared" si="87"/>
        <v/>
      </c>
      <c r="K1189" s="394" t="str">
        <f t="shared" si="88"/>
        <v/>
      </c>
    </row>
    <row r="1190" spans="8:11" x14ac:dyDescent="0.25">
      <c r="H1190" s="394" t="str">
        <f t="shared" si="85"/>
        <v/>
      </c>
      <c r="I1190" s="394" t="str">
        <f t="shared" si="86"/>
        <v/>
      </c>
      <c r="J1190" s="394" t="str">
        <f t="shared" si="87"/>
        <v/>
      </c>
      <c r="K1190" s="394" t="str">
        <f t="shared" si="88"/>
        <v/>
      </c>
    </row>
    <row r="1191" spans="8:11" x14ac:dyDescent="0.25">
      <c r="H1191" s="394" t="str">
        <f t="shared" si="85"/>
        <v/>
      </c>
      <c r="I1191" s="394" t="str">
        <f t="shared" si="86"/>
        <v/>
      </c>
      <c r="J1191" s="394" t="str">
        <f t="shared" si="87"/>
        <v/>
      </c>
      <c r="K1191" s="394" t="str">
        <f t="shared" si="88"/>
        <v/>
      </c>
    </row>
    <row r="1192" spans="8:11" x14ac:dyDescent="0.25">
      <c r="H1192" s="394" t="str">
        <f t="shared" si="85"/>
        <v/>
      </c>
      <c r="I1192" s="394" t="str">
        <f t="shared" si="86"/>
        <v/>
      </c>
      <c r="J1192" s="394" t="str">
        <f t="shared" si="87"/>
        <v/>
      </c>
      <c r="K1192" s="394" t="str">
        <f t="shared" si="88"/>
        <v/>
      </c>
    </row>
    <row r="1193" spans="8:11" x14ac:dyDescent="0.25">
      <c r="H1193" s="394" t="str">
        <f t="shared" ref="H1193:H1256" si="89">IF($C215="","",ROUND(($B$2*$F215*($B$5/1000))/$B$6,2))</f>
        <v/>
      </c>
      <c r="I1193" s="394" t="str">
        <f t="shared" ref="I1193:I1256" si="90">IF($C215="","",ROUND(($B$3*$F215*($B$5/1000))/$B$6,2))</f>
        <v/>
      </c>
      <c r="J1193" s="394" t="str">
        <f t="shared" ref="J1193:J1256" si="91">IF(OR($C215="",$B$9="",$B$15=""),"",ROUND(((((IF($B$15="N/A",$B$2,$B$4))*$F215*($B$5/1000))+((($G215/1000)*($B$5/1000)*10.7639104)*(IF($B$9="Smooth",$B$10,IF($B$9="Sand",$B$11,0)))))*(1+$B$17))/$B$8,2))</f>
        <v/>
      </c>
      <c r="K1193" s="394" t="str">
        <f t="shared" ref="K1193:K1256" si="92">IF(OR($C215="",$B$12="",$B$15=""),"",ROUND(((((IF($B$15="N/A",$B$2,$B$4))*$F215*($B$5/1000))+((($G215/1000)*($B$5/1000)*10.7639104)*(IF($B$12="Indoor",$B$13,IF($B$12="Outdoor",$B$14,0)))))*(1+$B$17))/$B$8,2))</f>
        <v/>
      </c>
    </row>
    <row r="1194" spans="8:11" x14ac:dyDescent="0.25">
      <c r="H1194" s="394" t="str">
        <f t="shared" si="89"/>
        <v/>
      </c>
      <c r="I1194" s="394" t="str">
        <f t="shared" si="90"/>
        <v/>
      </c>
      <c r="J1194" s="394" t="str">
        <f t="shared" si="91"/>
        <v/>
      </c>
      <c r="K1194" s="394" t="str">
        <f t="shared" si="92"/>
        <v/>
      </c>
    </row>
    <row r="1195" spans="8:11" x14ac:dyDescent="0.25">
      <c r="H1195" s="394" t="str">
        <f t="shared" si="89"/>
        <v/>
      </c>
      <c r="I1195" s="394" t="str">
        <f t="shared" si="90"/>
        <v/>
      </c>
      <c r="J1195" s="394" t="str">
        <f t="shared" si="91"/>
        <v/>
      </c>
      <c r="K1195" s="394" t="str">
        <f t="shared" si="92"/>
        <v/>
      </c>
    </row>
    <row r="1196" spans="8:11" x14ac:dyDescent="0.25">
      <c r="H1196" s="394" t="str">
        <f t="shared" si="89"/>
        <v/>
      </c>
      <c r="I1196" s="394" t="str">
        <f t="shared" si="90"/>
        <v/>
      </c>
      <c r="J1196" s="394" t="str">
        <f t="shared" si="91"/>
        <v/>
      </c>
      <c r="K1196" s="394" t="str">
        <f t="shared" si="92"/>
        <v/>
      </c>
    </row>
    <row r="1197" spans="8:11" x14ac:dyDescent="0.25">
      <c r="H1197" s="394" t="str">
        <f t="shared" si="89"/>
        <v/>
      </c>
      <c r="I1197" s="394" t="str">
        <f t="shared" si="90"/>
        <v/>
      </c>
      <c r="J1197" s="394" t="str">
        <f t="shared" si="91"/>
        <v/>
      </c>
      <c r="K1197" s="394" t="str">
        <f t="shared" si="92"/>
        <v/>
      </c>
    </row>
    <row r="1198" spans="8:11" x14ac:dyDescent="0.25">
      <c r="H1198" s="394" t="str">
        <f t="shared" si="89"/>
        <v/>
      </c>
      <c r="I1198" s="394" t="str">
        <f t="shared" si="90"/>
        <v/>
      </c>
      <c r="J1198" s="394" t="str">
        <f t="shared" si="91"/>
        <v/>
      </c>
      <c r="K1198" s="394" t="str">
        <f t="shared" si="92"/>
        <v/>
      </c>
    </row>
    <row r="1199" spans="8:11" x14ac:dyDescent="0.25">
      <c r="H1199" s="394" t="str">
        <f t="shared" si="89"/>
        <v/>
      </c>
      <c r="I1199" s="394" t="str">
        <f t="shared" si="90"/>
        <v/>
      </c>
      <c r="J1199" s="394" t="str">
        <f t="shared" si="91"/>
        <v/>
      </c>
      <c r="K1199" s="394" t="str">
        <f t="shared" si="92"/>
        <v/>
      </c>
    </row>
    <row r="1200" spans="8:11" x14ac:dyDescent="0.25">
      <c r="H1200" s="394" t="str">
        <f t="shared" si="89"/>
        <v/>
      </c>
      <c r="I1200" s="394" t="str">
        <f t="shared" si="90"/>
        <v/>
      </c>
      <c r="J1200" s="394" t="str">
        <f t="shared" si="91"/>
        <v/>
      </c>
      <c r="K1200" s="394" t="str">
        <f t="shared" si="92"/>
        <v/>
      </c>
    </row>
    <row r="1201" spans="8:11" x14ac:dyDescent="0.25">
      <c r="H1201" s="394" t="str">
        <f t="shared" si="89"/>
        <v/>
      </c>
      <c r="I1201" s="394" t="str">
        <f t="shared" si="90"/>
        <v/>
      </c>
      <c r="J1201" s="394" t="str">
        <f t="shared" si="91"/>
        <v/>
      </c>
      <c r="K1201" s="394" t="str">
        <f t="shared" si="92"/>
        <v/>
      </c>
    </row>
    <row r="1202" spans="8:11" x14ac:dyDescent="0.25">
      <c r="H1202" s="394" t="str">
        <f t="shared" si="89"/>
        <v/>
      </c>
      <c r="I1202" s="394" t="str">
        <f t="shared" si="90"/>
        <v/>
      </c>
      <c r="J1202" s="394" t="str">
        <f t="shared" si="91"/>
        <v/>
      </c>
      <c r="K1202" s="394" t="str">
        <f t="shared" si="92"/>
        <v/>
      </c>
    </row>
    <row r="1203" spans="8:11" x14ac:dyDescent="0.25">
      <c r="H1203" s="394" t="str">
        <f t="shared" si="89"/>
        <v/>
      </c>
      <c r="I1203" s="394" t="str">
        <f t="shared" si="90"/>
        <v/>
      </c>
      <c r="J1203" s="394" t="str">
        <f t="shared" si="91"/>
        <v/>
      </c>
      <c r="K1203" s="394" t="str">
        <f t="shared" si="92"/>
        <v/>
      </c>
    </row>
    <row r="1204" spans="8:11" x14ac:dyDescent="0.25">
      <c r="H1204" s="394" t="str">
        <f t="shared" si="89"/>
        <v/>
      </c>
      <c r="I1204" s="394" t="str">
        <f t="shared" si="90"/>
        <v/>
      </c>
      <c r="J1204" s="394" t="str">
        <f t="shared" si="91"/>
        <v/>
      </c>
      <c r="K1204" s="394" t="str">
        <f t="shared" si="92"/>
        <v/>
      </c>
    </row>
    <row r="1205" spans="8:11" x14ac:dyDescent="0.25">
      <c r="H1205" s="394" t="str">
        <f t="shared" si="89"/>
        <v/>
      </c>
      <c r="I1205" s="394" t="str">
        <f t="shared" si="90"/>
        <v/>
      </c>
      <c r="J1205" s="394" t="str">
        <f t="shared" si="91"/>
        <v/>
      </c>
      <c r="K1205" s="394" t="str">
        <f t="shared" si="92"/>
        <v/>
      </c>
    </row>
    <row r="1206" spans="8:11" x14ac:dyDescent="0.25">
      <c r="H1206" s="394" t="str">
        <f t="shared" si="89"/>
        <v/>
      </c>
      <c r="I1206" s="394" t="str">
        <f t="shared" si="90"/>
        <v/>
      </c>
      <c r="J1206" s="394" t="str">
        <f t="shared" si="91"/>
        <v/>
      </c>
      <c r="K1206" s="394" t="str">
        <f t="shared" si="92"/>
        <v/>
      </c>
    </row>
    <row r="1207" spans="8:11" x14ac:dyDescent="0.25">
      <c r="H1207" s="394" t="str">
        <f t="shared" si="89"/>
        <v/>
      </c>
      <c r="I1207" s="394" t="str">
        <f t="shared" si="90"/>
        <v/>
      </c>
      <c r="J1207" s="394" t="str">
        <f t="shared" si="91"/>
        <v/>
      </c>
      <c r="K1207" s="394" t="str">
        <f t="shared" si="92"/>
        <v/>
      </c>
    </row>
    <row r="1208" spans="8:11" x14ac:dyDescent="0.25">
      <c r="H1208" s="394" t="str">
        <f t="shared" si="89"/>
        <v/>
      </c>
      <c r="I1208" s="394" t="str">
        <f t="shared" si="90"/>
        <v/>
      </c>
      <c r="J1208" s="394" t="str">
        <f t="shared" si="91"/>
        <v/>
      </c>
      <c r="K1208" s="394" t="str">
        <f t="shared" si="92"/>
        <v/>
      </c>
    </row>
    <row r="1209" spans="8:11" x14ac:dyDescent="0.25">
      <c r="H1209" s="394" t="str">
        <f t="shared" si="89"/>
        <v/>
      </c>
      <c r="I1209" s="394" t="str">
        <f t="shared" si="90"/>
        <v/>
      </c>
      <c r="J1209" s="394" t="str">
        <f t="shared" si="91"/>
        <v/>
      </c>
      <c r="K1209" s="394" t="str">
        <f t="shared" si="92"/>
        <v/>
      </c>
    </row>
    <row r="1210" spans="8:11" x14ac:dyDescent="0.25">
      <c r="H1210" s="394" t="str">
        <f t="shared" si="89"/>
        <v/>
      </c>
      <c r="I1210" s="394" t="str">
        <f t="shared" si="90"/>
        <v/>
      </c>
      <c r="J1210" s="394" t="str">
        <f t="shared" si="91"/>
        <v/>
      </c>
      <c r="K1210" s="394" t="str">
        <f t="shared" si="92"/>
        <v/>
      </c>
    </row>
    <row r="1211" spans="8:11" x14ac:dyDescent="0.25">
      <c r="H1211" s="394" t="str">
        <f t="shared" si="89"/>
        <v/>
      </c>
      <c r="I1211" s="394" t="str">
        <f t="shared" si="90"/>
        <v/>
      </c>
      <c r="J1211" s="394" t="str">
        <f t="shared" si="91"/>
        <v/>
      </c>
      <c r="K1211" s="394" t="str">
        <f t="shared" si="92"/>
        <v/>
      </c>
    </row>
    <row r="1212" spans="8:11" x14ac:dyDescent="0.25">
      <c r="H1212" s="394" t="str">
        <f t="shared" si="89"/>
        <v/>
      </c>
      <c r="I1212" s="394" t="str">
        <f t="shared" si="90"/>
        <v/>
      </c>
      <c r="J1212" s="394" t="str">
        <f t="shared" si="91"/>
        <v/>
      </c>
      <c r="K1212" s="394" t="str">
        <f t="shared" si="92"/>
        <v/>
      </c>
    </row>
    <row r="1213" spans="8:11" x14ac:dyDescent="0.25">
      <c r="H1213" s="394" t="str">
        <f t="shared" si="89"/>
        <v/>
      </c>
      <c r="I1213" s="394" t="str">
        <f t="shared" si="90"/>
        <v/>
      </c>
      <c r="J1213" s="394" t="str">
        <f t="shared" si="91"/>
        <v/>
      </c>
      <c r="K1213" s="394" t="str">
        <f t="shared" si="92"/>
        <v/>
      </c>
    </row>
    <row r="1214" spans="8:11" x14ac:dyDescent="0.25">
      <c r="H1214" s="394" t="str">
        <f t="shared" si="89"/>
        <v/>
      </c>
      <c r="I1214" s="394" t="str">
        <f t="shared" si="90"/>
        <v/>
      </c>
      <c r="J1214" s="394" t="str">
        <f t="shared" si="91"/>
        <v/>
      </c>
      <c r="K1214" s="394" t="str">
        <f t="shared" si="92"/>
        <v/>
      </c>
    </row>
    <row r="1215" spans="8:11" x14ac:dyDescent="0.25">
      <c r="H1215" s="394" t="str">
        <f t="shared" si="89"/>
        <v/>
      </c>
      <c r="I1215" s="394" t="str">
        <f t="shared" si="90"/>
        <v/>
      </c>
      <c r="J1215" s="394" t="str">
        <f t="shared" si="91"/>
        <v/>
      </c>
      <c r="K1215" s="394" t="str">
        <f t="shared" si="92"/>
        <v/>
      </c>
    </row>
    <row r="1216" spans="8:11" x14ac:dyDescent="0.25">
      <c r="H1216" s="394" t="str">
        <f t="shared" si="89"/>
        <v/>
      </c>
      <c r="I1216" s="394" t="str">
        <f t="shared" si="90"/>
        <v/>
      </c>
      <c r="J1216" s="394" t="str">
        <f t="shared" si="91"/>
        <v/>
      </c>
      <c r="K1216" s="394" t="str">
        <f t="shared" si="92"/>
        <v/>
      </c>
    </row>
    <row r="1217" spans="8:11" x14ac:dyDescent="0.25">
      <c r="H1217" s="394" t="str">
        <f t="shared" si="89"/>
        <v/>
      </c>
      <c r="I1217" s="394" t="str">
        <f t="shared" si="90"/>
        <v/>
      </c>
      <c r="J1217" s="394" t="str">
        <f t="shared" si="91"/>
        <v/>
      </c>
      <c r="K1217" s="394" t="str">
        <f t="shared" si="92"/>
        <v/>
      </c>
    </row>
    <row r="1218" spans="8:11" x14ac:dyDescent="0.25">
      <c r="H1218" s="394" t="str">
        <f t="shared" si="89"/>
        <v/>
      </c>
      <c r="I1218" s="394" t="str">
        <f t="shared" si="90"/>
        <v/>
      </c>
      <c r="J1218" s="394" t="str">
        <f t="shared" si="91"/>
        <v/>
      </c>
      <c r="K1218" s="394" t="str">
        <f t="shared" si="92"/>
        <v/>
      </c>
    </row>
    <row r="1219" spans="8:11" x14ac:dyDescent="0.25">
      <c r="H1219" s="394" t="str">
        <f t="shared" si="89"/>
        <v/>
      </c>
      <c r="I1219" s="394" t="str">
        <f t="shared" si="90"/>
        <v/>
      </c>
      <c r="J1219" s="394" t="str">
        <f t="shared" si="91"/>
        <v/>
      </c>
      <c r="K1219" s="394" t="str">
        <f t="shared" si="92"/>
        <v/>
      </c>
    </row>
    <row r="1220" spans="8:11" x14ac:dyDescent="0.25">
      <c r="H1220" s="394" t="str">
        <f t="shared" si="89"/>
        <v/>
      </c>
      <c r="I1220" s="394" t="str">
        <f t="shared" si="90"/>
        <v/>
      </c>
      <c r="J1220" s="394" t="str">
        <f t="shared" si="91"/>
        <v/>
      </c>
      <c r="K1220" s="394" t="str">
        <f t="shared" si="92"/>
        <v/>
      </c>
    </row>
    <row r="1221" spans="8:11" x14ac:dyDescent="0.25">
      <c r="H1221" s="394" t="str">
        <f t="shared" si="89"/>
        <v/>
      </c>
      <c r="I1221" s="394" t="str">
        <f t="shared" si="90"/>
        <v/>
      </c>
      <c r="J1221" s="394" t="str">
        <f t="shared" si="91"/>
        <v/>
      </c>
      <c r="K1221" s="394" t="str">
        <f t="shared" si="92"/>
        <v/>
      </c>
    </row>
    <row r="1222" spans="8:11" x14ac:dyDescent="0.25">
      <c r="H1222" s="394" t="str">
        <f t="shared" si="89"/>
        <v/>
      </c>
      <c r="I1222" s="394" t="str">
        <f t="shared" si="90"/>
        <v/>
      </c>
      <c r="J1222" s="394" t="str">
        <f t="shared" si="91"/>
        <v/>
      </c>
      <c r="K1222" s="394" t="str">
        <f t="shared" si="92"/>
        <v/>
      </c>
    </row>
    <row r="1223" spans="8:11" x14ac:dyDescent="0.25">
      <c r="H1223" s="394" t="str">
        <f t="shared" si="89"/>
        <v/>
      </c>
      <c r="I1223" s="394" t="str">
        <f t="shared" si="90"/>
        <v/>
      </c>
      <c r="J1223" s="394" t="str">
        <f t="shared" si="91"/>
        <v/>
      </c>
      <c r="K1223" s="394" t="str">
        <f t="shared" si="92"/>
        <v/>
      </c>
    </row>
    <row r="1224" spans="8:11" x14ac:dyDescent="0.25">
      <c r="H1224" s="394" t="str">
        <f t="shared" si="89"/>
        <v/>
      </c>
      <c r="I1224" s="394" t="str">
        <f t="shared" si="90"/>
        <v/>
      </c>
      <c r="J1224" s="394" t="str">
        <f t="shared" si="91"/>
        <v/>
      </c>
      <c r="K1224" s="394" t="str">
        <f t="shared" si="92"/>
        <v/>
      </c>
    </row>
    <row r="1225" spans="8:11" x14ac:dyDescent="0.25">
      <c r="H1225" s="394" t="str">
        <f t="shared" si="89"/>
        <v/>
      </c>
      <c r="I1225" s="394" t="str">
        <f t="shared" si="90"/>
        <v/>
      </c>
      <c r="J1225" s="394" t="str">
        <f t="shared" si="91"/>
        <v/>
      </c>
      <c r="K1225" s="394" t="str">
        <f t="shared" si="92"/>
        <v/>
      </c>
    </row>
    <row r="1226" spans="8:11" x14ac:dyDescent="0.25">
      <c r="H1226" s="394" t="str">
        <f t="shared" si="89"/>
        <v/>
      </c>
      <c r="I1226" s="394" t="str">
        <f t="shared" si="90"/>
        <v/>
      </c>
      <c r="J1226" s="394" t="str">
        <f t="shared" si="91"/>
        <v/>
      </c>
      <c r="K1226" s="394" t="str">
        <f t="shared" si="92"/>
        <v/>
      </c>
    </row>
    <row r="1227" spans="8:11" x14ac:dyDescent="0.25">
      <c r="H1227" s="394" t="str">
        <f t="shared" si="89"/>
        <v/>
      </c>
      <c r="I1227" s="394" t="str">
        <f t="shared" si="90"/>
        <v/>
      </c>
      <c r="J1227" s="394" t="str">
        <f t="shared" si="91"/>
        <v/>
      </c>
      <c r="K1227" s="394" t="str">
        <f t="shared" si="92"/>
        <v/>
      </c>
    </row>
    <row r="1228" spans="8:11" x14ac:dyDescent="0.25">
      <c r="H1228" s="394" t="str">
        <f t="shared" si="89"/>
        <v/>
      </c>
      <c r="I1228" s="394" t="str">
        <f t="shared" si="90"/>
        <v/>
      </c>
      <c r="J1228" s="394" t="str">
        <f t="shared" si="91"/>
        <v/>
      </c>
      <c r="K1228" s="394" t="str">
        <f t="shared" si="92"/>
        <v/>
      </c>
    </row>
    <row r="1229" spans="8:11" x14ac:dyDescent="0.25">
      <c r="H1229" s="394" t="str">
        <f t="shared" si="89"/>
        <v/>
      </c>
      <c r="I1229" s="394" t="str">
        <f t="shared" si="90"/>
        <v/>
      </c>
      <c r="J1229" s="394" t="str">
        <f t="shared" si="91"/>
        <v/>
      </c>
      <c r="K1229" s="394" t="str">
        <f t="shared" si="92"/>
        <v/>
      </c>
    </row>
    <row r="1230" spans="8:11" x14ac:dyDescent="0.25">
      <c r="H1230" s="394" t="str">
        <f t="shared" si="89"/>
        <v/>
      </c>
      <c r="I1230" s="394" t="str">
        <f t="shared" si="90"/>
        <v/>
      </c>
      <c r="J1230" s="394" t="str">
        <f t="shared" si="91"/>
        <v/>
      </c>
      <c r="K1230" s="394" t="str">
        <f t="shared" si="92"/>
        <v/>
      </c>
    </row>
    <row r="1231" spans="8:11" x14ac:dyDescent="0.25">
      <c r="H1231" s="394" t="str">
        <f t="shared" si="89"/>
        <v/>
      </c>
      <c r="I1231" s="394" t="str">
        <f t="shared" si="90"/>
        <v/>
      </c>
      <c r="J1231" s="394" t="str">
        <f t="shared" si="91"/>
        <v/>
      </c>
      <c r="K1231" s="394" t="str">
        <f t="shared" si="92"/>
        <v/>
      </c>
    </row>
    <row r="1232" spans="8:11" x14ac:dyDescent="0.25">
      <c r="H1232" s="394" t="str">
        <f t="shared" si="89"/>
        <v/>
      </c>
      <c r="I1232" s="394" t="str">
        <f t="shared" si="90"/>
        <v/>
      </c>
      <c r="J1232" s="394" t="str">
        <f t="shared" si="91"/>
        <v/>
      </c>
      <c r="K1232" s="394" t="str">
        <f t="shared" si="92"/>
        <v/>
      </c>
    </row>
    <row r="1233" spans="8:11" x14ac:dyDescent="0.25">
      <c r="H1233" s="394" t="str">
        <f t="shared" si="89"/>
        <v/>
      </c>
      <c r="I1233" s="394" t="str">
        <f t="shared" si="90"/>
        <v/>
      </c>
      <c r="J1233" s="394" t="str">
        <f t="shared" si="91"/>
        <v/>
      </c>
      <c r="K1233" s="394" t="str">
        <f t="shared" si="92"/>
        <v/>
      </c>
    </row>
    <row r="1234" spans="8:11" x14ac:dyDescent="0.25">
      <c r="H1234" s="394" t="str">
        <f t="shared" si="89"/>
        <v/>
      </c>
      <c r="I1234" s="394" t="str">
        <f t="shared" si="90"/>
        <v/>
      </c>
      <c r="J1234" s="394" t="str">
        <f t="shared" si="91"/>
        <v/>
      </c>
      <c r="K1234" s="394" t="str">
        <f t="shared" si="92"/>
        <v/>
      </c>
    </row>
    <row r="1235" spans="8:11" x14ac:dyDescent="0.25">
      <c r="H1235" s="394" t="str">
        <f t="shared" si="89"/>
        <v/>
      </c>
      <c r="I1235" s="394" t="str">
        <f t="shared" si="90"/>
        <v/>
      </c>
      <c r="J1235" s="394" t="str">
        <f t="shared" si="91"/>
        <v/>
      </c>
      <c r="K1235" s="394" t="str">
        <f t="shared" si="92"/>
        <v/>
      </c>
    </row>
    <row r="1236" spans="8:11" x14ac:dyDescent="0.25">
      <c r="H1236" s="394" t="str">
        <f t="shared" si="89"/>
        <v/>
      </c>
      <c r="I1236" s="394" t="str">
        <f t="shared" si="90"/>
        <v/>
      </c>
      <c r="J1236" s="394" t="str">
        <f t="shared" si="91"/>
        <v/>
      </c>
      <c r="K1236" s="394" t="str">
        <f t="shared" si="92"/>
        <v/>
      </c>
    </row>
    <row r="1237" spans="8:11" x14ac:dyDescent="0.25">
      <c r="H1237" s="394" t="str">
        <f t="shared" si="89"/>
        <v/>
      </c>
      <c r="I1237" s="394" t="str">
        <f t="shared" si="90"/>
        <v/>
      </c>
      <c r="J1237" s="394" t="str">
        <f t="shared" si="91"/>
        <v/>
      </c>
      <c r="K1237" s="394" t="str">
        <f t="shared" si="92"/>
        <v/>
      </c>
    </row>
    <row r="1238" spans="8:11" x14ac:dyDescent="0.25">
      <c r="H1238" s="394" t="str">
        <f t="shared" si="89"/>
        <v/>
      </c>
      <c r="I1238" s="394" t="str">
        <f t="shared" si="90"/>
        <v/>
      </c>
      <c r="J1238" s="394" t="str">
        <f t="shared" si="91"/>
        <v/>
      </c>
      <c r="K1238" s="394" t="str">
        <f t="shared" si="92"/>
        <v/>
      </c>
    </row>
    <row r="1239" spans="8:11" x14ac:dyDescent="0.25">
      <c r="H1239" s="394" t="str">
        <f t="shared" si="89"/>
        <v/>
      </c>
      <c r="I1239" s="394" t="str">
        <f t="shared" si="90"/>
        <v/>
      </c>
      <c r="J1239" s="394" t="str">
        <f t="shared" si="91"/>
        <v/>
      </c>
      <c r="K1239" s="394" t="str">
        <f t="shared" si="92"/>
        <v/>
      </c>
    </row>
    <row r="1240" spans="8:11" x14ac:dyDescent="0.25">
      <c r="H1240" s="394" t="str">
        <f t="shared" si="89"/>
        <v/>
      </c>
      <c r="I1240" s="394" t="str">
        <f t="shared" si="90"/>
        <v/>
      </c>
      <c r="J1240" s="394" t="str">
        <f t="shared" si="91"/>
        <v/>
      </c>
      <c r="K1240" s="394" t="str">
        <f t="shared" si="92"/>
        <v/>
      </c>
    </row>
    <row r="1241" spans="8:11" x14ac:dyDescent="0.25">
      <c r="H1241" s="394" t="str">
        <f t="shared" si="89"/>
        <v/>
      </c>
      <c r="I1241" s="394" t="str">
        <f t="shared" si="90"/>
        <v/>
      </c>
      <c r="J1241" s="394" t="str">
        <f t="shared" si="91"/>
        <v/>
      </c>
      <c r="K1241" s="394" t="str">
        <f t="shared" si="92"/>
        <v/>
      </c>
    </row>
    <row r="1242" spans="8:11" x14ac:dyDescent="0.25">
      <c r="H1242" s="394" t="str">
        <f t="shared" si="89"/>
        <v/>
      </c>
      <c r="I1242" s="394" t="str">
        <f t="shared" si="90"/>
        <v/>
      </c>
      <c r="J1242" s="394" t="str">
        <f t="shared" si="91"/>
        <v/>
      </c>
      <c r="K1242" s="394" t="str">
        <f t="shared" si="92"/>
        <v/>
      </c>
    </row>
    <row r="1243" spans="8:11" x14ac:dyDescent="0.25">
      <c r="H1243" s="394" t="str">
        <f t="shared" si="89"/>
        <v/>
      </c>
      <c r="I1243" s="394" t="str">
        <f t="shared" si="90"/>
        <v/>
      </c>
      <c r="J1243" s="394" t="str">
        <f t="shared" si="91"/>
        <v/>
      </c>
      <c r="K1243" s="394" t="str">
        <f t="shared" si="92"/>
        <v/>
      </c>
    </row>
    <row r="1244" spans="8:11" x14ac:dyDescent="0.25">
      <c r="H1244" s="394" t="str">
        <f t="shared" si="89"/>
        <v/>
      </c>
      <c r="I1244" s="394" t="str">
        <f t="shared" si="90"/>
        <v/>
      </c>
      <c r="J1244" s="394" t="str">
        <f t="shared" si="91"/>
        <v/>
      </c>
      <c r="K1244" s="394" t="str">
        <f t="shared" si="92"/>
        <v/>
      </c>
    </row>
    <row r="1245" spans="8:11" x14ac:dyDescent="0.25">
      <c r="H1245" s="394" t="str">
        <f t="shared" si="89"/>
        <v/>
      </c>
      <c r="I1245" s="394" t="str">
        <f t="shared" si="90"/>
        <v/>
      </c>
      <c r="J1245" s="394" t="str">
        <f t="shared" si="91"/>
        <v/>
      </c>
      <c r="K1245" s="394" t="str">
        <f t="shared" si="92"/>
        <v/>
      </c>
    </row>
    <row r="1246" spans="8:11" x14ac:dyDescent="0.25">
      <c r="H1246" s="394" t="str">
        <f t="shared" si="89"/>
        <v/>
      </c>
      <c r="I1246" s="394" t="str">
        <f t="shared" si="90"/>
        <v/>
      </c>
      <c r="J1246" s="394" t="str">
        <f t="shared" si="91"/>
        <v/>
      </c>
      <c r="K1246" s="394" t="str">
        <f t="shared" si="92"/>
        <v/>
      </c>
    </row>
    <row r="1247" spans="8:11" x14ac:dyDescent="0.25">
      <c r="H1247" s="394" t="str">
        <f t="shared" si="89"/>
        <v/>
      </c>
      <c r="I1247" s="394" t="str">
        <f t="shared" si="90"/>
        <v/>
      </c>
      <c r="J1247" s="394" t="str">
        <f t="shared" si="91"/>
        <v/>
      </c>
      <c r="K1247" s="394" t="str">
        <f t="shared" si="92"/>
        <v/>
      </c>
    </row>
    <row r="1248" spans="8:11" x14ac:dyDescent="0.25">
      <c r="H1248" s="394" t="str">
        <f t="shared" si="89"/>
        <v/>
      </c>
      <c r="I1248" s="394" t="str">
        <f t="shared" si="90"/>
        <v/>
      </c>
      <c r="J1248" s="394" t="str">
        <f t="shared" si="91"/>
        <v/>
      </c>
      <c r="K1248" s="394" t="str">
        <f t="shared" si="92"/>
        <v/>
      </c>
    </row>
    <row r="1249" spans="8:11" x14ac:dyDescent="0.25">
      <c r="H1249" s="394" t="str">
        <f t="shared" si="89"/>
        <v/>
      </c>
      <c r="I1249" s="394" t="str">
        <f t="shared" si="90"/>
        <v/>
      </c>
      <c r="J1249" s="394" t="str">
        <f t="shared" si="91"/>
        <v/>
      </c>
      <c r="K1249" s="394" t="str">
        <f t="shared" si="92"/>
        <v/>
      </c>
    </row>
    <row r="1250" spans="8:11" x14ac:dyDescent="0.25">
      <c r="H1250" s="394" t="str">
        <f t="shared" si="89"/>
        <v/>
      </c>
      <c r="I1250" s="394" t="str">
        <f t="shared" si="90"/>
        <v/>
      </c>
      <c r="J1250" s="394" t="str">
        <f t="shared" si="91"/>
        <v/>
      </c>
      <c r="K1250" s="394" t="str">
        <f t="shared" si="92"/>
        <v/>
      </c>
    </row>
    <row r="1251" spans="8:11" x14ac:dyDescent="0.25">
      <c r="H1251" s="394" t="str">
        <f t="shared" si="89"/>
        <v/>
      </c>
      <c r="I1251" s="394" t="str">
        <f t="shared" si="90"/>
        <v/>
      </c>
      <c r="J1251" s="394" t="str">
        <f t="shared" si="91"/>
        <v/>
      </c>
      <c r="K1251" s="394" t="str">
        <f t="shared" si="92"/>
        <v/>
      </c>
    </row>
    <row r="1252" spans="8:11" x14ac:dyDescent="0.25">
      <c r="H1252" s="394" t="str">
        <f t="shared" si="89"/>
        <v/>
      </c>
      <c r="I1252" s="394" t="str">
        <f t="shared" si="90"/>
        <v/>
      </c>
      <c r="J1252" s="394" t="str">
        <f t="shared" si="91"/>
        <v/>
      </c>
      <c r="K1252" s="394" t="str">
        <f t="shared" si="92"/>
        <v/>
      </c>
    </row>
    <row r="1253" spans="8:11" x14ac:dyDescent="0.25">
      <c r="H1253" s="394" t="str">
        <f t="shared" si="89"/>
        <v/>
      </c>
      <c r="I1253" s="394" t="str">
        <f t="shared" si="90"/>
        <v/>
      </c>
      <c r="J1253" s="394" t="str">
        <f t="shared" si="91"/>
        <v/>
      </c>
      <c r="K1253" s="394" t="str">
        <f t="shared" si="92"/>
        <v/>
      </c>
    </row>
    <row r="1254" spans="8:11" x14ac:dyDescent="0.25">
      <c r="H1254" s="394" t="str">
        <f t="shared" si="89"/>
        <v/>
      </c>
      <c r="I1254" s="394" t="str">
        <f t="shared" si="90"/>
        <v/>
      </c>
      <c r="J1254" s="394" t="str">
        <f t="shared" si="91"/>
        <v/>
      </c>
      <c r="K1254" s="394" t="str">
        <f t="shared" si="92"/>
        <v/>
      </c>
    </row>
    <row r="1255" spans="8:11" x14ac:dyDescent="0.25">
      <c r="H1255" s="394" t="str">
        <f t="shared" si="89"/>
        <v/>
      </c>
      <c r="I1255" s="394" t="str">
        <f t="shared" si="90"/>
        <v/>
      </c>
      <c r="J1255" s="394" t="str">
        <f t="shared" si="91"/>
        <v/>
      </c>
      <c r="K1255" s="394" t="str">
        <f t="shared" si="92"/>
        <v/>
      </c>
    </row>
    <row r="1256" spans="8:11" x14ac:dyDescent="0.25">
      <c r="H1256" s="394" t="str">
        <f t="shared" si="89"/>
        <v/>
      </c>
      <c r="I1256" s="394" t="str">
        <f t="shared" si="90"/>
        <v/>
      </c>
      <c r="J1256" s="394" t="str">
        <f t="shared" si="91"/>
        <v/>
      </c>
      <c r="K1256" s="394" t="str">
        <f t="shared" si="92"/>
        <v/>
      </c>
    </row>
    <row r="1257" spans="8:11" x14ac:dyDescent="0.25">
      <c r="H1257" s="394" t="str">
        <f t="shared" ref="H1257:H1320" si="93">IF($C279="","",ROUND(($B$2*$F279*($B$5/1000))/$B$6,2))</f>
        <v/>
      </c>
      <c r="I1257" s="394" t="str">
        <f t="shared" ref="I1257:I1320" si="94">IF($C279="","",ROUND(($B$3*$F279*($B$5/1000))/$B$6,2))</f>
        <v/>
      </c>
      <c r="J1257" s="394" t="str">
        <f t="shared" ref="J1257:J1320" si="95">IF(OR($C279="",$B$9="",$B$15=""),"",ROUND(((((IF($B$15="N/A",$B$2,$B$4))*$F279*($B$5/1000))+((($G279/1000)*($B$5/1000)*10.7639104)*(IF($B$9="Smooth",$B$10,IF($B$9="Sand",$B$11,0)))))*(1+$B$17))/$B$8,2))</f>
        <v/>
      </c>
      <c r="K1257" s="394" t="str">
        <f t="shared" ref="K1257:K1320" si="96">IF(OR($C279="",$B$12="",$B$15=""),"",ROUND(((((IF($B$15="N/A",$B$2,$B$4))*$F279*($B$5/1000))+((($G279/1000)*($B$5/1000)*10.7639104)*(IF($B$12="Indoor",$B$13,IF($B$12="Outdoor",$B$14,0)))))*(1+$B$17))/$B$8,2))</f>
        <v/>
      </c>
    </row>
    <row r="1258" spans="8:11" x14ac:dyDescent="0.25">
      <c r="H1258" s="394" t="str">
        <f t="shared" si="93"/>
        <v/>
      </c>
      <c r="I1258" s="394" t="str">
        <f t="shared" si="94"/>
        <v/>
      </c>
      <c r="J1258" s="394" t="str">
        <f t="shared" si="95"/>
        <v/>
      </c>
      <c r="K1258" s="394" t="str">
        <f t="shared" si="96"/>
        <v/>
      </c>
    </row>
    <row r="1259" spans="8:11" x14ac:dyDescent="0.25">
      <c r="H1259" s="394" t="str">
        <f t="shared" si="93"/>
        <v/>
      </c>
      <c r="I1259" s="394" t="str">
        <f t="shared" si="94"/>
        <v/>
      </c>
      <c r="J1259" s="394" t="str">
        <f t="shared" si="95"/>
        <v/>
      </c>
      <c r="K1259" s="394" t="str">
        <f t="shared" si="96"/>
        <v/>
      </c>
    </row>
    <row r="1260" spans="8:11" x14ac:dyDescent="0.25">
      <c r="H1260" s="394" t="str">
        <f t="shared" si="93"/>
        <v/>
      </c>
      <c r="I1260" s="394" t="str">
        <f t="shared" si="94"/>
        <v/>
      </c>
      <c r="J1260" s="394" t="str">
        <f t="shared" si="95"/>
        <v/>
      </c>
      <c r="K1260" s="394" t="str">
        <f t="shared" si="96"/>
        <v/>
      </c>
    </row>
    <row r="1261" spans="8:11" x14ac:dyDescent="0.25">
      <c r="H1261" s="394" t="str">
        <f t="shared" si="93"/>
        <v/>
      </c>
      <c r="I1261" s="394" t="str">
        <f t="shared" si="94"/>
        <v/>
      </c>
      <c r="J1261" s="394" t="str">
        <f t="shared" si="95"/>
        <v/>
      </c>
      <c r="K1261" s="394" t="str">
        <f t="shared" si="96"/>
        <v/>
      </c>
    </row>
    <row r="1262" spans="8:11" x14ac:dyDescent="0.25">
      <c r="H1262" s="394" t="str">
        <f t="shared" si="93"/>
        <v/>
      </c>
      <c r="I1262" s="394" t="str">
        <f t="shared" si="94"/>
        <v/>
      </c>
      <c r="J1262" s="394" t="str">
        <f t="shared" si="95"/>
        <v/>
      </c>
      <c r="K1262" s="394" t="str">
        <f t="shared" si="96"/>
        <v/>
      </c>
    </row>
    <row r="1263" spans="8:11" x14ac:dyDescent="0.25">
      <c r="H1263" s="394" t="str">
        <f t="shared" si="93"/>
        <v/>
      </c>
      <c r="I1263" s="394" t="str">
        <f t="shared" si="94"/>
        <v/>
      </c>
      <c r="J1263" s="394" t="str">
        <f t="shared" si="95"/>
        <v/>
      </c>
      <c r="K1263" s="394" t="str">
        <f t="shared" si="96"/>
        <v/>
      </c>
    </row>
    <row r="1264" spans="8:11" x14ac:dyDescent="0.25">
      <c r="H1264" s="394" t="str">
        <f t="shared" si="93"/>
        <v/>
      </c>
      <c r="I1264" s="394" t="str">
        <f t="shared" si="94"/>
        <v/>
      </c>
      <c r="J1264" s="394" t="str">
        <f t="shared" si="95"/>
        <v/>
      </c>
      <c r="K1264" s="394" t="str">
        <f t="shared" si="96"/>
        <v/>
      </c>
    </row>
    <row r="1265" spans="8:11" x14ac:dyDescent="0.25">
      <c r="H1265" s="394" t="str">
        <f t="shared" si="93"/>
        <v/>
      </c>
      <c r="I1265" s="394" t="str">
        <f t="shared" si="94"/>
        <v/>
      </c>
      <c r="J1265" s="394" t="str">
        <f t="shared" si="95"/>
        <v/>
      </c>
      <c r="K1265" s="394" t="str">
        <f t="shared" si="96"/>
        <v/>
      </c>
    </row>
    <row r="1266" spans="8:11" x14ac:dyDescent="0.25">
      <c r="H1266" s="394" t="str">
        <f t="shared" si="93"/>
        <v/>
      </c>
      <c r="I1266" s="394" t="str">
        <f t="shared" si="94"/>
        <v/>
      </c>
      <c r="J1266" s="394" t="str">
        <f t="shared" si="95"/>
        <v/>
      </c>
      <c r="K1266" s="394" t="str">
        <f t="shared" si="96"/>
        <v/>
      </c>
    </row>
    <row r="1267" spans="8:11" x14ac:dyDescent="0.25">
      <c r="H1267" s="394" t="str">
        <f t="shared" si="93"/>
        <v/>
      </c>
      <c r="I1267" s="394" t="str">
        <f t="shared" si="94"/>
        <v/>
      </c>
      <c r="J1267" s="394" t="str">
        <f t="shared" si="95"/>
        <v/>
      </c>
      <c r="K1267" s="394" t="str">
        <f t="shared" si="96"/>
        <v/>
      </c>
    </row>
    <row r="1268" spans="8:11" x14ac:dyDescent="0.25">
      <c r="H1268" s="394" t="str">
        <f t="shared" si="93"/>
        <v/>
      </c>
      <c r="I1268" s="394" t="str">
        <f t="shared" si="94"/>
        <v/>
      </c>
      <c r="J1268" s="394" t="str">
        <f t="shared" si="95"/>
        <v/>
      </c>
      <c r="K1268" s="394" t="str">
        <f t="shared" si="96"/>
        <v/>
      </c>
    </row>
    <row r="1269" spans="8:11" x14ac:dyDescent="0.25">
      <c r="H1269" s="394" t="str">
        <f t="shared" si="93"/>
        <v/>
      </c>
      <c r="I1269" s="394" t="str">
        <f t="shared" si="94"/>
        <v/>
      </c>
      <c r="J1269" s="394" t="str">
        <f t="shared" si="95"/>
        <v/>
      </c>
      <c r="K1269" s="394" t="str">
        <f t="shared" si="96"/>
        <v/>
      </c>
    </row>
    <row r="1270" spans="8:11" x14ac:dyDescent="0.25">
      <c r="H1270" s="394" t="str">
        <f t="shared" si="93"/>
        <v/>
      </c>
      <c r="I1270" s="394" t="str">
        <f t="shared" si="94"/>
        <v/>
      </c>
      <c r="J1270" s="394" t="str">
        <f t="shared" si="95"/>
        <v/>
      </c>
      <c r="K1270" s="394" t="str">
        <f t="shared" si="96"/>
        <v/>
      </c>
    </row>
    <row r="1271" spans="8:11" x14ac:dyDescent="0.25">
      <c r="H1271" s="394" t="str">
        <f t="shared" si="93"/>
        <v/>
      </c>
      <c r="I1271" s="394" t="str">
        <f t="shared" si="94"/>
        <v/>
      </c>
      <c r="J1271" s="394" t="str">
        <f t="shared" si="95"/>
        <v/>
      </c>
      <c r="K1271" s="394" t="str">
        <f t="shared" si="96"/>
        <v/>
      </c>
    </row>
    <row r="1272" spans="8:11" x14ac:dyDescent="0.25">
      <c r="H1272" s="394" t="str">
        <f t="shared" si="93"/>
        <v/>
      </c>
      <c r="I1272" s="394" t="str">
        <f t="shared" si="94"/>
        <v/>
      </c>
      <c r="J1272" s="394" t="str">
        <f t="shared" si="95"/>
        <v/>
      </c>
      <c r="K1272" s="394" t="str">
        <f t="shared" si="96"/>
        <v/>
      </c>
    </row>
    <row r="1273" spans="8:11" x14ac:dyDescent="0.25">
      <c r="H1273" s="394" t="str">
        <f t="shared" si="93"/>
        <v/>
      </c>
      <c r="I1273" s="394" t="str">
        <f t="shared" si="94"/>
        <v/>
      </c>
      <c r="J1273" s="394" t="str">
        <f t="shared" si="95"/>
        <v/>
      </c>
      <c r="K1273" s="394" t="str">
        <f t="shared" si="96"/>
        <v/>
      </c>
    </row>
    <row r="1274" spans="8:11" x14ac:dyDescent="0.25">
      <c r="H1274" s="394" t="str">
        <f t="shared" si="93"/>
        <v/>
      </c>
      <c r="I1274" s="394" t="str">
        <f t="shared" si="94"/>
        <v/>
      </c>
      <c r="J1274" s="394" t="str">
        <f t="shared" si="95"/>
        <v/>
      </c>
      <c r="K1274" s="394" t="str">
        <f t="shared" si="96"/>
        <v/>
      </c>
    </row>
    <row r="1275" spans="8:11" x14ac:dyDescent="0.25">
      <c r="H1275" s="394" t="str">
        <f t="shared" si="93"/>
        <v/>
      </c>
      <c r="I1275" s="394" t="str">
        <f t="shared" si="94"/>
        <v/>
      </c>
      <c r="J1275" s="394" t="str">
        <f t="shared" si="95"/>
        <v/>
      </c>
      <c r="K1275" s="394" t="str">
        <f t="shared" si="96"/>
        <v/>
      </c>
    </row>
    <row r="1276" spans="8:11" x14ac:dyDescent="0.25">
      <c r="H1276" s="394" t="str">
        <f t="shared" si="93"/>
        <v/>
      </c>
      <c r="I1276" s="394" t="str">
        <f t="shared" si="94"/>
        <v/>
      </c>
      <c r="J1276" s="394" t="str">
        <f t="shared" si="95"/>
        <v/>
      </c>
      <c r="K1276" s="394" t="str">
        <f t="shared" si="96"/>
        <v/>
      </c>
    </row>
    <row r="1277" spans="8:11" x14ac:dyDescent="0.25">
      <c r="H1277" s="394" t="str">
        <f t="shared" si="93"/>
        <v/>
      </c>
      <c r="I1277" s="394" t="str">
        <f t="shared" si="94"/>
        <v/>
      </c>
      <c r="J1277" s="394" t="str">
        <f t="shared" si="95"/>
        <v/>
      </c>
      <c r="K1277" s="394" t="str">
        <f t="shared" si="96"/>
        <v/>
      </c>
    </row>
    <row r="1278" spans="8:11" x14ac:dyDescent="0.25">
      <c r="H1278" s="394" t="str">
        <f t="shared" si="93"/>
        <v/>
      </c>
      <c r="I1278" s="394" t="str">
        <f t="shared" si="94"/>
        <v/>
      </c>
      <c r="J1278" s="394" t="str">
        <f t="shared" si="95"/>
        <v/>
      </c>
      <c r="K1278" s="394" t="str">
        <f t="shared" si="96"/>
        <v/>
      </c>
    </row>
    <row r="1279" spans="8:11" x14ac:dyDescent="0.25">
      <c r="H1279" s="394" t="str">
        <f t="shared" si="93"/>
        <v/>
      </c>
      <c r="I1279" s="394" t="str">
        <f t="shared" si="94"/>
        <v/>
      </c>
      <c r="J1279" s="394" t="str">
        <f t="shared" si="95"/>
        <v/>
      </c>
      <c r="K1279" s="394" t="str">
        <f t="shared" si="96"/>
        <v/>
      </c>
    </row>
    <row r="1280" spans="8:11" x14ac:dyDescent="0.25">
      <c r="H1280" s="394" t="str">
        <f t="shared" si="93"/>
        <v/>
      </c>
      <c r="I1280" s="394" t="str">
        <f t="shared" si="94"/>
        <v/>
      </c>
      <c r="J1280" s="394" t="str">
        <f t="shared" si="95"/>
        <v/>
      </c>
      <c r="K1280" s="394" t="str">
        <f t="shared" si="96"/>
        <v/>
      </c>
    </row>
    <row r="1281" spans="8:11" x14ac:dyDescent="0.25">
      <c r="H1281" s="394" t="str">
        <f t="shared" si="93"/>
        <v/>
      </c>
      <c r="I1281" s="394" t="str">
        <f t="shared" si="94"/>
        <v/>
      </c>
      <c r="J1281" s="394" t="str">
        <f t="shared" si="95"/>
        <v/>
      </c>
      <c r="K1281" s="394" t="str">
        <f t="shared" si="96"/>
        <v/>
      </c>
    </row>
    <row r="1282" spans="8:11" x14ac:dyDescent="0.25">
      <c r="H1282" s="394" t="str">
        <f t="shared" si="93"/>
        <v/>
      </c>
      <c r="I1282" s="394" t="str">
        <f t="shared" si="94"/>
        <v/>
      </c>
      <c r="J1282" s="394" t="str">
        <f t="shared" si="95"/>
        <v/>
      </c>
      <c r="K1282" s="394" t="str">
        <f t="shared" si="96"/>
        <v/>
      </c>
    </row>
    <row r="1283" spans="8:11" x14ac:dyDescent="0.25">
      <c r="H1283" s="394" t="str">
        <f t="shared" si="93"/>
        <v/>
      </c>
      <c r="I1283" s="394" t="str">
        <f t="shared" si="94"/>
        <v/>
      </c>
      <c r="J1283" s="394" t="str">
        <f t="shared" si="95"/>
        <v/>
      </c>
      <c r="K1283" s="394" t="str">
        <f t="shared" si="96"/>
        <v/>
      </c>
    </row>
    <row r="1284" spans="8:11" x14ac:dyDescent="0.25">
      <c r="H1284" s="394" t="str">
        <f t="shared" si="93"/>
        <v/>
      </c>
      <c r="I1284" s="394" t="str">
        <f t="shared" si="94"/>
        <v/>
      </c>
      <c r="J1284" s="394" t="str">
        <f t="shared" si="95"/>
        <v/>
      </c>
      <c r="K1284" s="394" t="str">
        <f t="shared" si="96"/>
        <v/>
      </c>
    </row>
    <row r="1285" spans="8:11" x14ac:dyDescent="0.25">
      <c r="H1285" s="394" t="str">
        <f t="shared" si="93"/>
        <v/>
      </c>
      <c r="I1285" s="394" t="str">
        <f t="shared" si="94"/>
        <v/>
      </c>
      <c r="J1285" s="394" t="str">
        <f t="shared" si="95"/>
        <v/>
      </c>
      <c r="K1285" s="394" t="str">
        <f t="shared" si="96"/>
        <v/>
      </c>
    </row>
    <row r="1286" spans="8:11" x14ac:dyDescent="0.25">
      <c r="H1286" s="394" t="str">
        <f t="shared" si="93"/>
        <v/>
      </c>
      <c r="I1286" s="394" t="str">
        <f t="shared" si="94"/>
        <v/>
      </c>
      <c r="J1286" s="394" t="str">
        <f t="shared" si="95"/>
        <v/>
      </c>
      <c r="K1286" s="394" t="str">
        <f t="shared" si="96"/>
        <v/>
      </c>
    </row>
    <row r="1287" spans="8:11" x14ac:dyDescent="0.25">
      <c r="H1287" s="394" t="str">
        <f t="shared" si="93"/>
        <v/>
      </c>
      <c r="I1287" s="394" t="str">
        <f t="shared" si="94"/>
        <v/>
      </c>
      <c r="J1287" s="394" t="str">
        <f t="shared" si="95"/>
        <v/>
      </c>
      <c r="K1287" s="394" t="str">
        <f t="shared" si="96"/>
        <v/>
      </c>
    </row>
    <row r="1288" spans="8:11" x14ac:dyDescent="0.25">
      <c r="H1288" s="394" t="str">
        <f t="shared" si="93"/>
        <v/>
      </c>
      <c r="I1288" s="394" t="str">
        <f t="shared" si="94"/>
        <v/>
      </c>
      <c r="J1288" s="394" t="str">
        <f t="shared" si="95"/>
        <v/>
      </c>
      <c r="K1288" s="394" t="str">
        <f t="shared" si="96"/>
        <v/>
      </c>
    </row>
    <row r="1289" spans="8:11" x14ac:dyDescent="0.25">
      <c r="H1289" s="394" t="str">
        <f t="shared" si="93"/>
        <v/>
      </c>
      <c r="I1289" s="394" t="str">
        <f t="shared" si="94"/>
        <v/>
      </c>
      <c r="J1289" s="394" t="str">
        <f t="shared" si="95"/>
        <v/>
      </c>
      <c r="K1289" s="394" t="str">
        <f t="shared" si="96"/>
        <v/>
      </c>
    </row>
    <row r="1290" spans="8:11" x14ac:dyDescent="0.25">
      <c r="H1290" s="394" t="str">
        <f t="shared" si="93"/>
        <v/>
      </c>
      <c r="I1290" s="394" t="str">
        <f t="shared" si="94"/>
        <v/>
      </c>
      <c r="J1290" s="394" t="str">
        <f t="shared" si="95"/>
        <v/>
      </c>
      <c r="K1290" s="394" t="str">
        <f t="shared" si="96"/>
        <v/>
      </c>
    </row>
    <row r="1291" spans="8:11" x14ac:dyDescent="0.25">
      <c r="H1291" s="394" t="str">
        <f t="shared" si="93"/>
        <v/>
      </c>
      <c r="I1291" s="394" t="str">
        <f t="shared" si="94"/>
        <v/>
      </c>
      <c r="J1291" s="394" t="str">
        <f t="shared" si="95"/>
        <v/>
      </c>
      <c r="K1291" s="394" t="str">
        <f t="shared" si="96"/>
        <v/>
      </c>
    </row>
    <row r="1292" spans="8:11" x14ac:dyDescent="0.25">
      <c r="H1292" s="394" t="str">
        <f t="shared" si="93"/>
        <v/>
      </c>
      <c r="I1292" s="394" t="str">
        <f t="shared" si="94"/>
        <v/>
      </c>
      <c r="J1292" s="394" t="str">
        <f t="shared" si="95"/>
        <v/>
      </c>
      <c r="K1292" s="394" t="str">
        <f t="shared" si="96"/>
        <v/>
      </c>
    </row>
    <row r="1293" spans="8:11" x14ac:dyDescent="0.25">
      <c r="H1293" s="394" t="str">
        <f t="shared" si="93"/>
        <v/>
      </c>
      <c r="I1293" s="394" t="str">
        <f t="shared" si="94"/>
        <v/>
      </c>
      <c r="J1293" s="394" t="str">
        <f t="shared" si="95"/>
        <v/>
      </c>
      <c r="K1293" s="394" t="str">
        <f t="shared" si="96"/>
        <v/>
      </c>
    </row>
    <row r="1294" spans="8:11" x14ac:dyDescent="0.25">
      <c r="H1294" s="394" t="str">
        <f t="shared" si="93"/>
        <v/>
      </c>
      <c r="I1294" s="394" t="str">
        <f t="shared" si="94"/>
        <v/>
      </c>
      <c r="J1294" s="394" t="str">
        <f t="shared" si="95"/>
        <v/>
      </c>
      <c r="K1294" s="394" t="str">
        <f t="shared" si="96"/>
        <v/>
      </c>
    </row>
    <row r="1295" spans="8:11" x14ac:dyDescent="0.25">
      <c r="H1295" s="394" t="str">
        <f t="shared" si="93"/>
        <v/>
      </c>
      <c r="I1295" s="394" t="str">
        <f t="shared" si="94"/>
        <v/>
      </c>
      <c r="J1295" s="394" t="str">
        <f t="shared" si="95"/>
        <v/>
      </c>
      <c r="K1295" s="394" t="str">
        <f t="shared" si="96"/>
        <v/>
      </c>
    </row>
    <row r="1296" spans="8:11" x14ac:dyDescent="0.25">
      <c r="H1296" s="394" t="str">
        <f t="shared" si="93"/>
        <v/>
      </c>
      <c r="I1296" s="394" t="str">
        <f t="shared" si="94"/>
        <v/>
      </c>
      <c r="J1296" s="394" t="str">
        <f t="shared" si="95"/>
        <v/>
      </c>
      <c r="K1296" s="394" t="str">
        <f t="shared" si="96"/>
        <v/>
      </c>
    </row>
    <row r="1297" spans="8:11" x14ac:dyDescent="0.25">
      <c r="H1297" s="394" t="str">
        <f t="shared" si="93"/>
        <v/>
      </c>
      <c r="I1297" s="394" t="str">
        <f t="shared" si="94"/>
        <v/>
      </c>
      <c r="J1297" s="394" t="str">
        <f t="shared" si="95"/>
        <v/>
      </c>
      <c r="K1297" s="394" t="str">
        <f t="shared" si="96"/>
        <v/>
      </c>
    </row>
    <row r="1298" spans="8:11" x14ac:dyDescent="0.25">
      <c r="H1298" s="394" t="str">
        <f t="shared" si="93"/>
        <v/>
      </c>
      <c r="I1298" s="394" t="str">
        <f t="shared" si="94"/>
        <v/>
      </c>
      <c r="J1298" s="394" t="str">
        <f t="shared" si="95"/>
        <v/>
      </c>
      <c r="K1298" s="394" t="str">
        <f t="shared" si="96"/>
        <v/>
      </c>
    </row>
    <row r="1299" spans="8:11" x14ac:dyDescent="0.25">
      <c r="H1299" s="394" t="str">
        <f t="shared" si="93"/>
        <v/>
      </c>
      <c r="I1299" s="394" t="str">
        <f t="shared" si="94"/>
        <v/>
      </c>
      <c r="J1299" s="394" t="str">
        <f t="shared" si="95"/>
        <v/>
      </c>
      <c r="K1299" s="394" t="str">
        <f t="shared" si="96"/>
        <v/>
      </c>
    </row>
    <row r="1300" spans="8:11" x14ac:dyDescent="0.25">
      <c r="H1300" s="394" t="str">
        <f t="shared" si="93"/>
        <v/>
      </c>
      <c r="I1300" s="394" t="str">
        <f t="shared" si="94"/>
        <v/>
      </c>
      <c r="J1300" s="394" t="str">
        <f t="shared" si="95"/>
        <v/>
      </c>
      <c r="K1300" s="394" t="str">
        <f t="shared" si="96"/>
        <v/>
      </c>
    </row>
    <row r="1301" spans="8:11" x14ac:dyDescent="0.25">
      <c r="H1301" s="394" t="str">
        <f t="shared" si="93"/>
        <v/>
      </c>
      <c r="I1301" s="394" t="str">
        <f t="shared" si="94"/>
        <v/>
      </c>
      <c r="J1301" s="394" t="str">
        <f t="shared" si="95"/>
        <v/>
      </c>
      <c r="K1301" s="394" t="str">
        <f t="shared" si="96"/>
        <v/>
      </c>
    </row>
    <row r="1302" spans="8:11" x14ac:dyDescent="0.25">
      <c r="H1302" s="394" t="str">
        <f t="shared" si="93"/>
        <v/>
      </c>
      <c r="I1302" s="394" t="str">
        <f t="shared" si="94"/>
        <v/>
      </c>
      <c r="J1302" s="394" t="str">
        <f t="shared" si="95"/>
        <v/>
      </c>
      <c r="K1302" s="394" t="str">
        <f t="shared" si="96"/>
        <v/>
      </c>
    </row>
    <row r="1303" spans="8:11" x14ac:dyDescent="0.25">
      <c r="H1303" s="394" t="str">
        <f t="shared" si="93"/>
        <v/>
      </c>
      <c r="I1303" s="394" t="str">
        <f t="shared" si="94"/>
        <v/>
      </c>
      <c r="J1303" s="394" t="str">
        <f t="shared" si="95"/>
        <v/>
      </c>
      <c r="K1303" s="394" t="str">
        <f t="shared" si="96"/>
        <v/>
      </c>
    </row>
    <row r="1304" spans="8:11" x14ac:dyDescent="0.25">
      <c r="H1304" s="394" t="str">
        <f t="shared" si="93"/>
        <v/>
      </c>
      <c r="I1304" s="394" t="str">
        <f t="shared" si="94"/>
        <v/>
      </c>
      <c r="J1304" s="394" t="str">
        <f t="shared" si="95"/>
        <v/>
      </c>
      <c r="K1304" s="394" t="str">
        <f t="shared" si="96"/>
        <v/>
      </c>
    </row>
    <row r="1305" spans="8:11" x14ac:dyDescent="0.25">
      <c r="H1305" s="394" t="str">
        <f t="shared" si="93"/>
        <v/>
      </c>
      <c r="I1305" s="394" t="str">
        <f t="shared" si="94"/>
        <v/>
      </c>
      <c r="J1305" s="394" t="str">
        <f t="shared" si="95"/>
        <v/>
      </c>
      <c r="K1305" s="394" t="str">
        <f t="shared" si="96"/>
        <v/>
      </c>
    </row>
    <row r="1306" spans="8:11" x14ac:dyDescent="0.25">
      <c r="H1306" s="394" t="str">
        <f t="shared" si="93"/>
        <v/>
      </c>
      <c r="I1306" s="394" t="str">
        <f t="shared" si="94"/>
        <v/>
      </c>
      <c r="J1306" s="394" t="str">
        <f t="shared" si="95"/>
        <v/>
      </c>
      <c r="K1306" s="394" t="str">
        <f t="shared" si="96"/>
        <v/>
      </c>
    </row>
    <row r="1307" spans="8:11" x14ac:dyDescent="0.25">
      <c r="H1307" s="394" t="str">
        <f t="shared" si="93"/>
        <v/>
      </c>
      <c r="I1307" s="394" t="str">
        <f t="shared" si="94"/>
        <v/>
      </c>
      <c r="J1307" s="394" t="str">
        <f t="shared" si="95"/>
        <v/>
      </c>
      <c r="K1307" s="394" t="str">
        <f t="shared" si="96"/>
        <v/>
      </c>
    </row>
    <row r="1308" spans="8:11" x14ac:dyDescent="0.25">
      <c r="H1308" s="394" t="str">
        <f t="shared" si="93"/>
        <v/>
      </c>
      <c r="I1308" s="394" t="str">
        <f t="shared" si="94"/>
        <v/>
      </c>
      <c r="J1308" s="394" t="str">
        <f t="shared" si="95"/>
        <v/>
      </c>
      <c r="K1308" s="394" t="str">
        <f t="shared" si="96"/>
        <v/>
      </c>
    </row>
    <row r="1309" spans="8:11" x14ac:dyDescent="0.25">
      <c r="H1309" s="394" t="str">
        <f t="shared" si="93"/>
        <v/>
      </c>
      <c r="I1309" s="394" t="str">
        <f t="shared" si="94"/>
        <v/>
      </c>
      <c r="J1309" s="394" t="str">
        <f t="shared" si="95"/>
        <v/>
      </c>
      <c r="K1309" s="394" t="str">
        <f t="shared" si="96"/>
        <v/>
      </c>
    </row>
    <row r="1310" spans="8:11" x14ac:dyDescent="0.25">
      <c r="H1310" s="394" t="str">
        <f t="shared" si="93"/>
        <v/>
      </c>
      <c r="I1310" s="394" t="str">
        <f t="shared" si="94"/>
        <v/>
      </c>
      <c r="J1310" s="394" t="str">
        <f t="shared" si="95"/>
        <v/>
      </c>
      <c r="K1310" s="394" t="str">
        <f t="shared" si="96"/>
        <v/>
      </c>
    </row>
    <row r="1311" spans="8:11" x14ac:dyDescent="0.25">
      <c r="H1311" s="394" t="str">
        <f t="shared" si="93"/>
        <v/>
      </c>
      <c r="I1311" s="394" t="str">
        <f t="shared" si="94"/>
        <v/>
      </c>
      <c r="J1311" s="394" t="str">
        <f t="shared" si="95"/>
        <v/>
      </c>
      <c r="K1311" s="394" t="str">
        <f t="shared" si="96"/>
        <v/>
      </c>
    </row>
    <row r="1312" spans="8:11" x14ac:dyDescent="0.25">
      <c r="H1312" s="394" t="str">
        <f t="shared" si="93"/>
        <v/>
      </c>
      <c r="I1312" s="394" t="str">
        <f t="shared" si="94"/>
        <v/>
      </c>
      <c r="J1312" s="394" t="str">
        <f t="shared" si="95"/>
        <v/>
      </c>
      <c r="K1312" s="394" t="str">
        <f t="shared" si="96"/>
        <v/>
      </c>
    </row>
    <row r="1313" spans="8:11" x14ac:dyDescent="0.25">
      <c r="H1313" s="394" t="str">
        <f t="shared" si="93"/>
        <v/>
      </c>
      <c r="I1313" s="394" t="str">
        <f t="shared" si="94"/>
        <v/>
      </c>
      <c r="J1313" s="394" t="str">
        <f t="shared" si="95"/>
        <v/>
      </c>
      <c r="K1313" s="394" t="str">
        <f t="shared" si="96"/>
        <v/>
      </c>
    </row>
    <row r="1314" spans="8:11" x14ac:dyDescent="0.25">
      <c r="H1314" s="394" t="str">
        <f t="shared" si="93"/>
        <v/>
      </c>
      <c r="I1314" s="394" t="str">
        <f t="shared" si="94"/>
        <v/>
      </c>
      <c r="J1314" s="394" t="str">
        <f t="shared" si="95"/>
        <v/>
      </c>
      <c r="K1314" s="394" t="str">
        <f t="shared" si="96"/>
        <v/>
      </c>
    </row>
    <row r="1315" spans="8:11" x14ac:dyDescent="0.25">
      <c r="H1315" s="394" t="str">
        <f t="shared" si="93"/>
        <v/>
      </c>
      <c r="I1315" s="394" t="str">
        <f t="shared" si="94"/>
        <v/>
      </c>
      <c r="J1315" s="394" t="str">
        <f t="shared" si="95"/>
        <v/>
      </c>
      <c r="K1315" s="394" t="str">
        <f t="shared" si="96"/>
        <v/>
      </c>
    </row>
    <row r="1316" spans="8:11" x14ac:dyDescent="0.25">
      <c r="H1316" s="394" t="str">
        <f t="shared" si="93"/>
        <v/>
      </c>
      <c r="I1316" s="394" t="str">
        <f t="shared" si="94"/>
        <v/>
      </c>
      <c r="J1316" s="394" t="str">
        <f t="shared" si="95"/>
        <v/>
      </c>
      <c r="K1316" s="394" t="str">
        <f t="shared" si="96"/>
        <v/>
      </c>
    </row>
    <row r="1317" spans="8:11" x14ac:dyDescent="0.25">
      <c r="H1317" s="394" t="str">
        <f t="shared" si="93"/>
        <v/>
      </c>
      <c r="I1317" s="394" t="str">
        <f t="shared" si="94"/>
        <v/>
      </c>
      <c r="J1317" s="394" t="str">
        <f t="shared" si="95"/>
        <v/>
      </c>
      <c r="K1317" s="394" t="str">
        <f t="shared" si="96"/>
        <v/>
      </c>
    </row>
    <row r="1318" spans="8:11" x14ac:dyDescent="0.25">
      <c r="H1318" s="394" t="str">
        <f t="shared" si="93"/>
        <v/>
      </c>
      <c r="I1318" s="394" t="str">
        <f t="shared" si="94"/>
        <v/>
      </c>
      <c r="J1318" s="394" t="str">
        <f t="shared" si="95"/>
        <v/>
      </c>
      <c r="K1318" s="394" t="str">
        <f t="shared" si="96"/>
        <v/>
      </c>
    </row>
    <row r="1319" spans="8:11" x14ac:dyDescent="0.25">
      <c r="H1319" s="394" t="str">
        <f t="shared" si="93"/>
        <v/>
      </c>
      <c r="I1319" s="394" t="str">
        <f t="shared" si="94"/>
        <v/>
      </c>
      <c r="J1319" s="394" t="str">
        <f t="shared" si="95"/>
        <v/>
      </c>
      <c r="K1319" s="394" t="str">
        <f t="shared" si="96"/>
        <v/>
      </c>
    </row>
    <row r="1320" spans="8:11" x14ac:dyDescent="0.25">
      <c r="H1320" s="394" t="str">
        <f t="shared" si="93"/>
        <v/>
      </c>
      <c r="I1320" s="394" t="str">
        <f t="shared" si="94"/>
        <v/>
      </c>
      <c r="J1320" s="394" t="str">
        <f t="shared" si="95"/>
        <v/>
      </c>
      <c r="K1320" s="394" t="str">
        <f t="shared" si="96"/>
        <v/>
      </c>
    </row>
    <row r="1321" spans="8:11" x14ac:dyDescent="0.25">
      <c r="H1321" s="394" t="str">
        <f t="shared" ref="H1321:H1384" si="97">IF($C343="","",ROUND(($B$2*$F343*($B$5/1000))/$B$6,2))</f>
        <v/>
      </c>
      <c r="I1321" s="394" t="str">
        <f t="shared" ref="I1321:I1384" si="98">IF($C343="","",ROUND(($B$3*$F343*($B$5/1000))/$B$6,2))</f>
        <v/>
      </c>
      <c r="J1321" s="394" t="str">
        <f t="shared" ref="J1321:J1384" si="99">IF(OR($C343="",$B$9="",$B$15=""),"",ROUND(((((IF($B$15="N/A",$B$2,$B$4))*$F343*($B$5/1000))+((($G343/1000)*($B$5/1000)*10.7639104)*(IF($B$9="Smooth",$B$10,IF($B$9="Sand",$B$11,0)))))*(1+$B$17))/$B$8,2))</f>
        <v/>
      </c>
      <c r="K1321" s="394" t="str">
        <f t="shared" ref="K1321:K1384" si="100">IF(OR($C343="",$B$12="",$B$15=""),"",ROUND(((((IF($B$15="N/A",$B$2,$B$4))*$F343*($B$5/1000))+((($G343/1000)*($B$5/1000)*10.7639104)*(IF($B$12="Indoor",$B$13,IF($B$12="Outdoor",$B$14,0)))))*(1+$B$17))/$B$8,2))</f>
        <v/>
      </c>
    </row>
    <row r="1322" spans="8:11" x14ac:dyDescent="0.25">
      <c r="H1322" s="394" t="str">
        <f t="shared" si="97"/>
        <v/>
      </c>
      <c r="I1322" s="394" t="str">
        <f t="shared" si="98"/>
        <v/>
      </c>
      <c r="J1322" s="394" t="str">
        <f t="shared" si="99"/>
        <v/>
      </c>
      <c r="K1322" s="394" t="str">
        <f t="shared" si="100"/>
        <v/>
      </c>
    </row>
    <row r="1323" spans="8:11" x14ac:dyDescent="0.25">
      <c r="H1323" s="394" t="str">
        <f t="shared" si="97"/>
        <v/>
      </c>
      <c r="I1323" s="394" t="str">
        <f t="shared" si="98"/>
        <v/>
      </c>
      <c r="J1323" s="394" t="str">
        <f t="shared" si="99"/>
        <v/>
      </c>
      <c r="K1323" s="394" t="str">
        <f t="shared" si="100"/>
        <v/>
      </c>
    </row>
    <row r="1324" spans="8:11" x14ac:dyDescent="0.25">
      <c r="H1324" s="394" t="str">
        <f t="shared" si="97"/>
        <v/>
      </c>
      <c r="I1324" s="394" t="str">
        <f t="shared" si="98"/>
        <v/>
      </c>
      <c r="J1324" s="394" t="str">
        <f t="shared" si="99"/>
        <v/>
      </c>
      <c r="K1324" s="394" t="str">
        <f t="shared" si="100"/>
        <v/>
      </c>
    </row>
    <row r="1325" spans="8:11" x14ac:dyDescent="0.25">
      <c r="H1325" s="394" t="str">
        <f t="shared" si="97"/>
        <v/>
      </c>
      <c r="I1325" s="394" t="str">
        <f t="shared" si="98"/>
        <v/>
      </c>
      <c r="J1325" s="394" t="str">
        <f t="shared" si="99"/>
        <v/>
      </c>
      <c r="K1325" s="394" t="str">
        <f t="shared" si="100"/>
        <v/>
      </c>
    </row>
    <row r="1326" spans="8:11" x14ac:dyDescent="0.25">
      <c r="H1326" s="394" t="str">
        <f t="shared" si="97"/>
        <v/>
      </c>
      <c r="I1326" s="394" t="str">
        <f t="shared" si="98"/>
        <v/>
      </c>
      <c r="J1326" s="394" t="str">
        <f t="shared" si="99"/>
        <v/>
      </c>
      <c r="K1326" s="394" t="str">
        <f t="shared" si="100"/>
        <v/>
      </c>
    </row>
    <row r="1327" spans="8:11" x14ac:dyDescent="0.25">
      <c r="H1327" s="394" t="str">
        <f t="shared" si="97"/>
        <v/>
      </c>
      <c r="I1327" s="394" t="str">
        <f t="shared" si="98"/>
        <v/>
      </c>
      <c r="J1327" s="394" t="str">
        <f t="shared" si="99"/>
        <v/>
      </c>
      <c r="K1327" s="394" t="str">
        <f t="shared" si="100"/>
        <v/>
      </c>
    </row>
    <row r="1328" spans="8:11" x14ac:dyDescent="0.25">
      <c r="H1328" s="394" t="str">
        <f t="shared" si="97"/>
        <v/>
      </c>
      <c r="I1328" s="394" t="str">
        <f t="shared" si="98"/>
        <v/>
      </c>
      <c r="J1328" s="394" t="str">
        <f t="shared" si="99"/>
        <v/>
      </c>
      <c r="K1328" s="394" t="str">
        <f t="shared" si="100"/>
        <v/>
      </c>
    </row>
    <row r="1329" spans="8:11" x14ac:dyDescent="0.25">
      <c r="H1329" s="394" t="str">
        <f t="shared" si="97"/>
        <v/>
      </c>
      <c r="I1329" s="394" t="str">
        <f t="shared" si="98"/>
        <v/>
      </c>
      <c r="J1329" s="394" t="str">
        <f t="shared" si="99"/>
        <v/>
      </c>
      <c r="K1329" s="394" t="str">
        <f t="shared" si="100"/>
        <v/>
      </c>
    </row>
    <row r="1330" spans="8:11" x14ac:dyDescent="0.25">
      <c r="H1330" s="394" t="str">
        <f t="shared" si="97"/>
        <v/>
      </c>
      <c r="I1330" s="394" t="str">
        <f t="shared" si="98"/>
        <v/>
      </c>
      <c r="J1330" s="394" t="str">
        <f t="shared" si="99"/>
        <v/>
      </c>
      <c r="K1330" s="394" t="str">
        <f t="shared" si="100"/>
        <v/>
      </c>
    </row>
    <row r="1331" spans="8:11" x14ac:dyDescent="0.25">
      <c r="H1331" s="394" t="str">
        <f t="shared" si="97"/>
        <v/>
      </c>
      <c r="I1331" s="394" t="str">
        <f t="shared" si="98"/>
        <v/>
      </c>
      <c r="J1331" s="394" t="str">
        <f t="shared" si="99"/>
        <v/>
      </c>
      <c r="K1331" s="394" t="str">
        <f t="shared" si="100"/>
        <v/>
      </c>
    </row>
    <row r="1332" spans="8:11" x14ac:dyDescent="0.25">
      <c r="H1332" s="394" t="str">
        <f t="shared" si="97"/>
        <v/>
      </c>
      <c r="I1332" s="394" t="str">
        <f t="shared" si="98"/>
        <v/>
      </c>
      <c r="J1332" s="394" t="str">
        <f t="shared" si="99"/>
        <v/>
      </c>
      <c r="K1332" s="394" t="str">
        <f t="shared" si="100"/>
        <v/>
      </c>
    </row>
    <row r="1333" spans="8:11" x14ac:dyDescent="0.25">
      <c r="H1333" s="394" t="str">
        <f t="shared" si="97"/>
        <v/>
      </c>
      <c r="I1333" s="394" t="str">
        <f t="shared" si="98"/>
        <v/>
      </c>
      <c r="J1333" s="394" t="str">
        <f t="shared" si="99"/>
        <v/>
      </c>
      <c r="K1333" s="394" t="str">
        <f t="shared" si="100"/>
        <v/>
      </c>
    </row>
    <row r="1334" spans="8:11" x14ac:dyDescent="0.25">
      <c r="H1334" s="394" t="str">
        <f t="shared" si="97"/>
        <v/>
      </c>
      <c r="I1334" s="394" t="str">
        <f t="shared" si="98"/>
        <v/>
      </c>
      <c r="J1334" s="394" t="str">
        <f t="shared" si="99"/>
        <v/>
      </c>
      <c r="K1334" s="394" t="str">
        <f t="shared" si="100"/>
        <v/>
      </c>
    </row>
    <row r="1335" spans="8:11" x14ac:dyDescent="0.25">
      <c r="H1335" s="394" t="str">
        <f t="shared" si="97"/>
        <v/>
      </c>
      <c r="I1335" s="394" t="str">
        <f t="shared" si="98"/>
        <v/>
      </c>
      <c r="J1335" s="394" t="str">
        <f t="shared" si="99"/>
        <v/>
      </c>
      <c r="K1335" s="394" t="str">
        <f t="shared" si="100"/>
        <v/>
      </c>
    </row>
    <row r="1336" spans="8:11" x14ac:dyDescent="0.25">
      <c r="H1336" s="394" t="str">
        <f t="shared" si="97"/>
        <v/>
      </c>
      <c r="I1336" s="394" t="str">
        <f t="shared" si="98"/>
        <v/>
      </c>
      <c r="J1336" s="394" t="str">
        <f t="shared" si="99"/>
        <v/>
      </c>
      <c r="K1336" s="394" t="str">
        <f t="shared" si="100"/>
        <v/>
      </c>
    </row>
    <row r="1337" spans="8:11" x14ac:dyDescent="0.25">
      <c r="H1337" s="394" t="str">
        <f t="shared" si="97"/>
        <v/>
      </c>
      <c r="I1337" s="394" t="str">
        <f t="shared" si="98"/>
        <v/>
      </c>
      <c r="J1337" s="394" t="str">
        <f t="shared" si="99"/>
        <v/>
      </c>
      <c r="K1337" s="394" t="str">
        <f t="shared" si="100"/>
        <v/>
      </c>
    </row>
    <row r="1338" spans="8:11" x14ac:dyDescent="0.25">
      <c r="H1338" s="394" t="str">
        <f t="shared" si="97"/>
        <v/>
      </c>
      <c r="I1338" s="394" t="str">
        <f t="shared" si="98"/>
        <v/>
      </c>
      <c r="J1338" s="394" t="str">
        <f t="shared" si="99"/>
        <v/>
      </c>
      <c r="K1338" s="394" t="str">
        <f t="shared" si="100"/>
        <v/>
      </c>
    </row>
    <row r="1339" spans="8:11" x14ac:dyDescent="0.25">
      <c r="H1339" s="394" t="str">
        <f t="shared" si="97"/>
        <v/>
      </c>
      <c r="I1339" s="394" t="str">
        <f t="shared" si="98"/>
        <v/>
      </c>
      <c r="J1339" s="394" t="str">
        <f t="shared" si="99"/>
        <v/>
      </c>
      <c r="K1339" s="394" t="str">
        <f t="shared" si="100"/>
        <v/>
      </c>
    </row>
    <row r="1340" spans="8:11" x14ac:dyDescent="0.25">
      <c r="H1340" s="394" t="str">
        <f t="shared" si="97"/>
        <v/>
      </c>
      <c r="I1340" s="394" t="str">
        <f t="shared" si="98"/>
        <v/>
      </c>
      <c r="J1340" s="394" t="str">
        <f t="shared" si="99"/>
        <v/>
      </c>
      <c r="K1340" s="394" t="str">
        <f t="shared" si="100"/>
        <v/>
      </c>
    </row>
    <row r="1341" spans="8:11" x14ac:dyDescent="0.25">
      <c r="H1341" s="394" t="str">
        <f t="shared" si="97"/>
        <v/>
      </c>
      <c r="I1341" s="394" t="str">
        <f t="shared" si="98"/>
        <v/>
      </c>
      <c r="J1341" s="394" t="str">
        <f t="shared" si="99"/>
        <v/>
      </c>
      <c r="K1341" s="394" t="str">
        <f t="shared" si="100"/>
        <v/>
      </c>
    </row>
    <row r="1342" spans="8:11" x14ac:dyDescent="0.25">
      <c r="H1342" s="394" t="str">
        <f t="shared" si="97"/>
        <v/>
      </c>
      <c r="I1342" s="394" t="str">
        <f t="shared" si="98"/>
        <v/>
      </c>
      <c r="J1342" s="394" t="str">
        <f t="shared" si="99"/>
        <v/>
      </c>
      <c r="K1342" s="394" t="str">
        <f t="shared" si="100"/>
        <v/>
      </c>
    </row>
    <row r="1343" spans="8:11" x14ac:dyDescent="0.25">
      <c r="H1343" s="394" t="str">
        <f t="shared" si="97"/>
        <v/>
      </c>
      <c r="I1343" s="394" t="str">
        <f t="shared" si="98"/>
        <v/>
      </c>
      <c r="J1343" s="394" t="str">
        <f t="shared" si="99"/>
        <v/>
      </c>
      <c r="K1343" s="394" t="str">
        <f t="shared" si="100"/>
        <v/>
      </c>
    </row>
    <row r="1344" spans="8:11" x14ac:dyDescent="0.25">
      <c r="H1344" s="394" t="str">
        <f t="shared" si="97"/>
        <v/>
      </c>
      <c r="I1344" s="394" t="str">
        <f t="shared" si="98"/>
        <v/>
      </c>
      <c r="J1344" s="394" t="str">
        <f t="shared" si="99"/>
        <v/>
      </c>
      <c r="K1344" s="394" t="str">
        <f t="shared" si="100"/>
        <v/>
      </c>
    </row>
    <row r="1345" spans="8:11" x14ac:dyDescent="0.25">
      <c r="H1345" s="394" t="str">
        <f t="shared" si="97"/>
        <v/>
      </c>
      <c r="I1345" s="394" t="str">
        <f t="shared" si="98"/>
        <v/>
      </c>
      <c r="J1345" s="394" t="str">
        <f t="shared" si="99"/>
        <v/>
      </c>
      <c r="K1345" s="394" t="str">
        <f t="shared" si="100"/>
        <v/>
      </c>
    </row>
    <row r="1346" spans="8:11" x14ac:dyDescent="0.25">
      <c r="H1346" s="394" t="str">
        <f t="shared" si="97"/>
        <v/>
      </c>
      <c r="I1346" s="394" t="str">
        <f t="shared" si="98"/>
        <v/>
      </c>
      <c r="J1346" s="394" t="str">
        <f t="shared" si="99"/>
        <v/>
      </c>
      <c r="K1346" s="394" t="str">
        <f t="shared" si="100"/>
        <v/>
      </c>
    </row>
    <row r="1347" spans="8:11" x14ac:dyDescent="0.25">
      <c r="H1347" s="394" t="str">
        <f t="shared" si="97"/>
        <v/>
      </c>
      <c r="I1347" s="394" t="str">
        <f t="shared" si="98"/>
        <v/>
      </c>
      <c r="J1347" s="394" t="str">
        <f t="shared" si="99"/>
        <v/>
      </c>
      <c r="K1347" s="394" t="str">
        <f t="shared" si="100"/>
        <v/>
      </c>
    </row>
    <row r="1348" spans="8:11" x14ac:dyDescent="0.25">
      <c r="H1348" s="394" t="str">
        <f t="shared" si="97"/>
        <v/>
      </c>
      <c r="I1348" s="394" t="str">
        <f t="shared" si="98"/>
        <v/>
      </c>
      <c r="J1348" s="394" t="str">
        <f t="shared" si="99"/>
        <v/>
      </c>
      <c r="K1348" s="394" t="str">
        <f t="shared" si="100"/>
        <v/>
      </c>
    </row>
    <row r="1349" spans="8:11" x14ac:dyDescent="0.25">
      <c r="H1349" s="394" t="str">
        <f t="shared" si="97"/>
        <v/>
      </c>
      <c r="I1349" s="394" t="str">
        <f t="shared" si="98"/>
        <v/>
      </c>
      <c r="J1349" s="394" t="str">
        <f t="shared" si="99"/>
        <v/>
      </c>
      <c r="K1349" s="394" t="str">
        <f t="shared" si="100"/>
        <v/>
      </c>
    </row>
    <row r="1350" spans="8:11" x14ac:dyDescent="0.25">
      <c r="H1350" s="394" t="str">
        <f t="shared" si="97"/>
        <v/>
      </c>
      <c r="I1350" s="394" t="str">
        <f t="shared" si="98"/>
        <v/>
      </c>
      <c r="J1350" s="394" t="str">
        <f t="shared" si="99"/>
        <v/>
      </c>
      <c r="K1350" s="394" t="str">
        <f t="shared" si="100"/>
        <v/>
      </c>
    </row>
    <row r="1351" spans="8:11" x14ac:dyDescent="0.25">
      <c r="H1351" s="394" t="str">
        <f t="shared" si="97"/>
        <v/>
      </c>
      <c r="I1351" s="394" t="str">
        <f t="shared" si="98"/>
        <v/>
      </c>
      <c r="J1351" s="394" t="str">
        <f t="shared" si="99"/>
        <v/>
      </c>
      <c r="K1351" s="394" t="str">
        <f t="shared" si="100"/>
        <v/>
      </c>
    </row>
    <row r="1352" spans="8:11" x14ac:dyDescent="0.25">
      <c r="H1352" s="394" t="str">
        <f t="shared" si="97"/>
        <v/>
      </c>
      <c r="I1352" s="394" t="str">
        <f t="shared" si="98"/>
        <v/>
      </c>
      <c r="J1352" s="394" t="str">
        <f t="shared" si="99"/>
        <v/>
      </c>
      <c r="K1352" s="394" t="str">
        <f t="shared" si="100"/>
        <v/>
      </c>
    </row>
    <row r="1353" spans="8:11" x14ac:dyDescent="0.25">
      <c r="H1353" s="394" t="str">
        <f t="shared" si="97"/>
        <v/>
      </c>
      <c r="I1353" s="394" t="str">
        <f t="shared" si="98"/>
        <v/>
      </c>
      <c r="J1353" s="394" t="str">
        <f t="shared" si="99"/>
        <v/>
      </c>
      <c r="K1353" s="394" t="str">
        <f t="shared" si="100"/>
        <v/>
      </c>
    </row>
    <row r="1354" spans="8:11" x14ac:dyDescent="0.25">
      <c r="H1354" s="394" t="str">
        <f t="shared" si="97"/>
        <v/>
      </c>
      <c r="I1354" s="394" t="str">
        <f t="shared" si="98"/>
        <v/>
      </c>
      <c r="J1354" s="394" t="str">
        <f t="shared" si="99"/>
        <v/>
      </c>
      <c r="K1354" s="394" t="str">
        <f t="shared" si="100"/>
        <v/>
      </c>
    </row>
    <row r="1355" spans="8:11" x14ac:dyDescent="0.25">
      <c r="H1355" s="394" t="str">
        <f t="shared" si="97"/>
        <v/>
      </c>
      <c r="I1355" s="394" t="str">
        <f t="shared" si="98"/>
        <v/>
      </c>
      <c r="J1355" s="394" t="str">
        <f t="shared" si="99"/>
        <v/>
      </c>
      <c r="K1355" s="394" t="str">
        <f t="shared" si="100"/>
        <v/>
      </c>
    </row>
    <row r="1356" spans="8:11" x14ac:dyDescent="0.25">
      <c r="H1356" s="394" t="str">
        <f t="shared" si="97"/>
        <v/>
      </c>
      <c r="I1356" s="394" t="str">
        <f t="shared" si="98"/>
        <v/>
      </c>
      <c r="J1356" s="394" t="str">
        <f t="shared" si="99"/>
        <v/>
      </c>
      <c r="K1356" s="394" t="str">
        <f t="shared" si="100"/>
        <v/>
      </c>
    </row>
    <row r="1357" spans="8:11" x14ac:dyDescent="0.25">
      <c r="H1357" s="394" t="str">
        <f t="shared" si="97"/>
        <v/>
      </c>
      <c r="I1357" s="394" t="str">
        <f t="shared" si="98"/>
        <v/>
      </c>
      <c r="J1357" s="394" t="str">
        <f t="shared" si="99"/>
        <v/>
      </c>
      <c r="K1357" s="394" t="str">
        <f t="shared" si="100"/>
        <v/>
      </c>
    </row>
    <row r="1358" spans="8:11" x14ac:dyDescent="0.25">
      <c r="H1358" s="394" t="str">
        <f t="shared" si="97"/>
        <v/>
      </c>
      <c r="I1358" s="394" t="str">
        <f t="shared" si="98"/>
        <v/>
      </c>
      <c r="J1358" s="394" t="str">
        <f t="shared" si="99"/>
        <v/>
      </c>
      <c r="K1358" s="394" t="str">
        <f t="shared" si="100"/>
        <v/>
      </c>
    </row>
    <row r="1359" spans="8:11" x14ac:dyDescent="0.25">
      <c r="H1359" s="394" t="str">
        <f t="shared" si="97"/>
        <v/>
      </c>
      <c r="I1359" s="394" t="str">
        <f t="shared" si="98"/>
        <v/>
      </c>
      <c r="J1359" s="394" t="str">
        <f t="shared" si="99"/>
        <v/>
      </c>
      <c r="K1359" s="394" t="str">
        <f t="shared" si="100"/>
        <v/>
      </c>
    </row>
    <row r="1360" spans="8:11" x14ac:dyDescent="0.25">
      <c r="H1360" s="394" t="str">
        <f t="shared" si="97"/>
        <v/>
      </c>
      <c r="I1360" s="394" t="str">
        <f t="shared" si="98"/>
        <v/>
      </c>
      <c r="J1360" s="394" t="str">
        <f t="shared" si="99"/>
        <v/>
      </c>
      <c r="K1360" s="394" t="str">
        <f t="shared" si="100"/>
        <v/>
      </c>
    </row>
    <row r="1361" spans="8:11" x14ac:dyDescent="0.25">
      <c r="H1361" s="394" t="str">
        <f t="shared" si="97"/>
        <v/>
      </c>
      <c r="I1361" s="394" t="str">
        <f t="shared" si="98"/>
        <v/>
      </c>
      <c r="J1361" s="394" t="str">
        <f t="shared" si="99"/>
        <v/>
      </c>
      <c r="K1361" s="394" t="str">
        <f t="shared" si="100"/>
        <v/>
      </c>
    </row>
    <row r="1362" spans="8:11" x14ac:dyDescent="0.25">
      <c r="H1362" s="394" t="str">
        <f t="shared" si="97"/>
        <v/>
      </c>
      <c r="I1362" s="394" t="str">
        <f t="shared" si="98"/>
        <v/>
      </c>
      <c r="J1362" s="394" t="str">
        <f t="shared" si="99"/>
        <v/>
      </c>
      <c r="K1362" s="394" t="str">
        <f t="shared" si="100"/>
        <v/>
      </c>
    </row>
    <row r="1363" spans="8:11" x14ac:dyDescent="0.25">
      <c r="H1363" s="394" t="str">
        <f t="shared" si="97"/>
        <v/>
      </c>
      <c r="I1363" s="394" t="str">
        <f t="shared" si="98"/>
        <v/>
      </c>
      <c r="J1363" s="394" t="str">
        <f t="shared" si="99"/>
        <v/>
      </c>
      <c r="K1363" s="394" t="str">
        <f t="shared" si="100"/>
        <v/>
      </c>
    </row>
    <row r="1364" spans="8:11" x14ac:dyDescent="0.25">
      <c r="H1364" s="394" t="str">
        <f t="shared" si="97"/>
        <v/>
      </c>
      <c r="I1364" s="394" t="str">
        <f t="shared" si="98"/>
        <v/>
      </c>
      <c r="J1364" s="394" t="str">
        <f t="shared" si="99"/>
        <v/>
      </c>
      <c r="K1364" s="394" t="str">
        <f t="shared" si="100"/>
        <v/>
      </c>
    </row>
    <row r="1365" spans="8:11" x14ac:dyDescent="0.25">
      <c r="H1365" s="394" t="str">
        <f t="shared" si="97"/>
        <v/>
      </c>
      <c r="I1365" s="394" t="str">
        <f t="shared" si="98"/>
        <v/>
      </c>
      <c r="J1365" s="394" t="str">
        <f t="shared" si="99"/>
        <v/>
      </c>
      <c r="K1365" s="394" t="str">
        <f t="shared" si="100"/>
        <v/>
      </c>
    </row>
    <row r="1366" spans="8:11" x14ac:dyDescent="0.25">
      <c r="H1366" s="394" t="str">
        <f t="shared" si="97"/>
        <v/>
      </c>
      <c r="I1366" s="394" t="str">
        <f t="shared" si="98"/>
        <v/>
      </c>
      <c r="J1366" s="394" t="str">
        <f t="shared" si="99"/>
        <v/>
      </c>
      <c r="K1366" s="394" t="str">
        <f t="shared" si="100"/>
        <v/>
      </c>
    </row>
    <row r="1367" spans="8:11" x14ac:dyDescent="0.25">
      <c r="H1367" s="394" t="str">
        <f t="shared" si="97"/>
        <v/>
      </c>
      <c r="I1367" s="394" t="str">
        <f t="shared" si="98"/>
        <v/>
      </c>
      <c r="J1367" s="394" t="str">
        <f t="shared" si="99"/>
        <v/>
      </c>
      <c r="K1367" s="394" t="str">
        <f t="shared" si="100"/>
        <v/>
      </c>
    </row>
    <row r="1368" spans="8:11" x14ac:dyDescent="0.25">
      <c r="H1368" s="394" t="str">
        <f t="shared" si="97"/>
        <v/>
      </c>
      <c r="I1368" s="394" t="str">
        <f t="shared" si="98"/>
        <v/>
      </c>
      <c r="J1368" s="394" t="str">
        <f t="shared" si="99"/>
        <v/>
      </c>
      <c r="K1368" s="394" t="str">
        <f t="shared" si="100"/>
        <v/>
      </c>
    </row>
    <row r="1369" spans="8:11" x14ac:dyDescent="0.25">
      <c r="H1369" s="394" t="str">
        <f t="shared" si="97"/>
        <v/>
      </c>
      <c r="I1369" s="394" t="str">
        <f t="shared" si="98"/>
        <v/>
      </c>
      <c r="J1369" s="394" t="str">
        <f t="shared" si="99"/>
        <v/>
      </c>
      <c r="K1369" s="394" t="str">
        <f t="shared" si="100"/>
        <v/>
      </c>
    </row>
    <row r="1370" spans="8:11" x14ac:dyDescent="0.25">
      <c r="H1370" s="394" t="str">
        <f t="shared" si="97"/>
        <v/>
      </c>
      <c r="I1370" s="394" t="str">
        <f t="shared" si="98"/>
        <v/>
      </c>
      <c r="J1370" s="394" t="str">
        <f t="shared" si="99"/>
        <v/>
      </c>
      <c r="K1370" s="394" t="str">
        <f t="shared" si="100"/>
        <v/>
      </c>
    </row>
    <row r="1371" spans="8:11" x14ac:dyDescent="0.25">
      <c r="H1371" s="394" t="str">
        <f t="shared" si="97"/>
        <v/>
      </c>
      <c r="I1371" s="394" t="str">
        <f t="shared" si="98"/>
        <v/>
      </c>
      <c r="J1371" s="394" t="str">
        <f t="shared" si="99"/>
        <v/>
      </c>
      <c r="K1371" s="394" t="str">
        <f t="shared" si="100"/>
        <v/>
      </c>
    </row>
    <row r="1372" spans="8:11" x14ac:dyDescent="0.25">
      <c r="H1372" s="394" t="str">
        <f t="shared" si="97"/>
        <v/>
      </c>
      <c r="I1372" s="394" t="str">
        <f t="shared" si="98"/>
        <v/>
      </c>
      <c r="J1372" s="394" t="str">
        <f t="shared" si="99"/>
        <v/>
      </c>
      <c r="K1372" s="394" t="str">
        <f t="shared" si="100"/>
        <v/>
      </c>
    </row>
    <row r="1373" spans="8:11" x14ac:dyDescent="0.25">
      <c r="H1373" s="394" t="str">
        <f t="shared" si="97"/>
        <v/>
      </c>
      <c r="I1373" s="394" t="str">
        <f t="shared" si="98"/>
        <v/>
      </c>
      <c r="J1373" s="394" t="str">
        <f t="shared" si="99"/>
        <v/>
      </c>
      <c r="K1373" s="394" t="str">
        <f t="shared" si="100"/>
        <v/>
      </c>
    </row>
    <row r="1374" spans="8:11" x14ac:dyDescent="0.25">
      <c r="H1374" s="394" t="str">
        <f t="shared" si="97"/>
        <v/>
      </c>
      <c r="I1374" s="394" t="str">
        <f t="shared" si="98"/>
        <v/>
      </c>
      <c r="J1374" s="394" t="str">
        <f t="shared" si="99"/>
        <v/>
      </c>
      <c r="K1374" s="394" t="str">
        <f t="shared" si="100"/>
        <v/>
      </c>
    </row>
    <row r="1375" spans="8:11" x14ac:dyDescent="0.25">
      <c r="H1375" s="394" t="str">
        <f t="shared" si="97"/>
        <v/>
      </c>
      <c r="I1375" s="394" t="str">
        <f t="shared" si="98"/>
        <v/>
      </c>
      <c r="J1375" s="394" t="str">
        <f t="shared" si="99"/>
        <v/>
      </c>
      <c r="K1375" s="394" t="str">
        <f t="shared" si="100"/>
        <v/>
      </c>
    </row>
    <row r="1376" spans="8:11" x14ac:dyDescent="0.25">
      <c r="H1376" s="394" t="str">
        <f t="shared" si="97"/>
        <v/>
      </c>
      <c r="I1376" s="394" t="str">
        <f t="shared" si="98"/>
        <v/>
      </c>
      <c r="J1376" s="394" t="str">
        <f t="shared" si="99"/>
        <v/>
      </c>
      <c r="K1376" s="394" t="str">
        <f t="shared" si="100"/>
        <v/>
      </c>
    </row>
    <row r="1377" spans="8:11" x14ac:dyDescent="0.25">
      <c r="H1377" s="394" t="str">
        <f t="shared" si="97"/>
        <v/>
      </c>
      <c r="I1377" s="394" t="str">
        <f t="shared" si="98"/>
        <v/>
      </c>
      <c r="J1377" s="394" t="str">
        <f t="shared" si="99"/>
        <v/>
      </c>
      <c r="K1377" s="394" t="str">
        <f t="shared" si="100"/>
        <v/>
      </c>
    </row>
    <row r="1378" spans="8:11" x14ac:dyDescent="0.25">
      <c r="H1378" s="394" t="str">
        <f t="shared" si="97"/>
        <v/>
      </c>
      <c r="I1378" s="394" t="str">
        <f t="shared" si="98"/>
        <v/>
      </c>
      <c r="J1378" s="394" t="str">
        <f t="shared" si="99"/>
        <v/>
      </c>
      <c r="K1378" s="394" t="str">
        <f t="shared" si="100"/>
        <v/>
      </c>
    </row>
    <row r="1379" spans="8:11" x14ac:dyDescent="0.25">
      <c r="H1379" s="394" t="str">
        <f t="shared" si="97"/>
        <v/>
      </c>
      <c r="I1379" s="394" t="str">
        <f t="shared" si="98"/>
        <v/>
      </c>
      <c r="J1379" s="394" t="str">
        <f t="shared" si="99"/>
        <v/>
      </c>
      <c r="K1379" s="394" t="str">
        <f t="shared" si="100"/>
        <v/>
      </c>
    </row>
    <row r="1380" spans="8:11" x14ac:dyDescent="0.25">
      <c r="H1380" s="394" t="str">
        <f t="shared" si="97"/>
        <v/>
      </c>
      <c r="I1380" s="394" t="str">
        <f t="shared" si="98"/>
        <v/>
      </c>
      <c r="J1380" s="394" t="str">
        <f t="shared" si="99"/>
        <v/>
      </c>
      <c r="K1380" s="394" t="str">
        <f t="shared" si="100"/>
        <v/>
      </c>
    </row>
    <row r="1381" spans="8:11" x14ac:dyDescent="0.25">
      <c r="H1381" s="394" t="str">
        <f t="shared" si="97"/>
        <v/>
      </c>
      <c r="I1381" s="394" t="str">
        <f t="shared" si="98"/>
        <v/>
      </c>
      <c r="J1381" s="394" t="str">
        <f t="shared" si="99"/>
        <v/>
      </c>
      <c r="K1381" s="394" t="str">
        <f t="shared" si="100"/>
        <v/>
      </c>
    </row>
    <row r="1382" spans="8:11" x14ac:dyDescent="0.25">
      <c r="H1382" s="394" t="str">
        <f t="shared" si="97"/>
        <v/>
      </c>
      <c r="I1382" s="394" t="str">
        <f t="shared" si="98"/>
        <v/>
      </c>
      <c r="J1382" s="394" t="str">
        <f t="shared" si="99"/>
        <v/>
      </c>
      <c r="K1382" s="394" t="str">
        <f t="shared" si="100"/>
        <v/>
      </c>
    </row>
    <row r="1383" spans="8:11" x14ac:dyDescent="0.25">
      <c r="H1383" s="394" t="str">
        <f t="shared" si="97"/>
        <v/>
      </c>
      <c r="I1383" s="394" t="str">
        <f t="shared" si="98"/>
        <v/>
      </c>
      <c r="J1383" s="394" t="str">
        <f t="shared" si="99"/>
        <v/>
      </c>
      <c r="K1383" s="394" t="str">
        <f t="shared" si="100"/>
        <v/>
      </c>
    </row>
    <row r="1384" spans="8:11" x14ac:dyDescent="0.25">
      <c r="H1384" s="394" t="str">
        <f t="shared" si="97"/>
        <v/>
      </c>
      <c r="I1384" s="394" t="str">
        <f t="shared" si="98"/>
        <v/>
      </c>
      <c r="J1384" s="394" t="str">
        <f t="shared" si="99"/>
        <v/>
      </c>
      <c r="K1384" s="394" t="str">
        <f t="shared" si="100"/>
        <v/>
      </c>
    </row>
    <row r="1385" spans="8:11" x14ac:dyDescent="0.25">
      <c r="H1385" s="394" t="str">
        <f t="shared" ref="H1385:H1448" si="101">IF($C407="","",ROUND(($B$2*$F407*($B$5/1000))/$B$6,2))</f>
        <v/>
      </c>
      <c r="I1385" s="394" t="str">
        <f t="shared" ref="I1385:I1448" si="102">IF($C407="","",ROUND(($B$3*$F407*($B$5/1000))/$B$6,2))</f>
        <v/>
      </c>
      <c r="J1385" s="394" t="str">
        <f t="shared" ref="J1385:J1448" si="103">IF(OR($C407="",$B$9="",$B$15=""),"",ROUND(((((IF($B$15="N/A",$B$2,$B$4))*$F407*($B$5/1000))+((($G407/1000)*($B$5/1000)*10.7639104)*(IF($B$9="Smooth",$B$10,IF($B$9="Sand",$B$11,0)))))*(1+$B$17))/$B$8,2))</f>
        <v/>
      </c>
      <c r="K1385" s="394" t="str">
        <f t="shared" ref="K1385:K1448" si="104">IF(OR($C407="",$B$12="",$B$15=""),"",ROUND(((((IF($B$15="N/A",$B$2,$B$4))*$F407*($B$5/1000))+((($G407/1000)*($B$5/1000)*10.7639104)*(IF($B$12="Indoor",$B$13,IF($B$12="Outdoor",$B$14,0)))))*(1+$B$17))/$B$8,2))</f>
        <v/>
      </c>
    </row>
    <row r="1386" spans="8:11" x14ac:dyDescent="0.25">
      <c r="H1386" s="394" t="str">
        <f t="shared" si="101"/>
        <v/>
      </c>
      <c r="I1386" s="394" t="str">
        <f t="shared" si="102"/>
        <v/>
      </c>
      <c r="J1386" s="394" t="str">
        <f t="shared" si="103"/>
        <v/>
      </c>
      <c r="K1386" s="394" t="str">
        <f t="shared" si="104"/>
        <v/>
      </c>
    </row>
    <row r="1387" spans="8:11" x14ac:dyDescent="0.25">
      <c r="H1387" s="394" t="str">
        <f t="shared" si="101"/>
        <v/>
      </c>
      <c r="I1387" s="394" t="str">
        <f t="shared" si="102"/>
        <v/>
      </c>
      <c r="J1387" s="394" t="str">
        <f t="shared" si="103"/>
        <v/>
      </c>
      <c r="K1387" s="394" t="str">
        <f t="shared" si="104"/>
        <v/>
      </c>
    </row>
    <row r="1388" spans="8:11" x14ac:dyDescent="0.25">
      <c r="H1388" s="394" t="str">
        <f t="shared" si="101"/>
        <v/>
      </c>
      <c r="I1388" s="394" t="str">
        <f t="shared" si="102"/>
        <v/>
      </c>
      <c r="J1388" s="394" t="str">
        <f t="shared" si="103"/>
        <v/>
      </c>
      <c r="K1388" s="394" t="str">
        <f t="shared" si="104"/>
        <v/>
      </c>
    </row>
    <row r="1389" spans="8:11" x14ac:dyDescent="0.25">
      <c r="H1389" s="394" t="str">
        <f t="shared" si="101"/>
        <v/>
      </c>
      <c r="I1389" s="394" t="str">
        <f t="shared" si="102"/>
        <v/>
      </c>
      <c r="J1389" s="394" t="str">
        <f t="shared" si="103"/>
        <v/>
      </c>
      <c r="K1389" s="394" t="str">
        <f t="shared" si="104"/>
        <v/>
      </c>
    </row>
    <row r="1390" spans="8:11" x14ac:dyDescent="0.25">
      <c r="H1390" s="394" t="str">
        <f t="shared" si="101"/>
        <v/>
      </c>
      <c r="I1390" s="394" t="str">
        <f t="shared" si="102"/>
        <v/>
      </c>
      <c r="J1390" s="394" t="str">
        <f t="shared" si="103"/>
        <v/>
      </c>
      <c r="K1390" s="394" t="str">
        <f t="shared" si="104"/>
        <v/>
      </c>
    </row>
    <row r="1391" spans="8:11" x14ac:dyDescent="0.25">
      <c r="H1391" s="394" t="str">
        <f t="shared" si="101"/>
        <v/>
      </c>
      <c r="I1391" s="394" t="str">
        <f t="shared" si="102"/>
        <v/>
      </c>
      <c r="J1391" s="394" t="str">
        <f t="shared" si="103"/>
        <v/>
      </c>
      <c r="K1391" s="394" t="str">
        <f t="shared" si="104"/>
        <v/>
      </c>
    </row>
    <row r="1392" spans="8:11" x14ac:dyDescent="0.25">
      <c r="H1392" s="394" t="str">
        <f t="shared" si="101"/>
        <v/>
      </c>
      <c r="I1392" s="394" t="str">
        <f t="shared" si="102"/>
        <v/>
      </c>
      <c r="J1392" s="394" t="str">
        <f t="shared" si="103"/>
        <v/>
      </c>
      <c r="K1392" s="394" t="str">
        <f t="shared" si="104"/>
        <v/>
      </c>
    </row>
    <row r="1393" spans="8:11" x14ac:dyDescent="0.25">
      <c r="H1393" s="394" t="str">
        <f t="shared" si="101"/>
        <v/>
      </c>
      <c r="I1393" s="394" t="str">
        <f t="shared" si="102"/>
        <v/>
      </c>
      <c r="J1393" s="394" t="str">
        <f t="shared" si="103"/>
        <v/>
      </c>
      <c r="K1393" s="394" t="str">
        <f t="shared" si="104"/>
        <v/>
      </c>
    </row>
    <row r="1394" spans="8:11" x14ac:dyDescent="0.25">
      <c r="H1394" s="394" t="str">
        <f t="shared" si="101"/>
        <v/>
      </c>
      <c r="I1394" s="394" t="str">
        <f t="shared" si="102"/>
        <v/>
      </c>
      <c r="J1394" s="394" t="str">
        <f t="shared" si="103"/>
        <v/>
      </c>
      <c r="K1394" s="394" t="str">
        <f t="shared" si="104"/>
        <v/>
      </c>
    </row>
    <row r="1395" spans="8:11" x14ac:dyDescent="0.25">
      <c r="H1395" s="394" t="str">
        <f t="shared" si="101"/>
        <v/>
      </c>
      <c r="I1395" s="394" t="str">
        <f t="shared" si="102"/>
        <v/>
      </c>
      <c r="J1395" s="394" t="str">
        <f t="shared" si="103"/>
        <v/>
      </c>
      <c r="K1395" s="394" t="str">
        <f t="shared" si="104"/>
        <v/>
      </c>
    </row>
    <row r="1396" spans="8:11" x14ac:dyDescent="0.25">
      <c r="H1396" s="394" t="str">
        <f t="shared" si="101"/>
        <v/>
      </c>
      <c r="I1396" s="394" t="str">
        <f t="shared" si="102"/>
        <v/>
      </c>
      <c r="J1396" s="394" t="str">
        <f t="shared" si="103"/>
        <v/>
      </c>
      <c r="K1396" s="394" t="str">
        <f t="shared" si="104"/>
        <v/>
      </c>
    </row>
    <row r="1397" spans="8:11" x14ac:dyDescent="0.25">
      <c r="H1397" s="394" t="str">
        <f t="shared" si="101"/>
        <v/>
      </c>
      <c r="I1397" s="394" t="str">
        <f t="shared" si="102"/>
        <v/>
      </c>
      <c r="J1397" s="394" t="str">
        <f t="shared" si="103"/>
        <v/>
      </c>
      <c r="K1397" s="394" t="str">
        <f t="shared" si="104"/>
        <v/>
      </c>
    </row>
    <row r="1398" spans="8:11" x14ac:dyDescent="0.25">
      <c r="H1398" s="394" t="str">
        <f t="shared" si="101"/>
        <v/>
      </c>
      <c r="I1398" s="394" t="str">
        <f t="shared" si="102"/>
        <v/>
      </c>
      <c r="J1398" s="394" t="str">
        <f t="shared" si="103"/>
        <v/>
      </c>
      <c r="K1398" s="394" t="str">
        <f t="shared" si="104"/>
        <v/>
      </c>
    </row>
    <row r="1399" spans="8:11" x14ac:dyDescent="0.25">
      <c r="H1399" s="394" t="str">
        <f t="shared" si="101"/>
        <v/>
      </c>
      <c r="I1399" s="394" t="str">
        <f t="shared" si="102"/>
        <v/>
      </c>
      <c r="J1399" s="394" t="str">
        <f t="shared" si="103"/>
        <v/>
      </c>
      <c r="K1399" s="394" t="str">
        <f t="shared" si="104"/>
        <v/>
      </c>
    </row>
    <row r="1400" spans="8:11" x14ac:dyDescent="0.25">
      <c r="H1400" s="394" t="str">
        <f t="shared" si="101"/>
        <v/>
      </c>
      <c r="I1400" s="394" t="str">
        <f t="shared" si="102"/>
        <v/>
      </c>
      <c r="J1400" s="394" t="str">
        <f t="shared" si="103"/>
        <v/>
      </c>
      <c r="K1400" s="394" t="str">
        <f t="shared" si="104"/>
        <v/>
      </c>
    </row>
    <row r="1401" spans="8:11" x14ac:dyDescent="0.25">
      <c r="H1401" s="394" t="str">
        <f t="shared" si="101"/>
        <v/>
      </c>
      <c r="I1401" s="394" t="str">
        <f t="shared" si="102"/>
        <v/>
      </c>
      <c r="J1401" s="394" t="str">
        <f t="shared" si="103"/>
        <v/>
      </c>
      <c r="K1401" s="394" t="str">
        <f t="shared" si="104"/>
        <v/>
      </c>
    </row>
    <row r="1402" spans="8:11" x14ac:dyDescent="0.25">
      <c r="H1402" s="394" t="str">
        <f t="shared" si="101"/>
        <v/>
      </c>
      <c r="I1402" s="394" t="str">
        <f t="shared" si="102"/>
        <v/>
      </c>
      <c r="J1402" s="394" t="str">
        <f t="shared" si="103"/>
        <v/>
      </c>
      <c r="K1402" s="394" t="str">
        <f t="shared" si="104"/>
        <v/>
      </c>
    </row>
    <row r="1403" spans="8:11" x14ac:dyDescent="0.25">
      <c r="H1403" s="394" t="str">
        <f t="shared" si="101"/>
        <v/>
      </c>
      <c r="I1403" s="394" t="str">
        <f t="shared" si="102"/>
        <v/>
      </c>
      <c r="J1403" s="394" t="str">
        <f t="shared" si="103"/>
        <v/>
      </c>
      <c r="K1403" s="394" t="str">
        <f t="shared" si="104"/>
        <v/>
      </c>
    </row>
    <row r="1404" spans="8:11" x14ac:dyDescent="0.25">
      <c r="H1404" s="394" t="str">
        <f t="shared" si="101"/>
        <v/>
      </c>
      <c r="I1404" s="394" t="str">
        <f t="shared" si="102"/>
        <v/>
      </c>
      <c r="J1404" s="394" t="str">
        <f t="shared" si="103"/>
        <v/>
      </c>
      <c r="K1404" s="394" t="str">
        <f t="shared" si="104"/>
        <v/>
      </c>
    </row>
    <row r="1405" spans="8:11" x14ac:dyDescent="0.25">
      <c r="H1405" s="394" t="str">
        <f t="shared" si="101"/>
        <v/>
      </c>
      <c r="I1405" s="394" t="str">
        <f t="shared" si="102"/>
        <v/>
      </c>
      <c r="J1405" s="394" t="str">
        <f t="shared" si="103"/>
        <v/>
      </c>
      <c r="K1405" s="394" t="str">
        <f t="shared" si="104"/>
        <v/>
      </c>
    </row>
    <row r="1406" spans="8:11" x14ac:dyDescent="0.25">
      <c r="H1406" s="394" t="str">
        <f t="shared" si="101"/>
        <v/>
      </c>
      <c r="I1406" s="394" t="str">
        <f t="shared" si="102"/>
        <v/>
      </c>
      <c r="J1406" s="394" t="str">
        <f t="shared" si="103"/>
        <v/>
      </c>
      <c r="K1406" s="394" t="str">
        <f t="shared" si="104"/>
        <v/>
      </c>
    </row>
    <row r="1407" spans="8:11" x14ac:dyDescent="0.25">
      <c r="H1407" s="394" t="str">
        <f t="shared" si="101"/>
        <v/>
      </c>
      <c r="I1407" s="394" t="str">
        <f t="shared" si="102"/>
        <v/>
      </c>
      <c r="J1407" s="394" t="str">
        <f t="shared" si="103"/>
        <v/>
      </c>
      <c r="K1407" s="394" t="str">
        <f t="shared" si="104"/>
        <v/>
      </c>
    </row>
    <row r="1408" spans="8:11" x14ac:dyDescent="0.25">
      <c r="H1408" s="394" t="str">
        <f t="shared" si="101"/>
        <v/>
      </c>
      <c r="I1408" s="394" t="str">
        <f t="shared" si="102"/>
        <v/>
      </c>
      <c r="J1408" s="394" t="str">
        <f t="shared" si="103"/>
        <v/>
      </c>
      <c r="K1408" s="394" t="str">
        <f t="shared" si="104"/>
        <v/>
      </c>
    </row>
    <row r="1409" spans="8:11" x14ac:dyDescent="0.25">
      <c r="H1409" s="394" t="str">
        <f t="shared" si="101"/>
        <v/>
      </c>
      <c r="I1409" s="394" t="str">
        <f t="shared" si="102"/>
        <v/>
      </c>
      <c r="J1409" s="394" t="str">
        <f t="shared" si="103"/>
        <v/>
      </c>
      <c r="K1409" s="394" t="str">
        <f t="shared" si="104"/>
        <v/>
      </c>
    </row>
    <row r="1410" spans="8:11" x14ac:dyDescent="0.25">
      <c r="H1410" s="394" t="str">
        <f t="shared" si="101"/>
        <v/>
      </c>
      <c r="I1410" s="394" t="str">
        <f t="shared" si="102"/>
        <v/>
      </c>
      <c r="J1410" s="394" t="str">
        <f t="shared" si="103"/>
        <v/>
      </c>
      <c r="K1410" s="394" t="str">
        <f t="shared" si="104"/>
        <v/>
      </c>
    </row>
    <row r="1411" spans="8:11" x14ac:dyDescent="0.25">
      <c r="H1411" s="394" t="str">
        <f t="shared" si="101"/>
        <v/>
      </c>
      <c r="I1411" s="394" t="str">
        <f t="shared" si="102"/>
        <v/>
      </c>
      <c r="J1411" s="394" t="str">
        <f t="shared" si="103"/>
        <v/>
      </c>
      <c r="K1411" s="394" t="str">
        <f t="shared" si="104"/>
        <v/>
      </c>
    </row>
    <row r="1412" spans="8:11" x14ac:dyDescent="0.25">
      <c r="H1412" s="394" t="str">
        <f t="shared" si="101"/>
        <v/>
      </c>
      <c r="I1412" s="394" t="str">
        <f t="shared" si="102"/>
        <v/>
      </c>
      <c r="J1412" s="394" t="str">
        <f t="shared" si="103"/>
        <v/>
      </c>
      <c r="K1412" s="394" t="str">
        <f t="shared" si="104"/>
        <v/>
      </c>
    </row>
    <row r="1413" spans="8:11" x14ac:dyDescent="0.25">
      <c r="H1413" s="394" t="str">
        <f t="shared" si="101"/>
        <v/>
      </c>
      <c r="I1413" s="394" t="str">
        <f t="shared" si="102"/>
        <v/>
      </c>
      <c r="J1413" s="394" t="str">
        <f t="shared" si="103"/>
        <v/>
      </c>
      <c r="K1413" s="394" t="str">
        <f t="shared" si="104"/>
        <v/>
      </c>
    </row>
    <row r="1414" spans="8:11" x14ac:dyDescent="0.25">
      <c r="H1414" s="394" t="str">
        <f t="shared" si="101"/>
        <v/>
      </c>
      <c r="I1414" s="394" t="str">
        <f t="shared" si="102"/>
        <v/>
      </c>
      <c r="J1414" s="394" t="str">
        <f t="shared" si="103"/>
        <v/>
      </c>
      <c r="K1414" s="394" t="str">
        <f t="shared" si="104"/>
        <v/>
      </c>
    </row>
    <row r="1415" spans="8:11" x14ac:dyDescent="0.25">
      <c r="H1415" s="394" t="str">
        <f t="shared" si="101"/>
        <v/>
      </c>
      <c r="I1415" s="394" t="str">
        <f t="shared" si="102"/>
        <v/>
      </c>
      <c r="J1415" s="394" t="str">
        <f t="shared" si="103"/>
        <v/>
      </c>
      <c r="K1415" s="394" t="str">
        <f t="shared" si="104"/>
        <v/>
      </c>
    </row>
    <row r="1416" spans="8:11" x14ac:dyDescent="0.25">
      <c r="H1416" s="394" t="str">
        <f t="shared" si="101"/>
        <v/>
      </c>
      <c r="I1416" s="394" t="str">
        <f t="shared" si="102"/>
        <v/>
      </c>
      <c r="J1416" s="394" t="str">
        <f t="shared" si="103"/>
        <v/>
      </c>
      <c r="K1416" s="394" t="str">
        <f t="shared" si="104"/>
        <v/>
      </c>
    </row>
    <row r="1417" spans="8:11" x14ac:dyDescent="0.25">
      <c r="H1417" s="394" t="str">
        <f t="shared" si="101"/>
        <v/>
      </c>
      <c r="I1417" s="394" t="str">
        <f t="shared" si="102"/>
        <v/>
      </c>
      <c r="J1417" s="394" t="str">
        <f t="shared" si="103"/>
        <v/>
      </c>
      <c r="K1417" s="394" t="str">
        <f t="shared" si="104"/>
        <v/>
      </c>
    </row>
    <row r="1418" spans="8:11" x14ac:dyDescent="0.25">
      <c r="H1418" s="394" t="str">
        <f t="shared" si="101"/>
        <v/>
      </c>
      <c r="I1418" s="394" t="str">
        <f t="shared" si="102"/>
        <v/>
      </c>
      <c r="J1418" s="394" t="str">
        <f t="shared" si="103"/>
        <v/>
      </c>
      <c r="K1418" s="394" t="str">
        <f t="shared" si="104"/>
        <v/>
      </c>
    </row>
    <row r="1419" spans="8:11" x14ac:dyDescent="0.25">
      <c r="H1419" s="394" t="str">
        <f t="shared" si="101"/>
        <v/>
      </c>
      <c r="I1419" s="394" t="str">
        <f t="shared" si="102"/>
        <v/>
      </c>
      <c r="J1419" s="394" t="str">
        <f t="shared" si="103"/>
        <v/>
      </c>
      <c r="K1419" s="394" t="str">
        <f t="shared" si="104"/>
        <v/>
      </c>
    </row>
    <row r="1420" spans="8:11" x14ac:dyDescent="0.25">
      <c r="H1420" s="394" t="str">
        <f t="shared" si="101"/>
        <v/>
      </c>
      <c r="I1420" s="394" t="str">
        <f t="shared" si="102"/>
        <v/>
      </c>
      <c r="J1420" s="394" t="str">
        <f t="shared" si="103"/>
        <v/>
      </c>
      <c r="K1420" s="394" t="str">
        <f t="shared" si="104"/>
        <v/>
      </c>
    </row>
    <row r="1421" spans="8:11" x14ac:dyDescent="0.25">
      <c r="H1421" s="394" t="str">
        <f t="shared" si="101"/>
        <v/>
      </c>
      <c r="I1421" s="394" t="str">
        <f t="shared" si="102"/>
        <v/>
      </c>
      <c r="J1421" s="394" t="str">
        <f t="shared" si="103"/>
        <v/>
      </c>
      <c r="K1421" s="394" t="str">
        <f t="shared" si="104"/>
        <v/>
      </c>
    </row>
    <row r="1422" spans="8:11" x14ac:dyDescent="0.25">
      <c r="H1422" s="394" t="str">
        <f t="shared" si="101"/>
        <v/>
      </c>
      <c r="I1422" s="394" t="str">
        <f t="shared" si="102"/>
        <v/>
      </c>
      <c r="J1422" s="394" t="str">
        <f t="shared" si="103"/>
        <v/>
      </c>
      <c r="K1422" s="394" t="str">
        <f t="shared" si="104"/>
        <v/>
      </c>
    </row>
    <row r="1423" spans="8:11" x14ac:dyDescent="0.25">
      <c r="H1423" s="394" t="str">
        <f t="shared" si="101"/>
        <v/>
      </c>
      <c r="I1423" s="394" t="str">
        <f t="shared" si="102"/>
        <v/>
      </c>
      <c r="J1423" s="394" t="str">
        <f t="shared" si="103"/>
        <v/>
      </c>
      <c r="K1423" s="394" t="str">
        <f t="shared" si="104"/>
        <v/>
      </c>
    </row>
    <row r="1424" spans="8:11" x14ac:dyDescent="0.25">
      <c r="H1424" s="394" t="str">
        <f t="shared" si="101"/>
        <v/>
      </c>
      <c r="I1424" s="394" t="str">
        <f t="shared" si="102"/>
        <v/>
      </c>
      <c r="J1424" s="394" t="str">
        <f t="shared" si="103"/>
        <v/>
      </c>
      <c r="K1424" s="394" t="str">
        <f t="shared" si="104"/>
        <v/>
      </c>
    </row>
    <row r="1425" spans="8:11" x14ac:dyDescent="0.25">
      <c r="H1425" s="394" t="str">
        <f t="shared" si="101"/>
        <v/>
      </c>
      <c r="I1425" s="394" t="str">
        <f t="shared" si="102"/>
        <v/>
      </c>
      <c r="J1425" s="394" t="str">
        <f t="shared" si="103"/>
        <v/>
      </c>
      <c r="K1425" s="394" t="str">
        <f t="shared" si="104"/>
        <v/>
      </c>
    </row>
    <row r="1426" spans="8:11" x14ac:dyDescent="0.25">
      <c r="H1426" s="394" t="str">
        <f t="shared" si="101"/>
        <v/>
      </c>
      <c r="I1426" s="394" t="str">
        <f t="shared" si="102"/>
        <v/>
      </c>
      <c r="J1426" s="394" t="str">
        <f t="shared" si="103"/>
        <v/>
      </c>
      <c r="K1426" s="394" t="str">
        <f t="shared" si="104"/>
        <v/>
      </c>
    </row>
    <row r="1427" spans="8:11" x14ac:dyDescent="0.25">
      <c r="H1427" s="394" t="str">
        <f t="shared" si="101"/>
        <v/>
      </c>
      <c r="I1427" s="394" t="str">
        <f t="shared" si="102"/>
        <v/>
      </c>
      <c r="J1427" s="394" t="str">
        <f t="shared" si="103"/>
        <v/>
      </c>
      <c r="K1427" s="394" t="str">
        <f t="shared" si="104"/>
        <v/>
      </c>
    </row>
    <row r="1428" spans="8:11" x14ac:dyDescent="0.25">
      <c r="H1428" s="394" t="str">
        <f t="shared" si="101"/>
        <v/>
      </c>
      <c r="I1428" s="394" t="str">
        <f t="shared" si="102"/>
        <v/>
      </c>
      <c r="J1428" s="394" t="str">
        <f t="shared" si="103"/>
        <v/>
      </c>
      <c r="K1428" s="394" t="str">
        <f t="shared" si="104"/>
        <v/>
      </c>
    </row>
    <row r="1429" spans="8:11" x14ac:dyDescent="0.25">
      <c r="H1429" s="394" t="str">
        <f t="shared" si="101"/>
        <v/>
      </c>
      <c r="I1429" s="394" t="str">
        <f t="shared" si="102"/>
        <v/>
      </c>
      <c r="J1429" s="394" t="str">
        <f t="shared" si="103"/>
        <v/>
      </c>
      <c r="K1429" s="394" t="str">
        <f t="shared" si="104"/>
        <v/>
      </c>
    </row>
    <row r="1430" spans="8:11" x14ac:dyDescent="0.25">
      <c r="H1430" s="394" t="str">
        <f t="shared" si="101"/>
        <v/>
      </c>
      <c r="I1430" s="394" t="str">
        <f t="shared" si="102"/>
        <v/>
      </c>
      <c r="J1430" s="394" t="str">
        <f t="shared" si="103"/>
        <v/>
      </c>
      <c r="K1430" s="394" t="str">
        <f t="shared" si="104"/>
        <v/>
      </c>
    </row>
    <row r="1431" spans="8:11" x14ac:dyDescent="0.25">
      <c r="H1431" s="394" t="str">
        <f t="shared" si="101"/>
        <v/>
      </c>
      <c r="I1431" s="394" t="str">
        <f t="shared" si="102"/>
        <v/>
      </c>
      <c r="J1431" s="394" t="str">
        <f t="shared" si="103"/>
        <v/>
      </c>
      <c r="K1431" s="394" t="str">
        <f t="shared" si="104"/>
        <v/>
      </c>
    </row>
    <row r="1432" spans="8:11" x14ac:dyDescent="0.25">
      <c r="H1432" s="394" t="str">
        <f t="shared" si="101"/>
        <v/>
      </c>
      <c r="I1432" s="394" t="str">
        <f t="shared" si="102"/>
        <v/>
      </c>
      <c r="J1432" s="394" t="str">
        <f t="shared" si="103"/>
        <v/>
      </c>
      <c r="K1432" s="394" t="str">
        <f t="shared" si="104"/>
        <v/>
      </c>
    </row>
    <row r="1433" spans="8:11" x14ac:dyDescent="0.25">
      <c r="H1433" s="394" t="str">
        <f t="shared" si="101"/>
        <v/>
      </c>
      <c r="I1433" s="394" t="str">
        <f t="shared" si="102"/>
        <v/>
      </c>
      <c r="J1433" s="394" t="str">
        <f t="shared" si="103"/>
        <v/>
      </c>
      <c r="K1433" s="394" t="str">
        <f t="shared" si="104"/>
        <v/>
      </c>
    </row>
    <row r="1434" spans="8:11" x14ac:dyDescent="0.25">
      <c r="H1434" s="394" t="str">
        <f t="shared" si="101"/>
        <v/>
      </c>
      <c r="I1434" s="394" t="str">
        <f t="shared" si="102"/>
        <v/>
      </c>
      <c r="J1434" s="394" t="str">
        <f t="shared" si="103"/>
        <v/>
      </c>
      <c r="K1434" s="394" t="str">
        <f t="shared" si="104"/>
        <v/>
      </c>
    </row>
    <row r="1435" spans="8:11" x14ac:dyDescent="0.25">
      <c r="H1435" s="394" t="str">
        <f t="shared" si="101"/>
        <v/>
      </c>
      <c r="I1435" s="394" t="str">
        <f t="shared" si="102"/>
        <v/>
      </c>
      <c r="J1435" s="394" t="str">
        <f t="shared" si="103"/>
        <v/>
      </c>
      <c r="K1435" s="394" t="str">
        <f t="shared" si="104"/>
        <v/>
      </c>
    </row>
    <row r="1436" spans="8:11" x14ac:dyDescent="0.25">
      <c r="H1436" s="394" t="str">
        <f t="shared" si="101"/>
        <v/>
      </c>
      <c r="I1436" s="394" t="str">
        <f t="shared" si="102"/>
        <v/>
      </c>
      <c r="J1436" s="394" t="str">
        <f t="shared" si="103"/>
        <v/>
      </c>
      <c r="K1436" s="394" t="str">
        <f t="shared" si="104"/>
        <v/>
      </c>
    </row>
    <row r="1437" spans="8:11" x14ac:dyDescent="0.25">
      <c r="H1437" s="394" t="str">
        <f t="shared" si="101"/>
        <v/>
      </c>
      <c r="I1437" s="394" t="str">
        <f t="shared" si="102"/>
        <v/>
      </c>
      <c r="J1437" s="394" t="str">
        <f t="shared" si="103"/>
        <v/>
      </c>
      <c r="K1437" s="394" t="str">
        <f t="shared" si="104"/>
        <v/>
      </c>
    </row>
    <row r="1438" spans="8:11" x14ac:dyDescent="0.25">
      <c r="H1438" s="394" t="str">
        <f t="shared" si="101"/>
        <v/>
      </c>
      <c r="I1438" s="394" t="str">
        <f t="shared" si="102"/>
        <v/>
      </c>
      <c r="J1438" s="394" t="str">
        <f t="shared" si="103"/>
        <v/>
      </c>
      <c r="K1438" s="394" t="str">
        <f t="shared" si="104"/>
        <v/>
      </c>
    </row>
    <row r="1439" spans="8:11" x14ac:dyDescent="0.25">
      <c r="H1439" s="394" t="str">
        <f t="shared" si="101"/>
        <v/>
      </c>
      <c r="I1439" s="394" t="str">
        <f t="shared" si="102"/>
        <v/>
      </c>
      <c r="J1439" s="394" t="str">
        <f t="shared" si="103"/>
        <v/>
      </c>
      <c r="K1439" s="394" t="str">
        <f t="shared" si="104"/>
        <v/>
      </c>
    </row>
    <row r="1440" spans="8:11" x14ac:dyDescent="0.25">
      <c r="H1440" s="394" t="str">
        <f t="shared" si="101"/>
        <v/>
      </c>
      <c r="I1440" s="394" t="str">
        <f t="shared" si="102"/>
        <v/>
      </c>
      <c r="J1440" s="394" t="str">
        <f t="shared" si="103"/>
        <v/>
      </c>
      <c r="K1440" s="394" t="str">
        <f t="shared" si="104"/>
        <v/>
      </c>
    </row>
    <row r="1441" spans="8:11" x14ac:dyDescent="0.25">
      <c r="H1441" s="394" t="str">
        <f t="shared" si="101"/>
        <v/>
      </c>
      <c r="I1441" s="394" t="str">
        <f t="shared" si="102"/>
        <v/>
      </c>
      <c r="J1441" s="394" t="str">
        <f t="shared" si="103"/>
        <v/>
      </c>
      <c r="K1441" s="394" t="str">
        <f t="shared" si="104"/>
        <v/>
      </c>
    </row>
    <row r="1442" spans="8:11" x14ac:dyDescent="0.25">
      <c r="H1442" s="394" t="str">
        <f t="shared" si="101"/>
        <v/>
      </c>
      <c r="I1442" s="394" t="str">
        <f t="shared" si="102"/>
        <v/>
      </c>
      <c r="J1442" s="394" t="str">
        <f t="shared" si="103"/>
        <v/>
      </c>
      <c r="K1442" s="394" t="str">
        <f t="shared" si="104"/>
        <v/>
      </c>
    </row>
    <row r="1443" spans="8:11" x14ac:dyDescent="0.25">
      <c r="H1443" s="394" t="str">
        <f t="shared" si="101"/>
        <v/>
      </c>
      <c r="I1443" s="394" t="str">
        <f t="shared" si="102"/>
        <v/>
      </c>
      <c r="J1443" s="394" t="str">
        <f t="shared" si="103"/>
        <v/>
      </c>
      <c r="K1443" s="394" t="str">
        <f t="shared" si="104"/>
        <v/>
      </c>
    </row>
    <row r="1444" spans="8:11" x14ac:dyDescent="0.25">
      <c r="H1444" s="394" t="str">
        <f t="shared" si="101"/>
        <v/>
      </c>
      <c r="I1444" s="394" t="str">
        <f t="shared" si="102"/>
        <v/>
      </c>
      <c r="J1444" s="394" t="str">
        <f t="shared" si="103"/>
        <v/>
      </c>
      <c r="K1444" s="394" t="str">
        <f t="shared" si="104"/>
        <v/>
      </c>
    </row>
    <row r="1445" spans="8:11" x14ac:dyDescent="0.25">
      <c r="H1445" s="394" t="str">
        <f t="shared" si="101"/>
        <v/>
      </c>
      <c r="I1445" s="394" t="str">
        <f t="shared" si="102"/>
        <v/>
      </c>
      <c r="J1445" s="394" t="str">
        <f t="shared" si="103"/>
        <v/>
      </c>
      <c r="K1445" s="394" t="str">
        <f t="shared" si="104"/>
        <v/>
      </c>
    </row>
    <row r="1446" spans="8:11" x14ac:dyDescent="0.25">
      <c r="H1446" s="394" t="str">
        <f t="shared" si="101"/>
        <v/>
      </c>
      <c r="I1446" s="394" t="str">
        <f t="shared" si="102"/>
        <v/>
      </c>
      <c r="J1446" s="394" t="str">
        <f t="shared" si="103"/>
        <v/>
      </c>
      <c r="K1446" s="394" t="str">
        <f t="shared" si="104"/>
        <v/>
      </c>
    </row>
    <row r="1447" spans="8:11" x14ac:dyDescent="0.25">
      <c r="H1447" s="394" t="str">
        <f t="shared" si="101"/>
        <v/>
      </c>
      <c r="I1447" s="394" t="str">
        <f t="shared" si="102"/>
        <v/>
      </c>
      <c r="J1447" s="394" t="str">
        <f t="shared" si="103"/>
        <v/>
      </c>
      <c r="K1447" s="394" t="str">
        <f t="shared" si="104"/>
        <v/>
      </c>
    </row>
    <row r="1448" spans="8:11" x14ac:dyDescent="0.25">
      <c r="H1448" s="394" t="str">
        <f t="shared" si="101"/>
        <v/>
      </c>
      <c r="I1448" s="394" t="str">
        <f t="shared" si="102"/>
        <v/>
      </c>
      <c r="J1448" s="394" t="str">
        <f t="shared" si="103"/>
        <v/>
      </c>
      <c r="K1448" s="394" t="str">
        <f t="shared" si="104"/>
        <v/>
      </c>
    </row>
    <row r="1449" spans="8:11" x14ac:dyDescent="0.25">
      <c r="H1449" s="394" t="str">
        <f t="shared" ref="H1449:H1512" si="105">IF($C471="","",ROUND(($B$2*$F471*($B$5/1000))/$B$6,2))</f>
        <v/>
      </c>
      <c r="I1449" s="394" t="str">
        <f t="shared" ref="I1449:I1512" si="106">IF($C471="","",ROUND(($B$3*$F471*($B$5/1000))/$B$6,2))</f>
        <v/>
      </c>
      <c r="J1449" s="394" t="str">
        <f t="shared" ref="J1449:J1512" si="107">IF(OR($C471="",$B$9="",$B$15=""),"",ROUND(((((IF($B$15="N/A",$B$2,$B$4))*$F471*($B$5/1000))+((($G471/1000)*($B$5/1000)*10.7639104)*(IF($B$9="Smooth",$B$10,IF($B$9="Sand",$B$11,0)))))*(1+$B$17))/$B$8,2))</f>
        <v/>
      </c>
      <c r="K1449" s="394" t="str">
        <f t="shared" ref="K1449:K1512" si="108">IF(OR($C471="",$B$12="",$B$15=""),"",ROUND(((((IF($B$15="N/A",$B$2,$B$4))*$F471*($B$5/1000))+((($G471/1000)*($B$5/1000)*10.7639104)*(IF($B$12="Indoor",$B$13,IF($B$12="Outdoor",$B$14,0)))))*(1+$B$17))/$B$8,2))</f>
        <v/>
      </c>
    </row>
    <row r="1450" spans="8:11" x14ac:dyDescent="0.25">
      <c r="H1450" s="394" t="str">
        <f t="shared" si="105"/>
        <v/>
      </c>
      <c r="I1450" s="394" t="str">
        <f t="shared" si="106"/>
        <v/>
      </c>
      <c r="J1450" s="394" t="str">
        <f t="shared" si="107"/>
        <v/>
      </c>
      <c r="K1450" s="394" t="str">
        <f t="shared" si="108"/>
        <v/>
      </c>
    </row>
    <row r="1451" spans="8:11" x14ac:dyDescent="0.25">
      <c r="H1451" s="394" t="str">
        <f t="shared" si="105"/>
        <v/>
      </c>
      <c r="I1451" s="394" t="str">
        <f t="shared" si="106"/>
        <v/>
      </c>
      <c r="J1451" s="394" t="str">
        <f t="shared" si="107"/>
        <v/>
      </c>
      <c r="K1451" s="394" t="str">
        <f t="shared" si="108"/>
        <v/>
      </c>
    </row>
    <row r="1452" spans="8:11" x14ac:dyDescent="0.25">
      <c r="H1452" s="394" t="str">
        <f t="shared" si="105"/>
        <v/>
      </c>
      <c r="I1452" s="394" t="str">
        <f t="shared" si="106"/>
        <v/>
      </c>
      <c r="J1452" s="394" t="str">
        <f t="shared" si="107"/>
        <v/>
      </c>
      <c r="K1452" s="394" t="str">
        <f t="shared" si="108"/>
        <v/>
      </c>
    </row>
    <row r="1453" spans="8:11" x14ac:dyDescent="0.25">
      <c r="H1453" s="394" t="str">
        <f t="shared" si="105"/>
        <v/>
      </c>
      <c r="I1453" s="394" t="str">
        <f t="shared" si="106"/>
        <v/>
      </c>
      <c r="J1453" s="394" t="str">
        <f t="shared" si="107"/>
        <v/>
      </c>
      <c r="K1453" s="394" t="str">
        <f t="shared" si="108"/>
        <v/>
      </c>
    </row>
    <row r="1454" spans="8:11" x14ac:dyDescent="0.25">
      <c r="H1454" s="394" t="str">
        <f t="shared" si="105"/>
        <v/>
      </c>
      <c r="I1454" s="394" t="str">
        <f t="shared" si="106"/>
        <v/>
      </c>
      <c r="J1454" s="394" t="str">
        <f t="shared" si="107"/>
        <v/>
      </c>
      <c r="K1454" s="394" t="str">
        <f t="shared" si="108"/>
        <v/>
      </c>
    </row>
    <row r="1455" spans="8:11" x14ac:dyDescent="0.25">
      <c r="H1455" s="394" t="str">
        <f t="shared" si="105"/>
        <v/>
      </c>
      <c r="I1455" s="394" t="str">
        <f t="shared" si="106"/>
        <v/>
      </c>
      <c r="J1455" s="394" t="str">
        <f t="shared" si="107"/>
        <v/>
      </c>
      <c r="K1455" s="394" t="str">
        <f t="shared" si="108"/>
        <v/>
      </c>
    </row>
    <row r="1456" spans="8:11" x14ac:dyDescent="0.25">
      <c r="H1456" s="394" t="str">
        <f t="shared" si="105"/>
        <v/>
      </c>
      <c r="I1456" s="394" t="str">
        <f t="shared" si="106"/>
        <v/>
      </c>
      <c r="J1456" s="394" t="str">
        <f t="shared" si="107"/>
        <v/>
      </c>
      <c r="K1456" s="394" t="str">
        <f t="shared" si="108"/>
        <v/>
      </c>
    </row>
    <row r="1457" spans="8:11" x14ac:dyDescent="0.25">
      <c r="H1457" s="394" t="str">
        <f t="shared" si="105"/>
        <v/>
      </c>
      <c r="I1457" s="394" t="str">
        <f t="shared" si="106"/>
        <v/>
      </c>
      <c r="J1457" s="394" t="str">
        <f t="shared" si="107"/>
        <v/>
      </c>
      <c r="K1457" s="394" t="str">
        <f t="shared" si="108"/>
        <v/>
      </c>
    </row>
    <row r="1458" spans="8:11" x14ac:dyDescent="0.25">
      <c r="H1458" s="394" t="str">
        <f t="shared" si="105"/>
        <v/>
      </c>
      <c r="I1458" s="394" t="str">
        <f t="shared" si="106"/>
        <v/>
      </c>
      <c r="J1458" s="394" t="str">
        <f t="shared" si="107"/>
        <v/>
      </c>
      <c r="K1458" s="394" t="str">
        <f t="shared" si="108"/>
        <v/>
      </c>
    </row>
    <row r="1459" spans="8:11" x14ac:dyDescent="0.25">
      <c r="H1459" s="394" t="str">
        <f t="shared" si="105"/>
        <v/>
      </c>
      <c r="I1459" s="394" t="str">
        <f t="shared" si="106"/>
        <v/>
      </c>
      <c r="J1459" s="394" t="str">
        <f t="shared" si="107"/>
        <v/>
      </c>
      <c r="K1459" s="394" t="str">
        <f t="shared" si="108"/>
        <v/>
      </c>
    </row>
    <row r="1460" spans="8:11" x14ac:dyDescent="0.25">
      <c r="H1460" s="394" t="str">
        <f t="shared" si="105"/>
        <v/>
      </c>
      <c r="I1460" s="394" t="str">
        <f t="shared" si="106"/>
        <v/>
      </c>
      <c r="J1460" s="394" t="str">
        <f t="shared" si="107"/>
        <v/>
      </c>
      <c r="K1460" s="394" t="str">
        <f t="shared" si="108"/>
        <v/>
      </c>
    </row>
    <row r="1461" spans="8:11" x14ac:dyDescent="0.25">
      <c r="H1461" s="394" t="str">
        <f t="shared" si="105"/>
        <v/>
      </c>
      <c r="I1461" s="394" t="str">
        <f t="shared" si="106"/>
        <v/>
      </c>
      <c r="J1461" s="394" t="str">
        <f t="shared" si="107"/>
        <v/>
      </c>
      <c r="K1461" s="394" t="str">
        <f t="shared" si="108"/>
        <v/>
      </c>
    </row>
    <row r="1462" spans="8:11" x14ac:dyDescent="0.25">
      <c r="H1462" s="394" t="str">
        <f t="shared" si="105"/>
        <v/>
      </c>
      <c r="I1462" s="394" t="str">
        <f t="shared" si="106"/>
        <v/>
      </c>
      <c r="J1462" s="394" t="str">
        <f t="shared" si="107"/>
        <v/>
      </c>
      <c r="K1462" s="394" t="str">
        <f t="shared" si="108"/>
        <v/>
      </c>
    </row>
    <row r="1463" spans="8:11" x14ac:dyDescent="0.25">
      <c r="H1463" s="394" t="str">
        <f t="shared" si="105"/>
        <v/>
      </c>
      <c r="I1463" s="394" t="str">
        <f t="shared" si="106"/>
        <v/>
      </c>
      <c r="J1463" s="394" t="str">
        <f t="shared" si="107"/>
        <v/>
      </c>
      <c r="K1463" s="394" t="str">
        <f t="shared" si="108"/>
        <v/>
      </c>
    </row>
    <row r="1464" spans="8:11" x14ac:dyDescent="0.25">
      <c r="H1464" s="394" t="str">
        <f t="shared" si="105"/>
        <v/>
      </c>
      <c r="I1464" s="394" t="str">
        <f t="shared" si="106"/>
        <v/>
      </c>
      <c r="J1464" s="394" t="str">
        <f t="shared" si="107"/>
        <v/>
      </c>
      <c r="K1464" s="394" t="str">
        <f t="shared" si="108"/>
        <v/>
      </c>
    </row>
    <row r="1465" spans="8:11" x14ac:dyDescent="0.25">
      <c r="H1465" s="394" t="str">
        <f t="shared" si="105"/>
        <v/>
      </c>
      <c r="I1465" s="394" t="str">
        <f t="shared" si="106"/>
        <v/>
      </c>
      <c r="J1465" s="394" t="str">
        <f t="shared" si="107"/>
        <v/>
      </c>
      <c r="K1465" s="394" t="str">
        <f t="shared" si="108"/>
        <v/>
      </c>
    </row>
    <row r="1466" spans="8:11" x14ac:dyDescent="0.25">
      <c r="H1466" s="394" t="str">
        <f t="shared" si="105"/>
        <v/>
      </c>
      <c r="I1466" s="394" t="str">
        <f t="shared" si="106"/>
        <v/>
      </c>
      <c r="J1466" s="394" t="str">
        <f t="shared" si="107"/>
        <v/>
      </c>
      <c r="K1466" s="394" t="str">
        <f t="shared" si="108"/>
        <v/>
      </c>
    </row>
    <row r="1467" spans="8:11" x14ac:dyDescent="0.25">
      <c r="H1467" s="394" t="str">
        <f t="shared" si="105"/>
        <v/>
      </c>
      <c r="I1467" s="394" t="str">
        <f t="shared" si="106"/>
        <v/>
      </c>
      <c r="J1467" s="394" t="str">
        <f t="shared" si="107"/>
        <v/>
      </c>
      <c r="K1467" s="394" t="str">
        <f t="shared" si="108"/>
        <v/>
      </c>
    </row>
    <row r="1468" spans="8:11" x14ac:dyDescent="0.25">
      <c r="H1468" s="394" t="str">
        <f t="shared" si="105"/>
        <v/>
      </c>
      <c r="I1468" s="394" t="str">
        <f t="shared" si="106"/>
        <v/>
      </c>
      <c r="J1468" s="394" t="str">
        <f t="shared" si="107"/>
        <v/>
      </c>
      <c r="K1468" s="394" t="str">
        <f t="shared" si="108"/>
        <v/>
      </c>
    </row>
    <row r="1469" spans="8:11" x14ac:dyDescent="0.25">
      <c r="H1469" s="394" t="str">
        <f t="shared" si="105"/>
        <v/>
      </c>
      <c r="I1469" s="394" t="str">
        <f t="shared" si="106"/>
        <v/>
      </c>
      <c r="J1469" s="394" t="str">
        <f t="shared" si="107"/>
        <v/>
      </c>
      <c r="K1469" s="394" t="str">
        <f t="shared" si="108"/>
        <v/>
      </c>
    </row>
    <row r="1470" spans="8:11" x14ac:dyDescent="0.25">
      <c r="H1470" s="394" t="str">
        <f t="shared" si="105"/>
        <v/>
      </c>
      <c r="I1470" s="394" t="str">
        <f t="shared" si="106"/>
        <v/>
      </c>
      <c r="J1470" s="394" t="str">
        <f t="shared" si="107"/>
        <v/>
      </c>
      <c r="K1470" s="394" t="str">
        <f t="shared" si="108"/>
        <v/>
      </c>
    </row>
    <row r="1471" spans="8:11" x14ac:dyDescent="0.25">
      <c r="H1471" s="394" t="str">
        <f t="shared" si="105"/>
        <v/>
      </c>
      <c r="I1471" s="394" t="str">
        <f t="shared" si="106"/>
        <v/>
      </c>
      <c r="J1471" s="394" t="str">
        <f t="shared" si="107"/>
        <v/>
      </c>
      <c r="K1471" s="394" t="str">
        <f t="shared" si="108"/>
        <v/>
      </c>
    </row>
    <row r="1472" spans="8:11" x14ac:dyDescent="0.25">
      <c r="H1472" s="394" t="str">
        <f t="shared" si="105"/>
        <v/>
      </c>
      <c r="I1472" s="394" t="str">
        <f t="shared" si="106"/>
        <v/>
      </c>
      <c r="J1472" s="394" t="str">
        <f t="shared" si="107"/>
        <v/>
      </c>
      <c r="K1472" s="394" t="str">
        <f t="shared" si="108"/>
        <v/>
      </c>
    </row>
    <row r="1473" spans="8:11" x14ac:dyDescent="0.25">
      <c r="H1473" s="394" t="str">
        <f t="shared" si="105"/>
        <v/>
      </c>
      <c r="I1473" s="394" t="str">
        <f t="shared" si="106"/>
        <v/>
      </c>
      <c r="J1473" s="394" t="str">
        <f t="shared" si="107"/>
        <v/>
      </c>
      <c r="K1473" s="394" t="str">
        <f t="shared" si="108"/>
        <v/>
      </c>
    </row>
    <row r="1474" spans="8:11" x14ac:dyDescent="0.25">
      <c r="H1474" s="394" t="str">
        <f t="shared" si="105"/>
        <v/>
      </c>
      <c r="I1474" s="394" t="str">
        <f t="shared" si="106"/>
        <v/>
      </c>
      <c r="J1474" s="394" t="str">
        <f t="shared" si="107"/>
        <v/>
      </c>
      <c r="K1474" s="394" t="str">
        <f t="shared" si="108"/>
        <v/>
      </c>
    </row>
    <row r="1475" spans="8:11" x14ac:dyDescent="0.25">
      <c r="H1475" s="394" t="str">
        <f t="shared" si="105"/>
        <v/>
      </c>
      <c r="I1475" s="394" t="str">
        <f t="shared" si="106"/>
        <v/>
      </c>
      <c r="J1475" s="394" t="str">
        <f t="shared" si="107"/>
        <v/>
      </c>
      <c r="K1475" s="394" t="str">
        <f t="shared" si="108"/>
        <v/>
      </c>
    </row>
    <row r="1476" spans="8:11" x14ac:dyDescent="0.25">
      <c r="H1476" s="394" t="str">
        <f t="shared" si="105"/>
        <v/>
      </c>
      <c r="I1476" s="394" t="str">
        <f t="shared" si="106"/>
        <v/>
      </c>
      <c r="J1476" s="394" t="str">
        <f t="shared" si="107"/>
        <v/>
      </c>
      <c r="K1476" s="394" t="str">
        <f t="shared" si="108"/>
        <v/>
      </c>
    </row>
    <row r="1477" spans="8:11" x14ac:dyDescent="0.25">
      <c r="H1477" s="394" t="str">
        <f t="shared" si="105"/>
        <v/>
      </c>
      <c r="I1477" s="394" t="str">
        <f t="shared" si="106"/>
        <v/>
      </c>
      <c r="J1477" s="394" t="str">
        <f t="shared" si="107"/>
        <v/>
      </c>
      <c r="K1477" s="394" t="str">
        <f t="shared" si="108"/>
        <v/>
      </c>
    </row>
    <row r="1478" spans="8:11" x14ac:dyDescent="0.25">
      <c r="H1478" s="394" t="str">
        <f t="shared" si="105"/>
        <v/>
      </c>
      <c r="I1478" s="394" t="str">
        <f t="shared" si="106"/>
        <v/>
      </c>
      <c r="J1478" s="394" t="str">
        <f t="shared" si="107"/>
        <v/>
      </c>
      <c r="K1478" s="394" t="str">
        <f t="shared" si="108"/>
        <v/>
      </c>
    </row>
    <row r="1479" spans="8:11" x14ac:dyDescent="0.25">
      <c r="H1479" s="394" t="str">
        <f t="shared" si="105"/>
        <v/>
      </c>
      <c r="I1479" s="394" t="str">
        <f t="shared" si="106"/>
        <v/>
      </c>
      <c r="J1479" s="394" t="str">
        <f t="shared" si="107"/>
        <v/>
      </c>
      <c r="K1479" s="394" t="str">
        <f t="shared" si="108"/>
        <v/>
      </c>
    </row>
    <row r="1480" spans="8:11" x14ac:dyDescent="0.25">
      <c r="H1480" s="394" t="str">
        <f t="shared" si="105"/>
        <v/>
      </c>
      <c r="I1480" s="394" t="str">
        <f t="shared" si="106"/>
        <v/>
      </c>
      <c r="J1480" s="394" t="str">
        <f t="shared" si="107"/>
        <v/>
      </c>
      <c r="K1480" s="394" t="str">
        <f t="shared" si="108"/>
        <v/>
      </c>
    </row>
    <row r="1481" spans="8:11" x14ac:dyDescent="0.25">
      <c r="H1481" s="394" t="str">
        <f t="shared" si="105"/>
        <v/>
      </c>
      <c r="I1481" s="394" t="str">
        <f t="shared" si="106"/>
        <v/>
      </c>
      <c r="J1481" s="394" t="str">
        <f t="shared" si="107"/>
        <v/>
      </c>
      <c r="K1481" s="394" t="str">
        <f t="shared" si="108"/>
        <v/>
      </c>
    </row>
    <row r="1482" spans="8:11" x14ac:dyDescent="0.25">
      <c r="H1482" s="394" t="str">
        <f t="shared" si="105"/>
        <v/>
      </c>
      <c r="I1482" s="394" t="str">
        <f t="shared" si="106"/>
        <v/>
      </c>
      <c r="J1482" s="394" t="str">
        <f t="shared" si="107"/>
        <v/>
      </c>
      <c r="K1482" s="394" t="str">
        <f t="shared" si="108"/>
        <v/>
      </c>
    </row>
    <row r="1483" spans="8:11" x14ac:dyDescent="0.25">
      <c r="H1483" s="394" t="str">
        <f t="shared" si="105"/>
        <v/>
      </c>
      <c r="I1483" s="394" t="str">
        <f t="shared" si="106"/>
        <v/>
      </c>
      <c r="J1483" s="394" t="str">
        <f t="shared" si="107"/>
        <v/>
      </c>
      <c r="K1483" s="394" t="str">
        <f t="shared" si="108"/>
        <v/>
      </c>
    </row>
    <row r="1484" spans="8:11" x14ac:dyDescent="0.25">
      <c r="H1484" s="394" t="str">
        <f t="shared" si="105"/>
        <v/>
      </c>
      <c r="I1484" s="394" t="str">
        <f t="shared" si="106"/>
        <v/>
      </c>
      <c r="J1484" s="394" t="str">
        <f t="shared" si="107"/>
        <v/>
      </c>
      <c r="K1484" s="394" t="str">
        <f t="shared" si="108"/>
        <v/>
      </c>
    </row>
    <row r="1485" spans="8:11" x14ac:dyDescent="0.25">
      <c r="H1485" s="394" t="str">
        <f t="shared" si="105"/>
        <v/>
      </c>
      <c r="I1485" s="394" t="str">
        <f t="shared" si="106"/>
        <v/>
      </c>
      <c r="J1485" s="394" t="str">
        <f t="shared" si="107"/>
        <v/>
      </c>
      <c r="K1485" s="394" t="str">
        <f t="shared" si="108"/>
        <v/>
      </c>
    </row>
    <row r="1486" spans="8:11" x14ac:dyDescent="0.25">
      <c r="H1486" s="394" t="str">
        <f t="shared" si="105"/>
        <v/>
      </c>
      <c r="I1486" s="394" t="str">
        <f t="shared" si="106"/>
        <v/>
      </c>
      <c r="J1486" s="394" t="str">
        <f t="shared" si="107"/>
        <v/>
      </c>
      <c r="K1486" s="394" t="str">
        <f t="shared" si="108"/>
        <v/>
      </c>
    </row>
    <row r="1487" spans="8:11" x14ac:dyDescent="0.25">
      <c r="H1487" s="394" t="str">
        <f t="shared" si="105"/>
        <v/>
      </c>
      <c r="I1487" s="394" t="str">
        <f t="shared" si="106"/>
        <v/>
      </c>
      <c r="J1487" s="394" t="str">
        <f t="shared" si="107"/>
        <v/>
      </c>
      <c r="K1487" s="394" t="str">
        <f t="shared" si="108"/>
        <v/>
      </c>
    </row>
    <row r="1488" spans="8:11" x14ac:dyDescent="0.25">
      <c r="H1488" s="394" t="str">
        <f t="shared" si="105"/>
        <v/>
      </c>
      <c r="I1488" s="394" t="str">
        <f t="shared" si="106"/>
        <v/>
      </c>
      <c r="J1488" s="394" t="str">
        <f t="shared" si="107"/>
        <v/>
      </c>
      <c r="K1488" s="394" t="str">
        <f t="shared" si="108"/>
        <v/>
      </c>
    </row>
    <row r="1489" spans="8:11" x14ac:dyDescent="0.25">
      <c r="H1489" s="394" t="str">
        <f t="shared" si="105"/>
        <v/>
      </c>
      <c r="I1489" s="394" t="str">
        <f t="shared" si="106"/>
        <v/>
      </c>
      <c r="J1489" s="394" t="str">
        <f t="shared" si="107"/>
        <v/>
      </c>
      <c r="K1489" s="394" t="str">
        <f t="shared" si="108"/>
        <v/>
      </c>
    </row>
    <row r="1490" spans="8:11" x14ac:dyDescent="0.25">
      <c r="H1490" s="394" t="str">
        <f t="shared" si="105"/>
        <v/>
      </c>
      <c r="I1490" s="394" t="str">
        <f t="shared" si="106"/>
        <v/>
      </c>
      <c r="J1490" s="394" t="str">
        <f t="shared" si="107"/>
        <v/>
      </c>
      <c r="K1490" s="394" t="str">
        <f t="shared" si="108"/>
        <v/>
      </c>
    </row>
    <row r="1491" spans="8:11" x14ac:dyDescent="0.25">
      <c r="H1491" s="394" t="str">
        <f t="shared" si="105"/>
        <v/>
      </c>
      <c r="I1491" s="394" t="str">
        <f t="shared" si="106"/>
        <v/>
      </c>
      <c r="J1491" s="394" t="str">
        <f t="shared" si="107"/>
        <v/>
      </c>
      <c r="K1491" s="394" t="str">
        <f t="shared" si="108"/>
        <v/>
      </c>
    </row>
    <row r="1492" spans="8:11" x14ac:dyDescent="0.25">
      <c r="H1492" s="394" t="str">
        <f t="shared" si="105"/>
        <v/>
      </c>
      <c r="I1492" s="394" t="str">
        <f t="shared" si="106"/>
        <v/>
      </c>
      <c r="J1492" s="394" t="str">
        <f t="shared" si="107"/>
        <v/>
      </c>
      <c r="K1492" s="394" t="str">
        <f t="shared" si="108"/>
        <v/>
      </c>
    </row>
    <row r="1493" spans="8:11" x14ac:dyDescent="0.25">
      <c r="H1493" s="394" t="str">
        <f t="shared" si="105"/>
        <v/>
      </c>
      <c r="I1493" s="394" t="str">
        <f t="shared" si="106"/>
        <v/>
      </c>
      <c r="J1493" s="394" t="str">
        <f t="shared" si="107"/>
        <v/>
      </c>
      <c r="K1493" s="394" t="str">
        <f t="shared" si="108"/>
        <v/>
      </c>
    </row>
    <row r="1494" spans="8:11" x14ac:dyDescent="0.25">
      <c r="H1494" s="394" t="str">
        <f t="shared" si="105"/>
        <v/>
      </c>
      <c r="I1494" s="394" t="str">
        <f t="shared" si="106"/>
        <v/>
      </c>
      <c r="J1494" s="394" t="str">
        <f t="shared" si="107"/>
        <v/>
      </c>
      <c r="K1494" s="394" t="str">
        <f t="shared" si="108"/>
        <v/>
      </c>
    </row>
    <row r="1495" spans="8:11" x14ac:dyDescent="0.25">
      <c r="H1495" s="394" t="str">
        <f t="shared" si="105"/>
        <v/>
      </c>
      <c r="I1495" s="394" t="str">
        <f t="shared" si="106"/>
        <v/>
      </c>
      <c r="J1495" s="394" t="str">
        <f t="shared" si="107"/>
        <v/>
      </c>
      <c r="K1495" s="394" t="str">
        <f t="shared" si="108"/>
        <v/>
      </c>
    </row>
    <row r="1496" spans="8:11" x14ac:dyDescent="0.25">
      <c r="H1496" s="394" t="str">
        <f t="shared" si="105"/>
        <v/>
      </c>
      <c r="I1496" s="394" t="str">
        <f t="shared" si="106"/>
        <v/>
      </c>
      <c r="J1496" s="394" t="str">
        <f t="shared" si="107"/>
        <v/>
      </c>
      <c r="K1496" s="394" t="str">
        <f t="shared" si="108"/>
        <v/>
      </c>
    </row>
    <row r="1497" spans="8:11" x14ac:dyDescent="0.25">
      <c r="H1497" s="394" t="str">
        <f t="shared" si="105"/>
        <v/>
      </c>
      <c r="I1497" s="394" t="str">
        <f t="shared" si="106"/>
        <v/>
      </c>
      <c r="J1497" s="394" t="str">
        <f t="shared" si="107"/>
        <v/>
      </c>
      <c r="K1497" s="394" t="str">
        <f t="shared" si="108"/>
        <v/>
      </c>
    </row>
    <row r="1498" spans="8:11" x14ac:dyDescent="0.25">
      <c r="H1498" s="394" t="str">
        <f t="shared" si="105"/>
        <v/>
      </c>
      <c r="I1498" s="394" t="str">
        <f t="shared" si="106"/>
        <v/>
      </c>
      <c r="J1498" s="394" t="str">
        <f t="shared" si="107"/>
        <v/>
      </c>
      <c r="K1498" s="394" t="str">
        <f t="shared" si="108"/>
        <v/>
      </c>
    </row>
    <row r="1499" spans="8:11" x14ac:dyDescent="0.25">
      <c r="H1499" s="394" t="str">
        <f t="shared" si="105"/>
        <v/>
      </c>
      <c r="I1499" s="394" t="str">
        <f t="shared" si="106"/>
        <v/>
      </c>
      <c r="J1499" s="394" t="str">
        <f t="shared" si="107"/>
        <v/>
      </c>
      <c r="K1499" s="394" t="str">
        <f t="shared" si="108"/>
        <v/>
      </c>
    </row>
    <row r="1500" spans="8:11" x14ac:dyDescent="0.25">
      <c r="H1500" s="394" t="str">
        <f t="shared" si="105"/>
        <v/>
      </c>
      <c r="I1500" s="394" t="str">
        <f t="shared" si="106"/>
        <v/>
      </c>
      <c r="J1500" s="394" t="str">
        <f t="shared" si="107"/>
        <v/>
      </c>
      <c r="K1500" s="394" t="str">
        <f t="shared" si="108"/>
        <v/>
      </c>
    </row>
    <row r="1501" spans="8:11" x14ac:dyDescent="0.25">
      <c r="H1501" s="394" t="str">
        <f t="shared" si="105"/>
        <v/>
      </c>
      <c r="I1501" s="394" t="str">
        <f t="shared" si="106"/>
        <v/>
      </c>
      <c r="J1501" s="394" t="str">
        <f t="shared" si="107"/>
        <v/>
      </c>
      <c r="K1501" s="394" t="str">
        <f t="shared" si="108"/>
        <v/>
      </c>
    </row>
    <row r="1502" spans="8:11" x14ac:dyDescent="0.25">
      <c r="H1502" s="394" t="str">
        <f t="shared" si="105"/>
        <v/>
      </c>
      <c r="I1502" s="394" t="str">
        <f t="shared" si="106"/>
        <v/>
      </c>
      <c r="J1502" s="394" t="str">
        <f t="shared" si="107"/>
        <v/>
      </c>
      <c r="K1502" s="394" t="str">
        <f t="shared" si="108"/>
        <v/>
      </c>
    </row>
    <row r="1503" spans="8:11" x14ac:dyDescent="0.25">
      <c r="H1503" s="394" t="str">
        <f t="shared" si="105"/>
        <v/>
      </c>
      <c r="I1503" s="394" t="str">
        <f t="shared" si="106"/>
        <v/>
      </c>
      <c r="J1503" s="394" t="str">
        <f t="shared" si="107"/>
        <v/>
      </c>
      <c r="K1503" s="394" t="str">
        <f t="shared" si="108"/>
        <v/>
      </c>
    </row>
    <row r="1504" spans="8:11" x14ac:dyDescent="0.25">
      <c r="H1504" s="394" t="str">
        <f t="shared" si="105"/>
        <v/>
      </c>
      <c r="I1504" s="394" t="str">
        <f t="shared" si="106"/>
        <v/>
      </c>
      <c r="J1504" s="394" t="str">
        <f t="shared" si="107"/>
        <v/>
      </c>
      <c r="K1504" s="394" t="str">
        <f t="shared" si="108"/>
        <v/>
      </c>
    </row>
    <row r="1505" spans="8:11" x14ac:dyDescent="0.25">
      <c r="H1505" s="394" t="str">
        <f t="shared" si="105"/>
        <v/>
      </c>
      <c r="I1505" s="394" t="str">
        <f t="shared" si="106"/>
        <v/>
      </c>
      <c r="J1505" s="394" t="str">
        <f t="shared" si="107"/>
        <v/>
      </c>
      <c r="K1505" s="394" t="str">
        <f t="shared" si="108"/>
        <v/>
      </c>
    </row>
    <row r="1506" spans="8:11" x14ac:dyDescent="0.25">
      <c r="H1506" s="394" t="str">
        <f t="shared" si="105"/>
        <v/>
      </c>
      <c r="I1506" s="394" t="str">
        <f t="shared" si="106"/>
        <v/>
      </c>
      <c r="J1506" s="394" t="str">
        <f t="shared" si="107"/>
        <v/>
      </c>
      <c r="K1506" s="394" t="str">
        <f t="shared" si="108"/>
        <v/>
      </c>
    </row>
    <row r="1507" spans="8:11" x14ac:dyDescent="0.25">
      <c r="H1507" s="394" t="str">
        <f t="shared" si="105"/>
        <v/>
      </c>
      <c r="I1507" s="394" t="str">
        <f t="shared" si="106"/>
        <v/>
      </c>
      <c r="J1507" s="394" t="str">
        <f t="shared" si="107"/>
        <v/>
      </c>
      <c r="K1507" s="394" t="str">
        <f t="shared" si="108"/>
        <v/>
      </c>
    </row>
    <row r="1508" spans="8:11" x14ac:dyDescent="0.25">
      <c r="H1508" s="394" t="str">
        <f t="shared" si="105"/>
        <v/>
      </c>
      <c r="I1508" s="394" t="str">
        <f t="shared" si="106"/>
        <v/>
      </c>
      <c r="J1508" s="394" t="str">
        <f t="shared" si="107"/>
        <v/>
      </c>
      <c r="K1508" s="394" t="str">
        <f t="shared" si="108"/>
        <v/>
      </c>
    </row>
    <row r="1509" spans="8:11" x14ac:dyDescent="0.25">
      <c r="H1509" s="394" t="str">
        <f t="shared" si="105"/>
        <v/>
      </c>
      <c r="I1509" s="394" t="str">
        <f t="shared" si="106"/>
        <v/>
      </c>
      <c r="J1509" s="394" t="str">
        <f t="shared" si="107"/>
        <v/>
      </c>
      <c r="K1509" s="394" t="str">
        <f t="shared" si="108"/>
        <v/>
      </c>
    </row>
    <row r="1510" spans="8:11" x14ac:dyDescent="0.25">
      <c r="H1510" s="394" t="str">
        <f t="shared" si="105"/>
        <v/>
      </c>
      <c r="I1510" s="394" t="str">
        <f t="shared" si="106"/>
        <v/>
      </c>
      <c r="J1510" s="394" t="str">
        <f t="shared" si="107"/>
        <v/>
      </c>
      <c r="K1510" s="394" t="str">
        <f t="shared" si="108"/>
        <v/>
      </c>
    </row>
    <row r="1511" spans="8:11" x14ac:dyDescent="0.25">
      <c r="H1511" s="394" t="str">
        <f t="shared" si="105"/>
        <v/>
      </c>
      <c r="I1511" s="394" t="str">
        <f t="shared" si="106"/>
        <v/>
      </c>
      <c r="J1511" s="394" t="str">
        <f t="shared" si="107"/>
        <v/>
      </c>
      <c r="K1511" s="394" t="str">
        <f t="shared" si="108"/>
        <v/>
      </c>
    </row>
    <row r="1512" spans="8:11" x14ac:dyDescent="0.25">
      <c r="H1512" s="394" t="str">
        <f t="shared" si="105"/>
        <v/>
      </c>
      <c r="I1512" s="394" t="str">
        <f t="shared" si="106"/>
        <v/>
      </c>
      <c r="J1512" s="394" t="str">
        <f t="shared" si="107"/>
        <v/>
      </c>
      <c r="K1512" s="394" t="str">
        <f t="shared" si="108"/>
        <v/>
      </c>
    </row>
    <row r="1513" spans="8:11" x14ac:dyDescent="0.25">
      <c r="H1513" s="394" t="str">
        <f t="shared" ref="H1513:H1576" si="109">IF($C535="","",ROUND(($B$2*$F535*($B$5/1000))/$B$6,2))</f>
        <v/>
      </c>
      <c r="I1513" s="394" t="str">
        <f t="shared" ref="I1513:I1576" si="110">IF($C535="","",ROUND(($B$3*$F535*($B$5/1000))/$B$6,2))</f>
        <v/>
      </c>
      <c r="J1513" s="394" t="str">
        <f t="shared" ref="J1513:J1576" si="111">IF(OR($C535="",$B$9="",$B$15=""),"",ROUND(((((IF($B$15="N/A",$B$2,$B$4))*$F535*($B$5/1000))+((($G535/1000)*($B$5/1000)*10.7639104)*(IF($B$9="Smooth",$B$10,IF($B$9="Sand",$B$11,0)))))*(1+$B$17))/$B$8,2))</f>
        <v/>
      </c>
      <c r="K1513" s="394" t="str">
        <f t="shared" ref="K1513:K1576" si="112">IF(OR($C535="",$B$12="",$B$15=""),"",ROUND(((((IF($B$15="N/A",$B$2,$B$4))*$F535*($B$5/1000))+((($G535/1000)*($B$5/1000)*10.7639104)*(IF($B$12="Indoor",$B$13,IF($B$12="Outdoor",$B$14,0)))))*(1+$B$17))/$B$8,2))</f>
        <v/>
      </c>
    </row>
    <row r="1514" spans="8:11" x14ac:dyDescent="0.25">
      <c r="H1514" s="394" t="str">
        <f t="shared" si="109"/>
        <v/>
      </c>
      <c r="I1514" s="394" t="str">
        <f t="shared" si="110"/>
        <v/>
      </c>
      <c r="J1514" s="394" t="str">
        <f t="shared" si="111"/>
        <v/>
      </c>
      <c r="K1514" s="394" t="str">
        <f t="shared" si="112"/>
        <v/>
      </c>
    </row>
    <row r="1515" spans="8:11" x14ac:dyDescent="0.25">
      <c r="H1515" s="394" t="str">
        <f t="shared" si="109"/>
        <v/>
      </c>
      <c r="I1515" s="394" t="str">
        <f t="shared" si="110"/>
        <v/>
      </c>
      <c r="J1515" s="394" t="str">
        <f t="shared" si="111"/>
        <v/>
      </c>
      <c r="K1515" s="394" t="str">
        <f t="shared" si="112"/>
        <v/>
      </c>
    </row>
    <row r="1516" spans="8:11" x14ac:dyDescent="0.25">
      <c r="H1516" s="394" t="str">
        <f t="shared" si="109"/>
        <v/>
      </c>
      <c r="I1516" s="394" t="str">
        <f t="shared" si="110"/>
        <v/>
      </c>
      <c r="J1516" s="394" t="str">
        <f t="shared" si="111"/>
        <v/>
      </c>
      <c r="K1516" s="394" t="str">
        <f t="shared" si="112"/>
        <v/>
      </c>
    </row>
    <row r="1517" spans="8:11" x14ac:dyDescent="0.25">
      <c r="H1517" s="394" t="str">
        <f t="shared" si="109"/>
        <v/>
      </c>
      <c r="I1517" s="394" t="str">
        <f t="shared" si="110"/>
        <v/>
      </c>
      <c r="J1517" s="394" t="str">
        <f t="shared" si="111"/>
        <v/>
      </c>
      <c r="K1517" s="394" t="str">
        <f t="shared" si="112"/>
        <v/>
      </c>
    </row>
    <row r="1518" spans="8:11" x14ac:dyDescent="0.25">
      <c r="H1518" s="394" t="str">
        <f t="shared" si="109"/>
        <v/>
      </c>
      <c r="I1518" s="394" t="str">
        <f t="shared" si="110"/>
        <v/>
      </c>
      <c r="J1518" s="394" t="str">
        <f t="shared" si="111"/>
        <v/>
      </c>
      <c r="K1518" s="394" t="str">
        <f t="shared" si="112"/>
        <v/>
      </c>
    </row>
    <row r="1519" spans="8:11" x14ac:dyDescent="0.25">
      <c r="H1519" s="394" t="str">
        <f t="shared" si="109"/>
        <v/>
      </c>
      <c r="I1519" s="394" t="str">
        <f t="shared" si="110"/>
        <v/>
      </c>
      <c r="J1519" s="394" t="str">
        <f t="shared" si="111"/>
        <v/>
      </c>
      <c r="K1519" s="394" t="str">
        <f t="shared" si="112"/>
        <v/>
      </c>
    </row>
    <row r="1520" spans="8:11" x14ac:dyDescent="0.25">
      <c r="H1520" s="394" t="str">
        <f t="shared" si="109"/>
        <v/>
      </c>
      <c r="I1520" s="394" t="str">
        <f t="shared" si="110"/>
        <v/>
      </c>
      <c r="J1520" s="394" t="str">
        <f t="shared" si="111"/>
        <v/>
      </c>
      <c r="K1520" s="394" t="str">
        <f t="shared" si="112"/>
        <v/>
      </c>
    </row>
    <row r="1521" spans="8:11" x14ac:dyDescent="0.25">
      <c r="H1521" s="394" t="str">
        <f t="shared" si="109"/>
        <v/>
      </c>
      <c r="I1521" s="394" t="str">
        <f t="shared" si="110"/>
        <v/>
      </c>
      <c r="J1521" s="394" t="str">
        <f t="shared" si="111"/>
        <v/>
      </c>
      <c r="K1521" s="394" t="str">
        <f t="shared" si="112"/>
        <v/>
      </c>
    </row>
    <row r="1522" spans="8:11" x14ac:dyDescent="0.25">
      <c r="H1522" s="394" t="str">
        <f t="shared" si="109"/>
        <v/>
      </c>
      <c r="I1522" s="394" t="str">
        <f t="shared" si="110"/>
        <v/>
      </c>
      <c r="J1522" s="394" t="str">
        <f t="shared" si="111"/>
        <v/>
      </c>
      <c r="K1522" s="394" t="str">
        <f t="shared" si="112"/>
        <v/>
      </c>
    </row>
    <row r="1523" spans="8:11" x14ac:dyDescent="0.25">
      <c r="H1523" s="394" t="str">
        <f t="shared" si="109"/>
        <v/>
      </c>
      <c r="I1523" s="394" t="str">
        <f t="shared" si="110"/>
        <v/>
      </c>
      <c r="J1523" s="394" t="str">
        <f t="shared" si="111"/>
        <v/>
      </c>
      <c r="K1523" s="394" t="str">
        <f t="shared" si="112"/>
        <v/>
      </c>
    </row>
    <row r="1524" spans="8:11" x14ac:dyDescent="0.25">
      <c r="H1524" s="394" t="str">
        <f t="shared" si="109"/>
        <v/>
      </c>
      <c r="I1524" s="394" t="str">
        <f t="shared" si="110"/>
        <v/>
      </c>
      <c r="J1524" s="394" t="str">
        <f t="shared" si="111"/>
        <v/>
      </c>
      <c r="K1524" s="394" t="str">
        <f t="shared" si="112"/>
        <v/>
      </c>
    </row>
    <row r="1525" spans="8:11" x14ac:dyDescent="0.25">
      <c r="H1525" s="394" t="str">
        <f t="shared" si="109"/>
        <v/>
      </c>
      <c r="I1525" s="394" t="str">
        <f t="shared" si="110"/>
        <v/>
      </c>
      <c r="J1525" s="394" t="str">
        <f t="shared" si="111"/>
        <v/>
      </c>
      <c r="K1525" s="394" t="str">
        <f t="shared" si="112"/>
        <v/>
      </c>
    </row>
    <row r="1526" spans="8:11" x14ac:dyDescent="0.25">
      <c r="H1526" s="394" t="str">
        <f t="shared" si="109"/>
        <v/>
      </c>
      <c r="I1526" s="394" t="str">
        <f t="shared" si="110"/>
        <v/>
      </c>
      <c r="J1526" s="394" t="str">
        <f t="shared" si="111"/>
        <v/>
      </c>
      <c r="K1526" s="394" t="str">
        <f t="shared" si="112"/>
        <v/>
      </c>
    </row>
    <row r="1527" spans="8:11" x14ac:dyDescent="0.25">
      <c r="H1527" s="394" t="str">
        <f t="shared" si="109"/>
        <v/>
      </c>
      <c r="I1527" s="394" t="str">
        <f t="shared" si="110"/>
        <v/>
      </c>
      <c r="J1527" s="394" t="str">
        <f t="shared" si="111"/>
        <v/>
      </c>
      <c r="K1527" s="394" t="str">
        <f t="shared" si="112"/>
        <v/>
      </c>
    </row>
    <row r="1528" spans="8:11" x14ac:dyDescent="0.25">
      <c r="H1528" s="394" t="str">
        <f t="shared" si="109"/>
        <v/>
      </c>
      <c r="I1528" s="394" t="str">
        <f t="shared" si="110"/>
        <v/>
      </c>
      <c r="J1528" s="394" t="str">
        <f t="shared" si="111"/>
        <v/>
      </c>
      <c r="K1528" s="394" t="str">
        <f t="shared" si="112"/>
        <v/>
      </c>
    </row>
    <row r="1529" spans="8:11" x14ac:dyDescent="0.25">
      <c r="H1529" s="394" t="str">
        <f t="shared" si="109"/>
        <v/>
      </c>
      <c r="I1529" s="394" t="str">
        <f t="shared" si="110"/>
        <v/>
      </c>
      <c r="J1529" s="394" t="str">
        <f t="shared" si="111"/>
        <v/>
      </c>
      <c r="K1529" s="394" t="str">
        <f t="shared" si="112"/>
        <v/>
      </c>
    </row>
    <row r="1530" spans="8:11" x14ac:dyDescent="0.25">
      <c r="H1530" s="394" t="str">
        <f t="shared" si="109"/>
        <v/>
      </c>
      <c r="I1530" s="394" t="str">
        <f t="shared" si="110"/>
        <v/>
      </c>
      <c r="J1530" s="394" t="str">
        <f t="shared" si="111"/>
        <v/>
      </c>
      <c r="K1530" s="394" t="str">
        <f t="shared" si="112"/>
        <v/>
      </c>
    </row>
    <row r="1531" spans="8:11" x14ac:dyDescent="0.25">
      <c r="H1531" s="394" t="str">
        <f t="shared" si="109"/>
        <v/>
      </c>
      <c r="I1531" s="394" t="str">
        <f t="shared" si="110"/>
        <v/>
      </c>
      <c r="J1531" s="394" t="str">
        <f t="shared" si="111"/>
        <v/>
      </c>
      <c r="K1531" s="394" t="str">
        <f t="shared" si="112"/>
        <v/>
      </c>
    </row>
    <row r="1532" spans="8:11" x14ac:dyDescent="0.25">
      <c r="H1532" s="394" t="str">
        <f t="shared" si="109"/>
        <v/>
      </c>
      <c r="I1532" s="394" t="str">
        <f t="shared" si="110"/>
        <v/>
      </c>
      <c r="J1532" s="394" t="str">
        <f t="shared" si="111"/>
        <v/>
      </c>
      <c r="K1532" s="394" t="str">
        <f t="shared" si="112"/>
        <v/>
      </c>
    </row>
    <row r="1533" spans="8:11" x14ac:dyDescent="0.25">
      <c r="H1533" s="394" t="str">
        <f t="shared" si="109"/>
        <v/>
      </c>
      <c r="I1533" s="394" t="str">
        <f t="shared" si="110"/>
        <v/>
      </c>
      <c r="J1533" s="394" t="str">
        <f t="shared" si="111"/>
        <v/>
      </c>
      <c r="K1533" s="394" t="str">
        <f t="shared" si="112"/>
        <v/>
      </c>
    </row>
    <row r="1534" spans="8:11" x14ac:dyDescent="0.25">
      <c r="H1534" s="394" t="str">
        <f t="shared" si="109"/>
        <v/>
      </c>
      <c r="I1534" s="394" t="str">
        <f t="shared" si="110"/>
        <v/>
      </c>
      <c r="J1534" s="394" t="str">
        <f t="shared" si="111"/>
        <v/>
      </c>
      <c r="K1534" s="394" t="str">
        <f t="shared" si="112"/>
        <v/>
      </c>
    </row>
    <row r="1535" spans="8:11" x14ac:dyDescent="0.25">
      <c r="H1535" s="394" t="str">
        <f t="shared" si="109"/>
        <v/>
      </c>
      <c r="I1535" s="394" t="str">
        <f t="shared" si="110"/>
        <v/>
      </c>
      <c r="J1535" s="394" t="str">
        <f t="shared" si="111"/>
        <v/>
      </c>
      <c r="K1535" s="394" t="str">
        <f t="shared" si="112"/>
        <v/>
      </c>
    </row>
    <row r="1536" spans="8:11" x14ac:dyDescent="0.25">
      <c r="H1536" s="394" t="str">
        <f t="shared" si="109"/>
        <v/>
      </c>
      <c r="I1536" s="394" t="str">
        <f t="shared" si="110"/>
        <v/>
      </c>
      <c r="J1536" s="394" t="str">
        <f t="shared" si="111"/>
        <v/>
      </c>
      <c r="K1536" s="394" t="str">
        <f t="shared" si="112"/>
        <v/>
      </c>
    </row>
    <row r="1537" spans="8:11" x14ac:dyDescent="0.25">
      <c r="H1537" s="394" t="str">
        <f t="shared" si="109"/>
        <v/>
      </c>
      <c r="I1537" s="394" t="str">
        <f t="shared" si="110"/>
        <v/>
      </c>
      <c r="J1537" s="394" t="str">
        <f t="shared" si="111"/>
        <v/>
      </c>
      <c r="K1537" s="394" t="str">
        <f t="shared" si="112"/>
        <v/>
      </c>
    </row>
    <row r="1538" spans="8:11" x14ac:dyDescent="0.25">
      <c r="H1538" s="394" t="str">
        <f t="shared" si="109"/>
        <v/>
      </c>
      <c r="I1538" s="394" t="str">
        <f t="shared" si="110"/>
        <v/>
      </c>
      <c r="J1538" s="394" t="str">
        <f t="shared" si="111"/>
        <v/>
      </c>
      <c r="K1538" s="394" t="str">
        <f t="shared" si="112"/>
        <v/>
      </c>
    </row>
    <row r="1539" spans="8:11" x14ac:dyDescent="0.25">
      <c r="H1539" s="394" t="str">
        <f t="shared" si="109"/>
        <v/>
      </c>
      <c r="I1539" s="394" t="str">
        <f t="shared" si="110"/>
        <v/>
      </c>
      <c r="J1539" s="394" t="str">
        <f t="shared" si="111"/>
        <v/>
      </c>
      <c r="K1539" s="394" t="str">
        <f t="shared" si="112"/>
        <v/>
      </c>
    </row>
    <row r="1540" spans="8:11" x14ac:dyDescent="0.25">
      <c r="H1540" s="394" t="str">
        <f t="shared" si="109"/>
        <v/>
      </c>
      <c r="I1540" s="394" t="str">
        <f t="shared" si="110"/>
        <v/>
      </c>
      <c r="J1540" s="394" t="str">
        <f t="shared" si="111"/>
        <v/>
      </c>
      <c r="K1540" s="394" t="str">
        <f t="shared" si="112"/>
        <v/>
      </c>
    </row>
    <row r="1541" spans="8:11" x14ac:dyDescent="0.25">
      <c r="H1541" s="394" t="str">
        <f t="shared" si="109"/>
        <v/>
      </c>
      <c r="I1541" s="394" t="str">
        <f t="shared" si="110"/>
        <v/>
      </c>
      <c r="J1541" s="394" t="str">
        <f t="shared" si="111"/>
        <v/>
      </c>
      <c r="K1541" s="394" t="str">
        <f t="shared" si="112"/>
        <v/>
      </c>
    </row>
    <row r="1542" spans="8:11" x14ac:dyDescent="0.25">
      <c r="H1542" s="394" t="str">
        <f t="shared" si="109"/>
        <v/>
      </c>
      <c r="I1542" s="394" t="str">
        <f t="shared" si="110"/>
        <v/>
      </c>
      <c r="J1542" s="394" t="str">
        <f t="shared" si="111"/>
        <v/>
      </c>
      <c r="K1542" s="394" t="str">
        <f t="shared" si="112"/>
        <v/>
      </c>
    </row>
    <row r="1543" spans="8:11" x14ac:dyDescent="0.25">
      <c r="H1543" s="394" t="str">
        <f t="shared" si="109"/>
        <v/>
      </c>
      <c r="I1543" s="394" t="str">
        <f t="shared" si="110"/>
        <v/>
      </c>
      <c r="J1543" s="394" t="str">
        <f t="shared" si="111"/>
        <v/>
      </c>
      <c r="K1543" s="394" t="str">
        <f t="shared" si="112"/>
        <v/>
      </c>
    </row>
    <row r="1544" spans="8:11" x14ac:dyDescent="0.25">
      <c r="H1544" s="394" t="str">
        <f t="shared" si="109"/>
        <v/>
      </c>
      <c r="I1544" s="394" t="str">
        <f t="shared" si="110"/>
        <v/>
      </c>
      <c r="J1544" s="394" t="str">
        <f t="shared" si="111"/>
        <v/>
      </c>
      <c r="K1544" s="394" t="str">
        <f t="shared" si="112"/>
        <v/>
      </c>
    </row>
    <row r="1545" spans="8:11" x14ac:dyDescent="0.25">
      <c r="H1545" s="394" t="str">
        <f t="shared" si="109"/>
        <v/>
      </c>
      <c r="I1545" s="394" t="str">
        <f t="shared" si="110"/>
        <v/>
      </c>
      <c r="J1545" s="394" t="str">
        <f t="shared" si="111"/>
        <v/>
      </c>
      <c r="K1545" s="394" t="str">
        <f t="shared" si="112"/>
        <v/>
      </c>
    </row>
    <row r="1546" spans="8:11" x14ac:dyDescent="0.25">
      <c r="H1546" s="394" t="str">
        <f t="shared" si="109"/>
        <v/>
      </c>
      <c r="I1546" s="394" t="str">
        <f t="shared" si="110"/>
        <v/>
      </c>
      <c r="J1546" s="394" t="str">
        <f t="shared" si="111"/>
        <v/>
      </c>
      <c r="K1546" s="394" t="str">
        <f t="shared" si="112"/>
        <v/>
      </c>
    </row>
    <row r="1547" spans="8:11" x14ac:dyDescent="0.25">
      <c r="H1547" s="394" t="str">
        <f t="shared" si="109"/>
        <v/>
      </c>
      <c r="I1547" s="394" t="str">
        <f t="shared" si="110"/>
        <v/>
      </c>
      <c r="J1547" s="394" t="str">
        <f t="shared" si="111"/>
        <v/>
      </c>
      <c r="K1547" s="394" t="str">
        <f t="shared" si="112"/>
        <v/>
      </c>
    </row>
    <row r="1548" spans="8:11" x14ac:dyDescent="0.25">
      <c r="H1548" s="394" t="str">
        <f t="shared" si="109"/>
        <v/>
      </c>
      <c r="I1548" s="394" t="str">
        <f t="shared" si="110"/>
        <v/>
      </c>
      <c r="J1548" s="394" t="str">
        <f t="shared" si="111"/>
        <v/>
      </c>
      <c r="K1548" s="394" t="str">
        <f t="shared" si="112"/>
        <v/>
      </c>
    </row>
    <row r="1549" spans="8:11" x14ac:dyDescent="0.25">
      <c r="H1549" s="394" t="str">
        <f t="shared" si="109"/>
        <v/>
      </c>
      <c r="I1549" s="394" t="str">
        <f t="shared" si="110"/>
        <v/>
      </c>
      <c r="J1549" s="394" t="str">
        <f t="shared" si="111"/>
        <v/>
      </c>
      <c r="K1549" s="394" t="str">
        <f t="shared" si="112"/>
        <v/>
      </c>
    </row>
    <row r="1550" spans="8:11" x14ac:dyDescent="0.25">
      <c r="H1550" s="394" t="str">
        <f t="shared" si="109"/>
        <v/>
      </c>
      <c r="I1550" s="394" t="str">
        <f t="shared" si="110"/>
        <v/>
      </c>
      <c r="J1550" s="394" t="str">
        <f t="shared" si="111"/>
        <v/>
      </c>
      <c r="K1550" s="394" t="str">
        <f t="shared" si="112"/>
        <v/>
      </c>
    </row>
    <row r="1551" spans="8:11" x14ac:dyDescent="0.25">
      <c r="H1551" s="394" t="str">
        <f t="shared" si="109"/>
        <v/>
      </c>
      <c r="I1551" s="394" t="str">
        <f t="shared" si="110"/>
        <v/>
      </c>
      <c r="J1551" s="394" t="str">
        <f t="shared" si="111"/>
        <v/>
      </c>
      <c r="K1551" s="394" t="str">
        <f t="shared" si="112"/>
        <v/>
      </c>
    </row>
    <row r="1552" spans="8:11" x14ac:dyDescent="0.25">
      <c r="H1552" s="394" t="str">
        <f t="shared" si="109"/>
        <v/>
      </c>
      <c r="I1552" s="394" t="str">
        <f t="shared" si="110"/>
        <v/>
      </c>
      <c r="J1552" s="394" t="str">
        <f t="shared" si="111"/>
        <v/>
      </c>
      <c r="K1552" s="394" t="str">
        <f t="shared" si="112"/>
        <v/>
      </c>
    </row>
    <row r="1553" spans="8:11" x14ac:dyDescent="0.25">
      <c r="H1553" s="394" t="str">
        <f t="shared" si="109"/>
        <v/>
      </c>
      <c r="I1553" s="394" t="str">
        <f t="shared" si="110"/>
        <v/>
      </c>
      <c r="J1553" s="394" t="str">
        <f t="shared" si="111"/>
        <v/>
      </c>
      <c r="K1553" s="394" t="str">
        <f t="shared" si="112"/>
        <v/>
      </c>
    </row>
    <row r="1554" spans="8:11" x14ac:dyDescent="0.25">
      <c r="H1554" s="394" t="str">
        <f t="shared" si="109"/>
        <v/>
      </c>
      <c r="I1554" s="394" t="str">
        <f t="shared" si="110"/>
        <v/>
      </c>
      <c r="J1554" s="394" t="str">
        <f t="shared" si="111"/>
        <v/>
      </c>
      <c r="K1554" s="394" t="str">
        <f t="shared" si="112"/>
        <v/>
      </c>
    </row>
    <row r="1555" spans="8:11" x14ac:dyDescent="0.25">
      <c r="H1555" s="394" t="str">
        <f t="shared" si="109"/>
        <v/>
      </c>
      <c r="I1555" s="394" t="str">
        <f t="shared" si="110"/>
        <v/>
      </c>
      <c r="J1555" s="394" t="str">
        <f t="shared" si="111"/>
        <v/>
      </c>
      <c r="K1555" s="394" t="str">
        <f t="shared" si="112"/>
        <v/>
      </c>
    </row>
    <row r="1556" spans="8:11" x14ac:dyDescent="0.25">
      <c r="H1556" s="394" t="str">
        <f t="shared" si="109"/>
        <v/>
      </c>
      <c r="I1556" s="394" t="str">
        <f t="shared" si="110"/>
        <v/>
      </c>
      <c r="J1556" s="394" t="str">
        <f t="shared" si="111"/>
        <v/>
      </c>
      <c r="K1556" s="394" t="str">
        <f t="shared" si="112"/>
        <v/>
      </c>
    </row>
    <row r="1557" spans="8:11" x14ac:dyDescent="0.25">
      <c r="H1557" s="394" t="str">
        <f t="shared" si="109"/>
        <v/>
      </c>
      <c r="I1557" s="394" t="str">
        <f t="shared" si="110"/>
        <v/>
      </c>
      <c r="J1557" s="394" t="str">
        <f t="shared" si="111"/>
        <v/>
      </c>
      <c r="K1557" s="394" t="str">
        <f t="shared" si="112"/>
        <v/>
      </c>
    </row>
    <row r="1558" spans="8:11" x14ac:dyDescent="0.25">
      <c r="H1558" s="394" t="str">
        <f t="shared" si="109"/>
        <v/>
      </c>
      <c r="I1558" s="394" t="str">
        <f t="shared" si="110"/>
        <v/>
      </c>
      <c r="J1558" s="394" t="str">
        <f t="shared" si="111"/>
        <v/>
      </c>
      <c r="K1558" s="394" t="str">
        <f t="shared" si="112"/>
        <v/>
      </c>
    </row>
    <row r="1559" spans="8:11" x14ac:dyDescent="0.25">
      <c r="H1559" s="394" t="str">
        <f t="shared" si="109"/>
        <v/>
      </c>
      <c r="I1559" s="394" t="str">
        <f t="shared" si="110"/>
        <v/>
      </c>
      <c r="J1559" s="394" t="str">
        <f t="shared" si="111"/>
        <v/>
      </c>
      <c r="K1559" s="394" t="str">
        <f t="shared" si="112"/>
        <v/>
      </c>
    </row>
    <row r="1560" spans="8:11" x14ac:dyDescent="0.25">
      <c r="H1560" s="394" t="str">
        <f t="shared" si="109"/>
        <v/>
      </c>
      <c r="I1560" s="394" t="str">
        <f t="shared" si="110"/>
        <v/>
      </c>
      <c r="J1560" s="394" t="str">
        <f t="shared" si="111"/>
        <v/>
      </c>
      <c r="K1560" s="394" t="str">
        <f t="shared" si="112"/>
        <v/>
      </c>
    </row>
    <row r="1561" spans="8:11" x14ac:dyDescent="0.25">
      <c r="H1561" s="394" t="str">
        <f t="shared" si="109"/>
        <v/>
      </c>
      <c r="I1561" s="394" t="str">
        <f t="shared" si="110"/>
        <v/>
      </c>
      <c r="J1561" s="394" t="str">
        <f t="shared" si="111"/>
        <v/>
      </c>
      <c r="K1561" s="394" t="str">
        <f t="shared" si="112"/>
        <v/>
      </c>
    </row>
    <row r="1562" spans="8:11" x14ac:dyDescent="0.25">
      <c r="H1562" s="394" t="str">
        <f t="shared" si="109"/>
        <v/>
      </c>
      <c r="I1562" s="394" t="str">
        <f t="shared" si="110"/>
        <v/>
      </c>
      <c r="J1562" s="394" t="str">
        <f t="shared" si="111"/>
        <v/>
      </c>
      <c r="K1562" s="394" t="str">
        <f t="shared" si="112"/>
        <v/>
      </c>
    </row>
    <row r="1563" spans="8:11" x14ac:dyDescent="0.25">
      <c r="H1563" s="394" t="str">
        <f t="shared" si="109"/>
        <v/>
      </c>
      <c r="I1563" s="394" t="str">
        <f t="shared" si="110"/>
        <v/>
      </c>
      <c r="J1563" s="394" t="str">
        <f t="shared" si="111"/>
        <v/>
      </c>
      <c r="K1563" s="394" t="str">
        <f t="shared" si="112"/>
        <v/>
      </c>
    </row>
    <row r="1564" spans="8:11" x14ac:dyDescent="0.25">
      <c r="H1564" s="394" t="str">
        <f t="shared" si="109"/>
        <v/>
      </c>
      <c r="I1564" s="394" t="str">
        <f t="shared" si="110"/>
        <v/>
      </c>
      <c r="J1564" s="394" t="str">
        <f t="shared" si="111"/>
        <v/>
      </c>
      <c r="K1564" s="394" t="str">
        <f t="shared" si="112"/>
        <v/>
      </c>
    </row>
    <row r="1565" spans="8:11" x14ac:dyDescent="0.25">
      <c r="H1565" s="394" t="str">
        <f t="shared" si="109"/>
        <v/>
      </c>
      <c r="I1565" s="394" t="str">
        <f t="shared" si="110"/>
        <v/>
      </c>
      <c r="J1565" s="394" t="str">
        <f t="shared" si="111"/>
        <v/>
      </c>
      <c r="K1565" s="394" t="str">
        <f t="shared" si="112"/>
        <v/>
      </c>
    </row>
    <row r="1566" spans="8:11" x14ac:dyDescent="0.25">
      <c r="H1566" s="394" t="str">
        <f t="shared" si="109"/>
        <v/>
      </c>
      <c r="I1566" s="394" t="str">
        <f t="shared" si="110"/>
        <v/>
      </c>
      <c r="J1566" s="394" t="str">
        <f t="shared" si="111"/>
        <v/>
      </c>
      <c r="K1566" s="394" t="str">
        <f t="shared" si="112"/>
        <v/>
      </c>
    </row>
    <row r="1567" spans="8:11" x14ac:dyDescent="0.25">
      <c r="H1567" s="394" t="str">
        <f t="shared" si="109"/>
        <v/>
      </c>
      <c r="I1567" s="394" t="str">
        <f t="shared" si="110"/>
        <v/>
      </c>
      <c r="J1567" s="394" t="str">
        <f t="shared" si="111"/>
        <v/>
      </c>
      <c r="K1567" s="394" t="str">
        <f t="shared" si="112"/>
        <v/>
      </c>
    </row>
    <row r="1568" spans="8:11" x14ac:dyDescent="0.25">
      <c r="H1568" s="394" t="str">
        <f t="shared" si="109"/>
        <v/>
      </c>
      <c r="I1568" s="394" t="str">
        <f t="shared" si="110"/>
        <v/>
      </c>
      <c r="J1568" s="394" t="str">
        <f t="shared" si="111"/>
        <v/>
      </c>
      <c r="K1568" s="394" t="str">
        <f t="shared" si="112"/>
        <v/>
      </c>
    </row>
    <row r="1569" spans="8:11" x14ac:dyDescent="0.25">
      <c r="H1569" s="394" t="str">
        <f t="shared" si="109"/>
        <v/>
      </c>
      <c r="I1569" s="394" t="str">
        <f t="shared" si="110"/>
        <v/>
      </c>
      <c r="J1569" s="394" t="str">
        <f t="shared" si="111"/>
        <v/>
      </c>
      <c r="K1569" s="394" t="str">
        <f t="shared" si="112"/>
        <v/>
      </c>
    </row>
    <row r="1570" spans="8:11" x14ac:dyDescent="0.25">
      <c r="H1570" s="394" t="str">
        <f t="shared" si="109"/>
        <v/>
      </c>
      <c r="I1570" s="394" t="str">
        <f t="shared" si="110"/>
        <v/>
      </c>
      <c r="J1570" s="394" t="str">
        <f t="shared" si="111"/>
        <v/>
      </c>
      <c r="K1570" s="394" t="str">
        <f t="shared" si="112"/>
        <v/>
      </c>
    </row>
    <row r="1571" spans="8:11" x14ac:dyDescent="0.25">
      <c r="H1571" s="394" t="str">
        <f t="shared" si="109"/>
        <v/>
      </c>
      <c r="I1571" s="394" t="str">
        <f t="shared" si="110"/>
        <v/>
      </c>
      <c r="J1571" s="394" t="str">
        <f t="shared" si="111"/>
        <v/>
      </c>
      <c r="K1571" s="394" t="str">
        <f t="shared" si="112"/>
        <v/>
      </c>
    </row>
    <row r="1572" spans="8:11" x14ac:dyDescent="0.25">
      <c r="H1572" s="394" t="str">
        <f t="shared" si="109"/>
        <v/>
      </c>
      <c r="I1572" s="394" t="str">
        <f t="shared" si="110"/>
        <v/>
      </c>
      <c r="J1572" s="394" t="str">
        <f t="shared" si="111"/>
        <v/>
      </c>
      <c r="K1572" s="394" t="str">
        <f t="shared" si="112"/>
        <v/>
      </c>
    </row>
    <row r="1573" spans="8:11" x14ac:dyDescent="0.25">
      <c r="H1573" s="394" t="str">
        <f t="shared" si="109"/>
        <v/>
      </c>
      <c r="I1573" s="394" t="str">
        <f t="shared" si="110"/>
        <v/>
      </c>
      <c r="J1573" s="394" t="str">
        <f t="shared" si="111"/>
        <v/>
      </c>
      <c r="K1573" s="394" t="str">
        <f t="shared" si="112"/>
        <v/>
      </c>
    </row>
    <row r="1574" spans="8:11" x14ac:dyDescent="0.25">
      <c r="H1574" s="394" t="str">
        <f t="shared" si="109"/>
        <v/>
      </c>
      <c r="I1574" s="394" t="str">
        <f t="shared" si="110"/>
        <v/>
      </c>
      <c r="J1574" s="394" t="str">
        <f t="shared" si="111"/>
        <v/>
      </c>
      <c r="K1574" s="394" t="str">
        <f t="shared" si="112"/>
        <v/>
      </c>
    </row>
    <row r="1575" spans="8:11" x14ac:dyDescent="0.25">
      <c r="H1575" s="394" t="str">
        <f t="shared" si="109"/>
        <v/>
      </c>
      <c r="I1575" s="394" t="str">
        <f t="shared" si="110"/>
        <v/>
      </c>
      <c r="J1575" s="394" t="str">
        <f t="shared" si="111"/>
        <v/>
      </c>
      <c r="K1575" s="394" t="str">
        <f t="shared" si="112"/>
        <v/>
      </c>
    </row>
    <row r="1576" spans="8:11" x14ac:dyDescent="0.25">
      <c r="H1576" s="394" t="str">
        <f t="shared" si="109"/>
        <v/>
      </c>
      <c r="I1576" s="394" t="str">
        <f t="shared" si="110"/>
        <v/>
      </c>
      <c r="J1576" s="394" t="str">
        <f t="shared" si="111"/>
        <v/>
      </c>
      <c r="K1576" s="394" t="str">
        <f t="shared" si="112"/>
        <v/>
      </c>
    </row>
    <row r="1577" spans="8:11" x14ac:dyDescent="0.25">
      <c r="H1577" s="394" t="str">
        <f t="shared" ref="H1577:H1640" si="113">IF($C599="","",ROUND(($B$2*$F599*($B$5/1000))/$B$6,2))</f>
        <v/>
      </c>
      <c r="I1577" s="394" t="str">
        <f t="shared" ref="I1577:I1640" si="114">IF($C599="","",ROUND(($B$3*$F599*($B$5/1000))/$B$6,2))</f>
        <v/>
      </c>
      <c r="J1577" s="394" t="str">
        <f t="shared" ref="J1577:J1640" si="115">IF(OR($C599="",$B$9="",$B$15=""),"",ROUND(((((IF($B$15="N/A",$B$2,$B$4))*$F599*($B$5/1000))+((($G599/1000)*($B$5/1000)*10.7639104)*(IF($B$9="Smooth",$B$10,IF($B$9="Sand",$B$11,0)))))*(1+$B$17))/$B$8,2))</f>
        <v/>
      </c>
      <c r="K1577" s="394" t="str">
        <f t="shared" ref="K1577:K1640" si="116">IF(OR($C599="",$B$12="",$B$15=""),"",ROUND(((((IF($B$15="N/A",$B$2,$B$4))*$F599*($B$5/1000))+((($G599/1000)*($B$5/1000)*10.7639104)*(IF($B$12="Indoor",$B$13,IF($B$12="Outdoor",$B$14,0)))))*(1+$B$17))/$B$8,2))</f>
        <v/>
      </c>
    </row>
    <row r="1578" spans="8:11" x14ac:dyDescent="0.25">
      <c r="H1578" s="394" t="str">
        <f t="shared" si="113"/>
        <v/>
      </c>
      <c r="I1578" s="394" t="str">
        <f t="shared" si="114"/>
        <v/>
      </c>
      <c r="J1578" s="394" t="str">
        <f t="shared" si="115"/>
        <v/>
      </c>
      <c r="K1578" s="394" t="str">
        <f t="shared" si="116"/>
        <v/>
      </c>
    </row>
    <row r="1579" spans="8:11" x14ac:dyDescent="0.25">
      <c r="H1579" s="394" t="str">
        <f t="shared" si="113"/>
        <v/>
      </c>
      <c r="I1579" s="394" t="str">
        <f t="shared" si="114"/>
        <v/>
      </c>
      <c r="J1579" s="394" t="str">
        <f t="shared" si="115"/>
        <v/>
      </c>
      <c r="K1579" s="394" t="str">
        <f t="shared" si="116"/>
        <v/>
      </c>
    </row>
    <row r="1580" spans="8:11" x14ac:dyDescent="0.25">
      <c r="H1580" s="394" t="str">
        <f t="shared" si="113"/>
        <v/>
      </c>
      <c r="I1580" s="394" t="str">
        <f t="shared" si="114"/>
        <v/>
      </c>
      <c r="J1580" s="394" t="str">
        <f t="shared" si="115"/>
        <v/>
      </c>
      <c r="K1580" s="394" t="str">
        <f t="shared" si="116"/>
        <v/>
      </c>
    </row>
    <row r="1581" spans="8:11" x14ac:dyDescent="0.25">
      <c r="H1581" s="394" t="str">
        <f t="shared" si="113"/>
        <v/>
      </c>
      <c r="I1581" s="394" t="str">
        <f t="shared" si="114"/>
        <v/>
      </c>
      <c r="J1581" s="394" t="str">
        <f t="shared" si="115"/>
        <v/>
      </c>
      <c r="K1581" s="394" t="str">
        <f t="shared" si="116"/>
        <v/>
      </c>
    </row>
    <row r="1582" spans="8:11" x14ac:dyDescent="0.25">
      <c r="H1582" s="394" t="str">
        <f t="shared" si="113"/>
        <v/>
      </c>
      <c r="I1582" s="394" t="str">
        <f t="shared" si="114"/>
        <v/>
      </c>
      <c r="J1582" s="394" t="str">
        <f t="shared" si="115"/>
        <v/>
      </c>
      <c r="K1582" s="394" t="str">
        <f t="shared" si="116"/>
        <v/>
      </c>
    </row>
    <row r="1583" spans="8:11" x14ac:dyDescent="0.25">
      <c r="H1583" s="394" t="str">
        <f t="shared" si="113"/>
        <v/>
      </c>
      <c r="I1583" s="394" t="str">
        <f t="shared" si="114"/>
        <v/>
      </c>
      <c r="J1583" s="394" t="str">
        <f t="shared" si="115"/>
        <v/>
      </c>
      <c r="K1583" s="394" t="str">
        <f t="shared" si="116"/>
        <v/>
      </c>
    </row>
    <row r="1584" spans="8:11" x14ac:dyDescent="0.25">
      <c r="H1584" s="394" t="str">
        <f t="shared" si="113"/>
        <v/>
      </c>
      <c r="I1584" s="394" t="str">
        <f t="shared" si="114"/>
        <v/>
      </c>
      <c r="J1584" s="394" t="str">
        <f t="shared" si="115"/>
        <v/>
      </c>
      <c r="K1584" s="394" t="str">
        <f t="shared" si="116"/>
        <v/>
      </c>
    </row>
    <row r="1585" spans="8:11" x14ac:dyDescent="0.25">
      <c r="H1585" s="394" t="str">
        <f t="shared" si="113"/>
        <v/>
      </c>
      <c r="I1585" s="394" t="str">
        <f t="shared" si="114"/>
        <v/>
      </c>
      <c r="J1585" s="394" t="str">
        <f t="shared" si="115"/>
        <v/>
      </c>
      <c r="K1585" s="394" t="str">
        <f t="shared" si="116"/>
        <v/>
      </c>
    </row>
    <row r="1586" spans="8:11" x14ac:dyDescent="0.25">
      <c r="H1586" s="394" t="str">
        <f t="shared" si="113"/>
        <v/>
      </c>
      <c r="I1586" s="394" t="str">
        <f t="shared" si="114"/>
        <v/>
      </c>
      <c r="J1586" s="394" t="str">
        <f t="shared" si="115"/>
        <v/>
      </c>
      <c r="K1586" s="394" t="str">
        <f t="shared" si="116"/>
        <v/>
      </c>
    </row>
    <row r="1587" spans="8:11" x14ac:dyDescent="0.25">
      <c r="H1587" s="394" t="str">
        <f t="shared" si="113"/>
        <v/>
      </c>
      <c r="I1587" s="394" t="str">
        <f t="shared" si="114"/>
        <v/>
      </c>
      <c r="J1587" s="394" t="str">
        <f t="shared" si="115"/>
        <v/>
      </c>
      <c r="K1587" s="394" t="str">
        <f t="shared" si="116"/>
        <v/>
      </c>
    </row>
    <row r="1588" spans="8:11" x14ac:dyDescent="0.25">
      <c r="H1588" s="394" t="str">
        <f t="shared" si="113"/>
        <v/>
      </c>
      <c r="I1588" s="394" t="str">
        <f t="shared" si="114"/>
        <v/>
      </c>
      <c r="J1588" s="394" t="str">
        <f t="shared" si="115"/>
        <v/>
      </c>
      <c r="K1588" s="394" t="str">
        <f t="shared" si="116"/>
        <v/>
      </c>
    </row>
    <row r="1589" spans="8:11" x14ac:dyDescent="0.25">
      <c r="H1589" s="394" t="str">
        <f t="shared" si="113"/>
        <v/>
      </c>
      <c r="I1589" s="394" t="str">
        <f t="shared" si="114"/>
        <v/>
      </c>
      <c r="J1589" s="394" t="str">
        <f t="shared" si="115"/>
        <v/>
      </c>
      <c r="K1589" s="394" t="str">
        <f t="shared" si="116"/>
        <v/>
      </c>
    </row>
    <row r="1590" spans="8:11" x14ac:dyDescent="0.25">
      <c r="H1590" s="394" t="str">
        <f t="shared" si="113"/>
        <v/>
      </c>
      <c r="I1590" s="394" t="str">
        <f t="shared" si="114"/>
        <v/>
      </c>
      <c r="J1590" s="394" t="str">
        <f t="shared" si="115"/>
        <v/>
      </c>
      <c r="K1590" s="394" t="str">
        <f t="shared" si="116"/>
        <v/>
      </c>
    </row>
    <row r="1591" spans="8:11" x14ac:dyDescent="0.25">
      <c r="H1591" s="394" t="str">
        <f t="shared" si="113"/>
        <v/>
      </c>
      <c r="I1591" s="394" t="str">
        <f t="shared" si="114"/>
        <v/>
      </c>
      <c r="J1591" s="394" t="str">
        <f t="shared" si="115"/>
        <v/>
      </c>
      <c r="K1591" s="394" t="str">
        <f t="shared" si="116"/>
        <v/>
      </c>
    </row>
    <row r="1592" spans="8:11" x14ac:dyDescent="0.25">
      <c r="H1592" s="394" t="str">
        <f t="shared" si="113"/>
        <v/>
      </c>
      <c r="I1592" s="394" t="str">
        <f t="shared" si="114"/>
        <v/>
      </c>
      <c r="J1592" s="394" t="str">
        <f t="shared" si="115"/>
        <v/>
      </c>
      <c r="K1592" s="394" t="str">
        <f t="shared" si="116"/>
        <v/>
      </c>
    </row>
    <row r="1593" spans="8:11" x14ac:dyDescent="0.25">
      <c r="H1593" s="394" t="str">
        <f t="shared" si="113"/>
        <v/>
      </c>
      <c r="I1593" s="394" t="str">
        <f t="shared" si="114"/>
        <v/>
      </c>
      <c r="J1593" s="394" t="str">
        <f t="shared" si="115"/>
        <v/>
      </c>
      <c r="K1593" s="394" t="str">
        <f t="shared" si="116"/>
        <v/>
      </c>
    </row>
    <row r="1594" spans="8:11" x14ac:dyDescent="0.25">
      <c r="H1594" s="394" t="str">
        <f t="shared" si="113"/>
        <v/>
      </c>
      <c r="I1594" s="394" t="str">
        <f t="shared" si="114"/>
        <v/>
      </c>
      <c r="J1594" s="394" t="str">
        <f t="shared" si="115"/>
        <v/>
      </c>
      <c r="K1594" s="394" t="str">
        <f t="shared" si="116"/>
        <v/>
      </c>
    </row>
    <row r="1595" spans="8:11" x14ac:dyDescent="0.25">
      <c r="H1595" s="394" t="str">
        <f t="shared" si="113"/>
        <v/>
      </c>
      <c r="I1595" s="394" t="str">
        <f t="shared" si="114"/>
        <v/>
      </c>
      <c r="J1595" s="394" t="str">
        <f t="shared" si="115"/>
        <v/>
      </c>
      <c r="K1595" s="394" t="str">
        <f t="shared" si="116"/>
        <v/>
      </c>
    </row>
    <row r="1596" spans="8:11" x14ac:dyDescent="0.25">
      <c r="H1596" s="394" t="str">
        <f t="shared" si="113"/>
        <v/>
      </c>
      <c r="I1596" s="394" t="str">
        <f t="shared" si="114"/>
        <v/>
      </c>
      <c r="J1596" s="394" t="str">
        <f t="shared" si="115"/>
        <v/>
      </c>
      <c r="K1596" s="394" t="str">
        <f t="shared" si="116"/>
        <v/>
      </c>
    </row>
    <row r="1597" spans="8:11" x14ac:dyDescent="0.25">
      <c r="H1597" s="394" t="str">
        <f t="shared" si="113"/>
        <v/>
      </c>
      <c r="I1597" s="394" t="str">
        <f t="shared" si="114"/>
        <v/>
      </c>
      <c r="J1597" s="394" t="str">
        <f t="shared" si="115"/>
        <v/>
      </c>
      <c r="K1597" s="394" t="str">
        <f t="shared" si="116"/>
        <v/>
      </c>
    </row>
    <row r="1598" spans="8:11" x14ac:dyDescent="0.25">
      <c r="H1598" s="394" t="str">
        <f t="shared" si="113"/>
        <v/>
      </c>
      <c r="I1598" s="394" t="str">
        <f t="shared" si="114"/>
        <v/>
      </c>
      <c r="J1598" s="394" t="str">
        <f t="shared" si="115"/>
        <v/>
      </c>
      <c r="K1598" s="394" t="str">
        <f t="shared" si="116"/>
        <v/>
      </c>
    </row>
    <row r="1599" spans="8:11" x14ac:dyDescent="0.25">
      <c r="H1599" s="394" t="str">
        <f t="shared" si="113"/>
        <v/>
      </c>
      <c r="I1599" s="394" t="str">
        <f t="shared" si="114"/>
        <v/>
      </c>
      <c r="J1599" s="394" t="str">
        <f t="shared" si="115"/>
        <v/>
      </c>
      <c r="K1599" s="394" t="str">
        <f t="shared" si="116"/>
        <v/>
      </c>
    </row>
    <row r="1600" spans="8:11" x14ac:dyDescent="0.25">
      <c r="H1600" s="394" t="str">
        <f t="shared" si="113"/>
        <v/>
      </c>
      <c r="I1600" s="394" t="str">
        <f t="shared" si="114"/>
        <v/>
      </c>
      <c r="J1600" s="394" t="str">
        <f t="shared" si="115"/>
        <v/>
      </c>
      <c r="K1600" s="394" t="str">
        <f t="shared" si="116"/>
        <v/>
      </c>
    </row>
    <row r="1601" spans="8:11" x14ac:dyDescent="0.25">
      <c r="H1601" s="394" t="str">
        <f t="shared" si="113"/>
        <v/>
      </c>
      <c r="I1601" s="394" t="str">
        <f t="shared" si="114"/>
        <v/>
      </c>
      <c r="J1601" s="394" t="str">
        <f t="shared" si="115"/>
        <v/>
      </c>
      <c r="K1601" s="394" t="str">
        <f t="shared" si="116"/>
        <v/>
      </c>
    </row>
    <row r="1602" spans="8:11" x14ac:dyDescent="0.25">
      <c r="H1602" s="394" t="str">
        <f t="shared" si="113"/>
        <v/>
      </c>
      <c r="I1602" s="394" t="str">
        <f t="shared" si="114"/>
        <v/>
      </c>
      <c r="J1602" s="394" t="str">
        <f t="shared" si="115"/>
        <v/>
      </c>
      <c r="K1602" s="394" t="str">
        <f t="shared" si="116"/>
        <v/>
      </c>
    </row>
    <row r="1603" spans="8:11" x14ac:dyDescent="0.25">
      <c r="H1603" s="394" t="str">
        <f t="shared" si="113"/>
        <v/>
      </c>
      <c r="I1603" s="394" t="str">
        <f t="shared" si="114"/>
        <v/>
      </c>
      <c r="J1603" s="394" t="str">
        <f t="shared" si="115"/>
        <v/>
      </c>
      <c r="K1603" s="394" t="str">
        <f t="shared" si="116"/>
        <v/>
      </c>
    </row>
    <row r="1604" spans="8:11" x14ac:dyDescent="0.25">
      <c r="H1604" s="394" t="str">
        <f t="shared" si="113"/>
        <v/>
      </c>
      <c r="I1604" s="394" t="str">
        <f t="shared" si="114"/>
        <v/>
      </c>
      <c r="J1604" s="394" t="str">
        <f t="shared" si="115"/>
        <v/>
      </c>
      <c r="K1604" s="394" t="str">
        <f t="shared" si="116"/>
        <v/>
      </c>
    </row>
    <row r="1605" spans="8:11" x14ac:dyDescent="0.25">
      <c r="H1605" s="394" t="str">
        <f t="shared" si="113"/>
        <v/>
      </c>
      <c r="I1605" s="394" t="str">
        <f t="shared" si="114"/>
        <v/>
      </c>
      <c r="J1605" s="394" t="str">
        <f t="shared" si="115"/>
        <v/>
      </c>
      <c r="K1605" s="394" t="str">
        <f t="shared" si="116"/>
        <v/>
      </c>
    </row>
    <row r="1606" spans="8:11" x14ac:dyDescent="0.25">
      <c r="H1606" s="394" t="str">
        <f t="shared" si="113"/>
        <v/>
      </c>
      <c r="I1606" s="394" t="str">
        <f t="shared" si="114"/>
        <v/>
      </c>
      <c r="J1606" s="394" t="str">
        <f t="shared" si="115"/>
        <v/>
      </c>
      <c r="K1606" s="394" t="str">
        <f t="shared" si="116"/>
        <v/>
      </c>
    </row>
    <row r="1607" spans="8:11" x14ac:dyDescent="0.25">
      <c r="H1607" s="394" t="str">
        <f t="shared" si="113"/>
        <v/>
      </c>
      <c r="I1607" s="394" t="str">
        <f t="shared" si="114"/>
        <v/>
      </c>
      <c r="J1607" s="394" t="str">
        <f t="shared" si="115"/>
        <v/>
      </c>
      <c r="K1607" s="394" t="str">
        <f t="shared" si="116"/>
        <v/>
      </c>
    </row>
    <row r="1608" spans="8:11" x14ac:dyDescent="0.25">
      <c r="H1608" s="394" t="str">
        <f t="shared" si="113"/>
        <v/>
      </c>
      <c r="I1608" s="394" t="str">
        <f t="shared" si="114"/>
        <v/>
      </c>
      <c r="J1608" s="394" t="str">
        <f t="shared" si="115"/>
        <v/>
      </c>
      <c r="K1608" s="394" t="str">
        <f t="shared" si="116"/>
        <v/>
      </c>
    </row>
    <row r="1609" spans="8:11" x14ac:dyDescent="0.25">
      <c r="H1609" s="394" t="str">
        <f t="shared" si="113"/>
        <v/>
      </c>
      <c r="I1609" s="394" t="str">
        <f t="shared" si="114"/>
        <v/>
      </c>
      <c r="J1609" s="394" t="str">
        <f t="shared" si="115"/>
        <v/>
      </c>
      <c r="K1609" s="394" t="str">
        <f t="shared" si="116"/>
        <v/>
      </c>
    </row>
    <row r="1610" spans="8:11" x14ac:dyDescent="0.25">
      <c r="H1610" s="394" t="str">
        <f t="shared" si="113"/>
        <v/>
      </c>
      <c r="I1610" s="394" t="str">
        <f t="shared" si="114"/>
        <v/>
      </c>
      <c r="J1610" s="394" t="str">
        <f t="shared" si="115"/>
        <v/>
      </c>
      <c r="K1610" s="394" t="str">
        <f t="shared" si="116"/>
        <v/>
      </c>
    </row>
    <row r="1611" spans="8:11" x14ac:dyDescent="0.25">
      <c r="H1611" s="394" t="str">
        <f t="shared" si="113"/>
        <v/>
      </c>
      <c r="I1611" s="394" t="str">
        <f t="shared" si="114"/>
        <v/>
      </c>
      <c r="J1611" s="394" t="str">
        <f t="shared" si="115"/>
        <v/>
      </c>
      <c r="K1611" s="394" t="str">
        <f t="shared" si="116"/>
        <v/>
      </c>
    </row>
    <row r="1612" spans="8:11" x14ac:dyDescent="0.25">
      <c r="H1612" s="394" t="str">
        <f t="shared" si="113"/>
        <v/>
      </c>
      <c r="I1612" s="394" t="str">
        <f t="shared" si="114"/>
        <v/>
      </c>
      <c r="J1612" s="394" t="str">
        <f t="shared" si="115"/>
        <v/>
      </c>
      <c r="K1612" s="394" t="str">
        <f t="shared" si="116"/>
        <v/>
      </c>
    </row>
    <row r="1613" spans="8:11" x14ac:dyDescent="0.25">
      <c r="H1613" s="394" t="str">
        <f t="shared" si="113"/>
        <v/>
      </c>
      <c r="I1613" s="394" t="str">
        <f t="shared" si="114"/>
        <v/>
      </c>
      <c r="J1613" s="394" t="str">
        <f t="shared" si="115"/>
        <v/>
      </c>
      <c r="K1613" s="394" t="str">
        <f t="shared" si="116"/>
        <v/>
      </c>
    </row>
    <row r="1614" spans="8:11" x14ac:dyDescent="0.25">
      <c r="H1614" s="394" t="str">
        <f t="shared" si="113"/>
        <v/>
      </c>
      <c r="I1614" s="394" t="str">
        <f t="shared" si="114"/>
        <v/>
      </c>
      <c r="J1614" s="394" t="str">
        <f t="shared" si="115"/>
        <v/>
      </c>
      <c r="K1614" s="394" t="str">
        <f t="shared" si="116"/>
        <v/>
      </c>
    </row>
    <row r="1615" spans="8:11" x14ac:dyDescent="0.25">
      <c r="H1615" s="394" t="str">
        <f t="shared" si="113"/>
        <v/>
      </c>
      <c r="I1615" s="394" t="str">
        <f t="shared" si="114"/>
        <v/>
      </c>
      <c r="J1615" s="394" t="str">
        <f t="shared" si="115"/>
        <v/>
      </c>
      <c r="K1615" s="394" t="str">
        <f t="shared" si="116"/>
        <v/>
      </c>
    </row>
    <row r="1616" spans="8:11" x14ac:dyDescent="0.25">
      <c r="H1616" s="394" t="str">
        <f t="shared" si="113"/>
        <v/>
      </c>
      <c r="I1616" s="394" t="str">
        <f t="shared" si="114"/>
        <v/>
      </c>
      <c r="J1616" s="394" t="str">
        <f t="shared" si="115"/>
        <v/>
      </c>
      <c r="K1616" s="394" t="str">
        <f t="shared" si="116"/>
        <v/>
      </c>
    </row>
    <row r="1617" spans="8:11" x14ac:dyDescent="0.25">
      <c r="H1617" s="394" t="str">
        <f t="shared" si="113"/>
        <v/>
      </c>
      <c r="I1617" s="394" t="str">
        <f t="shared" si="114"/>
        <v/>
      </c>
      <c r="J1617" s="394" t="str">
        <f t="shared" si="115"/>
        <v/>
      </c>
      <c r="K1617" s="394" t="str">
        <f t="shared" si="116"/>
        <v/>
      </c>
    </row>
    <row r="1618" spans="8:11" x14ac:dyDescent="0.25">
      <c r="H1618" s="394" t="str">
        <f t="shared" si="113"/>
        <v/>
      </c>
      <c r="I1618" s="394" t="str">
        <f t="shared" si="114"/>
        <v/>
      </c>
      <c r="J1618" s="394" t="str">
        <f t="shared" si="115"/>
        <v/>
      </c>
      <c r="K1618" s="394" t="str">
        <f t="shared" si="116"/>
        <v/>
      </c>
    </row>
    <row r="1619" spans="8:11" x14ac:dyDescent="0.25">
      <c r="H1619" s="394" t="str">
        <f t="shared" si="113"/>
        <v/>
      </c>
      <c r="I1619" s="394" t="str">
        <f t="shared" si="114"/>
        <v/>
      </c>
      <c r="J1619" s="394" t="str">
        <f t="shared" si="115"/>
        <v/>
      </c>
      <c r="K1619" s="394" t="str">
        <f t="shared" si="116"/>
        <v/>
      </c>
    </row>
    <row r="1620" spans="8:11" x14ac:dyDescent="0.25">
      <c r="H1620" s="394" t="str">
        <f t="shared" si="113"/>
        <v/>
      </c>
      <c r="I1620" s="394" t="str">
        <f t="shared" si="114"/>
        <v/>
      </c>
      <c r="J1620" s="394" t="str">
        <f t="shared" si="115"/>
        <v/>
      </c>
      <c r="K1620" s="394" t="str">
        <f t="shared" si="116"/>
        <v/>
      </c>
    </row>
    <row r="1621" spans="8:11" x14ac:dyDescent="0.25">
      <c r="H1621" s="394" t="str">
        <f t="shared" si="113"/>
        <v/>
      </c>
      <c r="I1621" s="394" t="str">
        <f t="shared" si="114"/>
        <v/>
      </c>
      <c r="J1621" s="394" t="str">
        <f t="shared" si="115"/>
        <v/>
      </c>
      <c r="K1621" s="394" t="str">
        <f t="shared" si="116"/>
        <v/>
      </c>
    </row>
    <row r="1622" spans="8:11" x14ac:dyDescent="0.25">
      <c r="H1622" s="394" t="str">
        <f t="shared" si="113"/>
        <v/>
      </c>
      <c r="I1622" s="394" t="str">
        <f t="shared" si="114"/>
        <v/>
      </c>
      <c r="J1622" s="394" t="str">
        <f t="shared" si="115"/>
        <v/>
      </c>
      <c r="K1622" s="394" t="str">
        <f t="shared" si="116"/>
        <v/>
      </c>
    </row>
    <row r="1623" spans="8:11" x14ac:dyDescent="0.25">
      <c r="H1623" s="394" t="str">
        <f t="shared" si="113"/>
        <v/>
      </c>
      <c r="I1623" s="394" t="str">
        <f t="shared" si="114"/>
        <v/>
      </c>
      <c r="J1623" s="394" t="str">
        <f t="shared" si="115"/>
        <v/>
      </c>
      <c r="K1623" s="394" t="str">
        <f t="shared" si="116"/>
        <v/>
      </c>
    </row>
    <row r="1624" spans="8:11" x14ac:dyDescent="0.25">
      <c r="H1624" s="394" t="str">
        <f t="shared" si="113"/>
        <v/>
      </c>
      <c r="I1624" s="394" t="str">
        <f t="shared" si="114"/>
        <v/>
      </c>
      <c r="J1624" s="394" t="str">
        <f t="shared" si="115"/>
        <v/>
      </c>
      <c r="K1624" s="394" t="str">
        <f t="shared" si="116"/>
        <v/>
      </c>
    </row>
    <row r="1625" spans="8:11" x14ac:dyDescent="0.25">
      <c r="H1625" s="394" t="str">
        <f t="shared" si="113"/>
        <v/>
      </c>
      <c r="I1625" s="394" t="str">
        <f t="shared" si="114"/>
        <v/>
      </c>
      <c r="J1625" s="394" t="str">
        <f t="shared" si="115"/>
        <v/>
      </c>
      <c r="K1625" s="394" t="str">
        <f t="shared" si="116"/>
        <v/>
      </c>
    </row>
    <row r="1626" spans="8:11" x14ac:dyDescent="0.25">
      <c r="H1626" s="394" t="str">
        <f t="shared" si="113"/>
        <v/>
      </c>
      <c r="I1626" s="394" t="str">
        <f t="shared" si="114"/>
        <v/>
      </c>
      <c r="J1626" s="394" t="str">
        <f t="shared" si="115"/>
        <v/>
      </c>
      <c r="K1626" s="394" t="str">
        <f t="shared" si="116"/>
        <v/>
      </c>
    </row>
    <row r="1627" spans="8:11" x14ac:dyDescent="0.25">
      <c r="H1627" s="394" t="str">
        <f t="shared" si="113"/>
        <v/>
      </c>
      <c r="I1627" s="394" t="str">
        <f t="shared" si="114"/>
        <v/>
      </c>
      <c r="J1627" s="394" t="str">
        <f t="shared" si="115"/>
        <v/>
      </c>
      <c r="K1627" s="394" t="str">
        <f t="shared" si="116"/>
        <v/>
      </c>
    </row>
    <row r="1628" spans="8:11" x14ac:dyDescent="0.25">
      <c r="H1628" s="394" t="str">
        <f t="shared" si="113"/>
        <v/>
      </c>
      <c r="I1628" s="394" t="str">
        <f t="shared" si="114"/>
        <v/>
      </c>
      <c r="J1628" s="394" t="str">
        <f t="shared" si="115"/>
        <v/>
      </c>
      <c r="K1628" s="394" t="str">
        <f t="shared" si="116"/>
        <v/>
      </c>
    </row>
    <row r="1629" spans="8:11" x14ac:dyDescent="0.25">
      <c r="H1629" s="394" t="str">
        <f t="shared" si="113"/>
        <v/>
      </c>
      <c r="I1629" s="394" t="str">
        <f t="shared" si="114"/>
        <v/>
      </c>
      <c r="J1629" s="394" t="str">
        <f t="shared" si="115"/>
        <v/>
      </c>
      <c r="K1629" s="394" t="str">
        <f t="shared" si="116"/>
        <v/>
      </c>
    </row>
    <row r="1630" spans="8:11" x14ac:dyDescent="0.25">
      <c r="H1630" s="394" t="str">
        <f t="shared" si="113"/>
        <v/>
      </c>
      <c r="I1630" s="394" t="str">
        <f t="shared" si="114"/>
        <v/>
      </c>
      <c r="J1630" s="394" t="str">
        <f t="shared" si="115"/>
        <v/>
      </c>
      <c r="K1630" s="394" t="str">
        <f t="shared" si="116"/>
        <v/>
      </c>
    </row>
    <row r="1631" spans="8:11" x14ac:dyDescent="0.25">
      <c r="H1631" s="394" t="str">
        <f t="shared" si="113"/>
        <v/>
      </c>
      <c r="I1631" s="394" t="str">
        <f t="shared" si="114"/>
        <v/>
      </c>
      <c r="J1631" s="394" t="str">
        <f t="shared" si="115"/>
        <v/>
      </c>
      <c r="K1631" s="394" t="str">
        <f t="shared" si="116"/>
        <v/>
      </c>
    </row>
    <row r="1632" spans="8:11" x14ac:dyDescent="0.25">
      <c r="H1632" s="394" t="str">
        <f t="shared" si="113"/>
        <v/>
      </c>
      <c r="I1632" s="394" t="str">
        <f t="shared" si="114"/>
        <v/>
      </c>
      <c r="J1632" s="394" t="str">
        <f t="shared" si="115"/>
        <v/>
      </c>
      <c r="K1632" s="394" t="str">
        <f t="shared" si="116"/>
        <v/>
      </c>
    </row>
    <row r="1633" spans="8:11" x14ac:dyDescent="0.25">
      <c r="H1633" s="394" t="str">
        <f t="shared" si="113"/>
        <v/>
      </c>
      <c r="I1633" s="394" t="str">
        <f t="shared" si="114"/>
        <v/>
      </c>
      <c r="J1633" s="394" t="str">
        <f t="shared" si="115"/>
        <v/>
      </c>
      <c r="K1633" s="394" t="str">
        <f t="shared" si="116"/>
        <v/>
      </c>
    </row>
    <row r="1634" spans="8:11" x14ac:dyDescent="0.25">
      <c r="H1634" s="394" t="str">
        <f t="shared" si="113"/>
        <v/>
      </c>
      <c r="I1634" s="394" t="str">
        <f t="shared" si="114"/>
        <v/>
      </c>
      <c r="J1634" s="394" t="str">
        <f t="shared" si="115"/>
        <v/>
      </c>
      <c r="K1634" s="394" t="str">
        <f t="shared" si="116"/>
        <v/>
      </c>
    </row>
    <row r="1635" spans="8:11" x14ac:dyDescent="0.25">
      <c r="H1635" s="394" t="str">
        <f t="shared" si="113"/>
        <v/>
      </c>
      <c r="I1635" s="394" t="str">
        <f t="shared" si="114"/>
        <v/>
      </c>
      <c r="J1635" s="394" t="str">
        <f t="shared" si="115"/>
        <v/>
      </c>
      <c r="K1635" s="394" t="str">
        <f t="shared" si="116"/>
        <v/>
      </c>
    </row>
    <row r="1636" spans="8:11" x14ac:dyDescent="0.25">
      <c r="H1636" s="394" t="str">
        <f t="shared" si="113"/>
        <v/>
      </c>
      <c r="I1636" s="394" t="str">
        <f t="shared" si="114"/>
        <v/>
      </c>
      <c r="J1636" s="394" t="str">
        <f t="shared" si="115"/>
        <v/>
      </c>
      <c r="K1636" s="394" t="str">
        <f t="shared" si="116"/>
        <v/>
      </c>
    </row>
    <row r="1637" spans="8:11" x14ac:dyDescent="0.25">
      <c r="H1637" s="394" t="str">
        <f t="shared" si="113"/>
        <v/>
      </c>
      <c r="I1637" s="394" t="str">
        <f t="shared" si="114"/>
        <v/>
      </c>
      <c r="J1637" s="394" t="str">
        <f t="shared" si="115"/>
        <v/>
      </c>
      <c r="K1637" s="394" t="str">
        <f t="shared" si="116"/>
        <v/>
      </c>
    </row>
    <row r="1638" spans="8:11" x14ac:dyDescent="0.25">
      <c r="H1638" s="394" t="str">
        <f t="shared" si="113"/>
        <v/>
      </c>
      <c r="I1638" s="394" t="str">
        <f t="shared" si="114"/>
        <v/>
      </c>
      <c r="J1638" s="394" t="str">
        <f t="shared" si="115"/>
        <v/>
      </c>
      <c r="K1638" s="394" t="str">
        <f t="shared" si="116"/>
        <v/>
      </c>
    </row>
    <row r="1639" spans="8:11" x14ac:dyDescent="0.25">
      <c r="H1639" s="394" t="str">
        <f t="shared" si="113"/>
        <v/>
      </c>
      <c r="I1639" s="394" t="str">
        <f t="shared" si="114"/>
        <v/>
      </c>
      <c r="J1639" s="394" t="str">
        <f t="shared" si="115"/>
        <v/>
      </c>
      <c r="K1639" s="394" t="str">
        <f t="shared" si="116"/>
        <v/>
      </c>
    </row>
    <row r="1640" spans="8:11" x14ac:dyDescent="0.25">
      <c r="H1640" s="394" t="str">
        <f t="shared" si="113"/>
        <v/>
      </c>
      <c r="I1640" s="394" t="str">
        <f t="shared" si="114"/>
        <v/>
      </c>
      <c r="J1640" s="394" t="str">
        <f t="shared" si="115"/>
        <v/>
      </c>
      <c r="K1640" s="394" t="str">
        <f t="shared" si="116"/>
        <v/>
      </c>
    </row>
    <row r="1641" spans="8:11" x14ac:dyDescent="0.25">
      <c r="H1641" s="394" t="str">
        <f t="shared" ref="H1641:H1704" si="117">IF($C663="","",ROUND(($B$2*$F663*($B$5/1000))/$B$6,2))</f>
        <v/>
      </c>
      <c r="I1641" s="394" t="str">
        <f t="shared" ref="I1641:I1704" si="118">IF($C663="","",ROUND(($B$3*$F663*($B$5/1000))/$B$6,2))</f>
        <v/>
      </c>
      <c r="J1641" s="394" t="str">
        <f t="shared" ref="J1641:J1704" si="119">IF(OR($C663="",$B$9="",$B$15=""),"",ROUND(((((IF($B$15="N/A",$B$2,$B$4))*$F663*($B$5/1000))+((($G663/1000)*($B$5/1000)*10.7639104)*(IF($B$9="Smooth",$B$10,IF($B$9="Sand",$B$11,0)))))*(1+$B$17))/$B$8,2))</f>
        <v/>
      </c>
      <c r="K1641" s="394" t="str">
        <f t="shared" ref="K1641:K1704" si="120">IF(OR($C663="",$B$12="",$B$15=""),"",ROUND(((((IF($B$15="N/A",$B$2,$B$4))*$F663*($B$5/1000))+((($G663/1000)*($B$5/1000)*10.7639104)*(IF($B$12="Indoor",$B$13,IF($B$12="Outdoor",$B$14,0)))))*(1+$B$17))/$B$8,2))</f>
        <v/>
      </c>
    </row>
    <row r="1642" spans="8:11" x14ac:dyDescent="0.25">
      <c r="H1642" s="394" t="str">
        <f t="shared" si="117"/>
        <v/>
      </c>
      <c r="I1642" s="394" t="str">
        <f t="shared" si="118"/>
        <v/>
      </c>
      <c r="J1642" s="394" t="str">
        <f t="shared" si="119"/>
        <v/>
      </c>
      <c r="K1642" s="394" t="str">
        <f t="shared" si="120"/>
        <v/>
      </c>
    </row>
    <row r="1643" spans="8:11" x14ac:dyDescent="0.25">
      <c r="H1643" s="394" t="str">
        <f t="shared" si="117"/>
        <v/>
      </c>
      <c r="I1643" s="394" t="str">
        <f t="shared" si="118"/>
        <v/>
      </c>
      <c r="J1643" s="394" t="str">
        <f t="shared" si="119"/>
        <v/>
      </c>
      <c r="K1643" s="394" t="str">
        <f t="shared" si="120"/>
        <v/>
      </c>
    </row>
    <row r="1644" spans="8:11" x14ac:dyDescent="0.25">
      <c r="H1644" s="394" t="str">
        <f t="shared" si="117"/>
        <v/>
      </c>
      <c r="I1644" s="394" t="str">
        <f t="shared" si="118"/>
        <v/>
      </c>
      <c r="J1644" s="394" t="str">
        <f t="shared" si="119"/>
        <v/>
      </c>
      <c r="K1644" s="394" t="str">
        <f t="shared" si="120"/>
        <v/>
      </c>
    </row>
    <row r="1645" spans="8:11" x14ac:dyDescent="0.25">
      <c r="H1645" s="394" t="str">
        <f t="shared" si="117"/>
        <v/>
      </c>
      <c r="I1645" s="394" t="str">
        <f t="shared" si="118"/>
        <v/>
      </c>
      <c r="J1645" s="394" t="str">
        <f t="shared" si="119"/>
        <v/>
      </c>
      <c r="K1645" s="394" t="str">
        <f t="shared" si="120"/>
        <v/>
      </c>
    </row>
    <row r="1646" spans="8:11" x14ac:dyDescent="0.25">
      <c r="H1646" s="394" t="str">
        <f t="shared" si="117"/>
        <v/>
      </c>
      <c r="I1646" s="394" t="str">
        <f t="shared" si="118"/>
        <v/>
      </c>
      <c r="J1646" s="394" t="str">
        <f t="shared" si="119"/>
        <v/>
      </c>
      <c r="K1646" s="394" t="str">
        <f t="shared" si="120"/>
        <v/>
      </c>
    </row>
    <row r="1647" spans="8:11" x14ac:dyDescent="0.25">
      <c r="H1647" s="394" t="str">
        <f t="shared" si="117"/>
        <v/>
      </c>
      <c r="I1647" s="394" t="str">
        <f t="shared" si="118"/>
        <v/>
      </c>
      <c r="J1647" s="394" t="str">
        <f t="shared" si="119"/>
        <v/>
      </c>
      <c r="K1647" s="394" t="str">
        <f t="shared" si="120"/>
        <v/>
      </c>
    </row>
    <row r="1648" spans="8:11" x14ac:dyDescent="0.25">
      <c r="H1648" s="394" t="str">
        <f t="shared" si="117"/>
        <v/>
      </c>
      <c r="I1648" s="394" t="str">
        <f t="shared" si="118"/>
        <v/>
      </c>
      <c r="J1648" s="394" t="str">
        <f t="shared" si="119"/>
        <v/>
      </c>
      <c r="K1648" s="394" t="str">
        <f t="shared" si="120"/>
        <v/>
      </c>
    </row>
    <row r="1649" spans="8:11" x14ac:dyDescent="0.25">
      <c r="H1649" s="394" t="str">
        <f t="shared" si="117"/>
        <v/>
      </c>
      <c r="I1649" s="394" t="str">
        <f t="shared" si="118"/>
        <v/>
      </c>
      <c r="J1649" s="394" t="str">
        <f t="shared" si="119"/>
        <v/>
      </c>
      <c r="K1649" s="394" t="str">
        <f t="shared" si="120"/>
        <v/>
      </c>
    </row>
    <row r="1650" spans="8:11" x14ac:dyDescent="0.25">
      <c r="H1650" s="394" t="str">
        <f t="shared" si="117"/>
        <v/>
      </c>
      <c r="I1650" s="394" t="str">
        <f t="shared" si="118"/>
        <v/>
      </c>
      <c r="J1650" s="394" t="str">
        <f t="shared" si="119"/>
        <v/>
      </c>
      <c r="K1650" s="394" t="str">
        <f t="shared" si="120"/>
        <v/>
      </c>
    </row>
    <row r="1651" spans="8:11" x14ac:dyDescent="0.25">
      <c r="H1651" s="394" t="str">
        <f t="shared" si="117"/>
        <v/>
      </c>
      <c r="I1651" s="394" t="str">
        <f t="shared" si="118"/>
        <v/>
      </c>
      <c r="J1651" s="394" t="str">
        <f t="shared" si="119"/>
        <v/>
      </c>
      <c r="K1651" s="394" t="str">
        <f t="shared" si="120"/>
        <v/>
      </c>
    </row>
    <row r="1652" spans="8:11" x14ac:dyDescent="0.25">
      <c r="H1652" s="394" t="str">
        <f t="shared" si="117"/>
        <v/>
      </c>
      <c r="I1652" s="394" t="str">
        <f t="shared" si="118"/>
        <v/>
      </c>
      <c r="J1652" s="394" t="str">
        <f t="shared" si="119"/>
        <v/>
      </c>
      <c r="K1652" s="394" t="str">
        <f t="shared" si="120"/>
        <v/>
      </c>
    </row>
    <row r="1653" spans="8:11" x14ac:dyDescent="0.25">
      <c r="H1653" s="394" t="str">
        <f t="shared" si="117"/>
        <v/>
      </c>
      <c r="I1653" s="394" t="str">
        <f t="shared" si="118"/>
        <v/>
      </c>
      <c r="J1653" s="394" t="str">
        <f t="shared" si="119"/>
        <v/>
      </c>
      <c r="K1653" s="394" t="str">
        <f t="shared" si="120"/>
        <v/>
      </c>
    </row>
    <row r="1654" spans="8:11" x14ac:dyDescent="0.25">
      <c r="H1654" s="394" t="str">
        <f t="shared" si="117"/>
        <v/>
      </c>
      <c r="I1654" s="394" t="str">
        <f t="shared" si="118"/>
        <v/>
      </c>
      <c r="J1654" s="394" t="str">
        <f t="shared" si="119"/>
        <v/>
      </c>
      <c r="K1654" s="394" t="str">
        <f t="shared" si="120"/>
        <v/>
      </c>
    </row>
    <row r="1655" spans="8:11" x14ac:dyDescent="0.25">
      <c r="H1655" s="394" t="str">
        <f t="shared" si="117"/>
        <v/>
      </c>
      <c r="I1655" s="394" t="str">
        <f t="shared" si="118"/>
        <v/>
      </c>
      <c r="J1655" s="394" t="str">
        <f t="shared" si="119"/>
        <v/>
      </c>
      <c r="K1655" s="394" t="str">
        <f t="shared" si="120"/>
        <v/>
      </c>
    </row>
    <row r="1656" spans="8:11" x14ac:dyDescent="0.25">
      <c r="H1656" s="394" t="str">
        <f t="shared" si="117"/>
        <v/>
      </c>
      <c r="I1656" s="394" t="str">
        <f t="shared" si="118"/>
        <v/>
      </c>
      <c r="J1656" s="394" t="str">
        <f t="shared" si="119"/>
        <v/>
      </c>
      <c r="K1656" s="394" t="str">
        <f t="shared" si="120"/>
        <v/>
      </c>
    </row>
    <row r="1657" spans="8:11" x14ac:dyDescent="0.25">
      <c r="H1657" s="394" t="str">
        <f t="shared" si="117"/>
        <v/>
      </c>
      <c r="I1657" s="394" t="str">
        <f t="shared" si="118"/>
        <v/>
      </c>
      <c r="J1657" s="394" t="str">
        <f t="shared" si="119"/>
        <v/>
      </c>
      <c r="K1657" s="394" t="str">
        <f t="shared" si="120"/>
        <v/>
      </c>
    </row>
    <row r="1658" spans="8:11" x14ac:dyDescent="0.25">
      <c r="H1658" s="394" t="str">
        <f t="shared" si="117"/>
        <v/>
      </c>
      <c r="I1658" s="394" t="str">
        <f t="shared" si="118"/>
        <v/>
      </c>
      <c r="J1658" s="394" t="str">
        <f t="shared" si="119"/>
        <v/>
      </c>
      <c r="K1658" s="394" t="str">
        <f t="shared" si="120"/>
        <v/>
      </c>
    </row>
    <row r="1659" spans="8:11" x14ac:dyDescent="0.25">
      <c r="H1659" s="394" t="str">
        <f t="shared" si="117"/>
        <v/>
      </c>
      <c r="I1659" s="394" t="str">
        <f t="shared" si="118"/>
        <v/>
      </c>
      <c r="J1659" s="394" t="str">
        <f t="shared" si="119"/>
        <v/>
      </c>
      <c r="K1659" s="394" t="str">
        <f t="shared" si="120"/>
        <v/>
      </c>
    </row>
    <row r="1660" spans="8:11" x14ac:dyDescent="0.25">
      <c r="H1660" s="394" t="str">
        <f t="shared" si="117"/>
        <v/>
      </c>
      <c r="I1660" s="394" t="str">
        <f t="shared" si="118"/>
        <v/>
      </c>
      <c r="J1660" s="394" t="str">
        <f t="shared" si="119"/>
        <v/>
      </c>
      <c r="K1660" s="394" t="str">
        <f t="shared" si="120"/>
        <v/>
      </c>
    </row>
    <row r="1661" spans="8:11" x14ac:dyDescent="0.25">
      <c r="H1661" s="394" t="str">
        <f t="shared" si="117"/>
        <v/>
      </c>
      <c r="I1661" s="394" t="str">
        <f t="shared" si="118"/>
        <v/>
      </c>
      <c r="J1661" s="394" t="str">
        <f t="shared" si="119"/>
        <v/>
      </c>
      <c r="K1661" s="394" t="str">
        <f t="shared" si="120"/>
        <v/>
      </c>
    </row>
    <row r="1662" spans="8:11" x14ac:dyDescent="0.25">
      <c r="H1662" s="394" t="str">
        <f t="shared" si="117"/>
        <v/>
      </c>
      <c r="I1662" s="394" t="str">
        <f t="shared" si="118"/>
        <v/>
      </c>
      <c r="J1662" s="394" t="str">
        <f t="shared" si="119"/>
        <v/>
      </c>
      <c r="K1662" s="394" t="str">
        <f t="shared" si="120"/>
        <v/>
      </c>
    </row>
    <row r="1663" spans="8:11" x14ac:dyDescent="0.25">
      <c r="H1663" s="394" t="str">
        <f t="shared" si="117"/>
        <v/>
      </c>
      <c r="I1663" s="394" t="str">
        <f t="shared" si="118"/>
        <v/>
      </c>
      <c r="J1663" s="394" t="str">
        <f t="shared" si="119"/>
        <v/>
      </c>
      <c r="K1663" s="394" t="str">
        <f t="shared" si="120"/>
        <v/>
      </c>
    </row>
    <row r="1664" spans="8:11" x14ac:dyDescent="0.25">
      <c r="H1664" s="394" t="str">
        <f t="shared" si="117"/>
        <v/>
      </c>
      <c r="I1664" s="394" t="str">
        <f t="shared" si="118"/>
        <v/>
      </c>
      <c r="J1664" s="394" t="str">
        <f t="shared" si="119"/>
        <v/>
      </c>
      <c r="K1664" s="394" t="str">
        <f t="shared" si="120"/>
        <v/>
      </c>
    </row>
    <row r="1665" spans="8:11" x14ac:dyDescent="0.25">
      <c r="H1665" s="394" t="str">
        <f t="shared" si="117"/>
        <v/>
      </c>
      <c r="I1665" s="394" t="str">
        <f t="shared" si="118"/>
        <v/>
      </c>
      <c r="J1665" s="394" t="str">
        <f t="shared" si="119"/>
        <v/>
      </c>
      <c r="K1665" s="394" t="str">
        <f t="shared" si="120"/>
        <v/>
      </c>
    </row>
    <row r="1666" spans="8:11" x14ac:dyDescent="0.25">
      <c r="H1666" s="394" t="str">
        <f t="shared" si="117"/>
        <v/>
      </c>
      <c r="I1666" s="394" t="str">
        <f t="shared" si="118"/>
        <v/>
      </c>
      <c r="J1666" s="394" t="str">
        <f t="shared" si="119"/>
        <v/>
      </c>
      <c r="K1666" s="394" t="str">
        <f t="shared" si="120"/>
        <v/>
      </c>
    </row>
    <row r="1667" spans="8:11" x14ac:dyDescent="0.25">
      <c r="H1667" s="394" t="str">
        <f t="shared" si="117"/>
        <v/>
      </c>
      <c r="I1667" s="394" t="str">
        <f t="shared" si="118"/>
        <v/>
      </c>
      <c r="J1667" s="394" t="str">
        <f t="shared" si="119"/>
        <v/>
      </c>
      <c r="K1667" s="394" t="str">
        <f t="shared" si="120"/>
        <v/>
      </c>
    </row>
    <row r="1668" spans="8:11" x14ac:dyDescent="0.25">
      <c r="H1668" s="394" t="str">
        <f t="shared" si="117"/>
        <v/>
      </c>
      <c r="I1668" s="394" t="str">
        <f t="shared" si="118"/>
        <v/>
      </c>
      <c r="J1668" s="394" t="str">
        <f t="shared" si="119"/>
        <v/>
      </c>
      <c r="K1668" s="394" t="str">
        <f t="shared" si="120"/>
        <v/>
      </c>
    </row>
    <row r="1669" spans="8:11" x14ac:dyDescent="0.25">
      <c r="H1669" s="394" t="str">
        <f t="shared" si="117"/>
        <v/>
      </c>
      <c r="I1669" s="394" t="str">
        <f t="shared" si="118"/>
        <v/>
      </c>
      <c r="J1669" s="394" t="str">
        <f t="shared" si="119"/>
        <v/>
      </c>
      <c r="K1669" s="394" t="str">
        <f t="shared" si="120"/>
        <v/>
      </c>
    </row>
    <row r="1670" spans="8:11" x14ac:dyDescent="0.25">
      <c r="H1670" s="394" t="str">
        <f t="shared" si="117"/>
        <v/>
      </c>
      <c r="I1670" s="394" t="str">
        <f t="shared" si="118"/>
        <v/>
      </c>
      <c r="J1670" s="394" t="str">
        <f t="shared" si="119"/>
        <v/>
      </c>
      <c r="K1670" s="394" t="str">
        <f t="shared" si="120"/>
        <v/>
      </c>
    </row>
    <row r="1671" spans="8:11" x14ac:dyDescent="0.25">
      <c r="H1671" s="394" t="str">
        <f t="shared" si="117"/>
        <v/>
      </c>
      <c r="I1671" s="394" t="str">
        <f t="shared" si="118"/>
        <v/>
      </c>
      <c r="J1671" s="394" t="str">
        <f t="shared" si="119"/>
        <v/>
      </c>
      <c r="K1671" s="394" t="str">
        <f t="shared" si="120"/>
        <v/>
      </c>
    </row>
    <row r="1672" spans="8:11" x14ac:dyDescent="0.25">
      <c r="H1672" s="394" t="str">
        <f t="shared" si="117"/>
        <v/>
      </c>
      <c r="I1672" s="394" t="str">
        <f t="shared" si="118"/>
        <v/>
      </c>
      <c r="J1672" s="394" t="str">
        <f t="shared" si="119"/>
        <v/>
      </c>
      <c r="K1672" s="394" t="str">
        <f t="shared" si="120"/>
        <v/>
      </c>
    </row>
    <row r="1673" spans="8:11" x14ac:dyDescent="0.25">
      <c r="H1673" s="394" t="str">
        <f t="shared" si="117"/>
        <v/>
      </c>
      <c r="I1673" s="394" t="str">
        <f t="shared" si="118"/>
        <v/>
      </c>
      <c r="J1673" s="394" t="str">
        <f t="shared" si="119"/>
        <v/>
      </c>
      <c r="K1673" s="394" t="str">
        <f t="shared" si="120"/>
        <v/>
      </c>
    </row>
    <row r="1674" spans="8:11" x14ac:dyDescent="0.25">
      <c r="H1674" s="394" t="str">
        <f t="shared" si="117"/>
        <v/>
      </c>
      <c r="I1674" s="394" t="str">
        <f t="shared" si="118"/>
        <v/>
      </c>
      <c r="J1674" s="394" t="str">
        <f t="shared" si="119"/>
        <v/>
      </c>
      <c r="K1674" s="394" t="str">
        <f t="shared" si="120"/>
        <v/>
      </c>
    </row>
    <row r="1675" spans="8:11" x14ac:dyDescent="0.25">
      <c r="H1675" s="394" t="str">
        <f t="shared" si="117"/>
        <v/>
      </c>
      <c r="I1675" s="394" t="str">
        <f t="shared" si="118"/>
        <v/>
      </c>
      <c r="J1675" s="394" t="str">
        <f t="shared" si="119"/>
        <v/>
      </c>
      <c r="K1675" s="394" t="str">
        <f t="shared" si="120"/>
        <v/>
      </c>
    </row>
    <row r="1676" spans="8:11" x14ac:dyDescent="0.25">
      <c r="H1676" s="394" t="str">
        <f t="shared" si="117"/>
        <v/>
      </c>
      <c r="I1676" s="394" t="str">
        <f t="shared" si="118"/>
        <v/>
      </c>
      <c r="J1676" s="394" t="str">
        <f t="shared" si="119"/>
        <v/>
      </c>
      <c r="K1676" s="394" t="str">
        <f t="shared" si="120"/>
        <v/>
      </c>
    </row>
    <row r="1677" spans="8:11" x14ac:dyDescent="0.25">
      <c r="H1677" s="394" t="str">
        <f t="shared" si="117"/>
        <v/>
      </c>
      <c r="I1677" s="394" t="str">
        <f t="shared" si="118"/>
        <v/>
      </c>
      <c r="J1677" s="394" t="str">
        <f t="shared" si="119"/>
        <v/>
      </c>
      <c r="K1677" s="394" t="str">
        <f t="shared" si="120"/>
        <v/>
      </c>
    </row>
    <row r="1678" spans="8:11" x14ac:dyDescent="0.25">
      <c r="H1678" s="394" t="str">
        <f t="shared" si="117"/>
        <v/>
      </c>
      <c r="I1678" s="394" t="str">
        <f t="shared" si="118"/>
        <v/>
      </c>
      <c r="J1678" s="394" t="str">
        <f t="shared" si="119"/>
        <v/>
      </c>
      <c r="K1678" s="394" t="str">
        <f t="shared" si="120"/>
        <v/>
      </c>
    </row>
    <row r="1679" spans="8:11" x14ac:dyDescent="0.25">
      <c r="H1679" s="394" t="str">
        <f t="shared" si="117"/>
        <v/>
      </c>
      <c r="I1679" s="394" t="str">
        <f t="shared" si="118"/>
        <v/>
      </c>
      <c r="J1679" s="394" t="str">
        <f t="shared" si="119"/>
        <v/>
      </c>
      <c r="K1679" s="394" t="str">
        <f t="shared" si="120"/>
        <v/>
      </c>
    </row>
    <row r="1680" spans="8:11" x14ac:dyDescent="0.25">
      <c r="H1680" s="394" t="str">
        <f t="shared" si="117"/>
        <v/>
      </c>
      <c r="I1680" s="394" t="str">
        <f t="shared" si="118"/>
        <v/>
      </c>
      <c r="J1680" s="394" t="str">
        <f t="shared" si="119"/>
        <v/>
      </c>
      <c r="K1680" s="394" t="str">
        <f t="shared" si="120"/>
        <v/>
      </c>
    </row>
    <row r="1681" spans="8:11" x14ac:dyDescent="0.25">
      <c r="H1681" s="394" t="str">
        <f t="shared" si="117"/>
        <v/>
      </c>
      <c r="I1681" s="394" t="str">
        <f t="shared" si="118"/>
        <v/>
      </c>
      <c r="J1681" s="394" t="str">
        <f t="shared" si="119"/>
        <v/>
      </c>
      <c r="K1681" s="394" t="str">
        <f t="shared" si="120"/>
        <v/>
      </c>
    </row>
    <row r="1682" spans="8:11" x14ac:dyDescent="0.25">
      <c r="H1682" s="394" t="str">
        <f t="shared" si="117"/>
        <v/>
      </c>
      <c r="I1682" s="394" t="str">
        <f t="shared" si="118"/>
        <v/>
      </c>
      <c r="J1682" s="394" t="str">
        <f t="shared" si="119"/>
        <v/>
      </c>
      <c r="K1682" s="394" t="str">
        <f t="shared" si="120"/>
        <v/>
      </c>
    </row>
    <row r="1683" spans="8:11" x14ac:dyDescent="0.25">
      <c r="H1683" s="394" t="str">
        <f t="shared" si="117"/>
        <v/>
      </c>
      <c r="I1683" s="394" t="str">
        <f t="shared" si="118"/>
        <v/>
      </c>
      <c r="J1683" s="394" t="str">
        <f t="shared" si="119"/>
        <v/>
      </c>
      <c r="K1683" s="394" t="str">
        <f t="shared" si="120"/>
        <v/>
      </c>
    </row>
    <row r="1684" spans="8:11" x14ac:dyDescent="0.25">
      <c r="H1684" s="394" t="str">
        <f t="shared" si="117"/>
        <v/>
      </c>
      <c r="I1684" s="394" t="str">
        <f t="shared" si="118"/>
        <v/>
      </c>
      <c r="J1684" s="394" t="str">
        <f t="shared" si="119"/>
        <v/>
      </c>
      <c r="K1684" s="394" t="str">
        <f t="shared" si="120"/>
        <v/>
      </c>
    </row>
    <row r="1685" spans="8:11" x14ac:dyDescent="0.25">
      <c r="H1685" s="394" t="str">
        <f t="shared" si="117"/>
        <v/>
      </c>
      <c r="I1685" s="394" t="str">
        <f t="shared" si="118"/>
        <v/>
      </c>
      <c r="J1685" s="394" t="str">
        <f t="shared" si="119"/>
        <v/>
      </c>
      <c r="K1685" s="394" t="str">
        <f t="shared" si="120"/>
        <v/>
      </c>
    </row>
    <row r="1686" spans="8:11" x14ac:dyDescent="0.25">
      <c r="H1686" s="394" t="str">
        <f t="shared" si="117"/>
        <v/>
      </c>
      <c r="I1686" s="394" t="str">
        <f t="shared" si="118"/>
        <v/>
      </c>
      <c r="J1686" s="394" t="str">
        <f t="shared" si="119"/>
        <v/>
      </c>
      <c r="K1686" s="394" t="str">
        <f t="shared" si="120"/>
        <v/>
      </c>
    </row>
    <row r="1687" spans="8:11" x14ac:dyDescent="0.25">
      <c r="H1687" s="394" t="str">
        <f t="shared" si="117"/>
        <v/>
      </c>
      <c r="I1687" s="394" t="str">
        <f t="shared" si="118"/>
        <v/>
      </c>
      <c r="J1687" s="394" t="str">
        <f t="shared" si="119"/>
        <v/>
      </c>
      <c r="K1687" s="394" t="str">
        <f t="shared" si="120"/>
        <v/>
      </c>
    </row>
    <row r="1688" spans="8:11" x14ac:dyDescent="0.25">
      <c r="H1688" s="394" t="str">
        <f t="shared" si="117"/>
        <v/>
      </c>
      <c r="I1688" s="394" t="str">
        <f t="shared" si="118"/>
        <v/>
      </c>
      <c r="J1688" s="394" t="str">
        <f t="shared" si="119"/>
        <v/>
      </c>
      <c r="K1688" s="394" t="str">
        <f t="shared" si="120"/>
        <v/>
      </c>
    </row>
    <row r="1689" spans="8:11" x14ac:dyDescent="0.25">
      <c r="H1689" s="394" t="str">
        <f t="shared" si="117"/>
        <v/>
      </c>
      <c r="I1689" s="394" t="str">
        <f t="shared" si="118"/>
        <v/>
      </c>
      <c r="J1689" s="394" t="str">
        <f t="shared" si="119"/>
        <v/>
      </c>
      <c r="K1689" s="394" t="str">
        <f t="shared" si="120"/>
        <v/>
      </c>
    </row>
    <row r="1690" spans="8:11" x14ac:dyDescent="0.25">
      <c r="H1690" s="394" t="str">
        <f t="shared" si="117"/>
        <v/>
      </c>
      <c r="I1690" s="394" t="str">
        <f t="shared" si="118"/>
        <v/>
      </c>
      <c r="J1690" s="394" t="str">
        <f t="shared" si="119"/>
        <v/>
      </c>
      <c r="K1690" s="394" t="str">
        <f t="shared" si="120"/>
        <v/>
      </c>
    </row>
    <row r="1691" spans="8:11" x14ac:dyDescent="0.25">
      <c r="H1691" s="394" t="str">
        <f t="shared" si="117"/>
        <v/>
      </c>
      <c r="I1691" s="394" t="str">
        <f t="shared" si="118"/>
        <v/>
      </c>
      <c r="J1691" s="394" t="str">
        <f t="shared" si="119"/>
        <v/>
      </c>
      <c r="K1691" s="394" t="str">
        <f t="shared" si="120"/>
        <v/>
      </c>
    </row>
    <row r="1692" spans="8:11" x14ac:dyDescent="0.25">
      <c r="H1692" s="394" t="str">
        <f t="shared" si="117"/>
        <v/>
      </c>
      <c r="I1692" s="394" t="str">
        <f t="shared" si="118"/>
        <v/>
      </c>
      <c r="J1692" s="394" t="str">
        <f t="shared" si="119"/>
        <v/>
      </c>
      <c r="K1692" s="394" t="str">
        <f t="shared" si="120"/>
        <v/>
      </c>
    </row>
    <row r="1693" spans="8:11" x14ac:dyDescent="0.25">
      <c r="H1693" s="394" t="str">
        <f t="shared" si="117"/>
        <v/>
      </c>
      <c r="I1693" s="394" t="str">
        <f t="shared" si="118"/>
        <v/>
      </c>
      <c r="J1693" s="394" t="str">
        <f t="shared" si="119"/>
        <v/>
      </c>
      <c r="K1693" s="394" t="str">
        <f t="shared" si="120"/>
        <v/>
      </c>
    </row>
    <row r="1694" spans="8:11" x14ac:dyDescent="0.25">
      <c r="H1694" s="394" t="str">
        <f t="shared" si="117"/>
        <v/>
      </c>
      <c r="I1694" s="394" t="str">
        <f t="shared" si="118"/>
        <v/>
      </c>
      <c r="J1694" s="394" t="str">
        <f t="shared" si="119"/>
        <v/>
      </c>
      <c r="K1694" s="394" t="str">
        <f t="shared" si="120"/>
        <v/>
      </c>
    </row>
    <row r="1695" spans="8:11" x14ac:dyDescent="0.25">
      <c r="H1695" s="394" t="str">
        <f t="shared" si="117"/>
        <v/>
      </c>
      <c r="I1695" s="394" t="str">
        <f t="shared" si="118"/>
        <v/>
      </c>
      <c r="J1695" s="394" t="str">
        <f t="shared" si="119"/>
        <v/>
      </c>
      <c r="K1695" s="394" t="str">
        <f t="shared" si="120"/>
        <v/>
      </c>
    </row>
    <row r="1696" spans="8:11" x14ac:dyDescent="0.25">
      <c r="H1696" s="394" t="str">
        <f t="shared" si="117"/>
        <v/>
      </c>
      <c r="I1696" s="394" t="str">
        <f t="shared" si="118"/>
        <v/>
      </c>
      <c r="J1696" s="394" t="str">
        <f t="shared" si="119"/>
        <v/>
      </c>
      <c r="K1696" s="394" t="str">
        <f t="shared" si="120"/>
        <v/>
      </c>
    </row>
    <row r="1697" spans="8:11" x14ac:dyDescent="0.25">
      <c r="H1697" s="394" t="str">
        <f t="shared" si="117"/>
        <v/>
      </c>
      <c r="I1697" s="394" t="str">
        <f t="shared" si="118"/>
        <v/>
      </c>
      <c r="J1697" s="394" t="str">
        <f t="shared" si="119"/>
        <v/>
      </c>
      <c r="K1697" s="394" t="str">
        <f t="shared" si="120"/>
        <v/>
      </c>
    </row>
    <row r="1698" spans="8:11" x14ac:dyDescent="0.25">
      <c r="H1698" s="394" t="str">
        <f t="shared" si="117"/>
        <v/>
      </c>
      <c r="I1698" s="394" t="str">
        <f t="shared" si="118"/>
        <v/>
      </c>
      <c r="J1698" s="394" t="str">
        <f t="shared" si="119"/>
        <v/>
      </c>
      <c r="K1698" s="394" t="str">
        <f t="shared" si="120"/>
        <v/>
      </c>
    </row>
    <row r="1699" spans="8:11" x14ac:dyDescent="0.25">
      <c r="H1699" s="394" t="str">
        <f t="shared" si="117"/>
        <v/>
      </c>
      <c r="I1699" s="394" t="str">
        <f t="shared" si="118"/>
        <v/>
      </c>
      <c r="J1699" s="394" t="str">
        <f t="shared" si="119"/>
        <v/>
      </c>
      <c r="K1699" s="394" t="str">
        <f t="shared" si="120"/>
        <v/>
      </c>
    </row>
    <row r="1700" spans="8:11" x14ac:dyDescent="0.25">
      <c r="H1700" s="394" t="str">
        <f t="shared" si="117"/>
        <v/>
      </c>
      <c r="I1700" s="394" t="str">
        <f t="shared" si="118"/>
        <v/>
      </c>
      <c r="J1700" s="394" t="str">
        <f t="shared" si="119"/>
        <v/>
      </c>
      <c r="K1700" s="394" t="str">
        <f t="shared" si="120"/>
        <v/>
      </c>
    </row>
    <row r="1701" spans="8:11" x14ac:dyDescent="0.25">
      <c r="H1701" s="394" t="str">
        <f t="shared" si="117"/>
        <v/>
      </c>
      <c r="I1701" s="394" t="str">
        <f t="shared" si="118"/>
        <v/>
      </c>
      <c r="J1701" s="394" t="str">
        <f t="shared" si="119"/>
        <v/>
      </c>
      <c r="K1701" s="394" t="str">
        <f t="shared" si="120"/>
        <v/>
      </c>
    </row>
    <row r="1702" spans="8:11" x14ac:dyDescent="0.25">
      <c r="H1702" s="394" t="str">
        <f t="shared" si="117"/>
        <v/>
      </c>
      <c r="I1702" s="394" t="str">
        <f t="shared" si="118"/>
        <v/>
      </c>
      <c r="J1702" s="394" t="str">
        <f t="shared" si="119"/>
        <v/>
      </c>
      <c r="K1702" s="394" t="str">
        <f t="shared" si="120"/>
        <v/>
      </c>
    </row>
    <row r="1703" spans="8:11" x14ac:dyDescent="0.25">
      <c r="H1703" s="394" t="str">
        <f t="shared" si="117"/>
        <v/>
      </c>
      <c r="I1703" s="394" t="str">
        <f t="shared" si="118"/>
        <v/>
      </c>
      <c r="J1703" s="394" t="str">
        <f t="shared" si="119"/>
        <v/>
      </c>
      <c r="K1703" s="394" t="str">
        <f t="shared" si="120"/>
        <v/>
      </c>
    </row>
    <row r="1704" spans="8:11" x14ac:dyDescent="0.25">
      <c r="H1704" s="394" t="str">
        <f t="shared" si="117"/>
        <v/>
      </c>
      <c r="I1704" s="394" t="str">
        <f t="shared" si="118"/>
        <v/>
      </c>
      <c r="J1704" s="394" t="str">
        <f t="shared" si="119"/>
        <v/>
      </c>
      <c r="K1704" s="394" t="str">
        <f t="shared" si="120"/>
        <v/>
      </c>
    </row>
    <row r="1705" spans="8:11" x14ac:dyDescent="0.25">
      <c r="H1705" s="394" t="str">
        <f t="shared" ref="H1705:H1768" si="121">IF($C727="","",ROUND(($B$2*$F727*($B$5/1000))/$B$6,2))</f>
        <v/>
      </c>
      <c r="I1705" s="394" t="str">
        <f t="shared" ref="I1705:I1768" si="122">IF($C727="","",ROUND(($B$3*$F727*($B$5/1000))/$B$6,2))</f>
        <v/>
      </c>
      <c r="J1705" s="394" t="str">
        <f t="shared" ref="J1705:J1768" si="123">IF(OR($C727="",$B$9="",$B$15=""),"",ROUND(((((IF($B$15="N/A",$B$2,$B$4))*$F727*($B$5/1000))+((($G727/1000)*($B$5/1000)*10.7639104)*(IF($B$9="Smooth",$B$10,IF($B$9="Sand",$B$11,0)))))*(1+$B$17))/$B$8,2))</f>
        <v/>
      </c>
      <c r="K1705" s="394" t="str">
        <f t="shared" ref="K1705:K1768" si="124">IF(OR($C727="",$B$12="",$B$15=""),"",ROUND(((((IF($B$15="N/A",$B$2,$B$4))*$F727*($B$5/1000))+((($G727/1000)*($B$5/1000)*10.7639104)*(IF($B$12="Indoor",$B$13,IF($B$12="Outdoor",$B$14,0)))))*(1+$B$17))/$B$8,2))</f>
        <v/>
      </c>
    </row>
    <row r="1706" spans="8:11" x14ac:dyDescent="0.25">
      <c r="H1706" s="394" t="str">
        <f t="shared" si="121"/>
        <v/>
      </c>
      <c r="I1706" s="394" t="str">
        <f t="shared" si="122"/>
        <v/>
      </c>
      <c r="J1706" s="394" t="str">
        <f t="shared" si="123"/>
        <v/>
      </c>
      <c r="K1706" s="394" t="str">
        <f t="shared" si="124"/>
        <v/>
      </c>
    </row>
    <row r="1707" spans="8:11" x14ac:dyDescent="0.25">
      <c r="H1707" s="394" t="str">
        <f t="shared" si="121"/>
        <v/>
      </c>
      <c r="I1707" s="394" t="str">
        <f t="shared" si="122"/>
        <v/>
      </c>
      <c r="J1707" s="394" t="str">
        <f t="shared" si="123"/>
        <v/>
      </c>
      <c r="K1707" s="394" t="str">
        <f t="shared" si="124"/>
        <v/>
      </c>
    </row>
    <row r="1708" spans="8:11" x14ac:dyDescent="0.25">
      <c r="H1708" s="394" t="str">
        <f t="shared" si="121"/>
        <v/>
      </c>
      <c r="I1708" s="394" t="str">
        <f t="shared" si="122"/>
        <v/>
      </c>
      <c r="J1708" s="394" t="str">
        <f t="shared" si="123"/>
        <v/>
      </c>
      <c r="K1708" s="394" t="str">
        <f t="shared" si="124"/>
        <v/>
      </c>
    </row>
    <row r="1709" spans="8:11" x14ac:dyDescent="0.25">
      <c r="H1709" s="394" t="str">
        <f t="shared" si="121"/>
        <v/>
      </c>
      <c r="I1709" s="394" t="str">
        <f t="shared" si="122"/>
        <v/>
      </c>
      <c r="J1709" s="394" t="str">
        <f t="shared" si="123"/>
        <v/>
      </c>
      <c r="K1709" s="394" t="str">
        <f t="shared" si="124"/>
        <v/>
      </c>
    </row>
    <row r="1710" spans="8:11" x14ac:dyDescent="0.25">
      <c r="H1710" s="394" t="str">
        <f t="shared" si="121"/>
        <v/>
      </c>
      <c r="I1710" s="394" t="str">
        <f t="shared" si="122"/>
        <v/>
      </c>
      <c r="J1710" s="394" t="str">
        <f t="shared" si="123"/>
        <v/>
      </c>
      <c r="K1710" s="394" t="str">
        <f t="shared" si="124"/>
        <v/>
      </c>
    </row>
    <row r="1711" spans="8:11" x14ac:dyDescent="0.25">
      <c r="H1711" s="394" t="str">
        <f t="shared" si="121"/>
        <v/>
      </c>
      <c r="I1711" s="394" t="str">
        <f t="shared" si="122"/>
        <v/>
      </c>
      <c r="J1711" s="394" t="str">
        <f t="shared" si="123"/>
        <v/>
      </c>
      <c r="K1711" s="394" t="str">
        <f t="shared" si="124"/>
        <v/>
      </c>
    </row>
    <row r="1712" spans="8:11" x14ac:dyDescent="0.25">
      <c r="H1712" s="394" t="str">
        <f t="shared" si="121"/>
        <v/>
      </c>
      <c r="I1712" s="394" t="str">
        <f t="shared" si="122"/>
        <v/>
      </c>
      <c r="J1712" s="394" t="str">
        <f t="shared" si="123"/>
        <v/>
      </c>
      <c r="K1712" s="394" t="str">
        <f t="shared" si="124"/>
        <v/>
      </c>
    </row>
    <row r="1713" spans="8:11" x14ac:dyDescent="0.25">
      <c r="H1713" s="394" t="str">
        <f t="shared" si="121"/>
        <v/>
      </c>
      <c r="I1713" s="394" t="str">
        <f t="shared" si="122"/>
        <v/>
      </c>
      <c r="J1713" s="394" t="str">
        <f t="shared" si="123"/>
        <v/>
      </c>
      <c r="K1713" s="394" t="str">
        <f t="shared" si="124"/>
        <v/>
      </c>
    </row>
    <row r="1714" spans="8:11" x14ac:dyDescent="0.25">
      <c r="H1714" s="394" t="str">
        <f t="shared" si="121"/>
        <v/>
      </c>
      <c r="I1714" s="394" t="str">
        <f t="shared" si="122"/>
        <v/>
      </c>
      <c r="J1714" s="394" t="str">
        <f t="shared" si="123"/>
        <v/>
      </c>
      <c r="K1714" s="394" t="str">
        <f t="shared" si="124"/>
        <v/>
      </c>
    </row>
    <row r="1715" spans="8:11" x14ac:dyDescent="0.25">
      <c r="H1715" s="394" t="str">
        <f t="shared" si="121"/>
        <v/>
      </c>
      <c r="I1715" s="394" t="str">
        <f t="shared" si="122"/>
        <v/>
      </c>
      <c r="J1715" s="394" t="str">
        <f t="shared" si="123"/>
        <v/>
      </c>
      <c r="K1715" s="394" t="str">
        <f t="shared" si="124"/>
        <v/>
      </c>
    </row>
    <row r="1716" spans="8:11" x14ac:dyDescent="0.25">
      <c r="H1716" s="394" t="str">
        <f t="shared" si="121"/>
        <v/>
      </c>
      <c r="I1716" s="394" t="str">
        <f t="shared" si="122"/>
        <v/>
      </c>
      <c r="J1716" s="394" t="str">
        <f t="shared" si="123"/>
        <v/>
      </c>
      <c r="K1716" s="394" t="str">
        <f t="shared" si="124"/>
        <v/>
      </c>
    </row>
    <row r="1717" spans="8:11" x14ac:dyDescent="0.25">
      <c r="H1717" s="394" t="str">
        <f t="shared" si="121"/>
        <v/>
      </c>
      <c r="I1717" s="394" t="str">
        <f t="shared" si="122"/>
        <v/>
      </c>
      <c r="J1717" s="394" t="str">
        <f t="shared" si="123"/>
        <v/>
      </c>
      <c r="K1717" s="394" t="str">
        <f t="shared" si="124"/>
        <v/>
      </c>
    </row>
    <row r="1718" spans="8:11" x14ac:dyDescent="0.25">
      <c r="H1718" s="394" t="str">
        <f t="shared" si="121"/>
        <v/>
      </c>
      <c r="I1718" s="394" t="str">
        <f t="shared" si="122"/>
        <v/>
      </c>
      <c r="J1718" s="394" t="str">
        <f t="shared" si="123"/>
        <v/>
      </c>
      <c r="K1718" s="394" t="str">
        <f t="shared" si="124"/>
        <v/>
      </c>
    </row>
    <row r="1719" spans="8:11" x14ac:dyDescent="0.25">
      <c r="H1719" s="394" t="str">
        <f t="shared" si="121"/>
        <v/>
      </c>
      <c r="I1719" s="394" t="str">
        <f t="shared" si="122"/>
        <v/>
      </c>
      <c r="J1719" s="394" t="str">
        <f t="shared" si="123"/>
        <v/>
      </c>
      <c r="K1719" s="394" t="str">
        <f t="shared" si="124"/>
        <v/>
      </c>
    </row>
    <row r="1720" spans="8:11" x14ac:dyDescent="0.25">
      <c r="H1720" s="394" t="str">
        <f t="shared" si="121"/>
        <v/>
      </c>
      <c r="I1720" s="394" t="str">
        <f t="shared" si="122"/>
        <v/>
      </c>
      <c r="J1720" s="394" t="str">
        <f t="shared" si="123"/>
        <v/>
      </c>
      <c r="K1720" s="394" t="str">
        <f t="shared" si="124"/>
        <v/>
      </c>
    </row>
    <row r="1721" spans="8:11" x14ac:dyDescent="0.25">
      <c r="H1721" s="394" t="str">
        <f t="shared" si="121"/>
        <v/>
      </c>
      <c r="I1721" s="394" t="str">
        <f t="shared" si="122"/>
        <v/>
      </c>
      <c r="J1721" s="394" t="str">
        <f t="shared" si="123"/>
        <v/>
      </c>
      <c r="K1721" s="394" t="str">
        <f t="shared" si="124"/>
        <v/>
      </c>
    </row>
    <row r="1722" spans="8:11" x14ac:dyDescent="0.25">
      <c r="H1722" s="394" t="str">
        <f t="shared" si="121"/>
        <v/>
      </c>
      <c r="I1722" s="394" t="str">
        <f t="shared" si="122"/>
        <v/>
      </c>
      <c r="J1722" s="394" t="str">
        <f t="shared" si="123"/>
        <v/>
      </c>
      <c r="K1722" s="394" t="str">
        <f t="shared" si="124"/>
        <v/>
      </c>
    </row>
    <row r="1723" spans="8:11" x14ac:dyDescent="0.25">
      <c r="H1723" s="394" t="str">
        <f t="shared" si="121"/>
        <v/>
      </c>
      <c r="I1723" s="394" t="str">
        <f t="shared" si="122"/>
        <v/>
      </c>
      <c r="J1723" s="394" t="str">
        <f t="shared" si="123"/>
        <v/>
      </c>
      <c r="K1723" s="394" t="str">
        <f t="shared" si="124"/>
        <v/>
      </c>
    </row>
    <row r="1724" spans="8:11" x14ac:dyDescent="0.25">
      <c r="H1724" s="394" t="str">
        <f t="shared" si="121"/>
        <v/>
      </c>
      <c r="I1724" s="394" t="str">
        <f t="shared" si="122"/>
        <v/>
      </c>
      <c r="J1724" s="394" t="str">
        <f t="shared" si="123"/>
        <v/>
      </c>
      <c r="K1724" s="394" t="str">
        <f t="shared" si="124"/>
        <v/>
      </c>
    </row>
    <row r="1725" spans="8:11" x14ac:dyDescent="0.25">
      <c r="H1725" s="394" t="str">
        <f t="shared" si="121"/>
        <v/>
      </c>
      <c r="I1725" s="394" t="str">
        <f t="shared" si="122"/>
        <v/>
      </c>
      <c r="J1725" s="394" t="str">
        <f t="shared" si="123"/>
        <v/>
      </c>
      <c r="K1725" s="394" t="str">
        <f t="shared" si="124"/>
        <v/>
      </c>
    </row>
    <row r="1726" spans="8:11" x14ac:dyDescent="0.25">
      <c r="H1726" s="394" t="str">
        <f t="shared" si="121"/>
        <v/>
      </c>
      <c r="I1726" s="394" t="str">
        <f t="shared" si="122"/>
        <v/>
      </c>
      <c r="J1726" s="394" t="str">
        <f t="shared" si="123"/>
        <v/>
      </c>
      <c r="K1726" s="394" t="str">
        <f t="shared" si="124"/>
        <v/>
      </c>
    </row>
    <row r="1727" spans="8:11" x14ac:dyDescent="0.25">
      <c r="H1727" s="394" t="str">
        <f t="shared" si="121"/>
        <v/>
      </c>
      <c r="I1727" s="394" t="str">
        <f t="shared" si="122"/>
        <v/>
      </c>
      <c r="J1727" s="394" t="str">
        <f t="shared" si="123"/>
        <v/>
      </c>
      <c r="K1727" s="394" t="str">
        <f t="shared" si="124"/>
        <v/>
      </c>
    </row>
    <row r="1728" spans="8:11" x14ac:dyDescent="0.25">
      <c r="H1728" s="394" t="str">
        <f t="shared" si="121"/>
        <v/>
      </c>
      <c r="I1728" s="394" t="str">
        <f t="shared" si="122"/>
        <v/>
      </c>
      <c r="J1728" s="394" t="str">
        <f t="shared" si="123"/>
        <v/>
      </c>
      <c r="K1728" s="394" t="str">
        <f t="shared" si="124"/>
        <v/>
      </c>
    </row>
    <row r="1729" spans="8:11" x14ac:dyDescent="0.25">
      <c r="H1729" s="394" t="str">
        <f t="shared" si="121"/>
        <v/>
      </c>
      <c r="I1729" s="394" t="str">
        <f t="shared" si="122"/>
        <v/>
      </c>
      <c r="J1729" s="394" t="str">
        <f t="shared" si="123"/>
        <v/>
      </c>
      <c r="K1729" s="394" t="str">
        <f t="shared" si="124"/>
        <v/>
      </c>
    </row>
    <row r="1730" spans="8:11" x14ac:dyDescent="0.25">
      <c r="H1730" s="394" t="str">
        <f t="shared" si="121"/>
        <v/>
      </c>
      <c r="I1730" s="394" t="str">
        <f t="shared" si="122"/>
        <v/>
      </c>
      <c r="J1730" s="394" t="str">
        <f t="shared" si="123"/>
        <v/>
      </c>
      <c r="K1730" s="394" t="str">
        <f t="shared" si="124"/>
        <v/>
      </c>
    </row>
    <row r="1731" spans="8:11" x14ac:dyDescent="0.25">
      <c r="H1731" s="394" t="str">
        <f t="shared" si="121"/>
        <v/>
      </c>
      <c r="I1731" s="394" t="str">
        <f t="shared" si="122"/>
        <v/>
      </c>
      <c r="J1731" s="394" t="str">
        <f t="shared" si="123"/>
        <v/>
      </c>
      <c r="K1731" s="394" t="str">
        <f t="shared" si="124"/>
        <v/>
      </c>
    </row>
    <row r="1732" spans="8:11" x14ac:dyDescent="0.25">
      <c r="H1732" s="394" t="str">
        <f t="shared" si="121"/>
        <v/>
      </c>
      <c r="I1732" s="394" t="str">
        <f t="shared" si="122"/>
        <v/>
      </c>
      <c r="J1732" s="394" t="str">
        <f t="shared" si="123"/>
        <v/>
      </c>
      <c r="K1732" s="394" t="str">
        <f t="shared" si="124"/>
        <v/>
      </c>
    </row>
    <row r="1733" spans="8:11" x14ac:dyDescent="0.25">
      <c r="H1733" s="394" t="str">
        <f t="shared" si="121"/>
        <v/>
      </c>
      <c r="I1733" s="394" t="str">
        <f t="shared" si="122"/>
        <v/>
      </c>
      <c r="J1733" s="394" t="str">
        <f t="shared" si="123"/>
        <v/>
      </c>
      <c r="K1733" s="394" t="str">
        <f t="shared" si="124"/>
        <v/>
      </c>
    </row>
    <row r="1734" spans="8:11" x14ac:dyDescent="0.25">
      <c r="H1734" s="394" t="str">
        <f t="shared" si="121"/>
        <v/>
      </c>
      <c r="I1734" s="394" t="str">
        <f t="shared" si="122"/>
        <v/>
      </c>
      <c r="J1734" s="394" t="str">
        <f t="shared" si="123"/>
        <v/>
      </c>
      <c r="K1734" s="394" t="str">
        <f t="shared" si="124"/>
        <v/>
      </c>
    </row>
    <row r="1735" spans="8:11" x14ac:dyDescent="0.25">
      <c r="H1735" s="394" t="str">
        <f t="shared" si="121"/>
        <v/>
      </c>
      <c r="I1735" s="394" t="str">
        <f t="shared" si="122"/>
        <v/>
      </c>
      <c r="J1735" s="394" t="str">
        <f t="shared" si="123"/>
        <v/>
      </c>
      <c r="K1735" s="394" t="str">
        <f t="shared" si="124"/>
        <v/>
      </c>
    </row>
    <row r="1736" spans="8:11" x14ac:dyDescent="0.25">
      <c r="H1736" s="394" t="str">
        <f t="shared" si="121"/>
        <v/>
      </c>
      <c r="I1736" s="394" t="str">
        <f t="shared" si="122"/>
        <v/>
      </c>
      <c r="J1736" s="394" t="str">
        <f t="shared" si="123"/>
        <v/>
      </c>
      <c r="K1736" s="394" t="str">
        <f t="shared" si="124"/>
        <v/>
      </c>
    </row>
    <row r="1737" spans="8:11" x14ac:dyDescent="0.25">
      <c r="H1737" s="394" t="str">
        <f t="shared" si="121"/>
        <v/>
      </c>
      <c r="I1737" s="394" t="str">
        <f t="shared" si="122"/>
        <v/>
      </c>
      <c r="J1737" s="394" t="str">
        <f t="shared" si="123"/>
        <v/>
      </c>
      <c r="K1737" s="394" t="str">
        <f t="shared" si="124"/>
        <v/>
      </c>
    </row>
    <row r="1738" spans="8:11" x14ac:dyDescent="0.25">
      <c r="H1738" s="394" t="str">
        <f t="shared" si="121"/>
        <v/>
      </c>
      <c r="I1738" s="394" t="str">
        <f t="shared" si="122"/>
        <v/>
      </c>
      <c r="J1738" s="394" t="str">
        <f t="shared" si="123"/>
        <v/>
      </c>
      <c r="K1738" s="394" t="str">
        <f t="shared" si="124"/>
        <v/>
      </c>
    </row>
    <row r="1739" spans="8:11" x14ac:dyDescent="0.25">
      <c r="H1739" s="394" t="str">
        <f t="shared" si="121"/>
        <v/>
      </c>
      <c r="I1739" s="394" t="str">
        <f t="shared" si="122"/>
        <v/>
      </c>
      <c r="J1739" s="394" t="str">
        <f t="shared" si="123"/>
        <v/>
      </c>
      <c r="K1739" s="394" t="str">
        <f t="shared" si="124"/>
        <v/>
      </c>
    </row>
    <row r="1740" spans="8:11" x14ac:dyDescent="0.25">
      <c r="H1740" s="394" t="str">
        <f t="shared" si="121"/>
        <v/>
      </c>
      <c r="I1740" s="394" t="str">
        <f t="shared" si="122"/>
        <v/>
      </c>
      <c r="J1740" s="394" t="str">
        <f t="shared" si="123"/>
        <v/>
      </c>
      <c r="K1740" s="394" t="str">
        <f t="shared" si="124"/>
        <v/>
      </c>
    </row>
    <row r="1741" spans="8:11" x14ac:dyDescent="0.25">
      <c r="H1741" s="394" t="str">
        <f t="shared" si="121"/>
        <v/>
      </c>
      <c r="I1741" s="394" t="str">
        <f t="shared" si="122"/>
        <v/>
      </c>
      <c r="J1741" s="394" t="str">
        <f t="shared" si="123"/>
        <v/>
      </c>
      <c r="K1741" s="394" t="str">
        <f t="shared" si="124"/>
        <v/>
      </c>
    </row>
    <row r="1742" spans="8:11" x14ac:dyDescent="0.25">
      <c r="H1742" s="394" t="str">
        <f t="shared" si="121"/>
        <v/>
      </c>
      <c r="I1742" s="394" t="str">
        <f t="shared" si="122"/>
        <v/>
      </c>
      <c r="J1742" s="394" t="str">
        <f t="shared" si="123"/>
        <v/>
      </c>
      <c r="K1742" s="394" t="str">
        <f t="shared" si="124"/>
        <v/>
      </c>
    </row>
    <row r="1743" spans="8:11" x14ac:dyDescent="0.25">
      <c r="H1743" s="394" t="str">
        <f t="shared" si="121"/>
        <v/>
      </c>
      <c r="I1743" s="394" t="str">
        <f t="shared" si="122"/>
        <v/>
      </c>
      <c r="J1743" s="394" t="str">
        <f t="shared" si="123"/>
        <v/>
      </c>
      <c r="K1743" s="394" t="str">
        <f t="shared" si="124"/>
        <v/>
      </c>
    </row>
    <row r="1744" spans="8:11" x14ac:dyDescent="0.25">
      <c r="H1744" s="394" t="str">
        <f t="shared" si="121"/>
        <v/>
      </c>
      <c r="I1744" s="394" t="str">
        <f t="shared" si="122"/>
        <v/>
      </c>
      <c r="J1744" s="394" t="str">
        <f t="shared" si="123"/>
        <v/>
      </c>
      <c r="K1744" s="394" t="str">
        <f t="shared" si="124"/>
        <v/>
      </c>
    </row>
    <row r="1745" spans="8:11" x14ac:dyDescent="0.25">
      <c r="H1745" s="394" t="str">
        <f t="shared" si="121"/>
        <v/>
      </c>
      <c r="I1745" s="394" t="str">
        <f t="shared" si="122"/>
        <v/>
      </c>
      <c r="J1745" s="394" t="str">
        <f t="shared" si="123"/>
        <v/>
      </c>
      <c r="K1745" s="394" t="str">
        <f t="shared" si="124"/>
        <v/>
      </c>
    </row>
    <row r="1746" spans="8:11" x14ac:dyDescent="0.25">
      <c r="H1746" s="394" t="str">
        <f t="shared" si="121"/>
        <v/>
      </c>
      <c r="I1746" s="394" t="str">
        <f t="shared" si="122"/>
        <v/>
      </c>
      <c r="J1746" s="394" t="str">
        <f t="shared" si="123"/>
        <v/>
      </c>
      <c r="K1746" s="394" t="str">
        <f t="shared" si="124"/>
        <v/>
      </c>
    </row>
    <row r="1747" spans="8:11" x14ac:dyDescent="0.25">
      <c r="H1747" s="394" t="str">
        <f t="shared" si="121"/>
        <v/>
      </c>
      <c r="I1747" s="394" t="str">
        <f t="shared" si="122"/>
        <v/>
      </c>
      <c r="J1747" s="394" t="str">
        <f t="shared" si="123"/>
        <v/>
      </c>
      <c r="K1747" s="394" t="str">
        <f t="shared" si="124"/>
        <v/>
      </c>
    </row>
    <row r="1748" spans="8:11" x14ac:dyDescent="0.25">
      <c r="H1748" s="394" t="str">
        <f t="shared" si="121"/>
        <v/>
      </c>
      <c r="I1748" s="394" t="str">
        <f t="shared" si="122"/>
        <v/>
      </c>
      <c r="J1748" s="394" t="str">
        <f t="shared" si="123"/>
        <v/>
      </c>
      <c r="K1748" s="394" t="str">
        <f t="shared" si="124"/>
        <v/>
      </c>
    </row>
    <row r="1749" spans="8:11" x14ac:dyDescent="0.25">
      <c r="H1749" s="394" t="str">
        <f t="shared" si="121"/>
        <v/>
      </c>
      <c r="I1749" s="394" t="str">
        <f t="shared" si="122"/>
        <v/>
      </c>
      <c r="J1749" s="394" t="str">
        <f t="shared" si="123"/>
        <v/>
      </c>
      <c r="K1749" s="394" t="str">
        <f t="shared" si="124"/>
        <v/>
      </c>
    </row>
    <row r="1750" spans="8:11" x14ac:dyDescent="0.25">
      <c r="H1750" s="394" t="str">
        <f t="shared" si="121"/>
        <v/>
      </c>
      <c r="I1750" s="394" t="str">
        <f t="shared" si="122"/>
        <v/>
      </c>
      <c r="J1750" s="394" t="str">
        <f t="shared" si="123"/>
        <v/>
      </c>
      <c r="K1750" s="394" t="str">
        <f t="shared" si="124"/>
        <v/>
      </c>
    </row>
    <row r="1751" spans="8:11" x14ac:dyDescent="0.25">
      <c r="H1751" s="394" t="str">
        <f t="shared" si="121"/>
        <v/>
      </c>
      <c r="I1751" s="394" t="str">
        <f t="shared" si="122"/>
        <v/>
      </c>
      <c r="J1751" s="394" t="str">
        <f t="shared" si="123"/>
        <v/>
      </c>
      <c r="K1751" s="394" t="str">
        <f t="shared" si="124"/>
        <v/>
      </c>
    </row>
    <row r="1752" spans="8:11" x14ac:dyDescent="0.25">
      <c r="H1752" s="394" t="str">
        <f t="shared" si="121"/>
        <v/>
      </c>
      <c r="I1752" s="394" t="str">
        <f t="shared" si="122"/>
        <v/>
      </c>
      <c r="J1752" s="394" t="str">
        <f t="shared" si="123"/>
        <v/>
      </c>
      <c r="K1752" s="394" t="str">
        <f t="shared" si="124"/>
        <v/>
      </c>
    </row>
    <row r="1753" spans="8:11" x14ac:dyDescent="0.25">
      <c r="H1753" s="394" t="str">
        <f t="shared" si="121"/>
        <v/>
      </c>
      <c r="I1753" s="394" t="str">
        <f t="shared" si="122"/>
        <v/>
      </c>
      <c r="J1753" s="394" t="str">
        <f t="shared" si="123"/>
        <v/>
      </c>
      <c r="K1753" s="394" t="str">
        <f t="shared" si="124"/>
        <v/>
      </c>
    </row>
    <row r="1754" spans="8:11" x14ac:dyDescent="0.25">
      <c r="H1754" s="394" t="str">
        <f t="shared" si="121"/>
        <v/>
      </c>
      <c r="I1754" s="394" t="str">
        <f t="shared" si="122"/>
        <v/>
      </c>
      <c r="J1754" s="394" t="str">
        <f t="shared" si="123"/>
        <v/>
      </c>
      <c r="K1754" s="394" t="str">
        <f t="shared" si="124"/>
        <v/>
      </c>
    </row>
    <row r="1755" spans="8:11" x14ac:dyDescent="0.25">
      <c r="H1755" s="394" t="str">
        <f t="shared" si="121"/>
        <v/>
      </c>
      <c r="I1755" s="394" t="str">
        <f t="shared" si="122"/>
        <v/>
      </c>
      <c r="J1755" s="394" t="str">
        <f t="shared" si="123"/>
        <v/>
      </c>
      <c r="K1755" s="394" t="str">
        <f t="shared" si="124"/>
        <v/>
      </c>
    </row>
    <row r="1756" spans="8:11" x14ac:dyDescent="0.25">
      <c r="H1756" s="394" t="str">
        <f t="shared" si="121"/>
        <v/>
      </c>
      <c r="I1756" s="394" t="str">
        <f t="shared" si="122"/>
        <v/>
      </c>
      <c r="J1756" s="394" t="str">
        <f t="shared" si="123"/>
        <v/>
      </c>
      <c r="K1756" s="394" t="str">
        <f t="shared" si="124"/>
        <v/>
      </c>
    </row>
    <row r="1757" spans="8:11" x14ac:dyDescent="0.25">
      <c r="H1757" s="394" t="str">
        <f t="shared" si="121"/>
        <v/>
      </c>
      <c r="I1757" s="394" t="str">
        <f t="shared" si="122"/>
        <v/>
      </c>
      <c r="J1757" s="394" t="str">
        <f t="shared" si="123"/>
        <v/>
      </c>
      <c r="K1757" s="394" t="str">
        <f t="shared" si="124"/>
        <v/>
      </c>
    </row>
    <row r="1758" spans="8:11" x14ac:dyDescent="0.25">
      <c r="H1758" s="394" t="str">
        <f t="shared" si="121"/>
        <v/>
      </c>
      <c r="I1758" s="394" t="str">
        <f t="shared" si="122"/>
        <v/>
      </c>
      <c r="J1758" s="394" t="str">
        <f t="shared" si="123"/>
        <v/>
      </c>
      <c r="K1758" s="394" t="str">
        <f t="shared" si="124"/>
        <v/>
      </c>
    </row>
    <row r="1759" spans="8:11" x14ac:dyDescent="0.25">
      <c r="H1759" s="394" t="str">
        <f t="shared" si="121"/>
        <v/>
      </c>
      <c r="I1759" s="394" t="str">
        <f t="shared" si="122"/>
        <v/>
      </c>
      <c r="J1759" s="394" t="str">
        <f t="shared" si="123"/>
        <v/>
      </c>
      <c r="K1759" s="394" t="str">
        <f t="shared" si="124"/>
        <v/>
      </c>
    </row>
    <row r="1760" spans="8:11" x14ac:dyDescent="0.25">
      <c r="H1760" s="394" t="str">
        <f t="shared" si="121"/>
        <v/>
      </c>
      <c r="I1760" s="394" t="str">
        <f t="shared" si="122"/>
        <v/>
      </c>
      <c r="J1760" s="394" t="str">
        <f t="shared" si="123"/>
        <v/>
      </c>
      <c r="K1760" s="394" t="str">
        <f t="shared" si="124"/>
        <v/>
      </c>
    </row>
    <row r="1761" spans="8:11" x14ac:dyDescent="0.25">
      <c r="H1761" s="394" t="str">
        <f t="shared" si="121"/>
        <v/>
      </c>
      <c r="I1761" s="394" t="str">
        <f t="shared" si="122"/>
        <v/>
      </c>
      <c r="J1761" s="394" t="str">
        <f t="shared" si="123"/>
        <v/>
      </c>
      <c r="K1761" s="394" t="str">
        <f t="shared" si="124"/>
        <v/>
      </c>
    </row>
    <row r="1762" spans="8:11" x14ac:dyDescent="0.25">
      <c r="H1762" s="394" t="str">
        <f t="shared" si="121"/>
        <v/>
      </c>
      <c r="I1762" s="394" t="str">
        <f t="shared" si="122"/>
        <v/>
      </c>
      <c r="J1762" s="394" t="str">
        <f t="shared" si="123"/>
        <v/>
      </c>
      <c r="K1762" s="394" t="str">
        <f t="shared" si="124"/>
        <v/>
      </c>
    </row>
    <row r="1763" spans="8:11" x14ac:dyDescent="0.25">
      <c r="H1763" s="394" t="str">
        <f t="shared" si="121"/>
        <v/>
      </c>
      <c r="I1763" s="394" t="str">
        <f t="shared" si="122"/>
        <v/>
      </c>
      <c r="J1763" s="394" t="str">
        <f t="shared" si="123"/>
        <v/>
      </c>
      <c r="K1763" s="394" t="str">
        <f t="shared" si="124"/>
        <v/>
      </c>
    </row>
    <row r="1764" spans="8:11" x14ac:dyDescent="0.25">
      <c r="H1764" s="394" t="str">
        <f t="shared" si="121"/>
        <v/>
      </c>
      <c r="I1764" s="394" t="str">
        <f t="shared" si="122"/>
        <v/>
      </c>
      <c r="J1764" s="394" t="str">
        <f t="shared" si="123"/>
        <v/>
      </c>
      <c r="K1764" s="394" t="str">
        <f t="shared" si="124"/>
        <v/>
      </c>
    </row>
    <row r="1765" spans="8:11" x14ac:dyDescent="0.25">
      <c r="H1765" s="394" t="str">
        <f t="shared" si="121"/>
        <v/>
      </c>
      <c r="I1765" s="394" t="str">
        <f t="shared" si="122"/>
        <v/>
      </c>
      <c r="J1765" s="394" t="str">
        <f t="shared" si="123"/>
        <v/>
      </c>
      <c r="K1765" s="394" t="str">
        <f t="shared" si="124"/>
        <v/>
      </c>
    </row>
    <row r="1766" spans="8:11" x14ac:dyDescent="0.25">
      <c r="H1766" s="394" t="str">
        <f t="shared" si="121"/>
        <v/>
      </c>
      <c r="I1766" s="394" t="str">
        <f t="shared" si="122"/>
        <v/>
      </c>
      <c r="J1766" s="394" t="str">
        <f t="shared" si="123"/>
        <v/>
      </c>
      <c r="K1766" s="394" t="str">
        <f t="shared" si="124"/>
        <v/>
      </c>
    </row>
    <row r="1767" spans="8:11" x14ac:dyDescent="0.25">
      <c r="H1767" s="394" t="str">
        <f t="shared" si="121"/>
        <v/>
      </c>
      <c r="I1767" s="394" t="str">
        <f t="shared" si="122"/>
        <v/>
      </c>
      <c r="J1767" s="394" t="str">
        <f t="shared" si="123"/>
        <v/>
      </c>
      <c r="K1767" s="394" t="str">
        <f t="shared" si="124"/>
        <v/>
      </c>
    </row>
    <row r="1768" spans="8:11" x14ac:dyDescent="0.25">
      <c r="H1768" s="394" t="str">
        <f t="shared" si="121"/>
        <v/>
      </c>
      <c r="I1768" s="394" t="str">
        <f t="shared" si="122"/>
        <v/>
      </c>
      <c r="J1768" s="394" t="str">
        <f t="shared" si="123"/>
        <v/>
      </c>
      <c r="K1768" s="394" t="str">
        <f t="shared" si="124"/>
        <v/>
      </c>
    </row>
    <row r="1769" spans="8:11" x14ac:dyDescent="0.25">
      <c r="H1769" s="394" t="str">
        <f t="shared" ref="H1769:H1832" si="125">IF($C791="","",ROUND(($B$2*$F791*($B$5/1000))/$B$6,2))</f>
        <v/>
      </c>
      <c r="I1769" s="394" t="str">
        <f t="shared" ref="I1769:I1832" si="126">IF($C791="","",ROUND(($B$3*$F791*($B$5/1000))/$B$6,2))</f>
        <v/>
      </c>
      <c r="J1769" s="394" t="str">
        <f t="shared" ref="J1769:J1832" si="127">IF(OR($C791="",$B$9="",$B$15=""),"",ROUND(((((IF($B$15="N/A",$B$2,$B$4))*$F791*($B$5/1000))+((($G791/1000)*($B$5/1000)*10.7639104)*(IF($B$9="Smooth",$B$10,IF($B$9="Sand",$B$11,0)))))*(1+$B$17))/$B$8,2))</f>
        <v/>
      </c>
      <c r="K1769" s="394" t="str">
        <f t="shared" ref="K1769:K1832" si="128">IF(OR($C791="",$B$12="",$B$15=""),"",ROUND(((((IF($B$15="N/A",$B$2,$B$4))*$F791*($B$5/1000))+((($G791/1000)*($B$5/1000)*10.7639104)*(IF($B$12="Indoor",$B$13,IF($B$12="Outdoor",$B$14,0)))))*(1+$B$17))/$B$8,2))</f>
        <v/>
      </c>
    </row>
    <row r="1770" spans="8:11" x14ac:dyDescent="0.25">
      <c r="H1770" s="394" t="str">
        <f t="shared" si="125"/>
        <v/>
      </c>
      <c r="I1770" s="394" t="str">
        <f t="shared" si="126"/>
        <v/>
      </c>
      <c r="J1770" s="394" t="str">
        <f t="shared" si="127"/>
        <v/>
      </c>
      <c r="K1770" s="394" t="str">
        <f t="shared" si="128"/>
        <v/>
      </c>
    </row>
    <row r="1771" spans="8:11" x14ac:dyDescent="0.25">
      <c r="H1771" s="394" t="str">
        <f t="shared" si="125"/>
        <v/>
      </c>
      <c r="I1771" s="394" t="str">
        <f t="shared" si="126"/>
        <v/>
      </c>
      <c r="J1771" s="394" t="str">
        <f t="shared" si="127"/>
        <v/>
      </c>
      <c r="K1771" s="394" t="str">
        <f t="shared" si="128"/>
        <v/>
      </c>
    </row>
    <row r="1772" spans="8:11" x14ac:dyDescent="0.25">
      <c r="H1772" s="394" t="str">
        <f t="shared" si="125"/>
        <v/>
      </c>
      <c r="I1772" s="394" t="str">
        <f t="shared" si="126"/>
        <v/>
      </c>
      <c r="J1772" s="394" t="str">
        <f t="shared" si="127"/>
        <v/>
      </c>
      <c r="K1772" s="394" t="str">
        <f t="shared" si="128"/>
        <v/>
      </c>
    </row>
    <row r="1773" spans="8:11" x14ac:dyDescent="0.25">
      <c r="H1773" s="394" t="str">
        <f t="shared" si="125"/>
        <v/>
      </c>
      <c r="I1773" s="394" t="str">
        <f t="shared" si="126"/>
        <v/>
      </c>
      <c r="J1773" s="394" t="str">
        <f t="shared" si="127"/>
        <v/>
      </c>
      <c r="K1773" s="394" t="str">
        <f t="shared" si="128"/>
        <v/>
      </c>
    </row>
    <row r="1774" spans="8:11" x14ac:dyDescent="0.25">
      <c r="H1774" s="394" t="str">
        <f t="shared" si="125"/>
        <v/>
      </c>
      <c r="I1774" s="394" t="str">
        <f t="shared" si="126"/>
        <v/>
      </c>
      <c r="J1774" s="394" t="str">
        <f t="shared" si="127"/>
        <v/>
      </c>
      <c r="K1774" s="394" t="str">
        <f t="shared" si="128"/>
        <v/>
      </c>
    </row>
    <row r="1775" spans="8:11" x14ac:dyDescent="0.25">
      <c r="H1775" s="394" t="str">
        <f t="shared" si="125"/>
        <v/>
      </c>
      <c r="I1775" s="394" t="str">
        <f t="shared" si="126"/>
        <v/>
      </c>
      <c r="J1775" s="394" t="str">
        <f t="shared" si="127"/>
        <v/>
      </c>
      <c r="K1775" s="394" t="str">
        <f t="shared" si="128"/>
        <v/>
      </c>
    </row>
    <row r="1776" spans="8:11" x14ac:dyDescent="0.25">
      <c r="H1776" s="394" t="str">
        <f t="shared" si="125"/>
        <v/>
      </c>
      <c r="I1776" s="394" t="str">
        <f t="shared" si="126"/>
        <v/>
      </c>
      <c r="J1776" s="394" t="str">
        <f t="shared" si="127"/>
        <v/>
      </c>
      <c r="K1776" s="394" t="str">
        <f t="shared" si="128"/>
        <v/>
      </c>
    </row>
    <row r="1777" spans="8:11" x14ac:dyDescent="0.25">
      <c r="H1777" s="394" t="str">
        <f t="shared" si="125"/>
        <v/>
      </c>
      <c r="I1777" s="394" t="str">
        <f t="shared" si="126"/>
        <v/>
      </c>
      <c r="J1777" s="394" t="str">
        <f t="shared" si="127"/>
        <v/>
      </c>
      <c r="K1777" s="394" t="str">
        <f t="shared" si="128"/>
        <v/>
      </c>
    </row>
    <row r="1778" spans="8:11" x14ac:dyDescent="0.25">
      <c r="H1778" s="394" t="str">
        <f t="shared" si="125"/>
        <v/>
      </c>
      <c r="I1778" s="394" t="str">
        <f t="shared" si="126"/>
        <v/>
      </c>
      <c r="J1778" s="394" t="str">
        <f t="shared" si="127"/>
        <v/>
      </c>
      <c r="K1778" s="394" t="str">
        <f t="shared" si="128"/>
        <v/>
      </c>
    </row>
    <row r="1779" spans="8:11" x14ac:dyDescent="0.25">
      <c r="H1779" s="394" t="str">
        <f t="shared" si="125"/>
        <v/>
      </c>
      <c r="I1779" s="394" t="str">
        <f t="shared" si="126"/>
        <v/>
      </c>
      <c r="J1779" s="394" t="str">
        <f t="shared" si="127"/>
        <v/>
      </c>
      <c r="K1779" s="394" t="str">
        <f t="shared" si="128"/>
        <v/>
      </c>
    </row>
    <row r="1780" spans="8:11" x14ac:dyDescent="0.25">
      <c r="H1780" s="394" t="str">
        <f t="shared" si="125"/>
        <v/>
      </c>
      <c r="I1780" s="394" t="str">
        <f t="shared" si="126"/>
        <v/>
      </c>
      <c r="J1780" s="394" t="str">
        <f t="shared" si="127"/>
        <v/>
      </c>
      <c r="K1780" s="394" t="str">
        <f t="shared" si="128"/>
        <v/>
      </c>
    </row>
    <row r="1781" spans="8:11" x14ac:dyDescent="0.25">
      <c r="H1781" s="394" t="str">
        <f t="shared" si="125"/>
        <v/>
      </c>
      <c r="I1781" s="394" t="str">
        <f t="shared" si="126"/>
        <v/>
      </c>
      <c r="J1781" s="394" t="str">
        <f t="shared" si="127"/>
        <v/>
      </c>
      <c r="K1781" s="394" t="str">
        <f t="shared" si="128"/>
        <v/>
      </c>
    </row>
    <row r="1782" spans="8:11" x14ac:dyDescent="0.25">
      <c r="H1782" s="394" t="str">
        <f t="shared" si="125"/>
        <v/>
      </c>
      <c r="I1782" s="394" t="str">
        <f t="shared" si="126"/>
        <v/>
      </c>
      <c r="J1782" s="394" t="str">
        <f t="shared" si="127"/>
        <v/>
      </c>
      <c r="K1782" s="394" t="str">
        <f t="shared" si="128"/>
        <v/>
      </c>
    </row>
    <row r="1783" spans="8:11" x14ac:dyDescent="0.25">
      <c r="H1783" s="394" t="str">
        <f t="shared" si="125"/>
        <v/>
      </c>
      <c r="I1783" s="394" t="str">
        <f t="shared" si="126"/>
        <v/>
      </c>
      <c r="J1783" s="394" t="str">
        <f t="shared" si="127"/>
        <v/>
      </c>
      <c r="K1783" s="394" t="str">
        <f t="shared" si="128"/>
        <v/>
      </c>
    </row>
    <row r="1784" spans="8:11" x14ac:dyDescent="0.25">
      <c r="H1784" s="394" t="str">
        <f t="shared" si="125"/>
        <v/>
      </c>
      <c r="I1784" s="394" t="str">
        <f t="shared" si="126"/>
        <v/>
      </c>
      <c r="J1784" s="394" t="str">
        <f t="shared" si="127"/>
        <v/>
      </c>
      <c r="K1784" s="394" t="str">
        <f t="shared" si="128"/>
        <v/>
      </c>
    </row>
    <row r="1785" spans="8:11" x14ac:dyDescent="0.25">
      <c r="H1785" s="394" t="str">
        <f t="shared" si="125"/>
        <v/>
      </c>
      <c r="I1785" s="394" t="str">
        <f t="shared" si="126"/>
        <v/>
      </c>
      <c r="J1785" s="394" t="str">
        <f t="shared" si="127"/>
        <v/>
      </c>
      <c r="K1785" s="394" t="str">
        <f t="shared" si="128"/>
        <v/>
      </c>
    </row>
    <row r="1786" spans="8:11" x14ac:dyDescent="0.25">
      <c r="H1786" s="394" t="str">
        <f t="shared" si="125"/>
        <v/>
      </c>
      <c r="I1786" s="394" t="str">
        <f t="shared" si="126"/>
        <v/>
      </c>
      <c r="J1786" s="394" t="str">
        <f t="shared" si="127"/>
        <v/>
      </c>
      <c r="K1786" s="394" t="str">
        <f t="shared" si="128"/>
        <v/>
      </c>
    </row>
    <row r="1787" spans="8:11" x14ac:dyDescent="0.25">
      <c r="H1787" s="394" t="str">
        <f t="shared" si="125"/>
        <v/>
      </c>
      <c r="I1787" s="394" t="str">
        <f t="shared" si="126"/>
        <v/>
      </c>
      <c r="J1787" s="394" t="str">
        <f t="shared" si="127"/>
        <v/>
      </c>
      <c r="K1787" s="394" t="str">
        <f t="shared" si="128"/>
        <v/>
      </c>
    </row>
    <row r="1788" spans="8:11" x14ac:dyDescent="0.25">
      <c r="H1788" s="394" t="str">
        <f t="shared" si="125"/>
        <v/>
      </c>
      <c r="I1788" s="394" t="str">
        <f t="shared" si="126"/>
        <v/>
      </c>
      <c r="J1788" s="394" t="str">
        <f t="shared" si="127"/>
        <v/>
      </c>
      <c r="K1788" s="394" t="str">
        <f t="shared" si="128"/>
        <v/>
      </c>
    </row>
    <row r="1789" spans="8:11" x14ac:dyDescent="0.25">
      <c r="H1789" s="394" t="str">
        <f t="shared" si="125"/>
        <v/>
      </c>
      <c r="I1789" s="394" t="str">
        <f t="shared" si="126"/>
        <v/>
      </c>
      <c r="J1789" s="394" t="str">
        <f t="shared" si="127"/>
        <v/>
      </c>
      <c r="K1789" s="394" t="str">
        <f t="shared" si="128"/>
        <v/>
      </c>
    </row>
    <row r="1790" spans="8:11" x14ac:dyDescent="0.25">
      <c r="H1790" s="394" t="str">
        <f t="shared" si="125"/>
        <v/>
      </c>
      <c r="I1790" s="394" t="str">
        <f t="shared" si="126"/>
        <v/>
      </c>
      <c r="J1790" s="394" t="str">
        <f t="shared" si="127"/>
        <v/>
      </c>
      <c r="K1790" s="394" t="str">
        <f t="shared" si="128"/>
        <v/>
      </c>
    </row>
    <row r="1791" spans="8:11" x14ac:dyDescent="0.25">
      <c r="H1791" s="394" t="str">
        <f t="shared" si="125"/>
        <v/>
      </c>
      <c r="I1791" s="394" t="str">
        <f t="shared" si="126"/>
        <v/>
      </c>
      <c r="J1791" s="394" t="str">
        <f t="shared" si="127"/>
        <v/>
      </c>
      <c r="K1791" s="394" t="str">
        <f t="shared" si="128"/>
        <v/>
      </c>
    </row>
    <row r="1792" spans="8:11" x14ac:dyDescent="0.25">
      <c r="H1792" s="394" t="str">
        <f t="shared" si="125"/>
        <v/>
      </c>
      <c r="I1792" s="394" t="str">
        <f t="shared" si="126"/>
        <v/>
      </c>
      <c r="J1792" s="394" t="str">
        <f t="shared" si="127"/>
        <v/>
      </c>
      <c r="K1792" s="394" t="str">
        <f t="shared" si="128"/>
        <v/>
      </c>
    </row>
    <row r="1793" spans="8:11" x14ac:dyDescent="0.25">
      <c r="H1793" s="394" t="str">
        <f t="shared" si="125"/>
        <v/>
      </c>
      <c r="I1793" s="394" t="str">
        <f t="shared" si="126"/>
        <v/>
      </c>
      <c r="J1793" s="394" t="str">
        <f t="shared" si="127"/>
        <v/>
      </c>
      <c r="K1793" s="394" t="str">
        <f t="shared" si="128"/>
        <v/>
      </c>
    </row>
    <row r="1794" spans="8:11" x14ac:dyDescent="0.25">
      <c r="H1794" s="394" t="str">
        <f t="shared" si="125"/>
        <v/>
      </c>
      <c r="I1794" s="394" t="str">
        <f t="shared" si="126"/>
        <v/>
      </c>
      <c r="J1794" s="394" t="str">
        <f t="shared" si="127"/>
        <v/>
      </c>
      <c r="K1794" s="394" t="str">
        <f t="shared" si="128"/>
        <v/>
      </c>
    </row>
    <row r="1795" spans="8:11" x14ac:dyDescent="0.25">
      <c r="H1795" s="394" t="str">
        <f t="shared" si="125"/>
        <v/>
      </c>
      <c r="I1795" s="394" t="str">
        <f t="shared" si="126"/>
        <v/>
      </c>
      <c r="J1795" s="394" t="str">
        <f t="shared" si="127"/>
        <v/>
      </c>
      <c r="K1795" s="394" t="str">
        <f t="shared" si="128"/>
        <v/>
      </c>
    </row>
    <row r="1796" spans="8:11" x14ac:dyDescent="0.25">
      <c r="H1796" s="394" t="str">
        <f t="shared" si="125"/>
        <v/>
      </c>
      <c r="I1796" s="394" t="str">
        <f t="shared" si="126"/>
        <v/>
      </c>
      <c r="J1796" s="394" t="str">
        <f t="shared" si="127"/>
        <v/>
      </c>
      <c r="K1796" s="394" t="str">
        <f t="shared" si="128"/>
        <v/>
      </c>
    </row>
    <row r="1797" spans="8:11" x14ac:dyDescent="0.25">
      <c r="H1797" s="394" t="str">
        <f t="shared" si="125"/>
        <v/>
      </c>
      <c r="I1797" s="394" t="str">
        <f t="shared" si="126"/>
        <v/>
      </c>
      <c r="J1797" s="394" t="str">
        <f t="shared" si="127"/>
        <v/>
      </c>
      <c r="K1797" s="394" t="str">
        <f t="shared" si="128"/>
        <v/>
      </c>
    </row>
    <row r="1798" spans="8:11" x14ac:dyDescent="0.25">
      <c r="H1798" s="394" t="str">
        <f t="shared" si="125"/>
        <v/>
      </c>
      <c r="I1798" s="394" t="str">
        <f t="shared" si="126"/>
        <v/>
      </c>
      <c r="J1798" s="394" t="str">
        <f t="shared" si="127"/>
        <v/>
      </c>
      <c r="K1798" s="394" t="str">
        <f t="shared" si="128"/>
        <v/>
      </c>
    </row>
    <row r="1799" spans="8:11" x14ac:dyDescent="0.25">
      <c r="H1799" s="394" t="str">
        <f t="shared" si="125"/>
        <v/>
      </c>
      <c r="I1799" s="394" t="str">
        <f t="shared" si="126"/>
        <v/>
      </c>
      <c r="J1799" s="394" t="str">
        <f t="shared" si="127"/>
        <v/>
      </c>
      <c r="K1799" s="394" t="str">
        <f t="shared" si="128"/>
        <v/>
      </c>
    </row>
    <row r="1800" spans="8:11" x14ac:dyDescent="0.25">
      <c r="H1800" s="394" t="str">
        <f t="shared" si="125"/>
        <v/>
      </c>
      <c r="I1800" s="394" t="str">
        <f t="shared" si="126"/>
        <v/>
      </c>
      <c r="J1800" s="394" t="str">
        <f t="shared" si="127"/>
        <v/>
      </c>
      <c r="K1800" s="394" t="str">
        <f t="shared" si="128"/>
        <v/>
      </c>
    </row>
    <row r="1801" spans="8:11" x14ac:dyDescent="0.25">
      <c r="H1801" s="394" t="str">
        <f t="shared" si="125"/>
        <v/>
      </c>
      <c r="I1801" s="394" t="str">
        <f t="shared" si="126"/>
        <v/>
      </c>
      <c r="J1801" s="394" t="str">
        <f t="shared" si="127"/>
        <v/>
      </c>
      <c r="K1801" s="394" t="str">
        <f t="shared" si="128"/>
        <v/>
      </c>
    </row>
    <row r="1802" spans="8:11" x14ac:dyDescent="0.25">
      <c r="H1802" s="394" t="str">
        <f t="shared" si="125"/>
        <v/>
      </c>
      <c r="I1802" s="394" t="str">
        <f t="shared" si="126"/>
        <v/>
      </c>
      <c r="J1802" s="394" t="str">
        <f t="shared" si="127"/>
        <v/>
      </c>
      <c r="K1802" s="394" t="str">
        <f t="shared" si="128"/>
        <v/>
      </c>
    </row>
    <row r="1803" spans="8:11" x14ac:dyDescent="0.25">
      <c r="H1803" s="394" t="str">
        <f t="shared" si="125"/>
        <v/>
      </c>
      <c r="I1803" s="394" t="str">
        <f t="shared" si="126"/>
        <v/>
      </c>
      <c r="J1803" s="394" t="str">
        <f t="shared" si="127"/>
        <v/>
      </c>
      <c r="K1803" s="394" t="str">
        <f t="shared" si="128"/>
        <v/>
      </c>
    </row>
    <row r="1804" spans="8:11" x14ac:dyDescent="0.25">
      <c r="H1804" s="394" t="str">
        <f t="shared" si="125"/>
        <v/>
      </c>
      <c r="I1804" s="394" t="str">
        <f t="shared" si="126"/>
        <v/>
      </c>
      <c r="J1804" s="394" t="str">
        <f t="shared" si="127"/>
        <v/>
      </c>
      <c r="K1804" s="394" t="str">
        <f t="shared" si="128"/>
        <v/>
      </c>
    </row>
    <row r="1805" spans="8:11" x14ac:dyDescent="0.25">
      <c r="H1805" s="394" t="str">
        <f t="shared" si="125"/>
        <v/>
      </c>
      <c r="I1805" s="394" t="str">
        <f t="shared" si="126"/>
        <v/>
      </c>
      <c r="J1805" s="394" t="str">
        <f t="shared" si="127"/>
        <v/>
      </c>
      <c r="K1805" s="394" t="str">
        <f t="shared" si="128"/>
        <v/>
      </c>
    </row>
    <row r="1806" spans="8:11" x14ac:dyDescent="0.25">
      <c r="H1806" s="394" t="str">
        <f t="shared" si="125"/>
        <v/>
      </c>
      <c r="I1806" s="394" t="str">
        <f t="shared" si="126"/>
        <v/>
      </c>
      <c r="J1806" s="394" t="str">
        <f t="shared" si="127"/>
        <v/>
      </c>
      <c r="K1806" s="394" t="str">
        <f t="shared" si="128"/>
        <v/>
      </c>
    </row>
    <row r="1807" spans="8:11" x14ac:dyDescent="0.25">
      <c r="H1807" s="394" t="str">
        <f t="shared" si="125"/>
        <v/>
      </c>
      <c r="I1807" s="394" t="str">
        <f t="shared" si="126"/>
        <v/>
      </c>
      <c r="J1807" s="394" t="str">
        <f t="shared" si="127"/>
        <v/>
      </c>
      <c r="K1807" s="394" t="str">
        <f t="shared" si="128"/>
        <v/>
      </c>
    </row>
    <row r="1808" spans="8:11" x14ac:dyDescent="0.25">
      <c r="H1808" s="394" t="str">
        <f t="shared" si="125"/>
        <v/>
      </c>
      <c r="I1808" s="394" t="str">
        <f t="shared" si="126"/>
        <v/>
      </c>
      <c r="J1808" s="394" t="str">
        <f t="shared" si="127"/>
        <v/>
      </c>
      <c r="K1808" s="394" t="str">
        <f t="shared" si="128"/>
        <v/>
      </c>
    </row>
    <row r="1809" spans="8:11" x14ac:dyDescent="0.25">
      <c r="H1809" s="394" t="str">
        <f t="shared" si="125"/>
        <v/>
      </c>
      <c r="I1809" s="394" t="str">
        <f t="shared" si="126"/>
        <v/>
      </c>
      <c r="J1809" s="394" t="str">
        <f t="shared" si="127"/>
        <v/>
      </c>
      <c r="K1809" s="394" t="str">
        <f t="shared" si="128"/>
        <v/>
      </c>
    </row>
    <row r="1810" spans="8:11" x14ac:dyDescent="0.25">
      <c r="H1810" s="394" t="str">
        <f t="shared" si="125"/>
        <v/>
      </c>
      <c r="I1810" s="394" t="str">
        <f t="shared" si="126"/>
        <v/>
      </c>
      <c r="J1810" s="394" t="str">
        <f t="shared" si="127"/>
        <v/>
      </c>
      <c r="K1810" s="394" t="str">
        <f t="shared" si="128"/>
        <v/>
      </c>
    </row>
    <row r="1811" spans="8:11" x14ac:dyDescent="0.25">
      <c r="H1811" s="394" t="str">
        <f t="shared" si="125"/>
        <v/>
      </c>
      <c r="I1811" s="394" t="str">
        <f t="shared" si="126"/>
        <v/>
      </c>
      <c r="J1811" s="394" t="str">
        <f t="shared" si="127"/>
        <v/>
      </c>
      <c r="K1811" s="394" t="str">
        <f t="shared" si="128"/>
        <v/>
      </c>
    </row>
    <row r="1812" spans="8:11" x14ac:dyDescent="0.25">
      <c r="H1812" s="394" t="str">
        <f t="shared" si="125"/>
        <v/>
      </c>
      <c r="I1812" s="394" t="str">
        <f t="shared" si="126"/>
        <v/>
      </c>
      <c r="J1812" s="394" t="str">
        <f t="shared" si="127"/>
        <v/>
      </c>
      <c r="K1812" s="394" t="str">
        <f t="shared" si="128"/>
        <v/>
      </c>
    </row>
    <row r="1813" spans="8:11" x14ac:dyDescent="0.25">
      <c r="H1813" s="394" t="str">
        <f t="shared" si="125"/>
        <v/>
      </c>
      <c r="I1813" s="394" t="str">
        <f t="shared" si="126"/>
        <v/>
      </c>
      <c r="J1813" s="394" t="str">
        <f t="shared" si="127"/>
        <v/>
      </c>
      <c r="K1813" s="394" t="str">
        <f t="shared" si="128"/>
        <v/>
      </c>
    </row>
    <row r="1814" spans="8:11" x14ac:dyDescent="0.25">
      <c r="H1814" s="394" t="str">
        <f t="shared" si="125"/>
        <v/>
      </c>
      <c r="I1814" s="394" t="str">
        <f t="shared" si="126"/>
        <v/>
      </c>
      <c r="J1814" s="394" t="str">
        <f t="shared" si="127"/>
        <v/>
      </c>
      <c r="K1814" s="394" t="str">
        <f t="shared" si="128"/>
        <v/>
      </c>
    </row>
    <row r="1815" spans="8:11" x14ac:dyDescent="0.25">
      <c r="H1815" s="394" t="str">
        <f t="shared" si="125"/>
        <v/>
      </c>
      <c r="I1815" s="394" t="str">
        <f t="shared" si="126"/>
        <v/>
      </c>
      <c r="J1815" s="394" t="str">
        <f t="shared" si="127"/>
        <v/>
      </c>
      <c r="K1815" s="394" t="str">
        <f t="shared" si="128"/>
        <v/>
      </c>
    </row>
    <row r="1816" spans="8:11" x14ac:dyDescent="0.25">
      <c r="H1816" s="394" t="str">
        <f t="shared" si="125"/>
        <v/>
      </c>
      <c r="I1816" s="394" t="str">
        <f t="shared" si="126"/>
        <v/>
      </c>
      <c r="J1816" s="394" t="str">
        <f t="shared" si="127"/>
        <v/>
      </c>
      <c r="K1816" s="394" t="str">
        <f t="shared" si="128"/>
        <v/>
      </c>
    </row>
    <row r="1817" spans="8:11" x14ac:dyDescent="0.25">
      <c r="H1817" s="394" t="str">
        <f t="shared" si="125"/>
        <v/>
      </c>
      <c r="I1817" s="394" t="str">
        <f t="shared" si="126"/>
        <v/>
      </c>
      <c r="J1817" s="394" t="str">
        <f t="shared" si="127"/>
        <v/>
      </c>
      <c r="K1817" s="394" t="str">
        <f t="shared" si="128"/>
        <v/>
      </c>
    </row>
    <row r="1818" spans="8:11" x14ac:dyDescent="0.25">
      <c r="H1818" s="394" t="str">
        <f t="shared" si="125"/>
        <v/>
      </c>
      <c r="I1818" s="394" t="str">
        <f t="shared" si="126"/>
        <v/>
      </c>
      <c r="J1818" s="394" t="str">
        <f t="shared" si="127"/>
        <v/>
      </c>
      <c r="K1818" s="394" t="str">
        <f t="shared" si="128"/>
        <v/>
      </c>
    </row>
    <row r="1819" spans="8:11" x14ac:dyDescent="0.25">
      <c r="H1819" s="394" t="str">
        <f t="shared" si="125"/>
        <v/>
      </c>
      <c r="I1819" s="394" t="str">
        <f t="shared" si="126"/>
        <v/>
      </c>
      <c r="J1819" s="394" t="str">
        <f t="shared" si="127"/>
        <v/>
      </c>
      <c r="K1819" s="394" t="str">
        <f t="shared" si="128"/>
        <v/>
      </c>
    </row>
    <row r="1820" spans="8:11" x14ac:dyDescent="0.25">
      <c r="H1820" s="394" t="str">
        <f t="shared" si="125"/>
        <v/>
      </c>
      <c r="I1820" s="394" t="str">
        <f t="shared" si="126"/>
        <v/>
      </c>
      <c r="J1820" s="394" t="str">
        <f t="shared" si="127"/>
        <v/>
      </c>
      <c r="K1820" s="394" t="str">
        <f t="shared" si="128"/>
        <v/>
      </c>
    </row>
    <row r="1821" spans="8:11" x14ac:dyDescent="0.25">
      <c r="H1821" s="394" t="str">
        <f t="shared" si="125"/>
        <v/>
      </c>
      <c r="I1821" s="394" t="str">
        <f t="shared" si="126"/>
        <v/>
      </c>
      <c r="J1821" s="394" t="str">
        <f t="shared" si="127"/>
        <v/>
      </c>
      <c r="K1821" s="394" t="str">
        <f t="shared" si="128"/>
        <v/>
      </c>
    </row>
    <row r="1822" spans="8:11" x14ac:dyDescent="0.25">
      <c r="H1822" s="394" t="str">
        <f t="shared" si="125"/>
        <v/>
      </c>
      <c r="I1822" s="394" t="str">
        <f t="shared" si="126"/>
        <v/>
      </c>
      <c r="J1822" s="394" t="str">
        <f t="shared" si="127"/>
        <v/>
      </c>
      <c r="K1822" s="394" t="str">
        <f t="shared" si="128"/>
        <v/>
      </c>
    </row>
    <row r="1823" spans="8:11" x14ac:dyDescent="0.25">
      <c r="H1823" s="394" t="str">
        <f t="shared" si="125"/>
        <v/>
      </c>
      <c r="I1823" s="394" t="str">
        <f t="shared" si="126"/>
        <v/>
      </c>
      <c r="J1823" s="394" t="str">
        <f t="shared" si="127"/>
        <v/>
      </c>
      <c r="K1823" s="394" t="str">
        <f t="shared" si="128"/>
        <v/>
      </c>
    </row>
    <row r="1824" spans="8:11" x14ac:dyDescent="0.25">
      <c r="H1824" s="394" t="str">
        <f t="shared" si="125"/>
        <v/>
      </c>
      <c r="I1824" s="394" t="str">
        <f t="shared" si="126"/>
        <v/>
      </c>
      <c r="J1824" s="394" t="str">
        <f t="shared" si="127"/>
        <v/>
      </c>
      <c r="K1824" s="394" t="str">
        <f t="shared" si="128"/>
        <v/>
      </c>
    </row>
    <row r="1825" spans="8:11" x14ac:dyDescent="0.25">
      <c r="H1825" s="394" t="str">
        <f t="shared" si="125"/>
        <v/>
      </c>
      <c r="I1825" s="394" t="str">
        <f t="shared" si="126"/>
        <v/>
      </c>
      <c r="J1825" s="394" t="str">
        <f t="shared" si="127"/>
        <v/>
      </c>
      <c r="K1825" s="394" t="str">
        <f t="shared" si="128"/>
        <v/>
      </c>
    </row>
    <row r="1826" spans="8:11" x14ac:dyDescent="0.25">
      <c r="H1826" s="394" t="str">
        <f t="shared" si="125"/>
        <v/>
      </c>
      <c r="I1826" s="394" t="str">
        <f t="shared" si="126"/>
        <v/>
      </c>
      <c r="J1826" s="394" t="str">
        <f t="shared" si="127"/>
        <v/>
      </c>
      <c r="K1826" s="394" t="str">
        <f t="shared" si="128"/>
        <v/>
      </c>
    </row>
    <row r="1827" spans="8:11" x14ac:dyDescent="0.25">
      <c r="H1827" s="394" t="str">
        <f t="shared" si="125"/>
        <v/>
      </c>
      <c r="I1827" s="394" t="str">
        <f t="shared" si="126"/>
        <v/>
      </c>
      <c r="J1827" s="394" t="str">
        <f t="shared" si="127"/>
        <v/>
      </c>
      <c r="K1827" s="394" t="str">
        <f t="shared" si="128"/>
        <v/>
      </c>
    </row>
    <row r="1828" spans="8:11" x14ac:dyDescent="0.25">
      <c r="H1828" s="394" t="str">
        <f t="shared" si="125"/>
        <v/>
      </c>
      <c r="I1828" s="394" t="str">
        <f t="shared" si="126"/>
        <v/>
      </c>
      <c r="J1828" s="394" t="str">
        <f t="shared" si="127"/>
        <v/>
      </c>
      <c r="K1828" s="394" t="str">
        <f t="shared" si="128"/>
        <v/>
      </c>
    </row>
    <row r="1829" spans="8:11" x14ac:dyDescent="0.25">
      <c r="H1829" s="394" t="str">
        <f t="shared" si="125"/>
        <v/>
      </c>
      <c r="I1829" s="394" t="str">
        <f t="shared" si="126"/>
        <v/>
      </c>
      <c r="J1829" s="394" t="str">
        <f t="shared" si="127"/>
        <v/>
      </c>
      <c r="K1829" s="394" t="str">
        <f t="shared" si="128"/>
        <v/>
      </c>
    </row>
    <row r="1830" spans="8:11" x14ac:dyDescent="0.25">
      <c r="H1830" s="394" t="str">
        <f t="shared" si="125"/>
        <v/>
      </c>
      <c r="I1830" s="394" t="str">
        <f t="shared" si="126"/>
        <v/>
      </c>
      <c r="J1830" s="394" t="str">
        <f t="shared" si="127"/>
        <v/>
      </c>
      <c r="K1830" s="394" t="str">
        <f t="shared" si="128"/>
        <v/>
      </c>
    </row>
    <row r="1831" spans="8:11" x14ac:dyDescent="0.25">
      <c r="H1831" s="394" t="str">
        <f t="shared" si="125"/>
        <v/>
      </c>
      <c r="I1831" s="394" t="str">
        <f t="shared" si="126"/>
        <v/>
      </c>
      <c r="J1831" s="394" t="str">
        <f t="shared" si="127"/>
        <v/>
      </c>
      <c r="K1831" s="394" t="str">
        <f t="shared" si="128"/>
        <v/>
      </c>
    </row>
    <row r="1832" spans="8:11" x14ac:dyDescent="0.25">
      <c r="H1832" s="394" t="str">
        <f t="shared" si="125"/>
        <v/>
      </c>
      <c r="I1832" s="394" t="str">
        <f t="shared" si="126"/>
        <v/>
      </c>
      <c r="J1832" s="394" t="str">
        <f t="shared" si="127"/>
        <v/>
      </c>
      <c r="K1832" s="394" t="str">
        <f t="shared" si="128"/>
        <v/>
      </c>
    </row>
    <row r="1833" spans="8:11" x14ac:dyDescent="0.25">
      <c r="H1833" s="394" t="str">
        <f t="shared" ref="H1833:H1896" si="129">IF($C855="","",ROUND(($B$2*$F855*($B$5/1000))/$B$6,2))</f>
        <v/>
      </c>
      <c r="I1833" s="394" t="str">
        <f t="shared" ref="I1833:I1896" si="130">IF($C855="","",ROUND(($B$3*$F855*($B$5/1000))/$B$6,2))</f>
        <v/>
      </c>
      <c r="J1833" s="394" t="str">
        <f t="shared" ref="J1833:J1896" si="131">IF(OR($C855="",$B$9="",$B$15=""),"",ROUND(((((IF($B$15="N/A",$B$2,$B$4))*$F855*($B$5/1000))+((($G855/1000)*($B$5/1000)*10.7639104)*(IF($B$9="Smooth",$B$10,IF($B$9="Sand",$B$11,0)))))*(1+$B$17))/$B$8,2))</f>
        <v/>
      </c>
      <c r="K1833" s="394" t="str">
        <f t="shared" ref="K1833:K1896" si="132">IF(OR($C855="",$B$12="",$B$15=""),"",ROUND(((((IF($B$15="N/A",$B$2,$B$4))*$F855*($B$5/1000))+((($G855/1000)*($B$5/1000)*10.7639104)*(IF($B$12="Indoor",$B$13,IF($B$12="Outdoor",$B$14,0)))))*(1+$B$17))/$B$8,2))</f>
        <v/>
      </c>
    </row>
    <row r="1834" spans="8:11" x14ac:dyDescent="0.25">
      <c r="H1834" s="394" t="str">
        <f t="shared" si="129"/>
        <v/>
      </c>
      <c r="I1834" s="394" t="str">
        <f t="shared" si="130"/>
        <v/>
      </c>
      <c r="J1834" s="394" t="str">
        <f t="shared" si="131"/>
        <v/>
      </c>
      <c r="K1834" s="394" t="str">
        <f t="shared" si="132"/>
        <v/>
      </c>
    </row>
    <row r="1835" spans="8:11" x14ac:dyDescent="0.25">
      <c r="H1835" s="394" t="str">
        <f t="shared" si="129"/>
        <v/>
      </c>
      <c r="I1835" s="394" t="str">
        <f t="shared" si="130"/>
        <v/>
      </c>
      <c r="J1835" s="394" t="str">
        <f t="shared" si="131"/>
        <v/>
      </c>
      <c r="K1835" s="394" t="str">
        <f t="shared" si="132"/>
        <v/>
      </c>
    </row>
    <row r="1836" spans="8:11" x14ac:dyDescent="0.25">
      <c r="H1836" s="394" t="str">
        <f t="shared" si="129"/>
        <v/>
      </c>
      <c r="I1836" s="394" t="str">
        <f t="shared" si="130"/>
        <v/>
      </c>
      <c r="J1836" s="394" t="str">
        <f t="shared" si="131"/>
        <v/>
      </c>
      <c r="K1836" s="394" t="str">
        <f t="shared" si="132"/>
        <v/>
      </c>
    </row>
    <row r="1837" spans="8:11" x14ac:dyDescent="0.25">
      <c r="H1837" s="394" t="str">
        <f t="shared" si="129"/>
        <v/>
      </c>
      <c r="I1837" s="394" t="str">
        <f t="shared" si="130"/>
        <v/>
      </c>
      <c r="J1837" s="394" t="str">
        <f t="shared" si="131"/>
        <v/>
      </c>
      <c r="K1837" s="394" t="str">
        <f t="shared" si="132"/>
        <v/>
      </c>
    </row>
    <row r="1838" spans="8:11" x14ac:dyDescent="0.25">
      <c r="H1838" s="394" t="str">
        <f t="shared" si="129"/>
        <v/>
      </c>
      <c r="I1838" s="394" t="str">
        <f t="shared" si="130"/>
        <v/>
      </c>
      <c r="J1838" s="394" t="str">
        <f t="shared" si="131"/>
        <v/>
      </c>
      <c r="K1838" s="394" t="str">
        <f t="shared" si="132"/>
        <v/>
      </c>
    </row>
    <row r="1839" spans="8:11" x14ac:dyDescent="0.25">
      <c r="H1839" s="394" t="str">
        <f t="shared" si="129"/>
        <v/>
      </c>
      <c r="I1839" s="394" t="str">
        <f t="shared" si="130"/>
        <v/>
      </c>
      <c r="J1839" s="394" t="str">
        <f t="shared" si="131"/>
        <v/>
      </c>
      <c r="K1839" s="394" t="str">
        <f t="shared" si="132"/>
        <v/>
      </c>
    </row>
    <row r="1840" spans="8:11" x14ac:dyDescent="0.25">
      <c r="H1840" s="394" t="str">
        <f t="shared" si="129"/>
        <v/>
      </c>
      <c r="I1840" s="394" t="str">
        <f t="shared" si="130"/>
        <v/>
      </c>
      <c r="J1840" s="394" t="str">
        <f t="shared" si="131"/>
        <v/>
      </c>
      <c r="K1840" s="394" t="str">
        <f t="shared" si="132"/>
        <v/>
      </c>
    </row>
    <row r="1841" spans="8:11" x14ac:dyDescent="0.25">
      <c r="H1841" s="394" t="str">
        <f t="shared" si="129"/>
        <v/>
      </c>
      <c r="I1841" s="394" t="str">
        <f t="shared" si="130"/>
        <v/>
      </c>
      <c r="J1841" s="394" t="str">
        <f t="shared" si="131"/>
        <v/>
      </c>
      <c r="K1841" s="394" t="str">
        <f t="shared" si="132"/>
        <v/>
      </c>
    </row>
    <row r="1842" spans="8:11" x14ac:dyDescent="0.25">
      <c r="H1842" s="394" t="str">
        <f t="shared" si="129"/>
        <v/>
      </c>
      <c r="I1842" s="394" t="str">
        <f t="shared" si="130"/>
        <v/>
      </c>
      <c r="J1842" s="394" t="str">
        <f t="shared" si="131"/>
        <v/>
      </c>
      <c r="K1842" s="394" t="str">
        <f t="shared" si="132"/>
        <v/>
      </c>
    </row>
    <row r="1843" spans="8:11" x14ac:dyDescent="0.25">
      <c r="H1843" s="394" t="str">
        <f t="shared" si="129"/>
        <v/>
      </c>
      <c r="I1843" s="394" t="str">
        <f t="shared" si="130"/>
        <v/>
      </c>
      <c r="J1843" s="394" t="str">
        <f t="shared" si="131"/>
        <v/>
      </c>
      <c r="K1843" s="394" t="str">
        <f t="shared" si="132"/>
        <v/>
      </c>
    </row>
    <row r="1844" spans="8:11" x14ac:dyDescent="0.25">
      <c r="H1844" s="394" t="str">
        <f t="shared" si="129"/>
        <v/>
      </c>
      <c r="I1844" s="394" t="str">
        <f t="shared" si="130"/>
        <v/>
      </c>
      <c r="J1844" s="394" t="str">
        <f t="shared" si="131"/>
        <v/>
      </c>
      <c r="K1844" s="394" t="str">
        <f t="shared" si="132"/>
        <v/>
      </c>
    </row>
    <row r="1845" spans="8:11" x14ac:dyDescent="0.25">
      <c r="H1845" s="394" t="str">
        <f t="shared" si="129"/>
        <v/>
      </c>
      <c r="I1845" s="394" t="str">
        <f t="shared" si="130"/>
        <v/>
      </c>
      <c r="J1845" s="394" t="str">
        <f t="shared" si="131"/>
        <v/>
      </c>
      <c r="K1845" s="394" t="str">
        <f t="shared" si="132"/>
        <v/>
      </c>
    </row>
    <row r="1846" spans="8:11" x14ac:dyDescent="0.25">
      <c r="H1846" s="394" t="str">
        <f t="shared" si="129"/>
        <v/>
      </c>
      <c r="I1846" s="394" t="str">
        <f t="shared" si="130"/>
        <v/>
      </c>
      <c r="J1846" s="394" t="str">
        <f t="shared" si="131"/>
        <v/>
      </c>
      <c r="K1846" s="394" t="str">
        <f t="shared" si="132"/>
        <v/>
      </c>
    </row>
    <row r="1847" spans="8:11" x14ac:dyDescent="0.25">
      <c r="H1847" s="394" t="str">
        <f t="shared" si="129"/>
        <v/>
      </c>
      <c r="I1847" s="394" t="str">
        <f t="shared" si="130"/>
        <v/>
      </c>
      <c r="J1847" s="394" t="str">
        <f t="shared" si="131"/>
        <v/>
      </c>
      <c r="K1847" s="394" t="str">
        <f t="shared" si="132"/>
        <v/>
      </c>
    </row>
    <row r="1848" spans="8:11" x14ac:dyDescent="0.25">
      <c r="H1848" s="394" t="str">
        <f t="shared" si="129"/>
        <v/>
      </c>
      <c r="I1848" s="394" t="str">
        <f t="shared" si="130"/>
        <v/>
      </c>
      <c r="J1848" s="394" t="str">
        <f t="shared" si="131"/>
        <v/>
      </c>
      <c r="K1848" s="394" t="str">
        <f t="shared" si="132"/>
        <v/>
      </c>
    </row>
    <row r="1849" spans="8:11" x14ac:dyDescent="0.25">
      <c r="H1849" s="394" t="str">
        <f t="shared" si="129"/>
        <v/>
      </c>
      <c r="I1849" s="394" t="str">
        <f t="shared" si="130"/>
        <v/>
      </c>
      <c r="J1849" s="394" t="str">
        <f t="shared" si="131"/>
        <v/>
      </c>
      <c r="K1849" s="394" t="str">
        <f t="shared" si="132"/>
        <v/>
      </c>
    </row>
    <row r="1850" spans="8:11" x14ac:dyDescent="0.25">
      <c r="H1850" s="394" t="str">
        <f t="shared" si="129"/>
        <v/>
      </c>
      <c r="I1850" s="394" t="str">
        <f t="shared" si="130"/>
        <v/>
      </c>
      <c r="J1850" s="394" t="str">
        <f t="shared" si="131"/>
        <v/>
      </c>
      <c r="K1850" s="394" t="str">
        <f t="shared" si="132"/>
        <v/>
      </c>
    </row>
    <row r="1851" spans="8:11" x14ac:dyDescent="0.25">
      <c r="H1851" s="394" t="str">
        <f t="shared" si="129"/>
        <v/>
      </c>
      <c r="I1851" s="394" t="str">
        <f t="shared" si="130"/>
        <v/>
      </c>
      <c r="J1851" s="394" t="str">
        <f t="shared" si="131"/>
        <v/>
      </c>
      <c r="K1851" s="394" t="str">
        <f t="shared" si="132"/>
        <v/>
      </c>
    </row>
    <row r="1852" spans="8:11" x14ac:dyDescent="0.25">
      <c r="H1852" s="394" t="str">
        <f t="shared" si="129"/>
        <v/>
      </c>
      <c r="I1852" s="394" t="str">
        <f t="shared" si="130"/>
        <v/>
      </c>
      <c r="J1852" s="394" t="str">
        <f t="shared" si="131"/>
        <v/>
      </c>
      <c r="K1852" s="394" t="str">
        <f t="shared" si="132"/>
        <v/>
      </c>
    </row>
    <row r="1853" spans="8:11" x14ac:dyDescent="0.25">
      <c r="H1853" s="394" t="str">
        <f t="shared" si="129"/>
        <v/>
      </c>
      <c r="I1853" s="394" t="str">
        <f t="shared" si="130"/>
        <v/>
      </c>
      <c r="J1853" s="394" t="str">
        <f t="shared" si="131"/>
        <v/>
      </c>
      <c r="K1853" s="394" t="str">
        <f t="shared" si="132"/>
        <v/>
      </c>
    </row>
    <row r="1854" spans="8:11" x14ac:dyDescent="0.25">
      <c r="H1854" s="394" t="str">
        <f t="shared" si="129"/>
        <v/>
      </c>
      <c r="I1854" s="394" t="str">
        <f t="shared" si="130"/>
        <v/>
      </c>
      <c r="J1854" s="394" t="str">
        <f t="shared" si="131"/>
        <v/>
      </c>
      <c r="K1854" s="394" t="str">
        <f t="shared" si="132"/>
        <v/>
      </c>
    </row>
    <row r="1855" spans="8:11" x14ac:dyDescent="0.25">
      <c r="H1855" s="394" t="str">
        <f t="shared" si="129"/>
        <v/>
      </c>
      <c r="I1855" s="394" t="str">
        <f t="shared" si="130"/>
        <v/>
      </c>
      <c r="J1855" s="394" t="str">
        <f t="shared" si="131"/>
        <v/>
      </c>
      <c r="K1855" s="394" t="str">
        <f t="shared" si="132"/>
        <v/>
      </c>
    </row>
    <row r="1856" spans="8:11" x14ac:dyDescent="0.25">
      <c r="H1856" s="394" t="str">
        <f t="shared" si="129"/>
        <v/>
      </c>
      <c r="I1856" s="394" t="str">
        <f t="shared" si="130"/>
        <v/>
      </c>
      <c r="J1856" s="394" t="str">
        <f t="shared" si="131"/>
        <v/>
      </c>
      <c r="K1856" s="394" t="str">
        <f t="shared" si="132"/>
        <v/>
      </c>
    </row>
    <row r="1857" spans="8:11" x14ac:dyDescent="0.25">
      <c r="H1857" s="394" t="str">
        <f t="shared" si="129"/>
        <v/>
      </c>
      <c r="I1857" s="394" t="str">
        <f t="shared" si="130"/>
        <v/>
      </c>
      <c r="J1857" s="394" t="str">
        <f t="shared" si="131"/>
        <v/>
      </c>
      <c r="K1857" s="394" t="str">
        <f t="shared" si="132"/>
        <v/>
      </c>
    </row>
    <row r="1858" spans="8:11" x14ac:dyDescent="0.25">
      <c r="H1858" s="394" t="str">
        <f t="shared" si="129"/>
        <v/>
      </c>
      <c r="I1858" s="394" t="str">
        <f t="shared" si="130"/>
        <v/>
      </c>
      <c r="J1858" s="394" t="str">
        <f t="shared" si="131"/>
        <v/>
      </c>
      <c r="K1858" s="394" t="str">
        <f t="shared" si="132"/>
        <v/>
      </c>
    </row>
    <row r="1859" spans="8:11" x14ac:dyDescent="0.25">
      <c r="H1859" s="394" t="str">
        <f t="shared" si="129"/>
        <v/>
      </c>
      <c r="I1859" s="394" t="str">
        <f t="shared" si="130"/>
        <v/>
      </c>
      <c r="J1859" s="394" t="str">
        <f t="shared" si="131"/>
        <v/>
      </c>
      <c r="K1859" s="394" t="str">
        <f t="shared" si="132"/>
        <v/>
      </c>
    </row>
    <row r="1860" spans="8:11" x14ac:dyDescent="0.25">
      <c r="H1860" s="394" t="str">
        <f t="shared" si="129"/>
        <v/>
      </c>
      <c r="I1860" s="394" t="str">
        <f t="shared" si="130"/>
        <v/>
      </c>
      <c r="J1860" s="394" t="str">
        <f t="shared" si="131"/>
        <v/>
      </c>
      <c r="K1860" s="394" t="str">
        <f t="shared" si="132"/>
        <v/>
      </c>
    </row>
    <row r="1861" spans="8:11" x14ac:dyDescent="0.25">
      <c r="H1861" s="394" t="str">
        <f t="shared" si="129"/>
        <v/>
      </c>
      <c r="I1861" s="394" t="str">
        <f t="shared" si="130"/>
        <v/>
      </c>
      <c r="J1861" s="394" t="str">
        <f t="shared" si="131"/>
        <v/>
      </c>
      <c r="K1861" s="394" t="str">
        <f t="shared" si="132"/>
        <v/>
      </c>
    </row>
    <row r="1862" spans="8:11" x14ac:dyDescent="0.25">
      <c r="H1862" s="394" t="str">
        <f t="shared" si="129"/>
        <v/>
      </c>
      <c r="I1862" s="394" t="str">
        <f t="shared" si="130"/>
        <v/>
      </c>
      <c r="J1862" s="394" t="str">
        <f t="shared" si="131"/>
        <v/>
      </c>
      <c r="K1862" s="394" t="str">
        <f t="shared" si="132"/>
        <v/>
      </c>
    </row>
    <row r="1863" spans="8:11" x14ac:dyDescent="0.25">
      <c r="H1863" s="394" t="str">
        <f t="shared" si="129"/>
        <v/>
      </c>
      <c r="I1863" s="394" t="str">
        <f t="shared" si="130"/>
        <v/>
      </c>
      <c r="J1863" s="394" t="str">
        <f t="shared" si="131"/>
        <v/>
      </c>
      <c r="K1863" s="394" t="str">
        <f t="shared" si="132"/>
        <v/>
      </c>
    </row>
    <row r="1864" spans="8:11" x14ac:dyDescent="0.25">
      <c r="H1864" s="394" t="str">
        <f t="shared" si="129"/>
        <v/>
      </c>
      <c r="I1864" s="394" t="str">
        <f t="shared" si="130"/>
        <v/>
      </c>
      <c r="J1864" s="394" t="str">
        <f t="shared" si="131"/>
        <v/>
      </c>
      <c r="K1864" s="394" t="str">
        <f t="shared" si="132"/>
        <v/>
      </c>
    </row>
    <row r="1865" spans="8:11" x14ac:dyDescent="0.25">
      <c r="H1865" s="394" t="str">
        <f t="shared" si="129"/>
        <v/>
      </c>
      <c r="I1865" s="394" t="str">
        <f t="shared" si="130"/>
        <v/>
      </c>
      <c r="J1865" s="394" t="str">
        <f t="shared" si="131"/>
        <v/>
      </c>
      <c r="K1865" s="394" t="str">
        <f t="shared" si="132"/>
        <v/>
      </c>
    </row>
    <row r="1866" spans="8:11" x14ac:dyDescent="0.25">
      <c r="H1866" s="394" t="str">
        <f t="shared" si="129"/>
        <v/>
      </c>
      <c r="I1866" s="394" t="str">
        <f t="shared" si="130"/>
        <v/>
      </c>
      <c r="J1866" s="394" t="str">
        <f t="shared" si="131"/>
        <v/>
      </c>
      <c r="K1866" s="394" t="str">
        <f t="shared" si="132"/>
        <v/>
      </c>
    </row>
    <row r="1867" spans="8:11" x14ac:dyDescent="0.25">
      <c r="H1867" s="394" t="str">
        <f t="shared" si="129"/>
        <v/>
      </c>
      <c r="I1867" s="394" t="str">
        <f t="shared" si="130"/>
        <v/>
      </c>
      <c r="J1867" s="394" t="str">
        <f t="shared" si="131"/>
        <v/>
      </c>
      <c r="K1867" s="394" t="str">
        <f t="shared" si="132"/>
        <v/>
      </c>
    </row>
    <row r="1868" spans="8:11" x14ac:dyDescent="0.25">
      <c r="H1868" s="394" t="str">
        <f t="shared" si="129"/>
        <v/>
      </c>
      <c r="I1868" s="394" t="str">
        <f t="shared" si="130"/>
        <v/>
      </c>
      <c r="J1868" s="394" t="str">
        <f t="shared" si="131"/>
        <v/>
      </c>
      <c r="K1868" s="394" t="str">
        <f t="shared" si="132"/>
        <v/>
      </c>
    </row>
    <row r="1869" spans="8:11" x14ac:dyDescent="0.25">
      <c r="H1869" s="394" t="str">
        <f t="shared" si="129"/>
        <v/>
      </c>
      <c r="I1869" s="394" t="str">
        <f t="shared" si="130"/>
        <v/>
      </c>
      <c r="J1869" s="394" t="str">
        <f t="shared" si="131"/>
        <v/>
      </c>
      <c r="K1869" s="394" t="str">
        <f t="shared" si="132"/>
        <v/>
      </c>
    </row>
    <row r="1870" spans="8:11" x14ac:dyDescent="0.25">
      <c r="H1870" s="394" t="str">
        <f t="shared" si="129"/>
        <v/>
      </c>
      <c r="I1870" s="394" t="str">
        <f t="shared" si="130"/>
        <v/>
      </c>
      <c r="J1870" s="394" t="str">
        <f t="shared" si="131"/>
        <v/>
      </c>
      <c r="K1870" s="394" t="str">
        <f t="shared" si="132"/>
        <v/>
      </c>
    </row>
    <row r="1871" spans="8:11" x14ac:dyDescent="0.25">
      <c r="H1871" s="394" t="str">
        <f t="shared" si="129"/>
        <v/>
      </c>
      <c r="I1871" s="394" t="str">
        <f t="shared" si="130"/>
        <v/>
      </c>
      <c r="J1871" s="394" t="str">
        <f t="shared" si="131"/>
        <v/>
      </c>
      <c r="K1871" s="394" t="str">
        <f t="shared" si="132"/>
        <v/>
      </c>
    </row>
    <row r="1872" spans="8:11" x14ac:dyDescent="0.25">
      <c r="H1872" s="394" t="str">
        <f t="shared" si="129"/>
        <v/>
      </c>
      <c r="I1872" s="394" t="str">
        <f t="shared" si="130"/>
        <v/>
      </c>
      <c r="J1872" s="394" t="str">
        <f t="shared" si="131"/>
        <v/>
      </c>
      <c r="K1872" s="394" t="str">
        <f t="shared" si="132"/>
        <v/>
      </c>
    </row>
    <row r="1873" spans="8:11" x14ac:dyDescent="0.25">
      <c r="H1873" s="394" t="str">
        <f t="shared" si="129"/>
        <v/>
      </c>
      <c r="I1873" s="394" t="str">
        <f t="shared" si="130"/>
        <v/>
      </c>
      <c r="J1873" s="394" t="str">
        <f t="shared" si="131"/>
        <v/>
      </c>
      <c r="K1873" s="394" t="str">
        <f t="shared" si="132"/>
        <v/>
      </c>
    </row>
    <row r="1874" spans="8:11" x14ac:dyDescent="0.25">
      <c r="H1874" s="394" t="str">
        <f t="shared" si="129"/>
        <v/>
      </c>
      <c r="I1874" s="394" t="str">
        <f t="shared" si="130"/>
        <v/>
      </c>
      <c r="J1874" s="394" t="str">
        <f t="shared" si="131"/>
        <v/>
      </c>
      <c r="K1874" s="394" t="str">
        <f t="shared" si="132"/>
        <v/>
      </c>
    </row>
    <row r="1875" spans="8:11" x14ac:dyDescent="0.25">
      <c r="H1875" s="394" t="str">
        <f t="shared" si="129"/>
        <v/>
      </c>
      <c r="I1875" s="394" t="str">
        <f t="shared" si="130"/>
        <v/>
      </c>
      <c r="J1875" s="394" t="str">
        <f t="shared" si="131"/>
        <v/>
      </c>
      <c r="K1875" s="394" t="str">
        <f t="shared" si="132"/>
        <v/>
      </c>
    </row>
    <row r="1876" spans="8:11" x14ac:dyDescent="0.25">
      <c r="H1876" s="394" t="str">
        <f t="shared" si="129"/>
        <v/>
      </c>
      <c r="I1876" s="394" t="str">
        <f t="shared" si="130"/>
        <v/>
      </c>
      <c r="J1876" s="394" t="str">
        <f t="shared" si="131"/>
        <v/>
      </c>
      <c r="K1876" s="394" t="str">
        <f t="shared" si="132"/>
        <v/>
      </c>
    </row>
    <row r="1877" spans="8:11" x14ac:dyDescent="0.25">
      <c r="H1877" s="394" t="str">
        <f t="shared" si="129"/>
        <v/>
      </c>
      <c r="I1877" s="394" t="str">
        <f t="shared" si="130"/>
        <v/>
      </c>
      <c r="J1877" s="394" t="str">
        <f t="shared" si="131"/>
        <v/>
      </c>
      <c r="K1877" s="394" t="str">
        <f t="shared" si="132"/>
        <v/>
      </c>
    </row>
    <row r="1878" spans="8:11" x14ac:dyDescent="0.25">
      <c r="H1878" s="394" t="str">
        <f t="shared" si="129"/>
        <v/>
      </c>
      <c r="I1878" s="394" t="str">
        <f t="shared" si="130"/>
        <v/>
      </c>
      <c r="J1878" s="394" t="str">
        <f t="shared" si="131"/>
        <v/>
      </c>
      <c r="K1878" s="394" t="str">
        <f t="shared" si="132"/>
        <v/>
      </c>
    </row>
    <row r="1879" spans="8:11" x14ac:dyDescent="0.25">
      <c r="H1879" s="394" t="str">
        <f t="shared" si="129"/>
        <v/>
      </c>
      <c r="I1879" s="394" t="str">
        <f t="shared" si="130"/>
        <v/>
      </c>
      <c r="J1879" s="394" t="str">
        <f t="shared" si="131"/>
        <v/>
      </c>
      <c r="K1879" s="394" t="str">
        <f t="shared" si="132"/>
        <v/>
      </c>
    </row>
    <row r="1880" spans="8:11" x14ac:dyDescent="0.25">
      <c r="H1880" s="394" t="str">
        <f t="shared" si="129"/>
        <v/>
      </c>
      <c r="I1880" s="394" t="str">
        <f t="shared" si="130"/>
        <v/>
      </c>
      <c r="J1880" s="394" t="str">
        <f t="shared" si="131"/>
        <v/>
      </c>
      <c r="K1880" s="394" t="str">
        <f t="shared" si="132"/>
        <v/>
      </c>
    </row>
    <row r="1881" spans="8:11" x14ac:dyDescent="0.25">
      <c r="H1881" s="394" t="str">
        <f t="shared" si="129"/>
        <v/>
      </c>
      <c r="I1881" s="394" t="str">
        <f t="shared" si="130"/>
        <v/>
      </c>
      <c r="J1881" s="394" t="str">
        <f t="shared" si="131"/>
        <v/>
      </c>
      <c r="K1881" s="394" t="str">
        <f t="shared" si="132"/>
        <v/>
      </c>
    </row>
    <row r="1882" spans="8:11" x14ac:dyDescent="0.25">
      <c r="H1882" s="394" t="str">
        <f t="shared" si="129"/>
        <v/>
      </c>
      <c r="I1882" s="394" t="str">
        <f t="shared" si="130"/>
        <v/>
      </c>
      <c r="J1882" s="394" t="str">
        <f t="shared" si="131"/>
        <v/>
      </c>
      <c r="K1882" s="394" t="str">
        <f t="shared" si="132"/>
        <v/>
      </c>
    </row>
    <row r="1883" spans="8:11" x14ac:dyDescent="0.25">
      <c r="H1883" s="394" t="str">
        <f t="shared" si="129"/>
        <v/>
      </c>
      <c r="I1883" s="394" t="str">
        <f t="shared" si="130"/>
        <v/>
      </c>
      <c r="J1883" s="394" t="str">
        <f t="shared" si="131"/>
        <v/>
      </c>
      <c r="K1883" s="394" t="str">
        <f t="shared" si="132"/>
        <v/>
      </c>
    </row>
    <row r="1884" spans="8:11" x14ac:dyDescent="0.25">
      <c r="H1884" s="394" t="str">
        <f t="shared" si="129"/>
        <v/>
      </c>
      <c r="I1884" s="394" t="str">
        <f t="shared" si="130"/>
        <v/>
      </c>
      <c r="J1884" s="394" t="str">
        <f t="shared" si="131"/>
        <v/>
      </c>
      <c r="K1884" s="394" t="str">
        <f t="shared" si="132"/>
        <v/>
      </c>
    </row>
    <row r="1885" spans="8:11" x14ac:dyDescent="0.25">
      <c r="H1885" s="394" t="str">
        <f t="shared" si="129"/>
        <v/>
      </c>
      <c r="I1885" s="394" t="str">
        <f t="shared" si="130"/>
        <v/>
      </c>
      <c r="J1885" s="394" t="str">
        <f t="shared" si="131"/>
        <v/>
      </c>
      <c r="K1885" s="394" t="str">
        <f t="shared" si="132"/>
        <v/>
      </c>
    </row>
    <row r="1886" spans="8:11" x14ac:dyDescent="0.25">
      <c r="H1886" s="394" t="str">
        <f t="shared" si="129"/>
        <v/>
      </c>
      <c r="I1886" s="394" t="str">
        <f t="shared" si="130"/>
        <v/>
      </c>
      <c r="J1886" s="394" t="str">
        <f t="shared" si="131"/>
        <v/>
      </c>
      <c r="K1886" s="394" t="str">
        <f t="shared" si="132"/>
        <v/>
      </c>
    </row>
    <row r="1887" spans="8:11" x14ac:dyDescent="0.25">
      <c r="H1887" s="394" t="str">
        <f t="shared" si="129"/>
        <v/>
      </c>
      <c r="I1887" s="394" t="str">
        <f t="shared" si="130"/>
        <v/>
      </c>
      <c r="J1887" s="394" t="str">
        <f t="shared" si="131"/>
        <v/>
      </c>
      <c r="K1887" s="394" t="str">
        <f t="shared" si="132"/>
        <v/>
      </c>
    </row>
    <row r="1888" spans="8:11" x14ac:dyDescent="0.25">
      <c r="H1888" s="394" t="str">
        <f t="shared" si="129"/>
        <v/>
      </c>
      <c r="I1888" s="394" t="str">
        <f t="shared" si="130"/>
        <v/>
      </c>
      <c r="J1888" s="394" t="str">
        <f t="shared" si="131"/>
        <v/>
      </c>
      <c r="K1888" s="394" t="str">
        <f t="shared" si="132"/>
        <v/>
      </c>
    </row>
    <row r="1889" spans="8:11" x14ac:dyDescent="0.25">
      <c r="H1889" s="394" t="str">
        <f t="shared" si="129"/>
        <v/>
      </c>
      <c r="I1889" s="394" t="str">
        <f t="shared" si="130"/>
        <v/>
      </c>
      <c r="J1889" s="394" t="str">
        <f t="shared" si="131"/>
        <v/>
      </c>
      <c r="K1889" s="394" t="str">
        <f t="shared" si="132"/>
        <v/>
      </c>
    </row>
    <row r="1890" spans="8:11" x14ac:dyDescent="0.25">
      <c r="H1890" s="394" t="str">
        <f t="shared" si="129"/>
        <v/>
      </c>
      <c r="I1890" s="394" t="str">
        <f t="shared" si="130"/>
        <v/>
      </c>
      <c r="J1890" s="394" t="str">
        <f t="shared" si="131"/>
        <v/>
      </c>
      <c r="K1890" s="394" t="str">
        <f t="shared" si="132"/>
        <v/>
      </c>
    </row>
    <row r="1891" spans="8:11" x14ac:dyDescent="0.25">
      <c r="H1891" s="394" t="str">
        <f t="shared" si="129"/>
        <v/>
      </c>
      <c r="I1891" s="394" t="str">
        <f t="shared" si="130"/>
        <v/>
      </c>
      <c r="J1891" s="394" t="str">
        <f t="shared" si="131"/>
        <v/>
      </c>
      <c r="K1891" s="394" t="str">
        <f t="shared" si="132"/>
        <v/>
      </c>
    </row>
    <row r="1892" spans="8:11" x14ac:dyDescent="0.25">
      <c r="H1892" s="394" t="str">
        <f t="shared" si="129"/>
        <v/>
      </c>
      <c r="I1892" s="394" t="str">
        <f t="shared" si="130"/>
        <v/>
      </c>
      <c r="J1892" s="394" t="str">
        <f t="shared" si="131"/>
        <v/>
      </c>
      <c r="K1892" s="394" t="str">
        <f t="shared" si="132"/>
        <v/>
      </c>
    </row>
    <row r="1893" spans="8:11" x14ac:dyDescent="0.25">
      <c r="H1893" s="394" t="str">
        <f t="shared" si="129"/>
        <v/>
      </c>
      <c r="I1893" s="394" t="str">
        <f t="shared" si="130"/>
        <v/>
      </c>
      <c r="J1893" s="394" t="str">
        <f t="shared" si="131"/>
        <v/>
      </c>
      <c r="K1893" s="394" t="str">
        <f t="shared" si="132"/>
        <v/>
      </c>
    </row>
    <row r="1894" spans="8:11" x14ac:dyDescent="0.25">
      <c r="H1894" s="394" t="str">
        <f t="shared" si="129"/>
        <v/>
      </c>
      <c r="I1894" s="394" t="str">
        <f t="shared" si="130"/>
        <v/>
      </c>
      <c r="J1894" s="394" t="str">
        <f t="shared" si="131"/>
        <v/>
      </c>
      <c r="K1894" s="394" t="str">
        <f t="shared" si="132"/>
        <v/>
      </c>
    </row>
    <row r="1895" spans="8:11" x14ac:dyDescent="0.25">
      <c r="H1895" s="394" t="str">
        <f t="shared" si="129"/>
        <v/>
      </c>
      <c r="I1895" s="394" t="str">
        <f t="shared" si="130"/>
        <v/>
      </c>
      <c r="J1895" s="394" t="str">
        <f t="shared" si="131"/>
        <v/>
      </c>
      <c r="K1895" s="394" t="str">
        <f t="shared" si="132"/>
        <v/>
      </c>
    </row>
    <row r="1896" spans="8:11" x14ac:dyDescent="0.25">
      <c r="H1896" s="394" t="str">
        <f t="shared" si="129"/>
        <v/>
      </c>
      <c r="I1896" s="394" t="str">
        <f t="shared" si="130"/>
        <v/>
      </c>
      <c r="J1896" s="394" t="str">
        <f t="shared" si="131"/>
        <v/>
      </c>
      <c r="K1896" s="394" t="str">
        <f t="shared" si="132"/>
        <v/>
      </c>
    </row>
    <row r="1897" spans="8:11" x14ac:dyDescent="0.25">
      <c r="H1897" s="394" t="str">
        <f t="shared" ref="H1897:H1960" si="133">IF($C919="","",ROUND(($B$2*$F919*($B$5/1000))/$B$6,2))</f>
        <v/>
      </c>
      <c r="I1897" s="394" t="str">
        <f t="shared" ref="I1897:I1960" si="134">IF($C919="","",ROUND(($B$3*$F919*($B$5/1000))/$B$6,2))</f>
        <v/>
      </c>
      <c r="J1897" s="394" t="str">
        <f t="shared" ref="J1897:J1960" si="135">IF(OR($C919="",$B$9="",$B$15=""),"",ROUND(((((IF($B$15="N/A",$B$2,$B$4))*$F919*($B$5/1000))+((($G919/1000)*($B$5/1000)*10.7639104)*(IF($B$9="Smooth",$B$10,IF($B$9="Sand",$B$11,0)))))*(1+$B$17))/$B$8,2))</f>
        <v/>
      </c>
      <c r="K1897" s="394" t="str">
        <f t="shared" ref="K1897:K1960" si="136">IF(OR($C919="",$B$12="",$B$15=""),"",ROUND(((((IF($B$15="N/A",$B$2,$B$4))*$F919*($B$5/1000))+((($G919/1000)*($B$5/1000)*10.7639104)*(IF($B$12="Indoor",$B$13,IF($B$12="Outdoor",$B$14,0)))))*(1+$B$17))/$B$8,2))</f>
        <v/>
      </c>
    </row>
    <row r="1898" spans="8:11" x14ac:dyDescent="0.25">
      <c r="H1898" s="394" t="str">
        <f t="shared" si="133"/>
        <v/>
      </c>
      <c r="I1898" s="394" t="str">
        <f t="shared" si="134"/>
        <v/>
      </c>
      <c r="J1898" s="394" t="str">
        <f t="shared" si="135"/>
        <v/>
      </c>
      <c r="K1898" s="394" t="str">
        <f t="shared" si="136"/>
        <v/>
      </c>
    </row>
    <row r="1899" spans="8:11" x14ac:dyDescent="0.25">
      <c r="H1899" s="394" t="str">
        <f t="shared" si="133"/>
        <v/>
      </c>
      <c r="I1899" s="394" t="str">
        <f t="shared" si="134"/>
        <v/>
      </c>
      <c r="J1899" s="394" t="str">
        <f t="shared" si="135"/>
        <v/>
      </c>
      <c r="K1899" s="394" t="str">
        <f t="shared" si="136"/>
        <v/>
      </c>
    </row>
    <row r="1900" spans="8:11" x14ac:dyDescent="0.25">
      <c r="H1900" s="394" t="str">
        <f t="shared" si="133"/>
        <v/>
      </c>
      <c r="I1900" s="394" t="str">
        <f t="shared" si="134"/>
        <v/>
      </c>
      <c r="J1900" s="394" t="str">
        <f t="shared" si="135"/>
        <v/>
      </c>
      <c r="K1900" s="394" t="str">
        <f t="shared" si="136"/>
        <v/>
      </c>
    </row>
    <row r="1901" spans="8:11" x14ac:dyDescent="0.25">
      <c r="H1901" s="394" t="str">
        <f t="shared" si="133"/>
        <v/>
      </c>
      <c r="I1901" s="394" t="str">
        <f t="shared" si="134"/>
        <v/>
      </c>
      <c r="J1901" s="394" t="str">
        <f t="shared" si="135"/>
        <v/>
      </c>
      <c r="K1901" s="394" t="str">
        <f t="shared" si="136"/>
        <v/>
      </c>
    </row>
    <row r="1902" spans="8:11" x14ac:dyDescent="0.25">
      <c r="H1902" s="394" t="str">
        <f t="shared" si="133"/>
        <v/>
      </c>
      <c r="I1902" s="394" t="str">
        <f t="shared" si="134"/>
        <v/>
      </c>
      <c r="J1902" s="394" t="str">
        <f t="shared" si="135"/>
        <v/>
      </c>
      <c r="K1902" s="394" t="str">
        <f t="shared" si="136"/>
        <v/>
      </c>
    </row>
    <row r="1903" spans="8:11" x14ac:dyDescent="0.25">
      <c r="H1903" s="394" t="str">
        <f t="shared" si="133"/>
        <v/>
      </c>
      <c r="I1903" s="394" t="str">
        <f t="shared" si="134"/>
        <v/>
      </c>
      <c r="J1903" s="394" t="str">
        <f t="shared" si="135"/>
        <v/>
      </c>
      <c r="K1903" s="394" t="str">
        <f t="shared" si="136"/>
        <v/>
      </c>
    </row>
    <row r="1904" spans="8:11" x14ac:dyDescent="0.25">
      <c r="H1904" s="394" t="str">
        <f t="shared" si="133"/>
        <v/>
      </c>
      <c r="I1904" s="394" t="str">
        <f t="shared" si="134"/>
        <v/>
      </c>
      <c r="J1904" s="394" t="str">
        <f t="shared" si="135"/>
        <v/>
      </c>
      <c r="K1904" s="394" t="str">
        <f t="shared" si="136"/>
        <v/>
      </c>
    </row>
    <row r="1905" spans="8:11" x14ac:dyDescent="0.25">
      <c r="H1905" s="394" t="str">
        <f t="shared" si="133"/>
        <v/>
      </c>
      <c r="I1905" s="394" t="str">
        <f t="shared" si="134"/>
        <v/>
      </c>
      <c r="J1905" s="394" t="str">
        <f t="shared" si="135"/>
        <v/>
      </c>
      <c r="K1905" s="394" t="str">
        <f t="shared" si="136"/>
        <v/>
      </c>
    </row>
    <row r="1906" spans="8:11" x14ac:dyDescent="0.25">
      <c r="H1906" s="394" t="str">
        <f t="shared" si="133"/>
        <v/>
      </c>
      <c r="I1906" s="394" t="str">
        <f t="shared" si="134"/>
        <v/>
      </c>
      <c r="J1906" s="394" t="str">
        <f t="shared" si="135"/>
        <v/>
      </c>
      <c r="K1906" s="394" t="str">
        <f t="shared" si="136"/>
        <v/>
      </c>
    </row>
    <row r="1907" spans="8:11" x14ac:dyDescent="0.25">
      <c r="H1907" s="394" t="str">
        <f t="shared" si="133"/>
        <v/>
      </c>
      <c r="I1907" s="394" t="str">
        <f t="shared" si="134"/>
        <v/>
      </c>
      <c r="J1907" s="394" t="str">
        <f t="shared" si="135"/>
        <v/>
      </c>
      <c r="K1907" s="394" t="str">
        <f t="shared" si="136"/>
        <v/>
      </c>
    </row>
    <row r="1908" spans="8:11" x14ac:dyDescent="0.25">
      <c r="H1908" s="394" t="str">
        <f t="shared" si="133"/>
        <v/>
      </c>
      <c r="I1908" s="394" t="str">
        <f t="shared" si="134"/>
        <v/>
      </c>
      <c r="J1908" s="394" t="str">
        <f t="shared" si="135"/>
        <v/>
      </c>
      <c r="K1908" s="394" t="str">
        <f t="shared" si="136"/>
        <v/>
      </c>
    </row>
    <row r="1909" spans="8:11" x14ac:dyDescent="0.25">
      <c r="H1909" s="394" t="str">
        <f t="shared" si="133"/>
        <v/>
      </c>
      <c r="I1909" s="394" t="str">
        <f t="shared" si="134"/>
        <v/>
      </c>
      <c r="J1909" s="394" t="str">
        <f t="shared" si="135"/>
        <v/>
      </c>
      <c r="K1909" s="394" t="str">
        <f t="shared" si="136"/>
        <v/>
      </c>
    </row>
    <row r="1910" spans="8:11" x14ac:dyDescent="0.25">
      <c r="H1910" s="394" t="str">
        <f t="shared" si="133"/>
        <v/>
      </c>
      <c r="I1910" s="394" t="str">
        <f t="shared" si="134"/>
        <v/>
      </c>
      <c r="J1910" s="394" t="str">
        <f t="shared" si="135"/>
        <v/>
      </c>
      <c r="K1910" s="394" t="str">
        <f t="shared" si="136"/>
        <v/>
      </c>
    </row>
    <row r="1911" spans="8:11" x14ac:dyDescent="0.25">
      <c r="H1911" s="394" t="str">
        <f t="shared" si="133"/>
        <v/>
      </c>
      <c r="I1911" s="394" t="str">
        <f t="shared" si="134"/>
        <v/>
      </c>
      <c r="J1911" s="394" t="str">
        <f t="shared" si="135"/>
        <v/>
      </c>
      <c r="K1911" s="394" t="str">
        <f t="shared" si="136"/>
        <v/>
      </c>
    </row>
    <row r="1912" spans="8:11" x14ac:dyDescent="0.25">
      <c r="H1912" s="394" t="str">
        <f t="shared" si="133"/>
        <v/>
      </c>
      <c r="I1912" s="394" t="str">
        <f t="shared" si="134"/>
        <v/>
      </c>
      <c r="J1912" s="394" t="str">
        <f t="shared" si="135"/>
        <v/>
      </c>
      <c r="K1912" s="394" t="str">
        <f t="shared" si="136"/>
        <v/>
      </c>
    </row>
    <row r="1913" spans="8:11" x14ac:dyDescent="0.25">
      <c r="H1913" s="394" t="str">
        <f t="shared" si="133"/>
        <v/>
      </c>
      <c r="I1913" s="394" t="str">
        <f t="shared" si="134"/>
        <v/>
      </c>
      <c r="J1913" s="394" t="str">
        <f t="shared" si="135"/>
        <v/>
      </c>
      <c r="K1913" s="394" t="str">
        <f t="shared" si="136"/>
        <v/>
      </c>
    </row>
    <row r="1914" spans="8:11" x14ac:dyDescent="0.25">
      <c r="H1914" s="394" t="str">
        <f t="shared" si="133"/>
        <v/>
      </c>
      <c r="I1914" s="394" t="str">
        <f t="shared" si="134"/>
        <v/>
      </c>
      <c r="J1914" s="394" t="str">
        <f t="shared" si="135"/>
        <v/>
      </c>
      <c r="K1914" s="394" t="str">
        <f t="shared" si="136"/>
        <v/>
      </c>
    </row>
    <row r="1915" spans="8:11" x14ac:dyDescent="0.25">
      <c r="H1915" s="394" t="str">
        <f t="shared" si="133"/>
        <v/>
      </c>
      <c r="I1915" s="394" t="str">
        <f t="shared" si="134"/>
        <v/>
      </c>
      <c r="J1915" s="394" t="str">
        <f t="shared" si="135"/>
        <v/>
      </c>
      <c r="K1915" s="394" t="str">
        <f t="shared" si="136"/>
        <v/>
      </c>
    </row>
    <row r="1916" spans="8:11" x14ac:dyDescent="0.25">
      <c r="H1916" s="394" t="str">
        <f t="shared" si="133"/>
        <v/>
      </c>
      <c r="I1916" s="394" t="str">
        <f t="shared" si="134"/>
        <v/>
      </c>
      <c r="J1916" s="394" t="str">
        <f t="shared" si="135"/>
        <v/>
      </c>
      <c r="K1916" s="394" t="str">
        <f t="shared" si="136"/>
        <v/>
      </c>
    </row>
    <row r="1917" spans="8:11" x14ac:dyDescent="0.25">
      <c r="H1917" s="394" t="str">
        <f t="shared" si="133"/>
        <v/>
      </c>
      <c r="I1917" s="394" t="str">
        <f t="shared" si="134"/>
        <v/>
      </c>
      <c r="J1917" s="394" t="str">
        <f t="shared" si="135"/>
        <v/>
      </c>
      <c r="K1917" s="394" t="str">
        <f t="shared" si="136"/>
        <v/>
      </c>
    </row>
    <row r="1918" spans="8:11" x14ac:dyDescent="0.25">
      <c r="H1918" s="394" t="str">
        <f t="shared" si="133"/>
        <v/>
      </c>
      <c r="I1918" s="394" t="str">
        <f t="shared" si="134"/>
        <v/>
      </c>
      <c r="J1918" s="394" t="str">
        <f t="shared" si="135"/>
        <v/>
      </c>
      <c r="K1918" s="394" t="str">
        <f t="shared" si="136"/>
        <v/>
      </c>
    </row>
    <row r="1919" spans="8:11" x14ac:dyDescent="0.25">
      <c r="H1919" s="394" t="str">
        <f t="shared" si="133"/>
        <v/>
      </c>
      <c r="I1919" s="394" t="str">
        <f t="shared" si="134"/>
        <v/>
      </c>
      <c r="J1919" s="394" t="str">
        <f t="shared" si="135"/>
        <v/>
      </c>
      <c r="K1919" s="394" t="str">
        <f t="shared" si="136"/>
        <v/>
      </c>
    </row>
    <row r="1920" spans="8:11" x14ac:dyDescent="0.25">
      <c r="H1920" s="394" t="str">
        <f t="shared" si="133"/>
        <v/>
      </c>
      <c r="I1920" s="394" t="str">
        <f t="shared" si="134"/>
        <v/>
      </c>
      <c r="J1920" s="394" t="str">
        <f t="shared" si="135"/>
        <v/>
      </c>
      <c r="K1920" s="394" t="str">
        <f t="shared" si="136"/>
        <v/>
      </c>
    </row>
    <row r="1921" spans="8:11" x14ac:dyDescent="0.25">
      <c r="H1921" s="394" t="str">
        <f t="shared" si="133"/>
        <v/>
      </c>
      <c r="I1921" s="394" t="str">
        <f t="shared" si="134"/>
        <v/>
      </c>
      <c r="J1921" s="394" t="str">
        <f t="shared" si="135"/>
        <v/>
      </c>
      <c r="K1921" s="394" t="str">
        <f t="shared" si="136"/>
        <v/>
      </c>
    </row>
    <row r="1922" spans="8:11" x14ac:dyDescent="0.25">
      <c r="H1922" s="394" t="str">
        <f t="shared" si="133"/>
        <v/>
      </c>
      <c r="I1922" s="394" t="str">
        <f t="shared" si="134"/>
        <v/>
      </c>
      <c r="J1922" s="394" t="str">
        <f t="shared" si="135"/>
        <v/>
      </c>
      <c r="K1922" s="394" t="str">
        <f t="shared" si="136"/>
        <v/>
      </c>
    </row>
    <row r="1923" spans="8:11" x14ac:dyDescent="0.25">
      <c r="H1923" s="394" t="str">
        <f t="shared" si="133"/>
        <v/>
      </c>
      <c r="I1923" s="394" t="str">
        <f t="shared" si="134"/>
        <v/>
      </c>
      <c r="J1923" s="394" t="str">
        <f t="shared" si="135"/>
        <v/>
      </c>
      <c r="K1923" s="394" t="str">
        <f t="shared" si="136"/>
        <v/>
      </c>
    </row>
    <row r="1924" spans="8:11" x14ac:dyDescent="0.25">
      <c r="H1924" s="394" t="str">
        <f t="shared" si="133"/>
        <v/>
      </c>
      <c r="I1924" s="394" t="str">
        <f t="shared" si="134"/>
        <v/>
      </c>
      <c r="J1924" s="394" t="str">
        <f t="shared" si="135"/>
        <v/>
      </c>
      <c r="K1924" s="394" t="str">
        <f t="shared" si="136"/>
        <v/>
      </c>
    </row>
    <row r="1925" spans="8:11" x14ac:dyDescent="0.25">
      <c r="H1925" s="394" t="str">
        <f t="shared" si="133"/>
        <v/>
      </c>
      <c r="I1925" s="394" t="str">
        <f t="shared" si="134"/>
        <v/>
      </c>
      <c r="J1925" s="394" t="str">
        <f t="shared" si="135"/>
        <v/>
      </c>
      <c r="K1925" s="394" t="str">
        <f t="shared" si="136"/>
        <v/>
      </c>
    </row>
    <row r="1926" spans="8:11" x14ac:dyDescent="0.25">
      <c r="H1926" s="394" t="str">
        <f t="shared" si="133"/>
        <v/>
      </c>
      <c r="I1926" s="394" t="str">
        <f t="shared" si="134"/>
        <v/>
      </c>
      <c r="J1926" s="394" t="str">
        <f t="shared" si="135"/>
        <v/>
      </c>
      <c r="K1926" s="394" t="str">
        <f t="shared" si="136"/>
        <v/>
      </c>
    </row>
    <row r="1927" spans="8:11" x14ac:dyDescent="0.25">
      <c r="H1927" s="394" t="str">
        <f t="shared" si="133"/>
        <v/>
      </c>
      <c r="I1927" s="394" t="str">
        <f t="shared" si="134"/>
        <v/>
      </c>
      <c r="J1927" s="394" t="str">
        <f t="shared" si="135"/>
        <v/>
      </c>
      <c r="K1927" s="394" t="str">
        <f t="shared" si="136"/>
        <v/>
      </c>
    </row>
    <row r="1928" spans="8:11" x14ac:dyDescent="0.25">
      <c r="H1928" s="394" t="str">
        <f t="shared" si="133"/>
        <v/>
      </c>
      <c r="I1928" s="394" t="str">
        <f t="shared" si="134"/>
        <v/>
      </c>
      <c r="J1928" s="394" t="str">
        <f t="shared" si="135"/>
        <v/>
      </c>
      <c r="K1928" s="394" t="str">
        <f t="shared" si="136"/>
        <v/>
      </c>
    </row>
    <row r="1929" spans="8:11" x14ac:dyDescent="0.25">
      <c r="H1929" s="394" t="str">
        <f t="shared" si="133"/>
        <v/>
      </c>
      <c r="I1929" s="394" t="str">
        <f t="shared" si="134"/>
        <v/>
      </c>
      <c r="J1929" s="394" t="str">
        <f t="shared" si="135"/>
        <v/>
      </c>
      <c r="K1929" s="394" t="str">
        <f t="shared" si="136"/>
        <v/>
      </c>
    </row>
    <row r="1930" spans="8:11" x14ac:dyDescent="0.25">
      <c r="H1930" s="394" t="str">
        <f t="shared" si="133"/>
        <v/>
      </c>
      <c r="I1930" s="394" t="str">
        <f t="shared" si="134"/>
        <v/>
      </c>
      <c r="J1930" s="394" t="str">
        <f t="shared" si="135"/>
        <v/>
      </c>
      <c r="K1930" s="394" t="str">
        <f t="shared" si="136"/>
        <v/>
      </c>
    </row>
    <row r="1931" spans="8:11" x14ac:dyDescent="0.25">
      <c r="H1931" s="394" t="str">
        <f t="shared" si="133"/>
        <v/>
      </c>
      <c r="I1931" s="394" t="str">
        <f t="shared" si="134"/>
        <v/>
      </c>
      <c r="J1931" s="394" t="str">
        <f t="shared" si="135"/>
        <v/>
      </c>
      <c r="K1931" s="394" t="str">
        <f t="shared" si="136"/>
        <v/>
      </c>
    </row>
    <row r="1932" spans="8:11" x14ac:dyDescent="0.25">
      <c r="H1932" s="394" t="str">
        <f t="shared" si="133"/>
        <v/>
      </c>
      <c r="I1932" s="394" t="str">
        <f t="shared" si="134"/>
        <v/>
      </c>
      <c r="J1932" s="394" t="str">
        <f t="shared" si="135"/>
        <v/>
      </c>
      <c r="K1932" s="394" t="str">
        <f t="shared" si="136"/>
        <v/>
      </c>
    </row>
    <row r="1933" spans="8:11" x14ac:dyDescent="0.25">
      <c r="H1933" s="394" t="str">
        <f t="shared" si="133"/>
        <v/>
      </c>
      <c r="I1933" s="394" t="str">
        <f t="shared" si="134"/>
        <v/>
      </c>
      <c r="J1933" s="394" t="str">
        <f t="shared" si="135"/>
        <v/>
      </c>
      <c r="K1933" s="394" t="str">
        <f t="shared" si="136"/>
        <v/>
      </c>
    </row>
    <row r="1934" spans="8:11" x14ac:dyDescent="0.25">
      <c r="H1934" s="394" t="str">
        <f t="shared" si="133"/>
        <v/>
      </c>
      <c r="I1934" s="394" t="str">
        <f t="shared" si="134"/>
        <v/>
      </c>
      <c r="J1934" s="394" t="str">
        <f t="shared" si="135"/>
        <v/>
      </c>
      <c r="K1934" s="394" t="str">
        <f t="shared" si="136"/>
        <v/>
      </c>
    </row>
    <row r="1935" spans="8:11" x14ac:dyDescent="0.25">
      <c r="H1935" s="394" t="str">
        <f t="shared" si="133"/>
        <v/>
      </c>
      <c r="I1935" s="394" t="str">
        <f t="shared" si="134"/>
        <v/>
      </c>
      <c r="J1935" s="394" t="str">
        <f t="shared" si="135"/>
        <v/>
      </c>
      <c r="K1935" s="394" t="str">
        <f t="shared" si="136"/>
        <v/>
      </c>
    </row>
    <row r="1936" spans="8:11" x14ac:dyDescent="0.25">
      <c r="H1936" s="394" t="str">
        <f t="shared" si="133"/>
        <v/>
      </c>
      <c r="I1936" s="394" t="str">
        <f t="shared" si="134"/>
        <v/>
      </c>
      <c r="J1936" s="394" t="str">
        <f t="shared" si="135"/>
        <v/>
      </c>
      <c r="K1936" s="394" t="str">
        <f t="shared" si="136"/>
        <v/>
      </c>
    </row>
    <row r="1937" spans="8:11" x14ac:dyDescent="0.25">
      <c r="H1937" s="394" t="str">
        <f t="shared" si="133"/>
        <v/>
      </c>
      <c r="I1937" s="394" t="str">
        <f t="shared" si="134"/>
        <v/>
      </c>
      <c r="J1937" s="394" t="str">
        <f t="shared" si="135"/>
        <v/>
      </c>
      <c r="K1937" s="394" t="str">
        <f t="shared" si="136"/>
        <v/>
      </c>
    </row>
    <row r="1938" spans="8:11" x14ac:dyDescent="0.25">
      <c r="H1938" s="394" t="str">
        <f t="shared" si="133"/>
        <v/>
      </c>
      <c r="I1938" s="394" t="str">
        <f t="shared" si="134"/>
        <v/>
      </c>
      <c r="J1938" s="394" t="str">
        <f t="shared" si="135"/>
        <v/>
      </c>
      <c r="K1938" s="394" t="str">
        <f t="shared" si="136"/>
        <v/>
      </c>
    </row>
    <row r="1939" spans="8:11" x14ac:dyDescent="0.25">
      <c r="H1939" s="394" t="str">
        <f t="shared" si="133"/>
        <v/>
      </c>
      <c r="I1939" s="394" t="str">
        <f t="shared" si="134"/>
        <v/>
      </c>
      <c r="J1939" s="394" t="str">
        <f t="shared" si="135"/>
        <v/>
      </c>
      <c r="K1939" s="394" t="str">
        <f t="shared" si="136"/>
        <v/>
      </c>
    </row>
    <row r="1940" spans="8:11" x14ac:dyDescent="0.25">
      <c r="H1940" s="394" t="str">
        <f t="shared" si="133"/>
        <v/>
      </c>
      <c r="I1940" s="394" t="str">
        <f t="shared" si="134"/>
        <v/>
      </c>
      <c r="J1940" s="394" t="str">
        <f t="shared" si="135"/>
        <v/>
      </c>
      <c r="K1940" s="394" t="str">
        <f t="shared" si="136"/>
        <v/>
      </c>
    </row>
    <row r="1941" spans="8:11" x14ac:dyDescent="0.25">
      <c r="H1941" s="394" t="str">
        <f t="shared" si="133"/>
        <v/>
      </c>
      <c r="I1941" s="394" t="str">
        <f t="shared" si="134"/>
        <v/>
      </c>
      <c r="J1941" s="394" t="str">
        <f t="shared" si="135"/>
        <v/>
      </c>
      <c r="K1941" s="394" t="str">
        <f t="shared" si="136"/>
        <v/>
      </c>
    </row>
    <row r="1942" spans="8:11" x14ac:dyDescent="0.25">
      <c r="H1942" s="394" t="str">
        <f t="shared" si="133"/>
        <v/>
      </c>
      <c r="I1942" s="394" t="str">
        <f t="shared" si="134"/>
        <v/>
      </c>
      <c r="J1942" s="394" t="str">
        <f t="shared" si="135"/>
        <v/>
      </c>
      <c r="K1942" s="394" t="str">
        <f t="shared" si="136"/>
        <v/>
      </c>
    </row>
    <row r="1943" spans="8:11" x14ac:dyDescent="0.25">
      <c r="H1943" s="394" t="str">
        <f t="shared" si="133"/>
        <v/>
      </c>
      <c r="I1943" s="394" t="str">
        <f t="shared" si="134"/>
        <v/>
      </c>
      <c r="J1943" s="394" t="str">
        <f t="shared" si="135"/>
        <v/>
      </c>
      <c r="K1943" s="394" t="str">
        <f t="shared" si="136"/>
        <v/>
      </c>
    </row>
    <row r="1944" spans="8:11" x14ac:dyDescent="0.25">
      <c r="H1944" s="394" t="str">
        <f t="shared" si="133"/>
        <v/>
      </c>
      <c r="I1944" s="394" t="str">
        <f t="shared" si="134"/>
        <v/>
      </c>
      <c r="J1944" s="394" t="str">
        <f t="shared" si="135"/>
        <v/>
      </c>
      <c r="K1944" s="394" t="str">
        <f t="shared" si="136"/>
        <v/>
      </c>
    </row>
    <row r="1945" spans="8:11" x14ac:dyDescent="0.25">
      <c r="H1945" s="394" t="str">
        <f t="shared" si="133"/>
        <v/>
      </c>
      <c r="I1945" s="394" t="str">
        <f t="shared" si="134"/>
        <v/>
      </c>
      <c r="J1945" s="394" t="str">
        <f t="shared" si="135"/>
        <v/>
      </c>
      <c r="K1945" s="394" t="str">
        <f t="shared" si="136"/>
        <v/>
      </c>
    </row>
    <row r="1946" spans="8:11" x14ac:dyDescent="0.25">
      <c r="H1946" s="394" t="str">
        <f t="shared" si="133"/>
        <v/>
      </c>
      <c r="I1946" s="394" t="str">
        <f t="shared" si="134"/>
        <v/>
      </c>
      <c r="J1946" s="394" t="str">
        <f t="shared" si="135"/>
        <v/>
      </c>
      <c r="K1946" s="394" t="str">
        <f t="shared" si="136"/>
        <v/>
      </c>
    </row>
    <row r="1947" spans="8:11" x14ac:dyDescent="0.25">
      <c r="H1947" s="394" t="str">
        <f t="shared" si="133"/>
        <v/>
      </c>
      <c r="I1947" s="394" t="str">
        <f t="shared" si="134"/>
        <v/>
      </c>
      <c r="J1947" s="394" t="str">
        <f t="shared" si="135"/>
        <v/>
      </c>
      <c r="K1947" s="394" t="str">
        <f t="shared" si="136"/>
        <v/>
      </c>
    </row>
    <row r="1948" spans="8:11" x14ac:dyDescent="0.25">
      <c r="H1948" s="394" t="str">
        <f t="shared" si="133"/>
        <v/>
      </c>
      <c r="I1948" s="394" t="str">
        <f t="shared" si="134"/>
        <v/>
      </c>
      <c r="J1948" s="394" t="str">
        <f t="shared" si="135"/>
        <v/>
      </c>
      <c r="K1948" s="394" t="str">
        <f t="shared" si="136"/>
        <v/>
      </c>
    </row>
    <row r="1949" spans="8:11" x14ac:dyDescent="0.25">
      <c r="H1949" s="394" t="str">
        <f t="shared" si="133"/>
        <v/>
      </c>
      <c r="I1949" s="394" t="str">
        <f t="shared" si="134"/>
        <v/>
      </c>
      <c r="J1949" s="394" t="str">
        <f t="shared" si="135"/>
        <v/>
      </c>
      <c r="K1949" s="394" t="str">
        <f t="shared" si="136"/>
        <v/>
      </c>
    </row>
    <row r="1950" spans="8:11" x14ac:dyDescent="0.25">
      <c r="H1950" s="394" t="str">
        <f t="shared" si="133"/>
        <v/>
      </c>
      <c r="I1950" s="394" t="str">
        <f t="shared" si="134"/>
        <v/>
      </c>
      <c r="J1950" s="394" t="str">
        <f t="shared" si="135"/>
        <v/>
      </c>
      <c r="K1950" s="394" t="str">
        <f t="shared" si="136"/>
        <v/>
      </c>
    </row>
    <row r="1951" spans="8:11" x14ac:dyDescent="0.25">
      <c r="H1951" s="394" t="str">
        <f t="shared" si="133"/>
        <v/>
      </c>
      <c r="I1951" s="394" t="str">
        <f t="shared" si="134"/>
        <v/>
      </c>
      <c r="J1951" s="394" t="str">
        <f t="shared" si="135"/>
        <v/>
      </c>
      <c r="K1951" s="394" t="str">
        <f t="shared" si="136"/>
        <v/>
      </c>
    </row>
    <row r="1952" spans="8:11" x14ac:dyDescent="0.25">
      <c r="H1952" s="394" t="str">
        <f t="shared" si="133"/>
        <v/>
      </c>
      <c r="I1952" s="394" t="str">
        <f t="shared" si="134"/>
        <v/>
      </c>
      <c r="J1952" s="394" t="str">
        <f t="shared" si="135"/>
        <v/>
      </c>
      <c r="K1952" s="394" t="str">
        <f t="shared" si="136"/>
        <v/>
      </c>
    </row>
    <row r="1953" spans="8:11" x14ac:dyDescent="0.25">
      <c r="H1953" s="394" t="str">
        <f t="shared" si="133"/>
        <v/>
      </c>
      <c r="I1953" s="394" t="str">
        <f t="shared" si="134"/>
        <v/>
      </c>
      <c r="J1953" s="394" t="str">
        <f t="shared" si="135"/>
        <v/>
      </c>
      <c r="K1953" s="394" t="str">
        <f t="shared" si="136"/>
        <v/>
      </c>
    </row>
    <row r="1954" spans="8:11" x14ac:dyDescent="0.25">
      <c r="H1954" s="394" t="str">
        <f t="shared" si="133"/>
        <v/>
      </c>
      <c r="I1954" s="394" t="str">
        <f t="shared" si="134"/>
        <v/>
      </c>
      <c r="J1954" s="394" t="str">
        <f t="shared" si="135"/>
        <v/>
      </c>
      <c r="K1954" s="394" t="str">
        <f t="shared" si="136"/>
        <v/>
      </c>
    </row>
    <row r="1955" spans="8:11" x14ac:dyDescent="0.25">
      <c r="H1955" s="394" t="str">
        <f t="shared" si="133"/>
        <v/>
      </c>
      <c r="I1955" s="394" t="str">
        <f t="shared" si="134"/>
        <v/>
      </c>
      <c r="J1955" s="394" t="str">
        <f t="shared" si="135"/>
        <v/>
      </c>
      <c r="K1955" s="394" t="str">
        <f t="shared" si="136"/>
        <v/>
      </c>
    </row>
    <row r="1956" spans="8:11" x14ac:dyDescent="0.25">
      <c r="H1956" s="394" t="str">
        <f t="shared" si="133"/>
        <v/>
      </c>
      <c r="I1956" s="394" t="str">
        <f t="shared" si="134"/>
        <v/>
      </c>
      <c r="J1956" s="394" t="str">
        <f t="shared" si="135"/>
        <v/>
      </c>
      <c r="K1956" s="394" t="str">
        <f t="shared" si="136"/>
        <v/>
      </c>
    </row>
    <row r="1957" spans="8:11" x14ac:dyDescent="0.25">
      <c r="H1957" s="394" t="str">
        <f t="shared" si="133"/>
        <v/>
      </c>
      <c r="I1957" s="394" t="str">
        <f t="shared" si="134"/>
        <v/>
      </c>
      <c r="J1957" s="394" t="str">
        <f t="shared" si="135"/>
        <v/>
      </c>
      <c r="K1957" s="394" t="str">
        <f t="shared" si="136"/>
        <v/>
      </c>
    </row>
    <row r="1958" spans="8:11" x14ac:dyDescent="0.25">
      <c r="H1958" s="394" t="str">
        <f t="shared" si="133"/>
        <v/>
      </c>
      <c r="I1958" s="394" t="str">
        <f t="shared" si="134"/>
        <v/>
      </c>
      <c r="J1958" s="394" t="str">
        <f t="shared" si="135"/>
        <v/>
      </c>
      <c r="K1958" s="394" t="str">
        <f t="shared" si="136"/>
        <v/>
      </c>
    </row>
    <row r="1959" spans="8:11" x14ac:dyDescent="0.25">
      <c r="H1959" s="394" t="str">
        <f t="shared" si="133"/>
        <v/>
      </c>
      <c r="I1959" s="394" t="str">
        <f t="shared" si="134"/>
        <v/>
      </c>
      <c r="J1959" s="394" t="str">
        <f t="shared" si="135"/>
        <v/>
      </c>
      <c r="K1959" s="394" t="str">
        <f t="shared" si="136"/>
        <v/>
      </c>
    </row>
    <row r="1960" spans="8:11" x14ac:dyDescent="0.25">
      <c r="H1960" s="394" t="str">
        <f t="shared" si="133"/>
        <v/>
      </c>
      <c r="I1960" s="394" t="str">
        <f t="shared" si="134"/>
        <v/>
      </c>
      <c r="J1960" s="394" t="str">
        <f t="shared" si="135"/>
        <v/>
      </c>
      <c r="K1960" s="394" t="str">
        <f t="shared" si="136"/>
        <v/>
      </c>
    </row>
    <row r="1961" spans="8:11" x14ac:dyDescent="0.25">
      <c r="H1961" s="394" t="str">
        <f t="shared" ref="H1961:H1978" si="137">IF($C983="","",ROUND(($B$2*$F983*($B$5/1000))/$B$6,2))</f>
        <v/>
      </c>
      <c r="I1961" s="394" t="str">
        <f t="shared" ref="I1961:I1978" si="138">IF($C983="","",ROUND(($B$3*$F983*($B$5/1000))/$B$6,2))</f>
        <v/>
      </c>
      <c r="J1961" s="394" t="str">
        <f t="shared" ref="J1961:J1978" si="139">IF(OR($C983="",$B$9="",$B$15=""),"",ROUND(((((IF($B$15="N/A",$B$2,$B$4))*$F983*($B$5/1000))+((($G983/1000)*($B$5/1000)*10.7639104)*(IF($B$9="Smooth",$B$10,IF($B$9="Sand",$B$11,0)))))*(1+$B$17))/$B$8,2))</f>
        <v/>
      </c>
      <c r="K1961" s="394" t="str">
        <f t="shared" ref="K1961:K1978" si="140">IF(OR($C983="",$B$12="",$B$15=""),"",ROUND(((((IF($B$15="N/A",$B$2,$B$4))*$F983*($B$5/1000))+((($G983/1000)*($B$5/1000)*10.7639104)*(IF($B$12="Indoor",$B$13,IF($B$12="Outdoor",$B$14,0)))))*(1+$B$17))/$B$8,2))</f>
        <v/>
      </c>
    </row>
    <row r="1962" spans="8:11" x14ac:dyDescent="0.25">
      <c r="H1962" s="394" t="str">
        <f t="shared" si="137"/>
        <v/>
      </c>
      <c r="I1962" s="394" t="str">
        <f t="shared" si="138"/>
        <v/>
      </c>
      <c r="J1962" s="394" t="str">
        <f t="shared" si="139"/>
        <v/>
      </c>
      <c r="K1962" s="394" t="str">
        <f t="shared" si="140"/>
        <v/>
      </c>
    </row>
    <row r="1963" spans="8:11" x14ac:dyDescent="0.25">
      <c r="H1963" s="394" t="str">
        <f t="shared" si="137"/>
        <v/>
      </c>
      <c r="I1963" s="394" t="str">
        <f t="shared" si="138"/>
        <v/>
      </c>
      <c r="J1963" s="394" t="str">
        <f t="shared" si="139"/>
        <v/>
      </c>
      <c r="K1963" s="394" t="str">
        <f t="shared" si="140"/>
        <v/>
      </c>
    </row>
    <row r="1964" spans="8:11" x14ac:dyDescent="0.25">
      <c r="H1964" s="394" t="str">
        <f t="shared" si="137"/>
        <v/>
      </c>
      <c r="I1964" s="394" t="str">
        <f t="shared" si="138"/>
        <v/>
      </c>
      <c r="J1964" s="394" t="str">
        <f t="shared" si="139"/>
        <v/>
      </c>
      <c r="K1964" s="394" t="str">
        <f t="shared" si="140"/>
        <v/>
      </c>
    </row>
    <row r="1965" spans="8:11" x14ac:dyDescent="0.25">
      <c r="H1965" s="394" t="str">
        <f t="shared" si="137"/>
        <v/>
      </c>
      <c r="I1965" s="394" t="str">
        <f t="shared" si="138"/>
        <v/>
      </c>
      <c r="J1965" s="394" t="str">
        <f t="shared" si="139"/>
        <v/>
      </c>
      <c r="K1965" s="394" t="str">
        <f t="shared" si="140"/>
        <v/>
      </c>
    </row>
    <row r="1966" spans="8:11" x14ac:dyDescent="0.25">
      <c r="H1966" s="394" t="str">
        <f t="shared" si="137"/>
        <v/>
      </c>
      <c r="I1966" s="394" t="str">
        <f t="shared" si="138"/>
        <v/>
      </c>
      <c r="J1966" s="394" t="str">
        <f t="shared" si="139"/>
        <v/>
      </c>
      <c r="K1966" s="394" t="str">
        <f t="shared" si="140"/>
        <v/>
      </c>
    </row>
    <row r="1967" spans="8:11" x14ac:dyDescent="0.25">
      <c r="H1967" s="394" t="str">
        <f t="shared" si="137"/>
        <v/>
      </c>
      <c r="I1967" s="394" t="str">
        <f t="shared" si="138"/>
        <v/>
      </c>
      <c r="J1967" s="394" t="str">
        <f t="shared" si="139"/>
        <v/>
      </c>
      <c r="K1967" s="394" t="str">
        <f t="shared" si="140"/>
        <v/>
      </c>
    </row>
    <row r="1968" spans="8:11" x14ac:dyDescent="0.25">
      <c r="H1968" s="394" t="str">
        <f t="shared" si="137"/>
        <v/>
      </c>
      <c r="I1968" s="394" t="str">
        <f t="shared" si="138"/>
        <v/>
      </c>
      <c r="J1968" s="394" t="str">
        <f t="shared" si="139"/>
        <v/>
      </c>
      <c r="K1968" s="394" t="str">
        <f t="shared" si="140"/>
        <v/>
      </c>
    </row>
    <row r="1969" spans="8:11" x14ac:dyDescent="0.25">
      <c r="H1969" s="394" t="str">
        <f t="shared" si="137"/>
        <v/>
      </c>
      <c r="I1969" s="394" t="str">
        <f t="shared" si="138"/>
        <v/>
      </c>
      <c r="J1969" s="394" t="str">
        <f t="shared" si="139"/>
        <v/>
      </c>
      <c r="K1969" s="394" t="str">
        <f t="shared" si="140"/>
        <v/>
      </c>
    </row>
    <row r="1970" spans="8:11" x14ac:dyDescent="0.25">
      <c r="H1970" s="394" t="str">
        <f t="shared" si="137"/>
        <v/>
      </c>
      <c r="I1970" s="394" t="str">
        <f t="shared" si="138"/>
        <v/>
      </c>
      <c r="J1970" s="394" t="str">
        <f t="shared" si="139"/>
        <v/>
      </c>
      <c r="K1970" s="394" t="str">
        <f t="shared" si="140"/>
        <v/>
      </c>
    </row>
    <row r="1971" spans="8:11" x14ac:dyDescent="0.25">
      <c r="H1971" s="394" t="str">
        <f t="shared" si="137"/>
        <v/>
      </c>
      <c r="I1971" s="394" t="str">
        <f t="shared" si="138"/>
        <v/>
      </c>
      <c r="J1971" s="394" t="str">
        <f t="shared" si="139"/>
        <v/>
      </c>
      <c r="K1971" s="394" t="str">
        <f t="shared" si="140"/>
        <v/>
      </c>
    </row>
    <row r="1972" spans="8:11" x14ac:dyDescent="0.25">
      <c r="H1972" s="394" t="str">
        <f t="shared" si="137"/>
        <v/>
      </c>
      <c r="I1972" s="394" t="str">
        <f t="shared" si="138"/>
        <v/>
      </c>
      <c r="J1972" s="394" t="str">
        <f t="shared" si="139"/>
        <v/>
      </c>
      <c r="K1972" s="394" t="str">
        <f t="shared" si="140"/>
        <v/>
      </c>
    </row>
    <row r="1973" spans="8:11" x14ac:dyDescent="0.25">
      <c r="H1973" s="394" t="str">
        <f t="shared" si="137"/>
        <v/>
      </c>
      <c r="I1973" s="394" t="str">
        <f t="shared" si="138"/>
        <v/>
      </c>
      <c r="J1973" s="394" t="str">
        <f t="shared" si="139"/>
        <v/>
      </c>
      <c r="K1973" s="394" t="str">
        <f t="shared" si="140"/>
        <v/>
      </c>
    </row>
    <row r="1974" spans="8:11" x14ac:dyDescent="0.25">
      <c r="H1974" s="394" t="str">
        <f t="shared" si="137"/>
        <v/>
      </c>
      <c r="I1974" s="394" t="str">
        <f t="shared" si="138"/>
        <v/>
      </c>
      <c r="J1974" s="394" t="str">
        <f t="shared" si="139"/>
        <v/>
      </c>
      <c r="K1974" s="394" t="str">
        <f t="shared" si="140"/>
        <v/>
      </c>
    </row>
    <row r="1975" spans="8:11" x14ac:dyDescent="0.25">
      <c r="H1975" s="394" t="str">
        <f t="shared" si="137"/>
        <v/>
      </c>
      <c r="I1975" s="394" t="str">
        <f t="shared" si="138"/>
        <v/>
      </c>
      <c r="J1975" s="394" t="str">
        <f t="shared" si="139"/>
        <v/>
      </c>
      <c r="K1975" s="394" t="str">
        <f t="shared" si="140"/>
        <v/>
      </c>
    </row>
    <row r="1976" spans="8:11" x14ac:dyDescent="0.25">
      <c r="H1976" s="394" t="str">
        <f t="shared" si="137"/>
        <v/>
      </c>
      <c r="I1976" s="394" t="str">
        <f t="shared" si="138"/>
        <v/>
      </c>
      <c r="J1976" s="394" t="str">
        <f t="shared" si="139"/>
        <v/>
      </c>
      <c r="K1976" s="394" t="str">
        <f t="shared" si="140"/>
        <v/>
      </c>
    </row>
    <row r="1977" spans="8:11" x14ac:dyDescent="0.25">
      <c r="H1977" s="394" t="str">
        <f t="shared" si="137"/>
        <v/>
      </c>
      <c r="I1977" s="394" t="str">
        <f t="shared" si="138"/>
        <v/>
      </c>
      <c r="J1977" s="394" t="str">
        <f t="shared" si="139"/>
        <v/>
      </c>
      <c r="K1977" s="394" t="str">
        <f t="shared" si="140"/>
        <v/>
      </c>
    </row>
    <row r="1978" spans="8:11" x14ac:dyDescent="0.25">
      <c r="H1978" s="394" t="str">
        <f t="shared" si="137"/>
        <v/>
      </c>
      <c r="I1978" s="394" t="str">
        <f t="shared" si="138"/>
        <v/>
      </c>
      <c r="J1978" s="394" t="str">
        <f t="shared" si="139"/>
        <v/>
      </c>
      <c r="K1978" s="394" t="str">
        <f t="shared" si="140"/>
        <v/>
      </c>
    </row>
    <row r="1979" spans="8:11" x14ac:dyDescent="0.25">
      <c r="H1979" s="395"/>
      <c r="I1979" s="395"/>
      <c r="J1979" s="395"/>
      <c r="K1979" s="395"/>
    </row>
  </sheetData>
  <sortState xmlns:xlrd2="http://schemas.microsoft.com/office/spreadsheetml/2017/richdata2" ref="C22:G49">
    <sortCondition ref="G49"/>
  </sortState>
  <phoneticPr fontId="3" type="noConversion"/>
  <dataValidations count="4">
    <dataValidation type="list" allowBlank="1" showInputMessage="1" showErrorMessage="1" sqref="B9" xr:uid="{F5EF6930-DFA9-4AE2-B81A-C2CC1E058C42}">
      <formula1>$D$3:$D$4</formula1>
    </dataValidation>
    <dataValidation type="list" allowBlank="1" showInputMessage="1" showErrorMessage="1" sqref="B12" xr:uid="{D3629648-0A09-49E8-9CA2-0046A205FE19}">
      <formula1>$E$3:$E$4</formula1>
    </dataValidation>
    <dataValidation type="list" allowBlank="1" showInputMessage="1" showErrorMessage="1" sqref="B15" xr:uid="{089B69C4-676F-46D4-845C-A15E2689A507}">
      <formula1>$F$3:$F$4</formula1>
    </dataValidation>
    <dataValidation type="list" allowBlank="1" showInputMessage="1" showErrorMessage="1" sqref="B16" xr:uid="{1C2DA5A8-F87E-4F74-87EB-4E67F094D4B5}">
      <formula1>$G$3:$G$4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3FFCE-CA72-4CF7-9E6F-FA7D0341AE5B}">
  <sheetPr codeName="Sheet12"/>
  <dimension ref="A1"/>
  <sheetViews>
    <sheetView zoomScale="75" zoomScaleNormal="75" workbookViewId="0">
      <selection activeCell="E30" sqref="E30"/>
    </sheetView>
  </sheetViews>
  <sheetFormatPr defaultRowHeight="15" x14ac:dyDescent="0.25"/>
  <cols>
    <col min="1" max="16384" width="9.140625" style="370"/>
  </cols>
  <sheetData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432F-BD27-458D-BB5B-33D08E5CB21F}">
  <sheetPr codeName="Sheet6"/>
  <dimension ref="A1:L7"/>
  <sheetViews>
    <sheetView zoomScale="75" zoomScaleNormal="75" workbookViewId="0">
      <selection activeCell="E30" sqref="E30"/>
    </sheetView>
  </sheetViews>
  <sheetFormatPr defaultRowHeight="15" x14ac:dyDescent="0.25"/>
  <cols>
    <col min="1" max="1" width="14.28515625" bestFit="1" customWidth="1"/>
    <col min="2" max="2" width="13.28515625" bestFit="1" customWidth="1"/>
    <col min="3" max="3" width="12.85546875" bestFit="1" customWidth="1"/>
    <col min="4" max="4" width="12.7109375" bestFit="1" customWidth="1"/>
    <col min="5" max="5" width="39" bestFit="1" customWidth="1"/>
    <col min="6" max="12" width="8.7109375" bestFit="1" customWidth="1"/>
  </cols>
  <sheetData>
    <row r="1" spans="1:12" s="221" customFormat="1" x14ac:dyDescent="0.25">
      <c r="A1" s="221" t="str">
        <f>CalcEngine!A60</f>
        <v>▼ [Product Group]</v>
      </c>
      <c r="B1" s="221" t="str">
        <f>CalcEngine!B60</f>
        <v>▼ [Service Mode]</v>
      </c>
      <c r="C1" s="221" t="str">
        <f>CalcEngine!C60</f>
        <v>▼ [Product Type]</v>
      </c>
      <c r="D1" s="221" t="str">
        <f>CalcEngine!D60</f>
        <v>▼ [Frame Finish]</v>
      </c>
      <c r="E1" s="221" t="str">
        <f>CalcEngine!E60</f>
        <v>▼ [Panel / Infill]</v>
      </c>
      <c r="F1" s="221" t="str" cm="1">
        <f t="array" ref="F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▼ [Variant]</v>
      </c>
      <c r="G1" s="221" t="str" cm="1">
        <f t="array" ref="G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▼ [Lattice]</v>
      </c>
      <c r="H1" s="221" t="str" cm="1">
        <f t="array" ref="H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▼ [Hung Window - Casement]</v>
      </c>
      <c r="I1" s="221" t="str" cm="1">
        <f t="array" ref="I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Title 4</v>
      </c>
      <c r="J1" s="221" t="str" cm="1">
        <f t="array" ref="J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Title 5</v>
      </c>
      <c r="K1" s="221" t="str" cm="1">
        <f t="array" ref="K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Title 6</v>
      </c>
      <c r="L1" s="221" t="str" cm="1">
        <f t="array" ref="L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Title 7</v>
      </c>
    </row>
    <row r="2" spans="1:12" x14ac:dyDescent="0.25">
      <c r="A2" t="str" cm="1">
        <f t="array" ref="A2">_xlfn.LET(
  _xlpm.src,TRIM(SUBSTITUTE(CalcEngine!A64:A5000,CHAR(160)," ")),
  _xlpm.vals,_xlfn._xlws.SORT(_xlfn.UNIQUE(_xlfn._xlws.FILTER(_xlpm.src,_xlpm.src&lt;&gt;""))),
  _xlpm.keys,TRIM(SUBSTITUTE($N$2:$N$50,CHAR(160)," ")),
  _xlpm.ord,$O$2:$O$50,
  _xlpm.pri,IFERROR(INDEX(_xlpm.ord,MATCH(_xlpm.vals,_xlpm.keys,0)),999),
  _xlfn.SORTBY(_xlpm.vals,_xlpm.pri,1,_xlpm.vals,1)
)</f>
        <v>Aluminium &amp; Glass Standard</v>
      </c>
      <c r="B2" t="str" cm="1">
        <f t="array" ref="B2:B5">_xlfn.LET(
  _xlpm.src, CalcEngine!B61:B5000,
  _xlpm.s, TRIM(_xlpm.src),
  _xlpm.arr, _xlfn._xlws.FILTER(_xlpm.s, _xlpm.s&lt;&gt;""),
  _xlfn._xlws.SORT(_xlfn.UNIQUE(_xlpm.arr))
)</f>
        <v>Install Only</v>
      </c>
      <c r="C2" t="str" cm="1">
        <f t="array" ref="C2:C5">_xlfn.LET(
  _xlpm.src, CalcEngine!C61:C5000,
  _xlpm.s, TRIM(_xlpm.src),
  _xlpm.arr, _xlfn._xlws.FILTER(_xlpm.s, _xlpm.s&lt;&gt;""),
  _xlfn._xlws.SORT(_xlfn.UNIQUE(_xlpm.arr))
)</f>
        <v>Casement Window Standard</v>
      </c>
      <c r="D2" t="str" cm="1">
        <f t="array" ref="D2:D5">_xlfn.LET(
  _xlpm.src,CalcEngine!D61:D5000,
  _xlpm.s,TRIM(_xlpm.src),
  _xlpm.arr,_xlfn._xlws.FILTER(_xlpm.s,_xlpm.s&lt;&gt;""),
  _xlfn.UNIQUE(_xlpm.arr)
)</f>
        <v>N/A</v>
      </c>
      <c r="E2" t="str">
        <f>IF(COUNTA(CalcEngine!$E$61:$E$5000)=0,"","Default")</f>
        <v>Default</v>
      </c>
      <c r="F2" t="str" cm="1">
        <f t="array" ref="F2:F7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Curtain Wall</v>
      </c>
      <c r="G2" t="str" cm="1">
        <f t="array" ref="G2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H2" t="str" cm="1">
        <f t="array" ref="H2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I2" t="str" cm="1">
        <f t="array" ref="I2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J2" t="str" cm="1">
        <f t="array" ref="J2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K2" t="str" cm="1">
        <f t="array" ref="K2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L2" t="str" cm="1">
        <f t="array" ref="L2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</row>
    <row r="3" spans="1:12" x14ac:dyDescent="0.25">
      <c r="B3" t="str">
        <v>Supply &amp; Delivery</v>
      </c>
      <c r="C3" t="str">
        <v>CTW / SF Partition / Z-Louvre</v>
      </c>
      <c r="D3" t="str">
        <v>P/C</v>
      </c>
      <c r="E3" t="str" cm="1">
        <f t="array" ref="E3:E4">_xlfn.LET(_xlpm.src,TRIM(CalcEngine!$E$61:$E$5000),IFERROR(_xlfn._xlws.SORT(_xlfn.UNIQUE(_xlfn._xlws.FILTER(_xlpm.src,(_xlpm.src&lt;&gt;"")*(_xlpm.src&lt;&gt;"Default")))),""))</f>
        <v>Z-Louvre Blade - 2"</v>
      </c>
      <c r="F3" t="str">
        <v>SF 2"</v>
      </c>
    </row>
    <row r="4" spans="1:12" x14ac:dyDescent="0.25">
      <c r="B4" t="str">
        <v>Supply &amp; Install</v>
      </c>
      <c r="C4" t="str">
        <v>Curtain Wall</v>
      </c>
      <c r="D4" t="str">
        <v>M/B</v>
      </c>
      <c r="E4" t="str">
        <v>Z-Louvre Blade - 5"</v>
      </c>
      <c r="F4" t="str">
        <v>SF 3"</v>
      </c>
    </row>
    <row r="5" spans="1:12" x14ac:dyDescent="0.25">
      <c r="B5" t="str">
        <v>Supply Only</v>
      </c>
      <c r="C5" t="str">
        <v>Top Hung Window / Fix Window</v>
      </c>
      <c r="D5" t="str">
        <v>W/G</v>
      </c>
      <c r="F5" t="str">
        <v>SF 4"</v>
      </c>
    </row>
    <row r="6" spans="1:12" x14ac:dyDescent="0.25">
      <c r="F6" t="str">
        <v>Z-Louvre Blade - 2"</v>
      </c>
    </row>
    <row r="7" spans="1:12" x14ac:dyDescent="0.25">
      <c r="F7" t="str">
        <v>Z-Louvre Blade - 5"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6314-A799-4DA6-833C-50EBF8678E6F}">
  <sheetPr codeName="Sheet2"/>
  <dimension ref="A1:E55"/>
  <sheetViews>
    <sheetView zoomScale="75" zoomScaleNormal="75" workbookViewId="0">
      <selection activeCell="M43" sqref="M43"/>
    </sheetView>
  </sheetViews>
  <sheetFormatPr defaultRowHeight="15" x14ac:dyDescent="0.25"/>
  <cols>
    <col min="1" max="1" width="8.7109375" customWidth="1"/>
    <col min="2" max="2" width="8.7109375" style="37" customWidth="1"/>
    <col min="3" max="7" width="8.7109375" customWidth="1"/>
  </cols>
  <sheetData>
    <row r="1" spans="1:5" x14ac:dyDescent="0.25">
      <c r="A1" s="180" t="s">
        <v>783</v>
      </c>
      <c r="B1" s="223" t="s">
        <v>784</v>
      </c>
      <c r="C1" s="180" t="s">
        <v>785</v>
      </c>
      <c r="D1" s="180"/>
      <c r="E1" s="180"/>
    </row>
    <row r="2" spans="1:5" x14ac:dyDescent="0.25">
      <c r="A2" s="8" t="s">
        <v>469</v>
      </c>
      <c r="E2" s="4" t="s">
        <v>802</v>
      </c>
    </row>
    <row r="3" spans="1:5" x14ac:dyDescent="0.25">
      <c r="A3" t="s">
        <v>768</v>
      </c>
      <c r="B3" s="37" t="s">
        <v>769</v>
      </c>
      <c r="E3" t="s">
        <v>786</v>
      </c>
    </row>
    <row r="4" spans="1:5" x14ac:dyDescent="0.25">
      <c r="A4" t="s">
        <v>254</v>
      </c>
      <c r="B4" s="37" t="s">
        <v>91</v>
      </c>
      <c r="E4" t="s">
        <v>801</v>
      </c>
    </row>
    <row r="5" spans="1:5" x14ac:dyDescent="0.25">
      <c r="A5" t="s">
        <v>253</v>
      </c>
      <c r="B5" s="37" t="s">
        <v>457</v>
      </c>
      <c r="E5" t="s">
        <v>964</v>
      </c>
    </row>
    <row r="6" spans="1:5" x14ac:dyDescent="0.25">
      <c r="A6" t="s">
        <v>795</v>
      </c>
      <c r="B6" s="37" t="s">
        <v>796</v>
      </c>
      <c r="C6" t="s">
        <v>808</v>
      </c>
      <c r="E6" t="s">
        <v>787</v>
      </c>
    </row>
    <row r="7" spans="1:5" x14ac:dyDescent="0.25">
      <c r="A7" t="s">
        <v>768</v>
      </c>
      <c r="B7" s="37" t="s">
        <v>790</v>
      </c>
      <c r="E7" t="s">
        <v>794</v>
      </c>
    </row>
    <row r="8" spans="1:5" x14ac:dyDescent="0.25">
      <c r="A8" t="s">
        <v>251</v>
      </c>
      <c r="B8" s="37" t="s">
        <v>322</v>
      </c>
      <c r="C8" t="s">
        <v>323</v>
      </c>
      <c r="E8" t="s">
        <v>791</v>
      </c>
    </row>
    <row r="9" spans="1:5" x14ac:dyDescent="0.25">
      <c r="A9" t="s">
        <v>251</v>
      </c>
      <c r="B9" s="37" t="s">
        <v>322</v>
      </c>
      <c r="C9" t="s">
        <v>325</v>
      </c>
      <c r="E9" t="s">
        <v>792</v>
      </c>
    </row>
    <row r="10" spans="1:5" x14ac:dyDescent="0.25">
      <c r="A10" t="s">
        <v>251</v>
      </c>
      <c r="B10" s="37" t="s">
        <v>322</v>
      </c>
      <c r="C10" t="s">
        <v>324</v>
      </c>
      <c r="E10" t="s">
        <v>793</v>
      </c>
    </row>
    <row r="11" spans="1:5" x14ac:dyDescent="0.25">
      <c r="A11" t="s">
        <v>795</v>
      </c>
      <c r="B11" s="37" t="s">
        <v>796</v>
      </c>
      <c r="E11" t="s">
        <v>809</v>
      </c>
    </row>
    <row r="12" spans="1:5" ht="409.5" x14ac:dyDescent="0.25">
      <c r="A12" t="s">
        <v>795</v>
      </c>
      <c r="B12" s="37" t="s">
        <v>815</v>
      </c>
      <c r="E12" s="197" t="s">
        <v>821</v>
      </c>
    </row>
    <row r="13" spans="1:5" x14ac:dyDescent="0.25">
      <c r="A13" t="s">
        <v>795</v>
      </c>
      <c r="B13" s="37" t="s">
        <v>837</v>
      </c>
      <c r="C13" t="s">
        <v>818</v>
      </c>
      <c r="D13" t="s">
        <v>840</v>
      </c>
      <c r="E13" t="s">
        <v>861</v>
      </c>
    </row>
    <row r="14" spans="1:5" x14ac:dyDescent="0.25">
      <c r="A14" t="s">
        <v>795</v>
      </c>
      <c r="B14" s="37" t="s">
        <v>837</v>
      </c>
      <c r="C14" t="s">
        <v>818</v>
      </c>
      <c r="D14" t="s">
        <v>841</v>
      </c>
      <c r="E14" t="s">
        <v>862</v>
      </c>
    </row>
    <row r="15" spans="1:5" x14ac:dyDescent="0.25">
      <c r="A15" t="s">
        <v>795</v>
      </c>
      <c r="B15" s="37" t="s">
        <v>837</v>
      </c>
      <c r="C15" t="s">
        <v>838</v>
      </c>
      <c r="D15" t="s">
        <v>842</v>
      </c>
      <c r="E15" t="s">
        <v>863</v>
      </c>
    </row>
    <row r="16" spans="1:5" x14ac:dyDescent="0.25">
      <c r="A16" t="s">
        <v>795</v>
      </c>
      <c r="B16" s="37" t="s">
        <v>837</v>
      </c>
      <c r="C16" t="s">
        <v>838</v>
      </c>
      <c r="D16" t="s">
        <v>843</v>
      </c>
      <c r="E16" t="s">
        <v>864</v>
      </c>
    </row>
    <row r="17" spans="1:5" x14ac:dyDescent="0.25">
      <c r="A17" t="s">
        <v>795</v>
      </c>
      <c r="B17" s="37" t="s">
        <v>837</v>
      </c>
      <c r="C17" t="s">
        <v>838</v>
      </c>
      <c r="D17" t="s">
        <v>844</v>
      </c>
      <c r="E17" t="s">
        <v>865</v>
      </c>
    </row>
    <row r="18" spans="1:5" x14ac:dyDescent="0.25">
      <c r="A18" t="s">
        <v>795</v>
      </c>
      <c r="B18" s="37" t="s">
        <v>837</v>
      </c>
      <c r="C18" t="s">
        <v>838</v>
      </c>
      <c r="D18" t="s">
        <v>845</v>
      </c>
      <c r="E18" t="s">
        <v>866</v>
      </c>
    </row>
    <row r="19" spans="1:5" x14ac:dyDescent="0.25">
      <c r="A19" t="s">
        <v>795</v>
      </c>
      <c r="B19" s="37" t="s">
        <v>837</v>
      </c>
      <c r="C19" t="s">
        <v>838</v>
      </c>
      <c r="D19" t="s">
        <v>846</v>
      </c>
      <c r="E19" t="s">
        <v>867</v>
      </c>
    </row>
    <row r="20" spans="1:5" ht="409.5" x14ac:dyDescent="0.25">
      <c r="A20" t="s">
        <v>795</v>
      </c>
      <c r="B20" s="37" t="s">
        <v>837</v>
      </c>
      <c r="C20" t="s">
        <v>838</v>
      </c>
      <c r="D20" t="s">
        <v>847</v>
      </c>
      <c r="E20" s="197" t="s">
        <v>868</v>
      </c>
    </row>
    <row r="21" spans="1:5" x14ac:dyDescent="0.25">
      <c r="A21" t="s">
        <v>795</v>
      </c>
      <c r="B21" s="37" t="s">
        <v>837</v>
      </c>
      <c r="C21" t="s">
        <v>838</v>
      </c>
      <c r="D21" t="s">
        <v>848</v>
      </c>
      <c r="E21" t="s">
        <v>869</v>
      </c>
    </row>
    <row r="22" spans="1:5" x14ac:dyDescent="0.25">
      <c r="A22" t="s">
        <v>795</v>
      </c>
      <c r="B22" s="37" t="s">
        <v>837</v>
      </c>
      <c r="C22" s="16" t="s">
        <v>859</v>
      </c>
      <c r="D22" t="s">
        <v>849</v>
      </c>
      <c r="E22" t="s">
        <v>870</v>
      </c>
    </row>
    <row r="23" spans="1:5" x14ac:dyDescent="0.25">
      <c r="A23" t="s">
        <v>795</v>
      </c>
      <c r="B23" s="37" t="s">
        <v>837</v>
      </c>
      <c r="C23" s="16" t="s">
        <v>859</v>
      </c>
      <c r="D23" t="s">
        <v>850</v>
      </c>
      <c r="E23" t="s">
        <v>871</v>
      </c>
    </row>
    <row r="24" spans="1:5" x14ac:dyDescent="0.25">
      <c r="A24" t="s">
        <v>795</v>
      </c>
      <c r="B24" s="37" t="s">
        <v>837</v>
      </c>
      <c r="C24" s="16" t="s">
        <v>859</v>
      </c>
      <c r="D24" t="s">
        <v>851</v>
      </c>
      <c r="E24" t="s">
        <v>872</v>
      </c>
    </row>
    <row r="25" spans="1:5" x14ac:dyDescent="0.25">
      <c r="A25" t="s">
        <v>795</v>
      </c>
      <c r="B25" s="37" t="s">
        <v>837</v>
      </c>
      <c r="C25" t="s">
        <v>860</v>
      </c>
      <c r="D25" t="s">
        <v>852</v>
      </c>
      <c r="E25" t="s">
        <v>873</v>
      </c>
    </row>
    <row r="26" spans="1:5" x14ac:dyDescent="0.25">
      <c r="A26" t="s">
        <v>795</v>
      </c>
      <c r="B26" s="37" t="s">
        <v>837</v>
      </c>
      <c r="C26" t="s">
        <v>860</v>
      </c>
      <c r="D26" t="s">
        <v>853</v>
      </c>
      <c r="E26" t="s">
        <v>874</v>
      </c>
    </row>
    <row r="27" spans="1:5" x14ac:dyDescent="0.25">
      <c r="A27" t="s">
        <v>795</v>
      </c>
      <c r="B27" s="37" t="s">
        <v>837</v>
      </c>
      <c r="C27" t="s">
        <v>860</v>
      </c>
      <c r="D27" t="s">
        <v>854</v>
      </c>
      <c r="E27" t="s">
        <v>875</v>
      </c>
    </row>
    <row r="28" spans="1:5" x14ac:dyDescent="0.25">
      <c r="A28" t="s">
        <v>795</v>
      </c>
      <c r="B28" s="37" t="s">
        <v>837</v>
      </c>
      <c r="C28" t="s">
        <v>839</v>
      </c>
      <c r="D28" t="s">
        <v>855</v>
      </c>
      <c r="E28" t="s">
        <v>876</v>
      </c>
    </row>
    <row r="29" spans="1:5" x14ac:dyDescent="0.25">
      <c r="A29" t="s">
        <v>795</v>
      </c>
      <c r="B29" s="37" t="s">
        <v>837</v>
      </c>
      <c r="C29" t="s">
        <v>839</v>
      </c>
      <c r="D29" t="s">
        <v>856</v>
      </c>
      <c r="E29" t="s">
        <v>877</v>
      </c>
    </row>
    <row r="30" spans="1:5" x14ac:dyDescent="0.25">
      <c r="A30" t="s">
        <v>795</v>
      </c>
      <c r="B30" s="37" t="s">
        <v>837</v>
      </c>
      <c r="C30" t="s">
        <v>839</v>
      </c>
      <c r="D30" t="s">
        <v>857</v>
      </c>
      <c r="E30" t="s">
        <v>878</v>
      </c>
    </row>
    <row r="31" spans="1:5" x14ac:dyDescent="0.25">
      <c r="A31" t="s">
        <v>795</v>
      </c>
      <c r="B31" s="37" t="s">
        <v>837</v>
      </c>
      <c r="C31" t="s">
        <v>839</v>
      </c>
      <c r="D31" t="s">
        <v>858</v>
      </c>
      <c r="E31" t="s">
        <v>879</v>
      </c>
    </row>
    <row r="32" spans="1:5" x14ac:dyDescent="0.25">
      <c r="A32" t="s">
        <v>795</v>
      </c>
      <c r="B32" s="16" t="s">
        <v>880</v>
      </c>
      <c r="C32" s="16" t="s">
        <v>818</v>
      </c>
      <c r="D32" t="s">
        <v>881</v>
      </c>
      <c r="E32" t="s">
        <v>896</v>
      </c>
    </row>
    <row r="33" spans="1:5" x14ac:dyDescent="0.25">
      <c r="A33" t="s">
        <v>795</v>
      </c>
      <c r="B33" s="16" t="s">
        <v>880</v>
      </c>
      <c r="C33" s="16" t="s">
        <v>838</v>
      </c>
      <c r="D33" t="s">
        <v>882</v>
      </c>
      <c r="E33" t="s">
        <v>897</v>
      </c>
    </row>
    <row r="34" spans="1:5" x14ac:dyDescent="0.25">
      <c r="A34" t="s">
        <v>795</v>
      </c>
      <c r="B34" s="16" t="s">
        <v>880</v>
      </c>
      <c r="C34" s="16" t="s">
        <v>838</v>
      </c>
      <c r="D34" t="s">
        <v>883</v>
      </c>
      <c r="E34" t="s">
        <v>898</v>
      </c>
    </row>
    <row r="35" spans="1:5" x14ac:dyDescent="0.25">
      <c r="A35" t="s">
        <v>795</v>
      </c>
      <c r="B35" s="16" t="s">
        <v>880</v>
      </c>
      <c r="C35" s="16" t="s">
        <v>859</v>
      </c>
      <c r="D35" t="s">
        <v>884</v>
      </c>
      <c r="E35" t="s">
        <v>899</v>
      </c>
    </row>
    <row r="36" spans="1:5" x14ac:dyDescent="0.25">
      <c r="A36" t="s">
        <v>795</v>
      </c>
      <c r="B36" s="16" t="s">
        <v>880</v>
      </c>
      <c r="C36" s="16" t="s">
        <v>860</v>
      </c>
      <c r="D36" t="s">
        <v>885</v>
      </c>
      <c r="E36" t="s">
        <v>900</v>
      </c>
    </row>
    <row r="37" spans="1:5" x14ac:dyDescent="0.25">
      <c r="A37" t="s">
        <v>795</v>
      </c>
      <c r="B37" s="16" t="s">
        <v>880</v>
      </c>
      <c r="C37" s="16" t="s">
        <v>860</v>
      </c>
      <c r="D37" t="s">
        <v>886</v>
      </c>
      <c r="E37" t="s">
        <v>901</v>
      </c>
    </row>
    <row r="38" spans="1:5" x14ac:dyDescent="0.25">
      <c r="A38" t="s">
        <v>795</v>
      </c>
      <c r="B38" s="16" t="s">
        <v>880</v>
      </c>
      <c r="C38" s="16" t="s">
        <v>860</v>
      </c>
      <c r="D38" t="s">
        <v>887</v>
      </c>
      <c r="E38" t="s">
        <v>902</v>
      </c>
    </row>
    <row r="39" spans="1:5" x14ac:dyDescent="0.25">
      <c r="A39" t="s">
        <v>795</v>
      </c>
      <c r="B39" s="16" t="s">
        <v>880</v>
      </c>
      <c r="C39" s="16" t="s">
        <v>860</v>
      </c>
      <c r="D39" t="s">
        <v>888</v>
      </c>
      <c r="E39" t="s">
        <v>903</v>
      </c>
    </row>
    <row r="40" spans="1:5" x14ac:dyDescent="0.25">
      <c r="A40" t="s">
        <v>795</v>
      </c>
      <c r="B40" s="16" t="s">
        <v>880</v>
      </c>
      <c r="C40" s="16" t="s">
        <v>860</v>
      </c>
      <c r="D40" t="s">
        <v>889</v>
      </c>
      <c r="E40" t="s">
        <v>904</v>
      </c>
    </row>
    <row r="41" spans="1:5" x14ac:dyDescent="0.25">
      <c r="A41" t="s">
        <v>795</v>
      </c>
      <c r="B41" s="16" t="s">
        <v>880</v>
      </c>
      <c r="C41" s="16" t="s">
        <v>860</v>
      </c>
      <c r="D41" t="s">
        <v>890</v>
      </c>
      <c r="E41" t="s">
        <v>905</v>
      </c>
    </row>
    <row r="42" spans="1:5" x14ac:dyDescent="0.25">
      <c r="A42" t="s">
        <v>795</v>
      </c>
      <c r="B42" s="16" t="s">
        <v>880</v>
      </c>
      <c r="C42" s="16" t="s">
        <v>860</v>
      </c>
      <c r="D42" t="s">
        <v>891</v>
      </c>
      <c r="E42" t="s">
        <v>906</v>
      </c>
    </row>
    <row r="43" spans="1:5" x14ac:dyDescent="0.25">
      <c r="A43" t="s">
        <v>795</v>
      </c>
      <c r="B43" s="16" t="s">
        <v>880</v>
      </c>
      <c r="C43" s="16" t="s">
        <v>839</v>
      </c>
      <c r="D43" t="s">
        <v>892</v>
      </c>
      <c r="E43" t="s">
        <v>907</v>
      </c>
    </row>
    <row r="44" spans="1:5" x14ac:dyDescent="0.25">
      <c r="A44" t="s">
        <v>795</v>
      </c>
      <c r="B44" s="16" t="s">
        <v>880</v>
      </c>
      <c r="C44" s="16" t="s">
        <v>839</v>
      </c>
      <c r="D44" t="s">
        <v>893</v>
      </c>
      <c r="E44" t="s">
        <v>908</v>
      </c>
    </row>
    <row r="45" spans="1:5" x14ac:dyDescent="0.25">
      <c r="A45" t="s">
        <v>795</v>
      </c>
      <c r="B45" s="16" t="s">
        <v>880</v>
      </c>
      <c r="C45" s="16" t="s">
        <v>839</v>
      </c>
      <c r="D45" t="s">
        <v>894</v>
      </c>
      <c r="E45" t="s">
        <v>909</v>
      </c>
    </row>
    <row r="46" spans="1:5" x14ac:dyDescent="0.25">
      <c r="A46" t="s">
        <v>795</v>
      </c>
      <c r="B46" s="16" t="s">
        <v>880</v>
      </c>
      <c r="C46" s="16" t="s">
        <v>839</v>
      </c>
      <c r="D46" t="s">
        <v>895</v>
      </c>
      <c r="E46" t="s">
        <v>910</v>
      </c>
    </row>
    <row r="47" spans="1:5" x14ac:dyDescent="0.25">
      <c r="A47" t="s">
        <v>795</v>
      </c>
      <c r="B47" s="16" t="s">
        <v>924</v>
      </c>
      <c r="C47" s="16" t="s">
        <v>925</v>
      </c>
      <c r="E47" t="s">
        <v>927</v>
      </c>
    </row>
    <row r="48" spans="1:5" x14ac:dyDescent="0.25">
      <c r="A48" t="s">
        <v>256</v>
      </c>
      <c r="B48" s="16" t="s">
        <v>331</v>
      </c>
      <c r="C48" s="16" t="s">
        <v>339</v>
      </c>
      <c r="E48" t="s">
        <v>936</v>
      </c>
    </row>
    <row r="49" spans="1:5" x14ac:dyDescent="0.25">
      <c r="A49" t="s">
        <v>256</v>
      </c>
      <c r="B49" s="16" t="s">
        <v>331</v>
      </c>
      <c r="C49" s="16" t="s">
        <v>345</v>
      </c>
      <c r="E49" t="s">
        <v>930</v>
      </c>
    </row>
    <row r="50" spans="1:5" x14ac:dyDescent="0.25">
      <c r="A50" t="s">
        <v>256</v>
      </c>
      <c r="B50" s="16" t="s">
        <v>331</v>
      </c>
      <c r="C50" s="16" t="s">
        <v>324</v>
      </c>
      <c r="E50" t="s">
        <v>1425</v>
      </c>
    </row>
    <row r="51" spans="1:5" x14ac:dyDescent="0.25">
      <c r="A51" t="s">
        <v>256</v>
      </c>
      <c r="B51" s="16" t="s">
        <v>331</v>
      </c>
      <c r="E51" t="s">
        <v>935</v>
      </c>
    </row>
    <row r="52" spans="1:5" x14ac:dyDescent="0.25">
      <c r="A52" t="s">
        <v>253</v>
      </c>
      <c r="B52" s="16" t="s">
        <v>331</v>
      </c>
      <c r="E52" t="s">
        <v>1402</v>
      </c>
    </row>
    <row r="53" spans="1:5" x14ac:dyDescent="0.25">
      <c r="A53" t="s">
        <v>253</v>
      </c>
      <c r="B53" s="37" t="s">
        <v>405</v>
      </c>
      <c r="E53" t="s">
        <v>964</v>
      </c>
    </row>
    <row r="54" spans="1:5" x14ac:dyDescent="0.25">
      <c r="A54" t="s">
        <v>768</v>
      </c>
      <c r="B54" s="16" t="s">
        <v>1358</v>
      </c>
      <c r="C54" t="s">
        <v>1361</v>
      </c>
      <c r="E54" t="s">
        <v>1371</v>
      </c>
    </row>
    <row r="55" spans="1:5" x14ac:dyDescent="0.25">
      <c r="A55" t="s">
        <v>768</v>
      </c>
      <c r="B55" s="16" t="s">
        <v>1358</v>
      </c>
      <c r="C55" t="s">
        <v>1362</v>
      </c>
      <c r="E55" t="s">
        <v>1371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7932-5B2F-4A10-894D-AF410429FD70}">
  <sheetPr codeName="Sheet3"/>
  <dimension ref="A1:BW5590"/>
  <sheetViews>
    <sheetView zoomScale="75" zoomScaleNormal="75" workbookViewId="0">
      <selection activeCell="O30" sqref="O30"/>
    </sheetView>
  </sheetViews>
  <sheetFormatPr defaultRowHeight="15" x14ac:dyDescent="0.25"/>
  <cols>
    <col min="1" max="1" width="32.28515625" style="1" bestFit="1" customWidth="1"/>
    <col min="2" max="2" width="27.7109375" style="26" customWidth="1"/>
    <col min="3" max="3" width="10.7109375" style="94" customWidth="1"/>
    <col min="4" max="4" width="10.7109375" style="15" customWidth="1"/>
    <col min="5" max="5" width="10.7109375" style="16" customWidth="1"/>
    <col min="6" max="6" width="10.7109375" style="1" customWidth="1"/>
    <col min="7" max="7" width="10.7109375" style="24" customWidth="1"/>
    <col min="8" max="8" width="10.7109375" style="1" customWidth="1"/>
    <col min="9" max="9" width="10.7109375" style="24" customWidth="1"/>
    <col min="10" max="10" width="10.7109375" style="85" customWidth="1"/>
    <col min="11" max="11" width="10.7109375" style="345" customWidth="1"/>
    <col min="12" max="12" width="8.7109375" style="43" bestFit="1" customWidth="1"/>
    <col min="13" max="13" width="9.140625" style="52"/>
    <col min="14" max="14" width="29" style="1" customWidth="1"/>
    <col min="15" max="15" width="29.7109375" style="2" bestFit="1" customWidth="1"/>
    <col min="16" max="16" width="58.5703125" style="93" customWidth="1"/>
    <col min="17" max="17" width="13.85546875" style="99" bestFit="1" customWidth="1"/>
    <col min="18" max="20" width="1.7109375" customWidth="1"/>
    <col min="21" max="21" width="8.5703125" style="104" bestFit="1" customWidth="1"/>
    <col min="22" max="22" width="8.5703125" bestFit="1" customWidth="1"/>
    <col min="23" max="26" width="5.7109375" customWidth="1"/>
    <col min="27" max="42" width="1.7109375" customWidth="1"/>
    <col min="43" max="48" width="5.7109375" customWidth="1"/>
    <col min="49" max="49" width="38.28515625" bestFit="1" customWidth="1"/>
    <col min="50" max="50" width="6.42578125" bestFit="1" customWidth="1"/>
    <col min="51" max="51" width="38.28515625" bestFit="1" customWidth="1"/>
    <col min="52" max="52" width="20.7109375" customWidth="1"/>
    <col min="53" max="53" width="61.140625" bestFit="1" customWidth="1"/>
    <col min="54" max="54" width="15.42578125" style="5" bestFit="1" customWidth="1"/>
    <col min="55" max="55" width="1.7109375" customWidth="1"/>
    <col min="56" max="56" width="105.140625" customWidth="1"/>
    <col min="57" max="57" width="7.5703125" style="5" bestFit="1" customWidth="1"/>
    <col min="58" max="58" width="1.7109375" customWidth="1"/>
    <col min="59" max="59" width="37.28515625" bestFit="1" customWidth="1"/>
    <col min="60" max="60" width="7.5703125" style="5" bestFit="1" customWidth="1"/>
    <col min="61" max="61" width="1.7109375" customWidth="1"/>
    <col min="62" max="62" width="37.28515625" bestFit="1" customWidth="1"/>
    <col min="63" max="63" width="7.5703125" style="5" bestFit="1" customWidth="1"/>
    <col min="64" max="64" width="1.7109375" customWidth="1"/>
    <col min="65" max="65" width="31.42578125" bestFit="1" customWidth="1"/>
    <col min="66" max="66" width="7.5703125" style="5" bestFit="1" customWidth="1"/>
    <col min="67" max="67" width="1.7109375" customWidth="1"/>
    <col min="68" max="68" width="31.42578125" bestFit="1" customWidth="1"/>
    <col min="70" max="70" width="1.7109375" customWidth="1"/>
    <col min="71" max="71" width="21.28515625" bestFit="1" customWidth="1"/>
    <col min="72" max="72" width="9.140625" style="5"/>
    <col min="73" max="73" width="1.7109375" customWidth="1"/>
    <col min="75" max="75" width="9.140625" style="5"/>
  </cols>
  <sheetData>
    <row r="1" spans="1:75" x14ac:dyDescent="0.25">
      <c r="A1" s="111" t="s">
        <v>268</v>
      </c>
      <c r="B1" s="224" t="s">
        <v>359</v>
      </c>
      <c r="C1" s="12" t="s">
        <v>0</v>
      </c>
      <c r="D1" s="36" t="s">
        <v>98</v>
      </c>
      <c r="E1" s="243" t="s">
        <v>351</v>
      </c>
      <c r="F1" s="12" t="s">
        <v>78</v>
      </c>
      <c r="G1" s="80" t="s">
        <v>0</v>
      </c>
      <c r="H1" s="12" t="s">
        <v>98</v>
      </c>
      <c r="I1" s="80" t="s">
        <v>351</v>
      </c>
      <c r="J1" s="12" t="s">
        <v>78</v>
      </c>
      <c r="K1" s="342" t="s">
        <v>104</v>
      </c>
      <c r="L1" s="346" t="s">
        <v>102</v>
      </c>
      <c r="M1" s="89" t="s">
        <v>105</v>
      </c>
      <c r="N1" s="12" t="s">
        <v>106</v>
      </c>
      <c r="O1" s="22" t="s">
        <v>270</v>
      </c>
      <c r="P1" s="36" t="s">
        <v>0</v>
      </c>
      <c r="Q1" s="83" t="s">
        <v>258</v>
      </c>
      <c r="R1" s="20"/>
      <c r="S1" s="1"/>
      <c r="T1" s="1"/>
      <c r="U1" s="103" t="s">
        <v>330</v>
      </c>
      <c r="V1" s="1"/>
      <c r="W1" s="1"/>
      <c r="X1" s="1"/>
      <c r="AY1" t="s">
        <v>1679</v>
      </c>
      <c r="BA1" s="1" t="s">
        <v>975</v>
      </c>
      <c r="BB1" s="1" t="s">
        <v>141</v>
      </c>
      <c r="BC1" s="1"/>
      <c r="BD1" s="1" t="s">
        <v>675</v>
      </c>
      <c r="BE1" s="1" t="s">
        <v>141</v>
      </c>
      <c r="BF1" s="1"/>
      <c r="BG1" s="1" t="s">
        <v>676</v>
      </c>
      <c r="BH1" s="6" t="s">
        <v>141</v>
      </c>
      <c r="BJ1" s="1" t="s">
        <v>642</v>
      </c>
      <c r="BK1" s="2" t="s">
        <v>141</v>
      </c>
      <c r="BL1" s="1"/>
      <c r="BM1" s="1" t="s">
        <v>663</v>
      </c>
      <c r="BN1" s="1" t="s">
        <v>141</v>
      </c>
      <c r="BO1" s="1"/>
      <c r="BP1" s="1" t="s">
        <v>665</v>
      </c>
      <c r="BQ1" s="1" t="s">
        <v>141</v>
      </c>
      <c r="BS1" s="1" t="s">
        <v>678</v>
      </c>
      <c r="BT1" s="1" t="s">
        <v>141</v>
      </c>
      <c r="BV1" s="1" t="s">
        <v>683</v>
      </c>
      <c r="BW1" s="1" t="s">
        <v>141</v>
      </c>
    </row>
    <row r="2" spans="1:75" x14ac:dyDescent="0.25">
      <c r="A2" s="111" t="s">
        <v>124</v>
      </c>
      <c r="B2" s="225">
        <v>9</v>
      </c>
      <c r="C2" s="14" t="s">
        <v>191</v>
      </c>
      <c r="D2" s="108">
        <f>Enginuity!$B$6+(Enginuity!$B$7*2)</f>
        <v>46</v>
      </c>
      <c r="E2" s="244">
        <v>11.46</v>
      </c>
      <c r="F2" s="105">
        <f>IF(D2*E2=0, "", D2*E2)</f>
        <v>527.16000000000008</v>
      </c>
      <c r="G2" s="18" t="s">
        <v>9</v>
      </c>
      <c r="H2" s="10">
        <f>2*Enginuity!$B$6 + 2*Enginuity!$B$7</f>
        <v>66</v>
      </c>
      <c r="I2" s="17">
        <v>1.1000000000000001</v>
      </c>
      <c r="J2" s="83">
        <f>IF(H2*I2=0, "", H2*I2)</f>
        <v>72.600000000000009</v>
      </c>
      <c r="K2" s="343"/>
      <c r="L2" s="347"/>
      <c r="M2" s="89">
        <v>1</v>
      </c>
      <c r="N2" s="93" t="str">
        <f>Enginuity!A19</f>
        <v>W/G</v>
      </c>
      <c r="O2" s="2" t="str">
        <f>IFERROR(
  INDEX(AllMaterialsbak!$BB$2:$BB$30, MATCH(Enginuity!A19, AllMaterialsbak!$BA$2:$BA$30, 0)),
  ""
)</f>
        <v/>
      </c>
      <c r="P2" s="14" t="s">
        <v>259</v>
      </c>
      <c r="Q2" s="83">
        <f>IF(AND(Enginuity!$B$6&gt;0, Enginuity!$B$7&gt;0), ROUND(((Enginuity!$B$6 + Enginuity!$B$7) * 2), 2), "")</f>
        <v>66</v>
      </c>
      <c r="U2" s="104" t="str">
        <f>IF(
  AND(
    TRIM(A2)=TRIM(Enginuity!$A$1),
    TRIM(B2)=TRIM(Enginuity!$A$17),
    Q2&lt;&gt;"",
    Q2&lt;&gt;0,
    OR(
      TRIM(C2)=TRIM(Enginuity!$A$18),
      AND(UPPER(TRIM(M2))="STD", TRIM(B2)=TRIM(Enginuity!$A$17))
    ),
    OR(
      AND(LEFT(P2,5)="1-Way", Enginuity!$B$13=1),
      AND(LEFT(P2,5)="2-Way", OR(Enginuity!$B$13=2, Enginuity!$B$13=4)),
      AND(LEFT(P2,5)="3-Way", OR(Enginuity!$B$13=3, Enginuity!$B$13=6)),
      AND(P2="Inner Centre Jamb", OR(Enginuity!$B$13=4, Enginuity!$B$13=6)),
      AND(
        LEFT(P2,5)&lt;&gt;"1-Way",
        LEFT(P2,5)&lt;&gt;"2-Way",
        LEFT(P2,5)&lt;&gt;"3-Way",
        P2&lt;&gt;"Inner Centre Jamb"
      )
    ),
    IF(OR(Enginuity!$A$1="Frameless Glass",Enginuity!$A$1="Metal Work"),
      AND(TRIM(B2)=TRIM(Enginuity!$A$17),TRIM(C2)=TRIM(Enginuity!$A$18)),
      TRIM(B2)=TRIM(Enginuity!$A$17)
    )
  ),
  ROW(),
  ""
)</f>
        <v/>
      </c>
      <c r="AA2" s="8"/>
      <c r="AY2" t="s">
        <v>754</v>
      </c>
      <c r="AZ2">
        <v>30</v>
      </c>
      <c r="BA2" t="s">
        <v>977</v>
      </c>
      <c r="BB2" s="5">
        <v>3.9</v>
      </c>
      <c r="BD2" t="s">
        <v>604</v>
      </c>
      <c r="BE2" s="5">
        <v>100</v>
      </c>
      <c r="BG2" t="s">
        <v>677</v>
      </c>
      <c r="BH2" s="5">
        <v>45</v>
      </c>
      <c r="BJ2" t="s">
        <v>643</v>
      </c>
      <c r="BK2" s="5">
        <v>6.1</v>
      </c>
      <c r="BM2" t="s">
        <v>664</v>
      </c>
      <c r="BN2" s="5">
        <v>130</v>
      </c>
      <c r="BP2" t="s">
        <v>666</v>
      </c>
      <c r="BQ2" s="5">
        <v>46</v>
      </c>
      <c r="BS2" t="s">
        <v>679</v>
      </c>
      <c r="BT2" s="5">
        <v>145</v>
      </c>
      <c r="BV2" t="s">
        <v>685</v>
      </c>
      <c r="BW2" s="5">
        <v>13.9</v>
      </c>
    </row>
    <row r="3" spans="1:75" x14ac:dyDescent="0.25">
      <c r="A3" s="112" t="s">
        <v>113</v>
      </c>
      <c r="B3" s="225">
        <v>1.4</v>
      </c>
      <c r="C3" s="14" t="s">
        <v>194</v>
      </c>
      <c r="D3" s="108">
        <f>Enginuity!$B$6</f>
        <v>20</v>
      </c>
      <c r="E3" s="244">
        <v>2.99</v>
      </c>
      <c r="F3" s="105">
        <f t="shared" ref="F3:F49" si="0">IF(D3*E3=0, "", D3*E3)</f>
        <v>59.800000000000004</v>
      </c>
      <c r="G3" s="18"/>
      <c r="H3" s="10"/>
      <c r="I3" s="17"/>
      <c r="J3" s="83"/>
      <c r="K3" s="343"/>
      <c r="L3" s="347"/>
      <c r="M3" s="89">
        <v>2</v>
      </c>
      <c r="N3" s="14" t="s">
        <v>115</v>
      </c>
      <c r="O3" s="22">
        <f>IF(AND(Enginuity!$B$6&gt;0, Enginuity!$B$7&gt;0), ROUND(((Enginuity!$B$6 + Enginuity!$B$7) * 2), 2), "")</f>
        <v>66</v>
      </c>
      <c r="P3" s="14" t="s">
        <v>266</v>
      </c>
      <c r="Q3" s="83">
        <f>IF(AND(Enginuity!$B$6&gt;0, Enginuity!$B$7&gt;0, Enginuity!$B$13&gt;0), (2 * Enginuity!$B$7 * Enginuity!$B$13) + (2 * Enginuity!$B$6), "")</f>
        <v>222</v>
      </c>
      <c r="U3" s="104" t="str">
        <f>IF(
  AND(
    TRIM(A3)=TRIM(Enginuity!$A$1),
    TRIM(B3)=TRIM(Enginuity!$A$17),
    Q3&lt;&gt;"",
    Q3&lt;&gt;0,
    OR(
      TRIM(C3)=TRIM(Enginuity!$A$18),
      AND(UPPER(TRIM(M3))="STD", TRIM(B3)=TRIM(Enginuity!$A$17))
    ),
    OR(
      AND(LEFT(P3,5)="1-Way", Enginuity!$B$13=1),
      AND(LEFT(P3,5)="2-Way", OR(Enginuity!$B$13=2, Enginuity!$B$13=4)),
      AND(LEFT(P3,5)="3-Way", OR(Enginuity!$B$13=3, Enginuity!$B$13=6)),
      AND(P3="Inner Centre Jamb", OR(Enginuity!$B$13=4, Enginuity!$B$13=6)),
      AND(
        LEFT(P3,5)&lt;&gt;"1-Way",
        LEFT(P3,5)&lt;&gt;"2-Way",
        LEFT(P3,5)&lt;&gt;"3-Way",
        P3&lt;&gt;"Inner Centre Jamb"
      )
    ),
    IF(OR(Enginuity!$A$1="Frameless Glass",Enginuity!$A$1="Metal Work"),
      AND(TRIM(B3)=TRIM(Enginuity!$A$17),TRIM(C3)=TRIM(Enginuity!$A$18)),
      TRIM(B3)=TRIM(Enginuity!$A$17)
    )
  ),
  ROW(),
  ""
)</f>
        <v/>
      </c>
      <c r="AA3" s="8"/>
      <c r="AY3" t="s">
        <v>305</v>
      </c>
      <c r="AZ3">
        <v>150</v>
      </c>
      <c r="BA3" t="str" cm="1">
        <f t="array" ref="BA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2" Louver Blade N/A </v>
      </c>
      <c r="BB3" s="5" cm="1">
        <f t="array" ref="BB3">_xlfn.LET(
  _xlpm.raw, $BA3,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10.199999999999999</v>
      </c>
      <c r="BD3" t="s">
        <v>600</v>
      </c>
      <c r="BE3" s="5">
        <v>160</v>
      </c>
      <c r="BG3" t="s">
        <v>681</v>
      </c>
      <c r="BH3" s="5">
        <v>168</v>
      </c>
      <c r="BJ3" t="s">
        <v>644</v>
      </c>
      <c r="BK3" s="5">
        <v>6.3</v>
      </c>
      <c r="BP3" t="s">
        <v>667</v>
      </c>
      <c r="BQ3" s="5">
        <v>88</v>
      </c>
      <c r="BV3" t="s">
        <v>684</v>
      </c>
      <c r="BW3" s="5">
        <v>9</v>
      </c>
    </row>
    <row r="4" spans="1:75" x14ac:dyDescent="0.25">
      <c r="A4" s="111" t="s">
        <v>357</v>
      </c>
      <c r="B4" s="225">
        <v>8.6</v>
      </c>
      <c r="C4" s="14" t="s">
        <v>192</v>
      </c>
      <c r="D4" s="108">
        <f>Enginuity!$B$6</f>
        <v>20</v>
      </c>
      <c r="E4" s="244">
        <v>5.7</v>
      </c>
      <c r="F4" s="105">
        <f t="shared" si="0"/>
        <v>114</v>
      </c>
      <c r="G4" s="17"/>
      <c r="H4" s="10"/>
      <c r="I4" s="17"/>
      <c r="J4" s="83"/>
      <c r="K4" s="343"/>
      <c r="L4" s="347"/>
      <c r="M4" s="89">
        <v>3</v>
      </c>
      <c r="N4" s="14" t="s">
        <v>116</v>
      </c>
      <c r="O4" s="22">
        <f>IF(AND(Enginuity!$B$6&gt;0, Enginuity!$B$7&gt;0, Enginuity!$B$13&gt;0), (2 * Enginuity!$B$7 * Enginuity!$B$13) + (2 * Enginuity!$B$6), "")</f>
        <v>222</v>
      </c>
      <c r="P4" s="14" t="s">
        <v>263</v>
      </c>
      <c r="Q4" s="83">
        <f>IF(Enginuity!$B$6&gt;0, Enginuity!$B$6, "")</f>
        <v>20</v>
      </c>
      <c r="U4" s="104" t="str">
        <f>IF(
  AND(
    TRIM(A4)=TRIM(Enginuity!$A$1),
    TRIM(B4)=TRIM(Enginuity!$A$17),
    Q4&lt;&gt;"",
    Q4&lt;&gt;0,
    OR(
      TRIM(C4)=TRIM(Enginuity!$A$18),
      AND(UPPER(TRIM(M4))="STD", TRIM(B4)=TRIM(Enginuity!$A$17))
    ),
    OR(
      AND(LEFT(P4,5)="1-Way", Enginuity!$B$13=1),
      AND(LEFT(P4,5)="2-Way", OR(Enginuity!$B$13=2, Enginuity!$B$13=4)),
      AND(LEFT(P4,5)="3-Way", OR(Enginuity!$B$13=3, Enginuity!$B$13=6)),
      AND(P4="Inner Centre Jamb", OR(Enginuity!$B$13=4, Enginuity!$B$13=6)),
      AND(
        LEFT(P4,5)&lt;&gt;"1-Way",
        LEFT(P4,5)&lt;&gt;"2-Way",
        LEFT(P4,5)&lt;&gt;"3-Way",
        P4&lt;&gt;"Inner Centre Jamb"
      )
    ),
    IF(OR(Enginuity!$A$1="Frameless Glass",Enginuity!$A$1="Metal Work"),
      AND(TRIM(B4)=TRIM(Enginuity!$A$17),TRIM(C4)=TRIM(Enginuity!$A$18)),
      TRIM(B4)=TRIM(Enginuity!$A$17)
    )
  ),
  ROW(),
  ""
)</f>
        <v/>
      </c>
      <c r="BA4" t="str" cm="1">
        <f t="array" ref="BA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2" Louver Blade P/C</v>
      </c>
      <c r="BB4" s="5" cm="1">
        <f t="array" ref="BB4">_xlfn.LET(
  _xlpm.raw, $BA4,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13.6</v>
      </c>
      <c r="BD4" t="s">
        <v>605</v>
      </c>
      <c r="BE4" s="5">
        <v>110</v>
      </c>
      <c r="BG4" t="s">
        <v>689</v>
      </c>
      <c r="BH4" s="5">
        <v>120</v>
      </c>
      <c r="BJ4" t="s">
        <v>645</v>
      </c>
      <c r="BK4" s="5">
        <v>9.1</v>
      </c>
      <c r="BP4" t="s">
        <v>668</v>
      </c>
      <c r="BQ4" s="5">
        <v>120</v>
      </c>
    </row>
    <row r="5" spans="1:75" x14ac:dyDescent="0.25">
      <c r="A5" s="111" t="s">
        <v>358</v>
      </c>
      <c r="B5" s="225">
        <v>8.6</v>
      </c>
      <c r="C5" s="14" t="s">
        <v>193</v>
      </c>
      <c r="D5" s="14">
        <f>ROUNDUP((Enginuity!$B$6*0.3048)/5.8,0)</f>
        <v>2</v>
      </c>
      <c r="E5" s="244">
        <v>59</v>
      </c>
      <c r="F5" s="105">
        <f t="shared" si="0"/>
        <v>118</v>
      </c>
      <c r="G5" s="17"/>
      <c r="H5" s="10"/>
      <c r="I5" s="17"/>
      <c r="J5" s="83"/>
      <c r="K5" s="343"/>
      <c r="L5" s="347"/>
      <c r="M5" s="89">
        <v>4</v>
      </c>
      <c r="N5" s="14" t="s">
        <v>272</v>
      </c>
      <c r="O5" s="22">
        <f>IF(AND(Enginuity!$B$6&gt;0, Enginuity!$B$7&gt;0, Enginuity!$B$13&gt;0), ((2*Enginuity!$B$7*Enginuity!$B$13)+(2*Enginuity!$B$6))*2, "")</f>
        <v>444</v>
      </c>
      <c r="P5" s="14" t="s">
        <v>264</v>
      </c>
      <c r="Q5" s="83">
        <f>IF(Enginuity!$B$7&gt;0, Enginuity!$B$7, "")</f>
        <v>13</v>
      </c>
      <c r="U5" s="104" t="str">
        <f>IF(
  AND(
    TRIM(A5)=TRIM(Enginuity!$A$1),
    TRIM(B5)=TRIM(Enginuity!$A$17),
    Q5&lt;&gt;"",
    Q5&lt;&gt;0,
    OR(
      TRIM(C5)=TRIM(Enginuity!$A$18),
      AND(UPPER(TRIM(M5))="STD", TRIM(B5)=TRIM(Enginuity!$A$17))
    ),
    OR(
      AND(LEFT(P5,5)="1-Way", Enginuity!$B$13=1),
      AND(LEFT(P5,5)="2-Way", OR(Enginuity!$B$13=2, Enginuity!$B$13=4)),
      AND(LEFT(P5,5)="3-Way", OR(Enginuity!$B$13=3, Enginuity!$B$13=6)),
      AND(P5="Inner Centre Jamb", OR(Enginuity!$B$13=4, Enginuity!$B$13=6)),
      AND(
        LEFT(P5,5)&lt;&gt;"1-Way",
        LEFT(P5,5)&lt;&gt;"2-Way",
        LEFT(P5,5)&lt;&gt;"3-Way",
        P5&lt;&gt;"Inner Centre Jamb"
      )
    ),
    IF(OR(Enginuity!$A$1="Frameless Glass",Enginuity!$A$1="Metal Work"),
      AND(TRIM(B5)=TRIM(Enginuity!$A$17),TRIM(C5)=TRIM(Enginuity!$A$18)),
      TRIM(B5)=TRIM(Enginuity!$A$17)
    )
  ),
  ROW(),
  ""
)</f>
        <v/>
      </c>
      <c r="Z5" s="8"/>
      <c r="BA5" t="str" cm="1">
        <f t="array" ref="BA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5" Louver Blade N/A </v>
      </c>
      <c r="BB5" s="5" cm="1">
        <f t="array" ref="BB5">_xlfn.LET(
  _xlpm.raw, $BA5,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14.7</v>
      </c>
      <c r="BD5" t="s">
        <v>606</v>
      </c>
      <c r="BE5" s="5">
        <v>120</v>
      </c>
      <c r="BG5" t="s">
        <v>691</v>
      </c>
      <c r="BH5" s="5">
        <v>150</v>
      </c>
      <c r="BJ5" t="s">
        <v>646</v>
      </c>
      <c r="BK5" s="5">
        <v>11.6</v>
      </c>
      <c r="BP5" t="s">
        <v>669</v>
      </c>
      <c r="BQ5" s="5">
        <v>155</v>
      </c>
    </row>
    <row r="6" spans="1:75" x14ac:dyDescent="0.25">
      <c r="A6" s="112" t="s">
        <v>360</v>
      </c>
      <c r="B6" s="225">
        <v>2.86</v>
      </c>
      <c r="C6" s="14" t="s">
        <v>199</v>
      </c>
      <c r="D6" s="109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E6" s="244">
        <v>0.56999999999999995</v>
      </c>
      <c r="F6" s="105">
        <f t="shared" si="0"/>
        <v>148.19999999999999</v>
      </c>
      <c r="G6" s="17"/>
      <c r="H6" s="10"/>
      <c r="I6" s="17"/>
      <c r="J6" s="83"/>
      <c r="K6" s="343"/>
      <c r="L6" s="347"/>
      <c r="M6" s="89">
        <v>5</v>
      </c>
      <c r="N6" s="14" t="s">
        <v>279</v>
      </c>
      <c r="O6" s="2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576</v>
      </c>
      <c r="P6" s="14" t="s">
        <v>265</v>
      </c>
      <c r="Q6" s="83">
        <f>IF(AND(Enginuity!$B$7&gt;0, Enginuity!$B$13&gt;1), (Enginuity!$B$13 - 1) * Enginuity!$B$7, "")</f>
        <v>78</v>
      </c>
      <c r="U6" s="104" t="str">
        <f>IF(
  AND(
    TRIM(A6)=TRIM(Enginuity!$A$1),
    TRIM(B6)=TRIM(Enginuity!$A$17),
    Q6&lt;&gt;"",
    Q6&lt;&gt;0,
    OR(
      TRIM(C6)=TRIM(Enginuity!$A$18),
      AND(UPPER(TRIM(M6))="STD", TRIM(B6)=TRIM(Enginuity!$A$17))
    ),
    OR(
      AND(LEFT(P6,5)="1-Way", Enginuity!$B$13=1),
      AND(LEFT(P6,5)="2-Way", OR(Enginuity!$B$13=2, Enginuity!$B$13=4)),
      AND(LEFT(P6,5)="3-Way", OR(Enginuity!$B$13=3, Enginuity!$B$13=6)),
      AND(P6="Inner Centre Jamb", OR(Enginuity!$B$13=4, Enginuity!$B$13=6)),
      AND(
        LEFT(P6,5)&lt;&gt;"1-Way",
        LEFT(P6,5)&lt;&gt;"2-Way",
        LEFT(P6,5)&lt;&gt;"3-Way",
        P6&lt;&gt;"Inner Centre Jamb"
      )
    ),
    IF(OR(Enginuity!$A$1="Frameless Glass",Enginuity!$A$1="Metal Work"),
      AND(TRIM(B6)=TRIM(Enginuity!$A$17),TRIM(C6)=TRIM(Enginuity!$A$18)),
      TRIM(B6)=TRIM(Enginuity!$A$17)
    )
  ),
  ROW(),
  ""
)</f>
        <v/>
      </c>
      <c r="Z6" s="5"/>
      <c r="BA6" t="str" cm="1">
        <f t="array" ref="BA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5" Louver Blade P/C</v>
      </c>
      <c r="BB6" s="5" cm="1">
        <f t="array" ref="BB6">_xlfn.LET(
  _xlpm.raw, $BA6,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19.3</v>
      </c>
      <c r="BD6" t="s">
        <v>599</v>
      </c>
      <c r="BE6" s="5">
        <v>200</v>
      </c>
      <c r="BG6" t="s">
        <v>690</v>
      </c>
      <c r="BH6" s="5">
        <v>190</v>
      </c>
      <c r="BJ6" t="s">
        <v>647</v>
      </c>
      <c r="BK6" s="5">
        <v>7.2</v>
      </c>
      <c r="BP6" t="s">
        <v>670</v>
      </c>
      <c r="BQ6" s="5">
        <v>193</v>
      </c>
    </row>
    <row r="7" spans="1:75" x14ac:dyDescent="0.25">
      <c r="A7" s="112" t="s">
        <v>361</v>
      </c>
      <c r="B7" s="225">
        <v>3.97</v>
      </c>
      <c r="C7" s="14" t="s">
        <v>352</v>
      </c>
      <c r="D7" s="14">
        <v>1</v>
      </c>
      <c r="E7" s="244">
        <v>3.97</v>
      </c>
      <c r="F7" s="105">
        <f xml:space="preserve"> ((2*1*Enginuity!$B$13 + 2*Enginuity!$B$6) * $B$7)
+ (((Enginuity!$B$13-1)*1) * $B$8)
+ ($B$2 * Enginuity!$B$13)
+ ($B$3 * Enginuity!$B$13)</f>
        <v>312.26000000000005</v>
      </c>
      <c r="G7" s="17"/>
      <c r="H7" s="10"/>
      <c r="I7" s="17"/>
      <c r="J7" s="83"/>
      <c r="K7" s="343"/>
      <c r="L7" s="347"/>
      <c r="M7" s="89">
        <v>6</v>
      </c>
      <c r="N7" s="14" t="s">
        <v>274</v>
      </c>
      <c r="O7" s="22">
        <f>Enginuity!$B$13</f>
        <v>7</v>
      </c>
      <c r="P7" s="14" t="s">
        <v>277</v>
      </c>
      <c r="Q7" s="84"/>
      <c r="U7" s="104" t="str">
        <f>IF(
  AND(
    TRIM(A7)=TRIM(Enginuity!$A$1),
    TRIM(B7)=TRIM(Enginuity!$A$17),
    Q7&lt;&gt;"",
    Q7&lt;&gt;0,
    OR(
      TRIM(C7)=TRIM(Enginuity!$A$18),
      AND(UPPER(TRIM(M7))="STD", TRIM(B7)=TRIM(Enginuity!$A$17))
    ),
    OR(
      AND(LEFT(P7,5)="1-Way", Enginuity!$B$13=1),
      AND(LEFT(P7,5)="2-Way", OR(Enginuity!$B$13=2, Enginuity!$B$13=4)),
      AND(LEFT(P7,5)="3-Way", OR(Enginuity!$B$13=3, Enginuity!$B$13=6)),
      AND(P7="Inner Centre Jamb", OR(Enginuity!$B$13=4, Enginuity!$B$13=6)),
      AND(
        LEFT(P7,5)&lt;&gt;"1-Way",
        LEFT(P7,5)&lt;&gt;"2-Way",
        LEFT(P7,5)&lt;&gt;"3-Way",
        P7&lt;&gt;"Inner Centre Jamb"
      )
    ),
    IF(OR(Enginuity!$A$1="Frameless Glass",Enginuity!$A$1="Metal Work"),
      AND(TRIM(B7)=TRIM(Enginuity!$A$17),TRIM(C7)=TRIM(Enginuity!$A$18)),
      TRIM(B7)=TRIM(Enginuity!$A$17)
    )
  ),
  ROW(),
  ""
)</f>
        <v/>
      </c>
      <c r="AA7" s="8"/>
      <c r="BA7" t="str" cm="1">
        <f t="array" ref="BA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7" s="5" t="str" cm="1">
        <f t="array" ref="BB7">_xlfn.LET(
  _xlpm.raw, $BA7,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7" t="s">
        <v>610</v>
      </c>
      <c r="BE7" s="5">
        <v>60</v>
      </c>
      <c r="BG7" t="s">
        <v>688</v>
      </c>
      <c r="BH7" s="5">
        <v>230</v>
      </c>
      <c r="BJ7" t="s">
        <v>648</v>
      </c>
      <c r="BK7" s="5">
        <v>7.2</v>
      </c>
      <c r="BP7" t="s">
        <v>671</v>
      </c>
      <c r="BQ7" s="5">
        <v>150</v>
      </c>
    </row>
    <row r="8" spans="1:75" x14ac:dyDescent="0.25">
      <c r="A8" s="112" t="s">
        <v>362</v>
      </c>
      <c r="B8" s="225">
        <v>4.18</v>
      </c>
      <c r="C8" s="14" t="s">
        <v>356</v>
      </c>
      <c r="D8" s="14">
        <v>1</v>
      </c>
      <c r="E8" s="244">
        <v>1.75</v>
      </c>
      <c r="F8" s="105">
        <f xml:space="preserve"> ((2*1*Enginuity!$B$13 + 2*Enginuity!$B$6) * $B$9)
+ (((Enginuity!$B$13-1)*1) * $B$8)</f>
        <v>119.58</v>
      </c>
      <c r="G8" s="17"/>
      <c r="H8" s="10"/>
      <c r="I8" s="17"/>
      <c r="J8" s="83"/>
      <c r="K8" s="343"/>
      <c r="L8" s="347"/>
      <c r="M8" s="89">
        <v>7</v>
      </c>
      <c r="N8" s="14" t="s">
        <v>275</v>
      </c>
      <c r="O8" s="22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P8" s="14" t="s">
        <v>278</v>
      </c>
      <c r="Q8" s="83">
        <f>Enginuity!$B$6*2</f>
        <v>40</v>
      </c>
      <c r="U8" s="104" t="str">
        <f>IF(
  AND(
    TRIM(A8)=TRIM(Enginuity!$A$1),
    TRIM(B8)=TRIM(Enginuity!$A$17),
    Q8&lt;&gt;"",
    Q8&lt;&gt;0,
    OR(
      TRIM(C8)=TRIM(Enginuity!$A$18),
      AND(UPPER(TRIM(M8))="STD", TRIM(B8)=TRIM(Enginuity!$A$17))
    ),
    OR(
      AND(LEFT(P8,5)="1-Way", Enginuity!$B$13=1),
      AND(LEFT(P8,5)="2-Way", OR(Enginuity!$B$13=2, Enginuity!$B$13=4)),
      AND(LEFT(P8,5)="3-Way", OR(Enginuity!$B$13=3, Enginuity!$B$13=6)),
      AND(P8="Inner Centre Jamb", OR(Enginuity!$B$13=4, Enginuity!$B$13=6)),
      AND(
        LEFT(P8,5)&lt;&gt;"1-Way",
        LEFT(P8,5)&lt;&gt;"2-Way",
        LEFT(P8,5)&lt;&gt;"3-Way",
        P8&lt;&gt;"Inner Centre Jamb"
      )
    ),
    IF(OR(Enginuity!$A$1="Frameless Glass",Enginuity!$A$1="Metal Work"),
      AND(TRIM(B8)=TRIM(Enginuity!$A$17),TRIM(C8)=TRIM(Enginuity!$A$18)),
      TRIM(B8)=TRIM(Enginuity!$A$17)
    )
  ),
  ROW(),
  ""
)</f>
        <v/>
      </c>
      <c r="Z8" s="8"/>
      <c r="AA8" s="8"/>
      <c r="BA8" t="str" cm="1">
        <f t="array" ref="BA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8" s="5" t="str" cm="1">
        <f t="array" ref="BB8">_xlfn.LET(
  _xlpm.raw, $BA8,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8" t="s">
        <v>629</v>
      </c>
      <c r="BE8" s="5">
        <v>143</v>
      </c>
      <c r="BG8" t="s">
        <v>680</v>
      </c>
      <c r="BH8" s="5">
        <v>230</v>
      </c>
      <c r="BJ8" t="s">
        <v>649</v>
      </c>
      <c r="BK8" s="5">
        <v>11.4</v>
      </c>
      <c r="BP8" t="s">
        <v>672</v>
      </c>
      <c r="BQ8" s="5">
        <v>40</v>
      </c>
    </row>
    <row r="9" spans="1:75" x14ac:dyDescent="0.25">
      <c r="A9" s="112" t="s">
        <v>363</v>
      </c>
      <c r="B9" s="225">
        <v>1.75</v>
      </c>
      <c r="C9" s="14" t="s">
        <v>257</v>
      </c>
      <c r="D9" s="14">
        <f>(3*Enginuity!$B$6)+(Enginuity!$B$7*Enginuity!$B$13)</f>
        <v>151</v>
      </c>
      <c r="E9" s="245">
        <v>1.86</v>
      </c>
      <c r="F9" s="105">
        <f t="shared" si="0"/>
        <v>280.86</v>
      </c>
      <c r="G9" s="17"/>
      <c r="H9" s="10"/>
      <c r="I9" s="17"/>
      <c r="J9" s="83"/>
      <c r="K9" s="343"/>
      <c r="L9" s="347"/>
      <c r="M9" s="89">
        <v>8</v>
      </c>
      <c r="N9" s="14" t="s">
        <v>276</v>
      </c>
      <c r="O9" s="22">
        <f>Enginuity!$B$13*IF(TRIM(Enginuity!$A$21)="1'H X ?'W X Qty Panel Top Hung (Casement Profile)",2,1)</f>
        <v>7</v>
      </c>
      <c r="P9" s="14" t="s">
        <v>281</v>
      </c>
      <c r="Q9" s="98">
        <f>Enginuity!$B$6</f>
        <v>20</v>
      </c>
      <c r="U9" s="104" t="str">
        <f>IF(
  AND(
    TRIM(A9)=TRIM(Enginuity!$A$1),
    TRIM(B9)=TRIM(Enginuity!$A$17),
    Q9&lt;&gt;"",
    Q9&lt;&gt;0,
    OR(
      TRIM(C9)=TRIM(Enginuity!$A$18),
      AND(UPPER(TRIM(M9))="STD", TRIM(B9)=TRIM(Enginuity!$A$17))
    ),
    OR(
      AND(LEFT(P9,5)="1-Way", Enginuity!$B$13=1),
      AND(LEFT(P9,5)="2-Way", OR(Enginuity!$B$13=2, Enginuity!$B$13=4)),
      AND(LEFT(P9,5)="3-Way", OR(Enginuity!$B$13=3, Enginuity!$B$13=6)),
      AND(P9="Inner Centre Jamb", OR(Enginuity!$B$13=4, Enginuity!$B$13=6)),
      AND(
        LEFT(P9,5)&lt;&gt;"1-Way",
        LEFT(P9,5)&lt;&gt;"2-Way",
        LEFT(P9,5)&lt;&gt;"3-Way",
        P9&lt;&gt;"Inner Centre Jamb"
      )
    ),
    IF(OR(Enginuity!$A$1="Frameless Glass",Enginuity!$A$1="Metal Work"),
      AND(TRIM(B9)=TRIM(Enginuity!$A$17),TRIM(C9)=TRIM(Enginuity!$A$18)),
      TRIM(B9)=TRIM(Enginuity!$A$17)
    )
  ),
  ROW(),
  ""
)</f>
        <v/>
      </c>
      <c r="Z9" s="8"/>
      <c r="AA9" s="8"/>
      <c r="BA9" t="str" cm="1">
        <f t="array" ref="BA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9" s="5" t="str" cm="1">
        <f t="array" ref="BB9">_xlfn.LET(
  _xlpm.raw, $BA9,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9" t="s">
        <v>586</v>
      </c>
      <c r="BE9" s="5">
        <v>60</v>
      </c>
      <c r="BG9" t="s">
        <v>682</v>
      </c>
      <c r="BH9" s="5">
        <v>465</v>
      </c>
      <c r="BJ9" t="s">
        <v>650</v>
      </c>
      <c r="BK9" s="5">
        <v>13.9</v>
      </c>
      <c r="BP9" t="s">
        <v>673</v>
      </c>
      <c r="BQ9" s="5">
        <v>340</v>
      </c>
    </row>
    <row r="10" spans="1:75" x14ac:dyDescent="0.25">
      <c r="A10" s="118" t="s">
        <v>406</v>
      </c>
      <c r="B10" s="225">
        <v>26.25</v>
      </c>
      <c r="C10" s="14" t="s">
        <v>269</v>
      </c>
      <c r="D10" s="14">
        <f>(4*Enginuity!$B$6)+(2*Enginuity!$B$7*Enginuity!$B$13)</f>
        <v>262</v>
      </c>
      <c r="E10" s="245">
        <v>1.86</v>
      </c>
      <c r="F10" s="105">
        <f t="shared" si="0"/>
        <v>487.32000000000005</v>
      </c>
      <c r="G10" s="17"/>
      <c r="H10" s="10"/>
      <c r="I10" s="17"/>
      <c r="J10" s="83"/>
      <c r="K10" s="343"/>
      <c r="L10" s="347"/>
      <c r="M10" s="89">
        <v>9</v>
      </c>
      <c r="N10" s="14" t="s">
        <v>122</v>
      </c>
      <c r="O10" s="22">
        <f>Enginuity!$B$13*4</f>
        <v>28</v>
      </c>
      <c r="P10" s="14" t="s">
        <v>282</v>
      </c>
      <c r="Q10" s="83">
        <f>Enginuity!$B$6*2</f>
        <v>40</v>
      </c>
      <c r="U10" s="104" t="str">
        <f>IF(
  AND(
    TRIM(A10)=TRIM(Enginuity!$A$1),
    TRIM(B10)=TRIM(Enginuity!$A$17),
    Q10&lt;&gt;"",
    Q10&lt;&gt;0,
    OR(
      TRIM(C10)=TRIM(Enginuity!$A$18),
      AND(UPPER(TRIM(M10))="STD", TRIM(B10)=TRIM(Enginuity!$A$17))
    ),
    OR(
      AND(LEFT(P10,5)="1-Way", Enginuity!$B$13=1),
      AND(LEFT(P10,5)="2-Way", OR(Enginuity!$B$13=2, Enginuity!$B$13=4)),
      AND(LEFT(P10,5)="3-Way", OR(Enginuity!$B$13=3, Enginuity!$B$13=6)),
      AND(P10="Inner Centre Jamb", OR(Enginuity!$B$13=4, Enginuity!$B$13=6)),
      AND(
        LEFT(P10,5)&lt;&gt;"1-Way",
        LEFT(P10,5)&lt;&gt;"2-Way",
        LEFT(P10,5)&lt;&gt;"3-Way",
        P10&lt;&gt;"Inner Centre Jamb"
      )
    ),
    IF(OR(Enginuity!$A$1="Frameless Glass",Enginuity!$A$1="Metal Work"),
      AND(TRIM(B10)=TRIM(Enginuity!$A$17),TRIM(C10)=TRIM(Enginuity!$A$18)),
      TRIM(B10)=TRIM(Enginuity!$A$17)
    )
  ),
  ROW(),
  ""
)</f>
        <v/>
      </c>
      <c r="BA10" t="str" cm="1">
        <f t="array" ref="BA1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0" s="5" t="str" cm="1">
        <f t="array" ref="BB10">_xlfn.LET(
  _xlpm.raw, $BA10,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0" t="s">
        <v>586</v>
      </c>
      <c r="BE10" s="5">
        <v>60</v>
      </c>
      <c r="BJ10" t="s">
        <v>651</v>
      </c>
      <c r="BK10" s="5">
        <v>7.4</v>
      </c>
      <c r="BP10" t="s">
        <v>674</v>
      </c>
      <c r="BQ10" s="5">
        <v>450</v>
      </c>
    </row>
    <row r="11" spans="1:75" x14ac:dyDescent="0.25">
      <c r="A11" s="118" t="s">
        <v>407</v>
      </c>
      <c r="B11" s="225">
        <v>34.65</v>
      </c>
      <c r="C11" s="14" t="s">
        <v>352</v>
      </c>
      <c r="D11" s="14">
        <v>1</v>
      </c>
      <c r="E11" s="244">
        <f>($B$2 * Enginuity!$B$13)
+ ($B$3 * Enginuity!$B$13)
+ ((2*1 + 2*Enginuity!$B$6) * $B$6)
+ ((2*1*Enginuity!$B$13 + 2*Enginuity!$B$6) * $B$7)
+ (((Enginuity!$B$13-1)*1) * $B$8)
+ (Enginuity!$B$6 * $B$4)</f>
        <v>604.38</v>
      </c>
      <c r="F11" s="105">
        <f>IF(D11*E11=0, "", D11*E11)</f>
        <v>604.38</v>
      </c>
      <c r="G11" s="17"/>
      <c r="H11" s="10"/>
      <c r="I11" s="17"/>
      <c r="J11" s="83"/>
      <c r="K11" s="343"/>
      <c r="L11" s="347"/>
      <c r="M11" s="89">
        <v>10</v>
      </c>
      <c r="N11" s="14" t="s">
        <v>140</v>
      </c>
      <c r="O11" s="22">
        <f>Enginuity!$B$13*2</f>
        <v>14</v>
      </c>
      <c r="P11" s="14" t="s">
        <v>283</v>
      </c>
      <c r="Q11" s="83">
        <f>Enginuity!$B$6*2</f>
        <v>40</v>
      </c>
      <c r="U11" s="104" t="str">
        <f>IF(
  AND(
    TRIM(A11)=TRIM(Enginuity!$A$1),
    TRIM(B11)=TRIM(Enginuity!$A$17),
    Q11&lt;&gt;"",
    Q11&lt;&gt;0,
    OR(
      TRIM(C11)=TRIM(Enginuity!$A$18),
      AND(UPPER(TRIM(M11))="STD", TRIM(B11)=TRIM(Enginuity!$A$17))
    ),
    OR(
      AND(LEFT(P11,5)="1-Way", Enginuity!$B$13=1),
      AND(LEFT(P11,5)="2-Way", OR(Enginuity!$B$13=2, Enginuity!$B$13=4)),
      AND(LEFT(P11,5)="3-Way", OR(Enginuity!$B$13=3, Enginuity!$B$13=6)),
      AND(P11="Inner Centre Jamb", OR(Enginuity!$B$13=4, Enginuity!$B$13=6)),
      AND(
        LEFT(P11,5)&lt;&gt;"1-Way",
        LEFT(P11,5)&lt;&gt;"2-Way",
        LEFT(P11,5)&lt;&gt;"3-Way",
        P11&lt;&gt;"Inner Centre Jamb"
      )
    ),
    IF(OR(Enginuity!$A$1="Frameless Glass",Enginuity!$A$1="Metal Work"),
      AND(TRIM(B11)=TRIM(Enginuity!$A$17),TRIM(C11)=TRIM(Enginuity!$A$18)),
      TRIM(B11)=TRIM(Enginuity!$A$17)
    )
  ),
  ROW(),
  ""
)</f>
        <v/>
      </c>
      <c r="BA11" t="str" cm="1">
        <f t="array" ref="BA1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1" s="5" t="str" cm="1">
        <f t="array" ref="BB11">_xlfn.LET(
  _xlpm.raw, $BA11,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1" t="s">
        <v>597</v>
      </c>
      <c r="BE11" s="5">
        <v>60</v>
      </c>
      <c r="BJ11" t="s">
        <v>652</v>
      </c>
      <c r="BK11" s="5">
        <v>7.8</v>
      </c>
      <c r="BQ11" s="5"/>
    </row>
    <row r="12" spans="1:75" x14ac:dyDescent="0.25">
      <c r="A12" s="118" t="s">
        <v>375</v>
      </c>
      <c r="B12" s="225">
        <v>52.5</v>
      </c>
      <c r="C12" s="14" t="s">
        <v>356</v>
      </c>
      <c r="D12" s="14">
        <v>1</v>
      </c>
      <c r="E12" s="244">
        <f>((2*1 + 2*Enginuity!$B$6) * $B$6)
+ ((2*1*Enginuity!$B$13 + 2*Enginuity!$B$6) * $B$9)
+ (((Enginuity!$B$13-1)*1) * $B$8)
+ (Enginuity!$B$6 * $B$4)</f>
        <v>411.7</v>
      </c>
      <c r="F12" s="105">
        <f>IF(D12*E12=0, "", D12*E12)</f>
        <v>411.7</v>
      </c>
      <c r="G12" s="17"/>
      <c r="H12" s="10"/>
      <c r="I12" s="17"/>
      <c r="J12" s="83"/>
      <c r="K12" s="343"/>
      <c r="L12" s="347"/>
      <c r="M12" s="89">
        <v>11</v>
      </c>
      <c r="N12" s="14" t="s">
        <v>292</v>
      </c>
      <c r="O12" s="22">
        <f>Enginuity!$B$6*4</f>
        <v>80</v>
      </c>
      <c r="P12" s="14" t="s">
        <v>284</v>
      </c>
      <c r="Q12" s="98">
        <f>Enginuity!$B$6</f>
        <v>20</v>
      </c>
      <c r="U12" s="104" t="str">
        <f>IF(
  AND(
    TRIM(A12)=TRIM(Enginuity!$A$1),
    TRIM(B12)=TRIM(Enginuity!$A$17),
    Q12&lt;&gt;"",
    Q12&lt;&gt;0,
    OR(
      TRIM(C12)=TRIM(Enginuity!$A$18),
      AND(UPPER(TRIM(M12))="STD", TRIM(B12)=TRIM(Enginuity!$A$17))
    ),
    OR(
      AND(LEFT(P12,5)="1-Way", Enginuity!$B$13=1),
      AND(LEFT(P12,5)="2-Way", OR(Enginuity!$B$13=2, Enginuity!$B$13=4)),
      AND(LEFT(P12,5)="3-Way", OR(Enginuity!$B$13=3, Enginuity!$B$13=6)),
      AND(P12="Inner Centre Jamb", OR(Enginuity!$B$13=4, Enginuity!$B$13=6)),
      AND(
        LEFT(P12,5)&lt;&gt;"1-Way",
        LEFT(P12,5)&lt;&gt;"2-Way",
        LEFT(P12,5)&lt;&gt;"3-Way",
        P12&lt;&gt;"Inner Centre Jamb"
      )
    ),
    IF(OR(Enginuity!$A$1="Frameless Glass",Enginuity!$A$1="Metal Work"),
      AND(TRIM(B12)=TRIM(Enginuity!$A$17),TRIM(C12)=TRIM(Enginuity!$A$18)),
      TRIM(B12)=TRIM(Enginuity!$A$17)
    )
  ),
  ROW(),
  ""
)</f>
        <v/>
      </c>
      <c r="Z12" s="8"/>
      <c r="BA12" t="str" cm="1">
        <f t="array" ref="BA1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2" s="5" t="str" cm="1">
        <f t="array" ref="BB12">_xlfn.LET(
  _xlpm.raw, $BA12,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2" t="s">
        <v>608</v>
      </c>
      <c r="BE12" s="5">
        <v>90</v>
      </c>
      <c r="BJ12" t="s">
        <v>653</v>
      </c>
      <c r="BK12" s="5">
        <v>11.6</v>
      </c>
      <c r="BQ12" s="5"/>
    </row>
    <row r="13" spans="1:75" x14ac:dyDescent="0.25">
      <c r="A13" s="118" t="s">
        <v>376</v>
      </c>
      <c r="B13" s="225">
        <v>157.5</v>
      </c>
      <c r="C13" s="14"/>
      <c r="D13" s="14"/>
      <c r="E13" s="246"/>
      <c r="F13" s="22" t="str">
        <f t="shared" si="0"/>
        <v/>
      </c>
      <c r="G13" s="17"/>
      <c r="H13" s="10"/>
      <c r="I13" s="17"/>
      <c r="J13" s="83"/>
      <c r="K13" s="343"/>
      <c r="L13" s="347"/>
      <c r="M13" s="89">
        <v>12</v>
      </c>
      <c r="N13" s="14"/>
      <c r="O13" s="96">
        <f>Enginuity!$B$13 *
 IF(Enginuity!$B$7&lt;7,3,
 IF(AND(Enginuity!$B$7&gt;=8,Enginuity!$B$7&lt;=9),4,
 IF(AND(Enginuity!$B$7&gt;=10,Enginuity!$B$7&lt;=11),5,
 IF(AND(Enginuity!$B$7&gt;=12,Enginuity!$B$7&lt;=13),6,
 0))))</f>
        <v>42</v>
      </c>
      <c r="P13" s="14" t="s">
        <v>285</v>
      </c>
      <c r="Q13" s="83">
        <f>Enginuity!$B$6*2</f>
        <v>40</v>
      </c>
      <c r="U13" s="104" t="str">
        <f>IF(
  AND(
    TRIM(A13)=TRIM(Enginuity!$A$1),
    TRIM(B13)=TRIM(Enginuity!$A$17),
    Q13&lt;&gt;"",
    Q13&lt;&gt;0,
    OR(
      TRIM(C13)=TRIM(Enginuity!$A$18),
      AND(UPPER(TRIM(M13))="STD", TRIM(B13)=TRIM(Enginuity!$A$17))
    ),
    OR(
      AND(LEFT(P13,5)="1-Way", Enginuity!$B$13=1),
      AND(LEFT(P13,5)="2-Way", OR(Enginuity!$B$13=2, Enginuity!$B$13=4)),
      AND(LEFT(P13,5)="3-Way", OR(Enginuity!$B$13=3, Enginuity!$B$13=6)),
      AND(P13="Inner Centre Jamb", OR(Enginuity!$B$13=4, Enginuity!$B$13=6)),
      AND(
        LEFT(P13,5)&lt;&gt;"1-Way",
        LEFT(P13,5)&lt;&gt;"2-Way",
        LEFT(P13,5)&lt;&gt;"3-Way",
        P13&lt;&gt;"Inner Centre Jamb"
      )
    ),
    IF(OR(Enginuity!$A$1="Frameless Glass",Enginuity!$A$1="Metal Work"),
      AND(TRIM(B13)=TRIM(Enginuity!$A$17),TRIM(C13)=TRIM(Enginuity!$A$18)),
      TRIM(B13)=TRIM(Enginuity!$A$17)
    )
  ),
  ROW(),
  ""
)</f>
        <v/>
      </c>
      <c r="BA13" t="str" cm="1">
        <f t="array" ref="BA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3" s="5" t="str" cm="1">
        <f t="array" ref="BB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3" t="s">
        <v>628</v>
      </c>
      <c r="BE13" s="5">
        <v>5.7</v>
      </c>
      <c r="BJ13" t="s">
        <v>654</v>
      </c>
      <c r="BK13" s="5">
        <v>14.2</v>
      </c>
      <c r="BQ13" s="5"/>
    </row>
    <row r="14" spans="1:75" x14ac:dyDescent="0.25">
      <c r="A14" s="119" t="s">
        <v>377</v>
      </c>
      <c r="B14" s="225">
        <v>84</v>
      </c>
      <c r="C14" s="14"/>
      <c r="D14" s="14"/>
      <c r="E14" s="246"/>
      <c r="F14" s="22" t="str">
        <f t="shared" si="0"/>
        <v/>
      </c>
      <c r="G14" s="17"/>
      <c r="H14" s="10"/>
      <c r="I14" s="17"/>
      <c r="J14" s="83"/>
      <c r="K14" s="343"/>
      <c r="L14" s="347"/>
      <c r="M14" s="89">
        <v>13</v>
      </c>
      <c r="N14" s="14" t="s">
        <v>308</v>
      </c>
      <c r="O14" s="22">
        <f>IF(AND(ISNUMBER(Enginuity!B13), Enginuity!B13&gt;0), Enginuity!B13*4, "")</f>
        <v>28</v>
      </c>
      <c r="P14" s="14" t="s">
        <v>286</v>
      </c>
      <c r="Q14" s="83">
        <f>IF(Enginuity!$B$7&gt;0, 2 * Enginuity!$B$7, "")</f>
        <v>26</v>
      </c>
      <c r="U14" s="104" t="str">
        <f>IF(
  AND(
    TRIM(A14)=TRIM(Enginuity!$A$1),
    TRIM(B14)=TRIM(Enginuity!$A$17),
    Q14&lt;&gt;"",
    Q14&lt;&gt;0,
    OR(
      TRIM(C14)=TRIM(Enginuity!$A$18),
      AND(UPPER(TRIM(M14))="STD", TRIM(B14)=TRIM(Enginuity!$A$17))
    ),
    OR(
      AND(LEFT(P14,5)="1-Way", Enginuity!$B$13=1),
      AND(LEFT(P14,5)="2-Way", OR(Enginuity!$B$13=2, Enginuity!$B$13=4)),
      AND(LEFT(P14,5)="3-Way", OR(Enginuity!$B$13=3, Enginuity!$B$13=6)),
      AND(P14="Inner Centre Jamb", OR(Enginuity!$B$13=4, Enginuity!$B$13=6)),
      AND(
        LEFT(P14,5)&lt;&gt;"1-Way",
        LEFT(P14,5)&lt;&gt;"2-Way",
        LEFT(P14,5)&lt;&gt;"3-Way",
        P14&lt;&gt;"Inner Centre Jamb"
      )
    ),
    IF(OR(Enginuity!$A$1="Frameless Glass",Enginuity!$A$1="Metal Work"),
      AND(TRIM(B14)=TRIM(Enginuity!$A$17),TRIM(C14)=TRIM(Enginuity!$A$18)),
      TRIM(B14)=TRIM(Enginuity!$A$17)
    )
  ),
  ROW(),
  ""
)</f>
        <v/>
      </c>
      <c r="BA14" t="str" cm="1">
        <f t="array" ref="BA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4" s="5" t="str" cm="1">
        <f t="array" ref="BB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4" t="s">
        <v>627</v>
      </c>
      <c r="BE14" s="5">
        <v>5.9</v>
      </c>
      <c r="BJ14" t="s">
        <v>655</v>
      </c>
      <c r="BK14" s="5">
        <v>20</v>
      </c>
      <c r="BQ14" s="5"/>
    </row>
    <row r="15" spans="1:75" x14ac:dyDescent="0.25">
      <c r="A15" s="119" t="s">
        <v>378</v>
      </c>
      <c r="B15" s="225">
        <v>126</v>
      </c>
      <c r="C15" s="14"/>
      <c r="D15" s="14"/>
      <c r="E15" s="157"/>
      <c r="F15" s="22" t="str">
        <f t="shared" si="0"/>
        <v/>
      </c>
      <c r="G15" s="17"/>
      <c r="H15" s="10"/>
      <c r="I15" s="17"/>
      <c r="J15" s="83"/>
      <c r="K15" s="343"/>
      <c r="L15" s="347"/>
      <c r="M15" s="89">
        <v>14</v>
      </c>
      <c r="N15" s="14"/>
      <c r="O15" s="22"/>
      <c r="P15" s="14" t="s">
        <v>287</v>
      </c>
      <c r="Q15" s="83">
        <f>IF(Enginuity!$B$7&gt;0, 2 * Enginuity!$B$7, "")</f>
        <v>26</v>
      </c>
      <c r="U15" s="104" t="str">
        <f>IF(
  AND(
    TRIM(A15)=TRIM(Enginuity!$A$1),
    TRIM(B15)=TRIM(Enginuity!$A$17),
    Q15&lt;&gt;"",
    Q15&lt;&gt;0,
    OR(
      TRIM(C15)=TRIM(Enginuity!$A$18),
      AND(UPPER(TRIM(M15))="STD", TRIM(B15)=TRIM(Enginuity!$A$17))
    ),
    OR(
      AND(LEFT(P15,5)="1-Way", Enginuity!$B$13=1),
      AND(LEFT(P15,5)="2-Way", OR(Enginuity!$B$13=2, Enginuity!$B$13=4)),
      AND(LEFT(P15,5)="3-Way", OR(Enginuity!$B$13=3, Enginuity!$B$13=6)),
      AND(P15="Inner Centre Jamb", OR(Enginuity!$B$13=4, Enginuity!$B$13=6)),
      AND(
        LEFT(P15,5)&lt;&gt;"1-Way",
        LEFT(P15,5)&lt;&gt;"2-Way",
        LEFT(P15,5)&lt;&gt;"3-Way",
        P15&lt;&gt;"Inner Centre Jamb"
      )
    ),
    IF(OR(Enginuity!$A$1="Frameless Glass",Enginuity!$A$1="Metal Work"),
      AND(TRIM(B15)=TRIM(Enginuity!$A$17),TRIM(C15)=TRIM(Enginuity!$A$18)),
      TRIM(B15)=TRIM(Enginuity!$A$17)
    )
  ),
  ROW(),
  ""
)</f>
        <v/>
      </c>
      <c r="BA15" t="str" cm="1">
        <f t="array" ref="BA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5" s="5" t="str" cm="1">
        <f t="array" ref="BB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5" t="s">
        <v>588</v>
      </c>
      <c r="BE15" s="5">
        <v>16</v>
      </c>
      <c r="BJ15" t="s">
        <v>656</v>
      </c>
      <c r="BK15" s="5">
        <v>8.5</v>
      </c>
      <c r="BQ15" s="5"/>
    </row>
    <row r="16" spans="1:75" x14ac:dyDescent="0.25">
      <c r="A16" s="119" t="s">
        <v>379</v>
      </c>
      <c r="B16" s="225">
        <v>210</v>
      </c>
      <c r="C16" s="14"/>
      <c r="D16" s="14"/>
      <c r="E16" s="157"/>
      <c r="F16" s="22" t="str">
        <f t="shared" si="0"/>
        <v/>
      </c>
      <c r="G16" s="17"/>
      <c r="H16" s="10"/>
      <c r="I16" s="17"/>
      <c r="J16" s="83"/>
      <c r="K16" s="343"/>
      <c r="L16" s="347"/>
      <c r="M16" s="89">
        <v>15</v>
      </c>
      <c r="N16" s="14"/>
      <c r="O16" s="22"/>
      <c r="P16" s="14" t="s">
        <v>288</v>
      </c>
      <c r="Q16" s="83">
        <f>IF(Enginuity!$B$7&gt;0, 2 * Enginuity!$B$7, "")</f>
        <v>26</v>
      </c>
      <c r="U16" s="104" t="str">
        <f>IF(
  AND(
    TRIM(A16)=TRIM(Enginuity!$A$1),
    TRIM(B16)=TRIM(Enginuity!$A$17),
    Q16&lt;&gt;"",
    Q16&lt;&gt;0,
    OR(
      TRIM(C16)=TRIM(Enginuity!$A$18),
      AND(UPPER(TRIM(M16))="STD", TRIM(B16)=TRIM(Enginuity!$A$17))
    ),
    OR(
      AND(LEFT(P16,5)="1-Way", Enginuity!$B$13=1),
      AND(LEFT(P16,5)="2-Way", OR(Enginuity!$B$13=2, Enginuity!$B$13=4)),
      AND(LEFT(P16,5)="3-Way", OR(Enginuity!$B$13=3, Enginuity!$B$13=6)),
      AND(P16="Inner Centre Jamb", OR(Enginuity!$B$13=4, Enginuity!$B$13=6)),
      AND(
        LEFT(P16,5)&lt;&gt;"1-Way",
        LEFT(P16,5)&lt;&gt;"2-Way",
        LEFT(P16,5)&lt;&gt;"3-Way",
        P16&lt;&gt;"Inner Centre Jamb"
      )
    ),
    IF(OR(Enginuity!$A$1="Frameless Glass",Enginuity!$A$1="Metal Work"),
      AND(TRIM(B16)=TRIM(Enginuity!$A$17),TRIM(C16)=TRIM(Enginuity!$A$18)),
      TRIM(B16)=TRIM(Enginuity!$A$17)
    )
  ),
  ROW(),
  ""
)</f>
        <v/>
      </c>
      <c r="BA16" t="str" cm="1">
        <f t="array" ref="BA1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6" s="5" t="str" cm="1">
        <f t="array" ref="BB16">_xlfn.LET(
  _xlpm.raw, $BA16,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6" t="s">
        <v>589</v>
      </c>
      <c r="BE16" s="5">
        <v>30</v>
      </c>
      <c r="BJ16" t="s">
        <v>657</v>
      </c>
      <c r="BK16" s="5">
        <v>12</v>
      </c>
      <c r="BQ16" s="5"/>
    </row>
    <row r="17" spans="1:69" x14ac:dyDescent="0.25">
      <c r="A17" s="120" t="s">
        <v>381</v>
      </c>
      <c r="B17" s="225">
        <v>10.5</v>
      </c>
      <c r="C17" s="14"/>
      <c r="D17" s="108"/>
      <c r="E17" s="157"/>
      <c r="F17" s="22" t="str">
        <f t="shared" si="0"/>
        <v/>
      </c>
      <c r="G17" s="17"/>
      <c r="H17" s="10"/>
      <c r="I17" s="17"/>
      <c r="J17" s="83"/>
      <c r="K17" s="343"/>
      <c r="L17" s="347"/>
      <c r="M17" s="89">
        <v>16</v>
      </c>
      <c r="N17" s="14"/>
      <c r="O17" s="22"/>
      <c r="P17" s="14" t="s">
        <v>289</v>
      </c>
      <c r="Q17" s="83">
        <f>IF(Enginuity!$B$6&gt;0, Enginuity!$B$6, "")</f>
        <v>20</v>
      </c>
      <c r="U17" s="104" t="str">
        <f>IF(
  AND(
    TRIM(A17)=TRIM(Enginuity!$A$1),
    TRIM(B17)=TRIM(Enginuity!$A$17),
    Q17&lt;&gt;"",
    Q17&lt;&gt;0,
    OR(
      TRIM(C17)=TRIM(Enginuity!$A$18),
      AND(UPPER(TRIM(M17))="STD", TRIM(B17)=TRIM(Enginuity!$A$17))
    ),
    OR(
      AND(LEFT(P17,5)="1-Way", Enginuity!$B$13=1),
      AND(LEFT(P17,5)="2-Way", OR(Enginuity!$B$13=2, Enginuity!$B$13=4)),
      AND(LEFT(P17,5)="3-Way", OR(Enginuity!$B$13=3, Enginuity!$B$13=6)),
      AND(P17="Inner Centre Jamb", OR(Enginuity!$B$13=4, Enginuity!$B$13=6)),
      AND(
        LEFT(P17,5)&lt;&gt;"1-Way",
        LEFT(P17,5)&lt;&gt;"2-Way",
        LEFT(P17,5)&lt;&gt;"3-Way",
        P17&lt;&gt;"Inner Centre Jamb"
      )
    ),
    IF(OR(Enginuity!$A$1="Frameless Glass",Enginuity!$A$1="Metal Work"),
      AND(TRIM(B17)=TRIM(Enginuity!$A$17),TRIM(C17)=TRIM(Enginuity!$A$18)),
      TRIM(B17)=TRIM(Enginuity!$A$17)
    )
  ),
  ROW(),
  ""
)</f>
        <v/>
      </c>
      <c r="Z17" s="8"/>
      <c r="BA17" t="str" cm="1">
        <f t="array" ref="BA1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7" s="5" t="str" cm="1">
        <f t="array" ref="BB17">_xlfn.LET(
  _xlpm.raw, $BA17,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7" t="s">
        <v>607</v>
      </c>
      <c r="BE17" s="5">
        <v>265</v>
      </c>
      <c r="BJ17" t="s">
        <v>658</v>
      </c>
      <c r="BK17" s="5">
        <v>3.5</v>
      </c>
      <c r="BQ17" s="5"/>
    </row>
    <row r="18" spans="1:69" x14ac:dyDescent="0.25">
      <c r="A18" s="113" t="s">
        <v>388</v>
      </c>
      <c r="B18" s="225">
        <v>30</v>
      </c>
      <c r="C18" s="14"/>
      <c r="D18" s="14"/>
      <c r="E18" s="157"/>
      <c r="F18" s="22" t="str">
        <f t="shared" si="0"/>
        <v/>
      </c>
      <c r="G18" s="17"/>
      <c r="H18" s="10"/>
      <c r="I18" s="17"/>
      <c r="J18" s="83"/>
      <c r="K18" s="343"/>
      <c r="L18" s="347"/>
      <c r="M18" s="89">
        <v>17</v>
      </c>
      <c r="N18" s="14"/>
      <c r="O18" s="22"/>
      <c r="P18" s="14" t="s">
        <v>290</v>
      </c>
      <c r="Q18" s="83">
        <f>IF(Enginuity!$B$6&gt;0, Enginuity!$B$6, "")</f>
        <v>20</v>
      </c>
      <c r="U18" s="104" t="str">
        <f>IF(
  AND(
    TRIM(A18)=TRIM(Enginuity!$A$1),
    TRIM(B18)=TRIM(Enginuity!$A$17),
    Q18&lt;&gt;"",
    Q18&lt;&gt;0,
    OR(
      TRIM(C18)=TRIM(Enginuity!$A$18),
      AND(UPPER(TRIM(M18))="STD", TRIM(B18)=TRIM(Enginuity!$A$17))
    ),
    OR(
      AND(LEFT(P18,5)="1-Way", Enginuity!$B$13=1),
      AND(LEFT(P18,5)="2-Way", OR(Enginuity!$B$13=2, Enginuity!$B$13=4)),
      AND(LEFT(P18,5)="3-Way", OR(Enginuity!$B$13=3, Enginuity!$B$13=6)),
      AND(P18="Inner Centre Jamb", OR(Enginuity!$B$13=4, Enginuity!$B$13=6)),
      AND(
        LEFT(P18,5)&lt;&gt;"1-Way",
        LEFT(P18,5)&lt;&gt;"2-Way",
        LEFT(P18,5)&lt;&gt;"3-Way",
        P18&lt;&gt;"Inner Centre Jamb"
      )
    ),
    IF(OR(Enginuity!$A$1="Frameless Glass",Enginuity!$A$1="Metal Work"),
      AND(TRIM(B18)=TRIM(Enginuity!$A$17),TRIM(C18)=TRIM(Enginuity!$A$18)),
      TRIM(B18)=TRIM(Enginuity!$A$17)
    )
  ),
  ROW(),
  ""
)</f>
        <v/>
      </c>
      <c r="BA18" t="str" cm="1">
        <f t="array" ref="BA1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8" s="5" t="str" cm="1">
        <f t="array" ref="BB18">_xlfn.LET(
  _xlpm.raw, $BA18,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8" t="s">
        <v>591</v>
      </c>
      <c r="BE18" s="5">
        <v>55</v>
      </c>
      <c r="BJ18" t="s">
        <v>659</v>
      </c>
      <c r="BK18" s="5">
        <v>0.7</v>
      </c>
      <c r="BQ18" s="5"/>
    </row>
    <row r="19" spans="1:69" x14ac:dyDescent="0.25">
      <c r="A19" s="14" t="s">
        <v>380</v>
      </c>
      <c r="B19" s="225">
        <v>29.93</v>
      </c>
      <c r="C19" s="14"/>
      <c r="D19" s="14"/>
      <c r="E19" s="157"/>
      <c r="F19" s="22" t="str">
        <f t="shared" si="0"/>
        <v/>
      </c>
      <c r="G19" s="17"/>
      <c r="H19" s="10"/>
      <c r="I19" s="17"/>
      <c r="J19" s="83"/>
      <c r="K19" s="343"/>
      <c r="L19" s="347"/>
      <c r="M19" s="89">
        <v>18</v>
      </c>
      <c r="N19" s="14"/>
      <c r="O19" s="22"/>
      <c r="P19" s="14" t="s">
        <v>262</v>
      </c>
      <c r="Q19" s="83">
        <f>IF(AND(Enginuity!$B$7&gt;0, Enginuity!$B$13&gt;0), Enginuity!$B$7 * Enginuity!$B$13, "")</f>
        <v>91</v>
      </c>
      <c r="U19" s="104" t="str">
        <f>IF(
  AND(
    TRIM(A19)=TRIM(Enginuity!$A$1),
    TRIM(B19)=TRIM(Enginuity!$A$17),
    Q19&lt;&gt;"",
    Q19&lt;&gt;0,
    OR(
      TRIM(C19)=TRIM(Enginuity!$A$18),
      AND(UPPER(TRIM(M19))="STD", TRIM(B19)=TRIM(Enginuity!$A$17))
    ),
    OR(
      AND(LEFT(P19,5)="1-Way", Enginuity!$B$13=1),
      AND(LEFT(P19,5)="2-Way", OR(Enginuity!$B$13=2, Enginuity!$B$13=4)),
      AND(LEFT(P19,5)="3-Way", OR(Enginuity!$B$13=3, Enginuity!$B$13=6)),
      AND(P19="Inner Centre Jamb", OR(Enginuity!$B$13=4, Enginuity!$B$13=6)),
      AND(
        LEFT(P19,5)&lt;&gt;"1-Way",
        LEFT(P19,5)&lt;&gt;"2-Way",
        LEFT(P19,5)&lt;&gt;"3-Way",
        P19&lt;&gt;"Inner Centre Jamb"
      )
    ),
    IF(OR(Enginuity!$A$1="Frameless Glass",Enginuity!$A$1="Metal Work"),
      AND(TRIM(B19)=TRIM(Enginuity!$A$17),TRIM(C19)=TRIM(Enginuity!$A$18)),
      TRIM(B19)=TRIM(Enginuity!$A$17)
    )
  ),
  ROW(),
  ""
)</f>
        <v/>
      </c>
      <c r="BA19" t="str" cm="1">
        <f t="array" ref="BA1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9" s="5" t="str" cm="1">
        <f t="array" ref="BB19">_xlfn.LET(
  _xlpm.raw, $BA19,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9" t="s">
        <v>587</v>
      </c>
      <c r="BE19" s="5">
        <v>12</v>
      </c>
      <c r="BJ19" t="s">
        <v>660</v>
      </c>
      <c r="BK19" s="5">
        <v>0.8</v>
      </c>
      <c r="BQ19" s="5"/>
    </row>
    <row r="20" spans="1:69" x14ac:dyDescent="0.25">
      <c r="A20" s="112" t="s">
        <v>389</v>
      </c>
      <c r="B20" s="225">
        <v>65</v>
      </c>
      <c r="C20" s="14"/>
      <c r="D20" s="14"/>
      <c r="E20" s="157"/>
      <c r="F20" s="22" t="str">
        <f t="shared" si="0"/>
        <v/>
      </c>
      <c r="G20" s="17"/>
      <c r="H20" s="10"/>
      <c r="I20" s="17"/>
      <c r="J20" s="83"/>
      <c r="K20" s="343"/>
      <c r="L20" s="347"/>
      <c r="M20" s="89">
        <v>19</v>
      </c>
      <c r="N20" s="14"/>
      <c r="O20" s="22"/>
      <c r="P20" s="14" t="s">
        <v>267</v>
      </c>
      <c r="Q20" s="83">
        <f>IF(AND(Enginuity!$B$7&gt;0, Enginuity!$B$13&gt;0), Enginuity!$B$7 * Enginuity!$B$13, "")</f>
        <v>91</v>
      </c>
      <c r="U20" s="104" t="str">
        <f>IF(
  AND(
    TRIM(A20)=TRIM(Enginuity!$A$1),
    TRIM(B20)=TRIM(Enginuity!$A$17),
    Q20&lt;&gt;"",
    Q20&lt;&gt;0,
    OR(
      TRIM(C20)=TRIM(Enginuity!$A$18),
      AND(UPPER(TRIM(M20))="STD", TRIM(B20)=TRIM(Enginuity!$A$17))
    ),
    OR(
      AND(LEFT(P20,5)="1-Way", Enginuity!$B$13=1),
      AND(LEFT(P20,5)="2-Way", OR(Enginuity!$B$13=2, Enginuity!$B$13=4)),
      AND(LEFT(P20,5)="3-Way", OR(Enginuity!$B$13=3, Enginuity!$B$13=6)),
      AND(P20="Inner Centre Jamb", OR(Enginuity!$B$13=4, Enginuity!$B$13=6)),
      AND(
        LEFT(P20,5)&lt;&gt;"1-Way",
        LEFT(P20,5)&lt;&gt;"2-Way",
        LEFT(P20,5)&lt;&gt;"3-Way",
        P20&lt;&gt;"Inner Centre Jamb"
      )
    ),
    IF(OR(Enginuity!$A$1="Frameless Glass",Enginuity!$A$1="Metal Work"),
      AND(TRIM(B20)=TRIM(Enginuity!$A$17),TRIM(C20)=TRIM(Enginuity!$A$18)),
      TRIM(B20)=TRIM(Enginuity!$A$17)
    )
  ),
  ROW(),
  ""
)</f>
        <v/>
      </c>
      <c r="V20" s="1"/>
      <c r="Z20" s="8"/>
      <c r="BA20" t="str" cm="1">
        <f t="array" ref="BA2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0" s="5" t="str" cm="1">
        <f t="array" ref="BB20">_xlfn.LET(
  _xlpm.raw, $BA20,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0" t="s">
        <v>590</v>
      </c>
      <c r="BE20" s="5">
        <v>49</v>
      </c>
      <c r="BJ20" t="s">
        <v>661</v>
      </c>
      <c r="BK20" s="5">
        <v>1</v>
      </c>
      <c r="BQ20" s="5"/>
    </row>
    <row r="21" spans="1:69" x14ac:dyDescent="0.25">
      <c r="A21" s="112" t="s">
        <v>400</v>
      </c>
      <c r="B21" s="225">
        <v>16.46</v>
      </c>
      <c r="C21" s="14"/>
      <c r="D21" s="14"/>
      <c r="E21" s="157"/>
      <c r="F21" s="22" t="str">
        <f t="shared" si="0"/>
        <v/>
      </c>
      <c r="G21" s="17"/>
      <c r="H21" s="10"/>
      <c r="I21" s="17"/>
      <c r="J21" s="83"/>
      <c r="K21" s="343"/>
      <c r="L21" s="347"/>
      <c r="M21" s="89">
        <v>20</v>
      </c>
      <c r="N21" s="14"/>
      <c r="O21" s="22"/>
      <c r="P21" s="14" t="s">
        <v>109</v>
      </c>
      <c r="Q21" s="83">
        <f>IF(Enginuity!$B$7&gt;0, Enginuity!$B$7, "")</f>
        <v>13</v>
      </c>
      <c r="U21" s="104" t="str">
        <f>IF(
  AND(
    TRIM(A21)=TRIM(Enginuity!$A$1),
    TRIM(B21)=TRIM(Enginuity!$A$17),
    Q21&lt;&gt;"",
    Q21&lt;&gt;0,
    OR(
      TRIM(C21)=TRIM(Enginuity!$A$18),
      AND(UPPER(TRIM(M21))="STD", TRIM(B21)=TRIM(Enginuity!$A$17))
    ),
    OR(
      AND(LEFT(P21,5)="1-Way", Enginuity!$B$13=1),
      AND(LEFT(P21,5)="2-Way", OR(Enginuity!$B$13=2, Enginuity!$B$13=4)),
      AND(LEFT(P21,5)="3-Way", OR(Enginuity!$B$13=3, Enginuity!$B$13=6)),
      AND(P21="Inner Centre Jamb", OR(Enginuity!$B$13=4, Enginuity!$B$13=6)),
      AND(
        LEFT(P21,5)&lt;&gt;"1-Way",
        LEFT(P21,5)&lt;&gt;"2-Way",
        LEFT(P21,5)&lt;&gt;"3-Way",
        P21&lt;&gt;"Inner Centre Jamb"
      )
    ),
    IF(OR(Enginuity!$A$1="Frameless Glass",Enginuity!$A$1="Metal Work"),
      AND(TRIM(B21)=TRIM(Enginuity!$A$17),TRIM(C21)=TRIM(Enginuity!$A$18)),
      TRIM(B21)=TRIM(Enginuity!$A$17)
    )
  ),
  ROW(),
  ""
)</f>
        <v/>
      </c>
      <c r="AY21" t="s">
        <v>1680</v>
      </c>
      <c r="AZ21">
        <v>80</v>
      </c>
      <c r="BA21" t="str" cm="1">
        <f t="array" ref="BA2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1" s="5" t="str" cm="1">
        <f t="array" ref="BB21">_xlfn.LET(
  _xlpm.raw, $BA21,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1" t="s">
        <v>611</v>
      </c>
      <c r="BE21" s="5">
        <v>90</v>
      </c>
      <c r="BJ21" t="s">
        <v>662</v>
      </c>
      <c r="BK21" s="5">
        <v>1</v>
      </c>
      <c r="BQ21" s="5"/>
    </row>
    <row r="22" spans="1:69" x14ac:dyDescent="0.25">
      <c r="A22" s="112" t="s">
        <v>441</v>
      </c>
      <c r="B22" s="225">
        <v>26.25</v>
      </c>
      <c r="C22" s="14"/>
      <c r="D22" s="14"/>
      <c r="E22" s="157"/>
      <c r="F22" s="22" t="str">
        <f t="shared" si="0"/>
        <v/>
      </c>
      <c r="G22" s="17"/>
      <c r="H22" s="10"/>
      <c r="I22" s="17"/>
      <c r="J22" s="83"/>
      <c r="K22" s="343"/>
      <c r="L22" s="347"/>
      <c r="M22" s="89">
        <v>21</v>
      </c>
      <c r="N22" s="14"/>
      <c r="O22" s="22"/>
      <c r="P22" s="14" t="s">
        <v>261</v>
      </c>
      <c r="Q22" s="83">
        <f>IF(Enginuity!$B$7&gt;0, 2 * Enginuity!$B$7, "")</f>
        <v>26</v>
      </c>
      <c r="U22" s="104" t="str">
        <f>IF(
  AND(
    TRIM(A22)=TRIM(Enginuity!$A$1),
    TRIM(B22)=TRIM(Enginuity!$A$17),
    Q22&lt;&gt;"",
    Q22&lt;&gt;0,
    OR(
      TRIM(C22)=TRIM(Enginuity!$A$18),
      AND(UPPER(TRIM(M22))="STD", TRIM(B22)=TRIM(Enginuity!$A$17))
    ),
    OR(
      AND(LEFT(P22,5)="1-Way", Enginuity!$B$13=1),
      AND(LEFT(P22,5)="2-Way", OR(Enginuity!$B$13=2, Enginuity!$B$13=4)),
      AND(LEFT(P22,5)="3-Way", OR(Enginuity!$B$13=3, Enginuity!$B$13=6)),
      AND(P22="Inner Centre Jamb", OR(Enginuity!$B$13=4, Enginuity!$B$13=6)),
      AND(
        LEFT(P22,5)&lt;&gt;"1-Way",
        LEFT(P22,5)&lt;&gt;"2-Way",
        LEFT(P22,5)&lt;&gt;"3-Way",
        P22&lt;&gt;"Inner Centre Jamb"
      )
    ),
    IF(OR(Enginuity!$A$1="Frameless Glass",Enginuity!$A$1="Metal Work"),
      AND(TRIM(B22)=TRIM(Enginuity!$A$17),TRIM(C22)=TRIM(Enginuity!$A$18)),
      TRIM(B22)=TRIM(Enginuity!$A$17)
    )
  ),
  ROW(),
  ""
)</f>
        <v/>
      </c>
      <c r="AY22" t="s">
        <v>1681</v>
      </c>
      <c r="AZ22">
        <v>7</v>
      </c>
      <c r="BA22" t="str" cm="1">
        <f t="array" ref="BA2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2" s="5" t="str" cm="1">
        <f t="array" ref="BB22">_xlfn.LET(
  _xlpm.raw, $BA22,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2" t="s">
        <v>594</v>
      </c>
      <c r="BE22" s="5">
        <v>33</v>
      </c>
    </row>
    <row r="23" spans="1:69" x14ac:dyDescent="0.25">
      <c r="A23" s="169" t="s">
        <v>757</v>
      </c>
      <c r="B23" s="226">
        <v>110</v>
      </c>
      <c r="C23" s="10"/>
      <c r="D23" s="14"/>
      <c r="E23" s="157"/>
      <c r="F23" s="22" t="str">
        <f t="shared" si="0"/>
        <v/>
      </c>
      <c r="G23" s="17"/>
      <c r="H23" s="10"/>
      <c r="I23" s="17"/>
      <c r="J23" s="83"/>
      <c r="K23" s="343"/>
      <c r="L23" s="347"/>
      <c r="M23" s="89">
        <v>22</v>
      </c>
      <c r="N23" s="14"/>
      <c r="O23" s="22"/>
      <c r="P23" s="14" t="s">
        <v>260</v>
      </c>
      <c r="Q23" s="83">
        <f>IF(Enginuity!$B$7&gt;0, 2 * Enginuity!$B$7, "")</f>
        <v>26</v>
      </c>
      <c r="U23" s="104" t="str">
        <f>IF(
  AND(
    TRIM(A23)=TRIM(Enginuity!$A$1),
    TRIM(B23)=TRIM(Enginuity!$A$17),
    Q23&lt;&gt;"",
    Q23&lt;&gt;0,
    OR(
      TRIM(C23)=TRIM(Enginuity!$A$18),
      AND(UPPER(TRIM(M23))="STD", TRIM(B23)=TRIM(Enginuity!$A$17))
    ),
    OR(
      AND(LEFT(P23,5)="1-Way", Enginuity!$B$13=1),
      AND(LEFT(P23,5)="2-Way", OR(Enginuity!$B$13=2, Enginuity!$B$13=4)),
      AND(LEFT(P23,5)="3-Way", OR(Enginuity!$B$13=3, Enginuity!$B$13=6)),
      AND(P23="Inner Centre Jamb", OR(Enginuity!$B$13=4, Enginuity!$B$13=6)),
      AND(
        LEFT(P23,5)&lt;&gt;"1-Way",
        LEFT(P23,5)&lt;&gt;"2-Way",
        LEFT(P23,5)&lt;&gt;"3-Way",
        P23&lt;&gt;"Inner Centre Jamb"
      )
    ),
    IF(OR(Enginuity!$A$1="Frameless Glass",Enginuity!$A$1="Metal Work"),
      AND(TRIM(B23)=TRIM(Enginuity!$A$17),TRIM(C23)=TRIM(Enginuity!$A$18)),
      TRIM(B23)=TRIM(Enginuity!$A$17)
    )
  ),
  ROW(),
  ""
)</f>
        <v/>
      </c>
      <c r="Y23" s="8"/>
      <c r="AY23" t="s">
        <v>1682</v>
      </c>
      <c r="AZ23">
        <v>11</v>
      </c>
      <c r="BA23" t="str" cm="1">
        <f t="array" ref="BA2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3" s="5" t="str" cm="1">
        <f t="array" ref="BB23">_xlfn.LET(
  _xlpm.raw, $BA23,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3" t="s">
        <v>592</v>
      </c>
      <c r="BE23" s="5">
        <v>20</v>
      </c>
    </row>
    <row r="24" spans="1:69" x14ac:dyDescent="0.25">
      <c r="A24" s="169" t="s">
        <v>758</v>
      </c>
      <c r="B24" s="226">
        <v>200</v>
      </c>
      <c r="C24" s="22"/>
      <c r="D24" s="14"/>
      <c r="E24" s="157"/>
      <c r="F24" s="22" t="str">
        <f t="shared" si="0"/>
        <v/>
      </c>
      <c r="G24" s="17"/>
      <c r="H24" s="10"/>
      <c r="I24" s="17"/>
      <c r="J24" s="83"/>
      <c r="K24" s="343"/>
      <c r="L24" s="347"/>
      <c r="M24" s="89">
        <v>23</v>
      </c>
      <c r="N24" s="14"/>
      <c r="O24" s="22"/>
      <c r="P24" s="36"/>
      <c r="Q24" s="98"/>
      <c r="U24" s="104" t="str">
        <f>IF(
  AND(
    TRIM(A24)=TRIM(Enginuity!$A$1),
    TRIM(B24)=TRIM(Enginuity!$A$17),
    Q24&lt;&gt;"",
    Q24&lt;&gt;0,
    OR(
      TRIM(C24)=TRIM(Enginuity!$A$18),
      AND(UPPER(TRIM(M24))="STD", TRIM(B24)=TRIM(Enginuity!$A$17))
    ),
    OR(
      AND(LEFT(P24,5)="1-Way", Enginuity!$B$13=1),
      AND(LEFT(P24,5)="2-Way", OR(Enginuity!$B$13=2, Enginuity!$B$13=4)),
      AND(LEFT(P24,5)="3-Way", OR(Enginuity!$B$13=3, Enginuity!$B$13=6)),
      AND(P24="Inner Centre Jamb", OR(Enginuity!$B$13=4, Enginuity!$B$13=6)),
      AND(
        LEFT(P24,5)&lt;&gt;"1-Way",
        LEFT(P24,5)&lt;&gt;"2-Way",
        LEFT(P24,5)&lt;&gt;"3-Way",
        P24&lt;&gt;"Inner Centre Jamb"
      )
    ),
    IF(OR(Enginuity!$A$1="Frameless Glass",Enginuity!$A$1="Metal Work"),
      AND(TRIM(B24)=TRIM(Enginuity!$A$17),TRIM(C24)=TRIM(Enginuity!$A$18)),
      TRIM(B24)=TRIM(Enginuity!$A$17)
    )
  ),
  ROW(),
  ""
)</f>
        <v/>
      </c>
      <c r="Z24" s="8"/>
      <c r="AY24" t="s">
        <v>1683</v>
      </c>
      <c r="AZ24">
        <v>11</v>
      </c>
      <c r="BA24" t="str" cm="1">
        <f t="array" ref="BA2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4" s="5" t="str" cm="1">
        <f t="array" ref="BB24">_xlfn.LET(
  _xlpm.raw, $BA24,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4" t="s">
        <v>593</v>
      </c>
      <c r="BE24" s="5">
        <v>20</v>
      </c>
    </row>
    <row r="25" spans="1:69" x14ac:dyDescent="0.25">
      <c r="A25" s="169" t="s">
        <v>759</v>
      </c>
      <c r="B25" s="226">
        <v>300</v>
      </c>
      <c r="C25" s="10"/>
      <c r="D25" s="14"/>
      <c r="E25" s="157"/>
      <c r="F25" s="22" t="str">
        <f t="shared" si="0"/>
        <v/>
      </c>
      <c r="G25" s="17"/>
      <c r="H25" s="10"/>
      <c r="I25" s="17"/>
      <c r="J25" s="83"/>
      <c r="K25" s="343"/>
      <c r="L25" s="347"/>
      <c r="M25" s="89">
        <v>24</v>
      </c>
      <c r="N25" s="14"/>
      <c r="O25" s="22"/>
      <c r="P25" s="36"/>
      <c r="Q25" s="98"/>
      <c r="U25" s="104" t="str">
        <f>IF(
  AND(
    TRIM(A25)=TRIM(Enginuity!$A$1),
    TRIM(B25)=TRIM(Enginuity!$A$17),
    Q25&lt;&gt;"",
    Q25&lt;&gt;0,
    OR(
      TRIM(C25)=TRIM(Enginuity!$A$18),
      AND(UPPER(TRIM(M25))="STD", TRIM(B25)=TRIM(Enginuity!$A$17))
    ),
    OR(
      AND(LEFT(P25,5)="1-Way", Enginuity!$B$13=1),
      AND(LEFT(P25,5)="2-Way", OR(Enginuity!$B$13=2, Enginuity!$B$13=4)),
      AND(LEFT(P25,5)="3-Way", OR(Enginuity!$B$13=3, Enginuity!$B$13=6)),
      AND(P25="Inner Centre Jamb", OR(Enginuity!$B$13=4, Enginuity!$B$13=6)),
      AND(
        LEFT(P25,5)&lt;&gt;"1-Way",
        LEFT(P25,5)&lt;&gt;"2-Way",
        LEFT(P25,5)&lt;&gt;"3-Way",
        P25&lt;&gt;"Inner Centre Jamb"
      )
    ),
    IF(OR(Enginuity!$A$1="Frameless Glass",Enginuity!$A$1="Metal Work"),
      AND(TRIM(B25)=TRIM(Enginuity!$A$17),TRIM(C25)=TRIM(Enginuity!$A$18)),
      TRIM(B25)=TRIM(Enginuity!$A$17)
    )
  ),
  ROW(),
  ""
)</f>
        <v/>
      </c>
      <c r="Z25" s="5"/>
      <c r="AY25" t="s">
        <v>1684</v>
      </c>
      <c r="AZ25">
        <v>14</v>
      </c>
      <c r="BA25" t="str" cm="1">
        <f t="array" ref="BA2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5" s="5" t="str" cm="1">
        <f t="array" ref="BB25">_xlfn.LET(
  _xlpm.raw, $BA25,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5" t="s">
        <v>595</v>
      </c>
      <c r="BE25" s="5">
        <v>65</v>
      </c>
    </row>
    <row r="26" spans="1:69" x14ac:dyDescent="0.25">
      <c r="A26" s="169" t="s">
        <v>760</v>
      </c>
      <c r="B26" s="226">
        <v>400</v>
      </c>
      <c r="C26" s="10"/>
      <c r="D26" s="14"/>
      <c r="E26" s="157"/>
      <c r="F26" s="22" t="str">
        <f t="shared" si="0"/>
        <v/>
      </c>
      <c r="G26" s="17"/>
      <c r="H26" s="10"/>
      <c r="I26" s="17"/>
      <c r="J26" s="83"/>
      <c r="K26" s="343"/>
      <c r="L26" s="347"/>
      <c r="M26" s="89">
        <v>25</v>
      </c>
      <c r="N26" s="14"/>
      <c r="O26" s="22"/>
      <c r="P26" s="36"/>
      <c r="Q26" s="98"/>
      <c r="U26" s="104" t="str">
        <f>IF(
  AND(
    TRIM(A26)=TRIM(Enginuity!$A$1),
    TRIM(B26)=TRIM(Enginuity!$A$17),
    Q26&lt;&gt;"",
    Q26&lt;&gt;0,
    OR(
      TRIM(C26)=TRIM(Enginuity!$A$18),
      AND(UPPER(TRIM(M26))="STD", TRIM(B26)=TRIM(Enginuity!$A$17))
    ),
    OR(
      AND(LEFT(P26,5)="1-Way", Enginuity!$B$13=1),
      AND(LEFT(P26,5)="2-Way", OR(Enginuity!$B$13=2, Enginuity!$B$13=4)),
      AND(LEFT(P26,5)="3-Way", OR(Enginuity!$B$13=3, Enginuity!$B$13=6)),
      AND(P26="Inner Centre Jamb", OR(Enginuity!$B$13=4, Enginuity!$B$13=6)),
      AND(
        LEFT(P26,5)&lt;&gt;"1-Way",
        LEFT(P26,5)&lt;&gt;"2-Way",
        LEFT(P26,5)&lt;&gt;"3-Way",
        P26&lt;&gt;"Inner Centre Jamb"
      )
    ),
    IF(OR(Enginuity!$A$1="Frameless Glass",Enginuity!$A$1="Metal Work"),
      AND(TRIM(B26)=TRIM(Enginuity!$A$17),TRIM(C26)=TRIM(Enginuity!$A$18)),
      TRIM(B26)=TRIM(Enginuity!$A$17)
    )
  ),
  ROW(),
  ""
)</f>
        <v/>
      </c>
      <c r="AY26" t="s">
        <v>1685</v>
      </c>
      <c r="AZ26">
        <v>17</v>
      </c>
      <c r="BA26" t="str" cm="1">
        <f t="array" ref="BA2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6" s="5" t="str" cm="1">
        <f t="array" ref="BB26">_xlfn.LET(
  _xlpm.raw, $BA26,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6" t="s">
        <v>596</v>
      </c>
      <c r="BE26" s="5">
        <v>65</v>
      </c>
    </row>
    <row r="27" spans="1:69" x14ac:dyDescent="0.25">
      <c r="A27" s="169" t="s">
        <v>754</v>
      </c>
      <c r="B27" s="227">
        <v>60</v>
      </c>
      <c r="C27" s="10"/>
      <c r="D27" s="14"/>
      <c r="E27" s="157"/>
      <c r="F27" s="22" t="str">
        <f t="shared" si="0"/>
        <v/>
      </c>
      <c r="G27" s="17"/>
      <c r="H27" s="10"/>
      <c r="I27" s="17"/>
      <c r="J27" s="83"/>
      <c r="K27" s="343"/>
      <c r="L27" s="347"/>
      <c r="M27" s="89">
        <v>26</v>
      </c>
      <c r="N27" s="14"/>
      <c r="O27" s="22"/>
      <c r="P27" s="14"/>
      <c r="Q27" s="83"/>
      <c r="U27" s="104" t="str">
        <f>IF(
  AND(
    TRIM(A27)=TRIM(Enginuity!$A$1),
    TRIM(B27)=TRIM(Enginuity!$A$17),
    Q27&lt;&gt;"",
    Q27&lt;&gt;0,
    OR(
      TRIM(C27)=TRIM(Enginuity!$A$18),
      AND(UPPER(TRIM(M27))="STD", TRIM(B27)=TRIM(Enginuity!$A$17))
    ),
    OR(
      AND(LEFT(P27,5)="1-Way", Enginuity!$B$13=1),
      AND(LEFT(P27,5)="2-Way", OR(Enginuity!$B$13=2, Enginuity!$B$13=4)),
      AND(LEFT(P27,5)="3-Way", OR(Enginuity!$B$13=3, Enginuity!$B$13=6)),
      AND(P27="Inner Centre Jamb", OR(Enginuity!$B$13=4, Enginuity!$B$13=6)),
      AND(
        LEFT(P27,5)&lt;&gt;"1-Way",
        LEFT(P27,5)&lt;&gt;"2-Way",
        LEFT(P27,5)&lt;&gt;"3-Way",
        P27&lt;&gt;"Inner Centre Jamb"
      )
    ),
    IF(OR(Enginuity!$A$1="Frameless Glass",Enginuity!$A$1="Metal Work"),
      AND(TRIM(B27)=TRIM(Enginuity!$A$17),TRIM(C27)=TRIM(Enginuity!$A$18)),
      TRIM(B27)=TRIM(Enginuity!$A$17)
    )
  ),
  ROW(),
  ""
)</f>
        <v/>
      </c>
      <c r="AY27" t="s">
        <v>1686</v>
      </c>
      <c r="AZ27">
        <v>20</v>
      </c>
      <c r="BA27" t="str" cm="1">
        <f t="array" ref="BA2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7" s="5" t="str" cm="1">
        <f t="array" ref="BB27">_xlfn.LET(
  _xlpm.raw, $BA27,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7" t="s">
        <v>619</v>
      </c>
      <c r="BE27" s="5">
        <v>8</v>
      </c>
    </row>
    <row r="28" spans="1:69" x14ac:dyDescent="0.25">
      <c r="A28" s="169" t="s">
        <v>305</v>
      </c>
      <c r="B28" s="227">
        <v>100</v>
      </c>
      <c r="C28" s="10"/>
      <c r="D28" s="14"/>
      <c r="E28" s="157"/>
      <c r="F28" s="22" t="str">
        <f t="shared" si="0"/>
        <v/>
      </c>
      <c r="G28" s="17"/>
      <c r="H28" s="10"/>
      <c r="I28" s="17"/>
      <c r="J28" s="83"/>
      <c r="K28" s="343"/>
      <c r="L28" s="347"/>
      <c r="M28" s="89">
        <v>27</v>
      </c>
      <c r="N28" s="14"/>
      <c r="O28" s="22"/>
      <c r="P28" s="36"/>
      <c r="Q28" s="98"/>
      <c r="U28" s="104" t="str">
        <f>IF(
  AND(
    TRIM(A28)=TRIM(Enginuity!$A$1),
    TRIM(B28)=TRIM(Enginuity!$A$17),
    Q28&lt;&gt;"",
    Q28&lt;&gt;0,
    OR(
      TRIM(C28)=TRIM(Enginuity!$A$18),
      AND(UPPER(TRIM(M28))="STD", TRIM(B28)=TRIM(Enginuity!$A$17))
    ),
    OR(
      AND(LEFT(P28,5)="1-Way", Enginuity!$B$13=1),
      AND(LEFT(P28,5)="2-Way", OR(Enginuity!$B$13=2, Enginuity!$B$13=4)),
      AND(LEFT(P28,5)="3-Way", OR(Enginuity!$B$13=3, Enginuity!$B$13=6)),
      AND(P28="Inner Centre Jamb", OR(Enginuity!$B$13=4, Enginuity!$B$13=6)),
      AND(
        LEFT(P28,5)&lt;&gt;"1-Way",
        LEFT(P28,5)&lt;&gt;"2-Way",
        LEFT(P28,5)&lt;&gt;"3-Way",
        P28&lt;&gt;"Inner Centre Jamb"
      )
    ),
    IF(OR(Enginuity!$A$1="Frameless Glass",Enginuity!$A$1="Metal Work"),
      AND(TRIM(B28)=TRIM(Enginuity!$A$17),TRIM(C28)=TRIM(Enginuity!$A$18)),
      TRIM(B28)=TRIM(Enginuity!$A$17)
    )
  ),
  ROW(),
  ""
)</f>
        <v/>
      </c>
      <c r="Z28" s="8"/>
      <c r="AY28" t="s">
        <v>1687</v>
      </c>
      <c r="AZ28">
        <v>5</v>
      </c>
      <c r="BA28" t="str" cm="1">
        <f t="array" ref="BA2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8" s="5" t="str" cm="1">
        <f t="array" ref="BB28">_xlfn.LET(
  _xlpm.raw, $BA28,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8" t="s">
        <v>612</v>
      </c>
      <c r="BE28" s="5">
        <v>7.5</v>
      </c>
    </row>
    <row r="29" spans="1:69" x14ac:dyDescent="0.25">
      <c r="A29" s="169" t="s">
        <v>762</v>
      </c>
      <c r="B29" s="227">
        <v>75</v>
      </c>
      <c r="C29" s="22"/>
      <c r="D29" s="14"/>
      <c r="E29" s="157"/>
      <c r="F29" s="22" t="str">
        <f t="shared" si="0"/>
        <v/>
      </c>
      <c r="G29" s="17"/>
      <c r="H29" s="10"/>
      <c r="I29" s="17"/>
      <c r="J29" s="83"/>
      <c r="K29" s="343"/>
      <c r="L29" s="347"/>
      <c r="M29" s="89">
        <v>28</v>
      </c>
      <c r="N29" s="14"/>
      <c r="O29" s="22"/>
      <c r="P29" s="36"/>
      <c r="Q29" s="98"/>
      <c r="U29" s="104" t="str">
        <f>IF(
  AND(
    TRIM(A29)=TRIM(Enginuity!$A$1),
    TRIM(B29)=TRIM(Enginuity!$A$17),
    Q29&lt;&gt;"",
    Q29&lt;&gt;0,
    OR(
      TRIM(C29)=TRIM(Enginuity!$A$18),
      AND(UPPER(TRIM(M29))="STD", TRIM(B29)=TRIM(Enginuity!$A$17))
    ),
    OR(
      AND(LEFT(P29,5)="1-Way", Enginuity!$B$13=1),
      AND(LEFT(P29,5)="2-Way", OR(Enginuity!$B$13=2, Enginuity!$B$13=4)),
      AND(LEFT(P29,5)="3-Way", OR(Enginuity!$B$13=3, Enginuity!$B$13=6)),
      AND(P29="Inner Centre Jamb", OR(Enginuity!$B$13=4, Enginuity!$B$13=6)),
      AND(
        LEFT(P29,5)&lt;&gt;"1-Way",
        LEFT(P29,5)&lt;&gt;"2-Way",
        LEFT(P29,5)&lt;&gt;"3-Way",
        P29&lt;&gt;"Inner Centre Jamb"
      )
    ),
    IF(OR(Enginuity!$A$1="Frameless Glass",Enginuity!$A$1="Metal Work"),
      AND(TRIM(B29)=TRIM(Enginuity!$A$17),TRIM(C29)=TRIM(Enginuity!$A$18)),
      TRIM(B29)=TRIM(Enginuity!$A$17)
    )
  ),
  ROW(),
  ""
)</f>
        <v/>
      </c>
      <c r="Z29" s="5"/>
      <c r="BA29" t="str" cm="1">
        <f t="array" ref="BA2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9" s="5" t="str" cm="1">
        <f t="array" ref="BB29">_xlfn.LET(
  _xlpm.raw, $BA29,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9" t="s">
        <v>609</v>
      </c>
      <c r="BE29" s="5">
        <v>48</v>
      </c>
    </row>
    <row r="30" spans="1:69" x14ac:dyDescent="0.25">
      <c r="A30" s="112" t="s">
        <v>816</v>
      </c>
      <c r="B30" s="225">
        <v>200</v>
      </c>
      <c r="C30" s="22"/>
      <c r="D30" s="14"/>
      <c r="E30" s="157"/>
      <c r="F30" s="22" t="str">
        <f t="shared" si="0"/>
        <v/>
      </c>
      <c r="G30" s="17"/>
      <c r="H30" s="10"/>
      <c r="I30" s="17"/>
      <c r="J30" s="83"/>
      <c r="K30" s="343"/>
      <c r="L30" s="347"/>
      <c r="M30" s="89">
        <v>29</v>
      </c>
      <c r="N30" s="14"/>
      <c r="O30" s="22"/>
      <c r="P30" s="36"/>
      <c r="Q30" s="98"/>
      <c r="U30" s="104" t="str">
        <f>IF(
  AND(
    TRIM(A30)=TRIM(Enginuity!$A$1),
    TRIM(B30)=TRIM(Enginuity!$A$17),
    Q30&lt;&gt;"",
    Q30&lt;&gt;0,
    OR(
      TRIM(C30)=TRIM(Enginuity!$A$18),
      AND(UPPER(TRIM(M30))="STD", TRIM(B30)=TRIM(Enginuity!$A$17))
    ),
    OR(
      AND(LEFT(P30,5)="1-Way", Enginuity!$B$13=1),
      AND(LEFT(P30,5)="2-Way", OR(Enginuity!$B$13=2, Enginuity!$B$13=4)),
      AND(LEFT(P30,5)="3-Way", OR(Enginuity!$B$13=3, Enginuity!$B$13=6)),
      AND(P30="Inner Centre Jamb", OR(Enginuity!$B$13=4, Enginuity!$B$13=6)),
      AND(
        LEFT(P30,5)&lt;&gt;"1-Way",
        LEFT(P30,5)&lt;&gt;"2-Way",
        LEFT(P30,5)&lt;&gt;"3-Way",
        P30&lt;&gt;"Inner Centre Jamb"
      )
    ),
    IF(OR(Enginuity!$A$1="Frameless Glass",Enginuity!$A$1="Metal Work"),
      AND(TRIM(B30)=TRIM(Enginuity!$A$17),TRIM(C30)=TRIM(Enginuity!$A$18)),
      TRIM(B30)=TRIM(Enginuity!$A$17)
    )
  ),
  ROW(),
  ""
)</f>
        <v/>
      </c>
      <c r="BA30" t="str" cm="1">
        <f t="array" ref="BA3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0" s="5" t="str" cm="1">
        <f t="array" ref="BB30">_xlfn.LET(
  _xlpm.raw, $BA30,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0" t="s">
        <v>618</v>
      </c>
      <c r="BE30" s="5">
        <v>65</v>
      </c>
    </row>
    <row r="31" spans="1:69" x14ac:dyDescent="0.25">
      <c r="A31" s="112"/>
      <c r="B31" s="225"/>
      <c r="C31" s="10"/>
      <c r="D31" s="14"/>
      <c r="E31" s="157"/>
      <c r="F31" s="22" t="str">
        <f t="shared" si="0"/>
        <v/>
      </c>
      <c r="G31" s="17"/>
      <c r="H31" s="10"/>
      <c r="I31" s="17"/>
      <c r="J31" s="83"/>
      <c r="K31" s="343"/>
      <c r="L31" s="347"/>
      <c r="M31" s="89">
        <v>30</v>
      </c>
      <c r="N31" s="14"/>
      <c r="O31" s="22"/>
      <c r="P31" s="36"/>
      <c r="Q31" s="98"/>
      <c r="U31" s="104" t="str">
        <f>IF(
  AND(
    TRIM(A31)=TRIM(Enginuity!$A$1),
    TRIM(B31)=TRIM(Enginuity!$A$17),
    Q31&lt;&gt;"",
    Q31&lt;&gt;0,
    OR(
      TRIM(C31)=TRIM(Enginuity!$A$18),
      AND(UPPER(TRIM(M31))="STD", TRIM(B31)=TRIM(Enginuity!$A$17))
    ),
    OR(
      AND(LEFT(P31,5)="1-Way", Enginuity!$B$13=1),
      AND(LEFT(P31,5)="2-Way", OR(Enginuity!$B$13=2, Enginuity!$B$13=4)),
      AND(LEFT(P31,5)="3-Way", OR(Enginuity!$B$13=3, Enginuity!$B$13=6)),
      AND(P31="Inner Centre Jamb", OR(Enginuity!$B$13=4, Enginuity!$B$13=6)),
      AND(
        LEFT(P31,5)&lt;&gt;"1-Way",
        LEFT(P31,5)&lt;&gt;"2-Way",
        LEFT(P31,5)&lt;&gt;"3-Way",
        P31&lt;&gt;"Inner Centre Jamb"
      )
    ),
    IF(OR(Enginuity!$A$1="Frameless Glass",Enginuity!$A$1="Metal Work"),
      AND(TRIM(B31)=TRIM(Enginuity!$A$17),TRIM(C31)=TRIM(Enginuity!$A$18)),
      TRIM(B31)=TRIM(Enginuity!$A$17)
    )
  ),
  ROW(),
  ""
)</f>
        <v/>
      </c>
      <c r="BA31" t="str" cm="1">
        <f t="array" ref="BA3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1" s="5" t="str" cm="1">
        <f t="array" ref="BB31">_xlfn.LET(
  _xlpm.raw, $BA31,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1" t="s">
        <v>634</v>
      </c>
      <c r="BE31" s="5">
        <v>7.62</v>
      </c>
    </row>
    <row r="32" spans="1:69" x14ac:dyDescent="0.25">
      <c r="A32" s="112"/>
      <c r="B32" s="225"/>
      <c r="C32" s="10"/>
      <c r="D32" s="14"/>
      <c r="E32" s="157"/>
      <c r="F32" s="22" t="str">
        <f t="shared" si="0"/>
        <v/>
      </c>
      <c r="G32" s="17"/>
      <c r="H32" s="10"/>
      <c r="I32" s="17"/>
      <c r="J32" s="83"/>
      <c r="K32" s="343"/>
      <c r="L32" s="347"/>
      <c r="M32" s="89">
        <v>31</v>
      </c>
      <c r="N32" s="14"/>
      <c r="O32" s="22"/>
      <c r="P32" s="36"/>
      <c r="Q32" s="98"/>
      <c r="U32" s="104" t="str">
        <f>IF(
  AND(
    TRIM(A32)=TRIM(Enginuity!$A$1),
    TRIM(B32)=TRIM(Enginuity!$A$17),
    Q32&lt;&gt;"",
    Q32&lt;&gt;0,
    OR(
      TRIM(C32)=TRIM(Enginuity!$A$18),
      AND(UPPER(TRIM(M32))="STD", TRIM(B32)=TRIM(Enginuity!$A$17))
    ),
    OR(
      AND(LEFT(P32,5)="1-Way", Enginuity!$B$13=1),
      AND(LEFT(P32,5)="2-Way", OR(Enginuity!$B$13=2, Enginuity!$B$13=4)),
      AND(LEFT(P32,5)="3-Way", OR(Enginuity!$B$13=3, Enginuity!$B$13=6)),
      AND(P32="Inner Centre Jamb", OR(Enginuity!$B$13=4, Enginuity!$B$13=6)),
      AND(
        LEFT(P32,5)&lt;&gt;"1-Way",
        LEFT(P32,5)&lt;&gt;"2-Way",
        LEFT(P32,5)&lt;&gt;"3-Way",
        P32&lt;&gt;"Inner Centre Jamb"
      )
    ),
    IF(OR(Enginuity!$A$1="Frameless Glass",Enginuity!$A$1="Metal Work"),
      AND(TRIM(B32)=TRIM(Enginuity!$A$17),TRIM(C32)=TRIM(Enginuity!$A$18)),
      TRIM(B32)=TRIM(Enginuity!$A$17)
    )
  ),
  ROW(),
  ""
)</f>
        <v/>
      </c>
      <c r="BA32" t="str" cm="1">
        <f t="array" ref="BA3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2" s="5" t="str" cm="1">
        <f t="array" ref="BB32">_xlfn.LET(
  _xlpm.raw, $BA32,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2" t="s">
        <v>635</v>
      </c>
      <c r="BE32" s="5">
        <v>9.2659199999999995</v>
      </c>
    </row>
    <row r="33" spans="1:62" x14ac:dyDescent="0.25">
      <c r="A33" s="112"/>
      <c r="B33" s="225"/>
      <c r="C33" s="10"/>
      <c r="D33" s="14"/>
      <c r="E33" s="157"/>
      <c r="F33" s="22" t="str">
        <f t="shared" si="0"/>
        <v/>
      </c>
      <c r="G33" s="17"/>
      <c r="H33" s="10"/>
      <c r="I33" s="17"/>
      <c r="J33" s="83"/>
      <c r="K33" s="343"/>
      <c r="L33" s="347"/>
      <c r="M33" s="89">
        <v>32</v>
      </c>
      <c r="N33" s="14"/>
      <c r="O33" s="22"/>
      <c r="P33" s="36"/>
      <c r="Q33" s="98"/>
      <c r="U33" s="104" t="str">
        <f>IF(
  AND(
    TRIM(A33)=TRIM(Enginuity!$A$1),
    TRIM(B33)=TRIM(Enginuity!$A$17),
    Q33&lt;&gt;"",
    Q33&lt;&gt;0,
    OR(
      TRIM(C33)=TRIM(Enginuity!$A$18),
      AND(UPPER(TRIM(M33))="STD", TRIM(B33)=TRIM(Enginuity!$A$17))
    ),
    OR(
      AND(LEFT(P33,5)="1-Way", Enginuity!$B$13=1),
      AND(LEFT(P33,5)="2-Way", OR(Enginuity!$B$13=2, Enginuity!$B$13=4)),
      AND(LEFT(P33,5)="3-Way", OR(Enginuity!$B$13=3, Enginuity!$B$13=6)),
      AND(P33="Inner Centre Jamb", OR(Enginuity!$B$13=4, Enginuity!$B$13=6)),
      AND(
        LEFT(P33,5)&lt;&gt;"1-Way",
        LEFT(P33,5)&lt;&gt;"2-Way",
        LEFT(P33,5)&lt;&gt;"3-Way",
        P33&lt;&gt;"Inner Centre Jamb"
      )
    ),
    IF(OR(Enginuity!$A$1="Frameless Glass",Enginuity!$A$1="Metal Work"),
      AND(TRIM(B33)=TRIM(Enginuity!$A$17),TRIM(C33)=TRIM(Enginuity!$A$18)),
      TRIM(B33)=TRIM(Enginuity!$A$17)
    )
  ),
  ROW(),
  ""
)</f>
        <v/>
      </c>
      <c r="BA33" t="str" cm="1">
        <f t="array" ref="BA3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3" s="5" t="str" cm="1">
        <f t="array" ref="BB33">_xlfn.LET(
  _xlpm.raw, $BA33,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3" t="s">
        <v>636</v>
      </c>
      <c r="BE33" s="5">
        <v>10.606999999999999</v>
      </c>
    </row>
    <row r="34" spans="1:62" x14ac:dyDescent="0.25">
      <c r="A34" s="112"/>
      <c r="B34" s="225"/>
      <c r="C34" s="10"/>
      <c r="D34" s="14"/>
      <c r="E34" s="157"/>
      <c r="F34" s="22" t="str">
        <f t="shared" si="0"/>
        <v/>
      </c>
      <c r="G34" s="17"/>
      <c r="H34" s="10"/>
      <c r="I34" s="17"/>
      <c r="J34" s="83"/>
      <c r="K34" s="343"/>
      <c r="L34" s="347"/>
      <c r="M34" s="89">
        <v>33</v>
      </c>
      <c r="N34" s="14"/>
      <c r="O34" s="22"/>
      <c r="P34" s="36"/>
      <c r="Q34" s="98"/>
      <c r="U34" s="104" t="str">
        <f>IF(
  AND(
    TRIM(A34)=TRIM(Enginuity!$A$1),
    TRIM(B34)=TRIM(Enginuity!$A$17),
    Q34&lt;&gt;"",
    Q34&lt;&gt;0,
    OR(
      TRIM(C34)=TRIM(Enginuity!$A$18),
      AND(UPPER(TRIM(M34))="STD", TRIM(B34)=TRIM(Enginuity!$A$17))
    ),
    OR(
      AND(LEFT(P34,5)="1-Way", Enginuity!$B$13=1),
      AND(LEFT(P34,5)="2-Way", OR(Enginuity!$B$13=2, Enginuity!$B$13=4)),
      AND(LEFT(P34,5)="3-Way", OR(Enginuity!$B$13=3, Enginuity!$B$13=6)),
      AND(P34="Inner Centre Jamb", OR(Enginuity!$B$13=4, Enginuity!$B$13=6)),
      AND(
        LEFT(P34,5)&lt;&gt;"1-Way",
        LEFT(P34,5)&lt;&gt;"2-Way",
        LEFT(P34,5)&lt;&gt;"3-Way",
        P34&lt;&gt;"Inner Centre Jamb"
      )
    ),
    IF(OR(Enginuity!$A$1="Frameless Glass",Enginuity!$A$1="Metal Work"),
      AND(TRIM(B34)=TRIM(Enginuity!$A$17),TRIM(C34)=TRIM(Enginuity!$A$18)),
      TRIM(B34)=TRIM(Enginuity!$A$17)
    )
  ),
  ROW(),
  ""
)</f>
        <v/>
      </c>
      <c r="BA34" t="str" cm="1">
        <f t="array" ref="BA3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4" s="5" t="str" cm="1">
        <f t="array" ref="BB34">_xlfn.LET(
  _xlpm.raw, $BA34,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4" t="s">
        <v>637</v>
      </c>
      <c r="BE34" s="5">
        <v>11.7043</v>
      </c>
    </row>
    <row r="35" spans="1:62" x14ac:dyDescent="0.25">
      <c r="A35" s="112"/>
      <c r="B35" s="225"/>
      <c r="C35" s="10"/>
      <c r="D35" s="14"/>
      <c r="E35" s="157"/>
      <c r="F35" s="22" t="str">
        <f t="shared" si="0"/>
        <v/>
      </c>
      <c r="G35" s="17"/>
      <c r="H35" s="10"/>
      <c r="I35" s="17"/>
      <c r="J35" s="83"/>
      <c r="K35" s="343"/>
      <c r="L35" s="347"/>
      <c r="M35" s="89">
        <v>34</v>
      </c>
      <c r="N35" s="14"/>
      <c r="O35" s="22"/>
      <c r="P35" s="14"/>
      <c r="Q35" s="83"/>
      <c r="U35" s="104" t="str">
        <f>IF(
  AND(
    TRIM(A35)=TRIM(Enginuity!$A$1),
    TRIM(B35)=TRIM(Enginuity!$A$17),
    Q35&lt;&gt;"",
    Q35&lt;&gt;0,
    OR(
      TRIM(C35)=TRIM(Enginuity!$A$18),
      AND(UPPER(TRIM(M35))="STD", TRIM(B35)=TRIM(Enginuity!$A$17))
    ),
    OR(
      AND(LEFT(P35,5)="1-Way", Enginuity!$B$13=1),
      AND(LEFT(P35,5)="2-Way", OR(Enginuity!$B$13=2, Enginuity!$B$13=4)),
      AND(LEFT(P35,5)="3-Way", OR(Enginuity!$B$13=3, Enginuity!$B$13=6)),
      AND(P35="Inner Centre Jamb", OR(Enginuity!$B$13=4, Enginuity!$B$13=6)),
      AND(
        LEFT(P35,5)&lt;&gt;"1-Way",
        LEFT(P35,5)&lt;&gt;"2-Way",
        LEFT(P35,5)&lt;&gt;"3-Way",
        P35&lt;&gt;"Inner Centre Jamb"
      )
    ),
    IF(OR(Enginuity!$A$1="Frameless Glass",Enginuity!$A$1="Metal Work"),
      AND(TRIM(B35)=TRIM(Enginuity!$A$17),TRIM(C35)=TRIM(Enginuity!$A$18)),
      TRIM(B35)=TRIM(Enginuity!$A$17)
    )
  ),
  ROW(),
  ""
)</f>
        <v/>
      </c>
      <c r="BA35" t="str" cm="1">
        <f t="array" ref="BA3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5" s="5" t="str" cm="1">
        <f t="array" ref="BB35">_xlfn.LET(
  _xlpm.raw, $BA35,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5" t="s">
        <v>638</v>
      </c>
      <c r="BE35" s="5">
        <v>9.3116400000000006</v>
      </c>
    </row>
    <row r="36" spans="1:62" x14ac:dyDescent="0.25">
      <c r="A36" s="112"/>
      <c r="B36" s="225"/>
      <c r="C36" s="10"/>
      <c r="D36" s="14"/>
      <c r="E36" s="157"/>
      <c r="F36" s="22" t="str">
        <f t="shared" si="0"/>
        <v/>
      </c>
      <c r="G36" s="17"/>
      <c r="H36" s="10"/>
      <c r="I36" s="17"/>
      <c r="J36" s="83"/>
      <c r="K36" s="343"/>
      <c r="L36" s="347"/>
      <c r="M36" s="89">
        <v>35</v>
      </c>
      <c r="N36" s="14"/>
      <c r="O36" s="22"/>
      <c r="P36" s="14"/>
      <c r="Q36" s="83"/>
      <c r="U36" s="104" t="str">
        <f>IF(
  AND(
    TRIM(A36)=TRIM(Enginuity!$A$1),
    TRIM(B36)=TRIM(Enginuity!$A$17),
    Q36&lt;&gt;"",
    Q36&lt;&gt;0,
    OR(
      TRIM(C36)=TRIM(Enginuity!$A$18),
      AND(UPPER(TRIM(M36))="STD", TRIM(B36)=TRIM(Enginuity!$A$17))
    ),
    OR(
      AND(LEFT(P36,5)="1-Way", Enginuity!$B$13=1),
      AND(LEFT(P36,5)="2-Way", OR(Enginuity!$B$13=2, Enginuity!$B$13=4)),
      AND(LEFT(P36,5)="3-Way", OR(Enginuity!$B$13=3, Enginuity!$B$13=6)),
      AND(P36="Inner Centre Jamb", OR(Enginuity!$B$13=4, Enginuity!$B$13=6)),
      AND(
        LEFT(P36,5)&lt;&gt;"1-Way",
        LEFT(P36,5)&lt;&gt;"2-Way",
        LEFT(P36,5)&lt;&gt;"3-Way",
        P36&lt;&gt;"Inner Centre Jamb"
      )
    ),
    IF(OR(Enginuity!$A$1="Frameless Glass",Enginuity!$A$1="Metal Work"),
      AND(TRIM(B36)=TRIM(Enginuity!$A$17),TRIM(C36)=TRIM(Enginuity!$A$18)),
      TRIM(B36)=TRIM(Enginuity!$A$17)
    )
  ),
  ROW(),
  ""
)</f>
        <v/>
      </c>
      <c r="BA36" t="str" cm="1">
        <f t="array" ref="BA3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6" s="5" t="str" cm="1">
        <f t="array" ref="BB36">_xlfn.LET(
  _xlpm.raw, $BA36,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6" t="s">
        <v>639</v>
      </c>
      <c r="BE36" s="5">
        <v>11.704319999999999</v>
      </c>
      <c r="BJ36" t="s">
        <v>29</v>
      </c>
    </row>
    <row r="37" spans="1:62" x14ac:dyDescent="0.25">
      <c r="A37" s="112"/>
      <c r="B37" s="225"/>
      <c r="C37" s="10"/>
      <c r="D37" s="14"/>
      <c r="E37" s="157"/>
      <c r="F37" s="22" t="str">
        <f t="shared" si="0"/>
        <v/>
      </c>
      <c r="G37" s="17"/>
      <c r="H37" s="10"/>
      <c r="I37" s="17"/>
      <c r="J37" s="83"/>
      <c r="K37" s="343"/>
      <c r="L37" s="347"/>
      <c r="M37" s="89">
        <v>36</v>
      </c>
      <c r="N37" s="14"/>
      <c r="O37" s="22"/>
      <c r="P37" s="14"/>
      <c r="Q37" s="83"/>
      <c r="U37" s="104" t="str">
        <f>IF(
  AND(
    TRIM(A37)=TRIM(Enginuity!$A$1),
    TRIM(B37)=TRIM(Enginuity!$A$17),
    Q37&lt;&gt;"",
    Q37&lt;&gt;0,
    OR(
      TRIM(C37)=TRIM(Enginuity!$A$18),
      AND(UPPER(TRIM(M37))="STD", TRIM(B37)=TRIM(Enginuity!$A$17))
    ),
    OR(
      AND(LEFT(P37,5)="1-Way", Enginuity!$B$13=1),
      AND(LEFT(P37,5)="2-Way", OR(Enginuity!$B$13=2, Enginuity!$B$13=4)),
      AND(LEFT(P37,5)="3-Way", OR(Enginuity!$B$13=3, Enginuity!$B$13=6)),
      AND(P37="Inner Centre Jamb", OR(Enginuity!$B$13=4, Enginuity!$B$13=6)),
      AND(
        LEFT(P37,5)&lt;&gt;"1-Way",
        LEFT(P37,5)&lt;&gt;"2-Way",
        LEFT(P37,5)&lt;&gt;"3-Way",
        P37&lt;&gt;"Inner Centre Jamb"
      )
    ),
    IF(OR(Enginuity!$A$1="Frameless Glass",Enginuity!$A$1="Metal Work"),
      AND(TRIM(B37)=TRIM(Enginuity!$A$17),TRIM(C37)=TRIM(Enginuity!$A$18)),
      TRIM(B37)=TRIM(Enginuity!$A$17)
    )
  ),
  ROW(),
  ""
)</f>
        <v/>
      </c>
      <c r="BA37" t="str" cm="1">
        <f t="array" ref="BA3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7" t="s">
        <v>640</v>
      </c>
      <c r="BE37" s="5">
        <v>13.124688000000001</v>
      </c>
      <c r="BJ37" t="s">
        <v>30</v>
      </c>
    </row>
    <row r="38" spans="1:62" x14ac:dyDescent="0.25">
      <c r="A38" s="112"/>
      <c r="B38" s="225"/>
      <c r="C38" s="10"/>
      <c r="D38" s="14"/>
      <c r="E38" s="157"/>
      <c r="F38" s="22" t="str">
        <f t="shared" si="0"/>
        <v/>
      </c>
      <c r="G38" s="17"/>
      <c r="H38" s="10"/>
      <c r="I38" s="17"/>
      <c r="J38" s="83"/>
      <c r="K38" s="343"/>
      <c r="L38" s="347"/>
      <c r="M38" s="89">
        <v>37</v>
      </c>
      <c r="N38" s="21"/>
      <c r="O38" s="22"/>
      <c r="P38" s="14"/>
      <c r="Q38" s="83"/>
      <c r="U38" s="104" t="str">
        <f>IF(
  AND(
    TRIM(A38)=TRIM(Enginuity!$A$1),
    TRIM(B38)=TRIM(Enginuity!$A$17),
    Q38&lt;&gt;"",
    Q38&lt;&gt;0,
    OR(
      TRIM(C38)=TRIM(Enginuity!$A$18),
      AND(UPPER(TRIM(M38))="STD", TRIM(B38)=TRIM(Enginuity!$A$17))
    ),
    OR(
      AND(LEFT(P38,5)="1-Way", Enginuity!$B$13=1),
      AND(LEFT(P38,5)="2-Way", OR(Enginuity!$B$13=2, Enginuity!$B$13=4)),
      AND(LEFT(P38,5)="3-Way", OR(Enginuity!$B$13=3, Enginuity!$B$13=6)),
      AND(P38="Inner Centre Jamb", OR(Enginuity!$B$13=4, Enginuity!$B$13=6)),
      AND(
        LEFT(P38,5)&lt;&gt;"1-Way",
        LEFT(P38,5)&lt;&gt;"2-Way",
        LEFT(P38,5)&lt;&gt;"3-Way",
        P38&lt;&gt;"Inner Centre Jamb"
      )
    ),
    IF(OR(Enginuity!$A$1="Frameless Glass",Enginuity!$A$1="Metal Work"),
      AND(TRIM(B38)=TRIM(Enginuity!$A$17),TRIM(C38)=TRIM(Enginuity!$A$18)),
      TRIM(B38)=TRIM(Enginuity!$A$17)
    )
  ),
  ROW(),
  ""
)</f>
        <v/>
      </c>
      <c r="BA38" t="str" cm="1">
        <f t="array" ref="BA3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8" t="s">
        <v>641</v>
      </c>
      <c r="BE38" s="5">
        <v>14.386559999999999</v>
      </c>
      <c r="BJ38" t="s">
        <v>31</v>
      </c>
    </row>
    <row r="39" spans="1:62" x14ac:dyDescent="0.25">
      <c r="A39" s="112"/>
      <c r="B39" s="225"/>
      <c r="C39" s="10"/>
      <c r="D39" s="14"/>
      <c r="E39" s="157"/>
      <c r="F39" s="22" t="str">
        <f t="shared" si="0"/>
        <v/>
      </c>
      <c r="G39" s="17"/>
      <c r="H39" s="10"/>
      <c r="I39" s="17"/>
      <c r="J39" s="83"/>
      <c r="K39" s="343"/>
      <c r="L39" s="347"/>
      <c r="M39" s="89">
        <v>38</v>
      </c>
      <c r="N39" s="14"/>
      <c r="O39" s="22"/>
      <c r="P39" s="14"/>
      <c r="Q39" s="83"/>
      <c r="U39" s="104" t="str">
        <f>IF(
  AND(
    TRIM(A39)=TRIM(Enginuity!$A$1),
    TRIM(B39)=TRIM(Enginuity!$A$17),
    Q39&lt;&gt;"",
    Q39&lt;&gt;0,
    OR(
      TRIM(C39)=TRIM(Enginuity!$A$18),
      AND(UPPER(TRIM(M39))="STD", TRIM(B39)=TRIM(Enginuity!$A$17))
    ),
    OR(
      AND(LEFT(P39,5)="1-Way", Enginuity!$B$13=1),
      AND(LEFT(P39,5)="2-Way", OR(Enginuity!$B$13=2, Enginuity!$B$13=4)),
      AND(LEFT(P39,5)="3-Way", OR(Enginuity!$B$13=3, Enginuity!$B$13=6)),
      AND(P39="Inner Centre Jamb", OR(Enginuity!$B$13=4, Enginuity!$B$13=6)),
      AND(
        LEFT(P39,5)&lt;&gt;"1-Way",
        LEFT(P39,5)&lt;&gt;"2-Way",
        LEFT(P39,5)&lt;&gt;"3-Way",
        P39&lt;&gt;"Inner Centre Jamb"
      )
    ),
    IF(OR(Enginuity!$A$1="Frameless Glass",Enginuity!$A$1="Metal Work"),
      AND(TRIM(B39)=TRIM(Enginuity!$A$17),TRIM(C39)=TRIM(Enginuity!$A$18)),
      TRIM(B39)=TRIM(Enginuity!$A$17)
    )
  ),
  ROW(),
  ""
)</f>
        <v/>
      </c>
      <c r="BA39" t="str" cm="1">
        <f t="array" ref="BA39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ROWS(AllMaterialsbak!$BA$2:BA42)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39" t="s">
        <v>602</v>
      </c>
      <c r="BE39" s="5">
        <v>330</v>
      </c>
    </row>
    <row r="40" spans="1:62" x14ac:dyDescent="0.25">
      <c r="A40" s="112"/>
      <c r="B40" s="225"/>
      <c r="C40" s="10"/>
      <c r="D40" s="14"/>
      <c r="E40" s="157"/>
      <c r="F40" s="22" t="str">
        <f t="shared" si="0"/>
        <v/>
      </c>
      <c r="G40" s="17"/>
      <c r="H40" s="10"/>
      <c r="I40" s="17"/>
      <c r="J40" s="83"/>
      <c r="K40" s="343"/>
      <c r="L40" s="347"/>
      <c r="M40" s="89">
        <v>39</v>
      </c>
      <c r="N40" s="14"/>
      <c r="O40" s="22"/>
      <c r="P40" s="14"/>
      <c r="Q40" s="83"/>
      <c r="U40" s="104" t="str">
        <f>IF(
  AND(
    TRIM(A40)=TRIM(Enginuity!$A$1),
    TRIM(B40)=TRIM(Enginuity!$A$17),
    Q40&lt;&gt;"",
    Q40&lt;&gt;0,
    OR(
      TRIM(C40)=TRIM(Enginuity!$A$18),
      AND(UPPER(TRIM(M40))="STD", TRIM(B40)=TRIM(Enginuity!$A$17))
    ),
    OR(
      AND(LEFT(P40,5)="1-Way", Enginuity!$B$13=1),
      AND(LEFT(P40,5)="2-Way", OR(Enginuity!$B$13=2, Enginuity!$B$13=4)),
      AND(LEFT(P40,5)="3-Way", OR(Enginuity!$B$13=3, Enginuity!$B$13=6)),
      AND(P40="Inner Centre Jamb", OR(Enginuity!$B$13=4, Enginuity!$B$13=6)),
      AND(
        LEFT(P40,5)&lt;&gt;"1-Way",
        LEFT(P40,5)&lt;&gt;"2-Way",
        LEFT(P40,5)&lt;&gt;"3-Way",
        P40&lt;&gt;"Inner Centre Jamb"
      )
    ),
    IF(OR(Enginuity!$A$1="Frameless Glass",Enginuity!$A$1="Metal Work"),
      AND(TRIM(B40)=TRIM(Enginuity!$A$17),TRIM(C40)=TRIM(Enginuity!$A$18)),
      TRIM(B40)=TRIM(Enginuity!$A$17)
    )
  ),
  ROW(),
  ""
)</f>
        <v/>
      </c>
      <c r="BA40" t="str" cm="1">
        <f t="array" ref="BA40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ROWS(AllMaterialsbak!$BA$2:BA43)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0" t="s">
        <v>601</v>
      </c>
      <c r="BE40" s="5">
        <v>845</v>
      </c>
    </row>
    <row r="41" spans="1:62" x14ac:dyDescent="0.25">
      <c r="A41" s="112"/>
      <c r="B41" s="225"/>
      <c r="C41" s="10"/>
      <c r="D41" s="14"/>
      <c r="E41" s="157"/>
      <c r="F41" s="22" t="str">
        <f t="shared" si="0"/>
        <v/>
      </c>
      <c r="G41" s="17"/>
      <c r="H41" s="10"/>
      <c r="I41" s="17"/>
      <c r="J41" s="83"/>
      <c r="K41" s="343"/>
      <c r="L41" s="347"/>
      <c r="M41" s="89">
        <v>40</v>
      </c>
      <c r="N41" s="14"/>
      <c r="O41" s="22"/>
      <c r="P41" s="14"/>
      <c r="Q41" s="83"/>
      <c r="U41" s="104" t="str">
        <f>IF(
  AND(
    TRIM(A41)=TRIM(Enginuity!$A$1),
    TRIM(B41)=TRIM(Enginuity!$A$17),
    Q41&lt;&gt;"",
    Q41&lt;&gt;0,
    OR(
      TRIM(C41)=TRIM(Enginuity!$A$18),
      AND(UPPER(TRIM(M41))="STD", TRIM(B41)=TRIM(Enginuity!$A$17))
    ),
    OR(
      AND(LEFT(P41,5)="1-Way", Enginuity!$B$13=1),
      AND(LEFT(P41,5)="2-Way", OR(Enginuity!$B$13=2, Enginuity!$B$13=4)),
      AND(LEFT(P41,5)="3-Way", OR(Enginuity!$B$13=3, Enginuity!$B$13=6)),
      AND(P41="Inner Centre Jamb", OR(Enginuity!$B$13=4, Enginuity!$B$13=6)),
      AND(
        LEFT(P41,5)&lt;&gt;"1-Way",
        LEFT(P41,5)&lt;&gt;"2-Way",
        LEFT(P41,5)&lt;&gt;"3-Way",
        P41&lt;&gt;"Inner Centre Jamb"
      )
    ),
    IF(OR(Enginuity!$A$1="Frameless Glass",Enginuity!$A$1="Metal Work"),
      AND(TRIM(B41)=TRIM(Enginuity!$A$17),TRIM(C41)=TRIM(Enginuity!$A$18)),
      TRIM(B41)=TRIM(Enginuity!$A$17)
    )
  ),
  ROW(),
  ""
)</f>
        <v/>
      </c>
      <c r="BA41" t="str" cm="1">
        <f t="array" ref="BA41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ROWS(AllMaterialsbak!$BA$2:BA44)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1" t="s">
        <v>763</v>
      </c>
      <c r="BE41" s="5">
        <v>76</v>
      </c>
    </row>
    <row r="42" spans="1:62" x14ac:dyDescent="0.25">
      <c r="A42" s="112"/>
      <c r="B42" s="225"/>
      <c r="C42" s="10"/>
      <c r="D42" s="14"/>
      <c r="E42" s="157"/>
      <c r="F42" s="22" t="str">
        <f t="shared" si="0"/>
        <v/>
      </c>
      <c r="G42" s="17"/>
      <c r="H42" s="10"/>
      <c r="I42" s="17"/>
      <c r="J42" s="83"/>
      <c r="K42" s="343"/>
      <c r="L42" s="347"/>
      <c r="M42" s="89">
        <v>41</v>
      </c>
      <c r="N42" s="14"/>
      <c r="O42" s="22"/>
      <c r="P42" s="14"/>
      <c r="Q42" s="83"/>
      <c r="U42" s="104" t="str">
        <f>IF(
  AND(
    TRIM(A42)=TRIM(Enginuity!$A$1),
    TRIM(B42)=TRIM(Enginuity!$A$17),
    Q42&lt;&gt;"",
    Q42&lt;&gt;0,
    OR(
      TRIM(C42)=TRIM(Enginuity!$A$18),
      AND(UPPER(TRIM(M42))="STD", TRIM(B42)=TRIM(Enginuity!$A$17))
    ),
    OR(
      AND(LEFT(P42,5)="1-Way", Enginuity!$B$13=1),
      AND(LEFT(P42,5)="2-Way", OR(Enginuity!$B$13=2, Enginuity!$B$13=4)),
      AND(LEFT(P42,5)="3-Way", OR(Enginuity!$B$13=3, Enginuity!$B$13=6)),
      AND(P42="Inner Centre Jamb", OR(Enginuity!$B$13=4, Enginuity!$B$13=6)),
      AND(
        LEFT(P42,5)&lt;&gt;"1-Way",
        LEFT(P42,5)&lt;&gt;"2-Way",
        LEFT(P42,5)&lt;&gt;"3-Way",
        P42&lt;&gt;"Inner Centre Jamb"
      )
    ),
    IF(OR(Enginuity!$A$1="Frameless Glass",Enginuity!$A$1="Metal Work"),
      AND(TRIM(B42)=TRIM(Enginuity!$A$17),TRIM(C42)=TRIM(Enginuity!$A$18)),
      TRIM(B42)=TRIM(Enginuity!$A$17)
    )
  ),
  ROW(),
  ""
)</f>
        <v/>
      </c>
      <c r="BA42" t="str" cm="1">
        <f t="array" ref="BA42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ROWS(AllMaterialsbak!$BA$2:BA45)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2" t="s">
        <v>545</v>
      </c>
      <c r="BE42" s="5">
        <v>22</v>
      </c>
    </row>
    <row r="43" spans="1:62" x14ac:dyDescent="0.25">
      <c r="A43" s="112"/>
      <c r="B43" s="225"/>
      <c r="C43" s="10"/>
      <c r="D43" s="14"/>
      <c r="E43" s="157"/>
      <c r="F43" s="22" t="str">
        <f t="shared" si="0"/>
        <v/>
      </c>
      <c r="G43" s="17"/>
      <c r="H43" s="10"/>
      <c r="I43" s="17"/>
      <c r="J43" s="83"/>
      <c r="K43" s="343"/>
      <c r="L43" s="347"/>
      <c r="M43" s="89">
        <v>42</v>
      </c>
      <c r="N43" s="14"/>
      <c r="O43" s="22"/>
      <c r="P43" s="14"/>
      <c r="Q43" s="83"/>
      <c r="U43" s="104" t="str">
        <f>IF(
  AND(
    TRIM(A43)=TRIM(Enginuity!$A$1),
    TRIM(B43)=TRIM(Enginuity!$A$17),
    Q43&lt;&gt;"",
    Q43&lt;&gt;0,
    OR(
      TRIM(C43)=TRIM(Enginuity!$A$18),
      AND(UPPER(TRIM(M43))="STD", TRIM(B43)=TRIM(Enginuity!$A$17))
    ),
    OR(
      AND(LEFT(P43,5)="1-Way", Enginuity!$B$13=1),
      AND(LEFT(P43,5)="2-Way", OR(Enginuity!$B$13=2, Enginuity!$B$13=4)),
      AND(LEFT(P43,5)="3-Way", OR(Enginuity!$B$13=3, Enginuity!$B$13=6)),
      AND(P43="Inner Centre Jamb", OR(Enginuity!$B$13=4, Enginuity!$B$13=6)),
      AND(
        LEFT(P43,5)&lt;&gt;"1-Way",
        LEFT(P43,5)&lt;&gt;"2-Way",
        LEFT(P43,5)&lt;&gt;"3-Way",
        P43&lt;&gt;"Inner Centre Jamb"
      )
    ),
    IF(OR(Enginuity!$A$1="Frameless Glass",Enginuity!$A$1="Metal Work"),
      AND(TRIM(B43)=TRIM(Enginuity!$A$17),TRIM(C43)=TRIM(Enginuity!$A$18)),
      TRIM(B43)=TRIM(Enginuity!$A$17)
    )
  ),
  ROW(),
  ""
)</f>
        <v/>
      </c>
      <c r="BA43" t="str" cm="1">
        <f t="array" ref="BA43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ROWS(AllMaterialsbak!$BA$2:BA46)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3" t="s">
        <v>541</v>
      </c>
      <c r="BE43" s="5">
        <v>13</v>
      </c>
    </row>
    <row r="44" spans="1:62" x14ac:dyDescent="0.25">
      <c r="A44" s="112"/>
      <c r="B44" s="225"/>
      <c r="C44" s="10"/>
      <c r="D44" s="14"/>
      <c r="E44" s="157"/>
      <c r="F44" s="22" t="str">
        <f t="shared" si="0"/>
        <v/>
      </c>
      <c r="G44" s="17"/>
      <c r="H44" s="10"/>
      <c r="I44" s="17"/>
      <c r="J44" s="83"/>
      <c r="K44" s="343"/>
      <c r="L44" s="347"/>
      <c r="M44" s="89">
        <v>43</v>
      </c>
      <c r="N44" s="14"/>
      <c r="O44" s="22"/>
      <c r="P44" s="14"/>
      <c r="Q44" s="83"/>
      <c r="U44" s="104" t="str">
        <f>IF(
  AND(
    TRIM(A44)=TRIM(Enginuity!$A$1),
    TRIM(B44)=TRIM(Enginuity!$A$17),
    Q44&lt;&gt;"",
    Q44&lt;&gt;0,
    OR(
      TRIM(C44)=TRIM(Enginuity!$A$18),
      AND(UPPER(TRIM(M44))="STD", TRIM(B44)=TRIM(Enginuity!$A$17))
    ),
    OR(
      AND(LEFT(P44,5)="1-Way", Enginuity!$B$13=1),
      AND(LEFT(P44,5)="2-Way", OR(Enginuity!$B$13=2, Enginuity!$B$13=4)),
      AND(LEFT(P44,5)="3-Way", OR(Enginuity!$B$13=3, Enginuity!$B$13=6)),
      AND(P44="Inner Centre Jamb", OR(Enginuity!$B$13=4, Enginuity!$B$13=6)),
      AND(
        LEFT(P44,5)&lt;&gt;"1-Way",
        LEFT(P44,5)&lt;&gt;"2-Way",
        LEFT(P44,5)&lt;&gt;"3-Way",
        P44&lt;&gt;"Inner Centre Jamb"
      )
    ),
    IF(OR(Enginuity!$A$1="Frameless Glass",Enginuity!$A$1="Metal Work"),
      AND(TRIM(B44)=TRIM(Enginuity!$A$17),TRIM(C44)=TRIM(Enginuity!$A$18)),
      TRIM(B44)=TRIM(Enginuity!$A$17)
    )
  ),
  ROW(),
  ""
)</f>
        <v/>
      </c>
      <c r="BD44" t="s">
        <v>538</v>
      </c>
      <c r="BE44" s="5">
        <v>11</v>
      </c>
    </row>
    <row r="45" spans="1:62" x14ac:dyDescent="0.25">
      <c r="A45" s="112"/>
      <c r="B45" s="225"/>
      <c r="C45" s="10"/>
      <c r="D45" s="14"/>
      <c r="E45" s="157"/>
      <c r="F45" s="22" t="str">
        <f t="shared" si="0"/>
        <v/>
      </c>
      <c r="G45" s="17"/>
      <c r="H45" s="10"/>
      <c r="I45" s="17"/>
      <c r="J45" s="83"/>
      <c r="K45" s="343"/>
      <c r="L45" s="347"/>
      <c r="M45" s="89">
        <v>44</v>
      </c>
      <c r="N45" s="14"/>
      <c r="O45" s="22"/>
      <c r="P45" s="14"/>
      <c r="Q45" s="83"/>
      <c r="U45" s="104" t="str">
        <f>IF(
  AND(
    TRIM(A45)=TRIM(Enginuity!$A$1),
    TRIM(B45)=TRIM(Enginuity!$A$17),
    Q45&lt;&gt;"",
    Q45&lt;&gt;0,
    OR(
      TRIM(C45)=TRIM(Enginuity!$A$18),
      AND(UPPER(TRIM(M45))="STD", TRIM(B45)=TRIM(Enginuity!$A$17))
    ),
    OR(
      AND(LEFT(P45,5)="1-Way", Enginuity!$B$13=1),
      AND(LEFT(P45,5)="2-Way", OR(Enginuity!$B$13=2, Enginuity!$B$13=4)),
      AND(LEFT(P45,5)="3-Way", OR(Enginuity!$B$13=3, Enginuity!$B$13=6)),
      AND(P45="Inner Centre Jamb", OR(Enginuity!$B$13=4, Enginuity!$B$13=6)),
      AND(
        LEFT(P45,5)&lt;&gt;"1-Way",
        LEFT(P45,5)&lt;&gt;"2-Way",
        LEFT(P45,5)&lt;&gt;"3-Way",
        P45&lt;&gt;"Inner Centre Jamb"
      )
    ),
    IF(OR(Enginuity!$A$1="Frameless Glass",Enginuity!$A$1="Metal Work"),
      AND(TRIM(B45)=TRIM(Enginuity!$A$17),TRIM(C45)=TRIM(Enginuity!$A$18)),
      TRIM(B45)=TRIM(Enginuity!$A$17)
    )
  ),
  ROW(),
  ""
)</f>
        <v/>
      </c>
      <c r="BD45" t="s">
        <v>546</v>
      </c>
      <c r="BE45" s="5">
        <v>25</v>
      </c>
    </row>
    <row r="46" spans="1:62" x14ac:dyDescent="0.25">
      <c r="A46" s="112"/>
      <c r="B46" s="225"/>
      <c r="C46" s="10"/>
      <c r="D46" s="14"/>
      <c r="E46" s="157"/>
      <c r="F46" s="22" t="str">
        <f t="shared" si="0"/>
        <v/>
      </c>
      <c r="G46" s="17"/>
      <c r="H46" s="10"/>
      <c r="I46" s="17"/>
      <c r="J46" s="83"/>
      <c r="K46" s="343"/>
      <c r="L46" s="347"/>
      <c r="M46" s="89">
        <v>45</v>
      </c>
      <c r="N46" s="14"/>
      <c r="O46" s="22"/>
      <c r="P46" s="14"/>
      <c r="Q46" s="83"/>
      <c r="U46" s="104" t="str">
        <f>IF(
  AND(
    TRIM(A46)=TRIM(Enginuity!$A$1),
    TRIM(B46)=TRIM(Enginuity!$A$17),
    Q46&lt;&gt;"",
    Q46&lt;&gt;0,
    OR(
      TRIM(C46)=TRIM(Enginuity!$A$18),
      AND(UPPER(TRIM(M46))="STD", TRIM(B46)=TRIM(Enginuity!$A$17))
    ),
    OR(
      AND(LEFT(P46,5)="1-Way", Enginuity!$B$13=1),
      AND(LEFT(P46,5)="2-Way", OR(Enginuity!$B$13=2, Enginuity!$B$13=4)),
      AND(LEFT(P46,5)="3-Way", OR(Enginuity!$B$13=3, Enginuity!$B$13=6)),
      AND(P46="Inner Centre Jamb", OR(Enginuity!$B$13=4, Enginuity!$B$13=6)),
      AND(
        LEFT(P46,5)&lt;&gt;"1-Way",
        LEFT(P46,5)&lt;&gt;"2-Way",
        LEFT(P46,5)&lt;&gt;"3-Way",
        P46&lt;&gt;"Inner Centre Jamb"
      )
    ),
    IF(OR(Enginuity!$A$1="Frameless Glass",Enginuity!$A$1="Metal Work"),
      AND(TRIM(B46)=TRIM(Enginuity!$A$17),TRIM(C46)=TRIM(Enginuity!$A$18)),
      TRIM(B46)=TRIM(Enginuity!$A$17)
    )
  ),
  ROW(),
  ""
)</f>
        <v/>
      </c>
      <c r="BD46" t="s">
        <v>542</v>
      </c>
      <c r="BE46" s="5">
        <v>15</v>
      </c>
    </row>
    <row r="47" spans="1:62" x14ac:dyDescent="0.25">
      <c r="A47" s="112"/>
      <c r="B47" s="225"/>
      <c r="C47" s="10"/>
      <c r="D47" s="14"/>
      <c r="E47" s="157"/>
      <c r="F47" s="22" t="str">
        <f t="shared" si="0"/>
        <v/>
      </c>
      <c r="G47" s="17"/>
      <c r="H47" s="10"/>
      <c r="I47" s="17"/>
      <c r="J47" s="83"/>
      <c r="K47" s="343"/>
      <c r="L47" s="347"/>
      <c r="M47" s="89">
        <v>46</v>
      </c>
      <c r="N47" s="14"/>
      <c r="O47" s="22"/>
      <c r="P47" s="14"/>
      <c r="Q47" s="83"/>
      <c r="U47" s="104" t="str">
        <f>IF(
  AND(
    TRIM(A47)=TRIM(Enginuity!$A$1),
    TRIM(B47)=TRIM(Enginuity!$A$17),
    Q47&lt;&gt;"",
    Q47&lt;&gt;0,
    OR(
      TRIM(C47)=TRIM(Enginuity!$A$18),
      AND(UPPER(TRIM(M47))="STD", TRIM(B47)=TRIM(Enginuity!$A$17))
    ),
    OR(
      AND(LEFT(P47,5)="1-Way", Enginuity!$B$13=1),
      AND(LEFT(P47,5)="2-Way", OR(Enginuity!$B$13=2, Enginuity!$B$13=4)),
      AND(LEFT(P47,5)="3-Way", OR(Enginuity!$B$13=3, Enginuity!$B$13=6)),
      AND(P47="Inner Centre Jamb", OR(Enginuity!$B$13=4, Enginuity!$B$13=6)),
      AND(
        LEFT(P47,5)&lt;&gt;"1-Way",
        LEFT(P47,5)&lt;&gt;"2-Way",
        LEFT(P47,5)&lt;&gt;"3-Way",
        P47&lt;&gt;"Inner Centre Jamb"
      )
    ),
    IF(OR(Enginuity!$A$1="Frameless Glass",Enginuity!$A$1="Metal Work"),
      AND(TRIM(B47)=TRIM(Enginuity!$A$17),TRIM(C47)=TRIM(Enginuity!$A$18)),
      TRIM(B47)=TRIM(Enginuity!$A$17)
    )
  ),
  ROW(),
  ""
)</f>
        <v/>
      </c>
      <c r="BD47" t="s">
        <v>554</v>
      </c>
      <c r="BE47" s="5">
        <v>38</v>
      </c>
    </row>
    <row r="48" spans="1:62" x14ac:dyDescent="0.25">
      <c r="A48" s="112"/>
      <c r="B48" s="225"/>
      <c r="C48" s="10"/>
      <c r="D48" s="14"/>
      <c r="E48" s="157"/>
      <c r="F48" s="22" t="str">
        <f t="shared" si="0"/>
        <v/>
      </c>
      <c r="G48" s="17"/>
      <c r="H48" s="10"/>
      <c r="I48" s="17"/>
      <c r="J48" s="83"/>
      <c r="K48" s="343"/>
      <c r="L48" s="347"/>
      <c r="M48" s="89">
        <v>47</v>
      </c>
      <c r="N48" s="21"/>
      <c r="O48" s="22"/>
      <c r="P48" s="14"/>
      <c r="Q48" s="83"/>
      <c r="U48" s="104" t="str">
        <f>IF(
  AND(
    TRIM(A48)=TRIM(Enginuity!$A$1),
    TRIM(B48)=TRIM(Enginuity!$A$17),
    Q48&lt;&gt;"",
    Q48&lt;&gt;0,
    OR(
      TRIM(C48)=TRIM(Enginuity!$A$18),
      AND(UPPER(TRIM(M48))="STD", TRIM(B48)=TRIM(Enginuity!$A$17))
    ),
    OR(
      AND(LEFT(P48,5)="1-Way", Enginuity!$B$13=1),
      AND(LEFT(P48,5)="2-Way", OR(Enginuity!$B$13=2, Enginuity!$B$13=4)),
      AND(LEFT(P48,5)="3-Way", OR(Enginuity!$B$13=3, Enginuity!$B$13=6)),
      AND(P48="Inner Centre Jamb", OR(Enginuity!$B$13=4, Enginuity!$B$13=6)),
      AND(
        LEFT(P48,5)&lt;&gt;"1-Way",
        LEFT(P48,5)&lt;&gt;"2-Way",
        LEFT(P48,5)&lt;&gt;"3-Way",
        P48&lt;&gt;"Inner Centre Jamb"
      )
    ),
    IF(OR(Enginuity!$A$1="Frameless Glass",Enginuity!$A$1="Metal Work"),
      AND(TRIM(B48)=TRIM(Enginuity!$A$17),TRIM(C48)=TRIM(Enginuity!$A$18)),
      TRIM(B48)=TRIM(Enginuity!$A$17)
    )
  ),
  ROW(),
  ""
)</f>
        <v/>
      </c>
      <c r="BD48" t="s">
        <v>540</v>
      </c>
      <c r="BE48" s="5">
        <v>15</v>
      </c>
    </row>
    <row r="49" spans="1:57" x14ac:dyDescent="0.25">
      <c r="A49" s="112"/>
      <c r="B49" s="225"/>
      <c r="C49" s="10"/>
      <c r="D49" s="14"/>
      <c r="E49" s="157"/>
      <c r="F49" s="22" t="str">
        <f t="shared" si="0"/>
        <v/>
      </c>
      <c r="G49" s="17"/>
      <c r="H49" s="10"/>
      <c r="I49" s="17"/>
      <c r="J49" s="83"/>
      <c r="K49" s="343"/>
      <c r="L49" s="347"/>
      <c r="M49" s="89">
        <v>48</v>
      </c>
      <c r="N49" s="21"/>
      <c r="O49" s="22"/>
      <c r="P49" s="14"/>
      <c r="Q49" s="83"/>
      <c r="U49" s="104" t="str">
        <f>IF(
  AND(
    TRIM(A49)=TRIM(Enginuity!$A$1),
    TRIM(B49)=TRIM(Enginuity!$A$17),
    Q49&lt;&gt;"",
    Q49&lt;&gt;0,
    OR(
      TRIM(C49)=TRIM(Enginuity!$A$18),
      AND(UPPER(TRIM(M49))="STD", TRIM(B49)=TRIM(Enginuity!$A$17))
    ),
    OR(
      AND(LEFT(P49,5)="1-Way", Enginuity!$B$13=1),
      AND(LEFT(P49,5)="2-Way", OR(Enginuity!$B$13=2, Enginuity!$B$13=4)),
      AND(LEFT(P49,5)="3-Way", OR(Enginuity!$B$13=3, Enginuity!$B$13=6)),
      AND(P49="Inner Centre Jamb", OR(Enginuity!$B$13=4, Enginuity!$B$13=6)),
      AND(
        LEFT(P49,5)&lt;&gt;"1-Way",
        LEFT(P49,5)&lt;&gt;"2-Way",
        LEFT(P49,5)&lt;&gt;"3-Way",
        P49&lt;&gt;"Inner Centre Jamb"
      )
    ),
    IF(OR(Enginuity!$A$1="Frameless Glass",Enginuity!$A$1="Metal Work"),
      AND(TRIM(B49)=TRIM(Enginuity!$A$17),TRIM(C49)=TRIM(Enginuity!$A$18)),
      TRIM(B49)=TRIM(Enginuity!$A$17)
    )
  ),
  ROW(),
  ""
)</f>
        <v/>
      </c>
      <c r="BD49" t="s">
        <v>550</v>
      </c>
      <c r="BE49" s="5">
        <v>30</v>
      </c>
    </row>
    <row r="50" spans="1:57" x14ac:dyDescent="0.25">
      <c r="A50" s="80" t="s">
        <v>469</v>
      </c>
      <c r="B50" s="228" t="s">
        <v>93</v>
      </c>
      <c r="C50" s="80" t="s">
        <v>468</v>
      </c>
      <c r="D50" s="80" t="s">
        <v>94</v>
      </c>
      <c r="E50" s="237" t="s">
        <v>329</v>
      </c>
      <c r="F50" s="80" t="s">
        <v>364</v>
      </c>
      <c r="G50" s="80" t="s">
        <v>365</v>
      </c>
      <c r="H50" s="80" t="s">
        <v>1421</v>
      </c>
      <c r="I50" s="80"/>
      <c r="J50" s="12"/>
      <c r="K50" s="342" t="s">
        <v>96</v>
      </c>
      <c r="L50" s="346" t="s">
        <v>327</v>
      </c>
      <c r="M50" s="80"/>
      <c r="N50" s="80" t="s">
        <v>102</v>
      </c>
      <c r="O50" s="25" t="s">
        <v>105</v>
      </c>
      <c r="P50" s="92" t="s">
        <v>110</v>
      </c>
      <c r="Q50" s="80" t="s">
        <v>271</v>
      </c>
      <c r="U50" s="104" t="str">
        <f>IF(
  AND(
    TRIM(A50)=TRIM(Enginuity!$A$1),
    TRIM(B50)=TRIM(Enginuity!$A$17),
    Q50&lt;&gt;"",
    Q50&lt;&gt;0,
    OR(
      TRIM(C50)=TRIM(Enginuity!$A$18),
      AND(UPPER(TRIM(M50))="STD", TRIM(B50)=TRIM(Enginuity!$A$17))
    ),
    OR(
      AND(LEFT(P50,5)="1-Way", Enginuity!$B$13=1),
      AND(LEFT(P50,5)="2-Way", OR(Enginuity!$B$13=2, Enginuity!$B$13=4)),
      AND(LEFT(P50,5)="3-Way", OR(Enginuity!$B$13=3, Enginuity!$B$13=6)),
      AND(P50="Inner Centre Jamb", OR(Enginuity!$B$13=4, Enginuity!$B$13=6)),
      AND(
        LEFT(P50,5)&lt;&gt;"1-Way",
        LEFT(P50,5)&lt;&gt;"2-Way",
        LEFT(P50,5)&lt;&gt;"3-Way",
        P50&lt;&gt;"Inner Centre Jamb"
      )
    ),
    IF(OR(Enginuity!$A$1="Frameless Glass",Enginuity!$A$1="Metal Work"),
      AND(TRIM(B50)=TRIM(Enginuity!$A$17),TRIM(C50)=TRIM(Enginuity!$A$18)),
      TRIM(B50)=TRIM(Enginuity!$A$17)
    )
  ),
  ROW(),
  ""
)</f>
        <v/>
      </c>
      <c r="BD50" t="s">
        <v>556</v>
      </c>
      <c r="BE50" s="5">
        <v>44</v>
      </c>
    </row>
    <row r="51" spans="1:57" x14ac:dyDescent="0.25">
      <c r="A51" s="10" t="s">
        <v>254</v>
      </c>
      <c r="B51" s="229" t="s">
        <v>3</v>
      </c>
      <c r="C51" s="10" t="s">
        <v>107</v>
      </c>
      <c r="D51" s="14" t="str" cm="1">
        <f t="array" ref="D51:D60">IFERROR(INDEX(_xlfn._xlws.FILTER(AllMaterialsbak!$BA$2:$BA$30, AllMaterialsbak!$BA$2:$BA$30&lt;&gt;""), _xlfn.SEQUENCE(10)), "")</f>
        <v>Default</v>
      </c>
      <c r="E51" s="157" t="s">
        <v>257</v>
      </c>
      <c r="F51" s="14" t="s">
        <v>352</v>
      </c>
      <c r="G51" s="17" t="s">
        <v>9</v>
      </c>
      <c r="H51" s="10"/>
      <c r="I51" s="17"/>
      <c r="J51" s="83"/>
      <c r="K51" s="344">
        <v>0.54644999999999999</v>
      </c>
      <c r="L51" s="347">
        <v>609.6</v>
      </c>
      <c r="M51" s="89">
        <v>1</v>
      </c>
      <c r="N51" s="10" t="s">
        <v>103</v>
      </c>
      <c r="O51" s="22">
        <v>2</v>
      </c>
      <c r="P51" s="86" t="str">
        <f>$P$2</f>
        <v>Outer Frame W X H</v>
      </c>
      <c r="Q51" s="83">
        <f>$Q$2</f>
        <v>66</v>
      </c>
      <c r="U51" s="104" t="str">
        <f>IF(
  AND(
    TRIM(A51)=TRIM(Enginuity!$A$1),
    TRIM(B51)=TRIM(Enginuity!$A$17),
    Q51&lt;&gt;"",
    Q51&lt;&gt;0,
    OR(
      TRIM(C51)=TRIM(Enginuity!$A$18),
      AND(UPPER(TRIM(M51))="STD", TRIM(B51)=TRIM(Enginuity!$A$17))
    ),
    OR(
      AND(LEFT(P51,5)="1-Way", Enginuity!$B$13=1),
      AND(LEFT(P51,5)="2-Way", OR(Enginuity!$B$13=2, Enginuity!$B$13=4)),
      AND(LEFT(P51,5)="3-Way", OR(Enginuity!$B$13=3, Enginuity!$B$13=6)),
      AND(P51="Inner Centre Jamb", OR(Enginuity!$B$13=4, Enginuity!$B$13=6)),
      AND(
        LEFT(P51,5)&lt;&gt;"1-Way",
        LEFT(P51,5)&lt;&gt;"2-Way",
        LEFT(P51,5)&lt;&gt;"3-Way",
        P51&lt;&gt;"Inner Centre Jamb"
      )
    ),
    IF(OR(Enginuity!$A$1="Frameless Glass",Enginuity!$A$1="Metal Work"),
      AND(TRIM(B51)=TRIM(Enginuity!$A$17),TRIM(C51)=TRIM(Enginuity!$A$18)),
      TRIM(B51)=TRIM(Enginuity!$A$17)
    )
  ),
  ROW(),
  ""
)</f>
        <v/>
      </c>
      <c r="BD51" t="s">
        <v>559</v>
      </c>
      <c r="BE51" s="5">
        <v>32</v>
      </c>
    </row>
    <row r="52" spans="1:57" x14ac:dyDescent="0.25">
      <c r="A52" s="10" t="s">
        <v>254</v>
      </c>
      <c r="B52" s="229" t="s">
        <v>3</v>
      </c>
      <c r="C52" s="10" t="s">
        <v>107</v>
      </c>
      <c r="D52" s="14" t="str">
        <v xml:space="preserve">2" Louver Blade N/A </v>
      </c>
      <c r="E52" s="157" t="s">
        <v>269</v>
      </c>
      <c r="F52" s="14" t="s">
        <v>356</v>
      </c>
      <c r="G52" s="17"/>
      <c r="H52" s="10"/>
      <c r="I52" s="17"/>
      <c r="J52" s="83"/>
      <c r="K52" s="343"/>
      <c r="L52" s="347"/>
      <c r="M52" s="89">
        <v>2</v>
      </c>
      <c r="N52" s="10" t="s">
        <v>103</v>
      </c>
      <c r="O52" s="22">
        <v>2.83</v>
      </c>
      <c r="P52" s="86" t="str">
        <f>$P$3</f>
        <v>Inner Frame</v>
      </c>
      <c r="Q52" s="83">
        <f>$Q$3</f>
        <v>222</v>
      </c>
      <c r="U52" s="104" t="str">
        <f>IF(
  AND(
    TRIM(A52)=TRIM(Enginuity!$A$1),
    TRIM(B52)=TRIM(Enginuity!$A$17),
    Q52&lt;&gt;"",
    Q52&lt;&gt;0,
    OR(
      TRIM(C52)=TRIM(Enginuity!$A$18),
      AND(UPPER(TRIM(M52))="STD", TRIM(B52)=TRIM(Enginuity!$A$17))
    ),
    OR(
      AND(LEFT(P52,5)="1-Way", Enginuity!$B$13=1),
      AND(LEFT(P52,5)="2-Way", OR(Enginuity!$B$13=2, Enginuity!$B$13=4)),
      AND(LEFT(P52,5)="3-Way", OR(Enginuity!$B$13=3, Enginuity!$B$13=6)),
      AND(P52="Inner Centre Jamb", OR(Enginuity!$B$13=4, Enginuity!$B$13=6)),
      AND(
        LEFT(P52,5)&lt;&gt;"1-Way",
        LEFT(P52,5)&lt;&gt;"2-Way",
        LEFT(P52,5)&lt;&gt;"3-Way",
        P52&lt;&gt;"Inner Centre Jamb"
      )
    ),
    IF(OR(Enginuity!$A$1="Frameless Glass",Enginuity!$A$1="Metal Work"),
      AND(TRIM(B52)=TRIM(Enginuity!$A$17),TRIM(C52)=TRIM(Enginuity!$A$18)),
      TRIM(B52)=TRIM(Enginuity!$A$17)
    )
  ),
  ROW(),
  ""
)</f>
        <v/>
      </c>
      <c r="BD52" t="s">
        <v>563</v>
      </c>
      <c r="BE52" s="5">
        <v>42</v>
      </c>
    </row>
    <row r="53" spans="1:57" x14ac:dyDescent="0.25">
      <c r="A53" s="10" t="s">
        <v>254</v>
      </c>
      <c r="B53" s="229" t="s">
        <v>3</v>
      </c>
      <c r="C53" s="10" t="s">
        <v>107</v>
      </c>
      <c r="D53" s="14" t="str">
        <v>2" Louver Blade P/C</v>
      </c>
      <c r="E53" s="157"/>
      <c r="F53" s="10"/>
      <c r="G53" s="17"/>
      <c r="H53" s="10"/>
      <c r="I53" s="17"/>
      <c r="J53" s="83"/>
      <c r="K53" s="343"/>
      <c r="L53" s="347"/>
      <c r="M53" s="89">
        <v>3</v>
      </c>
      <c r="N53" s="10" t="s">
        <v>103</v>
      </c>
      <c r="O53" s="22">
        <v>3.28</v>
      </c>
      <c r="P53" s="21" t="str">
        <f>$P$4</f>
        <v>Single Horizontal Mullion ↔</v>
      </c>
      <c r="Q53" s="83" t="str">
        <f>IF(
  OR(
    TRIM(Enginuity!$A$21)="1'H X ?'W X Qty Panel Top Hung (Casement Profile)",
    TRIM(Enginuity!$A$21)="1'H X ?'W X Qty Panel Top Fix (Casement Profile)"
  ),
  Enginuity!$B$6,
  ""
)</f>
        <v/>
      </c>
      <c r="U53" s="104" t="str">
        <f>IF(
  AND(
    TRIM(A53)=TRIM(Enginuity!$A$1),
    TRIM(B53)=TRIM(Enginuity!$A$17),
    Q53&lt;&gt;"",
    Q53&lt;&gt;0,
    OR(
      TRIM(C53)=TRIM(Enginuity!$A$18),
      AND(UPPER(TRIM(M53))="STD", TRIM(B53)=TRIM(Enginuity!$A$17))
    ),
    OR(
      AND(LEFT(P53,5)="1-Way", Enginuity!$B$13=1),
      AND(LEFT(P53,5)="2-Way", OR(Enginuity!$B$13=2, Enginuity!$B$13=4)),
      AND(LEFT(P53,5)="3-Way", OR(Enginuity!$B$13=3, Enginuity!$B$13=6)),
      AND(P53="Inner Centre Jamb", OR(Enginuity!$B$13=4, Enginuity!$B$13=6)),
      AND(
        LEFT(P53,5)&lt;&gt;"1-Way",
        LEFT(P53,5)&lt;&gt;"2-Way",
        LEFT(P53,5)&lt;&gt;"3-Way",
        P53&lt;&gt;"Inner Centre Jamb"
      )
    ),
    IF(OR(Enginuity!$A$1="Frameless Glass",Enginuity!$A$1="Metal Work"),
      AND(TRIM(B53)=TRIM(Enginuity!$A$17),TRIM(C53)=TRIM(Enginuity!$A$18)),
      TRIM(B53)=TRIM(Enginuity!$A$17)
    )
  ),
  ROW(),
  ""
)</f>
        <v/>
      </c>
      <c r="BD53" t="s">
        <v>567</v>
      </c>
      <c r="BE53" s="5">
        <v>69</v>
      </c>
    </row>
    <row r="54" spans="1:57" x14ac:dyDescent="0.25">
      <c r="A54" s="10" t="s">
        <v>254</v>
      </c>
      <c r="B54" s="229" t="s">
        <v>3</v>
      </c>
      <c r="C54" s="10" t="s">
        <v>107</v>
      </c>
      <c r="D54" s="14" t="str">
        <v xml:space="preserve">5" Louver Blade N/A </v>
      </c>
      <c r="E54" s="157"/>
      <c r="F54" s="10"/>
      <c r="G54" s="17"/>
      <c r="H54" s="10"/>
      <c r="I54" s="17"/>
      <c r="J54" s="83"/>
      <c r="K54" s="343"/>
      <c r="L54" s="347"/>
      <c r="M54" s="89">
        <v>4</v>
      </c>
      <c r="N54" s="10" t="s">
        <v>103</v>
      </c>
      <c r="O54" s="22">
        <v>3.28</v>
      </c>
      <c r="P54" s="21" t="str">
        <f>$P$5</f>
        <v>Single Vertical Mullion ↕</v>
      </c>
      <c r="Q54" s="83">
        <f>IF(AND(Enginuity!$B$7&gt;0, Enginuity!$B$13&gt;1), (Enginuity!$B$13 - 1) * Enginuity!$B$7, "")</f>
        <v>78</v>
      </c>
      <c r="U54" s="104" t="str">
        <f>IF(
  AND(
    TRIM(A54)=TRIM(Enginuity!$A$1),
    TRIM(B54)=TRIM(Enginuity!$A$17),
    Q54&lt;&gt;"",
    Q54&lt;&gt;0,
    OR(
      TRIM(C54)=TRIM(Enginuity!$A$18),
      AND(UPPER(TRIM(M54))="STD", TRIM(B54)=TRIM(Enginuity!$A$17))
    ),
    OR(
      AND(LEFT(P54,5)="1-Way", Enginuity!$B$13=1),
      AND(LEFT(P54,5)="2-Way", OR(Enginuity!$B$13=2, Enginuity!$B$13=4)),
      AND(LEFT(P54,5)="3-Way", OR(Enginuity!$B$13=3, Enginuity!$B$13=6)),
      AND(P54="Inner Centre Jamb", OR(Enginuity!$B$13=4, Enginuity!$B$13=6)),
      AND(
        LEFT(P54,5)&lt;&gt;"1-Way",
        LEFT(P54,5)&lt;&gt;"2-Way",
        LEFT(P54,5)&lt;&gt;"3-Way",
        P54&lt;&gt;"Inner Centre Jamb"
      )
    ),
    IF(OR(Enginuity!$A$1="Frameless Glass",Enginuity!$A$1="Metal Work"),
      AND(TRIM(B54)=TRIM(Enginuity!$A$17),TRIM(C54)=TRIM(Enginuity!$A$18)),
      TRIM(B54)=TRIM(Enginuity!$A$17)
    )
  ),
  ROW(),
  ""
)</f>
        <v/>
      </c>
      <c r="BD54" t="s">
        <v>539</v>
      </c>
      <c r="BE54" s="5">
        <v>13</v>
      </c>
    </row>
    <row r="55" spans="1:57" x14ac:dyDescent="0.25">
      <c r="A55" s="10" t="s">
        <v>254</v>
      </c>
      <c r="B55" s="229" t="s">
        <v>3</v>
      </c>
      <c r="C55" s="10" t="s">
        <v>107</v>
      </c>
      <c r="D55" s="14" t="str">
        <v>5" Louver Blade P/C</v>
      </c>
      <c r="E55" s="157"/>
      <c r="F55" s="10"/>
      <c r="G55" s="17"/>
      <c r="H55" s="10"/>
      <c r="I55" s="17"/>
      <c r="J55" s="83"/>
      <c r="K55" s="343"/>
      <c r="L55" s="347"/>
      <c r="M55" s="89" t="s">
        <v>117</v>
      </c>
      <c r="N55" s="10" t="s">
        <v>176</v>
      </c>
      <c r="O55" s="22" t="str">
        <f>IF(Enginuity!$A$20="", "",
 IF(Enginuity!$A$20="Lattice Design", $F$9,
 IF(Enginuity!$A$20="Lattice Design 12 Box / Panel", $F$10,
 ""))
)</f>
        <v/>
      </c>
      <c r="P55" s="106" t="str">
        <f>Enginuity!$A$20</f>
        <v>Z-Louvre Blade - 5"</v>
      </c>
      <c r="Q55" s="22" t="str">
        <f>IF(O55&lt;&gt;"",1,"")</f>
        <v/>
      </c>
      <c r="U55" s="104" t="str">
        <f>IF(
  AND(
    TRIM(A55)=TRIM(Enginuity!$A$1),
    TRIM(B55)=TRIM(Enginuity!$A$17),
    Q55&lt;&gt;"",
    Q55&lt;&gt;0,
    OR(
      TRIM(C55)=TRIM(Enginuity!$A$18),
      AND(UPPER(TRIM(M55))="STD", TRIM(B55)=TRIM(Enginuity!$A$17))
    ),
    OR(
      AND(LEFT(P55,5)="1-Way", Enginuity!$B$13=1),
      AND(LEFT(P55,5)="2-Way", OR(Enginuity!$B$13=2, Enginuity!$B$13=4)),
      AND(LEFT(P55,5)="3-Way", OR(Enginuity!$B$13=3, Enginuity!$B$13=6)),
      AND(P55="Inner Centre Jamb", OR(Enginuity!$B$13=4, Enginuity!$B$13=6)),
      AND(
        LEFT(P55,5)&lt;&gt;"1-Way",
        LEFT(P55,5)&lt;&gt;"2-Way",
        LEFT(P55,5)&lt;&gt;"3-Way",
        P55&lt;&gt;"Inner Centre Jamb"
      )
    ),
    IF(OR(Enginuity!$A$1="Frameless Glass",Enginuity!$A$1="Metal Work"),
      AND(TRIM(B55)=TRIM(Enginuity!$A$17),TRIM(C55)=TRIM(Enginuity!$A$18)),
      TRIM(B55)=TRIM(Enginuity!$A$17)
    )
  ),
  ROW(),
  ""
)</f>
        <v/>
      </c>
      <c r="BD55" t="s">
        <v>547</v>
      </c>
      <c r="BE55" s="5">
        <v>33</v>
      </c>
    </row>
    <row r="56" spans="1:57" x14ac:dyDescent="0.25">
      <c r="A56" s="10" t="s">
        <v>254</v>
      </c>
      <c r="B56" s="229" t="s">
        <v>3</v>
      </c>
      <c r="C56" s="10" t="s">
        <v>107</v>
      </c>
      <c r="D56" s="14" t="str">
        <v/>
      </c>
      <c r="E56" s="157"/>
      <c r="F56" s="10"/>
      <c r="G56" s="17"/>
      <c r="H56" s="10"/>
      <c r="I56" s="17"/>
      <c r="J56" s="83"/>
      <c r="K56" s="343"/>
      <c r="L56" s="347"/>
      <c r="M56" s="89">
        <v>6</v>
      </c>
      <c r="N56" s="10" t="s">
        <v>176</v>
      </c>
      <c r="O56" s="22" t="str">
        <f>IF(Enginuity!$A$21="12""H Top Hung Standard Casement Profile", $F$7,
IF(Enginuity!$A$21="12""H Top / Bottom Fix Standard Casement Profile", $F$8,
""))</f>
        <v/>
      </c>
      <c r="P56" s="106" t="str">
        <f>Enginuity!$A$21</f>
        <v>SF 4"</v>
      </c>
      <c r="Q56" s="22" t="str">
        <f>IF(O56&lt;&gt;"",1,"")</f>
        <v/>
      </c>
      <c r="U56" s="104" t="str">
        <f>IF(
  AND(
    TRIM(A56)=TRIM(Enginuity!$A$1),
    TRIM(B56)=TRIM(Enginuity!$A$17),
    Q56&lt;&gt;"",
    Q56&lt;&gt;0,
    OR(
      TRIM(C56)=TRIM(Enginuity!$A$18),
      AND(UPPER(TRIM(M56))="STD", TRIM(B56)=TRIM(Enginuity!$A$17))
    ),
    OR(
      AND(LEFT(P56,5)="1-Way", Enginuity!$B$13=1),
      AND(LEFT(P56,5)="2-Way", OR(Enginuity!$B$13=2, Enginuity!$B$13=4)),
      AND(LEFT(P56,5)="3-Way", OR(Enginuity!$B$13=3, Enginuity!$B$13=6)),
      AND(P56="Inner Centre Jamb", OR(Enginuity!$B$13=4, Enginuity!$B$13=6)),
      AND(
        LEFT(P56,5)&lt;&gt;"1-Way",
        LEFT(P56,5)&lt;&gt;"2-Way",
        LEFT(P56,5)&lt;&gt;"3-Way",
        P56&lt;&gt;"Inner Centre Jamb"
      )
    ),
    IF(OR(Enginuity!$A$1="Frameless Glass",Enginuity!$A$1="Metal Work"),
      AND(TRIM(B56)=TRIM(Enginuity!$A$17),TRIM(C56)=TRIM(Enginuity!$A$18)),
      TRIM(B56)=TRIM(Enginuity!$A$17)
    )
  ),
  ROW(),
  ""
)</f>
        <v/>
      </c>
      <c r="BD56" t="s">
        <v>543</v>
      </c>
      <c r="BE56" s="5">
        <v>22</v>
      </c>
    </row>
    <row r="57" spans="1:57" x14ac:dyDescent="0.25">
      <c r="A57" s="10" t="s">
        <v>254</v>
      </c>
      <c r="B57" s="229" t="s">
        <v>3</v>
      </c>
      <c r="C57" s="10" t="s">
        <v>107</v>
      </c>
      <c r="D57" s="14" t="str">
        <v/>
      </c>
      <c r="E57" s="157"/>
      <c r="F57" s="10"/>
      <c r="G57" s="17"/>
      <c r="H57" s="10"/>
      <c r="I57" s="17"/>
      <c r="J57" s="83"/>
      <c r="K57" s="343"/>
      <c r="L57" s="347"/>
      <c r="M57" s="89">
        <v>7</v>
      </c>
      <c r="N57" s="10" t="s">
        <v>176</v>
      </c>
      <c r="O57" s="22" t="str">
        <f>IF(Enginuity!$A$22="Subframe 1"" X 2""", $J$2, "")</f>
        <v/>
      </c>
      <c r="P57" s="106" t="str">
        <f>Enginuity!$A$22</f>
        <v>▼ [Lattice]</v>
      </c>
      <c r="Q57" s="22" t="str">
        <f>IF(O57&lt;&gt;"",1,"")</f>
        <v/>
      </c>
      <c r="U57" s="104" t="str">
        <f>IF(
  AND(
    TRIM(A57)=TRIM(Enginuity!$A$1),
    TRIM(B57)=TRIM(Enginuity!$A$17),
    Q57&lt;&gt;"",
    Q57&lt;&gt;0,
    OR(
      TRIM(C57)=TRIM(Enginuity!$A$18),
      AND(UPPER(TRIM(M57))="STD", TRIM(B57)=TRIM(Enginuity!$A$17))
    ),
    OR(
      AND(LEFT(P57,5)="1-Way", Enginuity!$B$13=1),
      AND(LEFT(P57,5)="2-Way", OR(Enginuity!$B$13=2, Enginuity!$B$13=4)),
      AND(LEFT(P57,5)="3-Way", OR(Enginuity!$B$13=3, Enginuity!$B$13=6)),
      AND(P57="Inner Centre Jamb", OR(Enginuity!$B$13=4, Enginuity!$B$13=6)),
      AND(
        LEFT(P57,5)&lt;&gt;"1-Way",
        LEFT(P57,5)&lt;&gt;"2-Way",
        LEFT(P57,5)&lt;&gt;"3-Way",
        P57&lt;&gt;"Inner Centre Jamb"
      )
    ),
    IF(OR(Enginuity!$A$1="Frameless Glass",Enginuity!$A$1="Metal Work"),
      AND(TRIM(B57)=TRIM(Enginuity!$A$17),TRIM(C57)=TRIM(Enginuity!$A$18)),
      TRIM(B57)=TRIM(Enginuity!$A$17)
    )
  ),
  ROW(),
  ""
)</f>
        <v/>
      </c>
      <c r="BD57" t="s">
        <v>555</v>
      </c>
      <c r="BE57" s="5">
        <v>52</v>
      </c>
    </row>
    <row r="58" spans="1:57" x14ac:dyDescent="0.25">
      <c r="A58" s="10" t="s">
        <v>254</v>
      </c>
      <c r="B58" s="229" t="s">
        <v>3</v>
      </c>
      <c r="C58" s="10" t="s">
        <v>107</v>
      </c>
      <c r="D58" s="14" t="str">
        <v/>
      </c>
      <c r="E58" s="157"/>
      <c r="F58" s="10"/>
      <c r="G58" s="17"/>
      <c r="H58" s="10"/>
      <c r="I58" s="17"/>
      <c r="J58" s="83"/>
      <c r="K58" s="343"/>
      <c r="L58" s="347"/>
      <c r="M58" s="89">
        <v>8</v>
      </c>
      <c r="N58" s="10"/>
      <c r="O58" s="22"/>
      <c r="P58" s="14"/>
      <c r="Q58" s="22" t="str">
        <f>IF(O58&lt;&gt;"",1,"")</f>
        <v/>
      </c>
      <c r="U58" s="104" t="str">
        <f>IF(
  AND(
    TRIM(A58)=TRIM(Enginuity!$A$1),
    TRIM(B58)=TRIM(Enginuity!$A$17),
    Q58&lt;&gt;"",
    Q58&lt;&gt;0,
    OR(
      TRIM(C58)=TRIM(Enginuity!$A$18),
      AND(UPPER(TRIM(M58))="STD", TRIM(B58)=TRIM(Enginuity!$A$17))
    ),
    OR(
      AND(LEFT(P58,5)="1-Way", Enginuity!$B$13=1),
      AND(LEFT(P58,5)="2-Way", OR(Enginuity!$B$13=2, Enginuity!$B$13=4)),
      AND(LEFT(P58,5)="3-Way", OR(Enginuity!$B$13=3, Enginuity!$B$13=6)),
      AND(P58="Inner Centre Jamb", OR(Enginuity!$B$13=4, Enginuity!$B$13=6)),
      AND(
        LEFT(P58,5)&lt;&gt;"1-Way",
        LEFT(P58,5)&lt;&gt;"2-Way",
        LEFT(P58,5)&lt;&gt;"3-Way",
        P58&lt;&gt;"Inner Centre Jamb"
      )
    ),
    IF(OR(Enginuity!$A$1="Frameless Glass",Enginuity!$A$1="Metal Work"),
      AND(TRIM(B58)=TRIM(Enginuity!$A$17),TRIM(C58)=TRIM(Enginuity!$A$18)),
      TRIM(B58)=TRIM(Enginuity!$A$17)
    )
  ),
  ROW(),
  ""
)</f>
        <v/>
      </c>
      <c r="BD58" t="s">
        <v>551</v>
      </c>
      <c r="BE58" s="5">
        <v>32.5</v>
      </c>
    </row>
    <row r="59" spans="1:57" x14ac:dyDescent="0.25">
      <c r="A59" s="10" t="s">
        <v>254</v>
      </c>
      <c r="B59" s="229" t="s">
        <v>3</v>
      </c>
      <c r="C59" s="10" t="s">
        <v>107</v>
      </c>
      <c r="D59" s="14" t="str">
        <v/>
      </c>
      <c r="E59" s="157"/>
      <c r="F59" s="10"/>
      <c r="G59" s="17"/>
      <c r="H59" s="10"/>
      <c r="I59" s="17"/>
      <c r="J59" s="83"/>
      <c r="K59" s="343"/>
      <c r="L59" s="347"/>
      <c r="M59" s="89">
        <v>9</v>
      </c>
      <c r="N59" s="10"/>
      <c r="O59" s="22"/>
      <c r="P59" s="14"/>
      <c r="Q59" s="83"/>
      <c r="U59" s="104" t="str">
        <f>IF(
  AND(
    TRIM(A59)=TRIM(Enginuity!$A$1),
    TRIM(B59)=TRIM(Enginuity!$A$17),
    Q59&lt;&gt;"",
    Q59&lt;&gt;0,
    OR(
      TRIM(C59)=TRIM(Enginuity!$A$18),
      AND(UPPER(TRIM(M59))="STD", TRIM(B59)=TRIM(Enginuity!$A$17))
    ),
    OR(
      AND(LEFT(P59,5)="1-Way", Enginuity!$B$13=1),
      AND(LEFT(P59,5)="2-Way", OR(Enginuity!$B$13=2, Enginuity!$B$13=4)),
      AND(LEFT(P59,5)="3-Way", OR(Enginuity!$B$13=3, Enginuity!$B$13=6)),
      AND(P59="Inner Centre Jamb", OR(Enginuity!$B$13=4, Enginuity!$B$13=6)),
      AND(
        LEFT(P59,5)&lt;&gt;"1-Way",
        LEFT(P59,5)&lt;&gt;"2-Way",
        LEFT(P59,5)&lt;&gt;"3-Way",
        P59&lt;&gt;"Inner Centre Jamb"
      )
    ),
    IF(OR(Enginuity!$A$1="Frameless Glass",Enginuity!$A$1="Metal Work"),
      AND(TRIM(B59)=TRIM(Enginuity!$A$17),TRIM(C59)=TRIM(Enginuity!$A$18)),
      TRIM(B59)=TRIM(Enginuity!$A$17)
    )
  ),
  ROW(),
  ""
)</f>
        <v/>
      </c>
      <c r="BD59" t="s">
        <v>557</v>
      </c>
      <c r="BE59" s="5">
        <v>47</v>
      </c>
    </row>
    <row r="60" spans="1:57" x14ac:dyDescent="0.25">
      <c r="A60" s="17" t="s">
        <v>254</v>
      </c>
      <c r="B60" s="230" t="s">
        <v>3</v>
      </c>
      <c r="C60" s="17"/>
      <c r="D60" s="18" t="str">
        <v/>
      </c>
      <c r="E60" s="238"/>
      <c r="F60" s="17"/>
      <c r="G60" s="17"/>
      <c r="H60" s="10"/>
      <c r="I60" s="17"/>
      <c r="J60" s="83"/>
      <c r="K60" s="343"/>
      <c r="L60" s="347"/>
      <c r="M60" s="90">
        <v>10</v>
      </c>
      <c r="N60" s="17"/>
      <c r="O60" s="25"/>
      <c r="P60" s="18"/>
      <c r="Q60" s="84"/>
      <c r="U60" s="104" t="str">
        <f>IF(
  AND(
    TRIM(A60)=TRIM(Enginuity!$A$1),
    TRIM(B60)=TRIM(Enginuity!$A$17),
    Q60&lt;&gt;"",
    Q60&lt;&gt;0,
    OR(
      TRIM(C60)=TRIM(Enginuity!$A$18),
      AND(UPPER(TRIM(M60))="STD", TRIM(B60)=TRIM(Enginuity!$A$17))
    ),
    OR(
      AND(LEFT(P60,5)="1-Way", Enginuity!$B$13=1),
      AND(LEFT(P60,5)="2-Way", OR(Enginuity!$B$13=2, Enginuity!$B$13=4)),
      AND(LEFT(P60,5)="3-Way", OR(Enginuity!$B$13=3, Enginuity!$B$13=6)),
      AND(P60="Inner Centre Jamb", OR(Enginuity!$B$13=4, Enginuity!$B$13=6)),
      AND(
        LEFT(P60,5)&lt;&gt;"1-Way",
        LEFT(P60,5)&lt;&gt;"2-Way",
        LEFT(P60,5)&lt;&gt;"3-Way",
        P60&lt;&gt;"Inner Centre Jamb"
      )
    ),
    IF(OR(Enginuity!$A$1="Frameless Glass",Enginuity!$A$1="Metal Work"),
      AND(TRIM(B60)=TRIM(Enginuity!$A$17),TRIM(C60)=TRIM(Enginuity!$A$18)),
      TRIM(B60)=TRIM(Enginuity!$A$17)
    )
  ),
  ROW(),
  ""
)</f>
        <v/>
      </c>
      <c r="BD60" t="s">
        <v>560</v>
      </c>
      <c r="BE60" s="5">
        <v>37</v>
      </c>
    </row>
    <row r="61" spans="1:57" x14ac:dyDescent="0.25">
      <c r="A61" s="10" t="s">
        <v>254</v>
      </c>
      <c r="B61" s="229" t="s">
        <v>3</v>
      </c>
      <c r="C61" s="10" t="s">
        <v>97</v>
      </c>
      <c r="D61" s="14"/>
      <c r="E61" s="157" t="s">
        <v>257</v>
      </c>
      <c r="F61" s="14" t="s">
        <v>352</v>
      </c>
      <c r="G61" s="17"/>
      <c r="H61" s="10"/>
      <c r="I61" s="17"/>
      <c r="J61" s="83"/>
      <c r="K61" s="344">
        <v>0.54644999999999999</v>
      </c>
      <c r="L61" s="347">
        <v>609.6</v>
      </c>
      <c r="M61" s="89">
        <v>11</v>
      </c>
      <c r="N61" s="10" t="s">
        <v>103</v>
      </c>
      <c r="O61" s="22">
        <v>2.86</v>
      </c>
      <c r="P61" s="86" t="str">
        <f>$P$2</f>
        <v>Outer Frame W X H</v>
      </c>
      <c r="Q61" s="83">
        <f>$Q$2</f>
        <v>66</v>
      </c>
      <c r="U61" s="104" t="str">
        <f>IF(
  AND(
    TRIM(A61)=TRIM(Enginuity!$A$1),
    TRIM(B61)=TRIM(Enginuity!$A$17),
    Q61&lt;&gt;"",
    Q61&lt;&gt;0,
    OR(
      TRIM(C61)=TRIM(Enginuity!$A$18),
      AND(UPPER(TRIM(M61))="STD", TRIM(B61)=TRIM(Enginuity!$A$17))
    ),
    OR(
      AND(LEFT(P61,5)="1-Way", Enginuity!$B$13=1),
      AND(LEFT(P61,5)="2-Way", OR(Enginuity!$B$13=2, Enginuity!$B$13=4)),
      AND(LEFT(P61,5)="3-Way", OR(Enginuity!$B$13=3, Enginuity!$B$13=6)),
      AND(P61="Inner Centre Jamb", OR(Enginuity!$B$13=4, Enginuity!$B$13=6)),
      AND(
        LEFT(P61,5)&lt;&gt;"1-Way",
        LEFT(P61,5)&lt;&gt;"2-Way",
        LEFT(P61,5)&lt;&gt;"3-Way",
        P61&lt;&gt;"Inner Centre Jamb"
      )
    ),
    IF(OR(Enginuity!$A$1="Frameless Glass",Enginuity!$A$1="Metal Work"),
      AND(TRIM(B61)=TRIM(Enginuity!$A$17),TRIM(C61)=TRIM(Enginuity!$A$18)),
      TRIM(B61)=TRIM(Enginuity!$A$17)
    )
  ),
  ROW(),
  ""
)</f>
        <v/>
      </c>
      <c r="BD61" t="s">
        <v>564</v>
      </c>
      <c r="BE61" s="5">
        <v>53</v>
      </c>
    </row>
    <row r="62" spans="1:57" x14ac:dyDescent="0.25">
      <c r="A62" s="10" t="s">
        <v>254</v>
      </c>
      <c r="B62" s="229" t="s">
        <v>3</v>
      </c>
      <c r="C62" s="10" t="s">
        <v>97</v>
      </c>
      <c r="D62" s="14"/>
      <c r="E62" s="157" t="s">
        <v>269</v>
      </c>
      <c r="F62" s="14" t="s">
        <v>356</v>
      </c>
      <c r="G62" s="17"/>
      <c r="H62" s="10"/>
      <c r="I62" s="17"/>
      <c r="J62" s="83"/>
      <c r="K62" s="343"/>
      <c r="L62" s="347"/>
      <c r="M62" s="89">
        <v>12</v>
      </c>
      <c r="N62" s="10" t="s">
        <v>103</v>
      </c>
      <c r="O62" s="22">
        <v>3.97</v>
      </c>
      <c r="P62" s="86" t="str">
        <f>$P$3</f>
        <v>Inner Frame</v>
      </c>
      <c r="Q62" s="83">
        <f>$Q$3</f>
        <v>222</v>
      </c>
      <c r="U62" s="104" t="str">
        <f>IF(
  AND(
    TRIM(A62)=TRIM(Enginuity!$A$1),
    TRIM(B62)=TRIM(Enginuity!$A$17),
    Q62&lt;&gt;"",
    Q62&lt;&gt;0,
    OR(
      TRIM(C62)=TRIM(Enginuity!$A$18),
      AND(UPPER(TRIM(M62))="STD", TRIM(B62)=TRIM(Enginuity!$A$17))
    ),
    OR(
      AND(LEFT(P62,5)="1-Way", Enginuity!$B$13=1),
      AND(LEFT(P62,5)="2-Way", OR(Enginuity!$B$13=2, Enginuity!$B$13=4)),
      AND(LEFT(P62,5)="3-Way", OR(Enginuity!$B$13=3, Enginuity!$B$13=6)),
      AND(P62="Inner Centre Jamb", OR(Enginuity!$B$13=4, Enginuity!$B$13=6)),
      AND(
        LEFT(P62,5)&lt;&gt;"1-Way",
        LEFT(P62,5)&lt;&gt;"2-Way",
        LEFT(P62,5)&lt;&gt;"3-Way",
        P62&lt;&gt;"Inner Centre Jamb"
      )
    ),
    IF(OR(Enginuity!$A$1="Frameless Glass",Enginuity!$A$1="Metal Work"),
      AND(TRIM(B62)=TRIM(Enginuity!$A$17),TRIM(C62)=TRIM(Enginuity!$A$18)),
      TRIM(B62)=TRIM(Enginuity!$A$17)
    )
  ),
  ROW(),
  ""
)</f>
        <v/>
      </c>
      <c r="BD62" t="s">
        <v>568</v>
      </c>
      <c r="BE62" s="5">
        <v>75</v>
      </c>
    </row>
    <row r="63" spans="1:57" x14ac:dyDescent="0.25">
      <c r="A63" s="10" t="s">
        <v>254</v>
      </c>
      <c r="B63" s="229" t="s">
        <v>3</v>
      </c>
      <c r="C63" s="10" t="s">
        <v>97</v>
      </c>
      <c r="D63" s="14"/>
      <c r="E63" s="157"/>
      <c r="F63" s="10"/>
      <c r="G63" s="17"/>
      <c r="H63" s="10"/>
      <c r="I63" s="17"/>
      <c r="J63" s="83"/>
      <c r="K63" s="343"/>
      <c r="L63" s="347"/>
      <c r="M63" s="89">
        <v>13</v>
      </c>
      <c r="N63" s="10" t="s">
        <v>103</v>
      </c>
      <c r="O63" s="22">
        <v>4.18</v>
      </c>
      <c r="P63" s="21" t="str">
        <f>$P$4</f>
        <v>Single Horizontal Mullion ↔</v>
      </c>
      <c r="Q63" s="83" t="str">
        <f>IF(
  OR(
    TRIM(Enginuity!$A$21)="1'H X ?'W X Qty Panel Top Hung (Casement Profile)",
    TRIM(Enginuity!$A$21)="1'H X ?'W X Qty Panel Top Fix (Casement Profile)"
  ),
  Enginuity!$B$6,
  ""
)</f>
        <v/>
      </c>
      <c r="U63" s="104" t="str">
        <f>IF(
  AND(
    TRIM(A63)=TRIM(Enginuity!$A$1),
    TRIM(B63)=TRIM(Enginuity!$A$17),
    Q63&lt;&gt;"",
    Q63&lt;&gt;0,
    OR(
      TRIM(C63)=TRIM(Enginuity!$A$18),
      AND(UPPER(TRIM(M63))="STD", TRIM(B63)=TRIM(Enginuity!$A$17))
    ),
    OR(
      AND(LEFT(P63,5)="1-Way", Enginuity!$B$13=1),
      AND(LEFT(P63,5)="2-Way", OR(Enginuity!$B$13=2, Enginuity!$B$13=4)),
      AND(LEFT(P63,5)="3-Way", OR(Enginuity!$B$13=3, Enginuity!$B$13=6)),
      AND(P63="Inner Centre Jamb", OR(Enginuity!$B$13=4, Enginuity!$B$13=6)),
      AND(
        LEFT(P63,5)&lt;&gt;"1-Way",
        LEFT(P63,5)&lt;&gt;"2-Way",
        LEFT(P63,5)&lt;&gt;"3-Way",
        P63&lt;&gt;"Inner Centre Jamb"
      )
    ),
    IF(OR(Enginuity!$A$1="Frameless Glass",Enginuity!$A$1="Metal Work"),
      AND(TRIM(B63)=TRIM(Enginuity!$A$17),TRIM(C63)=TRIM(Enginuity!$A$18)),
      TRIM(B63)=TRIM(Enginuity!$A$17)
    )
  ),
  ROW(),
  ""
)</f>
        <v/>
      </c>
      <c r="BD63" t="s">
        <v>571</v>
      </c>
      <c r="BE63" s="5">
        <v>95</v>
      </c>
    </row>
    <row r="64" spans="1:57" x14ac:dyDescent="0.25">
      <c r="A64" s="10" t="s">
        <v>254</v>
      </c>
      <c r="B64" s="229" t="s">
        <v>3</v>
      </c>
      <c r="C64" s="10" t="s">
        <v>97</v>
      </c>
      <c r="D64" s="14"/>
      <c r="E64" s="157"/>
      <c r="F64" s="10"/>
      <c r="G64" s="17"/>
      <c r="H64" s="10"/>
      <c r="I64" s="17"/>
      <c r="J64" s="83"/>
      <c r="K64" s="343"/>
      <c r="L64" s="347"/>
      <c r="M64" s="89">
        <v>14</v>
      </c>
      <c r="N64" s="10" t="s">
        <v>103</v>
      </c>
      <c r="O64" s="22">
        <v>4.18</v>
      </c>
      <c r="P64" s="21" t="str">
        <f>$P$5</f>
        <v>Single Vertical Mullion ↕</v>
      </c>
      <c r="Q64" s="83">
        <f>IF(AND(Enginuity!$B$7&gt;0, Enginuity!$B$13&gt;1), (Enginuity!$B$13 - 1) * Enginuity!$B$7, "")</f>
        <v>78</v>
      </c>
      <c r="U64" s="104" t="str">
        <f>IF(
  AND(
    TRIM(A64)=TRIM(Enginuity!$A$1),
    TRIM(B64)=TRIM(Enginuity!$A$17),
    Q64&lt;&gt;"",
    Q64&lt;&gt;0,
    OR(
      TRIM(C64)=TRIM(Enginuity!$A$18),
      AND(UPPER(TRIM(M64))="STD", TRIM(B64)=TRIM(Enginuity!$A$17))
    ),
    OR(
      AND(LEFT(P64,5)="1-Way", Enginuity!$B$13=1),
      AND(LEFT(P64,5)="2-Way", OR(Enginuity!$B$13=2, Enginuity!$B$13=4)),
      AND(LEFT(P64,5)="3-Way", OR(Enginuity!$B$13=3, Enginuity!$B$13=6)),
      AND(P64="Inner Centre Jamb", OR(Enginuity!$B$13=4, Enginuity!$B$13=6)),
      AND(
        LEFT(P64,5)&lt;&gt;"1-Way",
        LEFT(P64,5)&lt;&gt;"2-Way",
        LEFT(P64,5)&lt;&gt;"3-Way",
        P64&lt;&gt;"Inner Centre Jamb"
      )
    ),
    IF(OR(Enginuity!$A$1="Frameless Glass",Enginuity!$A$1="Metal Work"),
      AND(TRIM(B64)=TRIM(Enginuity!$A$17),TRIM(C64)=TRIM(Enginuity!$A$18)),
      TRIM(B64)=TRIM(Enginuity!$A$17)
    )
  ),
  ROW(),
  ""
)</f>
        <v/>
      </c>
      <c r="BD64" t="s">
        <v>575</v>
      </c>
      <c r="BE64" s="5">
        <v>110</v>
      </c>
    </row>
    <row r="65" spans="1:57" x14ac:dyDescent="0.25">
      <c r="A65" s="10" t="s">
        <v>254</v>
      </c>
      <c r="B65" s="229" t="s">
        <v>3</v>
      </c>
      <c r="C65" s="10" t="s">
        <v>97</v>
      </c>
      <c r="D65" s="14"/>
      <c r="E65" s="157"/>
      <c r="F65" s="10"/>
      <c r="G65" s="17"/>
      <c r="H65" s="10"/>
      <c r="I65" s="17"/>
      <c r="J65" s="83"/>
      <c r="K65" s="343"/>
      <c r="L65" s="347"/>
      <c r="M65" s="89">
        <v>15</v>
      </c>
      <c r="N65" s="10" t="s">
        <v>176</v>
      </c>
      <c r="O65" s="22" t="str">
        <f>IF(Enginuity!$A$20="", "",
 IF(Enginuity!$A$20="Lattice Design", $F$9,
 IF(Enginuity!$A$20="Lattice Design 12 Box / Panel", $F$10,
 ""))
)</f>
        <v/>
      </c>
      <c r="P65" s="5" t="str">
        <f>Enginuity!$A$20</f>
        <v>Z-Louvre Blade - 5"</v>
      </c>
      <c r="Q65" s="22" t="str">
        <f>IF(O55&lt;&gt;"",1,"")</f>
        <v/>
      </c>
      <c r="U65" s="104" t="str">
        <f>IF(
  AND(
    TRIM(A65)=TRIM(Enginuity!$A$1),
    TRIM(B65)=TRIM(Enginuity!$A$17),
    Q65&lt;&gt;"",
    Q65&lt;&gt;0,
    OR(
      TRIM(C65)=TRIM(Enginuity!$A$18),
      AND(UPPER(TRIM(M65))="STD", TRIM(B65)=TRIM(Enginuity!$A$17))
    ),
    OR(
      AND(LEFT(P65,5)="1-Way", Enginuity!$B$13=1),
      AND(LEFT(P65,5)="2-Way", OR(Enginuity!$B$13=2, Enginuity!$B$13=4)),
      AND(LEFT(P65,5)="3-Way", OR(Enginuity!$B$13=3, Enginuity!$B$13=6)),
      AND(P65="Inner Centre Jamb", OR(Enginuity!$B$13=4, Enginuity!$B$13=6)),
      AND(
        LEFT(P65,5)&lt;&gt;"1-Way",
        LEFT(P65,5)&lt;&gt;"2-Way",
        LEFT(P65,5)&lt;&gt;"3-Way",
        P65&lt;&gt;"Inner Centre Jamb"
      )
    ),
    IF(OR(Enginuity!$A$1="Frameless Glass",Enginuity!$A$1="Metal Work"),
      AND(TRIM(B65)=TRIM(Enginuity!$A$17),TRIM(C65)=TRIM(Enginuity!$A$18)),
      TRIM(B65)=TRIM(Enginuity!$A$17)
    )
  ),
  ROW(),
  ""
)</f>
        <v/>
      </c>
      <c r="BD65" t="s">
        <v>579</v>
      </c>
      <c r="BE65" s="5">
        <v>75</v>
      </c>
    </row>
    <row r="66" spans="1:57" x14ac:dyDescent="0.25">
      <c r="A66" s="10" t="s">
        <v>254</v>
      </c>
      <c r="B66" s="229" t="s">
        <v>3</v>
      </c>
      <c r="C66" s="10" t="s">
        <v>97</v>
      </c>
      <c r="D66" s="14"/>
      <c r="E66" s="157"/>
      <c r="F66" s="10"/>
      <c r="G66" s="17"/>
      <c r="H66" s="10"/>
      <c r="I66" s="17"/>
      <c r="J66" s="83"/>
      <c r="K66" s="343"/>
      <c r="L66" s="347"/>
      <c r="M66" s="89">
        <v>16</v>
      </c>
      <c r="N66" s="10" t="s">
        <v>176</v>
      </c>
      <c r="O66" s="22" t="str">
        <f>IF(Enginuity!$A$21="12""H Top Hung Standard Casement Profile", $F$7,
IF(Enginuity!$A$21="12""H Top / Bottom Fix Standard Casement Profile", $F$8,
""))</f>
        <v/>
      </c>
      <c r="P66" s="106" t="str">
        <f>Enginuity!$A$21</f>
        <v>SF 4"</v>
      </c>
      <c r="Q66" s="22" t="str">
        <f>IF(O66&lt;&gt;"",1,"")</f>
        <v/>
      </c>
      <c r="U66" s="104" t="str">
        <f>IF(
  AND(
    TRIM(A66)=TRIM(Enginuity!$A$1),
    TRIM(B66)=TRIM(Enginuity!$A$17),
    Q66&lt;&gt;"",
    Q66&lt;&gt;0,
    OR(
      TRIM(C66)=TRIM(Enginuity!$A$18),
      AND(UPPER(TRIM(M66))="STD", TRIM(B66)=TRIM(Enginuity!$A$17))
    ),
    OR(
      AND(LEFT(P66,5)="1-Way", Enginuity!$B$13=1),
      AND(LEFT(P66,5)="2-Way", OR(Enginuity!$B$13=2, Enginuity!$B$13=4)),
      AND(LEFT(P66,5)="3-Way", OR(Enginuity!$B$13=3, Enginuity!$B$13=6)),
      AND(P66="Inner Centre Jamb", OR(Enginuity!$B$13=4, Enginuity!$B$13=6)),
      AND(
        LEFT(P66,5)&lt;&gt;"1-Way",
        LEFT(P66,5)&lt;&gt;"2-Way",
        LEFT(P66,5)&lt;&gt;"3-Way",
        P66&lt;&gt;"Inner Centre Jamb"
      )
    ),
    IF(OR(Enginuity!$A$1="Frameless Glass",Enginuity!$A$1="Metal Work"),
      AND(TRIM(B66)=TRIM(Enginuity!$A$17),TRIM(C66)=TRIM(Enginuity!$A$18)),
      TRIM(B66)=TRIM(Enginuity!$A$17)
    )
  ),
  ROW(),
  ""
)</f>
        <v/>
      </c>
      <c r="BD66" t="s">
        <v>582</v>
      </c>
      <c r="BE66" s="5">
        <v>110</v>
      </c>
    </row>
    <row r="67" spans="1:57" x14ac:dyDescent="0.25">
      <c r="A67" s="10" t="s">
        <v>254</v>
      </c>
      <c r="B67" s="229" t="s">
        <v>3</v>
      </c>
      <c r="C67" s="10" t="s">
        <v>97</v>
      </c>
      <c r="D67" s="14"/>
      <c r="E67" s="157"/>
      <c r="F67" s="10"/>
      <c r="G67" s="17"/>
      <c r="H67" s="10"/>
      <c r="I67" s="17"/>
      <c r="J67" s="83"/>
      <c r="K67" s="343"/>
      <c r="L67" s="347"/>
      <c r="M67" s="89">
        <v>17</v>
      </c>
      <c r="N67" s="10" t="s">
        <v>176</v>
      </c>
      <c r="O67" s="22" t="str">
        <f>IF(Enginuity!$A$22="Subframe 1"" X 2""", $J$2, "")</f>
        <v/>
      </c>
      <c r="P67" s="106" t="str">
        <f>Enginuity!$A$22</f>
        <v>▼ [Lattice]</v>
      </c>
      <c r="Q67" s="22" t="str">
        <f>IF(O67&lt;&gt;"",1,"")</f>
        <v/>
      </c>
      <c r="U67" s="104" t="str">
        <f>IF(
  AND(
    TRIM(A67)=TRIM(Enginuity!$A$1),
    TRIM(B67)=TRIM(Enginuity!$A$17),
    Q67&lt;&gt;"",
    Q67&lt;&gt;0,
    OR(
      TRIM(C67)=TRIM(Enginuity!$A$18),
      AND(UPPER(TRIM(M67))="STD", TRIM(B67)=TRIM(Enginuity!$A$17))
    ),
    OR(
      AND(LEFT(P67,5)="1-Way", Enginuity!$B$13=1),
      AND(LEFT(P67,5)="2-Way", OR(Enginuity!$B$13=2, Enginuity!$B$13=4)),
      AND(LEFT(P67,5)="3-Way", OR(Enginuity!$B$13=3, Enginuity!$B$13=6)),
      AND(P67="Inner Centre Jamb", OR(Enginuity!$B$13=4, Enginuity!$B$13=6)),
      AND(
        LEFT(P67,5)&lt;&gt;"1-Way",
        LEFT(P67,5)&lt;&gt;"2-Way",
        LEFT(P67,5)&lt;&gt;"3-Way",
        P67&lt;&gt;"Inner Centre Jamb"
      )
    ),
    IF(OR(Enginuity!$A$1="Frameless Glass",Enginuity!$A$1="Metal Work"),
      AND(TRIM(B67)=TRIM(Enginuity!$A$17),TRIM(C67)=TRIM(Enginuity!$A$18)),
      TRIM(B67)=TRIM(Enginuity!$A$17)
    )
  ),
  ROW(),
  ""
)</f>
        <v/>
      </c>
      <c r="BD67" t="s">
        <v>548</v>
      </c>
      <c r="BE67" s="5">
        <v>37</v>
      </c>
    </row>
    <row r="68" spans="1:57" x14ac:dyDescent="0.25">
      <c r="A68" s="10" t="s">
        <v>254</v>
      </c>
      <c r="B68" s="229" t="s">
        <v>3</v>
      </c>
      <c r="C68" s="10" t="s">
        <v>97</v>
      </c>
      <c r="D68" s="14"/>
      <c r="E68" s="157"/>
      <c r="F68" s="10"/>
      <c r="G68" s="17"/>
      <c r="H68" s="10"/>
      <c r="I68" s="17"/>
      <c r="J68" s="83"/>
      <c r="K68" s="343"/>
      <c r="L68" s="347"/>
      <c r="M68" s="89">
        <v>18</v>
      </c>
      <c r="N68" s="10"/>
      <c r="O68" s="22"/>
      <c r="P68" s="14"/>
      <c r="Q68" s="83"/>
      <c r="U68" s="104" t="str">
        <f>IF(
  AND(
    TRIM(A68)=TRIM(Enginuity!$A$1),
    TRIM(B68)=TRIM(Enginuity!$A$17),
    Q68&lt;&gt;"",
    Q68&lt;&gt;0,
    OR(
      TRIM(C68)=TRIM(Enginuity!$A$18),
      AND(UPPER(TRIM(M68))="STD", TRIM(B68)=TRIM(Enginuity!$A$17))
    ),
    OR(
      AND(LEFT(P68,5)="1-Way", Enginuity!$B$13=1),
      AND(LEFT(P68,5)="2-Way", OR(Enginuity!$B$13=2, Enginuity!$B$13=4)),
      AND(LEFT(P68,5)="3-Way", OR(Enginuity!$B$13=3, Enginuity!$B$13=6)),
      AND(P68="Inner Centre Jamb", OR(Enginuity!$B$13=4, Enginuity!$B$13=6)),
      AND(
        LEFT(P68,5)&lt;&gt;"1-Way",
        LEFT(P68,5)&lt;&gt;"2-Way",
        LEFT(P68,5)&lt;&gt;"3-Way",
        P68&lt;&gt;"Inner Centre Jamb"
      )
    ),
    IF(OR(Enginuity!$A$1="Frameless Glass",Enginuity!$A$1="Metal Work"),
      AND(TRIM(B68)=TRIM(Enginuity!$A$17),TRIM(C68)=TRIM(Enginuity!$A$18)),
      TRIM(B68)=TRIM(Enginuity!$A$17)
    )
  ),
  ROW(),
  ""
)</f>
        <v/>
      </c>
      <c r="BD68" t="s">
        <v>544</v>
      </c>
      <c r="BE68" s="5">
        <v>25</v>
      </c>
    </row>
    <row r="69" spans="1:57" x14ac:dyDescent="0.25">
      <c r="A69" s="10" t="s">
        <v>254</v>
      </c>
      <c r="B69" s="229" t="s">
        <v>3</v>
      </c>
      <c r="C69" s="10" t="s">
        <v>97</v>
      </c>
      <c r="D69" s="14"/>
      <c r="E69" s="157"/>
      <c r="F69" s="10"/>
      <c r="G69" s="17"/>
      <c r="H69" s="10"/>
      <c r="I69" s="17"/>
      <c r="J69" s="83"/>
      <c r="K69" s="343"/>
      <c r="L69" s="347"/>
      <c r="M69" s="89">
        <v>19</v>
      </c>
      <c r="N69" s="10"/>
      <c r="O69" s="22"/>
      <c r="P69" s="14"/>
      <c r="Q69" s="83"/>
      <c r="U69" s="104" t="str">
        <f>IF(
  AND(
    TRIM(A69)=TRIM(Enginuity!$A$1),
    TRIM(B69)=TRIM(Enginuity!$A$17),
    Q69&lt;&gt;"",
    Q69&lt;&gt;0,
    OR(
      TRIM(C69)=TRIM(Enginuity!$A$18),
      AND(UPPER(TRIM(M69))="STD", TRIM(B69)=TRIM(Enginuity!$A$17))
    ),
    OR(
      AND(LEFT(P69,5)="1-Way", Enginuity!$B$13=1),
      AND(LEFT(P69,5)="2-Way", OR(Enginuity!$B$13=2, Enginuity!$B$13=4)),
      AND(LEFT(P69,5)="3-Way", OR(Enginuity!$B$13=3, Enginuity!$B$13=6)),
      AND(P69="Inner Centre Jamb", OR(Enginuity!$B$13=4, Enginuity!$B$13=6)),
      AND(
        LEFT(P69,5)&lt;&gt;"1-Way",
        LEFT(P69,5)&lt;&gt;"2-Way",
        LEFT(P69,5)&lt;&gt;"3-Way",
        P69&lt;&gt;"Inner Centre Jamb"
      )
    ),
    IF(OR(Enginuity!$A$1="Frameless Glass",Enginuity!$A$1="Metal Work"),
      AND(TRIM(B69)=TRIM(Enginuity!$A$17),TRIM(C69)=TRIM(Enginuity!$A$18)),
      TRIM(B69)=TRIM(Enginuity!$A$17)
    )
  ),
  ROW(),
  ""
)</f>
        <v/>
      </c>
      <c r="BD69" t="s">
        <v>552</v>
      </c>
      <c r="BE69" s="5">
        <v>38</v>
      </c>
    </row>
    <row r="70" spans="1:57" x14ac:dyDescent="0.25">
      <c r="A70" s="10" t="s">
        <v>254</v>
      </c>
      <c r="B70" s="229" t="s">
        <v>3</v>
      </c>
      <c r="C70" s="10"/>
      <c r="D70" s="14"/>
      <c r="E70" s="157"/>
      <c r="F70" s="10"/>
      <c r="G70" s="17"/>
      <c r="H70" s="10"/>
      <c r="I70" s="17"/>
      <c r="J70" s="83"/>
      <c r="K70" s="343"/>
      <c r="L70" s="347"/>
      <c r="M70" s="89">
        <v>20</v>
      </c>
      <c r="N70" s="10"/>
      <c r="O70" s="22"/>
      <c r="P70" s="14"/>
      <c r="Q70" s="83"/>
      <c r="U70" s="104" t="str">
        <f>IF(
  AND(
    TRIM(A70)=TRIM(Enginuity!$A$1),
    TRIM(B70)=TRIM(Enginuity!$A$17),
    Q70&lt;&gt;"",
    Q70&lt;&gt;0,
    OR(
      TRIM(C70)=TRIM(Enginuity!$A$18),
      AND(UPPER(TRIM(M70))="STD", TRIM(B70)=TRIM(Enginuity!$A$17))
    ),
    OR(
      AND(LEFT(P70,5)="1-Way", Enginuity!$B$13=1),
      AND(LEFT(P70,5)="2-Way", OR(Enginuity!$B$13=2, Enginuity!$B$13=4)),
      AND(LEFT(P70,5)="3-Way", OR(Enginuity!$B$13=3, Enginuity!$B$13=6)),
      AND(P70="Inner Centre Jamb", OR(Enginuity!$B$13=4, Enginuity!$B$13=6)),
      AND(
        LEFT(P70,5)&lt;&gt;"1-Way",
        LEFT(P70,5)&lt;&gt;"2-Way",
        LEFT(P70,5)&lt;&gt;"3-Way",
        P70&lt;&gt;"Inner Centre Jamb"
      )
    ),
    IF(OR(Enginuity!$A$1="Frameless Glass",Enginuity!$A$1="Metal Work"),
      AND(TRIM(B70)=TRIM(Enginuity!$A$17),TRIM(C70)=TRIM(Enginuity!$A$18)),
      TRIM(B70)=TRIM(Enginuity!$A$17)
    )
  ),
  ROW(),
  ""
)</f>
        <v/>
      </c>
      <c r="BD70" t="s">
        <v>553</v>
      </c>
      <c r="BE70" s="5">
        <v>50</v>
      </c>
    </row>
    <row r="71" spans="1:57" x14ac:dyDescent="0.25">
      <c r="A71" s="10" t="s">
        <v>254</v>
      </c>
      <c r="B71" s="229" t="s">
        <v>3</v>
      </c>
      <c r="C71" s="10"/>
      <c r="D71" s="14"/>
      <c r="E71" s="157"/>
      <c r="F71" s="10"/>
      <c r="G71" s="17"/>
      <c r="H71" s="10"/>
      <c r="I71" s="17"/>
      <c r="J71" s="83"/>
      <c r="K71" s="343"/>
      <c r="L71" s="347"/>
      <c r="M71" s="89">
        <v>21</v>
      </c>
      <c r="N71" s="10"/>
      <c r="O71" s="22"/>
      <c r="P71" s="14"/>
      <c r="Q71" s="83"/>
      <c r="U71" s="104" t="str">
        <f>IF(
  AND(
    TRIM(A71)=TRIM(Enginuity!$A$1),
    TRIM(B71)=TRIM(Enginuity!$A$17),
    Q71&lt;&gt;"",
    Q71&lt;&gt;0,
    OR(
      TRIM(C71)=TRIM(Enginuity!$A$18),
      AND(UPPER(TRIM(M71))="STD", TRIM(B71)=TRIM(Enginuity!$A$17))
    ),
    OR(
      AND(LEFT(P71,5)="1-Way", Enginuity!$B$13=1),
      AND(LEFT(P71,5)="2-Way", OR(Enginuity!$B$13=2, Enginuity!$B$13=4)),
      AND(LEFT(P71,5)="3-Way", OR(Enginuity!$B$13=3, Enginuity!$B$13=6)),
      AND(P71="Inner Centre Jamb", OR(Enginuity!$B$13=4, Enginuity!$B$13=6)),
      AND(
        LEFT(P71,5)&lt;&gt;"1-Way",
        LEFT(P71,5)&lt;&gt;"2-Way",
        LEFT(P71,5)&lt;&gt;"3-Way",
        P71&lt;&gt;"Inner Centre Jamb"
      )
    ),
    IF(OR(Enginuity!$A$1="Frameless Glass",Enginuity!$A$1="Metal Work"),
      AND(TRIM(B71)=TRIM(Enginuity!$A$17),TRIM(C71)=TRIM(Enginuity!$A$18)),
      TRIM(B71)=TRIM(Enginuity!$A$17)
    )
  ),
  ROW(),
  ""
)</f>
        <v/>
      </c>
      <c r="BD71" t="s">
        <v>558</v>
      </c>
      <c r="BE71" s="5">
        <v>57</v>
      </c>
    </row>
    <row r="72" spans="1:57" x14ac:dyDescent="0.25">
      <c r="A72" s="10" t="s">
        <v>254</v>
      </c>
      <c r="B72" s="229" t="s">
        <v>3</v>
      </c>
      <c r="C72" s="10"/>
      <c r="D72" s="14"/>
      <c r="E72" s="157"/>
      <c r="F72" s="10"/>
      <c r="G72" s="17"/>
      <c r="H72" s="10"/>
      <c r="I72" s="17"/>
      <c r="J72" s="83"/>
      <c r="K72" s="343"/>
      <c r="L72" s="347"/>
      <c r="M72" s="89">
        <v>22</v>
      </c>
      <c r="N72" s="10"/>
      <c r="O72" s="22"/>
      <c r="P72" s="36"/>
      <c r="Q72" s="83"/>
      <c r="U72" s="104" t="str">
        <f>IF(
  AND(
    TRIM(A72)=TRIM(Enginuity!$A$1),
    TRIM(B72)=TRIM(Enginuity!$A$17),
    Q72&lt;&gt;"",
    Q72&lt;&gt;0,
    OR(
      TRIM(C72)=TRIM(Enginuity!$A$18),
      AND(UPPER(TRIM(M72))="STD", TRIM(B72)=TRIM(Enginuity!$A$17))
    ),
    OR(
      AND(LEFT(P72,5)="1-Way", Enginuity!$B$13=1),
      AND(LEFT(P72,5)="2-Way", OR(Enginuity!$B$13=2, Enginuity!$B$13=4)),
      AND(LEFT(P72,5)="3-Way", OR(Enginuity!$B$13=3, Enginuity!$B$13=6)),
      AND(P72="Inner Centre Jamb", OR(Enginuity!$B$13=4, Enginuity!$B$13=6)),
      AND(
        LEFT(P72,5)&lt;&gt;"1-Way",
        LEFT(P72,5)&lt;&gt;"2-Way",
        LEFT(P72,5)&lt;&gt;"3-Way",
        P72&lt;&gt;"Inner Centre Jamb"
      )
    ),
    IF(OR(Enginuity!$A$1="Frameless Glass",Enginuity!$A$1="Metal Work"),
      AND(TRIM(B72)=TRIM(Enginuity!$A$17),TRIM(C72)=TRIM(Enginuity!$A$18)),
      TRIM(B72)=TRIM(Enginuity!$A$17)
    )
  ),
  ROW(),
  ""
)</f>
        <v/>
      </c>
      <c r="BD72" t="s">
        <v>561</v>
      </c>
      <c r="BE72" s="5">
        <v>45</v>
      </c>
    </row>
    <row r="73" spans="1:57" x14ac:dyDescent="0.25">
      <c r="A73" s="10" t="s">
        <v>254</v>
      </c>
      <c r="B73" s="229" t="s">
        <v>3</v>
      </c>
      <c r="C73" s="10"/>
      <c r="D73" s="14"/>
      <c r="E73" s="157"/>
      <c r="F73" s="10"/>
      <c r="G73" s="17"/>
      <c r="H73" s="10"/>
      <c r="I73" s="17"/>
      <c r="J73" s="83"/>
      <c r="K73" s="343"/>
      <c r="L73" s="347"/>
      <c r="M73" s="89">
        <v>23</v>
      </c>
      <c r="N73" s="10"/>
      <c r="O73" s="22"/>
      <c r="P73" s="36"/>
      <c r="Q73" s="83"/>
      <c r="U73" s="104" t="str">
        <f>IF(
  AND(
    TRIM(A73)=TRIM(Enginuity!$A$1),
    TRIM(B73)=TRIM(Enginuity!$A$17),
    Q73&lt;&gt;"",
    Q73&lt;&gt;0,
    OR(
      TRIM(C73)=TRIM(Enginuity!$A$18),
      AND(UPPER(TRIM(M73))="STD", TRIM(B73)=TRIM(Enginuity!$A$17))
    ),
    OR(
      AND(LEFT(P73,5)="1-Way", Enginuity!$B$13=1),
      AND(LEFT(P73,5)="2-Way", OR(Enginuity!$B$13=2, Enginuity!$B$13=4)),
      AND(LEFT(P73,5)="3-Way", OR(Enginuity!$B$13=3, Enginuity!$B$13=6)),
      AND(P73="Inner Centre Jamb", OR(Enginuity!$B$13=4, Enginuity!$B$13=6)),
      AND(
        LEFT(P73,5)&lt;&gt;"1-Way",
        LEFT(P73,5)&lt;&gt;"2-Way",
        LEFT(P73,5)&lt;&gt;"3-Way",
        P73&lt;&gt;"Inner Centre Jamb"
      )
    ),
    IF(OR(Enginuity!$A$1="Frameless Glass",Enginuity!$A$1="Metal Work"),
      AND(TRIM(B73)=TRIM(Enginuity!$A$17),TRIM(C73)=TRIM(Enginuity!$A$18)),
      TRIM(B73)=TRIM(Enginuity!$A$17)
    )
  ),
  ROW(),
  ""
)</f>
        <v/>
      </c>
      <c r="BD73" t="s">
        <v>569</v>
      </c>
      <c r="BE73" s="5">
        <v>83</v>
      </c>
    </row>
    <row r="74" spans="1:57" x14ac:dyDescent="0.25">
      <c r="A74" s="10" t="s">
        <v>254</v>
      </c>
      <c r="B74" s="229" t="s">
        <v>3</v>
      </c>
      <c r="C74" s="10"/>
      <c r="D74" s="14"/>
      <c r="E74" s="157"/>
      <c r="F74" s="10"/>
      <c r="G74" s="17"/>
      <c r="H74" s="10"/>
      <c r="I74" s="17"/>
      <c r="J74" s="83"/>
      <c r="K74" s="343"/>
      <c r="L74" s="347"/>
      <c r="M74" s="89">
        <v>24</v>
      </c>
      <c r="N74" s="10"/>
      <c r="O74" s="22"/>
      <c r="P74" s="36"/>
      <c r="Q74" s="83"/>
      <c r="U74" s="104" t="str">
        <f>IF(
  AND(
    TRIM(A74)=TRIM(Enginuity!$A$1),
    TRIM(B74)=TRIM(Enginuity!$A$17),
    Q74&lt;&gt;"",
    Q74&lt;&gt;0,
    OR(
      TRIM(C74)=TRIM(Enginuity!$A$18),
      AND(UPPER(TRIM(M74))="STD", TRIM(B74)=TRIM(Enginuity!$A$17))
    ),
    OR(
      AND(LEFT(P74,5)="1-Way", Enginuity!$B$13=1),
      AND(LEFT(P74,5)="2-Way", OR(Enginuity!$B$13=2, Enginuity!$B$13=4)),
      AND(LEFT(P74,5)="3-Way", OR(Enginuity!$B$13=3, Enginuity!$B$13=6)),
      AND(P74="Inner Centre Jamb", OR(Enginuity!$B$13=4, Enginuity!$B$13=6)),
      AND(
        LEFT(P74,5)&lt;&gt;"1-Way",
        LEFT(P74,5)&lt;&gt;"2-Way",
        LEFT(P74,5)&lt;&gt;"3-Way",
        P74&lt;&gt;"Inner Centre Jamb"
      )
    ),
    IF(OR(Enginuity!$A$1="Frameless Glass",Enginuity!$A$1="Metal Work"),
      AND(TRIM(B74)=TRIM(Enginuity!$A$17),TRIM(C74)=TRIM(Enginuity!$A$18)),
      TRIM(B74)=TRIM(Enginuity!$A$17)
    )
  ),
  ROW(),
  ""
)</f>
        <v/>
      </c>
      <c r="BD74" t="s">
        <v>572</v>
      </c>
      <c r="BE74" s="5">
        <v>95</v>
      </c>
    </row>
    <row r="75" spans="1:57" x14ac:dyDescent="0.25">
      <c r="A75" s="10" t="s">
        <v>254</v>
      </c>
      <c r="B75" s="229" t="s">
        <v>3</v>
      </c>
      <c r="C75" s="10"/>
      <c r="D75" s="14"/>
      <c r="E75" s="157"/>
      <c r="F75" s="10"/>
      <c r="G75" s="17"/>
      <c r="H75" s="10"/>
      <c r="I75" s="17"/>
      <c r="J75" s="83"/>
      <c r="K75" s="343"/>
      <c r="L75" s="347"/>
      <c r="M75" s="89">
        <v>25</v>
      </c>
      <c r="N75" s="10"/>
      <c r="O75" s="22"/>
      <c r="P75" s="36"/>
      <c r="Q75" s="83"/>
      <c r="U75" s="104" t="str">
        <f>IF(
  AND(
    TRIM(A75)=TRIM(Enginuity!$A$1),
    TRIM(B75)=TRIM(Enginuity!$A$17),
    Q75&lt;&gt;"",
    Q75&lt;&gt;0,
    OR(
      TRIM(C75)=TRIM(Enginuity!$A$18),
      AND(UPPER(TRIM(M75))="STD", TRIM(B75)=TRIM(Enginuity!$A$17))
    ),
    OR(
      AND(LEFT(P75,5)="1-Way", Enginuity!$B$13=1),
      AND(LEFT(P75,5)="2-Way", OR(Enginuity!$B$13=2, Enginuity!$B$13=4)),
      AND(LEFT(P75,5)="3-Way", OR(Enginuity!$B$13=3, Enginuity!$B$13=6)),
      AND(P75="Inner Centre Jamb", OR(Enginuity!$B$13=4, Enginuity!$B$13=6)),
      AND(
        LEFT(P75,5)&lt;&gt;"1-Way",
        LEFT(P75,5)&lt;&gt;"2-Way",
        LEFT(P75,5)&lt;&gt;"3-Way",
        P75&lt;&gt;"Inner Centre Jamb"
      )
    ),
    IF(OR(Enginuity!$A$1="Frameless Glass",Enginuity!$A$1="Metal Work"),
      AND(TRIM(B75)=TRIM(Enginuity!$A$17),TRIM(C75)=TRIM(Enginuity!$A$18)),
      TRIM(B75)=TRIM(Enginuity!$A$17)
    )
  ),
  ROW(),
  ""
)</f>
        <v/>
      </c>
      <c r="BD75" t="s">
        <v>576</v>
      </c>
      <c r="BE75" s="5">
        <v>119</v>
      </c>
    </row>
    <row r="76" spans="1:57" x14ac:dyDescent="0.25">
      <c r="A76" s="10" t="s">
        <v>254</v>
      </c>
      <c r="B76" s="229" t="s">
        <v>3</v>
      </c>
      <c r="C76" s="10"/>
      <c r="D76" s="14"/>
      <c r="E76" s="157"/>
      <c r="F76" s="10"/>
      <c r="G76" s="17"/>
      <c r="H76" s="10"/>
      <c r="I76" s="17"/>
      <c r="J76" s="83"/>
      <c r="K76" s="343"/>
      <c r="L76" s="347"/>
      <c r="M76" s="89">
        <v>26</v>
      </c>
      <c r="N76" s="10"/>
      <c r="O76" s="22"/>
      <c r="P76" s="36"/>
      <c r="Q76" s="83"/>
      <c r="U76" s="104" t="str">
        <f>IF(
  AND(
    TRIM(A76)=TRIM(Enginuity!$A$1),
    TRIM(B76)=TRIM(Enginuity!$A$17),
    Q76&lt;&gt;"",
    Q76&lt;&gt;0,
    OR(
      TRIM(C76)=TRIM(Enginuity!$A$18),
      AND(UPPER(TRIM(M76))="STD", TRIM(B76)=TRIM(Enginuity!$A$17))
    ),
    OR(
      AND(LEFT(P76,5)="1-Way", Enginuity!$B$13=1),
      AND(LEFT(P76,5)="2-Way", OR(Enginuity!$B$13=2, Enginuity!$B$13=4)),
      AND(LEFT(P76,5)="3-Way", OR(Enginuity!$B$13=3, Enginuity!$B$13=6)),
      AND(P76="Inner Centre Jamb", OR(Enginuity!$B$13=4, Enginuity!$B$13=6)),
      AND(
        LEFT(P76,5)&lt;&gt;"1-Way",
        LEFT(P76,5)&lt;&gt;"2-Way",
        LEFT(P76,5)&lt;&gt;"3-Way",
        P76&lt;&gt;"Inner Centre Jamb"
      )
    ),
    IF(OR(Enginuity!$A$1="Frameless Glass",Enginuity!$A$1="Metal Work"),
      AND(TRIM(B76)=TRIM(Enginuity!$A$17),TRIM(C76)=TRIM(Enginuity!$A$18)),
      TRIM(B76)=TRIM(Enginuity!$A$17)
    )
  ),
  ROW(),
  ""
)</f>
        <v/>
      </c>
      <c r="BD76" t="s">
        <v>583</v>
      </c>
      <c r="BE76" s="5">
        <v>130</v>
      </c>
    </row>
    <row r="77" spans="1:57" x14ac:dyDescent="0.25">
      <c r="A77" s="10" t="s">
        <v>254</v>
      </c>
      <c r="B77" s="229" t="s">
        <v>3</v>
      </c>
      <c r="C77" s="10"/>
      <c r="D77" s="14"/>
      <c r="E77" s="157"/>
      <c r="F77" s="10"/>
      <c r="G77" s="17"/>
      <c r="H77" s="10"/>
      <c r="I77" s="17"/>
      <c r="J77" s="83"/>
      <c r="K77" s="343"/>
      <c r="L77" s="347"/>
      <c r="M77" s="89">
        <v>27</v>
      </c>
      <c r="N77" s="10"/>
      <c r="O77" s="22"/>
      <c r="P77" s="36"/>
      <c r="Q77" s="83"/>
      <c r="U77" s="104" t="str">
        <f>IF(
  AND(
    TRIM(A77)=TRIM(Enginuity!$A$1),
    TRIM(B77)=TRIM(Enginuity!$A$17),
    Q77&lt;&gt;"",
    Q77&lt;&gt;0,
    OR(
      TRIM(C77)=TRIM(Enginuity!$A$18),
      AND(UPPER(TRIM(M77))="STD", TRIM(B77)=TRIM(Enginuity!$A$17))
    ),
    OR(
      AND(LEFT(P77,5)="1-Way", Enginuity!$B$13=1),
      AND(LEFT(P77,5)="2-Way", OR(Enginuity!$B$13=2, Enginuity!$B$13=4)),
      AND(LEFT(P77,5)="3-Way", OR(Enginuity!$B$13=3, Enginuity!$B$13=6)),
      AND(P77="Inner Centre Jamb", OR(Enginuity!$B$13=4, Enginuity!$B$13=6)),
      AND(
        LEFT(P77,5)&lt;&gt;"1-Way",
        LEFT(P77,5)&lt;&gt;"2-Way",
        LEFT(P77,5)&lt;&gt;"3-Way",
        P77&lt;&gt;"Inner Centre Jamb"
      )
    ),
    IF(OR(Enginuity!$A$1="Frameless Glass",Enginuity!$A$1="Metal Work"),
      AND(TRIM(B77)=TRIM(Enginuity!$A$17),TRIM(C77)=TRIM(Enginuity!$A$18)),
      TRIM(B77)=TRIM(Enginuity!$A$17)
    )
  ),
  ROW(),
  ""
)</f>
        <v/>
      </c>
      <c r="BD77" t="s">
        <v>549</v>
      </c>
      <c r="BE77" s="5">
        <v>47</v>
      </c>
    </row>
    <row r="78" spans="1:57" x14ac:dyDescent="0.25">
      <c r="A78" s="10" t="s">
        <v>254</v>
      </c>
      <c r="B78" s="229" t="s">
        <v>3</v>
      </c>
      <c r="C78" s="10"/>
      <c r="D78" s="14"/>
      <c r="E78" s="157"/>
      <c r="F78" s="10"/>
      <c r="G78" s="17"/>
      <c r="H78" s="10"/>
      <c r="I78" s="17"/>
      <c r="J78" s="83"/>
      <c r="K78" s="343"/>
      <c r="L78" s="347"/>
      <c r="M78" s="89" t="s">
        <v>117</v>
      </c>
      <c r="N78" s="10" t="s">
        <v>121</v>
      </c>
      <c r="O78" s="22" t="str">
        <f>$O$2</f>
        <v/>
      </c>
      <c r="P78" s="21" t="str">
        <f>Enginuity!$A$19</f>
        <v>W/G</v>
      </c>
      <c r="Q78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78" s="104" t="str">
        <f>IF(
  AND(
    TRIM(A78)=TRIM(Enginuity!$A$1),
    TRIM(B78)=TRIM(Enginuity!$A$17),
    Q78&lt;&gt;"",
    Q78&lt;&gt;0,
    OR(
      TRIM(C78)=TRIM(Enginuity!$A$18),
      AND(UPPER(TRIM(M78))="STD", TRIM(B78)=TRIM(Enginuity!$A$17))
    ),
    OR(
      AND(LEFT(P78,5)="1-Way", Enginuity!$B$13=1),
      AND(LEFT(P78,5)="2-Way", OR(Enginuity!$B$13=2, Enginuity!$B$13=4)),
      AND(LEFT(P78,5)="3-Way", OR(Enginuity!$B$13=3, Enginuity!$B$13=6)),
      AND(P78="Inner Centre Jamb", OR(Enginuity!$B$13=4, Enginuity!$B$13=6)),
      AND(
        LEFT(P78,5)&lt;&gt;"1-Way",
        LEFT(P78,5)&lt;&gt;"2-Way",
        LEFT(P78,5)&lt;&gt;"3-Way",
        P78&lt;&gt;"Inner Centre Jamb"
      )
    ),
    IF(OR(Enginuity!$A$1="Frameless Glass",Enginuity!$A$1="Metal Work"),
      AND(TRIM(B78)=TRIM(Enginuity!$A$17),TRIM(C78)=TRIM(Enginuity!$A$18)),
      TRIM(B78)=TRIM(Enginuity!$A$17)
    )
  ),
  ROW(),
  ""
)</f>
        <v/>
      </c>
      <c r="BD78" t="s">
        <v>562</v>
      </c>
      <c r="BE78" s="5">
        <v>52</v>
      </c>
    </row>
    <row r="79" spans="1:57" x14ac:dyDescent="0.25">
      <c r="A79" s="10" t="s">
        <v>254</v>
      </c>
      <c r="B79" s="229" t="s">
        <v>3</v>
      </c>
      <c r="C79" s="10"/>
      <c r="D79" s="14"/>
      <c r="E79" s="157"/>
      <c r="F79" s="10"/>
      <c r="G79" s="17"/>
      <c r="H79" s="10"/>
      <c r="I79" s="17"/>
      <c r="J79" s="83"/>
      <c r="K79" s="343"/>
      <c r="L79" s="347"/>
      <c r="M79" s="89" t="s">
        <v>117</v>
      </c>
      <c r="N79" s="10" t="s">
        <v>103</v>
      </c>
      <c r="O79" s="22">
        <v>0.20379744565899399</v>
      </c>
      <c r="P79" s="14" t="s">
        <v>115</v>
      </c>
      <c r="Q79" s="83">
        <f>IF(AND(Enginuity!$B$6&gt;0, Enginuity!$B$7&gt;0), ROUND(((Enginuity!$B$6 + Enginuity!$B$7) * 2), 2), "")</f>
        <v>66</v>
      </c>
      <c r="U79" s="104" t="str">
        <f>IF(
  AND(
    TRIM(A79)=TRIM(Enginuity!$A$1),
    TRIM(B79)=TRIM(Enginuity!$A$17),
    Q79&lt;&gt;"",
    Q79&lt;&gt;0,
    OR(
      TRIM(C79)=TRIM(Enginuity!$A$18),
      AND(UPPER(TRIM(M79))="STD", TRIM(B79)=TRIM(Enginuity!$A$17))
    ),
    OR(
      AND(LEFT(P79,5)="1-Way", Enginuity!$B$13=1),
      AND(LEFT(P79,5)="2-Way", OR(Enginuity!$B$13=2, Enginuity!$B$13=4)),
      AND(LEFT(P79,5)="3-Way", OR(Enginuity!$B$13=3, Enginuity!$B$13=6)),
      AND(P79="Inner Centre Jamb", OR(Enginuity!$B$13=4, Enginuity!$B$13=6)),
      AND(
        LEFT(P79,5)&lt;&gt;"1-Way",
        LEFT(P79,5)&lt;&gt;"2-Way",
        LEFT(P79,5)&lt;&gt;"3-Way",
        P79&lt;&gt;"Inner Centre Jamb"
      )
    ),
    IF(OR(Enginuity!$A$1="Frameless Glass",Enginuity!$A$1="Metal Work"),
      AND(TRIM(B79)=TRIM(Enginuity!$A$17),TRIM(C79)=TRIM(Enginuity!$A$18)),
      TRIM(B79)=TRIM(Enginuity!$A$17)
    )
  ),
  ROW(),
  ""
)</f>
        <v/>
      </c>
      <c r="BD79" t="s">
        <v>565</v>
      </c>
      <c r="BE79" s="5">
        <v>69</v>
      </c>
    </row>
    <row r="80" spans="1:57" x14ac:dyDescent="0.25">
      <c r="A80" s="10" t="s">
        <v>254</v>
      </c>
      <c r="B80" s="229" t="s">
        <v>3</v>
      </c>
      <c r="C80" s="10"/>
      <c r="D80" s="14"/>
      <c r="E80" s="157"/>
      <c r="F80" s="10"/>
      <c r="G80" s="17"/>
      <c r="H80" s="10"/>
      <c r="I80" s="17"/>
      <c r="J80" s="83"/>
      <c r="K80" s="343"/>
      <c r="L80" s="347"/>
      <c r="M80" s="89" t="s">
        <v>117</v>
      </c>
      <c r="N80" s="10" t="s">
        <v>103</v>
      </c>
      <c r="O80" s="22">
        <v>0.20379744565899399</v>
      </c>
      <c r="P80" s="14" t="s">
        <v>116</v>
      </c>
      <c r="Q80" s="83">
        <f>IF(AND(Enginuity!$B$6&gt;0, Enginuity!$B$7&gt;0, Enginuity!$B$13&gt;0), (2 * Enginuity!$B$7 * Enginuity!$B$13) + (2 * Enginuity!$B$6), "")</f>
        <v>222</v>
      </c>
      <c r="U80" s="104" t="str">
        <f>IF(
  AND(
    TRIM(A80)=TRIM(Enginuity!$A$1),
    TRIM(B80)=TRIM(Enginuity!$A$17),
    Q80&lt;&gt;"",
    Q80&lt;&gt;0,
    OR(
      TRIM(C80)=TRIM(Enginuity!$A$18),
      AND(UPPER(TRIM(M80))="STD", TRIM(B80)=TRIM(Enginuity!$A$17))
    ),
    OR(
      AND(LEFT(P80,5)="1-Way", Enginuity!$B$13=1),
      AND(LEFT(P80,5)="2-Way", OR(Enginuity!$B$13=2, Enginuity!$B$13=4)),
      AND(LEFT(P80,5)="3-Way", OR(Enginuity!$B$13=3, Enginuity!$B$13=6)),
      AND(P80="Inner Centre Jamb", OR(Enginuity!$B$13=4, Enginuity!$B$13=6)),
      AND(
        LEFT(P80,5)&lt;&gt;"1-Way",
        LEFT(P80,5)&lt;&gt;"2-Way",
        LEFT(P80,5)&lt;&gt;"3-Way",
        P80&lt;&gt;"Inner Centre Jamb"
      )
    ),
    IF(OR(Enginuity!$A$1="Frameless Glass",Enginuity!$A$1="Metal Work"),
      AND(TRIM(B80)=TRIM(Enginuity!$A$17),TRIM(C80)=TRIM(Enginuity!$A$18)),
      TRIM(B80)=TRIM(Enginuity!$A$17)
    )
  ),
  ROW(),
  ""
)</f>
        <v/>
      </c>
      <c r="BD80" t="s">
        <v>570</v>
      </c>
      <c r="BE80" s="5">
        <v>107</v>
      </c>
    </row>
    <row r="81" spans="1:57" x14ac:dyDescent="0.25">
      <c r="A81" s="10" t="s">
        <v>254</v>
      </c>
      <c r="B81" s="229" t="s">
        <v>3</v>
      </c>
      <c r="C81" s="10"/>
      <c r="D81" s="14"/>
      <c r="E81" s="157"/>
      <c r="F81" s="10"/>
      <c r="G81" s="17"/>
      <c r="H81" s="10"/>
      <c r="I81" s="17"/>
      <c r="J81" s="83"/>
      <c r="K81" s="343"/>
      <c r="L81" s="347"/>
      <c r="M81" s="89" t="s">
        <v>117</v>
      </c>
      <c r="N81" s="10" t="s">
        <v>103</v>
      </c>
      <c r="O81" s="22">
        <v>0.20379744565899399</v>
      </c>
      <c r="P81" s="14" t="s">
        <v>272</v>
      </c>
      <c r="Q81" s="83">
        <f>IF(AND(Enginuity!$B$6&gt;0, Enginuity!$B$7&gt;0, Enginuity!$B$13&gt;0), ((2*Enginuity!$B$7*Enginuity!$B$13)+(2*Enginuity!$B$6))*2, "")</f>
        <v>444</v>
      </c>
      <c r="U81" s="104" t="str">
        <f>IF(
  AND(
    TRIM(A81)=TRIM(Enginuity!$A$1),
    TRIM(B81)=TRIM(Enginuity!$A$17),
    Q81&lt;&gt;"",
    Q81&lt;&gt;0,
    OR(
      TRIM(C81)=TRIM(Enginuity!$A$18),
      AND(UPPER(TRIM(M81))="STD", TRIM(B81)=TRIM(Enginuity!$A$17))
    ),
    OR(
      AND(LEFT(P81,5)="1-Way", Enginuity!$B$13=1),
      AND(LEFT(P81,5)="2-Way", OR(Enginuity!$B$13=2, Enginuity!$B$13=4)),
      AND(LEFT(P81,5)="3-Way", OR(Enginuity!$B$13=3, Enginuity!$B$13=6)),
      AND(P81="Inner Centre Jamb", OR(Enginuity!$B$13=4, Enginuity!$B$13=6)),
      AND(
        LEFT(P81,5)&lt;&gt;"1-Way",
        LEFT(P81,5)&lt;&gt;"2-Way",
        LEFT(P81,5)&lt;&gt;"3-Way",
        P81&lt;&gt;"Inner Centre Jamb"
      )
    ),
    IF(OR(Enginuity!$A$1="Frameless Glass",Enginuity!$A$1="Metal Work"),
      AND(TRIM(B81)=TRIM(Enginuity!$A$17),TRIM(C81)=TRIM(Enginuity!$A$18)),
      TRIM(B81)=TRIM(Enginuity!$A$17)
    )
  ),
  ROW(),
  ""
)</f>
        <v/>
      </c>
      <c r="BD81" t="s">
        <v>573</v>
      </c>
      <c r="BE81" s="5">
        <v>126</v>
      </c>
    </row>
    <row r="82" spans="1:57" x14ac:dyDescent="0.25">
      <c r="A82" s="10" t="s">
        <v>254</v>
      </c>
      <c r="B82" s="229" t="s">
        <v>3</v>
      </c>
      <c r="C82" s="10"/>
      <c r="D82" s="14"/>
      <c r="E82" s="157"/>
      <c r="F82" s="10"/>
      <c r="G82" s="17"/>
      <c r="H82" s="10"/>
      <c r="I82" s="17"/>
      <c r="J82" s="83"/>
      <c r="K82" s="343"/>
      <c r="L82" s="347"/>
      <c r="M82" s="89" t="s">
        <v>117</v>
      </c>
      <c r="N82" s="10" t="s">
        <v>103</v>
      </c>
      <c r="O82" s="22">
        <v>0.12</v>
      </c>
      <c r="P82" s="14" t="s">
        <v>280</v>
      </c>
      <c r="Q82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576</v>
      </c>
      <c r="U82" s="104" t="str">
        <f>IF(
  AND(
    TRIM(A82)=TRIM(Enginuity!$A$1),
    TRIM(B82)=TRIM(Enginuity!$A$17),
    Q82&lt;&gt;"",
    Q82&lt;&gt;0,
    OR(
      TRIM(C82)=TRIM(Enginuity!$A$18),
      AND(UPPER(TRIM(M82))="STD", TRIM(B82)=TRIM(Enginuity!$A$17))
    ),
    OR(
      AND(LEFT(P82,5)="1-Way", Enginuity!$B$13=1),
      AND(LEFT(P82,5)="2-Way", OR(Enginuity!$B$13=2, Enginuity!$B$13=4)),
      AND(LEFT(P82,5)="3-Way", OR(Enginuity!$B$13=3, Enginuity!$B$13=6)),
      AND(P82="Inner Centre Jamb", OR(Enginuity!$B$13=4, Enginuity!$B$13=6)),
      AND(
        LEFT(P82,5)&lt;&gt;"1-Way",
        LEFT(P82,5)&lt;&gt;"2-Way",
        LEFT(P82,5)&lt;&gt;"3-Way",
        P82&lt;&gt;"Inner Centre Jamb"
      )
    ),
    IF(OR(Enginuity!$A$1="Frameless Glass",Enginuity!$A$1="Metal Work"),
      AND(TRIM(B82)=TRIM(Enginuity!$A$17),TRIM(C82)=TRIM(Enginuity!$A$18)),
      TRIM(B82)=TRIM(Enginuity!$A$17)
    )
  ),
  ROW(),
  ""
)</f>
        <v/>
      </c>
      <c r="BD82" t="s">
        <v>577</v>
      </c>
      <c r="BE82" s="5">
        <v>110</v>
      </c>
    </row>
    <row r="83" spans="1:57" x14ac:dyDescent="0.25">
      <c r="A83" s="10" t="s">
        <v>254</v>
      </c>
      <c r="B83" s="229" t="s">
        <v>3</v>
      </c>
      <c r="C83" s="10"/>
      <c r="D83" s="14"/>
      <c r="E83" s="157"/>
      <c r="F83" s="10"/>
      <c r="G83" s="17"/>
      <c r="H83" s="10"/>
      <c r="I83" s="17"/>
      <c r="J83" s="83"/>
      <c r="K83" s="343"/>
      <c r="L83" s="347"/>
      <c r="M83" s="89" t="s">
        <v>117</v>
      </c>
      <c r="N83" s="10" t="s">
        <v>112</v>
      </c>
      <c r="O83" s="22">
        <v>1.4</v>
      </c>
      <c r="P83" s="14" t="s">
        <v>113</v>
      </c>
      <c r="Q83" s="83">
        <f>Enginuity!$B$13*IF(TRIM(Enginuity!$A$21)="1'H X ?'W X Qty Panel Top Hung (Casement Profile)",2,1)</f>
        <v>7</v>
      </c>
      <c r="U83" s="104" t="str">
        <f>IF(
  AND(
    TRIM(A83)=TRIM(Enginuity!$A$1),
    TRIM(B83)=TRIM(Enginuity!$A$17),
    Q83&lt;&gt;"",
    Q83&lt;&gt;0,
    OR(
      TRIM(C83)=TRIM(Enginuity!$A$18),
      AND(UPPER(TRIM(M83))="STD", TRIM(B83)=TRIM(Enginuity!$A$17))
    ),
    OR(
      AND(LEFT(P83,5)="1-Way", Enginuity!$B$13=1),
      AND(LEFT(P83,5)="2-Way", OR(Enginuity!$B$13=2, Enginuity!$B$13=4)),
      AND(LEFT(P83,5)="3-Way", OR(Enginuity!$B$13=3, Enginuity!$B$13=6)),
      AND(P83="Inner Centre Jamb", OR(Enginuity!$B$13=4, Enginuity!$B$13=6)),
      AND(
        LEFT(P83,5)&lt;&gt;"1-Way",
        LEFT(P83,5)&lt;&gt;"2-Way",
        LEFT(P83,5)&lt;&gt;"3-Way",
        P83&lt;&gt;"Inner Centre Jamb"
      )
    ),
    IF(OR(Enginuity!$A$1="Frameless Glass",Enginuity!$A$1="Metal Work"),
      AND(TRIM(B83)=TRIM(Enginuity!$A$17),TRIM(C83)=TRIM(Enginuity!$A$18)),
      TRIM(B83)=TRIM(Enginuity!$A$17)
    )
  ),
  ROW(),
  ""
)</f>
        <v/>
      </c>
      <c r="BD83" t="s">
        <v>584</v>
      </c>
      <c r="BE83" s="5">
        <v>139</v>
      </c>
    </row>
    <row r="84" spans="1:57" x14ac:dyDescent="0.25">
      <c r="A84" s="10" t="s">
        <v>254</v>
      </c>
      <c r="B84" s="229" t="s">
        <v>3</v>
      </c>
      <c r="C84" s="10"/>
      <c r="D84" s="14"/>
      <c r="E84" s="157"/>
      <c r="F84" s="10"/>
      <c r="G84" s="17"/>
      <c r="H84" s="10"/>
      <c r="I84" s="17"/>
      <c r="J84" s="83"/>
      <c r="K84" s="343"/>
      <c r="L84" s="347"/>
      <c r="M84" s="89" t="s">
        <v>117</v>
      </c>
      <c r="N84" s="88" t="s">
        <v>111</v>
      </c>
      <c r="O84" s="22">
        <v>4.5</v>
      </c>
      <c r="P84" s="36" t="s">
        <v>124</v>
      </c>
      <c r="Q84" s="83">
        <f>Enginuity!$B$13*IF(TRIM(Enginuity!$A$21)="1'H X ?'W X Qty Panel Top Hung (Casement Profile)",2,1)</f>
        <v>7</v>
      </c>
      <c r="U84" s="104" t="str">
        <f>IF(
  AND(
    TRIM(A84)=TRIM(Enginuity!$A$1),
    TRIM(B84)=TRIM(Enginuity!$A$17),
    Q84&lt;&gt;"",
    Q84&lt;&gt;0,
    OR(
      TRIM(C84)=TRIM(Enginuity!$A$18),
      AND(UPPER(TRIM(M84))="STD", TRIM(B84)=TRIM(Enginuity!$A$17))
    ),
    OR(
      AND(LEFT(P84,5)="1-Way", Enginuity!$B$13=1),
      AND(LEFT(P84,5)="2-Way", OR(Enginuity!$B$13=2, Enginuity!$B$13=4)),
      AND(LEFT(P84,5)="3-Way", OR(Enginuity!$B$13=3, Enginuity!$B$13=6)),
      AND(P84="Inner Centre Jamb", OR(Enginuity!$B$13=4, Enginuity!$B$13=6)),
      AND(
        LEFT(P84,5)&lt;&gt;"1-Way",
        LEFT(P84,5)&lt;&gt;"2-Way",
        LEFT(P84,5)&lt;&gt;"3-Way",
        P84&lt;&gt;"Inner Centre Jamb"
      )
    ),
    IF(OR(Enginuity!$A$1="Frameless Glass",Enginuity!$A$1="Metal Work"),
      AND(TRIM(B84)=TRIM(Enginuity!$A$17),TRIM(C84)=TRIM(Enginuity!$A$18)),
      TRIM(B84)=TRIM(Enginuity!$A$17)
    )
  ),
  ROW(),
  ""
)</f>
        <v/>
      </c>
      <c r="BD84" t="s">
        <v>566</v>
      </c>
      <c r="BE84" s="5">
        <v>119</v>
      </c>
    </row>
    <row r="85" spans="1:57" x14ac:dyDescent="0.25">
      <c r="A85" s="10"/>
      <c r="B85" s="229"/>
      <c r="C85" s="10"/>
      <c r="D85" s="14"/>
      <c r="E85" s="157"/>
      <c r="F85" s="10"/>
      <c r="G85" s="17"/>
      <c r="H85" s="10"/>
      <c r="I85" s="17"/>
      <c r="J85" s="83"/>
      <c r="K85" s="343"/>
      <c r="L85" s="347"/>
      <c r="M85" s="89"/>
      <c r="N85" s="10"/>
      <c r="O85" s="22"/>
      <c r="P85" s="14"/>
      <c r="Q85" s="83"/>
      <c r="U85" s="104" t="str">
        <f>IF(
  AND(
    TRIM(A85)=TRIM(Enginuity!$A$1),
    TRIM(B85)=TRIM(Enginuity!$A$17),
    Q85&lt;&gt;"",
    Q85&lt;&gt;0,
    OR(
      TRIM(C85)=TRIM(Enginuity!$A$18),
      AND(UPPER(TRIM(M85))="STD", TRIM(B85)=TRIM(Enginuity!$A$17))
    ),
    OR(
      AND(LEFT(P85,5)="1-Way", Enginuity!$B$13=1),
      AND(LEFT(P85,5)="2-Way", OR(Enginuity!$B$13=2, Enginuity!$B$13=4)),
      AND(LEFT(P85,5)="3-Way", OR(Enginuity!$B$13=3, Enginuity!$B$13=6)),
      AND(P85="Inner Centre Jamb", OR(Enginuity!$B$13=4, Enginuity!$B$13=6)),
      AND(
        LEFT(P85,5)&lt;&gt;"1-Way",
        LEFT(P85,5)&lt;&gt;"2-Way",
        LEFT(P85,5)&lt;&gt;"3-Way",
        P85&lt;&gt;"Inner Centre Jamb"
      )
    ),
    IF(OR(Enginuity!$A$1="Frameless Glass",Enginuity!$A$1="Metal Work"),
      AND(TRIM(B85)=TRIM(Enginuity!$A$17),TRIM(C85)=TRIM(Enginuity!$A$18)),
      TRIM(B85)=TRIM(Enginuity!$A$17)
    )
  ),
  ROW(),
  ""
)</f>
        <v/>
      </c>
      <c r="BD85" t="s">
        <v>574</v>
      </c>
      <c r="BE85" s="5">
        <v>142</v>
      </c>
    </row>
    <row r="86" spans="1:57" x14ac:dyDescent="0.25">
      <c r="A86" s="10"/>
      <c r="B86" s="229"/>
      <c r="C86" s="10"/>
      <c r="D86" s="14"/>
      <c r="E86" s="157"/>
      <c r="F86" s="10"/>
      <c r="G86" s="17"/>
      <c r="H86" s="10"/>
      <c r="I86" s="17"/>
      <c r="J86" s="83"/>
      <c r="K86" s="343"/>
      <c r="L86" s="347"/>
      <c r="M86" s="89"/>
      <c r="N86" s="10"/>
      <c r="O86" s="22"/>
      <c r="P86" s="14"/>
      <c r="Q86" s="83"/>
      <c r="U86" s="104" t="str">
        <f>IF(
  AND(
    TRIM(A86)=TRIM(Enginuity!$A$1),
    TRIM(B86)=TRIM(Enginuity!$A$17),
    Q86&lt;&gt;"",
    Q86&lt;&gt;0,
    OR(
      TRIM(C86)=TRIM(Enginuity!$A$18),
      AND(UPPER(TRIM(M86))="STD", TRIM(B86)=TRIM(Enginuity!$A$17))
    ),
    OR(
      AND(LEFT(P86,5)="1-Way", Enginuity!$B$13=1),
      AND(LEFT(P86,5)="2-Way", OR(Enginuity!$B$13=2, Enginuity!$B$13=4)),
      AND(LEFT(P86,5)="3-Way", OR(Enginuity!$B$13=3, Enginuity!$B$13=6)),
      AND(P86="Inner Centre Jamb", OR(Enginuity!$B$13=4, Enginuity!$B$13=6)),
      AND(
        LEFT(P86,5)&lt;&gt;"1-Way",
        LEFT(P86,5)&lt;&gt;"2-Way",
        LEFT(P86,5)&lt;&gt;"3-Way",
        P86&lt;&gt;"Inner Centre Jamb"
      )
    ),
    IF(OR(Enginuity!$A$1="Frameless Glass",Enginuity!$A$1="Metal Work"),
      AND(TRIM(B86)=TRIM(Enginuity!$A$17),TRIM(C86)=TRIM(Enginuity!$A$18)),
      TRIM(B86)=TRIM(Enginuity!$A$17)
    )
  ),
  ROW(),
  ""
)</f>
        <v/>
      </c>
      <c r="BD86" t="s">
        <v>578</v>
      </c>
      <c r="BE86" s="5">
        <v>173</v>
      </c>
    </row>
    <row r="87" spans="1:57" x14ac:dyDescent="0.25">
      <c r="A87" s="10"/>
      <c r="B87" s="229"/>
      <c r="C87" s="10"/>
      <c r="D87" s="14"/>
      <c r="E87" s="157"/>
      <c r="F87" s="10"/>
      <c r="G87" s="17"/>
      <c r="H87" s="10"/>
      <c r="I87" s="17"/>
      <c r="J87" s="83"/>
      <c r="K87" s="343"/>
      <c r="L87" s="347"/>
      <c r="M87" s="89"/>
      <c r="N87" s="10"/>
      <c r="O87" s="22"/>
      <c r="P87" s="21"/>
      <c r="Q87" s="83"/>
      <c r="U87" s="104" t="str">
        <f>IF(
  AND(
    TRIM(A87)=TRIM(Enginuity!$A$1),
    TRIM(B87)=TRIM(Enginuity!$A$17),
    Q87&lt;&gt;"",
    Q87&lt;&gt;0,
    OR(
      TRIM(C87)=TRIM(Enginuity!$A$18),
      AND(UPPER(TRIM(M87))="STD", TRIM(B87)=TRIM(Enginuity!$A$17))
    ),
    OR(
      AND(LEFT(P87,5)="1-Way", Enginuity!$B$13=1),
      AND(LEFT(P87,5)="2-Way", OR(Enginuity!$B$13=2, Enginuity!$B$13=4)),
      AND(LEFT(P87,5)="3-Way", OR(Enginuity!$B$13=3, Enginuity!$B$13=6)),
      AND(P87="Inner Centre Jamb", OR(Enginuity!$B$13=4, Enginuity!$B$13=6)),
      AND(
        LEFT(P87,5)&lt;&gt;"1-Way",
        LEFT(P87,5)&lt;&gt;"2-Way",
        LEFT(P87,5)&lt;&gt;"3-Way",
        P87&lt;&gt;"Inner Centre Jamb"
      )
    ),
    IF(OR(Enginuity!$A$1="Frameless Glass",Enginuity!$A$1="Metal Work"),
      AND(TRIM(B87)=TRIM(Enginuity!$A$17),TRIM(C87)=TRIM(Enginuity!$A$18)),
      TRIM(B87)=TRIM(Enginuity!$A$17)
    )
  ),
  ROW(),
  ""
)</f>
        <v/>
      </c>
      <c r="BD87" t="s">
        <v>581</v>
      </c>
      <c r="BE87" s="5">
        <v>163</v>
      </c>
    </row>
    <row r="88" spans="1:57" x14ac:dyDescent="0.25">
      <c r="A88" s="10"/>
      <c r="B88" s="229"/>
      <c r="C88" s="10"/>
      <c r="D88" s="14"/>
      <c r="E88" s="157"/>
      <c r="F88" s="10"/>
      <c r="G88" s="17"/>
      <c r="H88" s="10"/>
      <c r="I88" s="17"/>
      <c r="J88" s="83"/>
      <c r="K88" s="343"/>
      <c r="L88" s="347"/>
      <c r="M88" s="89"/>
      <c r="N88" s="10"/>
      <c r="O88" s="22"/>
      <c r="P88" s="14"/>
      <c r="Q88" s="83"/>
      <c r="U88" s="104" t="str">
        <f>IF(
  AND(
    TRIM(A88)=TRIM(Enginuity!$A$1),
    TRIM(B88)=TRIM(Enginuity!$A$17),
    Q88&lt;&gt;"",
    Q88&lt;&gt;0,
    OR(
      TRIM(C88)=TRIM(Enginuity!$A$18),
      AND(UPPER(TRIM(M88))="STD", TRIM(B88)=TRIM(Enginuity!$A$17))
    ),
    OR(
      AND(LEFT(P88,5)="1-Way", Enginuity!$B$13=1),
      AND(LEFT(P88,5)="2-Way", OR(Enginuity!$B$13=2, Enginuity!$B$13=4)),
      AND(LEFT(P88,5)="3-Way", OR(Enginuity!$B$13=3, Enginuity!$B$13=6)),
      AND(P88="Inner Centre Jamb", OR(Enginuity!$B$13=4, Enginuity!$B$13=6)),
      AND(
        LEFT(P88,5)&lt;&gt;"1-Way",
        LEFT(P88,5)&lt;&gt;"2-Way",
        LEFT(P88,5)&lt;&gt;"3-Way",
        P88&lt;&gt;"Inner Centre Jamb"
      )
    ),
    IF(OR(Enginuity!$A$1="Frameless Glass",Enginuity!$A$1="Metal Work"),
      AND(TRIM(B88)=TRIM(Enginuity!$A$17),TRIM(C88)=TRIM(Enginuity!$A$18)),
      TRIM(B88)=TRIM(Enginuity!$A$17)
    )
  ),
  ROW(),
  ""
)</f>
        <v/>
      </c>
      <c r="BD88" t="s">
        <v>585</v>
      </c>
      <c r="BE88" s="5">
        <v>173</v>
      </c>
    </row>
    <row r="89" spans="1:57" x14ac:dyDescent="0.25">
      <c r="A89" s="10"/>
      <c r="B89" s="229"/>
      <c r="C89" s="10"/>
      <c r="D89" s="14"/>
      <c r="E89" s="157"/>
      <c r="F89" s="10"/>
      <c r="G89" s="17"/>
      <c r="H89" s="10"/>
      <c r="I89" s="17"/>
      <c r="J89" s="83"/>
      <c r="K89" s="343"/>
      <c r="L89" s="347"/>
      <c r="M89" s="89"/>
      <c r="N89" s="10"/>
      <c r="O89" s="22"/>
      <c r="P89" s="14"/>
      <c r="Q89" s="83"/>
      <c r="U89" s="104" t="str">
        <f>IF(
  AND(
    TRIM(A89)=TRIM(Enginuity!$A$1),
    TRIM(B89)=TRIM(Enginuity!$A$17),
    Q89&lt;&gt;"",
    Q89&lt;&gt;0,
    OR(
      TRIM(C89)=TRIM(Enginuity!$A$18),
      AND(UPPER(TRIM(M89))="STD", TRIM(B89)=TRIM(Enginuity!$A$17))
    ),
    OR(
      AND(LEFT(P89,5)="1-Way", Enginuity!$B$13=1),
      AND(LEFT(P89,5)="2-Way", OR(Enginuity!$B$13=2, Enginuity!$B$13=4)),
      AND(LEFT(P89,5)="3-Way", OR(Enginuity!$B$13=3, Enginuity!$B$13=6)),
      AND(P89="Inner Centre Jamb", OR(Enginuity!$B$13=4, Enginuity!$B$13=6)),
      AND(
        LEFT(P89,5)&lt;&gt;"1-Way",
        LEFT(P89,5)&lt;&gt;"2-Way",
        LEFT(P89,5)&lt;&gt;"3-Way",
        P89&lt;&gt;"Inner Centre Jamb"
      )
    ),
    IF(OR(Enginuity!$A$1="Frameless Glass",Enginuity!$A$1="Metal Work"),
      AND(TRIM(B89)=TRIM(Enginuity!$A$17),TRIM(C89)=TRIM(Enginuity!$A$18)),
      TRIM(B89)=TRIM(Enginuity!$A$17)
    )
  ),
  ROW(),
  ""
)</f>
        <v/>
      </c>
      <c r="BD89" t="s">
        <v>580</v>
      </c>
      <c r="BE89" s="5">
        <v>256</v>
      </c>
    </row>
    <row r="90" spans="1:57" x14ac:dyDescent="0.25">
      <c r="A90" s="10"/>
      <c r="B90" s="229"/>
      <c r="C90" s="10"/>
      <c r="D90" s="14"/>
      <c r="E90" s="157"/>
      <c r="F90" s="10"/>
      <c r="G90" s="17"/>
      <c r="H90" s="10"/>
      <c r="I90" s="17"/>
      <c r="J90" s="83"/>
      <c r="K90" s="343"/>
      <c r="L90" s="347"/>
      <c r="M90" s="89"/>
      <c r="N90" s="10"/>
      <c r="O90" s="22"/>
      <c r="P90" s="14"/>
      <c r="Q90" s="83"/>
      <c r="U90" s="104" t="str">
        <f>IF(
  AND(
    TRIM(A90)=TRIM(Enginuity!$A$1),
    TRIM(B90)=TRIM(Enginuity!$A$17),
    Q90&lt;&gt;"",
    Q90&lt;&gt;0,
    OR(
      TRIM(C90)=TRIM(Enginuity!$A$18),
      AND(UPPER(TRIM(M90))="STD", TRIM(B90)=TRIM(Enginuity!$A$17))
    ),
    OR(
      AND(LEFT(P90,5)="1-Way", Enginuity!$B$13=1),
      AND(LEFT(P90,5)="2-Way", OR(Enginuity!$B$13=2, Enginuity!$B$13=4)),
      AND(LEFT(P90,5)="3-Way", OR(Enginuity!$B$13=3, Enginuity!$B$13=6)),
      AND(P90="Inner Centre Jamb", OR(Enginuity!$B$13=4, Enginuity!$B$13=6)),
      AND(
        LEFT(P90,5)&lt;&gt;"1-Way",
        LEFT(P90,5)&lt;&gt;"2-Way",
        LEFT(P90,5)&lt;&gt;"3-Way",
        P90&lt;&gt;"Inner Centre Jamb"
      )
    ),
    IF(OR(Enginuity!$A$1="Frameless Glass",Enginuity!$A$1="Metal Work"),
      AND(TRIM(B90)=TRIM(Enginuity!$A$17),TRIM(C90)=TRIM(Enginuity!$A$18)),
      TRIM(B90)=TRIM(Enginuity!$A$17)
    )
  ),
  ROW(),
  ""
)</f>
        <v/>
      </c>
      <c r="BD90" t="s">
        <v>603</v>
      </c>
      <c r="BE90" s="5">
        <v>13</v>
      </c>
    </row>
    <row r="91" spans="1:57" x14ac:dyDescent="0.25">
      <c r="A91" s="10"/>
      <c r="B91" s="229"/>
      <c r="C91" s="10"/>
      <c r="D91" s="14"/>
      <c r="E91" s="157"/>
      <c r="F91" s="10"/>
      <c r="G91" s="17"/>
      <c r="H91" s="10"/>
      <c r="I91" s="17"/>
      <c r="J91" s="83"/>
      <c r="K91" s="343"/>
      <c r="L91" s="347"/>
      <c r="M91" s="89"/>
      <c r="N91" s="10"/>
      <c r="O91" s="22"/>
      <c r="P91" s="14"/>
      <c r="Q91" s="83"/>
      <c r="U91" s="104" t="str">
        <f>IF(
  AND(
    TRIM(A91)=TRIM(Enginuity!$A$1),
    TRIM(B91)=TRIM(Enginuity!$A$17),
    Q91&lt;&gt;"",
    Q91&lt;&gt;0,
    OR(
      TRIM(C91)=TRIM(Enginuity!$A$18),
      AND(UPPER(TRIM(M91))="STD", TRIM(B91)=TRIM(Enginuity!$A$17))
    ),
    OR(
      AND(LEFT(P91,5)="1-Way", Enginuity!$B$13=1),
      AND(LEFT(P91,5)="2-Way", OR(Enginuity!$B$13=2, Enginuity!$B$13=4)),
      AND(LEFT(P91,5)="3-Way", OR(Enginuity!$B$13=3, Enginuity!$B$13=6)),
      AND(P91="Inner Centre Jamb", OR(Enginuity!$B$13=4, Enginuity!$B$13=6)),
      AND(
        LEFT(P91,5)&lt;&gt;"1-Way",
        LEFT(P91,5)&lt;&gt;"2-Way",
        LEFT(P91,5)&lt;&gt;"3-Way",
        P91&lt;&gt;"Inner Centre Jamb"
      )
    ),
    IF(OR(Enginuity!$A$1="Frameless Glass",Enginuity!$A$1="Metal Work"),
      AND(TRIM(B91)=TRIM(Enginuity!$A$17),TRIM(C91)=TRIM(Enginuity!$A$18)),
      TRIM(B91)=TRIM(Enginuity!$A$17)
    )
  ),
  ROW(),
  ""
)</f>
        <v/>
      </c>
      <c r="BD91" t="s">
        <v>631</v>
      </c>
      <c r="BE91" s="5">
        <v>2.65</v>
      </c>
    </row>
    <row r="92" spans="1:57" x14ac:dyDescent="0.25">
      <c r="A92" s="10"/>
      <c r="B92" s="229"/>
      <c r="C92" s="10"/>
      <c r="D92" s="14"/>
      <c r="E92" s="157"/>
      <c r="F92" s="10"/>
      <c r="G92" s="17"/>
      <c r="H92" s="10"/>
      <c r="I92" s="17"/>
      <c r="J92" s="83"/>
      <c r="K92" s="343"/>
      <c r="L92" s="347"/>
      <c r="M92" s="89"/>
      <c r="N92" s="10"/>
      <c r="O92" s="22"/>
      <c r="P92" s="14"/>
      <c r="Q92" s="83"/>
      <c r="U92" s="104" t="str">
        <f>IF(
  AND(
    TRIM(A92)=TRIM(Enginuity!$A$1),
    TRIM(B92)=TRIM(Enginuity!$A$17),
    Q92&lt;&gt;"",
    Q92&lt;&gt;0,
    OR(
      TRIM(C92)=TRIM(Enginuity!$A$18),
      AND(UPPER(TRIM(M92))="STD", TRIM(B92)=TRIM(Enginuity!$A$17))
    ),
    OR(
      AND(LEFT(P92,5)="1-Way", Enginuity!$B$13=1),
      AND(LEFT(P92,5)="2-Way", OR(Enginuity!$B$13=2, Enginuity!$B$13=4)),
      AND(LEFT(P92,5)="3-Way", OR(Enginuity!$B$13=3, Enginuity!$B$13=6)),
      AND(P92="Inner Centre Jamb", OR(Enginuity!$B$13=4, Enginuity!$B$13=6)),
      AND(
        LEFT(P92,5)&lt;&gt;"1-Way",
        LEFT(P92,5)&lt;&gt;"2-Way",
        LEFT(P92,5)&lt;&gt;"3-Way",
        P92&lt;&gt;"Inner Centre Jamb"
      )
    ),
    IF(OR(Enginuity!$A$1="Frameless Glass",Enginuity!$A$1="Metal Work"),
      AND(TRIM(B92)=TRIM(Enginuity!$A$17),TRIM(C92)=TRIM(Enginuity!$A$18)),
      TRIM(B92)=TRIM(Enginuity!$A$17)
    )
  ),
  ROW(),
  ""
)</f>
        <v/>
      </c>
      <c r="BD92" t="s">
        <v>632</v>
      </c>
      <c r="BE92" s="5">
        <v>3</v>
      </c>
    </row>
    <row r="93" spans="1:57" x14ac:dyDescent="0.25">
      <c r="A93" s="10"/>
      <c r="B93" s="229"/>
      <c r="C93" s="10"/>
      <c r="D93" s="14"/>
      <c r="E93" s="157"/>
      <c r="F93" s="10"/>
      <c r="G93" s="17"/>
      <c r="H93" s="10"/>
      <c r="I93" s="17"/>
      <c r="J93" s="83"/>
      <c r="K93" s="343"/>
      <c r="L93" s="347"/>
      <c r="M93" s="89"/>
      <c r="N93" s="88"/>
      <c r="O93" s="22"/>
      <c r="P93" s="36"/>
      <c r="Q93" s="83"/>
      <c r="U93" s="104" t="str">
        <f>IF(
  AND(
    TRIM(A93)=TRIM(Enginuity!$A$1),
    TRIM(B93)=TRIM(Enginuity!$A$17),
    Q93&lt;&gt;"",
    Q93&lt;&gt;0,
    OR(
      TRIM(C93)=TRIM(Enginuity!$A$18),
      AND(UPPER(TRIM(M93))="STD", TRIM(B93)=TRIM(Enginuity!$A$17))
    ),
    OR(
      AND(LEFT(P93,5)="1-Way", Enginuity!$B$13=1),
      AND(LEFT(P93,5)="2-Way", OR(Enginuity!$B$13=2, Enginuity!$B$13=4)),
      AND(LEFT(P93,5)="3-Way", OR(Enginuity!$B$13=3, Enginuity!$B$13=6)),
      AND(P93="Inner Centre Jamb", OR(Enginuity!$B$13=4, Enginuity!$B$13=6)),
      AND(
        LEFT(P93,5)&lt;&gt;"1-Way",
        LEFT(P93,5)&lt;&gt;"2-Way",
        LEFT(P93,5)&lt;&gt;"3-Way",
        P93&lt;&gt;"Inner Centre Jamb"
      )
    ),
    IF(OR(Enginuity!$A$1="Frameless Glass",Enginuity!$A$1="Metal Work"),
      AND(TRIM(B93)=TRIM(Enginuity!$A$17),TRIM(C93)=TRIM(Enginuity!$A$18)),
      TRIM(B93)=TRIM(Enginuity!$A$17)
    )
  ),
  ROW(),
  ""
)</f>
        <v/>
      </c>
      <c r="BD93" t="s">
        <v>633</v>
      </c>
      <c r="BE93" s="5">
        <v>4</v>
      </c>
    </row>
    <row r="94" spans="1:57" x14ac:dyDescent="0.25">
      <c r="A94" s="10"/>
      <c r="B94" s="229"/>
      <c r="C94" s="10"/>
      <c r="D94" s="14"/>
      <c r="E94" s="157"/>
      <c r="F94" s="10"/>
      <c r="G94" s="17"/>
      <c r="H94" s="10"/>
      <c r="I94" s="17"/>
      <c r="J94" s="83"/>
      <c r="K94" s="343"/>
      <c r="L94" s="347"/>
      <c r="M94" s="89"/>
      <c r="N94" s="10"/>
      <c r="O94" s="22"/>
      <c r="P94" s="36"/>
      <c r="Q94" s="83"/>
      <c r="U94" s="104" t="str">
        <f>IF(
  AND(
    TRIM(A94)=TRIM(Enginuity!$A$1),
    TRIM(B94)=TRIM(Enginuity!$A$17),
    Q94&lt;&gt;"",
    Q94&lt;&gt;0,
    OR(
      TRIM(C94)=TRIM(Enginuity!$A$18),
      AND(UPPER(TRIM(M94))="STD", TRIM(B94)=TRIM(Enginuity!$A$17))
    ),
    OR(
      AND(LEFT(P94,5)="1-Way", Enginuity!$B$13=1),
      AND(LEFT(P94,5)="2-Way", OR(Enginuity!$B$13=2, Enginuity!$B$13=4)),
      AND(LEFT(P94,5)="3-Way", OR(Enginuity!$B$13=3, Enginuity!$B$13=6)),
      AND(P94="Inner Centre Jamb", OR(Enginuity!$B$13=4, Enginuity!$B$13=6)),
      AND(
        LEFT(P94,5)&lt;&gt;"1-Way",
        LEFT(P94,5)&lt;&gt;"2-Way",
        LEFT(P94,5)&lt;&gt;"3-Way",
        P94&lt;&gt;"Inner Centre Jamb"
      )
    ),
    IF(OR(Enginuity!$A$1="Frameless Glass",Enginuity!$A$1="Metal Work"),
      AND(TRIM(B94)=TRIM(Enginuity!$A$17),TRIM(C94)=TRIM(Enginuity!$A$18)),
      TRIM(B94)=TRIM(Enginuity!$A$17)
    )
  ),
  ROW(),
  ""
)</f>
        <v/>
      </c>
      <c r="BD94" t="s">
        <v>616</v>
      </c>
      <c r="BE94" s="5">
        <v>25</v>
      </c>
    </row>
    <row r="95" spans="1:57" x14ac:dyDescent="0.25">
      <c r="A95" s="10"/>
      <c r="B95" s="229"/>
      <c r="C95" s="10"/>
      <c r="D95" s="14"/>
      <c r="E95" s="157"/>
      <c r="F95" s="10"/>
      <c r="G95" s="17"/>
      <c r="H95" s="10"/>
      <c r="I95" s="17"/>
      <c r="J95" s="83"/>
      <c r="K95" s="343"/>
      <c r="L95" s="347"/>
      <c r="M95" s="89"/>
      <c r="N95" s="10"/>
      <c r="O95" s="22"/>
      <c r="P95" s="36"/>
      <c r="Q95" s="83"/>
      <c r="U95" s="104" t="str">
        <f>IF(
  AND(
    TRIM(A95)=TRIM(Enginuity!$A$1),
    TRIM(B95)=TRIM(Enginuity!$A$17),
    Q95&lt;&gt;"",
    Q95&lt;&gt;0,
    OR(
      TRIM(C95)=TRIM(Enginuity!$A$18),
      AND(UPPER(TRIM(M95))="STD", TRIM(B95)=TRIM(Enginuity!$A$17))
    ),
    OR(
      AND(LEFT(P95,5)="1-Way", Enginuity!$B$13=1),
      AND(LEFT(P95,5)="2-Way", OR(Enginuity!$B$13=2, Enginuity!$B$13=4)),
      AND(LEFT(P95,5)="3-Way", OR(Enginuity!$B$13=3, Enginuity!$B$13=6)),
      AND(P95="Inner Centre Jamb", OR(Enginuity!$B$13=4, Enginuity!$B$13=6)),
      AND(
        LEFT(P95,5)&lt;&gt;"1-Way",
        LEFT(P95,5)&lt;&gt;"2-Way",
        LEFT(P95,5)&lt;&gt;"3-Way",
        P95&lt;&gt;"Inner Centre Jamb"
      )
    ),
    IF(OR(Enginuity!$A$1="Frameless Glass",Enginuity!$A$1="Metal Work"),
      AND(TRIM(B95)=TRIM(Enginuity!$A$17),TRIM(C95)=TRIM(Enginuity!$A$18)),
      TRIM(B95)=TRIM(Enginuity!$A$17)
    )
  ),
  ROW(),
  ""
)</f>
        <v/>
      </c>
      <c r="BD95" t="s">
        <v>615</v>
      </c>
      <c r="BE95" s="5">
        <v>20</v>
      </c>
    </row>
    <row r="96" spans="1:57" x14ac:dyDescent="0.25">
      <c r="A96" s="10"/>
      <c r="B96" s="229"/>
      <c r="C96" s="10"/>
      <c r="D96" s="14"/>
      <c r="E96" s="157"/>
      <c r="F96" s="10"/>
      <c r="G96" s="17"/>
      <c r="H96" s="10"/>
      <c r="I96" s="17"/>
      <c r="J96" s="83"/>
      <c r="K96" s="343"/>
      <c r="L96" s="347"/>
      <c r="M96" s="89"/>
      <c r="N96" s="10"/>
      <c r="O96" s="22"/>
      <c r="P96" s="36"/>
      <c r="Q96" s="83"/>
      <c r="U96" s="104" t="str">
        <f>IF(
  AND(
    TRIM(A96)=TRIM(Enginuity!$A$1),
    TRIM(B96)=TRIM(Enginuity!$A$17),
    Q96&lt;&gt;"",
    Q96&lt;&gt;0,
    OR(
      TRIM(C96)=TRIM(Enginuity!$A$18),
      AND(UPPER(TRIM(M96))="STD", TRIM(B96)=TRIM(Enginuity!$A$17))
    ),
    OR(
      AND(LEFT(P96,5)="1-Way", Enginuity!$B$13=1),
      AND(LEFT(P96,5)="2-Way", OR(Enginuity!$B$13=2, Enginuity!$B$13=4)),
      AND(LEFT(P96,5)="3-Way", OR(Enginuity!$B$13=3, Enginuity!$B$13=6)),
      AND(P96="Inner Centre Jamb", OR(Enginuity!$B$13=4, Enginuity!$B$13=6)),
      AND(
        LEFT(P96,5)&lt;&gt;"1-Way",
        LEFT(P96,5)&lt;&gt;"2-Way",
        LEFT(P96,5)&lt;&gt;"3-Way",
        P96&lt;&gt;"Inner Centre Jamb"
      )
    ),
    IF(OR(Enginuity!$A$1="Frameless Glass",Enginuity!$A$1="Metal Work"),
      AND(TRIM(B96)=TRIM(Enginuity!$A$17),TRIM(C96)=TRIM(Enginuity!$A$18)),
      TRIM(B96)=TRIM(Enginuity!$A$17)
    )
  ),
  ROW(),
  ""
)</f>
        <v/>
      </c>
      <c r="BD96" t="s">
        <v>614</v>
      </c>
      <c r="BE96" s="5">
        <v>23</v>
      </c>
    </row>
    <row r="97" spans="1:57" x14ac:dyDescent="0.25">
      <c r="A97" s="10"/>
      <c r="B97" s="229"/>
      <c r="C97" s="10"/>
      <c r="D97" s="14"/>
      <c r="E97" s="157"/>
      <c r="F97" s="10"/>
      <c r="G97" s="17"/>
      <c r="H97" s="10"/>
      <c r="I97" s="17"/>
      <c r="J97" s="83"/>
      <c r="K97" s="343"/>
      <c r="L97" s="347"/>
      <c r="M97" s="89"/>
      <c r="N97" s="88"/>
      <c r="O97" s="22"/>
      <c r="P97" s="36"/>
      <c r="Q97" s="83"/>
      <c r="U97" s="104" t="str">
        <f>IF(
  AND(
    TRIM(A97)=TRIM(Enginuity!$A$1),
    TRIM(B97)=TRIM(Enginuity!$A$17),
    Q97&lt;&gt;"",
    Q97&lt;&gt;0,
    OR(
      TRIM(C97)=TRIM(Enginuity!$A$18),
      AND(UPPER(TRIM(M97))="STD", TRIM(B97)=TRIM(Enginuity!$A$17))
    ),
    OR(
      AND(LEFT(P97,5)="1-Way", Enginuity!$B$13=1),
      AND(LEFT(P97,5)="2-Way", OR(Enginuity!$B$13=2, Enginuity!$B$13=4)),
      AND(LEFT(P97,5)="3-Way", OR(Enginuity!$B$13=3, Enginuity!$B$13=6)),
      AND(P97="Inner Centre Jamb", OR(Enginuity!$B$13=4, Enginuity!$B$13=6)),
      AND(
        LEFT(P97,5)&lt;&gt;"1-Way",
        LEFT(P97,5)&lt;&gt;"2-Way",
        LEFT(P97,5)&lt;&gt;"3-Way",
        P97&lt;&gt;"Inner Centre Jamb"
      )
    ),
    IF(OR(Enginuity!$A$1="Frameless Glass",Enginuity!$A$1="Metal Work"),
      AND(TRIM(B97)=TRIM(Enginuity!$A$17),TRIM(C97)=TRIM(Enginuity!$A$18)),
      TRIM(B97)=TRIM(Enginuity!$A$17)
    )
  ),
  ROW(),
  ""
)</f>
        <v/>
      </c>
      <c r="BD97" t="s">
        <v>617</v>
      </c>
      <c r="BE97" s="5">
        <v>78</v>
      </c>
    </row>
    <row r="98" spans="1:57" x14ac:dyDescent="0.25">
      <c r="A98" s="204"/>
      <c r="B98" s="231"/>
      <c r="C98" s="204"/>
      <c r="D98" s="205"/>
      <c r="E98" s="239"/>
      <c r="F98" s="204"/>
      <c r="G98" s="17"/>
      <c r="H98" s="204"/>
      <c r="I98" s="17"/>
      <c r="J98" s="206"/>
      <c r="K98" s="343"/>
      <c r="L98" s="347"/>
      <c r="M98" s="207"/>
      <c r="N98" s="208"/>
      <c r="O98" s="209"/>
      <c r="P98" s="210"/>
      <c r="Q98" s="206"/>
      <c r="U98" s="104" t="str">
        <f>IF(
  AND(
    TRIM(A98)=TRIM(Enginuity!$A$1),
    TRIM(B98)=TRIM(Enginuity!$A$17),
    Q98&lt;&gt;"",
    Q98&lt;&gt;0,
    OR(
      TRIM(C98)=TRIM(Enginuity!$A$18),
      AND(UPPER(TRIM(M98))="STD", TRIM(B98)=TRIM(Enginuity!$A$17))
    ),
    OR(
      AND(LEFT(P98,5)="1-Way", Enginuity!$B$13=1),
      AND(LEFT(P98,5)="2-Way", OR(Enginuity!$B$13=2, Enginuity!$B$13=4)),
      AND(LEFT(P98,5)="3-Way", OR(Enginuity!$B$13=3, Enginuity!$B$13=6)),
      AND(P98="Inner Centre Jamb", OR(Enginuity!$B$13=4, Enginuity!$B$13=6)),
      AND(
        LEFT(P98,5)&lt;&gt;"1-Way",
        LEFT(P98,5)&lt;&gt;"2-Way",
        LEFT(P98,5)&lt;&gt;"3-Way",
        P98&lt;&gt;"Inner Centre Jamb"
      )
    ),
    IF(OR(Enginuity!$A$1="Frameless Glass",Enginuity!$A$1="Metal Work"),
      AND(TRIM(B98)=TRIM(Enginuity!$A$17),TRIM(C98)=TRIM(Enginuity!$A$18)),
      TRIM(B98)=TRIM(Enginuity!$A$17)
    )
  ),
  ROW(),
  ""
)</f>
        <v/>
      </c>
      <c r="BD98" t="s">
        <v>613</v>
      </c>
      <c r="BE98" s="5">
        <v>20</v>
      </c>
    </row>
    <row r="99" spans="1:57" x14ac:dyDescent="0.25">
      <c r="A99" s="17"/>
      <c r="B99" s="230"/>
      <c r="C99" s="17"/>
      <c r="D99" s="18"/>
      <c r="E99" s="238"/>
      <c r="F99" s="17"/>
      <c r="G99" s="17"/>
      <c r="H99" s="10"/>
      <c r="I99" s="17"/>
      <c r="J99" s="83"/>
      <c r="K99" s="343"/>
      <c r="L99" s="347"/>
      <c r="M99" s="90">
        <v>49</v>
      </c>
      <c r="N99" s="17"/>
      <c r="O99" s="25"/>
      <c r="P99" s="92"/>
      <c r="Q99" s="84"/>
      <c r="U99" s="104" t="str">
        <f>IF(
  AND(
    TRIM(A99)=TRIM(Enginuity!$A$1),
    TRIM(B99)=TRIM(Enginuity!$A$17),
    Q99&lt;&gt;"",
    Q99&lt;&gt;0,
    OR(
      TRIM(C99)=TRIM(Enginuity!$A$18),
      AND(UPPER(TRIM(M99))="STD", TRIM(B99)=TRIM(Enginuity!$A$17))
    ),
    OR(
      AND(LEFT(P99,5)="1-Way", Enginuity!$B$13=1),
      AND(LEFT(P99,5)="2-Way", OR(Enginuity!$B$13=2, Enginuity!$B$13=4)),
      AND(LEFT(P99,5)="3-Way", OR(Enginuity!$B$13=3, Enginuity!$B$13=6)),
      AND(P99="Inner Centre Jamb", OR(Enginuity!$B$13=4, Enginuity!$B$13=6)),
      AND(
        LEFT(P99,5)&lt;&gt;"1-Way",
        LEFT(P99,5)&lt;&gt;"2-Way",
        LEFT(P99,5)&lt;&gt;"3-Way",
        P99&lt;&gt;"Inner Centre Jamb"
      )
    ),
    IF(OR(Enginuity!$A$1="Frameless Glass",Enginuity!$A$1="Metal Work"),
      AND(TRIM(B99)=TRIM(Enginuity!$A$17),TRIM(C99)=TRIM(Enginuity!$A$18)),
      TRIM(B99)=TRIM(Enginuity!$A$17)
    )
  ),
  ROW(),
  ""
)</f>
        <v/>
      </c>
      <c r="BA99" t="s">
        <v>0</v>
      </c>
      <c r="BB99" s="5" t="s">
        <v>978</v>
      </c>
      <c r="BD99" t="s">
        <v>630</v>
      </c>
      <c r="BE99" s="5">
        <v>22</v>
      </c>
    </row>
    <row r="100" spans="1:57" x14ac:dyDescent="0.25">
      <c r="A100" s="10" t="s">
        <v>254</v>
      </c>
      <c r="B100" s="229" t="s">
        <v>12</v>
      </c>
      <c r="C100" s="10" t="s">
        <v>107</v>
      </c>
      <c r="D100" s="14" t="str" cm="1">
        <f t="array" ref="D100:D109">IFERROR(INDEX(_xlfn._xlws.FILTER(AllMaterialsbak!$BA$2:$BA$30, AllMaterialsbak!$BA$2:$BA$30&lt;&gt;""), _xlfn.SEQUENCE(10)), "")</f>
        <v>Default</v>
      </c>
      <c r="E100" s="157" t="s">
        <v>257</v>
      </c>
      <c r="F100" s="14" t="s">
        <v>352</v>
      </c>
      <c r="G100" s="17" t="s">
        <v>9</v>
      </c>
      <c r="H100" s="10"/>
      <c r="I100" s="17"/>
      <c r="J100" s="83"/>
      <c r="K100" s="344">
        <v>0.58540000000000003</v>
      </c>
      <c r="L100" s="347">
        <v>609.6</v>
      </c>
      <c r="M100" s="89">
        <v>1</v>
      </c>
      <c r="N100" s="10" t="s">
        <v>103</v>
      </c>
      <c r="O100" s="22">
        <v>2.35</v>
      </c>
      <c r="P100" s="14" t="s">
        <v>281</v>
      </c>
      <c r="Q100" s="98">
        <f>Enginuity!$B$6</f>
        <v>20</v>
      </c>
      <c r="U100" s="104" t="str">
        <f>IF(
  AND(
    TRIM(A100)=TRIM(Enginuity!$A$1),
    TRIM(B100)=TRIM(Enginuity!$A$17),
    Q100&lt;&gt;"",
    Q100&lt;&gt;0,
    OR(
      TRIM(C100)=TRIM(Enginuity!$A$18),
      AND(UPPER(TRIM(M100))="STD", TRIM(B100)=TRIM(Enginuity!$A$17))
    ),
    OR(
      AND(LEFT(P100,5)="1-Way", Enginuity!$B$13=1),
      AND(LEFT(P100,5)="2-Way", OR(Enginuity!$B$13=2, Enginuity!$B$13=4)),
      AND(LEFT(P100,5)="3-Way", OR(Enginuity!$B$13=3, Enginuity!$B$13=6)),
      AND(P100="Inner Centre Jamb", OR(Enginuity!$B$13=4, Enginuity!$B$13=6)),
      AND(
        LEFT(P100,5)&lt;&gt;"1-Way",
        LEFT(P100,5)&lt;&gt;"2-Way",
        LEFT(P100,5)&lt;&gt;"3-Way",
        P100&lt;&gt;"Inner Centre Jamb"
      )
    ),
    IF(OR(Enginuity!$A$1="Frameless Glass",Enginuity!$A$1="Metal Work"),
      AND(TRIM(B100)=TRIM(Enginuity!$A$17),TRIM(C100)=TRIM(Enginuity!$A$18)),
      TRIM(B100)=TRIM(Enginuity!$A$17)
    )
  ),
  ROW(),
  ""
)</f>
        <v/>
      </c>
      <c r="AW100" t="s">
        <v>69</v>
      </c>
      <c r="AX100" s="5">
        <v>12.6</v>
      </c>
      <c r="AZ100" s="5"/>
      <c r="BA100" t="s">
        <v>979</v>
      </c>
      <c r="BB100" s="5">
        <v>1.65</v>
      </c>
      <c r="BD100" t="s">
        <v>598</v>
      </c>
      <c r="BE100" s="5">
        <v>65</v>
      </c>
    </row>
    <row r="101" spans="1:57" x14ac:dyDescent="0.25">
      <c r="A101" s="10" t="s">
        <v>254</v>
      </c>
      <c r="B101" s="229" t="s">
        <v>12</v>
      </c>
      <c r="C101" s="10" t="s">
        <v>107</v>
      </c>
      <c r="D101" s="14" t="str">
        <v xml:space="preserve">2" Louver Blade N/A </v>
      </c>
      <c r="E101" s="157" t="s">
        <v>269</v>
      </c>
      <c r="F101" s="14" t="s">
        <v>356</v>
      </c>
      <c r="G101" s="17"/>
      <c r="H101" s="10"/>
      <c r="I101" s="17"/>
      <c r="J101" s="83"/>
      <c r="K101" s="343"/>
      <c r="L101" s="347"/>
      <c r="M101" s="89">
        <v>2</v>
      </c>
      <c r="N101" s="10" t="s">
        <v>103</v>
      </c>
      <c r="O101" s="22">
        <v>2.06</v>
      </c>
      <c r="P101" s="14" t="s">
        <v>284</v>
      </c>
      <c r="Q101" s="98">
        <f>Enginuity!$B$6</f>
        <v>20</v>
      </c>
      <c r="U101" s="104" t="str">
        <f>IF(
  AND(
    TRIM(A101)=TRIM(Enginuity!$A$1),
    TRIM(B101)=TRIM(Enginuity!$A$17),
    Q101&lt;&gt;"",
    Q101&lt;&gt;0,
    OR(
      TRIM(C101)=TRIM(Enginuity!$A$18),
      AND(UPPER(TRIM(M101))="STD", TRIM(B101)=TRIM(Enginuity!$A$17))
    ),
    OR(
      AND(LEFT(P101,5)="1-Way", Enginuity!$B$13=1),
      AND(LEFT(P101,5)="2-Way", OR(Enginuity!$B$13=2, Enginuity!$B$13=4)),
      AND(LEFT(P101,5)="3-Way", OR(Enginuity!$B$13=3, Enginuity!$B$13=6)),
      AND(P101="Inner Centre Jamb", OR(Enginuity!$B$13=4, Enginuity!$B$13=6)),
      AND(
        LEFT(P101,5)&lt;&gt;"1-Way",
        LEFT(P101,5)&lt;&gt;"2-Way",
        LEFT(P101,5)&lt;&gt;"3-Way",
        P101&lt;&gt;"Inner Centre Jamb"
      )
    ),
    IF(OR(Enginuity!$A$1="Frameless Glass",Enginuity!$A$1="Metal Work"),
      AND(TRIM(B101)=TRIM(Enginuity!$A$17),TRIM(C101)=TRIM(Enginuity!$A$18)),
      TRIM(B101)=TRIM(Enginuity!$A$17)
    )
  ),
  ROW(),
  ""
)</f>
        <v/>
      </c>
      <c r="AW101" t="s">
        <v>71</v>
      </c>
      <c r="AX101" s="5">
        <v>13.13</v>
      </c>
      <c r="AZ101" s="5"/>
      <c r="BA101" t="s">
        <v>993</v>
      </c>
      <c r="BB101" s="5">
        <v>5.0999999999999996</v>
      </c>
      <c r="BD101" t="s">
        <v>620</v>
      </c>
      <c r="BE101" s="5">
        <v>3.1</v>
      </c>
    </row>
    <row r="102" spans="1:57" x14ac:dyDescent="0.25">
      <c r="A102" s="10" t="s">
        <v>254</v>
      </c>
      <c r="B102" s="229" t="s">
        <v>12</v>
      </c>
      <c r="C102" s="10" t="s">
        <v>107</v>
      </c>
      <c r="D102" s="14" t="str">
        <v>2" Louver Blade P/C</v>
      </c>
      <c r="E102" s="157"/>
      <c r="F102" s="10"/>
      <c r="G102" s="17"/>
      <c r="H102" s="10"/>
      <c r="I102" s="17"/>
      <c r="J102" s="83"/>
      <c r="K102" s="343"/>
      <c r="L102" s="347"/>
      <c r="M102" s="89">
        <v>3</v>
      </c>
      <c r="N102" s="10" t="s">
        <v>103</v>
      </c>
      <c r="O102" s="22">
        <v>1.76</v>
      </c>
      <c r="P102" s="14" t="s">
        <v>287</v>
      </c>
      <c r="Q102" s="83">
        <f>IF(Enginuity!$B$7&gt;0, 2 * Enginuity!$B$7, "")</f>
        <v>26</v>
      </c>
      <c r="U102" s="104" t="str">
        <f>IF(
  AND(
    TRIM(A102)=TRIM(Enginuity!$A$1),
    TRIM(B102)=TRIM(Enginuity!$A$17),
    Q102&lt;&gt;"",
    Q102&lt;&gt;0,
    OR(
      TRIM(C102)=TRIM(Enginuity!$A$18),
      AND(UPPER(TRIM(M102))="STD", TRIM(B102)=TRIM(Enginuity!$A$17))
    ),
    OR(
      AND(LEFT(P102,5)="1-Way", Enginuity!$B$13=1),
      AND(LEFT(P102,5)="2-Way", OR(Enginuity!$B$13=2, Enginuity!$B$13=4)),
      AND(LEFT(P102,5)="3-Way", OR(Enginuity!$B$13=3, Enginuity!$B$13=6)),
      AND(P102="Inner Centre Jamb", OR(Enginuity!$B$13=4, Enginuity!$B$13=6)),
      AND(
        LEFT(P102,5)&lt;&gt;"1-Way",
        LEFT(P102,5)&lt;&gt;"2-Way",
        LEFT(P102,5)&lt;&gt;"3-Way",
        P102&lt;&gt;"Inner Centre Jamb"
      )
    ),
    IF(OR(Enginuity!$A$1="Frameless Glass",Enginuity!$A$1="Metal Work"),
      AND(TRIM(B102)=TRIM(Enginuity!$A$17),TRIM(C102)=TRIM(Enginuity!$A$18)),
      TRIM(B102)=TRIM(Enginuity!$A$17)
    )
  ),
  ROW(),
  ""
)</f>
        <v/>
      </c>
      <c r="AW102" t="s">
        <v>74</v>
      </c>
      <c r="AX102" s="5">
        <v>13.65</v>
      </c>
      <c r="AZ102" s="5"/>
      <c r="BA102" t="s">
        <v>1000</v>
      </c>
      <c r="BB102" s="5">
        <v>5.6</v>
      </c>
      <c r="BD102" t="s">
        <v>621</v>
      </c>
      <c r="BE102" s="5">
        <v>3.5</v>
      </c>
    </row>
    <row r="103" spans="1:57" x14ac:dyDescent="0.25">
      <c r="A103" s="10" t="s">
        <v>254</v>
      </c>
      <c r="B103" s="229" t="s">
        <v>12</v>
      </c>
      <c r="C103" s="10" t="s">
        <v>107</v>
      </c>
      <c r="D103" s="14" t="str">
        <v xml:space="preserve">5" Louver Blade N/A </v>
      </c>
      <c r="E103" s="157"/>
      <c r="F103" s="10"/>
      <c r="G103" s="17"/>
      <c r="H103" s="10"/>
      <c r="I103" s="17"/>
      <c r="J103" s="83"/>
      <c r="K103" s="343"/>
      <c r="L103" s="347"/>
      <c r="M103" s="89">
        <v>4</v>
      </c>
      <c r="N103" s="10" t="s">
        <v>103</v>
      </c>
      <c r="O103" s="22">
        <v>3.9</v>
      </c>
      <c r="P103" s="14" t="s">
        <v>282</v>
      </c>
      <c r="Q103" s="83">
        <f>Enginuity!$B$6*2</f>
        <v>40</v>
      </c>
      <c r="U103" s="104" t="str">
        <f>IF(
  AND(
    TRIM(A103)=TRIM(Enginuity!$A$1),
    TRIM(B103)=TRIM(Enginuity!$A$17),
    Q103&lt;&gt;"",
    Q103&lt;&gt;0,
    OR(
      TRIM(C103)=TRIM(Enginuity!$A$18),
      AND(UPPER(TRIM(M103))="STD", TRIM(B103)=TRIM(Enginuity!$A$17))
    ),
    OR(
      AND(LEFT(P103,5)="1-Way", Enginuity!$B$13=1),
      AND(LEFT(P103,5)="2-Way", OR(Enginuity!$B$13=2, Enginuity!$B$13=4)),
      AND(LEFT(P103,5)="3-Way", OR(Enginuity!$B$13=3, Enginuity!$B$13=6)),
      AND(P103="Inner Centre Jamb", OR(Enginuity!$B$13=4, Enginuity!$B$13=6)),
      AND(
        LEFT(P103,5)&lt;&gt;"1-Way",
        LEFT(P103,5)&lt;&gt;"2-Way",
        LEFT(P103,5)&lt;&gt;"3-Way",
        P103&lt;&gt;"Inner Centre Jamb"
      )
    ),
    IF(OR(Enginuity!$A$1="Frameless Glass",Enginuity!$A$1="Metal Work"),
      AND(TRIM(B103)=TRIM(Enginuity!$A$17),TRIM(C103)=TRIM(Enginuity!$A$18)),
      TRIM(B103)=TRIM(Enginuity!$A$17)
    )
  ),
  ROW(),
  ""
)</f>
        <v/>
      </c>
      <c r="AW103" t="s">
        <v>47</v>
      </c>
      <c r="AX103" s="5">
        <v>12.1</v>
      </c>
      <c r="AZ103" s="5"/>
      <c r="BA103" t="s">
        <v>980</v>
      </c>
      <c r="BB103" s="5">
        <v>1.8</v>
      </c>
      <c r="BD103" t="s">
        <v>625</v>
      </c>
      <c r="BE103" s="5">
        <v>6.5</v>
      </c>
    </row>
    <row r="104" spans="1:57" x14ac:dyDescent="0.25">
      <c r="A104" s="10" t="s">
        <v>254</v>
      </c>
      <c r="B104" s="229" t="s">
        <v>12</v>
      </c>
      <c r="C104" s="10" t="s">
        <v>107</v>
      </c>
      <c r="D104" s="14" t="str">
        <v>5" Louver Blade P/C</v>
      </c>
      <c r="E104" s="157"/>
      <c r="F104" s="10"/>
      <c r="G104" s="17"/>
      <c r="H104" s="10"/>
      <c r="I104" s="17"/>
      <c r="J104" s="83"/>
      <c r="K104" s="343"/>
      <c r="L104" s="347"/>
      <c r="M104" s="89">
        <v>5</v>
      </c>
      <c r="N104" s="10" t="s">
        <v>103</v>
      </c>
      <c r="O104" s="22">
        <v>3.4</v>
      </c>
      <c r="P104" s="14" t="s">
        <v>285</v>
      </c>
      <c r="Q104" s="83">
        <f>Enginuity!$B$6*2</f>
        <v>40</v>
      </c>
      <c r="U104" s="104" t="str">
        <f>IF(
  AND(
    TRIM(A104)=TRIM(Enginuity!$A$1),
    TRIM(B104)=TRIM(Enginuity!$A$17),
    Q104&lt;&gt;"",
    Q104&lt;&gt;0,
    OR(
      TRIM(C104)=TRIM(Enginuity!$A$18),
      AND(UPPER(TRIM(M104))="STD", TRIM(B104)=TRIM(Enginuity!$A$17))
    ),
    OR(
      AND(LEFT(P104,5)="1-Way", Enginuity!$B$13=1),
      AND(LEFT(P104,5)="2-Way", OR(Enginuity!$B$13=2, Enginuity!$B$13=4)),
      AND(LEFT(P104,5)="3-Way", OR(Enginuity!$B$13=3, Enginuity!$B$13=6)),
      AND(P104="Inner Centre Jamb", OR(Enginuity!$B$13=4, Enginuity!$B$13=6)),
      AND(
        LEFT(P104,5)&lt;&gt;"1-Way",
        LEFT(P104,5)&lt;&gt;"2-Way",
        LEFT(P104,5)&lt;&gt;"3-Way",
        P104&lt;&gt;"Inner Centre Jamb"
      )
    ),
    IF(OR(Enginuity!$A$1="Frameless Glass",Enginuity!$A$1="Metal Work"),
      AND(TRIM(B104)=TRIM(Enginuity!$A$17),TRIM(C104)=TRIM(Enginuity!$A$18)),
      TRIM(B104)=TRIM(Enginuity!$A$17)
    )
  ),
  ROW(),
  ""
)</f>
        <v/>
      </c>
      <c r="AW104" t="s">
        <v>43</v>
      </c>
      <c r="AX104" s="5">
        <v>11</v>
      </c>
      <c r="AZ104" s="5"/>
      <c r="BA104" t="s">
        <v>994</v>
      </c>
      <c r="BB104" s="5">
        <v>6.1</v>
      </c>
      <c r="BD104" t="s">
        <v>626</v>
      </c>
      <c r="BE104" s="5">
        <v>6.5</v>
      </c>
    </row>
    <row r="105" spans="1:57" x14ac:dyDescent="0.25">
      <c r="A105" s="10" t="s">
        <v>254</v>
      </c>
      <c r="B105" s="229" t="s">
        <v>12</v>
      </c>
      <c r="C105" s="10" t="s">
        <v>107</v>
      </c>
      <c r="D105" s="14" t="str">
        <v/>
      </c>
      <c r="E105" s="157"/>
      <c r="F105" s="10"/>
      <c r="G105" s="17"/>
      <c r="H105" s="10"/>
      <c r="I105" s="17"/>
      <c r="J105" s="83"/>
      <c r="K105" s="343"/>
      <c r="L105" s="347"/>
      <c r="M105" s="89">
        <v>6</v>
      </c>
      <c r="N105" s="10" t="s">
        <v>103</v>
      </c>
      <c r="O105" s="22">
        <v>2.84</v>
      </c>
      <c r="P105" s="14" t="s">
        <v>288</v>
      </c>
      <c r="Q105" s="83">
        <f>IF(Enginuity!$B$7&gt;0, 2 * Enginuity!$B$7, "")</f>
        <v>26</v>
      </c>
      <c r="U105" s="104" t="str">
        <f>IF(
  AND(
    TRIM(A105)=TRIM(Enginuity!$A$1),
    TRIM(B105)=TRIM(Enginuity!$A$17),
    Q105&lt;&gt;"",
    Q105&lt;&gt;0,
    OR(
      TRIM(C105)=TRIM(Enginuity!$A$18),
      AND(UPPER(TRIM(M105))="STD", TRIM(B105)=TRIM(Enginuity!$A$17))
    ),
    OR(
      AND(LEFT(P105,5)="1-Way", Enginuity!$B$13=1),
      AND(LEFT(P105,5)="2-Way", OR(Enginuity!$B$13=2, Enginuity!$B$13=4)),
      AND(LEFT(P105,5)="3-Way", OR(Enginuity!$B$13=3, Enginuity!$B$13=6)),
      AND(P105="Inner Centre Jamb", OR(Enginuity!$B$13=4, Enginuity!$B$13=6)),
      AND(
        LEFT(P105,5)&lt;&gt;"1-Way",
        LEFT(P105,5)&lt;&gt;"2-Way",
        LEFT(P105,5)&lt;&gt;"3-Way",
        P105&lt;&gt;"Inner Centre Jamb"
      )
    ),
    IF(OR(Enginuity!$A$1="Frameless Glass",Enginuity!$A$1="Metal Work"),
      AND(TRIM(B105)=TRIM(Enginuity!$A$17),TRIM(C105)=TRIM(Enginuity!$A$18)),
      TRIM(B105)=TRIM(Enginuity!$A$17)
    )
  ),
  ROW(),
  ""
)</f>
        <v/>
      </c>
      <c r="AW105" t="s">
        <v>56</v>
      </c>
      <c r="AX105" s="5">
        <v>17</v>
      </c>
      <c r="AZ105" s="5"/>
      <c r="BA105" t="s">
        <v>1032</v>
      </c>
      <c r="BB105" s="5">
        <v>2.9</v>
      </c>
      <c r="BD105" t="s">
        <v>624</v>
      </c>
      <c r="BE105" s="5">
        <v>9.3000000000000007</v>
      </c>
    </row>
    <row r="106" spans="1:57" x14ac:dyDescent="0.25">
      <c r="A106" s="10" t="s">
        <v>254</v>
      </c>
      <c r="B106" s="229" t="s">
        <v>12</v>
      </c>
      <c r="C106" s="10" t="s">
        <v>107</v>
      </c>
      <c r="D106" s="14" t="str">
        <v/>
      </c>
      <c r="E106" s="157"/>
      <c r="F106" s="10"/>
      <c r="G106" s="17"/>
      <c r="H106" s="10"/>
      <c r="I106" s="17"/>
      <c r="J106" s="83"/>
      <c r="K106" s="343"/>
      <c r="L106" s="347"/>
      <c r="M106" s="89">
        <v>7</v>
      </c>
      <c r="N106" s="10" t="s">
        <v>103</v>
      </c>
      <c r="O106" s="22">
        <v>1.39</v>
      </c>
      <c r="P106" s="14" t="s">
        <v>289</v>
      </c>
      <c r="Q106" s="83">
        <f>IF(Enginuity!$B$6&gt;0, Enginuity!$B$6, "")</f>
        <v>20</v>
      </c>
      <c r="U106" s="104" t="str">
        <f>IF(
  AND(
    TRIM(A106)=TRIM(Enginuity!$A$1),
    TRIM(B106)=TRIM(Enginuity!$A$17),
    Q106&lt;&gt;"",
    Q106&lt;&gt;0,
    OR(
      TRIM(C106)=TRIM(Enginuity!$A$18),
      AND(UPPER(TRIM(M106))="STD", TRIM(B106)=TRIM(Enginuity!$A$17))
    ),
    OR(
      AND(LEFT(P106,5)="1-Way", Enginuity!$B$13=1),
      AND(LEFT(P106,5)="2-Way", OR(Enginuity!$B$13=2, Enginuity!$B$13=4)),
      AND(LEFT(P106,5)="3-Way", OR(Enginuity!$B$13=3, Enginuity!$B$13=6)),
      AND(P106="Inner Centre Jamb", OR(Enginuity!$B$13=4, Enginuity!$B$13=6)),
      AND(
        LEFT(P106,5)&lt;&gt;"1-Way",
        LEFT(P106,5)&lt;&gt;"2-Way",
        LEFT(P106,5)&lt;&gt;"3-Way",
        P106&lt;&gt;"Inner Centre Jamb"
      )
    ),
    IF(OR(Enginuity!$A$1="Frameless Glass",Enginuity!$A$1="Metal Work"),
      AND(TRIM(B106)=TRIM(Enginuity!$A$17),TRIM(C106)=TRIM(Enginuity!$A$18)),
      TRIM(B106)=TRIM(Enginuity!$A$17)
    )
  ),
  ROW(),
  ""
)</f>
        <v/>
      </c>
      <c r="AW106" t="s">
        <v>52</v>
      </c>
      <c r="AX106" s="5">
        <v>16</v>
      </c>
      <c r="AZ106" s="5"/>
      <c r="BA106" t="s">
        <v>1334</v>
      </c>
      <c r="BB106" s="5">
        <v>4.25</v>
      </c>
      <c r="BD106" t="s">
        <v>622</v>
      </c>
      <c r="BE106" s="5">
        <v>11.4</v>
      </c>
    </row>
    <row r="107" spans="1:57" x14ac:dyDescent="0.25">
      <c r="A107" s="10" t="s">
        <v>254</v>
      </c>
      <c r="B107" s="229" t="s">
        <v>12</v>
      </c>
      <c r="C107" s="10" t="s">
        <v>107</v>
      </c>
      <c r="D107" s="14" t="str">
        <v/>
      </c>
      <c r="E107" s="157"/>
      <c r="F107" s="10"/>
      <c r="G107" s="17"/>
      <c r="H107" s="10"/>
      <c r="I107" s="17"/>
      <c r="J107" s="83"/>
      <c r="K107" s="343"/>
      <c r="L107" s="347"/>
      <c r="M107" s="89">
        <v>8</v>
      </c>
      <c r="N107" s="10" t="s">
        <v>103</v>
      </c>
      <c r="O107" s="22">
        <v>1.88</v>
      </c>
      <c r="P107" s="14" t="s">
        <v>290</v>
      </c>
      <c r="Q107" s="83">
        <f>IF(Enginuity!$B$6&gt;0, Enginuity!$B$6, "")</f>
        <v>20</v>
      </c>
      <c r="U107" s="104" t="str">
        <f>IF(
  AND(
    TRIM(A107)=TRIM(Enginuity!$A$1),
    TRIM(B107)=TRIM(Enginuity!$A$17),
    Q107&lt;&gt;"",
    Q107&lt;&gt;0,
    OR(
      TRIM(C107)=TRIM(Enginuity!$A$18),
      AND(UPPER(TRIM(M107))="STD", TRIM(B107)=TRIM(Enginuity!$A$17))
    ),
    OR(
      AND(LEFT(P107,5)="1-Way", Enginuity!$B$13=1),
      AND(LEFT(P107,5)="2-Way", OR(Enginuity!$B$13=2, Enginuity!$B$13=4)),
      AND(LEFT(P107,5)="3-Way", OR(Enginuity!$B$13=3, Enginuity!$B$13=6)),
      AND(P107="Inner Centre Jamb", OR(Enginuity!$B$13=4, Enginuity!$B$13=6)),
      AND(
        LEFT(P107,5)&lt;&gt;"1-Way",
        LEFT(P107,5)&lt;&gt;"2-Way",
        LEFT(P107,5)&lt;&gt;"3-Way",
        P107&lt;&gt;"Inner Centre Jamb"
      )
    ),
    IF(OR(Enginuity!$A$1="Frameless Glass",Enginuity!$A$1="Metal Work"),
      AND(TRIM(B107)=TRIM(Enginuity!$A$17),TRIM(C107)=TRIM(Enginuity!$A$18)),
      TRIM(B107)=TRIM(Enginuity!$A$17)
    )
  ),
  ROW(),
  ""
)</f>
        <v/>
      </c>
      <c r="AW107" t="s">
        <v>62</v>
      </c>
      <c r="AX107" s="5">
        <v>15.25</v>
      </c>
      <c r="AZ107" s="5"/>
      <c r="BA107" t="s">
        <v>986</v>
      </c>
      <c r="BB107" s="5">
        <v>4.25</v>
      </c>
      <c r="BD107" t="s">
        <v>623</v>
      </c>
      <c r="BE107" s="5">
        <v>11.5</v>
      </c>
    </row>
    <row r="108" spans="1:57" x14ac:dyDescent="0.25">
      <c r="A108" s="10" t="s">
        <v>254</v>
      </c>
      <c r="B108" s="229" t="s">
        <v>12</v>
      </c>
      <c r="C108" s="10" t="s">
        <v>107</v>
      </c>
      <c r="D108" s="14" t="str">
        <v/>
      </c>
      <c r="E108" s="157"/>
      <c r="F108" s="10"/>
      <c r="G108" s="17"/>
      <c r="H108" s="10"/>
      <c r="I108" s="17"/>
      <c r="J108" s="83"/>
      <c r="K108" s="343"/>
      <c r="L108" s="347"/>
      <c r="M108" s="89">
        <v>9</v>
      </c>
      <c r="N108" s="10" t="s">
        <v>103</v>
      </c>
      <c r="O108" s="22">
        <v>1.76</v>
      </c>
      <c r="P108" s="14" t="s">
        <v>262</v>
      </c>
      <c r="Q108" s="83">
        <f>IF(AND(Enginuity!$B$7&gt;0, Enginuity!$B$13&gt;0), Enginuity!$B$7 * Enginuity!$B$13, "")</f>
        <v>91</v>
      </c>
      <c r="U108" s="104" t="str">
        <f>IF(
  AND(
    TRIM(A108)=TRIM(Enginuity!$A$1),
    TRIM(B108)=TRIM(Enginuity!$A$17),
    Q108&lt;&gt;"",
    Q108&lt;&gt;0,
    OR(
      TRIM(C108)=TRIM(Enginuity!$A$18),
      AND(UPPER(TRIM(M108))="STD", TRIM(B108)=TRIM(Enginuity!$A$17))
    ),
    OR(
      AND(LEFT(P108,5)="1-Way", Enginuity!$B$13=1),
      AND(LEFT(P108,5)="2-Way", OR(Enginuity!$B$13=2, Enginuity!$B$13=4)),
      AND(LEFT(P108,5)="3-Way", OR(Enginuity!$B$13=3, Enginuity!$B$13=6)),
      AND(P108="Inner Centre Jamb", OR(Enginuity!$B$13=4, Enginuity!$B$13=6)),
      AND(
        LEFT(P108,5)&lt;&gt;"1-Way",
        LEFT(P108,5)&lt;&gt;"2-Way",
        LEFT(P108,5)&lt;&gt;"3-Way",
        P108&lt;&gt;"Inner Centre Jamb"
      )
    ),
    IF(OR(Enginuity!$A$1="Frameless Glass",Enginuity!$A$1="Metal Work"),
      AND(TRIM(B108)=TRIM(Enginuity!$A$17),TRIM(C108)=TRIM(Enginuity!$A$18)),
      TRIM(B108)=TRIM(Enginuity!$A$17)
    )
  ),
  ROW(),
  ""
)</f>
        <v/>
      </c>
      <c r="AW108" t="s">
        <v>70</v>
      </c>
      <c r="AX108" s="5">
        <v>13.65</v>
      </c>
      <c r="AZ108" s="5"/>
      <c r="BA108" t="s">
        <v>1030</v>
      </c>
      <c r="BB108" s="5">
        <v>2.5</v>
      </c>
    </row>
    <row r="109" spans="1:57" x14ac:dyDescent="0.25">
      <c r="A109" s="10" t="s">
        <v>254</v>
      </c>
      <c r="B109" s="229" t="s">
        <v>12</v>
      </c>
      <c r="C109" s="10" t="s">
        <v>107</v>
      </c>
      <c r="D109" s="14" t="str">
        <v/>
      </c>
      <c r="E109" s="157"/>
      <c r="F109" s="10"/>
      <c r="G109" s="17"/>
      <c r="H109" s="10"/>
      <c r="I109" s="17"/>
      <c r="J109" s="83"/>
      <c r="K109" s="343"/>
      <c r="L109" s="347"/>
      <c r="M109" s="89">
        <v>10</v>
      </c>
      <c r="N109" s="10" t="s">
        <v>103</v>
      </c>
      <c r="O109" s="22">
        <v>1.46</v>
      </c>
      <c r="P109" s="14" t="s">
        <v>267</v>
      </c>
      <c r="Q109" s="83">
        <f>IF(AND(Enginuity!$B$7&gt;0, Enginuity!$B$13&gt;0), Enginuity!$B$7 * Enginuity!$B$13, "")</f>
        <v>91</v>
      </c>
      <c r="U109" s="104" t="str">
        <f>IF(
  AND(
    TRIM(A109)=TRIM(Enginuity!$A$1),
    TRIM(B109)=TRIM(Enginuity!$A$17),
    Q109&lt;&gt;"",
    Q109&lt;&gt;0,
    OR(
      TRIM(C109)=TRIM(Enginuity!$A$18),
      AND(UPPER(TRIM(M109))="STD", TRIM(B109)=TRIM(Enginuity!$A$17))
    ),
    OR(
      AND(LEFT(P109,5)="1-Way", Enginuity!$B$13=1),
      AND(LEFT(P109,5)="2-Way", OR(Enginuity!$B$13=2, Enginuity!$B$13=4)),
      AND(LEFT(P109,5)="3-Way", OR(Enginuity!$B$13=3, Enginuity!$B$13=6)),
      AND(P109="Inner Centre Jamb", OR(Enginuity!$B$13=4, Enginuity!$B$13=6)),
      AND(
        LEFT(P109,5)&lt;&gt;"1-Way",
        LEFT(P109,5)&lt;&gt;"2-Way",
        LEFT(P109,5)&lt;&gt;"3-Way",
        P109&lt;&gt;"Inner Centre Jamb"
      )
    ),
    IF(OR(Enginuity!$A$1="Frameless Glass",Enginuity!$A$1="Metal Work"),
      AND(TRIM(B109)=TRIM(Enginuity!$A$17),TRIM(C109)=TRIM(Enginuity!$A$18)),
      TRIM(B109)=TRIM(Enginuity!$A$17)
    )
  ),
  ROW(),
  ""
)</f>
        <v/>
      </c>
      <c r="AW109" t="s">
        <v>75</v>
      </c>
      <c r="AX109" s="5">
        <v>14.7</v>
      </c>
      <c r="AZ109" s="5"/>
      <c r="BA109" t="s">
        <v>1001</v>
      </c>
      <c r="BB109" s="5">
        <v>6.6</v>
      </c>
    </row>
    <row r="110" spans="1:57" x14ac:dyDescent="0.25">
      <c r="A110" s="10" t="s">
        <v>254</v>
      </c>
      <c r="B110" s="229" t="s">
        <v>12</v>
      </c>
      <c r="C110" s="10" t="s">
        <v>107</v>
      </c>
      <c r="D110" s="14"/>
      <c r="E110" s="157"/>
      <c r="F110" s="10"/>
      <c r="G110" s="17"/>
      <c r="H110" s="10"/>
      <c r="I110" s="17"/>
      <c r="J110" s="83"/>
      <c r="K110" s="343"/>
      <c r="L110" s="347"/>
      <c r="M110" s="89">
        <v>11</v>
      </c>
      <c r="N110" s="10" t="s">
        <v>103</v>
      </c>
      <c r="O110" s="22">
        <v>0.91</v>
      </c>
      <c r="P110" s="14" t="s">
        <v>109</v>
      </c>
      <c r="Q110" s="83">
        <f>IF(Enginuity!$B$7&gt;0, Enginuity!$B$7, "")</f>
        <v>13</v>
      </c>
      <c r="U110" s="104" t="str">
        <f>IF(
  AND(
    TRIM(A110)=TRIM(Enginuity!$A$1),
    TRIM(B110)=TRIM(Enginuity!$A$17),
    Q110&lt;&gt;"",
    Q110&lt;&gt;0,
    OR(
      TRIM(C110)=TRIM(Enginuity!$A$18),
      AND(UPPER(TRIM(M110))="STD", TRIM(B110)=TRIM(Enginuity!$A$17))
    ),
    OR(
      AND(LEFT(P110,5)="1-Way", Enginuity!$B$13=1),
      AND(LEFT(P110,5)="2-Way", OR(Enginuity!$B$13=2, Enginuity!$B$13=4)),
      AND(LEFT(P110,5)="3-Way", OR(Enginuity!$B$13=3, Enginuity!$B$13=6)),
      AND(P110="Inner Centre Jamb", OR(Enginuity!$B$13=4, Enginuity!$B$13=6)),
      AND(
        LEFT(P110,5)&lt;&gt;"1-Way",
        LEFT(P110,5)&lt;&gt;"2-Way",
        LEFT(P110,5)&lt;&gt;"3-Way",
        P110&lt;&gt;"Inner Centre Jamb"
      )
    ),
    IF(OR(Enginuity!$A$1="Frameless Glass",Enginuity!$A$1="Metal Work"),
      AND(TRIM(B110)=TRIM(Enginuity!$A$17),TRIM(C110)=TRIM(Enginuity!$A$18)),
      TRIM(B110)=TRIM(Enginuity!$A$17)
    )
  ),
  ROW(),
  ""
)</f>
        <v/>
      </c>
      <c r="AW110" t="s">
        <v>66</v>
      </c>
      <c r="AX110" s="5">
        <v>25.3</v>
      </c>
      <c r="AZ110" s="5"/>
      <c r="BA110" t="s">
        <v>991</v>
      </c>
      <c r="BB110" s="5">
        <v>5.4</v>
      </c>
    </row>
    <row r="111" spans="1:57" x14ac:dyDescent="0.25">
      <c r="A111" s="10" t="s">
        <v>254</v>
      </c>
      <c r="B111" s="229" t="s">
        <v>12</v>
      </c>
      <c r="C111" s="10" t="s">
        <v>107</v>
      </c>
      <c r="D111" s="14"/>
      <c r="E111" s="157"/>
      <c r="F111" s="10"/>
      <c r="G111" s="17"/>
      <c r="H111" s="10"/>
      <c r="I111" s="17"/>
      <c r="J111" s="83"/>
      <c r="K111" s="343"/>
      <c r="L111" s="347"/>
      <c r="M111" s="89">
        <v>12</v>
      </c>
      <c r="N111" s="10" t="s">
        <v>176</v>
      </c>
      <c r="O111" s="22" t="str">
        <f>IF(Enginuity!$A$20="", "",
 IF(Enginuity!$A$20="Lattice Design", $F$9,
 IF(Enginuity!$A$20="Lattice Design 12 Box / Panel", $F$10,
 ""))
)</f>
        <v/>
      </c>
      <c r="P111" s="5" t="str">
        <f>Enginuity!$A$20</f>
        <v>Z-Louvre Blade - 5"</v>
      </c>
      <c r="Q111" s="22" t="str">
        <f>IF(O111&lt;&gt;"",1,"")</f>
        <v/>
      </c>
      <c r="U111" s="104" t="str">
        <f>IF(
  AND(
    TRIM(A111)=TRIM(Enginuity!$A$1),
    TRIM(B111)=TRIM(Enginuity!$A$17),
    Q111&lt;&gt;"",
    Q111&lt;&gt;0,
    OR(
      TRIM(C111)=TRIM(Enginuity!$A$18),
      AND(UPPER(TRIM(M111))="STD", TRIM(B111)=TRIM(Enginuity!$A$17))
    ),
    OR(
      AND(LEFT(P111,5)="1-Way", Enginuity!$B$13=1),
      AND(LEFT(P111,5)="2-Way", OR(Enginuity!$B$13=2, Enginuity!$B$13=4)),
      AND(LEFT(P111,5)="3-Way", OR(Enginuity!$B$13=3, Enginuity!$B$13=6)),
      AND(P111="Inner Centre Jamb", OR(Enginuity!$B$13=4, Enginuity!$B$13=6)),
      AND(
        LEFT(P111,5)&lt;&gt;"1-Way",
        LEFT(P111,5)&lt;&gt;"2-Way",
        LEFT(P111,5)&lt;&gt;"3-Way",
        P111&lt;&gt;"Inner Centre Jamb"
      )
    ),
    IF(OR(Enginuity!$A$1="Frameless Glass",Enginuity!$A$1="Metal Work"),
      AND(TRIM(B111)=TRIM(Enginuity!$A$17),TRIM(C111)=TRIM(Enginuity!$A$18)),
      TRIM(B111)=TRIM(Enginuity!$A$17)
    )
  ),
  ROW(),
  ""
)</f>
        <v/>
      </c>
      <c r="AW111" t="s">
        <v>65</v>
      </c>
      <c r="AX111" s="5">
        <v>24.2</v>
      </c>
      <c r="AZ111" s="5"/>
      <c r="BA111" t="s">
        <v>1018</v>
      </c>
      <c r="BB111" s="5">
        <v>4.4000000000000004</v>
      </c>
    </row>
    <row r="112" spans="1:57" x14ac:dyDescent="0.25">
      <c r="A112" s="10" t="s">
        <v>254</v>
      </c>
      <c r="B112" s="229" t="s">
        <v>12</v>
      </c>
      <c r="C112" s="10" t="s">
        <v>107</v>
      </c>
      <c r="E112" s="240"/>
      <c r="F112" s="10"/>
      <c r="G112" s="17"/>
      <c r="H112" s="10"/>
      <c r="I112" s="17"/>
      <c r="J112" s="83"/>
      <c r="K112" s="343"/>
      <c r="L112" s="347"/>
      <c r="M112" s="89">
        <v>13</v>
      </c>
      <c r="N112" s="10" t="s">
        <v>176</v>
      </c>
      <c r="O112" s="22" t="str">
        <f>IF(Enginuity!$A$21="12""H Top Hung Standard Casement Profile", $F$11,
IF(Enginuity!$A$21="12""H Top / Bottom Fix Standard Casement Profile", $F$12,
""))</f>
        <v/>
      </c>
      <c r="P112" s="106" t="str">
        <f>Enginuity!$A$21</f>
        <v>SF 4"</v>
      </c>
      <c r="Q112" s="22" t="str">
        <f>IF(O112&lt;&gt;"",1,"")</f>
        <v/>
      </c>
      <c r="U112" s="104" t="str">
        <f>IF(
  AND(
    TRIM(A112)=TRIM(Enginuity!$A$1),
    TRIM(B112)=TRIM(Enginuity!$A$17),
    Q112&lt;&gt;"",
    Q112&lt;&gt;0,
    OR(
      TRIM(C112)=TRIM(Enginuity!$A$18),
      AND(UPPER(TRIM(M112))="STD", TRIM(B112)=TRIM(Enginuity!$A$17))
    ),
    OR(
      AND(LEFT(P112,5)="1-Way", Enginuity!$B$13=1),
      AND(LEFT(P112,5)="2-Way", OR(Enginuity!$B$13=2, Enginuity!$B$13=4)),
      AND(LEFT(P112,5)="3-Way", OR(Enginuity!$B$13=3, Enginuity!$B$13=6)),
      AND(P112="Inner Centre Jamb", OR(Enginuity!$B$13=4, Enginuity!$B$13=6)),
      AND(
        LEFT(P112,5)&lt;&gt;"1-Way",
        LEFT(P112,5)&lt;&gt;"2-Way",
        LEFT(P112,5)&lt;&gt;"3-Way",
        P112&lt;&gt;"Inner Centre Jamb"
      )
    ),
    IF(OR(Enginuity!$A$1="Frameless Glass",Enginuity!$A$1="Metal Work"),
      AND(TRIM(B112)=TRIM(Enginuity!$A$17),TRIM(C112)=TRIM(Enginuity!$A$18)),
      TRIM(B112)=TRIM(Enginuity!$A$17)
    )
  ),
  ROW(),
  ""
)</f>
        <v/>
      </c>
      <c r="AW112" t="s">
        <v>48</v>
      </c>
      <c r="AX112" s="5">
        <v>13.75</v>
      </c>
      <c r="AZ112" s="5"/>
      <c r="BA112" t="s">
        <v>981</v>
      </c>
      <c r="BB112" s="5">
        <v>2.0499999999999998</v>
      </c>
    </row>
    <row r="113" spans="1:54" x14ac:dyDescent="0.25">
      <c r="A113" s="10" t="s">
        <v>254</v>
      </c>
      <c r="B113" s="229" t="s">
        <v>12</v>
      </c>
      <c r="C113" s="10" t="s">
        <v>107</v>
      </c>
      <c r="D113" s="14"/>
      <c r="E113" s="157"/>
      <c r="F113" s="10"/>
      <c r="G113" s="17"/>
      <c r="H113" s="10"/>
      <c r="I113" s="17"/>
      <c r="J113" s="83"/>
      <c r="K113" s="343"/>
      <c r="L113" s="347"/>
      <c r="M113" s="89">
        <v>14</v>
      </c>
      <c r="N113" s="10" t="s">
        <v>176</v>
      </c>
      <c r="O113" s="22" t="str">
        <f>IF(Enginuity!$A$22="Subframe 1"" X 2""", $J$2, "")</f>
        <v/>
      </c>
      <c r="P113" s="106" t="str">
        <f>Enginuity!$A$22</f>
        <v>▼ [Lattice]</v>
      </c>
      <c r="Q113" s="22" t="str">
        <f>IF(O113&lt;&gt;"",1,"")</f>
        <v/>
      </c>
      <c r="U113" s="104" t="str">
        <f>IF(
  AND(
    TRIM(A113)=TRIM(Enginuity!$A$1),
    TRIM(B113)=TRIM(Enginuity!$A$17),
    Q113&lt;&gt;"",
    Q113&lt;&gt;0,
    OR(
      TRIM(C113)=TRIM(Enginuity!$A$18),
      AND(UPPER(TRIM(M113))="STD", TRIM(B113)=TRIM(Enginuity!$A$17))
    ),
    OR(
      AND(LEFT(P113,5)="1-Way", Enginuity!$B$13=1),
      AND(LEFT(P113,5)="2-Way", OR(Enginuity!$B$13=2, Enginuity!$B$13=4)),
      AND(LEFT(P113,5)="3-Way", OR(Enginuity!$B$13=3, Enginuity!$B$13=6)),
      AND(P113="Inner Centre Jamb", OR(Enginuity!$B$13=4, Enginuity!$B$13=6)),
      AND(
        LEFT(P113,5)&lt;&gt;"1-Way",
        LEFT(P113,5)&lt;&gt;"2-Way",
        LEFT(P113,5)&lt;&gt;"3-Way",
        P113&lt;&gt;"Inner Centre Jamb"
      )
    ),
    IF(OR(Enginuity!$A$1="Frameless Glass",Enginuity!$A$1="Metal Work"),
      AND(TRIM(B113)=TRIM(Enginuity!$A$17),TRIM(C113)=TRIM(Enginuity!$A$18)),
      TRIM(B113)=TRIM(Enginuity!$A$17)
    )
  ),
  ROW(),
  ""
)</f>
        <v/>
      </c>
      <c r="AW113" t="s">
        <v>44</v>
      </c>
      <c r="AX113" s="5">
        <v>12.65</v>
      </c>
      <c r="AZ113" s="5"/>
      <c r="BA113" t="s">
        <v>1348</v>
      </c>
      <c r="BB113" s="5">
        <v>10</v>
      </c>
    </row>
    <row r="114" spans="1:54" x14ac:dyDescent="0.25">
      <c r="A114" s="10" t="s">
        <v>254</v>
      </c>
      <c r="B114" s="229" t="s">
        <v>12</v>
      </c>
      <c r="C114" s="10" t="s">
        <v>107</v>
      </c>
      <c r="D114" s="14"/>
      <c r="E114" s="157"/>
      <c r="F114" s="10"/>
      <c r="G114" s="17"/>
      <c r="H114" s="10"/>
      <c r="I114" s="17"/>
      <c r="J114" s="83"/>
      <c r="K114" s="343"/>
      <c r="L114" s="347"/>
      <c r="M114" s="89">
        <v>15</v>
      </c>
      <c r="N114" s="10"/>
      <c r="O114" s="22"/>
      <c r="P114" s="14"/>
      <c r="Q114" s="83"/>
      <c r="U114" s="104" t="str">
        <f>IF(
  AND(
    TRIM(A114)=TRIM(Enginuity!$A$1),
    TRIM(B114)=TRIM(Enginuity!$A$17),
    Q114&lt;&gt;"",
    Q114&lt;&gt;0,
    OR(
      TRIM(C114)=TRIM(Enginuity!$A$18),
      AND(UPPER(TRIM(M114))="STD", TRIM(B114)=TRIM(Enginuity!$A$17))
    ),
    OR(
      AND(LEFT(P114,5)="1-Way", Enginuity!$B$13=1),
      AND(LEFT(P114,5)="2-Way", OR(Enginuity!$B$13=2, Enginuity!$B$13=4)),
      AND(LEFT(P114,5)="3-Way", OR(Enginuity!$B$13=3, Enginuity!$B$13=6)),
      AND(P114="Inner Centre Jamb", OR(Enginuity!$B$13=4, Enginuity!$B$13=6)),
      AND(
        LEFT(P114,5)&lt;&gt;"1-Way",
        LEFT(P114,5)&lt;&gt;"2-Way",
        LEFT(P114,5)&lt;&gt;"3-Way",
        P114&lt;&gt;"Inner Centre Jamb"
      )
    ),
    IF(OR(Enginuity!$A$1="Frameless Glass",Enginuity!$A$1="Metal Work"),
      AND(TRIM(B114)=TRIM(Enginuity!$A$17),TRIM(C114)=TRIM(Enginuity!$A$18)),
      TRIM(B114)=TRIM(Enginuity!$A$17)
    )
  ),
  ROW(),
  ""
)</f>
        <v/>
      </c>
      <c r="AW114" t="s">
        <v>57</v>
      </c>
      <c r="AX114" s="5">
        <v>18</v>
      </c>
      <c r="AZ114" s="5"/>
      <c r="BA114" t="s">
        <v>1349</v>
      </c>
      <c r="BB114" s="5">
        <v>12</v>
      </c>
    </row>
    <row r="115" spans="1:54" x14ac:dyDescent="0.25">
      <c r="A115" s="10" t="s">
        <v>254</v>
      </c>
      <c r="B115" s="229" t="s">
        <v>12</v>
      </c>
      <c r="C115" s="10" t="s">
        <v>107</v>
      </c>
      <c r="D115" s="14"/>
      <c r="E115" s="157"/>
      <c r="F115" s="10"/>
      <c r="G115" s="17"/>
      <c r="H115" s="10"/>
      <c r="I115" s="17"/>
      <c r="J115" s="83"/>
      <c r="K115" s="343"/>
      <c r="L115" s="347"/>
      <c r="M115" s="89">
        <v>16</v>
      </c>
      <c r="N115" s="10"/>
      <c r="O115" s="22"/>
      <c r="P115" s="14"/>
      <c r="Q115" s="83"/>
      <c r="U115" s="104" t="str">
        <f>IF(
  AND(
    TRIM(A115)=TRIM(Enginuity!$A$1),
    TRIM(B115)=TRIM(Enginuity!$A$17),
    Q115&lt;&gt;"",
    Q115&lt;&gt;0,
    OR(
      TRIM(C115)=TRIM(Enginuity!$A$18),
      AND(UPPER(TRIM(M115))="STD", TRIM(B115)=TRIM(Enginuity!$A$17))
    ),
    OR(
      AND(LEFT(P115,5)="1-Way", Enginuity!$B$13=1),
      AND(LEFT(P115,5)="2-Way", OR(Enginuity!$B$13=2, Enginuity!$B$13=4)),
      AND(LEFT(P115,5)="3-Way", OR(Enginuity!$B$13=3, Enginuity!$B$13=6)),
      AND(P115="Inner Centre Jamb", OR(Enginuity!$B$13=4, Enginuity!$B$13=6)),
      AND(
        LEFT(P115,5)&lt;&gt;"1-Way",
        LEFT(P115,5)&lt;&gt;"2-Way",
        LEFT(P115,5)&lt;&gt;"3-Way",
        P115&lt;&gt;"Inner Centre Jamb"
      )
    ),
    IF(OR(Enginuity!$A$1="Frameless Glass",Enginuity!$A$1="Metal Work"),
      AND(TRIM(B115)=TRIM(Enginuity!$A$17),TRIM(C115)=TRIM(Enginuity!$A$18)),
      TRIM(B115)=TRIM(Enginuity!$A$17)
    )
  ),
  ROW(),
  ""
)</f>
        <v/>
      </c>
      <c r="AW115" t="s">
        <v>53</v>
      </c>
      <c r="AX115" s="5">
        <v>17</v>
      </c>
      <c r="AZ115" s="5"/>
      <c r="BA115" t="s">
        <v>989</v>
      </c>
      <c r="BB115" s="5">
        <v>2.9</v>
      </c>
    </row>
    <row r="116" spans="1:54" x14ac:dyDescent="0.25">
      <c r="A116" s="10" t="s">
        <v>254</v>
      </c>
      <c r="B116" s="229" t="s">
        <v>12</v>
      </c>
      <c r="C116" s="10" t="s">
        <v>107</v>
      </c>
      <c r="D116" s="14"/>
      <c r="E116" s="157"/>
      <c r="F116" s="10"/>
      <c r="G116" s="17"/>
      <c r="H116" s="10"/>
      <c r="I116" s="17"/>
      <c r="J116" s="83"/>
      <c r="K116" s="343"/>
      <c r="L116" s="347"/>
      <c r="M116" s="89">
        <v>17</v>
      </c>
      <c r="N116" s="10"/>
      <c r="O116" s="22"/>
      <c r="P116" s="14"/>
      <c r="Q116" s="83"/>
      <c r="U116" s="104" t="str">
        <f>IF(
  AND(
    TRIM(A116)=TRIM(Enginuity!$A$1),
    TRIM(B116)=TRIM(Enginuity!$A$17),
    Q116&lt;&gt;"",
    Q116&lt;&gt;0,
    OR(
      TRIM(C116)=TRIM(Enginuity!$A$18),
      AND(UPPER(TRIM(M116))="STD", TRIM(B116)=TRIM(Enginuity!$A$17))
    ),
    OR(
      AND(LEFT(P116,5)="1-Way", Enginuity!$B$13=1),
      AND(LEFT(P116,5)="2-Way", OR(Enginuity!$B$13=2, Enginuity!$B$13=4)),
      AND(LEFT(P116,5)="3-Way", OR(Enginuity!$B$13=3, Enginuity!$B$13=6)),
      AND(P116="Inner Centre Jamb", OR(Enginuity!$B$13=4, Enginuity!$B$13=6)),
      AND(
        LEFT(P116,5)&lt;&gt;"1-Way",
        LEFT(P116,5)&lt;&gt;"2-Way",
        LEFT(P116,5)&lt;&gt;"3-Way",
        P116&lt;&gt;"Inner Centre Jamb"
      )
    ),
    IF(OR(Enginuity!$A$1="Frameless Glass",Enginuity!$A$1="Metal Work"),
      AND(TRIM(B116)=TRIM(Enginuity!$A$17),TRIM(C116)=TRIM(Enginuity!$A$18)),
      TRIM(B116)=TRIM(Enginuity!$A$17)
    )
  ),
  ROW(),
  ""
)</f>
        <v/>
      </c>
      <c r="AW116" t="s">
        <v>170</v>
      </c>
      <c r="AX116" s="5">
        <v>2.25</v>
      </c>
      <c r="AZ116" s="5"/>
      <c r="BA116" t="s">
        <v>1025</v>
      </c>
      <c r="BB116" s="5">
        <v>4.5999999999999996</v>
      </c>
    </row>
    <row r="117" spans="1:54" x14ac:dyDescent="0.25">
      <c r="A117" s="10" t="s">
        <v>254</v>
      </c>
      <c r="B117" s="229" t="s">
        <v>12</v>
      </c>
      <c r="C117" s="10"/>
      <c r="D117" s="14"/>
      <c r="E117" s="157"/>
      <c r="F117" s="10"/>
      <c r="G117" s="17"/>
      <c r="H117" s="10"/>
      <c r="I117" s="17"/>
      <c r="J117" s="83"/>
      <c r="K117" s="343"/>
      <c r="L117" s="347"/>
      <c r="M117" s="89">
        <v>18</v>
      </c>
      <c r="N117" s="10"/>
      <c r="O117" s="22"/>
      <c r="P117" s="14"/>
      <c r="Q117" s="83"/>
      <c r="U117" s="104" t="str">
        <f>IF(
  AND(
    TRIM(A117)=TRIM(Enginuity!$A$1),
    TRIM(B117)=TRIM(Enginuity!$A$17),
    Q117&lt;&gt;"",
    Q117&lt;&gt;0,
    OR(
      TRIM(C117)=TRIM(Enginuity!$A$18),
      AND(UPPER(TRIM(M117))="STD", TRIM(B117)=TRIM(Enginuity!$A$17))
    ),
    OR(
      AND(LEFT(P117,5)="1-Way", Enginuity!$B$13=1),
      AND(LEFT(P117,5)="2-Way", OR(Enginuity!$B$13=2, Enginuity!$B$13=4)),
      AND(LEFT(P117,5)="3-Way", OR(Enginuity!$B$13=3, Enginuity!$B$13=6)),
      AND(P117="Inner Centre Jamb", OR(Enginuity!$B$13=4, Enginuity!$B$13=6)),
      AND(
        LEFT(P117,5)&lt;&gt;"1-Way",
        LEFT(P117,5)&lt;&gt;"2-Way",
        LEFT(P117,5)&lt;&gt;"3-Way",
        P117&lt;&gt;"Inner Centre Jamb"
      )
    ),
    IF(OR(Enginuity!$A$1="Frameless Glass",Enginuity!$A$1="Metal Work"),
      AND(TRIM(B117)=TRIM(Enginuity!$A$17),TRIM(C117)=TRIM(Enginuity!$A$18)),
      TRIM(B117)=TRIM(Enginuity!$A$17)
    )
  ),
  ROW(),
  ""
)</f>
        <v/>
      </c>
      <c r="AW117" t="s">
        <v>64</v>
      </c>
      <c r="AX117" s="5">
        <v>17.05</v>
      </c>
      <c r="AZ117" s="5"/>
      <c r="BA117" t="s">
        <v>1012</v>
      </c>
      <c r="BB117" s="5">
        <v>3.9</v>
      </c>
    </row>
    <row r="118" spans="1:54" x14ac:dyDescent="0.25">
      <c r="A118" s="10" t="s">
        <v>254</v>
      </c>
      <c r="B118" s="229" t="s">
        <v>12</v>
      </c>
      <c r="C118" s="10" t="s">
        <v>97</v>
      </c>
      <c r="D118" s="14"/>
      <c r="E118" s="157" t="s">
        <v>257</v>
      </c>
      <c r="F118" s="14" t="s">
        <v>352</v>
      </c>
      <c r="G118" s="17" t="s">
        <v>9</v>
      </c>
      <c r="H118" s="10"/>
      <c r="I118" s="17"/>
      <c r="J118" s="83"/>
      <c r="K118" s="344">
        <v>0.58540000000000003</v>
      </c>
      <c r="L118" s="347">
        <v>609.6</v>
      </c>
      <c r="M118" s="89">
        <v>19</v>
      </c>
      <c r="N118" s="10" t="s">
        <v>103</v>
      </c>
      <c r="O118" s="22">
        <v>3.48</v>
      </c>
      <c r="P118" s="14" t="s">
        <v>281</v>
      </c>
      <c r="Q118" s="98">
        <f>Enginuity!$B$6</f>
        <v>20</v>
      </c>
      <c r="U118" s="104" t="str">
        <f>IF(
  AND(
    TRIM(A118)=TRIM(Enginuity!$A$1),
    TRIM(B118)=TRIM(Enginuity!$A$17),
    Q118&lt;&gt;"",
    Q118&lt;&gt;0,
    OR(
      TRIM(C118)=TRIM(Enginuity!$A$18),
      AND(UPPER(TRIM(M118))="STD", TRIM(B118)=TRIM(Enginuity!$A$17))
    ),
    OR(
      AND(LEFT(P118,5)="1-Way", Enginuity!$B$13=1),
      AND(LEFT(P118,5)="2-Way", OR(Enginuity!$B$13=2, Enginuity!$B$13=4)),
      AND(LEFT(P118,5)="3-Way", OR(Enginuity!$B$13=3, Enginuity!$B$13=6)),
      AND(P118="Inner Centre Jamb", OR(Enginuity!$B$13=4, Enginuity!$B$13=6)),
      AND(
        LEFT(P118,5)&lt;&gt;"1-Way",
        LEFT(P118,5)&lt;&gt;"2-Way",
        LEFT(P118,5)&lt;&gt;"3-Way",
        P118&lt;&gt;"Inner Centre Jamb"
      )
    ),
    IF(OR(Enginuity!$A$1="Frameless Glass",Enginuity!$A$1="Metal Work"),
      AND(TRIM(B118)=TRIM(Enginuity!$A$17),TRIM(C118)=TRIM(Enginuity!$A$18)),
      TRIM(B118)=TRIM(Enginuity!$A$17)
    )
  ),
  ROW(),
  ""
)</f>
        <v/>
      </c>
      <c r="AW118" t="s">
        <v>63</v>
      </c>
      <c r="AX118" s="5">
        <v>16.8</v>
      </c>
      <c r="AZ118" s="5"/>
      <c r="BA118" t="s">
        <v>995</v>
      </c>
      <c r="BB118" s="5">
        <v>7.7</v>
      </c>
    </row>
    <row r="119" spans="1:54" x14ac:dyDescent="0.25">
      <c r="A119" s="10" t="s">
        <v>254</v>
      </c>
      <c r="B119" s="229" t="s">
        <v>12</v>
      </c>
      <c r="C119" s="10" t="s">
        <v>97</v>
      </c>
      <c r="D119" s="14"/>
      <c r="E119" s="157" t="s">
        <v>269</v>
      </c>
      <c r="F119" s="14" t="s">
        <v>356</v>
      </c>
      <c r="G119" s="17"/>
      <c r="H119" s="10"/>
      <c r="I119" s="17"/>
      <c r="J119" s="83"/>
      <c r="K119" s="343"/>
      <c r="L119" s="347"/>
      <c r="M119" s="89">
        <v>20</v>
      </c>
      <c r="N119" s="10" t="s">
        <v>103</v>
      </c>
      <c r="O119" s="22">
        <v>2.99</v>
      </c>
      <c r="P119" s="14" t="s">
        <v>284</v>
      </c>
      <c r="Q119" s="98">
        <f>Enginuity!$B$6</f>
        <v>20</v>
      </c>
      <c r="U119" s="104" t="str">
        <f>IF(
  AND(
    TRIM(A119)=TRIM(Enginuity!$A$1),
    TRIM(B119)=TRIM(Enginuity!$A$17),
    Q119&lt;&gt;"",
    Q119&lt;&gt;0,
    OR(
      TRIM(C119)=TRIM(Enginuity!$A$18),
      AND(UPPER(TRIM(M119))="STD", TRIM(B119)=TRIM(Enginuity!$A$17))
    ),
    OR(
      AND(LEFT(P119,5)="1-Way", Enginuity!$B$13=1),
      AND(LEFT(P119,5)="2-Way", OR(Enginuity!$B$13=2, Enginuity!$B$13=4)),
      AND(LEFT(P119,5)="3-Way", OR(Enginuity!$B$13=3, Enginuity!$B$13=6)),
      AND(P119="Inner Centre Jamb", OR(Enginuity!$B$13=4, Enginuity!$B$13=6)),
      AND(
        LEFT(P119,5)&lt;&gt;"1-Way",
        LEFT(P119,5)&lt;&gt;"2-Way",
        LEFT(P119,5)&lt;&gt;"3-Way",
        P119&lt;&gt;"Inner Centre Jamb"
      )
    ),
    IF(OR(Enginuity!$A$1="Frameless Glass",Enginuity!$A$1="Metal Work"),
      AND(TRIM(B119)=TRIM(Enginuity!$A$17),TRIM(C119)=TRIM(Enginuity!$A$18)),
      TRIM(B119)=TRIM(Enginuity!$A$17)
    )
  ),
  ROW(),
  ""
)</f>
        <v/>
      </c>
      <c r="AW119" t="s">
        <v>169</v>
      </c>
      <c r="AX119" s="5">
        <v>5.4375</v>
      </c>
      <c r="AZ119" s="5"/>
      <c r="BA119" t="s">
        <v>1004</v>
      </c>
      <c r="BB119" s="5">
        <v>2.9</v>
      </c>
    </row>
    <row r="120" spans="1:54" x14ac:dyDescent="0.25">
      <c r="A120" s="10" t="s">
        <v>254</v>
      </c>
      <c r="B120" s="229" t="s">
        <v>12</v>
      </c>
      <c r="C120" s="10" t="s">
        <v>97</v>
      </c>
      <c r="D120" s="14"/>
      <c r="E120" s="157"/>
      <c r="F120" s="10"/>
      <c r="G120" s="17"/>
      <c r="H120" s="10"/>
      <c r="I120" s="17"/>
      <c r="J120" s="83"/>
      <c r="K120" s="343"/>
      <c r="L120" s="347"/>
      <c r="M120" s="89">
        <v>21</v>
      </c>
      <c r="N120" s="10" t="s">
        <v>103</v>
      </c>
      <c r="O120" s="22">
        <v>2.64</v>
      </c>
      <c r="P120" s="14" t="s">
        <v>287</v>
      </c>
      <c r="Q120" s="83">
        <f>IF(Enginuity!$B$7&gt;0, 2 * Enginuity!$B$7, "")</f>
        <v>26</v>
      </c>
      <c r="U120" s="104" t="str">
        <f>IF(
  AND(
    TRIM(A120)=TRIM(Enginuity!$A$1),
    TRIM(B120)=TRIM(Enginuity!$A$17),
    Q120&lt;&gt;"",
    Q120&lt;&gt;0,
    OR(
      TRIM(C120)=TRIM(Enginuity!$A$18),
      AND(UPPER(TRIM(M120))="STD", TRIM(B120)=TRIM(Enginuity!$A$17))
    ),
    OR(
      AND(LEFT(P120,5)="1-Way", Enginuity!$B$13=1),
      AND(LEFT(P120,5)="2-Way", OR(Enginuity!$B$13=2, Enginuity!$B$13=4)),
      AND(LEFT(P120,5)="3-Way", OR(Enginuity!$B$13=3, Enginuity!$B$13=6)),
      AND(P120="Inner Centre Jamb", OR(Enginuity!$B$13=4, Enginuity!$B$13=6)),
      AND(
        LEFT(P120,5)&lt;&gt;"1-Way",
        LEFT(P120,5)&lt;&gt;"2-Way",
        LEFT(P120,5)&lt;&gt;"3-Way",
        P120&lt;&gt;"Inner Centre Jamb"
      )
    ),
    IF(OR(Enginuity!$A$1="Frameless Glass",Enginuity!$A$1="Metal Work"),
      AND(TRIM(B120)=TRIM(Enginuity!$A$17),TRIM(C120)=TRIM(Enginuity!$A$18)),
      TRIM(B120)=TRIM(Enginuity!$A$17)
    )
  ),
  ROW(),
  ""
)</f>
        <v/>
      </c>
      <c r="AW120" t="s">
        <v>18</v>
      </c>
      <c r="AX120" s="5">
        <v>1.9</v>
      </c>
      <c r="AZ120" s="5"/>
      <c r="BA120" t="s">
        <v>1033</v>
      </c>
      <c r="BB120" s="5">
        <v>3.7</v>
      </c>
    </row>
    <row r="121" spans="1:54" x14ac:dyDescent="0.25">
      <c r="A121" s="10" t="s">
        <v>254</v>
      </c>
      <c r="B121" s="229" t="s">
        <v>12</v>
      </c>
      <c r="C121" s="10" t="s">
        <v>97</v>
      </c>
      <c r="D121" s="14"/>
      <c r="E121" s="157"/>
      <c r="F121" s="10"/>
      <c r="G121" s="17"/>
      <c r="H121" s="10"/>
      <c r="I121" s="17"/>
      <c r="J121" s="83"/>
      <c r="K121" s="343"/>
      <c r="L121" s="347"/>
      <c r="M121" s="89">
        <v>22</v>
      </c>
      <c r="N121" s="10" t="s">
        <v>103</v>
      </c>
      <c r="O121" s="22">
        <v>5.49</v>
      </c>
      <c r="P121" s="14" t="s">
        <v>282</v>
      </c>
      <c r="Q121" s="83">
        <f>Enginuity!$B$6*2</f>
        <v>40</v>
      </c>
      <c r="U121" s="104" t="str">
        <f>IF(
  AND(
    TRIM(A121)=TRIM(Enginuity!$A$1),
    TRIM(B121)=TRIM(Enginuity!$A$17),
    Q121&lt;&gt;"",
    Q121&lt;&gt;0,
    OR(
      TRIM(C121)=TRIM(Enginuity!$A$18),
      AND(UPPER(TRIM(M121))="STD", TRIM(B121)=TRIM(Enginuity!$A$17))
    ),
    OR(
      AND(LEFT(P121,5)="1-Way", Enginuity!$B$13=1),
      AND(LEFT(P121,5)="2-Way", OR(Enginuity!$B$13=2, Enginuity!$B$13=4)),
      AND(LEFT(P121,5)="3-Way", OR(Enginuity!$B$13=3, Enginuity!$B$13=6)),
      AND(P121="Inner Centre Jamb", OR(Enginuity!$B$13=4, Enginuity!$B$13=6)),
      AND(
        LEFT(P121,5)&lt;&gt;"1-Way",
        LEFT(P121,5)&lt;&gt;"2-Way",
        LEFT(P121,5)&lt;&gt;"3-Way",
        P121&lt;&gt;"Inner Centre Jamb"
      )
    ),
    IF(OR(Enginuity!$A$1="Frameless Glass",Enginuity!$A$1="Metal Work"),
      AND(TRIM(B121)=TRIM(Enginuity!$A$17),TRIM(C121)=TRIM(Enginuity!$A$18)),
      TRIM(B121)=TRIM(Enginuity!$A$17)
    )
  ),
  ROW(),
  ""
)</f>
        <v/>
      </c>
      <c r="AW121" s="221" t="s">
        <v>39</v>
      </c>
      <c r="AX121" s="143">
        <v>0.63</v>
      </c>
      <c r="AZ121" s="5"/>
      <c r="BA121" t="s">
        <v>1021</v>
      </c>
      <c r="BB121" s="5">
        <v>9</v>
      </c>
    </row>
    <row r="122" spans="1:54" x14ac:dyDescent="0.25">
      <c r="A122" s="10" t="s">
        <v>254</v>
      </c>
      <c r="B122" s="229" t="s">
        <v>12</v>
      </c>
      <c r="C122" s="10" t="s">
        <v>97</v>
      </c>
      <c r="D122" s="14"/>
      <c r="E122" s="157"/>
      <c r="F122" s="10"/>
      <c r="G122" s="17"/>
      <c r="H122" s="10"/>
      <c r="I122" s="17"/>
      <c r="J122" s="83"/>
      <c r="K122" s="343"/>
      <c r="L122" s="347"/>
      <c r="M122" s="89">
        <v>23</v>
      </c>
      <c r="N122" s="10" t="s">
        <v>103</v>
      </c>
      <c r="O122" s="22">
        <v>4.55</v>
      </c>
      <c r="P122" s="14" t="s">
        <v>285</v>
      </c>
      <c r="Q122" s="83">
        <f>Enginuity!$B$6*2</f>
        <v>40</v>
      </c>
      <c r="U122" s="104" t="str">
        <f>IF(
  AND(
    TRIM(A122)=TRIM(Enginuity!$A$1),
    TRIM(B122)=TRIM(Enginuity!$A$17),
    Q122&lt;&gt;"",
    Q122&lt;&gt;0,
    OR(
      TRIM(C122)=TRIM(Enginuity!$A$18),
      AND(UPPER(TRIM(M122))="STD", TRIM(B122)=TRIM(Enginuity!$A$17))
    ),
    OR(
      AND(LEFT(P122,5)="1-Way", Enginuity!$B$13=1),
      AND(LEFT(P122,5)="2-Way", OR(Enginuity!$B$13=2, Enginuity!$B$13=4)),
      AND(LEFT(P122,5)="3-Way", OR(Enginuity!$B$13=3, Enginuity!$B$13=6)),
      AND(P122="Inner Centre Jamb", OR(Enginuity!$B$13=4, Enginuity!$B$13=6)),
      AND(
        LEFT(P122,5)&lt;&gt;"1-Way",
        LEFT(P122,5)&lt;&gt;"2-Way",
        LEFT(P122,5)&lt;&gt;"3-Way",
        P122&lt;&gt;"Inner Centre Jamb"
      )
    ),
    IF(OR(Enginuity!$A$1="Frameless Glass",Enginuity!$A$1="Metal Work"),
      AND(TRIM(B122)=TRIM(Enginuity!$A$17),TRIM(C122)=TRIM(Enginuity!$A$18)),
      TRIM(B122)=TRIM(Enginuity!$A$17)
    )
  ),
  ROW(),
  ""
)</f>
        <v/>
      </c>
      <c r="AW122" t="s">
        <v>82</v>
      </c>
      <c r="AX122" s="5">
        <v>3.3</v>
      </c>
      <c r="AZ122" s="5"/>
      <c r="BA122" t="s">
        <v>1023</v>
      </c>
      <c r="BB122" s="5">
        <v>10.6</v>
      </c>
    </row>
    <row r="123" spans="1:54" x14ac:dyDescent="0.25">
      <c r="A123" s="10" t="s">
        <v>254</v>
      </c>
      <c r="B123" s="229" t="s">
        <v>12</v>
      </c>
      <c r="C123" s="10" t="s">
        <v>97</v>
      </c>
      <c r="D123" s="14"/>
      <c r="E123" s="157"/>
      <c r="F123" s="10"/>
      <c r="G123" s="17"/>
      <c r="H123" s="10"/>
      <c r="I123" s="17"/>
      <c r="J123" s="83"/>
      <c r="K123" s="343"/>
      <c r="L123" s="347"/>
      <c r="M123" s="89">
        <v>24</v>
      </c>
      <c r="N123" s="10" t="s">
        <v>103</v>
      </c>
      <c r="O123" s="22">
        <v>3.99</v>
      </c>
      <c r="P123" s="14" t="s">
        <v>288</v>
      </c>
      <c r="Q123" s="83">
        <f>IF(Enginuity!$B$7&gt;0, 2 * Enginuity!$B$7, "")</f>
        <v>26</v>
      </c>
      <c r="U123" s="104" t="str">
        <f>IF(
  AND(
    TRIM(A123)=TRIM(Enginuity!$A$1),
    TRIM(B123)=TRIM(Enginuity!$A$17),
    Q123&lt;&gt;"",
    Q123&lt;&gt;0,
    OR(
      TRIM(C123)=TRIM(Enginuity!$A$18),
      AND(UPPER(TRIM(M123))="STD", TRIM(B123)=TRIM(Enginuity!$A$17))
    ),
    OR(
      AND(LEFT(P123,5)="1-Way", Enginuity!$B$13=1),
      AND(LEFT(P123,5)="2-Way", OR(Enginuity!$B$13=2, Enginuity!$B$13=4)),
      AND(LEFT(P123,5)="3-Way", OR(Enginuity!$B$13=3, Enginuity!$B$13=6)),
      AND(P123="Inner Centre Jamb", OR(Enginuity!$B$13=4, Enginuity!$B$13=6)),
      AND(
        LEFT(P123,5)&lt;&gt;"1-Way",
        LEFT(P123,5)&lt;&gt;"2-Way",
        LEFT(P123,5)&lt;&gt;"3-Way",
        P123&lt;&gt;"Inner Centre Jamb"
      )
    ),
    IF(OR(Enginuity!$A$1="Frameless Glass",Enginuity!$A$1="Metal Work"),
      AND(TRIM(B123)=TRIM(Enginuity!$A$17),TRIM(C123)=TRIM(Enginuity!$A$18)),
      TRIM(B123)=TRIM(Enginuity!$A$17)
    )
  ),
  ROW(),
  ""
)</f>
        <v/>
      </c>
      <c r="AW123" s="221" t="s">
        <v>400</v>
      </c>
      <c r="AX123" s="143">
        <v>16.46</v>
      </c>
      <c r="AZ123" s="5"/>
      <c r="BA123" t="s">
        <v>1335</v>
      </c>
      <c r="BB123" s="5">
        <v>4.75</v>
      </c>
    </row>
    <row r="124" spans="1:54" x14ac:dyDescent="0.25">
      <c r="A124" s="10" t="s">
        <v>254</v>
      </c>
      <c r="B124" s="229" t="s">
        <v>12</v>
      </c>
      <c r="C124" s="10" t="s">
        <v>97</v>
      </c>
      <c r="D124" s="14"/>
      <c r="E124" s="157"/>
      <c r="F124" s="10"/>
      <c r="G124" s="17"/>
      <c r="H124" s="10"/>
      <c r="I124" s="17"/>
      <c r="J124" s="83"/>
      <c r="K124" s="343"/>
      <c r="L124" s="347"/>
      <c r="M124" s="89">
        <v>25</v>
      </c>
      <c r="N124" s="10" t="s">
        <v>103</v>
      </c>
      <c r="O124" s="22">
        <v>2.08</v>
      </c>
      <c r="P124" s="14" t="s">
        <v>289</v>
      </c>
      <c r="Q124" s="83">
        <f>IF(Enginuity!$B$6&gt;0, Enginuity!$B$6, "")</f>
        <v>20</v>
      </c>
      <c r="U124" s="104" t="str">
        <f>IF(
  AND(
    TRIM(A124)=TRIM(Enginuity!$A$1),
    TRIM(B124)=TRIM(Enginuity!$A$17),
    Q124&lt;&gt;"",
    Q124&lt;&gt;0,
    OR(
      TRIM(C124)=TRIM(Enginuity!$A$18),
      AND(UPPER(TRIM(M124))="STD", TRIM(B124)=TRIM(Enginuity!$A$17))
    ),
    OR(
      AND(LEFT(P124,5)="1-Way", Enginuity!$B$13=1),
      AND(LEFT(P124,5)="2-Way", OR(Enginuity!$B$13=2, Enginuity!$B$13=4)),
      AND(LEFT(P124,5)="3-Way", OR(Enginuity!$B$13=3, Enginuity!$B$13=6)),
      AND(P124="Inner Centre Jamb", OR(Enginuity!$B$13=4, Enginuity!$B$13=6)),
      AND(
        LEFT(P124,5)&lt;&gt;"1-Way",
        LEFT(P124,5)&lt;&gt;"2-Way",
        LEFT(P124,5)&lt;&gt;"3-Way",
        P124&lt;&gt;"Inner Centre Jamb"
      )
    ),
    IF(OR(Enginuity!$A$1="Frameless Glass",Enginuity!$A$1="Metal Work"),
      AND(TRIM(B124)=TRIM(Enginuity!$A$17),TRIM(C124)=TRIM(Enginuity!$A$18)),
      TRIM(B124)=TRIM(Enginuity!$A$17)
    )
  ),
  ROW(),
  ""
)</f>
        <v/>
      </c>
      <c r="AW124" t="s">
        <v>29</v>
      </c>
      <c r="AX124" s="5">
        <v>5.5</v>
      </c>
      <c r="AZ124" s="5"/>
      <c r="BA124" t="s">
        <v>1007</v>
      </c>
      <c r="BB124" s="5">
        <v>8</v>
      </c>
    </row>
    <row r="125" spans="1:54" x14ac:dyDescent="0.25">
      <c r="A125" s="10" t="s">
        <v>254</v>
      </c>
      <c r="B125" s="229" t="s">
        <v>12</v>
      </c>
      <c r="C125" s="10" t="s">
        <v>97</v>
      </c>
      <c r="D125" s="14"/>
      <c r="E125" s="157"/>
      <c r="F125" s="10"/>
      <c r="G125" s="17"/>
      <c r="H125" s="10"/>
      <c r="I125" s="17"/>
      <c r="J125" s="83"/>
      <c r="K125" s="343"/>
      <c r="L125" s="347"/>
      <c r="M125" s="89">
        <v>26</v>
      </c>
      <c r="N125" s="10" t="s">
        <v>103</v>
      </c>
      <c r="O125" s="22">
        <v>2.8</v>
      </c>
      <c r="P125" s="14" t="s">
        <v>290</v>
      </c>
      <c r="Q125" s="83">
        <f>IF(Enginuity!$B$6&gt;0, Enginuity!$B$6, "")</f>
        <v>20</v>
      </c>
      <c r="U125" s="104" t="str">
        <f>IF(
  AND(
    TRIM(A125)=TRIM(Enginuity!$A$1),
    TRIM(B125)=TRIM(Enginuity!$A$17),
    Q125&lt;&gt;"",
    Q125&lt;&gt;0,
    OR(
      TRIM(C125)=TRIM(Enginuity!$A$18),
      AND(UPPER(TRIM(M125))="STD", TRIM(B125)=TRIM(Enginuity!$A$17))
    ),
    OR(
      AND(LEFT(P125,5)="1-Way", Enginuity!$B$13=1),
      AND(LEFT(P125,5)="2-Way", OR(Enginuity!$B$13=2, Enginuity!$B$13=4)),
      AND(LEFT(P125,5)="3-Way", OR(Enginuity!$B$13=3, Enginuity!$B$13=6)),
      AND(P125="Inner Centre Jamb", OR(Enginuity!$B$13=4, Enginuity!$B$13=6)),
      AND(
        LEFT(P125,5)&lt;&gt;"1-Way",
        LEFT(P125,5)&lt;&gt;"2-Way",
        LEFT(P125,5)&lt;&gt;"3-Way",
        P125&lt;&gt;"Inner Centre Jamb"
      )
    ),
    IF(OR(Enginuity!$A$1="Frameless Glass",Enginuity!$A$1="Metal Work"),
      AND(TRIM(B125)=TRIM(Enginuity!$A$17),TRIM(C125)=TRIM(Enginuity!$A$18)),
      TRIM(B125)=TRIM(Enginuity!$A$17)
    )
  ),
  ROW(),
  ""
)</f>
        <v/>
      </c>
      <c r="AW125" t="s">
        <v>401</v>
      </c>
      <c r="AX125" s="5">
        <v>2.7</v>
      </c>
      <c r="AZ125" s="5"/>
      <c r="BA125" t="s">
        <v>1009</v>
      </c>
      <c r="BB125" s="5">
        <v>8</v>
      </c>
    </row>
    <row r="126" spans="1:54" x14ac:dyDescent="0.25">
      <c r="A126" s="10" t="s">
        <v>254</v>
      </c>
      <c r="B126" s="229" t="s">
        <v>12</v>
      </c>
      <c r="C126" s="10" t="s">
        <v>97</v>
      </c>
      <c r="D126" s="14"/>
      <c r="E126" s="157"/>
      <c r="F126" s="10"/>
      <c r="G126" s="17"/>
      <c r="H126" s="10"/>
      <c r="I126" s="17"/>
      <c r="J126" s="83"/>
      <c r="K126" s="343"/>
      <c r="L126" s="347"/>
      <c r="M126" s="89">
        <v>27</v>
      </c>
      <c r="N126" s="10" t="s">
        <v>103</v>
      </c>
      <c r="O126" s="22">
        <v>2.41</v>
      </c>
      <c r="P126" s="14" t="s">
        <v>262</v>
      </c>
      <c r="Q126" s="83">
        <f>IF(AND(Enginuity!$B$7&gt;0, Enginuity!$B$13&gt;0), Enginuity!$B$7 * Enginuity!$B$13, "")</f>
        <v>91</v>
      </c>
      <c r="U126" s="104" t="str">
        <f>IF(
  AND(
    TRIM(A126)=TRIM(Enginuity!$A$1),
    TRIM(B126)=TRIM(Enginuity!$A$17),
    Q126&lt;&gt;"",
    Q126&lt;&gt;0,
    OR(
      TRIM(C126)=TRIM(Enginuity!$A$18),
      AND(UPPER(TRIM(M126))="STD", TRIM(B126)=TRIM(Enginuity!$A$17))
    ),
    OR(
      AND(LEFT(P126,5)="1-Way", Enginuity!$B$13=1),
      AND(LEFT(P126,5)="2-Way", OR(Enginuity!$B$13=2, Enginuity!$B$13=4)),
      AND(LEFT(P126,5)="3-Way", OR(Enginuity!$B$13=3, Enginuity!$B$13=6)),
      AND(P126="Inner Centre Jamb", OR(Enginuity!$B$13=4, Enginuity!$B$13=6)),
      AND(
        LEFT(P126,5)&lt;&gt;"1-Way",
        LEFT(P126,5)&lt;&gt;"2-Way",
        LEFT(P126,5)&lt;&gt;"3-Way",
        P126&lt;&gt;"Inner Centre Jamb"
      )
    ),
    IF(OR(Enginuity!$A$1="Frameless Glass",Enginuity!$A$1="Metal Work"),
      AND(TRIM(B126)=TRIM(Enginuity!$A$17),TRIM(C126)=TRIM(Enginuity!$A$18)),
      TRIM(B126)=TRIM(Enginuity!$A$17)
    )
  ),
  ROW(),
  ""
)</f>
        <v/>
      </c>
      <c r="AW126" t="s">
        <v>15</v>
      </c>
      <c r="AX126" s="5">
        <v>8.5</v>
      </c>
      <c r="AZ126" s="5"/>
      <c r="BA126" t="s">
        <v>1028</v>
      </c>
      <c r="BB126" s="5">
        <v>8</v>
      </c>
    </row>
    <row r="127" spans="1:54" x14ac:dyDescent="0.25">
      <c r="A127" s="10" t="s">
        <v>254</v>
      </c>
      <c r="B127" s="229" t="s">
        <v>12</v>
      </c>
      <c r="C127" s="10" t="s">
        <v>97</v>
      </c>
      <c r="D127" s="14"/>
      <c r="E127" s="157"/>
      <c r="F127" s="10"/>
      <c r="G127" s="17"/>
      <c r="H127" s="10"/>
      <c r="I127" s="17"/>
      <c r="J127" s="83"/>
      <c r="K127" s="343"/>
      <c r="L127" s="347"/>
      <c r="M127" s="89">
        <v>28</v>
      </c>
      <c r="N127" s="10" t="s">
        <v>103</v>
      </c>
      <c r="O127" s="22">
        <v>2.97</v>
      </c>
      <c r="P127" s="14" t="s">
        <v>267</v>
      </c>
      <c r="Q127" s="83">
        <f>IF(AND(Enginuity!$B$7&gt;0, Enginuity!$B$13&gt;0), Enginuity!$B$7 * Enginuity!$B$13, "")</f>
        <v>91</v>
      </c>
      <c r="U127" s="104" t="str">
        <f>IF(
  AND(
    TRIM(A127)=TRIM(Enginuity!$A$1),
    TRIM(B127)=TRIM(Enginuity!$A$17),
    Q127&lt;&gt;"",
    Q127&lt;&gt;0,
    OR(
      TRIM(C127)=TRIM(Enginuity!$A$18),
      AND(UPPER(TRIM(M127))="STD", TRIM(B127)=TRIM(Enginuity!$A$17))
    ),
    OR(
      AND(LEFT(P127,5)="1-Way", Enginuity!$B$13=1),
      AND(LEFT(P127,5)="2-Way", OR(Enginuity!$B$13=2, Enginuity!$B$13=4)),
      AND(LEFT(P127,5)="3-Way", OR(Enginuity!$B$13=3, Enginuity!$B$13=6)),
      AND(P127="Inner Centre Jamb", OR(Enginuity!$B$13=4, Enginuity!$B$13=6)),
      AND(
        LEFT(P127,5)&lt;&gt;"1-Way",
        LEFT(P127,5)&lt;&gt;"2-Way",
        LEFT(P127,5)&lt;&gt;"3-Way",
        P127&lt;&gt;"Inner Centre Jamb"
      )
    ),
    IF(OR(Enginuity!$A$1="Frameless Glass",Enginuity!$A$1="Metal Work"),
      AND(TRIM(B127)=TRIM(Enginuity!$A$17),TRIM(C127)=TRIM(Enginuity!$A$18)),
      TRIM(B127)=TRIM(Enginuity!$A$17)
    )
  ),
  ROW(),
  ""
)</f>
        <v/>
      </c>
      <c r="AW127" t="s">
        <v>16</v>
      </c>
      <c r="AX127" s="5">
        <v>5.5</v>
      </c>
      <c r="AZ127" s="5"/>
      <c r="BA127" t="s">
        <v>987</v>
      </c>
      <c r="BB127" s="5">
        <v>4.75</v>
      </c>
    </row>
    <row r="128" spans="1:54" x14ac:dyDescent="0.25">
      <c r="A128" s="10" t="s">
        <v>254</v>
      </c>
      <c r="B128" s="229" t="s">
        <v>12</v>
      </c>
      <c r="C128" s="10" t="s">
        <v>97</v>
      </c>
      <c r="D128" s="14"/>
      <c r="E128" s="157"/>
      <c r="F128" s="10"/>
      <c r="G128" s="17"/>
      <c r="H128" s="10"/>
      <c r="I128" s="17"/>
      <c r="J128" s="83"/>
      <c r="K128" s="343"/>
      <c r="L128" s="347"/>
      <c r="M128" s="89">
        <v>29</v>
      </c>
      <c r="N128" s="10" t="s">
        <v>103</v>
      </c>
      <c r="O128" s="22">
        <v>1.27</v>
      </c>
      <c r="P128" s="14" t="s">
        <v>109</v>
      </c>
      <c r="Q128" s="83">
        <f>IF(Enginuity!$B$7&gt;0, Enginuity!$B$7, "")</f>
        <v>13</v>
      </c>
      <c r="U128" s="104" t="str">
        <f>IF(
  AND(
    TRIM(A128)=TRIM(Enginuity!$A$1),
    TRIM(B128)=TRIM(Enginuity!$A$17),
    Q128&lt;&gt;"",
    Q128&lt;&gt;0,
    OR(
      TRIM(C128)=TRIM(Enginuity!$A$18),
      AND(UPPER(TRIM(M128))="STD", TRIM(B128)=TRIM(Enginuity!$A$17))
    ),
    OR(
      AND(LEFT(P128,5)="1-Way", Enginuity!$B$13=1),
      AND(LEFT(P128,5)="2-Way", OR(Enginuity!$B$13=2, Enginuity!$B$13=4)),
      AND(LEFT(P128,5)="3-Way", OR(Enginuity!$B$13=3, Enginuity!$B$13=6)),
      AND(P128="Inner Centre Jamb", OR(Enginuity!$B$13=4, Enginuity!$B$13=6)),
      AND(
        LEFT(P128,5)&lt;&gt;"1-Way",
        LEFT(P128,5)&lt;&gt;"2-Way",
        LEFT(P128,5)&lt;&gt;"3-Way",
        P128&lt;&gt;"Inner Centre Jamb"
      )
    ),
    IF(OR(Enginuity!$A$1="Frameless Glass",Enginuity!$A$1="Metal Work"),
      AND(TRIM(B128)=TRIM(Enginuity!$A$17),TRIM(C128)=TRIM(Enginuity!$A$18)),
      TRIM(B128)=TRIM(Enginuity!$A$17)
    )
  ),
  ROW(),
  ""
)</f>
        <v/>
      </c>
      <c r="AW128" t="s">
        <v>17</v>
      </c>
      <c r="AX128" s="5">
        <v>9</v>
      </c>
      <c r="AZ128" s="5"/>
      <c r="BA128" t="s">
        <v>1031</v>
      </c>
      <c r="BB128" s="5">
        <v>3</v>
      </c>
    </row>
    <row r="129" spans="1:54" x14ac:dyDescent="0.25">
      <c r="A129" s="10" t="s">
        <v>254</v>
      </c>
      <c r="B129" s="229" t="s">
        <v>12</v>
      </c>
      <c r="C129" s="10" t="s">
        <v>97</v>
      </c>
      <c r="D129" s="14"/>
      <c r="E129" s="157"/>
      <c r="F129" s="10"/>
      <c r="G129" s="17"/>
      <c r="H129" s="10"/>
      <c r="I129" s="17"/>
      <c r="J129" s="83"/>
      <c r="K129" s="343"/>
      <c r="L129" s="347"/>
      <c r="M129" s="89">
        <v>30</v>
      </c>
      <c r="N129" s="10" t="s">
        <v>176</v>
      </c>
      <c r="O129" s="22" t="str">
        <f>IF(Enginuity!$A$20="", "",
 IF(Enginuity!$A$20="Lattice Design", $F$9,
 IF(Enginuity!$A$20="Lattice Design 12 Box / Panel", $F$10,
 ""))
)</f>
        <v/>
      </c>
      <c r="P129" s="5" t="str">
        <f>Enginuity!$A$20</f>
        <v>Z-Louvre Blade - 5"</v>
      </c>
      <c r="Q129" s="22" t="str">
        <f>IF(O129&lt;&gt;"",1,"")</f>
        <v/>
      </c>
      <c r="U129" s="104" t="str">
        <f>IF(
  AND(
    TRIM(A129)=TRIM(Enginuity!$A$1),
    TRIM(B129)=TRIM(Enginuity!$A$17),
    Q129&lt;&gt;"",
    Q129&lt;&gt;0,
    OR(
      TRIM(C129)=TRIM(Enginuity!$A$18),
      AND(UPPER(TRIM(M129))="STD", TRIM(B129)=TRIM(Enginuity!$A$17))
    ),
    OR(
      AND(LEFT(P129,5)="1-Way", Enginuity!$B$13=1),
      AND(LEFT(P129,5)="2-Way", OR(Enginuity!$B$13=2, Enginuity!$B$13=4)),
      AND(LEFT(P129,5)="3-Way", OR(Enginuity!$B$13=3, Enginuity!$B$13=6)),
      AND(P129="Inner Centre Jamb", OR(Enginuity!$B$13=4, Enginuity!$B$13=6)),
      AND(
        LEFT(P129,5)&lt;&gt;"1-Way",
        LEFT(P129,5)&lt;&gt;"2-Way",
        LEFT(P129,5)&lt;&gt;"3-Way",
        P129&lt;&gt;"Inner Centre Jamb"
      )
    ),
    IF(OR(Enginuity!$A$1="Frameless Glass",Enginuity!$A$1="Metal Work"),
      AND(TRIM(B129)=TRIM(Enginuity!$A$17),TRIM(C129)=TRIM(Enginuity!$A$18)),
      TRIM(B129)=TRIM(Enginuity!$A$17)
    )
  ),
  ROW(),
  ""
)</f>
        <v/>
      </c>
      <c r="AW129" t="s">
        <v>19</v>
      </c>
      <c r="AX129" s="5">
        <v>2.2999999999999998</v>
      </c>
      <c r="AZ129" s="5"/>
      <c r="BA129" t="s">
        <v>1016</v>
      </c>
      <c r="BB129" s="5">
        <v>6.5</v>
      </c>
    </row>
    <row r="130" spans="1:54" x14ac:dyDescent="0.25">
      <c r="A130" s="10" t="s">
        <v>254</v>
      </c>
      <c r="B130" s="229" t="s">
        <v>12</v>
      </c>
      <c r="C130" s="10" t="s">
        <v>97</v>
      </c>
      <c r="D130" s="14"/>
      <c r="E130" s="157"/>
      <c r="F130" s="10"/>
      <c r="G130" s="17"/>
      <c r="H130" s="10"/>
      <c r="I130" s="17"/>
      <c r="J130" s="83"/>
      <c r="K130" s="343"/>
      <c r="L130" s="347"/>
      <c r="M130" s="89">
        <v>31</v>
      </c>
      <c r="N130" s="10" t="s">
        <v>176</v>
      </c>
      <c r="O130" s="22" t="str">
        <f>IF(Enginuity!$A$21="12""H Top Hung Standard Casement Profile", $F$11,
IF(Enginuity!$A$21="12""H Top / Bottom Fix Standard Casement Profile", $F$12,
""))</f>
        <v/>
      </c>
      <c r="P130" s="106" t="str">
        <f>Enginuity!$A$21</f>
        <v>SF 4"</v>
      </c>
      <c r="Q130" s="22" t="str">
        <f>IF(O130&lt;&gt;"",1,"")</f>
        <v/>
      </c>
      <c r="U130" s="104" t="str">
        <f>IF(
  AND(
    TRIM(A130)=TRIM(Enginuity!$A$1),
    TRIM(B130)=TRIM(Enginuity!$A$17),
    Q130&lt;&gt;"",
    Q130&lt;&gt;0,
    OR(
      TRIM(C130)=TRIM(Enginuity!$A$18),
      AND(UPPER(TRIM(M130))="STD", TRIM(B130)=TRIM(Enginuity!$A$17))
    ),
    OR(
      AND(LEFT(P130,5)="1-Way", Enginuity!$B$13=1),
      AND(LEFT(P130,5)="2-Way", OR(Enginuity!$B$13=2, Enginuity!$B$13=4)),
      AND(LEFT(P130,5)="3-Way", OR(Enginuity!$B$13=3, Enginuity!$B$13=6)),
      AND(P130="Inner Centre Jamb", OR(Enginuity!$B$13=4, Enginuity!$B$13=6)),
      AND(
        LEFT(P130,5)&lt;&gt;"1-Way",
        LEFT(P130,5)&lt;&gt;"2-Way",
        LEFT(P130,5)&lt;&gt;"3-Way",
        P130&lt;&gt;"Inner Centre Jamb"
      )
    ),
    IF(OR(Enginuity!$A$1="Frameless Glass",Enginuity!$A$1="Metal Work"),
      AND(TRIM(B130)=TRIM(Enginuity!$A$17),TRIM(C130)=TRIM(Enginuity!$A$18)),
      TRIM(B130)=TRIM(Enginuity!$A$17)
    )
  ),
  ROW(),
  ""
)</f>
        <v/>
      </c>
      <c r="AW130" t="s">
        <v>40</v>
      </c>
      <c r="AX130" s="5">
        <v>8.25</v>
      </c>
      <c r="AZ130" s="5"/>
      <c r="BA130" t="s">
        <v>1014</v>
      </c>
      <c r="BB130" s="5">
        <v>6.5</v>
      </c>
    </row>
    <row r="131" spans="1:54" x14ac:dyDescent="0.25">
      <c r="A131" s="10" t="s">
        <v>254</v>
      </c>
      <c r="B131" s="229" t="s">
        <v>12</v>
      </c>
      <c r="C131" s="10" t="s">
        <v>97</v>
      </c>
      <c r="D131" s="14"/>
      <c r="E131" s="157"/>
      <c r="F131" s="10"/>
      <c r="G131" s="17"/>
      <c r="H131" s="10"/>
      <c r="I131" s="17"/>
      <c r="J131" s="83"/>
      <c r="K131" s="343"/>
      <c r="L131" s="347"/>
      <c r="M131" s="89">
        <v>32</v>
      </c>
      <c r="N131" s="10" t="s">
        <v>176</v>
      </c>
      <c r="O131" s="22" t="str">
        <f>IF(Enginuity!$A$22="Subframe 1"" X 2""", $J$2, "")</f>
        <v/>
      </c>
      <c r="P131" s="106" t="str">
        <f>Enginuity!$A$22</f>
        <v>▼ [Lattice]</v>
      </c>
      <c r="Q131" s="22" t="str">
        <f>IF(O131&lt;&gt;"",1,"")</f>
        <v/>
      </c>
      <c r="U131" s="104" t="str">
        <f>IF(
  AND(
    TRIM(A131)=TRIM(Enginuity!$A$1),
    TRIM(B131)=TRIM(Enginuity!$A$17),
    Q131&lt;&gt;"",
    Q131&lt;&gt;0,
    OR(
      TRIM(C131)=TRIM(Enginuity!$A$18),
      AND(UPPER(TRIM(M131))="STD", TRIM(B131)=TRIM(Enginuity!$A$17))
    ),
    OR(
      AND(LEFT(P131,5)="1-Way", Enginuity!$B$13=1),
      AND(LEFT(P131,5)="2-Way", OR(Enginuity!$B$13=2, Enginuity!$B$13=4)),
      AND(LEFT(P131,5)="3-Way", OR(Enginuity!$B$13=3, Enginuity!$B$13=6)),
      AND(P131="Inner Centre Jamb", OR(Enginuity!$B$13=4, Enginuity!$B$13=6)),
      AND(
        LEFT(P131,5)&lt;&gt;"1-Way",
        LEFT(P131,5)&lt;&gt;"2-Way",
        LEFT(P131,5)&lt;&gt;"3-Way",
        P131&lt;&gt;"Inner Centre Jamb"
      )
    ),
    IF(OR(Enginuity!$A$1="Frameless Glass",Enginuity!$A$1="Metal Work"),
      AND(TRIM(B131)=TRIM(Enginuity!$A$17),TRIM(C131)=TRIM(Enginuity!$A$18)),
      TRIM(B131)=TRIM(Enginuity!$A$17)
    )
  ),
  ROW(),
  ""
)</f>
        <v/>
      </c>
      <c r="AW131" t="s">
        <v>37</v>
      </c>
      <c r="AX131" s="5">
        <v>12.6</v>
      </c>
      <c r="AZ131" s="5"/>
      <c r="BA131" t="s">
        <v>1002</v>
      </c>
      <c r="BB131" s="5">
        <v>8.1999999999999993</v>
      </c>
    </row>
    <row r="132" spans="1:54" x14ac:dyDescent="0.25">
      <c r="A132" s="10" t="s">
        <v>254</v>
      </c>
      <c r="B132" s="229" t="s">
        <v>12</v>
      </c>
      <c r="C132" s="10" t="s">
        <v>97</v>
      </c>
      <c r="D132" s="14"/>
      <c r="E132" s="157"/>
      <c r="F132" s="10"/>
      <c r="G132" s="17"/>
      <c r="H132" s="10"/>
      <c r="I132" s="17"/>
      <c r="J132" s="83"/>
      <c r="K132" s="343"/>
      <c r="L132" s="347"/>
      <c r="M132" s="89">
        <v>33</v>
      </c>
      <c r="N132" s="10"/>
      <c r="O132" s="22"/>
      <c r="P132" s="14"/>
      <c r="Q132" s="83"/>
      <c r="U132" s="104" t="str">
        <f>IF(
  AND(
    TRIM(A132)=TRIM(Enginuity!$A$1),
    TRIM(B132)=TRIM(Enginuity!$A$17),
    Q132&lt;&gt;"",
    Q132&lt;&gt;0,
    OR(
      TRIM(C132)=TRIM(Enginuity!$A$18),
      AND(UPPER(TRIM(M132))="STD", TRIM(B132)=TRIM(Enginuity!$A$17))
    ),
    OR(
      AND(LEFT(P132,5)="1-Way", Enginuity!$B$13=1),
      AND(LEFT(P132,5)="2-Way", OR(Enginuity!$B$13=2, Enginuity!$B$13=4)),
      AND(LEFT(P132,5)="3-Way", OR(Enginuity!$B$13=3, Enginuity!$B$13=6)),
      AND(P132="Inner Centre Jamb", OR(Enginuity!$B$13=4, Enginuity!$B$13=6)),
      AND(
        LEFT(P132,5)&lt;&gt;"1-Way",
        LEFT(P132,5)&lt;&gt;"2-Way",
        LEFT(P132,5)&lt;&gt;"3-Way",
        P132&lt;&gt;"Inner Centre Jamb"
      )
    ),
    IF(OR(Enginuity!$A$1="Frameless Glass",Enginuity!$A$1="Metal Work"),
      AND(TRIM(B132)=TRIM(Enginuity!$A$17),TRIM(C132)=TRIM(Enginuity!$A$18)),
      TRIM(B132)=TRIM(Enginuity!$A$17)
    )
  ),
  ROW(),
  ""
)</f>
        <v/>
      </c>
      <c r="AW132" t="s">
        <v>35</v>
      </c>
      <c r="AX132" s="5">
        <v>10.5</v>
      </c>
      <c r="AZ132" s="5"/>
      <c r="BA132" t="s">
        <v>992</v>
      </c>
      <c r="BB132" s="5">
        <v>5.9</v>
      </c>
    </row>
    <row r="133" spans="1:54" x14ac:dyDescent="0.25">
      <c r="A133" s="10" t="s">
        <v>254</v>
      </c>
      <c r="B133" s="229" t="s">
        <v>12</v>
      </c>
      <c r="C133" s="10" t="s">
        <v>97</v>
      </c>
      <c r="D133" s="14"/>
      <c r="E133" s="157"/>
      <c r="F133" s="10"/>
      <c r="G133" s="17"/>
      <c r="H133" s="10"/>
      <c r="I133" s="17"/>
      <c r="J133" s="83"/>
      <c r="K133" s="343"/>
      <c r="L133" s="347"/>
      <c r="M133" s="89">
        <v>34</v>
      </c>
      <c r="N133" s="10"/>
      <c r="O133" s="22"/>
      <c r="P133" s="14"/>
      <c r="Q133" s="83"/>
      <c r="U133" s="104" t="str">
        <f>IF(
  AND(
    TRIM(A133)=TRIM(Enginuity!$A$1),
    TRIM(B133)=TRIM(Enginuity!$A$17),
    Q133&lt;&gt;"",
    Q133&lt;&gt;0,
    OR(
      TRIM(C133)=TRIM(Enginuity!$A$18),
      AND(UPPER(TRIM(M133))="STD", TRIM(B133)=TRIM(Enginuity!$A$17))
    ),
    OR(
      AND(LEFT(P133,5)="1-Way", Enginuity!$B$13=1),
      AND(LEFT(P133,5)="2-Way", OR(Enginuity!$B$13=2, Enginuity!$B$13=4)),
      AND(LEFT(P133,5)="3-Way", OR(Enginuity!$B$13=3, Enginuity!$B$13=6)),
      AND(P133="Inner Centre Jamb", OR(Enginuity!$B$13=4, Enginuity!$B$13=6)),
      AND(
        LEFT(P133,5)&lt;&gt;"1-Way",
        LEFT(P133,5)&lt;&gt;"2-Way",
        LEFT(P133,5)&lt;&gt;"3-Way",
        P133&lt;&gt;"Inner Centre Jamb"
      )
    ),
    IF(OR(Enginuity!$A$1="Frameless Glass",Enginuity!$A$1="Metal Work"),
      AND(TRIM(B133)=TRIM(Enginuity!$A$17),TRIM(C133)=TRIM(Enginuity!$A$18)),
      TRIM(B133)=TRIM(Enginuity!$A$17)
    )
  ),
  ROW(),
  ""
)</f>
        <v/>
      </c>
      <c r="AW133" t="s">
        <v>21</v>
      </c>
      <c r="AX133" s="5">
        <v>3.9</v>
      </c>
      <c r="AZ133" s="5"/>
      <c r="BA133" t="s">
        <v>1019</v>
      </c>
      <c r="BB133" s="5">
        <v>5.3</v>
      </c>
    </row>
    <row r="134" spans="1:54" x14ac:dyDescent="0.25">
      <c r="A134" s="10" t="s">
        <v>254</v>
      </c>
      <c r="B134" s="229" t="s">
        <v>12</v>
      </c>
      <c r="C134" s="10" t="s">
        <v>97</v>
      </c>
      <c r="D134" s="14"/>
      <c r="E134" s="157"/>
      <c r="F134" s="10"/>
      <c r="G134" s="17"/>
      <c r="H134" s="10"/>
      <c r="I134" s="17"/>
      <c r="J134" s="83"/>
      <c r="K134" s="343"/>
      <c r="L134" s="347"/>
      <c r="M134" s="89">
        <v>35</v>
      </c>
      <c r="N134" s="10"/>
      <c r="O134" s="22"/>
      <c r="P134" s="14"/>
      <c r="Q134" s="83"/>
      <c r="U134" s="104" t="str">
        <f>IF(
  AND(
    TRIM(A134)=TRIM(Enginuity!$A$1),
    TRIM(B134)=TRIM(Enginuity!$A$17),
    Q134&lt;&gt;"",
    Q134&lt;&gt;0,
    OR(
      TRIM(C134)=TRIM(Enginuity!$A$18),
      AND(UPPER(TRIM(M134))="STD", TRIM(B134)=TRIM(Enginuity!$A$17))
    ),
    OR(
      AND(LEFT(P134,5)="1-Way", Enginuity!$B$13=1),
      AND(LEFT(P134,5)="2-Way", OR(Enginuity!$B$13=2, Enginuity!$B$13=4)),
      AND(LEFT(P134,5)="3-Way", OR(Enginuity!$B$13=3, Enginuity!$B$13=6)),
      AND(P134="Inner Centre Jamb", OR(Enginuity!$B$13=4, Enginuity!$B$13=6)),
      AND(
        LEFT(P134,5)&lt;&gt;"1-Way",
        LEFT(P134,5)&lt;&gt;"2-Way",
        LEFT(P134,5)&lt;&gt;"3-Way",
        P134&lt;&gt;"Inner Centre Jamb"
      )
    ),
    IF(OR(Enginuity!$A$1="Frameless Glass",Enginuity!$A$1="Metal Work"),
      AND(TRIM(B134)=TRIM(Enginuity!$A$17),TRIM(C134)=TRIM(Enginuity!$A$18)),
      TRIM(B134)=TRIM(Enginuity!$A$17)
    )
  ),
  ROW(),
  ""
)</f>
        <v/>
      </c>
      <c r="AW134" t="s">
        <v>23</v>
      </c>
      <c r="AX134" s="5">
        <v>4.4000000000000004</v>
      </c>
      <c r="AZ134" s="5"/>
      <c r="BA134" t="s">
        <v>982</v>
      </c>
      <c r="BB134" s="5">
        <v>2.5</v>
      </c>
    </row>
    <row r="135" spans="1:54" x14ac:dyDescent="0.25">
      <c r="A135" s="10" t="s">
        <v>254</v>
      </c>
      <c r="B135" s="229" t="s">
        <v>12</v>
      </c>
      <c r="C135" s="10"/>
      <c r="D135" s="14"/>
      <c r="E135" s="157"/>
      <c r="F135" s="10"/>
      <c r="G135" s="17"/>
      <c r="H135" s="10"/>
      <c r="I135" s="17"/>
      <c r="J135" s="83"/>
      <c r="K135" s="343"/>
      <c r="L135" s="347"/>
      <c r="M135" s="89">
        <v>36</v>
      </c>
      <c r="N135" s="10"/>
      <c r="O135" s="22"/>
      <c r="P135" s="14"/>
      <c r="Q135" s="83"/>
      <c r="U135" s="104" t="str">
        <f>IF(
  AND(
    TRIM(A135)=TRIM(Enginuity!$A$1),
    TRIM(B135)=TRIM(Enginuity!$A$17),
    Q135&lt;&gt;"",
    Q135&lt;&gt;0,
    OR(
      TRIM(C135)=TRIM(Enginuity!$A$18),
      AND(UPPER(TRIM(M135))="STD", TRIM(B135)=TRIM(Enginuity!$A$17))
    ),
    OR(
      AND(LEFT(P135,5)="1-Way", Enginuity!$B$13=1),
      AND(LEFT(P135,5)="2-Way", OR(Enginuity!$B$13=2, Enginuity!$B$13=4)),
      AND(LEFT(P135,5)="3-Way", OR(Enginuity!$B$13=3, Enginuity!$B$13=6)),
      AND(P135="Inner Centre Jamb", OR(Enginuity!$B$13=4, Enginuity!$B$13=6)),
      AND(
        LEFT(P135,5)&lt;&gt;"1-Way",
        LEFT(P135,5)&lt;&gt;"2-Way",
        LEFT(P135,5)&lt;&gt;"3-Way",
        P135&lt;&gt;"Inner Centre Jamb"
      )
    ),
    IF(OR(Enginuity!$A$1="Frameless Glass",Enginuity!$A$1="Metal Work"),
      AND(TRIM(B135)=TRIM(Enginuity!$A$17),TRIM(C135)=TRIM(Enginuity!$A$18)),
      TRIM(B135)=TRIM(Enginuity!$A$17)
    )
  ),
  ROW(),
  ""
)</f>
        <v/>
      </c>
      <c r="AW135" t="s">
        <v>58</v>
      </c>
      <c r="AX135" s="5">
        <v>9</v>
      </c>
      <c r="AZ135" s="5"/>
      <c r="BA135" t="s">
        <v>990</v>
      </c>
      <c r="BB135" s="5">
        <v>5.0999999999999996</v>
      </c>
    </row>
    <row r="136" spans="1:54" x14ac:dyDescent="0.25">
      <c r="A136" s="10" t="s">
        <v>254</v>
      </c>
      <c r="B136" s="229" t="s">
        <v>12</v>
      </c>
      <c r="C136" s="10"/>
      <c r="D136" s="14"/>
      <c r="E136" s="157"/>
      <c r="F136" s="10"/>
      <c r="G136" s="17"/>
      <c r="H136" s="10"/>
      <c r="I136" s="17"/>
      <c r="J136" s="83"/>
      <c r="K136" s="343"/>
      <c r="L136" s="347"/>
      <c r="M136" s="89">
        <v>37</v>
      </c>
      <c r="N136" s="10"/>
      <c r="O136" s="22"/>
      <c r="P136" s="14"/>
      <c r="Q136" s="98"/>
      <c r="U136" s="104" t="str">
        <f>IF(
  AND(
    TRIM(A136)=TRIM(Enginuity!$A$1),
    TRIM(B136)=TRIM(Enginuity!$A$17),
    Q136&lt;&gt;"",
    Q136&lt;&gt;0,
    OR(
      TRIM(C136)=TRIM(Enginuity!$A$18),
      AND(UPPER(TRIM(M136))="STD", TRIM(B136)=TRIM(Enginuity!$A$17))
    ),
    OR(
      AND(LEFT(P136,5)="1-Way", Enginuity!$B$13=1),
      AND(LEFT(P136,5)="2-Way", OR(Enginuity!$B$13=2, Enginuity!$B$13=4)),
      AND(LEFT(P136,5)="3-Way", OR(Enginuity!$B$13=3, Enginuity!$B$13=6)),
      AND(P136="Inner Centre Jamb", OR(Enginuity!$B$13=4, Enginuity!$B$13=6)),
      AND(
        LEFT(P136,5)&lt;&gt;"1-Way",
        LEFT(P136,5)&lt;&gt;"2-Way",
        LEFT(P136,5)&lt;&gt;"3-Way",
        P136&lt;&gt;"Inner Centre Jamb"
      )
    ),
    IF(OR(Enginuity!$A$1="Frameless Glass",Enginuity!$A$1="Metal Work"),
      AND(TRIM(B136)=TRIM(Enginuity!$A$17),TRIM(C136)=TRIM(Enginuity!$A$18)),
      TRIM(B136)=TRIM(Enginuity!$A$17)
    )
  ),
  ROW(),
  ""
)</f>
        <v/>
      </c>
      <c r="AW136" t="s">
        <v>49</v>
      </c>
      <c r="AX136" s="5">
        <v>8</v>
      </c>
      <c r="AZ136" s="5"/>
      <c r="BA136" t="s">
        <v>1026</v>
      </c>
      <c r="BB136" s="5">
        <v>5.5</v>
      </c>
    </row>
    <row r="137" spans="1:54" x14ac:dyDescent="0.25">
      <c r="A137" s="10" t="s">
        <v>254</v>
      </c>
      <c r="B137" s="229" t="s">
        <v>12</v>
      </c>
      <c r="C137" s="10"/>
      <c r="D137" s="14"/>
      <c r="E137" s="157"/>
      <c r="F137" s="10"/>
      <c r="G137" s="17"/>
      <c r="H137" s="10"/>
      <c r="I137" s="17"/>
      <c r="J137" s="83"/>
      <c r="K137" s="343"/>
      <c r="L137" s="347"/>
      <c r="M137" s="89">
        <v>38</v>
      </c>
      <c r="N137" s="10"/>
      <c r="O137" s="22"/>
      <c r="P137" s="14"/>
      <c r="Q137" s="83"/>
      <c r="U137" s="104" t="str">
        <f>IF(
  AND(
    TRIM(A137)=TRIM(Enginuity!$A$1),
    TRIM(B137)=TRIM(Enginuity!$A$17),
    Q137&lt;&gt;"",
    Q137&lt;&gt;0,
    OR(
      TRIM(C137)=TRIM(Enginuity!$A$18),
      AND(UPPER(TRIM(M137))="STD", TRIM(B137)=TRIM(Enginuity!$A$17))
    ),
    OR(
      AND(LEFT(P137,5)="1-Way", Enginuity!$B$13=1),
      AND(LEFT(P137,5)="2-Way", OR(Enginuity!$B$13=2, Enginuity!$B$13=4)),
      AND(LEFT(P137,5)="3-Way", OR(Enginuity!$B$13=3, Enginuity!$B$13=6)),
      AND(P137="Inner Centre Jamb", OR(Enginuity!$B$13=4, Enginuity!$B$13=6)),
      AND(
        LEFT(P137,5)&lt;&gt;"1-Way",
        LEFT(P137,5)&lt;&gt;"2-Way",
        LEFT(P137,5)&lt;&gt;"3-Way",
        P137&lt;&gt;"Inner Centre Jamb"
      )
    ),
    IF(OR(Enginuity!$A$1="Frameless Glass",Enginuity!$A$1="Metal Work"),
      AND(TRIM(B137)=TRIM(Enginuity!$A$17),TRIM(C137)=TRIM(Enginuity!$A$18)),
      TRIM(B137)=TRIM(Enginuity!$A$17)
    )
  ),
  ROW(),
  ""
)</f>
        <v/>
      </c>
      <c r="AW137" t="s">
        <v>25</v>
      </c>
      <c r="AX137" s="5">
        <v>6.8</v>
      </c>
      <c r="AZ137" s="5"/>
      <c r="BA137" t="s">
        <v>1013</v>
      </c>
      <c r="BB137" s="5">
        <v>4.9000000000000004</v>
      </c>
    </row>
    <row r="138" spans="1:54" x14ac:dyDescent="0.25">
      <c r="A138" s="10" t="s">
        <v>254</v>
      </c>
      <c r="B138" s="229" t="s">
        <v>12</v>
      </c>
      <c r="C138" s="10"/>
      <c r="D138" s="14"/>
      <c r="E138" s="157"/>
      <c r="F138" s="10"/>
      <c r="G138" s="17"/>
      <c r="H138" s="10"/>
      <c r="I138" s="17"/>
      <c r="J138" s="83"/>
      <c r="K138" s="343"/>
      <c r="L138" s="347"/>
      <c r="M138" s="89">
        <v>39</v>
      </c>
      <c r="N138" s="10"/>
      <c r="O138" s="22"/>
      <c r="P138" s="14"/>
      <c r="Q138" s="83"/>
      <c r="U138" s="104" t="str">
        <f>IF(
  AND(
    TRIM(A138)=TRIM(Enginuity!$A$1),
    TRIM(B138)=TRIM(Enginuity!$A$17),
    Q138&lt;&gt;"",
    Q138&lt;&gt;0,
    OR(
      TRIM(C138)=TRIM(Enginuity!$A$18),
      AND(UPPER(TRIM(M138))="STD", TRIM(B138)=TRIM(Enginuity!$A$17))
    ),
    OR(
      AND(LEFT(P138,5)="1-Way", Enginuity!$B$13=1),
      AND(LEFT(P138,5)="2-Way", OR(Enginuity!$B$13=2, Enginuity!$B$13=4)),
      AND(LEFT(P138,5)="3-Way", OR(Enginuity!$B$13=3, Enginuity!$B$13=6)),
      AND(P138="Inner Centre Jamb", OR(Enginuity!$B$13=4, Enginuity!$B$13=6)),
      AND(
        LEFT(P138,5)&lt;&gt;"1-Way",
        LEFT(P138,5)&lt;&gt;"2-Way",
        LEFT(P138,5)&lt;&gt;"3-Way",
        P138&lt;&gt;"Inner Centre Jamb"
      )
    ),
    IF(OR(Enginuity!$A$1="Frameless Glass",Enginuity!$A$1="Metal Work"),
      AND(TRIM(B138)=TRIM(Enginuity!$A$17),TRIM(C138)=TRIM(Enginuity!$A$18)),
      TRIM(B138)=TRIM(Enginuity!$A$17)
    )
  ),
  ROW(),
  ""
)</f>
        <v/>
      </c>
      <c r="AW138" t="s">
        <v>26</v>
      </c>
      <c r="AX138" s="5">
        <v>3.9</v>
      </c>
      <c r="AZ138" s="5"/>
      <c r="BA138" t="s">
        <v>996</v>
      </c>
      <c r="BB138" s="5">
        <v>8.6999999999999993</v>
      </c>
    </row>
    <row r="139" spans="1:54" x14ac:dyDescent="0.25">
      <c r="A139" s="10" t="s">
        <v>254</v>
      </c>
      <c r="B139" s="229" t="s">
        <v>12</v>
      </c>
      <c r="C139" s="10"/>
      <c r="D139" s="14"/>
      <c r="E139" s="157"/>
      <c r="F139" s="10"/>
      <c r="G139" s="17"/>
      <c r="H139" s="10"/>
      <c r="I139" s="17"/>
      <c r="J139" s="83"/>
      <c r="K139" s="343"/>
      <c r="L139" s="347"/>
      <c r="M139" s="10" t="s">
        <v>117</v>
      </c>
      <c r="N139" s="10" t="s">
        <v>121</v>
      </c>
      <c r="O139" s="22" t="str">
        <f>$O$2</f>
        <v/>
      </c>
      <c r="P139" s="21" t="str">
        <f>Enginuity!$A$19</f>
        <v>W/G</v>
      </c>
      <c r="Q139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139" s="104" t="str">
        <f>IF(
  AND(
    TRIM(A139)=TRIM(Enginuity!$A$1),
    TRIM(B139)=TRIM(Enginuity!$A$17),
    Q139&lt;&gt;"",
    Q139&lt;&gt;0,
    OR(
      TRIM(C139)=TRIM(Enginuity!$A$18),
      AND(UPPER(TRIM(M139))="STD", TRIM(B139)=TRIM(Enginuity!$A$17))
    ),
    OR(
      AND(LEFT(P139,5)="1-Way", Enginuity!$B$13=1),
      AND(LEFT(P139,5)="2-Way", OR(Enginuity!$B$13=2, Enginuity!$B$13=4)),
      AND(LEFT(P139,5)="3-Way", OR(Enginuity!$B$13=3, Enginuity!$B$13=6)),
      AND(P139="Inner Centre Jamb", OR(Enginuity!$B$13=4, Enginuity!$B$13=6)),
      AND(
        LEFT(P139,5)&lt;&gt;"1-Way",
        LEFT(P139,5)&lt;&gt;"2-Way",
        LEFT(P139,5)&lt;&gt;"3-Way",
        P139&lt;&gt;"Inner Centre Jamb"
      )
    ),
    IF(OR(Enginuity!$A$1="Frameless Glass",Enginuity!$A$1="Metal Work"),
      AND(TRIM(B139)=TRIM(Enginuity!$A$17),TRIM(C139)=TRIM(Enginuity!$A$18)),
      TRIM(B139)=TRIM(Enginuity!$A$17)
    )
  ),
  ROW(),
  ""
)</f>
        <v/>
      </c>
      <c r="AW139" t="s">
        <v>59</v>
      </c>
      <c r="AX139" s="5">
        <v>8.4700000000000006</v>
      </c>
      <c r="AZ139" s="5"/>
      <c r="BA139" t="s">
        <v>1005</v>
      </c>
      <c r="BB139" s="5">
        <v>3.5</v>
      </c>
    </row>
    <row r="140" spans="1:54" x14ac:dyDescent="0.25">
      <c r="A140" s="10" t="s">
        <v>254</v>
      </c>
      <c r="B140" s="229" t="s">
        <v>12</v>
      </c>
      <c r="C140" s="10"/>
      <c r="D140" s="14"/>
      <c r="E140" s="157"/>
      <c r="F140" s="10"/>
      <c r="G140" s="17"/>
      <c r="H140" s="10"/>
      <c r="I140" s="17"/>
      <c r="J140" s="83"/>
      <c r="K140" s="343"/>
      <c r="L140" s="347"/>
      <c r="M140" s="10" t="s">
        <v>117</v>
      </c>
      <c r="N140" s="10" t="s">
        <v>103</v>
      </c>
      <c r="O140" s="22">
        <v>0.20379744565899399</v>
      </c>
      <c r="P140" s="14" t="s">
        <v>115</v>
      </c>
      <c r="Q140" s="83">
        <f>IF(AND(Enginuity!$B$6&gt;0, Enginuity!$B$7&gt;0), ROUND(((Enginuity!$B$6 + Enginuity!$B$7) * 2), 2), "")</f>
        <v>66</v>
      </c>
      <c r="U140" s="104" t="str">
        <f>IF(
  AND(
    TRIM(A140)=TRIM(Enginuity!$A$1),
    TRIM(B140)=TRIM(Enginuity!$A$17),
    Q140&lt;&gt;"",
    Q140&lt;&gt;0,
    OR(
      TRIM(C140)=TRIM(Enginuity!$A$18),
      AND(UPPER(TRIM(M140))="STD", TRIM(B140)=TRIM(Enginuity!$A$17))
    ),
    OR(
      AND(LEFT(P140,5)="1-Way", Enginuity!$B$13=1),
      AND(LEFT(P140,5)="2-Way", OR(Enginuity!$B$13=2, Enginuity!$B$13=4)),
      AND(LEFT(P140,5)="3-Way", OR(Enginuity!$B$13=3, Enginuity!$B$13=6)),
      AND(P140="Inner Centre Jamb", OR(Enginuity!$B$13=4, Enginuity!$B$13=6)),
      AND(
        LEFT(P140,5)&lt;&gt;"1-Way",
        LEFT(P140,5)&lt;&gt;"2-Way",
        LEFT(P140,5)&lt;&gt;"3-Way",
        P140&lt;&gt;"Inner Centre Jamb"
      )
    ),
    IF(OR(Enginuity!$A$1="Frameless Glass",Enginuity!$A$1="Metal Work"),
      AND(TRIM(B140)=TRIM(Enginuity!$A$17),TRIM(C140)=TRIM(Enginuity!$A$18)),
      TRIM(B140)=TRIM(Enginuity!$A$17)
    )
  ),
  ROW(),
  ""
)</f>
        <v/>
      </c>
      <c r="AW140" t="s">
        <v>30</v>
      </c>
      <c r="AX140" s="5">
        <v>6</v>
      </c>
      <c r="AZ140" s="5"/>
      <c r="BA140" t="s">
        <v>1022</v>
      </c>
      <c r="BB140" s="5">
        <v>10</v>
      </c>
    </row>
    <row r="141" spans="1:54" x14ac:dyDescent="0.25">
      <c r="A141" s="10" t="s">
        <v>254</v>
      </c>
      <c r="B141" s="229" t="s">
        <v>12</v>
      </c>
      <c r="C141" s="10"/>
      <c r="D141" s="14"/>
      <c r="E141" s="157"/>
      <c r="F141" s="10"/>
      <c r="G141" s="17"/>
      <c r="H141" s="10"/>
      <c r="I141" s="17"/>
      <c r="J141" s="83"/>
      <c r="K141" s="343"/>
      <c r="L141" s="347"/>
      <c r="M141" s="10" t="s">
        <v>117</v>
      </c>
      <c r="N141" s="10" t="s">
        <v>103</v>
      </c>
      <c r="O141" s="22">
        <v>0.20379744565899399</v>
      </c>
      <c r="P141" s="14" t="s">
        <v>116</v>
      </c>
      <c r="Q141" s="83">
        <f>IF(AND(Enginuity!$B$6&gt;0, Enginuity!$B$7&gt;0, Enginuity!$B$13&gt;0), (2 * Enginuity!$B$7 * Enginuity!$B$13) + (2 * Enginuity!$B$6), "")</f>
        <v>222</v>
      </c>
      <c r="U141" s="104" t="str">
        <f>IF(
  AND(
    TRIM(A141)=TRIM(Enginuity!$A$1),
    TRIM(B141)=TRIM(Enginuity!$A$17),
    Q141&lt;&gt;"",
    Q141&lt;&gt;0,
    OR(
      TRIM(C141)=TRIM(Enginuity!$A$18),
      AND(UPPER(TRIM(M141))="STD", TRIM(B141)=TRIM(Enginuity!$A$17))
    ),
    OR(
      AND(LEFT(P141,5)="1-Way", Enginuity!$B$13=1),
      AND(LEFT(P141,5)="2-Way", OR(Enginuity!$B$13=2, Enginuity!$B$13=4)),
      AND(LEFT(P141,5)="3-Way", OR(Enginuity!$B$13=3, Enginuity!$B$13=6)),
      AND(P141="Inner Centre Jamb", OR(Enginuity!$B$13=4, Enginuity!$B$13=6)),
      AND(
        LEFT(P141,5)&lt;&gt;"1-Way",
        LEFT(P141,5)&lt;&gt;"2-Way",
        LEFT(P141,5)&lt;&gt;"3-Way",
        P141&lt;&gt;"Inner Centre Jamb"
      )
    ),
    IF(OR(Enginuity!$A$1="Frameless Glass",Enginuity!$A$1="Metal Work"),
      AND(TRIM(B141)=TRIM(Enginuity!$A$17),TRIM(C141)=TRIM(Enginuity!$A$18)),
      TRIM(B141)=TRIM(Enginuity!$A$17)
    )
  ),
  ROW(),
  ""
)</f>
        <v/>
      </c>
      <c r="AW141" t="s">
        <v>67</v>
      </c>
      <c r="AX141" s="5">
        <v>8.93</v>
      </c>
      <c r="AZ141" s="5"/>
      <c r="BA141" t="s">
        <v>1024</v>
      </c>
      <c r="BB141" s="5">
        <v>11</v>
      </c>
    </row>
    <row r="142" spans="1:54" x14ac:dyDescent="0.25">
      <c r="A142" s="10" t="s">
        <v>254</v>
      </c>
      <c r="B142" s="229" t="s">
        <v>12</v>
      </c>
      <c r="C142" s="10"/>
      <c r="D142" s="14"/>
      <c r="E142" s="157"/>
      <c r="F142" s="10"/>
      <c r="G142" s="17"/>
      <c r="H142" s="10"/>
      <c r="I142" s="17"/>
      <c r="J142" s="83"/>
      <c r="K142" s="343"/>
      <c r="L142" s="347"/>
      <c r="M142" s="10" t="s">
        <v>117</v>
      </c>
      <c r="N142" s="10" t="s">
        <v>103</v>
      </c>
      <c r="O142" s="22">
        <v>0.20379744565899399</v>
      </c>
      <c r="P142" s="14" t="s">
        <v>272</v>
      </c>
      <c r="Q142" s="83">
        <f>IF(AND(Enginuity!$B$6&gt;0, Enginuity!$B$7&gt;0, Enginuity!$B$13&gt;0), ((2*Enginuity!$B$7*Enginuity!$B$13)+(2*Enginuity!$B$6))*2, "")</f>
        <v>444</v>
      </c>
      <c r="U142" s="104" t="str">
        <f>IF(
  AND(
    TRIM(A142)=TRIM(Enginuity!$A$1),
    TRIM(B142)=TRIM(Enginuity!$A$17),
    Q142&lt;&gt;"",
    Q142&lt;&gt;0,
    OR(
      TRIM(C142)=TRIM(Enginuity!$A$18),
      AND(UPPER(TRIM(M142))="STD", TRIM(B142)=TRIM(Enginuity!$A$17))
    ),
    OR(
      AND(LEFT(P142,5)="1-Way", Enginuity!$B$13=1),
      AND(LEFT(P142,5)="2-Way", OR(Enginuity!$B$13=2, Enginuity!$B$13=4)),
      AND(LEFT(P142,5)="3-Way", OR(Enginuity!$B$13=3, Enginuity!$B$13=6)),
      AND(P142="Inner Centre Jamb", OR(Enginuity!$B$13=4, Enginuity!$B$13=6)),
      AND(
        LEFT(P142,5)&lt;&gt;"1-Way",
        LEFT(P142,5)&lt;&gt;"2-Way",
        LEFT(P142,5)&lt;&gt;"3-Way",
        P142&lt;&gt;"Inner Centre Jamb"
      )
    ),
    IF(OR(Enginuity!$A$1="Frameless Glass",Enginuity!$A$1="Metal Work"),
      AND(TRIM(B142)=TRIM(Enginuity!$A$17),TRIM(C142)=TRIM(Enginuity!$A$18)),
      TRIM(B142)=TRIM(Enginuity!$A$17)
    )
  ),
  ROW(),
  ""
)</f>
        <v/>
      </c>
      <c r="AW142" t="s">
        <v>72</v>
      </c>
      <c r="AX142" s="5">
        <v>9.98</v>
      </c>
      <c r="AZ142" s="5"/>
      <c r="BA142" t="s">
        <v>1336</v>
      </c>
      <c r="BB142" s="5">
        <v>5.5</v>
      </c>
    </row>
    <row r="143" spans="1:54" x14ac:dyDescent="0.25">
      <c r="A143" s="10" t="s">
        <v>254</v>
      </c>
      <c r="B143" s="229" t="s">
        <v>12</v>
      </c>
      <c r="C143" s="10"/>
      <c r="D143" s="14"/>
      <c r="E143" s="157"/>
      <c r="F143" s="10"/>
      <c r="G143" s="17"/>
      <c r="H143" s="10"/>
      <c r="I143" s="17"/>
      <c r="J143" s="83"/>
      <c r="K143" s="343"/>
      <c r="L143" s="347"/>
      <c r="M143" s="10" t="s">
        <v>117</v>
      </c>
      <c r="N143" s="10" t="s">
        <v>103</v>
      </c>
      <c r="O143" s="22">
        <v>0.12</v>
      </c>
      <c r="P143" s="14" t="s">
        <v>273</v>
      </c>
      <c r="Q143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576</v>
      </c>
      <c r="U143" s="104" t="str">
        <f>IF(
  AND(
    TRIM(A143)=TRIM(Enginuity!$A$1),
    TRIM(B143)=TRIM(Enginuity!$A$17),
    Q143&lt;&gt;"",
    Q143&lt;&gt;0,
    OR(
      TRIM(C143)=TRIM(Enginuity!$A$18),
      AND(UPPER(TRIM(M143))="STD", TRIM(B143)=TRIM(Enginuity!$A$17))
    ),
    OR(
      AND(LEFT(P143,5)="1-Way", Enginuity!$B$13=1),
      AND(LEFT(P143,5)="2-Way", OR(Enginuity!$B$13=2, Enginuity!$B$13=4)),
      AND(LEFT(P143,5)="3-Way", OR(Enginuity!$B$13=3, Enginuity!$B$13=6)),
      AND(P143="Inner Centre Jamb", OR(Enginuity!$B$13=4, Enginuity!$B$13=6)),
      AND(
        LEFT(P143,5)&lt;&gt;"1-Way",
        LEFT(P143,5)&lt;&gt;"2-Way",
        LEFT(P143,5)&lt;&gt;"3-Way",
        P143&lt;&gt;"Inner Centre Jamb"
      )
    ),
    IF(OR(Enginuity!$A$1="Frameless Glass",Enginuity!$A$1="Metal Work"),
      AND(TRIM(B143)=TRIM(Enginuity!$A$17),TRIM(C143)=TRIM(Enginuity!$A$18)),
      TRIM(B143)=TRIM(Enginuity!$A$17)
    )
  ),
  ROW(),
  ""
)</f>
        <v/>
      </c>
      <c r="AW143" t="s">
        <v>45</v>
      </c>
      <c r="AX143" s="5">
        <v>9.9</v>
      </c>
      <c r="AZ143" s="5"/>
      <c r="BA143" t="s">
        <v>1008</v>
      </c>
      <c r="BB143" s="5">
        <v>8.9</v>
      </c>
    </row>
    <row r="144" spans="1:54" x14ac:dyDescent="0.25">
      <c r="A144" s="10" t="s">
        <v>254</v>
      </c>
      <c r="B144" s="229" t="s">
        <v>12</v>
      </c>
      <c r="C144" s="10"/>
      <c r="D144" s="14"/>
      <c r="E144" s="157"/>
      <c r="F144" s="10"/>
      <c r="G144" s="17"/>
      <c r="H144" s="10"/>
      <c r="I144" s="17"/>
      <c r="J144" s="83"/>
      <c r="K144" s="343"/>
      <c r="L144" s="347"/>
      <c r="M144" s="10" t="s">
        <v>117</v>
      </c>
      <c r="N144" s="10" t="s">
        <v>112</v>
      </c>
      <c r="O144" s="22">
        <v>1.4</v>
      </c>
      <c r="P144" s="14" t="s">
        <v>113</v>
      </c>
      <c r="Q144" s="83" t="str">
        <f>IF(
  TRIM(Enginuity!$A$21)="1'H X ?'W X Qty Panel Top Hung (Casement Profile)",
  Enginuity!$B$13,
  ""
)</f>
        <v/>
      </c>
      <c r="U144" s="104" t="str">
        <f>IF(
  AND(
    TRIM(A144)=TRIM(Enginuity!$A$1),
    TRIM(B144)=TRIM(Enginuity!$A$17),
    Q144&lt;&gt;"",
    Q144&lt;&gt;0,
    OR(
      TRIM(C144)=TRIM(Enginuity!$A$18),
      AND(UPPER(TRIM(M144))="STD", TRIM(B144)=TRIM(Enginuity!$A$17))
    ),
    OR(
      AND(LEFT(P144,5)="1-Way", Enginuity!$B$13=1),
      AND(LEFT(P144,5)="2-Way", OR(Enginuity!$B$13=2, Enginuity!$B$13=4)),
      AND(LEFT(P144,5)="3-Way", OR(Enginuity!$B$13=3, Enginuity!$B$13=6)),
      AND(P144="Inner Centre Jamb", OR(Enginuity!$B$13=4, Enginuity!$B$13=6)),
      AND(
        LEFT(P144,5)&lt;&gt;"1-Way",
        LEFT(P144,5)&lt;&gt;"2-Way",
        LEFT(P144,5)&lt;&gt;"3-Way",
        P144&lt;&gt;"Inner Centre Jamb"
      )
    ),
    IF(OR(Enginuity!$A$1="Frameless Glass",Enginuity!$A$1="Metal Work"),
      AND(TRIM(B144)=TRIM(Enginuity!$A$17),TRIM(C144)=TRIM(Enginuity!$A$18)),
      TRIM(B144)=TRIM(Enginuity!$A$17)
    )
  ),
  ROW(),
  ""
)</f>
        <v/>
      </c>
      <c r="AW144" t="s">
        <v>41</v>
      </c>
      <c r="AX144" s="5">
        <v>8.8000000000000007</v>
      </c>
      <c r="AZ144" s="5"/>
      <c r="BA144" t="s">
        <v>1010</v>
      </c>
      <c r="BB144" s="5">
        <v>8.9</v>
      </c>
    </row>
    <row r="145" spans="1:54" x14ac:dyDescent="0.25">
      <c r="A145" s="10" t="s">
        <v>254</v>
      </c>
      <c r="B145" s="229" t="s">
        <v>12</v>
      </c>
      <c r="C145" s="10"/>
      <c r="D145" s="14"/>
      <c r="E145" s="157"/>
      <c r="F145" s="10"/>
      <c r="G145" s="17"/>
      <c r="H145" s="10"/>
      <c r="I145" s="17"/>
      <c r="J145" s="83"/>
      <c r="K145" s="343"/>
      <c r="L145" s="347"/>
      <c r="M145" s="10" t="s">
        <v>117</v>
      </c>
      <c r="N145" s="88" t="s">
        <v>111</v>
      </c>
      <c r="O145" s="22">
        <v>4.5</v>
      </c>
      <c r="P145" s="36" t="s">
        <v>124</v>
      </c>
      <c r="Q145" s="83" t="str">
        <f>IF(
  TRIM(Enginuity!$A$21)="1'H X ?'W X Qty Panel Top Hung (Casement Profile)",
  Enginuity!$B$13,
  ""
)</f>
        <v/>
      </c>
      <c r="U145" s="104" t="str">
        <f>IF(
  AND(
    TRIM(A145)=TRIM(Enginuity!$A$1),
    TRIM(B145)=TRIM(Enginuity!$A$17),
    Q145&lt;&gt;"",
    Q145&lt;&gt;0,
    OR(
      TRIM(C145)=TRIM(Enginuity!$A$18),
      AND(UPPER(TRIM(M145))="STD", TRIM(B145)=TRIM(Enginuity!$A$17))
    ),
    OR(
      AND(LEFT(P145,5)="1-Way", Enginuity!$B$13=1),
      AND(LEFT(P145,5)="2-Way", OR(Enginuity!$B$13=2, Enginuity!$B$13=4)),
      AND(LEFT(P145,5)="3-Way", OR(Enginuity!$B$13=3, Enginuity!$B$13=6)),
      AND(P145="Inner Centre Jamb", OR(Enginuity!$B$13=4, Enginuity!$B$13=6)),
      AND(
        LEFT(P145,5)&lt;&gt;"1-Way",
        LEFT(P145,5)&lt;&gt;"2-Way",
        LEFT(P145,5)&lt;&gt;"3-Way",
        P145&lt;&gt;"Inner Centre Jamb"
      )
    ),
    IF(OR(Enginuity!$A$1="Frameless Glass",Enginuity!$A$1="Metal Work"),
      AND(TRIM(B145)=TRIM(Enginuity!$A$17),TRIM(C145)=TRIM(Enginuity!$A$18)),
      TRIM(B145)=TRIM(Enginuity!$A$17)
    )
  ),
  ROW(),
  ""
)</f>
        <v/>
      </c>
      <c r="AW145" t="s">
        <v>38</v>
      </c>
      <c r="AX145" s="5">
        <v>13.13</v>
      </c>
      <c r="AZ145" s="5"/>
      <c r="BA145" t="s">
        <v>1029</v>
      </c>
      <c r="BB145" s="5">
        <v>8.9</v>
      </c>
    </row>
    <row r="146" spans="1:54" x14ac:dyDescent="0.25">
      <c r="A146" s="10" t="s">
        <v>254</v>
      </c>
      <c r="B146" s="229" t="s">
        <v>12</v>
      </c>
      <c r="C146" s="10"/>
      <c r="D146" s="14"/>
      <c r="E146" s="157"/>
      <c r="F146" s="10"/>
      <c r="G146" s="17"/>
      <c r="H146" s="10"/>
      <c r="I146" s="17"/>
      <c r="J146" s="83"/>
      <c r="K146" s="343"/>
      <c r="L146" s="347"/>
      <c r="M146" s="10" t="s">
        <v>117</v>
      </c>
      <c r="N146" s="10" t="s">
        <v>112</v>
      </c>
      <c r="O146" s="22">
        <v>1.8</v>
      </c>
      <c r="P146" s="14" t="s">
        <v>118</v>
      </c>
      <c r="Q146" s="83">
        <f>Enginuity!$B$13</f>
        <v>7</v>
      </c>
      <c r="U146" s="104" t="str">
        <f>IF(
  AND(
    TRIM(A146)=TRIM(Enginuity!$A$1),
    TRIM(B146)=TRIM(Enginuity!$A$17),
    Q146&lt;&gt;"",
    Q146&lt;&gt;0,
    OR(
      TRIM(C146)=TRIM(Enginuity!$A$18),
      AND(UPPER(TRIM(M146))="STD", TRIM(B146)=TRIM(Enginuity!$A$17))
    ),
    OR(
      AND(LEFT(P146,5)="1-Way", Enginuity!$B$13=1),
      AND(LEFT(P146,5)="2-Way", OR(Enginuity!$B$13=2, Enginuity!$B$13=4)),
      AND(LEFT(P146,5)="3-Way", OR(Enginuity!$B$13=3, Enginuity!$B$13=6)),
      AND(P146="Inner Centre Jamb", OR(Enginuity!$B$13=4, Enginuity!$B$13=6)),
      AND(
        LEFT(P146,5)&lt;&gt;"1-Way",
        LEFT(P146,5)&lt;&gt;"2-Way",
        LEFT(P146,5)&lt;&gt;"3-Way",
        P146&lt;&gt;"Inner Centre Jamb"
      )
    ),
    IF(OR(Enginuity!$A$1="Frameless Glass",Enginuity!$A$1="Metal Work"),
      AND(TRIM(B146)=TRIM(Enginuity!$A$17),TRIM(C146)=TRIM(Enginuity!$A$18)),
      TRIM(B146)=TRIM(Enginuity!$A$17)
    )
  ),
  ROW(),
  ""
)</f>
        <v/>
      </c>
      <c r="AW146" t="s">
        <v>36</v>
      </c>
      <c r="AX146" s="5">
        <v>11.03</v>
      </c>
      <c r="AZ146" s="5"/>
      <c r="BA146" t="s">
        <v>988</v>
      </c>
      <c r="BB146" s="5">
        <v>5.5</v>
      </c>
    </row>
    <row r="147" spans="1:54" x14ac:dyDescent="0.25">
      <c r="A147" s="10" t="s">
        <v>254</v>
      </c>
      <c r="B147" s="229" t="s">
        <v>12</v>
      </c>
      <c r="C147" s="10"/>
      <c r="D147" s="14"/>
      <c r="E147" s="157"/>
      <c r="F147" s="10"/>
      <c r="G147" s="17"/>
      <c r="H147" s="10"/>
      <c r="I147" s="17"/>
      <c r="J147" s="83"/>
      <c r="K147" s="343"/>
      <c r="L147" s="347"/>
      <c r="M147" s="10" t="s">
        <v>117</v>
      </c>
      <c r="N147" s="88" t="s">
        <v>112</v>
      </c>
      <c r="O147" s="22">
        <v>2.8899999999999999E-2</v>
      </c>
      <c r="P147" s="14" t="s">
        <v>122</v>
      </c>
      <c r="Q147" s="83">
        <f>Enginuity!$B$13*4</f>
        <v>28</v>
      </c>
      <c r="U147" s="104" t="str">
        <f>IF(
  AND(
    TRIM(A147)=TRIM(Enginuity!$A$1),
    TRIM(B147)=TRIM(Enginuity!$A$17),
    Q147&lt;&gt;"",
    Q147&lt;&gt;0,
    OR(
      TRIM(C147)=TRIM(Enginuity!$A$18),
      AND(UPPER(TRIM(M147))="STD", TRIM(B147)=TRIM(Enginuity!$A$17))
    ),
    OR(
      AND(LEFT(P147,5)="1-Way", Enginuity!$B$13=1),
      AND(LEFT(P147,5)="2-Way", OR(Enginuity!$B$13=2, Enginuity!$B$13=4)),
      AND(LEFT(P147,5)="3-Way", OR(Enginuity!$B$13=3, Enginuity!$B$13=6)),
      AND(P147="Inner Centre Jamb", OR(Enginuity!$B$13=4, Enginuity!$B$13=6)),
      AND(
        LEFT(P147,5)&lt;&gt;"1-Way",
        LEFT(P147,5)&lt;&gt;"2-Way",
        LEFT(P147,5)&lt;&gt;"3-Way",
        P147&lt;&gt;"Inner Centre Jamb"
      )
    ),
    IF(OR(Enginuity!$A$1="Frameless Glass",Enginuity!$A$1="Metal Work"),
      AND(TRIM(B147)=TRIM(Enginuity!$A$17),TRIM(C147)=TRIM(Enginuity!$A$18)),
      TRIM(B147)=TRIM(Enginuity!$A$17)
    )
  ),
  ROW(),
  ""
)</f>
        <v/>
      </c>
      <c r="AW147" t="s">
        <v>22</v>
      </c>
      <c r="AX147" s="5">
        <v>4.5</v>
      </c>
      <c r="AZ147" s="5"/>
      <c r="BA147" t="s">
        <v>1017</v>
      </c>
      <c r="BB147" s="5">
        <v>7</v>
      </c>
    </row>
    <row r="148" spans="1:54" x14ac:dyDescent="0.25">
      <c r="A148" s="17" t="s">
        <v>254</v>
      </c>
      <c r="B148" s="230" t="s">
        <v>12</v>
      </c>
      <c r="C148" s="17"/>
      <c r="D148" s="18"/>
      <c r="E148" s="238"/>
      <c r="F148" s="17"/>
      <c r="G148" s="17"/>
      <c r="H148" s="10"/>
      <c r="I148" s="17"/>
      <c r="J148" s="83"/>
      <c r="K148" s="343"/>
      <c r="L148" s="347"/>
      <c r="M148" s="17" t="s">
        <v>117</v>
      </c>
      <c r="N148" s="91" t="s">
        <v>112</v>
      </c>
      <c r="O148" s="25">
        <v>0.9</v>
      </c>
      <c r="P148" s="18" t="s">
        <v>140</v>
      </c>
      <c r="Q148" s="84">
        <f>Enginuity!$B$13*2</f>
        <v>14</v>
      </c>
      <c r="U148" s="104" t="str">
        <f>IF(
  AND(
    TRIM(A148)=TRIM(Enginuity!$A$1),
    TRIM(B148)=TRIM(Enginuity!$A$17),
    Q148&lt;&gt;"",
    Q148&lt;&gt;0,
    OR(
      TRIM(C148)=TRIM(Enginuity!$A$18),
      AND(UPPER(TRIM(M148))="STD", TRIM(B148)=TRIM(Enginuity!$A$17))
    ),
    OR(
      AND(LEFT(P148,5)="1-Way", Enginuity!$B$13=1),
      AND(LEFT(P148,5)="2-Way", OR(Enginuity!$B$13=2, Enginuity!$B$13=4)),
      AND(LEFT(P148,5)="3-Way", OR(Enginuity!$B$13=3, Enginuity!$B$13=6)),
      AND(P148="Inner Centre Jamb", OR(Enginuity!$B$13=4, Enginuity!$B$13=6)),
      AND(
        LEFT(P148,5)&lt;&gt;"1-Way",
        LEFT(P148,5)&lt;&gt;"2-Way",
        LEFT(P148,5)&lt;&gt;"3-Way",
        P148&lt;&gt;"Inner Centre Jamb"
      )
    ),
    IF(OR(Enginuity!$A$1="Frameless Glass",Enginuity!$A$1="Metal Work"),
      AND(TRIM(B148)=TRIM(Enginuity!$A$17),TRIM(C148)=TRIM(Enginuity!$A$18)),
      TRIM(B148)=TRIM(Enginuity!$A$17)
    )
  ),
  ROW(),
  ""
)</f>
        <v/>
      </c>
      <c r="AW148" t="s">
        <v>24</v>
      </c>
      <c r="AX148" s="5">
        <v>4.8</v>
      </c>
      <c r="AZ148" s="5"/>
      <c r="BA148" t="s">
        <v>1015</v>
      </c>
      <c r="BB148" s="5">
        <v>7</v>
      </c>
    </row>
    <row r="149" spans="1:54" x14ac:dyDescent="0.25">
      <c r="A149" s="10" t="s">
        <v>254</v>
      </c>
      <c r="B149" s="229" t="s">
        <v>11</v>
      </c>
      <c r="C149" s="10" t="s">
        <v>107</v>
      </c>
      <c r="D149" s="14" t="str" cm="1">
        <f t="array" ref="D149:D158">IFERROR(INDEX(_xlfn._xlws.FILTER(AllMaterialsbak!$BA$2:$BA$30, AllMaterialsbak!$BA$2:$BA$30&lt;&gt;""), _xlfn.SEQUENCE(10)), "")</f>
        <v>Default</v>
      </c>
      <c r="E149" s="157" t="s">
        <v>257</v>
      </c>
      <c r="F149" s="14" t="s">
        <v>352</v>
      </c>
      <c r="G149" s="17" t="s">
        <v>9</v>
      </c>
      <c r="H149" s="10"/>
      <c r="I149" s="17"/>
      <c r="J149" s="83"/>
      <c r="K149" s="344">
        <v>0.59596199999999999</v>
      </c>
      <c r="L149" s="347">
        <v>914.4</v>
      </c>
      <c r="M149" s="89">
        <v>1</v>
      </c>
      <c r="N149" s="10" t="s">
        <v>103</v>
      </c>
      <c r="O149" s="22">
        <v>3.1</v>
      </c>
      <c r="P149" s="14" t="s">
        <v>281</v>
      </c>
      <c r="Q149" s="98">
        <f>Enginuity!$B$6</f>
        <v>20</v>
      </c>
      <c r="U149" s="104" t="str">
        <f>IF(
  AND(
    TRIM(A149)=TRIM(Enginuity!$A$1),
    TRIM(B149)=TRIM(Enginuity!$A$17),
    Q149&lt;&gt;"",
    Q149&lt;&gt;0,
    OR(
      TRIM(C149)=TRIM(Enginuity!$A$18),
      AND(UPPER(TRIM(M149))="STD", TRIM(B149)=TRIM(Enginuity!$A$17))
    ),
    OR(
      AND(LEFT(P149,5)="1-Way", Enginuity!$B$13=1),
      AND(LEFT(P149,5)="2-Way", OR(Enginuity!$B$13=2, Enginuity!$B$13=4)),
      AND(LEFT(P149,5)="3-Way", OR(Enginuity!$B$13=3, Enginuity!$B$13=6)),
      AND(P149="Inner Centre Jamb", OR(Enginuity!$B$13=4, Enginuity!$B$13=6)),
      AND(
        LEFT(P149,5)&lt;&gt;"1-Way",
        LEFT(P149,5)&lt;&gt;"2-Way",
        LEFT(P149,5)&lt;&gt;"3-Way",
        P149&lt;&gt;"Inner Centre Jamb"
      )
    ),
    IF(OR(Enginuity!$A$1="Frameless Glass",Enginuity!$A$1="Metal Work"),
      AND(TRIM(B149)=TRIM(Enginuity!$A$17),TRIM(C149)=TRIM(Enginuity!$A$18)),
      TRIM(B149)=TRIM(Enginuity!$A$17)
    )
  ),
  ROW(),
  ""
)</f>
        <v/>
      </c>
      <c r="AW149" t="s">
        <v>54</v>
      </c>
      <c r="AX149" s="5">
        <v>10</v>
      </c>
      <c r="AZ149" s="5"/>
      <c r="BA149" t="s">
        <v>1011</v>
      </c>
      <c r="BB149" s="5">
        <v>4</v>
      </c>
    </row>
    <row r="150" spans="1:54" x14ac:dyDescent="0.25">
      <c r="A150" s="10" t="s">
        <v>254</v>
      </c>
      <c r="B150" s="229" t="s">
        <v>11</v>
      </c>
      <c r="C150" s="10" t="s">
        <v>107</v>
      </c>
      <c r="D150" s="14" t="str">
        <v xml:space="preserve">2" Louver Blade N/A </v>
      </c>
      <c r="E150" s="157" t="s">
        <v>269</v>
      </c>
      <c r="F150" s="14" t="s">
        <v>356</v>
      </c>
      <c r="G150" s="17"/>
      <c r="H150" s="10"/>
      <c r="I150" s="17"/>
      <c r="J150" s="83"/>
      <c r="K150" s="343"/>
      <c r="L150" s="347"/>
      <c r="M150" s="89">
        <v>2</v>
      </c>
      <c r="N150" s="10" t="s">
        <v>103</v>
      </c>
      <c r="O150" s="22">
        <v>2.68</v>
      </c>
      <c r="P150" s="14" t="s">
        <v>284</v>
      </c>
      <c r="Q150" s="98">
        <f>Enginuity!$B$6</f>
        <v>20</v>
      </c>
      <c r="U150" s="104" t="str">
        <f>IF(
  AND(
    TRIM(A150)=TRIM(Enginuity!$A$1),
    TRIM(B150)=TRIM(Enginuity!$A$17),
    Q150&lt;&gt;"",
    Q150&lt;&gt;0,
    OR(
      TRIM(C150)=TRIM(Enginuity!$A$18),
      AND(UPPER(TRIM(M150))="STD", TRIM(B150)=TRIM(Enginuity!$A$17))
    ),
    OR(
      AND(LEFT(P150,5)="1-Way", Enginuity!$B$13=1),
      AND(LEFT(P150,5)="2-Way", OR(Enginuity!$B$13=2, Enginuity!$B$13=4)),
      AND(LEFT(P150,5)="3-Way", OR(Enginuity!$B$13=3, Enginuity!$B$13=6)),
      AND(P150="Inner Centre Jamb", OR(Enginuity!$B$13=4, Enginuity!$B$13=6)),
      AND(
        LEFT(P150,5)&lt;&gt;"1-Way",
        LEFT(P150,5)&lt;&gt;"2-Way",
        LEFT(P150,5)&lt;&gt;"3-Way",
        P150&lt;&gt;"Inner Centre Jamb"
      )
    ),
    IF(OR(Enginuity!$A$1="Frameless Glass",Enginuity!$A$1="Metal Work"),
      AND(TRIM(B150)=TRIM(Enginuity!$A$17),TRIM(C150)=TRIM(Enginuity!$A$18)),
      TRIM(B150)=TRIM(Enginuity!$A$17)
    )
  ),
  ROW(),
  ""
)</f>
        <v/>
      </c>
      <c r="AW150" t="s">
        <v>50</v>
      </c>
      <c r="AX150" s="5">
        <v>9</v>
      </c>
      <c r="AZ150" s="5"/>
      <c r="BA150" t="s">
        <v>1003</v>
      </c>
      <c r="BB150" s="5">
        <v>9.1999999999999993</v>
      </c>
    </row>
    <row r="151" spans="1:54" x14ac:dyDescent="0.25">
      <c r="A151" s="10" t="s">
        <v>254</v>
      </c>
      <c r="B151" s="229" t="s">
        <v>11</v>
      </c>
      <c r="C151" s="10" t="s">
        <v>107</v>
      </c>
      <c r="D151" s="14" t="str">
        <v>2" Louver Blade P/C</v>
      </c>
      <c r="E151" s="157"/>
      <c r="F151" s="10"/>
      <c r="G151" s="17"/>
      <c r="H151" s="10"/>
      <c r="I151" s="17"/>
      <c r="J151" s="83"/>
      <c r="K151" s="343"/>
      <c r="L151" s="347"/>
      <c r="M151" s="89">
        <v>3</v>
      </c>
      <c r="N151" s="10" t="s">
        <v>103</v>
      </c>
      <c r="O151" s="22">
        <v>2.35</v>
      </c>
      <c r="P151" s="14" t="s">
        <v>287</v>
      </c>
      <c r="Q151" s="83">
        <f>IF(Enginuity!$B$7&gt;0, 2 * Enginuity!$B$7, "")</f>
        <v>26</v>
      </c>
      <c r="U151" s="104" t="str">
        <f>IF(
  AND(
    TRIM(A151)=TRIM(Enginuity!$A$1),
    TRIM(B151)=TRIM(Enginuity!$A$17),
    Q151&lt;&gt;"",
    Q151&lt;&gt;0,
    OR(
      TRIM(C151)=TRIM(Enginuity!$A$18),
      AND(UPPER(TRIM(M151))="STD", TRIM(B151)=TRIM(Enginuity!$A$17))
    ),
    OR(
      AND(LEFT(P151,5)="1-Way", Enginuity!$B$13=1),
      AND(LEFT(P151,5)="2-Way", OR(Enginuity!$B$13=2, Enginuity!$B$13=4)),
      AND(LEFT(P151,5)="3-Way", OR(Enginuity!$B$13=3, Enginuity!$B$13=6)),
      AND(P151="Inner Centre Jamb", OR(Enginuity!$B$13=4, Enginuity!$B$13=6)),
      AND(
        LEFT(P151,5)&lt;&gt;"1-Way",
        LEFT(P151,5)&lt;&gt;"2-Way",
        LEFT(P151,5)&lt;&gt;"3-Way",
        P151&lt;&gt;"Inner Centre Jamb"
      )
    ),
    IF(OR(Enginuity!$A$1="Frameless Glass",Enginuity!$A$1="Metal Work"),
      AND(TRIM(B151)=TRIM(Enginuity!$A$17),TRIM(C151)=TRIM(Enginuity!$A$18)),
      TRIM(B151)=TRIM(Enginuity!$A$17)
    )
  ),
  ROW(),
  ""
)</f>
        <v/>
      </c>
      <c r="AW151" t="s">
        <v>27</v>
      </c>
      <c r="AX151" s="5">
        <v>4.5</v>
      </c>
      <c r="AZ151" s="5"/>
      <c r="BA151" t="s">
        <v>1020</v>
      </c>
      <c r="BB151" s="5">
        <v>8.5</v>
      </c>
    </row>
    <row r="152" spans="1:54" x14ac:dyDescent="0.25">
      <c r="A152" s="10" t="s">
        <v>254</v>
      </c>
      <c r="B152" s="229" t="s">
        <v>11</v>
      </c>
      <c r="C152" s="10" t="s">
        <v>107</v>
      </c>
      <c r="D152" s="14" t="str">
        <v xml:space="preserve">5" Louver Blade N/A </v>
      </c>
      <c r="E152" s="157"/>
      <c r="F152" s="10"/>
      <c r="G152" s="17"/>
      <c r="H152" s="10"/>
      <c r="I152" s="17"/>
      <c r="J152" s="83"/>
      <c r="K152" s="343"/>
      <c r="L152" s="347"/>
      <c r="M152" s="89">
        <v>4</v>
      </c>
      <c r="N152" s="10" t="s">
        <v>103</v>
      </c>
      <c r="O152" s="22">
        <v>4.59</v>
      </c>
      <c r="P152" s="14" t="s">
        <v>282</v>
      </c>
      <c r="Q152" s="83">
        <f>Enginuity!$B$6*2</f>
        <v>40</v>
      </c>
      <c r="U152" s="104" t="str">
        <f>IF(
  AND(
    TRIM(A152)=TRIM(Enginuity!$A$1),
    TRIM(B152)=TRIM(Enginuity!$A$17),
    Q152&lt;&gt;"",
    Q152&lt;&gt;0,
    OR(
      TRIM(C152)=TRIM(Enginuity!$A$18),
      AND(UPPER(TRIM(M152))="STD", TRIM(B152)=TRIM(Enginuity!$A$17))
    ),
    OR(
      AND(LEFT(P152,5)="1-Way", Enginuity!$B$13=1),
      AND(LEFT(P152,5)="2-Way", OR(Enginuity!$B$13=2, Enginuity!$B$13=4)),
      AND(LEFT(P152,5)="3-Way", OR(Enginuity!$B$13=3, Enginuity!$B$13=6)),
      AND(P152="Inner Centre Jamb", OR(Enginuity!$B$13=4, Enginuity!$B$13=6)),
      AND(
        LEFT(P152,5)&lt;&gt;"1-Way",
        LEFT(P152,5)&lt;&gt;"2-Way",
        LEFT(P152,5)&lt;&gt;"3-Way",
        P152&lt;&gt;"Inner Centre Jamb"
      )
    ),
    IF(OR(Enginuity!$A$1="Frameless Glass",Enginuity!$A$1="Metal Work"),
      AND(TRIM(B152)=TRIM(Enginuity!$A$17),TRIM(C152)=TRIM(Enginuity!$A$18)),
      TRIM(B152)=TRIM(Enginuity!$A$17)
    )
  ),
  ROW(),
  ""
)</f>
        <v/>
      </c>
      <c r="AW152" t="s">
        <v>60</v>
      </c>
      <c r="AX152" s="5">
        <v>9.4499999999999993</v>
      </c>
      <c r="AZ152" s="5"/>
      <c r="BA152" t="s">
        <v>983</v>
      </c>
      <c r="BB152" s="5">
        <v>3.6</v>
      </c>
    </row>
    <row r="153" spans="1:54" x14ac:dyDescent="0.25">
      <c r="A153" s="10" t="s">
        <v>254</v>
      </c>
      <c r="B153" s="229" t="s">
        <v>11</v>
      </c>
      <c r="C153" s="10" t="s">
        <v>107</v>
      </c>
      <c r="D153" s="14" t="str">
        <v>5" Louver Blade P/C</v>
      </c>
      <c r="E153" s="157"/>
      <c r="F153" s="10"/>
      <c r="G153" s="17"/>
      <c r="H153" s="10"/>
      <c r="I153" s="17"/>
      <c r="J153" s="83"/>
      <c r="K153" s="343"/>
      <c r="L153" s="347"/>
      <c r="M153" s="89">
        <v>5</v>
      </c>
      <c r="N153" s="10" t="s">
        <v>103</v>
      </c>
      <c r="O153" s="22">
        <v>4.03</v>
      </c>
      <c r="P153" s="14" t="s">
        <v>285</v>
      </c>
      <c r="Q153" s="83">
        <f>Enginuity!$B$6*2</f>
        <v>40</v>
      </c>
      <c r="U153" s="104" t="str">
        <f>IF(
  AND(
    TRIM(A153)=TRIM(Enginuity!$A$1),
    TRIM(B153)=TRIM(Enginuity!$A$17),
    Q153&lt;&gt;"",
    Q153&lt;&gt;0,
    OR(
      TRIM(C153)=TRIM(Enginuity!$A$18),
      AND(UPPER(TRIM(M153))="STD", TRIM(B153)=TRIM(Enginuity!$A$17))
    ),
    OR(
      AND(LEFT(P153,5)="1-Way", Enginuity!$B$13=1),
      AND(LEFT(P153,5)="2-Way", OR(Enginuity!$B$13=2, Enginuity!$B$13=4)),
      AND(LEFT(P153,5)="3-Way", OR(Enginuity!$B$13=3, Enginuity!$B$13=6)),
      AND(P153="Inner Centre Jamb", OR(Enginuity!$B$13=4, Enginuity!$B$13=6)),
      AND(
        LEFT(P153,5)&lt;&gt;"1-Way",
        LEFT(P153,5)&lt;&gt;"2-Way",
        LEFT(P153,5)&lt;&gt;"3-Way",
        P153&lt;&gt;"Inner Centre Jamb"
      )
    ),
    IF(OR(Enginuity!$A$1="Frameless Glass",Enginuity!$A$1="Metal Work"),
      AND(TRIM(B153)=TRIM(Enginuity!$A$17),TRIM(C153)=TRIM(Enginuity!$A$18)),
      TRIM(B153)=TRIM(Enginuity!$A$17)
    )
  ),
  ROW(),
  ""
)</f>
        <v/>
      </c>
      <c r="AW153" t="s">
        <v>31</v>
      </c>
      <c r="AX153" s="5">
        <v>6.5</v>
      </c>
      <c r="AZ153" s="5"/>
      <c r="BA153" t="s">
        <v>1027</v>
      </c>
      <c r="BB153" s="5">
        <v>8.5</v>
      </c>
    </row>
    <row r="154" spans="1:54" x14ac:dyDescent="0.25">
      <c r="A154" s="10" t="s">
        <v>254</v>
      </c>
      <c r="B154" s="229" t="s">
        <v>11</v>
      </c>
      <c r="C154" s="10" t="s">
        <v>107</v>
      </c>
      <c r="D154" s="14" t="str">
        <v/>
      </c>
      <c r="E154" s="157"/>
      <c r="F154" s="10"/>
      <c r="G154" s="17"/>
      <c r="H154" s="10"/>
      <c r="I154" s="17"/>
      <c r="J154" s="83"/>
      <c r="K154" s="343"/>
      <c r="L154" s="347"/>
      <c r="M154" s="89">
        <v>6</v>
      </c>
      <c r="N154" s="10" t="s">
        <v>103</v>
      </c>
      <c r="O154" s="22">
        <v>3.25</v>
      </c>
      <c r="P154" s="14" t="s">
        <v>288</v>
      </c>
      <c r="Q154" s="83">
        <f>IF(Enginuity!$B$7&gt;0, 2 * Enginuity!$B$7, "")</f>
        <v>26</v>
      </c>
      <c r="U154" s="104" t="str">
        <f>IF(
  AND(
    TRIM(A154)=TRIM(Enginuity!$A$1),
    TRIM(B154)=TRIM(Enginuity!$A$17),
    Q154&lt;&gt;"",
    Q154&lt;&gt;0,
    OR(
      TRIM(C154)=TRIM(Enginuity!$A$18),
      AND(UPPER(TRIM(M154))="STD", TRIM(B154)=TRIM(Enginuity!$A$17))
    ),
    OR(
      AND(LEFT(P154,5)="1-Way", Enginuity!$B$13=1),
      AND(LEFT(P154,5)="2-Way", OR(Enginuity!$B$13=2, Enginuity!$B$13=4)),
      AND(LEFT(P154,5)="3-Way", OR(Enginuity!$B$13=3, Enginuity!$B$13=6)),
      AND(P154="Inner Centre Jamb", OR(Enginuity!$B$13=4, Enginuity!$B$13=6)),
      AND(
        LEFT(P154,5)&lt;&gt;"1-Way",
        LEFT(P154,5)&lt;&gt;"2-Way",
        LEFT(P154,5)&lt;&gt;"3-Way",
        P154&lt;&gt;"Inner Centre Jamb"
      )
    ),
    IF(OR(Enginuity!$A$1="Frameless Glass",Enginuity!$A$1="Metal Work"),
      AND(TRIM(B154)=TRIM(Enginuity!$A$17),TRIM(C154)=TRIM(Enginuity!$A$18)),
      TRIM(B154)=TRIM(Enginuity!$A$17)
    )
  ),
  ROW(),
  ""
)</f>
        <v/>
      </c>
      <c r="AW154" t="s">
        <v>32</v>
      </c>
      <c r="AX154" s="5">
        <v>9</v>
      </c>
      <c r="AZ154" s="5"/>
      <c r="BA154" t="s">
        <v>997</v>
      </c>
      <c r="BB154" s="5">
        <v>12</v>
      </c>
    </row>
    <row r="155" spans="1:54" x14ac:dyDescent="0.25">
      <c r="A155" s="10" t="s">
        <v>254</v>
      </c>
      <c r="B155" s="229" t="s">
        <v>11</v>
      </c>
      <c r="C155" s="10" t="s">
        <v>107</v>
      </c>
      <c r="D155" s="14" t="str">
        <v/>
      </c>
      <c r="E155" s="157"/>
      <c r="F155" s="10"/>
      <c r="G155" s="17"/>
      <c r="H155" s="10"/>
      <c r="I155" s="17"/>
      <c r="J155" s="83"/>
      <c r="K155" s="343"/>
      <c r="L155" s="347"/>
      <c r="M155" s="89">
        <v>7</v>
      </c>
      <c r="N155" s="10" t="s">
        <v>103</v>
      </c>
      <c r="O155" s="22">
        <v>2.81</v>
      </c>
      <c r="P155" s="14" t="s">
        <v>289</v>
      </c>
      <c r="Q155" s="83">
        <f>IF(Enginuity!$B$6&gt;0, Enginuity!$B$6, "")</f>
        <v>20</v>
      </c>
      <c r="U155" s="104" t="str">
        <f>IF(
  AND(
    TRIM(A155)=TRIM(Enginuity!$A$1),
    TRIM(B155)=TRIM(Enginuity!$A$17),
    Q155&lt;&gt;"",
    Q155&lt;&gt;0,
    OR(
      TRIM(C155)=TRIM(Enginuity!$A$18),
      AND(UPPER(TRIM(M155))="STD", TRIM(B155)=TRIM(Enginuity!$A$17))
    ),
    OR(
      AND(LEFT(P155,5)="1-Way", Enginuity!$B$13=1),
      AND(LEFT(P155,5)="2-Way", OR(Enginuity!$B$13=2, Enginuity!$B$13=4)),
      AND(LEFT(P155,5)="3-Way", OR(Enginuity!$B$13=3, Enginuity!$B$13=6)),
      AND(P155="Inner Centre Jamb", OR(Enginuity!$B$13=4, Enginuity!$B$13=6)),
      AND(
        LEFT(P155,5)&lt;&gt;"1-Way",
        LEFT(P155,5)&lt;&gt;"2-Way",
        LEFT(P155,5)&lt;&gt;"3-Way",
        P155&lt;&gt;"Inner Centre Jamb"
      )
    ),
    IF(OR(Enginuity!$A$1="Frameless Glass",Enginuity!$A$1="Metal Work"),
      AND(TRIM(B155)=TRIM(Enginuity!$A$17),TRIM(C155)=TRIM(Enginuity!$A$18)),
      TRIM(B155)=TRIM(Enginuity!$A$17)
    )
  ),
  ROW(),
  ""
)</f>
        <v/>
      </c>
      <c r="AW155" t="s">
        <v>33</v>
      </c>
      <c r="AX155" s="5">
        <v>9.5</v>
      </c>
      <c r="BA155" t="s">
        <v>1006</v>
      </c>
      <c r="BB155" s="5">
        <v>4</v>
      </c>
    </row>
    <row r="156" spans="1:54" x14ac:dyDescent="0.25">
      <c r="A156" s="10" t="s">
        <v>254</v>
      </c>
      <c r="B156" s="229" t="s">
        <v>11</v>
      </c>
      <c r="C156" s="10" t="s">
        <v>107</v>
      </c>
      <c r="D156" s="14" t="str">
        <v/>
      </c>
      <c r="E156" s="157"/>
      <c r="F156" s="10"/>
      <c r="G156" s="17"/>
      <c r="H156" s="10"/>
      <c r="I156" s="17"/>
      <c r="J156" s="83"/>
      <c r="K156" s="343"/>
      <c r="L156" s="347"/>
      <c r="M156" s="89">
        <v>8</v>
      </c>
      <c r="N156" s="10" t="s">
        <v>103</v>
      </c>
      <c r="O156" s="22">
        <v>2.75</v>
      </c>
      <c r="P156" s="14" t="s">
        <v>290</v>
      </c>
      <c r="Q156" s="83">
        <f>IF(Enginuity!$B$6&gt;0, Enginuity!$B$6, "")</f>
        <v>20</v>
      </c>
      <c r="U156" s="104" t="str">
        <f>IF(
  AND(
    TRIM(A156)=TRIM(Enginuity!$A$1),
    TRIM(B156)=TRIM(Enginuity!$A$17),
    Q156&lt;&gt;"",
    Q156&lt;&gt;0,
    OR(
      TRIM(C156)=TRIM(Enginuity!$A$18),
      AND(UPPER(TRIM(M156))="STD", TRIM(B156)=TRIM(Enginuity!$A$17))
    ),
    OR(
      AND(LEFT(P156,5)="1-Way", Enginuity!$B$13=1),
      AND(LEFT(P156,5)="2-Way", OR(Enginuity!$B$13=2, Enginuity!$B$13=4)),
      AND(LEFT(P156,5)="3-Way", OR(Enginuity!$B$13=3, Enginuity!$B$13=6)),
      AND(P156="Inner Centre Jamb", OR(Enginuity!$B$13=4, Enginuity!$B$13=6)),
      AND(
        LEFT(P156,5)&lt;&gt;"1-Way",
        LEFT(P156,5)&lt;&gt;"2-Way",
        LEFT(P156,5)&lt;&gt;"3-Way",
        P156&lt;&gt;"Inner Centre Jamb"
      )
    ),
    IF(OR(Enginuity!$A$1="Frameless Glass",Enginuity!$A$1="Metal Work"),
      AND(TRIM(B156)=TRIM(Enginuity!$A$17),TRIM(C156)=TRIM(Enginuity!$A$18)),
      TRIM(B156)=TRIM(Enginuity!$A$17)
    )
  ),
  ROW(),
  ""
)</f>
        <v/>
      </c>
      <c r="AW156" t="s">
        <v>34</v>
      </c>
      <c r="AX156" s="5">
        <v>7.5</v>
      </c>
      <c r="BA156" t="s">
        <v>984</v>
      </c>
      <c r="BB156" s="5">
        <v>4.9000000000000004</v>
      </c>
    </row>
    <row r="157" spans="1:54" x14ac:dyDescent="0.25">
      <c r="A157" s="10" t="s">
        <v>254</v>
      </c>
      <c r="B157" s="229" t="s">
        <v>11</v>
      </c>
      <c r="C157" s="10" t="s">
        <v>107</v>
      </c>
      <c r="D157" s="14" t="str">
        <v/>
      </c>
      <c r="E157" s="157"/>
      <c r="F157" s="10"/>
      <c r="G157" s="17"/>
      <c r="H157" s="10"/>
      <c r="I157" s="17"/>
      <c r="J157" s="83"/>
      <c r="K157" s="343"/>
      <c r="L157" s="347"/>
      <c r="M157" s="89">
        <v>9</v>
      </c>
      <c r="N157" s="10" t="s">
        <v>103</v>
      </c>
      <c r="O157" s="22">
        <v>2.75</v>
      </c>
      <c r="P157" s="14" t="s">
        <v>262</v>
      </c>
      <c r="Q157" s="83">
        <f>IF(AND(Enginuity!$B$7&gt;0, Enginuity!$B$13&gt;0), Enginuity!$B$7 * Enginuity!$B$13, "")</f>
        <v>91</v>
      </c>
      <c r="U157" s="104" t="str">
        <f>IF(
  AND(
    TRIM(A157)=TRIM(Enginuity!$A$1),
    TRIM(B157)=TRIM(Enginuity!$A$17),
    Q157&lt;&gt;"",
    Q157&lt;&gt;0,
    OR(
      TRIM(C157)=TRIM(Enginuity!$A$18),
      AND(UPPER(TRIM(M157))="STD", TRIM(B157)=TRIM(Enginuity!$A$17))
    ),
    OR(
      AND(LEFT(P157,5)="1-Way", Enginuity!$B$13=1),
      AND(LEFT(P157,5)="2-Way", OR(Enginuity!$B$13=2, Enginuity!$B$13=4)),
      AND(LEFT(P157,5)="3-Way", OR(Enginuity!$B$13=3, Enginuity!$B$13=6)),
      AND(P157="Inner Centre Jamb", OR(Enginuity!$B$13=4, Enginuity!$B$13=6)),
      AND(
        LEFT(P157,5)&lt;&gt;"1-Way",
        LEFT(P157,5)&lt;&gt;"2-Way",
        LEFT(P157,5)&lt;&gt;"3-Way",
        P157&lt;&gt;"Inner Centre Jamb"
      )
    ),
    IF(OR(Enginuity!$A$1="Frameless Glass",Enginuity!$A$1="Metal Work"),
      AND(TRIM(B157)=TRIM(Enginuity!$A$17),TRIM(C157)=TRIM(Enginuity!$A$18)),
      TRIM(B157)=TRIM(Enginuity!$A$17)
    )
  ),
  ROW(),
  ""
)</f>
        <v/>
      </c>
      <c r="AW157" t="s">
        <v>68</v>
      </c>
      <c r="AX157" s="5">
        <v>11.03</v>
      </c>
      <c r="BA157" t="s">
        <v>998</v>
      </c>
      <c r="BB157" s="5">
        <v>13</v>
      </c>
    </row>
    <row r="158" spans="1:54" x14ac:dyDescent="0.25">
      <c r="A158" s="10" t="s">
        <v>254</v>
      </c>
      <c r="B158" s="229" t="s">
        <v>11</v>
      </c>
      <c r="C158" s="10" t="s">
        <v>107</v>
      </c>
      <c r="D158" s="14" t="str">
        <v/>
      </c>
      <c r="E158" s="157"/>
      <c r="F158" s="10"/>
      <c r="G158" s="17"/>
      <c r="H158" s="10"/>
      <c r="I158" s="17"/>
      <c r="J158" s="83"/>
      <c r="K158" s="343"/>
      <c r="L158" s="347"/>
      <c r="M158" s="89">
        <v>10</v>
      </c>
      <c r="N158" s="10" t="s">
        <v>103</v>
      </c>
      <c r="O158" s="22">
        <v>2.81</v>
      </c>
      <c r="P158" s="14" t="s">
        <v>267</v>
      </c>
      <c r="Q158" s="83">
        <f>IF(AND(Enginuity!$B$7&gt;0, Enginuity!$B$13&gt;0), Enginuity!$B$7 * Enginuity!$B$13, "")</f>
        <v>91</v>
      </c>
      <c r="U158" s="104" t="str">
        <f>IF(
  AND(
    TRIM(A158)=TRIM(Enginuity!$A$1),
    TRIM(B158)=TRIM(Enginuity!$A$17),
    Q158&lt;&gt;"",
    Q158&lt;&gt;0,
    OR(
      TRIM(C158)=TRIM(Enginuity!$A$18),
      AND(UPPER(TRIM(M158))="STD", TRIM(B158)=TRIM(Enginuity!$A$17))
    ),
    OR(
      AND(LEFT(P158,5)="1-Way", Enginuity!$B$13=1),
      AND(LEFT(P158,5)="2-Way", OR(Enginuity!$B$13=2, Enginuity!$B$13=4)),
      AND(LEFT(P158,5)="3-Way", OR(Enginuity!$B$13=3, Enginuity!$B$13=6)),
      AND(P158="Inner Centre Jamb", OR(Enginuity!$B$13=4, Enginuity!$B$13=6)),
      AND(
        LEFT(P158,5)&lt;&gt;"1-Way",
        LEFT(P158,5)&lt;&gt;"2-Way",
        LEFT(P158,5)&lt;&gt;"3-Way",
        P158&lt;&gt;"Inner Centre Jamb"
      )
    ),
    IF(OR(Enginuity!$A$1="Frameless Glass",Enginuity!$A$1="Metal Work"),
      AND(TRIM(B158)=TRIM(Enginuity!$A$17),TRIM(C158)=TRIM(Enginuity!$A$18)),
      TRIM(B158)=TRIM(Enginuity!$A$17)
    )
  ),
  ROW(),
  ""
)</f>
        <v/>
      </c>
      <c r="AW158" t="s">
        <v>73</v>
      </c>
      <c r="AX158" s="5">
        <v>12.08</v>
      </c>
      <c r="BA158" t="s">
        <v>985</v>
      </c>
      <c r="BB158" s="5">
        <v>5.7</v>
      </c>
    </row>
    <row r="159" spans="1:54" x14ac:dyDescent="0.25">
      <c r="A159" s="10" t="s">
        <v>254</v>
      </c>
      <c r="B159" s="229" t="s">
        <v>11</v>
      </c>
      <c r="C159" s="10" t="s">
        <v>107</v>
      </c>
      <c r="D159" s="14"/>
      <c r="E159" s="157"/>
      <c r="F159" s="10"/>
      <c r="G159" s="17"/>
      <c r="H159" s="10"/>
      <c r="I159" s="17"/>
      <c r="J159" s="83"/>
      <c r="K159" s="343"/>
      <c r="L159" s="347"/>
      <c r="M159" s="89">
        <v>11</v>
      </c>
      <c r="N159" s="10" t="s">
        <v>103</v>
      </c>
      <c r="O159" s="22">
        <v>1.08</v>
      </c>
      <c r="P159" s="14" t="s">
        <v>109</v>
      </c>
      <c r="Q159" s="83">
        <f>IF(Enginuity!$B$7&gt;0, Enginuity!$B$7, "")</f>
        <v>13</v>
      </c>
      <c r="U159" s="104" t="str">
        <f>IF(
  AND(
    TRIM(A159)=TRIM(Enginuity!$A$1),
    TRIM(B159)=TRIM(Enginuity!$A$17),
    Q159&lt;&gt;"",
    Q159&lt;&gt;0,
    OR(
      TRIM(C159)=TRIM(Enginuity!$A$18),
      AND(UPPER(TRIM(M159))="STD", TRIM(B159)=TRIM(Enginuity!$A$17))
    ),
    OR(
      AND(LEFT(P159,5)="1-Way", Enginuity!$B$13=1),
      AND(LEFT(P159,5)="2-Way", OR(Enginuity!$B$13=2, Enginuity!$B$13=4)),
      AND(LEFT(P159,5)="3-Way", OR(Enginuity!$B$13=3, Enginuity!$B$13=6)),
      AND(P159="Inner Centre Jamb", OR(Enginuity!$B$13=4, Enginuity!$B$13=6)),
      AND(
        LEFT(P159,5)&lt;&gt;"1-Way",
        LEFT(P159,5)&lt;&gt;"2-Way",
        LEFT(P159,5)&lt;&gt;"3-Way",
        P159&lt;&gt;"Inner Centre Jamb"
      )
    ),
    IF(OR(Enginuity!$A$1="Frameless Glass",Enginuity!$A$1="Metal Work"),
      AND(TRIM(B159)=TRIM(Enginuity!$A$17),TRIM(C159)=TRIM(Enginuity!$A$18)),
      TRIM(B159)=TRIM(Enginuity!$A$17)
    )
  ),
  ROW(),
  ""
)</f>
        <v/>
      </c>
      <c r="AW159" t="s">
        <v>20</v>
      </c>
      <c r="AX159" s="5">
        <v>4.5</v>
      </c>
      <c r="BA159" t="s">
        <v>999</v>
      </c>
      <c r="BB159" s="5">
        <v>14</v>
      </c>
    </row>
    <row r="160" spans="1:54" x14ac:dyDescent="0.25">
      <c r="A160" s="10" t="s">
        <v>254</v>
      </c>
      <c r="B160" s="229" t="s">
        <v>11</v>
      </c>
      <c r="C160" s="10" t="s">
        <v>107</v>
      </c>
      <c r="D160" s="14"/>
      <c r="E160" s="157"/>
      <c r="F160" s="10"/>
      <c r="G160" s="17"/>
      <c r="H160" s="10"/>
      <c r="I160" s="17"/>
      <c r="J160" s="83"/>
      <c r="K160" s="343"/>
      <c r="L160" s="347"/>
      <c r="M160" s="89">
        <v>12</v>
      </c>
      <c r="N160" s="10" t="s">
        <v>176</v>
      </c>
      <c r="O160" s="22" t="str">
        <f>IF(Enginuity!$A$20="", "",
 IF(Enginuity!$A$20="Lattice Design", $F$9,
 IF(Enginuity!$A$20="Lattice Design 12 Box / Panel", $F$10,
 ""))
)</f>
        <v/>
      </c>
      <c r="P160" s="5" t="str">
        <f>Enginuity!$A$20</f>
        <v>Z-Louvre Blade - 5"</v>
      </c>
      <c r="Q160" s="22" t="str">
        <f>IF(O160&lt;&gt;"",1,"")</f>
        <v/>
      </c>
      <c r="U160" s="104" t="str">
        <f>IF(
  AND(
    TRIM(A160)=TRIM(Enginuity!$A$1),
    TRIM(B160)=TRIM(Enginuity!$A$17),
    Q160&lt;&gt;"",
    Q160&lt;&gt;0,
    OR(
      TRIM(C160)=TRIM(Enginuity!$A$18),
      AND(UPPER(TRIM(M160))="STD", TRIM(B160)=TRIM(Enginuity!$A$17))
    ),
    OR(
      AND(LEFT(P160,5)="1-Way", Enginuity!$B$13=1),
      AND(LEFT(P160,5)="2-Way", OR(Enginuity!$B$13=2, Enginuity!$B$13=4)),
      AND(LEFT(P160,5)="3-Way", OR(Enginuity!$B$13=3, Enginuity!$B$13=6)),
      AND(P160="Inner Centre Jamb", OR(Enginuity!$B$13=4, Enginuity!$B$13=6)),
      AND(
        LEFT(P160,5)&lt;&gt;"1-Way",
        LEFT(P160,5)&lt;&gt;"2-Way",
        LEFT(P160,5)&lt;&gt;"3-Way",
        P160&lt;&gt;"Inner Centre Jamb"
      )
    ),
    IF(OR(Enginuity!$A$1="Frameless Glass",Enginuity!$A$1="Metal Work"),
      AND(TRIM(B160)=TRIM(Enginuity!$A$17),TRIM(C160)=TRIM(Enginuity!$A$18)),
      TRIM(B160)=TRIM(Enginuity!$A$17)
    )
  ),
  ROW(),
  ""
)</f>
        <v/>
      </c>
      <c r="AW160" t="s">
        <v>46</v>
      </c>
      <c r="AX160" s="5">
        <v>11</v>
      </c>
      <c r="AZ160" s="5"/>
      <c r="BA160" t="s">
        <v>1052</v>
      </c>
      <c r="BB160" s="5">
        <v>2.5</v>
      </c>
    </row>
    <row r="161" spans="1:54" x14ac:dyDescent="0.25">
      <c r="A161" s="10" t="s">
        <v>254</v>
      </c>
      <c r="B161" s="229" t="s">
        <v>11</v>
      </c>
      <c r="C161" s="10" t="s">
        <v>107</v>
      </c>
      <c r="E161" s="240"/>
      <c r="F161" s="10"/>
      <c r="G161" s="17"/>
      <c r="H161" s="10"/>
      <c r="I161" s="17"/>
      <c r="J161" s="83"/>
      <c r="K161" s="343"/>
      <c r="L161" s="347"/>
      <c r="M161" s="89">
        <v>13</v>
      </c>
      <c r="N161" s="10" t="s">
        <v>176</v>
      </c>
      <c r="O161" s="22" t="str">
        <f>IF(Enginuity!$A$21="12""H Top Hung Standard Casement Profile", $F$11,
IF(Enginuity!$A$21="12""H Top / Bottom Fix Standard Casement Profile", $F$12,
""))</f>
        <v/>
      </c>
      <c r="P161" s="106" t="str">
        <f>Enginuity!$A$21</f>
        <v>SF 4"</v>
      </c>
      <c r="Q161" s="22" t="str">
        <f>IF(O161&lt;&gt;"",1,"")</f>
        <v/>
      </c>
      <c r="U161" s="104" t="str">
        <f>IF(
  AND(
    TRIM(A161)=TRIM(Enginuity!$A$1),
    TRIM(B161)=TRIM(Enginuity!$A$17),
    Q161&lt;&gt;"",
    Q161&lt;&gt;0,
    OR(
      TRIM(C161)=TRIM(Enginuity!$A$18),
      AND(UPPER(TRIM(M161))="STD", TRIM(B161)=TRIM(Enginuity!$A$17))
    ),
    OR(
      AND(LEFT(P161,5)="1-Way", Enginuity!$B$13=1),
      AND(LEFT(P161,5)="2-Way", OR(Enginuity!$B$13=2, Enginuity!$B$13=4)),
      AND(LEFT(P161,5)="3-Way", OR(Enginuity!$B$13=3, Enginuity!$B$13=6)),
      AND(P161="Inner Centre Jamb", OR(Enginuity!$B$13=4, Enginuity!$B$13=6)),
      AND(
        LEFT(P161,5)&lt;&gt;"1-Way",
        LEFT(P161,5)&lt;&gt;"2-Way",
        LEFT(P161,5)&lt;&gt;"3-Way",
        P161&lt;&gt;"Inner Centre Jamb"
      )
    ),
    IF(OR(Enginuity!$A$1="Frameless Glass",Enginuity!$A$1="Metal Work"),
      AND(TRIM(B161)=TRIM(Enginuity!$A$17),TRIM(C161)=TRIM(Enginuity!$A$18)),
      TRIM(B161)=TRIM(Enginuity!$A$17)
    )
  ),
  ROW(),
  ""
)</f>
        <v/>
      </c>
      <c r="AW161" t="s">
        <v>42</v>
      </c>
      <c r="AX161" s="5">
        <v>9.9</v>
      </c>
      <c r="AZ161" s="5"/>
      <c r="BA161" t="s">
        <v>1053</v>
      </c>
      <c r="BB161" s="5">
        <v>2.7</v>
      </c>
    </row>
    <row r="162" spans="1:54" x14ac:dyDescent="0.25">
      <c r="A162" s="10" t="s">
        <v>254</v>
      </c>
      <c r="B162" s="229" t="s">
        <v>11</v>
      </c>
      <c r="C162" s="10" t="s">
        <v>107</v>
      </c>
      <c r="D162" s="14"/>
      <c r="E162" s="157"/>
      <c r="F162" s="10"/>
      <c r="G162" s="17"/>
      <c r="H162" s="10"/>
      <c r="I162" s="17"/>
      <c r="J162" s="83"/>
      <c r="K162" s="343"/>
      <c r="L162" s="347"/>
      <c r="M162" s="89">
        <v>14</v>
      </c>
      <c r="N162" s="10" t="s">
        <v>176</v>
      </c>
      <c r="O162" s="22" t="str">
        <f>IF(Enginuity!$A$22="Subframe 1"" X 2""", $J$2, "")</f>
        <v/>
      </c>
      <c r="P162" s="106" t="str">
        <f>Enginuity!$A$22</f>
        <v>▼ [Lattice]</v>
      </c>
      <c r="Q162" s="22" t="str">
        <f>IF(O162&lt;&gt;"",1,"")</f>
        <v/>
      </c>
      <c r="U162" s="104" t="str">
        <f>IF(
  AND(
    TRIM(A162)=TRIM(Enginuity!$A$1),
    TRIM(B162)=TRIM(Enginuity!$A$17),
    Q162&lt;&gt;"",
    Q162&lt;&gt;0,
    OR(
      TRIM(C162)=TRIM(Enginuity!$A$18),
      AND(UPPER(TRIM(M162))="STD", TRIM(B162)=TRIM(Enginuity!$A$17))
    ),
    OR(
      AND(LEFT(P162,5)="1-Way", Enginuity!$B$13=1),
      AND(LEFT(P162,5)="2-Way", OR(Enginuity!$B$13=2, Enginuity!$B$13=4)),
      AND(LEFT(P162,5)="3-Way", OR(Enginuity!$B$13=3, Enginuity!$B$13=6)),
      AND(P162="Inner Centre Jamb", OR(Enginuity!$B$13=4, Enginuity!$B$13=6)),
      AND(
        LEFT(P162,5)&lt;&gt;"1-Way",
        LEFT(P162,5)&lt;&gt;"2-Way",
        LEFT(P162,5)&lt;&gt;"3-Way",
        P162&lt;&gt;"Inner Centre Jamb"
      )
    ),
    IF(OR(Enginuity!$A$1="Frameless Glass",Enginuity!$A$1="Metal Work"),
      AND(TRIM(B162)=TRIM(Enginuity!$A$17),TRIM(C162)=TRIM(Enginuity!$A$18)),
      TRIM(B162)=TRIM(Enginuity!$A$17)
    )
  ),
  ROW(),
  ""
)</f>
        <v/>
      </c>
      <c r="AW162" t="s">
        <v>55</v>
      </c>
      <c r="AX162" s="5">
        <v>15</v>
      </c>
      <c r="AZ162" s="5"/>
      <c r="BA162" t="s">
        <v>1034</v>
      </c>
      <c r="BB162" s="5">
        <v>3.1</v>
      </c>
    </row>
    <row r="163" spans="1:54" x14ac:dyDescent="0.25">
      <c r="A163" s="10" t="s">
        <v>254</v>
      </c>
      <c r="B163" s="229" t="s">
        <v>11</v>
      </c>
      <c r="C163" s="10" t="s">
        <v>107</v>
      </c>
      <c r="D163" s="14"/>
      <c r="E163" s="157"/>
      <c r="F163" s="10"/>
      <c r="G163" s="17"/>
      <c r="H163" s="10"/>
      <c r="I163" s="17"/>
      <c r="J163" s="83"/>
      <c r="K163" s="343"/>
      <c r="L163" s="347"/>
      <c r="M163" s="89">
        <v>15</v>
      </c>
      <c r="N163" s="10"/>
      <c r="O163" s="22"/>
      <c r="P163" s="14"/>
      <c r="Q163" s="83"/>
      <c r="U163" s="104" t="str">
        <f>IF(
  AND(
    TRIM(A163)=TRIM(Enginuity!$A$1),
    TRIM(B163)=TRIM(Enginuity!$A$17),
    Q163&lt;&gt;"",
    Q163&lt;&gt;0,
    OR(
      TRIM(C163)=TRIM(Enginuity!$A$18),
      AND(UPPER(TRIM(M163))="STD", TRIM(B163)=TRIM(Enginuity!$A$17))
    ),
    OR(
      AND(LEFT(P163,5)="1-Way", Enginuity!$B$13=1),
      AND(LEFT(P163,5)="2-Way", OR(Enginuity!$B$13=2, Enginuity!$B$13=4)),
      AND(LEFT(P163,5)="3-Way", OR(Enginuity!$B$13=3, Enginuity!$B$13=6)),
      AND(P163="Inner Centre Jamb", OR(Enginuity!$B$13=4, Enginuity!$B$13=6)),
      AND(
        LEFT(P163,5)&lt;&gt;"1-Way",
        LEFT(P163,5)&lt;&gt;"2-Way",
        LEFT(P163,5)&lt;&gt;"3-Way",
        P163&lt;&gt;"Inner Centre Jamb"
      )
    ),
    IF(OR(Enginuity!$A$1="Frameless Glass",Enginuity!$A$1="Metal Work"),
      AND(TRIM(B163)=TRIM(Enginuity!$A$17),TRIM(C163)=TRIM(Enginuity!$A$18)),
      TRIM(B163)=TRIM(Enginuity!$A$17)
    )
  ),
  ROW(),
  ""
)</f>
        <v/>
      </c>
      <c r="AW163" t="s">
        <v>51</v>
      </c>
      <c r="AX163" s="5">
        <v>14</v>
      </c>
      <c r="AZ163" s="5"/>
      <c r="BA163" t="s">
        <v>1054</v>
      </c>
      <c r="BB163" s="5">
        <v>3.6</v>
      </c>
    </row>
    <row r="164" spans="1:54" x14ac:dyDescent="0.25">
      <c r="A164" s="10" t="s">
        <v>254</v>
      </c>
      <c r="B164" s="229" t="s">
        <v>11</v>
      </c>
      <c r="C164" s="10" t="s">
        <v>107</v>
      </c>
      <c r="D164" s="14"/>
      <c r="E164" s="157"/>
      <c r="F164" s="10"/>
      <c r="G164" s="17"/>
      <c r="H164" s="10"/>
      <c r="I164" s="17"/>
      <c r="J164" s="83"/>
      <c r="K164" s="343"/>
      <c r="L164" s="347"/>
      <c r="M164" s="89">
        <v>16</v>
      </c>
      <c r="N164" s="10"/>
      <c r="O164" s="22"/>
      <c r="P164" s="14"/>
      <c r="Q164" s="83"/>
      <c r="U164" s="104" t="str">
        <f>IF(
  AND(
    TRIM(A164)=TRIM(Enginuity!$A$1),
    TRIM(B164)=TRIM(Enginuity!$A$17),
    Q164&lt;&gt;"",
    Q164&lt;&gt;0,
    OR(
      TRIM(C164)=TRIM(Enginuity!$A$18),
      AND(UPPER(TRIM(M164))="STD", TRIM(B164)=TRIM(Enginuity!$A$17))
    ),
    OR(
      AND(LEFT(P164,5)="1-Way", Enginuity!$B$13=1),
      AND(LEFT(P164,5)="2-Way", OR(Enginuity!$B$13=2, Enginuity!$B$13=4)),
      AND(LEFT(P164,5)="3-Way", OR(Enginuity!$B$13=3, Enginuity!$B$13=6)),
      AND(P164="Inner Centre Jamb", OR(Enginuity!$B$13=4, Enginuity!$B$13=6)),
      AND(
        LEFT(P164,5)&lt;&gt;"1-Way",
        LEFT(P164,5)&lt;&gt;"2-Way",
        LEFT(P164,5)&lt;&gt;"3-Way",
        P164&lt;&gt;"Inner Centre Jamb"
      )
    ),
    IF(OR(Enginuity!$A$1="Frameless Glass",Enginuity!$A$1="Metal Work"),
      AND(TRIM(B164)=TRIM(Enginuity!$A$17),TRIM(C164)=TRIM(Enginuity!$A$18)),
      TRIM(B164)=TRIM(Enginuity!$A$17)
    )
  ),
  ROW(),
  ""
)</f>
        <v/>
      </c>
      <c r="AW164" t="s">
        <v>28</v>
      </c>
      <c r="AX164" s="5">
        <v>5.9</v>
      </c>
      <c r="AZ164" s="5"/>
      <c r="BA164" t="s">
        <v>1055</v>
      </c>
      <c r="BB164" s="5">
        <v>6.5</v>
      </c>
    </row>
    <row r="165" spans="1:54" x14ac:dyDescent="0.25">
      <c r="A165" s="10" t="s">
        <v>254</v>
      </c>
      <c r="B165" s="229" t="s">
        <v>11</v>
      </c>
      <c r="C165" s="10" t="s">
        <v>107</v>
      </c>
      <c r="D165" s="14"/>
      <c r="E165" s="157"/>
      <c r="F165" s="10"/>
      <c r="G165" s="17"/>
      <c r="H165" s="10"/>
      <c r="I165" s="17"/>
      <c r="J165" s="83"/>
      <c r="K165" s="343"/>
      <c r="L165" s="347"/>
      <c r="M165" s="89">
        <v>17</v>
      </c>
      <c r="N165" s="10"/>
      <c r="O165" s="22"/>
      <c r="P165" s="14"/>
      <c r="Q165" s="83"/>
      <c r="U165" s="104" t="str">
        <f>IF(
  AND(
    TRIM(A165)=TRIM(Enginuity!$A$1),
    TRIM(B165)=TRIM(Enginuity!$A$17),
    Q165&lt;&gt;"",
    Q165&lt;&gt;0,
    OR(
      TRIM(C165)=TRIM(Enginuity!$A$18),
      AND(UPPER(TRIM(M165))="STD", TRIM(B165)=TRIM(Enginuity!$A$17))
    ),
    OR(
      AND(LEFT(P165,5)="1-Way", Enginuity!$B$13=1),
      AND(LEFT(P165,5)="2-Way", OR(Enginuity!$B$13=2, Enginuity!$B$13=4)),
      AND(LEFT(P165,5)="3-Way", OR(Enginuity!$B$13=3, Enginuity!$B$13=6)),
      AND(P165="Inner Centre Jamb", OR(Enginuity!$B$13=4, Enginuity!$B$13=6)),
      AND(
        LEFT(P165,5)&lt;&gt;"1-Way",
        LEFT(P165,5)&lt;&gt;"2-Way",
        LEFT(P165,5)&lt;&gt;"3-Way",
        P165&lt;&gt;"Inner Centre Jamb"
      )
    ),
    IF(OR(Enginuity!$A$1="Frameless Glass",Enginuity!$A$1="Metal Work"),
      AND(TRIM(B165)=TRIM(Enginuity!$A$17),TRIM(C165)=TRIM(Enginuity!$A$18)),
      TRIM(B165)=TRIM(Enginuity!$A$17)
    )
  ),
  ROW(),
  ""
)</f>
        <v/>
      </c>
      <c r="AW165" t="s">
        <v>61</v>
      </c>
      <c r="AX165" s="5">
        <v>13.65</v>
      </c>
      <c r="AZ165" s="5"/>
      <c r="BA165" t="s">
        <v>1056</v>
      </c>
      <c r="BB165" s="5">
        <v>7</v>
      </c>
    </row>
    <row r="166" spans="1:54" x14ac:dyDescent="0.25">
      <c r="A166" s="10" t="s">
        <v>254</v>
      </c>
      <c r="B166" s="229" t="s">
        <v>11</v>
      </c>
      <c r="C166" s="10"/>
      <c r="D166" s="14"/>
      <c r="E166" s="157"/>
      <c r="F166" s="10"/>
      <c r="G166" s="17"/>
      <c r="H166" s="10"/>
      <c r="I166" s="17"/>
      <c r="J166" s="83"/>
      <c r="K166" s="343"/>
      <c r="L166" s="347"/>
      <c r="M166" s="89">
        <v>18</v>
      </c>
      <c r="N166" s="10"/>
      <c r="O166" s="22"/>
      <c r="P166" s="14"/>
      <c r="Q166" s="83"/>
      <c r="U166" s="104" t="str">
        <f>IF(
  AND(
    TRIM(A166)=TRIM(Enginuity!$A$1),
    TRIM(B166)=TRIM(Enginuity!$A$17),
    Q166&lt;&gt;"",
    Q166&lt;&gt;0,
    OR(
      TRIM(C166)=TRIM(Enginuity!$A$18),
      AND(UPPER(TRIM(M166))="STD", TRIM(B166)=TRIM(Enginuity!$A$17))
    ),
    OR(
      AND(LEFT(P166,5)="1-Way", Enginuity!$B$13=1),
      AND(LEFT(P166,5)="2-Way", OR(Enginuity!$B$13=2, Enginuity!$B$13=4)),
      AND(LEFT(P166,5)="3-Way", OR(Enginuity!$B$13=3, Enginuity!$B$13=6)),
      AND(P166="Inner Centre Jamb", OR(Enginuity!$B$13=4, Enginuity!$B$13=6)),
      AND(
        LEFT(P166,5)&lt;&gt;"1-Way",
        LEFT(P166,5)&lt;&gt;"2-Way",
        LEFT(P166,5)&lt;&gt;"3-Way",
        P166&lt;&gt;"Inner Centre Jamb"
      )
    ),
    IF(OR(Enginuity!$A$1="Frameless Glass",Enginuity!$A$1="Metal Work"),
      AND(TRIM(B166)=TRIM(Enginuity!$A$17),TRIM(C166)=TRIM(Enginuity!$A$18)),
      TRIM(B166)=TRIM(Enginuity!$A$17)
    )
  ),
  ROW(),
  ""
)</f>
        <v/>
      </c>
      <c r="AW166" t="s">
        <v>171</v>
      </c>
      <c r="AX166" s="5">
        <v>1.35</v>
      </c>
      <c r="AZ166" s="5"/>
      <c r="BA166" t="s">
        <v>1057</v>
      </c>
      <c r="BB166" s="5">
        <v>7.5</v>
      </c>
    </row>
    <row r="167" spans="1:54" x14ac:dyDescent="0.25">
      <c r="A167" s="10" t="s">
        <v>254</v>
      </c>
      <c r="B167" s="229" t="s">
        <v>11</v>
      </c>
      <c r="C167" s="10" t="s">
        <v>97</v>
      </c>
      <c r="D167" s="14"/>
      <c r="E167" s="157" t="s">
        <v>257</v>
      </c>
      <c r="F167" s="14" t="s">
        <v>352</v>
      </c>
      <c r="G167" s="17" t="s">
        <v>9</v>
      </c>
      <c r="H167" s="10"/>
      <c r="I167" s="17"/>
      <c r="J167" s="83"/>
      <c r="K167" s="344">
        <v>0.59596199999999999</v>
      </c>
      <c r="L167" s="347">
        <v>914.4</v>
      </c>
      <c r="M167" s="89">
        <v>19</v>
      </c>
      <c r="N167" s="10" t="s">
        <v>103</v>
      </c>
      <c r="O167" s="22">
        <v>4.33</v>
      </c>
      <c r="P167" s="14" t="s">
        <v>281</v>
      </c>
      <c r="Q167" s="98">
        <f>Enginuity!$B$6</f>
        <v>20</v>
      </c>
      <c r="U167" s="104" t="str">
        <f>IF(
  AND(
    TRIM(A167)=TRIM(Enginuity!$A$1),
    TRIM(B167)=TRIM(Enginuity!$A$17),
    Q167&lt;&gt;"",
    Q167&lt;&gt;0,
    OR(
      TRIM(C167)=TRIM(Enginuity!$A$18),
      AND(UPPER(TRIM(M167))="STD", TRIM(B167)=TRIM(Enginuity!$A$17))
    ),
    OR(
      AND(LEFT(P167,5)="1-Way", Enginuity!$B$13=1),
      AND(LEFT(P167,5)="2-Way", OR(Enginuity!$B$13=2, Enginuity!$B$13=4)),
      AND(LEFT(P167,5)="3-Way", OR(Enginuity!$B$13=3, Enginuity!$B$13=6)),
      AND(P167="Inner Centre Jamb", OR(Enginuity!$B$13=4, Enginuity!$B$13=6)),
      AND(
        LEFT(P167,5)&lt;&gt;"1-Way",
        LEFT(P167,5)&lt;&gt;"2-Way",
        LEFT(P167,5)&lt;&gt;"3-Way",
        P167&lt;&gt;"Inner Centre Jamb"
      )
    ),
    IF(OR(Enginuity!$A$1="Frameless Glass",Enginuity!$A$1="Metal Work"),
      AND(TRIM(B167)=TRIM(Enginuity!$A$17),TRIM(C167)=TRIM(Enginuity!$A$18)),
      TRIM(B167)=TRIM(Enginuity!$A$17)
    )
  ),
  ROW(),
  ""
)</f>
        <v/>
      </c>
      <c r="AW167" t="s">
        <v>172</v>
      </c>
      <c r="AX167" s="5">
        <v>4.0625</v>
      </c>
      <c r="AZ167" s="5"/>
      <c r="BA167" t="s">
        <v>1058</v>
      </c>
      <c r="BB167" s="5">
        <v>8</v>
      </c>
    </row>
    <row r="168" spans="1:54" x14ac:dyDescent="0.25">
      <c r="A168" s="10" t="s">
        <v>254</v>
      </c>
      <c r="B168" s="229" t="s">
        <v>11</v>
      </c>
      <c r="C168" s="10" t="s">
        <v>97</v>
      </c>
      <c r="D168" s="14"/>
      <c r="E168" s="157" t="s">
        <v>269</v>
      </c>
      <c r="F168" s="14" t="s">
        <v>356</v>
      </c>
      <c r="G168" s="17"/>
      <c r="H168" s="10"/>
      <c r="I168" s="17"/>
      <c r="J168" s="83"/>
      <c r="K168" s="343"/>
      <c r="L168" s="347"/>
      <c r="M168" s="89">
        <v>20</v>
      </c>
      <c r="N168" s="10" t="s">
        <v>103</v>
      </c>
      <c r="O168" s="22">
        <v>3.56</v>
      </c>
      <c r="P168" s="14" t="s">
        <v>284</v>
      </c>
      <c r="Q168" s="98">
        <f>Enginuity!$B$6</f>
        <v>20</v>
      </c>
      <c r="U168" s="104" t="str">
        <f>IF(
  AND(
    TRIM(A168)=TRIM(Enginuity!$A$1),
    TRIM(B168)=TRIM(Enginuity!$A$17),
    Q168&lt;&gt;"",
    Q168&lt;&gt;0,
    OR(
      TRIM(C168)=TRIM(Enginuity!$A$18),
      AND(UPPER(TRIM(M168))="STD", TRIM(B168)=TRIM(Enginuity!$A$17))
    ),
    OR(
      AND(LEFT(P168,5)="1-Way", Enginuity!$B$13=1),
      AND(LEFT(P168,5)="2-Way", OR(Enginuity!$B$13=2, Enginuity!$B$13=4)),
      AND(LEFT(P168,5)="3-Way", OR(Enginuity!$B$13=3, Enginuity!$B$13=6)),
      AND(P168="Inner Centre Jamb", OR(Enginuity!$B$13=4, Enginuity!$B$13=6)),
      AND(
        LEFT(P168,5)&lt;&gt;"1-Way",
        LEFT(P168,5)&lt;&gt;"2-Way",
        LEFT(P168,5)&lt;&gt;"3-Way",
        P168&lt;&gt;"Inner Centre Jamb"
      )
    ),
    IF(OR(Enginuity!$A$1="Frameless Glass",Enginuity!$A$1="Metal Work"),
      AND(TRIM(B168)=TRIM(Enginuity!$A$17),TRIM(C168)=TRIM(Enginuity!$A$18)),
      TRIM(B168)=TRIM(Enginuity!$A$17)
    )
  ),
  ROW(),
  ""
)</f>
        <v/>
      </c>
      <c r="AW168" s="221" t="s">
        <v>212</v>
      </c>
      <c r="AX168" s="5">
        <v>7.0103997759999999</v>
      </c>
      <c r="AZ168" s="5"/>
      <c r="BA168" t="s">
        <v>1059</v>
      </c>
      <c r="BB168" s="5">
        <v>8.5</v>
      </c>
    </row>
    <row r="169" spans="1:54" x14ac:dyDescent="0.25">
      <c r="A169" s="10" t="s">
        <v>254</v>
      </c>
      <c r="B169" s="229" t="s">
        <v>11</v>
      </c>
      <c r="C169" s="10" t="s">
        <v>97</v>
      </c>
      <c r="D169" s="14"/>
      <c r="E169" s="157"/>
      <c r="F169" s="10"/>
      <c r="G169" s="17"/>
      <c r="H169" s="10"/>
      <c r="I169" s="17"/>
      <c r="J169" s="83"/>
      <c r="K169" s="343"/>
      <c r="L169" s="347"/>
      <c r="M169" s="89">
        <v>21</v>
      </c>
      <c r="N169" s="10" t="s">
        <v>103</v>
      </c>
      <c r="O169" s="22">
        <v>3.37</v>
      </c>
      <c r="P169" s="14" t="s">
        <v>287</v>
      </c>
      <c r="Q169" s="83">
        <f>IF(Enginuity!$B$7&gt;0, 2 * Enginuity!$B$7, "")</f>
        <v>26</v>
      </c>
      <c r="U169" s="104" t="str">
        <f>IF(
  AND(
    TRIM(A169)=TRIM(Enginuity!$A$1),
    TRIM(B169)=TRIM(Enginuity!$A$17),
    Q169&lt;&gt;"",
    Q169&lt;&gt;0,
    OR(
      TRIM(C169)=TRIM(Enginuity!$A$18),
      AND(UPPER(TRIM(M169))="STD", TRIM(B169)=TRIM(Enginuity!$A$17))
    ),
    OR(
      AND(LEFT(P169,5)="1-Way", Enginuity!$B$13=1),
      AND(LEFT(P169,5)="2-Way", OR(Enginuity!$B$13=2, Enginuity!$B$13=4)),
      AND(LEFT(P169,5)="3-Way", OR(Enginuity!$B$13=3, Enginuity!$B$13=6)),
      AND(P169="Inner Centre Jamb", OR(Enginuity!$B$13=4, Enginuity!$B$13=6)),
      AND(
        LEFT(P169,5)&lt;&gt;"1-Way",
        LEFT(P169,5)&lt;&gt;"2-Way",
        LEFT(P169,5)&lt;&gt;"3-Way",
        P169&lt;&gt;"Inner Centre Jamb"
      )
    ),
    IF(OR(Enginuity!$A$1="Frameless Glass",Enginuity!$A$1="Metal Work"),
      AND(TRIM(B169)=TRIM(Enginuity!$A$17),TRIM(C169)=TRIM(Enginuity!$A$18)),
      TRIM(B169)=TRIM(Enginuity!$A$17)
    )
  ),
  ROW(),
  ""
)</f>
        <v/>
      </c>
      <c r="AW169" s="221" t="s">
        <v>210</v>
      </c>
      <c r="AX169" s="5">
        <v>2.3769999999999998</v>
      </c>
      <c r="AZ169" s="5"/>
      <c r="BA169" t="s">
        <v>1060</v>
      </c>
      <c r="BB169" s="5">
        <v>9</v>
      </c>
    </row>
    <row r="170" spans="1:54" x14ac:dyDescent="0.25">
      <c r="A170" s="10" t="s">
        <v>254</v>
      </c>
      <c r="B170" s="229" t="s">
        <v>11</v>
      </c>
      <c r="C170" s="10" t="s">
        <v>97</v>
      </c>
      <c r="D170" s="14"/>
      <c r="E170" s="157"/>
      <c r="F170" s="10"/>
      <c r="G170" s="17"/>
      <c r="H170" s="10"/>
      <c r="I170" s="17"/>
      <c r="J170" s="83"/>
      <c r="K170" s="343"/>
      <c r="L170" s="347"/>
      <c r="M170" s="89">
        <v>22</v>
      </c>
      <c r="N170" s="10" t="s">
        <v>103</v>
      </c>
      <c r="O170" s="22">
        <v>6.39</v>
      </c>
      <c r="P170" s="14" t="s">
        <v>282</v>
      </c>
      <c r="Q170" s="83">
        <f>Enginuity!$B$6*2</f>
        <v>40</v>
      </c>
      <c r="U170" s="104" t="str">
        <f>IF(
  AND(
    TRIM(A170)=TRIM(Enginuity!$A$1),
    TRIM(B170)=TRIM(Enginuity!$A$17),
    Q170&lt;&gt;"",
    Q170&lt;&gt;0,
    OR(
      TRIM(C170)=TRIM(Enginuity!$A$18),
      AND(UPPER(TRIM(M170))="STD", TRIM(B170)=TRIM(Enginuity!$A$17))
    ),
    OR(
      AND(LEFT(P170,5)="1-Way", Enginuity!$B$13=1),
      AND(LEFT(P170,5)="2-Way", OR(Enginuity!$B$13=2, Enginuity!$B$13=4)),
      AND(LEFT(P170,5)="3-Way", OR(Enginuity!$B$13=3, Enginuity!$B$13=6)),
      AND(P170="Inner Centre Jamb", OR(Enginuity!$B$13=4, Enginuity!$B$13=6)),
      AND(
        LEFT(P170,5)&lt;&gt;"1-Way",
        LEFT(P170,5)&lt;&gt;"2-Way",
        LEFT(P170,5)&lt;&gt;"3-Way",
        P170&lt;&gt;"Inner Centre Jamb"
      )
    ),
    IF(OR(Enginuity!$A$1="Frameless Glass",Enginuity!$A$1="Metal Work"),
      AND(TRIM(B170)=TRIM(Enginuity!$A$17),TRIM(C170)=TRIM(Enginuity!$A$18)),
      TRIM(B170)=TRIM(Enginuity!$A$17)
    )
  ),
  ROW(),
  ""
)</f>
        <v/>
      </c>
      <c r="AW170" s="221" t="s">
        <v>76</v>
      </c>
      <c r="AX170" s="5">
        <v>9.6</v>
      </c>
      <c r="AZ170" s="5"/>
      <c r="BA170" t="s">
        <v>1061</v>
      </c>
      <c r="BB170" s="5">
        <v>25</v>
      </c>
    </row>
    <row r="171" spans="1:54" x14ac:dyDescent="0.25">
      <c r="A171" s="10" t="s">
        <v>254</v>
      </c>
      <c r="B171" s="229" t="s">
        <v>11</v>
      </c>
      <c r="C171" s="10" t="s">
        <v>97</v>
      </c>
      <c r="D171" s="14"/>
      <c r="E171" s="157"/>
      <c r="F171" s="10"/>
      <c r="G171" s="17"/>
      <c r="H171" s="10"/>
      <c r="I171" s="17"/>
      <c r="J171" s="83"/>
      <c r="K171" s="343"/>
      <c r="L171" s="347"/>
      <c r="M171" s="89">
        <v>23</v>
      </c>
      <c r="N171" s="10" t="s">
        <v>103</v>
      </c>
      <c r="O171" s="22">
        <v>5.61</v>
      </c>
      <c r="P171" s="14" t="s">
        <v>285</v>
      </c>
      <c r="Q171" s="83">
        <f>Enginuity!$B$6*2</f>
        <v>40</v>
      </c>
      <c r="U171" s="104" t="str">
        <f>IF(
  AND(
    TRIM(A171)=TRIM(Enginuity!$A$1),
    TRIM(B171)=TRIM(Enginuity!$A$17),
    Q171&lt;&gt;"",
    Q171&lt;&gt;0,
    OR(
      TRIM(C171)=TRIM(Enginuity!$A$18),
      AND(UPPER(TRIM(M171))="STD", TRIM(B171)=TRIM(Enginuity!$A$17))
    ),
    OR(
      AND(LEFT(P171,5)="1-Way", Enginuity!$B$13=1),
      AND(LEFT(P171,5)="2-Way", OR(Enginuity!$B$13=2, Enginuity!$B$13=4)),
      AND(LEFT(P171,5)="3-Way", OR(Enginuity!$B$13=3, Enginuity!$B$13=6)),
      AND(P171="Inner Centre Jamb", OR(Enginuity!$B$13=4, Enginuity!$B$13=6)),
      AND(
        LEFT(P171,5)&lt;&gt;"1-Way",
        LEFT(P171,5)&lt;&gt;"2-Way",
        LEFT(P171,5)&lt;&gt;"3-Way",
        P171&lt;&gt;"Inner Centre Jamb"
      )
    ),
    IF(OR(Enginuity!$A$1="Frameless Glass",Enginuity!$A$1="Metal Work"),
      AND(TRIM(B171)=TRIM(Enginuity!$A$17),TRIM(C171)=TRIM(Enginuity!$A$18)),
      TRIM(B171)=TRIM(Enginuity!$A$17)
    )
  ),
  ROW(),
  ""
)</f>
        <v/>
      </c>
      <c r="AW171" s="221" t="s">
        <v>77</v>
      </c>
      <c r="AX171" s="5">
        <v>13.6</v>
      </c>
      <c r="AZ171" s="5"/>
      <c r="BA171" t="s">
        <v>1062</v>
      </c>
      <c r="BB171" s="5">
        <v>26</v>
      </c>
    </row>
    <row r="172" spans="1:54" x14ac:dyDescent="0.25">
      <c r="A172" s="10" t="s">
        <v>254</v>
      </c>
      <c r="B172" s="229" t="s">
        <v>11</v>
      </c>
      <c r="C172" s="10" t="s">
        <v>97</v>
      </c>
      <c r="D172" s="14"/>
      <c r="E172" s="157"/>
      <c r="F172" s="10"/>
      <c r="G172" s="17"/>
      <c r="H172" s="10"/>
      <c r="I172" s="17"/>
      <c r="J172" s="83"/>
      <c r="K172" s="343"/>
      <c r="L172" s="347"/>
      <c r="M172" s="89">
        <v>24</v>
      </c>
      <c r="N172" s="10" t="s">
        <v>103</v>
      </c>
      <c r="O172" s="22">
        <v>4.34</v>
      </c>
      <c r="P172" s="14" t="s">
        <v>288</v>
      </c>
      <c r="Q172" s="83">
        <f>IF(Enginuity!$B$7&gt;0, 2 * Enginuity!$B$7, "")</f>
        <v>26</v>
      </c>
      <c r="U172" s="104" t="str">
        <f>IF(
  AND(
    TRIM(A172)=TRIM(Enginuity!$A$1),
    TRIM(B172)=TRIM(Enginuity!$A$17),
    Q172&lt;&gt;"",
    Q172&lt;&gt;0,
    OR(
      TRIM(C172)=TRIM(Enginuity!$A$18),
      AND(UPPER(TRIM(M172))="STD", TRIM(B172)=TRIM(Enginuity!$A$17))
    ),
    OR(
      AND(LEFT(P172,5)="1-Way", Enginuity!$B$13=1),
      AND(LEFT(P172,5)="2-Way", OR(Enginuity!$B$13=2, Enginuity!$B$13=4)),
      AND(LEFT(P172,5)="3-Way", OR(Enginuity!$B$13=3, Enginuity!$B$13=6)),
      AND(P172="Inner Centre Jamb", OR(Enginuity!$B$13=4, Enginuity!$B$13=6)),
      AND(
        LEFT(P172,5)&lt;&gt;"1-Way",
        LEFT(P172,5)&lt;&gt;"2-Way",
        LEFT(P172,5)&lt;&gt;"3-Way",
        P172&lt;&gt;"Inner Centre Jamb"
      )
    ),
    IF(OR(Enginuity!$A$1="Frameless Glass",Enginuity!$A$1="Metal Work"),
      AND(TRIM(B172)=TRIM(Enginuity!$A$17),TRIM(C172)=TRIM(Enginuity!$A$18)),
      TRIM(B172)=TRIM(Enginuity!$A$17)
    )
  ),
  ROW(),
  ""
)</f>
        <v/>
      </c>
      <c r="AW172" s="221" t="s">
        <v>1355</v>
      </c>
      <c r="AX172" s="5"/>
      <c r="AZ172" s="5"/>
      <c r="BA172" t="s">
        <v>1063</v>
      </c>
      <c r="BB172" s="5">
        <v>35</v>
      </c>
    </row>
    <row r="173" spans="1:54" x14ac:dyDescent="0.25">
      <c r="A173" s="10" t="s">
        <v>254</v>
      </c>
      <c r="B173" s="229" t="s">
        <v>11</v>
      </c>
      <c r="C173" s="10" t="s">
        <v>97</v>
      </c>
      <c r="D173" s="14"/>
      <c r="E173" s="157"/>
      <c r="F173" s="10"/>
      <c r="G173" s="17"/>
      <c r="H173" s="10"/>
      <c r="I173" s="17"/>
      <c r="J173" s="83"/>
      <c r="K173" s="343"/>
      <c r="L173" s="347"/>
      <c r="M173" s="89">
        <v>25</v>
      </c>
      <c r="N173" s="10" t="s">
        <v>103</v>
      </c>
      <c r="O173" s="22">
        <v>2.31</v>
      </c>
      <c r="P173" s="14" t="s">
        <v>289</v>
      </c>
      <c r="Q173" s="83">
        <f>IF(Enginuity!$B$6&gt;0, Enginuity!$B$6, "")</f>
        <v>20</v>
      </c>
      <c r="U173" s="104" t="str">
        <f>IF(
  AND(
    TRIM(A173)=TRIM(Enginuity!$A$1),
    TRIM(B173)=TRIM(Enginuity!$A$17),
    Q173&lt;&gt;"",
    Q173&lt;&gt;0,
    OR(
      TRIM(C173)=TRIM(Enginuity!$A$18),
      AND(UPPER(TRIM(M173))="STD", TRIM(B173)=TRIM(Enginuity!$A$17))
    ),
    OR(
      AND(LEFT(P173,5)="1-Way", Enginuity!$B$13=1),
      AND(LEFT(P173,5)="2-Way", OR(Enginuity!$B$13=2, Enginuity!$B$13=4)),
      AND(LEFT(P173,5)="3-Way", OR(Enginuity!$B$13=3, Enginuity!$B$13=6)),
      AND(P173="Inner Centre Jamb", OR(Enginuity!$B$13=4, Enginuity!$B$13=6)),
      AND(
        LEFT(P173,5)&lt;&gt;"1-Way",
        LEFT(P173,5)&lt;&gt;"2-Way",
        LEFT(P173,5)&lt;&gt;"3-Way",
        P173&lt;&gt;"Inner Centre Jamb"
      )
    ),
    IF(OR(Enginuity!$A$1="Frameless Glass",Enginuity!$A$1="Metal Work"),
      AND(TRIM(B173)=TRIM(Enginuity!$A$17),TRIM(C173)=TRIM(Enginuity!$A$18)),
      TRIM(B173)=TRIM(Enginuity!$A$17)
    )
  ),
  ROW(),
  ""
)</f>
        <v/>
      </c>
      <c r="AW173" s="221" t="s">
        <v>1356</v>
      </c>
      <c r="AX173" s="5"/>
      <c r="AZ173" s="5"/>
      <c r="BA173" t="s">
        <v>1064</v>
      </c>
      <c r="BB173" s="5">
        <v>36</v>
      </c>
    </row>
    <row r="174" spans="1:54" x14ac:dyDescent="0.25">
      <c r="A174" s="10" t="s">
        <v>254</v>
      </c>
      <c r="B174" s="229" t="s">
        <v>11</v>
      </c>
      <c r="C174" s="10" t="s">
        <v>97</v>
      </c>
      <c r="D174" s="14"/>
      <c r="E174" s="157"/>
      <c r="F174" s="10"/>
      <c r="G174" s="17"/>
      <c r="H174" s="10"/>
      <c r="I174" s="17"/>
      <c r="J174" s="83"/>
      <c r="K174" s="343"/>
      <c r="L174" s="347"/>
      <c r="M174" s="89">
        <v>26</v>
      </c>
      <c r="N174" s="10" t="s">
        <v>103</v>
      </c>
      <c r="O174" s="22">
        <v>4.1500000000000004</v>
      </c>
      <c r="P174" s="14" t="s">
        <v>290</v>
      </c>
      <c r="Q174" s="83">
        <f>IF(Enginuity!$B$6&gt;0, Enginuity!$B$6, "")</f>
        <v>20</v>
      </c>
      <c r="U174" s="104" t="str">
        <f>IF(
  AND(
    TRIM(A174)=TRIM(Enginuity!$A$1),
    TRIM(B174)=TRIM(Enginuity!$A$17),
    Q174&lt;&gt;"",
    Q174&lt;&gt;0,
    OR(
      TRIM(C174)=TRIM(Enginuity!$A$18),
      AND(UPPER(TRIM(M174))="STD", TRIM(B174)=TRIM(Enginuity!$A$17))
    ),
    OR(
      AND(LEFT(P174,5)="1-Way", Enginuity!$B$13=1),
      AND(LEFT(P174,5)="2-Way", OR(Enginuity!$B$13=2, Enginuity!$B$13=4)),
      AND(LEFT(P174,5)="3-Way", OR(Enginuity!$B$13=3, Enginuity!$B$13=6)),
      AND(P174="Inner Centre Jamb", OR(Enginuity!$B$13=4, Enginuity!$B$13=6)),
      AND(
        LEFT(P174,5)&lt;&gt;"1-Way",
        LEFT(P174,5)&lt;&gt;"2-Way",
        LEFT(P174,5)&lt;&gt;"3-Way",
        P174&lt;&gt;"Inner Centre Jamb"
      )
    ),
    IF(OR(Enginuity!$A$1="Frameless Glass",Enginuity!$A$1="Metal Work"),
      AND(TRIM(B174)=TRIM(Enginuity!$A$17),TRIM(C174)=TRIM(Enginuity!$A$18)),
      TRIM(B174)=TRIM(Enginuity!$A$17)
    )
  ),
  ROW(),
  ""
)</f>
        <v/>
      </c>
      <c r="AW174" s="221" t="s">
        <v>1355</v>
      </c>
      <c r="AX174" s="5"/>
      <c r="AZ174" s="5"/>
      <c r="BA174" t="s">
        <v>1350</v>
      </c>
      <c r="BB174" s="5">
        <v>12</v>
      </c>
    </row>
    <row r="175" spans="1:54" x14ac:dyDescent="0.25">
      <c r="A175" s="10" t="s">
        <v>254</v>
      </c>
      <c r="B175" s="229" t="s">
        <v>11</v>
      </c>
      <c r="C175" s="10" t="s">
        <v>97</v>
      </c>
      <c r="D175" s="14"/>
      <c r="E175" s="157"/>
      <c r="F175" s="10"/>
      <c r="G175" s="17"/>
      <c r="H175" s="10"/>
      <c r="I175" s="17"/>
      <c r="J175" s="83"/>
      <c r="K175" s="343"/>
      <c r="L175" s="347"/>
      <c r="M175" s="89">
        <v>27</v>
      </c>
      <c r="N175" s="10" t="s">
        <v>103</v>
      </c>
      <c r="O175" s="22">
        <v>3.57</v>
      </c>
      <c r="P175" s="14" t="s">
        <v>262</v>
      </c>
      <c r="Q175" s="83">
        <f>IF(AND(Enginuity!$B$7&gt;0, Enginuity!$B$13&gt;0), Enginuity!$B$7 * Enginuity!$B$13, "")</f>
        <v>91</v>
      </c>
      <c r="U175" s="104" t="str">
        <f>IF(
  AND(
    TRIM(A175)=TRIM(Enginuity!$A$1),
    TRIM(B175)=TRIM(Enginuity!$A$17),
    Q175&lt;&gt;"",
    Q175&lt;&gt;0,
    OR(
      TRIM(C175)=TRIM(Enginuity!$A$18),
      AND(UPPER(TRIM(M175))="STD", TRIM(B175)=TRIM(Enginuity!$A$17))
    ),
    OR(
      AND(LEFT(P175,5)="1-Way", Enginuity!$B$13=1),
      AND(LEFT(P175,5)="2-Way", OR(Enginuity!$B$13=2, Enginuity!$B$13=4)),
      AND(LEFT(P175,5)="3-Way", OR(Enginuity!$B$13=3, Enginuity!$B$13=6)),
      AND(P175="Inner Centre Jamb", OR(Enginuity!$B$13=4, Enginuity!$B$13=6)),
      AND(
        LEFT(P175,5)&lt;&gt;"1-Way",
        LEFT(P175,5)&lt;&gt;"2-Way",
        LEFT(P175,5)&lt;&gt;"3-Way",
        P175&lt;&gt;"Inner Centre Jamb"
      )
    ),
    IF(OR(Enginuity!$A$1="Frameless Glass",Enginuity!$A$1="Metal Work"),
      AND(TRIM(B175)=TRIM(Enginuity!$A$17),TRIM(C175)=TRIM(Enginuity!$A$18)),
      TRIM(B175)=TRIM(Enginuity!$A$17)
    )
  ),
  ROW(),
  ""
)</f>
        <v/>
      </c>
      <c r="AW175" s="221" t="s">
        <v>1356</v>
      </c>
      <c r="AX175" s="5"/>
      <c r="AZ175" s="5"/>
      <c r="BA175" t="s">
        <v>1065</v>
      </c>
      <c r="BB175" s="5">
        <v>3.5</v>
      </c>
    </row>
    <row r="176" spans="1:54" x14ac:dyDescent="0.25">
      <c r="A176" s="10" t="s">
        <v>254</v>
      </c>
      <c r="B176" s="229" t="s">
        <v>11</v>
      </c>
      <c r="C176" s="10" t="s">
        <v>97</v>
      </c>
      <c r="D176" s="14"/>
      <c r="E176" s="157"/>
      <c r="F176" s="10"/>
      <c r="G176" s="17"/>
      <c r="H176" s="10"/>
      <c r="I176" s="17"/>
      <c r="J176" s="83"/>
      <c r="K176" s="343"/>
      <c r="L176" s="347"/>
      <c r="M176" s="89">
        <v>28</v>
      </c>
      <c r="N176" s="10" t="s">
        <v>103</v>
      </c>
      <c r="O176" s="22">
        <v>3.55</v>
      </c>
      <c r="P176" s="14" t="s">
        <v>267</v>
      </c>
      <c r="Q176" s="83">
        <f>IF(AND(Enginuity!$B$7&gt;0, Enginuity!$B$13&gt;0), Enginuity!$B$7 * Enginuity!$B$13, "")</f>
        <v>91</v>
      </c>
      <c r="U176" s="104" t="str">
        <f>IF(
  AND(
    TRIM(A176)=TRIM(Enginuity!$A$1),
    TRIM(B176)=TRIM(Enginuity!$A$17),
    Q176&lt;&gt;"",
    Q176&lt;&gt;0,
    OR(
      TRIM(C176)=TRIM(Enginuity!$A$18),
      AND(UPPER(TRIM(M176))="STD", TRIM(B176)=TRIM(Enginuity!$A$17))
    ),
    OR(
      AND(LEFT(P176,5)="1-Way", Enginuity!$B$13=1),
      AND(LEFT(P176,5)="2-Way", OR(Enginuity!$B$13=2, Enginuity!$B$13=4)),
      AND(LEFT(P176,5)="3-Way", OR(Enginuity!$B$13=3, Enginuity!$B$13=6)),
      AND(P176="Inner Centre Jamb", OR(Enginuity!$B$13=4, Enginuity!$B$13=6)),
      AND(
        LEFT(P176,5)&lt;&gt;"1-Way",
        LEFT(P176,5)&lt;&gt;"2-Way",
        LEFT(P176,5)&lt;&gt;"3-Way",
        P176&lt;&gt;"Inner Centre Jamb"
      )
    ),
    IF(OR(Enginuity!$A$1="Frameless Glass",Enginuity!$A$1="Metal Work"),
      AND(TRIM(B176)=TRIM(Enginuity!$A$17),TRIM(C176)=TRIM(Enginuity!$A$18)),
      TRIM(B176)=TRIM(Enginuity!$A$17)
    )
  ),
  ROW(),
  ""
)</f>
        <v/>
      </c>
      <c r="AW176" s="221" t="s">
        <v>203</v>
      </c>
      <c r="AX176" s="5">
        <v>5.28</v>
      </c>
      <c r="AZ176" s="5"/>
      <c r="BA176" t="s">
        <v>1035</v>
      </c>
      <c r="BB176" s="5">
        <v>4.3</v>
      </c>
    </row>
    <row r="177" spans="1:54" x14ac:dyDescent="0.25">
      <c r="A177" s="10" t="s">
        <v>254</v>
      </c>
      <c r="B177" s="229" t="s">
        <v>11</v>
      </c>
      <c r="C177" s="10" t="s">
        <v>97</v>
      </c>
      <c r="D177" s="14"/>
      <c r="E177" s="157"/>
      <c r="F177" s="10"/>
      <c r="G177" s="17"/>
      <c r="H177" s="10"/>
      <c r="I177" s="17"/>
      <c r="J177" s="83"/>
      <c r="K177" s="343"/>
      <c r="L177" s="347"/>
      <c r="M177" s="89">
        <v>29</v>
      </c>
      <c r="N177" s="10" t="s">
        <v>103</v>
      </c>
      <c r="O177" s="22">
        <v>1.37</v>
      </c>
      <c r="P177" s="14" t="s">
        <v>109</v>
      </c>
      <c r="Q177" s="83">
        <f>IF(Enginuity!$B$7&gt;0, Enginuity!$B$7, "")</f>
        <v>13</v>
      </c>
      <c r="U177" s="104" t="str">
        <f>IF(
  AND(
    TRIM(A177)=TRIM(Enginuity!$A$1),
    TRIM(B177)=TRIM(Enginuity!$A$17),
    Q177&lt;&gt;"",
    Q177&lt;&gt;0,
    OR(
      TRIM(C177)=TRIM(Enginuity!$A$18),
      AND(UPPER(TRIM(M177))="STD", TRIM(B177)=TRIM(Enginuity!$A$17))
    ),
    OR(
      AND(LEFT(P177,5)="1-Way", Enginuity!$B$13=1),
      AND(LEFT(P177,5)="2-Way", OR(Enginuity!$B$13=2, Enginuity!$B$13=4)),
      AND(LEFT(P177,5)="3-Way", OR(Enginuity!$B$13=3, Enginuity!$B$13=6)),
      AND(P177="Inner Centre Jamb", OR(Enginuity!$B$13=4, Enginuity!$B$13=6)),
      AND(
        LEFT(P177,5)&lt;&gt;"1-Way",
        LEFT(P177,5)&lt;&gt;"2-Way",
        LEFT(P177,5)&lt;&gt;"3-Way",
        P177&lt;&gt;"Inner Centre Jamb"
      )
    ),
    IF(OR(Enginuity!$A$1="Frameless Glass",Enginuity!$A$1="Metal Work"),
      AND(TRIM(B177)=TRIM(Enginuity!$A$17),TRIM(C177)=TRIM(Enginuity!$A$18)),
      TRIM(B177)=TRIM(Enginuity!$A$17)
    )
  ),
  ROW(),
  ""
)</f>
        <v/>
      </c>
      <c r="AW177" s="221" t="s">
        <v>202</v>
      </c>
      <c r="AX177" s="5">
        <v>1.6</v>
      </c>
      <c r="AZ177" s="5"/>
      <c r="BA177" t="s">
        <v>1066</v>
      </c>
      <c r="BB177" s="5">
        <v>4.3</v>
      </c>
    </row>
    <row r="178" spans="1:54" x14ac:dyDescent="0.25">
      <c r="A178" s="10" t="s">
        <v>254</v>
      </c>
      <c r="B178" s="229" t="s">
        <v>11</v>
      </c>
      <c r="C178" s="10" t="s">
        <v>97</v>
      </c>
      <c r="D178" s="14"/>
      <c r="E178" s="157"/>
      <c r="F178" s="10"/>
      <c r="G178" s="17"/>
      <c r="H178" s="10"/>
      <c r="I178" s="17"/>
      <c r="J178" s="83"/>
      <c r="K178" s="343"/>
      <c r="L178" s="347"/>
      <c r="M178" s="89">
        <v>30</v>
      </c>
      <c r="N178" s="10" t="s">
        <v>176</v>
      </c>
      <c r="O178" s="22" t="str">
        <f>IF(Enginuity!$A$20="", "",
 IF(Enginuity!$A$20="Lattice Design", $F$9,
 IF(Enginuity!$A$20="Lattice Design 12 Box / Panel", $F$10,
 ""))
)</f>
        <v/>
      </c>
      <c r="P178" s="5" t="str">
        <f>Enginuity!$A$20</f>
        <v>Z-Louvre Blade - 5"</v>
      </c>
      <c r="Q178" s="22" t="str">
        <f>IF(O178&lt;&gt;"",1,"")</f>
        <v/>
      </c>
      <c r="U178" s="104" t="str">
        <f>IF(
  AND(
    TRIM(A178)=TRIM(Enginuity!$A$1),
    TRIM(B178)=TRIM(Enginuity!$A$17),
    Q178&lt;&gt;"",
    Q178&lt;&gt;0,
    OR(
      TRIM(C178)=TRIM(Enginuity!$A$18),
      AND(UPPER(TRIM(M178))="STD", TRIM(B178)=TRIM(Enginuity!$A$17))
    ),
    OR(
      AND(LEFT(P178,5)="1-Way", Enginuity!$B$13=1),
      AND(LEFT(P178,5)="2-Way", OR(Enginuity!$B$13=2, Enginuity!$B$13=4)),
      AND(LEFT(P178,5)="3-Way", OR(Enginuity!$B$13=3, Enginuity!$B$13=6)),
      AND(P178="Inner Centre Jamb", OR(Enginuity!$B$13=4, Enginuity!$B$13=6)),
      AND(
        LEFT(P178,5)&lt;&gt;"1-Way",
        LEFT(P178,5)&lt;&gt;"2-Way",
        LEFT(P178,5)&lt;&gt;"3-Way",
        P178&lt;&gt;"Inner Centre Jamb"
      )
    ),
    IF(OR(Enginuity!$A$1="Frameless Glass",Enginuity!$A$1="Metal Work"),
      AND(TRIM(B178)=TRIM(Enginuity!$A$17),TRIM(C178)=TRIM(Enginuity!$A$18)),
      TRIM(B178)=TRIM(Enginuity!$A$17)
    )
  ),
  ROW(),
  ""
)</f>
        <v/>
      </c>
      <c r="AW178" s="221" t="s">
        <v>931</v>
      </c>
      <c r="AX178" s="5">
        <v>5.9</v>
      </c>
      <c r="AZ178" s="5"/>
      <c r="BA178" t="s">
        <v>1036</v>
      </c>
      <c r="BB178" s="5">
        <v>5.2</v>
      </c>
    </row>
    <row r="179" spans="1:54" x14ac:dyDescent="0.25">
      <c r="A179" s="10" t="s">
        <v>254</v>
      </c>
      <c r="B179" s="229" t="s">
        <v>11</v>
      </c>
      <c r="C179" s="10" t="s">
        <v>97</v>
      </c>
      <c r="D179" s="14"/>
      <c r="E179" s="157"/>
      <c r="F179" s="10"/>
      <c r="G179" s="17"/>
      <c r="H179" s="10"/>
      <c r="I179" s="17"/>
      <c r="J179" s="83"/>
      <c r="K179" s="343"/>
      <c r="L179" s="347"/>
      <c r="M179" s="89">
        <v>31</v>
      </c>
      <c r="N179" s="10"/>
      <c r="O179" s="22"/>
      <c r="P179" s="14"/>
      <c r="Q179" s="83"/>
      <c r="U179" s="104" t="str">
        <f>IF(
  AND(
    TRIM(A179)=TRIM(Enginuity!$A$1),
    TRIM(B179)=TRIM(Enginuity!$A$17),
    Q179&lt;&gt;"",
    Q179&lt;&gt;0,
    OR(
      TRIM(C179)=TRIM(Enginuity!$A$18),
      AND(UPPER(TRIM(M179))="STD", TRIM(B179)=TRIM(Enginuity!$A$17))
    ),
    OR(
      AND(LEFT(P179,5)="1-Way", Enginuity!$B$13=1),
      AND(LEFT(P179,5)="2-Way", OR(Enginuity!$B$13=2, Enginuity!$B$13=4)),
      AND(LEFT(P179,5)="3-Way", OR(Enginuity!$B$13=3, Enginuity!$B$13=6)),
      AND(P179="Inner Centre Jamb", OR(Enginuity!$B$13=4, Enginuity!$B$13=6)),
      AND(
        LEFT(P179,5)&lt;&gt;"1-Way",
        LEFT(P179,5)&lt;&gt;"2-Way",
        LEFT(P179,5)&lt;&gt;"3-Way",
        P179&lt;&gt;"Inner Centre Jamb"
      )
    ),
    IF(OR(Enginuity!$A$1="Frameless Glass",Enginuity!$A$1="Metal Work"),
      AND(TRIM(B179)=TRIM(Enginuity!$A$17),TRIM(C179)=TRIM(Enginuity!$A$18)),
      TRIM(B179)=TRIM(Enginuity!$A$17)
    )
  ),
  ROW(),
  ""
)</f>
        <v/>
      </c>
      <c r="AZ179" s="5"/>
      <c r="BA179" t="s">
        <v>1037</v>
      </c>
      <c r="BB179" s="5">
        <v>6.2</v>
      </c>
    </row>
    <row r="180" spans="1:54" x14ac:dyDescent="0.25">
      <c r="A180" s="10" t="s">
        <v>254</v>
      </c>
      <c r="B180" s="229" t="s">
        <v>11</v>
      </c>
      <c r="C180" s="10" t="s">
        <v>97</v>
      </c>
      <c r="D180" s="14"/>
      <c r="E180" s="157"/>
      <c r="F180" s="10"/>
      <c r="G180" s="17"/>
      <c r="H180" s="10"/>
      <c r="I180" s="17"/>
      <c r="J180" s="83"/>
      <c r="K180" s="343"/>
      <c r="L180" s="347"/>
      <c r="M180" s="89">
        <v>32</v>
      </c>
      <c r="N180" s="10" t="s">
        <v>176</v>
      </c>
      <c r="O180" s="22" t="str">
        <f>IF(Enginuity!$A$21="12""H Top Hung Standard Casement Profile", $F$11,
IF(Enginuity!$A$21="12""H Top / Bottom Fix Standard Casement Profile", $F$12,
""))</f>
        <v/>
      </c>
      <c r="P180" s="106" t="str">
        <f>Enginuity!$A$21</f>
        <v>SF 4"</v>
      </c>
      <c r="Q180" s="22" t="str">
        <f>IF(O180&lt;&gt;"",1,"")</f>
        <v/>
      </c>
      <c r="U180" s="104" t="str">
        <f>IF(
  AND(
    TRIM(A180)=TRIM(Enginuity!$A$1),
    TRIM(B180)=TRIM(Enginuity!$A$17),
    Q180&lt;&gt;"",
    Q180&lt;&gt;0,
    OR(
      TRIM(C180)=TRIM(Enginuity!$A$18),
      AND(UPPER(TRIM(M180))="STD", TRIM(B180)=TRIM(Enginuity!$A$17))
    ),
    OR(
      AND(LEFT(P180,5)="1-Way", Enginuity!$B$13=1),
      AND(LEFT(P180,5)="2-Way", OR(Enginuity!$B$13=2, Enginuity!$B$13=4)),
      AND(LEFT(P180,5)="3-Way", OR(Enginuity!$B$13=3, Enginuity!$B$13=6)),
      AND(P180="Inner Centre Jamb", OR(Enginuity!$B$13=4, Enginuity!$B$13=6)),
      AND(
        LEFT(P180,5)&lt;&gt;"1-Way",
        LEFT(P180,5)&lt;&gt;"2-Way",
        LEFT(P180,5)&lt;&gt;"3-Way",
        P180&lt;&gt;"Inner Centre Jamb"
      )
    ),
    IF(OR(Enginuity!$A$1="Frameless Glass",Enginuity!$A$1="Metal Work"),
      AND(TRIM(B180)=TRIM(Enginuity!$A$17),TRIM(C180)=TRIM(Enginuity!$A$18)),
      TRIM(B180)=TRIM(Enginuity!$A$17)
    )
  ),
  ROW(),
  ""
)</f>
        <v/>
      </c>
      <c r="AZ180" s="5"/>
      <c r="BA180" t="s">
        <v>1067</v>
      </c>
      <c r="BB180" s="5">
        <v>7.5</v>
      </c>
    </row>
    <row r="181" spans="1:54" x14ac:dyDescent="0.25">
      <c r="A181" s="10" t="s">
        <v>254</v>
      </c>
      <c r="B181" s="229" t="s">
        <v>11</v>
      </c>
      <c r="C181" s="10" t="s">
        <v>97</v>
      </c>
      <c r="D181" s="14"/>
      <c r="E181" s="157"/>
      <c r="F181" s="10"/>
      <c r="G181" s="17"/>
      <c r="H181" s="10"/>
      <c r="I181" s="17"/>
      <c r="J181" s="83"/>
      <c r="K181" s="343"/>
      <c r="L181" s="347"/>
      <c r="M181" s="89">
        <v>33</v>
      </c>
      <c r="N181" s="10" t="s">
        <v>176</v>
      </c>
      <c r="O181" s="22" t="str">
        <f>IF(Enginuity!$A$22="Subframe 1"" X 2""", $J$2, "")</f>
        <v/>
      </c>
      <c r="P181" s="106" t="str">
        <f>Enginuity!$A$22</f>
        <v>▼ [Lattice]</v>
      </c>
      <c r="Q181" s="22" t="str">
        <f>IF(O181&lt;&gt;"",1,"")</f>
        <v/>
      </c>
      <c r="U181" s="104" t="str">
        <f>IF(
  AND(
    TRIM(A181)=TRIM(Enginuity!$A$1),
    TRIM(B181)=TRIM(Enginuity!$A$17),
    Q181&lt;&gt;"",
    Q181&lt;&gt;0,
    OR(
      TRIM(C181)=TRIM(Enginuity!$A$18),
      AND(UPPER(TRIM(M181))="STD", TRIM(B181)=TRIM(Enginuity!$A$17))
    ),
    OR(
      AND(LEFT(P181,5)="1-Way", Enginuity!$B$13=1),
      AND(LEFT(P181,5)="2-Way", OR(Enginuity!$B$13=2, Enginuity!$B$13=4)),
      AND(LEFT(P181,5)="3-Way", OR(Enginuity!$B$13=3, Enginuity!$B$13=6)),
      AND(P181="Inner Centre Jamb", OR(Enginuity!$B$13=4, Enginuity!$B$13=6)),
      AND(
        LEFT(P181,5)&lt;&gt;"1-Way",
        LEFT(P181,5)&lt;&gt;"2-Way",
        LEFT(P181,5)&lt;&gt;"3-Way",
        P181&lt;&gt;"Inner Centre Jamb"
      )
    ),
    IF(OR(Enginuity!$A$1="Frameless Glass",Enginuity!$A$1="Metal Work"),
      AND(TRIM(B181)=TRIM(Enginuity!$A$17),TRIM(C181)=TRIM(Enginuity!$A$18)),
      TRIM(B181)=TRIM(Enginuity!$A$17)
    )
  ),
  ROW(),
  ""
)</f>
        <v/>
      </c>
      <c r="AZ181" s="5"/>
      <c r="BA181" t="s">
        <v>1068</v>
      </c>
      <c r="BB181" s="5">
        <v>13</v>
      </c>
    </row>
    <row r="182" spans="1:54" x14ac:dyDescent="0.25">
      <c r="A182" s="10" t="s">
        <v>254</v>
      </c>
      <c r="B182" s="229" t="s">
        <v>11</v>
      </c>
      <c r="C182" s="10" t="s">
        <v>97</v>
      </c>
      <c r="D182" s="14"/>
      <c r="E182" s="157"/>
      <c r="F182" s="10"/>
      <c r="G182" s="17"/>
      <c r="H182" s="10"/>
      <c r="I182" s="17"/>
      <c r="J182" s="83"/>
      <c r="K182" s="343"/>
      <c r="L182" s="347"/>
      <c r="M182" s="89">
        <v>34</v>
      </c>
      <c r="N182" s="10"/>
      <c r="O182" s="22"/>
      <c r="P182" s="14"/>
      <c r="Q182" s="83"/>
      <c r="U182" s="104" t="str">
        <f>IF(
  AND(
    TRIM(A182)=TRIM(Enginuity!$A$1),
    TRIM(B182)=TRIM(Enginuity!$A$17),
    Q182&lt;&gt;"",
    Q182&lt;&gt;0,
    OR(
      TRIM(C182)=TRIM(Enginuity!$A$18),
      AND(UPPER(TRIM(M182))="STD", TRIM(B182)=TRIM(Enginuity!$A$17))
    ),
    OR(
      AND(LEFT(P182,5)="1-Way", Enginuity!$B$13=1),
      AND(LEFT(P182,5)="2-Way", OR(Enginuity!$B$13=2, Enginuity!$B$13=4)),
      AND(LEFT(P182,5)="3-Way", OR(Enginuity!$B$13=3, Enginuity!$B$13=6)),
      AND(P182="Inner Centre Jamb", OR(Enginuity!$B$13=4, Enginuity!$B$13=6)),
      AND(
        LEFT(P182,5)&lt;&gt;"1-Way",
        LEFT(P182,5)&lt;&gt;"2-Way",
        LEFT(P182,5)&lt;&gt;"3-Way",
        P182&lt;&gt;"Inner Centre Jamb"
      )
    ),
    IF(OR(Enginuity!$A$1="Frameless Glass",Enginuity!$A$1="Metal Work"),
      AND(TRIM(B182)=TRIM(Enginuity!$A$17),TRIM(C182)=TRIM(Enginuity!$A$18)),
      TRIM(B182)=TRIM(Enginuity!$A$17)
    )
  ),
  ROW(),
  ""
)</f>
        <v/>
      </c>
      <c r="AZ182" s="5"/>
      <c r="BA182" t="s">
        <v>1069</v>
      </c>
      <c r="BB182" s="5">
        <v>13.5</v>
      </c>
    </row>
    <row r="183" spans="1:54" x14ac:dyDescent="0.25">
      <c r="A183" s="10" t="s">
        <v>254</v>
      </c>
      <c r="B183" s="229" t="s">
        <v>11</v>
      </c>
      <c r="C183" s="10" t="s">
        <v>97</v>
      </c>
      <c r="D183" s="14"/>
      <c r="E183" s="157"/>
      <c r="F183" s="10"/>
      <c r="G183" s="17"/>
      <c r="H183" s="10"/>
      <c r="I183" s="17"/>
      <c r="J183" s="83"/>
      <c r="K183" s="343"/>
      <c r="L183" s="347"/>
      <c r="M183" s="89">
        <v>35</v>
      </c>
      <c r="N183" s="10"/>
      <c r="O183" s="22"/>
      <c r="P183" s="14"/>
      <c r="Q183" s="83"/>
      <c r="U183" s="104" t="str">
        <f>IF(
  AND(
    TRIM(A183)=TRIM(Enginuity!$A$1),
    TRIM(B183)=TRIM(Enginuity!$A$17),
    Q183&lt;&gt;"",
    Q183&lt;&gt;0,
    OR(
      TRIM(C183)=TRIM(Enginuity!$A$18),
      AND(UPPER(TRIM(M183))="STD", TRIM(B183)=TRIM(Enginuity!$A$17))
    ),
    OR(
      AND(LEFT(P183,5)="1-Way", Enginuity!$B$13=1),
      AND(LEFT(P183,5)="2-Way", OR(Enginuity!$B$13=2, Enginuity!$B$13=4)),
      AND(LEFT(P183,5)="3-Way", OR(Enginuity!$B$13=3, Enginuity!$B$13=6)),
      AND(P183="Inner Centre Jamb", OR(Enginuity!$B$13=4, Enginuity!$B$13=6)),
      AND(
        LEFT(P183,5)&lt;&gt;"1-Way",
        LEFT(P183,5)&lt;&gt;"2-Way",
        LEFT(P183,5)&lt;&gt;"3-Way",
        P183&lt;&gt;"Inner Centre Jamb"
      )
    ),
    IF(OR(Enginuity!$A$1="Frameless Glass",Enginuity!$A$1="Metal Work"),
      AND(TRIM(B183)=TRIM(Enginuity!$A$17),TRIM(C183)=TRIM(Enginuity!$A$18)),
      TRIM(B183)=TRIM(Enginuity!$A$17)
    )
  ),
  ROW(),
  ""
)</f>
        <v/>
      </c>
      <c r="AZ183" s="5"/>
      <c r="BA183" t="s">
        <v>1070</v>
      </c>
      <c r="BB183" s="5">
        <v>15</v>
      </c>
    </row>
    <row r="184" spans="1:54" x14ac:dyDescent="0.25">
      <c r="A184" s="10" t="s">
        <v>254</v>
      </c>
      <c r="B184" s="229" t="s">
        <v>11</v>
      </c>
      <c r="C184" s="10"/>
      <c r="D184" s="14"/>
      <c r="E184" s="157"/>
      <c r="F184" s="10"/>
      <c r="G184" s="17"/>
      <c r="H184" s="10"/>
      <c r="I184" s="17"/>
      <c r="J184" s="83"/>
      <c r="K184" s="343"/>
      <c r="L184" s="347"/>
      <c r="M184" s="89">
        <v>36</v>
      </c>
      <c r="N184" s="10"/>
      <c r="O184" s="22"/>
      <c r="P184" s="14"/>
      <c r="Q184" s="83"/>
      <c r="U184" s="104" t="str">
        <f>IF(
  AND(
    TRIM(A184)=TRIM(Enginuity!$A$1),
    TRIM(B184)=TRIM(Enginuity!$A$17),
    Q184&lt;&gt;"",
    Q184&lt;&gt;0,
    OR(
      TRIM(C184)=TRIM(Enginuity!$A$18),
      AND(UPPER(TRIM(M184))="STD", TRIM(B184)=TRIM(Enginuity!$A$17))
    ),
    OR(
      AND(LEFT(P184,5)="1-Way", Enginuity!$B$13=1),
      AND(LEFT(P184,5)="2-Way", OR(Enginuity!$B$13=2, Enginuity!$B$13=4)),
      AND(LEFT(P184,5)="3-Way", OR(Enginuity!$B$13=3, Enginuity!$B$13=6)),
      AND(P184="Inner Centre Jamb", OR(Enginuity!$B$13=4, Enginuity!$B$13=6)),
      AND(
        LEFT(P184,5)&lt;&gt;"1-Way",
        LEFT(P184,5)&lt;&gt;"2-Way",
        LEFT(P184,5)&lt;&gt;"3-Way",
        P184&lt;&gt;"Inner Centre Jamb"
      )
    ),
    IF(OR(Enginuity!$A$1="Frameless Glass",Enginuity!$A$1="Metal Work"),
      AND(TRIM(B184)=TRIM(Enginuity!$A$17),TRIM(C184)=TRIM(Enginuity!$A$18)),
      TRIM(B184)=TRIM(Enginuity!$A$17)
    )
  ),
  ROW(),
  ""
)</f>
        <v/>
      </c>
      <c r="AZ184" s="5"/>
      <c r="BA184" t="s">
        <v>1071</v>
      </c>
      <c r="BB184" s="5">
        <v>15.5</v>
      </c>
    </row>
    <row r="185" spans="1:54" x14ac:dyDescent="0.25">
      <c r="A185" s="10" t="s">
        <v>254</v>
      </c>
      <c r="B185" s="229" t="s">
        <v>11</v>
      </c>
      <c r="C185" s="10"/>
      <c r="D185" s="14"/>
      <c r="E185" s="157"/>
      <c r="F185" s="10"/>
      <c r="G185" s="17"/>
      <c r="H185" s="10"/>
      <c r="I185" s="17"/>
      <c r="J185" s="83"/>
      <c r="K185" s="343"/>
      <c r="L185" s="347"/>
      <c r="M185" s="89">
        <v>37</v>
      </c>
      <c r="N185" s="10"/>
      <c r="O185" s="22"/>
      <c r="P185" s="14"/>
      <c r="Q185" s="98"/>
      <c r="U185" s="104" t="str">
        <f>IF(
  AND(
    TRIM(A185)=TRIM(Enginuity!$A$1),
    TRIM(B185)=TRIM(Enginuity!$A$17),
    Q185&lt;&gt;"",
    Q185&lt;&gt;0,
    OR(
      TRIM(C185)=TRIM(Enginuity!$A$18),
      AND(UPPER(TRIM(M185))="STD", TRIM(B185)=TRIM(Enginuity!$A$17))
    ),
    OR(
      AND(LEFT(P185,5)="1-Way", Enginuity!$B$13=1),
      AND(LEFT(P185,5)="2-Way", OR(Enginuity!$B$13=2, Enginuity!$B$13=4)),
      AND(LEFT(P185,5)="3-Way", OR(Enginuity!$B$13=3, Enginuity!$B$13=6)),
      AND(P185="Inner Centre Jamb", OR(Enginuity!$B$13=4, Enginuity!$B$13=6)),
      AND(
        LEFT(P185,5)&lt;&gt;"1-Way",
        LEFT(P185,5)&lt;&gt;"2-Way",
        LEFT(P185,5)&lt;&gt;"3-Way",
        P185&lt;&gt;"Inner Centre Jamb"
      )
    ),
    IF(OR(Enginuity!$A$1="Frameless Glass",Enginuity!$A$1="Metal Work"),
      AND(TRIM(B185)=TRIM(Enginuity!$A$17),TRIM(C185)=TRIM(Enginuity!$A$18)),
      TRIM(B185)=TRIM(Enginuity!$A$17)
    )
  ),
  ROW(),
  ""
)</f>
        <v/>
      </c>
      <c r="AZ185" s="5"/>
      <c r="BA185" t="s">
        <v>1072</v>
      </c>
      <c r="BB185" s="5">
        <v>16</v>
      </c>
    </row>
    <row r="186" spans="1:54" x14ac:dyDescent="0.25">
      <c r="A186" s="10" t="s">
        <v>254</v>
      </c>
      <c r="B186" s="229" t="s">
        <v>11</v>
      </c>
      <c r="C186" s="10"/>
      <c r="D186" s="14"/>
      <c r="E186" s="157"/>
      <c r="F186" s="10"/>
      <c r="G186" s="17"/>
      <c r="H186" s="10"/>
      <c r="I186" s="17"/>
      <c r="J186" s="83"/>
      <c r="K186" s="343"/>
      <c r="L186" s="347"/>
      <c r="M186" s="89">
        <v>38</v>
      </c>
      <c r="N186" s="10"/>
      <c r="O186" s="22"/>
      <c r="P186" s="14"/>
      <c r="Q186" s="83"/>
      <c r="U186" s="104" t="str">
        <f>IF(
  AND(
    TRIM(A186)=TRIM(Enginuity!$A$1),
    TRIM(B186)=TRIM(Enginuity!$A$17),
    Q186&lt;&gt;"",
    Q186&lt;&gt;0,
    OR(
      TRIM(C186)=TRIM(Enginuity!$A$18),
      AND(UPPER(TRIM(M186))="STD", TRIM(B186)=TRIM(Enginuity!$A$17))
    ),
    OR(
      AND(LEFT(P186,5)="1-Way", Enginuity!$B$13=1),
      AND(LEFT(P186,5)="2-Way", OR(Enginuity!$B$13=2, Enginuity!$B$13=4)),
      AND(LEFT(P186,5)="3-Way", OR(Enginuity!$B$13=3, Enginuity!$B$13=6)),
      AND(P186="Inner Centre Jamb", OR(Enginuity!$B$13=4, Enginuity!$B$13=6)),
      AND(
        LEFT(P186,5)&lt;&gt;"1-Way",
        LEFT(P186,5)&lt;&gt;"2-Way",
        LEFT(P186,5)&lt;&gt;"3-Way",
        P186&lt;&gt;"Inner Centre Jamb"
      )
    ),
    IF(OR(Enginuity!$A$1="Frameless Glass",Enginuity!$A$1="Metal Work"),
      AND(TRIM(B186)=TRIM(Enginuity!$A$17),TRIM(C186)=TRIM(Enginuity!$A$18)),
      TRIM(B186)=TRIM(Enginuity!$A$17)
    )
  ),
  ROW(),
  ""
)</f>
        <v/>
      </c>
      <c r="AZ186" s="5"/>
      <c r="BA186" t="s">
        <v>1073</v>
      </c>
      <c r="BB186" s="5">
        <v>16.5</v>
      </c>
    </row>
    <row r="187" spans="1:54" x14ac:dyDescent="0.25">
      <c r="A187" s="10" t="s">
        <v>254</v>
      </c>
      <c r="B187" s="229" t="s">
        <v>11</v>
      </c>
      <c r="C187" s="10"/>
      <c r="D187" s="14"/>
      <c r="E187" s="157"/>
      <c r="F187" s="10"/>
      <c r="G187" s="17"/>
      <c r="H187" s="10"/>
      <c r="I187" s="17"/>
      <c r="J187" s="83"/>
      <c r="K187" s="343"/>
      <c r="L187" s="347"/>
      <c r="M187" s="89">
        <v>39</v>
      </c>
      <c r="N187" s="10"/>
      <c r="O187" s="22"/>
      <c r="P187" s="14"/>
      <c r="Q187" s="83"/>
      <c r="U187" s="104" t="str">
        <f>IF(
  AND(
    TRIM(A187)=TRIM(Enginuity!$A$1),
    TRIM(B187)=TRIM(Enginuity!$A$17),
    Q187&lt;&gt;"",
    Q187&lt;&gt;0,
    OR(
      TRIM(C187)=TRIM(Enginuity!$A$18),
      AND(UPPER(TRIM(M187))="STD", TRIM(B187)=TRIM(Enginuity!$A$17))
    ),
    OR(
      AND(LEFT(P187,5)="1-Way", Enginuity!$B$13=1),
      AND(LEFT(P187,5)="2-Way", OR(Enginuity!$B$13=2, Enginuity!$B$13=4)),
      AND(LEFT(P187,5)="3-Way", OR(Enginuity!$B$13=3, Enginuity!$B$13=6)),
      AND(P187="Inner Centre Jamb", OR(Enginuity!$B$13=4, Enginuity!$B$13=6)),
      AND(
        LEFT(P187,5)&lt;&gt;"1-Way",
        LEFT(P187,5)&lt;&gt;"2-Way",
        LEFT(P187,5)&lt;&gt;"3-Way",
        P187&lt;&gt;"Inner Centre Jamb"
      )
    ),
    IF(OR(Enginuity!$A$1="Frameless Glass",Enginuity!$A$1="Metal Work"),
      AND(TRIM(B187)=TRIM(Enginuity!$A$17),TRIM(C187)=TRIM(Enginuity!$A$18)),
      TRIM(B187)=TRIM(Enginuity!$A$17)
    )
  ),
  ROW(),
  ""
)</f>
        <v/>
      </c>
      <c r="AZ187" s="5"/>
      <c r="BA187" t="s">
        <v>1038</v>
      </c>
      <c r="BB187" s="5">
        <v>4.5999999999999996</v>
      </c>
    </row>
    <row r="188" spans="1:54" x14ac:dyDescent="0.25">
      <c r="A188" s="10" t="s">
        <v>254</v>
      </c>
      <c r="B188" s="229" t="s">
        <v>11</v>
      </c>
      <c r="C188" s="10"/>
      <c r="D188" s="14"/>
      <c r="E188" s="157"/>
      <c r="F188" s="10"/>
      <c r="G188" s="17"/>
      <c r="H188" s="10"/>
      <c r="I188" s="17"/>
      <c r="J188" s="83"/>
      <c r="K188" s="343"/>
      <c r="L188" s="347"/>
      <c r="M188" s="10" t="s">
        <v>117</v>
      </c>
      <c r="N188" s="10" t="s">
        <v>121</v>
      </c>
      <c r="O188" s="22" t="str">
        <f>$O$2</f>
        <v/>
      </c>
      <c r="P188" s="21" t="str">
        <f>Enginuity!$A$19</f>
        <v>W/G</v>
      </c>
      <c r="Q188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188" s="104" t="str">
        <f>IF(
  AND(
    TRIM(A188)=TRIM(Enginuity!$A$1),
    TRIM(B188)=TRIM(Enginuity!$A$17),
    Q188&lt;&gt;"",
    Q188&lt;&gt;0,
    OR(
      TRIM(C188)=TRIM(Enginuity!$A$18),
      AND(UPPER(TRIM(M188))="STD", TRIM(B188)=TRIM(Enginuity!$A$17))
    ),
    OR(
      AND(LEFT(P188,5)="1-Way", Enginuity!$B$13=1),
      AND(LEFT(P188,5)="2-Way", OR(Enginuity!$B$13=2, Enginuity!$B$13=4)),
      AND(LEFT(P188,5)="3-Way", OR(Enginuity!$B$13=3, Enginuity!$B$13=6)),
      AND(P188="Inner Centre Jamb", OR(Enginuity!$B$13=4, Enginuity!$B$13=6)),
      AND(
        LEFT(P188,5)&lt;&gt;"1-Way",
        LEFT(P188,5)&lt;&gt;"2-Way",
        LEFT(P188,5)&lt;&gt;"3-Way",
        P188&lt;&gt;"Inner Centre Jamb"
      )
    ),
    IF(OR(Enginuity!$A$1="Frameless Glass",Enginuity!$A$1="Metal Work"),
      AND(TRIM(B188)=TRIM(Enginuity!$A$17),TRIM(C188)=TRIM(Enginuity!$A$18)),
      TRIM(B188)=TRIM(Enginuity!$A$17)
    )
  ),
  ROW(),
  ""
)</f>
        <v/>
      </c>
      <c r="AZ188" s="5"/>
      <c r="BA188" t="s">
        <v>1074</v>
      </c>
      <c r="BB188" s="5">
        <v>5.4</v>
      </c>
    </row>
    <row r="189" spans="1:54" x14ac:dyDescent="0.25">
      <c r="A189" s="10" t="s">
        <v>254</v>
      </c>
      <c r="B189" s="229" t="s">
        <v>11</v>
      </c>
      <c r="C189" s="10"/>
      <c r="D189" s="14"/>
      <c r="E189" s="157"/>
      <c r="F189" s="10"/>
      <c r="G189" s="17"/>
      <c r="H189" s="10"/>
      <c r="I189" s="17"/>
      <c r="J189" s="83"/>
      <c r="K189" s="343"/>
      <c r="L189" s="347"/>
      <c r="M189" s="10" t="s">
        <v>117</v>
      </c>
      <c r="N189" s="10" t="s">
        <v>103</v>
      </c>
      <c r="O189" s="22">
        <v>0.20379744565899399</v>
      </c>
      <c r="P189" s="14" t="s">
        <v>115</v>
      </c>
      <c r="Q189" s="83">
        <f>IF(AND(Enginuity!$B$6&gt;0, Enginuity!$B$7&gt;0), ROUND(((Enginuity!$B$6 + Enginuity!$B$7) * 2), 2), "")</f>
        <v>66</v>
      </c>
      <c r="U189" s="104" t="str">
        <f>IF(
  AND(
    TRIM(A189)=TRIM(Enginuity!$A$1),
    TRIM(B189)=TRIM(Enginuity!$A$17),
    Q189&lt;&gt;"",
    Q189&lt;&gt;0,
    OR(
      TRIM(C189)=TRIM(Enginuity!$A$18),
      AND(UPPER(TRIM(M189))="STD", TRIM(B189)=TRIM(Enginuity!$A$17))
    ),
    OR(
      AND(LEFT(P189,5)="1-Way", Enginuity!$B$13=1),
      AND(LEFT(P189,5)="2-Way", OR(Enginuity!$B$13=2, Enginuity!$B$13=4)),
      AND(LEFT(P189,5)="3-Way", OR(Enginuity!$B$13=3, Enginuity!$B$13=6)),
      AND(P189="Inner Centre Jamb", OR(Enginuity!$B$13=4, Enginuity!$B$13=6)),
      AND(
        LEFT(P189,5)&lt;&gt;"1-Way",
        LEFT(P189,5)&lt;&gt;"2-Way",
        LEFT(P189,5)&lt;&gt;"3-Way",
        P189&lt;&gt;"Inner Centre Jamb"
      )
    ),
    IF(OR(Enginuity!$A$1="Frameless Glass",Enginuity!$A$1="Metal Work"),
      AND(TRIM(B189)=TRIM(Enginuity!$A$17),TRIM(C189)=TRIM(Enginuity!$A$18)),
      TRIM(B189)=TRIM(Enginuity!$A$17)
    )
  ),
  ROW(),
  ""
)</f>
        <v/>
      </c>
      <c r="AZ189" s="5"/>
      <c r="BA189" t="s">
        <v>1075</v>
      </c>
      <c r="BB189" s="5">
        <v>9</v>
      </c>
    </row>
    <row r="190" spans="1:54" x14ac:dyDescent="0.25">
      <c r="A190" s="10" t="s">
        <v>254</v>
      </c>
      <c r="B190" s="229" t="s">
        <v>11</v>
      </c>
      <c r="C190" s="10"/>
      <c r="D190" s="14"/>
      <c r="E190" s="157"/>
      <c r="F190" s="10"/>
      <c r="G190" s="17"/>
      <c r="H190" s="10"/>
      <c r="I190" s="17"/>
      <c r="J190" s="83"/>
      <c r="K190" s="343"/>
      <c r="L190" s="347"/>
      <c r="M190" s="10" t="s">
        <v>117</v>
      </c>
      <c r="N190" s="10" t="s">
        <v>103</v>
      </c>
      <c r="O190" s="22">
        <v>0.20379744565899399</v>
      </c>
      <c r="P190" s="14" t="s">
        <v>116</v>
      </c>
      <c r="Q190" s="83">
        <f>IF(AND(Enginuity!$B$6&gt;0, Enginuity!$B$7&gt;0, Enginuity!$B$13&gt;0), (2 * Enginuity!$B$7 * Enginuity!$B$13) + (2 * Enginuity!$B$6), "")</f>
        <v>222</v>
      </c>
      <c r="U190" s="104" t="str">
        <f>IF(
  AND(
    TRIM(A190)=TRIM(Enginuity!$A$1),
    TRIM(B190)=TRIM(Enginuity!$A$17),
    Q190&lt;&gt;"",
    Q190&lt;&gt;0,
    OR(
      TRIM(C190)=TRIM(Enginuity!$A$18),
      AND(UPPER(TRIM(M190))="STD", TRIM(B190)=TRIM(Enginuity!$A$17))
    ),
    OR(
      AND(LEFT(P190,5)="1-Way", Enginuity!$B$13=1),
      AND(LEFT(P190,5)="2-Way", OR(Enginuity!$B$13=2, Enginuity!$B$13=4)),
      AND(LEFT(P190,5)="3-Way", OR(Enginuity!$B$13=3, Enginuity!$B$13=6)),
      AND(P190="Inner Centre Jamb", OR(Enginuity!$B$13=4, Enginuity!$B$13=6)),
      AND(
        LEFT(P190,5)&lt;&gt;"1-Way",
        LEFT(P190,5)&lt;&gt;"2-Way",
        LEFT(P190,5)&lt;&gt;"3-Way",
        P190&lt;&gt;"Inner Centre Jamb"
      )
    ),
    IF(OR(Enginuity!$A$1="Frameless Glass",Enginuity!$A$1="Metal Work"),
      AND(TRIM(B190)=TRIM(Enginuity!$A$17),TRIM(C190)=TRIM(Enginuity!$A$18)),
      TRIM(B190)=TRIM(Enginuity!$A$17)
    )
  ),
  ROW(),
  ""
)</f>
        <v/>
      </c>
      <c r="AZ190" s="5"/>
      <c r="BA190" t="s">
        <v>1076</v>
      </c>
      <c r="BB190" s="5">
        <v>9.5</v>
      </c>
    </row>
    <row r="191" spans="1:54" x14ac:dyDescent="0.25">
      <c r="A191" s="10" t="s">
        <v>254</v>
      </c>
      <c r="B191" s="229" t="s">
        <v>11</v>
      </c>
      <c r="C191" s="10"/>
      <c r="D191" s="14"/>
      <c r="E191" s="157"/>
      <c r="F191" s="10"/>
      <c r="G191" s="17"/>
      <c r="H191" s="10"/>
      <c r="I191" s="17"/>
      <c r="J191" s="83"/>
      <c r="K191" s="343"/>
      <c r="L191" s="347"/>
      <c r="M191" s="10" t="s">
        <v>117</v>
      </c>
      <c r="N191" s="10" t="s">
        <v>103</v>
      </c>
      <c r="O191" s="22">
        <v>0.20379744565899399</v>
      </c>
      <c r="P191" s="14" t="s">
        <v>272</v>
      </c>
      <c r="Q191" s="83">
        <f>IF(AND(Enginuity!$B$6&gt;0, Enginuity!$B$7&gt;0, Enginuity!$B$13&gt;0), ((2*Enginuity!$B$7*Enginuity!$B$13)+(2*Enginuity!$B$6))*2, "")</f>
        <v>444</v>
      </c>
      <c r="U191" s="104" t="str">
        <f>IF(
  AND(
    TRIM(A191)=TRIM(Enginuity!$A$1),
    TRIM(B191)=TRIM(Enginuity!$A$17),
    Q191&lt;&gt;"",
    Q191&lt;&gt;0,
    OR(
      TRIM(C191)=TRIM(Enginuity!$A$18),
      AND(UPPER(TRIM(M191))="STD", TRIM(B191)=TRIM(Enginuity!$A$17))
    ),
    OR(
      AND(LEFT(P191,5)="1-Way", Enginuity!$B$13=1),
      AND(LEFT(P191,5)="2-Way", OR(Enginuity!$B$13=2, Enginuity!$B$13=4)),
      AND(LEFT(P191,5)="3-Way", OR(Enginuity!$B$13=3, Enginuity!$B$13=6)),
      AND(P191="Inner Centre Jamb", OR(Enginuity!$B$13=4, Enginuity!$B$13=6)),
      AND(
        LEFT(P191,5)&lt;&gt;"1-Way",
        LEFT(P191,5)&lt;&gt;"2-Way",
        LEFT(P191,5)&lt;&gt;"3-Way",
        P191&lt;&gt;"Inner Centre Jamb"
      )
    ),
    IF(OR(Enginuity!$A$1="Frameless Glass",Enginuity!$A$1="Metal Work"),
      AND(TRIM(B191)=TRIM(Enginuity!$A$17),TRIM(C191)=TRIM(Enginuity!$A$18)),
      TRIM(B191)=TRIM(Enginuity!$A$17)
    )
  ),
  ROW(),
  ""
)</f>
        <v/>
      </c>
      <c r="AZ191" s="5"/>
      <c r="BA191" t="s">
        <v>1077</v>
      </c>
      <c r="BB191" s="5">
        <v>10</v>
      </c>
    </row>
    <row r="192" spans="1:54" x14ac:dyDescent="0.25">
      <c r="A192" s="10" t="s">
        <v>254</v>
      </c>
      <c r="B192" s="229" t="s">
        <v>11</v>
      </c>
      <c r="C192" s="10"/>
      <c r="D192" s="14"/>
      <c r="E192" s="157"/>
      <c r="F192" s="10"/>
      <c r="G192" s="17"/>
      <c r="H192" s="10"/>
      <c r="I192" s="17"/>
      <c r="J192" s="83"/>
      <c r="K192" s="343"/>
      <c r="L192" s="347"/>
      <c r="M192" s="10" t="s">
        <v>117</v>
      </c>
      <c r="N192" s="10" t="s">
        <v>103</v>
      </c>
      <c r="O192" s="22">
        <v>0.12</v>
      </c>
      <c r="P192" s="14" t="s">
        <v>273</v>
      </c>
      <c r="Q192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576</v>
      </c>
      <c r="U192" s="104" t="str">
        <f>IF(
  AND(
    TRIM(A192)=TRIM(Enginuity!$A$1),
    TRIM(B192)=TRIM(Enginuity!$A$17),
    Q192&lt;&gt;"",
    Q192&lt;&gt;0,
    OR(
      TRIM(C192)=TRIM(Enginuity!$A$18),
      AND(UPPER(TRIM(M192))="STD", TRIM(B192)=TRIM(Enginuity!$A$17))
    ),
    OR(
      AND(LEFT(P192,5)="1-Way", Enginuity!$B$13=1),
      AND(LEFT(P192,5)="2-Way", OR(Enginuity!$B$13=2, Enginuity!$B$13=4)),
      AND(LEFT(P192,5)="3-Way", OR(Enginuity!$B$13=3, Enginuity!$B$13=6)),
      AND(P192="Inner Centre Jamb", OR(Enginuity!$B$13=4, Enginuity!$B$13=6)),
      AND(
        LEFT(P192,5)&lt;&gt;"1-Way",
        LEFT(P192,5)&lt;&gt;"2-Way",
        LEFT(P192,5)&lt;&gt;"3-Way",
        P192&lt;&gt;"Inner Centre Jamb"
      )
    ),
    IF(OR(Enginuity!$A$1="Frameless Glass",Enginuity!$A$1="Metal Work"),
      AND(TRIM(B192)=TRIM(Enginuity!$A$17),TRIM(C192)=TRIM(Enginuity!$A$18)),
      TRIM(B192)=TRIM(Enginuity!$A$17)
    )
  ),
  ROW(),
  ""
)</f>
        <v/>
      </c>
      <c r="AZ192" s="5"/>
      <c r="BA192" t="s">
        <v>1078</v>
      </c>
      <c r="BB192" s="5">
        <v>10.5</v>
      </c>
    </row>
    <row r="193" spans="1:54" x14ac:dyDescent="0.25">
      <c r="A193" s="10" t="s">
        <v>254</v>
      </c>
      <c r="B193" s="229" t="s">
        <v>11</v>
      </c>
      <c r="C193" s="10"/>
      <c r="D193" s="14"/>
      <c r="E193" s="157"/>
      <c r="F193" s="10"/>
      <c r="G193" s="17"/>
      <c r="H193" s="10"/>
      <c r="I193" s="17"/>
      <c r="J193" s="83"/>
      <c r="K193" s="343"/>
      <c r="L193" s="347"/>
      <c r="M193" s="10" t="s">
        <v>117</v>
      </c>
      <c r="N193" s="10" t="s">
        <v>112</v>
      </c>
      <c r="O193" s="22">
        <v>1.4</v>
      </c>
      <c r="P193" s="14" t="s">
        <v>113</v>
      </c>
      <c r="Q193" s="83" t="str">
        <f>IF(
  TRIM(Enginuity!$A$21)="1'H X ?'W X Qty Panel Top Hung (Casement Profile)",
  Enginuity!$B$13,
  ""
)</f>
        <v/>
      </c>
      <c r="U193" s="104" t="str">
        <f>IF(
  AND(
    TRIM(A193)=TRIM(Enginuity!$A$1),
    TRIM(B193)=TRIM(Enginuity!$A$17),
    Q193&lt;&gt;"",
    Q193&lt;&gt;0,
    OR(
      TRIM(C193)=TRIM(Enginuity!$A$18),
      AND(UPPER(TRIM(M193))="STD", TRIM(B193)=TRIM(Enginuity!$A$17))
    ),
    OR(
      AND(LEFT(P193,5)="1-Way", Enginuity!$B$13=1),
      AND(LEFT(P193,5)="2-Way", OR(Enginuity!$B$13=2, Enginuity!$B$13=4)),
      AND(LEFT(P193,5)="3-Way", OR(Enginuity!$B$13=3, Enginuity!$B$13=6)),
      AND(P193="Inner Centre Jamb", OR(Enginuity!$B$13=4, Enginuity!$B$13=6)),
      AND(
        LEFT(P193,5)&lt;&gt;"1-Way",
        LEFT(P193,5)&lt;&gt;"2-Way",
        LEFT(P193,5)&lt;&gt;"3-Way",
        P193&lt;&gt;"Inner Centre Jamb"
      )
    ),
    IF(OR(Enginuity!$A$1="Frameless Glass",Enginuity!$A$1="Metal Work"),
      AND(TRIM(B193)=TRIM(Enginuity!$A$17),TRIM(C193)=TRIM(Enginuity!$A$18)),
      TRIM(B193)=TRIM(Enginuity!$A$17)
    )
  ),
  ROW(),
  ""
)</f>
        <v/>
      </c>
      <c r="AZ193" s="5"/>
      <c r="BA193" t="s">
        <v>1079</v>
      </c>
      <c r="BB193" s="5">
        <v>11</v>
      </c>
    </row>
    <row r="194" spans="1:54" x14ac:dyDescent="0.25">
      <c r="A194" s="10" t="s">
        <v>254</v>
      </c>
      <c r="B194" s="229" t="s">
        <v>11</v>
      </c>
      <c r="C194" s="10"/>
      <c r="D194" s="14"/>
      <c r="E194" s="157"/>
      <c r="F194" s="10"/>
      <c r="G194" s="17"/>
      <c r="H194" s="10"/>
      <c r="I194" s="17"/>
      <c r="J194" s="83"/>
      <c r="K194" s="343"/>
      <c r="L194" s="347"/>
      <c r="M194" s="10" t="s">
        <v>117</v>
      </c>
      <c r="N194" s="88" t="s">
        <v>111</v>
      </c>
      <c r="O194" s="22">
        <v>4.5</v>
      </c>
      <c r="P194" s="36" t="s">
        <v>124</v>
      </c>
      <c r="Q194" s="83" t="str">
        <f>IF(
  TRIM(Enginuity!$A$21)="1'H X ?'W X Qty Panel Top Hung (Casement Profile)",
  Enginuity!$B$13,
  ""
)</f>
        <v/>
      </c>
      <c r="U194" s="104" t="str">
        <f>IF(
  AND(
    TRIM(A194)=TRIM(Enginuity!$A$1),
    TRIM(B194)=TRIM(Enginuity!$A$17),
    Q194&lt;&gt;"",
    Q194&lt;&gt;0,
    OR(
      TRIM(C194)=TRIM(Enginuity!$A$18),
      AND(UPPER(TRIM(M194))="STD", TRIM(B194)=TRIM(Enginuity!$A$17))
    ),
    OR(
      AND(LEFT(P194,5)="1-Way", Enginuity!$B$13=1),
      AND(LEFT(P194,5)="2-Way", OR(Enginuity!$B$13=2, Enginuity!$B$13=4)),
      AND(LEFT(P194,5)="3-Way", OR(Enginuity!$B$13=3, Enginuity!$B$13=6)),
      AND(P194="Inner Centre Jamb", OR(Enginuity!$B$13=4, Enginuity!$B$13=6)),
      AND(
        LEFT(P194,5)&lt;&gt;"1-Way",
        LEFT(P194,5)&lt;&gt;"2-Way",
        LEFT(P194,5)&lt;&gt;"3-Way",
        P194&lt;&gt;"Inner Centre Jamb"
      )
    ),
    IF(OR(Enginuity!$A$1="Frameless Glass",Enginuity!$A$1="Metal Work"),
      AND(TRIM(B194)=TRIM(Enginuity!$A$17),TRIM(C194)=TRIM(Enginuity!$A$18)),
      TRIM(B194)=TRIM(Enginuity!$A$17)
    )
  ),
  ROW(),
  ""
)</f>
        <v/>
      </c>
      <c r="AZ194" s="5"/>
      <c r="BA194" t="s">
        <v>1080</v>
      </c>
      <c r="BB194" s="5">
        <v>11.5</v>
      </c>
    </row>
    <row r="195" spans="1:54" x14ac:dyDescent="0.25">
      <c r="A195" s="10" t="s">
        <v>254</v>
      </c>
      <c r="B195" s="229" t="s">
        <v>11</v>
      </c>
      <c r="C195" s="10"/>
      <c r="D195" s="14"/>
      <c r="E195" s="157"/>
      <c r="F195" s="10"/>
      <c r="G195" s="17"/>
      <c r="H195" s="10"/>
      <c r="I195" s="17"/>
      <c r="J195" s="83"/>
      <c r="K195" s="343"/>
      <c r="L195" s="347"/>
      <c r="M195" s="10" t="s">
        <v>117</v>
      </c>
      <c r="N195" s="10" t="s">
        <v>112</v>
      </c>
      <c r="O195" s="22">
        <v>11</v>
      </c>
      <c r="P195" s="14" t="s">
        <v>291</v>
      </c>
      <c r="Q195" s="83">
        <f>Enginuity!$B$13</f>
        <v>7</v>
      </c>
      <c r="U195" s="104" t="str">
        <f>IF(
  AND(
    TRIM(A195)=TRIM(Enginuity!$A$1),
    TRIM(B195)=TRIM(Enginuity!$A$17),
    Q195&lt;&gt;"",
    Q195&lt;&gt;0,
    OR(
      TRIM(C195)=TRIM(Enginuity!$A$18),
      AND(UPPER(TRIM(M195))="STD", TRIM(B195)=TRIM(Enginuity!$A$17))
    ),
    OR(
      AND(LEFT(P195,5)="1-Way", Enginuity!$B$13=1),
      AND(LEFT(P195,5)="2-Way", OR(Enginuity!$B$13=2, Enginuity!$B$13=4)),
      AND(LEFT(P195,5)="3-Way", OR(Enginuity!$B$13=3, Enginuity!$B$13=6)),
      AND(P195="Inner Centre Jamb", OR(Enginuity!$B$13=4, Enginuity!$B$13=6)),
      AND(
        LEFT(P195,5)&lt;&gt;"1-Way",
        LEFT(P195,5)&lt;&gt;"2-Way",
        LEFT(P195,5)&lt;&gt;"3-Way",
        P195&lt;&gt;"Inner Centre Jamb"
      )
    ),
    IF(OR(Enginuity!$A$1="Frameless Glass",Enginuity!$A$1="Metal Work"),
      AND(TRIM(B195)=TRIM(Enginuity!$A$17),TRIM(C195)=TRIM(Enginuity!$A$18)),
      TRIM(B195)=TRIM(Enginuity!$A$17)
    )
  ),
  ROW(),
  ""
)</f>
        <v/>
      </c>
      <c r="AZ195" s="5"/>
      <c r="BA195" t="s">
        <v>1039</v>
      </c>
      <c r="BB195" s="5">
        <v>5.7</v>
      </c>
    </row>
    <row r="196" spans="1:54" x14ac:dyDescent="0.25">
      <c r="A196" s="10" t="s">
        <v>254</v>
      </c>
      <c r="B196" s="229" t="s">
        <v>11</v>
      </c>
      <c r="C196" s="10"/>
      <c r="D196" s="14"/>
      <c r="E196" s="157"/>
      <c r="F196" s="10"/>
      <c r="G196" s="17"/>
      <c r="H196" s="10"/>
      <c r="I196" s="17"/>
      <c r="J196" s="83"/>
      <c r="K196" s="343"/>
      <c r="L196" s="347"/>
      <c r="M196" s="10" t="s">
        <v>117</v>
      </c>
      <c r="N196" s="88" t="s">
        <v>112</v>
      </c>
      <c r="O196" s="22">
        <v>0.7</v>
      </c>
      <c r="P196" s="14" t="s">
        <v>122</v>
      </c>
      <c r="Q196" s="83">
        <f>Enginuity!$B$13*4</f>
        <v>28</v>
      </c>
      <c r="U196" s="104" t="str">
        <f>IF(
  AND(
    TRIM(A196)=TRIM(Enginuity!$A$1),
    TRIM(B196)=TRIM(Enginuity!$A$17),
    Q196&lt;&gt;"",
    Q196&lt;&gt;0,
    OR(
      TRIM(C196)=TRIM(Enginuity!$A$18),
      AND(UPPER(TRIM(M196))="STD", TRIM(B196)=TRIM(Enginuity!$A$17))
    ),
    OR(
      AND(LEFT(P196,5)="1-Way", Enginuity!$B$13=1),
      AND(LEFT(P196,5)="2-Way", OR(Enginuity!$B$13=2, Enginuity!$B$13=4)),
      AND(LEFT(P196,5)="3-Way", OR(Enginuity!$B$13=3, Enginuity!$B$13=6)),
      AND(P196="Inner Centre Jamb", OR(Enginuity!$B$13=4, Enginuity!$B$13=6)),
      AND(
        LEFT(P196,5)&lt;&gt;"1-Way",
        LEFT(P196,5)&lt;&gt;"2-Way",
        LEFT(P196,5)&lt;&gt;"3-Way",
        P196&lt;&gt;"Inner Centre Jamb"
      )
    ),
    IF(OR(Enginuity!$A$1="Frameless Glass",Enginuity!$A$1="Metal Work"),
      AND(TRIM(B196)=TRIM(Enginuity!$A$17),TRIM(C196)=TRIM(Enginuity!$A$18)),
      TRIM(B196)=TRIM(Enginuity!$A$17)
    )
  ),
  ROW(),
  ""
)</f>
        <v/>
      </c>
      <c r="AZ196" s="5"/>
      <c r="BA196" t="s">
        <v>1081</v>
      </c>
      <c r="BB196" s="5">
        <v>7</v>
      </c>
    </row>
    <row r="197" spans="1:54" x14ac:dyDescent="0.25">
      <c r="A197" s="17" t="s">
        <v>254</v>
      </c>
      <c r="B197" s="230" t="s">
        <v>11</v>
      </c>
      <c r="C197" s="17"/>
      <c r="D197" s="18"/>
      <c r="E197" s="238"/>
      <c r="F197" s="17"/>
      <c r="G197" s="17"/>
      <c r="H197" s="10"/>
      <c r="I197" s="17"/>
      <c r="J197" s="83"/>
      <c r="K197" s="343"/>
      <c r="L197" s="347"/>
      <c r="M197" s="17" t="s">
        <v>117</v>
      </c>
      <c r="N197" s="91" t="s">
        <v>112</v>
      </c>
      <c r="O197" s="25">
        <v>1.5</v>
      </c>
      <c r="P197" s="18" t="s">
        <v>140</v>
      </c>
      <c r="Q197" s="84">
        <f>Enginuity!$B$13*2</f>
        <v>14</v>
      </c>
      <c r="U197" s="104" t="str">
        <f>IF(
  AND(
    TRIM(A197)=TRIM(Enginuity!$A$1),
    TRIM(B197)=TRIM(Enginuity!$A$17),
    Q197&lt;&gt;"",
    Q197&lt;&gt;0,
    OR(
      TRIM(C197)=TRIM(Enginuity!$A$18),
      AND(UPPER(TRIM(M197))="STD", TRIM(B197)=TRIM(Enginuity!$A$17))
    ),
    OR(
      AND(LEFT(P197,5)="1-Way", Enginuity!$B$13=1),
      AND(LEFT(P197,5)="2-Way", OR(Enginuity!$B$13=2, Enginuity!$B$13=4)),
      AND(LEFT(P197,5)="3-Way", OR(Enginuity!$B$13=3, Enginuity!$B$13=6)),
      AND(P197="Inner Centre Jamb", OR(Enginuity!$B$13=4, Enginuity!$B$13=6)),
      AND(
        LEFT(P197,5)&lt;&gt;"1-Way",
        LEFT(P197,5)&lt;&gt;"2-Way",
        LEFT(P197,5)&lt;&gt;"3-Way",
        P197&lt;&gt;"Inner Centre Jamb"
      )
    ),
    IF(OR(Enginuity!$A$1="Frameless Glass",Enginuity!$A$1="Metal Work"),
      AND(TRIM(B197)=TRIM(Enginuity!$A$17),TRIM(C197)=TRIM(Enginuity!$A$18)),
      TRIM(B197)=TRIM(Enginuity!$A$17)
    )
  ),
  ROW(),
  ""
)</f>
        <v/>
      </c>
      <c r="AZ197" s="5"/>
      <c r="BA197" t="s">
        <v>1040</v>
      </c>
      <c r="BB197" s="5">
        <v>7.6</v>
      </c>
    </row>
    <row r="198" spans="1:54" x14ac:dyDescent="0.25">
      <c r="A198" s="10" t="s">
        <v>254</v>
      </c>
      <c r="B198" s="229" t="s">
        <v>91</v>
      </c>
      <c r="C198" s="10" t="s">
        <v>107</v>
      </c>
      <c r="D198" s="14" t="str" cm="1">
        <f t="array" ref="D198:D207">IFERROR(INDEX(_xlfn._xlws.FILTER(AllMaterialsbak!$BA$2:$BA$30, AllMaterialsbak!$BA$2:$BA$30&lt;&gt;""), _xlfn.SEQUENCE(10)), "")</f>
        <v>Default</v>
      </c>
      <c r="E198" s="157" t="s">
        <v>257</v>
      </c>
      <c r="F198" s="14" t="s">
        <v>352</v>
      </c>
      <c r="G198" s="17" t="s">
        <v>9</v>
      </c>
      <c r="H198" s="10"/>
      <c r="I198" s="17"/>
      <c r="J198" s="83"/>
      <c r="K198" s="344">
        <v>0.52204600000000001</v>
      </c>
      <c r="L198" s="347">
        <v>914.4</v>
      </c>
      <c r="M198" s="89">
        <v>1</v>
      </c>
      <c r="N198" s="10" t="s">
        <v>103</v>
      </c>
      <c r="O198" s="22">
        <v>4.7</v>
      </c>
      <c r="P198" s="14" t="s">
        <v>278</v>
      </c>
      <c r="Q198" s="83">
        <f>Enginuity!$B$6*2</f>
        <v>40</v>
      </c>
      <c r="U198" s="104" t="str">
        <f>IF(
  AND(
    TRIM(A198)=TRIM(Enginuity!$A$1),
    TRIM(B198)=TRIM(Enginuity!$A$17),
    Q198&lt;&gt;"",
    Q198&lt;&gt;0,
    OR(
      TRIM(C198)=TRIM(Enginuity!$A$18),
      AND(UPPER(TRIM(M198))="STD", TRIM(B198)=TRIM(Enginuity!$A$17))
    ),
    OR(
      AND(LEFT(P198,5)="1-Way", Enginuity!$B$13=1),
      AND(LEFT(P198,5)="2-Way", OR(Enginuity!$B$13=2, Enginuity!$B$13=4)),
      AND(LEFT(P198,5)="3-Way", OR(Enginuity!$B$13=3, Enginuity!$B$13=6)),
      AND(P198="Inner Centre Jamb", OR(Enginuity!$B$13=4, Enginuity!$B$13=6)),
      AND(
        LEFT(P198,5)&lt;&gt;"1-Way",
        LEFT(P198,5)&lt;&gt;"2-Way",
        LEFT(P198,5)&lt;&gt;"3-Way",
        P198&lt;&gt;"Inner Centre Jamb"
      )
    ),
    IF(OR(Enginuity!$A$1="Frameless Glass",Enginuity!$A$1="Metal Work"),
      AND(TRIM(B198)=TRIM(Enginuity!$A$17),TRIM(C198)=TRIM(Enginuity!$A$18)),
      TRIM(B198)=TRIM(Enginuity!$A$17)
    )
  ),
  ROW(),
  ""
)</f>
        <v/>
      </c>
      <c r="AZ198" s="5"/>
      <c r="BA198" t="s">
        <v>1082</v>
      </c>
      <c r="BB198" s="5">
        <v>8.4</v>
      </c>
    </row>
    <row r="199" spans="1:54" x14ac:dyDescent="0.25">
      <c r="A199" s="10" t="s">
        <v>254</v>
      </c>
      <c r="B199" s="229" t="s">
        <v>91</v>
      </c>
      <c r="C199" s="10" t="s">
        <v>107</v>
      </c>
      <c r="D199" s="14" t="str">
        <v xml:space="preserve">2" Louver Blade N/A </v>
      </c>
      <c r="E199" s="157" t="s">
        <v>269</v>
      </c>
      <c r="F199" s="14" t="s">
        <v>356</v>
      </c>
      <c r="G199" s="17"/>
      <c r="H199" s="10"/>
      <c r="I199" s="17"/>
      <c r="J199" s="83"/>
      <c r="K199" s="343"/>
      <c r="L199" s="347"/>
      <c r="M199" s="89">
        <v>2</v>
      </c>
      <c r="N199" s="10" t="s">
        <v>103</v>
      </c>
      <c r="O199" s="22">
        <v>6.6</v>
      </c>
      <c r="P199" s="14" t="s">
        <v>286</v>
      </c>
      <c r="Q199" s="83">
        <f>IF(Enginuity!$B$7&gt;0, 2 * Enginuity!$B$7, "")</f>
        <v>26</v>
      </c>
      <c r="U199" s="104" t="str">
        <f>IF(
  AND(
    TRIM(A199)=TRIM(Enginuity!$A$1),
    TRIM(B199)=TRIM(Enginuity!$A$17),
    Q199&lt;&gt;"",
    Q199&lt;&gt;0,
    OR(
      TRIM(C199)=TRIM(Enginuity!$A$18),
      AND(UPPER(TRIM(M199))="STD", TRIM(B199)=TRIM(Enginuity!$A$17))
    ),
    OR(
      AND(LEFT(P199,5)="1-Way", Enginuity!$B$13=1),
      AND(LEFT(P199,5)="2-Way", OR(Enginuity!$B$13=2, Enginuity!$B$13=4)),
      AND(LEFT(P199,5)="3-Way", OR(Enginuity!$B$13=3, Enginuity!$B$13=6)),
      AND(P199="Inner Centre Jamb", OR(Enginuity!$B$13=4, Enginuity!$B$13=6)),
      AND(
        LEFT(P199,5)&lt;&gt;"1-Way",
        LEFT(P199,5)&lt;&gt;"2-Way",
        LEFT(P199,5)&lt;&gt;"3-Way",
        P199&lt;&gt;"Inner Centre Jamb"
      )
    ),
    IF(OR(Enginuity!$A$1="Frameless Glass",Enginuity!$A$1="Metal Work"),
      AND(TRIM(B199)=TRIM(Enginuity!$A$17),TRIM(C199)=TRIM(Enginuity!$A$18)),
      TRIM(B199)=TRIM(Enginuity!$A$17)
    )
  ),
  ROW(),
  ""
)</f>
        <v/>
      </c>
      <c r="AZ199" s="5"/>
      <c r="BA199" t="s">
        <v>1041</v>
      </c>
      <c r="BB199" s="5">
        <v>6.2</v>
      </c>
    </row>
    <row r="200" spans="1:54" x14ac:dyDescent="0.25">
      <c r="A200" s="10" t="s">
        <v>254</v>
      </c>
      <c r="B200" s="229" t="s">
        <v>91</v>
      </c>
      <c r="C200" s="10" t="s">
        <v>107</v>
      </c>
      <c r="D200" s="14" t="str">
        <v>2" Louver Blade P/C</v>
      </c>
      <c r="E200" s="157"/>
      <c r="F200" s="10"/>
      <c r="G200" s="17"/>
      <c r="H200" s="10"/>
      <c r="I200" s="17"/>
      <c r="J200" s="83"/>
      <c r="K200" s="343"/>
      <c r="L200" s="347"/>
      <c r="M200" s="89">
        <v>3</v>
      </c>
      <c r="N200" s="10" t="s">
        <v>103</v>
      </c>
      <c r="O200" s="22">
        <v>9.4</v>
      </c>
      <c r="P200" s="14" t="s">
        <v>281</v>
      </c>
      <c r="Q200" s="98">
        <f>Enginuity!$B$6</f>
        <v>20</v>
      </c>
      <c r="U200" s="104" t="str">
        <f>IF(
  AND(
    TRIM(A200)=TRIM(Enginuity!$A$1),
    TRIM(B200)=TRIM(Enginuity!$A$17),
    Q200&lt;&gt;"",
    Q200&lt;&gt;0,
    OR(
      TRIM(C200)=TRIM(Enginuity!$A$18),
      AND(UPPER(TRIM(M200))="STD", TRIM(B200)=TRIM(Enginuity!$A$17))
    ),
    OR(
      AND(LEFT(P200,5)="1-Way", Enginuity!$B$13=1),
      AND(LEFT(P200,5)="2-Way", OR(Enginuity!$B$13=2, Enginuity!$B$13=4)),
      AND(LEFT(P200,5)="3-Way", OR(Enginuity!$B$13=3, Enginuity!$B$13=6)),
      AND(P200="Inner Centre Jamb", OR(Enginuity!$B$13=4, Enginuity!$B$13=6)),
      AND(
        LEFT(P200,5)&lt;&gt;"1-Way",
        LEFT(P200,5)&lt;&gt;"2-Way",
        LEFT(P200,5)&lt;&gt;"3-Way",
        P200&lt;&gt;"Inner Centre Jamb"
      )
    ),
    IF(OR(Enginuity!$A$1="Frameless Glass",Enginuity!$A$1="Metal Work"),
      AND(TRIM(B200)=TRIM(Enginuity!$A$17),TRIM(C200)=TRIM(Enginuity!$A$18)),
      TRIM(B200)=TRIM(Enginuity!$A$17)
    )
  ),
  ROW(),
  ""
)</f>
        <v/>
      </c>
      <c r="AZ200" s="5"/>
      <c r="BA200" t="s">
        <v>1083</v>
      </c>
      <c r="BB200" s="5">
        <v>7.5</v>
      </c>
    </row>
    <row r="201" spans="1:54" x14ac:dyDescent="0.25">
      <c r="A201" s="10" t="s">
        <v>254</v>
      </c>
      <c r="B201" s="229" t="s">
        <v>91</v>
      </c>
      <c r="C201" s="10" t="s">
        <v>107</v>
      </c>
      <c r="D201" s="14" t="str">
        <v xml:space="preserve">5" Louver Blade N/A </v>
      </c>
      <c r="E201" s="157"/>
      <c r="F201" s="10"/>
      <c r="G201" s="17"/>
      <c r="H201" s="10"/>
      <c r="I201" s="17"/>
      <c r="J201" s="83"/>
      <c r="K201" s="343"/>
      <c r="L201" s="347"/>
      <c r="M201" s="89">
        <v>4</v>
      </c>
      <c r="N201" s="10" t="s">
        <v>103</v>
      </c>
      <c r="O201" s="22">
        <v>6.6</v>
      </c>
      <c r="P201" s="14" t="s">
        <v>287</v>
      </c>
      <c r="Q201" s="83">
        <f>IF(Enginuity!$B$7&gt;0, 2 * Enginuity!$B$7, "")</f>
        <v>26</v>
      </c>
      <c r="U201" s="104" t="str">
        <f>IF(
  AND(
    TRIM(A201)=TRIM(Enginuity!$A$1),
    TRIM(B201)=TRIM(Enginuity!$A$17),
    Q201&lt;&gt;"",
    Q201&lt;&gt;0,
    OR(
      TRIM(C201)=TRIM(Enginuity!$A$18),
      AND(UPPER(TRIM(M201))="STD", TRIM(B201)=TRIM(Enginuity!$A$17))
    ),
    OR(
      AND(LEFT(P201,5)="1-Way", Enginuity!$B$13=1),
      AND(LEFT(P201,5)="2-Way", OR(Enginuity!$B$13=2, Enginuity!$B$13=4)),
      AND(LEFT(P201,5)="3-Way", OR(Enginuity!$B$13=3, Enginuity!$B$13=6)),
      AND(P201="Inner Centre Jamb", OR(Enginuity!$B$13=4, Enginuity!$B$13=6)),
      AND(
        LEFT(P201,5)&lt;&gt;"1-Way",
        LEFT(P201,5)&lt;&gt;"2-Way",
        LEFT(P201,5)&lt;&gt;"3-Way",
        P201&lt;&gt;"Inner Centre Jamb"
      )
    ),
    IF(OR(Enginuity!$A$1="Frameless Glass",Enginuity!$A$1="Metal Work"),
      AND(TRIM(B201)=TRIM(Enginuity!$A$17),TRIM(C201)=TRIM(Enginuity!$A$18)),
      TRIM(B201)=TRIM(Enginuity!$A$17)
    )
  ),
  ROW(),
  ""
)</f>
        <v/>
      </c>
      <c r="AZ201" s="5"/>
      <c r="BA201" t="s">
        <v>1084</v>
      </c>
      <c r="BB201" s="5">
        <v>13</v>
      </c>
    </row>
    <row r="202" spans="1:54" x14ac:dyDescent="0.25">
      <c r="A202" s="10" t="s">
        <v>254</v>
      </c>
      <c r="B202" s="229" t="s">
        <v>91</v>
      </c>
      <c r="C202" s="10" t="s">
        <v>107</v>
      </c>
      <c r="D202" s="14" t="str">
        <v>5" Louver Blade P/C</v>
      </c>
      <c r="E202" s="157"/>
      <c r="F202" s="10"/>
      <c r="G202" s="17"/>
      <c r="H202" s="10"/>
      <c r="I202" s="17"/>
      <c r="J202" s="83"/>
      <c r="K202" s="343"/>
      <c r="L202" s="347"/>
      <c r="M202" s="89">
        <v>5</v>
      </c>
      <c r="N202" s="10" t="s">
        <v>103</v>
      </c>
      <c r="O202" s="22">
        <v>2.87</v>
      </c>
      <c r="P202" s="14" t="s">
        <v>292</v>
      </c>
      <c r="Q202" s="83">
        <f>Enginuity!$B$6*4</f>
        <v>80</v>
      </c>
      <c r="U202" s="104" t="str">
        <f>IF(
  AND(
    TRIM(A202)=TRIM(Enginuity!$A$1),
    TRIM(B202)=TRIM(Enginuity!$A$17),
    Q202&lt;&gt;"",
    Q202&lt;&gt;0,
    OR(
      TRIM(C202)=TRIM(Enginuity!$A$18),
      AND(UPPER(TRIM(M202))="STD", TRIM(B202)=TRIM(Enginuity!$A$17))
    ),
    OR(
      AND(LEFT(P202,5)="1-Way", Enginuity!$B$13=1),
      AND(LEFT(P202,5)="2-Way", OR(Enginuity!$B$13=2, Enginuity!$B$13=4)),
      AND(LEFT(P202,5)="3-Way", OR(Enginuity!$B$13=3, Enginuity!$B$13=6)),
      AND(P202="Inner Centre Jamb", OR(Enginuity!$B$13=4, Enginuity!$B$13=6)),
      AND(
        LEFT(P202,5)&lt;&gt;"1-Way",
        LEFT(P202,5)&lt;&gt;"2-Way",
        LEFT(P202,5)&lt;&gt;"3-Way",
        P202&lt;&gt;"Inner Centre Jamb"
      )
    ),
    IF(OR(Enginuity!$A$1="Frameless Glass",Enginuity!$A$1="Metal Work"),
      AND(TRIM(B202)=TRIM(Enginuity!$A$17),TRIM(C202)=TRIM(Enginuity!$A$18)),
      TRIM(B202)=TRIM(Enginuity!$A$17)
    )
  ),
  ROW(),
  ""
)</f>
        <v/>
      </c>
      <c r="AZ202" s="5"/>
      <c r="BA202" t="s">
        <v>1085</v>
      </c>
      <c r="BB202" s="5">
        <v>13.5</v>
      </c>
    </row>
    <row r="203" spans="1:54" x14ac:dyDescent="0.25">
      <c r="A203" s="10" t="s">
        <v>254</v>
      </c>
      <c r="B203" s="229" t="s">
        <v>91</v>
      </c>
      <c r="C203" s="10" t="s">
        <v>107</v>
      </c>
      <c r="D203" s="14" t="str">
        <v/>
      </c>
      <c r="E203" s="157"/>
      <c r="F203" s="10"/>
      <c r="G203" s="17"/>
      <c r="H203" s="10"/>
      <c r="I203" s="17"/>
      <c r="J203" s="83"/>
      <c r="K203" s="343"/>
      <c r="L203" s="347"/>
      <c r="M203" s="89">
        <v>6</v>
      </c>
      <c r="N203" s="10" t="s">
        <v>103</v>
      </c>
      <c r="O203" s="22">
        <v>4.7</v>
      </c>
      <c r="P203" s="86" t="str">
        <f>$P$3</f>
        <v>Inner Frame</v>
      </c>
      <c r="Q203" s="83">
        <f>$Q$3</f>
        <v>222</v>
      </c>
      <c r="U203" s="104" t="str">
        <f>IF(
  AND(
    TRIM(A203)=TRIM(Enginuity!$A$1),
    TRIM(B203)=TRIM(Enginuity!$A$17),
    Q203&lt;&gt;"",
    Q203&lt;&gt;0,
    OR(
      TRIM(C203)=TRIM(Enginuity!$A$18),
      AND(UPPER(TRIM(M203))="STD", TRIM(B203)=TRIM(Enginuity!$A$17))
    ),
    OR(
      AND(LEFT(P203,5)="1-Way", Enginuity!$B$13=1),
      AND(LEFT(P203,5)="2-Way", OR(Enginuity!$B$13=2, Enginuity!$B$13=4)),
      AND(LEFT(P203,5)="3-Way", OR(Enginuity!$B$13=3, Enginuity!$B$13=6)),
      AND(P203="Inner Centre Jamb", OR(Enginuity!$B$13=4, Enginuity!$B$13=6)),
      AND(
        LEFT(P203,5)&lt;&gt;"1-Way",
        LEFT(P203,5)&lt;&gt;"2-Way",
        LEFT(P203,5)&lt;&gt;"3-Way",
        P203&lt;&gt;"Inner Centre Jamb"
      )
    ),
    IF(OR(Enginuity!$A$1="Frameless Glass",Enginuity!$A$1="Metal Work"),
      AND(TRIM(B203)=TRIM(Enginuity!$A$17),TRIM(C203)=TRIM(Enginuity!$A$18)),
      TRIM(B203)=TRIM(Enginuity!$A$17)
    )
  ),
  ROW(),
  ""
)</f>
        <v/>
      </c>
      <c r="AZ203" s="5"/>
      <c r="BA203" t="s">
        <v>1086</v>
      </c>
      <c r="BB203" s="5">
        <v>15</v>
      </c>
    </row>
    <row r="204" spans="1:54" x14ac:dyDescent="0.25">
      <c r="A204" s="10" t="s">
        <v>254</v>
      </c>
      <c r="B204" s="229" t="s">
        <v>91</v>
      </c>
      <c r="C204" s="10" t="s">
        <v>107</v>
      </c>
      <c r="D204" s="14" t="str">
        <v/>
      </c>
      <c r="E204" s="157"/>
      <c r="F204" s="10"/>
      <c r="G204" s="17"/>
      <c r="H204" s="10"/>
      <c r="I204" s="17"/>
      <c r="J204" s="83"/>
      <c r="K204" s="343"/>
      <c r="L204" s="347"/>
      <c r="M204" s="89">
        <v>7</v>
      </c>
      <c r="N204" s="10" t="s">
        <v>103</v>
      </c>
      <c r="O204" s="22">
        <v>1.08</v>
      </c>
      <c r="P204" s="14" t="s">
        <v>109</v>
      </c>
      <c r="Q204" s="83">
        <f>IF(Enginuity!$B$7&gt;0, Enginuity!$B$7*2, "")</f>
        <v>26</v>
      </c>
      <c r="U204" s="104" t="str">
        <f>IF(
  AND(
    TRIM(A204)=TRIM(Enginuity!$A$1),
    TRIM(B204)=TRIM(Enginuity!$A$17),
    Q204&lt;&gt;"",
    Q204&lt;&gt;0,
    OR(
      TRIM(C204)=TRIM(Enginuity!$A$18),
      AND(UPPER(TRIM(M204))="STD", TRIM(B204)=TRIM(Enginuity!$A$17))
    ),
    OR(
      AND(LEFT(P204,5)="1-Way", Enginuity!$B$13=1),
      AND(LEFT(P204,5)="2-Way", OR(Enginuity!$B$13=2, Enginuity!$B$13=4)),
      AND(LEFT(P204,5)="3-Way", OR(Enginuity!$B$13=3, Enginuity!$B$13=6)),
      AND(P204="Inner Centre Jamb", OR(Enginuity!$B$13=4, Enginuity!$B$13=6)),
      AND(
        LEFT(P204,5)&lt;&gt;"1-Way",
        LEFT(P204,5)&lt;&gt;"2-Way",
        LEFT(P204,5)&lt;&gt;"3-Way",
        P204&lt;&gt;"Inner Centre Jamb"
      )
    ),
    IF(OR(Enginuity!$A$1="Frameless Glass",Enginuity!$A$1="Metal Work"),
      AND(TRIM(B204)=TRIM(Enginuity!$A$17),TRIM(C204)=TRIM(Enginuity!$A$18)),
      TRIM(B204)=TRIM(Enginuity!$A$17)
    )
  ),
  ROW(),
  ""
)</f>
        <v/>
      </c>
      <c r="AX204" s="5"/>
      <c r="AZ204" s="5"/>
      <c r="BA204" t="s">
        <v>1087</v>
      </c>
      <c r="BB204" s="5">
        <v>15.5</v>
      </c>
    </row>
    <row r="205" spans="1:54" x14ac:dyDescent="0.25">
      <c r="A205" s="10" t="s">
        <v>254</v>
      </c>
      <c r="B205" s="229" t="s">
        <v>91</v>
      </c>
      <c r="C205" s="10" t="s">
        <v>107</v>
      </c>
      <c r="D205" s="14" t="str">
        <v/>
      </c>
      <c r="E205" s="157"/>
      <c r="F205" s="10"/>
      <c r="G205" s="17"/>
      <c r="H205" s="10"/>
      <c r="I205" s="17"/>
      <c r="J205" s="83"/>
      <c r="K205" s="343"/>
      <c r="L205" s="347"/>
      <c r="M205" s="89">
        <v>8</v>
      </c>
      <c r="N205" s="10" t="s">
        <v>176</v>
      </c>
      <c r="O205" s="22" t="str">
        <f>IF(Enginuity!$A$20="", "",
 IF(Enginuity!$A$20="Lattice Design", $F$9,
 IF(Enginuity!$A$20="Lattice Design 12 Box / Panel", $F$10,
 ""))
)</f>
        <v/>
      </c>
      <c r="P205" s="5" t="str">
        <f>Enginuity!$A$20</f>
        <v>Z-Louvre Blade - 5"</v>
      </c>
      <c r="Q205" s="22" t="str">
        <f>IF(O205&lt;&gt;"",1,"")</f>
        <v/>
      </c>
      <c r="U205" s="104" t="str">
        <f>IF(
  AND(
    TRIM(A205)=TRIM(Enginuity!$A$1),
    TRIM(B205)=TRIM(Enginuity!$A$17),
    Q205&lt;&gt;"",
    Q205&lt;&gt;0,
    OR(
      TRIM(C205)=TRIM(Enginuity!$A$18),
      AND(UPPER(TRIM(M205))="STD", TRIM(B205)=TRIM(Enginuity!$A$17))
    ),
    OR(
      AND(LEFT(P205,5)="1-Way", Enginuity!$B$13=1),
      AND(LEFT(P205,5)="2-Way", OR(Enginuity!$B$13=2, Enginuity!$B$13=4)),
      AND(LEFT(P205,5)="3-Way", OR(Enginuity!$B$13=3, Enginuity!$B$13=6)),
      AND(P205="Inner Centre Jamb", OR(Enginuity!$B$13=4, Enginuity!$B$13=6)),
      AND(
        LEFT(P205,5)&lt;&gt;"1-Way",
        LEFT(P205,5)&lt;&gt;"2-Way",
        LEFT(P205,5)&lt;&gt;"3-Way",
        P205&lt;&gt;"Inner Centre Jamb"
      )
    ),
    IF(OR(Enginuity!$A$1="Frameless Glass",Enginuity!$A$1="Metal Work"),
      AND(TRIM(B205)=TRIM(Enginuity!$A$17),TRIM(C205)=TRIM(Enginuity!$A$18)),
      TRIM(B205)=TRIM(Enginuity!$A$17)
    )
  ),
  ROW(),
  ""
)</f>
        <v/>
      </c>
      <c r="AX205" s="5"/>
      <c r="AZ205" s="5"/>
      <c r="BA205" t="s">
        <v>1088</v>
      </c>
      <c r="BB205" s="5">
        <v>16</v>
      </c>
    </row>
    <row r="206" spans="1:54" x14ac:dyDescent="0.25">
      <c r="A206" s="10" t="s">
        <v>254</v>
      </c>
      <c r="B206" s="229" t="s">
        <v>91</v>
      </c>
      <c r="C206" s="10" t="s">
        <v>107</v>
      </c>
      <c r="D206" s="14" t="str">
        <v/>
      </c>
      <c r="E206" s="157"/>
      <c r="F206" s="10"/>
      <c r="G206" s="17"/>
      <c r="H206" s="10"/>
      <c r="I206" s="17"/>
      <c r="J206" s="83"/>
      <c r="K206" s="343"/>
      <c r="L206" s="347"/>
      <c r="M206" s="89">
        <v>9</v>
      </c>
      <c r="N206" s="10"/>
      <c r="O206" s="22"/>
      <c r="P206" s="14"/>
      <c r="Q206" s="83"/>
      <c r="U206" s="104" t="str">
        <f>IF(
  AND(
    TRIM(A206)=TRIM(Enginuity!$A$1),
    TRIM(B206)=TRIM(Enginuity!$A$17),
    Q206&lt;&gt;"",
    Q206&lt;&gt;0,
    OR(
      TRIM(C206)=TRIM(Enginuity!$A$18),
      AND(UPPER(TRIM(M206))="STD", TRIM(B206)=TRIM(Enginuity!$A$17))
    ),
    OR(
      AND(LEFT(P206,5)="1-Way", Enginuity!$B$13=1),
      AND(LEFT(P206,5)="2-Way", OR(Enginuity!$B$13=2, Enginuity!$B$13=4)),
      AND(LEFT(P206,5)="3-Way", OR(Enginuity!$B$13=3, Enginuity!$B$13=6)),
      AND(P206="Inner Centre Jamb", OR(Enginuity!$B$13=4, Enginuity!$B$13=6)),
      AND(
        LEFT(P206,5)&lt;&gt;"1-Way",
        LEFT(P206,5)&lt;&gt;"2-Way",
        LEFT(P206,5)&lt;&gt;"3-Way",
        P206&lt;&gt;"Inner Centre Jamb"
      )
    ),
    IF(OR(Enginuity!$A$1="Frameless Glass",Enginuity!$A$1="Metal Work"),
      AND(TRIM(B206)=TRIM(Enginuity!$A$17),TRIM(C206)=TRIM(Enginuity!$A$18)),
      TRIM(B206)=TRIM(Enginuity!$A$17)
    )
  ),
  ROW(),
  ""
)</f>
        <v/>
      </c>
      <c r="AX206" s="5"/>
      <c r="AZ206" s="5"/>
      <c r="BA206" t="s">
        <v>1089</v>
      </c>
      <c r="BB206" s="5">
        <v>16.5</v>
      </c>
    </row>
    <row r="207" spans="1:54" x14ac:dyDescent="0.25">
      <c r="A207" s="10" t="s">
        <v>254</v>
      </c>
      <c r="B207" s="229" t="s">
        <v>91</v>
      </c>
      <c r="C207" s="10" t="s">
        <v>107</v>
      </c>
      <c r="D207" s="14" t="str">
        <v/>
      </c>
      <c r="E207" s="157"/>
      <c r="F207" s="10"/>
      <c r="G207" s="17"/>
      <c r="H207" s="10"/>
      <c r="I207" s="17"/>
      <c r="J207" s="83"/>
      <c r="K207" s="343"/>
      <c r="L207" s="347"/>
      <c r="M207" s="89">
        <v>10</v>
      </c>
      <c r="N207" s="10"/>
      <c r="O207" s="22"/>
      <c r="P207" s="14"/>
      <c r="Q207" s="83"/>
      <c r="U207" s="104" t="str">
        <f>IF(
  AND(
    TRIM(A207)=TRIM(Enginuity!$A$1),
    TRIM(B207)=TRIM(Enginuity!$A$17),
    Q207&lt;&gt;"",
    Q207&lt;&gt;0,
    OR(
      TRIM(C207)=TRIM(Enginuity!$A$18),
      AND(UPPER(TRIM(M207))="STD", TRIM(B207)=TRIM(Enginuity!$A$17))
    ),
    OR(
      AND(LEFT(P207,5)="1-Way", Enginuity!$B$13=1),
      AND(LEFT(P207,5)="2-Way", OR(Enginuity!$B$13=2, Enginuity!$B$13=4)),
      AND(LEFT(P207,5)="3-Way", OR(Enginuity!$B$13=3, Enginuity!$B$13=6)),
      AND(P207="Inner Centre Jamb", OR(Enginuity!$B$13=4, Enginuity!$B$13=6)),
      AND(
        LEFT(P207,5)&lt;&gt;"1-Way",
        LEFT(P207,5)&lt;&gt;"2-Way",
        LEFT(P207,5)&lt;&gt;"3-Way",
        P207&lt;&gt;"Inner Centre Jamb"
      )
    ),
    IF(OR(Enginuity!$A$1="Frameless Glass",Enginuity!$A$1="Metal Work"),
      AND(TRIM(B207)=TRIM(Enginuity!$A$17),TRIM(C207)=TRIM(Enginuity!$A$18)),
      TRIM(B207)=TRIM(Enginuity!$A$17)
    )
  ),
  ROW(),
  ""
)</f>
        <v/>
      </c>
      <c r="AX207" s="5"/>
      <c r="AZ207" s="5"/>
      <c r="BA207" t="s">
        <v>1042</v>
      </c>
      <c r="BB207" s="5">
        <v>4.5</v>
      </c>
    </row>
    <row r="208" spans="1:54" x14ac:dyDescent="0.25">
      <c r="A208" s="10" t="s">
        <v>254</v>
      </c>
      <c r="B208" s="229" t="s">
        <v>91</v>
      </c>
      <c r="C208" s="10" t="s">
        <v>107</v>
      </c>
      <c r="D208" s="14"/>
      <c r="E208" s="157"/>
      <c r="F208" s="10"/>
      <c r="G208" s="17"/>
      <c r="H208" s="10"/>
      <c r="I208" s="17"/>
      <c r="J208" s="83"/>
      <c r="K208" s="343"/>
      <c r="L208" s="347"/>
      <c r="M208" s="89">
        <v>11</v>
      </c>
      <c r="N208" s="10"/>
      <c r="O208" s="22"/>
      <c r="P208" s="14"/>
      <c r="Q208" s="83"/>
      <c r="U208" s="104" t="str">
        <f>IF(
  AND(
    TRIM(A208)=TRIM(Enginuity!$A$1),
    TRIM(B208)=TRIM(Enginuity!$A$17),
    Q208&lt;&gt;"",
    Q208&lt;&gt;0,
    OR(
      TRIM(C208)=TRIM(Enginuity!$A$18),
      AND(UPPER(TRIM(M208))="STD", TRIM(B208)=TRIM(Enginuity!$A$17))
    ),
    OR(
      AND(LEFT(P208,5)="1-Way", Enginuity!$B$13=1),
      AND(LEFT(P208,5)="2-Way", OR(Enginuity!$B$13=2, Enginuity!$B$13=4)),
      AND(LEFT(P208,5)="3-Way", OR(Enginuity!$B$13=3, Enginuity!$B$13=6)),
      AND(P208="Inner Centre Jamb", OR(Enginuity!$B$13=4, Enginuity!$B$13=6)),
      AND(
        LEFT(P208,5)&lt;&gt;"1-Way",
        LEFT(P208,5)&lt;&gt;"2-Way",
        LEFT(P208,5)&lt;&gt;"3-Way",
        P208&lt;&gt;"Inner Centre Jamb"
      )
    ),
    IF(OR(Enginuity!$A$1="Frameless Glass",Enginuity!$A$1="Metal Work"),
      AND(TRIM(B208)=TRIM(Enginuity!$A$17),TRIM(C208)=TRIM(Enginuity!$A$18)),
      TRIM(B208)=TRIM(Enginuity!$A$17)
    )
  ),
  ROW(),
  ""
)</f>
        <v/>
      </c>
      <c r="AZ208" s="5"/>
      <c r="BA208" t="s">
        <v>1090</v>
      </c>
      <c r="BB208" s="5">
        <v>6.5</v>
      </c>
    </row>
    <row r="209" spans="1:54" x14ac:dyDescent="0.25">
      <c r="A209" s="10" t="s">
        <v>254</v>
      </c>
      <c r="B209" s="229" t="s">
        <v>91</v>
      </c>
      <c r="C209" s="10" t="s">
        <v>107</v>
      </c>
      <c r="D209" s="14"/>
      <c r="E209" s="157"/>
      <c r="F209" s="10"/>
      <c r="G209" s="17"/>
      <c r="H209" s="10"/>
      <c r="I209" s="17"/>
      <c r="J209" s="83"/>
      <c r="K209" s="343"/>
      <c r="L209" s="347"/>
      <c r="M209" s="89">
        <v>12</v>
      </c>
      <c r="N209" s="10"/>
      <c r="O209" s="22"/>
      <c r="P209" s="14"/>
      <c r="Q209" s="83"/>
      <c r="U209" s="104" t="str">
        <f>IF(
  AND(
    TRIM(A209)=TRIM(Enginuity!$A$1),
    TRIM(B209)=TRIM(Enginuity!$A$17),
    Q209&lt;&gt;"",
    Q209&lt;&gt;0,
    OR(
      TRIM(C209)=TRIM(Enginuity!$A$18),
      AND(UPPER(TRIM(M209))="STD", TRIM(B209)=TRIM(Enginuity!$A$17))
    ),
    OR(
      AND(LEFT(P209,5)="1-Way", Enginuity!$B$13=1),
      AND(LEFT(P209,5)="2-Way", OR(Enginuity!$B$13=2, Enginuity!$B$13=4)),
      AND(LEFT(P209,5)="3-Way", OR(Enginuity!$B$13=3, Enginuity!$B$13=6)),
      AND(P209="Inner Centre Jamb", OR(Enginuity!$B$13=4, Enginuity!$B$13=6)),
      AND(
        LEFT(P209,5)&lt;&gt;"1-Way",
        LEFT(P209,5)&lt;&gt;"2-Way",
        LEFT(P209,5)&lt;&gt;"3-Way",
        P209&lt;&gt;"Inner Centre Jamb"
      )
    ),
    IF(OR(Enginuity!$A$1="Frameless Glass",Enginuity!$A$1="Metal Work"),
      AND(TRIM(B209)=TRIM(Enginuity!$A$17),TRIM(C209)=TRIM(Enginuity!$A$18)),
      TRIM(B209)=TRIM(Enginuity!$A$17)
    )
  ),
  ROW(),
  ""
)</f>
        <v/>
      </c>
      <c r="AZ209" s="5"/>
      <c r="BA209" t="s">
        <v>1091</v>
      </c>
      <c r="BB209" s="5">
        <v>6</v>
      </c>
    </row>
    <row r="210" spans="1:54" x14ac:dyDescent="0.25">
      <c r="A210" s="10" t="s">
        <v>254</v>
      </c>
      <c r="B210" s="229" t="s">
        <v>91</v>
      </c>
      <c r="C210" s="10" t="s">
        <v>107</v>
      </c>
      <c r="E210" s="240"/>
      <c r="F210" s="10"/>
      <c r="G210" s="17"/>
      <c r="H210" s="10"/>
      <c r="I210" s="17"/>
      <c r="J210" s="83"/>
      <c r="K210" s="343"/>
      <c r="L210" s="347"/>
      <c r="M210" s="89">
        <v>13</v>
      </c>
      <c r="N210" s="10"/>
      <c r="O210" s="22"/>
      <c r="P210" s="14"/>
      <c r="Q210" s="83"/>
      <c r="U210" s="104" t="str">
        <f>IF(
  AND(
    TRIM(A210)=TRIM(Enginuity!$A$1),
    TRIM(B210)=TRIM(Enginuity!$A$17),
    Q210&lt;&gt;"",
    Q210&lt;&gt;0,
    OR(
      TRIM(C210)=TRIM(Enginuity!$A$18),
      AND(UPPER(TRIM(M210))="STD", TRIM(B210)=TRIM(Enginuity!$A$17))
    ),
    OR(
      AND(LEFT(P210,5)="1-Way", Enginuity!$B$13=1),
      AND(LEFT(P210,5)="2-Way", OR(Enginuity!$B$13=2, Enginuity!$B$13=4)),
      AND(LEFT(P210,5)="3-Way", OR(Enginuity!$B$13=3, Enginuity!$B$13=6)),
      AND(P210="Inner Centre Jamb", OR(Enginuity!$B$13=4, Enginuity!$B$13=6)),
      AND(
        LEFT(P210,5)&lt;&gt;"1-Way",
        LEFT(P210,5)&lt;&gt;"2-Way",
        LEFT(P210,5)&lt;&gt;"3-Way",
        P210&lt;&gt;"Inner Centre Jamb"
      )
    ),
    IF(OR(Enginuity!$A$1="Frameless Glass",Enginuity!$A$1="Metal Work"),
      AND(TRIM(B210)=TRIM(Enginuity!$A$17),TRIM(C210)=TRIM(Enginuity!$A$18)),
      TRIM(B210)=TRIM(Enginuity!$A$17)
    )
  ),
  ROW(),
  ""
)</f>
        <v/>
      </c>
      <c r="AZ210" s="5"/>
      <c r="BA210" t="s">
        <v>1092</v>
      </c>
      <c r="BB210" s="5">
        <v>7.4</v>
      </c>
    </row>
    <row r="211" spans="1:54" x14ac:dyDescent="0.25">
      <c r="A211" s="10" t="s">
        <v>254</v>
      </c>
      <c r="B211" s="229" t="s">
        <v>91</v>
      </c>
      <c r="C211" s="10"/>
      <c r="D211" s="14"/>
      <c r="E211" s="157"/>
      <c r="F211" s="10"/>
      <c r="G211" s="17"/>
      <c r="H211" s="10"/>
      <c r="I211" s="17"/>
      <c r="J211" s="83"/>
      <c r="K211" s="343"/>
      <c r="L211" s="347"/>
      <c r="M211" s="89">
        <v>14</v>
      </c>
      <c r="N211" s="10"/>
      <c r="O211" s="22"/>
      <c r="P211" s="14"/>
      <c r="Q211" s="83"/>
      <c r="U211" s="104" t="str">
        <f>IF(
  AND(
    TRIM(A211)=TRIM(Enginuity!$A$1),
    TRIM(B211)=TRIM(Enginuity!$A$17),
    Q211&lt;&gt;"",
    Q211&lt;&gt;0,
    OR(
      TRIM(C211)=TRIM(Enginuity!$A$18),
      AND(UPPER(TRIM(M211))="STD", TRIM(B211)=TRIM(Enginuity!$A$17))
    ),
    OR(
      AND(LEFT(P211,5)="1-Way", Enginuity!$B$13=1),
      AND(LEFT(P211,5)="2-Way", OR(Enginuity!$B$13=2, Enginuity!$B$13=4)),
      AND(LEFT(P211,5)="3-Way", OR(Enginuity!$B$13=3, Enginuity!$B$13=6)),
      AND(P211="Inner Centre Jamb", OR(Enginuity!$B$13=4, Enginuity!$B$13=6)),
      AND(
        LEFT(P211,5)&lt;&gt;"1-Way",
        LEFT(P211,5)&lt;&gt;"2-Way",
        LEFT(P211,5)&lt;&gt;"3-Way",
        P211&lt;&gt;"Inner Centre Jamb"
      )
    ),
    IF(OR(Enginuity!$A$1="Frameless Glass",Enginuity!$A$1="Metal Work"),
      AND(TRIM(B211)=TRIM(Enginuity!$A$17),TRIM(C211)=TRIM(Enginuity!$A$18)),
      TRIM(B211)=TRIM(Enginuity!$A$17)
    )
  ),
  ROW(),
  ""
)</f>
        <v/>
      </c>
      <c r="AZ211" s="5"/>
      <c r="BA211" t="s">
        <v>1043</v>
      </c>
      <c r="BB211" s="5">
        <v>9.5</v>
      </c>
    </row>
    <row r="212" spans="1:54" x14ac:dyDescent="0.25">
      <c r="A212" s="10" t="s">
        <v>254</v>
      </c>
      <c r="B212" s="229" t="s">
        <v>91</v>
      </c>
      <c r="C212" s="10"/>
      <c r="D212" s="14"/>
      <c r="E212" s="157"/>
      <c r="F212" s="10"/>
      <c r="G212" s="17"/>
      <c r="H212" s="10"/>
      <c r="I212" s="17"/>
      <c r="J212" s="83"/>
      <c r="K212" s="343"/>
      <c r="L212" s="347"/>
      <c r="M212" s="89">
        <v>15</v>
      </c>
      <c r="N212" s="10"/>
      <c r="O212" s="22"/>
      <c r="P212" s="14"/>
      <c r="Q212" s="83"/>
      <c r="U212" s="104" t="str">
        <f>IF(
  AND(
    TRIM(A212)=TRIM(Enginuity!$A$1),
    TRIM(B212)=TRIM(Enginuity!$A$17),
    Q212&lt;&gt;"",
    Q212&lt;&gt;0,
    OR(
      TRIM(C212)=TRIM(Enginuity!$A$18),
      AND(UPPER(TRIM(M212))="STD", TRIM(B212)=TRIM(Enginuity!$A$17))
    ),
    OR(
      AND(LEFT(P212,5)="1-Way", Enginuity!$B$13=1),
      AND(LEFT(P212,5)="2-Way", OR(Enginuity!$B$13=2, Enginuity!$B$13=4)),
      AND(LEFT(P212,5)="3-Way", OR(Enginuity!$B$13=3, Enginuity!$B$13=6)),
      AND(P212="Inner Centre Jamb", OR(Enginuity!$B$13=4, Enginuity!$B$13=6)),
      AND(
        LEFT(P212,5)&lt;&gt;"1-Way",
        LEFT(P212,5)&lt;&gt;"2-Way",
        LEFT(P212,5)&lt;&gt;"3-Way",
        P212&lt;&gt;"Inner Centre Jamb"
      )
    ),
    IF(OR(Enginuity!$A$1="Frameless Glass",Enginuity!$A$1="Metal Work"),
      AND(TRIM(B212)=TRIM(Enginuity!$A$17),TRIM(C212)=TRIM(Enginuity!$A$18)),
      TRIM(B212)=TRIM(Enginuity!$A$17)
    )
  ),
  ROW(),
  ""
)</f>
        <v/>
      </c>
      <c r="AZ212" s="5"/>
      <c r="BA212" t="s">
        <v>1351</v>
      </c>
      <c r="BB212" s="5">
        <v>14</v>
      </c>
    </row>
    <row r="213" spans="1:54" x14ac:dyDescent="0.25">
      <c r="A213" s="10" t="s">
        <v>254</v>
      </c>
      <c r="B213" s="229" t="s">
        <v>91</v>
      </c>
      <c r="C213" s="10" t="s">
        <v>97</v>
      </c>
      <c r="D213" s="14"/>
      <c r="E213" s="157" t="s">
        <v>257</v>
      </c>
      <c r="F213" s="10"/>
      <c r="G213" s="17"/>
      <c r="H213" s="10"/>
      <c r="I213" s="17"/>
      <c r="J213" s="83"/>
      <c r="K213" s="343"/>
      <c r="L213" s="347"/>
      <c r="M213" s="89">
        <v>16</v>
      </c>
      <c r="N213" s="10" t="s">
        <v>103</v>
      </c>
      <c r="O213" s="22">
        <v>4.7</v>
      </c>
      <c r="P213" s="14" t="s">
        <v>278</v>
      </c>
      <c r="Q213" s="83">
        <f>Enginuity!$B$6*2</f>
        <v>40</v>
      </c>
      <c r="U213" s="104" t="str">
        <f>IF(
  AND(
    TRIM(A213)=TRIM(Enginuity!$A$1),
    TRIM(B213)=TRIM(Enginuity!$A$17),
    Q213&lt;&gt;"",
    Q213&lt;&gt;0,
    OR(
      TRIM(C213)=TRIM(Enginuity!$A$18),
      AND(UPPER(TRIM(M213))="STD", TRIM(B213)=TRIM(Enginuity!$A$17))
    ),
    OR(
      AND(LEFT(P213,5)="1-Way", Enginuity!$B$13=1),
      AND(LEFT(P213,5)="2-Way", OR(Enginuity!$B$13=2, Enginuity!$B$13=4)),
      AND(LEFT(P213,5)="3-Way", OR(Enginuity!$B$13=3, Enginuity!$B$13=6)),
      AND(P213="Inner Centre Jamb", OR(Enginuity!$B$13=4, Enginuity!$B$13=6)),
      AND(
        LEFT(P213,5)&lt;&gt;"1-Way",
        LEFT(P213,5)&lt;&gt;"2-Way",
        LEFT(P213,5)&lt;&gt;"3-Way",
        P213&lt;&gt;"Inner Centre Jamb"
      )
    ),
    IF(OR(Enginuity!$A$1="Frameless Glass",Enginuity!$A$1="Metal Work"),
      AND(TRIM(B213)=TRIM(Enginuity!$A$17),TRIM(C213)=TRIM(Enginuity!$A$18)),
      TRIM(B213)=TRIM(Enginuity!$A$17)
    )
  ),
  ROW(),
  ""
)</f>
        <v/>
      </c>
      <c r="AZ213" s="5"/>
      <c r="BA213" t="s">
        <v>1093</v>
      </c>
      <c r="BB213" s="5">
        <v>11</v>
      </c>
    </row>
    <row r="214" spans="1:54" x14ac:dyDescent="0.25">
      <c r="A214" s="10" t="s">
        <v>254</v>
      </c>
      <c r="B214" s="229" t="s">
        <v>91</v>
      </c>
      <c r="C214" s="10" t="s">
        <v>97</v>
      </c>
      <c r="D214" s="14"/>
      <c r="E214" s="157" t="s">
        <v>269</v>
      </c>
      <c r="F214" s="10"/>
      <c r="G214" s="17"/>
      <c r="H214" s="10"/>
      <c r="I214" s="17"/>
      <c r="J214" s="83"/>
      <c r="K214" s="343"/>
      <c r="L214" s="347"/>
      <c r="M214" s="89">
        <v>17</v>
      </c>
      <c r="N214" s="10" t="s">
        <v>103</v>
      </c>
      <c r="O214" s="22">
        <v>7.6</v>
      </c>
      <c r="P214" s="14" t="s">
        <v>286</v>
      </c>
      <c r="Q214" s="83">
        <f>IF(Enginuity!$B$7&gt;0, 2 * Enginuity!$B$7, "")</f>
        <v>26</v>
      </c>
      <c r="U214" s="104" t="str">
        <f>IF(
  AND(
    TRIM(A214)=TRIM(Enginuity!$A$1),
    TRIM(B214)=TRIM(Enginuity!$A$17),
    Q214&lt;&gt;"",
    Q214&lt;&gt;0,
    OR(
      TRIM(C214)=TRIM(Enginuity!$A$18),
      AND(UPPER(TRIM(M214))="STD", TRIM(B214)=TRIM(Enginuity!$A$17))
    ),
    OR(
      AND(LEFT(P214,5)="1-Way", Enginuity!$B$13=1),
      AND(LEFT(P214,5)="2-Way", OR(Enginuity!$B$13=2, Enginuity!$B$13=4)),
      AND(LEFT(P214,5)="3-Way", OR(Enginuity!$B$13=3, Enginuity!$B$13=6)),
      AND(P214="Inner Centre Jamb", OR(Enginuity!$B$13=4, Enginuity!$B$13=6)),
      AND(
        LEFT(P214,5)&lt;&gt;"1-Way",
        LEFT(P214,5)&lt;&gt;"2-Way",
        LEFT(P214,5)&lt;&gt;"3-Way",
        P214&lt;&gt;"Inner Centre Jamb"
      )
    ),
    IF(OR(Enginuity!$A$1="Frameless Glass",Enginuity!$A$1="Metal Work"),
      AND(TRIM(B214)=TRIM(Enginuity!$A$17),TRIM(C214)=TRIM(Enginuity!$A$18)),
      TRIM(B214)=TRIM(Enginuity!$A$17)
    )
  ),
  ROW(),
  ""
)</f>
        <v/>
      </c>
      <c r="AZ214" s="5"/>
      <c r="BA214" t="s">
        <v>1094</v>
      </c>
      <c r="BB214" s="5">
        <v>18.5</v>
      </c>
    </row>
    <row r="215" spans="1:54" x14ac:dyDescent="0.25">
      <c r="A215" s="10" t="s">
        <v>254</v>
      </c>
      <c r="B215" s="229" t="s">
        <v>91</v>
      </c>
      <c r="C215" s="10" t="s">
        <v>97</v>
      </c>
      <c r="D215" s="14"/>
      <c r="E215" s="157"/>
      <c r="F215" s="10"/>
      <c r="G215" s="17"/>
      <c r="H215" s="10"/>
      <c r="I215" s="17"/>
      <c r="J215" s="83"/>
      <c r="K215" s="343"/>
      <c r="L215" s="347"/>
      <c r="M215" s="89">
        <v>18</v>
      </c>
      <c r="N215" s="10" t="s">
        <v>103</v>
      </c>
      <c r="O215" s="22">
        <v>9.4</v>
      </c>
      <c r="P215" s="14" t="s">
        <v>281</v>
      </c>
      <c r="Q215" s="98">
        <f>Enginuity!$B$6</f>
        <v>20</v>
      </c>
      <c r="U215" s="104" t="str">
        <f>IF(
  AND(
    TRIM(A215)=TRIM(Enginuity!$A$1),
    TRIM(B215)=TRIM(Enginuity!$A$17),
    Q215&lt;&gt;"",
    Q215&lt;&gt;0,
    OR(
      TRIM(C215)=TRIM(Enginuity!$A$18),
      AND(UPPER(TRIM(M215))="STD", TRIM(B215)=TRIM(Enginuity!$A$17))
    ),
    OR(
      AND(LEFT(P215,5)="1-Way", Enginuity!$B$13=1),
      AND(LEFT(P215,5)="2-Way", OR(Enginuity!$B$13=2, Enginuity!$B$13=4)),
      AND(LEFT(P215,5)="3-Way", OR(Enginuity!$B$13=3, Enginuity!$B$13=6)),
      AND(P215="Inner Centre Jamb", OR(Enginuity!$B$13=4, Enginuity!$B$13=6)),
      AND(
        LEFT(P215,5)&lt;&gt;"1-Way",
        LEFT(P215,5)&lt;&gt;"2-Way",
        LEFT(P215,5)&lt;&gt;"3-Way",
        P215&lt;&gt;"Inner Centre Jamb"
      )
    ),
    IF(OR(Enginuity!$A$1="Frameless Glass",Enginuity!$A$1="Metal Work"),
      AND(TRIM(B215)=TRIM(Enginuity!$A$17),TRIM(C215)=TRIM(Enginuity!$A$18)),
      TRIM(B215)=TRIM(Enginuity!$A$17)
    )
  ),
  ROW(),
  ""
)</f>
        <v/>
      </c>
      <c r="AZ215" s="5"/>
      <c r="BA215" t="s">
        <v>1095</v>
      </c>
      <c r="BB215" s="5">
        <v>19</v>
      </c>
    </row>
    <row r="216" spans="1:54" x14ac:dyDescent="0.25">
      <c r="A216" s="10" t="s">
        <v>254</v>
      </c>
      <c r="B216" s="229" t="s">
        <v>91</v>
      </c>
      <c r="C216" s="10" t="s">
        <v>97</v>
      </c>
      <c r="D216" s="14"/>
      <c r="E216" s="157"/>
      <c r="F216" s="10"/>
      <c r="G216" s="17"/>
      <c r="H216" s="10"/>
      <c r="I216" s="17"/>
      <c r="J216" s="83"/>
      <c r="K216" s="343"/>
      <c r="L216" s="347"/>
      <c r="M216" s="89">
        <v>19</v>
      </c>
      <c r="N216" s="10" t="s">
        <v>103</v>
      </c>
      <c r="O216" s="22">
        <v>7.6</v>
      </c>
      <c r="P216" s="14" t="s">
        <v>287</v>
      </c>
      <c r="Q216" s="83">
        <f>IF(Enginuity!$B$7&gt;0, 2 * Enginuity!$B$7, "")</f>
        <v>26</v>
      </c>
      <c r="U216" s="104" t="str">
        <f>IF(
  AND(
    TRIM(A216)=TRIM(Enginuity!$A$1),
    TRIM(B216)=TRIM(Enginuity!$A$17),
    Q216&lt;&gt;"",
    Q216&lt;&gt;0,
    OR(
      TRIM(C216)=TRIM(Enginuity!$A$18),
      AND(UPPER(TRIM(M216))="STD", TRIM(B216)=TRIM(Enginuity!$A$17))
    ),
    OR(
      AND(LEFT(P216,5)="1-Way", Enginuity!$B$13=1),
      AND(LEFT(P216,5)="2-Way", OR(Enginuity!$B$13=2, Enginuity!$B$13=4)),
      AND(LEFT(P216,5)="3-Way", OR(Enginuity!$B$13=3, Enginuity!$B$13=6)),
      AND(P216="Inner Centre Jamb", OR(Enginuity!$B$13=4, Enginuity!$B$13=6)),
      AND(
        LEFT(P216,5)&lt;&gt;"1-Way",
        LEFT(P216,5)&lt;&gt;"2-Way",
        LEFT(P216,5)&lt;&gt;"3-Way",
        P216&lt;&gt;"Inner Centre Jamb"
      )
    ),
    IF(OR(Enginuity!$A$1="Frameless Glass",Enginuity!$A$1="Metal Work"),
      AND(TRIM(B216)=TRIM(Enginuity!$A$17),TRIM(C216)=TRIM(Enginuity!$A$18)),
      TRIM(B216)=TRIM(Enginuity!$A$17)
    )
  ),
  ROW(),
  ""
)</f>
        <v/>
      </c>
      <c r="AZ216" s="5"/>
      <c r="BA216" t="s">
        <v>1096</v>
      </c>
      <c r="BB216" s="5">
        <v>20.5</v>
      </c>
    </row>
    <row r="217" spans="1:54" x14ac:dyDescent="0.25">
      <c r="A217" s="10" t="s">
        <v>254</v>
      </c>
      <c r="B217" s="229" t="s">
        <v>91</v>
      </c>
      <c r="C217" s="10" t="s">
        <v>97</v>
      </c>
      <c r="D217" s="14"/>
      <c r="E217" s="157"/>
      <c r="F217" s="10"/>
      <c r="G217" s="17"/>
      <c r="H217" s="10"/>
      <c r="I217" s="17"/>
      <c r="J217" s="83"/>
      <c r="K217" s="343"/>
      <c r="L217" s="347"/>
      <c r="M217" s="89">
        <v>20</v>
      </c>
      <c r="N217" s="10" t="s">
        <v>103</v>
      </c>
      <c r="O217" s="22">
        <v>2.87</v>
      </c>
      <c r="P217" s="14" t="s">
        <v>292</v>
      </c>
      <c r="Q217" s="83">
        <f>Enginuity!$B$6*4</f>
        <v>80</v>
      </c>
      <c r="U217" s="104" t="str">
        <f>IF(
  AND(
    TRIM(A217)=TRIM(Enginuity!$A$1),
    TRIM(B217)=TRIM(Enginuity!$A$17),
    Q217&lt;&gt;"",
    Q217&lt;&gt;0,
    OR(
      TRIM(C217)=TRIM(Enginuity!$A$18),
      AND(UPPER(TRIM(M217))="STD", TRIM(B217)=TRIM(Enginuity!$A$17))
    ),
    OR(
      AND(LEFT(P217,5)="1-Way", Enginuity!$B$13=1),
      AND(LEFT(P217,5)="2-Way", OR(Enginuity!$B$13=2, Enginuity!$B$13=4)),
      AND(LEFT(P217,5)="3-Way", OR(Enginuity!$B$13=3, Enginuity!$B$13=6)),
      AND(P217="Inner Centre Jamb", OR(Enginuity!$B$13=4, Enginuity!$B$13=6)),
      AND(
        LEFT(P217,5)&lt;&gt;"1-Way",
        LEFT(P217,5)&lt;&gt;"2-Way",
        LEFT(P217,5)&lt;&gt;"3-Way",
        P217&lt;&gt;"Inner Centre Jamb"
      )
    ),
    IF(OR(Enginuity!$A$1="Frameless Glass",Enginuity!$A$1="Metal Work"),
      AND(TRIM(B217)=TRIM(Enginuity!$A$17),TRIM(C217)=TRIM(Enginuity!$A$18)),
      TRIM(B217)=TRIM(Enginuity!$A$17)
    )
  ),
  ROW(),
  ""
)</f>
        <v/>
      </c>
      <c r="AZ217" s="5"/>
      <c r="BA217" t="s">
        <v>1097</v>
      </c>
      <c r="BB217" s="5">
        <v>21</v>
      </c>
    </row>
    <row r="218" spans="1:54" x14ac:dyDescent="0.25">
      <c r="A218" s="10" t="s">
        <v>254</v>
      </c>
      <c r="B218" s="229" t="s">
        <v>91</v>
      </c>
      <c r="C218" s="10" t="s">
        <v>97</v>
      </c>
      <c r="D218" s="14"/>
      <c r="E218" s="157"/>
      <c r="F218" s="10"/>
      <c r="G218" s="17"/>
      <c r="H218" s="10"/>
      <c r="I218" s="17"/>
      <c r="J218" s="83"/>
      <c r="K218" s="343"/>
      <c r="L218" s="347"/>
      <c r="M218" s="89">
        <v>21</v>
      </c>
      <c r="N218" s="10" t="s">
        <v>103</v>
      </c>
      <c r="O218" s="22">
        <v>7.63</v>
      </c>
      <c r="P218" s="86" t="str">
        <f>$P$3</f>
        <v>Inner Frame</v>
      </c>
      <c r="Q218" s="83">
        <f>$Q$3</f>
        <v>222</v>
      </c>
      <c r="U218" s="104" t="str">
        <f>IF(
  AND(
    TRIM(A218)=TRIM(Enginuity!$A$1),
    TRIM(B218)=TRIM(Enginuity!$A$17),
    Q218&lt;&gt;"",
    Q218&lt;&gt;0,
    OR(
      TRIM(C218)=TRIM(Enginuity!$A$18),
      AND(UPPER(TRIM(M218))="STD", TRIM(B218)=TRIM(Enginuity!$A$17))
    ),
    OR(
      AND(LEFT(P218,5)="1-Way", Enginuity!$B$13=1),
      AND(LEFT(P218,5)="2-Way", OR(Enginuity!$B$13=2, Enginuity!$B$13=4)),
      AND(LEFT(P218,5)="3-Way", OR(Enginuity!$B$13=3, Enginuity!$B$13=6)),
      AND(P218="Inner Centre Jamb", OR(Enginuity!$B$13=4, Enginuity!$B$13=6)),
      AND(
        LEFT(P218,5)&lt;&gt;"1-Way",
        LEFT(P218,5)&lt;&gt;"2-Way",
        LEFT(P218,5)&lt;&gt;"3-Way",
        P218&lt;&gt;"Inner Centre Jamb"
      )
    ),
    IF(OR(Enginuity!$A$1="Frameless Glass",Enginuity!$A$1="Metal Work"),
      AND(TRIM(B218)=TRIM(Enginuity!$A$17),TRIM(C218)=TRIM(Enginuity!$A$18)),
      TRIM(B218)=TRIM(Enginuity!$A$17)
    )
  ),
  ROW(),
  ""
)</f>
        <v/>
      </c>
      <c r="AZ218" s="5"/>
      <c r="BA218" t="s">
        <v>1098</v>
      </c>
      <c r="BB218" s="5">
        <v>22.5</v>
      </c>
    </row>
    <row r="219" spans="1:54" x14ac:dyDescent="0.25">
      <c r="A219" s="10" t="s">
        <v>254</v>
      </c>
      <c r="B219" s="229" t="s">
        <v>91</v>
      </c>
      <c r="C219" s="10" t="s">
        <v>97</v>
      </c>
      <c r="D219" s="14"/>
      <c r="E219" s="157"/>
      <c r="F219" s="10"/>
      <c r="G219" s="17"/>
      <c r="H219" s="10"/>
      <c r="I219" s="17"/>
      <c r="J219" s="83"/>
      <c r="K219" s="343"/>
      <c r="L219" s="347"/>
      <c r="M219" s="89">
        <v>22</v>
      </c>
      <c r="N219" s="10" t="s">
        <v>103</v>
      </c>
      <c r="O219" s="22">
        <v>1.37</v>
      </c>
      <c r="P219" s="14" t="s">
        <v>109</v>
      </c>
      <c r="Q219" s="83">
        <f>IF(Enginuity!$B$7&gt;0, Enginuity!$B$7*2, "")</f>
        <v>26</v>
      </c>
      <c r="U219" s="104" t="str">
        <f>IF(
  AND(
    TRIM(A219)=TRIM(Enginuity!$A$1),
    TRIM(B219)=TRIM(Enginuity!$A$17),
    Q219&lt;&gt;"",
    Q219&lt;&gt;0,
    OR(
      TRIM(C219)=TRIM(Enginuity!$A$18),
      AND(UPPER(TRIM(M219))="STD", TRIM(B219)=TRIM(Enginuity!$A$17))
    ),
    OR(
      AND(LEFT(P219,5)="1-Way", Enginuity!$B$13=1),
      AND(LEFT(P219,5)="2-Way", OR(Enginuity!$B$13=2, Enginuity!$B$13=4)),
      AND(LEFT(P219,5)="3-Way", OR(Enginuity!$B$13=3, Enginuity!$B$13=6)),
      AND(P219="Inner Centre Jamb", OR(Enginuity!$B$13=4, Enginuity!$B$13=6)),
      AND(
        LEFT(P219,5)&lt;&gt;"1-Way",
        LEFT(P219,5)&lt;&gt;"2-Way",
        LEFT(P219,5)&lt;&gt;"3-Way",
        P219&lt;&gt;"Inner Centre Jamb"
      )
    ),
    IF(OR(Enginuity!$A$1="Frameless Glass",Enginuity!$A$1="Metal Work"),
      AND(TRIM(B219)=TRIM(Enginuity!$A$17),TRIM(C219)=TRIM(Enginuity!$A$18)),
      TRIM(B219)=TRIM(Enginuity!$A$17)
    )
  ),
  ROW(),
  ""
)</f>
        <v/>
      </c>
      <c r="AZ219" s="5"/>
      <c r="BA219" t="s">
        <v>1099</v>
      </c>
      <c r="BB219" s="5">
        <v>23</v>
      </c>
    </row>
    <row r="220" spans="1:54" x14ac:dyDescent="0.25">
      <c r="A220" s="10" t="s">
        <v>254</v>
      </c>
      <c r="B220" s="229" t="s">
        <v>91</v>
      </c>
      <c r="C220" s="10" t="s">
        <v>97</v>
      </c>
      <c r="D220" s="14"/>
      <c r="E220" s="157"/>
      <c r="F220" s="10"/>
      <c r="G220" s="17"/>
      <c r="H220" s="10"/>
      <c r="I220" s="17"/>
      <c r="J220" s="83"/>
      <c r="K220" s="343"/>
      <c r="L220" s="347"/>
      <c r="M220" s="89">
        <v>23</v>
      </c>
      <c r="N220" s="10" t="s">
        <v>176</v>
      </c>
      <c r="O220" s="22" t="str">
        <f>IF(Enginuity!$A$20="", "",
 IF(Enginuity!$A$20="Lattice Design", $F$9,
 IF(Enginuity!$A$20="Lattice Design 12 Box / Panel", $F$10,
 ""))
)</f>
        <v/>
      </c>
      <c r="P220" s="5" t="str">
        <f>Enginuity!$A$20</f>
        <v>Z-Louvre Blade - 5"</v>
      </c>
      <c r="Q220" s="22" t="str">
        <f>IF(O220&lt;&gt;"",1,"")</f>
        <v/>
      </c>
      <c r="U220" s="104" t="str">
        <f>IF(
  AND(
    TRIM(A220)=TRIM(Enginuity!$A$1),
    TRIM(B220)=TRIM(Enginuity!$A$17),
    Q220&lt;&gt;"",
    Q220&lt;&gt;0,
    OR(
      TRIM(C220)=TRIM(Enginuity!$A$18),
      AND(UPPER(TRIM(M220))="STD", TRIM(B220)=TRIM(Enginuity!$A$17))
    ),
    OR(
      AND(LEFT(P220,5)="1-Way", Enginuity!$B$13=1),
      AND(LEFT(P220,5)="2-Way", OR(Enginuity!$B$13=2, Enginuity!$B$13=4)),
      AND(LEFT(P220,5)="3-Way", OR(Enginuity!$B$13=3, Enginuity!$B$13=6)),
      AND(P220="Inner Centre Jamb", OR(Enginuity!$B$13=4, Enginuity!$B$13=6)),
      AND(
        LEFT(P220,5)&lt;&gt;"1-Way",
        LEFT(P220,5)&lt;&gt;"2-Way",
        LEFT(P220,5)&lt;&gt;"3-Way",
        P220&lt;&gt;"Inner Centre Jamb"
      )
    ),
    IF(OR(Enginuity!$A$1="Frameless Glass",Enginuity!$A$1="Metal Work"),
      AND(TRIM(B220)=TRIM(Enginuity!$A$17),TRIM(C220)=TRIM(Enginuity!$A$18)),
      TRIM(B220)=TRIM(Enginuity!$A$17)
    )
  ),
  ROW(),
  ""
)</f>
        <v/>
      </c>
      <c r="AZ220" s="5"/>
      <c r="BA220" t="s">
        <v>1100</v>
      </c>
      <c r="BB220" s="5">
        <v>47</v>
      </c>
    </row>
    <row r="221" spans="1:54" x14ac:dyDescent="0.25">
      <c r="A221" s="10" t="s">
        <v>254</v>
      </c>
      <c r="B221" s="229" t="s">
        <v>91</v>
      </c>
      <c r="C221" s="10" t="s">
        <v>97</v>
      </c>
      <c r="D221" s="14"/>
      <c r="E221" s="157"/>
      <c r="F221" s="10"/>
      <c r="G221" s="17"/>
      <c r="H221" s="10"/>
      <c r="I221" s="17"/>
      <c r="J221" s="83"/>
      <c r="K221" s="343"/>
      <c r="L221" s="347"/>
      <c r="M221" s="89">
        <v>24</v>
      </c>
      <c r="N221" s="10"/>
      <c r="O221" s="22"/>
      <c r="P221" s="14"/>
      <c r="Q221" s="83"/>
      <c r="U221" s="104" t="str">
        <f>IF(
  AND(
    TRIM(A221)=TRIM(Enginuity!$A$1),
    TRIM(B221)=TRIM(Enginuity!$A$17),
    Q221&lt;&gt;"",
    Q221&lt;&gt;0,
    OR(
      TRIM(C221)=TRIM(Enginuity!$A$18),
      AND(UPPER(TRIM(M221))="STD", TRIM(B221)=TRIM(Enginuity!$A$17))
    ),
    OR(
      AND(LEFT(P221,5)="1-Way", Enginuity!$B$13=1),
      AND(LEFT(P221,5)="2-Way", OR(Enginuity!$B$13=2, Enginuity!$B$13=4)),
      AND(LEFT(P221,5)="3-Way", OR(Enginuity!$B$13=3, Enginuity!$B$13=6)),
      AND(P221="Inner Centre Jamb", OR(Enginuity!$B$13=4, Enginuity!$B$13=6)),
      AND(
        LEFT(P221,5)&lt;&gt;"1-Way",
        LEFT(P221,5)&lt;&gt;"2-Way",
        LEFT(P221,5)&lt;&gt;"3-Way",
        P221&lt;&gt;"Inner Centre Jamb"
      )
    ),
    IF(OR(Enginuity!$A$1="Frameless Glass",Enginuity!$A$1="Metal Work"),
      AND(TRIM(B221)=TRIM(Enginuity!$A$17),TRIM(C221)=TRIM(Enginuity!$A$18)),
      TRIM(B221)=TRIM(Enginuity!$A$17)
    )
  ),
  ROW(),
  ""
)</f>
        <v/>
      </c>
      <c r="AZ221" s="5"/>
      <c r="BA221" t="s">
        <v>1101</v>
      </c>
      <c r="BB221" s="5">
        <v>48</v>
      </c>
    </row>
    <row r="222" spans="1:54" x14ac:dyDescent="0.25">
      <c r="A222" s="10" t="s">
        <v>254</v>
      </c>
      <c r="B222" s="229" t="s">
        <v>91</v>
      </c>
      <c r="C222" s="10" t="s">
        <v>97</v>
      </c>
      <c r="D222" s="14"/>
      <c r="E222" s="157"/>
      <c r="F222" s="10"/>
      <c r="G222" s="17"/>
      <c r="H222" s="10"/>
      <c r="I222" s="17"/>
      <c r="J222" s="83"/>
      <c r="K222" s="343"/>
      <c r="L222" s="347"/>
      <c r="M222" s="89">
        <v>25</v>
      </c>
      <c r="N222" s="10"/>
      <c r="O222" s="22"/>
      <c r="P222" s="14"/>
      <c r="Q222" s="83"/>
      <c r="U222" s="104" t="str">
        <f>IF(
  AND(
    TRIM(A222)=TRIM(Enginuity!$A$1),
    TRIM(B222)=TRIM(Enginuity!$A$17),
    Q222&lt;&gt;"",
    Q222&lt;&gt;0,
    OR(
      TRIM(C222)=TRIM(Enginuity!$A$18),
      AND(UPPER(TRIM(M222))="STD", TRIM(B222)=TRIM(Enginuity!$A$17))
    ),
    OR(
      AND(LEFT(P222,5)="1-Way", Enginuity!$B$13=1),
      AND(LEFT(P222,5)="2-Way", OR(Enginuity!$B$13=2, Enginuity!$B$13=4)),
      AND(LEFT(P222,5)="3-Way", OR(Enginuity!$B$13=3, Enginuity!$B$13=6)),
      AND(P222="Inner Centre Jamb", OR(Enginuity!$B$13=4, Enginuity!$B$13=6)),
      AND(
        LEFT(P222,5)&lt;&gt;"1-Way",
        LEFT(P222,5)&lt;&gt;"2-Way",
        LEFT(P222,5)&lt;&gt;"3-Way",
        P222&lt;&gt;"Inner Centre Jamb"
      )
    ),
    IF(OR(Enginuity!$A$1="Frameless Glass",Enginuity!$A$1="Metal Work"),
      AND(TRIM(B222)=TRIM(Enginuity!$A$17),TRIM(C222)=TRIM(Enginuity!$A$18)),
      TRIM(B222)=TRIM(Enginuity!$A$17)
    )
  ),
  ROW(),
  ""
)</f>
        <v/>
      </c>
      <c r="AZ222" s="5"/>
      <c r="BA222" t="s">
        <v>1102</v>
      </c>
      <c r="BB222" s="5">
        <v>52</v>
      </c>
    </row>
    <row r="223" spans="1:54" x14ac:dyDescent="0.25">
      <c r="A223" s="10" t="s">
        <v>254</v>
      </c>
      <c r="B223" s="229" t="s">
        <v>91</v>
      </c>
      <c r="C223" s="10" t="s">
        <v>97</v>
      </c>
      <c r="D223" s="14"/>
      <c r="E223" s="157"/>
      <c r="F223" s="10"/>
      <c r="G223" s="17"/>
      <c r="H223" s="10"/>
      <c r="I223" s="17"/>
      <c r="J223" s="83"/>
      <c r="K223" s="343"/>
      <c r="L223" s="347"/>
      <c r="M223" s="89">
        <v>26</v>
      </c>
      <c r="N223" s="10"/>
      <c r="O223" s="22"/>
      <c r="P223" s="14"/>
      <c r="Q223" s="83"/>
      <c r="U223" s="104" t="str">
        <f>IF(
  AND(
    TRIM(A223)=TRIM(Enginuity!$A$1),
    TRIM(B223)=TRIM(Enginuity!$A$17),
    Q223&lt;&gt;"",
    Q223&lt;&gt;0,
    OR(
      TRIM(C223)=TRIM(Enginuity!$A$18),
      AND(UPPER(TRIM(M223))="STD", TRIM(B223)=TRIM(Enginuity!$A$17))
    ),
    OR(
      AND(LEFT(P223,5)="1-Way", Enginuity!$B$13=1),
      AND(LEFT(P223,5)="2-Way", OR(Enginuity!$B$13=2, Enginuity!$B$13=4)),
      AND(LEFT(P223,5)="3-Way", OR(Enginuity!$B$13=3, Enginuity!$B$13=6)),
      AND(P223="Inner Centre Jamb", OR(Enginuity!$B$13=4, Enginuity!$B$13=6)),
      AND(
        LEFT(P223,5)&lt;&gt;"1-Way",
        LEFT(P223,5)&lt;&gt;"2-Way",
        LEFT(P223,5)&lt;&gt;"3-Way",
        P223&lt;&gt;"Inner Centre Jamb"
      )
    ),
    IF(OR(Enginuity!$A$1="Frameless Glass",Enginuity!$A$1="Metal Work"),
      AND(TRIM(B223)=TRIM(Enginuity!$A$17),TRIM(C223)=TRIM(Enginuity!$A$18)),
      TRIM(B223)=TRIM(Enginuity!$A$17)
    )
  ),
  ROW(),
  ""
)</f>
        <v/>
      </c>
      <c r="AZ223" s="5"/>
      <c r="BA223" t="s">
        <v>1103</v>
      </c>
      <c r="BB223" s="5">
        <v>53</v>
      </c>
    </row>
    <row r="224" spans="1:54" x14ac:dyDescent="0.25">
      <c r="A224" s="10" t="s">
        <v>254</v>
      </c>
      <c r="B224" s="229" t="s">
        <v>91</v>
      </c>
      <c r="C224" s="10" t="s">
        <v>97</v>
      </c>
      <c r="D224" s="14"/>
      <c r="E224" s="157"/>
      <c r="F224" s="10"/>
      <c r="G224" s="17"/>
      <c r="H224" s="10"/>
      <c r="I224" s="17"/>
      <c r="J224" s="83"/>
      <c r="K224" s="343"/>
      <c r="L224" s="347"/>
      <c r="M224" s="89">
        <v>27</v>
      </c>
      <c r="N224" s="10"/>
      <c r="O224" s="22"/>
      <c r="P224" s="14"/>
      <c r="Q224" s="83"/>
      <c r="U224" s="104" t="str">
        <f>IF(
  AND(
    TRIM(A224)=TRIM(Enginuity!$A$1),
    TRIM(B224)=TRIM(Enginuity!$A$17),
    Q224&lt;&gt;"",
    Q224&lt;&gt;0,
    OR(
      TRIM(C224)=TRIM(Enginuity!$A$18),
      AND(UPPER(TRIM(M224))="STD", TRIM(B224)=TRIM(Enginuity!$A$17))
    ),
    OR(
      AND(LEFT(P224,5)="1-Way", Enginuity!$B$13=1),
      AND(LEFT(P224,5)="2-Way", OR(Enginuity!$B$13=2, Enginuity!$B$13=4)),
      AND(LEFT(P224,5)="3-Way", OR(Enginuity!$B$13=3, Enginuity!$B$13=6)),
      AND(P224="Inner Centre Jamb", OR(Enginuity!$B$13=4, Enginuity!$B$13=6)),
      AND(
        LEFT(P224,5)&lt;&gt;"1-Way",
        LEFT(P224,5)&lt;&gt;"2-Way",
        LEFT(P224,5)&lt;&gt;"3-Way",
        P224&lt;&gt;"Inner Centre Jamb"
      )
    ),
    IF(OR(Enginuity!$A$1="Frameless Glass",Enginuity!$A$1="Metal Work"),
      AND(TRIM(B224)=TRIM(Enginuity!$A$17),TRIM(C224)=TRIM(Enginuity!$A$18)),
      TRIM(B224)=TRIM(Enginuity!$A$17)
    )
  ),
  ROW(),
  ""
)</f>
        <v/>
      </c>
      <c r="AZ224" s="5"/>
      <c r="BA224" t="s">
        <v>1044</v>
      </c>
      <c r="BB224" s="5">
        <v>15</v>
      </c>
    </row>
    <row r="225" spans="1:54" x14ac:dyDescent="0.25">
      <c r="A225" s="10" t="s">
        <v>254</v>
      </c>
      <c r="B225" s="229" t="s">
        <v>91</v>
      </c>
      <c r="C225" s="10" t="s">
        <v>97</v>
      </c>
      <c r="D225" s="14"/>
      <c r="E225" s="157"/>
      <c r="F225" s="10"/>
      <c r="G225" s="17"/>
      <c r="H225" s="10"/>
      <c r="I225" s="17"/>
      <c r="J225" s="83"/>
      <c r="K225" s="343"/>
      <c r="L225" s="347"/>
      <c r="M225" s="89">
        <v>28</v>
      </c>
      <c r="N225" s="10"/>
      <c r="O225" s="22"/>
      <c r="P225" s="14"/>
      <c r="Q225" s="83"/>
      <c r="U225" s="104" t="str">
        <f>IF(
  AND(
    TRIM(A225)=TRIM(Enginuity!$A$1),
    TRIM(B225)=TRIM(Enginuity!$A$17),
    Q225&lt;&gt;"",
    Q225&lt;&gt;0,
    OR(
      TRIM(C225)=TRIM(Enginuity!$A$18),
      AND(UPPER(TRIM(M225))="STD", TRIM(B225)=TRIM(Enginuity!$A$17))
    ),
    OR(
      AND(LEFT(P225,5)="1-Way", Enginuity!$B$13=1),
      AND(LEFT(P225,5)="2-Way", OR(Enginuity!$B$13=2, Enginuity!$B$13=4)),
      AND(LEFT(P225,5)="3-Way", OR(Enginuity!$B$13=3, Enginuity!$B$13=6)),
      AND(P225="Inner Centre Jamb", OR(Enginuity!$B$13=4, Enginuity!$B$13=6)),
      AND(
        LEFT(P225,5)&lt;&gt;"1-Way",
        LEFT(P225,5)&lt;&gt;"2-Way",
        LEFT(P225,5)&lt;&gt;"3-Way",
        P225&lt;&gt;"Inner Centre Jamb"
      )
    ),
    IF(OR(Enginuity!$A$1="Frameless Glass",Enginuity!$A$1="Metal Work"),
      AND(TRIM(B225)=TRIM(Enginuity!$A$17),TRIM(C225)=TRIM(Enginuity!$A$18)),
      TRIM(B225)=TRIM(Enginuity!$A$17)
    )
  ),
  ROW(),
  ""
)</f>
        <v/>
      </c>
      <c r="AZ225" s="5"/>
      <c r="BA225" t="s">
        <v>1104</v>
      </c>
      <c r="BB225" s="5">
        <v>16</v>
      </c>
    </row>
    <row r="226" spans="1:54" x14ac:dyDescent="0.25">
      <c r="A226" s="10" t="s">
        <v>254</v>
      </c>
      <c r="B226" s="229" t="s">
        <v>91</v>
      </c>
      <c r="C226" s="10" t="s">
        <v>97</v>
      </c>
      <c r="D226" s="14"/>
      <c r="E226" s="157"/>
      <c r="F226" s="10"/>
      <c r="G226" s="17"/>
      <c r="H226" s="10"/>
      <c r="I226" s="17"/>
      <c r="J226" s="83"/>
      <c r="K226" s="343"/>
      <c r="L226" s="347"/>
      <c r="M226" s="89">
        <v>29</v>
      </c>
      <c r="N226" s="10"/>
      <c r="O226" s="22"/>
      <c r="P226" s="14"/>
      <c r="Q226" s="83"/>
      <c r="U226" s="104" t="str">
        <f>IF(
  AND(
    TRIM(A226)=TRIM(Enginuity!$A$1),
    TRIM(B226)=TRIM(Enginuity!$A$17),
    Q226&lt;&gt;"",
    Q226&lt;&gt;0,
    OR(
      TRIM(C226)=TRIM(Enginuity!$A$18),
      AND(UPPER(TRIM(M226))="STD", TRIM(B226)=TRIM(Enginuity!$A$17))
    ),
    OR(
      AND(LEFT(P226,5)="1-Way", Enginuity!$B$13=1),
      AND(LEFT(P226,5)="2-Way", OR(Enginuity!$B$13=2, Enginuity!$B$13=4)),
      AND(LEFT(P226,5)="3-Way", OR(Enginuity!$B$13=3, Enginuity!$B$13=6)),
      AND(P226="Inner Centre Jamb", OR(Enginuity!$B$13=4, Enginuity!$B$13=6)),
      AND(
        LEFT(P226,5)&lt;&gt;"1-Way",
        LEFT(P226,5)&lt;&gt;"2-Way",
        LEFT(P226,5)&lt;&gt;"3-Way",
        P226&lt;&gt;"Inner Centre Jamb"
      )
    ),
    IF(OR(Enginuity!$A$1="Frameless Glass",Enginuity!$A$1="Metal Work"),
      AND(TRIM(B226)=TRIM(Enginuity!$A$17),TRIM(C226)=TRIM(Enginuity!$A$18)),
      TRIM(B226)=TRIM(Enginuity!$A$17)
    )
  ),
  ROW(),
  ""
)</f>
        <v/>
      </c>
      <c r="AZ226" s="5"/>
      <c r="BA226" t="s">
        <v>1045</v>
      </c>
      <c r="BB226" s="5">
        <v>15</v>
      </c>
    </row>
    <row r="227" spans="1:54" x14ac:dyDescent="0.25">
      <c r="A227" s="10" t="s">
        <v>254</v>
      </c>
      <c r="B227" s="229" t="s">
        <v>91</v>
      </c>
      <c r="C227" s="10"/>
      <c r="D227" s="14"/>
      <c r="E227" s="157"/>
      <c r="F227" s="10"/>
      <c r="G227" s="17"/>
      <c r="H227" s="10"/>
      <c r="I227" s="17"/>
      <c r="J227" s="83"/>
      <c r="K227" s="343"/>
      <c r="L227" s="347"/>
      <c r="M227" s="89">
        <v>30</v>
      </c>
      <c r="N227" s="10"/>
      <c r="O227" s="22"/>
      <c r="P227" s="14"/>
      <c r="Q227" s="83"/>
      <c r="U227" s="104" t="str">
        <f>IF(
  AND(
    TRIM(A227)=TRIM(Enginuity!$A$1),
    TRIM(B227)=TRIM(Enginuity!$A$17),
    Q227&lt;&gt;"",
    Q227&lt;&gt;0,
    OR(
      TRIM(C227)=TRIM(Enginuity!$A$18),
      AND(UPPER(TRIM(M227))="STD", TRIM(B227)=TRIM(Enginuity!$A$17))
    ),
    OR(
      AND(LEFT(P227,5)="1-Way", Enginuity!$B$13=1),
      AND(LEFT(P227,5)="2-Way", OR(Enginuity!$B$13=2, Enginuity!$B$13=4)),
      AND(LEFT(P227,5)="3-Way", OR(Enginuity!$B$13=3, Enginuity!$B$13=6)),
      AND(P227="Inner Centre Jamb", OR(Enginuity!$B$13=4, Enginuity!$B$13=6)),
      AND(
        LEFT(P227,5)&lt;&gt;"1-Way",
        LEFT(P227,5)&lt;&gt;"2-Way",
        LEFT(P227,5)&lt;&gt;"3-Way",
        P227&lt;&gt;"Inner Centre Jamb"
      )
    ),
    IF(OR(Enginuity!$A$1="Frameless Glass",Enginuity!$A$1="Metal Work"),
      AND(TRIM(B227)=TRIM(Enginuity!$A$17),TRIM(C227)=TRIM(Enginuity!$A$18)),
      TRIM(B227)=TRIM(Enginuity!$A$17)
    )
  ),
  ROW(),
  ""
)</f>
        <v/>
      </c>
      <c r="AZ227" s="5"/>
      <c r="BA227" t="s">
        <v>1105</v>
      </c>
      <c r="BB227" s="5">
        <v>16</v>
      </c>
    </row>
    <row r="228" spans="1:54" x14ac:dyDescent="0.25">
      <c r="A228" s="10" t="s">
        <v>254</v>
      </c>
      <c r="B228" s="229" t="s">
        <v>91</v>
      </c>
      <c r="C228" s="10"/>
      <c r="D228" s="14"/>
      <c r="E228" s="157"/>
      <c r="F228" s="10"/>
      <c r="G228" s="17"/>
      <c r="H228" s="10"/>
      <c r="I228" s="17"/>
      <c r="J228" s="83"/>
      <c r="K228" s="343"/>
      <c r="L228" s="347"/>
      <c r="M228" s="89">
        <v>31</v>
      </c>
      <c r="N228" s="10"/>
      <c r="O228" s="22"/>
      <c r="P228" s="14"/>
      <c r="Q228" s="83"/>
      <c r="U228" s="104" t="str">
        <f>IF(
  AND(
    TRIM(A228)=TRIM(Enginuity!$A$1),
    TRIM(B228)=TRIM(Enginuity!$A$17),
    Q228&lt;&gt;"",
    Q228&lt;&gt;0,
    OR(
      TRIM(C228)=TRIM(Enginuity!$A$18),
      AND(UPPER(TRIM(M228))="STD", TRIM(B228)=TRIM(Enginuity!$A$17))
    ),
    OR(
      AND(LEFT(P228,5)="1-Way", Enginuity!$B$13=1),
      AND(LEFT(P228,5)="2-Way", OR(Enginuity!$B$13=2, Enginuity!$B$13=4)),
      AND(LEFT(P228,5)="3-Way", OR(Enginuity!$B$13=3, Enginuity!$B$13=6)),
      AND(P228="Inner Centre Jamb", OR(Enginuity!$B$13=4, Enginuity!$B$13=6)),
      AND(
        LEFT(P228,5)&lt;&gt;"1-Way",
        LEFT(P228,5)&lt;&gt;"2-Way",
        LEFT(P228,5)&lt;&gt;"3-Way",
        P228&lt;&gt;"Inner Centre Jamb"
      )
    ),
    IF(OR(Enginuity!$A$1="Frameless Glass",Enginuity!$A$1="Metal Work"),
      AND(TRIM(B228)=TRIM(Enginuity!$A$17),TRIM(C228)=TRIM(Enginuity!$A$18)),
      TRIM(B228)=TRIM(Enginuity!$A$17)
    )
  ),
  ROW(),
  ""
)</f>
        <v/>
      </c>
      <c r="AZ228" s="5"/>
      <c r="BA228" t="s">
        <v>1046</v>
      </c>
      <c r="BB228" s="5">
        <v>16</v>
      </c>
    </row>
    <row r="229" spans="1:54" x14ac:dyDescent="0.25">
      <c r="A229" s="10" t="s">
        <v>254</v>
      </c>
      <c r="B229" s="229" t="s">
        <v>91</v>
      </c>
      <c r="C229" s="10"/>
      <c r="D229" s="14"/>
      <c r="E229" s="157"/>
      <c r="F229" s="10"/>
      <c r="G229" s="17"/>
      <c r="H229" s="10"/>
      <c r="I229" s="17"/>
      <c r="J229" s="83"/>
      <c r="K229" s="343"/>
      <c r="L229" s="347"/>
      <c r="M229" s="89">
        <v>32</v>
      </c>
      <c r="N229" s="10"/>
      <c r="O229" s="22"/>
      <c r="P229" s="14"/>
      <c r="Q229" s="83"/>
      <c r="U229" s="104" t="str">
        <f>IF(
  AND(
    TRIM(A229)=TRIM(Enginuity!$A$1),
    TRIM(B229)=TRIM(Enginuity!$A$17),
    Q229&lt;&gt;"",
    Q229&lt;&gt;0,
    OR(
      TRIM(C229)=TRIM(Enginuity!$A$18),
      AND(UPPER(TRIM(M229))="STD", TRIM(B229)=TRIM(Enginuity!$A$17))
    ),
    OR(
      AND(LEFT(P229,5)="1-Way", Enginuity!$B$13=1),
      AND(LEFT(P229,5)="2-Way", OR(Enginuity!$B$13=2, Enginuity!$B$13=4)),
      AND(LEFT(P229,5)="3-Way", OR(Enginuity!$B$13=3, Enginuity!$B$13=6)),
      AND(P229="Inner Centre Jamb", OR(Enginuity!$B$13=4, Enginuity!$B$13=6)),
      AND(
        LEFT(P229,5)&lt;&gt;"1-Way",
        LEFT(P229,5)&lt;&gt;"2-Way",
        LEFT(P229,5)&lt;&gt;"3-Way",
        P229&lt;&gt;"Inner Centre Jamb"
      )
    ),
    IF(OR(Enginuity!$A$1="Frameless Glass",Enginuity!$A$1="Metal Work"),
      AND(TRIM(B229)=TRIM(Enginuity!$A$17),TRIM(C229)=TRIM(Enginuity!$A$18)),
      TRIM(B229)=TRIM(Enginuity!$A$17)
    )
  ),
  ROW(),
  ""
)</f>
        <v/>
      </c>
      <c r="AZ229" s="5"/>
      <c r="BA229" t="s">
        <v>1047</v>
      </c>
      <c r="BB229" s="5">
        <v>16</v>
      </c>
    </row>
    <row r="230" spans="1:54" x14ac:dyDescent="0.25">
      <c r="A230" s="10" t="s">
        <v>254</v>
      </c>
      <c r="B230" s="229" t="s">
        <v>91</v>
      </c>
      <c r="C230" s="10"/>
      <c r="D230" s="14"/>
      <c r="E230" s="157"/>
      <c r="F230" s="10"/>
      <c r="G230" s="17"/>
      <c r="H230" s="10"/>
      <c r="I230" s="17"/>
      <c r="J230" s="83"/>
      <c r="K230" s="343"/>
      <c r="L230" s="347"/>
      <c r="M230" s="89">
        <v>33</v>
      </c>
      <c r="N230" s="10"/>
      <c r="O230" s="22"/>
      <c r="P230" s="14"/>
      <c r="Q230" s="83"/>
      <c r="U230" s="104" t="str">
        <f>IF(
  AND(
    TRIM(A230)=TRIM(Enginuity!$A$1),
    TRIM(B230)=TRIM(Enginuity!$A$17),
    Q230&lt;&gt;"",
    Q230&lt;&gt;0,
    OR(
      TRIM(C230)=TRIM(Enginuity!$A$18),
      AND(UPPER(TRIM(M230))="STD", TRIM(B230)=TRIM(Enginuity!$A$17))
    ),
    OR(
      AND(LEFT(P230,5)="1-Way", Enginuity!$B$13=1),
      AND(LEFT(P230,5)="2-Way", OR(Enginuity!$B$13=2, Enginuity!$B$13=4)),
      AND(LEFT(P230,5)="3-Way", OR(Enginuity!$B$13=3, Enginuity!$B$13=6)),
      AND(P230="Inner Centre Jamb", OR(Enginuity!$B$13=4, Enginuity!$B$13=6)),
      AND(
        LEFT(P230,5)&lt;&gt;"1-Way",
        LEFT(P230,5)&lt;&gt;"2-Way",
        LEFT(P230,5)&lt;&gt;"3-Way",
        P230&lt;&gt;"Inner Centre Jamb"
      )
    ),
    IF(OR(Enginuity!$A$1="Frameless Glass",Enginuity!$A$1="Metal Work"),
      AND(TRIM(B230)=TRIM(Enginuity!$A$17),TRIM(C230)=TRIM(Enginuity!$A$18)),
      TRIM(B230)=TRIM(Enginuity!$A$17)
    )
  ),
  ROW(),
  ""
)</f>
        <v/>
      </c>
      <c r="AZ230" s="5"/>
      <c r="BA230" t="s">
        <v>1048</v>
      </c>
      <c r="BB230" s="5">
        <v>17.5</v>
      </c>
    </row>
    <row r="231" spans="1:54" x14ac:dyDescent="0.25">
      <c r="A231" s="10" t="s">
        <v>254</v>
      </c>
      <c r="B231" s="229" t="s">
        <v>91</v>
      </c>
      <c r="C231" s="10"/>
      <c r="D231" s="14"/>
      <c r="E231" s="157"/>
      <c r="F231" s="10"/>
      <c r="G231" s="17"/>
      <c r="H231" s="10"/>
      <c r="I231" s="17"/>
      <c r="J231" s="83"/>
      <c r="K231" s="343"/>
      <c r="L231" s="347"/>
      <c r="M231" s="89">
        <v>34</v>
      </c>
      <c r="N231" s="10"/>
      <c r="O231" s="22"/>
      <c r="P231" s="14"/>
      <c r="Q231" s="83"/>
      <c r="U231" s="104" t="str">
        <f>IF(
  AND(
    TRIM(A231)=TRIM(Enginuity!$A$1),
    TRIM(B231)=TRIM(Enginuity!$A$17),
    Q231&lt;&gt;"",
    Q231&lt;&gt;0,
    OR(
      TRIM(C231)=TRIM(Enginuity!$A$18),
      AND(UPPER(TRIM(M231))="STD", TRIM(B231)=TRIM(Enginuity!$A$17))
    ),
    OR(
      AND(LEFT(P231,5)="1-Way", Enginuity!$B$13=1),
      AND(LEFT(P231,5)="2-Way", OR(Enginuity!$B$13=2, Enginuity!$B$13=4)),
      AND(LEFT(P231,5)="3-Way", OR(Enginuity!$B$13=3, Enginuity!$B$13=6)),
      AND(P231="Inner Centre Jamb", OR(Enginuity!$B$13=4, Enginuity!$B$13=6)),
      AND(
        LEFT(P231,5)&lt;&gt;"1-Way",
        LEFT(P231,5)&lt;&gt;"2-Way",
        LEFT(P231,5)&lt;&gt;"3-Way",
        P231&lt;&gt;"Inner Centre Jamb"
      )
    ),
    IF(OR(Enginuity!$A$1="Frameless Glass",Enginuity!$A$1="Metal Work"),
      AND(TRIM(B231)=TRIM(Enginuity!$A$17),TRIM(C231)=TRIM(Enginuity!$A$18)),
      TRIM(B231)=TRIM(Enginuity!$A$17)
    )
  ),
  ROW(),
  ""
)</f>
        <v/>
      </c>
      <c r="AZ231" s="5"/>
      <c r="BA231" t="s">
        <v>1337</v>
      </c>
      <c r="BB231" s="5">
        <v>6.8</v>
      </c>
    </row>
    <row r="232" spans="1:54" x14ac:dyDescent="0.25">
      <c r="A232" s="10" t="s">
        <v>254</v>
      </c>
      <c r="B232" s="229" t="s">
        <v>91</v>
      </c>
      <c r="C232" s="10"/>
      <c r="D232" s="14"/>
      <c r="E232" s="157"/>
      <c r="F232" s="10"/>
      <c r="G232" s="17"/>
      <c r="H232" s="10"/>
      <c r="I232" s="17"/>
      <c r="J232" s="83"/>
      <c r="K232" s="343"/>
      <c r="L232" s="347"/>
      <c r="M232" s="89">
        <v>35</v>
      </c>
      <c r="N232" s="10"/>
      <c r="O232" s="22"/>
      <c r="P232" s="14"/>
      <c r="Q232" s="83"/>
      <c r="U232" s="104" t="str">
        <f>IF(
  AND(
    TRIM(A232)=TRIM(Enginuity!$A$1),
    TRIM(B232)=TRIM(Enginuity!$A$17),
    Q232&lt;&gt;"",
    Q232&lt;&gt;0,
    OR(
      TRIM(C232)=TRIM(Enginuity!$A$18),
      AND(UPPER(TRIM(M232))="STD", TRIM(B232)=TRIM(Enginuity!$A$17))
    ),
    OR(
      AND(LEFT(P232,5)="1-Way", Enginuity!$B$13=1),
      AND(LEFT(P232,5)="2-Way", OR(Enginuity!$B$13=2, Enginuity!$B$13=4)),
      AND(LEFT(P232,5)="3-Way", OR(Enginuity!$B$13=3, Enginuity!$B$13=6)),
      AND(P232="Inner Centre Jamb", OR(Enginuity!$B$13=4, Enginuity!$B$13=6)),
      AND(
        LEFT(P232,5)&lt;&gt;"1-Way",
        LEFT(P232,5)&lt;&gt;"2-Way",
        LEFT(P232,5)&lt;&gt;"3-Way",
        P232&lt;&gt;"Inner Centre Jamb"
      )
    ),
    IF(OR(Enginuity!$A$1="Frameless Glass",Enginuity!$A$1="Metal Work"),
      AND(TRIM(B232)=TRIM(Enginuity!$A$17),TRIM(C232)=TRIM(Enginuity!$A$18)),
      TRIM(B232)=TRIM(Enginuity!$A$17)
    )
  ),
  ROW(),
  ""
)</f>
        <v/>
      </c>
      <c r="AZ232" s="5"/>
      <c r="BA232" t="s">
        <v>1338</v>
      </c>
      <c r="BB232" s="5">
        <v>7.5</v>
      </c>
    </row>
    <row r="233" spans="1:54" x14ac:dyDescent="0.25">
      <c r="A233" s="10" t="s">
        <v>254</v>
      </c>
      <c r="B233" s="229" t="s">
        <v>91</v>
      </c>
      <c r="C233" s="10"/>
      <c r="D233" s="14"/>
      <c r="E233" s="157"/>
      <c r="F233" s="10"/>
      <c r="G233" s="17"/>
      <c r="H233" s="10"/>
      <c r="I233" s="17"/>
      <c r="J233" s="83"/>
      <c r="K233" s="343"/>
      <c r="L233" s="347"/>
      <c r="M233" s="89">
        <v>36</v>
      </c>
      <c r="N233" s="10"/>
      <c r="O233" s="22"/>
      <c r="P233" s="14"/>
      <c r="Q233" s="83"/>
      <c r="U233" s="104" t="str">
        <f>IF(
  AND(
    TRIM(A233)=TRIM(Enginuity!$A$1),
    TRIM(B233)=TRIM(Enginuity!$A$17),
    Q233&lt;&gt;"",
    Q233&lt;&gt;0,
    OR(
      TRIM(C233)=TRIM(Enginuity!$A$18),
      AND(UPPER(TRIM(M233))="STD", TRIM(B233)=TRIM(Enginuity!$A$17))
    ),
    OR(
      AND(LEFT(P233,5)="1-Way", Enginuity!$B$13=1),
      AND(LEFT(P233,5)="2-Way", OR(Enginuity!$B$13=2, Enginuity!$B$13=4)),
      AND(LEFT(P233,5)="3-Way", OR(Enginuity!$B$13=3, Enginuity!$B$13=6)),
      AND(P233="Inner Centre Jamb", OR(Enginuity!$B$13=4, Enginuity!$B$13=6)),
      AND(
        LEFT(P233,5)&lt;&gt;"1-Way",
        LEFT(P233,5)&lt;&gt;"2-Way",
        LEFT(P233,5)&lt;&gt;"3-Way",
        P233&lt;&gt;"Inner Centre Jamb"
      )
    ),
    IF(OR(Enginuity!$A$1="Frameless Glass",Enginuity!$A$1="Metal Work"),
      AND(TRIM(B233)=TRIM(Enginuity!$A$17),TRIM(C233)=TRIM(Enginuity!$A$18)),
      TRIM(B233)=TRIM(Enginuity!$A$17)
    )
  ),
  ROW(),
  ""
)</f>
        <v/>
      </c>
      <c r="AZ233" s="5"/>
      <c r="BA233" t="s">
        <v>1339</v>
      </c>
      <c r="BB233" s="5">
        <v>8.3000000000000007</v>
      </c>
    </row>
    <row r="234" spans="1:54" x14ac:dyDescent="0.25">
      <c r="A234" s="10" t="s">
        <v>254</v>
      </c>
      <c r="B234" s="229" t="s">
        <v>91</v>
      </c>
      <c r="C234" s="10"/>
      <c r="D234" s="14"/>
      <c r="E234" s="157"/>
      <c r="F234" s="10"/>
      <c r="G234" s="17"/>
      <c r="H234" s="10"/>
      <c r="I234" s="17"/>
      <c r="J234" s="83"/>
      <c r="K234" s="343"/>
      <c r="L234" s="347"/>
      <c r="M234" s="89">
        <v>37</v>
      </c>
      <c r="N234" s="10"/>
      <c r="O234" s="22"/>
      <c r="P234" s="21"/>
      <c r="Q234" s="83"/>
      <c r="U234" s="104" t="str">
        <f>IF(
  AND(
    TRIM(A234)=TRIM(Enginuity!$A$1),
    TRIM(B234)=TRIM(Enginuity!$A$17),
    Q234&lt;&gt;"",
    Q234&lt;&gt;0,
    OR(
      TRIM(C234)=TRIM(Enginuity!$A$18),
      AND(UPPER(TRIM(M234))="STD", TRIM(B234)=TRIM(Enginuity!$A$17))
    ),
    OR(
      AND(LEFT(P234,5)="1-Way", Enginuity!$B$13=1),
      AND(LEFT(P234,5)="2-Way", OR(Enginuity!$B$13=2, Enginuity!$B$13=4)),
      AND(LEFT(P234,5)="3-Way", OR(Enginuity!$B$13=3, Enginuity!$B$13=6)),
      AND(P234="Inner Centre Jamb", OR(Enginuity!$B$13=4, Enginuity!$B$13=6)),
      AND(
        LEFT(P234,5)&lt;&gt;"1-Way",
        LEFT(P234,5)&lt;&gt;"2-Way",
        LEFT(P234,5)&lt;&gt;"3-Way",
        P234&lt;&gt;"Inner Centre Jamb"
      )
    ),
    IF(OR(Enginuity!$A$1="Frameless Glass",Enginuity!$A$1="Metal Work"),
      AND(TRIM(B234)=TRIM(Enginuity!$A$17),TRIM(C234)=TRIM(Enginuity!$A$18)),
      TRIM(B234)=TRIM(Enginuity!$A$17)
    )
  ),
  ROW(),
  ""
)</f>
        <v/>
      </c>
      <c r="AZ234" s="5"/>
      <c r="BA234" t="s">
        <v>1106</v>
      </c>
      <c r="BB234" s="5">
        <v>10.5</v>
      </c>
    </row>
    <row r="235" spans="1:54" x14ac:dyDescent="0.25">
      <c r="A235" s="10" t="s">
        <v>254</v>
      </c>
      <c r="B235" s="229" t="s">
        <v>91</v>
      </c>
      <c r="C235" s="10"/>
      <c r="D235" s="14"/>
      <c r="E235" s="157"/>
      <c r="F235" s="10"/>
      <c r="G235" s="17"/>
      <c r="H235" s="10"/>
      <c r="I235" s="17"/>
      <c r="J235" s="83"/>
      <c r="K235" s="343"/>
      <c r="L235" s="347"/>
      <c r="M235" s="89">
        <v>38</v>
      </c>
      <c r="N235" s="10"/>
      <c r="O235" s="22"/>
      <c r="P235" s="21"/>
      <c r="Q235" s="83"/>
      <c r="U235" s="104" t="str">
        <f>IF(
  AND(
    TRIM(A235)=TRIM(Enginuity!$A$1),
    TRIM(B235)=TRIM(Enginuity!$A$17),
    Q235&lt;&gt;"",
    Q235&lt;&gt;0,
    OR(
      TRIM(C235)=TRIM(Enginuity!$A$18),
      AND(UPPER(TRIM(M235))="STD", TRIM(B235)=TRIM(Enginuity!$A$17))
    ),
    OR(
      AND(LEFT(P235,5)="1-Way", Enginuity!$B$13=1),
      AND(LEFT(P235,5)="2-Way", OR(Enginuity!$B$13=2, Enginuity!$B$13=4)),
      AND(LEFT(P235,5)="3-Way", OR(Enginuity!$B$13=3, Enginuity!$B$13=6)),
      AND(P235="Inner Centre Jamb", OR(Enginuity!$B$13=4, Enginuity!$B$13=6)),
      AND(
        LEFT(P235,5)&lt;&gt;"1-Way",
        LEFT(P235,5)&lt;&gt;"2-Way",
        LEFT(P235,5)&lt;&gt;"3-Way",
        P235&lt;&gt;"Inner Centre Jamb"
      )
    ),
    IF(OR(Enginuity!$A$1="Frameless Glass",Enginuity!$A$1="Metal Work"),
      AND(TRIM(B235)=TRIM(Enginuity!$A$17),TRIM(C235)=TRIM(Enginuity!$A$18)),
      TRIM(B235)=TRIM(Enginuity!$A$17)
    )
  ),
  ROW(),
  ""
)</f>
        <v/>
      </c>
      <c r="AZ235" s="5"/>
      <c r="BA235" t="s">
        <v>1049</v>
      </c>
      <c r="BB235" s="5">
        <v>11.5</v>
      </c>
    </row>
    <row r="236" spans="1:54" x14ac:dyDescent="0.25">
      <c r="A236" s="10" t="s">
        <v>254</v>
      </c>
      <c r="B236" s="229" t="s">
        <v>91</v>
      </c>
      <c r="C236" s="10"/>
      <c r="D236" s="14"/>
      <c r="E236" s="157"/>
      <c r="F236" s="10"/>
      <c r="G236" s="17"/>
      <c r="H236" s="10"/>
      <c r="I236" s="17"/>
      <c r="J236" s="83"/>
      <c r="K236" s="343"/>
      <c r="L236" s="347"/>
      <c r="M236" s="10" t="s">
        <v>117</v>
      </c>
      <c r="N236" s="10" t="s">
        <v>121</v>
      </c>
      <c r="O236" s="22" t="str">
        <f>$O$2</f>
        <v/>
      </c>
      <c r="P236" s="21" t="str">
        <f>Enginuity!$A$19</f>
        <v>W/G</v>
      </c>
      <c r="Q236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236" s="104" t="str">
        <f>IF(
  AND(
    TRIM(A236)=TRIM(Enginuity!$A$1),
    TRIM(B236)=TRIM(Enginuity!$A$17),
    Q236&lt;&gt;"",
    Q236&lt;&gt;0,
    OR(
      TRIM(C236)=TRIM(Enginuity!$A$18),
      AND(UPPER(TRIM(M236))="STD", TRIM(B236)=TRIM(Enginuity!$A$17))
    ),
    OR(
      AND(LEFT(P236,5)="1-Way", Enginuity!$B$13=1),
      AND(LEFT(P236,5)="2-Way", OR(Enginuity!$B$13=2, Enginuity!$B$13=4)),
      AND(LEFT(P236,5)="3-Way", OR(Enginuity!$B$13=3, Enginuity!$B$13=6)),
      AND(P236="Inner Centre Jamb", OR(Enginuity!$B$13=4, Enginuity!$B$13=6)),
      AND(
        LEFT(P236,5)&lt;&gt;"1-Way",
        LEFT(P236,5)&lt;&gt;"2-Way",
        LEFT(P236,5)&lt;&gt;"3-Way",
        P236&lt;&gt;"Inner Centre Jamb"
      )
    ),
    IF(OR(Enginuity!$A$1="Frameless Glass",Enginuity!$A$1="Metal Work"),
      AND(TRIM(B236)=TRIM(Enginuity!$A$17),TRIM(C236)=TRIM(Enginuity!$A$18)),
      TRIM(B236)=TRIM(Enginuity!$A$17)
    )
  ),
  ROW(),
  ""
)</f>
        <v/>
      </c>
      <c r="AZ236" s="5"/>
      <c r="BA236" t="s">
        <v>1107</v>
      </c>
      <c r="BB236" s="5">
        <v>10.5</v>
      </c>
    </row>
    <row r="237" spans="1:54" x14ac:dyDescent="0.25">
      <c r="A237" s="10" t="s">
        <v>254</v>
      </c>
      <c r="B237" s="229" t="s">
        <v>91</v>
      </c>
      <c r="C237" s="10"/>
      <c r="D237" s="14"/>
      <c r="E237" s="157"/>
      <c r="F237" s="10"/>
      <c r="G237" s="17"/>
      <c r="H237" s="10"/>
      <c r="I237" s="17"/>
      <c r="J237" s="83"/>
      <c r="K237" s="343"/>
      <c r="L237" s="347"/>
      <c r="M237" s="10" t="s">
        <v>117</v>
      </c>
      <c r="N237" s="10" t="s">
        <v>103</v>
      </c>
      <c r="O237" s="22">
        <v>0.20379744565899399</v>
      </c>
      <c r="P237" s="14" t="s">
        <v>272</v>
      </c>
      <c r="Q237" s="83">
        <f>IF(AND(Enginuity!$B$6&gt;0, Enginuity!$B$7&gt;0, Enginuity!$B$13&gt;0), ((2*Enginuity!$B$7*Enginuity!$B$13)+(2*Enginuity!$B$6))*2, "")</f>
        <v>444</v>
      </c>
      <c r="U237" s="104" t="str">
        <f>IF(
  AND(
    TRIM(A237)=TRIM(Enginuity!$A$1),
    TRIM(B237)=TRIM(Enginuity!$A$17),
    Q237&lt;&gt;"",
    Q237&lt;&gt;0,
    OR(
      TRIM(C237)=TRIM(Enginuity!$A$18),
      AND(UPPER(TRIM(M237))="STD", TRIM(B237)=TRIM(Enginuity!$A$17))
    ),
    OR(
      AND(LEFT(P237,5)="1-Way", Enginuity!$B$13=1),
      AND(LEFT(P237,5)="2-Way", OR(Enginuity!$B$13=2, Enginuity!$B$13=4)),
      AND(LEFT(P237,5)="3-Way", OR(Enginuity!$B$13=3, Enginuity!$B$13=6)),
      AND(P237="Inner Centre Jamb", OR(Enginuity!$B$13=4, Enginuity!$B$13=6)),
      AND(
        LEFT(P237,5)&lt;&gt;"1-Way",
        LEFT(P237,5)&lt;&gt;"2-Way",
        LEFT(P237,5)&lt;&gt;"3-Way",
        P237&lt;&gt;"Inner Centre Jamb"
      )
    ),
    IF(OR(Enginuity!$A$1="Frameless Glass",Enginuity!$A$1="Metal Work"),
      AND(TRIM(B237)=TRIM(Enginuity!$A$17),TRIM(C237)=TRIM(Enginuity!$A$18)),
      TRIM(B237)=TRIM(Enginuity!$A$17)
    )
  ),
  ROW(),
  ""
)</f>
        <v/>
      </c>
      <c r="AZ237" s="5"/>
      <c r="BA237" t="s">
        <v>1050</v>
      </c>
      <c r="BB237" s="5">
        <v>11.5</v>
      </c>
    </row>
    <row r="238" spans="1:54" x14ac:dyDescent="0.25">
      <c r="A238" s="10" t="s">
        <v>254</v>
      </c>
      <c r="B238" s="229" t="s">
        <v>91</v>
      </c>
      <c r="C238" s="10"/>
      <c r="D238" s="14"/>
      <c r="E238" s="157"/>
      <c r="F238" s="10"/>
      <c r="G238" s="17"/>
      <c r="H238" s="10"/>
      <c r="I238" s="17"/>
      <c r="J238" s="83"/>
      <c r="K238" s="343"/>
      <c r="L238" s="347"/>
      <c r="M238" s="10" t="s">
        <v>117</v>
      </c>
      <c r="N238" s="10" t="s">
        <v>103</v>
      </c>
      <c r="O238" s="22">
        <v>0.12</v>
      </c>
      <c r="P238" s="14" t="s">
        <v>273</v>
      </c>
      <c r="Q238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576</v>
      </c>
      <c r="U238" s="104" t="str">
        <f>IF(
  AND(
    TRIM(A238)=TRIM(Enginuity!$A$1),
    TRIM(B238)=TRIM(Enginuity!$A$17),
    Q238&lt;&gt;"",
    Q238&lt;&gt;0,
    OR(
      TRIM(C238)=TRIM(Enginuity!$A$18),
      AND(UPPER(TRIM(M238))="STD", TRIM(B238)=TRIM(Enginuity!$A$17))
    ),
    OR(
      AND(LEFT(P238,5)="1-Way", Enginuity!$B$13=1),
      AND(LEFT(P238,5)="2-Way", OR(Enginuity!$B$13=2, Enginuity!$B$13=4)),
      AND(LEFT(P238,5)="3-Way", OR(Enginuity!$B$13=3, Enginuity!$B$13=6)),
      AND(P238="Inner Centre Jamb", OR(Enginuity!$B$13=4, Enginuity!$B$13=6)),
      AND(
        LEFT(P238,5)&lt;&gt;"1-Way",
        LEFT(P238,5)&lt;&gt;"2-Way",
        LEFT(P238,5)&lt;&gt;"3-Way",
        P238&lt;&gt;"Inner Centre Jamb"
      )
    ),
    IF(OR(Enginuity!$A$1="Frameless Glass",Enginuity!$A$1="Metal Work"),
      AND(TRIM(B238)=TRIM(Enginuity!$A$17),TRIM(C238)=TRIM(Enginuity!$A$18)),
      TRIM(B238)=TRIM(Enginuity!$A$17)
    )
  ),
  ROW(),
  ""
)</f>
        <v/>
      </c>
      <c r="BA238" t="s">
        <v>1108</v>
      </c>
      <c r="BB238" s="5">
        <v>10.5</v>
      </c>
    </row>
    <row r="239" spans="1:54" x14ac:dyDescent="0.25">
      <c r="A239" s="10" t="s">
        <v>254</v>
      </c>
      <c r="B239" s="229" t="s">
        <v>91</v>
      </c>
      <c r="C239" s="10"/>
      <c r="D239" s="14"/>
      <c r="E239" s="157"/>
      <c r="F239" s="10"/>
      <c r="G239" s="17"/>
      <c r="H239" s="10"/>
      <c r="I239" s="17"/>
      <c r="J239" s="83"/>
      <c r="K239" s="343"/>
      <c r="L239" s="347"/>
      <c r="M239" s="10" t="s">
        <v>117</v>
      </c>
      <c r="N239" s="10" t="s">
        <v>112</v>
      </c>
      <c r="O239" s="22">
        <v>1.4</v>
      </c>
      <c r="P239" s="14" t="s">
        <v>113</v>
      </c>
      <c r="Q239" s="83" t="str">
        <f>IF(
  TRIM(Enginuity!$A$21)="1'H X ?'W X Qty Panel Top Hung (Casement Profile)",
  Enginuity!$B$13,
  ""
)</f>
        <v/>
      </c>
      <c r="U239" s="104" t="str">
        <f>IF(
  AND(
    TRIM(A239)=TRIM(Enginuity!$A$1),
    TRIM(B239)=TRIM(Enginuity!$A$17),
    Q239&lt;&gt;"",
    Q239&lt;&gt;0,
    OR(
      TRIM(C239)=TRIM(Enginuity!$A$18),
      AND(UPPER(TRIM(M239))="STD", TRIM(B239)=TRIM(Enginuity!$A$17))
    ),
    OR(
      AND(LEFT(P239,5)="1-Way", Enginuity!$B$13=1),
      AND(LEFT(P239,5)="2-Way", OR(Enginuity!$B$13=2, Enginuity!$B$13=4)),
      AND(LEFT(P239,5)="3-Way", OR(Enginuity!$B$13=3, Enginuity!$B$13=6)),
      AND(P239="Inner Centre Jamb", OR(Enginuity!$B$13=4, Enginuity!$B$13=6)),
      AND(
        LEFT(P239,5)&lt;&gt;"1-Way",
        LEFT(P239,5)&lt;&gt;"2-Way",
        LEFT(P239,5)&lt;&gt;"3-Way",
        P239&lt;&gt;"Inner Centre Jamb"
      )
    ),
    IF(OR(Enginuity!$A$1="Frameless Glass",Enginuity!$A$1="Metal Work"),
      AND(TRIM(B239)=TRIM(Enginuity!$A$17),TRIM(C239)=TRIM(Enginuity!$A$18)),
      TRIM(B239)=TRIM(Enginuity!$A$17)
    )
  ),
  ROW(),
  ""
)</f>
        <v/>
      </c>
      <c r="BA239" t="s">
        <v>1051</v>
      </c>
      <c r="BB239" s="5">
        <v>11.5</v>
      </c>
    </row>
    <row r="240" spans="1:54" x14ac:dyDescent="0.25">
      <c r="A240" s="10" t="s">
        <v>254</v>
      </c>
      <c r="B240" s="229" t="s">
        <v>91</v>
      </c>
      <c r="C240" s="10"/>
      <c r="D240" s="14"/>
      <c r="E240" s="157"/>
      <c r="F240" s="10"/>
      <c r="G240" s="17"/>
      <c r="H240" s="10"/>
      <c r="I240" s="17"/>
      <c r="J240" s="83"/>
      <c r="K240" s="343"/>
      <c r="L240" s="347"/>
      <c r="M240" s="10" t="s">
        <v>117</v>
      </c>
      <c r="N240" s="88" t="s">
        <v>111</v>
      </c>
      <c r="O240" s="22">
        <v>4.5</v>
      </c>
      <c r="P240" s="36" t="s">
        <v>124</v>
      </c>
      <c r="Q240" s="83" t="str">
        <f>IF(
  TRIM(Enginuity!$A$21)="1'H X ?'W X Qty Panel Top Hung (Casement Profile)",
  Enginuity!$B$13,
  ""
)</f>
        <v/>
      </c>
      <c r="U240" s="104" t="str">
        <f>IF(
  AND(
    TRIM(A240)=TRIM(Enginuity!$A$1),
    TRIM(B240)=TRIM(Enginuity!$A$17),
    Q240&lt;&gt;"",
    Q240&lt;&gt;0,
    OR(
      TRIM(C240)=TRIM(Enginuity!$A$18),
      AND(UPPER(TRIM(M240))="STD", TRIM(B240)=TRIM(Enginuity!$A$17))
    ),
    OR(
      AND(LEFT(P240,5)="1-Way", Enginuity!$B$13=1),
      AND(LEFT(P240,5)="2-Way", OR(Enginuity!$B$13=2, Enginuity!$B$13=4)),
      AND(LEFT(P240,5)="3-Way", OR(Enginuity!$B$13=3, Enginuity!$B$13=6)),
      AND(P240="Inner Centre Jamb", OR(Enginuity!$B$13=4, Enginuity!$B$13=6)),
      AND(
        LEFT(P240,5)&lt;&gt;"1-Way",
        LEFT(P240,5)&lt;&gt;"2-Way",
        LEFT(P240,5)&lt;&gt;"3-Way",
        P240&lt;&gt;"Inner Centre Jamb"
      )
    ),
    IF(OR(Enginuity!$A$1="Frameless Glass",Enginuity!$A$1="Metal Work"),
      AND(TRIM(B240)=TRIM(Enginuity!$A$17),TRIM(C240)=TRIM(Enginuity!$A$18)),
      TRIM(B240)=TRIM(Enginuity!$A$17)
    )
  ),
  ROW(),
  ""
)</f>
        <v/>
      </c>
      <c r="AY240" s="79">
        <v>1.1000000000000001</v>
      </c>
      <c r="AZ240" s="5">
        <v>7</v>
      </c>
      <c r="BA240" t="s">
        <v>1185</v>
      </c>
      <c r="BB240" s="5">
        <f>IF(OR(AY240="",AZ240=""),"",AY240*AZ240)</f>
        <v>7.7000000000000011</v>
      </c>
    </row>
    <row r="241" spans="1:54" x14ac:dyDescent="0.25">
      <c r="A241" s="10" t="s">
        <v>254</v>
      </c>
      <c r="B241" s="229" t="s">
        <v>91</v>
      </c>
      <c r="C241" s="10"/>
      <c r="D241" s="14"/>
      <c r="E241" s="157"/>
      <c r="F241" s="10"/>
      <c r="G241" s="17"/>
      <c r="H241" s="10"/>
      <c r="I241" s="17"/>
      <c r="J241" s="83"/>
      <c r="K241" s="343"/>
      <c r="L241" s="347"/>
      <c r="M241" s="10" t="s">
        <v>117</v>
      </c>
      <c r="N241" s="10" t="s">
        <v>112</v>
      </c>
      <c r="O241" s="22">
        <v>55</v>
      </c>
      <c r="P241" s="14" t="s">
        <v>293</v>
      </c>
      <c r="Q241" s="83">
        <f>Enginuity!$B$13</f>
        <v>7</v>
      </c>
      <c r="U241" s="104" t="str">
        <f>IF(
  AND(
    TRIM(A241)=TRIM(Enginuity!$A$1),
    TRIM(B241)=TRIM(Enginuity!$A$17),
    Q241&lt;&gt;"",
    Q241&lt;&gt;0,
    OR(
      TRIM(C241)=TRIM(Enginuity!$A$18),
      AND(UPPER(TRIM(M241))="STD", TRIM(B241)=TRIM(Enginuity!$A$17))
    ),
    OR(
      AND(LEFT(P241,5)="1-Way", Enginuity!$B$13=1),
      AND(LEFT(P241,5)="2-Way", OR(Enginuity!$B$13=2, Enginuity!$B$13=4)),
      AND(LEFT(P241,5)="3-Way", OR(Enginuity!$B$13=3, Enginuity!$B$13=6)),
      AND(P241="Inner Centre Jamb", OR(Enginuity!$B$13=4, Enginuity!$B$13=6)),
      AND(
        LEFT(P241,5)&lt;&gt;"1-Way",
        LEFT(P241,5)&lt;&gt;"2-Way",
        LEFT(P241,5)&lt;&gt;"3-Way",
        P241&lt;&gt;"Inner Centre Jamb"
      )
    ),
    IF(OR(Enginuity!$A$1="Frameless Glass",Enginuity!$A$1="Metal Work"),
      AND(TRIM(B241)=TRIM(Enginuity!$A$17),TRIM(C241)=TRIM(Enginuity!$A$18)),
      TRIM(B241)=TRIM(Enginuity!$A$17)
    )
  ),
  ROW(),
  ""
)</f>
        <v/>
      </c>
      <c r="AY241" s="79">
        <f>AY240</f>
        <v>1.1000000000000001</v>
      </c>
      <c r="AZ241" s="5">
        <v>7.5</v>
      </c>
      <c r="BA241" t="s">
        <v>1186</v>
      </c>
      <c r="BB241" s="5">
        <f t="shared" ref="BB241:BB304" si="1">IF(OR(AY241="",AZ241=""),"",AY241*AZ241)</f>
        <v>8.25</v>
      </c>
    </row>
    <row r="242" spans="1:54" x14ac:dyDescent="0.25">
      <c r="A242" s="10" t="s">
        <v>254</v>
      </c>
      <c r="B242" s="229" t="s">
        <v>91</v>
      </c>
      <c r="C242" s="10"/>
      <c r="D242" s="14"/>
      <c r="E242" s="157"/>
      <c r="F242" s="10"/>
      <c r="G242" s="17"/>
      <c r="H242" s="10"/>
      <c r="I242" s="17"/>
      <c r="J242" s="83"/>
      <c r="K242" s="343"/>
      <c r="L242" s="347"/>
      <c r="M242" s="10" t="s">
        <v>117</v>
      </c>
      <c r="N242" s="88" t="s">
        <v>112</v>
      </c>
      <c r="O242" s="22">
        <v>20</v>
      </c>
      <c r="P242" s="14" t="s">
        <v>294</v>
      </c>
      <c r="Q242" s="83">
        <f>Enginuity!$B$13*2</f>
        <v>14</v>
      </c>
      <c r="U242" s="104" t="str">
        <f>IF(
  AND(
    TRIM(A242)=TRIM(Enginuity!$A$1),
    TRIM(B242)=TRIM(Enginuity!$A$17),
    Q242&lt;&gt;"",
    Q242&lt;&gt;0,
    OR(
      TRIM(C242)=TRIM(Enginuity!$A$18),
      AND(UPPER(TRIM(M242))="STD", TRIM(B242)=TRIM(Enginuity!$A$17))
    ),
    OR(
      AND(LEFT(P242,5)="1-Way", Enginuity!$B$13=1),
      AND(LEFT(P242,5)="2-Way", OR(Enginuity!$B$13=2, Enginuity!$B$13=4)),
      AND(LEFT(P242,5)="3-Way", OR(Enginuity!$B$13=3, Enginuity!$B$13=6)),
      AND(P242="Inner Centre Jamb", OR(Enginuity!$B$13=4, Enginuity!$B$13=6)),
      AND(
        LEFT(P242,5)&lt;&gt;"1-Way",
        LEFT(P242,5)&lt;&gt;"2-Way",
        LEFT(P242,5)&lt;&gt;"3-Way",
        P242&lt;&gt;"Inner Centre Jamb"
      )
    ),
    IF(OR(Enginuity!$A$1="Frameless Glass",Enginuity!$A$1="Metal Work"),
      AND(TRIM(B242)=TRIM(Enginuity!$A$17),TRIM(C242)=TRIM(Enginuity!$A$18)),
      TRIM(B242)=TRIM(Enginuity!$A$17)
    )
  ),
  ROW(),
  ""
)</f>
        <v/>
      </c>
      <c r="AY242" s="79">
        <f t="shared" ref="AY242:AY281" si="2">AY241</f>
        <v>1.1000000000000001</v>
      </c>
      <c r="AZ242" s="5">
        <v>8</v>
      </c>
      <c r="BA242" t="s">
        <v>1187</v>
      </c>
      <c r="BB242" s="5">
        <f t="shared" si="1"/>
        <v>8.8000000000000007</v>
      </c>
    </row>
    <row r="243" spans="1:54" x14ac:dyDescent="0.25">
      <c r="A243" s="10" t="s">
        <v>254</v>
      </c>
      <c r="B243" s="229" t="s">
        <v>91</v>
      </c>
      <c r="C243" s="10"/>
      <c r="D243" s="14"/>
      <c r="E243" s="157"/>
      <c r="F243" s="10"/>
      <c r="G243" s="17"/>
      <c r="H243" s="10"/>
      <c r="I243" s="17"/>
      <c r="J243" s="83"/>
      <c r="K243" s="343"/>
      <c r="L243" s="347"/>
      <c r="M243" s="10" t="s">
        <v>117</v>
      </c>
      <c r="N243" s="88" t="s">
        <v>111</v>
      </c>
      <c r="O243" s="22">
        <v>38</v>
      </c>
      <c r="P243" s="14" t="s">
        <v>298</v>
      </c>
      <c r="Q243" s="83">
        <f>Enginuity!$B$13*2</f>
        <v>14</v>
      </c>
      <c r="U243" s="104" t="str">
        <f>IF(
  AND(
    TRIM(A243)=TRIM(Enginuity!$A$1),
    TRIM(B243)=TRIM(Enginuity!$A$17),
    Q243&lt;&gt;"",
    Q243&lt;&gt;0,
    OR(
      TRIM(C243)=TRIM(Enginuity!$A$18),
      AND(UPPER(TRIM(M243))="STD", TRIM(B243)=TRIM(Enginuity!$A$17))
    ),
    OR(
      AND(LEFT(P243,5)="1-Way", Enginuity!$B$13=1),
      AND(LEFT(P243,5)="2-Way", OR(Enginuity!$B$13=2, Enginuity!$B$13=4)),
      AND(LEFT(P243,5)="3-Way", OR(Enginuity!$B$13=3, Enginuity!$B$13=6)),
      AND(P243="Inner Centre Jamb", OR(Enginuity!$B$13=4, Enginuity!$B$13=6)),
      AND(
        LEFT(P243,5)&lt;&gt;"1-Way",
        LEFT(P243,5)&lt;&gt;"2-Way",
        LEFT(P243,5)&lt;&gt;"3-Way",
        P243&lt;&gt;"Inner Centre Jamb"
      )
    ),
    IF(OR(Enginuity!$A$1="Frameless Glass",Enginuity!$A$1="Metal Work"),
      AND(TRIM(B243)=TRIM(Enginuity!$A$17),TRIM(C243)=TRIM(Enginuity!$A$18)),
      TRIM(B243)=TRIM(Enginuity!$A$17)
    )
  ),
  ROW(),
  ""
)</f>
        <v/>
      </c>
      <c r="AY243" s="79">
        <f t="shared" si="2"/>
        <v>1.1000000000000001</v>
      </c>
      <c r="AZ243" s="5">
        <v>9</v>
      </c>
      <c r="BA243" t="s">
        <v>1188</v>
      </c>
      <c r="BB243" s="5">
        <f t="shared" si="1"/>
        <v>9.9</v>
      </c>
    </row>
    <row r="244" spans="1:54" x14ac:dyDescent="0.25">
      <c r="A244" s="10" t="s">
        <v>254</v>
      </c>
      <c r="B244" s="229" t="s">
        <v>91</v>
      </c>
      <c r="C244" s="10"/>
      <c r="D244" s="14"/>
      <c r="E244" s="157"/>
      <c r="F244" s="10"/>
      <c r="G244" s="17"/>
      <c r="H244" s="10"/>
      <c r="I244" s="17"/>
      <c r="J244" s="83"/>
      <c r="K244" s="343"/>
      <c r="L244" s="347"/>
      <c r="M244" s="10" t="s">
        <v>117</v>
      </c>
      <c r="N244" s="10" t="s">
        <v>103</v>
      </c>
      <c r="O244" s="22">
        <v>1.19166666666666</v>
      </c>
      <c r="P244" s="14" t="s">
        <v>295</v>
      </c>
      <c r="Q244" s="83">
        <f>Enginuity!$B$6*2</f>
        <v>40</v>
      </c>
      <c r="U244" s="104" t="str">
        <f>IF(
  AND(
    TRIM(A244)=TRIM(Enginuity!$A$1),
    TRIM(B244)=TRIM(Enginuity!$A$17),
    Q244&lt;&gt;"",
    Q244&lt;&gt;0,
    OR(
      TRIM(C244)=TRIM(Enginuity!$A$18),
      AND(UPPER(TRIM(M244))="STD", TRIM(B244)=TRIM(Enginuity!$A$17))
    ),
    OR(
      AND(LEFT(P244,5)="1-Way", Enginuity!$B$13=1),
      AND(LEFT(P244,5)="2-Way", OR(Enginuity!$B$13=2, Enginuity!$B$13=4)),
      AND(LEFT(P244,5)="3-Way", OR(Enginuity!$B$13=3, Enginuity!$B$13=6)),
      AND(P244="Inner Centre Jamb", OR(Enginuity!$B$13=4, Enginuity!$B$13=6)),
      AND(
        LEFT(P244,5)&lt;&gt;"1-Way",
        LEFT(P244,5)&lt;&gt;"2-Way",
        LEFT(P244,5)&lt;&gt;"3-Way",
        P244&lt;&gt;"Inner Centre Jamb"
      )
    ),
    IF(OR(Enginuity!$A$1="Frameless Glass",Enginuity!$A$1="Metal Work"),
      AND(TRIM(B244)=TRIM(Enginuity!$A$17),TRIM(C244)=TRIM(Enginuity!$A$18)),
      TRIM(B244)=TRIM(Enginuity!$A$17)
    )
  ),
  ROW(),
  ""
)</f>
        <v/>
      </c>
      <c r="AY244" s="79">
        <f t="shared" si="2"/>
        <v>1.1000000000000001</v>
      </c>
      <c r="AZ244" s="5">
        <v>10</v>
      </c>
      <c r="BA244" t="s">
        <v>1189</v>
      </c>
      <c r="BB244" s="5">
        <f t="shared" si="1"/>
        <v>11</v>
      </c>
    </row>
    <row r="245" spans="1:54" x14ac:dyDescent="0.25">
      <c r="A245" s="10" t="s">
        <v>254</v>
      </c>
      <c r="B245" s="229" t="s">
        <v>91</v>
      </c>
      <c r="C245" s="10"/>
      <c r="D245" s="14"/>
      <c r="E245" s="157"/>
      <c r="F245" s="10"/>
      <c r="G245" s="17"/>
      <c r="H245" s="10"/>
      <c r="I245" s="17"/>
      <c r="J245" s="83"/>
      <c r="K245" s="343"/>
      <c r="L245" s="347"/>
      <c r="M245" s="10" t="s">
        <v>117</v>
      </c>
      <c r="N245" s="88" t="s">
        <v>112</v>
      </c>
      <c r="O245" s="22">
        <v>16</v>
      </c>
      <c r="P245" s="14" t="s">
        <v>296</v>
      </c>
      <c r="Q245" s="83">
        <f>IF(Enginuity!$B$13-1=0, "", Enginuity!$B$13-1)</f>
        <v>6</v>
      </c>
      <c r="U245" s="104" t="str">
        <f>IF(
  AND(
    TRIM(A245)=TRIM(Enginuity!$A$1),
    TRIM(B245)=TRIM(Enginuity!$A$17),
    Q245&lt;&gt;"",
    Q245&lt;&gt;0,
    OR(
      TRIM(C245)=TRIM(Enginuity!$A$18),
      AND(UPPER(TRIM(M245))="STD", TRIM(B245)=TRIM(Enginuity!$A$17))
    ),
    OR(
      AND(LEFT(P245,5)="1-Way", Enginuity!$B$13=1),
      AND(LEFT(P245,5)="2-Way", OR(Enginuity!$B$13=2, Enginuity!$B$13=4)),
      AND(LEFT(P245,5)="3-Way", OR(Enginuity!$B$13=3, Enginuity!$B$13=6)),
      AND(P245="Inner Centre Jamb", OR(Enginuity!$B$13=4, Enginuity!$B$13=6)),
      AND(
        LEFT(P245,5)&lt;&gt;"1-Way",
        LEFT(P245,5)&lt;&gt;"2-Way",
        LEFT(P245,5)&lt;&gt;"3-Way",
        P245&lt;&gt;"Inner Centre Jamb"
      )
    ),
    IF(OR(Enginuity!$A$1="Frameless Glass",Enginuity!$A$1="Metal Work"),
      AND(TRIM(B245)=TRIM(Enginuity!$A$17),TRIM(C245)=TRIM(Enginuity!$A$18)),
      TRIM(B245)=TRIM(Enginuity!$A$17)
    )
  ),
  ROW(),
  ""
)</f>
        <v/>
      </c>
      <c r="AY245" s="79">
        <f t="shared" si="2"/>
        <v>1.1000000000000001</v>
      </c>
      <c r="AZ245" s="5">
        <v>11</v>
      </c>
      <c r="BA245" t="s">
        <v>1190</v>
      </c>
      <c r="BB245" s="5">
        <f t="shared" si="1"/>
        <v>12.100000000000001</v>
      </c>
    </row>
    <row r="246" spans="1:54" x14ac:dyDescent="0.25">
      <c r="A246" s="17" t="s">
        <v>254</v>
      </c>
      <c r="B246" s="230" t="s">
        <v>91</v>
      </c>
      <c r="C246" s="17"/>
      <c r="D246" s="18"/>
      <c r="E246" s="238"/>
      <c r="F246" s="17"/>
      <c r="G246" s="17"/>
      <c r="H246" s="10"/>
      <c r="I246" s="17"/>
      <c r="J246" s="83"/>
      <c r="K246" s="343"/>
      <c r="L246" s="347"/>
      <c r="M246" s="17" t="s">
        <v>117</v>
      </c>
      <c r="N246" s="91" t="s">
        <v>112</v>
      </c>
      <c r="O246" s="25">
        <v>5</v>
      </c>
      <c r="P246" s="18" t="s">
        <v>297</v>
      </c>
      <c r="Q246" s="84">
        <f>IF(Enginuity!$B$13-1=0, "", Enginuity!$B$13-1)</f>
        <v>6</v>
      </c>
      <c r="U246" s="104" t="str">
        <f>IF(
  AND(
    TRIM(A246)=TRIM(Enginuity!$A$1),
    TRIM(B246)=TRIM(Enginuity!$A$17),
    Q246&lt;&gt;"",
    Q246&lt;&gt;0,
    OR(
      TRIM(C246)=TRIM(Enginuity!$A$18),
      AND(UPPER(TRIM(M246))="STD", TRIM(B246)=TRIM(Enginuity!$A$17))
    ),
    OR(
      AND(LEFT(P246,5)="1-Way", Enginuity!$B$13=1),
      AND(LEFT(P246,5)="2-Way", OR(Enginuity!$B$13=2, Enginuity!$B$13=4)),
      AND(LEFT(P246,5)="3-Way", OR(Enginuity!$B$13=3, Enginuity!$B$13=6)),
      AND(P246="Inner Centre Jamb", OR(Enginuity!$B$13=4, Enginuity!$B$13=6)),
      AND(
        LEFT(P246,5)&lt;&gt;"1-Way",
        LEFT(P246,5)&lt;&gt;"2-Way",
        LEFT(P246,5)&lt;&gt;"3-Way",
        P246&lt;&gt;"Inner Centre Jamb"
      )
    ),
    IF(OR(Enginuity!$A$1="Frameless Glass",Enginuity!$A$1="Metal Work"),
      AND(TRIM(B246)=TRIM(Enginuity!$A$17),TRIM(C246)=TRIM(Enginuity!$A$18)),
      TRIM(B246)=TRIM(Enginuity!$A$17)
    )
  ),
  ROW(),
  ""
)</f>
        <v/>
      </c>
      <c r="AY246" s="79">
        <f t="shared" si="2"/>
        <v>1.1000000000000001</v>
      </c>
      <c r="AZ246" s="5">
        <v>29</v>
      </c>
      <c r="BA246" t="s">
        <v>1191</v>
      </c>
      <c r="BB246" s="5">
        <f t="shared" si="1"/>
        <v>31.900000000000002</v>
      </c>
    </row>
    <row r="247" spans="1:54" x14ac:dyDescent="0.25">
      <c r="A247" s="10" t="s">
        <v>254</v>
      </c>
      <c r="B247" s="229" t="s">
        <v>92</v>
      </c>
      <c r="C247" s="10" t="s">
        <v>107</v>
      </c>
      <c r="D247" s="14" t="str" cm="1">
        <f t="array" ref="D247:D256">IFERROR(INDEX(_xlfn._xlws.FILTER(AllMaterialsbak!$BA$2:$BA$30, AllMaterialsbak!$BA$2:$BA$30&lt;&gt;""), _xlfn.SEQUENCE(10)), "")</f>
        <v>Default</v>
      </c>
      <c r="E247" s="157" t="s">
        <v>257</v>
      </c>
      <c r="F247" s="14" t="s">
        <v>305</v>
      </c>
      <c r="G247" s="17" t="s">
        <v>352</v>
      </c>
      <c r="H247" s="10" t="s">
        <v>9</v>
      </c>
      <c r="I247" s="17"/>
      <c r="J247" s="83"/>
      <c r="K247" s="344">
        <v>0.62962300000000004</v>
      </c>
      <c r="L247" s="347">
        <v>914.4</v>
      </c>
      <c r="M247" s="89">
        <v>1</v>
      </c>
      <c r="N247" s="10" t="s">
        <v>103</v>
      </c>
      <c r="O247" s="22">
        <v>4.7</v>
      </c>
      <c r="P247" s="86" t="str">
        <f>$P$3</f>
        <v>Inner Frame</v>
      </c>
      <c r="Q247" s="83">
        <f>$Q$3</f>
        <v>222</v>
      </c>
      <c r="U247" s="104" t="str">
        <f>IF(
  AND(
    TRIM(A247)=TRIM(Enginuity!$A$1),
    TRIM(B247)=TRIM(Enginuity!$A$17),
    Q247&lt;&gt;"",
    Q247&lt;&gt;0,
    OR(
      TRIM(C247)=TRIM(Enginuity!$A$18),
      AND(UPPER(TRIM(M247))="STD", TRIM(B247)=TRIM(Enginuity!$A$17))
    ),
    OR(
      AND(LEFT(P247,5)="1-Way", Enginuity!$B$13=1),
      AND(LEFT(P247,5)="2-Way", OR(Enginuity!$B$13=2, Enginuity!$B$13=4)),
      AND(LEFT(P247,5)="3-Way", OR(Enginuity!$B$13=3, Enginuity!$B$13=6)),
      AND(P247="Inner Centre Jamb", OR(Enginuity!$B$13=4, Enginuity!$B$13=6)),
      AND(
        LEFT(P247,5)&lt;&gt;"1-Way",
        LEFT(P247,5)&lt;&gt;"2-Way",
        LEFT(P247,5)&lt;&gt;"3-Way",
        P247&lt;&gt;"Inner Centre Jamb"
      )
    ),
    IF(OR(Enginuity!$A$1="Frameless Glass",Enginuity!$A$1="Metal Work"),
      AND(TRIM(B247)=TRIM(Enginuity!$A$17),TRIM(C247)=TRIM(Enginuity!$A$18)),
      TRIM(B247)=TRIM(Enginuity!$A$17)
    )
  ),
  ROW(),
  ""
)</f>
        <v/>
      </c>
      <c r="AY247" s="79">
        <f t="shared" si="2"/>
        <v>1.1000000000000001</v>
      </c>
      <c r="AZ247" s="5">
        <v>39</v>
      </c>
      <c r="BA247" t="s">
        <v>1192</v>
      </c>
      <c r="BB247" s="5">
        <f t="shared" si="1"/>
        <v>42.900000000000006</v>
      </c>
    </row>
    <row r="248" spans="1:54" x14ac:dyDescent="0.25">
      <c r="A248" s="10" t="s">
        <v>254</v>
      </c>
      <c r="B248" s="229" t="s">
        <v>92</v>
      </c>
      <c r="C248" s="10" t="s">
        <v>107</v>
      </c>
      <c r="D248" s="14" t="str">
        <v xml:space="preserve">2" Louver Blade N/A </v>
      </c>
      <c r="E248" s="157" t="s">
        <v>269</v>
      </c>
      <c r="F248" s="14"/>
      <c r="G248" s="17" t="s">
        <v>356</v>
      </c>
      <c r="H248" s="10"/>
      <c r="I248" s="17"/>
      <c r="J248" s="83"/>
      <c r="K248" s="343"/>
      <c r="L248" s="347"/>
      <c r="M248" s="89">
        <v>2</v>
      </c>
      <c r="N248" s="10" t="s">
        <v>103</v>
      </c>
      <c r="O248" s="22">
        <v>2.5</v>
      </c>
      <c r="P248" s="14" t="s">
        <v>304</v>
      </c>
      <c r="Q248" s="83">
        <f>IF(Enginuity!$B$13&gt;=2, Enginuity!$B$7*2, "")</f>
        <v>26</v>
      </c>
      <c r="U248" s="104" t="str">
        <f>IF(
  AND(
    TRIM(A248)=TRIM(Enginuity!$A$1),
    TRIM(B248)=TRIM(Enginuity!$A$17),
    Q248&lt;&gt;"",
    Q248&lt;&gt;0,
    OR(
      TRIM(C248)=TRIM(Enginuity!$A$18),
      AND(UPPER(TRIM(M248))="STD", TRIM(B248)=TRIM(Enginuity!$A$17))
    ),
    OR(
      AND(LEFT(P248,5)="1-Way", Enginuity!$B$13=1),
      AND(LEFT(P248,5)="2-Way", OR(Enginuity!$B$13=2, Enginuity!$B$13=4)),
      AND(LEFT(P248,5)="3-Way", OR(Enginuity!$B$13=3, Enginuity!$B$13=6)),
      AND(P248="Inner Centre Jamb", OR(Enginuity!$B$13=4, Enginuity!$B$13=6)),
      AND(
        LEFT(P248,5)&lt;&gt;"1-Way",
        LEFT(P248,5)&lt;&gt;"2-Way",
        LEFT(P248,5)&lt;&gt;"3-Way",
        P248&lt;&gt;"Inner Centre Jamb"
      )
    ),
    IF(OR(Enginuity!$A$1="Frameless Glass",Enginuity!$A$1="Metal Work"),
      AND(TRIM(B248)=TRIM(Enginuity!$A$17),TRIM(C248)=TRIM(Enginuity!$A$18)),
      TRIM(B248)=TRIM(Enginuity!$A$17)
    )
  ),
  ROW(),
  ""
)</f>
        <v/>
      </c>
      <c r="AY248" s="79">
        <f t="shared" si="2"/>
        <v>1.1000000000000001</v>
      </c>
      <c r="AZ248" s="5">
        <v>10.35</v>
      </c>
      <c r="BA248" t="s">
        <v>1193</v>
      </c>
      <c r="BB248" s="5">
        <f t="shared" si="1"/>
        <v>11.385</v>
      </c>
    </row>
    <row r="249" spans="1:54" x14ac:dyDescent="0.25">
      <c r="A249" s="10" t="s">
        <v>254</v>
      </c>
      <c r="B249" s="229" t="s">
        <v>92</v>
      </c>
      <c r="C249" s="10" t="s">
        <v>107</v>
      </c>
      <c r="D249" s="14" t="str">
        <v>2" Louver Blade P/C</v>
      </c>
      <c r="E249" s="157"/>
      <c r="F249" s="10"/>
      <c r="G249" s="17"/>
      <c r="H249" s="10"/>
      <c r="I249" s="17"/>
      <c r="J249" s="83"/>
      <c r="K249" s="343"/>
      <c r="L249" s="347"/>
      <c r="M249" s="89">
        <v>3</v>
      </c>
      <c r="N249" s="10" t="s">
        <v>176</v>
      </c>
      <c r="O249" s="22" t="str">
        <f>IF(Enginuity!$A$20="", "",
 IF(Enginuity!$A$20="Lattice Design", $F$9,
 IF(Enginuity!$A$20="Lattice Design 12 Box / Panel", $F$10,
 ""))
)</f>
        <v/>
      </c>
      <c r="P249" s="5" t="str">
        <f>Enginuity!$A$20</f>
        <v>Z-Louvre Blade - 5"</v>
      </c>
      <c r="Q249" s="22" t="str">
        <f>IF(O249&lt;&gt;"",1,"")</f>
        <v/>
      </c>
      <c r="U249" s="104" t="str">
        <f>IF(
  AND(
    TRIM(A249)=TRIM(Enginuity!$A$1),
    TRIM(B249)=TRIM(Enginuity!$A$17),
    Q249&lt;&gt;"",
    Q249&lt;&gt;0,
    OR(
      TRIM(C249)=TRIM(Enginuity!$A$18),
      AND(UPPER(TRIM(M249))="STD", TRIM(B249)=TRIM(Enginuity!$A$17))
    ),
    OR(
      AND(LEFT(P249,5)="1-Way", Enginuity!$B$13=1),
      AND(LEFT(P249,5)="2-Way", OR(Enginuity!$B$13=2, Enginuity!$B$13=4)),
      AND(LEFT(P249,5)="3-Way", OR(Enginuity!$B$13=3, Enginuity!$B$13=6)),
      AND(P249="Inner Centre Jamb", OR(Enginuity!$B$13=4, Enginuity!$B$13=6)),
      AND(
        LEFT(P249,5)&lt;&gt;"1-Way",
        LEFT(P249,5)&lt;&gt;"2-Way",
        LEFT(P249,5)&lt;&gt;"3-Way",
        P249&lt;&gt;"Inner Centre Jamb"
      )
    ),
    IF(OR(Enginuity!$A$1="Frameless Glass",Enginuity!$A$1="Metal Work"),
      AND(TRIM(B249)=TRIM(Enginuity!$A$17),TRIM(C249)=TRIM(Enginuity!$A$18)),
      TRIM(B249)=TRIM(Enginuity!$A$17)
    )
  ),
  ROW(),
  ""
)</f>
        <v/>
      </c>
      <c r="AY249" s="79">
        <f t="shared" si="2"/>
        <v>1.1000000000000001</v>
      </c>
      <c r="AZ249" s="5">
        <v>11.45</v>
      </c>
      <c r="BA249" t="s">
        <v>1194</v>
      </c>
      <c r="BB249" s="5">
        <f t="shared" si="1"/>
        <v>12.595000000000001</v>
      </c>
    </row>
    <row r="250" spans="1:54" x14ac:dyDescent="0.25">
      <c r="A250" s="10" t="s">
        <v>254</v>
      </c>
      <c r="B250" s="229" t="s">
        <v>92</v>
      </c>
      <c r="C250" s="10" t="s">
        <v>107</v>
      </c>
      <c r="D250" s="14" t="str">
        <v xml:space="preserve">5" Louver Blade N/A </v>
      </c>
      <c r="E250" s="157"/>
      <c r="F250" s="10"/>
      <c r="G250" s="17"/>
      <c r="H250" s="10"/>
      <c r="I250" s="17"/>
      <c r="J250" s="83"/>
      <c r="K250" s="343"/>
      <c r="L250" s="347"/>
      <c r="M250" s="89">
        <v>4</v>
      </c>
      <c r="N250" s="10" t="s">
        <v>103</v>
      </c>
      <c r="O250" s="22">
        <v>5.01</v>
      </c>
      <c r="P250" s="106" t="str">
        <f>Enginuity!$A$21</f>
        <v>SF 4"</v>
      </c>
      <c r="Q250" s="83" t="str">
        <f>IF(AND(TRIM(Enginuity!$A$21)="Door Frame",LEN(TRIM(Enginuity!$B$6&amp;""))&gt;0,LEN(TRIM(Enginuity!$B$7&amp;""))&gt;0),IFERROR(VALUE(Enginuity!$B$6)+VALUE(Enginuity!$B$7)*2,""),"")</f>
        <v/>
      </c>
      <c r="U250" s="104" t="str">
        <f>IF(
  AND(
    TRIM(A250)=TRIM(Enginuity!$A$1),
    TRIM(B250)=TRIM(Enginuity!$A$17),
    Q250&lt;&gt;"",
    Q250&lt;&gt;0,
    OR(
      TRIM(C250)=TRIM(Enginuity!$A$18),
      AND(UPPER(TRIM(M250))="STD", TRIM(B250)=TRIM(Enginuity!$A$17))
    ),
    OR(
      AND(LEFT(P250,5)="1-Way", Enginuity!$B$13=1),
      AND(LEFT(P250,5)="2-Way", OR(Enginuity!$B$13=2, Enginuity!$B$13=4)),
      AND(LEFT(P250,5)="3-Way", OR(Enginuity!$B$13=3, Enginuity!$B$13=6)),
      AND(P250="Inner Centre Jamb", OR(Enginuity!$B$13=4, Enginuity!$B$13=6)),
      AND(
        LEFT(P250,5)&lt;&gt;"1-Way",
        LEFT(P250,5)&lt;&gt;"2-Way",
        LEFT(P250,5)&lt;&gt;"3-Way",
        P250&lt;&gt;"Inner Centre Jamb"
      )
    ),
    IF(OR(Enginuity!$A$1="Frameless Glass",Enginuity!$A$1="Metal Work"),
      AND(TRIM(B250)=TRIM(Enginuity!$A$17),TRIM(C250)=TRIM(Enginuity!$A$18)),
      TRIM(B250)=TRIM(Enginuity!$A$17)
    )
  ),
  ROW(),
  ""
)</f>
        <v/>
      </c>
      <c r="AY250" s="79">
        <f t="shared" si="2"/>
        <v>1.1000000000000001</v>
      </c>
      <c r="AZ250" s="5">
        <v>16.95</v>
      </c>
      <c r="BA250" t="s">
        <v>1195</v>
      </c>
      <c r="BB250" s="5">
        <f t="shared" si="1"/>
        <v>18.645</v>
      </c>
    </row>
    <row r="251" spans="1:54" x14ac:dyDescent="0.25">
      <c r="A251" s="10" t="s">
        <v>254</v>
      </c>
      <c r="B251" s="229" t="s">
        <v>92</v>
      </c>
      <c r="C251" s="10" t="s">
        <v>107</v>
      </c>
      <c r="D251" s="14" t="str">
        <v>5" Louver Blade P/C</v>
      </c>
      <c r="E251" s="157"/>
      <c r="F251" s="10"/>
      <c r="G251" s="17"/>
      <c r="H251" s="10"/>
      <c r="I251" s="17"/>
      <c r="J251" s="83"/>
      <c r="K251" s="343"/>
      <c r="L251" s="347"/>
      <c r="M251" s="89">
        <v>5</v>
      </c>
      <c r="N251" s="10" t="s">
        <v>176</v>
      </c>
      <c r="O251" s="22" t="str">
        <f>IF(Enginuity!$A$22="12""H Top Hung Standard Casement Profile", $F$11,
IF(Enginuity!$A$22="12""H Top / Bottom Fix Standard Casement Profile", $F$12,
""))</f>
        <v/>
      </c>
      <c r="P251" s="106" t="str">
        <f>Enginuity!$A$22</f>
        <v>▼ [Lattice]</v>
      </c>
      <c r="Q251" s="22" t="str">
        <f>IF(O251&lt;&gt;"",1,"")</f>
        <v/>
      </c>
      <c r="U251" s="104" t="str">
        <f>IF(
  AND(
    TRIM(A251)=TRIM(Enginuity!$A$1),
    TRIM(B251)=TRIM(Enginuity!$A$17),
    Q251&lt;&gt;"",
    Q251&lt;&gt;0,
    OR(
      TRIM(C251)=TRIM(Enginuity!$A$18),
      AND(UPPER(TRIM(M251))="STD", TRIM(B251)=TRIM(Enginuity!$A$17))
    ),
    OR(
      AND(LEFT(P251,5)="1-Way", Enginuity!$B$13=1),
      AND(LEFT(P251,5)="2-Way", OR(Enginuity!$B$13=2, Enginuity!$B$13=4)),
      AND(LEFT(P251,5)="3-Way", OR(Enginuity!$B$13=3, Enginuity!$B$13=6)),
      AND(P251="Inner Centre Jamb", OR(Enginuity!$B$13=4, Enginuity!$B$13=6)),
      AND(
        LEFT(P251,5)&lt;&gt;"1-Way",
        LEFT(P251,5)&lt;&gt;"2-Way",
        LEFT(P251,5)&lt;&gt;"3-Way",
        P251&lt;&gt;"Inner Centre Jamb"
      )
    ),
    IF(OR(Enginuity!$A$1="Frameless Glass",Enginuity!$A$1="Metal Work"),
      AND(TRIM(B251)=TRIM(Enginuity!$A$17),TRIM(C251)=TRIM(Enginuity!$A$18)),
      TRIM(B251)=TRIM(Enginuity!$A$17)
    )
  ),
  ROW(),
  ""
)</f>
        <v/>
      </c>
      <c r="AY251" s="79">
        <f t="shared" si="2"/>
        <v>1.1000000000000001</v>
      </c>
      <c r="AZ251" s="5">
        <v>19.149999999999999</v>
      </c>
      <c r="BA251" t="s">
        <v>1196</v>
      </c>
      <c r="BB251" s="5">
        <f t="shared" si="1"/>
        <v>21.065000000000001</v>
      </c>
    </row>
    <row r="252" spans="1:54" x14ac:dyDescent="0.25">
      <c r="A252" s="10" t="s">
        <v>254</v>
      </c>
      <c r="B252" s="229" t="s">
        <v>92</v>
      </c>
      <c r="C252" s="10" t="s">
        <v>107</v>
      </c>
      <c r="D252" s="14" t="str">
        <v/>
      </c>
      <c r="E252" s="157"/>
      <c r="F252" s="10"/>
      <c r="G252" s="17"/>
      <c r="H252" s="10"/>
      <c r="I252" s="17"/>
      <c r="J252" s="83"/>
      <c r="K252" s="343"/>
      <c r="L252" s="347"/>
      <c r="M252" s="89">
        <v>6</v>
      </c>
      <c r="N252" s="10" t="s">
        <v>176</v>
      </c>
      <c r="O252" s="22" t="str">
        <f>IF(Enginuity!$A$23="Subframe 1"" X 2""", $J$2, "")</f>
        <v/>
      </c>
      <c r="P252" s="106">
        <f>Enginuity!$A$23</f>
        <v>0</v>
      </c>
      <c r="Q252" s="22" t="str">
        <f>IF(O252&lt;&gt;"",1,"")</f>
        <v/>
      </c>
      <c r="U252" s="104" t="str">
        <f>IF(
  AND(
    TRIM(A252)=TRIM(Enginuity!$A$1),
    TRIM(B252)=TRIM(Enginuity!$A$17),
    Q252&lt;&gt;"",
    Q252&lt;&gt;0,
    OR(
      TRIM(C252)=TRIM(Enginuity!$A$18),
      AND(UPPER(TRIM(M252))="STD", TRIM(B252)=TRIM(Enginuity!$A$17))
    ),
    OR(
      AND(LEFT(P252,5)="1-Way", Enginuity!$B$13=1),
      AND(LEFT(P252,5)="2-Way", OR(Enginuity!$B$13=2, Enginuity!$B$13=4)),
      AND(LEFT(P252,5)="3-Way", OR(Enginuity!$B$13=3, Enginuity!$B$13=6)),
      AND(P252="Inner Centre Jamb", OR(Enginuity!$B$13=4, Enginuity!$B$13=6)),
      AND(
        LEFT(P252,5)&lt;&gt;"1-Way",
        LEFT(P252,5)&lt;&gt;"2-Way",
        LEFT(P252,5)&lt;&gt;"3-Way",
        P252&lt;&gt;"Inner Centre Jamb"
      )
    ),
    IF(OR(Enginuity!$A$1="Frameless Glass",Enginuity!$A$1="Metal Work"),
      AND(TRIM(B252)=TRIM(Enginuity!$A$17),TRIM(C252)=TRIM(Enginuity!$A$18)),
      TRIM(B252)=TRIM(Enginuity!$A$17)
    )
  ),
  ROW(),
  ""
)</f>
        <v/>
      </c>
      <c r="AY252" s="79">
        <f t="shared" si="2"/>
        <v>1.1000000000000001</v>
      </c>
      <c r="AZ252" s="5">
        <v>20.25</v>
      </c>
      <c r="BA252" t="s">
        <v>1197</v>
      </c>
      <c r="BB252" s="5">
        <f t="shared" si="1"/>
        <v>22.275000000000002</v>
      </c>
    </row>
    <row r="253" spans="1:54" x14ac:dyDescent="0.25">
      <c r="A253" s="10" t="s">
        <v>254</v>
      </c>
      <c r="B253" s="229" t="s">
        <v>92</v>
      </c>
      <c r="C253" s="10" t="s">
        <v>107</v>
      </c>
      <c r="D253" s="14" t="str">
        <v/>
      </c>
      <c r="E253" s="157"/>
      <c r="F253" s="10"/>
      <c r="G253" s="17"/>
      <c r="H253" s="10"/>
      <c r="I253" s="17"/>
      <c r="J253" s="83"/>
      <c r="K253" s="343"/>
      <c r="L253" s="347"/>
      <c r="M253" s="89">
        <v>7</v>
      </c>
      <c r="N253" s="10"/>
      <c r="O253" s="22"/>
      <c r="P253" s="14"/>
      <c r="Q253" s="83"/>
      <c r="U253" s="104" t="str">
        <f>IF(
  AND(
    TRIM(A253)=TRIM(Enginuity!$A$1),
    TRIM(B253)=TRIM(Enginuity!$A$17),
    Q253&lt;&gt;"",
    Q253&lt;&gt;0,
    OR(
      TRIM(C253)=TRIM(Enginuity!$A$18),
      AND(UPPER(TRIM(M253))="STD", TRIM(B253)=TRIM(Enginuity!$A$17))
    ),
    OR(
      AND(LEFT(P253,5)="1-Way", Enginuity!$B$13=1),
      AND(LEFT(P253,5)="2-Way", OR(Enginuity!$B$13=2, Enginuity!$B$13=4)),
      AND(LEFT(P253,5)="3-Way", OR(Enginuity!$B$13=3, Enginuity!$B$13=6)),
      AND(P253="Inner Centre Jamb", OR(Enginuity!$B$13=4, Enginuity!$B$13=6)),
      AND(
        LEFT(P253,5)&lt;&gt;"1-Way",
        LEFT(P253,5)&lt;&gt;"2-Way",
        LEFT(P253,5)&lt;&gt;"3-Way",
        P253&lt;&gt;"Inner Centre Jamb"
      )
    ),
    IF(OR(Enginuity!$A$1="Frameless Glass",Enginuity!$A$1="Metal Work"),
      AND(TRIM(B253)=TRIM(Enginuity!$A$17),TRIM(C253)=TRIM(Enginuity!$A$18)),
      TRIM(B253)=TRIM(Enginuity!$A$17)
    )
  ),
  ROW(),
  ""
)</f>
        <v/>
      </c>
      <c r="AY253" s="79">
        <f t="shared" si="2"/>
        <v>1.1000000000000001</v>
      </c>
      <c r="AZ253" s="5">
        <v>9.8000000000000007</v>
      </c>
      <c r="BA253" t="s">
        <v>1198</v>
      </c>
      <c r="BB253" s="5">
        <f t="shared" si="1"/>
        <v>10.780000000000001</v>
      </c>
    </row>
    <row r="254" spans="1:54" x14ac:dyDescent="0.25">
      <c r="A254" s="10" t="s">
        <v>254</v>
      </c>
      <c r="B254" s="229" t="s">
        <v>92</v>
      </c>
      <c r="C254" s="10" t="s">
        <v>107</v>
      </c>
      <c r="D254" s="15" t="str">
        <v/>
      </c>
      <c r="E254" s="240"/>
      <c r="F254" s="10"/>
      <c r="G254" s="17"/>
      <c r="H254" s="10"/>
      <c r="I254" s="17"/>
      <c r="J254" s="83"/>
      <c r="K254" s="343"/>
      <c r="L254" s="347"/>
      <c r="M254" s="89">
        <v>8</v>
      </c>
      <c r="N254" s="10"/>
      <c r="O254" s="22"/>
      <c r="P254" s="14"/>
      <c r="Q254" s="83"/>
      <c r="U254" s="104" t="str">
        <f>IF(
  AND(
    TRIM(A254)=TRIM(Enginuity!$A$1),
    TRIM(B254)=TRIM(Enginuity!$A$17),
    Q254&lt;&gt;"",
    Q254&lt;&gt;0,
    OR(
      TRIM(C254)=TRIM(Enginuity!$A$18),
      AND(UPPER(TRIM(M254))="STD", TRIM(B254)=TRIM(Enginuity!$A$17))
    ),
    OR(
      AND(LEFT(P254,5)="1-Way", Enginuity!$B$13=1),
      AND(LEFT(P254,5)="2-Way", OR(Enginuity!$B$13=2, Enginuity!$B$13=4)),
      AND(LEFT(P254,5)="3-Way", OR(Enginuity!$B$13=3, Enginuity!$B$13=6)),
      AND(P254="Inner Centre Jamb", OR(Enginuity!$B$13=4, Enginuity!$B$13=6)),
      AND(
        LEFT(P254,5)&lt;&gt;"1-Way",
        LEFT(P254,5)&lt;&gt;"2-Way",
        LEFT(P254,5)&lt;&gt;"3-Way",
        P254&lt;&gt;"Inner Centre Jamb"
      )
    ),
    IF(OR(Enginuity!$A$1="Frameless Glass",Enginuity!$A$1="Metal Work"),
      AND(TRIM(B254)=TRIM(Enginuity!$A$17),TRIM(C254)=TRIM(Enginuity!$A$18)),
      TRIM(B254)=TRIM(Enginuity!$A$17)
    )
  ),
  ROW(),
  ""
)</f>
        <v/>
      </c>
      <c r="AY254" s="79">
        <f t="shared" si="2"/>
        <v>1.1000000000000001</v>
      </c>
      <c r="AZ254" s="5">
        <v>10.9</v>
      </c>
      <c r="BA254" t="s">
        <v>1199</v>
      </c>
      <c r="BB254" s="5">
        <f t="shared" si="1"/>
        <v>11.990000000000002</v>
      </c>
    </row>
    <row r="255" spans="1:54" x14ac:dyDescent="0.25">
      <c r="A255" s="10" t="s">
        <v>254</v>
      </c>
      <c r="B255" s="229" t="s">
        <v>92</v>
      </c>
      <c r="C255" s="10"/>
      <c r="D255" s="14" t="str">
        <v/>
      </c>
      <c r="E255" s="157"/>
      <c r="F255" s="10"/>
      <c r="G255" s="17"/>
      <c r="H255" s="10"/>
      <c r="I255" s="17"/>
      <c r="J255" s="83"/>
      <c r="K255" s="343"/>
      <c r="L255" s="347"/>
      <c r="M255" s="89">
        <v>9</v>
      </c>
      <c r="N255" s="10"/>
      <c r="O255" s="22"/>
      <c r="P255" s="14"/>
      <c r="Q255" s="83"/>
      <c r="U255" s="104" t="str">
        <f>IF(
  AND(
    TRIM(A255)=TRIM(Enginuity!$A$1),
    TRIM(B255)=TRIM(Enginuity!$A$17),
    Q255&lt;&gt;"",
    Q255&lt;&gt;0,
    OR(
      TRIM(C255)=TRIM(Enginuity!$A$18),
      AND(UPPER(TRIM(M255))="STD", TRIM(B255)=TRIM(Enginuity!$A$17))
    ),
    OR(
      AND(LEFT(P255,5)="1-Way", Enginuity!$B$13=1),
      AND(LEFT(P255,5)="2-Way", OR(Enginuity!$B$13=2, Enginuity!$B$13=4)),
      AND(LEFT(P255,5)="3-Way", OR(Enginuity!$B$13=3, Enginuity!$B$13=6)),
      AND(P255="Inner Centre Jamb", OR(Enginuity!$B$13=4, Enginuity!$B$13=6)),
      AND(
        LEFT(P255,5)&lt;&gt;"1-Way",
        LEFT(P255,5)&lt;&gt;"2-Way",
        LEFT(P255,5)&lt;&gt;"3-Way",
        P255&lt;&gt;"Inner Centre Jamb"
      )
    ),
    IF(OR(Enginuity!$A$1="Frameless Glass",Enginuity!$A$1="Metal Work"),
      AND(TRIM(B255)=TRIM(Enginuity!$A$17),TRIM(C255)=TRIM(Enginuity!$A$18)),
      TRIM(B255)=TRIM(Enginuity!$A$17)
    )
  ),
  ROW(),
  ""
)</f>
        <v/>
      </c>
      <c r="AY255" s="79">
        <f t="shared" si="2"/>
        <v>1.1000000000000001</v>
      </c>
      <c r="AZ255" s="5">
        <v>12.55</v>
      </c>
      <c r="BA255" t="s">
        <v>1200</v>
      </c>
      <c r="BB255" s="5">
        <f t="shared" si="1"/>
        <v>13.805000000000001</v>
      </c>
    </row>
    <row r="256" spans="1:54" x14ac:dyDescent="0.25">
      <c r="A256" s="10" t="s">
        <v>254</v>
      </c>
      <c r="B256" s="229" t="s">
        <v>92</v>
      </c>
      <c r="C256" s="10"/>
      <c r="D256" s="14" t="str">
        <v/>
      </c>
      <c r="E256" s="157"/>
      <c r="F256" s="10"/>
      <c r="G256" s="17"/>
      <c r="H256" s="10"/>
      <c r="I256" s="17"/>
      <c r="J256" s="83"/>
      <c r="K256" s="343"/>
      <c r="L256" s="347"/>
      <c r="M256" s="89">
        <v>10</v>
      </c>
      <c r="N256" s="10"/>
      <c r="O256" s="22"/>
      <c r="P256" s="14"/>
      <c r="Q256" s="83">
        <f>$F$2</f>
        <v>527.16000000000008</v>
      </c>
      <c r="U256" s="104" t="str">
        <f>IF(
  AND(
    TRIM(A256)=TRIM(Enginuity!$A$1),
    TRIM(B256)=TRIM(Enginuity!$A$17),
    Q256&lt;&gt;"",
    Q256&lt;&gt;0,
    OR(
      TRIM(C256)=TRIM(Enginuity!$A$18),
      AND(UPPER(TRIM(M256))="STD", TRIM(B256)=TRIM(Enginuity!$A$17))
    ),
    OR(
      AND(LEFT(P256,5)="1-Way", Enginuity!$B$13=1),
      AND(LEFT(P256,5)="2-Way", OR(Enginuity!$B$13=2, Enginuity!$B$13=4)),
      AND(LEFT(P256,5)="3-Way", OR(Enginuity!$B$13=3, Enginuity!$B$13=6)),
      AND(P256="Inner Centre Jamb", OR(Enginuity!$B$13=4, Enginuity!$B$13=6)),
      AND(
        LEFT(P256,5)&lt;&gt;"1-Way",
        LEFT(P256,5)&lt;&gt;"2-Way",
        LEFT(P256,5)&lt;&gt;"3-Way",
        P256&lt;&gt;"Inner Centre Jamb"
      )
    ),
    IF(OR(Enginuity!$A$1="Frameless Glass",Enginuity!$A$1="Metal Work"),
      AND(TRIM(B256)=TRIM(Enginuity!$A$17),TRIM(C256)=TRIM(Enginuity!$A$18)),
      TRIM(B256)=TRIM(Enginuity!$A$17)
    )
  ),
  ROW(),
  ""
)</f>
        <v/>
      </c>
      <c r="AY256" s="79">
        <f t="shared" si="2"/>
        <v>1.1000000000000001</v>
      </c>
      <c r="AZ256" s="5">
        <v>14.2</v>
      </c>
      <c r="BA256" t="s">
        <v>1201</v>
      </c>
      <c r="BB256" s="5">
        <f t="shared" si="1"/>
        <v>15.620000000000001</v>
      </c>
    </row>
    <row r="257" spans="1:54" x14ac:dyDescent="0.25">
      <c r="A257" s="10" t="s">
        <v>254</v>
      </c>
      <c r="B257" s="229" t="s">
        <v>92</v>
      </c>
      <c r="C257" s="10" t="s">
        <v>97</v>
      </c>
      <c r="D257" s="14"/>
      <c r="E257" s="157" t="s">
        <v>257</v>
      </c>
      <c r="F257" s="14" t="s">
        <v>305</v>
      </c>
      <c r="G257" s="17" t="s">
        <v>352</v>
      </c>
      <c r="H257" s="10" t="s">
        <v>9</v>
      </c>
      <c r="I257" s="17"/>
      <c r="J257" s="83"/>
      <c r="K257" s="343"/>
      <c r="L257" s="347"/>
      <c r="M257" s="89">
        <v>11</v>
      </c>
      <c r="N257" s="10" t="s">
        <v>103</v>
      </c>
      <c r="O257" s="22">
        <v>7.63</v>
      </c>
      <c r="P257" s="86" t="str">
        <f>$P$3</f>
        <v>Inner Frame</v>
      </c>
      <c r="Q257" s="83">
        <f>$Q$3</f>
        <v>222</v>
      </c>
      <c r="U257" s="104" t="str">
        <f>IF(
  AND(
    TRIM(A257)=TRIM(Enginuity!$A$1),
    TRIM(B257)=TRIM(Enginuity!$A$17),
    Q257&lt;&gt;"",
    Q257&lt;&gt;0,
    OR(
      TRIM(C257)=TRIM(Enginuity!$A$18),
      AND(UPPER(TRIM(M257))="STD", TRIM(B257)=TRIM(Enginuity!$A$17))
    ),
    OR(
      AND(LEFT(P257,5)="1-Way", Enginuity!$B$13=1),
      AND(LEFT(P257,5)="2-Way", OR(Enginuity!$B$13=2, Enginuity!$B$13=4)),
      AND(LEFT(P257,5)="3-Way", OR(Enginuity!$B$13=3, Enginuity!$B$13=6)),
      AND(P257="Inner Centre Jamb", OR(Enginuity!$B$13=4, Enginuity!$B$13=6)),
      AND(
        LEFT(P257,5)&lt;&gt;"1-Way",
        LEFT(P257,5)&lt;&gt;"2-Way",
        LEFT(P257,5)&lt;&gt;"3-Way",
        P257&lt;&gt;"Inner Centre Jamb"
      )
    ),
    IF(OR(Enginuity!$A$1="Frameless Glass",Enginuity!$A$1="Metal Work"),
      AND(TRIM(B257)=TRIM(Enginuity!$A$17),TRIM(C257)=TRIM(Enginuity!$A$18)),
      TRIM(B257)=TRIM(Enginuity!$A$17)
    )
  ),
  ROW(),
  ""
)</f>
        <v/>
      </c>
      <c r="AY257" s="79">
        <f t="shared" si="2"/>
        <v>1.1000000000000001</v>
      </c>
      <c r="AZ257" s="5">
        <v>15.3</v>
      </c>
      <c r="BA257" t="s">
        <v>1202</v>
      </c>
      <c r="BB257" s="5">
        <f t="shared" si="1"/>
        <v>16.830000000000002</v>
      </c>
    </row>
    <row r="258" spans="1:54" x14ac:dyDescent="0.25">
      <c r="A258" s="10" t="s">
        <v>254</v>
      </c>
      <c r="B258" s="229" t="s">
        <v>92</v>
      </c>
      <c r="C258" s="10" t="s">
        <v>97</v>
      </c>
      <c r="D258" s="14"/>
      <c r="E258" s="157" t="s">
        <v>269</v>
      </c>
      <c r="F258" s="14"/>
      <c r="G258" s="17" t="s">
        <v>356</v>
      </c>
      <c r="H258" s="10"/>
      <c r="I258" s="17"/>
      <c r="J258" s="83"/>
      <c r="K258" s="343"/>
      <c r="L258" s="347"/>
      <c r="M258" s="89">
        <v>12</v>
      </c>
      <c r="N258" s="10" t="s">
        <v>103</v>
      </c>
      <c r="O258" s="22">
        <v>2.5</v>
      </c>
      <c r="P258" s="14" t="s">
        <v>304</v>
      </c>
      <c r="Q258" s="83">
        <f>IF(Enginuity!$B$13&gt;=2, Enginuity!$B$7*2, "")</f>
        <v>26</v>
      </c>
      <c r="U258" s="104" t="str">
        <f>IF(
  AND(
    TRIM(A258)=TRIM(Enginuity!$A$1),
    TRIM(B258)=TRIM(Enginuity!$A$17),
    Q258&lt;&gt;"",
    Q258&lt;&gt;0,
    OR(
      TRIM(C258)=TRIM(Enginuity!$A$18),
      AND(UPPER(TRIM(M258))="STD", TRIM(B258)=TRIM(Enginuity!$A$17))
    ),
    OR(
      AND(LEFT(P258,5)="1-Way", Enginuity!$B$13=1),
      AND(LEFT(P258,5)="2-Way", OR(Enginuity!$B$13=2, Enginuity!$B$13=4)),
      AND(LEFT(P258,5)="3-Way", OR(Enginuity!$B$13=3, Enginuity!$B$13=6)),
      AND(P258="Inner Centre Jamb", OR(Enginuity!$B$13=4, Enginuity!$B$13=6)),
      AND(
        LEFT(P258,5)&lt;&gt;"1-Way",
        LEFT(P258,5)&lt;&gt;"2-Way",
        LEFT(P258,5)&lt;&gt;"3-Way",
        P258&lt;&gt;"Inner Centre Jamb"
      )
    ),
    IF(OR(Enginuity!$A$1="Frameless Glass",Enginuity!$A$1="Metal Work"),
      AND(TRIM(B258)=TRIM(Enginuity!$A$17),TRIM(C258)=TRIM(Enginuity!$A$18)),
      TRIM(B258)=TRIM(Enginuity!$A$17)
    )
  ),
  ROW(),
  ""
)</f>
        <v/>
      </c>
      <c r="AY258" s="79">
        <f t="shared" si="2"/>
        <v>1.1000000000000001</v>
      </c>
      <c r="AZ258" s="5">
        <v>14.75</v>
      </c>
      <c r="BA258" t="s">
        <v>1203</v>
      </c>
      <c r="BB258" s="5">
        <f t="shared" si="1"/>
        <v>16.225000000000001</v>
      </c>
    </row>
    <row r="259" spans="1:54" x14ac:dyDescent="0.25">
      <c r="A259" s="10" t="s">
        <v>254</v>
      </c>
      <c r="B259" s="229" t="s">
        <v>92</v>
      </c>
      <c r="C259" s="10" t="s">
        <v>97</v>
      </c>
      <c r="D259" s="14"/>
      <c r="E259" s="157"/>
      <c r="F259" s="10"/>
      <c r="G259" s="17"/>
      <c r="H259" s="10"/>
      <c r="I259" s="17"/>
      <c r="J259" s="83"/>
      <c r="K259" s="343"/>
      <c r="L259" s="347"/>
      <c r="M259" s="89">
        <v>13</v>
      </c>
      <c r="N259" s="10" t="s">
        <v>176</v>
      </c>
      <c r="O259" s="22" t="str">
        <f>IF(Enginuity!$A$20="", "",
 IF(Enginuity!$A$20="Lattice Design", $F$9,
 IF(Enginuity!$A$20="Lattice Design 12 Box / Panel", $F$10,
 ""))
)</f>
        <v/>
      </c>
      <c r="P259" s="5" t="str">
        <f>Enginuity!$A$20</f>
        <v>Z-Louvre Blade - 5"</v>
      </c>
      <c r="Q259" s="22" t="str">
        <f>IF(O259&lt;&gt;"",1,"")</f>
        <v/>
      </c>
      <c r="U259" s="104" t="str">
        <f>IF(
  AND(
    TRIM(A259)=TRIM(Enginuity!$A$1),
    TRIM(B259)=TRIM(Enginuity!$A$17),
    Q259&lt;&gt;"",
    Q259&lt;&gt;0,
    OR(
      TRIM(C259)=TRIM(Enginuity!$A$18),
      AND(UPPER(TRIM(M259))="STD", TRIM(B259)=TRIM(Enginuity!$A$17))
    ),
    OR(
      AND(LEFT(P259,5)="1-Way", Enginuity!$B$13=1),
      AND(LEFT(P259,5)="2-Way", OR(Enginuity!$B$13=2, Enginuity!$B$13=4)),
      AND(LEFT(P259,5)="3-Way", OR(Enginuity!$B$13=3, Enginuity!$B$13=6)),
      AND(P259="Inner Centre Jamb", OR(Enginuity!$B$13=4, Enginuity!$B$13=6)),
      AND(
        LEFT(P259,5)&lt;&gt;"1-Way",
        LEFT(P259,5)&lt;&gt;"2-Way",
        LEFT(P259,5)&lt;&gt;"3-Way",
        P259&lt;&gt;"Inner Centre Jamb"
      )
    ),
    IF(OR(Enginuity!$A$1="Frameless Glass",Enginuity!$A$1="Metal Work"),
      AND(TRIM(B259)=TRIM(Enginuity!$A$17),TRIM(C259)=TRIM(Enginuity!$A$18)),
      TRIM(B259)=TRIM(Enginuity!$A$17)
    )
  ),
  ROW(),
  ""
)</f>
        <v/>
      </c>
      <c r="AY259" s="79">
        <f t="shared" si="2"/>
        <v>1.1000000000000001</v>
      </c>
      <c r="AZ259" s="5">
        <v>15.85</v>
      </c>
      <c r="BA259" t="s">
        <v>1204</v>
      </c>
      <c r="BB259" s="5">
        <f t="shared" si="1"/>
        <v>17.435000000000002</v>
      </c>
    </row>
    <row r="260" spans="1:54" x14ac:dyDescent="0.25">
      <c r="A260" s="10" t="s">
        <v>254</v>
      </c>
      <c r="B260" s="229" t="s">
        <v>92</v>
      </c>
      <c r="C260" s="10" t="s">
        <v>97</v>
      </c>
      <c r="D260" s="14"/>
      <c r="E260" s="157"/>
      <c r="F260" s="10"/>
      <c r="G260" s="17"/>
      <c r="H260" s="10"/>
      <c r="I260" s="17"/>
      <c r="J260" s="83"/>
      <c r="K260" s="343"/>
      <c r="L260" s="347"/>
      <c r="M260" s="89">
        <v>14</v>
      </c>
      <c r="N260" s="10" t="s">
        <v>103</v>
      </c>
      <c r="O260" s="22">
        <v>5.87</v>
      </c>
      <c r="P260" s="106" t="str">
        <f>Enginuity!$A$21</f>
        <v>SF 4"</v>
      </c>
      <c r="Q260" s="83" t="str">
        <f>IF(AND(TRIM(Enginuity!$A$21)="Door Frame",LEN(TRIM(Enginuity!$B$6&amp;""))&gt;0,LEN(TRIM(Enginuity!$B$7&amp;""))&gt;0),IFERROR(VALUE(Enginuity!$B$6)+VALUE(Enginuity!$B$7)*2,""),"")</f>
        <v/>
      </c>
      <c r="U260" s="104" t="str">
        <f>IF(
  AND(
    TRIM(A260)=TRIM(Enginuity!$A$1),
    TRIM(B260)=TRIM(Enginuity!$A$17),
    Q260&lt;&gt;"",
    Q260&lt;&gt;0,
    OR(
      TRIM(C260)=TRIM(Enginuity!$A$18),
      AND(UPPER(TRIM(M260))="STD", TRIM(B260)=TRIM(Enginuity!$A$17))
    ),
    OR(
      AND(LEFT(P260,5)="1-Way", Enginuity!$B$13=1),
      AND(LEFT(P260,5)="2-Way", OR(Enginuity!$B$13=2, Enginuity!$B$13=4)),
      AND(LEFT(P260,5)="3-Way", OR(Enginuity!$B$13=3, Enginuity!$B$13=6)),
      AND(P260="Inner Centre Jamb", OR(Enginuity!$B$13=4, Enginuity!$B$13=6)),
      AND(
        LEFT(P260,5)&lt;&gt;"1-Way",
        LEFT(P260,5)&lt;&gt;"2-Way",
        LEFT(P260,5)&lt;&gt;"3-Way",
        P260&lt;&gt;"Inner Centre Jamb"
      )
    ),
    IF(OR(Enginuity!$A$1="Frameless Glass",Enginuity!$A$1="Metal Work"),
      AND(TRIM(B260)=TRIM(Enginuity!$A$17),TRIM(C260)=TRIM(Enginuity!$A$18)),
      TRIM(B260)=TRIM(Enginuity!$A$17)
    )
  ),
  ROW(),
  ""
)</f>
        <v/>
      </c>
      <c r="AY260" s="79">
        <f t="shared" si="2"/>
        <v>1.1000000000000001</v>
      </c>
      <c r="AZ260" s="5">
        <v>10.35</v>
      </c>
      <c r="BA260" t="s">
        <v>1205</v>
      </c>
      <c r="BB260" s="5">
        <f t="shared" si="1"/>
        <v>11.385</v>
      </c>
    </row>
    <row r="261" spans="1:54" x14ac:dyDescent="0.25">
      <c r="A261" s="10" t="s">
        <v>254</v>
      </c>
      <c r="B261" s="229" t="s">
        <v>92</v>
      </c>
      <c r="C261" s="10" t="s">
        <v>97</v>
      </c>
      <c r="D261" s="14"/>
      <c r="E261" s="157"/>
      <c r="F261" s="10"/>
      <c r="G261" s="17"/>
      <c r="H261" s="10"/>
      <c r="I261" s="17"/>
      <c r="J261" s="83"/>
      <c r="K261" s="343"/>
      <c r="L261" s="347"/>
      <c r="M261" s="89">
        <v>15</v>
      </c>
      <c r="N261" s="10" t="s">
        <v>176</v>
      </c>
      <c r="O261" s="22" t="str">
        <f>IF(Enginuity!$A$22="12""H Top Hung Standard Casement Profile", $F$11,
IF(Enginuity!$A$22="12""H Top / Bottom Fix Standard Casement Profile", $F$12,
""))</f>
        <v/>
      </c>
      <c r="P261" s="106" t="str">
        <f>Enginuity!$A$22</f>
        <v>▼ [Lattice]</v>
      </c>
      <c r="Q261" s="22" t="str">
        <f>IF(O261&lt;&gt;"",1,"")</f>
        <v/>
      </c>
      <c r="U261" s="104" t="str">
        <f>IF(
  AND(
    TRIM(A261)=TRIM(Enginuity!$A$1),
    TRIM(B261)=TRIM(Enginuity!$A$17),
    Q261&lt;&gt;"",
    Q261&lt;&gt;0,
    OR(
      TRIM(C261)=TRIM(Enginuity!$A$18),
      AND(UPPER(TRIM(M261))="STD", TRIM(B261)=TRIM(Enginuity!$A$17))
    ),
    OR(
      AND(LEFT(P261,5)="1-Way", Enginuity!$B$13=1),
      AND(LEFT(P261,5)="2-Way", OR(Enginuity!$B$13=2, Enginuity!$B$13=4)),
      AND(LEFT(P261,5)="3-Way", OR(Enginuity!$B$13=3, Enginuity!$B$13=6)),
      AND(P261="Inner Centre Jamb", OR(Enginuity!$B$13=4, Enginuity!$B$13=6)),
      AND(
        LEFT(P261,5)&lt;&gt;"1-Way",
        LEFT(P261,5)&lt;&gt;"2-Way",
        LEFT(P261,5)&lt;&gt;"3-Way",
        P261&lt;&gt;"Inner Centre Jamb"
      )
    ),
    IF(OR(Enginuity!$A$1="Frameless Glass",Enginuity!$A$1="Metal Work"),
      AND(TRIM(B261)=TRIM(Enginuity!$A$17),TRIM(C261)=TRIM(Enginuity!$A$18)),
      TRIM(B261)=TRIM(Enginuity!$A$17)
    )
  ),
  ROW(),
  ""
)</f>
        <v/>
      </c>
      <c r="AY261" s="79">
        <f t="shared" si="2"/>
        <v>1.1000000000000001</v>
      </c>
      <c r="AZ261" s="5">
        <v>11.45</v>
      </c>
      <c r="BA261" t="s">
        <v>1206</v>
      </c>
      <c r="BB261" s="5">
        <f t="shared" si="1"/>
        <v>12.595000000000001</v>
      </c>
    </row>
    <row r="262" spans="1:54" x14ac:dyDescent="0.25">
      <c r="A262" s="10" t="s">
        <v>254</v>
      </c>
      <c r="B262" s="229" t="s">
        <v>92</v>
      </c>
      <c r="C262" s="10" t="s">
        <v>97</v>
      </c>
      <c r="D262" s="14"/>
      <c r="E262" s="157"/>
      <c r="F262" s="10"/>
      <c r="G262" s="17"/>
      <c r="H262" s="10"/>
      <c r="I262" s="17"/>
      <c r="J262" s="83"/>
      <c r="K262" s="343"/>
      <c r="L262" s="347"/>
      <c r="M262" s="89">
        <v>16</v>
      </c>
      <c r="N262" s="10" t="s">
        <v>176</v>
      </c>
      <c r="O262" s="22" t="str">
        <f>IF(Enginuity!$A$23="Subframe 1"" X 2""", $J$2, "")</f>
        <v/>
      </c>
      <c r="P262" s="106">
        <f>Enginuity!$A$23</f>
        <v>0</v>
      </c>
      <c r="Q262" s="22" t="str">
        <f>IF(O262&lt;&gt;"",1,"")</f>
        <v/>
      </c>
      <c r="U262" s="104" t="str">
        <f>IF(
  AND(
    TRIM(A262)=TRIM(Enginuity!$A$1),
    TRIM(B262)=TRIM(Enginuity!$A$17),
    Q262&lt;&gt;"",
    Q262&lt;&gt;0,
    OR(
      TRIM(C262)=TRIM(Enginuity!$A$18),
      AND(UPPER(TRIM(M262))="STD", TRIM(B262)=TRIM(Enginuity!$A$17))
    ),
    OR(
      AND(LEFT(P262,5)="1-Way", Enginuity!$B$13=1),
      AND(LEFT(P262,5)="2-Way", OR(Enginuity!$B$13=2, Enginuity!$B$13=4)),
      AND(LEFT(P262,5)="3-Way", OR(Enginuity!$B$13=3, Enginuity!$B$13=6)),
      AND(P262="Inner Centre Jamb", OR(Enginuity!$B$13=4, Enginuity!$B$13=6)),
      AND(
        LEFT(P262,5)&lt;&gt;"1-Way",
        LEFT(P262,5)&lt;&gt;"2-Way",
        LEFT(P262,5)&lt;&gt;"3-Way",
        P262&lt;&gt;"Inner Centre Jamb"
      )
    ),
    IF(OR(Enginuity!$A$1="Frameless Glass",Enginuity!$A$1="Metal Work"),
      AND(TRIM(B262)=TRIM(Enginuity!$A$17),TRIM(C262)=TRIM(Enginuity!$A$18)),
      TRIM(B262)=TRIM(Enginuity!$A$17)
    )
  ),
  ROW(),
  ""
)</f>
        <v/>
      </c>
      <c r="AY262" s="79">
        <f t="shared" si="2"/>
        <v>1.1000000000000001</v>
      </c>
      <c r="AZ262" s="5">
        <v>16.95</v>
      </c>
      <c r="BA262" t="s">
        <v>1207</v>
      </c>
      <c r="BB262" s="5">
        <f t="shared" si="1"/>
        <v>18.645</v>
      </c>
    </row>
    <row r="263" spans="1:54" x14ac:dyDescent="0.25">
      <c r="A263" s="10" t="s">
        <v>254</v>
      </c>
      <c r="B263" s="229" t="s">
        <v>92</v>
      </c>
      <c r="C263" s="10" t="s">
        <v>97</v>
      </c>
      <c r="D263" s="14"/>
      <c r="E263" s="157"/>
      <c r="F263" s="10"/>
      <c r="G263" s="17"/>
      <c r="H263" s="10"/>
      <c r="I263" s="17"/>
      <c r="J263" s="83"/>
      <c r="K263" s="343"/>
      <c r="L263" s="347"/>
      <c r="M263" s="89">
        <v>17</v>
      </c>
      <c r="N263" s="10"/>
      <c r="O263" s="22"/>
      <c r="P263" s="106"/>
      <c r="Q263" s="22"/>
      <c r="U263" s="104" t="str">
        <f>IF(
  AND(
    TRIM(A263)=TRIM(Enginuity!$A$1),
    TRIM(B263)=TRIM(Enginuity!$A$17),
    Q263&lt;&gt;"",
    Q263&lt;&gt;0,
    OR(
      TRIM(C263)=TRIM(Enginuity!$A$18),
      AND(UPPER(TRIM(M263))="STD", TRIM(B263)=TRIM(Enginuity!$A$17))
    ),
    OR(
      AND(LEFT(P263,5)="1-Way", Enginuity!$B$13=1),
      AND(LEFT(P263,5)="2-Way", OR(Enginuity!$B$13=2, Enginuity!$B$13=4)),
      AND(LEFT(P263,5)="3-Way", OR(Enginuity!$B$13=3, Enginuity!$B$13=6)),
      AND(P263="Inner Centre Jamb", OR(Enginuity!$B$13=4, Enginuity!$B$13=6)),
      AND(
        LEFT(P263,5)&lt;&gt;"1-Way",
        LEFT(P263,5)&lt;&gt;"2-Way",
        LEFT(P263,5)&lt;&gt;"3-Way",
        P263&lt;&gt;"Inner Centre Jamb"
      )
    ),
    IF(OR(Enginuity!$A$1="Frameless Glass",Enginuity!$A$1="Metal Work"),
      AND(TRIM(B263)=TRIM(Enginuity!$A$17),TRIM(C263)=TRIM(Enginuity!$A$18)),
      TRIM(B263)=TRIM(Enginuity!$A$17)
    )
  ),
  ROW(),
  ""
)</f>
        <v/>
      </c>
      <c r="AY263" s="79">
        <f t="shared" si="2"/>
        <v>1.1000000000000001</v>
      </c>
      <c r="AZ263" s="5">
        <v>19.149999999999999</v>
      </c>
      <c r="BA263" t="s">
        <v>1208</v>
      </c>
      <c r="BB263" s="5">
        <f t="shared" si="1"/>
        <v>21.065000000000001</v>
      </c>
    </row>
    <row r="264" spans="1:54" x14ac:dyDescent="0.25">
      <c r="A264" s="10" t="s">
        <v>254</v>
      </c>
      <c r="B264" s="229" t="s">
        <v>92</v>
      </c>
      <c r="C264" s="10" t="s">
        <v>97</v>
      </c>
      <c r="D264" s="14"/>
      <c r="E264" s="157"/>
      <c r="F264" s="10"/>
      <c r="G264" s="17"/>
      <c r="H264" s="10"/>
      <c r="I264" s="17"/>
      <c r="J264" s="83"/>
      <c r="K264" s="343"/>
      <c r="L264" s="347"/>
      <c r="M264" s="89">
        <v>18</v>
      </c>
      <c r="N264" s="10"/>
      <c r="O264" s="22"/>
      <c r="P264" s="14"/>
      <c r="Q264" s="83"/>
      <c r="U264" s="104" t="str">
        <f>IF(
  AND(
    TRIM(A264)=TRIM(Enginuity!$A$1),
    TRIM(B264)=TRIM(Enginuity!$A$17),
    Q264&lt;&gt;"",
    Q264&lt;&gt;0,
    OR(
      TRIM(C264)=TRIM(Enginuity!$A$18),
      AND(UPPER(TRIM(M264))="STD", TRIM(B264)=TRIM(Enginuity!$A$17))
    ),
    OR(
      AND(LEFT(P264,5)="1-Way", Enginuity!$B$13=1),
      AND(LEFT(P264,5)="2-Way", OR(Enginuity!$B$13=2, Enginuity!$B$13=4)),
      AND(LEFT(P264,5)="3-Way", OR(Enginuity!$B$13=3, Enginuity!$B$13=6)),
      AND(P264="Inner Centre Jamb", OR(Enginuity!$B$13=4, Enginuity!$B$13=6)),
      AND(
        LEFT(P264,5)&lt;&gt;"1-Way",
        LEFT(P264,5)&lt;&gt;"2-Way",
        LEFT(P264,5)&lt;&gt;"3-Way",
        P264&lt;&gt;"Inner Centre Jamb"
      )
    ),
    IF(OR(Enginuity!$A$1="Frameless Glass",Enginuity!$A$1="Metal Work"),
      AND(TRIM(B264)=TRIM(Enginuity!$A$17),TRIM(C264)=TRIM(Enginuity!$A$18)),
      TRIM(B264)=TRIM(Enginuity!$A$17)
    )
  ),
  ROW(),
  ""
)</f>
        <v/>
      </c>
      <c r="AY264" s="79">
        <f t="shared" si="2"/>
        <v>1.1000000000000001</v>
      </c>
      <c r="AZ264" s="5">
        <v>20.25</v>
      </c>
      <c r="BA264" t="s">
        <v>1209</v>
      </c>
      <c r="BB264" s="5">
        <f t="shared" si="1"/>
        <v>22.275000000000002</v>
      </c>
    </row>
    <row r="265" spans="1:54" x14ac:dyDescent="0.25">
      <c r="A265" s="10" t="s">
        <v>254</v>
      </c>
      <c r="B265" s="229" t="s">
        <v>92</v>
      </c>
      <c r="C265" s="10"/>
      <c r="D265" s="14"/>
      <c r="E265" s="157"/>
      <c r="F265" s="10"/>
      <c r="G265" s="17"/>
      <c r="H265" s="10"/>
      <c r="I265" s="17"/>
      <c r="J265" s="83"/>
      <c r="K265" s="343"/>
      <c r="L265" s="347"/>
      <c r="M265" s="89">
        <v>19</v>
      </c>
      <c r="N265" s="10"/>
      <c r="O265" s="22"/>
      <c r="P265" s="14"/>
      <c r="Q265" s="83"/>
      <c r="U265" s="104" t="str">
        <f>IF(
  AND(
    TRIM(A265)=TRIM(Enginuity!$A$1),
    TRIM(B265)=TRIM(Enginuity!$A$17),
    Q265&lt;&gt;"",
    Q265&lt;&gt;0,
    OR(
      TRIM(C265)=TRIM(Enginuity!$A$18),
      AND(UPPER(TRIM(M265))="STD", TRIM(B265)=TRIM(Enginuity!$A$17))
    ),
    OR(
      AND(LEFT(P265,5)="1-Way", Enginuity!$B$13=1),
      AND(LEFT(P265,5)="2-Way", OR(Enginuity!$B$13=2, Enginuity!$B$13=4)),
      AND(LEFT(P265,5)="3-Way", OR(Enginuity!$B$13=3, Enginuity!$B$13=6)),
      AND(P265="Inner Centre Jamb", OR(Enginuity!$B$13=4, Enginuity!$B$13=6)),
      AND(
        LEFT(P265,5)&lt;&gt;"1-Way",
        LEFT(P265,5)&lt;&gt;"2-Way",
        LEFT(P265,5)&lt;&gt;"3-Way",
        P265&lt;&gt;"Inner Centre Jamb"
      )
    ),
    IF(OR(Enginuity!$A$1="Frameless Glass",Enginuity!$A$1="Metal Work"),
      AND(TRIM(B265)=TRIM(Enginuity!$A$17),TRIM(C265)=TRIM(Enginuity!$A$18)),
      TRIM(B265)=TRIM(Enginuity!$A$17)
    )
  ),
  ROW(),
  ""
)</f>
        <v/>
      </c>
      <c r="AY265" s="79">
        <f t="shared" si="2"/>
        <v>1.1000000000000001</v>
      </c>
      <c r="AZ265" s="5">
        <v>10.35</v>
      </c>
      <c r="BA265" t="s">
        <v>1410</v>
      </c>
      <c r="BB265" s="5">
        <f t="shared" si="1"/>
        <v>11.385</v>
      </c>
    </row>
    <row r="266" spans="1:54" x14ac:dyDescent="0.25">
      <c r="A266" s="10" t="s">
        <v>254</v>
      </c>
      <c r="B266" s="229" t="s">
        <v>92</v>
      </c>
      <c r="C266" s="10"/>
      <c r="D266" s="14"/>
      <c r="E266" s="157"/>
      <c r="F266" s="10"/>
      <c r="G266" s="17"/>
      <c r="H266" s="10"/>
      <c r="I266" s="17"/>
      <c r="J266" s="83"/>
      <c r="K266" s="343"/>
      <c r="L266" s="347"/>
      <c r="M266" s="89">
        <v>20</v>
      </c>
      <c r="N266" s="10"/>
      <c r="O266" s="22"/>
      <c r="P266" s="14"/>
      <c r="Q266" s="83"/>
      <c r="U266" s="104" t="str">
        <f>IF(
  AND(
    TRIM(A266)=TRIM(Enginuity!$A$1),
    TRIM(B266)=TRIM(Enginuity!$A$17),
    Q266&lt;&gt;"",
    Q266&lt;&gt;0,
    OR(
      TRIM(C266)=TRIM(Enginuity!$A$18),
      AND(UPPER(TRIM(M266))="STD", TRIM(B266)=TRIM(Enginuity!$A$17))
    ),
    OR(
      AND(LEFT(P266,5)="1-Way", Enginuity!$B$13=1),
      AND(LEFT(P266,5)="2-Way", OR(Enginuity!$B$13=2, Enginuity!$B$13=4)),
      AND(LEFT(P266,5)="3-Way", OR(Enginuity!$B$13=3, Enginuity!$B$13=6)),
      AND(P266="Inner Centre Jamb", OR(Enginuity!$B$13=4, Enginuity!$B$13=6)),
      AND(
        LEFT(P266,5)&lt;&gt;"1-Way",
        LEFT(P266,5)&lt;&gt;"2-Way",
        LEFT(P266,5)&lt;&gt;"3-Way",
        P266&lt;&gt;"Inner Centre Jamb"
      )
    ),
    IF(OR(Enginuity!$A$1="Frameless Glass",Enginuity!$A$1="Metal Work"),
      AND(TRIM(B266)=TRIM(Enginuity!$A$17),TRIM(C266)=TRIM(Enginuity!$A$18)),
      TRIM(B266)=TRIM(Enginuity!$A$17)
    )
  ),
  ROW(),
  ""
)</f>
        <v/>
      </c>
      <c r="AY266" s="79">
        <f t="shared" si="2"/>
        <v>1.1000000000000001</v>
      </c>
      <c r="AZ266" s="5">
        <v>11.45</v>
      </c>
      <c r="BA266" t="s">
        <v>1411</v>
      </c>
      <c r="BB266" s="5">
        <f t="shared" si="1"/>
        <v>12.595000000000001</v>
      </c>
    </row>
    <row r="267" spans="1:54" x14ac:dyDescent="0.25">
      <c r="A267" s="10" t="s">
        <v>254</v>
      </c>
      <c r="B267" s="229" t="s">
        <v>92</v>
      </c>
      <c r="C267" s="10"/>
      <c r="D267" s="14"/>
      <c r="E267" s="157"/>
      <c r="F267" s="10"/>
      <c r="G267" s="17"/>
      <c r="H267" s="10"/>
      <c r="I267" s="17"/>
      <c r="J267" s="83"/>
      <c r="K267" s="343"/>
      <c r="L267" s="347"/>
      <c r="M267" s="89">
        <v>21</v>
      </c>
      <c r="N267" s="10"/>
      <c r="O267" s="22"/>
      <c r="P267" s="14"/>
      <c r="Q267" s="83"/>
      <c r="U267" s="104" t="str">
        <f>IF(
  AND(
    TRIM(A267)=TRIM(Enginuity!$A$1),
    TRIM(B267)=TRIM(Enginuity!$A$17),
    Q267&lt;&gt;"",
    Q267&lt;&gt;0,
    OR(
      TRIM(C267)=TRIM(Enginuity!$A$18),
      AND(UPPER(TRIM(M267))="STD", TRIM(B267)=TRIM(Enginuity!$A$17))
    ),
    OR(
      AND(LEFT(P267,5)="1-Way", Enginuity!$B$13=1),
      AND(LEFT(P267,5)="2-Way", OR(Enginuity!$B$13=2, Enginuity!$B$13=4)),
      AND(LEFT(P267,5)="3-Way", OR(Enginuity!$B$13=3, Enginuity!$B$13=6)),
      AND(P267="Inner Centre Jamb", OR(Enginuity!$B$13=4, Enginuity!$B$13=6)),
      AND(
        LEFT(P267,5)&lt;&gt;"1-Way",
        LEFT(P267,5)&lt;&gt;"2-Way",
        LEFT(P267,5)&lt;&gt;"3-Way",
        P267&lt;&gt;"Inner Centre Jamb"
      )
    ),
    IF(OR(Enginuity!$A$1="Frameless Glass",Enginuity!$A$1="Metal Work"),
      AND(TRIM(B267)=TRIM(Enginuity!$A$17),TRIM(C267)=TRIM(Enginuity!$A$18)),
      TRIM(B267)=TRIM(Enginuity!$A$17)
    )
  ),
  ROW(),
  ""
)</f>
        <v/>
      </c>
      <c r="AY267" s="79">
        <f t="shared" si="2"/>
        <v>1.1000000000000001</v>
      </c>
      <c r="AZ267" s="5">
        <v>16.95</v>
      </c>
      <c r="BA267" t="s">
        <v>1412</v>
      </c>
      <c r="BB267" s="5">
        <f t="shared" si="1"/>
        <v>18.645</v>
      </c>
    </row>
    <row r="268" spans="1:54" x14ac:dyDescent="0.25">
      <c r="A268" s="10" t="s">
        <v>254</v>
      </c>
      <c r="B268" s="229" t="s">
        <v>92</v>
      </c>
      <c r="C268" s="10"/>
      <c r="D268" s="14"/>
      <c r="E268" s="157"/>
      <c r="F268" s="10"/>
      <c r="G268" s="17"/>
      <c r="H268" s="10"/>
      <c r="I268" s="17"/>
      <c r="J268" s="83"/>
      <c r="K268" s="343"/>
      <c r="L268" s="347"/>
      <c r="M268" s="89">
        <v>22</v>
      </c>
      <c r="N268" s="10"/>
      <c r="O268" s="22"/>
      <c r="P268" s="14"/>
      <c r="Q268" s="83"/>
      <c r="U268" s="104" t="str">
        <f>IF(
  AND(
    TRIM(A268)=TRIM(Enginuity!$A$1),
    TRIM(B268)=TRIM(Enginuity!$A$17),
    Q268&lt;&gt;"",
    Q268&lt;&gt;0,
    OR(
      TRIM(C268)=TRIM(Enginuity!$A$18),
      AND(UPPER(TRIM(M268))="STD", TRIM(B268)=TRIM(Enginuity!$A$17))
    ),
    OR(
      AND(LEFT(P268,5)="1-Way", Enginuity!$B$13=1),
      AND(LEFT(P268,5)="2-Way", OR(Enginuity!$B$13=2, Enginuity!$B$13=4)),
      AND(LEFT(P268,5)="3-Way", OR(Enginuity!$B$13=3, Enginuity!$B$13=6)),
      AND(P268="Inner Centre Jamb", OR(Enginuity!$B$13=4, Enginuity!$B$13=6)),
      AND(
        LEFT(P268,5)&lt;&gt;"1-Way",
        LEFT(P268,5)&lt;&gt;"2-Way",
        LEFT(P268,5)&lt;&gt;"3-Way",
        P268&lt;&gt;"Inner Centre Jamb"
      )
    ),
    IF(OR(Enginuity!$A$1="Frameless Glass",Enginuity!$A$1="Metal Work"),
      AND(TRIM(B268)=TRIM(Enginuity!$A$17),TRIM(C268)=TRIM(Enginuity!$A$18)),
      TRIM(B268)=TRIM(Enginuity!$A$17)
    )
  ),
  ROW(),
  ""
)</f>
        <v/>
      </c>
      <c r="AY268" s="79">
        <f t="shared" si="2"/>
        <v>1.1000000000000001</v>
      </c>
      <c r="AZ268" s="5">
        <v>19.149999999999999</v>
      </c>
      <c r="BA268" t="s">
        <v>1413</v>
      </c>
      <c r="BB268" s="5">
        <f t="shared" si="1"/>
        <v>21.065000000000001</v>
      </c>
    </row>
    <row r="269" spans="1:54" x14ac:dyDescent="0.25">
      <c r="A269" s="10" t="s">
        <v>254</v>
      </c>
      <c r="B269" s="229" t="s">
        <v>92</v>
      </c>
      <c r="C269" s="10"/>
      <c r="D269" s="14"/>
      <c r="E269" s="157"/>
      <c r="F269" s="10"/>
      <c r="G269" s="17"/>
      <c r="H269" s="10"/>
      <c r="I269" s="17"/>
      <c r="J269" s="83"/>
      <c r="K269" s="343"/>
      <c r="L269" s="347"/>
      <c r="M269" s="89">
        <v>23</v>
      </c>
      <c r="N269" s="10"/>
      <c r="O269" s="22"/>
      <c r="P269" s="14"/>
      <c r="Q269" s="83"/>
      <c r="U269" s="104" t="str">
        <f>IF(
  AND(
    TRIM(A269)=TRIM(Enginuity!$A$1),
    TRIM(B269)=TRIM(Enginuity!$A$17),
    Q269&lt;&gt;"",
    Q269&lt;&gt;0,
    OR(
      TRIM(C269)=TRIM(Enginuity!$A$18),
      AND(UPPER(TRIM(M269))="STD", TRIM(B269)=TRIM(Enginuity!$A$17))
    ),
    OR(
      AND(LEFT(P269,5)="1-Way", Enginuity!$B$13=1),
      AND(LEFT(P269,5)="2-Way", OR(Enginuity!$B$13=2, Enginuity!$B$13=4)),
      AND(LEFT(P269,5)="3-Way", OR(Enginuity!$B$13=3, Enginuity!$B$13=6)),
      AND(P269="Inner Centre Jamb", OR(Enginuity!$B$13=4, Enginuity!$B$13=6)),
      AND(
        LEFT(P269,5)&lt;&gt;"1-Way",
        LEFT(P269,5)&lt;&gt;"2-Way",
        LEFT(P269,5)&lt;&gt;"3-Way",
        P269&lt;&gt;"Inner Centre Jamb"
      )
    ),
    IF(OR(Enginuity!$A$1="Frameless Glass",Enginuity!$A$1="Metal Work"),
      AND(TRIM(B269)=TRIM(Enginuity!$A$17),TRIM(C269)=TRIM(Enginuity!$A$18)),
      TRIM(B269)=TRIM(Enginuity!$A$17)
    )
  ),
  ROW(),
  ""
)</f>
        <v/>
      </c>
      <c r="AY269" s="79">
        <f t="shared" si="2"/>
        <v>1.1000000000000001</v>
      </c>
      <c r="AZ269" s="5">
        <v>20.25</v>
      </c>
      <c r="BA269" t="s">
        <v>1414</v>
      </c>
      <c r="BB269" s="5">
        <f t="shared" si="1"/>
        <v>22.275000000000002</v>
      </c>
    </row>
    <row r="270" spans="1:54" x14ac:dyDescent="0.25">
      <c r="A270" s="10" t="s">
        <v>254</v>
      </c>
      <c r="B270" s="229" t="s">
        <v>92</v>
      </c>
      <c r="C270" s="10"/>
      <c r="D270" s="14"/>
      <c r="E270" s="157"/>
      <c r="F270" s="10"/>
      <c r="G270" s="17"/>
      <c r="H270" s="10"/>
      <c r="I270" s="17"/>
      <c r="J270" s="83"/>
      <c r="K270" s="343"/>
      <c r="L270" s="347"/>
      <c r="M270" s="89">
        <v>24</v>
      </c>
      <c r="N270" s="10"/>
      <c r="O270" s="22"/>
      <c r="P270" s="14"/>
      <c r="Q270" s="83"/>
      <c r="U270" s="104" t="str">
        <f>IF(
  AND(
    TRIM(A270)=TRIM(Enginuity!$A$1),
    TRIM(B270)=TRIM(Enginuity!$A$17),
    Q270&lt;&gt;"",
    Q270&lt;&gt;0,
    OR(
      TRIM(C270)=TRIM(Enginuity!$A$18),
      AND(UPPER(TRIM(M270))="STD", TRIM(B270)=TRIM(Enginuity!$A$17))
    ),
    OR(
      AND(LEFT(P270,5)="1-Way", Enginuity!$B$13=1),
      AND(LEFT(P270,5)="2-Way", OR(Enginuity!$B$13=2, Enginuity!$B$13=4)),
      AND(LEFT(P270,5)="3-Way", OR(Enginuity!$B$13=3, Enginuity!$B$13=6)),
      AND(P270="Inner Centre Jamb", OR(Enginuity!$B$13=4, Enginuity!$B$13=6)),
      AND(
        LEFT(P270,5)&lt;&gt;"1-Way",
        LEFT(P270,5)&lt;&gt;"2-Way",
        LEFT(P270,5)&lt;&gt;"3-Way",
        P270&lt;&gt;"Inner Centre Jamb"
      )
    ),
    IF(OR(Enginuity!$A$1="Frameless Glass",Enginuity!$A$1="Metal Work"),
      AND(TRIM(B270)=TRIM(Enginuity!$A$17),TRIM(C270)=TRIM(Enginuity!$A$18)),
      TRIM(B270)=TRIM(Enginuity!$A$17)
    )
  ),
  ROW(),
  ""
)</f>
        <v/>
      </c>
      <c r="AY270" s="79">
        <f t="shared" si="2"/>
        <v>1.1000000000000001</v>
      </c>
      <c r="AZ270" s="5">
        <v>8.65</v>
      </c>
      <c r="BA270" t="s">
        <v>1415</v>
      </c>
      <c r="BB270" s="5">
        <f t="shared" si="1"/>
        <v>9.5150000000000006</v>
      </c>
    </row>
    <row r="271" spans="1:54" x14ac:dyDescent="0.25">
      <c r="A271" s="10" t="s">
        <v>254</v>
      </c>
      <c r="B271" s="229" t="s">
        <v>92</v>
      </c>
      <c r="C271" s="10"/>
      <c r="D271" s="14"/>
      <c r="E271" s="157"/>
      <c r="F271" s="10"/>
      <c r="G271" s="17"/>
      <c r="H271" s="10"/>
      <c r="I271" s="17"/>
      <c r="J271" s="83"/>
      <c r="K271" s="343"/>
      <c r="L271" s="347"/>
      <c r="M271" s="89">
        <v>25</v>
      </c>
      <c r="N271" s="10"/>
      <c r="O271" s="22"/>
      <c r="P271" s="14"/>
      <c r="Q271" s="83"/>
      <c r="U271" s="104" t="str">
        <f>IF(
  AND(
    TRIM(A271)=TRIM(Enginuity!$A$1),
    TRIM(B271)=TRIM(Enginuity!$A$17),
    Q271&lt;&gt;"",
    Q271&lt;&gt;0,
    OR(
      TRIM(C271)=TRIM(Enginuity!$A$18),
      AND(UPPER(TRIM(M271))="STD", TRIM(B271)=TRIM(Enginuity!$A$17))
    ),
    OR(
      AND(LEFT(P271,5)="1-Way", Enginuity!$B$13=1),
      AND(LEFT(P271,5)="2-Way", OR(Enginuity!$B$13=2, Enginuity!$B$13=4)),
      AND(LEFT(P271,5)="3-Way", OR(Enginuity!$B$13=3, Enginuity!$B$13=6)),
      AND(P271="Inner Centre Jamb", OR(Enginuity!$B$13=4, Enginuity!$B$13=6)),
      AND(
        LEFT(P271,5)&lt;&gt;"1-Way",
        LEFT(P271,5)&lt;&gt;"2-Way",
        LEFT(P271,5)&lt;&gt;"3-Way",
        P271&lt;&gt;"Inner Centre Jamb"
      )
    ),
    IF(OR(Enginuity!$A$1="Frameless Glass",Enginuity!$A$1="Metal Work"),
      AND(TRIM(B271)=TRIM(Enginuity!$A$17),TRIM(C271)=TRIM(Enginuity!$A$18)),
      TRIM(B271)=TRIM(Enginuity!$A$17)
    )
  ),
  ROW(),
  ""
)</f>
        <v/>
      </c>
      <c r="AY271" s="79">
        <f t="shared" si="2"/>
        <v>1.1000000000000001</v>
      </c>
      <c r="AZ271" s="5">
        <v>10.45</v>
      </c>
      <c r="BA271" t="s">
        <v>1416</v>
      </c>
      <c r="BB271" s="5">
        <f t="shared" si="1"/>
        <v>11.495000000000001</v>
      </c>
    </row>
    <row r="272" spans="1:54" x14ac:dyDescent="0.25">
      <c r="A272" s="10" t="s">
        <v>254</v>
      </c>
      <c r="B272" s="229" t="s">
        <v>92</v>
      </c>
      <c r="C272" s="10"/>
      <c r="D272" s="14"/>
      <c r="E272" s="157"/>
      <c r="F272" s="10"/>
      <c r="G272" s="17"/>
      <c r="H272" s="10"/>
      <c r="I272" s="17"/>
      <c r="J272" s="83"/>
      <c r="K272" s="343"/>
      <c r="L272" s="347"/>
      <c r="M272" s="89">
        <v>26</v>
      </c>
      <c r="N272" s="10"/>
      <c r="O272" s="22"/>
      <c r="P272" s="14"/>
      <c r="Q272" s="83"/>
      <c r="U272" s="104" t="str">
        <f>IF(
  AND(
    TRIM(A272)=TRIM(Enginuity!$A$1),
    TRIM(B272)=TRIM(Enginuity!$A$17),
    Q272&lt;&gt;"",
    Q272&lt;&gt;0,
    OR(
      TRIM(C272)=TRIM(Enginuity!$A$18),
      AND(UPPER(TRIM(M272))="STD", TRIM(B272)=TRIM(Enginuity!$A$17))
    ),
    OR(
      AND(LEFT(P272,5)="1-Way", Enginuity!$B$13=1),
      AND(LEFT(P272,5)="2-Way", OR(Enginuity!$B$13=2, Enginuity!$B$13=4)),
      AND(LEFT(P272,5)="3-Way", OR(Enginuity!$B$13=3, Enginuity!$B$13=6)),
      AND(P272="Inner Centre Jamb", OR(Enginuity!$B$13=4, Enginuity!$B$13=6)),
      AND(
        LEFT(P272,5)&lt;&gt;"1-Way",
        LEFT(P272,5)&lt;&gt;"2-Way",
        LEFT(P272,5)&lt;&gt;"3-Way",
        P272&lt;&gt;"Inner Centre Jamb"
      )
    ),
    IF(OR(Enginuity!$A$1="Frameless Glass",Enginuity!$A$1="Metal Work"),
      AND(TRIM(B272)=TRIM(Enginuity!$A$17),TRIM(C272)=TRIM(Enginuity!$A$18)),
      TRIM(B272)=TRIM(Enginuity!$A$17)
    )
  ),
  ROW(),
  ""
)</f>
        <v/>
      </c>
      <c r="AY272" s="79">
        <f t="shared" si="2"/>
        <v>1.1000000000000001</v>
      </c>
      <c r="AZ272" s="5">
        <v>15.3</v>
      </c>
      <c r="BA272" t="s">
        <v>1210</v>
      </c>
      <c r="BB272" s="5">
        <f t="shared" si="1"/>
        <v>16.830000000000002</v>
      </c>
    </row>
    <row r="273" spans="1:54" x14ac:dyDescent="0.25">
      <c r="A273" s="10" t="s">
        <v>254</v>
      </c>
      <c r="B273" s="229" t="s">
        <v>92</v>
      </c>
      <c r="C273" s="10"/>
      <c r="D273" s="14"/>
      <c r="E273" s="157"/>
      <c r="F273" s="10"/>
      <c r="G273" s="17"/>
      <c r="H273" s="10"/>
      <c r="I273" s="17"/>
      <c r="J273" s="83"/>
      <c r="K273" s="343"/>
      <c r="L273" s="347"/>
      <c r="M273" s="89">
        <v>27</v>
      </c>
      <c r="N273" s="10"/>
      <c r="O273" s="22"/>
      <c r="P273" s="14"/>
      <c r="Q273" s="83"/>
      <c r="U273" s="104" t="str">
        <f>IF(
  AND(
    TRIM(A273)=TRIM(Enginuity!$A$1),
    TRIM(B273)=TRIM(Enginuity!$A$17),
    Q273&lt;&gt;"",
    Q273&lt;&gt;0,
    OR(
      TRIM(C273)=TRIM(Enginuity!$A$18),
      AND(UPPER(TRIM(M273))="STD", TRIM(B273)=TRIM(Enginuity!$A$17))
    ),
    OR(
      AND(LEFT(P273,5)="1-Way", Enginuity!$B$13=1),
      AND(LEFT(P273,5)="2-Way", OR(Enginuity!$B$13=2, Enginuity!$B$13=4)),
      AND(LEFT(P273,5)="3-Way", OR(Enginuity!$B$13=3, Enginuity!$B$13=6)),
      AND(P273="Inner Centre Jamb", OR(Enginuity!$B$13=4, Enginuity!$B$13=6)),
      AND(
        LEFT(P273,5)&lt;&gt;"1-Way",
        LEFT(P273,5)&lt;&gt;"2-Way",
        LEFT(P273,5)&lt;&gt;"3-Way",
        P273&lt;&gt;"Inner Centre Jamb"
      )
    ),
    IF(OR(Enginuity!$A$1="Frameless Glass",Enginuity!$A$1="Metal Work"),
      AND(TRIM(B273)=TRIM(Enginuity!$A$17),TRIM(C273)=TRIM(Enginuity!$A$18)),
      TRIM(B273)=TRIM(Enginuity!$A$17)
    )
  ),
  ROW(),
  ""
)</f>
        <v/>
      </c>
      <c r="AY273" s="79">
        <f t="shared" si="2"/>
        <v>1.1000000000000001</v>
      </c>
      <c r="AZ273" s="5">
        <v>16.399999999999999</v>
      </c>
      <c r="BA273" t="s">
        <v>1211</v>
      </c>
      <c r="BB273" s="5">
        <f t="shared" si="1"/>
        <v>18.04</v>
      </c>
    </row>
    <row r="274" spans="1:54" x14ac:dyDescent="0.25">
      <c r="A274" s="10" t="s">
        <v>254</v>
      </c>
      <c r="B274" s="229" t="s">
        <v>92</v>
      </c>
      <c r="C274" s="10"/>
      <c r="D274" s="14"/>
      <c r="E274" s="157"/>
      <c r="F274" s="10"/>
      <c r="G274" s="17"/>
      <c r="H274" s="10"/>
      <c r="I274" s="17"/>
      <c r="J274" s="83"/>
      <c r="K274" s="343"/>
      <c r="L274" s="347"/>
      <c r="M274" s="89">
        <v>28</v>
      </c>
      <c r="N274" s="10"/>
      <c r="O274" s="22"/>
      <c r="P274" s="14"/>
      <c r="Q274" s="83"/>
      <c r="U274" s="104" t="str">
        <f>IF(
  AND(
    TRIM(A274)=TRIM(Enginuity!$A$1),
    TRIM(B274)=TRIM(Enginuity!$A$17),
    Q274&lt;&gt;"",
    Q274&lt;&gt;0,
    OR(
      TRIM(C274)=TRIM(Enginuity!$A$18),
      AND(UPPER(TRIM(M274))="STD", TRIM(B274)=TRIM(Enginuity!$A$17))
    ),
    OR(
      AND(LEFT(P274,5)="1-Way", Enginuity!$B$13=1),
      AND(LEFT(P274,5)="2-Way", OR(Enginuity!$B$13=2, Enginuity!$B$13=4)),
      AND(LEFT(P274,5)="3-Way", OR(Enginuity!$B$13=3, Enginuity!$B$13=6)),
      AND(P274="Inner Centre Jamb", OR(Enginuity!$B$13=4, Enginuity!$B$13=6)),
      AND(
        LEFT(P274,5)&lt;&gt;"1-Way",
        LEFT(P274,5)&lt;&gt;"2-Way",
        LEFT(P274,5)&lt;&gt;"3-Way",
        P274&lt;&gt;"Inner Centre Jamb"
      )
    ),
    IF(OR(Enginuity!$A$1="Frameless Glass",Enginuity!$A$1="Metal Work"),
      AND(TRIM(B274)=TRIM(Enginuity!$A$17),TRIM(C274)=TRIM(Enginuity!$A$18)),
      TRIM(B274)=TRIM(Enginuity!$A$17)
    )
  ),
  ROW(),
  ""
)</f>
        <v/>
      </c>
      <c r="AY274" s="79">
        <f t="shared" si="2"/>
        <v>1.1000000000000001</v>
      </c>
      <c r="AZ274" s="5">
        <v>17.5</v>
      </c>
      <c r="BA274" t="s">
        <v>1212</v>
      </c>
      <c r="BB274" s="5">
        <f t="shared" si="1"/>
        <v>19.25</v>
      </c>
    </row>
    <row r="275" spans="1:54" x14ac:dyDescent="0.25">
      <c r="A275" s="10" t="s">
        <v>254</v>
      </c>
      <c r="B275" s="229" t="s">
        <v>92</v>
      </c>
      <c r="C275" s="10"/>
      <c r="D275" s="14"/>
      <c r="E275" s="157"/>
      <c r="F275" s="10"/>
      <c r="G275" s="17"/>
      <c r="H275" s="10"/>
      <c r="I275" s="17"/>
      <c r="J275" s="83"/>
      <c r="K275" s="343"/>
      <c r="L275" s="347"/>
      <c r="M275" s="89">
        <v>29</v>
      </c>
      <c r="N275" s="10"/>
      <c r="O275" s="22"/>
      <c r="P275" s="14"/>
      <c r="Q275" s="83"/>
      <c r="U275" s="104" t="str">
        <f>IF(
  AND(
    TRIM(A275)=TRIM(Enginuity!$A$1),
    TRIM(B275)=TRIM(Enginuity!$A$17),
    Q275&lt;&gt;"",
    Q275&lt;&gt;0,
    OR(
      TRIM(C275)=TRIM(Enginuity!$A$18),
      AND(UPPER(TRIM(M275))="STD", TRIM(B275)=TRIM(Enginuity!$A$17))
    ),
    OR(
      AND(LEFT(P275,5)="1-Way", Enginuity!$B$13=1),
      AND(LEFT(P275,5)="2-Way", OR(Enginuity!$B$13=2, Enginuity!$B$13=4)),
      AND(LEFT(P275,5)="3-Way", OR(Enginuity!$B$13=3, Enginuity!$B$13=6)),
      AND(P275="Inner Centre Jamb", OR(Enginuity!$B$13=4, Enginuity!$B$13=6)),
      AND(
        LEFT(P275,5)&lt;&gt;"1-Way",
        LEFT(P275,5)&lt;&gt;"2-Way",
        LEFT(P275,5)&lt;&gt;"3-Way",
        P275&lt;&gt;"Inner Centre Jamb"
      )
    ),
    IF(OR(Enginuity!$A$1="Frameless Glass",Enginuity!$A$1="Metal Work"),
      AND(TRIM(B275)=TRIM(Enginuity!$A$17),TRIM(C275)=TRIM(Enginuity!$A$18)),
      TRIM(B275)=TRIM(Enginuity!$A$17)
    )
  ),
  ROW(),
  ""
)</f>
        <v/>
      </c>
      <c r="AY275" s="79">
        <f t="shared" si="2"/>
        <v>1.1000000000000001</v>
      </c>
      <c r="AZ275" s="5">
        <v>23</v>
      </c>
      <c r="BA275" t="s">
        <v>1213</v>
      </c>
      <c r="BB275" s="5">
        <f t="shared" si="1"/>
        <v>25.3</v>
      </c>
    </row>
    <row r="276" spans="1:54" x14ac:dyDescent="0.25">
      <c r="A276" s="10" t="s">
        <v>254</v>
      </c>
      <c r="B276" s="229" t="s">
        <v>92</v>
      </c>
      <c r="C276" s="10"/>
      <c r="D276" s="14"/>
      <c r="E276" s="157"/>
      <c r="F276" s="10"/>
      <c r="G276" s="17"/>
      <c r="H276" s="10"/>
      <c r="I276" s="17"/>
      <c r="J276" s="83"/>
      <c r="K276" s="343"/>
      <c r="L276" s="347"/>
      <c r="M276" s="89">
        <v>30</v>
      </c>
      <c r="N276" s="10"/>
      <c r="O276" s="22"/>
      <c r="P276" s="14"/>
      <c r="Q276" s="83"/>
      <c r="U276" s="104" t="str">
        <f>IF(
  AND(
    TRIM(A276)=TRIM(Enginuity!$A$1),
    TRIM(B276)=TRIM(Enginuity!$A$17),
    Q276&lt;&gt;"",
    Q276&lt;&gt;0,
    OR(
      TRIM(C276)=TRIM(Enginuity!$A$18),
      AND(UPPER(TRIM(M276))="STD", TRIM(B276)=TRIM(Enginuity!$A$17))
    ),
    OR(
      AND(LEFT(P276,5)="1-Way", Enginuity!$B$13=1),
      AND(LEFT(P276,5)="2-Way", OR(Enginuity!$B$13=2, Enginuity!$B$13=4)),
      AND(LEFT(P276,5)="3-Way", OR(Enginuity!$B$13=3, Enginuity!$B$13=6)),
      AND(P276="Inner Centre Jamb", OR(Enginuity!$B$13=4, Enginuity!$B$13=6)),
      AND(
        LEFT(P276,5)&lt;&gt;"1-Way",
        LEFT(P276,5)&lt;&gt;"2-Way",
        LEFT(P276,5)&lt;&gt;"3-Way",
        P276&lt;&gt;"Inner Centre Jamb"
      )
    ),
    IF(OR(Enginuity!$A$1="Frameless Glass",Enginuity!$A$1="Metal Work"),
      AND(TRIM(B276)=TRIM(Enginuity!$A$17),TRIM(C276)=TRIM(Enginuity!$A$18)),
      TRIM(B276)=TRIM(Enginuity!$A$17)
    )
  ),
  ROW(),
  ""
)</f>
        <v/>
      </c>
      <c r="AY276" s="79">
        <f t="shared" si="2"/>
        <v>1.1000000000000001</v>
      </c>
      <c r="AZ276" s="5">
        <v>25.2</v>
      </c>
      <c r="BA276" t="s">
        <v>1214</v>
      </c>
      <c r="BB276" s="5">
        <f t="shared" si="1"/>
        <v>27.720000000000002</v>
      </c>
    </row>
    <row r="277" spans="1:54" x14ac:dyDescent="0.25">
      <c r="A277" s="10" t="s">
        <v>254</v>
      </c>
      <c r="B277" s="229" t="s">
        <v>92</v>
      </c>
      <c r="C277" s="10"/>
      <c r="D277" s="14"/>
      <c r="E277" s="157"/>
      <c r="F277" s="10"/>
      <c r="G277" s="17"/>
      <c r="H277" s="10"/>
      <c r="I277" s="17"/>
      <c r="J277" s="83"/>
      <c r="K277" s="343"/>
      <c r="L277" s="347"/>
      <c r="M277" s="89">
        <v>31</v>
      </c>
      <c r="N277" s="10"/>
      <c r="O277" s="22"/>
      <c r="P277" s="14"/>
      <c r="Q277" s="83"/>
      <c r="U277" s="104" t="str">
        <f>IF(
  AND(
    TRIM(A277)=TRIM(Enginuity!$A$1),
    TRIM(B277)=TRIM(Enginuity!$A$17),
    Q277&lt;&gt;"",
    Q277&lt;&gt;0,
    OR(
      TRIM(C277)=TRIM(Enginuity!$A$18),
      AND(UPPER(TRIM(M277))="STD", TRIM(B277)=TRIM(Enginuity!$A$17))
    ),
    OR(
      AND(LEFT(P277,5)="1-Way", Enginuity!$B$13=1),
      AND(LEFT(P277,5)="2-Way", OR(Enginuity!$B$13=2, Enginuity!$B$13=4)),
      AND(LEFT(P277,5)="3-Way", OR(Enginuity!$B$13=3, Enginuity!$B$13=6)),
      AND(P277="Inner Centre Jamb", OR(Enginuity!$B$13=4, Enginuity!$B$13=6)),
      AND(
        LEFT(P277,5)&lt;&gt;"1-Way",
        LEFT(P277,5)&lt;&gt;"2-Way",
        LEFT(P277,5)&lt;&gt;"3-Way",
        P277&lt;&gt;"Inner Centre Jamb"
      )
    ),
    IF(OR(Enginuity!$A$1="Frameless Glass",Enginuity!$A$1="Metal Work"),
      AND(TRIM(B277)=TRIM(Enginuity!$A$17),TRIM(C277)=TRIM(Enginuity!$A$18)),
      TRIM(B277)=TRIM(Enginuity!$A$17)
    )
  ),
  ROW(),
  ""
)</f>
        <v/>
      </c>
      <c r="AY277" s="79">
        <f t="shared" si="2"/>
        <v>1.1000000000000001</v>
      </c>
      <c r="AZ277" s="5">
        <v>27.4</v>
      </c>
      <c r="BA277" t="s">
        <v>1215</v>
      </c>
      <c r="BB277" s="5">
        <f t="shared" si="1"/>
        <v>30.14</v>
      </c>
    </row>
    <row r="278" spans="1:54" x14ac:dyDescent="0.25">
      <c r="A278" s="10" t="s">
        <v>254</v>
      </c>
      <c r="B278" s="229" t="s">
        <v>92</v>
      </c>
      <c r="C278" s="10"/>
      <c r="D278" s="14"/>
      <c r="E278" s="157"/>
      <c r="F278" s="10"/>
      <c r="G278" s="17"/>
      <c r="H278" s="10"/>
      <c r="I278" s="17"/>
      <c r="J278" s="83"/>
      <c r="K278" s="343"/>
      <c r="L278" s="347"/>
      <c r="M278" s="89">
        <v>32</v>
      </c>
      <c r="N278" s="10"/>
      <c r="O278" s="22"/>
      <c r="P278" s="14"/>
      <c r="Q278" s="83"/>
      <c r="U278" s="104" t="str">
        <f>IF(
  AND(
    TRIM(A278)=TRIM(Enginuity!$A$1),
    TRIM(B278)=TRIM(Enginuity!$A$17),
    Q278&lt;&gt;"",
    Q278&lt;&gt;0,
    OR(
      TRIM(C278)=TRIM(Enginuity!$A$18),
      AND(UPPER(TRIM(M278))="STD", TRIM(B278)=TRIM(Enginuity!$A$17))
    ),
    OR(
      AND(LEFT(P278,5)="1-Way", Enginuity!$B$13=1),
      AND(LEFT(P278,5)="2-Way", OR(Enginuity!$B$13=2, Enginuity!$B$13=4)),
      AND(LEFT(P278,5)="3-Way", OR(Enginuity!$B$13=3, Enginuity!$B$13=6)),
      AND(P278="Inner Centre Jamb", OR(Enginuity!$B$13=4, Enginuity!$B$13=6)),
      AND(
        LEFT(P278,5)&lt;&gt;"1-Way",
        LEFT(P278,5)&lt;&gt;"2-Way",
        LEFT(P278,5)&lt;&gt;"3-Way",
        P278&lt;&gt;"Inner Centre Jamb"
      )
    ),
    IF(OR(Enginuity!$A$1="Frameless Glass",Enginuity!$A$1="Metal Work"),
      AND(TRIM(B278)=TRIM(Enginuity!$A$17),TRIM(C278)=TRIM(Enginuity!$A$18)),
      TRIM(B278)=TRIM(Enginuity!$A$17)
    )
  ),
  ROW(),
  ""
)</f>
        <v/>
      </c>
      <c r="AY278" s="79">
        <f t="shared" si="2"/>
        <v>1.1000000000000001</v>
      </c>
      <c r="AZ278" s="5">
        <v>56</v>
      </c>
      <c r="BA278" t="s">
        <v>1216</v>
      </c>
      <c r="BB278" s="5">
        <f t="shared" si="1"/>
        <v>61.600000000000009</v>
      </c>
    </row>
    <row r="279" spans="1:54" x14ac:dyDescent="0.25">
      <c r="A279" s="10" t="s">
        <v>254</v>
      </c>
      <c r="B279" s="229" t="s">
        <v>92</v>
      </c>
      <c r="C279" s="10"/>
      <c r="D279" s="14"/>
      <c r="E279" s="157"/>
      <c r="F279" s="10"/>
      <c r="G279" s="17"/>
      <c r="H279" s="10"/>
      <c r="I279" s="17"/>
      <c r="J279" s="83"/>
      <c r="K279" s="343"/>
      <c r="L279" s="347"/>
      <c r="M279" s="89">
        <v>33</v>
      </c>
      <c r="N279" s="10"/>
      <c r="O279" s="22"/>
      <c r="P279" s="14"/>
      <c r="Q279" s="83"/>
      <c r="U279" s="104" t="str">
        <f>IF(
  AND(
    TRIM(A279)=TRIM(Enginuity!$A$1),
    TRIM(B279)=TRIM(Enginuity!$A$17),
    Q279&lt;&gt;"",
    Q279&lt;&gt;0,
    OR(
      TRIM(C279)=TRIM(Enginuity!$A$18),
      AND(UPPER(TRIM(M279))="STD", TRIM(B279)=TRIM(Enginuity!$A$17))
    ),
    OR(
      AND(LEFT(P279,5)="1-Way", Enginuity!$B$13=1),
      AND(LEFT(P279,5)="2-Way", OR(Enginuity!$B$13=2, Enginuity!$B$13=4)),
      AND(LEFT(P279,5)="3-Way", OR(Enginuity!$B$13=3, Enginuity!$B$13=6)),
      AND(P279="Inner Centre Jamb", OR(Enginuity!$B$13=4, Enginuity!$B$13=6)),
      AND(
        LEFT(P279,5)&lt;&gt;"1-Way",
        LEFT(P279,5)&lt;&gt;"2-Way",
        LEFT(P279,5)&lt;&gt;"3-Way",
        P279&lt;&gt;"Inner Centre Jamb"
      )
    ),
    IF(OR(Enginuity!$A$1="Frameless Glass",Enginuity!$A$1="Metal Work"),
      AND(TRIM(B279)=TRIM(Enginuity!$A$17),TRIM(C279)=TRIM(Enginuity!$A$18)),
      TRIM(B279)=TRIM(Enginuity!$A$17)
    )
  ),
  ROW(),
  ""
)</f>
        <v/>
      </c>
      <c r="AY279" s="79">
        <f t="shared" si="2"/>
        <v>1.1000000000000001</v>
      </c>
      <c r="AZ279" s="5">
        <v>61.5</v>
      </c>
      <c r="BA279" t="s">
        <v>1217</v>
      </c>
      <c r="BB279" s="5">
        <f t="shared" si="1"/>
        <v>67.650000000000006</v>
      </c>
    </row>
    <row r="280" spans="1:54" x14ac:dyDescent="0.25">
      <c r="A280" s="10" t="s">
        <v>254</v>
      </c>
      <c r="B280" s="229" t="s">
        <v>92</v>
      </c>
      <c r="C280" s="10"/>
      <c r="D280" s="14"/>
      <c r="E280" s="157"/>
      <c r="F280" s="10"/>
      <c r="G280" s="17"/>
      <c r="H280" s="10"/>
      <c r="I280" s="17"/>
      <c r="J280" s="83"/>
      <c r="K280" s="343"/>
      <c r="L280" s="347"/>
      <c r="M280" s="89">
        <v>34</v>
      </c>
      <c r="N280" s="10"/>
      <c r="O280" s="22"/>
      <c r="P280" s="14"/>
      <c r="Q280" s="83"/>
      <c r="U280" s="104" t="str">
        <f>IF(
  AND(
    TRIM(A280)=TRIM(Enginuity!$A$1),
    TRIM(B280)=TRIM(Enginuity!$A$17),
    Q280&lt;&gt;"",
    Q280&lt;&gt;0,
    OR(
      TRIM(C280)=TRIM(Enginuity!$A$18),
      AND(UPPER(TRIM(M280))="STD", TRIM(B280)=TRIM(Enginuity!$A$17))
    ),
    OR(
      AND(LEFT(P280,5)="1-Way", Enginuity!$B$13=1),
      AND(LEFT(P280,5)="2-Way", OR(Enginuity!$B$13=2, Enginuity!$B$13=4)),
      AND(LEFT(P280,5)="3-Way", OR(Enginuity!$B$13=3, Enginuity!$B$13=6)),
      AND(P280="Inner Centre Jamb", OR(Enginuity!$B$13=4, Enginuity!$B$13=6)),
      AND(
        LEFT(P280,5)&lt;&gt;"1-Way",
        LEFT(P280,5)&lt;&gt;"2-Way",
        LEFT(P280,5)&lt;&gt;"3-Way",
        P280&lt;&gt;"Inner Centre Jamb"
      )
    ),
    IF(OR(Enginuity!$A$1="Frameless Glass",Enginuity!$A$1="Metal Work"),
      AND(TRIM(B280)=TRIM(Enginuity!$A$17),TRIM(C280)=TRIM(Enginuity!$A$18)),
      TRIM(B280)=TRIM(Enginuity!$A$17)
    )
  ),
  ROW(),
  ""
)</f>
        <v/>
      </c>
      <c r="AY280" s="79">
        <f t="shared" si="2"/>
        <v>1.1000000000000001</v>
      </c>
      <c r="AZ280">
        <v>17.5</v>
      </c>
      <c r="BA280" t="s">
        <v>1218</v>
      </c>
      <c r="BB280" s="5">
        <f t="shared" si="1"/>
        <v>19.25</v>
      </c>
    </row>
    <row r="281" spans="1:54" x14ac:dyDescent="0.25">
      <c r="A281" s="10" t="s">
        <v>254</v>
      </c>
      <c r="B281" s="229" t="s">
        <v>92</v>
      </c>
      <c r="C281" s="10"/>
      <c r="D281" s="14"/>
      <c r="E281" s="157"/>
      <c r="F281" s="10"/>
      <c r="G281" s="17"/>
      <c r="H281" s="10"/>
      <c r="I281" s="17"/>
      <c r="J281" s="83"/>
      <c r="K281" s="343"/>
      <c r="L281" s="347"/>
      <c r="M281" s="89">
        <v>35</v>
      </c>
      <c r="N281" s="10"/>
      <c r="O281" s="22"/>
      <c r="P281" s="14"/>
      <c r="Q281" s="83"/>
      <c r="U281" s="104" t="str">
        <f>IF(
  AND(
    TRIM(A281)=TRIM(Enginuity!$A$1),
    TRIM(B281)=TRIM(Enginuity!$A$17),
    Q281&lt;&gt;"",
    Q281&lt;&gt;0,
    OR(
      TRIM(C281)=TRIM(Enginuity!$A$18),
      AND(UPPER(TRIM(M281))="STD", TRIM(B281)=TRIM(Enginuity!$A$17))
    ),
    OR(
      AND(LEFT(P281,5)="1-Way", Enginuity!$B$13=1),
      AND(LEFT(P281,5)="2-Way", OR(Enginuity!$B$13=2, Enginuity!$B$13=4)),
      AND(LEFT(P281,5)="3-Way", OR(Enginuity!$B$13=3, Enginuity!$B$13=6)),
      AND(P281="Inner Centre Jamb", OR(Enginuity!$B$13=4, Enginuity!$B$13=6)),
      AND(
        LEFT(P281,5)&lt;&gt;"1-Way",
        LEFT(P281,5)&lt;&gt;"2-Way",
        LEFT(P281,5)&lt;&gt;"3-Way",
        P281&lt;&gt;"Inner Centre Jamb"
      )
    ),
    IF(OR(Enginuity!$A$1="Frameless Glass",Enginuity!$A$1="Metal Work"),
      AND(TRIM(B281)=TRIM(Enginuity!$A$17),TRIM(C281)=TRIM(Enginuity!$A$18)),
      TRIM(B281)=TRIM(Enginuity!$A$17)
    )
  ),
  ROW(),
  ""
)</f>
        <v/>
      </c>
      <c r="AY281" s="79">
        <f t="shared" si="2"/>
        <v>1.1000000000000001</v>
      </c>
      <c r="AZ281">
        <v>18.600000000000001</v>
      </c>
      <c r="BA281" t="s">
        <v>1219</v>
      </c>
      <c r="BB281" s="5">
        <f t="shared" si="1"/>
        <v>20.460000000000004</v>
      </c>
    </row>
    <row r="282" spans="1:54" x14ac:dyDescent="0.25">
      <c r="A282" s="10" t="s">
        <v>254</v>
      </c>
      <c r="B282" s="229" t="s">
        <v>92</v>
      </c>
      <c r="C282" s="10"/>
      <c r="D282" s="14"/>
      <c r="E282" s="157"/>
      <c r="F282" s="10"/>
      <c r="G282" s="17"/>
      <c r="H282" s="10"/>
      <c r="I282" s="17"/>
      <c r="J282" s="83"/>
      <c r="K282" s="343"/>
      <c r="L282" s="347"/>
      <c r="M282" s="89">
        <v>36</v>
      </c>
      <c r="N282" s="10"/>
      <c r="O282" s="22"/>
      <c r="P282" s="14"/>
      <c r="Q282" s="83"/>
      <c r="U282" s="104" t="str">
        <f>IF(
  AND(
    TRIM(A282)=TRIM(Enginuity!$A$1),
    TRIM(B282)=TRIM(Enginuity!$A$17),
    Q282&lt;&gt;"",
    Q282&lt;&gt;0,
    OR(
      TRIM(C282)=TRIM(Enginuity!$A$18),
      AND(UPPER(TRIM(M282))="STD", TRIM(B282)=TRIM(Enginuity!$A$17))
    ),
    OR(
      AND(LEFT(P282,5)="1-Way", Enginuity!$B$13=1),
      AND(LEFT(P282,5)="2-Way", OR(Enginuity!$B$13=2, Enginuity!$B$13=4)),
      AND(LEFT(P282,5)="3-Way", OR(Enginuity!$B$13=3, Enginuity!$B$13=6)),
      AND(P282="Inner Centre Jamb", OR(Enginuity!$B$13=4, Enginuity!$B$13=6)),
      AND(
        LEFT(P282,5)&lt;&gt;"1-Way",
        LEFT(P282,5)&lt;&gt;"2-Way",
        LEFT(P282,5)&lt;&gt;"3-Way",
        P282&lt;&gt;"Inner Centre Jamb"
      )
    ),
    IF(OR(Enginuity!$A$1="Frameless Glass",Enginuity!$A$1="Metal Work"),
      AND(TRIM(B282)=TRIM(Enginuity!$A$17),TRIM(C282)=TRIM(Enginuity!$A$18)),
      TRIM(B282)=TRIM(Enginuity!$A$17)
    )
  ),
  ROW(),
  ""
)</f>
        <v/>
      </c>
      <c r="AY282" s="79">
        <f>AY279</f>
        <v>1.1000000000000001</v>
      </c>
      <c r="AZ282">
        <v>17.5</v>
      </c>
      <c r="BA282" t="s">
        <v>1220</v>
      </c>
      <c r="BB282" s="5">
        <f t="shared" si="1"/>
        <v>19.25</v>
      </c>
    </row>
    <row r="283" spans="1:54" x14ac:dyDescent="0.25">
      <c r="A283" s="10" t="s">
        <v>254</v>
      </c>
      <c r="B283" s="229" t="s">
        <v>92</v>
      </c>
      <c r="C283" s="10"/>
      <c r="D283" s="14"/>
      <c r="E283" s="157"/>
      <c r="F283" s="10"/>
      <c r="G283" s="17"/>
      <c r="H283" s="10"/>
      <c r="I283" s="17"/>
      <c r="J283" s="83"/>
      <c r="K283" s="343"/>
      <c r="L283" s="347"/>
      <c r="M283" s="89">
        <v>37</v>
      </c>
      <c r="N283" s="10"/>
      <c r="O283" s="22"/>
      <c r="P283" s="21"/>
      <c r="Q283" s="83"/>
      <c r="U283" s="104" t="str">
        <f>IF(
  AND(
    TRIM(A283)=TRIM(Enginuity!$A$1),
    TRIM(B283)=TRIM(Enginuity!$A$17),
    Q283&lt;&gt;"",
    Q283&lt;&gt;0,
    OR(
      TRIM(C283)=TRIM(Enginuity!$A$18),
      AND(UPPER(TRIM(M283))="STD", TRIM(B283)=TRIM(Enginuity!$A$17))
    ),
    OR(
      AND(LEFT(P283,5)="1-Way", Enginuity!$B$13=1),
      AND(LEFT(P283,5)="2-Way", OR(Enginuity!$B$13=2, Enginuity!$B$13=4)),
      AND(LEFT(P283,5)="3-Way", OR(Enginuity!$B$13=3, Enginuity!$B$13=6)),
      AND(P283="Inner Centre Jamb", OR(Enginuity!$B$13=4, Enginuity!$B$13=6)),
      AND(
        LEFT(P283,5)&lt;&gt;"1-Way",
        LEFT(P283,5)&lt;&gt;"2-Way",
        LEFT(P283,5)&lt;&gt;"3-Way",
        P283&lt;&gt;"Inner Centre Jamb"
      )
    ),
    IF(OR(Enginuity!$A$1="Frameless Glass",Enginuity!$A$1="Metal Work"),
      AND(TRIM(B283)=TRIM(Enginuity!$A$17),TRIM(C283)=TRIM(Enginuity!$A$18)),
      TRIM(B283)=TRIM(Enginuity!$A$17)
    )
  ),
  ROW(),
  ""
)</f>
        <v/>
      </c>
      <c r="AY283" s="79">
        <f t="shared" ref="AY283:AY314" si="3">AY282</f>
        <v>1.1000000000000001</v>
      </c>
      <c r="AZ283">
        <v>18.600000000000001</v>
      </c>
      <c r="BA283" t="s">
        <v>1221</v>
      </c>
      <c r="BB283" s="5">
        <f t="shared" si="1"/>
        <v>20.460000000000004</v>
      </c>
    </row>
    <row r="284" spans="1:54" x14ac:dyDescent="0.25">
      <c r="A284" s="10" t="s">
        <v>254</v>
      </c>
      <c r="B284" s="229" t="s">
        <v>92</v>
      </c>
      <c r="C284" s="10"/>
      <c r="D284" s="14"/>
      <c r="E284" s="157"/>
      <c r="F284" s="10"/>
      <c r="G284" s="17"/>
      <c r="H284" s="10"/>
      <c r="I284" s="17"/>
      <c r="J284" s="83"/>
      <c r="K284" s="343"/>
      <c r="L284" s="347"/>
      <c r="M284" s="89">
        <v>38</v>
      </c>
      <c r="N284" s="10"/>
      <c r="O284" s="22"/>
      <c r="P284" s="21"/>
      <c r="Q284" s="83"/>
      <c r="U284" s="104" t="str">
        <f>IF(
  AND(
    TRIM(A284)=TRIM(Enginuity!$A$1),
    TRIM(B284)=TRIM(Enginuity!$A$17),
    Q284&lt;&gt;"",
    Q284&lt;&gt;0,
    OR(
      TRIM(C284)=TRIM(Enginuity!$A$18),
      AND(UPPER(TRIM(M284))="STD", TRIM(B284)=TRIM(Enginuity!$A$17))
    ),
    OR(
      AND(LEFT(P284,5)="1-Way", Enginuity!$B$13=1),
      AND(LEFT(P284,5)="2-Way", OR(Enginuity!$B$13=2, Enginuity!$B$13=4)),
      AND(LEFT(P284,5)="3-Way", OR(Enginuity!$B$13=3, Enginuity!$B$13=6)),
      AND(P284="Inner Centre Jamb", OR(Enginuity!$B$13=4, Enginuity!$B$13=6)),
      AND(
        LEFT(P284,5)&lt;&gt;"1-Way",
        LEFT(P284,5)&lt;&gt;"2-Way",
        LEFT(P284,5)&lt;&gt;"3-Way",
        P284&lt;&gt;"Inner Centre Jamb"
      )
    ),
    IF(OR(Enginuity!$A$1="Frameless Glass",Enginuity!$A$1="Metal Work"),
      AND(TRIM(B284)=TRIM(Enginuity!$A$17),TRIM(C284)=TRIM(Enginuity!$A$18)),
      TRIM(B284)=TRIM(Enginuity!$A$17)
    )
  ),
  ROW(),
  ""
)</f>
        <v/>
      </c>
      <c r="AY284" s="79">
        <f t="shared" si="3"/>
        <v>1.1000000000000001</v>
      </c>
      <c r="AZ284">
        <v>18.600000000000001</v>
      </c>
      <c r="BA284" t="s">
        <v>1222</v>
      </c>
      <c r="BB284" s="5">
        <f t="shared" si="1"/>
        <v>20.460000000000004</v>
      </c>
    </row>
    <row r="285" spans="1:54" x14ac:dyDescent="0.25">
      <c r="A285" s="10" t="s">
        <v>254</v>
      </c>
      <c r="B285" s="229" t="s">
        <v>92</v>
      </c>
      <c r="C285" s="10"/>
      <c r="D285" s="14"/>
      <c r="E285" s="157"/>
      <c r="F285" s="10"/>
      <c r="G285" s="17"/>
      <c r="H285" s="10"/>
      <c r="I285" s="17"/>
      <c r="J285" s="83"/>
      <c r="K285" s="343"/>
      <c r="L285" s="347"/>
      <c r="M285" s="10" t="s">
        <v>117</v>
      </c>
      <c r="N285" s="10" t="s">
        <v>121</v>
      </c>
      <c r="O285" s="22" t="str">
        <f>$O$2</f>
        <v/>
      </c>
      <c r="P285" s="21" t="str">
        <f>Enginuity!$A$19</f>
        <v>W/G</v>
      </c>
      <c r="Q285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285" s="104" t="str">
        <f>IF(
  AND(
    TRIM(A285)=TRIM(Enginuity!$A$1),
    TRIM(B285)=TRIM(Enginuity!$A$17),
    Q285&lt;&gt;"",
    Q285&lt;&gt;0,
    OR(
      TRIM(C285)=TRIM(Enginuity!$A$18),
      AND(UPPER(TRIM(M285))="STD", TRIM(B285)=TRIM(Enginuity!$A$17))
    ),
    OR(
      AND(LEFT(P285,5)="1-Way", Enginuity!$B$13=1),
      AND(LEFT(P285,5)="2-Way", OR(Enginuity!$B$13=2, Enginuity!$B$13=4)),
      AND(LEFT(P285,5)="3-Way", OR(Enginuity!$B$13=3, Enginuity!$B$13=6)),
      AND(P285="Inner Centre Jamb", OR(Enginuity!$B$13=4, Enginuity!$B$13=6)),
      AND(
        LEFT(P285,5)&lt;&gt;"1-Way",
        LEFT(P285,5)&lt;&gt;"2-Way",
        LEFT(P285,5)&lt;&gt;"3-Way",
        P285&lt;&gt;"Inner Centre Jamb"
      )
    ),
    IF(OR(Enginuity!$A$1="Frameless Glass",Enginuity!$A$1="Metal Work"),
      AND(TRIM(B285)=TRIM(Enginuity!$A$17),TRIM(C285)=TRIM(Enginuity!$A$18)),
      TRIM(B285)=TRIM(Enginuity!$A$17)
    )
  ),
  ROW(),
  ""
)</f>
        <v/>
      </c>
      <c r="AY285" s="79">
        <f t="shared" si="3"/>
        <v>1.1000000000000001</v>
      </c>
      <c r="AZ285">
        <v>18.600000000000001</v>
      </c>
      <c r="BA285" t="s">
        <v>1223</v>
      </c>
      <c r="BB285" s="5">
        <f t="shared" si="1"/>
        <v>20.460000000000004</v>
      </c>
    </row>
    <row r="286" spans="1:54" x14ac:dyDescent="0.25">
      <c r="A286" s="10" t="s">
        <v>254</v>
      </c>
      <c r="B286" s="229" t="s">
        <v>92</v>
      </c>
      <c r="C286" s="10"/>
      <c r="D286" s="14"/>
      <c r="E286" s="157"/>
      <c r="F286" s="10"/>
      <c r="G286" s="17"/>
      <c r="H286" s="10"/>
      <c r="I286" s="17"/>
      <c r="J286" s="83"/>
      <c r="K286" s="343"/>
      <c r="L286" s="347"/>
      <c r="M286" s="10" t="s">
        <v>117</v>
      </c>
      <c r="N286" s="10" t="s">
        <v>103</v>
      </c>
      <c r="O286" s="22">
        <v>0.20379744565899399</v>
      </c>
      <c r="P286" s="14" t="s">
        <v>272</v>
      </c>
      <c r="Q286" s="83">
        <f>IF(AND(Enginuity!$B$6&gt;0, Enginuity!$B$7&gt;0, Enginuity!$B$13&gt;0), ((2*Enginuity!$B$7*Enginuity!$B$13)+(2*Enginuity!$B$6))*2, "")</f>
        <v>444</v>
      </c>
      <c r="U286" s="104" t="str">
        <f>IF(
  AND(
    TRIM(A286)=TRIM(Enginuity!$A$1),
    TRIM(B286)=TRIM(Enginuity!$A$17),
    Q286&lt;&gt;"",
    Q286&lt;&gt;0,
    OR(
      TRIM(C286)=TRIM(Enginuity!$A$18),
      AND(UPPER(TRIM(M286))="STD", TRIM(B286)=TRIM(Enginuity!$A$17))
    ),
    OR(
      AND(LEFT(P286,5)="1-Way", Enginuity!$B$13=1),
      AND(LEFT(P286,5)="2-Way", OR(Enginuity!$B$13=2, Enginuity!$B$13=4)),
      AND(LEFT(P286,5)="3-Way", OR(Enginuity!$B$13=3, Enginuity!$B$13=6)),
      AND(P286="Inner Centre Jamb", OR(Enginuity!$B$13=4, Enginuity!$B$13=6)),
      AND(
        LEFT(P286,5)&lt;&gt;"1-Way",
        LEFT(P286,5)&lt;&gt;"2-Way",
        LEFT(P286,5)&lt;&gt;"3-Way",
        P286&lt;&gt;"Inner Centre Jamb"
      )
    ),
    IF(OR(Enginuity!$A$1="Frameless Glass",Enginuity!$A$1="Metal Work"),
      AND(TRIM(B286)=TRIM(Enginuity!$A$17),TRIM(C286)=TRIM(Enginuity!$A$18)),
      TRIM(B286)=TRIM(Enginuity!$A$17)
    )
  ),
  ROW(),
  ""
)</f>
        <v/>
      </c>
      <c r="AY286" s="79">
        <f t="shared" si="3"/>
        <v>1.1000000000000001</v>
      </c>
      <c r="AZ286">
        <v>20.25</v>
      </c>
      <c r="BA286" t="s">
        <v>1224</v>
      </c>
      <c r="BB286" s="5">
        <f t="shared" si="1"/>
        <v>22.275000000000002</v>
      </c>
    </row>
    <row r="287" spans="1:54" x14ac:dyDescent="0.25">
      <c r="A287" s="10" t="s">
        <v>254</v>
      </c>
      <c r="B287" s="229" t="s">
        <v>92</v>
      </c>
      <c r="C287" s="10"/>
      <c r="D287" s="14"/>
      <c r="E287" s="157"/>
      <c r="F287" s="10"/>
      <c r="G287" s="17"/>
      <c r="H287" s="10"/>
      <c r="I287" s="17"/>
      <c r="J287" s="83"/>
      <c r="K287" s="343"/>
      <c r="L287" s="347"/>
      <c r="M287" s="10" t="s">
        <v>117</v>
      </c>
      <c r="N287" s="10" t="s">
        <v>103</v>
      </c>
      <c r="O287" s="22">
        <v>0.12</v>
      </c>
      <c r="P287" s="14" t="s">
        <v>273</v>
      </c>
      <c r="Q287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576</v>
      </c>
      <c r="U287" s="104" t="str">
        <f>IF(
  AND(
    TRIM(A287)=TRIM(Enginuity!$A$1),
    TRIM(B287)=TRIM(Enginuity!$A$17),
    Q287&lt;&gt;"",
    Q287&lt;&gt;0,
    OR(
      TRIM(C287)=TRIM(Enginuity!$A$18),
      AND(UPPER(TRIM(M287))="STD", TRIM(B287)=TRIM(Enginuity!$A$17))
    ),
    OR(
      AND(LEFT(P287,5)="1-Way", Enginuity!$B$13=1),
      AND(LEFT(P287,5)="2-Way", OR(Enginuity!$B$13=2, Enginuity!$B$13=4)),
      AND(LEFT(P287,5)="3-Way", OR(Enginuity!$B$13=3, Enginuity!$B$13=6)),
      AND(P287="Inner Centre Jamb", OR(Enginuity!$B$13=4, Enginuity!$B$13=6)),
      AND(
        LEFT(P287,5)&lt;&gt;"1-Way",
        LEFT(P287,5)&lt;&gt;"2-Way",
        LEFT(P287,5)&lt;&gt;"3-Way",
        P287&lt;&gt;"Inner Centre Jamb"
      )
    ),
    IF(OR(Enginuity!$A$1="Frameless Glass",Enginuity!$A$1="Metal Work"),
      AND(TRIM(B287)=TRIM(Enginuity!$A$17),TRIM(C287)=TRIM(Enginuity!$A$18)),
      TRIM(B287)=TRIM(Enginuity!$A$17)
    )
  ),
  ROW(),
  ""
)</f>
        <v/>
      </c>
      <c r="AY287" s="79">
        <f t="shared" si="3"/>
        <v>1.1000000000000001</v>
      </c>
      <c r="AZ287">
        <v>18.600000000000001</v>
      </c>
      <c r="BA287" t="s">
        <v>1417</v>
      </c>
      <c r="BB287" s="5">
        <f t="shared" si="1"/>
        <v>20.460000000000004</v>
      </c>
    </row>
    <row r="288" spans="1:54" x14ac:dyDescent="0.25">
      <c r="A288" s="10" t="s">
        <v>254</v>
      </c>
      <c r="B288" s="229" t="s">
        <v>92</v>
      </c>
      <c r="C288" s="10"/>
      <c r="D288" s="14"/>
      <c r="E288" s="157"/>
      <c r="F288" s="10"/>
      <c r="G288" s="17"/>
      <c r="H288" s="10"/>
      <c r="I288" s="17"/>
      <c r="J288" s="83"/>
      <c r="K288" s="343"/>
      <c r="L288" s="347"/>
      <c r="M288" s="10" t="s">
        <v>117</v>
      </c>
      <c r="N288" s="10" t="s">
        <v>112</v>
      </c>
      <c r="O288" s="22">
        <v>1.4</v>
      </c>
      <c r="P288" s="14" t="s">
        <v>113</v>
      </c>
      <c r="Q288" s="83" t="str">
        <f>IF(
  TRIM(Enginuity!$A$21)="1'H X ?'W X Qty Panel Top Hung (Casement Profile)",
  Enginuity!$B$13,
  ""
)</f>
        <v/>
      </c>
      <c r="U288" s="104" t="str">
        <f>IF(
  AND(
    TRIM(A288)=TRIM(Enginuity!$A$1),
    TRIM(B288)=TRIM(Enginuity!$A$17),
    Q288&lt;&gt;"",
    Q288&lt;&gt;0,
    OR(
      TRIM(C288)=TRIM(Enginuity!$A$18),
      AND(UPPER(TRIM(M288))="STD", TRIM(B288)=TRIM(Enginuity!$A$17))
    ),
    OR(
      AND(LEFT(P288,5)="1-Way", Enginuity!$B$13=1),
      AND(LEFT(P288,5)="2-Way", OR(Enginuity!$B$13=2, Enginuity!$B$13=4)),
      AND(LEFT(P288,5)="3-Way", OR(Enginuity!$B$13=3, Enginuity!$B$13=6)),
      AND(P288="Inner Centre Jamb", OR(Enginuity!$B$13=4, Enginuity!$B$13=6)),
      AND(
        LEFT(P288,5)&lt;&gt;"1-Way",
        LEFT(P288,5)&lt;&gt;"2-Way",
        LEFT(P288,5)&lt;&gt;"3-Way",
        P288&lt;&gt;"Inner Centre Jamb"
      )
    ),
    IF(OR(Enginuity!$A$1="Frameless Glass",Enginuity!$A$1="Metal Work"),
      AND(TRIM(B288)=TRIM(Enginuity!$A$17),TRIM(C288)=TRIM(Enginuity!$A$18)),
      TRIM(B288)=TRIM(Enginuity!$A$17)
    )
  ),
  ROW(),
  ""
)</f>
        <v/>
      </c>
      <c r="AY288" s="79">
        <f t="shared" si="3"/>
        <v>1.1000000000000001</v>
      </c>
      <c r="AZ288">
        <v>20.8</v>
      </c>
      <c r="BA288" t="s">
        <v>1418</v>
      </c>
      <c r="BB288" s="5">
        <f t="shared" si="1"/>
        <v>22.880000000000003</v>
      </c>
    </row>
    <row r="289" spans="1:54" x14ac:dyDescent="0.25">
      <c r="A289" s="10" t="s">
        <v>254</v>
      </c>
      <c r="B289" s="229" t="s">
        <v>92</v>
      </c>
      <c r="C289" s="10"/>
      <c r="D289" s="14"/>
      <c r="E289" s="157"/>
      <c r="F289" s="10"/>
      <c r="G289" s="17"/>
      <c r="H289" s="10"/>
      <c r="I289" s="17"/>
      <c r="J289" s="83"/>
      <c r="K289" s="343"/>
      <c r="L289" s="347"/>
      <c r="M289" s="10" t="s">
        <v>117</v>
      </c>
      <c r="N289" s="88" t="s">
        <v>111</v>
      </c>
      <c r="O289" s="22">
        <v>4.5</v>
      </c>
      <c r="P289" s="36" t="s">
        <v>124</v>
      </c>
      <c r="Q289" s="83" t="str">
        <f>IF(
  TRIM(Enginuity!$A$21)="1'H X ?'W X Qty Panel Top Hung (Casement Profile)",
  Enginuity!$B$13,
  ""
)</f>
        <v/>
      </c>
      <c r="U289" s="104" t="str">
        <f>IF(
  AND(
    TRIM(A289)=TRIM(Enginuity!$A$1),
    TRIM(B289)=TRIM(Enginuity!$A$17),
    Q289&lt;&gt;"",
    Q289&lt;&gt;0,
    OR(
      TRIM(C289)=TRIM(Enginuity!$A$18),
      AND(UPPER(TRIM(M289))="STD", TRIM(B289)=TRIM(Enginuity!$A$17))
    ),
    OR(
      AND(LEFT(P289,5)="1-Way", Enginuity!$B$13=1),
      AND(LEFT(P289,5)="2-Way", OR(Enginuity!$B$13=2, Enginuity!$B$13=4)),
      AND(LEFT(P289,5)="3-Way", OR(Enginuity!$B$13=3, Enginuity!$B$13=6)),
      AND(P289="Inner Centre Jamb", OR(Enginuity!$B$13=4, Enginuity!$B$13=6)),
      AND(
        LEFT(P289,5)&lt;&gt;"1-Way",
        LEFT(P289,5)&lt;&gt;"2-Way",
        LEFT(P289,5)&lt;&gt;"3-Way",
        P289&lt;&gt;"Inner Centre Jamb"
      )
    ),
    IF(OR(Enginuity!$A$1="Frameless Glass",Enginuity!$A$1="Metal Work"),
      AND(TRIM(B289)=TRIM(Enginuity!$A$17),TRIM(C289)=TRIM(Enginuity!$A$18)),
      TRIM(B289)=TRIM(Enginuity!$A$17)
    )
  ),
  ROW(),
  ""
)</f>
        <v/>
      </c>
      <c r="AY289" s="79">
        <f t="shared" si="3"/>
        <v>1.1000000000000001</v>
      </c>
      <c r="AZ289" s="5">
        <v>6</v>
      </c>
      <c r="BA289" t="s">
        <v>1109</v>
      </c>
      <c r="BB289" s="5">
        <f t="shared" si="1"/>
        <v>6.6000000000000005</v>
      </c>
    </row>
    <row r="290" spans="1:54" x14ac:dyDescent="0.25">
      <c r="A290" s="10" t="s">
        <v>254</v>
      </c>
      <c r="B290" s="229" t="s">
        <v>92</v>
      </c>
      <c r="C290" s="10"/>
      <c r="D290" s="14"/>
      <c r="E290" s="157"/>
      <c r="F290" s="10"/>
      <c r="G290" s="17"/>
      <c r="H290" s="10"/>
      <c r="I290" s="17"/>
      <c r="J290" s="83"/>
      <c r="K290" s="343"/>
      <c r="L290" s="347"/>
      <c r="M290" s="10" t="s">
        <v>117</v>
      </c>
      <c r="N290" s="10" t="s">
        <v>112</v>
      </c>
      <c r="O290" s="22">
        <v>3.5</v>
      </c>
      <c r="P290" s="14" t="s">
        <v>301</v>
      </c>
      <c r="Q290" s="83">
        <f>IF(OR(Enginuity!$B$7="",Enginuity!$B$13=""),"",
Enginuity!$B$13*
IF(Enginuity!$B$7&lt;=7,3,
IF(Enginuity!$B$7&lt;=9,4,
IF(Enginuity!$B$7&lt;=11,5,6))))</f>
        <v>42</v>
      </c>
      <c r="U290" s="104" t="str">
        <f>IF(
  AND(
    TRIM(A290)=TRIM(Enginuity!$A$1),
    TRIM(B290)=TRIM(Enginuity!$A$17),
    Q290&lt;&gt;"",
    Q290&lt;&gt;0,
    OR(
      TRIM(C290)=TRIM(Enginuity!$A$18),
      AND(UPPER(TRIM(M290))="STD", TRIM(B290)=TRIM(Enginuity!$A$17))
    ),
    OR(
      AND(LEFT(P290,5)="1-Way", Enginuity!$B$13=1),
      AND(LEFT(P290,5)="2-Way", OR(Enginuity!$B$13=2, Enginuity!$B$13=4)),
      AND(LEFT(P290,5)="3-Way", OR(Enginuity!$B$13=3, Enginuity!$B$13=6)),
      AND(P290="Inner Centre Jamb", OR(Enginuity!$B$13=4, Enginuity!$B$13=6)),
      AND(
        LEFT(P290,5)&lt;&gt;"1-Way",
        LEFT(P290,5)&lt;&gt;"2-Way",
        LEFT(P290,5)&lt;&gt;"3-Way",
        P290&lt;&gt;"Inner Centre Jamb"
      )
    ),
    IF(OR(Enginuity!$A$1="Frameless Glass",Enginuity!$A$1="Metal Work"),
      AND(TRIM(B290)=TRIM(Enginuity!$A$17),TRIM(C290)=TRIM(Enginuity!$A$18)),
      TRIM(B290)=TRIM(Enginuity!$A$17)
    )
  ),
  ROW(),
  ""
)</f>
        <v/>
      </c>
      <c r="AY290" s="79">
        <f t="shared" si="3"/>
        <v>1.1000000000000001</v>
      </c>
      <c r="AZ290" s="5">
        <v>6.5</v>
      </c>
      <c r="BA290" t="s">
        <v>1110</v>
      </c>
      <c r="BB290" s="5">
        <f t="shared" si="1"/>
        <v>7.15</v>
      </c>
    </row>
    <row r="291" spans="1:54" x14ac:dyDescent="0.25">
      <c r="A291" s="10" t="s">
        <v>254</v>
      </c>
      <c r="B291" s="229" t="s">
        <v>92</v>
      </c>
      <c r="C291" s="10"/>
      <c r="D291" s="14"/>
      <c r="E291" s="157"/>
      <c r="F291" s="10"/>
      <c r="G291" s="17"/>
      <c r="H291" s="10"/>
      <c r="I291" s="17"/>
      <c r="J291" s="83"/>
      <c r="K291" s="343"/>
      <c r="L291" s="347"/>
      <c r="M291" s="10" t="s">
        <v>117</v>
      </c>
      <c r="N291" s="88" t="s">
        <v>112</v>
      </c>
      <c r="O291" s="22">
        <v>48</v>
      </c>
      <c r="P291" s="14" t="s">
        <v>302</v>
      </c>
      <c r="Q291" s="83">
        <f>IF(Enginuity!$B$13&gt;=1,1,0)</f>
        <v>1</v>
      </c>
      <c r="U291" s="104" t="str">
        <f>IF(
  AND(
    TRIM(A291)=TRIM(Enginuity!$A$1),
    TRIM(B291)=TRIM(Enginuity!$A$17),
    Q291&lt;&gt;"",
    Q291&lt;&gt;0,
    OR(
      TRIM(C291)=TRIM(Enginuity!$A$18),
      AND(UPPER(TRIM(M291))="STD", TRIM(B291)=TRIM(Enginuity!$A$17))
    ),
    OR(
      AND(LEFT(P291,5)="1-Way", Enginuity!$B$13=1),
      AND(LEFT(P291,5)="2-Way", OR(Enginuity!$B$13=2, Enginuity!$B$13=4)),
      AND(LEFT(P291,5)="3-Way", OR(Enginuity!$B$13=3, Enginuity!$B$13=6)),
      AND(P291="Inner Centre Jamb", OR(Enginuity!$B$13=4, Enginuity!$B$13=6)),
      AND(
        LEFT(P291,5)&lt;&gt;"1-Way",
        LEFT(P291,5)&lt;&gt;"2-Way",
        LEFT(P291,5)&lt;&gt;"3-Way",
        P291&lt;&gt;"Inner Centre Jamb"
      )
    ),
    IF(OR(Enginuity!$A$1="Frameless Glass",Enginuity!$A$1="Metal Work"),
      AND(TRIM(B291)=TRIM(Enginuity!$A$17),TRIM(C291)=TRIM(Enginuity!$A$18)),
      TRIM(B291)=TRIM(Enginuity!$A$17)
    )
  ),
  ROW(),
  ""
)</f>
        <v/>
      </c>
      <c r="AY291" s="79">
        <f t="shared" si="3"/>
        <v>1.1000000000000001</v>
      </c>
      <c r="AZ291" s="5">
        <v>7</v>
      </c>
      <c r="BA291" t="s">
        <v>1111</v>
      </c>
      <c r="BB291" s="5">
        <f t="shared" si="1"/>
        <v>7.7000000000000011</v>
      </c>
    </row>
    <row r="292" spans="1:54" x14ac:dyDescent="0.25">
      <c r="A292" s="10" t="s">
        <v>254</v>
      </c>
      <c r="B292" s="229" t="s">
        <v>92</v>
      </c>
      <c r="C292" s="10"/>
      <c r="D292" s="14"/>
      <c r="E292" s="157"/>
      <c r="F292" s="10"/>
      <c r="G292" s="17"/>
      <c r="H292" s="10"/>
      <c r="I292" s="17"/>
      <c r="J292" s="83"/>
      <c r="K292" s="343"/>
      <c r="L292" s="347"/>
      <c r="M292" s="10" t="s">
        <v>117</v>
      </c>
      <c r="N292" s="88" t="s">
        <v>111</v>
      </c>
      <c r="O292" s="22">
        <v>37</v>
      </c>
      <c r="P292" s="14" t="s">
        <v>303</v>
      </c>
      <c r="Q292" s="83">
        <f>Enginuity!$B$13</f>
        <v>7</v>
      </c>
      <c r="U292" s="104" t="str">
        <f>IF(
  AND(
    TRIM(A292)=TRIM(Enginuity!$A$1),
    TRIM(B292)=TRIM(Enginuity!$A$17),
    Q292&lt;&gt;"",
    Q292&lt;&gt;0,
    OR(
      TRIM(C292)=TRIM(Enginuity!$A$18),
      AND(UPPER(TRIM(M292))="STD", TRIM(B292)=TRIM(Enginuity!$A$17))
    ),
    OR(
      AND(LEFT(P292,5)="1-Way", Enginuity!$B$13=1),
      AND(LEFT(P292,5)="2-Way", OR(Enginuity!$B$13=2, Enginuity!$B$13=4)),
      AND(LEFT(P292,5)="3-Way", OR(Enginuity!$B$13=3, Enginuity!$B$13=6)),
      AND(P292="Inner Centre Jamb", OR(Enginuity!$B$13=4, Enginuity!$B$13=6)),
      AND(
        LEFT(P292,5)&lt;&gt;"1-Way",
        LEFT(P292,5)&lt;&gt;"2-Way",
        LEFT(P292,5)&lt;&gt;"3-Way",
        P292&lt;&gt;"Inner Centre Jamb"
      )
    ),
    IF(OR(Enginuity!$A$1="Frameless Glass",Enginuity!$A$1="Metal Work"),
      AND(TRIM(B292)=TRIM(Enginuity!$A$17),TRIM(C292)=TRIM(Enginuity!$A$18)),
      TRIM(B292)=TRIM(Enginuity!$A$17)
    )
  ),
  ROW(),
  ""
)</f>
        <v/>
      </c>
      <c r="AY292" s="79">
        <f t="shared" si="3"/>
        <v>1.1000000000000001</v>
      </c>
      <c r="AZ292" s="5">
        <v>8</v>
      </c>
      <c r="BA292" t="s">
        <v>1112</v>
      </c>
      <c r="BB292" s="5">
        <f t="shared" si="1"/>
        <v>8.8000000000000007</v>
      </c>
    </row>
    <row r="293" spans="1:54" x14ac:dyDescent="0.25">
      <c r="A293" s="10" t="s">
        <v>254</v>
      </c>
      <c r="B293" s="229" t="s">
        <v>92</v>
      </c>
      <c r="C293" s="10"/>
      <c r="D293" s="14"/>
      <c r="E293" s="157"/>
      <c r="F293" s="10"/>
      <c r="G293" s="17"/>
      <c r="H293" s="10"/>
      <c r="I293" s="17"/>
      <c r="J293" s="83"/>
      <c r="K293" s="343"/>
      <c r="L293" s="347"/>
      <c r="M293" s="10" t="s">
        <v>117</v>
      </c>
      <c r="N293" s="10" t="s">
        <v>103</v>
      </c>
      <c r="O293" s="22">
        <v>1.19166666666666</v>
      </c>
      <c r="P293" s="14" t="s">
        <v>295</v>
      </c>
      <c r="Q293" s="83">
        <f>Enginuity!$B$6*2</f>
        <v>40</v>
      </c>
      <c r="U293" s="104" t="str">
        <f>IF(
  AND(
    TRIM(A293)=TRIM(Enginuity!$A$1),
    TRIM(B293)=TRIM(Enginuity!$A$17),
    Q293&lt;&gt;"",
    Q293&lt;&gt;0,
    OR(
      TRIM(C293)=TRIM(Enginuity!$A$18),
      AND(UPPER(TRIM(M293))="STD", TRIM(B293)=TRIM(Enginuity!$A$17))
    ),
    OR(
      AND(LEFT(P293,5)="1-Way", Enginuity!$B$13=1),
      AND(LEFT(P293,5)="2-Way", OR(Enginuity!$B$13=2, Enginuity!$B$13=4)),
      AND(LEFT(P293,5)="3-Way", OR(Enginuity!$B$13=3, Enginuity!$B$13=6)),
      AND(P293="Inner Centre Jamb", OR(Enginuity!$B$13=4, Enginuity!$B$13=6)),
      AND(
        LEFT(P293,5)&lt;&gt;"1-Way",
        LEFT(P293,5)&lt;&gt;"2-Way",
        LEFT(P293,5)&lt;&gt;"3-Way",
        P293&lt;&gt;"Inner Centre Jamb"
      )
    ),
    IF(OR(Enginuity!$A$1="Frameless Glass",Enginuity!$A$1="Metal Work"),
      AND(TRIM(B293)=TRIM(Enginuity!$A$17),TRIM(C293)=TRIM(Enginuity!$A$18)),
      TRIM(B293)=TRIM(Enginuity!$A$17)
    )
  ),
  ROW(),
  ""
)</f>
        <v/>
      </c>
      <c r="AY293" s="79">
        <f t="shared" si="3"/>
        <v>1.1000000000000001</v>
      </c>
      <c r="AZ293" s="5">
        <v>9</v>
      </c>
      <c r="BA293" t="s">
        <v>1113</v>
      </c>
      <c r="BB293" s="5">
        <f t="shared" si="1"/>
        <v>9.9</v>
      </c>
    </row>
    <row r="294" spans="1:54" x14ac:dyDescent="0.25">
      <c r="A294" s="10" t="s">
        <v>254</v>
      </c>
      <c r="B294" s="229" t="s">
        <v>92</v>
      </c>
      <c r="C294" s="10"/>
      <c r="D294" s="14"/>
      <c r="E294" s="157"/>
      <c r="F294" s="10"/>
      <c r="G294" s="17"/>
      <c r="H294" s="10"/>
      <c r="I294" s="17"/>
      <c r="J294" s="83"/>
      <c r="K294" s="343"/>
      <c r="L294" s="347"/>
      <c r="M294" s="10" t="s">
        <v>117</v>
      </c>
      <c r="N294" s="88" t="s">
        <v>112</v>
      </c>
      <c r="O294" s="22">
        <v>16</v>
      </c>
      <c r="P294" s="14" t="s">
        <v>299</v>
      </c>
      <c r="Q294" s="83">
        <f>IF(Enginuity!$B$13-1=0, "", Enginuity!$B$13-1)</f>
        <v>6</v>
      </c>
      <c r="U294" s="104" t="str">
        <f>IF(
  AND(
    TRIM(A294)=TRIM(Enginuity!$A$1),
    TRIM(B294)=TRIM(Enginuity!$A$17),
    Q294&lt;&gt;"",
    Q294&lt;&gt;0,
    OR(
      TRIM(C294)=TRIM(Enginuity!$A$18),
      AND(UPPER(TRIM(M294))="STD", TRIM(B294)=TRIM(Enginuity!$A$17))
    ),
    OR(
      AND(LEFT(P294,5)="1-Way", Enginuity!$B$13=1),
      AND(LEFT(P294,5)="2-Way", OR(Enginuity!$B$13=2, Enginuity!$B$13=4)),
      AND(LEFT(P294,5)="3-Way", OR(Enginuity!$B$13=3, Enginuity!$B$13=6)),
      AND(P294="Inner Centre Jamb", OR(Enginuity!$B$13=4, Enginuity!$B$13=6)),
      AND(
        LEFT(P294,5)&lt;&gt;"1-Way",
        LEFT(P294,5)&lt;&gt;"2-Way",
        LEFT(P294,5)&lt;&gt;"3-Way",
        P294&lt;&gt;"Inner Centre Jamb"
      )
    ),
    IF(OR(Enginuity!$A$1="Frameless Glass",Enginuity!$A$1="Metal Work"),
      AND(TRIM(B294)=TRIM(Enginuity!$A$17),TRIM(C294)=TRIM(Enginuity!$A$18)),
      TRIM(B294)=TRIM(Enginuity!$A$17)
    )
  ),
  ROW(),
  ""
)</f>
        <v/>
      </c>
      <c r="AY294" s="79">
        <f t="shared" si="3"/>
        <v>1.1000000000000001</v>
      </c>
      <c r="AZ294" s="5">
        <v>10</v>
      </c>
      <c r="BA294" t="s">
        <v>1114</v>
      </c>
      <c r="BB294" s="5">
        <f t="shared" si="1"/>
        <v>11</v>
      </c>
    </row>
    <row r="295" spans="1:54" x14ac:dyDescent="0.25">
      <c r="A295" s="17" t="s">
        <v>254</v>
      </c>
      <c r="B295" s="230" t="s">
        <v>92</v>
      </c>
      <c r="C295" s="17"/>
      <c r="D295" s="18"/>
      <c r="E295" s="238"/>
      <c r="F295" s="17"/>
      <c r="G295" s="17"/>
      <c r="H295" s="10"/>
      <c r="I295" s="17"/>
      <c r="J295" s="83"/>
      <c r="K295" s="343"/>
      <c r="L295" s="347"/>
      <c r="M295" s="17" t="s">
        <v>117</v>
      </c>
      <c r="N295" s="91" t="s">
        <v>112</v>
      </c>
      <c r="O295" s="25">
        <v>5</v>
      </c>
      <c r="P295" s="18" t="s">
        <v>300</v>
      </c>
      <c r="Q295" s="84">
        <f>IF(Enginuity!$B$13-1=0, "", Enginuity!$B$13-1)</f>
        <v>6</v>
      </c>
      <c r="U295" s="104" t="str">
        <f>IF(
  AND(
    TRIM(A295)=TRIM(Enginuity!$A$1),
    TRIM(B295)=TRIM(Enginuity!$A$17),
    Q295&lt;&gt;"",
    Q295&lt;&gt;0,
    OR(
      TRIM(C295)=TRIM(Enginuity!$A$18),
      AND(UPPER(TRIM(M295))="STD", TRIM(B295)=TRIM(Enginuity!$A$17))
    ),
    OR(
      AND(LEFT(P295,5)="1-Way", Enginuity!$B$13=1),
      AND(LEFT(P295,5)="2-Way", OR(Enginuity!$B$13=2, Enginuity!$B$13=4)),
      AND(LEFT(P295,5)="3-Way", OR(Enginuity!$B$13=3, Enginuity!$B$13=6)),
      AND(P295="Inner Centre Jamb", OR(Enginuity!$B$13=4, Enginuity!$B$13=6)),
      AND(
        LEFT(P295,5)&lt;&gt;"1-Way",
        LEFT(P295,5)&lt;&gt;"2-Way",
        LEFT(P295,5)&lt;&gt;"3-Way",
        P295&lt;&gt;"Inner Centre Jamb"
      )
    ),
    IF(OR(Enginuity!$A$1="Frameless Glass",Enginuity!$A$1="Metal Work"),
      AND(TRIM(B295)=TRIM(Enginuity!$A$17),TRIM(C295)=TRIM(Enginuity!$A$18)),
      TRIM(B295)=TRIM(Enginuity!$A$17)
    )
  ),
  ROW(),
  ""
)</f>
        <v/>
      </c>
      <c r="AY295" s="79">
        <f t="shared" si="3"/>
        <v>1.1000000000000001</v>
      </c>
      <c r="AZ295" s="5">
        <v>28</v>
      </c>
      <c r="BA295" t="s">
        <v>1115</v>
      </c>
      <c r="BB295" s="5">
        <f t="shared" si="1"/>
        <v>30.800000000000004</v>
      </c>
    </row>
    <row r="296" spans="1:54" x14ac:dyDescent="0.25">
      <c r="A296" s="10" t="s">
        <v>254</v>
      </c>
      <c r="B296" s="229" t="s">
        <v>14</v>
      </c>
      <c r="C296" s="10" t="s">
        <v>107</v>
      </c>
      <c r="D296" s="14"/>
      <c r="E296" s="157"/>
      <c r="F296" s="11"/>
      <c r="G296" s="17"/>
      <c r="H296" s="10"/>
      <c r="I296" s="17"/>
      <c r="J296" s="83"/>
      <c r="K296" s="344">
        <v>0.52204600000000001</v>
      </c>
      <c r="L296" s="347">
        <v>914.4</v>
      </c>
      <c r="M296" s="89">
        <v>1</v>
      </c>
      <c r="N296" s="10" t="s">
        <v>103</v>
      </c>
      <c r="O296" s="22">
        <v>5.01</v>
      </c>
      <c r="P296" s="86" t="s">
        <v>305</v>
      </c>
      <c r="Q296" s="83">
        <f>Enginuity!$B$6 + (Enginuity!$B$7*2)</f>
        <v>46</v>
      </c>
      <c r="U296" s="104" t="str">
        <f>IF(
  AND(
    TRIM(A296)=TRIM(Enginuity!$A$1),
    TRIM(B296)=TRIM(Enginuity!$A$17),
    Q296&lt;&gt;"",
    Q296&lt;&gt;0,
    OR(
      TRIM(C296)=TRIM(Enginuity!$A$18),
      AND(UPPER(TRIM(M296))="STD", TRIM(B296)=TRIM(Enginuity!$A$17))
    ),
    OR(
      AND(LEFT(P296,5)="1-Way", Enginuity!$B$13=1),
      AND(LEFT(P296,5)="2-Way", OR(Enginuity!$B$13=2, Enginuity!$B$13=4)),
      AND(LEFT(P296,5)="3-Way", OR(Enginuity!$B$13=3, Enginuity!$B$13=6)),
      AND(P296="Inner Centre Jamb", OR(Enginuity!$B$13=4, Enginuity!$B$13=6)),
      AND(
        LEFT(P296,5)&lt;&gt;"1-Way",
        LEFT(P296,5)&lt;&gt;"2-Way",
        LEFT(P296,5)&lt;&gt;"3-Way",
        P296&lt;&gt;"Inner Centre Jamb"
      )
    ),
    IF(OR(Enginuity!$A$1="Frameless Glass",Enginuity!$A$1="Metal Work"),
      AND(TRIM(B296)=TRIM(Enginuity!$A$17),TRIM(C296)=TRIM(Enginuity!$A$18)),
      TRIM(B296)=TRIM(Enginuity!$A$17)
    )
  ),
  ROW(),
  ""
)</f>
        <v/>
      </c>
      <c r="AY296" s="79">
        <f t="shared" si="3"/>
        <v>1.1000000000000001</v>
      </c>
      <c r="AZ296" s="5">
        <v>38</v>
      </c>
      <c r="BA296" t="s">
        <v>1116</v>
      </c>
      <c r="BB296" s="5">
        <f t="shared" si="1"/>
        <v>41.800000000000004</v>
      </c>
    </row>
    <row r="297" spans="1:54" x14ac:dyDescent="0.25">
      <c r="A297" s="10" t="s">
        <v>254</v>
      </c>
      <c r="B297" s="229" t="s">
        <v>14</v>
      </c>
      <c r="C297" s="10" t="s">
        <v>97</v>
      </c>
      <c r="D297" s="14"/>
      <c r="E297" s="157"/>
      <c r="F297" s="11"/>
      <c r="G297" s="17"/>
      <c r="H297" s="10"/>
      <c r="I297" s="17"/>
      <c r="J297" s="83"/>
      <c r="K297" s="343"/>
      <c r="L297" s="347"/>
      <c r="M297" s="89">
        <v>2</v>
      </c>
      <c r="N297" s="10" t="s">
        <v>103</v>
      </c>
      <c r="O297" s="22">
        <v>5.87</v>
      </c>
      <c r="P297" s="86" t="s">
        <v>305</v>
      </c>
      <c r="Q297" s="83">
        <f>Enginuity!$B$6 + (Enginuity!$B$7*2)</f>
        <v>46</v>
      </c>
      <c r="U297" s="104" t="str">
        <f>IF(
  AND(
    TRIM(A297)=TRIM(Enginuity!$A$1),
    TRIM(B297)=TRIM(Enginuity!$A$17),
    Q297&lt;&gt;"",
    Q297&lt;&gt;0,
    OR(
      TRIM(C297)=TRIM(Enginuity!$A$18),
      AND(UPPER(TRIM(M297))="STD", TRIM(B297)=TRIM(Enginuity!$A$17))
    ),
    OR(
      AND(LEFT(P297,5)="1-Way", Enginuity!$B$13=1),
      AND(LEFT(P297,5)="2-Way", OR(Enginuity!$B$13=2, Enginuity!$B$13=4)),
      AND(LEFT(P297,5)="3-Way", OR(Enginuity!$B$13=3, Enginuity!$B$13=6)),
      AND(P297="Inner Centre Jamb", OR(Enginuity!$B$13=4, Enginuity!$B$13=6)),
      AND(
        LEFT(P297,5)&lt;&gt;"1-Way",
        LEFT(P297,5)&lt;&gt;"2-Way",
        LEFT(P297,5)&lt;&gt;"3-Way",
        P297&lt;&gt;"Inner Centre Jamb"
      )
    ),
    IF(OR(Enginuity!$A$1="Frameless Glass",Enginuity!$A$1="Metal Work"),
      AND(TRIM(B297)=TRIM(Enginuity!$A$17),TRIM(C297)=TRIM(Enginuity!$A$18)),
      TRIM(B297)=TRIM(Enginuity!$A$17)
    )
  ),
  ROW(),
  ""
)</f>
        <v/>
      </c>
      <c r="AY297" s="79">
        <f t="shared" si="3"/>
        <v>1.1000000000000001</v>
      </c>
      <c r="AZ297" s="5">
        <v>9.35</v>
      </c>
      <c r="BA297" t="s">
        <v>1117</v>
      </c>
      <c r="BB297" s="5">
        <f t="shared" si="1"/>
        <v>10.285</v>
      </c>
    </row>
    <row r="298" spans="1:54" x14ac:dyDescent="0.25">
      <c r="A298" s="10"/>
      <c r="B298" s="229"/>
      <c r="C298" s="10"/>
      <c r="D298" s="14"/>
      <c r="E298" s="157"/>
      <c r="F298" s="10"/>
      <c r="G298" s="17"/>
      <c r="H298" s="10"/>
      <c r="I298" s="17"/>
      <c r="J298" s="83"/>
      <c r="K298" s="343"/>
      <c r="L298" s="347"/>
      <c r="M298" s="89">
        <v>3</v>
      </c>
      <c r="N298" s="10"/>
      <c r="O298" s="22"/>
      <c r="P298" s="36"/>
      <c r="Q298" s="83"/>
      <c r="U298" s="104" t="str">
        <f>IF(
  AND(
    TRIM(A298)=TRIM(Enginuity!$A$1),
    TRIM(B298)=TRIM(Enginuity!$A$17),
    Q298&lt;&gt;"",
    Q298&lt;&gt;0,
    OR(
      TRIM(C298)=TRIM(Enginuity!$A$18),
      AND(UPPER(TRIM(M298))="STD", TRIM(B298)=TRIM(Enginuity!$A$17))
    ),
    OR(
      AND(LEFT(P298,5)="1-Way", Enginuity!$B$13=1),
      AND(LEFT(P298,5)="2-Way", OR(Enginuity!$B$13=2, Enginuity!$B$13=4)),
      AND(LEFT(P298,5)="3-Way", OR(Enginuity!$B$13=3, Enginuity!$B$13=6)),
      AND(P298="Inner Centre Jamb", OR(Enginuity!$B$13=4, Enginuity!$B$13=6)),
      AND(
        LEFT(P298,5)&lt;&gt;"1-Way",
        LEFT(P298,5)&lt;&gt;"2-Way",
        LEFT(P298,5)&lt;&gt;"3-Way",
        P298&lt;&gt;"Inner Centre Jamb"
      )
    ),
    IF(OR(Enginuity!$A$1="Frameless Glass",Enginuity!$A$1="Metal Work"),
      AND(TRIM(B298)=TRIM(Enginuity!$A$17),TRIM(C298)=TRIM(Enginuity!$A$18)),
      TRIM(B298)=TRIM(Enginuity!$A$17)
    )
  ),
  ROW(),
  ""
)</f>
        <v/>
      </c>
      <c r="AY298" s="79">
        <f t="shared" si="3"/>
        <v>1.1000000000000001</v>
      </c>
      <c r="AZ298" s="5">
        <v>10.45</v>
      </c>
      <c r="BA298" t="s">
        <v>1118</v>
      </c>
      <c r="BB298" s="5">
        <f t="shared" si="1"/>
        <v>11.495000000000001</v>
      </c>
    </row>
    <row r="299" spans="1:54" x14ac:dyDescent="0.25">
      <c r="A299" s="10"/>
      <c r="B299" s="229"/>
      <c r="C299" s="10"/>
      <c r="D299" s="14"/>
      <c r="E299" s="157"/>
      <c r="F299" s="10"/>
      <c r="G299" s="17"/>
      <c r="H299" s="10"/>
      <c r="I299" s="17"/>
      <c r="J299" s="83"/>
      <c r="K299" s="343"/>
      <c r="L299" s="347"/>
      <c r="M299" s="89">
        <v>4</v>
      </c>
      <c r="N299" s="10"/>
      <c r="O299" s="22"/>
      <c r="P299" s="36"/>
      <c r="Q299" s="83"/>
      <c r="U299" s="104" t="str">
        <f>IF(
  AND(
    TRIM(A299)=TRIM(Enginuity!$A$1),
    TRIM(B299)=TRIM(Enginuity!$A$17),
    Q299&lt;&gt;"",
    Q299&lt;&gt;0,
    OR(
      TRIM(C299)=TRIM(Enginuity!$A$18),
      AND(UPPER(TRIM(M299))="STD", TRIM(B299)=TRIM(Enginuity!$A$17))
    ),
    OR(
      AND(LEFT(P299,5)="1-Way", Enginuity!$B$13=1),
      AND(LEFT(P299,5)="2-Way", OR(Enginuity!$B$13=2, Enginuity!$B$13=4)),
      AND(LEFT(P299,5)="3-Way", OR(Enginuity!$B$13=3, Enginuity!$B$13=6)),
      AND(P299="Inner Centre Jamb", OR(Enginuity!$B$13=4, Enginuity!$B$13=6)),
      AND(
        LEFT(P299,5)&lt;&gt;"1-Way",
        LEFT(P299,5)&lt;&gt;"2-Way",
        LEFT(P299,5)&lt;&gt;"3-Way",
        P299&lt;&gt;"Inner Centre Jamb"
      )
    ),
    IF(OR(Enginuity!$A$1="Frameless Glass",Enginuity!$A$1="Metal Work"),
      AND(TRIM(B299)=TRIM(Enginuity!$A$17),TRIM(C299)=TRIM(Enginuity!$A$18)),
      TRIM(B299)=TRIM(Enginuity!$A$17)
    )
  ),
  ROW(),
  ""
)</f>
        <v/>
      </c>
      <c r="AY299" s="79">
        <f t="shared" si="3"/>
        <v>1.1000000000000001</v>
      </c>
      <c r="AZ299" s="5">
        <v>15.95</v>
      </c>
      <c r="BA299" t="s">
        <v>1119</v>
      </c>
      <c r="BB299" s="5">
        <f t="shared" si="1"/>
        <v>17.545000000000002</v>
      </c>
    </row>
    <row r="300" spans="1:54" x14ac:dyDescent="0.25">
      <c r="A300" s="10"/>
      <c r="B300" s="229"/>
      <c r="C300" s="10"/>
      <c r="D300" s="14"/>
      <c r="E300" s="157"/>
      <c r="F300" s="10"/>
      <c r="G300" s="17"/>
      <c r="H300" s="10"/>
      <c r="I300" s="17"/>
      <c r="J300" s="83"/>
      <c r="K300" s="343"/>
      <c r="L300" s="347"/>
      <c r="M300" s="89">
        <v>5</v>
      </c>
      <c r="N300" s="10"/>
      <c r="O300" s="22"/>
      <c r="P300" s="36"/>
      <c r="Q300" s="83"/>
      <c r="U300" s="104" t="str">
        <f>IF(
  AND(
    TRIM(A300)=TRIM(Enginuity!$A$1),
    TRIM(B300)=TRIM(Enginuity!$A$17),
    Q300&lt;&gt;"",
    Q300&lt;&gt;0,
    OR(
      TRIM(C300)=TRIM(Enginuity!$A$18),
      AND(UPPER(TRIM(M300))="STD", TRIM(B300)=TRIM(Enginuity!$A$17))
    ),
    OR(
      AND(LEFT(P300,5)="1-Way", Enginuity!$B$13=1),
      AND(LEFT(P300,5)="2-Way", OR(Enginuity!$B$13=2, Enginuity!$B$13=4)),
      AND(LEFT(P300,5)="3-Way", OR(Enginuity!$B$13=3, Enginuity!$B$13=6)),
      AND(P300="Inner Centre Jamb", OR(Enginuity!$B$13=4, Enginuity!$B$13=6)),
      AND(
        LEFT(P300,5)&lt;&gt;"1-Way",
        LEFT(P300,5)&lt;&gt;"2-Way",
        LEFT(P300,5)&lt;&gt;"3-Way",
        P300&lt;&gt;"Inner Centre Jamb"
      )
    ),
    IF(OR(Enginuity!$A$1="Frameless Glass",Enginuity!$A$1="Metal Work"),
      AND(TRIM(B300)=TRIM(Enginuity!$A$17),TRIM(C300)=TRIM(Enginuity!$A$18)),
      TRIM(B300)=TRIM(Enginuity!$A$17)
    )
  ),
  ROW(),
  ""
)</f>
        <v/>
      </c>
      <c r="AY300" s="79">
        <f t="shared" si="3"/>
        <v>1.1000000000000001</v>
      </c>
      <c r="AZ300" s="5">
        <v>18.149999999999999</v>
      </c>
      <c r="BA300" t="s">
        <v>1120</v>
      </c>
      <c r="BB300" s="5">
        <f t="shared" si="1"/>
        <v>19.965</v>
      </c>
    </row>
    <row r="301" spans="1:54" x14ac:dyDescent="0.25">
      <c r="A301" s="10"/>
      <c r="B301" s="229"/>
      <c r="C301" s="10"/>
      <c r="D301" s="14"/>
      <c r="E301" s="157"/>
      <c r="F301" s="10"/>
      <c r="G301" s="17"/>
      <c r="H301" s="10"/>
      <c r="I301" s="17"/>
      <c r="J301" s="83"/>
      <c r="K301" s="343"/>
      <c r="L301" s="347"/>
      <c r="M301" s="89">
        <v>6</v>
      </c>
      <c r="N301" s="10"/>
      <c r="O301" s="22"/>
      <c r="P301" s="36"/>
      <c r="Q301" s="83"/>
      <c r="U301" s="104" t="str">
        <f>IF(
  AND(
    TRIM(A301)=TRIM(Enginuity!$A$1),
    TRIM(B301)=TRIM(Enginuity!$A$17),
    Q301&lt;&gt;"",
    Q301&lt;&gt;0,
    OR(
      TRIM(C301)=TRIM(Enginuity!$A$18),
      AND(UPPER(TRIM(M301))="STD", TRIM(B301)=TRIM(Enginuity!$A$17))
    ),
    OR(
      AND(LEFT(P301,5)="1-Way", Enginuity!$B$13=1),
      AND(LEFT(P301,5)="2-Way", OR(Enginuity!$B$13=2, Enginuity!$B$13=4)),
      AND(LEFT(P301,5)="3-Way", OR(Enginuity!$B$13=3, Enginuity!$B$13=6)),
      AND(P301="Inner Centre Jamb", OR(Enginuity!$B$13=4, Enginuity!$B$13=6)),
      AND(
        LEFT(P301,5)&lt;&gt;"1-Way",
        LEFT(P301,5)&lt;&gt;"2-Way",
        LEFT(P301,5)&lt;&gt;"3-Way",
        P301&lt;&gt;"Inner Centre Jamb"
      )
    ),
    IF(OR(Enginuity!$A$1="Frameless Glass",Enginuity!$A$1="Metal Work"),
      AND(TRIM(B301)=TRIM(Enginuity!$A$17),TRIM(C301)=TRIM(Enginuity!$A$18)),
      TRIM(B301)=TRIM(Enginuity!$A$17)
    )
  ),
  ROW(),
  ""
)</f>
        <v/>
      </c>
      <c r="AY301" s="79">
        <f t="shared" si="3"/>
        <v>1.1000000000000001</v>
      </c>
      <c r="AZ301" s="5">
        <v>19.25</v>
      </c>
      <c r="BA301" t="s">
        <v>1121</v>
      </c>
      <c r="BB301" s="5">
        <f t="shared" si="1"/>
        <v>21.175000000000001</v>
      </c>
    </row>
    <row r="302" spans="1:54" x14ac:dyDescent="0.25">
      <c r="A302" s="10"/>
      <c r="B302" s="229"/>
      <c r="C302" s="10"/>
      <c r="D302" s="14"/>
      <c r="E302" s="157"/>
      <c r="F302" s="10"/>
      <c r="G302" s="17"/>
      <c r="H302" s="10"/>
      <c r="I302" s="17"/>
      <c r="J302" s="83"/>
      <c r="K302" s="343"/>
      <c r="L302" s="347"/>
      <c r="M302" s="89">
        <v>7</v>
      </c>
      <c r="N302" s="10"/>
      <c r="O302" s="22"/>
      <c r="P302" s="36"/>
      <c r="Q302" s="83"/>
      <c r="U302" s="104" t="str">
        <f>IF(
  AND(
    TRIM(A302)=TRIM(Enginuity!$A$1),
    TRIM(B302)=TRIM(Enginuity!$A$17),
    Q302&lt;&gt;"",
    Q302&lt;&gt;0,
    OR(
      TRIM(C302)=TRIM(Enginuity!$A$18),
      AND(UPPER(TRIM(M302))="STD", TRIM(B302)=TRIM(Enginuity!$A$17))
    ),
    OR(
      AND(LEFT(P302,5)="1-Way", Enginuity!$B$13=1),
      AND(LEFT(P302,5)="2-Way", OR(Enginuity!$B$13=2, Enginuity!$B$13=4)),
      AND(LEFT(P302,5)="3-Way", OR(Enginuity!$B$13=3, Enginuity!$B$13=6)),
      AND(P302="Inner Centre Jamb", OR(Enginuity!$B$13=4, Enginuity!$B$13=6)),
      AND(
        LEFT(P302,5)&lt;&gt;"1-Way",
        LEFT(P302,5)&lt;&gt;"2-Way",
        LEFT(P302,5)&lt;&gt;"3-Way",
        P302&lt;&gt;"Inner Centre Jamb"
      )
    ),
    IF(OR(Enginuity!$A$1="Frameless Glass",Enginuity!$A$1="Metal Work"),
      AND(TRIM(B302)=TRIM(Enginuity!$A$17),TRIM(C302)=TRIM(Enginuity!$A$18)),
      TRIM(B302)=TRIM(Enginuity!$A$17)
    )
  ),
  ROW(),
  ""
)</f>
        <v/>
      </c>
      <c r="AY302" s="79">
        <f t="shared" si="3"/>
        <v>1.1000000000000001</v>
      </c>
      <c r="AZ302" s="5">
        <v>8.8000000000000007</v>
      </c>
      <c r="BA302" t="s">
        <v>1122</v>
      </c>
      <c r="BB302" s="5">
        <f t="shared" si="1"/>
        <v>9.6800000000000015</v>
      </c>
    </row>
    <row r="303" spans="1:54" x14ac:dyDescent="0.25">
      <c r="A303" s="10"/>
      <c r="B303" s="229"/>
      <c r="C303" s="10"/>
      <c r="D303" s="14"/>
      <c r="E303" s="157"/>
      <c r="F303" s="10"/>
      <c r="G303" s="17"/>
      <c r="H303" s="10"/>
      <c r="I303" s="17"/>
      <c r="J303" s="83"/>
      <c r="K303" s="343"/>
      <c r="L303" s="347"/>
      <c r="M303" s="89">
        <v>8</v>
      </c>
      <c r="N303" s="10"/>
      <c r="O303" s="22"/>
      <c r="P303" s="36"/>
      <c r="Q303" s="83"/>
      <c r="U303" s="104" t="str">
        <f>IF(
  AND(
    TRIM(A303)=TRIM(Enginuity!$A$1),
    TRIM(B303)=TRIM(Enginuity!$A$17),
    Q303&lt;&gt;"",
    Q303&lt;&gt;0,
    OR(
      TRIM(C303)=TRIM(Enginuity!$A$18),
      AND(UPPER(TRIM(M303))="STD", TRIM(B303)=TRIM(Enginuity!$A$17))
    ),
    OR(
      AND(LEFT(P303,5)="1-Way", Enginuity!$B$13=1),
      AND(LEFT(P303,5)="2-Way", OR(Enginuity!$B$13=2, Enginuity!$B$13=4)),
      AND(LEFT(P303,5)="3-Way", OR(Enginuity!$B$13=3, Enginuity!$B$13=6)),
      AND(P303="Inner Centre Jamb", OR(Enginuity!$B$13=4, Enginuity!$B$13=6)),
      AND(
        LEFT(P303,5)&lt;&gt;"1-Way",
        LEFT(P303,5)&lt;&gt;"2-Way",
        LEFT(P303,5)&lt;&gt;"3-Way",
        P303&lt;&gt;"Inner Centre Jamb"
      )
    ),
    IF(OR(Enginuity!$A$1="Frameless Glass",Enginuity!$A$1="Metal Work"),
      AND(TRIM(B303)=TRIM(Enginuity!$A$17),TRIM(C303)=TRIM(Enginuity!$A$18)),
      TRIM(B303)=TRIM(Enginuity!$A$17)
    )
  ),
  ROW(),
  ""
)</f>
        <v/>
      </c>
      <c r="AY303" s="79">
        <f t="shared" si="3"/>
        <v>1.1000000000000001</v>
      </c>
      <c r="AZ303" s="5">
        <v>9.9</v>
      </c>
      <c r="BA303" t="s">
        <v>1123</v>
      </c>
      <c r="BB303" s="5">
        <f t="shared" si="1"/>
        <v>10.89</v>
      </c>
    </row>
    <row r="304" spans="1:54" x14ac:dyDescent="0.25">
      <c r="A304" s="10"/>
      <c r="B304" s="229"/>
      <c r="C304" s="10"/>
      <c r="D304" s="14"/>
      <c r="E304" s="157"/>
      <c r="F304" s="10"/>
      <c r="G304" s="17"/>
      <c r="H304" s="10"/>
      <c r="I304" s="17"/>
      <c r="J304" s="83"/>
      <c r="K304" s="343"/>
      <c r="L304" s="347"/>
      <c r="M304" s="89">
        <v>9</v>
      </c>
      <c r="N304" s="10"/>
      <c r="O304" s="22"/>
      <c r="P304" s="36"/>
      <c r="Q304" s="83"/>
      <c r="U304" s="104" t="str">
        <f>IF(
  AND(
    TRIM(A304)=TRIM(Enginuity!$A$1),
    TRIM(B304)=TRIM(Enginuity!$A$17),
    Q304&lt;&gt;"",
    Q304&lt;&gt;0,
    OR(
      TRIM(C304)=TRIM(Enginuity!$A$18),
      AND(UPPER(TRIM(M304))="STD", TRIM(B304)=TRIM(Enginuity!$A$17))
    ),
    OR(
      AND(LEFT(P304,5)="1-Way", Enginuity!$B$13=1),
      AND(LEFT(P304,5)="2-Way", OR(Enginuity!$B$13=2, Enginuity!$B$13=4)),
      AND(LEFT(P304,5)="3-Way", OR(Enginuity!$B$13=3, Enginuity!$B$13=6)),
      AND(P304="Inner Centre Jamb", OR(Enginuity!$B$13=4, Enginuity!$B$13=6)),
      AND(
        LEFT(P304,5)&lt;&gt;"1-Way",
        LEFT(P304,5)&lt;&gt;"2-Way",
        LEFT(P304,5)&lt;&gt;"3-Way",
        P304&lt;&gt;"Inner Centre Jamb"
      )
    ),
    IF(OR(Enginuity!$A$1="Frameless Glass",Enginuity!$A$1="Metal Work"),
      AND(TRIM(B304)=TRIM(Enginuity!$A$17),TRIM(C304)=TRIM(Enginuity!$A$18)),
      TRIM(B304)=TRIM(Enginuity!$A$17)
    )
  ),
  ROW(),
  ""
)</f>
        <v/>
      </c>
      <c r="AY304" s="79">
        <f t="shared" si="3"/>
        <v>1.1000000000000001</v>
      </c>
      <c r="AZ304" s="5">
        <v>11.55</v>
      </c>
      <c r="BA304" t="s">
        <v>1124</v>
      </c>
      <c r="BB304" s="5">
        <f t="shared" si="1"/>
        <v>12.705000000000002</v>
      </c>
    </row>
    <row r="305" spans="1:54" x14ac:dyDescent="0.25">
      <c r="A305" s="10"/>
      <c r="B305" s="229"/>
      <c r="C305" s="10"/>
      <c r="D305" s="14"/>
      <c r="E305" s="157"/>
      <c r="F305" s="10"/>
      <c r="G305" s="17"/>
      <c r="H305" s="10"/>
      <c r="I305" s="17"/>
      <c r="J305" s="83"/>
      <c r="K305" s="343"/>
      <c r="L305" s="347"/>
      <c r="M305" s="89">
        <v>10</v>
      </c>
      <c r="N305" s="10"/>
      <c r="O305" s="22"/>
      <c r="Q305" s="83"/>
      <c r="U305" s="104" t="str">
        <f>IF(
  AND(
    TRIM(A305)=TRIM(Enginuity!$A$1),
    TRIM(B305)=TRIM(Enginuity!$A$17),
    Q305&lt;&gt;"",
    Q305&lt;&gt;0,
    OR(
      TRIM(C305)=TRIM(Enginuity!$A$18),
      AND(UPPER(TRIM(M305))="STD", TRIM(B305)=TRIM(Enginuity!$A$17))
    ),
    OR(
      AND(LEFT(P305,5)="1-Way", Enginuity!$B$13=1),
      AND(LEFT(P305,5)="2-Way", OR(Enginuity!$B$13=2, Enginuity!$B$13=4)),
      AND(LEFT(P305,5)="3-Way", OR(Enginuity!$B$13=3, Enginuity!$B$13=6)),
      AND(P305="Inner Centre Jamb", OR(Enginuity!$B$13=4, Enginuity!$B$13=6)),
      AND(
        LEFT(P305,5)&lt;&gt;"1-Way",
        LEFT(P305,5)&lt;&gt;"2-Way",
        LEFT(P305,5)&lt;&gt;"3-Way",
        P305&lt;&gt;"Inner Centre Jamb"
      )
    ),
    IF(OR(Enginuity!$A$1="Frameless Glass",Enginuity!$A$1="Metal Work"),
      AND(TRIM(B305)=TRIM(Enginuity!$A$17),TRIM(C305)=TRIM(Enginuity!$A$18)),
      TRIM(B305)=TRIM(Enginuity!$A$17)
    )
  ),
  ROW(),
  ""
)</f>
        <v/>
      </c>
      <c r="AY305" s="79">
        <f t="shared" si="3"/>
        <v>1.1000000000000001</v>
      </c>
      <c r="AZ305" s="5">
        <v>13.2</v>
      </c>
      <c r="BA305" t="s">
        <v>1125</v>
      </c>
      <c r="BB305" s="5">
        <f t="shared" ref="BB305:BB368" si="4">IF(OR(AY305="",AZ305=""),"",AY305*AZ305)</f>
        <v>14.52</v>
      </c>
    </row>
    <row r="306" spans="1:54" x14ac:dyDescent="0.25">
      <c r="A306" s="10"/>
      <c r="B306" s="229"/>
      <c r="C306" s="10"/>
      <c r="D306" s="14"/>
      <c r="E306" s="157"/>
      <c r="F306" s="10"/>
      <c r="G306" s="17"/>
      <c r="H306" s="10"/>
      <c r="I306" s="17"/>
      <c r="J306" s="83"/>
      <c r="K306" s="343"/>
      <c r="L306" s="347"/>
      <c r="M306" s="89">
        <v>11</v>
      </c>
      <c r="N306" s="10"/>
      <c r="O306" s="22"/>
      <c r="P306" s="36"/>
      <c r="Q306" s="83"/>
      <c r="U306" s="104" t="str">
        <f>IF(
  AND(
    TRIM(A306)=TRIM(Enginuity!$A$1),
    TRIM(B306)=TRIM(Enginuity!$A$17),
    Q306&lt;&gt;"",
    Q306&lt;&gt;0,
    OR(
      TRIM(C306)=TRIM(Enginuity!$A$18),
      AND(UPPER(TRIM(M306))="STD", TRIM(B306)=TRIM(Enginuity!$A$17))
    ),
    OR(
      AND(LEFT(P306,5)="1-Way", Enginuity!$B$13=1),
      AND(LEFT(P306,5)="2-Way", OR(Enginuity!$B$13=2, Enginuity!$B$13=4)),
      AND(LEFT(P306,5)="3-Way", OR(Enginuity!$B$13=3, Enginuity!$B$13=6)),
      AND(P306="Inner Centre Jamb", OR(Enginuity!$B$13=4, Enginuity!$B$13=6)),
      AND(
        LEFT(P306,5)&lt;&gt;"1-Way",
        LEFT(P306,5)&lt;&gt;"2-Way",
        LEFT(P306,5)&lt;&gt;"3-Way",
        P306&lt;&gt;"Inner Centre Jamb"
      )
    ),
    IF(OR(Enginuity!$A$1="Frameless Glass",Enginuity!$A$1="Metal Work"),
      AND(TRIM(B306)=TRIM(Enginuity!$A$17),TRIM(C306)=TRIM(Enginuity!$A$18)),
      TRIM(B306)=TRIM(Enginuity!$A$17)
    )
  ),
  ROW(),
  ""
)</f>
        <v/>
      </c>
      <c r="AY306" s="79">
        <f t="shared" si="3"/>
        <v>1.1000000000000001</v>
      </c>
      <c r="AZ306" s="5">
        <v>14.3</v>
      </c>
      <c r="BA306" t="s">
        <v>1126</v>
      </c>
      <c r="BB306" s="5">
        <f t="shared" si="4"/>
        <v>15.730000000000002</v>
      </c>
    </row>
    <row r="307" spans="1:54" x14ac:dyDescent="0.25">
      <c r="A307" s="10"/>
      <c r="B307" s="229"/>
      <c r="C307" s="10"/>
      <c r="D307" s="14"/>
      <c r="E307" s="157"/>
      <c r="F307" s="10"/>
      <c r="G307" s="17"/>
      <c r="H307" s="10"/>
      <c r="I307" s="17"/>
      <c r="J307" s="83"/>
      <c r="K307" s="343"/>
      <c r="L307" s="347"/>
      <c r="M307" s="89">
        <v>12</v>
      </c>
      <c r="N307" s="10"/>
      <c r="O307" s="22"/>
      <c r="P307" s="36"/>
      <c r="Q307" s="83"/>
      <c r="U307" s="104" t="str">
        <f>IF(
  AND(
    TRIM(A307)=TRIM(Enginuity!$A$1),
    TRIM(B307)=TRIM(Enginuity!$A$17),
    Q307&lt;&gt;"",
    Q307&lt;&gt;0,
    OR(
      TRIM(C307)=TRIM(Enginuity!$A$18),
      AND(UPPER(TRIM(M307))="STD", TRIM(B307)=TRIM(Enginuity!$A$17))
    ),
    OR(
      AND(LEFT(P307,5)="1-Way", Enginuity!$B$13=1),
      AND(LEFT(P307,5)="2-Way", OR(Enginuity!$B$13=2, Enginuity!$B$13=4)),
      AND(LEFT(P307,5)="3-Way", OR(Enginuity!$B$13=3, Enginuity!$B$13=6)),
      AND(P307="Inner Centre Jamb", OR(Enginuity!$B$13=4, Enginuity!$B$13=6)),
      AND(
        LEFT(P307,5)&lt;&gt;"1-Way",
        LEFT(P307,5)&lt;&gt;"2-Way",
        LEFT(P307,5)&lt;&gt;"3-Way",
        P307&lt;&gt;"Inner Centre Jamb"
      )
    ),
    IF(OR(Enginuity!$A$1="Frameless Glass",Enginuity!$A$1="Metal Work"),
      AND(TRIM(B307)=TRIM(Enginuity!$A$17),TRIM(C307)=TRIM(Enginuity!$A$18)),
      TRIM(B307)=TRIM(Enginuity!$A$17)
    )
  ),
  ROW(),
  ""
)</f>
        <v/>
      </c>
      <c r="AY307" s="79">
        <f t="shared" si="3"/>
        <v>1.1000000000000001</v>
      </c>
      <c r="AZ307" s="5">
        <v>13.75</v>
      </c>
      <c r="BA307" t="s">
        <v>1127</v>
      </c>
      <c r="BB307" s="5">
        <f t="shared" si="4"/>
        <v>15.125000000000002</v>
      </c>
    </row>
    <row r="308" spans="1:54" x14ac:dyDescent="0.25">
      <c r="A308" s="10"/>
      <c r="B308" s="229"/>
      <c r="C308" s="10"/>
      <c r="D308" s="14"/>
      <c r="E308" s="157"/>
      <c r="F308" s="10"/>
      <c r="G308" s="17"/>
      <c r="H308" s="10"/>
      <c r="I308" s="17"/>
      <c r="J308" s="83"/>
      <c r="K308" s="343"/>
      <c r="L308" s="347"/>
      <c r="M308" s="89">
        <v>13</v>
      </c>
      <c r="N308" s="94"/>
      <c r="O308" s="22"/>
      <c r="P308" s="36"/>
      <c r="Q308" s="83"/>
      <c r="U308" s="104" t="str">
        <f>IF(
  AND(
    TRIM(A308)=TRIM(Enginuity!$A$1),
    TRIM(B308)=TRIM(Enginuity!$A$17),
    Q308&lt;&gt;"",
    Q308&lt;&gt;0,
    OR(
      TRIM(C308)=TRIM(Enginuity!$A$18),
      AND(UPPER(TRIM(M308))="STD", TRIM(B308)=TRIM(Enginuity!$A$17))
    ),
    OR(
      AND(LEFT(P308,5)="1-Way", Enginuity!$B$13=1),
      AND(LEFT(P308,5)="2-Way", OR(Enginuity!$B$13=2, Enginuity!$B$13=4)),
      AND(LEFT(P308,5)="3-Way", OR(Enginuity!$B$13=3, Enginuity!$B$13=6)),
      AND(P308="Inner Centre Jamb", OR(Enginuity!$B$13=4, Enginuity!$B$13=6)),
      AND(
        LEFT(P308,5)&lt;&gt;"1-Way",
        LEFT(P308,5)&lt;&gt;"2-Way",
        LEFT(P308,5)&lt;&gt;"3-Way",
        P308&lt;&gt;"Inner Centre Jamb"
      )
    ),
    IF(OR(Enginuity!$A$1="Frameless Glass",Enginuity!$A$1="Metal Work"),
      AND(TRIM(B308)=TRIM(Enginuity!$A$17),TRIM(C308)=TRIM(Enginuity!$A$18)),
      TRIM(B308)=TRIM(Enginuity!$A$17)
    )
  ),
  ROW(),
  ""
)</f>
        <v/>
      </c>
      <c r="AY308" s="79">
        <f t="shared" si="3"/>
        <v>1.1000000000000001</v>
      </c>
      <c r="AZ308" s="5">
        <v>14.85</v>
      </c>
      <c r="BA308" t="s">
        <v>1128</v>
      </c>
      <c r="BB308" s="5">
        <f t="shared" si="4"/>
        <v>16.335000000000001</v>
      </c>
    </row>
    <row r="309" spans="1:54" x14ac:dyDescent="0.25">
      <c r="A309" s="10"/>
      <c r="B309" s="229"/>
      <c r="C309" s="10"/>
      <c r="D309" s="14"/>
      <c r="E309" s="157"/>
      <c r="F309" s="10"/>
      <c r="G309" s="17"/>
      <c r="H309" s="10"/>
      <c r="I309" s="17"/>
      <c r="J309" s="83"/>
      <c r="K309" s="343"/>
      <c r="L309" s="347"/>
      <c r="M309" s="89">
        <v>14</v>
      </c>
      <c r="N309" s="10"/>
      <c r="O309" s="22"/>
      <c r="P309" s="36"/>
      <c r="Q309" s="83"/>
      <c r="U309" s="104" t="str">
        <f>IF(
  AND(
    TRIM(A309)=TRIM(Enginuity!$A$1),
    TRIM(B309)=TRIM(Enginuity!$A$17),
    Q309&lt;&gt;"",
    Q309&lt;&gt;0,
    OR(
      TRIM(C309)=TRIM(Enginuity!$A$18),
      AND(UPPER(TRIM(M309))="STD", TRIM(B309)=TRIM(Enginuity!$A$17))
    ),
    OR(
      AND(LEFT(P309,5)="1-Way", Enginuity!$B$13=1),
      AND(LEFT(P309,5)="2-Way", OR(Enginuity!$B$13=2, Enginuity!$B$13=4)),
      AND(LEFT(P309,5)="3-Way", OR(Enginuity!$B$13=3, Enginuity!$B$13=6)),
      AND(P309="Inner Centre Jamb", OR(Enginuity!$B$13=4, Enginuity!$B$13=6)),
      AND(
        LEFT(P309,5)&lt;&gt;"1-Way",
        LEFT(P309,5)&lt;&gt;"2-Way",
        LEFT(P309,5)&lt;&gt;"3-Way",
        P309&lt;&gt;"Inner Centre Jamb"
      )
    ),
    IF(OR(Enginuity!$A$1="Frameless Glass",Enginuity!$A$1="Metal Work"),
      AND(TRIM(B309)=TRIM(Enginuity!$A$17),TRIM(C309)=TRIM(Enginuity!$A$18)),
      TRIM(B309)=TRIM(Enginuity!$A$17)
    )
  ),
  ROW(),
  ""
)</f>
        <v/>
      </c>
      <c r="AY309" s="79">
        <f t="shared" si="3"/>
        <v>1.1000000000000001</v>
      </c>
      <c r="AZ309" s="5">
        <v>9.35</v>
      </c>
      <c r="BA309" t="s">
        <v>1129</v>
      </c>
      <c r="BB309" s="5">
        <f t="shared" si="4"/>
        <v>10.285</v>
      </c>
    </row>
    <row r="310" spans="1:54" x14ac:dyDescent="0.25">
      <c r="A310" s="10"/>
      <c r="B310" s="229"/>
      <c r="C310" s="10"/>
      <c r="D310" s="14"/>
      <c r="E310" s="157"/>
      <c r="F310" s="10"/>
      <c r="G310" s="17"/>
      <c r="H310" s="10"/>
      <c r="I310" s="17"/>
      <c r="J310" s="83"/>
      <c r="K310" s="343"/>
      <c r="L310" s="347"/>
      <c r="M310" s="89">
        <v>15</v>
      </c>
      <c r="N310" s="10"/>
      <c r="O310" s="22"/>
      <c r="P310" s="36"/>
      <c r="Q310" s="83"/>
      <c r="U310" s="104" t="str">
        <f>IF(
  AND(
    TRIM(A310)=TRIM(Enginuity!$A$1),
    TRIM(B310)=TRIM(Enginuity!$A$17),
    Q310&lt;&gt;"",
    Q310&lt;&gt;0,
    OR(
      TRIM(C310)=TRIM(Enginuity!$A$18),
      AND(UPPER(TRIM(M310))="STD", TRIM(B310)=TRIM(Enginuity!$A$17))
    ),
    OR(
      AND(LEFT(P310,5)="1-Way", Enginuity!$B$13=1),
      AND(LEFT(P310,5)="2-Way", OR(Enginuity!$B$13=2, Enginuity!$B$13=4)),
      AND(LEFT(P310,5)="3-Way", OR(Enginuity!$B$13=3, Enginuity!$B$13=6)),
      AND(P310="Inner Centre Jamb", OR(Enginuity!$B$13=4, Enginuity!$B$13=6)),
      AND(
        LEFT(P310,5)&lt;&gt;"1-Way",
        LEFT(P310,5)&lt;&gt;"2-Way",
        LEFT(P310,5)&lt;&gt;"3-Way",
        P310&lt;&gt;"Inner Centre Jamb"
      )
    ),
    IF(OR(Enginuity!$A$1="Frameless Glass",Enginuity!$A$1="Metal Work"),
      AND(TRIM(B310)=TRIM(Enginuity!$A$17),TRIM(C310)=TRIM(Enginuity!$A$18)),
      TRIM(B310)=TRIM(Enginuity!$A$17)
    )
  ),
  ROW(),
  ""
)</f>
        <v/>
      </c>
      <c r="AY310" s="79">
        <f t="shared" si="3"/>
        <v>1.1000000000000001</v>
      </c>
      <c r="AZ310" s="5">
        <v>10.45</v>
      </c>
      <c r="BA310" t="s">
        <v>1130</v>
      </c>
      <c r="BB310" s="5">
        <f t="shared" si="4"/>
        <v>11.495000000000001</v>
      </c>
    </row>
    <row r="311" spans="1:54" x14ac:dyDescent="0.25">
      <c r="A311" s="10"/>
      <c r="B311" s="229"/>
      <c r="C311" s="10"/>
      <c r="D311" s="14"/>
      <c r="E311" s="157"/>
      <c r="F311" s="10"/>
      <c r="G311" s="17"/>
      <c r="H311" s="10"/>
      <c r="I311" s="17"/>
      <c r="J311" s="83"/>
      <c r="K311" s="343"/>
      <c r="L311" s="347"/>
      <c r="M311" s="89">
        <v>16</v>
      </c>
      <c r="N311" s="10"/>
      <c r="O311" s="22"/>
      <c r="P311" s="36"/>
      <c r="Q311" s="83"/>
      <c r="U311" s="104" t="str">
        <f>IF(
  AND(
    TRIM(A311)=TRIM(Enginuity!$A$1),
    TRIM(B311)=TRIM(Enginuity!$A$17),
    Q311&lt;&gt;"",
    Q311&lt;&gt;0,
    OR(
      TRIM(C311)=TRIM(Enginuity!$A$18),
      AND(UPPER(TRIM(M311))="STD", TRIM(B311)=TRIM(Enginuity!$A$17))
    ),
    OR(
      AND(LEFT(P311,5)="1-Way", Enginuity!$B$13=1),
      AND(LEFT(P311,5)="2-Way", OR(Enginuity!$B$13=2, Enginuity!$B$13=4)),
      AND(LEFT(P311,5)="3-Way", OR(Enginuity!$B$13=3, Enginuity!$B$13=6)),
      AND(P311="Inner Centre Jamb", OR(Enginuity!$B$13=4, Enginuity!$B$13=6)),
      AND(
        LEFT(P311,5)&lt;&gt;"1-Way",
        LEFT(P311,5)&lt;&gt;"2-Way",
        LEFT(P311,5)&lt;&gt;"3-Way",
        P311&lt;&gt;"Inner Centre Jamb"
      )
    ),
    IF(OR(Enginuity!$A$1="Frameless Glass",Enginuity!$A$1="Metal Work"),
      AND(TRIM(B311)=TRIM(Enginuity!$A$17),TRIM(C311)=TRIM(Enginuity!$A$18)),
      TRIM(B311)=TRIM(Enginuity!$A$17)
    )
  ),
  ROW(),
  ""
)</f>
        <v/>
      </c>
      <c r="AY311" s="79">
        <f t="shared" si="3"/>
        <v>1.1000000000000001</v>
      </c>
      <c r="AZ311" s="5">
        <v>15.95</v>
      </c>
      <c r="BA311" t="s">
        <v>1131</v>
      </c>
      <c r="BB311" s="5">
        <f t="shared" si="4"/>
        <v>17.545000000000002</v>
      </c>
    </row>
    <row r="312" spans="1:54" x14ac:dyDescent="0.25">
      <c r="A312" s="10"/>
      <c r="B312" s="229"/>
      <c r="C312" s="10"/>
      <c r="D312" s="14"/>
      <c r="E312" s="157"/>
      <c r="F312" s="10"/>
      <c r="G312" s="17"/>
      <c r="H312" s="10"/>
      <c r="I312" s="17"/>
      <c r="J312" s="83"/>
      <c r="K312" s="343"/>
      <c r="L312" s="347"/>
      <c r="M312" s="89">
        <v>17</v>
      </c>
      <c r="N312" s="10"/>
      <c r="O312" s="22"/>
      <c r="P312" s="36"/>
      <c r="Q312" s="83"/>
      <c r="U312" s="104" t="str">
        <f>IF(
  AND(
    TRIM(A312)=TRIM(Enginuity!$A$1),
    TRIM(B312)=TRIM(Enginuity!$A$17),
    Q312&lt;&gt;"",
    Q312&lt;&gt;0,
    OR(
      TRIM(C312)=TRIM(Enginuity!$A$18),
      AND(UPPER(TRIM(M312))="STD", TRIM(B312)=TRIM(Enginuity!$A$17))
    ),
    OR(
      AND(LEFT(P312,5)="1-Way", Enginuity!$B$13=1),
      AND(LEFT(P312,5)="2-Way", OR(Enginuity!$B$13=2, Enginuity!$B$13=4)),
      AND(LEFT(P312,5)="3-Way", OR(Enginuity!$B$13=3, Enginuity!$B$13=6)),
      AND(P312="Inner Centre Jamb", OR(Enginuity!$B$13=4, Enginuity!$B$13=6)),
      AND(
        LEFT(P312,5)&lt;&gt;"1-Way",
        LEFT(P312,5)&lt;&gt;"2-Way",
        LEFT(P312,5)&lt;&gt;"3-Way",
        P312&lt;&gt;"Inner Centre Jamb"
      )
    ),
    IF(OR(Enginuity!$A$1="Frameless Glass",Enginuity!$A$1="Metal Work"),
      AND(TRIM(B312)=TRIM(Enginuity!$A$17),TRIM(C312)=TRIM(Enginuity!$A$18)),
      TRIM(B312)=TRIM(Enginuity!$A$17)
    )
  ),
  ROW(),
  ""
)</f>
        <v/>
      </c>
      <c r="AY312" s="79">
        <f t="shared" si="3"/>
        <v>1.1000000000000001</v>
      </c>
      <c r="AZ312" s="5">
        <v>18.149999999999999</v>
      </c>
      <c r="BA312" t="s">
        <v>1132</v>
      </c>
      <c r="BB312" s="5">
        <f t="shared" si="4"/>
        <v>19.965</v>
      </c>
    </row>
    <row r="313" spans="1:54" x14ac:dyDescent="0.25">
      <c r="A313" s="10"/>
      <c r="B313" s="229"/>
      <c r="C313" s="10"/>
      <c r="D313" s="14"/>
      <c r="E313" s="157"/>
      <c r="F313" s="10"/>
      <c r="G313" s="17"/>
      <c r="H313" s="10"/>
      <c r="I313" s="17"/>
      <c r="J313" s="83"/>
      <c r="K313" s="343"/>
      <c r="L313" s="347"/>
      <c r="M313" s="89">
        <v>18</v>
      </c>
      <c r="N313" s="10"/>
      <c r="O313" s="22"/>
      <c r="P313" s="36"/>
      <c r="Q313" s="83"/>
      <c r="U313" s="104" t="str">
        <f>IF(
  AND(
    TRIM(A313)=TRIM(Enginuity!$A$1),
    TRIM(B313)=TRIM(Enginuity!$A$17),
    Q313&lt;&gt;"",
    Q313&lt;&gt;0,
    OR(
      TRIM(C313)=TRIM(Enginuity!$A$18),
      AND(UPPER(TRIM(M313))="STD", TRIM(B313)=TRIM(Enginuity!$A$17))
    ),
    OR(
      AND(LEFT(P313,5)="1-Way", Enginuity!$B$13=1),
      AND(LEFT(P313,5)="2-Way", OR(Enginuity!$B$13=2, Enginuity!$B$13=4)),
      AND(LEFT(P313,5)="3-Way", OR(Enginuity!$B$13=3, Enginuity!$B$13=6)),
      AND(P313="Inner Centre Jamb", OR(Enginuity!$B$13=4, Enginuity!$B$13=6)),
      AND(
        LEFT(P313,5)&lt;&gt;"1-Way",
        LEFT(P313,5)&lt;&gt;"2-Way",
        LEFT(P313,5)&lt;&gt;"3-Way",
        P313&lt;&gt;"Inner Centre Jamb"
      )
    ),
    IF(OR(Enginuity!$A$1="Frameless Glass",Enginuity!$A$1="Metal Work"),
      AND(TRIM(B313)=TRIM(Enginuity!$A$17),TRIM(C313)=TRIM(Enginuity!$A$18)),
      TRIM(B313)=TRIM(Enginuity!$A$17)
    )
  ),
  ROW(),
  ""
)</f>
        <v/>
      </c>
      <c r="AY313" s="79">
        <f t="shared" si="3"/>
        <v>1.1000000000000001</v>
      </c>
      <c r="AZ313" s="5">
        <v>19.25</v>
      </c>
      <c r="BA313" t="s">
        <v>1133</v>
      </c>
      <c r="BB313" s="5">
        <f t="shared" si="4"/>
        <v>21.175000000000001</v>
      </c>
    </row>
    <row r="314" spans="1:54" x14ac:dyDescent="0.25">
      <c r="A314" s="10"/>
      <c r="B314" s="229"/>
      <c r="C314" s="10"/>
      <c r="D314" s="14"/>
      <c r="E314" s="157"/>
      <c r="F314" s="10"/>
      <c r="G314" s="17"/>
      <c r="H314" s="10"/>
      <c r="I314" s="17"/>
      <c r="J314" s="83"/>
      <c r="K314" s="343"/>
      <c r="L314" s="347"/>
      <c r="M314" s="89">
        <v>19</v>
      </c>
      <c r="N314" s="10"/>
      <c r="O314" s="22"/>
      <c r="P314" s="36"/>
      <c r="Q314" s="83"/>
      <c r="U314" s="104" t="str">
        <f>IF(
  AND(
    TRIM(A314)=TRIM(Enginuity!$A$1),
    TRIM(B314)=TRIM(Enginuity!$A$17),
    Q314&lt;&gt;"",
    Q314&lt;&gt;0,
    OR(
      TRIM(C314)=TRIM(Enginuity!$A$18),
      AND(UPPER(TRIM(M314))="STD", TRIM(B314)=TRIM(Enginuity!$A$17))
    ),
    OR(
      AND(LEFT(P314,5)="1-Way", Enginuity!$B$13=1),
      AND(LEFT(P314,5)="2-Way", OR(Enginuity!$B$13=2, Enginuity!$B$13=4)),
      AND(LEFT(P314,5)="3-Way", OR(Enginuity!$B$13=3, Enginuity!$B$13=6)),
      AND(P314="Inner Centre Jamb", OR(Enginuity!$B$13=4, Enginuity!$B$13=6)),
      AND(
        LEFT(P314,5)&lt;&gt;"1-Way",
        LEFT(P314,5)&lt;&gt;"2-Way",
        LEFT(P314,5)&lt;&gt;"3-Way",
        P314&lt;&gt;"Inner Centre Jamb"
      )
    ),
    IF(OR(Enginuity!$A$1="Frameless Glass",Enginuity!$A$1="Metal Work"),
      AND(TRIM(B314)=TRIM(Enginuity!$A$17),TRIM(C314)=TRIM(Enginuity!$A$18)),
      TRIM(B314)=TRIM(Enginuity!$A$17)
    )
  ),
  ROW(),
  ""
)</f>
        <v/>
      </c>
      <c r="AY314" s="79">
        <f t="shared" si="3"/>
        <v>1.1000000000000001</v>
      </c>
      <c r="AZ314" s="5">
        <v>9.35</v>
      </c>
      <c r="BA314" t="s">
        <v>1403</v>
      </c>
      <c r="BB314" s="5">
        <f t="shared" si="4"/>
        <v>10.285</v>
      </c>
    </row>
    <row r="315" spans="1:54" x14ac:dyDescent="0.25">
      <c r="A315" s="10"/>
      <c r="B315" s="229"/>
      <c r="C315" s="10"/>
      <c r="D315" s="14"/>
      <c r="E315" s="157"/>
      <c r="F315" s="10"/>
      <c r="G315" s="17"/>
      <c r="H315" s="10"/>
      <c r="I315" s="17"/>
      <c r="J315" s="83"/>
      <c r="K315" s="343"/>
      <c r="L315" s="347"/>
      <c r="M315" s="89">
        <v>20</v>
      </c>
      <c r="N315" s="10"/>
      <c r="O315" s="22"/>
      <c r="P315" s="36"/>
      <c r="Q315" s="83"/>
      <c r="U315" s="104" t="str">
        <f>IF(
  AND(
    TRIM(A315)=TRIM(Enginuity!$A$1),
    TRIM(B315)=TRIM(Enginuity!$A$17),
    Q315&lt;&gt;"",
    Q315&lt;&gt;0,
    OR(
      TRIM(C315)=TRIM(Enginuity!$A$18),
      AND(UPPER(TRIM(M315))="STD", TRIM(B315)=TRIM(Enginuity!$A$17))
    ),
    OR(
      AND(LEFT(P315,5)="1-Way", Enginuity!$B$13=1),
      AND(LEFT(P315,5)="2-Way", OR(Enginuity!$B$13=2, Enginuity!$B$13=4)),
      AND(LEFT(P315,5)="3-Way", OR(Enginuity!$B$13=3, Enginuity!$B$13=6)),
      AND(P315="Inner Centre Jamb", OR(Enginuity!$B$13=4, Enginuity!$B$13=6)),
      AND(
        LEFT(P315,5)&lt;&gt;"1-Way",
        LEFT(P315,5)&lt;&gt;"2-Way",
        LEFT(P315,5)&lt;&gt;"3-Way",
        P315&lt;&gt;"Inner Centre Jamb"
      )
    ),
    IF(OR(Enginuity!$A$1="Frameless Glass",Enginuity!$A$1="Metal Work"),
      AND(TRIM(B315)=TRIM(Enginuity!$A$17),TRIM(C315)=TRIM(Enginuity!$A$18)),
      TRIM(B315)=TRIM(Enginuity!$A$17)
    )
  ),
  ROW(),
  ""
)</f>
        <v/>
      </c>
      <c r="AY315" s="79">
        <f t="shared" ref="AY315:AY346" si="5">AY314</f>
        <v>1.1000000000000001</v>
      </c>
      <c r="AZ315" s="5">
        <v>10.45</v>
      </c>
      <c r="BA315" t="s">
        <v>1404</v>
      </c>
      <c r="BB315" s="5">
        <f t="shared" si="4"/>
        <v>11.495000000000001</v>
      </c>
    </row>
    <row r="316" spans="1:54" x14ac:dyDescent="0.25">
      <c r="A316" s="10"/>
      <c r="B316" s="229"/>
      <c r="C316" s="10"/>
      <c r="D316" s="14"/>
      <c r="E316" s="157"/>
      <c r="F316" s="10"/>
      <c r="G316" s="17"/>
      <c r="H316" s="10"/>
      <c r="I316" s="17"/>
      <c r="J316" s="83"/>
      <c r="K316" s="343"/>
      <c r="L316" s="347"/>
      <c r="M316" s="89">
        <v>21</v>
      </c>
      <c r="N316" s="10"/>
      <c r="O316" s="22"/>
      <c r="P316" s="36"/>
      <c r="Q316" s="83"/>
      <c r="U316" s="104" t="str">
        <f>IF(
  AND(
    TRIM(A316)=TRIM(Enginuity!$A$1),
    TRIM(B316)=TRIM(Enginuity!$A$17),
    Q316&lt;&gt;"",
    Q316&lt;&gt;0,
    OR(
      TRIM(C316)=TRIM(Enginuity!$A$18),
      AND(UPPER(TRIM(M316))="STD", TRIM(B316)=TRIM(Enginuity!$A$17))
    ),
    OR(
      AND(LEFT(P316,5)="1-Way", Enginuity!$B$13=1),
      AND(LEFT(P316,5)="2-Way", OR(Enginuity!$B$13=2, Enginuity!$B$13=4)),
      AND(LEFT(P316,5)="3-Way", OR(Enginuity!$B$13=3, Enginuity!$B$13=6)),
      AND(P316="Inner Centre Jamb", OR(Enginuity!$B$13=4, Enginuity!$B$13=6)),
      AND(
        LEFT(P316,5)&lt;&gt;"1-Way",
        LEFT(P316,5)&lt;&gt;"2-Way",
        LEFT(P316,5)&lt;&gt;"3-Way",
        P316&lt;&gt;"Inner Centre Jamb"
      )
    ),
    IF(OR(Enginuity!$A$1="Frameless Glass",Enginuity!$A$1="Metal Work"),
      AND(TRIM(B316)=TRIM(Enginuity!$A$17),TRIM(C316)=TRIM(Enginuity!$A$18)),
      TRIM(B316)=TRIM(Enginuity!$A$17)
    )
  ),
  ROW(),
  ""
)</f>
        <v/>
      </c>
      <c r="AY316" s="79">
        <f t="shared" si="5"/>
        <v>1.1000000000000001</v>
      </c>
      <c r="AZ316" s="5">
        <v>15.95</v>
      </c>
      <c r="BA316" t="s">
        <v>1405</v>
      </c>
      <c r="BB316" s="5">
        <f t="shared" si="4"/>
        <v>17.545000000000002</v>
      </c>
    </row>
    <row r="317" spans="1:54" x14ac:dyDescent="0.25">
      <c r="A317" s="10"/>
      <c r="B317" s="229"/>
      <c r="C317" s="10"/>
      <c r="D317" s="14"/>
      <c r="E317" s="157"/>
      <c r="F317" s="10"/>
      <c r="G317" s="17"/>
      <c r="H317" s="10"/>
      <c r="I317" s="17"/>
      <c r="J317" s="83"/>
      <c r="K317" s="343"/>
      <c r="L317" s="347"/>
      <c r="M317" s="89">
        <v>22</v>
      </c>
      <c r="N317" s="10"/>
      <c r="O317" s="22"/>
      <c r="P317" s="36"/>
      <c r="Q317" s="83"/>
      <c r="U317" s="104" t="str">
        <f>IF(
  AND(
    TRIM(A317)=TRIM(Enginuity!$A$1),
    TRIM(B317)=TRIM(Enginuity!$A$17),
    Q317&lt;&gt;"",
    Q317&lt;&gt;0,
    OR(
      TRIM(C317)=TRIM(Enginuity!$A$18),
      AND(UPPER(TRIM(M317))="STD", TRIM(B317)=TRIM(Enginuity!$A$17))
    ),
    OR(
      AND(LEFT(P317,5)="1-Way", Enginuity!$B$13=1),
      AND(LEFT(P317,5)="2-Way", OR(Enginuity!$B$13=2, Enginuity!$B$13=4)),
      AND(LEFT(P317,5)="3-Way", OR(Enginuity!$B$13=3, Enginuity!$B$13=6)),
      AND(P317="Inner Centre Jamb", OR(Enginuity!$B$13=4, Enginuity!$B$13=6)),
      AND(
        LEFT(P317,5)&lt;&gt;"1-Way",
        LEFT(P317,5)&lt;&gt;"2-Way",
        LEFT(P317,5)&lt;&gt;"3-Way",
        P317&lt;&gt;"Inner Centre Jamb"
      )
    ),
    IF(OR(Enginuity!$A$1="Frameless Glass",Enginuity!$A$1="Metal Work"),
      AND(TRIM(B317)=TRIM(Enginuity!$A$17),TRIM(C317)=TRIM(Enginuity!$A$18)),
      TRIM(B317)=TRIM(Enginuity!$A$17)
    )
  ),
  ROW(),
  ""
)</f>
        <v/>
      </c>
      <c r="AY317" s="79">
        <f t="shared" si="5"/>
        <v>1.1000000000000001</v>
      </c>
      <c r="AZ317" s="5">
        <v>18.149999999999999</v>
      </c>
      <c r="BA317" t="s">
        <v>1406</v>
      </c>
      <c r="BB317" s="5">
        <f t="shared" si="4"/>
        <v>19.965</v>
      </c>
    </row>
    <row r="318" spans="1:54" x14ac:dyDescent="0.25">
      <c r="A318" s="10"/>
      <c r="B318" s="229"/>
      <c r="C318" s="10"/>
      <c r="D318" s="14"/>
      <c r="E318" s="157"/>
      <c r="F318" s="10"/>
      <c r="G318" s="17"/>
      <c r="H318" s="10"/>
      <c r="I318" s="17"/>
      <c r="J318" s="83"/>
      <c r="K318" s="343"/>
      <c r="L318" s="347"/>
      <c r="M318" s="89">
        <v>23</v>
      </c>
      <c r="N318" s="10"/>
      <c r="O318" s="22"/>
      <c r="P318" s="36"/>
      <c r="Q318" s="83"/>
      <c r="U318" s="104" t="str">
        <f>IF(
  AND(
    TRIM(A318)=TRIM(Enginuity!$A$1),
    TRIM(B318)=TRIM(Enginuity!$A$17),
    Q318&lt;&gt;"",
    Q318&lt;&gt;0,
    OR(
      TRIM(C318)=TRIM(Enginuity!$A$18),
      AND(UPPER(TRIM(M318))="STD", TRIM(B318)=TRIM(Enginuity!$A$17))
    ),
    OR(
      AND(LEFT(P318,5)="1-Way", Enginuity!$B$13=1),
      AND(LEFT(P318,5)="2-Way", OR(Enginuity!$B$13=2, Enginuity!$B$13=4)),
      AND(LEFT(P318,5)="3-Way", OR(Enginuity!$B$13=3, Enginuity!$B$13=6)),
      AND(P318="Inner Centre Jamb", OR(Enginuity!$B$13=4, Enginuity!$B$13=6)),
      AND(
        LEFT(P318,5)&lt;&gt;"1-Way",
        LEFT(P318,5)&lt;&gt;"2-Way",
        LEFT(P318,5)&lt;&gt;"3-Way",
        P318&lt;&gt;"Inner Centre Jamb"
      )
    ),
    IF(OR(Enginuity!$A$1="Frameless Glass",Enginuity!$A$1="Metal Work"),
      AND(TRIM(B318)=TRIM(Enginuity!$A$17),TRIM(C318)=TRIM(Enginuity!$A$18)),
      TRIM(B318)=TRIM(Enginuity!$A$17)
    )
  ),
  ROW(),
  ""
)</f>
        <v/>
      </c>
      <c r="AY318" s="79">
        <f t="shared" si="5"/>
        <v>1.1000000000000001</v>
      </c>
      <c r="AZ318" s="5">
        <v>19.25</v>
      </c>
      <c r="BA318" t="s">
        <v>1407</v>
      </c>
      <c r="BB318" s="5">
        <f t="shared" si="4"/>
        <v>21.175000000000001</v>
      </c>
    </row>
    <row r="319" spans="1:54" x14ac:dyDescent="0.25">
      <c r="A319" s="10"/>
      <c r="B319" s="229"/>
      <c r="C319" s="10"/>
      <c r="D319" s="14"/>
      <c r="E319" s="157"/>
      <c r="F319" s="10"/>
      <c r="G319" s="17"/>
      <c r="H319" s="10"/>
      <c r="I319" s="17"/>
      <c r="J319" s="83"/>
      <c r="K319" s="343"/>
      <c r="L319" s="347"/>
      <c r="M319" s="89">
        <v>24</v>
      </c>
      <c r="N319" s="10"/>
      <c r="O319" s="22"/>
      <c r="P319" s="36"/>
      <c r="Q319" s="83"/>
      <c r="U319" s="104" t="str">
        <f>IF(
  AND(
    TRIM(A319)=TRIM(Enginuity!$A$1),
    TRIM(B319)=TRIM(Enginuity!$A$17),
    Q319&lt;&gt;"",
    Q319&lt;&gt;0,
    OR(
      TRIM(C319)=TRIM(Enginuity!$A$18),
      AND(UPPER(TRIM(M319))="STD", TRIM(B319)=TRIM(Enginuity!$A$17))
    ),
    OR(
      AND(LEFT(P319,5)="1-Way", Enginuity!$B$13=1),
      AND(LEFT(P319,5)="2-Way", OR(Enginuity!$B$13=2, Enginuity!$B$13=4)),
      AND(LEFT(P319,5)="3-Way", OR(Enginuity!$B$13=3, Enginuity!$B$13=6)),
      AND(P319="Inner Centre Jamb", OR(Enginuity!$B$13=4, Enginuity!$B$13=6)),
      AND(
        LEFT(P319,5)&lt;&gt;"1-Way",
        LEFT(P319,5)&lt;&gt;"2-Way",
        LEFT(P319,5)&lt;&gt;"3-Way",
        P319&lt;&gt;"Inner Centre Jamb"
      )
    ),
    IF(OR(Enginuity!$A$1="Frameless Glass",Enginuity!$A$1="Metal Work"),
      AND(TRIM(B319)=TRIM(Enginuity!$A$17),TRIM(C319)=TRIM(Enginuity!$A$18)),
      TRIM(B319)=TRIM(Enginuity!$A$17)
    )
  ),
  ROW(),
  ""
)</f>
        <v/>
      </c>
      <c r="AY319" s="79">
        <f t="shared" si="5"/>
        <v>1.1000000000000001</v>
      </c>
      <c r="AZ319" s="5">
        <v>7.65</v>
      </c>
      <c r="BA319" t="s">
        <v>1408</v>
      </c>
      <c r="BB319" s="5">
        <f t="shared" si="4"/>
        <v>8.4150000000000009</v>
      </c>
    </row>
    <row r="320" spans="1:54" x14ac:dyDescent="0.25">
      <c r="A320" s="10"/>
      <c r="B320" s="229"/>
      <c r="C320" s="10"/>
      <c r="D320" s="14"/>
      <c r="E320" s="157"/>
      <c r="F320" s="10"/>
      <c r="G320" s="17"/>
      <c r="H320" s="10"/>
      <c r="I320" s="17"/>
      <c r="J320" s="83"/>
      <c r="K320" s="343"/>
      <c r="L320" s="347"/>
      <c r="M320" s="89">
        <v>25</v>
      </c>
      <c r="N320" s="10"/>
      <c r="O320" s="22"/>
      <c r="P320" s="36"/>
      <c r="Q320" s="83"/>
      <c r="U320" s="104" t="str">
        <f>IF(
  AND(
    TRIM(A320)=TRIM(Enginuity!$A$1),
    TRIM(B320)=TRIM(Enginuity!$A$17),
    Q320&lt;&gt;"",
    Q320&lt;&gt;0,
    OR(
      TRIM(C320)=TRIM(Enginuity!$A$18),
      AND(UPPER(TRIM(M320))="STD", TRIM(B320)=TRIM(Enginuity!$A$17))
    ),
    OR(
      AND(LEFT(P320,5)="1-Way", Enginuity!$B$13=1),
      AND(LEFT(P320,5)="2-Way", OR(Enginuity!$B$13=2, Enginuity!$B$13=4)),
      AND(LEFT(P320,5)="3-Way", OR(Enginuity!$B$13=3, Enginuity!$B$13=6)),
      AND(P320="Inner Centre Jamb", OR(Enginuity!$B$13=4, Enginuity!$B$13=6)),
      AND(
        LEFT(P320,5)&lt;&gt;"1-Way",
        LEFT(P320,5)&lt;&gt;"2-Way",
        LEFT(P320,5)&lt;&gt;"3-Way",
        P320&lt;&gt;"Inner Centre Jamb"
      )
    ),
    IF(OR(Enginuity!$A$1="Frameless Glass",Enginuity!$A$1="Metal Work"),
      AND(TRIM(B320)=TRIM(Enginuity!$A$17),TRIM(C320)=TRIM(Enginuity!$A$18)),
      TRIM(B320)=TRIM(Enginuity!$A$17)
    )
  ),
  ROW(),
  ""
)</f>
        <v/>
      </c>
      <c r="AY320" s="79">
        <f t="shared" si="5"/>
        <v>1.1000000000000001</v>
      </c>
      <c r="AZ320" s="5">
        <v>9.4499999999999993</v>
      </c>
      <c r="BA320" t="s">
        <v>1409</v>
      </c>
      <c r="BB320" s="5">
        <f t="shared" si="4"/>
        <v>10.395</v>
      </c>
    </row>
    <row r="321" spans="1:54" x14ac:dyDescent="0.25">
      <c r="A321" s="10"/>
      <c r="B321" s="229"/>
      <c r="C321" s="10"/>
      <c r="D321" s="14"/>
      <c r="E321" s="157"/>
      <c r="F321" s="10"/>
      <c r="G321" s="17"/>
      <c r="H321" s="10"/>
      <c r="I321" s="17"/>
      <c r="J321" s="83"/>
      <c r="K321" s="343"/>
      <c r="L321" s="347"/>
      <c r="M321" s="89">
        <v>26</v>
      </c>
      <c r="N321" s="10"/>
      <c r="O321" s="22"/>
      <c r="P321" s="36"/>
      <c r="Q321" s="83"/>
      <c r="U321" s="104" t="str">
        <f>IF(
  AND(
    TRIM(A321)=TRIM(Enginuity!$A$1),
    TRIM(B321)=TRIM(Enginuity!$A$17),
    Q321&lt;&gt;"",
    Q321&lt;&gt;0,
    OR(
      TRIM(C321)=TRIM(Enginuity!$A$18),
      AND(UPPER(TRIM(M321))="STD", TRIM(B321)=TRIM(Enginuity!$A$17))
    ),
    OR(
      AND(LEFT(P321,5)="1-Way", Enginuity!$B$13=1),
      AND(LEFT(P321,5)="2-Way", OR(Enginuity!$B$13=2, Enginuity!$B$13=4)),
      AND(LEFT(P321,5)="3-Way", OR(Enginuity!$B$13=3, Enginuity!$B$13=6)),
      AND(P321="Inner Centre Jamb", OR(Enginuity!$B$13=4, Enginuity!$B$13=6)),
      AND(
        LEFT(P321,5)&lt;&gt;"1-Way",
        LEFT(P321,5)&lt;&gt;"2-Way",
        LEFT(P321,5)&lt;&gt;"3-Way",
        P321&lt;&gt;"Inner Centre Jamb"
      )
    ),
    IF(OR(Enginuity!$A$1="Frameless Glass",Enginuity!$A$1="Metal Work"),
      AND(TRIM(B321)=TRIM(Enginuity!$A$17),TRIM(C321)=TRIM(Enginuity!$A$18)),
      TRIM(B321)=TRIM(Enginuity!$A$17)
    )
  ),
  ROW(),
  ""
)</f>
        <v/>
      </c>
      <c r="AY321" s="79">
        <f t="shared" si="5"/>
        <v>1.1000000000000001</v>
      </c>
      <c r="AZ321" s="5">
        <v>14.3</v>
      </c>
      <c r="BA321" t="s">
        <v>1134</v>
      </c>
      <c r="BB321" s="5">
        <f t="shared" si="4"/>
        <v>15.730000000000002</v>
      </c>
    </row>
    <row r="322" spans="1:54" x14ac:dyDescent="0.25">
      <c r="A322" s="10"/>
      <c r="B322" s="229"/>
      <c r="C322" s="10"/>
      <c r="D322" s="14"/>
      <c r="E322" s="157"/>
      <c r="F322" s="10"/>
      <c r="G322" s="17"/>
      <c r="H322" s="10"/>
      <c r="I322" s="17"/>
      <c r="J322" s="83"/>
      <c r="K322" s="343"/>
      <c r="L322" s="347"/>
      <c r="M322" s="89">
        <v>27</v>
      </c>
      <c r="N322" s="10"/>
      <c r="O322" s="22"/>
      <c r="P322" s="36"/>
      <c r="Q322" s="83"/>
      <c r="U322" s="104" t="str">
        <f>IF(
  AND(
    TRIM(A322)=TRIM(Enginuity!$A$1),
    TRIM(B322)=TRIM(Enginuity!$A$17),
    Q322&lt;&gt;"",
    Q322&lt;&gt;0,
    OR(
      TRIM(C322)=TRIM(Enginuity!$A$18),
      AND(UPPER(TRIM(M322))="STD", TRIM(B322)=TRIM(Enginuity!$A$17))
    ),
    OR(
      AND(LEFT(P322,5)="1-Way", Enginuity!$B$13=1),
      AND(LEFT(P322,5)="2-Way", OR(Enginuity!$B$13=2, Enginuity!$B$13=4)),
      AND(LEFT(P322,5)="3-Way", OR(Enginuity!$B$13=3, Enginuity!$B$13=6)),
      AND(P322="Inner Centre Jamb", OR(Enginuity!$B$13=4, Enginuity!$B$13=6)),
      AND(
        LEFT(P322,5)&lt;&gt;"1-Way",
        LEFT(P322,5)&lt;&gt;"2-Way",
        LEFT(P322,5)&lt;&gt;"3-Way",
        P322&lt;&gt;"Inner Centre Jamb"
      )
    ),
    IF(OR(Enginuity!$A$1="Frameless Glass",Enginuity!$A$1="Metal Work"),
      AND(TRIM(B322)=TRIM(Enginuity!$A$17),TRIM(C322)=TRIM(Enginuity!$A$18)),
      TRIM(B322)=TRIM(Enginuity!$A$17)
    )
  ),
  ROW(),
  ""
)</f>
        <v/>
      </c>
      <c r="AY322" s="79">
        <f t="shared" si="5"/>
        <v>1.1000000000000001</v>
      </c>
      <c r="AZ322" s="5">
        <v>15.4</v>
      </c>
      <c r="BA322" t="s">
        <v>1135</v>
      </c>
      <c r="BB322" s="5">
        <f t="shared" si="4"/>
        <v>16.940000000000001</v>
      </c>
    </row>
    <row r="323" spans="1:54" x14ac:dyDescent="0.25">
      <c r="A323" s="10"/>
      <c r="B323" s="229"/>
      <c r="C323" s="10"/>
      <c r="D323" s="14"/>
      <c r="E323" s="157"/>
      <c r="F323" s="10"/>
      <c r="G323" s="17"/>
      <c r="H323" s="10"/>
      <c r="I323" s="17"/>
      <c r="J323" s="83"/>
      <c r="K323" s="343"/>
      <c r="L323" s="347"/>
      <c r="M323" s="89">
        <v>28</v>
      </c>
      <c r="N323" s="10"/>
      <c r="O323" s="22"/>
      <c r="P323" s="36"/>
      <c r="Q323" s="83"/>
      <c r="U323" s="104" t="str">
        <f>IF(
  AND(
    TRIM(A323)=TRIM(Enginuity!$A$1),
    TRIM(B323)=TRIM(Enginuity!$A$17),
    Q323&lt;&gt;"",
    Q323&lt;&gt;0,
    OR(
      TRIM(C323)=TRIM(Enginuity!$A$18),
      AND(UPPER(TRIM(M323))="STD", TRIM(B323)=TRIM(Enginuity!$A$17))
    ),
    OR(
      AND(LEFT(P323,5)="1-Way", Enginuity!$B$13=1),
      AND(LEFT(P323,5)="2-Way", OR(Enginuity!$B$13=2, Enginuity!$B$13=4)),
      AND(LEFT(P323,5)="3-Way", OR(Enginuity!$B$13=3, Enginuity!$B$13=6)),
      AND(P323="Inner Centre Jamb", OR(Enginuity!$B$13=4, Enginuity!$B$13=6)),
      AND(
        LEFT(P323,5)&lt;&gt;"1-Way",
        LEFT(P323,5)&lt;&gt;"2-Way",
        LEFT(P323,5)&lt;&gt;"3-Way",
        P323&lt;&gt;"Inner Centre Jamb"
      )
    ),
    IF(OR(Enginuity!$A$1="Frameless Glass",Enginuity!$A$1="Metal Work"),
      AND(TRIM(B323)=TRIM(Enginuity!$A$17),TRIM(C323)=TRIM(Enginuity!$A$18)),
      TRIM(B323)=TRIM(Enginuity!$A$17)
    )
  ),
  ROW(),
  ""
)</f>
        <v/>
      </c>
      <c r="AY323" s="79">
        <f t="shared" si="5"/>
        <v>1.1000000000000001</v>
      </c>
      <c r="AZ323" s="5">
        <v>16.5</v>
      </c>
      <c r="BA323" t="s">
        <v>1136</v>
      </c>
      <c r="BB323" s="5">
        <f t="shared" si="4"/>
        <v>18.150000000000002</v>
      </c>
    </row>
    <row r="324" spans="1:54" x14ac:dyDescent="0.25">
      <c r="A324" s="10"/>
      <c r="B324" s="229"/>
      <c r="C324" s="10"/>
      <c r="D324" s="14"/>
      <c r="E324" s="157"/>
      <c r="F324" s="10"/>
      <c r="G324" s="17"/>
      <c r="H324" s="10"/>
      <c r="I324" s="17"/>
      <c r="J324" s="83"/>
      <c r="K324" s="343"/>
      <c r="L324" s="347"/>
      <c r="M324" s="89">
        <v>29</v>
      </c>
      <c r="N324" s="10"/>
      <c r="O324" s="22"/>
      <c r="P324" s="36"/>
      <c r="Q324" s="83"/>
      <c r="U324" s="104" t="str">
        <f>IF(
  AND(
    TRIM(A324)=TRIM(Enginuity!$A$1),
    TRIM(B324)=TRIM(Enginuity!$A$17),
    Q324&lt;&gt;"",
    Q324&lt;&gt;0,
    OR(
      TRIM(C324)=TRIM(Enginuity!$A$18),
      AND(UPPER(TRIM(M324))="STD", TRIM(B324)=TRIM(Enginuity!$A$17))
    ),
    OR(
      AND(LEFT(P324,5)="1-Way", Enginuity!$B$13=1),
      AND(LEFT(P324,5)="2-Way", OR(Enginuity!$B$13=2, Enginuity!$B$13=4)),
      AND(LEFT(P324,5)="3-Way", OR(Enginuity!$B$13=3, Enginuity!$B$13=6)),
      AND(P324="Inner Centre Jamb", OR(Enginuity!$B$13=4, Enginuity!$B$13=6)),
      AND(
        LEFT(P324,5)&lt;&gt;"1-Way",
        LEFT(P324,5)&lt;&gt;"2-Way",
        LEFT(P324,5)&lt;&gt;"3-Way",
        P324&lt;&gt;"Inner Centre Jamb"
      )
    ),
    IF(OR(Enginuity!$A$1="Frameless Glass",Enginuity!$A$1="Metal Work"),
      AND(TRIM(B324)=TRIM(Enginuity!$A$17),TRIM(C324)=TRIM(Enginuity!$A$18)),
      TRIM(B324)=TRIM(Enginuity!$A$17)
    )
  ),
  ROW(),
  ""
)</f>
        <v/>
      </c>
      <c r="AY324" s="79">
        <f t="shared" si="5"/>
        <v>1.1000000000000001</v>
      </c>
      <c r="AZ324" s="5">
        <v>22</v>
      </c>
      <c r="BA324" t="s">
        <v>1137</v>
      </c>
      <c r="BB324" s="5">
        <f t="shared" si="4"/>
        <v>24.200000000000003</v>
      </c>
    </row>
    <row r="325" spans="1:54" x14ac:dyDescent="0.25">
      <c r="A325" s="10"/>
      <c r="B325" s="229"/>
      <c r="C325" s="10"/>
      <c r="D325" s="14"/>
      <c r="E325" s="157"/>
      <c r="F325" s="10"/>
      <c r="G325" s="17"/>
      <c r="H325" s="10"/>
      <c r="I325" s="17"/>
      <c r="J325" s="83"/>
      <c r="K325" s="343"/>
      <c r="L325" s="347"/>
      <c r="M325" s="89">
        <v>30</v>
      </c>
      <c r="N325" s="10"/>
      <c r="O325" s="22"/>
      <c r="P325" s="36"/>
      <c r="Q325" s="83"/>
      <c r="U325" s="104" t="str">
        <f>IF(
  AND(
    TRIM(A325)=TRIM(Enginuity!$A$1),
    TRIM(B325)=TRIM(Enginuity!$A$17),
    Q325&lt;&gt;"",
    Q325&lt;&gt;0,
    OR(
      TRIM(C325)=TRIM(Enginuity!$A$18),
      AND(UPPER(TRIM(M325))="STD", TRIM(B325)=TRIM(Enginuity!$A$17))
    ),
    OR(
      AND(LEFT(P325,5)="1-Way", Enginuity!$B$13=1),
      AND(LEFT(P325,5)="2-Way", OR(Enginuity!$B$13=2, Enginuity!$B$13=4)),
      AND(LEFT(P325,5)="3-Way", OR(Enginuity!$B$13=3, Enginuity!$B$13=6)),
      AND(P325="Inner Centre Jamb", OR(Enginuity!$B$13=4, Enginuity!$B$13=6)),
      AND(
        LEFT(P325,5)&lt;&gt;"1-Way",
        LEFT(P325,5)&lt;&gt;"2-Way",
        LEFT(P325,5)&lt;&gt;"3-Way",
        P325&lt;&gt;"Inner Centre Jamb"
      )
    ),
    IF(OR(Enginuity!$A$1="Frameless Glass",Enginuity!$A$1="Metal Work"),
      AND(TRIM(B325)=TRIM(Enginuity!$A$17),TRIM(C325)=TRIM(Enginuity!$A$18)),
      TRIM(B325)=TRIM(Enginuity!$A$17)
    )
  ),
  ROW(),
  ""
)</f>
        <v/>
      </c>
      <c r="AY325" s="79">
        <f t="shared" si="5"/>
        <v>1.1000000000000001</v>
      </c>
      <c r="AZ325" s="5">
        <v>24.2</v>
      </c>
      <c r="BA325" t="s">
        <v>1138</v>
      </c>
      <c r="BB325" s="5">
        <f t="shared" si="4"/>
        <v>26.62</v>
      </c>
    </row>
    <row r="326" spans="1:54" x14ac:dyDescent="0.25">
      <c r="A326" s="10"/>
      <c r="B326" s="229"/>
      <c r="C326" s="10"/>
      <c r="D326" s="14"/>
      <c r="E326" s="157"/>
      <c r="F326" s="10"/>
      <c r="G326" s="17"/>
      <c r="H326" s="10"/>
      <c r="I326" s="17"/>
      <c r="J326" s="83"/>
      <c r="K326" s="343"/>
      <c r="L326" s="347"/>
      <c r="M326" s="89">
        <v>31</v>
      </c>
      <c r="N326" s="94"/>
      <c r="O326" s="22"/>
      <c r="P326" s="36"/>
      <c r="Q326" s="83"/>
      <c r="U326" s="104" t="str">
        <f>IF(
  AND(
    TRIM(A326)=TRIM(Enginuity!$A$1),
    TRIM(B326)=TRIM(Enginuity!$A$17),
    Q326&lt;&gt;"",
    Q326&lt;&gt;0,
    OR(
      TRIM(C326)=TRIM(Enginuity!$A$18),
      AND(UPPER(TRIM(M326))="STD", TRIM(B326)=TRIM(Enginuity!$A$17))
    ),
    OR(
      AND(LEFT(P326,5)="1-Way", Enginuity!$B$13=1),
      AND(LEFT(P326,5)="2-Way", OR(Enginuity!$B$13=2, Enginuity!$B$13=4)),
      AND(LEFT(P326,5)="3-Way", OR(Enginuity!$B$13=3, Enginuity!$B$13=6)),
      AND(P326="Inner Centre Jamb", OR(Enginuity!$B$13=4, Enginuity!$B$13=6)),
      AND(
        LEFT(P326,5)&lt;&gt;"1-Way",
        LEFT(P326,5)&lt;&gt;"2-Way",
        LEFT(P326,5)&lt;&gt;"3-Way",
        P326&lt;&gt;"Inner Centre Jamb"
      )
    ),
    IF(OR(Enginuity!$A$1="Frameless Glass",Enginuity!$A$1="Metal Work"),
      AND(TRIM(B326)=TRIM(Enginuity!$A$17),TRIM(C326)=TRIM(Enginuity!$A$18)),
      TRIM(B326)=TRIM(Enginuity!$A$17)
    )
  ),
  ROW(),
  ""
)</f>
        <v/>
      </c>
      <c r="AY326" s="79">
        <f t="shared" si="5"/>
        <v>1.1000000000000001</v>
      </c>
      <c r="AZ326" s="5">
        <v>26.4</v>
      </c>
      <c r="BA326" t="s">
        <v>1139</v>
      </c>
      <c r="BB326" s="5">
        <f t="shared" si="4"/>
        <v>29.04</v>
      </c>
    </row>
    <row r="327" spans="1:54" x14ac:dyDescent="0.25">
      <c r="A327" s="10"/>
      <c r="B327" s="229"/>
      <c r="C327" s="10"/>
      <c r="D327" s="14"/>
      <c r="E327" s="157"/>
      <c r="F327" s="10"/>
      <c r="G327" s="17"/>
      <c r="H327" s="10"/>
      <c r="I327" s="17"/>
      <c r="J327" s="83"/>
      <c r="K327" s="343"/>
      <c r="L327" s="347"/>
      <c r="M327" s="89">
        <v>32</v>
      </c>
      <c r="N327" s="10"/>
      <c r="O327" s="22"/>
      <c r="P327" s="36"/>
      <c r="Q327" s="83"/>
      <c r="U327" s="104" t="str">
        <f>IF(
  AND(
    TRIM(A327)=TRIM(Enginuity!$A$1),
    TRIM(B327)=TRIM(Enginuity!$A$17),
    Q327&lt;&gt;"",
    Q327&lt;&gt;0,
    OR(
      TRIM(C327)=TRIM(Enginuity!$A$18),
      AND(UPPER(TRIM(M327))="STD", TRIM(B327)=TRIM(Enginuity!$A$17))
    ),
    OR(
      AND(LEFT(P327,5)="1-Way", Enginuity!$B$13=1),
      AND(LEFT(P327,5)="2-Way", OR(Enginuity!$B$13=2, Enginuity!$B$13=4)),
      AND(LEFT(P327,5)="3-Way", OR(Enginuity!$B$13=3, Enginuity!$B$13=6)),
      AND(P327="Inner Centre Jamb", OR(Enginuity!$B$13=4, Enginuity!$B$13=6)),
      AND(
        LEFT(P327,5)&lt;&gt;"1-Way",
        LEFT(P327,5)&lt;&gt;"2-Way",
        LEFT(P327,5)&lt;&gt;"3-Way",
        P327&lt;&gt;"Inner Centre Jamb"
      )
    ),
    IF(OR(Enginuity!$A$1="Frameless Glass",Enginuity!$A$1="Metal Work"),
      AND(TRIM(B327)=TRIM(Enginuity!$A$17),TRIM(C327)=TRIM(Enginuity!$A$18)),
      TRIM(B327)=TRIM(Enginuity!$A$17)
    )
  ),
  ROW(),
  ""
)</f>
        <v/>
      </c>
      <c r="AY327" s="79">
        <f t="shared" si="5"/>
        <v>1.1000000000000001</v>
      </c>
      <c r="AZ327" s="5">
        <v>55</v>
      </c>
      <c r="BA327" t="s">
        <v>1140</v>
      </c>
      <c r="BB327" s="5">
        <f t="shared" si="4"/>
        <v>60.500000000000007</v>
      </c>
    </row>
    <row r="328" spans="1:54" x14ac:dyDescent="0.25">
      <c r="A328" s="10"/>
      <c r="B328" s="229"/>
      <c r="C328" s="10"/>
      <c r="D328" s="14"/>
      <c r="E328" s="157"/>
      <c r="F328" s="10"/>
      <c r="G328" s="17"/>
      <c r="H328" s="10"/>
      <c r="I328" s="17"/>
      <c r="J328" s="83"/>
      <c r="K328" s="343"/>
      <c r="L328" s="347"/>
      <c r="M328" s="89">
        <v>33</v>
      </c>
      <c r="N328" s="10"/>
      <c r="O328" s="22"/>
      <c r="P328" s="36"/>
      <c r="Q328" s="83"/>
      <c r="U328" s="104" t="str">
        <f>IF(
  AND(
    TRIM(A328)=TRIM(Enginuity!$A$1),
    TRIM(B328)=TRIM(Enginuity!$A$17),
    Q328&lt;&gt;"",
    Q328&lt;&gt;0,
    OR(
      TRIM(C328)=TRIM(Enginuity!$A$18),
      AND(UPPER(TRIM(M328))="STD", TRIM(B328)=TRIM(Enginuity!$A$17))
    ),
    OR(
      AND(LEFT(P328,5)="1-Way", Enginuity!$B$13=1),
      AND(LEFT(P328,5)="2-Way", OR(Enginuity!$B$13=2, Enginuity!$B$13=4)),
      AND(LEFT(P328,5)="3-Way", OR(Enginuity!$B$13=3, Enginuity!$B$13=6)),
      AND(P328="Inner Centre Jamb", OR(Enginuity!$B$13=4, Enginuity!$B$13=6)),
      AND(
        LEFT(P328,5)&lt;&gt;"1-Way",
        LEFT(P328,5)&lt;&gt;"2-Way",
        LEFT(P328,5)&lt;&gt;"3-Way",
        P328&lt;&gt;"Inner Centre Jamb"
      )
    ),
    IF(OR(Enginuity!$A$1="Frameless Glass",Enginuity!$A$1="Metal Work"),
      AND(TRIM(B328)=TRIM(Enginuity!$A$17),TRIM(C328)=TRIM(Enginuity!$A$18)),
      TRIM(B328)=TRIM(Enginuity!$A$17)
    )
  ),
  ROW(),
  ""
)</f>
        <v/>
      </c>
      <c r="AY328" s="79">
        <f t="shared" si="5"/>
        <v>1.1000000000000001</v>
      </c>
      <c r="AZ328" s="5">
        <v>60.5</v>
      </c>
      <c r="BA328" t="s">
        <v>1141</v>
      </c>
      <c r="BB328" s="5">
        <f t="shared" si="4"/>
        <v>66.550000000000011</v>
      </c>
    </row>
    <row r="329" spans="1:54" x14ac:dyDescent="0.25">
      <c r="A329" s="10"/>
      <c r="B329" s="229"/>
      <c r="C329" s="10"/>
      <c r="D329" s="14"/>
      <c r="E329" s="157"/>
      <c r="F329" s="10"/>
      <c r="G329" s="17"/>
      <c r="H329" s="10"/>
      <c r="I329" s="17"/>
      <c r="J329" s="83"/>
      <c r="K329" s="343"/>
      <c r="L329" s="347"/>
      <c r="M329" s="89">
        <v>34</v>
      </c>
      <c r="N329" s="10"/>
      <c r="O329" s="22"/>
      <c r="P329" s="36"/>
      <c r="Q329" s="83"/>
      <c r="U329" s="104" t="str">
        <f>IF(
  AND(
    TRIM(A329)=TRIM(Enginuity!$A$1),
    TRIM(B329)=TRIM(Enginuity!$A$17),
    Q329&lt;&gt;"",
    Q329&lt;&gt;0,
    OR(
      TRIM(C329)=TRIM(Enginuity!$A$18),
      AND(UPPER(TRIM(M329))="STD", TRIM(B329)=TRIM(Enginuity!$A$17))
    ),
    OR(
      AND(LEFT(P329,5)="1-Way", Enginuity!$B$13=1),
      AND(LEFT(P329,5)="2-Way", OR(Enginuity!$B$13=2, Enginuity!$B$13=4)),
      AND(LEFT(P329,5)="3-Way", OR(Enginuity!$B$13=3, Enginuity!$B$13=6)),
      AND(P329="Inner Centre Jamb", OR(Enginuity!$B$13=4, Enginuity!$B$13=6)),
      AND(
        LEFT(P329,5)&lt;&gt;"1-Way",
        LEFT(P329,5)&lt;&gt;"2-Way",
        LEFT(P329,5)&lt;&gt;"3-Way",
        P329&lt;&gt;"Inner Centre Jamb"
      )
    ),
    IF(OR(Enginuity!$A$1="Frameless Glass",Enginuity!$A$1="Metal Work"),
      AND(TRIM(B329)=TRIM(Enginuity!$A$17),TRIM(C329)=TRIM(Enginuity!$A$18)),
      TRIM(B329)=TRIM(Enginuity!$A$17)
    )
  ),
  ROW(),
  ""
)</f>
        <v/>
      </c>
      <c r="AY329" s="79">
        <f>AY328</f>
        <v>1.1000000000000001</v>
      </c>
      <c r="AZ329" s="5">
        <v>16.5</v>
      </c>
      <c r="BA329" t="s">
        <v>1142</v>
      </c>
      <c r="BB329" s="5">
        <f t="shared" si="4"/>
        <v>18.150000000000002</v>
      </c>
    </row>
    <row r="330" spans="1:54" x14ac:dyDescent="0.25">
      <c r="A330" s="10"/>
      <c r="B330" s="229"/>
      <c r="C330" s="10"/>
      <c r="D330" s="14"/>
      <c r="E330" s="157"/>
      <c r="F330" s="10"/>
      <c r="G330" s="17"/>
      <c r="H330" s="10"/>
      <c r="I330" s="17"/>
      <c r="J330" s="83"/>
      <c r="K330" s="343"/>
      <c r="L330" s="347"/>
      <c r="M330" s="89">
        <v>35</v>
      </c>
      <c r="N330" s="10"/>
      <c r="O330" s="22"/>
      <c r="P330" s="36"/>
      <c r="Q330" s="83"/>
      <c r="U330" s="104" t="str">
        <f>IF(
  AND(
    TRIM(A330)=TRIM(Enginuity!$A$1),
    TRIM(B330)=TRIM(Enginuity!$A$17),
    Q330&lt;&gt;"",
    Q330&lt;&gt;0,
    OR(
      TRIM(C330)=TRIM(Enginuity!$A$18),
      AND(UPPER(TRIM(M330))="STD", TRIM(B330)=TRIM(Enginuity!$A$17))
    ),
    OR(
      AND(LEFT(P330,5)="1-Way", Enginuity!$B$13=1),
      AND(LEFT(P330,5)="2-Way", OR(Enginuity!$B$13=2, Enginuity!$B$13=4)),
      AND(LEFT(P330,5)="3-Way", OR(Enginuity!$B$13=3, Enginuity!$B$13=6)),
      AND(P330="Inner Centre Jamb", OR(Enginuity!$B$13=4, Enginuity!$B$13=6)),
      AND(
        LEFT(P330,5)&lt;&gt;"1-Way",
        LEFT(P330,5)&lt;&gt;"2-Way",
        LEFT(P330,5)&lt;&gt;"3-Way",
        P330&lt;&gt;"Inner Centre Jamb"
      )
    ),
    IF(OR(Enginuity!$A$1="Frameless Glass",Enginuity!$A$1="Metal Work"),
      AND(TRIM(B330)=TRIM(Enginuity!$A$17),TRIM(C330)=TRIM(Enginuity!$A$18)),
      TRIM(B330)=TRIM(Enginuity!$A$17)
    )
  ),
  ROW(),
  ""
)</f>
        <v/>
      </c>
      <c r="AY330" s="79">
        <f t="shared" si="5"/>
        <v>1.1000000000000001</v>
      </c>
      <c r="AZ330" s="5">
        <v>17.600000000000001</v>
      </c>
      <c r="BA330" t="s">
        <v>1143</v>
      </c>
      <c r="BB330" s="5">
        <f t="shared" si="4"/>
        <v>19.360000000000003</v>
      </c>
    </row>
    <row r="331" spans="1:54" x14ac:dyDescent="0.25">
      <c r="A331" s="10"/>
      <c r="B331" s="229"/>
      <c r="C331" s="10"/>
      <c r="D331" s="14"/>
      <c r="E331" s="157"/>
      <c r="F331" s="10"/>
      <c r="G331" s="17"/>
      <c r="H331" s="10"/>
      <c r="I331" s="17"/>
      <c r="J331" s="83"/>
      <c r="K331" s="343"/>
      <c r="L331" s="347"/>
      <c r="M331" s="89">
        <v>36</v>
      </c>
      <c r="N331" s="10"/>
      <c r="O331" s="22"/>
      <c r="P331" s="36"/>
      <c r="Q331" s="83"/>
      <c r="U331" s="104" t="str">
        <f>IF(
  AND(
    TRIM(A331)=TRIM(Enginuity!$A$1),
    TRIM(B331)=TRIM(Enginuity!$A$17),
    Q331&lt;&gt;"",
    Q331&lt;&gt;0,
    OR(
      TRIM(C331)=TRIM(Enginuity!$A$18),
      AND(UPPER(TRIM(M331))="STD", TRIM(B331)=TRIM(Enginuity!$A$17))
    ),
    OR(
      AND(LEFT(P331,5)="1-Way", Enginuity!$B$13=1),
      AND(LEFT(P331,5)="2-Way", OR(Enginuity!$B$13=2, Enginuity!$B$13=4)),
      AND(LEFT(P331,5)="3-Way", OR(Enginuity!$B$13=3, Enginuity!$B$13=6)),
      AND(P331="Inner Centre Jamb", OR(Enginuity!$B$13=4, Enginuity!$B$13=6)),
      AND(
        LEFT(P331,5)&lt;&gt;"1-Way",
        LEFT(P331,5)&lt;&gt;"2-Way",
        LEFT(P331,5)&lt;&gt;"3-Way",
        P331&lt;&gt;"Inner Centre Jamb"
      )
    ),
    IF(OR(Enginuity!$A$1="Frameless Glass",Enginuity!$A$1="Metal Work"),
      AND(TRIM(B331)=TRIM(Enginuity!$A$17),TRIM(C331)=TRIM(Enginuity!$A$18)),
      TRIM(B331)=TRIM(Enginuity!$A$17)
    )
  ),
  ROW(),
  ""
)</f>
        <v/>
      </c>
      <c r="AY331" s="79">
        <f t="shared" si="5"/>
        <v>1.1000000000000001</v>
      </c>
      <c r="AZ331">
        <v>16.5</v>
      </c>
      <c r="BA331" t="s">
        <v>1144</v>
      </c>
      <c r="BB331" s="5">
        <f t="shared" si="4"/>
        <v>18.150000000000002</v>
      </c>
    </row>
    <row r="332" spans="1:54" x14ac:dyDescent="0.25">
      <c r="A332" s="10"/>
      <c r="B332" s="229"/>
      <c r="C332" s="10"/>
      <c r="D332" s="14"/>
      <c r="E332" s="157"/>
      <c r="F332" s="10"/>
      <c r="G332" s="17"/>
      <c r="H332" s="10"/>
      <c r="I332" s="17"/>
      <c r="J332" s="83"/>
      <c r="K332" s="343"/>
      <c r="L332" s="347"/>
      <c r="M332" s="89">
        <v>37</v>
      </c>
      <c r="N332" s="10"/>
      <c r="O332" s="22"/>
      <c r="P332" s="36"/>
      <c r="Q332" s="83"/>
      <c r="U332" s="104" t="str">
        <f>IF(
  AND(
    TRIM(A332)=TRIM(Enginuity!$A$1),
    TRIM(B332)=TRIM(Enginuity!$A$17),
    Q332&lt;&gt;"",
    Q332&lt;&gt;0,
    OR(
      TRIM(C332)=TRIM(Enginuity!$A$18),
      AND(UPPER(TRIM(M332))="STD", TRIM(B332)=TRIM(Enginuity!$A$17))
    ),
    OR(
      AND(LEFT(P332,5)="1-Way", Enginuity!$B$13=1),
      AND(LEFT(P332,5)="2-Way", OR(Enginuity!$B$13=2, Enginuity!$B$13=4)),
      AND(LEFT(P332,5)="3-Way", OR(Enginuity!$B$13=3, Enginuity!$B$13=6)),
      AND(P332="Inner Centre Jamb", OR(Enginuity!$B$13=4, Enginuity!$B$13=6)),
      AND(
        LEFT(P332,5)&lt;&gt;"1-Way",
        LEFT(P332,5)&lt;&gt;"2-Way",
        LEFT(P332,5)&lt;&gt;"3-Way",
        P332&lt;&gt;"Inner Centre Jamb"
      )
    ),
    IF(OR(Enginuity!$A$1="Frameless Glass",Enginuity!$A$1="Metal Work"),
      AND(TRIM(B332)=TRIM(Enginuity!$A$17),TRIM(C332)=TRIM(Enginuity!$A$18)),
      TRIM(B332)=TRIM(Enginuity!$A$17)
    )
  ),
  ROW(),
  ""
)</f>
        <v/>
      </c>
      <c r="AY332" s="79">
        <f t="shared" si="5"/>
        <v>1.1000000000000001</v>
      </c>
      <c r="AZ332">
        <v>17.600000000000001</v>
      </c>
      <c r="BA332" t="s">
        <v>1145</v>
      </c>
      <c r="BB332" s="5">
        <f t="shared" si="4"/>
        <v>19.360000000000003</v>
      </c>
    </row>
    <row r="333" spans="1:54" x14ac:dyDescent="0.25">
      <c r="A333" s="10"/>
      <c r="B333" s="229"/>
      <c r="C333" s="10"/>
      <c r="D333" s="14"/>
      <c r="E333" s="157"/>
      <c r="F333" s="10"/>
      <c r="G333" s="17"/>
      <c r="H333" s="10"/>
      <c r="I333" s="17"/>
      <c r="J333" s="83"/>
      <c r="K333" s="343"/>
      <c r="L333" s="347"/>
      <c r="M333" s="89">
        <v>38</v>
      </c>
      <c r="N333" s="10"/>
      <c r="O333" s="22"/>
      <c r="P333" s="36"/>
      <c r="Q333" s="83"/>
      <c r="U333" s="104" t="str">
        <f>IF(
  AND(
    TRIM(A333)=TRIM(Enginuity!$A$1),
    TRIM(B333)=TRIM(Enginuity!$A$17),
    Q333&lt;&gt;"",
    Q333&lt;&gt;0,
    OR(
      TRIM(C333)=TRIM(Enginuity!$A$18),
      AND(UPPER(TRIM(M333))="STD", TRIM(B333)=TRIM(Enginuity!$A$17))
    ),
    OR(
      AND(LEFT(P333,5)="1-Way", Enginuity!$B$13=1),
      AND(LEFT(P333,5)="2-Way", OR(Enginuity!$B$13=2, Enginuity!$B$13=4)),
      AND(LEFT(P333,5)="3-Way", OR(Enginuity!$B$13=3, Enginuity!$B$13=6)),
      AND(P333="Inner Centre Jamb", OR(Enginuity!$B$13=4, Enginuity!$B$13=6)),
      AND(
        LEFT(P333,5)&lt;&gt;"1-Way",
        LEFT(P333,5)&lt;&gt;"2-Way",
        LEFT(P333,5)&lt;&gt;"3-Way",
        P333&lt;&gt;"Inner Centre Jamb"
      )
    ),
    IF(OR(Enginuity!$A$1="Frameless Glass",Enginuity!$A$1="Metal Work"),
      AND(TRIM(B333)=TRIM(Enginuity!$A$17),TRIM(C333)=TRIM(Enginuity!$A$18)),
      TRIM(B333)=TRIM(Enginuity!$A$17)
    )
  ),
  ROW(),
  ""
)</f>
        <v/>
      </c>
      <c r="AY333" s="79">
        <f t="shared" si="5"/>
        <v>1.1000000000000001</v>
      </c>
      <c r="AZ333">
        <v>17.600000000000001</v>
      </c>
      <c r="BA333" t="s">
        <v>1146</v>
      </c>
      <c r="BB333" s="5">
        <f t="shared" si="4"/>
        <v>19.360000000000003</v>
      </c>
    </row>
    <row r="334" spans="1:54" x14ac:dyDescent="0.25">
      <c r="A334" s="10"/>
      <c r="B334" s="229"/>
      <c r="C334" s="10"/>
      <c r="D334" s="14"/>
      <c r="E334" s="157"/>
      <c r="F334" s="10"/>
      <c r="G334" s="17"/>
      <c r="H334" s="10"/>
      <c r="I334" s="17"/>
      <c r="J334" s="83"/>
      <c r="K334" s="343"/>
      <c r="L334" s="347"/>
      <c r="M334" s="89">
        <v>39</v>
      </c>
      <c r="N334" s="10"/>
      <c r="O334" s="22"/>
      <c r="P334" s="36"/>
      <c r="Q334" s="83"/>
      <c r="U334" s="104" t="str">
        <f>IF(
  AND(
    TRIM(A334)=TRIM(Enginuity!$A$1),
    TRIM(B334)=TRIM(Enginuity!$A$17),
    Q334&lt;&gt;"",
    Q334&lt;&gt;0,
    OR(
      TRIM(C334)=TRIM(Enginuity!$A$18),
      AND(UPPER(TRIM(M334))="STD", TRIM(B334)=TRIM(Enginuity!$A$17))
    ),
    OR(
      AND(LEFT(P334,5)="1-Way", Enginuity!$B$13=1),
      AND(LEFT(P334,5)="2-Way", OR(Enginuity!$B$13=2, Enginuity!$B$13=4)),
      AND(LEFT(P334,5)="3-Way", OR(Enginuity!$B$13=3, Enginuity!$B$13=6)),
      AND(P334="Inner Centre Jamb", OR(Enginuity!$B$13=4, Enginuity!$B$13=6)),
      AND(
        LEFT(P334,5)&lt;&gt;"1-Way",
        LEFT(P334,5)&lt;&gt;"2-Way",
        LEFT(P334,5)&lt;&gt;"3-Way",
        P334&lt;&gt;"Inner Centre Jamb"
      )
    ),
    IF(OR(Enginuity!$A$1="Frameless Glass",Enginuity!$A$1="Metal Work"),
      AND(TRIM(B334)=TRIM(Enginuity!$A$17),TRIM(C334)=TRIM(Enginuity!$A$18)),
      TRIM(B334)=TRIM(Enginuity!$A$17)
    )
  ),
  ROW(),
  ""
)</f>
        <v/>
      </c>
      <c r="AY334" s="79">
        <f t="shared" si="5"/>
        <v>1.1000000000000001</v>
      </c>
      <c r="AZ334">
        <v>17.600000000000001</v>
      </c>
      <c r="BA334" t="s">
        <v>1147</v>
      </c>
      <c r="BB334" s="5">
        <f t="shared" si="4"/>
        <v>19.360000000000003</v>
      </c>
    </row>
    <row r="335" spans="1:54" x14ac:dyDescent="0.25">
      <c r="A335" s="10"/>
      <c r="B335" s="229"/>
      <c r="C335" s="10"/>
      <c r="D335" s="14"/>
      <c r="E335" s="157"/>
      <c r="F335" s="10"/>
      <c r="G335" s="17"/>
      <c r="H335" s="10"/>
      <c r="I335" s="17"/>
      <c r="J335" s="83"/>
      <c r="K335" s="343"/>
      <c r="L335" s="347"/>
      <c r="M335" s="89">
        <v>40</v>
      </c>
      <c r="N335" s="10"/>
      <c r="O335" s="22"/>
      <c r="P335" s="36"/>
      <c r="Q335" s="83"/>
      <c r="U335" s="104" t="str">
        <f>IF(
  AND(
    TRIM(A335)=TRIM(Enginuity!$A$1),
    TRIM(B335)=TRIM(Enginuity!$A$17),
    Q335&lt;&gt;"",
    Q335&lt;&gt;0,
    OR(
      TRIM(C335)=TRIM(Enginuity!$A$18),
      AND(UPPER(TRIM(M335))="STD", TRIM(B335)=TRIM(Enginuity!$A$17))
    ),
    OR(
      AND(LEFT(P335,5)="1-Way", Enginuity!$B$13=1),
      AND(LEFT(P335,5)="2-Way", OR(Enginuity!$B$13=2, Enginuity!$B$13=4)),
      AND(LEFT(P335,5)="3-Way", OR(Enginuity!$B$13=3, Enginuity!$B$13=6)),
      AND(P335="Inner Centre Jamb", OR(Enginuity!$B$13=4, Enginuity!$B$13=6)),
      AND(
        LEFT(P335,5)&lt;&gt;"1-Way",
        LEFT(P335,5)&lt;&gt;"2-Way",
        LEFT(P335,5)&lt;&gt;"3-Way",
        P335&lt;&gt;"Inner Centre Jamb"
      )
    ),
    IF(OR(Enginuity!$A$1="Frameless Glass",Enginuity!$A$1="Metal Work"),
      AND(TRIM(B335)=TRIM(Enginuity!$A$17),TRIM(C335)=TRIM(Enginuity!$A$18)),
      TRIM(B335)=TRIM(Enginuity!$A$17)
    )
  ),
  ROW(),
  ""
)</f>
        <v/>
      </c>
      <c r="AY335" s="79">
        <f t="shared" si="5"/>
        <v>1.1000000000000001</v>
      </c>
      <c r="AZ335">
        <v>19.25</v>
      </c>
      <c r="BA335" t="s">
        <v>1148</v>
      </c>
      <c r="BB335" s="5">
        <f t="shared" si="4"/>
        <v>21.175000000000001</v>
      </c>
    </row>
    <row r="336" spans="1:54" x14ac:dyDescent="0.25">
      <c r="A336" s="10"/>
      <c r="B336" s="229"/>
      <c r="C336" s="10"/>
      <c r="D336" s="14"/>
      <c r="E336" s="157"/>
      <c r="F336" s="10"/>
      <c r="G336" s="17"/>
      <c r="H336" s="10"/>
      <c r="I336" s="17"/>
      <c r="J336" s="83"/>
      <c r="K336" s="343"/>
      <c r="L336" s="347"/>
      <c r="M336" s="89">
        <v>41</v>
      </c>
      <c r="N336" s="10"/>
      <c r="O336" s="22"/>
      <c r="P336" s="21"/>
      <c r="Q336" s="83"/>
      <c r="U336" s="104" t="str">
        <f>IF(
  AND(
    TRIM(A336)=TRIM(Enginuity!$A$1),
    TRIM(B336)=TRIM(Enginuity!$A$17),
    Q336&lt;&gt;"",
    Q336&lt;&gt;0,
    OR(
      TRIM(C336)=TRIM(Enginuity!$A$18),
      AND(UPPER(TRIM(M336))="STD", TRIM(B336)=TRIM(Enginuity!$A$17))
    ),
    OR(
      AND(LEFT(P336,5)="1-Way", Enginuity!$B$13=1),
      AND(LEFT(P336,5)="2-Way", OR(Enginuity!$B$13=2, Enginuity!$B$13=4)),
      AND(LEFT(P336,5)="3-Way", OR(Enginuity!$B$13=3, Enginuity!$B$13=6)),
      AND(P336="Inner Centre Jamb", OR(Enginuity!$B$13=4, Enginuity!$B$13=6)),
      AND(
        LEFT(P336,5)&lt;&gt;"1-Way",
        LEFT(P336,5)&lt;&gt;"2-Way",
        LEFT(P336,5)&lt;&gt;"3-Way",
        P336&lt;&gt;"Inner Centre Jamb"
      )
    ),
    IF(OR(Enginuity!$A$1="Frameless Glass",Enginuity!$A$1="Metal Work"),
      AND(TRIM(B336)=TRIM(Enginuity!$A$17),TRIM(C336)=TRIM(Enginuity!$A$18)),
      TRIM(B336)=TRIM(Enginuity!$A$17)
    )
  ),
  ROW(),
  ""
)</f>
        <v/>
      </c>
      <c r="AY336" s="79">
        <f t="shared" si="5"/>
        <v>1.1000000000000001</v>
      </c>
      <c r="AZ336">
        <v>17.600000000000001</v>
      </c>
      <c r="BA336" t="s">
        <v>1346</v>
      </c>
      <c r="BB336" s="5">
        <f t="shared" si="4"/>
        <v>19.360000000000003</v>
      </c>
    </row>
    <row r="337" spans="1:54" x14ac:dyDescent="0.25">
      <c r="A337" s="10"/>
      <c r="B337" s="229"/>
      <c r="C337" s="10"/>
      <c r="D337" s="14"/>
      <c r="E337" s="157"/>
      <c r="F337" s="10"/>
      <c r="G337" s="17"/>
      <c r="H337" s="10"/>
      <c r="I337" s="17"/>
      <c r="J337" s="83"/>
      <c r="K337" s="343"/>
      <c r="L337" s="347"/>
      <c r="M337" s="89">
        <v>42</v>
      </c>
      <c r="N337" s="10"/>
      <c r="O337" s="22"/>
      <c r="P337" s="14"/>
      <c r="Q337" s="83"/>
      <c r="U337" s="104" t="str">
        <f>IF(
  AND(
    TRIM(A337)=TRIM(Enginuity!$A$1),
    TRIM(B337)=TRIM(Enginuity!$A$17),
    Q337&lt;&gt;"",
    Q337&lt;&gt;0,
    OR(
      TRIM(C337)=TRIM(Enginuity!$A$18),
      AND(UPPER(TRIM(M337))="STD", TRIM(B337)=TRIM(Enginuity!$A$17))
    ),
    OR(
      AND(LEFT(P337,5)="1-Way", Enginuity!$B$13=1),
      AND(LEFT(P337,5)="2-Way", OR(Enginuity!$B$13=2, Enginuity!$B$13=4)),
      AND(LEFT(P337,5)="3-Way", OR(Enginuity!$B$13=3, Enginuity!$B$13=6)),
      AND(P337="Inner Centre Jamb", OR(Enginuity!$B$13=4, Enginuity!$B$13=6)),
      AND(
        LEFT(P337,5)&lt;&gt;"1-Way",
        LEFT(P337,5)&lt;&gt;"2-Way",
        LEFT(P337,5)&lt;&gt;"3-Way",
        P337&lt;&gt;"Inner Centre Jamb"
      )
    ),
    IF(OR(Enginuity!$A$1="Frameless Glass",Enginuity!$A$1="Metal Work"),
      AND(TRIM(B337)=TRIM(Enginuity!$A$17),TRIM(C337)=TRIM(Enginuity!$A$18)),
      TRIM(B337)=TRIM(Enginuity!$A$17)
    )
  ),
  ROW(),
  ""
)</f>
        <v/>
      </c>
      <c r="AY337" s="79">
        <f t="shared" si="5"/>
        <v>1.1000000000000001</v>
      </c>
      <c r="AZ337">
        <v>19.8</v>
      </c>
      <c r="BA337" t="s">
        <v>1347</v>
      </c>
      <c r="BB337" s="5">
        <f t="shared" si="4"/>
        <v>21.78</v>
      </c>
    </row>
    <row r="338" spans="1:54" x14ac:dyDescent="0.25">
      <c r="A338" s="10"/>
      <c r="B338" s="229"/>
      <c r="C338" s="10"/>
      <c r="D338" s="14"/>
      <c r="E338" s="157"/>
      <c r="F338" s="10"/>
      <c r="G338" s="17"/>
      <c r="H338" s="10"/>
      <c r="I338" s="17"/>
      <c r="J338" s="83"/>
      <c r="K338" s="343"/>
      <c r="L338" s="347"/>
      <c r="M338" s="89">
        <v>43</v>
      </c>
      <c r="N338" s="10"/>
      <c r="O338" s="22"/>
      <c r="P338" s="14"/>
      <c r="Q338" s="83"/>
      <c r="U338" s="104" t="str">
        <f>IF(
  AND(
    TRIM(A338)=TRIM(Enginuity!$A$1),
    TRIM(B338)=TRIM(Enginuity!$A$17),
    Q338&lt;&gt;"",
    Q338&lt;&gt;0,
    OR(
      TRIM(C338)=TRIM(Enginuity!$A$18),
      AND(UPPER(TRIM(M338))="STD", TRIM(B338)=TRIM(Enginuity!$A$17))
    ),
    OR(
      AND(LEFT(P338,5)="1-Way", Enginuity!$B$13=1),
      AND(LEFT(P338,5)="2-Way", OR(Enginuity!$B$13=2, Enginuity!$B$13=4)),
      AND(LEFT(P338,5)="3-Way", OR(Enginuity!$B$13=3, Enginuity!$B$13=6)),
      AND(P338="Inner Centre Jamb", OR(Enginuity!$B$13=4, Enginuity!$B$13=6)),
      AND(
        LEFT(P338,5)&lt;&gt;"1-Way",
        LEFT(P338,5)&lt;&gt;"2-Way",
        LEFT(P338,5)&lt;&gt;"3-Way",
        P338&lt;&gt;"Inner Centre Jamb"
      )
    ),
    IF(OR(Enginuity!$A$1="Frameless Glass",Enginuity!$A$1="Metal Work"),
      AND(TRIM(B338)=TRIM(Enginuity!$A$17),TRIM(C338)=TRIM(Enginuity!$A$18)),
      TRIM(B338)=TRIM(Enginuity!$A$17)
    )
  ),
  ROW(),
  ""
)</f>
        <v/>
      </c>
      <c r="AY338" s="79">
        <f t="shared" si="5"/>
        <v>1.1000000000000001</v>
      </c>
      <c r="AZ338" s="5">
        <v>7.5</v>
      </c>
      <c r="BA338" t="s">
        <v>1149</v>
      </c>
      <c r="BB338" s="5">
        <f t="shared" si="4"/>
        <v>8.25</v>
      </c>
    </row>
    <row r="339" spans="1:54" x14ac:dyDescent="0.25">
      <c r="A339" s="10"/>
      <c r="B339" s="229"/>
      <c r="C339" s="10"/>
      <c r="D339" s="14"/>
      <c r="E339" s="157"/>
      <c r="F339" s="10"/>
      <c r="G339" s="17"/>
      <c r="H339" s="10"/>
      <c r="I339" s="17"/>
      <c r="J339" s="83"/>
      <c r="K339" s="343"/>
      <c r="L339" s="347"/>
      <c r="M339" s="89">
        <v>44</v>
      </c>
      <c r="N339" s="10"/>
      <c r="O339" s="22"/>
      <c r="P339" s="14"/>
      <c r="Q339" s="83"/>
      <c r="U339" s="104" t="str">
        <f>IF(
  AND(
    TRIM(A339)=TRIM(Enginuity!$A$1),
    TRIM(B339)=TRIM(Enginuity!$A$17),
    Q339&lt;&gt;"",
    Q339&lt;&gt;0,
    OR(
      TRIM(C339)=TRIM(Enginuity!$A$18),
      AND(UPPER(TRIM(M339))="STD", TRIM(B339)=TRIM(Enginuity!$A$17))
    ),
    OR(
      AND(LEFT(P339,5)="1-Way", Enginuity!$B$13=1),
      AND(LEFT(P339,5)="2-Way", OR(Enginuity!$B$13=2, Enginuity!$B$13=4)),
      AND(LEFT(P339,5)="3-Way", OR(Enginuity!$B$13=3, Enginuity!$B$13=6)),
      AND(P339="Inner Centre Jamb", OR(Enginuity!$B$13=4, Enginuity!$B$13=6)),
      AND(
        LEFT(P339,5)&lt;&gt;"1-Way",
        LEFT(P339,5)&lt;&gt;"2-Way",
        LEFT(P339,5)&lt;&gt;"3-Way",
        P339&lt;&gt;"Inner Centre Jamb"
      )
    ),
    IF(OR(Enginuity!$A$1="Frameless Glass",Enginuity!$A$1="Metal Work"),
      AND(TRIM(B339)=TRIM(Enginuity!$A$17),TRIM(C339)=TRIM(Enginuity!$A$18)),
      TRIM(B339)=TRIM(Enginuity!$A$17)
    )
  ),
  ROW(),
  ""
)</f>
        <v/>
      </c>
      <c r="AY339" s="79">
        <f t="shared" si="5"/>
        <v>1.1000000000000001</v>
      </c>
      <c r="AZ339" s="5">
        <v>9.5</v>
      </c>
      <c r="BA339" t="s">
        <v>1150</v>
      </c>
      <c r="BB339" s="5">
        <f t="shared" si="4"/>
        <v>10.450000000000001</v>
      </c>
    </row>
    <row r="340" spans="1:54" x14ac:dyDescent="0.25">
      <c r="A340" s="10"/>
      <c r="B340" s="229"/>
      <c r="C340" s="10"/>
      <c r="D340" s="14"/>
      <c r="E340" s="157"/>
      <c r="F340" s="10"/>
      <c r="G340" s="17"/>
      <c r="H340" s="10"/>
      <c r="I340" s="17"/>
      <c r="J340" s="83"/>
      <c r="K340" s="343"/>
      <c r="L340" s="347"/>
      <c r="M340" s="89">
        <v>45</v>
      </c>
      <c r="N340" s="10"/>
      <c r="O340" s="22"/>
      <c r="P340" s="14"/>
      <c r="Q340" s="83"/>
      <c r="U340" s="104" t="str">
        <f>IF(
  AND(
    TRIM(A340)=TRIM(Enginuity!$A$1),
    TRIM(B340)=TRIM(Enginuity!$A$17),
    Q340&lt;&gt;"",
    Q340&lt;&gt;0,
    OR(
      TRIM(C340)=TRIM(Enginuity!$A$18),
      AND(UPPER(TRIM(M340))="STD", TRIM(B340)=TRIM(Enginuity!$A$17))
    ),
    OR(
      AND(LEFT(P340,5)="1-Way", Enginuity!$B$13=1),
      AND(LEFT(P340,5)="2-Way", OR(Enginuity!$B$13=2, Enginuity!$B$13=4)),
      AND(LEFT(P340,5)="3-Way", OR(Enginuity!$B$13=3, Enginuity!$B$13=6)),
      AND(P340="Inner Centre Jamb", OR(Enginuity!$B$13=4, Enginuity!$B$13=6)),
      AND(
        LEFT(P340,5)&lt;&gt;"1-Way",
        LEFT(P340,5)&lt;&gt;"2-Way",
        LEFT(P340,5)&lt;&gt;"3-Way",
        P340&lt;&gt;"Inner Centre Jamb"
      )
    ),
    IF(OR(Enginuity!$A$1="Frameless Glass",Enginuity!$A$1="Metal Work"),
      AND(TRIM(B340)=TRIM(Enginuity!$A$17),TRIM(C340)=TRIM(Enginuity!$A$18)),
      TRIM(B340)=TRIM(Enginuity!$A$17)
    )
  ),
  ROW(),
  ""
)</f>
        <v/>
      </c>
      <c r="AY340" s="79">
        <f t="shared" si="5"/>
        <v>1.1000000000000001</v>
      </c>
      <c r="AZ340" s="5">
        <v>10</v>
      </c>
      <c r="BA340" t="s">
        <v>1151</v>
      </c>
      <c r="BB340" s="5">
        <f t="shared" si="4"/>
        <v>11</v>
      </c>
    </row>
    <row r="341" spans="1:54" x14ac:dyDescent="0.25">
      <c r="A341" s="10"/>
      <c r="B341" s="229"/>
      <c r="C341" s="10"/>
      <c r="D341" s="14"/>
      <c r="E341" s="157"/>
      <c r="F341" s="10"/>
      <c r="G341" s="17"/>
      <c r="H341" s="10"/>
      <c r="I341" s="17"/>
      <c r="J341" s="83"/>
      <c r="K341" s="343"/>
      <c r="L341" s="347"/>
      <c r="M341" s="89">
        <v>46</v>
      </c>
      <c r="N341" s="10"/>
      <c r="O341" s="22"/>
      <c r="P341" s="14"/>
      <c r="Q341" s="83"/>
      <c r="U341" s="104" t="str">
        <f>IF(
  AND(
    TRIM(A341)=TRIM(Enginuity!$A$1),
    TRIM(B341)=TRIM(Enginuity!$A$17),
    Q341&lt;&gt;"",
    Q341&lt;&gt;0,
    OR(
      TRIM(C341)=TRIM(Enginuity!$A$18),
      AND(UPPER(TRIM(M341))="STD", TRIM(B341)=TRIM(Enginuity!$A$17))
    ),
    OR(
      AND(LEFT(P341,5)="1-Way", Enginuity!$B$13=1),
      AND(LEFT(P341,5)="2-Way", OR(Enginuity!$B$13=2, Enginuity!$B$13=4)),
      AND(LEFT(P341,5)="3-Way", OR(Enginuity!$B$13=3, Enginuity!$B$13=6)),
      AND(P341="Inner Centre Jamb", OR(Enginuity!$B$13=4, Enginuity!$B$13=6)),
      AND(
        LEFT(P341,5)&lt;&gt;"1-Way",
        LEFT(P341,5)&lt;&gt;"2-Way",
        LEFT(P341,5)&lt;&gt;"3-Way",
        P341&lt;&gt;"Inner Centre Jamb"
      )
    ),
    IF(OR(Enginuity!$A$1="Frameless Glass",Enginuity!$A$1="Metal Work"),
      AND(TRIM(B341)=TRIM(Enginuity!$A$17),TRIM(C341)=TRIM(Enginuity!$A$18)),
      TRIM(B341)=TRIM(Enginuity!$A$17)
    )
  ),
  ROW(),
  ""
)</f>
        <v/>
      </c>
      <c r="AY341" s="79">
        <f t="shared" si="5"/>
        <v>1.1000000000000001</v>
      </c>
      <c r="AZ341" s="5">
        <v>11</v>
      </c>
      <c r="BA341" t="s">
        <v>1152</v>
      </c>
      <c r="BB341" s="5">
        <f t="shared" si="4"/>
        <v>12.100000000000001</v>
      </c>
    </row>
    <row r="342" spans="1:54" x14ac:dyDescent="0.25">
      <c r="A342" s="10"/>
      <c r="B342" s="229"/>
      <c r="C342" s="10"/>
      <c r="D342" s="14"/>
      <c r="E342" s="157"/>
      <c r="F342" s="10"/>
      <c r="G342" s="17"/>
      <c r="H342" s="10"/>
      <c r="I342" s="17"/>
      <c r="J342" s="83"/>
      <c r="K342" s="343"/>
      <c r="L342" s="347"/>
      <c r="M342" s="89">
        <v>47</v>
      </c>
      <c r="N342" s="88"/>
      <c r="O342" s="22"/>
      <c r="P342" s="36"/>
      <c r="Q342" s="83"/>
      <c r="U342" s="104" t="str">
        <f>IF(
  AND(
    TRIM(A342)=TRIM(Enginuity!$A$1),
    TRIM(B342)=TRIM(Enginuity!$A$17),
    Q342&lt;&gt;"",
    Q342&lt;&gt;0,
    OR(
      TRIM(C342)=TRIM(Enginuity!$A$18),
      AND(UPPER(TRIM(M342))="STD", TRIM(B342)=TRIM(Enginuity!$A$17))
    ),
    OR(
      AND(LEFT(P342,5)="1-Way", Enginuity!$B$13=1),
      AND(LEFT(P342,5)="2-Way", OR(Enginuity!$B$13=2, Enginuity!$B$13=4)),
      AND(LEFT(P342,5)="3-Way", OR(Enginuity!$B$13=3, Enginuity!$B$13=6)),
      AND(P342="Inner Centre Jamb", OR(Enginuity!$B$13=4, Enginuity!$B$13=6)),
      AND(
        LEFT(P342,5)&lt;&gt;"1-Way",
        LEFT(P342,5)&lt;&gt;"2-Way",
        LEFT(P342,5)&lt;&gt;"3-Way",
        P342&lt;&gt;"Inner Centre Jamb"
      )
    ),
    IF(OR(Enginuity!$A$1="Frameless Glass",Enginuity!$A$1="Metal Work"),
      AND(TRIM(B342)=TRIM(Enginuity!$A$17),TRIM(C342)=TRIM(Enginuity!$A$18)),
      TRIM(B342)=TRIM(Enginuity!$A$17)
    )
  ),
  ROW(),
  ""
)</f>
        <v/>
      </c>
      <c r="AY342" s="79">
        <f t="shared" si="5"/>
        <v>1.1000000000000001</v>
      </c>
      <c r="AZ342" s="5">
        <v>12</v>
      </c>
      <c r="BA342" t="s">
        <v>1153</v>
      </c>
      <c r="BB342" s="5">
        <f t="shared" si="4"/>
        <v>13.200000000000001</v>
      </c>
    </row>
    <row r="343" spans="1:54" x14ac:dyDescent="0.25">
      <c r="A343" s="10" t="s">
        <v>254</v>
      </c>
      <c r="B343" s="229" t="s">
        <v>14</v>
      </c>
      <c r="C343" s="10"/>
      <c r="D343" s="14"/>
      <c r="E343" s="157"/>
      <c r="F343" s="10"/>
      <c r="G343" s="17"/>
      <c r="H343" s="10"/>
      <c r="I343" s="17"/>
      <c r="J343" s="83"/>
      <c r="K343" s="343"/>
      <c r="L343" s="347"/>
      <c r="M343" s="10" t="s">
        <v>117</v>
      </c>
      <c r="N343" s="10" t="s">
        <v>103</v>
      </c>
      <c r="O343" s="22">
        <v>0.20379744565899399</v>
      </c>
      <c r="P343" s="14" t="s">
        <v>115</v>
      </c>
      <c r="Q343" s="83">
        <f>IF(AND(Enginuity!$B$6&gt;0, Enginuity!$B$7&gt;0), ROUND(((Enginuity!$B$6 + Enginuity!$B$7) * 2), 2), "")</f>
        <v>66</v>
      </c>
      <c r="U343" s="104" t="str">
        <f>IF(
  AND(
    TRIM(A343)=TRIM(Enginuity!$A$1),
    TRIM(B343)=TRIM(Enginuity!$A$17),
    Q343&lt;&gt;"",
    Q343&lt;&gt;0,
    OR(
      TRIM(C343)=TRIM(Enginuity!$A$18),
      AND(UPPER(TRIM(M343))="STD", TRIM(B343)=TRIM(Enginuity!$A$17))
    ),
    OR(
      AND(LEFT(P343,5)="1-Way", Enginuity!$B$13=1),
      AND(LEFT(P343,5)="2-Way", OR(Enginuity!$B$13=2, Enginuity!$B$13=4)),
      AND(LEFT(P343,5)="3-Way", OR(Enginuity!$B$13=3, Enginuity!$B$13=6)),
      AND(P343="Inner Centre Jamb", OR(Enginuity!$B$13=4, Enginuity!$B$13=6)),
      AND(
        LEFT(P343,5)&lt;&gt;"1-Way",
        LEFT(P343,5)&lt;&gt;"2-Way",
        LEFT(P343,5)&lt;&gt;"3-Way",
        P343&lt;&gt;"Inner Centre Jamb"
      )
    ),
    IF(OR(Enginuity!$A$1="Frameless Glass",Enginuity!$A$1="Metal Work"),
      AND(TRIM(B343)=TRIM(Enginuity!$A$17),TRIM(C343)=TRIM(Enginuity!$A$18)),
      TRIM(B343)=TRIM(Enginuity!$A$17)
    )
  ),
  ROW(),
  ""
)</f>
        <v/>
      </c>
      <c r="AY343" s="79">
        <f t="shared" si="5"/>
        <v>1.1000000000000001</v>
      </c>
      <c r="AZ343" s="5">
        <v>15</v>
      </c>
      <c r="BA343" t="s">
        <v>1154</v>
      </c>
      <c r="BB343" s="5">
        <f t="shared" si="4"/>
        <v>16.5</v>
      </c>
    </row>
    <row r="344" spans="1:54" x14ac:dyDescent="0.25">
      <c r="A344" s="17" t="s">
        <v>254</v>
      </c>
      <c r="B344" s="230" t="s">
        <v>14</v>
      </c>
      <c r="C344" s="17"/>
      <c r="D344" s="18"/>
      <c r="E344" s="238"/>
      <c r="F344" s="17"/>
      <c r="G344" s="17"/>
      <c r="H344" s="10"/>
      <c r="I344" s="17"/>
      <c r="J344" s="83"/>
      <c r="K344" s="343"/>
      <c r="L344" s="347"/>
      <c r="M344" s="17" t="s">
        <v>117</v>
      </c>
      <c r="N344" s="17" t="s">
        <v>103</v>
      </c>
      <c r="O344" s="25">
        <v>0.12</v>
      </c>
      <c r="P344" s="18" t="s">
        <v>280</v>
      </c>
      <c r="Q344" s="84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576</v>
      </c>
      <c r="U344" s="104" t="str">
        <f>IF(
  AND(
    TRIM(A344)=TRIM(Enginuity!$A$1),
    TRIM(B344)=TRIM(Enginuity!$A$17),
    Q344&lt;&gt;"",
    Q344&lt;&gt;0,
    OR(
      TRIM(C344)=TRIM(Enginuity!$A$18),
      AND(UPPER(TRIM(M344))="STD", TRIM(B344)=TRIM(Enginuity!$A$17))
    ),
    OR(
      AND(LEFT(P344,5)="1-Way", Enginuity!$B$13=1),
      AND(LEFT(P344,5)="2-Way", OR(Enginuity!$B$13=2, Enginuity!$B$13=4)),
      AND(LEFT(P344,5)="3-Way", OR(Enginuity!$B$13=3, Enginuity!$B$13=6)),
      AND(P344="Inner Centre Jamb", OR(Enginuity!$B$13=4, Enginuity!$B$13=6)),
      AND(
        LEFT(P344,5)&lt;&gt;"1-Way",
        LEFT(P344,5)&lt;&gt;"2-Way",
        LEFT(P344,5)&lt;&gt;"3-Way",
        P344&lt;&gt;"Inner Centre Jamb"
      )
    ),
    IF(OR(Enginuity!$A$1="Frameless Glass",Enginuity!$A$1="Metal Work"),
      AND(TRIM(B344)=TRIM(Enginuity!$A$17),TRIM(C344)=TRIM(Enginuity!$A$18)),
      TRIM(B344)=TRIM(Enginuity!$A$17)
    )
  ),
  ROW(),
  ""
)</f>
        <v/>
      </c>
      <c r="AY344" s="79">
        <f t="shared" si="5"/>
        <v>1.1000000000000001</v>
      </c>
      <c r="AZ344" s="5">
        <v>16.5</v>
      </c>
      <c r="BA344" t="s">
        <v>1155</v>
      </c>
      <c r="BB344" s="5">
        <f t="shared" si="4"/>
        <v>18.150000000000002</v>
      </c>
    </row>
    <row r="345" spans="1:54" x14ac:dyDescent="0.25">
      <c r="A345" s="10" t="s">
        <v>254</v>
      </c>
      <c r="B345" s="229" t="s">
        <v>231</v>
      </c>
      <c r="C345" s="10" t="s">
        <v>107</v>
      </c>
      <c r="D345" s="14" t="str" cm="1">
        <f t="array" ref="D345:D354">IFERROR(INDEX(_xlfn._xlws.FILTER(AllMaterialsbak!$BA$2:$BA$30, AllMaterialsbak!$BA$2:$BA$30&lt;&gt;""), _xlfn.SEQUENCE(10)), "")</f>
        <v>Default</v>
      </c>
      <c r="E345" s="157" t="s">
        <v>257</v>
      </c>
      <c r="F345" s="14" t="s">
        <v>352</v>
      </c>
      <c r="G345" s="17" t="s">
        <v>932</v>
      </c>
      <c r="H345" s="10"/>
      <c r="I345" s="17"/>
      <c r="J345" s="83"/>
      <c r="K345" s="344">
        <v>0.52</v>
      </c>
      <c r="L345" s="347">
        <v>762</v>
      </c>
      <c r="M345" s="89">
        <v>1</v>
      </c>
      <c r="N345" s="10" t="s">
        <v>103</v>
      </c>
      <c r="O345" s="22">
        <v>6.6</v>
      </c>
      <c r="P345" s="86" t="str">
        <f>$P$2</f>
        <v>Outer Frame W X H</v>
      </c>
      <c r="Q345" s="83">
        <f>$Q$2</f>
        <v>66</v>
      </c>
      <c r="U345" s="104" t="str">
        <f>IF(
  AND(
    TRIM(A345)=TRIM(Enginuity!$A$1),
    TRIM(B345)=TRIM(Enginuity!$A$17),
    Q345&lt;&gt;"",
    Q345&lt;&gt;0,
    OR(
      TRIM(C345)=TRIM(Enginuity!$A$18),
      AND(UPPER(TRIM(M345))="STD", TRIM(B345)=TRIM(Enginuity!$A$17))
    ),
    OR(
      AND(LEFT(P345,5)="1-Way", Enginuity!$B$13=1),
      AND(LEFT(P345,5)="2-Way", OR(Enginuity!$B$13=2, Enginuity!$B$13=4)),
      AND(LEFT(P345,5)="3-Way", OR(Enginuity!$B$13=3, Enginuity!$B$13=6)),
      AND(P345="Inner Centre Jamb", OR(Enginuity!$B$13=4, Enginuity!$B$13=6)),
      AND(
        LEFT(P345,5)&lt;&gt;"1-Way",
        LEFT(P345,5)&lt;&gt;"2-Way",
        LEFT(P345,5)&lt;&gt;"3-Way",
        P345&lt;&gt;"Inner Centre Jamb"
      )
    ),
    IF(OR(Enginuity!$A$1="Frameless Glass",Enginuity!$A$1="Metal Work"),
      AND(TRIM(B345)=TRIM(Enginuity!$A$17),TRIM(C345)=TRIM(Enginuity!$A$18)),
      TRIM(B345)=TRIM(Enginuity!$A$17)
    )
  ),
  ROW(),
  ""
)</f>
        <v/>
      </c>
      <c r="AY345" s="79">
        <f t="shared" si="5"/>
        <v>1.1000000000000001</v>
      </c>
      <c r="AZ345" s="5">
        <v>21</v>
      </c>
      <c r="BA345" t="s">
        <v>1156</v>
      </c>
      <c r="BB345" s="5">
        <f t="shared" si="4"/>
        <v>23.1</v>
      </c>
    </row>
    <row r="346" spans="1:54" x14ac:dyDescent="0.25">
      <c r="A346" s="10" t="s">
        <v>254</v>
      </c>
      <c r="B346" s="229" t="s">
        <v>231</v>
      </c>
      <c r="C346" s="10" t="s">
        <v>107</v>
      </c>
      <c r="D346" s="14" t="str">
        <v xml:space="preserve">2" Louver Blade N/A </v>
      </c>
      <c r="E346" s="157" t="s">
        <v>269</v>
      </c>
      <c r="F346" s="14"/>
      <c r="G346" s="17"/>
      <c r="H346" s="10"/>
      <c r="I346" s="17"/>
      <c r="J346" s="83"/>
      <c r="K346" s="343"/>
      <c r="L346" s="347"/>
      <c r="M346" s="89">
        <v>2</v>
      </c>
      <c r="N346" s="10" t="s">
        <v>103</v>
      </c>
      <c r="O346" s="22">
        <v>6.6</v>
      </c>
      <c r="P346" s="21" t="str">
        <f>$P$4</f>
        <v>Single Horizontal Mullion ↔</v>
      </c>
      <c r="Q346" s="83">
        <f>IF(Enginuity!$B$7&gt;16, "",
  IF(Enginuity!$B$7&gt;12, 3*Enginuity!$B$6,
    IF(Enginuity!$B$7&gt;=11, 2*Enginuity!$B$6,
      IF(Enginuity!$B$7&gt;7, Enginuity!$B$6, "")
    )
  )
)</f>
        <v>60</v>
      </c>
      <c r="U346" s="104" t="str">
        <f>IF(
  AND(
    TRIM(A346)=TRIM(Enginuity!$A$1),
    TRIM(B346)=TRIM(Enginuity!$A$17),
    Q346&lt;&gt;"",
    Q346&lt;&gt;0,
    OR(
      TRIM(C346)=TRIM(Enginuity!$A$18),
      AND(UPPER(TRIM(M346))="STD", TRIM(B346)=TRIM(Enginuity!$A$17))
    ),
    OR(
      AND(LEFT(P346,5)="1-Way", Enginuity!$B$13=1),
      AND(LEFT(P346,5)="2-Way", OR(Enginuity!$B$13=2, Enginuity!$B$13=4)),
      AND(LEFT(P346,5)="3-Way", OR(Enginuity!$B$13=3, Enginuity!$B$13=6)),
      AND(P346="Inner Centre Jamb", OR(Enginuity!$B$13=4, Enginuity!$B$13=6)),
      AND(
        LEFT(P346,5)&lt;&gt;"1-Way",
        LEFT(P346,5)&lt;&gt;"2-Way",
        LEFT(P346,5)&lt;&gt;"3-Way",
        P346&lt;&gt;"Inner Centre Jamb"
      )
    ),
    IF(OR(Enginuity!$A$1="Frameless Glass",Enginuity!$A$1="Metal Work"),
      AND(TRIM(B346)=TRIM(Enginuity!$A$17),TRIM(C346)=TRIM(Enginuity!$A$18)),
      TRIM(B346)=TRIM(Enginuity!$A$17)
    )
  ),
  ROW(),
  ""
)</f>
        <v/>
      </c>
      <c r="AY346" s="79">
        <f t="shared" si="5"/>
        <v>1.1000000000000001</v>
      </c>
      <c r="AZ346" s="5">
        <v>25</v>
      </c>
      <c r="BA346" t="s">
        <v>1157</v>
      </c>
      <c r="BB346" s="5">
        <f t="shared" si="4"/>
        <v>27.500000000000004</v>
      </c>
    </row>
    <row r="347" spans="1:54" x14ac:dyDescent="0.25">
      <c r="A347" s="10" t="s">
        <v>254</v>
      </c>
      <c r="B347" s="229" t="s">
        <v>231</v>
      </c>
      <c r="C347" s="10" t="s">
        <v>107</v>
      </c>
      <c r="D347" s="14" t="str">
        <v>2" Louver Blade P/C</v>
      </c>
      <c r="E347" s="157"/>
      <c r="F347" s="10"/>
      <c r="G347" s="17"/>
      <c r="H347" s="10"/>
      <c r="I347" s="17"/>
      <c r="J347" s="83"/>
      <c r="K347" s="343"/>
      <c r="L347" s="347"/>
      <c r="M347" s="89">
        <v>3</v>
      </c>
      <c r="N347" s="10" t="s">
        <v>103</v>
      </c>
      <c r="O347" s="22">
        <v>6.6</v>
      </c>
      <c r="P347" s="21" t="str">
        <f>$P$5</f>
        <v>Single Vertical Mullion ↕</v>
      </c>
      <c r="Q347" s="83">
        <f>(Enginuity!$B$13 - 1) * Enginuity!$B$7</f>
        <v>78</v>
      </c>
      <c r="U347" s="104" t="str">
        <f>IF(
  AND(
    TRIM(A347)=TRIM(Enginuity!$A$1),
    TRIM(B347)=TRIM(Enginuity!$A$17),
    Q347&lt;&gt;"",
    Q347&lt;&gt;0,
    OR(
      TRIM(C347)=TRIM(Enginuity!$A$18),
      AND(UPPER(TRIM(M347))="STD", TRIM(B347)=TRIM(Enginuity!$A$17))
    ),
    OR(
      AND(LEFT(P347,5)="1-Way", Enginuity!$B$13=1),
      AND(LEFT(P347,5)="2-Way", OR(Enginuity!$B$13=2, Enginuity!$B$13=4)),
      AND(LEFT(P347,5)="3-Way", OR(Enginuity!$B$13=3, Enginuity!$B$13=6)),
      AND(P347="Inner Centre Jamb", OR(Enginuity!$B$13=4, Enginuity!$B$13=6)),
      AND(
        LEFT(P347,5)&lt;&gt;"1-Way",
        LEFT(P347,5)&lt;&gt;"2-Way",
        LEFT(P347,5)&lt;&gt;"3-Way",
        P347&lt;&gt;"Inner Centre Jamb"
      )
    ),
    IF(OR(Enginuity!$A$1="Frameless Glass",Enginuity!$A$1="Metal Work"),
      AND(TRIM(B347)=TRIM(Enginuity!$A$17),TRIM(C347)=TRIM(Enginuity!$A$18)),
      TRIM(B347)=TRIM(Enginuity!$A$17)
    )
  ),
  ROW(),
  ""
)</f>
        <v/>
      </c>
      <c r="AY347" s="79">
        <f t="shared" ref="AY347:AY378" si="6">AY346</f>
        <v>1.1000000000000001</v>
      </c>
      <c r="AZ347" s="5">
        <v>8.5</v>
      </c>
      <c r="BA347" t="s">
        <v>1158</v>
      </c>
      <c r="BB347" s="5">
        <f t="shared" si="4"/>
        <v>9.3500000000000014</v>
      </c>
    </row>
    <row r="348" spans="1:54" x14ac:dyDescent="0.25">
      <c r="A348" s="10" t="s">
        <v>254</v>
      </c>
      <c r="B348" s="229" t="s">
        <v>231</v>
      </c>
      <c r="C348" s="10" t="s">
        <v>107</v>
      </c>
      <c r="D348" s="14" t="str">
        <v xml:space="preserve">5" Louver Blade N/A </v>
      </c>
      <c r="E348" s="157"/>
      <c r="F348" s="10"/>
      <c r="G348" s="17"/>
      <c r="H348" s="10"/>
      <c r="I348" s="17"/>
      <c r="J348" s="83"/>
      <c r="K348" s="343"/>
      <c r="L348" s="347"/>
      <c r="M348" s="89">
        <v>4</v>
      </c>
      <c r="N348" s="10" t="s">
        <v>176</v>
      </c>
      <c r="O348" s="22" t="str">
        <f>IF(Enginuity!$A$20="", "",
 IF(Enginuity!$A$20="Lattice Design", $F$9,
 IF(Enginuity!$A$20="Lattice Design 12 Box / Panel", $F$10,
 ""))
)</f>
        <v/>
      </c>
      <c r="P348" s="5" t="str">
        <f>Enginuity!$A$20</f>
        <v>Z-Louvre Blade - 5"</v>
      </c>
      <c r="Q348" s="22" t="str">
        <f>IF(O348&lt;&gt;"",1,"")</f>
        <v/>
      </c>
      <c r="U348" s="104" t="str">
        <f>IF(
  AND(
    TRIM(A348)=TRIM(Enginuity!$A$1),
    TRIM(B348)=TRIM(Enginuity!$A$17),
    Q348&lt;&gt;"",
    Q348&lt;&gt;0,
    OR(
      TRIM(C348)=TRIM(Enginuity!$A$18),
      AND(UPPER(TRIM(M348))="STD", TRIM(B348)=TRIM(Enginuity!$A$17))
    ),
    OR(
      AND(LEFT(P348,5)="1-Way", Enginuity!$B$13=1),
      AND(LEFT(P348,5)="2-Way", OR(Enginuity!$B$13=2, Enginuity!$B$13=4)),
      AND(LEFT(P348,5)="3-Way", OR(Enginuity!$B$13=3, Enginuity!$B$13=6)),
      AND(P348="Inner Centre Jamb", OR(Enginuity!$B$13=4, Enginuity!$B$13=6)),
      AND(
        LEFT(P348,5)&lt;&gt;"1-Way",
        LEFT(P348,5)&lt;&gt;"2-Way",
        LEFT(P348,5)&lt;&gt;"3-Way",
        P348&lt;&gt;"Inner Centre Jamb"
      )
    ),
    IF(OR(Enginuity!$A$1="Frameless Glass",Enginuity!$A$1="Metal Work"),
      AND(TRIM(B348)=TRIM(Enginuity!$A$17),TRIM(C348)=TRIM(Enginuity!$A$18)),
      TRIM(B348)=TRIM(Enginuity!$A$17)
    )
  ),
  ROW(),
  ""
)</f>
        <v/>
      </c>
      <c r="AY348" s="79">
        <f t="shared" si="6"/>
        <v>1.1000000000000001</v>
      </c>
      <c r="AZ348" s="5">
        <v>10.5</v>
      </c>
      <c r="BA348" t="s">
        <v>1159</v>
      </c>
      <c r="BB348" s="5">
        <f t="shared" si="4"/>
        <v>11.55</v>
      </c>
    </row>
    <row r="349" spans="1:54" x14ac:dyDescent="0.25">
      <c r="A349" s="10" t="s">
        <v>254</v>
      </c>
      <c r="B349" s="229" t="s">
        <v>231</v>
      </c>
      <c r="C349" s="10" t="s">
        <v>107</v>
      </c>
      <c r="D349" s="14" t="str">
        <v>5" Louver Blade P/C</v>
      </c>
      <c r="E349" s="157"/>
      <c r="F349" s="10"/>
      <c r="G349" s="17"/>
      <c r="H349" s="10"/>
      <c r="I349" s="17"/>
      <c r="J349" s="83"/>
      <c r="K349" s="343"/>
      <c r="L349" s="347"/>
      <c r="M349" s="89">
        <v>5</v>
      </c>
      <c r="N349" s="10" t="s">
        <v>176</v>
      </c>
      <c r="O349" s="22" t="str">
        <f>IF(Enginuity!$A$21="12""H Top Hung Standard Casement Profile", $F$11,
IF(Enginuity!$A$21="12""H Top / Bottom Fix Standard Casement Profile", $F$12,
""))</f>
        <v/>
      </c>
      <c r="P349" s="106" t="str">
        <f>Enginuity!$A$21</f>
        <v>SF 4"</v>
      </c>
      <c r="Q349" s="22" t="str">
        <f>IF(O349&lt;&gt;"",1,"")</f>
        <v/>
      </c>
      <c r="U349" s="104" t="str">
        <f>IF(
  AND(
    TRIM(A349)=TRIM(Enginuity!$A$1),
    TRIM(B349)=TRIM(Enginuity!$A$17),
    Q349&lt;&gt;"",
    Q349&lt;&gt;0,
    OR(
      TRIM(C349)=TRIM(Enginuity!$A$18),
      AND(UPPER(TRIM(M349))="STD", TRIM(B349)=TRIM(Enginuity!$A$17))
    ),
    OR(
      AND(LEFT(P349,5)="1-Way", Enginuity!$B$13=1),
      AND(LEFT(P349,5)="2-Way", OR(Enginuity!$B$13=2, Enginuity!$B$13=4)),
      AND(LEFT(P349,5)="3-Way", OR(Enginuity!$B$13=3, Enginuity!$B$13=6)),
      AND(P349="Inner Centre Jamb", OR(Enginuity!$B$13=4, Enginuity!$B$13=6)),
      AND(
        LEFT(P349,5)&lt;&gt;"1-Way",
        LEFT(P349,5)&lt;&gt;"2-Way",
        LEFT(P349,5)&lt;&gt;"3-Way",
        P349&lt;&gt;"Inner Centre Jamb"
      )
    ),
    IF(OR(Enginuity!$A$1="Frameless Glass",Enginuity!$A$1="Metal Work"),
      AND(TRIM(B349)=TRIM(Enginuity!$A$17),TRIM(C349)=TRIM(Enginuity!$A$18)),
      TRIM(B349)=TRIM(Enginuity!$A$17)
    )
  ),
  ROW(),
  ""
)</f>
        <v/>
      </c>
      <c r="AY349" s="79">
        <f t="shared" si="6"/>
        <v>1.1000000000000001</v>
      </c>
      <c r="AZ349" s="5">
        <v>11</v>
      </c>
      <c r="BA349" t="s">
        <v>1160</v>
      </c>
      <c r="BB349" s="5">
        <f t="shared" si="4"/>
        <v>12.100000000000001</v>
      </c>
    </row>
    <row r="350" spans="1:54" x14ac:dyDescent="0.25">
      <c r="A350" s="10" t="s">
        <v>254</v>
      </c>
      <c r="B350" s="229" t="s">
        <v>231</v>
      </c>
      <c r="C350" s="10" t="s">
        <v>107</v>
      </c>
      <c r="D350" s="14" t="str">
        <v/>
      </c>
      <c r="E350" s="157"/>
      <c r="F350" s="10"/>
      <c r="G350" s="17"/>
      <c r="H350" s="10"/>
      <c r="I350" s="17"/>
      <c r="J350" s="83"/>
      <c r="K350" s="343"/>
      <c r="L350" s="347"/>
      <c r="M350" s="89">
        <v>6</v>
      </c>
      <c r="N350" s="10" t="s">
        <v>176</v>
      </c>
      <c r="O350" s="22" t="str">
        <f>IF(Enginuity!$A$22="Subframe 1"" X 2""", $J$2, "")</f>
        <v/>
      </c>
      <c r="P350" s="106" t="str">
        <f>Enginuity!$A$22</f>
        <v>▼ [Lattice]</v>
      </c>
      <c r="Q350" s="22" t="str">
        <f>IF(O350&lt;&gt;"",1,"")</f>
        <v/>
      </c>
      <c r="U350" s="104" t="str">
        <f>IF(
  AND(
    TRIM(A350)=TRIM(Enginuity!$A$1),
    TRIM(B350)=TRIM(Enginuity!$A$17),
    Q350&lt;&gt;"",
    Q350&lt;&gt;0,
    OR(
      TRIM(C350)=TRIM(Enginuity!$A$18),
      AND(UPPER(TRIM(M350))="STD", TRIM(B350)=TRIM(Enginuity!$A$17))
    ),
    OR(
      AND(LEFT(P350,5)="1-Way", Enginuity!$B$13=1),
      AND(LEFT(P350,5)="2-Way", OR(Enginuity!$B$13=2, Enginuity!$B$13=4)),
      AND(LEFT(P350,5)="3-Way", OR(Enginuity!$B$13=3, Enginuity!$B$13=6)),
      AND(P350="Inner Centre Jamb", OR(Enginuity!$B$13=4, Enginuity!$B$13=6)),
      AND(
        LEFT(P350,5)&lt;&gt;"1-Way",
        LEFT(P350,5)&lt;&gt;"2-Way",
        LEFT(P350,5)&lt;&gt;"3-Way",
        P350&lt;&gt;"Inner Centre Jamb"
      )
    ),
    IF(OR(Enginuity!$A$1="Frameless Glass",Enginuity!$A$1="Metal Work"),
      AND(TRIM(B350)=TRIM(Enginuity!$A$17),TRIM(C350)=TRIM(Enginuity!$A$18)),
      TRIM(B350)=TRIM(Enginuity!$A$17)
    )
  ),
  ROW(),
  ""
)</f>
        <v/>
      </c>
      <c r="AY350" s="79">
        <f t="shared" si="6"/>
        <v>1.1000000000000001</v>
      </c>
      <c r="AZ350" s="5">
        <v>12</v>
      </c>
      <c r="BA350" t="s">
        <v>1161</v>
      </c>
      <c r="BB350" s="5">
        <f t="shared" si="4"/>
        <v>13.200000000000001</v>
      </c>
    </row>
    <row r="351" spans="1:54" x14ac:dyDescent="0.25">
      <c r="A351" s="10" t="s">
        <v>254</v>
      </c>
      <c r="B351" s="229" t="s">
        <v>231</v>
      </c>
      <c r="C351" s="10" t="s">
        <v>107</v>
      </c>
      <c r="D351" s="14" t="str">
        <v/>
      </c>
      <c r="E351" s="157"/>
      <c r="F351" s="10"/>
      <c r="G351" s="17"/>
      <c r="H351" s="10"/>
      <c r="I351" s="17"/>
      <c r="J351" s="83"/>
      <c r="K351" s="343"/>
      <c r="L351" s="347"/>
      <c r="M351" s="89">
        <v>7</v>
      </c>
      <c r="N351" s="10" t="s">
        <v>103</v>
      </c>
      <c r="O351" s="22">
        <v>6.6</v>
      </c>
      <c r="P351" s="21" t="s">
        <v>933</v>
      </c>
      <c r="Q351" s="83" t="str">
        <f>IF(OR(Enginuity!$B$22="",Enginuity!$B$22=0),"",Enginuity!$B$22*Enginuity!$B$6)</f>
        <v/>
      </c>
      <c r="U351" s="104" t="str">
        <f>IF(
  AND(
    TRIM(A351)=TRIM(Enginuity!$A$1),
    TRIM(B351)=TRIM(Enginuity!$A$17),
    Q351&lt;&gt;"",
    Q351&lt;&gt;0,
    OR(
      TRIM(C351)=TRIM(Enginuity!$A$18),
      AND(UPPER(TRIM(M351))="STD", TRIM(B351)=TRIM(Enginuity!$A$17))
    ),
    OR(
      AND(LEFT(P351,5)="1-Way", Enginuity!$B$13=1),
      AND(LEFT(P351,5)="2-Way", OR(Enginuity!$B$13=2, Enginuity!$B$13=4)),
      AND(LEFT(P351,5)="3-Way", OR(Enginuity!$B$13=3, Enginuity!$B$13=6)),
      AND(P351="Inner Centre Jamb", OR(Enginuity!$B$13=4, Enginuity!$B$13=6)),
      AND(
        LEFT(P351,5)&lt;&gt;"1-Way",
        LEFT(P351,5)&lt;&gt;"2-Way",
        LEFT(P351,5)&lt;&gt;"3-Way",
        P351&lt;&gt;"Inner Centre Jamb"
      )
    ),
    IF(OR(Enginuity!$A$1="Frameless Glass",Enginuity!$A$1="Metal Work"),
      AND(TRIM(B351)=TRIM(Enginuity!$A$17),TRIM(C351)=TRIM(Enginuity!$A$18)),
      TRIM(B351)=TRIM(Enginuity!$A$17)
    )
  ),
  ROW(),
  ""
)</f>
        <v/>
      </c>
      <c r="AY351" s="79">
        <f t="shared" si="6"/>
        <v>1.1000000000000001</v>
      </c>
      <c r="AZ351" s="5">
        <v>13</v>
      </c>
      <c r="BA351" t="s">
        <v>1162</v>
      </c>
      <c r="BB351" s="5">
        <f t="shared" si="4"/>
        <v>14.3</v>
      </c>
    </row>
    <row r="352" spans="1:54" x14ac:dyDescent="0.25">
      <c r="A352" s="10" t="s">
        <v>254</v>
      </c>
      <c r="B352" s="229" t="s">
        <v>231</v>
      </c>
      <c r="C352" s="10" t="s">
        <v>107</v>
      </c>
      <c r="D352" s="14" t="str">
        <v/>
      </c>
      <c r="E352" s="157"/>
      <c r="F352" s="10"/>
      <c r="G352" s="17"/>
      <c r="H352" s="10"/>
      <c r="I352" s="17"/>
      <c r="J352" s="83"/>
      <c r="K352" s="343"/>
      <c r="L352" s="347"/>
      <c r="M352" s="89">
        <v>8</v>
      </c>
      <c r="N352" s="10"/>
      <c r="O352" s="22"/>
      <c r="P352" s="14"/>
      <c r="Q352" s="83"/>
      <c r="U352" s="104" t="str">
        <f>IF(
  AND(
    TRIM(A352)=TRIM(Enginuity!$A$1),
    TRIM(B352)=TRIM(Enginuity!$A$17),
    Q352&lt;&gt;"",
    Q352&lt;&gt;0,
    OR(
      TRIM(C352)=TRIM(Enginuity!$A$18),
      AND(UPPER(TRIM(M352))="STD", TRIM(B352)=TRIM(Enginuity!$A$17))
    ),
    OR(
      AND(LEFT(P352,5)="1-Way", Enginuity!$B$13=1),
      AND(LEFT(P352,5)="2-Way", OR(Enginuity!$B$13=2, Enginuity!$B$13=4)),
      AND(LEFT(P352,5)="3-Way", OR(Enginuity!$B$13=3, Enginuity!$B$13=6)),
      AND(P352="Inner Centre Jamb", OR(Enginuity!$B$13=4, Enginuity!$B$13=6)),
      AND(
        LEFT(P352,5)&lt;&gt;"1-Way",
        LEFT(P352,5)&lt;&gt;"2-Way",
        LEFT(P352,5)&lt;&gt;"3-Way",
        P352&lt;&gt;"Inner Centre Jamb"
      )
    ),
    IF(OR(Enginuity!$A$1="Frameless Glass",Enginuity!$A$1="Metal Work"),
      AND(TRIM(B352)=TRIM(Enginuity!$A$17),TRIM(C352)=TRIM(Enginuity!$A$18)),
      TRIM(B352)=TRIM(Enginuity!$A$17)
    )
  ),
  ROW(),
  ""
)</f>
        <v/>
      </c>
      <c r="AY352" s="79">
        <f t="shared" si="6"/>
        <v>1.1000000000000001</v>
      </c>
      <c r="AZ352" s="5">
        <v>16</v>
      </c>
      <c r="BA352" t="s">
        <v>1163</v>
      </c>
      <c r="BB352" s="5">
        <f t="shared" si="4"/>
        <v>17.600000000000001</v>
      </c>
    </row>
    <row r="353" spans="1:54" x14ac:dyDescent="0.25">
      <c r="A353" s="10" t="s">
        <v>254</v>
      </c>
      <c r="B353" s="229" t="s">
        <v>231</v>
      </c>
      <c r="C353" s="10"/>
      <c r="D353" s="14" t="str">
        <v/>
      </c>
      <c r="E353" s="157"/>
      <c r="F353" s="10"/>
      <c r="G353" s="17"/>
      <c r="H353" s="10"/>
      <c r="I353" s="17"/>
      <c r="J353" s="83"/>
      <c r="K353" s="343"/>
      <c r="L353" s="347"/>
      <c r="M353" s="89">
        <v>9</v>
      </c>
      <c r="N353" s="10"/>
      <c r="O353" s="22"/>
      <c r="P353" s="14"/>
      <c r="Q353" s="83"/>
      <c r="U353" s="104" t="str">
        <f>IF(
  AND(
    TRIM(A353)=TRIM(Enginuity!$A$1),
    TRIM(B353)=TRIM(Enginuity!$A$17),
    Q353&lt;&gt;"",
    Q353&lt;&gt;0,
    OR(
      TRIM(C353)=TRIM(Enginuity!$A$18),
      AND(UPPER(TRIM(M353))="STD", TRIM(B353)=TRIM(Enginuity!$A$17))
    ),
    OR(
      AND(LEFT(P353,5)="1-Way", Enginuity!$B$13=1),
      AND(LEFT(P353,5)="2-Way", OR(Enginuity!$B$13=2, Enginuity!$B$13=4)),
      AND(LEFT(P353,5)="3-Way", OR(Enginuity!$B$13=3, Enginuity!$B$13=6)),
      AND(P353="Inner Centre Jamb", OR(Enginuity!$B$13=4, Enginuity!$B$13=6)),
      AND(
        LEFT(P353,5)&lt;&gt;"1-Way",
        LEFT(P353,5)&lt;&gt;"2-Way",
        LEFT(P353,5)&lt;&gt;"3-Way",
        P353&lt;&gt;"Inner Centre Jamb"
      )
    ),
    IF(OR(Enginuity!$A$1="Frameless Glass",Enginuity!$A$1="Metal Work"),
      AND(TRIM(B353)=TRIM(Enginuity!$A$17),TRIM(C353)=TRIM(Enginuity!$A$18)),
      TRIM(B353)=TRIM(Enginuity!$A$17)
    )
  ),
  ROW(),
  ""
)</f>
        <v/>
      </c>
      <c r="AY353" s="79">
        <f t="shared" si="6"/>
        <v>1.1000000000000001</v>
      </c>
      <c r="AZ353" s="5">
        <v>17.5</v>
      </c>
      <c r="BA353" t="s">
        <v>1164</v>
      </c>
      <c r="BB353" s="5">
        <f t="shared" si="4"/>
        <v>19.25</v>
      </c>
    </row>
    <row r="354" spans="1:54" x14ac:dyDescent="0.25">
      <c r="A354" s="10" t="s">
        <v>254</v>
      </c>
      <c r="B354" s="229" t="s">
        <v>231</v>
      </c>
      <c r="C354" s="10"/>
      <c r="D354" s="14" t="str">
        <v/>
      </c>
      <c r="E354" s="157"/>
      <c r="F354" s="10"/>
      <c r="G354" s="17"/>
      <c r="H354" s="10"/>
      <c r="I354" s="17"/>
      <c r="J354" s="83"/>
      <c r="K354" s="343"/>
      <c r="L354" s="347"/>
      <c r="M354" s="89">
        <v>10</v>
      </c>
      <c r="N354" s="10"/>
      <c r="O354" s="22"/>
      <c r="Q354" s="83"/>
      <c r="U354" s="104" t="str">
        <f>IF(
  AND(
    TRIM(A354)=TRIM(Enginuity!$A$1),
    TRIM(B354)=TRIM(Enginuity!$A$17),
    Q354&lt;&gt;"",
    Q354&lt;&gt;0,
    OR(
      TRIM(C354)=TRIM(Enginuity!$A$18),
      AND(UPPER(TRIM(M354))="STD", TRIM(B354)=TRIM(Enginuity!$A$17))
    ),
    OR(
      AND(LEFT(P354,5)="1-Way", Enginuity!$B$13=1),
      AND(LEFT(P354,5)="2-Way", OR(Enginuity!$B$13=2, Enginuity!$B$13=4)),
      AND(LEFT(P354,5)="3-Way", OR(Enginuity!$B$13=3, Enginuity!$B$13=6)),
      AND(P354="Inner Centre Jamb", OR(Enginuity!$B$13=4, Enginuity!$B$13=6)),
      AND(
        LEFT(P354,5)&lt;&gt;"1-Way",
        LEFT(P354,5)&lt;&gt;"2-Way",
        LEFT(P354,5)&lt;&gt;"3-Way",
        P354&lt;&gt;"Inner Centre Jamb"
      )
    ),
    IF(OR(Enginuity!$A$1="Frameless Glass",Enginuity!$A$1="Metal Work"),
      AND(TRIM(B354)=TRIM(Enginuity!$A$17),TRIM(C354)=TRIM(Enginuity!$A$18)),
      TRIM(B354)=TRIM(Enginuity!$A$17)
    )
  ),
  ROW(),
  ""
)</f>
        <v/>
      </c>
      <c r="AY354" s="79">
        <f t="shared" si="6"/>
        <v>1.1000000000000001</v>
      </c>
      <c r="AZ354" s="5">
        <v>22</v>
      </c>
      <c r="BA354" t="s">
        <v>1165</v>
      </c>
      <c r="BB354" s="5">
        <f t="shared" si="4"/>
        <v>24.200000000000003</v>
      </c>
    </row>
    <row r="355" spans="1:54" x14ac:dyDescent="0.25">
      <c r="A355" s="10" t="s">
        <v>254</v>
      </c>
      <c r="B355" s="229" t="s">
        <v>231</v>
      </c>
      <c r="C355" s="10" t="s">
        <v>97</v>
      </c>
      <c r="D355" s="14"/>
      <c r="E355" s="157"/>
      <c r="F355" s="10"/>
      <c r="G355" s="17"/>
      <c r="H355" s="10"/>
      <c r="I355" s="17"/>
      <c r="J355" s="83"/>
      <c r="K355" s="343"/>
      <c r="L355" s="347"/>
      <c r="M355" s="89">
        <v>11</v>
      </c>
      <c r="N355" s="10" t="s">
        <v>103</v>
      </c>
      <c r="O355" s="22">
        <v>7.6</v>
      </c>
      <c r="P355" s="86" t="str">
        <f>$P$2</f>
        <v>Outer Frame W X H</v>
      </c>
      <c r="Q355" s="83">
        <f>$Q$2</f>
        <v>66</v>
      </c>
      <c r="U355" s="104" t="str">
        <f>IF(
  AND(
    TRIM(A355)=TRIM(Enginuity!$A$1),
    TRIM(B355)=TRIM(Enginuity!$A$17),
    Q355&lt;&gt;"",
    Q355&lt;&gt;0,
    OR(
      TRIM(C355)=TRIM(Enginuity!$A$18),
      AND(UPPER(TRIM(M355))="STD", TRIM(B355)=TRIM(Enginuity!$A$17))
    ),
    OR(
      AND(LEFT(P355,5)="1-Way", Enginuity!$B$13=1),
      AND(LEFT(P355,5)="2-Way", OR(Enginuity!$B$13=2, Enginuity!$B$13=4)),
      AND(LEFT(P355,5)="3-Way", OR(Enginuity!$B$13=3, Enginuity!$B$13=6)),
      AND(P355="Inner Centre Jamb", OR(Enginuity!$B$13=4, Enginuity!$B$13=6)),
      AND(
        LEFT(P355,5)&lt;&gt;"1-Way",
        LEFT(P355,5)&lt;&gt;"2-Way",
        LEFT(P355,5)&lt;&gt;"3-Way",
        P355&lt;&gt;"Inner Centre Jamb"
      )
    ),
    IF(OR(Enginuity!$A$1="Frameless Glass",Enginuity!$A$1="Metal Work"),
      AND(TRIM(B355)=TRIM(Enginuity!$A$17),TRIM(C355)=TRIM(Enginuity!$A$18)),
      TRIM(B355)=TRIM(Enginuity!$A$17)
    )
  ),
  ROW(),
  ""
)</f>
        <v/>
      </c>
      <c r="AY355" s="79">
        <f t="shared" si="6"/>
        <v>1.1000000000000001</v>
      </c>
      <c r="AZ355" s="5">
        <v>26</v>
      </c>
      <c r="BA355" t="s">
        <v>1166</v>
      </c>
      <c r="BB355" s="5">
        <f t="shared" si="4"/>
        <v>28.6</v>
      </c>
    </row>
    <row r="356" spans="1:54" x14ac:dyDescent="0.25">
      <c r="A356" s="10" t="s">
        <v>254</v>
      </c>
      <c r="B356" s="229" t="s">
        <v>231</v>
      </c>
      <c r="C356" s="10" t="s">
        <v>97</v>
      </c>
      <c r="D356" s="14"/>
      <c r="E356" s="157"/>
      <c r="F356" s="10"/>
      <c r="G356" s="17"/>
      <c r="H356" s="10"/>
      <c r="I356" s="17"/>
      <c r="J356" s="83"/>
      <c r="K356" s="343"/>
      <c r="L356" s="347"/>
      <c r="M356" s="89">
        <v>12</v>
      </c>
      <c r="N356" s="10" t="s">
        <v>103</v>
      </c>
      <c r="O356" s="22">
        <v>7.6</v>
      </c>
      <c r="P356" s="21" t="str">
        <f>$P$4</f>
        <v>Single Horizontal Mullion ↔</v>
      </c>
      <c r="Q356" s="83">
        <f>IF(Enginuity!$B$7&gt;16, "",
  IF(Enginuity!$B$7&gt;12, 3*Enginuity!$B$6,
    IF(Enginuity!$B$7&gt;=11, 2*Enginuity!$B$6,
      IF(Enginuity!$B$7&gt;7, Enginuity!$B$6, "")
    )
  )
)</f>
        <v>60</v>
      </c>
      <c r="U356" s="104" t="str">
        <f>IF(
  AND(
    TRIM(A356)=TRIM(Enginuity!$A$1),
    TRIM(B356)=TRIM(Enginuity!$A$17),
    Q356&lt;&gt;"",
    Q356&lt;&gt;0,
    OR(
      TRIM(C356)=TRIM(Enginuity!$A$18),
      AND(UPPER(TRIM(M356))="STD", TRIM(B356)=TRIM(Enginuity!$A$17))
    ),
    OR(
      AND(LEFT(P356,5)="1-Way", Enginuity!$B$13=1),
      AND(LEFT(P356,5)="2-Way", OR(Enginuity!$B$13=2, Enginuity!$B$13=4)),
      AND(LEFT(P356,5)="3-Way", OR(Enginuity!$B$13=3, Enginuity!$B$13=6)),
      AND(P356="Inner Centre Jamb", OR(Enginuity!$B$13=4, Enginuity!$B$13=6)),
      AND(
        LEFT(P356,5)&lt;&gt;"1-Way",
        LEFT(P356,5)&lt;&gt;"2-Way",
        LEFT(P356,5)&lt;&gt;"3-Way",
        P356&lt;&gt;"Inner Centre Jamb"
      )
    ),
    IF(OR(Enginuity!$A$1="Frameless Glass",Enginuity!$A$1="Metal Work"),
      AND(TRIM(B356)=TRIM(Enginuity!$A$17),TRIM(C356)=TRIM(Enginuity!$A$18)),
      TRIM(B356)=TRIM(Enginuity!$A$17)
    )
  ),
  ROW(),
  ""
)</f>
        <v/>
      </c>
      <c r="AY356" s="79">
        <f t="shared" si="6"/>
        <v>1.1000000000000001</v>
      </c>
      <c r="AZ356" s="5">
        <v>9.5</v>
      </c>
      <c r="BA356" t="s">
        <v>1167</v>
      </c>
      <c r="BB356" s="5">
        <f t="shared" si="4"/>
        <v>10.450000000000001</v>
      </c>
    </row>
    <row r="357" spans="1:54" x14ac:dyDescent="0.25">
      <c r="A357" s="10" t="s">
        <v>254</v>
      </c>
      <c r="B357" s="229" t="s">
        <v>231</v>
      </c>
      <c r="C357" s="10" t="s">
        <v>97</v>
      </c>
      <c r="D357" s="14"/>
      <c r="E357" s="157"/>
      <c r="F357" s="10"/>
      <c r="G357" s="17"/>
      <c r="H357" s="10"/>
      <c r="I357" s="17"/>
      <c r="J357" s="83"/>
      <c r="K357" s="343"/>
      <c r="L357" s="347"/>
      <c r="M357" s="89">
        <v>13</v>
      </c>
      <c r="N357" s="10" t="s">
        <v>103</v>
      </c>
      <c r="O357" s="22">
        <v>7.6</v>
      </c>
      <c r="P357" s="21" t="str">
        <f>$P$5</f>
        <v>Single Vertical Mullion ↕</v>
      </c>
      <c r="Q357" s="83">
        <f>(Enginuity!$B$13 - 1) * Enginuity!$B$7</f>
        <v>78</v>
      </c>
      <c r="U357" s="104" t="str">
        <f>IF(
  AND(
    TRIM(A357)=TRIM(Enginuity!$A$1),
    TRIM(B357)=TRIM(Enginuity!$A$17),
    Q357&lt;&gt;"",
    Q357&lt;&gt;0,
    OR(
      TRIM(C357)=TRIM(Enginuity!$A$18),
      AND(UPPER(TRIM(M357))="STD", TRIM(B357)=TRIM(Enginuity!$A$17))
    ),
    OR(
      AND(LEFT(P357,5)="1-Way", Enginuity!$B$13=1),
      AND(LEFT(P357,5)="2-Way", OR(Enginuity!$B$13=2, Enginuity!$B$13=4)),
      AND(LEFT(P357,5)="3-Way", OR(Enginuity!$B$13=3, Enginuity!$B$13=6)),
      AND(P357="Inner Centre Jamb", OR(Enginuity!$B$13=4, Enginuity!$B$13=6)),
      AND(
        LEFT(P357,5)&lt;&gt;"1-Way",
        LEFT(P357,5)&lt;&gt;"2-Way",
        LEFT(P357,5)&lt;&gt;"3-Way",
        P357&lt;&gt;"Inner Centre Jamb"
      )
    ),
    IF(OR(Enginuity!$A$1="Frameless Glass",Enginuity!$A$1="Metal Work"),
      AND(TRIM(B357)=TRIM(Enginuity!$A$17),TRIM(C357)=TRIM(Enginuity!$A$18)),
      TRIM(B357)=TRIM(Enginuity!$A$17)
    )
  ),
  ROW(),
  ""
)</f>
        <v/>
      </c>
      <c r="AY357" s="79">
        <f t="shared" si="6"/>
        <v>1.1000000000000001</v>
      </c>
      <c r="AZ357" s="5">
        <v>11.5</v>
      </c>
      <c r="BA357" t="s">
        <v>1168</v>
      </c>
      <c r="BB357" s="5">
        <f t="shared" si="4"/>
        <v>12.65</v>
      </c>
    </row>
    <row r="358" spans="1:54" x14ac:dyDescent="0.25">
      <c r="A358" s="10" t="s">
        <v>254</v>
      </c>
      <c r="B358" s="229" t="s">
        <v>231</v>
      </c>
      <c r="C358" s="10" t="s">
        <v>97</v>
      </c>
      <c r="D358" s="14"/>
      <c r="E358" s="157" t="s">
        <v>257</v>
      </c>
      <c r="F358" s="10"/>
      <c r="G358" s="17"/>
      <c r="H358" s="10"/>
      <c r="I358" s="17"/>
      <c r="J358" s="83"/>
      <c r="K358" s="343"/>
      <c r="L358" s="347"/>
      <c r="M358" s="89">
        <v>14</v>
      </c>
      <c r="N358" s="10" t="s">
        <v>176</v>
      </c>
      <c r="O358" s="22" t="str">
        <f>IF(Enginuity!$A$20="", "",
 IF(Enginuity!$A$20="Lattice Design", $F$9,
 IF(Enginuity!$A$20="Lattice Design 12 Box / Panel", $F$10,
 ""))
)</f>
        <v/>
      </c>
      <c r="P358" s="5" t="str">
        <f>Enginuity!$A$20</f>
        <v>Z-Louvre Blade - 5"</v>
      </c>
      <c r="Q358" s="22" t="str">
        <f>IF(O358&lt;&gt;"",1,"")</f>
        <v/>
      </c>
      <c r="U358" s="104" t="str">
        <f>IF(
  AND(
    TRIM(A358)=TRIM(Enginuity!$A$1),
    TRIM(B358)=TRIM(Enginuity!$A$17),
    Q358&lt;&gt;"",
    Q358&lt;&gt;0,
    OR(
      TRIM(C358)=TRIM(Enginuity!$A$18),
      AND(UPPER(TRIM(M358))="STD", TRIM(B358)=TRIM(Enginuity!$A$17))
    ),
    OR(
      AND(LEFT(P358,5)="1-Way", Enginuity!$B$13=1),
      AND(LEFT(P358,5)="2-Way", OR(Enginuity!$B$13=2, Enginuity!$B$13=4)),
      AND(LEFT(P358,5)="3-Way", OR(Enginuity!$B$13=3, Enginuity!$B$13=6)),
      AND(P358="Inner Centre Jamb", OR(Enginuity!$B$13=4, Enginuity!$B$13=6)),
      AND(
        LEFT(P358,5)&lt;&gt;"1-Way",
        LEFT(P358,5)&lt;&gt;"2-Way",
        LEFT(P358,5)&lt;&gt;"3-Way",
        P358&lt;&gt;"Inner Centre Jamb"
      )
    ),
    IF(OR(Enginuity!$A$1="Frameless Glass",Enginuity!$A$1="Metal Work"),
      AND(TRIM(B358)=TRIM(Enginuity!$A$17),TRIM(C358)=TRIM(Enginuity!$A$18)),
      TRIM(B358)=TRIM(Enginuity!$A$17)
    )
  ),
  ROW(),
  ""
)</f>
        <v/>
      </c>
      <c r="AY358" s="79">
        <f t="shared" si="6"/>
        <v>1.1000000000000001</v>
      </c>
      <c r="AZ358" s="5">
        <v>12</v>
      </c>
      <c r="BA358" t="s">
        <v>1169</v>
      </c>
      <c r="BB358" s="5">
        <f t="shared" si="4"/>
        <v>13.200000000000001</v>
      </c>
    </row>
    <row r="359" spans="1:54" x14ac:dyDescent="0.25">
      <c r="A359" s="10" t="s">
        <v>254</v>
      </c>
      <c r="B359" s="229" t="s">
        <v>231</v>
      </c>
      <c r="C359" s="10" t="s">
        <v>97</v>
      </c>
      <c r="D359" s="14"/>
      <c r="E359" s="157" t="s">
        <v>269</v>
      </c>
      <c r="F359" s="10" t="s">
        <v>352</v>
      </c>
      <c r="G359" s="17"/>
      <c r="H359" s="10"/>
      <c r="I359" s="17"/>
      <c r="J359" s="83"/>
      <c r="K359" s="343"/>
      <c r="L359" s="347"/>
      <c r="M359" s="89">
        <v>15</v>
      </c>
      <c r="N359" s="10" t="s">
        <v>176</v>
      </c>
      <c r="O359" s="22" t="str">
        <f>IF(Enginuity!$A$21="12""H Top Hung Standard Casement Profile", $F$11,
IF(Enginuity!$A$21="12""H Top / Bottom Fix Standard Casement Profile", $F$12,
""))</f>
        <v/>
      </c>
      <c r="P359" s="106" t="str">
        <f>Enginuity!$A$21</f>
        <v>SF 4"</v>
      </c>
      <c r="Q359" s="22" t="str">
        <f>IF(O359&lt;&gt;"",1,"")</f>
        <v/>
      </c>
      <c r="U359" s="104" t="str">
        <f>IF(
  AND(
    TRIM(A359)=TRIM(Enginuity!$A$1),
    TRIM(B359)=TRIM(Enginuity!$A$17),
    Q359&lt;&gt;"",
    Q359&lt;&gt;0,
    OR(
      TRIM(C359)=TRIM(Enginuity!$A$18),
      AND(UPPER(TRIM(M359))="STD", TRIM(B359)=TRIM(Enginuity!$A$17))
    ),
    OR(
      AND(LEFT(P359,5)="1-Way", Enginuity!$B$13=1),
      AND(LEFT(P359,5)="2-Way", OR(Enginuity!$B$13=2, Enginuity!$B$13=4)),
      AND(LEFT(P359,5)="3-Way", OR(Enginuity!$B$13=3, Enginuity!$B$13=6)),
      AND(P359="Inner Centre Jamb", OR(Enginuity!$B$13=4, Enginuity!$B$13=6)),
      AND(
        LEFT(P359,5)&lt;&gt;"1-Way",
        LEFT(P359,5)&lt;&gt;"2-Way",
        LEFT(P359,5)&lt;&gt;"3-Way",
        P359&lt;&gt;"Inner Centre Jamb"
      )
    ),
    IF(OR(Enginuity!$A$1="Frameless Glass",Enginuity!$A$1="Metal Work"),
      AND(TRIM(B359)=TRIM(Enginuity!$A$17),TRIM(C359)=TRIM(Enginuity!$A$18)),
      TRIM(B359)=TRIM(Enginuity!$A$17)
    )
  ),
  ROW(),
  ""
)</f>
        <v/>
      </c>
      <c r="AY359" s="79">
        <f t="shared" si="6"/>
        <v>1.1000000000000001</v>
      </c>
      <c r="AZ359" s="5">
        <v>13</v>
      </c>
      <c r="BA359" t="s">
        <v>1170</v>
      </c>
      <c r="BB359" s="5">
        <f t="shared" si="4"/>
        <v>14.3</v>
      </c>
    </row>
    <row r="360" spans="1:54" x14ac:dyDescent="0.25">
      <c r="A360" s="10" t="s">
        <v>254</v>
      </c>
      <c r="B360" s="229" t="s">
        <v>231</v>
      </c>
      <c r="C360" s="10" t="s">
        <v>97</v>
      </c>
      <c r="D360" s="14"/>
      <c r="E360" s="157"/>
      <c r="F360" s="10"/>
      <c r="G360" s="17"/>
      <c r="H360" s="10"/>
      <c r="I360" s="17"/>
      <c r="J360" s="83"/>
      <c r="K360" s="343"/>
      <c r="L360" s="347"/>
      <c r="M360" s="89">
        <v>16</v>
      </c>
      <c r="N360" s="10" t="s">
        <v>176</v>
      </c>
      <c r="O360" s="22" t="str">
        <f>IF(Enginuity!$A$22="Subframe 1"" X 2""", $J$2, "")</f>
        <v/>
      </c>
      <c r="P360" s="106" t="str">
        <f>Enginuity!$A$22</f>
        <v>▼ [Lattice]</v>
      </c>
      <c r="Q360" s="22" t="str">
        <f>IF(O360&lt;&gt;"",1,"")</f>
        <v/>
      </c>
      <c r="U360" s="104" t="str">
        <f>IF(
  AND(
    TRIM(A360)=TRIM(Enginuity!$A$1),
    TRIM(B360)=TRIM(Enginuity!$A$17),
    Q360&lt;&gt;"",
    Q360&lt;&gt;0,
    OR(
      TRIM(C360)=TRIM(Enginuity!$A$18),
      AND(UPPER(TRIM(M360))="STD", TRIM(B360)=TRIM(Enginuity!$A$17))
    ),
    OR(
      AND(LEFT(P360,5)="1-Way", Enginuity!$B$13=1),
      AND(LEFT(P360,5)="2-Way", OR(Enginuity!$B$13=2, Enginuity!$B$13=4)),
      AND(LEFT(P360,5)="3-Way", OR(Enginuity!$B$13=3, Enginuity!$B$13=6)),
      AND(P360="Inner Centre Jamb", OR(Enginuity!$B$13=4, Enginuity!$B$13=6)),
      AND(
        LEFT(P360,5)&lt;&gt;"1-Way",
        LEFT(P360,5)&lt;&gt;"2-Way",
        LEFT(P360,5)&lt;&gt;"3-Way",
        P360&lt;&gt;"Inner Centre Jamb"
      )
    ),
    IF(OR(Enginuity!$A$1="Frameless Glass",Enginuity!$A$1="Metal Work"),
      AND(TRIM(B360)=TRIM(Enginuity!$A$17),TRIM(C360)=TRIM(Enginuity!$A$18)),
      TRIM(B360)=TRIM(Enginuity!$A$17)
    )
  ),
  ROW(),
  ""
)</f>
        <v/>
      </c>
      <c r="AY360" s="79">
        <f t="shared" si="6"/>
        <v>1.1000000000000001</v>
      </c>
      <c r="AZ360" s="5">
        <v>14</v>
      </c>
      <c r="BA360" t="s">
        <v>1171</v>
      </c>
      <c r="BB360" s="5">
        <f t="shared" si="4"/>
        <v>15.400000000000002</v>
      </c>
    </row>
    <row r="361" spans="1:54" x14ac:dyDescent="0.25">
      <c r="A361" s="10" t="s">
        <v>254</v>
      </c>
      <c r="B361" s="229" t="s">
        <v>231</v>
      </c>
      <c r="C361" s="10" t="s">
        <v>97</v>
      </c>
      <c r="D361" s="14"/>
      <c r="E361" s="157"/>
      <c r="F361" s="10"/>
      <c r="G361" s="17" t="s">
        <v>932</v>
      </c>
      <c r="H361" s="10"/>
      <c r="I361" s="17"/>
      <c r="J361" s="83"/>
      <c r="K361" s="344">
        <v>0.52</v>
      </c>
      <c r="L361" s="347">
        <v>762</v>
      </c>
      <c r="M361" s="89">
        <v>17</v>
      </c>
      <c r="N361" s="10" t="s">
        <v>103</v>
      </c>
      <c r="O361" s="22">
        <v>7.6</v>
      </c>
      <c r="P361" s="21" t="s">
        <v>933</v>
      </c>
      <c r="Q361" s="83" t="str">
        <f>IF(OR(Enginuity!$B$22="",Enginuity!$B$22=0),"",Enginuity!$B$22*Enginuity!$B$6)</f>
        <v/>
      </c>
      <c r="U361" s="104" t="str">
        <f>IF(
  AND(
    TRIM(A361)=TRIM(Enginuity!$A$1),
    TRIM(B361)=TRIM(Enginuity!$A$17),
    Q361&lt;&gt;"",
    Q361&lt;&gt;0,
    OR(
      TRIM(C361)=TRIM(Enginuity!$A$18),
      AND(UPPER(TRIM(M361))="STD", TRIM(B361)=TRIM(Enginuity!$A$17))
    ),
    OR(
      AND(LEFT(P361,5)="1-Way", Enginuity!$B$13=1),
      AND(LEFT(P361,5)="2-Way", OR(Enginuity!$B$13=2, Enginuity!$B$13=4)),
      AND(LEFT(P361,5)="3-Way", OR(Enginuity!$B$13=3, Enginuity!$B$13=6)),
      AND(P361="Inner Centre Jamb", OR(Enginuity!$B$13=4, Enginuity!$B$13=6)),
      AND(
        LEFT(P361,5)&lt;&gt;"1-Way",
        LEFT(P361,5)&lt;&gt;"2-Way",
        LEFT(P361,5)&lt;&gt;"3-Way",
        P361&lt;&gt;"Inner Centre Jamb"
      )
    ),
    IF(OR(Enginuity!$A$1="Frameless Glass",Enginuity!$A$1="Metal Work"),
      AND(TRIM(B361)=TRIM(Enginuity!$A$17),TRIM(C361)=TRIM(Enginuity!$A$18)),
      TRIM(B361)=TRIM(Enginuity!$A$17)
    )
  ),
  ROW(),
  ""
)</f>
        <v/>
      </c>
      <c r="AY361" s="79">
        <f t="shared" si="6"/>
        <v>1.1000000000000001</v>
      </c>
      <c r="AZ361" s="5">
        <v>17</v>
      </c>
      <c r="BA361" t="s">
        <v>1172</v>
      </c>
      <c r="BB361" s="5">
        <f t="shared" si="4"/>
        <v>18.700000000000003</v>
      </c>
    </row>
    <row r="362" spans="1:54" x14ac:dyDescent="0.25">
      <c r="A362" s="10" t="s">
        <v>254</v>
      </c>
      <c r="B362" s="229" t="s">
        <v>231</v>
      </c>
      <c r="C362" s="10"/>
      <c r="D362" s="14"/>
      <c r="E362" s="157"/>
      <c r="F362" s="10"/>
      <c r="G362" s="17"/>
      <c r="H362" s="10"/>
      <c r="I362" s="17"/>
      <c r="J362" s="83"/>
      <c r="K362" s="343"/>
      <c r="L362" s="347"/>
      <c r="M362" s="89">
        <v>18</v>
      </c>
      <c r="N362" s="10"/>
      <c r="O362" s="22"/>
      <c r="P362" s="14"/>
      <c r="Q362" s="83"/>
      <c r="U362" s="104" t="str">
        <f>IF(
  AND(
    TRIM(A362)=TRIM(Enginuity!$A$1),
    TRIM(B362)=TRIM(Enginuity!$A$17),
    Q362&lt;&gt;"",
    Q362&lt;&gt;0,
    OR(
      TRIM(C362)=TRIM(Enginuity!$A$18),
      AND(UPPER(TRIM(M362))="STD", TRIM(B362)=TRIM(Enginuity!$A$17))
    ),
    OR(
      AND(LEFT(P362,5)="1-Way", Enginuity!$B$13=1),
      AND(LEFT(P362,5)="2-Way", OR(Enginuity!$B$13=2, Enginuity!$B$13=4)),
      AND(LEFT(P362,5)="3-Way", OR(Enginuity!$B$13=3, Enginuity!$B$13=6)),
      AND(P362="Inner Centre Jamb", OR(Enginuity!$B$13=4, Enginuity!$B$13=6)),
      AND(
        LEFT(P362,5)&lt;&gt;"1-Way",
        LEFT(P362,5)&lt;&gt;"2-Way",
        LEFT(P362,5)&lt;&gt;"3-Way",
        P362&lt;&gt;"Inner Centre Jamb"
      )
    ),
    IF(OR(Enginuity!$A$1="Frameless Glass",Enginuity!$A$1="Metal Work"),
      AND(TRIM(B362)=TRIM(Enginuity!$A$17),TRIM(C362)=TRIM(Enginuity!$A$18)),
      TRIM(B362)=TRIM(Enginuity!$A$17)
    )
  ),
  ROW(),
  ""
)</f>
        <v/>
      </c>
      <c r="AY362" s="79">
        <f t="shared" si="6"/>
        <v>1.1000000000000001</v>
      </c>
      <c r="AZ362" s="5">
        <v>18.5</v>
      </c>
      <c r="BA362" t="s">
        <v>1173</v>
      </c>
      <c r="BB362" s="5">
        <f t="shared" si="4"/>
        <v>20.350000000000001</v>
      </c>
    </row>
    <row r="363" spans="1:54" x14ac:dyDescent="0.25">
      <c r="A363" s="10" t="s">
        <v>254</v>
      </c>
      <c r="B363" s="229" t="s">
        <v>231</v>
      </c>
      <c r="C363" s="10"/>
      <c r="D363" s="14"/>
      <c r="E363" s="157"/>
      <c r="F363" s="10"/>
      <c r="G363" s="17"/>
      <c r="H363" s="10"/>
      <c r="I363" s="17"/>
      <c r="J363" s="83"/>
      <c r="K363" s="343"/>
      <c r="L363" s="347"/>
      <c r="M363" s="89">
        <v>19</v>
      </c>
      <c r="N363" s="10"/>
      <c r="O363" s="22"/>
      <c r="P363" s="36"/>
      <c r="Q363" s="83"/>
      <c r="U363" s="104" t="str">
        <f>IF(
  AND(
    TRIM(A363)=TRIM(Enginuity!$A$1),
    TRIM(B363)=TRIM(Enginuity!$A$17),
    Q363&lt;&gt;"",
    Q363&lt;&gt;0,
    OR(
      TRIM(C363)=TRIM(Enginuity!$A$18),
      AND(UPPER(TRIM(M363))="STD", TRIM(B363)=TRIM(Enginuity!$A$17))
    ),
    OR(
      AND(LEFT(P363,5)="1-Way", Enginuity!$B$13=1),
      AND(LEFT(P363,5)="2-Way", OR(Enginuity!$B$13=2, Enginuity!$B$13=4)),
      AND(LEFT(P363,5)="3-Way", OR(Enginuity!$B$13=3, Enginuity!$B$13=6)),
      AND(P363="Inner Centre Jamb", OR(Enginuity!$B$13=4, Enginuity!$B$13=6)),
      AND(
        LEFT(P363,5)&lt;&gt;"1-Way",
        LEFT(P363,5)&lt;&gt;"2-Way",
        LEFT(P363,5)&lt;&gt;"3-Way",
        P363&lt;&gt;"Inner Centre Jamb"
      )
    ),
    IF(OR(Enginuity!$A$1="Frameless Glass",Enginuity!$A$1="Metal Work"),
      AND(TRIM(B363)=TRIM(Enginuity!$A$17),TRIM(C363)=TRIM(Enginuity!$A$18)),
      TRIM(B363)=TRIM(Enginuity!$A$17)
    )
  ),
  ROW(),
  ""
)</f>
        <v/>
      </c>
      <c r="AY363" s="79">
        <f t="shared" si="6"/>
        <v>1.1000000000000001</v>
      </c>
      <c r="AZ363" s="5">
        <v>23</v>
      </c>
      <c r="BA363" t="s">
        <v>1174</v>
      </c>
      <c r="BB363" s="5">
        <f t="shared" si="4"/>
        <v>25.3</v>
      </c>
    </row>
    <row r="364" spans="1:54" x14ac:dyDescent="0.25">
      <c r="A364" s="10" t="s">
        <v>254</v>
      </c>
      <c r="B364" s="229" t="s">
        <v>231</v>
      </c>
      <c r="C364" s="10"/>
      <c r="D364" s="14"/>
      <c r="E364" s="157"/>
      <c r="F364" s="10"/>
      <c r="G364" s="17"/>
      <c r="H364" s="10"/>
      <c r="I364" s="17"/>
      <c r="J364" s="83"/>
      <c r="K364" s="343"/>
      <c r="L364" s="347"/>
      <c r="M364" s="89">
        <v>20</v>
      </c>
      <c r="N364" s="10"/>
      <c r="O364" s="22"/>
      <c r="P364" s="36"/>
      <c r="Q364" s="83"/>
      <c r="U364" s="104" t="str">
        <f>IF(
  AND(
    TRIM(A364)=TRIM(Enginuity!$A$1),
    TRIM(B364)=TRIM(Enginuity!$A$17),
    Q364&lt;&gt;"",
    Q364&lt;&gt;0,
    OR(
      TRIM(C364)=TRIM(Enginuity!$A$18),
      AND(UPPER(TRIM(M364))="STD", TRIM(B364)=TRIM(Enginuity!$A$17))
    ),
    OR(
      AND(LEFT(P364,5)="1-Way", Enginuity!$B$13=1),
      AND(LEFT(P364,5)="2-Way", OR(Enginuity!$B$13=2, Enginuity!$B$13=4)),
      AND(LEFT(P364,5)="3-Way", OR(Enginuity!$B$13=3, Enginuity!$B$13=6)),
      AND(P364="Inner Centre Jamb", OR(Enginuity!$B$13=4, Enginuity!$B$13=6)),
      AND(
        LEFT(P364,5)&lt;&gt;"1-Way",
        LEFT(P364,5)&lt;&gt;"2-Way",
        LEFT(P364,5)&lt;&gt;"3-Way",
        P364&lt;&gt;"Inner Centre Jamb"
      )
    ),
    IF(OR(Enginuity!$A$1="Frameless Glass",Enginuity!$A$1="Metal Work"),
      AND(TRIM(B364)=TRIM(Enginuity!$A$17),TRIM(C364)=TRIM(Enginuity!$A$18)),
      TRIM(B364)=TRIM(Enginuity!$A$17)
    )
  ),
  ROW(),
  ""
)</f>
        <v/>
      </c>
      <c r="AY364" s="79">
        <f t="shared" si="6"/>
        <v>1.1000000000000001</v>
      </c>
      <c r="AZ364" s="5">
        <v>27</v>
      </c>
      <c r="BA364" t="s">
        <v>1175</v>
      </c>
      <c r="BB364" s="5">
        <f t="shared" si="4"/>
        <v>29.700000000000003</v>
      </c>
    </row>
    <row r="365" spans="1:54" x14ac:dyDescent="0.25">
      <c r="A365" s="10" t="s">
        <v>254</v>
      </c>
      <c r="B365" s="229" t="s">
        <v>231</v>
      </c>
      <c r="C365" s="10"/>
      <c r="D365" s="14"/>
      <c r="E365" s="157"/>
      <c r="F365" s="10"/>
      <c r="G365" s="17"/>
      <c r="H365" s="10"/>
      <c r="I365" s="17"/>
      <c r="J365" s="83"/>
      <c r="K365" s="343"/>
      <c r="L365" s="347"/>
      <c r="M365" s="89">
        <v>21</v>
      </c>
      <c r="N365" s="10"/>
      <c r="O365" s="22"/>
      <c r="P365" s="36"/>
      <c r="Q365" s="83"/>
      <c r="U365" s="104" t="str">
        <f>IF(
  AND(
    TRIM(A365)=TRIM(Enginuity!$A$1),
    TRIM(B365)=TRIM(Enginuity!$A$17),
    Q365&lt;&gt;"",
    Q365&lt;&gt;0,
    OR(
      TRIM(C365)=TRIM(Enginuity!$A$18),
      AND(UPPER(TRIM(M365))="STD", TRIM(B365)=TRIM(Enginuity!$A$17))
    ),
    OR(
      AND(LEFT(P365,5)="1-Way", Enginuity!$B$13=1),
      AND(LEFT(P365,5)="2-Way", OR(Enginuity!$B$13=2, Enginuity!$B$13=4)),
      AND(LEFT(P365,5)="3-Way", OR(Enginuity!$B$13=3, Enginuity!$B$13=6)),
      AND(P365="Inner Centre Jamb", OR(Enginuity!$B$13=4, Enginuity!$B$13=6)),
      AND(
        LEFT(P365,5)&lt;&gt;"1-Way",
        LEFT(P365,5)&lt;&gt;"2-Way",
        LEFT(P365,5)&lt;&gt;"3-Way",
        P365&lt;&gt;"Inner Centre Jamb"
      )
    ),
    IF(OR(Enginuity!$A$1="Frameless Glass",Enginuity!$A$1="Metal Work"),
      AND(TRIM(B365)=TRIM(Enginuity!$A$17),TRIM(C365)=TRIM(Enginuity!$A$18)),
      TRIM(B365)=TRIM(Enginuity!$A$17)
    )
  ),
  ROW(),
  ""
)</f>
        <v/>
      </c>
      <c r="AY365" s="79">
        <f t="shared" si="6"/>
        <v>1.1000000000000001</v>
      </c>
      <c r="AZ365" s="5">
        <v>11.5</v>
      </c>
      <c r="BA365" t="s">
        <v>1176</v>
      </c>
      <c r="BB365" s="5">
        <f t="shared" si="4"/>
        <v>12.65</v>
      </c>
    </row>
    <row r="366" spans="1:54" x14ac:dyDescent="0.25">
      <c r="A366" s="10" t="s">
        <v>254</v>
      </c>
      <c r="B366" s="229" t="s">
        <v>231</v>
      </c>
      <c r="C366" s="10"/>
      <c r="D366" s="14"/>
      <c r="E366" s="157"/>
      <c r="F366" s="10"/>
      <c r="G366" s="17"/>
      <c r="H366" s="10"/>
      <c r="I366" s="17"/>
      <c r="J366" s="83"/>
      <c r="K366" s="343"/>
      <c r="L366" s="347"/>
      <c r="M366" s="89">
        <v>22</v>
      </c>
      <c r="N366" s="10"/>
      <c r="O366" s="22"/>
      <c r="P366" s="36"/>
      <c r="Q366" s="83"/>
      <c r="U366" s="104" t="str">
        <f>IF(
  AND(
    TRIM(A366)=TRIM(Enginuity!$A$1),
    TRIM(B366)=TRIM(Enginuity!$A$17),
    Q366&lt;&gt;"",
    Q366&lt;&gt;0,
    OR(
      TRIM(C366)=TRIM(Enginuity!$A$18),
      AND(UPPER(TRIM(M366))="STD", TRIM(B366)=TRIM(Enginuity!$A$17))
    ),
    OR(
      AND(LEFT(P366,5)="1-Way", Enginuity!$B$13=1),
      AND(LEFT(P366,5)="2-Way", OR(Enginuity!$B$13=2, Enginuity!$B$13=4)),
      AND(LEFT(P366,5)="3-Way", OR(Enginuity!$B$13=3, Enginuity!$B$13=6)),
      AND(P366="Inner Centre Jamb", OR(Enginuity!$B$13=4, Enginuity!$B$13=6)),
      AND(
        LEFT(P366,5)&lt;&gt;"1-Way",
        LEFT(P366,5)&lt;&gt;"2-Way",
        LEFT(P366,5)&lt;&gt;"3-Way",
        P366&lt;&gt;"Inner Centre Jamb"
      )
    ),
    IF(OR(Enginuity!$A$1="Frameless Glass",Enginuity!$A$1="Metal Work"),
      AND(TRIM(B366)=TRIM(Enginuity!$A$17),TRIM(C366)=TRIM(Enginuity!$A$18)),
      TRIM(B366)=TRIM(Enginuity!$A$17)
    )
  ),
  ROW(),
  ""
)</f>
        <v/>
      </c>
      <c r="AY366" s="79">
        <f t="shared" si="6"/>
        <v>1.1000000000000001</v>
      </c>
      <c r="AZ366" s="5">
        <v>13.5</v>
      </c>
      <c r="BA366" t="s">
        <v>1177</v>
      </c>
      <c r="BB366" s="5">
        <f t="shared" si="4"/>
        <v>14.850000000000001</v>
      </c>
    </row>
    <row r="367" spans="1:54" x14ac:dyDescent="0.25">
      <c r="A367" s="10" t="s">
        <v>254</v>
      </c>
      <c r="B367" s="229" t="s">
        <v>231</v>
      </c>
      <c r="C367" s="10"/>
      <c r="D367" s="14"/>
      <c r="E367" s="157"/>
      <c r="F367" s="10"/>
      <c r="G367" s="17"/>
      <c r="H367" s="10"/>
      <c r="I367" s="17"/>
      <c r="J367" s="83"/>
      <c r="K367" s="343"/>
      <c r="L367" s="347"/>
      <c r="M367" s="89">
        <v>23</v>
      </c>
      <c r="N367" s="10"/>
      <c r="O367" s="22"/>
      <c r="P367" s="36"/>
      <c r="Q367" s="83"/>
      <c r="U367" s="104" t="str">
        <f>IF(
  AND(
    TRIM(A367)=TRIM(Enginuity!$A$1),
    TRIM(B367)=TRIM(Enginuity!$A$17),
    Q367&lt;&gt;"",
    Q367&lt;&gt;0,
    OR(
      TRIM(C367)=TRIM(Enginuity!$A$18),
      AND(UPPER(TRIM(M367))="STD", TRIM(B367)=TRIM(Enginuity!$A$17))
    ),
    OR(
      AND(LEFT(P367,5)="1-Way", Enginuity!$B$13=1),
      AND(LEFT(P367,5)="2-Way", OR(Enginuity!$B$13=2, Enginuity!$B$13=4)),
      AND(LEFT(P367,5)="3-Way", OR(Enginuity!$B$13=3, Enginuity!$B$13=6)),
      AND(P367="Inner Centre Jamb", OR(Enginuity!$B$13=4, Enginuity!$B$13=6)),
      AND(
        LEFT(P367,5)&lt;&gt;"1-Way",
        LEFT(P367,5)&lt;&gt;"2-Way",
        LEFT(P367,5)&lt;&gt;"3-Way",
        P367&lt;&gt;"Inner Centre Jamb"
      )
    ),
    IF(OR(Enginuity!$A$1="Frameless Glass",Enginuity!$A$1="Metal Work"),
      AND(TRIM(B367)=TRIM(Enginuity!$A$17),TRIM(C367)=TRIM(Enginuity!$A$18)),
      TRIM(B367)=TRIM(Enginuity!$A$17)
    )
  ),
  ROW(),
  ""
)</f>
        <v/>
      </c>
      <c r="AY367" s="79">
        <f t="shared" si="6"/>
        <v>1.1000000000000001</v>
      </c>
      <c r="AZ367" s="5">
        <v>14</v>
      </c>
      <c r="BA367" t="s">
        <v>1178</v>
      </c>
      <c r="BB367" s="5">
        <f t="shared" si="4"/>
        <v>15.400000000000002</v>
      </c>
    </row>
    <row r="368" spans="1:54" x14ac:dyDescent="0.25">
      <c r="A368" s="10" t="s">
        <v>254</v>
      </c>
      <c r="B368" s="229" t="s">
        <v>231</v>
      </c>
      <c r="C368" s="10"/>
      <c r="D368" s="14"/>
      <c r="E368" s="157"/>
      <c r="F368" s="10"/>
      <c r="G368" s="17"/>
      <c r="H368" s="10"/>
      <c r="I368" s="17"/>
      <c r="J368" s="83"/>
      <c r="K368" s="343"/>
      <c r="L368" s="347"/>
      <c r="M368" s="89">
        <v>24</v>
      </c>
      <c r="N368" s="10"/>
      <c r="O368" s="22"/>
      <c r="P368" s="36"/>
      <c r="Q368" s="83"/>
      <c r="U368" s="104" t="str">
        <f>IF(
  AND(
    TRIM(A368)=TRIM(Enginuity!$A$1),
    TRIM(B368)=TRIM(Enginuity!$A$17),
    Q368&lt;&gt;"",
    Q368&lt;&gt;0,
    OR(
      TRIM(C368)=TRIM(Enginuity!$A$18),
      AND(UPPER(TRIM(M368))="STD", TRIM(B368)=TRIM(Enginuity!$A$17))
    ),
    OR(
      AND(LEFT(P368,5)="1-Way", Enginuity!$B$13=1),
      AND(LEFT(P368,5)="2-Way", OR(Enginuity!$B$13=2, Enginuity!$B$13=4)),
      AND(LEFT(P368,5)="3-Way", OR(Enginuity!$B$13=3, Enginuity!$B$13=6)),
      AND(P368="Inner Centre Jamb", OR(Enginuity!$B$13=4, Enginuity!$B$13=6)),
      AND(
        LEFT(P368,5)&lt;&gt;"1-Way",
        LEFT(P368,5)&lt;&gt;"2-Way",
        LEFT(P368,5)&lt;&gt;"3-Way",
        P368&lt;&gt;"Inner Centre Jamb"
      )
    ),
    IF(OR(Enginuity!$A$1="Frameless Glass",Enginuity!$A$1="Metal Work"),
      AND(TRIM(B368)=TRIM(Enginuity!$A$17),TRIM(C368)=TRIM(Enginuity!$A$18)),
      TRIM(B368)=TRIM(Enginuity!$A$17)
    )
  ),
  ROW(),
  ""
)</f>
        <v/>
      </c>
      <c r="AY368" s="79">
        <f t="shared" si="6"/>
        <v>1.1000000000000001</v>
      </c>
      <c r="AZ368" s="5">
        <v>15</v>
      </c>
      <c r="BA368" t="s">
        <v>1179</v>
      </c>
      <c r="BB368" s="5">
        <f t="shared" si="4"/>
        <v>16.5</v>
      </c>
    </row>
    <row r="369" spans="1:54" x14ac:dyDescent="0.25">
      <c r="A369" s="10" t="s">
        <v>254</v>
      </c>
      <c r="B369" s="229" t="s">
        <v>231</v>
      </c>
      <c r="C369" s="10"/>
      <c r="D369" s="14"/>
      <c r="E369" s="157"/>
      <c r="F369" s="10"/>
      <c r="G369" s="17"/>
      <c r="H369" s="10"/>
      <c r="I369" s="17"/>
      <c r="J369" s="83"/>
      <c r="K369" s="343"/>
      <c r="L369" s="347"/>
      <c r="M369" s="89">
        <v>25</v>
      </c>
      <c r="N369" s="10"/>
      <c r="O369" s="22"/>
      <c r="P369" s="36"/>
      <c r="Q369" s="83"/>
      <c r="U369" s="104" t="str">
        <f>IF(
  AND(
    TRIM(A369)=TRIM(Enginuity!$A$1),
    TRIM(B369)=TRIM(Enginuity!$A$17),
    Q369&lt;&gt;"",
    Q369&lt;&gt;0,
    OR(
      TRIM(C369)=TRIM(Enginuity!$A$18),
      AND(UPPER(TRIM(M369))="STD", TRIM(B369)=TRIM(Enginuity!$A$17))
    ),
    OR(
      AND(LEFT(P369,5)="1-Way", Enginuity!$B$13=1),
      AND(LEFT(P369,5)="2-Way", OR(Enginuity!$B$13=2, Enginuity!$B$13=4)),
      AND(LEFT(P369,5)="3-Way", OR(Enginuity!$B$13=3, Enginuity!$B$13=6)),
      AND(P369="Inner Centre Jamb", OR(Enginuity!$B$13=4, Enginuity!$B$13=6)),
      AND(
        LEFT(P369,5)&lt;&gt;"1-Way",
        LEFT(P369,5)&lt;&gt;"2-Way",
        LEFT(P369,5)&lt;&gt;"3-Way",
        P369&lt;&gt;"Inner Centre Jamb"
      )
    ),
    IF(OR(Enginuity!$A$1="Frameless Glass",Enginuity!$A$1="Metal Work"),
      AND(TRIM(B369)=TRIM(Enginuity!$A$17),TRIM(C369)=TRIM(Enginuity!$A$18)),
      TRIM(B369)=TRIM(Enginuity!$A$17)
    )
  ),
  ROW(),
  ""
)</f>
        <v/>
      </c>
      <c r="AY369" s="79">
        <f t="shared" si="6"/>
        <v>1.1000000000000001</v>
      </c>
      <c r="AZ369" s="5">
        <v>16</v>
      </c>
      <c r="BA369" t="s">
        <v>1180</v>
      </c>
      <c r="BB369" s="5">
        <f t="shared" ref="BB369:BB432" si="7">IF(OR(AY369="",AZ369=""),"",AY369*AZ369)</f>
        <v>17.600000000000001</v>
      </c>
    </row>
    <row r="370" spans="1:54" x14ac:dyDescent="0.25">
      <c r="A370" s="10" t="s">
        <v>254</v>
      </c>
      <c r="B370" s="229" t="s">
        <v>231</v>
      </c>
      <c r="C370" s="10"/>
      <c r="D370" s="14"/>
      <c r="E370" s="157"/>
      <c r="F370" s="10"/>
      <c r="G370" s="17"/>
      <c r="H370" s="10"/>
      <c r="I370" s="17"/>
      <c r="J370" s="83"/>
      <c r="K370" s="343"/>
      <c r="L370" s="347"/>
      <c r="M370" s="89">
        <v>26</v>
      </c>
      <c r="N370" s="10"/>
      <c r="O370" s="22"/>
      <c r="P370" s="36"/>
      <c r="Q370" s="83"/>
      <c r="U370" s="104" t="str">
        <f>IF(
  AND(
    TRIM(A370)=TRIM(Enginuity!$A$1),
    TRIM(B370)=TRIM(Enginuity!$A$17),
    Q370&lt;&gt;"",
    Q370&lt;&gt;0,
    OR(
      TRIM(C370)=TRIM(Enginuity!$A$18),
      AND(UPPER(TRIM(M370))="STD", TRIM(B370)=TRIM(Enginuity!$A$17))
    ),
    OR(
      AND(LEFT(P370,5)="1-Way", Enginuity!$B$13=1),
      AND(LEFT(P370,5)="2-Way", OR(Enginuity!$B$13=2, Enginuity!$B$13=4)),
      AND(LEFT(P370,5)="3-Way", OR(Enginuity!$B$13=3, Enginuity!$B$13=6)),
      AND(P370="Inner Centre Jamb", OR(Enginuity!$B$13=4, Enginuity!$B$13=6)),
      AND(
        LEFT(P370,5)&lt;&gt;"1-Way",
        LEFT(P370,5)&lt;&gt;"2-Way",
        LEFT(P370,5)&lt;&gt;"3-Way",
        P370&lt;&gt;"Inner Centre Jamb"
      )
    ),
    IF(OR(Enginuity!$A$1="Frameless Glass",Enginuity!$A$1="Metal Work"),
      AND(TRIM(B370)=TRIM(Enginuity!$A$17),TRIM(C370)=TRIM(Enginuity!$A$18)),
      TRIM(B370)=TRIM(Enginuity!$A$17)
    )
  ),
  ROW(),
  ""
)</f>
        <v/>
      </c>
      <c r="AY370" s="79">
        <f t="shared" si="6"/>
        <v>1.1000000000000001</v>
      </c>
      <c r="AZ370" s="5">
        <v>19</v>
      </c>
      <c r="BA370" t="s">
        <v>1181</v>
      </c>
      <c r="BB370" s="5">
        <f t="shared" si="7"/>
        <v>20.900000000000002</v>
      </c>
    </row>
    <row r="371" spans="1:54" x14ac:dyDescent="0.25">
      <c r="A371" s="10" t="s">
        <v>254</v>
      </c>
      <c r="B371" s="229" t="s">
        <v>231</v>
      </c>
      <c r="C371" s="10"/>
      <c r="D371" s="14"/>
      <c r="E371" s="157"/>
      <c r="F371" s="10"/>
      <c r="G371" s="17"/>
      <c r="H371" s="10"/>
      <c r="I371" s="17"/>
      <c r="J371" s="83"/>
      <c r="K371" s="343"/>
      <c r="L371" s="347"/>
      <c r="M371" s="89">
        <v>27</v>
      </c>
      <c r="N371" s="10"/>
      <c r="O371" s="22"/>
      <c r="P371" s="36"/>
      <c r="Q371" s="83"/>
      <c r="U371" s="104" t="str">
        <f>IF(
  AND(
    TRIM(A371)=TRIM(Enginuity!$A$1),
    TRIM(B371)=TRIM(Enginuity!$A$17),
    Q371&lt;&gt;"",
    Q371&lt;&gt;0,
    OR(
      TRIM(C371)=TRIM(Enginuity!$A$18),
      AND(UPPER(TRIM(M371))="STD", TRIM(B371)=TRIM(Enginuity!$A$17))
    ),
    OR(
      AND(LEFT(P371,5)="1-Way", Enginuity!$B$13=1),
      AND(LEFT(P371,5)="2-Way", OR(Enginuity!$B$13=2, Enginuity!$B$13=4)),
      AND(LEFT(P371,5)="3-Way", OR(Enginuity!$B$13=3, Enginuity!$B$13=6)),
      AND(P371="Inner Centre Jamb", OR(Enginuity!$B$13=4, Enginuity!$B$13=6)),
      AND(
        LEFT(P371,5)&lt;&gt;"1-Way",
        LEFT(P371,5)&lt;&gt;"2-Way",
        LEFT(P371,5)&lt;&gt;"3-Way",
        P371&lt;&gt;"Inner Centre Jamb"
      )
    ),
    IF(OR(Enginuity!$A$1="Frameless Glass",Enginuity!$A$1="Metal Work"),
      AND(TRIM(B371)=TRIM(Enginuity!$A$17),TRIM(C371)=TRIM(Enginuity!$A$18)),
      TRIM(B371)=TRIM(Enginuity!$A$17)
    )
  ),
  ROW(),
  ""
)</f>
        <v/>
      </c>
      <c r="AY371" s="79">
        <f t="shared" si="6"/>
        <v>1.1000000000000001</v>
      </c>
      <c r="AZ371" s="5">
        <v>20.5</v>
      </c>
      <c r="BA371" t="s">
        <v>1182</v>
      </c>
      <c r="BB371" s="5">
        <f t="shared" si="7"/>
        <v>22.55</v>
      </c>
    </row>
    <row r="372" spans="1:54" x14ac:dyDescent="0.25">
      <c r="A372" s="10" t="s">
        <v>254</v>
      </c>
      <c r="B372" s="229" t="s">
        <v>231</v>
      </c>
      <c r="C372" s="10"/>
      <c r="D372" s="14"/>
      <c r="E372" s="157"/>
      <c r="F372" s="10"/>
      <c r="G372" s="17"/>
      <c r="H372" s="10"/>
      <c r="I372" s="17"/>
      <c r="J372" s="83"/>
      <c r="K372" s="343"/>
      <c r="L372" s="347"/>
      <c r="M372" s="89">
        <v>28</v>
      </c>
      <c r="N372" s="10"/>
      <c r="O372" s="22"/>
      <c r="P372" s="36"/>
      <c r="Q372" s="83"/>
      <c r="U372" s="104" t="str">
        <f>IF(
  AND(
    TRIM(A372)=TRIM(Enginuity!$A$1),
    TRIM(B372)=TRIM(Enginuity!$A$17),
    Q372&lt;&gt;"",
    Q372&lt;&gt;0,
    OR(
      TRIM(C372)=TRIM(Enginuity!$A$18),
      AND(UPPER(TRIM(M372))="STD", TRIM(B372)=TRIM(Enginuity!$A$17))
    ),
    OR(
      AND(LEFT(P372,5)="1-Way", Enginuity!$B$13=1),
      AND(LEFT(P372,5)="2-Way", OR(Enginuity!$B$13=2, Enginuity!$B$13=4)),
      AND(LEFT(P372,5)="3-Way", OR(Enginuity!$B$13=3, Enginuity!$B$13=6)),
      AND(P372="Inner Centre Jamb", OR(Enginuity!$B$13=4, Enginuity!$B$13=6)),
      AND(
        LEFT(P372,5)&lt;&gt;"1-Way",
        LEFT(P372,5)&lt;&gt;"2-Way",
        LEFT(P372,5)&lt;&gt;"3-Way",
        P372&lt;&gt;"Inner Centre Jamb"
      )
    ),
    IF(OR(Enginuity!$A$1="Frameless Glass",Enginuity!$A$1="Metal Work"),
      AND(TRIM(B372)=TRIM(Enginuity!$A$17),TRIM(C372)=TRIM(Enginuity!$A$18)),
      TRIM(B372)=TRIM(Enginuity!$A$17)
    )
  ),
  ROW(),
  ""
)</f>
        <v/>
      </c>
      <c r="AY372" s="79">
        <f t="shared" si="6"/>
        <v>1.1000000000000001</v>
      </c>
      <c r="AZ372" s="5">
        <v>25</v>
      </c>
      <c r="BA372" t="s">
        <v>1183</v>
      </c>
      <c r="BB372" s="5">
        <f t="shared" si="7"/>
        <v>27.500000000000004</v>
      </c>
    </row>
    <row r="373" spans="1:54" x14ac:dyDescent="0.25">
      <c r="A373" s="10" t="s">
        <v>254</v>
      </c>
      <c r="B373" s="229" t="s">
        <v>231</v>
      </c>
      <c r="C373" s="10"/>
      <c r="D373" s="14"/>
      <c r="E373" s="157"/>
      <c r="F373" s="10"/>
      <c r="G373" s="17"/>
      <c r="H373" s="10"/>
      <c r="I373" s="17"/>
      <c r="J373" s="83"/>
      <c r="K373" s="343"/>
      <c r="L373" s="347"/>
      <c r="M373" s="89">
        <v>29</v>
      </c>
      <c r="N373" s="10"/>
      <c r="O373" s="22"/>
      <c r="P373" s="36"/>
      <c r="Q373" s="83"/>
      <c r="U373" s="104" t="str">
        <f>IF(
  AND(
    TRIM(A373)=TRIM(Enginuity!$A$1),
    TRIM(B373)=TRIM(Enginuity!$A$17),
    Q373&lt;&gt;"",
    Q373&lt;&gt;0,
    OR(
      TRIM(C373)=TRIM(Enginuity!$A$18),
      AND(UPPER(TRIM(M373))="STD", TRIM(B373)=TRIM(Enginuity!$A$17))
    ),
    OR(
      AND(LEFT(P373,5)="1-Way", Enginuity!$B$13=1),
      AND(LEFT(P373,5)="2-Way", OR(Enginuity!$B$13=2, Enginuity!$B$13=4)),
      AND(LEFT(P373,5)="3-Way", OR(Enginuity!$B$13=3, Enginuity!$B$13=6)),
      AND(P373="Inner Centre Jamb", OR(Enginuity!$B$13=4, Enginuity!$B$13=6)),
      AND(
        LEFT(P373,5)&lt;&gt;"1-Way",
        LEFT(P373,5)&lt;&gt;"2-Way",
        LEFT(P373,5)&lt;&gt;"3-Way",
        P373&lt;&gt;"Inner Centre Jamb"
      )
    ),
    IF(OR(Enginuity!$A$1="Frameless Glass",Enginuity!$A$1="Metal Work"),
      AND(TRIM(B373)=TRIM(Enginuity!$A$17),TRIM(C373)=TRIM(Enginuity!$A$18)),
      TRIM(B373)=TRIM(Enginuity!$A$17)
    )
  ),
  ROW(),
  ""
)</f>
        <v/>
      </c>
      <c r="AY373" s="79">
        <f t="shared" si="6"/>
        <v>1.1000000000000001</v>
      </c>
      <c r="AZ373" s="5">
        <v>29</v>
      </c>
      <c r="BA373" t="s">
        <v>1184</v>
      </c>
      <c r="BB373" s="5">
        <f t="shared" si="7"/>
        <v>31.900000000000002</v>
      </c>
    </row>
    <row r="374" spans="1:54" x14ac:dyDescent="0.25">
      <c r="A374" s="10" t="s">
        <v>254</v>
      </c>
      <c r="B374" s="229" t="s">
        <v>231</v>
      </c>
      <c r="C374" s="10"/>
      <c r="D374" s="14"/>
      <c r="E374" s="157"/>
      <c r="F374" s="10"/>
      <c r="G374" s="17"/>
      <c r="H374" s="10"/>
      <c r="I374" s="17"/>
      <c r="J374" s="83"/>
      <c r="K374" s="343"/>
      <c r="L374" s="347"/>
      <c r="M374" s="89">
        <v>30</v>
      </c>
      <c r="N374" s="10"/>
      <c r="O374" s="22"/>
      <c r="P374" s="36"/>
      <c r="Q374" s="83"/>
      <c r="U374" s="104" t="str">
        <f>IF(
  AND(
    TRIM(A374)=TRIM(Enginuity!$A$1),
    TRIM(B374)=TRIM(Enginuity!$A$17),
    Q374&lt;&gt;"",
    Q374&lt;&gt;0,
    OR(
      TRIM(C374)=TRIM(Enginuity!$A$18),
      AND(UPPER(TRIM(M374))="STD", TRIM(B374)=TRIM(Enginuity!$A$17))
    ),
    OR(
      AND(LEFT(P374,5)="1-Way", Enginuity!$B$13=1),
      AND(LEFT(P374,5)="2-Way", OR(Enginuity!$B$13=2, Enginuity!$B$13=4)),
      AND(LEFT(P374,5)="3-Way", OR(Enginuity!$B$13=3, Enginuity!$B$13=6)),
      AND(P374="Inner Centre Jamb", OR(Enginuity!$B$13=4, Enginuity!$B$13=6)),
      AND(
        LEFT(P374,5)&lt;&gt;"1-Way",
        LEFT(P374,5)&lt;&gt;"2-Way",
        LEFT(P374,5)&lt;&gt;"3-Way",
        P374&lt;&gt;"Inner Centre Jamb"
      )
    ),
    IF(OR(Enginuity!$A$1="Frameless Glass",Enginuity!$A$1="Metal Work"),
      AND(TRIM(B374)=TRIM(Enginuity!$A$17),TRIM(C374)=TRIM(Enginuity!$A$18)),
      TRIM(B374)=TRIM(Enginuity!$A$17)
    )
  ),
  ROW(),
  ""
)</f>
        <v/>
      </c>
      <c r="AY374" s="79">
        <f t="shared" si="6"/>
        <v>1.1000000000000001</v>
      </c>
      <c r="AZ374" s="5">
        <v>7.5</v>
      </c>
      <c r="BA374" t="s">
        <v>1225</v>
      </c>
      <c r="BB374" s="5">
        <f t="shared" si="7"/>
        <v>8.25</v>
      </c>
    </row>
    <row r="375" spans="1:54" x14ac:dyDescent="0.25">
      <c r="A375" s="10" t="s">
        <v>254</v>
      </c>
      <c r="B375" s="229" t="s">
        <v>231</v>
      </c>
      <c r="C375" s="10"/>
      <c r="D375" s="14"/>
      <c r="E375" s="157"/>
      <c r="F375" s="10"/>
      <c r="G375" s="17"/>
      <c r="H375" s="10"/>
      <c r="I375" s="17"/>
      <c r="J375" s="83"/>
      <c r="K375" s="343"/>
      <c r="L375" s="347"/>
      <c r="M375" s="89">
        <v>31</v>
      </c>
      <c r="N375" s="10"/>
      <c r="O375" s="22"/>
      <c r="P375" s="36"/>
      <c r="Q375" s="83"/>
      <c r="U375" s="104" t="str">
        <f>IF(
  AND(
    TRIM(A375)=TRIM(Enginuity!$A$1),
    TRIM(B375)=TRIM(Enginuity!$A$17),
    Q375&lt;&gt;"",
    Q375&lt;&gt;0,
    OR(
      TRIM(C375)=TRIM(Enginuity!$A$18),
      AND(UPPER(TRIM(M375))="STD", TRIM(B375)=TRIM(Enginuity!$A$17))
    ),
    OR(
      AND(LEFT(P375,5)="1-Way", Enginuity!$B$13=1),
      AND(LEFT(P375,5)="2-Way", OR(Enginuity!$B$13=2, Enginuity!$B$13=4)),
      AND(LEFT(P375,5)="3-Way", OR(Enginuity!$B$13=3, Enginuity!$B$13=6)),
      AND(P375="Inner Centre Jamb", OR(Enginuity!$B$13=4, Enginuity!$B$13=6)),
      AND(
        LEFT(P375,5)&lt;&gt;"1-Way",
        LEFT(P375,5)&lt;&gt;"2-Way",
        LEFT(P375,5)&lt;&gt;"3-Way",
        P375&lt;&gt;"Inner Centre Jamb"
      )
    ),
    IF(OR(Enginuity!$A$1="Frameless Glass",Enginuity!$A$1="Metal Work"),
      AND(TRIM(B375)=TRIM(Enginuity!$A$17),TRIM(C375)=TRIM(Enginuity!$A$18)),
      TRIM(B375)=TRIM(Enginuity!$A$17)
    )
  ),
  ROW(),
  ""
)</f>
        <v/>
      </c>
      <c r="AY375" s="79">
        <f t="shared" si="6"/>
        <v>1.1000000000000001</v>
      </c>
      <c r="AZ375" s="5">
        <v>9.5</v>
      </c>
      <c r="BA375" t="s">
        <v>1226</v>
      </c>
      <c r="BB375" s="5">
        <f t="shared" si="7"/>
        <v>10.450000000000001</v>
      </c>
    </row>
    <row r="376" spans="1:54" x14ac:dyDescent="0.25">
      <c r="A376" s="10" t="s">
        <v>254</v>
      </c>
      <c r="B376" s="229" t="s">
        <v>231</v>
      </c>
      <c r="C376" s="10"/>
      <c r="D376" s="14"/>
      <c r="E376" s="157"/>
      <c r="F376" s="10"/>
      <c r="G376" s="17"/>
      <c r="H376" s="10"/>
      <c r="I376" s="17"/>
      <c r="J376" s="83"/>
      <c r="K376" s="343"/>
      <c r="L376" s="347"/>
      <c r="M376" s="89">
        <v>32</v>
      </c>
      <c r="N376" s="10"/>
      <c r="O376" s="22"/>
      <c r="P376" s="36"/>
      <c r="Q376" s="83"/>
      <c r="U376" s="104" t="str">
        <f>IF(
  AND(
    TRIM(A376)=TRIM(Enginuity!$A$1),
    TRIM(B376)=TRIM(Enginuity!$A$17),
    Q376&lt;&gt;"",
    Q376&lt;&gt;0,
    OR(
      TRIM(C376)=TRIM(Enginuity!$A$18),
      AND(UPPER(TRIM(M376))="STD", TRIM(B376)=TRIM(Enginuity!$A$17))
    ),
    OR(
      AND(LEFT(P376,5)="1-Way", Enginuity!$B$13=1),
      AND(LEFT(P376,5)="2-Way", OR(Enginuity!$B$13=2, Enginuity!$B$13=4)),
      AND(LEFT(P376,5)="3-Way", OR(Enginuity!$B$13=3, Enginuity!$B$13=6)),
      AND(P376="Inner Centre Jamb", OR(Enginuity!$B$13=4, Enginuity!$B$13=6)),
      AND(
        LEFT(P376,5)&lt;&gt;"1-Way",
        LEFT(P376,5)&lt;&gt;"2-Way",
        LEFT(P376,5)&lt;&gt;"3-Way",
        P376&lt;&gt;"Inner Centre Jamb"
      )
    ),
    IF(OR(Enginuity!$A$1="Frameless Glass",Enginuity!$A$1="Metal Work"),
      AND(TRIM(B376)=TRIM(Enginuity!$A$17),TRIM(C376)=TRIM(Enginuity!$A$18)),
      TRIM(B376)=TRIM(Enginuity!$A$17)
    )
  ),
  ROW(),
  ""
)</f>
        <v/>
      </c>
      <c r="AY376" s="79">
        <f t="shared" si="6"/>
        <v>1.1000000000000001</v>
      </c>
      <c r="AZ376" s="5">
        <v>10</v>
      </c>
      <c r="BA376" t="s">
        <v>1227</v>
      </c>
      <c r="BB376" s="5">
        <f t="shared" si="7"/>
        <v>11</v>
      </c>
    </row>
    <row r="377" spans="1:54" x14ac:dyDescent="0.25">
      <c r="A377" s="10" t="s">
        <v>254</v>
      </c>
      <c r="B377" s="229" t="s">
        <v>231</v>
      </c>
      <c r="C377" s="10"/>
      <c r="D377" s="14"/>
      <c r="E377" s="157"/>
      <c r="F377" s="10"/>
      <c r="G377" s="17"/>
      <c r="H377" s="10"/>
      <c r="I377" s="17"/>
      <c r="J377" s="83"/>
      <c r="K377" s="343"/>
      <c r="L377" s="347"/>
      <c r="M377" s="89">
        <v>33</v>
      </c>
      <c r="N377" s="10"/>
      <c r="O377" s="22"/>
      <c r="P377" s="36"/>
      <c r="Q377" s="83"/>
      <c r="U377" s="104" t="str">
        <f>IF(
  AND(
    TRIM(A377)=TRIM(Enginuity!$A$1),
    TRIM(B377)=TRIM(Enginuity!$A$17),
    Q377&lt;&gt;"",
    Q377&lt;&gt;0,
    OR(
      TRIM(C377)=TRIM(Enginuity!$A$18),
      AND(UPPER(TRIM(M377))="STD", TRIM(B377)=TRIM(Enginuity!$A$17))
    ),
    OR(
      AND(LEFT(P377,5)="1-Way", Enginuity!$B$13=1),
      AND(LEFT(P377,5)="2-Way", OR(Enginuity!$B$13=2, Enginuity!$B$13=4)),
      AND(LEFT(P377,5)="3-Way", OR(Enginuity!$B$13=3, Enginuity!$B$13=6)),
      AND(P377="Inner Centre Jamb", OR(Enginuity!$B$13=4, Enginuity!$B$13=6)),
      AND(
        LEFT(P377,5)&lt;&gt;"1-Way",
        LEFT(P377,5)&lt;&gt;"2-Way",
        LEFT(P377,5)&lt;&gt;"3-Way",
        P377&lt;&gt;"Inner Centre Jamb"
      )
    ),
    IF(OR(Enginuity!$A$1="Frameless Glass",Enginuity!$A$1="Metal Work"),
      AND(TRIM(B377)=TRIM(Enginuity!$A$17),TRIM(C377)=TRIM(Enginuity!$A$18)),
      TRIM(B377)=TRIM(Enginuity!$A$17)
    )
  ),
  ROW(),
  ""
)</f>
        <v/>
      </c>
      <c r="AY377" s="79">
        <f t="shared" si="6"/>
        <v>1.1000000000000001</v>
      </c>
      <c r="AZ377" s="5">
        <v>11</v>
      </c>
      <c r="BA377" t="s">
        <v>1228</v>
      </c>
      <c r="BB377" s="5">
        <f t="shared" si="7"/>
        <v>12.100000000000001</v>
      </c>
    </row>
    <row r="378" spans="1:54" x14ac:dyDescent="0.25">
      <c r="A378" s="10" t="s">
        <v>254</v>
      </c>
      <c r="B378" s="229" t="s">
        <v>231</v>
      </c>
      <c r="C378" s="10"/>
      <c r="D378" s="14"/>
      <c r="E378" s="157"/>
      <c r="F378" s="10"/>
      <c r="G378" s="17"/>
      <c r="H378" s="10"/>
      <c r="I378" s="17"/>
      <c r="J378" s="83"/>
      <c r="K378" s="343"/>
      <c r="L378" s="347"/>
      <c r="M378" s="89">
        <v>34</v>
      </c>
      <c r="N378" s="10"/>
      <c r="O378" s="22"/>
      <c r="P378" s="36"/>
      <c r="Q378" s="83"/>
      <c r="U378" s="104" t="str">
        <f>IF(
  AND(
    TRIM(A378)=TRIM(Enginuity!$A$1),
    TRIM(B378)=TRIM(Enginuity!$A$17),
    Q378&lt;&gt;"",
    Q378&lt;&gt;0,
    OR(
      TRIM(C378)=TRIM(Enginuity!$A$18),
      AND(UPPER(TRIM(M378))="STD", TRIM(B378)=TRIM(Enginuity!$A$17))
    ),
    OR(
      AND(LEFT(P378,5)="1-Way", Enginuity!$B$13=1),
      AND(LEFT(P378,5)="2-Way", OR(Enginuity!$B$13=2, Enginuity!$B$13=4)),
      AND(LEFT(P378,5)="3-Way", OR(Enginuity!$B$13=3, Enginuity!$B$13=6)),
      AND(P378="Inner Centre Jamb", OR(Enginuity!$B$13=4, Enginuity!$B$13=6)),
      AND(
        LEFT(P378,5)&lt;&gt;"1-Way",
        LEFT(P378,5)&lt;&gt;"2-Way",
        LEFT(P378,5)&lt;&gt;"3-Way",
        P378&lt;&gt;"Inner Centre Jamb"
      )
    ),
    IF(OR(Enginuity!$A$1="Frameless Glass",Enginuity!$A$1="Metal Work"),
      AND(TRIM(B378)=TRIM(Enginuity!$A$17),TRIM(C378)=TRIM(Enginuity!$A$18)),
      TRIM(B378)=TRIM(Enginuity!$A$17)
    )
  ),
  ROW(),
  ""
)</f>
        <v/>
      </c>
      <c r="AY378" s="79">
        <f t="shared" si="6"/>
        <v>1.1000000000000001</v>
      </c>
      <c r="AZ378" s="5">
        <v>12</v>
      </c>
      <c r="BA378" t="s">
        <v>1229</v>
      </c>
      <c r="BB378" s="5">
        <f t="shared" si="7"/>
        <v>13.200000000000001</v>
      </c>
    </row>
    <row r="379" spans="1:54" x14ac:dyDescent="0.25">
      <c r="A379" s="10" t="s">
        <v>254</v>
      </c>
      <c r="B379" s="229" t="s">
        <v>231</v>
      </c>
      <c r="C379" s="10"/>
      <c r="D379" s="14"/>
      <c r="E379" s="157"/>
      <c r="F379" s="10"/>
      <c r="G379" s="17"/>
      <c r="H379" s="10"/>
      <c r="I379" s="17"/>
      <c r="J379" s="83"/>
      <c r="K379" s="343"/>
      <c r="L379" s="347"/>
      <c r="M379" s="89">
        <v>35</v>
      </c>
      <c r="N379" s="10"/>
      <c r="O379" s="22"/>
      <c r="P379" s="36"/>
      <c r="Q379" s="83"/>
      <c r="U379" s="104" t="str">
        <f>IF(
  AND(
    TRIM(A379)=TRIM(Enginuity!$A$1),
    TRIM(B379)=TRIM(Enginuity!$A$17),
    Q379&lt;&gt;"",
    Q379&lt;&gt;0,
    OR(
      TRIM(C379)=TRIM(Enginuity!$A$18),
      AND(UPPER(TRIM(M379))="STD", TRIM(B379)=TRIM(Enginuity!$A$17))
    ),
    OR(
      AND(LEFT(P379,5)="1-Way", Enginuity!$B$13=1),
      AND(LEFT(P379,5)="2-Way", OR(Enginuity!$B$13=2, Enginuity!$B$13=4)),
      AND(LEFT(P379,5)="3-Way", OR(Enginuity!$B$13=3, Enginuity!$B$13=6)),
      AND(P379="Inner Centre Jamb", OR(Enginuity!$B$13=4, Enginuity!$B$13=6)),
      AND(
        LEFT(P379,5)&lt;&gt;"1-Way",
        LEFT(P379,5)&lt;&gt;"2-Way",
        LEFT(P379,5)&lt;&gt;"3-Way",
        P379&lt;&gt;"Inner Centre Jamb"
      )
    ),
    IF(OR(Enginuity!$A$1="Frameless Glass",Enginuity!$A$1="Metal Work"),
      AND(TRIM(B379)=TRIM(Enginuity!$A$17),TRIM(C379)=TRIM(Enginuity!$A$18)),
      TRIM(B379)=TRIM(Enginuity!$A$17)
    )
  ),
  ROW(),
  ""
)</f>
        <v/>
      </c>
      <c r="AY379" s="79">
        <f t="shared" ref="AY379:AY410" si="8">AY378</f>
        <v>1.1000000000000001</v>
      </c>
      <c r="AZ379" s="5">
        <v>15</v>
      </c>
      <c r="BA379" t="s">
        <v>1230</v>
      </c>
      <c r="BB379" s="5">
        <f t="shared" si="7"/>
        <v>16.5</v>
      </c>
    </row>
    <row r="380" spans="1:54" x14ac:dyDescent="0.25">
      <c r="A380" s="10" t="s">
        <v>254</v>
      </c>
      <c r="B380" s="229" t="s">
        <v>231</v>
      </c>
      <c r="C380" s="10"/>
      <c r="D380" s="14"/>
      <c r="E380" s="157"/>
      <c r="F380" s="10"/>
      <c r="G380" s="17"/>
      <c r="H380" s="10"/>
      <c r="I380" s="17"/>
      <c r="J380" s="83"/>
      <c r="K380" s="343"/>
      <c r="L380" s="347"/>
      <c r="M380" s="89">
        <v>36</v>
      </c>
      <c r="N380" s="10"/>
      <c r="O380" s="22"/>
      <c r="P380" s="36"/>
      <c r="Q380" s="83"/>
      <c r="U380" s="104" t="str">
        <f>IF(
  AND(
    TRIM(A380)=TRIM(Enginuity!$A$1),
    TRIM(B380)=TRIM(Enginuity!$A$17),
    Q380&lt;&gt;"",
    Q380&lt;&gt;0,
    OR(
      TRIM(C380)=TRIM(Enginuity!$A$18),
      AND(UPPER(TRIM(M380))="STD", TRIM(B380)=TRIM(Enginuity!$A$17))
    ),
    OR(
      AND(LEFT(P380,5)="1-Way", Enginuity!$B$13=1),
      AND(LEFT(P380,5)="2-Way", OR(Enginuity!$B$13=2, Enginuity!$B$13=4)),
      AND(LEFT(P380,5)="3-Way", OR(Enginuity!$B$13=3, Enginuity!$B$13=6)),
      AND(P380="Inner Centre Jamb", OR(Enginuity!$B$13=4, Enginuity!$B$13=6)),
      AND(
        LEFT(P380,5)&lt;&gt;"1-Way",
        LEFT(P380,5)&lt;&gt;"2-Way",
        LEFT(P380,5)&lt;&gt;"3-Way",
        P380&lt;&gt;"Inner Centre Jamb"
      )
    ),
    IF(OR(Enginuity!$A$1="Frameless Glass",Enginuity!$A$1="Metal Work"),
      AND(TRIM(B380)=TRIM(Enginuity!$A$17),TRIM(C380)=TRIM(Enginuity!$A$18)),
      TRIM(B380)=TRIM(Enginuity!$A$17)
    )
  ),
  ROW(),
  ""
)</f>
        <v/>
      </c>
      <c r="AY380" s="79">
        <f t="shared" si="8"/>
        <v>1.1000000000000001</v>
      </c>
      <c r="AZ380" s="5">
        <v>16.5</v>
      </c>
      <c r="BA380" t="s">
        <v>1231</v>
      </c>
      <c r="BB380" s="5">
        <f t="shared" si="7"/>
        <v>18.150000000000002</v>
      </c>
    </row>
    <row r="381" spans="1:54" x14ac:dyDescent="0.25">
      <c r="A381" s="10" t="s">
        <v>254</v>
      </c>
      <c r="B381" s="229" t="s">
        <v>231</v>
      </c>
      <c r="C381" s="10"/>
      <c r="D381" s="14"/>
      <c r="E381" s="157"/>
      <c r="F381" s="10"/>
      <c r="G381" s="17"/>
      <c r="H381" s="10"/>
      <c r="I381" s="17"/>
      <c r="J381" s="83"/>
      <c r="K381" s="343"/>
      <c r="L381" s="347"/>
      <c r="M381" s="89">
        <v>37</v>
      </c>
      <c r="N381" s="10"/>
      <c r="O381" s="22"/>
      <c r="P381" s="36"/>
      <c r="Q381" s="83"/>
      <c r="U381" s="104" t="str">
        <f>IF(
  AND(
    TRIM(A381)=TRIM(Enginuity!$A$1),
    TRIM(B381)=TRIM(Enginuity!$A$17),
    Q381&lt;&gt;"",
    Q381&lt;&gt;0,
    OR(
      TRIM(C381)=TRIM(Enginuity!$A$18),
      AND(UPPER(TRIM(M381))="STD", TRIM(B381)=TRIM(Enginuity!$A$17))
    ),
    OR(
      AND(LEFT(P381,5)="1-Way", Enginuity!$B$13=1),
      AND(LEFT(P381,5)="2-Way", OR(Enginuity!$B$13=2, Enginuity!$B$13=4)),
      AND(LEFT(P381,5)="3-Way", OR(Enginuity!$B$13=3, Enginuity!$B$13=6)),
      AND(P381="Inner Centre Jamb", OR(Enginuity!$B$13=4, Enginuity!$B$13=6)),
      AND(
        LEFT(P381,5)&lt;&gt;"1-Way",
        LEFT(P381,5)&lt;&gt;"2-Way",
        LEFT(P381,5)&lt;&gt;"3-Way",
        P381&lt;&gt;"Inner Centre Jamb"
      )
    ),
    IF(OR(Enginuity!$A$1="Frameless Glass",Enginuity!$A$1="Metal Work"),
      AND(TRIM(B381)=TRIM(Enginuity!$A$17),TRIM(C381)=TRIM(Enginuity!$A$18)),
      TRIM(B381)=TRIM(Enginuity!$A$17)
    )
  ),
  ROW(),
  ""
)</f>
        <v/>
      </c>
      <c r="AY381" s="79">
        <f t="shared" si="8"/>
        <v>1.1000000000000001</v>
      </c>
      <c r="AZ381" s="5">
        <v>21</v>
      </c>
      <c r="BA381" t="s">
        <v>1232</v>
      </c>
      <c r="BB381" s="5">
        <f t="shared" si="7"/>
        <v>23.1</v>
      </c>
    </row>
    <row r="382" spans="1:54" x14ac:dyDescent="0.25">
      <c r="A382" s="10" t="s">
        <v>254</v>
      </c>
      <c r="B382" s="229" t="s">
        <v>231</v>
      </c>
      <c r="C382" s="10"/>
      <c r="D382" s="14"/>
      <c r="E382" s="157"/>
      <c r="F382" s="10"/>
      <c r="G382" s="17"/>
      <c r="H382" s="10"/>
      <c r="I382" s="17"/>
      <c r="J382" s="83"/>
      <c r="K382" s="343"/>
      <c r="L382" s="347"/>
      <c r="M382" s="89">
        <v>38</v>
      </c>
      <c r="N382" s="10"/>
      <c r="O382" s="22"/>
      <c r="P382" s="36"/>
      <c r="Q382" s="83"/>
      <c r="U382" s="104" t="str">
        <f>IF(
  AND(
    TRIM(A382)=TRIM(Enginuity!$A$1),
    TRIM(B382)=TRIM(Enginuity!$A$17),
    Q382&lt;&gt;"",
    Q382&lt;&gt;0,
    OR(
      TRIM(C382)=TRIM(Enginuity!$A$18),
      AND(UPPER(TRIM(M382))="STD", TRIM(B382)=TRIM(Enginuity!$A$17))
    ),
    OR(
      AND(LEFT(P382,5)="1-Way", Enginuity!$B$13=1),
      AND(LEFT(P382,5)="2-Way", OR(Enginuity!$B$13=2, Enginuity!$B$13=4)),
      AND(LEFT(P382,5)="3-Way", OR(Enginuity!$B$13=3, Enginuity!$B$13=6)),
      AND(P382="Inner Centre Jamb", OR(Enginuity!$B$13=4, Enginuity!$B$13=6)),
      AND(
        LEFT(P382,5)&lt;&gt;"1-Way",
        LEFT(P382,5)&lt;&gt;"2-Way",
        LEFT(P382,5)&lt;&gt;"3-Way",
        P382&lt;&gt;"Inner Centre Jamb"
      )
    ),
    IF(OR(Enginuity!$A$1="Frameless Glass",Enginuity!$A$1="Metal Work"),
      AND(TRIM(B382)=TRIM(Enginuity!$A$17),TRIM(C382)=TRIM(Enginuity!$A$18)),
      TRIM(B382)=TRIM(Enginuity!$A$17)
    )
  ),
  ROW(),
  ""
)</f>
        <v/>
      </c>
      <c r="AY382" s="79">
        <f t="shared" si="8"/>
        <v>1.1000000000000001</v>
      </c>
      <c r="AZ382" s="5">
        <v>25</v>
      </c>
      <c r="BA382" t="s">
        <v>1233</v>
      </c>
      <c r="BB382" s="5">
        <f t="shared" si="7"/>
        <v>27.500000000000004</v>
      </c>
    </row>
    <row r="383" spans="1:54" x14ac:dyDescent="0.25">
      <c r="A383" s="10" t="s">
        <v>254</v>
      </c>
      <c r="B383" s="229" t="s">
        <v>231</v>
      </c>
      <c r="C383" s="10"/>
      <c r="D383" s="14"/>
      <c r="E383" s="157"/>
      <c r="F383" s="10"/>
      <c r="G383" s="17"/>
      <c r="H383" s="10"/>
      <c r="I383" s="17"/>
      <c r="J383" s="83"/>
      <c r="K383" s="343"/>
      <c r="L383" s="347"/>
      <c r="M383" s="89">
        <v>39</v>
      </c>
      <c r="N383" s="10"/>
      <c r="O383" s="22"/>
      <c r="P383" s="21"/>
      <c r="Q383" s="83"/>
      <c r="U383" s="104" t="str">
        <f>IF(
  AND(
    TRIM(A383)=TRIM(Enginuity!$A$1),
    TRIM(B383)=TRIM(Enginuity!$A$17),
    Q383&lt;&gt;"",
    Q383&lt;&gt;0,
    OR(
      TRIM(C383)=TRIM(Enginuity!$A$18),
      AND(UPPER(TRIM(M383))="STD", TRIM(B383)=TRIM(Enginuity!$A$17))
    ),
    OR(
      AND(LEFT(P383,5)="1-Way", Enginuity!$B$13=1),
      AND(LEFT(P383,5)="2-Way", OR(Enginuity!$B$13=2, Enginuity!$B$13=4)),
      AND(LEFT(P383,5)="3-Way", OR(Enginuity!$B$13=3, Enginuity!$B$13=6)),
      AND(P383="Inner Centre Jamb", OR(Enginuity!$B$13=4, Enginuity!$B$13=6)),
      AND(
        LEFT(P383,5)&lt;&gt;"1-Way",
        LEFT(P383,5)&lt;&gt;"2-Way",
        LEFT(P383,5)&lt;&gt;"3-Way",
        P383&lt;&gt;"Inner Centre Jamb"
      )
    ),
    IF(OR(Enginuity!$A$1="Frameless Glass",Enginuity!$A$1="Metal Work"),
      AND(TRIM(B383)=TRIM(Enginuity!$A$17),TRIM(C383)=TRIM(Enginuity!$A$18)),
      TRIM(B383)=TRIM(Enginuity!$A$17)
    )
  ),
  ROW(),
  ""
)</f>
        <v/>
      </c>
      <c r="AY383" s="79">
        <f t="shared" si="8"/>
        <v>1.1000000000000001</v>
      </c>
      <c r="AZ383" s="5">
        <v>8.5</v>
      </c>
      <c r="BA383" t="s">
        <v>1234</v>
      </c>
      <c r="BB383" s="5">
        <f t="shared" si="7"/>
        <v>9.3500000000000014</v>
      </c>
    </row>
    <row r="384" spans="1:54" x14ac:dyDescent="0.25">
      <c r="A384" s="10" t="s">
        <v>254</v>
      </c>
      <c r="B384" s="229" t="s">
        <v>231</v>
      </c>
      <c r="C384" s="10"/>
      <c r="D384" s="14"/>
      <c r="E384" s="157"/>
      <c r="F384" s="10"/>
      <c r="G384" s="17"/>
      <c r="H384" s="10"/>
      <c r="I384" s="17"/>
      <c r="J384" s="83"/>
      <c r="K384" s="343"/>
      <c r="L384" s="347"/>
      <c r="M384" s="89">
        <v>40</v>
      </c>
      <c r="N384" s="10"/>
      <c r="O384" s="22"/>
      <c r="P384" s="14"/>
      <c r="Q384" s="83"/>
      <c r="U384" s="104" t="str">
        <f>IF(
  AND(
    TRIM(A384)=TRIM(Enginuity!$A$1),
    TRIM(B384)=TRIM(Enginuity!$A$17),
    Q384&lt;&gt;"",
    Q384&lt;&gt;0,
    OR(
      TRIM(C384)=TRIM(Enginuity!$A$18),
      AND(UPPER(TRIM(M384))="STD", TRIM(B384)=TRIM(Enginuity!$A$17))
    ),
    OR(
      AND(LEFT(P384,5)="1-Way", Enginuity!$B$13=1),
      AND(LEFT(P384,5)="2-Way", OR(Enginuity!$B$13=2, Enginuity!$B$13=4)),
      AND(LEFT(P384,5)="3-Way", OR(Enginuity!$B$13=3, Enginuity!$B$13=6)),
      AND(P384="Inner Centre Jamb", OR(Enginuity!$B$13=4, Enginuity!$B$13=6)),
      AND(
        LEFT(P384,5)&lt;&gt;"1-Way",
        LEFT(P384,5)&lt;&gt;"2-Way",
        LEFT(P384,5)&lt;&gt;"3-Way",
        P384&lt;&gt;"Inner Centre Jamb"
      )
    ),
    IF(OR(Enginuity!$A$1="Frameless Glass",Enginuity!$A$1="Metal Work"),
      AND(TRIM(B384)=TRIM(Enginuity!$A$17),TRIM(C384)=TRIM(Enginuity!$A$18)),
      TRIM(B384)=TRIM(Enginuity!$A$17)
    )
  ),
  ROW(),
  ""
)</f>
        <v/>
      </c>
      <c r="AY384" s="79">
        <f t="shared" si="8"/>
        <v>1.1000000000000001</v>
      </c>
      <c r="AZ384" s="5">
        <v>10.5</v>
      </c>
      <c r="BA384" t="s">
        <v>1235</v>
      </c>
      <c r="BB384" s="5">
        <f t="shared" si="7"/>
        <v>11.55</v>
      </c>
    </row>
    <row r="385" spans="1:54" x14ac:dyDescent="0.25">
      <c r="A385" s="10" t="s">
        <v>254</v>
      </c>
      <c r="B385" s="229" t="s">
        <v>231</v>
      </c>
      <c r="C385" s="10"/>
      <c r="D385" s="14"/>
      <c r="E385" s="157"/>
      <c r="F385" s="10"/>
      <c r="G385" s="17"/>
      <c r="H385" s="10"/>
      <c r="I385" s="17"/>
      <c r="J385" s="83"/>
      <c r="K385" s="343"/>
      <c r="L385" s="347"/>
      <c r="M385" s="89">
        <v>41</v>
      </c>
      <c r="N385" s="10"/>
      <c r="O385" s="22"/>
      <c r="P385" s="14"/>
      <c r="Q385" s="83"/>
      <c r="U385" s="104" t="str">
        <f>IF(
  AND(
    TRIM(A385)=TRIM(Enginuity!$A$1),
    TRIM(B385)=TRIM(Enginuity!$A$17),
    Q385&lt;&gt;"",
    Q385&lt;&gt;0,
    OR(
      TRIM(C385)=TRIM(Enginuity!$A$18),
      AND(UPPER(TRIM(M385))="STD", TRIM(B385)=TRIM(Enginuity!$A$17))
    ),
    OR(
      AND(LEFT(P385,5)="1-Way", Enginuity!$B$13=1),
      AND(LEFT(P385,5)="2-Way", OR(Enginuity!$B$13=2, Enginuity!$B$13=4)),
      AND(LEFT(P385,5)="3-Way", OR(Enginuity!$B$13=3, Enginuity!$B$13=6)),
      AND(P385="Inner Centre Jamb", OR(Enginuity!$B$13=4, Enginuity!$B$13=6)),
      AND(
        LEFT(P385,5)&lt;&gt;"1-Way",
        LEFT(P385,5)&lt;&gt;"2-Way",
        LEFT(P385,5)&lt;&gt;"3-Way",
        P385&lt;&gt;"Inner Centre Jamb"
      )
    ),
    IF(OR(Enginuity!$A$1="Frameless Glass",Enginuity!$A$1="Metal Work"),
      AND(TRIM(B385)=TRIM(Enginuity!$A$17),TRIM(C385)=TRIM(Enginuity!$A$18)),
      TRIM(B385)=TRIM(Enginuity!$A$17)
    )
  ),
  ROW(),
  ""
)</f>
        <v/>
      </c>
      <c r="AY385" s="79">
        <f t="shared" si="8"/>
        <v>1.1000000000000001</v>
      </c>
      <c r="AZ385" s="5">
        <v>11</v>
      </c>
      <c r="BA385" t="s">
        <v>1236</v>
      </c>
      <c r="BB385" s="5">
        <f t="shared" si="7"/>
        <v>12.100000000000001</v>
      </c>
    </row>
    <row r="386" spans="1:54" x14ac:dyDescent="0.25">
      <c r="A386" s="10" t="s">
        <v>254</v>
      </c>
      <c r="B386" s="229" t="s">
        <v>231</v>
      </c>
      <c r="C386" s="10"/>
      <c r="D386" s="14"/>
      <c r="E386" s="157"/>
      <c r="F386" s="10"/>
      <c r="G386" s="17"/>
      <c r="H386" s="10"/>
      <c r="I386" s="17"/>
      <c r="J386" s="83"/>
      <c r="K386" s="343"/>
      <c r="L386" s="347"/>
      <c r="M386" s="89">
        <v>42</v>
      </c>
      <c r="N386" s="10"/>
      <c r="O386" s="22"/>
      <c r="P386" s="14"/>
      <c r="Q386" s="83"/>
      <c r="U386" s="104" t="str">
        <f>IF(
  AND(
    TRIM(A386)=TRIM(Enginuity!$A$1),
    TRIM(B386)=TRIM(Enginuity!$A$17),
    Q386&lt;&gt;"",
    Q386&lt;&gt;0,
    OR(
      TRIM(C386)=TRIM(Enginuity!$A$18),
      AND(UPPER(TRIM(M386))="STD", TRIM(B386)=TRIM(Enginuity!$A$17))
    ),
    OR(
      AND(LEFT(P386,5)="1-Way", Enginuity!$B$13=1),
      AND(LEFT(P386,5)="2-Way", OR(Enginuity!$B$13=2, Enginuity!$B$13=4)),
      AND(LEFT(P386,5)="3-Way", OR(Enginuity!$B$13=3, Enginuity!$B$13=6)),
      AND(P386="Inner Centre Jamb", OR(Enginuity!$B$13=4, Enginuity!$B$13=6)),
      AND(
        LEFT(P386,5)&lt;&gt;"1-Way",
        LEFT(P386,5)&lt;&gt;"2-Way",
        LEFT(P386,5)&lt;&gt;"3-Way",
        P386&lt;&gt;"Inner Centre Jamb"
      )
    ),
    IF(OR(Enginuity!$A$1="Frameless Glass",Enginuity!$A$1="Metal Work"),
      AND(TRIM(B386)=TRIM(Enginuity!$A$17),TRIM(C386)=TRIM(Enginuity!$A$18)),
      TRIM(B386)=TRIM(Enginuity!$A$17)
    )
  ),
  ROW(),
  ""
)</f>
        <v/>
      </c>
      <c r="AY386" s="79">
        <f t="shared" si="8"/>
        <v>1.1000000000000001</v>
      </c>
      <c r="AZ386" s="5">
        <v>12</v>
      </c>
      <c r="BA386" t="s">
        <v>1237</v>
      </c>
      <c r="BB386" s="5">
        <f t="shared" si="7"/>
        <v>13.200000000000001</v>
      </c>
    </row>
    <row r="387" spans="1:54" x14ac:dyDescent="0.25">
      <c r="A387" s="10" t="s">
        <v>254</v>
      </c>
      <c r="B387" s="229" t="s">
        <v>231</v>
      </c>
      <c r="C387" s="10"/>
      <c r="D387" s="14"/>
      <c r="E387" s="157"/>
      <c r="F387" s="10"/>
      <c r="G387" s="17"/>
      <c r="H387" s="10"/>
      <c r="I387" s="17"/>
      <c r="J387" s="83"/>
      <c r="K387" s="343"/>
      <c r="L387" s="347"/>
      <c r="M387" s="89">
        <v>43</v>
      </c>
      <c r="N387" s="88"/>
      <c r="O387" s="22"/>
      <c r="P387" s="36"/>
      <c r="Q387" s="83"/>
      <c r="U387" s="104" t="str">
        <f>IF(
  AND(
    TRIM(A387)=TRIM(Enginuity!$A$1),
    TRIM(B387)=TRIM(Enginuity!$A$17),
    Q387&lt;&gt;"",
    Q387&lt;&gt;0,
    OR(
      TRIM(C387)=TRIM(Enginuity!$A$18),
      AND(UPPER(TRIM(M387))="STD", TRIM(B387)=TRIM(Enginuity!$A$17))
    ),
    OR(
      AND(LEFT(P387,5)="1-Way", Enginuity!$B$13=1),
      AND(LEFT(P387,5)="2-Way", OR(Enginuity!$B$13=2, Enginuity!$B$13=4)),
      AND(LEFT(P387,5)="3-Way", OR(Enginuity!$B$13=3, Enginuity!$B$13=6)),
      AND(P387="Inner Centre Jamb", OR(Enginuity!$B$13=4, Enginuity!$B$13=6)),
      AND(
        LEFT(P387,5)&lt;&gt;"1-Way",
        LEFT(P387,5)&lt;&gt;"2-Way",
        LEFT(P387,5)&lt;&gt;"3-Way",
        P387&lt;&gt;"Inner Centre Jamb"
      )
    ),
    IF(OR(Enginuity!$A$1="Frameless Glass",Enginuity!$A$1="Metal Work"),
      AND(TRIM(B387)=TRIM(Enginuity!$A$17),TRIM(C387)=TRIM(Enginuity!$A$18)),
      TRIM(B387)=TRIM(Enginuity!$A$17)
    )
  ),
  ROW(),
  ""
)</f>
        <v/>
      </c>
      <c r="AY387" s="79">
        <f t="shared" si="8"/>
        <v>1.1000000000000001</v>
      </c>
      <c r="AZ387" s="5">
        <v>13</v>
      </c>
      <c r="BA387" t="s">
        <v>1238</v>
      </c>
      <c r="BB387" s="5">
        <f t="shared" si="7"/>
        <v>14.3</v>
      </c>
    </row>
    <row r="388" spans="1:54" x14ac:dyDescent="0.25">
      <c r="A388" s="10" t="s">
        <v>254</v>
      </c>
      <c r="B388" s="229" t="s">
        <v>231</v>
      </c>
      <c r="C388" s="10"/>
      <c r="D388" s="14"/>
      <c r="E388" s="157"/>
      <c r="F388" s="10"/>
      <c r="G388" s="17"/>
      <c r="H388" s="10"/>
      <c r="I388" s="17"/>
      <c r="J388" s="83"/>
      <c r="K388" s="343"/>
      <c r="L388" s="347"/>
      <c r="M388" s="89">
        <v>44</v>
      </c>
      <c r="N388" s="10"/>
      <c r="O388" s="22"/>
      <c r="P388" s="14"/>
      <c r="Q388" s="83"/>
      <c r="U388" s="104" t="str">
        <f>IF(
  AND(
    TRIM(A388)=TRIM(Enginuity!$A$1),
    TRIM(B388)=TRIM(Enginuity!$A$17),
    Q388&lt;&gt;"",
    Q388&lt;&gt;0,
    OR(
      TRIM(C388)=TRIM(Enginuity!$A$18),
      AND(UPPER(TRIM(M388))="STD", TRIM(B388)=TRIM(Enginuity!$A$17))
    ),
    OR(
      AND(LEFT(P388,5)="1-Way", Enginuity!$B$13=1),
      AND(LEFT(P388,5)="2-Way", OR(Enginuity!$B$13=2, Enginuity!$B$13=4)),
      AND(LEFT(P388,5)="3-Way", OR(Enginuity!$B$13=3, Enginuity!$B$13=6)),
      AND(P388="Inner Centre Jamb", OR(Enginuity!$B$13=4, Enginuity!$B$13=6)),
      AND(
        LEFT(P388,5)&lt;&gt;"1-Way",
        LEFT(P388,5)&lt;&gt;"2-Way",
        LEFT(P388,5)&lt;&gt;"3-Way",
        P388&lt;&gt;"Inner Centre Jamb"
      )
    ),
    IF(OR(Enginuity!$A$1="Frameless Glass",Enginuity!$A$1="Metal Work"),
      AND(TRIM(B388)=TRIM(Enginuity!$A$17),TRIM(C388)=TRIM(Enginuity!$A$18)),
      TRIM(B388)=TRIM(Enginuity!$A$17)
    )
  ),
  ROW(),
  ""
)</f>
        <v/>
      </c>
      <c r="AY388" s="79">
        <f t="shared" si="8"/>
        <v>1.1000000000000001</v>
      </c>
      <c r="AZ388" s="5">
        <v>16</v>
      </c>
      <c r="BA388" t="s">
        <v>1239</v>
      </c>
      <c r="BB388" s="5">
        <f t="shared" si="7"/>
        <v>17.600000000000001</v>
      </c>
    </row>
    <row r="389" spans="1:54" x14ac:dyDescent="0.25">
      <c r="A389" s="10" t="s">
        <v>254</v>
      </c>
      <c r="B389" s="229" t="s">
        <v>231</v>
      </c>
      <c r="C389" s="10"/>
      <c r="D389" s="14"/>
      <c r="E389" s="157"/>
      <c r="F389" s="10"/>
      <c r="G389" s="17"/>
      <c r="H389" s="10"/>
      <c r="I389" s="17"/>
      <c r="J389" s="83"/>
      <c r="K389" s="343"/>
      <c r="L389" s="347"/>
      <c r="M389" s="10" t="s">
        <v>117</v>
      </c>
      <c r="N389" s="10" t="s">
        <v>121</v>
      </c>
      <c r="O389" s="22" t="str">
        <f>$O$2</f>
        <v/>
      </c>
      <c r="P389" s="21" t="str">
        <f>Enginuity!$A$19</f>
        <v>W/G</v>
      </c>
      <c r="Q389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389" s="104" t="str">
        <f>IF(
  AND(
    TRIM(A389)=TRIM(Enginuity!$A$1),
    TRIM(B389)=TRIM(Enginuity!$A$17),
    Q389&lt;&gt;"",
    Q389&lt;&gt;0,
    OR(
      TRIM(C389)=TRIM(Enginuity!$A$18),
      AND(UPPER(TRIM(M389))="STD", TRIM(B389)=TRIM(Enginuity!$A$17))
    ),
    OR(
      AND(LEFT(P389,5)="1-Way", Enginuity!$B$13=1),
      AND(LEFT(P389,5)="2-Way", OR(Enginuity!$B$13=2, Enginuity!$B$13=4)),
      AND(LEFT(P389,5)="3-Way", OR(Enginuity!$B$13=3, Enginuity!$B$13=6)),
      AND(P389="Inner Centre Jamb", OR(Enginuity!$B$13=4, Enginuity!$B$13=6)),
      AND(
        LEFT(P389,5)&lt;&gt;"1-Way",
        LEFT(P389,5)&lt;&gt;"2-Way",
        LEFT(P389,5)&lt;&gt;"3-Way",
        P389&lt;&gt;"Inner Centre Jamb"
      )
    ),
    IF(OR(Enginuity!$A$1="Frameless Glass",Enginuity!$A$1="Metal Work"),
      AND(TRIM(B389)=TRIM(Enginuity!$A$17),TRIM(C389)=TRIM(Enginuity!$A$18)),
      TRIM(B389)=TRIM(Enginuity!$A$17)
    )
  ),
  ROW(),
  ""
)</f>
        <v/>
      </c>
      <c r="AY389" s="79">
        <f t="shared" si="8"/>
        <v>1.1000000000000001</v>
      </c>
      <c r="AZ389" s="5">
        <v>17.5</v>
      </c>
      <c r="BA389" t="s">
        <v>1240</v>
      </c>
      <c r="BB389" s="5">
        <f t="shared" si="7"/>
        <v>19.25</v>
      </c>
    </row>
    <row r="390" spans="1:54" x14ac:dyDescent="0.25">
      <c r="A390" s="10" t="s">
        <v>254</v>
      </c>
      <c r="B390" s="229" t="s">
        <v>231</v>
      </c>
      <c r="C390" s="10"/>
      <c r="D390" s="14"/>
      <c r="E390" s="157"/>
      <c r="F390" s="10"/>
      <c r="G390" s="17"/>
      <c r="H390" s="10"/>
      <c r="I390" s="17"/>
      <c r="J390" s="83"/>
      <c r="K390" s="343"/>
      <c r="L390" s="347"/>
      <c r="M390" s="10" t="s">
        <v>117</v>
      </c>
      <c r="N390" s="10" t="s">
        <v>103</v>
      </c>
      <c r="O390" s="22">
        <v>0.20379744565899399</v>
      </c>
      <c r="P390" s="14" t="s">
        <v>272</v>
      </c>
      <c r="Q390" s="83">
        <f>IF(AND(Enginuity!$B$6&gt;0, Enginuity!$B$7&gt;0, Enginuity!$B$13&gt;0), ((2*Enginuity!$B$7*Enginuity!$B$13)+(2*Enginuity!$B$6))*2, "")</f>
        <v>444</v>
      </c>
      <c r="U390" s="104" t="str">
        <f>IF(
  AND(
    TRIM(A390)=TRIM(Enginuity!$A$1),
    TRIM(B390)=TRIM(Enginuity!$A$17),
    Q390&lt;&gt;"",
    Q390&lt;&gt;0,
    OR(
      TRIM(C390)=TRIM(Enginuity!$A$18),
      AND(UPPER(TRIM(M390))="STD", TRIM(B390)=TRIM(Enginuity!$A$17))
    ),
    OR(
      AND(LEFT(P390,5)="1-Way", Enginuity!$B$13=1),
      AND(LEFT(P390,5)="2-Way", OR(Enginuity!$B$13=2, Enginuity!$B$13=4)),
      AND(LEFT(P390,5)="3-Way", OR(Enginuity!$B$13=3, Enginuity!$B$13=6)),
      AND(P390="Inner Centre Jamb", OR(Enginuity!$B$13=4, Enginuity!$B$13=6)),
      AND(
        LEFT(P390,5)&lt;&gt;"1-Way",
        LEFT(P390,5)&lt;&gt;"2-Way",
        LEFT(P390,5)&lt;&gt;"3-Way",
        P390&lt;&gt;"Inner Centre Jamb"
      )
    ),
    IF(OR(Enginuity!$A$1="Frameless Glass",Enginuity!$A$1="Metal Work"),
      AND(TRIM(B390)=TRIM(Enginuity!$A$17),TRIM(C390)=TRIM(Enginuity!$A$18)),
      TRIM(B390)=TRIM(Enginuity!$A$17)
    )
  ),
  ROW(),
  ""
)</f>
        <v/>
      </c>
      <c r="AY390" s="79">
        <f t="shared" si="8"/>
        <v>1.1000000000000001</v>
      </c>
      <c r="AZ390" s="5">
        <v>22</v>
      </c>
      <c r="BA390" t="s">
        <v>1241</v>
      </c>
      <c r="BB390" s="5">
        <f t="shared" si="7"/>
        <v>24.200000000000003</v>
      </c>
    </row>
    <row r="391" spans="1:54" x14ac:dyDescent="0.25">
      <c r="A391" s="10" t="s">
        <v>254</v>
      </c>
      <c r="B391" s="229" t="s">
        <v>231</v>
      </c>
      <c r="C391" s="10"/>
      <c r="D391" s="14"/>
      <c r="E391" s="157"/>
      <c r="F391" s="10"/>
      <c r="G391" s="17"/>
      <c r="H391" s="10"/>
      <c r="I391" s="17"/>
      <c r="J391" s="83"/>
      <c r="K391" s="343"/>
      <c r="L391" s="347"/>
      <c r="M391" s="10" t="s">
        <v>117</v>
      </c>
      <c r="N391" s="10" t="s">
        <v>103</v>
      </c>
      <c r="O391" s="22">
        <v>0.12</v>
      </c>
      <c r="P391" s="14" t="s">
        <v>273</v>
      </c>
      <c r="Q391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576</v>
      </c>
      <c r="U391" s="104" t="str">
        <f>IF(
  AND(
    TRIM(A391)=TRIM(Enginuity!$A$1),
    TRIM(B391)=TRIM(Enginuity!$A$17),
    Q391&lt;&gt;"",
    Q391&lt;&gt;0,
    OR(
      TRIM(C391)=TRIM(Enginuity!$A$18),
      AND(UPPER(TRIM(M391))="STD", TRIM(B391)=TRIM(Enginuity!$A$17))
    ),
    OR(
      AND(LEFT(P391,5)="1-Way", Enginuity!$B$13=1),
      AND(LEFT(P391,5)="2-Way", OR(Enginuity!$B$13=2, Enginuity!$B$13=4)),
      AND(LEFT(P391,5)="3-Way", OR(Enginuity!$B$13=3, Enginuity!$B$13=6)),
      AND(P391="Inner Centre Jamb", OR(Enginuity!$B$13=4, Enginuity!$B$13=6)),
      AND(
        LEFT(P391,5)&lt;&gt;"1-Way",
        LEFT(P391,5)&lt;&gt;"2-Way",
        LEFT(P391,5)&lt;&gt;"3-Way",
        P391&lt;&gt;"Inner Centre Jamb"
      )
    ),
    IF(OR(Enginuity!$A$1="Frameless Glass",Enginuity!$A$1="Metal Work"),
      AND(TRIM(B391)=TRIM(Enginuity!$A$17),TRIM(C391)=TRIM(Enginuity!$A$18)),
      TRIM(B391)=TRIM(Enginuity!$A$17)
    )
  ),
  ROW(),
  ""
)</f>
        <v/>
      </c>
      <c r="AY391" s="79">
        <f t="shared" si="8"/>
        <v>1.1000000000000001</v>
      </c>
      <c r="AZ391" s="5">
        <v>26</v>
      </c>
      <c r="BA391" t="s">
        <v>1242</v>
      </c>
      <c r="BB391" s="5">
        <f t="shared" si="7"/>
        <v>28.6</v>
      </c>
    </row>
    <row r="392" spans="1:54" x14ac:dyDescent="0.25">
      <c r="A392" s="10" t="s">
        <v>254</v>
      </c>
      <c r="B392" s="229" t="s">
        <v>231</v>
      </c>
      <c r="C392" s="10"/>
      <c r="D392" s="14"/>
      <c r="E392" s="157"/>
      <c r="F392" s="10"/>
      <c r="G392" s="17"/>
      <c r="H392" s="10"/>
      <c r="I392" s="17"/>
      <c r="J392" s="83"/>
      <c r="K392" s="343"/>
      <c r="L392" s="347"/>
      <c r="M392" s="10" t="s">
        <v>117</v>
      </c>
      <c r="N392" s="10" t="s">
        <v>112</v>
      </c>
      <c r="O392" s="22">
        <v>1.4</v>
      </c>
      <c r="P392" s="14" t="s">
        <v>113</v>
      </c>
      <c r="Q392" s="83" t="str">
        <f>IF(
  TRIM(Enginuity!$A$21)="1'H X ?'W X Qty Panel Top Hung (Casement Profile)",
  Enginuity!$B$13,
  ""
)</f>
        <v/>
      </c>
      <c r="U392" s="104" t="str">
        <f>IF(
  AND(
    TRIM(A392)=TRIM(Enginuity!$A$1),
    TRIM(B392)=TRIM(Enginuity!$A$17),
    Q392&lt;&gt;"",
    Q392&lt;&gt;0,
    OR(
      TRIM(C392)=TRIM(Enginuity!$A$18),
      AND(UPPER(TRIM(M392))="STD", TRIM(B392)=TRIM(Enginuity!$A$17))
    ),
    OR(
      AND(LEFT(P392,5)="1-Way", Enginuity!$B$13=1),
      AND(LEFT(P392,5)="2-Way", OR(Enginuity!$B$13=2, Enginuity!$B$13=4)),
      AND(LEFT(P392,5)="3-Way", OR(Enginuity!$B$13=3, Enginuity!$B$13=6)),
      AND(P392="Inner Centre Jamb", OR(Enginuity!$B$13=4, Enginuity!$B$13=6)),
      AND(
        LEFT(P392,5)&lt;&gt;"1-Way",
        LEFT(P392,5)&lt;&gt;"2-Way",
        LEFT(P392,5)&lt;&gt;"3-Way",
        P392&lt;&gt;"Inner Centre Jamb"
      )
    ),
    IF(OR(Enginuity!$A$1="Frameless Glass",Enginuity!$A$1="Metal Work"),
      AND(TRIM(B392)=TRIM(Enginuity!$A$17),TRIM(C392)=TRIM(Enginuity!$A$18)),
      TRIM(B392)=TRIM(Enginuity!$A$17)
    )
  ),
  ROW(),
  ""
)</f>
        <v/>
      </c>
      <c r="AY392" s="79">
        <f t="shared" si="8"/>
        <v>1.1000000000000001</v>
      </c>
      <c r="AZ392" s="5">
        <v>9.5</v>
      </c>
      <c r="BA392" t="s">
        <v>1243</v>
      </c>
      <c r="BB392" s="5">
        <f t="shared" si="7"/>
        <v>10.450000000000001</v>
      </c>
    </row>
    <row r="393" spans="1:54" x14ac:dyDescent="0.25">
      <c r="A393" s="17" t="s">
        <v>254</v>
      </c>
      <c r="B393" s="230" t="s">
        <v>231</v>
      </c>
      <c r="C393" s="17"/>
      <c r="D393" s="18"/>
      <c r="E393" s="238"/>
      <c r="F393" s="17"/>
      <c r="G393" s="17"/>
      <c r="H393" s="10"/>
      <c r="I393" s="17"/>
      <c r="J393" s="83"/>
      <c r="K393" s="343"/>
      <c r="L393" s="347"/>
      <c r="M393" s="17" t="s">
        <v>117</v>
      </c>
      <c r="N393" s="91" t="s">
        <v>111</v>
      </c>
      <c r="O393" s="25">
        <v>4.5</v>
      </c>
      <c r="P393" s="92" t="s">
        <v>124</v>
      </c>
      <c r="Q393" s="84" t="str">
        <f>IF(
  TRIM(Enginuity!$A$21)="1'H X ?'W X Qty Panel Top Hung (Casement Profile)",
  Enginuity!$B$13,
  ""
)</f>
        <v/>
      </c>
      <c r="U393" s="104" t="str">
        <f>IF(
  AND(
    TRIM(A393)=TRIM(Enginuity!$A$1),
    TRIM(B393)=TRIM(Enginuity!$A$17),
    Q393&lt;&gt;"",
    Q393&lt;&gt;0,
    OR(
      TRIM(C393)=TRIM(Enginuity!$A$18),
      AND(UPPER(TRIM(M393))="STD", TRIM(B393)=TRIM(Enginuity!$A$17))
    ),
    OR(
      AND(LEFT(P393,5)="1-Way", Enginuity!$B$13=1),
      AND(LEFT(P393,5)="2-Way", OR(Enginuity!$B$13=2, Enginuity!$B$13=4)),
      AND(LEFT(P393,5)="3-Way", OR(Enginuity!$B$13=3, Enginuity!$B$13=6)),
      AND(P393="Inner Centre Jamb", OR(Enginuity!$B$13=4, Enginuity!$B$13=6)),
      AND(
        LEFT(P393,5)&lt;&gt;"1-Way",
        LEFT(P393,5)&lt;&gt;"2-Way",
        LEFT(P393,5)&lt;&gt;"3-Way",
        P393&lt;&gt;"Inner Centre Jamb"
      )
    ),
    IF(OR(Enginuity!$A$1="Frameless Glass",Enginuity!$A$1="Metal Work"),
      AND(TRIM(B393)=TRIM(Enginuity!$A$17),TRIM(C393)=TRIM(Enginuity!$A$18)),
      TRIM(B393)=TRIM(Enginuity!$A$17)
    )
  ),
  ROW(),
  ""
)</f>
        <v/>
      </c>
      <c r="AY393" s="79">
        <f t="shared" si="8"/>
        <v>1.1000000000000001</v>
      </c>
      <c r="AZ393" s="5">
        <v>11.5</v>
      </c>
      <c r="BA393" t="s">
        <v>1244</v>
      </c>
      <c r="BB393" s="5">
        <f t="shared" si="7"/>
        <v>12.65</v>
      </c>
    </row>
    <row r="394" spans="1:54" x14ac:dyDescent="0.25">
      <c r="A394" s="10" t="s">
        <v>254</v>
      </c>
      <c r="B394" s="229" t="s">
        <v>232</v>
      </c>
      <c r="C394" s="10" t="s">
        <v>107</v>
      </c>
      <c r="D394" s="14" t="str" cm="1">
        <f t="array" ref="D394:D403">IFERROR(INDEX(_xlfn._xlws.FILTER(AllMaterialsbak!$BA$2:$BA$30, AllMaterialsbak!$BA$2:$BA$30&lt;&gt;""), _xlfn.SEQUENCE(10)), "")</f>
        <v>Default</v>
      </c>
      <c r="E394" s="157" t="s">
        <v>257</v>
      </c>
      <c r="F394" s="14" t="s">
        <v>352</v>
      </c>
      <c r="G394" s="17" t="s">
        <v>934</v>
      </c>
      <c r="H394" s="10"/>
      <c r="I394" s="17"/>
      <c r="J394" s="83"/>
      <c r="K394" s="344">
        <v>0.52</v>
      </c>
      <c r="L394" s="347">
        <v>762</v>
      </c>
      <c r="M394" s="89">
        <v>1</v>
      </c>
      <c r="N394" s="10" t="s">
        <v>103</v>
      </c>
      <c r="O394" s="22">
        <v>7.6</v>
      </c>
      <c r="P394" s="86" t="str">
        <f>$P$2</f>
        <v>Outer Frame W X H</v>
      </c>
      <c r="Q394" s="83">
        <f>$Q$2</f>
        <v>66</v>
      </c>
      <c r="U394" s="104" t="str">
        <f>IF(
  AND(
    TRIM(A394)=TRIM(Enginuity!$A$1),
    TRIM(B394)=TRIM(Enginuity!$A$17),
    Q394&lt;&gt;"",
    Q394&lt;&gt;0,
    OR(
      TRIM(C394)=TRIM(Enginuity!$A$18),
      AND(UPPER(TRIM(M394))="STD", TRIM(B394)=TRIM(Enginuity!$A$17))
    ),
    OR(
      AND(LEFT(P394,5)="1-Way", Enginuity!$B$13=1),
      AND(LEFT(P394,5)="2-Way", OR(Enginuity!$B$13=2, Enginuity!$B$13=4)),
      AND(LEFT(P394,5)="3-Way", OR(Enginuity!$B$13=3, Enginuity!$B$13=6)),
      AND(P394="Inner Centre Jamb", OR(Enginuity!$B$13=4, Enginuity!$B$13=6)),
      AND(
        LEFT(P394,5)&lt;&gt;"1-Way",
        LEFT(P394,5)&lt;&gt;"2-Way",
        LEFT(P394,5)&lt;&gt;"3-Way",
        P394&lt;&gt;"Inner Centre Jamb"
      )
    ),
    IF(OR(Enginuity!$A$1="Frameless Glass",Enginuity!$A$1="Metal Work"),
      AND(TRIM(B394)=TRIM(Enginuity!$A$17),TRIM(C394)=TRIM(Enginuity!$A$18)),
      TRIM(B394)=TRIM(Enginuity!$A$17)
    )
  ),
  ROW(),
  ""
)</f>
        <v/>
      </c>
      <c r="AY394" s="79">
        <f t="shared" si="8"/>
        <v>1.1000000000000001</v>
      </c>
      <c r="AZ394" s="5">
        <v>12</v>
      </c>
      <c r="BA394" t="s">
        <v>1245</v>
      </c>
      <c r="BB394" s="5">
        <f t="shared" si="7"/>
        <v>13.200000000000001</v>
      </c>
    </row>
    <row r="395" spans="1:54" x14ac:dyDescent="0.25">
      <c r="A395" s="10" t="s">
        <v>254</v>
      </c>
      <c r="B395" s="229" t="s">
        <v>232</v>
      </c>
      <c r="C395" s="10" t="s">
        <v>107</v>
      </c>
      <c r="D395" s="14" t="str">
        <v xml:space="preserve">2" Louver Blade N/A </v>
      </c>
      <c r="E395" s="157" t="s">
        <v>269</v>
      </c>
      <c r="F395" s="14"/>
      <c r="G395" s="17"/>
      <c r="H395" s="10"/>
      <c r="I395" s="17"/>
      <c r="J395" s="83"/>
      <c r="K395" s="343"/>
      <c r="L395" s="347"/>
      <c r="M395" s="89">
        <v>2</v>
      </c>
      <c r="N395" s="10" t="s">
        <v>103</v>
      </c>
      <c r="O395" s="22">
        <v>7.6</v>
      </c>
      <c r="P395" s="21" t="str">
        <f>$P$4</f>
        <v>Single Horizontal Mullion ↔</v>
      </c>
      <c r="Q395" s="83">
        <f>IF(Enginuity!$B$7&gt;16, "",
  IF(Enginuity!$B$7&gt;12, 3*Enginuity!$B$6,
    IF(Enginuity!$B$7&gt;=11, 2*Enginuity!$B$6,
      IF(Enginuity!$B$7&gt;7, Enginuity!$B$6, "")
    )
  )
)</f>
        <v>60</v>
      </c>
      <c r="U395" s="104" t="str">
        <f>IF(
  AND(
    TRIM(A395)=TRIM(Enginuity!$A$1),
    TRIM(B395)=TRIM(Enginuity!$A$17),
    Q395&lt;&gt;"",
    Q395&lt;&gt;0,
    OR(
      TRIM(C395)=TRIM(Enginuity!$A$18),
      AND(UPPER(TRIM(M395))="STD", TRIM(B395)=TRIM(Enginuity!$A$17))
    ),
    OR(
      AND(LEFT(P395,5)="1-Way", Enginuity!$B$13=1),
      AND(LEFT(P395,5)="2-Way", OR(Enginuity!$B$13=2, Enginuity!$B$13=4)),
      AND(LEFT(P395,5)="3-Way", OR(Enginuity!$B$13=3, Enginuity!$B$13=6)),
      AND(P395="Inner Centre Jamb", OR(Enginuity!$B$13=4, Enginuity!$B$13=6)),
      AND(
        LEFT(P395,5)&lt;&gt;"1-Way",
        LEFT(P395,5)&lt;&gt;"2-Way",
        LEFT(P395,5)&lt;&gt;"3-Way",
        P395&lt;&gt;"Inner Centre Jamb"
      )
    ),
    IF(OR(Enginuity!$A$1="Frameless Glass",Enginuity!$A$1="Metal Work"),
      AND(TRIM(B395)=TRIM(Enginuity!$A$17),TRIM(C395)=TRIM(Enginuity!$A$18)),
      TRIM(B395)=TRIM(Enginuity!$A$17)
    )
  ),
  ROW(),
  ""
)</f>
        <v/>
      </c>
      <c r="AY395" s="79">
        <f t="shared" si="8"/>
        <v>1.1000000000000001</v>
      </c>
      <c r="AZ395" s="5">
        <v>13</v>
      </c>
      <c r="BA395" t="s">
        <v>1246</v>
      </c>
      <c r="BB395" s="5">
        <f t="shared" si="7"/>
        <v>14.3</v>
      </c>
    </row>
    <row r="396" spans="1:54" x14ac:dyDescent="0.25">
      <c r="A396" s="10" t="s">
        <v>254</v>
      </c>
      <c r="B396" s="229" t="s">
        <v>232</v>
      </c>
      <c r="C396" s="10" t="s">
        <v>107</v>
      </c>
      <c r="D396" s="14" t="str">
        <v>2" Louver Blade P/C</v>
      </c>
      <c r="E396" s="157"/>
      <c r="F396" s="10"/>
      <c r="G396" s="17"/>
      <c r="H396" s="10"/>
      <c r="I396" s="17"/>
      <c r="J396" s="83"/>
      <c r="K396" s="343"/>
      <c r="L396" s="347"/>
      <c r="M396" s="89">
        <v>3</v>
      </c>
      <c r="N396" s="10" t="s">
        <v>103</v>
      </c>
      <c r="O396" s="22">
        <v>7.6</v>
      </c>
      <c r="P396" s="21" t="str">
        <f>$P$5</f>
        <v>Single Vertical Mullion ↕</v>
      </c>
      <c r="Q396" s="83">
        <f>(Enginuity!$B$13 - 1) * Enginuity!$B$7</f>
        <v>78</v>
      </c>
      <c r="U396" s="104" t="str">
        <f>IF(
  AND(
    TRIM(A396)=TRIM(Enginuity!$A$1),
    TRIM(B396)=TRIM(Enginuity!$A$17),
    Q396&lt;&gt;"",
    Q396&lt;&gt;0,
    OR(
      TRIM(C396)=TRIM(Enginuity!$A$18),
      AND(UPPER(TRIM(M396))="STD", TRIM(B396)=TRIM(Enginuity!$A$17))
    ),
    OR(
      AND(LEFT(P396,5)="1-Way", Enginuity!$B$13=1),
      AND(LEFT(P396,5)="2-Way", OR(Enginuity!$B$13=2, Enginuity!$B$13=4)),
      AND(LEFT(P396,5)="3-Way", OR(Enginuity!$B$13=3, Enginuity!$B$13=6)),
      AND(P396="Inner Centre Jamb", OR(Enginuity!$B$13=4, Enginuity!$B$13=6)),
      AND(
        LEFT(P396,5)&lt;&gt;"1-Way",
        LEFT(P396,5)&lt;&gt;"2-Way",
        LEFT(P396,5)&lt;&gt;"3-Way",
        P396&lt;&gt;"Inner Centre Jamb"
      )
    ),
    IF(OR(Enginuity!$A$1="Frameless Glass",Enginuity!$A$1="Metal Work"),
      AND(TRIM(B396)=TRIM(Enginuity!$A$17),TRIM(C396)=TRIM(Enginuity!$A$18)),
      TRIM(B396)=TRIM(Enginuity!$A$17)
    )
  ),
  ROW(),
  ""
)</f>
        <v/>
      </c>
      <c r="AY396" s="79">
        <f t="shared" si="8"/>
        <v>1.1000000000000001</v>
      </c>
      <c r="AZ396" s="5">
        <v>14</v>
      </c>
      <c r="BA396" t="s">
        <v>1247</v>
      </c>
      <c r="BB396" s="5">
        <f t="shared" si="7"/>
        <v>15.400000000000002</v>
      </c>
    </row>
    <row r="397" spans="1:54" x14ac:dyDescent="0.25">
      <c r="A397" s="10" t="s">
        <v>254</v>
      </c>
      <c r="B397" s="229" t="s">
        <v>232</v>
      </c>
      <c r="C397" s="10" t="s">
        <v>107</v>
      </c>
      <c r="D397" s="14" t="str">
        <v xml:space="preserve">5" Louver Blade N/A </v>
      </c>
      <c r="E397" s="157"/>
      <c r="F397" s="10"/>
      <c r="G397" s="17"/>
      <c r="H397" s="10"/>
      <c r="I397" s="17"/>
      <c r="J397" s="83"/>
      <c r="K397" s="343"/>
      <c r="L397" s="347"/>
      <c r="M397" s="89">
        <v>4</v>
      </c>
      <c r="N397" s="10" t="s">
        <v>176</v>
      </c>
      <c r="O397" s="22" t="str">
        <f>IF(Enginuity!$A$20="", "",
 IF(Enginuity!$A$20="Lattice Design", $F$9,
 IF(Enginuity!$A$20="Lattice Design 12 Box / Panel", $F$10,
 ""))
)</f>
        <v/>
      </c>
      <c r="P397" s="5" t="str">
        <f>Enginuity!$A$20</f>
        <v>Z-Louvre Blade - 5"</v>
      </c>
      <c r="Q397" s="22" t="str">
        <f>IF(O397&lt;&gt;"",1,"")</f>
        <v/>
      </c>
      <c r="U397" s="104" t="str">
        <f>IF(
  AND(
    TRIM(A397)=TRIM(Enginuity!$A$1),
    TRIM(B397)=TRIM(Enginuity!$A$17),
    Q397&lt;&gt;"",
    Q397&lt;&gt;0,
    OR(
      TRIM(C397)=TRIM(Enginuity!$A$18),
      AND(UPPER(TRIM(M397))="STD", TRIM(B397)=TRIM(Enginuity!$A$17))
    ),
    OR(
      AND(LEFT(P397,5)="1-Way", Enginuity!$B$13=1),
      AND(LEFT(P397,5)="2-Way", OR(Enginuity!$B$13=2, Enginuity!$B$13=4)),
      AND(LEFT(P397,5)="3-Way", OR(Enginuity!$B$13=3, Enginuity!$B$13=6)),
      AND(P397="Inner Centre Jamb", OR(Enginuity!$B$13=4, Enginuity!$B$13=6)),
      AND(
        LEFT(P397,5)&lt;&gt;"1-Way",
        LEFT(P397,5)&lt;&gt;"2-Way",
        LEFT(P397,5)&lt;&gt;"3-Way",
        P397&lt;&gt;"Inner Centre Jamb"
      )
    ),
    IF(OR(Enginuity!$A$1="Frameless Glass",Enginuity!$A$1="Metal Work"),
      AND(TRIM(B397)=TRIM(Enginuity!$A$17),TRIM(C397)=TRIM(Enginuity!$A$18)),
      TRIM(B397)=TRIM(Enginuity!$A$17)
    )
  ),
  ROW(),
  ""
)</f>
        <v/>
      </c>
      <c r="AY397" s="79">
        <f t="shared" si="8"/>
        <v>1.1000000000000001</v>
      </c>
      <c r="AZ397" s="5">
        <v>17</v>
      </c>
      <c r="BA397" t="s">
        <v>1248</v>
      </c>
      <c r="BB397" s="5">
        <f t="shared" si="7"/>
        <v>18.700000000000003</v>
      </c>
    </row>
    <row r="398" spans="1:54" x14ac:dyDescent="0.25">
      <c r="A398" s="10" t="s">
        <v>254</v>
      </c>
      <c r="B398" s="229" t="s">
        <v>232</v>
      </c>
      <c r="C398" s="10" t="s">
        <v>107</v>
      </c>
      <c r="D398" s="14" t="str">
        <v>5" Louver Blade P/C</v>
      </c>
      <c r="E398" s="157"/>
      <c r="F398" s="10"/>
      <c r="G398" s="17"/>
      <c r="H398" s="10"/>
      <c r="I398" s="17"/>
      <c r="J398" s="83"/>
      <c r="K398" s="343"/>
      <c r="L398" s="347"/>
      <c r="M398" s="89">
        <v>5</v>
      </c>
      <c r="N398" s="10" t="s">
        <v>176</v>
      </c>
      <c r="O398" s="22" t="str">
        <f>IF(Enginuity!$A$21="12""H Top Hung Standard Casement Profile", $F$11,
IF(Enginuity!$A$21="12""H Top / Bottom Fix Standard Casement Profile", $F$12,
""))</f>
        <v/>
      </c>
      <c r="P398" s="106" t="str">
        <f>Enginuity!$A$21</f>
        <v>SF 4"</v>
      </c>
      <c r="Q398" s="22" t="str">
        <f>IF(O398&lt;&gt;"",1,"")</f>
        <v/>
      </c>
      <c r="U398" s="104" t="str">
        <f>IF(
  AND(
    TRIM(A398)=TRIM(Enginuity!$A$1),
    TRIM(B398)=TRIM(Enginuity!$A$17),
    Q398&lt;&gt;"",
    Q398&lt;&gt;0,
    OR(
      TRIM(C398)=TRIM(Enginuity!$A$18),
      AND(UPPER(TRIM(M398))="STD", TRIM(B398)=TRIM(Enginuity!$A$17))
    ),
    OR(
      AND(LEFT(P398,5)="1-Way", Enginuity!$B$13=1),
      AND(LEFT(P398,5)="2-Way", OR(Enginuity!$B$13=2, Enginuity!$B$13=4)),
      AND(LEFT(P398,5)="3-Way", OR(Enginuity!$B$13=3, Enginuity!$B$13=6)),
      AND(P398="Inner Centre Jamb", OR(Enginuity!$B$13=4, Enginuity!$B$13=6)),
      AND(
        LEFT(P398,5)&lt;&gt;"1-Way",
        LEFT(P398,5)&lt;&gt;"2-Way",
        LEFT(P398,5)&lt;&gt;"3-Way",
        P398&lt;&gt;"Inner Centre Jamb"
      )
    ),
    IF(OR(Enginuity!$A$1="Frameless Glass",Enginuity!$A$1="Metal Work"),
      AND(TRIM(B398)=TRIM(Enginuity!$A$17),TRIM(C398)=TRIM(Enginuity!$A$18)),
      TRIM(B398)=TRIM(Enginuity!$A$17)
    )
  ),
  ROW(),
  ""
)</f>
        <v/>
      </c>
      <c r="AY398" s="79">
        <f t="shared" si="8"/>
        <v>1.1000000000000001</v>
      </c>
      <c r="AZ398" s="5">
        <v>18.5</v>
      </c>
      <c r="BA398" t="s">
        <v>1249</v>
      </c>
      <c r="BB398" s="5">
        <f t="shared" si="7"/>
        <v>20.350000000000001</v>
      </c>
    </row>
    <row r="399" spans="1:54" x14ac:dyDescent="0.25">
      <c r="A399" s="10" t="s">
        <v>254</v>
      </c>
      <c r="B399" s="229" t="s">
        <v>232</v>
      </c>
      <c r="C399" s="10" t="s">
        <v>107</v>
      </c>
      <c r="D399" s="14" t="str">
        <v/>
      </c>
      <c r="E399" s="157"/>
      <c r="F399" s="10"/>
      <c r="G399" s="17"/>
      <c r="H399" s="10"/>
      <c r="I399" s="17"/>
      <c r="J399" s="83"/>
      <c r="K399" s="343"/>
      <c r="L399" s="347"/>
      <c r="M399" s="89">
        <v>6</v>
      </c>
      <c r="N399" s="10" t="s">
        <v>176</v>
      </c>
      <c r="O399" s="22" t="str">
        <f>IF(Enginuity!$A$22="Subframe 1"" X 2""", $J$2, "")</f>
        <v/>
      </c>
      <c r="P399" s="106" t="str">
        <f>Enginuity!$A$22</f>
        <v>▼ [Lattice]</v>
      </c>
      <c r="Q399" s="22" t="str">
        <f>IF(O399&lt;&gt;"",1,"")</f>
        <v/>
      </c>
      <c r="U399" s="104" t="str">
        <f>IF(
  AND(
    TRIM(A399)=TRIM(Enginuity!$A$1),
    TRIM(B399)=TRIM(Enginuity!$A$17),
    Q399&lt;&gt;"",
    Q399&lt;&gt;0,
    OR(
      TRIM(C399)=TRIM(Enginuity!$A$18),
      AND(UPPER(TRIM(M399))="STD", TRIM(B399)=TRIM(Enginuity!$A$17))
    ),
    OR(
      AND(LEFT(P399,5)="1-Way", Enginuity!$B$13=1),
      AND(LEFT(P399,5)="2-Way", OR(Enginuity!$B$13=2, Enginuity!$B$13=4)),
      AND(LEFT(P399,5)="3-Way", OR(Enginuity!$B$13=3, Enginuity!$B$13=6)),
      AND(P399="Inner Centre Jamb", OR(Enginuity!$B$13=4, Enginuity!$B$13=6)),
      AND(
        LEFT(P399,5)&lt;&gt;"1-Way",
        LEFT(P399,5)&lt;&gt;"2-Way",
        LEFT(P399,5)&lt;&gt;"3-Way",
        P399&lt;&gt;"Inner Centre Jamb"
      )
    ),
    IF(OR(Enginuity!$A$1="Frameless Glass",Enginuity!$A$1="Metal Work"),
      AND(TRIM(B399)=TRIM(Enginuity!$A$17),TRIM(C399)=TRIM(Enginuity!$A$18)),
      TRIM(B399)=TRIM(Enginuity!$A$17)
    )
  ),
  ROW(),
  ""
)</f>
        <v/>
      </c>
      <c r="AY399" s="79">
        <f t="shared" si="8"/>
        <v>1.1000000000000001</v>
      </c>
      <c r="AZ399" s="5">
        <v>23</v>
      </c>
      <c r="BA399" t="s">
        <v>1250</v>
      </c>
      <c r="BB399" s="5">
        <f t="shared" si="7"/>
        <v>25.3</v>
      </c>
    </row>
    <row r="400" spans="1:54" x14ac:dyDescent="0.25">
      <c r="A400" s="10" t="s">
        <v>254</v>
      </c>
      <c r="B400" s="229" t="s">
        <v>232</v>
      </c>
      <c r="C400" s="10" t="s">
        <v>107</v>
      </c>
      <c r="D400" s="14" t="str">
        <v/>
      </c>
      <c r="E400" s="157"/>
      <c r="F400" s="10"/>
      <c r="G400" s="17"/>
      <c r="H400" s="10"/>
      <c r="I400" s="17"/>
      <c r="J400" s="83"/>
      <c r="K400" s="343"/>
      <c r="L400" s="347"/>
      <c r="M400" s="89">
        <v>7</v>
      </c>
      <c r="N400" s="10" t="s">
        <v>103</v>
      </c>
      <c r="O400" s="22">
        <v>7.6</v>
      </c>
      <c r="P400" s="21" t="s">
        <v>933</v>
      </c>
      <c r="Q400" s="83" t="str">
        <f>IF(OR(Enginuity!$B$22="",Enginuity!$B$22=0),"",Enginuity!$B$22*Enginuity!$B$6)</f>
        <v/>
      </c>
      <c r="U400" s="104" t="str">
        <f>IF(
  AND(
    TRIM(A400)=TRIM(Enginuity!$A$1),
    TRIM(B400)=TRIM(Enginuity!$A$17),
    Q400&lt;&gt;"",
    Q400&lt;&gt;0,
    OR(
      TRIM(C400)=TRIM(Enginuity!$A$18),
      AND(UPPER(TRIM(M400))="STD", TRIM(B400)=TRIM(Enginuity!$A$17))
    ),
    OR(
      AND(LEFT(P400,5)="1-Way", Enginuity!$B$13=1),
      AND(LEFT(P400,5)="2-Way", OR(Enginuity!$B$13=2, Enginuity!$B$13=4)),
      AND(LEFT(P400,5)="3-Way", OR(Enginuity!$B$13=3, Enginuity!$B$13=6)),
      AND(P400="Inner Centre Jamb", OR(Enginuity!$B$13=4, Enginuity!$B$13=6)),
      AND(
        LEFT(P400,5)&lt;&gt;"1-Way",
        LEFT(P400,5)&lt;&gt;"2-Way",
        LEFT(P400,5)&lt;&gt;"3-Way",
        P400&lt;&gt;"Inner Centre Jamb"
      )
    ),
    IF(OR(Enginuity!$A$1="Frameless Glass",Enginuity!$A$1="Metal Work"),
      AND(TRIM(B400)=TRIM(Enginuity!$A$17),TRIM(C400)=TRIM(Enginuity!$A$18)),
      TRIM(B400)=TRIM(Enginuity!$A$17)
    )
  ),
  ROW(),
  ""
)</f>
        <v/>
      </c>
      <c r="AY400" s="79">
        <f t="shared" si="8"/>
        <v>1.1000000000000001</v>
      </c>
      <c r="AZ400" s="5">
        <v>27</v>
      </c>
      <c r="BA400" t="s">
        <v>1251</v>
      </c>
      <c r="BB400" s="5">
        <f t="shared" si="7"/>
        <v>29.700000000000003</v>
      </c>
    </row>
    <row r="401" spans="1:54" x14ac:dyDescent="0.25">
      <c r="A401" s="10" t="s">
        <v>254</v>
      </c>
      <c r="B401" s="229" t="s">
        <v>232</v>
      </c>
      <c r="C401" s="10" t="s">
        <v>107</v>
      </c>
      <c r="D401" s="14" t="str">
        <v/>
      </c>
      <c r="E401" s="157"/>
      <c r="F401" s="10"/>
      <c r="G401" s="17"/>
      <c r="H401" s="10"/>
      <c r="I401" s="17"/>
      <c r="J401" s="83"/>
      <c r="K401" s="343"/>
      <c r="L401" s="347"/>
      <c r="M401" s="89">
        <v>8</v>
      </c>
      <c r="N401" s="10"/>
      <c r="O401" s="22"/>
      <c r="P401" s="14"/>
      <c r="Q401" s="83"/>
      <c r="U401" s="104" t="str">
        <f>IF(
  AND(
    TRIM(A401)=TRIM(Enginuity!$A$1),
    TRIM(B401)=TRIM(Enginuity!$A$17),
    Q401&lt;&gt;"",
    Q401&lt;&gt;0,
    OR(
      TRIM(C401)=TRIM(Enginuity!$A$18),
      AND(UPPER(TRIM(M401))="STD", TRIM(B401)=TRIM(Enginuity!$A$17))
    ),
    OR(
      AND(LEFT(P401,5)="1-Way", Enginuity!$B$13=1),
      AND(LEFT(P401,5)="2-Way", OR(Enginuity!$B$13=2, Enginuity!$B$13=4)),
      AND(LEFT(P401,5)="3-Way", OR(Enginuity!$B$13=3, Enginuity!$B$13=6)),
      AND(P401="Inner Centre Jamb", OR(Enginuity!$B$13=4, Enginuity!$B$13=6)),
      AND(
        LEFT(P401,5)&lt;&gt;"1-Way",
        LEFT(P401,5)&lt;&gt;"2-Way",
        LEFT(P401,5)&lt;&gt;"3-Way",
        P401&lt;&gt;"Inner Centre Jamb"
      )
    ),
    IF(OR(Enginuity!$A$1="Frameless Glass",Enginuity!$A$1="Metal Work"),
      AND(TRIM(B401)=TRIM(Enginuity!$A$17),TRIM(C401)=TRIM(Enginuity!$A$18)),
      TRIM(B401)=TRIM(Enginuity!$A$17)
    )
  ),
  ROW(),
  ""
)</f>
        <v/>
      </c>
      <c r="AY401" s="79">
        <f t="shared" si="8"/>
        <v>1.1000000000000001</v>
      </c>
      <c r="AZ401" s="5">
        <v>11.5</v>
      </c>
      <c r="BA401" t="s">
        <v>1252</v>
      </c>
      <c r="BB401" s="5">
        <f t="shared" si="7"/>
        <v>12.65</v>
      </c>
    </row>
    <row r="402" spans="1:54" x14ac:dyDescent="0.25">
      <c r="A402" s="10" t="s">
        <v>254</v>
      </c>
      <c r="B402" s="229" t="s">
        <v>232</v>
      </c>
      <c r="C402" s="10"/>
      <c r="D402" s="14" t="str">
        <v/>
      </c>
      <c r="E402" s="157"/>
      <c r="F402" s="10"/>
      <c r="G402" s="17"/>
      <c r="H402" s="10"/>
      <c r="I402" s="17"/>
      <c r="J402" s="83"/>
      <c r="K402" s="343"/>
      <c r="L402" s="347"/>
      <c r="M402" s="89">
        <v>9</v>
      </c>
      <c r="N402" s="10"/>
      <c r="O402" s="22"/>
      <c r="P402" s="14"/>
      <c r="Q402" s="83"/>
      <c r="U402" s="104" t="str">
        <f>IF(
  AND(
    TRIM(A402)=TRIM(Enginuity!$A$1),
    TRIM(B402)=TRIM(Enginuity!$A$17),
    Q402&lt;&gt;"",
    Q402&lt;&gt;0,
    OR(
      TRIM(C402)=TRIM(Enginuity!$A$18),
      AND(UPPER(TRIM(M402))="STD", TRIM(B402)=TRIM(Enginuity!$A$17))
    ),
    OR(
      AND(LEFT(P402,5)="1-Way", Enginuity!$B$13=1),
      AND(LEFT(P402,5)="2-Way", OR(Enginuity!$B$13=2, Enginuity!$B$13=4)),
      AND(LEFT(P402,5)="3-Way", OR(Enginuity!$B$13=3, Enginuity!$B$13=6)),
      AND(P402="Inner Centre Jamb", OR(Enginuity!$B$13=4, Enginuity!$B$13=6)),
      AND(
        LEFT(P402,5)&lt;&gt;"1-Way",
        LEFT(P402,5)&lt;&gt;"2-Way",
        LEFT(P402,5)&lt;&gt;"3-Way",
        P402&lt;&gt;"Inner Centre Jamb"
      )
    ),
    IF(OR(Enginuity!$A$1="Frameless Glass",Enginuity!$A$1="Metal Work"),
      AND(TRIM(B402)=TRIM(Enginuity!$A$17),TRIM(C402)=TRIM(Enginuity!$A$18)),
      TRIM(B402)=TRIM(Enginuity!$A$17)
    )
  ),
  ROW(),
  ""
)</f>
        <v/>
      </c>
      <c r="AY402" s="79">
        <f t="shared" si="8"/>
        <v>1.1000000000000001</v>
      </c>
      <c r="AZ402" s="5">
        <v>13.5</v>
      </c>
      <c r="BA402" t="s">
        <v>1253</v>
      </c>
      <c r="BB402" s="5">
        <f t="shared" si="7"/>
        <v>14.850000000000001</v>
      </c>
    </row>
    <row r="403" spans="1:54" x14ac:dyDescent="0.25">
      <c r="A403" s="10" t="s">
        <v>254</v>
      </c>
      <c r="B403" s="229" t="s">
        <v>232</v>
      </c>
      <c r="C403" s="10"/>
      <c r="D403" s="14" t="str">
        <v/>
      </c>
      <c r="E403" s="157"/>
      <c r="F403" s="10"/>
      <c r="G403" s="17"/>
      <c r="H403" s="10"/>
      <c r="I403" s="17"/>
      <c r="J403" s="83"/>
      <c r="K403" s="343"/>
      <c r="L403" s="347"/>
      <c r="M403" s="89">
        <v>10</v>
      </c>
      <c r="N403" s="10"/>
      <c r="O403" s="22"/>
      <c r="Q403" s="83"/>
      <c r="U403" s="104" t="str">
        <f>IF(
  AND(
    TRIM(A403)=TRIM(Enginuity!$A$1),
    TRIM(B403)=TRIM(Enginuity!$A$17),
    Q403&lt;&gt;"",
    Q403&lt;&gt;0,
    OR(
      TRIM(C403)=TRIM(Enginuity!$A$18),
      AND(UPPER(TRIM(M403))="STD", TRIM(B403)=TRIM(Enginuity!$A$17))
    ),
    OR(
      AND(LEFT(P403,5)="1-Way", Enginuity!$B$13=1),
      AND(LEFT(P403,5)="2-Way", OR(Enginuity!$B$13=2, Enginuity!$B$13=4)),
      AND(LEFT(P403,5)="3-Way", OR(Enginuity!$B$13=3, Enginuity!$B$13=6)),
      AND(P403="Inner Centre Jamb", OR(Enginuity!$B$13=4, Enginuity!$B$13=6)),
      AND(
        LEFT(P403,5)&lt;&gt;"1-Way",
        LEFT(P403,5)&lt;&gt;"2-Way",
        LEFT(P403,5)&lt;&gt;"3-Way",
        P403&lt;&gt;"Inner Centre Jamb"
      )
    ),
    IF(OR(Enginuity!$A$1="Frameless Glass",Enginuity!$A$1="Metal Work"),
      AND(TRIM(B403)=TRIM(Enginuity!$A$17),TRIM(C403)=TRIM(Enginuity!$A$18)),
      TRIM(B403)=TRIM(Enginuity!$A$17)
    )
  ),
  ROW(),
  ""
)</f>
        <v/>
      </c>
      <c r="AY403" s="79">
        <f t="shared" si="8"/>
        <v>1.1000000000000001</v>
      </c>
      <c r="AZ403" s="5">
        <v>14</v>
      </c>
      <c r="BA403" t="s">
        <v>1254</v>
      </c>
      <c r="BB403" s="5">
        <f t="shared" si="7"/>
        <v>15.400000000000002</v>
      </c>
    </row>
    <row r="404" spans="1:54" x14ac:dyDescent="0.25">
      <c r="A404" s="10" t="s">
        <v>254</v>
      </c>
      <c r="B404" s="229" t="s">
        <v>232</v>
      </c>
      <c r="C404" s="10" t="s">
        <v>97</v>
      </c>
      <c r="D404" s="14"/>
      <c r="E404" s="157"/>
      <c r="F404" s="10"/>
      <c r="G404" s="17"/>
      <c r="H404" s="10"/>
      <c r="I404" s="17"/>
      <c r="J404" s="83"/>
      <c r="K404" s="343"/>
      <c r="L404" s="347"/>
      <c r="M404" s="89">
        <v>11</v>
      </c>
      <c r="N404" s="10" t="s">
        <v>103</v>
      </c>
      <c r="O404" s="22">
        <v>8.6</v>
      </c>
      <c r="P404" s="86" t="str">
        <f>$P$2</f>
        <v>Outer Frame W X H</v>
      </c>
      <c r="Q404" s="83">
        <f>$Q$2</f>
        <v>66</v>
      </c>
      <c r="U404" s="104" t="str">
        <f>IF(
  AND(
    TRIM(A404)=TRIM(Enginuity!$A$1),
    TRIM(B404)=TRIM(Enginuity!$A$17),
    Q404&lt;&gt;"",
    Q404&lt;&gt;0,
    OR(
      TRIM(C404)=TRIM(Enginuity!$A$18),
      AND(UPPER(TRIM(M404))="STD", TRIM(B404)=TRIM(Enginuity!$A$17))
    ),
    OR(
      AND(LEFT(P404,5)="1-Way", Enginuity!$B$13=1),
      AND(LEFT(P404,5)="2-Way", OR(Enginuity!$B$13=2, Enginuity!$B$13=4)),
      AND(LEFT(P404,5)="3-Way", OR(Enginuity!$B$13=3, Enginuity!$B$13=6)),
      AND(P404="Inner Centre Jamb", OR(Enginuity!$B$13=4, Enginuity!$B$13=6)),
      AND(
        LEFT(P404,5)&lt;&gt;"1-Way",
        LEFT(P404,5)&lt;&gt;"2-Way",
        LEFT(P404,5)&lt;&gt;"3-Way",
        P404&lt;&gt;"Inner Centre Jamb"
      )
    ),
    IF(OR(Enginuity!$A$1="Frameless Glass",Enginuity!$A$1="Metal Work"),
      AND(TRIM(B404)=TRIM(Enginuity!$A$17),TRIM(C404)=TRIM(Enginuity!$A$18)),
      TRIM(B404)=TRIM(Enginuity!$A$17)
    )
  ),
  ROW(),
  ""
)</f>
        <v/>
      </c>
      <c r="AY404" s="79">
        <f t="shared" si="8"/>
        <v>1.1000000000000001</v>
      </c>
      <c r="AZ404" s="5">
        <v>15</v>
      </c>
      <c r="BA404" t="s">
        <v>1255</v>
      </c>
      <c r="BB404" s="5">
        <f t="shared" si="7"/>
        <v>16.5</v>
      </c>
    </row>
    <row r="405" spans="1:54" x14ac:dyDescent="0.25">
      <c r="A405" s="10" t="s">
        <v>254</v>
      </c>
      <c r="B405" s="229" t="s">
        <v>232</v>
      </c>
      <c r="C405" s="10" t="s">
        <v>97</v>
      </c>
      <c r="D405" s="14"/>
      <c r="E405" s="157"/>
      <c r="F405" s="10"/>
      <c r="G405" s="17"/>
      <c r="H405" s="10"/>
      <c r="I405" s="17"/>
      <c r="J405" s="83"/>
      <c r="K405" s="343"/>
      <c r="L405" s="347"/>
      <c r="M405" s="89">
        <v>12</v>
      </c>
      <c r="N405" s="10" t="s">
        <v>103</v>
      </c>
      <c r="O405" s="22">
        <v>8.6</v>
      </c>
      <c r="P405" s="21" t="str">
        <f>$P$4</f>
        <v>Single Horizontal Mullion ↔</v>
      </c>
      <c r="Q405" s="83">
        <f>IF(Enginuity!$B$7&gt;16, "",
  IF(Enginuity!$B$7&gt;12, 3*Enginuity!$B$6,
    IF(Enginuity!$B$7&gt;=11, 2*Enginuity!$B$6,
      IF(Enginuity!$B$7&gt;7, Enginuity!$B$6, "")
    )
  )
)</f>
        <v>60</v>
      </c>
      <c r="U405" s="104" t="str">
        <f>IF(
  AND(
    TRIM(A405)=TRIM(Enginuity!$A$1),
    TRIM(B405)=TRIM(Enginuity!$A$17),
    Q405&lt;&gt;"",
    Q405&lt;&gt;0,
    OR(
      TRIM(C405)=TRIM(Enginuity!$A$18),
      AND(UPPER(TRIM(M405))="STD", TRIM(B405)=TRIM(Enginuity!$A$17))
    ),
    OR(
      AND(LEFT(P405,5)="1-Way", Enginuity!$B$13=1),
      AND(LEFT(P405,5)="2-Way", OR(Enginuity!$B$13=2, Enginuity!$B$13=4)),
      AND(LEFT(P405,5)="3-Way", OR(Enginuity!$B$13=3, Enginuity!$B$13=6)),
      AND(P405="Inner Centre Jamb", OR(Enginuity!$B$13=4, Enginuity!$B$13=6)),
      AND(
        LEFT(P405,5)&lt;&gt;"1-Way",
        LEFT(P405,5)&lt;&gt;"2-Way",
        LEFT(P405,5)&lt;&gt;"3-Way",
        P405&lt;&gt;"Inner Centre Jamb"
      )
    ),
    IF(OR(Enginuity!$A$1="Frameless Glass",Enginuity!$A$1="Metal Work"),
      AND(TRIM(B405)=TRIM(Enginuity!$A$17),TRIM(C405)=TRIM(Enginuity!$A$18)),
      TRIM(B405)=TRIM(Enginuity!$A$17)
    )
  ),
  ROW(),
  ""
)</f>
        <v/>
      </c>
      <c r="AY405" s="79">
        <f t="shared" si="8"/>
        <v>1.1000000000000001</v>
      </c>
      <c r="AZ405" s="5">
        <v>16</v>
      </c>
      <c r="BA405" t="s">
        <v>1256</v>
      </c>
      <c r="BB405" s="5">
        <f t="shared" si="7"/>
        <v>17.600000000000001</v>
      </c>
    </row>
    <row r="406" spans="1:54" x14ac:dyDescent="0.25">
      <c r="A406" s="10" t="s">
        <v>254</v>
      </c>
      <c r="B406" s="229" t="s">
        <v>232</v>
      </c>
      <c r="C406" s="10" t="s">
        <v>97</v>
      </c>
      <c r="D406" s="14"/>
      <c r="E406" s="157"/>
      <c r="F406" s="10"/>
      <c r="G406" s="17"/>
      <c r="H406" s="10"/>
      <c r="I406" s="17"/>
      <c r="J406" s="83"/>
      <c r="K406" s="343"/>
      <c r="L406" s="347"/>
      <c r="M406" s="89">
        <v>13</v>
      </c>
      <c r="N406" s="10" t="s">
        <v>103</v>
      </c>
      <c r="O406" s="22">
        <v>8.6</v>
      </c>
      <c r="P406" s="21" t="str">
        <f>$P$5</f>
        <v>Single Vertical Mullion ↕</v>
      </c>
      <c r="Q406" s="83">
        <f>(Enginuity!$B$13 - 1) * Enginuity!$B$7</f>
        <v>78</v>
      </c>
      <c r="U406" s="104" t="str">
        <f>IF(
  AND(
    TRIM(A406)=TRIM(Enginuity!$A$1),
    TRIM(B406)=TRIM(Enginuity!$A$17),
    Q406&lt;&gt;"",
    Q406&lt;&gt;0,
    OR(
      TRIM(C406)=TRIM(Enginuity!$A$18),
      AND(UPPER(TRIM(M406))="STD", TRIM(B406)=TRIM(Enginuity!$A$17))
    ),
    OR(
      AND(LEFT(P406,5)="1-Way", Enginuity!$B$13=1),
      AND(LEFT(P406,5)="2-Way", OR(Enginuity!$B$13=2, Enginuity!$B$13=4)),
      AND(LEFT(P406,5)="3-Way", OR(Enginuity!$B$13=3, Enginuity!$B$13=6)),
      AND(P406="Inner Centre Jamb", OR(Enginuity!$B$13=4, Enginuity!$B$13=6)),
      AND(
        LEFT(P406,5)&lt;&gt;"1-Way",
        LEFT(P406,5)&lt;&gt;"2-Way",
        LEFT(P406,5)&lt;&gt;"3-Way",
        P406&lt;&gt;"Inner Centre Jamb"
      )
    ),
    IF(OR(Enginuity!$A$1="Frameless Glass",Enginuity!$A$1="Metal Work"),
      AND(TRIM(B406)=TRIM(Enginuity!$A$17),TRIM(C406)=TRIM(Enginuity!$A$18)),
      TRIM(B406)=TRIM(Enginuity!$A$17)
    )
  ),
  ROW(),
  ""
)</f>
        <v/>
      </c>
      <c r="AY406" s="79">
        <f t="shared" si="8"/>
        <v>1.1000000000000001</v>
      </c>
      <c r="AZ406" s="5">
        <v>19</v>
      </c>
      <c r="BA406" t="s">
        <v>1257</v>
      </c>
      <c r="BB406" s="5">
        <f t="shared" si="7"/>
        <v>20.900000000000002</v>
      </c>
    </row>
    <row r="407" spans="1:54" x14ac:dyDescent="0.25">
      <c r="A407" s="10" t="s">
        <v>254</v>
      </c>
      <c r="B407" s="229" t="s">
        <v>232</v>
      </c>
      <c r="C407" s="10" t="s">
        <v>97</v>
      </c>
      <c r="D407" s="14"/>
      <c r="E407" s="157" t="s">
        <v>257</v>
      </c>
      <c r="F407" s="10"/>
      <c r="G407" s="17"/>
      <c r="H407" s="10"/>
      <c r="I407" s="17"/>
      <c r="J407" s="83"/>
      <c r="K407" s="343"/>
      <c r="L407" s="347"/>
      <c r="M407" s="89">
        <v>14</v>
      </c>
      <c r="N407" s="10" t="s">
        <v>176</v>
      </c>
      <c r="O407" s="22" t="str">
        <f>IF(Enginuity!$A$20="", "",
 IF(Enginuity!$A$20="Lattice Design", $F$9,
 IF(Enginuity!$A$20="Lattice Design 12 Box / Panel", $F$10,
 ""))
)</f>
        <v/>
      </c>
      <c r="P407" s="5" t="str">
        <f>Enginuity!$A$20</f>
        <v>Z-Louvre Blade - 5"</v>
      </c>
      <c r="Q407" s="22" t="str">
        <f>IF(O407&lt;&gt;"",1,"")</f>
        <v/>
      </c>
      <c r="U407" s="104" t="str">
        <f>IF(
  AND(
    TRIM(A407)=TRIM(Enginuity!$A$1),
    TRIM(B407)=TRIM(Enginuity!$A$17),
    Q407&lt;&gt;"",
    Q407&lt;&gt;0,
    OR(
      TRIM(C407)=TRIM(Enginuity!$A$18),
      AND(UPPER(TRIM(M407))="STD", TRIM(B407)=TRIM(Enginuity!$A$17))
    ),
    OR(
      AND(LEFT(P407,5)="1-Way", Enginuity!$B$13=1),
      AND(LEFT(P407,5)="2-Way", OR(Enginuity!$B$13=2, Enginuity!$B$13=4)),
      AND(LEFT(P407,5)="3-Way", OR(Enginuity!$B$13=3, Enginuity!$B$13=6)),
      AND(P407="Inner Centre Jamb", OR(Enginuity!$B$13=4, Enginuity!$B$13=6)),
      AND(
        LEFT(P407,5)&lt;&gt;"1-Way",
        LEFT(P407,5)&lt;&gt;"2-Way",
        LEFT(P407,5)&lt;&gt;"3-Way",
        P407&lt;&gt;"Inner Centre Jamb"
      )
    ),
    IF(OR(Enginuity!$A$1="Frameless Glass",Enginuity!$A$1="Metal Work"),
      AND(TRIM(B407)=TRIM(Enginuity!$A$17),TRIM(C407)=TRIM(Enginuity!$A$18)),
      TRIM(B407)=TRIM(Enginuity!$A$17)
    )
  ),
  ROW(),
  ""
)</f>
        <v/>
      </c>
      <c r="AY407" s="79">
        <f t="shared" si="8"/>
        <v>1.1000000000000001</v>
      </c>
      <c r="AZ407" s="5">
        <v>20.5</v>
      </c>
      <c r="BA407" t="s">
        <v>1258</v>
      </c>
      <c r="BB407" s="5">
        <f t="shared" si="7"/>
        <v>22.55</v>
      </c>
    </row>
    <row r="408" spans="1:54" x14ac:dyDescent="0.25">
      <c r="A408" s="10" t="s">
        <v>254</v>
      </c>
      <c r="B408" s="229" t="s">
        <v>232</v>
      </c>
      <c r="C408" s="10" t="s">
        <v>97</v>
      </c>
      <c r="D408" s="14"/>
      <c r="E408" s="157" t="s">
        <v>269</v>
      </c>
      <c r="F408" s="10" t="s">
        <v>352</v>
      </c>
      <c r="G408" s="17"/>
      <c r="H408" s="10"/>
      <c r="I408" s="17"/>
      <c r="J408" s="83"/>
      <c r="K408" s="343"/>
      <c r="L408" s="347"/>
      <c r="M408" s="89">
        <v>15</v>
      </c>
      <c r="N408" s="10" t="s">
        <v>176</v>
      </c>
      <c r="O408" s="22" t="str">
        <f>IF(Enginuity!$A$21="12""H Top Hung Standard Casement Profile", $F$11,
IF(Enginuity!$A$21="12""H Top / Bottom Fix Standard Casement Profile", $F$12,
""))</f>
        <v/>
      </c>
      <c r="P408" s="106" t="str">
        <f>Enginuity!$A$21</f>
        <v>SF 4"</v>
      </c>
      <c r="Q408" s="22" t="str">
        <f>IF(O408&lt;&gt;"",1,"")</f>
        <v/>
      </c>
      <c r="U408" s="104" t="str">
        <f>IF(
  AND(
    TRIM(A408)=TRIM(Enginuity!$A$1),
    TRIM(B408)=TRIM(Enginuity!$A$17),
    Q408&lt;&gt;"",
    Q408&lt;&gt;0,
    OR(
      TRIM(C408)=TRIM(Enginuity!$A$18),
      AND(UPPER(TRIM(M408))="STD", TRIM(B408)=TRIM(Enginuity!$A$17))
    ),
    OR(
      AND(LEFT(P408,5)="1-Way", Enginuity!$B$13=1),
      AND(LEFT(P408,5)="2-Way", OR(Enginuity!$B$13=2, Enginuity!$B$13=4)),
      AND(LEFT(P408,5)="3-Way", OR(Enginuity!$B$13=3, Enginuity!$B$13=6)),
      AND(P408="Inner Centre Jamb", OR(Enginuity!$B$13=4, Enginuity!$B$13=6)),
      AND(
        LEFT(P408,5)&lt;&gt;"1-Way",
        LEFT(P408,5)&lt;&gt;"2-Way",
        LEFT(P408,5)&lt;&gt;"3-Way",
        P408&lt;&gt;"Inner Centre Jamb"
      )
    ),
    IF(OR(Enginuity!$A$1="Frameless Glass",Enginuity!$A$1="Metal Work"),
      AND(TRIM(B408)=TRIM(Enginuity!$A$17),TRIM(C408)=TRIM(Enginuity!$A$18)),
      TRIM(B408)=TRIM(Enginuity!$A$17)
    )
  ),
  ROW(),
  ""
)</f>
        <v/>
      </c>
      <c r="AY408" s="79">
        <f t="shared" si="8"/>
        <v>1.1000000000000001</v>
      </c>
      <c r="AZ408" s="5">
        <v>25</v>
      </c>
      <c r="BA408" t="s">
        <v>1259</v>
      </c>
      <c r="BB408" s="5">
        <f t="shared" si="7"/>
        <v>27.500000000000004</v>
      </c>
    </row>
    <row r="409" spans="1:54" x14ac:dyDescent="0.25">
      <c r="A409" s="10" t="s">
        <v>254</v>
      </c>
      <c r="B409" s="229" t="s">
        <v>232</v>
      </c>
      <c r="C409" s="10" t="s">
        <v>97</v>
      </c>
      <c r="D409" s="14"/>
      <c r="E409" s="157"/>
      <c r="F409" s="10"/>
      <c r="G409" s="17"/>
      <c r="H409" s="10"/>
      <c r="I409" s="17"/>
      <c r="J409" s="83"/>
      <c r="K409" s="343"/>
      <c r="L409" s="347"/>
      <c r="M409" s="89">
        <v>16</v>
      </c>
      <c r="N409" s="10" t="s">
        <v>176</v>
      </c>
      <c r="O409" s="22" t="str">
        <f>IF(Enginuity!$A$22="Subframe 1"" X 2""", $J$2, "")</f>
        <v/>
      </c>
      <c r="P409" s="106" t="str">
        <f>Enginuity!$A$22</f>
        <v>▼ [Lattice]</v>
      </c>
      <c r="Q409" s="22" t="str">
        <f>IF(O409&lt;&gt;"",1,"")</f>
        <v/>
      </c>
      <c r="U409" s="104" t="str">
        <f>IF(
  AND(
    TRIM(A409)=TRIM(Enginuity!$A$1),
    TRIM(B409)=TRIM(Enginuity!$A$17),
    Q409&lt;&gt;"",
    Q409&lt;&gt;0,
    OR(
      TRIM(C409)=TRIM(Enginuity!$A$18),
      AND(UPPER(TRIM(M409))="STD", TRIM(B409)=TRIM(Enginuity!$A$17))
    ),
    OR(
      AND(LEFT(P409,5)="1-Way", Enginuity!$B$13=1),
      AND(LEFT(P409,5)="2-Way", OR(Enginuity!$B$13=2, Enginuity!$B$13=4)),
      AND(LEFT(P409,5)="3-Way", OR(Enginuity!$B$13=3, Enginuity!$B$13=6)),
      AND(P409="Inner Centre Jamb", OR(Enginuity!$B$13=4, Enginuity!$B$13=6)),
      AND(
        LEFT(P409,5)&lt;&gt;"1-Way",
        LEFT(P409,5)&lt;&gt;"2-Way",
        LEFT(P409,5)&lt;&gt;"3-Way",
        P409&lt;&gt;"Inner Centre Jamb"
      )
    ),
    IF(OR(Enginuity!$A$1="Frameless Glass",Enginuity!$A$1="Metal Work"),
      AND(TRIM(B409)=TRIM(Enginuity!$A$17),TRIM(C409)=TRIM(Enginuity!$A$18)),
      TRIM(B409)=TRIM(Enginuity!$A$17)
    )
  ),
  ROW(),
  ""
)</f>
        <v/>
      </c>
      <c r="AY409" s="79">
        <f t="shared" si="8"/>
        <v>1.1000000000000001</v>
      </c>
      <c r="AZ409" s="5">
        <v>29</v>
      </c>
      <c r="BA409" t="s">
        <v>1260</v>
      </c>
      <c r="BB409" s="5">
        <f t="shared" si="7"/>
        <v>31.900000000000002</v>
      </c>
    </row>
    <row r="410" spans="1:54" x14ac:dyDescent="0.25">
      <c r="A410" s="10" t="s">
        <v>254</v>
      </c>
      <c r="B410" s="229" t="s">
        <v>232</v>
      </c>
      <c r="C410" s="10" t="s">
        <v>97</v>
      </c>
      <c r="D410" s="14"/>
      <c r="E410" s="157"/>
      <c r="F410" s="10"/>
      <c r="G410" s="17" t="s">
        <v>934</v>
      </c>
      <c r="H410" s="10"/>
      <c r="I410" s="17"/>
      <c r="J410" s="83"/>
      <c r="K410" s="343"/>
      <c r="L410" s="347"/>
      <c r="M410" s="89">
        <v>17</v>
      </c>
      <c r="N410" s="10" t="s">
        <v>103</v>
      </c>
      <c r="O410" s="22">
        <v>8.6</v>
      </c>
      <c r="P410" s="21" t="s">
        <v>933</v>
      </c>
      <c r="Q410" s="83" t="str">
        <f>IF(OR(Enginuity!$B$22="",Enginuity!$B$22=0),"",Enginuity!$B$22*Enginuity!$B$6)</f>
        <v/>
      </c>
      <c r="U410" s="104" t="str">
        <f>IF(
  AND(
    TRIM(A410)=TRIM(Enginuity!$A$1),
    TRIM(B410)=TRIM(Enginuity!$A$17),
    Q410&lt;&gt;"",
    Q410&lt;&gt;0,
    OR(
      TRIM(C410)=TRIM(Enginuity!$A$18),
      AND(UPPER(TRIM(M410))="STD", TRIM(B410)=TRIM(Enginuity!$A$17))
    ),
    OR(
      AND(LEFT(P410,5)="1-Way", Enginuity!$B$13=1),
      AND(LEFT(P410,5)="2-Way", OR(Enginuity!$B$13=2, Enginuity!$B$13=4)),
      AND(LEFT(P410,5)="3-Way", OR(Enginuity!$B$13=3, Enginuity!$B$13=6)),
      AND(P410="Inner Centre Jamb", OR(Enginuity!$B$13=4, Enginuity!$B$13=6)),
      AND(
        LEFT(P410,5)&lt;&gt;"1-Way",
        LEFT(P410,5)&lt;&gt;"2-Way",
        LEFT(P410,5)&lt;&gt;"3-Way",
        P410&lt;&gt;"Inner Centre Jamb"
      )
    ),
    IF(OR(Enginuity!$A$1="Frameless Glass",Enginuity!$A$1="Metal Work"),
      AND(TRIM(B410)=TRIM(Enginuity!$A$17),TRIM(C410)=TRIM(Enginuity!$A$18)),
      TRIM(B410)=TRIM(Enginuity!$A$17)
    )
  ),
  ROW(),
  ""
)</f>
        <v/>
      </c>
      <c r="AY410" s="79">
        <f t="shared" si="8"/>
        <v>1.1000000000000001</v>
      </c>
      <c r="AZ410" s="5">
        <v>21</v>
      </c>
      <c r="BA410" t="s">
        <v>1261</v>
      </c>
      <c r="BB410" s="5">
        <f t="shared" si="7"/>
        <v>23.1</v>
      </c>
    </row>
    <row r="411" spans="1:54" x14ac:dyDescent="0.25">
      <c r="A411" s="10" t="s">
        <v>254</v>
      </c>
      <c r="B411" s="229" t="s">
        <v>232</v>
      </c>
      <c r="C411" s="10"/>
      <c r="D411" s="14"/>
      <c r="E411" s="157"/>
      <c r="F411" s="10"/>
      <c r="G411" s="17"/>
      <c r="H411" s="10"/>
      <c r="I411" s="17"/>
      <c r="J411" s="83"/>
      <c r="K411" s="343"/>
      <c r="L411" s="347"/>
      <c r="M411" s="89">
        <v>18</v>
      </c>
      <c r="N411" s="10"/>
      <c r="O411" s="22"/>
      <c r="P411" s="14"/>
      <c r="Q411" s="83"/>
      <c r="U411" s="104" t="str">
        <f>IF(
  AND(
    TRIM(A411)=TRIM(Enginuity!$A$1),
    TRIM(B411)=TRIM(Enginuity!$A$17),
    Q411&lt;&gt;"",
    Q411&lt;&gt;0,
    OR(
      TRIM(C411)=TRIM(Enginuity!$A$18),
      AND(UPPER(TRIM(M411))="STD", TRIM(B411)=TRIM(Enginuity!$A$17))
    ),
    OR(
      AND(LEFT(P411,5)="1-Way", Enginuity!$B$13=1),
      AND(LEFT(P411,5)="2-Way", OR(Enginuity!$B$13=2, Enginuity!$B$13=4)),
      AND(LEFT(P411,5)="3-Way", OR(Enginuity!$B$13=3, Enginuity!$B$13=6)),
      AND(P411="Inner Centre Jamb", OR(Enginuity!$B$13=4, Enginuity!$B$13=6)),
      AND(
        LEFT(P411,5)&lt;&gt;"1-Way",
        LEFT(P411,5)&lt;&gt;"2-Way",
        LEFT(P411,5)&lt;&gt;"3-Way",
        P411&lt;&gt;"Inner Centre Jamb"
      )
    ),
    IF(OR(Enginuity!$A$1="Frameless Glass",Enginuity!$A$1="Metal Work"),
      AND(TRIM(B411)=TRIM(Enginuity!$A$17),TRIM(C411)=TRIM(Enginuity!$A$18)),
      TRIM(B411)=TRIM(Enginuity!$A$17)
    )
  ),
  ROW(),
  ""
)</f>
        <v/>
      </c>
      <c r="AY411" s="79">
        <f t="shared" ref="AY411:AY442" si="9">AY410</f>
        <v>1.1000000000000001</v>
      </c>
      <c r="AZ411" s="5">
        <v>22</v>
      </c>
      <c r="BA411" t="s">
        <v>1262</v>
      </c>
      <c r="BB411" s="5">
        <f t="shared" si="7"/>
        <v>24.200000000000003</v>
      </c>
    </row>
    <row r="412" spans="1:54" x14ac:dyDescent="0.25">
      <c r="A412" s="10" t="s">
        <v>254</v>
      </c>
      <c r="B412" s="229" t="s">
        <v>232</v>
      </c>
      <c r="C412" s="10"/>
      <c r="D412" s="14"/>
      <c r="E412" s="157"/>
      <c r="F412" s="10"/>
      <c r="G412" s="17"/>
      <c r="H412" s="10"/>
      <c r="I412" s="17"/>
      <c r="J412" s="83"/>
      <c r="K412" s="343"/>
      <c r="L412" s="347"/>
      <c r="M412" s="89">
        <v>19</v>
      </c>
      <c r="N412" s="10"/>
      <c r="O412" s="22"/>
      <c r="P412" s="36"/>
      <c r="Q412" s="83"/>
      <c r="U412" s="104" t="str">
        <f>IF(
  AND(
    TRIM(A412)=TRIM(Enginuity!$A$1),
    TRIM(B412)=TRIM(Enginuity!$A$17),
    Q412&lt;&gt;"",
    Q412&lt;&gt;0,
    OR(
      TRIM(C412)=TRIM(Enginuity!$A$18),
      AND(UPPER(TRIM(M412))="STD", TRIM(B412)=TRIM(Enginuity!$A$17))
    ),
    OR(
      AND(LEFT(P412,5)="1-Way", Enginuity!$B$13=1),
      AND(LEFT(P412,5)="2-Way", OR(Enginuity!$B$13=2, Enginuity!$B$13=4)),
      AND(LEFT(P412,5)="3-Way", OR(Enginuity!$B$13=3, Enginuity!$B$13=6)),
      AND(P412="Inner Centre Jamb", OR(Enginuity!$B$13=4, Enginuity!$B$13=6)),
      AND(
        LEFT(P412,5)&lt;&gt;"1-Way",
        LEFT(P412,5)&lt;&gt;"2-Way",
        LEFT(P412,5)&lt;&gt;"3-Way",
        P412&lt;&gt;"Inner Centre Jamb"
      )
    ),
    IF(OR(Enginuity!$A$1="Frameless Glass",Enginuity!$A$1="Metal Work"),
      AND(TRIM(B412)=TRIM(Enginuity!$A$17),TRIM(C412)=TRIM(Enginuity!$A$18)),
      TRIM(B412)=TRIM(Enginuity!$A$17)
    )
  ),
  ROW(),
  ""
)</f>
        <v/>
      </c>
      <c r="AY412" s="79">
        <f t="shared" si="9"/>
        <v>1.1000000000000001</v>
      </c>
      <c r="AZ412" s="5">
        <v>23</v>
      </c>
      <c r="BA412" t="s">
        <v>1263</v>
      </c>
      <c r="BB412" s="5">
        <f t="shared" si="7"/>
        <v>25.3</v>
      </c>
    </row>
    <row r="413" spans="1:54" x14ac:dyDescent="0.25">
      <c r="A413" s="10" t="s">
        <v>254</v>
      </c>
      <c r="B413" s="229" t="s">
        <v>232</v>
      </c>
      <c r="C413" s="10"/>
      <c r="D413" s="14"/>
      <c r="E413" s="157"/>
      <c r="F413" s="10"/>
      <c r="G413" s="17"/>
      <c r="H413" s="10"/>
      <c r="I413" s="17"/>
      <c r="J413" s="83"/>
      <c r="K413" s="343"/>
      <c r="L413" s="347"/>
      <c r="M413" s="89">
        <v>20</v>
      </c>
      <c r="N413" s="10"/>
      <c r="O413" s="22"/>
      <c r="P413" s="36"/>
      <c r="Q413" s="83"/>
      <c r="U413" s="104" t="str">
        <f>IF(
  AND(
    TRIM(A413)=TRIM(Enginuity!$A$1),
    TRIM(B413)=TRIM(Enginuity!$A$17),
    Q413&lt;&gt;"",
    Q413&lt;&gt;0,
    OR(
      TRIM(C413)=TRIM(Enginuity!$A$18),
      AND(UPPER(TRIM(M413))="STD", TRIM(B413)=TRIM(Enginuity!$A$17))
    ),
    OR(
      AND(LEFT(P413,5)="1-Way", Enginuity!$B$13=1),
      AND(LEFT(P413,5)="2-Way", OR(Enginuity!$B$13=2, Enginuity!$B$13=4)),
      AND(LEFT(P413,5)="3-Way", OR(Enginuity!$B$13=3, Enginuity!$B$13=6)),
      AND(P413="Inner Centre Jamb", OR(Enginuity!$B$13=4, Enginuity!$B$13=6)),
      AND(
        LEFT(P413,5)&lt;&gt;"1-Way",
        LEFT(P413,5)&lt;&gt;"2-Way",
        LEFT(P413,5)&lt;&gt;"3-Way",
        P413&lt;&gt;"Inner Centre Jamb"
      )
    ),
    IF(OR(Enginuity!$A$1="Frameless Glass",Enginuity!$A$1="Metal Work"),
      AND(TRIM(B413)=TRIM(Enginuity!$A$17),TRIM(C413)=TRIM(Enginuity!$A$18)),
      TRIM(B413)=TRIM(Enginuity!$A$17)
    )
  ),
  ROW(),
  ""
)</f>
        <v/>
      </c>
      <c r="AY413" s="79">
        <f t="shared" si="9"/>
        <v>1.1000000000000001</v>
      </c>
      <c r="AZ413" s="5">
        <v>26</v>
      </c>
      <c r="BA413" t="s">
        <v>1264</v>
      </c>
      <c r="BB413" s="5">
        <f t="shared" si="7"/>
        <v>28.6</v>
      </c>
    </row>
    <row r="414" spans="1:54" x14ac:dyDescent="0.25">
      <c r="A414" s="10" t="s">
        <v>254</v>
      </c>
      <c r="B414" s="229" t="s">
        <v>232</v>
      </c>
      <c r="C414" s="10"/>
      <c r="D414" s="14"/>
      <c r="E414" s="157"/>
      <c r="F414" s="10"/>
      <c r="G414" s="17"/>
      <c r="H414" s="10"/>
      <c r="I414" s="17"/>
      <c r="J414" s="83"/>
      <c r="K414" s="343"/>
      <c r="L414" s="347"/>
      <c r="M414" s="89">
        <v>21</v>
      </c>
      <c r="N414" s="10"/>
      <c r="O414" s="22"/>
      <c r="P414" s="36"/>
      <c r="Q414" s="83"/>
      <c r="U414" s="104" t="str">
        <f>IF(
  AND(
    TRIM(A414)=TRIM(Enginuity!$A$1),
    TRIM(B414)=TRIM(Enginuity!$A$17),
    Q414&lt;&gt;"",
    Q414&lt;&gt;0,
    OR(
      TRIM(C414)=TRIM(Enginuity!$A$18),
      AND(UPPER(TRIM(M414))="STD", TRIM(B414)=TRIM(Enginuity!$A$17))
    ),
    OR(
      AND(LEFT(P414,5)="1-Way", Enginuity!$B$13=1),
      AND(LEFT(P414,5)="2-Way", OR(Enginuity!$B$13=2, Enginuity!$B$13=4)),
      AND(LEFT(P414,5)="3-Way", OR(Enginuity!$B$13=3, Enginuity!$B$13=6)),
      AND(P414="Inner Centre Jamb", OR(Enginuity!$B$13=4, Enginuity!$B$13=6)),
      AND(
        LEFT(P414,5)&lt;&gt;"1-Way",
        LEFT(P414,5)&lt;&gt;"2-Way",
        LEFT(P414,5)&lt;&gt;"3-Way",
        P414&lt;&gt;"Inner Centre Jamb"
      )
    ),
    IF(OR(Enginuity!$A$1="Frameless Glass",Enginuity!$A$1="Metal Work"),
      AND(TRIM(B414)=TRIM(Enginuity!$A$17),TRIM(C414)=TRIM(Enginuity!$A$18)),
      TRIM(B414)=TRIM(Enginuity!$A$17)
    )
  ),
  ROW(),
  ""
)</f>
        <v/>
      </c>
      <c r="AY414" s="79">
        <f t="shared" si="9"/>
        <v>1.1000000000000001</v>
      </c>
      <c r="AZ414" s="5">
        <v>28</v>
      </c>
      <c r="BA414" t="s">
        <v>1265</v>
      </c>
      <c r="BB414" s="5">
        <f t="shared" si="7"/>
        <v>30.800000000000004</v>
      </c>
    </row>
    <row r="415" spans="1:54" x14ac:dyDescent="0.25">
      <c r="A415" s="10" t="s">
        <v>254</v>
      </c>
      <c r="B415" s="229" t="s">
        <v>232</v>
      </c>
      <c r="C415" s="10"/>
      <c r="D415" s="14"/>
      <c r="E415" s="157"/>
      <c r="F415" s="10"/>
      <c r="G415" s="17"/>
      <c r="H415" s="10"/>
      <c r="I415" s="17"/>
      <c r="J415" s="83"/>
      <c r="K415" s="343"/>
      <c r="L415" s="347"/>
      <c r="M415" s="89">
        <v>22</v>
      </c>
      <c r="N415" s="10"/>
      <c r="O415" s="22"/>
      <c r="P415" s="36"/>
      <c r="Q415" s="83"/>
      <c r="U415" s="104" t="str">
        <f>IF(
  AND(
    TRIM(A415)=TRIM(Enginuity!$A$1),
    TRIM(B415)=TRIM(Enginuity!$A$17),
    Q415&lt;&gt;"",
    Q415&lt;&gt;0,
    OR(
      TRIM(C415)=TRIM(Enginuity!$A$18),
      AND(UPPER(TRIM(M415))="STD", TRIM(B415)=TRIM(Enginuity!$A$17))
    ),
    OR(
      AND(LEFT(P415,5)="1-Way", Enginuity!$B$13=1),
      AND(LEFT(P415,5)="2-Way", OR(Enginuity!$B$13=2, Enginuity!$B$13=4)),
      AND(LEFT(P415,5)="3-Way", OR(Enginuity!$B$13=3, Enginuity!$B$13=6)),
      AND(P415="Inner Centre Jamb", OR(Enginuity!$B$13=4, Enginuity!$B$13=6)),
      AND(
        LEFT(P415,5)&lt;&gt;"1-Way",
        LEFT(P415,5)&lt;&gt;"2-Way",
        LEFT(P415,5)&lt;&gt;"3-Way",
        P415&lt;&gt;"Inner Centre Jamb"
      )
    ),
    IF(OR(Enginuity!$A$1="Frameless Glass",Enginuity!$A$1="Metal Work"),
      AND(TRIM(B415)=TRIM(Enginuity!$A$17),TRIM(C415)=TRIM(Enginuity!$A$18)),
      TRIM(B415)=TRIM(Enginuity!$A$17)
    )
  ),
  ROW(),
  ""
)</f>
        <v/>
      </c>
      <c r="AY415" s="79">
        <f t="shared" si="9"/>
        <v>1.1000000000000001</v>
      </c>
      <c r="AZ415" s="5">
        <v>30</v>
      </c>
      <c r="BA415" t="s">
        <v>1266</v>
      </c>
      <c r="BB415" s="5">
        <f t="shared" si="7"/>
        <v>33</v>
      </c>
    </row>
    <row r="416" spans="1:54" x14ac:dyDescent="0.25">
      <c r="A416" s="10" t="s">
        <v>254</v>
      </c>
      <c r="B416" s="229" t="s">
        <v>232</v>
      </c>
      <c r="C416" s="10"/>
      <c r="D416" s="14"/>
      <c r="E416" s="157"/>
      <c r="F416" s="10"/>
      <c r="G416" s="17"/>
      <c r="H416" s="10"/>
      <c r="I416" s="17"/>
      <c r="J416" s="83"/>
      <c r="K416" s="343"/>
      <c r="L416" s="347"/>
      <c r="M416" s="89">
        <v>23</v>
      </c>
      <c r="N416" s="10"/>
      <c r="O416" s="22"/>
      <c r="P416" s="36"/>
      <c r="Q416" s="83"/>
      <c r="U416" s="104" t="str">
        <f>IF(
  AND(
    TRIM(A416)=TRIM(Enginuity!$A$1),
    TRIM(B416)=TRIM(Enginuity!$A$17),
    Q416&lt;&gt;"",
    Q416&lt;&gt;0,
    OR(
      TRIM(C416)=TRIM(Enginuity!$A$18),
      AND(UPPER(TRIM(M416))="STD", TRIM(B416)=TRIM(Enginuity!$A$17))
    ),
    OR(
      AND(LEFT(P416,5)="1-Way", Enginuity!$B$13=1),
      AND(LEFT(P416,5)="2-Way", OR(Enginuity!$B$13=2, Enginuity!$B$13=4)),
      AND(LEFT(P416,5)="3-Way", OR(Enginuity!$B$13=3, Enginuity!$B$13=6)),
      AND(P416="Inner Centre Jamb", OR(Enginuity!$B$13=4, Enginuity!$B$13=6)),
      AND(
        LEFT(P416,5)&lt;&gt;"1-Way",
        LEFT(P416,5)&lt;&gt;"2-Way",
        LEFT(P416,5)&lt;&gt;"3-Way",
        P416&lt;&gt;"Inner Centre Jamb"
      )
    ),
    IF(OR(Enginuity!$A$1="Frameless Glass",Enginuity!$A$1="Metal Work"),
      AND(TRIM(B416)=TRIM(Enginuity!$A$17),TRIM(C416)=TRIM(Enginuity!$A$18)),
      TRIM(B416)=TRIM(Enginuity!$A$17)
    )
  ),
  ROW(),
  ""
)</f>
        <v/>
      </c>
      <c r="AY416" s="79">
        <f t="shared" si="9"/>
        <v>1.1000000000000001</v>
      </c>
      <c r="AZ416" s="5">
        <v>32</v>
      </c>
      <c r="BA416" t="s">
        <v>1267</v>
      </c>
      <c r="BB416" s="5">
        <f t="shared" si="7"/>
        <v>35.200000000000003</v>
      </c>
    </row>
    <row r="417" spans="1:54" x14ac:dyDescent="0.25">
      <c r="A417" s="10" t="s">
        <v>254</v>
      </c>
      <c r="B417" s="229" t="s">
        <v>232</v>
      </c>
      <c r="C417" s="10"/>
      <c r="D417" s="14"/>
      <c r="E417" s="157"/>
      <c r="F417" s="10"/>
      <c r="G417" s="17"/>
      <c r="H417" s="10"/>
      <c r="I417" s="17"/>
      <c r="J417" s="83"/>
      <c r="K417" s="343"/>
      <c r="L417" s="347"/>
      <c r="M417" s="89">
        <v>24</v>
      </c>
      <c r="N417" s="10"/>
      <c r="O417" s="22"/>
      <c r="P417" s="36"/>
      <c r="Q417" s="83"/>
      <c r="U417" s="104" t="str">
        <f>IF(
  AND(
    TRIM(A417)=TRIM(Enginuity!$A$1),
    TRIM(B417)=TRIM(Enginuity!$A$17),
    Q417&lt;&gt;"",
    Q417&lt;&gt;0,
    OR(
      TRIM(C417)=TRIM(Enginuity!$A$18),
      AND(UPPER(TRIM(M417))="STD", TRIM(B417)=TRIM(Enginuity!$A$17))
    ),
    OR(
      AND(LEFT(P417,5)="1-Way", Enginuity!$B$13=1),
      AND(LEFT(P417,5)="2-Way", OR(Enginuity!$B$13=2, Enginuity!$B$13=4)),
      AND(LEFT(P417,5)="3-Way", OR(Enginuity!$B$13=3, Enginuity!$B$13=6)),
      AND(P417="Inner Centre Jamb", OR(Enginuity!$B$13=4, Enginuity!$B$13=6)),
      AND(
        LEFT(P417,5)&lt;&gt;"1-Way",
        LEFT(P417,5)&lt;&gt;"2-Way",
        LEFT(P417,5)&lt;&gt;"3-Way",
        P417&lt;&gt;"Inner Centre Jamb"
      )
    ),
    IF(OR(Enginuity!$A$1="Frameless Glass",Enginuity!$A$1="Metal Work"),
      AND(TRIM(B417)=TRIM(Enginuity!$A$17),TRIM(C417)=TRIM(Enginuity!$A$18)),
      TRIM(B417)=TRIM(Enginuity!$A$17)
    )
  ),
  ROW(),
  ""
)</f>
        <v/>
      </c>
      <c r="AY417" s="79">
        <f t="shared" si="9"/>
        <v>1.1000000000000001</v>
      </c>
      <c r="AZ417" s="5">
        <v>34</v>
      </c>
      <c r="BA417" t="s">
        <v>1268</v>
      </c>
      <c r="BB417" s="5">
        <f t="shared" si="7"/>
        <v>37.400000000000006</v>
      </c>
    </row>
    <row r="418" spans="1:54" x14ac:dyDescent="0.25">
      <c r="A418" s="10" t="s">
        <v>254</v>
      </c>
      <c r="B418" s="229" t="s">
        <v>232</v>
      </c>
      <c r="C418" s="10"/>
      <c r="D418" s="14"/>
      <c r="E418" s="157"/>
      <c r="F418" s="10"/>
      <c r="G418" s="17"/>
      <c r="H418" s="10"/>
      <c r="I418" s="17"/>
      <c r="J418" s="83"/>
      <c r="K418" s="343"/>
      <c r="L418" s="347"/>
      <c r="M418" s="89">
        <v>25</v>
      </c>
      <c r="N418" s="10"/>
      <c r="O418" s="22"/>
      <c r="P418" s="36"/>
      <c r="Q418" s="83"/>
      <c r="U418" s="104" t="str">
        <f>IF(
  AND(
    TRIM(A418)=TRIM(Enginuity!$A$1),
    TRIM(B418)=TRIM(Enginuity!$A$17),
    Q418&lt;&gt;"",
    Q418&lt;&gt;0,
    OR(
      TRIM(C418)=TRIM(Enginuity!$A$18),
      AND(UPPER(TRIM(M418))="STD", TRIM(B418)=TRIM(Enginuity!$A$17))
    ),
    OR(
      AND(LEFT(P418,5)="1-Way", Enginuity!$B$13=1),
      AND(LEFT(P418,5)="2-Way", OR(Enginuity!$B$13=2, Enginuity!$B$13=4)),
      AND(LEFT(P418,5)="3-Way", OR(Enginuity!$B$13=3, Enginuity!$B$13=6)),
      AND(P418="Inner Centre Jamb", OR(Enginuity!$B$13=4, Enginuity!$B$13=6)),
      AND(
        LEFT(P418,5)&lt;&gt;"1-Way",
        LEFT(P418,5)&lt;&gt;"2-Way",
        LEFT(P418,5)&lt;&gt;"3-Way",
        P418&lt;&gt;"Inner Centre Jamb"
      )
    ),
    IF(OR(Enginuity!$A$1="Frameless Glass",Enginuity!$A$1="Metal Work"),
      AND(TRIM(B418)=TRIM(Enginuity!$A$17),TRIM(C418)=TRIM(Enginuity!$A$18)),
      TRIM(B418)=TRIM(Enginuity!$A$17)
    )
  ),
  ROW(),
  ""
)</f>
        <v/>
      </c>
      <c r="AY418" s="79">
        <f t="shared" si="9"/>
        <v>1.1000000000000001</v>
      </c>
      <c r="AZ418" s="5">
        <v>36</v>
      </c>
      <c r="BA418" t="s">
        <v>1269</v>
      </c>
      <c r="BB418" s="5">
        <f t="shared" si="7"/>
        <v>39.6</v>
      </c>
    </row>
    <row r="419" spans="1:54" x14ac:dyDescent="0.25">
      <c r="A419" s="10" t="s">
        <v>254</v>
      </c>
      <c r="B419" s="229" t="s">
        <v>232</v>
      </c>
      <c r="C419" s="10"/>
      <c r="D419" s="14"/>
      <c r="E419" s="157"/>
      <c r="F419" s="10"/>
      <c r="G419" s="17"/>
      <c r="H419" s="10"/>
      <c r="I419" s="17"/>
      <c r="J419" s="83"/>
      <c r="K419" s="343"/>
      <c r="L419" s="347"/>
      <c r="M419" s="89">
        <v>26</v>
      </c>
      <c r="N419" s="10"/>
      <c r="O419" s="22"/>
      <c r="P419" s="36"/>
      <c r="Q419" s="83"/>
      <c r="U419" s="104" t="str">
        <f>IF(
  AND(
    TRIM(A419)=TRIM(Enginuity!$A$1),
    TRIM(B419)=TRIM(Enginuity!$A$17),
    Q419&lt;&gt;"",
    Q419&lt;&gt;0,
    OR(
      TRIM(C419)=TRIM(Enginuity!$A$18),
      AND(UPPER(TRIM(M419))="STD", TRIM(B419)=TRIM(Enginuity!$A$17))
    ),
    OR(
      AND(LEFT(P419,5)="1-Way", Enginuity!$B$13=1),
      AND(LEFT(P419,5)="2-Way", OR(Enginuity!$B$13=2, Enginuity!$B$13=4)),
      AND(LEFT(P419,5)="3-Way", OR(Enginuity!$B$13=3, Enginuity!$B$13=6)),
      AND(P419="Inner Centre Jamb", OR(Enginuity!$B$13=4, Enginuity!$B$13=6)),
      AND(
        LEFT(P419,5)&lt;&gt;"1-Way",
        LEFT(P419,5)&lt;&gt;"2-Way",
        LEFT(P419,5)&lt;&gt;"3-Way",
        P419&lt;&gt;"Inner Centre Jamb"
      )
    ),
    IF(OR(Enginuity!$A$1="Frameless Glass",Enginuity!$A$1="Metal Work"),
      AND(TRIM(B419)=TRIM(Enginuity!$A$17),TRIM(C419)=TRIM(Enginuity!$A$18)),
      TRIM(B419)=TRIM(Enginuity!$A$17)
    )
  ),
  ROW(),
  ""
)</f>
        <v/>
      </c>
      <c r="AY419" s="79">
        <f t="shared" si="9"/>
        <v>1.1000000000000001</v>
      </c>
      <c r="AZ419" s="5">
        <v>22</v>
      </c>
      <c r="BA419" t="s">
        <v>1270</v>
      </c>
      <c r="BB419" s="5">
        <f t="shared" si="7"/>
        <v>24.200000000000003</v>
      </c>
    </row>
    <row r="420" spans="1:54" x14ac:dyDescent="0.25">
      <c r="A420" s="10" t="s">
        <v>254</v>
      </c>
      <c r="B420" s="229" t="s">
        <v>232</v>
      </c>
      <c r="C420" s="10"/>
      <c r="D420" s="14"/>
      <c r="E420" s="157"/>
      <c r="F420" s="10"/>
      <c r="G420" s="17"/>
      <c r="H420" s="10"/>
      <c r="I420" s="17"/>
      <c r="J420" s="83"/>
      <c r="K420" s="343"/>
      <c r="L420" s="347"/>
      <c r="M420" s="89">
        <v>27</v>
      </c>
      <c r="N420" s="10"/>
      <c r="O420" s="22"/>
      <c r="P420" s="36"/>
      <c r="Q420" s="83"/>
      <c r="U420" s="104" t="str">
        <f>IF(
  AND(
    TRIM(A420)=TRIM(Enginuity!$A$1),
    TRIM(B420)=TRIM(Enginuity!$A$17),
    Q420&lt;&gt;"",
    Q420&lt;&gt;0,
    OR(
      TRIM(C420)=TRIM(Enginuity!$A$18),
      AND(UPPER(TRIM(M420))="STD", TRIM(B420)=TRIM(Enginuity!$A$17))
    ),
    OR(
      AND(LEFT(P420,5)="1-Way", Enginuity!$B$13=1),
      AND(LEFT(P420,5)="2-Way", OR(Enginuity!$B$13=2, Enginuity!$B$13=4)),
      AND(LEFT(P420,5)="3-Way", OR(Enginuity!$B$13=3, Enginuity!$B$13=6)),
      AND(P420="Inner Centre Jamb", OR(Enginuity!$B$13=4, Enginuity!$B$13=6)),
      AND(
        LEFT(P420,5)&lt;&gt;"1-Way",
        LEFT(P420,5)&lt;&gt;"2-Way",
        LEFT(P420,5)&lt;&gt;"3-Way",
        P420&lt;&gt;"Inner Centre Jamb"
      )
    ),
    IF(OR(Enginuity!$A$1="Frameless Glass",Enginuity!$A$1="Metal Work"),
      AND(TRIM(B420)=TRIM(Enginuity!$A$17),TRIM(C420)=TRIM(Enginuity!$A$18)),
      TRIM(B420)=TRIM(Enginuity!$A$17)
    )
  ),
  ROW(),
  ""
)</f>
        <v/>
      </c>
      <c r="AY420" s="79">
        <f t="shared" si="9"/>
        <v>1.1000000000000001</v>
      </c>
      <c r="AZ420" s="5">
        <v>23</v>
      </c>
      <c r="BA420" t="s">
        <v>1271</v>
      </c>
      <c r="BB420" s="5">
        <f t="shared" si="7"/>
        <v>25.3</v>
      </c>
    </row>
    <row r="421" spans="1:54" x14ac:dyDescent="0.25">
      <c r="A421" s="10" t="s">
        <v>254</v>
      </c>
      <c r="B421" s="229" t="s">
        <v>232</v>
      </c>
      <c r="C421" s="10"/>
      <c r="D421" s="14"/>
      <c r="E421" s="157"/>
      <c r="F421" s="10"/>
      <c r="G421" s="17"/>
      <c r="H421" s="10"/>
      <c r="I421" s="17"/>
      <c r="J421" s="83"/>
      <c r="K421" s="343"/>
      <c r="L421" s="347"/>
      <c r="M421" s="89">
        <v>28</v>
      </c>
      <c r="N421" s="10"/>
      <c r="O421" s="22"/>
      <c r="P421" s="36"/>
      <c r="Q421" s="83"/>
      <c r="U421" s="104" t="str">
        <f>IF(
  AND(
    TRIM(A421)=TRIM(Enginuity!$A$1),
    TRIM(B421)=TRIM(Enginuity!$A$17),
    Q421&lt;&gt;"",
    Q421&lt;&gt;0,
    OR(
      TRIM(C421)=TRIM(Enginuity!$A$18),
      AND(UPPER(TRIM(M421))="STD", TRIM(B421)=TRIM(Enginuity!$A$17))
    ),
    OR(
      AND(LEFT(P421,5)="1-Way", Enginuity!$B$13=1),
      AND(LEFT(P421,5)="2-Way", OR(Enginuity!$B$13=2, Enginuity!$B$13=4)),
      AND(LEFT(P421,5)="3-Way", OR(Enginuity!$B$13=3, Enginuity!$B$13=6)),
      AND(P421="Inner Centre Jamb", OR(Enginuity!$B$13=4, Enginuity!$B$13=6)),
      AND(
        LEFT(P421,5)&lt;&gt;"1-Way",
        LEFT(P421,5)&lt;&gt;"2-Way",
        LEFT(P421,5)&lt;&gt;"3-Way",
        P421&lt;&gt;"Inner Centre Jamb"
      )
    ),
    IF(OR(Enginuity!$A$1="Frameless Glass",Enginuity!$A$1="Metal Work"),
      AND(TRIM(B421)=TRIM(Enginuity!$A$17),TRIM(C421)=TRIM(Enginuity!$A$18)),
      TRIM(B421)=TRIM(Enginuity!$A$17)
    )
  ),
  ROW(),
  ""
)</f>
        <v/>
      </c>
      <c r="AY421" s="79">
        <f t="shared" si="9"/>
        <v>1.1000000000000001</v>
      </c>
      <c r="AZ421" s="5">
        <v>24</v>
      </c>
      <c r="BA421" t="s">
        <v>1272</v>
      </c>
      <c r="BB421" s="5">
        <f t="shared" si="7"/>
        <v>26.400000000000002</v>
      </c>
    </row>
    <row r="422" spans="1:54" x14ac:dyDescent="0.25">
      <c r="A422" s="10" t="s">
        <v>254</v>
      </c>
      <c r="B422" s="229" t="s">
        <v>232</v>
      </c>
      <c r="C422" s="10"/>
      <c r="D422" s="14"/>
      <c r="E422" s="157"/>
      <c r="F422" s="10"/>
      <c r="G422" s="17"/>
      <c r="H422" s="10"/>
      <c r="I422" s="17"/>
      <c r="J422" s="83"/>
      <c r="K422" s="343"/>
      <c r="L422" s="347"/>
      <c r="M422" s="89">
        <v>29</v>
      </c>
      <c r="N422" s="10"/>
      <c r="O422" s="22"/>
      <c r="P422" s="36"/>
      <c r="Q422" s="83"/>
      <c r="U422" s="104" t="str">
        <f>IF(
  AND(
    TRIM(A422)=TRIM(Enginuity!$A$1),
    TRIM(B422)=TRIM(Enginuity!$A$17),
    Q422&lt;&gt;"",
    Q422&lt;&gt;0,
    OR(
      TRIM(C422)=TRIM(Enginuity!$A$18),
      AND(UPPER(TRIM(M422))="STD", TRIM(B422)=TRIM(Enginuity!$A$17))
    ),
    OR(
      AND(LEFT(P422,5)="1-Way", Enginuity!$B$13=1),
      AND(LEFT(P422,5)="2-Way", OR(Enginuity!$B$13=2, Enginuity!$B$13=4)),
      AND(LEFT(P422,5)="3-Way", OR(Enginuity!$B$13=3, Enginuity!$B$13=6)),
      AND(P422="Inner Centre Jamb", OR(Enginuity!$B$13=4, Enginuity!$B$13=6)),
      AND(
        LEFT(P422,5)&lt;&gt;"1-Way",
        LEFT(P422,5)&lt;&gt;"2-Way",
        LEFT(P422,5)&lt;&gt;"3-Way",
        P422&lt;&gt;"Inner Centre Jamb"
      )
    ),
    IF(OR(Enginuity!$A$1="Frameless Glass",Enginuity!$A$1="Metal Work"),
      AND(TRIM(B422)=TRIM(Enginuity!$A$17),TRIM(C422)=TRIM(Enginuity!$A$18)),
      TRIM(B422)=TRIM(Enginuity!$A$17)
    )
  ),
  ROW(),
  ""
)</f>
        <v/>
      </c>
      <c r="AY422" s="79">
        <f t="shared" si="9"/>
        <v>1.1000000000000001</v>
      </c>
      <c r="AZ422" s="5">
        <v>27</v>
      </c>
      <c r="BA422" t="s">
        <v>1273</v>
      </c>
      <c r="BB422" s="5">
        <f t="shared" si="7"/>
        <v>29.700000000000003</v>
      </c>
    </row>
    <row r="423" spans="1:54" x14ac:dyDescent="0.25">
      <c r="A423" s="10" t="s">
        <v>254</v>
      </c>
      <c r="B423" s="229" t="s">
        <v>232</v>
      </c>
      <c r="C423" s="10"/>
      <c r="D423" s="14"/>
      <c r="E423" s="157"/>
      <c r="F423" s="10"/>
      <c r="G423" s="17"/>
      <c r="H423" s="10"/>
      <c r="I423" s="17"/>
      <c r="J423" s="83"/>
      <c r="K423" s="343"/>
      <c r="L423" s="347"/>
      <c r="M423" s="89">
        <v>30</v>
      </c>
      <c r="N423" s="10"/>
      <c r="O423" s="22"/>
      <c r="P423" s="36"/>
      <c r="Q423" s="83"/>
      <c r="U423" s="104" t="str">
        <f>IF(
  AND(
    TRIM(A423)=TRIM(Enginuity!$A$1),
    TRIM(B423)=TRIM(Enginuity!$A$17),
    Q423&lt;&gt;"",
    Q423&lt;&gt;0,
    OR(
      TRIM(C423)=TRIM(Enginuity!$A$18),
      AND(UPPER(TRIM(M423))="STD", TRIM(B423)=TRIM(Enginuity!$A$17))
    ),
    OR(
      AND(LEFT(P423,5)="1-Way", Enginuity!$B$13=1),
      AND(LEFT(P423,5)="2-Way", OR(Enginuity!$B$13=2, Enginuity!$B$13=4)),
      AND(LEFT(P423,5)="3-Way", OR(Enginuity!$B$13=3, Enginuity!$B$13=6)),
      AND(P423="Inner Centre Jamb", OR(Enginuity!$B$13=4, Enginuity!$B$13=6)),
      AND(
        LEFT(P423,5)&lt;&gt;"1-Way",
        LEFT(P423,5)&lt;&gt;"2-Way",
        LEFT(P423,5)&lt;&gt;"3-Way",
        P423&lt;&gt;"Inner Centre Jamb"
      )
    ),
    IF(OR(Enginuity!$A$1="Frameless Glass",Enginuity!$A$1="Metal Work"),
      AND(TRIM(B423)=TRIM(Enginuity!$A$17),TRIM(C423)=TRIM(Enginuity!$A$18)),
      TRIM(B423)=TRIM(Enginuity!$A$17)
    )
  ),
  ROW(),
  ""
)</f>
        <v/>
      </c>
      <c r="AY423" s="79">
        <f t="shared" si="9"/>
        <v>1.1000000000000001</v>
      </c>
      <c r="AZ423" s="5">
        <v>29</v>
      </c>
      <c r="BA423" t="s">
        <v>1274</v>
      </c>
      <c r="BB423" s="5">
        <f t="shared" si="7"/>
        <v>31.900000000000002</v>
      </c>
    </row>
    <row r="424" spans="1:54" x14ac:dyDescent="0.25">
      <c r="A424" s="10" t="s">
        <v>254</v>
      </c>
      <c r="B424" s="229" t="s">
        <v>232</v>
      </c>
      <c r="C424" s="10"/>
      <c r="D424" s="14"/>
      <c r="E424" s="157"/>
      <c r="F424" s="10"/>
      <c r="G424" s="17"/>
      <c r="H424" s="10"/>
      <c r="I424" s="17"/>
      <c r="J424" s="83"/>
      <c r="K424" s="343"/>
      <c r="L424" s="347"/>
      <c r="M424" s="89">
        <v>31</v>
      </c>
      <c r="N424" s="10"/>
      <c r="O424" s="22"/>
      <c r="P424" s="36"/>
      <c r="Q424" s="83"/>
      <c r="U424" s="104" t="str">
        <f>IF(
  AND(
    TRIM(A424)=TRIM(Enginuity!$A$1),
    TRIM(B424)=TRIM(Enginuity!$A$17),
    Q424&lt;&gt;"",
    Q424&lt;&gt;0,
    OR(
      TRIM(C424)=TRIM(Enginuity!$A$18),
      AND(UPPER(TRIM(M424))="STD", TRIM(B424)=TRIM(Enginuity!$A$17))
    ),
    OR(
      AND(LEFT(P424,5)="1-Way", Enginuity!$B$13=1),
      AND(LEFT(P424,5)="2-Way", OR(Enginuity!$B$13=2, Enginuity!$B$13=4)),
      AND(LEFT(P424,5)="3-Way", OR(Enginuity!$B$13=3, Enginuity!$B$13=6)),
      AND(P424="Inner Centre Jamb", OR(Enginuity!$B$13=4, Enginuity!$B$13=6)),
      AND(
        LEFT(P424,5)&lt;&gt;"1-Way",
        LEFT(P424,5)&lt;&gt;"2-Way",
        LEFT(P424,5)&lt;&gt;"3-Way",
        P424&lt;&gt;"Inner Centre Jamb"
      )
    ),
    IF(OR(Enginuity!$A$1="Frameless Glass",Enginuity!$A$1="Metal Work"),
      AND(TRIM(B424)=TRIM(Enginuity!$A$17),TRIM(C424)=TRIM(Enginuity!$A$18)),
      TRIM(B424)=TRIM(Enginuity!$A$17)
    )
  ),
  ROW(),
  ""
)</f>
        <v/>
      </c>
      <c r="AY424" s="79">
        <f t="shared" si="9"/>
        <v>1.1000000000000001</v>
      </c>
      <c r="AZ424" s="5">
        <v>31</v>
      </c>
      <c r="BA424" t="s">
        <v>1275</v>
      </c>
      <c r="BB424" s="5">
        <f t="shared" si="7"/>
        <v>34.1</v>
      </c>
    </row>
    <row r="425" spans="1:54" x14ac:dyDescent="0.25">
      <c r="A425" s="10" t="s">
        <v>254</v>
      </c>
      <c r="B425" s="229" t="s">
        <v>232</v>
      </c>
      <c r="C425" s="10"/>
      <c r="D425" s="14"/>
      <c r="E425" s="157"/>
      <c r="F425" s="10"/>
      <c r="G425" s="17"/>
      <c r="H425" s="10"/>
      <c r="I425" s="17"/>
      <c r="J425" s="83"/>
      <c r="K425" s="343"/>
      <c r="L425" s="347"/>
      <c r="M425" s="89">
        <v>32</v>
      </c>
      <c r="N425" s="10"/>
      <c r="O425" s="22"/>
      <c r="P425" s="36"/>
      <c r="Q425" s="83"/>
      <c r="U425" s="104" t="str">
        <f>IF(
  AND(
    TRIM(A425)=TRIM(Enginuity!$A$1),
    TRIM(B425)=TRIM(Enginuity!$A$17),
    Q425&lt;&gt;"",
    Q425&lt;&gt;0,
    OR(
      TRIM(C425)=TRIM(Enginuity!$A$18),
      AND(UPPER(TRIM(M425))="STD", TRIM(B425)=TRIM(Enginuity!$A$17))
    ),
    OR(
      AND(LEFT(P425,5)="1-Way", Enginuity!$B$13=1),
      AND(LEFT(P425,5)="2-Way", OR(Enginuity!$B$13=2, Enginuity!$B$13=4)),
      AND(LEFT(P425,5)="3-Way", OR(Enginuity!$B$13=3, Enginuity!$B$13=6)),
      AND(P425="Inner Centre Jamb", OR(Enginuity!$B$13=4, Enginuity!$B$13=6)),
      AND(
        LEFT(P425,5)&lt;&gt;"1-Way",
        LEFT(P425,5)&lt;&gt;"2-Way",
        LEFT(P425,5)&lt;&gt;"3-Way",
        P425&lt;&gt;"Inner Centre Jamb"
      )
    ),
    IF(OR(Enginuity!$A$1="Frameless Glass",Enginuity!$A$1="Metal Work"),
      AND(TRIM(B425)=TRIM(Enginuity!$A$17),TRIM(C425)=TRIM(Enginuity!$A$18)),
      TRIM(B425)=TRIM(Enginuity!$A$17)
    )
  ),
  ROW(),
  ""
)</f>
        <v/>
      </c>
      <c r="AY425" s="79">
        <f t="shared" si="9"/>
        <v>1.1000000000000001</v>
      </c>
      <c r="AZ425" s="5">
        <v>33</v>
      </c>
      <c r="BA425" t="s">
        <v>1276</v>
      </c>
      <c r="BB425" s="5">
        <f t="shared" si="7"/>
        <v>36.300000000000004</v>
      </c>
    </row>
    <row r="426" spans="1:54" x14ac:dyDescent="0.25">
      <c r="A426" s="10" t="s">
        <v>254</v>
      </c>
      <c r="B426" s="229" t="s">
        <v>232</v>
      </c>
      <c r="C426" s="10"/>
      <c r="D426" s="14"/>
      <c r="E426" s="157"/>
      <c r="F426" s="10"/>
      <c r="G426" s="17"/>
      <c r="H426" s="10"/>
      <c r="I426" s="17"/>
      <c r="J426" s="83"/>
      <c r="K426" s="343"/>
      <c r="L426" s="347"/>
      <c r="M426" s="89">
        <v>33</v>
      </c>
      <c r="N426" s="10"/>
      <c r="O426" s="22"/>
      <c r="P426" s="36"/>
      <c r="Q426" s="83"/>
      <c r="U426" s="104" t="str">
        <f>IF(
  AND(
    TRIM(A426)=TRIM(Enginuity!$A$1),
    TRIM(B426)=TRIM(Enginuity!$A$17),
    Q426&lt;&gt;"",
    Q426&lt;&gt;0,
    OR(
      TRIM(C426)=TRIM(Enginuity!$A$18),
      AND(UPPER(TRIM(M426))="STD", TRIM(B426)=TRIM(Enginuity!$A$17))
    ),
    OR(
      AND(LEFT(P426,5)="1-Way", Enginuity!$B$13=1),
      AND(LEFT(P426,5)="2-Way", OR(Enginuity!$B$13=2, Enginuity!$B$13=4)),
      AND(LEFT(P426,5)="3-Way", OR(Enginuity!$B$13=3, Enginuity!$B$13=6)),
      AND(P426="Inner Centre Jamb", OR(Enginuity!$B$13=4, Enginuity!$B$13=6)),
      AND(
        LEFT(P426,5)&lt;&gt;"1-Way",
        LEFT(P426,5)&lt;&gt;"2-Way",
        LEFT(P426,5)&lt;&gt;"3-Way",
        P426&lt;&gt;"Inner Centre Jamb"
      )
    ),
    IF(OR(Enginuity!$A$1="Frameless Glass",Enginuity!$A$1="Metal Work"),
      AND(TRIM(B426)=TRIM(Enginuity!$A$17),TRIM(C426)=TRIM(Enginuity!$A$18)),
      TRIM(B426)=TRIM(Enginuity!$A$17)
    )
  ),
  ROW(),
  ""
)</f>
        <v/>
      </c>
      <c r="AY426" s="79">
        <f t="shared" si="9"/>
        <v>1.1000000000000001</v>
      </c>
      <c r="AZ426" s="5">
        <v>35</v>
      </c>
      <c r="BA426" t="s">
        <v>1277</v>
      </c>
      <c r="BB426" s="5">
        <f t="shared" si="7"/>
        <v>38.5</v>
      </c>
    </row>
    <row r="427" spans="1:54" x14ac:dyDescent="0.25">
      <c r="A427" s="10" t="s">
        <v>254</v>
      </c>
      <c r="B427" s="229" t="s">
        <v>232</v>
      </c>
      <c r="C427" s="10"/>
      <c r="D427" s="14"/>
      <c r="E427" s="157"/>
      <c r="F427" s="10"/>
      <c r="G427" s="17"/>
      <c r="H427" s="10"/>
      <c r="I427" s="17"/>
      <c r="J427" s="83"/>
      <c r="K427" s="343"/>
      <c r="L427" s="347"/>
      <c r="M427" s="89">
        <v>34</v>
      </c>
      <c r="N427" s="10"/>
      <c r="O427" s="22"/>
      <c r="P427" s="36"/>
      <c r="Q427" s="83"/>
      <c r="U427" s="104" t="str">
        <f>IF(
  AND(
    TRIM(A427)=TRIM(Enginuity!$A$1),
    TRIM(B427)=TRIM(Enginuity!$A$17),
    Q427&lt;&gt;"",
    Q427&lt;&gt;0,
    OR(
      TRIM(C427)=TRIM(Enginuity!$A$18),
      AND(UPPER(TRIM(M427))="STD", TRIM(B427)=TRIM(Enginuity!$A$17))
    ),
    OR(
      AND(LEFT(P427,5)="1-Way", Enginuity!$B$13=1),
      AND(LEFT(P427,5)="2-Way", OR(Enginuity!$B$13=2, Enginuity!$B$13=4)),
      AND(LEFT(P427,5)="3-Way", OR(Enginuity!$B$13=3, Enginuity!$B$13=6)),
      AND(P427="Inner Centre Jamb", OR(Enginuity!$B$13=4, Enginuity!$B$13=6)),
      AND(
        LEFT(P427,5)&lt;&gt;"1-Way",
        LEFT(P427,5)&lt;&gt;"2-Way",
        LEFT(P427,5)&lt;&gt;"3-Way",
        P427&lt;&gt;"Inner Centre Jamb"
      )
    ),
    IF(OR(Enginuity!$A$1="Frameless Glass",Enginuity!$A$1="Metal Work"),
      AND(TRIM(B427)=TRIM(Enginuity!$A$17),TRIM(C427)=TRIM(Enginuity!$A$18)),
      TRIM(B427)=TRIM(Enginuity!$A$17)
    )
  ),
  ROW(),
  ""
)</f>
        <v/>
      </c>
      <c r="AY427" s="79">
        <f t="shared" si="9"/>
        <v>1.1000000000000001</v>
      </c>
      <c r="AZ427" s="5">
        <v>37</v>
      </c>
      <c r="BA427" t="s">
        <v>1278</v>
      </c>
      <c r="BB427" s="5">
        <f t="shared" si="7"/>
        <v>40.700000000000003</v>
      </c>
    </row>
    <row r="428" spans="1:54" x14ac:dyDescent="0.25">
      <c r="A428" s="10" t="s">
        <v>254</v>
      </c>
      <c r="B428" s="229" t="s">
        <v>232</v>
      </c>
      <c r="C428" s="10"/>
      <c r="D428" s="14"/>
      <c r="E428" s="157"/>
      <c r="F428" s="10"/>
      <c r="G428" s="17"/>
      <c r="H428" s="10"/>
      <c r="I428" s="17"/>
      <c r="J428" s="83"/>
      <c r="K428" s="343"/>
      <c r="L428" s="347"/>
      <c r="M428" s="89">
        <v>35</v>
      </c>
      <c r="N428" s="10"/>
      <c r="O428" s="22"/>
      <c r="P428" s="36"/>
      <c r="Q428" s="83"/>
      <c r="U428" s="104" t="str">
        <f>IF(
  AND(
    TRIM(A428)=TRIM(Enginuity!$A$1),
    TRIM(B428)=TRIM(Enginuity!$A$17),
    Q428&lt;&gt;"",
    Q428&lt;&gt;0,
    OR(
      TRIM(C428)=TRIM(Enginuity!$A$18),
      AND(UPPER(TRIM(M428))="STD", TRIM(B428)=TRIM(Enginuity!$A$17))
    ),
    OR(
      AND(LEFT(P428,5)="1-Way", Enginuity!$B$13=1),
      AND(LEFT(P428,5)="2-Way", OR(Enginuity!$B$13=2, Enginuity!$B$13=4)),
      AND(LEFT(P428,5)="3-Way", OR(Enginuity!$B$13=3, Enginuity!$B$13=6)),
      AND(P428="Inner Centre Jamb", OR(Enginuity!$B$13=4, Enginuity!$B$13=6)),
      AND(
        LEFT(P428,5)&lt;&gt;"1-Way",
        LEFT(P428,5)&lt;&gt;"2-Way",
        LEFT(P428,5)&lt;&gt;"3-Way",
        P428&lt;&gt;"Inner Centre Jamb"
      )
    ),
    IF(OR(Enginuity!$A$1="Frameless Glass",Enginuity!$A$1="Metal Work"),
      AND(TRIM(B428)=TRIM(Enginuity!$A$17),TRIM(C428)=TRIM(Enginuity!$A$18)),
      TRIM(B428)=TRIM(Enginuity!$A$17)
    )
  ),
  ROW(),
  ""
)</f>
        <v/>
      </c>
      <c r="AY428" s="79">
        <f t="shared" si="9"/>
        <v>1.1000000000000001</v>
      </c>
      <c r="AZ428" s="5">
        <v>23</v>
      </c>
      <c r="BA428" t="s">
        <v>1279</v>
      </c>
      <c r="BB428" s="5">
        <f t="shared" si="7"/>
        <v>25.3</v>
      </c>
    </row>
    <row r="429" spans="1:54" x14ac:dyDescent="0.25">
      <c r="A429" s="10" t="s">
        <v>254</v>
      </c>
      <c r="B429" s="229" t="s">
        <v>232</v>
      </c>
      <c r="C429" s="10"/>
      <c r="D429" s="14"/>
      <c r="E429" s="157"/>
      <c r="F429" s="10"/>
      <c r="G429" s="17"/>
      <c r="H429" s="10"/>
      <c r="I429" s="17"/>
      <c r="J429" s="83"/>
      <c r="K429" s="343"/>
      <c r="L429" s="347"/>
      <c r="M429" s="89">
        <v>36</v>
      </c>
      <c r="N429" s="10"/>
      <c r="O429" s="22"/>
      <c r="P429" s="36"/>
      <c r="Q429" s="83"/>
      <c r="U429" s="104" t="str">
        <f>IF(
  AND(
    TRIM(A429)=TRIM(Enginuity!$A$1),
    TRIM(B429)=TRIM(Enginuity!$A$17),
    Q429&lt;&gt;"",
    Q429&lt;&gt;0,
    OR(
      TRIM(C429)=TRIM(Enginuity!$A$18),
      AND(UPPER(TRIM(M429))="STD", TRIM(B429)=TRIM(Enginuity!$A$17))
    ),
    OR(
      AND(LEFT(P429,5)="1-Way", Enginuity!$B$13=1),
      AND(LEFT(P429,5)="2-Way", OR(Enginuity!$B$13=2, Enginuity!$B$13=4)),
      AND(LEFT(P429,5)="3-Way", OR(Enginuity!$B$13=3, Enginuity!$B$13=6)),
      AND(P429="Inner Centre Jamb", OR(Enginuity!$B$13=4, Enginuity!$B$13=6)),
      AND(
        LEFT(P429,5)&lt;&gt;"1-Way",
        LEFT(P429,5)&lt;&gt;"2-Way",
        LEFT(P429,5)&lt;&gt;"3-Way",
        P429&lt;&gt;"Inner Centre Jamb"
      )
    ),
    IF(OR(Enginuity!$A$1="Frameless Glass",Enginuity!$A$1="Metal Work"),
      AND(TRIM(B429)=TRIM(Enginuity!$A$17),TRIM(C429)=TRIM(Enginuity!$A$18)),
      TRIM(B429)=TRIM(Enginuity!$A$17)
    )
  ),
  ROW(),
  ""
)</f>
        <v/>
      </c>
      <c r="AY429" s="79">
        <f t="shared" si="9"/>
        <v>1.1000000000000001</v>
      </c>
      <c r="AZ429" s="5">
        <v>24</v>
      </c>
      <c r="BA429" t="s">
        <v>1280</v>
      </c>
      <c r="BB429" s="5">
        <f t="shared" si="7"/>
        <v>26.400000000000002</v>
      </c>
    </row>
    <row r="430" spans="1:54" x14ac:dyDescent="0.25">
      <c r="A430" s="10" t="s">
        <v>254</v>
      </c>
      <c r="B430" s="229" t="s">
        <v>232</v>
      </c>
      <c r="C430" s="10"/>
      <c r="D430" s="14"/>
      <c r="E430" s="157"/>
      <c r="F430" s="10"/>
      <c r="G430" s="17"/>
      <c r="H430" s="10"/>
      <c r="I430" s="17"/>
      <c r="J430" s="83"/>
      <c r="K430" s="343"/>
      <c r="L430" s="347"/>
      <c r="M430" s="89">
        <v>37</v>
      </c>
      <c r="N430" s="10"/>
      <c r="O430" s="22"/>
      <c r="P430" s="36"/>
      <c r="Q430" s="83"/>
      <c r="U430" s="104" t="str">
        <f>IF(
  AND(
    TRIM(A430)=TRIM(Enginuity!$A$1),
    TRIM(B430)=TRIM(Enginuity!$A$17),
    Q430&lt;&gt;"",
    Q430&lt;&gt;0,
    OR(
      TRIM(C430)=TRIM(Enginuity!$A$18),
      AND(UPPER(TRIM(M430))="STD", TRIM(B430)=TRIM(Enginuity!$A$17))
    ),
    OR(
      AND(LEFT(P430,5)="1-Way", Enginuity!$B$13=1),
      AND(LEFT(P430,5)="2-Way", OR(Enginuity!$B$13=2, Enginuity!$B$13=4)),
      AND(LEFT(P430,5)="3-Way", OR(Enginuity!$B$13=3, Enginuity!$B$13=6)),
      AND(P430="Inner Centre Jamb", OR(Enginuity!$B$13=4, Enginuity!$B$13=6)),
      AND(
        LEFT(P430,5)&lt;&gt;"1-Way",
        LEFT(P430,5)&lt;&gt;"2-Way",
        LEFT(P430,5)&lt;&gt;"3-Way",
        P430&lt;&gt;"Inner Centre Jamb"
      )
    ),
    IF(OR(Enginuity!$A$1="Frameless Glass",Enginuity!$A$1="Metal Work"),
      AND(TRIM(B430)=TRIM(Enginuity!$A$17),TRIM(C430)=TRIM(Enginuity!$A$18)),
      TRIM(B430)=TRIM(Enginuity!$A$17)
    )
  ),
  ROW(),
  ""
)</f>
        <v/>
      </c>
      <c r="AY430" s="79">
        <f t="shared" si="9"/>
        <v>1.1000000000000001</v>
      </c>
      <c r="AZ430" s="5">
        <v>25</v>
      </c>
      <c r="BA430" t="s">
        <v>1281</v>
      </c>
      <c r="BB430" s="5">
        <f t="shared" si="7"/>
        <v>27.500000000000004</v>
      </c>
    </row>
    <row r="431" spans="1:54" x14ac:dyDescent="0.25">
      <c r="A431" s="10" t="s">
        <v>254</v>
      </c>
      <c r="B431" s="229" t="s">
        <v>232</v>
      </c>
      <c r="C431" s="10"/>
      <c r="D431" s="14"/>
      <c r="E431" s="157"/>
      <c r="F431" s="10"/>
      <c r="G431" s="17"/>
      <c r="H431" s="10"/>
      <c r="I431" s="17"/>
      <c r="J431" s="83"/>
      <c r="K431" s="343"/>
      <c r="L431" s="347"/>
      <c r="M431" s="89">
        <v>38</v>
      </c>
      <c r="N431" s="10"/>
      <c r="O431" s="22"/>
      <c r="P431" s="36"/>
      <c r="Q431" s="83"/>
      <c r="U431" s="104" t="str">
        <f>IF(
  AND(
    TRIM(A431)=TRIM(Enginuity!$A$1),
    TRIM(B431)=TRIM(Enginuity!$A$17),
    Q431&lt;&gt;"",
    Q431&lt;&gt;0,
    OR(
      TRIM(C431)=TRIM(Enginuity!$A$18),
      AND(UPPER(TRIM(M431))="STD", TRIM(B431)=TRIM(Enginuity!$A$17))
    ),
    OR(
      AND(LEFT(P431,5)="1-Way", Enginuity!$B$13=1),
      AND(LEFT(P431,5)="2-Way", OR(Enginuity!$B$13=2, Enginuity!$B$13=4)),
      AND(LEFT(P431,5)="3-Way", OR(Enginuity!$B$13=3, Enginuity!$B$13=6)),
      AND(P431="Inner Centre Jamb", OR(Enginuity!$B$13=4, Enginuity!$B$13=6)),
      AND(
        LEFT(P431,5)&lt;&gt;"1-Way",
        LEFT(P431,5)&lt;&gt;"2-Way",
        LEFT(P431,5)&lt;&gt;"3-Way",
        P431&lt;&gt;"Inner Centre Jamb"
      )
    ),
    IF(OR(Enginuity!$A$1="Frameless Glass",Enginuity!$A$1="Metal Work"),
      AND(TRIM(B431)=TRIM(Enginuity!$A$17),TRIM(C431)=TRIM(Enginuity!$A$18)),
      TRIM(B431)=TRIM(Enginuity!$A$17)
    )
  ),
  ROW(),
  ""
)</f>
        <v/>
      </c>
      <c r="AY431" s="79">
        <f t="shared" si="9"/>
        <v>1.1000000000000001</v>
      </c>
      <c r="AZ431" s="5">
        <v>28</v>
      </c>
      <c r="BA431" t="s">
        <v>1282</v>
      </c>
      <c r="BB431" s="5">
        <f t="shared" si="7"/>
        <v>30.800000000000004</v>
      </c>
    </row>
    <row r="432" spans="1:54" x14ac:dyDescent="0.25">
      <c r="A432" s="10" t="s">
        <v>254</v>
      </c>
      <c r="B432" s="229" t="s">
        <v>232</v>
      </c>
      <c r="C432" s="10"/>
      <c r="D432" s="14"/>
      <c r="E432" s="157"/>
      <c r="F432" s="10"/>
      <c r="G432" s="17"/>
      <c r="H432" s="10"/>
      <c r="I432" s="17"/>
      <c r="J432" s="83"/>
      <c r="K432" s="343"/>
      <c r="L432" s="347"/>
      <c r="M432" s="89">
        <v>39</v>
      </c>
      <c r="N432" s="10"/>
      <c r="O432" s="22"/>
      <c r="P432" s="21"/>
      <c r="Q432" s="83"/>
      <c r="U432" s="104" t="str">
        <f>IF(
  AND(
    TRIM(A432)=TRIM(Enginuity!$A$1),
    TRIM(B432)=TRIM(Enginuity!$A$17),
    Q432&lt;&gt;"",
    Q432&lt;&gt;0,
    OR(
      TRIM(C432)=TRIM(Enginuity!$A$18),
      AND(UPPER(TRIM(M432))="STD", TRIM(B432)=TRIM(Enginuity!$A$17))
    ),
    OR(
      AND(LEFT(P432,5)="1-Way", Enginuity!$B$13=1),
      AND(LEFT(P432,5)="2-Way", OR(Enginuity!$B$13=2, Enginuity!$B$13=4)),
      AND(LEFT(P432,5)="3-Way", OR(Enginuity!$B$13=3, Enginuity!$B$13=6)),
      AND(P432="Inner Centre Jamb", OR(Enginuity!$B$13=4, Enginuity!$B$13=6)),
      AND(
        LEFT(P432,5)&lt;&gt;"1-Way",
        LEFT(P432,5)&lt;&gt;"2-Way",
        LEFT(P432,5)&lt;&gt;"3-Way",
        P432&lt;&gt;"Inner Centre Jamb"
      )
    ),
    IF(OR(Enginuity!$A$1="Frameless Glass",Enginuity!$A$1="Metal Work"),
      AND(TRIM(B432)=TRIM(Enginuity!$A$17),TRIM(C432)=TRIM(Enginuity!$A$18)),
      TRIM(B432)=TRIM(Enginuity!$A$17)
    )
  ),
  ROW(),
  ""
)</f>
        <v/>
      </c>
      <c r="AY432" s="79">
        <f t="shared" si="9"/>
        <v>1.1000000000000001</v>
      </c>
      <c r="AZ432" s="5">
        <v>30</v>
      </c>
      <c r="BA432" t="s">
        <v>1283</v>
      </c>
      <c r="BB432" s="5">
        <f t="shared" si="7"/>
        <v>33</v>
      </c>
    </row>
    <row r="433" spans="1:54" x14ac:dyDescent="0.25">
      <c r="A433" s="10" t="s">
        <v>254</v>
      </c>
      <c r="B433" s="229" t="s">
        <v>232</v>
      </c>
      <c r="C433" s="10"/>
      <c r="D433" s="14"/>
      <c r="E433" s="157"/>
      <c r="F433" s="10"/>
      <c r="G433" s="17"/>
      <c r="H433" s="10"/>
      <c r="I433" s="17"/>
      <c r="J433" s="83"/>
      <c r="K433" s="343"/>
      <c r="L433" s="347"/>
      <c r="M433" s="89">
        <v>40</v>
      </c>
      <c r="N433" s="10"/>
      <c r="O433" s="22"/>
      <c r="P433" s="14"/>
      <c r="Q433" s="83"/>
      <c r="U433" s="104" t="str">
        <f>IF(
  AND(
    TRIM(A433)=TRIM(Enginuity!$A$1),
    TRIM(B433)=TRIM(Enginuity!$A$17),
    Q433&lt;&gt;"",
    Q433&lt;&gt;0,
    OR(
      TRIM(C433)=TRIM(Enginuity!$A$18),
      AND(UPPER(TRIM(M433))="STD", TRIM(B433)=TRIM(Enginuity!$A$17))
    ),
    OR(
      AND(LEFT(P433,5)="1-Way", Enginuity!$B$13=1),
      AND(LEFT(P433,5)="2-Way", OR(Enginuity!$B$13=2, Enginuity!$B$13=4)),
      AND(LEFT(P433,5)="3-Way", OR(Enginuity!$B$13=3, Enginuity!$B$13=6)),
      AND(P433="Inner Centre Jamb", OR(Enginuity!$B$13=4, Enginuity!$B$13=6)),
      AND(
        LEFT(P433,5)&lt;&gt;"1-Way",
        LEFT(P433,5)&lt;&gt;"2-Way",
        LEFT(P433,5)&lt;&gt;"3-Way",
        P433&lt;&gt;"Inner Centre Jamb"
      )
    ),
    IF(OR(Enginuity!$A$1="Frameless Glass",Enginuity!$A$1="Metal Work"),
      AND(TRIM(B433)=TRIM(Enginuity!$A$17),TRIM(C433)=TRIM(Enginuity!$A$18)),
      TRIM(B433)=TRIM(Enginuity!$A$17)
    )
  ),
  ROW(),
  ""
)</f>
        <v/>
      </c>
      <c r="AY433" s="79">
        <f t="shared" si="9"/>
        <v>1.1000000000000001</v>
      </c>
      <c r="AZ433" s="5">
        <v>32</v>
      </c>
      <c r="BA433" t="s">
        <v>1284</v>
      </c>
      <c r="BB433" s="5">
        <f t="shared" ref="BB433:BB483" si="10">IF(OR(AY433="",AZ433=""),"",AY433*AZ433)</f>
        <v>35.200000000000003</v>
      </c>
    </row>
    <row r="434" spans="1:54" x14ac:dyDescent="0.25">
      <c r="A434" s="10" t="s">
        <v>254</v>
      </c>
      <c r="B434" s="229" t="s">
        <v>232</v>
      </c>
      <c r="C434" s="10"/>
      <c r="D434" s="14"/>
      <c r="E434" s="157"/>
      <c r="F434" s="10"/>
      <c r="G434" s="17"/>
      <c r="H434" s="10"/>
      <c r="I434" s="17"/>
      <c r="J434" s="83"/>
      <c r="K434" s="343"/>
      <c r="L434" s="347"/>
      <c r="M434" s="89">
        <v>41</v>
      </c>
      <c r="N434" s="10"/>
      <c r="O434" s="22"/>
      <c r="P434" s="14"/>
      <c r="Q434" s="83"/>
      <c r="U434" s="104" t="str">
        <f>IF(
  AND(
    TRIM(A434)=TRIM(Enginuity!$A$1),
    TRIM(B434)=TRIM(Enginuity!$A$17),
    Q434&lt;&gt;"",
    Q434&lt;&gt;0,
    OR(
      TRIM(C434)=TRIM(Enginuity!$A$18),
      AND(UPPER(TRIM(M434))="STD", TRIM(B434)=TRIM(Enginuity!$A$17))
    ),
    OR(
      AND(LEFT(P434,5)="1-Way", Enginuity!$B$13=1),
      AND(LEFT(P434,5)="2-Way", OR(Enginuity!$B$13=2, Enginuity!$B$13=4)),
      AND(LEFT(P434,5)="3-Way", OR(Enginuity!$B$13=3, Enginuity!$B$13=6)),
      AND(P434="Inner Centre Jamb", OR(Enginuity!$B$13=4, Enginuity!$B$13=6)),
      AND(
        LEFT(P434,5)&lt;&gt;"1-Way",
        LEFT(P434,5)&lt;&gt;"2-Way",
        LEFT(P434,5)&lt;&gt;"3-Way",
        P434&lt;&gt;"Inner Centre Jamb"
      )
    ),
    IF(OR(Enginuity!$A$1="Frameless Glass",Enginuity!$A$1="Metal Work"),
      AND(TRIM(B434)=TRIM(Enginuity!$A$17),TRIM(C434)=TRIM(Enginuity!$A$18)),
      TRIM(B434)=TRIM(Enginuity!$A$17)
    )
  ),
  ROW(),
  ""
)</f>
        <v/>
      </c>
      <c r="AY434" s="79">
        <f t="shared" si="9"/>
        <v>1.1000000000000001</v>
      </c>
      <c r="AZ434" s="5">
        <v>34</v>
      </c>
      <c r="BA434" t="s">
        <v>1285</v>
      </c>
      <c r="BB434" s="5">
        <f t="shared" si="10"/>
        <v>37.400000000000006</v>
      </c>
    </row>
    <row r="435" spans="1:54" x14ac:dyDescent="0.25">
      <c r="A435" s="10" t="s">
        <v>254</v>
      </c>
      <c r="B435" s="229" t="s">
        <v>232</v>
      </c>
      <c r="C435" s="10"/>
      <c r="D435" s="14"/>
      <c r="E435" s="157"/>
      <c r="F435" s="10"/>
      <c r="G435" s="17"/>
      <c r="H435" s="10"/>
      <c r="I435" s="17"/>
      <c r="J435" s="83"/>
      <c r="K435" s="343"/>
      <c r="L435" s="347"/>
      <c r="M435" s="89">
        <v>42</v>
      </c>
      <c r="N435" s="10"/>
      <c r="O435" s="22"/>
      <c r="P435" s="14"/>
      <c r="Q435" s="83"/>
      <c r="U435" s="104" t="str">
        <f>IF(
  AND(
    TRIM(A435)=TRIM(Enginuity!$A$1),
    TRIM(B435)=TRIM(Enginuity!$A$17),
    Q435&lt;&gt;"",
    Q435&lt;&gt;0,
    OR(
      TRIM(C435)=TRIM(Enginuity!$A$18),
      AND(UPPER(TRIM(M435))="STD", TRIM(B435)=TRIM(Enginuity!$A$17))
    ),
    OR(
      AND(LEFT(P435,5)="1-Way", Enginuity!$B$13=1),
      AND(LEFT(P435,5)="2-Way", OR(Enginuity!$B$13=2, Enginuity!$B$13=4)),
      AND(LEFT(P435,5)="3-Way", OR(Enginuity!$B$13=3, Enginuity!$B$13=6)),
      AND(P435="Inner Centre Jamb", OR(Enginuity!$B$13=4, Enginuity!$B$13=6)),
      AND(
        LEFT(P435,5)&lt;&gt;"1-Way",
        LEFT(P435,5)&lt;&gt;"2-Way",
        LEFT(P435,5)&lt;&gt;"3-Way",
        P435&lt;&gt;"Inner Centre Jamb"
      )
    ),
    IF(OR(Enginuity!$A$1="Frameless Glass",Enginuity!$A$1="Metal Work"),
      AND(TRIM(B435)=TRIM(Enginuity!$A$17),TRIM(C435)=TRIM(Enginuity!$A$18)),
      TRIM(B435)=TRIM(Enginuity!$A$17)
    )
  ),
  ROW(),
  ""
)</f>
        <v/>
      </c>
      <c r="AY435" s="79">
        <f t="shared" si="9"/>
        <v>1.1000000000000001</v>
      </c>
      <c r="AZ435" s="5">
        <v>36</v>
      </c>
      <c r="BA435" t="s">
        <v>1286</v>
      </c>
      <c r="BB435" s="5">
        <f t="shared" si="10"/>
        <v>39.6</v>
      </c>
    </row>
    <row r="436" spans="1:54" x14ac:dyDescent="0.25">
      <c r="A436" s="10" t="s">
        <v>254</v>
      </c>
      <c r="B436" s="229" t="s">
        <v>232</v>
      </c>
      <c r="C436" s="10"/>
      <c r="D436" s="14"/>
      <c r="E436" s="157"/>
      <c r="F436" s="10"/>
      <c r="G436" s="17"/>
      <c r="H436" s="10"/>
      <c r="I436" s="17"/>
      <c r="J436" s="83"/>
      <c r="K436" s="343"/>
      <c r="L436" s="347"/>
      <c r="M436" s="89">
        <v>43</v>
      </c>
      <c r="N436" s="88"/>
      <c r="O436" s="22"/>
      <c r="P436" s="36"/>
      <c r="Q436" s="83"/>
      <c r="U436" s="104" t="str">
        <f>IF(
  AND(
    TRIM(A436)=TRIM(Enginuity!$A$1),
    TRIM(B436)=TRIM(Enginuity!$A$17),
    Q436&lt;&gt;"",
    Q436&lt;&gt;0,
    OR(
      TRIM(C436)=TRIM(Enginuity!$A$18),
      AND(UPPER(TRIM(M436))="STD", TRIM(B436)=TRIM(Enginuity!$A$17))
    ),
    OR(
      AND(LEFT(P436,5)="1-Way", Enginuity!$B$13=1),
      AND(LEFT(P436,5)="2-Way", OR(Enginuity!$B$13=2, Enginuity!$B$13=4)),
      AND(LEFT(P436,5)="3-Way", OR(Enginuity!$B$13=3, Enginuity!$B$13=6)),
      AND(P436="Inner Centre Jamb", OR(Enginuity!$B$13=4, Enginuity!$B$13=6)),
      AND(
        LEFT(P436,5)&lt;&gt;"1-Way",
        LEFT(P436,5)&lt;&gt;"2-Way",
        LEFT(P436,5)&lt;&gt;"3-Way",
        P436&lt;&gt;"Inner Centre Jamb"
      )
    ),
    IF(OR(Enginuity!$A$1="Frameless Glass",Enginuity!$A$1="Metal Work"),
      AND(TRIM(B436)=TRIM(Enginuity!$A$17),TRIM(C436)=TRIM(Enginuity!$A$18)),
      TRIM(B436)=TRIM(Enginuity!$A$17)
    )
  ),
  ROW(),
  ""
)</f>
        <v/>
      </c>
      <c r="AY436" s="79">
        <f t="shared" si="9"/>
        <v>1.1000000000000001</v>
      </c>
      <c r="AZ436" s="5">
        <v>38</v>
      </c>
      <c r="BA436" t="s">
        <v>1287</v>
      </c>
      <c r="BB436" s="5">
        <f t="shared" si="10"/>
        <v>41.800000000000004</v>
      </c>
    </row>
    <row r="437" spans="1:54" x14ac:dyDescent="0.25">
      <c r="A437" s="10" t="s">
        <v>254</v>
      </c>
      <c r="B437" s="229" t="s">
        <v>232</v>
      </c>
      <c r="C437" s="10"/>
      <c r="D437" s="14"/>
      <c r="E437" s="157"/>
      <c r="F437" s="10"/>
      <c r="G437" s="17"/>
      <c r="H437" s="10"/>
      <c r="I437" s="17"/>
      <c r="J437" s="83"/>
      <c r="K437" s="343"/>
      <c r="L437" s="347"/>
      <c r="M437" s="89">
        <v>44</v>
      </c>
      <c r="N437" s="10"/>
      <c r="O437" s="22"/>
      <c r="P437" s="14"/>
      <c r="Q437" s="83"/>
      <c r="U437" s="104" t="str">
        <f>IF(
  AND(
    TRIM(A437)=TRIM(Enginuity!$A$1),
    TRIM(B437)=TRIM(Enginuity!$A$17),
    Q437&lt;&gt;"",
    Q437&lt;&gt;0,
    OR(
      TRIM(C437)=TRIM(Enginuity!$A$18),
      AND(UPPER(TRIM(M437))="STD", TRIM(B437)=TRIM(Enginuity!$A$17))
    ),
    OR(
      AND(LEFT(P437,5)="1-Way", Enginuity!$B$13=1),
      AND(LEFT(P437,5)="2-Way", OR(Enginuity!$B$13=2, Enginuity!$B$13=4)),
      AND(LEFT(P437,5)="3-Way", OR(Enginuity!$B$13=3, Enginuity!$B$13=6)),
      AND(P437="Inner Centre Jamb", OR(Enginuity!$B$13=4, Enginuity!$B$13=6)),
      AND(
        LEFT(P437,5)&lt;&gt;"1-Way",
        LEFT(P437,5)&lt;&gt;"2-Way",
        LEFT(P437,5)&lt;&gt;"3-Way",
        P437&lt;&gt;"Inner Centre Jamb"
      )
    ),
    IF(OR(Enginuity!$A$1="Frameless Glass",Enginuity!$A$1="Metal Work"),
      AND(TRIM(B437)=TRIM(Enginuity!$A$17),TRIM(C437)=TRIM(Enginuity!$A$18)),
      TRIM(B437)=TRIM(Enginuity!$A$17)
    )
  ),
  ROW(),
  ""
)</f>
        <v/>
      </c>
      <c r="AY437" s="79">
        <f t="shared" si="9"/>
        <v>1.1000000000000001</v>
      </c>
      <c r="AZ437" s="5">
        <v>25</v>
      </c>
      <c r="BA437" t="s">
        <v>1288</v>
      </c>
      <c r="BB437" s="5">
        <f t="shared" si="10"/>
        <v>27.500000000000004</v>
      </c>
    </row>
    <row r="438" spans="1:54" x14ac:dyDescent="0.25">
      <c r="A438" s="10" t="s">
        <v>254</v>
      </c>
      <c r="B438" s="229" t="s">
        <v>232</v>
      </c>
      <c r="C438" s="10"/>
      <c r="D438" s="14"/>
      <c r="E438" s="157"/>
      <c r="F438" s="10"/>
      <c r="G438" s="17"/>
      <c r="H438" s="10"/>
      <c r="I438" s="17"/>
      <c r="J438" s="83"/>
      <c r="K438" s="343"/>
      <c r="L438" s="347"/>
      <c r="M438" s="10" t="s">
        <v>117</v>
      </c>
      <c r="N438" s="10" t="s">
        <v>121</v>
      </c>
      <c r="O438" s="22" t="str">
        <f>$O$2</f>
        <v/>
      </c>
      <c r="P438" s="21" t="str">
        <f>Enginuity!$A$19</f>
        <v>W/G</v>
      </c>
      <c r="Q438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438" s="104" t="str">
        <f>IF(
  AND(
    TRIM(A438)=TRIM(Enginuity!$A$1),
    TRIM(B438)=TRIM(Enginuity!$A$17),
    Q438&lt;&gt;"",
    Q438&lt;&gt;0,
    OR(
      TRIM(C438)=TRIM(Enginuity!$A$18),
      AND(UPPER(TRIM(M438))="STD", TRIM(B438)=TRIM(Enginuity!$A$17))
    ),
    OR(
      AND(LEFT(P438,5)="1-Way", Enginuity!$B$13=1),
      AND(LEFT(P438,5)="2-Way", OR(Enginuity!$B$13=2, Enginuity!$B$13=4)),
      AND(LEFT(P438,5)="3-Way", OR(Enginuity!$B$13=3, Enginuity!$B$13=6)),
      AND(P438="Inner Centre Jamb", OR(Enginuity!$B$13=4, Enginuity!$B$13=6)),
      AND(
        LEFT(P438,5)&lt;&gt;"1-Way",
        LEFT(P438,5)&lt;&gt;"2-Way",
        LEFT(P438,5)&lt;&gt;"3-Way",
        P438&lt;&gt;"Inner Centre Jamb"
      )
    ),
    IF(OR(Enginuity!$A$1="Frameless Glass",Enginuity!$A$1="Metal Work"),
      AND(TRIM(B438)=TRIM(Enginuity!$A$17),TRIM(C438)=TRIM(Enginuity!$A$18)),
      TRIM(B438)=TRIM(Enginuity!$A$17)
    )
  ),
  ROW(),
  ""
)</f>
        <v/>
      </c>
      <c r="AY438" s="79">
        <f t="shared" si="9"/>
        <v>1.1000000000000001</v>
      </c>
      <c r="AZ438" s="5">
        <v>26</v>
      </c>
      <c r="BA438" t="s">
        <v>1289</v>
      </c>
      <c r="BB438" s="5">
        <f t="shared" si="10"/>
        <v>28.6</v>
      </c>
    </row>
    <row r="439" spans="1:54" x14ac:dyDescent="0.25">
      <c r="A439" s="10" t="s">
        <v>254</v>
      </c>
      <c r="B439" s="229" t="s">
        <v>232</v>
      </c>
      <c r="C439" s="10"/>
      <c r="D439" s="14"/>
      <c r="E439" s="157"/>
      <c r="F439" s="10"/>
      <c r="G439" s="17"/>
      <c r="H439" s="10"/>
      <c r="I439" s="17"/>
      <c r="J439" s="83"/>
      <c r="K439" s="343"/>
      <c r="L439" s="347"/>
      <c r="M439" s="10" t="s">
        <v>117</v>
      </c>
      <c r="N439" s="10" t="s">
        <v>103</v>
      </c>
      <c r="O439" s="22">
        <v>0.20379744565899399</v>
      </c>
      <c r="P439" s="14" t="s">
        <v>272</v>
      </c>
      <c r="Q439" s="83">
        <f>IF(AND(Enginuity!$B$6&gt;0, Enginuity!$B$7&gt;0, Enginuity!$B$13&gt;0), ((2*Enginuity!$B$7*Enginuity!$B$13)+(2*Enginuity!$B$6))*2, "")</f>
        <v>444</v>
      </c>
      <c r="U439" s="104" t="str">
        <f>IF(
  AND(
    TRIM(A439)=TRIM(Enginuity!$A$1),
    TRIM(B439)=TRIM(Enginuity!$A$17),
    Q439&lt;&gt;"",
    Q439&lt;&gt;0,
    OR(
      TRIM(C439)=TRIM(Enginuity!$A$18),
      AND(UPPER(TRIM(M439))="STD", TRIM(B439)=TRIM(Enginuity!$A$17))
    ),
    OR(
      AND(LEFT(P439,5)="1-Way", Enginuity!$B$13=1),
      AND(LEFT(P439,5)="2-Way", OR(Enginuity!$B$13=2, Enginuity!$B$13=4)),
      AND(LEFT(P439,5)="3-Way", OR(Enginuity!$B$13=3, Enginuity!$B$13=6)),
      AND(P439="Inner Centre Jamb", OR(Enginuity!$B$13=4, Enginuity!$B$13=6)),
      AND(
        LEFT(P439,5)&lt;&gt;"1-Way",
        LEFT(P439,5)&lt;&gt;"2-Way",
        LEFT(P439,5)&lt;&gt;"3-Way",
        P439&lt;&gt;"Inner Centre Jamb"
      )
    ),
    IF(OR(Enginuity!$A$1="Frameless Glass",Enginuity!$A$1="Metal Work"),
      AND(TRIM(B439)=TRIM(Enginuity!$A$17),TRIM(C439)=TRIM(Enginuity!$A$18)),
      TRIM(B439)=TRIM(Enginuity!$A$17)
    )
  ),
  ROW(),
  ""
)</f>
        <v/>
      </c>
      <c r="AY439" s="79">
        <f t="shared" si="9"/>
        <v>1.1000000000000001</v>
      </c>
      <c r="AZ439" s="5">
        <v>27</v>
      </c>
      <c r="BA439" t="s">
        <v>1290</v>
      </c>
      <c r="BB439" s="5">
        <f t="shared" si="10"/>
        <v>29.700000000000003</v>
      </c>
    </row>
    <row r="440" spans="1:54" x14ac:dyDescent="0.25">
      <c r="A440" s="10" t="s">
        <v>254</v>
      </c>
      <c r="B440" s="229" t="s">
        <v>232</v>
      </c>
      <c r="C440" s="10"/>
      <c r="D440" s="14"/>
      <c r="E440" s="157"/>
      <c r="F440" s="10"/>
      <c r="G440" s="17"/>
      <c r="H440" s="10"/>
      <c r="I440" s="17"/>
      <c r="J440" s="83"/>
      <c r="K440" s="343"/>
      <c r="L440" s="347"/>
      <c r="M440" s="10" t="s">
        <v>117</v>
      </c>
      <c r="N440" s="10" t="s">
        <v>103</v>
      </c>
      <c r="O440" s="22">
        <v>0.12</v>
      </c>
      <c r="P440" s="14" t="s">
        <v>273</v>
      </c>
      <c r="Q440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576</v>
      </c>
      <c r="U440" s="104" t="str">
        <f>IF(
  AND(
    TRIM(A440)=TRIM(Enginuity!$A$1),
    TRIM(B440)=TRIM(Enginuity!$A$17),
    Q440&lt;&gt;"",
    Q440&lt;&gt;0,
    OR(
      TRIM(C440)=TRIM(Enginuity!$A$18),
      AND(UPPER(TRIM(M440))="STD", TRIM(B440)=TRIM(Enginuity!$A$17))
    ),
    OR(
      AND(LEFT(P440,5)="1-Way", Enginuity!$B$13=1),
      AND(LEFT(P440,5)="2-Way", OR(Enginuity!$B$13=2, Enginuity!$B$13=4)),
      AND(LEFT(P440,5)="3-Way", OR(Enginuity!$B$13=3, Enginuity!$B$13=6)),
      AND(P440="Inner Centre Jamb", OR(Enginuity!$B$13=4, Enginuity!$B$13=6)),
      AND(
        LEFT(P440,5)&lt;&gt;"1-Way",
        LEFT(P440,5)&lt;&gt;"2-Way",
        LEFT(P440,5)&lt;&gt;"3-Way",
        P440&lt;&gt;"Inner Centre Jamb"
      )
    ),
    IF(OR(Enginuity!$A$1="Frameless Glass",Enginuity!$A$1="Metal Work"),
      AND(TRIM(B440)=TRIM(Enginuity!$A$17),TRIM(C440)=TRIM(Enginuity!$A$18)),
      TRIM(B440)=TRIM(Enginuity!$A$17)
    )
  ),
  ROW(),
  ""
)</f>
        <v/>
      </c>
      <c r="AY440" s="79">
        <f t="shared" si="9"/>
        <v>1.1000000000000001</v>
      </c>
      <c r="AZ440" s="5">
        <v>30</v>
      </c>
      <c r="BA440" t="s">
        <v>1291</v>
      </c>
      <c r="BB440" s="5">
        <f t="shared" si="10"/>
        <v>33</v>
      </c>
    </row>
    <row r="441" spans="1:54" x14ac:dyDescent="0.25">
      <c r="A441" s="10" t="s">
        <v>254</v>
      </c>
      <c r="B441" s="229" t="s">
        <v>232</v>
      </c>
      <c r="C441" s="10"/>
      <c r="D441" s="14"/>
      <c r="E441" s="157"/>
      <c r="F441" s="10"/>
      <c r="G441" s="17"/>
      <c r="H441" s="10"/>
      <c r="I441" s="17"/>
      <c r="J441" s="83"/>
      <c r="K441" s="343"/>
      <c r="L441" s="347"/>
      <c r="M441" s="10" t="s">
        <v>117</v>
      </c>
      <c r="N441" s="10" t="s">
        <v>112</v>
      </c>
      <c r="O441" s="22">
        <v>1.4</v>
      </c>
      <c r="P441" s="14" t="s">
        <v>113</v>
      </c>
      <c r="Q441" s="83" t="str">
        <f>IF(
  TRIM(Enginuity!$A$21)="1'H X ?'W X Qty Panel Top Hung (Casement Profile)",
  Enginuity!$B$13,
  ""
)</f>
        <v/>
      </c>
      <c r="U441" s="104" t="str">
        <f>IF(
  AND(
    TRIM(A441)=TRIM(Enginuity!$A$1),
    TRIM(B441)=TRIM(Enginuity!$A$17),
    Q441&lt;&gt;"",
    Q441&lt;&gt;0,
    OR(
      TRIM(C441)=TRIM(Enginuity!$A$18),
      AND(UPPER(TRIM(M441))="STD", TRIM(B441)=TRIM(Enginuity!$A$17))
    ),
    OR(
      AND(LEFT(P441,5)="1-Way", Enginuity!$B$13=1),
      AND(LEFT(P441,5)="2-Way", OR(Enginuity!$B$13=2, Enginuity!$B$13=4)),
      AND(LEFT(P441,5)="3-Way", OR(Enginuity!$B$13=3, Enginuity!$B$13=6)),
      AND(P441="Inner Centre Jamb", OR(Enginuity!$B$13=4, Enginuity!$B$13=6)),
      AND(
        LEFT(P441,5)&lt;&gt;"1-Way",
        LEFT(P441,5)&lt;&gt;"2-Way",
        LEFT(P441,5)&lt;&gt;"3-Way",
        P441&lt;&gt;"Inner Centre Jamb"
      )
    ),
    IF(OR(Enginuity!$A$1="Frameless Glass",Enginuity!$A$1="Metal Work"),
      AND(TRIM(B441)=TRIM(Enginuity!$A$17),TRIM(C441)=TRIM(Enginuity!$A$18)),
      TRIM(B441)=TRIM(Enginuity!$A$17)
    )
  ),
  ROW(),
  ""
)</f>
        <v/>
      </c>
      <c r="AY441" s="79">
        <f t="shared" si="9"/>
        <v>1.1000000000000001</v>
      </c>
      <c r="AZ441" s="5">
        <v>32</v>
      </c>
      <c r="BA441" t="s">
        <v>1292</v>
      </c>
      <c r="BB441" s="5">
        <f t="shared" si="10"/>
        <v>35.200000000000003</v>
      </c>
    </row>
    <row r="442" spans="1:54" x14ac:dyDescent="0.25">
      <c r="A442" s="17" t="s">
        <v>254</v>
      </c>
      <c r="B442" s="230" t="s">
        <v>232</v>
      </c>
      <c r="C442" s="17"/>
      <c r="D442" s="18"/>
      <c r="E442" s="238"/>
      <c r="F442" s="17"/>
      <c r="G442" s="17"/>
      <c r="H442" s="10"/>
      <c r="I442" s="17"/>
      <c r="J442" s="83"/>
      <c r="K442" s="343"/>
      <c r="L442" s="347"/>
      <c r="M442" s="17" t="s">
        <v>117</v>
      </c>
      <c r="N442" s="91" t="s">
        <v>111</v>
      </c>
      <c r="O442" s="25">
        <v>4.5</v>
      </c>
      <c r="P442" s="92" t="s">
        <v>124</v>
      </c>
      <c r="Q442" s="84" t="str">
        <f>IF(
  TRIM(Enginuity!$A$21)="1'H X ?'W X Qty Panel Top Hung (Casement Profile)",
  Enginuity!$B$13,
  ""
)</f>
        <v/>
      </c>
      <c r="U442" s="104" t="str">
        <f>IF(
  AND(
    TRIM(A442)=TRIM(Enginuity!$A$1),
    TRIM(B442)=TRIM(Enginuity!$A$17),
    Q442&lt;&gt;"",
    Q442&lt;&gt;0,
    OR(
      TRIM(C442)=TRIM(Enginuity!$A$18),
      AND(UPPER(TRIM(M442))="STD", TRIM(B442)=TRIM(Enginuity!$A$17))
    ),
    OR(
      AND(LEFT(P442,5)="1-Way", Enginuity!$B$13=1),
      AND(LEFT(P442,5)="2-Way", OR(Enginuity!$B$13=2, Enginuity!$B$13=4)),
      AND(LEFT(P442,5)="3-Way", OR(Enginuity!$B$13=3, Enginuity!$B$13=6)),
      AND(P442="Inner Centre Jamb", OR(Enginuity!$B$13=4, Enginuity!$B$13=6)),
      AND(
        LEFT(P442,5)&lt;&gt;"1-Way",
        LEFT(P442,5)&lt;&gt;"2-Way",
        LEFT(P442,5)&lt;&gt;"3-Way",
        P442&lt;&gt;"Inner Centre Jamb"
      )
    ),
    IF(OR(Enginuity!$A$1="Frameless Glass",Enginuity!$A$1="Metal Work"),
      AND(TRIM(B442)=TRIM(Enginuity!$A$17),TRIM(C442)=TRIM(Enginuity!$A$18)),
      TRIM(B442)=TRIM(Enginuity!$A$17)
    )
  ),
  ROW(),
  ""
)</f>
        <v/>
      </c>
      <c r="AY442" s="79">
        <f t="shared" si="9"/>
        <v>1.1000000000000001</v>
      </c>
      <c r="AZ442" s="5">
        <v>34</v>
      </c>
      <c r="BA442" t="s">
        <v>1293</v>
      </c>
      <c r="BB442" s="5">
        <f t="shared" si="10"/>
        <v>37.400000000000006</v>
      </c>
    </row>
    <row r="443" spans="1:54" x14ac:dyDescent="0.25">
      <c r="A443" s="10" t="s">
        <v>252</v>
      </c>
      <c r="B443" s="229" t="s">
        <v>307</v>
      </c>
      <c r="C443" s="10" t="s">
        <v>173</v>
      </c>
      <c r="D443" s="14" t="str" cm="1">
        <f t="array" ref="D443:D452">IFERROR(INDEX(_xlfn._xlws.FILTER(AllMaterialsbak!$BA$2:$BA$30, AllMaterialsbak!$BA$2:$BA$30&lt;&gt;""), _xlfn.SEQUENCE(10)), "")</f>
        <v>Default</v>
      </c>
      <c r="E443" s="157"/>
      <c r="F443" s="11"/>
      <c r="G443" s="17"/>
      <c r="H443" s="10"/>
      <c r="I443" s="17"/>
      <c r="J443" s="83"/>
      <c r="K443" s="344">
        <v>0.52</v>
      </c>
      <c r="L443" s="347">
        <v>609.6</v>
      </c>
      <c r="M443" s="89">
        <v>1</v>
      </c>
      <c r="N443" s="10" t="s">
        <v>159</v>
      </c>
      <c r="O443" s="22">
        <v>0.55000000000000004</v>
      </c>
      <c r="P443" s="36" t="s">
        <v>164</v>
      </c>
      <c r="Q443" s="83">
        <f>Enginuity!$B$7*(Enginuity!$B$13+1)</f>
        <v>104</v>
      </c>
      <c r="U443" s="104" t="str">
        <f>IF(
  AND(
    TRIM(A443)=TRIM(Enginuity!$A$1),
    TRIM(B443)=TRIM(Enginuity!$A$17),
    Q443&lt;&gt;"",
    Q443&lt;&gt;0,
    OR(
      TRIM(C443)=TRIM(Enginuity!$A$18),
      AND(UPPER(TRIM(M443))="STD", TRIM(B443)=TRIM(Enginuity!$A$17))
    ),
    OR(
      AND(LEFT(P443,5)="1-Way", Enginuity!$B$13=1),
      AND(LEFT(P443,5)="2-Way", OR(Enginuity!$B$13=2, Enginuity!$B$13=4)),
      AND(LEFT(P443,5)="3-Way", OR(Enginuity!$B$13=3, Enginuity!$B$13=6)),
      AND(P443="Inner Centre Jamb", OR(Enginuity!$B$13=4, Enginuity!$B$13=6)),
      AND(
        LEFT(P443,5)&lt;&gt;"1-Way",
        LEFT(P443,5)&lt;&gt;"2-Way",
        LEFT(P443,5)&lt;&gt;"3-Way",
        P443&lt;&gt;"Inner Centre Jamb"
      )
    ),
    IF(OR(Enginuity!$A$1="Frameless Glass",Enginuity!$A$1="Metal Work"),
      AND(TRIM(B443)=TRIM(Enginuity!$A$17),TRIM(C443)=TRIM(Enginuity!$A$18)),
      TRIM(B443)=TRIM(Enginuity!$A$17)
    )
  ),
  ROW(),
  ""
)</f>
        <v/>
      </c>
      <c r="AY443" s="79">
        <f t="shared" ref="AY443:AY483" si="11">AY442</f>
        <v>1.1000000000000001</v>
      </c>
      <c r="AZ443" s="5">
        <v>36</v>
      </c>
      <c r="BA443" t="s">
        <v>1294</v>
      </c>
      <c r="BB443" s="5">
        <f t="shared" si="10"/>
        <v>39.6</v>
      </c>
    </row>
    <row r="444" spans="1:54" x14ac:dyDescent="0.25">
      <c r="A444" s="10" t="s">
        <v>252</v>
      </c>
      <c r="B444" s="229" t="s">
        <v>307</v>
      </c>
      <c r="C444" s="10" t="s">
        <v>173</v>
      </c>
      <c r="D444" s="14" t="str">
        <v xml:space="preserve">2" Louver Blade N/A </v>
      </c>
      <c r="E444" s="157"/>
      <c r="F444" s="11"/>
      <c r="G444" s="17"/>
      <c r="H444" s="10"/>
      <c r="I444" s="17"/>
      <c r="J444" s="83"/>
      <c r="K444" s="343"/>
      <c r="L444" s="347"/>
      <c r="M444" s="89">
        <v>2</v>
      </c>
      <c r="N444" s="10" t="s">
        <v>159</v>
      </c>
      <c r="O444" s="22">
        <v>0.55000000000000004</v>
      </c>
      <c r="P444" s="36" t="s">
        <v>165</v>
      </c>
      <c r="Q444" s="83">
        <f>Enginuity!$B$6*(ROUNDUP(Enginuity!$B$7/10,0)-1)</f>
        <v>20</v>
      </c>
      <c r="U444" s="104" t="str">
        <f>IF(
  AND(
    TRIM(A444)=TRIM(Enginuity!$A$1),
    TRIM(B444)=TRIM(Enginuity!$A$17),
    Q444&lt;&gt;"",
    Q444&lt;&gt;0,
    OR(
      TRIM(C444)=TRIM(Enginuity!$A$18),
      AND(UPPER(TRIM(M444))="STD", TRIM(B444)=TRIM(Enginuity!$A$17))
    ),
    OR(
      AND(LEFT(P444,5)="1-Way", Enginuity!$B$13=1),
      AND(LEFT(P444,5)="2-Way", OR(Enginuity!$B$13=2, Enginuity!$B$13=4)),
      AND(LEFT(P444,5)="3-Way", OR(Enginuity!$B$13=3, Enginuity!$B$13=6)),
      AND(P444="Inner Centre Jamb", OR(Enginuity!$B$13=4, Enginuity!$B$13=6)),
      AND(
        LEFT(P444,5)&lt;&gt;"1-Way",
        LEFT(P444,5)&lt;&gt;"2-Way",
        LEFT(P444,5)&lt;&gt;"3-Way",
        P444&lt;&gt;"Inner Centre Jamb"
      )
    ),
    IF(OR(Enginuity!$A$1="Frameless Glass",Enginuity!$A$1="Metal Work"),
      AND(TRIM(B444)=TRIM(Enginuity!$A$17),TRIM(C444)=TRIM(Enginuity!$A$18)),
      TRIM(B444)=TRIM(Enginuity!$A$17)
    )
  ),
  ROW(),
  ""
)</f>
        <v/>
      </c>
      <c r="AY444" s="79">
        <f t="shared" si="11"/>
        <v>1.1000000000000001</v>
      </c>
      <c r="AZ444" s="5">
        <v>38</v>
      </c>
      <c r="BA444" t="s">
        <v>1295</v>
      </c>
      <c r="BB444" s="5">
        <f t="shared" si="10"/>
        <v>41.800000000000004</v>
      </c>
    </row>
    <row r="445" spans="1:54" x14ac:dyDescent="0.25">
      <c r="A445" s="10" t="s">
        <v>252</v>
      </c>
      <c r="B445" s="229" t="s">
        <v>307</v>
      </c>
      <c r="C445" s="10" t="s">
        <v>173</v>
      </c>
      <c r="D445" s="14" t="str">
        <v>2" Louver Blade P/C</v>
      </c>
      <c r="E445" s="157"/>
      <c r="F445" s="10"/>
      <c r="G445" s="17"/>
      <c r="H445" s="10"/>
      <c r="I445" s="17"/>
      <c r="J445" s="83"/>
      <c r="K445" s="343"/>
      <c r="L445" s="347"/>
      <c r="M445" s="89">
        <v>3</v>
      </c>
      <c r="N445" s="10" t="s">
        <v>159</v>
      </c>
      <c r="O445" s="22">
        <v>0.55000000000000004</v>
      </c>
      <c r="P445" s="36" t="s">
        <v>152</v>
      </c>
      <c r="Q445" s="83">
        <f>Enginuity!$B$6</f>
        <v>20</v>
      </c>
      <c r="U445" s="104" t="str">
        <f>IF(
  AND(
    TRIM(A445)=TRIM(Enginuity!$A$1),
    TRIM(B445)=TRIM(Enginuity!$A$17),
    Q445&lt;&gt;"",
    Q445&lt;&gt;0,
    OR(
      TRIM(C445)=TRIM(Enginuity!$A$18),
      AND(UPPER(TRIM(M445))="STD", TRIM(B445)=TRIM(Enginuity!$A$17))
    ),
    OR(
      AND(LEFT(P445,5)="1-Way", Enginuity!$B$13=1),
      AND(LEFT(P445,5)="2-Way", OR(Enginuity!$B$13=2, Enginuity!$B$13=4)),
      AND(LEFT(P445,5)="3-Way", OR(Enginuity!$B$13=3, Enginuity!$B$13=6)),
      AND(P445="Inner Centre Jamb", OR(Enginuity!$B$13=4, Enginuity!$B$13=6)),
      AND(
        LEFT(P445,5)&lt;&gt;"1-Way",
        LEFT(P445,5)&lt;&gt;"2-Way",
        LEFT(P445,5)&lt;&gt;"3-Way",
        P445&lt;&gt;"Inner Centre Jamb"
      )
    ),
    IF(OR(Enginuity!$A$1="Frameless Glass",Enginuity!$A$1="Metal Work"),
      AND(TRIM(B445)=TRIM(Enginuity!$A$17),TRIM(C445)=TRIM(Enginuity!$A$18)),
      TRIM(B445)=TRIM(Enginuity!$A$17)
    )
  ),
  ROW(),
  ""
)</f>
        <v/>
      </c>
      <c r="AY445" s="79">
        <f t="shared" si="11"/>
        <v>1.1000000000000001</v>
      </c>
      <c r="AZ445" s="5">
        <v>40</v>
      </c>
      <c r="BA445" t="s">
        <v>1296</v>
      </c>
      <c r="BB445" s="5">
        <f t="shared" si="10"/>
        <v>44</v>
      </c>
    </row>
    <row r="446" spans="1:54" x14ac:dyDescent="0.25">
      <c r="A446" s="10" t="s">
        <v>252</v>
      </c>
      <c r="B446" s="229" t="s">
        <v>307</v>
      </c>
      <c r="C446" s="10" t="s">
        <v>173</v>
      </c>
      <c r="D446" s="14" t="str">
        <v xml:space="preserve">5" Louver Blade N/A </v>
      </c>
      <c r="E446" s="157"/>
      <c r="F446" s="10"/>
      <c r="G446" s="17"/>
      <c r="H446" s="10"/>
      <c r="I446" s="17"/>
      <c r="J446" s="83"/>
      <c r="K446" s="343"/>
      <c r="L446" s="347"/>
      <c r="M446" s="89">
        <v>4</v>
      </c>
      <c r="N446" s="10" t="s">
        <v>159</v>
      </c>
      <c r="O446" s="22">
        <v>1.3</v>
      </c>
      <c r="P446" s="36" t="s">
        <v>153</v>
      </c>
      <c r="Q446" s="83">
        <f>Enginuity!$B$7</f>
        <v>13</v>
      </c>
      <c r="U446" s="104" t="str">
        <f>IF(
  AND(
    TRIM(A446)=TRIM(Enginuity!$A$1),
    TRIM(B446)=TRIM(Enginuity!$A$17),
    Q446&lt;&gt;"",
    Q446&lt;&gt;0,
    OR(
      TRIM(C446)=TRIM(Enginuity!$A$18),
      AND(UPPER(TRIM(M446))="STD", TRIM(B446)=TRIM(Enginuity!$A$17))
    ),
    OR(
      AND(LEFT(P446,5)="1-Way", Enginuity!$B$13=1),
      AND(LEFT(P446,5)="2-Way", OR(Enginuity!$B$13=2, Enginuity!$B$13=4)),
      AND(LEFT(P446,5)="3-Way", OR(Enginuity!$B$13=3, Enginuity!$B$13=6)),
      AND(P446="Inner Centre Jamb", OR(Enginuity!$B$13=4, Enginuity!$B$13=6)),
      AND(
        LEFT(P446,5)&lt;&gt;"1-Way",
        LEFT(P446,5)&lt;&gt;"2-Way",
        LEFT(P446,5)&lt;&gt;"3-Way",
        P446&lt;&gt;"Inner Centre Jamb"
      )
    ),
    IF(OR(Enginuity!$A$1="Frameless Glass",Enginuity!$A$1="Metal Work"),
      AND(TRIM(B446)=TRIM(Enginuity!$A$17),TRIM(C446)=TRIM(Enginuity!$A$18)),
      TRIM(B446)=TRIM(Enginuity!$A$17)
    )
  ),
  ROW(),
  ""
)</f>
        <v/>
      </c>
      <c r="AY446" s="79">
        <f t="shared" si="11"/>
        <v>1.1000000000000001</v>
      </c>
      <c r="AZ446" s="5">
        <v>21</v>
      </c>
      <c r="BA446" t="s">
        <v>1297</v>
      </c>
      <c r="BB446" s="5">
        <f t="shared" si="10"/>
        <v>23.1</v>
      </c>
    </row>
    <row r="447" spans="1:54" x14ac:dyDescent="0.25">
      <c r="A447" s="10" t="s">
        <v>252</v>
      </c>
      <c r="B447" s="229" t="s">
        <v>307</v>
      </c>
      <c r="C447" s="10" t="s">
        <v>173</v>
      </c>
      <c r="D447" s="14" t="str">
        <v>5" Louver Blade P/C</v>
      </c>
      <c r="E447" s="157"/>
      <c r="F447" s="10"/>
      <c r="G447" s="17"/>
      <c r="H447" s="10"/>
      <c r="I447" s="17"/>
      <c r="J447" s="83"/>
      <c r="K447" s="343"/>
      <c r="L447" s="347"/>
      <c r="M447" s="89">
        <v>5</v>
      </c>
      <c r="N447" s="10" t="s">
        <v>160</v>
      </c>
      <c r="O447" s="22">
        <v>0.03</v>
      </c>
      <c r="P447" s="36" t="s">
        <v>157</v>
      </c>
      <c r="Q447" s="83">
        <f>(Enginuity!$B$6*2+Enginuity!$B$7*2)</f>
        <v>66</v>
      </c>
      <c r="U447" s="104" t="str">
        <f>IF(
  AND(
    TRIM(A447)=TRIM(Enginuity!$A$1),
    TRIM(B447)=TRIM(Enginuity!$A$17),
    Q447&lt;&gt;"",
    Q447&lt;&gt;0,
    OR(
      TRIM(C447)=TRIM(Enginuity!$A$18),
      AND(UPPER(TRIM(M447))="STD", TRIM(B447)=TRIM(Enginuity!$A$17))
    ),
    OR(
      AND(LEFT(P447,5)="1-Way", Enginuity!$B$13=1),
      AND(LEFT(P447,5)="2-Way", OR(Enginuity!$B$13=2, Enginuity!$B$13=4)),
      AND(LEFT(P447,5)="3-Way", OR(Enginuity!$B$13=3, Enginuity!$B$13=6)),
      AND(P447="Inner Centre Jamb", OR(Enginuity!$B$13=4, Enginuity!$B$13=6)),
      AND(
        LEFT(P447,5)&lt;&gt;"1-Way",
        LEFT(P447,5)&lt;&gt;"2-Way",
        LEFT(P447,5)&lt;&gt;"3-Way",
        P447&lt;&gt;"Inner Centre Jamb"
      )
    ),
    IF(OR(Enginuity!$A$1="Frameless Glass",Enginuity!$A$1="Metal Work"),
      AND(TRIM(B447)=TRIM(Enginuity!$A$17),TRIM(C447)=TRIM(Enginuity!$A$18)),
      TRIM(B447)=TRIM(Enginuity!$A$17)
    )
  ),
  ROW(),
  ""
)</f>
        <v/>
      </c>
      <c r="AY447" s="79">
        <f t="shared" si="11"/>
        <v>1.1000000000000001</v>
      </c>
      <c r="AZ447" s="5">
        <v>22</v>
      </c>
      <c r="BA447" t="s">
        <v>1298</v>
      </c>
      <c r="BB447" s="5">
        <f t="shared" si="10"/>
        <v>24.200000000000003</v>
      </c>
    </row>
    <row r="448" spans="1:54" x14ac:dyDescent="0.25">
      <c r="A448" s="10" t="s">
        <v>252</v>
      </c>
      <c r="B448" s="229" t="s">
        <v>307</v>
      </c>
      <c r="C448" s="10" t="s">
        <v>173</v>
      </c>
      <c r="D448" s="14" t="str">
        <v/>
      </c>
      <c r="E448" s="157"/>
      <c r="F448" s="10"/>
      <c r="G448" s="17"/>
      <c r="H448" s="10"/>
      <c r="I448" s="17"/>
      <c r="J448" s="83"/>
      <c r="K448" s="343"/>
      <c r="L448" s="347"/>
      <c r="M448" s="89">
        <v>6</v>
      </c>
      <c r="N448" s="10" t="s">
        <v>159</v>
      </c>
      <c r="O448" s="22">
        <v>0.06</v>
      </c>
      <c r="P448" s="36" t="s">
        <v>155</v>
      </c>
      <c r="Q448" s="83">
        <f>Enginuity!$B$6*Enginuity!$B$7*0.5</f>
        <v>130</v>
      </c>
      <c r="U448" s="104" t="str">
        <f>IF(
  AND(
    TRIM(A448)=TRIM(Enginuity!$A$1),
    TRIM(B448)=TRIM(Enginuity!$A$17),
    Q448&lt;&gt;"",
    Q448&lt;&gt;0,
    OR(
      TRIM(C448)=TRIM(Enginuity!$A$18),
      AND(UPPER(TRIM(M448))="STD", TRIM(B448)=TRIM(Enginuity!$A$17))
    ),
    OR(
      AND(LEFT(P448,5)="1-Way", Enginuity!$B$13=1),
      AND(LEFT(P448,5)="2-Way", OR(Enginuity!$B$13=2, Enginuity!$B$13=4)),
      AND(LEFT(P448,5)="3-Way", OR(Enginuity!$B$13=3, Enginuity!$B$13=6)),
      AND(P448="Inner Centre Jamb", OR(Enginuity!$B$13=4, Enginuity!$B$13=6)),
      AND(
        LEFT(P448,5)&lt;&gt;"1-Way",
        LEFT(P448,5)&lt;&gt;"2-Way",
        LEFT(P448,5)&lt;&gt;"3-Way",
        P448&lt;&gt;"Inner Centre Jamb"
      )
    ),
    IF(OR(Enginuity!$A$1="Frameless Glass",Enginuity!$A$1="Metal Work"),
      AND(TRIM(B448)=TRIM(Enginuity!$A$17),TRIM(C448)=TRIM(Enginuity!$A$18)),
      TRIM(B448)=TRIM(Enginuity!$A$17)
    )
  ),
  ROW(),
  ""
)</f>
        <v/>
      </c>
      <c r="AY448" s="79">
        <f t="shared" si="11"/>
        <v>1.1000000000000001</v>
      </c>
      <c r="AZ448" s="5">
        <v>23</v>
      </c>
      <c r="BA448" t="s">
        <v>1299</v>
      </c>
      <c r="BB448" s="5">
        <f t="shared" si="10"/>
        <v>25.3</v>
      </c>
    </row>
    <row r="449" spans="1:54" x14ac:dyDescent="0.25">
      <c r="A449" s="10" t="s">
        <v>252</v>
      </c>
      <c r="B449" s="229" t="s">
        <v>307</v>
      </c>
      <c r="C449" s="10" t="s">
        <v>173</v>
      </c>
      <c r="D449" s="14" t="str">
        <v/>
      </c>
      <c r="E449" s="157"/>
      <c r="F449" s="10"/>
      <c r="G449" s="17"/>
      <c r="H449" s="10"/>
      <c r="I449" s="17"/>
      <c r="J449" s="83"/>
      <c r="K449" s="343"/>
      <c r="L449" s="347"/>
      <c r="M449" s="89">
        <v>7</v>
      </c>
      <c r="N449" s="10" t="s">
        <v>112</v>
      </c>
      <c r="O449" s="22">
        <v>0.02</v>
      </c>
      <c r="P449" s="36" t="s">
        <v>154</v>
      </c>
      <c r="Q449" s="83">
        <f>Enginuity!$B$9</f>
        <v>260</v>
      </c>
      <c r="U449" s="104" t="str">
        <f>IF(
  AND(
    TRIM(A449)=TRIM(Enginuity!$A$1),
    TRIM(B449)=TRIM(Enginuity!$A$17),
    Q449&lt;&gt;"",
    Q449&lt;&gt;0,
    OR(
      TRIM(C449)=TRIM(Enginuity!$A$18),
      AND(UPPER(TRIM(M449))="STD", TRIM(B449)=TRIM(Enginuity!$A$17))
    ),
    OR(
      AND(LEFT(P449,5)="1-Way", Enginuity!$B$13=1),
      AND(LEFT(P449,5)="2-Way", OR(Enginuity!$B$13=2, Enginuity!$B$13=4)),
      AND(LEFT(P449,5)="3-Way", OR(Enginuity!$B$13=3, Enginuity!$B$13=6)),
      AND(P449="Inner Centre Jamb", OR(Enginuity!$B$13=4, Enginuity!$B$13=6)),
      AND(
        LEFT(P449,5)&lt;&gt;"1-Way",
        LEFT(P449,5)&lt;&gt;"2-Way",
        LEFT(P449,5)&lt;&gt;"3-Way",
        P449&lt;&gt;"Inner Centre Jamb"
      )
    ),
    IF(OR(Enginuity!$A$1="Frameless Glass",Enginuity!$A$1="Metal Work"),
      AND(TRIM(B449)=TRIM(Enginuity!$A$17),TRIM(C449)=TRIM(Enginuity!$A$18)),
      TRIM(B449)=TRIM(Enginuity!$A$17)
    )
  ),
  ROW(),
  ""
)</f>
        <v/>
      </c>
      <c r="AY449" s="79">
        <f t="shared" si="11"/>
        <v>1.1000000000000001</v>
      </c>
      <c r="AZ449" s="5">
        <v>26</v>
      </c>
      <c r="BA449" t="s">
        <v>1300</v>
      </c>
      <c r="BB449" s="5">
        <f t="shared" si="10"/>
        <v>28.6</v>
      </c>
    </row>
    <row r="450" spans="1:54" x14ac:dyDescent="0.25">
      <c r="A450" s="10" t="s">
        <v>252</v>
      </c>
      <c r="B450" s="229" t="s">
        <v>307</v>
      </c>
      <c r="C450" s="10" t="s">
        <v>173</v>
      </c>
      <c r="D450" s="14" t="str">
        <v/>
      </c>
      <c r="E450" s="157"/>
      <c r="F450" s="10"/>
      <c r="G450" s="17"/>
      <c r="H450" s="10"/>
      <c r="I450" s="17"/>
      <c r="J450" s="83"/>
      <c r="K450" s="343"/>
      <c r="L450" s="347"/>
      <c r="M450" s="89">
        <v>8</v>
      </c>
      <c r="N450" s="10" t="s">
        <v>161</v>
      </c>
      <c r="O450" s="22">
        <v>0.2</v>
      </c>
      <c r="P450" s="36" t="s">
        <v>168</v>
      </c>
      <c r="Q450" s="83">
        <f>Enginuity!$B$9</f>
        <v>260</v>
      </c>
      <c r="U450" s="104" t="str">
        <f>IF(
  AND(
    TRIM(A450)=TRIM(Enginuity!$A$1),
    TRIM(B450)=TRIM(Enginuity!$A$17),
    Q450&lt;&gt;"",
    Q450&lt;&gt;0,
    OR(
      TRIM(C450)=TRIM(Enginuity!$A$18),
      AND(UPPER(TRIM(M450))="STD", TRIM(B450)=TRIM(Enginuity!$A$17))
    ),
    OR(
      AND(LEFT(P450,5)="1-Way", Enginuity!$B$13=1),
      AND(LEFT(P450,5)="2-Way", OR(Enginuity!$B$13=2, Enginuity!$B$13=4)),
      AND(LEFT(P450,5)="3-Way", OR(Enginuity!$B$13=3, Enginuity!$B$13=6)),
      AND(P450="Inner Centre Jamb", OR(Enginuity!$B$13=4, Enginuity!$B$13=6)),
      AND(
        LEFT(P450,5)&lt;&gt;"1-Way",
        LEFT(P450,5)&lt;&gt;"2-Way",
        LEFT(P450,5)&lt;&gt;"3-Way",
        P450&lt;&gt;"Inner Centre Jamb"
      )
    ),
    IF(OR(Enginuity!$A$1="Frameless Glass",Enginuity!$A$1="Metal Work"),
      AND(TRIM(B450)=TRIM(Enginuity!$A$17),TRIM(C450)=TRIM(Enginuity!$A$18)),
      TRIM(B450)=TRIM(Enginuity!$A$17)
    )
  ),
  ROW(),
  ""
)</f>
        <v/>
      </c>
      <c r="AY450" s="79">
        <f t="shared" si="11"/>
        <v>1.1000000000000001</v>
      </c>
      <c r="AZ450" s="5">
        <v>28</v>
      </c>
      <c r="BA450" t="s">
        <v>1301</v>
      </c>
      <c r="BB450" s="5">
        <f t="shared" si="10"/>
        <v>30.800000000000004</v>
      </c>
    </row>
    <row r="451" spans="1:54" x14ac:dyDescent="0.25">
      <c r="A451" s="10" t="s">
        <v>252</v>
      </c>
      <c r="B451" s="229" t="s">
        <v>307</v>
      </c>
      <c r="C451" s="10" t="s">
        <v>173</v>
      </c>
      <c r="D451" s="14" t="str">
        <v/>
      </c>
      <c r="E451" s="157"/>
      <c r="F451" s="10"/>
      <c r="G451" s="17"/>
      <c r="H451" s="10"/>
      <c r="I451" s="17"/>
      <c r="J451" s="83"/>
      <c r="K451" s="343"/>
      <c r="L451" s="347"/>
      <c r="M451" s="89">
        <v>9</v>
      </c>
      <c r="N451" s="10" t="s">
        <v>162</v>
      </c>
      <c r="O451" s="22">
        <v>0.06</v>
      </c>
      <c r="P451" s="93" t="s">
        <v>167</v>
      </c>
      <c r="Q451" s="83">
        <f>Enginuity!$B$9</f>
        <v>260</v>
      </c>
      <c r="U451" s="104" t="str">
        <f>IF(
  AND(
    TRIM(A451)=TRIM(Enginuity!$A$1),
    TRIM(B451)=TRIM(Enginuity!$A$17),
    Q451&lt;&gt;"",
    Q451&lt;&gt;0,
    OR(
      TRIM(C451)=TRIM(Enginuity!$A$18),
      AND(UPPER(TRIM(M451))="STD", TRIM(B451)=TRIM(Enginuity!$A$17))
    ),
    OR(
      AND(LEFT(P451,5)="1-Way", Enginuity!$B$13=1),
      AND(LEFT(P451,5)="2-Way", OR(Enginuity!$B$13=2, Enginuity!$B$13=4)),
      AND(LEFT(P451,5)="3-Way", OR(Enginuity!$B$13=3, Enginuity!$B$13=6)),
      AND(P451="Inner Centre Jamb", OR(Enginuity!$B$13=4, Enginuity!$B$13=6)),
      AND(
        LEFT(P451,5)&lt;&gt;"1-Way",
        LEFT(P451,5)&lt;&gt;"2-Way",
        LEFT(P451,5)&lt;&gt;"3-Way",
        P451&lt;&gt;"Inner Centre Jamb"
      )
    ),
    IF(OR(Enginuity!$A$1="Frameless Glass",Enginuity!$A$1="Metal Work"),
      AND(TRIM(B451)=TRIM(Enginuity!$A$17),TRIM(C451)=TRIM(Enginuity!$A$18)),
      TRIM(B451)=TRIM(Enginuity!$A$17)
    )
  ),
  ROW(),
  ""
)</f>
        <v/>
      </c>
      <c r="AY451" s="79">
        <f t="shared" si="11"/>
        <v>1.1000000000000001</v>
      </c>
      <c r="AZ451" s="5">
        <v>30</v>
      </c>
      <c r="BA451" t="s">
        <v>1302</v>
      </c>
      <c r="BB451" s="5">
        <f t="shared" si="10"/>
        <v>33</v>
      </c>
    </row>
    <row r="452" spans="1:54" x14ac:dyDescent="0.25">
      <c r="A452" s="10" t="s">
        <v>252</v>
      </c>
      <c r="B452" s="229" t="s">
        <v>307</v>
      </c>
      <c r="C452" s="10" t="s">
        <v>173</v>
      </c>
      <c r="D452" s="14" t="str">
        <v/>
      </c>
      <c r="E452" s="157"/>
      <c r="F452" s="10"/>
      <c r="G452" s="17"/>
      <c r="H452" s="10"/>
      <c r="I452" s="17"/>
      <c r="J452" s="83"/>
      <c r="K452" s="343"/>
      <c r="L452" s="347"/>
      <c r="M452" s="89">
        <v>10</v>
      </c>
      <c r="N452" s="10" t="s">
        <v>121</v>
      </c>
      <c r="O452" s="22">
        <v>4.5</v>
      </c>
      <c r="P452" s="36" t="s">
        <v>166</v>
      </c>
      <c r="Q452" s="83">
        <f>Enginuity!$B$9</f>
        <v>260</v>
      </c>
      <c r="U452" s="104" t="str">
        <f>IF(
  AND(
    TRIM(A452)=TRIM(Enginuity!$A$1),
    TRIM(B452)=TRIM(Enginuity!$A$17),
    Q452&lt;&gt;"",
    Q452&lt;&gt;0,
    OR(
      TRIM(C452)=TRIM(Enginuity!$A$18),
      AND(UPPER(TRIM(M452))="STD", TRIM(B452)=TRIM(Enginuity!$A$17))
    ),
    OR(
      AND(LEFT(P452,5)="1-Way", Enginuity!$B$13=1),
      AND(LEFT(P452,5)="2-Way", OR(Enginuity!$B$13=2, Enginuity!$B$13=4)),
      AND(LEFT(P452,5)="3-Way", OR(Enginuity!$B$13=3, Enginuity!$B$13=6)),
      AND(P452="Inner Centre Jamb", OR(Enginuity!$B$13=4, Enginuity!$B$13=6)),
      AND(
        LEFT(P452,5)&lt;&gt;"1-Way",
        LEFT(P452,5)&lt;&gt;"2-Way",
        LEFT(P452,5)&lt;&gt;"3-Way",
        P452&lt;&gt;"Inner Centre Jamb"
      )
    ),
    IF(OR(Enginuity!$A$1="Frameless Glass",Enginuity!$A$1="Metal Work"),
      AND(TRIM(B452)=TRIM(Enginuity!$A$17),TRIM(C452)=TRIM(Enginuity!$A$18)),
      TRIM(B452)=TRIM(Enginuity!$A$17)
    )
  ),
  ROW(),
  ""
)</f>
        <v/>
      </c>
      <c r="AY452" s="79">
        <f t="shared" si="11"/>
        <v>1.1000000000000001</v>
      </c>
      <c r="AZ452" s="5">
        <v>32</v>
      </c>
      <c r="BA452" t="s">
        <v>1303</v>
      </c>
      <c r="BB452" s="5">
        <f t="shared" si="10"/>
        <v>35.200000000000003</v>
      </c>
    </row>
    <row r="453" spans="1:54" x14ac:dyDescent="0.25">
      <c r="A453" s="10" t="s">
        <v>252</v>
      </c>
      <c r="B453" s="229" t="s">
        <v>307</v>
      </c>
      <c r="C453" s="10" t="s">
        <v>173</v>
      </c>
      <c r="D453" s="14"/>
      <c r="E453" s="157"/>
      <c r="F453" s="10"/>
      <c r="G453" s="17"/>
      <c r="H453" s="10"/>
      <c r="I453" s="17"/>
      <c r="J453" s="83"/>
      <c r="K453" s="343"/>
      <c r="L453" s="347"/>
      <c r="M453" s="89">
        <v>11</v>
      </c>
      <c r="N453" s="10" t="s">
        <v>121</v>
      </c>
      <c r="O453" s="22" t="str">
        <f>$O$2</f>
        <v/>
      </c>
      <c r="P453" s="21" t="str">
        <f>Enginuity!$A$19</f>
        <v>W/G</v>
      </c>
      <c r="Q453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453" s="104" t="str">
        <f>IF(
  AND(
    TRIM(A453)=TRIM(Enginuity!$A$1),
    TRIM(B453)=TRIM(Enginuity!$A$17),
    Q453&lt;&gt;"",
    Q453&lt;&gt;0,
    OR(
      TRIM(C453)=TRIM(Enginuity!$A$18),
      AND(UPPER(TRIM(M453))="STD", TRIM(B453)=TRIM(Enginuity!$A$17))
    ),
    OR(
      AND(LEFT(P453,5)="1-Way", Enginuity!$B$13=1),
      AND(LEFT(P453,5)="2-Way", OR(Enginuity!$B$13=2, Enginuity!$B$13=4)),
      AND(LEFT(P453,5)="3-Way", OR(Enginuity!$B$13=3, Enginuity!$B$13=6)),
      AND(P453="Inner Centre Jamb", OR(Enginuity!$B$13=4, Enginuity!$B$13=6)),
      AND(
        LEFT(P453,5)&lt;&gt;"1-Way",
        LEFT(P453,5)&lt;&gt;"2-Way",
        LEFT(P453,5)&lt;&gt;"3-Way",
        P453&lt;&gt;"Inner Centre Jamb"
      )
    ),
    IF(OR(Enginuity!$A$1="Frameless Glass",Enginuity!$A$1="Metal Work"),
      AND(TRIM(B453)=TRIM(Enginuity!$A$17),TRIM(C453)=TRIM(Enginuity!$A$18)),
      TRIM(B453)=TRIM(Enginuity!$A$17)
    )
  ),
  ROW(),
  ""
)</f>
        <v/>
      </c>
      <c r="AY453" s="79">
        <f t="shared" si="11"/>
        <v>1.1000000000000001</v>
      </c>
      <c r="AZ453" s="5">
        <v>34</v>
      </c>
      <c r="BA453" t="s">
        <v>1304</v>
      </c>
      <c r="BB453" s="5">
        <f t="shared" si="10"/>
        <v>37.400000000000006</v>
      </c>
    </row>
    <row r="454" spans="1:54" x14ac:dyDescent="0.25">
      <c r="A454" s="10"/>
      <c r="B454" s="229"/>
      <c r="C454" s="10" t="s">
        <v>173</v>
      </c>
      <c r="D454" s="14"/>
      <c r="E454" s="157"/>
      <c r="F454" s="10"/>
      <c r="G454" s="17"/>
      <c r="H454" s="10"/>
      <c r="I454" s="17"/>
      <c r="J454" s="83"/>
      <c r="K454" s="343"/>
      <c r="L454" s="347"/>
      <c r="M454" s="89">
        <v>12</v>
      </c>
      <c r="N454" s="10"/>
      <c r="O454" s="22"/>
      <c r="P454" s="36"/>
      <c r="Q454" s="83"/>
      <c r="U454" s="104" t="str">
        <f>IF(
  AND(
    TRIM(A454)=TRIM(Enginuity!$A$1),
    TRIM(B454)=TRIM(Enginuity!$A$17),
    Q454&lt;&gt;"",
    Q454&lt;&gt;0,
    OR(
      TRIM(C454)=TRIM(Enginuity!$A$18),
      AND(UPPER(TRIM(M454))="STD", TRIM(B454)=TRIM(Enginuity!$A$17))
    ),
    OR(
      AND(LEFT(P454,5)="1-Way", Enginuity!$B$13=1),
      AND(LEFT(P454,5)="2-Way", OR(Enginuity!$B$13=2, Enginuity!$B$13=4)),
      AND(LEFT(P454,5)="3-Way", OR(Enginuity!$B$13=3, Enginuity!$B$13=6)),
      AND(P454="Inner Centre Jamb", OR(Enginuity!$B$13=4, Enginuity!$B$13=6)),
      AND(
        LEFT(P454,5)&lt;&gt;"1-Way",
        LEFT(P454,5)&lt;&gt;"2-Way",
        LEFT(P454,5)&lt;&gt;"3-Way",
        P454&lt;&gt;"Inner Centre Jamb"
      )
    ),
    IF(OR(Enginuity!$A$1="Frameless Glass",Enginuity!$A$1="Metal Work"),
      AND(TRIM(B454)=TRIM(Enginuity!$A$17),TRIM(C454)=TRIM(Enginuity!$A$18)),
      TRIM(B454)=TRIM(Enginuity!$A$17)
    )
  ),
  ROW(),
  ""
)</f>
        <v/>
      </c>
      <c r="AY454" s="79">
        <f t="shared" si="11"/>
        <v>1.1000000000000001</v>
      </c>
      <c r="AZ454" s="5">
        <v>36</v>
      </c>
      <c r="BA454" t="s">
        <v>1305</v>
      </c>
      <c r="BB454" s="5">
        <f t="shared" si="10"/>
        <v>39.6</v>
      </c>
    </row>
    <row r="455" spans="1:54" x14ac:dyDescent="0.25">
      <c r="A455" s="10" t="s">
        <v>252</v>
      </c>
      <c r="B455" s="229" t="s">
        <v>306</v>
      </c>
      <c r="C455" s="10" t="s">
        <v>173</v>
      </c>
      <c r="D455" s="14" t="str" cm="1">
        <f t="array" ref="D455:D464">IFERROR(INDEX(_xlfn._xlws.FILTER(AllMaterialsbak!$BA$2:$BA$30, AllMaterialsbak!$BA$2:$BA$30&lt;&gt;""), _xlfn.SEQUENCE(10)), "")</f>
        <v>Default</v>
      </c>
      <c r="E455" s="157"/>
      <c r="F455" s="10"/>
      <c r="G455" s="17"/>
      <c r="H455" s="10"/>
      <c r="I455" s="17"/>
      <c r="J455" s="83"/>
      <c r="K455" s="344">
        <v>0.52</v>
      </c>
      <c r="L455" s="347">
        <v>609.6</v>
      </c>
      <c r="M455" s="89">
        <v>13</v>
      </c>
      <c r="N455" s="10" t="s">
        <v>159</v>
      </c>
      <c r="O455" s="22">
        <v>0.79</v>
      </c>
      <c r="P455" s="36" t="s">
        <v>164</v>
      </c>
      <c r="Q455" s="83">
        <f>Enginuity!$B$7*(Enginuity!$B$13+1)</f>
        <v>104</v>
      </c>
      <c r="U455" s="104" t="str">
        <f>IF(
  AND(
    TRIM(A455)=TRIM(Enginuity!$A$1),
    TRIM(B455)=TRIM(Enginuity!$A$17),
    Q455&lt;&gt;"",
    Q455&lt;&gt;0,
    OR(
      TRIM(C455)=TRIM(Enginuity!$A$18),
      AND(UPPER(TRIM(M455))="STD", TRIM(B455)=TRIM(Enginuity!$A$17))
    ),
    OR(
      AND(LEFT(P455,5)="1-Way", Enginuity!$B$13=1),
      AND(LEFT(P455,5)="2-Way", OR(Enginuity!$B$13=2, Enginuity!$B$13=4)),
      AND(LEFT(P455,5)="3-Way", OR(Enginuity!$B$13=3, Enginuity!$B$13=6)),
      AND(P455="Inner Centre Jamb", OR(Enginuity!$B$13=4, Enginuity!$B$13=6)),
      AND(
        LEFT(P455,5)&lt;&gt;"1-Way",
        LEFT(P455,5)&lt;&gt;"2-Way",
        LEFT(P455,5)&lt;&gt;"3-Way",
        P455&lt;&gt;"Inner Centre Jamb"
      )
    ),
    IF(OR(Enginuity!$A$1="Frameless Glass",Enginuity!$A$1="Metal Work"),
      AND(TRIM(B455)=TRIM(Enginuity!$A$17),TRIM(C455)=TRIM(Enginuity!$A$18)),
      TRIM(B455)=TRIM(Enginuity!$A$17)
    )
  ),
  ROW(),
  ""
)</f>
        <v/>
      </c>
      <c r="AY455" s="79">
        <f t="shared" si="11"/>
        <v>1.1000000000000001</v>
      </c>
      <c r="AZ455" s="5">
        <v>22</v>
      </c>
      <c r="BA455" t="s">
        <v>1306</v>
      </c>
      <c r="BB455" s="5">
        <f t="shared" si="10"/>
        <v>24.200000000000003</v>
      </c>
    </row>
    <row r="456" spans="1:54" x14ac:dyDescent="0.25">
      <c r="A456" s="10" t="s">
        <v>252</v>
      </c>
      <c r="B456" s="229" t="s">
        <v>306</v>
      </c>
      <c r="C456" s="10" t="s">
        <v>173</v>
      </c>
      <c r="D456" s="14" t="str">
        <v xml:space="preserve">2" Louver Blade N/A </v>
      </c>
      <c r="E456" s="157"/>
      <c r="F456" s="10"/>
      <c r="G456" s="17"/>
      <c r="H456" s="10"/>
      <c r="I456" s="17"/>
      <c r="J456" s="83"/>
      <c r="K456" s="343"/>
      <c r="L456" s="347"/>
      <c r="M456" s="89">
        <v>14</v>
      </c>
      <c r="N456" s="10" t="s">
        <v>159</v>
      </c>
      <c r="O456" s="22">
        <v>0.79</v>
      </c>
      <c r="P456" s="36" t="s">
        <v>165</v>
      </c>
      <c r="Q456" s="83">
        <f>Enginuity!$B$6*(ROUNDUP(Enginuity!$B$7/10,0)-1)</f>
        <v>20</v>
      </c>
      <c r="U456" s="104" t="str">
        <f>IF(
  AND(
    TRIM(A456)=TRIM(Enginuity!$A$1),
    TRIM(B456)=TRIM(Enginuity!$A$17),
    Q456&lt;&gt;"",
    Q456&lt;&gt;0,
    OR(
      TRIM(C456)=TRIM(Enginuity!$A$18),
      AND(UPPER(TRIM(M456))="STD", TRIM(B456)=TRIM(Enginuity!$A$17))
    ),
    OR(
      AND(LEFT(P456,5)="1-Way", Enginuity!$B$13=1),
      AND(LEFT(P456,5)="2-Way", OR(Enginuity!$B$13=2, Enginuity!$B$13=4)),
      AND(LEFT(P456,5)="3-Way", OR(Enginuity!$B$13=3, Enginuity!$B$13=6)),
      AND(P456="Inner Centre Jamb", OR(Enginuity!$B$13=4, Enginuity!$B$13=6)),
      AND(
        LEFT(P456,5)&lt;&gt;"1-Way",
        LEFT(P456,5)&lt;&gt;"2-Way",
        LEFT(P456,5)&lt;&gt;"3-Way",
        P456&lt;&gt;"Inner Centre Jamb"
      )
    ),
    IF(OR(Enginuity!$A$1="Frameless Glass",Enginuity!$A$1="Metal Work"),
      AND(TRIM(B456)=TRIM(Enginuity!$A$17),TRIM(C456)=TRIM(Enginuity!$A$18)),
      TRIM(B456)=TRIM(Enginuity!$A$17)
    )
  ),
  ROW(),
  ""
)</f>
        <v/>
      </c>
      <c r="AY456" s="79">
        <f t="shared" si="11"/>
        <v>1.1000000000000001</v>
      </c>
      <c r="AZ456" s="5">
        <v>23</v>
      </c>
      <c r="BA456" t="s">
        <v>1307</v>
      </c>
      <c r="BB456" s="5">
        <f t="shared" si="10"/>
        <v>25.3</v>
      </c>
    </row>
    <row r="457" spans="1:54" x14ac:dyDescent="0.25">
      <c r="A457" s="10" t="s">
        <v>252</v>
      </c>
      <c r="B457" s="229" t="s">
        <v>306</v>
      </c>
      <c r="C457" s="10" t="s">
        <v>173</v>
      </c>
      <c r="D457" s="14" t="str">
        <v>2" Louver Blade P/C</v>
      </c>
      <c r="E457" s="157"/>
      <c r="F457" s="10"/>
      <c r="G457" s="17"/>
      <c r="H457" s="10"/>
      <c r="I457" s="17"/>
      <c r="J457" s="83"/>
      <c r="K457" s="343"/>
      <c r="L457" s="347"/>
      <c r="M457" s="89">
        <v>15</v>
      </c>
      <c r="N457" s="10" t="s">
        <v>159</v>
      </c>
      <c r="O457" s="22">
        <v>0.79</v>
      </c>
      <c r="P457" s="36" t="s">
        <v>152</v>
      </c>
      <c r="Q457" s="83">
        <f>Enginuity!$B$6</f>
        <v>20</v>
      </c>
      <c r="U457" s="104" t="str">
        <f>IF(
  AND(
    TRIM(A457)=TRIM(Enginuity!$A$1),
    TRIM(B457)=TRIM(Enginuity!$A$17),
    Q457&lt;&gt;"",
    Q457&lt;&gt;0,
    OR(
      TRIM(C457)=TRIM(Enginuity!$A$18),
      AND(UPPER(TRIM(M457))="STD", TRIM(B457)=TRIM(Enginuity!$A$17))
    ),
    OR(
      AND(LEFT(P457,5)="1-Way", Enginuity!$B$13=1),
      AND(LEFT(P457,5)="2-Way", OR(Enginuity!$B$13=2, Enginuity!$B$13=4)),
      AND(LEFT(P457,5)="3-Way", OR(Enginuity!$B$13=3, Enginuity!$B$13=6)),
      AND(P457="Inner Centre Jamb", OR(Enginuity!$B$13=4, Enginuity!$B$13=6)),
      AND(
        LEFT(P457,5)&lt;&gt;"1-Way",
        LEFT(P457,5)&lt;&gt;"2-Way",
        LEFT(P457,5)&lt;&gt;"3-Way",
        P457&lt;&gt;"Inner Centre Jamb"
      )
    ),
    IF(OR(Enginuity!$A$1="Frameless Glass",Enginuity!$A$1="Metal Work"),
      AND(TRIM(B457)=TRIM(Enginuity!$A$17),TRIM(C457)=TRIM(Enginuity!$A$18)),
      TRIM(B457)=TRIM(Enginuity!$A$17)
    )
  ),
  ROW(),
  ""
)</f>
        <v/>
      </c>
      <c r="AY457" s="79">
        <f t="shared" si="11"/>
        <v>1.1000000000000001</v>
      </c>
      <c r="AZ457" s="5">
        <v>24</v>
      </c>
      <c r="BA457" t="s">
        <v>1308</v>
      </c>
      <c r="BB457" s="5">
        <f t="shared" si="10"/>
        <v>26.400000000000002</v>
      </c>
    </row>
    <row r="458" spans="1:54" x14ac:dyDescent="0.25">
      <c r="A458" s="10" t="s">
        <v>252</v>
      </c>
      <c r="B458" s="229" t="s">
        <v>306</v>
      </c>
      <c r="C458" s="10" t="s">
        <v>173</v>
      </c>
      <c r="D458" s="14" t="str">
        <v xml:space="preserve">5" Louver Blade N/A </v>
      </c>
      <c r="E458" s="157"/>
      <c r="F458" s="10"/>
      <c r="G458" s="17"/>
      <c r="H458" s="10"/>
      <c r="I458" s="17"/>
      <c r="J458" s="83"/>
      <c r="K458" s="343"/>
      <c r="L458" s="347"/>
      <c r="M458" s="89">
        <v>16</v>
      </c>
      <c r="N458" s="10" t="s">
        <v>159</v>
      </c>
      <c r="O458" s="22">
        <v>1.3</v>
      </c>
      <c r="P458" s="36" t="s">
        <v>153</v>
      </c>
      <c r="Q458" s="83">
        <f>Enginuity!$B$7</f>
        <v>13</v>
      </c>
      <c r="U458" s="104" t="str">
        <f>IF(
  AND(
    TRIM(A458)=TRIM(Enginuity!$A$1),
    TRIM(B458)=TRIM(Enginuity!$A$17),
    Q458&lt;&gt;"",
    Q458&lt;&gt;0,
    OR(
      TRIM(C458)=TRIM(Enginuity!$A$18),
      AND(UPPER(TRIM(M458))="STD", TRIM(B458)=TRIM(Enginuity!$A$17))
    ),
    OR(
      AND(LEFT(P458,5)="1-Way", Enginuity!$B$13=1),
      AND(LEFT(P458,5)="2-Way", OR(Enginuity!$B$13=2, Enginuity!$B$13=4)),
      AND(LEFT(P458,5)="3-Way", OR(Enginuity!$B$13=3, Enginuity!$B$13=6)),
      AND(P458="Inner Centre Jamb", OR(Enginuity!$B$13=4, Enginuity!$B$13=6)),
      AND(
        LEFT(P458,5)&lt;&gt;"1-Way",
        LEFT(P458,5)&lt;&gt;"2-Way",
        LEFT(P458,5)&lt;&gt;"3-Way",
        P458&lt;&gt;"Inner Centre Jamb"
      )
    ),
    IF(OR(Enginuity!$A$1="Frameless Glass",Enginuity!$A$1="Metal Work"),
      AND(TRIM(B458)=TRIM(Enginuity!$A$17),TRIM(C458)=TRIM(Enginuity!$A$18)),
      TRIM(B458)=TRIM(Enginuity!$A$17)
    )
  ),
  ROW(),
  ""
)</f>
        <v/>
      </c>
      <c r="AY458" s="79">
        <f t="shared" si="11"/>
        <v>1.1000000000000001</v>
      </c>
      <c r="AZ458" s="5">
        <v>27</v>
      </c>
      <c r="BA458" t="s">
        <v>1309</v>
      </c>
      <c r="BB458" s="5">
        <f t="shared" si="10"/>
        <v>29.700000000000003</v>
      </c>
    </row>
    <row r="459" spans="1:54" x14ac:dyDescent="0.25">
      <c r="A459" s="10" t="s">
        <v>252</v>
      </c>
      <c r="B459" s="229" t="s">
        <v>306</v>
      </c>
      <c r="C459" s="10" t="s">
        <v>173</v>
      </c>
      <c r="D459" s="14" t="str">
        <v>5" Louver Blade P/C</v>
      </c>
      <c r="E459" s="157"/>
      <c r="F459" s="10"/>
      <c r="G459" s="17"/>
      <c r="H459" s="10"/>
      <c r="I459" s="17"/>
      <c r="J459" s="83"/>
      <c r="K459" s="343"/>
      <c r="L459" s="347"/>
      <c r="M459" s="89">
        <v>17</v>
      </c>
      <c r="N459" s="10" t="s">
        <v>160</v>
      </c>
      <c r="O459" s="22">
        <v>0.03</v>
      </c>
      <c r="P459" s="36" t="s">
        <v>157</v>
      </c>
      <c r="Q459" s="83">
        <f>(Enginuity!$B$6*2+Enginuity!$B$7*2)</f>
        <v>66</v>
      </c>
      <c r="U459" s="104" t="str">
        <f>IF(
  AND(
    TRIM(A459)=TRIM(Enginuity!$A$1),
    TRIM(B459)=TRIM(Enginuity!$A$17),
    Q459&lt;&gt;"",
    Q459&lt;&gt;0,
    OR(
      TRIM(C459)=TRIM(Enginuity!$A$18),
      AND(UPPER(TRIM(M459))="STD", TRIM(B459)=TRIM(Enginuity!$A$17))
    ),
    OR(
      AND(LEFT(P459,5)="1-Way", Enginuity!$B$13=1),
      AND(LEFT(P459,5)="2-Way", OR(Enginuity!$B$13=2, Enginuity!$B$13=4)),
      AND(LEFT(P459,5)="3-Way", OR(Enginuity!$B$13=3, Enginuity!$B$13=6)),
      AND(P459="Inner Centre Jamb", OR(Enginuity!$B$13=4, Enginuity!$B$13=6)),
      AND(
        LEFT(P459,5)&lt;&gt;"1-Way",
        LEFT(P459,5)&lt;&gt;"2-Way",
        LEFT(P459,5)&lt;&gt;"3-Way",
        P459&lt;&gt;"Inner Centre Jamb"
      )
    ),
    IF(OR(Enginuity!$A$1="Frameless Glass",Enginuity!$A$1="Metal Work"),
      AND(TRIM(B459)=TRIM(Enginuity!$A$17),TRIM(C459)=TRIM(Enginuity!$A$18)),
      TRIM(B459)=TRIM(Enginuity!$A$17)
    )
  ),
  ROW(),
  ""
)</f>
        <v/>
      </c>
      <c r="AY459" s="79">
        <f t="shared" si="11"/>
        <v>1.1000000000000001</v>
      </c>
      <c r="AZ459" s="5">
        <v>29</v>
      </c>
      <c r="BA459" t="s">
        <v>1310</v>
      </c>
      <c r="BB459" s="5">
        <f t="shared" si="10"/>
        <v>31.900000000000002</v>
      </c>
    </row>
    <row r="460" spans="1:54" x14ac:dyDescent="0.25">
      <c r="A460" s="10" t="s">
        <v>252</v>
      </c>
      <c r="B460" s="229" t="s">
        <v>306</v>
      </c>
      <c r="C460" s="10" t="s">
        <v>173</v>
      </c>
      <c r="D460" s="14" t="str">
        <v/>
      </c>
      <c r="E460" s="157"/>
      <c r="F460" s="10"/>
      <c r="G460" s="17"/>
      <c r="H460" s="10"/>
      <c r="I460" s="17"/>
      <c r="J460" s="83"/>
      <c r="K460" s="343"/>
      <c r="L460" s="347"/>
      <c r="M460" s="89">
        <v>18</v>
      </c>
      <c r="N460" s="10" t="s">
        <v>159</v>
      </c>
      <c r="O460" s="22">
        <v>0.06</v>
      </c>
      <c r="P460" s="36" t="s">
        <v>155</v>
      </c>
      <c r="Q460" s="83">
        <f>Enginuity!$B$6*Enginuity!$B$7*0.5</f>
        <v>130</v>
      </c>
      <c r="U460" s="104" t="str">
        <f>IF(
  AND(
    TRIM(A460)=TRIM(Enginuity!$A$1),
    TRIM(B460)=TRIM(Enginuity!$A$17),
    Q460&lt;&gt;"",
    Q460&lt;&gt;0,
    OR(
      TRIM(C460)=TRIM(Enginuity!$A$18),
      AND(UPPER(TRIM(M460))="STD", TRIM(B460)=TRIM(Enginuity!$A$17))
    ),
    OR(
      AND(LEFT(P460,5)="1-Way", Enginuity!$B$13=1),
      AND(LEFT(P460,5)="2-Way", OR(Enginuity!$B$13=2, Enginuity!$B$13=4)),
      AND(LEFT(P460,5)="3-Way", OR(Enginuity!$B$13=3, Enginuity!$B$13=6)),
      AND(P460="Inner Centre Jamb", OR(Enginuity!$B$13=4, Enginuity!$B$13=6)),
      AND(
        LEFT(P460,5)&lt;&gt;"1-Way",
        LEFT(P460,5)&lt;&gt;"2-Way",
        LEFT(P460,5)&lt;&gt;"3-Way",
        P460&lt;&gt;"Inner Centre Jamb"
      )
    ),
    IF(OR(Enginuity!$A$1="Frameless Glass",Enginuity!$A$1="Metal Work"),
      AND(TRIM(B460)=TRIM(Enginuity!$A$17),TRIM(C460)=TRIM(Enginuity!$A$18)),
      TRIM(B460)=TRIM(Enginuity!$A$17)
    )
  ),
  ROW(),
  ""
)</f>
        <v/>
      </c>
      <c r="AY460" s="79">
        <f t="shared" si="11"/>
        <v>1.1000000000000001</v>
      </c>
      <c r="AZ460" s="5">
        <v>31</v>
      </c>
      <c r="BA460" t="s">
        <v>1311</v>
      </c>
      <c r="BB460" s="5">
        <f t="shared" si="10"/>
        <v>34.1</v>
      </c>
    </row>
    <row r="461" spans="1:54" x14ac:dyDescent="0.25">
      <c r="A461" s="10" t="s">
        <v>252</v>
      </c>
      <c r="B461" s="229" t="s">
        <v>306</v>
      </c>
      <c r="C461" s="10" t="s">
        <v>173</v>
      </c>
      <c r="D461" s="14" t="str">
        <v/>
      </c>
      <c r="E461" s="157"/>
      <c r="F461" s="10"/>
      <c r="G461" s="17"/>
      <c r="H461" s="10"/>
      <c r="I461" s="17"/>
      <c r="J461" s="83"/>
      <c r="K461" s="343"/>
      <c r="L461" s="347"/>
      <c r="M461" s="89">
        <v>19</v>
      </c>
      <c r="N461" s="88" t="s">
        <v>112</v>
      </c>
      <c r="O461" s="22">
        <v>0.02</v>
      </c>
      <c r="P461" s="36" t="s">
        <v>154</v>
      </c>
      <c r="Q461" s="83">
        <f>Enginuity!$B$9</f>
        <v>260</v>
      </c>
      <c r="U461" s="104" t="str">
        <f>IF(
  AND(
    TRIM(A461)=TRIM(Enginuity!$A$1),
    TRIM(B461)=TRIM(Enginuity!$A$17),
    Q461&lt;&gt;"",
    Q461&lt;&gt;0,
    OR(
      TRIM(C461)=TRIM(Enginuity!$A$18),
      AND(UPPER(TRIM(M461))="STD", TRIM(B461)=TRIM(Enginuity!$A$17))
    ),
    OR(
      AND(LEFT(P461,5)="1-Way", Enginuity!$B$13=1),
      AND(LEFT(P461,5)="2-Way", OR(Enginuity!$B$13=2, Enginuity!$B$13=4)),
      AND(LEFT(P461,5)="3-Way", OR(Enginuity!$B$13=3, Enginuity!$B$13=6)),
      AND(P461="Inner Centre Jamb", OR(Enginuity!$B$13=4, Enginuity!$B$13=6)),
      AND(
        LEFT(P461,5)&lt;&gt;"1-Way",
        LEFT(P461,5)&lt;&gt;"2-Way",
        LEFT(P461,5)&lt;&gt;"3-Way",
        P461&lt;&gt;"Inner Centre Jamb"
      )
    ),
    IF(OR(Enginuity!$A$1="Frameless Glass",Enginuity!$A$1="Metal Work"),
      AND(TRIM(B461)=TRIM(Enginuity!$A$17),TRIM(C461)=TRIM(Enginuity!$A$18)),
      TRIM(B461)=TRIM(Enginuity!$A$17)
    )
  ),
  ROW(),
  ""
)</f>
        <v/>
      </c>
      <c r="AY461" s="79">
        <f t="shared" si="11"/>
        <v>1.1000000000000001</v>
      </c>
      <c r="AZ461" s="5">
        <v>33</v>
      </c>
      <c r="BA461" t="s">
        <v>1312</v>
      </c>
      <c r="BB461" s="5">
        <f t="shared" si="10"/>
        <v>36.300000000000004</v>
      </c>
    </row>
    <row r="462" spans="1:54" x14ac:dyDescent="0.25">
      <c r="A462" s="10" t="s">
        <v>252</v>
      </c>
      <c r="B462" s="229" t="s">
        <v>306</v>
      </c>
      <c r="C462" s="10" t="s">
        <v>173</v>
      </c>
      <c r="D462" s="14" t="str">
        <v/>
      </c>
      <c r="E462" s="157"/>
      <c r="F462" s="10"/>
      <c r="G462" s="17"/>
      <c r="H462" s="10"/>
      <c r="I462" s="17"/>
      <c r="J462" s="83"/>
      <c r="K462" s="343"/>
      <c r="L462" s="347"/>
      <c r="M462" s="89">
        <v>20</v>
      </c>
      <c r="N462" s="88" t="s">
        <v>161</v>
      </c>
      <c r="O462" s="22">
        <v>0.2</v>
      </c>
      <c r="P462" s="36" t="s">
        <v>168</v>
      </c>
      <c r="Q462" s="83">
        <f>Enginuity!$B$9</f>
        <v>260</v>
      </c>
      <c r="U462" s="104" t="str">
        <f>IF(
  AND(
    TRIM(A462)=TRIM(Enginuity!$A$1),
    TRIM(B462)=TRIM(Enginuity!$A$17),
    Q462&lt;&gt;"",
    Q462&lt;&gt;0,
    OR(
      TRIM(C462)=TRIM(Enginuity!$A$18),
      AND(UPPER(TRIM(M462))="STD", TRIM(B462)=TRIM(Enginuity!$A$17))
    ),
    OR(
      AND(LEFT(P462,5)="1-Way", Enginuity!$B$13=1),
      AND(LEFT(P462,5)="2-Way", OR(Enginuity!$B$13=2, Enginuity!$B$13=4)),
      AND(LEFT(P462,5)="3-Way", OR(Enginuity!$B$13=3, Enginuity!$B$13=6)),
      AND(P462="Inner Centre Jamb", OR(Enginuity!$B$13=4, Enginuity!$B$13=6)),
      AND(
        LEFT(P462,5)&lt;&gt;"1-Way",
        LEFT(P462,5)&lt;&gt;"2-Way",
        LEFT(P462,5)&lt;&gt;"3-Way",
        P462&lt;&gt;"Inner Centre Jamb"
      )
    ),
    IF(OR(Enginuity!$A$1="Frameless Glass",Enginuity!$A$1="Metal Work"),
      AND(TRIM(B462)=TRIM(Enginuity!$A$17),TRIM(C462)=TRIM(Enginuity!$A$18)),
      TRIM(B462)=TRIM(Enginuity!$A$17)
    )
  ),
  ROW(),
  ""
)</f>
        <v/>
      </c>
      <c r="AY462" s="79">
        <f t="shared" si="11"/>
        <v>1.1000000000000001</v>
      </c>
      <c r="AZ462" s="5">
        <v>35</v>
      </c>
      <c r="BA462" t="s">
        <v>1313</v>
      </c>
      <c r="BB462" s="5">
        <f t="shared" si="10"/>
        <v>38.5</v>
      </c>
    </row>
    <row r="463" spans="1:54" x14ac:dyDescent="0.25">
      <c r="A463" s="10" t="s">
        <v>252</v>
      </c>
      <c r="B463" s="229" t="s">
        <v>306</v>
      </c>
      <c r="C463" s="10" t="s">
        <v>173</v>
      </c>
      <c r="D463" s="14" t="str">
        <v/>
      </c>
      <c r="E463" s="157"/>
      <c r="F463" s="10"/>
      <c r="G463" s="17"/>
      <c r="H463" s="10"/>
      <c r="I463" s="17"/>
      <c r="J463" s="83"/>
      <c r="K463" s="343"/>
      <c r="L463" s="347"/>
      <c r="M463" s="89">
        <v>21</v>
      </c>
      <c r="N463" s="10" t="s">
        <v>162</v>
      </c>
      <c r="O463" s="22">
        <v>0.06</v>
      </c>
      <c r="P463" s="93" t="s">
        <v>167</v>
      </c>
      <c r="Q463" s="83">
        <f>Enginuity!$B$9</f>
        <v>260</v>
      </c>
      <c r="U463" s="104" t="str">
        <f>IF(
  AND(
    TRIM(A463)=TRIM(Enginuity!$A$1),
    TRIM(B463)=TRIM(Enginuity!$A$17),
    Q463&lt;&gt;"",
    Q463&lt;&gt;0,
    OR(
      TRIM(C463)=TRIM(Enginuity!$A$18),
      AND(UPPER(TRIM(M463))="STD", TRIM(B463)=TRIM(Enginuity!$A$17))
    ),
    OR(
      AND(LEFT(P463,5)="1-Way", Enginuity!$B$13=1),
      AND(LEFT(P463,5)="2-Way", OR(Enginuity!$B$13=2, Enginuity!$B$13=4)),
      AND(LEFT(P463,5)="3-Way", OR(Enginuity!$B$13=3, Enginuity!$B$13=6)),
      AND(P463="Inner Centre Jamb", OR(Enginuity!$B$13=4, Enginuity!$B$13=6)),
      AND(
        LEFT(P463,5)&lt;&gt;"1-Way",
        LEFT(P463,5)&lt;&gt;"2-Way",
        LEFT(P463,5)&lt;&gt;"3-Way",
        P463&lt;&gt;"Inner Centre Jamb"
      )
    ),
    IF(OR(Enginuity!$A$1="Frameless Glass",Enginuity!$A$1="Metal Work"),
      AND(TRIM(B463)=TRIM(Enginuity!$A$17),TRIM(C463)=TRIM(Enginuity!$A$18)),
      TRIM(B463)=TRIM(Enginuity!$A$17)
    )
  ),
  ROW(),
  ""
)</f>
        <v/>
      </c>
      <c r="AY463" s="79">
        <f t="shared" si="11"/>
        <v>1.1000000000000001</v>
      </c>
      <c r="AZ463" s="5">
        <v>37</v>
      </c>
      <c r="BA463" t="s">
        <v>1314</v>
      </c>
      <c r="BB463" s="5">
        <f t="shared" si="10"/>
        <v>40.700000000000003</v>
      </c>
    </row>
    <row r="464" spans="1:54" x14ac:dyDescent="0.25">
      <c r="A464" s="10" t="s">
        <v>252</v>
      </c>
      <c r="B464" s="229" t="s">
        <v>306</v>
      </c>
      <c r="C464" s="10" t="s">
        <v>173</v>
      </c>
      <c r="D464" s="14" t="str">
        <v/>
      </c>
      <c r="E464" s="157"/>
      <c r="F464" s="10"/>
      <c r="G464" s="17"/>
      <c r="H464" s="10"/>
      <c r="I464" s="17"/>
      <c r="J464" s="83"/>
      <c r="K464" s="343"/>
      <c r="L464" s="347"/>
      <c r="M464" s="89">
        <v>22</v>
      </c>
      <c r="N464" s="10" t="s">
        <v>121</v>
      </c>
      <c r="O464" s="22">
        <v>4.5</v>
      </c>
      <c r="P464" s="36" t="s">
        <v>166</v>
      </c>
      <c r="Q464" s="83">
        <f>Enginuity!$B$9</f>
        <v>260</v>
      </c>
      <c r="U464" s="104" t="str">
        <f>IF(
  AND(
    TRIM(A464)=TRIM(Enginuity!$A$1),
    TRIM(B464)=TRIM(Enginuity!$A$17),
    Q464&lt;&gt;"",
    Q464&lt;&gt;0,
    OR(
      TRIM(C464)=TRIM(Enginuity!$A$18),
      AND(UPPER(TRIM(M464))="STD", TRIM(B464)=TRIM(Enginuity!$A$17))
    ),
    OR(
      AND(LEFT(P464,5)="1-Way", Enginuity!$B$13=1),
      AND(LEFT(P464,5)="2-Way", OR(Enginuity!$B$13=2, Enginuity!$B$13=4)),
      AND(LEFT(P464,5)="3-Way", OR(Enginuity!$B$13=3, Enginuity!$B$13=6)),
      AND(P464="Inner Centre Jamb", OR(Enginuity!$B$13=4, Enginuity!$B$13=6)),
      AND(
        LEFT(P464,5)&lt;&gt;"1-Way",
        LEFT(P464,5)&lt;&gt;"2-Way",
        LEFT(P464,5)&lt;&gt;"3-Way",
        P464&lt;&gt;"Inner Centre Jamb"
      )
    ),
    IF(OR(Enginuity!$A$1="Frameless Glass",Enginuity!$A$1="Metal Work"),
      AND(TRIM(B464)=TRIM(Enginuity!$A$17),TRIM(C464)=TRIM(Enginuity!$A$18)),
      TRIM(B464)=TRIM(Enginuity!$A$17)
    )
  ),
  ROW(),
  ""
)</f>
        <v/>
      </c>
      <c r="AY464" s="79">
        <f t="shared" si="11"/>
        <v>1.1000000000000001</v>
      </c>
      <c r="AZ464" s="5">
        <v>23</v>
      </c>
      <c r="BA464" t="s">
        <v>1315</v>
      </c>
      <c r="BB464" s="5">
        <f t="shared" si="10"/>
        <v>25.3</v>
      </c>
    </row>
    <row r="465" spans="1:54" x14ac:dyDescent="0.25">
      <c r="A465" s="10" t="s">
        <v>252</v>
      </c>
      <c r="B465" s="229" t="s">
        <v>306</v>
      </c>
      <c r="C465" s="10" t="s">
        <v>173</v>
      </c>
      <c r="D465" s="14"/>
      <c r="E465" s="157"/>
      <c r="F465" s="10"/>
      <c r="G465" s="17"/>
      <c r="H465" s="10"/>
      <c r="I465" s="17"/>
      <c r="J465" s="83"/>
      <c r="K465" s="343"/>
      <c r="L465" s="347"/>
      <c r="M465" s="89">
        <v>23</v>
      </c>
      <c r="N465" s="10" t="s">
        <v>121</v>
      </c>
      <c r="O465" s="22" t="str">
        <f>$O$2</f>
        <v/>
      </c>
      <c r="P465" s="21" t="str">
        <f>Enginuity!$A$19</f>
        <v>W/G</v>
      </c>
      <c r="Q465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465" s="104" t="str">
        <f>IF(
  AND(
    TRIM(A465)=TRIM(Enginuity!$A$1),
    TRIM(B465)=TRIM(Enginuity!$A$17),
    Q465&lt;&gt;"",
    Q465&lt;&gt;0,
    OR(
      TRIM(C465)=TRIM(Enginuity!$A$18),
      AND(UPPER(TRIM(M465))="STD", TRIM(B465)=TRIM(Enginuity!$A$17))
    ),
    OR(
      AND(LEFT(P465,5)="1-Way", Enginuity!$B$13=1),
      AND(LEFT(P465,5)="2-Way", OR(Enginuity!$B$13=2, Enginuity!$B$13=4)),
      AND(LEFT(P465,5)="3-Way", OR(Enginuity!$B$13=3, Enginuity!$B$13=6)),
      AND(P465="Inner Centre Jamb", OR(Enginuity!$B$13=4, Enginuity!$B$13=6)),
      AND(
        LEFT(P465,5)&lt;&gt;"1-Way",
        LEFT(P465,5)&lt;&gt;"2-Way",
        LEFT(P465,5)&lt;&gt;"3-Way",
        P465&lt;&gt;"Inner Centre Jamb"
      )
    ),
    IF(OR(Enginuity!$A$1="Frameless Glass",Enginuity!$A$1="Metal Work"),
      AND(TRIM(B465)=TRIM(Enginuity!$A$17),TRIM(C465)=TRIM(Enginuity!$A$18)),
      TRIM(B465)=TRIM(Enginuity!$A$17)
    )
  ),
  ROW(),
  ""
)</f>
        <v/>
      </c>
      <c r="AY465" s="79">
        <f t="shared" si="11"/>
        <v>1.1000000000000001</v>
      </c>
      <c r="AZ465" s="5">
        <v>24</v>
      </c>
      <c r="BA465" t="s">
        <v>1316</v>
      </c>
      <c r="BB465" s="5">
        <f t="shared" si="10"/>
        <v>26.400000000000002</v>
      </c>
    </row>
    <row r="466" spans="1:54" x14ac:dyDescent="0.25">
      <c r="A466" s="10" t="s">
        <v>252</v>
      </c>
      <c r="B466" s="229" t="s">
        <v>306</v>
      </c>
      <c r="C466" s="10" t="s">
        <v>173</v>
      </c>
      <c r="D466" s="14"/>
      <c r="E466" s="157"/>
      <c r="F466" s="11"/>
      <c r="G466" s="17"/>
      <c r="H466" s="10"/>
      <c r="I466" s="17"/>
      <c r="J466" s="83"/>
      <c r="K466" s="343"/>
      <c r="L466" s="347"/>
      <c r="M466" s="89">
        <v>24</v>
      </c>
      <c r="N466" s="10"/>
      <c r="O466" s="22"/>
      <c r="P466" s="36"/>
      <c r="Q466" s="83"/>
      <c r="U466" s="104" t="str">
        <f>IF(
  AND(
    TRIM(A466)=TRIM(Enginuity!$A$1),
    TRIM(B466)=TRIM(Enginuity!$A$17),
    Q466&lt;&gt;"",
    Q466&lt;&gt;0,
    OR(
      TRIM(C466)=TRIM(Enginuity!$A$18),
      AND(UPPER(TRIM(M466))="STD", TRIM(B466)=TRIM(Enginuity!$A$17))
    ),
    OR(
      AND(LEFT(P466,5)="1-Way", Enginuity!$B$13=1),
      AND(LEFT(P466,5)="2-Way", OR(Enginuity!$B$13=2, Enginuity!$B$13=4)),
      AND(LEFT(P466,5)="3-Way", OR(Enginuity!$B$13=3, Enginuity!$B$13=6)),
      AND(P466="Inner Centre Jamb", OR(Enginuity!$B$13=4, Enginuity!$B$13=6)),
      AND(
        LEFT(P466,5)&lt;&gt;"1-Way",
        LEFT(P466,5)&lt;&gt;"2-Way",
        LEFT(P466,5)&lt;&gt;"3-Way",
        P466&lt;&gt;"Inner Centre Jamb"
      )
    ),
    IF(OR(Enginuity!$A$1="Frameless Glass",Enginuity!$A$1="Metal Work"),
      AND(TRIM(B466)=TRIM(Enginuity!$A$17),TRIM(C466)=TRIM(Enginuity!$A$18)),
      TRIM(B466)=TRIM(Enginuity!$A$17)
    )
  ),
  ROW(),
  ""
)</f>
        <v/>
      </c>
      <c r="AY466" s="79">
        <f t="shared" si="11"/>
        <v>1.1000000000000001</v>
      </c>
      <c r="AZ466" s="5">
        <v>25</v>
      </c>
      <c r="BA466" t="s">
        <v>1317</v>
      </c>
      <c r="BB466" s="5">
        <f t="shared" si="10"/>
        <v>27.500000000000004</v>
      </c>
    </row>
    <row r="467" spans="1:54" x14ac:dyDescent="0.25">
      <c r="A467" s="10"/>
      <c r="B467" s="229"/>
      <c r="C467" s="10"/>
      <c r="D467" s="14"/>
      <c r="E467" s="157"/>
      <c r="F467" s="11"/>
      <c r="G467" s="17"/>
      <c r="H467" s="10"/>
      <c r="I467" s="17"/>
      <c r="J467" s="83"/>
      <c r="K467" s="343"/>
      <c r="L467" s="347"/>
      <c r="M467" s="89">
        <v>25</v>
      </c>
      <c r="N467" s="10" t="s">
        <v>159</v>
      </c>
      <c r="O467" s="22">
        <v>0.55000000000000004</v>
      </c>
      <c r="P467" s="36" t="s">
        <v>164</v>
      </c>
      <c r="Q467" s="83">
        <f>Enginuity!$B$7*Enginuity!$B$13</f>
        <v>91</v>
      </c>
      <c r="U467" s="104" t="str">
        <f>IF(
  AND(
    TRIM(A467)=TRIM(Enginuity!$A$1),
    TRIM(B467)=TRIM(Enginuity!$A$17),
    Q467&lt;&gt;"",
    Q467&lt;&gt;0,
    OR(
      TRIM(C467)=TRIM(Enginuity!$A$18),
      AND(UPPER(TRIM(M467))="STD", TRIM(B467)=TRIM(Enginuity!$A$17))
    ),
    OR(
      AND(LEFT(P467,5)="1-Way", Enginuity!$B$13=1),
      AND(LEFT(P467,5)="2-Way", OR(Enginuity!$B$13=2, Enginuity!$B$13=4)),
      AND(LEFT(P467,5)="3-Way", OR(Enginuity!$B$13=3, Enginuity!$B$13=6)),
      AND(P467="Inner Centre Jamb", OR(Enginuity!$B$13=4, Enginuity!$B$13=6)),
      AND(
        LEFT(P467,5)&lt;&gt;"1-Way",
        LEFT(P467,5)&lt;&gt;"2-Way",
        LEFT(P467,5)&lt;&gt;"3-Way",
        P467&lt;&gt;"Inner Centre Jamb"
      )
    ),
    IF(OR(Enginuity!$A$1="Frameless Glass",Enginuity!$A$1="Metal Work"),
      AND(TRIM(B467)=TRIM(Enginuity!$A$17),TRIM(C467)=TRIM(Enginuity!$A$18)),
      TRIM(B467)=TRIM(Enginuity!$A$17)
    )
  ),
  ROW(),
  ""
)</f>
        <v/>
      </c>
      <c r="AY467" s="79">
        <f t="shared" si="11"/>
        <v>1.1000000000000001</v>
      </c>
      <c r="AZ467" s="5">
        <v>28</v>
      </c>
      <c r="BA467" t="s">
        <v>1318</v>
      </c>
      <c r="BB467" s="5">
        <f t="shared" si="10"/>
        <v>30.800000000000004</v>
      </c>
    </row>
    <row r="468" spans="1:54" x14ac:dyDescent="0.25">
      <c r="A468" s="10" t="s">
        <v>252</v>
      </c>
      <c r="B468" s="229" t="s">
        <v>88</v>
      </c>
      <c r="C468" s="10" t="s">
        <v>173</v>
      </c>
      <c r="D468" s="14" t="str" cm="1">
        <f t="array" ref="D468:D477">IFERROR(INDEX(_xlfn._xlws.FILTER(AllMaterialsbak!$BA$2:$BA$30, AllMaterialsbak!$BA$2:$BA$30&lt;&gt;""), _xlfn.SEQUENCE(10)), "")</f>
        <v>Default</v>
      </c>
      <c r="E468" s="157"/>
      <c r="F468" s="11"/>
      <c r="G468" s="17"/>
      <c r="H468" s="10"/>
      <c r="I468" s="17"/>
      <c r="J468" s="83"/>
      <c r="K468" s="344">
        <v>0.52</v>
      </c>
      <c r="L468" s="347">
        <v>609.6</v>
      </c>
      <c r="M468" s="89">
        <v>26</v>
      </c>
      <c r="N468" s="10" t="s">
        <v>159</v>
      </c>
      <c r="O468" s="22">
        <v>0.55000000000000004</v>
      </c>
      <c r="P468" s="36" t="s">
        <v>165</v>
      </c>
      <c r="Q468" s="83">
        <f>Enginuity!$B$6</f>
        <v>20</v>
      </c>
      <c r="U468" s="104" t="str">
        <f>IF(
  AND(
    TRIM(A468)=TRIM(Enginuity!$A$1),
    TRIM(B468)=TRIM(Enginuity!$A$17),
    Q468&lt;&gt;"",
    Q468&lt;&gt;0,
    OR(
      TRIM(C468)=TRIM(Enginuity!$A$18),
      AND(UPPER(TRIM(M468))="STD", TRIM(B468)=TRIM(Enginuity!$A$17))
    ),
    OR(
      AND(LEFT(P468,5)="1-Way", Enginuity!$B$13=1),
      AND(LEFT(P468,5)="2-Way", OR(Enginuity!$B$13=2, Enginuity!$B$13=4)),
      AND(LEFT(P468,5)="3-Way", OR(Enginuity!$B$13=3, Enginuity!$B$13=6)),
      AND(P468="Inner Centre Jamb", OR(Enginuity!$B$13=4, Enginuity!$B$13=6)),
      AND(
        LEFT(P468,5)&lt;&gt;"1-Way",
        LEFT(P468,5)&lt;&gt;"2-Way",
        LEFT(P468,5)&lt;&gt;"3-Way",
        P468&lt;&gt;"Inner Centre Jamb"
      )
    ),
    IF(OR(Enginuity!$A$1="Frameless Glass",Enginuity!$A$1="Metal Work"),
      AND(TRIM(B468)=TRIM(Enginuity!$A$17),TRIM(C468)=TRIM(Enginuity!$A$18)),
      TRIM(B468)=TRIM(Enginuity!$A$17)
    )
  ),
  ROW(),
  ""
)</f>
        <v/>
      </c>
      <c r="AY468" s="79">
        <f t="shared" si="11"/>
        <v>1.1000000000000001</v>
      </c>
      <c r="AZ468" s="5">
        <v>30</v>
      </c>
      <c r="BA468" t="s">
        <v>1319</v>
      </c>
      <c r="BB468" s="5">
        <f t="shared" si="10"/>
        <v>33</v>
      </c>
    </row>
    <row r="469" spans="1:54" x14ac:dyDescent="0.25">
      <c r="A469" s="10" t="s">
        <v>252</v>
      </c>
      <c r="B469" s="229" t="s">
        <v>88</v>
      </c>
      <c r="C469" s="10" t="s">
        <v>173</v>
      </c>
      <c r="D469" s="14" t="str">
        <v xml:space="preserve">2" Louver Blade N/A </v>
      </c>
      <c r="E469" s="157"/>
      <c r="F469" s="11"/>
      <c r="G469" s="17"/>
      <c r="H469" s="10"/>
      <c r="I469" s="17"/>
      <c r="J469" s="83"/>
      <c r="K469" s="343"/>
      <c r="L469" s="347"/>
      <c r="M469" s="89">
        <v>27</v>
      </c>
      <c r="N469" s="10" t="s">
        <v>159</v>
      </c>
      <c r="O469" s="22">
        <v>0.55000000000000004</v>
      </c>
      <c r="P469" s="36" t="s">
        <v>152</v>
      </c>
      <c r="Q469" s="83">
        <f>(Enginuity!$B$6*2+Enginuity!$B$7*2)</f>
        <v>66</v>
      </c>
      <c r="U469" s="104" t="str">
        <f>IF(
  AND(
    TRIM(A469)=TRIM(Enginuity!$A$1),
    TRIM(B469)=TRIM(Enginuity!$A$17),
    Q469&lt;&gt;"",
    Q469&lt;&gt;0,
    OR(
      TRIM(C469)=TRIM(Enginuity!$A$18),
      AND(UPPER(TRIM(M469))="STD", TRIM(B469)=TRIM(Enginuity!$A$17))
    ),
    OR(
      AND(LEFT(P469,5)="1-Way", Enginuity!$B$13=1),
      AND(LEFT(P469,5)="2-Way", OR(Enginuity!$B$13=2, Enginuity!$B$13=4)),
      AND(LEFT(P469,5)="3-Way", OR(Enginuity!$B$13=3, Enginuity!$B$13=6)),
      AND(P469="Inner Centre Jamb", OR(Enginuity!$B$13=4, Enginuity!$B$13=6)),
      AND(
        LEFT(P469,5)&lt;&gt;"1-Way",
        LEFT(P469,5)&lt;&gt;"2-Way",
        LEFT(P469,5)&lt;&gt;"3-Way",
        P469&lt;&gt;"Inner Centre Jamb"
      )
    ),
    IF(OR(Enginuity!$A$1="Frameless Glass",Enginuity!$A$1="Metal Work"),
      AND(TRIM(B469)=TRIM(Enginuity!$A$17),TRIM(C469)=TRIM(Enginuity!$A$18)),
      TRIM(B469)=TRIM(Enginuity!$A$17)
    )
  ),
  ROW(),
  ""
)</f>
        <v/>
      </c>
      <c r="AY469" s="79">
        <f t="shared" si="11"/>
        <v>1.1000000000000001</v>
      </c>
      <c r="AZ469" s="5">
        <v>32</v>
      </c>
      <c r="BA469" t="s">
        <v>1320</v>
      </c>
      <c r="BB469" s="5">
        <f t="shared" si="10"/>
        <v>35.200000000000003</v>
      </c>
    </row>
    <row r="470" spans="1:54" x14ac:dyDescent="0.25">
      <c r="A470" s="10" t="s">
        <v>252</v>
      </c>
      <c r="B470" s="229" t="s">
        <v>88</v>
      </c>
      <c r="C470" s="10" t="s">
        <v>173</v>
      </c>
      <c r="D470" s="14" t="str">
        <v>2" Louver Blade P/C</v>
      </c>
      <c r="E470" s="157"/>
      <c r="F470" s="10"/>
      <c r="G470" s="17"/>
      <c r="H470" s="10"/>
      <c r="I470" s="17"/>
      <c r="J470" s="83"/>
      <c r="K470" s="343"/>
      <c r="L470" s="347"/>
      <c r="M470" s="89">
        <v>28</v>
      </c>
      <c r="N470" s="10" t="s">
        <v>159</v>
      </c>
      <c r="O470" s="22">
        <v>0.85</v>
      </c>
      <c r="P470" s="36" t="s">
        <v>171</v>
      </c>
      <c r="Q470" s="83">
        <f>Enginuity!$B$9</f>
        <v>260</v>
      </c>
      <c r="U470" s="104" t="str">
        <f>IF(
  AND(
    TRIM(A470)=TRIM(Enginuity!$A$1),
    TRIM(B470)=TRIM(Enginuity!$A$17),
    Q470&lt;&gt;"",
    Q470&lt;&gt;0,
    OR(
      TRIM(C470)=TRIM(Enginuity!$A$18),
      AND(UPPER(TRIM(M470))="STD", TRIM(B470)=TRIM(Enginuity!$A$17))
    ),
    OR(
      AND(LEFT(P470,5)="1-Way", Enginuity!$B$13=1),
      AND(LEFT(P470,5)="2-Way", OR(Enginuity!$B$13=2, Enginuity!$B$13=4)),
      AND(LEFT(P470,5)="3-Way", OR(Enginuity!$B$13=3, Enginuity!$B$13=6)),
      AND(P470="Inner Centre Jamb", OR(Enginuity!$B$13=4, Enginuity!$B$13=6)),
      AND(
        LEFT(P470,5)&lt;&gt;"1-Way",
        LEFT(P470,5)&lt;&gt;"2-Way",
        LEFT(P470,5)&lt;&gt;"3-Way",
        P470&lt;&gt;"Inner Centre Jamb"
      )
    ),
    IF(OR(Enginuity!$A$1="Frameless Glass",Enginuity!$A$1="Metal Work"),
      AND(TRIM(B470)=TRIM(Enginuity!$A$17),TRIM(C470)=TRIM(Enginuity!$A$18)),
      TRIM(B470)=TRIM(Enginuity!$A$17)
    )
  ),
  ROW(),
  ""
)</f>
        <v/>
      </c>
      <c r="AY470" s="79">
        <f t="shared" si="11"/>
        <v>1.1000000000000001</v>
      </c>
      <c r="AZ470" s="5">
        <v>34</v>
      </c>
      <c r="BA470" t="s">
        <v>1321</v>
      </c>
      <c r="BB470" s="5">
        <f t="shared" si="10"/>
        <v>37.400000000000006</v>
      </c>
    </row>
    <row r="471" spans="1:54" x14ac:dyDescent="0.25">
      <c r="A471" s="10" t="s">
        <v>252</v>
      </c>
      <c r="B471" s="229" t="s">
        <v>88</v>
      </c>
      <c r="C471" s="10" t="s">
        <v>173</v>
      </c>
      <c r="D471" s="14" t="str">
        <v xml:space="preserve">5" Louver Blade N/A </v>
      </c>
      <c r="E471" s="157"/>
      <c r="F471" s="10"/>
      <c r="G471" s="17"/>
      <c r="H471" s="10"/>
      <c r="I471" s="17"/>
      <c r="J471" s="83"/>
      <c r="K471" s="343"/>
      <c r="L471" s="347"/>
      <c r="M471" s="89">
        <v>29</v>
      </c>
      <c r="N471" s="10" t="s">
        <v>160</v>
      </c>
      <c r="O471" s="22">
        <v>1.3</v>
      </c>
      <c r="P471" s="36" t="s">
        <v>153</v>
      </c>
      <c r="Q471" s="83">
        <f>(Enginuity!$B$6*2+Enginuity!$B$7*2)</f>
        <v>66</v>
      </c>
      <c r="U471" s="104" t="str">
        <f>IF(
  AND(
    TRIM(A471)=TRIM(Enginuity!$A$1),
    TRIM(B471)=TRIM(Enginuity!$A$17),
    Q471&lt;&gt;"",
    Q471&lt;&gt;0,
    OR(
      TRIM(C471)=TRIM(Enginuity!$A$18),
      AND(UPPER(TRIM(M471))="STD", TRIM(B471)=TRIM(Enginuity!$A$17))
    ),
    OR(
      AND(LEFT(P471,5)="1-Way", Enginuity!$B$13=1),
      AND(LEFT(P471,5)="2-Way", OR(Enginuity!$B$13=2, Enginuity!$B$13=4)),
      AND(LEFT(P471,5)="3-Way", OR(Enginuity!$B$13=3, Enginuity!$B$13=6)),
      AND(P471="Inner Centre Jamb", OR(Enginuity!$B$13=4, Enginuity!$B$13=6)),
      AND(
        LEFT(P471,5)&lt;&gt;"1-Way",
        LEFT(P471,5)&lt;&gt;"2-Way",
        LEFT(P471,5)&lt;&gt;"3-Way",
        P471&lt;&gt;"Inner Centre Jamb"
      )
    ),
    IF(OR(Enginuity!$A$1="Frameless Glass",Enginuity!$A$1="Metal Work"),
      AND(TRIM(B471)=TRIM(Enginuity!$A$17),TRIM(C471)=TRIM(Enginuity!$A$18)),
      TRIM(B471)=TRIM(Enginuity!$A$17)
    )
  ),
  ROW(),
  ""
)</f>
        <v/>
      </c>
      <c r="AY471" s="79">
        <f t="shared" si="11"/>
        <v>1.1000000000000001</v>
      </c>
      <c r="AZ471" s="5">
        <v>36</v>
      </c>
      <c r="BA471" t="s">
        <v>1322</v>
      </c>
      <c r="BB471" s="5">
        <f t="shared" si="10"/>
        <v>39.6</v>
      </c>
    </row>
    <row r="472" spans="1:54" x14ac:dyDescent="0.25">
      <c r="A472" s="10" t="s">
        <v>252</v>
      </c>
      <c r="B472" s="229" t="s">
        <v>88</v>
      </c>
      <c r="C472" s="10" t="s">
        <v>173</v>
      </c>
      <c r="D472" s="14" t="str">
        <v>5" Louver Blade P/C</v>
      </c>
      <c r="E472" s="157"/>
      <c r="F472" s="10"/>
      <c r="G472" s="17"/>
      <c r="H472" s="10"/>
      <c r="I472" s="17"/>
      <c r="J472" s="83"/>
      <c r="K472" s="343"/>
      <c r="L472" s="347"/>
      <c r="M472" s="89">
        <v>30</v>
      </c>
      <c r="N472" s="10" t="s">
        <v>159</v>
      </c>
      <c r="O472" s="22">
        <v>0.5</v>
      </c>
      <c r="P472" s="36" t="s">
        <v>157</v>
      </c>
      <c r="Q472" s="83">
        <f>(Enginuity!$B$6*2+Enginuity!$B$7*2)</f>
        <v>66</v>
      </c>
      <c r="U472" s="104" t="str">
        <f>IF(
  AND(
    TRIM(A472)=TRIM(Enginuity!$A$1),
    TRIM(B472)=TRIM(Enginuity!$A$17),
    Q472&lt;&gt;"",
    Q472&lt;&gt;0,
    OR(
      TRIM(C472)=TRIM(Enginuity!$A$18),
      AND(UPPER(TRIM(M472))="STD", TRIM(B472)=TRIM(Enginuity!$A$17))
    ),
    OR(
      AND(LEFT(P472,5)="1-Way", Enginuity!$B$13=1),
      AND(LEFT(P472,5)="2-Way", OR(Enginuity!$B$13=2, Enginuity!$B$13=4)),
      AND(LEFT(P472,5)="3-Way", OR(Enginuity!$B$13=3, Enginuity!$B$13=6)),
      AND(P472="Inner Centre Jamb", OR(Enginuity!$B$13=4, Enginuity!$B$13=6)),
      AND(
        LEFT(P472,5)&lt;&gt;"1-Way",
        LEFT(P472,5)&lt;&gt;"2-Way",
        LEFT(P472,5)&lt;&gt;"3-Way",
        P472&lt;&gt;"Inner Centre Jamb"
      )
    ),
    IF(OR(Enginuity!$A$1="Frameless Glass",Enginuity!$A$1="Metal Work"),
      AND(TRIM(B472)=TRIM(Enginuity!$A$17),TRIM(C472)=TRIM(Enginuity!$A$18)),
      TRIM(B472)=TRIM(Enginuity!$A$17)
    )
  ),
  ROW(),
  ""
)</f>
        <v/>
      </c>
      <c r="AY472" s="79">
        <f t="shared" si="11"/>
        <v>1.1000000000000001</v>
      </c>
      <c r="AZ472" s="5">
        <v>38</v>
      </c>
      <c r="BA472" t="s">
        <v>1323</v>
      </c>
      <c r="BB472" s="5">
        <f t="shared" si="10"/>
        <v>41.800000000000004</v>
      </c>
    </row>
    <row r="473" spans="1:54" x14ac:dyDescent="0.25">
      <c r="A473" s="10" t="s">
        <v>252</v>
      </c>
      <c r="B473" s="229" t="s">
        <v>88</v>
      </c>
      <c r="C473" s="10" t="s">
        <v>173</v>
      </c>
      <c r="D473" s="14" t="str">
        <v/>
      </c>
      <c r="E473" s="157"/>
      <c r="F473" s="10"/>
      <c r="G473" s="17"/>
      <c r="H473" s="10"/>
      <c r="I473" s="17"/>
      <c r="J473" s="83"/>
      <c r="K473" s="343"/>
      <c r="L473" s="347"/>
      <c r="M473" s="89">
        <v>31</v>
      </c>
      <c r="N473" s="10" t="s">
        <v>112</v>
      </c>
      <c r="O473" s="22">
        <v>0.06</v>
      </c>
      <c r="P473" s="36" t="s">
        <v>155</v>
      </c>
      <c r="Q473" s="83">
        <f>(Enginuity!$B$6*2+Enginuity!$B$7*2)</f>
        <v>66</v>
      </c>
      <c r="U473" s="104" t="str">
        <f>IF(
  AND(
    TRIM(A473)=TRIM(Enginuity!$A$1),
    TRIM(B473)=TRIM(Enginuity!$A$17),
    Q473&lt;&gt;"",
    Q473&lt;&gt;0,
    OR(
      TRIM(C473)=TRIM(Enginuity!$A$18),
      AND(UPPER(TRIM(M473))="STD", TRIM(B473)=TRIM(Enginuity!$A$17))
    ),
    OR(
      AND(LEFT(P473,5)="1-Way", Enginuity!$B$13=1),
      AND(LEFT(P473,5)="2-Way", OR(Enginuity!$B$13=2, Enginuity!$B$13=4)),
      AND(LEFT(P473,5)="3-Way", OR(Enginuity!$B$13=3, Enginuity!$B$13=6)),
      AND(P473="Inner Centre Jamb", OR(Enginuity!$B$13=4, Enginuity!$B$13=6)),
      AND(
        LEFT(P473,5)&lt;&gt;"1-Way",
        LEFT(P473,5)&lt;&gt;"2-Way",
        LEFT(P473,5)&lt;&gt;"3-Way",
        P473&lt;&gt;"Inner Centre Jamb"
      )
    ),
    IF(OR(Enginuity!$A$1="Frameless Glass",Enginuity!$A$1="Metal Work"),
      AND(TRIM(B473)=TRIM(Enginuity!$A$17),TRIM(C473)=TRIM(Enginuity!$A$18)),
      TRIM(B473)=TRIM(Enginuity!$A$17)
    )
  ),
  ROW(),
  ""
)</f>
        <v/>
      </c>
      <c r="AY473" s="79">
        <f t="shared" si="11"/>
        <v>1.1000000000000001</v>
      </c>
      <c r="AZ473" s="5">
        <v>25</v>
      </c>
      <c r="BA473" t="s">
        <v>1324</v>
      </c>
      <c r="BB473" s="5">
        <f t="shared" si="10"/>
        <v>27.500000000000004</v>
      </c>
    </row>
    <row r="474" spans="1:54" x14ac:dyDescent="0.25">
      <c r="A474" s="10" t="s">
        <v>252</v>
      </c>
      <c r="B474" s="229" t="s">
        <v>88</v>
      </c>
      <c r="C474" s="10" t="s">
        <v>173</v>
      </c>
      <c r="D474" s="14" t="str">
        <v/>
      </c>
      <c r="E474" s="157"/>
      <c r="F474" s="10"/>
      <c r="G474" s="17"/>
      <c r="H474" s="10"/>
      <c r="I474" s="17"/>
      <c r="J474" s="83"/>
      <c r="K474" s="343"/>
      <c r="L474" s="347"/>
      <c r="M474" s="89">
        <v>32</v>
      </c>
      <c r="N474" s="10" t="s">
        <v>161</v>
      </c>
      <c r="O474" s="22">
        <v>0.02</v>
      </c>
      <c r="P474" s="36" t="s">
        <v>154</v>
      </c>
      <c r="Q474" s="83">
        <f>Enginuity!$B$9</f>
        <v>260</v>
      </c>
      <c r="U474" s="104" t="str">
        <f>IF(
  AND(
    TRIM(A474)=TRIM(Enginuity!$A$1),
    TRIM(B474)=TRIM(Enginuity!$A$17),
    Q474&lt;&gt;"",
    Q474&lt;&gt;0,
    OR(
      TRIM(C474)=TRIM(Enginuity!$A$18),
      AND(UPPER(TRIM(M474))="STD", TRIM(B474)=TRIM(Enginuity!$A$17))
    ),
    OR(
      AND(LEFT(P474,5)="1-Way", Enginuity!$B$13=1),
      AND(LEFT(P474,5)="2-Way", OR(Enginuity!$B$13=2, Enginuity!$B$13=4)),
      AND(LEFT(P474,5)="3-Way", OR(Enginuity!$B$13=3, Enginuity!$B$13=6)),
      AND(P474="Inner Centre Jamb", OR(Enginuity!$B$13=4, Enginuity!$B$13=6)),
      AND(
        LEFT(P474,5)&lt;&gt;"1-Way",
        LEFT(P474,5)&lt;&gt;"2-Way",
        LEFT(P474,5)&lt;&gt;"3-Way",
        P474&lt;&gt;"Inner Centre Jamb"
      )
    ),
    IF(OR(Enginuity!$A$1="Frameless Glass",Enginuity!$A$1="Metal Work"),
      AND(TRIM(B474)=TRIM(Enginuity!$A$17),TRIM(C474)=TRIM(Enginuity!$A$18)),
      TRIM(B474)=TRIM(Enginuity!$A$17)
    )
  ),
  ROW(),
  ""
)</f>
        <v/>
      </c>
      <c r="AY474" s="79">
        <f t="shared" si="11"/>
        <v>1.1000000000000001</v>
      </c>
      <c r="AZ474" s="5">
        <v>26</v>
      </c>
      <c r="BA474" t="s">
        <v>1325</v>
      </c>
      <c r="BB474" s="5">
        <f t="shared" si="10"/>
        <v>28.6</v>
      </c>
    </row>
    <row r="475" spans="1:54" x14ac:dyDescent="0.25">
      <c r="A475" s="10" t="s">
        <v>252</v>
      </c>
      <c r="B475" s="229" t="s">
        <v>88</v>
      </c>
      <c r="C475" s="10" t="s">
        <v>173</v>
      </c>
      <c r="D475" s="14" t="str">
        <v/>
      </c>
      <c r="E475" s="157"/>
      <c r="F475" s="10"/>
      <c r="G475" s="17"/>
      <c r="H475" s="10"/>
      <c r="I475" s="17"/>
      <c r="J475" s="83"/>
      <c r="K475" s="343"/>
      <c r="L475" s="347"/>
      <c r="M475" s="89">
        <v>33</v>
      </c>
      <c r="N475" s="10" t="s">
        <v>162</v>
      </c>
      <c r="O475" s="22">
        <v>0.04</v>
      </c>
      <c r="P475" s="36" t="s">
        <v>181</v>
      </c>
      <c r="Q475" s="83">
        <f>Enginuity!$B$7*Enginuity!$B$13</f>
        <v>91</v>
      </c>
      <c r="U475" s="104" t="str">
        <f>IF(
  AND(
    TRIM(A475)=TRIM(Enginuity!$A$1),
    TRIM(B475)=TRIM(Enginuity!$A$17),
    Q475&lt;&gt;"",
    Q475&lt;&gt;0,
    OR(
      TRIM(C475)=TRIM(Enginuity!$A$18),
      AND(UPPER(TRIM(M475))="STD", TRIM(B475)=TRIM(Enginuity!$A$17))
    ),
    OR(
      AND(LEFT(P475,5)="1-Way", Enginuity!$B$13=1),
      AND(LEFT(P475,5)="2-Way", OR(Enginuity!$B$13=2, Enginuity!$B$13=4)),
      AND(LEFT(P475,5)="3-Way", OR(Enginuity!$B$13=3, Enginuity!$B$13=6)),
      AND(P475="Inner Centre Jamb", OR(Enginuity!$B$13=4, Enginuity!$B$13=6)),
      AND(
        LEFT(P475,5)&lt;&gt;"1-Way",
        LEFT(P475,5)&lt;&gt;"2-Way",
        LEFT(P475,5)&lt;&gt;"3-Way",
        P475&lt;&gt;"Inner Centre Jamb"
      )
    ),
    IF(OR(Enginuity!$A$1="Frameless Glass",Enginuity!$A$1="Metal Work"),
      AND(TRIM(B475)=TRIM(Enginuity!$A$17),TRIM(C475)=TRIM(Enginuity!$A$18)),
      TRIM(B475)=TRIM(Enginuity!$A$17)
    )
  ),
  ROW(),
  ""
)</f>
        <v/>
      </c>
      <c r="AY475" s="79">
        <f t="shared" si="11"/>
        <v>1.1000000000000001</v>
      </c>
      <c r="AZ475" s="5">
        <v>27</v>
      </c>
      <c r="BA475" t="s">
        <v>1326</v>
      </c>
      <c r="BB475" s="5">
        <f t="shared" si="10"/>
        <v>29.700000000000003</v>
      </c>
    </row>
    <row r="476" spans="1:54" x14ac:dyDescent="0.25">
      <c r="A476" s="10" t="s">
        <v>252</v>
      </c>
      <c r="B476" s="229" t="s">
        <v>88</v>
      </c>
      <c r="C476" s="10" t="s">
        <v>173</v>
      </c>
      <c r="D476" s="14" t="str">
        <v/>
      </c>
      <c r="E476" s="157"/>
      <c r="F476" s="10"/>
      <c r="G476" s="17"/>
      <c r="H476" s="10"/>
      <c r="I476" s="17"/>
      <c r="J476" s="83"/>
      <c r="K476" s="343"/>
      <c r="L476" s="347"/>
      <c r="M476" s="89">
        <v>34</v>
      </c>
      <c r="N476" s="10" t="s">
        <v>163</v>
      </c>
      <c r="O476" s="22">
        <v>0.08</v>
      </c>
      <c r="P476" s="36" t="s">
        <v>156</v>
      </c>
      <c r="Q476" s="83">
        <f>Enginuity!$B$9</f>
        <v>260</v>
      </c>
      <c r="U476" s="104" t="str">
        <f>IF(
  AND(
    TRIM(A476)=TRIM(Enginuity!$A$1),
    TRIM(B476)=TRIM(Enginuity!$A$17),
    Q476&lt;&gt;"",
    Q476&lt;&gt;0,
    OR(
      TRIM(C476)=TRIM(Enginuity!$A$18),
      AND(UPPER(TRIM(M476))="STD", TRIM(B476)=TRIM(Enginuity!$A$17))
    ),
    OR(
      AND(LEFT(P476,5)="1-Way", Enginuity!$B$13=1),
      AND(LEFT(P476,5)="2-Way", OR(Enginuity!$B$13=2, Enginuity!$B$13=4)),
      AND(LEFT(P476,5)="3-Way", OR(Enginuity!$B$13=3, Enginuity!$B$13=6)),
      AND(P476="Inner Centre Jamb", OR(Enginuity!$B$13=4, Enginuity!$B$13=6)),
      AND(
        LEFT(P476,5)&lt;&gt;"1-Way",
        LEFT(P476,5)&lt;&gt;"2-Way",
        LEFT(P476,5)&lt;&gt;"3-Way",
        P476&lt;&gt;"Inner Centre Jamb"
      )
    ),
    IF(OR(Enginuity!$A$1="Frameless Glass",Enginuity!$A$1="Metal Work"),
      AND(TRIM(B476)=TRIM(Enginuity!$A$17),TRIM(C476)=TRIM(Enginuity!$A$18)),
      TRIM(B476)=TRIM(Enginuity!$A$17)
    )
  ),
  ROW(),
  ""
)</f>
        <v/>
      </c>
      <c r="AY476" s="79">
        <f t="shared" si="11"/>
        <v>1.1000000000000001</v>
      </c>
      <c r="AZ476" s="5">
        <v>30</v>
      </c>
      <c r="BA476" t="s">
        <v>1327</v>
      </c>
      <c r="BB476" s="5">
        <f t="shared" si="10"/>
        <v>33</v>
      </c>
    </row>
    <row r="477" spans="1:54" x14ac:dyDescent="0.25">
      <c r="A477" s="10" t="s">
        <v>252</v>
      </c>
      <c r="B477" s="229" t="s">
        <v>88</v>
      </c>
      <c r="C477" s="10" t="s">
        <v>173</v>
      </c>
      <c r="D477" s="14" t="str">
        <v/>
      </c>
      <c r="E477" s="157"/>
      <c r="F477" s="10"/>
      <c r="G477" s="17"/>
      <c r="H477" s="10"/>
      <c r="I477" s="17"/>
      <c r="J477" s="83"/>
      <c r="K477" s="343"/>
      <c r="L477" s="347"/>
      <c r="M477" s="89">
        <v>35</v>
      </c>
      <c r="N477" s="10" t="s">
        <v>121</v>
      </c>
      <c r="O477" s="22">
        <v>0.06</v>
      </c>
      <c r="P477" s="36" t="s">
        <v>167</v>
      </c>
      <c r="Q477" s="83">
        <f>Enginuity!$B$9</f>
        <v>260</v>
      </c>
      <c r="U477" s="104" t="str">
        <f>IF(
  AND(
    TRIM(A477)=TRIM(Enginuity!$A$1),
    TRIM(B477)=TRIM(Enginuity!$A$17),
    Q477&lt;&gt;"",
    Q477&lt;&gt;0,
    OR(
      TRIM(C477)=TRIM(Enginuity!$A$18),
      AND(UPPER(TRIM(M477))="STD", TRIM(B477)=TRIM(Enginuity!$A$17))
    ),
    OR(
      AND(LEFT(P477,5)="1-Way", Enginuity!$B$13=1),
      AND(LEFT(P477,5)="2-Way", OR(Enginuity!$B$13=2, Enginuity!$B$13=4)),
      AND(LEFT(P477,5)="3-Way", OR(Enginuity!$B$13=3, Enginuity!$B$13=6)),
      AND(P477="Inner Centre Jamb", OR(Enginuity!$B$13=4, Enginuity!$B$13=6)),
      AND(
        LEFT(P477,5)&lt;&gt;"1-Way",
        LEFT(P477,5)&lt;&gt;"2-Way",
        LEFT(P477,5)&lt;&gt;"3-Way",
        P477&lt;&gt;"Inner Centre Jamb"
      )
    ),
    IF(OR(Enginuity!$A$1="Frameless Glass",Enginuity!$A$1="Metal Work"),
      AND(TRIM(B477)=TRIM(Enginuity!$A$17),TRIM(C477)=TRIM(Enginuity!$A$18)),
      TRIM(B477)=TRIM(Enginuity!$A$17)
    )
  ),
  ROW(),
  ""
)</f>
        <v/>
      </c>
      <c r="AY477" s="79">
        <f t="shared" si="11"/>
        <v>1.1000000000000001</v>
      </c>
      <c r="AZ477" s="5">
        <v>32</v>
      </c>
      <c r="BA477" t="s">
        <v>1328</v>
      </c>
      <c r="BB477" s="5">
        <f t="shared" si="10"/>
        <v>35.200000000000003</v>
      </c>
    </row>
    <row r="478" spans="1:54" x14ac:dyDescent="0.25">
      <c r="A478" s="10" t="s">
        <v>252</v>
      </c>
      <c r="B478" s="229" t="s">
        <v>88</v>
      </c>
      <c r="C478" s="10" t="s">
        <v>173</v>
      </c>
      <c r="D478" s="14"/>
      <c r="E478" s="157"/>
      <c r="F478" s="10"/>
      <c r="G478" s="17"/>
      <c r="H478" s="10"/>
      <c r="I478" s="17"/>
      <c r="J478" s="83"/>
      <c r="K478" s="343"/>
      <c r="L478" s="347"/>
      <c r="M478" s="89">
        <v>36</v>
      </c>
      <c r="N478" s="10" t="s">
        <v>121</v>
      </c>
      <c r="O478" s="22">
        <v>4.5</v>
      </c>
      <c r="P478" s="36" t="s">
        <v>166</v>
      </c>
      <c r="Q478" s="83">
        <f>Enginuity!$B$9</f>
        <v>260</v>
      </c>
      <c r="U478" s="104" t="str">
        <f>IF(
  AND(
    TRIM(A478)=TRIM(Enginuity!$A$1),
    TRIM(B478)=TRIM(Enginuity!$A$17),
    Q478&lt;&gt;"",
    Q478&lt;&gt;0,
    OR(
      TRIM(C478)=TRIM(Enginuity!$A$18),
      AND(UPPER(TRIM(M478))="STD", TRIM(B478)=TRIM(Enginuity!$A$17))
    ),
    OR(
      AND(LEFT(P478,5)="1-Way", Enginuity!$B$13=1),
      AND(LEFT(P478,5)="2-Way", OR(Enginuity!$B$13=2, Enginuity!$B$13=4)),
      AND(LEFT(P478,5)="3-Way", OR(Enginuity!$B$13=3, Enginuity!$B$13=6)),
      AND(P478="Inner Centre Jamb", OR(Enginuity!$B$13=4, Enginuity!$B$13=6)),
      AND(
        LEFT(P478,5)&lt;&gt;"1-Way",
        LEFT(P478,5)&lt;&gt;"2-Way",
        LEFT(P478,5)&lt;&gt;"3-Way",
        P478&lt;&gt;"Inner Centre Jamb"
      )
    ),
    IF(OR(Enginuity!$A$1="Frameless Glass",Enginuity!$A$1="Metal Work"),
      AND(TRIM(B478)=TRIM(Enginuity!$A$17),TRIM(C478)=TRIM(Enginuity!$A$18)),
      TRIM(B478)=TRIM(Enginuity!$A$17)
    )
  ),
  ROW(),
  ""
)</f>
        <v/>
      </c>
      <c r="AY478" s="79">
        <f t="shared" si="11"/>
        <v>1.1000000000000001</v>
      </c>
      <c r="AZ478" s="5">
        <v>34</v>
      </c>
      <c r="BA478" t="s">
        <v>1329</v>
      </c>
      <c r="BB478" s="5">
        <f t="shared" si="10"/>
        <v>37.400000000000006</v>
      </c>
    </row>
    <row r="479" spans="1:54" x14ac:dyDescent="0.25">
      <c r="A479" s="10" t="s">
        <v>252</v>
      </c>
      <c r="B479" s="229" t="s">
        <v>88</v>
      </c>
      <c r="C479" s="10" t="s">
        <v>173</v>
      </c>
      <c r="D479" s="14"/>
      <c r="E479" s="157"/>
      <c r="F479" s="10"/>
      <c r="G479" s="17"/>
      <c r="H479" s="10"/>
      <c r="I479" s="17"/>
      <c r="J479" s="83"/>
      <c r="K479" s="343"/>
      <c r="L479" s="347"/>
      <c r="M479" s="89">
        <v>37</v>
      </c>
      <c r="N479" s="10" t="s">
        <v>121</v>
      </c>
      <c r="O479" s="22" t="str">
        <f>$O$2</f>
        <v/>
      </c>
      <c r="P479" s="21" t="str">
        <f>Enginuity!$A$19</f>
        <v>W/G</v>
      </c>
      <c r="Q479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479" s="104" t="str">
        <f>IF(
  AND(
    TRIM(A479)=TRIM(Enginuity!$A$1),
    TRIM(B479)=TRIM(Enginuity!$A$17),
    Q479&lt;&gt;"",
    Q479&lt;&gt;0,
    OR(
      TRIM(C479)=TRIM(Enginuity!$A$18),
      AND(UPPER(TRIM(M479))="STD", TRIM(B479)=TRIM(Enginuity!$A$17))
    ),
    OR(
      AND(LEFT(P479,5)="1-Way", Enginuity!$B$13=1),
      AND(LEFT(P479,5)="2-Way", OR(Enginuity!$B$13=2, Enginuity!$B$13=4)),
      AND(LEFT(P479,5)="3-Way", OR(Enginuity!$B$13=3, Enginuity!$B$13=6)),
      AND(P479="Inner Centre Jamb", OR(Enginuity!$B$13=4, Enginuity!$B$13=6)),
      AND(
        LEFT(P479,5)&lt;&gt;"1-Way",
        LEFT(P479,5)&lt;&gt;"2-Way",
        LEFT(P479,5)&lt;&gt;"3-Way",
        P479&lt;&gt;"Inner Centre Jamb"
      )
    ),
    IF(OR(Enginuity!$A$1="Frameless Glass",Enginuity!$A$1="Metal Work"),
      AND(TRIM(B479)=TRIM(Enginuity!$A$17),TRIM(C479)=TRIM(Enginuity!$A$18)),
      TRIM(B479)=TRIM(Enginuity!$A$17)
    )
  ),
  ROW(),
  ""
)</f>
        <v/>
      </c>
      <c r="AY479" s="79">
        <f t="shared" si="11"/>
        <v>1.1000000000000001</v>
      </c>
      <c r="AZ479" s="5">
        <v>36</v>
      </c>
      <c r="BA479" t="s">
        <v>1330</v>
      </c>
      <c r="BB479" s="5">
        <f t="shared" si="10"/>
        <v>39.6</v>
      </c>
    </row>
    <row r="480" spans="1:54" x14ac:dyDescent="0.25">
      <c r="A480" s="10"/>
      <c r="B480" s="229"/>
      <c r="C480" s="10"/>
      <c r="D480" s="14"/>
      <c r="E480" s="157"/>
      <c r="F480" s="10"/>
      <c r="G480" s="17"/>
      <c r="H480" s="10"/>
      <c r="I480" s="17"/>
      <c r="J480" s="83"/>
      <c r="K480" s="343"/>
      <c r="L480" s="347"/>
      <c r="M480" s="89">
        <v>38</v>
      </c>
      <c r="N480" s="10"/>
      <c r="O480" s="22"/>
      <c r="P480" s="36"/>
      <c r="Q480" s="83"/>
      <c r="U480" s="104" t="str">
        <f>IF(
  AND(
    TRIM(A480)=TRIM(Enginuity!$A$1),
    TRIM(B480)=TRIM(Enginuity!$A$17),
    Q480&lt;&gt;"",
    Q480&lt;&gt;0,
    OR(
      TRIM(C480)=TRIM(Enginuity!$A$18),
      AND(UPPER(TRIM(M480))="STD", TRIM(B480)=TRIM(Enginuity!$A$17))
    ),
    OR(
      AND(LEFT(P480,5)="1-Way", Enginuity!$B$13=1),
      AND(LEFT(P480,5)="2-Way", OR(Enginuity!$B$13=2, Enginuity!$B$13=4)),
      AND(LEFT(P480,5)="3-Way", OR(Enginuity!$B$13=3, Enginuity!$B$13=6)),
      AND(P480="Inner Centre Jamb", OR(Enginuity!$B$13=4, Enginuity!$B$13=6)),
      AND(
        LEFT(P480,5)&lt;&gt;"1-Way",
        LEFT(P480,5)&lt;&gt;"2-Way",
        LEFT(P480,5)&lt;&gt;"3-Way",
        P480&lt;&gt;"Inner Centre Jamb"
      )
    ),
    IF(OR(Enginuity!$A$1="Frameless Glass",Enginuity!$A$1="Metal Work"),
      AND(TRIM(B480)=TRIM(Enginuity!$A$17),TRIM(C480)=TRIM(Enginuity!$A$18)),
      TRIM(B480)=TRIM(Enginuity!$A$17)
    )
  ),
  ROW(),
  ""
)</f>
        <v/>
      </c>
      <c r="AY480" s="79">
        <f t="shared" si="11"/>
        <v>1.1000000000000001</v>
      </c>
      <c r="AZ480" s="5">
        <v>38</v>
      </c>
      <c r="BA480" t="s">
        <v>1331</v>
      </c>
      <c r="BB480" s="5">
        <f t="shared" si="10"/>
        <v>41.800000000000004</v>
      </c>
    </row>
    <row r="481" spans="1:54" x14ac:dyDescent="0.25">
      <c r="A481" s="10" t="s">
        <v>252</v>
      </c>
      <c r="B481" s="229" t="s">
        <v>87</v>
      </c>
      <c r="C481" s="10" t="s">
        <v>173</v>
      </c>
      <c r="D481" s="14" t="str" cm="1">
        <f t="array" ref="D481:D490">IFERROR(INDEX(_xlfn._xlws.FILTER(AllMaterialsbak!$BA$2:$BA$30, AllMaterialsbak!$BA$2:$BA$30&lt;&gt;""), _xlfn.SEQUENCE(10)), "")</f>
        <v>Default</v>
      </c>
      <c r="E481" s="157"/>
      <c r="F481" s="10"/>
      <c r="G481" s="17"/>
      <c r="H481" s="10"/>
      <c r="I481" s="17"/>
      <c r="J481" s="83"/>
      <c r="K481" s="344">
        <v>0.419568</v>
      </c>
      <c r="L481" s="347">
        <v>100</v>
      </c>
      <c r="M481" s="89">
        <v>39</v>
      </c>
      <c r="N481" s="10" t="s">
        <v>121</v>
      </c>
      <c r="O481" s="22">
        <v>2.38</v>
      </c>
      <c r="P481" s="36" t="s">
        <v>210</v>
      </c>
      <c r="Q481" s="83">
        <f>Enginuity!$B$13 * Enginuity!$B$7</f>
        <v>91</v>
      </c>
      <c r="U481" s="104" t="str">
        <f>IF(
  AND(
    TRIM(A481)=TRIM(Enginuity!$A$1),
    TRIM(B481)=TRIM(Enginuity!$A$17),
    Q481&lt;&gt;"",
    Q481&lt;&gt;0,
    OR(
      TRIM(C481)=TRIM(Enginuity!$A$18),
      AND(UPPER(TRIM(M481))="STD", TRIM(B481)=TRIM(Enginuity!$A$17))
    ),
    OR(
      AND(LEFT(P481,5)="1-Way", Enginuity!$B$13=1),
      AND(LEFT(P481,5)="2-Way", OR(Enginuity!$B$13=2, Enginuity!$B$13=4)),
      AND(LEFT(P481,5)="3-Way", OR(Enginuity!$B$13=3, Enginuity!$B$13=6)),
      AND(P481="Inner Centre Jamb", OR(Enginuity!$B$13=4, Enginuity!$B$13=6)),
      AND(
        LEFT(P481,5)&lt;&gt;"1-Way",
        LEFT(P481,5)&lt;&gt;"2-Way",
        LEFT(P481,5)&lt;&gt;"3-Way",
        P481&lt;&gt;"Inner Centre Jamb"
      )
    ),
    IF(OR(Enginuity!$A$1="Frameless Glass",Enginuity!$A$1="Metal Work"),
      AND(TRIM(B481)=TRIM(Enginuity!$A$17),TRIM(C481)=TRIM(Enginuity!$A$18)),
      TRIM(B481)=TRIM(Enginuity!$A$17)
    )
  ),
  ROW(),
  ""
)</f>
        <v/>
      </c>
      <c r="AY481" s="79">
        <f t="shared" si="11"/>
        <v>1.1000000000000001</v>
      </c>
      <c r="AZ481" s="5">
        <v>40</v>
      </c>
      <c r="BA481" t="s">
        <v>1332</v>
      </c>
      <c r="BB481" s="5">
        <f t="shared" si="10"/>
        <v>44</v>
      </c>
    </row>
    <row r="482" spans="1:54" x14ac:dyDescent="0.25">
      <c r="A482" s="10" t="s">
        <v>252</v>
      </c>
      <c r="B482" s="229" t="s">
        <v>87</v>
      </c>
      <c r="C482" s="10" t="s">
        <v>173</v>
      </c>
      <c r="D482" s="14" t="str">
        <v xml:space="preserve">2" Louver Blade N/A </v>
      </c>
      <c r="E482" s="157"/>
      <c r="F482" s="10"/>
      <c r="G482" s="17"/>
      <c r="H482" s="10"/>
      <c r="I482" s="17"/>
      <c r="J482" s="83"/>
      <c r="K482" s="343"/>
      <c r="L482" s="347"/>
      <c r="M482" s="89">
        <v>40</v>
      </c>
      <c r="N482" s="10" t="s">
        <v>112</v>
      </c>
      <c r="O482" s="22">
        <v>11.6</v>
      </c>
      <c r="P482" s="36" t="s">
        <v>205</v>
      </c>
      <c r="Q482" s="83">
        <f>ROUNDUP((Enginuity!B7*2 + Enginuity!B6*2) / 12.007874015748, 0)</f>
        <v>6</v>
      </c>
      <c r="U482" s="104" t="str">
        <f>IF(
  AND(
    TRIM(A482)=TRIM(Enginuity!$A$1),
    TRIM(B482)=TRIM(Enginuity!$A$17),
    Q482&lt;&gt;"",
    Q482&lt;&gt;0,
    OR(
      TRIM(C482)=TRIM(Enginuity!$A$18),
      AND(UPPER(TRIM(M482))="STD", TRIM(B482)=TRIM(Enginuity!$A$17))
    ),
    OR(
      AND(LEFT(P482,5)="1-Way", Enginuity!$B$13=1),
      AND(LEFT(P482,5)="2-Way", OR(Enginuity!$B$13=2, Enginuity!$B$13=4)),
      AND(LEFT(P482,5)="3-Way", OR(Enginuity!$B$13=3, Enginuity!$B$13=6)),
      AND(P482="Inner Centre Jamb", OR(Enginuity!$B$13=4, Enginuity!$B$13=6)),
      AND(
        LEFT(P482,5)&lt;&gt;"1-Way",
        LEFT(P482,5)&lt;&gt;"2-Way",
        LEFT(P482,5)&lt;&gt;"3-Way",
        P482&lt;&gt;"Inner Centre Jamb"
      )
    ),
    IF(OR(Enginuity!$A$1="Frameless Glass",Enginuity!$A$1="Metal Work"),
      AND(TRIM(B482)=TRIM(Enginuity!$A$17),TRIM(C482)=TRIM(Enginuity!$A$18)),
      TRIM(B482)=TRIM(Enginuity!$A$17)
    )
  ),
  ROW(),
  ""
)</f>
        <v/>
      </c>
      <c r="AY482" s="79">
        <f t="shared" si="11"/>
        <v>1.1000000000000001</v>
      </c>
      <c r="AZ482" s="5">
        <v>16</v>
      </c>
      <c r="BA482" t="s">
        <v>1346</v>
      </c>
      <c r="BB482" s="5">
        <f t="shared" si="10"/>
        <v>17.600000000000001</v>
      </c>
    </row>
    <row r="483" spans="1:54" x14ac:dyDescent="0.25">
      <c r="A483" s="10" t="s">
        <v>252</v>
      </c>
      <c r="B483" s="229" t="s">
        <v>87</v>
      </c>
      <c r="C483" s="10" t="s">
        <v>173</v>
      </c>
      <c r="D483" s="14" t="str">
        <v>2" Louver Blade P/C</v>
      </c>
      <c r="E483" s="157"/>
      <c r="F483" s="10"/>
      <c r="G483" s="17"/>
      <c r="H483" s="10"/>
      <c r="I483" s="17"/>
      <c r="J483" s="83"/>
      <c r="K483" s="343"/>
      <c r="L483" s="347"/>
      <c r="M483" s="89">
        <v>41</v>
      </c>
      <c r="N483" s="10" t="s">
        <v>112</v>
      </c>
      <c r="O483" s="22">
        <v>14.2</v>
      </c>
      <c r="P483" s="36" t="s">
        <v>206</v>
      </c>
      <c r="Q483" s="83">
        <f>ROUNDUP(((Enginuity!B6 * 304.8) + 1200) / 1200 * (Enginuity!B7 * 304.8) / 4880, 0)</f>
        <v>5</v>
      </c>
      <c r="U483" s="104" t="str">
        <f>IF(
  AND(
    TRIM(A483)=TRIM(Enginuity!$A$1),
    TRIM(B483)=TRIM(Enginuity!$A$17),
    Q483&lt;&gt;"",
    Q483&lt;&gt;0,
    OR(
      TRIM(C483)=TRIM(Enginuity!$A$18),
      AND(UPPER(TRIM(M483))="STD", TRIM(B483)=TRIM(Enginuity!$A$17))
    ),
    OR(
      AND(LEFT(P483,5)="1-Way", Enginuity!$B$13=1),
      AND(LEFT(P483,5)="2-Way", OR(Enginuity!$B$13=2, Enginuity!$B$13=4)),
      AND(LEFT(P483,5)="3-Way", OR(Enginuity!$B$13=3, Enginuity!$B$13=6)),
      AND(P483="Inner Centre Jamb", OR(Enginuity!$B$13=4, Enginuity!$B$13=6)),
      AND(
        LEFT(P483,5)&lt;&gt;"1-Way",
        LEFT(P483,5)&lt;&gt;"2-Way",
        LEFT(P483,5)&lt;&gt;"3-Way",
        P483&lt;&gt;"Inner Centre Jamb"
      )
    ),
    IF(OR(Enginuity!$A$1="Frameless Glass",Enginuity!$A$1="Metal Work"),
      AND(TRIM(B483)=TRIM(Enginuity!$A$17),TRIM(C483)=TRIM(Enginuity!$A$18)),
      TRIM(B483)=TRIM(Enginuity!$A$17)
    )
  ),
  ROW(),
  ""
)</f>
        <v/>
      </c>
      <c r="AY483" s="79">
        <f t="shared" si="11"/>
        <v>1.1000000000000001</v>
      </c>
      <c r="AZ483" s="5">
        <v>18</v>
      </c>
      <c r="BA483" t="s">
        <v>1347</v>
      </c>
      <c r="BB483" s="5">
        <f t="shared" si="10"/>
        <v>19.8</v>
      </c>
    </row>
    <row r="484" spans="1:54" x14ac:dyDescent="0.25">
      <c r="A484" s="10" t="s">
        <v>252</v>
      </c>
      <c r="B484" s="229" t="s">
        <v>87</v>
      </c>
      <c r="C484" s="10" t="s">
        <v>173</v>
      </c>
      <c r="D484" s="14" t="str">
        <v xml:space="preserve">5" Louver Blade N/A </v>
      </c>
      <c r="E484" s="157"/>
      <c r="F484" s="10"/>
      <c r="G484" s="17"/>
      <c r="H484" s="10"/>
      <c r="I484" s="17"/>
      <c r="J484" s="83"/>
      <c r="K484" s="343"/>
      <c r="L484" s="347"/>
      <c r="M484" s="89">
        <v>42</v>
      </c>
      <c r="N484" s="10" t="s">
        <v>112</v>
      </c>
      <c r="O484" s="22">
        <v>7.4</v>
      </c>
      <c r="P484" s="36" t="s">
        <v>204</v>
      </c>
      <c r="Q484" s="83">
        <f>ROUNDUP(((Enginuity!B6 * 304.8) + 1200) / 1200 * (Enginuity!B7 * 304.8) / 4880, 0)</f>
        <v>5</v>
      </c>
      <c r="U484" s="104" t="str">
        <f>IF(
  AND(
    TRIM(A484)=TRIM(Enginuity!$A$1),
    TRIM(B484)=TRIM(Enginuity!$A$17),
    Q484&lt;&gt;"",
    Q484&lt;&gt;0,
    OR(
      TRIM(C484)=TRIM(Enginuity!$A$18),
      AND(UPPER(TRIM(M484))="STD", TRIM(B484)=TRIM(Enginuity!$A$17))
    ),
    OR(
      AND(LEFT(P484,5)="1-Way", Enginuity!$B$13=1),
      AND(LEFT(P484,5)="2-Way", OR(Enginuity!$B$13=2, Enginuity!$B$13=4)),
      AND(LEFT(P484,5)="3-Way", OR(Enginuity!$B$13=3, Enginuity!$B$13=6)),
      AND(P484="Inner Centre Jamb", OR(Enginuity!$B$13=4, Enginuity!$B$13=6)),
      AND(
        LEFT(P484,5)&lt;&gt;"1-Way",
        LEFT(P484,5)&lt;&gt;"2-Way",
        LEFT(P484,5)&lt;&gt;"3-Way",
        P484&lt;&gt;"Inner Centre Jamb"
      )
    ),
    IF(OR(Enginuity!$A$1="Frameless Glass",Enginuity!$A$1="Metal Work"),
      AND(TRIM(B484)=TRIM(Enginuity!$A$17),TRIM(C484)=TRIM(Enginuity!$A$18)),
      TRIM(B484)=TRIM(Enginuity!$A$17)
    )
  ),
  ROW(),
  ""
)</f>
        <v/>
      </c>
      <c r="BA484" t="s">
        <v>1333</v>
      </c>
      <c r="BB484" s="5">
        <v>2.38</v>
      </c>
    </row>
    <row r="485" spans="1:54" x14ac:dyDescent="0.25">
      <c r="A485" s="10" t="s">
        <v>252</v>
      </c>
      <c r="B485" s="229" t="s">
        <v>87</v>
      </c>
      <c r="C485" s="10" t="s">
        <v>173</v>
      </c>
      <c r="D485" s="14" t="str">
        <v>5" Louver Blade P/C</v>
      </c>
      <c r="E485" s="157"/>
      <c r="F485" s="10"/>
      <c r="G485" s="17"/>
      <c r="H485" s="10"/>
      <c r="I485" s="17"/>
      <c r="J485" s="83"/>
      <c r="K485" s="343"/>
      <c r="L485" s="347"/>
      <c r="M485" s="89">
        <v>43</v>
      </c>
      <c r="N485" s="10" t="s">
        <v>103</v>
      </c>
      <c r="O485" s="22">
        <v>2.5</v>
      </c>
      <c r="P485" s="36" t="s">
        <v>207</v>
      </c>
      <c r="Q485" s="83">
        <f>(Enginuity!$B$6*2+Enginuity!$B$7*2)</f>
        <v>66</v>
      </c>
      <c r="U485" s="104" t="str">
        <f>IF(
  AND(
    TRIM(A485)=TRIM(Enginuity!$A$1),
    TRIM(B485)=TRIM(Enginuity!$A$17),
    Q485&lt;&gt;"",
    Q485&lt;&gt;0,
    OR(
      TRIM(C485)=TRIM(Enginuity!$A$18),
      AND(UPPER(TRIM(M485))="STD", TRIM(B485)=TRIM(Enginuity!$A$17))
    ),
    OR(
      AND(LEFT(P485,5)="1-Way", Enginuity!$B$13=1),
      AND(LEFT(P485,5)="2-Way", OR(Enginuity!$B$13=2, Enginuity!$B$13=4)),
      AND(LEFT(P485,5)="3-Way", OR(Enginuity!$B$13=3, Enginuity!$B$13=6)),
      AND(P485="Inner Centre Jamb", OR(Enginuity!$B$13=4, Enginuity!$B$13=6)),
      AND(
        LEFT(P485,5)&lt;&gt;"1-Way",
        LEFT(P485,5)&lt;&gt;"2-Way",
        LEFT(P485,5)&lt;&gt;"3-Way",
        P485&lt;&gt;"Inner Centre Jamb"
      )
    ),
    IF(OR(Enginuity!$A$1="Frameless Glass",Enginuity!$A$1="Metal Work"),
      AND(TRIM(B485)=TRIM(Enginuity!$A$17),TRIM(C485)=TRIM(Enginuity!$A$18)),
      TRIM(B485)=TRIM(Enginuity!$A$17)
    )
  ),
  ROW(),
  ""
)</f>
        <v/>
      </c>
      <c r="BA485" t="s">
        <v>1340</v>
      </c>
      <c r="BB485" s="5">
        <v>2.25</v>
      </c>
    </row>
    <row r="486" spans="1:54" x14ac:dyDescent="0.25">
      <c r="A486" s="10" t="s">
        <v>252</v>
      </c>
      <c r="B486" s="229" t="s">
        <v>87</v>
      </c>
      <c r="C486" s="10" t="s">
        <v>173</v>
      </c>
      <c r="D486" s="14" t="str">
        <v/>
      </c>
      <c r="E486" s="157"/>
      <c r="F486" s="10"/>
      <c r="G486" s="17"/>
      <c r="H486" s="10"/>
      <c r="I486" s="17"/>
      <c r="J486" s="83"/>
      <c r="K486" s="343"/>
      <c r="L486" s="347"/>
      <c r="M486" s="89">
        <v>44</v>
      </c>
      <c r="N486" s="88" t="s">
        <v>112</v>
      </c>
      <c r="O486" s="22">
        <v>6.5</v>
      </c>
      <c r="P486" s="36" t="s">
        <v>209</v>
      </c>
      <c r="Q486" s="83">
        <f>ROUNDUP(((Enginuity!B7 * 304.8 + 1200) / 1200) * (Enginuity!B6 * 304.8 / 1828.8), 0)</f>
        <v>15</v>
      </c>
      <c r="U486" s="104" t="str">
        <f>IF(
  AND(
    TRIM(A486)=TRIM(Enginuity!$A$1),
    TRIM(B486)=TRIM(Enginuity!$A$17),
    Q486&lt;&gt;"",
    Q486&lt;&gt;0,
    OR(
      TRIM(C486)=TRIM(Enginuity!$A$18),
      AND(UPPER(TRIM(M486))="STD", TRIM(B486)=TRIM(Enginuity!$A$17))
    ),
    OR(
      AND(LEFT(P486,5)="1-Way", Enginuity!$B$13=1),
      AND(LEFT(P486,5)="2-Way", OR(Enginuity!$B$13=2, Enginuity!$B$13=4)),
      AND(LEFT(P486,5)="3-Way", OR(Enginuity!$B$13=3, Enginuity!$B$13=6)),
      AND(P486="Inner Centre Jamb", OR(Enginuity!$B$13=4, Enginuity!$B$13=6)),
      AND(
        LEFT(P486,5)&lt;&gt;"1-Way",
        LEFT(P486,5)&lt;&gt;"2-Way",
        LEFT(P486,5)&lt;&gt;"3-Way",
        P486&lt;&gt;"Inner Centre Jamb"
      )
    ),
    IF(OR(Enginuity!$A$1="Frameless Glass",Enginuity!$A$1="Metal Work"),
      AND(TRIM(B486)=TRIM(Enginuity!$A$17),TRIM(C486)=TRIM(Enginuity!$A$18)),
      TRIM(B486)=TRIM(Enginuity!$A$17)
    )
  ),
  ROW(),
  ""
)</f>
        <v/>
      </c>
      <c r="BA486" t="s">
        <v>1344</v>
      </c>
      <c r="BB486" s="5">
        <v>5.44</v>
      </c>
    </row>
    <row r="487" spans="1:54" x14ac:dyDescent="0.25">
      <c r="A487" s="10" t="s">
        <v>252</v>
      </c>
      <c r="B487" s="229" t="s">
        <v>87</v>
      </c>
      <c r="C487" s="10" t="s">
        <v>173</v>
      </c>
      <c r="D487" s="14" t="str">
        <v/>
      </c>
      <c r="E487" s="157"/>
      <c r="F487" s="10"/>
      <c r="G487" s="17"/>
      <c r="H487" s="10"/>
      <c r="I487" s="17"/>
      <c r="J487" s="83"/>
      <c r="K487" s="343"/>
      <c r="L487" s="347"/>
      <c r="M487" s="89">
        <v>45</v>
      </c>
      <c r="N487" s="88" t="s">
        <v>112</v>
      </c>
      <c r="O487" s="22">
        <v>0.5</v>
      </c>
      <c r="P487" s="36" t="s">
        <v>208</v>
      </c>
      <c r="Q487" s="83">
        <f>ROUNDUP(((Enginuity!B7 * 304.8 + 1200) / 1200) * (Enginuity!B6 * 304.8 / 1828.8), 0)</f>
        <v>15</v>
      </c>
      <c r="U487" s="104" t="str">
        <f>IF(
  AND(
    TRIM(A487)=TRIM(Enginuity!$A$1),
    TRIM(B487)=TRIM(Enginuity!$A$17),
    Q487&lt;&gt;"",
    Q487&lt;&gt;0,
    OR(
      TRIM(C487)=TRIM(Enginuity!$A$18),
      AND(UPPER(TRIM(M487))="STD", TRIM(B487)=TRIM(Enginuity!$A$17))
    ),
    OR(
      AND(LEFT(P487,5)="1-Way", Enginuity!$B$13=1),
      AND(LEFT(P487,5)="2-Way", OR(Enginuity!$B$13=2, Enginuity!$B$13=4)),
      AND(LEFT(P487,5)="3-Way", OR(Enginuity!$B$13=3, Enginuity!$B$13=6)),
      AND(P487="Inner Centre Jamb", OR(Enginuity!$B$13=4, Enginuity!$B$13=6)),
      AND(
        LEFT(P487,5)&lt;&gt;"1-Way",
        LEFT(P487,5)&lt;&gt;"2-Way",
        LEFT(P487,5)&lt;&gt;"3-Way",
        P487&lt;&gt;"Inner Centre Jamb"
      )
    ),
    IF(OR(Enginuity!$A$1="Frameless Glass",Enginuity!$A$1="Metal Work"),
      AND(TRIM(B487)=TRIM(Enginuity!$A$17),TRIM(C487)=TRIM(Enginuity!$A$18)),
      TRIM(B487)=TRIM(Enginuity!$A$17)
    )
  ),
  ROW(),
  ""
)</f>
        <v/>
      </c>
      <c r="BA487" t="s">
        <v>1675</v>
      </c>
      <c r="BB487" s="5">
        <v>10.199999999999999</v>
      </c>
    </row>
    <row r="488" spans="1:54" x14ac:dyDescent="0.25">
      <c r="A488" s="10" t="s">
        <v>252</v>
      </c>
      <c r="B488" s="229" t="s">
        <v>87</v>
      </c>
      <c r="C488" s="10" t="s">
        <v>173</v>
      </c>
      <c r="D488" s="14" t="str">
        <v/>
      </c>
      <c r="E488" s="157"/>
      <c r="F488" s="10"/>
      <c r="G488" s="17"/>
      <c r="H488" s="10"/>
      <c r="I488" s="17"/>
      <c r="J488" s="83"/>
      <c r="K488" s="343"/>
      <c r="L488" s="347"/>
      <c r="M488" s="89">
        <v>46</v>
      </c>
      <c r="N488" s="10" t="s">
        <v>112</v>
      </c>
      <c r="O488" s="22">
        <v>0.04</v>
      </c>
      <c r="P488" s="36" t="s">
        <v>181</v>
      </c>
      <c r="Q488" s="83">
        <f>ROUNDUP(Enginuity!B6*2 + Enginuity!B7*2, 0)</f>
        <v>66</v>
      </c>
      <c r="U488" s="104" t="str">
        <f>IF(
  AND(
    TRIM(A488)=TRIM(Enginuity!$A$1),
    TRIM(B488)=TRIM(Enginuity!$A$17),
    Q488&lt;&gt;"",
    Q488&lt;&gt;0,
    OR(
      TRIM(C488)=TRIM(Enginuity!$A$18),
      AND(UPPER(TRIM(M488))="STD", TRIM(B488)=TRIM(Enginuity!$A$17))
    ),
    OR(
      AND(LEFT(P488,5)="1-Way", Enginuity!$B$13=1),
      AND(LEFT(P488,5)="2-Way", OR(Enginuity!$B$13=2, Enginuity!$B$13=4)),
      AND(LEFT(P488,5)="3-Way", OR(Enginuity!$B$13=3, Enginuity!$B$13=6)),
      AND(P488="Inner Centre Jamb", OR(Enginuity!$B$13=4, Enginuity!$B$13=6)),
      AND(
        LEFT(P488,5)&lt;&gt;"1-Way",
        LEFT(P488,5)&lt;&gt;"2-Way",
        LEFT(P488,5)&lt;&gt;"3-Way",
        P488&lt;&gt;"Inner Centre Jamb"
      )
    ),
    IF(OR(Enginuity!$A$1="Frameless Glass",Enginuity!$A$1="Metal Work"),
      AND(TRIM(B488)=TRIM(Enginuity!$A$17),TRIM(C488)=TRIM(Enginuity!$A$18)),
      TRIM(B488)=TRIM(Enginuity!$A$17)
    )
  ),
  ROW(),
  ""
)</f>
        <v/>
      </c>
      <c r="BA488" t="s">
        <v>1676</v>
      </c>
      <c r="BB488" s="5">
        <v>13.6</v>
      </c>
    </row>
    <row r="489" spans="1:54" x14ac:dyDescent="0.25">
      <c r="A489" s="10" t="s">
        <v>252</v>
      </c>
      <c r="B489" s="229" t="s">
        <v>87</v>
      </c>
      <c r="C489" s="10" t="s">
        <v>173</v>
      </c>
      <c r="D489" s="14" t="str">
        <v/>
      </c>
      <c r="E489" s="157"/>
      <c r="F489" s="10"/>
      <c r="G489" s="17"/>
      <c r="H489" s="10"/>
      <c r="I489" s="17"/>
      <c r="J489" s="83"/>
      <c r="K489" s="343"/>
      <c r="L489" s="347"/>
      <c r="M489" s="89">
        <v>47</v>
      </c>
      <c r="N489" s="88" t="s">
        <v>121</v>
      </c>
      <c r="O489" s="22">
        <v>4</v>
      </c>
      <c r="P489" s="36" t="s">
        <v>166</v>
      </c>
      <c r="Q489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489" s="104" t="str">
        <f>IF(
  AND(
    TRIM(A489)=TRIM(Enginuity!$A$1),
    TRIM(B489)=TRIM(Enginuity!$A$17),
    Q489&lt;&gt;"",
    Q489&lt;&gt;0,
    OR(
      TRIM(C489)=TRIM(Enginuity!$A$18),
      AND(UPPER(TRIM(M489))="STD", TRIM(B489)=TRIM(Enginuity!$A$17))
    ),
    OR(
      AND(LEFT(P489,5)="1-Way", Enginuity!$B$13=1),
      AND(LEFT(P489,5)="2-Way", OR(Enginuity!$B$13=2, Enginuity!$B$13=4)),
      AND(LEFT(P489,5)="3-Way", OR(Enginuity!$B$13=3, Enginuity!$B$13=6)),
      AND(P489="Inner Centre Jamb", OR(Enginuity!$B$13=4, Enginuity!$B$13=6)),
      AND(
        LEFT(P489,5)&lt;&gt;"1-Way",
        LEFT(P489,5)&lt;&gt;"2-Way",
        LEFT(P489,5)&lt;&gt;"3-Way",
        P489&lt;&gt;"Inner Centre Jamb"
      )
    ),
    IF(OR(Enginuity!$A$1="Frameless Glass",Enginuity!$A$1="Metal Work"),
      AND(TRIM(B489)=TRIM(Enginuity!$A$17),TRIM(C489)=TRIM(Enginuity!$A$18)),
      TRIM(B489)=TRIM(Enginuity!$A$17)
    )
  ),
  ROW(),
  ""
)</f>
        <v/>
      </c>
      <c r="BA489" t="s">
        <v>1430</v>
      </c>
      <c r="BB489" s="5">
        <v>3.5</v>
      </c>
    </row>
    <row r="490" spans="1:54" x14ac:dyDescent="0.25">
      <c r="A490" s="10"/>
      <c r="B490" s="229"/>
      <c r="C490" s="10"/>
      <c r="D490" s="14" t="str">
        <v/>
      </c>
      <c r="E490" s="157"/>
      <c r="F490" s="10"/>
      <c r="G490" s="17"/>
      <c r="H490" s="10"/>
      <c r="I490" s="17"/>
      <c r="J490" s="83"/>
      <c r="K490" s="343"/>
      <c r="L490" s="347"/>
      <c r="M490" s="89">
        <v>48</v>
      </c>
      <c r="N490" s="88"/>
      <c r="O490" s="22"/>
      <c r="P490" s="36"/>
      <c r="Q490" s="83"/>
      <c r="U490" s="104" t="str">
        <f>IF(
  AND(
    TRIM(A490)=TRIM(Enginuity!$A$1),
    TRIM(B490)=TRIM(Enginuity!$A$17),
    Q490&lt;&gt;"",
    Q490&lt;&gt;0,
    OR(
      TRIM(C490)=TRIM(Enginuity!$A$18),
      AND(UPPER(TRIM(M490))="STD", TRIM(B490)=TRIM(Enginuity!$A$17))
    ),
    OR(
      AND(LEFT(P490,5)="1-Way", Enginuity!$B$13=1),
      AND(LEFT(P490,5)="2-Way", OR(Enginuity!$B$13=2, Enginuity!$B$13=4)),
      AND(LEFT(P490,5)="3-Way", OR(Enginuity!$B$13=3, Enginuity!$B$13=6)),
      AND(P490="Inner Centre Jamb", OR(Enginuity!$B$13=4, Enginuity!$B$13=6)),
      AND(
        LEFT(P490,5)&lt;&gt;"1-Way",
        LEFT(P490,5)&lt;&gt;"2-Way",
        LEFT(P490,5)&lt;&gt;"3-Way",
        P490&lt;&gt;"Inner Centre Jamb"
      )
    ),
    IF(OR(Enginuity!$A$1="Frameless Glass",Enginuity!$A$1="Metal Work"),
      AND(TRIM(B490)=TRIM(Enginuity!$A$17),TRIM(C490)=TRIM(Enginuity!$A$18)),
      TRIM(B490)=TRIM(Enginuity!$A$17)
    )
  ),
  ROW(),
  ""
)</f>
        <v/>
      </c>
      <c r="BA490" t="s">
        <v>1431</v>
      </c>
      <c r="BB490" s="5">
        <v>4.5</v>
      </c>
    </row>
    <row r="491" spans="1:54" x14ac:dyDescent="0.25">
      <c r="A491" s="17"/>
      <c r="B491" s="230"/>
      <c r="C491" s="17"/>
      <c r="D491" s="18"/>
      <c r="E491" s="238"/>
      <c r="F491" s="17"/>
      <c r="G491" s="17"/>
      <c r="H491" s="10"/>
      <c r="I491" s="17"/>
      <c r="J491" s="83"/>
      <c r="K491" s="343"/>
      <c r="L491" s="347"/>
      <c r="M491" s="90">
        <v>49</v>
      </c>
      <c r="N491" s="17"/>
      <c r="O491" s="25"/>
      <c r="P491" s="92"/>
      <c r="Q491" s="84"/>
      <c r="U491" s="104" t="str">
        <f>IF(
  AND(
    TRIM(A491)=TRIM(Enginuity!$A$1),
    TRIM(B491)=TRIM(Enginuity!$A$17),
    Q491&lt;&gt;"",
    Q491&lt;&gt;0,
    OR(
      TRIM(C491)=TRIM(Enginuity!$A$18),
      AND(UPPER(TRIM(M491))="STD", TRIM(B491)=TRIM(Enginuity!$A$17))
    ),
    OR(
      AND(LEFT(P491,5)="1-Way", Enginuity!$B$13=1),
      AND(LEFT(P491,5)="2-Way", OR(Enginuity!$B$13=2, Enginuity!$B$13=4)),
      AND(LEFT(P491,5)="3-Way", OR(Enginuity!$B$13=3, Enginuity!$B$13=6)),
      AND(P491="Inner Centre Jamb", OR(Enginuity!$B$13=4, Enginuity!$B$13=6)),
      AND(
        LEFT(P491,5)&lt;&gt;"1-Way",
        LEFT(P491,5)&lt;&gt;"2-Way",
        LEFT(P491,5)&lt;&gt;"3-Way",
        P491&lt;&gt;"Inner Centre Jamb"
      )
    ),
    IF(OR(Enginuity!$A$1="Frameless Glass",Enginuity!$A$1="Metal Work"),
      AND(TRIM(B491)=TRIM(Enginuity!$A$17),TRIM(C491)=TRIM(Enginuity!$A$18)),
      TRIM(B491)=TRIM(Enginuity!$A$17)
    )
  ),
  ROW(),
  ""
)</f>
        <v/>
      </c>
      <c r="BA491" t="s">
        <v>1677</v>
      </c>
      <c r="BB491" s="5">
        <v>14.7</v>
      </c>
    </row>
    <row r="492" spans="1:54" x14ac:dyDescent="0.25">
      <c r="A492" s="10" t="s">
        <v>252</v>
      </c>
      <c r="B492" s="229" t="s">
        <v>211</v>
      </c>
      <c r="C492" s="10" t="s">
        <v>173</v>
      </c>
      <c r="D492" s="14" t="str" cm="1">
        <f t="array" ref="D492:D498">IFERROR(INDEX(_xlfn._xlws.FILTER(AllMaterialsbak!$BA$2:$BA$30, AllMaterialsbak!$BA$2:$BA$30&lt;&gt;""), _xlfn.SEQUENCE(7)), "")</f>
        <v>Default</v>
      </c>
      <c r="E492" s="157"/>
      <c r="F492" s="11"/>
      <c r="G492" s="17"/>
      <c r="H492" s="10"/>
      <c r="I492" s="17"/>
      <c r="J492" s="83"/>
      <c r="K492" s="344">
        <v>0.419568</v>
      </c>
      <c r="L492" s="347">
        <v>300</v>
      </c>
      <c r="M492" s="89">
        <v>1</v>
      </c>
      <c r="N492" s="10" t="s">
        <v>121</v>
      </c>
      <c r="O492" s="22">
        <v>7.0103997756672003</v>
      </c>
      <c r="P492" s="14" t="s">
        <v>212</v>
      </c>
      <c r="Q492" s="83">
        <f>Enginuity!$B$13 * Enginuity!$B$7</f>
        <v>91</v>
      </c>
      <c r="U492" s="104" t="str">
        <f>IF(
  AND(
    TRIM(A492)=TRIM(Enginuity!$A$1),
    TRIM(B492)=TRIM(Enginuity!$A$17),
    Q492&lt;&gt;"",
    Q492&lt;&gt;0,
    OR(
      TRIM(C492)=TRIM(Enginuity!$A$18),
      AND(UPPER(TRIM(M492))="STD", TRIM(B492)=TRIM(Enginuity!$A$17))
    ),
    OR(
      AND(LEFT(P492,5)="1-Way", Enginuity!$B$13=1),
      AND(LEFT(P492,5)="2-Way", OR(Enginuity!$B$13=2, Enginuity!$B$13=4)),
      AND(LEFT(P492,5)="3-Way", OR(Enginuity!$B$13=3, Enginuity!$B$13=6)),
      AND(P492="Inner Centre Jamb", OR(Enginuity!$B$13=4, Enginuity!$B$13=6)),
      AND(
        LEFT(P492,5)&lt;&gt;"1-Way",
        LEFT(P492,5)&lt;&gt;"2-Way",
        LEFT(P492,5)&lt;&gt;"3-Way",
        P492&lt;&gt;"Inner Centre Jamb"
      )
    ),
    IF(OR(Enginuity!$A$1="Frameless Glass",Enginuity!$A$1="Metal Work"),
      AND(TRIM(B492)=TRIM(Enginuity!$A$17),TRIM(C492)=TRIM(Enginuity!$A$18)),
      TRIM(B492)=TRIM(Enginuity!$A$17)
    )
  ),
  ROW(),
  ""
)</f>
        <v/>
      </c>
      <c r="BA492" t="s">
        <v>1678</v>
      </c>
      <c r="BB492" s="5">
        <v>19.3</v>
      </c>
    </row>
    <row r="493" spans="1:54" x14ac:dyDescent="0.25">
      <c r="A493" s="10" t="s">
        <v>252</v>
      </c>
      <c r="B493" s="229" t="s">
        <v>211</v>
      </c>
      <c r="C493" s="10" t="s">
        <v>173</v>
      </c>
      <c r="D493" s="14" t="str">
        <v xml:space="preserve">2" Louver Blade N/A </v>
      </c>
      <c r="E493" s="157"/>
      <c r="F493" s="11"/>
      <c r="G493" s="17"/>
      <c r="H493" s="10"/>
      <c r="I493" s="17"/>
      <c r="J493" s="83"/>
      <c r="K493" s="343"/>
      <c r="L493" s="347"/>
      <c r="M493" s="89">
        <v>2</v>
      </c>
      <c r="N493" s="10" t="s">
        <v>112</v>
      </c>
      <c r="O493" s="22">
        <v>32</v>
      </c>
      <c r="P493" s="14" t="s">
        <v>213</v>
      </c>
      <c r="Q493" s="83">
        <f>ROUNDUP(Enginuity!B6 * 304.8 / 1000, 0)</f>
        <v>7</v>
      </c>
      <c r="U493" s="104" t="str">
        <f>IF(
  AND(
    TRIM(A493)=TRIM(Enginuity!$A$1),
    TRIM(B493)=TRIM(Enginuity!$A$17),
    Q493&lt;&gt;"",
    Q493&lt;&gt;0,
    OR(
      TRIM(C493)=TRIM(Enginuity!$A$18),
      AND(UPPER(TRIM(M493))="STD", TRIM(B493)=TRIM(Enginuity!$A$17))
    ),
    OR(
      AND(LEFT(P493,5)="1-Way", Enginuity!$B$13=1),
      AND(LEFT(P493,5)="2-Way", OR(Enginuity!$B$13=2, Enginuity!$B$13=4)),
      AND(LEFT(P493,5)="3-Way", OR(Enginuity!$B$13=3, Enginuity!$B$13=6)),
      AND(P493="Inner Centre Jamb", OR(Enginuity!$B$13=4, Enginuity!$B$13=6)),
      AND(
        LEFT(P493,5)&lt;&gt;"1-Way",
        LEFT(P493,5)&lt;&gt;"2-Way",
        LEFT(P493,5)&lt;&gt;"3-Way",
        P493&lt;&gt;"Inner Centre Jamb"
      )
    ),
    IF(OR(Enginuity!$A$1="Frameless Glass",Enginuity!$A$1="Metal Work"),
      AND(TRIM(B493)=TRIM(Enginuity!$A$17),TRIM(C493)=TRIM(Enginuity!$A$18)),
      TRIM(B493)=TRIM(Enginuity!$A$17)
    )
  ),
  ROW(),
  ""
)</f>
        <v/>
      </c>
      <c r="BA493" t="s">
        <v>1341</v>
      </c>
      <c r="BB493" s="5">
        <v>1.35</v>
      </c>
    </row>
    <row r="494" spans="1:54" x14ac:dyDescent="0.25">
      <c r="A494" s="10" t="s">
        <v>252</v>
      </c>
      <c r="B494" s="229" t="s">
        <v>211</v>
      </c>
      <c r="C494" s="10" t="s">
        <v>173</v>
      </c>
      <c r="D494" s="14" t="str">
        <v>2" Louver Blade P/C</v>
      </c>
      <c r="E494" s="157"/>
      <c r="F494" s="11"/>
      <c r="G494" s="17"/>
      <c r="H494" s="10"/>
      <c r="I494" s="17"/>
      <c r="J494" s="83"/>
      <c r="K494" s="343"/>
      <c r="L494" s="347"/>
      <c r="M494" s="89">
        <v>3</v>
      </c>
      <c r="N494" s="10" t="s">
        <v>112</v>
      </c>
      <c r="O494" s="22">
        <v>2</v>
      </c>
      <c r="P494" s="14" t="s">
        <v>214</v>
      </c>
      <c r="Q494" s="83">
        <f>ROUNDUP(Enginuity!B6 * 304.8 / Enginuity!B15, 0) * 2</f>
        <v>14</v>
      </c>
      <c r="U494" s="104" t="str">
        <f>IF(
  AND(
    TRIM(A494)=TRIM(Enginuity!$A$1),
    TRIM(B494)=TRIM(Enginuity!$A$17),
    Q494&lt;&gt;"",
    Q494&lt;&gt;0,
    OR(
      TRIM(C494)=TRIM(Enginuity!$A$18),
      AND(UPPER(TRIM(M494))="STD", TRIM(B494)=TRIM(Enginuity!$A$17))
    ),
    OR(
      AND(LEFT(P494,5)="1-Way", Enginuity!$B$13=1),
      AND(LEFT(P494,5)="2-Way", OR(Enginuity!$B$13=2, Enginuity!$B$13=4)),
      AND(LEFT(P494,5)="3-Way", OR(Enginuity!$B$13=3, Enginuity!$B$13=6)),
      AND(P494="Inner Centre Jamb", OR(Enginuity!$B$13=4, Enginuity!$B$13=6)),
      AND(
        LEFT(P494,5)&lt;&gt;"1-Way",
        LEFT(P494,5)&lt;&gt;"2-Way",
        LEFT(P494,5)&lt;&gt;"3-Way",
        P494&lt;&gt;"Inner Centre Jamb"
      )
    ),
    IF(OR(Enginuity!$A$1="Frameless Glass",Enginuity!$A$1="Metal Work"),
      AND(TRIM(B494)=TRIM(Enginuity!$A$17),TRIM(C494)=TRIM(Enginuity!$A$18)),
      TRIM(B494)=TRIM(Enginuity!$A$17)
    )
  ),
  ROW(),
  ""
)</f>
        <v/>
      </c>
      <c r="BA494" t="s">
        <v>1343</v>
      </c>
      <c r="BB494" s="5">
        <v>4.0599999999999996</v>
      </c>
    </row>
    <row r="495" spans="1:54" x14ac:dyDescent="0.25">
      <c r="A495" s="10" t="s">
        <v>252</v>
      </c>
      <c r="B495" s="229" t="s">
        <v>211</v>
      </c>
      <c r="C495" s="10" t="s">
        <v>173</v>
      </c>
      <c r="D495" s="14" t="str">
        <v xml:space="preserve">5" Louver Blade N/A </v>
      </c>
      <c r="E495" s="157"/>
      <c r="F495" s="10"/>
      <c r="G495" s="17"/>
      <c r="H495" s="10"/>
      <c r="I495" s="17"/>
      <c r="J495" s="83"/>
      <c r="K495" s="343"/>
      <c r="L495" s="347"/>
      <c r="M495" s="89">
        <v>4</v>
      </c>
      <c r="N495" s="10" t="s">
        <v>112</v>
      </c>
      <c r="O495" s="22">
        <v>6.5</v>
      </c>
      <c r="P495" s="14" t="s">
        <v>209</v>
      </c>
      <c r="Q495" s="83">
        <f>ROUNDUP(((Enginuity!B6 + Enginuity!B7)*2*304.8) / 1200, 0)</f>
        <v>17</v>
      </c>
      <c r="U495" s="104" t="str">
        <f>IF(
  AND(
    TRIM(A495)=TRIM(Enginuity!$A$1),
    TRIM(B495)=TRIM(Enginuity!$A$17),
    Q495&lt;&gt;"",
    Q495&lt;&gt;0,
    OR(
      TRIM(C495)=TRIM(Enginuity!$A$18),
      AND(UPPER(TRIM(M495))="STD", TRIM(B495)=TRIM(Enginuity!$A$17))
    ),
    OR(
      AND(LEFT(P495,5)="1-Way", Enginuity!$B$13=1),
      AND(LEFT(P495,5)="2-Way", OR(Enginuity!$B$13=2, Enginuity!$B$13=4)),
      AND(LEFT(P495,5)="3-Way", OR(Enginuity!$B$13=3, Enginuity!$B$13=6)),
      AND(P495="Inner Centre Jamb", OR(Enginuity!$B$13=4, Enginuity!$B$13=6)),
      AND(
        LEFT(P495,5)&lt;&gt;"1-Way",
        LEFT(P495,5)&lt;&gt;"2-Way",
        LEFT(P495,5)&lt;&gt;"3-Way",
        P495&lt;&gt;"Inner Centre Jamb"
      )
    ),
    IF(OR(Enginuity!$A$1="Frameless Glass",Enginuity!$A$1="Metal Work"),
      AND(TRIM(B495)=TRIM(Enginuity!$A$17),TRIM(C495)=TRIM(Enginuity!$A$18)),
      TRIM(B495)=TRIM(Enginuity!$A$17)
    )
  ),
  ROW(),
  ""
)</f>
        <v/>
      </c>
      <c r="BA495" t="s">
        <v>1345</v>
      </c>
      <c r="BB495" s="5">
        <v>0.7</v>
      </c>
    </row>
    <row r="496" spans="1:54" x14ac:dyDescent="0.25">
      <c r="A496" s="10" t="s">
        <v>252</v>
      </c>
      <c r="B496" s="229" t="s">
        <v>211</v>
      </c>
      <c r="C496" s="10" t="s">
        <v>173</v>
      </c>
      <c r="D496" s="14" t="str">
        <v>5" Louver Blade P/C</v>
      </c>
      <c r="E496" s="157"/>
      <c r="F496" s="10"/>
      <c r="G496" s="17"/>
      <c r="H496" s="10"/>
      <c r="I496" s="17"/>
      <c r="J496" s="83"/>
      <c r="K496" s="343"/>
      <c r="L496" s="347"/>
      <c r="M496" s="89">
        <v>5</v>
      </c>
      <c r="N496" s="10" t="s">
        <v>112</v>
      </c>
      <c r="O496" s="22">
        <v>0.5</v>
      </c>
      <c r="P496" s="14" t="s">
        <v>208</v>
      </c>
      <c r="Q496" s="83">
        <f>ROUNDUP(((Enginuity!B6 + Enginuity!B7)*2*304.8) / 1200, 0)</f>
        <v>17</v>
      </c>
      <c r="U496" s="104" t="str">
        <f>IF(
  AND(
    TRIM(A496)=TRIM(Enginuity!$A$1),
    TRIM(B496)=TRIM(Enginuity!$A$17),
    Q496&lt;&gt;"",
    Q496&lt;&gt;0,
    OR(
      TRIM(C496)=TRIM(Enginuity!$A$18),
      AND(UPPER(TRIM(M496))="STD", TRIM(B496)=TRIM(Enginuity!$A$17))
    ),
    OR(
      AND(LEFT(P496,5)="1-Way", Enginuity!$B$13=1),
      AND(LEFT(P496,5)="2-Way", OR(Enginuity!$B$13=2, Enginuity!$B$13=4)),
      AND(LEFT(P496,5)="3-Way", OR(Enginuity!$B$13=3, Enginuity!$B$13=6)),
      AND(P496="Inner Centre Jamb", OR(Enginuity!$B$13=4, Enginuity!$B$13=6)),
      AND(
        LEFT(P496,5)&lt;&gt;"1-Way",
        LEFT(P496,5)&lt;&gt;"2-Way",
        LEFT(P496,5)&lt;&gt;"3-Way",
        P496&lt;&gt;"Inner Centre Jamb"
      )
    ),
    IF(OR(Enginuity!$A$1="Frameless Glass",Enginuity!$A$1="Metal Work"),
      AND(TRIM(B496)=TRIM(Enginuity!$A$17),TRIM(C496)=TRIM(Enginuity!$A$18)),
      TRIM(B496)=TRIM(Enginuity!$A$17)
    )
  ),
  ROW(),
  ""
)</f>
        <v/>
      </c>
      <c r="BA496" t="s">
        <v>212</v>
      </c>
      <c r="BB496" s="5">
        <v>7.01</v>
      </c>
    </row>
    <row r="497" spans="1:54" x14ac:dyDescent="0.25">
      <c r="A497" s="10" t="s">
        <v>252</v>
      </c>
      <c r="B497" s="229" t="s">
        <v>211</v>
      </c>
      <c r="C497" s="10" t="s">
        <v>173</v>
      </c>
      <c r="D497" s="14" t="str">
        <v/>
      </c>
      <c r="E497" s="157"/>
      <c r="F497" s="10"/>
      <c r="G497" s="17"/>
      <c r="H497" s="10"/>
      <c r="I497" s="17"/>
      <c r="J497" s="83"/>
      <c r="K497" s="343"/>
      <c r="L497" s="347"/>
      <c r="M497" s="89">
        <v>6</v>
      </c>
      <c r="N497" s="10" t="s">
        <v>112</v>
      </c>
      <c r="O497" s="22">
        <v>3.5000000000000003E-2</v>
      </c>
      <c r="P497" s="14" t="s">
        <v>181</v>
      </c>
      <c r="Q497" s="83">
        <f>ROUNDUP(Enginuity!B6 * 304.8 / Enginuity!B15, 0) * 8</f>
        <v>56</v>
      </c>
      <c r="U497" s="104" t="str">
        <f>IF(
  AND(
    TRIM(A497)=TRIM(Enginuity!$A$1),
    TRIM(B497)=TRIM(Enginuity!$A$17),
    Q497&lt;&gt;"",
    Q497&lt;&gt;0,
    OR(
      TRIM(C497)=TRIM(Enginuity!$A$18),
      AND(UPPER(TRIM(M497))="STD", TRIM(B497)=TRIM(Enginuity!$A$17))
    ),
    OR(
      AND(LEFT(P497,5)="1-Way", Enginuity!$B$13=1),
      AND(LEFT(P497,5)="2-Way", OR(Enginuity!$B$13=2, Enginuity!$B$13=4)),
      AND(LEFT(P497,5)="3-Way", OR(Enginuity!$B$13=3, Enginuity!$B$13=6)),
      AND(P497="Inner Centre Jamb", OR(Enginuity!$B$13=4, Enginuity!$B$13=6)),
      AND(
        LEFT(P497,5)&lt;&gt;"1-Way",
        LEFT(P497,5)&lt;&gt;"2-Way",
        LEFT(P497,5)&lt;&gt;"3-Way",
        P497&lt;&gt;"Inner Centre Jamb"
      )
    ),
    IF(OR(Enginuity!$A$1="Frameless Glass",Enginuity!$A$1="Metal Work"),
      AND(TRIM(B497)=TRIM(Enginuity!$A$17),TRIM(C497)=TRIM(Enginuity!$A$18)),
      TRIM(B497)=TRIM(Enginuity!$A$17)
    )
  ),
  ROW(),
  ""
)</f>
        <v/>
      </c>
      <c r="BA497" t="s">
        <v>1423</v>
      </c>
      <c r="BB497" s="5">
        <v>13.5</v>
      </c>
    </row>
    <row r="498" spans="1:54" x14ac:dyDescent="0.25">
      <c r="A498" s="10" t="s">
        <v>252</v>
      </c>
      <c r="B498" s="229" t="s">
        <v>211</v>
      </c>
      <c r="C498" s="10" t="s">
        <v>173</v>
      </c>
      <c r="D498" s="14" t="str">
        <v/>
      </c>
      <c r="E498" s="157"/>
      <c r="F498" s="10"/>
      <c r="G498" s="17"/>
      <c r="H498" s="10"/>
      <c r="I498" s="17"/>
      <c r="J498" s="83"/>
      <c r="K498" s="343"/>
      <c r="L498" s="347"/>
      <c r="M498" s="89">
        <v>7</v>
      </c>
      <c r="N498" s="88" t="s">
        <v>121</v>
      </c>
      <c r="O498" s="22">
        <v>4</v>
      </c>
      <c r="P498" s="14" t="s">
        <v>166</v>
      </c>
      <c r="Q498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498" s="104" t="str">
        <f>IF(
  AND(
    TRIM(A498)=TRIM(Enginuity!$A$1),
    TRIM(B498)=TRIM(Enginuity!$A$17),
    Q498&lt;&gt;"",
    Q498&lt;&gt;0,
    OR(
      TRIM(C498)=TRIM(Enginuity!$A$18),
      AND(UPPER(TRIM(M498))="STD", TRIM(B498)=TRIM(Enginuity!$A$17))
    ),
    OR(
      AND(LEFT(P498,5)="1-Way", Enginuity!$B$13=1),
      AND(LEFT(P498,5)="2-Way", OR(Enginuity!$B$13=2, Enginuity!$B$13=4)),
      AND(LEFT(P498,5)="3-Way", OR(Enginuity!$B$13=3, Enginuity!$B$13=6)),
      AND(P498="Inner Centre Jamb", OR(Enginuity!$B$13=4, Enginuity!$B$13=6)),
      AND(
        LEFT(P498,5)&lt;&gt;"1-Way",
        LEFT(P498,5)&lt;&gt;"2-Way",
        LEFT(P498,5)&lt;&gt;"3-Way",
        P498&lt;&gt;"Inner Centre Jamb"
      )
    ),
    IF(OR(Enginuity!$A$1="Frameless Glass",Enginuity!$A$1="Metal Work"),
      AND(TRIM(B498)=TRIM(Enginuity!$A$17),TRIM(C498)=TRIM(Enginuity!$A$18)),
      TRIM(B498)=TRIM(Enginuity!$A$17)
    )
  ),
  ROW(),
  ""
)</f>
        <v/>
      </c>
      <c r="BA498" t="s">
        <v>1424</v>
      </c>
      <c r="BB498" s="5">
        <v>15</v>
      </c>
    </row>
    <row r="499" spans="1:54" x14ac:dyDescent="0.25">
      <c r="A499" s="10"/>
      <c r="B499" s="229"/>
      <c r="C499" s="10"/>
      <c r="D499" s="14"/>
      <c r="E499" s="157"/>
      <c r="F499" s="10"/>
      <c r="G499" s="17"/>
      <c r="H499" s="10"/>
      <c r="I499" s="17"/>
      <c r="J499" s="83"/>
      <c r="K499" s="343"/>
      <c r="L499" s="347"/>
      <c r="M499" s="89">
        <v>8</v>
      </c>
      <c r="N499" s="10"/>
      <c r="O499" s="22"/>
      <c r="P499" s="36"/>
      <c r="Q499" s="83"/>
      <c r="U499" s="104" t="str">
        <f>IF(
  AND(
    TRIM(A499)=TRIM(Enginuity!$A$1),
    TRIM(B499)=TRIM(Enginuity!$A$17),
    Q499&lt;&gt;"",
    Q499&lt;&gt;0,
    OR(
      TRIM(C499)=TRIM(Enginuity!$A$18),
      AND(UPPER(TRIM(M499))="STD", TRIM(B499)=TRIM(Enginuity!$A$17))
    ),
    OR(
      AND(LEFT(P499,5)="1-Way", Enginuity!$B$13=1),
      AND(LEFT(P499,5)="2-Way", OR(Enginuity!$B$13=2, Enginuity!$B$13=4)),
      AND(LEFT(P499,5)="3-Way", OR(Enginuity!$B$13=3, Enginuity!$B$13=6)),
      AND(P499="Inner Centre Jamb", OR(Enginuity!$B$13=4, Enginuity!$B$13=6)),
      AND(
        LEFT(P499,5)&lt;&gt;"1-Way",
        LEFT(P499,5)&lt;&gt;"2-Way",
        LEFT(P499,5)&lt;&gt;"3-Way",
        P499&lt;&gt;"Inner Centre Jamb"
      )
    ),
    IF(OR(Enginuity!$A$1="Frameless Glass",Enginuity!$A$1="Metal Work"),
      AND(TRIM(B499)=TRIM(Enginuity!$A$17),TRIM(C499)=TRIM(Enginuity!$A$18)),
      TRIM(B499)=TRIM(Enginuity!$A$17)
    )
  ),
  ROW(),
  ""
)</f>
        <v/>
      </c>
      <c r="BA499" t="s">
        <v>1422</v>
      </c>
      <c r="BB499" s="5">
        <v>18.75</v>
      </c>
    </row>
    <row r="500" spans="1:54" x14ac:dyDescent="0.25">
      <c r="A500" s="17"/>
      <c r="B500" s="230"/>
      <c r="C500" s="17"/>
      <c r="D500" s="18"/>
      <c r="E500" s="238"/>
      <c r="F500" s="17"/>
      <c r="G500" s="17"/>
      <c r="H500" s="10"/>
      <c r="I500" s="17"/>
      <c r="J500" s="83"/>
      <c r="K500" s="343"/>
      <c r="L500" s="347"/>
      <c r="M500" s="89">
        <v>9</v>
      </c>
      <c r="N500" s="17"/>
      <c r="O500" s="25"/>
      <c r="P500" s="92"/>
      <c r="Q500" s="84"/>
      <c r="U500" s="104" t="str">
        <f>IF(
  AND(
    TRIM(A500)=TRIM(Enginuity!$A$1),
    TRIM(B500)=TRIM(Enginuity!$A$17),
    Q500&lt;&gt;"",
    Q500&lt;&gt;0,
    OR(
      TRIM(C500)=TRIM(Enginuity!$A$18),
      AND(UPPER(TRIM(M500))="STD", TRIM(B500)=TRIM(Enginuity!$A$17))
    ),
    OR(
      AND(LEFT(P500,5)="1-Way", Enginuity!$B$13=1),
      AND(LEFT(P500,5)="2-Way", OR(Enginuity!$B$13=2, Enginuity!$B$13=4)),
      AND(LEFT(P500,5)="3-Way", OR(Enginuity!$B$13=3, Enginuity!$B$13=6)),
      AND(P500="Inner Centre Jamb", OR(Enginuity!$B$13=4, Enginuity!$B$13=6)),
      AND(
        LEFT(P500,5)&lt;&gt;"1-Way",
        LEFT(P500,5)&lt;&gt;"2-Way",
        LEFT(P500,5)&lt;&gt;"3-Way",
        P500&lt;&gt;"Inner Centre Jamb"
      )
    ),
    IF(OR(Enginuity!$A$1="Frameless Glass",Enginuity!$A$1="Metal Work"),
      AND(TRIM(B500)=TRIM(Enginuity!$A$17),TRIM(C500)=TRIM(Enginuity!$A$18)),
      TRIM(B500)=TRIM(Enginuity!$A$17)
    )
  ),
  ROW(),
  ""
)</f>
        <v/>
      </c>
      <c r="BA500" t="s">
        <v>1352</v>
      </c>
      <c r="BB500" s="5">
        <v>5.28</v>
      </c>
    </row>
    <row r="501" spans="1:54" x14ac:dyDescent="0.25">
      <c r="A501" s="10" t="s">
        <v>256</v>
      </c>
      <c r="B501" s="229" t="s">
        <v>90</v>
      </c>
      <c r="C501" s="10" t="s">
        <v>107</v>
      </c>
      <c r="D501" s="14" t="str" cm="1">
        <f t="array" ref="D501:D507">IFERROR(INDEX(_xlfn._xlws.FILTER(AllMaterialsbak!$BA$2:$BA$30, AllMaterialsbak!$BA$2:$BA$30&lt;&gt;""), _xlfn.SEQUENCE(7)), "")</f>
        <v>Default</v>
      </c>
      <c r="E501" s="157"/>
      <c r="F501" s="10"/>
      <c r="G501" s="17"/>
      <c r="H501" s="10"/>
      <c r="I501" s="17"/>
      <c r="J501" s="83"/>
      <c r="K501" s="344">
        <v>0.501</v>
      </c>
      <c r="L501" s="347">
        <v>1200</v>
      </c>
      <c r="M501" s="89">
        <v>10</v>
      </c>
      <c r="N501" s="10" t="s">
        <v>103</v>
      </c>
      <c r="O501" s="22">
        <v>1.5</v>
      </c>
      <c r="P501" s="14" t="s">
        <v>246</v>
      </c>
      <c r="Q501" s="83">
        <f>IF(AND(Enginuity!$B$6&gt;0, Enginuity!$B$7&gt;0), ROUND(((Enginuity!$B$6 + Enginuity!$B$7) * 2), 2), "")</f>
        <v>66</v>
      </c>
      <c r="U501" s="104" t="str">
        <f>IF(
  AND(
    TRIM(A501)=TRIM(Enginuity!$A$1),
    TRIM(B501)=TRIM(Enginuity!$A$17),
    Q501&lt;&gt;"",
    Q501&lt;&gt;0,
    OR(
      TRIM(C501)=TRIM(Enginuity!$A$18),
      AND(UPPER(TRIM(M501))="STD", TRIM(B501)=TRIM(Enginuity!$A$17))
    ),
    OR(
      AND(LEFT(P501,5)="1-Way", Enginuity!$B$13=1),
      AND(LEFT(P501,5)="2-Way", OR(Enginuity!$B$13=2, Enginuity!$B$13=4)),
      AND(LEFT(P501,5)="3-Way", OR(Enginuity!$B$13=3, Enginuity!$B$13=6)),
      AND(P501="Inner Centre Jamb", OR(Enginuity!$B$13=4, Enginuity!$B$13=6)),
      AND(
        LEFT(P501,5)&lt;&gt;"1-Way",
        LEFT(P501,5)&lt;&gt;"2-Way",
        LEFT(P501,5)&lt;&gt;"3-Way",
        P501&lt;&gt;"Inner Centre Jamb"
      )
    ),
    IF(OR(Enginuity!$A$1="Frameless Glass",Enginuity!$A$1="Metal Work"),
      AND(TRIM(B501)=TRIM(Enginuity!$A$17),TRIM(C501)=TRIM(Enginuity!$A$18)),
      TRIM(B501)=TRIM(Enginuity!$A$17)
    )
  ),
  ROW(),
  ""
)</f>
        <v/>
      </c>
      <c r="BA501" t="s">
        <v>1353</v>
      </c>
      <c r="BB501" s="5">
        <v>1.6</v>
      </c>
    </row>
    <row r="502" spans="1:54" x14ac:dyDescent="0.25">
      <c r="A502" s="10" t="s">
        <v>256</v>
      </c>
      <c r="B502" s="229" t="s">
        <v>90</v>
      </c>
      <c r="C502" s="10" t="s">
        <v>107</v>
      </c>
      <c r="D502" s="14" t="str">
        <v xml:space="preserve">2" Louver Blade N/A </v>
      </c>
      <c r="E502" s="157"/>
      <c r="F502" s="10"/>
      <c r="G502" s="17"/>
      <c r="H502" s="10"/>
      <c r="I502" s="17"/>
      <c r="J502" s="83"/>
      <c r="K502" s="343"/>
      <c r="L502" s="347"/>
      <c r="M502" s="89">
        <v>11</v>
      </c>
      <c r="N502" s="10" t="s">
        <v>121</v>
      </c>
      <c r="O502" s="22" t="str">
        <f>$O$2</f>
        <v/>
      </c>
      <c r="P502" s="21" t="str">
        <f>Enginuity!$A$19</f>
        <v>W/G</v>
      </c>
      <c r="Q502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502" s="104" t="str">
        <f>IF(
  AND(
    TRIM(A502)=TRIM(Enginuity!$A$1),
    TRIM(B502)=TRIM(Enginuity!$A$17),
    Q502&lt;&gt;"",
    Q502&lt;&gt;0,
    OR(
      TRIM(C502)=TRIM(Enginuity!$A$18),
      AND(UPPER(TRIM(M502))="STD", TRIM(B502)=TRIM(Enginuity!$A$17))
    ),
    OR(
      AND(LEFT(P502,5)="1-Way", Enginuity!$B$13=1),
      AND(LEFT(P502,5)="2-Way", OR(Enginuity!$B$13=2, Enginuity!$B$13=4)),
      AND(LEFT(P502,5)="3-Way", OR(Enginuity!$B$13=3, Enginuity!$B$13=6)),
      AND(P502="Inner Centre Jamb", OR(Enginuity!$B$13=4, Enginuity!$B$13=6)),
      AND(
        LEFT(P502,5)&lt;&gt;"1-Way",
        LEFT(P502,5)&lt;&gt;"2-Way",
        LEFT(P502,5)&lt;&gt;"3-Way",
        P502&lt;&gt;"Inner Centre Jamb"
      )
    ),
    IF(OR(Enginuity!$A$1="Frameless Glass",Enginuity!$A$1="Metal Work"),
      AND(TRIM(B502)=TRIM(Enginuity!$A$17),TRIM(C502)=TRIM(Enginuity!$A$18)),
      TRIM(B502)=TRIM(Enginuity!$A$17)
    )
  ),
  ROW(),
  ""
)</f>
        <v/>
      </c>
      <c r="BA502" t="s">
        <v>1342</v>
      </c>
      <c r="BB502" s="5">
        <v>0.63</v>
      </c>
    </row>
    <row r="503" spans="1:54" x14ac:dyDescent="0.25">
      <c r="A503" s="10" t="s">
        <v>256</v>
      </c>
      <c r="B503" s="229" t="s">
        <v>90</v>
      </c>
      <c r="C503" s="10" t="s">
        <v>107</v>
      </c>
      <c r="D503" s="14" t="str">
        <v>2" Louver Blade P/C</v>
      </c>
      <c r="E503" s="157"/>
      <c r="F503" s="11"/>
      <c r="G503" s="17"/>
      <c r="H503" s="10"/>
      <c r="I503" s="17"/>
      <c r="J503" s="83"/>
      <c r="K503" s="343"/>
      <c r="L503" s="347"/>
      <c r="M503" s="89">
        <v>12</v>
      </c>
      <c r="N503" s="10" t="s">
        <v>112</v>
      </c>
      <c r="O503" s="22">
        <v>0.1</v>
      </c>
      <c r="P503" s="14" t="s">
        <v>221</v>
      </c>
      <c r="Q503" s="83">
        <f>ROUNDUP((Enginuity!$B$6*2 + Enginuity!$B$13*2*Enginuity!$B$7)/3, 0)</f>
        <v>74</v>
      </c>
      <c r="U503" s="104" t="str">
        <f>IF(
  AND(
    TRIM(A503)=TRIM(Enginuity!$A$1),
    TRIM(B503)=TRIM(Enginuity!$A$17),
    Q503&lt;&gt;"",
    Q503&lt;&gt;0,
    OR(
      TRIM(C503)=TRIM(Enginuity!$A$18),
      AND(UPPER(TRIM(M503))="STD", TRIM(B503)=TRIM(Enginuity!$A$17))
    ),
    OR(
      AND(LEFT(P503,5)="1-Way", Enginuity!$B$13=1),
      AND(LEFT(P503,5)="2-Way", OR(Enginuity!$B$13=2, Enginuity!$B$13=4)),
      AND(LEFT(P503,5)="3-Way", OR(Enginuity!$B$13=3, Enginuity!$B$13=6)),
      AND(P503="Inner Centre Jamb", OR(Enginuity!$B$13=4, Enginuity!$B$13=6)),
      AND(
        LEFT(P503,5)&lt;&gt;"1-Way",
        LEFT(P503,5)&lt;&gt;"2-Way",
        LEFT(P503,5)&lt;&gt;"3-Way",
        P503&lt;&gt;"Inner Centre Jamb"
      )
    ),
    IF(OR(Enginuity!$A$1="Frameless Glass",Enginuity!$A$1="Metal Work"),
      AND(TRIM(B503)=TRIM(Enginuity!$A$17),TRIM(C503)=TRIM(Enginuity!$A$18)),
      TRIM(B503)=TRIM(Enginuity!$A$17)
    )
  ),
  ROW(),
  ""
)</f>
        <v/>
      </c>
      <c r="BA503" t="s">
        <v>1354</v>
      </c>
      <c r="BB503" s="5">
        <v>5.9</v>
      </c>
    </row>
    <row r="504" spans="1:54" x14ac:dyDescent="0.25">
      <c r="A504" s="10" t="s">
        <v>256</v>
      </c>
      <c r="B504" s="229" t="s">
        <v>90</v>
      </c>
      <c r="C504" s="10" t="s">
        <v>107</v>
      </c>
      <c r="D504" s="14" t="str">
        <v xml:space="preserve">5" Louver Blade N/A </v>
      </c>
      <c r="E504" s="157"/>
      <c r="F504" s="11"/>
      <c r="G504" s="17"/>
      <c r="H504" s="10"/>
      <c r="I504" s="17"/>
      <c r="J504" s="83"/>
      <c r="K504" s="343"/>
      <c r="L504" s="347"/>
      <c r="M504" s="89">
        <v>13</v>
      </c>
      <c r="N504" s="10" t="s">
        <v>315</v>
      </c>
      <c r="O504" s="22">
        <v>8.5</v>
      </c>
      <c r="P504" s="14" t="s">
        <v>318</v>
      </c>
      <c r="Q504" s="97">
        <f>ROUNDUP((((2*(Enginuity!$B$6+Enginuity!$B$7))*2)/32.8)*1.1, 0)</f>
        <v>5</v>
      </c>
      <c r="U504" s="104" t="str">
        <f>IF(
  AND(
    TRIM(A504)=TRIM(Enginuity!$A$1),
    TRIM(B504)=TRIM(Enginuity!$A$17),
    Q504&lt;&gt;"",
    Q504&lt;&gt;0,
    OR(
      TRIM(C504)=TRIM(Enginuity!$A$18),
      AND(UPPER(TRIM(M504))="STD", TRIM(B504)=TRIM(Enginuity!$A$17))
    ),
    OR(
      AND(LEFT(P504,5)="1-Way", Enginuity!$B$13=1),
      AND(LEFT(P504,5)="2-Way", OR(Enginuity!$B$13=2, Enginuity!$B$13=4)),
      AND(LEFT(P504,5)="3-Way", OR(Enginuity!$B$13=3, Enginuity!$B$13=6)),
      AND(P504="Inner Centre Jamb", OR(Enginuity!$B$13=4, Enginuity!$B$13=6)),
      AND(
        LEFT(P504,5)&lt;&gt;"1-Way",
        LEFT(P504,5)&lt;&gt;"2-Way",
        LEFT(P504,5)&lt;&gt;"3-Way",
        P504&lt;&gt;"Inner Centre Jamb"
      )
    ),
    IF(OR(Enginuity!$A$1="Frameless Glass",Enginuity!$A$1="Metal Work"),
      AND(TRIM(B504)=TRIM(Enginuity!$A$17),TRIM(C504)=TRIM(Enginuity!$A$18)),
      TRIM(B504)=TRIM(Enginuity!$A$17)
    )
  ),
  ROW(),
  ""
)</f>
        <v/>
      </c>
    </row>
    <row r="505" spans="1:54" x14ac:dyDescent="0.25">
      <c r="A505" s="10" t="s">
        <v>256</v>
      </c>
      <c r="B505" s="229" t="s">
        <v>90</v>
      </c>
      <c r="C505" s="10" t="s">
        <v>107</v>
      </c>
      <c r="D505" s="14" t="str">
        <v>5" Louver Blade P/C</v>
      </c>
      <c r="E505" s="157"/>
      <c r="F505" s="11"/>
      <c r="G505" s="17"/>
      <c r="H505" s="10"/>
      <c r="I505" s="17"/>
      <c r="J505" s="83"/>
      <c r="K505" s="343"/>
      <c r="L505" s="347"/>
      <c r="M505" s="89">
        <v>14</v>
      </c>
      <c r="N505" s="10" t="s">
        <v>315</v>
      </c>
      <c r="O505" s="22">
        <v>8.5</v>
      </c>
      <c r="P505" s="14" t="s">
        <v>319</v>
      </c>
      <c r="Q505" s="83">
        <f>ROUNDUP((((Enginuity!$B$13-1)*Enginuity!$B$7)*2/32.8)*1.1, 0)</f>
        <v>6</v>
      </c>
      <c r="U505" s="104" t="str">
        <f>IF(
  AND(
    TRIM(A505)=TRIM(Enginuity!$A$1),
    TRIM(B505)=TRIM(Enginuity!$A$17),
    Q505&lt;&gt;"",
    Q505&lt;&gt;0,
    OR(
      TRIM(C505)=TRIM(Enginuity!$A$18),
      AND(UPPER(TRIM(M505))="STD", TRIM(B505)=TRIM(Enginuity!$A$17))
    ),
    OR(
      AND(LEFT(P505,5)="1-Way", Enginuity!$B$13=1),
      AND(LEFT(P505,5)="2-Way", OR(Enginuity!$B$13=2, Enginuity!$B$13=4)),
      AND(LEFT(P505,5)="3-Way", OR(Enginuity!$B$13=3, Enginuity!$B$13=6)),
      AND(P505="Inner Centre Jamb", OR(Enginuity!$B$13=4, Enginuity!$B$13=6)),
      AND(
        LEFT(P505,5)&lt;&gt;"1-Way",
        LEFT(P505,5)&lt;&gt;"2-Way",
        LEFT(P505,5)&lt;&gt;"3-Way",
        P505&lt;&gt;"Inner Centre Jamb"
      )
    ),
    IF(OR(Enginuity!$A$1="Frameless Glass",Enginuity!$A$1="Metal Work"),
      AND(TRIM(B505)=TRIM(Enginuity!$A$17),TRIM(C505)=TRIM(Enginuity!$A$18)),
      TRIM(B505)=TRIM(Enginuity!$A$17)
    )
  ),
  ROW(),
  ""
)</f>
        <v/>
      </c>
    </row>
    <row r="506" spans="1:54" x14ac:dyDescent="0.25">
      <c r="A506" s="10" t="s">
        <v>256</v>
      </c>
      <c r="B506" s="229" t="s">
        <v>90</v>
      </c>
      <c r="C506" s="10" t="s">
        <v>107</v>
      </c>
      <c r="D506" s="14" t="str">
        <v/>
      </c>
      <c r="E506" s="157"/>
      <c r="F506" s="11"/>
      <c r="G506" s="17"/>
      <c r="H506" s="10"/>
      <c r="I506" s="17"/>
      <c r="J506" s="83"/>
      <c r="K506" s="343"/>
      <c r="L506" s="347"/>
      <c r="M506" s="89">
        <v>15</v>
      </c>
      <c r="N506" s="10" t="s">
        <v>228</v>
      </c>
      <c r="O506" s="22">
        <v>0.5</v>
      </c>
      <c r="P506" s="14" t="s">
        <v>226</v>
      </c>
      <c r="Q506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506" s="104" t="str">
        <f>IF(
  AND(
    TRIM(A506)=TRIM(Enginuity!$A$1),
    TRIM(B506)=TRIM(Enginuity!$A$17),
    Q506&lt;&gt;"",
    Q506&lt;&gt;0,
    OR(
      TRIM(C506)=TRIM(Enginuity!$A$18),
      AND(UPPER(TRIM(M506))="STD", TRIM(B506)=TRIM(Enginuity!$A$17))
    ),
    OR(
      AND(LEFT(P506,5)="1-Way", Enginuity!$B$13=1),
      AND(LEFT(P506,5)="2-Way", OR(Enginuity!$B$13=2, Enginuity!$B$13=4)),
      AND(LEFT(P506,5)="3-Way", OR(Enginuity!$B$13=3, Enginuity!$B$13=6)),
      AND(P506="Inner Centre Jamb", OR(Enginuity!$B$13=4, Enginuity!$B$13=6)),
      AND(
        LEFT(P506,5)&lt;&gt;"1-Way",
        LEFT(P506,5)&lt;&gt;"2-Way",
        LEFT(P506,5)&lt;&gt;"3-Way",
        P506&lt;&gt;"Inner Centre Jamb"
      )
    ),
    IF(OR(Enginuity!$A$1="Frameless Glass",Enginuity!$A$1="Metal Work"),
      AND(TRIM(B506)=TRIM(Enginuity!$A$17),TRIM(C506)=TRIM(Enginuity!$A$18)),
      TRIM(B506)=TRIM(Enginuity!$A$17)
    )
  ),
  ROW(),
  ""
)</f>
        <v/>
      </c>
      <c r="BA506" t="s">
        <v>1376</v>
      </c>
      <c r="BB506">
        <v>1.35</v>
      </c>
    </row>
    <row r="507" spans="1:54" x14ac:dyDescent="0.25">
      <c r="A507" s="17" t="s">
        <v>256</v>
      </c>
      <c r="B507" s="230" t="s">
        <v>90</v>
      </c>
      <c r="C507" s="17"/>
      <c r="D507" s="18" t="str">
        <v/>
      </c>
      <c r="E507" s="238"/>
      <c r="F507" s="17"/>
      <c r="G507" s="17"/>
      <c r="H507" s="17"/>
      <c r="I507" s="17"/>
      <c r="J507" s="84"/>
      <c r="K507" s="343"/>
      <c r="L507" s="347"/>
      <c r="M507" s="90"/>
      <c r="N507" s="17"/>
      <c r="O507" s="25"/>
      <c r="P507" s="18"/>
      <c r="Q507" s="84"/>
      <c r="U507" s="104" t="str">
        <f>IF(
  AND(
    TRIM(A507)=TRIM(Enginuity!$A$1),
    TRIM(B507)=TRIM(Enginuity!$A$17),
    Q507&lt;&gt;"",
    Q507&lt;&gt;0,
    OR(
      TRIM(C507)=TRIM(Enginuity!$A$18),
      AND(UPPER(TRIM(M507))="STD", TRIM(B507)=TRIM(Enginuity!$A$17))
    ),
    OR(
      AND(LEFT(P507,5)="1-Way", Enginuity!$B$13=1),
      AND(LEFT(P507,5)="2-Way", OR(Enginuity!$B$13=2, Enginuity!$B$13=4)),
      AND(LEFT(P507,5)="3-Way", OR(Enginuity!$B$13=3, Enginuity!$B$13=6)),
      AND(P507="Inner Centre Jamb", OR(Enginuity!$B$13=4, Enginuity!$B$13=6)),
      AND(
        LEFT(P507,5)&lt;&gt;"1-Way",
        LEFT(P507,5)&lt;&gt;"2-Way",
        LEFT(P507,5)&lt;&gt;"3-Way",
        P507&lt;&gt;"Inner Centre Jamb"
      )
    ),
    IF(OR(Enginuity!$A$1="Frameless Glass",Enginuity!$A$1="Metal Work"),
      AND(TRIM(B507)=TRIM(Enginuity!$A$17),TRIM(C507)=TRIM(Enginuity!$A$18)),
      TRIM(B507)=TRIM(Enginuity!$A$17)
    )
  ),
  ROW(),
  ""
)</f>
        <v/>
      </c>
      <c r="BA507" t="s">
        <v>1377</v>
      </c>
      <c r="BB507">
        <v>1.48</v>
      </c>
    </row>
    <row r="508" spans="1:54" x14ac:dyDescent="0.25">
      <c r="A508" s="10" t="s">
        <v>256</v>
      </c>
      <c r="B508" s="229" t="s">
        <v>90</v>
      </c>
      <c r="C508" s="10" t="s">
        <v>97</v>
      </c>
      <c r="D508" s="14"/>
      <c r="E508" s="157"/>
      <c r="F508" s="10"/>
      <c r="G508" s="17"/>
      <c r="H508" s="10"/>
      <c r="I508" s="17"/>
      <c r="J508" s="83"/>
      <c r="K508" s="344">
        <v>0.501</v>
      </c>
      <c r="L508" s="347">
        <v>1200</v>
      </c>
      <c r="M508" s="89">
        <v>16</v>
      </c>
      <c r="N508" s="10" t="s">
        <v>103</v>
      </c>
      <c r="O508" s="22">
        <v>2.5</v>
      </c>
      <c r="P508" s="14" t="s">
        <v>245</v>
      </c>
      <c r="Q508" s="83">
        <f>IF(AND(Enginuity!$B$6&gt;0, Enginuity!$B$7&gt;0), ROUND(((Enginuity!$B$6 + Enginuity!$B$7) * 2), 2), "")</f>
        <v>66</v>
      </c>
      <c r="U508" s="104" t="str">
        <f>IF(
  AND(
    TRIM(A508)=TRIM(Enginuity!$A$1),
    TRIM(B508)=TRIM(Enginuity!$A$17),
    Q508&lt;&gt;"",
    Q508&lt;&gt;0,
    OR(
      TRIM(C508)=TRIM(Enginuity!$A$18),
      AND(UPPER(TRIM(M508))="STD", TRIM(B508)=TRIM(Enginuity!$A$17))
    ),
    OR(
      AND(LEFT(P508,5)="1-Way", Enginuity!$B$13=1),
      AND(LEFT(P508,5)="2-Way", OR(Enginuity!$B$13=2, Enginuity!$B$13=4)),
      AND(LEFT(P508,5)="3-Way", OR(Enginuity!$B$13=3, Enginuity!$B$13=6)),
      AND(P508="Inner Centre Jamb", OR(Enginuity!$B$13=4, Enginuity!$B$13=6)),
      AND(
        LEFT(P508,5)&lt;&gt;"1-Way",
        LEFT(P508,5)&lt;&gt;"2-Way",
        LEFT(P508,5)&lt;&gt;"3-Way",
        P508&lt;&gt;"Inner Centre Jamb"
      )
    ),
    IF(OR(Enginuity!$A$1="Frameless Glass",Enginuity!$A$1="Metal Work"),
      AND(TRIM(B508)=TRIM(Enginuity!$A$17),TRIM(C508)=TRIM(Enginuity!$A$18)),
      TRIM(B508)=TRIM(Enginuity!$A$17)
    )
  ),
  ROW(),
  ""
)</f>
        <v/>
      </c>
      <c r="BA508" t="s">
        <v>1379</v>
      </c>
      <c r="BB508">
        <v>1.68</v>
      </c>
    </row>
    <row r="509" spans="1:54" x14ac:dyDescent="0.25">
      <c r="A509" s="10" t="s">
        <v>256</v>
      </c>
      <c r="B509" s="229" t="s">
        <v>90</v>
      </c>
      <c r="C509" s="10" t="s">
        <v>97</v>
      </c>
      <c r="D509" s="14"/>
      <c r="E509" s="157"/>
      <c r="F509" s="10"/>
      <c r="G509" s="17"/>
      <c r="H509" s="10"/>
      <c r="I509" s="17"/>
      <c r="J509" s="83"/>
      <c r="K509" s="343"/>
      <c r="L509" s="347"/>
      <c r="M509" s="89">
        <v>17</v>
      </c>
      <c r="N509" s="10" t="s">
        <v>103</v>
      </c>
      <c r="O509" s="22" t="str">
        <f>$O$2</f>
        <v/>
      </c>
      <c r="P509" s="21" t="str">
        <f>Enginuity!$A$19</f>
        <v>W/G</v>
      </c>
      <c r="Q509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509" s="104" t="str">
        <f>IF(
  AND(
    TRIM(A509)=TRIM(Enginuity!$A$1),
    TRIM(B509)=TRIM(Enginuity!$A$17),
    Q509&lt;&gt;"",
    Q509&lt;&gt;0,
    OR(
      TRIM(C509)=TRIM(Enginuity!$A$18),
      AND(UPPER(TRIM(M509))="STD", TRIM(B509)=TRIM(Enginuity!$A$17))
    ),
    OR(
      AND(LEFT(P509,5)="1-Way", Enginuity!$B$13=1),
      AND(LEFT(P509,5)="2-Way", OR(Enginuity!$B$13=2, Enginuity!$B$13=4)),
      AND(LEFT(P509,5)="3-Way", OR(Enginuity!$B$13=3, Enginuity!$B$13=6)),
      AND(P509="Inner Centre Jamb", OR(Enginuity!$B$13=4, Enginuity!$B$13=6)),
      AND(
        LEFT(P509,5)&lt;&gt;"1-Way",
        LEFT(P509,5)&lt;&gt;"2-Way",
        LEFT(P509,5)&lt;&gt;"3-Way",
        P509&lt;&gt;"Inner Centre Jamb"
      )
    ),
    IF(OR(Enginuity!$A$1="Frameless Glass",Enginuity!$A$1="Metal Work"),
      AND(TRIM(B509)=TRIM(Enginuity!$A$17),TRIM(C509)=TRIM(Enginuity!$A$18)),
      TRIM(B509)=TRIM(Enginuity!$A$17)
    )
  ),
  ROW(),
  ""
)</f>
        <v/>
      </c>
      <c r="BA509" t="s">
        <v>1398</v>
      </c>
      <c r="BB509">
        <v>1.68</v>
      </c>
    </row>
    <row r="510" spans="1:54" x14ac:dyDescent="0.25">
      <c r="A510" s="10" t="s">
        <v>256</v>
      </c>
      <c r="B510" s="229" t="s">
        <v>90</v>
      </c>
      <c r="C510" s="10" t="s">
        <v>97</v>
      </c>
      <c r="D510" s="14"/>
      <c r="E510" s="157"/>
      <c r="F510" s="10"/>
      <c r="G510" s="17"/>
      <c r="H510" s="10"/>
      <c r="I510" s="17"/>
      <c r="J510" s="83"/>
      <c r="K510" s="343"/>
      <c r="L510" s="347"/>
      <c r="M510" s="89">
        <v>18</v>
      </c>
      <c r="N510" s="10" t="s">
        <v>112</v>
      </c>
      <c r="O510" s="22">
        <v>0.1</v>
      </c>
      <c r="P510" s="14" t="s">
        <v>221</v>
      </c>
      <c r="Q510" s="83">
        <f>ROUNDUP((Enginuity!$B$6*2 + Enginuity!$B$13*2*Enginuity!$B$7)/3, 0)</f>
        <v>74</v>
      </c>
      <c r="U510" s="104" t="str">
        <f>IF(
  AND(
    TRIM(A510)=TRIM(Enginuity!$A$1),
    TRIM(B510)=TRIM(Enginuity!$A$17),
    Q510&lt;&gt;"",
    Q510&lt;&gt;0,
    OR(
      TRIM(C510)=TRIM(Enginuity!$A$18),
      AND(UPPER(TRIM(M510))="STD", TRIM(B510)=TRIM(Enginuity!$A$17))
    ),
    OR(
      AND(LEFT(P510,5)="1-Way", Enginuity!$B$13=1),
      AND(LEFT(P510,5)="2-Way", OR(Enginuity!$B$13=2, Enginuity!$B$13=4)),
      AND(LEFT(P510,5)="3-Way", OR(Enginuity!$B$13=3, Enginuity!$B$13=6)),
      AND(P510="Inner Centre Jamb", OR(Enginuity!$B$13=4, Enginuity!$B$13=6)),
      AND(
        LEFT(P510,5)&lt;&gt;"1-Way",
        LEFT(P510,5)&lt;&gt;"2-Way",
        LEFT(P510,5)&lt;&gt;"3-Way",
        P510&lt;&gt;"Inner Centre Jamb"
      )
    ),
    IF(OR(Enginuity!$A$1="Frameless Glass",Enginuity!$A$1="Metal Work"),
      AND(TRIM(B510)=TRIM(Enginuity!$A$17),TRIM(C510)=TRIM(Enginuity!$A$18)),
      TRIM(B510)=TRIM(Enginuity!$A$17)
    )
  ),
  ROW(),
  ""
)</f>
        <v/>
      </c>
      <c r="BA510" t="s">
        <v>1399</v>
      </c>
      <c r="BB510">
        <v>1.68</v>
      </c>
    </row>
    <row r="511" spans="1:54" x14ac:dyDescent="0.25">
      <c r="A511" s="10" t="s">
        <v>256</v>
      </c>
      <c r="B511" s="229" t="s">
        <v>90</v>
      </c>
      <c r="C511" s="10" t="s">
        <v>97</v>
      </c>
      <c r="D511" s="14"/>
      <c r="E511" s="157"/>
      <c r="F511" s="10"/>
      <c r="G511" s="17"/>
      <c r="H511" s="10"/>
      <c r="I511" s="17"/>
      <c r="J511" s="83"/>
      <c r="K511" s="343"/>
      <c r="L511" s="347"/>
      <c r="M511" s="89">
        <v>19</v>
      </c>
      <c r="N511" s="10" t="s">
        <v>315</v>
      </c>
      <c r="O511" s="22">
        <v>8.5</v>
      </c>
      <c r="P511" s="14" t="s">
        <v>318</v>
      </c>
      <c r="Q511" s="97">
        <f>ROUNDUP((((2*(Enginuity!$B$6+Enginuity!$B$7))*2)/32.8)*1.1, 0)</f>
        <v>5</v>
      </c>
      <c r="U511" s="104" t="str">
        <f>IF(
  AND(
    TRIM(A511)=TRIM(Enginuity!$A$1),
    TRIM(B511)=TRIM(Enginuity!$A$17),
    Q511&lt;&gt;"",
    Q511&lt;&gt;0,
    OR(
      TRIM(C511)=TRIM(Enginuity!$A$18),
      AND(UPPER(TRIM(M511))="STD", TRIM(B511)=TRIM(Enginuity!$A$17))
    ),
    OR(
      AND(LEFT(P511,5)="1-Way", Enginuity!$B$13=1),
      AND(LEFT(P511,5)="2-Way", OR(Enginuity!$B$13=2, Enginuity!$B$13=4)),
      AND(LEFT(P511,5)="3-Way", OR(Enginuity!$B$13=3, Enginuity!$B$13=6)),
      AND(P511="Inner Centre Jamb", OR(Enginuity!$B$13=4, Enginuity!$B$13=6)),
      AND(
        LEFT(P511,5)&lt;&gt;"1-Way",
        LEFT(P511,5)&lt;&gt;"2-Way",
        LEFT(P511,5)&lt;&gt;"3-Way",
        P511&lt;&gt;"Inner Centre Jamb"
      )
    ),
    IF(OR(Enginuity!$A$1="Frameless Glass",Enginuity!$A$1="Metal Work"),
      AND(TRIM(B511)=TRIM(Enginuity!$A$17),TRIM(C511)=TRIM(Enginuity!$A$18)),
      TRIM(B511)=TRIM(Enginuity!$A$17)
    )
  ),
  ROW(),
  ""
)</f>
        <v/>
      </c>
      <c r="BA511" t="s">
        <v>1382</v>
      </c>
      <c r="BB511">
        <v>1.68</v>
      </c>
    </row>
    <row r="512" spans="1:54" x14ac:dyDescent="0.25">
      <c r="A512" s="10" t="s">
        <v>256</v>
      </c>
      <c r="B512" s="229" t="s">
        <v>90</v>
      </c>
      <c r="C512" s="10" t="s">
        <v>97</v>
      </c>
      <c r="D512" s="14"/>
      <c r="E512" s="157"/>
      <c r="F512" s="10"/>
      <c r="G512" s="17"/>
      <c r="H512" s="10"/>
      <c r="I512" s="17"/>
      <c r="J512" s="83"/>
      <c r="K512" s="343"/>
      <c r="L512" s="347"/>
      <c r="M512" s="89">
        <v>20</v>
      </c>
      <c r="N512" s="10" t="s">
        <v>315</v>
      </c>
      <c r="O512" s="22">
        <v>8.5</v>
      </c>
      <c r="P512" s="14" t="s">
        <v>319</v>
      </c>
      <c r="Q512" s="83">
        <f>ROUNDUP((((Enginuity!$B$13-1)*Enginuity!$B$7)*2/32.8)*1.1, 0)</f>
        <v>6</v>
      </c>
      <c r="U512" s="104" t="str">
        <f>IF(
  AND(
    TRIM(A512)=TRIM(Enginuity!$A$1),
    TRIM(B512)=TRIM(Enginuity!$A$17),
    Q512&lt;&gt;"",
    Q512&lt;&gt;0,
    OR(
      TRIM(C512)=TRIM(Enginuity!$A$18),
      AND(UPPER(TRIM(M512))="STD", TRIM(B512)=TRIM(Enginuity!$A$17))
    ),
    OR(
      AND(LEFT(P512,5)="1-Way", Enginuity!$B$13=1),
      AND(LEFT(P512,5)="2-Way", OR(Enginuity!$B$13=2, Enginuity!$B$13=4)),
      AND(LEFT(P512,5)="3-Way", OR(Enginuity!$B$13=3, Enginuity!$B$13=6)),
      AND(P512="Inner Centre Jamb", OR(Enginuity!$B$13=4, Enginuity!$B$13=6)),
      AND(
        LEFT(P512,5)&lt;&gt;"1-Way",
        LEFT(P512,5)&lt;&gt;"2-Way",
        LEFT(P512,5)&lt;&gt;"3-Way",
        P512&lt;&gt;"Inner Centre Jamb"
      )
    ),
    IF(OR(Enginuity!$A$1="Frameless Glass",Enginuity!$A$1="Metal Work"),
      AND(TRIM(B512)=TRIM(Enginuity!$A$17),TRIM(C512)=TRIM(Enginuity!$A$18)),
      TRIM(B512)=TRIM(Enginuity!$A$17)
    )
  ),
  ROW(),
  ""
)</f>
        <v/>
      </c>
      <c r="BA512" t="s">
        <v>1378</v>
      </c>
      <c r="BB512">
        <v>1.68</v>
      </c>
    </row>
    <row r="513" spans="1:54" x14ac:dyDescent="0.25">
      <c r="A513" s="10" t="s">
        <v>256</v>
      </c>
      <c r="B513" s="229" t="s">
        <v>90</v>
      </c>
      <c r="C513" s="10" t="s">
        <v>97</v>
      </c>
      <c r="D513" s="14"/>
      <c r="E513" s="157"/>
      <c r="F513" s="10"/>
      <c r="G513" s="17"/>
      <c r="H513" s="10"/>
      <c r="I513" s="17"/>
      <c r="J513" s="83"/>
      <c r="K513" s="343"/>
      <c r="L513" s="347"/>
      <c r="M513" s="89">
        <v>21</v>
      </c>
      <c r="N513" s="10" t="s">
        <v>228</v>
      </c>
      <c r="O513" s="22">
        <v>0.5</v>
      </c>
      <c r="P513" s="14" t="s">
        <v>226</v>
      </c>
      <c r="Q513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513" s="104" t="str">
        <f>IF(
  AND(
    TRIM(A513)=TRIM(Enginuity!$A$1),
    TRIM(B513)=TRIM(Enginuity!$A$17),
    Q513&lt;&gt;"",
    Q513&lt;&gt;0,
    OR(
      TRIM(C513)=TRIM(Enginuity!$A$18),
      AND(UPPER(TRIM(M513))="STD", TRIM(B513)=TRIM(Enginuity!$A$17))
    ),
    OR(
      AND(LEFT(P513,5)="1-Way", Enginuity!$B$13=1),
      AND(LEFT(P513,5)="2-Way", OR(Enginuity!$B$13=2, Enginuity!$B$13=4)),
      AND(LEFT(P513,5)="3-Way", OR(Enginuity!$B$13=3, Enginuity!$B$13=6)),
      AND(P513="Inner Centre Jamb", OR(Enginuity!$B$13=4, Enginuity!$B$13=6)),
      AND(
        LEFT(P513,5)&lt;&gt;"1-Way",
        LEFT(P513,5)&lt;&gt;"2-Way",
        LEFT(P513,5)&lt;&gt;"3-Way",
        P513&lt;&gt;"Inner Centre Jamb"
      )
    ),
    IF(OR(Enginuity!$A$1="Frameless Glass",Enginuity!$A$1="Metal Work"),
      AND(TRIM(B513)=TRIM(Enginuity!$A$17),TRIM(C513)=TRIM(Enginuity!$A$18)),
      TRIM(B513)=TRIM(Enginuity!$A$17)
    )
  ),
  ROW(),
  ""
)</f>
        <v/>
      </c>
      <c r="BA513" t="s">
        <v>1381</v>
      </c>
      <c r="BB513">
        <v>1.68</v>
      </c>
    </row>
    <row r="514" spans="1:54" x14ac:dyDescent="0.25">
      <c r="A514" s="17" t="s">
        <v>256</v>
      </c>
      <c r="B514" s="230"/>
      <c r="C514" s="17"/>
      <c r="D514" s="18"/>
      <c r="E514" s="238"/>
      <c r="F514" s="17"/>
      <c r="G514" s="17"/>
      <c r="H514" s="17"/>
      <c r="I514" s="17"/>
      <c r="J514" s="84"/>
      <c r="K514" s="343"/>
      <c r="L514" s="347"/>
      <c r="M514" s="90"/>
      <c r="N514" s="17"/>
      <c r="O514" s="25"/>
      <c r="P514" s="18"/>
      <c r="Q514" s="84"/>
      <c r="U514" s="104" t="str">
        <f>IF(
  AND(
    TRIM(A514)=TRIM(Enginuity!$A$1),
    TRIM(B514)=TRIM(Enginuity!$A$17),
    Q514&lt;&gt;"",
    Q514&lt;&gt;0,
    OR(
      TRIM(C514)=TRIM(Enginuity!$A$18),
      AND(UPPER(TRIM(M514))="STD", TRIM(B514)=TRIM(Enginuity!$A$17))
    ),
    OR(
      AND(LEFT(P514,5)="1-Way", Enginuity!$B$13=1),
      AND(LEFT(P514,5)="2-Way", OR(Enginuity!$B$13=2, Enginuity!$B$13=4)),
      AND(LEFT(P514,5)="3-Way", OR(Enginuity!$B$13=3, Enginuity!$B$13=6)),
      AND(P514="Inner Centre Jamb", OR(Enginuity!$B$13=4, Enginuity!$B$13=6)),
      AND(
        LEFT(P514,5)&lt;&gt;"1-Way",
        LEFT(P514,5)&lt;&gt;"2-Way",
        LEFT(P514,5)&lt;&gt;"3-Way",
        P514&lt;&gt;"Inner Centre Jamb"
      )
    ),
    IF(OR(Enginuity!$A$1="Frameless Glass",Enginuity!$A$1="Metal Work"),
      AND(TRIM(B514)=TRIM(Enginuity!$A$17),TRIM(C514)=TRIM(Enginuity!$A$18)),
      TRIM(B514)=TRIM(Enginuity!$A$17)
    )
  ),
  ROW(),
  ""
)</f>
        <v/>
      </c>
      <c r="BA514" t="s">
        <v>1380</v>
      </c>
      <c r="BB514">
        <v>1.68</v>
      </c>
    </row>
    <row r="515" spans="1:54" x14ac:dyDescent="0.25">
      <c r="A515" s="10" t="s">
        <v>256</v>
      </c>
      <c r="B515" s="229" t="s">
        <v>324</v>
      </c>
      <c r="C515" s="10" t="s">
        <v>173</v>
      </c>
      <c r="D515" s="14" t="str" cm="1">
        <f t="array" ref="D515:D521">IFERROR(INDEX(_xlfn._xlws.FILTER(AllMaterialsbak!$BA$2:$BA$30, AllMaterialsbak!$BA$2:$BA$30&lt;&gt;""), _xlfn.SEQUENCE(7)), "")</f>
        <v>Default</v>
      </c>
      <c r="E515" s="157"/>
      <c r="F515" s="10"/>
      <c r="G515" s="17"/>
      <c r="H515" s="10"/>
      <c r="I515" s="17"/>
      <c r="J515" s="83"/>
      <c r="K515" s="344">
        <v>0.501</v>
      </c>
      <c r="L515" s="347">
        <v>1200</v>
      </c>
      <c r="M515" s="89">
        <v>22</v>
      </c>
      <c r="N515" s="10" t="s">
        <v>121</v>
      </c>
      <c r="O515" s="22" t="str">
        <f>$O$2</f>
        <v/>
      </c>
      <c r="P515" s="21" t="str">
        <f>Enginuity!$A$19</f>
        <v>W/G</v>
      </c>
      <c r="Q515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515" s="104" t="str">
        <f>IF(
  AND(
    TRIM(A515)=TRIM(Enginuity!$A$1),
    TRIM(B515)=TRIM(Enginuity!$A$17),
    Q515&lt;&gt;"",
    Q515&lt;&gt;0,
    OR(
      TRIM(C515)=TRIM(Enginuity!$A$18),
      AND(UPPER(TRIM(M515))="STD", TRIM(B515)=TRIM(Enginuity!$A$17))
    ),
    OR(
      AND(LEFT(P515,5)="1-Way", Enginuity!$B$13=1),
      AND(LEFT(P515,5)="2-Way", OR(Enginuity!$B$13=2, Enginuity!$B$13=4)),
      AND(LEFT(P515,5)="3-Way", OR(Enginuity!$B$13=3, Enginuity!$B$13=6)),
      AND(P515="Inner Centre Jamb", OR(Enginuity!$B$13=4, Enginuity!$B$13=6)),
      AND(
        LEFT(P515,5)&lt;&gt;"1-Way",
        LEFT(P515,5)&lt;&gt;"2-Way",
        LEFT(P515,5)&lt;&gt;"3-Way",
        P515&lt;&gt;"Inner Centre Jamb"
      )
    ),
    IF(OR(Enginuity!$A$1="Frameless Glass",Enginuity!$A$1="Metal Work"),
      AND(TRIM(B515)=TRIM(Enginuity!$A$17),TRIM(C515)=TRIM(Enginuity!$A$18)),
      TRIM(B515)=TRIM(Enginuity!$A$17)
    )
  ),
  ROW(),
  ""
)</f>
        <v/>
      </c>
      <c r="BA515" t="s">
        <v>1400</v>
      </c>
      <c r="BB515">
        <v>1.99</v>
      </c>
    </row>
    <row r="516" spans="1:54" x14ac:dyDescent="0.25">
      <c r="A516" s="10" t="s">
        <v>256</v>
      </c>
      <c r="B516" s="229" t="s">
        <v>324</v>
      </c>
      <c r="C516" s="10" t="s">
        <v>173</v>
      </c>
      <c r="D516" s="14" t="str">
        <v xml:space="preserve">2" Louver Blade N/A </v>
      </c>
      <c r="E516" s="157"/>
      <c r="F516" s="10"/>
      <c r="G516" s="17"/>
      <c r="H516" s="10"/>
      <c r="I516" s="17"/>
      <c r="J516" s="83"/>
      <c r="K516" s="343"/>
      <c r="L516" s="347"/>
      <c r="M516" s="89">
        <v>23</v>
      </c>
      <c r="N516" s="10" t="s">
        <v>176</v>
      </c>
      <c r="O516" s="22">
        <v>280</v>
      </c>
      <c r="P516" s="14" t="s">
        <v>242</v>
      </c>
      <c r="Q516" s="83">
        <f>Enginuity!$B$13</f>
        <v>7</v>
      </c>
      <c r="U516" s="104" t="str">
        <f>IF(
  AND(
    TRIM(A516)=TRIM(Enginuity!$A$1),
    TRIM(B516)=TRIM(Enginuity!$A$17),
    Q516&lt;&gt;"",
    Q516&lt;&gt;0,
    OR(
      TRIM(C516)=TRIM(Enginuity!$A$18),
      AND(UPPER(TRIM(M516))="STD", TRIM(B516)=TRIM(Enginuity!$A$17))
    ),
    OR(
      AND(LEFT(P516,5)="1-Way", Enginuity!$B$13=1),
      AND(LEFT(P516,5)="2-Way", OR(Enginuity!$B$13=2, Enginuity!$B$13=4)),
      AND(LEFT(P516,5)="3-Way", OR(Enginuity!$B$13=3, Enginuity!$B$13=6)),
      AND(P516="Inner Centre Jamb", OR(Enginuity!$B$13=4, Enginuity!$B$13=6)),
      AND(
        LEFT(P516,5)&lt;&gt;"1-Way",
        LEFT(P516,5)&lt;&gt;"2-Way",
        LEFT(P516,5)&lt;&gt;"3-Way",
        P516&lt;&gt;"Inner Centre Jamb"
      )
    ),
    IF(OR(Enginuity!$A$1="Frameless Glass",Enginuity!$A$1="Metal Work"),
      AND(TRIM(B516)=TRIM(Enginuity!$A$17),TRIM(C516)=TRIM(Enginuity!$A$18)),
      TRIM(B516)=TRIM(Enginuity!$A$17)
    )
  ),
  ROW(),
  ""
)</f>
        <v/>
      </c>
      <c r="BA516" t="s">
        <v>1383</v>
      </c>
      <c r="BB516">
        <v>1.99</v>
      </c>
    </row>
    <row r="517" spans="1:54" x14ac:dyDescent="0.25">
      <c r="A517" s="10" t="s">
        <v>256</v>
      </c>
      <c r="B517" s="229" t="s">
        <v>324</v>
      </c>
      <c r="C517" s="10" t="s">
        <v>173</v>
      </c>
      <c r="D517" s="14" t="str">
        <v>2" Louver Blade P/C</v>
      </c>
      <c r="E517" s="157"/>
      <c r="F517" s="11"/>
      <c r="G517" s="17"/>
      <c r="H517" s="10"/>
      <c r="I517" s="17"/>
      <c r="J517" s="83"/>
      <c r="K517" s="343"/>
      <c r="L517" s="347"/>
      <c r="M517" s="89">
        <v>24</v>
      </c>
      <c r="N517" s="10" t="s">
        <v>111</v>
      </c>
      <c r="O517" s="22">
        <v>55</v>
      </c>
      <c r="P517" s="14" t="s">
        <v>243</v>
      </c>
      <c r="Q517" s="83">
        <f>Enginuity!$B$13</f>
        <v>7</v>
      </c>
      <c r="U517" s="104" t="str">
        <f>IF(
  AND(
    TRIM(A517)=TRIM(Enginuity!$A$1),
    TRIM(B517)=TRIM(Enginuity!$A$17),
    Q517&lt;&gt;"",
    Q517&lt;&gt;0,
    OR(
      TRIM(C517)=TRIM(Enginuity!$A$18),
      AND(UPPER(TRIM(M517))="STD", TRIM(B517)=TRIM(Enginuity!$A$17))
    ),
    OR(
      AND(LEFT(P517,5)="1-Way", Enginuity!$B$13=1),
      AND(LEFT(P517,5)="2-Way", OR(Enginuity!$B$13=2, Enginuity!$B$13=4)),
      AND(LEFT(P517,5)="3-Way", OR(Enginuity!$B$13=3, Enginuity!$B$13=6)),
      AND(P517="Inner Centre Jamb", OR(Enginuity!$B$13=4, Enginuity!$B$13=6)),
      AND(
        LEFT(P517,5)&lt;&gt;"1-Way",
        LEFT(P517,5)&lt;&gt;"2-Way",
        LEFT(P517,5)&lt;&gt;"3-Way",
        P517&lt;&gt;"Inner Centre Jamb"
      )
    ),
    IF(OR(Enginuity!$A$1="Frameless Glass",Enginuity!$A$1="Metal Work"),
      AND(TRIM(B517)=TRIM(Enginuity!$A$17),TRIM(C517)=TRIM(Enginuity!$A$18)),
      TRIM(B517)=TRIM(Enginuity!$A$17)
    )
  ),
  ROW(),
  ""
)</f>
        <v/>
      </c>
      <c r="BA517" t="s">
        <v>1384</v>
      </c>
      <c r="BB517">
        <v>1.99</v>
      </c>
    </row>
    <row r="518" spans="1:54" x14ac:dyDescent="0.25">
      <c r="A518" s="10"/>
      <c r="B518" s="229"/>
      <c r="C518" s="10"/>
      <c r="D518" s="14" t="str">
        <v xml:space="preserve">5" Louver Blade N/A </v>
      </c>
      <c r="E518" s="157"/>
      <c r="F518" s="11"/>
      <c r="G518" s="17"/>
      <c r="H518" s="10"/>
      <c r="I518" s="17"/>
      <c r="J518" s="83"/>
      <c r="K518" s="343"/>
      <c r="L518" s="347"/>
      <c r="M518" s="89"/>
      <c r="N518" s="10"/>
      <c r="O518" s="22"/>
      <c r="P518" s="14"/>
      <c r="Q518" s="83"/>
      <c r="U518" s="104" t="str">
        <f>IF(
  AND(
    TRIM(A518)=TRIM(Enginuity!$A$1),
    TRIM(B518)=TRIM(Enginuity!$A$17),
    Q518&lt;&gt;"",
    Q518&lt;&gt;0,
    OR(
      TRIM(C518)=TRIM(Enginuity!$A$18),
      AND(UPPER(TRIM(M518))="STD", TRIM(B518)=TRIM(Enginuity!$A$17))
    ),
    OR(
      AND(LEFT(P518,5)="1-Way", Enginuity!$B$13=1),
      AND(LEFT(P518,5)="2-Way", OR(Enginuity!$B$13=2, Enginuity!$B$13=4)),
      AND(LEFT(P518,5)="3-Way", OR(Enginuity!$B$13=3, Enginuity!$B$13=6)),
      AND(P518="Inner Centre Jamb", OR(Enginuity!$B$13=4, Enginuity!$B$13=6)),
      AND(
        LEFT(P518,5)&lt;&gt;"1-Way",
        LEFT(P518,5)&lt;&gt;"2-Way",
        LEFT(P518,5)&lt;&gt;"3-Way",
        P518&lt;&gt;"Inner Centre Jamb"
      )
    ),
    IF(OR(Enginuity!$A$1="Frameless Glass",Enginuity!$A$1="Metal Work"),
      AND(TRIM(B518)=TRIM(Enginuity!$A$17),TRIM(C518)=TRIM(Enginuity!$A$18)),
      TRIM(B518)=TRIM(Enginuity!$A$17)
    )
  ),
  ROW(),
  ""
)</f>
        <v/>
      </c>
      <c r="BA518" t="s">
        <v>1386</v>
      </c>
      <c r="BB518">
        <v>1.99</v>
      </c>
    </row>
    <row r="519" spans="1:54" x14ac:dyDescent="0.25">
      <c r="A519" s="10"/>
      <c r="B519" s="229"/>
      <c r="C519" s="10"/>
      <c r="D519" s="14" t="str">
        <v>5" Louver Blade P/C</v>
      </c>
      <c r="E519" s="157"/>
      <c r="F519" s="11"/>
      <c r="G519" s="17"/>
      <c r="H519" s="10"/>
      <c r="I519" s="17"/>
      <c r="J519" s="83"/>
      <c r="K519" s="343"/>
      <c r="L519" s="347"/>
      <c r="M519" s="89"/>
      <c r="N519" s="10"/>
      <c r="O519" s="22"/>
      <c r="P519" s="14"/>
      <c r="Q519" s="83"/>
      <c r="U519" s="104" t="str">
        <f>IF(
  AND(
    TRIM(A519)=TRIM(Enginuity!$A$1),
    TRIM(B519)=TRIM(Enginuity!$A$17),
    Q519&lt;&gt;"",
    Q519&lt;&gt;0,
    OR(
      TRIM(C519)=TRIM(Enginuity!$A$18),
      AND(UPPER(TRIM(M519))="STD", TRIM(B519)=TRIM(Enginuity!$A$17))
    ),
    OR(
      AND(LEFT(P519,5)="1-Way", Enginuity!$B$13=1),
      AND(LEFT(P519,5)="2-Way", OR(Enginuity!$B$13=2, Enginuity!$B$13=4)),
      AND(LEFT(P519,5)="3-Way", OR(Enginuity!$B$13=3, Enginuity!$B$13=6)),
      AND(P519="Inner Centre Jamb", OR(Enginuity!$B$13=4, Enginuity!$B$13=6)),
      AND(
        LEFT(P519,5)&lt;&gt;"1-Way",
        LEFT(P519,5)&lt;&gt;"2-Way",
        LEFT(P519,5)&lt;&gt;"3-Way",
        P519&lt;&gt;"Inner Centre Jamb"
      )
    ),
    IF(OR(Enginuity!$A$1="Frameless Glass",Enginuity!$A$1="Metal Work"),
      AND(TRIM(B519)=TRIM(Enginuity!$A$17),TRIM(C519)=TRIM(Enginuity!$A$18)),
      TRIM(B519)=TRIM(Enginuity!$A$17)
    )
  ),
  ROW(),
  ""
)</f>
        <v/>
      </c>
      <c r="BA519" t="s">
        <v>1385</v>
      </c>
      <c r="BB519">
        <v>1.99</v>
      </c>
    </row>
    <row r="520" spans="1:54" x14ac:dyDescent="0.25">
      <c r="A520" s="10"/>
      <c r="B520" s="229"/>
      <c r="C520" s="10"/>
      <c r="D520" s="14" t="str">
        <v/>
      </c>
      <c r="E520" s="157"/>
      <c r="F520" s="11"/>
      <c r="G520" s="17"/>
      <c r="H520" s="10"/>
      <c r="I520" s="17"/>
      <c r="J520" s="83"/>
      <c r="K520" s="343"/>
      <c r="L520" s="347"/>
      <c r="M520" s="89"/>
      <c r="N520" s="10"/>
      <c r="O520" s="22"/>
      <c r="P520" s="14"/>
      <c r="Q520" s="83"/>
      <c r="U520" s="104" t="str">
        <f>IF(
  AND(
    TRIM(A520)=TRIM(Enginuity!$A$1),
    TRIM(B520)=TRIM(Enginuity!$A$17),
    Q520&lt;&gt;"",
    Q520&lt;&gt;0,
    OR(
      TRIM(C520)=TRIM(Enginuity!$A$18),
      AND(UPPER(TRIM(M520))="STD", TRIM(B520)=TRIM(Enginuity!$A$17))
    ),
    OR(
      AND(LEFT(P520,5)="1-Way", Enginuity!$B$13=1),
      AND(LEFT(P520,5)="2-Way", OR(Enginuity!$B$13=2, Enginuity!$B$13=4)),
      AND(LEFT(P520,5)="3-Way", OR(Enginuity!$B$13=3, Enginuity!$B$13=6)),
      AND(P520="Inner Centre Jamb", OR(Enginuity!$B$13=4, Enginuity!$B$13=6)),
      AND(
        LEFT(P520,5)&lt;&gt;"1-Way",
        LEFT(P520,5)&lt;&gt;"2-Way",
        LEFT(P520,5)&lt;&gt;"3-Way",
        P520&lt;&gt;"Inner Centre Jamb"
      )
    ),
    IF(OR(Enginuity!$A$1="Frameless Glass",Enginuity!$A$1="Metal Work"),
      AND(TRIM(B520)=TRIM(Enginuity!$A$17),TRIM(C520)=TRIM(Enginuity!$A$18)),
      TRIM(B520)=TRIM(Enginuity!$A$17)
    )
  ),
  ROW(),
  ""
)</f>
        <v/>
      </c>
      <c r="BA520" t="s">
        <v>1387</v>
      </c>
      <c r="BB520">
        <v>2.1800000000000002</v>
      </c>
    </row>
    <row r="521" spans="1:54" x14ac:dyDescent="0.25">
      <c r="A521" s="10"/>
      <c r="B521" s="229"/>
      <c r="C521" s="10"/>
      <c r="D521" s="14" t="str">
        <v/>
      </c>
      <c r="E521" s="157"/>
      <c r="F521" s="11"/>
      <c r="G521" s="17"/>
      <c r="H521" s="10"/>
      <c r="I521" s="17"/>
      <c r="J521" s="83"/>
      <c r="K521" s="343"/>
      <c r="L521" s="347"/>
      <c r="M521" s="89"/>
      <c r="N521" s="10"/>
      <c r="O521" s="22"/>
      <c r="P521" s="14"/>
      <c r="Q521" s="97"/>
      <c r="U521" s="104" t="str">
        <f>IF(
  AND(
    TRIM(A521)=TRIM(Enginuity!$A$1),
    TRIM(B521)=TRIM(Enginuity!$A$17),
    Q521&lt;&gt;"",
    Q521&lt;&gt;0,
    OR(
      TRIM(C521)=TRIM(Enginuity!$A$18),
      AND(UPPER(TRIM(M521))="STD", TRIM(B521)=TRIM(Enginuity!$A$17))
    ),
    OR(
      AND(LEFT(P521,5)="1-Way", Enginuity!$B$13=1),
      AND(LEFT(P521,5)="2-Way", OR(Enginuity!$B$13=2, Enginuity!$B$13=4)),
      AND(LEFT(P521,5)="3-Way", OR(Enginuity!$B$13=3, Enginuity!$B$13=6)),
      AND(P521="Inner Centre Jamb", OR(Enginuity!$B$13=4, Enginuity!$B$13=6)),
      AND(
        LEFT(P521,5)&lt;&gt;"1-Way",
        LEFT(P521,5)&lt;&gt;"2-Way",
        LEFT(P521,5)&lt;&gt;"3-Way",
        P521&lt;&gt;"Inner Centre Jamb"
      )
    ),
    IF(OR(Enginuity!$A$1="Frameless Glass",Enginuity!$A$1="Metal Work"),
      AND(TRIM(B521)=TRIM(Enginuity!$A$17),TRIM(C521)=TRIM(Enginuity!$A$18)),
      TRIM(B521)=TRIM(Enginuity!$A$17)
    )
  ),
  ROW(),
  ""
)</f>
        <v/>
      </c>
      <c r="BA521" t="s">
        <v>1388</v>
      </c>
      <c r="BB521">
        <v>2.1800000000000002</v>
      </c>
    </row>
    <row r="522" spans="1:54" x14ac:dyDescent="0.25">
      <c r="A522" s="10"/>
      <c r="B522" s="229"/>
      <c r="C522" s="10"/>
      <c r="D522" s="14"/>
      <c r="E522" s="157"/>
      <c r="F522" s="10"/>
      <c r="G522" s="17"/>
      <c r="H522" s="10"/>
      <c r="I522" s="17"/>
      <c r="J522" s="83"/>
      <c r="K522" s="343"/>
      <c r="L522" s="347"/>
      <c r="M522" s="89"/>
      <c r="N522" s="10"/>
      <c r="O522" s="22"/>
      <c r="P522" s="14"/>
      <c r="Q522" s="97"/>
      <c r="U522" s="104" t="str">
        <f>IF(
  AND(
    TRIM(A522)=TRIM(Enginuity!$A$1),
    TRIM(B522)=TRIM(Enginuity!$A$17),
    Q522&lt;&gt;"",
    Q522&lt;&gt;0,
    OR(
      TRIM(C522)=TRIM(Enginuity!$A$18),
      AND(UPPER(TRIM(M522))="STD", TRIM(B522)=TRIM(Enginuity!$A$17))
    ),
    OR(
      AND(LEFT(P522,5)="1-Way", Enginuity!$B$13=1),
      AND(LEFT(P522,5)="2-Way", OR(Enginuity!$B$13=2, Enginuity!$B$13=4)),
      AND(LEFT(P522,5)="3-Way", OR(Enginuity!$B$13=3, Enginuity!$B$13=6)),
      AND(P522="Inner Centre Jamb", OR(Enginuity!$B$13=4, Enginuity!$B$13=6)),
      AND(
        LEFT(P522,5)&lt;&gt;"1-Way",
        LEFT(P522,5)&lt;&gt;"2-Way",
        LEFT(P522,5)&lt;&gt;"3-Way",
        P522&lt;&gt;"Inner Centre Jamb"
      )
    ),
    IF(OR(Enginuity!$A$1="Frameless Glass",Enginuity!$A$1="Metal Work"),
      AND(TRIM(B522)=TRIM(Enginuity!$A$17),TRIM(C522)=TRIM(Enginuity!$A$18)),
      TRIM(B522)=TRIM(Enginuity!$A$17)
    )
  ),
  ROW(),
  ""
)</f>
        <v/>
      </c>
      <c r="BA522" t="s">
        <v>1392</v>
      </c>
      <c r="BB522">
        <v>2.2799999999999998</v>
      </c>
    </row>
    <row r="523" spans="1:54" x14ac:dyDescent="0.25">
      <c r="A523" s="10"/>
      <c r="B523" s="229"/>
      <c r="C523" s="10"/>
      <c r="D523" s="14"/>
      <c r="E523" s="157"/>
      <c r="F523" s="10"/>
      <c r="G523" s="17"/>
      <c r="H523" s="10"/>
      <c r="I523" s="17"/>
      <c r="J523" s="83"/>
      <c r="K523" s="343"/>
      <c r="L523" s="347"/>
      <c r="M523" s="89"/>
      <c r="N523" s="10"/>
      <c r="O523" s="22"/>
      <c r="P523" s="21"/>
      <c r="Q523" s="83"/>
      <c r="U523" s="104" t="str">
        <f>IF(
  AND(
    TRIM(A523)=TRIM(Enginuity!$A$1),
    TRIM(B523)=TRIM(Enginuity!$A$17),
    Q523&lt;&gt;"",
    Q523&lt;&gt;0,
    OR(
      TRIM(C523)=TRIM(Enginuity!$A$18),
      AND(UPPER(TRIM(M523))="STD", TRIM(B523)=TRIM(Enginuity!$A$17))
    ),
    OR(
      AND(LEFT(P523,5)="1-Way", Enginuity!$B$13=1),
      AND(LEFT(P523,5)="2-Way", OR(Enginuity!$B$13=2, Enginuity!$B$13=4)),
      AND(LEFT(P523,5)="3-Way", OR(Enginuity!$B$13=3, Enginuity!$B$13=6)),
      AND(P523="Inner Centre Jamb", OR(Enginuity!$B$13=4, Enginuity!$B$13=6)),
      AND(
        LEFT(P523,5)&lt;&gt;"1-Way",
        LEFT(P523,5)&lt;&gt;"2-Way",
        LEFT(P523,5)&lt;&gt;"3-Way",
        P523&lt;&gt;"Inner Centre Jamb"
      )
    ),
    IF(OR(Enginuity!$A$1="Frameless Glass",Enginuity!$A$1="Metal Work"),
      AND(TRIM(B523)=TRIM(Enginuity!$A$17),TRIM(C523)=TRIM(Enginuity!$A$18)),
      TRIM(B523)=TRIM(Enginuity!$A$17)
    )
  ),
  ROW(),
  ""
)</f>
        <v/>
      </c>
      <c r="BA523" t="s">
        <v>1390</v>
      </c>
      <c r="BB523">
        <v>2.2799999999999998</v>
      </c>
    </row>
    <row r="524" spans="1:54" x14ac:dyDescent="0.25">
      <c r="A524" s="10"/>
      <c r="B524" s="229"/>
      <c r="C524" s="10"/>
      <c r="D524" s="14"/>
      <c r="E524" s="157"/>
      <c r="F524" s="10"/>
      <c r="G524" s="17"/>
      <c r="H524" s="10"/>
      <c r="I524" s="17"/>
      <c r="J524" s="83"/>
      <c r="K524" s="343"/>
      <c r="L524" s="347"/>
      <c r="M524" s="89"/>
      <c r="N524" s="10"/>
      <c r="O524" s="22"/>
      <c r="P524" s="14"/>
      <c r="Q524" s="83"/>
      <c r="U524" s="104" t="str">
        <f>IF(
  AND(
    TRIM(A524)=TRIM(Enginuity!$A$1),
    TRIM(B524)=TRIM(Enginuity!$A$17),
    Q524&lt;&gt;"",
    Q524&lt;&gt;0,
    OR(
      TRIM(C524)=TRIM(Enginuity!$A$18),
      AND(UPPER(TRIM(M524))="STD", TRIM(B524)=TRIM(Enginuity!$A$17))
    ),
    OR(
      AND(LEFT(P524,5)="1-Way", Enginuity!$B$13=1),
      AND(LEFT(P524,5)="2-Way", OR(Enginuity!$B$13=2, Enginuity!$B$13=4)),
      AND(LEFT(P524,5)="3-Way", OR(Enginuity!$B$13=3, Enginuity!$B$13=6)),
      AND(P524="Inner Centre Jamb", OR(Enginuity!$B$13=4, Enginuity!$B$13=6)),
      AND(
        LEFT(P524,5)&lt;&gt;"1-Way",
        LEFT(P524,5)&lt;&gt;"2-Way",
        LEFT(P524,5)&lt;&gt;"3-Way",
        P524&lt;&gt;"Inner Centre Jamb"
      )
    ),
    IF(OR(Enginuity!$A$1="Frameless Glass",Enginuity!$A$1="Metal Work"),
      AND(TRIM(B524)=TRIM(Enginuity!$A$17),TRIM(C524)=TRIM(Enginuity!$A$18)),
      TRIM(B524)=TRIM(Enginuity!$A$17)
    )
  ),
  ROW(),
  ""
)</f>
        <v/>
      </c>
      <c r="BA524" t="s">
        <v>1389</v>
      </c>
      <c r="BB524">
        <v>2.2799999999999998</v>
      </c>
    </row>
    <row r="525" spans="1:54" x14ac:dyDescent="0.25">
      <c r="A525" s="10"/>
      <c r="B525" s="229"/>
      <c r="C525" s="10"/>
      <c r="D525" s="14"/>
      <c r="E525" s="157"/>
      <c r="F525" s="10"/>
      <c r="G525" s="17"/>
      <c r="H525" s="10"/>
      <c r="I525" s="17"/>
      <c r="J525" s="83"/>
      <c r="K525" s="343"/>
      <c r="L525" s="347"/>
      <c r="M525" s="89"/>
      <c r="N525" s="10"/>
      <c r="O525" s="22"/>
      <c r="P525" s="14"/>
      <c r="Q525" s="83"/>
      <c r="U525" s="104" t="str">
        <f>IF(
  AND(
    TRIM(A525)=TRIM(Enginuity!$A$1),
    TRIM(B525)=TRIM(Enginuity!$A$17),
    Q525&lt;&gt;"",
    Q525&lt;&gt;0,
    OR(
      TRIM(C525)=TRIM(Enginuity!$A$18),
      AND(UPPER(TRIM(M525))="STD", TRIM(B525)=TRIM(Enginuity!$A$17))
    ),
    OR(
      AND(LEFT(P525,5)="1-Way", Enginuity!$B$13=1),
      AND(LEFT(P525,5)="2-Way", OR(Enginuity!$B$13=2, Enginuity!$B$13=4)),
      AND(LEFT(P525,5)="3-Way", OR(Enginuity!$B$13=3, Enginuity!$B$13=6)),
      AND(P525="Inner Centre Jamb", OR(Enginuity!$B$13=4, Enginuity!$B$13=6)),
      AND(
        LEFT(P525,5)&lt;&gt;"1-Way",
        LEFT(P525,5)&lt;&gt;"2-Way",
        LEFT(P525,5)&lt;&gt;"3-Way",
        P525&lt;&gt;"Inner Centre Jamb"
      )
    ),
    IF(OR(Enginuity!$A$1="Frameless Glass",Enginuity!$A$1="Metal Work"),
      AND(TRIM(B525)=TRIM(Enginuity!$A$17),TRIM(C525)=TRIM(Enginuity!$A$18)),
      TRIM(B525)=TRIM(Enginuity!$A$17)
    )
  ),
  ROW(),
  ""
)</f>
        <v/>
      </c>
      <c r="BA525" t="s">
        <v>1391</v>
      </c>
      <c r="BB525">
        <v>2.2799999999999998</v>
      </c>
    </row>
    <row r="526" spans="1:54" x14ac:dyDescent="0.25">
      <c r="A526" s="10"/>
      <c r="B526" s="229"/>
      <c r="C526" s="10"/>
      <c r="D526" s="14"/>
      <c r="E526" s="157"/>
      <c r="F526" s="10"/>
      <c r="G526" s="17"/>
      <c r="H526" s="10"/>
      <c r="I526" s="17"/>
      <c r="J526" s="83"/>
      <c r="K526" s="343"/>
      <c r="L526" s="347"/>
      <c r="M526" s="89"/>
      <c r="N526" s="10"/>
      <c r="O526" s="22"/>
      <c r="P526" s="14"/>
      <c r="Q526" s="83"/>
      <c r="U526" s="104" t="str">
        <f>IF(
  AND(
    TRIM(A526)=TRIM(Enginuity!$A$1),
    TRIM(B526)=TRIM(Enginuity!$A$17),
    Q526&lt;&gt;"",
    Q526&lt;&gt;0,
    OR(
      TRIM(C526)=TRIM(Enginuity!$A$18),
      AND(UPPER(TRIM(M526))="STD", TRIM(B526)=TRIM(Enginuity!$A$17))
    ),
    OR(
      AND(LEFT(P526,5)="1-Way", Enginuity!$B$13=1),
      AND(LEFT(P526,5)="2-Way", OR(Enginuity!$B$13=2, Enginuity!$B$13=4)),
      AND(LEFT(P526,5)="3-Way", OR(Enginuity!$B$13=3, Enginuity!$B$13=6)),
      AND(P526="Inner Centre Jamb", OR(Enginuity!$B$13=4, Enginuity!$B$13=6)),
      AND(
        LEFT(P526,5)&lt;&gt;"1-Way",
        LEFT(P526,5)&lt;&gt;"2-Way",
        LEFT(P526,5)&lt;&gt;"3-Way",
        P526&lt;&gt;"Inner Centre Jamb"
      )
    ),
    IF(OR(Enginuity!$A$1="Frameless Glass",Enginuity!$A$1="Metal Work"),
      AND(TRIM(B526)=TRIM(Enginuity!$A$17),TRIM(C526)=TRIM(Enginuity!$A$18)),
      TRIM(B526)=TRIM(Enginuity!$A$17)
    )
  ),
  ROW(),
  ""
)</f>
        <v/>
      </c>
      <c r="BA526" t="s">
        <v>1393</v>
      </c>
      <c r="BB526">
        <v>2.2799999999999998</v>
      </c>
    </row>
    <row r="527" spans="1:54" x14ac:dyDescent="0.25">
      <c r="A527" s="10"/>
      <c r="B527" s="229"/>
      <c r="C527" s="10"/>
      <c r="D527" s="14"/>
      <c r="E527" s="157"/>
      <c r="F527" s="10"/>
      <c r="G527" s="17"/>
      <c r="H527" s="10"/>
      <c r="I527" s="17"/>
      <c r="J527" s="83"/>
      <c r="K527" s="343"/>
      <c r="L527" s="347"/>
      <c r="M527" s="89"/>
      <c r="N527" s="10"/>
      <c r="O527" s="22"/>
      <c r="P527" s="14"/>
      <c r="Q527" s="83"/>
      <c r="U527" s="104" t="str">
        <f>IF(
  AND(
    TRIM(A527)=TRIM(Enginuity!$A$1),
    TRIM(B527)=TRIM(Enginuity!$A$17),
    Q527&lt;&gt;"",
    Q527&lt;&gt;0,
    OR(
      TRIM(C527)=TRIM(Enginuity!$A$18),
      AND(UPPER(TRIM(M527))="STD", TRIM(B527)=TRIM(Enginuity!$A$17))
    ),
    OR(
      AND(LEFT(P527,5)="1-Way", Enginuity!$B$13=1),
      AND(LEFT(P527,5)="2-Way", OR(Enginuity!$B$13=2, Enginuity!$B$13=4)),
      AND(LEFT(P527,5)="3-Way", OR(Enginuity!$B$13=3, Enginuity!$B$13=6)),
      AND(P527="Inner Centre Jamb", OR(Enginuity!$B$13=4, Enginuity!$B$13=6)),
      AND(
        LEFT(P527,5)&lt;&gt;"1-Way",
        LEFT(P527,5)&lt;&gt;"2-Way",
        LEFT(P527,5)&lt;&gt;"3-Way",
        P527&lt;&gt;"Inner Centre Jamb"
      )
    ),
    IF(OR(Enginuity!$A$1="Frameless Glass",Enginuity!$A$1="Metal Work"),
      AND(TRIM(B527)=TRIM(Enginuity!$A$17),TRIM(C527)=TRIM(Enginuity!$A$18)),
      TRIM(B527)=TRIM(Enginuity!$A$17)
    )
  ),
  ROW(),
  ""
)</f>
        <v/>
      </c>
      <c r="BA527" t="s">
        <v>1394</v>
      </c>
      <c r="BB527">
        <v>2.48</v>
      </c>
    </row>
    <row r="528" spans="1:54" x14ac:dyDescent="0.25">
      <c r="A528" s="10"/>
      <c r="B528" s="229"/>
      <c r="C528" s="10"/>
      <c r="D528" s="14"/>
      <c r="E528" s="157"/>
      <c r="F528" s="11"/>
      <c r="G528" s="17"/>
      <c r="H528" s="10"/>
      <c r="I528" s="17"/>
      <c r="J528" s="83"/>
      <c r="K528" s="343"/>
      <c r="L528" s="347"/>
      <c r="M528" s="89"/>
      <c r="N528" s="256"/>
      <c r="O528" s="22"/>
      <c r="P528" s="36"/>
      <c r="Q528" s="83"/>
      <c r="U528" s="104" t="str">
        <f>IF(
  AND(
    TRIM(A528)=TRIM(Enginuity!$A$1),
    TRIM(B528)=TRIM(Enginuity!$A$17),
    Q528&lt;&gt;"",
    Q528&lt;&gt;0,
    OR(
      TRIM(C528)=TRIM(Enginuity!$A$18),
      AND(UPPER(TRIM(M528))="STD", TRIM(B528)=TRIM(Enginuity!$A$17))
    ),
    OR(
      AND(LEFT(P528,5)="1-Way", Enginuity!$B$13=1),
      AND(LEFT(P528,5)="2-Way", OR(Enginuity!$B$13=2, Enginuity!$B$13=4)),
      AND(LEFT(P528,5)="3-Way", OR(Enginuity!$B$13=3, Enginuity!$B$13=6)),
      AND(P528="Inner Centre Jamb", OR(Enginuity!$B$13=4, Enginuity!$B$13=6)),
      AND(
        LEFT(P528,5)&lt;&gt;"1-Way",
        LEFT(P528,5)&lt;&gt;"2-Way",
        LEFT(P528,5)&lt;&gt;"3-Way",
        P528&lt;&gt;"Inner Centre Jamb"
      )
    ),
    IF(OR(Enginuity!$A$1="Frameless Glass",Enginuity!$A$1="Metal Work"),
      AND(TRIM(B528)=TRIM(Enginuity!$A$17),TRIM(C528)=TRIM(Enginuity!$A$18)),
      TRIM(B528)=TRIM(Enginuity!$A$17)
    )
  ),
  ROW(),
  ""
)</f>
        <v/>
      </c>
      <c r="BA528" t="s">
        <v>1395</v>
      </c>
      <c r="BB528">
        <v>2.48</v>
      </c>
    </row>
    <row r="529" spans="1:54" x14ac:dyDescent="0.25">
      <c r="A529" s="10"/>
      <c r="B529" s="229"/>
      <c r="C529" s="10"/>
      <c r="D529" s="14"/>
      <c r="E529" s="157"/>
      <c r="F529" s="11"/>
      <c r="G529" s="17"/>
      <c r="H529" s="10"/>
      <c r="I529" s="17"/>
      <c r="J529" s="83"/>
      <c r="K529" s="344"/>
      <c r="L529" s="347"/>
      <c r="M529" s="89"/>
      <c r="N529" s="10"/>
      <c r="O529" s="22"/>
      <c r="P529" s="14"/>
      <c r="Q529" s="83"/>
      <c r="U529" s="104" t="str">
        <f>IF(
  AND(
    TRIM(A529)=TRIM(Enginuity!$A$1),
    TRIM(B529)=TRIM(Enginuity!$A$17),
    Q529&lt;&gt;"",
    Q529&lt;&gt;0,
    OR(
      TRIM(C529)=TRIM(Enginuity!$A$18),
      AND(UPPER(TRIM(M529))="STD", TRIM(B529)=TRIM(Enginuity!$A$17))
    ),
    OR(
      AND(LEFT(P529,5)="1-Way", Enginuity!$B$13=1),
      AND(LEFT(P529,5)="2-Way", OR(Enginuity!$B$13=2, Enginuity!$B$13=4)),
      AND(LEFT(P529,5)="3-Way", OR(Enginuity!$B$13=3, Enginuity!$B$13=6)),
      AND(P529="Inner Centre Jamb", OR(Enginuity!$B$13=4, Enginuity!$B$13=6)),
      AND(
        LEFT(P529,5)&lt;&gt;"1-Way",
        LEFT(P529,5)&lt;&gt;"2-Way",
        LEFT(P529,5)&lt;&gt;"3-Way",
        P529&lt;&gt;"Inner Centre Jamb"
      )
    ),
    IF(OR(Enginuity!$A$1="Frameless Glass",Enginuity!$A$1="Metal Work"),
      AND(TRIM(B529)=TRIM(Enginuity!$A$17),TRIM(C529)=TRIM(Enginuity!$A$18)),
      TRIM(B529)=TRIM(Enginuity!$A$17)
    )
  ),
  ROW(),
  ""
)</f>
        <v/>
      </c>
      <c r="BA529" t="s">
        <v>1401</v>
      </c>
      <c r="BB529">
        <v>2.59</v>
      </c>
    </row>
    <row r="530" spans="1:54" x14ac:dyDescent="0.25">
      <c r="A530" s="10"/>
      <c r="B530" s="229"/>
      <c r="C530" s="10"/>
      <c r="D530" s="14"/>
      <c r="E530" s="157"/>
      <c r="F530" s="11"/>
      <c r="G530" s="17"/>
      <c r="H530" s="10"/>
      <c r="I530" s="17"/>
      <c r="J530" s="83"/>
      <c r="K530" s="343"/>
      <c r="L530" s="347"/>
      <c r="M530" s="89"/>
      <c r="N530" s="10"/>
      <c r="O530" s="22"/>
      <c r="P530" s="14"/>
      <c r="Q530" s="83"/>
      <c r="U530" s="104" t="str">
        <f>IF(
  AND(
    TRIM(A530)=TRIM(Enginuity!$A$1),
    TRIM(B530)=TRIM(Enginuity!$A$17),
    Q530&lt;&gt;"",
    Q530&lt;&gt;0,
    OR(
      TRIM(C530)=TRIM(Enginuity!$A$18),
      AND(UPPER(TRIM(M530))="STD", TRIM(B530)=TRIM(Enginuity!$A$17))
    ),
    OR(
      AND(LEFT(P530,5)="1-Way", Enginuity!$B$13=1),
      AND(LEFT(P530,5)="2-Way", OR(Enginuity!$B$13=2, Enginuity!$B$13=4)),
      AND(LEFT(P530,5)="3-Way", OR(Enginuity!$B$13=3, Enginuity!$B$13=6)),
      AND(P530="Inner Centre Jamb", OR(Enginuity!$B$13=4, Enginuity!$B$13=6)),
      AND(
        LEFT(P530,5)&lt;&gt;"1-Way",
        LEFT(P530,5)&lt;&gt;"2-Way",
        LEFT(P530,5)&lt;&gt;"3-Way",
        P530&lt;&gt;"Inner Centre Jamb"
      )
    ),
    IF(OR(Enginuity!$A$1="Frameless Glass",Enginuity!$A$1="Metal Work"),
      AND(TRIM(B530)=TRIM(Enginuity!$A$17),TRIM(C530)=TRIM(Enginuity!$A$18)),
      TRIM(B530)=TRIM(Enginuity!$A$17)
    )
  ),
  ROW(),
  ""
)</f>
        <v/>
      </c>
      <c r="BA530" t="s">
        <v>1396</v>
      </c>
      <c r="BB530">
        <v>2.88</v>
      </c>
    </row>
    <row r="531" spans="1:54" x14ac:dyDescent="0.25">
      <c r="A531" s="10"/>
      <c r="B531" s="229"/>
      <c r="C531" s="10"/>
      <c r="D531" s="14"/>
      <c r="E531" s="157"/>
      <c r="F531" s="11"/>
      <c r="G531" s="17"/>
      <c r="H531" s="10"/>
      <c r="I531" s="17"/>
      <c r="J531" s="83"/>
      <c r="K531" s="343"/>
      <c r="L531" s="347"/>
      <c r="M531" s="89"/>
      <c r="N531" s="10"/>
      <c r="O531" s="22"/>
      <c r="P531" s="14"/>
      <c r="Q531" s="83"/>
      <c r="U531" s="104" t="str">
        <f>IF(
  AND(
    TRIM(A531)=TRIM(Enginuity!$A$1),
    TRIM(B531)=TRIM(Enginuity!$A$17),
    Q531&lt;&gt;"",
    Q531&lt;&gt;0,
    OR(
      TRIM(C531)=TRIM(Enginuity!$A$18),
      AND(UPPER(TRIM(M531))="STD", TRIM(B531)=TRIM(Enginuity!$A$17))
    ),
    OR(
      AND(LEFT(P531,5)="1-Way", Enginuity!$B$13=1),
      AND(LEFT(P531,5)="2-Way", OR(Enginuity!$B$13=2, Enginuity!$B$13=4)),
      AND(LEFT(P531,5)="3-Way", OR(Enginuity!$B$13=3, Enginuity!$B$13=6)),
      AND(P531="Inner Centre Jamb", OR(Enginuity!$B$13=4, Enginuity!$B$13=6)),
      AND(
        LEFT(P531,5)&lt;&gt;"1-Way",
        LEFT(P531,5)&lt;&gt;"2-Way",
        LEFT(P531,5)&lt;&gt;"3-Way",
        P531&lt;&gt;"Inner Centre Jamb"
      )
    ),
    IF(OR(Enginuity!$A$1="Frameless Glass",Enginuity!$A$1="Metal Work"),
      AND(TRIM(B531)=TRIM(Enginuity!$A$17),TRIM(C531)=TRIM(Enginuity!$A$18)),
      TRIM(B531)=TRIM(Enginuity!$A$17)
    )
  ),
  ROW(),
  ""
)</f>
        <v/>
      </c>
    </row>
    <row r="532" spans="1:54" x14ac:dyDescent="0.25">
      <c r="A532" s="10"/>
      <c r="B532" s="229"/>
      <c r="C532" s="10"/>
      <c r="D532" s="14"/>
      <c r="E532" s="157"/>
      <c r="F532" s="10"/>
      <c r="G532" s="17"/>
      <c r="H532" s="10"/>
      <c r="I532" s="17"/>
      <c r="J532" s="83"/>
      <c r="K532" s="343"/>
      <c r="L532" s="347"/>
      <c r="M532" s="89"/>
      <c r="N532" s="10"/>
      <c r="O532" s="22"/>
      <c r="P532" s="21"/>
      <c r="Q532" s="83"/>
      <c r="U532" s="104" t="str">
        <f>IF(
  AND(
    TRIM(A532)=TRIM(Enginuity!$A$1),
    TRIM(B532)=TRIM(Enginuity!$A$17),
    Q532&lt;&gt;"",
    Q532&lt;&gt;0,
    OR(
      TRIM(C532)=TRIM(Enginuity!$A$18),
      AND(UPPER(TRIM(M532))="STD", TRIM(B532)=TRIM(Enginuity!$A$17))
    ),
    OR(
      AND(LEFT(P532,5)="1-Way", Enginuity!$B$13=1),
      AND(LEFT(P532,5)="2-Way", OR(Enginuity!$B$13=2, Enginuity!$B$13=4)),
      AND(LEFT(P532,5)="3-Way", OR(Enginuity!$B$13=3, Enginuity!$B$13=6)),
      AND(P532="Inner Centre Jamb", OR(Enginuity!$B$13=4, Enginuity!$B$13=6)),
      AND(
        LEFT(P532,5)&lt;&gt;"1-Way",
        LEFT(P532,5)&lt;&gt;"2-Way",
        LEFT(P532,5)&lt;&gt;"3-Way",
        P532&lt;&gt;"Inner Centre Jamb"
      )
    ),
    IF(OR(Enginuity!$A$1="Frameless Glass",Enginuity!$A$1="Metal Work"),
      AND(TRIM(B532)=TRIM(Enginuity!$A$17),TRIM(C532)=TRIM(Enginuity!$A$18)),
      TRIM(B532)=TRIM(Enginuity!$A$17)
    )
  ),
  ROW(),
  ""
)</f>
        <v/>
      </c>
    </row>
    <row r="533" spans="1:54" x14ac:dyDescent="0.25">
      <c r="A533" s="10"/>
      <c r="B533" s="229"/>
      <c r="C533" s="10"/>
      <c r="D533" s="14"/>
      <c r="E533" s="157"/>
      <c r="F533" s="10"/>
      <c r="G533" s="17"/>
      <c r="H533" s="10"/>
      <c r="I533" s="17"/>
      <c r="J533" s="83"/>
      <c r="K533" s="343"/>
      <c r="L533" s="347"/>
      <c r="M533" s="89"/>
      <c r="N533" s="10"/>
      <c r="O533" s="22"/>
      <c r="P533" s="14"/>
      <c r="Q533" s="83"/>
      <c r="U533" s="104" t="str">
        <f>IF(
  AND(
    TRIM(A533)=TRIM(Enginuity!$A$1),
    TRIM(B533)=TRIM(Enginuity!$A$17),
    Q533&lt;&gt;"",
    Q533&lt;&gt;0,
    OR(
      TRIM(C533)=TRIM(Enginuity!$A$18),
      AND(UPPER(TRIM(M533))="STD", TRIM(B533)=TRIM(Enginuity!$A$17))
    ),
    OR(
      AND(LEFT(P533,5)="1-Way", Enginuity!$B$13=1),
      AND(LEFT(P533,5)="2-Way", OR(Enginuity!$B$13=2, Enginuity!$B$13=4)),
      AND(LEFT(P533,5)="3-Way", OR(Enginuity!$B$13=3, Enginuity!$B$13=6)),
      AND(P533="Inner Centre Jamb", OR(Enginuity!$B$13=4, Enginuity!$B$13=6)),
      AND(
        LEFT(P533,5)&lt;&gt;"1-Way",
        LEFT(P533,5)&lt;&gt;"2-Way",
        LEFT(P533,5)&lt;&gt;"3-Way",
        P533&lt;&gt;"Inner Centre Jamb"
      )
    ),
    IF(OR(Enginuity!$A$1="Frameless Glass",Enginuity!$A$1="Metal Work"),
      AND(TRIM(B533)=TRIM(Enginuity!$A$17),TRIM(C533)=TRIM(Enginuity!$A$18)),
      TRIM(B533)=TRIM(Enginuity!$A$17)
    )
  ),
  ROW(),
  ""
)</f>
        <v/>
      </c>
    </row>
    <row r="534" spans="1:54" x14ac:dyDescent="0.25">
      <c r="A534" s="10"/>
      <c r="B534" s="229"/>
      <c r="C534" s="10"/>
      <c r="D534" s="14"/>
      <c r="E534" s="157"/>
      <c r="F534" s="10"/>
      <c r="G534" s="17"/>
      <c r="H534" s="10"/>
      <c r="I534" s="17"/>
      <c r="J534" s="83"/>
      <c r="K534" s="343"/>
      <c r="L534" s="347"/>
      <c r="M534" s="89"/>
      <c r="N534" s="10"/>
      <c r="O534" s="22"/>
      <c r="P534" s="14"/>
      <c r="Q534" s="83"/>
      <c r="U534" s="104" t="str">
        <f>IF(
  AND(
    TRIM(A534)=TRIM(Enginuity!$A$1),
    TRIM(B534)=TRIM(Enginuity!$A$17),
    Q534&lt;&gt;"",
    Q534&lt;&gt;0,
    OR(
      TRIM(C534)=TRIM(Enginuity!$A$18),
      AND(UPPER(TRIM(M534))="STD", TRIM(B534)=TRIM(Enginuity!$A$17))
    ),
    OR(
      AND(LEFT(P534,5)="1-Way", Enginuity!$B$13=1),
      AND(LEFT(P534,5)="2-Way", OR(Enginuity!$B$13=2, Enginuity!$B$13=4)),
      AND(LEFT(P534,5)="3-Way", OR(Enginuity!$B$13=3, Enginuity!$B$13=6)),
      AND(P534="Inner Centre Jamb", OR(Enginuity!$B$13=4, Enginuity!$B$13=6)),
      AND(
        LEFT(P534,5)&lt;&gt;"1-Way",
        LEFT(P534,5)&lt;&gt;"2-Way",
        LEFT(P534,5)&lt;&gt;"3-Way",
        P534&lt;&gt;"Inner Centre Jamb"
      )
    ),
    IF(OR(Enginuity!$A$1="Frameless Glass",Enginuity!$A$1="Metal Work"),
      AND(TRIM(B534)=TRIM(Enginuity!$A$17),TRIM(C534)=TRIM(Enginuity!$A$18)),
      TRIM(B534)=TRIM(Enginuity!$A$17)
    )
  ),
  ROW(),
  ""
)</f>
        <v/>
      </c>
    </row>
    <row r="535" spans="1:54" x14ac:dyDescent="0.25">
      <c r="A535" s="10"/>
      <c r="B535" s="229"/>
      <c r="C535" s="10"/>
      <c r="D535" s="14"/>
      <c r="E535" s="157"/>
      <c r="F535" s="10"/>
      <c r="G535" s="17"/>
      <c r="H535" s="10"/>
      <c r="I535" s="17"/>
      <c r="J535" s="83"/>
      <c r="K535" s="343"/>
      <c r="L535" s="347"/>
      <c r="M535" s="89"/>
      <c r="N535" s="10"/>
      <c r="O535" s="22"/>
      <c r="P535" s="14"/>
      <c r="Q535" s="83"/>
      <c r="U535" s="104" t="str">
        <f>IF(
  AND(
    TRIM(A535)=TRIM(Enginuity!$A$1),
    TRIM(B535)=TRIM(Enginuity!$A$17),
    Q535&lt;&gt;"",
    Q535&lt;&gt;0,
    OR(
      TRIM(C535)=TRIM(Enginuity!$A$18),
      AND(UPPER(TRIM(M535))="STD", TRIM(B535)=TRIM(Enginuity!$A$17))
    ),
    OR(
      AND(LEFT(P535,5)="1-Way", Enginuity!$B$13=1),
      AND(LEFT(P535,5)="2-Way", OR(Enginuity!$B$13=2, Enginuity!$B$13=4)),
      AND(LEFT(P535,5)="3-Way", OR(Enginuity!$B$13=3, Enginuity!$B$13=6)),
      AND(P535="Inner Centre Jamb", OR(Enginuity!$B$13=4, Enginuity!$B$13=6)),
      AND(
        LEFT(P535,5)&lt;&gt;"1-Way",
        LEFT(P535,5)&lt;&gt;"2-Way",
        LEFT(P535,5)&lt;&gt;"3-Way",
        P535&lt;&gt;"Inner Centre Jamb"
      )
    ),
    IF(OR(Enginuity!$A$1="Frameless Glass",Enginuity!$A$1="Metal Work"),
      AND(TRIM(B535)=TRIM(Enginuity!$A$17),TRIM(C535)=TRIM(Enginuity!$A$18)),
      TRIM(B535)=TRIM(Enginuity!$A$17)
    )
  ),
  ROW(),
  ""
)</f>
        <v/>
      </c>
    </row>
    <row r="536" spans="1:54" x14ac:dyDescent="0.25">
      <c r="A536" s="10"/>
      <c r="B536" s="229"/>
      <c r="C536" s="10"/>
      <c r="D536" s="14"/>
      <c r="E536" s="157"/>
      <c r="F536" s="10"/>
      <c r="G536" s="17"/>
      <c r="H536" s="10"/>
      <c r="I536" s="17"/>
      <c r="J536" s="83"/>
      <c r="K536" s="343"/>
      <c r="L536" s="347"/>
      <c r="M536" s="89"/>
      <c r="N536" s="10"/>
      <c r="O536" s="22"/>
      <c r="P536" s="14"/>
      <c r="Q536" s="83"/>
      <c r="U536" s="104" t="str">
        <f>IF(
  AND(
    TRIM(A536)=TRIM(Enginuity!$A$1),
    TRIM(B536)=TRIM(Enginuity!$A$17),
    Q536&lt;&gt;"",
    Q536&lt;&gt;0,
    OR(
      TRIM(C536)=TRIM(Enginuity!$A$18),
      AND(UPPER(TRIM(M536))="STD", TRIM(B536)=TRIM(Enginuity!$A$17))
    ),
    OR(
      AND(LEFT(P536,5)="1-Way", Enginuity!$B$13=1),
      AND(LEFT(P536,5)="2-Way", OR(Enginuity!$B$13=2, Enginuity!$B$13=4)),
      AND(LEFT(P536,5)="3-Way", OR(Enginuity!$B$13=3, Enginuity!$B$13=6)),
      AND(P536="Inner Centre Jamb", OR(Enginuity!$B$13=4, Enginuity!$B$13=6)),
      AND(
        LEFT(P536,5)&lt;&gt;"1-Way",
        LEFT(P536,5)&lt;&gt;"2-Way",
        LEFT(P536,5)&lt;&gt;"3-Way",
        P536&lt;&gt;"Inner Centre Jamb"
      )
    ),
    IF(OR(Enginuity!$A$1="Frameless Glass",Enginuity!$A$1="Metal Work"),
      AND(TRIM(B536)=TRIM(Enginuity!$A$17),TRIM(C536)=TRIM(Enginuity!$A$18)),
      TRIM(B536)=TRIM(Enginuity!$A$17)
    )
  ),
  ROW(),
  ""
)</f>
        <v/>
      </c>
    </row>
    <row r="537" spans="1:54" x14ac:dyDescent="0.25">
      <c r="A537" s="10"/>
      <c r="B537" s="229"/>
      <c r="C537" s="10"/>
      <c r="D537" s="14"/>
      <c r="E537" s="157"/>
      <c r="F537" s="10"/>
      <c r="G537" s="17"/>
      <c r="H537" s="10"/>
      <c r="I537" s="17"/>
      <c r="J537" s="83"/>
      <c r="K537" s="343"/>
      <c r="L537" s="347"/>
      <c r="M537" s="89"/>
      <c r="N537" s="10"/>
      <c r="O537" s="22"/>
      <c r="P537" s="14"/>
      <c r="Q537" s="83"/>
      <c r="U537" s="104" t="str">
        <f>IF(
  AND(
    TRIM(A537)=TRIM(Enginuity!$A$1),
    TRIM(B537)=TRIM(Enginuity!$A$17),
    Q537&lt;&gt;"",
    Q537&lt;&gt;0,
    OR(
      TRIM(C537)=TRIM(Enginuity!$A$18),
      AND(UPPER(TRIM(M537))="STD", TRIM(B537)=TRIM(Enginuity!$A$17))
    ),
    OR(
      AND(LEFT(P537,5)="1-Way", Enginuity!$B$13=1),
      AND(LEFT(P537,5)="2-Way", OR(Enginuity!$B$13=2, Enginuity!$B$13=4)),
      AND(LEFT(P537,5)="3-Way", OR(Enginuity!$B$13=3, Enginuity!$B$13=6)),
      AND(P537="Inner Centre Jamb", OR(Enginuity!$B$13=4, Enginuity!$B$13=6)),
      AND(
        LEFT(P537,5)&lt;&gt;"1-Way",
        LEFT(P537,5)&lt;&gt;"2-Way",
        LEFT(P537,5)&lt;&gt;"3-Way",
        P537&lt;&gt;"Inner Centre Jamb"
      )
    ),
    IF(OR(Enginuity!$A$1="Frameless Glass",Enginuity!$A$1="Metal Work"),
      AND(TRIM(B537)=TRIM(Enginuity!$A$17),TRIM(C537)=TRIM(Enginuity!$A$18)),
      TRIM(B537)=TRIM(Enginuity!$A$17)
    )
  ),
  ROW(),
  ""
)</f>
        <v/>
      </c>
    </row>
    <row r="538" spans="1:54" x14ac:dyDescent="0.25">
      <c r="A538" s="10"/>
      <c r="B538" s="229"/>
      <c r="C538" s="10"/>
      <c r="D538" s="14"/>
      <c r="E538" s="157"/>
      <c r="F538" s="10"/>
      <c r="G538" s="17"/>
      <c r="H538" s="10"/>
      <c r="I538" s="17"/>
      <c r="J538" s="83"/>
      <c r="K538" s="343"/>
      <c r="L538" s="347"/>
      <c r="M538" s="89"/>
      <c r="N538" s="10"/>
      <c r="O538" s="22"/>
      <c r="P538" s="14"/>
      <c r="Q538" s="83"/>
      <c r="U538" s="104" t="str">
        <f>IF(
  AND(
    TRIM(A538)=TRIM(Enginuity!$A$1),
    TRIM(B538)=TRIM(Enginuity!$A$17),
    Q538&lt;&gt;"",
    Q538&lt;&gt;0,
    OR(
      TRIM(C538)=TRIM(Enginuity!$A$18),
      AND(UPPER(TRIM(M538))="STD", TRIM(B538)=TRIM(Enginuity!$A$17))
    ),
    OR(
      AND(LEFT(P538,5)="1-Way", Enginuity!$B$13=1),
      AND(LEFT(P538,5)="2-Way", OR(Enginuity!$B$13=2, Enginuity!$B$13=4)),
      AND(LEFT(P538,5)="3-Way", OR(Enginuity!$B$13=3, Enginuity!$B$13=6)),
      AND(P538="Inner Centre Jamb", OR(Enginuity!$B$13=4, Enginuity!$B$13=6)),
      AND(
        LEFT(P538,5)&lt;&gt;"1-Way",
        LEFT(P538,5)&lt;&gt;"2-Way",
        LEFT(P538,5)&lt;&gt;"3-Way",
        P538&lt;&gt;"Inner Centre Jamb"
      )
    ),
    IF(OR(Enginuity!$A$1="Frameless Glass",Enginuity!$A$1="Metal Work"),
      AND(TRIM(B538)=TRIM(Enginuity!$A$17),TRIM(C538)=TRIM(Enginuity!$A$18)),
      TRIM(B538)=TRIM(Enginuity!$A$17)
    )
  ),
  ROW(),
  ""
)</f>
        <v/>
      </c>
    </row>
    <row r="539" spans="1:54" x14ac:dyDescent="0.25">
      <c r="A539" s="10"/>
      <c r="B539" s="229"/>
      <c r="C539" s="10"/>
      <c r="D539" s="14"/>
      <c r="E539" s="157"/>
      <c r="F539" s="10"/>
      <c r="G539" s="17"/>
      <c r="H539" s="10"/>
      <c r="I539" s="17"/>
      <c r="J539" s="83"/>
      <c r="K539" s="343"/>
      <c r="L539" s="347"/>
      <c r="M539" s="89"/>
      <c r="N539" s="10"/>
      <c r="O539" s="22"/>
      <c r="P539" s="36"/>
      <c r="Q539" s="83"/>
      <c r="U539" s="104" t="str">
        <f>IF(
  AND(
    TRIM(A539)=TRIM(Enginuity!$A$1),
    TRIM(B539)=TRIM(Enginuity!$A$17),
    Q539&lt;&gt;"",
    Q539&lt;&gt;0,
    OR(
      TRIM(C539)=TRIM(Enginuity!$A$18),
      AND(UPPER(TRIM(M539))="STD", TRIM(B539)=TRIM(Enginuity!$A$17))
    ),
    OR(
      AND(LEFT(P539,5)="1-Way", Enginuity!$B$13=1),
      AND(LEFT(P539,5)="2-Way", OR(Enginuity!$B$13=2, Enginuity!$B$13=4)),
      AND(LEFT(P539,5)="3-Way", OR(Enginuity!$B$13=3, Enginuity!$B$13=6)),
      AND(P539="Inner Centre Jamb", OR(Enginuity!$B$13=4, Enginuity!$B$13=6)),
      AND(
        LEFT(P539,5)&lt;&gt;"1-Way",
        LEFT(P539,5)&lt;&gt;"2-Way",
        LEFT(P539,5)&lt;&gt;"3-Way",
        P539&lt;&gt;"Inner Centre Jamb"
      )
    ),
    IF(OR(Enginuity!$A$1="Frameless Glass",Enginuity!$A$1="Metal Work"),
      AND(TRIM(B539)=TRIM(Enginuity!$A$17),TRIM(C539)=TRIM(Enginuity!$A$18)),
      TRIM(B539)=TRIM(Enginuity!$A$17)
    )
  ),
  ROW(),
  ""
)</f>
        <v/>
      </c>
    </row>
    <row r="540" spans="1:54" x14ac:dyDescent="0.25">
      <c r="A540" s="17"/>
      <c r="B540" s="230"/>
      <c r="C540" s="17"/>
      <c r="D540" s="18"/>
      <c r="E540" s="238"/>
      <c r="F540" s="23"/>
      <c r="G540" s="17"/>
      <c r="H540" s="17"/>
      <c r="I540" s="17"/>
      <c r="J540" s="84"/>
      <c r="K540" s="343"/>
      <c r="L540" s="347"/>
      <c r="M540" s="90"/>
      <c r="N540" s="95"/>
      <c r="O540" s="25"/>
      <c r="P540" s="92"/>
      <c r="Q540" s="84"/>
      <c r="U540" s="104" t="str">
        <f>IF(
  AND(
    TRIM(A540)=TRIM(Enginuity!$A$1),
    TRIM(B540)=TRIM(Enginuity!$A$17),
    Q540&lt;&gt;"",
    Q540&lt;&gt;0,
    OR(
      TRIM(C540)=TRIM(Enginuity!$A$18),
      AND(UPPER(TRIM(M540))="STD", TRIM(B540)=TRIM(Enginuity!$A$17))
    ),
    OR(
      AND(LEFT(P540,5)="1-Way", Enginuity!$B$13=1),
      AND(LEFT(P540,5)="2-Way", OR(Enginuity!$B$13=2, Enginuity!$B$13=4)),
      AND(LEFT(P540,5)="3-Way", OR(Enginuity!$B$13=3, Enginuity!$B$13=6)),
      AND(P540="Inner Centre Jamb", OR(Enginuity!$B$13=4, Enginuity!$B$13=6)),
      AND(
        LEFT(P540,5)&lt;&gt;"1-Way",
        LEFT(P540,5)&lt;&gt;"2-Way",
        LEFT(P540,5)&lt;&gt;"3-Way",
        P540&lt;&gt;"Inner Centre Jamb"
      )
    ),
    IF(OR(Enginuity!$A$1="Frameless Glass",Enginuity!$A$1="Metal Work"),
      AND(TRIM(B540)=TRIM(Enginuity!$A$17),TRIM(C540)=TRIM(Enginuity!$A$18)),
      TRIM(B540)=TRIM(Enginuity!$A$17)
    )
  ),
  ROW(),
  ""
)</f>
        <v/>
      </c>
    </row>
    <row r="541" spans="1:54" x14ac:dyDescent="0.25">
      <c r="A541" s="10" t="s">
        <v>768</v>
      </c>
      <c r="B541" s="229" t="s">
        <v>84</v>
      </c>
      <c r="C541" s="10" t="s">
        <v>97</v>
      </c>
      <c r="D541" s="14" t="str" cm="1">
        <f t="array" ref="D541:D547">IFERROR(INDEX(_xlfn._xlws.FILTER(AllMaterialsbak!$BA$2:$BA$30, AllMaterialsbak!$BA$2:$BA$30&lt;&gt;""), _xlfn.SEQUENCE(7)), "")</f>
        <v>Default</v>
      </c>
      <c r="E541" s="157"/>
      <c r="F541" s="10" t="s">
        <v>9</v>
      </c>
      <c r="G541" s="17"/>
      <c r="H541" s="10"/>
      <c r="I541" s="17"/>
      <c r="J541" s="83"/>
      <c r="K541" s="344">
        <v>0.50301600000000002</v>
      </c>
      <c r="L541" s="347">
        <v>762</v>
      </c>
      <c r="M541" s="89">
        <v>1</v>
      </c>
      <c r="N541" s="10" t="s">
        <v>103</v>
      </c>
      <c r="O541" s="22">
        <v>9.16</v>
      </c>
      <c r="P541" s="86" t="str">
        <f>$P$2</f>
        <v>Outer Frame W X H</v>
      </c>
      <c r="Q541" s="83">
        <f>$Q$2</f>
        <v>66</v>
      </c>
      <c r="U541" s="104" t="str">
        <f>IF(
  AND(
    TRIM(A541)=TRIM(Enginuity!$A$1),
    TRIM(B541)=TRIM(Enginuity!$A$17),
    Q541&lt;&gt;"",
    Q541&lt;&gt;0,
    OR(
      TRIM(C541)=TRIM(Enginuity!$A$18),
      AND(UPPER(TRIM(M541))="STD", TRIM(B541)=TRIM(Enginuity!$A$17))
    ),
    OR(
      AND(LEFT(P541,5)="1-Way", Enginuity!$B$13=1),
      AND(LEFT(P541,5)="2-Way", OR(Enginuity!$B$13=2, Enginuity!$B$13=4)),
      AND(LEFT(P541,5)="3-Way", OR(Enginuity!$B$13=3, Enginuity!$B$13=6)),
      AND(P541="Inner Centre Jamb", OR(Enginuity!$B$13=4, Enginuity!$B$13=6)),
      AND(
        LEFT(P541,5)&lt;&gt;"1-Way",
        LEFT(P541,5)&lt;&gt;"2-Way",
        LEFT(P541,5)&lt;&gt;"3-Way",
        P541&lt;&gt;"Inner Centre Jamb"
      )
    ),
    IF(OR(Enginuity!$A$1="Frameless Glass",Enginuity!$A$1="Metal Work"),
      AND(TRIM(B541)=TRIM(Enginuity!$A$17),TRIM(C541)=TRIM(Enginuity!$A$18)),
      TRIM(B541)=TRIM(Enginuity!$A$17)
    )
  ),
  ROW(),
  ""
)</f>
        <v/>
      </c>
    </row>
    <row r="542" spans="1:54" x14ac:dyDescent="0.25">
      <c r="A542" s="10" t="s">
        <v>768</v>
      </c>
      <c r="B542" s="229" t="s">
        <v>84</v>
      </c>
      <c r="C542" s="10" t="s">
        <v>97</v>
      </c>
      <c r="D542" s="14" t="str">
        <v xml:space="preserve">2" Louver Blade N/A </v>
      </c>
      <c r="E542" s="157"/>
      <c r="F542" s="11"/>
      <c r="G542" s="17"/>
      <c r="H542" s="10"/>
      <c r="I542" s="17"/>
      <c r="J542" s="83"/>
      <c r="K542" s="343"/>
      <c r="L542" s="347"/>
      <c r="M542" s="89">
        <v>2</v>
      </c>
      <c r="N542" s="10" t="s">
        <v>103</v>
      </c>
      <c r="O542" s="22">
        <v>13.39</v>
      </c>
      <c r="P542" s="86" t="str">
        <f>$P$3</f>
        <v>Inner Frame</v>
      </c>
      <c r="Q542" s="83">
        <f>$Q$3</f>
        <v>222</v>
      </c>
      <c r="U542" s="104" t="str">
        <f>IF(
  AND(
    TRIM(A542)=TRIM(Enginuity!$A$1),
    TRIM(B542)=TRIM(Enginuity!$A$17),
    Q542&lt;&gt;"",
    Q542&lt;&gt;0,
    OR(
      TRIM(C542)=TRIM(Enginuity!$A$18),
      AND(UPPER(TRIM(M542))="STD", TRIM(B542)=TRIM(Enginuity!$A$17))
    ),
    OR(
      AND(LEFT(P542,5)="1-Way", Enginuity!$B$13=1),
      AND(LEFT(P542,5)="2-Way", OR(Enginuity!$B$13=2, Enginuity!$B$13=4)),
      AND(LEFT(P542,5)="3-Way", OR(Enginuity!$B$13=3, Enginuity!$B$13=6)),
      AND(P542="Inner Centre Jamb", OR(Enginuity!$B$13=4, Enginuity!$B$13=6)),
      AND(
        LEFT(P542,5)&lt;&gt;"1-Way",
        LEFT(P542,5)&lt;&gt;"2-Way",
        LEFT(P542,5)&lt;&gt;"3-Way",
        P542&lt;&gt;"Inner Centre Jamb"
      )
    ),
    IF(OR(Enginuity!$A$1="Frameless Glass",Enginuity!$A$1="Metal Work"),
      AND(TRIM(B542)=TRIM(Enginuity!$A$17),TRIM(C542)=TRIM(Enginuity!$A$18)),
      TRIM(B542)=TRIM(Enginuity!$A$17)
    )
  ),
  ROW(),
  ""
)</f>
        <v/>
      </c>
    </row>
    <row r="543" spans="1:54" x14ac:dyDescent="0.25">
      <c r="A543" s="10" t="s">
        <v>768</v>
      </c>
      <c r="B543" s="229" t="s">
        <v>84</v>
      </c>
      <c r="C543" s="10" t="s">
        <v>97</v>
      </c>
      <c r="D543" s="14" t="str">
        <v>2" Louver Blade P/C</v>
      </c>
      <c r="E543" s="157"/>
      <c r="F543" s="10"/>
      <c r="G543" s="17"/>
      <c r="H543" s="10"/>
      <c r="I543" s="17"/>
      <c r="J543" s="83"/>
      <c r="K543" s="343"/>
      <c r="L543" s="347"/>
      <c r="M543" s="89">
        <v>3</v>
      </c>
      <c r="N543" s="10" t="s">
        <v>103</v>
      </c>
      <c r="O543" s="22">
        <v>12.22</v>
      </c>
      <c r="P543" s="21" t="str">
        <f>$P$4</f>
        <v>Single Horizontal Mullion ↔</v>
      </c>
      <c r="Q543" s="83" t="str">
        <f>IF(
  OR(
    TRIM(Enginuity!$A$21)="1'H X ?'W X Qty Panel Top Hung (Casement Profile)",
    TRIM(Enginuity!$A$21)="1'H X ?'W X Qty Panel Top Fix (Casement Profile)"
  ),
  Enginuity!$B$6,
  ""
)</f>
        <v/>
      </c>
      <c r="U543" s="104" t="str">
        <f>IF(
  AND(
    TRIM(A543)=TRIM(Enginuity!$A$1),
    TRIM(B543)=TRIM(Enginuity!$A$17),
    Q543&lt;&gt;"",
    Q543&lt;&gt;0,
    OR(
      TRIM(C543)=TRIM(Enginuity!$A$18),
      AND(UPPER(TRIM(M543))="STD", TRIM(B543)=TRIM(Enginuity!$A$17))
    ),
    OR(
      AND(LEFT(P543,5)="1-Way", Enginuity!$B$13=1),
      AND(LEFT(P543,5)="2-Way", OR(Enginuity!$B$13=2, Enginuity!$B$13=4)),
      AND(LEFT(P543,5)="3-Way", OR(Enginuity!$B$13=3, Enginuity!$B$13=6)),
      AND(P543="Inner Centre Jamb", OR(Enginuity!$B$13=4, Enginuity!$B$13=6)),
      AND(
        LEFT(P543,5)&lt;&gt;"1-Way",
        LEFT(P543,5)&lt;&gt;"2-Way",
        LEFT(P543,5)&lt;&gt;"3-Way",
        P543&lt;&gt;"Inner Centre Jamb"
      )
    ),
    IF(OR(Enginuity!$A$1="Frameless Glass",Enginuity!$A$1="Metal Work"),
      AND(TRIM(B543)=TRIM(Enginuity!$A$17),TRIM(C543)=TRIM(Enginuity!$A$18)),
      TRIM(B543)=TRIM(Enginuity!$A$17)
    )
  ),
  ROW(),
  ""
)</f>
        <v/>
      </c>
    </row>
    <row r="544" spans="1:54" x14ac:dyDescent="0.25">
      <c r="A544" s="10" t="s">
        <v>768</v>
      </c>
      <c r="B544" s="229" t="s">
        <v>84</v>
      </c>
      <c r="C544" s="10" t="s">
        <v>97</v>
      </c>
      <c r="D544" s="14" t="str">
        <v xml:space="preserve">5" Louver Blade N/A </v>
      </c>
      <c r="E544" s="157"/>
      <c r="F544" s="10"/>
      <c r="G544" s="17"/>
      <c r="H544" s="10"/>
      <c r="I544" s="17"/>
      <c r="J544" s="83"/>
      <c r="K544" s="343"/>
      <c r="L544" s="347"/>
      <c r="M544" s="89">
        <v>4</v>
      </c>
      <c r="N544" s="10" t="s">
        <v>103</v>
      </c>
      <c r="O544" s="22">
        <v>12.22</v>
      </c>
      <c r="P544" s="21" t="str">
        <f>$P$6</f>
        <v>Default Vertical Mullion by Panel ↕</v>
      </c>
      <c r="Q544" s="83">
        <f>$Q$6</f>
        <v>78</v>
      </c>
      <c r="U544" s="104" t="str">
        <f>IF(
  AND(
    TRIM(A544)=TRIM(Enginuity!$A$1),
    TRIM(B544)=TRIM(Enginuity!$A$17),
    Q544&lt;&gt;"",
    Q544&lt;&gt;0,
    OR(
      TRIM(C544)=TRIM(Enginuity!$A$18),
      AND(UPPER(TRIM(M544))="STD", TRIM(B544)=TRIM(Enginuity!$A$17))
    ),
    OR(
      AND(LEFT(P544,5)="1-Way", Enginuity!$B$13=1),
      AND(LEFT(P544,5)="2-Way", OR(Enginuity!$B$13=2, Enginuity!$B$13=4)),
      AND(LEFT(P544,5)="3-Way", OR(Enginuity!$B$13=3, Enginuity!$B$13=6)),
      AND(P544="Inner Centre Jamb", OR(Enginuity!$B$13=4, Enginuity!$B$13=6)),
      AND(
        LEFT(P544,5)&lt;&gt;"1-Way",
        LEFT(P544,5)&lt;&gt;"2-Way",
        LEFT(P544,5)&lt;&gt;"3-Way",
        P544&lt;&gt;"Inner Centre Jamb"
      )
    ),
    IF(OR(Enginuity!$A$1="Frameless Glass",Enginuity!$A$1="Metal Work"),
      AND(TRIM(B544)=TRIM(Enginuity!$A$17),TRIM(C544)=TRIM(Enginuity!$A$18)),
      TRIM(B544)=TRIM(Enginuity!$A$17)
    )
  ),
  ROW(),
  ""
)</f>
        <v/>
      </c>
    </row>
    <row r="545" spans="1:21" x14ac:dyDescent="0.25">
      <c r="A545" s="10" t="s">
        <v>768</v>
      </c>
      <c r="B545" s="229" t="s">
        <v>84</v>
      </c>
      <c r="C545" s="10" t="s">
        <v>97</v>
      </c>
      <c r="D545" s="14" t="str">
        <v>5" Louver Blade P/C</v>
      </c>
      <c r="E545" s="157"/>
      <c r="F545" s="10"/>
      <c r="G545" s="17"/>
      <c r="H545" s="10"/>
      <c r="I545" s="17"/>
      <c r="J545" s="83"/>
      <c r="K545" s="343"/>
      <c r="L545" s="347"/>
      <c r="M545" s="89">
        <v>5</v>
      </c>
      <c r="N545" s="10" t="s">
        <v>103</v>
      </c>
      <c r="O545" s="22">
        <v>4.4000000000000004</v>
      </c>
      <c r="P545" s="14" t="s">
        <v>123</v>
      </c>
      <c r="Q545" s="83">
        <f>$Q$3</f>
        <v>222</v>
      </c>
      <c r="U545" s="104" t="str">
        <f>IF(
  AND(
    TRIM(A545)=TRIM(Enginuity!$A$1),
    TRIM(B545)=TRIM(Enginuity!$A$17),
    Q545&lt;&gt;"",
    Q545&lt;&gt;0,
    OR(
      TRIM(C545)=TRIM(Enginuity!$A$18),
      AND(UPPER(TRIM(M545))="STD", TRIM(B545)=TRIM(Enginuity!$A$17))
    ),
    OR(
      AND(LEFT(P545,5)="1-Way", Enginuity!$B$13=1),
      AND(LEFT(P545,5)="2-Way", OR(Enginuity!$B$13=2, Enginuity!$B$13=4)),
      AND(LEFT(P545,5)="3-Way", OR(Enginuity!$B$13=3, Enginuity!$B$13=6)),
      AND(P545="Inner Centre Jamb", OR(Enginuity!$B$13=4, Enginuity!$B$13=6)),
      AND(
        LEFT(P545,5)&lt;&gt;"1-Way",
        LEFT(P545,5)&lt;&gt;"2-Way",
        LEFT(P545,5)&lt;&gt;"3-Way",
        P545&lt;&gt;"Inner Centre Jamb"
      )
    ),
    IF(OR(Enginuity!$A$1="Frameless Glass",Enginuity!$A$1="Metal Work"),
      AND(TRIM(B545)=TRIM(Enginuity!$A$17),TRIM(C545)=TRIM(Enginuity!$A$18)),
      TRIM(B545)=TRIM(Enginuity!$A$17)
    )
  ),
  ROW(),
  ""
)</f>
        <v/>
      </c>
    </row>
    <row r="546" spans="1:21" x14ac:dyDescent="0.25">
      <c r="A546" s="10" t="s">
        <v>768</v>
      </c>
      <c r="B546" s="229" t="s">
        <v>84</v>
      </c>
      <c r="C546" s="10" t="s">
        <v>97</v>
      </c>
      <c r="D546" s="14" t="str">
        <v/>
      </c>
      <c r="E546" s="157"/>
      <c r="F546" s="10"/>
      <c r="G546" s="17"/>
      <c r="H546" s="10"/>
      <c r="I546" s="17"/>
      <c r="J546" s="83"/>
      <c r="K546" s="343"/>
      <c r="L546" s="347"/>
      <c r="M546" s="89">
        <v>6</v>
      </c>
      <c r="N546" s="10" t="s">
        <v>103</v>
      </c>
      <c r="O546" s="22">
        <v>1.1100000000000001</v>
      </c>
      <c r="P546" s="14" t="s">
        <v>309</v>
      </c>
      <c r="Q546" s="83">
        <f>Enginuity!$B$7*Enginuity!$B$13</f>
        <v>91</v>
      </c>
      <c r="U546" s="104" t="str">
        <f>IF(
  AND(
    TRIM(A546)=TRIM(Enginuity!$A$1),
    TRIM(B546)=TRIM(Enginuity!$A$17),
    Q546&lt;&gt;"",
    Q546&lt;&gt;0,
    OR(
      TRIM(C546)=TRIM(Enginuity!$A$18),
      AND(UPPER(TRIM(M546))="STD", TRIM(B546)=TRIM(Enginuity!$A$17))
    ),
    OR(
      AND(LEFT(P546,5)="1-Way", Enginuity!$B$13=1),
      AND(LEFT(P546,5)="2-Way", OR(Enginuity!$B$13=2, Enginuity!$B$13=4)),
      AND(LEFT(P546,5)="3-Way", OR(Enginuity!$B$13=3, Enginuity!$B$13=6)),
      AND(P546="Inner Centre Jamb", OR(Enginuity!$B$13=4, Enginuity!$B$13=6)),
      AND(
        LEFT(P546,5)&lt;&gt;"1-Way",
        LEFT(P546,5)&lt;&gt;"2-Way",
        LEFT(P546,5)&lt;&gt;"3-Way",
        P546&lt;&gt;"Inner Centre Jamb"
      )
    ),
    IF(OR(Enginuity!$A$1="Frameless Glass",Enginuity!$A$1="Metal Work"),
      AND(TRIM(B546)=TRIM(Enginuity!$A$17),TRIM(C546)=TRIM(Enginuity!$A$18)),
      TRIM(B546)=TRIM(Enginuity!$A$17)
    )
  ),
  ROW(),
  ""
)</f>
        <v/>
      </c>
    </row>
    <row r="547" spans="1:21" x14ac:dyDescent="0.25">
      <c r="A547" s="10" t="s">
        <v>768</v>
      </c>
      <c r="B547" s="229" t="s">
        <v>84</v>
      </c>
      <c r="C547" s="10" t="s">
        <v>97</v>
      </c>
      <c r="D547" s="14" t="str">
        <v/>
      </c>
      <c r="E547" s="157"/>
      <c r="F547" s="10"/>
      <c r="G547" s="17"/>
      <c r="H547" s="10"/>
      <c r="I547" s="17"/>
      <c r="J547" s="83"/>
      <c r="K547" s="343"/>
      <c r="L547" s="347"/>
      <c r="M547" s="89">
        <v>7</v>
      </c>
      <c r="N547" s="10" t="s">
        <v>103</v>
      </c>
      <c r="O547" s="22">
        <v>4.5599999999999996</v>
      </c>
      <c r="P547" s="14" t="s">
        <v>114</v>
      </c>
      <c r="Q547" s="83"/>
      <c r="U547" s="104" t="str">
        <f>IF(
  AND(
    TRIM(A547)=TRIM(Enginuity!$A$1),
    TRIM(B547)=TRIM(Enginuity!$A$17),
    Q547&lt;&gt;"",
    Q547&lt;&gt;0,
    OR(
      TRIM(C547)=TRIM(Enginuity!$A$18),
      AND(UPPER(TRIM(M547))="STD", TRIM(B547)=TRIM(Enginuity!$A$17))
    ),
    OR(
      AND(LEFT(P547,5)="1-Way", Enginuity!$B$13=1),
      AND(LEFT(P547,5)="2-Way", OR(Enginuity!$B$13=2, Enginuity!$B$13=4)),
      AND(LEFT(P547,5)="3-Way", OR(Enginuity!$B$13=3, Enginuity!$B$13=6)),
      AND(P547="Inner Centre Jamb", OR(Enginuity!$B$13=4, Enginuity!$B$13=6)),
      AND(
        LEFT(P547,5)&lt;&gt;"1-Way",
        LEFT(P547,5)&lt;&gt;"2-Way",
        LEFT(P547,5)&lt;&gt;"3-Way",
        P547&lt;&gt;"Inner Centre Jamb"
      )
    ),
    IF(OR(Enginuity!$A$1="Frameless Glass",Enginuity!$A$1="Metal Work"),
      AND(TRIM(B547)=TRIM(Enginuity!$A$17),TRIM(C547)=TRIM(Enginuity!$A$18)),
      TRIM(B547)=TRIM(Enginuity!$A$17)
    )
  ),
  ROW(),
  ""
)</f>
        <v/>
      </c>
    </row>
    <row r="548" spans="1:21" x14ac:dyDescent="0.25">
      <c r="A548" s="10" t="s">
        <v>768</v>
      </c>
      <c r="B548" s="229" t="s">
        <v>84</v>
      </c>
      <c r="C548" s="10" t="s">
        <v>97</v>
      </c>
      <c r="D548" s="14"/>
      <c r="E548" s="157"/>
      <c r="F548" s="10"/>
      <c r="G548" s="17"/>
      <c r="H548" s="10"/>
      <c r="I548" s="17"/>
      <c r="J548" s="83"/>
      <c r="K548" s="343"/>
      <c r="L548" s="347"/>
      <c r="M548" s="89">
        <v>8</v>
      </c>
      <c r="N548" s="10" t="s">
        <v>176</v>
      </c>
      <c r="O548" s="22" t="str">
        <f>IF(Enginuity!$A$20="", "",
 IF(Enginuity!$A$20="Lattice Design", $F$9,
 IF(Enginuity!$A$20="Lattice Design 12 Box / Panel", $F$10,
 ""))
)</f>
        <v/>
      </c>
      <c r="P548" s="106" t="str">
        <f>Enginuity!$A$20</f>
        <v>Z-Louvre Blade - 5"</v>
      </c>
      <c r="Q548" s="22" t="str">
        <f>IF(O548&lt;&gt;"",1,"")</f>
        <v/>
      </c>
      <c r="U548" s="104" t="str">
        <f>IF(
  AND(
    TRIM(A548)=TRIM(Enginuity!$A$1),
    TRIM(B548)=TRIM(Enginuity!$A$17),
    Q548&lt;&gt;"",
    Q548&lt;&gt;0,
    OR(
      TRIM(C548)=TRIM(Enginuity!$A$18),
      AND(UPPER(TRIM(M548))="STD", TRIM(B548)=TRIM(Enginuity!$A$17))
    ),
    OR(
      AND(LEFT(P548,5)="1-Way", Enginuity!$B$13=1),
      AND(LEFT(P548,5)="2-Way", OR(Enginuity!$B$13=2, Enginuity!$B$13=4)),
      AND(LEFT(P548,5)="3-Way", OR(Enginuity!$B$13=3, Enginuity!$B$13=6)),
      AND(P548="Inner Centre Jamb", OR(Enginuity!$B$13=4, Enginuity!$B$13=6)),
      AND(
        LEFT(P548,5)&lt;&gt;"1-Way",
        LEFT(P548,5)&lt;&gt;"2-Way",
        LEFT(P548,5)&lt;&gt;"3-Way",
        P548&lt;&gt;"Inner Centre Jamb"
      )
    ),
    IF(OR(Enginuity!$A$1="Frameless Glass",Enginuity!$A$1="Metal Work"),
      AND(TRIM(B548)=TRIM(Enginuity!$A$17),TRIM(C548)=TRIM(Enginuity!$A$18)),
      TRIM(B548)=TRIM(Enginuity!$A$17)
    )
  ),
  ROW(),
  ""
)</f>
        <v/>
      </c>
    </row>
    <row r="549" spans="1:21" x14ac:dyDescent="0.25">
      <c r="A549" s="10" t="s">
        <v>768</v>
      </c>
      <c r="B549" s="229" t="s">
        <v>84</v>
      </c>
      <c r="C549" s="10" t="s">
        <v>97</v>
      </c>
      <c r="D549" s="14"/>
      <c r="E549" s="157"/>
      <c r="F549" s="10"/>
      <c r="G549" s="17"/>
      <c r="H549" s="10"/>
      <c r="I549" s="17"/>
      <c r="J549" s="83"/>
      <c r="K549" s="343"/>
      <c r="L549" s="347"/>
      <c r="M549" s="89">
        <v>9</v>
      </c>
      <c r="N549" s="10" t="s">
        <v>176</v>
      </c>
      <c r="O549" s="22" t="str">
        <f>IF(Enginuity!$A$21="12""H Top Hung Standard Casement Profile", $F$7,
IF(Enginuity!$A$21="12""H Top / Bottom Fix Standard Casement Profile", $F$8,
""))</f>
        <v/>
      </c>
      <c r="P549" s="106"/>
      <c r="Q549" s="22" t="str">
        <f>IF(O549&lt;&gt;"",1,"")</f>
        <v/>
      </c>
      <c r="U549" s="104" t="str">
        <f>IF(
  AND(
    TRIM(A549)=TRIM(Enginuity!$A$1),
    TRIM(B549)=TRIM(Enginuity!$A$17),
    Q549&lt;&gt;"",
    Q549&lt;&gt;0,
    OR(
      TRIM(C549)=TRIM(Enginuity!$A$18),
      AND(UPPER(TRIM(M549))="STD", TRIM(B549)=TRIM(Enginuity!$A$17))
    ),
    OR(
      AND(LEFT(P549,5)="1-Way", Enginuity!$B$13=1),
      AND(LEFT(P549,5)="2-Way", OR(Enginuity!$B$13=2, Enginuity!$B$13=4)),
      AND(LEFT(P549,5)="3-Way", OR(Enginuity!$B$13=3, Enginuity!$B$13=6)),
      AND(P549="Inner Centre Jamb", OR(Enginuity!$B$13=4, Enginuity!$B$13=6)),
      AND(
        LEFT(P549,5)&lt;&gt;"1-Way",
        LEFT(P549,5)&lt;&gt;"2-Way",
        LEFT(P549,5)&lt;&gt;"3-Way",
        P549&lt;&gt;"Inner Centre Jamb"
      )
    ),
    IF(OR(Enginuity!$A$1="Frameless Glass",Enginuity!$A$1="Metal Work"),
      AND(TRIM(B549)=TRIM(Enginuity!$A$17),TRIM(C549)=TRIM(Enginuity!$A$18)),
      TRIM(B549)=TRIM(Enginuity!$A$17)
    )
  ),
  ROW(),
  ""
)</f>
        <v/>
      </c>
    </row>
    <row r="550" spans="1:21" x14ac:dyDescent="0.25">
      <c r="A550" s="10" t="s">
        <v>768</v>
      </c>
      <c r="B550" s="229" t="s">
        <v>84</v>
      </c>
      <c r="C550" s="10" t="s">
        <v>97</v>
      </c>
      <c r="D550" s="14"/>
      <c r="E550" s="157"/>
      <c r="F550" s="10"/>
      <c r="G550" s="17"/>
      <c r="H550" s="10"/>
      <c r="I550" s="17"/>
      <c r="J550" s="83"/>
      <c r="K550" s="343"/>
      <c r="L550" s="347"/>
      <c r="M550" s="89">
        <v>10</v>
      </c>
      <c r="N550" s="10" t="s">
        <v>176</v>
      </c>
      <c r="O550" s="22" t="str">
        <f>IF(Enginuity!$A$21="Subframe 1"" X 2""", $J$2, "")</f>
        <v/>
      </c>
      <c r="P550" s="106" t="str">
        <f>Enginuity!$A$21</f>
        <v>SF 4"</v>
      </c>
      <c r="Q550" s="22" t="str">
        <f>IF(O550&lt;&gt;"",1,"")</f>
        <v/>
      </c>
      <c r="U550" s="104" t="str">
        <f>IF(
  AND(
    TRIM(A550)=TRIM(Enginuity!$A$1),
    TRIM(B550)=TRIM(Enginuity!$A$17),
    Q550&lt;&gt;"",
    Q550&lt;&gt;0,
    OR(
      TRIM(C550)=TRIM(Enginuity!$A$18),
      AND(UPPER(TRIM(M550))="STD", TRIM(B550)=TRIM(Enginuity!$A$17))
    ),
    OR(
      AND(LEFT(P550,5)="1-Way", Enginuity!$B$13=1),
      AND(LEFT(P550,5)="2-Way", OR(Enginuity!$B$13=2, Enginuity!$B$13=4)),
      AND(LEFT(P550,5)="3-Way", OR(Enginuity!$B$13=3, Enginuity!$B$13=6)),
      AND(P550="Inner Centre Jamb", OR(Enginuity!$B$13=4, Enginuity!$B$13=6)),
      AND(
        LEFT(P550,5)&lt;&gt;"1-Way",
        LEFT(P550,5)&lt;&gt;"2-Way",
        LEFT(P550,5)&lt;&gt;"3-Way",
        P550&lt;&gt;"Inner Centre Jamb"
      )
    ),
    IF(OR(Enginuity!$A$1="Frameless Glass",Enginuity!$A$1="Metal Work"),
      AND(TRIM(B550)=TRIM(Enginuity!$A$17),TRIM(C550)=TRIM(Enginuity!$A$18)),
      TRIM(B550)=TRIM(Enginuity!$A$17)
    )
  ),
  ROW(),
  ""
)</f>
        <v/>
      </c>
    </row>
    <row r="551" spans="1:21" x14ac:dyDescent="0.25">
      <c r="A551" s="10" t="s">
        <v>768</v>
      </c>
      <c r="B551" s="229" t="s">
        <v>84</v>
      </c>
      <c r="C551" s="10" t="s">
        <v>97</v>
      </c>
      <c r="D551" s="14"/>
      <c r="E551" s="157"/>
      <c r="F551" s="10"/>
      <c r="G551" s="17"/>
      <c r="H551" s="10"/>
      <c r="I551" s="17"/>
      <c r="J551" s="83"/>
      <c r="K551" s="343"/>
      <c r="L551" s="347"/>
      <c r="M551" s="89">
        <v>11</v>
      </c>
      <c r="N551" s="10"/>
      <c r="O551" s="22"/>
      <c r="P551" s="14"/>
      <c r="Q551" s="83"/>
      <c r="U551" s="104" t="str">
        <f>IF(
  AND(
    TRIM(A551)=TRIM(Enginuity!$A$1),
    TRIM(B551)=TRIM(Enginuity!$A$17),
    Q551&lt;&gt;"",
    Q551&lt;&gt;0,
    OR(
      TRIM(C551)=TRIM(Enginuity!$A$18),
      AND(UPPER(TRIM(M551))="STD", TRIM(B551)=TRIM(Enginuity!$A$17))
    ),
    OR(
      AND(LEFT(P551,5)="1-Way", Enginuity!$B$13=1),
      AND(LEFT(P551,5)="2-Way", OR(Enginuity!$B$13=2, Enginuity!$B$13=4)),
      AND(LEFT(P551,5)="3-Way", OR(Enginuity!$B$13=3, Enginuity!$B$13=6)),
      AND(P551="Inner Centre Jamb", OR(Enginuity!$B$13=4, Enginuity!$B$13=6)),
      AND(
        LEFT(P551,5)&lt;&gt;"1-Way",
        LEFT(P551,5)&lt;&gt;"2-Way",
        LEFT(P551,5)&lt;&gt;"3-Way",
        P551&lt;&gt;"Inner Centre Jamb"
      )
    ),
    IF(OR(Enginuity!$A$1="Frameless Glass",Enginuity!$A$1="Metal Work"),
      AND(TRIM(B551)=TRIM(Enginuity!$A$17),TRIM(C551)=TRIM(Enginuity!$A$18)),
      TRIM(B551)=TRIM(Enginuity!$A$17)
    )
  ),
  ROW(),
  ""
)</f>
        <v/>
      </c>
    </row>
    <row r="552" spans="1:21" x14ac:dyDescent="0.25">
      <c r="A552" s="10" t="s">
        <v>768</v>
      </c>
      <c r="B552" s="229" t="s">
        <v>84</v>
      </c>
      <c r="C552" s="10" t="s">
        <v>97</v>
      </c>
      <c r="D552" s="14"/>
      <c r="E552" s="157"/>
      <c r="F552" s="10"/>
      <c r="G552" s="17"/>
      <c r="H552" s="10"/>
      <c r="I552" s="17"/>
      <c r="J552" s="83"/>
      <c r="K552" s="343"/>
      <c r="L552" s="347"/>
      <c r="M552" s="89">
        <v>12</v>
      </c>
      <c r="N552" s="10"/>
      <c r="O552" s="22"/>
      <c r="P552" s="14"/>
      <c r="Q552" s="83"/>
      <c r="U552" s="104" t="str">
        <f>IF(
  AND(
    TRIM(A552)=TRIM(Enginuity!$A$1),
    TRIM(B552)=TRIM(Enginuity!$A$17),
    Q552&lt;&gt;"",
    Q552&lt;&gt;0,
    OR(
      TRIM(C552)=TRIM(Enginuity!$A$18),
      AND(UPPER(TRIM(M552))="STD", TRIM(B552)=TRIM(Enginuity!$A$17))
    ),
    OR(
      AND(LEFT(P552,5)="1-Way", Enginuity!$B$13=1),
      AND(LEFT(P552,5)="2-Way", OR(Enginuity!$B$13=2, Enginuity!$B$13=4)),
      AND(LEFT(P552,5)="3-Way", OR(Enginuity!$B$13=3, Enginuity!$B$13=6)),
      AND(P552="Inner Centre Jamb", OR(Enginuity!$B$13=4, Enginuity!$B$13=6)),
      AND(
        LEFT(P552,5)&lt;&gt;"1-Way",
        LEFT(P552,5)&lt;&gt;"2-Way",
        LEFT(P552,5)&lt;&gt;"3-Way",
        P552&lt;&gt;"Inner Centre Jamb"
      )
    ),
    IF(OR(Enginuity!$A$1="Frameless Glass",Enginuity!$A$1="Metal Work"),
      AND(TRIM(B552)=TRIM(Enginuity!$A$17),TRIM(C552)=TRIM(Enginuity!$A$18)),
      TRIM(B552)=TRIM(Enginuity!$A$17)
    )
  ),
  ROW(),
  ""
)</f>
        <v/>
      </c>
    </row>
    <row r="553" spans="1:21" x14ac:dyDescent="0.25">
      <c r="A553" s="10" t="s">
        <v>768</v>
      </c>
      <c r="B553" s="229" t="s">
        <v>84</v>
      </c>
      <c r="C553" s="10" t="s">
        <v>97</v>
      </c>
      <c r="D553" s="14"/>
      <c r="E553" s="157"/>
      <c r="F553" s="10"/>
      <c r="G553" s="17"/>
      <c r="H553" s="10"/>
      <c r="I553" s="17"/>
      <c r="J553" s="83"/>
      <c r="K553" s="343"/>
      <c r="L553" s="347"/>
      <c r="M553" s="89">
        <v>13</v>
      </c>
      <c r="N553" s="10"/>
      <c r="O553" s="22"/>
      <c r="P553" s="5"/>
      <c r="Q553" s="22"/>
      <c r="U553" s="104" t="str">
        <f>IF(
  AND(
    TRIM(A553)=TRIM(Enginuity!$A$1),
    TRIM(B553)=TRIM(Enginuity!$A$17),
    Q553&lt;&gt;"",
    Q553&lt;&gt;0,
    OR(
      TRIM(C553)=TRIM(Enginuity!$A$18),
      AND(UPPER(TRIM(M553))="STD", TRIM(B553)=TRIM(Enginuity!$A$17))
    ),
    OR(
      AND(LEFT(P553,5)="1-Way", Enginuity!$B$13=1),
      AND(LEFT(P553,5)="2-Way", OR(Enginuity!$B$13=2, Enginuity!$B$13=4)),
      AND(LEFT(P553,5)="3-Way", OR(Enginuity!$B$13=3, Enginuity!$B$13=6)),
      AND(P553="Inner Centre Jamb", OR(Enginuity!$B$13=4, Enginuity!$B$13=6)),
      AND(
        LEFT(P553,5)&lt;&gt;"1-Way",
        LEFT(P553,5)&lt;&gt;"2-Way",
        LEFT(P553,5)&lt;&gt;"3-Way",
        P553&lt;&gt;"Inner Centre Jamb"
      )
    ),
    IF(OR(Enginuity!$A$1="Frameless Glass",Enginuity!$A$1="Metal Work"),
      AND(TRIM(B553)=TRIM(Enginuity!$A$17),TRIM(C553)=TRIM(Enginuity!$A$18)),
      TRIM(B553)=TRIM(Enginuity!$A$17)
    )
  ),
  ROW(),
  ""
)</f>
        <v/>
      </c>
    </row>
    <row r="554" spans="1:21" x14ac:dyDescent="0.25">
      <c r="A554" s="10" t="s">
        <v>768</v>
      </c>
      <c r="B554" s="229" t="s">
        <v>84</v>
      </c>
      <c r="C554" s="10" t="s">
        <v>97</v>
      </c>
      <c r="D554" s="14"/>
      <c r="E554" s="157"/>
      <c r="F554" s="10"/>
      <c r="G554" s="17"/>
      <c r="H554" s="10"/>
      <c r="I554" s="17"/>
      <c r="J554" s="83"/>
      <c r="K554" s="343"/>
      <c r="L554" s="347"/>
      <c r="M554" s="89">
        <v>14</v>
      </c>
      <c r="N554" s="10"/>
      <c r="O554" s="22"/>
      <c r="P554" s="14"/>
      <c r="Q554" s="83"/>
      <c r="U554" s="104" t="str">
        <f>IF(
  AND(
    TRIM(A554)=TRIM(Enginuity!$A$1),
    TRIM(B554)=TRIM(Enginuity!$A$17),
    Q554&lt;&gt;"",
    Q554&lt;&gt;0,
    OR(
      TRIM(C554)=TRIM(Enginuity!$A$18),
      AND(UPPER(TRIM(M554))="STD", TRIM(B554)=TRIM(Enginuity!$A$17))
    ),
    OR(
      AND(LEFT(P554,5)="1-Way", Enginuity!$B$13=1),
      AND(LEFT(P554,5)="2-Way", OR(Enginuity!$B$13=2, Enginuity!$B$13=4)),
      AND(LEFT(P554,5)="3-Way", OR(Enginuity!$B$13=3, Enginuity!$B$13=6)),
      AND(P554="Inner Centre Jamb", OR(Enginuity!$B$13=4, Enginuity!$B$13=6)),
      AND(
        LEFT(P554,5)&lt;&gt;"1-Way",
        LEFT(P554,5)&lt;&gt;"2-Way",
        LEFT(P554,5)&lt;&gt;"3-Way",
        P554&lt;&gt;"Inner Centre Jamb"
      )
    ),
    IF(OR(Enginuity!$A$1="Frameless Glass",Enginuity!$A$1="Metal Work"),
      AND(TRIM(B554)=TRIM(Enginuity!$A$17),TRIM(C554)=TRIM(Enginuity!$A$18)),
      TRIM(B554)=TRIM(Enginuity!$A$17)
    )
  ),
  ROW(),
  ""
)</f>
        <v/>
      </c>
    </row>
    <row r="555" spans="1:21" x14ac:dyDescent="0.25">
      <c r="A555" s="10" t="s">
        <v>768</v>
      </c>
      <c r="B555" s="229" t="s">
        <v>84</v>
      </c>
      <c r="C555" s="10" t="s">
        <v>97</v>
      </c>
      <c r="D555" s="14"/>
      <c r="E555" s="157"/>
      <c r="F555" s="10"/>
      <c r="G555" s="17"/>
      <c r="H555" s="10"/>
      <c r="I555" s="17"/>
      <c r="J555" s="83"/>
      <c r="K555" s="343"/>
      <c r="L555" s="347"/>
      <c r="M555" s="89">
        <v>15</v>
      </c>
      <c r="N555" s="10"/>
      <c r="O555" s="22"/>
      <c r="P555" s="14"/>
      <c r="Q555" s="83"/>
      <c r="U555" s="104" t="str">
        <f>IF(
  AND(
    TRIM(A555)=TRIM(Enginuity!$A$1),
    TRIM(B555)=TRIM(Enginuity!$A$17),
    Q555&lt;&gt;"",
    Q555&lt;&gt;0,
    OR(
      TRIM(C555)=TRIM(Enginuity!$A$18),
      AND(UPPER(TRIM(M555))="STD", TRIM(B555)=TRIM(Enginuity!$A$17))
    ),
    OR(
      AND(LEFT(P555,5)="1-Way", Enginuity!$B$13=1),
      AND(LEFT(P555,5)="2-Way", OR(Enginuity!$B$13=2, Enginuity!$B$13=4)),
      AND(LEFT(P555,5)="3-Way", OR(Enginuity!$B$13=3, Enginuity!$B$13=6)),
      AND(P555="Inner Centre Jamb", OR(Enginuity!$B$13=4, Enginuity!$B$13=6)),
      AND(
        LEFT(P555,5)&lt;&gt;"1-Way",
        LEFT(P555,5)&lt;&gt;"2-Way",
        LEFT(P555,5)&lt;&gt;"3-Way",
        P555&lt;&gt;"Inner Centre Jamb"
      )
    ),
    IF(OR(Enginuity!$A$1="Frameless Glass",Enginuity!$A$1="Metal Work"),
      AND(TRIM(B555)=TRIM(Enginuity!$A$17),TRIM(C555)=TRIM(Enginuity!$A$18)),
      TRIM(B555)=TRIM(Enginuity!$A$17)
    )
  ),
  ROW(),
  ""
)</f>
        <v/>
      </c>
    </row>
    <row r="556" spans="1:21" x14ac:dyDescent="0.25">
      <c r="A556" s="10" t="s">
        <v>768</v>
      </c>
      <c r="B556" s="229" t="s">
        <v>84</v>
      </c>
      <c r="C556" s="10" t="s">
        <v>97</v>
      </c>
      <c r="D556" s="14"/>
      <c r="E556" s="157"/>
      <c r="F556" s="10"/>
      <c r="G556" s="17"/>
      <c r="H556" s="10"/>
      <c r="I556" s="17"/>
      <c r="J556" s="83"/>
      <c r="K556" s="343"/>
      <c r="L556" s="347"/>
      <c r="M556" s="89">
        <v>16</v>
      </c>
      <c r="N556" s="10"/>
      <c r="O556" s="22"/>
      <c r="P556" s="14"/>
      <c r="Q556" s="83"/>
      <c r="U556" s="104" t="str">
        <f>IF(
  AND(
    TRIM(A556)=TRIM(Enginuity!$A$1),
    TRIM(B556)=TRIM(Enginuity!$A$17),
    Q556&lt;&gt;"",
    Q556&lt;&gt;0,
    OR(
      TRIM(C556)=TRIM(Enginuity!$A$18),
      AND(UPPER(TRIM(M556))="STD", TRIM(B556)=TRIM(Enginuity!$A$17))
    ),
    OR(
      AND(LEFT(P556,5)="1-Way", Enginuity!$B$13=1),
      AND(LEFT(P556,5)="2-Way", OR(Enginuity!$B$13=2, Enginuity!$B$13=4)),
      AND(LEFT(P556,5)="3-Way", OR(Enginuity!$B$13=3, Enginuity!$B$13=6)),
      AND(P556="Inner Centre Jamb", OR(Enginuity!$B$13=4, Enginuity!$B$13=6)),
      AND(
        LEFT(P556,5)&lt;&gt;"1-Way",
        LEFT(P556,5)&lt;&gt;"2-Way",
        LEFT(P556,5)&lt;&gt;"3-Way",
        P556&lt;&gt;"Inner Centre Jamb"
      )
    ),
    IF(OR(Enginuity!$A$1="Frameless Glass",Enginuity!$A$1="Metal Work"),
      AND(TRIM(B556)=TRIM(Enginuity!$A$17),TRIM(C556)=TRIM(Enginuity!$A$18)),
      TRIM(B556)=TRIM(Enginuity!$A$17)
    )
  ),
  ROW(),
  ""
)</f>
        <v/>
      </c>
    </row>
    <row r="557" spans="1:21" x14ac:dyDescent="0.25">
      <c r="A557" s="10" t="s">
        <v>768</v>
      </c>
      <c r="B557" s="229" t="s">
        <v>84</v>
      </c>
      <c r="C557" s="10" t="s">
        <v>97</v>
      </c>
      <c r="D557" s="14"/>
      <c r="E557" s="157"/>
      <c r="F557" s="10"/>
      <c r="G557" s="17"/>
      <c r="H557" s="10"/>
      <c r="I557" s="17"/>
      <c r="J557" s="83"/>
      <c r="K557" s="343"/>
      <c r="L557" s="347"/>
      <c r="M557" s="89">
        <v>17</v>
      </c>
      <c r="N557" s="10"/>
      <c r="O557" s="22"/>
      <c r="P557" s="14"/>
      <c r="Q557" s="83"/>
      <c r="U557" s="104" t="str">
        <f>IF(
  AND(
    TRIM(A557)=TRIM(Enginuity!$A$1),
    TRIM(B557)=TRIM(Enginuity!$A$17),
    Q557&lt;&gt;"",
    Q557&lt;&gt;0,
    OR(
      TRIM(C557)=TRIM(Enginuity!$A$18),
      AND(UPPER(TRIM(M557))="STD", TRIM(B557)=TRIM(Enginuity!$A$17))
    ),
    OR(
      AND(LEFT(P557,5)="1-Way", Enginuity!$B$13=1),
      AND(LEFT(P557,5)="2-Way", OR(Enginuity!$B$13=2, Enginuity!$B$13=4)),
      AND(LEFT(P557,5)="3-Way", OR(Enginuity!$B$13=3, Enginuity!$B$13=6)),
      AND(P557="Inner Centre Jamb", OR(Enginuity!$B$13=4, Enginuity!$B$13=6)),
      AND(
        LEFT(P557,5)&lt;&gt;"1-Way",
        LEFT(P557,5)&lt;&gt;"2-Way",
        LEFT(P557,5)&lt;&gt;"3-Way",
        P557&lt;&gt;"Inner Centre Jamb"
      )
    ),
    IF(OR(Enginuity!$A$1="Frameless Glass",Enginuity!$A$1="Metal Work"),
      AND(TRIM(B557)=TRIM(Enginuity!$A$17),TRIM(C557)=TRIM(Enginuity!$A$18)),
      TRIM(B557)=TRIM(Enginuity!$A$17)
    )
  ),
  ROW(),
  ""
)</f>
        <v/>
      </c>
    </row>
    <row r="558" spans="1:21" x14ac:dyDescent="0.25">
      <c r="A558" s="10" t="s">
        <v>768</v>
      </c>
      <c r="B558" s="229" t="s">
        <v>84</v>
      </c>
      <c r="C558" s="10" t="s">
        <v>97</v>
      </c>
      <c r="D558" s="14"/>
      <c r="E558" s="157"/>
      <c r="F558" s="10"/>
      <c r="G558" s="17"/>
      <c r="H558" s="10"/>
      <c r="I558" s="17"/>
      <c r="J558" s="83"/>
      <c r="K558" s="343"/>
      <c r="L558" s="347"/>
      <c r="M558" s="89">
        <v>18</v>
      </c>
      <c r="N558" s="10"/>
      <c r="O558" s="22"/>
      <c r="P558" s="14"/>
      <c r="Q558" s="83"/>
      <c r="U558" s="104" t="str">
        <f>IF(
  AND(
    TRIM(A558)=TRIM(Enginuity!$A$1),
    TRIM(B558)=TRIM(Enginuity!$A$17),
    Q558&lt;&gt;"",
    Q558&lt;&gt;0,
    OR(
      TRIM(C558)=TRIM(Enginuity!$A$18),
      AND(UPPER(TRIM(M558))="STD", TRIM(B558)=TRIM(Enginuity!$A$17))
    ),
    OR(
      AND(LEFT(P558,5)="1-Way", Enginuity!$B$13=1),
      AND(LEFT(P558,5)="2-Way", OR(Enginuity!$B$13=2, Enginuity!$B$13=4)),
      AND(LEFT(P558,5)="3-Way", OR(Enginuity!$B$13=3, Enginuity!$B$13=6)),
      AND(P558="Inner Centre Jamb", OR(Enginuity!$B$13=4, Enginuity!$B$13=6)),
      AND(
        LEFT(P558,5)&lt;&gt;"1-Way",
        LEFT(P558,5)&lt;&gt;"2-Way",
        LEFT(P558,5)&lt;&gt;"3-Way",
        P558&lt;&gt;"Inner Centre Jamb"
      )
    ),
    IF(OR(Enginuity!$A$1="Frameless Glass",Enginuity!$A$1="Metal Work"),
      AND(TRIM(B558)=TRIM(Enginuity!$A$17),TRIM(C558)=TRIM(Enginuity!$A$18)),
      TRIM(B558)=TRIM(Enginuity!$A$17)
    )
  ),
  ROW(),
  ""
)</f>
        <v/>
      </c>
    </row>
    <row r="559" spans="1:21" x14ac:dyDescent="0.25">
      <c r="A559" s="10" t="s">
        <v>768</v>
      </c>
      <c r="B559" s="229" t="s">
        <v>84</v>
      </c>
      <c r="C559" s="10" t="s">
        <v>97</v>
      </c>
      <c r="D559" s="14"/>
      <c r="E559" s="157"/>
      <c r="F559" s="10"/>
      <c r="G559" s="17"/>
      <c r="H559" s="10"/>
      <c r="I559" s="17"/>
      <c r="J559" s="83"/>
      <c r="K559" s="343"/>
      <c r="L559" s="347"/>
      <c r="M559" s="89">
        <v>19</v>
      </c>
      <c r="N559" s="88"/>
      <c r="O559" s="22"/>
      <c r="P559" s="36"/>
      <c r="Q559" s="83"/>
      <c r="U559" s="104" t="str">
        <f>IF(
  AND(
    TRIM(A559)=TRIM(Enginuity!$A$1),
    TRIM(B559)=TRIM(Enginuity!$A$17),
    Q559&lt;&gt;"",
    Q559&lt;&gt;0,
    OR(
      TRIM(C559)=TRIM(Enginuity!$A$18),
      AND(UPPER(TRIM(M559))="STD", TRIM(B559)=TRIM(Enginuity!$A$17))
    ),
    OR(
      AND(LEFT(P559,5)="1-Way", Enginuity!$B$13=1),
      AND(LEFT(P559,5)="2-Way", OR(Enginuity!$B$13=2, Enginuity!$B$13=4)),
      AND(LEFT(P559,5)="3-Way", OR(Enginuity!$B$13=3, Enginuity!$B$13=6)),
      AND(P559="Inner Centre Jamb", OR(Enginuity!$B$13=4, Enginuity!$B$13=6)),
      AND(
        LEFT(P559,5)&lt;&gt;"1-Way",
        LEFT(P559,5)&lt;&gt;"2-Way",
        LEFT(P559,5)&lt;&gt;"3-Way",
        P559&lt;&gt;"Inner Centre Jamb"
      )
    ),
    IF(OR(Enginuity!$A$1="Frameless Glass",Enginuity!$A$1="Metal Work"),
      AND(TRIM(B559)=TRIM(Enginuity!$A$17),TRIM(C559)=TRIM(Enginuity!$A$18)),
      TRIM(B559)=TRIM(Enginuity!$A$17)
    )
  ),
  ROW(),
  ""
)</f>
        <v/>
      </c>
    </row>
    <row r="560" spans="1:21" x14ac:dyDescent="0.25">
      <c r="A560" s="10" t="s">
        <v>768</v>
      </c>
      <c r="B560" s="229" t="s">
        <v>84</v>
      </c>
      <c r="C560" s="10"/>
      <c r="D560" s="14"/>
      <c r="E560" s="157"/>
      <c r="F560" s="10"/>
      <c r="G560" s="17"/>
      <c r="H560" s="10"/>
      <c r="I560" s="17"/>
      <c r="J560" s="83"/>
      <c r="K560" s="343"/>
      <c r="L560" s="347"/>
      <c r="M560" s="89">
        <v>20</v>
      </c>
      <c r="N560" s="10"/>
      <c r="O560" s="22"/>
      <c r="P560" s="14"/>
      <c r="Q560" s="83"/>
      <c r="U560" s="104" t="str">
        <f>IF(
  AND(
    TRIM(A560)=TRIM(Enginuity!$A$1),
    TRIM(B560)=TRIM(Enginuity!$A$17),
    Q560&lt;&gt;"",
    Q560&lt;&gt;0,
    OR(
      TRIM(C560)=TRIM(Enginuity!$A$18),
      AND(UPPER(TRIM(M560))="STD", TRIM(B560)=TRIM(Enginuity!$A$17))
    ),
    OR(
      AND(LEFT(P560,5)="1-Way", Enginuity!$B$13=1),
      AND(LEFT(P560,5)="2-Way", OR(Enginuity!$B$13=2, Enginuity!$B$13=4)),
      AND(LEFT(P560,5)="3-Way", OR(Enginuity!$B$13=3, Enginuity!$B$13=6)),
      AND(P560="Inner Centre Jamb", OR(Enginuity!$B$13=4, Enginuity!$B$13=6)),
      AND(
        LEFT(P560,5)&lt;&gt;"1-Way",
        LEFT(P560,5)&lt;&gt;"2-Way",
        LEFT(P560,5)&lt;&gt;"3-Way",
        P560&lt;&gt;"Inner Centre Jamb"
      )
    ),
    IF(OR(Enginuity!$A$1="Frameless Glass",Enginuity!$A$1="Metal Work"),
      AND(TRIM(B560)=TRIM(Enginuity!$A$17),TRIM(C560)=TRIM(Enginuity!$A$18)),
      TRIM(B560)=TRIM(Enginuity!$A$17)
    )
  ),
  ROW(),
  ""
)</f>
        <v/>
      </c>
    </row>
    <row r="561" spans="1:21" x14ac:dyDescent="0.25">
      <c r="A561" s="10" t="s">
        <v>768</v>
      </c>
      <c r="B561" s="229" t="s">
        <v>84</v>
      </c>
      <c r="C561" s="10"/>
      <c r="D561" s="14"/>
      <c r="E561" s="157"/>
      <c r="F561" s="10"/>
      <c r="G561" s="17"/>
      <c r="H561" s="10"/>
      <c r="I561" s="17"/>
      <c r="J561" s="83"/>
      <c r="K561" s="343"/>
      <c r="L561" s="347"/>
      <c r="M561" s="89">
        <v>21</v>
      </c>
      <c r="N561" s="10"/>
      <c r="O561" s="22"/>
      <c r="P561" s="14"/>
      <c r="Q561" s="83"/>
      <c r="U561" s="104" t="str">
        <f>IF(
  AND(
    TRIM(A561)=TRIM(Enginuity!$A$1),
    TRIM(B561)=TRIM(Enginuity!$A$17),
    Q561&lt;&gt;"",
    Q561&lt;&gt;0,
    OR(
      TRIM(C561)=TRIM(Enginuity!$A$18),
      AND(UPPER(TRIM(M561))="STD", TRIM(B561)=TRIM(Enginuity!$A$17))
    ),
    OR(
      AND(LEFT(P561,5)="1-Way", Enginuity!$B$13=1),
      AND(LEFT(P561,5)="2-Way", OR(Enginuity!$B$13=2, Enginuity!$B$13=4)),
      AND(LEFT(P561,5)="3-Way", OR(Enginuity!$B$13=3, Enginuity!$B$13=6)),
      AND(P561="Inner Centre Jamb", OR(Enginuity!$B$13=4, Enginuity!$B$13=6)),
      AND(
        LEFT(P561,5)&lt;&gt;"1-Way",
        LEFT(P561,5)&lt;&gt;"2-Way",
        LEFT(P561,5)&lt;&gt;"3-Way",
        P561&lt;&gt;"Inner Centre Jamb"
      )
    ),
    IF(OR(Enginuity!$A$1="Frameless Glass",Enginuity!$A$1="Metal Work"),
      AND(TRIM(B561)=TRIM(Enginuity!$A$17),TRIM(C561)=TRIM(Enginuity!$A$18)),
      TRIM(B561)=TRIM(Enginuity!$A$17)
    )
  ),
  ROW(),
  ""
)</f>
        <v/>
      </c>
    </row>
    <row r="562" spans="1:21" x14ac:dyDescent="0.25">
      <c r="A562" s="10" t="s">
        <v>768</v>
      </c>
      <c r="B562" s="229" t="s">
        <v>84</v>
      </c>
      <c r="C562" s="10"/>
      <c r="D562" s="14"/>
      <c r="E562" s="157"/>
      <c r="F562" s="10"/>
      <c r="G562" s="17"/>
      <c r="H562" s="10"/>
      <c r="I562" s="17"/>
      <c r="J562" s="83"/>
      <c r="K562" s="343"/>
      <c r="L562" s="347"/>
      <c r="M562" s="89">
        <v>22</v>
      </c>
      <c r="N562" s="10"/>
      <c r="O562" s="22"/>
      <c r="P562" s="14"/>
      <c r="Q562" s="83"/>
      <c r="U562" s="104" t="str">
        <f>IF(
  AND(
    TRIM(A562)=TRIM(Enginuity!$A$1),
    TRIM(B562)=TRIM(Enginuity!$A$17),
    Q562&lt;&gt;"",
    Q562&lt;&gt;0,
    OR(
      TRIM(C562)=TRIM(Enginuity!$A$18),
      AND(UPPER(TRIM(M562))="STD", TRIM(B562)=TRIM(Enginuity!$A$17))
    ),
    OR(
      AND(LEFT(P562,5)="1-Way", Enginuity!$B$13=1),
      AND(LEFT(P562,5)="2-Way", OR(Enginuity!$B$13=2, Enginuity!$B$13=4)),
      AND(LEFT(P562,5)="3-Way", OR(Enginuity!$B$13=3, Enginuity!$B$13=6)),
      AND(P562="Inner Centre Jamb", OR(Enginuity!$B$13=4, Enginuity!$B$13=6)),
      AND(
        LEFT(P562,5)&lt;&gt;"1-Way",
        LEFT(P562,5)&lt;&gt;"2-Way",
        LEFT(P562,5)&lt;&gt;"3-Way",
        P562&lt;&gt;"Inner Centre Jamb"
      )
    ),
    IF(OR(Enginuity!$A$1="Frameless Glass",Enginuity!$A$1="Metal Work"),
      AND(TRIM(B562)=TRIM(Enginuity!$A$17),TRIM(C562)=TRIM(Enginuity!$A$18)),
      TRIM(B562)=TRIM(Enginuity!$A$17)
    )
  ),
  ROW(),
  ""
)</f>
        <v/>
      </c>
    </row>
    <row r="563" spans="1:21" x14ac:dyDescent="0.25">
      <c r="A563" s="10" t="s">
        <v>768</v>
      </c>
      <c r="B563" s="229" t="s">
        <v>84</v>
      </c>
      <c r="C563" s="10"/>
      <c r="D563" s="14"/>
      <c r="E563" s="157"/>
      <c r="F563" s="10"/>
      <c r="G563" s="17"/>
      <c r="H563" s="10"/>
      <c r="I563" s="17"/>
      <c r="J563" s="83"/>
      <c r="K563" s="343"/>
      <c r="L563" s="347"/>
      <c r="M563" s="89">
        <v>23</v>
      </c>
      <c r="N563" s="10"/>
      <c r="O563" s="22"/>
      <c r="P563" s="14"/>
      <c r="Q563" s="83"/>
      <c r="U563" s="104" t="str">
        <f>IF(
  AND(
    TRIM(A563)=TRIM(Enginuity!$A$1),
    TRIM(B563)=TRIM(Enginuity!$A$17),
    Q563&lt;&gt;"",
    Q563&lt;&gt;0,
    OR(
      TRIM(C563)=TRIM(Enginuity!$A$18),
      AND(UPPER(TRIM(M563))="STD", TRIM(B563)=TRIM(Enginuity!$A$17))
    ),
    OR(
      AND(LEFT(P563,5)="1-Way", Enginuity!$B$13=1),
      AND(LEFT(P563,5)="2-Way", OR(Enginuity!$B$13=2, Enginuity!$B$13=4)),
      AND(LEFT(P563,5)="3-Way", OR(Enginuity!$B$13=3, Enginuity!$B$13=6)),
      AND(P563="Inner Centre Jamb", OR(Enginuity!$B$13=4, Enginuity!$B$13=6)),
      AND(
        LEFT(P563,5)&lt;&gt;"1-Way",
        LEFT(P563,5)&lt;&gt;"2-Way",
        LEFT(P563,5)&lt;&gt;"3-Way",
        P563&lt;&gt;"Inner Centre Jamb"
      )
    ),
    IF(OR(Enginuity!$A$1="Frameless Glass",Enginuity!$A$1="Metal Work"),
      AND(TRIM(B563)=TRIM(Enginuity!$A$17),TRIM(C563)=TRIM(Enginuity!$A$18)),
      TRIM(B563)=TRIM(Enginuity!$A$17)
    )
  ),
  ROW(),
  ""
)</f>
        <v/>
      </c>
    </row>
    <row r="564" spans="1:21" x14ac:dyDescent="0.25">
      <c r="A564" s="10" t="s">
        <v>768</v>
      </c>
      <c r="B564" s="229" t="s">
        <v>84</v>
      </c>
      <c r="C564" s="10"/>
      <c r="D564" s="14"/>
      <c r="E564" s="157"/>
      <c r="F564" s="10"/>
      <c r="G564" s="17"/>
      <c r="H564" s="10"/>
      <c r="I564" s="17"/>
      <c r="J564" s="83"/>
      <c r="K564" s="343"/>
      <c r="L564" s="347"/>
      <c r="M564" s="89">
        <v>24</v>
      </c>
      <c r="N564" s="10"/>
      <c r="O564" s="22"/>
      <c r="P564" s="14"/>
      <c r="Q564" s="83"/>
      <c r="U564" s="104" t="str">
        <f>IF(
  AND(
    TRIM(A564)=TRIM(Enginuity!$A$1),
    TRIM(B564)=TRIM(Enginuity!$A$17),
    Q564&lt;&gt;"",
    Q564&lt;&gt;0,
    OR(
      TRIM(C564)=TRIM(Enginuity!$A$18),
      AND(UPPER(TRIM(M564))="STD", TRIM(B564)=TRIM(Enginuity!$A$17))
    ),
    OR(
      AND(LEFT(P564,5)="1-Way", Enginuity!$B$13=1),
      AND(LEFT(P564,5)="2-Way", OR(Enginuity!$B$13=2, Enginuity!$B$13=4)),
      AND(LEFT(P564,5)="3-Way", OR(Enginuity!$B$13=3, Enginuity!$B$13=6)),
      AND(P564="Inner Centre Jamb", OR(Enginuity!$B$13=4, Enginuity!$B$13=6)),
      AND(
        LEFT(P564,5)&lt;&gt;"1-Way",
        LEFT(P564,5)&lt;&gt;"2-Way",
        LEFT(P564,5)&lt;&gt;"3-Way",
        P564&lt;&gt;"Inner Centre Jamb"
      )
    ),
    IF(OR(Enginuity!$A$1="Frameless Glass",Enginuity!$A$1="Metal Work"),
      AND(TRIM(B564)=TRIM(Enginuity!$A$17),TRIM(C564)=TRIM(Enginuity!$A$18)),
      TRIM(B564)=TRIM(Enginuity!$A$17)
    )
  ),
  ROW(),
  ""
)</f>
        <v/>
      </c>
    </row>
    <row r="565" spans="1:21" x14ac:dyDescent="0.25">
      <c r="A565" s="10" t="s">
        <v>768</v>
      </c>
      <c r="B565" s="229" t="s">
        <v>84</v>
      </c>
      <c r="C565" s="10"/>
      <c r="D565" s="14"/>
      <c r="E565" s="157"/>
      <c r="F565" s="10"/>
      <c r="G565" s="17"/>
      <c r="H565" s="10"/>
      <c r="I565" s="17"/>
      <c r="J565" s="83"/>
      <c r="K565" s="343"/>
      <c r="L565" s="347"/>
      <c r="M565" s="89">
        <v>25</v>
      </c>
      <c r="N565" s="10"/>
      <c r="O565" s="22"/>
      <c r="P565" s="14"/>
      <c r="Q565" s="83"/>
      <c r="U565" s="104" t="str">
        <f>IF(
  AND(
    TRIM(A565)=TRIM(Enginuity!$A$1),
    TRIM(B565)=TRIM(Enginuity!$A$17),
    Q565&lt;&gt;"",
    Q565&lt;&gt;0,
    OR(
      TRIM(C565)=TRIM(Enginuity!$A$18),
      AND(UPPER(TRIM(M565))="STD", TRIM(B565)=TRIM(Enginuity!$A$17))
    ),
    OR(
      AND(LEFT(P565,5)="1-Way", Enginuity!$B$13=1),
      AND(LEFT(P565,5)="2-Way", OR(Enginuity!$B$13=2, Enginuity!$B$13=4)),
      AND(LEFT(P565,5)="3-Way", OR(Enginuity!$B$13=3, Enginuity!$B$13=6)),
      AND(P565="Inner Centre Jamb", OR(Enginuity!$B$13=4, Enginuity!$B$13=6)),
      AND(
        LEFT(P565,5)&lt;&gt;"1-Way",
        LEFT(P565,5)&lt;&gt;"2-Way",
        LEFT(P565,5)&lt;&gt;"3-Way",
        P565&lt;&gt;"Inner Centre Jamb"
      )
    ),
    IF(OR(Enginuity!$A$1="Frameless Glass",Enginuity!$A$1="Metal Work"),
      AND(TRIM(B565)=TRIM(Enginuity!$A$17),TRIM(C565)=TRIM(Enginuity!$A$18)),
      TRIM(B565)=TRIM(Enginuity!$A$17)
    )
  ),
  ROW(),
  ""
)</f>
        <v/>
      </c>
    </row>
    <row r="566" spans="1:21" x14ac:dyDescent="0.25">
      <c r="A566" s="10" t="s">
        <v>768</v>
      </c>
      <c r="B566" s="229" t="s">
        <v>84</v>
      </c>
      <c r="C566" s="10"/>
      <c r="D566" s="14"/>
      <c r="E566" s="157"/>
      <c r="F566" s="10"/>
      <c r="G566" s="17"/>
      <c r="H566" s="10"/>
      <c r="I566" s="17"/>
      <c r="J566" s="83"/>
      <c r="K566" s="343"/>
      <c r="L566" s="347"/>
      <c r="M566" s="89">
        <v>26</v>
      </c>
      <c r="N566" s="10"/>
      <c r="O566" s="22"/>
      <c r="P566" s="14"/>
      <c r="Q566" s="83"/>
      <c r="U566" s="104" t="str">
        <f>IF(
  AND(
    TRIM(A566)=TRIM(Enginuity!$A$1),
    TRIM(B566)=TRIM(Enginuity!$A$17),
    Q566&lt;&gt;"",
    Q566&lt;&gt;0,
    OR(
      TRIM(C566)=TRIM(Enginuity!$A$18),
      AND(UPPER(TRIM(M566))="STD", TRIM(B566)=TRIM(Enginuity!$A$17))
    ),
    OR(
      AND(LEFT(P566,5)="1-Way", Enginuity!$B$13=1),
      AND(LEFT(P566,5)="2-Way", OR(Enginuity!$B$13=2, Enginuity!$B$13=4)),
      AND(LEFT(P566,5)="3-Way", OR(Enginuity!$B$13=3, Enginuity!$B$13=6)),
      AND(P566="Inner Centre Jamb", OR(Enginuity!$B$13=4, Enginuity!$B$13=6)),
      AND(
        LEFT(P566,5)&lt;&gt;"1-Way",
        LEFT(P566,5)&lt;&gt;"2-Way",
        LEFT(P566,5)&lt;&gt;"3-Way",
        P566&lt;&gt;"Inner Centre Jamb"
      )
    ),
    IF(OR(Enginuity!$A$1="Frameless Glass",Enginuity!$A$1="Metal Work"),
      AND(TRIM(B566)=TRIM(Enginuity!$A$17),TRIM(C566)=TRIM(Enginuity!$A$18)),
      TRIM(B566)=TRIM(Enginuity!$A$17)
    )
  ),
  ROW(),
  ""
)</f>
        <v/>
      </c>
    </row>
    <row r="567" spans="1:21" x14ac:dyDescent="0.25">
      <c r="A567" s="10" t="s">
        <v>768</v>
      </c>
      <c r="B567" s="229" t="s">
        <v>84</v>
      </c>
      <c r="C567" s="10"/>
      <c r="D567" s="14"/>
      <c r="E567" s="157"/>
      <c r="F567" s="10"/>
      <c r="G567" s="17"/>
      <c r="H567" s="10"/>
      <c r="I567" s="17"/>
      <c r="J567" s="83"/>
      <c r="K567" s="343"/>
      <c r="L567" s="347"/>
      <c r="M567" s="89">
        <v>27</v>
      </c>
      <c r="N567" s="10"/>
      <c r="O567" s="22"/>
      <c r="P567" s="14"/>
      <c r="Q567" s="83"/>
      <c r="U567" s="104" t="str">
        <f>IF(
  AND(
    TRIM(A567)=TRIM(Enginuity!$A$1),
    TRIM(B567)=TRIM(Enginuity!$A$17),
    Q567&lt;&gt;"",
    Q567&lt;&gt;0,
    OR(
      TRIM(C567)=TRIM(Enginuity!$A$18),
      AND(UPPER(TRIM(M567))="STD", TRIM(B567)=TRIM(Enginuity!$A$17))
    ),
    OR(
      AND(LEFT(P567,5)="1-Way", Enginuity!$B$13=1),
      AND(LEFT(P567,5)="2-Way", OR(Enginuity!$B$13=2, Enginuity!$B$13=4)),
      AND(LEFT(P567,5)="3-Way", OR(Enginuity!$B$13=3, Enginuity!$B$13=6)),
      AND(P567="Inner Centre Jamb", OR(Enginuity!$B$13=4, Enginuity!$B$13=6)),
      AND(
        LEFT(P567,5)&lt;&gt;"1-Way",
        LEFT(P567,5)&lt;&gt;"2-Way",
        LEFT(P567,5)&lt;&gt;"3-Way",
        P567&lt;&gt;"Inner Centre Jamb"
      )
    ),
    IF(OR(Enginuity!$A$1="Frameless Glass",Enginuity!$A$1="Metal Work"),
      AND(TRIM(B567)=TRIM(Enginuity!$A$17),TRIM(C567)=TRIM(Enginuity!$A$18)),
      TRIM(B567)=TRIM(Enginuity!$A$17)
    )
  ),
  ROW(),
  ""
)</f>
        <v/>
      </c>
    </row>
    <row r="568" spans="1:21" x14ac:dyDescent="0.25">
      <c r="A568" s="10" t="s">
        <v>768</v>
      </c>
      <c r="B568" s="229" t="s">
        <v>84</v>
      </c>
      <c r="C568" s="10"/>
      <c r="D568" s="14"/>
      <c r="E568" s="157"/>
      <c r="F568" s="10"/>
      <c r="G568" s="17"/>
      <c r="H568" s="10"/>
      <c r="I568" s="17"/>
      <c r="J568" s="83"/>
      <c r="K568" s="343"/>
      <c r="L568" s="347"/>
      <c r="M568" s="89">
        <v>28</v>
      </c>
      <c r="N568" s="10"/>
      <c r="O568" s="22"/>
      <c r="P568" s="21"/>
      <c r="Q568" s="83"/>
      <c r="U568" s="104" t="str">
        <f>IF(
  AND(
    TRIM(A568)=TRIM(Enginuity!$A$1),
    TRIM(B568)=TRIM(Enginuity!$A$17),
    Q568&lt;&gt;"",
    Q568&lt;&gt;0,
    OR(
      TRIM(C568)=TRIM(Enginuity!$A$18),
      AND(UPPER(TRIM(M568))="STD", TRIM(B568)=TRIM(Enginuity!$A$17))
    ),
    OR(
      AND(LEFT(P568,5)="1-Way", Enginuity!$B$13=1),
      AND(LEFT(P568,5)="2-Way", OR(Enginuity!$B$13=2, Enginuity!$B$13=4)),
      AND(LEFT(P568,5)="3-Way", OR(Enginuity!$B$13=3, Enginuity!$B$13=6)),
      AND(P568="Inner Centre Jamb", OR(Enginuity!$B$13=4, Enginuity!$B$13=6)),
      AND(
        LEFT(P568,5)&lt;&gt;"1-Way",
        LEFT(P568,5)&lt;&gt;"2-Way",
        LEFT(P568,5)&lt;&gt;"3-Way",
        P568&lt;&gt;"Inner Centre Jamb"
      )
    ),
    IF(OR(Enginuity!$A$1="Frameless Glass",Enginuity!$A$1="Metal Work"),
      AND(TRIM(B568)=TRIM(Enginuity!$A$17),TRIM(C568)=TRIM(Enginuity!$A$18)),
      TRIM(B568)=TRIM(Enginuity!$A$17)
    )
  ),
  ROW(),
  ""
)</f>
        <v/>
      </c>
    </row>
    <row r="569" spans="1:21" x14ac:dyDescent="0.25">
      <c r="A569" s="10" t="s">
        <v>768</v>
      </c>
      <c r="B569" s="229" t="s">
        <v>84</v>
      </c>
      <c r="C569" s="10"/>
      <c r="D569" s="14"/>
      <c r="E569" s="157"/>
      <c r="F569" s="10"/>
      <c r="G569" s="17"/>
      <c r="H569" s="10"/>
      <c r="I569" s="17"/>
      <c r="J569" s="83"/>
      <c r="K569" s="343"/>
      <c r="L569" s="347"/>
      <c r="M569" s="10" t="s">
        <v>117</v>
      </c>
      <c r="N569" s="10" t="s">
        <v>121</v>
      </c>
      <c r="O569" s="22">
        <f>$B$21</f>
        <v>16.46</v>
      </c>
      <c r="P569" s="21" t="str">
        <f>$A$21</f>
        <v>Black Stainless Steel Mesh</v>
      </c>
      <c r="Q569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569" s="104" t="str">
        <f>IF(
  AND(
    TRIM(A569)=TRIM(Enginuity!$A$1),
    TRIM(B569)=TRIM(Enginuity!$A$17),
    Q569&lt;&gt;"",
    Q569&lt;&gt;0,
    OR(
      TRIM(C569)=TRIM(Enginuity!$A$18),
      AND(UPPER(TRIM(M569))="STD", TRIM(B569)=TRIM(Enginuity!$A$17))
    ),
    OR(
      AND(LEFT(P569,5)="1-Way", Enginuity!$B$13=1),
      AND(LEFT(P569,5)="2-Way", OR(Enginuity!$B$13=2, Enginuity!$B$13=4)),
      AND(LEFT(P569,5)="3-Way", OR(Enginuity!$B$13=3, Enginuity!$B$13=6)),
      AND(P569="Inner Centre Jamb", OR(Enginuity!$B$13=4, Enginuity!$B$13=6)),
      AND(
        LEFT(P569,5)&lt;&gt;"1-Way",
        LEFT(P569,5)&lt;&gt;"2-Way",
        LEFT(P569,5)&lt;&gt;"3-Way",
        P569&lt;&gt;"Inner Centre Jamb"
      )
    ),
    IF(OR(Enginuity!$A$1="Frameless Glass",Enginuity!$A$1="Metal Work"),
      AND(TRIM(B569)=TRIM(Enginuity!$A$17),TRIM(C569)=TRIM(Enginuity!$A$18)),
      TRIM(B569)=TRIM(Enginuity!$A$17)
    )
  ),
  ROW(),
  ""
)</f>
        <v/>
      </c>
    </row>
    <row r="570" spans="1:21" x14ac:dyDescent="0.25">
      <c r="A570" s="10" t="s">
        <v>768</v>
      </c>
      <c r="B570" s="229" t="s">
        <v>84</v>
      </c>
      <c r="C570" s="10"/>
      <c r="D570" s="14"/>
      <c r="E570" s="157"/>
      <c r="F570" s="10"/>
      <c r="G570" s="17"/>
      <c r="H570" s="10"/>
      <c r="I570" s="17"/>
      <c r="J570" s="83"/>
      <c r="K570" s="343"/>
      <c r="L570" s="347"/>
      <c r="M570" s="10" t="s">
        <v>117</v>
      </c>
      <c r="N570" s="10" t="s">
        <v>121</v>
      </c>
      <c r="O570" s="22" t="str">
        <f>$O$2</f>
        <v/>
      </c>
      <c r="P570" s="21" t="str">
        <f>Enginuity!$A$19</f>
        <v>W/G</v>
      </c>
      <c r="Q570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570" s="104" t="str">
        <f>IF(
  AND(
    TRIM(A570)=TRIM(Enginuity!$A$1),
    TRIM(B570)=TRIM(Enginuity!$A$17),
    Q570&lt;&gt;"",
    Q570&lt;&gt;0,
    OR(
      TRIM(C570)=TRIM(Enginuity!$A$18),
      AND(UPPER(TRIM(M570))="STD", TRIM(B570)=TRIM(Enginuity!$A$17))
    ),
    OR(
      AND(LEFT(P570,5)="1-Way", Enginuity!$B$13=1),
      AND(LEFT(P570,5)="2-Way", OR(Enginuity!$B$13=2, Enginuity!$B$13=4)),
      AND(LEFT(P570,5)="3-Way", OR(Enginuity!$B$13=3, Enginuity!$B$13=6)),
      AND(P570="Inner Centre Jamb", OR(Enginuity!$B$13=4, Enginuity!$B$13=6)),
      AND(
        LEFT(P570,5)&lt;&gt;"1-Way",
        LEFT(P570,5)&lt;&gt;"2-Way",
        LEFT(P570,5)&lt;&gt;"3-Way",
        P570&lt;&gt;"Inner Centre Jamb"
      )
    ),
    IF(OR(Enginuity!$A$1="Frameless Glass",Enginuity!$A$1="Metal Work"),
      AND(TRIM(B570)=TRIM(Enginuity!$A$17),TRIM(C570)=TRIM(Enginuity!$A$18)),
      TRIM(B570)=TRIM(Enginuity!$A$17)
    )
  ),
  ROW(),
  ""
)</f>
        <v/>
      </c>
    </row>
    <row r="571" spans="1:21" x14ac:dyDescent="0.25">
      <c r="A571" s="10" t="s">
        <v>768</v>
      </c>
      <c r="B571" s="229" t="s">
        <v>84</v>
      </c>
      <c r="C571" s="10"/>
      <c r="D571" s="14"/>
      <c r="E571" s="157"/>
      <c r="F571" s="10"/>
      <c r="G571" s="17"/>
      <c r="H571" s="10"/>
      <c r="I571" s="17"/>
      <c r="J571" s="83"/>
      <c r="K571" s="343"/>
      <c r="L571" s="347"/>
      <c r="M571" s="10" t="s">
        <v>117</v>
      </c>
      <c r="N571" s="10" t="s">
        <v>103</v>
      </c>
      <c r="O571" s="22">
        <v>0.4</v>
      </c>
      <c r="P571" s="14" t="s">
        <v>115</v>
      </c>
      <c r="Q571" s="83">
        <f>IF(AND(Enginuity!$B$6&gt;0, Enginuity!$B$7&gt;0), ROUND(((Enginuity!$B$6 + Enginuity!$B$7) * 2), 2), "")</f>
        <v>66</v>
      </c>
      <c r="U571" s="104" t="str">
        <f>IF(
  AND(
    TRIM(A571)=TRIM(Enginuity!$A$1),
    TRIM(B571)=TRIM(Enginuity!$A$17),
    Q571&lt;&gt;"",
    Q571&lt;&gt;0,
    OR(
      TRIM(C571)=TRIM(Enginuity!$A$18),
      AND(UPPER(TRIM(M571))="STD", TRIM(B571)=TRIM(Enginuity!$A$17))
    ),
    OR(
      AND(LEFT(P571,5)="1-Way", Enginuity!$B$13=1),
      AND(LEFT(P571,5)="2-Way", OR(Enginuity!$B$13=2, Enginuity!$B$13=4)),
      AND(LEFT(P571,5)="3-Way", OR(Enginuity!$B$13=3, Enginuity!$B$13=6)),
      AND(P571="Inner Centre Jamb", OR(Enginuity!$B$13=4, Enginuity!$B$13=6)),
      AND(
        LEFT(P571,5)&lt;&gt;"1-Way",
        LEFT(P571,5)&lt;&gt;"2-Way",
        LEFT(P571,5)&lt;&gt;"3-Way",
        P571&lt;&gt;"Inner Centre Jamb"
      )
    ),
    IF(OR(Enginuity!$A$1="Frameless Glass",Enginuity!$A$1="Metal Work"),
      AND(TRIM(B571)=TRIM(Enginuity!$A$17),TRIM(C571)=TRIM(Enginuity!$A$18)),
      TRIM(B571)=TRIM(Enginuity!$A$17)
    )
  ),
  ROW(),
  ""
)</f>
        <v/>
      </c>
    </row>
    <row r="572" spans="1:21" x14ac:dyDescent="0.25">
      <c r="A572" s="10" t="s">
        <v>768</v>
      </c>
      <c r="B572" s="229" t="s">
        <v>84</v>
      </c>
      <c r="C572" s="10"/>
      <c r="D572" s="14"/>
      <c r="E572" s="157"/>
      <c r="F572" s="10"/>
      <c r="G572" s="17"/>
      <c r="H572" s="10"/>
      <c r="I572" s="17"/>
      <c r="J572" s="83"/>
      <c r="K572" s="343"/>
      <c r="L572" s="347"/>
      <c r="M572" s="10" t="s">
        <v>117</v>
      </c>
      <c r="N572" s="10" t="s">
        <v>103</v>
      </c>
      <c r="O572" s="22">
        <v>0.4</v>
      </c>
      <c r="P572" s="14" t="s">
        <v>116</v>
      </c>
      <c r="Q572" s="83">
        <f>IF(AND(Enginuity!$B$6&gt;0, Enginuity!$B$7&gt;0, Enginuity!$B$13&gt;0), (2 * Enginuity!$B$7 * Enginuity!$B$13) + (2 * Enginuity!$B$6), "")</f>
        <v>222</v>
      </c>
      <c r="U572" s="104" t="str">
        <f>IF(
  AND(
    TRIM(A572)=TRIM(Enginuity!$A$1),
    TRIM(B572)=TRIM(Enginuity!$A$17),
    Q572&lt;&gt;"",
    Q572&lt;&gt;0,
    OR(
      TRIM(C572)=TRIM(Enginuity!$A$18),
      AND(UPPER(TRIM(M572))="STD", TRIM(B572)=TRIM(Enginuity!$A$17))
    ),
    OR(
      AND(LEFT(P572,5)="1-Way", Enginuity!$B$13=1),
      AND(LEFT(P572,5)="2-Way", OR(Enginuity!$B$13=2, Enginuity!$B$13=4)),
      AND(LEFT(P572,5)="3-Way", OR(Enginuity!$B$13=3, Enginuity!$B$13=6)),
      AND(P572="Inner Centre Jamb", OR(Enginuity!$B$13=4, Enginuity!$B$13=6)),
      AND(
        LEFT(P572,5)&lt;&gt;"1-Way",
        LEFT(P572,5)&lt;&gt;"2-Way",
        LEFT(P572,5)&lt;&gt;"3-Way",
        P572&lt;&gt;"Inner Centre Jamb"
      )
    ),
    IF(OR(Enginuity!$A$1="Frameless Glass",Enginuity!$A$1="Metal Work"),
      AND(TRIM(B572)=TRIM(Enginuity!$A$17),TRIM(C572)=TRIM(Enginuity!$A$18)),
      TRIM(B572)=TRIM(Enginuity!$A$17)
    )
  ),
  ROW(),
  ""
)</f>
        <v/>
      </c>
    </row>
    <row r="573" spans="1:21" x14ac:dyDescent="0.25">
      <c r="A573" s="10" t="s">
        <v>768</v>
      </c>
      <c r="B573" s="229" t="s">
        <v>84</v>
      </c>
      <c r="C573" s="10"/>
      <c r="D573" s="14"/>
      <c r="E573" s="157"/>
      <c r="F573" s="10"/>
      <c r="G573" s="17"/>
      <c r="H573" s="10"/>
      <c r="I573" s="17"/>
      <c r="J573" s="83"/>
      <c r="K573" s="343"/>
      <c r="L573" s="347"/>
      <c r="M573" s="10" t="s">
        <v>117</v>
      </c>
      <c r="N573" s="10" t="s">
        <v>103</v>
      </c>
      <c r="O573" s="22">
        <v>0.8</v>
      </c>
      <c r="P573" s="14" t="s">
        <v>272</v>
      </c>
      <c r="Q573" s="83">
        <f>IF(AND(Enginuity!$B$6&gt;0, Enginuity!$B$7&gt;0, Enginuity!$B$13&gt;0), ((2*Enginuity!$B$7*Enginuity!$B$13)+(2*Enginuity!$B$6))*2, "")</f>
        <v>444</v>
      </c>
      <c r="U573" s="104" t="str">
        <f>IF(
  AND(
    TRIM(A573)=TRIM(Enginuity!$A$1),
    TRIM(B573)=TRIM(Enginuity!$A$17),
    Q573&lt;&gt;"",
    Q573&lt;&gt;0,
    OR(
      TRIM(C573)=TRIM(Enginuity!$A$18),
      AND(UPPER(TRIM(M573))="STD", TRIM(B573)=TRIM(Enginuity!$A$17))
    ),
    OR(
      AND(LEFT(P573,5)="1-Way", Enginuity!$B$13=1),
      AND(LEFT(P573,5)="2-Way", OR(Enginuity!$B$13=2, Enginuity!$B$13=4)),
      AND(LEFT(P573,5)="3-Way", OR(Enginuity!$B$13=3, Enginuity!$B$13=6)),
      AND(P573="Inner Centre Jamb", OR(Enginuity!$B$13=4, Enginuity!$B$13=6)),
      AND(
        LEFT(P573,5)&lt;&gt;"1-Way",
        LEFT(P573,5)&lt;&gt;"2-Way",
        LEFT(P573,5)&lt;&gt;"3-Way",
        P573&lt;&gt;"Inner Centre Jamb"
      )
    ),
    IF(OR(Enginuity!$A$1="Frameless Glass",Enginuity!$A$1="Metal Work"),
      AND(TRIM(B573)=TRIM(Enginuity!$A$17),TRIM(C573)=TRIM(Enginuity!$A$18)),
      TRIM(B573)=TRIM(Enginuity!$A$17)
    )
  ),
  ROW(),
  ""
)</f>
        <v/>
      </c>
    </row>
    <row r="574" spans="1:21" x14ac:dyDescent="0.25">
      <c r="A574" s="10" t="s">
        <v>768</v>
      </c>
      <c r="B574" s="229" t="s">
        <v>84</v>
      </c>
      <c r="C574" s="10"/>
      <c r="D574" s="14"/>
      <c r="E574" s="157"/>
      <c r="F574" s="10"/>
      <c r="G574" s="17"/>
      <c r="H574" s="10"/>
      <c r="I574" s="17"/>
      <c r="J574" s="83"/>
      <c r="K574" s="343"/>
      <c r="L574" s="347"/>
      <c r="M574" s="10" t="s">
        <v>117</v>
      </c>
      <c r="N574" s="10" t="s">
        <v>103</v>
      </c>
      <c r="O574" s="22">
        <v>0.12</v>
      </c>
      <c r="P574" s="14" t="s">
        <v>280</v>
      </c>
      <c r="Q574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576</v>
      </c>
      <c r="U574" s="104" t="str">
        <f>IF(
  AND(
    TRIM(A574)=TRIM(Enginuity!$A$1),
    TRIM(B574)=TRIM(Enginuity!$A$17),
    Q574&lt;&gt;"",
    Q574&lt;&gt;0,
    OR(
      TRIM(C574)=TRIM(Enginuity!$A$18),
      AND(UPPER(TRIM(M574))="STD", TRIM(B574)=TRIM(Enginuity!$A$17))
    ),
    OR(
      AND(LEFT(P574,5)="1-Way", Enginuity!$B$13=1),
      AND(LEFT(P574,5)="2-Way", OR(Enginuity!$B$13=2, Enginuity!$B$13=4)),
      AND(LEFT(P574,5)="3-Way", OR(Enginuity!$B$13=3, Enginuity!$B$13=6)),
      AND(P574="Inner Centre Jamb", OR(Enginuity!$B$13=4, Enginuity!$B$13=6)),
      AND(
        LEFT(P574,5)&lt;&gt;"1-Way",
        LEFT(P574,5)&lt;&gt;"2-Way",
        LEFT(P574,5)&lt;&gt;"3-Way",
        P574&lt;&gt;"Inner Centre Jamb"
      )
    ),
    IF(OR(Enginuity!$A$1="Frameless Glass",Enginuity!$A$1="Metal Work"),
      AND(TRIM(B574)=TRIM(Enginuity!$A$17),TRIM(C574)=TRIM(Enginuity!$A$18)),
      TRIM(B574)=TRIM(Enginuity!$A$17)
    )
  ),
  ROW(),
  ""
)</f>
        <v/>
      </c>
    </row>
    <row r="575" spans="1:21" x14ac:dyDescent="0.25">
      <c r="A575" s="10" t="s">
        <v>768</v>
      </c>
      <c r="B575" s="229" t="s">
        <v>84</v>
      </c>
      <c r="C575" s="10"/>
      <c r="D575" s="14"/>
      <c r="E575" s="157"/>
      <c r="F575" s="10"/>
      <c r="G575" s="17"/>
      <c r="H575" s="10"/>
      <c r="I575" s="17"/>
      <c r="J575" s="83"/>
      <c r="K575" s="343"/>
      <c r="L575" s="347"/>
      <c r="M575" s="10" t="s">
        <v>117</v>
      </c>
      <c r="N575" s="10" t="s">
        <v>112</v>
      </c>
      <c r="O575" s="22">
        <v>25</v>
      </c>
      <c r="P575" s="14" t="s">
        <v>125</v>
      </c>
      <c r="Q575" s="83">
        <f>Enginuity!$B$13*IF(TRIM(Enginuity!$A$21)="1'H X ?'W X Qty Panel Top Hung (Casement Profile)",2,1)</f>
        <v>7</v>
      </c>
      <c r="U575" s="104" t="str">
        <f>IF(
  AND(
    TRIM(A575)=TRIM(Enginuity!$A$1),
    TRIM(B575)=TRIM(Enginuity!$A$17),
    Q575&lt;&gt;"",
    Q575&lt;&gt;0,
    OR(
      TRIM(C575)=TRIM(Enginuity!$A$18),
      AND(UPPER(TRIM(M575))="STD", TRIM(B575)=TRIM(Enginuity!$A$17))
    ),
    OR(
      AND(LEFT(P575,5)="1-Way", Enginuity!$B$13=1),
      AND(LEFT(P575,5)="2-Way", OR(Enginuity!$B$13=2, Enginuity!$B$13=4)),
      AND(LEFT(P575,5)="3-Way", OR(Enginuity!$B$13=3, Enginuity!$B$13=6)),
      AND(P575="Inner Centre Jamb", OR(Enginuity!$B$13=4, Enginuity!$B$13=6)),
      AND(
        LEFT(P575,5)&lt;&gt;"1-Way",
        LEFT(P575,5)&lt;&gt;"2-Way",
        LEFT(P575,5)&lt;&gt;"3-Way",
        P575&lt;&gt;"Inner Centre Jamb"
      )
    ),
    IF(OR(Enginuity!$A$1="Frameless Glass",Enginuity!$A$1="Metal Work"),
      AND(TRIM(B575)=TRIM(Enginuity!$A$17),TRIM(C575)=TRIM(Enginuity!$A$18)),
      TRIM(B575)=TRIM(Enginuity!$A$17)
    )
  ),
  ROW(),
  ""
)</f>
        <v/>
      </c>
    </row>
    <row r="576" spans="1:21" x14ac:dyDescent="0.25">
      <c r="A576" s="10" t="s">
        <v>768</v>
      </c>
      <c r="B576" s="229" t="s">
        <v>84</v>
      </c>
      <c r="C576" s="10"/>
      <c r="D576" s="14"/>
      <c r="E576" s="157"/>
      <c r="F576" s="10"/>
      <c r="G576" s="17"/>
      <c r="H576" s="10"/>
      <c r="I576" s="17"/>
      <c r="J576" s="83"/>
      <c r="K576" s="343"/>
      <c r="L576" s="347"/>
      <c r="M576" s="10" t="s">
        <v>117</v>
      </c>
      <c r="N576" s="88" t="s">
        <v>112</v>
      </c>
      <c r="O576" s="22">
        <v>4.5</v>
      </c>
      <c r="P576" s="36" t="s">
        <v>124</v>
      </c>
      <c r="Q576" s="83">
        <f>Enginuity!$B$13*IF(TRIM(Enginuity!$A$21)="1'H X ?'W X Qty Panel Top Hung (Casement Profile)",2,1)</f>
        <v>7</v>
      </c>
      <c r="U576" s="104" t="str">
        <f>IF(
  AND(
    TRIM(A576)=TRIM(Enginuity!$A$1),
    TRIM(B576)=TRIM(Enginuity!$A$17),
    Q576&lt;&gt;"",
    Q576&lt;&gt;0,
    OR(
      TRIM(C576)=TRIM(Enginuity!$A$18),
      AND(UPPER(TRIM(M576))="STD", TRIM(B576)=TRIM(Enginuity!$A$17))
    ),
    OR(
      AND(LEFT(P576,5)="1-Way", Enginuity!$B$13=1),
      AND(LEFT(P576,5)="2-Way", OR(Enginuity!$B$13=2, Enginuity!$B$13=4)),
      AND(LEFT(P576,5)="3-Way", OR(Enginuity!$B$13=3, Enginuity!$B$13=6)),
      AND(P576="Inner Centre Jamb", OR(Enginuity!$B$13=4, Enginuity!$B$13=6)),
      AND(
        LEFT(P576,5)&lt;&gt;"1-Way",
        LEFT(P576,5)&lt;&gt;"2-Way",
        LEFT(P576,5)&lt;&gt;"3-Way",
        P576&lt;&gt;"Inner Centre Jamb"
      )
    ),
    IF(OR(Enginuity!$A$1="Frameless Glass",Enginuity!$A$1="Metal Work"),
      AND(TRIM(B576)=TRIM(Enginuity!$A$17),TRIM(C576)=TRIM(Enginuity!$A$18)),
      TRIM(B576)=TRIM(Enginuity!$A$17)
    )
  ),
  ROW(),
  ""
)</f>
        <v/>
      </c>
    </row>
    <row r="577" spans="1:21" x14ac:dyDescent="0.25">
      <c r="A577" s="10" t="s">
        <v>768</v>
      </c>
      <c r="B577" s="229" t="s">
        <v>84</v>
      </c>
      <c r="C577" s="10"/>
      <c r="D577" s="14"/>
      <c r="E577" s="157"/>
      <c r="F577" s="10"/>
      <c r="G577" s="17"/>
      <c r="H577" s="10"/>
      <c r="I577" s="17"/>
      <c r="J577" s="83"/>
      <c r="K577" s="343"/>
      <c r="L577" s="347"/>
      <c r="M577" s="10" t="s">
        <v>117</v>
      </c>
      <c r="N577" s="10" t="s">
        <v>112</v>
      </c>
      <c r="O577" s="22">
        <v>1</v>
      </c>
      <c r="P577" s="14" t="s">
        <v>132</v>
      </c>
      <c r="Q577" s="83">
        <f>IF(AND(ISNUMBER(Enginuity!$B$13), Enginuity!$B$13&gt;0), Enginuity!$B$13*4, "")</f>
        <v>28</v>
      </c>
      <c r="U577" s="104" t="str">
        <f>IF(
  AND(
    TRIM(A577)=TRIM(Enginuity!$A$1),
    TRIM(B577)=TRIM(Enginuity!$A$17),
    Q577&lt;&gt;"",
    Q577&lt;&gt;0,
    OR(
      TRIM(C577)=TRIM(Enginuity!$A$18),
      AND(UPPER(TRIM(M577))="STD", TRIM(B577)=TRIM(Enginuity!$A$17))
    ),
    OR(
      AND(LEFT(P577,5)="1-Way", Enginuity!$B$13=1),
      AND(LEFT(P577,5)="2-Way", OR(Enginuity!$B$13=2, Enginuity!$B$13=4)),
      AND(LEFT(P577,5)="3-Way", OR(Enginuity!$B$13=3, Enginuity!$B$13=6)),
      AND(P577="Inner Centre Jamb", OR(Enginuity!$B$13=4, Enginuity!$B$13=6)),
      AND(
        LEFT(P577,5)&lt;&gt;"1-Way",
        LEFT(P577,5)&lt;&gt;"2-Way",
        LEFT(P577,5)&lt;&gt;"3-Way",
        P577&lt;&gt;"Inner Centre Jamb"
      )
    ),
    IF(OR(Enginuity!$A$1="Frameless Glass",Enginuity!$A$1="Metal Work"),
      AND(TRIM(B577)=TRIM(Enginuity!$A$17),TRIM(C577)=TRIM(Enginuity!$A$18)),
      TRIM(B577)=TRIM(Enginuity!$A$17)
    )
  ),
  ROW(),
  ""
)</f>
        <v/>
      </c>
    </row>
    <row r="578" spans="1:21" x14ac:dyDescent="0.25">
      <c r="A578" s="10" t="s">
        <v>768</v>
      </c>
      <c r="B578" s="229" t="s">
        <v>84</v>
      </c>
      <c r="C578" s="10"/>
      <c r="D578" s="14"/>
      <c r="E578" s="157"/>
      <c r="F578" s="10"/>
      <c r="G578" s="17"/>
      <c r="H578" s="10"/>
      <c r="I578" s="17"/>
      <c r="J578" s="83"/>
      <c r="K578" s="343"/>
      <c r="L578" s="347"/>
      <c r="M578" s="10" t="s">
        <v>117</v>
      </c>
      <c r="N578" s="10" t="s">
        <v>112</v>
      </c>
      <c r="O578" s="22">
        <v>1</v>
      </c>
      <c r="P578" s="14" t="s">
        <v>132</v>
      </c>
      <c r="Q578" s="83">
        <f>IF(AND(ISNUMBER(Enginuity!$B$13), Enginuity!$B$13&gt;0), Enginuity!$B$13*4, "")</f>
        <v>28</v>
      </c>
      <c r="U578" s="104" t="str">
        <f>IF(
  AND(
    TRIM(A578)=TRIM(Enginuity!$A$1),
    TRIM(B578)=TRIM(Enginuity!$A$17),
    Q578&lt;&gt;"",
    Q578&lt;&gt;0,
    OR(
      TRIM(C578)=TRIM(Enginuity!$A$18),
      AND(UPPER(TRIM(M578))="STD", TRIM(B578)=TRIM(Enginuity!$A$17))
    ),
    OR(
      AND(LEFT(P578,5)="1-Way", Enginuity!$B$13=1),
      AND(LEFT(P578,5)="2-Way", OR(Enginuity!$B$13=2, Enginuity!$B$13=4)),
      AND(LEFT(P578,5)="3-Way", OR(Enginuity!$B$13=3, Enginuity!$B$13=6)),
      AND(P578="Inner Centre Jamb", OR(Enginuity!$B$13=4, Enginuity!$B$13=6)),
      AND(
        LEFT(P578,5)&lt;&gt;"1-Way",
        LEFT(P578,5)&lt;&gt;"2-Way",
        LEFT(P578,5)&lt;&gt;"3-Way",
        P578&lt;&gt;"Inner Centre Jamb"
      )
    ),
    IF(OR(Enginuity!$A$1="Frameless Glass",Enginuity!$A$1="Metal Work"),
      AND(TRIM(B578)=TRIM(Enginuity!$A$17),TRIM(C578)=TRIM(Enginuity!$A$18)),
      TRIM(B578)=TRIM(Enginuity!$A$17)
    )
  ),
  ROW(),
  ""
)</f>
        <v/>
      </c>
    </row>
    <row r="579" spans="1:21" x14ac:dyDescent="0.25">
      <c r="A579" s="10" t="s">
        <v>768</v>
      </c>
      <c r="B579" s="229" t="s">
        <v>84</v>
      </c>
      <c r="C579" s="10"/>
      <c r="D579" s="14"/>
      <c r="E579" s="157"/>
      <c r="F579" s="10"/>
      <c r="G579" s="17"/>
      <c r="H579" s="10"/>
      <c r="I579" s="17"/>
      <c r="J579" s="83"/>
      <c r="K579" s="343"/>
      <c r="L579" s="347"/>
      <c r="M579" s="10" t="s">
        <v>117</v>
      </c>
      <c r="N579" s="10" t="s">
        <v>112</v>
      </c>
      <c r="O579" s="22">
        <v>1</v>
      </c>
      <c r="P579" s="14" t="s">
        <v>132</v>
      </c>
      <c r="Q579" s="83">
        <v>4</v>
      </c>
      <c r="U579" s="104" t="str">
        <f>IF(
  AND(
    TRIM(A579)=TRIM(Enginuity!$A$1),
    TRIM(B579)=TRIM(Enginuity!$A$17),
    Q579&lt;&gt;"",
    Q579&lt;&gt;0,
    OR(
      TRIM(C579)=TRIM(Enginuity!$A$18),
      AND(UPPER(TRIM(M579))="STD", TRIM(B579)=TRIM(Enginuity!$A$17))
    ),
    OR(
      AND(LEFT(P579,5)="1-Way", Enginuity!$B$13=1),
      AND(LEFT(P579,5)="2-Way", OR(Enginuity!$B$13=2, Enginuity!$B$13=4)),
      AND(LEFT(P579,5)="3-Way", OR(Enginuity!$B$13=3, Enginuity!$B$13=6)),
      AND(P579="Inner Centre Jamb", OR(Enginuity!$B$13=4, Enginuity!$B$13=6)),
      AND(
        LEFT(P579,5)&lt;&gt;"1-Way",
        LEFT(P579,5)&lt;&gt;"2-Way",
        LEFT(P579,5)&lt;&gt;"3-Way",
        P579&lt;&gt;"Inner Centre Jamb"
      )
    ),
    IF(OR(Enginuity!$A$1="Frameless Glass",Enginuity!$A$1="Metal Work"),
      AND(TRIM(B579)=TRIM(Enginuity!$A$17),TRIM(C579)=TRIM(Enginuity!$A$18)),
      TRIM(B579)=TRIM(Enginuity!$A$17)
    )
  ),
  ROW(),
  ""
)</f>
        <v/>
      </c>
    </row>
    <row r="580" spans="1:21" x14ac:dyDescent="0.25">
      <c r="A580" s="10" t="s">
        <v>768</v>
      </c>
      <c r="B580" s="229" t="s">
        <v>84</v>
      </c>
      <c r="C580" s="10"/>
      <c r="D580" s="14"/>
      <c r="E580" s="157"/>
      <c r="F580" s="10"/>
      <c r="G580" s="17"/>
      <c r="H580" s="10"/>
      <c r="I580" s="17"/>
      <c r="J580" s="83"/>
      <c r="K580" s="343"/>
      <c r="L580" s="347"/>
      <c r="M580" s="10" t="s">
        <v>117</v>
      </c>
      <c r="N580" s="10" t="s">
        <v>112</v>
      </c>
      <c r="O580" s="22">
        <v>0.45</v>
      </c>
      <c r="P580" s="14" t="s">
        <v>131</v>
      </c>
      <c r="Q580" s="83">
        <f>Enginuity!$B$13*4</f>
        <v>28</v>
      </c>
      <c r="U580" s="104" t="str">
        <f>IF(
  AND(
    TRIM(A580)=TRIM(Enginuity!$A$1),
    TRIM(B580)=TRIM(Enginuity!$A$17),
    Q580&lt;&gt;"",
    Q580&lt;&gt;0,
    OR(
      TRIM(C580)=TRIM(Enginuity!$A$18),
      AND(UPPER(TRIM(M580))="STD", TRIM(B580)=TRIM(Enginuity!$A$17))
    ),
    OR(
      AND(LEFT(P580,5)="1-Way", Enginuity!$B$13=1),
      AND(LEFT(P580,5)="2-Way", OR(Enginuity!$B$13=2, Enginuity!$B$13=4)),
      AND(LEFT(P580,5)="3-Way", OR(Enginuity!$B$13=3, Enginuity!$B$13=6)),
      AND(P580="Inner Centre Jamb", OR(Enginuity!$B$13=4, Enginuity!$B$13=6)),
      AND(
        LEFT(P580,5)&lt;&gt;"1-Way",
        LEFT(P580,5)&lt;&gt;"2-Way",
        LEFT(P580,5)&lt;&gt;"3-Way",
        P580&lt;&gt;"Inner Centre Jamb"
      )
    ),
    IF(OR(Enginuity!$A$1="Frameless Glass",Enginuity!$A$1="Metal Work"),
      AND(TRIM(B580)=TRIM(Enginuity!$A$17),TRIM(C580)=TRIM(Enginuity!$A$18)),
      TRIM(B580)=TRIM(Enginuity!$A$17)
    )
  ),
  ROW(),
  ""
)</f>
        <v/>
      </c>
    </row>
    <row r="581" spans="1:21" x14ac:dyDescent="0.25">
      <c r="A581" s="10" t="s">
        <v>768</v>
      </c>
      <c r="B581" s="229" t="s">
        <v>84</v>
      </c>
      <c r="C581" s="10"/>
      <c r="D581" s="14"/>
      <c r="E581" s="157"/>
      <c r="F581" s="10"/>
      <c r="G581" s="17"/>
      <c r="H581" s="10"/>
      <c r="I581" s="17"/>
      <c r="J581" s="83"/>
      <c r="K581" s="343"/>
      <c r="L581" s="347"/>
      <c r="M581" s="10" t="s">
        <v>117</v>
      </c>
      <c r="N581" s="10" t="s">
        <v>112</v>
      </c>
      <c r="O581" s="22">
        <v>3</v>
      </c>
      <c r="P581" s="14" t="s">
        <v>130</v>
      </c>
      <c r="Q581" s="83">
        <f>Enginuity!$B$13*
 IF(Enginuity!$B$7&lt;5,2,
 IF(Enginuity!$B$7&lt;6,3,
 IF(Enginuity!$B$7&lt;=7,4,5)))</f>
        <v>35</v>
      </c>
      <c r="U581" s="104" t="str">
        <f>IF(
  AND(
    TRIM(A581)=TRIM(Enginuity!$A$1),
    TRIM(B581)=TRIM(Enginuity!$A$17),
    Q581&lt;&gt;"",
    Q581&lt;&gt;0,
    OR(
      TRIM(C581)=TRIM(Enginuity!$A$18),
      AND(UPPER(TRIM(M581))="STD", TRIM(B581)=TRIM(Enginuity!$A$17))
    ),
    OR(
      AND(LEFT(P581,5)="1-Way", Enginuity!$B$13=1),
      AND(LEFT(P581,5)="2-Way", OR(Enginuity!$B$13=2, Enginuity!$B$13=4)),
      AND(LEFT(P581,5)="3-Way", OR(Enginuity!$B$13=3, Enginuity!$B$13=6)),
      AND(P581="Inner Centre Jamb", OR(Enginuity!$B$13=4, Enginuity!$B$13=6)),
      AND(
        LEFT(P581,5)&lt;&gt;"1-Way",
        LEFT(P581,5)&lt;&gt;"2-Way",
        LEFT(P581,5)&lt;&gt;"3-Way",
        P581&lt;&gt;"Inner Centre Jamb"
      )
    ),
    IF(OR(Enginuity!$A$1="Frameless Glass",Enginuity!$A$1="Metal Work"),
      AND(TRIM(B581)=TRIM(Enginuity!$A$17),TRIM(C581)=TRIM(Enginuity!$A$18)),
      TRIM(B581)=TRIM(Enginuity!$A$17)
    )
  ),
  ROW(),
  ""
)</f>
        <v/>
      </c>
    </row>
    <row r="582" spans="1:21" x14ac:dyDescent="0.25">
      <c r="A582" s="10" t="s">
        <v>768</v>
      </c>
      <c r="B582" s="229" t="s">
        <v>84</v>
      </c>
      <c r="C582" s="10"/>
      <c r="D582" s="14"/>
      <c r="E582" s="157"/>
      <c r="F582" s="10"/>
      <c r="G582" s="17"/>
      <c r="H582" s="10"/>
      <c r="I582" s="17"/>
      <c r="J582" s="83"/>
      <c r="K582" s="343"/>
      <c r="L582" s="347"/>
      <c r="M582" s="10" t="s">
        <v>117</v>
      </c>
      <c r="N582" s="10" t="s">
        <v>112</v>
      </c>
      <c r="O582" s="22">
        <v>12</v>
      </c>
      <c r="P582" s="14" t="s">
        <v>129</v>
      </c>
      <c r="Q582" s="83">
        <f>Enginuity!$B$13*
 IF(Enginuity!$B$7&lt;5,2,
 IF(Enginuity!$B$7&lt;6,3,
 IF(Enginuity!$B$7&lt;=7,4,5)))</f>
        <v>35</v>
      </c>
      <c r="U582" s="104" t="str">
        <f>IF(
  AND(
    TRIM(A582)=TRIM(Enginuity!$A$1),
    TRIM(B582)=TRIM(Enginuity!$A$17),
    Q582&lt;&gt;"",
    Q582&lt;&gt;0,
    OR(
      TRIM(C582)=TRIM(Enginuity!$A$18),
      AND(UPPER(TRIM(M582))="STD", TRIM(B582)=TRIM(Enginuity!$A$17))
    ),
    OR(
      AND(LEFT(P582,5)="1-Way", Enginuity!$B$13=1),
      AND(LEFT(P582,5)="2-Way", OR(Enginuity!$B$13=2, Enginuity!$B$13=4)),
      AND(LEFT(P582,5)="3-Way", OR(Enginuity!$B$13=3, Enginuity!$B$13=6)),
      AND(P582="Inner Centre Jamb", OR(Enginuity!$B$13=4, Enginuity!$B$13=6)),
      AND(
        LEFT(P582,5)&lt;&gt;"1-Way",
        LEFT(P582,5)&lt;&gt;"2-Way",
        LEFT(P582,5)&lt;&gt;"3-Way",
        P582&lt;&gt;"Inner Centre Jamb"
      )
    ),
    IF(OR(Enginuity!$A$1="Frameless Glass",Enginuity!$A$1="Metal Work"),
      AND(TRIM(B582)=TRIM(Enginuity!$A$17),TRIM(C582)=TRIM(Enginuity!$A$18)),
      TRIM(B582)=TRIM(Enginuity!$A$17)
    )
  ),
  ROW(),
  ""
)</f>
        <v/>
      </c>
    </row>
    <row r="583" spans="1:21" x14ac:dyDescent="0.25">
      <c r="A583" s="10" t="s">
        <v>768</v>
      </c>
      <c r="B583" s="229" t="s">
        <v>84</v>
      </c>
      <c r="C583" s="10"/>
      <c r="D583" s="14"/>
      <c r="E583" s="157"/>
      <c r="F583" s="10"/>
      <c r="G583" s="17"/>
      <c r="H583" s="10"/>
      <c r="I583" s="17"/>
      <c r="J583" s="83"/>
      <c r="K583" s="343"/>
      <c r="L583" s="347"/>
      <c r="M583" s="10" t="s">
        <v>117</v>
      </c>
      <c r="N583" s="10" t="s">
        <v>112</v>
      </c>
      <c r="O583" s="22">
        <v>7</v>
      </c>
      <c r="P583" s="14" t="s">
        <v>128</v>
      </c>
      <c r="Q583" s="83">
        <f>Enginuity!$B$13*2</f>
        <v>14</v>
      </c>
      <c r="U583" s="104" t="str">
        <f>IF(
  AND(
    TRIM(A583)=TRIM(Enginuity!$A$1),
    TRIM(B583)=TRIM(Enginuity!$A$17),
    Q583&lt;&gt;"",
    Q583&lt;&gt;0,
    OR(
      TRIM(C583)=TRIM(Enginuity!$A$18),
      AND(UPPER(TRIM(M583))="STD", TRIM(B583)=TRIM(Enginuity!$A$17))
    ),
    OR(
      AND(LEFT(P583,5)="1-Way", Enginuity!$B$13=1),
      AND(LEFT(P583,5)="2-Way", OR(Enginuity!$B$13=2, Enginuity!$B$13=4)),
      AND(LEFT(P583,5)="3-Way", OR(Enginuity!$B$13=3, Enginuity!$B$13=6)),
      AND(P583="Inner Centre Jamb", OR(Enginuity!$B$13=4, Enginuity!$B$13=6)),
      AND(
        LEFT(P583,5)&lt;&gt;"1-Way",
        LEFT(P583,5)&lt;&gt;"2-Way",
        LEFT(P583,5)&lt;&gt;"3-Way",
        P583&lt;&gt;"Inner Centre Jamb"
      )
    ),
    IF(OR(Enginuity!$A$1="Frameless Glass",Enginuity!$A$1="Metal Work"),
      AND(TRIM(B583)=TRIM(Enginuity!$A$17),TRIM(C583)=TRIM(Enginuity!$A$18)),
      TRIM(B583)=TRIM(Enginuity!$A$17)
    )
  ),
  ROW(),
  ""
)</f>
        <v/>
      </c>
    </row>
    <row r="584" spans="1:21" x14ac:dyDescent="0.25">
      <c r="A584" s="10" t="s">
        <v>768</v>
      </c>
      <c r="B584" s="229" t="s">
        <v>84</v>
      </c>
      <c r="C584" s="10"/>
      <c r="D584" s="14"/>
      <c r="E584" s="157"/>
      <c r="F584" s="10"/>
      <c r="G584" s="17"/>
      <c r="H584" s="10"/>
      <c r="I584" s="17"/>
      <c r="J584" s="83"/>
      <c r="K584" s="343"/>
      <c r="L584" s="347"/>
      <c r="M584" s="10" t="s">
        <v>117</v>
      </c>
      <c r="N584" s="10" t="s">
        <v>112</v>
      </c>
      <c r="O584" s="22">
        <v>2</v>
      </c>
      <c r="P584" s="14" t="s">
        <v>127</v>
      </c>
      <c r="Q584" s="83">
        <f>Enginuity!$B$13*2</f>
        <v>14</v>
      </c>
      <c r="U584" s="104" t="str">
        <f>IF(
  AND(
    TRIM(A584)=TRIM(Enginuity!$A$1),
    TRIM(B584)=TRIM(Enginuity!$A$17),
    Q584&lt;&gt;"",
    Q584&lt;&gt;0,
    OR(
      TRIM(C584)=TRIM(Enginuity!$A$18),
      AND(UPPER(TRIM(M584))="STD", TRIM(B584)=TRIM(Enginuity!$A$17))
    ),
    OR(
      AND(LEFT(P584,5)="1-Way", Enginuity!$B$13=1),
      AND(LEFT(P584,5)="2-Way", OR(Enginuity!$B$13=2, Enginuity!$B$13=4)),
      AND(LEFT(P584,5)="3-Way", OR(Enginuity!$B$13=3, Enginuity!$B$13=6)),
      AND(P584="Inner Centre Jamb", OR(Enginuity!$B$13=4, Enginuity!$B$13=6)),
      AND(
        LEFT(P584,5)&lt;&gt;"1-Way",
        LEFT(P584,5)&lt;&gt;"2-Way",
        LEFT(P584,5)&lt;&gt;"3-Way",
        P584&lt;&gt;"Inner Centre Jamb"
      )
    ),
    IF(OR(Enginuity!$A$1="Frameless Glass",Enginuity!$A$1="Metal Work"),
      AND(TRIM(B584)=TRIM(Enginuity!$A$17),TRIM(C584)=TRIM(Enginuity!$A$18)),
      TRIM(B584)=TRIM(Enginuity!$A$17)
    )
  ),
  ROW(),
  ""
)</f>
        <v/>
      </c>
    </row>
    <row r="585" spans="1:21" x14ac:dyDescent="0.25">
      <c r="A585" s="10" t="s">
        <v>768</v>
      </c>
      <c r="B585" s="229" t="s">
        <v>84</v>
      </c>
      <c r="C585" s="10"/>
      <c r="D585" s="14"/>
      <c r="E585" s="157"/>
      <c r="F585" s="10"/>
      <c r="G585" s="17"/>
      <c r="H585" s="10"/>
      <c r="I585" s="17"/>
      <c r="J585" s="83"/>
      <c r="K585" s="343"/>
      <c r="L585" s="347"/>
      <c r="M585" s="10" t="s">
        <v>117</v>
      </c>
      <c r="N585" s="10" t="s">
        <v>112</v>
      </c>
      <c r="O585" s="22">
        <v>1</v>
      </c>
      <c r="P585" s="21" t="s">
        <v>126</v>
      </c>
      <c r="Q585" s="83">
        <f>Enginuity!$B$13*1</f>
        <v>7</v>
      </c>
      <c r="U585" s="104" t="str">
        <f>IF(
  AND(
    TRIM(A585)=TRIM(Enginuity!$A$1),
    TRIM(B585)=TRIM(Enginuity!$A$17),
    Q585&lt;&gt;"",
    Q585&lt;&gt;0,
    OR(
      TRIM(C585)=TRIM(Enginuity!$A$18),
      AND(UPPER(TRIM(M585))="STD", TRIM(B585)=TRIM(Enginuity!$A$17))
    ),
    OR(
      AND(LEFT(P585,5)="1-Way", Enginuity!$B$13=1),
      AND(LEFT(P585,5)="2-Way", OR(Enginuity!$B$13=2, Enginuity!$B$13=4)),
      AND(LEFT(P585,5)="3-Way", OR(Enginuity!$B$13=3, Enginuity!$B$13=6)),
      AND(P585="Inner Centre Jamb", OR(Enginuity!$B$13=4, Enginuity!$B$13=6)),
      AND(
        LEFT(P585,5)&lt;&gt;"1-Way",
        LEFT(P585,5)&lt;&gt;"2-Way",
        LEFT(P585,5)&lt;&gt;"3-Way",
        P585&lt;&gt;"Inner Centre Jamb"
      )
    ),
    IF(OR(Enginuity!$A$1="Frameless Glass",Enginuity!$A$1="Metal Work"),
      AND(TRIM(B585)=TRIM(Enginuity!$A$17),TRIM(C585)=TRIM(Enginuity!$A$18)),
      TRIM(B585)=TRIM(Enginuity!$A$17)
    )
  ),
  ROW(),
  ""
)</f>
        <v/>
      </c>
    </row>
    <row r="586" spans="1:21" x14ac:dyDescent="0.25">
      <c r="A586" s="10"/>
      <c r="B586" s="229"/>
      <c r="C586" s="10"/>
      <c r="D586" s="14"/>
      <c r="E586" s="157"/>
      <c r="F586" s="10"/>
      <c r="G586" s="17"/>
      <c r="H586" s="10"/>
      <c r="I586" s="17"/>
      <c r="J586" s="83"/>
      <c r="K586" s="343"/>
      <c r="L586" s="347"/>
      <c r="M586" s="89">
        <v>46</v>
      </c>
      <c r="N586" s="10"/>
      <c r="O586" s="22"/>
      <c r="P586" s="14"/>
      <c r="Q586" s="83"/>
      <c r="U586" s="104" t="str">
        <f>IF(
  AND(
    TRIM(A586)=TRIM(Enginuity!$A$1),
    TRIM(B586)=TRIM(Enginuity!$A$17),
    Q586&lt;&gt;"",
    Q586&lt;&gt;0,
    OR(
      TRIM(C586)=TRIM(Enginuity!$A$18),
      AND(UPPER(TRIM(M586))="STD", TRIM(B586)=TRIM(Enginuity!$A$17))
    ),
    OR(
      AND(LEFT(P586,5)="1-Way", Enginuity!$B$13=1),
      AND(LEFT(P586,5)="2-Way", OR(Enginuity!$B$13=2, Enginuity!$B$13=4)),
      AND(LEFT(P586,5)="3-Way", OR(Enginuity!$B$13=3, Enginuity!$B$13=6)),
      AND(P586="Inner Centre Jamb", OR(Enginuity!$B$13=4, Enginuity!$B$13=6)),
      AND(
        LEFT(P586,5)&lt;&gt;"1-Way",
        LEFT(P586,5)&lt;&gt;"2-Way",
        LEFT(P586,5)&lt;&gt;"3-Way",
        P586&lt;&gt;"Inner Centre Jamb"
      )
    ),
    IF(OR(Enginuity!$A$1="Frameless Glass",Enginuity!$A$1="Metal Work"),
      AND(TRIM(B586)=TRIM(Enginuity!$A$17),TRIM(C586)=TRIM(Enginuity!$A$18)),
      TRIM(B586)=TRIM(Enginuity!$A$17)
    )
  ),
  ROW(),
  ""
)</f>
        <v/>
      </c>
    </row>
    <row r="587" spans="1:21" x14ac:dyDescent="0.25">
      <c r="A587" s="10"/>
      <c r="B587" s="229"/>
      <c r="C587" s="10"/>
      <c r="D587" s="14"/>
      <c r="E587" s="157"/>
      <c r="F587" s="10"/>
      <c r="G587" s="17"/>
      <c r="H587" s="10"/>
      <c r="I587" s="17"/>
      <c r="J587" s="83"/>
      <c r="K587" s="343"/>
      <c r="L587" s="347"/>
      <c r="M587" s="89">
        <v>47</v>
      </c>
      <c r="N587" s="10"/>
      <c r="O587" s="22"/>
      <c r="P587" s="14"/>
      <c r="Q587" s="83"/>
      <c r="U587" s="104" t="str">
        <f>IF(
  AND(
    TRIM(A587)=TRIM(Enginuity!$A$1),
    TRIM(B587)=TRIM(Enginuity!$A$17),
    Q587&lt;&gt;"",
    Q587&lt;&gt;0,
    OR(
      TRIM(C587)=TRIM(Enginuity!$A$18),
      AND(UPPER(TRIM(M587))="STD", TRIM(B587)=TRIM(Enginuity!$A$17))
    ),
    OR(
      AND(LEFT(P587,5)="1-Way", Enginuity!$B$13=1),
      AND(LEFT(P587,5)="2-Way", OR(Enginuity!$B$13=2, Enginuity!$B$13=4)),
      AND(LEFT(P587,5)="3-Way", OR(Enginuity!$B$13=3, Enginuity!$B$13=6)),
      AND(P587="Inner Centre Jamb", OR(Enginuity!$B$13=4, Enginuity!$B$13=6)),
      AND(
        LEFT(P587,5)&lt;&gt;"1-Way",
        LEFT(P587,5)&lt;&gt;"2-Way",
        LEFT(P587,5)&lt;&gt;"3-Way",
        P587&lt;&gt;"Inner Centre Jamb"
      )
    ),
    IF(OR(Enginuity!$A$1="Frameless Glass",Enginuity!$A$1="Metal Work"),
      AND(TRIM(B587)=TRIM(Enginuity!$A$17),TRIM(C587)=TRIM(Enginuity!$A$18)),
      TRIM(B587)=TRIM(Enginuity!$A$17)
    )
  ),
  ROW(),
  ""
)</f>
        <v/>
      </c>
    </row>
    <row r="588" spans="1:21" x14ac:dyDescent="0.25">
      <c r="A588" s="10"/>
      <c r="B588" s="229"/>
      <c r="C588" s="10"/>
      <c r="D588" s="14"/>
      <c r="E588" s="157"/>
      <c r="F588" s="10"/>
      <c r="G588" s="17"/>
      <c r="H588" s="10"/>
      <c r="I588" s="17"/>
      <c r="J588" s="83"/>
      <c r="K588" s="343"/>
      <c r="L588" s="347"/>
      <c r="M588" s="89">
        <v>48</v>
      </c>
      <c r="N588" s="10"/>
      <c r="O588" s="22"/>
      <c r="P588" s="14"/>
      <c r="Q588" s="83"/>
      <c r="U588" s="104" t="str">
        <f>IF(
  AND(
    TRIM(A588)=TRIM(Enginuity!$A$1),
    TRIM(B588)=TRIM(Enginuity!$A$17),
    Q588&lt;&gt;"",
    Q588&lt;&gt;0,
    OR(
      TRIM(C588)=TRIM(Enginuity!$A$18),
      AND(UPPER(TRIM(M588))="STD", TRIM(B588)=TRIM(Enginuity!$A$17))
    ),
    OR(
      AND(LEFT(P588,5)="1-Way", Enginuity!$B$13=1),
      AND(LEFT(P588,5)="2-Way", OR(Enginuity!$B$13=2, Enginuity!$B$13=4)),
      AND(LEFT(P588,5)="3-Way", OR(Enginuity!$B$13=3, Enginuity!$B$13=6)),
      AND(P588="Inner Centre Jamb", OR(Enginuity!$B$13=4, Enginuity!$B$13=6)),
      AND(
        LEFT(P588,5)&lt;&gt;"1-Way",
        LEFT(P588,5)&lt;&gt;"2-Way",
        LEFT(P588,5)&lt;&gt;"3-Way",
        P588&lt;&gt;"Inner Centre Jamb"
      )
    ),
    IF(OR(Enginuity!$A$1="Frameless Glass",Enginuity!$A$1="Metal Work"),
      AND(TRIM(B588)=TRIM(Enginuity!$A$17),TRIM(C588)=TRIM(Enginuity!$A$18)),
      TRIM(B588)=TRIM(Enginuity!$A$17)
    )
  ),
  ROW(),
  ""
)</f>
        <v/>
      </c>
    </row>
    <row r="589" spans="1:21" x14ac:dyDescent="0.25">
      <c r="A589" s="17"/>
      <c r="B589" s="230"/>
      <c r="C589" s="17"/>
      <c r="D589" s="18"/>
      <c r="E589" s="238"/>
      <c r="F589" s="17"/>
      <c r="G589" s="17"/>
      <c r="H589" s="10"/>
      <c r="I589" s="17"/>
      <c r="J589" s="83"/>
      <c r="K589" s="343"/>
      <c r="L589" s="347"/>
      <c r="M589" s="90">
        <v>49</v>
      </c>
      <c r="N589" s="17"/>
      <c r="O589" s="25"/>
      <c r="P589" s="92"/>
      <c r="Q589" s="84"/>
      <c r="U589" s="104" t="str">
        <f>IF(
  AND(
    TRIM(A589)=TRIM(Enginuity!$A$1),
    TRIM(B589)=TRIM(Enginuity!$A$17),
    Q589&lt;&gt;"",
    Q589&lt;&gt;0,
    OR(
      TRIM(C589)=TRIM(Enginuity!$A$18),
      AND(UPPER(TRIM(M589))="STD", TRIM(B589)=TRIM(Enginuity!$A$17))
    ),
    OR(
      AND(LEFT(P589,5)="1-Way", Enginuity!$B$13=1),
      AND(LEFT(P589,5)="2-Way", OR(Enginuity!$B$13=2, Enginuity!$B$13=4)),
      AND(LEFT(P589,5)="3-Way", OR(Enginuity!$B$13=3, Enginuity!$B$13=6)),
      AND(P589="Inner Centre Jamb", OR(Enginuity!$B$13=4, Enginuity!$B$13=6)),
      AND(
        LEFT(P589,5)&lt;&gt;"1-Way",
        LEFT(P589,5)&lt;&gt;"2-Way",
        LEFT(P589,5)&lt;&gt;"3-Way",
        P589&lt;&gt;"Inner Centre Jamb"
      )
    ),
    IF(OR(Enginuity!$A$1="Frameless Glass",Enginuity!$A$1="Metal Work"),
      AND(TRIM(B589)=TRIM(Enginuity!$A$17),TRIM(C589)=TRIM(Enginuity!$A$18)),
      TRIM(B589)=TRIM(Enginuity!$A$17)
    )
  ),
  ROW(),
  ""
)</f>
        <v/>
      </c>
    </row>
    <row r="590" spans="1:21" x14ac:dyDescent="0.25">
      <c r="A590" s="10" t="s">
        <v>255</v>
      </c>
      <c r="B590" s="229" t="s">
        <v>86</v>
      </c>
      <c r="C590" s="10" t="s">
        <v>97</v>
      </c>
      <c r="D590" s="14" t="str" cm="1">
        <f t="array" ref="D590:D596">IFERROR(INDEX(_xlfn._xlws.FILTER(AllMaterialsbak!$BA$2:$BA$30, AllMaterialsbak!$BA$2:$BA$30&lt;&gt;""), _xlfn.SEQUENCE(7)), "")</f>
        <v>Default</v>
      </c>
      <c r="E590" s="157" t="s">
        <v>257</v>
      </c>
      <c r="F590" s="10" t="s">
        <v>9</v>
      </c>
      <c r="G590" s="17"/>
      <c r="H590" s="10"/>
      <c r="I590" s="17"/>
      <c r="J590" s="83"/>
      <c r="K590" s="344">
        <v>0.521208</v>
      </c>
      <c r="L590" s="347">
        <v>762</v>
      </c>
      <c r="M590" s="89">
        <v>1</v>
      </c>
      <c r="N590" s="10" t="s">
        <v>103</v>
      </c>
      <c r="O590" s="22">
        <v>3.9</v>
      </c>
      <c r="P590" s="86" t="str">
        <f>$P$2</f>
        <v>Outer Frame W X H</v>
      </c>
      <c r="Q590" s="83">
        <f>$Q$2</f>
        <v>66</v>
      </c>
      <c r="U590" s="104" t="str">
        <f>IF(
  AND(
    TRIM(A590)=TRIM(Enginuity!$A$1),
    TRIM(B590)=TRIM(Enginuity!$A$17),
    Q590&lt;&gt;"",
    Q590&lt;&gt;0,
    OR(
      TRIM(C590)=TRIM(Enginuity!$A$18),
      AND(UPPER(TRIM(M590))="STD", TRIM(B590)=TRIM(Enginuity!$A$17))
    ),
    OR(
      AND(LEFT(P590,5)="1-Way", Enginuity!$B$13=1),
      AND(LEFT(P590,5)="2-Way", OR(Enginuity!$B$13=2, Enginuity!$B$13=4)),
      AND(LEFT(P590,5)="3-Way", OR(Enginuity!$B$13=3, Enginuity!$B$13=6)),
      AND(P590="Inner Centre Jamb", OR(Enginuity!$B$13=4, Enginuity!$B$13=6)),
      AND(
        LEFT(P590,5)&lt;&gt;"1-Way",
        LEFT(P590,5)&lt;&gt;"2-Way",
        LEFT(P590,5)&lt;&gt;"3-Way",
        P590&lt;&gt;"Inner Centre Jamb"
      )
    ),
    IF(OR(Enginuity!$A$1="Frameless Glass",Enginuity!$A$1="Metal Work"),
      AND(TRIM(B590)=TRIM(Enginuity!$A$17),TRIM(C590)=TRIM(Enginuity!$A$18)),
      TRIM(B590)=TRIM(Enginuity!$A$17)
    )
  ),
  ROW(),
  ""
)</f>
        <v/>
      </c>
    </row>
    <row r="591" spans="1:21" x14ac:dyDescent="0.25">
      <c r="A591" s="10" t="s">
        <v>255</v>
      </c>
      <c r="B591" s="229" t="s">
        <v>86</v>
      </c>
      <c r="C591" s="10" t="s">
        <v>97</v>
      </c>
      <c r="D591" s="14" t="str">
        <v xml:space="preserve">2" Louver Blade N/A </v>
      </c>
      <c r="E591" s="157" t="s">
        <v>269</v>
      </c>
      <c r="F591" s="11"/>
      <c r="G591" s="17"/>
      <c r="H591" s="10"/>
      <c r="I591" s="17"/>
      <c r="J591" s="83"/>
      <c r="K591" s="343"/>
      <c r="L591" s="347"/>
      <c r="M591" s="89">
        <v>2</v>
      </c>
      <c r="N591" s="10" t="s">
        <v>103</v>
      </c>
      <c r="O591" s="22">
        <v>6.1</v>
      </c>
      <c r="P591" s="86" t="str">
        <f>$P$3</f>
        <v>Inner Frame</v>
      </c>
      <c r="Q591" s="83">
        <f>$Q$3</f>
        <v>222</v>
      </c>
      <c r="U591" s="104" t="str">
        <f>IF(
  AND(
    TRIM(A591)=TRIM(Enginuity!$A$1),
    TRIM(B591)=TRIM(Enginuity!$A$17),
    Q591&lt;&gt;"",
    Q591&lt;&gt;0,
    OR(
      TRIM(C591)=TRIM(Enginuity!$A$18),
      AND(UPPER(TRIM(M591))="STD", TRIM(B591)=TRIM(Enginuity!$A$17))
    ),
    OR(
      AND(LEFT(P591,5)="1-Way", Enginuity!$B$13=1),
      AND(LEFT(P591,5)="2-Way", OR(Enginuity!$B$13=2, Enginuity!$B$13=4)),
      AND(LEFT(P591,5)="3-Way", OR(Enginuity!$B$13=3, Enginuity!$B$13=6)),
      AND(P591="Inner Centre Jamb", OR(Enginuity!$B$13=4, Enginuity!$B$13=6)),
      AND(
        LEFT(P591,5)&lt;&gt;"1-Way",
        LEFT(P591,5)&lt;&gt;"2-Way",
        LEFT(P591,5)&lt;&gt;"3-Way",
        P591&lt;&gt;"Inner Centre Jamb"
      )
    ),
    IF(OR(Enginuity!$A$1="Frameless Glass",Enginuity!$A$1="Metal Work"),
      AND(TRIM(B591)=TRIM(Enginuity!$A$17),TRIM(C591)=TRIM(Enginuity!$A$18)),
      TRIM(B591)=TRIM(Enginuity!$A$17)
    )
  ),
  ROW(),
  ""
)</f>
        <v/>
      </c>
    </row>
    <row r="592" spans="1:21" x14ac:dyDescent="0.25">
      <c r="A592" s="10" t="s">
        <v>255</v>
      </c>
      <c r="B592" s="229" t="s">
        <v>86</v>
      </c>
      <c r="C592" s="10" t="s">
        <v>97</v>
      </c>
      <c r="D592" s="14" t="str">
        <v>2" Louver Blade P/C</v>
      </c>
      <c r="E592" s="157"/>
      <c r="F592" s="10"/>
      <c r="G592" s="17"/>
      <c r="H592" s="10"/>
      <c r="I592" s="17"/>
      <c r="J592" s="83"/>
      <c r="K592" s="343"/>
      <c r="L592" s="347"/>
      <c r="M592" s="89">
        <v>3</v>
      </c>
      <c r="N592" s="10" t="s">
        <v>103</v>
      </c>
      <c r="O592" s="22">
        <v>6.1</v>
      </c>
      <c r="P592" s="21" t="str">
        <f>$P$4</f>
        <v>Single Horizontal Mullion ↔</v>
      </c>
      <c r="Q592" s="83" t="str">
        <f>IF(
  OR(
    TRIM(Enginuity!$A$21)="1'H X ?'W X Qty Panel Top Hung (Casement Profile)",
    TRIM(Enginuity!$A$21)="1'H X ?'W X Qty Panel Top Fix (Casement Profile)"
  ),
  Enginuity!$B$6,
  ""
)</f>
        <v/>
      </c>
      <c r="U592" s="104" t="str">
        <f>IF(
  AND(
    TRIM(A592)=TRIM(Enginuity!$A$1),
    TRIM(B592)=TRIM(Enginuity!$A$17),
    Q592&lt;&gt;"",
    Q592&lt;&gt;0,
    OR(
      TRIM(C592)=TRIM(Enginuity!$A$18),
      AND(UPPER(TRIM(M592))="STD", TRIM(B592)=TRIM(Enginuity!$A$17))
    ),
    OR(
      AND(LEFT(P592,5)="1-Way", Enginuity!$B$13=1),
      AND(LEFT(P592,5)="2-Way", OR(Enginuity!$B$13=2, Enginuity!$B$13=4)),
      AND(LEFT(P592,5)="3-Way", OR(Enginuity!$B$13=3, Enginuity!$B$13=6)),
      AND(P592="Inner Centre Jamb", OR(Enginuity!$B$13=4, Enginuity!$B$13=6)),
      AND(
        LEFT(P592,5)&lt;&gt;"1-Way",
        LEFT(P592,5)&lt;&gt;"2-Way",
        LEFT(P592,5)&lt;&gt;"3-Way",
        P592&lt;&gt;"Inner Centre Jamb"
      )
    ),
    IF(OR(Enginuity!$A$1="Frameless Glass",Enginuity!$A$1="Metal Work"),
      AND(TRIM(B592)=TRIM(Enginuity!$A$17),TRIM(C592)=TRIM(Enginuity!$A$18)),
      TRIM(B592)=TRIM(Enginuity!$A$17)
    )
  ),
  ROW(),
  ""
)</f>
        <v/>
      </c>
    </row>
    <row r="593" spans="1:21" x14ac:dyDescent="0.25">
      <c r="A593" s="10" t="s">
        <v>255</v>
      </c>
      <c r="B593" s="229" t="s">
        <v>86</v>
      </c>
      <c r="C593" s="10" t="s">
        <v>97</v>
      </c>
      <c r="D593" s="14" t="str">
        <v xml:space="preserve">5" Louver Blade N/A </v>
      </c>
      <c r="E593" s="157"/>
      <c r="F593" s="10"/>
      <c r="G593" s="17"/>
      <c r="H593" s="10"/>
      <c r="I593" s="17"/>
      <c r="J593" s="83"/>
      <c r="K593" s="343"/>
      <c r="L593" s="347"/>
      <c r="M593" s="89">
        <v>4</v>
      </c>
      <c r="N593" s="10" t="s">
        <v>103</v>
      </c>
      <c r="O593" s="22">
        <v>6.1</v>
      </c>
      <c r="P593" s="21" t="str">
        <f>$P$6</f>
        <v>Default Vertical Mullion by Panel ↕</v>
      </c>
      <c r="Q593" s="83">
        <f>$Q$6</f>
        <v>78</v>
      </c>
      <c r="U593" s="104" t="str">
        <f>IF(
  AND(
    TRIM(A593)=TRIM(Enginuity!$A$1),
    TRIM(B593)=TRIM(Enginuity!$A$17),
    Q593&lt;&gt;"",
    Q593&lt;&gt;0,
    OR(
      TRIM(C593)=TRIM(Enginuity!$A$18),
      AND(UPPER(TRIM(M593))="STD", TRIM(B593)=TRIM(Enginuity!$A$17))
    ),
    OR(
      AND(LEFT(P593,5)="1-Way", Enginuity!$B$13=1),
      AND(LEFT(P593,5)="2-Way", OR(Enginuity!$B$13=2, Enginuity!$B$13=4)),
      AND(LEFT(P593,5)="3-Way", OR(Enginuity!$B$13=3, Enginuity!$B$13=6)),
      AND(P593="Inner Centre Jamb", OR(Enginuity!$B$13=4, Enginuity!$B$13=6)),
      AND(
        LEFT(P593,5)&lt;&gt;"1-Way",
        LEFT(P593,5)&lt;&gt;"2-Way",
        LEFT(P593,5)&lt;&gt;"3-Way",
        P593&lt;&gt;"Inner Centre Jamb"
      )
    ),
    IF(OR(Enginuity!$A$1="Frameless Glass",Enginuity!$A$1="Metal Work"),
      AND(TRIM(B593)=TRIM(Enginuity!$A$17),TRIM(C593)=TRIM(Enginuity!$A$18)),
      TRIM(B593)=TRIM(Enginuity!$A$17)
    )
  ),
  ROW(),
  ""
)</f>
        <v/>
      </c>
    </row>
    <row r="594" spans="1:21" x14ac:dyDescent="0.25">
      <c r="A594" s="10" t="s">
        <v>255</v>
      </c>
      <c r="B594" s="229" t="s">
        <v>86</v>
      </c>
      <c r="C594" s="10" t="s">
        <v>97</v>
      </c>
      <c r="D594" s="14" t="str">
        <v>5" Louver Blade P/C</v>
      </c>
      <c r="E594" s="157"/>
      <c r="F594" s="10"/>
      <c r="G594" s="17"/>
      <c r="H594" s="10"/>
      <c r="I594" s="17"/>
      <c r="J594" s="83"/>
      <c r="K594" s="343"/>
      <c r="L594" s="347"/>
      <c r="M594" s="89">
        <v>5</v>
      </c>
      <c r="N594" s="10" t="s">
        <v>103</v>
      </c>
      <c r="O594" s="22">
        <v>1.1100000000000001</v>
      </c>
      <c r="P594" s="14" t="s">
        <v>309</v>
      </c>
      <c r="Q594" s="83">
        <f>Enginuity!$B$7*Enginuity!$B$13</f>
        <v>91</v>
      </c>
      <c r="U594" s="104" t="str">
        <f>IF(
  AND(
    TRIM(A594)=TRIM(Enginuity!$A$1),
    TRIM(B594)=TRIM(Enginuity!$A$17),
    Q594&lt;&gt;"",
    Q594&lt;&gt;0,
    OR(
      TRIM(C594)=TRIM(Enginuity!$A$18),
      AND(UPPER(TRIM(M594))="STD", TRIM(B594)=TRIM(Enginuity!$A$17))
    ),
    OR(
      AND(LEFT(P594,5)="1-Way", Enginuity!$B$13=1),
      AND(LEFT(P594,5)="2-Way", OR(Enginuity!$B$13=2, Enginuity!$B$13=4)),
      AND(LEFT(P594,5)="3-Way", OR(Enginuity!$B$13=3, Enginuity!$B$13=6)),
      AND(P594="Inner Centre Jamb", OR(Enginuity!$B$13=4, Enginuity!$B$13=6)),
      AND(
        LEFT(P594,5)&lt;&gt;"1-Way",
        LEFT(P594,5)&lt;&gt;"2-Way",
        LEFT(P594,5)&lt;&gt;"3-Way",
        P594&lt;&gt;"Inner Centre Jamb"
      )
    ),
    IF(OR(Enginuity!$A$1="Frameless Glass",Enginuity!$A$1="Metal Work"),
      AND(TRIM(B594)=TRIM(Enginuity!$A$17),TRIM(C594)=TRIM(Enginuity!$A$18)),
      TRIM(B594)=TRIM(Enginuity!$A$17)
    )
  ),
  ROW(),
  ""
)</f>
        <v/>
      </c>
    </row>
    <row r="595" spans="1:21" x14ac:dyDescent="0.25">
      <c r="A595" s="10" t="s">
        <v>255</v>
      </c>
      <c r="B595" s="229" t="s">
        <v>86</v>
      </c>
      <c r="C595" s="10" t="s">
        <v>97</v>
      </c>
      <c r="D595" s="14" t="str">
        <v/>
      </c>
      <c r="E595" s="157"/>
      <c r="F595" s="10"/>
      <c r="G595" s="17"/>
      <c r="H595" s="10"/>
      <c r="I595" s="17"/>
      <c r="J595" s="83"/>
      <c r="K595" s="343"/>
      <c r="L595" s="347"/>
      <c r="M595" s="89">
        <v>6</v>
      </c>
      <c r="N595" s="10" t="s">
        <v>103</v>
      </c>
      <c r="O595" s="22">
        <v>1.7</v>
      </c>
      <c r="P595" s="14" t="s">
        <v>114</v>
      </c>
      <c r="Q595" s="83"/>
      <c r="U595" s="104" t="str">
        <f>IF(
  AND(
    TRIM(A595)=TRIM(Enginuity!$A$1),
    TRIM(B595)=TRIM(Enginuity!$A$17),
    Q595&lt;&gt;"",
    Q595&lt;&gt;0,
    OR(
      TRIM(C595)=TRIM(Enginuity!$A$18),
      AND(UPPER(TRIM(M595))="STD", TRIM(B595)=TRIM(Enginuity!$A$17))
    ),
    OR(
      AND(LEFT(P595,5)="1-Way", Enginuity!$B$13=1),
      AND(LEFT(P595,5)="2-Way", OR(Enginuity!$B$13=2, Enginuity!$B$13=4)),
      AND(LEFT(P595,5)="3-Way", OR(Enginuity!$B$13=3, Enginuity!$B$13=6)),
      AND(P595="Inner Centre Jamb", OR(Enginuity!$B$13=4, Enginuity!$B$13=6)),
      AND(
        LEFT(P595,5)&lt;&gt;"1-Way",
        LEFT(P595,5)&lt;&gt;"2-Way",
        LEFT(P595,5)&lt;&gt;"3-Way",
        P595&lt;&gt;"Inner Centre Jamb"
      )
    ),
    IF(OR(Enginuity!$A$1="Frameless Glass",Enginuity!$A$1="Metal Work"),
      AND(TRIM(B595)=TRIM(Enginuity!$A$17),TRIM(C595)=TRIM(Enginuity!$A$18)),
      TRIM(B595)=TRIM(Enginuity!$A$17)
    )
  ),
  ROW(),
  ""
)</f>
        <v/>
      </c>
    </row>
    <row r="596" spans="1:21" x14ac:dyDescent="0.25">
      <c r="A596" s="10" t="s">
        <v>255</v>
      </c>
      <c r="B596" s="229" t="s">
        <v>86</v>
      </c>
      <c r="C596" s="10" t="s">
        <v>97</v>
      </c>
      <c r="D596" s="14" t="str">
        <v/>
      </c>
      <c r="E596" s="157"/>
      <c r="F596" s="10"/>
      <c r="G596" s="17"/>
      <c r="H596" s="10"/>
      <c r="I596" s="17"/>
      <c r="J596" s="83"/>
      <c r="K596" s="343"/>
      <c r="L596" s="347"/>
      <c r="M596" s="89">
        <v>7</v>
      </c>
      <c r="N596" s="10" t="s">
        <v>176</v>
      </c>
      <c r="O596" s="22" t="str">
        <f>IF(Enginuity!$A$20="", "",
 IF(Enginuity!$A$20="Lattice Design", $F$9,
 IF(Enginuity!$A$20="Lattice Design 12 Box / Panel", $F$10,
 ""))
)</f>
        <v/>
      </c>
      <c r="P596" s="106" t="str">
        <f>Enginuity!$A$20</f>
        <v>Z-Louvre Blade - 5"</v>
      </c>
      <c r="Q596" s="22" t="str">
        <f>IF(O596&lt;&gt;"",1,"")</f>
        <v/>
      </c>
      <c r="U596" s="104" t="str">
        <f>IF(
  AND(
    TRIM(A596)=TRIM(Enginuity!$A$1),
    TRIM(B596)=TRIM(Enginuity!$A$17),
    Q596&lt;&gt;"",
    Q596&lt;&gt;0,
    OR(
      TRIM(C596)=TRIM(Enginuity!$A$18),
      AND(UPPER(TRIM(M596))="STD", TRIM(B596)=TRIM(Enginuity!$A$17))
    ),
    OR(
      AND(LEFT(P596,5)="1-Way", Enginuity!$B$13=1),
      AND(LEFT(P596,5)="2-Way", OR(Enginuity!$B$13=2, Enginuity!$B$13=4)),
      AND(LEFT(P596,5)="3-Way", OR(Enginuity!$B$13=3, Enginuity!$B$13=6)),
      AND(P596="Inner Centre Jamb", OR(Enginuity!$B$13=4, Enginuity!$B$13=6)),
      AND(
        LEFT(P596,5)&lt;&gt;"1-Way",
        LEFT(P596,5)&lt;&gt;"2-Way",
        LEFT(P596,5)&lt;&gt;"3-Way",
        P596&lt;&gt;"Inner Centre Jamb"
      )
    ),
    IF(OR(Enginuity!$A$1="Frameless Glass",Enginuity!$A$1="Metal Work"),
      AND(TRIM(B596)=TRIM(Enginuity!$A$17),TRIM(C596)=TRIM(Enginuity!$A$18)),
      TRIM(B596)=TRIM(Enginuity!$A$17)
    )
  ),
  ROW(),
  ""
)</f>
        <v/>
      </c>
    </row>
    <row r="597" spans="1:21" x14ac:dyDescent="0.25">
      <c r="A597" s="10" t="s">
        <v>255</v>
      </c>
      <c r="B597" s="229" t="s">
        <v>86</v>
      </c>
      <c r="C597" s="10" t="s">
        <v>97</v>
      </c>
      <c r="D597" s="14"/>
      <c r="E597" s="157"/>
      <c r="F597" s="10"/>
      <c r="G597" s="17"/>
      <c r="H597" s="10"/>
      <c r="I597" s="17"/>
      <c r="J597" s="83"/>
      <c r="K597" s="343"/>
      <c r="L597" s="347"/>
      <c r="M597" s="89">
        <v>8</v>
      </c>
      <c r="N597" s="10" t="s">
        <v>176</v>
      </c>
      <c r="O597" s="22" t="str">
        <f>IF(Enginuity!$A$21="12""H Top Hung Standard Casement Profile", $F$7,
IF(Enginuity!$A$21="12""H Top / Bottom Fix Standard Casement Profile", $F$8,
""))</f>
        <v/>
      </c>
      <c r="P597" s="106"/>
      <c r="Q597" s="22" t="str">
        <f>IF(O597&lt;&gt;"",1,"")</f>
        <v/>
      </c>
      <c r="U597" s="104" t="str">
        <f>IF(
  AND(
    TRIM(A597)=TRIM(Enginuity!$A$1),
    TRIM(B597)=TRIM(Enginuity!$A$17),
    Q597&lt;&gt;"",
    Q597&lt;&gt;0,
    OR(
      TRIM(C597)=TRIM(Enginuity!$A$18),
      AND(UPPER(TRIM(M597))="STD", TRIM(B597)=TRIM(Enginuity!$A$17))
    ),
    OR(
      AND(LEFT(P597,5)="1-Way", Enginuity!$B$13=1),
      AND(LEFT(P597,5)="2-Way", OR(Enginuity!$B$13=2, Enginuity!$B$13=4)),
      AND(LEFT(P597,5)="3-Way", OR(Enginuity!$B$13=3, Enginuity!$B$13=6)),
      AND(P597="Inner Centre Jamb", OR(Enginuity!$B$13=4, Enginuity!$B$13=6)),
      AND(
        LEFT(P597,5)&lt;&gt;"1-Way",
        LEFT(P597,5)&lt;&gt;"2-Way",
        LEFT(P597,5)&lt;&gt;"3-Way",
        P597&lt;&gt;"Inner Centre Jamb"
      )
    ),
    IF(OR(Enginuity!$A$1="Frameless Glass",Enginuity!$A$1="Metal Work"),
      AND(TRIM(B597)=TRIM(Enginuity!$A$17),TRIM(C597)=TRIM(Enginuity!$A$18)),
      TRIM(B597)=TRIM(Enginuity!$A$17)
    )
  ),
  ROW(),
  ""
)</f>
        <v/>
      </c>
    </row>
    <row r="598" spans="1:21" x14ac:dyDescent="0.25">
      <c r="A598" s="10" t="s">
        <v>255</v>
      </c>
      <c r="B598" s="229" t="s">
        <v>86</v>
      </c>
      <c r="C598" s="10" t="s">
        <v>97</v>
      </c>
      <c r="D598" s="14"/>
      <c r="E598" s="157"/>
      <c r="F598" s="10"/>
      <c r="G598" s="17"/>
      <c r="H598" s="10"/>
      <c r="I598" s="17"/>
      <c r="J598" s="83"/>
      <c r="K598" s="343"/>
      <c r="L598" s="347"/>
      <c r="M598" s="89">
        <v>9</v>
      </c>
      <c r="N598" s="10" t="s">
        <v>176</v>
      </c>
      <c r="O598" s="22" t="str">
        <f>IF(Enginuity!$A$21="Subframe 1"" X 2""", $J$2, "")</f>
        <v/>
      </c>
      <c r="P598" s="106" t="str">
        <f>Enginuity!$A$21</f>
        <v>SF 4"</v>
      </c>
      <c r="Q598" s="22" t="str">
        <f>IF(O598&lt;&gt;"",1,"")</f>
        <v/>
      </c>
      <c r="U598" s="104" t="str">
        <f>IF(
  AND(
    TRIM(A598)=TRIM(Enginuity!$A$1),
    TRIM(B598)=TRIM(Enginuity!$A$17),
    Q598&lt;&gt;"",
    Q598&lt;&gt;0,
    OR(
      TRIM(C598)=TRIM(Enginuity!$A$18),
      AND(UPPER(TRIM(M598))="STD", TRIM(B598)=TRIM(Enginuity!$A$17))
    ),
    OR(
      AND(LEFT(P598,5)="1-Way", Enginuity!$B$13=1),
      AND(LEFT(P598,5)="2-Way", OR(Enginuity!$B$13=2, Enginuity!$B$13=4)),
      AND(LEFT(P598,5)="3-Way", OR(Enginuity!$B$13=3, Enginuity!$B$13=6)),
      AND(P598="Inner Centre Jamb", OR(Enginuity!$B$13=4, Enginuity!$B$13=6)),
      AND(
        LEFT(P598,5)&lt;&gt;"1-Way",
        LEFT(P598,5)&lt;&gt;"2-Way",
        LEFT(P598,5)&lt;&gt;"3-Way",
        P598&lt;&gt;"Inner Centre Jamb"
      )
    ),
    IF(OR(Enginuity!$A$1="Frameless Glass",Enginuity!$A$1="Metal Work"),
      AND(TRIM(B598)=TRIM(Enginuity!$A$17),TRIM(C598)=TRIM(Enginuity!$A$18)),
      TRIM(B598)=TRIM(Enginuity!$A$17)
    )
  ),
  ROW(),
  ""
)</f>
        <v/>
      </c>
    </row>
    <row r="599" spans="1:21" x14ac:dyDescent="0.25">
      <c r="A599" s="10" t="s">
        <v>255</v>
      </c>
      <c r="B599" s="229" t="s">
        <v>86</v>
      </c>
      <c r="C599" s="10" t="s">
        <v>97</v>
      </c>
      <c r="D599" s="14"/>
      <c r="E599" s="157"/>
      <c r="F599" s="10"/>
      <c r="G599" s="17"/>
      <c r="H599" s="10"/>
      <c r="I599" s="17"/>
      <c r="J599" s="83"/>
      <c r="K599" s="343"/>
      <c r="L599" s="347"/>
      <c r="M599" s="89">
        <v>10</v>
      </c>
      <c r="N599" s="10"/>
      <c r="O599" s="22"/>
      <c r="P599" s="14"/>
      <c r="Q599" s="83"/>
      <c r="U599" s="104" t="str">
        <f>IF(
  AND(
    TRIM(A599)=TRIM(Enginuity!$A$1),
    TRIM(B599)=TRIM(Enginuity!$A$17),
    Q599&lt;&gt;"",
    Q599&lt;&gt;0,
    OR(
      TRIM(C599)=TRIM(Enginuity!$A$18),
      AND(UPPER(TRIM(M599))="STD", TRIM(B599)=TRIM(Enginuity!$A$17))
    ),
    OR(
      AND(LEFT(P599,5)="1-Way", Enginuity!$B$13=1),
      AND(LEFT(P599,5)="2-Way", OR(Enginuity!$B$13=2, Enginuity!$B$13=4)),
      AND(LEFT(P599,5)="3-Way", OR(Enginuity!$B$13=3, Enginuity!$B$13=6)),
      AND(P599="Inner Centre Jamb", OR(Enginuity!$B$13=4, Enginuity!$B$13=6)),
      AND(
        LEFT(P599,5)&lt;&gt;"1-Way",
        LEFT(P599,5)&lt;&gt;"2-Way",
        LEFT(P599,5)&lt;&gt;"3-Way",
        P599&lt;&gt;"Inner Centre Jamb"
      )
    ),
    IF(OR(Enginuity!$A$1="Frameless Glass",Enginuity!$A$1="Metal Work"),
      AND(TRIM(B599)=TRIM(Enginuity!$A$17),TRIM(C599)=TRIM(Enginuity!$A$18)),
      TRIM(B599)=TRIM(Enginuity!$A$17)
    )
  ),
  ROW(),
  ""
)</f>
        <v/>
      </c>
    </row>
    <row r="600" spans="1:21" x14ac:dyDescent="0.25">
      <c r="A600" s="10" t="s">
        <v>255</v>
      </c>
      <c r="B600" s="229" t="s">
        <v>86</v>
      </c>
      <c r="C600" s="10" t="s">
        <v>97</v>
      </c>
      <c r="D600" s="14"/>
      <c r="E600" s="157"/>
      <c r="F600" s="10"/>
      <c r="G600" s="17"/>
      <c r="H600" s="10"/>
      <c r="I600" s="17"/>
      <c r="J600" s="83"/>
      <c r="K600" s="343"/>
      <c r="L600" s="347"/>
      <c r="M600" s="89">
        <v>11</v>
      </c>
      <c r="N600" s="10"/>
      <c r="O600" s="22"/>
      <c r="P600" s="14"/>
      <c r="Q600" s="83"/>
      <c r="U600" s="104" t="str">
        <f>IF(
  AND(
    TRIM(A600)=TRIM(Enginuity!$A$1),
    TRIM(B600)=TRIM(Enginuity!$A$17),
    Q600&lt;&gt;"",
    Q600&lt;&gt;0,
    OR(
      TRIM(C600)=TRIM(Enginuity!$A$18),
      AND(UPPER(TRIM(M600))="STD", TRIM(B600)=TRIM(Enginuity!$A$17))
    ),
    OR(
      AND(LEFT(P600,5)="1-Way", Enginuity!$B$13=1),
      AND(LEFT(P600,5)="2-Way", OR(Enginuity!$B$13=2, Enginuity!$B$13=4)),
      AND(LEFT(P600,5)="3-Way", OR(Enginuity!$B$13=3, Enginuity!$B$13=6)),
      AND(P600="Inner Centre Jamb", OR(Enginuity!$B$13=4, Enginuity!$B$13=6)),
      AND(
        LEFT(P600,5)&lt;&gt;"1-Way",
        LEFT(P600,5)&lt;&gt;"2-Way",
        LEFT(P600,5)&lt;&gt;"3-Way",
        P600&lt;&gt;"Inner Centre Jamb"
      )
    ),
    IF(OR(Enginuity!$A$1="Frameless Glass",Enginuity!$A$1="Metal Work"),
      AND(TRIM(B600)=TRIM(Enginuity!$A$17),TRIM(C600)=TRIM(Enginuity!$A$18)),
      TRIM(B600)=TRIM(Enginuity!$A$17)
    )
  ),
  ROW(),
  ""
)</f>
        <v/>
      </c>
    </row>
    <row r="601" spans="1:21" x14ac:dyDescent="0.25">
      <c r="A601" s="10" t="s">
        <v>255</v>
      </c>
      <c r="B601" s="229" t="s">
        <v>86</v>
      </c>
      <c r="C601" s="10" t="s">
        <v>97</v>
      </c>
      <c r="D601" s="14"/>
      <c r="E601" s="157"/>
      <c r="F601" s="10"/>
      <c r="G601" s="17"/>
      <c r="H601" s="10"/>
      <c r="I601" s="17"/>
      <c r="J601" s="83"/>
      <c r="K601" s="343"/>
      <c r="L601" s="347"/>
      <c r="M601" s="89">
        <v>12</v>
      </c>
      <c r="N601" s="10"/>
      <c r="O601" s="22"/>
      <c r="P601" s="14"/>
      <c r="Q601" s="83"/>
      <c r="U601" s="104" t="str">
        <f>IF(
  AND(
    TRIM(A601)=TRIM(Enginuity!$A$1),
    TRIM(B601)=TRIM(Enginuity!$A$17),
    Q601&lt;&gt;"",
    Q601&lt;&gt;0,
    OR(
      TRIM(C601)=TRIM(Enginuity!$A$18),
      AND(UPPER(TRIM(M601))="STD", TRIM(B601)=TRIM(Enginuity!$A$17))
    ),
    OR(
      AND(LEFT(P601,5)="1-Way", Enginuity!$B$13=1),
      AND(LEFT(P601,5)="2-Way", OR(Enginuity!$B$13=2, Enginuity!$B$13=4)),
      AND(LEFT(P601,5)="3-Way", OR(Enginuity!$B$13=3, Enginuity!$B$13=6)),
      AND(P601="Inner Centre Jamb", OR(Enginuity!$B$13=4, Enginuity!$B$13=6)),
      AND(
        LEFT(P601,5)&lt;&gt;"1-Way",
        LEFT(P601,5)&lt;&gt;"2-Way",
        LEFT(P601,5)&lt;&gt;"3-Way",
        P601&lt;&gt;"Inner Centre Jamb"
      )
    ),
    IF(OR(Enginuity!$A$1="Frameless Glass",Enginuity!$A$1="Metal Work"),
      AND(TRIM(B601)=TRIM(Enginuity!$A$17),TRIM(C601)=TRIM(Enginuity!$A$18)),
      TRIM(B601)=TRIM(Enginuity!$A$17)
    )
  ),
  ROW(),
  ""
)</f>
        <v/>
      </c>
    </row>
    <row r="602" spans="1:21" x14ac:dyDescent="0.25">
      <c r="A602" s="10" t="s">
        <v>255</v>
      </c>
      <c r="B602" s="229" t="s">
        <v>86</v>
      </c>
      <c r="C602" s="10" t="s">
        <v>97</v>
      </c>
      <c r="D602" s="14"/>
      <c r="E602" s="157"/>
      <c r="F602" s="10"/>
      <c r="G602" s="17"/>
      <c r="H602" s="10"/>
      <c r="I602" s="17"/>
      <c r="J602" s="83"/>
      <c r="K602" s="343"/>
      <c r="L602" s="347"/>
      <c r="M602" s="89">
        <v>13</v>
      </c>
      <c r="N602" s="10"/>
      <c r="O602" s="22"/>
      <c r="P602" s="14"/>
      <c r="Q602" s="83"/>
      <c r="U602" s="104" t="str">
        <f>IF(
  AND(
    TRIM(A602)=TRIM(Enginuity!$A$1),
    TRIM(B602)=TRIM(Enginuity!$A$17),
    Q602&lt;&gt;"",
    Q602&lt;&gt;0,
    OR(
      TRIM(C602)=TRIM(Enginuity!$A$18),
      AND(UPPER(TRIM(M602))="STD", TRIM(B602)=TRIM(Enginuity!$A$17))
    ),
    OR(
      AND(LEFT(P602,5)="1-Way", Enginuity!$B$13=1),
      AND(LEFT(P602,5)="2-Way", OR(Enginuity!$B$13=2, Enginuity!$B$13=4)),
      AND(LEFT(P602,5)="3-Way", OR(Enginuity!$B$13=3, Enginuity!$B$13=6)),
      AND(P602="Inner Centre Jamb", OR(Enginuity!$B$13=4, Enginuity!$B$13=6)),
      AND(
        LEFT(P602,5)&lt;&gt;"1-Way",
        LEFT(P602,5)&lt;&gt;"2-Way",
        LEFT(P602,5)&lt;&gt;"3-Way",
        P602&lt;&gt;"Inner Centre Jamb"
      )
    ),
    IF(OR(Enginuity!$A$1="Frameless Glass",Enginuity!$A$1="Metal Work"),
      AND(TRIM(B602)=TRIM(Enginuity!$A$17),TRIM(C602)=TRIM(Enginuity!$A$18)),
      TRIM(B602)=TRIM(Enginuity!$A$17)
    )
  ),
  ROW(),
  ""
)</f>
        <v/>
      </c>
    </row>
    <row r="603" spans="1:21" x14ac:dyDescent="0.25">
      <c r="A603" s="10" t="s">
        <v>255</v>
      </c>
      <c r="B603" s="229" t="s">
        <v>86</v>
      </c>
      <c r="C603" s="10" t="s">
        <v>97</v>
      </c>
      <c r="D603" s="14"/>
      <c r="E603" s="157"/>
      <c r="F603" s="10"/>
      <c r="G603" s="17"/>
      <c r="H603" s="10"/>
      <c r="I603" s="17"/>
      <c r="J603" s="83"/>
      <c r="K603" s="343"/>
      <c r="L603" s="347"/>
      <c r="M603" s="89">
        <v>14</v>
      </c>
      <c r="N603" s="10"/>
      <c r="O603" s="22"/>
      <c r="P603" s="14"/>
      <c r="Q603" s="83"/>
      <c r="U603" s="104" t="str">
        <f>IF(
  AND(
    TRIM(A603)=TRIM(Enginuity!$A$1),
    TRIM(B603)=TRIM(Enginuity!$A$17),
    Q603&lt;&gt;"",
    Q603&lt;&gt;0,
    OR(
      TRIM(C603)=TRIM(Enginuity!$A$18),
      AND(UPPER(TRIM(M603))="STD", TRIM(B603)=TRIM(Enginuity!$A$17))
    ),
    OR(
      AND(LEFT(P603,5)="1-Way", Enginuity!$B$13=1),
      AND(LEFT(P603,5)="2-Way", OR(Enginuity!$B$13=2, Enginuity!$B$13=4)),
      AND(LEFT(P603,5)="3-Way", OR(Enginuity!$B$13=3, Enginuity!$B$13=6)),
      AND(P603="Inner Centre Jamb", OR(Enginuity!$B$13=4, Enginuity!$B$13=6)),
      AND(
        LEFT(P603,5)&lt;&gt;"1-Way",
        LEFT(P603,5)&lt;&gt;"2-Way",
        LEFT(P603,5)&lt;&gt;"3-Way",
        P603&lt;&gt;"Inner Centre Jamb"
      )
    ),
    IF(OR(Enginuity!$A$1="Frameless Glass",Enginuity!$A$1="Metal Work"),
      AND(TRIM(B603)=TRIM(Enginuity!$A$17),TRIM(C603)=TRIM(Enginuity!$A$18)),
      TRIM(B603)=TRIM(Enginuity!$A$17)
    )
  ),
  ROW(),
  ""
)</f>
        <v/>
      </c>
    </row>
    <row r="604" spans="1:21" x14ac:dyDescent="0.25">
      <c r="A604" s="10" t="s">
        <v>255</v>
      </c>
      <c r="B604" s="229" t="s">
        <v>86</v>
      </c>
      <c r="C604" s="10" t="s">
        <v>97</v>
      </c>
      <c r="D604" s="14"/>
      <c r="E604" s="157"/>
      <c r="F604" s="10"/>
      <c r="G604" s="17"/>
      <c r="H604" s="10"/>
      <c r="I604" s="17"/>
      <c r="J604" s="83"/>
      <c r="K604" s="343"/>
      <c r="L604" s="347"/>
      <c r="M604" s="89">
        <v>15</v>
      </c>
      <c r="N604" s="10"/>
      <c r="O604" s="22"/>
      <c r="P604" s="14"/>
      <c r="Q604" s="83"/>
      <c r="U604" s="104" t="str">
        <f>IF(
  AND(
    TRIM(A604)=TRIM(Enginuity!$A$1),
    TRIM(B604)=TRIM(Enginuity!$A$17),
    Q604&lt;&gt;"",
    Q604&lt;&gt;0,
    OR(
      TRIM(C604)=TRIM(Enginuity!$A$18),
      AND(UPPER(TRIM(M604))="STD", TRIM(B604)=TRIM(Enginuity!$A$17))
    ),
    OR(
      AND(LEFT(P604,5)="1-Way", Enginuity!$B$13=1),
      AND(LEFT(P604,5)="2-Way", OR(Enginuity!$B$13=2, Enginuity!$B$13=4)),
      AND(LEFT(P604,5)="3-Way", OR(Enginuity!$B$13=3, Enginuity!$B$13=6)),
      AND(P604="Inner Centre Jamb", OR(Enginuity!$B$13=4, Enginuity!$B$13=6)),
      AND(
        LEFT(P604,5)&lt;&gt;"1-Way",
        LEFT(P604,5)&lt;&gt;"2-Way",
        LEFT(P604,5)&lt;&gt;"3-Way",
        P604&lt;&gt;"Inner Centre Jamb"
      )
    ),
    IF(OR(Enginuity!$A$1="Frameless Glass",Enginuity!$A$1="Metal Work"),
      AND(TRIM(B604)=TRIM(Enginuity!$A$17),TRIM(C604)=TRIM(Enginuity!$A$18)),
      TRIM(B604)=TRIM(Enginuity!$A$17)
    )
  ),
  ROW(),
  ""
)</f>
        <v/>
      </c>
    </row>
    <row r="605" spans="1:21" x14ac:dyDescent="0.25">
      <c r="A605" s="10" t="s">
        <v>255</v>
      </c>
      <c r="B605" s="229" t="s">
        <v>86</v>
      </c>
      <c r="C605" s="10" t="s">
        <v>97</v>
      </c>
      <c r="D605" s="14"/>
      <c r="E605" s="157"/>
      <c r="F605" s="10"/>
      <c r="G605" s="17"/>
      <c r="H605" s="10"/>
      <c r="I605" s="17"/>
      <c r="J605" s="83"/>
      <c r="K605" s="343"/>
      <c r="L605" s="347"/>
      <c r="M605" s="89">
        <v>16</v>
      </c>
      <c r="N605" s="10"/>
      <c r="O605" s="22"/>
      <c r="P605" s="14"/>
      <c r="Q605" s="83"/>
      <c r="U605" s="104" t="str">
        <f>IF(
  AND(
    TRIM(A605)=TRIM(Enginuity!$A$1),
    TRIM(B605)=TRIM(Enginuity!$A$17),
    Q605&lt;&gt;"",
    Q605&lt;&gt;0,
    OR(
      TRIM(C605)=TRIM(Enginuity!$A$18),
      AND(UPPER(TRIM(M605))="STD", TRIM(B605)=TRIM(Enginuity!$A$17))
    ),
    OR(
      AND(LEFT(P605,5)="1-Way", Enginuity!$B$13=1),
      AND(LEFT(P605,5)="2-Way", OR(Enginuity!$B$13=2, Enginuity!$B$13=4)),
      AND(LEFT(P605,5)="3-Way", OR(Enginuity!$B$13=3, Enginuity!$B$13=6)),
      AND(P605="Inner Centre Jamb", OR(Enginuity!$B$13=4, Enginuity!$B$13=6)),
      AND(
        LEFT(P605,5)&lt;&gt;"1-Way",
        LEFT(P605,5)&lt;&gt;"2-Way",
        LEFT(P605,5)&lt;&gt;"3-Way",
        P605&lt;&gt;"Inner Centre Jamb"
      )
    ),
    IF(OR(Enginuity!$A$1="Frameless Glass",Enginuity!$A$1="Metal Work"),
      AND(TRIM(B605)=TRIM(Enginuity!$A$17),TRIM(C605)=TRIM(Enginuity!$A$18)),
      TRIM(B605)=TRIM(Enginuity!$A$17)
    )
  ),
  ROW(),
  ""
)</f>
        <v/>
      </c>
    </row>
    <row r="606" spans="1:21" x14ac:dyDescent="0.25">
      <c r="A606" s="10" t="s">
        <v>255</v>
      </c>
      <c r="B606" s="229" t="s">
        <v>86</v>
      </c>
      <c r="C606" s="10" t="s">
        <v>97</v>
      </c>
      <c r="D606" s="14"/>
      <c r="E606" s="157"/>
      <c r="F606" s="10"/>
      <c r="G606" s="17"/>
      <c r="H606" s="10"/>
      <c r="I606" s="17"/>
      <c r="J606" s="83"/>
      <c r="K606" s="343"/>
      <c r="L606" s="347"/>
      <c r="M606" s="89">
        <v>17</v>
      </c>
      <c r="N606" s="10"/>
      <c r="O606" s="22"/>
      <c r="P606" s="14"/>
      <c r="Q606" s="83"/>
      <c r="U606" s="104" t="str">
        <f>IF(
  AND(
    TRIM(A606)=TRIM(Enginuity!$A$1),
    TRIM(B606)=TRIM(Enginuity!$A$17),
    Q606&lt;&gt;"",
    Q606&lt;&gt;0,
    OR(
      TRIM(C606)=TRIM(Enginuity!$A$18),
      AND(UPPER(TRIM(M606))="STD", TRIM(B606)=TRIM(Enginuity!$A$17))
    ),
    OR(
      AND(LEFT(P606,5)="1-Way", Enginuity!$B$13=1),
      AND(LEFT(P606,5)="2-Way", OR(Enginuity!$B$13=2, Enginuity!$B$13=4)),
      AND(LEFT(P606,5)="3-Way", OR(Enginuity!$B$13=3, Enginuity!$B$13=6)),
      AND(P606="Inner Centre Jamb", OR(Enginuity!$B$13=4, Enginuity!$B$13=6)),
      AND(
        LEFT(P606,5)&lt;&gt;"1-Way",
        LEFT(P606,5)&lt;&gt;"2-Way",
        LEFT(P606,5)&lt;&gt;"3-Way",
        P606&lt;&gt;"Inner Centre Jamb"
      )
    ),
    IF(OR(Enginuity!$A$1="Frameless Glass",Enginuity!$A$1="Metal Work"),
      AND(TRIM(B606)=TRIM(Enginuity!$A$17),TRIM(C606)=TRIM(Enginuity!$A$18)),
      TRIM(B606)=TRIM(Enginuity!$A$17)
    )
  ),
  ROW(),
  ""
)</f>
        <v/>
      </c>
    </row>
    <row r="607" spans="1:21" x14ac:dyDescent="0.25">
      <c r="A607" s="10" t="s">
        <v>255</v>
      </c>
      <c r="B607" s="229" t="s">
        <v>86</v>
      </c>
      <c r="C607" s="10"/>
      <c r="D607" s="14"/>
      <c r="E607" s="157"/>
      <c r="F607" s="10"/>
      <c r="G607" s="17"/>
      <c r="H607" s="10"/>
      <c r="I607" s="17"/>
      <c r="J607" s="83"/>
      <c r="K607" s="343"/>
      <c r="L607" s="347"/>
      <c r="M607" s="89">
        <v>18</v>
      </c>
      <c r="N607" s="10"/>
      <c r="O607" s="22"/>
      <c r="P607" s="14"/>
      <c r="Q607" s="83"/>
      <c r="U607" s="104" t="str">
        <f>IF(
  AND(
    TRIM(A607)=TRIM(Enginuity!$A$1),
    TRIM(B607)=TRIM(Enginuity!$A$17),
    Q607&lt;&gt;"",
    Q607&lt;&gt;0,
    OR(
      TRIM(C607)=TRIM(Enginuity!$A$18),
      AND(UPPER(TRIM(M607))="STD", TRIM(B607)=TRIM(Enginuity!$A$17))
    ),
    OR(
      AND(LEFT(P607,5)="1-Way", Enginuity!$B$13=1),
      AND(LEFT(P607,5)="2-Way", OR(Enginuity!$B$13=2, Enginuity!$B$13=4)),
      AND(LEFT(P607,5)="3-Way", OR(Enginuity!$B$13=3, Enginuity!$B$13=6)),
      AND(P607="Inner Centre Jamb", OR(Enginuity!$B$13=4, Enginuity!$B$13=6)),
      AND(
        LEFT(P607,5)&lt;&gt;"1-Way",
        LEFT(P607,5)&lt;&gt;"2-Way",
        LEFT(P607,5)&lt;&gt;"3-Way",
        P607&lt;&gt;"Inner Centre Jamb"
      )
    ),
    IF(OR(Enginuity!$A$1="Frameless Glass",Enginuity!$A$1="Metal Work"),
      AND(TRIM(B607)=TRIM(Enginuity!$A$17),TRIM(C607)=TRIM(Enginuity!$A$18)),
      TRIM(B607)=TRIM(Enginuity!$A$17)
    )
  ),
  ROW(),
  ""
)</f>
        <v/>
      </c>
    </row>
    <row r="608" spans="1:21" x14ac:dyDescent="0.25">
      <c r="A608" s="10" t="s">
        <v>255</v>
      </c>
      <c r="B608" s="229" t="s">
        <v>86</v>
      </c>
      <c r="C608" s="10"/>
      <c r="D608" s="14"/>
      <c r="E608" s="157"/>
      <c r="F608" s="10"/>
      <c r="G608" s="17"/>
      <c r="H608" s="10"/>
      <c r="I608" s="17"/>
      <c r="J608" s="83"/>
      <c r="K608" s="343"/>
      <c r="L608" s="347"/>
      <c r="M608" s="89">
        <v>19</v>
      </c>
      <c r="N608" s="10"/>
      <c r="O608" s="22"/>
      <c r="P608" s="14"/>
      <c r="Q608" s="83"/>
      <c r="U608" s="104" t="str">
        <f>IF(
  AND(
    TRIM(A608)=TRIM(Enginuity!$A$1),
    TRIM(B608)=TRIM(Enginuity!$A$17),
    Q608&lt;&gt;"",
    Q608&lt;&gt;0,
    OR(
      TRIM(C608)=TRIM(Enginuity!$A$18),
      AND(UPPER(TRIM(M608))="STD", TRIM(B608)=TRIM(Enginuity!$A$17))
    ),
    OR(
      AND(LEFT(P608,5)="1-Way", Enginuity!$B$13=1),
      AND(LEFT(P608,5)="2-Way", OR(Enginuity!$B$13=2, Enginuity!$B$13=4)),
      AND(LEFT(P608,5)="3-Way", OR(Enginuity!$B$13=3, Enginuity!$B$13=6)),
      AND(P608="Inner Centre Jamb", OR(Enginuity!$B$13=4, Enginuity!$B$13=6)),
      AND(
        LEFT(P608,5)&lt;&gt;"1-Way",
        LEFT(P608,5)&lt;&gt;"2-Way",
        LEFT(P608,5)&lt;&gt;"3-Way",
        P608&lt;&gt;"Inner Centre Jamb"
      )
    ),
    IF(OR(Enginuity!$A$1="Frameless Glass",Enginuity!$A$1="Metal Work"),
      AND(TRIM(B608)=TRIM(Enginuity!$A$17),TRIM(C608)=TRIM(Enginuity!$A$18)),
      TRIM(B608)=TRIM(Enginuity!$A$17)
    )
  ),
  ROW(),
  ""
)</f>
        <v/>
      </c>
    </row>
    <row r="609" spans="1:21" x14ac:dyDescent="0.25">
      <c r="A609" s="10" t="s">
        <v>255</v>
      </c>
      <c r="B609" s="229" t="s">
        <v>86</v>
      </c>
      <c r="C609" s="10"/>
      <c r="D609" s="14"/>
      <c r="E609" s="157"/>
      <c r="F609" s="10"/>
      <c r="G609" s="17"/>
      <c r="H609" s="10"/>
      <c r="I609" s="17"/>
      <c r="J609" s="83"/>
      <c r="K609" s="343"/>
      <c r="L609" s="347"/>
      <c r="M609" s="89">
        <v>20</v>
      </c>
      <c r="N609" s="10"/>
      <c r="O609" s="22"/>
      <c r="P609" s="14"/>
      <c r="Q609" s="83"/>
      <c r="U609" s="104" t="str">
        <f>IF(
  AND(
    TRIM(A609)=TRIM(Enginuity!$A$1),
    TRIM(B609)=TRIM(Enginuity!$A$17),
    Q609&lt;&gt;"",
    Q609&lt;&gt;0,
    OR(
      TRIM(C609)=TRIM(Enginuity!$A$18),
      AND(UPPER(TRIM(M609))="STD", TRIM(B609)=TRIM(Enginuity!$A$17))
    ),
    OR(
      AND(LEFT(P609,5)="1-Way", Enginuity!$B$13=1),
      AND(LEFT(P609,5)="2-Way", OR(Enginuity!$B$13=2, Enginuity!$B$13=4)),
      AND(LEFT(P609,5)="3-Way", OR(Enginuity!$B$13=3, Enginuity!$B$13=6)),
      AND(P609="Inner Centre Jamb", OR(Enginuity!$B$13=4, Enginuity!$B$13=6)),
      AND(
        LEFT(P609,5)&lt;&gt;"1-Way",
        LEFT(P609,5)&lt;&gt;"2-Way",
        LEFT(P609,5)&lt;&gt;"3-Way",
        P609&lt;&gt;"Inner Centre Jamb"
      )
    ),
    IF(OR(Enginuity!$A$1="Frameless Glass",Enginuity!$A$1="Metal Work"),
      AND(TRIM(B609)=TRIM(Enginuity!$A$17),TRIM(C609)=TRIM(Enginuity!$A$18)),
      TRIM(B609)=TRIM(Enginuity!$A$17)
    )
  ),
  ROW(),
  ""
)</f>
        <v/>
      </c>
    </row>
    <row r="610" spans="1:21" x14ac:dyDescent="0.25">
      <c r="A610" s="10" t="s">
        <v>255</v>
      </c>
      <c r="B610" s="229" t="s">
        <v>86</v>
      </c>
      <c r="C610" s="10"/>
      <c r="D610" s="14"/>
      <c r="E610" s="157"/>
      <c r="F610" s="10"/>
      <c r="G610" s="17"/>
      <c r="H610" s="10"/>
      <c r="I610" s="17"/>
      <c r="J610" s="83"/>
      <c r="K610" s="343"/>
      <c r="L610" s="347"/>
      <c r="M610" s="89">
        <v>21</v>
      </c>
      <c r="N610" s="10"/>
      <c r="O610" s="22"/>
      <c r="P610" s="14"/>
      <c r="Q610" s="83"/>
      <c r="U610" s="104" t="str">
        <f>IF(
  AND(
    TRIM(A610)=TRIM(Enginuity!$A$1),
    TRIM(B610)=TRIM(Enginuity!$A$17),
    Q610&lt;&gt;"",
    Q610&lt;&gt;0,
    OR(
      TRIM(C610)=TRIM(Enginuity!$A$18),
      AND(UPPER(TRIM(M610))="STD", TRIM(B610)=TRIM(Enginuity!$A$17))
    ),
    OR(
      AND(LEFT(P610,5)="1-Way", Enginuity!$B$13=1),
      AND(LEFT(P610,5)="2-Way", OR(Enginuity!$B$13=2, Enginuity!$B$13=4)),
      AND(LEFT(P610,5)="3-Way", OR(Enginuity!$B$13=3, Enginuity!$B$13=6)),
      AND(P610="Inner Centre Jamb", OR(Enginuity!$B$13=4, Enginuity!$B$13=6)),
      AND(
        LEFT(P610,5)&lt;&gt;"1-Way",
        LEFT(P610,5)&lt;&gt;"2-Way",
        LEFT(P610,5)&lt;&gt;"3-Way",
        P610&lt;&gt;"Inner Centre Jamb"
      )
    ),
    IF(OR(Enginuity!$A$1="Frameless Glass",Enginuity!$A$1="Metal Work"),
      AND(TRIM(B610)=TRIM(Enginuity!$A$17),TRIM(C610)=TRIM(Enginuity!$A$18)),
      TRIM(B610)=TRIM(Enginuity!$A$17)
    )
  ),
  ROW(),
  ""
)</f>
        <v/>
      </c>
    </row>
    <row r="611" spans="1:21" x14ac:dyDescent="0.25">
      <c r="A611" s="10" t="s">
        <v>255</v>
      </c>
      <c r="B611" s="229" t="s">
        <v>86</v>
      </c>
      <c r="C611" s="10"/>
      <c r="D611" s="14"/>
      <c r="E611" s="157"/>
      <c r="F611" s="10"/>
      <c r="G611" s="17"/>
      <c r="H611" s="10"/>
      <c r="I611" s="17"/>
      <c r="J611" s="83"/>
      <c r="K611" s="343"/>
      <c r="L611" s="347"/>
      <c r="M611" s="89">
        <v>22</v>
      </c>
      <c r="N611" s="10"/>
      <c r="O611" s="22"/>
      <c r="P611" s="14"/>
      <c r="Q611" s="83"/>
      <c r="U611" s="104" t="str">
        <f>IF(
  AND(
    TRIM(A611)=TRIM(Enginuity!$A$1),
    TRIM(B611)=TRIM(Enginuity!$A$17),
    Q611&lt;&gt;"",
    Q611&lt;&gt;0,
    OR(
      TRIM(C611)=TRIM(Enginuity!$A$18),
      AND(UPPER(TRIM(M611))="STD", TRIM(B611)=TRIM(Enginuity!$A$17))
    ),
    OR(
      AND(LEFT(P611,5)="1-Way", Enginuity!$B$13=1),
      AND(LEFT(P611,5)="2-Way", OR(Enginuity!$B$13=2, Enginuity!$B$13=4)),
      AND(LEFT(P611,5)="3-Way", OR(Enginuity!$B$13=3, Enginuity!$B$13=6)),
      AND(P611="Inner Centre Jamb", OR(Enginuity!$B$13=4, Enginuity!$B$13=6)),
      AND(
        LEFT(P611,5)&lt;&gt;"1-Way",
        LEFT(P611,5)&lt;&gt;"2-Way",
        LEFT(P611,5)&lt;&gt;"3-Way",
        P611&lt;&gt;"Inner Centre Jamb"
      )
    ),
    IF(OR(Enginuity!$A$1="Frameless Glass",Enginuity!$A$1="Metal Work"),
      AND(TRIM(B611)=TRIM(Enginuity!$A$17),TRIM(C611)=TRIM(Enginuity!$A$18)),
      TRIM(B611)=TRIM(Enginuity!$A$17)
    )
  ),
  ROW(),
  ""
)</f>
        <v/>
      </c>
    </row>
    <row r="612" spans="1:21" x14ac:dyDescent="0.25">
      <c r="A612" s="10" t="s">
        <v>255</v>
      </c>
      <c r="B612" s="229" t="s">
        <v>86</v>
      </c>
      <c r="C612" s="10"/>
      <c r="D612" s="14"/>
      <c r="E612" s="157"/>
      <c r="F612" s="10"/>
      <c r="G612" s="17"/>
      <c r="H612" s="10"/>
      <c r="I612" s="17"/>
      <c r="J612" s="83"/>
      <c r="K612" s="343"/>
      <c r="L612" s="347"/>
      <c r="M612" s="89">
        <v>23</v>
      </c>
      <c r="N612" s="10"/>
      <c r="O612" s="22"/>
      <c r="P612" s="14"/>
      <c r="Q612" s="83"/>
      <c r="U612" s="104" t="str">
        <f>IF(
  AND(
    TRIM(A612)=TRIM(Enginuity!$A$1),
    TRIM(B612)=TRIM(Enginuity!$A$17),
    Q612&lt;&gt;"",
    Q612&lt;&gt;0,
    OR(
      TRIM(C612)=TRIM(Enginuity!$A$18),
      AND(UPPER(TRIM(M612))="STD", TRIM(B612)=TRIM(Enginuity!$A$17))
    ),
    OR(
      AND(LEFT(P612,5)="1-Way", Enginuity!$B$13=1),
      AND(LEFT(P612,5)="2-Way", OR(Enginuity!$B$13=2, Enginuity!$B$13=4)),
      AND(LEFT(P612,5)="3-Way", OR(Enginuity!$B$13=3, Enginuity!$B$13=6)),
      AND(P612="Inner Centre Jamb", OR(Enginuity!$B$13=4, Enginuity!$B$13=6)),
      AND(
        LEFT(P612,5)&lt;&gt;"1-Way",
        LEFT(P612,5)&lt;&gt;"2-Way",
        LEFT(P612,5)&lt;&gt;"3-Way",
        P612&lt;&gt;"Inner Centre Jamb"
      )
    ),
    IF(OR(Enginuity!$A$1="Frameless Glass",Enginuity!$A$1="Metal Work"),
      AND(TRIM(B612)=TRIM(Enginuity!$A$17),TRIM(C612)=TRIM(Enginuity!$A$18)),
      TRIM(B612)=TRIM(Enginuity!$A$17)
    )
  ),
  ROW(),
  ""
)</f>
        <v/>
      </c>
    </row>
    <row r="613" spans="1:21" x14ac:dyDescent="0.25">
      <c r="A613" s="10" t="s">
        <v>255</v>
      </c>
      <c r="B613" s="229" t="s">
        <v>86</v>
      </c>
      <c r="C613" s="10"/>
      <c r="D613" s="14"/>
      <c r="E613" s="157"/>
      <c r="F613" s="10"/>
      <c r="G613" s="17"/>
      <c r="H613" s="10"/>
      <c r="I613" s="17"/>
      <c r="J613" s="83"/>
      <c r="K613" s="343"/>
      <c r="L613" s="347"/>
      <c r="M613" s="89">
        <v>24</v>
      </c>
      <c r="N613" s="10"/>
      <c r="O613" s="22"/>
      <c r="P613" s="14"/>
      <c r="Q613" s="83"/>
      <c r="U613" s="104" t="str">
        <f>IF(
  AND(
    TRIM(A613)=TRIM(Enginuity!$A$1),
    TRIM(B613)=TRIM(Enginuity!$A$17),
    Q613&lt;&gt;"",
    Q613&lt;&gt;0,
    OR(
      TRIM(C613)=TRIM(Enginuity!$A$18),
      AND(UPPER(TRIM(M613))="STD", TRIM(B613)=TRIM(Enginuity!$A$17))
    ),
    OR(
      AND(LEFT(P613,5)="1-Way", Enginuity!$B$13=1),
      AND(LEFT(P613,5)="2-Way", OR(Enginuity!$B$13=2, Enginuity!$B$13=4)),
      AND(LEFT(P613,5)="3-Way", OR(Enginuity!$B$13=3, Enginuity!$B$13=6)),
      AND(P613="Inner Centre Jamb", OR(Enginuity!$B$13=4, Enginuity!$B$13=6)),
      AND(
        LEFT(P613,5)&lt;&gt;"1-Way",
        LEFT(P613,5)&lt;&gt;"2-Way",
        LEFT(P613,5)&lt;&gt;"3-Way",
        P613&lt;&gt;"Inner Centre Jamb"
      )
    ),
    IF(OR(Enginuity!$A$1="Frameless Glass",Enginuity!$A$1="Metal Work"),
      AND(TRIM(B613)=TRIM(Enginuity!$A$17),TRIM(C613)=TRIM(Enginuity!$A$18)),
      TRIM(B613)=TRIM(Enginuity!$A$17)
    )
  ),
  ROW(),
  ""
)</f>
        <v/>
      </c>
    </row>
    <row r="614" spans="1:21" x14ac:dyDescent="0.25">
      <c r="A614" s="10" t="s">
        <v>255</v>
      </c>
      <c r="B614" s="229" t="s">
        <v>86</v>
      </c>
      <c r="C614" s="10"/>
      <c r="D614" s="14"/>
      <c r="E614" s="157"/>
      <c r="F614" s="10"/>
      <c r="G614" s="17"/>
      <c r="H614" s="10"/>
      <c r="I614" s="17"/>
      <c r="J614" s="83"/>
      <c r="K614" s="343"/>
      <c r="L614" s="347"/>
      <c r="M614" s="89">
        <v>25</v>
      </c>
      <c r="N614" s="10"/>
      <c r="O614" s="22"/>
      <c r="P614" s="14"/>
      <c r="Q614" s="83"/>
      <c r="U614" s="104" t="str">
        <f>IF(
  AND(
    TRIM(A614)=TRIM(Enginuity!$A$1),
    TRIM(B614)=TRIM(Enginuity!$A$17),
    Q614&lt;&gt;"",
    Q614&lt;&gt;0,
    OR(
      TRIM(C614)=TRIM(Enginuity!$A$18),
      AND(UPPER(TRIM(M614))="STD", TRIM(B614)=TRIM(Enginuity!$A$17))
    ),
    OR(
      AND(LEFT(P614,5)="1-Way", Enginuity!$B$13=1),
      AND(LEFT(P614,5)="2-Way", OR(Enginuity!$B$13=2, Enginuity!$B$13=4)),
      AND(LEFT(P614,5)="3-Way", OR(Enginuity!$B$13=3, Enginuity!$B$13=6)),
      AND(P614="Inner Centre Jamb", OR(Enginuity!$B$13=4, Enginuity!$B$13=6)),
      AND(
        LEFT(P614,5)&lt;&gt;"1-Way",
        LEFT(P614,5)&lt;&gt;"2-Way",
        LEFT(P614,5)&lt;&gt;"3-Way",
        P614&lt;&gt;"Inner Centre Jamb"
      )
    ),
    IF(OR(Enginuity!$A$1="Frameless Glass",Enginuity!$A$1="Metal Work"),
      AND(TRIM(B614)=TRIM(Enginuity!$A$17),TRIM(C614)=TRIM(Enginuity!$A$18)),
      TRIM(B614)=TRIM(Enginuity!$A$17)
    )
  ),
  ROW(),
  ""
)</f>
        <v/>
      </c>
    </row>
    <row r="615" spans="1:21" x14ac:dyDescent="0.25">
      <c r="A615" s="10" t="s">
        <v>255</v>
      </c>
      <c r="B615" s="229" t="s">
        <v>86</v>
      </c>
      <c r="C615" s="10"/>
      <c r="D615" s="14"/>
      <c r="E615" s="157"/>
      <c r="F615" s="10"/>
      <c r="G615" s="17"/>
      <c r="H615" s="10"/>
      <c r="I615" s="17"/>
      <c r="J615" s="83"/>
      <c r="K615" s="343"/>
      <c r="L615" s="347"/>
      <c r="M615" s="89">
        <v>26</v>
      </c>
      <c r="N615" s="10"/>
      <c r="O615" s="22"/>
      <c r="P615" s="14"/>
      <c r="Q615" s="83"/>
      <c r="U615" s="104" t="str">
        <f>IF(
  AND(
    TRIM(A615)=TRIM(Enginuity!$A$1),
    TRIM(B615)=TRIM(Enginuity!$A$17),
    Q615&lt;&gt;"",
    Q615&lt;&gt;0,
    OR(
      TRIM(C615)=TRIM(Enginuity!$A$18),
      AND(UPPER(TRIM(M615))="STD", TRIM(B615)=TRIM(Enginuity!$A$17))
    ),
    OR(
      AND(LEFT(P615,5)="1-Way", Enginuity!$B$13=1),
      AND(LEFT(P615,5)="2-Way", OR(Enginuity!$B$13=2, Enginuity!$B$13=4)),
      AND(LEFT(P615,5)="3-Way", OR(Enginuity!$B$13=3, Enginuity!$B$13=6)),
      AND(P615="Inner Centre Jamb", OR(Enginuity!$B$13=4, Enginuity!$B$13=6)),
      AND(
        LEFT(P615,5)&lt;&gt;"1-Way",
        LEFT(P615,5)&lt;&gt;"2-Way",
        LEFT(P615,5)&lt;&gt;"3-Way",
        P615&lt;&gt;"Inner Centre Jamb"
      )
    ),
    IF(OR(Enginuity!$A$1="Frameless Glass",Enginuity!$A$1="Metal Work"),
      AND(TRIM(B615)=TRIM(Enginuity!$A$17),TRIM(C615)=TRIM(Enginuity!$A$18)),
      TRIM(B615)=TRIM(Enginuity!$A$17)
    )
  ),
  ROW(),
  ""
)</f>
        <v/>
      </c>
    </row>
    <row r="616" spans="1:21" x14ac:dyDescent="0.25">
      <c r="A616" s="10" t="s">
        <v>255</v>
      </c>
      <c r="B616" s="229" t="s">
        <v>86</v>
      </c>
      <c r="C616" s="10"/>
      <c r="D616" s="14"/>
      <c r="E616" s="157"/>
      <c r="F616" s="10"/>
      <c r="G616" s="17"/>
      <c r="H616" s="10"/>
      <c r="I616" s="17"/>
      <c r="J616" s="83"/>
      <c r="K616" s="343"/>
      <c r="L616" s="347"/>
      <c r="M616" s="89">
        <v>27</v>
      </c>
      <c r="N616" s="10"/>
      <c r="O616" s="22"/>
      <c r="P616" s="14"/>
      <c r="Q616" s="83"/>
      <c r="U616" s="104" t="str">
        <f>IF(
  AND(
    TRIM(A616)=TRIM(Enginuity!$A$1),
    TRIM(B616)=TRIM(Enginuity!$A$17),
    Q616&lt;&gt;"",
    Q616&lt;&gt;0,
    OR(
      TRIM(C616)=TRIM(Enginuity!$A$18),
      AND(UPPER(TRIM(M616))="STD", TRIM(B616)=TRIM(Enginuity!$A$17))
    ),
    OR(
      AND(LEFT(P616,5)="1-Way", Enginuity!$B$13=1),
      AND(LEFT(P616,5)="2-Way", OR(Enginuity!$B$13=2, Enginuity!$B$13=4)),
      AND(LEFT(P616,5)="3-Way", OR(Enginuity!$B$13=3, Enginuity!$B$13=6)),
      AND(P616="Inner Centre Jamb", OR(Enginuity!$B$13=4, Enginuity!$B$13=6)),
      AND(
        LEFT(P616,5)&lt;&gt;"1-Way",
        LEFT(P616,5)&lt;&gt;"2-Way",
        LEFT(P616,5)&lt;&gt;"3-Way",
        P616&lt;&gt;"Inner Centre Jamb"
      )
    ),
    IF(OR(Enginuity!$A$1="Frameless Glass",Enginuity!$A$1="Metal Work"),
      AND(TRIM(B616)=TRIM(Enginuity!$A$17),TRIM(C616)=TRIM(Enginuity!$A$18)),
      TRIM(B616)=TRIM(Enginuity!$A$17)
    )
  ),
  ROW(),
  ""
)</f>
        <v/>
      </c>
    </row>
    <row r="617" spans="1:21" x14ac:dyDescent="0.25">
      <c r="A617" s="10" t="s">
        <v>255</v>
      </c>
      <c r="B617" s="229" t="s">
        <v>86</v>
      </c>
      <c r="C617" s="10"/>
      <c r="D617" s="14"/>
      <c r="E617" s="157"/>
      <c r="F617" s="10"/>
      <c r="G617" s="17"/>
      <c r="H617" s="10"/>
      <c r="I617" s="17"/>
      <c r="J617" s="83"/>
      <c r="K617" s="343"/>
      <c r="L617" s="347"/>
      <c r="M617" s="89">
        <v>28</v>
      </c>
      <c r="N617" s="10"/>
      <c r="O617" s="22"/>
      <c r="P617" s="21"/>
      <c r="Q617" s="83"/>
      <c r="U617" s="104" t="str">
        <f>IF(
  AND(
    TRIM(A617)=TRIM(Enginuity!$A$1),
    TRIM(B617)=TRIM(Enginuity!$A$17),
    Q617&lt;&gt;"",
    Q617&lt;&gt;0,
    OR(
      TRIM(C617)=TRIM(Enginuity!$A$18),
      AND(UPPER(TRIM(M617))="STD", TRIM(B617)=TRIM(Enginuity!$A$17))
    ),
    OR(
      AND(LEFT(P617,5)="1-Way", Enginuity!$B$13=1),
      AND(LEFT(P617,5)="2-Way", OR(Enginuity!$B$13=2, Enginuity!$B$13=4)),
      AND(LEFT(P617,5)="3-Way", OR(Enginuity!$B$13=3, Enginuity!$B$13=6)),
      AND(P617="Inner Centre Jamb", OR(Enginuity!$B$13=4, Enginuity!$B$13=6)),
      AND(
        LEFT(P617,5)&lt;&gt;"1-Way",
        LEFT(P617,5)&lt;&gt;"2-Way",
        LEFT(P617,5)&lt;&gt;"3-Way",
        P617&lt;&gt;"Inner Centre Jamb"
      )
    ),
    IF(OR(Enginuity!$A$1="Frameless Glass",Enginuity!$A$1="Metal Work"),
      AND(TRIM(B617)=TRIM(Enginuity!$A$17),TRIM(C617)=TRIM(Enginuity!$A$18)),
      TRIM(B617)=TRIM(Enginuity!$A$17)
    )
  ),
  ROW(),
  ""
)</f>
        <v/>
      </c>
    </row>
    <row r="618" spans="1:21" x14ac:dyDescent="0.25">
      <c r="A618" s="10" t="s">
        <v>255</v>
      </c>
      <c r="B618" s="229" t="s">
        <v>86</v>
      </c>
      <c r="C618" s="10"/>
      <c r="D618" s="14"/>
      <c r="E618" s="157"/>
      <c r="F618" s="10"/>
      <c r="G618" s="17"/>
      <c r="H618" s="10"/>
      <c r="I618" s="17"/>
      <c r="J618" s="83"/>
      <c r="K618" s="343"/>
      <c r="L618" s="347"/>
      <c r="M618" s="89">
        <v>29</v>
      </c>
      <c r="N618" s="88"/>
      <c r="O618" s="22"/>
      <c r="P618" s="36"/>
      <c r="Q618" s="83"/>
      <c r="U618" s="104" t="str">
        <f>IF(
  AND(
    TRIM(A618)=TRIM(Enginuity!$A$1),
    TRIM(B618)=TRIM(Enginuity!$A$17),
    Q618&lt;&gt;"",
    Q618&lt;&gt;0,
    OR(
      TRIM(C618)=TRIM(Enginuity!$A$18),
      AND(UPPER(TRIM(M618))="STD", TRIM(B618)=TRIM(Enginuity!$A$17))
    ),
    OR(
      AND(LEFT(P618,5)="1-Way", Enginuity!$B$13=1),
      AND(LEFT(P618,5)="2-Way", OR(Enginuity!$B$13=2, Enginuity!$B$13=4)),
      AND(LEFT(P618,5)="3-Way", OR(Enginuity!$B$13=3, Enginuity!$B$13=6)),
      AND(P618="Inner Centre Jamb", OR(Enginuity!$B$13=4, Enginuity!$B$13=6)),
      AND(
        LEFT(P618,5)&lt;&gt;"1-Way",
        LEFT(P618,5)&lt;&gt;"2-Way",
        LEFT(P618,5)&lt;&gt;"3-Way",
        P618&lt;&gt;"Inner Centre Jamb"
      )
    ),
    IF(OR(Enginuity!$A$1="Frameless Glass",Enginuity!$A$1="Metal Work"),
      AND(TRIM(B618)=TRIM(Enginuity!$A$17),TRIM(C618)=TRIM(Enginuity!$A$18)),
      TRIM(B618)=TRIM(Enginuity!$A$17)
    )
  ),
  ROW(),
  ""
)</f>
        <v/>
      </c>
    </row>
    <row r="619" spans="1:21" x14ac:dyDescent="0.25">
      <c r="A619" s="10" t="s">
        <v>255</v>
      </c>
      <c r="B619" s="229" t="s">
        <v>86</v>
      </c>
      <c r="C619" s="10"/>
      <c r="D619" s="14"/>
      <c r="E619" s="157"/>
      <c r="F619" s="10"/>
      <c r="G619" s="17"/>
      <c r="H619" s="10"/>
      <c r="I619" s="17"/>
      <c r="J619" s="83"/>
      <c r="K619" s="343"/>
      <c r="L619" s="347"/>
      <c r="M619" s="10" t="s">
        <v>117</v>
      </c>
      <c r="N619" s="10" t="s">
        <v>121</v>
      </c>
      <c r="O619" s="22" t="str">
        <f>$O$2</f>
        <v/>
      </c>
      <c r="P619" s="21" t="str">
        <f>Enginuity!$A$19</f>
        <v>W/G</v>
      </c>
      <c r="Q619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619" s="104" t="str">
        <f>IF(
  AND(
    TRIM(A619)=TRIM(Enginuity!$A$1),
    TRIM(B619)=TRIM(Enginuity!$A$17),
    Q619&lt;&gt;"",
    Q619&lt;&gt;0,
    OR(
      TRIM(C619)=TRIM(Enginuity!$A$18),
      AND(UPPER(TRIM(M619))="STD", TRIM(B619)=TRIM(Enginuity!$A$17))
    ),
    OR(
      AND(LEFT(P619,5)="1-Way", Enginuity!$B$13=1),
      AND(LEFT(P619,5)="2-Way", OR(Enginuity!$B$13=2, Enginuity!$B$13=4)),
      AND(LEFT(P619,5)="3-Way", OR(Enginuity!$B$13=3, Enginuity!$B$13=6)),
      AND(P619="Inner Centre Jamb", OR(Enginuity!$B$13=4, Enginuity!$B$13=6)),
      AND(
        LEFT(P619,5)&lt;&gt;"1-Way",
        LEFT(P619,5)&lt;&gt;"2-Way",
        LEFT(P619,5)&lt;&gt;"3-Way",
        P619&lt;&gt;"Inner Centre Jamb"
      )
    ),
    IF(OR(Enginuity!$A$1="Frameless Glass",Enginuity!$A$1="Metal Work"),
      AND(TRIM(B619)=TRIM(Enginuity!$A$17),TRIM(C619)=TRIM(Enginuity!$A$18)),
      TRIM(B619)=TRIM(Enginuity!$A$17)
    )
  ),
  ROW(),
  ""
)</f>
        <v/>
      </c>
    </row>
    <row r="620" spans="1:21" x14ac:dyDescent="0.25">
      <c r="A620" s="10" t="s">
        <v>255</v>
      </c>
      <c r="B620" s="229" t="s">
        <v>86</v>
      </c>
      <c r="C620" s="10"/>
      <c r="D620" s="14"/>
      <c r="E620" s="157"/>
      <c r="F620" s="10"/>
      <c r="G620" s="17"/>
      <c r="H620" s="10"/>
      <c r="I620" s="17"/>
      <c r="J620" s="83"/>
      <c r="K620" s="343"/>
      <c r="L620" s="347"/>
      <c r="M620" s="10" t="s">
        <v>117</v>
      </c>
      <c r="N620" s="10" t="s">
        <v>103</v>
      </c>
      <c r="O620" s="22">
        <v>0.4</v>
      </c>
      <c r="P620" s="14" t="s">
        <v>115</v>
      </c>
      <c r="Q620" s="83">
        <f>IF(AND(Enginuity!$B$6&gt;0, Enginuity!$B$7&gt;0), ROUND(((Enginuity!$B$6 + Enginuity!$B$7) * 2), 2), "")</f>
        <v>66</v>
      </c>
      <c r="U620" s="104" t="str">
        <f>IF(
  AND(
    TRIM(A620)=TRIM(Enginuity!$A$1),
    TRIM(B620)=TRIM(Enginuity!$A$17),
    Q620&lt;&gt;"",
    Q620&lt;&gt;0,
    OR(
      TRIM(C620)=TRIM(Enginuity!$A$18),
      AND(UPPER(TRIM(M620))="STD", TRIM(B620)=TRIM(Enginuity!$A$17))
    ),
    OR(
      AND(LEFT(P620,5)="1-Way", Enginuity!$B$13=1),
      AND(LEFT(P620,5)="2-Way", OR(Enginuity!$B$13=2, Enginuity!$B$13=4)),
      AND(LEFT(P620,5)="3-Way", OR(Enginuity!$B$13=3, Enginuity!$B$13=6)),
      AND(P620="Inner Centre Jamb", OR(Enginuity!$B$13=4, Enginuity!$B$13=6)),
      AND(
        LEFT(P620,5)&lt;&gt;"1-Way",
        LEFT(P620,5)&lt;&gt;"2-Way",
        LEFT(P620,5)&lt;&gt;"3-Way",
        P620&lt;&gt;"Inner Centre Jamb"
      )
    ),
    IF(OR(Enginuity!$A$1="Frameless Glass",Enginuity!$A$1="Metal Work"),
      AND(TRIM(B620)=TRIM(Enginuity!$A$17),TRIM(C620)=TRIM(Enginuity!$A$18)),
      TRIM(B620)=TRIM(Enginuity!$A$17)
    )
  ),
  ROW(),
  ""
)</f>
        <v/>
      </c>
    </row>
    <row r="621" spans="1:21" x14ac:dyDescent="0.25">
      <c r="A621" s="10" t="s">
        <v>255</v>
      </c>
      <c r="B621" s="229" t="s">
        <v>86</v>
      </c>
      <c r="C621" s="10"/>
      <c r="D621" s="14"/>
      <c r="E621" s="157"/>
      <c r="F621" s="10"/>
      <c r="G621" s="17"/>
      <c r="H621" s="10"/>
      <c r="I621" s="17"/>
      <c r="J621" s="83"/>
      <c r="K621" s="343"/>
      <c r="L621" s="347"/>
      <c r="M621" s="10" t="s">
        <v>117</v>
      </c>
      <c r="N621" s="10" t="s">
        <v>103</v>
      </c>
      <c r="O621" s="22">
        <v>0.4</v>
      </c>
      <c r="P621" s="14" t="s">
        <v>116</v>
      </c>
      <c r="Q621" s="83">
        <f>IF(AND(Enginuity!$B$6&gt;0, Enginuity!$B$7&gt;0, Enginuity!$B$13&gt;0), (2 * Enginuity!$B$7 * Enginuity!$B$13) + (2 * Enginuity!$B$6), "")</f>
        <v>222</v>
      </c>
      <c r="U621" s="104" t="str">
        <f>IF(
  AND(
    TRIM(A621)=TRIM(Enginuity!$A$1),
    TRIM(B621)=TRIM(Enginuity!$A$17),
    Q621&lt;&gt;"",
    Q621&lt;&gt;0,
    OR(
      TRIM(C621)=TRIM(Enginuity!$A$18),
      AND(UPPER(TRIM(M621))="STD", TRIM(B621)=TRIM(Enginuity!$A$17))
    ),
    OR(
      AND(LEFT(P621,5)="1-Way", Enginuity!$B$13=1),
      AND(LEFT(P621,5)="2-Way", OR(Enginuity!$B$13=2, Enginuity!$B$13=4)),
      AND(LEFT(P621,5)="3-Way", OR(Enginuity!$B$13=3, Enginuity!$B$13=6)),
      AND(P621="Inner Centre Jamb", OR(Enginuity!$B$13=4, Enginuity!$B$13=6)),
      AND(
        LEFT(P621,5)&lt;&gt;"1-Way",
        LEFT(P621,5)&lt;&gt;"2-Way",
        LEFT(P621,5)&lt;&gt;"3-Way",
        P621&lt;&gt;"Inner Centre Jamb"
      )
    ),
    IF(OR(Enginuity!$A$1="Frameless Glass",Enginuity!$A$1="Metal Work"),
      AND(TRIM(B621)=TRIM(Enginuity!$A$17),TRIM(C621)=TRIM(Enginuity!$A$18)),
      TRIM(B621)=TRIM(Enginuity!$A$17)
    )
  ),
  ROW(),
  ""
)</f>
        <v/>
      </c>
    </row>
    <row r="622" spans="1:21" x14ac:dyDescent="0.25">
      <c r="A622" s="10" t="s">
        <v>255</v>
      </c>
      <c r="B622" s="229" t="s">
        <v>86</v>
      </c>
      <c r="C622" s="10"/>
      <c r="D622" s="14"/>
      <c r="E622" s="157"/>
      <c r="F622" s="10"/>
      <c r="G622" s="17"/>
      <c r="H622" s="10"/>
      <c r="I622" s="17"/>
      <c r="J622" s="83"/>
      <c r="K622" s="343"/>
      <c r="L622" s="347"/>
      <c r="M622" s="10" t="s">
        <v>117</v>
      </c>
      <c r="N622" s="10" t="s">
        <v>103</v>
      </c>
      <c r="O622" s="22">
        <v>0.8</v>
      </c>
      <c r="P622" s="14" t="s">
        <v>272</v>
      </c>
      <c r="Q622" s="83">
        <f>IF(AND(Enginuity!$B$6&gt;0, Enginuity!$B$7&gt;0, Enginuity!$B$13&gt;0), ((2*Enginuity!$B$7*Enginuity!$B$13)+(2*Enginuity!$B$6))*2, "")</f>
        <v>444</v>
      </c>
      <c r="U622" s="104" t="str">
        <f>IF(
  AND(
    TRIM(A622)=TRIM(Enginuity!$A$1),
    TRIM(B622)=TRIM(Enginuity!$A$17),
    Q622&lt;&gt;"",
    Q622&lt;&gt;0,
    OR(
      TRIM(C622)=TRIM(Enginuity!$A$18),
      AND(UPPER(TRIM(M622))="STD", TRIM(B622)=TRIM(Enginuity!$A$17))
    ),
    OR(
      AND(LEFT(P622,5)="1-Way", Enginuity!$B$13=1),
      AND(LEFT(P622,5)="2-Way", OR(Enginuity!$B$13=2, Enginuity!$B$13=4)),
      AND(LEFT(P622,5)="3-Way", OR(Enginuity!$B$13=3, Enginuity!$B$13=6)),
      AND(P622="Inner Centre Jamb", OR(Enginuity!$B$13=4, Enginuity!$B$13=6)),
      AND(
        LEFT(P622,5)&lt;&gt;"1-Way",
        LEFT(P622,5)&lt;&gt;"2-Way",
        LEFT(P622,5)&lt;&gt;"3-Way",
        P622&lt;&gt;"Inner Centre Jamb"
      )
    ),
    IF(OR(Enginuity!$A$1="Frameless Glass",Enginuity!$A$1="Metal Work"),
      AND(TRIM(B622)=TRIM(Enginuity!$A$17),TRIM(C622)=TRIM(Enginuity!$A$18)),
      TRIM(B622)=TRIM(Enginuity!$A$17)
    )
  ),
  ROW(),
  ""
)</f>
        <v/>
      </c>
    </row>
    <row r="623" spans="1:21" x14ac:dyDescent="0.25">
      <c r="A623" s="10" t="s">
        <v>255</v>
      </c>
      <c r="B623" s="229" t="s">
        <v>86</v>
      </c>
      <c r="C623" s="10"/>
      <c r="D623" s="14"/>
      <c r="E623" s="157"/>
      <c r="F623" s="10"/>
      <c r="G623" s="17"/>
      <c r="H623" s="10"/>
      <c r="I623" s="17"/>
      <c r="J623" s="83"/>
      <c r="K623" s="343"/>
      <c r="L623" s="347"/>
      <c r="M623" s="10" t="s">
        <v>117</v>
      </c>
      <c r="N623" s="10" t="s">
        <v>103</v>
      </c>
      <c r="O623" s="22">
        <v>0.12</v>
      </c>
      <c r="P623" s="14" t="s">
        <v>280</v>
      </c>
      <c r="Q623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576</v>
      </c>
      <c r="U623" s="104" t="str">
        <f>IF(
  AND(
    TRIM(A623)=TRIM(Enginuity!$A$1),
    TRIM(B623)=TRIM(Enginuity!$A$17),
    Q623&lt;&gt;"",
    Q623&lt;&gt;0,
    OR(
      TRIM(C623)=TRIM(Enginuity!$A$18),
      AND(UPPER(TRIM(M623))="STD", TRIM(B623)=TRIM(Enginuity!$A$17))
    ),
    OR(
      AND(LEFT(P623,5)="1-Way", Enginuity!$B$13=1),
      AND(LEFT(P623,5)="2-Way", OR(Enginuity!$B$13=2, Enginuity!$B$13=4)),
      AND(LEFT(P623,5)="3-Way", OR(Enginuity!$B$13=3, Enginuity!$B$13=6)),
      AND(P623="Inner Centre Jamb", OR(Enginuity!$B$13=4, Enginuity!$B$13=6)),
      AND(
        LEFT(P623,5)&lt;&gt;"1-Way",
        LEFT(P623,5)&lt;&gt;"2-Way",
        LEFT(P623,5)&lt;&gt;"3-Way",
        P623&lt;&gt;"Inner Centre Jamb"
      )
    ),
    IF(OR(Enginuity!$A$1="Frameless Glass",Enginuity!$A$1="Metal Work"),
      AND(TRIM(B623)=TRIM(Enginuity!$A$17),TRIM(C623)=TRIM(Enginuity!$A$18)),
      TRIM(B623)=TRIM(Enginuity!$A$17)
    )
  ),
  ROW(),
  ""
)</f>
        <v/>
      </c>
    </row>
    <row r="624" spans="1:21" x14ac:dyDescent="0.25">
      <c r="A624" s="10" t="s">
        <v>255</v>
      </c>
      <c r="B624" s="229" t="s">
        <v>86</v>
      </c>
      <c r="C624" s="10"/>
      <c r="D624" s="14"/>
      <c r="E624" s="157"/>
      <c r="F624" s="10"/>
      <c r="G624" s="17"/>
      <c r="H624" s="10"/>
      <c r="I624" s="17"/>
      <c r="J624" s="83"/>
      <c r="K624" s="343"/>
      <c r="L624" s="347"/>
      <c r="M624" s="10" t="s">
        <v>117</v>
      </c>
      <c r="N624" s="10" t="s">
        <v>112</v>
      </c>
      <c r="O624" s="22">
        <v>12</v>
      </c>
      <c r="P624" s="14" t="s">
        <v>139</v>
      </c>
      <c r="Q624" s="83">
        <f>Enginuity!$B$13*IF(TRIM(Enginuity!$A$21)="1'H X ?'W X Qty Panel Top Hung (Casement Profile)",2,1)</f>
        <v>7</v>
      </c>
      <c r="U624" s="104" t="str">
        <f>IF(
  AND(
    TRIM(A624)=TRIM(Enginuity!$A$1),
    TRIM(B624)=TRIM(Enginuity!$A$17),
    Q624&lt;&gt;"",
    Q624&lt;&gt;0,
    OR(
      TRIM(C624)=TRIM(Enginuity!$A$18),
      AND(UPPER(TRIM(M624))="STD", TRIM(B624)=TRIM(Enginuity!$A$17))
    ),
    OR(
      AND(LEFT(P624,5)="1-Way", Enginuity!$B$13=1),
      AND(LEFT(P624,5)="2-Way", OR(Enginuity!$B$13=2, Enginuity!$B$13=4)),
      AND(LEFT(P624,5)="3-Way", OR(Enginuity!$B$13=3, Enginuity!$B$13=6)),
      AND(P624="Inner Centre Jamb", OR(Enginuity!$B$13=4, Enginuity!$B$13=6)),
      AND(
        LEFT(P624,5)&lt;&gt;"1-Way",
        LEFT(P624,5)&lt;&gt;"2-Way",
        LEFT(P624,5)&lt;&gt;"3-Way",
        P624&lt;&gt;"Inner Centre Jamb"
      )
    ),
    IF(OR(Enginuity!$A$1="Frameless Glass",Enginuity!$A$1="Metal Work"),
      AND(TRIM(B624)=TRIM(Enginuity!$A$17),TRIM(C624)=TRIM(Enginuity!$A$18)),
      TRIM(B624)=TRIM(Enginuity!$A$17)
    )
  ),
  ROW(),
  ""
)</f>
        <v/>
      </c>
    </row>
    <row r="625" spans="1:27" x14ac:dyDescent="0.25">
      <c r="A625" s="10" t="s">
        <v>255</v>
      </c>
      <c r="B625" s="229" t="s">
        <v>86</v>
      </c>
      <c r="C625" s="10"/>
      <c r="D625" s="14"/>
      <c r="E625" s="157"/>
      <c r="F625" s="10"/>
      <c r="G625" s="17"/>
      <c r="H625" s="10"/>
      <c r="I625" s="17"/>
      <c r="J625" s="83"/>
      <c r="K625" s="343"/>
      <c r="L625" s="347"/>
      <c r="M625" s="10" t="s">
        <v>117</v>
      </c>
      <c r="N625" s="88" t="s">
        <v>112</v>
      </c>
      <c r="O625" s="22">
        <v>4.5</v>
      </c>
      <c r="P625" s="36" t="s">
        <v>124</v>
      </c>
      <c r="Q625" s="83">
        <f>Enginuity!$B$13*IF(TRIM(Enginuity!$A$21)="1'H X ?'W X Qty Panel Top Hung (Casement Profile)",2,1)</f>
        <v>7</v>
      </c>
      <c r="U625" s="104" t="str">
        <f>IF(
  AND(
    TRIM(A625)=TRIM(Enginuity!$A$1),
    TRIM(B625)=TRIM(Enginuity!$A$17),
    Q625&lt;&gt;"",
    Q625&lt;&gt;0,
    OR(
      TRIM(C625)=TRIM(Enginuity!$A$18),
      AND(UPPER(TRIM(M625))="STD", TRIM(B625)=TRIM(Enginuity!$A$17))
    ),
    OR(
      AND(LEFT(P625,5)="1-Way", Enginuity!$B$13=1),
      AND(LEFT(P625,5)="2-Way", OR(Enginuity!$B$13=2, Enginuity!$B$13=4)),
      AND(LEFT(P625,5)="3-Way", OR(Enginuity!$B$13=3, Enginuity!$B$13=6)),
      AND(P625="Inner Centre Jamb", OR(Enginuity!$B$13=4, Enginuity!$B$13=6)),
      AND(
        LEFT(P625,5)&lt;&gt;"1-Way",
        LEFT(P625,5)&lt;&gt;"2-Way",
        LEFT(P625,5)&lt;&gt;"3-Way",
        P625&lt;&gt;"Inner Centre Jamb"
      )
    ),
    IF(OR(Enginuity!$A$1="Frameless Glass",Enginuity!$A$1="Metal Work"),
      AND(TRIM(B625)=TRIM(Enginuity!$A$17),TRIM(C625)=TRIM(Enginuity!$A$18)),
      TRIM(B625)=TRIM(Enginuity!$A$17)
    )
  ),
  ROW(),
  ""
)</f>
        <v/>
      </c>
    </row>
    <row r="626" spans="1:27" x14ac:dyDescent="0.25">
      <c r="A626" s="10" t="s">
        <v>255</v>
      </c>
      <c r="B626" s="229" t="s">
        <v>86</v>
      </c>
      <c r="C626" s="10"/>
      <c r="D626" s="14"/>
      <c r="E626" s="157"/>
      <c r="F626" s="10"/>
      <c r="G626" s="17"/>
      <c r="H626" s="10"/>
      <c r="I626" s="17"/>
      <c r="J626" s="83"/>
      <c r="K626" s="343"/>
      <c r="L626" s="347"/>
      <c r="M626" s="10" t="s">
        <v>117</v>
      </c>
      <c r="N626" s="10" t="s">
        <v>112</v>
      </c>
      <c r="O626" s="22">
        <v>1</v>
      </c>
      <c r="P626" s="14" t="s">
        <v>133</v>
      </c>
      <c r="Q626" s="83">
        <f>IF(AND(ISNUMBER(Enginuity!$B$13), Enginuity!$B$13&gt;0), Enginuity!$B$13*4, "")</f>
        <v>28</v>
      </c>
      <c r="U626" s="104" t="str">
        <f>IF(
  AND(
    TRIM(A626)=TRIM(Enginuity!$A$1),
    TRIM(B626)=TRIM(Enginuity!$A$17),
    Q626&lt;&gt;"",
    Q626&lt;&gt;0,
    OR(
      TRIM(C626)=TRIM(Enginuity!$A$18),
      AND(UPPER(TRIM(M626))="STD", TRIM(B626)=TRIM(Enginuity!$A$17))
    ),
    OR(
      AND(LEFT(P626,5)="1-Way", Enginuity!$B$13=1),
      AND(LEFT(P626,5)="2-Way", OR(Enginuity!$B$13=2, Enginuity!$B$13=4)),
      AND(LEFT(P626,5)="3-Way", OR(Enginuity!$B$13=3, Enginuity!$B$13=6)),
      AND(P626="Inner Centre Jamb", OR(Enginuity!$B$13=4, Enginuity!$B$13=6)),
      AND(
        LEFT(P626,5)&lt;&gt;"1-Way",
        LEFT(P626,5)&lt;&gt;"2-Way",
        LEFT(P626,5)&lt;&gt;"3-Way",
        P626&lt;&gt;"Inner Centre Jamb"
      )
    ),
    IF(OR(Enginuity!$A$1="Frameless Glass",Enginuity!$A$1="Metal Work"),
      AND(TRIM(B626)=TRIM(Enginuity!$A$17),TRIM(C626)=TRIM(Enginuity!$A$18)),
      TRIM(B626)=TRIM(Enginuity!$A$17)
    )
  ),
  ROW(),
  ""
)</f>
        <v/>
      </c>
    </row>
    <row r="627" spans="1:27" x14ac:dyDescent="0.25">
      <c r="A627" s="10" t="s">
        <v>255</v>
      </c>
      <c r="B627" s="229" t="s">
        <v>86</v>
      </c>
      <c r="C627" s="10"/>
      <c r="D627" s="14"/>
      <c r="E627" s="157"/>
      <c r="F627" s="10"/>
      <c r="G627" s="17"/>
      <c r="H627" s="10"/>
      <c r="I627" s="17"/>
      <c r="J627" s="83"/>
      <c r="K627" s="343"/>
      <c r="L627" s="347"/>
      <c r="M627" s="10" t="s">
        <v>117</v>
      </c>
      <c r="N627" s="10" t="s">
        <v>112</v>
      </c>
      <c r="O627" s="22">
        <v>1</v>
      </c>
      <c r="P627" s="14" t="s">
        <v>134</v>
      </c>
      <c r="Q627" s="83">
        <v>4</v>
      </c>
      <c r="U627" s="104" t="str">
        <f>IF(
  AND(
    TRIM(A627)=TRIM(Enginuity!$A$1),
    TRIM(B627)=TRIM(Enginuity!$A$17),
    Q627&lt;&gt;"",
    Q627&lt;&gt;0,
    OR(
      TRIM(C627)=TRIM(Enginuity!$A$18),
      AND(UPPER(TRIM(M627))="STD", TRIM(B627)=TRIM(Enginuity!$A$17))
    ),
    OR(
      AND(LEFT(P627,5)="1-Way", Enginuity!$B$13=1),
      AND(LEFT(P627,5)="2-Way", OR(Enginuity!$B$13=2, Enginuity!$B$13=4)),
      AND(LEFT(P627,5)="3-Way", OR(Enginuity!$B$13=3, Enginuity!$B$13=6)),
      AND(P627="Inner Centre Jamb", OR(Enginuity!$B$13=4, Enginuity!$B$13=6)),
      AND(
        LEFT(P627,5)&lt;&gt;"1-Way",
        LEFT(P627,5)&lt;&gt;"2-Way",
        LEFT(P627,5)&lt;&gt;"3-Way",
        P627&lt;&gt;"Inner Centre Jamb"
      )
    ),
    IF(OR(Enginuity!$A$1="Frameless Glass",Enginuity!$A$1="Metal Work"),
      AND(TRIM(B627)=TRIM(Enginuity!$A$17),TRIM(C627)=TRIM(Enginuity!$A$18)),
      TRIM(B627)=TRIM(Enginuity!$A$17)
    )
  ),
  ROW(),
  ""
)</f>
        <v/>
      </c>
    </row>
    <row r="628" spans="1:27" x14ac:dyDescent="0.25">
      <c r="A628" s="10" t="s">
        <v>255</v>
      </c>
      <c r="B628" s="229" t="s">
        <v>86</v>
      </c>
      <c r="C628" s="10"/>
      <c r="D628" s="14"/>
      <c r="E628" s="157"/>
      <c r="F628" s="10"/>
      <c r="G628" s="17"/>
      <c r="H628" s="10"/>
      <c r="I628" s="17"/>
      <c r="J628" s="83"/>
      <c r="K628" s="343"/>
      <c r="L628" s="347"/>
      <c r="M628" s="10" t="s">
        <v>117</v>
      </c>
      <c r="N628" s="10" t="s">
        <v>112</v>
      </c>
      <c r="O628" s="22">
        <v>0.45</v>
      </c>
      <c r="P628" s="14" t="s">
        <v>131</v>
      </c>
      <c r="Q628" s="83">
        <f>Enginuity!$B$13*
 IF(Enginuity!$B$7&lt;5,2,
 IF(Enginuity!$B$7&lt;6,3,
 IF(Enginuity!$B$7&lt;=7,4,5)))</f>
        <v>35</v>
      </c>
      <c r="U628" s="104" t="str">
        <f>IF(
  AND(
    TRIM(A628)=TRIM(Enginuity!$A$1),
    TRIM(B628)=TRIM(Enginuity!$A$17),
    Q628&lt;&gt;"",
    Q628&lt;&gt;0,
    OR(
      TRIM(C628)=TRIM(Enginuity!$A$18),
      AND(UPPER(TRIM(M628))="STD", TRIM(B628)=TRIM(Enginuity!$A$17))
    ),
    OR(
      AND(LEFT(P628,5)="1-Way", Enginuity!$B$13=1),
      AND(LEFT(P628,5)="2-Way", OR(Enginuity!$B$13=2, Enginuity!$B$13=4)),
      AND(LEFT(P628,5)="3-Way", OR(Enginuity!$B$13=3, Enginuity!$B$13=6)),
      AND(P628="Inner Centre Jamb", OR(Enginuity!$B$13=4, Enginuity!$B$13=6)),
      AND(
        LEFT(P628,5)&lt;&gt;"1-Way",
        LEFT(P628,5)&lt;&gt;"2-Way",
        LEFT(P628,5)&lt;&gt;"3-Way",
        P628&lt;&gt;"Inner Centre Jamb"
      )
    ),
    IF(OR(Enginuity!$A$1="Frameless Glass",Enginuity!$A$1="Metal Work"),
      AND(TRIM(B628)=TRIM(Enginuity!$A$17),TRIM(C628)=TRIM(Enginuity!$A$18)),
      TRIM(B628)=TRIM(Enginuity!$A$17)
    )
  ),
  ROW(),
  ""
)</f>
        <v/>
      </c>
    </row>
    <row r="629" spans="1:27" x14ac:dyDescent="0.25">
      <c r="A629" s="10" t="s">
        <v>255</v>
      </c>
      <c r="B629" s="229" t="s">
        <v>86</v>
      </c>
      <c r="C629" s="10"/>
      <c r="D629" s="14"/>
      <c r="E629" s="157"/>
      <c r="F629" s="10"/>
      <c r="G629" s="17"/>
      <c r="H629" s="10"/>
      <c r="I629" s="17"/>
      <c r="J629" s="83"/>
      <c r="K629" s="343"/>
      <c r="L629" s="347"/>
      <c r="M629" s="10" t="s">
        <v>117</v>
      </c>
      <c r="N629" s="10" t="s">
        <v>112</v>
      </c>
      <c r="O629" s="22">
        <v>4</v>
      </c>
      <c r="P629" s="14" t="s">
        <v>135</v>
      </c>
      <c r="Q629" s="83">
        <f>Enginuity!$B$13*
 IF(Enginuity!$B$7&lt;5,2,
 IF(Enginuity!$B$7&lt;6,3,
 IF(Enginuity!$B$7&lt;=7,4,5)))</f>
        <v>35</v>
      </c>
      <c r="U629" s="104" t="str">
        <f>IF(
  AND(
    TRIM(A629)=TRIM(Enginuity!$A$1),
    TRIM(B629)=TRIM(Enginuity!$A$17),
    Q629&lt;&gt;"",
    Q629&lt;&gt;0,
    OR(
      TRIM(C629)=TRIM(Enginuity!$A$18),
      AND(UPPER(TRIM(M629))="STD", TRIM(B629)=TRIM(Enginuity!$A$17))
    ),
    OR(
      AND(LEFT(P629,5)="1-Way", Enginuity!$B$13=1),
      AND(LEFT(P629,5)="2-Way", OR(Enginuity!$B$13=2, Enginuity!$B$13=4)),
      AND(LEFT(P629,5)="3-Way", OR(Enginuity!$B$13=3, Enginuity!$B$13=6)),
      AND(P629="Inner Centre Jamb", OR(Enginuity!$B$13=4, Enginuity!$B$13=6)),
      AND(
        LEFT(P629,5)&lt;&gt;"1-Way",
        LEFT(P629,5)&lt;&gt;"2-Way",
        LEFT(P629,5)&lt;&gt;"3-Way",
        P629&lt;&gt;"Inner Centre Jamb"
      )
    ),
    IF(OR(Enginuity!$A$1="Frameless Glass",Enginuity!$A$1="Metal Work"),
      AND(TRIM(B629)=TRIM(Enginuity!$A$17),TRIM(C629)=TRIM(Enginuity!$A$18)),
      TRIM(B629)=TRIM(Enginuity!$A$17)
    )
  ),
  ROW(),
  ""
)</f>
        <v/>
      </c>
    </row>
    <row r="630" spans="1:27" x14ac:dyDescent="0.25">
      <c r="A630" s="10" t="s">
        <v>255</v>
      </c>
      <c r="B630" s="229" t="s">
        <v>86</v>
      </c>
      <c r="C630" s="10"/>
      <c r="D630" s="14"/>
      <c r="E630" s="157"/>
      <c r="F630" s="10"/>
      <c r="G630" s="17"/>
      <c r="H630" s="10"/>
      <c r="I630" s="17"/>
      <c r="J630" s="83"/>
      <c r="K630" s="343"/>
      <c r="L630" s="347"/>
      <c r="M630" s="10" t="s">
        <v>117</v>
      </c>
      <c r="N630" s="10" t="s">
        <v>112</v>
      </c>
      <c r="O630" s="22">
        <v>1.8</v>
      </c>
      <c r="P630" s="14" t="s">
        <v>136</v>
      </c>
      <c r="Q630" s="83">
        <f>Enginuity!$B$13*2</f>
        <v>14</v>
      </c>
      <c r="U630" s="104" t="str">
        <f>IF(
  AND(
    TRIM(A630)=TRIM(Enginuity!$A$1),
    TRIM(B630)=TRIM(Enginuity!$A$17),
    Q630&lt;&gt;"",
    Q630&lt;&gt;0,
    OR(
      TRIM(C630)=TRIM(Enginuity!$A$18),
      AND(UPPER(TRIM(M630))="STD", TRIM(B630)=TRIM(Enginuity!$A$17))
    ),
    OR(
      AND(LEFT(P630,5)="1-Way", Enginuity!$B$13=1),
      AND(LEFT(P630,5)="2-Way", OR(Enginuity!$B$13=2, Enginuity!$B$13=4)),
      AND(LEFT(P630,5)="3-Way", OR(Enginuity!$B$13=3, Enginuity!$B$13=6)),
      AND(P630="Inner Centre Jamb", OR(Enginuity!$B$13=4, Enginuity!$B$13=6)),
      AND(
        LEFT(P630,5)&lt;&gt;"1-Way",
        LEFT(P630,5)&lt;&gt;"2-Way",
        LEFT(P630,5)&lt;&gt;"3-Way",
        P630&lt;&gt;"Inner Centre Jamb"
      )
    ),
    IF(OR(Enginuity!$A$1="Frameless Glass",Enginuity!$A$1="Metal Work"),
      AND(TRIM(B630)=TRIM(Enginuity!$A$17),TRIM(C630)=TRIM(Enginuity!$A$18)),
      TRIM(B630)=TRIM(Enginuity!$A$17)
    )
  ),
  ROW(),
  ""
)</f>
        <v/>
      </c>
    </row>
    <row r="631" spans="1:27" x14ac:dyDescent="0.25">
      <c r="A631" s="10" t="s">
        <v>255</v>
      </c>
      <c r="B631" s="229" t="s">
        <v>86</v>
      </c>
      <c r="C631" s="10"/>
      <c r="D631" s="14"/>
      <c r="E631" s="157"/>
      <c r="F631" s="10"/>
      <c r="G631" s="17"/>
      <c r="H631" s="10"/>
      <c r="I631" s="17"/>
      <c r="J631" s="83"/>
      <c r="K631" s="343"/>
      <c r="L631" s="347"/>
      <c r="M631" s="10" t="s">
        <v>117</v>
      </c>
      <c r="N631" s="10" t="s">
        <v>112</v>
      </c>
      <c r="O631" s="22">
        <v>1.8</v>
      </c>
      <c r="P631" s="14" t="s">
        <v>137</v>
      </c>
      <c r="Q631" s="83">
        <f>Enginuity!$B$13*2</f>
        <v>14</v>
      </c>
      <c r="U631" s="104" t="str">
        <f>IF(
  AND(
    TRIM(A631)=TRIM(Enginuity!$A$1),
    TRIM(B631)=TRIM(Enginuity!$A$17),
    Q631&lt;&gt;"",
    Q631&lt;&gt;0,
    OR(
      TRIM(C631)=TRIM(Enginuity!$A$18),
      AND(UPPER(TRIM(M631))="STD", TRIM(B631)=TRIM(Enginuity!$A$17))
    ),
    OR(
      AND(LEFT(P631,5)="1-Way", Enginuity!$B$13=1),
      AND(LEFT(P631,5)="2-Way", OR(Enginuity!$B$13=2, Enginuity!$B$13=4)),
      AND(LEFT(P631,5)="3-Way", OR(Enginuity!$B$13=3, Enginuity!$B$13=6)),
      AND(P631="Inner Centre Jamb", OR(Enginuity!$B$13=4, Enginuity!$B$13=6)),
      AND(
        LEFT(P631,5)&lt;&gt;"1-Way",
        LEFT(P631,5)&lt;&gt;"2-Way",
        LEFT(P631,5)&lt;&gt;"3-Way",
        P631&lt;&gt;"Inner Centre Jamb"
      )
    ),
    IF(OR(Enginuity!$A$1="Frameless Glass",Enginuity!$A$1="Metal Work"),
      AND(TRIM(B631)=TRIM(Enginuity!$A$17),TRIM(C631)=TRIM(Enginuity!$A$18)),
      TRIM(B631)=TRIM(Enginuity!$A$17)
    )
  ),
  ROW(),
  ""
)</f>
        <v/>
      </c>
    </row>
    <row r="632" spans="1:27" x14ac:dyDescent="0.25">
      <c r="A632" s="10" t="s">
        <v>255</v>
      </c>
      <c r="B632" s="229" t="s">
        <v>86</v>
      </c>
      <c r="C632" s="10"/>
      <c r="D632" s="14"/>
      <c r="E632" s="157"/>
      <c r="F632" s="10"/>
      <c r="G632" s="17"/>
      <c r="H632" s="10"/>
      <c r="I632" s="17"/>
      <c r="J632" s="83"/>
      <c r="K632" s="343"/>
      <c r="L632" s="347"/>
      <c r="M632" s="10" t="s">
        <v>117</v>
      </c>
      <c r="N632" s="10" t="s">
        <v>112</v>
      </c>
      <c r="O632" s="22">
        <v>1.3</v>
      </c>
      <c r="P632" s="21" t="s">
        <v>138</v>
      </c>
      <c r="Q632" s="83">
        <f>Enginuity!$B$13*1</f>
        <v>7</v>
      </c>
      <c r="U632" s="104" t="str">
        <f>IF(
  AND(
    TRIM(A632)=TRIM(Enginuity!$A$1),
    TRIM(B632)=TRIM(Enginuity!$A$17),
    Q632&lt;&gt;"",
    Q632&lt;&gt;0,
    OR(
      TRIM(C632)=TRIM(Enginuity!$A$18),
      AND(UPPER(TRIM(M632))="STD", TRIM(B632)=TRIM(Enginuity!$A$17))
    ),
    OR(
      AND(LEFT(P632,5)="1-Way", Enginuity!$B$13=1),
      AND(LEFT(P632,5)="2-Way", OR(Enginuity!$B$13=2, Enginuity!$B$13=4)),
      AND(LEFT(P632,5)="3-Way", OR(Enginuity!$B$13=3, Enginuity!$B$13=6)),
      AND(P632="Inner Centre Jamb", OR(Enginuity!$B$13=4, Enginuity!$B$13=6)),
      AND(
        LEFT(P632,5)&lt;&gt;"1-Way",
        LEFT(P632,5)&lt;&gt;"2-Way",
        LEFT(P632,5)&lt;&gt;"3-Way",
        P632&lt;&gt;"Inner Centre Jamb"
      )
    ),
    IF(OR(Enginuity!$A$1="Frameless Glass",Enginuity!$A$1="Metal Work"),
      AND(TRIM(B632)=TRIM(Enginuity!$A$17),TRIM(C632)=TRIM(Enginuity!$A$18)),
      TRIM(B632)=TRIM(Enginuity!$A$17)
    )
  ),
  ROW(),
  ""
)</f>
        <v/>
      </c>
    </row>
    <row r="633" spans="1:27" x14ac:dyDescent="0.25">
      <c r="A633" s="10" t="s">
        <v>255</v>
      </c>
      <c r="B633" s="229" t="s">
        <v>86</v>
      </c>
      <c r="C633" s="10"/>
      <c r="D633" s="14"/>
      <c r="E633" s="157"/>
      <c r="F633" s="10"/>
      <c r="G633" s="17"/>
      <c r="H633" s="10"/>
      <c r="I633" s="17"/>
      <c r="J633" s="83"/>
      <c r="K633" s="343"/>
      <c r="L633" s="347"/>
      <c r="M633" s="10"/>
      <c r="N633" s="10"/>
      <c r="O633" s="22"/>
      <c r="P633" s="14"/>
      <c r="Q633" s="83"/>
      <c r="U633" s="104" t="str">
        <f>IF(
  AND(
    TRIM(A633)=TRIM(Enginuity!$A$1),
    TRIM(B633)=TRIM(Enginuity!$A$17),
    Q633&lt;&gt;"",
    Q633&lt;&gt;0,
    OR(
      TRIM(C633)=TRIM(Enginuity!$A$18),
      AND(UPPER(TRIM(M633))="STD", TRIM(B633)=TRIM(Enginuity!$A$17))
    ),
    OR(
      AND(LEFT(P633,5)="1-Way", Enginuity!$B$13=1),
      AND(LEFT(P633,5)="2-Way", OR(Enginuity!$B$13=2, Enginuity!$B$13=4)),
      AND(LEFT(P633,5)="3-Way", OR(Enginuity!$B$13=3, Enginuity!$B$13=6)),
      AND(P633="Inner Centre Jamb", OR(Enginuity!$B$13=4, Enginuity!$B$13=6)),
      AND(
        LEFT(P633,5)&lt;&gt;"1-Way",
        LEFT(P633,5)&lt;&gt;"2-Way",
        LEFT(P633,5)&lt;&gt;"3-Way",
        P633&lt;&gt;"Inner Centre Jamb"
      )
    ),
    IF(OR(Enginuity!$A$1="Frameless Glass",Enginuity!$A$1="Metal Work"),
      AND(TRIM(B633)=TRIM(Enginuity!$A$17),TRIM(C633)=TRIM(Enginuity!$A$18)),
      TRIM(B633)=TRIM(Enginuity!$A$17)
    )
  ),
  ROW(),
  ""
)</f>
        <v/>
      </c>
    </row>
    <row r="634" spans="1:27" x14ac:dyDescent="0.25">
      <c r="A634" s="10" t="s">
        <v>255</v>
      </c>
      <c r="B634" s="229" t="s">
        <v>86</v>
      </c>
      <c r="C634" s="10"/>
      <c r="D634" s="14"/>
      <c r="E634" s="157"/>
      <c r="F634" s="10"/>
      <c r="G634" s="17"/>
      <c r="H634" s="10"/>
      <c r="I634" s="17"/>
      <c r="J634" s="83"/>
      <c r="K634" s="343"/>
      <c r="L634" s="347"/>
      <c r="M634" s="10"/>
      <c r="N634" s="10"/>
      <c r="O634" s="22"/>
      <c r="P634" s="21"/>
      <c r="Q634" s="83"/>
      <c r="U634" s="104" t="str">
        <f>IF(
  AND(
    TRIM(A634)=TRIM(Enginuity!$A$1),
    TRIM(B634)=TRIM(Enginuity!$A$17),
    Q634&lt;&gt;"",
    Q634&lt;&gt;0,
    OR(
      TRIM(C634)=TRIM(Enginuity!$A$18),
      AND(UPPER(TRIM(M634))="STD", TRIM(B634)=TRIM(Enginuity!$A$17))
    ),
    OR(
      AND(LEFT(P634,5)="1-Way", Enginuity!$B$13=1),
      AND(LEFT(P634,5)="2-Way", OR(Enginuity!$B$13=2, Enginuity!$B$13=4)),
      AND(LEFT(P634,5)="3-Way", OR(Enginuity!$B$13=3, Enginuity!$B$13=6)),
      AND(P634="Inner Centre Jamb", OR(Enginuity!$B$13=4, Enginuity!$B$13=6)),
      AND(
        LEFT(P634,5)&lt;&gt;"1-Way",
        LEFT(P634,5)&lt;&gt;"2-Way",
        LEFT(P634,5)&lt;&gt;"3-Way",
        P634&lt;&gt;"Inner Centre Jamb"
      )
    ),
    IF(OR(Enginuity!$A$1="Frameless Glass",Enginuity!$A$1="Metal Work"),
      AND(TRIM(B634)=TRIM(Enginuity!$A$17),TRIM(C634)=TRIM(Enginuity!$A$18)),
      TRIM(B634)=TRIM(Enginuity!$A$17)
    )
  ),
  ROW(),
  ""
)</f>
        <v/>
      </c>
    </row>
    <row r="635" spans="1:27" x14ac:dyDescent="0.25">
      <c r="A635" s="10"/>
      <c r="B635" s="229"/>
      <c r="C635" s="10"/>
      <c r="D635" s="14"/>
      <c r="E635" s="157"/>
      <c r="F635" s="10"/>
      <c r="G635" s="17"/>
      <c r="H635" s="10"/>
      <c r="I635" s="17"/>
      <c r="J635" s="83"/>
      <c r="K635" s="343"/>
      <c r="L635" s="347"/>
      <c r="M635" s="89"/>
      <c r="N635" s="10"/>
      <c r="O635" s="22"/>
      <c r="P635" s="14"/>
      <c r="Q635" s="83"/>
      <c r="U635" s="104" t="str">
        <f>IF(
  AND(
    TRIM(A635)=TRIM(Enginuity!$A$1),
    TRIM(B635)=TRIM(Enginuity!$A$17),
    Q635&lt;&gt;"",
    Q635&lt;&gt;0,
    OR(
      TRIM(C635)=TRIM(Enginuity!$A$18),
      AND(UPPER(TRIM(M635))="STD", TRIM(B635)=TRIM(Enginuity!$A$17))
    ),
    OR(
      AND(LEFT(P635,5)="1-Way", Enginuity!$B$13=1),
      AND(LEFT(P635,5)="2-Way", OR(Enginuity!$B$13=2, Enginuity!$B$13=4)),
      AND(LEFT(P635,5)="3-Way", OR(Enginuity!$B$13=3, Enginuity!$B$13=6)),
      AND(P635="Inner Centre Jamb", OR(Enginuity!$B$13=4, Enginuity!$B$13=6)),
      AND(
        LEFT(P635,5)&lt;&gt;"1-Way",
        LEFT(P635,5)&lt;&gt;"2-Way",
        LEFT(P635,5)&lt;&gt;"3-Way",
        P635&lt;&gt;"Inner Centre Jamb"
      )
    ),
    IF(OR(Enginuity!$A$1="Frameless Glass",Enginuity!$A$1="Metal Work"),
      AND(TRIM(B635)=TRIM(Enginuity!$A$17),TRIM(C635)=TRIM(Enginuity!$A$18)),
      TRIM(B635)=TRIM(Enginuity!$A$17)
    )
  ),
  ROW(),
  ""
)</f>
        <v/>
      </c>
    </row>
    <row r="636" spans="1:27" x14ac:dyDescent="0.25">
      <c r="A636" s="10"/>
      <c r="B636" s="229"/>
      <c r="C636" s="10"/>
      <c r="D636" s="14"/>
      <c r="E636" s="157"/>
      <c r="F636" s="10"/>
      <c r="G636" s="17"/>
      <c r="H636" s="10"/>
      <c r="I636" s="17"/>
      <c r="J636" s="83"/>
      <c r="K636" s="343"/>
      <c r="L636" s="347"/>
      <c r="M636" s="89">
        <v>47</v>
      </c>
      <c r="N636" s="10"/>
      <c r="O636" s="22"/>
      <c r="P636" s="14"/>
      <c r="Q636" s="83"/>
      <c r="U636" s="104" t="str">
        <f>IF(
  AND(
    TRIM(A636)=TRIM(Enginuity!$A$1),
    TRIM(B636)=TRIM(Enginuity!$A$17),
    Q636&lt;&gt;"",
    Q636&lt;&gt;0,
    OR(
      TRIM(C636)=TRIM(Enginuity!$A$18),
      AND(UPPER(TRIM(M636))="STD", TRIM(B636)=TRIM(Enginuity!$A$17))
    ),
    OR(
      AND(LEFT(P636,5)="1-Way", Enginuity!$B$13=1),
      AND(LEFT(P636,5)="2-Way", OR(Enginuity!$B$13=2, Enginuity!$B$13=4)),
      AND(LEFT(P636,5)="3-Way", OR(Enginuity!$B$13=3, Enginuity!$B$13=6)),
      AND(P636="Inner Centre Jamb", OR(Enginuity!$B$13=4, Enginuity!$B$13=6)),
      AND(
        LEFT(P636,5)&lt;&gt;"1-Way",
        LEFT(P636,5)&lt;&gt;"2-Way",
        LEFT(P636,5)&lt;&gt;"3-Way",
        P636&lt;&gt;"Inner Centre Jamb"
      )
    ),
    IF(OR(Enginuity!$A$1="Frameless Glass",Enginuity!$A$1="Metal Work"),
      AND(TRIM(B636)=TRIM(Enginuity!$A$17),TRIM(C636)=TRIM(Enginuity!$A$18)),
      TRIM(B636)=TRIM(Enginuity!$A$17)
    )
  ),
  ROW(),
  ""
)</f>
        <v/>
      </c>
    </row>
    <row r="637" spans="1:27" x14ac:dyDescent="0.25">
      <c r="A637" s="10"/>
      <c r="B637" s="229"/>
      <c r="C637" s="10"/>
      <c r="D637" s="14"/>
      <c r="E637" s="157"/>
      <c r="F637" s="10"/>
      <c r="G637" s="17"/>
      <c r="H637" s="10"/>
      <c r="I637" s="17"/>
      <c r="J637" s="83"/>
      <c r="K637" s="343"/>
      <c r="L637" s="347"/>
      <c r="M637" s="89">
        <v>48</v>
      </c>
      <c r="N637" s="10"/>
      <c r="O637" s="22"/>
      <c r="P637" s="14"/>
      <c r="Q637" s="83"/>
      <c r="U637" s="104" t="str">
        <f>IF(
  AND(
    TRIM(A637)=TRIM(Enginuity!$A$1),
    TRIM(B637)=TRIM(Enginuity!$A$17),
    Q637&lt;&gt;"",
    Q637&lt;&gt;0,
    OR(
      TRIM(C637)=TRIM(Enginuity!$A$18),
      AND(UPPER(TRIM(M637))="STD", TRIM(B637)=TRIM(Enginuity!$A$17))
    ),
    OR(
      AND(LEFT(P637,5)="1-Way", Enginuity!$B$13=1),
      AND(LEFT(P637,5)="2-Way", OR(Enginuity!$B$13=2, Enginuity!$B$13=4)),
      AND(LEFT(P637,5)="3-Way", OR(Enginuity!$B$13=3, Enginuity!$B$13=6)),
      AND(P637="Inner Centre Jamb", OR(Enginuity!$B$13=4, Enginuity!$B$13=6)),
      AND(
        LEFT(P637,5)&lt;&gt;"1-Way",
        LEFT(P637,5)&lt;&gt;"2-Way",
        LEFT(P637,5)&lt;&gt;"3-Way",
        P637&lt;&gt;"Inner Centre Jamb"
      )
    ),
    IF(OR(Enginuity!$A$1="Frameless Glass",Enginuity!$A$1="Metal Work"),
      AND(TRIM(B637)=TRIM(Enginuity!$A$17),TRIM(C637)=TRIM(Enginuity!$A$18)),
      TRIM(B637)=TRIM(Enginuity!$A$17)
    )
  ),
  ROW(),
  ""
)</f>
        <v/>
      </c>
    </row>
    <row r="638" spans="1:27" x14ac:dyDescent="0.25">
      <c r="A638" s="17"/>
      <c r="B638" s="230"/>
      <c r="C638" s="17"/>
      <c r="D638" s="18"/>
      <c r="E638" s="238"/>
      <c r="F638" s="17"/>
      <c r="G638" s="17"/>
      <c r="H638" s="10"/>
      <c r="I638" s="17"/>
      <c r="J638" s="83"/>
      <c r="K638" s="343"/>
      <c r="L638" s="347"/>
      <c r="M638" s="90">
        <v>49</v>
      </c>
      <c r="N638" s="17"/>
      <c r="O638" s="25"/>
      <c r="P638" s="92"/>
      <c r="Q638" s="84"/>
      <c r="U638" s="104" t="str">
        <f>IF(
  AND(
    TRIM(A638)=TRIM(Enginuity!$A$1),
    TRIM(B638)=TRIM(Enginuity!$A$17),
    Q638&lt;&gt;"",
    Q638&lt;&gt;0,
    OR(
      TRIM(C638)=TRIM(Enginuity!$A$18),
      AND(UPPER(TRIM(M638))="STD", TRIM(B638)=TRIM(Enginuity!$A$17))
    ),
    OR(
      AND(LEFT(P638,5)="1-Way", Enginuity!$B$13=1),
      AND(LEFT(P638,5)="2-Way", OR(Enginuity!$B$13=2, Enginuity!$B$13=4)),
      AND(LEFT(P638,5)="3-Way", OR(Enginuity!$B$13=3, Enginuity!$B$13=6)),
      AND(P638="Inner Centre Jamb", OR(Enginuity!$B$13=4, Enginuity!$B$13=6)),
      AND(
        LEFT(P638,5)&lt;&gt;"1-Way",
        LEFT(P638,5)&lt;&gt;"2-Way",
        LEFT(P638,5)&lt;&gt;"3-Way",
        P638&lt;&gt;"Inner Centre Jamb"
      )
    ),
    IF(OR(Enginuity!$A$1="Frameless Glass",Enginuity!$A$1="Metal Work"),
      AND(TRIM(B638)=TRIM(Enginuity!$A$17),TRIM(C638)=TRIM(Enginuity!$A$18)),
      TRIM(B638)=TRIM(Enginuity!$A$17)
    )
  ),
  ROW(),
  ""
)</f>
        <v/>
      </c>
    </row>
    <row r="639" spans="1:27" x14ac:dyDescent="0.25">
      <c r="A639" s="10" t="s">
        <v>255</v>
      </c>
      <c r="B639" s="229" t="s">
        <v>85</v>
      </c>
      <c r="C639" s="10" t="s">
        <v>97</v>
      </c>
      <c r="D639" s="14" t="str" cm="1">
        <f t="array" ref="D639:D645">IFERROR(INDEX(_xlfn._xlws.FILTER(AllMaterialsbak!$BA$2:$BA$30, AllMaterialsbak!$BA$2:$BA$30&lt;&gt;""), _xlfn.SEQUENCE(7)), "")</f>
        <v>Default</v>
      </c>
      <c r="E639" s="157" t="s">
        <v>257</v>
      </c>
      <c r="F639" s="10" t="s">
        <v>9</v>
      </c>
      <c r="G639" s="17"/>
      <c r="H639" s="10"/>
      <c r="I639" s="17"/>
      <c r="J639" s="83"/>
      <c r="K639" s="344">
        <v>0.521208</v>
      </c>
      <c r="L639" s="347">
        <v>762</v>
      </c>
      <c r="M639" s="89">
        <v>1</v>
      </c>
      <c r="N639" s="10" t="s">
        <v>103</v>
      </c>
      <c r="O639" s="22">
        <v>4.83</v>
      </c>
      <c r="P639" s="86" t="str">
        <f>$P$2</f>
        <v>Outer Frame W X H</v>
      </c>
      <c r="Q639" s="83">
        <f>$Q$2</f>
        <v>66</v>
      </c>
      <c r="U639" s="104" t="str">
        <f>IF(
  AND(
    TRIM(A639)=TRIM(Enginuity!$A$1),
    TRIM(B639)=TRIM(Enginuity!$A$17),
    Q639&lt;&gt;"",
    Q639&lt;&gt;0,
    OR(
      TRIM(C639)=TRIM(Enginuity!$A$18),
      AND(UPPER(TRIM(M639))="STD", TRIM(B639)=TRIM(Enginuity!$A$17))
    ),
    OR(
      AND(LEFT(P639,5)="1-Way", Enginuity!$B$13=1),
      AND(LEFT(P639,5)="2-Way", OR(Enginuity!$B$13=2, Enginuity!$B$13=4)),
      AND(LEFT(P639,5)="3-Way", OR(Enginuity!$B$13=3, Enginuity!$B$13=6)),
      AND(P639="Inner Centre Jamb", OR(Enginuity!$B$13=4, Enginuity!$B$13=6)),
      AND(
        LEFT(P639,5)&lt;&gt;"1-Way",
        LEFT(P639,5)&lt;&gt;"2-Way",
        LEFT(P639,5)&lt;&gt;"3-Way",
        P639&lt;&gt;"Inner Centre Jamb"
      )
    ),
    IF(OR(Enginuity!$A$1="Frameless Glass",Enginuity!$A$1="Metal Work"),
      AND(TRIM(B639)=TRIM(Enginuity!$A$17),TRIM(C639)=TRIM(Enginuity!$A$18)),
      TRIM(B639)=TRIM(Enginuity!$A$17)
    )
  ),
  ROW(),
  ""
)</f>
        <v/>
      </c>
      <c r="AA639" s="37"/>
    </row>
    <row r="640" spans="1:27" x14ac:dyDescent="0.25">
      <c r="A640" s="10" t="s">
        <v>255</v>
      </c>
      <c r="B640" s="229" t="s">
        <v>85</v>
      </c>
      <c r="C640" s="10" t="s">
        <v>97</v>
      </c>
      <c r="D640" s="14" t="str">
        <v xml:space="preserve">2" Louver Blade N/A </v>
      </c>
      <c r="E640" s="157" t="s">
        <v>269</v>
      </c>
      <c r="F640" s="11"/>
      <c r="G640" s="17"/>
      <c r="H640" s="10"/>
      <c r="I640" s="17"/>
      <c r="J640" s="83"/>
      <c r="K640" s="343"/>
      <c r="L640" s="347"/>
      <c r="M640" s="89">
        <v>2</v>
      </c>
      <c r="N640" s="10" t="s">
        <v>103</v>
      </c>
      <c r="O640" s="22">
        <v>7.1</v>
      </c>
      <c r="P640" s="86" t="str">
        <f>$P$3</f>
        <v>Inner Frame</v>
      </c>
      <c r="Q640" s="83">
        <f>$Q$3</f>
        <v>222</v>
      </c>
      <c r="U640" s="104" t="str">
        <f>IF(
  AND(
    TRIM(A640)=TRIM(Enginuity!$A$1),
    TRIM(B640)=TRIM(Enginuity!$A$17),
    Q640&lt;&gt;"",
    Q640&lt;&gt;0,
    OR(
      TRIM(C640)=TRIM(Enginuity!$A$18),
      AND(UPPER(TRIM(M640))="STD", TRIM(B640)=TRIM(Enginuity!$A$17))
    ),
    OR(
      AND(LEFT(P640,5)="1-Way", Enginuity!$B$13=1),
      AND(LEFT(P640,5)="2-Way", OR(Enginuity!$B$13=2, Enginuity!$B$13=4)),
      AND(LEFT(P640,5)="3-Way", OR(Enginuity!$B$13=3, Enginuity!$B$13=6)),
      AND(P640="Inner Centre Jamb", OR(Enginuity!$B$13=4, Enginuity!$B$13=6)),
      AND(
        LEFT(P640,5)&lt;&gt;"1-Way",
        LEFT(P640,5)&lt;&gt;"2-Way",
        LEFT(P640,5)&lt;&gt;"3-Way",
        P640&lt;&gt;"Inner Centre Jamb"
      )
    ),
    IF(OR(Enginuity!$A$1="Frameless Glass",Enginuity!$A$1="Metal Work"),
      AND(TRIM(B640)=TRIM(Enginuity!$A$17),TRIM(C640)=TRIM(Enginuity!$A$18)),
      TRIM(B640)=TRIM(Enginuity!$A$17)
    )
  ),
  ROW(),
  ""
)</f>
        <v/>
      </c>
      <c r="AA640" s="9"/>
    </row>
    <row r="641" spans="1:21" x14ac:dyDescent="0.25">
      <c r="A641" s="10" t="s">
        <v>255</v>
      </c>
      <c r="B641" s="229" t="s">
        <v>85</v>
      </c>
      <c r="C641" s="10" t="s">
        <v>97</v>
      </c>
      <c r="D641" s="14" t="str">
        <v>2" Louver Blade P/C</v>
      </c>
      <c r="E641" s="157"/>
      <c r="F641" s="10"/>
      <c r="G641" s="17"/>
      <c r="H641" s="10"/>
      <c r="I641" s="17"/>
      <c r="J641" s="83"/>
      <c r="K641" s="343"/>
      <c r="L641" s="347"/>
      <c r="M641" s="89">
        <v>3</v>
      </c>
      <c r="N641" s="10" t="s">
        <v>103</v>
      </c>
      <c r="O641" s="22">
        <v>7.7</v>
      </c>
      <c r="P641" s="21" t="str">
        <f>$P$4</f>
        <v>Single Horizontal Mullion ↔</v>
      </c>
      <c r="Q641" s="83" t="str">
        <f>IF(
  OR(
    TRIM(Enginuity!$A$21)="1'H X ?'W X Qty Panel Top Hung (Casement Profile)",
    TRIM(Enginuity!$A$21)="1'H X ?'W X Qty Panel Top Fix (Casement Profile)"
  ),
  Enginuity!$B$6,
  ""
)</f>
        <v/>
      </c>
      <c r="U641" s="104" t="str">
        <f>IF(
  AND(
    TRIM(A641)=TRIM(Enginuity!$A$1),
    TRIM(B641)=TRIM(Enginuity!$A$17),
    Q641&lt;&gt;"",
    Q641&lt;&gt;0,
    OR(
      TRIM(C641)=TRIM(Enginuity!$A$18),
      AND(UPPER(TRIM(M641))="STD", TRIM(B641)=TRIM(Enginuity!$A$17))
    ),
    OR(
      AND(LEFT(P641,5)="1-Way", Enginuity!$B$13=1),
      AND(LEFT(P641,5)="2-Way", OR(Enginuity!$B$13=2, Enginuity!$B$13=4)),
      AND(LEFT(P641,5)="3-Way", OR(Enginuity!$B$13=3, Enginuity!$B$13=6)),
      AND(P641="Inner Centre Jamb", OR(Enginuity!$B$13=4, Enginuity!$B$13=6)),
      AND(
        LEFT(P641,5)&lt;&gt;"1-Way",
        LEFT(P641,5)&lt;&gt;"2-Way",
        LEFT(P641,5)&lt;&gt;"3-Way",
        P641&lt;&gt;"Inner Centre Jamb"
      )
    ),
    IF(OR(Enginuity!$A$1="Frameless Glass",Enginuity!$A$1="Metal Work"),
      AND(TRIM(B641)=TRIM(Enginuity!$A$17),TRIM(C641)=TRIM(Enginuity!$A$18)),
      TRIM(B641)=TRIM(Enginuity!$A$17)
    )
  ),
  ROW(),
  ""
)</f>
        <v/>
      </c>
    </row>
    <row r="642" spans="1:21" x14ac:dyDescent="0.25">
      <c r="A642" s="10" t="s">
        <v>255</v>
      </c>
      <c r="B642" s="229" t="s">
        <v>85</v>
      </c>
      <c r="C642" s="10" t="s">
        <v>97</v>
      </c>
      <c r="D642" s="14" t="str">
        <v xml:space="preserve">5" Louver Blade N/A </v>
      </c>
      <c r="E642" s="157"/>
      <c r="F642" s="10"/>
      <c r="G642" s="17"/>
      <c r="H642" s="10"/>
      <c r="I642" s="17"/>
      <c r="J642" s="83"/>
      <c r="K642" s="343"/>
      <c r="L642" s="347"/>
      <c r="M642" s="89">
        <v>4</v>
      </c>
      <c r="N642" s="10" t="s">
        <v>103</v>
      </c>
      <c r="O642" s="22">
        <v>7.7</v>
      </c>
      <c r="P642" s="21" t="str">
        <f>$P$6</f>
        <v>Default Vertical Mullion by Panel ↕</v>
      </c>
      <c r="Q642" s="83">
        <f>$Q$6</f>
        <v>78</v>
      </c>
      <c r="U642" s="104" t="str">
        <f>IF(
  AND(
    TRIM(A642)=TRIM(Enginuity!$A$1),
    TRIM(B642)=TRIM(Enginuity!$A$17),
    Q642&lt;&gt;"",
    Q642&lt;&gt;0,
    OR(
      TRIM(C642)=TRIM(Enginuity!$A$18),
      AND(UPPER(TRIM(M642))="STD", TRIM(B642)=TRIM(Enginuity!$A$17))
    ),
    OR(
      AND(LEFT(P642,5)="1-Way", Enginuity!$B$13=1),
      AND(LEFT(P642,5)="2-Way", OR(Enginuity!$B$13=2, Enginuity!$B$13=4)),
      AND(LEFT(P642,5)="3-Way", OR(Enginuity!$B$13=3, Enginuity!$B$13=6)),
      AND(P642="Inner Centre Jamb", OR(Enginuity!$B$13=4, Enginuity!$B$13=6)),
      AND(
        LEFT(P642,5)&lt;&gt;"1-Way",
        LEFT(P642,5)&lt;&gt;"2-Way",
        LEFT(P642,5)&lt;&gt;"3-Way",
        P642&lt;&gt;"Inner Centre Jamb"
      )
    ),
    IF(OR(Enginuity!$A$1="Frameless Glass",Enginuity!$A$1="Metal Work"),
      AND(TRIM(B642)=TRIM(Enginuity!$A$17),TRIM(C642)=TRIM(Enginuity!$A$18)),
      TRIM(B642)=TRIM(Enginuity!$A$17)
    )
  ),
  ROW(),
  ""
)</f>
        <v/>
      </c>
    </row>
    <row r="643" spans="1:21" x14ac:dyDescent="0.25">
      <c r="A643" s="10" t="s">
        <v>255</v>
      </c>
      <c r="B643" s="229" t="s">
        <v>85</v>
      </c>
      <c r="C643" s="10" t="s">
        <v>97</v>
      </c>
      <c r="D643" s="14" t="str">
        <v>5" Louver Blade P/C</v>
      </c>
      <c r="E643" s="157"/>
      <c r="F643" s="10"/>
      <c r="G643" s="17"/>
      <c r="H643" s="10"/>
      <c r="I643" s="17"/>
      <c r="J643" s="83"/>
      <c r="K643" s="343"/>
      <c r="L643" s="347"/>
      <c r="M643" s="89">
        <v>5</v>
      </c>
      <c r="N643" s="10" t="s">
        <v>103</v>
      </c>
      <c r="O643" s="22">
        <v>2.15</v>
      </c>
      <c r="P643" s="14" t="s">
        <v>114</v>
      </c>
      <c r="Q643" s="83"/>
      <c r="U643" s="104" t="str">
        <f>IF(
  AND(
    TRIM(A643)=TRIM(Enginuity!$A$1),
    TRIM(B643)=TRIM(Enginuity!$A$17),
    Q643&lt;&gt;"",
    Q643&lt;&gt;0,
    OR(
      TRIM(C643)=TRIM(Enginuity!$A$18),
      AND(UPPER(TRIM(M643))="STD", TRIM(B643)=TRIM(Enginuity!$A$17))
    ),
    OR(
      AND(LEFT(P643,5)="1-Way", Enginuity!$B$13=1),
      AND(LEFT(P643,5)="2-Way", OR(Enginuity!$B$13=2, Enginuity!$B$13=4)),
      AND(LEFT(P643,5)="3-Way", OR(Enginuity!$B$13=3, Enginuity!$B$13=6)),
      AND(P643="Inner Centre Jamb", OR(Enginuity!$B$13=4, Enginuity!$B$13=6)),
      AND(
        LEFT(P643,5)&lt;&gt;"1-Way",
        LEFT(P643,5)&lt;&gt;"2-Way",
        LEFT(P643,5)&lt;&gt;"3-Way",
        P643&lt;&gt;"Inner Centre Jamb"
      )
    ),
    IF(OR(Enginuity!$A$1="Frameless Glass",Enginuity!$A$1="Metal Work"),
      AND(TRIM(B643)=TRIM(Enginuity!$A$17),TRIM(C643)=TRIM(Enginuity!$A$18)),
      TRIM(B643)=TRIM(Enginuity!$A$17)
    )
  ),
  ROW(),
  ""
)</f>
        <v/>
      </c>
    </row>
    <row r="644" spans="1:21" x14ac:dyDescent="0.25">
      <c r="A644" s="10" t="s">
        <v>255</v>
      </c>
      <c r="B644" s="229" t="s">
        <v>85</v>
      </c>
      <c r="C644" s="10" t="s">
        <v>97</v>
      </c>
      <c r="D644" s="14" t="str">
        <v/>
      </c>
      <c r="E644" s="157"/>
      <c r="F644" s="10"/>
      <c r="G644" s="17"/>
      <c r="H644" s="10"/>
      <c r="I644" s="17"/>
      <c r="J644" s="83"/>
      <c r="K644" s="343"/>
      <c r="L644" s="347"/>
      <c r="M644" s="89">
        <v>6</v>
      </c>
      <c r="N644" s="10" t="s">
        <v>103</v>
      </c>
      <c r="O644" s="22">
        <v>1.1100000000000001</v>
      </c>
      <c r="P644" s="14" t="s">
        <v>309</v>
      </c>
      <c r="Q644" s="83">
        <f>Enginuity!$B$7*Enginuity!$B$13</f>
        <v>91</v>
      </c>
      <c r="U644" s="104" t="str">
        <f>IF(
  AND(
    TRIM(A644)=TRIM(Enginuity!$A$1),
    TRIM(B644)=TRIM(Enginuity!$A$17),
    Q644&lt;&gt;"",
    Q644&lt;&gt;0,
    OR(
      TRIM(C644)=TRIM(Enginuity!$A$18),
      AND(UPPER(TRIM(M644))="STD", TRIM(B644)=TRIM(Enginuity!$A$17))
    ),
    OR(
      AND(LEFT(P644,5)="1-Way", Enginuity!$B$13=1),
      AND(LEFT(P644,5)="2-Way", OR(Enginuity!$B$13=2, Enginuity!$B$13=4)),
      AND(LEFT(P644,5)="3-Way", OR(Enginuity!$B$13=3, Enginuity!$B$13=6)),
      AND(P644="Inner Centre Jamb", OR(Enginuity!$B$13=4, Enginuity!$B$13=6)),
      AND(
        LEFT(P644,5)&lt;&gt;"1-Way",
        LEFT(P644,5)&lt;&gt;"2-Way",
        LEFT(P644,5)&lt;&gt;"3-Way",
        P644&lt;&gt;"Inner Centre Jamb"
      )
    ),
    IF(OR(Enginuity!$A$1="Frameless Glass",Enginuity!$A$1="Metal Work"),
      AND(TRIM(B644)=TRIM(Enginuity!$A$17),TRIM(C644)=TRIM(Enginuity!$A$18)),
      TRIM(B644)=TRIM(Enginuity!$A$17)
    )
  ),
  ROW(),
  ""
)</f>
        <v/>
      </c>
    </row>
    <row r="645" spans="1:21" x14ac:dyDescent="0.25">
      <c r="A645" s="10" t="s">
        <v>255</v>
      </c>
      <c r="B645" s="229" t="s">
        <v>85</v>
      </c>
      <c r="C645" s="10" t="s">
        <v>97</v>
      </c>
      <c r="D645" s="14" t="str">
        <v/>
      </c>
      <c r="E645" s="157"/>
      <c r="F645" s="10"/>
      <c r="G645" s="17"/>
      <c r="H645" s="10"/>
      <c r="I645" s="17"/>
      <c r="J645" s="83"/>
      <c r="K645" s="343"/>
      <c r="L645" s="347"/>
      <c r="M645" s="89">
        <v>7</v>
      </c>
      <c r="N645" s="10" t="s">
        <v>176</v>
      </c>
      <c r="O645" s="22" t="str">
        <f>IF(Enginuity!$A$20="", "",
 IF(Enginuity!$A$20="Lattice Design", $F$9,
 IF(Enginuity!$A$20="Lattice Design 12 Box / Panel", $F$10,
 ""))
)</f>
        <v/>
      </c>
      <c r="P645" s="106" t="str">
        <f>Enginuity!$A$20</f>
        <v>Z-Louvre Blade - 5"</v>
      </c>
      <c r="Q645" s="22" t="str">
        <f>IF(O645&lt;&gt;"",1,"")</f>
        <v/>
      </c>
      <c r="U645" s="104" t="str">
        <f>IF(
  AND(
    TRIM(A645)=TRIM(Enginuity!$A$1),
    TRIM(B645)=TRIM(Enginuity!$A$17),
    Q645&lt;&gt;"",
    Q645&lt;&gt;0,
    OR(
      TRIM(C645)=TRIM(Enginuity!$A$18),
      AND(UPPER(TRIM(M645))="STD", TRIM(B645)=TRIM(Enginuity!$A$17))
    ),
    OR(
      AND(LEFT(P645,5)="1-Way", Enginuity!$B$13=1),
      AND(LEFT(P645,5)="2-Way", OR(Enginuity!$B$13=2, Enginuity!$B$13=4)),
      AND(LEFT(P645,5)="3-Way", OR(Enginuity!$B$13=3, Enginuity!$B$13=6)),
      AND(P645="Inner Centre Jamb", OR(Enginuity!$B$13=4, Enginuity!$B$13=6)),
      AND(
        LEFT(P645,5)&lt;&gt;"1-Way",
        LEFT(P645,5)&lt;&gt;"2-Way",
        LEFT(P645,5)&lt;&gt;"3-Way",
        P645&lt;&gt;"Inner Centre Jamb"
      )
    ),
    IF(OR(Enginuity!$A$1="Frameless Glass",Enginuity!$A$1="Metal Work"),
      AND(TRIM(B645)=TRIM(Enginuity!$A$17),TRIM(C645)=TRIM(Enginuity!$A$18)),
      TRIM(B645)=TRIM(Enginuity!$A$17)
    )
  ),
  ROW(),
  ""
)</f>
        <v/>
      </c>
    </row>
    <row r="646" spans="1:21" x14ac:dyDescent="0.25">
      <c r="A646" s="10" t="s">
        <v>255</v>
      </c>
      <c r="B646" s="229" t="s">
        <v>85</v>
      </c>
      <c r="C646" s="10" t="s">
        <v>97</v>
      </c>
      <c r="D646" s="14"/>
      <c r="E646" s="157"/>
      <c r="F646" s="10"/>
      <c r="G646" s="17"/>
      <c r="H646" s="10"/>
      <c r="I646" s="17"/>
      <c r="J646" s="83"/>
      <c r="K646" s="343"/>
      <c r="L646" s="347"/>
      <c r="M646" s="89">
        <v>8</v>
      </c>
      <c r="N646" s="10" t="s">
        <v>176</v>
      </c>
      <c r="O646" s="22" t="str">
        <f>IF(Enginuity!$A$21="12""H Top Hung Standard Casement Profile", $F$7,
IF(Enginuity!$A$21="12""H Top / Bottom Fix Standard Casement Profile", $F$8,
""))</f>
        <v/>
      </c>
      <c r="P646" s="106"/>
      <c r="Q646" s="22" t="str">
        <f>IF(O646&lt;&gt;"",1,"")</f>
        <v/>
      </c>
      <c r="U646" s="104" t="str">
        <f>IF(
  AND(
    TRIM(A646)=TRIM(Enginuity!$A$1),
    TRIM(B646)=TRIM(Enginuity!$A$17),
    Q646&lt;&gt;"",
    Q646&lt;&gt;0,
    OR(
      TRIM(C646)=TRIM(Enginuity!$A$18),
      AND(UPPER(TRIM(M646))="STD", TRIM(B646)=TRIM(Enginuity!$A$17))
    ),
    OR(
      AND(LEFT(P646,5)="1-Way", Enginuity!$B$13=1),
      AND(LEFT(P646,5)="2-Way", OR(Enginuity!$B$13=2, Enginuity!$B$13=4)),
      AND(LEFT(P646,5)="3-Way", OR(Enginuity!$B$13=3, Enginuity!$B$13=6)),
      AND(P646="Inner Centre Jamb", OR(Enginuity!$B$13=4, Enginuity!$B$13=6)),
      AND(
        LEFT(P646,5)&lt;&gt;"1-Way",
        LEFT(P646,5)&lt;&gt;"2-Way",
        LEFT(P646,5)&lt;&gt;"3-Way",
        P646&lt;&gt;"Inner Centre Jamb"
      )
    ),
    IF(OR(Enginuity!$A$1="Frameless Glass",Enginuity!$A$1="Metal Work"),
      AND(TRIM(B646)=TRIM(Enginuity!$A$17),TRIM(C646)=TRIM(Enginuity!$A$18)),
      TRIM(B646)=TRIM(Enginuity!$A$17)
    )
  ),
  ROW(),
  ""
)</f>
        <v/>
      </c>
    </row>
    <row r="647" spans="1:21" x14ac:dyDescent="0.25">
      <c r="A647" s="10" t="s">
        <v>255</v>
      </c>
      <c r="B647" s="229" t="s">
        <v>85</v>
      </c>
      <c r="C647" s="10" t="s">
        <v>97</v>
      </c>
      <c r="D647" s="14"/>
      <c r="E647" s="157"/>
      <c r="F647" s="10"/>
      <c r="G647" s="17"/>
      <c r="H647" s="10"/>
      <c r="I647" s="17"/>
      <c r="J647" s="83"/>
      <c r="K647" s="343"/>
      <c r="L647" s="347"/>
      <c r="M647" s="89">
        <v>9</v>
      </c>
      <c r="N647" s="10" t="s">
        <v>176</v>
      </c>
      <c r="O647" s="22" t="str">
        <f>IF(Enginuity!$A$21="Subframe 1"" X 2""", $J$2, "")</f>
        <v/>
      </c>
      <c r="P647" s="106" t="str">
        <f>Enginuity!$A$21</f>
        <v>SF 4"</v>
      </c>
      <c r="Q647" s="22" t="str">
        <f>IF(O647&lt;&gt;"",1,"")</f>
        <v/>
      </c>
      <c r="U647" s="104" t="str">
        <f>IF(
  AND(
    TRIM(A647)=TRIM(Enginuity!$A$1),
    TRIM(B647)=TRIM(Enginuity!$A$17),
    Q647&lt;&gt;"",
    Q647&lt;&gt;0,
    OR(
      TRIM(C647)=TRIM(Enginuity!$A$18),
      AND(UPPER(TRIM(M647))="STD", TRIM(B647)=TRIM(Enginuity!$A$17))
    ),
    OR(
      AND(LEFT(P647,5)="1-Way", Enginuity!$B$13=1),
      AND(LEFT(P647,5)="2-Way", OR(Enginuity!$B$13=2, Enginuity!$B$13=4)),
      AND(LEFT(P647,5)="3-Way", OR(Enginuity!$B$13=3, Enginuity!$B$13=6)),
      AND(P647="Inner Centre Jamb", OR(Enginuity!$B$13=4, Enginuity!$B$13=6)),
      AND(
        LEFT(P647,5)&lt;&gt;"1-Way",
        LEFT(P647,5)&lt;&gt;"2-Way",
        LEFT(P647,5)&lt;&gt;"3-Way",
        P647&lt;&gt;"Inner Centre Jamb"
      )
    ),
    IF(OR(Enginuity!$A$1="Frameless Glass",Enginuity!$A$1="Metal Work"),
      AND(TRIM(B647)=TRIM(Enginuity!$A$17),TRIM(C647)=TRIM(Enginuity!$A$18)),
      TRIM(B647)=TRIM(Enginuity!$A$17)
    )
  ),
  ROW(),
  ""
)</f>
        <v/>
      </c>
    </row>
    <row r="648" spans="1:21" x14ac:dyDescent="0.25">
      <c r="A648" s="10" t="s">
        <v>255</v>
      </c>
      <c r="B648" s="229" t="s">
        <v>85</v>
      </c>
      <c r="C648" s="10" t="s">
        <v>97</v>
      </c>
      <c r="D648" s="14"/>
      <c r="E648" s="157"/>
      <c r="F648" s="10"/>
      <c r="G648" s="17"/>
      <c r="H648" s="10"/>
      <c r="I648" s="17"/>
      <c r="J648" s="83"/>
      <c r="K648" s="343"/>
      <c r="L648" s="347"/>
      <c r="M648" s="89">
        <v>10</v>
      </c>
      <c r="N648" s="10"/>
      <c r="O648" s="22"/>
      <c r="P648" s="14"/>
      <c r="Q648" s="83"/>
      <c r="U648" s="104" t="str">
        <f>IF(
  AND(
    TRIM(A648)=TRIM(Enginuity!$A$1),
    TRIM(B648)=TRIM(Enginuity!$A$17),
    Q648&lt;&gt;"",
    Q648&lt;&gt;0,
    OR(
      TRIM(C648)=TRIM(Enginuity!$A$18),
      AND(UPPER(TRIM(M648))="STD", TRIM(B648)=TRIM(Enginuity!$A$17))
    ),
    OR(
      AND(LEFT(P648,5)="1-Way", Enginuity!$B$13=1),
      AND(LEFT(P648,5)="2-Way", OR(Enginuity!$B$13=2, Enginuity!$B$13=4)),
      AND(LEFT(P648,5)="3-Way", OR(Enginuity!$B$13=3, Enginuity!$B$13=6)),
      AND(P648="Inner Centre Jamb", OR(Enginuity!$B$13=4, Enginuity!$B$13=6)),
      AND(
        LEFT(P648,5)&lt;&gt;"1-Way",
        LEFT(P648,5)&lt;&gt;"2-Way",
        LEFT(P648,5)&lt;&gt;"3-Way",
        P648&lt;&gt;"Inner Centre Jamb"
      )
    ),
    IF(OR(Enginuity!$A$1="Frameless Glass",Enginuity!$A$1="Metal Work"),
      AND(TRIM(B648)=TRIM(Enginuity!$A$17),TRIM(C648)=TRIM(Enginuity!$A$18)),
      TRIM(B648)=TRIM(Enginuity!$A$17)
    )
  ),
  ROW(),
  ""
)</f>
        <v/>
      </c>
    </row>
    <row r="649" spans="1:21" x14ac:dyDescent="0.25">
      <c r="A649" s="10" t="s">
        <v>255</v>
      </c>
      <c r="B649" s="229" t="s">
        <v>85</v>
      </c>
      <c r="C649" s="10" t="s">
        <v>97</v>
      </c>
      <c r="D649" s="14"/>
      <c r="E649" s="157"/>
      <c r="F649" s="10"/>
      <c r="G649" s="17"/>
      <c r="H649" s="10"/>
      <c r="I649" s="17"/>
      <c r="J649" s="83"/>
      <c r="K649" s="343"/>
      <c r="L649" s="347"/>
      <c r="M649" s="89">
        <v>11</v>
      </c>
      <c r="N649" s="10"/>
      <c r="O649" s="22"/>
      <c r="P649" s="14"/>
      <c r="Q649" s="83"/>
      <c r="U649" s="104" t="str">
        <f>IF(
  AND(
    TRIM(A649)=TRIM(Enginuity!$A$1),
    TRIM(B649)=TRIM(Enginuity!$A$17),
    Q649&lt;&gt;"",
    Q649&lt;&gt;0,
    OR(
      TRIM(C649)=TRIM(Enginuity!$A$18),
      AND(UPPER(TRIM(M649))="STD", TRIM(B649)=TRIM(Enginuity!$A$17))
    ),
    OR(
      AND(LEFT(P649,5)="1-Way", Enginuity!$B$13=1),
      AND(LEFT(P649,5)="2-Way", OR(Enginuity!$B$13=2, Enginuity!$B$13=4)),
      AND(LEFT(P649,5)="3-Way", OR(Enginuity!$B$13=3, Enginuity!$B$13=6)),
      AND(P649="Inner Centre Jamb", OR(Enginuity!$B$13=4, Enginuity!$B$13=6)),
      AND(
        LEFT(P649,5)&lt;&gt;"1-Way",
        LEFT(P649,5)&lt;&gt;"2-Way",
        LEFT(P649,5)&lt;&gt;"3-Way",
        P649&lt;&gt;"Inner Centre Jamb"
      )
    ),
    IF(OR(Enginuity!$A$1="Frameless Glass",Enginuity!$A$1="Metal Work"),
      AND(TRIM(B649)=TRIM(Enginuity!$A$17),TRIM(C649)=TRIM(Enginuity!$A$18)),
      TRIM(B649)=TRIM(Enginuity!$A$17)
    )
  ),
  ROW(),
  ""
)</f>
        <v/>
      </c>
    </row>
    <row r="650" spans="1:21" x14ac:dyDescent="0.25">
      <c r="A650" s="10" t="s">
        <v>255</v>
      </c>
      <c r="B650" s="229" t="s">
        <v>85</v>
      </c>
      <c r="C650" s="10" t="s">
        <v>97</v>
      </c>
      <c r="D650" s="14"/>
      <c r="E650" s="157"/>
      <c r="F650" s="10"/>
      <c r="G650" s="17"/>
      <c r="H650" s="10"/>
      <c r="I650" s="17"/>
      <c r="J650" s="83"/>
      <c r="K650" s="343"/>
      <c r="L650" s="347"/>
      <c r="M650" s="89">
        <v>12</v>
      </c>
      <c r="N650" s="10"/>
      <c r="O650" s="22"/>
      <c r="P650" s="14"/>
      <c r="Q650" s="83"/>
      <c r="U650" s="104" t="str">
        <f>IF(
  AND(
    TRIM(A650)=TRIM(Enginuity!$A$1),
    TRIM(B650)=TRIM(Enginuity!$A$17),
    Q650&lt;&gt;"",
    Q650&lt;&gt;0,
    OR(
      TRIM(C650)=TRIM(Enginuity!$A$18),
      AND(UPPER(TRIM(M650))="STD", TRIM(B650)=TRIM(Enginuity!$A$17))
    ),
    OR(
      AND(LEFT(P650,5)="1-Way", Enginuity!$B$13=1),
      AND(LEFT(P650,5)="2-Way", OR(Enginuity!$B$13=2, Enginuity!$B$13=4)),
      AND(LEFT(P650,5)="3-Way", OR(Enginuity!$B$13=3, Enginuity!$B$13=6)),
      AND(P650="Inner Centre Jamb", OR(Enginuity!$B$13=4, Enginuity!$B$13=6)),
      AND(
        LEFT(P650,5)&lt;&gt;"1-Way",
        LEFT(P650,5)&lt;&gt;"2-Way",
        LEFT(P650,5)&lt;&gt;"3-Way",
        P650&lt;&gt;"Inner Centre Jamb"
      )
    ),
    IF(OR(Enginuity!$A$1="Frameless Glass",Enginuity!$A$1="Metal Work"),
      AND(TRIM(B650)=TRIM(Enginuity!$A$17),TRIM(C650)=TRIM(Enginuity!$A$18)),
      TRIM(B650)=TRIM(Enginuity!$A$17)
    )
  ),
  ROW(),
  ""
)</f>
        <v/>
      </c>
    </row>
    <row r="651" spans="1:21" x14ac:dyDescent="0.25">
      <c r="A651" s="10" t="s">
        <v>255</v>
      </c>
      <c r="B651" s="229" t="s">
        <v>85</v>
      </c>
      <c r="C651" s="10" t="s">
        <v>97</v>
      </c>
      <c r="D651" s="14"/>
      <c r="E651" s="157"/>
      <c r="F651" s="10"/>
      <c r="G651" s="17"/>
      <c r="H651" s="10"/>
      <c r="I651" s="17"/>
      <c r="J651" s="83"/>
      <c r="K651" s="343"/>
      <c r="L651" s="347"/>
      <c r="M651" s="89">
        <v>13</v>
      </c>
      <c r="N651" s="10"/>
      <c r="O651" s="22"/>
      <c r="P651" s="14"/>
      <c r="Q651" s="83"/>
      <c r="U651" s="104" t="str">
        <f>IF(
  AND(
    TRIM(A651)=TRIM(Enginuity!$A$1),
    TRIM(B651)=TRIM(Enginuity!$A$17),
    Q651&lt;&gt;"",
    Q651&lt;&gt;0,
    OR(
      TRIM(C651)=TRIM(Enginuity!$A$18),
      AND(UPPER(TRIM(M651))="STD", TRIM(B651)=TRIM(Enginuity!$A$17))
    ),
    OR(
      AND(LEFT(P651,5)="1-Way", Enginuity!$B$13=1),
      AND(LEFT(P651,5)="2-Way", OR(Enginuity!$B$13=2, Enginuity!$B$13=4)),
      AND(LEFT(P651,5)="3-Way", OR(Enginuity!$B$13=3, Enginuity!$B$13=6)),
      AND(P651="Inner Centre Jamb", OR(Enginuity!$B$13=4, Enginuity!$B$13=6)),
      AND(
        LEFT(P651,5)&lt;&gt;"1-Way",
        LEFT(P651,5)&lt;&gt;"2-Way",
        LEFT(P651,5)&lt;&gt;"3-Way",
        P651&lt;&gt;"Inner Centre Jamb"
      )
    ),
    IF(OR(Enginuity!$A$1="Frameless Glass",Enginuity!$A$1="Metal Work"),
      AND(TRIM(B651)=TRIM(Enginuity!$A$17),TRIM(C651)=TRIM(Enginuity!$A$18)),
      TRIM(B651)=TRIM(Enginuity!$A$17)
    )
  ),
  ROW(),
  ""
)</f>
        <v/>
      </c>
    </row>
    <row r="652" spans="1:21" x14ac:dyDescent="0.25">
      <c r="A652" s="10" t="s">
        <v>255</v>
      </c>
      <c r="B652" s="229" t="s">
        <v>85</v>
      </c>
      <c r="C652" s="10" t="s">
        <v>97</v>
      </c>
      <c r="D652" s="14"/>
      <c r="E652" s="157"/>
      <c r="F652" s="10"/>
      <c r="G652" s="17"/>
      <c r="H652" s="10"/>
      <c r="I652" s="17"/>
      <c r="J652" s="83"/>
      <c r="K652" s="343"/>
      <c r="L652" s="347"/>
      <c r="M652" s="89">
        <v>14</v>
      </c>
      <c r="N652" s="10"/>
      <c r="O652" s="22"/>
      <c r="P652" s="14"/>
      <c r="Q652" s="83"/>
      <c r="U652" s="104" t="str">
        <f>IF(
  AND(
    TRIM(A652)=TRIM(Enginuity!$A$1),
    TRIM(B652)=TRIM(Enginuity!$A$17),
    Q652&lt;&gt;"",
    Q652&lt;&gt;0,
    OR(
      TRIM(C652)=TRIM(Enginuity!$A$18),
      AND(UPPER(TRIM(M652))="STD", TRIM(B652)=TRIM(Enginuity!$A$17))
    ),
    OR(
      AND(LEFT(P652,5)="1-Way", Enginuity!$B$13=1),
      AND(LEFT(P652,5)="2-Way", OR(Enginuity!$B$13=2, Enginuity!$B$13=4)),
      AND(LEFT(P652,5)="3-Way", OR(Enginuity!$B$13=3, Enginuity!$B$13=6)),
      AND(P652="Inner Centre Jamb", OR(Enginuity!$B$13=4, Enginuity!$B$13=6)),
      AND(
        LEFT(P652,5)&lt;&gt;"1-Way",
        LEFT(P652,5)&lt;&gt;"2-Way",
        LEFT(P652,5)&lt;&gt;"3-Way",
        P652&lt;&gt;"Inner Centre Jamb"
      )
    ),
    IF(OR(Enginuity!$A$1="Frameless Glass",Enginuity!$A$1="Metal Work"),
      AND(TRIM(B652)=TRIM(Enginuity!$A$17),TRIM(C652)=TRIM(Enginuity!$A$18)),
      TRIM(B652)=TRIM(Enginuity!$A$17)
    )
  ),
  ROW(),
  ""
)</f>
        <v/>
      </c>
    </row>
    <row r="653" spans="1:21" x14ac:dyDescent="0.25">
      <c r="A653" s="10" t="s">
        <v>255</v>
      </c>
      <c r="B653" s="229" t="s">
        <v>85</v>
      </c>
      <c r="C653" s="10" t="s">
        <v>97</v>
      </c>
      <c r="D653" s="14"/>
      <c r="E653" s="157"/>
      <c r="F653" s="10"/>
      <c r="G653" s="17"/>
      <c r="H653" s="10"/>
      <c r="I653" s="17"/>
      <c r="J653" s="83"/>
      <c r="K653" s="343"/>
      <c r="L653" s="347"/>
      <c r="M653" s="89">
        <v>15</v>
      </c>
      <c r="N653" s="10"/>
      <c r="O653" s="22"/>
      <c r="P653" s="14"/>
      <c r="Q653" s="83"/>
      <c r="U653" s="104" t="str">
        <f>IF(
  AND(
    TRIM(A653)=TRIM(Enginuity!$A$1),
    TRIM(B653)=TRIM(Enginuity!$A$17),
    Q653&lt;&gt;"",
    Q653&lt;&gt;0,
    OR(
      TRIM(C653)=TRIM(Enginuity!$A$18),
      AND(UPPER(TRIM(M653))="STD", TRIM(B653)=TRIM(Enginuity!$A$17))
    ),
    OR(
      AND(LEFT(P653,5)="1-Way", Enginuity!$B$13=1),
      AND(LEFT(P653,5)="2-Way", OR(Enginuity!$B$13=2, Enginuity!$B$13=4)),
      AND(LEFT(P653,5)="3-Way", OR(Enginuity!$B$13=3, Enginuity!$B$13=6)),
      AND(P653="Inner Centre Jamb", OR(Enginuity!$B$13=4, Enginuity!$B$13=6)),
      AND(
        LEFT(P653,5)&lt;&gt;"1-Way",
        LEFT(P653,5)&lt;&gt;"2-Way",
        LEFT(P653,5)&lt;&gt;"3-Way",
        P653&lt;&gt;"Inner Centre Jamb"
      )
    ),
    IF(OR(Enginuity!$A$1="Frameless Glass",Enginuity!$A$1="Metal Work"),
      AND(TRIM(B653)=TRIM(Enginuity!$A$17),TRIM(C653)=TRIM(Enginuity!$A$18)),
      TRIM(B653)=TRIM(Enginuity!$A$17)
    )
  ),
  ROW(),
  ""
)</f>
        <v/>
      </c>
    </row>
    <row r="654" spans="1:21" x14ac:dyDescent="0.25">
      <c r="A654" s="10" t="s">
        <v>255</v>
      </c>
      <c r="B654" s="229" t="s">
        <v>85</v>
      </c>
      <c r="C654" s="10" t="s">
        <v>97</v>
      </c>
      <c r="D654" s="14"/>
      <c r="E654" s="157"/>
      <c r="F654" s="10"/>
      <c r="G654" s="17"/>
      <c r="H654" s="10"/>
      <c r="I654" s="17"/>
      <c r="J654" s="83"/>
      <c r="K654" s="343"/>
      <c r="L654" s="347"/>
      <c r="M654" s="89">
        <v>16</v>
      </c>
      <c r="N654" s="10"/>
      <c r="O654" s="22"/>
      <c r="P654" s="5"/>
      <c r="Q654" s="22"/>
      <c r="U654" s="104" t="str">
        <f>IF(
  AND(
    TRIM(A654)=TRIM(Enginuity!$A$1),
    TRIM(B654)=TRIM(Enginuity!$A$17),
    Q654&lt;&gt;"",
    Q654&lt;&gt;0,
    OR(
      TRIM(C654)=TRIM(Enginuity!$A$18),
      AND(UPPER(TRIM(M654))="STD", TRIM(B654)=TRIM(Enginuity!$A$17))
    ),
    OR(
      AND(LEFT(P654,5)="1-Way", Enginuity!$B$13=1),
      AND(LEFT(P654,5)="2-Way", OR(Enginuity!$B$13=2, Enginuity!$B$13=4)),
      AND(LEFT(P654,5)="3-Way", OR(Enginuity!$B$13=3, Enginuity!$B$13=6)),
      AND(P654="Inner Centre Jamb", OR(Enginuity!$B$13=4, Enginuity!$B$13=6)),
      AND(
        LEFT(P654,5)&lt;&gt;"1-Way",
        LEFT(P654,5)&lt;&gt;"2-Way",
        LEFT(P654,5)&lt;&gt;"3-Way",
        P654&lt;&gt;"Inner Centre Jamb"
      )
    ),
    IF(OR(Enginuity!$A$1="Frameless Glass",Enginuity!$A$1="Metal Work"),
      AND(TRIM(B654)=TRIM(Enginuity!$A$17),TRIM(C654)=TRIM(Enginuity!$A$18)),
      TRIM(B654)=TRIM(Enginuity!$A$17)
    )
  ),
  ROW(),
  ""
)</f>
        <v/>
      </c>
    </row>
    <row r="655" spans="1:21" x14ac:dyDescent="0.25">
      <c r="A655" s="10" t="s">
        <v>255</v>
      </c>
      <c r="B655" s="229" t="s">
        <v>85</v>
      </c>
      <c r="C655" s="10" t="s">
        <v>97</v>
      </c>
      <c r="D655" s="14"/>
      <c r="E655" s="157"/>
      <c r="F655" s="10"/>
      <c r="G655" s="17"/>
      <c r="H655" s="10"/>
      <c r="I655" s="17"/>
      <c r="J655" s="83"/>
      <c r="K655" s="343"/>
      <c r="L655" s="347"/>
      <c r="M655" s="89">
        <v>17</v>
      </c>
      <c r="N655" s="10"/>
      <c r="O655" s="22"/>
      <c r="P655" s="14"/>
      <c r="Q655" s="83"/>
      <c r="U655" s="104" t="str">
        <f>IF(
  AND(
    TRIM(A655)=TRIM(Enginuity!$A$1),
    TRIM(B655)=TRIM(Enginuity!$A$17),
    Q655&lt;&gt;"",
    Q655&lt;&gt;0,
    OR(
      TRIM(C655)=TRIM(Enginuity!$A$18),
      AND(UPPER(TRIM(M655))="STD", TRIM(B655)=TRIM(Enginuity!$A$17))
    ),
    OR(
      AND(LEFT(P655,5)="1-Way", Enginuity!$B$13=1),
      AND(LEFT(P655,5)="2-Way", OR(Enginuity!$B$13=2, Enginuity!$B$13=4)),
      AND(LEFT(P655,5)="3-Way", OR(Enginuity!$B$13=3, Enginuity!$B$13=6)),
      AND(P655="Inner Centre Jamb", OR(Enginuity!$B$13=4, Enginuity!$B$13=6)),
      AND(
        LEFT(P655,5)&lt;&gt;"1-Way",
        LEFT(P655,5)&lt;&gt;"2-Way",
        LEFT(P655,5)&lt;&gt;"3-Way",
        P655&lt;&gt;"Inner Centre Jamb"
      )
    ),
    IF(OR(Enginuity!$A$1="Frameless Glass",Enginuity!$A$1="Metal Work"),
      AND(TRIM(B655)=TRIM(Enginuity!$A$17),TRIM(C655)=TRIM(Enginuity!$A$18)),
      TRIM(B655)=TRIM(Enginuity!$A$17)
    )
  ),
  ROW(),
  ""
)</f>
        <v/>
      </c>
    </row>
    <row r="656" spans="1:21" x14ac:dyDescent="0.25">
      <c r="A656" s="10" t="s">
        <v>255</v>
      </c>
      <c r="B656" s="229" t="s">
        <v>85</v>
      </c>
      <c r="C656" s="10" t="s">
        <v>97</v>
      </c>
      <c r="D656" s="14"/>
      <c r="E656" s="157"/>
      <c r="F656" s="10"/>
      <c r="G656" s="17"/>
      <c r="H656" s="10"/>
      <c r="I656" s="17"/>
      <c r="J656" s="83"/>
      <c r="K656" s="343"/>
      <c r="L656" s="347"/>
      <c r="M656" s="89">
        <v>18</v>
      </c>
      <c r="N656" s="10"/>
      <c r="O656" s="22"/>
      <c r="P656" s="14"/>
      <c r="Q656" s="83"/>
      <c r="U656" s="104" t="str">
        <f>IF(
  AND(
    TRIM(A656)=TRIM(Enginuity!$A$1),
    TRIM(B656)=TRIM(Enginuity!$A$17),
    Q656&lt;&gt;"",
    Q656&lt;&gt;0,
    OR(
      TRIM(C656)=TRIM(Enginuity!$A$18),
      AND(UPPER(TRIM(M656))="STD", TRIM(B656)=TRIM(Enginuity!$A$17))
    ),
    OR(
      AND(LEFT(P656,5)="1-Way", Enginuity!$B$13=1),
      AND(LEFT(P656,5)="2-Way", OR(Enginuity!$B$13=2, Enginuity!$B$13=4)),
      AND(LEFT(P656,5)="3-Way", OR(Enginuity!$B$13=3, Enginuity!$B$13=6)),
      AND(P656="Inner Centre Jamb", OR(Enginuity!$B$13=4, Enginuity!$B$13=6)),
      AND(
        LEFT(P656,5)&lt;&gt;"1-Way",
        LEFT(P656,5)&lt;&gt;"2-Way",
        LEFT(P656,5)&lt;&gt;"3-Way",
        P656&lt;&gt;"Inner Centre Jamb"
      )
    ),
    IF(OR(Enginuity!$A$1="Frameless Glass",Enginuity!$A$1="Metal Work"),
      AND(TRIM(B656)=TRIM(Enginuity!$A$17),TRIM(C656)=TRIM(Enginuity!$A$18)),
      TRIM(B656)=TRIM(Enginuity!$A$17)
    )
  ),
  ROW(),
  ""
)</f>
        <v/>
      </c>
    </row>
    <row r="657" spans="1:21" x14ac:dyDescent="0.25">
      <c r="A657" s="10" t="s">
        <v>255</v>
      </c>
      <c r="B657" s="229" t="s">
        <v>85</v>
      </c>
      <c r="C657" s="10"/>
      <c r="D657" s="14"/>
      <c r="E657" s="157"/>
      <c r="F657" s="10"/>
      <c r="G657" s="17"/>
      <c r="H657" s="10"/>
      <c r="I657" s="17"/>
      <c r="J657" s="83"/>
      <c r="K657" s="343"/>
      <c r="L657" s="347"/>
      <c r="M657" s="89">
        <v>19</v>
      </c>
      <c r="N657" s="10"/>
      <c r="O657" s="22"/>
      <c r="P657" s="14"/>
      <c r="Q657" s="83"/>
      <c r="U657" s="104" t="str">
        <f>IF(
  AND(
    TRIM(A657)=TRIM(Enginuity!$A$1),
    TRIM(B657)=TRIM(Enginuity!$A$17),
    Q657&lt;&gt;"",
    Q657&lt;&gt;0,
    OR(
      TRIM(C657)=TRIM(Enginuity!$A$18),
      AND(UPPER(TRIM(M657))="STD", TRIM(B657)=TRIM(Enginuity!$A$17))
    ),
    OR(
      AND(LEFT(P657,5)="1-Way", Enginuity!$B$13=1),
      AND(LEFT(P657,5)="2-Way", OR(Enginuity!$B$13=2, Enginuity!$B$13=4)),
      AND(LEFT(P657,5)="3-Way", OR(Enginuity!$B$13=3, Enginuity!$B$13=6)),
      AND(P657="Inner Centre Jamb", OR(Enginuity!$B$13=4, Enginuity!$B$13=6)),
      AND(
        LEFT(P657,5)&lt;&gt;"1-Way",
        LEFT(P657,5)&lt;&gt;"2-Way",
        LEFT(P657,5)&lt;&gt;"3-Way",
        P657&lt;&gt;"Inner Centre Jamb"
      )
    ),
    IF(OR(Enginuity!$A$1="Frameless Glass",Enginuity!$A$1="Metal Work"),
      AND(TRIM(B657)=TRIM(Enginuity!$A$17),TRIM(C657)=TRIM(Enginuity!$A$18)),
      TRIM(B657)=TRIM(Enginuity!$A$17)
    )
  ),
  ROW(),
  ""
)</f>
        <v/>
      </c>
    </row>
    <row r="658" spans="1:21" x14ac:dyDescent="0.25">
      <c r="A658" s="10" t="s">
        <v>255</v>
      </c>
      <c r="B658" s="229" t="s">
        <v>85</v>
      </c>
      <c r="C658" s="10"/>
      <c r="D658" s="14"/>
      <c r="E658" s="157"/>
      <c r="F658" s="10"/>
      <c r="G658" s="17"/>
      <c r="H658" s="10"/>
      <c r="I658" s="17"/>
      <c r="J658" s="83"/>
      <c r="K658" s="343"/>
      <c r="L658" s="347"/>
      <c r="M658" s="89">
        <v>20</v>
      </c>
      <c r="N658" s="10"/>
      <c r="O658" s="22"/>
      <c r="P658" s="14"/>
      <c r="Q658" s="83"/>
      <c r="U658" s="104" t="str">
        <f>IF(
  AND(
    TRIM(A658)=TRIM(Enginuity!$A$1),
    TRIM(B658)=TRIM(Enginuity!$A$17),
    Q658&lt;&gt;"",
    Q658&lt;&gt;0,
    OR(
      TRIM(C658)=TRIM(Enginuity!$A$18),
      AND(UPPER(TRIM(M658))="STD", TRIM(B658)=TRIM(Enginuity!$A$17))
    ),
    OR(
      AND(LEFT(P658,5)="1-Way", Enginuity!$B$13=1),
      AND(LEFT(P658,5)="2-Way", OR(Enginuity!$B$13=2, Enginuity!$B$13=4)),
      AND(LEFT(P658,5)="3-Way", OR(Enginuity!$B$13=3, Enginuity!$B$13=6)),
      AND(P658="Inner Centre Jamb", OR(Enginuity!$B$13=4, Enginuity!$B$13=6)),
      AND(
        LEFT(P658,5)&lt;&gt;"1-Way",
        LEFT(P658,5)&lt;&gt;"2-Way",
        LEFT(P658,5)&lt;&gt;"3-Way",
        P658&lt;&gt;"Inner Centre Jamb"
      )
    ),
    IF(OR(Enginuity!$A$1="Frameless Glass",Enginuity!$A$1="Metal Work"),
      AND(TRIM(B658)=TRIM(Enginuity!$A$17),TRIM(C658)=TRIM(Enginuity!$A$18)),
      TRIM(B658)=TRIM(Enginuity!$A$17)
    )
  ),
  ROW(),
  ""
)</f>
        <v/>
      </c>
    </row>
    <row r="659" spans="1:21" x14ac:dyDescent="0.25">
      <c r="A659" s="10" t="s">
        <v>255</v>
      </c>
      <c r="B659" s="229" t="s">
        <v>85</v>
      </c>
      <c r="C659" s="10"/>
      <c r="D659" s="14"/>
      <c r="E659" s="157"/>
      <c r="F659" s="10"/>
      <c r="G659" s="17"/>
      <c r="H659" s="10"/>
      <c r="I659" s="17"/>
      <c r="J659" s="83"/>
      <c r="K659" s="343"/>
      <c r="L659" s="347"/>
      <c r="M659" s="89">
        <v>21</v>
      </c>
      <c r="N659" s="10"/>
      <c r="O659" s="22"/>
      <c r="P659" s="14"/>
      <c r="Q659" s="83"/>
      <c r="U659" s="104" t="str">
        <f>IF(
  AND(
    TRIM(A659)=TRIM(Enginuity!$A$1),
    TRIM(B659)=TRIM(Enginuity!$A$17),
    Q659&lt;&gt;"",
    Q659&lt;&gt;0,
    OR(
      TRIM(C659)=TRIM(Enginuity!$A$18),
      AND(UPPER(TRIM(M659))="STD", TRIM(B659)=TRIM(Enginuity!$A$17))
    ),
    OR(
      AND(LEFT(P659,5)="1-Way", Enginuity!$B$13=1),
      AND(LEFT(P659,5)="2-Way", OR(Enginuity!$B$13=2, Enginuity!$B$13=4)),
      AND(LEFT(P659,5)="3-Way", OR(Enginuity!$B$13=3, Enginuity!$B$13=6)),
      AND(P659="Inner Centre Jamb", OR(Enginuity!$B$13=4, Enginuity!$B$13=6)),
      AND(
        LEFT(P659,5)&lt;&gt;"1-Way",
        LEFT(P659,5)&lt;&gt;"2-Way",
        LEFT(P659,5)&lt;&gt;"3-Way",
        P659&lt;&gt;"Inner Centre Jamb"
      )
    ),
    IF(OR(Enginuity!$A$1="Frameless Glass",Enginuity!$A$1="Metal Work"),
      AND(TRIM(B659)=TRIM(Enginuity!$A$17),TRIM(C659)=TRIM(Enginuity!$A$18)),
      TRIM(B659)=TRIM(Enginuity!$A$17)
    )
  ),
  ROW(),
  ""
)</f>
        <v/>
      </c>
    </row>
    <row r="660" spans="1:21" x14ac:dyDescent="0.25">
      <c r="A660" s="10" t="s">
        <v>255</v>
      </c>
      <c r="B660" s="229" t="s">
        <v>85</v>
      </c>
      <c r="C660" s="10"/>
      <c r="D660" s="14"/>
      <c r="E660" s="157"/>
      <c r="F660" s="10"/>
      <c r="G660" s="17"/>
      <c r="H660" s="10"/>
      <c r="I660" s="17"/>
      <c r="J660" s="83"/>
      <c r="K660" s="343"/>
      <c r="L660" s="347"/>
      <c r="M660" s="89">
        <v>22</v>
      </c>
      <c r="N660" s="10"/>
      <c r="O660" s="22"/>
      <c r="P660" s="14"/>
      <c r="Q660" s="83"/>
      <c r="U660" s="104" t="str">
        <f>IF(
  AND(
    TRIM(A660)=TRIM(Enginuity!$A$1),
    TRIM(B660)=TRIM(Enginuity!$A$17),
    Q660&lt;&gt;"",
    Q660&lt;&gt;0,
    OR(
      TRIM(C660)=TRIM(Enginuity!$A$18),
      AND(UPPER(TRIM(M660))="STD", TRIM(B660)=TRIM(Enginuity!$A$17))
    ),
    OR(
      AND(LEFT(P660,5)="1-Way", Enginuity!$B$13=1),
      AND(LEFT(P660,5)="2-Way", OR(Enginuity!$B$13=2, Enginuity!$B$13=4)),
      AND(LEFT(P660,5)="3-Way", OR(Enginuity!$B$13=3, Enginuity!$B$13=6)),
      AND(P660="Inner Centre Jamb", OR(Enginuity!$B$13=4, Enginuity!$B$13=6)),
      AND(
        LEFT(P660,5)&lt;&gt;"1-Way",
        LEFT(P660,5)&lt;&gt;"2-Way",
        LEFT(P660,5)&lt;&gt;"3-Way",
        P660&lt;&gt;"Inner Centre Jamb"
      )
    ),
    IF(OR(Enginuity!$A$1="Frameless Glass",Enginuity!$A$1="Metal Work"),
      AND(TRIM(B660)=TRIM(Enginuity!$A$17),TRIM(C660)=TRIM(Enginuity!$A$18)),
      TRIM(B660)=TRIM(Enginuity!$A$17)
    )
  ),
  ROW(),
  ""
)</f>
        <v/>
      </c>
    </row>
    <row r="661" spans="1:21" x14ac:dyDescent="0.25">
      <c r="A661" s="10" t="s">
        <v>255</v>
      </c>
      <c r="B661" s="229" t="s">
        <v>85</v>
      </c>
      <c r="C661" s="10"/>
      <c r="D661" s="14"/>
      <c r="E661" s="157"/>
      <c r="F661" s="10"/>
      <c r="G661" s="17"/>
      <c r="H661" s="10"/>
      <c r="I661" s="17"/>
      <c r="J661" s="83"/>
      <c r="K661" s="343"/>
      <c r="L661" s="347"/>
      <c r="M661" s="89">
        <v>23</v>
      </c>
      <c r="N661" s="10"/>
      <c r="O661" s="22"/>
      <c r="P661" s="14"/>
      <c r="Q661" s="83"/>
      <c r="U661" s="104" t="str">
        <f>IF(
  AND(
    TRIM(A661)=TRIM(Enginuity!$A$1),
    TRIM(B661)=TRIM(Enginuity!$A$17),
    Q661&lt;&gt;"",
    Q661&lt;&gt;0,
    OR(
      TRIM(C661)=TRIM(Enginuity!$A$18),
      AND(UPPER(TRIM(M661))="STD", TRIM(B661)=TRIM(Enginuity!$A$17))
    ),
    OR(
      AND(LEFT(P661,5)="1-Way", Enginuity!$B$13=1),
      AND(LEFT(P661,5)="2-Way", OR(Enginuity!$B$13=2, Enginuity!$B$13=4)),
      AND(LEFT(P661,5)="3-Way", OR(Enginuity!$B$13=3, Enginuity!$B$13=6)),
      AND(P661="Inner Centre Jamb", OR(Enginuity!$B$13=4, Enginuity!$B$13=6)),
      AND(
        LEFT(P661,5)&lt;&gt;"1-Way",
        LEFT(P661,5)&lt;&gt;"2-Way",
        LEFT(P661,5)&lt;&gt;"3-Way",
        P661&lt;&gt;"Inner Centre Jamb"
      )
    ),
    IF(OR(Enginuity!$A$1="Frameless Glass",Enginuity!$A$1="Metal Work"),
      AND(TRIM(B661)=TRIM(Enginuity!$A$17),TRIM(C661)=TRIM(Enginuity!$A$18)),
      TRIM(B661)=TRIM(Enginuity!$A$17)
    )
  ),
  ROW(),
  ""
)</f>
        <v/>
      </c>
    </row>
    <row r="662" spans="1:21" x14ac:dyDescent="0.25">
      <c r="A662" s="10" t="s">
        <v>255</v>
      </c>
      <c r="B662" s="229" t="s">
        <v>85</v>
      </c>
      <c r="C662" s="10"/>
      <c r="D662" s="14"/>
      <c r="E662" s="157"/>
      <c r="F662" s="10"/>
      <c r="G662" s="17"/>
      <c r="H662" s="10"/>
      <c r="I662" s="17"/>
      <c r="J662" s="83"/>
      <c r="K662" s="343"/>
      <c r="L662" s="347"/>
      <c r="M662" s="89">
        <v>24</v>
      </c>
      <c r="N662" s="10"/>
      <c r="O662" s="22"/>
      <c r="P662" s="14"/>
      <c r="Q662" s="83"/>
      <c r="U662" s="104" t="str">
        <f>IF(
  AND(
    TRIM(A662)=TRIM(Enginuity!$A$1),
    TRIM(B662)=TRIM(Enginuity!$A$17),
    Q662&lt;&gt;"",
    Q662&lt;&gt;0,
    OR(
      TRIM(C662)=TRIM(Enginuity!$A$18),
      AND(UPPER(TRIM(M662))="STD", TRIM(B662)=TRIM(Enginuity!$A$17))
    ),
    OR(
      AND(LEFT(P662,5)="1-Way", Enginuity!$B$13=1),
      AND(LEFT(P662,5)="2-Way", OR(Enginuity!$B$13=2, Enginuity!$B$13=4)),
      AND(LEFT(P662,5)="3-Way", OR(Enginuity!$B$13=3, Enginuity!$B$13=6)),
      AND(P662="Inner Centre Jamb", OR(Enginuity!$B$13=4, Enginuity!$B$13=6)),
      AND(
        LEFT(P662,5)&lt;&gt;"1-Way",
        LEFT(P662,5)&lt;&gt;"2-Way",
        LEFT(P662,5)&lt;&gt;"3-Way",
        P662&lt;&gt;"Inner Centre Jamb"
      )
    ),
    IF(OR(Enginuity!$A$1="Frameless Glass",Enginuity!$A$1="Metal Work"),
      AND(TRIM(B662)=TRIM(Enginuity!$A$17),TRIM(C662)=TRIM(Enginuity!$A$18)),
      TRIM(B662)=TRIM(Enginuity!$A$17)
    )
  ),
  ROW(),
  ""
)</f>
        <v/>
      </c>
    </row>
    <row r="663" spans="1:21" x14ac:dyDescent="0.25">
      <c r="A663" s="10" t="s">
        <v>255</v>
      </c>
      <c r="B663" s="229" t="s">
        <v>85</v>
      </c>
      <c r="C663" s="10"/>
      <c r="D663" s="14"/>
      <c r="E663" s="157"/>
      <c r="F663" s="10"/>
      <c r="G663" s="17"/>
      <c r="H663" s="10"/>
      <c r="I663" s="17"/>
      <c r="J663" s="83"/>
      <c r="K663" s="343"/>
      <c r="L663" s="347"/>
      <c r="M663" s="89">
        <v>25</v>
      </c>
      <c r="N663" s="10"/>
      <c r="O663" s="22"/>
      <c r="P663" s="14"/>
      <c r="Q663" s="83"/>
      <c r="U663" s="104" t="str">
        <f>IF(
  AND(
    TRIM(A663)=TRIM(Enginuity!$A$1),
    TRIM(B663)=TRIM(Enginuity!$A$17),
    Q663&lt;&gt;"",
    Q663&lt;&gt;0,
    OR(
      TRIM(C663)=TRIM(Enginuity!$A$18),
      AND(UPPER(TRIM(M663))="STD", TRIM(B663)=TRIM(Enginuity!$A$17))
    ),
    OR(
      AND(LEFT(P663,5)="1-Way", Enginuity!$B$13=1),
      AND(LEFT(P663,5)="2-Way", OR(Enginuity!$B$13=2, Enginuity!$B$13=4)),
      AND(LEFT(P663,5)="3-Way", OR(Enginuity!$B$13=3, Enginuity!$B$13=6)),
      AND(P663="Inner Centre Jamb", OR(Enginuity!$B$13=4, Enginuity!$B$13=6)),
      AND(
        LEFT(P663,5)&lt;&gt;"1-Way",
        LEFT(P663,5)&lt;&gt;"2-Way",
        LEFT(P663,5)&lt;&gt;"3-Way",
        P663&lt;&gt;"Inner Centre Jamb"
      )
    ),
    IF(OR(Enginuity!$A$1="Frameless Glass",Enginuity!$A$1="Metal Work"),
      AND(TRIM(B663)=TRIM(Enginuity!$A$17),TRIM(C663)=TRIM(Enginuity!$A$18)),
      TRIM(B663)=TRIM(Enginuity!$A$17)
    )
  ),
  ROW(),
  ""
)</f>
        <v/>
      </c>
    </row>
    <row r="664" spans="1:21" x14ac:dyDescent="0.25">
      <c r="A664" s="10" t="s">
        <v>255</v>
      </c>
      <c r="B664" s="229" t="s">
        <v>85</v>
      </c>
      <c r="C664" s="10"/>
      <c r="D664" s="14"/>
      <c r="E664" s="157"/>
      <c r="F664" s="10"/>
      <c r="G664" s="17"/>
      <c r="H664" s="10"/>
      <c r="I664" s="17"/>
      <c r="J664" s="83"/>
      <c r="K664" s="343"/>
      <c r="L664" s="347"/>
      <c r="M664" s="89">
        <v>26</v>
      </c>
      <c r="N664" s="10"/>
      <c r="O664" s="22"/>
      <c r="P664" s="14"/>
      <c r="Q664" s="83"/>
      <c r="U664" s="104" t="str">
        <f>IF(
  AND(
    TRIM(A664)=TRIM(Enginuity!$A$1),
    TRIM(B664)=TRIM(Enginuity!$A$17),
    Q664&lt;&gt;"",
    Q664&lt;&gt;0,
    OR(
      TRIM(C664)=TRIM(Enginuity!$A$18),
      AND(UPPER(TRIM(M664))="STD", TRIM(B664)=TRIM(Enginuity!$A$17))
    ),
    OR(
      AND(LEFT(P664,5)="1-Way", Enginuity!$B$13=1),
      AND(LEFT(P664,5)="2-Way", OR(Enginuity!$B$13=2, Enginuity!$B$13=4)),
      AND(LEFT(P664,5)="3-Way", OR(Enginuity!$B$13=3, Enginuity!$B$13=6)),
      AND(P664="Inner Centre Jamb", OR(Enginuity!$B$13=4, Enginuity!$B$13=6)),
      AND(
        LEFT(P664,5)&lt;&gt;"1-Way",
        LEFT(P664,5)&lt;&gt;"2-Way",
        LEFT(P664,5)&lt;&gt;"3-Way",
        P664&lt;&gt;"Inner Centre Jamb"
      )
    ),
    IF(OR(Enginuity!$A$1="Frameless Glass",Enginuity!$A$1="Metal Work"),
      AND(TRIM(B664)=TRIM(Enginuity!$A$17),TRIM(C664)=TRIM(Enginuity!$A$18)),
      TRIM(B664)=TRIM(Enginuity!$A$17)
    )
  ),
  ROW(),
  ""
)</f>
        <v/>
      </c>
    </row>
    <row r="665" spans="1:21" x14ac:dyDescent="0.25">
      <c r="A665" s="10" t="s">
        <v>255</v>
      </c>
      <c r="B665" s="229" t="s">
        <v>85</v>
      </c>
      <c r="C665" s="10"/>
      <c r="D665" s="14"/>
      <c r="E665" s="157"/>
      <c r="F665" s="10"/>
      <c r="G665" s="17"/>
      <c r="H665" s="10"/>
      <c r="I665" s="17"/>
      <c r="J665" s="83"/>
      <c r="K665" s="343"/>
      <c r="L665" s="347"/>
      <c r="M665" s="89">
        <v>27</v>
      </c>
      <c r="N665" s="10"/>
      <c r="O665" s="22"/>
      <c r="P665" s="14"/>
      <c r="Q665" s="83"/>
      <c r="U665" s="104" t="str">
        <f>IF(
  AND(
    TRIM(A665)=TRIM(Enginuity!$A$1),
    TRIM(B665)=TRIM(Enginuity!$A$17),
    Q665&lt;&gt;"",
    Q665&lt;&gt;0,
    OR(
      TRIM(C665)=TRIM(Enginuity!$A$18),
      AND(UPPER(TRIM(M665))="STD", TRIM(B665)=TRIM(Enginuity!$A$17))
    ),
    OR(
      AND(LEFT(P665,5)="1-Way", Enginuity!$B$13=1),
      AND(LEFT(P665,5)="2-Way", OR(Enginuity!$B$13=2, Enginuity!$B$13=4)),
      AND(LEFT(P665,5)="3-Way", OR(Enginuity!$B$13=3, Enginuity!$B$13=6)),
      AND(P665="Inner Centre Jamb", OR(Enginuity!$B$13=4, Enginuity!$B$13=6)),
      AND(
        LEFT(P665,5)&lt;&gt;"1-Way",
        LEFT(P665,5)&lt;&gt;"2-Way",
        LEFT(P665,5)&lt;&gt;"3-Way",
        P665&lt;&gt;"Inner Centre Jamb"
      )
    ),
    IF(OR(Enginuity!$A$1="Frameless Glass",Enginuity!$A$1="Metal Work"),
      AND(TRIM(B665)=TRIM(Enginuity!$A$17),TRIM(C665)=TRIM(Enginuity!$A$18)),
      TRIM(B665)=TRIM(Enginuity!$A$17)
    )
  ),
  ROW(),
  ""
)</f>
        <v/>
      </c>
    </row>
    <row r="666" spans="1:21" x14ac:dyDescent="0.25">
      <c r="A666" s="10" t="s">
        <v>255</v>
      </c>
      <c r="B666" s="229" t="s">
        <v>85</v>
      </c>
      <c r="C666" s="10"/>
      <c r="D666" s="14"/>
      <c r="E666" s="157"/>
      <c r="F666" s="10"/>
      <c r="G666" s="17"/>
      <c r="H666" s="10"/>
      <c r="I666" s="17"/>
      <c r="J666" s="83"/>
      <c r="K666" s="343"/>
      <c r="L666" s="347"/>
      <c r="M666" s="89">
        <v>28</v>
      </c>
      <c r="N666" s="10"/>
      <c r="O666" s="22"/>
      <c r="P666" s="21"/>
      <c r="Q666" s="83"/>
      <c r="U666" s="104" t="str">
        <f>IF(
  AND(
    TRIM(A666)=TRIM(Enginuity!$A$1),
    TRIM(B666)=TRIM(Enginuity!$A$17),
    Q666&lt;&gt;"",
    Q666&lt;&gt;0,
    OR(
      TRIM(C666)=TRIM(Enginuity!$A$18),
      AND(UPPER(TRIM(M666))="STD", TRIM(B666)=TRIM(Enginuity!$A$17))
    ),
    OR(
      AND(LEFT(P666,5)="1-Way", Enginuity!$B$13=1),
      AND(LEFT(P666,5)="2-Way", OR(Enginuity!$B$13=2, Enginuity!$B$13=4)),
      AND(LEFT(P666,5)="3-Way", OR(Enginuity!$B$13=3, Enginuity!$B$13=6)),
      AND(P666="Inner Centre Jamb", OR(Enginuity!$B$13=4, Enginuity!$B$13=6)),
      AND(
        LEFT(P666,5)&lt;&gt;"1-Way",
        LEFT(P666,5)&lt;&gt;"2-Way",
        LEFT(P666,5)&lt;&gt;"3-Way",
        P666&lt;&gt;"Inner Centre Jamb"
      )
    ),
    IF(OR(Enginuity!$A$1="Frameless Glass",Enginuity!$A$1="Metal Work"),
      AND(TRIM(B666)=TRIM(Enginuity!$A$17),TRIM(C666)=TRIM(Enginuity!$A$18)),
      TRIM(B666)=TRIM(Enginuity!$A$17)
    )
  ),
  ROW(),
  ""
)</f>
        <v/>
      </c>
    </row>
    <row r="667" spans="1:21" x14ac:dyDescent="0.25">
      <c r="A667" s="10" t="s">
        <v>255</v>
      </c>
      <c r="B667" s="229" t="s">
        <v>85</v>
      </c>
      <c r="C667" s="10"/>
      <c r="D667" s="14"/>
      <c r="E667" s="157"/>
      <c r="F667" s="10"/>
      <c r="G667" s="17"/>
      <c r="H667" s="10"/>
      <c r="I667" s="17"/>
      <c r="J667" s="83"/>
      <c r="K667" s="343"/>
      <c r="L667" s="347"/>
      <c r="M667" s="89">
        <v>29</v>
      </c>
      <c r="N667" s="88"/>
      <c r="O667" s="22"/>
      <c r="P667" s="36"/>
      <c r="Q667" s="83"/>
      <c r="U667" s="104" t="str">
        <f>IF(
  AND(
    TRIM(A667)=TRIM(Enginuity!$A$1),
    TRIM(B667)=TRIM(Enginuity!$A$17),
    Q667&lt;&gt;"",
    Q667&lt;&gt;0,
    OR(
      TRIM(C667)=TRIM(Enginuity!$A$18),
      AND(UPPER(TRIM(M667))="STD", TRIM(B667)=TRIM(Enginuity!$A$17))
    ),
    OR(
      AND(LEFT(P667,5)="1-Way", Enginuity!$B$13=1),
      AND(LEFT(P667,5)="2-Way", OR(Enginuity!$B$13=2, Enginuity!$B$13=4)),
      AND(LEFT(P667,5)="3-Way", OR(Enginuity!$B$13=3, Enginuity!$B$13=6)),
      AND(P667="Inner Centre Jamb", OR(Enginuity!$B$13=4, Enginuity!$B$13=6)),
      AND(
        LEFT(P667,5)&lt;&gt;"1-Way",
        LEFT(P667,5)&lt;&gt;"2-Way",
        LEFT(P667,5)&lt;&gt;"3-Way",
        P667&lt;&gt;"Inner Centre Jamb"
      )
    ),
    IF(OR(Enginuity!$A$1="Frameless Glass",Enginuity!$A$1="Metal Work"),
      AND(TRIM(B667)=TRIM(Enginuity!$A$17),TRIM(C667)=TRIM(Enginuity!$A$18)),
      TRIM(B667)=TRIM(Enginuity!$A$17)
    )
  ),
  ROW(),
  ""
)</f>
        <v/>
      </c>
    </row>
    <row r="668" spans="1:21" x14ac:dyDescent="0.25">
      <c r="A668" s="10" t="s">
        <v>255</v>
      </c>
      <c r="B668" s="229" t="s">
        <v>85</v>
      </c>
      <c r="C668" s="10"/>
      <c r="D668" s="14"/>
      <c r="E668" s="157"/>
      <c r="F668" s="10"/>
      <c r="G668" s="17"/>
      <c r="H668" s="10"/>
      <c r="I668" s="17"/>
      <c r="J668" s="83"/>
      <c r="K668" s="343"/>
      <c r="L668" s="347"/>
      <c r="M668" s="10" t="s">
        <v>117</v>
      </c>
      <c r="N668" s="10" t="s">
        <v>121</v>
      </c>
      <c r="O668" s="22" t="str">
        <f>$O$2</f>
        <v/>
      </c>
      <c r="P668" s="21" t="str">
        <f>Enginuity!$A$19</f>
        <v>W/G</v>
      </c>
      <c r="Q668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668" s="104" t="str">
        <f>IF(
  AND(
    TRIM(A668)=TRIM(Enginuity!$A$1),
    TRIM(B668)=TRIM(Enginuity!$A$17),
    Q668&lt;&gt;"",
    Q668&lt;&gt;0,
    OR(
      TRIM(C668)=TRIM(Enginuity!$A$18),
      AND(UPPER(TRIM(M668))="STD", TRIM(B668)=TRIM(Enginuity!$A$17))
    ),
    OR(
      AND(LEFT(P668,5)="1-Way", Enginuity!$B$13=1),
      AND(LEFT(P668,5)="2-Way", OR(Enginuity!$B$13=2, Enginuity!$B$13=4)),
      AND(LEFT(P668,5)="3-Way", OR(Enginuity!$B$13=3, Enginuity!$B$13=6)),
      AND(P668="Inner Centre Jamb", OR(Enginuity!$B$13=4, Enginuity!$B$13=6)),
      AND(
        LEFT(P668,5)&lt;&gt;"1-Way",
        LEFT(P668,5)&lt;&gt;"2-Way",
        LEFT(P668,5)&lt;&gt;"3-Way",
        P668&lt;&gt;"Inner Centre Jamb"
      )
    ),
    IF(OR(Enginuity!$A$1="Frameless Glass",Enginuity!$A$1="Metal Work"),
      AND(TRIM(B668)=TRIM(Enginuity!$A$17),TRIM(C668)=TRIM(Enginuity!$A$18)),
      TRIM(B668)=TRIM(Enginuity!$A$17)
    )
  ),
  ROW(),
  ""
)</f>
        <v/>
      </c>
    </row>
    <row r="669" spans="1:21" x14ac:dyDescent="0.25">
      <c r="A669" s="10" t="s">
        <v>255</v>
      </c>
      <c r="B669" s="229" t="s">
        <v>85</v>
      </c>
      <c r="C669" s="10"/>
      <c r="D669" s="14"/>
      <c r="E669" s="157"/>
      <c r="F669" s="10"/>
      <c r="G669" s="17"/>
      <c r="H669" s="10"/>
      <c r="I669" s="17"/>
      <c r="J669" s="83"/>
      <c r="K669" s="343"/>
      <c r="L669" s="347"/>
      <c r="M669" s="10" t="s">
        <v>117</v>
      </c>
      <c r="N669" s="10" t="s">
        <v>103</v>
      </c>
      <c r="O669" s="22">
        <v>0.4</v>
      </c>
      <c r="P669" s="14" t="s">
        <v>115</v>
      </c>
      <c r="Q669" s="83">
        <f>IF(AND(Enginuity!$B$6&gt;0, Enginuity!$B$7&gt;0), ROUND(((Enginuity!$B$6 + Enginuity!$B$7) * 2), 2), "")</f>
        <v>66</v>
      </c>
      <c r="U669" s="104" t="str">
        <f>IF(
  AND(
    TRIM(A669)=TRIM(Enginuity!$A$1),
    TRIM(B669)=TRIM(Enginuity!$A$17),
    Q669&lt;&gt;"",
    Q669&lt;&gt;0,
    OR(
      TRIM(C669)=TRIM(Enginuity!$A$18),
      AND(UPPER(TRIM(M669))="STD", TRIM(B669)=TRIM(Enginuity!$A$17))
    ),
    OR(
      AND(LEFT(P669,5)="1-Way", Enginuity!$B$13=1),
      AND(LEFT(P669,5)="2-Way", OR(Enginuity!$B$13=2, Enginuity!$B$13=4)),
      AND(LEFT(P669,5)="3-Way", OR(Enginuity!$B$13=3, Enginuity!$B$13=6)),
      AND(P669="Inner Centre Jamb", OR(Enginuity!$B$13=4, Enginuity!$B$13=6)),
      AND(
        LEFT(P669,5)&lt;&gt;"1-Way",
        LEFT(P669,5)&lt;&gt;"2-Way",
        LEFT(P669,5)&lt;&gt;"3-Way",
        P669&lt;&gt;"Inner Centre Jamb"
      )
    ),
    IF(OR(Enginuity!$A$1="Frameless Glass",Enginuity!$A$1="Metal Work"),
      AND(TRIM(B669)=TRIM(Enginuity!$A$17),TRIM(C669)=TRIM(Enginuity!$A$18)),
      TRIM(B669)=TRIM(Enginuity!$A$17)
    )
  ),
  ROW(),
  ""
)</f>
        <v/>
      </c>
    </row>
    <row r="670" spans="1:21" x14ac:dyDescent="0.25">
      <c r="A670" s="10" t="s">
        <v>255</v>
      </c>
      <c r="B670" s="229" t="s">
        <v>85</v>
      </c>
      <c r="C670" s="10"/>
      <c r="D670" s="14"/>
      <c r="E670" s="157"/>
      <c r="F670" s="10"/>
      <c r="G670" s="17"/>
      <c r="H670" s="10"/>
      <c r="I670" s="17"/>
      <c r="J670" s="83"/>
      <c r="K670" s="343"/>
      <c r="L670" s="347"/>
      <c r="M670" s="10" t="s">
        <v>117</v>
      </c>
      <c r="N670" s="10" t="s">
        <v>103</v>
      </c>
      <c r="O670" s="22">
        <v>0.4</v>
      </c>
      <c r="P670" s="14" t="s">
        <v>116</v>
      </c>
      <c r="Q670" s="83">
        <f>IF(AND(Enginuity!$B$6&gt;0, Enginuity!$B$7&gt;0, Enginuity!$B$13&gt;0), (2 * Enginuity!$B$7 * Enginuity!$B$13) + (2 * Enginuity!$B$6), "")</f>
        <v>222</v>
      </c>
      <c r="U670" s="104" t="str">
        <f>IF(
  AND(
    TRIM(A670)=TRIM(Enginuity!$A$1),
    TRIM(B670)=TRIM(Enginuity!$A$17),
    Q670&lt;&gt;"",
    Q670&lt;&gt;0,
    OR(
      TRIM(C670)=TRIM(Enginuity!$A$18),
      AND(UPPER(TRIM(M670))="STD", TRIM(B670)=TRIM(Enginuity!$A$17))
    ),
    OR(
      AND(LEFT(P670,5)="1-Way", Enginuity!$B$13=1),
      AND(LEFT(P670,5)="2-Way", OR(Enginuity!$B$13=2, Enginuity!$B$13=4)),
      AND(LEFT(P670,5)="3-Way", OR(Enginuity!$B$13=3, Enginuity!$B$13=6)),
      AND(P670="Inner Centre Jamb", OR(Enginuity!$B$13=4, Enginuity!$B$13=6)),
      AND(
        LEFT(P670,5)&lt;&gt;"1-Way",
        LEFT(P670,5)&lt;&gt;"2-Way",
        LEFT(P670,5)&lt;&gt;"3-Way",
        P670&lt;&gt;"Inner Centre Jamb"
      )
    ),
    IF(OR(Enginuity!$A$1="Frameless Glass",Enginuity!$A$1="Metal Work"),
      AND(TRIM(B670)=TRIM(Enginuity!$A$17),TRIM(C670)=TRIM(Enginuity!$A$18)),
      TRIM(B670)=TRIM(Enginuity!$A$17)
    )
  ),
  ROW(),
  ""
)</f>
        <v/>
      </c>
    </row>
    <row r="671" spans="1:21" x14ac:dyDescent="0.25">
      <c r="A671" s="10" t="s">
        <v>255</v>
      </c>
      <c r="B671" s="229" t="s">
        <v>85</v>
      </c>
      <c r="C671" s="10"/>
      <c r="D671" s="14"/>
      <c r="E671" s="157"/>
      <c r="F671" s="10"/>
      <c r="G671" s="17"/>
      <c r="H671" s="10"/>
      <c r="I671" s="17"/>
      <c r="J671" s="83"/>
      <c r="K671" s="343"/>
      <c r="L671" s="347"/>
      <c r="M671" s="10" t="s">
        <v>117</v>
      </c>
      <c r="N671" s="10" t="s">
        <v>103</v>
      </c>
      <c r="O671" s="22">
        <v>0.8</v>
      </c>
      <c r="P671" s="14" t="s">
        <v>272</v>
      </c>
      <c r="Q671" s="83">
        <f>IF(AND(Enginuity!$B$6&gt;0, Enginuity!$B$7&gt;0, Enginuity!$B$13&gt;0), ((2*Enginuity!$B$7*Enginuity!$B$13)+(2*Enginuity!$B$6))*2, "")</f>
        <v>444</v>
      </c>
      <c r="U671" s="104" t="str">
        <f>IF(
  AND(
    TRIM(A671)=TRIM(Enginuity!$A$1),
    TRIM(B671)=TRIM(Enginuity!$A$17),
    Q671&lt;&gt;"",
    Q671&lt;&gt;0,
    OR(
      TRIM(C671)=TRIM(Enginuity!$A$18),
      AND(UPPER(TRIM(M671))="STD", TRIM(B671)=TRIM(Enginuity!$A$17))
    ),
    OR(
      AND(LEFT(P671,5)="1-Way", Enginuity!$B$13=1),
      AND(LEFT(P671,5)="2-Way", OR(Enginuity!$B$13=2, Enginuity!$B$13=4)),
      AND(LEFT(P671,5)="3-Way", OR(Enginuity!$B$13=3, Enginuity!$B$13=6)),
      AND(P671="Inner Centre Jamb", OR(Enginuity!$B$13=4, Enginuity!$B$13=6)),
      AND(
        LEFT(P671,5)&lt;&gt;"1-Way",
        LEFT(P671,5)&lt;&gt;"2-Way",
        LEFT(P671,5)&lt;&gt;"3-Way",
        P671&lt;&gt;"Inner Centre Jamb"
      )
    ),
    IF(OR(Enginuity!$A$1="Frameless Glass",Enginuity!$A$1="Metal Work"),
      AND(TRIM(B671)=TRIM(Enginuity!$A$17),TRIM(C671)=TRIM(Enginuity!$A$18)),
      TRIM(B671)=TRIM(Enginuity!$A$17)
    )
  ),
  ROW(),
  ""
)</f>
        <v/>
      </c>
    </row>
    <row r="672" spans="1:21" x14ac:dyDescent="0.25">
      <c r="A672" s="10" t="s">
        <v>255</v>
      </c>
      <c r="B672" s="229" t="s">
        <v>85</v>
      </c>
      <c r="C672" s="10"/>
      <c r="D672" s="14"/>
      <c r="E672" s="157"/>
      <c r="F672" s="10"/>
      <c r="G672" s="17"/>
      <c r="H672" s="10"/>
      <c r="I672" s="17"/>
      <c r="J672" s="83"/>
      <c r="K672" s="343"/>
      <c r="L672" s="347"/>
      <c r="M672" s="10" t="s">
        <v>117</v>
      </c>
      <c r="N672" s="10" t="s">
        <v>103</v>
      </c>
      <c r="O672" s="22">
        <v>0.12</v>
      </c>
      <c r="P672" s="14" t="s">
        <v>280</v>
      </c>
      <c r="Q672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576</v>
      </c>
      <c r="U672" s="104" t="str">
        <f>IF(
  AND(
    TRIM(A672)=TRIM(Enginuity!$A$1),
    TRIM(B672)=TRIM(Enginuity!$A$17),
    Q672&lt;&gt;"",
    Q672&lt;&gt;0,
    OR(
      TRIM(C672)=TRIM(Enginuity!$A$18),
      AND(UPPER(TRIM(M672))="STD", TRIM(B672)=TRIM(Enginuity!$A$17))
    ),
    OR(
      AND(LEFT(P672,5)="1-Way", Enginuity!$B$13=1),
      AND(LEFT(P672,5)="2-Way", OR(Enginuity!$B$13=2, Enginuity!$B$13=4)),
      AND(LEFT(P672,5)="3-Way", OR(Enginuity!$B$13=3, Enginuity!$B$13=6)),
      AND(P672="Inner Centre Jamb", OR(Enginuity!$B$13=4, Enginuity!$B$13=6)),
      AND(
        LEFT(P672,5)&lt;&gt;"1-Way",
        LEFT(P672,5)&lt;&gt;"2-Way",
        LEFT(P672,5)&lt;&gt;"3-Way",
        P672&lt;&gt;"Inner Centre Jamb"
      )
    ),
    IF(OR(Enginuity!$A$1="Frameless Glass",Enginuity!$A$1="Metal Work"),
      AND(TRIM(B672)=TRIM(Enginuity!$A$17),TRIM(C672)=TRIM(Enginuity!$A$18)),
      TRIM(B672)=TRIM(Enginuity!$A$17)
    )
  ),
  ROW(),
  ""
)</f>
        <v/>
      </c>
    </row>
    <row r="673" spans="1:21" x14ac:dyDescent="0.25">
      <c r="A673" s="10" t="s">
        <v>255</v>
      </c>
      <c r="B673" s="229" t="s">
        <v>85</v>
      </c>
      <c r="C673" s="10"/>
      <c r="D673" s="14"/>
      <c r="E673" s="157"/>
      <c r="F673" s="10"/>
      <c r="G673" s="17"/>
      <c r="H673" s="10"/>
      <c r="I673" s="17"/>
      <c r="J673" s="83"/>
      <c r="K673" s="343"/>
      <c r="L673" s="347"/>
      <c r="M673" s="10" t="s">
        <v>117</v>
      </c>
      <c r="N673" s="10" t="s">
        <v>112</v>
      </c>
      <c r="O673" s="22">
        <v>12</v>
      </c>
      <c r="P673" s="14" t="s">
        <v>139</v>
      </c>
      <c r="Q673" s="83">
        <f>Enginuity!$B$13*IF(TRIM(Enginuity!$A$21)="1'H X ?'W X Qty Panel Top Hung (Casement Profile)",2,1)</f>
        <v>7</v>
      </c>
      <c r="U673" s="104" t="str">
        <f>IF(
  AND(
    TRIM(A673)=TRIM(Enginuity!$A$1),
    TRIM(B673)=TRIM(Enginuity!$A$17),
    Q673&lt;&gt;"",
    Q673&lt;&gt;0,
    OR(
      TRIM(C673)=TRIM(Enginuity!$A$18),
      AND(UPPER(TRIM(M673))="STD", TRIM(B673)=TRIM(Enginuity!$A$17))
    ),
    OR(
      AND(LEFT(P673,5)="1-Way", Enginuity!$B$13=1),
      AND(LEFT(P673,5)="2-Way", OR(Enginuity!$B$13=2, Enginuity!$B$13=4)),
      AND(LEFT(P673,5)="3-Way", OR(Enginuity!$B$13=3, Enginuity!$B$13=6)),
      AND(P673="Inner Centre Jamb", OR(Enginuity!$B$13=4, Enginuity!$B$13=6)),
      AND(
        LEFT(P673,5)&lt;&gt;"1-Way",
        LEFT(P673,5)&lt;&gt;"2-Way",
        LEFT(P673,5)&lt;&gt;"3-Way",
        P673&lt;&gt;"Inner Centre Jamb"
      )
    ),
    IF(OR(Enginuity!$A$1="Frameless Glass",Enginuity!$A$1="Metal Work"),
      AND(TRIM(B673)=TRIM(Enginuity!$A$17),TRIM(C673)=TRIM(Enginuity!$A$18)),
      TRIM(B673)=TRIM(Enginuity!$A$17)
    )
  ),
  ROW(),
  ""
)</f>
        <v/>
      </c>
    </row>
    <row r="674" spans="1:21" x14ac:dyDescent="0.25">
      <c r="A674" s="10" t="s">
        <v>255</v>
      </c>
      <c r="B674" s="229" t="s">
        <v>85</v>
      </c>
      <c r="C674" s="10"/>
      <c r="D674" s="14"/>
      <c r="E674" s="157"/>
      <c r="F674" s="10"/>
      <c r="G674" s="17"/>
      <c r="H674" s="10"/>
      <c r="I674" s="17"/>
      <c r="J674" s="83"/>
      <c r="K674" s="343"/>
      <c r="L674" s="347"/>
      <c r="M674" s="10" t="s">
        <v>117</v>
      </c>
      <c r="N674" s="88" t="s">
        <v>112</v>
      </c>
      <c r="O674" s="22">
        <v>4.5</v>
      </c>
      <c r="P674" s="36" t="s">
        <v>124</v>
      </c>
      <c r="Q674" s="83">
        <f>Enginuity!$B$13*IF(TRIM(Enginuity!$A$21)="1'H X ?'W X Qty Panel Top Hung (Casement Profile)",2,1)</f>
        <v>7</v>
      </c>
      <c r="U674" s="104" t="str">
        <f>IF(
  AND(
    TRIM(A674)=TRIM(Enginuity!$A$1),
    TRIM(B674)=TRIM(Enginuity!$A$17),
    Q674&lt;&gt;"",
    Q674&lt;&gt;0,
    OR(
      TRIM(C674)=TRIM(Enginuity!$A$18),
      AND(UPPER(TRIM(M674))="STD", TRIM(B674)=TRIM(Enginuity!$A$17))
    ),
    OR(
      AND(LEFT(P674,5)="1-Way", Enginuity!$B$13=1),
      AND(LEFT(P674,5)="2-Way", OR(Enginuity!$B$13=2, Enginuity!$B$13=4)),
      AND(LEFT(P674,5)="3-Way", OR(Enginuity!$B$13=3, Enginuity!$B$13=6)),
      AND(P674="Inner Centre Jamb", OR(Enginuity!$B$13=4, Enginuity!$B$13=6)),
      AND(
        LEFT(P674,5)&lt;&gt;"1-Way",
        LEFT(P674,5)&lt;&gt;"2-Way",
        LEFT(P674,5)&lt;&gt;"3-Way",
        P674&lt;&gt;"Inner Centre Jamb"
      )
    ),
    IF(OR(Enginuity!$A$1="Frameless Glass",Enginuity!$A$1="Metal Work"),
      AND(TRIM(B674)=TRIM(Enginuity!$A$17),TRIM(C674)=TRIM(Enginuity!$A$18)),
      TRIM(B674)=TRIM(Enginuity!$A$17)
    )
  ),
  ROW(),
  ""
)</f>
        <v/>
      </c>
    </row>
    <row r="675" spans="1:21" x14ac:dyDescent="0.25">
      <c r="A675" s="10" t="s">
        <v>255</v>
      </c>
      <c r="B675" s="229" t="s">
        <v>85</v>
      </c>
      <c r="C675" s="10"/>
      <c r="D675" s="14"/>
      <c r="E675" s="157"/>
      <c r="F675" s="10"/>
      <c r="G675" s="17"/>
      <c r="H675" s="10"/>
      <c r="I675" s="17"/>
      <c r="J675" s="83"/>
      <c r="K675" s="343"/>
      <c r="L675" s="347"/>
      <c r="M675" s="10" t="s">
        <v>117</v>
      </c>
      <c r="N675" s="10" t="s">
        <v>112</v>
      </c>
      <c r="O675" s="22">
        <v>1.8</v>
      </c>
      <c r="P675" s="14" t="s">
        <v>133</v>
      </c>
      <c r="Q675" s="83">
        <f>IF(AND(ISNUMBER(Enginuity!$B$13), Enginuity!$B$13&gt;0), Enginuity!$B$13*4, "")</f>
        <v>28</v>
      </c>
      <c r="U675" s="104" t="str">
        <f>IF(
  AND(
    TRIM(A675)=TRIM(Enginuity!$A$1),
    TRIM(B675)=TRIM(Enginuity!$A$17),
    Q675&lt;&gt;"",
    Q675&lt;&gt;0,
    OR(
      TRIM(C675)=TRIM(Enginuity!$A$18),
      AND(UPPER(TRIM(M675))="STD", TRIM(B675)=TRIM(Enginuity!$A$17))
    ),
    OR(
      AND(LEFT(P675,5)="1-Way", Enginuity!$B$13=1),
      AND(LEFT(P675,5)="2-Way", OR(Enginuity!$B$13=2, Enginuity!$B$13=4)),
      AND(LEFT(P675,5)="3-Way", OR(Enginuity!$B$13=3, Enginuity!$B$13=6)),
      AND(P675="Inner Centre Jamb", OR(Enginuity!$B$13=4, Enginuity!$B$13=6)),
      AND(
        LEFT(P675,5)&lt;&gt;"1-Way",
        LEFT(P675,5)&lt;&gt;"2-Way",
        LEFT(P675,5)&lt;&gt;"3-Way",
        P675&lt;&gt;"Inner Centre Jamb"
      )
    ),
    IF(OR(Enginuity!$A$1="Frameless Glass",Enginuity!$A$1="Metal Work"),
      AND(TRIM(B675)=TRIM(Enginuity!$A$17),TRIM(C675)=TRIM(Enginuity!$A$18)),
      TRIM(B675)=TRIM(Enginuity!$A$17)
    )
  ),
  ROW(),
  ""
)</f>
        <v/>
      </c>
    </row>
    <row r="676" spans="1:21" x14ac:dyDescent="0.25">
      <c r="A676" s="10" t="s">
        <v>255</v>
      </c>
      <c r="B676" s="229" t="s">
        <v>85</v>
      </c>
      <c r="C676" s="10"/>
      <c r="D676" s="14"/>
      <c r="E676" s="157"/>
      <c r="F676" s="10"/>
      <c r="G676" s="17"/>
      <c r="H676" s="10"/>
      <c r="I676" s="17"/>
      <c r="J676" s="83"/>
      <c r="K676" s="343"/>
      <c r="L676" s="347"/>
      <c r="M676" s="10" t="s">
        <v>117</v>
      </c>
      <c r="N676" s="10" t="s">
        <v>112</v>
      </c>
      <c r="O676" s="22">
        <v>1.8</v>
      </c>
      <c r="P676" s="14" t="s">
        <v>134</v>
      </c>
      <c r="Q676" s="83">
        <v>4</v>
      </c>
      <c r="U676" s="104" t="str">
        <f>IF(
  AND(
    TRIM(A676)=TRIM(Enginuity!$A$1),
    TRIM(B676)=TRIM(Enginuity!$A$17),
    Q676&lt;&gt;"",
    Q676&lt;&gt;0,
    OR(
      TRIM(C676)=TRIM(Enginuity!$A$18),
      AND(UPPER(TRIM(M676))="STD", TRIM(B676)=TRIM(Enginuity!$A$17))
    ),
    OR(
      AND(LEFT(P676,5)="1-Way", Enginuity!$B$13=1),
      AND(LEFT(P676,5)="2-Way", OR(Enginuity!$B$13=2, Enginuity!$B$13=4)),
      AND(LEFT(P676,5)="3-Way", OR(Enginuity!$B$13=3, Enginuity!$B$13=6)),
      AND(P676="Inner Centre Jamb", OR(Enginuity!$B$13=4, Enginuity!$B$13=6)),
      AND(
        LEFT(P676,5)&lt;&gt;"1-Way",
        LEFT(P676,5)&lt;&gt;"2-Way",
        LEFT(P676,5)&lt;&gt;"3-Way",
        P676&lt;&gt;"Inner Centre Jamb"
      )
    ),
    IF(OR(Enginuity!$A$1="Frameless Glass",Enginuity!$A$1="Metal Work"),
      AND(TRIM(B676)=TRIM(Enginuity!$A$17),TRIM(C676)=TRIM(Enginuity!$A$18)),
      TRIM(B676)=TRIM(Enginuity!$A$17)
    )
  ),
  ROW(),
  ""
)</f>
        <v/>
      </c>
    </row>
    <row r="677" spans="1:21" x14ac:dyDescent="0.25">
      <c r="A677" s="10" t="s">
        <v>255</v>
      </c>
      <c r="B677" s="229" t="s">
        <v>85</v>
      </c>
      <c r="C677" s="10"/>
      <c r="D677" s="14"/>
      <c r="E677" s="157"/>
      <c r="F677" s="10"/>
      <c r="G677" s="17"/>
      <c r="H677" s="10"/>
      <c r="I677" s="17"/>
      <c r="J677" s="83"/>
      <c r="K677" s="343"/>
      <c r="L677" s="347"/>
      <c r="M677" s="10" t="s">
        <v>117</v>
      </c>
      <c r="N677" s="10" t="s">
        <v>112</v>
      </c>
      <c r="O677" s="22">
        <v>0.45</v>
      </c>
      <c r="P677" s="14" t="s">
        <v>131</v>
      </c>
      <c r="Q677" s="83">
        <f>Enginuity!$B$13*
 IF(Enginuity!$B$7&lt;5,2,
 IF(Enginuity!$B$7&lt;6,3,
 IF(Enginuity!$B$7&lt;=7,4,5)))</f>
        <v>35</v>
      </c>
      <c r="U677" s="104" t="str">
        <f>IF(
  AND(
    TRIM(A677)=TRIM(Enginuity!$A$1),
    TRIM(B677)=TRIM(Enginuity!$A$17),
    Q677&lt;&gt;"",
    Q677&lt;&gt;0,
    OR(
      TRIM(C677)=TRIM(Enginuity!$A$18),
      AND(UPPER(TRIM(M677))="STD", TRIM(B677)=TRIM(Enginuity!$A$17))
    ),
    OR(
      AND(LEFT(P677,5)="1-Way", Enginuity!$B$13=1),
      AND(LEFT(P677,5)="2-Way", OR(Enginuity!$B$13=2, Enginuity!$B$13=4)),
      AND(LEFT(P677,5)="3-Way", OR(Enginuity!$B$13=3, Enginuity!$B$13=6)),
      AND(P677="Inner Centre Jamb", OR(Enginuity!$B$13=4, Enginuity!$B$13=6)),
      AND(
        LEFT(P677,5)&lt;&gt;"1-Way",
        LEFT(P677,5)&lt;&gt;"2-Way",
        LEFT(P677,5)&lt;&gt;"3-Way",
        P677&lt;&gt;"Inner Centre Jamb"
      )
    ),
    IF(OR(Enginuity!$A$1="Frameless Glass",Enginuity!$A$1="Metal Work"),
      AND(TRIM(B677)=TRIM(Enginuity!$A$17),TRIM(C677)=TRIM(Enginuity!$A$18)),
      TRIM(B677)=TRIM(Enginuity!$A$17)
    )
  ),
  ROW(),
  ""
)</f>
        <v/>
      </c>
    </row>
    <row r="678" spans="1:21" x14ac:dyDescent="0.25">
      <c r="A678" s="10" t="s">
        <v>255</v>
      </c>
      <c r="B678" s="229" t="s">
        <v>85</v>
      </c>
      <c r="C678" s="10"/>
      <c r="D678" s="14"/>
      <c r="E678" s="157"/>
      <c r="F678" s="10"/>
      <c r="G678" s="17"/>
      <c r="H678" s="10"/>
      <c r="I678" s="17"/>
      <c r="J678" s="83"/>
      <c r="K678" s="343"/>
      <c r="L678" s="347"/>
      <c r="M678" s="10" t="s">
        <v>117</v>
      </c>
      <c r="N678" s="10" t="s">
        <v>112</v>
      </c>
      <c r="O678" s="22">
        <v>4</v>
      </c>
      <c r="P678" s="14" t="s">
        <v>135</v>
      </c>
      <c r="Q678" s="83">
        <f>Enginuity!$B$13*
 IF(Enginuity!$B$7&lt;5,2,
 IF(Enginuity!$B$7&lt;6,3,
 IF(Enginuity!$B$7&lt;=7,4,5)))</f>
        <v>35</v>
      </c>
      <c r="U678" s="104" t="str">
        <f>IF(
  AND(
    TRIM(A678)=TRIM(Enginuity!$A$1),
    TRIM(B678)=TRIM(Enginuity!$A$17),
    Q678&lt;&gt;"",
    Q678&lt;&gt;0,
    OR(
      TRIM(C678)=TRIM(Enginuity!$A$18),
      AND(UPPER(TRIM(M678))="STD", TRIM(B678)=TRIM(Enginuity!$A$17))
    ),
    OR(
      AND(LEFT(P678,5)="1-Way", Enginuity!$B$13=1),
      AND(LEFT(P678,5)="2-Way", OR(Enginuity!$B$13=2, Enginuity!$B$13=4)),
      AND(LEFT(P678,5)="3-Way", OR(Enginuity!$B$13=3, Enginuity!$B$13=6)),
      AND(P678="Inner Centre Jamb", OR(Enginuity!$B$13=4, Enginuity!$B$13=6)),
      AND(
        LEFT(P678,5)&lt;&gt;"1-Way",
        LEFT(P678,5)&lt;&gt;"2-Way",
        LEFT(P678,5)&lt;&gt;"3-Way",
        P678&lt;&gt;"Inner Centre Jamb"
      )
    ),
    IF(OR(Enginuity!$A$1="Frameless Glass",Enginuity!$A$1="Metal Work"),
      AND(TRIM(B678)=TRIM(Enginuity!$A$17),TRIM(C678)=TRIM(Enginuity!$A$18)),
      TRIM(B678)=TRIM(Enginuity!$A$17)
    )
  ),
  ROW(),
  ""
)</f>
        <v/>
      </c>
    </row>
    <row r="679" spans="1:21" x14ac:dyDescent="0.25">
      <c r="A679" s="10" t="s">
        <v>255</v>
      </c>
      <c r="B679" s="229" t="s">
        <v>85</v>
      </c>
      <c r="C679" s="10"/>
      <c r="D679" s="14"/>
      <c r="E679" s="157"/>
      <c r="F679" s="10"/>
      <c r="G679" s="17"/>
      <c r="H679" s="10"/>
      <c r="I679" s="17"/>
      <c r="J679" s="83"/>
      <c r="K679" s="343"/>
      <c r="L679" s="347"/>
      <c r="M679" s="10" t="s">
        <v>117</v>
      </c>
      <c r="N679" s="10" t="s">
        <v>112</v>
      </c>
      <c r="O679" s="22">
        <v>1.8</v>
      </c>
      <c r="P679" s="14" t="s">
        <v>136</v>
      </c>
      <c r="Q679" s="83">
        <f>Enginuity!$B$13*2</f>
        <v>14</v>
      </c>
      <c r="U679" s="104" t="str">
        <f>IF(
  AND(
    TRIM(A679)=TRIM(Enginuity!$A$1),
    TRIM(B679)=TRIM(Enginuity!$A$17),
    Q679&lt;&gt;"",
    Q679&lt;&gt;0,
    OR(
      TRIM(C679)=TRIM(Enginuity!$A$18),
      AND(UPPER(TRIM(M679))="STD", TRIM(B679)=TRIM(Enginuity!$A$17))
    ),
    OR(
      AND(LEFT(P679,5)="1-Way", Enginuity!$B$13=1),
      AND(LEFT(P679,5)="2-Way", OR(Enginuity!$B$13=2, Enginuity!$B$13=4)),
      AND(LEFT(P679,5)="3-Way", OR(Enginuity!$B$13=3, Enginuity!$B$13=6)),
      AND(P679="Inner Centre Jamb", OR(Enginuity!$B$13=4, Enginuity!$B$13=6)),
      AND(
        LEFT(P679,5)&lt;&gt;"1-Way",
        LEFT(P679,5)&lt;&gt;"2-Way",
        LEFT(P679,5)&lt;&gt;"3-Way",
        P679&lt;&gt;"Inner Centre Jamb"
      )
    ),
    IF(OR(Enginuity!$A$1="Frameless Glass",Enginuity!$A$1="Metal Work"),
      AND(TRIM(B679)=TRIM(Enginuity!$A$17),TRIM(C679)=TRIM(Enginuity!$A$18)),
      TRIM(B679)=TRIM(Enginuity!$A$17)
    )
  ),
  ROW(),
  ""
)</f>
        <v/>
      </c>
    </row>
    <row r="680" spans="1:21" x14ac:dyDescent="0.25">
      <c r="A680" s="10" t="s">
        <v>255</v>
      </c>
      <c r="B680" s="229" t="s">
        <v>85</v>
      </c>
      <c r="C680" s="10"/>
      <c r="D680" s="14"/>
      <c r="E680" s="157"/>
      <c r="F680" s="10"/>
      <c r="G680" s="17"/>
      <c r="H680" s="10"/>
      <c r="I680" s="17"/>
      <c r="J680" s="83"/>
      <c r="K680" s="343"/>
      <c r="L680" s="347"/>
      <c r="M680" s="10" t="s">
        <v>117</v>
      </c>
      <c r="N680" s="10" t="s">
        <v>112</v>
      </c>
      <c r="O680" s="22">
        <v>1.8</v>
      </c>
      <c r="P680" s="14" t="s">
        <v>137</v>
      </c>
      <c r="Q680" s="83">
        <f>Enginuity!$B$13*2</f>
        <v>14</v>
      </c>
      <c r="U680" s="104" t="str">
        <f>IF(
  AND(
    TRIM(A680)=TRIM(Enginuity!$A$1),
    TRIM(B680)=TRIM(Enginuity!$A$17),
    Q680&lt;&gt;"",
    Q680&lt;&gt;0,
    OR(
      TRIM(C680)=TRIM(Enginuity!$A$18),
      AND(UPPER(TRIM(M680))="STD", TRIM(B680)=TRIM(Enginuity!$A$17))
    ),
    OR(
      AND(LEFT(P680,5)="1-Way", Enginuity!$B$13=1),
      AND(LEFT(P680,5)="2-Way", OR(Enginuity!$B$13=2, Enginuity!$B$13=4)),
      AND(LEFT(P680,5)="3-Way", OR(Enginuity!$B$13=3, Enginuity!$B$13=6)),
      AND(P680="Inner Centre Jamb", OR(Enginuity!$B$13=4, Enginuity!$B$13=6)),
      AND(
        LEFT(P680,5)&lt;&gt;"1-Way",
        LEFT(P680,5)&lt;&gt;"2-Way",
        LEFT(P680,5)&lt;&gt;"3-Way",
        P680&lt;&gt;"Inner Centre Jamb"
      )
    ),
    IF(OR(Enginuity!$A$1="Frameless Glass",Enginuity!$A$1="Metal Work"),
      AND(TRIM(B680)=TRIM(Enginuity!$A$17),TRIM(C680)=TRIM(Enginuity!$A$18)),
      TRIM(B680)=TRIM(Enginuity!$A$17)
    )
  ),
  ROW(),
  ""
)</f>
        <v/>
      </c>
    </row>
    <row r="681" spans="1:21" x14ac:dyDescent="0.25">
      <c r="A681" s="10" t="s">
        <v>255</v>
      </c>
      <c r="B681" s="229" t="s">
        <v>85</v>
      </c>
      <c r="C681" s="10"/>
      <c r="D681" s="14"/>
      <c r="E681" s="157"/>
      <c r="F681" s="10"/>
      <c r="G681" s="17"/>
      <c r="H681" s="10"/>
      <c r="I681" s="17"/>
      <c r="J681" s="83"/>
      <c r="K681" s="343"/>
      <c r="L681" s="347"/>
      <c r="M681" s="10" t="s">
        <v>117</v>
      </c>
      <c r="N681" s="10" t="s">
        <v>112</v>
      </c>
      <c r="O681" s="22">
        <v>1.3</v>
      </c>
      <c r="P681" s="21" t="s">
        <v>138</v>
      </c>
      <c r="Q681" s="83">
        <f>Enginuity!$B$13*1</f>
        <v>7</v>
      </c>
      <c r="U681" s="104" t="str">
        <f>IF(
  AND(
    TRIM(A681)=TRIM(Enginuity!$A$1),
    TRIM(B681)=TRIM(Enginuity!$A$17),
    Q681&lt;&gt;"",
    Q681&lt;&gt;0,
    OR(
      TRIM(C681)=TRIM(Enginuity!$A$18),
      AND(UPPER(TRIM(M681))="STD", TRIM(B681)=TRIM(Enginuity!$A$17))
    ),
    OR(
      AND(LEFT(P681,5)="1-Way", Enginuity!$B$13=1),
      AND(LEFT(P681,5)="2-Way", OR(Enginuity!$B$13=2, Enginuity!$B$13=4)),
      AND(LEFT(P681,5)="3-Way", OR(Enginuity!$B$13=3, Enginuity!$B$13=6)),
      AND(P681="Inner Centre Jamb", OR(Enginuity!$B$13=4, Enginuity!$B$13=6)),
      AND(
        LEFT(P681,5)&lt;&gt;"1-Way",
        LEFT(P681,5)&lt;&gt;"2-Way",
        LEFT(P681,5)&lt;&gt;"3-Way",
        P681&lt;&gt;"Inner Centre Jamb"
      )
    ),
    IF(OR(Enginuity!$A$1="Frameless Glass",Enginuity!$A$1="Metal Work"),
      AND(TRIM(B681)=TRIM(Enginuity!$A$17),TRIM(C681)=TRIM(Enginuity!$A$18)),
      TRIM(B681)=TRIM(Enginuity!$A$17)
    )
  ),
  ROW(),
  ""
)</f>
        <v/>
      </c>
    </row>
    <row r="682" spans="1:21" x14ac:dyDescent="0.25">
      <c r="A682" s="10" t="s">
        <v>255</v>
      </c>
      <c r="B682" s="229" t="s">
        <v>85</v>
      </c>
      <c r="C682" s="10"/>
      <c r="D682" s="14"/>
      <c r="E682" s="157"/>
      <c r="F682" s="10"/>
      <c r="G682" s="17"/>
      <c r="H682" s="10"/>
      <c r="I682" s="17"/>
      <c r="J682" s="83"/>
      <c r="K682" s="343"/>
      <c r="L682" s="347"/>
      <c r="M682" s="10"/>
      <c r="N682" s="10"/>
      <c r="O682" s="22"/>
      <c r="P682" s="14"/>
      <c r="Q682" s="83"/>
      <c r="U682" s="104" t="str">
        <f>IF(
  AND(
    TRIM(A682)=TRIM(Enginuity!$A$1),
    TRIM(B682)=TRIM(Enginuity!$A$17),
    Q682&lt;&gt;"",
    Q682&lt;&gt;0,
    OR(
      TRIM(C682)=TRIM(Enginuity!$A$18),
      AND(UPPER(TRIM(M682))="STD", TRIM(B682)=TRIM(Enginuity!$A$17))
    ),
    OR(
      AND(LEFT(P682,5)="1-Way", Enginuity!$B$13=1),
      AND(LEFT(P682,5)="2-Way", OR(Enginuity!$B$13=2, Enginuity!$B$13=4)),
      AND(LEFT(P682,5)="3-Way", OR(Enginuity!$B$13=3, Enginuity!$B$13=6)),
      AND(P682="Inner Centre Jamb", OR(Enginuity!$B$13=4, Enginuity!$B$13=6)),
      AND(
        LEFT(P682,5)&lt;&gt;"1-Way",
        LEFT(P682,5)&lt;&gt;"2-Way",
        LEFT(P682,5)&lt;&gt;"3-Way",
        P682&lt;&gt;"Inner Centre Jamb"
      )
    ),
    IF(OR(Enginuity!$A$1="Frameless Glass",Enginuity!$A$1="Metal Work"),
      AND(TRIM(B682)=TRIM(Enginuity!$A$17),TRIM(C682)=TRIM(Enginuity!$A$18)),
      TRIM(B682)=TRIM(Enginuity!$A$17)
    )
  ),
  ROW(),
  ""
)</f>
        <v/>
      </c>
    </row>
    <row r="683" spans="1:21" x14ac:dyDescent="0.25">
      <c r="A683" s="10" t="s">
        <v>255</v>
      </c>
      <c r="B683" s="229" t="s">
        <v>85</v>
      </c>
      <c r="C683" s="10"/>
      <c r="D683" s="14"/>
      <c r="E683" s="157"/>
      <c r="F683" s="10"/>
      <c r="G683" s="17"/>
      <c r="H683" s="10"/>
      <c r="I683" s="17"/>
      <c r="J683" s="83"/>
      <c r="K683" s="343"/>
      <c r="L683" s="347"/>
      <c r="M683" s="10"/>
      <c r="N683" s="10"/>
      <c r="O683" s="22"/>
      <c r="P683" s="21"/>
      <c r="Q683" s="83"/>
      <c r="U683" s="104" t="str">
        <f>IF(
  AND(
    TRIM(A683)=TRIM(Enginuity!$A$1),
    TRIM(B683)=TRIM(Enginuity!$A$17),
    Q683&lt;&gt;"",
    Q683&lt;&gt;0,
    OR(
      TRIM(C683)=TRIM(Enginuity!$A$18),
      AND(UPPER(TRIM(M683))="STD", TRIM(B683)=TRIM(Enginuity!$A$17))
    ),
    OR(
      AND(LEFT(P683,5)="1-Way", Enginuity!$B$13=1),
      AND(LEFT(P683,5)="2-Way", OR(Enginuity!$B$13=2, Enginuity!$B$13=4)),
      AND(LEFT(P683,5)="3-Way", OR(Enginuity!$B$13=3, Enginuity!$B$13=6)),
      AND(P683="Inner Centre Jamb", OR(Enginuity!$B$13=4, Enginuity!$B$13=6)),
      AND(
        LEFT(P683,5)&lt;&gt;"1-Way",
        LEFT(P683,5)&lt;&gt;"2-Way",
        LEFT(P683,5)&lt;&gt;"3-Way",
        P683&lt;&gt;"Inner Centre Jamb"
      )
    ),
    IF(OR(Enginuity!$A$1="Frameless Glass",Enginuity!$A$1="Metal Work"),
      AND(TRIM(B683)=TRIM(Enginuity!$A$17),TRIM(C683)=TRIM(Enginuity!$A$18)),
      TRIM(B683)=TRIM(Enginuity!$A$17)
    )
  ),
  ROW(),
  ""
)</f>
        <v/>
      </c>
    </row>
    <row r="684" spans="1:21" x14ac:dyDescent="0.25">
      <c r="A684" s="10"/>
      <c r="B684" s="229"/>
      <c r="C684" s="10"/>
      <c r="D684" s="14"/>
      <c r="E684" s="157"/>
      <c r="F684" s="10"/>
      <c r="G684" s="17"/>
      <c r="H684" s="10"/>
      <c r="I684" s="17"/>
      <c r="J684" s="83"/>
      <c r="K684" s="343"/>
      <c r="L684" s="347"/>
      <c r="M684" s="89">
        <v>46</v>
      </c>
      <c r="N684" s="10"/>
      <c r="O684" s="22"/>
      <c r="P684" s="14"/>
      <c r="Q684" s="83"/>
      <c r="U684" s="104" t="str">
        <f>IF(
  AND(
    TRIM(A684)=TRIM(Enginuity!$A$1),
    TRIM(B684)=TRIM(Enginuity!$A$17),
    Q684&lt;&gt;"",
    Q684&lt;&gt;0,
    OR(
      TRIM(C684)=TRIM(Enginuity!$A$18),
      AND(UPPER(TRIM(M684))="STD", TRIM(B684)=TRIM(Enginuity!$A$17))
    ),
    OR(
      AND(LEFT(P684,5)="1-Way", Enginuity!$B$13=1),
      AND(LEFT(P684,5)="2-Way", OR(Enginuity!$B$13=2, Enginuity!$B$13=4)),
      AND(LEFT(P684,5)="3-Way", OR(Enginuity!$B$13=3, Enginuity!$B$13=6)),
      AND(P684="Inner Centre Jamb", OR(Enginuity!$B$13=4, Enginuity!$B$13=6)),
      AND(
        LEFT(P684,5)&lt;&gt;"1-Way",
        LEFT(P684,5)&lt;&gt;"2-Way",
        LEFT(P684,5)&lt;&gt;"3-Way",
        P684&lt;&gt;"Inner Centre Jamb"
      )
    ),
    IF(OR(Enginuity!$A$1="Frameless Glass",Enginuity!$A$1="Metal Work"),
      AND(TRIM(B684)=TRIM(Enginuity!$A$17),TRIM(C684)=TRIM(Enginuity!$A$18)),
      TRIM(B684)=TRIM(Enginuity!$A$17)
    )
  ),
  ROW(),
  ""
)</f>
        <v/>
      </c>
    </row>
    <row r="685" spans="1:21" x14ac:dyDescent="0.25">
      <c r="A685" s="10"/>
      <c r="B685" s="229"/>
      <c r="C685" s="10"/>
      <c r="D685" s="14"/>
      <c r="E685" s="157"/>
      <c r="F685" s="10"/>
      <c r="G685" s="17"/>
      <c r="H685" s="10"/>
      <c r="I685" s="17"/>
      <c r="J685" s="83"/>
      <c r="K685" s="343"/>
      <c r="L685" s="347"/>
      <c r="M685" s="89">
        <v>47</v>
      </c>
      <c r="N685" s="10"/>
      <c r="O685" s="22"/>
      <c r="P685" s="14"/>
      <c r="Q685" s="83"/>
      <c r="U685" s="104" t="str">
        <f>IF(
  AND(
    TRIM(A685)=TRIM(Enginuity!$A$1),
    TRIM(B685)=TRIM(Enginuity!$A$17),
    Q685&lt;&gt;"",
    Q685&lt;&gt;0,
    OR(
      TRIM(C685)=TRIM(Enginuity!$A$18),
      AND(UPPER(TRIM(M685))="STD", TRIM(B685)=TRIM(Enginuity!$A$17))
    ),
    OR(
      AND(LEFT(P685,5)="1-Way", Enginuity!$B$13=1),
      AND(LEFT(P685,5)="2-Way", OR(Enginuity!$B$13=2, Enginuity!$B$13=4)),
      AND(LEFT(P685,5)="3-Way", OR(Enginuity!$B$13=3, Enginuity!$B$13=6)),
      AND(P685="Inner Centre Jamb", OR(Enginuity!$B$13=4, Enginuity!$B$13=6)),
      AND(
        LEFT(P685,5)&lt;&gt;"1-Way",
        LEFT(P685,5)&lt;&gt;"2-Way",
        LEFT(P685,5)&lt;&gt;"3-Way",
        P685&lt;&gt;"Inner Centre Jamb"
      )
    ),
    IF(OR(Enginuity!$A$1="Frameless Glass",Enginuity!$A$1="Metal Work"),
      AND(TRIM(B685)=TRIM(Enginuity!$A$17),TRIM(C685)=TRIM(Enginuity!$A$18)),
      TRIM(B685)=TRIM(Enginuity!$A$17)
    )
  ),
  ROW(),
  ""
)</f>
        <v/>
      </c>
    </row>
    <row r="686" spans="1:21" x14ac:dyDescent="0.25">
      <c r="A686" s="10"/>
      <c r="B686" s="229"/>
      <c r="C686" s="10"/>
      <c r="D686" s="14"/>
      <c r="E686" s="157"/>
      <c r="F686" s="10"/>
      <c r="G686" s="17"/>
      <c r="H686" s="10"/>
      <c r="I686" s="17"/>
      <c r="J686" s="83"/>
      <c r="K686" s="343"/>
      <c r="L686" s="347"/>
      <c r="M686" s="89">
        <v>48</v>
      </c>
      <c r="N686" s="10"/>
      <c r="O686" s="22"/>
      <c r="P686" s="14"/>
      <c r="Q686" s="83"/>
      <c r="U686" s="104" t="str">
        <f>IF(
  AND(
    TRIM(A686)=TRIM(Enginuity!$A$1),
    TRIM(B686)=TRIM(Enginuity!$A$17),
    Q686&lt;&gt;"",
    Q686&lt;&gt;0,
    OR(
      TRIM(C686)=TRIM(Enginuity!$A$18),
      AND(UPPER(TRIM(M686))="STD", TRIM(B686)=TRIM(Enginuity!$A$17))
    ),
    OR(
      AND(LEFT(P686,5)="1-Way", Enginuity!$B$13=1),
      AND(LEFT(P686,5)="2-Way", OR(Enginuity!$B$13=2, Enginuity!$B$13=4)),
      AND(LEFT(P686,5)="3-Way", OR(Enginuity!$B$13=3, Enginuity!$B$13=6)),
      AND(P686="Inner Centre Jamb", OR(Enginuity!$B$13=4, Enginuity!$B$13=6)),
      AND(
        LEFT(P686,5)&lt;&gt;"1-Way",
        LEFT(P686,5)&lt;&gt;"2-Way",
        LEFT(P686,5)&lt;&gt;"3-Way",
        P686&lt;&gt;"Inner Centre Jamb"
      )
    ),
    IF(OR(Enginuity!$A$1="Frameless Glass",Enginuity!$A$1="Metal Work"),
      AND(TRIM(B686)=TRIM(Enginuity!$A$17),TRIM(C686)=TRIM(Enginuity!$A$18)),
      TRIM(B686)=TRIM(Enginuity!$A$17)
    )
  ),
  ROW(),
  ""
)</f>
        <v/>
      </c>
    </row>
    <row r="687" spans="1:21" x14ac:dyDescent="0.25">
      <c r="A687" s="17"/>
      <c r="B687" s="230"/>
      <c r="C687" s="17"/>
      <c r="D687" s="18"/>
      <c r="E687" s="238"/>
      <c r="F687" s="17"/>
      <c r="G687" s="17"/>
      <c r="H687" s="10"/>
      <c r="I687" s="17"/>
      <c r="J687" s="83"/>
      <c r="K687" s="343"/>
      <c r="L687" s="347"/>
      <c r="M687" s="90">
        <v>49</v>
      </c>
      <c r="N687" s="17"/>
      <c r="O687" s="25"/>
      <c r="P687" s="92"/>
      <c r="Q687" s="84"/>
      <c r="U687" s="104" t="str">
        <f>IF(
  AND(
    TRIM(A687)=TRIM(Enginuity!$A$1),
    TRIM(B687)=TRIM(Enginuity!$A$17),
    Q687&lt;&gt;"",
    Q687&lt;&gt;0,
    OR(
      TRIM(C687)=TRIM(Enginuity!$A$18),
      AND(UPPER(TRIM(M687))="STD", TRIM(B687)=TRIM(Enginuity!$A$17))
    ),
    OR(
      AND(LEFT(P687,5)="1-Way", Enginuity!$B$13=1),
      AND(LEFT(P687,5)="2-Way", OR(Enginuity!$B$13=2, Enginuity!$B$13=4)),
      AND(LEFT(P687,5)="3-Way", OR(Enginuity!$B$13=3, Enginuity!$B$13=6)),
      AND(P687="Inner Centre Jamb", OR(Enginuity!$B$13=4, Enginuity!$B$13=6)),
      AND(
        LEFT(P687,5)&lt;&gt;"1-Way",
        LEFT(P687,5)&lt;&gt;"2-Way",
        LEFT(P687,5)&lt;&gt;"3-Way",
        P687&lt;&gt;"Inner Centre Jamb"
      )
    ),
    IF(OR(Enginuity!$A$1="Frameless Glass",Enginuity!$A$1="Metal Work"),
      AND(TRIM(B687)=TRIM(Enginuity!$A$17),TRIM(C687)=TRIM(Enginuity!$A$18)),
      TRIM(B687)=TRIM(Enginuity!$A$17)
    )
  ),
  ROW(),
  ""
)</f>
        <v/>
      </c>
    </row>
    <row r="688" spans="1:21" x14ac:dyDescent="0.25">
      <c r="A688" s="10" t="s">
        <v>255</v>
      </c>
      <c r="B688" s="229" t="s">
        <v>89</v>
      </c>
      <c r="C688" s="10" t="s">
        <v>97</v>
      </c>
      <c r="D688" s="14" t="str" cm="1">
        <f t="array" ref="D688:D694">IFERROR(INDEX(_xlfn._xlws.FILTER(AllMaterialsbak!$BA$2:$BA$30, AllMaterialsbak!$BA$2:$BA$30&lt;&gt;""), _xlfn.SEQUENCE(7)), "")</f>
        <v>Default</v>
      </c>
      <c r="E688" s="157" t="s">
        <v>257</v>
      </c>
      <c r="F688" s="10" t="s">
        <v>1782</v>
      </c>
      <c r="G688" s="17" t="s">
        <v>9</v>
      </c>
      <c r="H688" s="10"/>
      <c r="I688" s="17"/>
      <c r="J688" s="83"/>
      <c r="K688" s="344">
        <v>0.47260799999999997</v>
      </c>
      <c r="L688" s="347">
        <v>762</v>
      </c>
      <c r="M688" s="89">
        <v>1</v>
      </c>
      <c r="N688" s="10" t="s">
        <v>103</v>
      </c>
      <c r="O688" s="22">
        <v>13.04</v>
      </c>
      <c r="P688" s="86" t="s">
        <v>310</v>
      </c>
      <c r="Q688" s="98">
        <f>Enginuity!$B$6</f>
        <v>20</v>
      </c>
      <c r="U688" s="104" t="str">
        <f>IF(
  AND(
    TRIM(A688)=TRIM(Enginuity!$A$1),
    TRIM(B688)=TRIM(Enginuity!$A$17),
    Q688&lt;&gt;"",
    Q688&lt;&gt;0,
    OR(
      TRIM(C688)=TRIM(Enginuity!$A$18),
      AND(UPPER(TRIM(M688))="STD", TRIM(B688)=TRIM(Enginuity!$A$17))
    ),
    OR(
      AND(LEFT(P688,5)="1-Way", Enginuity!$B$13=1),
      AND(LEFT(P688,5)="2-Way", OR(Enginuity!$B$13=2, Enginuity!$B$13=4)),
      AND(LEFT(P688,5)="3-Way", OR(Enginuity!$B$13=3, Enginuity!$B$13=6)),
      AND(P688="Inner Centre Jamb", OR(Enginuity!$B$13=4, Enginuity!$B$13=6)),
      AND(
        LEFT(P688,5)&lt;&gt;"1-Way",
        LEFT(P688,5)&lt;&gt;"2-Way",
        LEFT(P688,5)&lt;&gt;"3-Way",
        P688&lt;&gt;"Inner Centre Jamb"
      )
    ),
    IF(OR(Enginuity!$A$1="Frameless Glass",Enginuity!$A$1="Metal Work"),
      AND(TRIM(B688)=TRIM(Enginuity!$A$17),TRIM(C688)=TRIM(Enginuity!$A$18)),
      TRIM(B688)=TRIM(Enginuity!$A$17)
    )
  ),
  ROW(),
  ""
)</f>
        <v/>
      </c>
    </row>
    <row r="689" spans="1:21" x14ac:dyDescent="0.25">
      <c r="A689" s="10" t="s">
        <v>255</v>
      </c>
      <c r="B689" s="229" t="s">
        <v>89</v>
      </c>
      <c r="C689" s="10" t="s">
        <v>97</v>
      </c>
      <c r="D689" s="14" t="str">
        <v xml:space="preserve">2" Louver Blade N/A </v>
      </c>
      <c r="E689" s="157" t="s">
        <v>269</v>
      </c>
      <c r="F689" s="11"/>
      <c r="G689" s="17"/>
      <c r="H689" s="10"/>
      <c r="I689" s="17"/>
      <c r="J689" s="83"/>
      <c r="K689" s="343"/>
      <c r="L689" s="347"/>
      <c r="M689" s="89">
        <v>2</v>
      </c>
      <c r="N689" s="10" t="s">
        <v>103</v>
      </c>
      <c r="O689" s="22">
        <v>6.84</v>
      </c>
      <c r="P689" s="86" t="s">
        <v>311</v>
      </c>
      <c r="Q689" s="98">
        <f>Enginuity!$B$6</f>
        <v>20</v>
      </c>
      <c r="U689" s="104" t="str">
        <f>IF(
  AND(
    TRIM(A689)=TRIM(Enginuity!$A$1),
    TRIM(B689)=TRIM(Enginuity!$A$17),
    Q689&lt;&gt;"",
    Q689&lt;&gt;0,
    OR(
      TRIM(C689)=TRIM(Enginuity!$A$18),
      AND(UPPER(TRIM(M689))="STD", TRIM(B689)=TRIM(Enginuity!$A$17))
    ),
    OR(
      AND(LEFT(P689,5)="1-Way", Enginuity!$B$13=1),
      AND(LEFT(P689,5)="2-Way", OR(Enginuity!$B$13=2, Enginuity!$B$13=4)),
      AND(LEFT(P689,5)="3-Way", OR(Enginuity!$B$13=3, Enginuity!$B$13=6)),
      AND(P689="Inner Centre Jamb", OR(Enginuity!$B$13=4, Enginuity!$B$13=6)),
      AND(
        LEFT(P689,5)&lt;&gt;"1-Way",
        LEFT(P689,5)&lt;&gt;"2-Way",
        LEFT(P689,5)&lt;&gt;"3-Way",
        P689&lt;&gt;"Inner Centre Jamb"
      )
    ),
    IF(OR(Enginuity!$A$1="Frameless Glass",Enginuity!$A$1="Metal Work"),
      AND(TRIM(B689)=TRIM(Enginuity!$A$17),TRIM(C689)=TRIM(Enginuity!$A$18)),
      TRIM(B689)=TRIM(Enginuity!$A$17)
    )
  ),
  ROW(),
  ""
)</f>
        <v/>
      </c>
    </row>
    <row r="690" spans="1:21" x14ac:dyDescent="0.25">
      <c r="A690" s="10" t="s">
        <v>255</v>
      </c>
      <c r="B690" s="229" t="s">
        <v>89</v>
      </c>
      <c r="C690" s="10" t="s">
        <v>97</v>
      </c>
      <c r="D690" s="14" t="str">
        <v>2" Louver Blade P/C</v>
      </c>
      <c r="E690" s="157"/>
      <c r="F690" s="10"/>
      <c r="G690" s="17"/>
      <c r="H690" s="10"/>
      <c r="I690" s="17"/>
      <c r="J690" s="83"/>
      <c r="K690" s="343"/>
      <c r="L690" s="347"/>
      <c r="M690" s="89">
        <v>3</v>
      </c>
      <c r="N690" s="10" t="s">
        <v>103</v>
      </c>
      <c r="O690" s="22">
        <v>6.93</v>
      </c>
      <c r="P690" s="14" t="s">
        <v>260</v>
      </c>
      <c r="Q690" s="83">
        <f>IF(Enginuity!$B$7&gt;0, 2 * Enginuity!$B$7, "")</f>
        <v>26</v>
      </c>
      <c r="U690" s="104" t="str">
        <f>IF(
  AND(
    TRIM(A690)=TRIM(Enginuity!$A$1),
    TRIM(B690)=TRIM(Enginuity!$A$17),
    Q690&lt;&gt;"",
    Q690&lt;&gt;0,
    OR(
      TRIM(C690)=TRIM(Enginuity!$A$18),
      AND(UPPER(TRIM(M690))="STD", TRIM(B690)=TRIM(Enginuity!$A$17))
    ),
    OR(
      AND(LEFT(P690,5)="1-Way", Enginuity!$B$13=1),
      AND(LEFT(P690,5)="2-Way", OR(Enginuity!$B$13=2, Enginuity!$B$13=4)),
      AND(LEFT(P690,5)="3-Way", OR(Enginuity!$B$13=3, Enginuity!$B$13=6)),
      AND(P690="Inner Centre Jamb", OR(Enginuity!$B$13=4, Enginuity!$B$13=6)),
      AND(
        LEFT(P690,5)&lt;&gt;"1-Way",
        LEFT(P690,5)&lt;&gt;"2-Way",
        LEFT(P690,5)&lt;&gt;"3-Way",
        P690&lt;&gt;"Inner Centre Jamb"
      )
    ),
    IF(OR(Enginuity!$A$1="Frameless Glass",Enginuity!$A$1="Metal Work"),
      AND(TRIM(B690)=TRIM(Enginuity!$A$17),TRIM(C690)=TRIM(Enginuity!$A$18)),
      TRIM(B690)=TRIM(Enginuity!$A$17)
    )
  ),
  ROW(),
  ""
)</f>
        <v/>
      </c>
    </row>
    <row r="691" spans="1:21" x14ac:dyDescent="0.25">
      <c r="A691" s="10" t="s">
        <v>255</v>
      </c>
      <c r="B691" s="229" t="s">
        <v>89</v>
      </c>
      <c r="C691" s="10" t="s">
        <v>97</v>
      </c>
      <c r="D691" s="14" t="str">
        <v xml:space="preserve">5" Louver Blade N/A </v>
      </c>
      <c r="E691" s="157"/>
      <c r="F691" s="10"/>
      <c r="G691" s="17"/>
      <c r="H691" s="10"/>
      <c r="I691" s="17"/>
      <c r="J691" s="83"/>
      <c r="K691" s="343"/>
      <c r="L691" s="347"/>
      <c r="M691" s="89">
        <v>4</v>
      </c>
      <c r="N691" s="10" t="s">
        <v>103</v>
      </c>
      <c r="O691" s="22">
        <v>9.9</v>
      </c>
      <c r="P691" s="86" t="str">
        <f>$P$3</f>
        <v>Inner Frame</v>
      </c>
      <c r="Q691" s="83">
        <f>$Q$3</f>
        <v>222</v>
      </c>
      <c r="U691" s="104" t="str">
        <f>IF(
  AND(
    TRIM(A691)=TRIM(Enginuity!$A$1),
    TRIM(B691)=TRIM(Enginuity!$A$17),
    Q691&lt;&gt;"",
    Q691&lt;&gt;0,
    OR(
      TRIM(C691)=TRIM(Enginuity!$A$18),
      AND(UPPER(TRIM(M691))="STD", TRIM(B691)=TRIM(Enginuity!$A$17))
    ),
    OR(
      AND(LEFT(P691,5)="1-Way", Enginuity!$B$13=1),
      AND(LEFT(P691,5)="2-Way", OR(Enginuity!$B$13=2, Enginuity!$B$13=4)),
      AND(LEFT(P691,5)="3-Way", OR(Enginuity!$B$13=3, Enginuity!$B$13=6)),
      AND(P691="Inner Centre Jamb", OR(Enginuity!$B$13=4, Enginuity!$B$13=6)),
      AND(
        LEFT(P691,5)&lt;&gt;"1-Way",
        LEFT(P691,5)&lt;&gt;"2-Way",
        LEFT(P691,5)&lt;&gt;"3-Way",
        P691&lt;&gt;"Inner Centre Jamb"
      )
    ),
    IF(OR(Enginuity!$A$1="Frameless Glass",Enginuity!$A$1="Metal Work"),
      AND(TRIM(B691)=TRIM(Enginuity!$A$17),TRIM(C691)=TRIM(Enginuity!$A$18)),
      TRIM(B691)=TRIM(Enginuity!$A$17)
    )
  ),
  ROW(),
  ""
)</f>
        <v/>
      </c>
    </row>
    <row r="692" spans="1:21" x14ac:dyDescent="0.25">
      <c r="A692" s="10" t="s">
        <v>255</v>
      </c>
      <c r="B692" s="229" t="s">
        <v>89</v>
      </c>
      <c r="C692" s="10" t="s">
        <v>97</v>
      </c>
      <c r="D692" s="14" t="str">
        <v>5" Louver Blade P/C</v>
      </c>
      <c r="E692" s="157"/>
      <c r="F692" s="10"/>
      <c r="G692" s="17"/>
      <c r="H692" s="10"/>
      <c r="I692" s="17"/>
      <c r="J692" s="83"/>
      <c r="K692" s="343"/>
      <c r="L692" s="347"/>
      <c r="M692" s="89">
        <v>5</v>
      </c>
      <c r="N692" s="10" t="s">
        <v>103</v>
      </c>
      <c r="O692" s="22">
        <v>2.86</v>
      </c>
      <c r="P692" s="14" t="s">
        <v>312</v>
      </c>
      <c r="Q692" s="83">
        <f>IF(Enginuity!$B$7&gt;0, 2 * Enginuity!$B$7, "")</f>
        <v>26</v>
      </c>
      <c r="U692" s="104" t="str">
        <f>IF(
  AND(
    TRIM(A692)=TRIM(Enginuity!$A$1),
    TRIM(B692)=TRIM(Enginuity!$A$17),
    Q692&lt;&gt;"",
    Q692&lt;&gt;0,
    OR(
      TRIM(C692)=TRIM(Enginuity!$A$18),
      AND(UPPER(TRIM(M692))="STD", TRIM(B692)=TRIM(Enginuity!$A$17))
    ),
    OR(
      AND(LEFT(P692,5)="1-Way", Enginuity!$B$13=1),
      AND(LEFT(P692,5)="2-Way", OR(Enginuity!$B$13=2, Enginuity!$B$13=4)),
      AND(LEFT(P692,5)="3-Way", OR(Enginuity!$B$13=3, Enginuity!$B$13=6)),
      AND(P692="Inner Centre Jamb", OR(Enginuity!$B$13=4, Enginuity!$B$13=6)),
      AND(
        LEFT(P692,5)&lt;&gt;"1-Way",
        LEFT(P692,5)&lt;&gt;"2-Way",
        LEFT(P692,5)&lt;&gt;"3-Way",
        P692&lt;&gt;"Inner Centre Jamb"
      )
    ),
    IF(OR(Enginuity!$A$1="Frameless Glass",Enginuity!$A$1="Metal Work"),
      AND(TRIM(B692)=TRIM(Enginuity!$A$17),TRIM(C692)=TRIM(Enginuity!$A$18)),
      TRIM(B692)=TRIM(Enginuity!$A$17)
    )
  ),
  ROW(),
  ""
)</f>
        <v/>
      </c>
    </row>
    <row r="693" spans="1:21" x14ac:dyDescent="0.25">
      <c r="A693" s="10" t="s">
        <v>255</v>
      </c>
      <c r="B693" s="229" t="s">
        <v>89</v>
      </c>
      <c r="C693" s="10" t="s">
        <v>97</v>
      </c>
      <c r="D693" s="14" t="str">
        <v/>
      </c>
      <c r="E693" s="157"/>
      <c r="F693" s="10"/>
      <c r="G693" s="17"/>
      <c r="H693" s="10"/>
      <c r="I693" s="17"/>
      <c r="J693" s="83"/>
      <c r="K693" s="343"/>
      <c r="L693" s="347"/>
      <c r="M693" s="89">
        <v>6</v>
      </c>
      <c r="N693" s="10" t="s">
        <v>103</v>
      </c>
      <c r="O693" s="22">
        <v>1.1100000000000001</v>
      </c>
      <c r="P693" s="14" t="s">
        <v>309</v>
      </c>
      <c r="Q693" s="83">
        <f>Enginuity!$B$7*Enginuity!$B$13</f>
        <v>91</v>
      </c>
      <c r="U693" s="104" t="str">
        <f>IF(
  AND(
    TRIM(A693)=TRIM(Enginuity!$A$1),
    TRIM(B693)=TRIM(Enginuity!$A$17),
    Q693&lt;&gt;"",
    Q693&lt;&gt;0,
    OR(
      TRIM(C693)=TRIM(Enginuity!$A$18),
      AND(UPPER(TRIM(M693))="STD", TRIM(B693)=TRIM(Enginuity!$A$17))
    ),
    OR(
      AND(LEFT(P693,5)="1-Way", Enginuity!$B$13=1),
      AND(LEFT(P693,5)="2-Way", OR(Enginuity!$B$13=2, Enginuity!$B$13=4)),
      AND(LEFT(P693,5)="3-Way", OR(Enginuity!$B$13=3, Enginuity!$B$13=6)),
      AND(P693="Inner Centre Jamb", OR(Enginuity!$B$13=4, Enginuity!$B$13=6)),
      AND(
        LEFT(P693,5)&lt;&gt;"1-Way",
        LEFT(P693,5)&lt;&gt;"2-Way",
        LEFT(P693,5)&lt;&gt;"3-Way",
        P693&lt;&gt;"Inner Centre Jamb"
      )
    ),
    IF(OR(Enginuity!$A$1="Frameless Glass",Enginuity!$A$1="Metal Work"),
      AND(TRIM(B693)=TRIM(Enginuity!$A$17),TRIM(C693)=TRIM(Enginuity!$A$18)),
      TRIM(B693)=TRIM(Enginuity!$A$17)
    )
  ),
  ROW(),
  ""
)</f>
        <v/>
      </c>
    </row>
    <row r="694" spans="1:21" x14ac:dyDescent="0.25">
      <c r="A694" s="10" t="s">
        <v>255</v>
      </c>
      <c r="B694" s="229" t="s">
        <v>89</v>
      </c>
      <c r="C694" s="10" t="s">
        <v>97</v>
      </c>
      <c r="D694" s="14" t="str">
        <v/>
      </c>
      <c r="E694" s="157"/>
      <c r="F694" s="10"/>
      <c r="G694" s="17"/>
      <c r="H694" s="10"/>
      <c r="I694" s="17"/>
      <c r="J694" s="83"/>
      <c r="K694" s="343"/>
      <c r="L694" s="347"/>
      <c r="M694" s="89">
        <v>7</v>
      </c>
      <c r="N694" s="10" t="s">
        <v>176</v>
      </c>
      <c r="O694" s="22" t="str">
        <f>IF(Enginuity!$A$20="", "",
 IF(Enginuity!$A$20="Lattice Design", $F$9,
 IF(Enginuity!$A$20="Lattice Design 12 Box / Panel", $F$10,
 ""))
)</f>
        <v/>
      </c>
      <c r="P694" s="5" t="str">
        <f>Enginuity!$A$20</f>
        <v>Z-Louvre Blade - 5"</v>
      </c>
      <c r="Q694" s="22" t="str">
        <f>IF(O694&lt;&gt;"",1,"")</f>
        <v/>
      </c>
      <c r="U694" s="104" t="str">
        <f>IF(
  AND(
    TRIM(A694)=TRIM(Enginuity!$A$1),
    TRIM(B694)=TRIM(Enginuity!$A$17),
    Q694&lt;&gt;"",
    Q694&lt;&gt;0,
    OR(
      TRIM(C694)=TRIM(Enginuity!$A$18),
      AND(UPPER(TRIM(M694))="STD", TRIM(B694)=TRIM(Enginuity!$A$17))
    ),
    OR(
      AND(LEFT(P694,5)="1-Way", Enginuity!$B$13=1),
      AND(LEFT(P694,5)="2-Way", OR(Enginuity!$B$13=2, Enginuity!$B$13=4)),
      AND(LEFT(P694,5)="3-Way", OR(Enginuity!$B$13=3, Enginuity!$B$13=6)),
      AND(P694="Inner Centre Jamb", OR(Enginuity!$B$13=4, Enginuity!$B$13=6)),
      AND(
        LEFT(P694,5)&lt;&gt;"1-Way",
        LEFT(P694,5)&lt;&gt;"2-Way",
        LEFT(P694,5)&lt;&gt;"3-Way",
        P694&lt;&gt;"Inner Centre Jamb"
      )
    ),
    IF(OR(Enginuity!$A$1="Frameless Glass",Enginuity!$A$1="Metal Work"),
      AND(TRIM(B694)=TRIM(Enginuity!$A$17),TRIM(C694)=TRIM(Enginuity!$A$18)),
      TRIM(B694)=TRIM(Enginuity!$A$17)
    )
  ),
  ROW(),
  ""
)</f>
        <v/>
      </c>
    </row>
    <row r="695" spans="1:21" x14ac:dyDescent="0.25">
      <c r="A695" s="10" t="s">
        <v>255</v>
      </c>
      <c r="B695" s="229" t="s">
        <v>89</v>
      </c>
      <c r="C695" s="10" t="s">
        <v>97</v>
      </c>
      <c r="D695" s="14"/>
      <c r="E695" s="157"/>
      <c r="F695" s="10"/>
      <c r="G695" s="17"/>
      <c r="H695" s="10"/>
      <c r="I695" s="17"/>
      <c r="J695" s="83"/>
      <c r="K695" s="343"/>
      <c r="L695" s="347"/>
      <c r="M695" s="89">
        <v>8</v>
      </c>
      <c r="N695" s="10" t="s">
        <v>176</v>
      </c>
      <c r="O695" s="22" t="str">
        <f>IF(Enginuity!$A$21="12""H Top Hung Standard Casement Profile", $F$11,
IF(Enginuity!$A$21="12""H Top / Bottom Fix Standard Casement Profile", $F$12,
""))</f>
        <v/>
      </c>
      <c r="P695" s="106"/>
      <c r="Q695" s="22" t="str">
        <f>IF(O695&lt;&gt;"",1,"")</f>
        <v/>
      </c>
      <c r="U695" s="104" t="str">
        <f>IF(
  AND(
    TRIM(A695)=TRIM(Enginuity!$A$1),
    TRIM(B695)=TRIM(Enginuity!$A$17),
    Q695&lt;&gt;"",
    Q695&lt;&gt;0,
    OR(
      TRIM(C695)=TRIM(Enginuity!$A$18),
      AND(UPPER(TRIM(M695))="STD", TRIM(B695)=TRIM(Enginuity!$A$17))
    ),
    OR(
      AND(LEFT(P695,5)="1-Way", Enginuity!$B$13=1),
      AND(LEFT(P695,5)="2-Way", OR(Enginuity!$B$13=2, Enginuity!$B$13=4)),
      AND(LEFT(P695,5)="3-Way", OR(Enginuity!$B$13=3, Enginuity!$B$13=6)),
      AND(P695="Inner Centre Jamb", OR(Enginuity!$B$13=4, Enginuity!$B$13=6)),
      AND(
        LEFT(P695,5)&lt;&gt;"1-Way",
        LEFT(P695,5)&lt;&gt;"2-Way",
        LEFT(P695,5)&lt;&gt;"3-Way",
        P695&lt;&gt;"Inner Centre Jamb"
      )
    ),
    IF(OR(Enginuity!$A$1="Frameless Glass",Enginuity!$A$1="Metal Work"),
      AND(TRIM(B695)=TRIM(Enginuity!$A$17),TRIM(C695)=TRIM(Enginuity!$A$18)),
      TRIM(B695)=TRIM(Enginuity!$A$17)
    )
  ),
  ROW(),
  ""
)</f>
        <v/>
      </c>
    </row>
    <row r="696" spans="1:21" x14ac:dyDescent="0.25">
      <c r="A696" s="10" t="s">
        <v>255</v>
      </c>
      <c r="B696" s="229" t="s">
        <v>89</v>
      </c>
      <c r="C696" s="10" t="s">
        <v>97</v>
      </c>
      <c r="D696" s="14"/>
      <c r="E696" s="157"/>
      <c r="F696" s="10"/>
      <c r="G696" s="17"/>
      <c r="H696" s="10"/>
      <c r="I696" s="17"/>
      <c r="J696" s="83"/>
      <c r="K696" s="343"/>
      <c r="L696" s="347"/>
      <c r="M696" s="89">
        <v>9</v>
      </c>
      <c r="N696" s="10" t="s">
        <v>176</v>
      </c>
      <c r="O696" s="22" t="str">
        <f>IF(Enginuity!$A$21="Dual Security Door Insert", $P$1752, "")</f>
        <v/>
      </c>
      <c r="P696" s="106" t="str">
        <f>Enginuity!$A$21</f>
        <v>SF 4"</v>
      </c>
      <c r="Q696" s="22" t="str">
        <f>IF(O696&lt;&gt;"",1,"")</f>
        <v/>
      </c>
      <c r="U696" s="104" t="str">
        <f>IF(
  AND(
    TRIM(A696)=TRIM(Enginuity!$A$1),
    TRIM(B696)=TRIM(Enginuity!$A$17),
    Q696&lt;&gt;"",
    Q696&lt;&gt;0,
    OR(
      TRIM(C696)=TRIM(Enginuity!$A$18),
      AND(UPPER(TRIM(M696))="STD", TRIM(B696)=TRIM(Enginuity!$A$17))
    ),
    OR(
      AND(LEFT(P696,5)="1-Way", Enginuity!$B$13=1),
      AND(LEFT(P696,5)="2-Way", OR(Enginuity!$B$13=2, Enginuity!$B$13=4)),
      AND(LEFT(P696,5)="3-Way", OR(Enginuity!$B$13=3, Enginuity!$B$13=6)),
      AND(P696="Inner Centre Jamb", OR(Enginuity!$B$13=4, Enginuity!$B$13=6)),
      AND(
        LEFT(P696,5)&lt;&gt;"1-Way",
        LEFT(P696,5)&lt;&gt;"2-Way",
        LEFT(P696,5)&lt;&gt;"3-Way",
        P696&lt;&gt;"Inner Centre Jamb"
      )
    ),
    IF(OR(Enginuity!$A$1="Frameless Glass",Enginuity!$A$1="Metal Work"),
      AND(TRIM(B696)=TRIM(Enginuity!$A$17),TRIM(C696)=TRIM(Enginuity!$A$18)),
      TRIM(B696)=TRIM(Enginuity!$A$17)
    )
  ),
  ROW(),
  ""
)</f>
        <v/>
      </c>
    </row>
    <row r="697" spans="1:21" x14ac:dyDescent="0.25">
      <c r="A697" s="10" t="s">
        <v>255</v>
      </c>
      <c r="B697" s="229" t="s">
        <v>89</v>
      </c>
      <c r="C697" s="10" t="s">
        <v>97</v>
      </c>
      <c r="D697" s="14"/>
      <c r="E697" s="157"/>
      <c r="F697" s="10"/>
      <c r="G697" s="17"/>
      <c r="H697" s="10"/>
      <c r="I697" s="17"/>
      <c r="J697" s="83"/>
      <c r="K697" s="343"/>
      <c r="L697" s="347"/>
      <c r="M697" s="89">
        <v>10</v>
      </c>
      <c r="N697" s="10" t="s">
        <v>176</v>
      </c>
      <c r="O697" s="22" t="str">
        <f>IF(Enginuity!$A$22="Subframe 1"" X 2""", $J$2, "")</f>
        <v/>
      </c>
      <c r="P697" s="106" t="str">
        <f>Enginuity!$A$22</f>
        <v>▼ [Lattice]</v>
      </c>
      <c r="Q697" s="22" t="str">
        <f>IF(O697&lt;&gt;"",1,"")</f>
        <v/>
      </c>
      <c r="U697" s="104" t="str">
        <f>IF(
  AND(
    TRIM(A697)=TRIM(Enginuity!$A$1),
    TRIM(B697)=TRIM(Enginuity!$A$17),
    Q697&lt;&gt;"",
    Q697&lt;&gt;0,
    OR(
      TRIM(C697)=TRIM(Enginuity!$A$18),
      AND(UPPER(TRIM(M697))="STD", TRIM(B697)=TRIM(Enginuity!$A$17))
    ),
    OR(
      AND(LEFT(P697,5)="1-Way", Enginuity!$B$13=1),
      AND(LEFT(P697,5)="2-Way", OR(Enginuity!$B$13=2, Enginuity!$B$13=4)),
      AND(LEFT(P697,5)="3-Way", OR(Enginuity!$B$13=3, Enginuity!$B$13=6)),
      AND(P697="Inner Centre Jamb", OR(Enginuity!$B$13=4, Enginuity!$B$13=6)),
      AND(
        LEFT(P697,5)&lt;&gt;"1-Way",
        LEFT(P697,5)&lt;&gt;"2-Way",
        LEFT(P697,5)&lt;&gt;"3-Way",
        P697&lt;&gt;"Inner Centre Jamb"
      )
    ),
    IF(OR(Enginuity!$A$1="Frameless Glass",Enginuity!$A$1="Metal Work"),
      AND(TRIM(B697)=TRIM(Enginuity!$A$17),TRIM(C697)=TRIM(Enginuity!$A$18)),
      TRIM(B697)=TRIM(Enginuity!$A$17)
    )
  ),
  ROW(),
  ""
)</f>
        <v/>
      </c>
    </row>
    <row r="698" spans="1:21" x14ac:dyDescent="0.25">
      <c r="A698" s="10" t="s">
        <v>255</v>
      </c>
      <c r="B698" s="229" t="s">
        <v>89</v>
      </c>
      <c r="C698" s="10" t="s">
        <v>97</v>
      </c>
      <c r="D698" s="14"/>
      <c r="E698" s="157"/>
      <c r="F698" s="10"/>
      <c r="G698" s="17"/>
      <c r="H698" s="10"/>
      <c r="I698" s="17"/>
      <c r="J698" s="83"/>
      <c r="K698" s="343"/>
      <c r="L698" s="347"/>
      <c r="M698" s="89">
        <v>11</v>
      </c>
      <c r="N698" s="10"/>
      <c r="O698" s="22"/>
      <c r="P698" s="14"/>
      <c r="Q698" s="83"/>
      <c r="U698" s="104" t="str">
        <f>IF(
  AND(
    TRIM(A698)=TRIM(Enginuity!$A$1),
    TRIM(B698)=TRIM(Enginuity!$A$17),
    Q698&lt;&gt;"",
    Q698&lt;&gt;0,
    OR(
      TRIM(C698)=TRIM(Enginuity!$A$18),
      AND(UPPER(TRIM(M698))="STD", TRIM(B698)=TRIM(Enginuity!$A$17))
    ),
    OR(
      AND(LEFT(P698,5)="1-Way", Enginuity!$B$13=1),
      AND(LEFT(P698,5)="2-Way", OR(Enginuity!$B$13=2, Enginuity!$B$13=4)),
      AND(LEFT(P698,5)="3-Way", OR(Enginuity!$B$13=3, Enginuity!$B$13=6)),
      AND(P698="Inner Centre Jamb", OR(Enginuity!$B$13=4, Enginuity!$B$13=6)),
      AND(
        LEFT(P698,5)&lt;&gt;"1-Way",
        LEFT(P698,5)&lt;&gt;"2-Way",
        LEFT(P698,5)&lt;&gt;"3-Way",
        P698&lt;&gt;"Inner Centre Jamb"
      )
    ),
    IF(OR(Enginuity!$A$1="Frameless Glass",Enginuity!$A$1="Metal Work"),
      AND(TRIM(B698)=TRIM(Enginuity!$A$17),TRIM(C698)=TRIM(Enginuity!$A$18)),
      TRIM(B698)=TRIM(Enginuity!$A$17)
    )
  ),
  ROW(),
  ""
)</f>
        <v/>
      </c>
    </row>
    <row r="699" spans="1:21" x14ac:dyDescent="0.25">
      <c r="A699" s="10" t="s">
        <v>255</v>
      </c>
      <c r="B699" s="229" t="s">
        <v>89</v>
      </c>
      <c r="C699" s="10" t="s">
        <v>97</v>
      </c>
      <c r="D699" s="14"/>
      <c r="E699" s="157"/>
      <c r="F699" s="10"/>
      <c r="G699" s="17"/>
      <c r="H699" s="10"/>
      <c r="I699" s="17"/>
      <c r="J699" s="83"/>
      <c r="K699" s="343"/>
      <c r="L699" s="347"/>
      <c r="M699" s="89">
        <v>12</v>
      </c>
      <c r="N699" s="10"/>
      <c r="O699" s="22"/>
      <c r="P699" s="14"/>
      <c r="Q699" s="83"/>
      <c r="U699" s="104" t="str">
        <f>IF(
  AND(
    TRIM(A699)=TRIM(Enginuity!$A$1),
    TRIM(B699)=TRIM(Enginuity!$A$17),
    Q699&lt;&gt;"",
    Q699&lt;&gt;0,
    OR(
      TRIM(C699)=TRIM(Enginuity!$A$18),
      AND(UPPER(TRIM(M699))="STD", TRIM(B699)=TRIM(Enginuity!$A$17))
    ),
    OR(
      AND(LEFT(P699,5)="1-Way", Enginuity!$B$13=1),
      AND(LEFT(P699,5)="2-Way", OR(Enginuity!$B$13=2, Enginuity!$B$13=4)),
      AND(LEFT(P699,5)="3-Way", OR(Enginuity!$B$13=3, Enginuity!$B$13=6)),
      AND(P699="Inner Centre Jamb", OR(Enginuity!$B$13=4, Enginuity!$B$13=6)),
      AND(
        LEFT(P699,5)&lt;&gt;"1-Way",
        LEFT(P699,5)&lt;&gt;"2-Way",
        LEFT(P699,5)&lt;&gt;"3-Way",
        P699&lt;&gt;"Inner Centre Jamb"
      )
    ),
    IF(OR(Enginuity!$A$1="Frameless Glass",Enginuity!$A$1="Metal Work"),
      AND(TRIM(B699)=TRIM(Enginuity!$A$17),TRIM(C699)=TRIM(Enginuity!$A$18)),
      TRIM(B699)=TRIM(Enginuity!$A$17)
    )
  ),
  ROW(),
  ""
)</f>
        <v/>
      </c>
    </row>
    <row r="700" spans="1:21" x14ac:dyDescent="0.25">
      <c r="A700" s="10" t="s">
        <v>255</v>
      </c>
      <c r="B700" s="229" t="s">
        <v>89</v>
      </c>
      <c r="C700" s="10" t="s">
        <v>97</v>
      </c>
      <c r="D700" s="14"/>
      <c r="E700" s="157"/>
      <c r="F700" s="10"/>
      <c r="G700" s="17"/>
      <c r="H700" s="10"/>
      <c r="I700" s="17"/>
      <c r="J700" s="83"/>
      <c r="K700" s="343"/>
      <c r="L700" s="347"/>
      <c r="M700" s="89">
        <v>13</v>
      </c>
      <c r="N700" s="10"/>
      <c r="O700" s="22"/>
      <c r="P700" s="14"/>
      <c r="Q700" s="83"/>
      <c r="U700" s="104" t="str">
        <f>IF(
  AND(
    TRIM(A700)=TRIM(Enginuity!$A$1),
    TRIM(B700)=TRIM(Enginuity!$A$17),
    Q700&lt;&gt;"",
    Q700&lt;&gt;0,
    OR(
      TRIM(C700)=TRIM(Enginuity!$A$18),
      AND(UPPER(TRIM(M700))="STD", TRIM(B700)=TRIM(Enginuity!$A$17))
    ),
    OR(
      AND(LEFT(P700,5)="1-Way", Enginuity!$B$13=1),
      AND(LEFT(P700,5)="2-Way", OR(Enginuity!$B$13=2, Enginuity!$B$13=4)),
      AND(LEFT(P700,5)="3-Way", OR(Enginuity!$B$13=3, Enginuity!$B$13=6)),
      AND(P700="Inner Centre Jamb", OR(Enginuity!$B$13=4, Enginuity!$B$13=6)),
      AND(
        LEFT(P700,5)&lt;&gt;"1-Way",
        LEFT(P700,5)&lt;&gt;"2-Way",
        LEFT(P700,5)&lt;&gt;"3-Way",
        P700&lt;&gt;"Inner Centre Jamb"
      )
    ),
    IF(OR(Enginuity!$A$1="Frameless Glass",Enginuity!$A$1="Metal Work"),
      AND(TRIM(B700)=TRIM(Enginuity!$A$17),TRIM(C700)=TRIM(Enginuity!$A$18)),
      TRIM(B700)=TRIM(Enginuity!$A$17)
    )
  ),
  ROW(),
  ""
)</f>
        <v/>
      </c>
    </row>
    <row r="701" spans="1:21" x14ac:dyDescent="0.25">
      <c r="A701" s="10" t="s">
        <v>255</v>
      </c>
      <c r="B701" s="229" t="s">
        <v>89</v>
      </c>
      <c r="C701" s="10" t="s">
        <v>97</v>
      </c>
      <c r="D701" s="14"/>
      <c r="E701" s="157"/>
      <c r="F701" s="10"/>
      <c r="G701" s="17"/>
      <c r="H701" s="10"/>
      <c r="I701" s="17"/>
      <c r="J701" s="83"/>
      <c r="K701" s="343"/>
      <c r="L701" s="347"/>
      <c r="M701" s="89">
        <v>14</v>
      </c>
      <c r="N701" s="10"/>
      <c r="O701" s="22"/>
      <c r="P701" s="14"/>
      <c r="Q701" s="83"/>
      <c r="U701" s="104" t="str">
        <f>IF(
  AND(
    TRIM(A701)=TRIM(Enginuity!$A$1),
    TRIM(B701)=TRIM(Enginuity!$A$17),
    Q701&lt;&gt;"",
    Q701&lt;&gt;0,
    OR(
      TRIM(C701)=TRIM(Enginuity!$A$18),
      AND(UPPER(TRIM(M701))="STD", TRIM(B701)=TRIM(Enginuity!$A$17))
    ),
    OR(
      AND(LEFT(P701,5)="1-Way", Enginuity!$B$13=1),
      AND(LEFT(P701,5)="2-Way", OR(Enginuity!$B$13=2, Enginuity!$B$13=4)),
      AND(LEFT(P701,5)="3-Way", OR(Enginuity!$B$13=3, Enginuity!$B$13=6)),
      AND(P701="Inner Centre Jamb", OR(Enginuity!$B$13=4, Enginuity!$B$13=6)),
      AND(
        LEFT(P701,5)&lt;&gt;"1-Way",
        LEFT(P701,5)&lt;&gt;"2-Way",
        LEFT(P701,5)&lt;&gt;"3-Way",
        P701&lt;&gt;"Inner Centre Jamb"
      )
    ),
    IF(OR(Enginuity!$A$1="Frameless Glass",Enginuity!$A$1="Metal Work"),
      AND(TRIM(B701)=TRIM(Enginuity!$A$17),TRIM(C701)=TRIM(Enginuity!$A$18)),
      TRIM(B701)=TRIM(Enginuity!$A$17)
    )
  ),
  ROW(),
  ""
)</f>
        <v/>
      </c>
    </row>
    <row r="702" spans="1:21" x14ac:dyDescent="0.25">
      <c r="A702" s="10" t="s">
        <v>255</v>
      </c>
      <c r="B702" s="229" t="s">
        <v>89</v>
      </c>
      <c r="C702" s="10" t="s">
        <v>97</v>
      </c>
      <c r="D702" s="14"/>
      <c r="E702" s="157"/>
      <c r="F702" s="10"/>
      <c r="G702" s="17"/>
      <c r="H702" s="10"/>
      <c r="I702" s="17"/>
      <c r="J702" s="83"/>
      <c r="K702" s="343"/>
      <c r="L702" s="347"/>
      <c r="M702" s="89">
        <v>15</v>
      </c>
      <c r="N702" s="10"/>
      <c r="O702" s="22"/>
      <c r="P702" s="14"/>
      <c r="Q702" s="83"/>
      <c r="U702" s="104" t="str">
        <f>IF(
  AND(
    TRIM(A702)=TRIM(Enginuity!$A$1),
    TRIM(B702)=TRIM(Enginuity!$A$17),
    Q702&lt;&gt;"",
    Q702&lt;&gt;0,
    OR(
      TRIM(C702)=TRIM(Enginuity!$A$18),
      AND(UPPER(TRIM(M702))="STD", TRIM(B702)=TRIM(Enginuity!$A$17))
    ),
    OR(
      AND(LEFT(P702,5)="1-Way", Enginuity!$B$13=1),
      AND(LEFT(P702,5)="2-Way", OR(Enginuity!$B$13=2, Enginuity!$B$13=4)),
      AND(LEFT(P702,5)="3-Way", OR(Enginuity!$B$13=3, Enginuity!$B$13=6)),
      AND(P702="Inner Centre Jamb", OR(Enginuity!$B$13=4, Enginuity!$B$13=6)),
      AND(
        LEFT(P702,5)&lt;&gt;"1-Way",
        LEFT(P702,5)&lt;&gt;"2-Way",
        LEFT(P702,5)&lt;&gt;"3-Way",
        P702&lt;&gt;"Inner Centre Jamb"
      )
    ),
    IF(OR(Enginuity!$A$1="Frameless Glass",Enginuity!$A$1="Metal Work"),
      AND(TRIM(B702)=TRIM(Enginuity!$A$17),TRIM(C702)=TRIM(Enginuity!$A$18)),
      TRIM(B702)=TRIM(Enginuity!$A$17)
    )
  ),
  ROW(),
  ""
)</f>
        <v/>
      </c>
    </row>
    <row r="703" spans="1:21" x14ac:dyDescent="0.25">
      <c r="A703" s="10" t="s">
        <v>255</v>
      </c>
      <c r="B703" s="229" t="s">
        <v>89</v>
      </c>
      <c r="C703" s="10" t="s">
        <v>97</v>
      </c>
      <c r="D703" s="14"/>
      <c r="E703" s="157"/>
      <c r="F703" s="10"/>
      <c r="G703" s="17"/>
      <c r="H703" s="10"/>
      <c r="I703" s="17"/>
      <c r="J703" s="83"/>
      <c r="K703" s="343"/>
      <c r="L703" s="347"/>
      <c r="M703" s="89">
        <v>16</v>
      </c>
      <c r="N703" s="10"/>
      <c r="O703" s="22"/>
      <c r="P703" s="14"/>
      <c r="Q703" s="83"/>
      <c r="U703" s="104" t="str">
        <f>IF(
  AND(
    TRIM(A703)=TRIM(Enginuity!$A$1),
    TRIM(B703)=TRIM(Enginuity!$A$17),
    Q703&lt;&gt;"",
    Q703&lt;&gt;0,
    OR(
      TRIM(C703)=TRIM(Enginuity!$A$18),
      AND(UPPER(TRIM(M703))="STD", TRIM(B703)=TRIM(Enginuity!$A$17))
    ),
    OR(
      AND(LEFT(P703,5)="1-Way", Enginuity!$B$13=1),
      AND(LEFT(P703,5)="2-Way", OR(Enginuity!$B$13=2, Enginuity!$B$13=4)),
      AND(LEFT(P703,5)="3-Way", OR(Enginuity!$B$13=3, Enginuity!$B$13=6)),
      AND(P703="Inner Centre Jamb", OR(Enginuity!$B$13=4, Enginuity!$B$13=6)),
      AND(
        LEFT(P703,5)&lt;&gt;"1-Way",
        LEFT(P703,5)&lt;&gt;"2-Way",
        LEFT(P703,5)&lt;&gt;"3-Way",
        P703&lt;&gt;"Inner Centre Jamb"
      )
    ),
    IF(OR(Enginuity!$A$1="Frameless Glass",Enginuity!$A$1="Metal Work"),
      AND(TRIM(B703)=TRIM(Enginuity!$A$17),TRIM(C703)=TRIM(Enginuity!$A$18)),
      TRIM(B703)=TRIM(Enginuity!$A$17)
    )
  ),
  ROW(),
  ""
)</f>
        <v/>
      </c>
    </row>
    <row r="704" spans="1:21" x14ac:dyDescent="0.25">
      <c r="A704" s="10" t="s">
        <v>255</v>
      </c>
      <c r="B704" s="229" t="s">
        <v>89</v>
      </c>
      <c r="C704" s="10"/>
      <c r="D704" s="14"/>
      <c r="E704" s="157"/>
      <c r="F704" s="10"/>
      <c r="G704" s="17"/>
      <c r="H704" s="10"/>
      <c r="I704" s="17"/>
      <c r="J704" s="83"/>
      <c r="K704" s="343"/>
      <c r="L704" s="347"/>
      <c r="M704" s="89">
        <v>17</v>
      </c>
      <c r="N704" s="10"/>
      <c r="O704" s="22"/>
      <c r="P704" s="14"/>
      <c r="Q704" s="83"/>
      <c r="U704" s="104" t="str">
        <f>IF(
  AND(
    TRIM(A704)=TRIM(Enginuity!$A$1),
    TRIM(B704)=TRIM(Enginuity!$A$17),
    Q704&lt;&gt;"",
    Q704&lt;&gt;0,
    OR(
      TRIM(C704)=TRIM(Enginuity!$A$18),
      AND(UPPER(TRIM(M704))="STD", TRIM(B704)=TRIM(Enginuity!$A$17))
    ),
    OR(
      AND(LEFT(P704,5)="1-Way", Enginuity!$B$13=1),
      AND(LEFT(P704,5)="2-Way", OR(Enginuity!$B$13=2, Enginuity!$B$13=4)),
      AND(LEFT(P704,5)="3-Way", OR(Enginuity!$B$13=3, Enginuity!$B$13=6)),
      AND(P704="Inner Centre Jamb", OR(Enginuity!$B$13=4, Enginuity!$B$13=6)),
      AND(
        LEFT(P704,5)&lt;&gt;"1-Way",
        LEFT(P704,5)&lt;&gt;"2-Way",
        LEFT(P704,5)&lt;&gt;"3-Way",
        P704&lt;&gt;"Inner Centre Jamb"
      )
    ),
    IF(OR(Enginuity!$A$1="Frameless Glass",Enginuity!$A$1="Metal Work"),
      AND(TRIM(B704)=TRIM(Enginuity!$A$17),TRIM(C704)=TRIM(Enginuity!$A$18)),
      TRIM(B704)=TRIM(Enginuity!$A$17)
    )
  ),
  ROW(),
  ""
)</f>
        <v/>
      </c>
    </row>
    <row r="705" spans="1:21" x14ac:dyDescent="0.25">
      <c r="A705" s="10" t="s">
        <v>255</v>
      </c>
      <c r="B705" s="229" t="s">
        <v>89</v>
      </c>
      <c r="C705" s="10"/>
      <c r="D705" s="14"/>
      <c r="E705" s="157"/>
      <c r="F705" s="10"/>
      <c r="G705" s="17"/>
      <c r="H705" s="10"/>
      <c r="I705" s="17"/>
      <c r="J705" s="83"/>
      <c r="K705" s="343"/>
      <c r="L705" s="347"/>
      <c r="M705" s="89">
        <v>18</v>
      </c>
      <c r="N705" s="10"/>
      <c r="O705" s="22"/>
      <c r="P705" s="14"/>
      <c r="Q705" s="83"/>
      <c r="U705" s="104" t="str">
        <f>IF(
  AND(
    TRIM(A705)=TRIM(Enginuity!$A$1),
    TRIM(B705)=TRIM(Enginuity!$A$17),
    Q705&lt;&gt;"",
    Q705&lt;&gt;0,
    OR(
      TRIM(C705)=TRIM(Enginuity!$A$18),
      AND(UPPER(TRIM(M705))="STD", TRIM(B705)=TRIM(Enginuity!$A$17))
    ),
    OR(
      AND(LEFT(P705,5)="1-Way", Enginuity!$B$13=1),
      AND(LEFT(P705,5)="2-Way", OR(Enginuity!$B$13=2, Enginuity!$B$13=4)),
      AND(LEFT(P705,5)="3-Way", OR(Enginuity!$B$13=3, Enginuity!$B$13=6)),
      AND(P705="Inner Centre Jamb", OR(Enginuity!$B$13=4, Enginuity!$B$13=6)),
      AND(
        LEFT(P705,5)&lt;&gt;"1-Way",
        LEFT(P705,5)&lt;&gt;"2-Way",
        LEFT(P705,5)&lt;&gt;"3-Way",
        P705&lt;&gt;"Inner Centre Jamb"
      )
    ),
    IF(OR(Enginuity!$A$1="Frameless Glass",Enginuity!$A$1="Metal Work"),
      AND(TRIM(B705)=TRIM(Enginuity!$A$17),TRIM(C705)=TRIM(Enginuity!$A$18)),
      TRIM(B705)=TRIM(Enginuity!$A$17)
    )
  ),
  ROW(),
  ""
)</f>
        <v/>
      </c>
    </row>
    <row r="706" spans="1:21" x14ac:dyDescent="0.25">
      <c r="A706" s="10" t="s">
        <v>255</v>
      </c>
      <c r="B706" s="229" t="s">
        <v>89</v>
      </c>
      <c r="C706" s="10"/>
      <c r="D706" s="14"/>
      <c r="E706" s="157"/>
      <c r="F706" s="10"/>
      <c r="G706" s="17"/>
      <c r="H706" s="10"/>
      <c r="I706" s="17"/>
      <c r="J706" s="83"/>
      <c r="K706" s="343"/>
      <c r="L706" s="347"/>
      <c r="M706" s="89">
        <v>19</v>
      </c>
      <c r="N706" s="10"/>
      <c r="O706" s="22"/>
      <c r="P706" s="14"/>
      <c r="Q706" s="83"/>
      <c r="U706" s="104" t="str">
        <f>IF(
  AND(
    TRIM(A706)=TRIM(Enginuity!$A$1),
    TRIM(B706)=TRIM(Enginuity!$A$17),
    Q706&lt;&gt;"",
    Q706&lt;&gt;0,
    OR(
      TRIM(C706)=TRIM(Enginuity!$A$18),
      AND(UPPER(TRIM(M706))="STD", TRIM(B706)=TRIM(Enginuity!$A$17))
    ),
    OR(
      AND(LEFT(P706,5)="1-Way", Enginuity!$B$13=1),
      AND(LEFT(P706,5)="2-Way", OR(Enginuity!$B$13=2, Enginuity!$B$13=4)),
      AND(LEFT(P706,5)="3-Way", OR(Enginuity!$B$13=3, Enginuity!$B$13=6)),
      AND(P706="Inner Centre Jamb", OR(Enginuity!$B$13=4, Enginuity!$B$13=6)),
      AND(
        LEFT(P706,5)&lt;&gt;"1-Way",
        LEFT(P706,5)&lt;&gt;"2-Way",
        LEFT(P706,5)&lt;&gt;"3-Way",
        P706&lt;&gt;"Inner Centre Jamb"
      )
    ),
    IF(OR(Enginuity!$A$1="Frameless Glass",Enginuity!$A$1="Metal Work"),
      AND(TRIM(B706)=TRIM(Enginuity!$A$17),TRIM(C706)=TRIM(Enginuity!$A$18)),
      TRIM(B706)=TRIM(Enginuity!$A$17)
    )
  ),
  ROW(),
  ""
)</f>
        <v/>
      </c>
    </row>
    <row r="707" spans="1:21" x14ac:dyDescent="0.25">
      <c r="A707" s="10" t="s">
        <v>255</v>
      </c>
      <c r="B707" s="229" t="s">
        <v>89</v>
      </c>
      <c r="C707" s="10"/>
      <c r="D707" s="14"/>
      <c r="E707" s="157"/>
      <c r="F707" s="10"/>
      <c r="G707" s="17"/>
      <c r="H707" s="10"/>
      <c r="I707" s="17"/>
      <c r="J707" s="83"/>
      <c r="K707" s="343"/>
      <c r="L707" s="347"/>
      <c r="M707" s="89">
        <v>20</v>
      </c>
      <c r="N707" s="14"/>
      <c r="O707" s="22"/>
      <c r="P707" s="14"/>
      <c r="Q707" s="83"/>
      <c r="U707" s="104" t="str">
        <f>IF(
  AND(
    TRIM(A707)=TRIM(Enginuity!$A$1),
    TRIM(B707)=TRIM(Enginuity!$A$17),
    Q707&lt;&gt;"",
    Q707&lt;&gt;0,
    OR(
      TRIM(C707)=TRIM(Enginuity!$A$18),
      AND(UPPER(TRIM(M707))="STD", TRIM(B707)=TRIM(Enginuity!$A$17))
    ),
    OR(
      AND(LEFT(P707,5)="1-Way", Enginuity!$B$13=1),
      AND(LEFT(P707,5)="2-Way", OR(Enginuity!$B$13=2, Enginuity!$B$13=4)),
      AND(LEFT(P707,5)="3-Way", OR(Enginuity!$B$13=3, Enginuity!$B$13=6)),
      AND(P707="Inner Centre Jamb", OR(Enginuity!$B$13=4, Enginuity!$B$13=6)),
      AND(
        LEFT(P707,5)&lt;&gt;"1-Way",
        LEFT(P707,5)&lt;&gt;"2-Way",
        LEFT(P707,5)&lt;&gt;"3-Way",
        P707&lt;&gt;"Inner Centre Jamb"
      )
    ),
    IF(OR(Enginuity!$A$1="Frameless Glass",Enginuity!$A$1="Metal Work"),
      AND(TRIM(B707)=TRIM(Enginuity!$A$17),TRIM(C707)=TRIM(Enginuity!$A$18)),
      TRIM(B707)=TRIM(Enginuity!$A$17)
    )
  ),
  ROW(),
  ""
)</f>
        <v/>
      </c>
    </row>
    <row r="708" spans="1:21" x14ac:dyDescent="0.25">
      <c r="A708" s="10" t="s">
        <v>255</v>
      </c>
      <c r="B708" s="229" t="s">
        <v>89</v>
      </c>
      <c r="C708" s="10"/>
      <c r="D708" s="14"/>
      <c r="E708" s="157"/>
      <c r="F708" s="10"/>
      <c r="G708" s="17"/>
      <c r="H708" s="10"/>
      <c r="I708" s="17"/>
      <c r="J708" s="83"/>
      <c r="K708" s="343"/>
      <c r="L708" s="347"/>
      <c r="M708" s="89">
        <v>21</v>
      </c>
      <c r="N708" s="21"/>
      <c r="O708" s="22"/>
      <c r="P708" s="14"/>
      <c r="Q708" s="83"/>
      <c r="U708" s="104" t="str">
        <f>IF(
  AND(
    TRIM(A708)=TRIM(Enginuity!$A$1),
    TRIM(B708)=TRIM(Enginuity!$A$17),
    Q708&lt;&gt;"",
    Q708&lt;&gt;0,
    OR(
      TRIM(C708)=TRIM(Enginuity!$A$18),
      AND(UPPER(TRIM(M708))="STD", TRIM(B708)=TRIM(Enginuity!$A$17))
    ),
    OR(
      AND(LEFT(P708,5)="1-Way", Enginuity!$B$13=1),
      AND(LEFT(P708,5)="2-Way", OR(Enginuity!$B$13=2, Enginuity!$B$13=4)),
      AND(LEFT(P708,5)="3-Way", OR(Enginuity!$B$13=3, Enginuity!$B$13=6)),
      AND(P708="Inner Centre Jamb", OR(Enginuity!$B$13=4, Enginuity!$B$13=6)),
      AND(
        LEFT(P708,5)&lt;&gt;"1-Way",
        LEFT(P708,5)&lt;&gt;"2-Way",
        LEFT(P708,5)&lt;&gt;"3-Way",
        P708&lt;&gt;"Inner Centre Jamb"
      )
    ),
    IF(OR(Enginuity!$A$1="Frameless Glass",Enginuity!$A$1="Metal Work"),
      AND(TRIM(B708)=TRIM(Enginuity!$A$17),TRIM(C708)=TRIM(Enginuity!$A$18)),
      TRIM(B708)=TRIM(Enginuity!$A$17)
    )
  ),
  ROW(),
  ""
)</f>
        <v/>
      </c>
    </row>
    <row r="709" spans="1:21" x14ac:dyDescent="0.25">
      <c r="A709" s="10" t="s">
        <v>255</v>
      </c>
      <c r="B709" s="229" t="s">
        <v>89</v>
      </c>
      <c r="C709" s="10"/>
      <c r="D709" s="14"/>
      <c r="E709" s="157"/>
      <c r="F709" s="10"/>
      <c r="G709" s="17"/>
      <c r="H709" s="10"/>
      <c r="I709" s="17"/>
      <c r="J709" s="83"/>
      <c r="K709" s="343"/>
      <c r="L709" s="347"/>
      <c r="M709" s="89">
        <v>22</v>
      </c>
      <c r="N709" s="14"/>
      <c r="O709" s="22"/>
      <c r="P709" s="14"/>
      <c r="Q709" s="83"/>
      <c r="U709" s="104" t="str">
        <f>IF(
  AND(
    TRIM(A709)=TRIM(Enginuity!$A$1),
    TRIM(B709)=TRIM(Enginuity!$A$17),
    Q709&lt;&gt;"",
    Q709&lt;&gt;0,
    OR(
      TRIM(C709)=TRIM(Enginuity!$A$18),
      AND(UPPER(TRIM(M709))="STD", TRIM(B709)=TRIM(Enginuity!$A$17))
    ),
    OR(
      AND(LEFT(P709,5)="1-Way", Enginuity!$B$13=1),
      AND(LEFT(P709,5)="2-Way", OR(Enginuity!$B$13=2, Enginuity!$B$13=4)),
      AND(LEFT(P709,5)="3-Way", OR(Enginuity!$B$13=3, Enginuity!$B$13=6)),
      AND(P709="Inner Centre Jamb", OR(Enginuity!$B$13=4, Enginuity!$B$13=6)),
      AND(
        LEFT(P709,5)&lt;&gt;"1-Way",
        LEFT(P709,5)&lt;&gt;"2-Way",
        LEFT(P709,5)&lt;&gt;"3-Way",
        P709&lt;&gt;"Inner Centre Jamb"
      )
    ),
    IF(OR(Enginuity!$A$1="Frameless Glass",Enginuity!$A$1="Metal Work"),
      AND(TRIM(B709)=TRIM(Enginuity!$A$17),TRIM(C709)=TRIM(Enginuity!$A$18)),
      TRIM(B709)=TRIM(Enginuity!$A$17)
    )
  ),
  ROW(),
  ""
)</f>
        <v/>
      </c>
    </row>
    <row r="710" spans="1:21" x14ac:dyDescent="0.25">
      <c r="A710" s="10" t="s">
        <v>255</v>
      </c>
      <c r="B710" s="229" t="s">
        <v>89</v>
      </c>
      <c r="C710" s="10"/>
      <c r="D710" s="14"/>
      <c r="E710" s="157"/>
      <c r="F710" s="10"/>
      <c r="G710" s="17"/>
      <c r="H710" s="10"/>
      <c r="I710" s="17"/>
      <c r="J710" s="83"/>
      <c r="K710" s="343"/>
      <c r="L710" s="347"/>
      <c r="M710" s="89">
        <v>23</v>
      </c>
      <c r="N710" s="14"/>
      <c r="O710" s="22"/>
      <c r="P710" s="14"/>
      <c r="Q710" s="83"/>
      <c r="U710" s="104" t="str">
        <f>IF(
  AND(
    TRIM(A710)=TRIM(Enginuity!$A$1),
    TRIM(B710)=TRIM(Enginuity!$A$17),
    Q710&lt;&gt;"",
    Q710&lt;&gt;0,
    OR(
      TRIM(C710)=TRIM(Enginuity!$A$18),
      AND(UPPER(TRIM(M710))="STD", TRIM(B710)=TRIM(Enginuity!$A$17))
    ),
    OR(
      AND(LEFT(P710,5)="1-Way", Enginuity!$B$13=1),
      AND(LEFT(P710,5)="2-Way", OR(Enginuity!$B$13=2, Enginuity!$B$13=4)),
      AND(LEFT(P710,5)="3-Way", OR(Enginuity!$B$13=3, Enginuity!$B$13=6)),
      AND(P710="Inner Centre Jamb", OR(Enginuity!$B$13=4, Enginuity!$B$13=6)),
      AND(
        LEFT(P710,5)&lt;&gt;"1-Way",
        LEFT(P710,5)&lt;&gt;"2-Way",
        LEFT(P710,5)&lt;&gt;"3-Way",
        P710&lt;&gt;"Inner Centre Jamb"
      )
    ),
    IF(OR(Enginuity!$A$1="Frameless Glass",Enginuity!$A$1="Metal Work"),
      AND(TRIM(B710)=TRIM(Enginuity!$A$17),TRIM(C710)=TRIM(Enginuity!$A$18)),
      TRIM(B710)=TRIM(Enginuity!$A$17)
    )
  ),
  ROW(),
  ""
)</f>
        <v/>
      </c>
    </row>
    <row r="711" spans="1:21" x14ac:dyDescent="0.25">
      <c r="A711" s="10" t="s">
        <v>255</v>
      </c>
      <c r="B711" s="229" t="s">
        <v>89</v>
      </c>
      <c r="C711" s="10"/>
      <c r="D711" s="14"/>
      <c r="E711" s="157"/>
      <c r="F711" s="10"/>
      <c r="G711" s="17"/>
      <c r="H711" s="10"/>
      <c r="I711" s="17"/>
      <c r="J711" s="83"/>
      <c r="K711" s="343"/>
      <c r="L711" s="347"/>
      <c r="M711" s="89">
        <v>24</v>
      </c>
      <c r="N711" s="14"/>
      <c r="O711" s="22"/>
      <c r="P711" s="14"/>
      <c r="Q711" s="83"/>
      <c r="U711" s="104" t="str">
        <f>IF(
  AND(
    TRIM(A711)=TRIM(Enginuity!$A$1),
    TRIM(B711)=TRIM(Enginuity!$A$17),
    Q711&lt;&gt;"",
    Q711&lt;&gt;0,
    OR(
      TRIM(C711)=TRIM(Enginuity!$A$18),
      AND(UPPER(TRIM(M711))="STD", TRIM(B711)=TRIM(Enginuity!$A$17))
    ),
    OR(
      AND(LEFT(P711,5)="1-Way", Enginuity!$B$13=1),
      AND(LEFT(P711,5)="2-Way", OR(Enginuity!$B$13=2, Enginuity!$B$13=4)),
      AND(LEFT(P711,5)="3-Way", OR(Enginuity!$B$13=3, Enginuity!$B$13=6)),
      AND(P711="Inner Centre Jamb", OR(Enginuity!$B$13=4, Enginuity!$B$13=6)),
      AND(
        LEFT(P711,5)&lt;&gt;"1-Way",
        LEFT(P711,5)&lt;&gt;"2-Way",
        LEFT(P711,5)&lt;&gt;"3-Way",
        P711&lt;&gt;"Inner Centre Jamb"
      )
    ),
    IF(OR(Enginuity!$A$1="Frameless Glass",Enginuity!$A$1="Metal Work"),
      AND(TRIM(B711)=TRIM(Enginuity!$A$17),TRIM(C711)=TRIM(Enginuity!$A$18)),
      TRIM(B711)=TRIM(Enginuity!$A$17)
    )
  ),
  ROW(),
  ""
)</f>
        <v/>
      </c>
    </row>
    <row r="712" spans="1:21" x14ac:dyDescent="0.25">
      <c r="A712" s="10" t="s">
        <v>255</v>
      </c>
      <c r="B712" s="229" t="s">
        <v>89</v>
      </c>
      <c r="C712" s="10"/>
      <c r="D712" s="14"/>
      <c r="E712" s="157"/>
      <c r="F712" s="10"/>
      <c r="G712" s="17"/>
      <c r="H712" s="10"/>
      <c r="I712" s="17"/>
      <c r="J712" s="83"/>
      <c r="K712" s="343"/>
      <c r="L712" s="347"/>
      <c r="M712" s="89">
        <v>25</v>
      </c>
      <c r="N712" s="14"/>
      <c r="O712" s="22"/>
      <c r="P712" s="14"/>
      <c r="Q712" s="83"/>
      <c r="U712" s="104" t="str">
        <f>IF(
  AND(
    TRIM(A712)=TRIM(Enginuity!$A$1),
    TRIM(B712)=TRIM(Enginuity!$A$17),
    Q712&lt;&gt;"",
    Q712&lt;&gt;0,
    OR(
      TRIM(C712)=TRIM(Enginuity!$A$18),
      AND(UPPER(TRIM(M712))="STD", TRIM(B712)=TRIM(Enginuity!$A$17))
    ),
    OR(
      AND(LEFT(P712,5)="1-Way", Enginuity!$B$13=1),
      AND(LEFT(P712,5)="2-Way", OR(Enginuity!$B$13=2, Enginuity!$B$13=4)),
      AND(LEFT(P712,5)="3-Way", OR(Enginuity!$B$13=3, Enginuity!$B$13=6)),
      AND(P712="Inner Centre Jamb", OR(Enginuity!$B$13=4, Enginuity!$B$13=6)),
      AND(
        LEFT(P712,5)&lt;&gt;"1-Way",
        LEFT(P712,5)&lt;&gt;"2-Way",
        LEFT(P712,5)&lt;&gt;"3-Way",
        P712&lt;&gt;"Inner Centre Jamb"
      )
    ),
    IF(OR(Enginuity!$A$1="Frameless Glass",Enginuity!$A$1="Metal Work"),
      AND(TRIM(B712)=TRIM(Enginuity!$A$17),TRIM(C712)=TRIM(Enginuity!$A$18)),
      TRIM(B712)=TRIM(Enginuity!$A$17)
    )
  ),
  ROW(),
  ""
)</f>
        <v/>
      </c>
    </row>
    <row r="713" spans="1:21" x14ac:dyDescent="0.25">
      <c r="A713" s="10" t="s">
        <v>255</v>
      </c>
      <c r="B713" s="229" t="s">
        <v>89</v>
      </c>
      <c r="C713" s="10"/>
      <c r="D713" s="14"/>
      <c r="E713" s="157"/>
      <c r="F713" s="10"/>
      <c r="G713" s="17"/>
      <c r="H713" s="10"/>
      <c r="I713" s="17"/>
      <c r="J713" s="83"/>
      <c r="K713" s="343"/>
      <c r="L713" s="347"/>
      <c r="M713" s="89">
        <v>26</v>
      </c>
      <c r="N713" s="14"/>
      <c r="O713" s="22"/>
      <c r="P713" s="14"/>
      <c r="Q713" s="83"/>
      <c r="U713" s="104" t="str">
        <f>IF(
  AND(
    TRIM(A713)=TRIM(Enginuity!$A$1),
    TRIM(B713)=TRIM(Enginuity!$A$17),
    Q713&lt;&gt;"",
    Q713&lt;&gt;0,
    OR(
      TRIM(C713)=TRIM(Enginuity!$A$18),
      AND(UPPER(TRIM(M713))="STD", TRIM(B713)=TRIM(Enginuity!$A$17))
    ),
    OR(
      AND(LEFT(P713,5)="1-Way", Enginuity!$B$13=1),
      AND(LEFT(P713,5)="2-Way", OR(Enginuity!$B$13=2, Enginuity!$B$13=4)),
      AND(LEFT(P713,5)="3-Way", OR(Enginuity!$B$13=3, Enginuity!$B$13=6)),
      AND(P713="Inner Centre Jamb", OR(Enginuity!$B$13=4, Enginuity!$B$13=6)),
      AND(
        LEFT(P713,5)&lt;&gt;"1-Way",
        LEFT(P713,5)&lt;&gt;"2-Way",
        LEFT(P713,5)&lt;&gt;"3-Way",
        P713&lt;&gt;"Inner Centre Jamb"
      )
    ),
    IF(OR(Enginuity!$A$1="Frameless Glass",Enginuity!$A$1="Metal Work"),
      AND(TRIM(B713)=TRIM(Enginuity!$A$17),TRIM(C713)=TRIM(Enginuity!$A$18)),
      TRIM(B713)=TRIM(Enginuity!$A$17)
    )
  ),
  ROW(),
  ""
)</f>
        <v/>
      </c>
    </row>
    <row r="714" spans="1:21" x14ac:dyDescent="0.25">
      <c r="A714" s="10" t="s">
        <v>255</v>
      </c>
      <c r="B714" s="229" t="s">
        <v>89</v>
      </c>
      <c r="C714" s="10"/>
      <c r="D714" s="14"/>
      <c r="E714" s="157"/>
      <c r="F714" s="10"/>
      <c r="G714" s="17"/>
      <c r="H714" s="10"/>
      <c r="I714" s="17"/>
      <c r="J714" s="83"/>
      <c r="K714" s="343"/>
      <c r="L714" s="347"/>
      <c r="M714" s="89">
        <v>27</v>
      </c>
      <c r="N714" s="10"/>
      <c r="O714" s="22"/>
      <c r="P714" s="14"/>
      <c r="Q714" s="83"/>
      <c r="U714" s="104" t="str">
        <f>IF(
  AND(
    TRIM(A714)=TRIM(Enginuity!$A$1),
    TRIM(B714)=TRIM(Enginuity!$A$17),
    Q714&lt;&gt;"",
    Q714&lt;&gt;0,
    OR(
      TRIM(C714)=TRIM(Enginuity!$A$18),
      AND(UPPER(TRIM(M714))="STD", TRIM(B714)=TRIM(Enginuity!$A$17))
    ),
    OR(
      AND(LEFT(P714,5)="1-Way", Enginuity!$B$13=1),
      AND(LEFT(P714,5)="2-Way", OR(Enginuity!$B$13=2, Enginuity!$B$13=4)),
      AND(LEFT(P714,5)="3-Way", OR(Enginuity!$B$13=3, Enginuity!$B$13=6)),
      AND(P714="Inner Centre Jamb", OR(Enginuity!$B$13=4, Enginuity!$B$13=6)),
      AND(
        LEFT(P714,5)&lt;&gt;"1-Way",
        LEFT(P714,5)&lt;&gt;"2-Way",
        LEFT(P714,5)&lt;&gt;"3-Way",
        P714&lt;&gt;"Inner Centre Jamb"
      )
    ),
    IF(OR(Enginuity!$A$1="Frameless Glass",Enginuity!$A$1="Metal Work"),
      AND(TRIM(B714)=TRIM(Enginuity!$A$17),TRIM(C714)=TRIM(Enginuity!$A$18)),
      TRIM(B714)=TRIM(Enginuity!$A$17)
    )
  ),
  ROW(),
  ""
)</f>
        <v/>
      </c>
    </row>
    <row r="715" spans="1:21" x14ac:dyDescent="0.25">
      <c r="A715" s="10" t="s">
        <v>255</v>
      </c>
      <c r="B715" s="229" t="s">
        <v>89</v>
      </c>
      <c r="C715" s="10"/>
      <c r="D715" s="14"/>
      <c r="E715" s="157"/>
      <c r="F715" s="10"/>
      <c r="G715" s="17"/>
      <c r="H715" s="10"/>
      <c r="I715" s="17"/>
      <c r="J715" s="83"/>
      <c r="K715" s="343"/>
      <c r="L715" s="347"/>
      <c r="M715" s="89">
        <v>28</v>
      </c>
      <c r="N715" s="10"/>
      <c r="O715" s="22"/>
      <c r="P715" s="21"/>
      <c r="Q715" s="83"/>
      <c r="U715" s="104" t="str">
        <f>IF(
  AND(
    TRIM(A715)=TRIM(Enginuity!$A$1),
    TRIM(B715)=TRIM(Enginuity!$A$17),
    Q715&lt;&gt;"",
    Q715&lt;&gt;0,
    OR(
      TRIM(C715)=TRIM(Enginuity!$A$18),
      AND(UPPER(TRIM(M715))="STD", TRIM(B715)=TRIM(Enginuity!$A$17))
    ),
    OR(
      AND(LEFT(P715,5)="1-Way", Enginuity!$B$13=1),
      AND(LEFT(P715,5)="2-Way", OR(Enginuity!$B$13=2, Enginuity!$B$13=4)),
      AND(LEFT(P715,5)="3-Way", OR(Enginuity!$B$13=3, Enginuity!$B$13=6)),
      AND(P715="Inner Centre Jamb", OR(Enginuity!$B$13=4, Enginuity!$B$13=6)),
      AND(
        LEFT(P715,5)&lt;&gt;"1-Way",
        LEFT(P715,5)&lt;&gt;"2-Way",
        LEFT(P715,5)&lt;&gt;"3-Way",
        P715&lt;&gt;"Inner Centre Jamb"
      )
    ),
    IF(OR(Enginuity!$A$1="Frameless Glass",Enginuity!$A$1="Metal Work"),
      AND(TRIM(B715)=TRIM(Enginuity!$A$17),TRIM(C715)=TRIM(Enginuity!$A$18)),
      TRIM(B715)=TRIM(Enginuity!$A$17)
    )
  ),
  ROW(),
  ""
)</f>
        <v/>
      </c>
    </row>
    <row r="716" spans="1:21" x14ac:dyDescent="0.25">
      <c r="A716" s="10" t="s">
        <v>255</v>
      </c>
      <c r="B716" s="229" t="s">
        <v>89</v>
      </c>
      <c r="C716" s="10"/>
      <c r="D716" s="14"/>
      <c r="E716" s="157"/>
      <c r="F716" s="10"/>
      <c r="G716" s="17"/>
      <c r="H716" s="10"/>
      <c r="I716" s="17"/>
      <c r="J716" s="83"/>
      <c r="K716" s="343"/>
      <c r="L716" s="347"/>
      <c r="M716" s="89">
        <v>28</v>
      </c>
      <c r="N716" s="10"/>
      <c r="O716" s="22"/>
      <c r="P716" s="14"/>
      <c r="Q716" s="22"/>
      <c r="U716" s="104" t="str">
        <f>IF(
  AND(
    TRIM(A716)=TRIM(Enginuity!$A$1),
    TRIM(B716)=TRIM(Enginuity!$A$17),
    Q716&lt;&gt;"",
    Q716&lt;&gt;0,
    OR(
      TRIM(C716)=TRIM(Enginuity!$A$18),
      AND(UPPER(TRIM(M716))="STD", TRIM(B716)=TRIM(Enginuity!$A$17))
    ),
    OR(
      AND(LEFT(P716,5)="1-Way", Enginuity!$B$13=1),
      AND(LEFT(P716,5)="2-Way", OR(Enginuity!$B$13=2, Enginuity!$B$13=4)),
      AND(LEFT(P716,5)="3-Way", OR(Enginuity!$B$13=3, Enginuity!$B$13=6)),
      AND(P716="Inner Centre Jamb", OR(Enginuity!$B$13=4, Enginuity!$B$13=6)),
      AND(
        LEFT(P716,5)&lt;&gt;"1-Way",
        LEFT(P716,5)&lt;&gt;"2-Way",
        LEFT(P716,5)&lt;&gt;"3-Way",
        P716&lt;&gt;"Inner Centre Jamb"
      )
    ),
    IF(OR(Enginuity!$A$1="Frameless Glass",Enginuity!$A$1="Metal Work"),
      AND(TRIM(B716)=TRIM(Enginuity!$A$17),TRIM(C716)=TRIM(Enginuity!$A$18)),
      TRIM(B716)=TRIM(Enginuity!$A$17)
    )
  ),
  ROW(),
  ""
)</f>
        <v/>
      </c>
    </row>
    <row r="717" spans="1:21" x14ac:dyDescent="0.25">
      <c r="A717" s="10" t="s">
        <v>255</v>
      </c>
      <c r="B717" s="229" t="s">
        <v>89</v>
      </c>
      <c r="C717" s="10"/>
      <c r="D717" s="14"/>
      <c r="E717" s="157"/>
      <c r="F717" s="10"/>
      <c r="G717" s="17"/>
      <c r="H717" s="10"/>
      <c r="I717" s="17"/>
      <c r="J717" s="83"/>
      <c r="K717" s="343"/>
      <c r="L717" s="347"/>
      <c r="M717" s="10" t="s">
        <v>117</v>
      </c>
      <c r="N717" s="10" t="s">
        <v>121</v>
      </c>
      <c r="O717" s="22" t="str">
        <f>$O$2</f>
        <v/>
      </c>
      <c r="P717" s="21" t="str">
        <f>Enginuity!$A$19</f>
        <v>W/G</v>
      </c>
      <c r="Q717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717" s="104" t="str">
        <f>IF(
  AND(
    TRIM(A717)=TRIM(Enginuity!$A$1),
    TRIM(B717)=TRIM(Enginuity!$A$17),
    Q717&lt;&gt;"",
    Q717&lt;&gt;0,
    OR(
      TRIM(C717)=TRIM(Enginuity!$A$18),
      AND(UPPER(TRIM(M717))="STD", TRIM(B717)=TRIM(Enginuity!$A$17))
    ),
    OR(
      AND(LEFT(P717,5)="1-Way", Enginuity!$B$13=1),
      AND(LEFT(P717,5)="2-Way", OR(Enginuity!$B$13=2, Enginuity!$B$13=4)),
      AND(LEFT(P717,5)="3-Way", OR(Enginuity!$B$13=3, Enginuity!$B$13=6)),
      AND(P717="Inner Centre Jamb", OR(Enginuity!$B$13=4, Enginuity!$B$13=6)),
      AND(
        LEFT(P717,5)&lt;&gt;"1-Way",
        LEFT(P717,5)&lt;&gt;"2-Way",
        LEFT(P717,5)&lt;&gt;"3-Way",
        P717&lt;&gt;"Inner Centre Jamb"
      )
    ),
    IF(OR(Enginuity!$A$1="Frameless Glass",Enginuity!$A$1="Metal Work"),
      AND(TRIM(B717)=TRIM(Enginuity!$A$17),TRIM(C717)=TRIM(Enginuity!$A$18)),
      TRIM(B717)=TRIM(Enginuity!$A$17)
    )
  ),
  ROW(),
  ""
)</f>
        <v/>
      </c>
    </row>
    <row r="718" spans="1:21" x14ac:dyDescent="0.25">
      <c r="A718" s="10" t="s">
        <v>255</v>
      </c>
      <c r="B718" s="229" t="s">
        <v>89</v>
      </c>
      <c r="C718" s="10"/>
      <c r="D718" s="14"/>
      <c r="E718" s="157"/>
      <c r="F718" s="10"/>
      <c r="G718" s="17"/>
      <c r="H718" s="10"/>
      <c r="I718" s="17"/>
      <c r="J718" s="83"/>
      <c r="K718" s="343"/>
      <c r="L718" s="347"/>
      <c r="M718" s="10" t="s">
        <v>117</v>
      </c>
      <c r="N718" s="10" t="s">
        <v>103</v>
      </c>
      <c r="O718" s="22">
        <v>0.4</v>
      </c>
      <c r="P718" s="14" t="s">
        <v>313</v>
      </c>
      <c r="Q718" s="83">
        <f>IF(AND(Enginuity!$B$6&gt;0, Enginuity!$B$7&gt;0), ROUND(((Enginuity!$B$6 + Enginuity!$B$7) * 2), 2), "")</f>
        <v>66</v>
      </c>
      <c r="U718" s="104" t="str">
        <f>IF(
  AND(
    TRIM(A718)=TRIM(Enginuity!$A$1),
    TRIM(B718)=TRIM(Enginuity!$A$17),
    Q718&lt;&gt;"",
    Q718&lt;&gt;0,
    OR(
      TRIM(C718)=TRIM(Enginuity!$A$18),
      AND(UPPER(TRIM(M718))="STD", TRIM(B718)=TRIM(Enginuity!$A$17))
    ),
    OR(
      AND(LEFT(P718,5)="1-Way", Enginuity!$B$13=1),
      AND(LEFT(P718,5)="2-Way", OR(Enginuity!$B$13=2, Enginuity!$B$13=4)),
      AND(LEFT(P718,5)="3-Way", OR(Enginuity!$B$13=3, Enginuity!$B$13=6)),
      AND(P718="Inner Centre Jamb", OR(Enginuity!$B$13=4, Enginuity!$B$13=6)),
      AND(
        LEFT(P718,5)&lt;&gt;"1-Way",
        LEFT(P718,5)&lt;&gt;"2-Way",
        LEFT(P718,5)&lt;&gt;"3-Way",
        P718&lt;&gt;"Inner Centre Jamb"
      )
    ),
    IF(OR(Enginuity!$A$1="Frameless Glass",Enginuity!$A$1="Metal Work"),
      AND(TRIM(B718)=TRIM(Enginuity!$A$17),TRIM(C718)=TRIM(Enginuity!$A$18)),
      TRIM(B718)=TRIM(Enginuity!$A$17)
    )
  ),
  ROW(),
  ""
)</f>
        <v/>
      </c>
    </row>
    <row r="719" spans="1:21" x14ac:dyDescent="0.25">
      <c r="A719" s="10" t="s">
        <v>255</v>
      </c>
      <c r="B719" s="229" t="s">
        <v>89</v>
      </c>
      <c r="C719" s="10"/>
      <c r="D719" s="14"/>
      <c r="E719" s="157"/>
      <c r="F719" s="10"/>
      <c r="G719" s="17"/>
      <c r="H719" s="10"/>
      <c r="I719" s="17"/>
      <c r="J719" s="83"/>
      <c r="K719" s="343"/>
      <c r="L719" s="347"/>
      <c r="M719" s="10" t="s">
        <v>117</v>
      </c>
      <c r="N719" s="10" t="s">
        <v>103</v>
      </c>
      <c r="O719" s="22">
        <v>0.4</v>
      </c>
      <c r="P719" s="14" t="s">
        <v>116</v>
      </c>
      <c r="Q719" s="83">
        <f>IF(AND(Enginuity!$B$6&gt;0, Enginuity!$B$7&gt;0, Enginuity!$B$13&gt;0), (2 * Enginuity!$B$7 * Enginuity!$B$13) + (2 * Enginuity!$B$6), "")</f>
        <v>222</v>
      </c>
      <c r="U719" s="104" t="str">
        <f>IF(
  AND(
    TRIM(A719)=TRIM(Enginuity!$A$1),
    TRIM(B719)=TRIM(Enginuity!$A$17),
    Q719&lt;&gt;"",
    Q719&lt;&gt;0,
    OR(
      TRIM(C719)=TRIM(Enginuity!$A$18),
      AND(UPPER(TRIM(M719))="STD", TRIM(B719)=TRIM(Enginuity!$A$17))
    ),
    OR(
      AND(LEFT(P719,5)="1-Way", Enginuity!$B$13=1),
      AND(LEFT(P719,5)="2-Way", OR(Enginuity!$B$13=2, Enginuity!$B$13=4)),
      AND(LEFT(P719,5)="3-Way", OR(Enginuity!$B$13=3, Enginuity!$B$13=6)),
      AND(P719="Inner Centre Jamb", OR(Enginuity!$B$13=4, Enginuity!$B$13=6)),
      AND(
        LEFT(P719,5)&lt;&gt;"1-Way",
        LEFT(P719,5)&lt;&gt;"2-Way",
        LEFT(P719,5)&lt;&gt;"3-Way",
        P719&lt;&gt;"Inner Centre Jamb"
      )
    ),
    IF(OR(Enginuity!$A$1="Frameless Glass",Enginuity!$A$1="Metal Work"),
      AND(TRIM(B719)=TRIM(Enginuity!$A$17),TRIM(C719)=TRIM(Enginuity!$A$18)),
      TRIM(B719)=TRIM(Enginuity!$A$17)
    )
  ),
  ROW(),
  ""
)</f>
        <v/>
      </c>
    </row>
    <row r="720" spans="1:21" x14ac:dyDescent="0.25">
      <c r="A720" s="10" t="s">
        <v>255</v>
      </c>
      <c r="B720" s="229" t="s">
        <v>89</v>
      </c>
      <c r="C720" s="10"/>
      <c r="D720" s="14"/>
      <c r="E720" s="157"/>
      <c r="F720" s="10"/>
      <c r="G720" s="17"/>
      <c r="H720" s="10"/>
      <c r="I720" s="17"/>
      <c r="J720" s="83"/>
      <c r="K720" s="343"/>
      <c r="L720" s="347"/>
      <c r="M720" s="10" t="s">
        <v>117</v>
      </c>
      <c r="N720" s="10" t="s">
        <v>103</v>
      </c>
      <c r="O720" s="22">
        <v>0.8</v>
      </c>
      <c r="P720" s="14" t="s">
        <v>272</v>
      </c>
      <c r="Q720" s="83">
        <f>IF(AND(Enginuity!$B$6&gt;0, Enginuity!$B$7&gt;0, Enginuity!$B$13&gt;0), ((2*Enginuity!$B$7*Enginuity!$B$13)+(2*Enginuity!$B$6))*2, "")</f>
        <v>444</v>
      </c>
      <c r="U720" s="104" t="str">
        <f>IF(
  AND(
    TRIM(A720)=TRIM(Enginuity!$A$1),
    TRIM(B720)=TRIM(Enginuity!$A$17),
    Q720&lt;&gt;"",
    Q720&lt;&gt;0,
    OR(
      TRIM(C720)=TRIM(Enginuity!$A$18),
      AND(UPPER(TRIM(M720))="STD", TRIM(B720)=TRIM(Enginuity!$A$17))
    ),
    OR(
      AND(LEFT(P720,5)="1-Way", Enginuity!$B$13=1),
      AND(LEFT(P720,5)="2-Way", OR(Enginuity!$B$13=2, Enginuity!$B$13=4)),
      AND(LEFT(P720,5)="3-Way", OR(Enginuity!$B$13=3, Enginuity!$B$13=6)),
      AND(P720="Inner Centre Jamb", OR(Enginuity!$B$13=4, Enginuity!$B$13=6)),
      AND(
        LEFT(P720,5)&lt;&gt;"1-Way",
        LEFT(P720,5)&lt;&gt;"2-Way",
        LEFT(P720,5)&lt;&gt;"3-Way",
        P720&lt;&gt;"Inner Centre Jamb"
      )
    ),
    IF(OR(Enginuity!$A$1="Frameless Glass",Enginuity!$A$1="Metal Work"),
      AND(TRIM(B720)=TRIM(Enginuity!$A$17),TRIM(C720)=TRIM(Enginuity!$A$18)),
      TRIM(B720)=TRIM(Enginuity!$A$17)
    )
  ),
  ROW(),
  ""
)</f>
        <v/>
      </c>
    </row>
    <row r="721" spans="1:21" x14ac:dyDescent="0.25">
      <c r="A721" s="10" t="s">
        <v>255</v>
      </c>
      <c r="B721" s="229" t="s">
        <v>89</v>
      </c>
      <c r="C721" s="10"/>
      <c r="D721" s="14"/>
      <c r="E721" s="157"/>
      <c r="F721" s="10"/>
      <c r="G721" s="17"/>
      <c r="H721" s="10"/>
      <c r="I721" s="17"/>
      <c r="J721" s="83"/>
      <c r="K721" s="343"/>
      <c r="L721" s="347"/>
      <c r="M721" s="10" t="s">
        <v>117</v>
      </c>
      <c r="N721" s="10" t="s">
        <v>103</v>
      </c>
      <c r="O721" s="22">
        <v>0.12</v>
      </c>
      <c r="P721" s="14" t="s">
        <v>280</v>
      </c>
      <c r="Q721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576</v>
      </c>
      <c r="U721" s="104" t="str">
        <f>IF(
  AND(
    TRIM(A721)=TRIM(Enginuity!$A$1),
    TRIM(B721)=TRIM(Enginuity!$A$17),
    Q721&lt;&gt;"",
    Q721&lt;&gt;0,
    OR(
      TRIM(C721)=TRIM(Enginuity!$A$18),
      AND(UPPER(TRIM(M721))="STD", TRIM(B721)=TRIM(Enginuity!$A$17))
    ),
    OR(
      AND(LEFT(P721,5)="1-Way", Enginuity!$B$13=1),
      AND(LEFT(P721,5)="2-Way", OR(Enginuity!$B$13=2, Enginuity!$B$13=4)),
      AND(LEFT(P721,5)="3-Way", OR(Enginuity!$B$13=3, Enginuity!$B$13=6)),
      AND(P721="Inner Centre Jamb", OR(Enginuity!$B$13=4, Enginuity!$B$13=6)),
      AND(
        LEFT(P721,5)&lt;&gt;"1-Way",
        LEFT(P721,5)&lt;&gt;"2-Way",
        LEFT(P721,5)&lt;&gt;"3-Way",
        P721&lt;&gt;"Inner Centre Jamb"
      )
    ),
    IF(OR(Enginuity!$A$1="Frameless Glass",Enginuity!$A$1="Metal Work"),
      AND(TRIM(B721)=TRIM(Enginuity!$A$17),TRIM(C721)=TRIM(Enginuity!$A$18)),
      TRIM(B721)=TRIM(Enginuity!$A$17)
    )
  ),
  ROW(),
  ""
)</f>
        <v/>
      </c>
    </row>
    <row r="722" spans="1:21" x14ac:dyDescent="0.25">
      <c r="A722" s="10" t="s">
        <v>255</v>
      </c>
      <c r="B722" s="229" t="s">
        <v>89</v>
      </c>
      <c r="C722" s="10"/>
      <c r="D722" s="14"/>
      <c r="E722" s="157"/>
      <c r="F722" s="10"/>
      <c r="G722" s="17"/>
      <c r="H722" s="10"/>
      <c r="I722" s="17"/>
      <c r="J722" s="83"/>
      <c r="K722" s="343"/>
      <c r="L722" s="347"/>
      <c r="M722" s="10" t="s">
        <v>117</v>
      </c>
      <c r="N722" s="10" t="s">
        <v>112</v>
      </c>
      <c r="O722" s="22">
        <v>80</v>
      </c>
      <c r="P722" s="14" t="s">
        <v>314</v>
      </c>
      <c r="Q722" s="83">
        <f>IF(MOD(Enginuity!$B$13,2)=1,1,0)</f>
        <v>1</v>
      </c>
      <c r="U722" s="104" t="str">
        <f>IF(
  AND(
    TRIM(A722)=TRIM(Enginuity!$A$1),
    TRIM(B722)=TRIM(Enginuity!$A$17),
    Q722&lt;&gt;"",
    Q722&lt;&gt;0,
    OR(
      TRIM(C722)=TRIM(Enginuity!$A$18),
      AND(UPPER(TRIM(M722))="STD", TRIM(B722)=TRIM(Enginuity!$A$17))
    ),
    OR(
      AND(LEFT(P722,5)="1-Way", Enginuity!$B$13=1),
      AND(LEFT(P722,5)="2-Way", OR(Enginuity!$B$13=2, Enginuity!$B$13=4)),
      AND(LEFT(P722,5)="3-Way", OR(Enginuity!$B$13=3, Enginuity!$B$13=6)),
      AND(P722="Inner Centre Jamb", OR(Enginuity!$B$13=4, Enginuity!$B$13=6)),
      AND(
        LEFT(P722,5)&lt;&gt;"1-Way",
        LEFT(P722,5)&lt;&gt;"2-Way",
        LEFT(P722,5)&lt;&gt;"3-Way",
        P722&lt;&gt;"Inner Centre Jamb"
      )
    ),
    IF(OR(Enginuity!$A$1="Frameless Glass",Enginuity!$A$1="Metal Work"),
      AND(TRIM(B722)=TRIM(Enginuity!$A$17),TRIM(C722)=TRIM(Enginuity!$A$18)),
      TRIM(B722)=TRIM(Enginuity!$A$17)
    )
  ),
  ROW(),
  ""
)</f>
        <v/>
      </c>
    </row>
    <row r="723" spans="1:21" x14ac:dyDescent="0.25">
      <c r="A723" s="10" t="s">
        <v>255</v>
      </c>
      <c r="B723" s="229" t="s">
        <v>89</v>
      </c>
      <c r="C723" s="10"/>
      <c r="D723" s="14"/>
      <c r="E723" s="157"/>
      <c r="F723" s="10"/>
      <c r="G723" s="17"/>
      <c r="H723" s="10"/>
      <c r="I723" s="17"/>
      <c r="J723" s="83"/>
      <c r="K723" s="343"/>
      <c r="L723" s="347"/>
      <c r="M723" s="10" t="s">
        <v>117</v>
      </c>
      <c r="N723" s="88" t="s">
        <v>112</v>
      </c>
      <c r="O723" s="22">
        <v>60</v>
      </c>
      <c r="P723" s="14" t="s">
        <v>182</v>
      </c>
      <c r="Q723" s="83">
        <f>FLOOR(Enginuity!$B$13/2,1)</f>
        <v>3</v>
      </c>
      <c r="U723" s="104" t="str">
        <f>IF(
  AND(
    TRIM(A723)=TRIM(Enginuity!$A$1),
    TRIM(B723)=TRIM(Enginuity!$A$17),
    Q723&lt;&gt;"",
    Q723&lt;&gt;0,
    OR(
      TRIM(C723)=TRIM(Enginuity!$A$18),
      AND(UPPER(TRIM(M723))="STD", TRIM(B723)=TRIM(Enginuity!$A$17))
    ),
    OR(
      AND(LEFT(P723,5)="1-Way", Enginuity!$B$13=1),
      AND(LEFT(P723,5)="2-Way", OR(Enginuity!$B$13=2, Enginuity!$B$13=4)),
      AND(LEFT(P723,5)="3-Way", OR(Enginuity!$B$13=3, Enginuity!$B$13=6)),
      AND(P723="Inner Centre Jamb", OR(Enginuity!$B$13=4, Enginuity!$B$13=6)),
      AND(
        LEFT(P723,5)&lt;&gt;"1-Way",
        LEFT(P723,5)&lt;&gt;"2-Way",
        LEFT(P723,5)&lt;&gt;"3-Way",
        P723&lt;&gt;"Inner Centre Jamb"
      )
    ),
    IF(OR(Enginuity!$A$1="Frameless Glass",Enginuity!$A$1="Metal Work"),
      AND(TRIM(B723)=TRIM(Enginuity!$A$17),TRIM(C723)=TRIM(Enginuity!$A$18)),
      TRIM(B723)=TRIM(Enginuity!$A$17)
    )
  ),
  ROW(),
  ""
)</f>
        <v/>
      </c>
    </row>
    <row r="724" spans="1:21" x14ac:dyDescent="0.25">
      <c r="A724" s="10" t="s">
        <v>255</v>
      </c>
      <c r="B724" s="229" t="s">
        <v>89</v>
      </c>
      <c r="C724" s="10"/>
      <c r="D724" s="14"/>
      <c r="E724" s="157"/>
      <c r="F724" s="10"/>
      <c r="G724" s="17"/>
      <c r="H724" s="10"/>
      <c r="I724" s="17"/>
      <c r="J724" s="83"/>
      <c r="K724" s="343"/>
      <c r="L724" s="347"/>
      <c r="M724" s="10" t="s">
        <v>117</v>
      </c>
      <c r="N724" s="10" t="s">
        <v>112</v>
      </c>
      <c r="O724" s="22">
        <v>2.8</v>
      </c>
      <c r="P724" s="14" t="s">
        <v>133</v>
      </c>
      <c r="Q724" s="83">
        <f>IF(AND(ISNUMBER(Enginuity!$B$13), Enginuity!$B$13&gt;0), Enginuity!$B$13*4, "")</f>
        <v>28</v>
      </c>
      <c r="U724" s="104" t="str">
        <f>IF(
  AND(
    TRIM(A724)=TRIM(Enginuity!$A$1),
    TRIM(B724)=TRIM(Enginuity!$A$17),
    Q724&lt;&gt;"",
    Q724&lt;&gt;0,
    OR(
      TRIM(C724)=TRIM(Enginuity!$A$18),
      AND(UPPER(TRIM(M724))="STD", TRIM(B724)=TRIM(Enginuity!$A$17))
    ),
    OR(
      AND(LEFT(P724,5)="1-Way", Enginuity!$B$13=1),
      AND(LEFT(P724,5)="2-Way", OR(Enginuity!$B$13=2, Enginuity!$B$13=4)),
      AND(LEFT(P724,5)="3-Way", OR(Enginuity!$B$13=3, Enginuity!$B$13=6)),
      AND(P724="Inner Centre Jamb", OR(Enginuity!$B$13=4, Enginuity!$B$13=6)),
      AND(
        LEFT(P724,5)&lt;&gt;"1-Way",
        LEFT(P724,5)&lt;&gt;"2-Way",
        LEFT(P724,5)&lt;&gt;"3-Way",
        P724&lt;&gt;"Inner Centre Jamb"
      )
    ),
    IF(OR(Enginuity!$A$1="Frameless Glass",Enginuity!$A$1="Metal Work"),
      AND(TRIM(B724)=TRIM(Enginuity!$A$17),TRIM(C724)=TRIM(Enginuity!$A$18)),
      TRIM(B724)=TRIM(Enginuity!$A$17)
    )
  ),
  ROW(),
  ""
)</f>
        <v/>
      </c>
    </row>
    <row r="725" spans="1:21" x14ac:dyDescent="0.25">
      <c r="A725" s="10" t="s">
        <v>255</v>
      </c>
      <c r="B725" s="229" t="s">
        <v>89</v>
      </c>
      <c r="C725" s="10"/>
      <c r="D725" s="14"/>
      <c r="E725" s="157"/>
      <c r="F725" s="10"/>
      <c r="G725" s="17"/>
      <c r="H725" s="10"/>
      <c r="I725" s="17"/>
      <c r="J725" s="83"/>
      <c r="K725" s="343"/>
      <c r="L725" s="347"/>
      <c r="M725" s="10" t="s">
        <v>117</v>
      </c>
      <c r="N725" s="10" t="s">
        <v>112</v>
      </c>
      <c r="O725" s="22">
        <v>28</v>
      </c>
      <c r="P725" s="14" t="s">
        <v>183</v>
      </c>
      <c r="Q725" s="83">
        <f>FLOOR(Enginuity!$B$13/2,1)</f>
        <v>3</v>
      </c>
      <c r="U725" s="104" t="str">
        <f>IF(
  AND(
    TRIM(A725)=TRIM(Enginuity!$A$1),
    TRIM(B725)=TRIM(Enginuity!$A$17),
    Q725&lt;&gt;"",
    Q725&lt;&gt;0,
    OR(
      TRIM(C725)=TRIM(Enginuity!$A$18),
      AND(UPPER(TRIM(M725))="STD", TRIM(B725)=TRIM(Enginuity!$A$17))
    ),
    OR(
      AND(LEFT(P725,5)="1-Way", Enginuity!$B$13=1),
      AND(LEFT(P725,5)="2-Way", OR(Enginuity!$B$13=2, Enginuity!$B$13=4)),
      AND(LEFT(P725,5)="3-Way", OR(Enginuity!$B$13=3, Enginuity!$B$13=6)),
      AND(P725="Inner Centre Jamb", OR(Enginuity!$B$13=4, Enginuity!$B$13=6)),
      AND(
        LEFT(P725,5)&lt;&gt;"1-Way",
        LEFT(P725,5)&lt;&gt;"2-Way",
        LEFT(P725,5)&lt;&gt;"3-Way",
        P725&lt;&gt;"Inner Centre Jamb"
      )
    ),
    IF(OR(Enginuity!$A$1="Frameless Glass",Enginuity!$A$1="Metal Work"),
      AND(TRIM(B725)=TRIM(Enginuity!$A$17),TRIM(C725)=TRIM(Enginuity!$A$18)),
      TRIM(B725)=TRIM(Enginuity!$A$17)
    )
  ),
  ROW(),
  ""
)</f>
        <v/>
      </c>
    </row>
    <row r="726" spans="1:21" x14ac:dyDescent="0.25">
      <c r="A726" s="10" t="s">
        <v>255</v>
      </c>
      <c r="B726" s="229" t="s">
        <v>89</v>
      </c>
      <c r="C726" s="10"/>
      <c r="D726" s="14"/>
      <c r="E726" s="157"/>
      <c r="F726" s="10"/>
      <c r="G726" s="17"/>
      <c r="H726" s="10"/>
      <c r="I726" s="17"/>
      <c r="J726" s="83"/>
      <c r="K726" s="343"/>
      <c r="L726" s="347"/>
      <c r="M726" s="10" t="s">
        <v>117</v>
      </c>
      <c r="N726" s="10" t="s">
        <v>112</v>
      </c>
      <c r="O726" s="22">
        <v>15</v>
      </c>
      <c r="P726" s="14" t="s">
        <v>223</v>
      </c>
      <c r="Q726" s="83">
        <f>(Enginuity!$B$13*
  IF(Enginuity!$B$7&lt;=7,3,
  IF(Enginuity!$B$7&lt;=9,4,
  IF(Enginuity!$B$7&lt;=11,5,6))))
  - (2*FLOOR((Enginuity!$B$13-1)/2,1))</f>
        <v>36</v>
      </c>
      <c r="U726" s="104" t="str">
        <f>IF(
  AND(
    TRIM(A726)=TRIM(Enginuity!$A$1),
    TRIM(B726)=TRIM(Enginuity!$A$17),
    Q726&lt;&gt;"",
    Q726&lt;&gt;0,
    OR(
      TRIM(C726)=TRIM(Enginuity!$A$18),
      AND(UPPER(TRIM(M726))="STD", TRIM(B726)=TRIM(Enginuity!$A$17))
    ),
    OR(
      AND(LEFT(P726,5)="1-Way", Enginuity!$B$13=1),
      AND(LEFT(P726,5)="2-Way", OR(Enginuity!$B$13=2, Enginuity!$B$13=4)),
      AND(LEFT(P726,5)="3-Way", OR(Enginuity!$B$13=3, Enginuity!$B$13=6)),
      AND(P726="Inner Centre Jamb", OR(Enginuity!$B$13=4, Enginuity!$B$13=6)),
      AND(
        LEFT(P726,5)&lt;&gt;"1-Way",
        LEFT(P726,5)&lt;&gt;"2-Way",
        LEFT(P726,5)&lt;&gt;"3-Way",
        P726&lt;&gt;"Inner Centre Jamb"
      )
    ),
    IF(OR(Enginuity!$A$1="Frameless Glass",Enginuity!$A$1="Metal Work"),
      AND(TRIM(B726)=TRIM(Enginuity!$A$17),TRIM(C726)=TRIM(Enginuity!$A$18)),
      TRIM(B726)=TRIM(Enginuity!$A$17)
    )
  ),
  ROW(),
  ""
)</f>
        <v/>
      </c>
    </row>
    <row r="727" spans="1:21" x14ac:dyDescent="0.25">
      <c r="A727" s="10" t="s">
        <v>255</v>
      </c>
      <c r="B727" s="229" t="s">
        <v>89</v>
      </c>
      <c r="C727" s="10"/>
      <c r="D727" s="14"/>
      <c r="E727" s="157"/>
      <c r="F727" s="10"/>
      <c r="G727" s="17"/>
      <c r="H727" s="10"/>
      <c r="I727" s="17"/>
      <c r="J727" s="83"/>
      <c r="K727" s="343"/>
      <c r="L727" s="347"/>
      <c r="M727" s="10" t="s">
        <v>117</v>
      </c>
      <c r="N727" s="10" t="s">
        <v>112</v>
      </c>
      <c r="O727" s="22">
        <v>30</v>
      </c>
      <c r="P727" s="14" t="s">
        <v>184</v>
      </c>
      <c r="Q727" s="83">
        <f>FLOOR(Enginuity!$B$13/2,1)</f>
        <v>3</v>
      </c>
      <c r="U727" s="104" t="str">
        <f>IF(
  AND(
    TRIM(A727)=TRIM(Enginuity!$A$1),
    TRIM(B727)=TRIM(Enginuity!$A$17),
    Q727&lt;&gt;"",
    Q727&lt;&gt;0,
    OR(
      TRIM(C727)=TRIM(Enginuity!$A$18),
      AND(UPPER(TRIM(M727))="STD", TRIM(B727)=TRIM(Enginuity!$A$17))
    ),
    OR(
      AND(LEFT(P727,5)="1-Way", Enginuity!$B$13=1),
      AND(LEFT(P727,5)="2-Way", OR(Enginuity!$B$13=2, Enginuity!$B$13=4)),
      AND(LEFT(P727,5)="3-Way", OR(Enginuity!$B$13=3, Enginuity!$B$13=6)),
      AND(P727="Inner Centre Jamb", OR(Enginuity!$B$13=4, Enginuity!$B$13=6)),
      AND(
        LEFT(P727,5)&lt;&gt;"1-Way",
        LEFT(P727,5)&lt;&gt;"2-Way",
        LEFT(P727,5)&lt;&gt;"3-Way",
        P727&lt;&gt;"Inner Centre Jamb"
      )
    ),
    IF(OR(Enginuity!$A$1="Frameless Glass",Enginuity!$A$1="Metal Work"),
      AND(TRIM(B727)=TRIM(Enginuity!$A$17),TRIM(C727)=TRIM(Enginuity!$A$18)),
      TRIM(B727)=TRIM(Enginuity!$A$17)
    )
  ),
  ROW(),
  ""
)</f>
        <v/>
      </c>
    </row>
    <row r="728" spans="1:21" x14ac:dyDescent="0.25">
      <c r="A728" s="10" t="s">
        <v>255</v>
      </c>
      <c r="B728" s="229" t="s">
        <v>89</v>
      </c>
      <c r="C728" s="10"/>
      <c r="D728" s="14"/>
      <c r="E728" s="157"/>
      <c r="F728" s="10"/>
      <c r="G728" s="17"/>
      <c r="H728" s="10"/>
      <c r="I728" s="17"/>
      <c r="J728" s="83"/>
      <c r="K728" s="343"/>
      <c r="L728" s="347"/>
      <c r="M728" s="10" t="s">
        <v>117</v>
      </c>
      <c r="N728" s="10" t="s">
        <v>112</v>
      </c>
      <c r="O728" s="22">
        <v>7.8</v>
      </c>
      <c r="P728" s="14" t="s">
        <v>185</v>
      </c>
      <c r="Q728" s="83">
        <f>(FLOOR(Enginuity!$B$13/2,1)*2)+IF(MOD(Enginuity!$B$13,2)=1,2,0)</f>
        <v>8</v>
      </c>
      <c r="U728" s="104" t="str">
        <f>IF(
  AND(
    TRIM(A728)=TRIM(Enginuity!$A$1),
    TRIM(B728)=TRIM(Enginuity!$A$17),
    Q728&lt;&gt;"",
    Q728&lt;&gt;0,
    OR(
      TRIM(C728)=TRIM(Enginuity!$A$18),
      AND(UPPER(TRIM(M728))="STD", TRIM(B728)=TRIM(Enginuity!$A$17))
    ),
    OR(
      AND(LEFT(P728,5)="1-Way", Enginuity!$B$13=1),
      AND(LEFT(P728,5)="2-Way", OR(Enginuity!$B$13=2, Enginuity!$B$13=4)),
      AND(LEFT(P728,5)="3-Way", OR(Enginuity!$B$13=3, Enginuity!$B$13=6)),
      AND(P728="Inner Centre Jamb", OR(Enginuity!$B$13=4, Enginuity!$B$13=6)),
      AND(
        LEFT(P728,5)&lt;&gt;"1-Way",
        LEFT(P728,5)&lt;&gt;"2-Way",
        LEFT(P728,5)&lt;&gt;"3-Way",
        P728&lt;&gt;"Inner Centre Jamb"
      )
    ),
    IF(OR(Enginuity!$A$1="Frameless Glass",Enginuity!$A$1="Metal Work"),
      AND(TRIM(B728)=TRIM(Enginuity!$A$17),TRIM(C728)=TRIM(Enginuity!$A$18)),
      TRIM(B728)=TRIM(Enginuity!$A$17)
    )
  ),
  ROW(),
  ""
)</f>
        <v/>
      </c>
    </row>
    <row r="729" spans="1:21" x14ac:dyDescent="0.25">
      <c r="A729" s="10" t="s">
        <v>255</v>
      </c>
      <c r="B729" s="229" t="s">
        <v>89</v>
      </c>
      <c r="C729" s="10"/>
      <c r="D729" s="14"/>
      <c r="E729" s="157"/>
      <c r="F729" s="10"/>
      <c r="G729" s="17"/>
      <c r="H729" s="10"/>
      <c r="I729" s="17"/>
      <c r="J729" s="83"/>
      <c r="K729" s="343"/>
      <c r="L729" s="347"/>
      <c r="M729" s="10" t="s">
        <v>117</v>
      </c>
      <c r="N729" s="10"/>
      <c r="O729" s="22"/>
      <c r="P729" s="21"/>
      <c r="Q729" s="83"/>
      <c r="U729" s="104" t="str">
        <f>IF(
  AND(
    TRIM(A729)=TRIM(Enginuity!$A$1),
    TRIM(B729)=TRIM(Enginuity!$A$17),
    Q729&lt;&gt;"",
    Q729&lt;&gt;0,
    OR(
      TRIM(C729)=TRIM(Enginuity!$A$18),
      AND(UPPER(TRIM(M729))="STD", TRIM(B729)=TRIM(Enginuity!$A$17))
    ),
    OR(
      AND(LEFT(P729,5)="1-Way", Enginuity!$B$13=1),
      AND(LEFT(P729,5)="2-Way", OR(Enginuity!$B$13=2, Enginuity!$B$13=4)),
      AND(LEFT(P729,5)="3-Way", OR(Enginuity!$B$13=3, Enginuity!$B$13=6)),
      AND(P729="Inner Centre Jamb", OR(Enginuity!$B$13=4, Enginuity!$B$13=6)),
      AND(
        LEFT(P729,5)&lt;&gt;"1-Way",
        LEFT(P729,5)&lt;&gt;"2-Way",
        LEFT(P729,5)&lt;&gt;"3-Way",
        P729&lt;&gt;"Inner Centre Jamb"
      )
    ),
    IF(OR(Enginuity!$A$1="Frameless Glass",Enginuity!$A$1="Metal Work"),
      AND(TRIM(B729)=TRIM(Enginuity!$A$17),TRIM(C729)=TRIM(Enginuity!$A$18)),
      TRIM(B729)=TRIM(Enginuity!$A$17)
    )
  ),
  ROW(),
  ""
)</f>
        <v/>
      </c>
    </row>
    <row r="730" spans="1:21" x14ac:dyDescent="0.25">
      <c r="A730" s="10" t="s">
        <v>255</v>
      </c>
      <c r="B730" s="229" t="s">
        <v>89</v>
      </c>
      <c r="C730" s="10"/>
      <c r="D730" s="14"/>
      <c r="E730" s="157"/>
      <c r="F730" s="10"/>
      <c r="G730" s="17"/>
      <c r="H730" s="10"/>
      <c r="I730" s="17"/>
      <c r="J730" s="83"/>
      <c r="K730" s="343"/>
      <c r="L730" s="347"/>
      <c r="M730" s="10" t="s">
        <v>117</v>
      </c>
      <c r="N730" s="10"/>
      <c r="O730" s="22"/>
      <c r="P730" s="21"/>
      <c r="Q730" s="83"/>
      <c r="U730" s="104" t="str">
        <f>IF(
  AND(
    TRIM(A730)=TRIM(Enginuity!$A$1),
    TRIM(B730)=TRIM(Enginuity!$A$17),
    Q730&lt;&gt;"",
    Q730&lt;&gt;0,
    OR(
      TRIM(C730)=TRIM(Enginuity!$A$18),
      AND(UPPER(TRIM(M730))="STD", TRIM(B730)=TRIM(Enginuity!$A$17))
    ),
    OR(
      AND(LEFT(P730,5)="1-Way", Enginuity!$B$13=1),
      AND(LEFT(P730,5)="2-Way", OR(Enginuity!$B$13=2, Enginuity!$B$13=4)),
      AND(LEFT(P730,5)="3-Way", OR(Enginuity!$B$13=3, Enginuity!$B$13=6)),
      AND(P730="Inner Centre Jamb", OR(Enginuity!$B$13=4, Enginuity!$B$13=6)),
      AND(
        LEFT(P730,5)&lt;&gt;"1-Way",
        LEFT(P730,5)&lt;&gt;"2-Way",
        LEFT(P730,5)&lt;&gt;"3-Way",
        P730&lt;&gt;"Inner Centre Jamb"
      )
    ),
    IF(OR(Enginuity!$A$1="Frameless Glass",Enginuity!$A$1="Metal Work"),
      AND(TRIM(B730)=TRIM(Enginuity!$A$17),TRIM(C730)=TRIM(Enginuity!$A$18)),
      TRIM(B730)=TRIM(Enginuity!$A$17)
    )
  ),
  ROW(),
  ""
)</f>
        <v/>
      </c>
    </row>
    <row r="731" spans="1:21" x14ac:dyDescent="0.25">
      <c r="A731" s="10" t="s">
        <v>255</v>
      </c>
      <c r="B731" s="229" t="s">
        <v>89</v>
      </c>
      <c r="C731" s="10"/>
      <c r="D731" s="14"/>
      <c r="E731" s="157"/>
      <c r="F731" s="10"/>
      <c r="G731" s="17"/>
      <c r="H731" s="10"/>
      <c r="I731" s="17"/>
      <c r="J731" s="83"/>
      <c r="K731" s="343"/>
      <c r="L731" s="347"/>
      <c r="M731" s="10" t="s">
        <v>117</v>
      </c>
      <c r="N731" s="10"/>
      <c r="O731" s="22"/>
      <c r="P731" s="14"/>
      <c r="Q731" s="83"/>
      <c r="U731" s="104" t="str">
        <f>IF(
  AND(
    TRIM(A731)=TRIM(Enginuity!$A$1),
    TRIM(B731)=TRIM(Enginuity!$A$17),
    Q731&lt;&gt;"",
    Q731&lt;&gt;0,
    OR(
      TRIM(C731)=TRIM(Enginuity!$A$18),
      AND(UPPER(TRIM(M731))="STD", TRIM(B731)=TRIM(Enginuity!$A$17))
    ),
    OR(
      AND(LEFT(P731,5)="1-Way", Enginuity!$B$13=1),
      AND(LEFT(P731,5)="2-Way", OR(Enginuity!$B$13=2, Enginuity!$B$13=4)),
      AND(LEFT(P731,5)="3-Way", OR(Enginuity!$B$13=3, Enginuity!$B$13=6)),
      AND(P731="Inner Centre Jamb", OR(Enginuity!$B$13=4, Enginuity!$B$13=6)),
      AND(
        LEFT(P731,5)&lt;&gt;"1-Way",
        LEFT(P731,5)&lt;&gt;"2-Way",
        LEFT(P731,5)&lt;&gt;"3-Way",
        P731&lt;&gt;"Inner Centre Jamb"
      )
    ),
    IF(OR(Enginuity!$A$1="Frameless Glass",Enginuity!$A$1="Metal Work"),
      AND(TRIM(B731)=TRIM(Enginuity!$A$17),TRIM(C731)=TRIM(Enginuity!$A$18)),
      TRIM(B731)=TRIM(Enginuity!$A$17)
    )
  ),
  ROW(),
  ""
)</f>
        <v/>
      </c>
    </row>
    <row r="732" spans="1:21" x14ac:dyDescent="0.25">
      <c r="A732" s="10" t="s">
        <v>255</v>
      </c>
      <c r="B732" s="229" t="s">
        <v>89</v>
      </c>
      <c r="C732" s="10"/>
      <c r="D732" s="14"/>
      <c r="E732" s="157"/>
      <c r="F732" s="10"/>
      <c r="G732" s="17"/>
      <c r="H732" s="10"/>
      <c r="I732" s="17"/>
      <c r="J732" s="83"/>
      <c r="K732" s="343"/>
      <c r="L732" s="347"/>
      <c r="M732" s="10" t="s">
        <v>117</v>
      </c>
      <c r="N732" s="10"/>
      <c r="O732" s="22"/>
      <c r="P732" s="21"/>
      <c r="Q732" s="83"/>
      <c r="U732" s="104" t="str">
        <f>IF(
  AND(
    TRIM(A732)=TRIM(Enginuity!$A$1),
    TRIM(B732)=TRIM(Enginuity!$A$17),
    Q732&lt;&gt;"",
    Q732&lt;&gt;0,
    OR(
      TRIM(C732)=TRIM(Enginuity!$A$18),
      AND(UPPER(TRIM(M732))="STD", TRIM(B732)=TRIM(Enginuity!$A$17))
    ),
    OR(
      AND(LEFT(P732,5)="1-Way", Enginuity!$B$13=1),
      AND(LEFT(P732,5)="2-Way", OR(Enginuity!$B$13=2, Enginuity!$B$13=4)),
      AND(LEFT(P732,5)="3-Way", OR(Enginuity!$B$13=3, Enginuity!$B$13=6)),
      AND(P732="Inner Centre Jamb", OR(Enginuity!$B$13=4, Enginuity!$B$13=6)),
      AND(
        LEFT(P732,5)&lt;&gt;"1-Way",
        LEFT(P732,5)&lt;&gt;"2-Way",
        LEFT(P732,5)&lt;&gt;"3-Way",
        P732&lt;&gt;"Inner Centre Jamb"
      )
    ),
    IF(OR(Enginuity!$A$1="Frameless Glass",Enginuity!$A$1="Metal Work"),
      AND(TRIM(B732)=TRIM(Enginuity!$A$17),TRIM(C732)=TRIM(Enginuity!$A$18)),
      TRIM(B732)=TRIM(Enginuity!$A$17)
    )
  ),
  ROW(),
  ""
)</f>
        <v/>
      </c>
    </row>
    <row r="733" spans="1:21" x14ac:dyDescent="0.25">
      <c r="A733" s="10"/>
      <c r="B733" s="229"/>
      <c r="C733" s="10"/>
      <c r="D733" s="14"/>
      <c r="E733" s="157"/>
      <c r="F733" s="10"/>
      <c r="G733" s="17"/>
      <c r="H733" s="10"/>
      <c r="I733" s="17"/>
      <c r="J733" s="83"/>
      <c r="K733" s="343"/>
      <c r="L733" s="347"/>
      <c r="M733" s="89">
        <v>46</v>
      </c>
      <c r="N733" s="10"/>
      <c r="O733" s="22"/>
      <c r="P733" s="14"/>
      <c r="Q733" s="83"/>
      <c r="U733" s="104" t="str">
        <f>IF(
  AND(
    TRIM(A733)=TRIM(Enginuity!$A$1),
    TRIM(B733)=TRIM(Enginuity!$A$17),
    Q733&lt;&gt;"",
    Q733&lt;&gt;0,
    OR(
      TRIM(C733)=TRIM(Enginuity!$A$18),
      AND(UPPER(TRIM(M733))="STD", TRIM(B733)=TRIM(Enginuity!$A$17))
    ),
    OR(
      AND(LEFT(P733,5)="1-Way", Enginuity!$B$13=1),
      AND(LEFT(P733,5)="2-Way", OR(Enginuity!$B$13=2, Enginuity!$B$13=4)),
      AND(LEFT(P733,5)="3-Way", OR(Enginuity!$B$13=3, Enginuity!$B$13=6)),
      AND(P733="Inner Centre Jamb", OR(Enginuity!$B$13=4, Enginuity!$B$13=6)),
      AND(
        LEFT(P733,5)&lt;&gt;"1-Way",
        LEFT(P733,5)&lt;&gt;"2-Way",
        LEFT(P733,5)&lt;&gt;"3-Way",
        P733&lt;&gt;"Inner Centre Jamb"
      )
    ),
    IF(OR(Enginuity!$A$1="Frameless Glass",Enginuity!$A$1="Metal Work"),
      AND(TRIM(B733)=TRIM(Enginuity!$A$17),TRIM(C733)=TRIM(Enginuity!$A$18)),
      TRIM(B733)=TRIM(Enginuity!$A$17)
    )
  ),
  ROW(),
  ""
)</f>
        <v/>
      </c>
    </row>
    <row r="734" spans="1:21" x14ac:dyDescent="0.25">
      <c r="A734" s="10"/>
      <c r="B734" s="229"/>
      <c r="C734" s="10"/>
      <c r="D734" s="14"/>
      <c r="E734" s="157"/>
      <c r="F734" s="10"/>
      <c r="G734" s="17"/>
      <c r="H734" s="10"/>
      <c r="I734" s="17"/>
      <c r="J734" s="83"/>
      <c r="K734" s="343"/>
      <c r="L734" s="347"/>
      <c r="M734" s="89">
        <v>47</v>
      </c>
      <c r="N734" s="10"/>
      <c r="O734" s="22"/>
      <c r="P734" s="14"/>
      <c r="Q734" s="83"/>
      <c r="U734" s="104" t="str">
        <f>IF(
  AND(
    TRIM(A734)=TRIM(Enginuity!$A$1),
    TRIM(B734)=TRIM(Enginuity!$A$17),
    Q734&lt;&gt;"",
    Q734&lt;&gt;0,
    OR(
      TRIM(C734)=TRIM(Enginuity!$A$18),
      AND(UPPER(TRIM(M734))="STD", TRIM(B734)=TRIM(Enginuity!$A$17))
    ),
    OR(
      AND(LEFT(P734,5)="1-Way", Enginuity!$B$13=1),
      AND(LEFT(P734,5)="2-Way", OR(Enginuity!$B$13=2, Enginuity!$B$13=4)),
      AND(LEFT(P734,5)="3-Way", OR(Enginuity!$B$13=3, Enginuity!$B$13=6)),
      AND(P734="Inner Centre Jamb", OR(Enginuity!$B$13=4, Enginuity!$B$13=6)),
      AND(
        LEFT(P734,5)&lt;&gt;"1-Way",
        LEFT(P734,5)&lt;&gt;"2-Way",
        LEFT(P734,5)&lt;&gt;"3-Way",
        P734&lt;&gt;"Inner Centre Jamb"
      )
    ),
    IF(OR(Enginuity!$A$1="Frameless Glass",Enginuity!$A$1="Metal Work"),
      AND(TRIM(B734)=TRIM(Enginuity!$A$17),TRIM(C734)=TRIM(Enginuity!$A$18)),
      TRIM(B734)=TRIM(Enginuity!$A$17)
    )
  ),
  ROW(),
  ""
)</f>
        <v/>
      </c>
    </row>
    <row r="735" spans="1:21" x14ac:dyDescent="0.25">
      <c r="A735" s="10"/>
      <c r="B735" s="229"/>
      <c r="C735" s="10"/>
      <c r="D735" s="14"/>
      <c r="E735" s="157"/>
      <c r="F735" s="10"/>
      <c r="G735" s="17"/>
      <c r="H735" s="10"/>
      <c r="I735" s="17"/>
      <c r="J735" s="83"/>
      <c r="K735" s="343"/>
      <c r="L735" s="347"/>
      <c r="M735" s="89">
        <v>48</v>
      </c>
      <c r="N735" s="10"/>
      <c r="O735" s="22"/>
      <c r="P735" s="14"/>
      <c r="Q735" s="83"/>
      <c r="U735" s="104" t="str">
        <f>IF(
  AND(
    TRIM(A735)=TRIM(Enginuity!$A$1),
    TRIM(B735)=TRIM(Enginuity!$A$17),
    Q735&lt;&gt;"",
    Q735&lt;&gt;0,
    OR(
      TRIM(C735)=TRIM(Enginuity!$A$18),
      AND(UPPER(TRIM(M735))="STD", TRIM(B735)=TRIM(Enginuity!$A$17))
    ),
    OR(
      AND(LEFT(P735,5)="1-Way", Enginuity!$B$13=1),
      AND(LEFT(P735,5)="2-Way", OR(Enginuity!$B$13=2, Enginuity!$B$13=4)),
      AND(LEFT(P735,5)="3-Way", OR(Enginuity!$B$13=3, Enginuity!$B$13=6)),
      AND(P735="Inner Centre Jamb", OR(Enginuity!$B$13=4, Enginuity!$B$13=6)),
      AND(
        LEFT(P735,5)&lt;&gt;"1-Way",
        LEFT(P735,5)&lt;&gt;"2-Way",
        LEFT(P735,5)&lt;&gt;"3-Way",
        P735&lt;&gt;"Inner Centre Jamb"
      )
    ),
    IF(OR(Enginuity!$A$1="Frameless Glass",Enginuity!$A$1="Metal Work"),
      AND(TRIM(B735)=TRIM(Enginuity!$A$17),TRIM(C735)=TRIM(Enginuity!$A$18)),
      TRIM(B735)=TRIM(Enginuity!$A$17)
    )
  ),
  ROW(),
  ""
)</f>
        <v/>
      </c>
    </row>
    <row r="736" spans="1:21" x14ac:dyDescent="0.25">
      <c r="A736" s="17"/>
      <c r="B736" s="230"/>
      <c r="C736" s="17"/>
      <c r="D736" s="18"/>
      <c r="E736" s="238"/>
      <c r="F736" s="17"/>
      <c r="G736" s="17"/>
      <c r="H736" s="10"/>
      <c r="I736" s="17"/>
      <c r="J736" s="83"/>
      <c r="K736" s="343"/>
      <c r="L736" s="347"/>
      <c r="M736" s="90">
        <v>49</v>
      </c>
      <c r="N736" s="91"/>
      <c r="O736" s="25"/>
      <c r="P736" s="92"/>
      <c r="Q736" s="84"/>
      <c r="U736" s="104" t="str">
        <f>IF(
  AND(
    TRIM(A736)=TRIM(Enginuity!$A$1),
    TRIM(B736)=TRIM(Enginuity!$A$17),
    Q736&lt;&gt;"",
    Q736&lt;&gt;0,
    OR(
      TRIM(C736)=TRIM(Enginuity!$A$18),
      AND(UPPER(TRIM(M736))="STD", TRIM(B736)=TRIM(Enginuity!$A$17))
    ),
    OR(
      AND(LEFT(P736,5)="1-Way", Enginuity!$B$13=1),
      AND(LEFT(P736,5)="2-Way", OR(Enginuity!$B$13=2, Enginuity!$B$13=4)),
      AND(LEFT(P736,5)="3-Way", OR(Enginuity!$B$13=3, Enginuity!$B$13=6)),
      AND(P736="Inner Centre Jamb", OR(Enginuity!$B$13=4, Enginuity!$B$13=6)),
      AND(
        LEFT(P736,5)&lt;&gt;"1-Way",
        LEFT(P736,5)&lt;&gt;"2-Way",
        LEFT(P736,5)&lt;&gt;"3-Way",
        P736&lt;&gt;"Inner Centre Jamb"
      )
    ),
    IF(OR(Enginuity!$A$1="Frameless Glass",Enginuity!$A$1="Metal Work"),
      AND(TRIM(B736)=TRIM(Enginuity!$A$17),TRIM(C736)=TRIM(Enginuity!$A$18)),
      TRIM(B736)=TRIM(Enginuity!$A$17)
    )
  ),
  ROW(),
  ""
)</f>
        <v/>
      </c>
    </row>
    <row r="737" spans="1:21" x14ac:dyDescent="0.25">
      <c r="A737" s="10" t="s">
        <v>255</v>
      </c>
      <c r="B737" s="229" t="s">
        <v>95</v>
      </c>
      <c r="C737" s="10" t="s">
        <v>97</v>
      </c>
      <c r="D737" s="14" t="str" cm="1">
        <f t="array" ref="D737:D743">IFERROR(INDEX(_xlfn._xlws.FILTER(AllMaterialsbak!$BA$2:$BA$30, AllMaterialsbak!$BA$2:$BA$30&lt;&gt;""), _xlfn.SEQUENCE(7)), "")</f>
        <v>Default</v>
      </c>
      <c r="E737" s="157" t="s">
        <v>257</v>
      </c>
      <c r="F737" s="10" t="s">
        <v>9</v>
      </c>
      <c r="G737" s="17"/>
      <c r="H737" s="10"/>
      <c r="I737" s="17"/>
      <c r="J737" s="83"/>
      <c r="K737" s="344">
        <v>0.52659999999999996</v>
      </c>
      <c r="L737" s="347">
        <v>914.4</v>
      </c>
      <c r="M737" s="89">
        <v>1</v>
      </c>
      <c r="N737" s="10" t="s">
        <v>103</v>
      </c>
      <c r="O737" s="22">
        <v>9.3000000000000007</v>
      </c>
      <c r="P737" s="14" t="s">
        <v>281</v>
      </c>
      <c r="Q737" s="98">
        <f>Enginuity!$B$6</f>
        <v>20</v>
      </c>
      <c r="U737" s="104" t="str">
        <f>IF(
  AND(
    TRIM(A737)=TRIM(Enginuity!$A$1),
    TRIM(B737)=TRIM(Enginuity!$A$17),
    Q737&lt;&gt;"",
    Q737&lt;&gt;0,
    OR(
      TRIM(C737)=TRIM(Enginuity!$A$18),
      AND(UPPER(TRIM(M737))="STD", TRIM(B737)=TRIM(Enginuity!$A$17))
    ),
    OR(
      AND(LEFT(P737,5)="1-Way", Enginuity!$B$13=1),
      AND(LEFT(P737,5)="2-Way", OR(Enginuity!$B$13=2, Enginuity!$B$13=4)),
      AND(LEFT(P737,5)="3-Way", OR(Enginuity!$B$13=3, Enginuity!$B$13=6)),
      AND(P737="Inner Centre Jamb", OR(Enginuity!$B$13=4, Enginuity!$B$13=6)),
      AND(
        LEFT(P737,5)&lt;&gt;"1-Way",
        LEFT(P737,5)&lt;&gt;"2-Way",
        LEFT(P737,5)&lt;&gt;"3-Way",
        P737&lt;&gt;"Inner Centre Jamb"
      )
    ),
    IF(OR(Enginuity!$A$1="Frameless Glass",Enginuity!$A$1="Metal Work"),
      AND(TRIM(B737)=TRIM(Enginuity!$A$17),TRIM(C737)=TRIM(Enginuity!$A$18)),
      TRIM(B737)=TRIM(Enginuity!$A$17)
    )
  ),
  ROW(),
  ""
)</f>
        <v/>
      </c>
    </row>
    <row r="738" spans="1:21" x14ac:dyDescent="0.25">
      <c r="A738" s="10" t="s">
        <v>255</v>
      </c>
      <c r="B738" s="229" t="s">
        <v>95</v>
      </c>
      <c r="C738" s="10" t="s">
        <v>97</v>
      </c>
      <c r="D738" s="14" t="str">
        <v xml:space="preserve">2" Louver Blade N/A </v>
      </c>
      <c r="E738" s="157" t="s">
        <v>269</v>
      </c>
      <c r="F738" s="11"/>
      <c r="G738" s="17"/>
      <c r="H738" s="10"/>
      <c r="I738" s="17"/>
      <c r="J738" s="83"/>
      <c r="K738" s="343"/>
      <c r="L738" s="347"/>
      <c r="M738" s="89">
        <v>2</v>
      </c>
      <c r="N738" s="10" t="s">
        <v>103</v>
      </c>
      <c r="O738" s="22">
        <v>9.3000000000000007</v>
      </c>
      <c r="P738" s="14" t="s">
        <v>284</v>
      </c>
      <c r="Q738" s="98">
        <f>Enginuity!$B$6</f>
        <v>20</v>
      </c>
      <c r="U738" s="104" t="str">
        <f>IF(
  AND(
    TRIM(A738)=TRIM(Enginuity!$A$1),
    TRIM(B738)=TRIM(Enginuity!$A$17),
    Q738&lt;&gt;"",
    Q738&lt;&gt;0,
    OR(
      TRIM(C738)=TRIM(Enginuity!$A$18),
      AND(UPPER(TRIM(M738))="STD", TRIM(B738)=TRIM(Enginuity!$A$17))
    ),
    OR(
      AND(LEFT(P738,5)="1-Way", Enginuity!$B$13=1),
      AND(LEFT(P738,5)="2-Way", OR(Enginuity!$B$13=2, Enginuity!$B$13=4)),
      AND(LEFT(P738,5)="3-Way", OR(Enginuity!$B$13=3, Enginuity!$B$13=6)),
      AND(P738="Inner Centre Jamb", OR(Enginuity!$B$13=4, Enginuity!$B$13=6)),
      AND(
        LEFT(P738,5)&lt;&gt;"1-Way",
        LEFT(P738,5)&lt;&gt;"2-Way",
        LEFT(P738,5)&lt;&gt;"3-Way",
        P738&lt;&gt;"Inner Centre Jamb"
      )
    ),
    IF(OR(Enginuity!$A$1="Frameless Glass",Enginuity!$A$1="Metal Work"),
      AND(TRIM(B738)=TRIM(Enginuity!$A$17),TRIM(C738)=TRIM(Enginuity!$A$18)),
      TRIM(B738)=TRIM(Enginuity!$A$17)
    )
  ),
  ROW(),
  ""
)</f>
        <v/>
      </c>
    </row>
    <row r="739" spans="1:21" x14ac:dyDescent="0.25">
      <c r="A739" s="10" t="s">
        <v>255</v>
      </c>
      <c r="B739" s="229" t="s">
        <v>95</v>
      </c>
      <c r="C739" s="10" t="s">
        <v>97</v>
      </c>
      <c r="D739" s="14" t="str">
        <v>2" Louver Blade P/C</v>
      </c>
      <c r="E739" s="157"/>
      <c r="F739" s="10"/>
      <c r="G739" s="17"/>
      <c r="H739" s="10"/>
      <c r="I739" s="17"/>
      <c r="J739" s="83"/>
      <c r="K739" s="343"/>
      <c r="L739" s="347"/>
      <c r="M739" s="89">
        <v>3</v>
      </c>
      <c r="N739" s="10" t="s">
        <v>103</v>
      </c>
      <c r="O739" s="22">
        <v>9.3000000000000007</v>
      </c>
      <c r="P739" s="14" t="s">
        <v>287</v>
      </c>
      <c r="Q739" s="83">
        <f>IF(Enginuity!$B$7&gt;0, 2 * Enginuity!$B$7, "")</f>
        <v>26</v>
      </c>
      <c r="U739" s="104" t="str">
        <f>IF(
  AND(
    TRIM(A739)=TRIM(Enginuity!$A$1),
    TRIM(B739)=TRIM(Enginuity!$A$17),
    Q739&lt;&gt;"",
    Q739&lt;&gt;0,
    OR(
      TRIM(C739)=TRIM(Enginuity!$A$18),
      AND(UPPER(TRIM(M739))="STD", TRIM(B739)=TRIM(Enginuity!$A$17))
    ),
    OR(
      AND(LEFT(P739,5)="1-Way", Enginuity!$B$13=1),
      AND(LEFT(P739,5)="2-Way", OR(Enginuity!$B$13=2, Enginuity!$B$13=4)),
      AND(LEFT(P739,5)="3-Way", OR(Enginuity!$B$13=3, Enginuity!$B$13=6)),
      AND(P739="Inner Centre Jamb", OR(Enginuity!$B$13=4, Enginuity!$B$13=6)),
      AND(
        LEFT(P739,5)&lt;&gt;"1-Way",
        LEFT(P739,5)&lt;&gt;"2-Way",
        LEFT(P739,5)&lt;&gt;"3-Way",
        P739&lt;&gt;"Inner Centre Jamb"
      )
    ),
    IF(OR(Enginuity!$A$1="Frameless Glass",Enginuity!$A$1="Metal Work"),
      AND(TRIM(B739)=TRIM(Enginuity!$A$17),TRIM(C739)=TRIM(Enginuity!$A$18)),
      TRIM(B739)=TRIM(Enginuity!$A$17)
    )
  ),
  ROW(),
  ""
)</f>
        <v/>
      </c>
    </row>
    <row r="740" spans="1:21" x14ac:dyDescent="0.25">
      <c r="A740" s="10" t="s">
        <v>255</v>
      </c>
      <c r="B740" s="229" t="s">
        <v>95</v>
      </c>
      <c r="C740" s="10" t="s">
        <v>97</v>
      </c>
      <c r="D740" s="14" t="str">
        <v xml:space="preserve">5" Louver Blade N/A </v>
      </c>
      <c r="E740" s="157"/>
      <c r="F740" s="10"/>
      <c r="G740" s="17"/>
      <c r="H740" s="10"/>
      <c r="I740" s="17"/>
      <c r="J740" s="83"/>
      <c r="K740" s="343"/>
      <c r="L740" s="347"/>
      <c r="M740" s="89">
        <v>4</v>
      </c>
      <c r="N740" s="10" t="s">
        <v>103</v>
      </c>
      <c r="O740" s="22">
        <v>13.8</v>
      </c>
      <c r="P740" s="14" t="s">
        <v>282</v>
      </c>
      <c r="Q740" s="83">
        <f>Enginuity!$B$6*2</f>
        <v>40</v>
      </c>
      <c r="U740" s="104" t="str">
        <f>IF(
  AND(
    TRIM(A740)=TRIM(Enginuity!$A$1),
    TRIM(B740)=TRIM(Enginuity!$A$17),
    Q740&lt;&gt;"",
    Q740&lt;&gt;0,
    OR(
      TRIM(C740)=TRIM(Enginuity!$A$18),
      AND(UPPER(TRIM(M740))="STD", TRIM(B740)=TRIM(Enginuity!$A$17))
    ),
    OR(
      AND(LEFT(P740,5)="1-Way", Enginuity!$B$13=1),
      AND(LEFT(P740,5)="2-Way", OR(Enginuity!$B$13=2, Enginuity!$B$13=4)),
      AND(LEFT(P740,5)="3-Way", OR(Enginuity!$B$13=3, Enginuity!$B$13=6)),
      AND(P740="Inner Centre Jamb", OR(Enginuity!$B$13=4, Enginuity!$B$13=6)),
      AND(
        LEFT(P740,5)&lt;&gt;"1-Way",
        LEFT(P740,5)&lt;&gt;"2-Way",
        LEFT(P740,5)&lt;&gt;"3-Way",
        P740&lt;&gt;"Inner Centre Jamb"
      )
    ),
    IF(OR(Enginuity!$A$1="Frameless Glass",Enginuity!$A$1="Metal Work"),
      AND(TRIM(B740)=TRIM(Enginuity!$A$17),TRIM(C740)=TRIM(Enginuity!$A$18)),
      TRIM(B740)=TRIM(Enginuity!$A$17)
    )
  ),
  ROW(),
  ""
)</f>
        <v/>
      </c>
    </row>
    <row r="741" spans="1:21" x14ac:dyDescent="0.25">
      <c r="A741" s="10" t="s">
        <v>255</v>
      </c>
      <c r="B741" s="229" t="s">
        <v>95</v>
      </c>
      <c r="C741" s="10" t="s">
        <v>97</v>
      </c>
      <c r="D741" s="14" t="str">
        <v>5" Louver Blade P/C</v>
      </c>
      <c r="E741" s="157"/>
      <c r="F741" s="10"/>
      <c r="G741" s="17"/>
      <c r="H741" s="10"/>
      <c r="I741" s="17"/>
      <c r="J741" s="83"/>
      <c r="K741" s="343"/>
      <c r="L741" s="347"/>
      <c r="M741" s="89">
        <v>5</v>
      </c>
      <c r="N741" s="10" t="s">
        <v>103</v>
      </c>
      <c r="O741" s="22">
        <v>13.8</v>
      </c>
      <c r="P741" s="14" t="s">
        <v>285</v>
      </c>
      <c r="Q741" s="83">
        <f>Enginuity!$B$6*2</f>
        <v>40</v>
      </c>
      <c r="U741" s="104" t="str">
        <f>IF(
  AND(
    TRIM(A741)=TRIM(Enginuity!$A$1),
    TRIM(B741)=TRIM(Enginuity!$A$17),
    Q741&lt;&gt;"",
    Q741&lt;&gt;0,
    OR(
      TRIM(C741)=TRIM(Enginuity!$A$18),
      AND(UPPER(TRIM(M741))="STD", TRIM(B741)=TRIM(Enginuity!$A$17))
    ),
    OR(
      AND(LEFT(P741,5)="1-Way", Enginuity!$B$13=1),
      AND(LEFT(P741,5)="2-Way", OR(Enginuity!$B$13=2, Enginuity!$B$13=4)),
      AND(LEFT(P741,5)="3-Way", OR(Enginuity!$B$13=3, Enginuity!$B$13=6)),
      AND(P741="Inner Centre Jamb", OR(Enginuity!$B$13=4, Enginuity!$B$13=6)),
      AND(
        LEFT(P741,5)&lt;&gt;"1-Way",
        LEFT(P741,5)&lt;&gt;"2-Way",
        LEFT(P741,5)&lt;&gt;"3-Way",
        P741&lt;&gt;"Inner Centre Jamb"
      )
    ),
    IF(OR(Enginuity!$A$1="Frameless Glass",Enginuity!$A$1="Metal Work"),
      AND(TRIM(B741)=TRIM(Enginuity!$A$17),TRIM(C741)=TRIM(Enginuity!$A$18)),
      TRIM(B741)=TRIM(Enginuity!$A$17)
    )
  ),
  ROW(),
  ""
)</f>
        <v/>
      </c>
    </row>
    <row r="742" spans="1:21" x14ac:dyDescent="0.25">
      <c r="A742" s="10" t="s">
        <v>255</v>
      </c>
      <c r="B742" s="229" t="s">
        <v>95</v>
      </c>
      <c r="C742" s="10" t="s">
        <v>97</v>
      </c>
      <c r="D742" s="14" t="str">
        <v/>
      </c>
      <c r="E742" s="157"/>
      <c r="F742" s="10"/>
      <c r="G742" s="17"/>
      <c r="H742" s="10"/>
      <c r="I742" s="17"/>
      <c r="J742" s="83"/>
      <c r="K742" s="343"/>
      <c r="L742" s="347"/>
      <c r="M742" s="89">
        <v>6</v>
      </c>
      <c r="N742" s="10" t="s">
        <v>103</v>
      </c>
      <c r="O742" s="22">
        <v>13.8</v>
      </c>
      <c r="P742" s="14" t="s">
        <v>288</v>
      </c>
      <c r="Q742" s="83">
        <f>IF(Enginuity!$B$7&gt;0, 2 * Enginuity!$B$7, "")</f>
        <v>26</v>
      </c>
      <c r="U742" s="104" t="str">
        <f>IF(
  AND(
    TRIM(A742)=TRIM(Enginuity!$A$1),
    TRIM(B742)=TRIM(Enginuity!$A$17),
    Q742&lt;&gt;"",
    Q742&lt;&gt;0,
    OR(
      TRIM(C742)=TRIM(Enginuity!$A$18),
      AND(UPPER(TRIM(M742))="STD", TRIM(B742)=TRIM(Enginuity!$A$17))
    ),
    OR(
      AND(LEFT(P742,5)="1-Way", Enginuity!$B$13=1),
      AND(LEFT(P742,5)="2-Way", OR(Enginuity!$B$13=2, Enginuity!$B$13=4)),
      AND(LEFT(P742,5)="3-Way", OR(Enginuity!$B$13=3, Enginuity!$B$13=6)),
      AND(P742="Inner Centre Jamb", OR(Enginuity!$B$13=4, Enginuity!$B$13=6)),
      AND(
        LEFT(P742,5)&lt;&gt;"1-Way",
        LEFT(P742,5)&lt;&gt;"2-Way",
        LEFT(P742,5)&lt;&gt;"3-Way",
        P742&lt;&gt;"Inner Centre Jamb"
      )
    ),
    IF(OR(Enginuity!$A$1="Frameless Glass",Enginuity!$A$1="Metal Work"),
      AND(TRIM(B742)=TRIM(Enginuity!$A$17),TRIM(C742)=TRIM(Enginuity!$A$18)),
      TRIM(B742)=TRIM(Enginuity!$A$17)
    )
  ),
  ROW(),
  ""
)</f>
        <v/>
      </c>
    </row>
    <row r="743" spans="1:21" x14ac:dyDescent="0.25">
      <c r="A743" s="10" t="s">
        <v>255</v>
      </c>
      <c r="B743" s="229" t="s">
        <v>95</v>
      </c>
      <c r="C743" s="10" t="s">
        <v>97</v>
      </c>
      <c r="D743" s="14" t="str">
        <v/>
      </c>
      <c r="E743" s="157"/>
      <c r="F743" s="10"/>
      <c r="G743" s="17"/>
      <c r="H743" s="10"/>
      <c r="I743" s="17"/>
      <c r="J743" s="83"/>
      <c r="K743" s="343"/>
      <c r="L743" s="347"/>
      <c r="M743" s="89">
        <v>7</v>
      </c>
      <c r="N743" s="10" t="s">
        <v>103</v>
      </c>
      <c r="O743" s="22">
        <v>8</v>
      </c>
      <c r="P743" s="14" t="s">
        <v>289</v>
      </c>
      <c r="Q743" s="83">
        <f>IF(Enginuity!$B$6&gt;0, Enginuity!$B$6, "")</f>
        <v>20</v>
      </c>
      <c r="U743" s="104" t="str">
        <f>IF(
  AND(
    TRIM(A743)=TRIM(Enginuity!$A$1),
    TRIM(B743)=TRIM(Enginuity!$A$17),
    Q743&lt;&gt;"",
    Q743&lt;&gt;0,
    OR(
      TRIM(C743)=TRIM(Enginuity!$A$18),
      AND(UPPER(TRIM(M743))="STD", TRIM(B743)=TRIM(Enginuity!$A$17))
    ),
    OR(
      AND(LEFT(P743,5)="1-Way", Enginuity!$B$13=1),
      AND(LEFT(P743,5)="2-Way", OR(Enginuity!$B$13=2, Enginuity!$B$13=4)),
      AND(LEFT(P743,5)="3-Way", OR(Enginuity!$B$13=3, Enginuity!$B$13=6)),
      AND(P743="Inner Centre Jamb", OR(Enginuity!$B$13=4, Enginuity!$B$13=6)),
      AND(
        LEFT(P743,5)&lt;&gt;"1-Way",
        LEFT(P743,5)&lt;&gt;"2-Way",
        LEFT(P743,5)&lt;&gt;"3-Way",
        P743&lt;&gt;"Inner Centre Jamb"
      )
    ),
    IF(OR(Enginuity!$A$1="Frameless Glass",Enginuity!$A$1="Metal Work"),
      AND(TRIM(B743)=TRIM(Enginuity!$A$17),TRIM(C743)=TRIM(Enginuity!$A$18)),
      TRIM(B743)=TRIM(Enginuity!$A$17)
    )
  ),
  ROW(),
  ""
)</f>
        <v/>
      </c>
    </row>
    <row r="744" spans="1:21" x14ac:dyDescent="0.25">
      <c r="A744" s="10" t="s">
        <v>255</v>
      </c>
      <c r="B744" s="229" t="s">
        <v>95</v>
      </c>
      <c r="C744" s="10" t="s">
        <v>97</v>
      </c>
      <c r="D744" s="14"/>
      <c r="E744" s="157"/>
      <c r="F744" s="10"/>
      <c r="G744" s="17"/>
      <c r="H744" s="10"/>
      <c r="I744" s="17"/>
      <c r="J744" s="83"/>
      <c r="K744" s="343"/>
      <c r="L744" s="347"/>
      <c r="M744" s="89">
        <v>8</v>
      </c>
      <c r="N744" s="10" t="s">
        <v>103</v>
      </c>
      <c r="O744" s="22">
        <v>8</v>
      </c>
      <c r="P744" s="14" t="s">
        <v>290</v>
      </c>
      <c r="Q744" s="83">
        <f>IF(Enginuity!$B$6&gt;0, Enginuity!$B$6, "")</f>
        <v>20</v>
      </c>
      <c r="U744" s="104" t="str">
        <f>IF(
  AND(
    TRIM(A744)=TRIM(Enginuity!$A$1),
    TRIM(B744)=TRIM(Enginuity!$A$17),
    Q744&lt;&gt;"",
    Q744&lt;&gt;0,
    OR(
      TRIM(C744)=TRIM(Enginuity!$A$18),
      AND(UPPER(TRIM(M744))="STD", TRIM(B744)=TRIM(Enginuity!$A$17))
    ),
    OR(
      AND(LEFT(P744,5)="1-Way", Enginuity!$B$13=1),
      AND(LEFT(P744,5)="2-Way", OR(Enginuity!$B$13=2, Enginuity!$B$13=4)),
      AND(LEFT(P744,5)="3-Way", OR(Enginuity!$B$13=3, Enginuity!$B$13=6)),
      AND(P744="Inner Centre Jamb", OR(Enginuity!$B$13=4, Enginuity!$B$13=6)),
      AND(
        LEFT(P744,5)&lt;&gt;"1-Way",
        LEFT(P744,5)&lt;&gt;"2-Way",
        LEFT(P744,5)&lt;&gt;"3-Way",
        P744&lt;&gt;"Inner Centre Jamb"
      )
    ),
    IF(OR(Enginuity!$A$1="Frameless Glass",Enginuity!$A$1="Metal Work"),
      AND(TRIM(B744)=TRIM(Enginuity!$A$17),TRIM(C744)=TRIM(Enginuity!$A$18)),
      TRIM(B744)=TRIM(Enginuity!$A$17)
    )
  ),
  ROW(),
  ""
)</f>
        <v/>
      </c>
    </row>
    <row r="745" spans="1:21" x14ac:dyDescent="0.25">
      <c r="A745" s="10" t="s">
        <v>255</v>
      </c>
      <c r="B745" s="229" t="s">
        <v>95</v>
      </c>
      <c r="C745" s="10" t="s">
        <v>97</v>
      </c>
      <c r="D745" s="14"/>
      <c r="E745" s="157"/>
      <c r="F745" s="10"/>
      <c r="G745" s="17"/>
      <c r="H745" s="10"/>
      <c r="I745" s="17"/>
      <c r="J745" s="83"/>
      <c r="K745" s="343"/>
      <c r="L745" s="347"/>
      <c r="M745" s="89">
        <v>9</v>
      </c>
      <c r="N745" s="10" t="s">
        <v>103</v>
      </c>
      <c r="O745" s="22">
        <v>11.2</v>
      </c>
      <c r="P745" s="14" t="s">
        <v>108</v>
      </c>
      <c r="Q745" s="83">
        <f>IF(AND(Enginuity!$B$7&gt;0, Enginuity!$B$13&gt;0), Enginuity!$B$7 * Enginuity!$B$13, "")</f>
        <v>91</v>
      </c>
      <c r="U745" s="104" t="str">
        <f>IF(
  AND(
    TRIM(A745)=TRIM(Enginuity!$A$1),
    TRIM(B745)=TRIM(Enginuity!$A$17),
    Q745&lt;&gt;"",
    Q745&lt;&gt;0,
    OR(
      TRIM(C745)=TRIM(Enginuity!$A$18),
      AND(UPPER(TRIM(M745))="STD", TRIM(B745)=TRIM(Enginuity!$A$17))
    ),
    OR(
      AND(LEFT(P745,5)="1-Way", Enginuity!$B$13=1),
      AND(LEFT(P745,5)="2-Way", OR(Enginuity!$B$13=2, Enginuity!$B$13=4)),
      AND(LEFT(P745,5)="3-Way", OR(Enginuity!$B$13=3, Enginuity!$B$13=6)),
      AND(P745="Inner Centre Jamb", OR(Enginuity!$B$13=4, Enginuity!$B$13=6)),
      AND(
        LEFT(P745,5)&lt;&gt;"1-Way",
        LEFT(P745,5)&lt;&gt;"2-Way",
        LEFT(P745,5)&lt;&gt;"3-Way",
        P745&lt;&gt;"Inner Centre Jamb"
      )
    ),
    IF(OR(Enginuity!$A$1="Frameless Glass",Enginuity!$A$1="Metal Work"),
      AND(TRIM(B745)=TRIM(Enginuity!$A$17),TRIM(C745)=TRIM(Enginuity!$A$18)),
      TRIM(B745)=TRIM(Enginuity!$A$17)
    )
  ),
  ROW(),
  ""
)</f>
        <v/>
      </c>
    </row>
    <row r="746" spans="1:21" x14ac:dyDescent="0.25">
      <c r="A746" s="10" t="s">
        <v>255</v>
      </c>
      <c r="B746" s="229" t="s">
        <v>95</v>
      </c>
      <c r="C746" s="10" t="s">
        <v>97</v>
      </c>
      <c r="D746" s="14"/>
      <c r="E746" s="157"/>
      <c r="F746" s="10"/>
      <c r="G746" s="17"/>
      <c r="H746" s="10"/>
      <c r="I746" s="17"/>
      <c r="J746" s="83"/>
      <c r="K746" s="343"/>
      <c r="L746" s="347"/>
      <c r="M746" s="89">
        <v>10</v>
      </c>
      <c r="N746" s="10" t="s">
        <v>103</v>
      </c>
      <c r="O746" s="22">
        <v>8</v>
      </c>
      <c r="P746" s="14" t="s">
        <v>267</v>
      </c>
      <c r="Q746" s="83">
        <f>IF(AND(Enginuity!$B$7&gt;0, Enginuity!$B$13&gt;0), Enginuity!$B$7 * Enginuity!$B$13, "")</f>
        <v>91</v>
      </c>
      <c r="U746" s="104" t="str">
        <f>IF(
  AND(
    TRIM(A746)=TRIM(Enginuity!$A$1),
    TRIM(B746)=TRIM(Enginuity!$A$17),
    Q746&lt;&gt;"",
    Q746&lt;&gt;0,
    OR(
      TRIM(C746)=TRIM(Enginuity!$A$18),
      AND(UPPER(TRIM(M746))="STD", TRIM(B746)=TRIM(Enginuity!$A$17))
    ),
    OR(
      AND(LEFT(P746,5)="1-Way", Enginuity!$B$13=1),
      AND(LEFT(P746,5)="2-Way", OR(Enginuity!$B$13=2, Enginuity!$B$13=4)),
      AND(LEFT(P746,5)="3-Way", OR(Enginuity!$B$13=3, Enginuity!$B$13=6)),
      AND(P746="Inner Centre Jamb", OR(Enginuity!$B$13=4, Enginuity!$B$13=6)),
      AND(
        LEFT(P746,5)&lt;&gt;"1-Way",
        LEFT(P746,5)&lt;&gt;"2-Way",
        LEFT(P746,5)&lt;&gt;"3-Way",
        P746&lt;&gt;"Inner Centre Jamb"
      )
    ),
    IF(OR(Enginuity!$A$1="Frameless Glass",Enginuity!$A$1="Metal Work"),
      AND(TRIM(B746)=TRIM(Enginuity!$A$17),TRIM(C746)=TRIM(Enginuity!$A$18)),
      TRIM(B746)=TRIM(Enginuity!$A$17)
    )
  ),
  ROW(),
  ""
)</f>
        <v/>
      </c>
    </row>
    <row r="747" spans="1:21" x14ac:dyDescent="0.25">
      <c r="A747" s="10" t="s">
        <v>255</v>
      </c>
      <c r="B747" s="229" t="s">
        <v>95</v>
      </c>
      <c r="C747" s="10" t="s">
        <v>97</v>
      </c>
      <c r="D747" s="14"/>
      <c r="E747" s="157"/>
      <c r="F747" s="10"/>
      <c r="G747" s="17"/>
      <c r="H747" s="10"/>
      <c r="I747" s="17"/>
      <c r="J747" s="83"/>
      <c r="K747" s="343"/>
      <c r="L747" s="347"/>
      <c r="M747" s="89">
        <v>11</v>
      </c>
      <c r="N747" s="10" t="s">
        <v>103</v>
      </c>
      <c r="O747" s="22">
        <v>1.08</v>
      </c>
      <c r="P747" s="14" t="s">
        <v>109</v>
      </c>
      <c r="Q747" s="83">
        <f>IF(Enginuity!$B$7&gt;0, Enginuity!$B$7, "")*2</f>
        <v>26</v>
      </c>
      <c r="U747" s="104" t="str">
        <f>IF(
  AND(
    TRIM(A747)=TRIM(Enginuity!$A$1),
    TRIM(B747)=TRIM(Enginuity!$A$17),
    Q747&lt;&gt;"",
    Q747&lt;&gt;0,
    OR(
      TRIM(C747)=TRIM(Enginuity!$A$18),
      AND(UPPER(TRIM(M747))="STD", TRIM(B747)=TRIM(Enginuity!$A$17))
    ),
    OR(
      AND(LEFT(P747,5)="1-Way", Enginuity!$B$13=1),
      AND(LEFT(P747,5)="2-Way", OR(Enginuity!$B$13=2, Enginuity!$B$13=4)),
      AND(LEFT(P747,5)="3-Way", OR(Enginuity!$B$13=3, Enginuity!$B$13=6)),
      AND(P747="Inner Centre Jamb", OR(Enginuity!$B$13=4, Enginuity!$B$13=6)),
      AND(
        LEFT(P747,5)&lt;&gt;"1-Way",
        LEFT(P747,5)&lt;&gt;"2-Way",
        LEFT(P747,5)&lt;&gt;"3-Way",
        P747&lt;&gt;"Inner Centre Jamb"
      )
    ),
    IF(OR(Enginuity!$A$1="Frameless Glass",Enginuity!$A$1="Metal Work"),
      AND(TRIM(B747)=TRIM(Enginuity!$A$17),TRIM(C747)=TRIM(Enginuity!$A$18)),
      TRIM(B747)=TRIM(Enginuity!$A$17)
    )
  ),
  ROW(),
  ""
)</f>
        <v/>
      </c>
    </row>
    <row r="748" spans="1:21" x14ac:dyDescent="0.25">
      <c r="A748" s="10" t="s">
        <v>255</v>
      </c>
      <c r="B748" s="229" t="s">
        <v>95</v>
      </c>
      <c r="C748" s="10" t="s">
        <v>97</v>
      </c>
      <c r="D748" s="14"/>
      <c r="E748" s="157"/>
      <c r="F748" s="10"/>
      <c r="G748" s="17"/>
      <c r="H748" s="10"/>
      <c r="I748" s="17"/>
      <c r="J748" s="83"/>
      <c r="K748" s="343"/>
      <c r="L748" s="347"/>
      <c r="M748" s="89">
        <v>12</v>
      </c>
      <c r="N748" s="10" t="s">
        <v>176</v>
      </c>
      <c r="O748" s="22" t="str">
        <f>IF(Enginuity!$A$20="", "",
 IF(Enginuity!$A$20="Lattice Design", $F$9,
 IF(Enginuity!$A$20="Lattice Design 12 Box / Panel", $F$10,
 ""))
)</f>
        <v/>
      </c>
      <c r="P748" s="5" t="str">
        <f>Enginuity!$A$20</f>
        <v>Z-Louvre Blade - 5"</v>
      </c>
      <c r="Q748" s="22" t="str">
        <f>IF(O748&lt;&gt;"",1,"")</f>
        <v/>
      </c>
      <c r="U748" s="104" t="str">
        <f>IF(
  AND(
    TRIM(A748)=TRIM(Enginuity!$A$1),
    TRIM(B748)=TRIM(Enginuity!$A$17),
    Q748&lt;&gt;"",
    Q748&lt;&gt;0,
    OR(
      TRIM(C748)=TRIM(Enginuity!$A$18),
      AND(UPPER(TRIM(M748))="STD", TRIM(B748)=TRIM(Enginuity!$A$17))
    ),
    OR(
      AND(LEFT(P748,5)="1-Way", Enginuity!$B$13=1),
      AND(LEFT(P748,5)="2-Way", OR(Enginuity!$B$13=2, Enginuity!$B$13=4)),
      AND(LEFT(P748,5)="3-Way", OR(Enginuity!$B$13=3, Enginuity!$B$13=6)),
      AND(P748="Inner Centre Jamb", OR(Enginuity!$B$13=4, Enginuity!$B$13=6)),
      AND(
        LEFT(P748,5)&lt;&gt;"1-Way",
        LEFT(P748,5)&lt;&gt;"2-Way",
        LEFT(P748,5)&lt;&gt;"3-Way",
        P748&lt;&gt;"Inner Centre Jamb"
      )
    ),
    IF(OR(Enginuity!$A$1="Frameless Glass",Enginuity!$A$1="Metal Work"),
      AND(TRIM(B748)=TRIM(Enginuity!$A$17),TRIM(C748)=TRIM(Enginuity!$A$18)),
      TRIM(B748)=TRIM(Enginuity!$A$17)
    )
  ),
  ROW(),
  ""
)</f>
        <v/>
      </c>
    </row>
    <row r="749" spans="1:21" x14ac:dyDescent="0.25">
      <c r="A749" s="10" t="s">
        <v>255</v>
      </c>
      <c r="B749" s="229" t="s">
        <v>95</v>
      </c>
      <c r="C749" s="10" t="s">
        <v>97</v>
      </c>
      <c r="D749" s="14"/>
      <c r="E749" s="157"/>
      <c r="F749" s="10"/>
      <c r="G749" s="17"/>
      <c r="H749" s="10"/>
      <c r="I749" s="17"/>
      <c r="J749" s="83"/>
      <c r="K749" s="343"/>
      <c r="L749" s="347"/>
      <c r="M749" s="89">
        <v>13</v>
      </c>
      <c r="N749" s="10" t="s">
        <v>176</v>
      </c>
      <c r="O749" s="22" t="str">
        <f>IF(Enginuity!$A$21="12""H Top Hung Standard Casement Profile", $F$11,
IF(Enginuity!$A$21="12""H Top / Bottom Fix Standard Casement Profile", $F$12,
""))</f>
        <v/>
      </c>
      <c r="P749" s="106"/>
      <c r="Q749" s="22" t="str">
        <f>IF(O749&lt;&gt;"",1,"")</f>
        <v/>
      </c>
      <c r="U749" s="104" t="str">
        <f>IF(
  AND(
    TRIM(A749)=TRIM(Enginuity!$A$1),
    TRIM(B749)=TRIM(Enginuity!$A$17),
    Q749&lt;&gt;"",
    Q749&lt;&gt;0,
    OR(
      TRIM(C749)=TRIM(Enginuity!$A$18),
      AND(UPPER(TRIM(M749))="STD", TRIM(B749)=TRIM(Enginuity!$A$17))
    ),
    OR(
      AND(LEFT(P749,5)="1-Way", Enginuity!$B$13=1),
      AND(LEFT(P749,5)="2-Way", OR(Enginuity!$B$13=2, Enginuity!$B$13=4)),
      AND(LEFT(P749,5)="3-Way", OR(Enginuity!$B$13=3, Enginuity!$B$13=6)),
      AND(P749="Inner Centre Jamb", OR(Enginuity!$B$13=4, Enginuity!$B$13=6)),
      AND(
        LEFT(P749,5)&lt;&gt;"1-Way",
        LEFT(P749,5)&lt;&gt;"2-Way",
        LEFT(P749,5)&lt;&gt;"3-Way",
        P749&lt;&gt;"Inner Centre Jamb"
      )
    ),
    IF(OR(Enginuity!$A$1="Frameless Glass",Enginuity!$A$1="Metal Work"),
      AND(TRIM(B749)=TRIM(Enginuity!$A$17),TRIM(C749)=TRIM(Enginuity!$A$18)),
      TRIM(B749)=TRIM(Enginuity!$A$17)
    )
  ),
  ROW(),
  ""
)</f>
        <v/>
      </c>
    </row>
    <row r="750" spans="1:21" x14ac:dyDescent="0.25">
      <c r="A750" s="10" t="s">
        <v>255</v>
      </c>
      <c r="B750" s="229" t="s">
        <v>95</v>
      </c>
      <c r="C750" s="10" t="s">
        <v>97</v>
      </c>
      <c r="D750" s="14"/>
      <c r="E750" s="157"/>
      <c r="F750" s="10"/>
      <c r="G750" s="17"/>
      <c r="H750" s="10"/>
      <c r="I750" s="17"/>
      <c r="J750" s="83"/>
      <c r="K750" s="343"/>
      <c r="L750" s="347"/>
      <c r="M750" s="89">
        <v>14</v>
      </c>
      <c r="N750" s="10" t="s">
        <v>176</v>
      </c>
      <c r="O750" s="22" t="str">
        <f>IF(Enginuity!$A$21="Subframe 1"" X 2""", $J$2, "")</f>
        <v/>
      </c>
      <c r="P750" s="106" t="str">
        <f>Enginuity!$A$21</f>
        <v>SF 4"</v>
      </c>
      <c r="Q750" s="22" t="str">
        <f>IF(O750&lt;&gt;"",1,"")</f>
        <v/>
      </c>
      <c r="U750" s="104" t="str">
        <f>IF(
  AND(
    TRIM(A750)=TRIM(Enginuity!$A$1),
    TRIM(B750)=TRIM(Enginuity!$A$17),
    Q750&lt;&gt;"",
    Q750&lt;&gt;0,
    OR(
      TRIM(C750)=TRIM(Enginuity!$A$18),
      AND(UPPER(TRIM(M750))="STD", TRIM(B750)=TRIM(Enginuity!$A$17))
    ),
    OR(
      AND(LEFT(P750,5)="1-Way", Enginuity!$B$13=1),
      AND(LEFT(P750,5)="2-Way", OR(Enginuity!$B$13=2, Enginuity!$B$13=4)),
      AND(LEFT(P750,5)="3-Way", OR(Enginuity!$B$13=3, Enginuity!$B$13=6)),
      AND(P750="Inner Centre Jamb", OR(Enginuity!$B$13=4, Enginuity!$B$13=6)),
      AND(
        LEFT(P750,5)&lt;&gt;"1-Way",
        LEFT(P750,5)&lt;&gt;"2-Way",
        LEFT(P750,5)&lt;&gt;"3-Way",
        P750&lt;&gt;"Inner Centre Jamb"
      )
    ),
    IF(OR(Enginuity!$A$1="Frameless Glass",Enginuity!$A$1="Metal Work"),
      AND(TRIM(B750)=TRIM(Enginuity!$A$17),TRIM(C750)=TRIM(Enginuity!$A$18)),
      TRIM(B750)=TRIM(Enginuity!$A$17)
    )
  ),
  ROW(),
  ""
)</f>
        <v/>
      </c>
    </row>
    <row r="751" spans="1:21" x14ac:dyDescent="0.25">
      <c r="A751" s="10" t="s">
        <v>255</v>
      </c>
      <c r="B751" s="229" t="s">
        <v>95</v>
      </c>
      <c r="C751" s="10" t="s">
        <v>97</v>
      </c>
      <c r="D751" s="14"/>
      <c r="E751" s="157"/>
      <c r="F751" s="10"/>
      <c r="G751" s="17"/>
      <c r="H751" s="10"/>
      <c r="I751" s="17"/>
      <c r="J751" s="83"/>
      <c r="K751" s="343"/>
      <c r="L751" s="347"/>
      <c r="M751" s="89">
        <v>15</v>
      </c>
      <c r="N751" s="10"/>
      <c r="O751" s="22"/>
      <c r="P751" s="14"/>
      <c r="Q751" s="83"/>
      <c r="U751" s="104" t="str">
        <f>IF(
  AND(
    TRIM(A751)=TRIM(Enginuity!$A$1),
    TRIM(B751)=TRIM(Enginuity!$A$17),
    Q751&lt;&gt;"",
    Q751&lt;&gt;0,
    OR(
      TRIM(C751)=TRIM(Enginuity!$A$18),
      AND(UPPER(TRIM(M751))="STD", TRIM(B751)=TRIM(Enginuity!$A$17))
    ),
    OR(
      AND(LEFT(P751,5)="1-Way", Enginuity!$B$13=1),
      AND(LEFT(P751,5)="2-Way", OR(Enginuity!$B$13=2, Enginuity!$B$13=4)),
      AND(LEFT(P751,5)="3-Way", OR(Enginuity!$B$13=3, Enginuity!$B$13=6)),
      AND(P751="Inner Centre Jamb", OR(Enginuity!$B$13=4, Enginuity!$B$13=6)),
      AND(
        LEFT(P751,5)&lt;&gt;"1-Way",
        LEFT(P751,5)&lt;&gt;"2-Way",
        LEFT(P751,5)&lt;&gt;"3-Way",
        P751&lt;&gt;"Inner Centre Jamb"
      )
    ),
    IF(OR(Enginuity!$A$1="Frameless Glass",Enginuity!$A$1="Metal Work"),
      AND(TRIM(B751)=TRIM(Enginuity!$A$17),TRIM(C751)=TRIM(Enginuity!$A$18)),
      TRIM(B751)=TRIM(Enginuity!$A$17)
    )
  ),
  ROW(),
  ""
)</f>
        <v/>
      </c>
    </row>
    <row r="752" spans="1:21" x14ac:dyDescent="0.25">
      <c r="A752" s="10" t="s">
        <v>255</v>
      </c>
      <c r="B752" s="229" t="s">
        <v>95</v>
      </c>
      <c r="C752" s="10" t="s">
        <v>97</v>
      </c>
      <c r="D752" s="14"/>
      <c r="E752" s="157"/>
      <c r="F752" s="10"/>
      <c r="G752" s="17"/>
      <c r="H752" s="10"/>
      <c r="I752" s="17"/>
      <c r="J752" s="83"/>
      <c r="K752" s="343"/>
      <c r="L752" s="347"/>
      <c r="M752" s="89">
        <v>16</v>
      </c>
      <c r="N752" s="10"/>
      <c r="O752" s="22"/>
      <c r="P752" s="14"/>
      <c r="Q752" s="83"/>
      <c r="U752" s="104" t="str">
        <f>IF(
  AND(
    TRIM(A752)=TRIM(Enginuity!$A$1),
    TRIM(B752)=TRIM(Enginuity!$A$17),
    Q752&lt;&gt;"",
    Q752&lt;&gt;0,
    OR(
      TRIM(C752)=TRIM(Enginuity!$A$18),
      AND(UPPER(TRIM(M752))="STD", TRIM(B752)=TRIM(Enginuity!$A$17))
    ),
    OR(
      AND(LEFT(P752,5)="1-Way", Enginuity!$B$13=1),
      AND(LEFT(P752,5)="2-Way", OR(Enginuity!$B$13=2, Enginuity!$B$13=4)),
      AND(LEFT(P752,5)="3-Way", OR(Enginuity!$B$13=3, Enginuity!$B$13=6)),
      AND(P752="Inner Centre Jamb", OR(Enginuity!$B$13=4, Enginuity!$B$13=6)),
      AND(
        LEFT(P752,5)&lt;&gt;"1-Way",
        LEFT(P752,5)&lt;&gt;"2-Way",
        LEFT(P752,5)&lt;&gt;"3-Way",
        P752&lt;&gt;"Inner Centre Jamb"
      )
    ),
    IF(OR(Enginuity!$A$1="Frameless Glass",Enginuity!$A$1="Metal Work"),
      AND(TRIM(B752)=TRIM(Enginuity!$A$17),TRIM(C752)=TRIM(Enginuity!$A$18)),
      TRIM(B752)=TRIM(Enginuity!$A$17)
    )
  ),
  ROW(),
  ""
)</f>
        <v/>
      </c>
    </row>
    <row r="753" spans="1:21" x14ac:dyDescent="0.25">
      <c r="A753" s="10" t="s">
        <v>255</v>
      </c>
      <c r="B753" s="229" t="s">
        <v>95</v>
      </c>
      <c r="C753" s="10" t="s">
        <v>97</v>
      </c>
      <c r="D753" s="14"/>
      <c r="E753" s="157"/>
      <c r="F753" s="10"/>
      <c r="G753" s="17"/>
      <c r="H753" s="10"/>
      <c r="I753" s="17"/>
      <c r="J753" s="83"/>
      <c r="K753" s="343"/>
      <c r="L753" s="347"/>
      <c r="M753" s="89">
        <v>17</v>
      </c>
      <c r="N753" s="10"/>
      <c r="O753" s="22"/>
      <c r="P753" s="14"/>
      <c r="Q753" s="83"/>
      <c r="U753" s="104" t="str">
        <f>IF(
  AND(
    TRIM(A753)=TRIM(Enginuity!$A$1),
    TRIM(B753)=TRIM(Enginuity!$A$17),
    Q753&lt;&gt;"",
    Q753&lt;&gt;0,
    OR(
      TRIM(C753)=TRIM(Enginuity!$A$18),
      AND(UPPER(TRIM(M753))="STD", TRIM(B753)=TRIM(Enginuity!$A$17))
    ),
    OR(
      AND(LEFT(P753,5)="1-Way", Enginuity!$B$13=1),
      AND(LEFT(P753,5)="2-Way", OR(Enginuity!$B$13=2, Enginuity!$B$13=4)),
      AND(LEFT(P753,5)="3-Way", OR(Enginuity!$B$13=3, Enginuity!$B$13=6)),
      AND(P753="Inner Centre Jamb", OR(Enginuity!$B$13=4, Enginuity!$B$13=6)),
      AND(
        LEFT(P753,5)&lt;&gt;"1-Way",
        LEFT(P753,5)&lt;&gt;"2-Way",
        LEFT(P753,5)&lt;&gt;"3-Way",
        P753&lt;&gt;"Inner Centre Jamb"
      )
    ),
    IF(OR(Enginuity!$A$1="Frameless Glass",Enginuity!$A$1="Metal Work"),
      AND(TRIM(B753)=TRIM(Enginuity!$A$17),TRIM(C753)=TRIM(Enginuity!$A$18)),
      TRIM(B753)=TRIM(Enginuity!$A$17)
    )
  ),
  ROW(),
  ""
)</f>
        <v/>
      </c>
    </row>
    <row r="754" spans="1:21" x14ac:dyDescent="0.25">
      <c r="A754" s="10" t="s">
        <v>255</v>
      </c>
      <c r="B754" s="229" t="s">
        <v>95</v>
      </c>
      <c r="C754" s="10" t="s">
        <v>97</v>
      </c>
      <c r="D754" s="14"/>
      <c r="E754" s="157"/>
      <c r="F754" s="10"/>
      <c r="G754" s="17"/>
      <c r="H754" s="10"/>
      <c r="I754" s="17"/>
      <c r="J754" s="83"/>
      <c r="K754" s="343"/>
      <c r="L754" s="347"/>
      <c r="M754" s="89">
        <v>18</v>
      </c>
      <c r="N754" s="10"/>
      <c r="O754" s="22"/>
      <c r="P754" s="14"/>
      <c r="Q754" s="83"/>
      <c r="U754" s="104" t="str">
        <f>IF(
  AND(
    TRIM(A754)=TRIM(Enginuity!$A$1),
    TRIM(B754)=TRIM(Enginuity!$A$17),
    Q754&lt;&gt;"",
    Q754&lt;&gt;0,
    OR(
      TRIM(C754)=TRIM(Enginuity!$A$18),
      AND(UPPER(TRIM(M754))="STD", TRIM(B754)=TRIM(Enginuity!$A$17))
    ),
    OR(
      AND(LEFT(P754,5)="1-Way", Enginuity!$B$13=1),
      AND(LEFT(P754,5)="2-Way", OR(Enginuity!$B$13=2, Enginuity!$B$13=4)),
      AND(LEFT(P754,5)="3-Way", OR(Enginuity!$B$13=3, Enginuity!$B$13=6)),
      AND(P754="Inner Centre Jamb", OR(Enginuity!$B$13=4, Enginuity!$B$13=6)),
      AND(
        LEFT(P754,5)&lt;&gt;"1-Way",
        LEFT(P754,5)&lt;&gt;"2-Way",
        LEFT(P754,5)&lt;&gt;"3-Way",
        P754&lt;&gt;"Inner Centre Jamb"
      )
    ),
    IF(OR(Enginuity!$A$1="Frameless Glass",Enginuity!$A$1="Metal Work"),
      AND(TRIM(B754)=TRIM(Enginuity!$A$17),TRIM(C754)=TRIM(Enginuity!$A$18)),
      TRIM(B754)=TRIM(Enginuity!$A$17)
    )
  ),
  ROW(),
  ""
)</f>
        <v/>
      </c>
    </row>
    <row r="755" spans="1:21" x14ac:dyDescent="0.25">
      <c r="A755" s="10" t="s">
        <v>255</v>
      </c>
      <c r="B755" s="229" t="s">
        <v>95</v>
      </c>
      <c r="C755" s="10"/>
      <c r="D755" s="14"/>
      <c r="E755" s="157"/>
      <c r="F755" s="10"/>
      <c r="G755" s="17"/>
      <c r="H755" s="10"/>
      <c r="I755" s="17"/>
      <c r="J755" s="83"/>
      <c r="K755" s="343"/>
      <c r="L755" s="347"/>
      <c r="M755" s="89">
        <v>19</v>
      </c>
      <c r="N755" s="10"/>
      <c r="O755" s="22"/>
      <c r="P755" s="14"/>
      <c r="Q755" s="98"/>
      <c r="U755" s="104" t="str">
        <f>IF(
  AND(
    TRIM(A755)=TRIM(Enginuity!$A$1),
    TRIM(B755)=TRIM(Enginuity!$A$17),
    Q755&lt;&gt;"",
    Q755&lt;&gt;0,
    OR(
      TRIM(C755)=TRIM(Enginuity!$A$18),
      AND(UPPER(TRIM(M755))="STD", TRIM(B755)=TRIM(Enginuity!$A$17))
    ),
    OR(
      AND(LEFT(P755,5)="1-Way", Enginuity!$B$13=1),
      AND(LEFT(P755,5)="2-Way", OR(Enginuity!$B$13=2, Enginuity!$B$13=4)),
      AND(LEFT(P755,5)="3-Way", OR(Enginuity!$B$13=3, Enginuity!$B$13=6)),
      AND(P755="Inner Centre Jamb", OR(Enginuity!$B$13=4, Enginuity!$B$13=6)),
      AND(
        LEFT(P755,5)&lt;&gt;"1-Way",
        LEFT(P755,5)&lt;&gt;"2-Way",
        LEFT(P755,5)&lt;&gt;"3-Way",
        P755&lt;&gt;"Inner Centre Jamb"
      )
    ),
    IF(OR(Enginuity!$A$1="Frameless Glass",Enginuity!$A$1="Metal Work"),
      AND(TRIM(B755)=TRIM(Enginuity!$A$17),TRIM(C755)=TRIM(Enginuity!$A$18)),
      TRIM(B755)=TRIM(Enginuity!$A$17)
    )
  ),
  ROW(),
  ""
)</f>
        <v/>
      </c>
    </row>
    <row r="756" spans="1:21" x14ac:dyDescent="0.25">
      <c r="A756" s="10" t="s">
        <v>255</v>
      </c>
      <c r="B756" s="229" t="s">
        <v>95</v>
      </c>
      <c r="C756" s="10"/>
      <c r="D756" s="14"/>
      <c r="E756" s="157"/>
      <c r="F756" s="10"/>
      <c r="G756" s="17"/>
      <c r="H756" s="10"/>
      <c r="I756" s="17"/>
      <c r="J756" s="83"/>
      <c r="K756" s="343"/>
      <c r="L756" s="347"/>
      <c r="M756" s="89" t="s">
        <v>117</v>
      </c>
      <c r="N756" s="10" t="s">
        <v>121</v>
      </c>
      <c r="O756" s="22" t="str">
        <f>$O$2</f>
        <v/>
      </c>
      <c r="P756" s="21" t="str">
        <f>Enginuity!$A$19</f>
        <v>W/G</v>
      </c>
      <c r="Q756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756" s="104" t="str">
        <f>IF(
  AND(
    TRIM(A756)=TRIM(Enginuity!$A$1),
    TRIM(B756)=TRIM(Enginuity!$A$17),
    Q756&lt;&gt;"",
    Q756&lt;&gt;0,
    OR(
      TRIM(C756)=TRIM(Enginuity!$A$18),
      AND(UPPER(TRIM(M756))="STD", TRIM(B756)=TRIM(Enginuity!$A$17))
    ),
    OR(
      AND(LEFT(P756,5)="1-Way", Enginuity!$B$13=1),
      AND(LEFT(P756,5)="2-Way", OR(Enginuity!$B$13=2, Enginuity!$B$13=4)),
      AND(LEFT(P756,5)="3-Way", OR(Enginuity!$B$13=3, Enginuity!$B$13=6)),
      AND(P756="Inner Centre Jamb", OR(Enginuity!$B$13=4, Enginuity!$B$13=6)),
      AND(
        LEFT(P756,5)&lt;&gt;"1-Way",
        LEFT(P756,5)&lt;&gt;"2-Way",
        LEFT(P756,5)&lt;&gt;"3-Way",
        P756&lt;&gt;"Inner Centre Jamb"
      )
    ),
    IF(OR(Enginuity!$A$1="Frameless Glass",Enginuity!$A$1="Metal Work"),
      AND(TRIM(B756)=TRIM(Enginuity!$A$17),TRIM(C756)=TRIM(Enginuity!$A$18)),
      TRIM(B756)=TRIM(Enginuity!$A$17)
    )
  ),
  ROW(),
  ""
)</f>
        <v/>
      </c>
    </row>
    <row r="757" spans="1:21" x14ac:dyDescent="0.25">
      <c r="A757" s="10" t="s">
        <v>255</v>
      </c>
      <c r="B757" s="229" t="s">
        <v>95</v>
      </c>
      <c r="C757" s="10"/>
      <c r="D757" s="14"/>
      <c r="E757" s="157"/>
      <c r="F757" s="10"/>
      <c r="G757" s="17"/>
      <c r="H757" s="10"/>
      <c r="I757" s="17"/>
      <c r="J757" s="83"/>
      <c r="K757" s="343"/>
      <c r="L757" s="347"/>
      <c r="M757" s="89" t="s">
        <v>117</v>
      </c>
      <c r="N757" s="10" t="s">
        <v>103</v>
      </c>
      <c r="O757" s="22">
        <v>0.4</v>
      </c>
      <c r="P757" s="14" t="s">
        <v>313</v>
      </c>
      <c r="Q757" s="83">
        <f>IF(AND(Enginuity!$B$6&gt;0, Enginuity!$B$7&gt;0), ROUND(((Enginuity!$B$6 + Enginuity!$B$7) * 2), 2), "")</f>
        <v>66</v>
      </c>
      <c r="U757" s="104" t="str">
        <f>IF(
  AND(
    TRIM(A757)=TRIM(Enginuity!$A$1),
    TRIM(B757)=TRIM(Enginuity!$A$17),
    Q757&lt;&gt;"",
    Q757&lt;&gt;0,
    OR(
      TRIM(C757)=TRIM(Enginuity!$A$18),
      AND(UPPER(TRIM(M757))="STD", TRIM(B757)=TRIM(Enginuity!$A$17))
    ),
    OR(
      AND(LEFT(P757,5)="1-Way", Enginuity!$B$13=1),
      AND(LEFT(P757,5)="2-Way", OR(Enginuity!$B$13=2, Enginuity!$B$13=4)),
      AND(LEFT(P757,5)="3-Way", OR(Enginuity!$B$13=3, Enginuity!$B$13=6)),
      AND(P757="Inner Centre Jamb", OR(Enginuity!$B$13=4, Enginuity!$B$13=6)),
      AND(
        LEFT(P757,5)&lt;&gt;"1-Way",
        LEFT(P757,5)&lt;&gt;"2-Way",
        LEFT(P757,5)&lt;&gt;"3-Way",
        P757&lt;&gt;"Inner Centre Jamb"
      )
    ),
    IF(OR(Enginuity!$A$1="Frameless Glass",Enginuity!$A$1="Metal Work"),
      AND(TRIM(B757)=TRIM(Enginuity!$A$17),TRIM(C757)=TRIM(Enginuity!$A$18)),
      TRIM(B757)=TRIM(Enginuity!$A$17)
    )
  ),
  ROW(),
  ""
)</f>
        <v/>
      </c>
    </row>
    <row r="758" spans="1:21" x14ac:dyDescent="0.25">
      <c r="A758" s="10" t="s">
        <v>255</v>
      </c>
      <c r="B758" s="229" t="s">
        <v>95</v>
      </c>
      <c r="C758" s="10"/>
      <c r="D758" s="14"/>
      <c r="E758" s="157"/>
      <c r="F758" s="10"/>
      <c r="G758" s="17"/>
      <c r="H758" s="10"/>
      <c r="I758" s="17"/>
      <c r="J758" s="83"/>
      <c r="K758" s="343"/>
      <c r="L758" s="347"/>
      <c r="M758" s="89" t="s">
        <v>117</v>
      </c>
      <c r="N758" s="10" t="s">
        <v>103</v>
      </c>
      <c r="O758" s="22">
        <v>0.4</v>
      </c>
      <c r="P758" s="14" t="s">
        <v>116</v>
      </c>
      <c r="Q758" s="83">
        <f>IF(AND(Enginuity!$B$6&gt;0, Enginuity!$B$7&gt;0, Enginuity!$B$13&gt;0), (2 * Enginuity!$B$7 * Enginuity!$B$13) + (2 * Enginuity!$B$6), "")</f>
        <v>222</v>
      </c>
      <c r="U758" s="104" t="str">
        <f>IF(
  AND(
    TRIM(A758)=TRIM(Enginuity!$A$1),
    TRIM(B758)=TRIM(Enginuity!$A$17),
    Q758&lt;&gt;"",
    Q758&lt;&gt;0,
    OR(
      TRIM(C758)=TRIM(Enginuity!$A$18),
      AND(UPPER(TRIM(M758))="STD", TRIM(B758)=TRIM(Enginuity!$A$17))
    ),
    OR(
      AND(LEFT(P758,5)="1-Way", Enginuity!$B$13=1),
      AND(LEFT(P758,5)="2-Way", OR(Enginuity!$B$13=2, Enginuity!$B$13=4)),
      AND(LEFT(P758,5)="3-Way", OR(Enginuity!$B$13=3, Enginuity!$B$13=6)),
      AND(P758="Inner Centre Jamb", OR(Enginuity!$B$13=4, Enginuity!$B$13=6)),
      AND(
        LEFT(P758,5)&lt;&gt;"1-Way",
        LEFT(P758,5)&lt;&gt;"2-Way",
        LEFT(P758,5)&lt;&gt;"3-Way",
        P758&lt;&gt;"Inner Centre Jamb"
      )
    ),
    IF(OR(Enginuity!$A$1="Frameless Glass",Enginuity!$A$1="Metal Work"),
      AND(TRIM(B758)=TRIM(Enginuity!$A$17),TRIM(C758)=TRIM(Enginuity!$A$18)),
      TRIM(B758)=TRIM(Enginuity!$A$17)
    )
  ),
  ROW(),
  ""
)</f>
        <v/>
      </c>
    </row>
    <row r="759" spans="1:21" x14ac:dyDescent="0.25">
      <c r="A759" s="10" t="s">
        <v>255</v>
      </c>
      <c r="B759" s="229" t="s">
        <v>95</v>
      </c>
      <c r="C759" s="10"/>
      <c r="D759" s="14"/>
      <c r="E759" s="157"/>
      <c r="F759" s="10"/>
      <c r="G759" s="17"/>
      <c r="H759" s="10"/>
      <c r="I759" s="17"/>
      <c r="J759" s="83"/>
      <c r="K759" s="343"/>
      <c r="L759" s="347"/>
      <c r="M759" s="89" t="s">
        <v>117</v>
      </c>
      <c r="N759" s="10" t="s">
        <v>103</v>
      </c>
      <c r="O759" s="22">
        <v>0.8</v>
      </c>
      <c r="P759" s="14" t="s">
        <v>272</v>
      </c>
      <c r="Q759" s="83">
        <f>IF(AND(Enginuity!$B$6&gt;0, Enginuity!$B$7&gt;0, Enginuity!$B$13&gt;0), ((2*Enginuity!$B$7*Enginuity!$B$13)+(2*Enginuity!$B$6))*2, "")</f>
        <v>444</v>
      </c>
      <c r="U759" s="104" t="str">
        <f>IF(
  AND(
    TRIM(A759)=TRIM(Enginuity!$A$1),
    TRIM(B759)=TRIM(Enginuity!$A$17),
    Q759&lt;&gt;"",
    Q759&lt;&gt;0,
    OR(
      TRIM(C759)=TRIM(Enginuity!$A$18),
      AND(UPPER(TRIM(M759))="STD", TRIM(B759)=TRIM(Enginuity!$A$17))
    ),
    OR(
      AND(LEFT(P759,5)="1-Way", Enginuity!$B$13=1),
      AND(LEFT(P759,5)="2-Way", OR(Enginuity!$B$13=2, Enginuity!$B$13=4)),
      AND(LEFT(P759,5)="3-Way", OR(Enginuity!$B$13=3, Enginuity!$B$13=6)),
      AND(P759="Inner Centre Jamb", OR(Enginuity!$B$13=4, Enginuity!$B$13=6)),
      AND(
        LEFT(P759,5)&lt;&gt;"1-Way",
        LEFT(P759,5)&lt;&gt;"2-Way",
        LEFT(P759,5)&lt;&gt;"3-Way",
        P759&lt;&gt;"Inner Centre Jamb"
      )
    ),
    IF(OR(Enginuity!$A$1="Frameless Glass",Enginuity!$A$1="Metal Work"),
      AND(TRIM(B759)=TRIM(Enginuity!$A$17),TRIM(C759)=TRIM(Enginuity!$A$18)),
      TRIM(B759)=TRIM(Enginuity!$A$17)
    )
  ),
  ROW(),
  ""
)</f>
        <v/>
      </c>
    </row>
    <row r="760" spans="1:21" x14ac:dyDescent="0.25">
      <c r="A760" s="10" t="s">
        <v>255</v>
      </c>
      <c r="B760" s="229" t="s">
        <v>95</v>
      </c>
      <c r="C760" s="10"/>
      <c r="D760" s="14"/>
      <c r="E760" s="157"/>
      <c r="F760" s="10"/>
      <c r="G760" s="17"/>
      <c r="H760" s="10"/>
      <c r="I760" s="17"/>
      <c r="J760" s="83"/>
      <c r="K760" s="343"/>
      <c r="L760" s="347"/>
      <c r="M760" s="89" t="s">
        <v>117</v>
      </c>
      <c r="N760" s="10" t="s">
        <v>103</v>
      </c>
      <c r="O760" s="22">
        <v>0.12</v>
      </c>
      <c r="P760" s="14" t="s">
        <v>280</v>
      </c>
      <c r="Q760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576</v>
      </c>
      <c r="U760" s="104" t="str">
        <f>IF(
  AND(
    TRIM(A760)=TRIM(Enginuity!$A$1),
    TRIM(B760)=TRIM(Enginuity!$A$17),
    Q760&lt;&gt;"",
    Q760&lt;&gt;0,
    OR(
      TRIM(C760)=TRIM(Enginuity!$A$18),
      AND(UPPER(TRIM(M760))="STD", TRIM(B760)=TRIM(Enginuity!$A$17))
    ),
    OR(
      AND(LEFT(P760,5)="1-Way", Enginuity!$B$13=1),
      AND(LEFT(P760,5)="2-Way", OR(Enginuity!$B$13=2, Enginuity!$B$13=4)),
      AND(LEFT(P760,5)="3-Way", OR(Enginuity!$B$13=3, Enginuity!$B$13=6)),
      AND(P760="Inner Centre Jamb", OR(Enginuity!$B$13=4, Enginuity!$B$13=6)),
      AND(
        LEFT(P760,5)&lt;&gt;"1-Way",
        LEFT(P760,5)&lt;&gt;"2-Way",
        LEFT(P760,5)&lt;&gt;"3-Way",
        P760&lt;&gt;"Inner Centre Jamb"
      )
    ),
    IF(OR(Enginuity!$A$1="Frameless Glass",Enginuity!$A$1="Metal Work"),
      AND(TRIM(B760)=TRIM(Enginuity!$A$17),TRIM(C760)=TRIM(Enginuity!$A$18)),
      TRIM(B760)=TRIM(Enginuity!$A$17)
    )
  ),
  ROW(),
  ""
)</f>
        <v/>
      </c>
    </row>
    <row r="761" spans="1:21" x14ac:dyDescent="0.25">
      <c r="A761" s="10" t="s">
        <v>255</v>
      </c>
      <c r="B761" s="229" t="s">
        <v>95</v>
      </c>
      <c r="C761" s="10"/>
      <c r="D761" s="14"/>
      <c r="E761" s="157"/>
      <c r="F761" s="10"/>
      <c r="G761" s="17"/>
      <c r="H761" s="10"/>
      <c r="I761" s="17"/>
      <c r="J761" s="83"/>
      <c r="K761" s="343"/>
      <c r="L761" s="347"/>
      <c r="M761" s="89" t="s">
        <v>117</v>
      </c>
      <c r="N761" s="10" t="s">
        <v>112</v>
      </c>
      <c r="O761" s="22">
        <v>1.8</v>
      </c>
      <c r="P761" s="14" t="s">
        <v>133</v>
      </c>
      <c r="Q761" s="83">
        <f>IF(AND(ISNUMBER(Enginuity!$B$13), Enginuity!$B$13&gt;0), Enginuity!$B$13*4, "")</f>
        <v>28</v>
      </c>
      <c r="U761" s="104" t="str">
        <f>IF(
  AND(
    TRIM(A761)=TRIM(Enginuity!$A$1),
    TRIM(B761)=TRIM(Enginuity!$A$17),
    Q761&lt;&gt;"",
    Q761&lt;&gt;0,
    OR(
      TRIM(C761)=TRIM(Enginuity!$A$18),
      AND(UPPER(TRIM(M761))="STD", TRIM(B761)=TRIM(Enginuity!$A$17))
    ),
    OR(
      AND(LEFT(P761,5)="1-Way", Enginuity!$B$13=1),
      AND(LEFT(P761,5)="2-Way", OR(Enginuity!$B$13=2, Enginuity!$B$13=4)),
      AND(LEFT(P761,5)="3-Way", OR(Enginuity!$B$13=3, Enginuity!$B$13=6)),
      AND(P761="Inner Centre Jamb", OR(Enginuity!$B$13=4, Enginuity!$B$13=6)),
      AND(
        LEFT(P761,5)&lt;&gt;"1-Way",
        LEFT(P761,5)&lt;&gt;"2-Way",
        LEFT(P761,5)&lt;&gt;"3-Way",
        P761&lt;&gt;"Inner Centre Jamb"
      )
    ),
    IF(OR(Enginuity!$A$1="Frameless Glass",Enginuity!$A$1="Metal Work"),
      AND(TRIM(B761)=TRIM(Enginuity!$A$17),TRIM(C761)=TRIM(Enginuity!$A$18)),
      TRIM(B761)=TRIM(Enginuity!$A$17)
    )
  ),
  ROW(),
  ""
)</f>
        <v/>
      </c>
    </row>
    <row r="762" spans="1:21" x14ac:dyDescent="0.25">
      <c r="A762" s="10" t="s">
        <v>255</v>
      </c>
      <c r="B762" s="229" t="s">
        <v>95</v>
      </c>
      <c r="C762" s="10"/>
      <c r="D762" s="14"/>
      <c r="E762" s="157"/>
      <c r="F762" s="10"/>
      <c r="G762" s="17"/>
      <c r="H762" s="10"/>
      <c r="I762" s="17"/>
      <c r="J762" s="83"/>
      <c r="K762" s="343"/>
      <c r="L762" s="347"/>
      <c r="M762" s="89" t="s">
        <v>117</v>
      </c>
      <c r="N762" s="10" t="s">
        <v>112</v>
      </c>
      <c r="O762" s="22">
        <v>1.8</v>
      </c>
      <c r="P762" s="14" t="s">
        <v>134</v>
      </c>
      <c r="Q762" s="83">
        <v>4</v>
      </c>
      <c r="U762" s="104" t="str">
        <f>IF(
  AND(
    TRIM(A762)=TRIM(Enginuity!$A$1),
    TRIM(B762)=TRIM(Enginuity!$A$17),
    Q762&lt;&gt;"",
    Q762&lt;&gt;0,
    OR(
      TRIM(C762)=TRIM(Enginuity!$A$18),
      AND(UPPER(TRIM(M762))="STD", TRIM(B762)=TRIM(Enginuity!$A$17))
    ),
    OR(
      AND(LEFT(P762,5)="1-Way", Enginuity!$B$13=1),
      AND(LEFT(P762,5)="2-Way", OR(Enginuity!$B$13=2, Enginuity!$B$13=4)),
      AND(LEFT(P762,5)="3-Way", OR(Enginuity!$B$13=3, Enginuity!$B$13=6)),
      AND(P762="Inner Centre Jamb", OR(Enginuity!$B$13=4, Enginuity!$B$13=6)),
      AND(
        LEFT(P762,5)&lt;&gt;"1-Way",
        LEFT(P762,5)&lt;&gt;"2-Way",
        LEFT(P762,5)&lt;&gt;"3-Way",
        P762&lt;&gt;"Inner Centre Jamb"
      )
    ),
    IF(OR(Enginuity!$A$1="Frameless Glass",Enginuity!$A$1="Metal Work"),
      AND(TRIM(B762)=TRIM(Enginuity!$A$17),TRIM(C762)=TRIM(Enginuity!$A$18)),
      TRIM(B762)=TRIM(Enginuity!$A$17)
    )
  ),
  ROW(),
  ""
)</f>
        <v/>
      </c>
    </row>
    <row r="763" spans="1:21" x14ac:dyDescent="0.25">
      <c r="A763" s="10" t="s">
        <v>255</v>
      </c>
      <c r="B763" s="229" t="s">
        <v>95</v>
      </c>
      <c r="C763" s="10"/>
      <c r="D763" s="14"/>
      <c r="E763" s="157"/>
      <c r="F763" s="10"/>
      <c r="G763" s="17"/>
      <c r="H763" s="10"/>
      <c r="I763" s="17"/>
      <c r="J763" s="83"/>
      <c r="K763" s="343"/>
      <c r="L763" s="347"/>
      <c r="M763" s="89" t="s">
        <v>117</v>
      </c>
      <c r="N763" s="10" t="s">
        <v>112</v>
      </c>
      <c r="O763" s="22">
        <v>1.5</v>
      </c>
      <c r="P763" s="14" t="s">
        <v>147</v>
      </c>
      <c r="Q763" s="83">
        <f>Enginuity!$B$13</f>
        <v>7</v>
      </c>
      <c r="U763" s="104" t="str">
        <f>IF(
  AND(
    TRIM(A763)=TRIM(Enginuity!$A$1),
    TRIM(B763)=TRIM(Enginuity!$A$17),
    Q763&lt;&gt;"",
    Q763&lt;&gt;0,
    OR(
      TRIM(C763)=TRIM(Enginuity!$A$18),
      AND(UPPER(TRIM(M763))="STD", TRIM(B763)=TRIM(Enginuity!$A$17))
    ),
    OR(
      AND(LEFT(P763,5)="1-Way", Enginuity!$B$13=1),
      AND(LEFT(P763,5)="2-Way", OR(Enginuity!$B$13=2, Enginuity!$B$13=4)),
      AND(LEFT(P763,5)="3-Way", OR(Enginuity!$B$13=3, Enginuity!$B$13=6)),
      AND(P763="Inner Centre Jamb", OR(Enginuity!$B$13=4, Enginuity!$B$13=6)),
      AND(
        LEFT(P763,5)&lt;&gt;"1-Way",
        LEFT(P763,5)&lt;&gt;"2-Way",
        LEFT(P763,5)&lt;&gt;"3-Way",
        P763&lt;&gt;"Inner Centre Jamb"
      )
    ),
    IF(OR(Enginuity!$A$1="Frameless Glass",Enginuity!$A$1="Metal Work"),
      AND(TRIM(B763)=TRIM(Enginuity!$A$17),TRIM(C763)=TRIM(Enginuity!$A$18)),
      TRIM(B763)=TRIM(Enginuity!$A$17)
    )
  ),
  ROW(),
  ""
)</f>
        <v/>
      </c>
    </row>
    <row r="764" spans="1:21" x14ac:dyDescent="0.25">
      <c r="A764" s="10" t="s">
        <v>255</v>
      </c>
      <c r="B764" s="229" t="s">
        <v>95</v>
      </c>
      <c r="C764" s="10"/>
      <c r="D764" s="14"/>
      <c r="E764" s="157"/>
      <c r="F764" s="10"/>
      <c r="G764" s="17"/>
      <c r="H764" s="10"/>
      <c r="I764" s="17"/>
      <c r="J764" s="83"/>
      <c r="K764" s="343"/>
      <c r="L764" s="347"/>
      <c r="M764" s="89" t="s">
        <v>117</v>
      </c>
      <c r="N764" s="10" t="s">
        <v>112</v>
      </c>
      <c r="O764" s="22">
        <v>12</v>
      </c>
      <c r="P764" s="14" t="s">
        <v>148</v>
      </c>
      <c r="Q764" s="83">
        <f>IF(Enginuity!$B$13=1,0,IF(Enginuity!$B$13&lt;=3,2,4))</f>
        <v>4</v>
      </c>
      <c r="U764" s="104" t="str">
        <f>IF(
  AND(
    TRIM(A764)=TRIM(Enginuity!$A$1),
    TRIM(B764)=TRIM(Enginuity!$A$17),
    Q764&lt;&gt;"",
    Q764&lt;&gt;0,
    OR(
      TRIM(C764)=TRIM(Enginuity!$A$18),
      AND(UPPER(TRIM(M764))="STD", TRIM(B764)=TRIM(Enginuity!$A$17))
    ),
    OR(
      AND(LEFT(P764,5)="1-Way", Enginuity!$B$13=1),
      AND(LEFT(P764,5)="2-Way", OR(Enginuity!$B$13=2, Enginuity!$B$13=4)),
      AND(LEFT(P764,5)="3-Way", OR(Enginuity!$B$13=3, Enginuity!$B$13=6)),
      AND(P764="Inner Centre Jamb", OR(Enginuity!$B$13=4, Enginuity!$B$13=6)),
      AND(
        LEFT(P764,5)&lt;&gt;"1-Way",
        LEFT(P764,5)&lt;&gt;"2-Way",
        LEFT(P764,5)&lt;&gt;"3-Way",
        P764&lt;&gt;"Inner Centre Jamb"
      )
    ),
    IF(OR(Enginuity!$A$1="Frameless Glass",Enginuity!$A$1="Metal Work"),
      AND(TRIM(B764)=TRIM(Enginuity!$A$17),TRIM(C764)=TRIM(Enginuity!$A$18)),
      TRIM(B764)=TRIM(Enginuity!$A$17)
    )
  ),
  ROW(),
  ""
)</f>
        <v/>
      </c>
    </row>
    <row r="765" spans="1:21" x14ac:dyDescent="0.25">
      <c r="A765" s="10" t="s">
        <v>255</v>
      </c>
      <c r="B765" s="229" t="s">
        <v>95</v>
      </c>
      <c r="C765" s="10"/>
      <c r="D765" s="14"/>
      <c r="E765" s="157"/>
      <c r="F765" s="10"/>
      <c r="G765" s="17"/>
      <c r="H765" s="10"/>
      <c r="I765" s="17"/>
      <c r="J765" s="83"/>
      <c r="K765" s="343"/>
      <c r="L765" s="347"/>
      <c r="M765" s="89" t="s">
        <v>117</v>
      </c>
      <c r="N765" s="10" t="s">
        <v>112</v>
      </c>
      <c r="O765" s="22">
        <v>10</v>
      </c>
      <c r="P765" s="14" t="s">
        <v>146</v>
      </c>
      <c r="Q765" s="83">
        <f>2</f>
        <v>2</v>
      </c>
      <c r="U765" s="104" t="str">
        <f>IF(
  AND(
    TRIM(A765)=TRIM(Enginuity!$A$1),
    TRIM(B765)=TRIM(Enginuity!$A$17),
    Q765&lt;&gt;"",
    Q765&lt;&gt;0,
    OR(
      TRIM(C765)=TRIM(Enginuity!$A$18),
      AND(UPPER(TRIM(M765))="STD", TRIM(B765)=TRIM(Enginuity!$A$17))
    ),
    OR(
      AND(LEFT(P765,5)="1-Way", Enginuity!$B$13=1),
      AND(LEFT(P765,5)="2-Way", OR(Enginuity!$B$13=2, Enginuity!$B$13=4)),
      AND(LEFT(P765,5)="3-Way", OR(Enginuity!$B$13=3, Enginuity!$B$13=6)),
      AND(P765="Inner Centre Jamb", OR(Enginuity!$B$13=4, Enginuity!$B$13=6)),
      AND(
        LEFT(P765,5)&lt;&gt;"1-Way",
        LEFT(P765,5)&lt;&gt;"2-Way",
        LEFT(P765,5)&lt;&gt;"3-Way",
        P765&lt;&gt;"Inner Centre Jamb"
      )
    ),
    IF(OR(Enginuity!$A$1="Frameless Glass",Enginuity!$A$1="Metal Work"),
      AND(TRIM(B765)=TRIM(Enginuity!$A$17),TRIM(C765)=TRIM(Enginuity!$A$18)),
      TRIM(B765)=TRIM(Enginuity!$A$17)
    )
  ),
  ROW(),
  ""
)</f>
        <v/>
      </c>
    </row>
    <row r="766" spans="1:21" x14ac:dyDescent="0.25">
      <c r="A766" s="10" t="s">
        <v>255</v>
      </c>
      <c r="B766" s="229" t="s">
        <v>95</v>
      </c>
      <c r="C766" s="10"/>
      <c r="D766" s="14"/>
      <c r="E766" s="157"/>
      <c r="F766" s="10"/>
      <c r="G766" s="17"/>
      <c r="H766" s="10"/>
      <c r="I766" s="17"/>
      <c r="J766" s="83"/>
      <c r="K766" s="343"/>
      <c r="L766" s="347"/>
      <c r="M766" s="89" t="s">
        <v>117</v>
      </c>
      <c r="N766" s="10" t="s">
        <v>112</v>
      </c>
      <c r="O766" s="22">
        <v>0.7</v>
      </c>
      <c r="P766" s="14" t="s">
        <v>145</v>
      </c>
      <c r="Q766" s="83">
        <f>Enginuity!$B$13*2</f>
        <v>14</v>
      </c>
      <c r="U766" s="104" t="str">
        <f>IF(
  AND(
    TRIM(A766)=TRIM(Enginuity!$A$1),
    TRIM(B766)=TRIM(Enginuity!$A$17),
    Q766&lt;&gt;"",
    Q766&lt;&gt;0,
    OR(
      TRIM(C766)=TRIM(Enginuity!$A$18),
      AND(UPPER(TRIM(M766))="STD", TRIM(B766)=TRIM(Enginuity!$A$17))
    ),
    OR(
      AND(LEFT(P766,5)="1-Way", Enginuity!$B$13=1),
      AND(LEFT(P766,5)="2-Way", OR(Enginuity!$B$13=2, Enginuity!$B$13=4)),
      AND(LEFT(P766,5)="3-Way", OR(Enginuity!$B$13=3, Enginuity!$B$13=6)),
      AND(P766="Inner Centre Jamb", OR(Enginuity!$B$13=4, Enginuity!$B$13=6)),
      AND(
        LEFT(P766,5)&lt;&gt;"1-Way",
        LEFT(P766,5)&lt;&gt;"2-Way",
        LEFT(P766,5)&lt;&gt;"3-Way",
        P766&lt;&gt;"Inner Centre Jamb"
      )
    ),
    IF(OR(Enginuity!$A$1="Frameless Glass",Enginuity!$A$1="Metal Work"),
      AND(TRIM(B766)=TRIM(Enginuity!$A$17),TRIM(C766)=TRIM(Enginuity!$A$18)),
      TRIM(B766)=TRIM(Enginuity!$A$17)
    )
  ),
  ROW(),
  ""
)</f>
        <v/>
      </c>
    </row>
    <row r="767" spans="1:21" x14ac:dyDescent="0.25">
      <c r="A767" s="10" t="s">
        <v>255</v>
      </c>
      <c r="B767" s="229" t="s">
        <v>95</v>
      </c>
      <c r="C767" s="10"/>
      <c r="D767" s="14"/>
      <c r="E767" s="157"/>
      <c r="F767" s="10"/>
      <c r="G767" s="17"/>
      <c r="H767" s="10"/>
      <c r="I767" s="17"/>
      <c r="J767" s="83"/>
      <c r="K767" s="343"/>
      <c r="L767" s="347"/>
      <c r="M767" s="89" t="s">
        <v>117</v>
      </c>
      <c r="N767" s="10" t="s">
        <v>112</v>
      </c>
      <c r="O767" s="22">
        <v>90</v>
      </c>
      <c r="P767" s="14" t="s">
        <v>143</v>
      </c>
      <c r="Q767" s="83">
        <f>1</f>
        <v>1</v>
      </c>
      <c r="U767" s="104" t="str">
        <f>IF(
  AND(
    TRIM(A767)=TRIM(Enginuity!$A$1),
    TRIM(B767)=TRIM(Enginuity!$A$17),
    Q767&lt;&gt;"",
    Q767&lt;&gt;0,
    OR(
      TRIM(C767)=TRIM(Enginuity!$A$18),
      AND(UPPER(TRIM(M767))="STD", TRIM(B767)=TRIM(Enginuity!$A$17))
    ),
    OR(
      AND(LEFT(P767,5)="1-Way", Enginuity!$B$13=1),
      AND(LEFT(P767,5)="2-Way", OR(Enginuity!$B$13=2, Enginuity!$B$13=4)),
      AND(LEFT(P767,5)="3-Way", OR(Enginuity!$B$13=3, Enginuity!$B$13=6)),
      AND(P767="Inner Centre Jamb", OR(Enginuity!$B$13=4, Enginuity!$B$13=6)),
      AND(
        LEFT(P767,5)&lt;&gt;"1-Way",
        LEFT(P767,5)&lt;&gt;"2-Way",
        LEFT(P767,5)&lt;&gt;"3-Way",
        P767&lt;&gt;"Inner Centre Jamb"
      )
    ),
    IF(OR(Enginuity!$A$1="Frameless Glass",Enginuity!$A$1="Metal Work"),
      AND(TRIM(B767)=TRIM(Enginuity!$A$17),TRIM(C767)=TRIM(Enginuity!$A$18)),
      TRIM(B767)=TRIM(Enginuity!$A$17)
    )
  ),
  ROW(),
  ""
)</f>
        <v/>
      </c>
    </row>
    <row r="768" spans="1:21" x14ac:dyDescent="0.25">
      <c r="A768" s="10" t="s">
        <v>255</v>
      </c>
      <c r="B768" s="229" t="s">
        <v>95</v>
      </c>
      <c r="C768" s="10"/>
      <c r="D768" s="14"/>
      <c r="E768" s="157"/>
      <c r="F768" s="10"/>
      <c r="G768" s="17"/>
      <c r="H768" s="10"/>
      <c r="I768" s="17"/>
      <c r="J768" s="83"/>
      <c r="K768" s="343"/>
      <c r="L768" s="347"/>
      <c r="M768" s="89" t="s">
        <v>117</v>
      </c>
      <c r="N768" s="10" t="s">
        <v>112</v>
      </c>
      <c r="O768" s="22">
        <v>0.8</v>
      </c>
      <c r="P768" s="14" t="s">
        <v>122</v>
      </c>
      <c r="Q768" s="83">
        <f>Enginuity!$B$13*4</f>
        <v>28</v>
      </c>
      <c r="U768" s="104" t="str">
        <f>IF(
  AND(
    TRIM(A768)=TRIM(Enginuity!$A$1),
    TRIM(B768)=TRIM(Enginuity!$A$17),
    Q768&lt;&gt;"",
    Q768&lt;&gt;0,
    OR(
      TRIM(C768)=TRIM(Enginuity!$A$18),
      AND(UPPER(TRIM(M768))="STD", TRIM(B768)=TRIM(Enginuity!$A$17))
    ),
    OR(
      AND(LEFT(P768,5)="1-Way", Enginuity!$B$13=1),
      AND(LEFT(P768,5)="2-Way", OR(Enginuity!$B$13=2, Enginuity!$B$13=4)),
      AND(LEFT(P768,5)="3-Way", OR(Enginuity!$B$13=3, Enginuity!$B$13=6)),
      AND(P768="Inner Centre Jamb", OR(Enginuity!$B$13=4, Enginuity!$B$13=6)),
      AND(
        LEFT(P768,5)&lt;&gt;"1-Way",
        LEFT(P768,5)&lt;&gt;"2-Way",
        LEFT(P768,5)&lt;&gt;"3-Way",
        P768&lt;&gt;"Inner Centre Jamb"
      )
    ),
    IF(OR(Enginuity!$A$1="Frameless Glass",Enginuity!$A$1="Metal Work"),
      AND(TRIM(B768)=TRIM(Enginuity!$A$17),TRIM(C768)=TRIM(Enginuity!$A$18)),
      TRIM(B768)=TRIM(Enginuity!$A$17)
    )
  ),
  ROW(),
  ""
)</f>
        <v/>
      </c>
    </row>
    <row r="769" spans="1:21" x14ac:dyDescent="0.25">
      <c r="A769" s="10" t="s">
        <v>255</v>
      </c>
      <c r="B769" s="229" t="s">
        <v>95</v>
      </c>
      <c r="C769" s="10"/>
      <c r="D769" s="14"/>
      <c r="E769" s="157"/>
      <c r="F769" s="10"/>
      <c r="G769" s="17"/>
      <c r="H769" s="10"/>
      <c r="I769" s="17"/>
      <c r="J769" s="83"/>
      <c r="K769" s="343"/>
      <c r="L769" s="347"/>
      <c r="M769" s="89" t="s">
        <v>117</v>
      </c>
      <c r="N769" s="10" t="s">
        <v>112</v>
      </c>
      <c r="O769" s="22">
        <v>14.5</v>
      </c>
      <c r="P769" s="14" t="s">
        <v>144</v>
      </c>
      <c r="Q769" s="83">
        <f>Enginuity!$B$13*2</f>
        <v>14</v>
      </c>
      <c r="U769" s="104" t="str">
        <f>IF(
  AND(
    TRIM(A769)=TRIM(Enginuity!$A$1),
    TRIM(B769)=TRIM(Enginuity!$A$17),
    Q769&lt;&gt;"",
    Q769&lt;&gt;0,
    OR(
      TRIM(C769)=TRIM(Enginuity!$A$18),
      AND(UPPER(TRIM(M769))="STD", TRIM(B769)=TRIM(Enginuity!$A$17))
    ),
    OR(
      AND(LEFT(P769,5)="1-Way", Enginuity!$B$13=1),
      AND(LEFT(P769,5)="2-Way", OR(Enginuity!$B$13=2, Enginuity!$B$13=4)),
      AND(LEFT(P769,5)="3-Way", OR(Enginuity!$B$13=3, Enginuity!$B$13=6)),
      AND(P769="Inner Centre Jamb", OR(Enginuity!$B$13=4, Enginuity!$B$13=6)),
      AND(
        LEFT(P769,5)&lt;&gt;"1-Way",
        LEFT(P769,5)&lt;&gt;"2-Way",
        LEFT(P769,5)&lt;&gt;"3-Way",
        P769&lt;&gt;"Inner Centre Jamb"
      )
    ),
    IF(OR(Enginuity!$A$1="Frameless Glass",Enginuity!$A$1="Metal Work"),
      AND(TRIM(B769)=TRIM(Enginuity!$A$17),TRIM(C769)=TRIM(Enginuity!$A$18)),
      TRIM(B769)=TRIM(Enginuity!$A$17)
    )
  ),
  ROW(),
  ""
)</f>
        <v/>
      </c>
    </row>
    <row r="770" spans="1:21" x14ac:dyDescent="0.25">
      <c r="A770" s="10" t="s">
        <v>255</v>
      </c>
      <c r="B770" s="229" t="s">
        <v>95</v>
      </c>
      <c r="C770" s="10"/>
      <c r="D770" s="14"/>
      <c r="E770" s="157"/>
      <c r="F770" s="10"/>
      <c r="G770" s="17"/>
      <c r="H770" s="10"/>
      <c r="I770" s="17"/>
      <c r="J770" s="83"/>
      <c r="K770" s="343"/>
      <c r="L770" s="347"/>
      <c r="M770" s="89">
        <v>34</v>
      </c>
      <c r="N770" s="10"/>
      <c r="O770" s="22"/>
      <c r="P770" s="14"/>
      <c r="Q770" s="83"/>
      <c r="U770" s="104" t="str">
        <f>IF(
  AND(
    TRIM(A770)=TRIM(Enginuity!$A$1),
    TRIM(B770)=TRIM(Enginuity!$A$17),
    Q770&lt;&gt;"",
    Q770&lt;&gt;0,
    OR(
      TRIM(C770)=TRIM(Enginuity!$A$18),
      AND(UPPER(TRIM(M770))="STD", TRIM(B770)=TRIM(Enginuity!$A$17))
    ),
    OR(
      AND(LEFT(P770,5)="1-Way", Enginuity!$B$13=1),
      AND(LEFT(P770,5)="2-Way", OR(Enginuity!$B$13=2, Enginuity!$B$13=4)),
      AND(LEFT(P770,5)="3-Way", OR(Enginuity!$B$13=3, Enginuity!$B$13=6)),
      AND(P770="Inner Centre Jamb", OR(Enginuity!$B$13=4, Enginuity!$B$13=6)),
      AND(
        LEFT(P770,5)&lt;&gt;"1-Way",
        LEFT(P770,5)&lt;&gt;"2-Way",
        LEFT(P770,5)&lt;&gt;"3-Way",
        P770&lt;&gt;"Inner Centre Jamb"
      )
    ),
    IF(OR(Enginuity!$A$1="Frameless Glass",Enginuity!$A$1="Metal Work"),
      AND(TRIM(B770)=TRIM(Enginuity!$A$17),TRIM(C770)=TRIM(Enginuity!$A$18)),
      TRIM(B770)=TRIM(Enginuity!$A$17)
    )
  ),
  ROW(),
  ""
)</f>
        <v/>
      </c>
    </row>
    <row r="771" spans="1:21" x14ac:dyDescent="0.25">
      <c r="A771" s="10" t="s">
        <v>255</v>
      </c>
      <c r="B771" s="229" t="s">
        <v>95</v>
      </c>
      <c r="C771" s="10"/>
      <c r="D771" s="14"/>
      <c r="E771" s="157"/>
      <c r="F771" s="10"/>
      <c r="G771" s="17"/>
      <c r="H771" s="10"/>
      <c r="I771" s="17"/>
      <c r="J771" s="83"/>
      <c r="K771" s="343"/>
      <c r="L771" s="347"/>
      <c r="M771" s="89">
        <v>35</v>
      </c>
      <c r="N771" s="10"/>
      <c r="O771" s="22"/>
      <c r="P771" s="14"/>
      <c r="Q771" s="83"/>
      <c r="U771" s="104" t="str">
        <f>IF(
  AND(
    TRIM(A771)=TRIM(Enginuity!$A$1),
    TRIM(B771)=TRIM(Enginuity!$A$17),
    Q771&lt;&gt;"",
    Q771&lt;&gt;0,
    OR(
      TRIM(C771)=TRIM(Enginuity!$A$18),
      AND(UPPER(TRIM(M771))="STD", TRIM(B771)=TRIM(Enginuity!$A$17))
    ),
    OR(
      AND(LEFT(P771,5)="1-Way", Enginuity!$B$13=1),
      AND(LEFT(P771,5)="2-Way", OR(Enginuity!$B$13=2, Enginuity!$B$13=4)),
      AND(LEFT(P771,5)="3-Way", OR(Enginuity!$B$13=3, Enginuity!$B$13=6)),
      AND(P771="Inner Centre Jamb", OR(Enginuity!$B$13=4, Enginuity!$B$13=6)),
      AND(
        LEFT(P771,5)&lt;&gt;"1-Way",
        LEFT(P771,5)&lt;&gt;"2-Way",
        LEFT(P771,5)&lt;&gt;"3-Way",
        P771&lt;&gt;"Inner Centre Jamb"
      )
    ),
    IF(OR(Enginuity!$A$1="Frameless Glass",Enginuity!$A$1="Metal Work"),
      AND(TRIM(B771)=TRIM(Enginuity!$A$17),TRIM(C771)=TRIM(Enginuity!$A$18)),
      TRIM(B771)=TRIM(Enginuity!$A$17)
    )
  ),
  ROW(),
  ""
)</f>
        <v/>
      </c>
    </row>
    <row r="772" spans="1:21" x14ac:dyDescent="0.25">
      <c r="A772" s="10" t="s">
        <v>255</v>
      </c>
      <c r="B772" s="229" t="s">
        <v>95</v>
      </c>
      <c r="C772" s="10"/>
      <c r="D772" s="14"/>
      <c r="E772" s="157"/>
      <c r="F772" s="10"/>
      <c r="G772" s="17"/>
      <c r="H772" s="10"/>
      <c r="I772" s="17"/>
      <c r="J772" s="83"/>
      <c r="K772" s="343"/>
      <c r="L772" s="347"/>
      <c r="M772" s="89">
        <v>36</v>
      </c>
      <c r="N772" s="10"/>
      <c r="O772" s="22"/>
      <c r="P772" s="14"/>
      <c r="Q772" s="83"/>
      <c r="U772" s="104" t="str">
        <f>IF(
  AND(
    TRIM(A772)=TRIM(Enginuity!$A$1),
    TRIM(B772)=TRIM(Enginuity!$A$17),
    Q772&lt;&gt;"",
    Q772&lt;&gt;0,
    OR(
      TRIM(C772)=TRIM(Enginuity!$A$18),
      AND(UPPER(TRIM(M772))="STD", TRIM(B772)=TRIM(Enginuity!$A$17))
    ),
    OR(
      AND(LEFT(P772,5)="1-Way", Enginuity!$B$13=1),
      AND(LEFT(P772,5)="2-Way", OR(Enginuity!$B$13=2, Enginuity!$B$13=4)),
      AND(LEFT(P772,5)="3-Way", OR(Enginuity!$B$13=3, Enginuity!$B$13=6)),
      AND(P772="Inner Centre Jamb", OR(Enginuity!$B$13=4, Enginuity!$B$13=6)),
      AND(
        LEFT(P772,5)&lt;&gt;"1-Way",
        LEFT(P772,5)&lt;&gt;"2-Way",
        LEFT(P772,5)&lt;&gt;"3-Way",
        P772&lt;&gt;"Inner Centre Jamb"
      )
    ),
    IF(OR(Enginuity!$A$1="Frameless Glass",Enginuity!$A$1="Metal Work"),
      AND(TRIM(B772)=TRIM(Enginuity!$A$17),TRIM(C772)=TRIM(Enginuity!$A$18)),
      TRIM(B772)=TRIM(Enginuity!$A$17)
    )
  ),
  ROW(),
  ""
)</f>
        <v/>
      </c>
    </row>
    <row r="773" spans="1:21" x14ac:dyDescent="0.25">
      <c r="A773" s="10" t="s">
        <v>255</v>
      </c>
      <c r="B773" s="229" t="s">
        <v>95</v>
      </c>
      <c r="C773" s="10"/>
      <c r="D773" s="14"/>
      <c r="E773" s="157"/>
      <c r="F773" s="10"/>
      <c r="G773" s="17"/>
      <c r="H773" s="10"/>
      <c r="I773" s="17"/>
      <c r="J773" s="83"/>
      <c r="K773" s="343"/>
      <c r="L773" s="347"/>
      <c r="M773" s="89">
        <v>37</v>
      </c>
      <c r="N773" s="10"/>
      <c r="O773" s="22"/>
      <c r="P773" s="14"/>
      <c r="Q773" s="83"/>
      <c r="U773" s="104" t="str">
        <f>IF(
  AND(
    TRIM(A773)=TRIM(Enginuity!$A$1),
    TRIM(B773)=TRIM(Enginuity!$A$17),
    Q773&lt;&gt;"",
    Q773&lt;&gt;0,
    OR(
      TRIM(C773)=TRIM(Enginuity!$A$18),
      AND(UPPER(TRIM(M773))="STD", TRIM(B773)=TRIM(Enginuity!$A$17))
    ),
    OR(
      AND(LEFT(P773,5)="1-Way", Enginuity!$B$13=1),
      AND(LEFT(P773,5)="2-Way", OR(Enginuity!$B$13=2, Enginuity!$B$13=4)),
      AND(LEFT(P773,5)="3-Way", OR(Enginuity!$B$13=3, Enginuity!$B$13=6)),
      AND(P773="Inner Centre Jamb", OR(Enginuity!$B$13=4, Enginuity!$B$13=6)),
      AND(
        LEFT(P773,5)&lt;&gt;"1-Way",
        LEFT(P773,5)&lt;&gt;"2-Way",
        LEFT(P773,5)&lt;&gt;"3-Way",
        P773&lt;&gt;"Inner Centre Jamb"
      )
    ),
    IF(OR(Enginuity!$A$1="Frameless Glass",Enginuity!$A$1="Metal Work"),
      AND(TRIM(B773)=TRIM(Enginuity!$A$17),TRIM(C773)=TRIM(Enginuity!$A$18)),
      TRIM(B773)=TRIM(Enginuity!$A$17)
    )
  ),
  ROW(),
  ""
)</f>
        <v/>
      </c>
    </row>
    <row r="774" spans="1:21" x14ac:dyDescent="0.25">
      <c r="A774" s="10" t="s">
        <v>255</v>
      </c>
      <c r="B774" s="229" t="s">
        <v>95</v>
      </c>
      <c r="C774" s="10"/>
      <c r="D774" s="14"/>
      <c r="E774" s="157"/>
      <c r="F774" s="10"/>
      <c r="G774" s="17"/>
      <c r="H774" s="10"/>
      <c r="I774" s="17"/>
      <c r="J774" s="83"/>
      <c r="K774" s="343"/>
      <c r="L774" s="347"/>
      <c r="M774" s="89">
        <v>38</v>
      </c>
      <c r="N774" s="10"/>
      <c r="O774" s="22"/>
      <c r="P774" s="14"/>
      <c r="Q774" s="83"/>
      <c r="U774" s="104" t="str">
        <f>IF(
  AND(
    TRIM(A774)=TRIM(Enginuity!$A$1),
    TRIM(B774)=TRIM(Enginuity!$A$17),
    Q774&lt;&gt;"",
    Q774&lt;&gt;0,
    OR(
      TRIM(C774)=TRIM(Enginuity!$A$18),
      AND(UPPER(TRIM(M774))="STD", TRIM(B774)=TRIM(Enginuity!$A$17))
    ),
    OR(
      AND(LEFT(P774,5)="1-Way", Enginuity!$B$13=1),
      AND(LEFT(P774,5)="2-Way", OR(Enginuity!$B$13=2, Enginuity!$B$13=4)),
      AND(LEFT(P774,5)="3-Way", OR(Enginuity!$B$13=3, Enginuity!$B$13=6)),
      AND(P774="Inner Centre Jamb", OR(Enginuity!$B$13=4, Enginuity!$B$13=6)),
      AND(
        LEFT(P774,5)&lt;&gt;"1-Way",
        LEFT(P774,5)&lt;&gt;"2-Way",
        LEFT(P774,5)&lt;&gt;"3-Way",
        P774&lt;&gt;"Inner Centre Jamb"
      )
    ),
    IF(OR(Enginuity!$A$1="Frameless Glass",Enginuity!$A$1="Metal Work"),
      AND(TRIM(B774)=TRIM(Enginuity!$A$17),TRIM(C774)=TRIM(Enginuity!$A$18)),
      TRIM(B774)=TRIM(Enginuity!$A$17)
    )
  ),
  ROW(),
  ""
)</f>
        <v/>
      </c>
    </row>
    <row r="775" spans="1:21" x14ac:dyDescent="0.25">
      <c r="A775" s="10" t="s">
        <v>255</v>
      </c>
      <c r="B775" s="229" t="s">
        <v>95</v>
      </c>
      <c r="C775" s="10"/>
      <c r="D775" s="14"/>
      <c r="E775" s="157"/>
      <c r="F775" s="10"/>
      <c r="G775" s="17"/>
      <c r="H775" s="10"/>
      <c r="I775" s="17"/>
      <c r="J775" s="83"/>
      <c r="K775" s="343"/>
      <c r="L775" s="347"/>
      <c r="M775" s="89">
        <v>39</v>
      </c>
      <c r="N775" s="88"/>
      <c r="O775" s="22"/>
      <c r="P775" s="36"/>
      <c r="Q775" s="83"/>
      <c r="U775" s="104" t="str">
        <f>IF(
  AND(
    TRIM(A775)=TRIM(Enginuity!$A$1),
    TRIM(B775)=TRIM(Enginuity!$A$17),
    Q775&lt;&gt;"",
    Q775&lt;&gt;0,
    OR(
      TRIM(C775)=TRIM(Enginuity!$A$18),
      AND(UPPER(TRIM(M775))="STD", TRIM(B775)=TRIM(Enginuity!$A$17))
    ),
    OR(
      AND(LEFT(P775,5)="1-Way", Enginuity!$B$13=1),
      AND(LEFT(P775,5)="2-Way", OR(Enginuity!$B$13=2, Enginuity!$B$13=4)),
      AND(LEFT(P775,5)="3-Way", OR(Enginuity!$B$13=3, Enginuity!$B$13=6)),
      AND(P775="Inner Centre Jamb", OR(Enginuity!$B$13=4, Enginuity!$B$13=6)),
      AND(
        LEFT(P775,5)&lt;&gt;"1-Way",
        LEFT(P775,5)&lt;&gt;"2-Way",
        LEFT(P775,5)&lt;&gt;"3-Way",
        P775&lt;&gt;"Inner Centre Jamb"
      )
    ),
    IF(OR(Enginuity!$A$1="Frameless Glass",Enginuity!$A$1="Metal Work"),
      AND(TRIM(B775)=TRIM(Enginuity!$A$17),TRIM(C775)=TRIM(Enginuity!$A$18)),
      TRIM(B775)=TRIM(Enginuity!$A$17)
    )
  ),
  ROW(),
  ""
)</f>
        <v/>
      </c>
    </row>
    <row r="776" spans="1:21" x14ac:dyDescent="0.25">
      <c r="A776" s="10" t="s">
        <v>255</v>
      </c>
      <c r="B776" s="229" t="s">
        <v>95</v>
      </c>
      <c r="C776" s="10"/>
      <c r="D776" s="14"/>
      <c r="E776" s="157"/>
      <c r="F776" s="10"/>
      <c r="G776" s="17"/>
      <c r="H776" s="10"/>
      <c r="I776" s="17"/>
      <c r="J776" s="83"/>
      <c r="K776" s="343"/>
      <c r="L776" s="347"/>
      <c r="M776" s="89">
        <v>40</v>
      </c>
      <c r="N776" s="10"/>
      <c r="O776" s="22"/>
      <c r="P776" s="14"/>
      <c r="Q776" s="83"/>
      <c r="U776" s="104" t="str">
        <f>IF(
  AND(
    TRIM(A776)=TRIM(Enginuity!$A$1),
    TRIM(B776)=TRIM(Enginuity!$A$17),
    Q776&lt;&gt;"",
    Q776&lt;&gt;0,
    OR(
      TRIM(C776)=TRIM(Enginuity!$A$18),
      AND(UPPER(TRIM(M776))="STD", TRIM(B776)=TRIM(Enginuity!$A$17))
    ),
    OR(
      AND(LEFT(P776,5)="1-Way", Enginuity!$B$13=1),
      AND(LEFT(P776,5)="2-Way", OR(Enginuity!$B$13=2, Enginuity!$B$13=4)),
      AND(LEFT(P776,5)="3-Way", OR(Enginuity!$B$13=3, Enginuity!$B$13=6)),
      AND(P776="Inner Centre Jamb", OR(Enginuity!$B$13=4, Enginuity!$B$13=6)),
      AND(
        LEFT(P776,5)&lt;&gt;"1-Way",
        LEFT(P776,5)&lt;&gt;"2-Way",
        LEFT(P776,5)&lt;&gt;"3-Way",
        P776&lt;&gt;"Inner Centre Jamb"
      )
    ),
    IF(OR(Enginuity!$A$1="Frameless Glass",Enginuity!$A$1="Metal Work"),
      AND(TRIM(B776)=TRIM(Enginuity!$A$17),TRIM(C776)=TRIM(Enginuity!$A$18)),
      TRIM(B776)=TRIM(Enginuity!$A$17)
    )
  ),
  ROW(),
  ""
)</f>
        <v/>
      </c>
    </row>
    <row r="777" spans="1:21" x14ac:dyDescent="0.25">
      <c r="A777" s="10" t="s">
        <v>255</v>
      </c>
      <c r="B777" s="229" t="s">
        <v>95</v>
      </c>
      <c r="C777" s="10"/>
      <c r="D777" s="14"/>
      <c r="E777" s="157"/>
      <c r="F777" s="10"/>
      <c r="G777" s="17"/>
      <c r="H777" s="10"/>
      <c r="I777" s="17"/>
      <c r="J777" s="83"/>
      <c r="K777" s="343"/>
      <c r="L777" s="347"/>
      <c r="M777" s="89">
        <v>41</v>
      </c>
      <c r="N777" s="88"/>
      <c r="O777" s="22"/>
      <c r="P777" s="14"/>
      <c r="Q777" s="83"/>
      <c r="U777" s="104" t="str">
        <f>IF(
  AND(
    TRIM(A777)=TRIM(Enginuity!$A$1),
    TRIM(B777)=TRIM(Enginuity!$A$17),
    Q777&lt;&gt;"",
    Q777&lt;&gt;0,
    OR(
      TRIM(C777)=TRIM(Enginuity!$A$18),
      AND(UPPER(TRIM(M777))="STD", TRIM(B777)=TRIM(Enginuity!$A$17))
    ),
    OR(
      AND(LEFT(P777,5)="1-Way", Enginuity!$B$13=1),
      AND(LEFT(P777,5)="2-Way", OR(Enginuity!$B$13=2, Enginuity!$B$13=4)),
      AND(LEFT(P777,5)="3-Way", OR(Enginuity!$B$13=3, Enginuity!$B$13=6)),
      AND(P777="Inner Centre Jamb", OR(Enginuity!$B$13=4, Enginuity!$B$13=6)),
      AND(
        LEFT(P777,5)&lt;&gt;"1-Way",
        LEFT(P777,5)&lt;&gt;"2-Way",
        LEFT(P777,5)&lt;&gt;"3-Way",
        P777&lt;&gt;"Inner Centre Jamb"
      )
    ),
    IF(OR(Enginuity!$A$1="Frameless Glass",Enginuity!$A$1="Metal Work"),
      AND(TRIM(B777)=TRIM(Enginuity!$A$17),TRIM(C777)=TRIM(Enginuity!$A$18)),
      TRIM(B777)=TRIM(Enginuity!$A$17)
    )
  ),
  ROW(),
  ""
)</f>
        <v/>
      </c>
    </row>
    <row r="778" spans="1:21" x14ac:dyDescent="0.25">
      <c r="A778" s="10" t="s">
        <v>255</v>
      </c>
      <c r="B778" s="229" t="s">
        <v>95</v>
      </c>
      <c r="C778" s="10"/>
      <c r="D778" s="14"/>
      <c r="E778" s="157"/>
      <c r="F778" s="10"/>
      <c r="G778" s="17"/>
      <c r="H778" s="10"/>
      <c r="I778" s="17"/>
      <c r="J778" s="83"/>
      <c r="K778" s="343"/>
      <c r="L778" s="347"/>
      <c r="M778" s="89">
        <v>42</v>
      </c>
      <c r="N778" s="88"/>
      <c r="O778" s="22"/>
      <c r="P778" s="14"/>
      <c r="Q778" s="83"/>
      <c r="U778" s="104" t="str">
        <f>IF(
  AND(
    TRIM(A778)=TRIM(Enginuity!$A$1),
    TRIM(B778)=TRIM(Enginuity!$A$17),
    Q778&lt;&gt;"",
    Q778&lt;&gt;0,
    OR(
      TRIM(C778)=TRIM(Enginuity!$A$18),
      AND(UPPER(TRIM(M778))="STD", TRIM(B778)=TRIM(Enginuity!$A$17))
    ),
    OR(
      AND(LEFT(P778,5)="1-Way", Enginuity!$B$13=1),
      AND(LEFT(P778,5)="2-Way", OR(Enginuity!$B$13=2, Enginuity!$B$13=4)),
      AND(LEFT(P778,5)="3-Way", OR(Enginuity!$B$13=3, Enginuity!$B$13=6)),
      AND(P778="Inner Centre Jamb", OR(Enginuity!$B$13=4, Enginuity!$B$13=6)),
      AND(
        LEFT(P778,5)&lt;&gt;"1-Way",
        LEFT(P778,5)&lt;&gt;"2-Way",
        LEFT(P778,5)&lt;&gt;"3-Way",
        P778&lt;&gt;"Inner Centre Jamb"
      )
    ),
    IF(OR(Enginuity!$A$1="Frameless Glass",Enginuity!$A$1="Metal Work"),
      AND(TRIM(B778)=TRIM(Enginuity!$A$17),TRIM(C778)=TRIM(Enginuity!$A$18)),
      TRIM(B778)=TRIM(Enginuity!$A$17)
    )
  ),
  ROW(),
  ""
)</f>
        <v/>
      </c>
    </row>
    <row r="779" spans="1:21" x14ac:dyDescent="0.25">
      <c r="A779" s="10" t="s">
        <v>255</v>
      </c>
      <c r="B779" s="229" t="s">
        <v>95</v>
      </c>
      <c r="C779" s="10"/>
      <c r="D779" s="14"/>
      <c r="E779" s="157"/>
      <c r="F779" s="10"/>
      <c r="G779" s="17"/>
      <c r="H779" s="10"/>
      <c r="I779" s="17"/>
      <c r="J779" s="83"/>
      <c r="K779" s="343"/>
      <c r="L779" s="347"/>
      <c r="M779" s="89">
        <v>43</v>
      </c>
      <c r="N779" s="10"/>
      <c r="O779" s="22"/>
      <c r="P779" s="14"/>
      <c r="Q779" s="83"/>
      <c r="U779" s="104" t="str">
        <f>IF(
  AND(
    TRIM(A779)=TRIM(Enginuity!$A$1),
    TRIM(B779)=TRIM(Enginuity!$A$17),
    Q779&lt;&gt;"",
    Q779&lt;&gt;0,
    OR(
      TRIM(C779)=TRIM(Enginuity!$A$18),
      AND(UPPER(TRIM(M779))="STD", TRIM(B779)=TRIM(Enginuity!$A$17))
    ),
    OR(
      AND(LEFT(P779,5)="1-Way", Enginuity!$B$13=1),
      AND(LEFT(P779,5)="2-Way", OR(Enginuity!$B$13=2, Enginuity!$B$13=4)),
      AND(LEFT(P779,5)="3-Way", OR(Enginuity!$B$13=3, Enginuity!$B$13=6)),
      AND(P779="Inner Centre Jamb", OR(Enginuity!$B$13=4, Enginuity!$B$13=6)),
      AND(
        LEFT(P779,5)&lt;&gt;"1-Way",
        LEFT(P779,5)&lt;&gt;"2-Way",
        LEFT(P779,5)&lt;&gt;"3-Way",
        P779&lt;&gt;"Inner Centre Jamb"
      )
    ),
    IF(OR(Enginuity!$A$1="Frameless Glass",Enginuity!$A$1="Metal Work"),
      AND(TRIM(B779)=TRIM(Enginuity!$A$17),TRIM(C779)=TRIM(Enginuity!$A$18)),
      TRIM(B779)=TRIM(Enginuity!$A$17)
    )
  ),
  ROW(),
  ""
)</f>
        <v/>
      </c>
    </row>
    <row r="780" spans="1:21" x14ac:dyDescent="0.25">
      <c r="A780" s="10" t="s">
        <v>255</v>
      </c>
      <c r="B780" s="229" t="s">
        <v>95</v>
      </c>
      <c r="C780" s="10"/>
      <c r="D780" s="14"/>
      <c r="E780" s="157"/>
      <c r="F780" s="10"/>
      <c r="G780" s="17"/>
      <c r="H780" s="10"/>
      <c r="I780" s="17"/>
      <c r="J780" s="83"/>
      <c r="K780" s="343"/>
      <c r="L780" s="347"/>
      <c r="M780" s="89">
        <v>44</v>
      </c>
      <c r="N780" s="10"/>
      <c r="O780" s="22"/>
      <c r="P780" s="14"/>
      <c r="Q780" s="83"/>
      <c r="U780" s="104" t="str">
        <f>IF(
  AND(
    TRIM(A780)=TRIM(Enginuity!$A$1),
    TRIM(B780)=TRIM(Enginuity!$A$17),
    Q780&lt;&gt;"",
    Q780&lt;&gt;0,
    OR(
      TRIM(C780)=TRIM(Enginuity!$A$18),
      AND(UPPER(TRIM(M780))="STD", TRIM(B780)=TRIM(Enginuity!$A$17))
    ),
    OR(
      AND(LEFT(P780,5)="1-Way", Enginuity!$B$13=1),
      AND(LEFT(P780,5)="2-Way", OR(Enginuity!$B$13=2, Enginuity!$B$13=4)),
      AND(LEFT(P780,5)="3-Way", OR(Enginuity!$B$13=3, Enginuity!$B$13=6)),
      AND(P780="Inner Centre Jamb", OR(Enginuity!$B$13=4, Enginuity!$B$13=6)),
      AND(
        LEFT(P780,5)&lt;&gt;"1-Way",
        LEFT(P780,5)&lt;&gt;"2-Way",
        LEFT(P780,5)&lt;&gt;"3-Way",
        P780&lt;&gt;"Inner Centre Jamb"
      )
    ),
    IF(OR(Enginuity!$A$1="Frameless Glass",Enginuity!$A$1="Metal Work"),
      AND(TRIM(B780)=TRIM(Enginuity!$A$17),TRIM(C780)=TRIM(Enginuity!$A$18)),
      TRIM(B780)=TRIM(Enginuity!$A$17)
    )
  ),
  ROW(),
  ""
)</f>
        <v/>
      </c>
    </row>
    <row r="781" spans="1:21" x14ac:dyDescent="0.25">
      <c r="A781" s="10" t="s">
        <v>255</v>
      </c>
      <c r="B781" s="229" t="s">
        <v>95</v>
      </c>
      <c r="C781" s="10"/>
      <c r="D781" s="14"/>
      <c r="E781" s="157"/>
      <c r="F781" s="10"/>
      <c r="G781" s="17"/>
      <c r="H781" s="10"/>
      <c r="I781" s="17"/>
      <c r="J781" s="83"/>
      <c r="K781" s="343"/>
      <c r="L781" s="347"/>
      <c r="M781" s="89">
        <v>45</v>
      </c>
      <c r="N781" s="10"/>
      <c r="O781" s="22"/>
      <c r="P781" s="14"/>
      <c r="Q781" s="83"/>
      <c r="U781" s="104" t="str">
        <f>IF(
  AND(
    TRIM(A781)=TRIM(Enginuity!$A$1),
    TRIM(B781)=TRIM(Enginuity!$A$17),
    Q781&lt;&gt;"",
    Q781&lt;&gt;0,
    OR(
      TRIM(C781)=TRIM(Enginuity!$A$18),
      AND(UPPER(TRIM(M781))="STD", TRIM(B781)=TRIM(Enginuity!$A$17))
    ),
    OR(
      AND(LEFT(P781,5)="1-Way", Enginuity!$B$13=1),
      AND(LEFT(P781,5)="2-Way", OR(Enginuity!$B$13=2, Enginuity!$B$13=4)),
      AND(LEFT(P781,5)="3-Way", OR(Enginuity!$B$13=3, Enginuity!$B$13=6)),
      AND(P781="Inner Centre Jamb", OR(Enginuity!$B$13=4, Enginuity!$B$13=6)),
      AND(
        LEFT(P781,5)&lt;&gt;"1-Way",
        LEFT(P781,5)&lt;&gt;"2-Way",
        LEFT(P781,5)&lt;&gt;"3-Way",
        P781&lt;&gt;"Inner Centre Jamb"
      )
    ),
    IF(OR(Enginuity!$A$1="Frameless Glass",Enginuity!$A$1="Metal Work"),
      AND(TRIM(B781)=TRIM(Enginuity!$A$17),TRIM(C781)=TRIM(Enginuity!$A$18)),
      TRIM(B781)=TRIM(Enginuity!$A$17)
    )
  ),
  ROW(),
  ""
)</f>
        <v/>
      </c>
    </row>
    <row r="782" spans="1:21" x14ac:dyDescent="0.25">
      <c r="A782" s="10"/>
      <c r="B782" s="229"/>
      <c r="C782" s="10"/>
      <c r="D782" s="14"/>
      <c r="E782" s="157"/>
      <c r="F782" s="10"/>
      <c r="G782" s="17"/>
      <c r="H782" s="10"/>
      <c r="I782" s="17"/>
      <c r="J782" s="83"/>
      <c r="K782" s="343"/>
      <c r="L782" s="347"/>
      <c r="M782" s="89">
        <v>46</v>
      </c>
      <c r="N782" s="88"/>
      <c r="O782" s="22"/>
      <c r="P782" s="36"/>
      <c r="Q782" s="83"/>
      <c r="U782" s="104" t="str">
        <f>IF(
  AND(
    TRIM(A782)=TRIM(Enginuity!$A$1),
    TRIM(B782)=TRIM(Enginuity!$A$17),
    Q782&lt;&gt;"",
    Q782&lt;&gt;0,
    OR(
      TRIM(C782)=TRIM(Enginuity!$A$18),
      AND(UPPER(TRIM(M782))="STD", TRIM(B782)=TRIM(Enginuity!$A$17))
    ),
    OR(
      AND(LEFT(P782,5)="1-Way", Enginuity!$B$13=1),
      AND(LEFT(P782,5)="2-Way", OR(Enginuity!$B$13=2, Enginuity!$B$13=4)),
      AND(LEFT(P782,5)="3-Way", OR(Enginuity!$B$13=3, Enginuity!$B$13=6)),
      AND(P782="Inner Centre Jamb", OR(Enginuity!$B$13=4, Enginuity!$B$13=6)),
      AND(
        LEFT(P782,5)&lt;&gt;"1-Way",
        LEFT(P782,5)&lt;&gt;"2-Way",
        LEFT(P782,5)&lt;&gt;"3-Way",
        P782&lt;&gt;"Inner Centre Jamb"
      )
    ),
    IF(OR(Enginuity!$A$1="Frameless Glass",Enginuity!$A$1="Metal Work"),
      AND(TRIM(B782)=TRIM(Enginuity!$A$17),TRIM(C782)=TRIM(Enginuity!$A$18)),
      TRIM(B782)=TRIM(Enginuity!$A$17)
    )
  ),
  ROW(),
  ""
)</f>
        <v/>
      </c>
    </row>
    <row r="783" spans="1:21" x14ac:dyDescent="0.25">
      <c r="A783" s="10"/>
      <c r="B783" s="229"/>
      <c r="C783" s="10"/>
      <c r="D783" s="14"/>
      <c r="E783" s="157"/>
      <c r="F783" s="10"/>
      <c r="G783" s="17"/>
      <c r="H783" s="10"/>
      <c r="I783" s="17"/>
      <c r="J783" s="83"/>
      <c r="K783" s="343"/>
      <c r="L783" s="347"/>
      <c r="M783" s="89">
        <v>47</v>
      </c>
      <c r="N783" s="10"/>
      <c r="O783" s="22"/>
      <c r="P783" s="14"/>
      <c r="Q783" s="83"/>
      <c r="U783" s="104" t="str">
        <f>IF(
  AND(
    TRIM(A783)=TRIM(Enginuity!$A$1),
    TRIM(B783)=TRIM(Enginuity!$A$17),
    Q783&lt;&gt;"",
    Q783&lt;&gt;0,
    OR(
      TRIM(C783)=TRIM(Enginuity!$A$18),
      AND(UPPER(TRIM(M783))="STD", TRIM(B783)=TRIM(Enginuity!$A$17))
    ),
    OR(
      AND(LEFT(P783,5)="1-Way", Enginuity!$B$13=1),
      AND(LEFT(P783,5)="2-Way", OR(Enginuity!$B$13=2, Enginuity!$B$13=4)),
      AND(LEFT(P783,5)="3-Way", OR(Enginuity!$B$13=3, Enginuity!$B$13=6)),
      AND(P783="Inner Centre Jamb", OR(Enginuity!$B$13=4, Enginuity!$B$13=6)),
      AND(
        LEFT(P783,5)&lt;&gt;"1-Way",
        LEFT(P783,5)&lt;&gt;"2-Way",
        LEFT(P783,5)&lt;&gt;"3-Way",
        P783&lt;&gt;"Inner Centre Jamb"
      )
    ),
    IF(OR(Enginuity!$A$1="Frameless Glass",Enginuity!$A$1="Metal Work"),
      AND(TRIM(B783)=TRIM(Enginuity!$A$17),TRIM(C783)=TRIM(Enginuity!$A$18)),
      TRIM(B783)=TRIM(Enginuity!$A$17)
    )
  ),
  ROW(),
  ""
)</f>
        <v/>
      </c>
    </row>
    <row r="784" spans="1:21" x14ac:dyDescent="0.25">
      <c r="A784" s="10"/>
      <c r="B784" s="229"/>
      <c r="C784" s="10"/>
      <c r="D784" s="14"/>
      <c r="E784" s="157"/>
      <c r="F784" s="10"/>
      <c r="G784" s="17"/>
      <c r="H784" s="10"/>
      <c r="I784" s="17"/>
      <c r="J784" s="83"/>
      <c r="K784" s="343"/>
      <c r="L784" s="347"/>
      <c r="M784" s="89">
        <v>48</v>
      </c>
      <c r="N784" s="88"/>
      <c r="O784" s="22"/>
      <c r="P784" s="14"/>
      <c r="Q784" s="83"/>
      <c r="U784" s="104" t="str">
        <f>IF(
  AND(
    TRIM(A784)=TRIM(Enginuity!$A$1),
    TRIM(B784)=TRIM(Enginuity!$A$17),
    Q784&lt;&gt;"",
    Q784&lt;&gt;0,
    OR(
      TRIM(C784)=TRIM(Enginuity!$A$18),
      AND(UPPER(TRIM(M784))="STD", TRIM(B784)=TRIM(Enginuity!$A$17))
    ),
    OR(
      AND(LEFT(P784,5)="1-Way", Enginuity!$B$13=1),
      AND(LEFT(P784,5)="2-Way", OR(Enginuity!$B$13=2, Enginuity!$B$13=4)),
      AND(LEFT(P784,5)="3-Way", OR(Enginuity!$B$13=3, Enginuity!$B$13=6)),
      AND(P784="Inner Centre Jamb", OR(Enginuity!$B$13=4, Enginuity!$B$13=6)),
      AND(
        LEFT(P784,5)&lt;&gt;"1-Way",
        LEFT(P784,5)&lt;&gt;"2-Way",
        LEFT(P784,5)&lt;&gt;"3-Way",
        P784&lt;&gt;"Inner Centre Jamb"
      )
    ),
    IF(OR(Enginuity!$A$1="Frameless Glass",Enginuity!$A$1="Metal Work"),
      AND(TRIM(B784)=TRIM(Enginuity!$A$17),TRIM(C784)=TRIM(Enginuity!$A$18)),
      TRIM(B784)=TRIM(Enginuity!$A$17)
    )
  ),
  ROW(),
  ""
)</f>
        <v/>
      </c>
    </row>
    <row r="785" spans="1:21" x14ac:dyDescent="0.25">
      <c r="A785" s="17"/>
      <c r="B785" s="230"/>
      <c r="C785" s="17"/>
      <c r="D785" s="18"/>
      <c r="E785" s="238"/>
      <c r="F785" s="17"/>
      <c r="G785" s="17"/>
      <c r="H785" s="10"/>
      <c r="I785" s="17"/>
      <c r="J785" s="83"/>
      <c r="K785" s="343"/>
      <c r="L785" s="347"/>
      <c r="M785" s="90">
        <v>49</v>
      </c>
      <c r="N785" s="91"/>
      <c r="O785" s="25"/>
      <c r="P785" s="18"/>
      <c r="Q785" s="84"/>
      <c r="U785" s="104" t="str">
        <f>IF(
  AND(
    TRIM(A785)=TRIM(Enginuity!$A$1),
    TRIM(B785)=TRIM(Enginuity!$A$17),
    Q785&lt;&gt;"",
    Q785&lt;&gt;0,
    OR(
      TRIM(C785)=TRIM(Enginuity!$A$18),
      AND(UPPER(TRIM(M785))="STD", TRIM(B785)=TRIM(Enginuity!$A$17))
    ),
    OR(
      AND(LEFT(P785,5)="1-Way", Enginuity!$B$13=1),
      AND(LEFT(P785,5)="2-Way", OR(Enginuity!$B$13=2, Enginuity!$B$13=4)),
      AND(LEFT(P785,5)="3-Way", OR(Enginuity!$B$13=3, Enginuity!$B$13=6)),
      AND(P785="Inner Centre Jamb", OR(Enginuity!$B$13=4, Enginuity!$B$13=6)),
      AND(
        LEFT(P785,5)&lt;&gt;"1-Way",
        LEFT(P785,5)&lt;&gt;"2-Way",
        LEFT(P785,5)&lt;&gt;"3-Way",
        P785&lt;&gt;"Inner Centre Jamb"
      )
    ),
    IF(OR(Enginuity!$A$1="Frameless Glass",Enginuity!$A$1="Metal Work"),
      AND(TRIM(B785)=TRIM(Enginuity!$A$17),TRIM(C785)=TRIM(Enginuity!$A$18)),
      TRIM(B785)=TRIM(Enginuity!$A$17)
    )
  ),
  ROW(),
  ""
)</f>
        <v/>
      </c>
    </row>
    <row r="786" spans="1:21" x14ac:dyDescent="0.25">
      <c r="A786" s="10" t="s">
        <v>255</v>
      </c>
      <c r="B786" s="229" t="s">
        <v>13</v>
      </c>
      <c r="C786" s="10" t="s">
        <v>97</v>
      </c>
      <c r="D786" s="14" t="str" cm="1">
        <f t="array" ref="D786:D792">IFERROR(INDEX(_xlfn._xlws.FILTER(AllMaterialsbak!$BA$2:$BA$30, AllMaterialsbak!$BA$2:$BA$30&lt;&gt;""), _xlfn.SEQUENCE(7)), "")</f>
        <v>Default</v>
      </c>
      <c r="E786" s="157" t="s">
        <v>257</v>
      </c>
      <c r="F786" s="10" t="s">
        <v>9</v>
      </c>
      <c r="G786" s="17"/>
      <c r="H786" s="10"/>
      <c r="I786" s="17"/>
      <c r="J786" s="83"/>
      <c r="K786" s="344">
        <v>0.64075099999999996</v>
      </c>
      <c r="L786" s="347">
        <v>762</v>
      </c>
      <c r="M786" s="89">
        <v>1</v>
      </c>
      <c r="N786" s="10" t="s">
        <v>103</v>
      </c>
      <c r="O786" s="22">
        <v>6.63</v>
      </c>
      <c r="P786" s="14" t="s">
        <v>281</v>
      </c>
      <c r="Q786" s="98">
        <f>Enginuity!$B$6</f>
        <v>20</v>
      </c>
      <c r="U786" s="104" t="str">
        <f>IF(
  AND(
    TRIM(A786)=TRIM(Enginuity!$A$1),
    TRIM(B786)=TRIM(Enginuity!$A$17),
    Q786&lt;&gt;"",
    Q786&lt;&gt;0,
    OR(
      TRIM(C786)=TRIM(Enginuity!$A$18),
      AND(UPPER(TRIM(M786))="STD", TRIM(B786)=TRIM(Enginuity!$A$17))
    ),
    OR(
      AND(LEFT(P786,5)="1-Way", Enginuity!$B$13=1),
      AND(LEFT(P786,5)="2-Way", OR(Enginuity!$B$13=2, Enginuity!$B$13=4)),
      AND(LEFT(P786,5)="3-Way", OR(Enginuity!$B$13=3, Enginuity!$B$13=6)),
      AND(P786="Inner Centre Jamb", OR(Enginuity!$B$13=4, Enginuity!$B$13=6)),
      AND(
        LEFT(P786,5)&lt;&gt;"1-Way",
        LEFT(P786,5)&lt;&gt;"2-Way",
        LEFT(P786,5)&lt;&gt;"3-Way",
        P786&lt;&gt;"Inner Centre Jamb"
      )
    ),
    IF(OR(Enginuity!$A$1="Frameless Glass",Enginuity!$A$1="Metal Work"),
      AND(TRIM(B786)=TRIM(Enginuity!$A$17),TRIM(C786)=TRIM(Enginuity!$A$18)),
      TRIM(B786)=TRIM(Enginuity!$A$17)
    )
  ),
  ROW(),
  ""
)</f>
        <v/>
      </c>
    </row>
    <row r="787" spans="1:21" x14ac:dyDescent="0.25">
      <c r="A787" s="10" t="s">
        <v>255</v>
      </c>
      <c r="B787" s="229" t="s">
        <v>13</v>
      </c>
      <c r="C787" s="10" t="s">
        <v>97</v>
      </c>
      <c r="D787" s="14" t="str">
        <v xml:space="preserve">2" Louver Blade N/A </v>
      </c>
      <c r="E787" s="157" t="s">
        <v>269</v>
      </c>
      <c r="F787" s="11"/>
      <c r="G787" s="17"/>
      <c r="H787" s="10"/>
      <c r="I787" s="17"/>
      <c r="J787" s="83"/>
      <c r="K787" s="343"/>
      <c r="L787" s="347"/>
      <c r="M787" s="89">
        <v>2</v>
      </c>
      <c r="N787" s="10" t="s">
        <v>103</v>
      </c>
      <c r="O787" s="22">
        <v>6.63</v>
      </c>
      <c r="P787" s="14" t="s">
        <v>284</v>
      </c>
      <c r="Q787" s="98">
        <f>Enginuity!$B$6</f>
        <v>20</v>
      </c>
      <c r="U787" s="104" t="str">
        <f>IF(
  AND(
    TRIM(A787)=TRIM(Enginuity!$A$1),
    TRIM(B787)=TRIM(Enginuity!$A$17),
    Q787&lt;&gt;"",
    Q787&lt;&gt;0,
    OR(
      TRIM(C787)=TRIM(Enginuity!$A$18),
      AND(UPPER(TRIM(M787))="STD", TRIM(B787)=TRIM(Enginuity!$A$17))
    ),
    OR(
      AND(LEFT(P787,5)="1-Way", Enginuity!$B$13=1),
      AND(LEFT(P787,5)="2-Way", OR(Enginuity!$B$13=2, Enginuity!$B$13=4)),
      AND(LEFT(P787,5)="3-Way", OR(Enginuity!$B$13=3, Enginuity!$B$13=6)),
      AND(P787="Inner Centre Jamb", OR(Enginuity!$B$13=4, Enginuity!$B$13=6)),
      AND(
        LEFT(P787,5)&lt;&gt;"1-Way",
        LEFT(P787,5)&lt;&gt;"2-Way",
        LEFT(P787,5)&lt;&gt;"3-Way",
        P787&lt;&gt;"Inner Centre Jamb"
      )
    ),
    IF(OR(Enginuity!$A$1="Frameless Glass",Enginuity!$A$1="Metal Work"),
      AND(TRIM(B787)=TRIM(Enginuity!$A$17),TRIM(C787)=TRIM(Enginuity!$A$18)),
      TRIM(B787)=TRIM(Enginuity!$A$17)
    )
  ),
  ROW(),
  ""
)</f>
        <v/>
      </c>
    </row>
    <row r="788" spans="1:21" x14ac:dyDescent="0.25">
      <c r="A788" s="10" t="s">
        <v>255</v>
      </c>
      <c r="B788" s="229" t="s">
        <v>13</v>
      </c>
      <c r="C788" s="10" t="s">
        <v>97</v>
      </c>
      <c r="D788" s="14" t="str">
        <v>2" Louver Blade P/C</v>
      </c>
      <c r="E788" s="157"/>
      <c r="F788" s="10"/>
      <c r="G788" s="17"/>
      <c r="H788" s="10"/>
      <c r="I788" s="17"/>
      <c r="J788" s="83"/>
      <c r="K788" s="343"/>
      <c r="L788" s="347"/>
      <c r="M788" s="89">
        <v>3</v>
      </c>
      <c r="N788" s="10" t="s">
        <v>103</v>
      </c>
      <c r="O788" s="22">
        <v>6.63</v>
      </c>
      <c r="P788" s="14" t="s">
        <v>287</v>
      </c>
      <c r="Q788" s="83">
        <f>IF(Enginuity!$B$7&gt;0, 2 * Enginuity!$B$7, "")</f>
        <v>26</v>
      </c>
      <c r="U788" s="104" t="str">
        <f>IF(
  AND(
    TRIM(A788)=TRIM(Enginuity!$A$1),
    TRIM(B788)=TRIM(Enginuity!$A$17),
    Q788&lt;&gt;"",
    Q788&lt;&gt;0,
    OR(
      TRIM(C788)=TRIM(Enginuity!$A$18),
      AND(UPPER(TRIM(M788))="STD", TRIM(B788)=TRIM(Enginuity!$A$17))
    ),
    OR(
      AND(LEFT(P788,5)="1-Way", Enginuity!$B$13=1),
      AND(LEFT(P788,5)="2-Way", OR(Enginuity!$B$13=2, Enginuity!$B$13=4)),
      AND(LEFT(P788,5)="3-Way", OR(Enginuity!$B$13=3, Enginuity!$B$13=6)),
      AND(P788="Inner Centre Jamb", OR(Enginuity!$B$13=4, Enginuity!$B$13=6)),
      AND(
        LEFT(P788,5)&lt;&gt;"1-Way",
        LEFT(P788,5)&lt;&gt;"2-Way",
        LEFT(P788,5)&lt;&gt;"3-Way",
        P788&lt;&gt;"Inner Centre Jamb"
      )
    ),
    IF(OR(Enginuity!$A$1="Frameless Glass",Enginuity!$A$1="Metal Work"),
      AND(TRIM(B788)=TRIM(Enginuity!$A$17),TRIM(C788)=TRIM(Enginuity!$A$18)),
      TRIM(B788)=TRIM(Enginuity!$A$17)
    )
  ),
  ROW(),
  ""
)</f>
        <v/>
      </c>
    </row>
    <row r="789" spans="1:21" x14ac:dyDescent="0.25">
      <c r="A789" s="10" t="s">
        <v>255</v>
      </c>
      <c r="B789" s="229" t="s">
        <v>13</v>
      </c>
      <c r="C789" s="10" t="s">
        <v>97</v>
      </c>
      <c r="D789" s="14" t="str">
        <v xml:space="preserve">5" Louver Blade N/A </v>
      </c>
      <c r="E789" s="157"/>
      <c r="F789" s="10"/>
      <c r="G789" s="17"/>
      <c r="H789" s="10"/>
      <c r="I789" s="17"/>
      <c r="J789" s="83"/>
      <c r="K789" s="343"/>
      <c r="L789" s="347"/>
      <c r="M789" s="89">
        <v>4</v>
      </c>
      <c r="N789" s="10" t="s">
        <v>103</v>
      </c>
      <c r="O789" s="22">
        <v>9.23</v>
      </c>
      <c r="P789" s="14" t="s">
        <v>282</v>
      </c>
      <c r="Q789" s="83">
        <f>Enginuity!$B$6*2</f>
        <v>40</v>
      </c>
      <c r="U789" s="104" t="str">
        <f>IF(
  AND(
    TRIM(A789)=TRIM(Enginuity!$A$1),
    TRIM(B789)=TRIM(Enginuity!$A$17),
    Q789&lt;&gt;"",
    Q789&lt;&gt;0,
    OR(
      TRIM(C789)=TRIM(Enginuity!$A$18),
      AND(UPPER(TRIM(M789))="STD", TRIM(B789)=TRIM(Enginuity!$A$17))
    ),
    OR(
      AND(LEFT(P789,5)="1-Way", Enginuity!$B$13=1),
      AND(LEFT(P789,5)="2-Way", OR(Enginuity!$B$13=2, Enginuity!$B$13=4)),
      AND(LEFT(P789,5)="3-Way", OR(Enginuity!$B$13=3, Enginuity!$B$13=6)),
      AND(P789="Inner Centre Jamb", OR(Enginuity!$B$13=4, Enginuity!$B$13=6)),
      AND(
        LEFT(P789,5)&lt;&gt;"1-Way",
        LEFT(P789,5)&lt;&gt;"2-Way",
        LEFT(P789,5)&lt;&gt;"3-Way",
        P789&lt;&gt;"Inner Centre Jamb"
      )
    ),
    IF(OR(Enginuity!$A$1="Frameless Glass",Enginuity!$A$1="Metal Work"),
      AND(TRIM(B789)=TRIM(Enginuity!$A$17),TRIM(C789)=TRIM(Enginuity!$A$18)),
      TRIM(B789)=TRIM(Enginuity!$A$17)
    )
  ),
  ROW(),
  ""
)</f>
        <v/>
      </c>
    </row>
    <row r="790" spans="1:21" x14ac:dyDescent="0.25">
      <c r="A790" s="10" t="s">
        <v>255</v>
      </c>
      <c r="B790" s="229" t="s">
        <v>13</v>
      </c>
      <c r="C790" s="10" t="s">
        <v>97</v>
      </c>
      <c r="D790" s="14" t="str">
        <v>5" Louver Blade P/C</v>
      </c>
      <c r="E790" s="157"/>
      <c r="F790" s="10"/>
      <c r="G790" s="17"/>
      <c r="H790" s="10"/>
      <c r="I790" s="17"/>
      <c r="J790" s="83"/>
      <c r="K790" s="343"/>
      <c r="L790" s="347"/>
      <c r="M790" s="89">
        <v>5</v>
      </c>
      <c r="N790" s="10" t="s">
        <v>103</v>
      </c>
      <c r="O790" s="22">
        <v>9.23</v>
      </c>
      <c r="P790" s="14" t="s">
        <v>285</v>
      </c>
      <c r="Q790" s="83">
        <f>Enginuity!$B$6*2</f>
        <v>40</v>
      </c>
      <c r="U790" s="104" t="str">
        <f>IF(
  AND(
    TRIM(A790)=TRIM(Enginuity!$A$1),
    TRIM(B790)=TRIM(Enginuity!$A$17),
    Q790&lt;&gt;"",
    Q790&lt;&gt;0,
    OR(
      TRIM(C790)=TRIM(Enginuity!$A$18),
      AND(UPPER(TRIM(M790))="STD", TRIM(B790)=TRIM(Enginuity!$A$17))
    ),
    OR(
      AND(LEFT(P790,5)="1-Way", Enginuity!$B$13=1),
      AND(LEFT(P790,5)="2-Way", OR(Enginuity!$B$13=2, Enginuity!$B$13=4)),
      AND(LEFT(P790,5)="3-Way", OR(Enginuity!$B$13=3, Enginuity!$B$13=6)),
      AND(P790="Inner Centre Jamb", OR(Enginuity!$B$13=4, Enginuity!$B$13=6)),
      AND(
        LEFT(P790,5)&lt;&gt;"1-Way",
        LEFT(P790,5)&lt;&gt;"2-Way",
        LEFT(P790,5)&lt;&gt;"3-Way",
        P790&lt;&gt;"Inner Centre Jamb"
      )
    ),
    IF(OR(Enginuity!$A$1="Frameless Glass",Enginuity!$A$1="Metal Work"),
      AND(TRIM(B790)=TRIM(Enginuity!$A$17),TRIM(C790)=TRIM(Enginuity!$A$18)),
      TRIM(B790)=TRIM(Enginuity!$A$17)
    )
  ),
  ROW(),
  ""
)</f>
        <v/>
      </c>
    </row>
    <row r="791" spans="1:21" x14ac:dyDescent="0.25">
      <c r="A791" s="10" t="s">
        <v>255</v>
      </c>
      <c r="B791" s="229" t="s">
        <v>13</v>
      </c>
      <c r="C791" s="10" t="s">
        <v>97</v>
      </c>
      <c r="D791" s="14" t="str">
        <v/>
      </c>
      <c r="E791" s="157"/>
      <c r="F791" s="10"/>
      <c r="G791" s="17"/>
      <c r="H791" s="10"/>
      <c r="I791" s="17"/>
      <c r="J791" s="83"/>
      <c r="K791" s="343"/>
      <c r="L791" s="347"/>
      <c r="M791" s="89">
        <v>6</v>
      </c>
      <c r="N791" s="10" t="s">
        <v>103</v>
      </c>
      <c r="O791" s="22">
        <v>9.23</v>
      </c>
      <c r="P791" s="14" t="s">
        <v>288</v>
      </c>
      <c r="Q791" s="83">
        <f>IF(Enginuity!$B$7&gt;0, 2 * Enginuity!$B$7, "")</f>
        <v>26</v>
      </c>
      <c r="U791" s="104" t="str">
        <f>IF(
  AND(
    TRIM(A791)=TRIM(Enginuity!$A$1),
    TRIM(B791)=TRIM(Enginuity!$A$17),
    Q791&lt;&gt;"",
    Q791&lt;&gt;0,
    OR(
      TRIM(C791)=TRIM(Enginuity!$A$18),
      AND(UPPER(TRIM(M791))="STD", TRIM(B791)=TRIM(Enginuity!$A$17))
    ),
    OR(
      AND(LEFT(P791,5)="1-Way", Enginuity!$B$13=1),
      AND(LEFT(P791,5)="2-Way", OR(Enginuity!$B$13=2, Enginuity!$B$13=4)),
      AND(LEFT(P791,5)="3-Way", OR(Enginuity!$B$13=3, Enginuity!$B$13=6)),
      AND(P791="Inner Centre Jamb", OR(Enginuity!$B$13=4, Enginuity!$B$13=6)),
      AND(
        LEFT(P791,5)&lt;&gt;"1-Way",
        LEFT(P791,5)&lt;&gt;"2-Way",
        LEFT(P791,5)&lt;&gt;"3-Way",
        P791&lt;&gt;"Inner Centre Jamb"
      )
    ),
    IF(OR(Enginuity!$A$1="Frameless Glass",Enginuity!$A$1="Metal Work"),
      AND(TRIM(B791)=TRIM(Enginuity!$A$17),TRIM(C791)=TRIM(Enginuity!$A$18)),
      TRIM(B791)=TRIM(Enginuity!$A$17)
    )
  ),
  ROW(),
  ""
)</f>
        <v/>
      </c>
    </row>
    <row r="792" spans="1:21" x14ac:dyDescent="0.25">
      <c r="A792" s="10" t="s">
        <v>255</v>
      </c>
      <c r="B792" s="229" t="s">
        <v>13</v>
      </c>
      <c r="C792" s="10" t="s">
        <v>97</v>
      </c>
      <c r="D792" s="14" t="str">
        <v/>
      </c>
      <c r="E792" s="157"/>
      <c r="F792" s="10"/>
      <c r="G792" s="17"/>
      <c r="H792" s="10"/>
      <c r="I792" s="17"/>
      <c r="J792" s="83"/>
      <c r="K792" s="343"/>
      <c r="L792" s="347"/>
      <c r="M792" s="89">
        <v>7</v>
      </c>
      <c r="N792" s="10" t="s">
        <v>103</v>
      </c>
      <c r="O792" s="22">
        <v>4.2699999999999996</v>
      </c>
      <c r="P792" s="14" t="s">
        <v>289</v>
      </c>
      <c r="Q792" s="83">
        <f>IF(Enginuity!$B$6&gt;0, Enginuity!$B$6, "")</f>
        <v>20</v>
      </c>
      <c r="U792" s="104" t="str">
        <f>IF(
  AND(
    TRIM(A792)=TRIM(Enginuity!$A$1),
    TRIM(B792)=TRIM(Enginuity!$A$17),
    Q792&lt;&gt;"",
    Q792&lt;&gt;0,
    OR(
      TRIM(C792)=TRIM(Enginuity!$A$18),
      AND(UPPER(TRIM(M792))="STD", TRIM(B792)=TRIM(Enginuity!$A$17))
    ),
    OR(
      AND(LEFT(P792,5)="1-Way", Enginuity!$B$13=1),
      AND(LEFT(P792,5)="2-Way", OR(Enginuity!$B$13=2, Enginuity!$B$13=4)),
      AND(LEFT(P792,5)="3-Way", OR(Enginuity!$B$13=3, Enginuity!$B$13=6)),
      AND(P792="Inner Centre Jamb", OR(Enginuity!$B$13=4, Enginuity!$B$13=6)),
      AND(
        LEFT(P792,5)&lt;&gt;"1-Way",
        LEFT(P792,5)&lt;&gt;"2-Way",
        LEFT(P792,5)&lt;&gt;"3-Way",
        P792&lt;&gt;"Inner Centre Jamb"
      )
    ),
    IF(OR(Enginuity!$A$1="Frameless Glass",Enginuity!$A$1="Metal Work"),
      AND(TRIM(B792)=TRIM(Enginuity!$A$17),TRIM(C792)=TRIM(Enginuity!$A$18)),
      TRIM(B792)=TRIM(Enginuity!$A$17)
    )
  ),
  ROW(),
  ""
)</f>
        <v/>
      </c>
    </row>
    <row r="793" spans="1:21" x14ac:dyDescent="0.25">
      <c r="A793" s="10" t="s">
        <v>255</v>
      </c>
      <c r="B793" s="229" t="s">
        <v>13</v>
      </c>
      <c r="C793" s="10" t="s">
        <v>97</v>
      </c>
      <c r="D793" s="14"/>
      <c r="E793" s="157"/>
      <c r="F793" s="10"/>
      <c r="G793" s="17"/>
      <c r="H793" s="10"/>
      <c r="I793" s="17"/>
      <c r="J793" s="83"/>
      <c r="K793" s="343"/>
      <c r="L793" s="347"/>
      <c r="M793" s="89">
        <v>8</v>
      </c>
      <c r="N793" s="10" t="s">
        <v>103</v>
      </c>
      <c r="O793" s="22">
        <v>4.2699999999999996</v>
      </c>
      <c r="P793" s="14" t="s">
        <v>290</v>
      </c>
      <c r="Q793" s="83">
        <f>IF(Enginuity!$B$6&gt;0, Enginuity!$B$6, "")</f>
        <v>20</v>
      </c>
      <c r="U793" s="104" t="str">
        <f>IF(
  AND(
    TRIM(A793)=TRIM(Enginuity!$A$1),
    TRIM(B793)=TRIM(Enginuity!$A$17),
    Q793&lt;&gt;"",
    Q793&lt;&gt;0,
    OR(
      TRIM(C793)=TRIM(Enginuity!$A$18),
      AND(UPPER(TRIM(M793))="STD", TRIM(B793)=TRIM(Enginuity!$A$17))
    ),
    OR(
      AND(LEFT(P793,5)="1-Way", Enginuity!$B$13=1),
      AND(LEFT(P793,5)="2-Way", OR(Enginuity!$B$13=2, Enginuity!$B$13=4)),
      AND(LEFT(P793,5)="3-Way", OR(Enginuity!$B$13=3, Enginuity!$B$13=6)),
      AND(P793="Inner Centre Jamb", OR(Enginuity!$B$13=4, Enginuity!$B$13=6)),
      AND(
        LEFT(P793,5)&lt;&gt;"1-Way",
        LEFT(P793,5)&lt;&gt;"2-Way",
        LEFT(P793,5)&lt;&gt;"3-Way",
        P793&lt;&gt;"Inner Centre Jamb"
      )
    ),
    IF(OR(Enginuity!$A$1="Frameless Glass",Enginuity!$A$1="Metal Work"),
      AND(TRIM(B793)=TRIM(Enginuity!$A$17),TRIM(C793)=TRIM(Enginuity!$A$18)),
      TRIM(B793)=TRIM(Enginuity!$A$17)
    )
  ),
  ROW(),
  ""
)</f>
        <v/>
      </c>
    </row>
    <row r="794" spans="1:21" x14ac:dyDescent="0.25">
      <c r="A794" s="10" t="s">
        <v>255</v>
      </c>
      <c r="B794" s="229" t="s">
        <v>13</v>
      </c>
      <c r="C794" s="10" t="s">
        <v>97</v>
      </c>
      <c r="D794" s="14"/>
      <c r="E794" s="157"/>
      <c r="F794" s="10"/>
      <c r="G794" s="17"/>
      <c r="H794" s="10"/>
      <c r="I794" s="17"/>
      <c r="J794" s="83"/>
      <c r="K794" s="343"/>
      <c r="L794" s="347"/>
      <c r="M794" s="89">
        <v>9</v>
      </c>
      <c r="N794" s="10" t="s">
        <v>103</v>
      </c>
      <c r="O794" s="22">
        <v>6.39</v>
      </c>
      <c r="P794" s="14" t="s">
        <v>108</v>
      </c>
      <c r="Q794" s="83">
        <f>IF(AND(Enginuity!$B$7&gt;0, Enginuity!$B$13&gt;0), Enginuity!$B$7 * Enginuity!$B$13, "")</f>
        <v>91</v>
      </c>
      <c r="U794" s="104" t="str">
        <f>IF(
  AND(
    TRIM(A794)=TRIM(Enginuity!$A$1),
    TRIM(B794)=TRIM(Enginuity!$A$17),
    Q794&lt;&gt;"",
    Q794&lt;&gt;0,
    OR(
      TRIM(C794)=TRIM(Enginuity!$A$18),
      AND(UPPER(TRIM(M794))="STD", TRIM(B794)=TRIM(Enginuity!$A$17))
    ),
    OR(
      AND(LEFT(P794,5)="1-Way", Enginuity!$B$13=1),
      AND(LEFT(P794,5)="2-Way", OR(Enginuity!$B$13=2, Enginuity!$B$13=4)),
      AND(LEFT(P794,5)="3-Way", OR(Enginuity!$B$13=3, Enginuity!$B$13=6)),
      AND(P794="Inner Centre Jamb", OR(Enginuity!$B$13=4, Enginuity!$B$13=6)),
      AND(
        LEFT(P794,5)&lt;&gt;"1-Way",
        LEFT(P794,5)&lt;&gt;"2-Way",
        LEFT(P794,5)&lt;&gt;"3-Way",
        P794&lt;&gt;"Inner Centre Jamb"
      )
    ),
    IF(OR(Enginuity!$A$1="Frameless Glass",Enginuity!$A$1="Metal Work"),
      AND(TRIM(B794)=TRIM(Enginuity!$A$17),TRIM(C794)=TRIM(Enginuity!$A$18)),
      TRIM(B794)=TRIM(Enginuity!$A$17)
    )
  ),
  ROW(),
  ""
)</f>
        <v/>
      </c>
    </row>
    <row r="795" spans="1:21" x14ac:dyDescent="0.25">
      <c r="A795" s="10" t="s">
        <v>255</v>
      </c>
      <c r="B795" s="229" t="s">
        <v>13</v>
      </c>
      <c r="C795" s="10" t="s">
        <v>97</v>
      </c>
      <c r="D795" s="14"/>
      <c r="E795" s="157"/>
      <c r="F795" s="10"/>
      <c r="G795" s="17"/>
      <c r="H795" s="10"/>
      <c r="I795" s="17"/>
      <c r="J795" s="83"/>
      <c r="K795" s="343"/>
      <c r="L795" s="347"/>
      <c r="M795" s="89">
        <v>10</v>
      </c>
      <c r="N795" s="10" t="s">
        <v>103</v>
      </c>
      <c r="O795" s="22">
        <v>4.2699999999999996</v>
      </c>
      <c r="P795" s="14" t="s">
        <v>267</v>
      </c>
      <c r="Q795" s="83">
        <f>IF(AND(Enginuity!$B$7&gt;0, Enginuity!$B$13&gt;0), Enginuity!$B$7 * Enginuity!$B$13, "")</f>
        <v>91</v>
      </c>
      <c r="U795" s="104" t="str">
        <f>IF(
  AND(
    TRIM(A795)=TRIM(Enginuity!$A$1),
    TRIM(B795)=TRIM(Enginuity!$A$17),
    Q795&lt;&gt;"",
    Q795&lt;&gt;0,
    OR(
      TRIM(C795)=TRIM(Enginuity!$A$18),
      AND(UPPER(TRIM(M795))="STD", TRIM(B795)=TRIM(Enginuity!$A$17))
    ),
    OR(
      AND(LEFT(P795,5)="1-Way", Enginuity!$B$13=1),
      AND(LEFT(P795,5)="2-Way", OR(Enginuity!$B$13=2, Enginuity!$B$13=4)),
      AND(LEFT(P795,5)="3-Way", OR(Enginuity!$B$13=3, Enginuity!$B$13=6)),
      AND(P795="Inner Centre Jamb", OR(Enginuity!$B$13=4, Enginuity!$B$13=6)),
      AND(
        LEFT(P795,5)&lt;&gt;"1-Way",
        LEFT(P795,5)&lt;&gt;"2-Way",
        LEFT(P795,5)&lt;&gt;"3-Way",
        P795&lt;&gt;"Inner Centre Jamb"
      )
    ),
    IF(OR(Enginuity!$A$1="Frameless Glass",Enginuity!$A$1="Metal Work"),
      AND(TRIM(B795)=TRIM(Enginuity!$A$17),TRIM(C795)=TRIM(Enginuity!$A$18)),
      TRIM(B795)=TRIM(Enginuity!$A$17)
    )
  ),
  ROW(),
  ""
)</f>
        <v/>
      </c>
    </row>
    <row r="796" spans="1:21" x14ac:dyDescent="0.25">
      <c r="A796" s="10" t="s">
        <v>255</v>
      </c>
      <c r="B796" s="229" t="s">
        <v>13</v>
      </c>
      <c r="C796" s="10" t="s">
        <v>97</v>
      </c>
      <c r="D796" s="14"/>
      <c r="E796" s="157"/>
      <c r="F796" s="10"/>
      <c r="G796" s="17"/>
      <c r="H796" s="10"/>
      <c r="I796" s="17"/>
      <c r="J796" s="83"/>
      <c r="K796" s="343"/>
      <c r="L796" s="347"/>
      <c r="M796" s="89">
        <v>11</v>
      </c>
      <c r="N796" s="10" t="s">
        <v>103</v>
      </c>
      <c r="O796" s="22">
        <v>1.42</v>
      </c>
      <c r="P796" s="14" t="s">
        <v>109</v>
      </c>
      <c r="Q796" s="83">
        <f>IF(Enginuity!$B$7&gt;0, Enginuity!$B$7, "")*2</f>
        <v>26</v>
      </c>
      <c r="U796" s="104" t="str">
        <f>IF(
  AND(
    TRIM(A796)=TRIM(Enginuity!$A$1),
    TRIM(B796)=TRIM(Enginuity!$A$17),
    Q796&lt;&gt;"",
    Q796&lt;&gt;0,
    OR(
      TRIM(C796)=TRIM(Enginuity!$A$18),
      AND(UPPER(TRIM(M796))="STD", TRIM(B796)=TRIM(Enginuity!$A$17))
    ),
    OR(
      AND(LEFT(P796,5)="1-Way", Enginuity!$B$13=1),
      AND(LEFT(P796,5)="2-Way", OR(Enginuity!$B$13=2, Enginuity!$B$13=4)),
      AND(LEFT(P796,5)="3-Way", OR(Enginuity!$B$13=3, Enginuity!$B$13=6)),
      AND(P796="Inner Centre Jamb", OR(Enginuity!$B$13=4, Enginuity!$B$13=6)),
      AND(
        LEFT(P796,5)&lt;&gt;"1-Way",
        LEFT(P796,5)&lt;&gt;"2-Way",
        LEFT(P796,5)&lt;&gt;"3-Way",
        P796&lt;&gt;"Inner Centre Jamb"
      )
    ),
    IF(OR(Enginuity!$A$1="Frameless Glass",Enginuity!$A$1="Metal Work"),
      AND(TRIM(B796)=TRIM(Enginuity!$A$17),TRIM(C796)=TRIM(Enginuity!$A$18)),
      TRIM(B796)=TRIM(Enginuity!$A$17)
    )
  ),
  ROW(),
  ""
)</f>
        <v/>
      </c>
    </row>
    <row r="797" spans="1:21" x14ac:dyDescent="0.25">
      <c r="A797" s="10" t="s">
        <v>255</v>
      </c>
      <c r="B797" s="229" t="s">
        <v>13</v>
      </c>
      <c r="C797" s="10" t="s">
        <v>97</v>
      </c>
      <c r="D797" s="14"/>
      <c r="E797" s="157"/>
      <c r="F797" s="10"/>
      <c r="G797" s="17"/>
      <c r="H797" s="10"/>
      <c r="I797" s="17"/>
      <c r="J797" s="83"/>
      <c r="K797" s="343"/>
      <c r="L797" s="347"/>
      <c r="M797" s="89">
        <v>12</v>
      </c>
      <c r="N797" s="10" t="s">
        <v>176</v>
      </c>
      <c r="O797" s="22" t="str">
        <f>IF(Enginuity!$A$20="", "",
 IF(Enginuity!$A$20="Lattice Design", $F$9,
 IF(Enginuity!$A$20="Lattice Design 12 Box / Panel", $F$10,
 ""))
)</f>
        <v/>
      </c>
      <c r="P797" s="5" t="str">
        <f>Enginuity!$A$20</f>
        <v>Z-Louvre Blade - 5"</v>
      </c>
      <c r="Q797" s="22" t="str">
        <f>IF(O797&lt;&gt;"",1,"")</f>
        <v/>
      </c>
      <c r="U797" s="104" t="str">
        <f>IF(
  AND(
    TRIM(A797)=TRIM(Enginuity!$A$1),
    TRIM(B797)=TRIM(Enginuity!$A$17),
    Q797&lt;&gt;"",
    Q797&lt;&gt;0,
    OR(
      TRIM(C797)=TRIM(Enginuity!$A$18),
      AND(UPPER(TRIM(M797))="STD", TRIM(B797)=TRIM(Enginuity!$A$17))
    ),
    OR(
      AND(LEFT(P797,5)="1-Way", Enginuity!$B$13=1),
      AND(LEFT(P797,5)="2-Way", OR(Enginuity!$B$13=2, Enginuity!$B$13=4)),
      AND(LEFT(P797,5)="3-Way", OR(Enginuity!$B$13=3, Enginuity!$B$13=6)),
      AND(P797="Inner Centre Jamb", OR(Enginuity!$B$13=4, Enginuity!$B$13=6)),
      AND(
        LEFT(P797,5)&lt;&gt;"1-Way",
        LEFT(P797,5)&lt;&gt;"2-Way",
        LEFT(P797,5)&lt;&gt;"3-Way",
        P797&lt;&gt;"Inner Centre Jamb"
      )
    ),
    IF(OR(Enginuity!$A$1="Frameless Glass",Enginuity!$A$1="Metal Work"),
      AND(TRIM(B797)=TRIM(Enginuity!$A$17),TRIM(C797)=TRIM(Enginuity!$A$18)),
      TRIM(B797)=TRIM(Enginuity!$A$17)
    )
  ),
  ROW(),
  ""
)</f>
        <v/>
      </c>
    </row>
    <row r="798" spans="1:21" x14ac:dyDescent="0.25">
      <c r="A798" s="10" t="s">
        <v>255</v>
      </c>
      <c r="B798" s="229" t="s">
        <v>13</v>
      </c>
      <c r="C798" s="10" t="s">
        <v>97</v>
      </c>
      <c r="D798" s="14"/>
      <c r="E798" s="157"/>
      <c r="F798" s="10"/>
      <c r="G798" s="17"/>
      <c r="H798" s="10"/>
      <c r="I798" s="17"/>
      <c r="J798" s="83"/>
      <c r="K798" s="343"/>
      <c r="L798" s="347"/>
      <c r="M798" s="89">
        <v>13</v>
      </c>
      <c r="N798" s="10" t="s">
        <v>176</v>
      </c>
      <c r="O798" s="22" t="str">
        <f>IF(Enginuity!$A$21="12""H Top Hung Standard Casement Profile", $F$11,
IF(Enginuity!$A$21="12""H Top / Bottom Fix Standard Casement Profile", $F$12,
""))</f>
        <v/>
      </c>
      <c r="P798" s="106"/>
      <c r="Q798" s="22" t="str">
        <f>IF(O798&lt;&gt;"",1,"")</f>
        <v/>
      </c>
      <c r="U798" s="104" t="str">
        <f>IF(
  AND(
    TRIM(A798)=TRIM(Enginuity!$A$1),
    TRIM(B798)=TRIM(Enginuity!$A$17),
    Q798&lt;&gt;"",
    Q798&lt;&gt;0,
    OR(
      TRIM(C798)=TRIM(Enginuity!$A$18),
      AND(UPPER(TRIM(M798))="STD", TRIM(B798)=TRIM(Enginuity!$A$17))
    ),
    OR(
      AND(LEFT(P798,5)="1-Way", Enginuity!$B$13=1),
      AND(LEFT(P798,5)="2-Way", OR(Enginuity!$B$13=2, Enginuity!$B$13=4)),
      AND(LEFT(P798,5)="3-Way", OR(Enginuity!$B$13=3, Enginuity!$B$13=6)),
      AND(P798="Inner Centre Jamb", OR(Enginuity!$B$13=4, Enginuity!$B$13=6)),
      AND(
        LEFT(P798,5)&lt;&gt;"1-Way",
        LEFT(P798,5)&lt;&gt;"2-Way",
        LEFT(P798,5)&lt;&gt;"3-Way",
        P798&lt;&gt;"Inner Centre Jamb"
      )
    ),
    IF(OR(Enginuity!$A$1="Frameless Glass",Enginuity!$A$1="Metal Work"),
      AND(TRIM(B798)=TRIM(Enginuity!$A$17),TRIM(C798)=TRIM(Enginuity!$A$18)),
      TRIM(B798)=TRIM(Enginuity!$A$17)
    )
  ),
  ROW(),
  ""
)</f>
        <v/>
      </c>
    </row>
    <row r="799" spans="1:21" x14ac:dyDescent="0.25">
      <c r="A799" s="10" t="s">
        <v>255</v>
      </c>
      <c r="B799" s="229" t="s">
        <v>13</v>
      </c>
      <c r="C799" s="10" t="s">
        <v>97</v>
      </c>
      <c r="D799" s="14"/>
      <c r="E799" s="157"/>
      <c r="F799" s="10"/>
      <c r="G799" s="17"/>
      <c r="H799" s="10"/>
      <c r="I799" s="17"/>
      <c r="J799" s="83"/>
      <c r="K799" s="343"/>
      <c r="L799" s="347"/>
      <c r="M799" s="89">
        <v>14</v>
      </c>
      <c r="N799" s="10" t="s">
        <v>176</v>
      </c>
      <c r="O799" s="22" t="str">
        <f>IF(Enginuity!$A$21="Subframe 1"" X 2""", $J$2, "")</f>
        <v/>
      </c>
      <c r="P799" s="106" t="str">
        <f>Enginuity!$A$21</f>
        <v>SF 4"</v>
      </c>
      <c r="Q799" s="22" t="str">
        <f>IF(O799&lt;&gt;"",1,"")</f>
        <v/>
      </c>
      <c r="U799" s="104" t="str">
        <f>IF(
  AND(
    TRIM(A799)=TRIM(Enginuity!$A$1),
    TRIM(B799)=TRIM(Enginuity!$A$17),
    Q799&lt;&gt;"",
    Q799&lt;&gt;0,
    OR(
      TRIM(C799)=TRIM(Enginuity!$A$18),
      AND(UPPER(TRIM(M799))="STD", TRIM(B799)=TRIM(Enginuity!$A$17))
    ),
    OR(
      AND(LEFT(P799,5)="1-Way", Enginuity!$B$13=1),
      AND(LEFT(P799,5)="2-Way", OR(Enginuity!$B$13=2, Enginuity!$B$13=4)),
      AND(LEFT(P799,5)="3-Way", OR(Enginuity!$B$13=3, Enginuity!$B$13=6)),
      AND(P799="Inner Centre Jamb", OR(Enginuity!$B$13=4, Enginuity!$B$13=6)),
      AND(
        LEFT(P799,5)&lt;&gt;"1-Way",
        LEFT(P799,5)&lt;&gt;"2-Way",
        LEFT(P799,5)&lt;&gt;"3-Way",
        P799&lt;&gt;"Inner Centre Jamb"
      )
    ),
    IF(OR(Enginuity!$A$1="Frameless Glass",Enginuity!$A$1="Metal Work"),
      AND(TRIM(B799)=TRIM(Enginuity!$A$17),TRIM(C799)=TRIM(Enginuity!$A$18)),
      TRIM(B799)=TRIM(Enginuity!$A$17)
    )
  ),
  ROW(),
  ""
)</f>
        <v/>
      </c>
    </row>
    <row r="800" spans="1:21" x14ac:dyDescent="0.25">
      <c r="A800" s="10" t="s">
        <v>255</v>
      </c>
      <c r="B800" s="229" t="s">
        <v>13</v>
      </c>
      <c r="C800" s="10" t="s">
        <v>97</v>
      </c>
      <c r="D800" s="14"/>
      <c r="E800" s="157"/>
      <c r="F800" s="10"/>
      <c r="G800" s="17"/>
      <c r="H800" s="10"/>
      <c r="I800" s="17"/>
      <c r="J800" s="83"/>
      <c r="K800" s="343"/>
      <c r="L800" s="347"/>
      <c r="M800" s="89">
        <v>15</v>
      </c>
      <c r="N800" s="10"/>
      <c r="O800" s="22"/>
      <c r="P800" s="14"/>
      <c r="Q800" s="83"/>
      <c r="U800" s="104" t="str">
        <f>IF(
  AND(
    TRIM(A800)=TRIM(Enginuity!$A$1),
    TRIM(B800)=TRIM(Enginuity!$A$17),
    Q800&lt;&gt;"",
    Q800&lt;&gt;0,
    OR(
      TRIM(C800)=TRIM(Enginuity!$A$18),
      AND(UPPER(TRIM(M800))="STD", TRIM(B800)=TRIM(Enginuity!$A$17))
    ),
    OR(
      AND(LEFT(P800,5)="1-Way", Enginuity!$B$13=1),
      AND(LEFT(P800,5)="2-Way", OR(Enginuity!$B$13=2, Enginuity!$B$13=4)),
      AND(LEFT(P800,5)="3-Way", OR(Enginuity!$B$13=3, Enginuity!$B$13=6)),
      AND(P800="Inner Centre Jamb", OR(Enginuity!$B$13=4, Enginuity!$B$13=6)),
      AND(
        LEFT(P800,5)&lt;&gt;"1-Way",
        LEFT(P800,5)&lt;&gt;"2-Way",
        LEFT(P800,5)&lt;&gt;"3-Way",
        P800&lt;&gt;"Inner Centre Jamb"
      )
    ),
    IF(OR(Enginuity!$A$1="Frameless Glass",Enginuity!$A$1="Metal Work"),
      AND(TRIM(B800)=TRIM(Enginuity!$A$17),TRIM(C800)=TRIM(Enginuity!$A$18)),
      TRIM(B800)=TRIM(Enginuity!$A$17)
    )
  ),
  ROW(),
  ""
)</f>
        <v/>
      </c>
    </row>
    <row r="801" spans="1:21" x14ac:dyDescent="0.25">
      <c r="A801" s="10" t="s">
        <v>255</v>
      </c>
      <c r="B801" s="229" t="s">
        <v>13</v>
      </c>
      <c r="C801" s="10" t="s">
        <v>97</v>
      </c>
      <c r="D801" s="14"/>
      <c r="E801" s="157"/>
      <c r="F801" s="10"/>
      <c r="G801" s="17"/>
      <c r="H801" s="10"/>
      <c r="I801" s="17"/>
      <c r="J801" s="83"/>
      <c r="K801" s="343"/>
      <c r="L801" s="347"/>
      <c r="M801" s="89">
        <v>16</v>
      </c>
      <c r="N801" s="10"/>
      <c r="O801" s="22"/>
      <c r="P801" s="14"/>
      <c r="Q801" s="83"/>
      <c r="U801" s="104" t="str">
        <f>IF(
  AND(
    TRIM(A801)=TRIM(Enginuity!$A$1),
    TRIM(B801)=TRIM(Enginuity!$A$17),
    Q801&lt;&gt;"",
    Q801&lt;&gt;0,
    OR(
      TRIM(C801)=TRIM(Enginuity!$A$18),
      AND(UPPER(TRIM(M801))="STD", TRIM(B801)=TRIM(Enginuity!$A$17))
    ),
    OR(
      AND(LEFT(P801,5)="1-Way", Enginuity!$B$13=1),
      AND(LEFT(P801,5)="2-Way", OR(Enginuity!$B$13=2, Enginuity!$B$13=4)),
      AND(LEFT(P801,5)="3-Way", OR(Enginuity!$B$13=3, Enginuity!$B$13=6)),
      AND(P801="Inner Centre Jamb", OR(Enginuity!$B$13=4, Enginuity!$B$13=6)),
      AND(
        LEFT(P801,5)&lt;&gt;"1-Way",
        LEFT(P801,5)&lt;&gt;"2-Way",
        LEFT(P801,5)&lt;&gt;"3-Way",
        P801&lt;&gt;"Inner Centre Jamb"
      )
    ),
    IF(OR(Enginuity!$A$1="Frameless Glass",Enginuity!$A$1="Metal Work"),
      AND(TRIM(B801)=TRIM(Enginuity!$A$17),TRIM(C801)=TRIM(Enginuity!$A$18)),
      TRIM(B801)=TRIM(Enginuity!$A$17)
    )
  ),
  ROW(),
  ""
)</f>
        <v/>
      </c>
    </row>
    <row r="802" spans="1:21" x14ac:dyDescent="0.25">
      <c r="A802" s="10" t="s">
        <v>255</v>
      </c>
      <c r="B802" s="229" t="s">
        <v>13</v>
      </c>
      <c r="C802" s="10" t="s">
        <v>97</v>
      </c>
      <c r="D802" s="14"/>
      <c r="E802" s="157"/>
      <c r="F802" s="10"/>
      <c r="G802" s="17"/>
      <c r="H802" s="10"/>
      <c r="I802" s="17"/>
      <c r="J802" s="83"/>
      <c r="K802" s="343"/>
      <c r="L802" s="347"/>
      <c r="M802" s="89">
        <v>17</v>
      </c>
      <c r="N802" s="10"/>
      <c r="O802" s="22"/>
      <c r="P802" s="14"/>
      <c r="Q802" s="83"/>
      <c r="U802" s="104" t="str">
        <f>IF(
  AND(
    TRIM(A802)=TRIM(Enginuity!$A$1),
    TRIM(B802)=TRIM(Enginuity!$A$17),
    Q802&lt;&gt;"",
    Q802&lt;&gt;0,
    OR(
      TRIM(C802)=TRIM(Enginuity!$A$18),
      AND(UPPER(TRIM(M802))="STD", TRIM(B802)=TRIM(Enginuity!$A$17))
    ),
    OR(
      AND(LEFT(P802,5)="1-Way", Enginuity!$B$13=1),
      AND(LEFT(P802,5)="2-Way", OR(Enginuity!$B$13=2, Enginuity!$B$13=4)),
      AND(LEFT(P802,5)="3-Way", OR(Enginuity!$B$13=3, Enginuity!$B$13=6)),
      AND(P802="Inner Centre Jamb", OR(Enginuity!$B$13=4, Enginuity!$B$13=6)),
      AND(
        LEFT(P802,5)&lt;&gt;"1-Way",
        LEFT(P802,5)&lt;&gt;"2-Way",
        LEFT(P802,5)&lt;&gt;"3-Way",
        P802&lt;&gt;"Inner Centre Jamb"
      )
    ),
    IF(OR(Enginuity!$A$1="Frameless Glass",Enginuity!$A$1="Metal Work"),
      AND(TRIM(B802)=TRIM(Enginuity!$A$17),TRIM(C802)=TRIM(Enginuity!$A$18)),
      TRIM(B802)=TRIM(Enginuity!$A$17)
    )
  ),
  ROW(),
  ""
)</f>
        <v/>
      </c>
    </row>
    <row r="803" spans="1:21" x14ac:dyDescent="0.25">
      <c r="A803" s="10" t="s">
        <v>255</v>
      </c>
      <c r="B803" s="229" t="s">
        <v>13</v>
      </c>
      <c r="C803" s="10" t="s">
        <v>97</v>
      </c>
      <c r="D803" s="14"/>
      <c r="E803" s="157"/>
      <c r="F803" s="10"/>
      <c r="G803" s="17"/>
      <c r="H803" s="10"/>
      <c r="I803" s="17"/>
      <c r="J803" s="83"/>
      <c r="K803" s="343"/>
      <c r="L803" s="347"/>
      <c r="M803" s="89">
        <v>18</v>
      </c>
      <c r="N803" s="10"/>
      <c r="O803" s="22"/>
      <c r="P803" s="14"/>
      <c r="Q803" s="83"/>
      <c r="U803" s="104" t="str">
        <f>IF(
  AND(
    TRIM(A803)=TRIM(Enginuity!$A$1),
    TRIM(B803)=TRIM(Enginuity!$A$17),
    Q803&lt;&gt;"",
    Q803&lt;&gt;0,
    OR(
      TRIM(C803)=TRIM(Enginuity!$A$18),
      AND(UPPER(TRIM(M803))="STD", TRIM(B803)=TRIM(Enginuity!$A$17))
    ),
    OR(
      AND(LEFT(P803,5)="1-Way", Enginuity!$B$13=1),
      AND(LEFT(P803,5)="2-Way", OR(Enginuity!$B$13=2, Enginuity!$B$13=4)),
      AND(LEFT(P803,5)="3-Way", OR(Enginuity!$B$13=3, Enginuity!$B$13=6)),
      AND(P803="Inner Centre Jamb", OR(Enginuity!$B$13=4, Enginuity!$B$13=6)),
      AND(
        LEFT(P803,5)&lt;&gt;"1-Way",
        LEFT(P803,5)&lt;&gt;"2-Way",
        LEFT(P803,5)&lt;&gt;"3-Way",
        P803&lt;&gt;"Inner Centre Jamb"
      )
    ),
    IF(OR(Enginuity!$A$1="Frameless Glass",Enginuity!$A$1="Metal Work"),
      AND(TRIM(B803)=TRIM(Enginuity!$A$17),TRIM(C803)=TRIM(Enginuity!$A$18)),
      TRIM(B803)=TRIM(Enginuity!$A$17)
    )
  ),
  ROW(),
  ""
)</f>
        <v/>
      </c>
    </row>
    <row r="804" spans="1:21" x14ac:dyDescent="0.25">
      <c r="A804" s="10" t="s">
        <v>255</v>
      </c>
      <c r="B804" s="229" t="s">
        <v>13</v>
      </c>
      <c r="C804" s="10" t="s">
        <v>97</v>
      </c>
      <c r="D804" s="14"/>
      <c r="E804" s="157"/>
      <c r="F804" s="10"/>
      <c r="G804" s="17"/>
      <c r="H804" s="10"/>
      <c r="I804" s="17"/>
      <c r="J804" s="83"/>
      <c r="K804" s="343"/>
      <c r="L804" s="347"/>
      <c r="M804" s="89">
        <v>19</v>
      </c>
      <c r="N804" s="10"/>
      <c r="O804" s="22"/>
      <c r="P804" s="14"/>
      <c r="Q804" s="98"/>
      <c r="U804" s="104" t="str">
        <f>IF(
  AND(
    TRIM(A804)=TRIM(Enginuity!$A$1),
    TRIM(B804)=TRIM(Enginuity!$A$17),
    Q804&lt;&gt;"",
    Q804&lt;&gt;0,
    OR(
      TRIM(C804)=TRIM(Enginuity!$A$18),
      AND(UPPER(TRIM(M804))="STD", TRIM(B804)=TRIM(Enginuity!$A$17))
    ),
    OR(
      AND(LEFT(P804,5)="1-Way", Enginuity!$B$13=1),
      AND(LEFT(P804,5)="2-Way", OR(Enginuity!$B$13=2, Enginuity!$B$13=4)),
      AND(LEFT(P804,5)="3-Way", OR(Enginuity!$B$13=3, Enginuity!$B$13=6)),
      AND(P804="Inner Centre Jamb", OR(Enginuity!$B$13=4, Enginuity!$B$13=6)),
      AND(
        LEFT(P804,5)&lt;&gt;"1-Way",
        LEFT(P804,5)&lt;&gt;"2-Way",
        LEFT(P804,5)&lt;&gt;"3-Way",
        P804&lt;&gt;"Inner Centre Jamb"
      )
    ),
    IF(OR(Enginuity!$A$1="Frameless Glass",Enginuity!$A$1="Metal Work"),
      AND(TRIM(B804)=TRIM(Enginuity!$A$17),TRIM(C804)=TRIM(Enginuity!$A$18)),
      TRIM(B804)=TRIM(Enginuity!$A$17)
    )
  ),
  ROW(),
  ""
)</f>
        <v/>
      </c>
    </row>
    <row r="805" spans="1:21" x14ac:dyDescent="0.25">
      <c r="A805" s="10" t="s">
        <v>255</v>
      </c>
      <c r="B805" s="229" t="s">
        <v>13</v>
      </c>
      <c r="C805" s="10"/>
      <c r="D805" s="14"/>
      <c r="E805" s="157"/>
      <c r="F805" s="10"/>
      <c r="G805" s="17"/>
      <c r="H805" s="10"/>
      <c r="I805" s="17"/>
      <c r="J805" s="83"/>
      <c r="K805" s="343"/>
      <c r="L805" s="347"/>
      <c r="M805" s="10" t="s">
        <v>117</v>
      </c>
      <c r="N805" s="10" t="s">
        <v>121</v>
      </c>
      <c r="O805" s="22" t="str">
        <f>$O$2</f>
        <v/>
      </c>
      <c r="P805" s="21" t="str">
        <f>Enginuity!$A$19</f>
        <v>W/G</v>
      </c>
      <c r="Q805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805" s="104" t="str">
        <f>IF(
  AND(
    TRIM(A805)=TRIM(Enginuity!$A$1),
    TRIM(B805)=TRIM(Enginuity!$A$17),
    Q805&lt;&gt;"",
    Q805&lt;&gt;0,
    OR(
      TRIM(C805)=TRIM(Enginuity!$A$18),
      AND(UPPER(TRIM(M805))="STD", TRIM(B805)=TRIM(Enginuity!$A$17))
    ),
    OR(
      AND(LEFT(P805,5)="1-Way", Enginuity!$B$13=1),
      AND(LEFT(P805,5)="2-Way", OR(Enginuity!$B$13=2, Enginuity!$B$13=4)),
      AND(LEFT(P805,5)="3-Way", OR(Enginuity!$B$13=3, Enginuity!$B$13=6)),
      AND(P805="Inner Centre Jamb", OR(Enginuity!$B$13=4, Enginuity!$B$13=6)),
      AND(
        LEFT(P805,5)&lt;&gt;"1-Way",
        LEFT(P805,5)&lt;&gt;"2-Way",
        LEFT(P805,5)&lt;&gt;"3-Way",
        P805&lt;&gt;"Inner Centre Jamb"
      )
    ),
    IF(OR(Enginuity!$A$1="Frameless Glass",Enginuity!$A$1="Metal Work"),
      AND(TRIM(B805)=TRIM(Enginuity!$A$17),TRIM(C805)=TRIM(Enginuity!$A$18)),
      TRIM(B805)=TRIM(Enginuity!$A$17)
    )
  ),
  ROW(),
  ""
)</f>
        <v/>
      </c>
    </row>
    <row r="806" spans="1:21" x14ac:dyDescent="0.25">
      <c r="A806" s="10" t="s">
        <v>255</v>
      </c>
      <c r="B806" s="229" t="s">
        <v>13</v>
      </c>
      <c r="C806" s="10"/>
      <c r="D806" s="14"/>
      <c r="E806" s="157"/>
      <c r="F806" s="10"/>
      <c r="G806" s="17"/>
      <c r="H806" s="10"/>
      <c r="I806" s="17"/>
      <c r="J806" s="83"/>
      <c r="K806" s="343"/>
      <c r="L806" s="347"/>
      <c r="M806" s="10" t="s">
        <v>117</v>
      </c>
      <c r="N806" s="10" t="s">
        <v>103</v>
      </c>
      <c r="O806" s="22">
        <v>0.4</v>
      </c>
      <c r="P806" s="14" t="s">
        <v>313</v>
      </c>
      <c r="Q806" s="83">
        <f>IF(AND(Enginuity!$B$6&gt;0, Enginuity!$B$7&gt;0), ROUND(((Enginuity!$B$6 + Enginuity!$B$7) * 2), 2), "")</f>
        <v>66</v>
      </c>
      <c r="U806" s="104" t="str">
        <f>IF(
  AND(
    TRIM(A806)=TRIM(Enginuity!$A$1),
    TRIM(B806)=TRIM(Enginuity!$A$17),
    Q806&lt;&gt;"",
    Q806&lt;&gt;0,
    OR(
      TRIM(C806)=TRIM(Enginuity!$A$18),
      AND(UPPER(TRIM(M806))="STD", TRIM(B806)=TRIM(Enginuity!$A$17))
    ),
    OR(
      AND(LEFT(P806,5)="1-Way", Enginuity!$B$13=1),
      AND(LEFT(P806,5)="2-Way", OR(Enginuity!$B$13=2, Enginuity!$B$13=4)),
      AND(LEFT(P806,5)="3-Way", OR(Enginuity!$B$13=3, Enginuity!$B$13=6)),
      AND(P806="Inner Centre Jamb", OR(Enginuity!$B$13=4, Enginuity!$B$13=6)),
      AND(
        LEFT(P806,5)&lt;&gt;"1-Way",
        LEFT(P806,5)&lt;&gt;"2-Way",
        LEFT(P806,5)&lt;&gt;"3-Way",
        P806&lt;&gt;"Inner Centre Jamb"
      )
    ),
    IF(OR(Enginuity!$A$1="Frameless Glass",Enginuity!$A$1="Metal Work"),
      AND(TRIM(B806)=TRIM(Enginuity!$A$17),TRIM(C806)=TRIM(Enginuity!$A$18)),
      TRIM(B806)=TRIM(Enginuity!$A$17)
    )
  ),
  ROW(),
  ""
)</f>
        <v/>
      </c>
    </row>
    <row r="807" spans="1:21" x14ac:dyDescent="0.25">
      <c r="A807" s="10" t="s">
        <v>255</v>
      </c>
      <c r="B807" s="229" t="s">
        <v>13</v>
      </c>
      <c r="C807" s="10"/>
      <c r="D807" s="14"/>
      <c r="E807" s="157"/>
      <c r="F807" s="10"/>
      <c r="G807" s="17"/>
      <c r="H807" s="10"/>
      <c r="I807" s="17"/>
      <c r="J807" s="83"/>
      <c r="K807" s="343"/>
      <c r="L807" s="347"/>
      <c r="M807" s="10" t="s">
        <v>117</v>
      </c>
      <c r="N807" s="10" t="s">
        <v>103</v>
      </c>
      <c r="O807" s="22">
        <v>0.4</v>
      </c>
      <c r="P807" s="14" t="s">
        <v>116</v>
      </c>
      <c r="Q807" s="83">
        <f>IF(AND(Enginuity!$B$6&gt;0, Enginuity!$B$7&gt;0, Enginuity!$B$13&gt;0), (2 * Enginuity!$B$7 * Enginuity!$B$13) + (2 * Enginuity!$B$6), "")</f>
        <v>222</v>
      </c>
      <c r="U807" s="104" t="str">
        <f>IF(
  AND(
    TRIM(A807)=TRIM(Enginuity!$A$1),
    TRIM(B807)=TRIM(Enginuity!$A$17),
    Q807&lt;&gt;"",
    Q807&lt;&gt;0,
    OR(
      TRIM(C807)=TRIM(Enginuity!$A$18),
      AND(UPPER(TRIM(M807))="STD", TRIM(B807)=TRIM(Enginuity!$A$17))
    ),
    OR(
      AND(LEFT(P807,5)="1-Way", Enginuity!$B$13=1),
      AND(LEFT(P807,5)="2-Way", OR(Enginuity!$B$13=2, Enginuity!$B$13=4)),
      AND(LEFT(P807,5)="3-Way", OR(Enginuity!$B$13=3, Enginuity!$B$13=6)),
      AND(P807="Inner Centre Jamb", OR(Enginuity!$B$13=4, Enginuity!$B$13=6)),
      AND(
        LEFT(P807,5)&lt;&gt;"1-Way",
        LEFT(P807,5)&lt;&gt;"2-Way",
        LEFT(P807,5)&lt;&gt;"3-Way",
        P807&lt;&gt;"Inner Centre Jamb"
      )
    ),
    IF(OR(Enginuity!$A$1="Frameless Glass",Enginuity!$A$1="Metal Work"),
      AND(TRIM(B807)=TRIM(Enginuity!$A$17),TRIM(C807)=TRIM(Enginuity!$A$18)),
      TRIM(B807)=TRIM(Enginuity!$A$17)
    )
  ),
  ROW(),
  ""
)</f>
        <v/>
      </c>
    </row>
    <row r="808" spans="1:21" x14ac:dyDescent="0.25">
      <c r="A808" s="10" t="s">
        <v>255</v>
      </c>
      <c r="B808" s="229" t="s">
        <v>13</v>
      </c>
      <c r="C808" s="10"/>
      <c r="D808" s="14"/>
      <c r="E808" s="157"/>
      <c r="F808" s="10"/>
      <c r="G808" s="17"/>
      <c r="H808" s="10"/>
      <c r="I808" s="17"/>
      <c r="J808" s="83"/>
      <c r="K808" s="343"/>
      <c r="L808" s="347"/>
      <c r="M808" s="10" t="s">
        <v>117</v>
      </c>
      <c r="N808" s="10" t="s">
        <v>103</v>
      </c>
      <c r="O808" s="22">
        <v>0.8</v>
      </c>
      <c r="P808" s="14" t="s">
        <v>272</v>
      </c>
      <c r="Q808" s="83">
        <f>IF(AND(Enginuity!$B$6&gt;0, Enginuity!$B$7&gt;0, Enginuity!$B$13&gt;0), ((2*Enginuity!$B$7*Enginuity!$B$13)+(2*Enginuity!$B$6))*2, "")</f>
        <v>444</v>
      </c>
      <c r="U808" s="104" t="str">
        <f>IF(
  AND(
    TRIM(A808)=TRIM(Enginuity!$A$1),
    TRIM(B808)=TRIM(Enginuity!$A$17),
    Q808&lt;&gt;"",
    Q808&lt;&gt;0,
    OR(
      TRIM(C808)=TRIM(Enginuity!$A$18),
      AND(UPPER(TRIM(M808))="STD", TRIM(B808)=TRIM(Enginuity!$A$17))
    ),
    OR(
      AND(LEFT(P808,5)="1-Way", Enginuity!$B$13=1),
      AND(LEFT(P808,5)="2-Way", OR(Enginuity!$B$13=2, Enginuity!$B$13=4)),
      AND(LEFT(P808,5)="3-Way", OR(Enginuity!$B$13=3, Enginuity!$B$13=6)),
      AND(P808="Inner Centre Jamb", OR(Enginuity!$B$13=4, Enginuity!$B$13=6)),
      AND(
        LEFT(P808,5)&lt;&gt;"1-Way",
        LEFT(P808,5)&lt;&gt;"2-Way",
        LEFT(P808,5)&lt;&gt;"3-Way",
        P808&lt;&gt;"Inner Centre Jamb"
      )
    ),
    IF(OR(Enginuity!$A$1="Frameless Glass",Enginuity!$A$1="Metal Work"),
      AND(TRIM(B808)=TRIM(Enginuity!$A$17),TRIM(C808)=TRIM(Enginuity!$A$18)),
      TRIM(B808)=TRIM(Enginuity!$A$17)
    )
  ),
  ROW(),
  ""
)</f>
        <v/>
      </c>
    </row>
    <row r="809" spans="1:21" x14ac:dyDescent="0.25">
      <c r="A809" s="10" t="s">
        <v>255</v>
      </c>
      <c r="B809" s="229" t="s">
        <v>13</v>
      </c>
      <c r="C809" s="10"/>
      <c r="D809" s="14"/>
      <c r="E809" s="157"/>
      <c r="F809" s="10"/>
      <c r="G809" s="17"/>
      <c r="H809" s="10"/>
      <c r="I809" s="17"/>
      <c r="J809" s="83"/>
      <c r="K809" s="343"/>
      <c r="L809" s="347"/>
      <c r="M809" s="10" t="s">
        <v>117</v>
      </c>
      <c r="N809" s="10" t="s">
        <v>103</v>
      </c>
      <c r="O809" s="22">
        <v>0.12</v>
      </c>
      <c r="P809" s="14" t="s">
        <v>280</v>
      </c>
      <c r="Q809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576</v>
      </c>
      <c r="U809" s="104" t="str">
        <f>IF(
  AND(
    TRIM(A809)=TRIM(Enginuity!$A$1),
    TRIM(B809)=TRIM(Enginuity!$A$17),
    Q809&lt;&gt;"",
    Q809&lt;&gt;0,
    OR(
      TRIM(C809)=TRIM(Enginuity!$A$18),
      AND(UPPER(TRIM(M809))="STD", TRIM(B809)=TRIM(Enginuity!$A$17))
    ),
    OR(
      AND(LEFT(P809,5)="1-Way", Enginuity!$B$13=1),
      AND(LEFT(P809,5)="2-Way", OR(Enginuity!$B$13=2, Enginuity!$B$13=4)),
      AND(LEFT(P809,5)="3-Way", OR(Enginuity!$B$13=3, Enginuity!$B$13=6)),
      AND(P809="Inner Centre Jamb", OR(Enginuity!$B$13=4, Enginuity!$B$13=6)),
      AND(
        LEFT(P809,5)&lt;&gt;"1-Way",
        LEFT(P809,5)&lt;&gt;"2-Way",
        LEFT(P809,5)&lt;&gt;"3-Way",
        P809&lt;&gt;"Inner Centre Jamb"
      )
    ),
    IF(OR(Enginuity!$A$1="Frameless Glass",Enginuity!$A$1="Metal Work"),
      AND(TRIM(B809)=TRIM(Enginuity!$A$17),TRIM(C809)=TRIM(Enginuity!$A$18)),
      TRIM(B809)=TRIM(Enginuity!$A$17)
    )
  ),
  ROW(),
  ""
)</f>
        <v/>
      </c>
    </row>
    <row r="810" spans="1:21" x14ac:dyDescent="0.25">
      <c r="A810" s="10" t="s">
        <v>255</v>
      </c>
      <c r="B810" s="229" t="s">
        <v>13</v>
      </c>
      <c r="C810" s="10"/>
      <c r="D810" s="14"/>
      <c r="E810" s="157"/>
      <c r="F810" s="10"/>
      <c r="G810" s="17"/>
      <c r="H810" s="10"/>
      <c r="I810" s="17"/>
      <c r="J810" s="83"/>
      <c r="K810" s="343"/>
      <c r="L810" s="347"/>
      <c r="M810" s="10" t="s">
        <v>117</v>
      </c>
      <c r="N810" s="10" t="s">
        <v>112</v>
      </c>
      <c r="O810" s="22">
        <v>1.8</v>
      </c>
      <c r="P810" s="14" t="s">
        <v>133</v>
      </c>
      <c r="Q810" s="83">
        <f>IF(AND(ISNUMBER(Enginuity!$B$13), Enginuity!$B$13&gt;0), Enginuity!$B$13*4, "")</f>
        <v>28</v>
      </c>
      <c r="U810" s="104" t="str">
        <f>IF(
  AND(
    TRIM(A810)=TRIM(Enginuity!$A$1),
    TRIM(B810)=TRIM(Enginuity!$A$17),
    Q810&lt;&gt;"",
    Q810&lt;&gt;0,
    OR(
      TRIM(C810)=TRIM(Enginuity!$A$18),
      AND(UPPER(TRIM(M810))="STD", TRIM(B810)=TRIM(Enginuity!$A$17))
    ),
    OR(
      AND(LEFT(P810,5)="1-Way", Enginuity!$B$13=1),
      AND(LEFT(P810,5)="2-Way", OR(Enginuity!$B$13=2, Enginuity!$B$13=4)),
      AND(LEFT(P810,5)="3-Way", OR(Enginuity!$B$13=3, Enginuity!$B$13=6)),
      AND(P810="Inner Centre Jamb", OR(Enginuity!$B$13=4, Enginuity!$B$13=6)),
      AND(
        LEFT(P810,5)&lt;&gt;"1-Way",
        LEFT(P810,5)&lt;&gt;"2-Way",
        LEFT(P810,5)&lt;&gt;"3-Way",
        P810&lt;&gt;"Inner Centre Jamb"
      )
    ),
    IF(OR(Enginuity!$A$1="Frameless Glass",Enginuity!$A$1="Metal Work"),
      AND(TRIM(B810)=TRIM(Enginuity!$A$17),TRIM(C810)=TRIM(Enginuity!$A$18)),
      TRIM(B810)=TRIM(Enginuity!$A$17)
    )
  ),
  ROW(),
  ""
)</f>
        <v/>
      </c>
    </row>
    <row r="811" spans="1:21" x14ac:dyDescent="0.25">
      <c r="A811" s="10" t="s">
        <v>255</v>
      </c>
      <c r="B811" s="229" t="s">
        <v>13</v>
      </c>
      <c r="C811" s="10"/>
      <c r="D811" s="14"/>
      <c r="E811" s="157"/>
      <c r="F811" s="10"/>
      <c r="G811" s="17"/>
      <c r="H811" s="10"/>
      <c r="I811" s="17"/>
      <c r="J811" s="83"/>
      <c r="K811" s="343"/>
      <c r="L811" s="347"/>
      <c r="M811" s="10" t="s">
        <v>117</v>
      </c>
      <c r="N811" s="10" t="s">
        <v>112</v>
      </c>
      <c r="O811" s="22">
        <v>1.8</v>
      </c>
      <c r="P811" s="14" t="s">
        <v>134</v>
      </c>
      <c r="Q811" s="83">
        <v>4</v>
      </c>
      <c r="U811" s="104" t="str">
        <f>IF(
  AND(
    TRIM(A811)=TRIM(Enginuity!$A$1),
    TRIM(B811)=TRIM(Enginuity!$A$17),
    Q811&lt;&gt;"",
    Q811&lt;&gt;0,
    OR(
      TRIM(C811)=TRIM(Enginuity!$A$18),
      AND(UPPER(TRIM(M811))="STD", TRIM(B811)=TRIM(Enginuity!$A$17))
    ),
    OR(
      AND(LEFT(P811,5)="1-Way", Enginuity!$B$13=1),
      AND(LEFT(P811,5)="2-Way", OR(Enginuity!$B$13=2, Enginuity!$B$13=4)),
      AND(LEFT(P811,5)="3-Way", OR(Enginuity!$B$13=3, Enginuity!$B$13=6)),
      AND(P811="Inner Centre Jamb", OR(Enginuity!$B$13=4, Enginuity!$B$13=6)),
      AND(
        LEFT(P811,5)&lt;&gt;"1-Way",
        LEFT(P811,5)&lt;&gt;"2-Way",
        LEFT(P811,5)&lt;&gt;"3-Way",
        P811&lt;&gt;"Inner Centre Jamb"
      )
    ),
    IF(OR(Enginuity!$A$1="Frameless Glass",Enginuity!$A$1="Metal Work"),
      AND(TRIM(B811)=TRIM(Enginuity!$A$17),TRIM(C811)=TRIM(Enginuity!$A$18)),
      TRIM(B811)=TRIM(Enginuity!$A$17)
    )
  ),
  ROW(),
  ""
)</f>
        <v/>
      </c>
    </row>
    <row r="812" spans="1:21" x14ac:dyDescent="0.25">
      <c r="A812" s="10" t="s">
        <v>255</v>
      </c>
      <c r="B812" s="229" t="s">
        <v>13</v>
      </c>
      <c r="C812" s="10"/>
      <c r="D812" s="14"/>
      <c r="E812" s="157"/>
      <c r="F812" s="10"/>
      <c r="G812" s="17"/>
      <c r="H812" s="10"/>
      <c r="I812" s="17"/>
      <c r="J812" s="83"/>
      <c r="K812" s="343"/>
      <c r="L812" s="347"/>
      <c r="M812" s="10" t="s">
        <v>117</v>
      </c>
      <c r="N812" s="10" t="s">
        <v>112</v>
      </c>
      <c r="O812" s="22">
        <v>0.7</v>
      </c>
      <c r="P812" s="14" t="s">
        <v>150</v>
      </c>
      <c r="Q812" s="83">
        <f>IF(Enginuity!$B$13=1,0,IF(Enginuity!$B$13&lt;=3,2,4))</f>
        <v>4</v>
      </c>
      <c r="U812" s="104" t="str">
        <f>IF(
  AND(
    TRIM(A812)=TRIM(Enginuity!$A$1),
    TRIM(B812)=TRIM(Enginuity!$A$17),
    Q812&lt;&gt;"",
    Q812&lt;&gt;0,
    OR(
      TRIM(C812)=TRIM(Enginuity!$A$18),
      AND(UPPER(TRIM(M812))="STD", TRIM(B812)=TRIM(Enginuity!$A$17))
    ),
    OR(
      AND(LEFT(P812,5)="1-Way", Enginuity!$B$13=1),
      AND(LEFT(P812,5)="2-Way", OR(Enginuity!$B$13=2, Enginuity!$B$13=4)),
      AND(LEFT(P812,5)="3-Way", OR(Enginuity!$B$13=3, Enginuity!$B$13=6)),
      AND(P812="Inner Centre Jamb", OR(Enginuity!$B$13=4, Enginuity!$B$13=6)),
      AND(
        LEFT(P812,5)&lt;&gt;"1-Way",
        LEFT(P812,5)&lt;&gt;"2-Way",
        LEFT(P812,5)&lt;&gt;"3-Way",
        P812&lt;&gt;"Inner Centre Jamb"
      )
    ),
    IF(OR(Enginuity!$A$1="Frameless Glass",Enginuity!$A$1="Metal Work"),
      AND(TRIM(B812)=TRIM(Enginuity!$A$17),TRIM(C812)=TRIM(Enginuity!$A$18)),
      TRIM(B812)=TRIM(Enginuity!$A$17)
    )
  ),
  ROW(),
  ""
)</f>
        <v/>
      </c>
    </row>
    <row r="813" spans="1:21" x14ac:dyDescent="0.25">
      <c r="A813" s="10" t="s">
        <v>255</v>
      </c>
      <c r="B813" s="229" t="s">
        <v>13</v>
      </c>
      <c r="C813" s="10"/>
      <c r="D813" s="14"/>
      <c r="E813" s="157"/>
      <c r="F813" s="10"/>
      <c r="G813" s="17"/>
      <c r="H813" s="10"/>
      <c r="I813" s="17"/>
      <c r="J813" s="83"/>
      <c r="K813" s="343"/>
      <c r="L813" s="347"/>
      <c r="M813" s="10" t="s">
        <v>117</v>
      </c>
      <c r="N813" s="10" t="s">
        <v>112</v>
      </c>
      <c r="O813" s="22">
        <v>0.7</v>
      </c>
      <c r="P813" s="14" t="s">
        <v>145</v>
      </c>
      <c r="Q813" s="83">
        <f>2</f>
        <v>2</v>
      </c>
      <c r="U813" s="104" t="str">
        <f>IF(
  AND(
    TRIM(A813)=TRIM(Enginuity!$A$1),
    TRIM(B813)=TRIM(Enginuity!$A$17),
    Q813&lt;&gt;"",
    Q813&lt;&gt;0,
    OR(
      TRIM(C813)=TRIM(Enginuity!$A$18),
      AND(UPPER(TRIM(M813))="STD", TRIM(B813)=TRIM(Enginuity!$A$17))
    ),
    OR(
      AND(LEFT(P813,5)="1-Way", Enginuity!$B$13=1),
      AND(LEFT(P813,5)="2-Way", OR(Enginuity!$B$13=2, Enginuity!$B$13=4)),
      AND(LEFT(P813,5)="3-Way", OR(Enginuity!$B$13=3, Enginuity!$B$13=6)),
      AND(P813="Inner Centre Jamb", OR(Enginuity!$B$13=4, Enginuity!$B$13=6)),
      AND(
        LEFT(P813,5)&lt;&gt;"1-Way",
        LEFT(P813,5)&lt;&gt;"2-Way",
        LEFT(P813,5)&lt;&gt;"3-Way",
        P813&lt;&gt;"Inner Centre Jamb"
      )
    ),
    IF(OR(Enginuity!$A$1="Frameless Glass",Enginuity!$A$1="Metal Work"),
      AND(TRIM(B813)=TRIM(Enginuity!$A$17),TRIM(C813)=TRIM(Enginuity!$A$18)),
      TRIM(B813)=TRIM(Enginuity!$A$17)
    )
  ),
  ROW(),
  ""
)</f>
        <v/>
      </c>
    </row>
    <row r="814" spans="1:21" x14ac:dyDescent="0.25">
      <c r="A814" s="10" t="s">
        <v>255</v>
      </c>
      <c r="B814" s="229" t="s">
        <v>13</v>
      </c>
      <c r="C814" s="10"/>
      <c r="D814" s="14"/>
      <c r="E814" s="157"/>
      <c r="F814" s="10"/>
      <c r="G814" s="17"/>
      <c r="H814" s="10"/>
      <c r="I814" s="17"/>
      <c r="J814" s="83"/>
      <c r="K814" s="343"/>
      <c r="L814" s="347"/>
      <c r="M814" s="10" t="s">
        <v>117</v>
      </c>
      <c r="N814" s="10" t="s">
        <v>112</v>
      </c>
      <c r="O814" s="22">
        <v>5</v>
      </c>
      <c r="P814" s="14" t="s">
        <v>149</v>
      </c>
      <c r="Q814" s="83">
        <f>IF(Enginuity!$B$13&lt;=2,1,IF(Enginuity!$B$13&lt;=4,2,IF(Enginuity!$B$13&lt;=6,2,4)))</f>
        <v>4</v>
      </c>
      <c r="U814" s="104" t="str">
        <f>IF(
  AND(
    TRIM(A814)=TRIM(Enginuity!$A$1),
    TRIM(B814)=TRIM(Enginuity!$A$17),
    Q814&lt;&gt;"",
    Q814&lt;&gt;0,
    OR(
      TRIM(C814)=TRIM(Enginuity!$A$18),
      AND(UPPER(TRIM(M814))="STD", TRIM(B814)=TRIM(Enginuity!$A$17))
    ),
    OR(
      AND(LEFT(P814,5)="1-Way", Enginuity!$B$13=1),
      AND(LEFT(P814,5)="2-Way", OR(Enginuity!$B$13=2, Enginuity!$B$13=4)),
      AND(LEFT(P814,5)="3-Way", OR(Enginuity!$B$13=3, Enginuity!$B$13=6)),
      AND(P814="Inner Centre Jamb", OR(Enginuity!$B$13=4, Enginuity!$B$13=6)),
      AND(
        LEFT(P814,5)&lt;&gt;"1-Way",
        LEFT(P814,5)&lt;&gt;"2-Way",
        LEFT(P814,5)&lt;&gt;"3-Way",
        P814&lt;&gt;"Inner Centre Jamb"
      )
    ),
    IF(OR(Enginuity!$A$1="Frameless Glass",Enginuity!$A$1="Metal Work"),
      AND(TRIM(B814)=TRIM(Enginuity!$A$17),TRIM(C814)=TRIM(Enginuity!$A$18)),
      TRIM(B814)=TRIM(Enginuity!$A$17)
    )
  ),
  ROW(),
  ""
)</f>
        <v/>
      </c>
    </row>
    <row r="815" spans="1:21" x14ac:dyDescent="0.25">
      <c r="A815" s="10" t="s">
        <v>255</v>
      </c>
      <c r="B815" s="229" t="s">
        <v>13</v>
      </c>
      <c r="C815" s="10"/>
      <c r="D815" s="14"/>
      <c r="E815" s="157"/>
      <c r="F815" s="10"/>
      <c r="G815" s="17"/>
      <c r="H815" s="10"/>
      <c r="I815" s="17"/>
      <c r="J815" s="83"/>
      <c r="K815" s="343"/>
      <c r="L815" s="347"/>
      <c r="M815" s="10" t="s">
        <v>117</v>
      </c>
      <c r="N815" s="10" t="s">
        <v>112</v>
      </c>
      <c r="O815" s="22">
        <v>0.8</v>
      </c>
      <c r="P815" s="14" t="s">
        <v>122</v>
      </c>
      <c r="Q815" s="83">
        <f>1</f>
        <v>1</v>
      </c>
      <c r="U815" s="104" t="str">
        <f>IF(
  AND(
    TRIM(A815)=TRIM(Enginuity!$A$1),
    TRIM(B815)=TRIM(Enginuity!$A$17),
    Q815&lt;&gt;"",
    Q815&lt;&gt;0,
    OR(
      TRIM(C815)=TRIM(Enginuity!$A$18),
      AND(UPPER(TRIM(M815))="STD", TRIM(B815)=TRIM(Enginuity!$A$17))
    ),
    OR(
      AND(LEFT(P815,5)="1-Way", Enginuity!$B$13=1),
      AND(LEFT(P815,5)="2-Way", OR(Enginuity!$B$13=2, Enginuity!$B$13=4)),
      AND(LEFT(P815,5)="3-Way", OR(Enginuity!$B$13=3, Enginuity!$B$13=6)),
      AND(P815="Inner Centre Jamb", OR(Enginuity!$B$13=4, Enginuity!$B$13=6)),
      AND(
        LEFT(P815,5)&lt;&gt;"1-Way",
        LEFT(P815,5)&lt;&gt;"2-Way",
        LEFT(P815,5)&lt;&gt;"3-Way",
        P815&lt;&gt;"Inner Centre Jamb"
      )
    ),
    IF(OR(Enginuity!$A$1="Frameless Glass",Enginuity!$A$1="Metal Work"),
      AND(TRIM(B815)=TRIM(Enginuity!$A$17),TRIM(C815)=TRIM(Enginuity!$A$18)),
      TRIM(B815)=TRIM(Enginuity!$A$17)
    )
  ),
  ROW(),
  ""
)</f>
        <v/>
      </c>
    </row>
    <row r="816" spans="1:21" x14ac:dyDescent="0.25">
      <c r="A816" s="10" t="s">
        <v>255</v>
      </c>
      <c r="B816" s="229" t="s">
        <v>13</v>
      </c>
      <c r="C816" s="10"/>
      <c r="D816" s="14"/>
      <c r="E816" s="157"/>
      <c r="F816" s="10"/>
      <c r="G816" s="17"/>
      <c r="H816" s="10"/>
      <c r="I816" s="17"/>
      <c r="J816" s="83"/>
      <c r="K816" s="343"/>
      <c r="L816" s="347"/>
      <c r="M816" s="10" t="s">
        <v>117</v>
      </c>
      <c r="N816" s="10" t="s">
        <v>112</v>
      </c>
      <c r="O816" s="22">
        <v>2.8</v>
      </c>
      <c r="P816" s="14" t="s">
        <v>151</v>
      </c>
      <c r="Q816" s="83">
        <f>Enginuity!$B$13*4</f>
        <v>28</v>
      </c>
      <c r="U816" s="104" t="str">
        <f>IF(
  AND(
    TRIM(A816)=TRIM(Enginuity!$A$1),
    TRIM(B816)=TRIM(Enginuity!$A$17),
    Q816&lt;&gt;"",
    Q816&lt;&gt;0,
    OR(
      TRIM(C816)=TRIM(Enginuity!$A$18),
      AND(UPPER(TRIM(M816))="STD", TRIM(B816)=TRIM(Enginuity!$A$17))
    ),
    OR(
      AND(LEFT(P816,5)="1-Way", Enginuity!$B$13=1),
      AND(LEFT(P816,5)="2-Way", OR(Enginuity!$B$13=2, Enginuity!$B$13=4)),
      AND(LEFT(P816,5)="3-Way", OR(Enginuity!$B$13=3, Enginuity!$B$13=6)),
      AND(P816="Inner Centre Jamb", OR(Enginuity!$B$13=4, Enginuity!$B$13=6)),
      AND(
        LEFT(P816,5)&lt;&gt;"1-Way",
        LEFT(P816,5)&lt;&gt;"2-Way",
        LEFT(P816,5)&lt;&gt;"3-Way",
        P816&lt;&gt;"Inner Centre Jamb"
      )
    ),
    IF(OR(Enginuity!$A$1="Frameless Glass",Enginuity!$A$1="Metal Work"),
      AND(TRIM(B816)=TRIM(Enginuity!$A$17),TRIM(C816)=TRIM(Enginuity!$A$18)),
      TRIM(B816)=TRIM(Enginuity!$A$17)
    )
  ),
  ROW(),
  ""
)</f>
        <v/>
      </c>
    </row>
    <row r="817" spans="1:21" x14ac:dyDescent="0.25">
      <c r="A817" s="10" t="s">
        <v>255</v>
      </c>
      <c r="B817" s="229" t="s">
        <v>13</v>
      </c>
      <c r="C817" s="10"/>
      <c r="D817" s="14"/>
      <c r="E817" s="157"/>
      <c r="F817" s="10"/>
      <c r="G817" s="17"/>
      <c r="H817" s="10"/>
      <c r="I817" s="17"/>
      <c r="J817" s="83"/>
      <c r="K817" s="343"/>
      <c r="L817" s="347"/>
      <c r="M817" s="10"/>
      <c r="N817" s="10"/>
      <c r="O817" s="22"/>
      <c r="P817" s="14"/>
      <c r="Q817" s="83"/>
      <c r="U817" s="104" t="str">
        <f>IF(
  AND(
    TRIM(A817)=TRIM(Enginuity!$A$1),
    TRIM(B817)=TRIM(Enginuity!$A$17),
    Q817&lt;&gt;"",
    Q817&lt;&gt;0,
    OR(
      TRIM(C817)=TRIM(Enginuity!$A$18),
      AND(UPPER(TRIM(M817))="STD", TRIM(B817)=TRIM(Enginuity!$A$17))
    ),
    OR(
      AND(LEFT(P817,5)="1-Way", Enginuity!$B$13=1),
      AND(LEFT(P817,5)="2-Way", OR(Enginuity!$B$13=2, Enginuity!$B$13=4)),
      AND(LEFT(P817,5)="3-Way", OR(Enginuity!$B$13=3, Enginuity!$B$13=6)),
      AND(P817="Inner Centre Jamb", OR(Enginuity!$B$13=4, Enginuity!$B$13=6)),
      AND(
        LEFT(P817,5)&lt;&gt;"1-Way",
        LEFT(P817,5)&lt;&gt;"2-Way",
        LEFT(P817,5)&lt;&gt;"3-Way",
        P817&lt;&gt;"Inner Centre Jamb"
      )
    ),
    IF(OR(Enginuity!$A$1="Frameless Glass",Enginuity!$A$1="Metal Work"),
      AND(TRIM(B817)=TRIM(Enginuity!$A$17),TRIM(C817)=TRIM(Enginuity!$A$18)),
      TRIM(B817)=TRIM(Enginuity!$A$17)
    )
  ),
  ROW(),
  ""
)</f>
        <v/>
      </c>
    </row>
    <row r="818" spans="1:21" x14ac:dyDescent="0.25">
      <c r="A818" s="10" t="s">
        <v>255</v>
      </c>
      <c r="B818" s="229" t="s">
        <v>13</v>
      </c>
      <c r="C818" s="10"/>
      <c r="D818" s="14"/>
      <c r="E818" s="157"/>
      <c r="F818" s="10"/>
      <c r="G818" s="17"/>
      <c r="H818" s="10"/>
      <c r="I818" s="17"/>
      <c r="J818" s="83"/>
      <c r="K818" s="343"/>
      <c r="L818" s="347"/>
      <c r="M818" s="10"/>
      <c r="N818" s="10"/>
      <c r="O818" s="22"/>
      <c r="P818" s="14"/>
      <c r="Q818" s="83"/>
      <c r="U818" s="104" t="str">
        <f>IF(
  AND(
    TRIM(A818)=TRIM(Enginuity!$A$1),
    TRIM(B818)=TRIM(Enginuity!$A$17),
    Q818&lt;&gt;"",
    Q818&lt;&gt;0,
    OR(
      TRIM(C818)=TRIM(Enginuity!$A$18),
      AND(UPPER(TRIM(M818))="STD", TRIM(B818)=TRIM(Enginuity!$A$17))
    ),
    OR(
      AND(LEFT(P818,5)="1-Way", Enginuity!$B$13=1),
      AND(LEFT(P818,5)="2-Way", OR(Enginuity!$B$13=2, Enginuity!$B$13=4)),
      AND(LEFT(P818,5)="3-Way", OR(Enginuity!$B$13=3, Enginuity!$B$13=6)),
      AND(P818="Inner Centre Jamb", OR(Enginuity!$B$13=4, Enginuity!$B$13=6)),
      AND(
        LEFT(P818,5)&lt;&gt;"1-Way",
        LEFT(P818,5)&lt;&gt;"2-Way",
        LEFT(P818,5)&lt;&gt;"3-Way",
        P818&lt;&gt;"Inner Centre Jamb"
      )
    ),
    IF(OR(Enginuity!$A$1="Frameless Glass",Enginuity!$A$1="Metal Work"),
      AND(TRIM(B818)=TRIM(Enginuity!$A$17),TRIM(C818)=TRIM(Enginuity!$A$18)),
      TRIM(B818)=TRIM(Enginuity!$A$17)
    )
  ),
  ROW(),
  ""
)</f>
        <v/>
      </c>
    </row>
    <row r="819" spans="1:21" x14ac:dyDescent="0.25">
      <c r="A819" s="10" t="s">
        <v>255</v>
      </c>
      <c r="B819" s="229" t="s">
        <v>13</v>
      </c>
      <c r="C819" s="10"/>
      <c r="D819" s="14"/>
      <c r="E819" s="157"/>
      <c r="F819" s="10"/>
      <c r="G819" s="17"/>
      <c r="H819" s="10"/>
      <c r="I819" s="17"/>
      <c r="J819" s="83"/>
      <c r="K819" s="343"/>
      <c r="L819" s="347"/>
      <c r="M819" s="89"/>
      <c r="N819" s="10"/>
      <c r="O819" s="22"/>
      <c r="P819" s="5"/>
      <c r="Q819" s="22"/>
      <c r="U819" s="104" t="str">
        <f>IF(
  AND(
    TRIM(A819)=TRIM(Enginuity!$A$1),
    TRIM(B819)=TRIM(Enginuity!$A$17),
    Q819&lt;&gt;"",
    Q819&lt;&gt;0,
    OR(
      TRIM(C819)=TRIM(Enginuity!$A$18),
      AND(UPPER(TRIM(M819))="STD", TRIM(B819)=TRIM(Enginuity!$A$17))
    ),
    OR(
      AND(LEFT(P819,5)="1-Way", Enginuity!$B$13=1),
      AND(LEFT(P819,5)="2-Way", OR(Enginuity!$B$13=2, Enginuity!$B$13=4)),
      AND(LEFT(P819,5)="3-Way", OR(Enginuity!$B$13=3, Enginuity!$B$13=6)),
      AND(P819="Inner Centre Jamb", OR(Enginuity!$B$13=4, Enginuity!$B$13=6)),
      AND(
        LEFT(P819,5)&lt;&gt;"1-Way",
        LEFT(P819,5)&lt;&gt;"2-Way",
        LEFT(P819,5)&lt;&gt;"3-Way",
        P819&lt;&gt;"Inner Centre Jamb"
      )
    ),
    IF(OR(Enginuity!$A$1="Frameless Glass",Enginuity!$A$1="Metal Work"),
      AND(TRIM(B819)=TRIM(Enginuity!$A$17),TRIM(C819)=TRIM(Enginuity!$A$18)),
      TRIM(B819)=TRIM(Enginuity!$A$17)
    )
  ),
  ROW(),
  ""
)</f>
        <v/>
      </c>
    </row>
    <row r="820" spans="1:21" x14ac:dyDescent="0.25">
      <c r="A820" s="10" t="s">
        <v>255</v>
      </c>
      <c r="B820" s="229" t="s">
        <v>13</v>
      </c>
      <c r="C820" s="10"/>
      <c r="D820" s="14"/>
      <c r="E820" s="157"/>
      <c r="F820" s="10"/>
      <c r="G820" s="17"/>
      <c r="H820" s="10"/>
      <c r="I820" s="17"/>
      <c r="J820" s="83"/>
      <c r="K820" s="343"/>
      <c r="L820" s="347"/>
      <c r="M820" s="89"/>
      <c r="N820" s="10"/>
      <c r="O820" s="22"/>
      <c r="P820" s="14"/>
      <c r="Q820" s="83"/>
      <c r="U820" s="104" t="str">
        <f>IF(
  AND(
    TRIM(A820)=TRIM(Enginuity!$A$1),
    TRIM(B820)=TRIM(Enginuity!$A$17),
    Q820&lt;&gt;"",
    Q820&lt;&gt;0,
    OR(
      TRIM(C820)=TRIM(Enginuity!$A$18),
      AND(UPPER(TRIM(M820))="STD", TRIM(B820)=TRIM(Enginuity!$A$17))
    ),
    OR(
      AND(LEFT(P820,5)="1-Way", Enginuity!$B$13=1),
      AND(LEFT(P820,5)="2-Way", OR(Enginuity!$B$13=2, Enginuity!$B$13=4)),
      AND(LEFT(P820,5)="3-Way", OR(Enginuity!$B$13=3, Enginuity!$B$13=6)),
      AND(P820="Inner Centre Jamb", OR(Enginuity!$B$13=4, Enginuity!$B$13=6)),
      AND(
        LEFT(P820,5)&lt;&gt;"1-Way",
        LEFT(P820,5)&lt;&gt;"2-Way",
        LEFT(P820,5)&lt;&gt;"3-Way",
        P820&lt;&gt;"Inner Centre Jamb"
      )
    ),
    IF(OR(Enginuity!$A$1="Frameless Glass",Enginuity!$A$1="Metal Work"),
      AND(TRIM(B820)=TRIM(Enginuity!$A$17),TRIM(C820)=TRIM(Enginuity!$A$18)),
      TRIM(B820)=TRIM(Enginuity!$A$17)
    )
  ),
  ROW(),
  ""
)</f>
        <v/>
      </c>
    </row>
    <row r="821" spans="1:21" x14ac:dyDescent="0.25">
      <c r="A821" s="10" t="s">
        <v>255</v>
      </c>
      <c r="B821" s="229" t="s">
        <v>13</v>
      </c>
      <c r="C821" s="10"/>
      <c r="D821" s="14"/>
      <c r="E821" s="157"/>
      <c r="F821" s="10"/>
      <c r="G821" s="17"/>
      <c r="H821" s="10"/>
      <c r="I821" s="17"/>
      <c r="J821" s="83"/>
      <c r="K821" s="343"/>
      <c r="L821" s="347"/>
      <c r="M821" s="89">
        <v>36</v>
      </c>
      <c r="N821" s="10"/>
      <c r="O821" s="22"/>
      <c r="P821" s="14"/>
      <c r="Q821" s="83"/>
      <c r="U821" s="104" t="str">
        <f>IF(
  AND(
    TRIM(A821)=TRIM(Enginuity!$A$1),
    TRIM(B821)=TRIM(Enginuity!$A$17),
    Q821&lt;&gt;"",
    Q821&lt;&gt;0,
    OR(
      TRIM(C821)=TRIM(Enginuity!$A$18),
      AND(UPPER(TRIM(M821))="STD", TRIM(B821)=TRIM(Enginuity!$A$17))
    ),
    OR(
      AND(LEFT(P821,5)="1-Way", Enginuity!$B$13=1),
      AND(LEFT(P821,5)="2-Way", OR(Enginuity!$B$13=2, Enginuity!$B$13=4)),
      AND(LEFT(P821,5)="3-Way", OR(Enginuity!$B$13=3, Enginuity!$B$13=6)),
      AND(P821="Inner Centre Jamb", OR(Enginuity!$B$13=4, Enginuity!$B$13=6)),
      AND(
        LEFT(P821,5)&lt;&gt;"1-Way",
        LEFT(P821,5)&lt;&gt;"2-Way",
        LEFT(P821,5)&lt;&gt;"3-Way",
        P821&lt;&gt;"Inner Centre Jamb"
      )
    ),
    IF(OR(Enginuity!$A$1="Frameless Glass",Enginuity!$A$1="Metal Work"),
      AND(TRIM(B821)=TRIM(Enginuity!$A$17),TRIM(C821)=TRIM(Enginuity!$A$18)),
      TRIM(B821)=TRIM(Enginuity!$A$17)
    )
  ),
  ROW(),
  ""
)</f>
        <v/>
      </c>
    </row>
    <row r="822" spans="1:21" x14ac:dyDescent="0.25">
      <c r="A822" s="10" t="s">
        <v>255</v>
      </c>
      <c r="B822" s="229" t="s">
        <v>13</v>
      </c>
      <c r="C822" s="10"/>
      <c r="D822" s="14"/>
      <c r="E822" s="157"/>
      <c r="F822" s="10"/>
      <c r="G822" s="17"/>
      <c r="H822" s="10"/>
      <c r="I822" s="17"/>
      <c r="J822" s="83"/>
      <c r="K822" s="343"/>
      <c r="L822" s="347"/>
      <c r="M822" s="89">
        <v>37</v>
      </c>
      <c r="N822" s="10"/>
      <c r="O822" s="22"/>
      <c r="P822" s="14"/>
      <c r="Q822" s="83"/>
      <c r="U822" s="104" t="str">
        <f>IF(
  AND(
    TRIM(A822)=TRIM(Enginuity!$A$1),
    TRIM(B822)=TRIM(Enginuity!$A$17),
    Q822&lt;&gt;"",
    Q822&lt;&gt;0,
    OR(
      TRIM(C822)=TRIM(Enginuity!$A$18),
      AND(UPPER(TRIM(M822))="STD", TRIM(B822)=TRIM(Enginuity!$A$17))
    ),
    OR(
      AND(LEFT(P822,5)="1-Way", Enginuity!$B$13=1),
      AND(LEFT(P822,5)="2-Way", OR(Enginuity!$B$13=2, Enginuity!$B$13=4)),
      AND(LEFT(P822,5)="3-Way", OR(Enginuity!$B$13=3, Enginuity!$B$13=6)),
      AND(P822="Inner Centre Jamb", OR(Enginuity!$B$13=4, Enginuity!$B$13=6)),
      AND(
        LEFT(P822,5)&lt;&gt;"1-Way",
        LEFT(P822,5)&lt;&gt;"2-Way",
        LEFT(P822,5)&lt;&gt;"3-Way",
        P822&lt;&gt;"Inner Centre Jamb"
      )
    ),
    IF(OR(Enginuity!$A$1="Frameless Glass",Enginuity!$A$1="Metal Work"),
      AND(TRIM(B822)=TRIM(Enginuity!$A$17),TRIM(C822)=TRIM(Enginuity!$A$18)),
      TRIM(B822)=TRIM(Enginuity!$A$17)
    )
  ),
  ROW(),
  ""
)</f>
        <v/>
      </c>
    </row>
    <row r="823" spans="1:21" x14ac:dyDescent="0.25">
      <c r="A823" s="10" t="s">
        <v>255</v>
      </c>
      <c r="B823" s="229" t="s">
        <v>13</v>
      </c>
      <c r="C823" s="10"/>
      <c r="D823" s="14"/>
      <c r="E823" s="157"/>
      <c r="F823" s="10"/>
      <c r="G823" s="17"/>
      <c r="H823" s="10"/>
      <c r="I823" s="17"/>
      <c r="J823" s="83"/>
      <c r="K823" s="343"/>
      <c r="L823" s="347"/>
      <c r="M823" s="89">
        <v>38</v>
      </c>
      <c r="N823" s="10"/>
      <c r="O823" s="22"/>
      <c r="P823" s="14"/>
      <c r="Q823" s="83"/>
      <c r="U823" s="104" t="str">
        <f>IF(
  AND(
    TRIM(A823)=TRIM(Enginuity!$A$1),
    TRIM(B823)=TRIM(Enginuity!$A$17),
    Q823&lt;&gt;"",
    Q823&lt;&gt;0,
    OR(
      TRIM(C823)=TRIM(Enginuity!$A$18),
      AND(UPPER(TRIM(M823))="STD", TRIM(B823)=TRIM(Enginuity!$A$17))
    ),
    OR(
      AND(LEFT(P823,5)="1-Way", Enginuity!$B$13=1),
      AND(LEFT(P823,5)="2-Way", OR(Enginuity!$B$13=2, Enginuity!$B$13=4)),
      AND(LEFT(P823,5)="3-Way", OR(Enginuity!$B$13=3, Enginuity!$B$13=6)),
      AND(P823="Inner Centre Jamb", OR(Enginuity!$B$13=4, Enginuity!$B$13=6)),
      AND(
        LEFT(P823,5)&lt;&gt;"1-Way",
        LEFT(P823,5)&lt;&gt;"2-Way",
        LEFT(P823,5)&lt;&gt;"3-Way",
        P823&lt;&gt;"Inner Centre Jamb"
      )
    ),
    IF(OR(Enginuity!$A$1="Frameless Glass",Enginuity!$A$1="Metal Work"),
      AND(TRIM(B823)=TRIM(Enginuity!$A$17),TRIM(C823)=TRIM(Enginuity!$A$18)),
      TRIM(B823)=TRIM(Enginuity!$A$17)
    )
  ),
  ROW(),
  ""
)</f>
        <v/>
      </c>
    </row>
    <row r="824" spans="1:21" x14ac:dyDescent="0.25">
      <c r="A824" s="10" t="s">
        <v>255</v>
      </c>
      <c r="B824" s="229" t="s">
        <v>13</v>
      </c>
      <c r="C824" s="10"/>
      <c r="D824" s="14"/>
      <c r="E824" s="157"/>
      <c r="F824" s="10"/>
      <c r="G824" s="17"/>
      <c r="H824" s="10"/>
      <c r="I824" s="17"/>
      <c r="J824" s="83"/>
      <c r="K824" s="343"/>
      <c r="L824" s="347"/>
      <c r="M824" s="89">
        <v>39</v>
      </c>
      <c r="N824" s="88"/>
      <c r="O824" s="22"/>
      <c r="P824" s="14"/>
      <c r="Q824" s="83"/>
      <c r="U824" s="104" t="str">
        <f>IF(
  AND(
    TRIM(A824)=TRIM(Enginuity!$A$1),
    TRIM(B824)=TRIM(Enginuity!$A$17),
    Q824&lt;&gt;"",
    Q824&lt;&gt;0,
    OR(
      TRIM(C824)=TRIM(Enginuity!$A$18),
      AND(UPPER(TRIM(M824))="STD", TRIM(B824)=TRIM(Enginuity!$A$17))
    ),
    OR(
      AND(LEFT(P824,5)="1-Way", Enginuity!$B$13=1),
      AND(LEFT(P824,5)="2-Way", OR(Enginuity!$B$13=2, Enginuity!$B$13=4)),
      AND(LEFT(P824,5)="3-Way", OR(Enginuity!$B$13=3, Enginuity!$B$13=6)),
      AND(P824="Inner Centre Jamb", OR(Enginuity!$B$13=4, Enginuity!$B$13=6)),
      AND(
        LEFT(P824,5)&lt;&gt;"1-Way",
        LEFT(P824,5)&lt;&gt;"2-Way",
        LEFT(P824,5)&lt;&gt;"3-Way",
        P824&lt;&gt;"Inner Centre Jamb"
      )
    ),
    IF(OR(Enginuity!$A$1="Frameless Glass",Enginuity!$A$1="Metal Work"),
      AND(TRIM(B824)=TRIM(Enginuity!$A$17),TRIM(C824)=TRIM(Enginuity!$A$18)),
      TRIM(B824)=TRIM(Enginuity!$A$17)
    )
  ),
  ROW(),
  ""
)</f>
        <v/>
      </c>
    </row>
    <row r="825" spans="1:21" x14ac:dyDescent="0.25">
      <c r="A825" s="10" t="s">
        <v>255</v>
      </c>
      <c r="B825" s="229" t="s">
        <v>13</v>
      </c>
      <c r="C825" s="10"/>
      <c r="D825" s="14"/>
      <c r="E825" s="157"/>
      <c r="F825" s="10"/>
      <c r="G825" s="17"/>
      <c r="H825" s="10"/>
      <c r="I825" s="17"/>
      <c r="J825" s="83"/>
      <c r="K825" s="343"/>
      <c r="L825" s="347"/>
      <c r="M825" s="89">
        <v>40</v>
      </c>
      <c r="N825" s="10"/>
      <c r="O825" s="22"/>
      <c r="P825" s="14"/>
      <c r="Q825" s="83"/>
      <c r="U825" s="104" t="str">
        <f>IF(
  AND(
    TRIM(A825)=TRIM(Enginuity!$A$1),
    TRIM(B825)=TRIM(Enginuity!$A$17),
    Q825&lt;&gt;"",
    Q825&lt;&gt;0,
    OR(
      TRIM(C825)=TRIM(Enginuity!$A$18),
      AND(UPPER(TRIM(M825))="STD", TRIM(B825)=TRIM(Enginuity!$A$17))
    ),
    OR(
      AND(LEFT(P825,5)="1-Way", Enginuity!$B$13=1),
      AND(LEFT(P825,5)="2-Way", OR(Enginuity!$B$13=2, Enginuity!$B$13=4)),
      AND(LEFT(P825,5)="3-Way", OR(Enginuity!$B$13=3, Enginuity!$B$13=6)),
      AND(P825="Inner Centre Jamb", OR(Enginuity!$B$13=4, Enginuity!$B$13=6)),
      AND(
        LEFT(P825,5)&lt;&gt;"1-Way",
        LEFT(P825,5)&lt;&gt;"2-Way",
        LEFT(P825,5)&lt;&gt;"3-Way",
        P825&lt;&gt;"Inner Centre Jamb"
      )
    ),
    IF(OR(Enginuity!$A$1="Frameless Glass",Enginuity!$A$1="Metal Work"),
      AND(TRIM(B825)=TRIM(Enginuity!$A$17),TRIM(C825)=TRIM(Enginuity!$A$18)),
      TRIM(B825)=TRIM(Enginuity!$A$17)
    )
  ),
  ROW(),
  ""
)</f>
        <v/>
      </c>
    </row>
    <row r="826" spans="1:21" x14ac:dyDescent="0.25">
      <c r="A826" s="10" t="s">
        <v>255</v>
      </c>
      <c r="B826" s="229" t="s">
        <v>13</v>
      </c>
      <c r="C826" s="10"/>
      <c r="D826" s="14"/>
      <c r="E826" s="157"/>
      <c r="F826" s="10"/>
      <c r="G826" s="17"/>
      <c r="H826" s="10"/>
      <c r="I826" s="17"/>
      <c r="J826" s="83"/>
      <c r="K826" s="343"/>
      <c r="L826" s="347"/>
      <c r="M826" s="89">
        <v>41</v>
      </c>
      <c r="N826" s="88"/>
      <c r="O826" s="22"/>
      <c r="P826" s="14"/>
      <c r="Q826" s="83"/>
      <c r="U826" s="104" t="str">
        <f>IF(
  AND(
    TRIM(A826)=TRIM(Enginuity!$A$1),
    TRIM(B826)=TRIM(Enginuity!$A$17),
    Q826&lt;&gt;"",
    Q826&lt;&gt;0,
    OR(
      TRIM(C826)=TRIM(Enginuity!$A$18),
      AND(UPPER(TRIM(M826))="STD", TRIM(B826)=TRIM(Enginuity!$A$17))
    ),
    OR(
      AND(LEFT(P826,5)="1-Way", Enginuity!$B$13=1),
      AND(LEFT(P826,5)="2-Way", OR(Enginuity!$B$13=2, Enginuity!$B$13=4)),
      AND(LEFT(P826,5)="3-Way", OR(Enginuity!$B$13=3, Enginuity!$B$13=6)),
      AND(P826="Inner Centre Jamb", OR(Enginuity!$B$13=4, Enginuity!$B$13=6)),
      AND(
        LEFT(P826,5)&lt;&gt;"1-Way",
        LEFT(P826,5)&lt;&gt;"2-Way",
        LEFT(P826,5)&lt;&gt;"3-Way",
        P826&lt;&gt;"Inner Centre Jamb"
      )
    ),
    IF(OR(Enginuity!$A$1="Frameless Glass",Enginuity!$A$1="Metal Work"),
      AND(TRIM(B826)=TRIM(Enginuity!$A$17),TRIM(C826)=TRIM(Enginuity!$A$18)),
      TRIM(B826)=TRIM(Enginuity!$A$17)
    )
  ),
  ROW(),
  ""
)</f>
        <v/>
      </c>
    </row>
    <row r="827" spans="1:21" x14ac:dyDescent="0.25">
      <c r="A827" s="10" t="s">
        <v>255</v>
      </c>
      <c r="B827" s="229" t="s">
        <v>13</v>
      </c>
      <c r="C827" s="10"/>
      <c r="D827" s="14"/>
      <c r="E827" s="157"/>
      <c r="F827" s="10"/>
      <c r="G827" s="17"/>
      <c r="H827" s="10"/>
      <c r="I827" s="17"/>
      <c r="J827" s="83"/>
      <c r="K827" s="343"/>
      <c r="L827" s="347"/>
      <c r="M827" s="89">
        <v>42</v>
      </c>
      <c r="N827" s="88"/>
      <c r="O827" s="22"/>
      <c r="P827" s="14"/>
      <c r="Q827" s="83"/>
      <c r="U827" s="104" t="str">
        <f>IF(
  AND(
    TRIM(A827)=TRIM(Enginuity!$A$1),
    TRIM(B827)=TRIM(Enginuity!$A$17),
    Q827&lt;&gt;"",
    Q827&lt;&gt;0,
    OR(
      TRIM(C827)=TRIM(Enginuity!$A$18),
      AND(UPPER(TRIM(M827))="STD", TRIM(B827)=TRIM(Enginuity!$A$17))
    ),
    OR(
      AND(LEFT(P827,5)="1-Way", Enginuity!$B$13=1),
      AND(LEFT(P827,5)="2-Way", OR(Enginuity!$B$13=2, Enginuity!$B$13=4)),
      AND(LEFT(P827,5)="3-Way", OR(Enginuity!$B$13=3, Enginuity!$B$13=6)),
      AND(P827="Inner Centre Jamb", OR(Enginuity!$B$13=4, Enginuity!$B$13=6)),
      AND(
        LEFT(P827,5)&lt;&gt;"1-Way",
        LEFT(P827,5)&lt;&gt;"2-Way",
        LEFT(P827,5)&lt;&gt;"3-Way",
        P827&lt;&gt;"Inner Centre Jamb"
      )
    ),
    IF(OR(Enginuity!$A$1="Frameless Glass",Enginuity!$A$1="Metal Work"),
      AND(TRIM(B827)=TRIM(Enginuity!$A$17),TRIM(C827)=TRIM(Enginuity!$A$18)),
      TRIM(B827)=TRIM(Enginuity!$A$17)
    )
  ),
  ROW(),
  ""
)</f>
        <v/>
      </c>
    </row>
    <row r="828" spans="1:21" x14ac:dyDescent="0.25">
      <c r="A828" s="10" t="s">
        <v>255</v>
      </c>
      <c r="B828" s="229" t="s">
        <v>13</v>
      </c>
      <c r="C828" s="10"/>
      <c r="D828" s="14"/>
      <c r="E828" s="157"/>
      <c r="F828" s="10"/>
      <c r="G828" s="17"/>
      <c r="H828" s="10"/>
      <c r="I828" s="17"/>
      <c r="J828" s="83"/>
      <c r="K828" s="343"/>
      <c r="L828" s="347"/>
      <c r="M828" s="89">
        <v>43</v>
      </c>
      <c r="N828" s="10"/>
      <c r="O828" s="22"/>
      <c r="P828" s="14"/>
      <c r="Q828" s="83"/>
      <c r="U828" s="104" t="str">
        <f>IF(
  AND(
    TRIM(A828)=TRIM(Enginuity!$A$1),
    TRIM(B828)=TRIM(Enginuity!$A$17),
    Q828&lt;&gt;"",
    Q828&lt;&gt;0,
    OR(
      TRIM(C828)=TRIM(Enginuity!$A$18),
      AND(UPPER(TRIM(M828))="STD", TRIM(B828)=TRIM(Enginuity!$A$17))
    ),
    OR(
      AND(LEFT(P828,5)="1-Way", Enginuity!$B$13=1),
      AND(LEFT(P828,5)="2-Way", OR(Enginuity!$B$13=2, Enginuity!$B$13=4)),
      AND(LEFT(P828,5)="3-Way", OR(Enginuity!$B$13=3, Enginuity!$B$13=6)),
      AND(P828="Inner Centre Jamb", OR(Enginuity!$B$13=4, Enginuity!$B$13=6)),
      AND(
        LEFT(P828,5)&lt;&gt;"1-Way",
        LEFT(P828,5)&lt;&gt;"2-Way",
        LEFT(P828,5)&lt;&gt;"3-Way",
        P828&lt;&gt;"Inner Centre Jamb"
      )
    ),
    IF(OR(Enginuity!$A$1="Frameless Glass",Enginuity!$A$1="Metal Work"),
      AND(TRIM(B828)=TRIM(Enginuity!$A$17),TRIM(C828)=TRIM(Enginuity!$A$18)),
      TRIM(B828)=TRIM(Enginuity!$A$17)
    )
  ),
  ROW(),
  ""
)</f>
        <v/>
      </c>
    </row>
    <row r="829" spans="1:21" x14ac:dyDescent="0.25">
      <c r="A829" s="10" t="s">
        <v>255</v>
      </c>
      <c r="B829" s="229" t="s">
        <v>13</v>
      </c>
      <c r="C829" s="10"/>
      <c r="D829" s="14"/>
      <c r="E829" s="157"/>
      <c r="F829" s="10"/>
      <c r="G829" s="17"/>
      <c r="H829" s="10"/>
      <c r="I829" s="17"/>
      <c r="J829" s="83"/>
      <c r="K829" s="343"/>
      <c r="L829" s="347"/>
      <c r="M829" s="89">
        <v>44</v>
      </c>
      <c r="N829" s="10"/>
      <c r="O829" s="22"/>
      <c r="P829" s="14"/>
      <c r="Q829" s="83"/>
      <c r="U829" s="104" t="str">
        <f>IF(
  AND(
    TRIM(A829)=TRIM(Enginuity!$A$1),
    TRIM(B829)=TRIM(Enginuity!$A$17),
    Q829&lt;&gt;"",
    Q829&lt;&gt;0,
    OR(
      TRIM(C829)=TRIM(Enginuity!$A$18),
      AND(UPPER(TRIM(M829))="STD", TRIM(B829)=TRIM(Enginuity!$A$17))
    ),
    OR(
      AND(LEFT(P829,5)="1-Way", Enginuity!$B$13=1),
      AND(LEFT(P829,5)="2-Way", OR(Enginuity!$B$13=2, Enginuity!$B$13=4)),
      AND(LEFT(P829,5)="3-Way", OR(Enginuity!$B$13=3, Enginuity!$B$13=6)),
      AND(P829="Inner Centre Jamb", OR(Enginuity!$B$13=4, Enginuity!$B$13=6)),
      AND(
        LEFT(P829,5)&lt;&gt;"1-Way",
        LEFT(P829,5)&lt;&gt;"2-Way",
        LEFT(P829,5)&lt;&gt;"3-Way",
        P829&lt;&gt;"Inner Centre Jamb"
      )
    ),
    IF(OR(Enginuity!$A$1="Frameless Glass",Enginuity!$A$1="Metal Work"),
      AND(TRIM(B829)=TRIM(Enginuity!$A$17),TRIM(C829)=TRIM(Enginuity!$A$18)),
      TRIM(B829)=TRIM(Enginuity!$A$17)
    )
  ),
  ROW(),
  ""
)</f>
        <v/>
      </c>
    </row>
    <row r="830" spans="1:21" x14ac:dyDescent="0.25">
      <c r="A830" s="10" t="s">
        <v>255</v>
      </c>
      <c r="B830" s="229" t="s">
        <v>13</v>
      </c>
      <c r="C830" s="10"/>
      <c r="D830" s="14"/>
      <c r="E830" s="157"/>
      <c r="F830" s="10"/>
      <c r="G830" s="17"/>
      <c r="H830" s="10"/>
      <c r="I830" s="17"/>
      <c r="J830" s="83"/>
      <c r="K830" s="343"/>
      <c r="L830" s="347"/>
      <c r="M830" s="89">
        <v>45</v>
      </c>
      <c r="N830" s="10"/>
      <c r="O830" s="22"/>
      <c r="P830" s="14"/>
      <c r="Q830" s="83"/>
      <c r="U830" s="104" t="str">
        <f>IF(
  AND(
    TRIM(A830)=TRIM(Enginuity!$A$1),
    TRIM(B830)=TRIM(Enginuity!$A$17),
    Q830&lt;&gt;"",
    Q830&lt;&gt;0,
    OR(
      TRIM(C830)=TRIM(Enginuity!$A$18),
      AND(UPPER(TRIM(M830))="STD", TRIM(B830)=TRIM(Enginuity!$A$17))
    ),
    OR(
      AND(LEFT(P830,5)="1-Way", Enginuity!$B$13=1),
      AND(LEFT(P830,5)="2-Way", OR(Enginuity!$B$13=2, Enginuity!$B$13=4)),
      AND(LEFT(P830,5)="3-Way", OR(Enginuity!$B$13=3, Enginuity!$B$13=6)),
      AND(P830="Inner Centre Jamb", OR(Enginuity!$B$13=4, Enginuity!$B$13=6)),
      AND(
        LEFT(P830,5)&lt;&gt;"1-Way",
        LEFT(P830,5)&lt;&gt;"2-Way",
        LEFT(P830,5)&lt;&gt;"3-Way",
        P830&lt;&gt;"Inner Centre Jamb"
      )
    ),
    IF(OR(Enginuity!$A$1="Frameless Glass",Enginuity!$A$1="Metal Work"),
      AND(TRIM(B830)=TRIM(Enginuity!$A$17),TRIM(C830)=TRIM(Enginuity!$A$18)),
      TRIM(B830)=TRIM(Enginuity!$A$17)
    )
  ),
  ROW(),
  ""
)</f>
        <v/>
      </c>
    </row>
    <row r="831" spans="1:21" x14ac:dyDescent="0.25">
      <c r="A831" s="10"/>
      <c r="B831" s="229"/>
      <c r="C831" s="10"/>
      <c r="D831" s="14"/>
      <c r="E831" s="157"/>
      <c r="F831" s="10"/>
      <c r="G831" s="17"/>
      <c r="H831" s="10"/>
      <c r="I831" s="17"/>
      <c r="J831" s="83"/>
      <c r="K831" s="343"/>
      <c r="L831" s="347"/>
      <c r="M831" s="89">
        <v>46</v>
      </c>
      <c r="N831" s="88"/>
      <c r="O831" s="22"/>
      <c r="P831" s="36"/>
      <c r="Q831" s="83"/>
      <c r="U831" s="104" t="str">
        <f>IF(
  AND(
    TRIM(A831)=TRIM(Enginuity!$A$1),
    TRIM(B831)=TRIM(Enginuity!$A$17),
    Q831&lt;&gt;"",
    Q831&lt;&gt;0,
    OR(
      TRIM(C831)=TRIM(Enginuity!$A$18),
      AND(UPPER(TRIM(M831))="STD", TRIM(B831)=TRIM(Enginuity!$A$17))
    ),
    OR(
      AND(LEFT(P831,5)="1-Way", Enginuity!$B$13=1),
      AND(LEFT(P831,5)="2-Way", OR(Enginuity!$B$13=2, Enginuity!$B$13=4)),
      AND(LEFT(P831,5)="3-Way", OR(Enginuity!$B$13=3, Enginuity!$B$13=6)),
      AND(P831="Inner Centre Jamb", OR(Enginuity!$B$13=4, Enginuity!$B$13=6)),
      AND(
        LEFT(P831,5)&lt;&gt;"1-Way",
        LEFT(P831,5)&lt;&gt;"2-Way",
        LEFT(P831,5)&lt;&gt;"3-Way",
        P831&lt;&gt;"Inner Centre Jamb"
      )
    ),
    IF(OR(Enginuity!$A$1="Frameless Glass",Enginuity!$A$1="Metal Work"),
      AND(TRIM(B831)=TRIM(Enginuity!$A$17),TRIM(C831)=TRIM(Enginuity!$A$18)),
      TRIM(B831)=TRIM(Enginuity!$A$17)
    )
  ),
  ROW(),
  ""
)</f>
        <v/>
      </c>
    </row>
    <row r="832" spans="1:21" x14ac:dyDescent="0.25">
      <c r="A832" s="10"/>
      <c r="B832" s="229"/>
      <c r="C832" s="10"/>
      <c r="D832" s="14"/>
      <c r="E832" s="157"/>
      <c r="F832" s="10"/>
      <c r="G832" s="17"/>
      <c r="H832" s="10"/>
      <c r="I832" s="17"/>
      <c r="J832" s="83"/>
      <c r="K832" s="343"/>
      <c r="L832" s="347"/>
      <c r="M832" s="89">
        <v>47</v>
      </c>
      <c r="N832" s="10"/>
      <c r="O832" s="22"/>
      <c r="P832" s="14"/>
      <c r="Q832" s="83"/>
      <c r="U832" s="104" t="str">
        <f>IF(
  AND(
    TRIM(A832)=TRIM(Enginuity!$A$1),
    TRIM(B832)=TRIM(Enginuity!$A$17),
    Q832&lt;&gt;"",
    Q832&lt;&gt;0,
    OR(
      TRIM(C832)=TRIM(Enginuity!$A$18),
      AND(UPPER(TRIM(M832))="STD", TRIM(B832)=TRIM(Enginuity!$A$17))
    ),
    OR(
      AND(LEFT(P832,5)="1-Way", Enginuity!$B$13=1),
      AND(LEFT(P832,5)="2-Way", OR(Enginuity!$B$13=2, Enginuity!$B$13=4)),
      AND(LEFT(P832,5)="3-Way", OR(Enginuity!$B$13=3, Enginuity!$B$13=6)),
      AND(P832="Inner Centre Jamb", OR(Enginuity!$B$13=4, Enginuity!$B$13=6)),
      AND(
        LEFT(P832,5)&lt;&gt;"1-Way",
        LEFT(P832,5)&lt;&gt;"2-Way",
        LEFT(P832,5)&lt;&gt;"3-Way",
        P832&lt;&gt;"Inner Centre Jamb"
      )
    ),
    IF(OR(Enginuity!$A$1="Frameless Glass",Enginuity!$A$1="Metal Work"),
      AND(TRIM(B832)=TRIM(Enginuity!$A$17),TRIM(C832)=TRIM(Enginuity!$A$18)),
      TRIM(B832)=TRIM(Enginuity!$A$17)
    )
  ),
  ROW(),
  ""
)</f>
        <v/>
      </c>
    </row>
    <row r="833" spans="1:21" x14ac:dyDescent="0.25">
      <c r="A833" s="10"/>
      <c r="B833" s="229"/>
      <c r="C833" s="10"/>
      <c r="D833" s="14"/>
      <c r="E833" s="157"/>
      <c r="F833" s="10"/>
      <c r="G833" s="17"/>
      <c r="H833" s="10"/>
      <c r="I833" s="17"/>
      <c r="J833" s="83"/>
      <c r="K833" s="343"/>
      <c r="L833" s="347"/>
      <c r="M833" s="89">
        <v>48</v>
      </c>
      <c r="N833" s="88"/>
      <c r="O833" s="22"/>
      <c r="P833" s="14"/>
      <c r="Q833" s="83"/>
      <c r="U833" s="104" t="str">
        <f>IF(
  AND(
    TRIM(A833)=TRIM(Enginuity!$A$1),
    TRIM(B833)=TRIM(Enginuity!$A$17),
    Q833&lt;&gt;"",
    Q833&lt;&gt;0,
    OR(
      TRIM(C833)=TRIM(Enginuity!$A$18),
      AND(UPPER(TRIM(M833))="STD", TRIM(B833)=TRIM(Enginuity!$A$17))
    ),
    OR(
      AND(LEFT(P833,5)="1-Way", Enginuity!$B$13=1),
      AND(LEFT(P833,5)="2-Way", OR(Enginuity!$B$13=2, Enginuity!$B$13=4)),
      AND(LEFT(P833,5)="3-Way", OR(Enginuity!$B$13=3, Enginuity!$B$13=6)),
      AND(P833="Inner Centre Jamb", OR(Enginuity!$B$13=4, Enginuity!$B$13=6)),
      AND(
        LEFT(P833,5)&lt;&gt;"1-Way",
        LEFT(P833,5)&lt;&gt;"2-Way",
        LEFT(P833,5)&lt;&gt;"3-Way",
        P833&lt;&gt;"Inner Centre Jamb"
      )
    ),
    IF(OR(Enginuity!$A$1="Frameless Glass",Enginuity!$A$1="Metal Work"),
      AND(TRIM(B833)=TRIM(Enginuity!$A$17),TRIM(C833)=TRIM(Enginuity!$A$18)),
      TRIM(B833)=TRIM(Enginuity!$A$17)
    )
  ),
  ROW(),
  ""
)</f>
        <v/>
      </c>
    </row>
    <row r="834" spans="1:21" x14ac:dyDescent="0.25">
      <c r="A834" s="17"/>
      <c r="B834" s="230"/>
      <c r="C834" s="17"/>
      <c r="D834" s="18"/>
      <c r="E834" s="238"/>
      <c r="F834" s="17"/>
      <c r="G834" s="17"/>
      <c r="H834" s="10"/>
      <c r="I834" s="17"/>
      <c r="J834" s="83"/>
      <c r="K834" s="343"/>
      <c r="L834" s="347"/>
      <c r="M834" s="90">
        <v>49</v>
      </c>
      <c r="N834" s="91"/>
      <c r="O834" s="25"/>
      <c r="P834" s="18"/>
      <c r="Q834" s="84"/>
      <c r="U834" s="104" t="str">
        <f>IF(
  AND(
    TRIM(A834)=TRIM(Enginuity!$A$1),
    TRIM(B834)=TRIM(Enginuity!$A$17),
    Q834&lt;&gt;"",
    Q834&lt;&gt;0,
    OR(
      TRIM(C834)=TRIM(Enginuity!$A$18),
      AND(UPPER(TRIM(M834))="STD", TRIM(B834)=TRIM(Enginuity!$A$17))
    ),
    OR(
      AND(LEFT(P834,5)="1-Way", Enginuity!$B$13=1),
      AND(LEFT(P834,5)="2-Way", OR(Enginuity!$B$13=2, Enginuity!$B$13=4)),
      AND(LEFT(P834,5)="3-Way", OR(Enginuity!$B$13=3, Enginuity!$B$13=6)),
      AND(P834="Inner Centre Jamb", OR(Enginuity!$B$13=4, Enginuity!$B$13=6)),
      AND(
        LEFT(P834,5)&lt;&gt;"1-Way",
        LEFT(P834,5)&lt;&gt;"2-Way",
        LEFT(P834,5)&lt;&gt;"3-Way",
        P834&lt;&gt;"Inner Centre Jamb"
      )
    ),
    IF(OR(Enginuity!$A$1="Frameless Glass",Enginuity!$A$1="Metal Work"),
      AND(TRIM(B834)=TRIM(Enginuity!$A$17),TRIM(C834)=TRIM(Enginuity!$A$18)),
      TRIM(B834)=TRIM(Enginuity!$A$17)
    )
  ),
  ROW(),
  ""
)</f>
        <v/>
      </c>
    </row>
    <row r="835" spans="1:21" x14ac:dyDescent="0.25">
      <c r="A835" s="10" t="s">
        <v>256</v>
      </c>
      <c r="B835" s="229" t="s">
        <v>177</v>
      </c>
      <c r="C835" s="10" t="s">
        <v>320</v>
      </c>
      <c r="D835" s="254" t="str" cm="1">
        <f t="array" ref="D835:D841">IFERROR(INDEX(_xlfn._xlws.FILTER(AllMaterialsbak!$BA$2:$BA$30, AllMaterialsbak!$BA$2:$BA$30&lt;&gt;""), _xlfn.SEQUENCE(7)), "")</f>
        <v>Default</v>
      </c>
      <c r="E835" s="157" t="s">
        <v>1432</v>
      </c>
      <c r="F835" s="11" t="s">
        <v>1433</v>
      </c>
      <c r="G835" s="17"/>
      <c r="H835" s="10"/>
      <c r="I835" s="17"/>
      <c r="J835" s="83"/>
      <c r="K835" s="344">
        <v>0.45</v>
      </c>
      <c r="L835" s="347">
        <v>900</v>
      </c>
      <c r="M835" s="89"/>
      <c r="N835" s="10" t="s">
        <v>103</v>
      </c>
      <c r="O835" s="22">
        <v>1.5</v>
      </c>
      <c r="P835" s="14" t="s">
        <v>178</v>
      </c>
      <c r="Q835" s="83">
        <f>Enginuity!$B$9</f>
        <v>260</v>
      </c>
      <c r="U835" s="104" t="str">
        <f>IF(
  AND(
    TRIM(A835)=TRIM(Enginuity!$A$1),
    TRIM(B835)=TRIM(Enginuity!$A$17),
    Q835&lt;&gt;"",
    Q835&lt;&gt;0,
    OR(
      TRIM(C835)=TRIM(Enginuity!$A$18),
      AND(UPPER(TRIM(M835))="STD", TRIM(B835)=TRIM(Enginuity!$A$17))
    ),
    OR(
      AND(LEFT(P835,5)="1-Way", Enginuity!$B$13=1),
      AND(LEFT(P835,5)="2-Way", OR(Enginuity!$B$13=2, Enginuity!$B$13=4)),
      AND(LEFT(P835,5)="3-Way", OR(Enginuity!$B$13=3, Enginuity!$B$13=6)),
      AND(P835="Inner Centre Jamb", OR(Enginuity!$B$13=4, Enginuity!$B$13=6)),
      AND(
        LEFT(P835,5)&lt;&gt;"1-Way",
        LEFT(P835,5)&lt;&gt;"2-Way",
        LEFT(P835,5)&lt;&gt;"3-Way",
        P835&lt;&gt;"Inner Centre Jamb"
      )
    ),
    IF(OR(Enginuity!$A$1="Frameless Glass",Enginuity!$A$1="Metal Work"),
      AND(TRIM(B835)=TRIM(Enginuity!$A$17),TRIM(C835)=TRIM(Enginuity!$A$18)),
      TRIM(B835)=TRIM(Enginuity!$A$17)
    )
  ),
  ROW(),
  ""
)</f>
        <v/>
      </c>
    </row>
    <row r="836" spans="1:21" x14ac:dyDescent="0.25">
      <c r="A836" s="10" t="s">
        <v>256</v>
      </c>
      <c r="B836" s="229" t="s">
        <v>177</v>
      </c>
      <c r="C836" s="10" t="s">
        <v>320</v>
      </c>
      <c r="D836" s="254" t="str">
        <v xml:space="preserve">2" Louver Blade N/A </v>
      </c>
      <c r="E836" s="157"/>
      <c r="F836" s="11"/>
      <c r="G836" s="17"/>
      <c r="H836" s="10"/>
      <c r="I836" s="17"/>
      <c r="J836" s="83"/>
      <c r="K836" s="343"/>
      <c r="L836" s="347"/>
      <c r="M836" s="89"/>
      <c r="N836" s="10" t="s">
        <v>103</v>
      </c>
      <c r="O836" s="22">
        <v>4.75</v>
      </c>
      <c r="P836" s="14" t="s">
        <v>179</v>
      </c>
      <c r="Q836" s="83">
        <f>Enginuity!$B$7*Enginuity!$B$13</f>
        <v>91</v>
      </c>
      <c r="U836" s="104" t="str">
        <f>IF(
  AND(
    TRIM(A836)=TRIM(Enginuity!$A$1),
    TRIM(B836)=TRIM(Enginuity!$A$17),
    Q836&lt;&gt;"",
    Q836&lt;&gt;0,
    OR(
      TRIM(C836)=TRIM(Enginuity!$A$18),
      AND(UPPER(TRIM(M836))="STD", TRIM(B836)=TRIM(Enginuity!$A$17))
    ),
    OR(
      AND(LEFT(P836,5)="1-Way", Enginuity!$B$13=1),
      AND(LEFT(P836,5)="2-Way", OR(Enginuity!$B$13=2, Enginuity!$B$13=4)),
      AND(LEFT(P836,5)="3-Way", OR(Enginuity!$B$13=3, Enginuity!$B$13=6)),
      AND(P836="Inner Centre Jamb", OR(Enginuity!$B$13=4, Enginuity!$B$13=6)),
      AND(
        LEFT(P836,5)&lt;&gt;"1-Way",
        LEFT(P836,5)&lt;&gt;"2-Way",
        LEFT(P836,5)&lt;&gt;"3-Way",
        P836&lt;&gt;"Inner Centre Jamb"
      )
    ),
    IF(OR(Enginuity!$A$1="Frameless Glass",Enginuity!$A$1="Metal Work"),
      AND(TRIM(B836)=TRIM(Enginuity!$A$17),TRIM(C836)=TRIM(Enginuity!$A$18)),
      TRIM(B836)=TRIM(Enginuity!$A$17)
    )
  ),
  ROW(),
  ""
)</f>
        <v/>
      </c>
    </row>
    <row r="837" spans="1:21" x14ac:dyDescent="0.25">
      <c r="A837" s="10" t="s">
        <v>256</v>
      </c>
      <c r="B837" s="229" t="s">
        <v>177</v>
      </c>
      <c r="C837" s="10" t="s">
        <v>320</v>
      </c>
      <c r="D837" s="254" t="str">
        <v>2" Louver Blade P/C</v>
      </c>
      <c r="E837" s="157"/>
      <c r="F837" s="10"/>
      <c r="G837" s="17"/>
      <c r="H837" s="10"/>
      <c r="I837" s="17"/>
      <c r="J837" s="83"/>
      <c r="K837" s="343"/>
      <c r="L837" s="347"/>
      <c r="M837" s="89"/>
      <c r="N837" s="10" t="s">
        <v>103</v>
      </c>
      <c r="O837" s="22">
        <v>4.75</v>
      </c>
      <c r="P837" s="14" t="s">
        <v>180</v>
      </c>
      <c r="Q837" s="83">
        <f>(Enginuity!$B$6/Enginuity!$B$13 + Enginuity!$B$7)*2*Enginuity!$B$13</f>
        <v>222</v>
      </c>
      <c r="U837" s="104" t="str">
        <f>IF(
  AND(
    TRIM(A837)=TRIM(Enginuity!$A$1),
    TRIM(B837)=TRIM(Enginuity!$A$17),
    Q837&lt;&gt;"",
    Q837&lt;&gt;0,
    OR(
      TRIM(C837)=TRIM(Enginuity!$A$18),
      AND(UPPER(TRIM(M837))="STD", TRIM(B837)=TRIM(Enginuity!$A$17))
    ),
    OR(
      AND(LEFT(P837,5)="1-Way", Enginuity!$B$13=1),
      AND(LEFT(P837,5)="2-Way", OR(Enginuity!$B$13=2, Enginuity!$B$13=4)),
      AND(LEFT(P837,5)="3-Way", OR(Enginuity!$B$13=3, Enginuity!$B$13=6)),
      AND(P837="Inner Centre Jamb", OR(Enginuity!$B$13=4, Enginuity!$B$13=6)),
      AND(
        LEFT(P837,5)&lt;&gt;"1-Way",
        LEFT(P837,5)&lt;&gt;"2-Way",
        LEFT(P837,5)&lt;&gt;"3-Way",
        P837&lt;&gt;"Inner Centre Jamb"
      )
    ),
    IF(OR(Enginuity!$A$1="Frameless Glass",Enginuity!$A$1="Metal Work"),
      AND(TRIM(B837)=TRIM(Enginuity!$A$17),TRIM(C837)=TRIM(Enginuity!$A$18)),
      TRIM(B837)=TRIM(Enginuity!$A$17)
    )
  ),
  ROW(),
  ""
)</f>
        <v/>
      </c>
    </row>
    <row r="838" spans="1:21" x14ac:dyDescent="0.25">
      <c r="A838" s="10" t="s">
        <v>256</v>
      </c>
      <c r="B838" s="229" t="s">
        <v>177</v>
      </c>
      <c r="C838" s="10" t="s">
        <v>320</v>
      </c>
      <c r="D838" s="14" t="str">
        <v xml:space="preserve">5" Louver Blade N/A </v>
      </c>
      <c r="E838" s="157"/>
      <c r="F838" s="10"/>
      <c r="G838" s="17"/>
      <c r="H838" s="10"/>
      <c r="I838" s="17"/>
      <c r="J838" s="83"/>
      <c r="K838" s="343"/>
      <c r="L838" s="347"/>
      <c r="M838" s="89"/>
      <c r="N838" s="10" t="s">
        <v>315</v>
      </c>
      <c r="O838" s="22">
        <v>9.5</v>
      </c>
      <c r="P838" s="14" t="s">
        <v>317</v>
      </c>
      <c r="Q838" s="83">
        <f>ROUNDUP(((Enginuity!$B$13-1)*Enginuity!$B$7)/32.8, 0)</f>
        <v>3</v>
      </c>
      <c r="U838" s="104" t="str">
        <f>IF(
  AND(
    TRIM(A838)=TRIM(Enginuity!$A$1),
    TRIM(B838)=TRIM(Enginuity!$A$17),
    Q838&lt;&gt;"",
    Q838&lt;&gt;0,
    OR(
      TRIM(C838)=TRIM(Enginuity!$A$18),
      AND(UPPER(TRIM(M838))="STD", TRIM(B838)=TRIM(Enginuity!$A$17))
    ),
    OR(
      AND(LEFT(P838,5)="1-Way", Enginuity!$B$13=1),
      AND(LEFT(P838,5)="2-Way", OR(Enginuity!$B$13=2, Enginuity!$B$13=4)),
      AND(LEFT(P838,5)="3-Way", OR(Enginuity!$B$13=3, Enginuity!$B$13=6)),
      AND(P838="Inner Centre Jamb", OR(Enginuity!$B$13=4, Enginuity!$B$13=6)),
      AND(
        LEFT(P838,5)&lt;&gt;"1-Way",
        LEFT(P838,5)&lt;&gt;"2-Way",
        LEFT(P838,5)&lt;&gt;"3-Way",
        P838&lt;&gt;"Inner Centre Jamb"
      )
    ),
    IF(OR(Enginuity!$A$1="Frameless Glass",Enginuity!$A$1="Metal Work"),
      AND(TRIM(B838)=TRIM(Enginuity!$A$17),TRIM(C838)=TRIM(Enginuity!$A$18)),
      TRIM(B838)=TRIM(Enginuity!$A$17)
    )
  ),
  ROW(),
  ""
)</f>
        <v/>
      </c>
    </row>
    <row r="839" spans="1:21" x14ac:dyDescent="0.25">
      <c r="A839" s="10" t="s">
        <v>256</v>
      </c>
      <c r="B839" s="229" t="s">
        <v>177</v>
      </c>
      <c r="C839" s="10" t="s">
        <v>320</v>
      </c>
      <c r="D839" s="14" t="str">
        <v>5" Louver Blade P/C</v>
      </c>
      <c r="E839" s="157"/>
      <c r="F839" s="10"/>
      <c r="G839" s="17"/>
      <c r="H839" s="10"/>
      <c r="I839" s="17"/>
      <c r="J839" s="83"/>
      <c r="K839" s="343"/>
      <c r="L839" s="347"/>
      <c r="M839" s="89"/>
      <c r="N839" s="10" t="s">
        <v>315</v>
      </c>
      <c r="O839" s="22">
        <v>8.5</v>
      </c>
      <c r="P839" s="14" t="s">
        <v>316</v>
      </c>
      <c r="Q839" s="83">
        <f>ROUNDUP((Enginuity!$B$6*Enginuity!$B$7)/27, 0)</f>
        <v>10</v>
      </c>
      <c r="U839" s="104" t="str">
        <f>IF(
  AND(
    TRIM(A839)=TRIM(Enginuity!$A$1),
    TRIM(B839)=TRIM(Enginuity!$A$17),
    Q839&lt;&gt;"",
    Q839&lt;&gt;0,
    OR(
      TRIM(C839)=TRIM(Enginuity!$A$18),
      AND(UPPER(TRIM(M839))="STD", TRIM(B839)=TRIM(Enginuity!$A$17))
    ),
    OR(
      AND(LEFT(P839,5)="1-Way", Enginuity!$B$13=1),
      AND(LEFT(P839,5)="2-Way", OR(Enginuity!$B$13=2, Enginuity!$B$13=4)),
      AND(LEFT(P839,5)="3-Way", OR(Enginuity!$B$13=3, Enginuity!$B$13=6)),
      AND(P839="Inner Centre Jamb", OR(Enginuity!$B$13=4, Enginuity!$B$13=6)),
      AND(
        LEFT(P839,5)&lt;&gt;"1-Way",
        LEFT(P839,5)&lt;&gt;"2-Way",
        LEFT(P839,5)&lt;&gt;"3-Way",
        P839&lt;&gt;"Inner Centre Jamb"
      )
    ),
    IF(OR(Enginuity!$A$1="Frameless Glass",Enginuity!$A$1="Metal Work"),
      AND(TRIM(B839)=TRIM(Enginuity!$A$17),TRIM(C839)=TRIM(Enginuity!$A$18)),
      TRIM(B839)=TRIM(Enginuity!$A$17)
    )
  ),
  ROW(),
  ""
)</f>
        <v/>
      </c>
    </row>
    <row r="840" spans="1:21" x14ac:dyDescent="0.25">
      <c r="A840" s="10" t="s">
        <v>256</v>
      </c>
      <c r="B840" s="229" t="s">
        <v>177</v>
      </c>
      <c r="C840" s="10" t="s">
        <v>320</v>
      </c>
      <c r="D840" s="14" t="str">
        <v/>
      </c>
      <c r="E840" s="157"/>
      <c r="F840" s="10"/>
      <c r="G840" s="17"/>
      <c r="H840" s="10"/>
      <c r="I840" s="17"/>
      <c r="J840" s="83"/>
      <c r="K840" s="343"/>
      <c r="L840" s="347"/>
      <c r="M840" s="89"/>
      <c r="N840" s="10" t="s">
        <v>121</v>
      </c>
      <c r="O840" s="22" t="str">
        <f>$O$2</f>
        <v/>
      </c>
      <c r="P840" s="21" t="str">
        <f>Enginuity!$A$19</f>
        <v>W/G</v>
      </c>
      <c r="Q840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840" s="104" t="str">
        <f>IF(
  AND(
    TRIM(A840)=TRIM(Enginuity!$A$1),
    TRIM(B840)=TRIM(Enginuity!$A$17),
    Q840&lt;&gt;"",
    Q840&lt;&gt;0,
    OR(
      TRIM(C840)=TRIM(Enginuity!$A$18),
      AND(UPPER(TRIM(M840))="STD", TRIM(B840)=TRIM(Enginuity!$A$17))
    ),
    OR(
      AND(LEFT(P840,5)="1-Way", Enginuity!$B$13=1),
      AND(LEFT(P840,5)="2-Way", OR(Enginuity!$B$13=2, Enginuity!$B$13=4)),
      AND(LEFT(P840,5)="3-Way", OR(Enginuity!$B$13=3, Enginuity!$B$13=6)),
      AND(P840="Inner Centre Jamb", OR(Enginuity!$B$13=4, Enginuity!$B$13=6)),
      AND(
        LEFT(P840,5)&lt;&gt;"1-Way",
        LEFT(P840,5)&lt;&gt;"2-Way",
        LEFT(P840,5)&lt;&gt;"3-Way",
        P840&lt;&gt;"Inner Centre Jamb"
      )
    ),
    IF(OR(Enginuity!$A$1="Frameless Glass",Enginuity!$A$1="Metal Work"),
      AND(TRIM(B840)=TRIM(Enginuity!$A$17),TRIM(C840)=TRIM(Enginuity!$A$18)),
      TRIM(B840)=TRIM(Enginuity!$A$17)
    )
  ),
  ROW(),
  ""
)</f>
        <v/>
      </c>
    </row>
    <row r="841" spans="1:21" x14ac:dyDescent="0.25">
      <c r="A841" s="10" t="s">
        <v>256</v>
      </c>
      <c r="B841" s="229" t="s">
        <v>177</v>
      </c>
      <c r="C841" s="10" t="s">
        <v>320</v>
      </c>
      <c r="D841" s="14" t="str">
        <v/>
      </c>
      <c r="E841" s="157"/>
      <c r="F841" s="10"/>
      <c r="G841" s="17"/>
      <c r="H841" s="10"/>
      <c r="I841" s="17"/>
      <c r="J841" s="83"/>
      <c r="K841" s="343"/>
      <c r="L841" s="347"/>
      <c r="M841" s="89"/>
      <c r="N841" s="10" t="s">
        <v>112</v>
      </c>
      <c r="O841" s="22">
        <v>43</v>
      </c>
      <c r="P841" s="14" t="str">
        <f>E835</f>
        <v xml:space="preserve">Plywood Background </v>
      </c>
      <c r="Q841" s="83">
        <f>_xlfn.LET(
  _xlpm.sel, UPPER(SUBSTITUTE(SUBSTITUTE(TRIM(SUBSTITUTE(Enginuity!$A$20,CHAR(160)," ")),CHAR(10),""),CHAR(13),"")),
  _xlpm.isBlank, OR(_xlpm.sel="", _xlpm.sel="-", _xlpm.sel="—", _xlpm.sel="CHOOSE VARIANT", _xlpm.sel="PILIH VARIAN", ISNUMBER(SEARCH("CHOOSE",_xlpm.sel)), ISNUMBER(SEARCH("PILIH",_xlpm.sel))),
  IF(_xlpm.isBlank,"", _xlfn.CEILING.MATH(VALUE(Enginuity!$B$7)/8,1) * _xlfn.CEILING.MATH(VALUE(Enginuity!$B$6)/4,1))
)</f>
        <v>10</v>
      </c>
      <c r="U841" s="104" t="str">
        <f>IF(
  AND(
    TRIM(A841)=TRIM(Enginuity!$A$1),
    TRIM(B841)=TRIM(Enginuity!$A$17),
    Q841&lt;&gt;"",
    Q841&lt;&gt;0,
    OR(
      TRIM(C841)=TRIM(Enginuity!$A$18),
      AND(UPPER(TRIM(M841))="STD", TRIM(B841)=TRIM(Enginuity!$A$17))
    ),
    OR(
      AND(LEFT(P841,5)="1-Way", Enginuity!$B$13=1),
      AND(LEFT(P841,5)="2-Way", OR(Enginuity!$B$13=2, Enginuity!$B$13=4)),
      AND(LEFT(P841,5)="3-Way", OR(Enginuity!$B$13=3, Enginuity!$B$13=6)),
      AND(P841="Inner Centre Jamb", OR(Enginuity!$B$13=4, Enginuity!$B$13=6)),
      AND(
        LEFT(P841,5)&lt;&gt;"1-Way",
        LEFT(P841,5)&lt;&gt;"2-Way",
        LEFT(P841,5)&lt;&gt;"3-Way",
        P841&lt;&gt;"Inner Centre Jamb"
      )
    ),
    IF(OR(Enginuity!$A$1="Frameless Glass",Enginuity!$A$1="Metal Work"),
      AND(TRIM(B841)=TRIM(Enginuity!$A$17),TRIM(C841)=TRIM(Enginuity!$A$18)),
      TRIM(B841)=TRIM(Enginuity!$A$17)
    )
  ),
  ROW(),
  ""
)</f>
        <v/>
      </c>
    </row>
    <row r="842" spans="1:21" x14ac:dyDescent="0.25">
      <c r="A842" s="10" t="s">
        <v>256</v>
      </c>
      <c r="B842" s="229" t="s">
        <v>177</v>
      </c>
      <c r="C842" s="10" t="s">
        <v>320</v>
      </c>
      <c r="D842" s="14"/>
      <c r="E842" s="157"/>
      <c r="F842" s="10"/>
      <c r="G842" s="17"/>
      <c r="H842" s="10"/>
      <c r="I842" s="17"/>
      <c r="J842" s="83"/>
      <c r="K842" s="343"/>
      <c r="L842" s="347"/>
      <c r="M842" s="89"/>
      <c r="N842" s="10" t="s">
        <v>112</v>
      </c>
      <c r="O842" s="22">
        <v>38</v>
      </c>
      <c r="P842" s="113" t="str">
        <f>F835</f>
        <v>Wainstcoting Perimeter Frame</v>
      </c>
      <c r="Q842" s="83"/>
      <c r="U842" s="104" t="str">
        <f>IF(
  AND(
    TRIM(A842)=TRIM(Enginuity!$A$1),
    TRIM(B842)=TRIM(Enginuity!$A$17),
    Q842&lt;&gt;"",
    Q842&lt;&gt;0,
    OR(
      TRIM(C842)=TRIM(Enginuity!$A$18),
      AND(UPPER(TRIM(M842))="STD", TRIM(B842)=TRIM(Enginuity!$A$17))
    ),
    OR(
      AND(LEFT(P842,5)="1-Way", Enginuity!$B$13=1),
      AND(LEFT(P842,5)="2-Way", OR(Enginuity!$B$13=2, Enginuity!$B$13=4)),
      AND(LEFT(P842,5)="3-Way", OR(Enginuity!$B$13=3, Enginuity!$B$13=6)),
      AND(P842="Inner Centre Jamb", OR(Enginuity!$B$13=4, Enginuity!$B$13=6)),
      AND(
        LEFT(P842,5)&lt;&gt;"1-Way",
        LEFT(P842,5)&lt;&gt;"2-Way",
        LEFT(P842,5)&lt;&gt;"3-Way",
        P842&lt;&gt;"Inner Centre Jamb"
      )
    ),
    IF(OR(Enginuity!$A$1="Frameless Glass",Enginuity!$A$1="Metal Work"),
      AND(TRIM(B842)=TRIM(Enginuity!$A$17),TRIM(C842)=TRIM(Enginuity!$A$18)),
      TRIM(B842)=TRIM(Enginuity!$A$17)
    )
  ),
  ROW(),
  ""
)</f>
        <v/>
      </c>
    </row>
    <row r="843" spans="1:21" x14ac:dyDescent="0.25">
      <c r="A843" s="10"/>
      <c r="B843" s="229"/>
      <c r="C843" s="10"/>
      <c r="D843" s="14"/>
      <c r="E843" s="157"/>
      <c r="F843" s="10"/>
      <c r="G843" s="17"/>
      <c r="H843" s="10"/>
      <c r="I843" s="17"/>
      <c r="J843" s="83"/>
      <c r="K843" s="343"/>
      <c r="L843" s="347"/>
      <c r="M843" s="89"/>
      <c r="N843" s="10"/>
      <c r="O843" s="22"/>
      <c r="P843" s="14"/>
      <c r="Q843" s="83"/>
      <c r="U843" s="104" t="str">
        <f>IF(
  AND(
    TRIM(A843)=TRIM(Enginuity!$A$1),
    TRIM(B843)=TRIM(Enginuity!$A$17),
    Q843&lt;&gt;"",
    Q843&lt;&gt;0,
    OR(
      TRIM(C843)=TRIM(Enginuity!$A$18),
      AND(UPPER(TRIM(M843))="STD", TRIM(B843)=TRIM(Enginuity!$A$17))
    ),
    OR(
      AND(LEFT(P843,5)="1-Way", Enginuity!$B$13=1),
      AND(LEFT(P843,5)="2-Way", OR(Enginuity!$B$13=2, Enginuity!$B$13=4)),
      AND(LEFT(P843,5)="3-Way", OR(Enginuity!$B$13=3, Enginuity!$B$13=6)),
      AND(P843="Inner Centre Jamb", OR(Enginuity!$B$13=4, Enginuity!$B$13=6)),
      AND(
        LEFT(P843,5)&lt;&gt;"1-Way",
        LEFT(P843,5)&lt;&gt;"2-Way",
        LEFT(P843,5)&lt;&gt;"3-Way",
        P843&lt;&gt;"Inner Centre Jamb"
      )
    ),
    IF(OR(Enginuity!$A$1="Frameless Glass",Enginuity!$A$1="Metal Work"),
      AND(TRIM(B843)=TRIM(Enginuity!$A$17),TRIM(C843)=TRIM(Enginuity!$A$18)),
      TRIM(B843)=TRIM(Enginuity!$A$17)
    )
  ),
  ROW(),
  ""
)</f>
        <v/>
      </c>
    </row>
    <row r="844" spans="1:21" x14ac:dyDescent="0.25">
      <c r="A844" s="10"/>
      <c r="B844" s="229"/>
      <c r="C844" s="10"/>
      <c r="D844" s="14"/>
      <c r="E844" s="157"/>
      <c r="F844" s="10"/>
      <c r="G844" s="17"/>
      <c r="H844" s="10"/>
      <c r="I844" s="17"/>
      <c r="J844" s="83"/>
      <c r="K844" s="343"/>
      <c r="L844" s="347"/>
      <c r="M844" s="89"/>
      <c r="N844" s="10"/>
      <c r="O844" s="22"/>
      <c r="P844" s="14"/>
      <c r="Q844" s="83"/>
      <c r="U844" s="104" t="str">
        <f>IF(
  AND(
    TRIM(A844)=TRIM(Enginuity!$A$1),
    TRIM(B844)=TRIM(Enginuity!$A$17),
    Q844&lt;&gt;"",
    Q844&lt;&gt;0,
    OR(
      TRIM(C844)=TRIM(Enginuity!$A$18),
      AND(UPPER(TRIM(M844))="STD", TRIM(B844)=TRIM(Enginuity!$A$17))
    ),
    OR(
      AND(LEFT(P844,5)="1-Way", Enginuity!$B$13=1),
      AND(LEFT(P844,5)="2-Way", OR(Enginuity!$B$13=2, Enginuity!$B$13=4)),
      AND(LEFT(P844,5)="3-Way", OR(Enginuity!$B$13=3, Enginuity!$B$13=6)),
      AND(P844="Inner Centre Jamb", OR(Enginuity!$B$13=4, Enginuity!$B$13=6)),
      AND(
        LEFT(P844,5)&lt;&gt;"1-Way",
        LEFT(P844,5)&lt;&gt;"2-Way",
        LEFT(P844,5)&lt;&gt;"3-Way",
        P844&lt;&gt;"Inner Centre Jamb"
      )
    ),
    IF(OR(Enginuity!$A$1="Frameless Glass",Enginuity!$A$1="Metal Work"),
      AND(TRIM(B844)=TRIM(Enginuity!$A$17),TRIM(C844)=TRIM(Enginuity!$A$18)),
      TRIM(B844)=TRIM(Enginuity!$A$17)
    )
  ),
  ROW(),
  ""
)</f>
        <v/>
      </c>
    </row>
    <row r="845" spans="1:21" x14ac:dyDescent="0.25">
      <c r="A845" s="10"/>
      <c r="B845" s="229"/>
      <c r="C845" s="10"/>
      <c r="D845" s="14"/>
      <c r="E845" s="157"/>
      <c r="F845" s="10"/>
      <c r="G845" s="17"/>
      <c r="H845" s="10"/>
      <c r="I845" s="17"/>
      <c r="J845" s="83"/>
      <c r="K845" s="343"/>
      <c r="L845" s="347"/>
      <c r="M845" s="89"/>
      <c r="N845" s="10"/>
      <c r="O845" s="22"/>
      <c r="P845" s="14"/>
      <c r="Q845" s="83"/>
      <c r="U845" s="104" t="str">
        <f>IF(
  AND(
    TRIM(A845)=TRIM(Enginuity!$A$1),
    TRIM(B845)=TRIM(Enginuity!$A$17),
    Q845&lt;&gt;"",
    Q845&lt;&gt;0,
    OR(
      TRIM(C845)=TRIM(Enginuity!$A$18),
      AND(UPPER(TRIM(M845))="STD", TRIM(B845)=TRIM(Enginuity!$A$17))
    ),
    OR(
      AND(LEFT(P845,5)="1-Way", Enginuity!$B$13=1),
      AND(LEFT(P845,5)="2-Way", OR(Enginuity!$B$13=2, Enginuity!$B$13=4)),
      AND(LEFT(P845,5)="3-Way", OR(Enginuity!$B$13=3, Enginuity!$B$13=6)),
      AND(P845="Inner Centre Jamb", OR(Enginuity!$B$13=4, Enginuity!$B$13=6)),
      AND(
        LEFT(P845,5)&lt;&gt;"1-Way",
        LEFT(P845,5)&lt;&gt;"2-Way",
        LEFT(P845,5)&lt;&gt;"3-Way",
        P845&lt;&gt;"Inner Centre Jamb"
      )
    ),
    IF(OR(Enginuity!$A$1="Frameless Glass",Enginuity!$A$1="Metal Work"),
      AND(TRIM(B845)=TRIM(Enginuity!$A$17),TRIM(C845)=TRIM(Enginuity!$A$18)),
      TRIM(B845)=TRIM(Enginuity!$A$17)
    )
  ),
  ROW(),
  ""
)</f>
        <v/>
      </c>
    </row>
    <row r="846" spans="1:21" x14ac:dyDescent="0.25">
      <c r="A846" s="10"/>
      <c r="B846" s="229"/>
      <c r="C846" s="10"/>
      <c r="D846" s="14"/>
      <c r="E846" s="157"/>
      <c r="F846" s="10"/>
      <c r="G846" s="17"/>
      <c r="H846" s="10"/>
      <c r="I846" s="17"/>
      <c r="J846" s="83"/>
      <c r="K846" s="343"/>
      <c r="L846" s="347"/>
      <c r="M846" s="89"/>
      <c r="N846" s="10"/>
      <c r="O846" s="22"/>
      <c r="P846" s="14"/>
      <c r="Q846" s="83"/>
      <c r="U846" s="104" t="str">
        <f>IF(
  AND(
    TRIM(A846)=TRIM(Enginuity!$A$1),
    TRIM(B846)=TRIM(Enginuity!$A$17),
    Q846&lt;&gt;"",
    Q846&lt;&gt;0,
    OR(
      TRIM(C846)=TRIM(Enginuity!$A$18),
      AND(UPPER(TRIM(M846))="STD", TRIM(B846)=TRIM(Enginuity!$A$17))
    ),
    OR(
      AND(LEFT(P846,5)="1-Way", Enginuity!$B$13=1),
      AND(LEFT(P846,5)="2-Way", OR(Enginuity!$B$13=2, Enginuity!$B$13=4)),
      AND(LEFT(P846,5)="3-Way", OR(Enginuity!$B$13=3, Enginuity!$B$13=6)),
      AND(P846="Inner Centre Jamb", OR(Enginuity!$B$13=4, Enginuity!$B$13=6)),
      AND(
        LEFT(P846,5)&lt;&gt;"1-Way",
        LEFT(P846,5)&lt;&gt;"2-Way",
        LEFT(P846,5)&lt;&gt;"3-Way",
        P846&lt;&gt;"Inner Centre Jamb"
      )
    ),
    IF(OR(Enginuity!$A$1="Frameless Glass",Enginuity!$A$1="Metal Work"),
      AND(TRIM(B846)=TRIM(Enginuity!$A$17),TRIM(C846)=TRIM(Enginuity!$A$18)),
      TRIM(B846)=TRIM(Enginuity!$A$17)
    )
  ),
  ROW(),
  ""
)</f>
        <v/>
      </c>
    </row>
    <row r="847" spans="1:21" x14ac:dyDescent="0.25">
      <c r="A847" s="10"/>
      <c r="B847" s="229"/>
      <c r="C847" s="10"/>
      <c r="D847" s="14"/>
      <c r="E847" s="157"/>
      <c r="F847" s="10"/>
      <c r="G847" s="17"/>
      <c r="H847" s="10"/>
      <c r="I847" s="17"/>
      <c r="J847" s="83"/>
      <c r="K847" s="343"/>
      <c r="L847" s="347"/>
      <c r="M847" s="89"/>
      <c r="N847" s="10"/>
      <c r="O847" s="22"/>
      <c r="P847" s="14"/>
      <c r="Q847" s="83"/>
      <c r="U847" s="104" t="str">
        <f>IF(
  AND(
    TRIM(A847)=TRIM(Enginuity!$A$1),
    TRIM(B847)=TRIM(Enginuity!$A$17),
    Q847&lt;&gt;"",
    Q847&lt;&gt;0,
    OR(
      TRIM(C847)=TRIM(Enginuity!$A$18),
      AND(UPPER(TRIM(M847))="STD", TRIM(B847)=TRIM(Enginuity!$A$17))
    ),
    OR(
      AND(LEFT(P847,5)="1-Way", Enginuity!$B$13=1),
      AND(LEFT(P847,5)="2-Way", OR(Enginuity!$B$13=2, Enginuity!$B$13=4)),
      AND(LEFT(P847,5)="3-Way", OR(Enginuity!$B$13=3, Enginuity!$B$13=6)),
      AND(P847="Inner Centre Jamb", OR(Enginuity!$B$13=4, Enginuity!$B$13=6)),
      AND(
        LEFT(P847,5)&lt;&gt;"1-Way",
        LEFT(P847,5)&lt;&gt;"2-Way",
        LEFT(P847,5)&lt;&gt;"3-Way",
        P847&lt;&gt;"Inner Centre Jamb"
      )
    ),
    IF(OR(Enginuity!$A$1="Frameless Glass",Enginuity!$A$1="Metal Work"),
      AND(TRIM(B847)=TRIM(Enginuity!$A$17),TRIM(C847)=TRIM(Enginuity!$A$18)),
      TRIM(B847)=TRIM(Enginuity!$A$17)
    )
  ),
  ROW(),
  ""
)</f>
        <v/>
      </c>
    </row>
    <row r="848" spans="1:21" x14ac:dyDescent="0.25">
      <c r="A848" s="10"/>
      <c r="B848" s="229"/>
      <c r="C848" s="10"/>
      <c r="D848" s="14"/>
      <c r="E848" s="157"/>
      <c r="F848" s="10"/>
      <c r="G848" s="17"/>
      <c r="H848" s="10"/>
      <c r="I848" s="17"/>
      <c r="J848" s="83"/>
      <c r="K848" s="343"/>
      <c r="L848" s="347"/>
      <c r="M848" s="89"/>
      <c r="N848" s="10"/>
      <c r="O848" s="22"/>
      <c r="P848" s="15"/>
      <c r="Q848" s="83"/>
      <c r="U848" s="104" t="str">
        <f>IF(
  AND(
    TRIM(A848)=TRIM(Enginuity!$A$1),
    TRIM(B848)=TRIM(Enginuity!$A$17),
    Q848&lt;&gt;"",
    Q848&lt;&gt;0,
    OR(
      TRIM(C848)=TRIM(Enginuity!$A$18),
      AND(UPPER(TRIM(M848))="STD", TRIM(B848)=TRIM(Enginuity!$A$17))
    ),
    OR(
      AND(LEFT(P848,5)="1-Way", Enginuity!$B$13=1),
      AND(LEFT(P848,5)="2-Way", OR(Enginuity!$B$13=2, Enginuity!$B$13=4)),
      AND(LEFT(P848,5)="3-Way", OR(Enginuity!$B$13=3, Enginuity!$B$13=6)),
      AND(P848="Inner Centre Jamb", OR(Enginuity!$B$13=4, Enginuity!$B$13=6)),
      AND(
        LEFT(P848,5)&lt;&gt;"1-Way",
        LEFT(P848,5)&lt;&gt;"2-Way",
        LEFT(P848,5)&lt;&gt;"3-Way",
        P848&lt;&gt;"Inner Centre Jamb"
      )
    ),
    IF(OR(Enginuity!$A$1="Frameless Glass",Enginuity!$A$1="Metal Work"),
      AND(TRIM(B848)=TRIM(Enginuity!$A$17),TRIM(C848)=TRIM(Enginuity!$A$18)),
      TRIM(B848)=TRIM(Enginuity!$A$17)
    )
  ),
  ROW(),
  ""
)</f>
        <v/>
      </c>
    </row>
    <row r="849" spans="1:21" x14ac:dyDescent="0.25">
      <c r="A849" s="10"/>
      <c r="B849" s="229"/>
      <c r="C849" s="10"/>
      <c r="D849" s="14"/>
      <c r="E849" s="157"/>
      <c r="F849" s="10"/>
      <c r="G849" s="17"/>
      <c r="H849" s="10"/>
      <c r="I849" s="17"/>
      <c r="J849" s="83"/>
      <c r="K849" s="343"/>
      <c r="L849" s="347"/>
      <c r="M849" s="89"/>
      <c r="N849" s="10"/>
      <c r="O849" s="22"/>
      <c r="P849" s="14"/>
      <c r="Q849" s="83"/>
      <c r="U849" s="104" t="str">
        <f>IF(
  AND(
    TRIM(A849)=TRIM(Enginuity!$A$1),
    TRIM(B849)=TRIM(Enginuity!$A$17),
    Q849&lt;&gt;"",
    Q849&lt;&gt;0,
    OR(
      TRIM(C849)=TRIM(Enginuity!$A$18),
      AND(UPPER(TRIM(M849))="STD", TRIM(B849)=TRIM(Enginuity!$A$17))
    ),
    OR(
      AND(LEFT(P849,5)="1-Way", Enginuity!$B$13=1),
      AND(LEFT(P849,5)="2-Way", OR(Enginuity!$B$13=2, Enginuity!$B$13=4)),
      AND(LEFT(P849,5)="3-Way", OR(Enginuity!$B$13=3, Enginuity!$B$13=6)),
      AND(P849="Inner Centre Jamb", OR(Enginuity!$B$13=4, Enginuity!$B$13=6)),
      AND(
        LEFT(P849,5)&lt;&gt;"1-Way",
        LEFT(P849,5)&lt;&gt;"2-Way",
        LEFT(P849,5)&lt;&gt;"3-Way",
        P849&lt;&gt;"Inner Centre Jamb"
      )
    ),
    IF(OR(Enginuity!$A$1="Frameless Glass",Enginuity!$A$1="Metal Work"),
      AND(TRIM(B849)=TRIM(Enginuity!$A$17),TRIM(C849)=TRIM(Enginuity!$A$18)),
      TRIM(B849)=TRIM(Enginuity!$A$17)
    )
  ),
  ROW(),
  ""
)</f>
        <v/>
      </c>
    </row>
    <row r="850" spans="1:21" x14ac:dyDescent="0.25">
      <c r="A850" s="10"/>
      <c r="B850" s="229"/>
      <c r="C850" s="10"/>
      <c r="D850" s="14"/>
      <c r="E850" s="157"/>
      <c r="F850" s="10"/>
      <c r="G850" s="17"/>
      <c r="H850" s="10"/>
      <c r="I850" s="17"/>
      <c r="J850" s="83"/>
      <c r="K850" s="343"/>
      <c r="L850" s="347"/>
      <c r="M850" s="22"/>
      <c r="N850" s="14"/>
      <c r="O850" s="22"/>
      <c r="P850" s="14"/>
      <c r="Q850" s="83"/>
      <c r="U850" s="104" t="str">
        <f>IF(
  AND(
    TRIM(A850)=TRIM(Enginuity!$A$1),
    TRIM(B850)=TRIM(Enginuity!$A$17),
    Q850&lt;&gt;"",
    Q850&lt;&gt;0,
    OR(
      TRIM(C850)=TRIM(Enginuity!$A$18),
      AND(UPPER(TRIM(M850))="STD", TRIM(B850)=TRIM(Enginuity!$A$17))
    ),
    OR(
      AND(LEFT(P850,5)="1-Way", Enginuity!$B$13=1),
      AND(LEFT(P850,5)="2-Way", OR(Enginuity!$B$13=2, Enginuity!$B$13=4)),
      AND(LEFT(P850,5)="3-Way", OR(Enginuity!$B$13=3, Enginuity!$B$13=6)),
      AND(P850="Inner Centre Jamb", OR(Enginuity!$B$13=4, Enginuity!$B$13=6)),
      AND(
        LEFT(P850,5)&lt;&gt;"1-Way",
        LEFT(P850,5)&lt;&gt;"2-Way",
        LEFT(P850,5)&lt;&gt;"3-Way",
        P850&lt;&gt;"Inner Centre Jamb"
      )
    ),
    IF(OR(Enginuity!$A$1="Frameless Glass",Enginuity!$A$1="Metal Work"),
      AND(TRIM(B850)=TRIM(Enginuity!$A$17),TRIM(C850)=TRIM(Enginuity!$A$18)),
      TRIM(B850)=TRIM(Enginuity!$A$17)
    )
  ),
  ROW(),
  ""
)</f>
        <v/>
      </c>
    </row>
    <row r="851" spans="1:21" x14ac:dyDescent="0.25">
      <c r="A851" s="10"/>
      <c r="B851" s="229"/>
      <c r="C851" s="10"/>
      <c r="D851" s="14"/>
      <c r="E851" s="157"/>
      <c r="F851" s="10"/>
      <c r="G851" s="17"/>
      <c r="H851" s="10"/>
      <c r="I851" s="17"/>
      <c r="J851" s="83"/>
      <c r="K851" s="343"/>
      <c r="L851" s="347"/>
      <c r="M851" s="22"/>
      <c r="N851" s="14"/>
      <c r="O851" s="22"/>
      <c r="P851" s="14"/>
      <c r="Q851" s="83"/>
      <c r="U851" s="104" t="str">
        <f>IF(
  AND(
    TRIM(A851)=TRIM(Enginuity!$A$1),
    TRIM(B851)=TRIM(Enginuity!$A$17),
    Q851&lt;&gt;"",
    Q851&lt;&gt;0,
    OR(
      TRIM(C851)=TRIM(Enginuity!$A$18),
      AND(UPPER(TRIM(M851))="STD", TRIM(B851)=TRIM(Enginuity!$A$17))
    ),
    OR(
      AND(LEFT(P851,5)="1-Way", Enginuity!$B$13=1),
      AND(LEFT(P851,5)="2-Way", OR(Enginuity!$B$13=2, Enginuity!$B$13=4)),
      AND(LEFT(P851,5)="3-Way", OR(Enginuity!$B$13=3, Enginuity!$B$13=6)),
      AND(P851="Inner Centre Jamb", OR(Enginuity!$B$13=4, Enginuity!$B$13=6)),
      AND(
        LEFT(P851,5)&lt;&gt;"1-Way",
        LEFT(P851,5)&lt;&gt;"2-Way",
        LEFT(P851,5)&lt;&gt;"3-Way",
        P851&lt;&gt;"Inner Centre Jamb"
      )
    ),
    IF(OR(Enginuity!$A$1="Frameless Glass",Enginuity!$A$1="Metal Work"),
      AND(TRIM(B851)=TRIM(Enginuity!$A$17),TRIM(C851)=TRIM(Enginuity!$A$18)),
      TRIM(B851)=TRIM(Enginuity!$A$17)
    )
  ),
  ROW(),
  ""
)</f>
        <v/>
      </c>
    </row>
    <row r="852" spans="1:21" x14ac:dyDescent="0.25">
      <c r="A852" s="10"/>
      <c r="B852" s="229"/>
      <c r="C852" s="10"/>
      <c r="D852" s="14"/>
      <c r="E852" s="157"/>
      <c r="F852" s="11"/>
      <c r="G852" s="17"/>
      <c r="H852" s="10"/>
      <c r="I852" s="17"/>
      <c r="J852" s="83"/>
      <c r="K852" s="343"/>
      <c r="L852" s="347"/>
      <c r="M852" s="22"/>
      <c r="N852" s="14"/>
      <c r="O852" s="22"/>
      <c r="P852" s="14"/>
      <c r="Q852" s="83"/>
      <c r="U852" s="104" t="str">
        <f>IF(
  AND(
    TRIM(A852)=TRIM(Enginuity!$A$1),
    TRIM(B852)=TRIM(Enginuity!$A$17),
    Q852&lt;&gt;"",
    Q852&lt;&gt;0,
    OR(
      TRIM(C852)=TRIM(Enginuity!$A$18),
      AND(UPPER(TRIM(M852))="STD", TRIM(B852)=TRIM(Enginuity!$A$17))
    ),
    OR(
      AND(LEFT(P852,5)="1-Way", Enginuity!$B$13=1),
      AND(LEFT(P852,5)="2-Way", OR(Enginuity!$B$13=2, Enginuity!$B$13=4)),
      AND(LEFT(P852,5)="3-Way", OR(Enginuity!$B$13=3, Enginuity!$B$13=6)),
      AND(P852="Inner Centre Jamb", OR(Enginuity!$B$13=4, Enginuity!$B$13=6)),
      AND(
        LEFT(P852,5)&lt;&gt;"1-Way",
        LEFT(P852,5)&lt;&gt;"2-Way",
        LEFT(P852,5)&lt;&gt;"3-Way",
        P852&lt;&gt;"Inner Centre Jamb"
      )
    ),
    IF(OR(Enginuity!$A$1="Frameless Glass",Enginuity!$A$1="Metal Work"),
      AND(TRIM(B852)=TRIM(Enginuity!$A$17),TRIM(C852)=TRIM(Enginuity!$A$18)),
      TRIM(B852)=TRIM(Enginuity!$A$17)
    )
  ),
  ROW(),
  ""
)</f>
        <v/>
      </c>
    </row>
    <row r="853" spans="1:21" x14ac:dyDescent="0.25">
      <c r="A853" s="10"/>
      <c r="B853" s="229"/>
      <c r="C853" s="10"/>
      <c r="D853" s="14"/>
      <c r="E853" s="157"/>
      <c r="F853" s="11"/>
      <c r="G853" s="17"/>
      <c r="H853" s="10"/>
      <c r="I853" s="17"/>
      <c r="J853" s="83"/>
      <c r="K853" s="343"/>
      <c r="L853" s="347"/>
      <c r="M853" s="22"/>
      <c r="N853" s="14"/>
      <c r="O853" s="22"/>
      <c r="P853" s="14"/>
      <c r="Q853" s="83"/>
      <c r="U853" s="104" t="str">
        <f>IF(
  AND(
    TRIM(A853)=TRIM(Enginuity!$A$1),
    TRIM(B853)=TRIM(Enginuity!$A$17),
    Q853&lt;&gt;"",
    Q853&lt;&gt;0,
    OR(
      TRIM(C853)=TRIM(Enginuity!$A$18),
      AND(UPPER(TRIM(M853))="STD", TRIM(B853)=TRIM(Enginuity!$A$17))
    ),
    OR(
      AND(LEFT(P853,5)="1-Way", Enginuity!$B$13=1),
      AND(LEFT(P853,5)="2-Way", OR(Enginuity!$B$13=2, Enginuity!$B$13=4)),
      AND(LEFT(P853,5)="3-Way", OR(Enginuity!$B$13=3, Enginuity!$B$13=6)),
      AND(P853="Inner Centre Jamb", OR(Enginuity!$B$13=4, Enginuity!$B$13=6)),
      AND(
        LEFT(P853,5)&lt;&gt;"1-Way",
        LEFT(P853,5)&lt;&gt;"2-Way",
        LEFT(P853,5)&lt;&gt;"3-Way",
        P853&lt;&gt;"Inner Centre Jamb"
      )
    ),
    IF(OR(Enginuity!$A$1="Frameless Glass",Enginuity!$A$1="Metal Work"),
      AND(TRIM(B853)=TRIM(Enginuity!$A$17),TRIM(C853)=TRIM(Enginuity!$A$18)),
      TRIM(B853)=TRIM(Enginuity!$A$17)
    )
  ),
  ROW(),
  ""
)</f>
        <v/>
      </c>
    </row>
    <row r="854" spans="1:21" x14ac:dyDescent="0.25">
      <c r="A854" s="10"/>
      <c r="B854" s="229"/>
      <c r="C854" s="10"/>
      <c r="D854" s="14"/>
      <c r="E854" s="157"/>
      <c r="F854" s="10"/>
      <c r="G854" s="17"/>
      <c r="H854" s="10"/>
      <c r="I854" s="17"/>
      <c r="J854" s="83"/>
      <c r="K854" s="343"/>
      <c r="L854" s="347"/>
      <c r="M854" s="22"/>
      <c r="N854" s="14"/>
      <c r="O854" s="22"/>
      <c r="P854" s="14"/>
      <c r="Q854" s="83"/>
      <c r="U854" s="104" t="str">
        <f>IF(
  AND(
    TRIM(A854)=TRIM(Enginuity!$A$1),
    TRIM(B854)=TRIM(Enginuity!$A$17),
    Q854&lt;&gt;"",
    Q854&lt;&gt;0,
    OR(
      TRIM(C854)=TRIM(Enginuity!$A$18),
      AND(UPPER(TRIM(M854))="STD", TRIM(B854)=TRIM(Enginuity!$A$17))
    ),
    OR(
      AND(LEFT(P854,5)="1-Way", Enginuity!$B$13=1),
      AND(LEFT(P854,5)="2-Way", OR(Enginuity!$B$13=2, Enginuity!$B$13=4)),
      AND(LEFT(P854,5)="3-Way", OR(Enginuity!$B$13=3, Enginuity!$B$13=6)),
      AND(P854="Inner Centre Jamb", OR(Enginuity!$B$13=4, Enginuity!$B$13=6)),
      AND(
        LEFT(P854,5)&lt;&gt;"1-Way",
        LEFT(P854,5)&lt;&gt;"2-Way",
        LEFT(P854,5)&lt;&gt;"3-Way",
        P854&lt;&gt;"Inner Centre Jamb"
      )
    ),
    IF(OR(Enginuity!$A$1="Frameless Glass",Enginuity!$A$1="Metal Work"),
      AND(TRIM(B854)=TRIM(Enginuity!$A$17),TRIM(C854)=TRIM(Enginuity!$A$18)),
      TRIM(B854)=TRIM(Enginuity!$A$17)
    )
  ),
  ROW(),
  ""
)</f>
        <v/>
      </c>
    </row>
    <row r="855" spans="1:21" x14ac:dyDescent="0.25">
      <c r="A855" s="10"/>
      <c r="B855" s="229"/>
      <c r="C855" s="10"/>
      <c r="D855" s="14"/>
      <c r="E855" s="157"/>
      <c r="F855" s="10"/>
      <c r="G855" s="17"/>
      <c r="H855" s="10"/>
      <c r="I855" s="17"/>
      <c r="J855" s="83"/>
      <c r="K855" s="343"/>
      <c r="L855" s="347"/>
      <c r="M855" s="22"/>
      <c r="N855" s="36"/>
      <c r="O855" s="22"/>
      <c r="P855" s="14"/>
      <c r="Q855" s="83"/>
      <c r="U855" s="104" t="str">
        <f>IF(
  AND(
    TRIM(A855)=TRIM(Enginuity!$A$1),
    TRIM(B855)=TRIM(Enginuity!$A$17),
    Q855&lt;&gt;"",
    Q855&lt;&gt;0,
    OR(
      TRIM(C855)=TRIM(Enginuity!$A$18),
      AND(UPPER(TRIM(M855))="STD", TRIM(B855)=TRIM(Enginuity!$A$17))
    ),
    OR(
      AND(LEFT(P855,5)="1-Way", Enginuity!$B$13=1),
      AND(LEFT(P855,5)="2-Way", OR(Enginuity!$B$13=2, Enginuity!$B$13=4)),
      AND(LEFT(P855,5)="3-Way", OR(Enginuity!$B$13=3, Enginuity!$B$13=6)),
      AND(P855="Inner Centre Jamb", OR(Enginuity!$B$13=4, Enginuity!$B$13=6)),
      AND(
        LEFT(P855,5)&lt;&gt;"1-Way",
        LEFT(P855,5)&lt;&gt;"2-Way",
        LEFT(P855,5)&lt;&gt;"3-Way",
        P855&lt;&gt;"Inner Centre Jamb"
      )
    ),
    IF(OR(Enginuity!$A$1="Frameless Glass",Enginuity!$A$1="Metal Work"),
      AND(TRIM(B855)=TRIM(Enginuity!$A$17),TRIM(C855)=TRIM(Enginuity!$A$18)),
      TRIM(B855)=TRIM(Enginuity!$A$17)
    )
  ),
  ROW(),
  ""
)</f>
        <v/>
      </c>
    </row>
    <row r="856" spans="1:21" x14ac:dyDescent="0.25">
      <c r="A856" s="10"/>
      <c r="B856" s="229"/>
      <c r="C856" s="10"/>
      <c r="D856" s="14"/>
      <c r="E856" s="157"/>
      <c r="F856" s="10"/>
      <c r="G856" s="17"/>
      <c r="H856" s="10"/>
      <c r="I856" s="17"/>
      <c r="J856" s="83"/>
      <c r="K856" s="343"/>
      <c r="L856" s="347"/>
      <c r="M856" s="89"/>
      <c r="N856" s="10"/>
      <c r="O856" s="22"/>
      <c r="P856" s="14"/>
      <c r="Q856" s="83"/>
      <c r="U856" s="104" t="str">
        <f>IF(
  AND(
    TRIM(A856)=TRIM(Enginuity!$A$1),
    TRIM(B856)=TRIM(Enginuity!$A$17),
    Q856&lt;&gt;"",
    Q856&lt;&gt;0,
    OR(
      TRIM(C856)=TRIM(Enginuity!$A$18),
      AND(UPPER(TRIM(M856))="STD", TRIM(B856)=TRIM(Enginuity!$A$17))
    ),
    OR(
      AND(LEFT(P856,5)="1-Way", Enginuity!$B$13=1),
      AND(LEFT(P856,5)="2-Way", OR(Enginuity!$B$13=2, Enginuity!$B$13=4)),
      AND(LEFT(P856,5)="3-Way", OR(Enginuity!$B$13=3, Enginuity!$B$13=6)),
      AND(P856="Inner Centre Jamb", OR(Enginuity!$B$13=4, Enginuity!$B$13=6)),
      AND(
        LEFT(P856,5)&lt;&gt;"1-Way",
        LEFT(P856,5)&lt;&gt;"2-Way",
        LEFT(P856,5)&lt;&gt;"3-Way",
        P856&lt;&gt;"Inner Centre Jamb"
      )
    ),
    IF(OR(Enginuity!$A$1="Frameless Glass",Enginuity!$A$1="Metal Work"),
      AND(TRIM(B856)=TRIM(Enginuity!$A$17),TRIM(C856)=TRIM(Enginuity!$A$18)),
      TRIM(B856)=TRIM(Enginuity!$A$17)
    )
  ),
  ROW(),
  ""
)</f>
        <v/>
      </c>
    </row>
    <row r="857" spans="1:21" x14ac:dyDescent="0.25">
      <c r="A857" s="10"/>
      <c r="B857" s="229"/>
      <c r="C857" s="10"/>
      <c r="D857" s="14"/>
      <c r="E857" s="157"/>
      <c r="F857" s="10"/>
      <c r="G857" s="17"/>
      <c r="H857" s="10"/>
      <c r="I857" s="17"/>
      <c r="J857" s="83"/>
      <c r="K857" s="343"/>
      <c r="L857" s="347"/>
      <c r="M857" s="89"/>
      <c r="N857" s="10"/>
      <c r="O857" s="22"/>
      <c r="P857" s="14"/>
      <c r="Q857" s="83"/>
      <c r="U857" s="104" t="str">
        <f>IF(
  AND(
    TRIM(A857)=TRIM(Enginuity!$A$1),
    TRIM(B857)=TRIM(Enginuity!$A$17),
    Q857&lt;&gt;"",
    Q857&lt;&gt;0,
    OR(
      TRIM(C857)=TRIM(Enginuity!$A$18),
      AND(UPPER(TRIM(M857))="STD", TRIM(B857)=TRIM(Enginuity!$A$17))
    ),
    OR(
      AND(LEFT(P857,5)="1-Way", Enginuity!$B$13=1),
      AND(LEFT(P857,5)="2-Way", OR(Enginuity!$B$13=2, Enginuity!$B$13=4)),
      AND(LEFT(P857,5)="3-Way", OR(Enginuity!$B$13=3, Enginuity!$B$13=6)),
      AND(P857="Inner Centre Jamb", OR(Enginuity!$B$13=4, Enginuity!$B$13=6)),
      AND(
        LEFT(P857,5)&lt;&gt;"1-Way",
        LEFT(P857,5)&lt;&gt;"2-Way",
        LEFT(P857,5)&lt;&gt;"3-Way",
        P857&lt;&gt;"Inner Centre Jamb"
      )
    ),
    IF(OR(Enginuity!$A$1="Frameless Glass",Enginuity!$A$1="Metal Work"),
      AND(TRIM(B857)=TRIM(Enginuity!$A$17),TRIM(C857)=TRIM(Enginuity!$A$18)),
      TRIM(B857)=TRIM(Enginuity!$A$17)
    )
  ),
  ROW(),
  ""
)</f>
        <v/>
      </c>
    </row>
    <row r="858" spans="1:21" x14ac:dyDescent="0.25">
      <c r="A858" s="10"/>
      <c r="B858" s="229"/>
      <c r="C858" s="10"/>
      <c r="D858" s="14"/>
      <c r="E858" s="157"/>
      <c r="F858" s="10"/>
      <c r="G858" s="17"/>
      <c r="H858" s="10"/>
      <c r="I858" s="17"/>
      <c r="J858" s="83"/>
      <c r="K858" s="343"/>
      <c r="L858" s="347"/>
      <c r="M858" s="89"/>
      <c r="N858" s="10"/>
      <c r="O858" s="22"/>
      <c r="P858" s="14"/>
      <c r="Q858" s="83"/>
      <c r="U858" s="104" t="str">
        <f>IF(
  AND(
    TRIM(A858)=TRIM(Enginuity!$A$1),
    TRIM(B858)=TRIM(Enginuity!$A$17),
    Q858&lt;&gt;"",
    Q858&lt;&gt;0,
    OR(
      TRIM(C858)=TRIM(Enginuity!$A$18),
      AND(UPPER(TRIM(M858))="STD", TRIM(B858)=TRIM(Enginuity!$A$17))
    ),
    OR(
      AND(LEFT(P858,5)="1-Way", Enginuity!$B$13=1),
      AND(LEFT(P858,5)="2-Way", OR(Enginuity!$B$13=2, Enginuity!$B$13=4)),
      AND(LEFT(P858,5)="3-Way", OR(Enginuity!$B$13=3, Enginuity!$B$13=6)),
      AND(P858="Inner Centre Jamb", OR(Enginuity!$B$13=4, Enginuity!$B$13=6)),
      AND(
        LEFT(P858,5)&lt;&gt;"1-Way",
        LEFT(P858,5)&lt;&gt;"2-Way",
        LEFT(P858,5)&lt;&gt;"3-Way",
        P858&lt;&gt;"Inner Centre Jamb"
      )
    ),
    IF(OR(Enginuity!$A$1="Frameless Glass",Enginuity!$A$1="Metal Work"),
      AND(TRIM(B858)=TRIM(Enginuity!$A$17),TRIM(C858)=TRIM(Enginuity!$A$18)),
      TRIM(B858)=TRIM(Enginuity!$A$17)
    )
  ),
  ROW(),
  ""
)</f>
        <v/>
      </c>
    </row>
    <row r="859" spans="1:21" x14ac:dyDescent="0.25">
      <c r="A859" s="10"/>
      <c r="B859" s="229"/>
      <c r="C859" s="10"/>
      <c r="D859" s="14"/>
      <c r="E859" s="157"/>
      <c r="F859" s="10"/>
      <c r="G859" s="17"/>
      <c r="H859" s="10"/>
      <c r="I859" s="17"/>
      <c r="J859" s="83"/>
      <c r="K859" s="343"/>
      <c r="L859" s="347"/>
      <c r="M859" s="89"/>
      <c r="N859" s="10"/>
      <c r="O859" s="22"/>
      <c r="P859" s="14"/>
      <c r="Q859" s="83"/>
      <c r="U859" s="104" t="str">
        <f>IF(
  AND(
    TRIM(A859)=TRIM(Enginuity!$A$1),
    TRIM(B859)=TRIM(Enginuity!$A$17),
    Q859&lt;&gt;"",
    Q859&lt;&gt;0,
    OR(
      TRIM(C859)=TRIM(Enginuity!$A$18),
      AND(UPPER(TRIM(M859))="STD", TRIM(B859)=TRIM(Enginuity!$A$17))
    ),
    OR(
      AND(LEFT(P859,5)="1-Way", Enginuity!$B$13=1),
      AND(LEFT(P859,5)="2-Way", OR(Enginuity!$B$13=2, Enginuity!$B$13=4)),
      AND(LEFT(P859,5)="3-Way", OR(Enginuity!$B$13=3, Enginuity!$B$13=6)),
      AND(P859="Inner Centre Jamb", OR(Enginuity!$B$13=4, Enginuity!$B$13=6)),
      AND(
        LEFT(P859,5)&lt;&gt;"1-Way",
        LEFT(P859,5)&lt;&gt;"2-Way",
        LEFT(P859,5)&lt;&gt;"3-Way",
        P859&lt;&gt;"Inner Centre Jamb"
      )
    ),
    IF(OR(Enginuity!$A$1="Frameless Glass",Enginuity!$A$1="Metal Work"),
      AND(TRIM(B859)=TRIM(Enginuity!$A$17),TRIM(C859)=TRIM(Enginuity!$A$18)),
      TRIM(B859)=TRIM(Enginuity!$A$17)
    )
  ),
  ROW(),
  ""
)</f>
        <v/>
      </c>
    </row>
    <row r="860" spans="1:21" x14ac:dyDescent="0.25">
      <c r="A860" s="10"/>
      <c r="B860" s="229"/>
      <c r="C860" s="10"/>
      <c r="D860" s="14"/>
      <c r="E860" s="157"/>
      <c r="F860" s="10"/>
      <c r="G860" s="17"/>
      <c r="H860" s="10"/>
      <c r="I860" s="17"/>
      <c r="J860" s="83"/>
      <c r="K860" s="343"/>
      <c r="L860" s="347"/>
      <c r="M860" s="89"/>
      <c r="N860" s="10"/>
      <c r="O860" s="22"/>
      <c r="P860" s="14"/>
      <c r="Q860" s="83"/>
      <c r="U860" s="104" t="str">
        <f>IF(
  AND(
    TRIM(A860)=TRIM(Enginuity!$A$1),
    TRIM(B860)=TRIM(Enginuity!$A$17),
    Q860&lt;&gt;"",
    Q860&lt;&gt;0,
    OR(
      TRIM(C860)=TRIM(Enginuity!$A$18),
      AND(UPPER(TRIM(M860))="STD", TRIM(B860)=TRIM(Enginuity!$A$17))
    ),
    OR(
      AND(LEFT(P860,5)="1-Way", Enginuity!$B$13=1),
      AND(LEFT(P860,5)="2-Way", OR(Enginuity!$B$13=2, Enginuity!$B$13=4)),
      AND(LEFT(P860,5)="3-Way", OR(Enginuity!$B$13=3, Enginuity!$B$13=6)),
      AND(P860="Inner Centre Jamb", OR(Enginuity!$B$13=4, Enginuity!$B$13=6)),
      AND(
        LEFT(P860,5)&lt;&gt;"1-Way",
        LEFT(P860,5)&lt;&gt;"2-Way",
        LEFT(P860,5)&lt;&gt;"3-Way",
        P860&lt;&gt;"Inner Centre Jamb"
      )
    ),
    IF(OR(Enginuity!$A$1="Frameless Glass",Enginuity!$A$1="Metal Work"),
      AND(TRIM(B860)=TRIM(Enginuity!$A$17),TRIM(C860)=TRIM(Enginuity!$A$18)),
      TRIM(B860)=TRIM(Enginuity!$A$17)
    )
  ),
  ROW(),
  ""
)</f>
        <v/>
      </c>
    </row>
    <row r="861" spans="1:21" x14ac:dyDescent="0.25">
      <c r="A861" s="10"/>
      <c r="B861" s="229"/>
      <c r="C861" s="10"/>
      <c r="D861" s="14"/>
      <c r="E861" s="157"/>
      <c r="F861" s="10"/>
      <c r="G861" s="17"/>
      <c r="H861" s="10"/>
      <c r="I861" s="17"/>
      <c r="J861" s="83"/>
      <c r="K861" s="343"/>
      <c r="L861" s="347"/>
      <c r="M861" s="89"/>
      <c r="N861" s="10"/>
      <c r="O861" s="22"/>
      <c r="P861" s="14"/>
      <c r="Q861" s="83"/>
      <c r="U861" s="104" t="str">
        <f>IF(
  AND(
    TRIM(A861)=TRIM(Enginuity!$A$1),
    TRIM(B861)=TRIM(Enginuity!$A$17),
    Q861&lt;&gt;"",
    Q861&lt;&gt;0,
    OR(
      TRIM(C861)=TRIM(Enginuity!$A$18),
      AND(UPPER(TRIM(M861))="STD", TRIM(B861)=TRIM(Enginuity!$A$17))
    ),
    OR(
      AND(LEFT(P861,5)="1-Way", Enginuity!$B$13=1),
      AND(LEFT(P861,5)="2-Way", OR(Enginuity!$B$13=2, Enginuity!$B$13=4)),
      AND(LEFT(P861,5)="3-Way", OR(Enginuity!$B$13=3, Enginuity!$B$13=6)),
      AND(P861="Inner Centre Jamb", OR(Enginuity!$B$13=4, Enginuity!$B$13=6)),
      AND(
        LEFT(P861,5)&lt;&gt;"1-Way",
        LEFT(P861,5)&lt;&gt;"2-Way",
        LEFT(P861,5)&lt;&gt;"3-Way",
        P861&lt;&gt;"Inner Centre Jamb"
      )
    ),
    IF(OR(Enginuity!$A$1="Frameless Glass",Enginuity!$A$1="Metal Work"),
      AND(TRIM(B861)=TRIM(Enginuity!$A$17),TRIM(C861)=TRIM(Enginuity!$A$18)),
      TRIM(B861)=TRIM(Enginuity!$A$17)
    )
  ),
  ROW(),
  ""
)</f>
        <v/>
      </c>
    </row>
    <row r="862" spans="1:21" x14ac:dyDescent="0.25">
      <c r="A862" s="10"/>
      <c r="B862" s="229"/>
      <c r="C862" s="10"/>
      <c r="D862" s="14"/>
      <c r="E862" s="157"/>
      <c r="F862" s="10"/>
      <c r="G862" s="17"/>
      <c r="H862" s="10"/>
      <c r="I862" s="17"/>
      <c r="J862" s="83"/>
      <c r="K862" s="343"/>
      <c r="L862" s="347"/>
      <c r="M862" s="89"/>
      <c r="N862" s="10"/>
      <c r="O862" s="22"/>
      <c r="P862" s="14"/>
      <c r="Q862" s="83"/>
      <c r="U862" s="104" t="str">
        <f>IF(
  AND(
    TRIM(A862)=TRIM(Enginuity!$A$1),
    TRIM(B862)=TRIM(Enginuity!$A$17),
    Q862&lt;&gt;"",
    Q862&lt;&gt;0,
    OR(
      TRIM(C862)=TRIM(Enginuity!$A$18),
      AND(UPPER(TRIM(M862))="STD", TRIM(B862)=TRIM(Enginuity!$A$17))
    ),
    OR(
      AND(LEFT(P862,5)="1-Way", Enginuity!$B$13=1),
      AND(LEFT(P862,5)="2-Way", OR(Enginuity!$B$13=2, Enginuity!$B$13=4)),
      AND(LEFT(P862,5)="3-Way", OR(Enginuity!$B$13=3, Enginuity!$B$13=6)),
      AND(P862="Inner Centre Jamb", OR(Enginuity!$B$13=4, Enginuity!$B$13=6)),
      AND(
        LEFT(P862,5)&lt;&gt;"1-Way",
        LEFT(P862,5)&lt;&gt;"2-Way",
        LEFT(P862,5)&lt;&gt;"3-Way",
        P862&lt;&gt;"Inner Centre Jamb"
      )
    ),
    IF(OR(Enginuity!$A$1="Frameless Glass",Enginuity!$A$1="Metal Work"),
      AND(TRIM(B862)=TRIM(Enginuity!$A$17),TRIM(C862)=TRIM(Enginuity!$A$18)),
      TRIM(B862)=TRIM(Enginuity!$A$17)
    )
  ),
  ROW(),
  ""
)</f>
        <v/>
      </c>
    </row>
    <row r="863" spans="1:21" x14ac:dyDescent="0.25">
      <c r="A863" s="10"/>
      <c r="B863" s="229"/>
      <c r="C863" s="10"/>
      <c r="D863" s="14"/>
      <c r="E863" s="157"/>
      <c r="F863" s="10"/>
      <c r="G863" s="17"/>
      <c r="H863" s="10"/>
      <c r="I863" s="17"/>
      <c r="J863" s="83"/>
      <c r="K863" s="343"/>
      <c r="L863" s="347"/>
      <c r="M863" s="89"/>
      <c r="N863" s="10"/>
      <c r="O863" s="22"/>
      <c r="P863" s="14"/>
      <c r="Q863" s="83"/>
      <c r="U863" s="104" t="str">
        <f>IF(
  AND(
    TRIM(A863)=TRIM(Enginuity!$A$1),
    TRIM(B863)=TRIM(Enginuity!$A$17),
    Q863&lt;&gt;"",
    Q863&lt;&gt;0,
    OR(
      TRIM(C863)=TRIM(Enginuity!$A$18),
      AND(UPPER(TRIM(M863))="STD", TRIM(B863)=TRIM(Enginuity!$A$17))
    ),
    OR(
      AND(LEFT(P863,5)="1-Way", Enginuity!$B$13=1),
      AND(LEFT(P863,5)="2-Way", OR(Enginuity!$B$13=2, Enginuity!$B$13=4)),
      AND(LEFT(P863,5)="3-Way", OR(Enginuity!$B$13=3, Enginuity!$B$13=6)),
      AND(P863="Inner Centre Jamb", OR(Enginuity!$B$13=4, Enginuity!$B$13=6)),
      AND(
        LEFT(P863,5)&lt;&gt;"1-Way",
        LEFT(P863,5)&lt;&gt;"2-Way",
        LEFT(P863,5)&lt;&gt;"3-Way",
        P863&lt;&gt;"Inner Centre Jamb"
      )
    ),
    IF(OR(Enginuity!$A$1="Frameless Glass",Enginuity!$A$1="Metal Work"),
      AND(TRIM(B863)=TRIM(Enginuity!$A$17),TRIM(C863)=TRIM(Enginuity!$A$18)),
      TRIM(B863)=TRIM(Enginuity!$A$17)
    )
  ),
  ROW(),
  ""
)</f>
        <v/>
      </c>
    </row>
    <row r="864" spans="1:21" x14ac:dyDescent="0.25">
      <c r="A864" s="10"/>
      <c r="B864" s="229"/>
      <c r="C864" s="10"/>
      <c r="D864" s="14"/>
      <c r="E864" s="157"/>
      <c r="F864" s="10"/>
      <c r="G864" s="17"/>
      <c r="H864" s="10"/>
      <c r="I864" s="17"/>
      <c r="J864" s="83"/>
      <c r="K864" s="343"/>
      <c r="L864" s="347"/>
      <c r="M864" s="89"/>
      <c r="N864" s="10"/>
      <c r="O864" s="22"/>
      <c r="P864" s="14"/>
      <c r="Q864" s="83"/>
      <c r="U864" s="104" t="str">
        <f>IF(
  AND(
    TRIM(A864)=TRIM(Enginuity!$A$1),
    TRIM(B864)=TRIM(Enginuity!$A$17),
    Q864&lt;&gt;"",
    Q864&lt;&gt;0,
    OR(
      TRIM(C864)=TRIM(Enginuity!$A$18),
      AND(UPPER(TRIM(M864))="STD", TRIM(B864)=TRIM(Enginuity!$A$17))
    ),
    OR(
      AND(LEFT(P864,5)="1-Way", Enginuity!$B$13=1),
      AND(LEFT(P864,5)="2-Way", OR(Enginuity!$B$13=2, Enginuity!$B$13=4)),
      AND(LEFT(P864,5)="3-Way", OR(Enginuity!$B$13=3, Enginuity!$B$13=6)),
      AND(P864="Inner Centre Jamb", OR(Enginuity!$B$13=4, Enginuity!$B$13=6)),
      AND(
        LEFT(P864,5)&lt;&gt;"1-Way",
        LEFT(P864,5)&lt;&gt;"2-Way",
        LEFT(P864,5)&lt;&gt;"3-Way",
        P864&lt;&gt;"Inner Centre Jamb"
      )
    ),
    IF(OR(Enginuity!$A$1="Frameless Glass",Enginuity!$A$1="Metal Work"),
      AND(TRIM(B864)=TRIM(Enginuity!$A$17),TRIM(C864)=TRIM(Enginuity!$A$18)),
      TRIM(B864)=TRIM(Enginuity!$A$17)
    )
  ),
  ROW(),
  ""
)</f>
        <v/>
      </c>
    </row>
    <row r="865" spans="1:21" x14ac:dyDescent="0.25">
      <c r="A865" s="10"/>
      <c r="B865" s="229"/>
      <c r="C865" s="10"/>
      <c r="D865" s="14"/>
      <c r="E865" s="157"/>
      <c r="F865" s="10"/>
      <c r="G865" s="17"/>
      <c r="H865" s="10"/>
      <c r="I865" s="17"/>
      <c r="J865" s="83"/>
      <c r="K865" s="343"/>
      <c r="L865" s="347"/>
      <c r="M865" s="89"/>
      <c r="N865" s="10"/>
      <c r="O865" s="22"/>
      <c r="P865" s="14"/>
      <c r="Q865" s="83"/>
      <c r="U865" s="104" t="str">
        <f>IF(
  AND(
    TRIM(A865)=TRIM(Enginuity!$A$1),
    TRIM(B865)=TRIM(Enginuity!$A$17),
    Q865&lt;&gt;"",
    Q865&lt;&gt;0,
    OR(
      TRIM(C865)=TRIM(Enginuity!$A$18),
      AND(UPPER(TRIM(M865))="STD", TRIM(B865)=TRIM(Enginuity!$A$17))
    ),
    OR(
      AND(LEFT(P865,5)="1-Way", Enginuity!$B$13=1),
      AND(LEFT(P865,5)="2-Way", OR(Enginuity!$B$13=2, Enginuity!$B$13=4)),
      AND(LEFT(P865,5)="3-Way", OR(Enginuity!$B$13=3, Enginuity!$B$13=6)),
      AND(P865="Inner Centre Jamb", OR(Enginuity!$B$13=4, Enginuity!$B$13=6)),
      AND(
        LEFT(P865,5)&lt;&gt;"1-Way",
        LEFT(P865,5)&lt;&gt;"2-Way",
        LEFT(P865,5)&lt;&gt;"3-Way",
        P865&lt;&gt;"Inner Centre Jamb"
      )
    ),
    IF(OR(Enginuity!$A$1="Frameless Glass",Enginuity!$A$1="Metal Work"),
      AND(TRIM(B865)=TRIM(Enginuity!$A$17),TRIM(C865)=TRIM(Enginuity!$A$18)),
      TRIM(B865)=TRIM(Enginuity!$A$17)
    )
  ),
  ROW(),
  ""
)</f>
        <v/>
      </c>
    </row>
    <row r="866" spans="1:21" x14ac:dyDescent="0.25">
      <c r="A866" s="10"/>
      <c r="B866" s="229"/>
      <c r="C866" s="10"/>
      <c r="D866" s="14"/>
      <c r="E866" s="157"/>
      <c r="F866" s="10"/>
      <c r="G866" s="17"/>
      <c r="H866" s="10"/>
      <c r="I866" s="17"/>
      <c r="J866" s="83"/>
      <c r="K866" s="343"/>
      <c r="L866" s="347"/>
      <c r="M866" s="89"/>
      <c r="N866" s="10"/>
      <c r="O866" s="22"/>
      <c r="P866" s="14"/>
      <c r="Q866" s="83"/>
      <c r="U866" s="104" t="str">
        <f>IF(
  AND(
    TRIM(A866)=TRIM(Enginuity!$A$1),
    TRIM(B866)=TRIM(Enginuity!$A$17),
    Q866&lt;&gt;"",
    Q866&lt;&gt;0,
    OR(
      TRIM(C866)=TRIM(Enginuity!$A$18),
      AND(UPPER(TRIM(M866))="STD", TRIM(B866)=TRIM(Enginuity!$A$17))
    ),
    OR(
      AND(LEFT(P866,5)="1-Way", Enginuity!$B$13=1),
      AND(LEFT(P866,5)="2-Way", OR(Enginuity!$B$13=2, Enginuity!$B$13=4)),
      AND(LEFT(P866,5)="3-Way", OR(Enginuity!$B$13=3, Enginuity!$B$13=6)),
      AND(P866="Inner Centre Jamb", OR(Enginuity!$B$13=4, Enginuity!$B$13=6)),
      AND(
        LEFT(P866,5)&lt;&gt;"1-Way",
        LEFT(P866,5)&lt;&gt;"2-Way",
        LEFT(P866,5)&lt;&gt;"3-Way",
        P866&lt;&gt;"Inner Centre Jamb"
      )
    ),
    IF(OR(Enginuity!$A$1="Frameless Glass",Enginuity!$A$1="Metal Work"),
      AND(TRIM(B866)=TRIM(Enginuity!$A$17),TRIM(C866)=TRIM(Enginuity!$A$18)),
      TRIM(B866)=TRIM(Enginuity!$A$17)
    )
  ),
  ROW(),
  ""
)</f>
        <v/>
      </c>
    </row>
    <row r="867" spans="1:21" x14ac:dyDescent="0.25">
      <c r="A867" s="10"/>
      <c r="B867" s="229"/>
      <c r="C867" s="10"/>
      <c r="D867" s="14"/>
      <c r="E867" s="157"/>
      <c r="F867" s="10"/>
      <c r="G867" s="17"/>
      <c r="H867" s="10"/>
      <c r="I867" s="17"/>
      <c r="J867" s="83"/>
      <c r="K867" s="343"/>
      <c r="L867" s="347"/>
      <c r="M867" s="89"/>
      <c r="N867" s="10"/>
      <c r="O867" s="22"/>
      <c r="P867" s="14"/>
      <c r="Q867" s="83"/>
      <c r="U867" s="104" t="str">
        <f>IF(
  AND(
    TRIM(A867)=TRIM(Enginuity!$A$1),
    TRIM(B867)=TRIM(Enginuity!$A$17),
    Q867&lt;&gt;"",
    Q867&lt;&gt;0,
    OR(
      TRIM(C867)=TRIM(Enginuity!$A$18),
      AND(UPPER(TRIM(M867))="STD", TRIM(B867)=TRIM(Enginuity!$A$17))
    ),
    OR(
      AND(LEFT(P867,5)="1-Way", Enginuity!$B$13=1),
      AND(LEFT(P867,5)="2-Way", OR(Enginuity!$B$13=2, Enginuity!$B$13=4)),
      AND(LEFT(P867,5)="3-Way", OR(Enginuity!$B$13=3, Enginuity!$B$13=6)),
      AND(P867="Inner Centre Jamb", OR(Enginuity!$B$13=4, Enginuity!$B$13=6)),
      AND(
        LEFT(P867,5)&lt;&gt;"1-Way",
        LEFT(P867,5)&lt;&gt;"2-Way",
        LEFT(P867,5)&lt;&gt;"3-Way",
        P867&lt;&gt;"Inner Centre Jamb"
      )
    ),
    IF(OR(Enginuity!$A$1="Frameless Glass",Enginuity!$A$1="Metal Work"),
      AND(TRIM(B867)=TRIM(Enginuity!$A$17),TRIM(C867)=TRIM(Enginuity!$A$18)),
      TRIM(B867)=TRIM(Enginuity!$A$17)
    )
  ),
  ROW(),
  ""
)</f>
        <v/>
      </c>
    </row>
    <row r="868" spans="1:21" x14ac:dyDescent="0.25">
      <c r="A868" s="10"/>
      <c r="B868" s="229"/>
      <c r="C868" s="10"/>
      <c r="D868" s="14"/>
      <c r="E868" s="157"/>
      <c r="F868" s="10"/>
      <c r="G868" s="17"/>
      <c r="H868" s="10"/>
      <c r="I868" s="17"/>
      <c r="J868" s="83"/>
      <c r="K868" s="343"/>
      <c r="L868" s="347"/>
      <c r="M868" s="89"/>
      <c r="N868" s="10"/>
      <c r="O868" s="22"/>
      <c r="P868" s="14"/>
      <c r="Q868" s="83"/>
      <c r="U868" s="104" t="str">
        <f>IF(
  AND(
    TRIM(A868)=TRIM(Enginuity!$A$1),
    TRIM(B868)=TRIM(Enginuity!$A$17),
    Q868&lt;&gt;"",
    Q868&lt;&gt;0,
    OR(
      TRIM(C868)=TRIM(Enginuity!$A$18),
      AND(UPPER(TRIM(M868))="STD", TRIM(B868)=TRIM(Enginuity!$A$17))
    ),
    OR(
      AND(LEFT(P868,5)="1-Way", Enginuity!$B$13=1),
      AND(LEFT(P868,5)="2-Way", OR(Enginuity!$B$13=2, Enginuity!$B$13=4)),
      AND(LEFT(P868,5)="3-Way", OR(Enginuity!$B$13=3, Enginuity!$B$13=6)),
      AND(P868="Inner Centre Jamb", OR(Enginuity!$B$13=4, Enginuity!$B$13=6)),
      AND(
        LEFT(P868,5)&lt;&gt;"1-Way",
        LEFT(P868,5)&lt;&gt;"2-Way",
        LEFT(P868,5)&lt;&gt;"3-Way",
        P868&lt;&gt;"Inner Centre Jamb"
      )
    ),
    IF(OR(Enginuity!$A$1="Frameless Glass",Enginuity!$A$1="Metal Work"),
      AND(TRIM(B868)=TRIM(Enginuity!$A$17),TRIM(C868)=TRIM(Enginuity!$A$18)),
      TRIM(B868)=TRIM(Enginuity!$A$17)
    )
  ),
  ROW(),
  ""
)</f>
        <v/>
      </c>
    </row>
    <row r="869" spans="1:21" x14ac:dyDescent="0.25">
      <c r="A869" s="10"/>
      <c r="B869" s="229"/>
      <c r="C869" s="10"/>
      <c r="D869" s="14"/>
      <c r="E869" s="157"/>
      <c r="F869" s="10"/>
      <c r="G869" s="17"/>
      <c r="H869" s="10"/>
      <c r="I869" s="17"/>
      <c r="J869" s="83"/>
      <c r="K869" s="343"/>
      <c r="L869" s="347"/>
      <c r="M869" s="89"/>
      <c r="N869" s="10"/>
      <c r="O869" s="22"/>
      <c r="P869" s="14"/>
      <c r="Q869" s="83"/>
      <c r="U869" s="104" t="str">
        <f>IF(
  AND(
    TRIM(A869)=TRIM(Enginuity!$A$1),
    TRIM(B869)=TRIM(Enginuity!$A$17),
    Q869&lt;&gt;"",
    Q869&lt;&gt;0,
    OR(
      TRIM(C869)=TRIM(Enginuity!$A$18),
      AND(UPPER(TRIM(M869))="STD", TRIM(B869)=TRIM(Enginuity!$A$17))
    ),
    OR(
      AND(LEFT(P869,5)="1-Way", Enginuity!$B$13=1),
      AND(LEFT(P869,5)="2-Way", OR(Enginuity!$B$13=2, Enginuity!$B$13=4)),
      AND(LEFT(P869,5)="3-Way", OR(Enginuity!$B$13=3, Enginuity!$B$13=6)),
      AND(P869="Inner Centre Jamb", OR(Enginuity!$B$13=4, Enginuity!$B$13=6)),
      AND(
        LEFT(P869,5)&lt;&gt;"1-Way",
        LEFT(P869,5)&lt;&gt;"2-Way",
        LEFT(P869,5)&lt;&gt;"3-Way",
        P869&lt;&gt;"Inner Centre Jamb"
      )
    ),
    IF(OR(Enginuity!$A$1="Frameless Glass",Enginuity!$A$1="Metal Work"),
      AND(TRIM(B869)=TRIM(Enginuity!$A$17),TRIM(C869)=TRIM(Enginuity!$A$18)),
      TRIM(B869)=TRIM(Enginuity!$A$17)
    )
  ),
  ROW(),
  ""
)</f>
        <v/>
      </c>
    </row>
    <row r="870" spans="1:21" x14ac:dyDescent="0.25">
      <c r="A870" s="10"/>
      <c r="B870" s="229"/>
      <c r="C870" s="10"/>
      <c r="D870" s="14"/>
      <c r="E870" s="157"/>
      <c r="F870" s="10"/>
      <c r="G870" s="17"/>
      <c r="H870" s="10"/>
      <c r="I870" s="17"/>
      <c r="J870" s="83"/>
      <c r="K870" s="343"/>
      <c r="L870" s="347"/>
      <c r="M870" s="89"/>
      <c r="N870" s="10"/>
      <c r="O870" s="22"/>
      <c r="P870" s="14"/>
      <c r="Q870" s="83"/>
      <c r="U870" s="104" t="str">
        <f>IF(
  AND(
    TRIM(A870)=TRIM(Enginuity!$A$1),
    TRIM(B870)=TRIM(Enginuity!$A$17),
    Q870&lt;&gt;"",
    Q870&lt;&gt;0,
    OR(
      TRIM(C870)=TRIM(Enginuity!$A$18),
      AND(UPPER(TRIM(M870))="STD", TRIM(B870)=TRIM(Enginuity!$A$17))
    ),
    OR(
      AND(LEFT(P870,5)="1-Way", Enginuity!$B$13=1),
      AND(LEFT(P870,5)="2-Way", OR(Enginuity!$B$13=2, Enginuity!$B$13=4)),
      AND(LEFT(P870,5)="3-Way", OR(Enginuity!$B$13=3, Enginuity!$B$13=6)),
      AND(P870="Inner Centre Jamb", OR(Enginuity!$B$13=4, Enginuity!$B$13=6)),
      AND(
        LEFT(P870,5)&lt;&gt;"1-Way",
        LEFT(P870,5)&lt;&gt;"2-Way",
        LEFT(P870,5)&lt;&gt;"3-Way",
        P870&lt;&gt;"Inner Centre Jamb"
      )
    ),
    IF(OR(Enginuity!$A$1="Frameless Glass",Enginuity!$A$1="Metal Work"),
      AND(TRIM(B870)=TRIM(Enginuity!$A$17),TRIM(C870)=TRIM(Enginuity!$A$18)),
      TRIM(B870)=TRIM(Enginuity!$A$17)
    )
  ),
  ROW(),
  ""
)</f>
        <v/>
      </c>
    </row>
    <row r="871" spans="1:21" x14ac:dyDescent="0.25">
      <c r="A871" s="10"/>
      <c r="B871" s="229"/>
      <c r="C871" s="10"/>
      <c r="D871" s="14"/>
      <c r="E871" s="157"/>
      <c r="F871" s="10"/>
      <c r="G871" s="17"/>
      <c r="H871" s="10"/>
      <c r="I871" s="17"/>
      <c r="J871" s="83"/>
      <c r="K871" s="343"/>
      <c r="L871" s="347"/>
      <c r="M871" s="89"/>
      <c r="N871" s="10"/>
      <c r="O871" s="22"/>
      <c r="P871" s="14"/>
      <c r="Q871" s="83"/>
      <c r="U871" s="104" t="str">
        <f>IF(
  AND(
    TRIM(A871)=TRIM(Enginuity!$A$1),
    TRIM(B871)=TRIM(Enginuity!$A$17),
    Q871&lt;&gt;"",
    Q871&lt;&gt;0,
    OR(
      TRIM(C871)=TRIM(Enginuity!$A$18),
      AND(UPPER(TRIM(M871))="STD", TRIM(B871)=TRIM(Enginuity!$A$17))
    ),
    OR(
      AND(LEFT(P871,5)="1-Way", Enginuity!$B$13=1),
      AND(LEFT(P871,5)="2-Way", OR(Enginuity!$B$13=2, Enginuity!$B$13=4)),
      AND(LEFT(P871,5)="3-Way", OR(Enginuity!$B$13=3, Enginuity!$B$13=6)),
      AND(P871="Inner Centre Jamb", OR(Enginuity!$B$13=4, Enginuity!$B$13=6)),
      AND(
        LEFT(P871,5)&lt;&gt;"1-Way",
        LEFT(P871,5)&lt;&gt;"2-Way",
        LEFT(P871,5)&lt;&gt;"3-Way",
        P871&lt;&gt;"Inner Centre Jamb"
      )
    ),
    IF(OR(Enginuity!$A$1="Frameless Glass",Enginuity!$A$1="Metal Work"),
      AND(TRIM(B871)=TRIM(Enginuity!$A$17),TRIM(C871)=TRIM(Enginuity!$A$18)),
      TRIM(B871)=TRIM(Enginuity!$A$17)
    )
  ),
  ROW(),
  ""
)</f>
        <v/>
      </c>
    </row>
    <row r="872" spans="1:21" x14ac:dyDescent="0.25">
      <c r="A872" s="10"/>
      <c r="B872" s="229"/>
      <c r="C872" s="10"/>
      <c r="D872" s="14"/>
      <c r="E872" s="157"/>
      <c r="F872" s="10"/>
      <c r="G872" s="17"/>
      <c r="H872" s="10"/>
      <c r="I872" s="17"/>
      <c r="J872" s="83"/>
      <c r="K872" s="343"/>
      <c r="L872" s="347"/>
      <c r="M872" s="89"/>
      <c r="N872" s="10"/>
      <c r="O872" s="22"/>
      <c r="P872" s="14"/>
      <c r="Q872" s="83"/>
      <c r="U872" s="104" t="str">
        <f>IF(
  AND(
    TRIM(A872)=TRIM(Enginuity!$A$1),
    TRIM(B872)=TRIM(Enginuity!$A$17),
    Q872&lt;&gt;"",
    Q872&lt;&gt;0,
    OR(
      TRIM(C872)=TRIM(Enginuity!$A$18),
      AND(UPPER(TRIM(M872))="STD", TRIM(B872)=TRIM(Enginuity!$A$17))
    ),
    OR(
      AND(LEFT(P872,5)="1-Way", Enginuity!$B$13=1),
      AND(LEFT(P872,5)="2-Way", OR(Enginuity!$B$13=2, Enginuity!$B$13=4)),
      AND(LEFT(P872,5)="3-Way", OR(Enginuity!$B$13=3, Enginuity!$B$13=6)),
      AND(P872="Inner Centre Jamb", OR(Enginuity!$B$13=4, Enginuity!$B$13=6)),
      AND(
        LEFT(P872,5)&lt;&gt;"1-Way",
        LEFT(P872,5)&lt;&gt;"2-Way",
        LEFT(P872,5)&lt;&gt;"3-Way",
        P872&lt;&gt;"Inner Centre Jamb"
      )
    ),
    IF(OR(Enginuity!$A$1="Frameless Glass",Enginuity!$A$1="Metal Work"),
      AND(TRIM(B872)=TRIM(Enginuity!$A$17),TRIM(C872)=TRIM(Enginuity!$A$18)),
      TRIM(B872)=TRIM(Enginuity!$A$17)
    )
  ),
  ROW(),
  ""
)</f>
        <v/>
      </c>
    </row>
    <row r="873" spans="1:21" x14ac:dyDescent="0.25">
      <c r="A873" s="10"/>
      <c r="B873" s="229"/>
      <c r="C873" s="10"/>
      <c r="D873" s="14"/>
      <c r="E873" s="157"/>
      <c r="F873" s="10"/>
      <c r="G873" s="17"/>
      <c r="H873" s="10"/>
      <c r="I873" s="17"/>
      <c r="J873" s="83"/>
      <c r="K873" s="343"/>
      <c r="L873" s="347"/>
      <c r="M873" s="89"/>
      <c r="N873" s="10"/>
      <c r="O873" s="22"/>
      <c r="P873" s="14"/>
      <c r="Q873" s="83"/>
      <c r="U873" s="104" t="str">
        <f>IF(
  AND(
    TRIM(A873)=TRIM(Enginuity!$A$1),
    TRIM(B873)=TRIM(Enginuity!$A$17),
    Q873&lt;&gt;"",
    Q873&lt;&gt;0,
    OR(
      TRIM(C873)=TRIM(Enginuity!$A$18),
      AND(UPPER(TRIM(M873))="STD", TRIM(B873)=TRIM(Enginuity!$A$17))
    ),
    OR(
      AND(LEFT(P873,5)="1-Way", Enginuity!$B$13=1),
      AND(LEFT(P873,5)="2-Way", OR(Enginuity!$B$13=2, Enginuity!$B$13=4)),
      AND(LEFT(P873,5)="3-Way", OR(Enginuity!$B$13=3, Enginuity!$B$13=6)),
      AND(P873="Inner Centre Jamb", OR(Enginuity!$B$13=4, Enginuity!$B$13=6)),
      AND(
        LEFT(P873,5)&lt;&gt;"1-Way",
        LEFT(P873,5)&lt;&gt;"2-Way",
        LEFT(P873,5)&lt;&gt;"3-Way",
        P873&lt;&gt;"Inner Centre Jamb"
      )
    ),
    IF(OR(Enginuity!$A$1="Frameless Glass",Enginuity!$A$1="Metal Work"),
      AND(TRIM(B873)=TRIM(Enginuity!$A$17),TRIM(C873)=TRIM(Enginuity!$A$18)),
      TRIM(B873)=TRIM(Enginuity!$A$17)
    )
  ),
  ROW(),
  ""
)</f>
        <v/>
      </c>
    </row>
    <row r="874" spans="1:21" x14ac:dyDescent="0.25">
      <c r="A874" s="10"/>
      <c r="B874" s="229"/>
      <c r="C874" s="10"/>
      <c r="D874" s="14"/>
      <c r="E874" s="157"/>
      <c r="F874" s="10"/>
      <c r="G874" s="17"/>
      <c r="H874" s="10"/>
      <c r="I874" s="17"/>
      <c r="J874" s="83"/>
      <c r="K874" s="343"/>
      <c r="L874" s="347"/>
      <c r="M874" s="89"/>
      <c r="N874" s="10"/>
      <c r="O874" s="22"/>
      <c r="P874" s="14"/>
      <c r="Q874" s="83"/>
      <c r="U874" s="104" t="str">
        <f>IF(
  AND(
    TRIM(A874)=TRIM(Enginuity!$A$1),
    TRIM(B874)=TRIM(Enginuity!$A$17),
    Q874&lt;&gt;"",
    Q874&lt;&gt;0,
    OR(
      TRIM(C874)=TRIM(Enginuity!$A$18),
      AND(UPPER(TRIM(M874))="STD", TRIM(B874)=TRIM(Enginuity!$A$17))
    ),
    OR(
      AND(LEFT(P874,5)="1-Way", Enginuity!$B$13=1),
      AND(LEFT(P874,5)="2-Way", OR(Enginuity!$B$13=2, Enginuity!$B$13=4)),
      AND(LEFT(P874,5)="3-Way", OR(Enginuity!$B$13=3, Enginuity!$B$13=6)),
      AND(P874="Inner Centre Jamb", OR(Enginuity!$B$13=4, Enginuity!$B$13=6)),
      AND(
        LEFT(P874,5)&lt;&gt;"1-Way",
        LEFT(P874,5)&lt;&gt;"2-Way",
        LEFT(P874,5)&lt;&gt;"3-Way",
        P874&lt;&gt;"Inner Centre Jamb"
      )
    ),
    IF(OR(Enginuity!$A$1="Frameless Glass",Enginuity!$A$1="Metal Work"),
      AND(TRIM(B874)=TRIM(Enginuity!$A$17),TRIM(C874)=TRIM(Enginuity!$A$18)),
      TRIM(B874)=TRIM(Enginuity!$A$17)
    )
  ),
  ROW(),
  ""
)</f>
        <v/>
      </c>
    </row>
    <row r="875" spans="1:21" x14ac:dyDescent="0.25">
      <c r="A875" s="10"/>
      <c r="B875" s="229"/>
      <c r="C875" s="10"/>
      <c r="D875" s="14"/>
      <c r="E875" s="157"/>
      <c r="F875" s="10"/>
      <c r="G875" s="17"/>
      <c r="H875" s="10"/>
      <c r="I875" s="17"/>
      <c r="J875" s="83"/>
      <c r="K875" s="343"/>
      <c r="L875" s="347"/>
      <c r="M875" s="89"/>
      <c r="N875" s="10"/>
      <c r="O875" s="22"/>
      <c r="P875" s="14"/>
      <c r="Q875" s="83"/>
      <c r="U875" s="104" t="str">
        <f>IF(
  AND(
    TRIM(A875)=TRIM(Enginuity!$A$1),
    TRIM(B875)=TRIM(Enginuity!$A$17),
    Q875&lt;&gt;"",
    Q875&lt;&gt;0,
    OR(
      TRIM(C875)=TRIM(Enginuity!$A$18),
      AND(UPPER(TRIM(M875))="STD", TRIM(B875)=TRIM(Enginuity!$A$17))
    ),
    OR(
      AND(LEFT(P875,5)="1-Way", Enginuity!$B$13=1),
      AND(LEFT(P875,5)="2-Way", OR(Enginuity!$B$13=2, Enginuity!$B$13=4)),
      AND(LEFT(P875,5)="3-Way", OR(Enginuity!$B$13=3, Enginuity!$B$13=6)),
      AND(P875="Inner Centre Jamb", OR(Enginuity!$B$13=4, Enginuity!$B$13=6)),
      AND(
        LEFT(P875,5)&lt;&gt;"1-Way",
        LEFT(P875,5)&lt;&gt;"2-Way",
        LEFT(P875,5)&lt;&gt;"3-Way",
        P875&lt;&gt;"Inner Centre Jamb"
      )
    ),
    IF(OR(Enginuity!$A$1="Frameless Glass",Enginuity!$A$1="Metal Work"),
      AND(TRIM(B875)=TRIM(Enginuity!$A$17),TRIM(C875)=TRIM(Enginuity!$A$18)),
      TRIM(B875)=TRIM(Enginuity!$A$17)
    )
  ),
  ROW(),
  ""
)</f>
        <v/>
      </c>
    </row>
    <row r="876" spans="1:21" x14ac:dyDescent="0.25">
      <c r="A876" s="10"/>
      <c r="B876" s="229"/>
      <c r="C876" s="10"/>
      <c r="D876" s="14"/>
      <c r="E876" s="157"/>
      <c r="F876" s="10"/>
      <c r="G876" s="17"/>
      <c r="H876" s="10"/>
      <c r="I876" s="17"/>
      <c r="J876" s="83"/>
      <c r="K876" s="343"/>
      <c r="L876" s="347"/>
      <c r="M876" s="89"/>
      <c r="N876" s="10"/>
      <c r="O876" s="22"/>
      <c r="P876" s="14"/>
      <c r="Q876" s="83"/>
      <c r="U876" s="104" t="str">
        <f>IF(
  AND(
    TRIM(A876)=TRIM(Enginuity!$A$1),
    TRIM(B876)=TRIM(Enginuity!$A$17),
    Q876&lt;&gt;"",
    Q876&lt;&gt;0,
    OR(
      TRIM(C876)=TRIM(Enginuity!$A$18),
      AND(UPPER(TRIM(M876))="STD", TRIM(B876)=TRIM(Enginuity!$A$17))
    ),
    OR(
      AND(LEFT(P876,5)="1-Way", Enginuity!$B$13=1),
      AND(LEFT(P876,5)="2-Way", OR(Enginuity!$B$13=2, Enginuity!$B$13=4)),
      AND(LEFT(P876,5)="3-Way", OR(Enginuity!$B$13=3, Enginuity!$B$13=6)),
      AND(P876="Inner Centre Jamb", OR(Enginuity!$B$13=4, Enginuity!$B$13=6)),
      AND(
        LEFT(P876,5)&lt;&gt;"1-Way",
        LEFT(P876,5)&lt;&gt;"2-Way",
        LEFT(P876,5)&lt;&gt;"3-Way",
        P876&lt;&gt;"Inner Centre Jamb"
      )
    ),
    IF(OR(Enginuity!$A$1="Frameless Glass",Enginuity!$A$1="Metal Work"),
      AND(TRIM(B876)=TRIM(Enginuity!$A$17),TRIM(C876)=TRIM(Enginuity!$A$18)),
      TRIM(B876)=TRIM(Enginuity!$A$17)
    )
  ),
  ROW(),
  ""
)</f>
        <v/>
      </c>
    </row>
    <row r="877" spans="1:21" x14ac:dyDescent="0.25">
      <c r="A877" s="10"/>
      <c r="B877" s="229"/>
      <c r="C877" s="10"/>
      <c r="D877" s="14"/>
      <c r="E877" s="157"/>
      <c r="F877" s="10"/>
      <c r="G877" s="17"/>
      <c r="H877" s="10"/>
      <c r="I877" s="17"/>
      <c r="J877" s="83"/>
      <c r="K877" s="343"/>
      <c r="L877" s="347"/>
      <c r="M877" s="89"/>
      <c r="N877" s="10"/>
      <c r="O877" s="22"/>
      <c r="P877" s="14"/>
      <c r="Q877" s="83"/>
      <c r="U877" s="104" t="str">
        <f>IF(
  AND(
    TRIM(A877)=TRIM(Enginuity!$A$1),
    TRIM(B877)=TRIM(Enginuity!$A$17),
    Q877&lt;&gt;"",
    Q877&lt;&gt;0,
    OR(
      TRIM(C877)=TRIM(Enginuity!$A$18),
      AND(UPPER(TRIM(M877))="STD", TRIM(B877)=TRIM(Enginuity!$A$17))
    ),
    OR(
      AND(LEFT(P877,5)="1-Way", Enginuity!$B$13=1),
      AND(LEFT(P877,5)="2-Way", OR(Enginuity!$B$13=2, Enginuity!$B$13=4)),
      AND(LEFT(P877,5)="3-Way", OR(Enginuity!$B$13=3, Enginuity!$B$13=6)),
      AND(P877="Inner Centre Jamb", OR(Enginuity!$B$13=4, Enginuity!$B$13=6)),
      AND(
        LEFT(P877,5)&lt;&gt;"1-Way",
        LEFT(P877,5)&lt;&gt;"2-Way",
        LEFT(P877,5)&lt;&gt;"3-Way",
        P877&lt;&gt;"Inner Centre Jamb"
      )
    ),
    IF(OR(Enginuity!$A$1="Frameless Glass",Enginuity!$A$1="Metal Work"),
      AND(TRIM(B877)=TRIM(Enginuity!$A$17),TRIM(C877)=TRIM(Enginuity!$A$18)),
      TRIM(B877)=TRIM(Enginuity!$A$17)
    )
  ),
  ROW(),
  ""
)</f>
        <v/>
      </c>
    </row>
    <row r="878" spans="1:21" x14ac:dyDescent="0.25">
      <c r="A878" s="10"/>
      <c r="B878" s="229"/>
      <c r="C878" s="10"/>
      <c r="D878" s="14"/>
      <c r="E878" s="157"/>
      <c r="F878" s="10"/>
      <c r="G878" s="17"/>
      <c r="H878" s="10"/>
      <c r="I878" s="17"/>
      <c r="J878" s="83"/>
      <c r="K878" s="343"/>
      <c r="L878" s="347"/>
      <c r="M878" s="89"/>
      <c r="N878" s="10"/>
      <c r="O878" s="22"/>
      <c r="P878" s="14"/>
      <c r="Q878" s="83"/>
      <c r="U878" s="104" t="str">
        <f>IF(
  AND(
    TRIM(A878)=TRIM(Enginuity!$A$1),
    TRIM(B878)=TRIM(Enginuity!$A$17),
    Q878&lt;&gt;"",
    Q878&lt;&gt;0,
    OR(
      TRIM(C878)=TRIM(Enginuity!$A$18),
      AND(UPPER(TRIM(M878))="STD", TRIM(B878)=TRIM(Enginuity!$A$17))
    ),
    OR(
      AND(LEFT(P878,5)="1-Way", Enginuity!$B$13=1),
      AND(LEFT(P878,5)="2-Way", OR(Enginuity!$B$13=2, Enginuity!$B$13=4)),
      AND(LEFT(P878,5)="3-Way", OR(Enginuity!$B$13=3, Enginuity!$B$13=6)),
      AND(P878="Inner Centre Jamb", OR(Enginuity!$B$13=4, Enginuity!$B$13=6)),
      AND(
        LEFT(P878,5)&lt;&gt;"1-Way",
        LEFT(P878,5)&lt;&gt;"2-Way",
        LEFT(P878,5)&lt;&gt;"3-Way",
        P878&lt;&gt;"Inner Centre Jamb"
      )
    ),
    IF(OR(Enginuity!$A$1="Frameless Glass",Enginuity!$A$1="Metal Work"),
      AND(TRIM(B878)=TRIM(Enginuity!$A$17),TRIM(C878)=TRIM(Enginuity!$A$18)),
      TRIM(B878)=TRIM(Enginuity!$A$17)
    )
  ),
  ROW(),
  ""
)</f>
        <v/>
      </c>
    </row>
    <row r="879" spans="1:21" x14ac:dyDescent="0.25">
      <c r="A879" s="10"/>
      <c r="B879" s="229"/>
      <c r="C879" s="10"/>
      <c r="D879" s="14"/>
      <c r="E879" s="157"/>
      <c r="F879" s="10"/>
      <c r="G879" s="17"/>
      <c r="H879" s="10"/>
      <c r="I879" s="17"/>
      <c r="J879" s="83"/>
      <c r="K879" s="343"/>
      <c r="L879" s="347"/>
      <c r="M879" s="89"/>
      <c r="N879" s="10"/>
      <c r="O879" s="22"/>
      <c r="P879" s="14"/>
      <c r="Q879" s="83"/>
      <c r="U879" s="104" t="str">
        <f>IF(
  AND(
    TRIM(A879)=TRIM(Enginuity!$A$1),
    TRIM(B879)=TRIM(Enginuity!$A$17),
    Q879&lt;&gt;"",
    Q879&lt;&gt;0,
    OR(
      TRIM(C879)=TRIM(Enginuity!$A$18),
      AND(UPPER(TRIM(M879))="STD", TRIM(B879)=TRIM(Enginuity!$A$17))
    ),
    OR(
      AND(LEFT(P879,5)="1-Way", Enginuity!$B$13=1),
      AND(LEFT(P879,5)="2-Way", OR(Enginuity!$B$13=2, Enginuity!$B$13=4)),
      AND(LEFT(P879,5)="3-Way", OR(Enginuity!$B$13=3, Enginuity!$B$13=6)),
      AND(P879="Inner Centre Jamb", OR(Enginuity!$B$13=4, Enginuity!$B$13=6)),
      AND(
        LEFT(P879,5)&lt;&gt;"1-Way",
        LEFT(P879,5)&lt;&gt;"2-Way",
        LEFT(P879,5)&lt;&gt;"3-Way",
        P879&lt;&gt;"Inner Centre Jamb"
      )
    ),
    IF(OR(Enginuity!$A$1="Frameless Glass",Enginuity!$A$1="Metal Work"),
      AND(TRIM(B879)=TRIM(Enginuity!$A$17),TRIM(C879)=TRIM(Enginuity!$A$18)),
      TRIM(B879)=TRIM(Enginuity!$A$17)
    )
  ),
  ROW(),
  ""
)</f>
        <v/>
      </c>
    </row>
    <row r="880" spans="1:21" x14ac:dyDescent="0.25">
      <c r="A880" s="10"/>
      <c r="B880" s="229"/>
      <c r="C880" s="10"/>
      <c r="D880" s="14"/>
      <c r="E880" s="157"/>
      <c r="F880" s="10"/>
      <c r="G880" s="17"/>
      <c r="H880" s="10"/>
      <c r="I880" s="17"/>
      <c r="J880" s="83"/>
      <c r="K880" s="343"/>
      <c r="L880" s="347"/>
      <c r="M880" s="89"/>
      <c r="N880" s="10"/>
      <c r="O880" s="22"/>
      <c r="P880" s="14"/>
      <c r="Q880" s="83"/>
      <c r="U880" s="104" t="str">
        <f>IF(
  AND(
    TRIM(A880)=TRIM(Enginuity!$A$1),
    TRIM(B880)=TRIM(Enginuity!$A$17),
    Q880&lt;&gt;"",
    Q880&lt;&gt;0,
    OR(
      TRIM(C880)=TRIM(Enginuity!$A$18),
      AND(UPPER(TRIM(M880))="STD", TRIM(B880)=TRIM(Enginuity!$A$17))
    ),
    OR(
      AND(LEFT(P880,5)="1-Way", Enginuity!$B$13=1),
      AND(LEFT(P880,5)="2-Way", OR(Enginuity!$B$13=2, Enginuity!$B$13=4)),
      AND(LEFT(P880,5)="3-Way", OR(Enginuity!$B$13=3, Enginuity!$B$13=6)),
      AND(P880="Inner Centre Jamb", OR(Enginuity!$B$13=4, Enginuity!$B$13=6)),
      AND(
        LEFT(P880,5)&lt;&gt;"1-Way",
        LEFT(P880,5)&lt;&gt;"2-Way",
        LEFT(P880,5)&lt;&gt;"3-Way",
        P880&lt;&gt;"Inner Centre Jamb"
      )
    ),
    IF(OR(Enginuity!$A$1="Frameless Glass",Enginuity!$A$1="Metal Work"),
      AND(TRIM(B880)=TRIM(Enginuity!$A$17),TRIM(C880)=TRIM(Enginuity!$A$18)),
      TRIM(B880)=TRIM(Enginuity!$A$17)
    )
  ),
  ROW(),
  ""
)</f>
        <v/>
      </c>
    </row>
    <row r="881" spans="1:21" x14ac:dyDescent="0.25">
      <c r="A881" s="10"/>
      <c r="B881" s="229"/>
      <c r="C881" s="10"/>
      <c r="D881" s="14"/>
      <c r="E881" s="157"/>
      <c r="F881" s="10"/>
      <c r="G881" s="17"/>
      <c r="H881" s="10"/>
      <c r="I881" s="17"/>
      <c r="J881" s="83"/>
      <c r="K881" s="343"/>
      <c r="L881" s="347"/>
      <c r="M881" s="89"/>
      <c r="N881" s="88"/>
      <c r="O881" s="22"/>
      <c r="P881" s="14"/>
      <c r="Q881" s="83"/>
      <c r="U881" s="104" t="str">
        <f>IF(
  AND(
    TRIM(A881)=TRIM(Enginuity!$A$1),
    TRIM(B881)=TRIM(Enginuity!$A$17),
    Q881&lt;&gt;"",
    Q881&lt;&gt;0,
    OR(
      TRIM(C881)=TRIM(Enginuity!$A$18),
      AND(UPPER(TRIM(M881))="STD", TRIM(B881)=TRIM(Enginuity!$A$17))
    ),
    OR(
      AND(LEFT(P881,5)="1-Way", Enginuity!$B$13=1),
      AND(LEFT(P881,5)="2-Way", OR(Enginuity!$B$13=2, Enginuity!$B$13=4)),
      AND(LEFT(P881,5)="3-Way", OR(Enginuity!$B$13=3, Enginuity!$B$13=6)),
      AND(P881="Inner Centre Jamb", OR(Enginuity!$B$13=4, Enginuity!$B$13=6)),
      AND(
        LEFT(P881,5)&lt;&gt;"1-Way",
        LEFT(P881,5)&lt;&gt;"2-Way",
        LEFT(P881,5)&lt;&gt;"3-Way",
        P881&lt;&gt;"Inner Centre Jamb"
      )
    ),
    IF(OR(Enginuity!$A$1="Frameless Glass",Enginuity!$A$1="Metal Work"),
      AND(TRIM(B881)=TRIM(Enginuity!$A$17),TRIM(C881)=TRIM(Enginuity!$A$18)),
      TRIM(B881)=TRIM(Enginuity!$A$17)
    )
  ),
  ROW(),
  ""
)</f>
        <v/>
      </c>
    </row>
    <row r="882" spans="1:21" x14ac:dyDescent="0.25">
      <c r="A882" s="10"/>
      <c r="B882" s="229"/>
      <c r="C882" s="10"/>
      <c r="D882" s="14"/>
      <c r="E882" s="157"/>
      <c r="F882" s="10"/>
      <c r="G882" s="17"/>
      <c r="H882" s="10"/>
      <c r="I882" s="17"/>
      <c r="J882" s="83"/>
      <c r="K882" s="343"/>
      <c r="L882" s="347"/>
      <c r="M882" s="89"/>
      <c r="N882" s="88"/>
      <c r="O882" s="22"/>
      <c r="P882" s="36"/>
      <c r="Q882" s="83"/>
      <c r="U882" s="104" t="str">
        <f>IF(
  AND(
    TRIM(A882)=TRIM(Enginuity!$A$1),
    TRIM(B882)=TRIM(Enginuity!$A$17),
    Q882&lt;&gt;"",
    Q882&lt;&gt;0,
    OR(
      TRIM(C882)=TRIM(Enginuity!$A$18),
      AND(UPPER(TRIM(M882))="STD", TRIM(B882)=TRIM(Enginuity!$A$17))
    ),
    OR(
      AND(LEFT(P882,5)="1-Way", Enginuity!$B$13=1),
      AND(LEFT(P882,5)="2-Way", OR(Enginuity!$B$13=2, Enginuity!$B$13=4)),
      AND(LEFT(P882,5)="3-Way", OR(Enginuity!$B$13=3, Enginuity!$B$13=6)),
      AND(P882="Inner Centre Jamb", OR(Enginuity!$B$13=4, Enginuity!$B$13=6)),
      AND(
        LEFT(P882,5)&lt;&gt;"1-Way",
        LEFT(P882,5)&lt;&gt;"2-Way",
        LEFT(P882,5)&lt;&gt;"3-Way",
        P882&lt;&gt;"Inner Centre Jamb"
      )
    ),
    IF(OR(Enginuity!$A$1="Frameless Glass",Enginuity!$A$1="Metal Work"),
      AND(TRIM(B882)=TRIM(Enginuity!$A$17),TRIM(C882)=TRIM(Enginuity!$A$18)),
      TRIM(B882)=TRIM(Enginuity!$A$17)
    )
  ),
  ROW(),
  ""
)</f>
        <v/>
      </c>
    </row>
    <row r="883" spans="1:21" x14ac:dyDescent="0.25">
      <c r="A883" s="17"/>
      <c r="B883" s="230"/>
      <c r="C883" s="17"/>
      <c r="D883" s="18"/>
      <c r="E883" s="238"/>
      <c r="F883" s="17"/>
      <c r="G883" s="17"/>
      <c r="H883" s="10"/>
      <c r="I883" s="17"/>
      <c r="J883" s="83"/>
      <c r="K883" s="343"/>
      <c r="L883" s="347"/>
      <c r="M883" s="90"/>
      <c r="N883" s="91"/>
      <c r="O883" s="25"/>
      <c r="P883" s="92"/>
      <c r="Q883" s="84"/>
      <c r="U883" s="104" t="str">
        <f>IF(
  AND(
    TRIM(A883)=TRIM(Enginuity!$A$1),
    TRIM(B883)=TRIM(Enginuity!$A$17),
    Q883&lt;&gt;"",
    Q883&lt;&gt;0,
    OR(
      TRIM(C883)=TRIM(Enginuity!$A$18),
      AND(UPPER(TRIM(M883))="STD", TRIM(B883)=TRIM(Enginuity!$A$17))
    ),
    OR(
      AND(LEFT(P883,5)="1-Way", Enginuity!$B$13=1),
      AND(LEFT(P883,5)="2-Way", OR(Enginuity!$B$13=2, Enginuity!$B$13=4)),
      AND(LEFT(P883,5)="3-Way", OR(Enginuity!$B$13=3, Enginuity!$B$13=6)),
      AND(P883="Inner Centre Jamb", OR(Enginuity!$B$13=4, Enginuity!$B$13=6)),
      AND(
        LEFT(P883,5)&lt;&gt;"1-Way",
        LEFT(P883,5)&lt;&gt;"2-Way",
        LEFT(P883,5)&lt;&gt;"3-Way",
        P883&lt;&gt;"Inner Centre Jamb"
      )
    ),
    IF(OR(Enginuity!$A$1="Frameless Glass",Enginuity!$A$1="Metal Work"),
      AND(TRIM(B883)=TRIM(Enginuity!$A$17),TRIM(C883)=TRIM(Enginuity!$A$18)),
      TRIM(B883)=TRIM(Enginuity!$A$17)
    )
  ),
  ROW(),
  ""
)</f>
        <v/>
      </c>
    </row>
    <row r="884" spans="1:21" x14ac:dyDescent="0.25">
      <c r="A884" s="10" t="s">
        <v>251</v>
      </c>
      <c r="B884" s="229" t="s">
        <v>322</v>
      </c>
      <c r="C884" s="10" t="s">
        <v>323</v>
      </c>
      <c r="D884" s="14" t="str">
        <f>$BA$2</f>
        <v>Default</v>
      </c>
      <c r="E884" s="247"/>
      <c r="F884" s="11"/>
      <c r="G884" s="17"/>
      <c r="H884" s="10"/>
      <c r="I884" s="17"/>
      <c r="J884" s="83"/>
      <c r="K884" s="344">
        <v>0.389737</v>
      </c>
      <c r="L884" s="347">
        <v>762</v>
      </c>
      <c r="M884" s="22"/>
      <c r="N884" s="10" t="s">
        <v>103</v>
      </c>
      <c r="O884" s="22">
        <v>0.85</v>
      </c>
      <c r="P884" s="14" t="s">
        <v>215</v>
      </c>
      <c r="Q884" s="83">
        <f>$Q$2</f>
        <v>66</v>
      </c>
      <c r="U884" s="104" t="str">
        <f>IF(
  AND(
    TRIM(A884)=TRIM(Enginuity!$A$1),
    TRIM(B884)=TRIM(Enginuity!$A$17),
    Q884&lt;&gt;"",
    Q884&lt;&gt;0,
    OR(
      TRIM(C884)=TRIM(Enginuity!$A$18),
      AND(UPPER(TRIM(M884))="STD", TRIM(B884)=TRIM(Enginuity!$A$17))
    ),
    OR(
      AND(LEFT(P884,5)="1-Way", Enginuity!$B$13=1),
      AND(LEFT(P884,5)="2-Way", OR(Enginuity!$B$13=2, Enginuity!$B$13=4)),
      AND(LEFT(P884,5)="3-Way", OR(Enginuity!$B$13=3, Enginuity!$B$13=6)),
      AND(P884="Inner Centre Jamb", OR(Enginuity!$B$13=4, Enginuity!$B$13=6)),
      AND(
        LEFT(P884,5)&lt;&gt;"1-Way",
        LEFT(P884,5)&lt;&gt;"2-Way",
        LEFT(P884,5)&lt;&gt;"3-Way",
        P884&lt;&gt;"Inner Centre Jamb"
      )
    ),
    IF(OR(Enginuity!$A$1="Frameless Glass",Enginuity!$A$1="Metal Work"),
      AND(TRIM(B884)=TRIM(Enginuity!$A$17),TRIM(C884)=TRIM(Enginuity!$A$18)),
      TRIM(B884)=TRIM(Enginuity!$A$17)
    )
  ),
  ROW(),
  ""
)</f>
        <v/>
      </c>
    </row>
    <row r="885" spans="1:21" x14ac:dyDescent="0.25">
      <c r="A885" s="10" t="s">
        <v>251</v>
      </c>
      <c r="B885" s="229" t="s">
        <v>322</v>
      </c>
      <c r="C885" s="10" t="s">
        <v>323</v>
      </c>
      <c r="D885" s="14" t="str">
        <f t="shared" ref="D885:D948" si="12">$BA$2</f>
        <v>Default</v>
      </c>
      <c r="E885" s="247"/>
      <c r="F885" s="11"/>
      <c r="G885" s="17"/>
      <c r="H885" s="10"/>
      <c r="I885" s="17"/>
      <c r="J885" s="83"/>
      <c r="K885" s="343"/>
      <c r="L885" s="347"/>
      <c r="M885" s="22"/>
      <c r="N885" s="10" t="s">
        <v>103</v>
      </c>
      <c r="O885" s="22">
        <v>0.88</v>
      </c>
      <c r="P885" s="14" t="s">
        <v>218</v>
      </c>
      <c r="Q885" s="83">
        <f>$Q$3</f>
        <v>222</v>
      </c>
      <c r="U885" s="104" t="str">
        <f>IF(
  AND(
    TRIM(A885)=TRIM(Enginuity!$A$1),
    TRIM(B885)=TRIM(Enginuity!$A$17),
    Q885&lt;&gt;"",
    Q885&lt;&gt;0,
    OR(
      TRIM(C885)=TRIM(Enginuity!$A$18),
      AND(UPPER(TRIM(M885))="STD", TRIM(B885)=TRIM(Enginuity!$A$17))
    ),
    OR(
      AND(LEFT(P885,5)="1-Way", Enginuity!$B$13=1),
      AND(LEFT(P885,5)="2-Way", OR(Enginuity!$B$13=2, Enginuity!$B$13=4)),
      AND(LEFT(P885,5)="3-Way", OR(Enginuity!$B$13=3, Enginuity!$B$13=6)),
      AND(P885="Inner Centre Jamb", OR(Enginuity!$B$13=4, Enginuity!$B$13=6)),
      AND(
        LEFT(P885,5)&lt;&gt;"1-Way",
        LEFT(P885,5)&lt;&gt;"2-Way",
        LEFT(P885,5)&lt;&gt;"3-Way",
        P885&lt;&gt;"Inner Centre Jamb"
      )
    ),
    IF(OR(Enginuity!$A$1="Frameless Glass",Enginuity!$A$1="Metal Work"),
      AND(TRIM(B885)=TRIM(Enginuity!$A$17),TRIM(C885)=TRIM(Enginuity!$A$18)),
      TRIM(B885)=TRIM(Enginuity!$A$17)
    )
  ),
  ROW(),
  ""
)</f>
        <v/>
      </c>
    </row>
    <row r="886" spans="1:21" x14ac:dyDescent="0.25">
      <c r="A886" s="10" t="s">
        <v>251</v>
      </c>
      <c r="B886" s="229" t="s">
        <v>322</v>
      </c>
      <c r="C886" s="10" t="s">
        <v>323</v>
      </c>
      <c r="D886" s="14" t="str">
        <f t="shared" si="12"/>
        <v>Default</v>
      </c>
      <c r="E886" s="247"/>
      <c r="F886" s="10"/>
      <c r="G886" s="17"/>
      <c r="H886" s="10"/>
      <c r="I886" s="17"/>
      <c r="J886" s="83"/>
      <c r="K886" s="343"/>
      <c r="L886" s="347"/>
      <c r="M886" s="22"/>
      <c r="N886" s="10" t="s">
        <v>103</v>
      </c>
      <c r="O886" s="22">
        <v>0.85</v>
      </c>
      <c r="P886" s="14" t="s">
        <v>216</v>
      </c>
      <c r="Q886" s="83">
        <f>IF(AND(Enginuity!$B$7&gt;0, Enginuity!$B$13&gt;1), (Enginuity!$B$13 - 1) * Enginuity!$B$7, "")</f>
        <v>78</v>
      </c>
      <c r="U886" s="104" t="str">
        <f>IF(
  AND(
    TRIM(A886)=TRIM(Enginuity!$A$1),
    TRIM(B886)=TRIM(Enginuity!$A$17),
    Q886&lt;&gt;"",
    Q886&lt;&gt;0,
    OR(
      TRIM(C886)=TRIM(Enginuity!$A$18),
      AND(UPPER(TRIM(M886))="STD", TRIM(B886)=TRIM(Enginuity!$A$17))
    ),
    OR(
      AND(LEFT(P886,5)="1-Way", Enginuity!$B$13=1),
      AND(LEFT(P886,5)="2-Way", OR(Enginuity!$B$13=2, Enginuity!$B$13=4)),
      AND(LEFT(P886,5)="3-Way", OR(Enginuity!$B$13=3, Enginuity!$B$13=6)),
      AND(P886="Inner Centre Jamb", OR(Enginuity!$B$13=4, Enginuity!$B$13=6)),
      AND(
        LEFT(P886,5)&lt;&gt;"1-Way",
        LEFT(P886,5)&lt;&gt;"2-Way",
        LEFT(P886,5)&lt;&gt;"3-Way",
        P886&lt;&gt;"Inner Centre Jamb"
      )
    ),
    IF(OR(Enginuity!$A$1="Frameless Glass",Enginuity!$A$1="Metal Work"),
      AND(TRIM(B886)=TRIM(Enginuity!$A$17),TRIM(C886)=TRIM(Enginuity!$A$18)),
      TRIM(B886)=TRIM(Enginuity!$A$17)
    )
  ),
  ROW(),
  ""
)</f>
        <v/>
      </c>
    </row>
    <row r="887" spans="1:21" x14ac:dyDescent="0.25">
      <c r="A887" s="10" t="s">
        <v>251</v>
      </c>
      <c r="B887" s="229" t="s">
        <v>322</v>
      </c>
      <c r="C887" s="10" t="s">
        <v>323</v>
      </c>
      <c r="D887" s="14" t="str">
        <f t="shared" si="12"/>
        <v>Default</v>
      </c>
      <c r="E887" s="247"/>
      <c r="F887" s="10"/>
      <c r="G887" s="17"/>
      <c r="H887" s="10"/>
      <c r="I887" s="17"/>
      <c r="J887" s="83"/>
      <c r="K887" s="343"/>
      <c r="L887" s="347"/>
      <c r="M887" s="22"/>
      <c r="N887" s="10" t="s">
        <v>103</v>
      </c>
      <c r="O887" s="22">
        <v>0.85</v>
      </c>
      <c r="P887" s="14" t="s">
        <v>219</v>
      </c>
      <c r="Q887" s="83">
        <f>IF(Enginuity!$B$7&lt;=4, 0, IF(Enginuity!$B$7&lt;=8, 1, 2)) * Enginuity!$B$6</f>
        <v>40</v>
      </c>
      <c r="U887" s="104" t="str">
        <f>IF(
  AND(
    TRIM(A887)=TRIM(Enginuity!$A$1),
    TRIM(B887)=TRIM(Enginuity!$A$17),
    Q887&lt;&gt;"",
    Q887&lt;&gt;0,
    OR(
      TRIM(C887)=TRIM(Enginuity!$A$18),
      AND(UPPER(TRIM(M887))="STD", TRIM(B887)=TRIM(Enginuity!$A$17))
    ),
    OR(
      AND(LEFT(P887,5)="1-Way", Enginuity!$B$13=1),
      AND(LEFT(P887,5)="2-Way", OR(Enginuity!$B$13=2, Enginuity!$B$13=4)),
      AND(LEFT(P887,5)="3-Way", OR(Enginuity!$B$13=3, Enginuity!$B$13=6)),
      AND(P887="Inner Centre Jamb", OR(Enginuity!$B$13=4, Enginuity!$B$13=6)),
      AND(
        LEFT(P887,5)&lt;&gt;"1-Way",
        LEFT(P887,5)&lt;&gt;"2-Way",
        LEFT(P887,5)&lt;&gt;"3-Way",
        P887&lt;&gt;"Inner Centre Jamb"
      )
    ),
    IF(OR(Enginuity!$A$1="Frameless Glass",Enginuity!$A$1="Metal Work"),
      AND(TRIM(B887)=TRIM(Enginuity!$A$17),TRIM(C887)=TRIM(Enginuity!$A$18)),
      TRIM(B887)=TRIM(Enginuity!$A$17)
    )
  ),
  ROW(),
  ""
)</f>
        <v/>
      </c>
    </row>
    <row r="888" spans="1:21" x14ac:dyDescent="0.25">
      <c r="A888" s="10" t="s">
        <v>251</v>
      </c>
      <c r="B888" s="229" t="s">
        <v>322</v>
      </c>
      <c r="C888" s="10" t="s">
        <v>323</v>
      </c>
      <c r="D888" s="14" t="str">
        <f t="shared" si="12"/>
        <v>Default</v>
      </c>
      <c r="E888" s="247"/>
      <c r="F888" s="10"/>
      <c r="G888" s="17"/>
      <c r="H888" s="10"/>
      <c r="I888" s="17"/>
      <c r="J888" s="83"/>
      <c r="K888" s="343"/>
      <c r="L888" s="347"/>
      <c r="M888" s="22"/>
      <c r="N888" s="10" t="s">
        <v>103</v>
      </c>
      <c r="O888" s="22">
        <v>0.73</v>
      </c>
      <c r="P888" s="14" t="s">
        <v>217</v>
      </c>
      <c r="Q888" s="83">
        <f>ROUNDUP(Enginuity!$B$7*12/4,0)*Enginuity!$B$6</f>
        <v>780</v>
      </c>
      <c r="U888" s="104" t="str">
        <f>IF(
  AND(
    TRIM(A888)=TRIM(Enginuity!$A$1),
    TRIM(B888)=TRIM(Enginuity!$A$17),
    Q888&lt;&gt;"",
    Q888&lt;&gt;0,
    OR(
      TRIM(C888)=TRIM(Enginuity!$A$18),
      AND(UPPER(TRIM(M888))="STD", TRIM(B888)=TRIM(Enginuity!$A$17))
    ),
    OR(
      AND(LEFT(P888,5)="1-Way", Enginuity!$B$13=1),
      AND(LEFT(P888,5)="2-Way", OR(Enginuity!$B$13=2, Enginuity!$B$13=4)),
      AND(LEFT(P888,5)="3-Way", OR(Enginuity!$B$13=3, Enginuity!$B$13=6)),
      AND(P888="Inner Centre Jamb", OR(Enginuity!$B$13=4, Enginuity!$B$13=6)),
      AND(
        LEFT(P888,5)&lt;&gt;"1-Way",
        LEFT(P888,5)&lt;&gt;"2-Way",
        LEFT(P888,5)&lt;&gt;"3-Way",
        P888&lt;&gt;"Inner Centre Jamb"
      )
    ),
    IF(OR(Enginuity!$A$1="Frameless Glass",Enginuity!$A$1="Metal Work"),
      AND(TRIM(B888)=TRIM(Enginuity!$A$17),TRIM(C888)=TRIM(Enginuity!$A$18)),
      TRIM(B888)=TRIM(Enginuity!$A$17)
    )
  ),
  ROW(),
  ""
)</f>
        <v/>
      </c>
    </row>
    <row r="889" spans="1:21" x14ac:dyDescent="0.25">
      <c r="A889" s="10" t="s">
        <v>251</v>
      </c>
      <c r="B889" s="229" t="s">
        <v>322</v>
      </c>
      <c r="C889" s="17" t="s">
        <v>323</v>
      </c>
      <c r="D889" s="14" t="str">
        <f t="shared" si="12"/>
        <v>Default</v>
      </c>
      <c r="E889" s="158" t="s">
        <v>328</v>
      </c>
      <c r="F889" s="17"/>
      <c r="G889" s="17"/>
      <c r="H889" s="10"/>
      <c r="I889" s="17"/>
      <c r="J889" s="83"/>
      <c r="K889" s="343"/>
      <c r="L889" s="347"/>
      <c r="M889" s="22"/>
      <c r="N889" s="17" t="s">
        <v>103</v>
      </c>
      <c r="O889" s="25">
        <v>0.85</v>
      </c>
      <c r="P889" s="18" t="s">
        <v>220</v>
      </c>
      <c r="Q889" s="84" t="str">
        <f>IF(OR(Enginuity!$A$20="c/w Window Opening", Enginuity!$A$20="c/w Box"),
IF(ISNUMBER(MATCH("c/w Window Opening",AllMaterialsbak!$E$51:$E$2000,0)),
(Enginuity!$B$7*(Enginuity!$B$13*2))+(Enginuity!$B$6*2),""),"")</f>
        <v/>
      </c>
      <c r="U889" s="104" t="str">
        <f>IF(
  AND(
    TRIM(A889)=TRIM(Enginuity!$A$1),
    TRIM(B889)=TRIM(Enginuity!$A$17),
    Q889&lt;&gt;"",
    Q889&lt;&gt;0,
    OR(
      TRIM(C889)=TRIM(Enginuity!$A$18),
      AND(UPPER(TRIM(M889))="STD", TRIM(B889)=TRIM(Enginuity!$A$17))
    ),
    OR(
      AND(LEFT(P889,5)="1-Way", Enginuity!$B$13=1),
      AND(LEFT(P889,5)="2-Way", OR(Enginuity!$B$13=2, Enginuity!$B$13=4)),
      AND(LEFT(P889,5)="3-Way", OR(Enginuity!$B$13=3, Enginuity!$B$13=6)),
      AND(P889="Inner Centre Jamb", OR(Enginuity!$B$13=4, Enginuity!$B$13=6)),
      AND(
        LEFT(P889,5)&lt;&gt;"1-Way",
        LEFT(P889,5)&lt;&gt;"2-Way",
        LEFT(P889,5)&lt;&gt;"3-Way",
        P889&lt;&gt;"Inner Centre Jamb"
      )
    ),
    IF(OR(Enginuity!$A$1="Frameless Glass",Enginuity!$A$1="Metal Work"),
      AND(TRIM(B889)=TRIM(Enginuity!$A$17),TRIM(C889)=TRIM(Enginuity!$A$18)),
      TRIM(B889)=TRIM(Enginuity!$A$17)
    )
  ),
  ROW(),
  ""
)</f>
        <v/>
      </c>
    </row>
    <row r="890" spans="1:21" x14ac:dyDescent="0.25">
      <c r="A890" s="10" t="s">
        <v>251</v>
      </c>
      <c r="B890" s="229" t="s">
        <v>322</v>
      </c>
      <c r="C890" s="17" t="s">
        <v>323</v>
      </c>
      <c r="D890" s="14" t="str">
        <f t="shared" si="12"/>
        <v>Default</v>
      </c>
      <c r="E890" s="158" t="s">
        <v>328</v>
      </c>
      <c r="F890" s="17"/>
      <c r="G890" s="17"/>
      <c r="H890" s="10"/>
      <c r="I890" s="17"/>
      <c r="J890" s="83"/>
      <c r="K890" s="343"/>
      <c r="L890" s="347"/>
      <c r="M890" s="22"/>
      <c r="N890" s="17" t="s">
        <v>112</v>
      </c>
      <c r="O890" s="25">
        <v>0.1</v>
      </c>
      <c r="P890" s="18" t="s">
        <v>222</v>
      </c>
      <c r="Q890" s="84" t="str">
        <f>IF(OR(Enginuity!$A$20="c/w Window Opening", Enginuity!$A$20="c/w Box"),
IF(ISNUMBER(MATCH("c/w Window Opening",AllMaterialsbak!$E$51:$E$2000,0)),Enginuity!$B$13,""),"")</f>
        <v/>
      </c>
      <c r="U890" s="104" t="str">
        <f>IF(
  AND(
    TRIM(A890)=TRIM(Enginuity!$A$1),
    TRIM(B890)=TRIM(Enginuity!$A$17),
    Q890&lt;&gt;"",
    Q890&lt;&gt;0,
    OR(
      TRIM(C890)=TRIM(Enginuity!$A$18),
      AND(UPPER(TRIM(M890))="STD", TRIM(B890)=TRIM(Enginuity!$A$17))
    ),
    OR(
      AND(LEFT(P890,5)="1-Way", Enginuity!$B$13=1),
      AND(LEFT(P890,5)="2-Way", OR(Enginuity!$B$13=2, Enginuity!$B$13=4)),
      AND(LEFT(P890,5)="3-Way", OR(Enginuity!$B$13=3, Enginuity!$B$13=6)),
      AND(P890="Inner Centre Jamb", OR(Enginuity!$B$13=4, Enginuity!$B$13=6)),
      AND(
        LEFT(P890,5)&lt;&gt;"1-Way",
        LEFT(P890,5)&lt;&gt;"2-Way",
        LEFT(P890,5)&lt;&gt;"3-Way",
        P890&lt;&gt;"Inner Centre Jamb"
      )
    ),
    IF(OR(Enginuity!$A$1="Frameless Glass",Enginuity!$A$1="Metal Work"),
      AND(TRIM(B890)=TRIM(Enginuity!$A$17),TRIM(C890)=TRIM(Enginuity!$A$18)),
      TRIM(B890)=TRIM(Enginuity!$A$17)
    )
  ),
  ROW(),
  ""
)</f>
        <v/>
      </c>
    </row>
    <row r="891" spans="1:21" x14ac:dyDescent="0.25">
      <c r="A891" s="10" t="s">
        <v>251</v>
      </c>
      <c r="B891" s="229" t="s">
        <v>322</v>
      </c>
      <c r="C891" s="17" t="s">
        <v>323</v>
      </c>
      <c r="D891" s="14" t="str">
        <f t="shared" si="12"/>
        <v>Default</v>
      </c>
      <c r="E891" s="158" t="s">
        <v>328</v>
      </c>
      <c r="F891" s="17"/>
      <c r="G891" s="17"/>
      <c r="H891" s="10"/>
      <c r="I891" s="17"/>
      <c r="J891" s="83"/>
      <c r="K891" s="343"/>
      <c r="L891" s="347"/>
      <c r="M891" s="22"/>
      <c r="N891" s="17" t="s">
        <v>112</v>
      </c>
      <c r="O891" s="25">
        <v>1.5</v>
      </c>
      <c r="P891" s="18" t="s">
        <v>223</v>
      </c>
      <c r="Q891" s="84" t="str">
        <f>IF(OR(Enginuity!$A$20="c/w Window Opening", Enginuity!$A$20="c/w Box"),
IF(ISNUMBER(MATCH("c/w Window Opening",AllMaterialsbak!E51:E2000,0)),
Enginuity!$B$13*IF(Enginuity!$B$7&lt;=4,2,IF(Enginuity!$B$7&lt;=7,3,IF(Enginuity!$B$7&lt;=9,4,5))),""),"")</f>
        <v/>
      </c>
      <c r="U891" s="104" t="str">
        <f>IF(
  AND(
    TRIM(A891)=TRIM(Enginuity!$A$1),
    TRIM(B891)=TRIM(Enginuity!$A$17),
    Q891&lt;&gt;"",
    Q891&lt;&gt;0,
    OR(
      TRIM(C891)=TRIM(Enginuity!$A$18),
      AND(UPPER(TRIM(M891))="STD", TRIM(B891)=TRIM(Enginuity!$A$17))
    ),
    OR(
      AND(LEFT(P891,5)="1-Way", Enginuity!$B$13=1),
      AND(LEFT(P891,5)="2-Way", OR(Enginuity!$B$13=2, Enginuity!$B$13=4)),
      AND(LEFT(P891,5)="3-Way", OR(Enginuity!$B$13=3, Enginuity!$B$13=6)),
      AND(P891="Inner Centre Jamb", OR(Enginuity!$B$13=4, Enginuity!$B$13=6)),
      AND(
        LEFT(P891,5)&lt;&gt;"1-Way",
        LEFT(P891,5)&lt;&gt;"2-Way",
        LEFT(P891,5)&lt;&gt;"3-Way",
        P891&lt;&gt;"Inner Centre Jamb"
      )
    ),
    IF(OR(Enginuity!$A$1="Frameless Glass",Enginuity!$A$1="Metal Work"),
      AND(TRIM(B891)=TRIM(Enginuity!$A$17),TRIM(C891)=TRIM(Enginuity!$A$18)),
      TRIM(B891)=TRIM(Enginuity!$A$17)
    )
  ),
  ROW(),
  ""
)</f>
        <v/>
      </c>
    </row>
    <row r="892" spans="1:21" x14ac:dyDescent="0.25">
      <c r="A892" s="10" t="s">
        <v>251</v>
      </c>
      <c r="B892" s="229" t="s">
        <v>322</v>
      </c>
      <c r="C892" s="10" t="s">
        <v>323</v>
      </c>
      <c r="D892" s="14" t="str">
        <f t="shared" si="12"/>
        <v>Default</v>
      </c>
      <c r="E892" s="247"/>
      <c r="F892" s="10"/>
      <c r="G892" s="17"/>
      <c r="H892" s="10"/>
      <c r="I892" s="17"/>
      <c r="J892" s="83"/>
      <c r="K892" s="343"/>
      <c r="L892" s="347"/>
      <c r="M892" s="22"/>
      <c r="N892" s="10" t="s">
        <v>112</v>
      </c>
      <c r="O892" s="22">
        <v>1</v>
      </c>
      <c r="P892" s="14" t="s">
        <v>221</v>
      </c>
      <c r="Q892" s="83">
        <f>ROUNDUP((Enginuity!$B$6*2 + Enginuity!$B$13*2*Enginuity!$B$7)/3, 0)</f>
        <v>74</v>
      </c>
      <c r="U892" s="104" t="str">
        <f>IF(
  AND(
    TRIM(A892)=TRIM(Enginuity!$A$1),
    TRIM(B892)=TRIM(Enginuity!$A$17),
    Q892&lt;&gt;"",
    Q892&lt;&gt;0,
    OR(
      TRIM(C892)=TRIM(Enginuity!$A$18),
      AND(UPPER(TRIM(M892))="STD", TRIM(B892)=TRIM(Enginuity!$A$17))
    ),
    OR(
      AND(LEFT(P892,5)="1-Way", Enginuity!$B$13=1),
      AND(LEFT(P892,5)="2-Way", OR(Enginuity!$B$13=2, Enginuity!$B$13=4)),
      AND(LEFT(P892,5)="3-Way", OR(Enginuity!$B$13=3, Enginuity!$B$13=6)),
      AND(P892="Inner Centre Jamb", OR(Enginuity!$B$13=4, Enginuity!$B$13=6)),
      AND(
        LEFT(P892,5)&lt;&gt;"1-Way",
        LEFT(P892,5)&lt;&gt;"2-Way",
        LEFT(P892,5)&lt;&gt;"3-Way",
        P892&lt;&gt;"Inner Centre Jamb"
      )
    ),
    IF(OR(Enginuity!$A$1="Frameless Glass",Enginuity!$A$1="Metal Work"),
      AND(TRIM(B892)=TRIM(Enginuity!$A$17),TRIM(C892)=TRIM(Enginuity!$A$18)),
      TRIM(B892)=TRIM(Enginuity!$A$17)
    )
  ),
  ROW(),
  ""
)</f>
        <v/>
      </c>
    </row>
    <row r="893" spans="1:21" x14ac:dyDescent="0.25">
      <c r="A893" s="10" t="s">
        <v>251</v>
      </c>
      <c r="B893" s="229" t="s">
        <v>322</v>
      </c>
      <c r="C893" s="10" t="s">
        <v>323</v>
      </c>
      <c r="D893" s="14" t="str">
        <f t="shared" si="12"/>
        <v>Default</v>
      </c>
      <c r="E893" s="247"/>
      <c r="F893" s="10"/>
      <c r="G893" s="17"/>
      <c r="H893" s="10"/>
      <c r="I893" s="17"/>
      <c r="J893" s="83"/>
      <c r="K893" s="343"/>
      <c r="L893" s="347"/>
      <c r="M893" s="22"/>
      <c r="N893" s="10" t="s">
        <v>103</v>
      </c>
      <c r="O893" s="22">
        <v>0.3</v>
      </c>
      <c r="P893" s="14" t="s">
        <v>224</v>
      </c>
      <c r="Q893" s="83">
        <f>Enginuity!$B$6*2 + Enginuity!$B$13*2*Enginuity!$B$7</f>
        <v>222</v>
      </c>
      <c r="U893" s="104" t="str">
        <f>IF(
  AND(
    TRIM(A893)=TRIM(Enginuity!$A$1),
    TRIM(B893)=TRIM(Enginuity!$A$17),
    Q893&lt;&gt;"",
    Q893&lt;&gt;0,
    OR(
      TRIM(C893)=TRIM(Enginuity!$A$18),
      AND(UPPER(TRIM(M893))="STD", TRIM(B893)=TRIM(Enginuity!$A$17))
    ),
    OR(
      AND(LEFT(P893,5)="1-Way", Enginuity!$B$13=1),
      AND(LEFT(P893,5)="2-Way", OR(Enginuity!$B$13=2, Enginuity!$B$13=4)),
      AND(LEFT(P893,5)="3-Way", OR(Enginuity!$B$13=3, Enginuity!$B$13=6)),
      AND(P893="Inner Centre Jamb", OR(Enginuity!$B$13=4, Enginuity!$B$13=6)),
      AND(
        LEFT(P893,5)&lt;&gt;"1-Way",
        LEFT(P893,5)&lt;&gt;"2-Way",
        LEFT(P893,5)&lt;&gt;"3-Way",
        P893&lt;&gt;"Inner Centre Jamb"
      )
    ),
    IF(OR(Enginuity!$A$1="Frameless Glass",Enginuity!$A$1="Metal Work"),
      AND(TRIM(B893)=TRIM(Enginuity!$A$17),TRIM(C893)=TRIM(Enginuity!$A$18)),
      TRIM(B893)=TRIM(Enginuity!$A$17)
    )
  ),
  ROW(),
  ""
)</f>
        <v/>
      </c>
    </row>
    <row r="894" spans="1:21" x14ac:dyDescent="0.25">
      <c r="A894" s="10" t="s">
        <v>251</v>
      </c>
      <c r="B894" s="229" t="s">
        <v>322</v>
      </c>
      <c r="C894" s="10" t="s">
        <v>323</v>
      </c>
      <c r="D894" s="14" t="str">
        <f t="shared" si="12"/>
        <v>Default</v>
      </c>
      <c r="E894" s="247"/>
      <c r="F894" s="10"/>
      <c r="G894" s="17"/>
      <c r="H894" s="10"/>
      <c r="I894" s="17"/>
      <c r="J894" s="83"/>
      <c r="K894" s="343"/>
      <c r="L894" s="347"/>
      <c r="M894" s="22"/>
      <c r="N894" s="10" t="s">
        <v>121</v>
      </c>
      <c r="O894" s="22">
        <v>3.5</v>
      </c>
      <c r="P894" s="14" t="s">
        <v>225</v>
      </c>
      <c r="Q894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894" s="104" t="str">
        <f>IF(
  AND(
    TRIM(A894)=TRIM(Enginuity!$A$1),
    TRIM(B894)=TRIM(Enginuity!$A$17),
    Q894&lt;&gt;"",
    Q894&lt;&gt;0,
    OR(
      TRIM(C894)=TRIM(Enginuity!$A$18),
      AND(UPPER(TRIM(M894))="STD", TRIM(B894)=TRIM(Enginuity!$A$17))
    ),
    OR(
      AND(LEFT(P894,5)="1-Way", Enginuity!$B$13=1),
      AND(LEFT(P894,5)="2-Way", OR(Enginuity!$B$13=2, Enginuity!$B$13=4)),
      AND(LEFT(P894,5)="3-Way", OR(Enginuity!$B$13=3, Enginuity!$B$13=6)),
      AND(P894="Inner Centre Jamb", OR(Enginuity!$B$13=4, Enginuity!$B$13=6)),
      AND(
        LEFT(P894,5)&lt;&gt;"1-Way",
        LEFT(P894,5)&lt;&gt;"2-Way",
        LEFT(P894,5)&lt;&gt;"3-Way",
        P894&lt;&gt;"Inner Centre Jamb"
      )
    ),
    IF(OR(Enginuity!$A$1="Frameless Glass",Enginuity!$A$1="Metal Work"),
      AND(TRIM(B894)=TRIM(Enginuity!$A$17),TRIM(C894)=TRIM(Enginuity!$A$18)),
      TRIM(B894)=TRIM(Enginuity!$A$17)
    )
  ),
  ROW(),
  ""
)</f>
        <v/>
      </c>
    </row>
    <row r="895" spans="1:21" x14ac:dyDescent="0.25">
      <c r="A895" s="10" t="s">
        <v>251</v>
      </c>
      <c r="B895" s="229" t="s">
        <v>322</v>
      </c>
      <c r="C895" s="10" t="s">
        <v>323</v>
      </c>
      <c r="D895" s="14" t="str">
        <f t="shared" si="12"/>
        <v>Default</v>
      </c>
      <c r="E895" s="247"/>
      <c r="F895" s="10"/>
      <c r="G895" s="17"/>
      <c r="H895" s="10"/>
      <c r="I895" s="17"/>
      <c r="J895" s="83"/>
      <c r="K895" s="343"/>
      <c r="L895" s="347"/>
      <c r="M895" s="22"/>
      <c r="N895" s="10" t="s">
        <v>121</v>
      </c>
      <c r="O895" s="22">
        <v>0.5</v>
      </c>
      <c r="P895" s="14" t="s">
        <v>226</v>
      </c>
      <c r="Q895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895" s="104" t="str">
        <f>IF(
  AND(
    TRIM(A895)=TRIM(Enginuity!$A$1),
    TRIM(B895)=TRIM(Enginuity!$A$17),
    Q895&lt;&gt;"",
    Q895&lt;&gt;0,
    OR(
      TRIM(C895)=TRIM(Enginuity!$A$18),
      AND(UPPER(TRIM(M895))="STD", TRIM(B895)=TRIM(Enginuity!$A$17))
    ),
    OR(
      AND(LEFT(P895,5)="1-Way", Enginuity!$B$13=1),
      AND(LEFT(P895,5)="2-Way", OR(Enginuity!$B$13=2, Enginuity!$B$13=4)),
      AND(LEFT(P895,5)="3-Way", OR(Enginuity!$B$13=3, Enginuity!$B$13=6)),
      AND(P895="Inner Centre Jamb", OR(Enginuity!$B$13=4, Enginuity!$B$13=6)),
      AND(
        LEFT(P895,5)&lt;&gt;"1-Way",
        LEFT(P895,5)&lt;&gt;"2-Way",
        LEFT(P895,5)&lt;&gt;"3-Way",
        P895&lt;&gt;"Inner Centre Jamb"
      )
    ),
    IF(OR(Enginuity!$A$1="Frameless Glass",Enginuity!$A$1="Metal Work"),
      AND(TRIM(B895)=TRIM(Enginuity!$A$17),TRIM(C895)=TRIM(Enginuity!$A$18)),
      TRIM(B895)=TRIM(Enginuity!$A$17)
    )
  ),
  ROW(),
  ""
)</f>
        <v/>
      </c>
    </row>
    <row r="896" spans="1:21" x14ac:dyDescent="0.25">
      <c r="A896" s="10" t="s">
        <v>251</v>
      </c>
      <c r="B896" s="229" t="s">
        <v>322</v>
      </c>
      <c r="C896" s="17" t="s">
        <v>323</v>
      </c>
      <c r="D896" s="14" t="str">
        <f t="shared" si="12"/>
        <v>Default</v>
      </c>
      <c r="E896" s="158" t="s">
        <v>326</v>
      </c>
      <c r="F896" s="17"/>
      <c r="G896" s="17"/>
      <c r="H896" s="10"/>
      <c r="I896" s="17"/>
      <c r="J896" s="83"/>
      <c r="K896" s="343"/>
      <c r="L896" s="347"/>
      <c r="M896" s="22"/>
      <c r="N896" s="17" t="s">
        <v>103</v>
      </c>
      <c r="O896" s="25">
        <v>0.85</v>
      </c>
      <c r="P896" s="18" t="s">
        <v>227</v>
      </c>
      <c r="Q896" s="17" t="str">
        <f>IF(Enginuity!$A$20="c/w Box", IF(OR(Enginuity!$B$7="", Enginuity!$B$8=""),"",
(Enginuity!$B$8*2 + Enginuity!$B$7*2)*2), "")</f>
        <v/>
      </c>
      <c r="U896" s="104" t="str">
        <f>IF(
  AND(
    TRIM(A896)=TRIM(Enginuity!$A$1),
    TRIM(B896)=TRIM(Enginuity!$A$17),
    Q896&lt;&gt;"",
    Q896&lt;&gt;0,
    OR(
      TRIM(C896)=TRIM(Enginuity!$A$18),
      AND(UPPER(TRIM(M896))="STD", TRIM(B896)=TRIM(Enginuity!$A$17))
    ),
    OR(
      AND(LEFT(P896,5)="1-Way", Enginuity!$B$13=1),
      AND(LEFT(P896,5)="2-Way", OR(Enginuity!$B$13=2, Enginuity!$B$13=4)),
      AND(LEFT(P896,5)="3-Way", OR(Enginuity!$B$13=3, Enginuity!$B$13=6)),
      AND(P896="Inner Centre Jamb", OR(Enginuity!$B$13=4, Enginuity!$B$13=6)),
      AND(
        LEFT(P896,5)&lt;&gt;"1-Way",
        LEFT(P896,5)&lt;&gt;"2-Way",
        LEFT(P896,5)&lt;&gt;"3-Way",
        P896&lt;&gt;"Inner Centre Jamb"
      )
    ),
    IF(OR(Enginuity!$A$1="Frameless Glass",Enginuity!$A$1="Metal Work"),
      AND(TRIM(B896)=TRIM(Enginuity!$A$17),TRIM(C896)=TRIM(Enginuity!$A$18)),
      TRIM(B896)=TRIM(Enginuity!$A$17)
    )
  ),
  ROW(),
  ""
)</f>
        <v/>
      </c>
    </row>
    <row r="897" spans="1:21" x14ac:dyDescent="0.25">
      <c r="A897" s="10" t="s">
        <v>251</v>
      </c>
      <c r="B897" s="229" t="s">
        <v>322</v>
      </c>
      <c r="C897" s="17" t="s">
        <v>323</v>
      </c>
      <c r="D897" s="14" t="str">
        <f t="shared" si="12"/>
        <v>Default</v>
      </c>
      <c r="E897" s="158" t="s">
        <v>326</v>
      </c>
      <c r="F897" s="17"/>
      <c r="G897" s="17"/>
      <c r="H897" s="10"/>
      <c r="I897" s="17"/>
      <c r="J897" s="83"/>
      <c r="K897" s="343"/>
      <c r="L897" s="347"/>
      <c r="M897" s="22"/>
      <c r="N897" s="17" t="s">
        <v>103</v>
      </c>
      <c r="O897" s="25">
        <v>0.73</v>
      </c>
      <c r="P897" s="18" t="s">
        <v>229</v>
      </c>
      <c r="Q897" s="17" t="str">
        <f>IF(Enginuity!$A$20="c/w Box", IF(OR(Enginuity!$B$7="",Enginuity!$B$8=""),"",
ROUNDUP(Enginuity!$B$7*12/4,0)*Enginuity!$B$8*2),"")</f>
        <v/>
      </c>
      <c r="U897" s="104" t="str">
        <f>IF(
  AND(
    TRIM(A897)=TRIM(Enginuity!$A$1),
    TRIM(B897)=TRIM(Enginuity!$A$17),
    Q897&lt;&gt;"",
    Q897&lt;&gt;0,
    OR(
      TRIM(C897)=TRIM(Enginuity!$A$18),
      AND(UPPER(TRIM(M897))="STD", TRIM(B897)=TRIM(Enginuity!$A$17))
    ),
    OR(
      AND(LEFT(P897,5)="1-Way", Enginuity!$B$13=1),
      AND(LEFT(P897,5)="2-Way", OR(Enginuity!$B$13=2, Enginuity!$B$13=4)),
      AND(LEFT(P897,5)="3-Way", OR(Enginuity!$B$13=3, Enginuity!$B$13=6)),
      AND(P897="Inner Centre Jamb", OR(Enginuity!$B$13=4, Enginuity!$B$13=6)),
      AND(
        LEFT(P897,5)&lt;&gt;"1-Way",
        LEFT(P897,5)&lt;&gt;"2-Way",
        LEFT(P897,5)&lt;&gt;"3-Way",
        P897&lt;&gt;"Inner Centre Jamb"
      )
    ),
    IF(OR(Enginuity!$A$1="Frameless Glass",Enginuity!$A$1="Metal Work"),
      AND(TRIM(B897)=TRIM(Enginuity!$A$17),TRIM(C897)=TRIM(Enginuity!$A$18)),
      TRIM(B897)=TRIM(Enginuity!$A$17)
    )
  ),
  ROW(),
  ""
)</f>
        <v/>
      </c>
    </row>
    <row r="898" spans="1:21" x14ac:dyDescent="0.25">
      <c r="A898" s="10" t="s">
        <v>251</v>
      </c>
      <c r="B898" s="229" t="s">
        <v>322</v>
      </c>
      <c r="C898" s="17" t="s">
        <v>323</v>
      </c>
      <c r="D898" s="14" t="str">
        <f t="shared" si="12"/>
        <v>Default</v>
      </c>
      <c r="E898" s="158" t="s">
        <v>326</v>
      </c>
      <c r="F898" s="17"/>
      <c r="G898" s="17"/>
      <c r="H898" s="10"/>
      <c r="I898" s="17"/>
      <c r="J898" s="83"/>
      <c r="K898" s="343"/>
      <c r="L898" s="347"/>
      <c r="M898" s="22"/>
      <c r="N898" s="17" t="s">
        <v>103</v>
      </c>
      <c r="O898" s="25">
        <v>0.73</v>
      </c>
      <c r="P898" s="18" t="s">
        <v>230</v>
      </c>
      <c r="Q898" s="17" t="str">
        <f>IF(Enginuity!$A$20="c/w Box", IF(OR(Enginuity!$B$3="",Enginuity!$B$8=""),"",
ROUNDUP(Enginuity!$B$3*12/4,0)*Enginuity!$B$8*2),"")</f>
        <v/>
      </c>
      <c r="U898" s="104" t="str">
        <f>IF(
  AND(
    TRIM(A898)=TRIM(Enginuity!$A$1),
    TRIM(B898)=TRIM(Enginuity!$A$17),
    Q898&lt;&gt;"",
    Q898&lt;&gt;0,
    OR(
      TRIM(C898)=TRIM(Enginuity!$A$18),
      AND(UPPER(TRIM(M898))="STD", TRIM(B898)=TRIM(Enginuity!$A$17))
    ),
    OR(
      AND(LEFT(P898,5)="1-Way", Enginuity!$B$13=1),
      AND(LEFT(P898,5)="2-Way", OR(Enginuity!$B$13=2, Enginuity!$B$13=4)),
      AND(LEFT(P898,5)="3-Way", OR(Enginuity!$B$13=3, Enginuity!$B$13=6)),
      AND(P898="Inner Centre Jamb", OR(Enginuity!$B$13=4, Enginuity!$B$13=6)),
      AND(
        LEFT(P898,5)&lt;&gt;"1-Way",
        LEFT(P898,5)&lt;&gt;"2-Way",
        LEFT(P898,5)&lt;&gt;"3-Way",
        P898&lt;&gt;"Inner Centre Jamb"
      )
    ),
    IF(OR(Enginuity!$A$1="Frameless Glass",Enginuity!$A$1="Metal Work"),
      AND(TRIM(B898)=TRIM(Enginuity!$A$17),TRIM(C898)=TRIM(Enginuity!$A$18)),
      TRIM(B898)=TRIM(Enginuity!$A$17)
    )
  ),
  ROW(),
  ""
)</f>
        <v/>
      </c>
    </row>
    <row r="899" spans="1:21" x14ac:dyDescent="0.25">
      <c r="A899" s="10" t="s">
        <v>251</v>
      </c>
      <c r="B899" s="229" t="s">
        <v>322</v>
      </c>
      <c r="C899" s="10" t="s">
        <v>323</v>
      </c>
      <c r="D899" s="14" t="str">
        <f t="shared" si="12"/>
        <v>Default</v>
      </c>
      <c r="E899" s="247"/>
      <c r="F899" s="10"/>
      <c r="G899" s="17"/>
      <c r="H899" s="10"/>
      <c r="I899" s="17"/>
      <c r="J899" s="83"/>
      <c r="K899" s="343"/>
      <c r="L899" s="347"/>
      <c r="M899" s="22"/>
      <c r="N899" s="10" t="s">
        <v>121</v>
      </c>
      <c r="O899" s="22">
        <v>3</v>
      </c>
      <c r="P899" s="14" t="s">
        <v>166</v>
      </c>
      <c r="Q899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899" s="104" t="str">
        <f>IF(
  AND(
    TRIM(A899)=TRIM(Enginuity!$A$1),
    TRIM(B899)=TRIM(Enginuity!$A$17),
    Q899&lt;&gt;"",
    Q899&lt;&gt;0,
    OR(
      TRIM(C899)=TRIM(Enginuity!$A$18),
      AND(UPPER(TRIM(M899))="STD", TRIM(B899)=TRIM(Enginuity!$A$17))
    ),
    OR(
      AND(LEFT(P899,5)="1-Way", Enginuity!$B$13=1),
      AND(LEFT(P899,5)="2-Way", OR(Enginuity!$B$13=2, Enginuity!$B$13=4)),
      AND(LEFT(P899,5)="3-Way", OR(Enginuity!$B$13=3, Enginuity!$B$13=6)),
      AND(P899="Inner Centre Jamb", OR(Enginuity!$B$13=4, Enginuity!$B$13=6)),
      AND(
        LEFT(P899,5)&lt;&gt;"1-Way",
        LEFT(P899,5)&lt;&gt;"2-Way",
        LEFT(P899,5)&lt;&gt;"3-Way",
        P899&lt;&gt;"Inner Centre Jamb"
      )
    ),
    IF(OR(Enginuity!$A$1="Frameless Glass",Enginuity!$A$1="Metal Work"),
      AND(TRIM(B899)=TRIM(Enginuity!$A$17),TRIM(C899)=TRIM(Enginuity!$A$18)),
      TRIM(B899)=TRIM(Enginuity!$A$17)
    )
  ),
  ROW(),
  ""
)</f>
        <v/>
      </c>
    </row>
    <row r="900" spans="1:21" x14ac:dyDescent="0.25">
      <c r="A900" s="10" t="s">
        <v>251</v>
      </c>
      <c r="B900" s="229" t="s">
        <v>322</v>
      </c>
      <c r="C900" s="10" t="s">
        <v>323</v>
      </c>
      <c r="D900" s="14" t="str">
        <f t="shared" si="12"/>
        <v>Default</v>
      </c>
      <c r="E900" s="247"/>
      <c r="F900" s="10"/>
      <c r="G900" s="17"/>
      <c r="H900" s="10"/>
      <c r="I900" s="17"/>
      <c r="J900" s="83"/>
      <c r="K900" s="343"/>
      <c r="L900" s="347"/>
      <c r="M900" s="22"/>
      <c r="N900" s="14"/>
      <c r="O900" s="22"/>
      <c r="P900" s="13"/>
      <c r="Q900" s="10"/>
      <c r="U900" s="104" t="str">
        <f>IF(
  AND(
    TRIM(A900)=TRIM(Enginuity!$A$1),
    TRIM(B900)=TRIM(Enginuity!$A$17),
    Q900&lt;&gt;"",
    Q900&lt;&gt;0,
    OR(
      TRIM(C900)=TRIM(Enginuity!$A$18),
      AND(UPPER(TRIM(M900))="STD", TRIM(B900)=TRIM(Enginuity!$A$17))
    ),
    OR(
      AND(LEFT(P900,5)="1-Way", Enginuity!$B$13=1),
      AND(LEFT(P900,5)="2-Way", OR(Enginuity!$B$13=2, Enginuity!$B$13=4)),
      AND(LEFT(P900,5)="3-Way", OR(Enginuity!$B$13=3, Enginuity!$B$13=6)),
      AND(P900="Inner Centre Jamb", OR(Enginuity!$B$13=4, Enginuity!$B$13=6)),
      AND(
        LEFT(P900,5)&lt;&gt;"1-Way",
        LEFT(P900,5)&lt;&gt;"2-Way",
        LEFT(P900,5)&lt;&gt;"3-Way",
        P900&lt;&gt;"Inner Centre Jamb"
      )
    ),
    IF(OR(Enginuity!$A$1="Frameless Glass",Enginuity!$A$1="Metal Work"),
      AND(TRIM(B900)=TRIM(Enginuity!$A$17),TRIM(C900)=TRIM(Enginuity!$A$18)),
      TRIM(B900)=TRIM(Enginuity!$A$17)
    )
  ),
  ROW(),
  ""
)</f>
        <v/>
      </c>
    </row>
    <row r="901" spans="1:21" x14ac:dyDescent="0.25">
      <c r="A901" s="17" t="s">
        <v>251</v>
      </c>
      <c r="B901" s="230" t="s">
        <v>322</v>
      </c>
      <c r="C901" s="17" t="s">
        <v>323</v>
      </c>
      <c r="D901" s="18" t="str">
        <f t="shared" si="12"/>
        <v>Default</v>
      </c>
      <c r="E901" s="158"/>
      <c r="F901" s="17"/>
      <c r="G901" s="17"/>
      <c r="H901" s="17"/>
      <c r="I901" s="17"/>
      <c r="J901" s="84"/>
      <c r="K901" s="343"/>
      <c r="L901" s="347"/>
      <c r="M901" s="25"/>
      <c r="N901" s="18"/>
      <c r="O901" s="25"/>
      <c r="P901" s="19"/>
      <c r="Q901" s="17"/>
      <c r="U901" s="104" t="str">
        <f>IF(
  AND(
    TRIM(A901)=TRIM(Enginuity!$A$1),
    TRIM(B901)=TRIM(Enginuity!$A$17),
    Q901&lt;&gt;"",
    Q901&lt;&gt;0,
    OR(
      TRIM(C901)=TRIM(Enginuity!$A$18),
      AND(UPPER(TRIM(M901))="STD", TRIM(B901)=TRIM(Enginuity!$A$17))
    ),
    OR(
      AND(LEFT(P901,5)="1-Way", Enginuity!$B$13=1),
      AND(LEFT(P901,5)="2-Way", OR(Enginuity!$B$13=2, Enginuity!$B$13=4)),
      AND(LEFT(P901,5)="3-Way", OR(Enginuity!$B$13=3, Enginuity!$B$13=6)),
      AND(P901="Inner Centre Jamb", OR(Enginuity!$B$13=4, Enginuity!$B$13=6)),
      AND(
        LEFT(P901,5)&lt;&gt;"1-Way",
        LEFT(P901,5)&lt;&gt;"2-Way",
        LEFT(P901,5)&lt;&gt;"3-Way",
        P901&lt;&gt;"Inner Centre Jamb"
      )
    ),
    IF(OR(Enginuity!$A$1="Frameless Glass",Enginuity!$A$1="Metal Work"),
      AND(TRIM(B901)=TRIM(Enginuity!$A$17),TRIM(C901)=TRIM(Enginuity!$A$18)),
      TRIM(B901)=TRIM(Enginuity!$A$17)
    )
  ),
  ROW(),
  ""
)</f>
        <v/>
      </c>
    </row>
    <row r="902" spans="1:21" x14ac:dyDescent="0.25">
      <c r="A902" s="10" t="s">
        <v>251</v>
      </c>
      <c r="B902" s="229" t="s">
        <v>322</v>
      </c>
      <c r="C902" s="10" t="s">
        <v>324</v>
      </c>
      <c r="D902" s="14" t="str">
        <f t="shared" si="12"/>
        <v>Default</v>
      </c>
      <c r="E902" s="247"/>
      <c r="F902" s="11"/>
      <c r="G902" s="17"/>
      <c r="H902" s="10"/>
      <c r="I902" s="17"/>
      <c r="J902" s="83"/>
      <c r="K902" s="344">
        <v>0.54646300000000003</v>
      </c>
      <c r="L902" s="347">
        <v>914.4</v>
      </c>
      <c r="M902" s="22"/>
      <c r="N902" s="76" t="s">
        <v>103</v>
      </c>
      <c r="O902" s="22">
        <v>0.85</v>
      </c>
      <c r="P902" s="14" t="s">
        <v>215</v>
      </c>
      <c r="Q902" s="83">
        <f>Enginuity!$B$6 + (Enginuity!$B$7*2)</f>
        <v>46</v>
      </c>
      <c r="U902" s="104" t="str">
        <f>IF(
  AND(
    TRIM(A902)=TRIM(Enginuity!$A$1),
    TRIM(B902)=TRIM(Enginuity!$A$17),
    Q902&lt;&gt;"",
    Q902&lt;&gt;0,
    OR(
      TRIM(C902)=TRIM(Enginuity!$A$18),
      AND(UPPER(TRIM(M902))="STD", TRIM(B902)=TRIM(Enginuity!$A$17))
    ),
    OR(
      AND(LEFT(P902,5)="1-Way", Enginuity!$B$13=1),
      AND(LEFT(P902,5)="2-Way", OR(Enginuity!$B$13=2, Enginuity!$B$13=4)),
      AND(LEFT(P902,5)="3-Way", OR(Enginuity!$B$13=3, Enginuity!$B$13=6)),
      AND(P902="Inner Centre Jamb", OR(Enginuity!$B$13=4, Enginuity!$B$13=6)),
      AND(
        LEFT(P902,5)&lt;&gt;"1-Way",
        LEFT(P902,5)&lt;&gt;"2-Way",
        LEFT(P902,5)&lt;&gt;"3-Way",
        P902&lt;&gt;"Inner Centre Jamb"
      )
    ),
    IF(OR(Enginuity!$A$1="Frameless Glass",Enginuity!$A$1="Metal Work"),
      AND(TRIM(B902)=TRIM(Enginuity!$A$17),TRIM(C902)=TRIM(Enginuity!$A$18)),
      TRIM(B902)=TRIM(Enginuity!$A$17)
    )
  ),
  ROW(),
  ""
)</f>
        <v/>
      </c>
    </row>
    <row r="903" spans="1:21" x14ac:dyDescent="0.25">
      <c r="A903" s="10" t="s">
        <v>251</v>
      </c>
      <c r="B903" s="229" t="s">
        <v>322</v>
      </c>
      <c r="C903" s="10" t="s">
        <v>324</v>
      </c>
      <c r="D903" s="14" t="str">
        <f t="shared" si="12"/>
        <v>Default</v>
      </c>
      <c r="E903" s="247"/>
      <c r="F903" s="11"/>
      <c r="G903" s="17"/>
      <c r="H903" s="10"/>
      <c r="I903" s="17"/>
      <c r="J903" s="83"/>
      <c r="K903" s="343"/>
      <c r="L903" s="347"/>
      <c r="M903" s="22"/>
      <c r="N903" s="76" t="s">
        <v>103</v>
      </c>
      <c r="O903" s="22">
        <v>0.88</v>
      </c>
      <c r="P903" s="14" t="s">
        <v>218</v>
      </c>
      <c r="Q903" s="83">
        <f>Enginuity!$B$6 + (Enginuity!$B$7*2)</f>
        <v>46</v>
      </c>
      <c r="U903" s="104" t="str">
        <f>IF(
  AND(
    TRIM(A903)=TRIM(Enginuity!$A$1),
    TRIM(B903)=TRIM(Enginuity!$A$17),
    Q903&lt;&gt;"",
    Q903&lt;&gt;0,
    OR(
      TRIM(C903)=TRIM(Enginuity!$A$18),
      AND(UPPER(TRIM(M903))="STD", TRIM(B903)=TRIM(Enginuity!$A$17))
    ),
    OR(
      AND(LEFT(P903,5)="1-Way", Enginuity!$B$13=1),
      AND(LEFT(P903,5)="2-Way", OR(Enginuity!$B$13=2, Enginuity!$B$13=4)),
      AND(LEFT(P903,5)="3-Way", OR(Enginuity!$B$13=3, Enginuity!$B$13=6)),
      AND(P903="Inner Centre Jamb", OR(Enginuity!$B$13=4, Enginuity!$B$13=6)),
      AND(
        LEFT(P903,5)&lt;&gt;"1-Way",
        LEFT(P903,5)&lt;&gt;"2-Way",
        LEFT(P903,5)&lt;&gt;"3-Way",
        P903&lt;&gt;"Inner Centre Jamb"
      )
    ),
    IF(OR(Enginuity!$A$1="Frameless Glass",Enginuity!$A$1="Metal Work"),
      AND(TRIM(B903)=TRIM(Enginuity!$A$17),TRIM(C903)=TRIM(Enginuity!$A$18)),
      TRIM(B903)=TRIM(Enginuity!$A$17)
    )
  ),
  ROW(),
  ""
)</f>
        <v/>
      </c>
    </row>
    <row r="904" spans="1:21" x14ac:dyDescent="0.25">
      <c r="A904" s="10" t="s">
        <v>251</v>
      </c>
      <c r="B904" s="229" t="s">
        <v>322</v>
      </c>
      <c r="C904" s="10" t="s">
        <v>324</v>
      </c>
      <c r="D904" s="14" t="str">
        <f t="shared" si="12"/>
        <v>Default</v>
      </c>
      <c r="E904" s="247"/>
      <c r="F904" s="10"/>
      <c r="G904" s="17"/>
      <c r="H904" s="10"/>
      <c r="I904" s="17"/>
      <c r="J904" s="83"/>
      <c r="K904" s="343"/>
      <c r="L904" s="347"/>
      <c r="M904" s="22"/>
      <c r="N904" s="76" t="s">
        <v>103</v>
      </c>
      <c r="O904" s="22">
        <v>1.41</v>
      </c>
      <c r="P904" s="14" t="s">
        <v>241</v>
      </c>
      <c r="Q904" s="83">
        <f>IFERROR((Enginuity!$B$7*(Enginuity!$B$13*2))+(Enginuity!$B$6*2),0)</f>
        <v>222</v>
      </c>
      <c r="U904" s="104" t="str">
        <f>IF(
  AND(
    TRIM(A904)=TRIM(Enginuity!$A$1),
    TRIM(B904)=TRIM(Enginuity!$A$17),
    Q904&lt;&gt;"",
    Q904&lt;&gt;0,
    OR(
      TRIM(C904)=TRIM(Enginuity!$A$18),
      AND(UPPER(TRIM(M904))="STD", TRIM(B904)=TRIM(Enginuity!$A$17))
    ),
    OR(
      AND(LEFT(P904,5)="1-Way", Enginuity!$B$13=1),
      AND(LEFT(P904,5)="2-Way", OR(Enginuity!$B$13=2, Enginuity!$B$13=4)),
      AND(LEFT(P904,5)="3-Way", OR(Enginuity!$B$13=3, Enginuity!$B$13=6)),
      AND(P904="Inner Centre Jamb", OR(Enginuity!$B$13=4, Enginuity!$B$13=6)),
      AND(
        LEFT(P904,5)&lt;&gt;"1-Way",
        LEFT(P904,5)&lt;&gt;"2-Way",
        LEFT(P904,5)&lt;&gt;"3-Way",
        P904&lt;&gt;"Inner Centre Jamb"
      )
    ),
    IF(OR(Enginuity!$A$1="Frameless Glass",Enginuity!$A$1="Metal Work"),
      AND(TRIM(B904)=TRIM(Enginuity!$A$17),TRIM(C904)=TRIM(Enginuity!$A$18)),
      TRIM(B904)=TRIM(Enginuity!$A$17)
    )
  ),
  ROW(),
  ""
)</f>
        <v/>
      </c>
    </row>
    <row r="905" spans="1:21" x14ac:dyDescent="0.25">
      <c r="A905" s="10" t="s">
        <v>251</v>
      </c>
      <c r="B905" s="229" t="s">
        <v>322</v>
      </c>
      <c r="C905" s="10" t="s">
        <v>324</v>
      </c>
      <c r="D905" s="14" t="str">
        <f t="shared" si="12"/>
        <v>Default</v>
      </c>
      <c r="E905" s="247"/>
      <c r="F905" s="10"/>
      <c r="G905" s="17"/>
      <c r="H905" s="10"/>
      <c r="I905" s="17"/>
      <c r="J905" s="83"/>
      <c r="K905" s="343"/>
      <c r="L905" s="347"/>
      <c r="M905" s="22"/>
      <c r="N905" s="76" t="s">
        <v>103</v>
      </c>
      <c r="O905" s="22">
        <v>0.85</v>
      </c>
      <c r="P905" s="14" t="s">
        <v>216</v>
      </c>
      <c r="Q905" s="83">
        <f>IF(Enginuity!$B$6 &gt; 4, Enginuity!$B$7, 0)</f>
        <v>13</v>
      </c>
      <c r="U905" s="104" t="str">
        <f>IF(
  AND(
    TRIM(A905)=TRIM(Enginuity!$A$1),
    TRIM(B905)=TRIM(Enginuity!$A$17),
    Q905&lt;&gt;"",
    Q905&lt;&gt;0,
    OR(
      TRIM(C905)=TRIM(Enginuity!$A$18),
      AND(UPPER(TRIM(M905))="STD", TRIM(B905)=TRIM(Enginuity!$A$17))
    ),
    OR(
      AND(LEFT(P905,5)="1-Way", Enginuity!$B$13=1),
      AND(LEFT(P905,5)="2-Way", OR(Enginuity!$B$13=2, Enginuity!$B$13=4)),
      AND(LEFT(P905,5)="3-Way", OR(Enginuity!$B$13=3, Enginuity!$B$13=6)),
      AND(P905="Inner Centre Jamb", OR(Enginuity!$B$13=4, Enginuity!$B$13=6)),
      AND(
        LEFT(P905,5)&lt;&gt;"1-Way",
        LEFT(P905,5)&lt;&gt;"2-Way",
        LEFT(P905,5)&lt;&gt;"3-Way",
        P905&lt;&gt;"Inner Centre Jamb"
      )
    ),
    IF(OR(Enginuity!$A$1="Frameless Glass",Enginuity!$A$1="Metal Work"),
      AND(TRIM(B905)=TRIM(Enginuity!$A$17),TRIM(C905)=TRIM(Enginuity!$A$18)),
      TRIM(B905)=TRIM(Enginuity!$A$17)
    )
  ),
  ROW(),
  ""
)</f>
        <v/>
      </c>
    </row>
    <row r="906" spans="1:21" x14ac:dyDescent="0.25">
      <c r="A906" s="10" t="s">
        <v>251</v>
      </c>
      <c r="B906" s="229" t="s">
        <v>322</v>
      </c>
      <c r="C906" s="10" t="s">
        <v>324</v>
      </c>
      <c r="D906" s="14" t="str">
        <f t="shared" si="12"/>
        <v>Default</v>
      </c>
      <c r="E906" s="247"/>
      <c r="F906" s="10"/>
      <c r="G906" s="17"/>
      <c r="H906" s="10"/>
      <c r="I906" s="17"/>
      <c r="J906" s="83"/>
      <c r="K906" s="343"/>
      <c r="L906" s="347"/>
      <c r="M906" s="22"/>
      <c r="N906" s="76" t="s">
        <v>103</v>
      </c>
      <c r="O906" s="22">
        <v>0.85</v>
      </c>
      <c r="P906" s="14" t="s">
        <v>219</v>
      </c>
      <c r="Q906" s="83">
        <f>IF(Enginuity!$B$7 &gt; 8, Enginuity!$B$6, 0)</f>
        <v>20</v>
      </c>
      <c r="U906" s="104" t="str">
        <f>IF(
  AND(
    TRIM(A906)=TRIM(Enginuity!$A$1),
    TRIM(B906)=TRIM(Enginuity!$A$17),
    Q906&lt;&gt;"",
    Q906&lt;&gt;0,
    OR(
      TRIM(C906)=TRIM(Enginuity!$A$18),
      AND(UPPER(TRIM(M906))="STD", TRIM(B906)=TRIM(Enginuity!$A$17))
    ),
    OR(
      AND(LEFT(P906,5)="1-Way", Enginuity!$B$13=1),
      AND(LEFT(P906,5)="2-Way", OR(Enginuity!$B$13=2, Enginuity!$B$13=4)),
      AND(LEFT(P906,5)="3-Way", OR(Enginuity!$B$13=3, Enginuity!$B$13=6)),
      AND(P906="Inner Centre Jamb", OR(Enginuity!$B$13=4, Enginuity!$B$13=6)),
      AND(
        LEFT(P906,5)&lt;&gt;"1-Way",
        LEFT(P906,5)&lt;&gt;"2-Way",
        LEFT(P906,5)&lt;&gt;"3-Way",
        P906&lt;&gt;"Inner Centre Jamb"
      )
    ),
    IF(OR(Enginuity!$A$1="Frameless Glass",Enginuity!$A$1="Metal Work"),
      AND(TRIM(B906)=TRIM(Enginuity!$A$17),TRIM(C906)=TRIM(Enginuity!$A$18)),
      TRIM(B906)=TRIM(Enginuity!$A$17)
    )
  ),
  ROW(),
  ""
)</f>
        <v/>
      </c>
    </row>
    <row r="907" spans="1:21" x14ac:dyDescent="0.25">
      <c r="A907" s="10" t="s">
        <v>251</v>
      </c>
      <c r="B907" s="229" t="s">
        <v>322</v>
      </c>
      <c r="C907" s="10" t="s">
        <v>324</v>
      </c>
      <c r="D907" s="14" t="str">
        <f t="shared" si="12"/>
        <v>Default</v>
      </c>
      <c r="E907" s="247"/>
      <c r="F907" s="10"/>
      <c r="G907" s="17"/>
      <c r="H907" s="10"/>
      <c r="I907" s="17"/>
      <c r="J907" s="83"/>
      <c r="K907" s="343"/>
      <c r="L907" s="347"/>
      <c r="M907" s="22"/>
      <c r="N907" s="76" t="s">
        <v>103</v>
      </c>
      <c r="O907" s="22">
        <v>0.73</v>
      </c>
      <c r="P907" s="14" t="s">
        <v>217</v>
      </c>
      <c r="Q907" s="83">
        <f>ROUNDUP(Enginuity!$B$7*12/4,0)*Enginuity!$B$6</f>
        <v>780</v>
      </c>
      <c r="U907" s="104" t="str">
        <f>IF(
  AND(
    TRIM(A907)=TRIM(Enginuity!$A$1),
    TRIM(B907)=TRIM(Enginuity!$A$17),
    Q907&lt;&gt;"",
    Q907&lt;&gt;0,
    OR(
      TRIM(C907)=TRIM(Enginuity!$A$18),
      AND(UPPER(TRIM(M907))="STD", TRIM(B907)=TRIM(Enginuity!$A$17))
    ),
    OR(
      AND(LEFT(P907,5)="1-Way", Enginuity!$B$13=1),
      AND(LEFT(P907,5)="2-Way", OR(Enginuity!$B$13=2, Enginuity!$B$13=4)),
      AND(LEFT(P907,5)="3-Way", OR(Enginuity!$B$13=3, Enginuity!$B$13=6)),
      AND(P907="Inner Centre Jamb", OR(Enginuity!$B$13=4, Enginuity!$B$13=6)),
      AND(
        LEFT(P907,5)&lt;&gt;"1-Way",
        LEFT(P907,5)&lt;&gt;"2-Way",
        LEFT(P907,5)&lt;&gt;"3-Way",
        P907&lt;&gt;"Inner Centre Jamb"
      )
    ),
    IF(OR(Enginuity!$A$1="Frameless Glass",Enginuity!$A$1="Metal Work"),
      AND(TRIM(B907)=TRIM(Enginuity!$A$17),TRIM(C907)=TRIM(Enginuity!$A$18)),
      TRIM(B907)=TRIM(Enginuity!$A$17)
    )
  ),
  ROW(),
  ""
)</f>
        <v/>
      </c>
    </row>
    <row r="908" spans="1:21" x14ac:dyDescent="0.25">
      <c r="A908" s="10" t="s">
        <v>251</v>
      </c>
      <c r="B908" s="229" t="s">
        <v>322</v>
      </c>
      <c r="C908" s="10" t="s">
        <v>324</v>
      </c>
      <c r="D908" s="14" t="str">
        <f t="shared" si="12"/>
        <v>Default</v>
      </c>
      <c r="E908" s="247"/>
      <c r="F908" s="10"/>
      <c r="G908" s="17"/>
      <c r="H908" s="10"/>
      <c r="I908" s="17"/>
      <c r="J908" s="83"/>
      <c r="K908" s="343"/>
      <c r="L908" s="347"/>
      <c r="M908" s="22"/>
      <c r="N908" s="76" t="s">
        <v>112</v>
      </c>
      <c r="O908" s="22">
        <v>2.5</v>
      </c>
      <c r="P908" s="14" t="s">
        <v>234</v>
      </c>
      <c r="Q908" s="83">
        <v>1</v>
      </c>
      <c r="U908" s="104" t="str">
        <f>IF(
  AND(
    TRIM(A908)=TRIM(Enginuity!$A$1),
    TRIM(B908)=TRIM(Enginuity!$A$17),
    Q908&lt;&gt;"",
    Q908&lt;&gt;0,
    OR(
      TRIM(C908)=TRIM(Enginuity!$A$18),
      AND(UPPER(TRIM(M908))="STD", TRIM(B908)=TRIM(Enginuity!$A$17))
    ),
    OR(
      AND(LEFT(P908,5)="1-Way", Enginuity!$B$13=1),
      AND(LEFT(P908,5)="2-Way", OR(Enginuity!$B$13=2, Enginuity!$B$13=4)),
      AND(LEFT(P908,5)="3-Way", OR(Enginuity!$B$13=3, Enginuity!$B$13=6)),
      AND(P908="Inner Centre Jamb", OR(Enginuity!$B$13=4, Enginuity!$B$13=6)),
      AND(
        LEFT(P908,5)&lt;&gt;"1-Way",
        LEFT(P908,5)&lt;&gt;"2-Way",
        LEFT(P908,5)&lt;&gt;"3-Way",
        P908&lt;&gt;"Inner Centre Jamb"
      )
    ),
    IF(OR(Enginuity!$A$1="Frameless Glass",Enginuity!$A$1="Metal Work"),
      AND(TRIM(B908)=TRIM(Enginuity!$A$17),TRIM(C908)=TRIM(Enginuity!$A$18)),
      TRIM(B908)=TRIM(Enginuity!$A$17)
    )
  ),
  ROW(),
  ""
)</f>
        <v/>
      </c>
    </row>
    <row r="909" spans="1:21" x14ac:dyDescent="0.25">
      <c r="A909" s="10" t="s">
        <v>251</v>
      </c>
      <c r="B909" s="229" t="s">
        <v>322</v>
      </c>
      <c r="C909" s="10" t="s">
        <v>324</v>
      </c>
      <c r="D909" s="14" t="str">
        <f t="shared" si="12"/>
        <v>Default</v>
      </c>
      <c r="E909" s="247"/>
      <c r="F909" s="10"/>
      <c r="G909" s="17"/>
      <c r="H909" s="10"/>
      <c r="I909" s="17"/>
      <c r="J909" s="83"/>
      <c r="K909" s="343"/>
      <c r="L909" s="347"/>
      <c r="M909" s="22"/>
      <c r="N909" s="76" t="s">
        <v>112</v>
      </c>
      <c r="O909" s="22">
        <v>0.1</v>
      </c>
      <c r="P909" s="14" t="s">
        <v>221</v>
      </c>
      <c r="Q909" s="83">
        <f>ROUNDUP((Enginuity!$B$6*2 + Enginuity!$B$13*2*Enginuity!$B$7)/3, 0)</f>
        <v>74</v>
      </c>
      <c r="U909" s="104" t="str">
        <f>IF(
  AND(
    TRIM(A909)=TRIM(Enginuity!$A$1),
    TRIM(B909)=TRIM(Enginuity!$A$17),
    Q909&lt;&gt;"",
    Q909&lt;&gt;0,
    OR(
      TRIM(C909)=TRIM(Enginuity!$A$18),
      AND(UPPER(TRIM(M909))="STD", TRIM(B909)=TRIM(Enginuity!$A$17))
    ),
    OR(
      AND(LEFT(P909,5)="1-Way", Enginuity!$B$13=1),
      AND(LEFT(P909,5)="2-Way", OR(Enginuity!$B$13=2, Enginuity!$B$13=4)),
      AND(LEFT(P909,5)="3-Way", OR(Enginuity!$B$13=3, Enginuity!$B$13=6)),
      AND(P909="Inner Centre Jamb", OR(Enginuity!$B$13=4, Enginuity!$B$13=6)),
      AND(
        LEFT(P909,5)&lt;&gt;"1-Way",
        LEFT(P909,5)&lt;&gt;"2-Way",
        LEFT(P909,5)&lt;&gt;"3-Way",
        P909&lt;&gt;"Inner Centre Jamb"
      )
    ),
    IF(OR(Enginuity!$A$1="Frameless Glass",Enginuity!$A$1="Metal Work"),
      AND(TRIM(B909)=TRIM(Enginuity!$A$17),TRIM(C909)=TRIM(Enginuity!$A$18)),
      TRIM(B909)=TRIM(Enginuity!$A$17)
    )
  ),
  ROW(),
  ""
)</f>
        <v/>
      </c>
    </row>
    <row r="910" spans="1:21" x14ac:dyDescent="0.25">
      <c r="A910" s="10" t="s">
        <v>251</v>
      </c>
      <c r="B910" s="229" t="s">
        <v>322</v>
      </c>
      <c r="C910" s="10" t="s">
        <v>324</v>
      </c>
      <c r="D910" s="14" t="str">
        <f t="shared" si="12"/>
        <v>Default</v>
      </c>
      <c r="E910" s="247"/>
      <c r="F910" s="10"/>
      <c r="G910" s="17"/>
      <c r="H910" s="10"/>
      <c r="I910" s="17"/>
      <c r="J910" s="83"/>
      <c r="K910" s="343"/>
      <c r="L910" s="347"/>
      <c r="M910" s="22"/>
      <c r="N910" s="76" t="s">
        <v>112</v>
      </c>
      <c r="O910" s="22">
        <v>55</v>
      </c>
      <c r="P910" s="14" t="s">
        <v>233</v>
      </c>
      <c r="Q910" s="83">
        <v>1</v>
      </c>
      <c r="U910" s="104" t="str">
        <f>IF(
  AND(
    TRIM(A910)=TRIM(Enginuity!$A$1),
    TRIM(B910)=TRIM(Enginuity!$A$17),
    Q910&lt;&gt;"",
    Q910&lt;&gt;0,
    OR(
      TRIM(C910)=TRIM(Enginuity!$A$18),
      AND(UPPER(TRIM(M910))="STD", TRIM(B910)=TRIM(Enginuity!$A$17))
    ),
    OR(
      AND(LEFT(P910,5)="1-Way", Enginuity!$B$13=1),
      AND(LEFT(P910,5)="2-Way", OR(Enginuity!$B$13=2, Enginuity!$B$13=4)),
      AND(LEFT(P910,5)="3-Way", OR(Enginuity!$B$13=3, Enginuity!$B$13=6)),
      AND(P910="Inner Centre Jamb", OR(Enginuity!$B$13=4, Enginuity!$B$13=6)),
      AND(
        LEFT(P910,5)&lt;&gt;"1-Way",
        LEFT(P910,5)&lt;&gt;"2-Way",
        LEFT(P910,5)&lt;&gt;"3-Way",
        P910&lt;&gt;"Inner Centre Jamb"
      )
    ),
    IF(OR(Enginuity!$A$1="Frameless Glass",Enginuity!$A$1="Metal Work"),
      AND(TRIM(B910)=TRIM(Enginuity!$A$17),TRIM(C910)=TRIM(Enginuity!$A$18)),
      TRIM(B910)=TRIM(Enginuity!$A$17)
    )
  ),
  ROW(),
  ""
)</f>
        <v/>
      </c>
    </row>
    <row r="911" spans="1:21" x14ac:dyDescent="0.25">
      <c r="A911" s="10" t="s">
        <v>251</v>
      </c>
      <c r="B911" s="229" t="s">
        <v>322</v>
      </c>
      <c r="C911" s="10" t="s">
        <v>324</v>
      </c>
      <c r="D911" s="14" t="str">
        <f t="shared" si="12"/>
        <v>Default</v>
      </c>
      <c r="E911" s="247"/>
      <c r="F911" s="10"/>
      <c r="G911" s="17"/>
      <c r="H911" s="10"/>
      <c r="I911" s="17"/>
      <c r="J911" s="83"/>
      <c r="K911" s="343"/>
      <c r="L911" s="347"/>
      <c r="M911" s="22"/>
      <c r="N911" s="76" t="s">
        <v>112</v>
      </c>
      <c r="O911" s="22">
        <v>2</v>
      </c>
      <c r="P911" s="14" t="s">
        <v>223</v>
      </c>
      <c r="Q911" s="83">
        <f>Enginuity!$B$13 *
 IF(Enginuity!$B$7&lt;8,3,
 IF(Enginuity!$B$7&lt;10,4,
 IF(Enginuity!$B$7&lt;12,5,
 6)))</f>
        <v>42</v>
      </c>
      <c r="U911" s="104" t="str">
        <f>IF(
  AND(
    TRIM(A911)=TRIM(Enginuity!$A$1),
    TRIM(B911)=TRIM(Enginuity!$A$17),
    Q911&lt;&gt;"",
    Q911&lt;&gt;0,
    OR(
      TRIM(C911)=TRIM(Enginuity!$A$18),
      AND(UPPER(TRIM(M911))="STD", TRIM(B911)=TRIM(Enginuity!$A$17))
    ),
    OR(
      AND(LEFT(P911,5)="1-Way", Enginuity!$B$13=1),
      AND(LEFT(P911,5)="2-Way", OR(Enginuity!$B$13=2, Enginuity!$B$13=4)),
      AND(LEFT(P911,5)="3-Way", OR(Enginuity!$B$13=3, Enginuity!$B$13=6)),
      AND(P911="Inner Centre Jamb", OR(Enginuity!$B$13=4, Enginuity!$B$13=6)),
      AND(
        LEFT(P911,5)&lt;&gt;"1-Way",
        LEFT(P911,5)&lt;&gt;"2-Way",
        LEFT(P911,5)&lt;&gt;"3-Way",
        P911&lt;&gt;"Inner Centre Jamb"
      )
    ),
    IF(OR(Enginuity!$A$1="Frameless Glass",Enginuity!$A$1="Metal Work"),
      AND(TRIM(B911)=TRIM(Enginuity!$A$17),TRIM(C911)=TRIM(Enginuity!$A$18)),
      TRIM(B911)=TRIM(Enginuity!$A$17)
    )
  ),
  ROW(),
  ""
)</f>
        <v/>
      </c>
    </row>
    <row r="912" spans="1:21" x14ac:dyDescent="0.25">
      <c r="A912" s="10" t="s">
        <v>251</v>
      </c>
      <c r="B912" s="229" t="s">
        <v>322</v>
      </c>
      <c r="C912" s="10" t="s">
        <v>324</v>
      </c>
      <c r="D912" s="14" t="str">
        <f t="shared" si="12"/>
        <v>Default</v>
      </c>
      <c r="E912" s="247"/>
      <c r="F912" s="10"/>
      <c r="G912" s="17"/>
      <c r="H912" s="10"/>
      <c r="I912" s="17"/>
      <c r="J912" s="83"/>
      <c r="K912" s="343"/>
      <c r="L912" s="347"/>
      <c r="M912" s="22"/>
      <c r="N912" s="76" t="s">
        <v>111</v>
      </c>
      <c r="O912" s="22">
        <v>2.5</v>
      </c>
      <c r="P912" s="14" t="s">
        <v>234</v>
      </c>
      <c r="Q912" s="83">
        <v>1</v>
      </c>
      <c r="U912" s="104" t="str">
        <f>IF(
  AND(
    TRIM(A912)=TRIM(Enginuity!$A$1),
    TRIM(B912)=TRIM(Enginuity!$A$17),
    Q912&lt;&gt;"",
    Q912&lt;&gt;0,
    OR(
      TRIM(C912)=TRIM(Enginuity!$A$18),
      AND(UPPER(TRIM(M912))="STD", TRIM(B912)=TRIM(Enginuity!$A$17))
    ),
    OR(
      AND(LEFT(P912,5)="1-Way", Enginuity!$B$13=1),
      AND(LEFT(P912,5)="2-Way", OR(Enginuity!$B$13=2, Enginuity!$B$13=4)),
      AND(LEFT(P912,5)="3-Way", OR(Enginuity!$B$13=3, Enginuity!$B$13=6)),
      AND(P912="Inner Centre Jamb", OR(Enginuity!$B$13=4, Enginuity!$B$13=6)),
      AND(
        LEFT(P912,5)&lt;&gt;"1-Way",
        LEFT(P912,5)&lt;&gt;"2-Way",
        LEFT(P912,5)&lt;&gt;"3-Way",
        P912&lt;&gt;"Inner Centre Jamb"
      )
    ),
    IF(OR(Enginuity!$A$1="Frameless Glass",Enginuity!$A$1="Metal Work"),
      AND(TRIM(B912)=TRIM(Enginuity!$A$17),TRIM(C912)=TRIM(Enginuity!$A$18)),
      TRIM(B912)=TRIM(Enginuity!$A$17)
    )
  ),
  ROW(),
  ""
)</f>
        <v/>
      </c>
    </row>
    <row r="913" spans="1:21" x14ac:dyDescent="0.25">
      <c r="A913" s="10" t="s">
        <v>251</v>
      </c>
      <c r="B913" s="229" t="s">
        <v>322</v>
      </c>
      <c r="C913" s="10" t="s">
        <v>324</v>
      </c>
      <c r="D913" s="14" t="str">
        <f t="shared" si="12"/>
        <v>Default</v>
      </c>
      <c r="E913" s="247"/>
      <c r="F913" s="10"/>
      <c r="G913" s="17"/>
      <c r="H913" s="10"/>
      <c r="I913" s="17"/>
      <c r="J913" s="83"/>
      <c r="K913" s="343"/>
      <c r="L913" s="347"/>
      <c r="M913" s="22"/>
      <c r="N913" s="76" t="s">
        <v>103</v>
      </c>
      <c r="O913" s="22">
        <v>0.3</v>
      </c>
      <c r="P913" s="14" t="s">
        <v>224</v>
      </c>
      <c r="Q913" s="83">
        <v>1</v>
      </c>
      <c r="U913" s="104" t="str">
        <f>IF(
  AND(
    TRIM(A913)=TRIM(Enginuity!$A$1),
    TRIM(B913)=TRIM(Enginuity!$A$17),
    Q913&lt;&gt;"",
    Q913&lt;&gt;0,
    OR(
      TRIM(C913)=TRIM(Enginuity!$A$18),
      AND(UPPER(TRIM(M913))="STD", TRIM(B913)=TRIM(Enginuity!$A$17))
    ),
    OR(
      AND(LEFT(P913,5)="1-Way", Enginuity!$B$13=1),
      AND(LEFT(P913,5)="2-Way", OR(Enginuity!$B$13=2, Enginuity!$B$13=4)),
      AND(LEFT(P913,5)="3-Way", OR(Enginuity!$B$13=3, Enginuity!$B$13=6)),
      AND(P913="Inner Centre Jamb", OR(Enginuity!$B$13=4, Enginuity!$B$13=6)),
      AND(
        LEFT(P913,5)&lt;&gt;"1-Way",
        LEFT(P913,5)&lt;&gt;"2-Way",
        LEFT(P913,5)&lt;&gt;"3-Way",
        P913&lt;&gt;"Inner Centre Jamb"
      )
    ),
    IF(OR(Enginuity!$A$1="Frameless Glass",Enginuity!$A$1="Metal Work"),
      AND(TRIM(B913)=TRIM(Enginuity!$A$17),TRIM(C913)=TRIM(Enginuity!$A$18)),
      TRIM(B913)=TRIM(Enginuity!$A$17)
    )
  ),
  ROW(),
  ""
)</f>
        <v/>
      </c>
    </row>
    <row r="914" spans="1:21" x14ac:dyDescent="0.25">
      <c r="A914" s="10" t="s">
        <v>251</v>
      </c>
      <c r="B914" s="229" t="s">
        <v>322</v>
      </c>
      <c r="C914" s="10" t="s">
        <v>324</v>
      </c>
      <c r="D914" s="14" t="str">
        <f t="shared" si="12"/>
        <v>Default</v>
      </c>
      <c r="E914" s="247"/>
      <c r="F914" s="10"/>
      <c r="G914" s="17"/>
      <c r="H914" s="10"/>
      <c r="I914" s="17"/>
      <c r="J914" s="83"/>
      <c r="K914" s="343"/>
      <c r="L914" s="347"/>
      <c r="M914" s="22"/>
      <c r="N914" s="76" t="s">
        <v>121</v>
      </c>
      <c r="O914" s="22">
        <v>3.5</v>
      </c>
      <c r="P914" s="14" t="s">
        <v>225</v>
      </c>
      <c r="Q914" s="83">
        <f>IF(
  ISNUMBER(SEARCH("Grill Box", Enginuity!$A$19)),
  IFERROR(Enginuity!$B$10, 0),
  IFERROR(Enginuity!$B$9, 0)
)</f>
        <v>260</v>
      </c>
      <c r="U914" s="104" t="str">
        <f>IF(
  AND(
    TRIM(A914)=TRIM(Enginuity!$A$1),
    TRIM(B914)=TRIM(Enginuity!$A$17),
    Q914&lt;&gt;"",
    Q914&lt;&gt;0,
    OR(
      TRIM(C914)=TRIM(Enginuity!$A$18),
      AND(UPPER(TRIM(M914))="STD", TRIM(B914)=TRIM(Enginuity!$A$17))
    ),
    OR(
      AND(LEFT(P914,5)="1-Way", Enginuity!$B$13=1),
      AND(LEFT(P914,5)="2-Way", OR(Enginuity!$B$13=2, Enginuity!$B$13=4)),
      AND(LEFT(P914,5)="3-Way", OR(Enginuity!$B$13=3, Enginuity!$B$13=6)),
      AND(P914="Inner Centre Jamb", OR(Enginuity!$B$13=4, Enginuity!$B$13=6)),
      AND(
        LEFT(P914,5)&lt;&gt;"1-Way",
        LEFT(P914,5)&lt;&gt;"2-Way",
        LEFT(P914,5)&lt;&gt;"3-Way",
        P914&lt;&gt;"Inner Centre Jamb"
      )
    ),
    IF(OR(Enginuity!$A$1="Frameless Glass",Enginuity!$A$1="Metal Work"),
      AND(TRIM(B914)=TRIM(Enginuity!$A$17),TRIM(C914)=TRIM(Enginuity!$A$18)),
      TRIM(B914)=TRIM(Enginuity!$A$17)
    )
  ),
  ROW(),
  ""
)</f>
        <v/>
      </c>
    </row>
    <row r="915" spans="1:21" x14ac:dyDescent="0.25">
      <c r="A915" s="10" t="s">
        <v>251</v>
      </c>
      <c r="B915" s="229" t="s">
        <v>322</v>
      </c>
      <c r="C915" s="10" t="s">
        <v>324</v>
      </c>
      <c r="D915" s="14" t="str">
        <f t="shared" si="12"/>
        <v>Default</v>
      </c>
      <c r="E915" s="247"/>
      <c r="F915" s="10"/>
      <c r="G915" s="17"/>
      <c r="H915" s="10"/>
      <c r="I915" s="17"/>
      <c r="J915" s="83"/>
      <c r="K915" s="343"/>
      <c r="L915" s="347"/>
      <c r="M915" s="22"/>
      <c r="N915" s="76" t="s">
        <v>228</v>
      </c>
      <c r="O915" s="22">
        <f>Enginuity!$B$9 * 0.5</f>
        <v>130</v>
      </c>
      <c r="P915" s="14" t="s">
        <v>226</v>
      </c>
      <c r="Q915" s="83">
        <v>0.5</v>
      </c>
      <c r="U915" s="104" t="str">
        <f>IF(
  AND(
    TRIM(A915)=TRIM(Enginuity!$A$1),
    TRIM(B915)=TRIM(Enginuity!$A$17),
    Q915&lt;&gt;"",
    Q915&lt;&gt;0,
    OR(
      TRIM(C915)=TRIM(Enginuity!$A$18),
      AND(UPPER(TRIM(M915))="STD", TRIM(B915)=TRIM(Enginuity!$A$17))
    ),
    OR(
      AND(LEFT(P915,5)="1-Way", Enginuity!$B$13=1),
      AND(LEFT(P915,5)="2-Way", OR(Enginuity!$B$13=2, Enginuity!$B$13=4)),
      AND(LEFT(P915,5)="3-Way", OR(Enginuity!$B$13=3, Enginuity!$B$13=6)),
      AND(P915="Inner Centre Jamb", OR(Enginuity!$B$13=4, Enginuity!$B$13=6)),
      AND(
        LEFT(P915,5)&lt;&gt;"1-Way",
        LEFT(P915,5)&lt;&gt;"2-Way",
        LEFT(P915,5)&lt;&gt;"3-Way",
        P915&lt;&gt;"Inner Centre Jamb"
      )
    ),
    IF(OR(Enginuity!$A$1="Frameless Glass",Enginuity!$A$1="Metal Work"),
      AND(TRIM(B915)=TRIM(Enginuity!$A$17),TRIM(C915)=TRIM(Enginuity!$A$18)),
      TRIM(B915)=TRIM(Enginuity!$A$17)
    )
  ),
  ROW(),
  ""
)</f>
        <v/>
      </c>
    </row>
    <row r="916" spans="1:21" x14ac:dyDescent="0.25">
      <c r="A916" s="10" t="s">
        <v>251</v>
      </c>
      <c r="B916" s="229" t="s">
        <v>322</v>
      </c>
      <c r="C916" s="10" t="s">
        <v>324</v>
      </c>
      <c r="D916" s="14" t="str">
        <f t="shared" si="12"/>
        <v>Default</v>
      </c>
      <c r="E916" s="247"/>
      <c r="F916" s="10"/>
      <c r="G916" s="17"/>
      <c r="H916" s="10"/>
      <c r="I916" s="17"/>
      <c r="J916" s="83"/>
      <c r="K916" s="343"/>
      <c r="L916" s="347"/>
      <c r="M916" s="22"/>
      <c r="N916" s="76" t="s">
        <v>112</v>
      </c>
      <c r="O916" s="22">
        <v>15</v>
      </c>
      <c r="P916" s="14" t="s">
        <v>236</v>
      </c>
      <c r="Q916" s="83">
        <f>IF(Enginuity!$B$6 &gt; 4, 2, 0)</f>
        <v>2</v>
      </c>
      <c r="U916" s="104" t="str">
        <f>IF(
  AND(
    TRIM(A916)=TRIM(Enginuity!$A$1),
    TRIM(B916)=TRIM(Enginuity!$A$17),
    Q916&lt;&gt;"",
    Q916&lt;&gt;0,
    OR(
      TRIM(C916)=TRIM(Enginuity!$A$18),
      AND(UPPER(TRIM(M916))="STD", TRIM(B916)=TRIM(Enginuity!$A$17))
    ),
    OR(
      AND(LEFT(P916,5)="1-Way", Enginuity!$B$13=1),
      AND(LEFT(P916,5)="2-Way", OR(Enginuity!$B$13=2, Enginuity!$B$13=4)),
      AND(LEFT(P916,5)="3-Way", OR(Enginuity!$B$13=3, Enginuity!$B$13=6)),
      AND(P916="Inner Centre Jamb", OR(Enginuity!$B$13=4, Enginuity!$B$13=6)),
      AND(
        LEFT(P916,5)&lt;&gt;"1-Way",
        LEFT(P916,5)&lt;&gt;"2-Way",
        LEFT(P916,5)&lt;&gt;"3-Way",
        P916&lt;&gt;"Inner Centre Jamb"
      )
    ),
    IF(OR(Enginuity!$A$1="Frameless Glass",Enginuity!$A$1="Metal Work"),
      AND(TRIM(B916)=TRIM(Enginuity!$A$17),TRIM(C916)=TRIM(Enginuity!$A$18)),
      TRIM(B916)=TRIM(Enginuity!$A$17)
    )
  ),
  ROW(),
  ""
)</f>
        <v/>
      </c>
    </row>
    <row r="917" spans="1:21" x14ac:dyDescent="0.25">
      <c r="A917" s="10" t="s">
        <v>251</v>
      </c>
      <c r="B917" s="229" t="s">
        <v>322</v>
      </c>
      <c r="C917" s="10" t="s">
        <v>324</v>
      </c>
      <c r="D917" s="14" t="str">
        <f t="shared" si="12"/>
        <v>Default</v>
      </c>
      <c r="E917" s="247"/>
      <c r="F917" s="10"/>
      <c r="G917" s="17"/>
      <c r="H917" s="10"/>
      <c r="I917" s="17"/>
      <c r="J917" s="83"/>
      <c r="K917" s="343"/>
      <c r="L917" s="347"/>
      <c r="M917" s="22"/>
      <c r="N917" s="76" t="s">
        <v>121</v>
      </c>
      <c r="O917" s="22">
        <v>4</v>
      </c>
      <c r="P917" s="14" t="s">
        <v>166</v>
      </c>
      <c r="Q917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917" s="104" t="str">
        <f>IF(
  AND(
    TRIM(A917)=TRIM(Enginuity!$A$1),
    TRIM(B917)=TRIM(Enginuity!$A$17),
    Q917&lt;&gt;"",
    Q917&lt;&gt;0,
    OR(
      TRIM(C917)=TRIM(Enginuity!$A$18),
      AND(UPPER(TRIM(M917))="STD", TRIM(B917)=TRIM(Enginuity!$A$17))
    ),
    OR(
      AND(LEFT(P917,5)="1-Way", Enginuity!$B$13=1),
      AND(LEFT(P917,5)="2-Way", OR(Enginuity!$B$13=2, Enginuity!$B$13=4)),
      AND(LEFT(P917,5)="3-Way", OR(Enginuity!$B$13=3, Enginuity!$B$13=6)),
      AND(P917="Inner Centre Jamb", OR(Enginuity!$B$13=4, Enginuity!$B$13=6)),
      AND(
        LEFT(P917,5)&lt;&gt;"1-Way",
        LEFT(P917,5)&lt;&gt;"2-Way",
        LEFT(P917,5)&lt;&gt;"3-Way",
        P917&lt;&gt;"Inner Centre Jamb"
      )
    ),
    IF(OR(Enginuity!$A$1="Frameless Glass",Enginuity!$A$1="Metal Work"),
      AND(TRIM(B917)=TRIM(Enginuity!$A$17),TRIM(C917)=TRIM(Enginuity!$A$18)),
      TRIM(B917)=TRIM(Enginuity!$A$17)
    )
  ),
  ROW(),
  ""
)</f>
        <v/>
      </c>
    </row>
    <row r="918" spans="1:21" x14ac:dyDescent="0.25">
      <c r="A918" s="10" t="s">
        <v>251</v>
      </c>
      <c r="B918" s="229" t="s">
        <v>322</v>
      </c>
      <c r="C918" s="10" t="s">
        <v>324</v>
      </c>
      <c r="D918" s="14" t="str">
        <f t="shared" si="12"/>
        <v>Default</v>
      </c>
      <c r="E918" s="247"/>
      <c r="F918" s="10"/>
      <c r="G918" s="17"/>
      <c r="H918" s="10"/>
      <c r="I918" s="17"/>
      <c r="J918" s="83"/>
      <c r="K918" s="343"/>
      <c r="L918" s="347"/>
      <c r="M918" s="22"/>
      <c r="N918" s="14"/>
      <c r="O918" s="22"/>
      <c r="P918" s="13"/>
      <c r="Q918" s="10"/>
      <c r="U918" s="104" t="str">
        <f>IF(
  AND(
    TRIM(A918)=TRIM(Enginuity!$A$1),
    TRIM(B918)=TRIM(Enginuity!$A$17),
    Q918&lt;&gt;"",
    Q918&lt;&gt;0,
    OR(
      TRIM(C918)=TRIM(Enginuity!$A$18),
      AND(UPPER(TRIM(M918))="STD", TRIM(B918)=TRIM(Enginuity!$A$17))
    ),
    OR(
      AND(LEFT(P918,5)="1-Way", Enginuity!$B$13=1),
      AND(LEFT(P918,5)="2-Way", OR(Enginuity!$B$13=2, Enginuity!$B$13=4)),
      AND(LEFT(P918,5)="3-Way", OR(Enginuity!$B$13=3, Enginuity!$B$13=6)),
      AND(P918="Inner Centre Jamb", OR(Enginuity!$B$13=4, Enginuity!$B$13=6)),
      AND(
        LEFT(P918,5)&lt;&gt;"1-Way",
        LEFT(P918,5)&lt;&gt;"2-Way",
        LEFT(P918,5)&lt;&gt;"3-Way",
        P918&lt;&gt;"Inner Centre Jamb"
      )
    ),
    IF(OR(Enginuity!$A$1="Frameless Glass",Enginuity!$A$1="Metal Work"),
      AND(TRIM(B918)=TRIM(Enginuity!$A$17),TRIM(C918)=TRIM(Enginuity!$A$18)),
      TRIM(B918)=TRIM(Enginuity!$A$17)
    )
  ),
  ROW(),
  ""
)</f>
        <v/>
      </c>
    </row>
    <row r="919" spans="1:21" x14ac:dyDescent="0.25">
      <c r="A919" s="10" t="s">
        <v>251</v>
      </c>
      <c r="B919" s="229" t="s">
        <v>322</v>
      </c>
      <c r="C919" s="10" t="s">
        <v>324</v>
      </c>
      <c r="D919" s="14" t="str">
        <f t="shared" si="12"/>
        <v>Default</v>
      </c>
      <c r="E919" s="247"/>
      <c r="F919" s="10"/>
      <c r="G919" s="17"/>
      <c r="H919" s="10"/>
      <c r="I919" s="17"/>
      <c r="J919" s="83"/>
      <c r="K919" s="343"/>
      <c r="L919" s="347"/>
      <c r="M919" s="22"/>
      <c r="N919" s="14"/>
      <c r="O919" s="22"/>
      <c r="P919" s="13"/>
      <c r="Q919" s="10"/>
      <c r="U919" s="104" t="str">
        <f>IF(
  AND(
    TRIM(A919)=TRIM(Enginuity!$A$1),
    TRIM(B919)=TRIM(Enginuity!$A$17),
    Q919&lt;&gt;"",
    Q919&lt;&gt;0,
    OR(
      TRIM(C919)=TRIM(Enginuity!$A$18),
      AND(UPPER(TRIM(M919))="STD", TRIM(B919)=TRIM(Enginuity!$A$17))
    ),
    OR(
      AND(LEFT(P919,5)="1-Way", Enginuity!$B$13=1),
      AND(LEFT(P919,5)="2-Way", OR(Enginuity!$B$13=2, Enginuity!$B$13=4)),
      AND(LEFT(P919,5)="3-Way", OR(Enginuity!$B$13=3, Enginuity!$B$13=6)),
      AND(P919="Inner Centre Jamb", OR(Enginuity!$B$13=4, Enginuity!$B$13=6)),
      AND(
        LEFT(P919,5)&lt;&gt;"1-Way",
        LEFT(P919,5)&lt;&gt;"2-Way",
        LEFT(P919,5)&lt;&gt;"3-Way",
        P919&lt;&gt;"Inner Centre Jamb"
      )
    ),
    IF(OR(Enginuity!$A$1="Frameless Glass",Enginuity!$A$1="Metal Work"),
      AND(TRIM(B919)=TRIM(Enginuity!$A$17),TRIM(C919)=TRIM(Enginuity!$A$18)),
      TRIM(B919)=TRIM(Enginuity!$A$17)
    )
  ),
  ROW(),
  ""
)</f>
        <v/>
      </c>
    </row>
    <row r="920" spans="1:21" x14ac:dyDescent="0.25">
      <c r="A920" s="10" t="s">
        <v>251</v>
      </c>
      <c r="B920" s="229" t="s">
        <v>322</v>
      </c>
      <c r="C920" s="10" t="s">
        <v>324</v>
      </c>
      <c r="D920" s="14" t="str">
        <f t="shared" si="12"/>
        <v>Default</v>
      </c>
      <c r="E920" s="247"/>
      <c r="F920" s="10"/>
      <c r="G920" s="17"/>
      <c r="H920" s="10"/>
      <c r="I920" s="17"/>
      <c r="J920" s="83"/>
      <c r="K920" s="343"/>
      <c r="L920" s="347"/>
      <c r="M920" s="22"/>
      <c r="N920" s="14"/>
      <c r="O920" s="22"/>
      <c r="P920" s="13"/>
      <c r="Q920" s="10"/>
      <c r="U920" s="104" t="str">
        <f>IF(
  AND(
    TRIM(A920)=TRIM(Enginuity!$A$1),
    TRIM(B920)=TRIM(Enginuity!$A$17),
    Q920&lt;&gt;"",
    Q920&lt;&gt;0,
    OR(
      TRIM(C920)=TRIM(Enginuity!$A$18),
      AND(UPPER(TRIM(M920))="STD", TRIM(B920)=TRIM(Enginuity!$A$17))
    ),
    OR(
      AND(LEFT(P920,5)="1-Way", Enginuity!$B$13=1),
      AND(LEFT(P920,5)="2-Way", OR(Enginuity!$B$13=2, Enginuity!$B$13=4)),
      AND(LEFT(P920,5)="3-Way", OR(Enginuity!$B$13=3, Enginuity!$B$13=6)),
      AND(P920="Inner Centre Jamb", OR(Enginuity!$B$13=4, Enginuity!$B$13=6)),
      AND(
        LEFT(P920,5)&lt;&gt;"1-Way",
        LEFT(P920,5)&lt;&gt;"2-Way",
        LEFT(P920,5)&lt;&gt;"3-Way",
        P920&lt;&gt;"Inner Centre Jamb"
      )
    ),
    IF(OR(Enginuity!$A$1="Frameless Glass",Enginuity!$A$1="Metal Work"),
      AND(TRIM(B920)=TRIM(Enginuity!$A$17),TRIM(C920)=TRIM(Enginuity!$A$18)),
      TRIM(B920)=TRIM(Enginuity!$A$17)
    )
  ),
  ROW(),
  ""
)</f>
        <v/>
      </c>
    </row>
    <row r="921" spans="1:21" x14ac:dyDescent="0.25">
      <c r="A921" s="10" t="s">
        <v>251</v>
      </c>
      <c r="B921" s="229" t="s">
        <v>322</v>
      </c>
      <c r="C921" s="10" t="s">
        <v>324</v>
      </c>
      <c r="D921" s="14" t="str">
        <f t="shared" si="12"/>
        <v>Default</v>
      </c>
      <c r="E921" s="247"/>
      <c r="F921" s="10"/>
      <c r="G921" s="17"/>
      <c r="H921" s="10"/>
      <c r="I921" s="17"/>
      <c r="J921" s="83"/>
      <c r="K921" s="343"/>
      <c r="L921" s="347"/>
      <c r="M921" s="22"/>
      <c r="N921" s="14"/>
      <c r="O921" s="22"/>
      <c r="P921" s="13"/>
      <c r="Q921" s="10"/>
      <c r="U921" s="104" t="str">
        <f>IF(
  AND(
    TRIM(A921)=TRIM(Enginuity!$A$1),
    TRIM(B921)=TRIM(Enginuity!$A$17),
    Q921&lt;&gt;"",
    Q921&lt;&gt;0,
    OR(
      TRIM(C921)=TRIM(Enginuity!$A$18),
      AND(UPPER(TRIM(M921))="STD", TRIM(B921)=TRIM(Enginuity!$A$17))
    ),
    OR(
      AND(LEFT(P921,5)="1-Way", Enginuity!$B$13=1),
      AND(LEFT(P921,5)="2-Way", OR(Enginuity!$B$13=2, Enginuity!$B$13=4)),
      AND(LEFT(P921,5)="3-Way", OR(Enginuity!$B$13=3, Enginuity!$B$13=6)),
      AND(P921="Inner Centre Jamb", OR(Enginuity!$B$13=4, Enginuity!$B$13=6)),
      AND(
        LEFT(P921,5)&lt;&gt;"1-Way",
        LEFT(P921,5)&lt;&gt;"2-Way",
        LEFT(P921,5)&lt;&gt;"3-Way",
        P921&lt;&gt;"Inner Centre Jamb"
      )
    ),
    IF(OR(Enginuity!$A$1="Frameless Glass",Enginuity!$A$1="Metal Work"),
      AND(TRIM(B921)=TRIM(Enginuity!$A$17),TRIM(C921)=TRIM(Enginuity!$A$18)),
      TRIM(B921)=TRIM(Enginuity!$A$17)
    )
  ),
  ROW(),
  ""
)</f>
        <v/>
      </c>
    </row>
    <row r="922" spans="1:21" x14ac:dyDescent="0.25">
      <c r="A922" s="10" t="s">
        <v>251</v>
      </c>
      <c r="B922" s="229" t="s">
        <v>322</v>
      </c>
      <c r="C922" s="10" t="s">
        <v>324</v>
      </c>
      <c r="D922" s="14" t="str">
        <f t="shared" si="12"/>
        <v>Default</v>
      </c>
      <c r="E922" s="247"/>
      <c r="F922" s="10"/>
      <c r="G922" s="17"/>
      <c r="H922" s="10"/>
      <c r="I922" s="17"/>
      <c r="J922" s="83"/>
      <c r="K922" s="343"/>
      <c r="L922" s="347"/>
      <c r="M922" s="22"/>
      <c r="N922" s="14"/>
      <c r="O922" s="22"/>
      <c r="P922" s="13"/>
      <c r="Q922" s="10"/>
      <c r="U922" s="104" t="str">
        <f>IF(
  AND(
    TRIM(A922)=TRIM(Enginuity!$A$1),
    TRIM(B922)=TRIM(Enginuity!$A$17),
    Q922&lt;&gt;"",
    Q922&lt;&gt;0,
    OR(
      TRIM(C922)=TRIM(Enginuity!$A$18),
      AND(UPPER(TRIM(M922))="STD", TRIM(B922)=TRIM(Enginuity!$A$17))
    ),
    OR(
      AND(LEFT(P922,5)="1-Way", Enginuity!$B$13=1),
      AND(LEFT(P922,5)="2-Way", OR(Enginuity!$B$13=2, Enginuity!$B$13=4)),
      AND(LEFT(P922,5)="3-Way", OR(Enginuity!$B$13=3, Enginuity!$B$13=6)),
      AND(P922="Inner Centre Jamb", OR(Enginuity!$B$13=4, Enginuity!$B$13=6)),
      AND(
        LEFT(P922,5)&lt;&gt;"1-Way",
        LEFT(P922,5)&lt;&gt;"2-Way",
        LEFT(P922,5)&lt;&gt;"3-Way",
        P922&lt;&gt;"Inner Centre Jamb"
      )
    ),
    IF(OR(Enginuity!$A$1="Frameless Glass",Enginuity!$A$1="Metal Work"),
      AND(TRIM(B922)=TRIM(Enginuity!$A$17),TRIM(C922)=TRIM(Enginuity!$A$18)),
      TRIM(B922)=TRIM(Enginuity!$A$17)
    )
  ),
  ROW(),
  ""
)</f>
        <v/>
      </c>
    </row>
    <row r="923" spans="1:21" x14ac:dyDescent="0.25">
      <c r="A923" s="10" t="s">
        <v>251</v>
      </c>
      <c r="B923" s="229" t="s">
        <v>322</v>
      </c>
      <c r="C923" s="10" t="s">
        <v>324</v>
      </c>
      <c r="D923" s="14" t="str">
        <f t="shared" si="12"/>
        <v>Default</v>
      </c>
      <c r="E923" s="247"/>
      <c r="F923" s="10"/>
      <c r="G923" s="17"/>
      <c r="H923" s="10"/>
      <c r="I923" s="17"/>
      <c r="J923" s="83"/>
      <c r="K923" s="343"/>
      <c r="L923" s="347"/>
      <c r="M923" s="22"/>
      <c r="N923" s="14"/>
      <c r="O923" s="22"/>
      <c r="P923" s="13"/>
      <c r="Q923" s="10"/>
      <c r="U923" s="104" t="str">
        <f>IF(
  AND(
    TRIM(A923)=TRIM(Enginuity!$A$1),
    TRIM(B923)=TRIM(Enginuity!$A$17),
    Q923&lt;&gt;"",
    Q923&lt;&gt;0,
    OR(
      TRIM(C923)=TRIM(Enginuity!$A$18),
      AND(UPPER(TRIM(M923))="STD", TRIM(B923)=TRIM(Enginuity!$A$17))
    ),
    OR(
      AND(LEFT(P923,5)="1-Way", Enginuity!$B$13=1),
      AND(LEFT(P923,5)="2-Way", OR(Enginuity!$B$13=2, Enginuity!$B$13=4)),
      AND(LEFT(P923,5)="3-Way", OR(Enginuity!$B$13=3, Enginuity!$B$13=6)),
      AND(P923="Inner Centre Jamb", OR(Enginuity!$B$13=4, Enginuity!$B$13=6)),
      AND(
        LEFT(P923,5)&lt;&gt;"1-Way",
        LEFT(P923,5)&lt;&gt;"2-Way",
        LEFT(P923,5)&lt;&gt;"3-Way",
        P923&lt;&gt;"Inner Centre Jamb"
      )
    ),
    IF(OR(Enginuity!$A$1="Frameless Glass",Enginuity!$A$1="Metal Work"),
      AND(TRIM(B923)=TRIM(Enginuity!$A$17),TRIM(C923)=TRIM(Enginuity!$A$18)),
      TRIM(B923)=TRIM(Enginuity!$A$17)
    )
  ),
  ROW(),
  ""
)</f>
        <v/>
      </c>
    </row>
    <row r="924" spans="1:21" x14ac:dyDescent="0.25">
      <c r="A924" s="10" t="s">
        <v>251</v>
      </c>
      <c r="B924" s="229" t="s">
        <v>322</v>
      </c>
      <c r="C924" s="10" t="s">
        <v>324</v>
      </c>
      <c r="D924" s="14" t="str">
        <f t="shared" si="12"/>
        <v>Default</v>
      </c>
      <c r="E924" s="247"/>
      <c r="F924" s="10"/>
      <c r="G924" s="17"/>
      <c r="H924" s="10"/>
      <c r="I924" s="17"/>
      <c r="J924" s="83"/>
      <c r="K924" s="343"/>
      <c r="L924" s="347"/>
      <c r="M924" s="22"/>
      <c r="N924" s="14"/>
      <c r="O924" s="22"/>
      <c r="P924" s="13"/>
      <c r="Q924" s="10"/>
      <c r="U924" s="104" t="str">
        <f>IF(
  AND(
    TRIM(A924)=TRIM(Enginuity!$A$1),
    TRIM(B924)=TRIM(Enginuity!$A$17),
    Q924&lt;&gt;"",
    Q924&lt;&gt;0,
    OR(
      TRIM(C924)=TRIM(Enginuity!$A$18),
      AND(UPPER(TRIM(M924))="STD", TRIM(B924)=TRIM(Enginuity!$A$17))
    ),
    OR(
      AND(LEFT(P924,5)="1-Way", Enginuity!$B$13=1),
      AND(LEFT(P924,5)="2-Way", OR(Enginuity!$B$13=2, Enginuity!$B$13=4)),
      AND(LEFT(P924,5)="3-Way", OR(Enginuity!$B$13=3, Enginuity!$B$13=6)),
      AND(P924="Inner Centre Jamb", OR(Enginuity!$B$13=4, Enginuity!$B$13=6)),
      AND(
        LEFT(P924,5)&lt;&gt;"1-Way",
        LEFT(P924,5)&lt;&gt;"2-Way",
        LEFT(P924,5)&lt;&gt;"3-Way",
        P924&lt;&gt;"Inner Centre Jamb"
      )
    ),
    IF(OR(Enginuity!$A$1="Frameless Glass",Enginuity!$A$1="Metal Work"),
      AND(TRIM(B924)=TRIM(Enginuity!$A$17),TRIM(C924)=TRIM(Enginuity!$A$18)),
      TRIM(B924)=TRIM(Enginuity!$A$17)
    )
  ),
  ROW(),
  ""
)</f>
        <v/>
      </c>
    </row>
    <row r="925" spans="1:21" x14ac:dyDescent="0.25">
      <c r="A925" s="10" t="s">
        <v>251</v>
      </c>
      <c r="B925" s="229" t="s">
        <v>322</v>
      </c>
      <c r="C925" s="10" t="s">
        <v>324</v>
      </c>
      <c r="D925" s="14" t="str">
        <f t="shared" si="12"/>
        <v>Default</v>
      </c>
      <c r="E925" s="247"/>
      <c r="F925" s="10"/>
      <c r="G925" s="17"/>
      <c r="H925" s="10"/>
      <c r="I925" s="17"/>
      <c r="J925" s="83"/>
      <c r="K925" s="343"/>
      <c r="L925" s="347"/>
      <c r="M925" s="22"/>
      <c r="N925" s="14"/>
      <c r="O925" s="22"/>
      <c r="P925" s="13"/>
      <c r="Q925" s="10"/>
      <c r="U925" s="104" t="str">
        <f>IF(
  AND(
    TRIM(A925)=TRIM(Enginuity!$A$1),
    TRIM(B925)=TRIM(Enginuity!$A$17),
    Q925&lt;&gt;"",
    Q925&lt;&gt;0,
    OR(
      TRIM(C925)=TRIM(Enginuity!$A$18),
      AND(UPPER(TRIM(M925))="STD", TRIM(B925)=TRIM(Enginuity!$A$17))
    ),
    OR(
      AND(LEFT(P925,5)="1-Way", Enginuity!$B$13=1),
      AND(LEFT(P925,5)="2-Way", OR(Enginuity!$B$13=2, Enginuity!$B$13=4)),
      AND(LEFT(P925,5)="3-Way", OR(Enginuity!$B$13=3, Enginuity!$B$13=6)),
      AND(P925="Inner Centre Jamb", OR(Enginuity!$B$13=4, Enginuity!$B$13=6)),
      AND(
        LEFT(P925,5)&lt;&gt;"1-Way",
        LEFT(P925,5)&lt;&gt;"2-Way",
        LEFT(P925,5)&lt;&gt;"3-Way",
        P925&lt;&gt;"Inner Centre Jamb"
      )
    ),
    IF(OR(Enginuity!$A$1="Frameless Glass",Enginuity!$A$1="Metal Work"),
      AND(TRIM(B925)=TRIM(Enginuity!$A$17),TRIM(C925)=TRIM(Enginuity!$A$18)),
      TRIM(B925)=TRIM(Enginuity!$A$17)
    )
  ),
  ROW(),
  ""
)</f>
        <v/>
      </c>
    </row>
    <row r="926" spans="1:21" x14ac:dyDescent="0.25">
      <c r="A926" s="10" t="s">
        <v>251</v>
      </c>
      <c r="B926" s="229" t="s">
        <v>322</v>
      </c>
      <c r="C926" s="10" t="s">
        <v>324</v>
      </c>
      <c r="D926" s="14" t="str">
        <f t="shared" si="12"/>
        <v>Default</v>
      </c>
      <c r="E926" s="247"/>
      <c r="F926" s="10"/>
      <c r="G926" s="17"/>
      <c r="H926" s="10"/>
      <c r="I926" s="17"/>
      <c r="J926" s="83"/>
      <c r="K926" s="343"/>
      <c r="L926" s="347"/>
      <c r="M926" s="22"/>
      <c r="N926" s="14"/>
      <c r="O926" s="22"/>
      <c r="P926" s="13"/>
      <c r="Q926" s="10"/>
      <c r="U926" s="104" t="str">
        <f>IF(
  AND(
    TRIM(A926)=TRIM(Enginuity!$A$1),
    TRIM(B926)=TRIM(Enginuity!$A$17),
    Q926&lt;&gt;"",
    Q926&lt;&gt;0,
    OR(
      TRIM(C926)=TRIM(Enginuity!$A$18),
      AND(UPPER(TRIM(M926))="STD", TRIM(B926)=TRIM(Enginuity!$A$17))
    ),
    OR(
      AND(LEFT(P926,5)="1-Way", Enginuity!$B$13=1),
      AND(LEFT(P926,5)="2-Way", OR(Enginuity!$B$13=2, Enginuity!$B$13=4)),
      AND(LEFT(P926,5)="3-Way", OR(Enginuity!$B$13=3, Enginuity!$B$13=6)),
      AND(P926="Inner Centre Jamb", OR(Enginuity!$B$13=4, Enginuity!$B$13=6)),
      AND(
        LEFT(P926,5)&lt;&gt;"1-Way",
        LEFT(P926,5)&lt;&gt;"2-Way",
        LEFT(P926,5)&lt;&gt;"3-Way",
        P926&lt;&gt;"Inner Centre Jamb"
      )
    ),
    IF(OR(Enginuity!$A$1="Frameless Glass",Enginuity!$A$1="Metal Work"),
      AND(TRIM(B926)=TRIM(Enginuity!$A$17),TRIM(C926)=TRIM(Enginuity!$A$18)),
      TRIM(B926)=TRIM(Enginuity!$A$17)
    )
  ),
  ROW(),
  ""
)</f>
        <v/>
      </c>
    </row>
    <row r="927" spans="1:21" x14ac:dyDescent="0.25">
      <c r="A927" s="10" t="s">
        <v>251</v>
      </c>
      <c r="B927" s="229" t="s">
        <v>322</v>
      </c>
      <c r="C927" s="10" t="s">
        <v>324</v>
      </c>
      <c r="D927" s="14" t="str">
        <f t="shared" si="12"/>
        <v>Default</v>
      </c>
      <c r="E927" s="247"/>
      <c r="F927" s="10"/>
      <c r="G927" s="17"/>
      <c r="H927" s="10"/>
      <c r="I927" s="17"/>
      <c r="J927" s="83"/>
      <c r="K927" s="343"/>
      <c r="L927" s="347"/>
      <c r="M927" s="22"/>
      <c r="N927" s="14"/>
      <c r="O927" s="22"/>
      <c r="P927" s="13"/>
      <c r="Q927" s="10"/>
      <c r="U927" s="104" t="str">
        <f>IF(
  AND(
    TRIM(A927)=TRIM(Enginuity!$A$1),
    TRIM(B927)=TRIM(Enginuity!$A$17),
    Q927&lt;&gt;"",
    Q927&lt;&gt;0,
    OR(
      TRIM(C927)=TRIM(Enginuity!$A$18),
      AND(UPPER(TRIM(M927))="STD", TRIM(B927)=TRIM(Enginuity!$A$17))
    ),
    OR(
      AND(LEFT(P927,5)="1-Way", Enginuity!$B$13=1),
      AND(LEFT(P927,5)="2-Way", OR(Enginuity!$B$13=2, Enginuity!$B$13=4)),
      AND(LEFT(P927,5)="3-Way", OR(Enginuity!$B$13=3, Enginuity!$B$13=6)),
      AND(P927="Inner Centre Jamb", OR(Enginuity!$B$13=4, Enginuity!$B$13=6)),
      AND(
        LEFT(P927,5)&lt;&gt;"1-Way",
        LEFT(P927,5)&lt;&gt;"2-Way",
        LEFT(P927,5)&lt;&gt;"3-Way",
        P927&lt;&gt;"Inner Centre Jamb"
      )
    ),
    IF(OR(Enginuity!$A$1="Frameless Glass",Enginuity!$A$1="Metal Work"),
      AND(TRIM(B927)=TRIM(Enginuity!$A$17),TRIM(C927)=TRIM(Enginuity!$A$18)),
      TRIM(B927)=TRIM(Enginuity!$A$17)
    )
  ),
  ROW(),
  ""
)</f>
        <v/>
      </c>
    </row>
    <row r="928" spans="1:21" x14ac:dyDescent="0.25">
      <c r="A928" s="10" t="s">
        <v>251</v>
      </c>
      <c r="B928" s="229" t="s">
        <v>322</v>
      </c>
      <c r="C928" s="10" t="s">
        <v>324</v>
      </c>
      <c r="D928" s="14" t="str">
        <f t="shared" si="12"/>
        <v>Default</v>
      </c>
      <c r="E928" s="247"/>
      <c r="F928" s="10"/>
      <c r="G928" s="17"/>
      <c r="H928" s="10"/>
      <c r="I928" s="17"/>
      <c r="J928" s="83"/>
      <c r="K928" s="343"/>
      <c r="L928" s="347"/>
      <c r="M928" s="22"/>
      <c r="N928" s="14"/>
      <c r="O928" s="22"/>
      <c r="P928" s="13"/>
      <c r="Q928" s="10"/>
      <c r="U928" s="104" t="str">
        <f>IF(
  AND(
    TRIM(A928)=TRIM(Enginuity!$A$1),
    TRIM(B928)=TRIM(Enginuity!$A$17),
    Q928&lt;&gt;"",
    Q928&lt;&gt;0,
    OR(
      TRIM(C928)=TRIM(Enginuity!$A$18),
      AND(UPPER(TRIM(M928))="STD", TRIM(B928)=TRIM(Enginuity!$A$17))
    ),
    OR(
      AND(LEFT(P928,5)="1-Way", Enginuity!$B$13=1),
      AND(LEFT(P928,5)="2-Way", OR(Enginuity!$B$13=2, Enginuity!$B$13=4)),
      AND(LEFT(P928,5)="3-Way", OR(Enginuity!$B$13=3, Enginuity!$B$13=6)),
      AND(P928="Inner Centre Jamb", OR(Enginuity!$B$13=4, Enginuity!$B$13=6)),
      AND(
        LEFT(P928,5)&lt;&gt;"1-Way",
        LEFT(P928,5)&lt;&gt;"2-Way",
        LEFT(P928,5)&lt;&gt;"3-Way",
        P928&lt;&gt;"Inner Centre Jamb"
      )
    ),
    IF(OR(Enginuity!$A$1="Frameless Glass",Enginuity!$A$1="Metal Work"),
      AND(TRIM(B928)=TRIM(Enginuity!$A$17),TRIM(C928)=TRIM(Enginuity!$A$18)),
      TRIM(B928)=TRIM(Enginuity!$A$17)
    )
  ),
  ROW(),
  ""
)</f>
        <v/>
      </c>
    </row>
    <row r="929" spans="1:21" x14ac:dyDescent="0.25">
      <c r="A929" s="10" t="s">
        <v>251</v>
      </c>
      <c r="B929" s="229" t="s">
        <v>322</v>
      </c>
      <c r="C929" s="10" t="s">
        <v>324</v>
      </c>
      <c r="D929" s="14" t="str">
        <f t="shared" si="12"/>
        <v>Default</v>
      </c>
      <c r="E929" s="247"/>
      <c r="F929" s="10"/>
      <c r="G929" s="17"/>
      <c r="H929" s="10"/>
      <c r="I929" s="17"/>
      <c r="J929" s="83"/>
      <c r="K929" s="343"/>
      <c r="L929" s="347"/>
      <c r="M929" s="22"/>
      <c r="N929" s="14"/>
      <c r="O929" s="22"/>
      <c r="P929" s="13"/>
      <c r="Q929" s="10"/>
      <c r="U929" s="104" t="str">
        <f>IF(
  AND(
    TRIM(A929)=TRIM(Enginuity!$A$1),
    TRIM(B929)=TRIM(Enginuity!$A$17),
    Q929&lt;&gt;"",
    Q929&lt;&gt;0,
    OR(
      TRIM(C929)=TRIM(Enginuity!$A$18),
      AND(UPPER(TRIM(M929))="STD", TRIM(B929)=TRIM(Enginuity!$A$17))
    ),
    OR(
      AND(LEFT(P929,5)="1-Way", Enginuity!$B$13=1),
      AND(LEFT(P929,5)="2-Way", OR(Enginuity!$B$13=2, Enginuity!$B$13=4)),
      AND(LEFT(P929,5)="3-Way", OR(Enginuity!$B$13=3, Enginuity!$B$13=6)),
      AND(P929="Inner Centre Jamb", OR(Enginuity!$B$13=4, Enginuity!$B$13=6)),
      AND(
        LEFT(P929,5)&lt;&gt;"1-Way",
        LEFT(P929,5)&lt;&gt;"2-Way",
        LEFT(P929,5)&lt;&gt;"3-Way",
        P929&lt;&gt;"Inner Centre Jamb"
      )
    ),
    IF(OR(Enginuity!$A$1="Frameless Glass",Enginuity!$A$1="Metal Work"),
      AND(TRIM(B929)=TRIM(Enginuity!$A$17),TRIM(C929)=TRIM(Enginuity!$A$18)),
      TRIM(B929)=TRIM(Enginuity!$A$17)
    )
  ),
  ROW(),
  ""
)</f>
        <v/>
      </c>
    </row>
    <row r="930" spans="1:21" x14ac:dyDescent="0.25">
      <c r="A930" s="10" t="s">
        <v>251</v>
      </c>
      <c r="B930" s="229" t="s">
        <v>322</v>
      </c>
      <c r="C930" s="10" t="s">
        <v>324</v>
      </c>
      <c r="D930" s="14" t="str">
        <f t="shared" si="12"/>
        <v>Default</v>
      </c>
      <c r="E930" s="247"/>
      <c r="F930" s="10"/>
      <c r="G930" s="17"/>
      <c r="H930" s="10"/>
      <c r="I930" s="17"/>
      <c r="J930" s="83"/>
      <c r="K930" s="343"/>
      <c r="L930" s="347"/>
      <c r="M930" s="22"/>
      <c r="N930" s="21"/>
      <c r="O930" s="22"/>
      <c r="P930" s="13"/>
      <c r="Q930" s="10"/>
      <c r="U930" s="104" t="str">
        <f>IF(
  AND(
    TRIM(A930)=TRIM(Enginuity!$A$1),
    TRIM(B930)=TRIM(Enginuity!$A$17),
    Q930&lt;&gt;"",
    Q930&lt;&gt;0,
    OR(
      TRIM(C930)=TRIM(Enginuity!$A$18),
      AND(UPPER(TRIM(M930))="STD", TRIM(B930)=TRIM(Enginuity!$A$17))
    ),
    OR(
      AND(LEFT(P930,5)="1-Way", Enginuity!$B$13=1),
      AND(LEFT(P930,5)="2-Way", OR(Enginuity!$B$13=2, Enginuity!$B$13=4)),
      AND(LEFT(P930,5)="3-Way", OR(Enginuity!$B$13=3, Enginuity!$B$13=6)),
      AND(P930="Inner Centre Jamb", OR(Enginuity!$B$13=4, Enginuity!$B$13=6)),
      AND(
        LEFT(P930,5)&lt;&gt;"1-Way",
        LEFT(P930,5)&lt;&gt;"2-Way",
        LEFT(P930,5)&lt;&gt;"3-Way",
        P930&lt;&gt;"Inner Centre Jamb"
      )
    ),
    IF(OR(Enginuity!$A$1="Frameless Glass",Enginuity!$A$1="Metal Work"),
      AND(TRIM(B930)=TRIM(Enginuity!$A$17),TRIM(C930)=TRIM(Enginuity!$A$18)),
      TRIM(B930)=TRIM(Enginuity!$A$17)
    )
  ),
  ROW(),
  ""
)</f>
        <v/>
      </c>
    </row>
    <row r="931" spans="1:21" x14ac:dyDescent="0.25">
      <c r="A931" s="10" t="s">
        <v>251</v>
      </c>
      <c r="B931" s="229" t="s">
        <v>322</v>
      </c>
      <c r="C931" s="10" t="s">
        <v>324</v>
      </c>
      <c r="D931" s="14" t="str">
        <f t="shared" si="12"/>
        <v>Default</v>
      </c>
      <c r="E931" s="247"/>
      <c r="F931" s="10"/>
      <c r="G931" s="17"/>
      <c r="H931" s="10"/>
      <c r="I931" s="17"/>
      <c r="J931" s="83"/>
      <c r="K931" s="343"/>
      <c r="L931" s="347"/>
      <c r="M931" s="22"/>
      <c r="N931" s="21"/>
      <c r="O931" s="22"/>
      <c r="P931" s="13"/>
      <c r="Q931" s="10"/>
      <c r="U931" s="104" t="str">
        <f>IF(
  AND(
    TRIM(A931)=TRIM(Enginuity!$A$1),
    TRIM(B931)=TRIM(Enginuity!$A$17),
    Q931&lt;&gt;"",
    Q931&lt;&gt;0,
    OR(
      TRIM(C931)=TRIM(Enginuity!$A$18),
      AND(UPPER(TRIM(M931))="STD", TRIM(B931)=TRIM(Enginuity!$A$17))
    ),
    OR(
      AND(LEFT(P931,5)="1-Way", Enginuity!$B$13=1),
      AND(LEFT(P931,5)="2-Way", OR(Enginuity!$B$13=2, Enginuity!$B$13=4)),
      AND(LEFT(P931,5)="3-Way", OR(Enginuity!$B$13=3, Enginuity!$B$13=6)),
      AND(P931="Inner Centre Jamb", OR(Enginuity!$B$13=4, Enginuity!$B$13=6)),
      AND(
        LEFT(P931,5)&lt;&gt;"1-Way",
        LEFT(P931,5)&lt;&gt;"2-Way",
        LEFT(P931,5)&lt;&gt;"3-Way",
        P931&lt;&gt;"Inner Centre Jamb"
      )
    ),
    IF(OR(Enginuity!$A$1="Frameless Glass",Enginuity!$A$1="Metal Work"),
      AND(TRIM(B931)=TRIM(Enginuity!$A$17),TRIM(C931)=TRIM(Enginuity!$A$18)),
      TRIM(B931)=TRIM(Enginuity!$A$17)
    )
  ),
  ROW(),
  ""
)</f>
        <v/>
      </c>
    </row>
    <row r="932" spans="1:21" x14ac:dyDescent="0.25">
      <c r="A932" s="17" t="s">
        <v>251</v>
      </c>
      <c r="B932" s="229" t="s">
        <v>322</v>
      </c>
      <c r="C932" s="17" t="s">
        <v>324</v>
      </c>
      <c r="D932" s="14" t="str">
        <f t="shared" si="12"/>
        <v>Default</v>
      </c>
      <c r="E932" s="158"/>
      <c r="F932" s="17"/>
      <c r="G932" s="17"/>
      <c r="H932" s="10"/>
      <c r="I932" s="17"/>
      <c r="J932" s="83"/>
      <c r="K932" s="343"/>
      <c r="L932" s="347"/>
      <c r="M932" s="25"/>
      <c r="N932" s="38"/>
      <c r="O932" s="25"/>
      <c r="P932" s="19"/>
      <c r="Q932" s="17"/>
      <c r="U932" s="104" t="str">
        <f>IF(
  AND(
    TRIM(A932)=TRIM(Enginuity!$A$1),
    TRIM(B932)=TRIM(Enginuity!$A$17),
    Q932&lt;&gt;"",
    Q932&lt;&gt;0,
    OR(
      TRIM(C932)=TRIM(Enginuity!$A$18),
      AND(UPPER(TRIM(M932))="STD", TRIM(B932)=TRIM(Enginuity!$A$17))
    ),
    OR(
      AND(LEFT(P932,5)="1-Way", Enginuity!$B$13=1),
      AND(LEFT(P932,5)="2-Way", OR(Enginuity!$B$13=2, Enginuity!$B$13=4)),
      AND(LEFT(P932,5)="3-Way", OR(Enginuity!$B$13=3, Enginuity!$B$13=6)),
      AND(P932="Inner Centre Jamb", OR(Enginuity!$B$13=4, Enginuity!$B$13=6)),
      AND(
        LEFT(P932,5)&lt;&gt;"1-Way",
        LEFT(P932,5)&lt;&gt;"2-Way",
        LEFT(P932,5)&lt;&gt;"3-Way",
        P932&lt;&gt;"Inner Centre Jamb"
      )
    ),
    IF(OR(Enginuity!$A$1="Frameless Glass",Enginuity!$A$1="Metal Work"),
      AND(TRIM(B932)=TRIM(Enginuity!$A$17),TRIM(C932)=TRIM(Enginuity!$A$18)),
      TRIM(B932)=TRIM(Enginuity!$A$17)
    )
  ),
  ROW(),
  ""
)</f>
        <v/>
      </c>
    </row>
    <row r="933" spans="1:21" x14ac:dyDescent="0.25">
      <c r="A933" s="10" t="s">
        <v>251</v>
      </c>
      <c r="B933" s="229" t="s">
        <v>322</v>
      </c>
      <c r="C933" s="10" t="s">
        <v>325</v>
      </c>
      <c r="D933" s="14" t="str">
        <f t="shared" si="12"/>
        <v>Default</v>
      </c>
      <c r="E933" s="247"/>
      <c r="F933" s="11"/>
      <c r="G933" s="17"/>
      <c r="H933" s="10"/>
      <c r="I933" s="17"/>
      <c r="J933" s="83"/>
      <c r="K933" s="344">
        <v>0.39336500000000002</v>
      </c>
      <c r="L933" s="347">
        <v>914.4</v>
      </c>
      <c r="M933" s="10"/>
      <c r="N933" s="76" t="s">
        <v>103</v>
      </c>
      <c r="O933" s="22">
        <v>4.8</v>
      </c>
      <c r="P933" s="14" t="s">
        <v>238</v>
      </c>
      <c r="Q933" s="83">
        <f>IFERROR(Enginuity!$B$6*2, 0)</f>
        <v>40</v>
      </c>
      <c r="U933" s="104" t="str">
        <f>IF(
  AND(
    TRIM(A933)=TRIM(Enginuity!$A$1),
    TRIM(B933)=TRIM(Enginuity!$A$17),
    Q933&lt;&gt;"",
    Q933&lt;&gt;0,
    OR(
      TRIM(C933)=TRIM(Enginuity!$A$18),
      AND(UPPER(TRIM(M933))="STD", TRIM(B933)=TRIM(Enginuity!$A$17))
    ),
    OR(
      AND(LEFT(P933,5)="1-Way", Enginuity!$B$13=1),
      AND(LEFT(P933,5)="2-Way", OR(Enginuity!$B$13=2, Enginuity!$B$13=4)),
      AND(LEFT(P933,5)="3-Way", OR(Enginuity!$B$13=3, Enginuity!$B$13=6)),
      AND(P933="Inner Centre Jamb", OR(Enginuity!$B$13=4, Enginuity!$B$13=6)),
      AND(
        LEFT(P933,5)&lt;&gt;"1-Way",
        LEFT(P933,5)&lt;&gt;"2-Way",
        LEFT(P933,5)&lt;&gt;"3-Way",
        P933&lt;&gt;"Inner Centre Jamb"
      )
    ),
    IF(OR(Enginuity!$A$1="Frameless Glass",Enginuity!$A$1="Metal Work"),
      AND(TRIM(B933)=TRIM(Enginuity!$A$17),TRIM(C933)=TRIM(Enginuity!$A$18)),
      TRIM(B933)=TRIM(Enginuity!$A$17)
    )
  ),
  ROW(),
  ""
)</f>
        <v/>
      </c>
    </row>
    <row r="934" spans="1:21" x14ac:dyDescent="0.25">
      <c r="A934" s="10" t="s">
        <v>251</v>
      </c>
      <c r="B934" s="229" t="s">
        <v>322</v>
      </c>
      <c r="C934" s="10" t="s">
        <v>325</v>
      </c>
      <c r="D934" s="14" t="str">
        <f t="shared" si="12"/>
        <v>Default</v>
      </c>
      <c r="E934" s="247"/>
      <c r="F934" s="11"/>
      <c r="G934" s="17"/>
      <c r="H934" s="10"/>
      <c r="I934" s="17"/>
      <c r="J934" s="83"/>
      <c r="K934" s="343"/>
      <c r="L934" s="347"/>
      <c r="M934" s="10"/>
      <c r="N934" s="76" t="s">
        <v>103</v>
      </c>
      <c r="O934" s="22">
        <v>4.8</v>
      </c>
      <c r="P934" s="14" t="s">
        <v>239</v>
      </c>
      <c r="Q934" s="83">
        <f>IFERROR(Enginuity!$B$6, 0)</f>
        <v>20</v>
      </c>
      <c r="U934" s="104" t="str">
        <f>IF(
  AND(
    TRIM(A934)=TRIM(Enginuity!$A$1),
    TRIM(B934)=TRIM(Enginuity!$A$17),
    Q934&lt;&gt;"",
    Q934&lt;&gt;0,
    OR(
      TRIM(C934)=TRIM(Enginuity!$A$18),
      AND(UPPER(TRIM(M934))="STD", TRIM(B934)=TRIM(Enginuity!$A$17))
    ),
    OR(
      AND(LEFT(P934,5)="1-Way", Enginuity!$B$13=1),
      AND(LEFT(P934,5)="2-Way", OR(Enginuity!$B$13=2, Enginuity!$B$13=4)),
      AND(LEFT(P934,5)="3-Way", OR(Enginuity!$B$13=3, Enginuity!$B$13=6)),
      AND(P934="Inner Centre Jamb", OR(Enginuity!$B$13=4, Enginuity!$B$13=6)),
      AND(
        LEFT(P934,5)&lt;&gt;"1-Way",
        LEFT(P934,5)&lt;&gt;"2-Way",
        LEFT(P934,5)&lt;&gt;"3-Way",
        P934&lt;&gt;"Inner Centre Jamb"
      )
    ),
    IF(OR(Enginuity!$A$1="Frameless Glass",Enginuity!$A$1="Metal Work"),
      AND(TRIM(B934)=TRIM(Enginuity!$A$17),TRIM(C934)=TRIM(Enginuity!$A$18)),
      TRIM(B934)=TRIM(Enginuity!$A$17)
    )
  ),
  ROW(),
  ""
)</f>
        <v/>
      </c>
    </row>
    <row r="935" spans="1:21" x14ac:dyDescent="0.25">
      <c r="A935" s="10" t="s">
        <v>251</v>
      </c>
      <c r="B935" s="229" t="s">
        <v>322</v>
      </c>
      <c r="C935" s="10" t="s">
        <v>325</v>
      </c>
      <c r="D935" s="14" t="str">
        <f t="shared" si="12"/>
        <v>Default</v>
      </c>
      <c r="E935" s="247"/>
      <c r="F935" s="10"/>
      <c r="G935" s="17"/>
      <c r="H935" s="10"/>
      <c r="I935" s="17"/>
      <c r="J935" s="83"/>
      <c r="K935" s="343"/>
      <c r="L935" s="347"/>
      <c r="M935" s="10"/>
      <c r="N935" s="76" t="s">
        <v>103</v>
      </c>
      <c r="O935" s="22">
        <v>6.4</v>
      </c>
      <c r="P935" s="14" t="s">
        <v>240</v>
      </c>
      <c r="Q935" s="83">
        <f>IFERROR(Enginuity!$B$6, 0)</f>
        <v>20</v>
      </c>
      <c r="U935" s="104" t="str">
        <f>IF(
  AND(
    TRIM(A935)=TRIM(Enginuity!$A$1),
    TRIM(B935)=TRIM(Enginuity!$A$17),
    Q935&lt;&gt;"",
    Q935&lt;&gt;0,
    OR(
      TRIM(C935)=TRIM(Enginuity!$A$18),
      AND(UPPER(TRIM(M935))="STD", TRIM(B935)=TRIM(Enginuity!$A$17))
    ),
    OR(
      AND(LEFT(P935,5)="1-Way", Enginuity!$B$13=1),
      AND(LEFT(P935,5)="2-Way", OR(Enginuity!$B$13=2, Enginuity!$B$13=4)),
      AND(LEFT(P935,5)="3-Way", OR(Enginuity!$B$13=3, Enginuity!$B$13=6)),
      AND(P935="Inner Centre Jamb", OR(Enginuity!$B$13=4, Enginuity!$B$13=6)),
      AND(
        LEFT(P935,5)&lt;&gt;"1-Way",
        LEFT(P935,5)&lt;&gt;"2-Way",
        LEFT(P935,5)&lt;&gt;"3-Way",
        P935&lt;&gt;"Inner Centre Jamb"
      )
    ),
    IF(OR(Enginuity!$A$1="Frameless Glass",Enginuity!$A$1="Metal Work"),
      AND(TRIM(B935)=TRIM(Enginuity!$A$17),TRIM(C935)=TRIM(Enginuity!$A$18)),
      TRIM(B935)=TRIM(Enginuity!$A$17)
    )
  ),
  ROW(),
  ""
)</f>
        <v/>
      </c>
    </row>
    <row r="936" spans="1:21" x14ac:dyDescent="0.25">
      <c r="A936" s="10" t="s">
        <v>251</v>
      </c>
      <c r="B936" s="229" t="s">
        <v>322</v>
      </c>
      <c r="C936" s="10" t="s">
        <v>325</v>
      </c>
      <c r="D936" s="14" t="str">
        <f t="shared" si="12"/>
        <v>Default</v>
      </c>
      <c r="E936" s="247"/>
      <c r="F936" s="10"/>
      <c r="G936" s="17"/>
      <c r="H936" s="10"/>
      <c r="I936" s="17"/>
      <c r="J936" s="83"/>
      <c r="K936" s="343"/>
      <c r="L936" s="347"/>
      <c r="M936" s="10"/>
      <c r="N936" s="76" t="s">
        <v>103</v>
      </c>
      <c r="O936" s="22">
        <v>1.6</v>
      </c>
      <c r="P936" s="14" t="s">
        <v>235</v>
      </c>
      <c r="Q936" s="83">
        <f>IFERROR(Enginuity!$B$7*2, 0)</f>
        <v>26</v>
      </c>
      <c r="U936" s="104" t="str">
        <f>IF(
  AND(
    TRIM(A936)=TRIM(Enginuity!$A$1),
    TRIM(B936)=TRIM(Enginuity!$A$17),
    Q936&lt;&gt;"",
    Q936&lt;&gt;0,
    OR(
      TRIM(C936)=TRIM(Enginuity!$A$18),
      AND(UPPER(TRIM(M936))="STD", TRIM(B936)=TRIM(Enginuity!$A$17))
    ),
    OR(
      AND(LEFT(P936,5)="1-Way", Enginuity!$B$13=1),
      AND(LEFT(P936,5)="2-Way", OR(Enginuity!$B$13=2, Enginuity!$B$13=4)),
      AND(LEFT(P936,5)="3-Way", OR(Enginuity!$B$13=3, Enginuity!$B$13=6)),
      AND(P936="Inner Centre Jamb", OR(Enginuity!$B$13=4, Enginuity!$B$13=6)),
      AND(
        LEFT(P936,5)&lt;&gt;"1-Way",
        LEFT(P936,5)&lt;&gt;"2-Way",
        LEFT(P936,5)&lt;&gt;"3-Way",
        P936&lt;&gt;"Inner Centre Jamb"
      )
    ),
    IF(OR(Enginuity!$A$1="Frameless Glass",Enginuity!$A$1="Metal Work"),
      AND(TRIM(B936)=TRIM(Enginuity!$A$17),TRIM(C936)=TRIM(Enginuity!$A$18)),
      TRIM(B936)=TRIM(Enginuity!$A$17)
    )
  ),
  ROW(),
  ""
)</f>
        <v/>
      </c>
    </row>
    <row r="937" spans="1:21" x14ac:dyDescent="0.25">
      <c r="A937" s="10" t="s">
        <v>251</v>
      </c>
      <c r="B937" s="229" t="s">
        <v>322</v>
      </c>
      <c r="C937" s="10" t="s">
        <v>325</v>
      </c>
      <c r="D937" s="14" t="str">
        <f t="shared" si="12"/>
        <v>Default</v>
      </c>
      <c r="E937" s="247"/>
      <c r="F937" s="10"/>
      <c r="G937" s="17"/>
      <c r="H937" s="10"/>
      <c r="I937" s="17"/>
      <c r="J937" s="83"/>
      <c r="K937" s="343"/>
      <c r="L937" s="347"/>
      <c r="M937" s="10"/>
      <c r="N937" s="76" t="s">
        <v>103</v>
      </c>
      <c r="O937" s="22">
        <v>0.88</v>
      </c>
      <c r="P937" s="14" t="s">
        <v>218</v>
      </c>
      <c r="Q937" s="83">
        <f>Enginuity!$B$6 + (Enginuity!$B$7*2)</f>
        <v>46</v>
      </c>
      <c r="U937" s="104" t="str">
        <f>IF(
  AND(
    TRIM(A937)=TRIM(Enginuity!$A$1),
    TRIM(B937)=TRIM(Enginuity!$A$17),
    Q937&lt;&gt;"",
    Q937&lt;&gt;0,
    OR(
      TRIM(C937)=TRIM(Enginuity!$A$18),
      AND(UPPER(TRIM(M937))="STD", TRIM(B937)=TRIM(Enginuity!$A$17))
    ),
    OR(
      AND(LEFT(P937,5)="1-Way", Enginuity!$B$13=1),
      AND(LEFT(P937,5)="2-Way", OR(Enginuity!$B$13=2, Enginuity!$B$13=4)),
      AND(LEFT(P937,5)="3-Way", OR(Enginuity!$B$13=3, Enginuity!$B$13=6)),
      AND(P937="Inner Centre Jamb", OR(Enginuity!$B$13=4, Enginuity!$B$13=6)),
      AND(
        LEFT(P937,5)&lt;&gt;"1-Way",
        LEFT(P937,5)&lt;&gt;"2-Way",
        LEFT(P937,5)&lt;&gt;"3-Way",
        P937&lt;&gt;"Inner Centre Jamb"
      )
    ),
    IF(OR(Enginuity!$A$1="Frameless Glass",Enginuity!$A$1="Metal Work"),
      AND(TRIM(B937)=TRIM(Enginuity!$A$17),TRIM(C937)=TRIM(Enginuity!$A$18)),
      TRIM(B937)=TRIM(Enginuity!$A$17)
    )
  ),
  ROW(),
  ""
)</f>
        <v/>
      </c>
    </row>
    <row r="938" spans="1:21" x14ac:dyDescent="0.25">
      <c r="A938" s="10" t="s">
        <v>251</v>
      </c>
      <c r="B938" s="229" t="s">
        <v>322</v>
      </c>
      <c r="C938" s="10" t="s">
        <v>325</v>
      </c>
      <c r="D938" s="14" t="str">
        <f t="shared" si="12"/>
        <v>Default</v>
      </c>
      <c r="E938" s="247"/>
      <c r="F938" s="10"/>
      <c r="G938" s="17"/>
      <c r="H938" s="10"/>
      <c r="I938" s="17"/>
      <c r="J938" s="83"/>
      <c r="K938" s="343"/>
      <c r="L938" s="347"/>
      <c r="M938" s="10"/>
      <c r="N938" s="76" t="s">
        <v>103</v>
      </c>
      <c r="O938" s="22">
        <v>1.41</v>
      </c>
      <c r="P938" s="14" t="s">
        <v>241</v>
      </c>
      <c r="Q938" s="83">
        <f>IFERROR((Enginuity!$B$7*(Enginuity!$B$13*2))+(Enginuity!$B$6*2),0)</f>
        <v>222</v>
      </c>
      <c r="U938" s="104" t="str">
        <f>IF(
  AND(
    TRIM(A938)=TRIM(Enginuity!$A$1),
    TRIM(B938)=TRIM(Enginuity!$A$17),
    Q938&lt;&gt;"",
    Q938&lt;&gt;0,
    OR(
      TRIM(C938)=TRIM(Enginuity!$A$18),
      AND(UPPER(TRIM(M938))="STD", TRIM(B938)=TRIM(Enginuity!$A$17))
    ),
    OR(
      AND(LEFT(P938,5)="1-Way", Enginuity!$B$13=1),
      AND(LEFT(P938,5)="2-Way", OR(Enginuity!$B$13=2, Enginuity!$B$13=4)),
      AND(LEFT(P938,5)="3-Way", OR(Enginuity!$B$13=3, Enginuity!$B$13=6)),
      AND(P938="Inner Centre Jamb", OR(Enginuity!$B$13=4, Enginuity!$B$13=6)),
      AND(
        LEFT(P938,5)&lt;&gt;"1-Way",
        LEFT(P938,5)&lt;&gt;"2-Way",
        LEFT(P938,5)&lt;&gt;"3-Way",
        P938&lt;&gt;"Inner Centre Jamb"
      )
    ),
    IF(OR(Enginuity!$A$1="Frameless Glass",Enginuity!$A$1="Metal Work"),
      AND(TRIM(B938)=TRIM(Enginuity!$A$17),TRIM(C938)=TRIM(Enginuity!$A$18)),
      TRIM(B938)=TRIM(Enginuity!$A$17)
    )
  ),
  ROW(),
  ""
)</f>
        <v/>
      </c>
    </row>
    <row r="939" spans="1:21" x14ac:dyDescent="0.25">
      <c r="A939" s="10" t="s">
        <v>251</v>
      </c>
      <c r="B939" s="229" t="s">
        <v>322</v>
      </c>
      <c r="C939" s="10" t="s">
        <v>325</v>
      </c>
      <c r="D939" s="14" t="str">
        <f t="shared" si="12"/>
        <v>Default</v>
      </c>
      <c r="E939" s="247"/>
      <c r="F939" s="10"/>
      <c r="G939" s="17"/>
      <c r="H939" s="10"/>
      <c r="I939" s="17"/>
      <c r="J939" s="83"/>
      <c r="K939" s="343"/>
      <c r="L939" s="347"/>
      <c r="M939" s="10"/>
      <c r="N939" s="76" t="s">
        <v>103</v>
      </c>
      <c r="O939" s="22">
        <v>0.73</v>
      </c>
      <c r="P939" s="14" t="s">
        <v>217</v>
      </c>
      <c r="Q939" s="83">
        <f>ROUNDUP(Enginuity!$B$7*12/4,0)*Enginuity!$B$6</f>
        <v>780</v>
      </c>
      <c r="U939" s="104" t="str">
        <f>IF(
  AND(
    TRIM(A939)=TRIM(Enginuity!$A$1),
    TRIM(B939)=TRIM(Enginuity!$A$17),
    Q939&lt;&gt;"",
    Q939&lt;&gt;0,
    OR(
      TRIM(C939)=TRIM(Enginuity!$A$18),
      AND(UPPER(TRIM(M939))="STD", TRIM(B939)=TRIM(Enginuity!$A$17))
    ),
    OR(
      AND(LEFT(P939,5)="1-Way", Enginuity!$B$13=1),
      AND(LEFT(P939,5)="2-Way", OR(Enginuity!$B$13=2, Enginuity!$B$13=4)),
      AND(LEFT(P939,5)="3-Way", OR(Enginuity!$B$13=3, Enginuity!$B$13=6)),
      AND(P939="Inner Centre Jamb", OR(Enginuity!$B$13=4, Enginuity!$B$13=6)),
      AND(
        LEFT(P939,5)&lt;&gt;"1-Way",
        LEFT(P939,5)&lt;&gt;"2-Way",
        LEFT(P939,5)&lt;&gt;"3-Way",
        P939&lt;&gt;"Inner Centre Jamb"
      )
    ),
    IF(OR(Enginuity!$A$1="Frameless Glass",Enginuity!$A$1="Metal Work"),
      AND(TRIM(B939)=TRIM(Enginuity!$A$17),TRIM(C939)=TRIM(Enginuity!$A$18)),
      TRIM(B939)=TRIM(Enginuity!$A$17)
    )
  ),
  ROW(),
  ""
)</f>
        <v/>
      </c>
    </row>
    <row r="940" spans="1:21" x14ac:dyDescent="0.25">
      <c r="A940" s="10" t="s">
        <v>251</v>
      </c>
      <c r="B940" s="229" t="s">
        <v>322</v>
      </c>
      <c r="C940" s="10" t="s">
        <v>325</v>
      </c>
      <c r="D940" s="14" t="str">
        <f t="shared" si="12"/>
        <v>Default</v>
      </c>
      <c r="E940" s="247"/>
      <c r="F940" s="10"/>
      <c r="G940" s="17"/>
      <c r="H940" s="10"/>
      <c r="I940" s="17"/>
      <c r="J940" s="83"/>
      <c r="K940" s="343"/>
      <c r="L940" s="347"/>
      <c r="M940" s="10"/>
      <c r="N940" s="76" t="s">
        <v>103</v>
      </c>
      <c r="O940" s="22">
        <v>0.73</v>
      </c>
      <c r="P940" s="14" t="s">
        <v>217</v>
      </c>
      <c r="Q940" s="83">
        <f>ROUNDUP(Enginuity!$B$7*12/4,0)*Enginuity!$B$6</f>
        <v>780</v>
      </c>
      <c r="U940" s="104" t="str">
        <f>IF(
  AND(
    TRIM(A940)=TRIM(Enginuity!$A$1),
    TRIM(B940)=TRIM(Enginuity!$A$17),
    Q940&lt;&gt;"",
    Q940&lt;&gt;0,
    OR(
      TRIM(C940)=TRIM(Enginuity!$A$18),
      AND(UPPER(TRIM(M940))="STD", TRIM(B940)=TRIM(Enginuity!$A$17))
    ),
    OR(
      AND(LEFT(P940,5)="1-Way", Enginuity!$B$13=1),
      AND(LEFT(P940,5)="2-Way", OR(Enginuity!$B$13=2, Enginuity!$B$13=4)),
      AND(LEFT(P940,5)="3-Way", OR(Enginuity!$B$13=3, Enginuity!$B$13=6)),
      AND(P940="Inner Centre Jamb", OR(Enginuity!$B$13=4, Enginuity!$B$13=6)),
      AND(
        LEFT(P940,5)&lt;&gt;"1-Way",
        LEFT(P940,5)&lt;&gt;"2-Way",
        LEFT(P940,5)&lt;&gt;"3-Way",
        P940&lt;&gt;"Inner Centre Jamb"
      )
    ),
    IF(OR(Enginuity!$A$1="Frameless Glass",Enginuity!$A$1="Metal Work"),
      AND(TRIM(B940)=TRIM(Enginuity!$A$17),TRIM(C940)=TRIM(Enginuity!$A$18)),
      TRIM(B940)=TRIM(Enginuity!$A$17)
    )
  ),
  ROW(),
  ""
)</f>
        <v/>
      </c>
    </row>
    <row r="941" spans="1:21" x14ac:dyDescent="0.25">
      <c r="A941" s="10" t="s">
        <v>251</v>
      </c>
      <c r="B941" s="229" t="s">
        <v>322</v>
      </c>
      <c r="C941" s="10" t="s">
        <v>325</v>
      </c>
      <c r="D941" s="14" t="str">
        <f t="shared" si="12"/>
        <v>Default</v>
      </c>
      <c r="E941" s="247"/>
      <c r="F941" s="10"/>
      <c r="G941" s="17"/>
      <c r="H941" s="10"/>
      <c r="I941" s="17"/>
      <c r="J941" s="83"/>
      <c r="K941" s="343"/>
      <c r="L941" s="347"/>
      <c r="M941" s="10"/>
      <c r="N941" s="76" t="s">
        <v>112</v>
      </c>
      <c r="O941" s="22">
        <v>2.5</v>
      </c>
      <c r="P941" s="14" t="s">
        <v>234</v>
      </c>
      <c r="Q941" s="83">
        <f>IFERROR(
  CHOOSE(MATCH(Enginuity!$B$13,{1,2,3,4,6,8},0), 1, 2, 2, 2, 3, 3),
0)</f>
        <v>0</v>
      </c>
      <c r="U941" s="104" t="str">
        <f>IF(
  AND(
    TRIM(A941)=TRIM(Enginuity!$A$1),
    TRIM(B941)=TRIM(Enginuity!$A$17),
    Q941&lt;&gt;"",
    Q941&lt;&gt;0,
    OR(
      TRIM(C941)=TRIM(Enginuity!$A$18),
      AND(UPPER(TRIM(M941))="STD", TRIM(B941)=TRIM(Enginuity!$A$17))
    ),
    OR(
      AND(LEFT(P941,5)="1-Way", Enginuity!$B$13=1),
      AND(LEFT(P941,5)="2-Way", OR(Enginuity!$B$13=2, Enginuity!$B$13=4)),
      AND(LEFT(P941,5)="3-Way", OR(Enginuity!$B$13=3, Enginuity!$B$13=6)),
      AND(P941="Inner Centre Jamb", OR(Enginuity!$B$13=4, Enginuity!$B$13=6)),
      AND(
        LEFT(P941,5)&lt;&gt;"1-Way",
        LEFT(P941,5)&lt;&gt;"2-Way",
        LEFT(P941,5)&lt;&gt;"3-Way",
        P941&lt;&gt;"Inner Centre Jamb"
      )
    ),
    IF(OR(Enginuity!$A$1="Frameless Glass",Enginuity!$A$1="Metal Work"),
      AND(TRIM(B941)=TRIM(Enginuity!$A$17),TRIM(C941)=TRIM(Enginuity!$A$18)),
      TRIM(B941)=TRIM(Enginuity!$A$17)
    )
  ),
  ROW(),
  ""
)</f>
        <v/>
      </c>
    </row>
    <row r="942" spans="1:21" x14ac:dyDescent="0.25">
      <c r="A942" s="10" t="s">
        <v>251</v>
      </c>
      <c r="B942" s="229" t="s">
        <v>322</v>
      </c>
      <c r="C942" s="10" t="s">
        <v>325</v>
      </c>
      <c r="D942" s="14" t="str">
        <f t="shared" si="12"/>
        <v>Default</v>
      </c>
      <c r="E942" s="247"/>
      <c r="F942" s="10"/>
      <c r="G942" s="17"/>
      <c r="H942" s="10"/>
      <c r="I942" s="17"/>
      <c r="J942" s="83"/>
      <c r="K942" s="343"/>
      <c r="L942" s="347"/>
      <c r="M942" s="10"/>
      <c r="N942" s="76" t="s">
        <v>112</v>
      </c>
      <c r="O942" s="22">
        <v>0.1</v>
      </c>
      <c r="P942" s="14" t="s">
        <v>221</v>
      </c>
      <c r="Q942" s="83">
        <f>ROUNDUP((Enginuity!$B$6*2 + Enginuity!$B$13*2*Enginuity!$B$7)/3, 0)</f>
        <v>74</v>
      </c>
      <c r="U942" s="104" t="str">
        <f>IF(
  AND(
    TRIM(A942)=TRIM(Enginuity!$A$1),
    TRIM(B942)=TRIM(Enginuity!$A$17),
    Q942&lt;&gt;"",
    Q942&lt;&gt;0,
    OR(
      TRIM(C942)=TRIM(Enginuity!$A$18),
      AND(UPPER(TRIM(M942))="STD", TRIM(B942)=TRIM(Enginuity!$A$17))
    ),
    OR(
      AND(LEFT(P942,5)="1-Way", Enginuity!$B$13=1),
      AND(LEFT(P942,5)="2-Way", OR(Enginuity!$B$13=2, Enginuity!$B$13=4)),
      AND(LEFT(P942,5)="3-Way", OR(Enginuity!$B$13=3, Enginuity!$B$13=6)),
      AND(P942="Inner Centre Jamb", OR(Enginuity!$B$13=4, Enginuity!$B$13=6)),
      AND(
        LEFT(P942,5)&lt;&gt;"1-Way",
        LEFT(P942,5)&lt;&gt;"2-Way",
        LEFT(P942,5)&lt;&gt;"3-Way",
        P942&lt;&gt;"Inner Centre Jamb"
      )
    ),
    IF(OR(Enginuity!$A$1="Frameless Glass",Enginuity!$A$1="Metal Work"),
      AND(TRIM(B942)=TRIM(Enginuity!$A$17),TRIM(C942)=TRIM(Enginuity!$A$18)),
      TRIM(B942)=TRIM(Enginuity!$A$17)
    )
  ),
  ROW(),
  ""
)</f>
        <v/>
      </c>
    </row>
    <row r="943" spans="1:21" x14ac:dyDescent="0.25">
      <c r="A943" s="10" t="s">
        <v>251</v>
      </c>
      <c r="B943" s="229" t="s">
        <v>322</v>
      </c>
      <c r="C943" s="10" t="s">
        <v>325</v>
      </c>
      <c r="D943" s="14" t="str">
        <f t="shared" si="12"/>
        <v>Default</v>
      </c>
      <c r="E943" s="247"/>
      <c r="F943" s="10"/>
      <c r="G943" s="17"/>
      <c r="H943" s="10"/>
      <c r="I943" s="17"/>
      <c r="J943" s="83"/>
      <c r="K943" s="343"/>
      <c r="L943" s="347"/>
      <c r="M943" s="10"/>
      <c r="N943" s="76" t="s">
        <v>112</v>
      </c>
      <c r="O943" s="22">
        <v>55</v>
      </c>
      <c r="P943" s="14" t="s">
        <v>237</v>
      </c>
      <c r="Q943" s="83">
        <v>1</v>
      </c>
      <c r="U943" s="104" t="str">
        <f>IF(
  AND(
    TRIM(A943)=TRIM(Enginuity!$A$1),
    TRIM(B943)=TRIM(Enginuity!$A$17),
    Q943&lt;&gt;"",
    Q943&lt;&gt;0,
    OR(
      TRIM(C943)=TRIM(Enginuity!$A$18),
      AND(UPPER(TRIM(M943))="STD", TRIM(B943)=TRIM(Enginuity!$A$17))
    ),
    OR(
      AND(LEFT(P943,5)="1-Way", Enginuity!$B$13=1),
      AND(LEFT(P943,5)="2-Way", OR(Enginuity!$B$13=2, Enginuity!$B$13=4)),
      AND(LEFT(P943,5)="3-Way", OR(Enginuity!$B$13=3, Enginuity!$B$13=6)),
      AND(P943="Inner Centre Jamb", OR(Enginuity!$B$13=4, Enginuity!$B$13=6)),
      AND(
        LEFT(P943,5)&lt;&gt;"1-Way",
        LEFT(P943,5)&lt;&gt;"2-Way",
        LEFT(P943,5)&lt;&gt;"3-Way",
        P943&lt;&gt;"Inner Centre Jamb"
      )
    ),
    IF(OR(Enginuity!$A$1="Frameless Glass",Enginuity!$A$1="Metal Work"),
      AND(TRIM(B943)=TRIM(Enginuity!$A$17),TRIM(C943)=TRIM(Enginuity!$A$18)),
      TRIM(B943)=TRIM(Enginuity!$A$17)
    )
  ),
  ROW(),
  ""
)</f>
        <v/>
      </c>
    </row>
    <row r="944" spans="1:21" x14ac:dyDescent="0.25">
      <c r="A944" s="10" t="s">
        <v>251</v>
      </c>
      <c r="B944" s="229" t="s">
        <v>322</v>
      </c>
      <c r="C944" s="10" t="s">
        <v>325</v>
      </c>
      <c r="D944" s="14" t="str">
        <f t="shared" si="12"/>
        <v>Default</v>
      </c>
      <c r="E944" s="247"/>
      <c r="F944" s="10"/>
      <c r="G944" s="17"/>
      <c r="H944" s="10"/>
      <c r="I944" s="17"/>
      <c r="J944" s="83"/>
      <c r="K944" s="343"/>
      <c r="L944" s="347"/>
      <c r="M944" s="10"/>
      <c r="N944" s="76" t="s">
        <v>112</v>
      </c>
      <c r="O944" s="22">
        <v>2</v>
      </c>
      <c r="P944" s="14" t="s">
        <v>140</v>
      </c>
      <c r="Q944" s="83">
        <f>IFERROR(Enginuity!$B$13*2, 0)</f>
        <v>14</v>
      </c>
      <c r="U944" s="104" t="str">
        <f>IF(
  AND(
    TRIM(A944)=TRIM(Enginuity!$A$1),
    TRIM(B944)=TRIM(Enginuity!$A$17),
    Q944&lt;&gt;"",
    Q944&lt;&gt;0,
    OR(
      TRIM(C944)=TRIM(Enginuity!$A$18),
      AND(UPPER(TRIM(M944))="STD", TRIM(B944)=TRIM(Enginuity!$A$17))
    ),
    OR(
      AND(LEFT(P944,5)="1-Way", Enginuity!$B$13=1),
      AND(LEFT(P944,5)="2-Way", OR(Enginuity!$B$13=2, Enginuity!$B$13=4)),
      AND(LEFT(P944,5)="3-Way", OR(Enginuity!$B$13=3, Enginuity!$B$13=6)),
      AND(P944="Inner Centre Jamb", OR(Enginuity!$B$13=4, Enginuity!$B$13=6)),
      AND(
        LEFT(P944,5)&lt;&gt;"1-Way",
        LEFT(P944,5)&lt;&gt;"2-Way",
        LEFT(P944,5)&lt;&gt;"3-Way",
        P944&lt;&gt;"Inner Centre Jamb"
      )
    ),
    IF(OR(Enginuity!$A$1="Frameless Glass",Enginuity!$A$1="Metal Work"),
      AND(TRIM(B944)=TRIM(Enginuity!$A$17),TRIM(C944)=TRIM(Enginuity!$A$18)),
      TRIM(B944)=TRIM(Enginuity!$A$17)
    )
  ),
  ROW(),
  ""
)</f>
        <v/>
      </c>
    </row>
    <row r="945" spans="1:21" x14ac:dyDescent="0.25">
      <c r="A945" s="10" t="s">
        <v>251</v>
      </c>
      <c r="B945" s="229" t="s">
        <v>322</v>
      </c>
      <c r="C945" s="10" t="s">
        <v>325</v>
      </c>
      <c r="D945" s="14" t="str">
        <f t="shared" si="12"/>
        <v>Default</v>
      </c>
      <c r="E945" s="247"/>
      <c r="F945" s="10"/>
      <c r="G945" s="17"/>
      <c r="H945" s="10"/>
      <c r="I945" s="17"/>
      <c r="J945" s="83"/>
      <c r="K945" s="343"/>
      <c r="L945" s="347"/>
      <c r="M945" s="10"/>
      <c r="N945" s="76" t="s">
        <v>103</v>
      </c>
      <c r="O945" s="22">
        <v>0.3</v>
      </c>
      <c r="P945" s="14" t="s">
        <v>224</v>
      </c>
      <c r="Q945" s="83">
        <v>1</v>
      </c>
      <c r="U945" s="104" t="str">
        <f>IF(
  AND(
    TRIM(A945)=TRIM(Enginuity!$A$1),
    TRIM(B945)=TRIM(Enginuity!$A$17),
    Q945&lt;&gt;"",
    Q945&lt;&gt;0,
    OR(
      TRIM(C945)=TRIM(Enginuity!$A$18),
      AND(UPPER(TRIM(M945))="STD", TRIM(B945)=TRIM(Enginuity!$A$17))
    ),
    OR(
      AND(LEFT(P945,5)="1-Way", Enginuity!$B$13=1),
      AND(LEFT(P945,5)="2-Way", OR(Enginuity!$B$13=2, Enginuity!$B$13=4)),
      AND(LEFT(P945,5)="3-Way", OR(Enginuity!$B$13=3, Enginuity!$B$13=6)),
      AND(P945="Inner Centre Jamb", OR(Enginuity!$B$13=4, Enginuity!$B$13=6)),
      AND(
        LEFT(P945,5)&lt;&gt;"1-Way",
        LEFT(P945,5)&lt;&gt;"2-Way",
        LEFT(P945,5)&lt;&gt;"3-Way",
        P945&lt;&gt;"Inner Centre Jamb"
      )
    ),
    IF(OR(Enginuity!$A$1="Frameless Glass",Enginuity!$A$1="Metal Work"),
      AND(TRIM(B945)=TRIM(Enginuity!$A$17),TRIM(C945)=TRIM(Enginuity!$A$18)),
      TRIM(B945)=TRIM(Enginuity!$A$17)
    )
  ),
  ROW(),
  ""
)</f>
        <v/>
      </c>
    </row>
    <row r="946" spans="1:21" x14ac:dyDescent="0.25">
      <c r="A946" s="10" t="s">
        <v>251</v>
      </c>
      <c r="B946" s="229" t="s">
        <v>322</v>
      </c>
      <c r="C946" s="10" t="s">
        <v>325</v>
      </c>
      <c r="D946" s="14" t="str">
        <f t="shared" si="12"/>
        <v>Default</v>
      </c>
      <c r="E946" s="247"/>
      <c r="F946" s="10"/>
      <c r="G946" s="17"/>
      <c r="H946" s="10"/>
      <c r="I946" s="17"/>
      <c r="J946" s="83"/>
      <c r="K946" s="343"/>
      <c r="L946" s="347"/>
      <c r="M946" s="10"/>
      <c r="N946" s="76" t="s">
        <v>121</v>
      </c>
      <c r="O946" s="22">
        <v>3.5</v>
      </c>
      <c r="P946" s="14" t="s">
        <v>225</v>
      </c>
      <c r="Q946" s="83">
        <f>IF(
  ISNUMBER(SEARCH("Grill Box", Enginuity!$A$19)),
  IFERROR(Enginuity!$B$10, 0),
  IFERROR(Enginuity!$B$9, 0)
)</f>
        <v>260</v>
      </c>
      <c r="U946" s="104" t="str">
        <f>IF(
  AND(
    TRIM(A946)=TRIM(Enginuity!$A$1),
    TRIM(B946)=TRIM(Enginuity!$A$17),
    Q946&lt;&gt;"",
    Q946&lt;&gt;0,
    OR(
      TRIM(C946)=TRIM(Enginuity!$A$18),
      AND(UPPER(TRIM(M946))="STD", TRIM(B946)=TRIM(Enginuity!$A$17))
    ),
    OR(
      AND(LEFT(P946,5)="1-Way", Enginuity!$B$13=1),
      AND(LEFT(P946,5)="2-Way", OR(Enginuity!$B$13=2, Enginuity!$B$13=4)),
      AND(LEFT(P946,5)="3-Way", OR(Enginuity!$B$13=3, Enginuity!$B$13=6)),
      AND(P946="Inner Centre Jamb", OR(Enginuity!$B$13=4, Enginuity!$B$13=6)),
      AND(
        LEFT(P946,5)&lt;&gt;"1-Way",
        LEFT(P946,5)&lt;&gt;"2-Way",
        LEFT(P946,5)&lt;&gt;"3-Way",
        P946&lt;&gt;"Inner Centre Jamb"
      )
    ),
    IF(OR(Enginuity!$A$1="Frameless Glass",Enginuity!$A$1="Metal Work"),
      AND(TRIM(B946)=TRIM(Enginuity!$A$17),TRIM(C946)=TRIM(Enginuity!$A$18)),
      TRIM(B946)=TRIM(Enginuity!$A$17)
    )
  ),
  ROW(),
  ""
)</f>
        <v/>
      </c>
    </row>
    <row r="947" spans="1:21" x14ac:dyDescent="0.25">
      <c r="A947" s="10" t="s">
        <v>251</v>
      </c>
      <c r="B947" s="229" t="s">
        <v>322</v>
      </c>
      <c r="C947" s="10" t="s">
        <v>325</v>
      </c>
      <c r="D947" s="14" t="str">
        <f t="shared" si="12"/>
        <v>Default</v>
      </c>
      <c r="E947" s="247"/>
      <c r="F947" s="10"/>
      <c r="G947" s="17"/>
      <c r="H947" s="10"/>
      <c r="I947" s="17"/>
      <c r="J947" s="83"/>
      <c r="K947" s="343"/>
      <c r="L947" s="347"/>
      <c r="M947" s="10"/>
      <c r="N947" s="76" t="s">
        <v>228</v>
      </c>
      <c r="O947" s="22">
        <f>Enginuity!$B$9 * 0.5</f>
        <v>130</v>
      </c>
      <c r="P947" s="14" t="s">
        <v>226</v>
      </c>
      <c r="Q947" s="83">
        <v>0.5</v>
      </c>
      <c r="U947" s="104" t="str">
        <f>IF(
  AND(
    TRIM(A947)=TRIM(Enginuity!$A$1),
    TRIM(B947)=TRIM(Enginuity!$A$17),
    Q947&lt;&gt;"",
    Q947&lt;&gt;0,
    OR(
      TRIM(C947)=TRIM(Enginuity!$A$18),
      AND(UPPER(TRIM(M947))="STD", TRIM(B947)=TRIM(Enginuity!$A$17))
    ),
    OR(
      AND(LEFT(P947,5)="1-Way", Enginuity!$B$13=1),
      AND(LEFT(P947,5)="2-Way", OR(Enginuity!$B$13=2, Enginuity!$B$13=4)),
      AND(LEFT(P947,5)="3-Way", OR(Enginuity!$B$13=3, Enginuity!$B$13=6)),
      AND(P947="Inner Centre Jamb", OR(Enginuity!$B$13=4, Enginuity!$B$13=6)),
      AND(
        LEFT(P947,5)&lt;&gt;"1-Way",
        LEFT(P947,5)&lt;&gt;"2-Way",
        LEFT(P947,5)&lt;&gt;"3-Way",
        P947&lt;&gt;"Inner Centre Jamb"
      )
    ),
    IF(OR(Enginuity!$A$1="Frameless Glass",Enginuity!$A$1="Metal Work"),
      AND(TRIM(B947)=TRIM(Enginuity!$A$17),TRIM(C947)=TRIM(Enginuity!$A$18)),
      TRIM(B947)=TRIM(Enginuity!$A$17)
    )
  ),
  ROW(),
  ""
)</f>
        <v/>
      </c>
    </row>
    <row r="948" spans="1:21" x14ac:dyDescent="0.25">
      <c r="A948" s="10" t="s">
        <v>251</v>
      </c>
      <c r="B948" s="229" t="s">
        <v>322</v>
      </c>
      <c r="C948" s="10" t="s">
        <v>325</v>
      </c>
      <c r="D948" s="14" t="str">
        <f t="shared" si="12"/>
        <v>Default</v>
      </c>
      <c r="E948" s="247"/>
      <c r="F948" s="10"/>
      <c r="G948" s="17"/>
      <c r="H948" s="10"/>
      <c r="I948" s="17"/>
      <c r="J948" s="83"/>
      <c r="K948" s="343"/>
      <c r="L948" s="347"/>
      <c r="M948" s="10"/>
      <c r="N948" s="76" t="s">
        <v>112</v>
      </c>
      <c r="O948" s="22">
        <v>15</v>
      </c>
      <c r="P948" s="14" t="s">
        <v>236</v>
      </c>
      <c r="Q948" s="83">
        <f>IFERROR(
  CHOOSE(MATCH(Enginuity!$B$13,{1,2,3,4,6,8},0), 0, 4, 4, 4, 6, 6),
0)</f>
        <v>0</v>
      </c>
      <c r="U948" s="104" t="str">
        <f>IF(
  AND(
    TRIM(A948)=TRIM(Enginuity!$A$1),
    TRIM(B948)=TRIM(Enginuity!$A$17),
    Q948&lt;&gt;"",
    Q948&lt;&gt;0,
    OR(
      TRIM(C948)=TRIM(Enginuity!$A$18),
      AND(UPPER(TRIM(M948))="STD", TRIM(B948)=TRIM(Enginuity!$A$17))
    ),
    OR(
      AND(LEFT(P948,5)="1-Way", Enginuity!$B$13=1),
      AND(LEFT(P948,5)="2-Way", OR(Enginuity!$B$13=2, Enginuity!$B$13=4)),
      AND(LEFT(P948,5)="3-Way", OR(Enginuity!$B$13=3, Enginuity!$B$13=6)),
      AND(P948="Inner Centre Jamb", OR(Enginuity!$B$13=4, Enginuity!$B$13=6)),
      AND(
        LEFT(P948,5)&lt;&gt;"1-Way",
        LEFT(P948,5)&lt;&gt;"2-Way",
        LEFT(P948,5)&lt;&gt;"3-Way",
        P948&lt;&gt;"Inner Centre Jamb"
      )
    ),
    IF(OR(Enginuity!$A$1="Frameless Glass",Enginuity!$A$1="Metal Work"),
      AND(TRIM(B948)=TRIM(Enginuity!$A$17),TRIM(C948)=TRIM(Enginuity!$A$18)),
      TRIM(B948)=TRIM(Enginuity!$A$17)
    )
  ),
  ROW(),
  ""
)</f>
        <v/>
      </c>
    </row>
    <row r="949" spans="1:21" x14ac:dyDescent="0.25">
      <c r="A949" s="10" t="s">
        <v>251</v>
      </c>
      <c r="B949" s="229" t="s">
        <v>322</v>
      </c>
      <c r="C949" s="10" t="s">
        <v>325</v>
      </c>
      <c r="D949" s="14" t="str">
        <f t="shared" ref="D949" si="13">$BA$2</f>
        <v>Default</v>
      </c>
      <c r="E949" s="247"/>
      <c r="F949" s="10"/>
      <c r="G949" s="17"/>
      <c r="H949" s="10"/>
      <c r="I949" s="17"/>
      <c r="J949" s="83"/>
      <c r="K949" s="343"/>
      <c r="L949" s="347"/>
      <c r="M949" s="10"/>
      <c r="N949" s="76" t="s">
        <v>121</v>
      </c>
      <c r="O949" s="22">
        <v>4</v>
      </c>
      <c r="P949" s="14" t="s">
        <v>166</v>
      </c>
      <c r="Q949" s="83">
        <f>IF(
  ISNUMBER(SEARCH("Grill Box", Enginuity!$A$19)),
  IFERROR(Enginuity!$B$10, 0),
  IFERROR(Enginuity!$B$9, 0)
)</f>
        <v>260</v>
      </c>
      <c r="U949" s="104" t="str">
        <f>IF(
  AND(
    TRIM(A949)=TRIM(Enginuity!$A$1),
    TRIM(B949)=TRIM(Enginuity!$A$17),
    Q949&lt;&gt;"",
    Q949&lt;&gt;0,
    OR(
      TRIM(C949)=TRIM(Enginuity!$A$18),
      AND(UPPER(TRIM(M949))="STD", TRIM(B949)=TRIM(Enginuity!$A$17))
    ),
    OR(
      AND(LEFT(P949,5)="1-Way", Enginuity!$B$13=1),
      AND(LEFT(P949,5)="2-Way", OR(Enginuity!$B$13=2, Enginuity!$B$13=4)),
      AND(LEFT(P949,5)="3-Way", OR(Enginuity!$B$13=3, Enginuity!$B$13=6)),
      AND(P949="Inner Centre Jamb", OR(Enginuity!$B$13=4, Enginuity!$B$13=6)),
      AND(
        LEFT(P949,5)&lt;&gt;"1-Way",
        LEFT(P949,5)&lt;&gt;"2-Way",
        LEFT(P949,5)&lt;&gt;"3-Way",
        P949&lt;&gt;"Inner Centre Jamb"
      )
    ),
    IF(OR(Enginuity!$A$1="Frameless Glass",Enginuity!$A$1="Metal Work"),
      AND(TRIM(B949)=TRIM(Enginuity!$A$17),TRIM(C949)=TRIM(Enginuity!$A$18)),
      TRIM(B949)=TRIM(Enginuity!$A$17)
    )
  ),
  ROW(),
  ""
)</f>
        <v/>
      </c>
    </row>
    <row r="950" spans="1:21" x14ac:dyDescent="0.25">
      <c r="A950" s="10"/>
      <c r="B950" s="229"/>
      <c r="C950" s="10"/>
      <c r="D950" s="14"/>
      <c r="E950" s="247"/>
      <c r="F950" s="11"/>
      <c r="G950" s="17"/>
      <c r="H950" s="10"/>
      <c r="I950" s="17"/>
      <c r="J950" s="83"/>
      <c r="K950" s="343"/>
      <c r="L950" s="347"/>
      <c r="M950" s="22"/>
      <c r="N950" s="14"/>
      <c r="O950" s="22"/>
      <c r="P950" s="13"/>
      <c r="Q950" s="10"/>
      <c r="U950" s="104" t="str">
        <f>IF(
  AND(
    TRIM(A950)=TRIM(Enginuity!$A$1),
    TRIM(B950)=TRIM(Enginuity!$A$17),
    Q950&lt;&gt;"",
    Q950&lt;&gt;0,
    OR(
      TRIM(C950)=TRIM(Enginuity!$A$18),
      AND(UPPER(TRIM(M950))="STD", TRIM(B950)=TRIM(Enginuity!$A$17))
    ),
    OR(
      AND(LEFT(P950,5)="1-Way", Enginuity!$B$13=1),
      AND(LEFT(P950,5)="2-Way", OR(Enginuity!$B$13=2, Enginuity!$B$13=4)),
      AND(LEFT(P950,5)="3-Way", OR(Enginuity!$B$13=3, Enginuity!$B$13=6)),
      AND(P950="Inner Centre Jamb", OR(Enginuity!$B$13=4, Enginuity!$B$13=6)),
      AND(
        LEFT(P950,5)&lt;&gt;"1-Way",
        LEFT(P950,5)&lt;&gt;"2-Way",
        LEFT(P950,5)&lt;&gt;"3-Way",
        P950&lt;&gt;"Inner Centre Jamb"
      )
    ),
    IF(OR(Enginuity!$A$1="Frameless Glass",Enginuity!$A$1="Metal Work"),
      AND(TRIM(B950)=TRIM(Enginuity!$A$17),TRIM(C950)=TRIM(Enginuity!$A$18)),
      TRIM(B950)=TRIM(Enginuity!$A$17)
    )
  ),
  ROW(),
  ""
)</f>
        <v/>
      </c>
    </row>
    <row r="951" spans="1:21" x14ac:dyDescent="0.25">
      <c r="A951" s="10"/>
      <c r="B951" s="229"/>
      <c r="C951" s="10"/>
      <c r="D951" s="14"/>
      <c r="E951" s="247"/>
      <c r="F951" s="11"/>
      <c r="G951" s="17"/>
      <c r="H951" s="10"/>
      <c r="I951" s="17"/>
      <c r="J951" s="83"/>
      <c r="K951" s="343"/>
      <c r="L951" s="347"/>
      <c r="M951" s="22"/>
      <c r="N951" s="14"/>
      <c r="O951" s="22"/>
      <c r="P951" s="13"/>
      <c r="Q951" s="10"/>
      <c r="U951" s="104" t="str">
        <f>IF(
  AND(
    TRIM(A951)=TRIM(Enginuity!$A$1),
    TRIM(B951)=TRIM(Enginuity!$A$17),
    Q951&lt;&gt;"",
    Q951&lt;&gt;0,
    OR(
      TRIM(C951)=TRIM(Enginuity!$A$18),
      AND(UPPER(TRIM(M951))="STD", TRIM(B951)=TRIM(Enginuity!$A$17))
    ),
    OR(
      AND(LEFT(P951,5)="1-Way", Enginuity!$B$13=1),
      AND(LEFT(P951,5)="2-Way", OR(Enginuity!$B$13=2, Enginuity!$B$13=4)),
      AND(LEFT(P951,5)="3-Way", OR(Enginuity!$B$13=3, Enginuity!$B$13=6)),
      AND(P951="Inner Centre Jamb", OR(Enginuity!$B$13=4, Enginuity!$B$13=6)),
      AND(
        LEFT(P951,5)&lt;&gt;"1-Way",
        LEFT(P951,5)&lt;&gt;"2-Way",
        LEFT(P951,5)&lt;&gt;"3-Way",
        P951&lt;&gt;"Inner Centre Jamb"
      )
    ),
    IF(OR(Enginuity!$A$1="Frameless Glass",Enginuity!$A$1="Metal Work"),
      AND(TRIM(B951)=TRIM(Enginuity!$A$17),TRIM(C951)=TRIM(Enginuity!$A$18)),
      TRIM(B951)=TRIM(Enginuity!$A$17)
    )
  ),
  ROW(),
  ""
)</f>
        <v/>
      </c>
    </row>
    <row r="952" spans="1:21" x14ac:dyDescent="0.25">
      <c r="A952" s="10"/>
      <c r="B952" s="229"/>
      <c r="C952" s="10"/>
      <c r="D952" s="14"/>
      <c r="E952" s="247"/>
      <c r="F952" s="10"/>
      <c r="G952" s="17"/>
      <c r="H952" s="10"/>
      <c r="I952" s="17"/>
      <c r="J952" s="83"/>
      <c r="K952" s="343"/>
      <c r="L952" s="347"/>
      <c r="M952" s="22"/>
      <c r="N952" s="14"/>
      <c r="O952" s="22"/>
      <c r="P952" s="13"/>
      <c r="Q952" s="10"/>
      <c r="U952" s="104" t="str">
        <f>IF(
  AND(
    TRIM(A952)=TRIM(Enginuity!$A$1),
    TRIM(B952)=TRIM(Enginuity!$A$17),
    Q952&lt;&gt;"",
    Q952&lt;&gt;0,
    OR(
      TRIM(C952)=TRIM(Enginuity!$A$18),
      AND(UPPER(TRIM(M952))="STD", TRIM(B952)=TRIM(Enginuity!$A$17))
    ),
    OR(
      AND(LEFT(P952,5)="1-Way", Enginuity!$B$13=1),
      AND(LEFT(P952,5)="2-Way", OR(Enginuity!$B$13=2, Enginuity!$B$13=4)),
      AND(LEFT(P952,5)="3-Way", OR(Enginuity!$B$13=3, Enginuity!$B$13=6)),
      AND(P952="Inner Centre Jamb", OR(Enginuity!$B$13=4, Enginuity!$B$13=6)),
      AND(
        LEFT(P952,5)&lt;&gt;"1-Way",
        LEFT(P952,5)&lt;&gt;"2-Way",
        LEFT(P952,5)&lt;&gt;"3-Way",
        P952&lt;&gt;"Inner Centre Jamb"
      )
    ),
    IF(OR(Enginuity!$A$1="Frameless Glass",Enginuity!$A$1="Metal Work"),
      AND(TRIM(B952)=TRIM(Enginuity!$A$17),TRIM(C952)=TRIM(Enginuity!$A$18)),
      TRIM(B952)=TRIM(Enginuity!$A$17)
    )
  ),
  ROW(),
  ""
)</f>
        <v/>
      </c>
    </row>
    <row r="953" spans="1:21" x14ac:dyDescent="0.25">
      <c r="A953" s="10"/>
      <c r="B953" s="229"/>
      <c r="C953" s="10"/>
      <c r="D953" s="14"/>
      <c r="E953" s="247"/>
      <c r="F953" s="10"/>
      <c r="G953" s="17"/>
      <c r="H953" s="10"/>
      <c r="I953" s="17"/>
      <c r="J953" s="83"/>
      <c r="K953" s="343"/>
      <c r="L953" s="347"/>
      <c r="M953" s="22"/>
      <c r="N953" s="14"/>
      <c r="O953" s="22"/>
      <c r="P953" s="13"/>
      <c r="Q953" s="10"/>
      <c r="U953" s="104" t="str">
        <f>IF(
  AND(
    TRIM(A953)=TRIM(Enginuity!$A$1),
    TRIM(B953)=TRIM(Enginuity!$A$17),
    Q953&lt;&gt;"",
    Q953&lt;&gt;0,
    OR(
      TRIM(C953)=TRIM(Enginuity!$A$18),
      AND(UPPER(TRIM(M953))="STD", TRIM(B953)=TRIM(Enginuity!$A$17))
    ),
    OR(
      AND(LEFT(P953,5)="1-Way", Enginuity!$B$13=1),
      AND(LEFT(P953,5)="2-Way", OR(Enginuity!$B$13=2, Enginuity!$B$13=4)),
      AND(LEFT(P953,5)="3-Way", OR(Enginuity!$B$13=3, Enginuity!$B$13=6)),
      AND(P953="Inner Centre Jamb", OR(Enginuity!$B$13=4, Enginuity!$B$13=6)),
      AND(
        LEFT(P953,5)&lt;&gt;"1-Way",
        LEFT(P953,5)&lt;&gt;"2-Way",
        LEFT(P953,5)&lt;&gt;"3-Way",
        P953&lt;&gt;"Inner Centre Jamb"
      )
    ),
    IF(OR(Enginuity!$A$1="Frameless Glass",Enginuity!$A$1="Metal Work"),
      AND(TRIM(B953)=TRIM(Enginuity!$A$17),TRIM(C953)=TRIM(Enginuity!$A$18)),
      TRIM(B953)=TRIM(Enginuity!$A$17)
    )
  ),
  ROW(),
  ""
)</f>
        <v/>
      </c>
    </row>
    <row r="954" spans="1:21" x14ac:dyDescent="0.25">
      <c r="A954" s="10"/>
      <c r="B954" s="229"/>
      <c r="C954" s="10"/>
      <c r="D954" s="14"/>
      <c r="E954" s="247"/>
      <c r="F954" s="10"/>
      <c r="G954" s="17"/>
      <c r="H954" s="10"/>
      <c r="I954" s="17"/>
      <c r="J954" s="83"/>
      <c r="K954" s="343"/>
      <c r="L954" s="347"/>
      <c r="M954" s="22"/>
      <c r="N954" s="14"/>
      <c r="O954" s="22"/>
      <c r="P954" s="13"/>
      <c r="Q954" s="10"/>
      <c r="U954" s="104" t="str">
        <f>IF(
  AND(
    TRIM(A954)=TRIM(Enginuity!$A$1),
    TRIM(B954)=TRIM(Enginuity!$A$17),
    Q954&lt;&gt;"",
    Q954&lt;&gt;0,
    OR(
      TRIM(C954)=TRIM(Enginuity!$A$18),
      AND(UPPER(TRIM(M954))="STD", TRIM(B954)=TRIM(Enginuity!$A$17))
    ),
    OR(
      AND(LEFT(P954,5)="1-Way", Enginuity!$B$13=1),
      AND(LEFT(P954,5)="2-Way", OR(Enginuity!$B$13=2, Enginuity!$B$13=4)),
      AND(LEFT(P954,5)="3-Way", OR(Enginuity!$B$13=3, Enginuity!$B$13=6)),
      AND(P954="Inner Centre Jamb", OR(Enginuity!$B$13=4, Enginuity!$B$13=6)),
      AND(
        LEFT(P954,5)&lt;&gt;"1-Way",
        LEFT(P954,5)&lt;&gt;"2-Way",
        LEFT(P954,5)&lt;&gt;"3-Way",
        P954&lt;&gt;"Inner Centre Jamb"
      )
    ),
    IF(OR(Enginuity!$A$1="Frameless Glass",Enginuity!$A$1="Metal Work"),
      AND(TRIM(B954)=TRIM(Enginuity!$A$17),TRIM(C954)=TRIM(Enginuity!$A$18)),
      TRIM(B954)=TRIM(Enginuity!$A$17)
    )
  ),
  ROW(),
  ""
)</f>
        <v/>
      </c>
    </row>
    <row r="955" spans="1:21" x14ac:dyDescent="0.25">
      <c r="A955" s="10"/>
      <c r="B955" s="229"/>
      <c r="C955" s="10"/>
      <c r="D955" s="14"/>
      <c r="E955" s="247"/>
      <c r="F955" s="10"/>
      <c r="G955" s="17"/>
      <c r="H955" s="10"/>
      <c r="I955" s="17"/>
      <c r="J955" s="83"/>
      <c r="K955" s="343"/>
      <c r="L955" s="347"/>
      <c r="M955" s="22"/>
      <c r="N955" s="14"/>
      <c r="O955" s="22"/>
      <c r="P955" s="13"/>
      <c r="Q955" s="10"/>
      <c r="U955" s="104" t="str">
        <f>IF(
  AND(
    TRIM(A955)=TRIM(Enginuity!$A$1),
    TRIM(B955)=TRIM(Enginuity!$A$17),
    Q955&lt;&gt;"",
    Q955&lt;&gt;0,
    OR(
      TRIM(C955)=TRIM(Enginuity!$A$18),
      AND(UPPER(TRIM(M955))="STD", TRIM(B955)=TRIM(Enginuity!$A$17))
    ),
    OR(
      AND(LEFT(P955,5)="1-Way", Enginuity!$B$13=1),
      AND(LEFT(P955,5)="2-Way", OR(Enginuity!$B$13=2, Enginuity!$B$13=4)),
      AND(LEFT(P955,5)="3-Way", OR(Enginuity!$B$13=3, Enginuity!$B$13=6)),
      AND(P955="Inner Centre Jamb", OR(Enginuity!$B$13=4, Enginuity!$B$13=6)),
      AND(
        LEFT(P955,5)&lt;&gt;"1-Way",
        LEFT(P955,5)&lt;&gt;"2-Way",
        LEFT(P955,5)&lt;&gt;"3-Way",
        P955&lt;&gt;"Inner Centre Jamb"
      )
    ),
    IF(OR(Enginuity!$A$1="Frameless Glass",Enginuity!$A$1="Metal Work"),
      AND(TRIM(B955)=TRIM(Enginuity!$A$17),TRIM(C955)=TRIM(Enginuity!$A$18)),
      TRIM(B955)=TRIM(Enginuity!$A$17)
    )
  ),
  ROW(),
  ""
)</f>
        <v/>
      </c>
    </row>
    <row r="956" spans="1:21" x14ac:dyDescent="0.25">
      <c r="A956" s="10"/>
      <c r="B956" s="229"/>
      <c r="C956" s="10"/>
      <c r="D956" s="14"/>
      <c r="E956" s="247"/>
      <c r="F956" s="10"/>
      <c r="G956" s="17"/>
      <c r="H956" s="10"/>
      <c r="I956" s="17"/>
      <c r="J956" s="83"/>
      <c r="K956" s="343"/>
      <c r="L956" s="347"/>
      <c r="M956" s="22"/>
      <c r="N956" s="14"/>
      <c r="O956" s="22"/>
      <c r="P956" s="13"/>
      <c r="Q956" s="10"/>
      <c r="U956" s="104" t="str">
        <f>IF(
  AND(
    TRIM(A956)=TRIM(Enginuity!$A$1),
    TRIM(B956)=TRIM(Enginuity!$A$17),
    Q956&lt;&gt;"",
    Q956&lt;&gt;0,
    OR(
      TRIM(C956)=TRIM(Enginuity!$A$18),
      AND(UPPER(TRIM(M956))="STD", TRIM(B956)=TRIM(Enginuity!$A$17))
    ),
    OR(
      AND(LEFT(P956,5)="1-Way", Enginuity!$B$13=1),
      AND(LEFT(P956,5)="2-Way", OR(Enginuity!$B$13=2, Enginuity!$B$13=4)),
      AND(LEFT(P956,5)="3-Way", OR(Enginuity!$B$13=3, Enginuity!$B$13=6)),
      AND(P956="Inner Centre Jamb", OR(Enginuity!$B$13=4, Enginuity!$B$13=6)),
      AND(
        LEFT(P956,5)&lt;&gt;"1-Way",
        LEFT(P956,5)&lt;&gt;"2-Way",
        LEFT(P956,5)&lt;&gt;"3-Way",
        P956&lt;&gt;"Inner Centre Jamb"
      )
    ),
    IF(OR(Enginuity!$A$1="Frameless Glass",Enginuity!$A$1="Metal Work"),
      AND(TRIM(B956)=TRIM(Enginuity!$A$17),TRIM(C956)=TRIM(Enginuity!$A$18)),
      TRIM(B956)=TRIM(Enginuity!$A$17)
    )
  ),
  ROW(),
  ""
)</f>
        <v/>
      </c>
    </row>
    <row r="957" spans="1:21" x14ac:dyDescent="0.25">
      <c r="A957" s="10"/>
      <c r="B957" s="229"/>
      <c r="C957" s="10"/>
      <c r="D957" s="14"/>
      <c r="E957" s="247"/>
      <c r="F957" s="10"/>
      <c r="G957" s="17"/>
      <c r="H957" s="10"/>
      <c r="I957" s="17"/>
      <c r="J957" s="83"/>
      <c r="K957" s="343"/>
      <c r="L957" s="347"/>
      <c r="M957" s="22"/>
      <c r="N957" s="14"/>
      <c r="O957" s="22"/>
      <c r="P957" s="13"/>
      <c r="Q957" s="10"/>
      <c r="U957" s="104" t="str">
        <f>IF(
  AND(
    TRIM(A957)=TRIM(Enginuity!$A$1),
    TRIM(B957)=TRIM(Enginuity!$A$17),
    Q957&lt;&gt;"",
    Q957&lt;&gt;0,
    OR(
      TRIM(C957)=TRIM(Enginuity!$A$18),
      AND(UPPER(TRIM(M957))="STD", TRIM(B957)=TRIM(Enginuity!$A$17))
    ),
    OR(
      AND(LEFT(P957,5)="1-Way", Enginuity!$B$13=1),
      AND(LEFT(P957,5)="2-Way", OR(Enginuity!$B$13=2, Enginuity!$B$13=4)),
      AND(LEFT(P957,5)="3-Way", OR(Enginuity!$B$13=3, Enginuity!$B$13=6)),
      AND(P957="Inner Centre Jamb", OR(Enginuity!$B$13=4, Enginuity!$B$13=6)),
      AND(
        LEFT(P957,5)&lt;&gt;"1-Way",
        LEFT(P957,5)&lt;&gt;"2-Way",
        LEFT(P957,5)&lt;&gt;"3-Way",
        P957&lt;&gt;"Inner Centre Jamb"
      )
    ),
    IF(OR(Enginuity!$A$1="Frameless Glass",Enginuity!$A$1="Metal Work"),
      AND(TRIM(B957)=TRIM(Enginuity!$A$17),TRIM(C957)=TRIM(Enginuity!$A$18)),
      TRIM(B957)=TRIM(Enginuity!$A$17)
    )
  ),
  ROW(),
  ""
)</f>
        <v/>
      </c>
    </row>
    <row r="958" spans="1:21" x14ac:dyDescent="0.25">
      <c r="A958" s="10"/>
      <c r="B958" s="229"/>
      <c r="C958" s="10"/>
      <c r="D958" s="14"/>
      <c r="E958" s="247"/>
      <c r="F958" s="10"/>
      <c r="G958" s="17"/>
      <c r="H958" s="10"/>
      <c r="I958" s="17"/>
      <c r="J958" s="83"/>
      <c r="K958" s="343"/>
      <c r="L958" s="347"/>
      <c r="M958" s="22"/>
      <c r="N958" s="14"/>
      <c r="O958" s="22"/>
      <c r="P958" s="13"/>
      <c r="Q958" s="10"/>
      <c r="U958" s="104" t="str">
        <f>IF(
  AND(
    TRIM(A958)=TRIM(Enginuity!$A$1),
    TRIM(B958)=TRIM(Enginuity!$A$17),
    Q958&lt;&gt;"",
    Q958&lt;&gt;0,
    OR(
      TRIM(C958)=TRIM(Enginuity!$A$18),
      AND(UPPER(TRIM(M958))="STD", TRIM(B958)=TRIM(Enginuity!$A$17))
    ),
    OR(
      AND(LEFT(P958,5)="1-Way", Enginuity!$B$13=1),
      AND(LEFT(P958,5)="2-Way", OR(Enginuity!$B$13=2, Enginuity!$B$13=4)),
      AND(LEFT(P958,5)="3-Way", OR(Enginuity!$B$13=3, Enginuity!$B$13=6)),
      AND(P958="Inner Centre Jamb", OR(Enginuity!$B$13=4, Enginuity!$B$13=6)),
      AND(
        LEFT(P958,5)&lt;&gt;"1-Way",
        LEFT(P958,5)&lt;&gt;"2-Way",
        LEFT(P958,5)&lt;&gt;"3-Way",
        P958&lt;&gt;"Inner Centre Jamb"
      )
    ),
    IF(OR(Enginuity!$A$1="Frameless Glass",Enginuity!$A$1="Metal Work"),
      AND(TRIM(B958)=TRIM(Enginuity!$A$17),TRIM(C958)=TRIM(Enginuity!$A$18)),
      TRIM(B958)=TRIM(Enginuity!$A$17)
    )
  ),
  ROW(),
  ""
)</f>
        <v/>
      </c>
    </row>
    <row r="959" spans="1:21" x14ac:dyDescent="0.25">
      <c r="A959" s="10"/>
      <c r="B959" s="229"/>
      <c r="C959" s="10"/>
      <c r="D959" s="14"/>
      <c r="E959" s="247"/>
      <c r="F959" s="10"/>
      <c r="G959" s="17"/>
      <c r="H959" s="10"/>
      <c r="I959" s="17"/>
      <c r="J959" s="83"/>
      <c r="K959" s="343"/>
      <c r="L959" s="347"/>
      <c r="M959" s="22"/>
      <c r="N959" s="14"/>
      <c r="O959" s="22"/>
      <c r="P959" s="13"/>
      <c r="Q959" s="10"/>
      <c r="U959" s="104" t="str">
        <f>IF(
  AND(
    TRIM(A959)=TRIM(Enginuity!$A$1),
    TRIM(B959)=TRIM(Enginuity!$A$17),
    Q959&lt;&gt;"",
    Q959&lt;&gt;0,
    OR(
      TRIM(C959)=TRIM(Enginuity!$A$18),
      AND(UPPER(TRIM(M959))="STD", TRIM(B959)=TRIM(Enginuity!$A$17))
    ),
    OR(
      AND(LEFT(P959,5)="1-Way", Enginuity!$B$13=1),
      AND(LEFT(P959,5)="2-Way", OR(Enginuity!$B$13=2, Enginuity!$B$13=4)),
      AND(LEFT(P959,5)="3-Way", OR(Enginuity!$B$13=3, Enginuity!$B$13=6)),
      AND(P959="Inner Centre Jamb", OR(Enginuity!$B$13=4, Enginuity!$B$13=6)),
      AND(
        LEFT(P959,5)&lt;&gt;"1-Way",
        LEFT(P959,5)&lt;&gt;"2-Way",
        LEFT(P959,5)&lt;&gt;"3-Way",
        P959&lt;&gt;"Inner Centre Jamb"
      )
    ),
    IF(OR(Enginuity!$A$1="Frameless Glass",Enginuity!$A$1="Metal Work"),
      AND(TRIM(B959)=TRIM(Enginuity!$A$17),TRIM(C959)=TRIM(Enginuity!$A$18)),
      TRIM(B959)=TRIM(Enginuity!$A$17)
    )
  ),
  ROW(),
  ""
)</f>
        <v/>
      </c>
    </row>
    <row r="960" spans="1:21" x14ac:dyDescent="0.25">
      <c r="A960" s="10"/>
      <c r="B960" s="229"/>
      <c r="C960" s="10"/>
      <c r="D960" s="14"/>
      <c r="E960" s="247"/>
      <c r="F960" s="10"/>
      <c r="G960" s="17"/>
      <c r="H960" s="10"/>
      <c r="I960" s="17"/>
      <c r="J960" s="83"/>
      <c r="K960" s="343"/>
      <c r="L960" s="347"/>
      <c r="M960" s="22"/>
      <c r="N960" s="14"/>
      <c r="O960" s="22"/>
      <c r="P960" s="13"/>
      <c r="Q960" s="10"/>
      <c r="U960" s="104" t="str">
        <f>IF(
  AND(
    TRIM(A960)=TRIM(Enginuity!$A$1),
    TRIM(B960)=TRIM(Enginuity!$A$17),
    Q960&lt;&gt;"",
    Q960&lt;&gt;0,
    OR(
      TRIM(C960)=TRIM(Enginuity!$A$18),
      AND(UPPER(TRIM(M960))="STD", TRIM(B960)=TRIM(Enginuity!$A$17))
    ),
    OR(
      AND(LEFT(P960,5)="1-Way", Enginuity!$B$13=1),
      AND(LEFT(P960,5)="2-Way", OR(Enginuity!$B$13=2, Enginuity!$B$13=4)),
      AND(LEFT(P960,5)="3-Way", OR(Enginuity!$B$13=3, Enginuity!$B$13=6)),
      AND(P960="Inner Centre Jamb", OR(Enginuity!$B$13=4, Enginuity!$B$13=6)),
      AND(
        LEFT(P960,5)&lt;&gt;"1-Way",
        LEFT(P960,5)&lt;&gt;"2-Way",
        LEFT(P960,5)&lt;&gt;"3-Way",
        P960&lt;&gt;"Inner Centre Jamb"
      )
    ),
    IF(OR(Enginuity!$A$1="Frameless Glass",Enginuity!$A$1="Metal Work"),
      AND(TRIM(B960)=TRIM(Enginuity!$A$17),TRIM(C960)=TRIM(Enginuity!$A$18)),
      TRIM(B960)=TRIM(Enginuity!$A$17)
    )
  ),
  ROW(),
  ""
)</f>
        <v/>
      </c>
    </row>
    <row r="961" spans="1:21" x14ac:dyDescent="0.25">
      <c r="A961" s="10"/>
      <c r="B961" s="229"/>
      <c r="C961" s="10"/>
      <c r="D961" s="14"/>
      <c r="E961" s="247"/>
      <c r="F961" s="10"/>
      <c r="G961" s="17"/>
      <c r="H961" s="10"/>
      <c r="I961" s="17"/>
      <c r="J961" s="83"/>
      <c r="K961" s="343"/>
      <c r="L961" s="347"/>
      <c r="M961" s="22"/>
      <c r="N961" s="14"/>
      <c r="O961" s="22"/>
      <c r="P961" s="13"/>
      <c r="Q961" s="10"/>
      <c r="U961" s="104" t="str">
        <f>IF(
  AND(
    TRIM(A961)=TRIM(Enginuity!$A$1),
    TRIM(B961)=TRIM(Enginuity!$A$17),
    Q961&lt;&gt;"",
    Q961&lt;&gt;0,
    OR(
      TRIM(C961)=TRIM(Enginuity!$A$18),
      AND(UPPER(TRIM(M961))="STD", TRIM(B961)=TRIM(Enginuity!$A$17))
    ),
    OR(
      AND(LEFT(P961,5)="1-Way", Enginuity!$B$13=1),
      AND(LEFT(P961,5)="2-Way", OR(Enginuity!$B$13=2, Enginuity!$B$13=4)),
      AND(LEFT(P961,5)="3-Way", OR(Enginuity!$B$13=3, Enginuity!$B$13=6)),
      AND(P961="Inner Centre Jamb", OR(Enginuity!$B$13=4, Enginuity!$B$13=6)),
      AND(
        LEFT(P961,5)&lt;&gt;"1-Way",
        LEFT(P961,5)&lt;&gt;"2-Way",
        LEFT(P961,5)&lt;&gt;"3-Way",
        P961&lt;&gt;"Inner Centre Jamb"
      )
    ),
    IF(OR(Enginuity!$A$1="Frameless Glass",Enginuity!$A$1="Metal Work"),
      AND(TRIM(B961)=TRIM(Enginuity!$A$17),TRIM(C961)=TRIM(Enginuity!$A$18)),
      TRIM(B961)=TRIM(Enginuity!$A$17)
    )
  ),
  ROW(),
  ""
)</f>
        <v/>
      </c>
    </row>
    <row r="962" spans="1:21" x14ac:dyDescent="0.25">
      <c r="A962" s="10"/>
      <c r="B962" s="229"/>
      <c r="C962" s="10"/>
      <c r="D962" s="14"/>
      <c r="E962" s="247"/>
      <c r="F962" s="10"/>
      <c r="G962" s="17"/>
      <c r="H962" s="10"/>
      <c r="I962" s="17"/>
      <c r="J962" s="83"/>
      <c r="K962" s="343"/>
      <c r="L962" s="347"/>
      <c r="M962" s="22"/>
      <c r="N962" s="14"/>
      <c r="O962" s="22"/>
      <c r="P962" s="13"/>
      <c r="Q962" s="10"/>
      <c r="U962" s="104" t="str">
        <f>IF(
  AND(
    TRIM(A962)=TRIM(Enginuity!$A$1),
    TRIM(B962)=TRIM(Enginuity!$A$17),
    Q962&lt;&gt;"",
    Q962&lt;&gt;0,
    OR(
      TRIM(C962)=TRIM(Enginuity!$A$18),
      AND(UPPER(TRIM(M962))="STD", TRIM(B962)=TRIM(Enginuity!$A$17))
    ),
    OR(
      AND(LEFT(P962,5)="1-Way", Enginuity!$B$13=1),
      AND(LEFT(P962,5)="2-Way", OR(Enginuity!$B$13=2, Enginuity!$B$13=4)),
      AND(LEFT(P962,5)="3-Way", OR(Enginuity!$B$13=3, Enginuity!$B$13=6)),
      AND(P962="Inner Centre Jamb", OR(Enginuity!$B$13=4, Enginuity!$B$13=6)),
      AND(
        LEFT(P962,5)&lt;&gt;"1-Way",
        LEFT(P962,5)&lt;&gt;"2-Way",
        LEFT(P962,5)&lt;&gt;"3-Way",
        P962&lt;&gt;"Inner Centre Jamb"
      )
    ),
    IF(OR(Enginuity!$A$1="Frameless Glass",Enginuity!$A$1="Metal Work"),
      AND(TRIM(B962)=TRIM(Enginuity!$A$17),TRIM(C962)=TRIM(Enginuity!$A$18)),
      TRIM(B962)=TRIM(Enginuity!$A$17)
    )
  ),
  ROW(),
  ""
)</f>
        <v/>
      </c>
    </row>
    <row r="963" spans="1:21" x14ac:dyDescent="0.25">
      <c r="A963" s="10"/>
      <c r="B963" s="229"/>
      <c r="C963" s="10"/>
      <c r="D963" s="14"/>
      <c r="E963" s="247"/>
      <c r="F963" s="10"/>
      <c r="G963" s="17"/>
      <c r="H963" s="10"/>
      <c r="I963" s="17"/>
      <c r="J963" s="83"/>
      <c r="K963" s="343"/>
      <c r="L963" s="347"/>
      <c r="M963" s="22"/>
      <c r="N963" s="14"/>
      <c r="O963" s="22"/>
      <c r="P963" s="13"/>
      <c r="Q963" s="10"/>
      <c r="U963" s="104" t="str">
        <f>IF(
  AND(
    TRIM(A963)=TRIM(Enginuity!$A$1),
    TRIM(B963)=TRIM(Enginuity!$A$17),
    Q963&lt;&gt;"",
    Q963&lt;&gt;0,
    OR(
      TRIM(C963)=TRIM(Enginuity!$A$18),
      AND(UPPER(TRIM(M963))="STD", TRIM(B963)=TRIM(Enginuity!$A$17))
    ),
    OR(
      AND(LEFT(P963,5)="1-Way", Enginuity!$B$13=1),
      AND(LEFT(P963,5)="2-Way", OR(Enginuity!$B$13=2, Enginuity!$B$13=4)),
      AND(LEFT(P963,5)="3-Way", OR(Enginuity!$B$13=3, Enginuity!$B$13=6)),
      AND(P963="Inner Centre Jamb", OR(Enginuity!$B$13=4, Enginuity!$B$13=6)),
      AND(
        LEFT(P963,5)&lt;&gt;"1-Way",
        LEFT(P963,5)&lt;&gt;"2-Way",
        LEFT(P963,5)&lt;&gt;"3-Way",
        P963&lt;&gt;"Inner Centre Jamb"
      )
    ),
    IF(OR(Enginuity!$A$1="Frameless Glass",Enginuity!$A$1="Metal Work"),
      AND(TRIM(B963)=TRIM(Enginuity!$A$17),TRIM(C963)=TRIM(Enginuity!$A$18)),
      TRIM(B963)=TRIM(Enginuity!$A$17)
    )
  ),
  ROW(),
  ""
)</f>
        <v/>
      </c>
    </row>
    <row r="964" spans="1:21" x14ac:dyDescent="0.25">
      <c r="A964" s="10"/>
      <c r="B964" s="229"/>
      <c r="C964" s="10"/>
      <c r="D964" s="14"/>
      <c r="E964" s="247"/>
      <c r="F964" s="10"/>
      <c r="G964" s="17"/>
      <c r="H964" s="10"/>
      <c r="I964" s="17"/>
      <c r="J964" s="83"/>
      <c r="K964" s="343"/>
      <c r="L964" s="347"/>
      <c r="M964" s="22"/>
      <c r="N964" s="14"/>
      <c r="O964" s="22"/>
      <c r="P964" s="13"/>
      <c r="Q964" s="10"/>
      <c r="U964" s="104" t="str">
        <f>IF(
  AND(
    TRIM(A964)=TRIM(Enginuity!$A$1),
    TRIM(B964)=TRIM(Enginuity!$A$17),
    Q964&lt;&gt;"",
    Q964&lt;&gt;0,
    OR(
      TRIM(C964)=TRIM(Enginuity!$A$18),
      AND(UPPER(TRIM(M964))="STD", TRIM(B964)=TRIM(Enginuity!$A$17))
    ),
    OR(
      AND(LEFT(P964,5)="1-Way", Enginuity!$B$13=1),
      AND(LEFT(P964,5)="2-Way", OR(Enginuity!$B$13=2, Enginuity!$B$13=4)),
      AND(LEFT(P964,5)="3-Way", OR(Enginuity!$B$13=3, Enginuity!$B$13=6)),
      AND(P964="Inner Centre Jamb", OR(Enginuity!$B$13=4, Enginuity!$B$13=6)),
      AND(
        LEFT(P964,5)&lt;&gt;"1-Way",
        LEFT(P964,5)&lt;&gt;"2-Way",
        LEFT(P964,5)&lt;&gt;"3-Way",
        P964&lt;&gt;"Inner Centre Jamb"
      )
    ),
    IF(OR(Enginuity!$A$1="Frameless Glass",Enginuity!$A$1="Metal Work"),
      AND(TRIM(B964)=TRIM(Enginuity!$A$17),TRIM(C964)=TRIM(Enginuity!$A$18)),
      TRIM(B964)=TRIM(Enginuity!$A$17)
    )
  ),
  ROW(),
  ""
)</f>
        <v/>
      </c>
    </row>
    <row r="965" spans="1:21" x14ac:dyDescent="0.25">
      <c r="A965" s="10"/>
      <c r="B965" s="229"/>
      <c r="C965" s="10"/>
      <c r="D965" s="14"/>
      <c r="E965" s="247"/>
      <c r="F965" s="10"/>
      <c r="G965" s="17"/>
      <c r="H965" s="10"/>
      <c r="I965" s="17"/>
      <c r="J965" s="83"/>
      <c r="K965" s="343"/>
      <c r="L965" s="347"/>
      <c r="M965" s="22"/>
      <c r="N965" s="14"/>
      <c r="O965" s="22"/>
      <c r="P965" s="13"/>
      <c r="Q965" s="10"/>
      <c r="U965" s="104" t="str">
        <f>IF(
  AND(
    TRIM(A965)=TRIM(Enginuity!$A$1),
    TRIM(B965)=TRIM(Enginuity!$A$17),
    Q965&lt;&gt;"",
    Q965&lt;&gt;0,
    OR(
      TRIM(C965)=TRIM(Enginuity!$A$18),
      AND(UPPER(TRIM(M965))="STD", TRIM(B965)=TRIM(Enginuity!$A$17))
    ),
    OR(
      AND(LEFT(P965,5)="1-Way", Enginuity!$B$13=1),
      AND(LEFT(P965,5)="2-Way", OR(Enginuity!$B$13=2, Enginuity!$B$13=4)),
      AND(LEFT(P965,5)="3-Way", OR(Enginuity!$B$13=3, Enginuity!$B$13=6)),
      AND(P965="Inner Centre Jamb", OR(Enginuity!$B$13=4, Enginuity!$B$13=6)),
      AND(
        LEFT(P965,5)&lt;&gt;"1-Way",
        LEFT(P965,5)&lt;&gt;"2-Way",
        LEFT(P965,5)&lt;&gt;"3-Way",
        P965&lt;&gt;"Inner Centre Jamb"
      )
    ),
    IF(OR(Enginuity!$A$1="Frameless Glass",Enginuity!$A$1="Metal Work"),
      AND(TRIM(B965)=TRIM(Enginuity!$A$17),TRIM(C965)=TRIM(Enginuity!$A$18)),
      TRIM(B965)=TRIM(Enginuity!$A$17)
    )
  ),
  ROW(),
  ""
)</f>
        <v/>
      </c>
    </row>
    <row r="966" spans="1:21" x14ac:dyDescent="0.25">
      <c r="A966" s="10"/>
      <c r="B966" s="229"/>
      <c r="C966" s="10"/>
      <c r="D966" s="14"/>
      <c r="E966" s="247"/>
      <c r="F966" s="10"/>
      <c r="G966" s="17"/>
      <c r="H966" s="10"/>
      <c r="I966" s="17"/>
      <c r="J966" s="83"/>
      <c r="K966" s="343"/>
      <c r="L966" s="347"/>
      <c r="M966" s="22"/>
      <c r="N966" s="14"/>
      <c r="O966" s="22"/>
      <c r="P966" s="13"/>
      <c r="Q966" s="10"/>
      <c r="U966" s="104" t="str">
        <f>IF(
  AND(
    TRIM(A966)=TRIM(Enginuity!$A$1),
    TRIM(B966)=TRIM(Enginuity!$A$17),
    Q966&lt;&gt;"",
    Q966&lt;&gt;0,
    OR(
      TRIM(C966)=TRIM(Enginuity!$A$18),
      AND(UPPER(TRIM(M966))="STD", TRIM(B966)=TRIM(Enginuity!$A$17))
    ),
    OR(
      AND(LEFT(P966,5)="1-Way", Enginuity!$B$13=1),
      AND(LEFT(P966,5)="2-Way", OR(Enginuity!$B$13=2, Enginuity!$B$13=4)),
      AND(LEFT(P966,5)="3-Way", OR(Enginuity!$B$13=3, Enginuity!$B$13=6)),
      AND(P966="Inner Centre Jamb", OR(Enginuity!$B$13=4, Enginuity!$B$13=6)),
      AND(
        LEFT(P966,5)&lt;&gt;"1-Way",
        LEFT(P966,5)&lt;&gt;"2-Way",
        LEFT(P966,5)&lt;&gt;"3-Way",
        P966&lt;&gt;"Inner Centre Jamb"
      )
    ),
    IF(OR(Enginuity!$A$1="Frameless Glass",Enginuity!$A$1="Metal Work"),
      AND(TRIM(B966)=TRIM(Enginuity!$A$17),TRIM(C966)=TRIM(Enginuity!$A$18)),
      TRIM(B966)=TRIM(Enginuity!$A$17)
    )
  ),
  ROW(),
  ""
)</f>
        <v/>
      </c>
    </row>
    <row r="967" spans="1:21" x14ac:dyDescent="0.25">
      <c r="A967" s="10"/>
      <c r="B967" s="229"/>
      <c r="C967" s="10"/>
      <c r="D967" s="14"/>
      <c r="E967" s="247"/>
      <c r="F967" s="10"/>
      <c r="G967" s="17"/>
      <c r="H967" s="10"/>
      <c r="I967" s="17"/>
      <c r="J967" s="83"/>
      <c r="K967" s="343"/>
      <c r="L967" s="347"/>
      <c r="M967" s="22"/>
      <c r="N967" s="14"/>
      <c r="O967" s="22"/>
      <c r="P967" s="13"/>
      <c r="Q967" s="10"/>
      <c r="U967" s="104" t="str">
        <f>IF(
  AND(
    TRIM(A967)=TRIM(Enginuity!$A$1),
    TRIM(B967)=TRIM(Enginuity!$A$17),
    Q967&lt;&gt;"",
    Q967&lt;&gt;0,
    OR(
      TRIM(C967)=TRIM(Enginuity!$A$18),
      AND(UPPER(TRIM(M967))="STD", TRIM(B967)=TRIM(Enginuity!$A$17))
    ),
    OR(
      AND(LEFT(P967,5)="1-Way", Enginuity!$B$13=1),
      AND(LEFT(P967,5)="2-Way", OR(Enginuity!$B$13=2, Enginuity!$B$13=4)),
      AND(LEFT(P967,5)="3-Way", OR(Enginuity!$B$13=3, Enginuity!$B$13=6)),
      AND(P967="Inner Centre Jamb", OR(Enginuity!$B$13=4, Enginuity!$B$13=6)),
      AND(
        LEFT(P967,5)&lt;&gt;"1-Way",
        LEFT(P967,5)&lt;&gt;"2-Way",
        LEFT(P967,5)&lt;&gt;"3-Way",
        P967&lt;&gt;"Inner Centre Jamb"
      )
    ),
    IF(OR(Enginuity!$A$1="Frameless Glass",Enginuity!$A$1="Metal Work"),
      AND(TRIM(B967)=TRIM(Enginuity!$A$17),TRIM(C967)=TRIM(Enginuity!$A$18)),
      TRIM(B967)=TRIM(Enginuity!$A$17)
    )
  ),
  ROW(),
  ""
)</f>
        <v/>
      </c>
    </row>
    <row r="968" spans="1:21" x14ac:dyDescent="0.25">
      <c r="A968" s="10"/>
      <c r="B968" s="229"/>
      <c r="C968" s="10"/>
      <c r="D968" s="14"/>
      <c r="E968" s="247"/>
      <c r="F968" s="10"/>
      <c r="G968" s="17"/>
      <c r="H968" s="10"/>
      <c r="I968" s="17"/>
      <c r="J968" s="83"/>
      <c r="K968" s="343"/>
      <c r="L968" s="347"/>
      <c r="M968" s="22"/>
      <c r="N968" s="14"/>
      <c r="O968" s="22"/>
      <c r="P968" s="13"/>
      <c r="Q968" s="10"/>
      <c r="U968" s="104" t="str">
        <f>IF(
  AND(
    TRIM(A968)=TRIM(Enginuity!$A$1),
    TRIM(B968)=TRIM(Enginuity!$A$17),
    Q968&lt;&gt;"",
    Q968&lt;&gt;0,
    OR(
      TRIM(C968)=TRIM(Enginuity!$A$18),
      AND(UPPER(TRIM(M968))="STD", TRIM(B968)=TRIM(Enginuity!$A$17))
    ),
    OR(
      AND(LEFT(P968,5)="1-Way", Enginuity!$B$13=1),
      AND(LEFT(P968,5)="2-Way", OR(Enginuity!$B$13=2, Enginuity!$B$13=4)),
      AND(LEFT(P968,5)="3-Way", OR(Enginuity!$B$13=3, Enginuity!$B$13=6)),
      AND(P968="Inner Centre Jamb", OR(Enginuity!$B$13=4, Enginuity!$B$13=6)),
      AND(
        LEFT(P968,5)&lt;&gt;"1-Way",
        LEFT(P968,5)&lt;&gt;"2-Way",
        LEFT(P968,5)&lt;&gt;"3-Way",
        P968&lt;&gt;"Inner Centre Jamb"
      )
    ),
    IF(OR(Enginuity!$A$1="Frameless Glass",Enginuity!$A$1="Metal Work"),
      AND(TRIM(B968)=TRIM(Enginuity!$A$17),TRIM(C968)=TRIM(Enginuity!$A$18)),
      TRIM(B968)=TRIM(Enginuity!$A$17)
    )
  ),
  ROW(),
  ""
)</f>
        <v/>
      </c>
    </row>
    <row r="969" spans="1:21" x14ac:dyDescent="0.25">
      <c r="A969" s="10"/>
      <c r="B969" s="229"/>
      <c r="C969" s="10"/>
      <c r="D969" s="14"/>
      <c r="E969" s="247"/>
      <c r="F969" s="10"/>
      <c r="G969" s="17"/>
      <c r="H969" s="10"/>
      <c r="I969" s="17"/>
      <c r="J969" s="83"/>
      <c r="K969" s="343"/>
      <c r="L969" s="347"/>
      <c r="M969" s="22"/>
      <c r="N969" s="14"/>
      <c r="O969" s="22"/>
      <c r="P969" s="13"/>
      <c r="Q969" s="10"/>
      <c r="U969" s="104" t="str">
        <f>IF(
  AND(
    TRIM(A969)=TRIM(Enginuity!$A$1),
    TRIM(B969)=TRIM(Enginuity!$A$17),
    Q969&lt;&gt;"",
    Q969&lt;&gt;0,
    OR(
      TRIM(C969)=TRIM(Enginuity!$A$18),
      AND(UPPER(TRIM(M969))="STD", TRIM(B969)=TRIM(Enginuity!$A$17))
    ),
    OR(
      AND(LEFT(P969,5)="1-Way", Enginuity!$B$13=1),
      AND(LEFT(P969,5)="2-Way", OR(Enginuity!$B$13=2, Enginuity!$B$13=4)),
      AND(LEFT(P969,5)="3-Way", OR(Enginuity!$B$13=3, Enginuity!$B$13=6)),
      AND(P969="Inner Centre Jamb", OR(Enginuity!$B$13=4, Enginuity!$B$13=6)),
      AND(
        LEFT(P969,5)&lt;&gt;"1-Way",
        LEFT(P969,5)&lt;&gt;"2-Way",
        LEFT(P969,5)&lt;&gt;"3-Way",
        P969&lt;&gt;"Inner Centre Jamb"
      )
    ),
    IF(OR(Enginuity!$A$1="Frameless Glass",Enginuity!$A$1="Metal Work"),
      AND(TRIM(B969)=TRIM(Enginuity!$A$17),TRIM(C969)=TRIM(Enginuity!$A$18)),
      TRIM(B969)=TRIM(Enginuity!$A$17)
    )
  ),
  ROW(),
  ""
)</f>
        <v/>
      </c>
    </row>
    <row r="970" spans="1:21" x14ac:dyDescent="0.25">
      <c r="A970" s="10"/>
      <c r="B970" s="229"/>
      <c r="C970" s="10"/>
      <c r="D970" s="14"/>
      <c r="E970" s="247"/>
      <c r="F970" s="10"/>
      <c r="G970" s="17"/>
      <c r="H970" s="10"/>
      <c r="I970" s="17"/>
      <c r="J970" s="83"/>
      <c r="K970" s="343"/>
      <c r="L970" s="347"/>
      <c r="M970" s="22"/>
      <c r="N970" s="14"/>
      <c r="O970" s="22"/>
      <c r="P970" s="13"/>
      <c r="Q970" s="10"/>
      <c r="U970" s="104" t="str">
        <f>IF(
  AND(
    TRIM(A970)=TRIM(Enginuity!$A$1),
    TRIM(B970)=TRIM(Enginuity!$A$17),
    Q970&lt;&gt;"",
    Q970&lt;&gt;0,
    OR(
      TRIM(C970)=TRIM(Enginuity!$A$18),
      AND(UPPER(TRIM(M970))="STD", TRIM(B970)=TRIM(Enginuity!$A$17))
    ),
    OR(
      AND(LEFT(P970,5)="1-Way", Enginuity!$B$13=1),
      AND(LEFT(P970,5)="2-Way", OR(Enginuity!$B$13=2, Enginuity!$B$13=4)),
      AND(LEFT(P970,5)="3-Way", OR(Enginuity!$B$13=3, Enginuity!$B$13=6)),
      AND(P970="Inner Centre Jamb", OR(Enginuity!$B$13=4, Enginuity!$B$13=6)),
      AND(
        LEFT(P970,5)&lt;&gt;"1-Way",
        LEFT(P970,5)&lt;&gt;"2-Way",
        LEFT(P970,5)&lt;&gt;"3-Way",
        P970&lt;&gt;"Inner Centre Jamb"
      )
    ),
    IF(OR(Enginuity!$A$1="Frameless Glass",Enginuity!$A$1="Metal Work"),
      AND(TRIM(B970)=TRIM(Enginuity!$A$17),TRIM(C970)=TRIM(Enginuity!$A$18)),
      TRIM(B970)=TRIM(Enginuity!$A$17)
    )
  ),
  ROW(),
  ""
)</f>
        <v/>
      </c>
    </row>
    <row r="971" spans="1:21" x14ac:dyDescent="0.25">
      <c r="A971" s="10"/>
      <c r="B971" s="229"/>
      <c r="C971" s="10"/>
      <c r="D971" s="14"/>
      <c r="E971" s="247"/>
      <c r="F971" s="10"/>
      <c r="G971" s="17"/>
      <c r="H971" s="10"/>
      <c r="I971" s="17"/>
      <c r="J971" s="83"/>
      <c r="K971" s="343"/>
      <c r="L971" s="347"/>
      <c r="M971" s="22"/>
      <c r="N971" s="14"/>
      <c r="O971" s="22"/>
      <c r="P971" s="13"/>
      <c r="Q971" s="10"/>
      <c r="U971" s="104" t="str">
        <f>IF(
  AND(
    TRIM(A971)=TRIM(Enginuity!$A$1),
    TRIM(B971)=TRIM(Enginuity!$A$17),
    Q971&lt;&gt;"",
    Q971&lt;&gt;0,
    OR(
      TRIM(C971)=TRIM(Enginuity!$A$18),
      AND(UPPER(TRIM(M971))="STD", TRIM(B971)=TRIM(Enginuity!$A$17))
    ),
    OR(
      AND(LEFT(P971,5)="1-Way", Enginuity!$B$13=1),
      AND(LEFT(P971,5)="2-Way", OR(Enginuity!$B$13=2, Enginuity!$B$13=4)),
      AND(LEFT(P971,5)="3-Way", OR(Enginuity!$B$13=3, Enginuity!$B$13=6)),
      AND(P971="Inner Centre Jamb", OR(Enginuity!$B$13=4, Enginuity!$B$13=6)),
      AND(
        LEFT(P971,5)&lt;&gt;"1-Way",
        LEFT(P971,5)&lt;&gt;"2-Way",
        LEFT(P971,5)&lt;&gt;"3-Way",
        P971&lt;&gt;"Inner Centre Jamb"
      )
    ),
    IF(OR(Enginuity!$A$1="Frameless Glass",Enginuity!$A$1="Metal Work"),
      AND(TRIM(B971)=TRIM(Enginuity!$A$17),TRIM(C971)=TRIM(Enginuity!$A$18)),
      TRIM(B971)=TRIM(Enginuity!$A$17)
    )
  ),
  ROW(),
  ""
)</f>
        <v/>
      </c>
    </row>
    <row r="972" spans="1:21" x14ac:dyDescent="0.25">
      <c r="A972" s="10"/>
      <c r="B972" s="229"/>
      <c r="C972" s="10"/>
      <c r="D972" s="14"/>
      <c r="E972" s="247"/>
      <c r="F972" s="10"/>
      <c r="G972" s="17"/>
      <c r="H972" s="10"/>
      <c r="I972" s="17"/>
      <c r="J972" s="83"/>
      <c r="K972" s="343"/>
      <c r="L972" s="347"/>
      <c r="M972" s="22"/>
      <c r="N972" s="14"/>
      <c r="O972" s="22"/>
      <c r="P972" s="13"/>
      <c r="Q972" s="10"/>
      <c r="U972" s="104" t="str">
        <f>IF(
  AND(
    TRIM(A972)=TRIM(Enginuity!$A$1),
    TRIM(B972)=TRIM(Enginuity!$A$17),
    Q972&lt;&gt;"",
    Q972&lt;&gt;0,
    OR(
      TRIM(C972)=TRIM(Enginuity!$A$18),
      AND(UPPER(TRIM(M972))="STD", TRIM(B972)=TRIM(Enginuity!$A$17))
    ),
    OR(
      AND(LEFT(P972,5)="1-Way", Enginuity!$B$13=1),
      AND(LEFT(P972,5)="2-Way", OR(Enginuity!$B$13=2, Enginuity!$B$13=4)),
      AND(LEFT(P972,5)="3-Way", OR(Enginuity!$B$13=3, Enginuity!$B$13=6)),
      AND(P972="Inner Centre Jamb", OR(Enginuity!$B$13=4, Enginuity!$B$13=6)),
      AND(
        LEFT(P972,5)&lt;&gt;"1-Way",
        LEFT(P972,5)&lt;&gt;"2-Way",
        LEFT(P972,5)&lt;&gt;"3-Way",
        P972&lt;&gt;"Inner Centre Jamb"
      )
    ),
    IF(OR(Enginuity!$A$1="Frameless Glass",Enginuity!$A$1="Metal Work"),
      AND(TRIM(B972)=TRIM(Enginuity!$A$17),TRIM(C972)=TRIM(Enginuity!$A$18)),
      TRIM(B972)=TRIM(Enginuity!$A$17)
    )
  ),
  ROW(),
  ""
)</f>
        <v/>
      </c>
    </row>
    <row r="973" spans="1:21" x14ac:dyDescent="0.25">
      <c r="A973" s="10"/>
      <c r="B973" s="229"/>
      <c r="C973" s="10"/>
      <c r="D973" s="14"/>
      <c r="E973" s="247"/>
      <c r="F973" s="10"/>
      <c r="G973" s="17"/>
      <c r="H973" s="10"/>
      <c r="I973" s="17"/>
      <c r="J973" s="83"/>
      <c r="K973" s="343"/>
      <c r="L973" s="347"/>
      <c r="M973" s="22"/>
      <c r="N973" s="14"/>
      <c r="O973" s="22"/>
      <c r="P973" s="13"/>
      <c r="Q973" s="10"/>
      <c r="U973" s="104" t="str">
        <f>IF(
  AND(
    TRIM(A973)=TRIM(Enginuity!$A$1),
    TRIM(B973)=TRIM(Enginuity!$A$17),
    Q973&lt;&gt;"",
    Q973&lt;&gt;0,
    OR(
      TRIM(C973)=TRIM(Enginuity!$A$18),
      AND(UPPER(TRIM(M973))="STD", TRIM(B973)=TRIM(Enginuity!$A$17))
    ),
    OR(
      AND(LEFT(P973,5)="1-Way", Enginuity!$B$13=1),
      AND(LEFT(P973,5)="2-Way", OR(Enginuity!$B$13=2, Enginuity!$B$13=4)),
      AND(LEFT(P973,5)="3-Way", OR(Enginuity!$B$13=3, Enginuity!$B$13=6)),
      AND(P973="Inner Centre Jamb", OR(Enginuity!$B$13=4, Enginuity!$B$13=6)),
      AND(
        LEFT(P973,5)&lt;&gt;"1-Way",
        LEFT(P973,5)&lt;&gt;"2-Way",
        LEFT(P973,5)&lt;&gt;"3-Way",
        P973&lt;&gt;"Inner Centre Jamb"
      )
    ),
    IF(OR(Enginuity!$A$1="Frameless Glass",Enginuity!$A$1="Metal Work"),
      AND(TRIM(B973)=TRIM(Enginuity!$A$17),TRIM(C973)=TRIM(Enginuity!$A$18)),
      TRIM(B973)=TRIM(Enginuity!$A$17)
    )
  ),
  ROW(),
  ""
)</f>
        <v/>
      </c>
    </row>
    <row r="974" spans="1:21" x14ac:dyDescent="0.25">
      <c r="A974" s="10"/>
      <c r="B974" s="229"/>
      <c r="C974" s="10"/>
      <c r="D974" s="14"/>
      <c r="E974" s="247"/>
      <c r="F974" s="10"/>
      <c r="G974" s="17"/>
      <c r="H974" s="10"/>
      <c r="I974" s="17"/>
      <c r="J974" s="83"/>
      <c r="K974" s="343"/>
      <c r="L974" s="347"/>
      <c r="M974" s="22"/>
      <c r="N974" s="14"/>
      <c r="O974" s="22"/>
      <c r="P974" s="13"/>
      <c r="Q974" s="10"/>
      <c r="U974" s="104" t="str">
        <f>IF(
  AND(
    TRIM(A974)=TRIM(Enginuity!$A$1),
    TRIM(B974)=TRIM(Enginuity!$A$17),
    Q974&lt;&gt;"",
    Q974&lt;&gt;0,
    OR(
      TRIM(C974)=TRIM(Enginuity!$A$18),
      AND(UPPER(TRIM(M974))="STD", TRIM(B974)=TRIM(Enginuity!$A$17))
    ),
    OR(
      AND(LEFT(P974,5)="1-Way", Enginuity!$B$13=1),
      AND(LEFT(P974,5)="2-Way", OR(Enginuity!$B$13=2, Enginuity!$B$13=4)),
      AND(LEFT(P974,5)="3-Way", OR(Enginuity!$B$13=3, Enginuity!$B$13=6)),
      AND(P974="Inner Centre Jamb", OR(Enginuity!$B$13=4, Enginuity!$B$13=6)),
      AND(
        LEFT(P974,5)&lt;&gt;"1-Way",
        LEFT(P974,5)&lt;&gt;"2-Way",
        LEFT(P974,5)&lt;&gt;"3-Way",
        P974&lt;&gt;"Inner Centre Jamb"
      )
    ),
    IF(OR(Enginuity!$A$1="Frameless Glass",Enginuity!$A$1="Metal Work"),
      AND(TRIM(B974)=TRIM(Enginuity!$A$17),TRIM(C974)=TRIM(Enginuity!$A$18)),
      TRIM(B974)=TRIM(Enginuity!$A$17)
    )
  ),
  ROW(),
  ""
)</f>
        <v/>
      </c>
    </row>
    <row r="975" spans="1:21" x14ac:dyDescent="0.25">
      <c r="A975" s="10"/>
      <c r="B975" s="229"/>
      <c r="C975" s="10"/>
      <c r="D975" s="14"/>
      <c r="E975" s="247"/>
      <c r="F975" s="10"/>
      <c r="G975" s="17"/>
      <c r="H975" s="10"/>
      <c r="I975" s="17"/>
      <c r="J975" s="83"/>
      <c r="K975" s="343"/>
      <c r="L975" s="347"/>
      <c r="M975" s="22"/>
      <c r="N975" s="14"/>
      <c r="O975" s="22"/>
      <c r="P975" s="13"/>
      <c r="Q975" s="10"/>
      <c r="U975" s="104" t="str">
        <f>IF(
  AND(
    TRIM(A975)=TRIM(Enginuity!$A$1),
    TRIM(B975)=TRIM(Enginuity!$A$17),
    Q975&lt;&gt;"",
    Q975&lt;&gt;0,
    OR(
      TRIM(C975)=TRIM(Enginuity!$A$18),
      AND(UPPER(TRIM(M975))="STD", TRIM(B975)=TRIM(Enginuity!$A$17))
    ),
    OR(
      AND(LEFT(P975,5)="1-Way", Enginuity!$B$13=1),
      AND(LEFT(P975,5)="2-Way", OR(Enginuity!$B$13=2, Enginuity!$B$13=4)),
      AND(LEFT(P975,5)="3-Way", OR(Enginuity!$B$13=3, Enginuity!$B$13=6)),
      AND(P975="Inner Centre Jamb", OR(Enginuity!$B$13=4, Enginuity!$B$13=6)),
      AND(
        LEFT(P975,5)&lt;&gt;"1-Way",
        LEFT(P975,5)&lt;&gt;"2-Way",
        LEFT(P975,5)&lt;&gt;"3-Way",
        P975&lt;&gt;"Inner Centre Jamb"
      )
    ),
    IF(OR(Enginuity!$A$1="Frameless Glass",Enginuity!$A$1="Metal Work"),
      AND(TRIM(B975)=TRIM(Enginuity!$A$17),TRIM(C975)=TRIM(Enginuity!$A$18)),
      TRIM(B975)=TRIM(Enginuity!$A$17)
    )
  ),
  ROW(),
  ""
)</f>
        <v/>
      </c>
    </row>
    <row r="976" spans="1:21" x14ac:dyDescent="0.25">
      <c r="A976" s="10"/>
      <c r="B976" s="229"/>
      <c r="C976" s="10"/>
      <c r="D976" s="14"/>
      <c r="E976" s="247"/>
      <c r="F976" s="10"/>
      <c r="G976" s="17"/>
      <c r="H976" s="10"/>
      <c r="I976" s="17"/>
      <c r="J976" s="83"/>
      <c r="K976" s="343"/>
      <c r="L976" s="347"/>
      <c r="M976" s="22"/>
      <c r="N976" s="14"/>
      <c r="O976" s="22"/>
      <c r="P976" s="13"/>
      <c r="Q976" s="10"/>
      <c r="U976" s="104" t="str">
        <f>IF(
  AND(
    TRIM(A976)=TRIM(Enginuity!$A$1),
    TRIM(B976)=TRIM(Enginuity!$A$17),
    Q976&lt;&gt;"",
    Q976&lt;&gt;0,
    OR(
      TRIM(C976)=TRIM(Enginuity!$A$18),
      AND(UPPER(TRIM(M976))="STD", TRIM(B976)=TRIM(Enginuity!$A$17))
    ),
    OR(
      AND(LEFT(P976,5)="1-Way", Enginuity!$B$13=1),
      AND(LEFT(P976,5)="2-Way", OR(Enginuity!$B$13=2, Enginuity!$B$13=4)),
      AND(LEFT(P976,5)="3-Way", OR(Enginuity!$B$13=3, Enginuity!$B$13=6)),
      AND(P976="Inner Centre Jamb", OR(Enginuity!$B$13=4, Enginuity!$B$13=6)),
      AND(
        LEFT(P976,5)&lt;&gt;"1-Way",
        LEFT(P976,5)&lt;&gt;"2-Way",
        LEFT(P976,5)&lt;&gt;"3-Way",
        P976&lt;&gt;"Inner Centre Jamb"
      )
    ),
    IF(OR(Enginuity!$A$1="Frameless Glass",Enginuity!$A$1="Metal Work"),
      AND(TRIM(B976)=TRIM(Enginuity!$A$17),TRIM(C976)=TRIM(Enginuity!$A$18)),
      TRIM(B976)=TRIM(Enginuity!$A$17)
    )
  ),
  ROW(),
  ""
)</f>
        <v/>
      </c>
    </row>
    <row r="977" spans="1:21" x14ac:dyDescent="0.25">
      <c r="A977" s="10"/>
      <c r="B977" s="229"/>
      <c r="C977" s="10"/>
      <c r="D977" s="14"/>
      <c r="E977" s="247"/>
      <c r="F977" s="10"/>
      <c r="G977" s="17"/>
      <c r="H977" s="10"/>
      <c r="I977" s="17"/>
      <c r="J977" s="83"/>
      <c r="K977" s="343"/>
      <c r="L977" s="347"/>
      <c r="M977" s="22"/>
      <c r="N977" s="14"/>
      <c r="O977" s="22"/>
      <c r="P977" s="13"/>
      <c r="Q977" s="10"/>
      <c r="U977" s="104" t="str">
        <f>IF(
  AND(
    TRIM(A977)=TRIM(Enginuity!$A$1),
    TRIM(B977)=TRIM(Enginuity!$A$17),
    Q977&lt;&gt;"",
    Q977&lt;&gt;0,
    OR(
      TRIM(C977)=TRIM(Enginuity!$A$18),
      AND(UPPER(TRIM(M977))="STD", TRIM(B977)=TRIM(Enginuity!$A$17))
    ),
    OR(
      AND(LEFT(P977,5)="1-Way", Enginuity!$B$13=1),
      AND(LEFT(P977,5)="2-Way", OR(Enginuity!$B$13=2, Enginuity!$B$13=4)),
      AND(LEFT(P977,5)="3-Way", OR(Enginuity!$B$13=3, Enginuity!$B$13=6)),
      AND(P977="Inner Centre Jamb", OR(Enginuity!$B$13=4, Enginuity!$B$13=6)),
      AND(
        LEFT(P977,5)&lt;&gt;"1-Way",
        LEFT(P977,5)&lt;&gt;"2-Way",
        LEFT(P977,5)&lt;&gt;"3-Way",
        P977&lt;&gt;"Inner Centre Jamb"
      )
    ),
    IF(OR(Enginuity!$A$1="Frameless Glass",Enginuity!$A$1="Metal Work"),
      AND(TRIM(B977)=TRIM(Enginuity!$A$17),TRIM(C977)=TRIM(Enginuity!$A$18)),
      TRIM(B977)=TRIM(Enginuity!$A$17)
    )
  ),
  ROW(),
  ""
)</f>
        <v/>
      </c>
    </row>
    <row r="978" spans="1:21" x14ac:dyDescent="0.25">
      <c r="A978" s="10"/>
      <c r="B978" s="229"/>
      <c r="C978" s="10"/>
      <c r="D978" s="14"/>
      <c r="E978" s="247"/>
      <c r="F978" s="10"/>
      <c r="G978" s="17"/>
      <c r="H978" s="10"/>
      <c r="I978" s="17"/>
      <c r="J978" s="83"/>
      <c r="K978" s="343"/>
      <c r="L978" s="347"/>
      <c r="M978" s="22"/>
      <c r="N978" s="14"/>
      <c r="O978" s="22"/>
      <c r="P978" s="13"/>
      <c r="Q978" s="10"/>
      <c r="U978" s="104" t="str">
        <f>IF(
  AND(
    TRIM(A978)=TRIM(Enginuity!$A$1),
    TRIM(B978)=TRIM(Enginuity!$A$17),
    Q978&lt;&gt;"",
    Q978&lt;&gt;0,
    OR(
      TRIM(C978)=TRIM(Enginuity!$A$18),
      AND(UPPER(TRIM(M978))="STD", TRIM(B978)=TRIM(Enginuity!$A$17))
    ),
    OR(
      AND(LEFT(P978,5)="1-Way", Enginuity!$B$13=1),
      AND(LEFT(P978,5)="2-Way", OR(Enginuity!$B$13=2, Enginuity!$B$13=4)),
      AND(LEFT(P978,5)="3-Way", OR(Enginuity!$B$13=3, Enginuity!$B$13=6)),
      AND(P978="Inner Centre Jamb", OR(Enginuity!$B$13=4, Enginuity!$B$13=6)),
      AND(
        LEFT(P978,5)&lt;&gt;"1-Way",
        LEFT(P978,5)&lt;&gt;"2-Way",
        LEFT(P978,5)&lt;&gt;"3-Way",
        P978&lt;&gt;"Inner Centre Jamb"
      )
    ),
    IF(OR(Enginuity!$A$1="Frameless Glass",Enginuity!$A$1="Metal Work"),
      AND(TRIM(B978)=TRIM(Enginuity!$A$17),TRIM(C978)=TRIM(Enginuity!$A$18)),
      TRIM(B978)=TRIM(Enginuity!$A$17)
    )
  ),
  ROW(),
  ""
)</f>
        <v/>
      </c>
    </row>
    <row r="979" spans="1:21" x14ac:dyDescent="0.25">
      <c r="A979" s="10"/>
      <c r="B979" s="229"/>
      <c r="C979" s="10"/>
      <c r="D979" s="14"/>
      <c r="E979" s="247"/>
      <c r="F979" s="10"/>
      <c r="G979" s="17"/>
      <c r="H979" s="10"/>
      <c r="I979" s="17"/>
      <c r="J979" s="83"/>
      <c r="K979" s="343"/>
      <c r="L979" s="347"/>
      <c r="M979" s="22"/>
      <c r="N979" s="10"/>
      <c r="O979" s="22"/>
      <c r="P979" s="14"/>
      <c r="Q979" s="22"/>
      <c r="U979" s="104" t="str">
        <f>IF(
  AND(
    TRIM(A979)=TRIM(Enginuity!$A$1),
    TRIM(B979)=TRIM(Enginuity!$A$17),
    Q979&lt;&gt;"",
    Q979&lt;&gt;0,
    OR(
      TRIM(C979)=TRIM(Enginuity!$A$18),
      AND(UPPER(TRIM(M979))="STD", TRIM(B979)=TRIM(Enginuity!$A$17))
    ),
    OR(
      AND(LEFT(P979,5)="1-Way", Enginuity!$B$13=1),
      AND(LEFT(P979,5)="2-Way", OR(Enginuity!$B$13=2, Enginuity!$B$13=4)),
      AND(LEFT(P979,5)="3-Way", OR(Enginuity!$B$13=3, Enginuity!$B$13=6)),
      AND(P979="Inner Centre Jamb", OR(Enginuity!$B$13=4, Enginuity!$B$13=6)),
      AND(
        LEFT(P979,5)&lt;&gt;"1-Way",
        LEFT(P979,5)&lt;&gt;"2-Way",
        LEFT(P979,5)&lt;&gt;"3-Way",
        P979&lt;&gt;"Inner Centre Jamb"
      )
    ),
    IF(OR(Enginuity!$A$1="Frameless Glass",Enginuity!$A$1="Metal Work"),
      AND(TRIM(B979)=TRIM(Enginuity!$A$17),TRIM(C979)=TRIM(Enginuity!$A$18)),
      TRIM(B979)=TRIM(Enginuity!$A$17)
    )
  ),
  ROW(),
  ""
)</f>
        <v/>
      </c>
    </row>
    <row r="980" spans="1:21" x14ac:dyDescent="0.25">
      <c r="A980" s="10"/>
      <c r="B980" s="229"/>
      <c r="C980" s="10"/>
      <c r="D980" s="14"/>
      <c r="E980" s="247"/>
      <c r="F980" s="10"/>
      <c r="G980" s="17"/>
      <c r="H980" s="10"/>
      <c r="I980" s="17"/>
      <c r="J980" s="83"/>
      <c r="K980" s="343"/>
      <c r="L980" s="347"/>
      <c r="M980" s="22"/>
      <c r="N980" s="21"/>
      <c r="O980" s="22"/>
      <c r="P980" s="13"/>
      <c r="Q980" s="10"/>
      <c r="U980" s="104" t="str">
        <f>IF(
  AND(
    TRIM(A980)=TRIM(Enginuity!$A$1),
    TRIM(B980)=TRIM(Enginuity!$A$17),
    Q980&lt;&gt;"",
    Q980&lt;&gt;0,
    OR(
      TRIM(C980)=TRIM(Enginuity!$A$18),
      AND(UPPER(TRIM(M980))="STD", TRIM(B980)=TRIM(Enginuity!$A$17))
    ),
    OR(
      AND(LEFT(P980,5)="1-Way", Enginuity!$B$13=1),
      AND(LEFT(P980,5)="2-Way", OR(Enginuity!$B$13=2, Enginuity!$B$13=4)),
      AND(LEFT(P980,5)="3-Way", OR(Enginuity!$B$13=3, Enginuity!$B$13=6)),
      AND(P980="Inner Centre Jamb", OR(Enginuity!$B$13=4, Enginuity!$B$13=6)),
      AND(
        LEFT(P980,5)&lt;&gt;"1-Way",
        LEFT(P980,5)&lt;&gt;"2-Way",
        LEFT(P980,5)&lt;&gt;"3-Way",
        P980&lt;&gt;"Inner Centre Jamb"
      )
    ),
    IF(OR(Enginuity!$A$1="Frameless Glass",Enginuity!$A$1="Metal Work"),
      AND(TRIM(B980)=TRIM(Enginuity!$A$17),TRIM(C980)=TRIM(Enginuity!$A$18)),
      TRIM(B980)=TRIM(Enginuity!$A$17)
    )
  ),
  ROW(),
  ""
)</f>
        <v/>
      </c>
    </row>
    <row r="981" spans="1:21" x14ac:dyDescent="0.25">
      <c r="A981" s="17"/>
      <c r="B981" s="230"/>
      <c r="C981" s="17"/>
      <c r="D981" s="18"/>
      <c r="E981" s="158"/>
      <c r="F981" s="17"/>
      <c r="G981" s="17"/>
      <c r="H981" s="10"/>
      <c r="I981" s="17"/>
      <c r="J981" s="83"/>
      <c r="K981" s="343"/>
      <c r="L981" s="347"/>
      <c r="M981" s="25"/>
      <c r="N981" s="38"/>
      <c r="O981" s="25"/>
      <c r="P981" s="19"/>
      <c r="Q981" s="17"/>
      <c r="U981" s="104" t="str">
        <f>IF(
  AND(
    TRIM(A981)=TRIM(Enginuity!$A$1),
    TRIM(B981)=TRIM(Enginuity!$A$17),
    Q981&lt;&gt;"",
    Q981&lt;&gt;0,
    OR(
      TRIM(C981)=TRIM(Enginuity!$A$18),
      AND(UPPER(TRIM(M981))="STD", TRIM(B981)=TRIM(Enginuity!$A$17))
    ),
    OR(
      AND(LEFT(P981,5)="1-Way", Enginuity!$B$13=1),
      AND(LEFT(P981,5)="2-Way", OR(Enginuity!$B$13=2, Enginuity!$B$13=4)),
      AND(LEFT(P981,5)="3-Way", OR(Enginuity!$B$13=3, Enginuity!$B$13=6)),
      AND(P981="Inner Centre Jamb", OR(Enginuity!$B$13=4, Enginuity!$B$13=6)),
      AND(
        LEFT(P981,5)&lt;&gt;"1-Way",
        LEFT(P981,5)&lt;&gt;"2-Way",
        LEFT(P981,5)&lt;&gt;"3-Way",
        P981&lt;&gt;"Inner Centre Jamb"
      )
    ),
    IF(OR(Enginuity!$A$1="Frameless Glass",Enginuity!$A$1="Metal Work"),
      AND(TRIM(B981)=TRIM(Enginuity!$A$17),TRIM(C981)=TRIM(Enginuity!$A$18)),
      TRIM(B981)=TRIM(Enginuity!$A$17)
    )
  ),
  ROW(),
  ""
)</f>
        <v/>
      </c>
    </row>
    <row r="982" spans="1:21" x14ac:dyDescent="0.25">
      <c r="A982" s="10" t="s">
        <v>256</v>
      </c>
      <c r="B982" s="229" t="s">
        <v>325</v>
      </c>
      <c r="C982" s="10" t="s">
        <v>338</v>
      </c>
      <c r="D982" s="14" t="str" cm="1">
        <f t="array" ref="D982:D988">IFERROR(INDEX(_xlfn._xlws.FILTER(AllMaterialsbak!$BA$2:$BA$30, AllMaterialsbak!$BA$2:$BA$30&lt;&gt;""), _xlfn.SEQUENCE(7)), "")</f>
        <v>Default</v>
      </c>
      <c r="E982" s="157"/>
      <c r="F982" s="10"/>
      <c r="G982" s="17"/>
      <c r="H982" s="10"/>
      <c r="I982" s="17"/>
      <c r="J982" s="83"/>
      <c r="K982" s="344">
        <v>0.501</v>
      </c>
      <c r="L982" s="347">
        <v>1200</v>
      </c>
      <c r="M982" s="89"/>
      <c r="N982" s="10" t="s">
        <v>121</v>
      </c>
      <c r="O982" s="22" t="str">
        <f>$O$2</f>
        <v/>
      </c>
      <c r="P982" s="21" t="str">
        <f>Enginuity!$A$19</f>
        <v>W/G</v>
      </c>
      <c r="Q982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982" s="104" t="str">
        <f>IF(
  AND(
    TRIM(A982)=TRIM(Enginuity!$A$1),
    TRIM(B982)=TRIM(Enginuity!$A$17),
    Q982&lt;&gt;"",
    Q982&lt;&gt;0,
    OR(
      TRIM(C982)=TRIM(Enginuity!$A$18),
      AND(UPPER(TRIM(M982))="STD", TRIM(B982)=TRIM(Enginuity!$A$17))
    ),
    OR(
      AND(LEFT(P982,5)="1-Way", Enginuity!$B$13=1),
      AND(LEFT(P982,5)="2-Way", OR(Enginuity!$B$13=2, Enginuity!$B$13=4)),
      AND(LEFT(P982,5)="3-Way", OR(Enginuity!$B$13=3, Enginuity!$B$13=6)),
      AND(P982="Inner Centre Jamb", OR(Enginuity!$B$13=4, Enginuity!$B$13=6)),
      AND(
        LEFT(P982,5)&lt;&gt;"1-Way",
        LEFT(P982,5)&lt;&gt;"2-Way",
        LEFT(P982,5)&lt;&gt;"3-Way",
        P982&lt;&gt;"Inner Centre Jamb"
      )
    ),
    IF(OR(Enginuity!$A$1="Frameless Glass",Enginuity!$A$1="Metal Work"),
      AND(TRIM(B982)=TRIM(Enginuity!$A$17),TRIM(C982)=TRIM(Enginuity!$A$18)),
      TRIM(B982)=TRIM(Enginuity!$A$17)
    )
  ),
  ROW(),
  ""
)</f>
        <v/>
      </c>
    </row>
    <row r="983" spans="1:21" x14ac:dyDescent="0.25">
      <c r="A983" s="10" t="s">
        <v>256</v>
      </c>
      <c r="B983" s="229" t="s">
        <v>325</v>
      </c>
      <c r="C983" s="10" t="s">
        <v>338</v>
      </c>
      <c r="D983" s="14" t="str">
        <v xml:space="preserve">2" Louver Blade N/A </v>
      </c>
      <c r="E983" s="157"/>
      <c r="F983" s="10"/>
      <c r="G983" s="17"/>
      <c r="H983" s="10"/>
      <c r="I983" s="17"/>
      <c r="J983" s="83"/>
      <c r="K983" s="343"/>
      <c r="L983" s="347"/>
      <c r="M983" s="89"/>
      <c r="N983" s="10" t="s">
        <v>176</v>
      </c>
      <c r="O983" s="22">
        <v>270</v>
      </c>
      <c r="P983" s="21" t="s">
        <v>332</v>
      </c>
      <c r="Q983" s="83">
        <f>IF(Enginuity!$A$17="", "", Enginuity!$B$13)</f>
        <v>7</v>
      </c>
      <c r="U983" s="104" t="str">
        <f>IF(
  AND(
    TRIM(A983)=TRIM(Enginuity!$A$1),
    TRIM(B983)=TRIM(Enginuity!$A$17),
    Q983&lt;&gt;"",
    Q983&lt;&gt;0,
    OR(
      TRIM(C983)=TRIM(Enginuity!$A$18),
      AND(UPPER(TRIM(M983))="STD", TRIM(B983)=TRIM(Enginuity!$A$17))
    ),
    OR(
      AND(LEFT(P983,5)="1-Way", Enginuity!$B$13=1),
      AND(LEFT(P983,5)="2-Way", OR(Enginuity!$B$13=2, Enginuity!$B$13=4)),
      AND(LEFT(P983,5)="3-Way", OR(Enginuity!$B$13=3, Enginuity!$B$13=6)),
      AND(P983="Inner Centre Jamb", OR(Enginuity!$B$13=4, Enginuity!$B$13=6)),
      AND(
        LEFT(P983,5)&lt;&gt;"1-Way",
        LEFT(P983,5)&lt;&gt;"2-Way",
        LEFT(P983,5)&lt;&gt;"3-Way",
        P983&lt;&gt;"Inner Centre Jamb"
      )
    ),
    IF(OR(Enginuity!$A$1="Frameless Glass",Enginuity!$A$1="Metal Work"),
      AND(TRIM(B983)=TRIM(Enginuity!$A$17),TRIM(C983)=TRIM(Enginuity!$A$18)),
      TRIM(B983)=TRIM(Enginuity!$A$17)
    )
  ),
  ROW(),
  ""
)</f>
        <v/>
      </c>
    </row>
    <row r="984" spans="1:21" x14ac:dyDescent="0.25">
      <c r="A984" s="10" t="s">
        <v>256</v>
      </c>
      <c r="B984" s="229" t="s">
        <v>325</v>
      </c>
      <c r="C984" s="10" t="s">
        <v>338</v>
      </c>
      <c r="D984" s="14" t="str">
        <v>2" Louver Blade P/C</v>
      </c>
      <c r="E984" s="157"/>
      <c r="F984" s="11"/>
      <c r="G984" s="17"/>
      <c r="H984" s="10"/>
      <c r="I984" s="17"/>
      <c r="J984" s="83"/>
      <c r="K984" s="343"/>
      <c r="L984" s="347"/>
      <c r="M984" s="89"/>
      <c r="N984" s="10" t="s">
        <v>112</v>
      </c>
      <c r="O984" s="22">
        <v>410</v>
      </c>
      <c r="P984" s="14" t="s">
        <v>333</v>
      </c>
      <c r="Q984" s="83">
        <f>IF(Enginuity!$B$6="", "", ROUNDUP(Enginuity!$B$6 / 9.84252, 0))</f>
        <v>3</v>
      </c>
      <c r="U984" s="104" t="str">
        <f>IF(
  AND(
    TRIM(A984)=TRIM(Enginuity!$A$1),
    TRIM(B984)=TRIM(Enginuity!$A$17),
    Q984&lt;&gt;"",
    Q984&lt;&gt;0,
    OR(
      TRIM(C984)=TRIM(Enginuity!$A$18),
      AND(UPPER(TRIM(M984))="STD", TRIM(B984)=TRIM(Enginuity!$A$17))
    ),
    OR(
      AND(LEFT(P984,5)="1-Way", Enginuity!$B$13=1),
      AND(LEFT(P984,5)="2-Way", OR(Enginuity!$B$13=2, Enginuity!$B$13=4)),
      AND(LEFT(P984,5)="3-Way", OR(Enginuity!$B$13=3, Enginuity!$B$13=6)),
      AND(P984="Inner Centre Jamb", OR(Enginuity!$B$13=4, Enginuity!$B$13=6)),
      AND(
        LEFT(P984,5)&lt;&gt;"1-Way",
        LEFT(P984,5)&lt;&gt;"2-Way",
        LEFT(P984,5)&lt;&gt;"3-Way",
        P984&lt;&gt;"Inner Centre Jamb"
      )
    ),
    IF(OR(Enginuity!$A$1="Frameless Glass",Enginuity!$A$1="Metal Work"),
      AND(TRIM(B984)=TRIM(Enginuity!$A$17),TRIM(C984)=TRIM(Enginuity!$A$18)),
      TRIM(B984)=TRIM(Enginuity!$A$17)
    )
  ),
  ROW(),
  ""
)</f>
        <v/>
      </c>
    </row>
    <row r="985" spans="1:21" x14ac:dyDescent="0.25">
      <c r="A985" s="10" t="s">
        <v>256</v>
      </c>
      <c r="B985" s="229" t="s">
        <v>325</v>
      </c>
      <c r="C985" s="10" t="s">
        <v>338</v>
      </c>
      <c r="D985" s="14" t="str">
        <v xml:space="preserve">5" Louver Blade N/A </v>
      </c>
      <c r="E985" s="157"/>
      <c r="F985" s="11"/>
      <c r="G985" s="17"/>
      <c r="H985" s="10"/>
      <c r="I985" s="17"/>
      <c r="J985" s="83"/>
      <c r="K985" s="343"/>
      <c r="L985" s="347"/>
      <c r="M985" s="89"/>
      <c r="N985" s="10" t="s">
        <v>111</v>
      </c>
      <c r="O985" s="22">
        <v>415</v>
      </c>
      <c r="P985" s="14" t="s">
        <v>334</v>
      </c>
      <c r="Q985" s="97">
        <f>IF(Enginuity!$A$17="", "", Enginuity!$B$13)</f>
        <v>7</v>
      </c>
      <c r="U985" s="104" t="str">
        <f>IF(
  AND(
    TRIM(A985)=TRIM(Enginuity!$A$1),
    TRIM(B985)=TRIM(Enginuity!$A$17),
    Q985&lt;&gt;"",
    Q985&lt;&gt;0,
    OR(
      TRIM(C985)=TRIM(Enginuity!$A$18),
      AND(UPPER(TRIM(M985))="STD", TRIM(B985)=TRIM(Enginuity!$A$17))
    ),
    OR(
      AND(LEFT(P985,5)="1-Way", Enginuity!$B$13=1),
      AND(LEFT(P985,5)="2-Way", OR(Enginuity!$B$13=2, Enginuity!$B$13=4)),
      AND(LEFT(P985,5)="3-Way", OR(Enginuity!$B$13=3, Enginuity!$B$13=6)),
      AND(P985="Inner Centre Jamb", OR(Enginuity!$B$13=4, Enginuity!$B$13=6)),
      AND(
        LEFT(P985,5)&lt;&gt;"1-Way",
        LEFT(P985,5)&lt;&gt;"2-Way",
        LEFT(P985,5)&lt;&gt;"3-Way",
        P985&lt;&gt;"Inner Centre Jamb"
      )
    ),
    IF(OR(Enginuity!$A$1="Frameless Glass",Enginuity!$A$1="Metal Work"),
      AND(TRIM(B985)=TRIM(Enginuity!$A$17),TRIM(C985)=TRIM(Enginuity!$A$18)),
      TRIM(B985)=TRIM(Enginuity!$A$17)
    )
  ),
  ROW(),
  ""
)</f>
        <v/>
      </c>
    </row>
    <row r="986" spans="1:21" x14ac:dyDescent="0.25">
      <c r="A986" s="10" t="s">
        <v>256</v>
      </c>
      <c r="B986" s="229" t="s">
        <v>325</v>
      </c>
      <c r="C986" s="10" t="s">
        <v>338</v>
      </c>
      <c r="D986" s="14" t="str">
        <v>5" Louver Blade P/C</v>
      </c>
      <c r="E986" s="157" t="s">
        <v>337</v>
      </c>
      <c r="F986" s="11"/>
      <c r="G986" s="17"/>
      <c r="H986" s="10"/>
      <c r="I986" s="17"/>
      <c r="J986" s="83"/>
      <c r="K986" s="343"/>
      <c r="L986" s="347"/>
      <c r="M986" s="89"/>
      <c r="N986" s="10" t="s">
        <v>176</v>
      </c>
      <c r="O986" s="22">
        <v>2350</v>
      </c>
      <c r="P986" s="14" t="s">
        <v>335</v>
      </c>
      <c r="Q986" s="83" t="str">
        <f>IF(Enginuity!$A$20="Electric Auto System", Enginuity!$B$13, "")</f>
        <v/>
      </c>
      <c r="U986" s="104" t="str">
        <f>IF(
  AND(
    TRIM(A986)=TRIM(Enginuity!$A$1),
    TRIM(B986)=TRIM(Enginuity!$A$17),
    Q986&lt;&gt;"",
    Q986&lt;&gt;0,
    OR(
      TRIM(C986)=TRIM(Enginuity!$A$18),
      AND(UPPER(TRIM(M986))="STD", TRIM(B986)=TRIM(Enginuity!$A$17))
    ),
    OR(
      AND(LEFT(P986,5)="1-Way", Enginuity!$B$13=1),
      AND(LEFT(P986,5)="2-Way", OR(Enginuity!$B$13=2, Enginuity!$B$13=4)),
      AND(LEFT(P986,5)="3-Way", OR(Enginuity!$B$13=3, Enginuity!$B$13=6)),
      AND(P986="Inner Centre Jamb", OR(Enginuity!$B$13=4, Enginuity!$B$13=6)),
      AND(
        LEFT(P986,5)&lt;&gt;"1-Way",
        LEFT(P986,5)&lt;&gt;"2-Way",
        LEFT(P986,5)&lt;&gt;"3-Way",
        P986&lt;&gt;"Inner Centre Jamb"
      )
    ),
    IF(OR(Enginuity!$A$1="Frameless Glass",Enginuity!$A$1="Metal Work"),
      AND(TRIM(B986)=TRIM(Enginuity!$A$17),TRIM(C986)=TRIM(Enginuity!$A$18)),
      TRIM(B986)=TRIM(Enginuity!$A$17)
    )
  ),
  ROW(),
  ""
)</f>
        <v/>
      </c>
    </row>
    <row r="987" spans="1:21" x14ac:dyDescent="0.25">
      <c r="A987" s="10" t="s">
        <v>256</v>
      </c>
      <c r="B987" s="229" t="s">
        <v>325</v>
      </c>
      <c r="C987" s="10" t="s">
        <v>338</v>
      </c>
      <c r="D987" s="14" t="str">
        <v/>
      </c>
      <c r="E987" s="157" t="s">
        <v>337</v>
      </c>
      <c r="F987" s="11"/>
      <c r="G987" s="17"/>
      <c r="H987" s="10"/>
      <c r="I987" s="17"/>
      <c r="J987" s="83"/>
      <c r="K987" s="343"/>
      <c r="L987" s="347"/>
      <c r="M987" s="89"/>
      <c r="N987" s="10" t="s">
        <v>176</v>
      </c>
      <c r="O987" s="22">
        <v>295</v>
      </c>
      <c r="P987" s="14" t="s">
        <v>336</v>
      </c>
      <c r="Q987" s="83" t="str">
        <f>IF(Enginuity!$A$20="Electric Auto System", 1, "")</f>
        <v/>
      </c>
      <c r="U987" s="104" t="str">
        <f>IF(
  AND(
    TRIM(A987)=TRIM(Enginuity!$A$1),
    TRIM(B987)=TRIM(Enginuity!$A$17),
    Q987&lt;&gt;"",
    Q987&lt;&gt;0,
    OR(
      TRIM(C987)=TRIM(Enginuity!$A$18),
      AND(UPPER(TRIM(M987))="STD", TRIM(B987)=TRIM(Enginuity!$A$17))
    ),
    OR(
      AND(LEFT(P987,5)="1-Way", Enginuity!$B$13=1),
      AND(LEFT(P987,5)="2-Way", OR(Enginuity!$B$13=2, Enginuity!$B$13=4)),
      AND(LEFT(P987,5)="3-Way", OR(Enginuity!$B$13=3, Enginuity!$B$13=6)),
      AND(P987="Inner Centre Jamb", OR(Enginuity!$B$13=4, Enginuity!$B$13=6)),
      AND(
        LEFT(P987,5)&lt;&gt;"1-Way",
        LEFT(P987,5)&lt;&gt;"2-Way",
        LEFT(P987,5)&lt;&gt;"3-Way",
        P987&lt;&gt;"Inner Centre Jamb"
      )
    ),
    IF(OR(Enginuity!$A$1="Frameless Glass",Enginuity!$A$1="Metal Work"),
      AND(TRIM(B987)=TRIM(Enginuity!$A$17),TRIM(C987)=TRIM(Enginuity!$A$18)),
      TRIM(B987)=TRIM(Enginuity!$A$17)
    )
  ),
  ROW(),
  ""
)</f>
        <v/>
      </c>
    </row>
    <row r="988" spans="1:21" x14ac:dyDescent="0.25">
      <c r="A988" s="10" t="s">
        <v>256</v>
      </c>
      <c r="B988" s="229" t="s">
        <v>325</v>
      </c>
      <c r="C988" s="10" t="s">
        <v>338</v>
      </c>
      <c r="D988" s="14" t="str">
        <v/>
      </c>
      <c r="E988" s="157"/>
      <c r="F988" s="10"/>
      <c r="G988" s="17"/>
      <c r="H988" s="10"/>
      <c r="I988" s="17"/>
      <c r="J988" s="83"/>
      <c r="K988" s="343"/>
      <c r="L988" s="347"/>
      <c r="M988" s="89"/>
      <c r="N988" s="10"/>
      <c r="O988" s="22"/>
      <c r="P988" s="14"/>
      <c r="Q988" s="83"/>
      <c r="U988" s="104" t="str">
        <f>IF(
  AND(
    TRIM(A988)=TRIM(Enginuity!$A$1),
    TRIM(B988)=TRIM(Enginuity!$A$17),
    Q988&lt;&gt;"",
    Q988&lt;&gt;0,
    OR(
      TRIM(C988)=TRIM(Enginuity!$A$18),
      AND(UPPER(TRIM(M988))="STD", TRIM(B988)=TRIM(Enginuity!$A$17))
    ),
    OR(
      AND(LEFT(P988,5)="1-Way", Enginuity!$B$13=1),
      AND(LEFT(P988,5)="2-Way", OR(Enginuity!$B$13=2, Enginuity!$B$13=4)),
      AND(LEFT(P988,5)="3-Way", OR(Enginuity!$B$13=3, Enginuity!$B$13=6)),
      AND(P988="Inner Centre Jamb", OR(Enginuity!$B$13=4, Enginuity!$B$13=6)),
      AND(
        LEFT(P988,5)&lt;&gt;"1-Way",
        LEFT(P988,5)&lt;&gt;"2-Way",
        LEFT(P988,5)&lt;&gt;"3-Way",
        P988&lt;&gt;"Inner Centre Jamb"
      )
    ),
    IF(OR(Enginuity!$A$1="Frameless Glass",Enginuity!$A$1="Metal Work"),
      AND(TRIM(B988)=TRIM(Enginuity!$A$17),TRIM(C988)=TRIM(Enginuity!$A$18)),
      TRIM(B988)=TRIM(Enginuity!$A$17)
    )
  ),
  ROW(),
  ""
)</f>
        <v/>
      </c>
    </row>
    <row r="989" spans="1:21" x14ac:dyDescent="0.25">
      <c r="A989" s="17"/>
      <c r="B989" s="230"/>
      <c r="C989" s="17"/>
      <c r="D989" s="18"/>
      <c r="E989" s="238"/>
      <c r="F989" s="17"/>
      <c r="G989" s="17"/>
      <c r="H989" s="10"/>
      <c r="I989" s="17"/>
      <c r="J989" s="83"/>
      <c r="K989" s="343"/>
      <c r="L989" s="347"/>
      <c r="M989" s="90"/>
      <c r="N989" s="17"/>
      <c r="O989" s="25"/>
      <c r="P989" s="38"/>
      <c r="Q989" s="84"/>
      <c r="U989" s="104" t="str">
        <f>IF(
  AND(
    TRIM(A989)=TRIM(Enginuity!$A$1),
    TRIM(B989)=TRIM(Enginuity!$A$17),
    Q989&lt;&gt;"",
    Q989&lt;&gt;0,
    OR(
      TRIM(C989)=TRIM(Enginuity!$A$18),
      AND(UPPER(TRIM(M989))="STD", TRIM(B989)=TRIM(Enginuity!$A$17))
    ),
    OR(
      AND(LEFT(P989,5)="1-Way", Enginuity!$B$13=1),
      AND(LEFT(P989,5)="2-Way", OR(Enginuity!$B$13=2, Enginuity!$B$13=4)),
      AND(LEFT(P989,5)="3-Way", OR(Enginuity!$B$13=3, Enginuity!$B$13=6)),
      AND(P989="Inner Centre Jamb", OR(Enginuity!$B$13=4, Enginuity!$B$13=6)),
      AND(
        LEFT(P989,5)&lt;&gt;"1-Way",
        LEFT(P989,5)&lt;&gt;"2-Way",
        LEFT(P989,5)&lt;&gt;"3-Way",
        P989&lt;&gt;"Inner Centre Jamb"
      )
    ),
    IF(OR(Enginuity!$A$1="Frameless Glass",Enginuity!$A$1="Metal Work"),
      AND(TRIM(B989)=TRIM(Enginuity!$A$17),TRIM(C989)=TRIM(Enginuity!$A$18)),
      TRIM(B989)=TRIM(Enginuity!$A$17)
    )
  ),
  ROW(),
  ""
)</f>
        <v/>
      </c>
    </row>
    <row r="990" spans="1:21" x14ac:dyDescent="0.25">
      <c r="A990" s="10" t="s">
        <v>256</v>
      </c>
      <c r="B990" s="229" t="s">
        <v>331</v>
      </c>
      <c r="C990" s="10" t="s">
        <v>324</v>
      </c>
      <c r="D990" s="14" t="str" cm="1">
        <f t="array" ref="D990:D999">IFERROR(INDEX(_xlfn._xlws.FILTER(AllMaterialsbak!$BA$2:$BA$30, AllMaterialsbak!$BA$2:$BA$30&lt;&gt;""), _xlfn.SEQUENCE(10)), "")</f>
        <v>Default</v>
      </c>
      <c r="E990" s="247" t="s">
        <v>1419</v>
      </c>
      <c r="F990" s="247" t="s">
        <v>1420</v>
      </c>
      <c r="G990" s="17"/>
      <c r="H990" s="10"/>
      <c r="I990" s="17"/>
      <c r="J990" s="83"/>
      <c r="K990" s="344">
        <v>0.53600000000000003</v>
      </c>
      <c r="L990" s="347">
        <v>762</v>
      </c>
      <c r="M990" s="89"/>
      <c r="N990" s="10" t="s">
        <v>121</v>
      </c>
      <c r="O990" s="22" t="str">
        <f>$O$2</f>
        <v/>
      </c>
      <c r="P990" s="21" t="str">
        <f>Enginuity!$A$19</f>
        <v>W/G</v>
      </c>
      <c r="Q990" s="83">
        <f>IFERROR(
  IF(OR(Enginuity!$B$6="",Enginuity!$B$7=""),"",
     VALUE(Enginuity!$B$6)*VALUE(Enginuity!$B$7) - N(Q998)
  ),
"")</f>
        <v>260</v>
      </c>
      <c r="U990" s="104" t="str">
        <f>IF(
  AND(
    TRIM(A990)=TRIM(Enginuity!$A$1),
    TRIM(B990)=TRIM(Enginuity!$A$17),
    Q990&lt;&gt;"",
    Q990&lt;&gt;0,
    OR(
      TRIM(C990)=TRIM(Enginuity!$A$18),
      AND(UPPER(TRIM(M990))="STD", TRIM(B990)=TRIM(Enginuity!$A$17))
    ),
    OR(
      AND(LEFT(P990,5)="1-Way", Enginuity!$B$13=1),
      AND(LEFT(P990,5)="2-Way", OR(Enginuity!$B$13=2, Enginuity!$B$13=4)),
      AND(LEFT(P990,5)="3-Way", OR(Enginuity!$B$13=3, Enginuity!$B$13=6)),
      AND(P990="Inner Centre Jamb", OR(Enginuity!$B$13=4, Enginuity!$B$13=6)),
      AND(
        LEFT(P990,5)&lt;&gt;"1-Way",
        LEFT(P990,5)&lt;&gt;"2-Way",
        LEFT(P990,5)&lt;&gt;"3-Way",
        P990&lt;&gt;"Inner Centre Jamb"
      )
    ),
    IF(OR(Enginuity!$A$1="Frameless Glass",Enginuity!$A$1="Metal Work"),
      AND(TRIM(B990)=TRIM(Enginuity!$A$17),TRIM(C990)=TRIM(Enginuity!$A$18)),
      TRIM(B990)=TRIM(Enginuity!$A$17)
    )
  ),
  ROW(),
  ""
)</f>
        <v/>
      </c>
    </row>
    <row r="991" spans="1:21" x14ac:dyDescent="0.25">
      <c r="A991" s="10" t="s">
        <v>256</v>
      </c>
      <c r="B991" s="229" t="s">
        <v>331</v>
      </c>
      <c r="C991" s="10" t="s">
        <v>324</v>
      </c>
      <c r="D991" s="14" t="str">
        <v xml:space="preserve">2" Louver Blade N/A </v>
      </c>
      <c r="E991" s="247"/>
      <c r="F991" s="247"/>
      <c r="G991" s="17"/>
      <c r="H991" s="10"/>
      <c r="I991" s="17"/>
      <c r="J991" s="83"/>
      <c r="K991" s="343"/>
      <c r="L991" s="347"/>
      <c r="M991" s="89"/>
      <c r="N991" s="10" t="s">
        <v>112</v>
      </c>
      <c r="O991" s="22">
        <v>90</v>
      </c>
      <c r="P991" s="14" t="s">
        <v>340</v>
      </c>
      <c r="Q991" s="83">
        <f>IFERROR(
  IF(OR(Enginuity!$B$7="",Enginuity!$B$13="",Enginuity!$B$13=0),"",
     N(Enginuity!$B$13) * IF(N(Enginuity!$B$7)&gt;8, 2, 1)
  ),
"")</f>
        <v>14</v>
      </c>
      <c r="U991" s="104" t="str">
        <f>IF(
  AND(
    TRIM(A991)=TRIM(Enginuity!$A$1),
    TRIM(B991)=TRIM(Enginuity!$A$17),
    Q991&lt;&gt;"",
    Q991&lt;&gt;0,
    OR(
      TRIM(C991)=TRIM(Enginuity!$A$18),
      AND(UPPER(TRIM(M991))="STD", TRIM(B991)=TRIM(Enginuity!$A$17))
    ),
    OR(
      AND(LEFT(P991,5)="1-Way", Enginuity!$B$13=1),
      AND(LEFT(P991,5)="2-Way", OR(Enginuity!$B$13=2, Enginuity!$B$13=4)),
      AND(LEFT(P991,5)="3-Way", OR(Enginuity!$B$13=3, Enginuity!$B$13=6)),
      AND(P991="Inner Centre Jamb", OR(Enginuity!$B$13=4, Enginuity!$B$13=6)),
      AND(
        LEFT(P991,5)&lt;&gt;"1-Way",
        LEFT(P991,5)&lt;&gt;"2-Way",
        LEFT(P991,5)&lt;&gt;"3-Way",
        P991&lt;&gt;"Inner Centre Jamb"
      )
    ),
    IF(OR(Enginuity!$A$1="Frameless Glass",Enginuity!$A$1="Metal Work"),
      AND(TRIM(B991)=TRIM(Enginuity!$A$17),TRIM(C991)=TRIM(Enginuity!$A$18)),
      TRIM(B991)=TRIM(Enginuity!$A$17)
    )
  ),
  ROW(),
  ""
)</f>
        <v/>
      </c>
    </row>
    <row r="992" spans="1:21" x14ac:dyDescent="0.25">
      <c r="A992" s="10" t="s">
        <v>256</v>
      </c>
      <c r="B992" s="229" t="s">
        <v>331</v>
      </c>
      <c r="C992" s="10" t="s">
        <v>324</v>
      </c>
      <c r="D992" s="14" t="str">
        <v>2" Louver Blade P/C</v>
      </c>
      <c r="E992" s="247" t="s">
        <v>1419</v>
      </c>
      <c r="F992" s="10"/>
      <c r="G992" s="17"/>
      <c r="H992" s="10"/>
      <c r="I992" s="17"/>
      <c r="J992" s="83"/>
      <c r="K992" s="343"/>
      <c r="L992" s="347"/>
      <c r="M992" s="89"/>
      <c r="N992" s="10" t="s">
        <v>112</v>
      </c>
      <c r="O992" s="22">
        <v>37</v>
      </c>
      <c r="P992" s="14" t="s">
        <v>341</v>
      </c>
      <c r="Q992" s="97">
        <f>Enginuity!$B$13</f>
        <v>7</v>
      </c>
      <c r="U992" s="104" t="str">
        <f>IF(
  AND(
    TRIM(A992)=TRIM(Enginuity!$A$1),
    TRIM(B992)=TRIM(Enginuity!$A$17),
    Q992&lt;&gt;"",
    Q992&lt;&gt;0,
    OR(
      TRIM(C992)=TRIM(Enginuity!$A$18),
      AND(UPPER(TRIM(M992))="STD", TRIM(B992)=TRIM(Enginuity!$A$17))
    ),
    OR(
      AND(LEFT(P992,5)="1-Way", Enginuity!$B$13=1),
      AND(LEFT(P992,5)="2-Way", OR(Enginuity!$B$13=2, Enginuity!$B$13=4)),
      AND(LEFT(P992,5)="3-Way", OR(Enginuity!$B$13=3, Enginuity!$B$13=6)),
      AND(P992="Inner Centre Jamb", OR(Enginuity!$B$13=4, Enginuity!$B$13=6)),
      AND(
        LEFT(P992,5)&lt;&gt;"1-Way",
        LEFT(P992,5)&lt;&gt;"2-Way",
        LEFT(P992,5)&lt;&gt;"3-Way",
        P992&lt;&gt;"Inner Centre Jamb"
      )
    ),
    IF(OR(Enginuity!$A$1="Frameless Glass",Enginuity!$A$1="Metal Work"),
      AND(TRIM(B992)=TRIM(Enginuity!$A$17),TRIM(C992)=TRIM(Enginuity!$A$18)),
      TRIM(B992)=TRIM(Enginuity!$A$17)
    )
  ),
  ROW(),
  ""
)</f>
        <v/>
      </c>
    </row>
    <row r="993" spans="1:21" x14ac:dyDescent="0.25">
      <c r="A993" s="10" t="s">
        <v>256</v>
      </c>
      <c r="B993" s="229" t="s">
        <v>331</v>
      </c>
      <c r="C993" s="10" t="s">
        <v>324</v>
      </c>
      <c r="D993" s="14" t="str">
        <v xml:space="preserve">5" Louver Blade N/A </v>
      </c>
      <c r="E993" s="247" t="s">
        <v>1419</v>
      </c>
      <c r="F993" s="10"/>
      <c r="G993" s="17"/>
      <c r="H993" s="10"/>
      <c r="I993" s="17"/>
      <c r="J993" s="83"/>
      <c r="K993" s="343"/>
      <c r="L993" s="347"/>
      <c r="M993" s="89"/>
      <c r="N993" s="10" t="s">
        <v>112</v>
      </c>
      <c r="O993" s="22">
        <v>11</v>
      </c>
      <c r="P993" s="14" t="s">
        <v>342</v>
      </c>
      <c r="Q993" s="83">
        <f>IF(Enginuity!$B$7="", "", ROUNDUP(Enginuity!$B$7 / 8, 0))</f>
        <v>2</v>
      </c>
      <c r="U993" s="104" t="str">
        <f>IF(
  AND(
    TRIM(A993)=TRIM(Enginuity!$A$1),
    TRIM(B993)=TRIM(Enginuity!$A$17),
    Q993&lt;&gt;"",
    Q993&lt;&gt;0,
    OR(
      TRIM(C993)=TRIM(Enginuity!$A$18),
      AND(UPPER(TRIM(M993))="STD", TRIM(B993)=TRIM(Enginuity!$A$17))
    ),
    OR(
      AND(LEFT(P993,5)="1-Way", Enginuity!$B$13=1),
      AND(LEFT(P993,5)="2-Way", OR(Enginuity!$B$13=2, Enginuity!$B$13=4)),
      AND(LEFT(P993,5)="3-Way", OR(Enginuity!$B$13=3, Enginuity!$B$13=6)),
      AND(P993="Inner Centre Jamb", OR(Enginuity!$B$13=4, Enginuity!$B$13=6)),
      AND(
        LEFT(P993,5)&lt;&gt;"1-Way",
        LEFT(P993,5)&lt;&gt;"2-Way",
        LEFT(P993,5)&lt;&gt;"3-Way",
        P993&lt;&gt;"Inner Centre Jamb"
      )
    ),
    IF(OR(Enginuity!$A$1="Frameless Glass",Enginuity!$A$1="Metal Work"),
      AND(TRIM(B993)=TRIM(Enginuity!$A$17),TRIM(C993)=TRIM(Enginuity!$A$18)),
      TRIM(B993)=TRIM(Enginuity!$A$17)
    )
  ),
  ROW(),
  ""
)</f>
        <v/>
      </c>
    </row>
    <row r="994" spans="1:21" x14ac:dyDescent="0.25">
      <c r="A994" s="10" t="s">
        <v>256</v>
      </c>
      <c r="B994" s="229" t="s">
        <v>331</v>
      </c>
      <c r="C994" s="10" t="s">
        <v>324</v>
      </c>
      <c r="D994" s="14" t="str">
        <v>5" Louver Blade P/C</v>
      </c>
      <c r="E994" s="247" t="s">
        <v>1419</v>
      </c>
      <c r="F994" s="10"/>
      <c r="G994" s="17"/>
      <c r="H994" s="10"/>
      <c r="I994" s="17"/>
      <c r="J994" s="83"/>
      <c r="K994" s="343"/>
      <c r="L994" s="347"/>
      <c r="M994" s="89"/>
      <c r="N994" s="10" t="s">
        <v>112</v>
      </c>
      <c r="O994" s="22">
        <v>11</v>
      </c>
      <c r="P994" s="14" t="s">
        <v>343</v>
      </c>
      <c r="Q994" s="83">
        <f>IF(Enginuity!$B$6="", "", ROUNDUP(Enginuity!$B$6 / 8, 0))</f>
        <v>3</v>
      </c>
      <c r="U994" s="104" t="str">
        <f>IF(
  AND(
    TRIM(A994)=TRIM(Enginuity!$A$1),
    TRIM(B994)=TRIM(Enginuity!$A$17),
    Q994&lt;&gt;"",
    Q994&lt;&gt;0,
    OR(
      TRIM(C994)=TRIM(Enginuity!$A$18),
      AND(UPPER(TRIM(M994))="STD", TRIM(B994)=TRIM(Enginuity!$A$17))
    ),
    OR(
      AND(LEFT(P994,5)="1-Way", Enginuity!$B$13=1),
      AND(LEFT(P994,5)="2-Way", OR(Enginuity!$B$13=2, Enginuity!$B$13=4)),
      AND(LEFT(P994,5)="3-Way", OR(Enginuity!$B$13=3, Enginuity!$B$13=6)),
      AND(P994="Inner Centre Jamb", OR(Enginuity!$B$13=4, Enginuity!$B$13=6)),
      AND(
        LEFT(P994,5)&lt;&gt;"1-Way",
        LEFT(P994,5)&lt;&gt;"2-Way",
        LEFT(P994,5)&lt;&gt;"3-Way",
        P994&lt;&gt;"Inner Centre Jamb"
      )
    ),
    IF(OR(Enginuity!$A$1="Frameless Glass",Enginuity!$A$1="Metal Work"),
      AND(TRIM(B994)=TRIM(Enginuity!$A$17),TRIM(C994)=TRIM(Enginuity!$A$18)),
      TRIM(B994)=TRIM(Enginuity!$A$17)
    )
  ),
  ROW(),
  ""
)</f>
        <v/>
      </c>
    </row>
    <row r="995" spans="1:21" x14ac:dyDescent="0.25">
      <c r="A995" s="10" t="s">
        <v>256</v>
      </c>
      <c r="B995" s="229" t="s">
        <v>331</v>
      </c>
      <c r="C995" s="10" t="s">
        <v>324</v>
      </c>
      <c r="D995" s="14" t="str">
        <v/>
      </c>
      <c r="E995" s="247" t="s">
        <v>1419</v>
      </c>
      <c r="F995" s="10"/>
      <c r="G995" s="17"/>
      <c r="H995" s="10"/>
      <c r="I995" s="17"/>
      <c r="J995" s="83"/>
      <c r="K995" s="344"/>
      <c r="L995" s="347"/>
      <c r="M995" s="89"/>
      <c r="N995" s="10" t="s">
        <v>176</v>
      </c>
      <c r="O995" s="22">
        <f>SUMPRODUCT(O998:O1001, Q998:Q1001)</f>
        <v>189.9</v>
      </c>
      <c r="P995" s="21" t="str">
        <f>E990</f>
        <v>Fix Glass</v>
      </c>
      <c r="Q995" s="83" t="str">
        <f>IFERROR(IF(UPPER(TRIM(Enginuity!$A$20))="FIX GLASS",1,""),"")</f>
        <v/>
      </c>
      <c r="U995" s="104" t="str">
        <f>IF(
  AND(
    TRIM(A995)=TRIM(Enginuity!$A$1),
    TRIM(B995)=TRIM(Enginuity!$A$17),
    Q995&lt;&gt;"",
    Q995&lt;&gt;0,
    OR(
      TRIM(C995)=TRIM(Enginuity!$A$18),
      AND(UPPER(TRIM(M995))="STD", TRIM(B995)=TRIM(Enginuity!$A$17))
    ),
    OR(
      AND(LEFT(P995,5)="1-Way", Enginuity!$B$13=1),
      AND(LEFT(P995,5)="2-Way", OR(Enginuity!$B$13=2, Enginuity!$B$13=4)),
      AND(LEFT(P995,5)="3-Way", OR(Enginuity!$B$13=3, Enginuity!$B$13=6)),
      AND(P995="Inner Centre Jamb", OR(Enginuity!$B$13=4, Enginuity!$B$13=6)),
      AND(
        LEFT(P995,5)&lt;&gt;"1-Way",
        LEFT(P995,5)&lt;&gt;"2-Way",
        LEFT(P995,5)&lt;&gt;"3-Way",
        P995&lt;&gt;"Inner Centre Jamb"
      )
    ),
    IF(OR(Enginuity!$A$1="Frameless Glass",Enginuity!$A$1="Metal Work"),
      AND(TRIM(B995)=TRIM(Enginuity!$A$17),TRIM(C995)=TRIM(Enginuity!$A$18)),
      TRIM(B995)=TRIM(Enginuity!$A$17)
    )
  ),
  ROW(),
  ""
)</f>
        <v/>
      </c>
    </row>
    <row r="996" spans="1:21" x14ac:dyDescent="0.25">
      <c r="A996" s="10" t="s">
        <v>256</v>
      </c>
      <c r="B996" s="229" t="s">
        <v>331</v>
      </c>
      <c r="C996" s="10" t="s">
        <v>324</v>
      </c>
      <c r="D996" s="14" t="str">
        <v/>
      </c>
      <c r="E996" s="247" t="s">
        <v>1419</v>
      </c>
      <c r="F996" s="10"/>
      <c r="G996" s="17"/>
      <c r="H996" s="10"/>
      <c r="I996" s="17"/>
      <c r="J996" s="83"/>
      <c r="K996" s="344"/>
      <c r="L996" s="347"/>
      <c r="M996" s="89"/>
      <c r="N996" s="10" t="s">
        <v>176</v>
      </c>
      <c r="O996" s="22" cm="1">
        <f t="array" ref="O996">SUMPRODUCT(O1009:O1013*1, Q1009:Q1013*1)</f>
        <v>504</v>
      </c>
      <c r="P996" s="21" t="s">
        <v>1420</v>
      </c>
      <c r="Q996" s="83" t="str">
        <f>IFERROR(
  IF(UPPER(TRIM(SUBSTITUTE(Enginuity!$A$21,CHAR(160),"")))="SHOWER HEADER",1,""),
"")</f>
        <v/>
      </c>
      <c r="U996" s="104" t="str">
        <f>IF(
  AND(
    TRIM(A996)=TRIM(Enginuity!$A$1),
    TRIM(B996)=TRIM(Enginuity!$A$17),
    Q996&lt;&gt;"",
    Q996&lt;&gt;0,
    OR(
      TRIM(C996)=TRIM(Enginuity!$A$18),
      AND(UPPER(TRIM(M996))="STD", TRIM(B996)=TRIM(Enginuity!$A$17))
    ),
    OR(
      AND(LEFT(P996,5)="1-Way", Enginuity!$B$13=1),
      AND(LEFT(P996,5)="2-Way", OR(Enginuity!$B$13=2, Enginuity!$B$13=4)),
      AND(LEFT(P996,5)="3-Way", OR(Enginuity!$B$13=3, Enginuity!$B$13=6)),
      AND(P996="Inner Centre Jamb", OR(Enginuity!$B$13=4, Enginuity!$B$13=6)),
      AND(
        LEFT(P996,5)&lt;&gt;"1-Way",
        LEFT(P996,5)&lt;&gt;"2-Way",
        LEFT(P996,5)&lt;&gt;"3-Way",
        P996&lt;&gt;"Inner Centre Jamb"
      )
    ),
    IF(OR(Enginuity!$A$1="Frameless Glass",Enginuity!$A$1="Metal Work"),
      AND(TRIM(B996)=TRIM(Enginuity!$A$17),TRIM(C996)=TRIM(Enginuity!$A$18)),
      TRIM(B996)=TRIM(Enginuity!$A$17)
    )
  ),
  ROW(),
  ""
)</f>
        <v/>
      </c>
    </row>
    <row r="997" spans="1:21" x14ac:dyDescent="0.25">
      <c r="A997" s="10" t="s">
        <v>256</v>
      </c>
      <c r="B997" s="229" t="s">
        <v>331</v>
      </c>
      <c r="C997" s="10" t="s">
        <v>324</v>
      </c>
      <c r="D997" s="14" t="str">
        <v/>
      </c>
      <c r="E997" s="247" t="s">
        <v>1419</v>
      </c>
      <c r="F997" s="10"/>
      <c r="G997" s="17"/>
      <c r="H997" s="10"/>
      <c r="I997" s="17"/>
      <c r="J997" s="83"/>
      <c r="K997" s="343"/>
      <c r="L997" s="347"/>
      <c r="M997" s="89"/>
      <c r="N997" s="10"/>
      <c r="O997" s="22"/>
      <c r="P997" s="14"/>
      <c r="Q997" s="83"/>
      <c r="U997" s="104" t="str">
        <f>IF(
  AND(
    TRIM(A997)=TRIM(Enginuity!$A$1),
    TRIM(B997)=TRIM(Enginuity!$A$17),
    Q997&lt;&gt;"",
    Q997&lt;&gt;0,
    OR(
      TRIM(C997)=TRIM(Enginuity!$A$18),
      AND(UPPER(TRIM(M997))="STD", TRIM(B997)=TRIM(Enginuity!$A$17))
    ),
    OR(
      AND(LEFT(P997,5)="1-Way", Enginuity!$B$13=1),
      AND(LEFT(P997,5)="2-Way", OR(Enginuity!$B$13=2, Enginuity!$B$13=4)),
      AND(LEFT(P997,5)="3-Way", OR(Enginuity!$B$13=3, Enginuity!$B$13=6)),
      AND(P997="Inner Centre Jamb", OR(Enginuity!$B$13=4, Enginuity!$B$13=6)),
      AND(
        LEFT(P997,5)&lt;&gt;"1-Way",
        LEFT(P997,5)&lt;&gt;"2-Way",
        LEFT(P997,5)&lt;&gt;"3-Way",
        P997&lt;&gt;"Inner Centre Jamb"
      )
    ),
    IF(OR(Enginuity!$A$1="Frameless Glass",Enginuity!$A$1="Metal Work"),
      AND(TRIM(B997)=TRIM(Enginuity!$A$17),TRIM(C997)=TRIM(Enginuity!$A$18)),
      TRIM(B997)=TRIM(Enginuity!$A$17)
    )
  ),
  ROW(),
  ""
)</f>
        <v/>
      </c>
    </row>
    <row r="998" spans="1:21" x14ac:dyDescent="0.25">
      <c r="A998" s="10" t="s">
        <v>256</v>
      </c>
      <c r="B998" s="229" t="s">
        <v>331</v>
      </c>
      <c r="C998" s="10"/>
      <c r="D998" s="14" t="str">
        <v/>
      </c>
      <c r="E998" s="157"/>
      <c r="F998" s="10"/>
      <c r="G998" s="17"/>
      <c r="H998" s="10"/>
      <c r="I998" s="17"/>
      <c r="J998" s="83"/>
      <c r="K998" s="344"/>
      <c r="L998" s="347"/>
      <c r="M998" s="89"/>
      <c r="N998" s="10" t="s">
        <v>121</v>
      </c>
      <c r="O998" s="22" t="str">
        <f>IFERROR(IF($O$2="","",IF($O$2-1.1=0,"",$O$2-1.1)),"")</f>
        <v/>
      </c>
      <c r="P998" s="21" t="str">
        <f>IF(P990="","",P990 &amp; " - RM1")</f>
        <v>W/G - RM1</v>
      </c>
      <c r="Q998" s="83" t="str">
        <f>IFERROR(
  IF(UPPER(TRIM(Enginuity!$A$20))&lt;&gt;"FIX GLASS","",
     (VALUE(Enginuity!$B$6)-2.5)*VALUE(Enginuity!$B$7)
  ),
"")</f>
        <v/>
      </c>
      <c r="U998" s="104" t="str">
        <f>IF(
  AND(
    TRIM(A998)=TRIM(Enginuity!$A$1),
    TRIM(B998)=TRIM(Enginuity!$A$17),
    Q998&lt;&gt;"",
    Q998&lt;&gt;0,
    OR(
      TRIM(C998)=TRIM(Enginuity!$A$18),
      AND(UPPER(TRIM(M998))="STD", TRIM(B998)=TRIM(Enginuity!$A$17))
    ),
    OR(
      AND(LEFT(P998,5)="1-Way", Enginuity!$B$13=1),
      AND(LEFT(P998,5)="2-Way", OR(Enginuity!$B$13=2, Enginuity!$B$13=4)),
      AND(LEFT(P998,5)="3-Way", OR(Enginuity!$B$13=3, Enginuity!$B$13=6)),
      AND(P998="Inner Centre Jamb", OR(Enginuity!$B$13=4, Enginuity!$B$13=6)),
      AND(
        LEFT(P998,5)&lt;&gt;"1-Way",
        LEFT(P998,5)&lt;&gt;"2-Way",
        LEFT(P998,5)&lt;&gt;"3-Way",
        P998&lt;&gt;"Inner Centre Jamb"
      )
    ),
    IF(OR(Enginuity!$A$1="Frameless Glass",Enginuity!$A$1="Metal Work"),
      AND(TRIM(B998)=TRIM(Enginuity!$A$17),TRIM(C998)=TRIM(Enginuity!$A$18)),
      TRIM(B998)=TRIM(Enginuity!$A$17)
    )
  ),
  ROW(),
  ""
)</f>
        <v/>
      </c>
    </row>
    <row r="999" spans="1:21" x14ac:dyDescent="0.25">
      <c r="A999" s="10" t="s">
        <v>256</v>
      </c>
      <c r="B999" s="229" t="s">
        <v>331</v>
      </c>
      <c r="C999" s="10"/>
      <c r="D999" s="14" t="str">
        <v/>
      </c>
      <c r="E999" s="157"/>
      <c r="F999" s="10"/>
      <c r="G999" s="17"/>
      <c r="H999" s="10"/>
      <c r="I999" s="17"/>
      <c r="J999" s="83"/>
      <c r="K999" s="344"/>
      <c r="L999" s="347"/>
      <c r="M999" s="89"/>
      <c r="N999" s="10" t="s">
        <v>112</v>
      </c>
      <c r="O999" s="22">
        <v>0.1</v>
      </c>
      <c r="P999" s="14" t="s">
        <v>221</v>
      </c>
      <c r="Q999" s="83">
        <f>ROUNDUP((Enginuity!$B$6*2 + Enginuity!$B$13*2*Enginuity!$B$7)/3, 0)</f>
        <v>74</v>
      </c>
      <c r="U999" s="104" t="str">
        <f>IF(
  AND(
    TRIM(A999)=TRIM(Enginuity!$A$1),
    TRIM(B999)=TRIM(Enginuity!$A$17),
    Q999&lt;&gt;"",
    Q999&lt;&gt;0,
    OR(
      TRIM(C999)=TRIM(Enginuity!$A$18),
      AND(UPPER(TRIM(M999))="STD", TRIM(B999)=TRIM(Enginuity!$A$17))
    ),
    OR(
      AND(LEFT(P999,5)="1-Way", Enginuity!$B$13=1),
      AND(LEFT(P999,5)="2-Way", OR(Enginuity!$B$13=2, Enginuity!$B$13=4)),
      AND(LEFT(P999,5)="3-Way", OR(Enginuity!$B$13=3, Enginuity!$B$13=6)),
      AND(P999="Inner Centre Jamb", OR(Enginuity!$B$13=4, Enginuity!$B$13=6)),
      AND(
        LEFT(P999,5)&lt;&gt;"1-Way",
        LEFT(P999,5)&lt;&gt;"2-Way",
        LEFT(P999,5)&lt;&gt;"3-Way",
        P999&lt;&gt;"Inner Centre Jamb"
      )
    ),
    IF(OR(Enginuity!$A$1="Frameless Glass",Enginuity!$A$1="Metal Work"),
      AND(TRIM(B999)=TRIM(Enginuity!$A$17),TRIM(C999)=TRIM(Enginuity!$A$18)),
      TRIM(B999)=TRIM(Enginuity!$A$17)
    )
  ),
  ROW(),
  ""
)</f>
        <v/>
      </c>
    </row>
    <row r="1000" spans="1:21" x14ac:dyDescent="0.25">
      <c r="A1000" s="10" t="s">
        <v>256</v>
      </c>
      <c r="B1000" s="229" t="s">
        <v>331</v>
      </c>
      <c r="C1000" s="10"/>
      <c r="D1000" s="14"/>
      <c r="E1000" s="157"/>
      <c r="F1000" s="10"/>
      <c r="G1000" s="17"/>
      <c r="H1000" s="10"/>
      <c r="I1000" s="17"/>
      <c r="J1000" s="83"/>
      <c r="K1000" s="343"/>
      <c r="L1000" s="347"/>
      <c r="M1000" s="89"/>
      <c r="N1000" s="10" t="s">
        <v>315</v>
      </c>
      <c r="O1000" s="22">
        <v>8.5</v>
      </c>
      <c r="P1000" s="14" t="s">
        <v>318</v>
      </c>
      <c r="Q1000" s="97">
        <f>ROUNDUP((((2*(Enginuity!$B$6+Enginuity!$B$7))*2)/32.8)*1.1, 0)</f>
        <v>5</v>
      </c>
      <c r="U1000" s="104" t="str">
        <f>IF(
  AND(
    TRIM(A1000)=TRIM(Enginuity!$A$1),
    TRIM(B1000)=TRIM(Enginuity!$A$17),
    Q1000&lt;&gt;"",
    Q1000&lt;&gt;0,
    OR(
      TRIM(C1000)=TRIM(Enginuity!$A$18),
      AND(UPPER(TRIM(M1000))="STD", TRIM(B1000)=TRIM(Enginuity!$A$17))
    ),
    OR(
      AND(LEFT(P1000,5)="1-Way", Enginuity!$B$13=1),
      AND(LEFT(P1000,5)="2-Way", OR(Enginuity!$B$13=2, Enginuity!$B$13=4)),
      AND(LEFT(P1000,5)="3-Way", OR(Enginuity!$B$13=3, Enginuity!$B$13=6)),
      AND(P1000="Inner Centre Jamb", OR(Enginuity!$B$13=4, Enginuity!$B$13=6)),
      AND(
        LEFT(P1000,5)&lt;&gt;"1-Way",
        LEFT(P1000,5)&lt;&gt;"2-Way",
        LEFT(P1000,5)&lt;&gt;"3-Way",
        P1000&lt;&gt;"Inner Centre Jamb"
      )
    ),
    IF(OR(Enginuity!$A$1="Frameless Glass",Enginuity!$A$1="Metal Work"),
      AND(TRIM(B1000)=TRIM(Enginuity!$A$17),TRIM(C1000)=TRIM(Enginuity!$A$18)),
      TRIM(B1000)=TRIM(Enginuity!$A$17)
    )
  ),
  ROW(),
  ""
)</f>
        <v/>
      </c>
    </row>
    <row r="1001" spans="1:21" x14ac:dyDescent="0.25">
      <c r="A1001" s="10" t="s">
        <v>256</v>
      </c>
      <c r="B1001" s="229" t="s">
        <v>331</v>
      </c>
      <c r="C1001" s="10"/>
      <c r="D1001" s="14"/>
      <c r="E1001" s="157"/>
      <c r="F1001" s="11"/>
      <c r="G1001" s="17"/>
      <c r="H1001" s="10"/>
      <c r="I1001" s="17"/>
      <c r="J1001" s="83"/>
      <c r="K1001" s="343"/>
      <c r="L1001" s="347"/>
      <c r="M1001" s="89"/>
      <c r="N1001" s="10" t="s">
        <v>112</v>
      </c>
      <c r="O1001" s="22">
        <v>10</v>
      </c>
      <c r="P1001" s="14" t="s">
        <v>344</v>
      </c>
      <c r="Q1001" s="83">
        <f>IF(Enginuity!$B$15&gt;1200, 3*Enginuity!$B$13, 2*Enginuity!$B$13)</f>
        <v>14</v>
      </c>
      <c r="U1001" s="104" t="str">
        <f>IF(
  AND(
    TRIM(A1001)=TRIM(Enginuity!$A$1),
    TRIM(B1001)=TRIM(Enginuity!$A$17),
    Q1001&lt;&gt;"",
    Q1001&lt;&gt;0,
    OR(
      TRIM(C1001)=TRIM(Enginuity!$A$18),
      AND(UPPER(TRIM(M1001))="STD", TRIM(B1001)=TRIM(Enginuity!$A$17))
    ),
    OR(
      AND(LEFT(P1001,5)="1-Way", Enginuity!$B$13=1),
      AND(LEFT(P1001,5)="2-Way", OR(Enginuity!$B$13=2, Enginuity!$B$13=4)),
      AND(LEFT(P1001,5)="3-Way", OR(Enginuity!$B$13=3, Enginuity!$B$13=6)),
      AND(P1001="Inner Centre Jamb", OR(Enginuity!$B$13=4, Enginuity!$B$13=6)),
      AND(
        LEFT(P1001,5)&lt;&gt;"1-Way",
        LEFT(P1001,5)&lt;&gt;"2-Way",
        LEFT(P1001,5)&lt;&gt;"3-Way",
        P1001&lt;&gt;"Inner Centre Jamb"
      )
    ),
    IF(OR(Enginuity!$A$1="Frameless Glass",Enginuity!$A$1="Metal Work"),
      AND(TRIM(B1001)=TRIM(Enginuity!$A$17),TRIM(C1001)=TRIM(Enginuity!$A$18)),
      TRIM(B1001)=TRIM(Enginuity!$A$17)
    )
  ),
  ROW(),
  ""
)</f>
        <v/>
      </c>
    </row>
    <row r="1002" spans="1:21" x14ac:dyDescent="0.25">
      <c r="A1002" s="10" t="s">
        <v>256</v>
      </c>
      <c r="B1002" s="229" t="s">
        <v>331</v>
      </c>
      <c r="C1002" s="10"/>
      <c r="D1002" s="14"/>
      <c r="E1002" s="157"/>
      <c r="F1002" s="11"/>
      <c r="G1002" s="17"/>
      <c r="H1002" s="10"/>
      <c r="I1002" s="17"/>
      <c r="J1002" s="83"/>
      <c r="K1002" s="343"/>
      <c r="L1002" s="347"/>
      <c r="M1002" s="89"/>
      <c r="N1002" s="10"/>
      <c r="O1002" s="22"/>
      <c r="P1002" s="14"/>
      <c r="Q1002" s="83"/>
      <c r="U1002" s="104" t="str">
        <f>IF(
  AND(
    TRIM(A1002)=TRIM(Enginuity!$A$1),
    TRIM(B1002)=TRIM(Enginuity!$A$17),
    Q1002&lt;&gt;"",
    Q1002&lt;&gt;0,
    OR(
      TRIM(C1002)=TRIM(Enginuity!$A$18),
      AND(UPPER(TRIM(M1002))="STD", TRIM(B1002)=TRIM(Enginuity!$A$17))
    ),
    OR(
      AND(LEFT(P1002,5)="1-Way", Enginuity!$B$13=1),
      AND(LEFT(P1002,5)="2-Way", OR(Enginuity!$B$13=2, Enginuity!$B$13=4)),
      AND(LEFT(P1002,5)="3-Way", OR(Enginuity!$B$13=3, Enginuity!$B$13=6)),
      AND(P1002="Inner Centre Jamb", OR(Enginuity!$B$13=4, Enginuity!$B$13=6)),
      AND(
        LEFT(P1002,5)&lt;&gt;"1-Way",
        LEFT(P1002,5)&lt;&gt;"2-Way",
        LEFT(P1002,5)&lt;&gt;"3-Way",
        P1002&lt;&gt;"Inner Centre Jamb"
      )
    ),
    IF(OR(Enginuity!$A$1="Frameless Glass",Enginuity!$A$1="Metal Work"),
      AND(TRIM(B1002)=TRIM(Enginuity!$A$17),TRIM(C1002)=TRIM(Enginuity!$A$18)),
      TRIM(B1002)=TRIM(Enginuity!$A$17)
    )
  ),
  ROW(),
  ""
)</f>
        <v/>
      </c>
    </row>
    <row r="1003" spans="1:21" x14ac:dyDescent="0.25">
      <c r="A1003" s="17"/>
      <c r="B1003" s="230"/>
      <c r="C1003" s="17"/>
      <c r="D1003" s="18"/>
      <c r="E1003" s="238"/>
      <c r="F1003" s="17"/>
      <c r="G1003" s="17"/>
      <c r="H1003" s="10"/>
      <c r="I1003" s="17"/>
      <c r="J1003" s="83"/>
      <c r="K1003" s="344"/>
      <c r="L1003" s="347"/>
      <c r="M1003" s="90"/>
      <c r="N1003" s="17"/>
      <c r="O1003" s="25"/>
      <c r="P1003" s="18"/>
      <c r="Q1003" s="84"/>
      <c r="U1003" s="104" t="str">
        <f>IF(
  AND(
    TRIM(A1003)=TRIM(Enginuity!$A$1),
    TRIM(B1003)=TRIM(Enginuity!$A$17),
    Q1003&lt;&gt;"",
    Q1003&lt;&gt;0,
    OR(
      TRIM(C1003)=TRIM(Enginuity!$A$18),
      AND(UPPER(TRIM(M1003))="STD", TRIM(B1003)=TRIM(Enginuity!$A$17))
    ),
    OR(
      AND(LEFT(P1003,5)="1-Way", Enginuity!$B$13=1),
      AND(LEFT(P1003,5)="2-Way", OR(Enginuity!$B$13=2, Enginuity!$B$13=4)),
      AND(LEFT(P1003,5)="3-Way", OR(Enginuity!$B$13=3, Enginuity!$B$13=6)),
      AND(P1003="Inner Centre Jamb", OR(Enginuity!$B$13=4, Enginuity!$B$13=6)),
      AND(
        LEFT(P1003,5)&lt;&gt;"1-Way",
        LEFT(P1003,5)&lt;&gt;"2-Way",
        LEFT(P1003,5)&lt;&gt;"3-Way",
        P1003&lt;&gt;"Inner Centre Jamb"
      )
    ),
    IF(OR(Enginuity!$A$1="Frameless Glass",Enginuity!$A$1="Metal Work"),
      AND(TRIM(B1003)=TRIM(Enginuity!$A$17),TRIM(C1003)=TRIM(Enginuity!$A$18)),
      TRIM(B1003)=TRIM(Enginuity!$A$17)
    )
  ),
  ROW(),
  ""
)</f>
        <v/>
      </c>
    </row>
    <row r="1004" spans="1:21" x14ac:dyDescent="0.25">
      <c r="A1004" s="10" t="s">
        <v>256</v>
      </c>
      <c r="B1004" s="229" t="s">
        <v>331</v>
      </c>
      <c r="C1004" s="10" t="s">
        <v>339</v>
      </c>
      <c r="D1004" s="14" t="str" cm="1">
        <f t="array" ref="D1004:D1008">IFERROR(INDEX(_xlfn._xlws.FILTER(AllMaterialsbak!$BA$2:$BA$30, AllMaterialsbak!$BA$2:$BA$30&lt;&gt;""), _xlfn.SEQUENCE(5)), "")</f>
        <v>Default</v>
      </c>
      <c r="E1004" s="157"/>
      <c r="F1004" s="10"/>
      <c r="G1004" s="17"/>
      <c r="H1004" s="10"/>
      <c r="I1004" s="17"/>
      <c r="J1004" s="83"/>
      <c r="K1004" s="344">
        <v>0.53600000000000003</v>
      </c>
      <c r="L1004" s="347">
        <v>1200</v>
      </c>
      <c r="M1004" s="89"/>
      <c r="N1004" s="10" t="s">
        <v>121</v>
      </c>
      <c r="O1004" s="22" t="str">
        <f>$O$2</f>
        <v/>
      </c>
      <c r="P1004" s="21" t="str">
        <f>Enginuity!$A$19</f>
        <v>W/G</v>
      </c>
      <c r="Q1004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1004" s="104" t="str">
        <f>IF(
  AND(
    TRIM(A1004)=TRIM(Enginuity!$A$1),
    TRIM(B1004)=TRIM(Enginuity!$A$17),
    Q1004&lt;&gt;"",
    Q1004&lt;&gt;0,
    OR(
      TRIM(C1004)=TRIM(Enginuity!$A$18),
      AND(UPPER(TRIM(M1004))="STD", TRIM(B1004)=TRIM(Enginuity!$A$17))
    ),
    OR(
      AND(LEFT(P1004,5)="1-Way", Enginuity!$B$13=1),
      AND(LEFT(P1004,5)="2-Way", OR(Enginuity!$B$13=2, Enginuity!$B$13=4)),
      AND(LEFT(P1004,5)="3-Way", OR(Enginuity!$B$13=3, Enginuity!$B$13=6)),
      AND(P1004="Inner Centre Jamb", OR(Enginuity!$B$13=4, Enginuity!$B$13=6)),
      AND(
        LEFT(P1004,5)&lt;&gt;"1-Way",
        LEFT(P1004,5)&lt;&gt;"2-Way",
        LEFT(P1004,5)&lt;&gt;"3-Way",
        P1004&lt;&gt;"Inner Centre Jamb"
      )
    ),
    IF(OR(Enginuity!$A$1="Frameless Glass",Enginuity!$A$1="Metal Work"),
      AND(TRIM(B1004)=TRIM(Enginuity!$A$17),TRIM(C1004)=TRIM(Enginuity!$A$18)),
      TRIM(B1004)=TRIM(Enginuity!$A$17)
    )
  ),
  ROW(),
  ""
)</f>
        <v/>
      </c>
    </row>
    <row r="1005" spans="1:21" x14ac:dyDescent="0.25">
      <c r="A1005" s="10" t="s">
        <v>256</v>
      </c>
      <c r="B1005" s="229" t="s">
        <v>331</v>
      </c>
      <c r="C1005" s="10" t="s">
        <v>339</v>
      </c>
      <c r="D1005" s="14" t="str">
        <v xml:space="preserve">2" Louver Blade N/A </v>
      </c>
      <c r="E1005" s="157"/>
      <c r="F1005" s="10"/>
      <c r="G1005" s="17"/>
      <c r="H1005" s="10"/>
      <c r="I1005" s="17"/>
      <c r="J1005" s="83"/>
      <c r="K1005" s="343"/>
      <c r="L1005" s="347"/>
      <c r="M1005" s="89"/>
      <c r="N1005" s="10" t="s">
        <v>112</v>
      </c>
      <c r="O1005" s="22">
        <v>0.1</v>
      </c>
      <c r="P1005" s="14" t="s">
        <v>221</v>
      </c>
      <c r="Q1005" s="83">
        <f>ROUNDUP((Enginuity!$B$6*2 + Enginuity!$B$13*2*Enginuity!$B$7)/3, 0)</f>
        <v>74</v>
      </c>
      <c r="U1005" s="104" t="str">
        <f>IF(
  AND(
    TRIM(A1005)=TRIM(Enginuity!$A$1),
    TRIM(B1005)=TRIM(Enginuity!$A$17),
    Q1005&lt;&gt;"",
    Q1005&lt;&gt;0,
    OR(
      TRIM(C1005)=TRIM(Enginuity!$A$18),
      AND(UPPER(TRIM(M1005))="STD", TRIM(B1005)=TRIM(Enginuity!$A$17))
    ),
    OR(
      AND(LEFT(P1005,5)="1-Way", Enginuity!$B$13=1),
      AND(LEFT(P1005,5)="2-Way", OR(Enginuity!$B$13=2, Enginuity!$B$13=4)),
      AND(LEFT(P1005,5)="3-Way", OR(Enginuity!$B$13=3, Enginuity!$B$13=6)),
      AND(P1005="Inner Centre Jamb", OR(Enginuity!$B$13=4, Enginuity!$B$13=6)),
      AND(
        LEFT(P1005,5)&lt;&gt;"1-Way",
        LEFT(P1005,5)&lt;&gt;"2-Way",
        LEFT(P1005,5)&lt;&gt;"3-Way",
        P1005&lt;&gt;"Inner Centre Jamb"
      )
    ),
    IF(OR(Enginuity!$A$1="Frameless Glass",Enginuity!$A$1="Metal Work"),
      AND(TRIM(B1005)=TRIM(Enginuity!$A$17),TRIM(C1005)=TRIM(Enginuity!$A$18)),
      TRIM(B1005)=TRIM(Enginuity!$A$17)
    )
  ),
  ROW(),
  ""
)</f>
        <v/>
      </c>
    </row>
    <row r="1006" spans="1:21" x14ac:dyDescent="0.25">
      <c r="A1006" s="10" t="s">
        <v>256</v>
      </c>
      <c r="B1006" s="229" t="s">
        <v>331</v>
      </c>
      <c r="C1006" s="10" t="s">
        <v>339</v>
      </c>
      <c r="D1006" s="14" t="str">
        <v>2" Louver Blade P/C</v>
      </c>
      <c r="E1006" s="157"/>
      <c r="F1006" s="11"/>
      <c r="G1006" s="17"/>
      <c r="H1006" s="10"/>
      <c r="I1006" s="17"/>
      <c r="J1006" s="83"/>
      <c r="K1006" s="343"/>
      <c r="L1006" s="347"/>
      <c r="M1006" s="89"/>
      <c r="N1006" s="10" t="s">
        <v>315</v>
      </c>
      <c r="O1006" s="22">
        <v>8.5</v>
      </c>
      <c r="P1006" s="14" t="s">
        <v>318</v>
      </c>
      <c r="Q1006" s="97">
        <f>ROUNDUP((((2*(Enginuity!$B$6+Enginuity!$B$7))*2)/32.8)*1.1, 0)</f>
        <v>5</v>
      </c>
      <c r="U1006" s="104" t="str">
        <f>IF(
  AND(
    TRIM(A1006)=TRIM(Enginuity!$A$1),
    TRIM(B1006)=TRIM(Enginuity!$A$17),
    Q1006&lt;&gt;"",
    Q1006&lt;&gt;0,
    OR(
      TRIM(C1006)=TRIM(Enginuity!$A$18),
      AND(UPPER(TRIM(M1006))="STD", TRIM(B1006)=TRIM(Enginuity!$A$17))
    ),
    OR(
      AND(LEFT(P1006,5)="1-Way", Enginuity!$B$13=1),
      AND(LEFT(P1006,5)="2-Way", OR(Enginuity!$B$13=2, Enginuity!$B$13=4)),
      AND(LEFT(P1006,5)="3-Way", OR(Enginuity!$B$13=3, Enginuity!$B$13=6)),
      AND(P1006="Inner Centre Jamb", OR(Enginuity!$B$13=4, Enginuity!$B$13=6)),
      AND(
        LEFT(P1006,5)&lt;&gt;"1-Way",
        LEFT(P1006,5)&lt;&gt;"2-Way",
        LEFT(P1006,5)&lt;&gt;"3-Way",
        P1006&lt;&gt;"Inner Centre Jamb"
      )
    ),
    IF(OR(Enginuity!$A$1="Frameless Glass",Enginuity!$A$1="Metal Work"),
      AND(TRIM(B1006)=TRIM(Enginuity!$A$17),TRIM(C1006)=TRIM(Enginuity!$A$18)),
      TRIM(B1006)=TRIM(Enginuity!$A$17)
    )
  ),
  ROW(),
  ""
)</f>
        <v/>
      </c>
    </row>
    <row r="1007" spans="1:21" x14ac:dyDescent="0.25">
      <c r="A1007" s="10" t="s">
        <v>256</v>
      </c>
      <c r="B1007" s="229" t="s">
        <v>331</v>
      </c>
      <c r="C1007" s="10" t="s">
        <v>339</v>
      </c>
      <c r="D1007" s="14" t="str">
        <v xml:space="preserve">5" Louver Blade N/A </v>
      </c>
      <c r="E1007" s="157"/>
      <c r="F1007" s="11"/>
      <c r="G1007" s="17"/>
      <c r="H1007" s="10"/>
      <c r="I1007" s="17"/>
      <c r="J1007" s="83"/>
      <c r="K1007" s="343"/>
      <c r="L1007" s="347"/>
      <c r="M1007" s="89"/>
      <c r="N1007" s="10" t="s">
        <v>112</v>
      </c>
      <c r="O1007" s="22">
        <v>10</v>
      </c>
      <c r="P1007" s="14" t="s">
        <v>344</v>
      </c>
      <c r="Q1007" s="83">
        <f>IF(Enginuity!$B$15&gt;1200, 3*Enginuity!$B$13, 2*Enginuity!$B$13)</f>
        <v>14</v>
      </c>
      <c r="U1007" s="104" t="str">
        <f>IF(
  AND(
    TRIM(A1007)=TRIM(Enginuity!$A$1),
    TRIM(B1007)=TRIM(Enginuity!$A$17),
    Q1007&lt;&gt;"",
    Q1007&lt;&gt;0,
    OR(
      TRIM(C1007)=TRIM(Enginuity!$A$18),
      AND(UPPER(TRIM(M1007))="STD", TRIM(B1007)=TRIM(Enginuity!$A$17))
    ),
    OR(
      AND(LEFT(P1007,5)="1-Way", Enginuity!$B$13=1),
      AND(LEFT(P1007,5)="2-Way", OR(Enginuity!$B$13=2, Enginuity!$B$13=4)),
      AND(LEFT(P1007,5)="3-Way", OR(Enginuity!$B$13=3, Enginuity!$B$13=6)),
      AND(P1007="Inner Centre Jamb", OR(Enginuity!$B$13=4, Enginuity!$B$13=6)),
      AND(
        LEFT(P1007,5)&lt;&gt;"1-Way",
        LEFT(P1007,5)&lt;&gt;"2-Way",
        LEFT(P1007,5)&lt;&gt;"3-Way",
        P1007&lt;&gt;"Inner Centre Jamb"
      )
    ),
    IF(OR(Enginuity!$A$1="Frameless Glass",Enginuity!$A$1="Metal Work"),
      AND(TRIM(B1007)=TRIM(Enginuity!$A$17),TRIM(C1007)=TRIM(Enginuity!$A$18)),
      TRIM(B1007)=TRIM(Enginuity!$A$17)
    )
  ),
  ROW(),
  ""
)</f>
        <v/>
      </c>
    </row>
    <row r="1008" spans="1:21" x14ac:dyDescent="0.25">
      <c r="A1008" s="17"/>
      <c r="B1008" s="230"/>
      <c r="C1008" s="17"/>
      <c r="D1008" s="18" t="str">
        <v>5" Louver Blade P/C</v>
      </c>
      <c r="E1008" s="238"/>
      <c r="F1008" s="23"/>
      <c r="G1008" s="17"/>
      <c r="H1008" s="10"/>
      <c r="I1008" s="17"/>
      <c r="J1008" s="83"/>
      <c r="K1008" s="343"/>
      <c r="L1008" s="347"/>
      <c r="M1008" s="90"/>
      <c r="N1008" s="17"/>
      <c r="O1008" s="25"/>
      <c r="P1008" s="38"/>
      <c r="Q1008" s="84"/>
      <c r="U1008" s="104" t="str">
        <f>IF(
  AND(
    TRIM(A1008)=TRIM(Enginuity!$A$1),
    TRIM(B1008)=TRIM(Enginuity!$A$17),
    Q1008&lt;&gt;"",
    Q1008&lt;&gt;0,
    OR(
      TRIM(C1008)=TRIM(Enginuity!$A$18),
      AND(UPPER(TRIM(M1008))="STD", TRIM(B1008)=TRIM(Enginuity!$A$17))
    ),
    OR(
      AND(LEFT(P1008,5)="1-Way", Enginuity!$B$13=1),
      AND(LEFT(P1008,5)="2-Way", OR(Enginuity!$B$13=2, Enginuity!$B$13=4)),
      AND(LEFT(P1008,5)="3-Way", OR(Enginuity!$B$13=3, Enginuity!$B$13=6)),
      AND(P1008="Inner Centre Jamb", OR(Enginuity!$B$13=4, Enginuity!$B$13=6)),
      AND(
        LEFT(P1008,5)&lt;&gt;"1-Way",
        LEFT(P1008,5)&lt;&gt;"2-Way",
        LEFT(P1008,5)&lt;&gt;"3-Way",
        P1008&lt;&gt;"Inner Centre Jamb"
      )
    ),
    IF(OR(Enginuity!$A$1="Frameless Glass",Enginuity!$A$1="Metal Work"),
      AND(TRIM(B1008)=TRIM(Enginuity!$A$17),TRIM(C1008)=TRIM(Enginuity!$A$18)),
      TRIM(B1008)=TRIM(Enginuity!$A$17)
    )
  ),
  ROW(),
  ""
)</f>
        <v/>
      </c>
    </row>
    <row r="1009" spans="1:21" x14ac:dyDescent="0.25">
      <c r="A1009" s="10" t="s">
        <v>256</v>
      </c>
      <c r="B1009" s="229" t="s">
        <v>331</v>
      </c>
      <c r="C1009" s="10" t="s">
        <v>345</v>
      </c>
      <c r="D1009" s="14"/>
      <c r="E1009" s="157"/>
      <c r="F1009" s="10"/>
      <c r="G1009" s="17"/>
      <c r="H1009" s="10"/>
      <c r="I1009" s="17"/>
      <c r="J1009" s="83"/>
      <c r="K1009" s="344">
        <v>0.53600000000000003</v>
      </c>
      <c r="L1009" s="347">
        <v>1200</v>
      </c>
      <c r="M1009" s="89"/>
      <c r="N1009" s="10" t="s">
        <v>112</v>
      </c>
      <c r="O1009" s="22">
        <v>120</v>
      </c>
      <c r="P1009" s="14" t="s">
        <v>348</v>
      </c>
      <c r="Q1009" s="83">
        <f>IF(Enginuity!$B$6="", "", ROUNDUP(Enginuity!$B$6 / 6, 0))</f>
        <v>4</v>
      </c>
      <c r="U1009" s="104" t="str">
        <f>IF(
  AND(
    TRIM(A1009)=TRIM(Enginuity!$A$1),
    TRIM(B1009)=TRIM(Enginuity!$A$17),
    Q1009&lt;&gt;"",
    Q1009&lt;&gt;0,
    OR(
      TRIM(C1009)=TRIM(Enginuity!$A$18),
      AND(UPPER(TRIM(M1009))="STD", TRIM(B1009)=TRIM(Enginuity!$A$17))
    ),
    OR(
      AND(LEFT(P1009,5)="1-Way", Enginuity!$B$13=1),
      AND(LEFT(P1009,5)="2-Way", OR(Enginuity!$B$13=2, Enginuity!$B$13=4)),
      AND(LEFT(P1009,5)="3-Way", OR(Enginuity!$B$13=3, Enginuity!$B$13=6)),
      AND(P1009="Inner Centre Jamb", OR(Enginuity!$B$13=4, Enginuity!$B$13=6)),
      AND(
        LEFT(P1009,5)&lt;&gt;"1-Way",
        LEFT(P1009,5)&lt;&gt;"2-Way",
        LEFT(P1009,5)&lt;&gt;"3-Way",
        P1009&lt;&gt;"Inner Centre Jamb"
      )
    ),
    IF(OR(Enginuity!$A$1="Frameless Glass",Enginuity!$A$1="Metal Work"),
      AND(TRIM(B1009)=TRIM(Enginuity!$A$17),TRIM(C1009)=TRIM(Enginuity!$A$18)),
      TRIM(B1009)=TRIM(Enginuity!$A$17)
    )
  ),
  ROW(),
  ""
)</f>
        <v/>
      </c>
    </row>
    <row r="1010" spans="1:21" x14ac:dyDescent="0.25">
      <c r="A1010" s="10" t="s">
        <v>256</v>
      </c>
      <c r="B1010" s="229" t="s">
        <v>331</v>
      </c>
      <c r="C1010" s="10" t="s">
        <v>345</v>
      </c>
      <c r="D1010" s="14"/>
      <c r="E1010" s="157"/>
      <c r="F1010" s="10"/>
      <c r="G1010" s="17"/>
      <c r="H1010" s="10"/>
      <c r="I1010" s="17"/>
      <c r="J1010" s="83"/>
      <c r="K1010" s="343"/>
      <c r="L1010" s="347"/>
      <c r="M1010" s="89"/>
      <c r="N1010" s="10" t="s">
        <v>112</v>
      </c>
      <c r="O1010" s="22">
        <v>3</v>
      </c>
      <c r="P1010" s="14" t="s">
        <v>346</v>
      </c>
      <c r="Q1010" s="97">
        <f>2</f>
        <v>2</v>
      </c>
      <c r="U1010" s="104" t="str">
        <f>IF(
  AND(
    TRIM(A1010)=TRIM(Enginuity!$A$1),
    TRIM(B1010)=TRIM(Enginuity!$A$17),
    Q1010&lt;&gt;"",
    Q1010&lt;&gt;0,
    OR(
      TRIM(C1010)=TRIM(Enginuity!$A$18),
      AND(UPPER(TRIM(M1010))="STD", TRIM(B1010)=TRIM(Enginuity!$A$17))
    ),
    OR(
      AND(LEFT(P1010,5)="1-Way", Enginuity!$B$13=1),
      AND(LEFT(P1010,5)="2-Way", OR(Enginuity!$B$13=2, Enginuity!$B$13=4)),
      AND(LEFT(P1010,5)="3-Way", OR(Enginuity!$B$13=3, Enginuity!$B$13=6)),
      AND(P1010="Inner Centre Jamb", OR(Enginuity!$B$13=4, Enginuity!$B$13=6)),
      AND(
        LEFT(P1010,5)&lt;&gt;"1-Way",
        LEFT(P1010,5)&lt;&gt;"2-Way",
        LEFT(P1010,5)&lt;&gt;"3-Way",
        P1010&lt;&gt;"Inner Centre Jamb"
      )
    ),
    IF(OR(Enginuity!$A$1="Frameless Glass",Enginuity!$A$1="Metal Work"),
      AND(TRIM(B1010)=TRIM(Enginuity!$A$17),TRIM(C1010)=TRIM(Enginuity!$A$18)),
      TRIM(B1010)=TRIM(Enginuity!$A$17)
    )
  ),
  ROW(),
  ""
)</f>
        <v/>
      </c>
    </row>
    <row r="1011" spans="1:21" x14ac:dyDescent="0.25">
      <c r="A1011" s="10" t="s">
        <v>256</v>
      </c>
      <c r="B1011" s="229" t="s">
        <v>331</v>
      </c>
      <c r="C1011" s="10" t="s">
        <v>345</v>
      </c>
      <c r="D1011" s="14"/>
      <c r="E1011" s="157"/>
      <c r="F1011" s="10"/>
      <c r="G1011" s="17"/>
      <c r="H1011" s="10"/>
      <c r="I1011" s="17"/>
      <c r="J1011" s="83"/>
      <c r="K1011" s="343"/>
      <c r="L1011" s="347"/>
      <c r="M1011" s="89"/>
      <c r="N1011" s="10" t="s">
        <v>112</v>
      </c>
      <c r="O1011" s="22">
        <v>6</v>
      </c>
      <c r="P1011" s="14" t="s">
        <v>347</v>
      </c>
      <c r="Q1011" s="83">
        <f>1</f>
        <v>1</v>
      </c>
      <c r="U1011" s="104" t="str">
        <f>IF(
  AND(
    TRIM(A1011)=TRIM(Enginuity!$A$1),
    TRIM(B1011)=TRIM(Enginuity!$A$17),
    Q1011&lt;&gt;"",
    Q1011&lt;&gt;0,
    OR(
      TRIM(C1011)=TRIM(Enginuity!$A$18),
      AND(UPPER(TRIM(M1011))="STD", TRIM(B1011)=TRIM(Enginuity!$A$17))
    ),
    OR(
      AND(LEFT(P1011,5)="1-Way", Enginuity!$B$13=1),
      AND(LEFT(P1011,5)="2-Way", OR(Enginuity!$B$13=2, Enginuity!$B$13=4)),
      AND(LEFT(P1011,5)="3-Way", OR(Enginuity!$B$13=3, Enginuity!$B$13=6)),
      AND(P1011="Inner Centre Jamb", OR(Enginuity!$B$13=4, Enginuity!$B$13=6)),
      AND(
        LEFT(P1011,5)&lt;&gt;"1-Way",
        LEFT(P1011,5)&lt;&gt;"2-Way",
        LEFT(P1011,5)&lt;&gt;"3-Way",
        P1011&lt;&gt;"Inner Centre Jamb"
      )
    ),
    IF(OR(Enginuity!$A$1="Frameless Glass",Enginuity!$A$1="Metal Work"),
      AND(TRIM(B1011)=TRIM(Enginuity!$A$17),TRIM(C1011)=TRIM(Enginuity!$A$18)),
      TRIM(B1011)=TRIM(Enginuity!$A$17)
    )
  ),
  ROW(),
  ""
)</f>
        <v/>
      </c>
    </row>
    <row r="1012" spans="1:21" x14ac:dyDescent="0.25">
      <c r="A1012" s="10" t="s">
        <v>256</v>
      </c>
      <c r="B1012" s="229" t="s">
        <v>331</v>
      </c>
      <c r="C1012" s="10" t="s">
        <v>345</v>
      </c>
      <c r="D1012" s="14"/>
      <c r="E1012" s="157"/>
      <c r="F1012" s="10"/>
      <c r="G1012" s="17"/>
      <c r="H1012" s="10"/>
      <c r="I1012" s="17"/>
      <c r="J1012" s="83"/>
      <c r="K1012" s="343"/>
      <c r="L1012" s="347"/>
      <c r="M1012" s="89"/>
      <c r="N1012" s="10" t="s">
        <v>112</v>
      </c>
      <c r="O1012" s="22">
        <v>3</v>
      </c>
      <c r="P1012" s="14" t="s">
        <v>346</v>
      </c>
      <c r="Q1012" s="97">
        <f>2</f>
        <v>2</v>
      </c>
      <c r="U1012" s="104" t="str">
        <f>IF(
  AND(
    TRIM(A1012)=TRIM(Enginuity!$A$1),
    TRIM(B1012)=TRIM(Enginuity!$A$17),
    Q1012&lt;&gt;"",
    Q1012&lt;&gt;0,
    OR(
      TRIM(C1012)=TRIM(Enginuity!$A$18),
      AND(UPPER(TRIM(M1012))="STD", TRIM(B1012)=TRIM(Enginuity!$A$17))
    ),
    OR(
      AND(LEFT(P1012,5)="1-Way", Enginuity!$B$13=1),
      AND(LEFT(P1012,5)="2-Way", OR(Enginuity!$B$13=2, Enginuity!$B$13=4)),
      AND(LEFT(P1012,5)="3-Way", OR(Enginuity!$B$13=3, Enginuity!$B$13=6)),
      AND(P1012="Inner Centre Jamb", OR(Enginuity!$B$13=4, Enginuity!$B$13=6)),
      AND(
        LEFT(P1012,5)&lt;&gt;"1-Way",
        LEFT(P1012,5)&lt;&gt;"2-Way",
        LEFT(P1012,5)&lt;&gt;"3-Way",
        P1012&lt;&gt;"Inner Centre Jamb"
      )
    ),
    IF(OR(Enginuity!$A$1="Frameless Glass",Enginuity!$A$1="Metal Work"),
      AND(TRIM(B1012)=TRIM(Enginuity!$A$17),TRIM(C1012)=TRIM(Enginuity!$A$18)),
      TRIM(B1012)=TRIM(Enginuity!$A$17)
    )
  ),
  ROW(),
  ""
)</f>
        <v/>
      </c>
    </row>
    <row r="1013" spans="1:21" x14ac:dyDescent="0.25">
      <c r="A1013" s="10" t="s">
        <v>256</v>
      </c>
      <c r="B1013" s="229" t="s">
        <v>331</v>
      </c>
      <c r="C1013" s="10" t="s">
        <v>345</v>
      </c>
      <c r="D1013" s="14"/>
      <c r="E1013" s="157"/>
      <c r="F1013" s="10"/>
      <c r="G1013" s="17"/>
      <c r="H1013" s="10"/>
      <c r="I1013" s="17"/>
      <c r="J1013" s="83"/>
      <c r="K1013" s="343"/>
      <c r="L1013" s="347"/>
      <c r="M1013" s="89"/>
      <c r="N1013" s="10" t="s">
        <v>112</v>
      </c>
      <c r="O1013" s="22">
        <v>6</v>
      </c>
      <c r="P1013" s="14" t="s">
        <v>347</v>
      </c>
      <c r="Q1013" s="83">
        <f>1</f>
        <v>1</v>
      </c>
      <c r="U1013" s="104" t="str">
        <f>IF(
  AND(
    TRIM(A1013)=TRIM(Enginuity!$A$1),
    TRIM(B1013)=TRIM(Enginuity!$A$17),
    Q1013&lt;&gt;"",
    Q1013&lt;&gt;0,
    OR(
      TRIM(C1013)=TRIM(Enginuity!$A$18),
      AND(UPPER(TRIM(M1013))="STD", TRIM(B1013)=TRIM(Enginuity!$A$17))
    ),
    OR(
      AND(LEFT(P1013,5)="1-Way", Enginuity!$B$13=1),
      AND(LEFT(P1013,5)="2-Way", OR(Enginuity!$B$13=2, Enginuity!$B$13=4)),
      AND(LEFT(P1013,5)="3-Way", OR(Enginuity!$B$13=3, Enginuity!$B$13=6)),
      AND(P1013="Inner Centre Jamb", OR(Enginuity!$B$13=4, Enginuity!$B$13=6)),
      AND(
        LEFT(P1013,5)&lt;&gt;"1-Way",
        LEFT(P1013,5)&lt;&gt;"2-Way",
        LEFT(P1013,5)&lt;&gt;"3-Way",
        P1013&lt;&gt;"Inner Centre Jamb"
      )
    ),
    IF(OR(Enginuity!$A$1="Frameless Glass",Enginuity!$A$1="Metal Work"),
      AND(TRIM(B1013)=TRIM(Enginuity!$A$17),TRIM(C1013)=TRIM(Enginuity!$A$18)),
      TRIM(B1013)=TRIM(Enginuity!$A$17)
    )
  ),
  ROW(),
  ""
)</f>
        <v/>
      </c>
    </row>
    <row r="1014" spans="1:21" x14ac:dyDescent="0.25">
      <c r="A1014" s="17"/>
      <c r="B1014" s="230"/>
      <c r="C1014" s="17"/>
      <c r="D1014" s="110"/>
      <c r="E1014" s="238"/>
      <c r="F1014" s="23"/>
      <c r="G1014" s="17"/>
      <c r="H1014" s="10"/>
      <c r="I1014" s="17"/>
      <c r="J1014" s="83"/>
      <c r="K1014" s="343"/>
      <c r="L1014" s="347"/>
      <c r="M1014" s="90"/>
      <c r="N1014" s="95"/>
      <c r="O1014" s="25"/>
      <c r="P1014" s="92"/>
      <c r="Q1014" s="84"/>
      <c r="U1014" s="104" t="str">
        <f>IF(
  AND(
    TRIM(A1014)=TRIM(Enginuity!$A$1),
    TRIM(B1014)=TRIM(Enginuity!$A$17),
    Q1014&lt;&gt;"",
    Q1014&lt;&gt;0,
    OR(
      TRIM(C1014)=TRIM(Enginuity!$A$18),
      AND(UPPER(TRIM(M1014))="STD", TRIM(B1014)=TRIM(Enginuity!$A$17))
    ),
    OR(
      AND(LEFT(P1014,5)="1-Way", Enginuity!$B$13=1),
      AND(LEFT(P1014,5)="2-Way", OR(Enginuity!$B$13=2, Enginuity!$B$13=4)),
      AND(LEFT(P1014,5)="3-Way", OR(Enginuity!$B$13=3, Enginuity!$B$13=6)),
      AND(P1014="Inner Centre Jamb", OR(Enginuity!$B$13=4, Enginuity!$B$13=6)),
      AND(
        LEFT(P1014,5)&lt;&gt;"1-Way",
        LEFT(P1014,5)&lt;&gt;"2-Way",
        LEFT(P1014,5)&lt;&gt;"3-Way",
        P1014&lt;&gt;"Inner Centre Jamb"
      )
    ),
    IF(OR(Enginuity!$A$1="Frameless Glass",Enginuity!$A$1="Metal Work"),
      AND(TRIM(B1014)=TRIM(Enginuity!$A$17),TRIM(C1014)=TRIM(Enginuity!$A$18)),
      TRIM(B1014)=TRIM(Enginuity!$A$17)
    )
  ),
  ROW(),
  ""
)</f>
        <v/>
      </c>
    </row>
    <row r="1015" spans="1:21" x14ac:dyDescent="0.25">
      <c r="A1015" s="10" t="s">
        <v>256</v>
      </c>
      <c r="B1015" s="229" t="s">
        <v>331</v>
      </c>
      <c r="C1015" s="10" t="s">
        <v>325</v>
      </c>
      <c r="D1015" s="14" t="str" cm="1">
        <f t="array" ref="D1015:D1019">IFERROR(INDEX(_xlfn._xlws.FILTER(AllMaterialsbak!$BA$2:$BA$30, AllMaterialsbak!$BA$2:$BA$30&lt;&gt;""), _xlfn.SEQUENCE(5)), "")</f>
        <v>Default</v>
      </c>
      <c r="E1015" s="157"/>
      <c r="F1015" s="11"/>
      <c r="G1015" s="17"/>
      <c r="H1015" s="10"/>
      <c r="I1015" s="17"/>
      <c r="J1015" s="83"/>
      <c r="K1015" s="344">
        <v>0.45600000000000002</v>
      </c>
      <c r="L1015" s="347">
        <v>900</v>
      </c>
      <c r="M1015" s="89"/>
      <c r="N1015" s="10" t="s">
        <v>121</v>
      </c>
      <c r="O1015" s="22" t="str">
        <f>$O$2</f>
        <v/>
      </c>
      <c r="P1015" s="21" t="str">
        <f>Enginuity!$A$19</f>
        <v>W/G</v>
      </c>
      <c r="Q1015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1015" s="104" t="str">
        <f>IF(
  AND(
    TRIM(A1015)=TRIM(Enginuity!$A$1),
    TRIM(B1015)=TRIM(Enginuity!$A$17),
    Q1015&lt;&gt;"",
    Q1015&lt;&gt;0,
    OR(
      TRIM(C1015)=TRIM(Enginuity!$A$18),
      AND(UPPER(TRIM(M1015))="STD", TRIM(B1015)=TRIM(Enginuity!$A$17))
    ),
    OR(
      AND(LEFT(P1015,5)="1-Way", Enginuity!$B$13=1),
      AND(LEFT(P1015,5)="2-Way", OR(Enginuity!$B$13=2, Enginuity!$B$13=4)),
      AND(LEFT(P1015,5)="3-Way", OR(Enginuity!$B$13=3, Enginuity!$B$13=6)),
      AND(P1015="Inner Centre Jamb", OR(Enginuity!$B$13=4, Enginuity!$B$13=6)),
      AND(
        LEFT(P1015,5)&lt;&gt;"1-Way",
        LEFT(P1015,5)&lt;&gt;"2-Way",
        LEFT(P1015,5)&lt;&gt;"3-Way",
        P1015&lt;&gt;"Inner Centre Jamb"
      )
    ),
    IF(OR(Enginuity!$A$1="Frameless Glass",Enginuity!$A$1="Metal Work"),
      AND(TRIM(B1015)=TRIM(Enginuity!$A$17),TRIM(C1015)=TRIM(Enginuity!$A$18)),
      TRIM(B1015)=TRIM(Enginuity!$A$17)
    )
  ),
  ROW(),
  ""
)</f>
        <v/>
      </c>
    </row>
    <row r="1016" spans="1:21" x14ac:dyDescent="0.25">
      <c r="A1016" s="10" t="s">
        <v>256</v>
      </c>
      <c r="B1016" s="229" t="s">
        <v>331</v>
      </c>
      <c r="C1016" s="10" t="s">
        <v>325</v>
      </c>
      <c r="D1016" s="14" t="str">
        <v xml:space="preserve">2" Louver Blade N/A </v>
      </c>
      <c r="E1016" s="157"/>
      <c r="F1016" s="11"/>
      <c r="G1016" s="17"/>
      <c r="H1016" s="10"/>
      <c r="I1016" s="17"/>
      <c r="J1016" s="83"/>
      <c r="K1016" s="343"/>
      <c r="L1016" s="347"/>
      <c r="M1016" s="89"/>
      <c r="N1016" s="10" t="s">
        <v>315</v>
      </c>
      <c r="O1016" s="22">
        <v>8.5</v>
      </c>
      <c r="P1016" s="14" t="s">
        <v>319</v>
      </c>
      <c r="Q1016" s="83">
        <f>IF((Enginuity!$B$6*2)/24&lt;=1, 1, ROUNDUP((Enginuity!$B$6*2)/24, 0))</f>
        <v>2</v>
      </c>
      <c r="U1016" s="104" t="str">
        <f>IF(
  AND(
    TRIM(A1016)=TRIM(Enginuity!$A$1),
    TRIM(B1016)=TRIM(Enginuity!$A$17),
    Q1016&lt;&gt;"",
    Q1016&lt;&gt;0,
    OR(
      TRIM(C1016)=TRIM(Enginuity!$A$18),
      AND(UPPER(TRIM(M1016))="STD", TRIM(B1016)=TRIM(Enginuity!$A$17))
    ),
    OR(
      AND(LEFT(P1016,5)="1-Way", Enginuity!$B$13=1),
      AND(LEFT(P1016,5)="2-Way", OR(Enginuity!$B$13=2, Enginuity!$B$13=4)),
      AND(LEFT(P1016,5)="3-Way", OR(Enginuity!$B$13=3, Enginuity!$B$13=6)),
      AND(P1016="Inner Centre Jamb", OR(Enginuity!$B$13=4, Enginuity!$B$13=6)),
      AND(
        LEFT(P1016,5)&lt;&gt;"1-Way",
        LEFT(P1016,5)&lt;&gt;"2-Way",
        LEFT(P1016,5)&lt;&gt;"3-Way",
        P1016&lt;&gt;"Inner Centre Jamb"
      )
    ),
    IF(OR(Enginuity!$A$1="Frameless Glass",Enginuity!$A$1="Metal Work"),
      AND(TRIM(B1016)=TRIM(Enginuity!$A$17),TRIM(C1016)=TRIM(Enginuity!$A$18)),
      TRIM(B1016)=TRIM(Enginuity!$A$17)
    )
  ),
  ROW(),
  ""
)</f>
        <v/>
      </c>
    </row>
    <row r="1017" spans="1:21" x14ac:dyDescent="0.25">
      <c r="A1017" s="10" t="s">
        <v>256</v>
      </c>
      <c r="B1017" s="229" t="s">
        <v>331</v>
      </c>
      <c r="C1017" s="10" t="s">
        <v>325</v>
      </c>
      <c r="D1017" s="14" t="str">
        <v>2" Louver Blade P/C</v>
      </c>
      <c r="E1017" s="157"/>
      <c r="F1017" s="11"/>
      <c r="G1017" s="17"/>
      <c r="H1017" s="10"/>
      <c r="I1017" s="17"/>
      <c r="J1017" s="83"/>
      <c r="K1017" s="343"/>
      <c r="L1017" s="347"/>
      <c r="M1017" s="89"/>
      <c r="N1017" s="10" t="s">
        <v>112</v>
      </c>
      <c r="O1017" s="22">
        <v>0.1</v>
      </c>
      <c r="P1017" s="14" t="s">
        <v>221</v>
      </c>
      <c r="Q1017" s="83">
        <f>ROUNDUP((Enginuity!$B$6*2 + Enginuity!$B$13*2*Enginuity!$B$7)/3, 0)</f>
        <v>74</v>
      </c>
      <c r="U1017" s="104" t="str">
        <f>IF(
  AND(
    TRIM(A1017)=TRIM(Enginuity!$A$1),
    TRIM(B1017)=TRIM(Enginuity!$A$17),
    Q1017&lt;&gt;"",
    Q1017&lt;&gt;0,
    OR(
      TRIM(C1017)=TRIM(Enginuity!$A$18),
      AND(UPPER(TRIM(M1017))="STD", TRIM(B1017)=TRIM(Enginuity!$A$17))
    ),
    OR(
      AND(LEFT(P1017,5)="1-Way", Enginuity!$B$13=1),
      AND(LEFT(P1017,5)="2-Way", OR(Enginuity!$B$13=2, Enginuity!$B$13=4)),
      AND(LEFT(P1017,5)="3-Way", OR(Enginuity!$B$13=3, Enginuity!$B$13=6)),
      AND(P1017="Inner Centre Jamb", OR(Enginuity!$B$13=4, Enginuity!$B$13=6)),
      AND(
        LEFT(P1017,5)&lt;&gt;"1-Way",
        LEFT(P1017,5)&lt;&gt;"2-Way",
        LEFT(P1017,5)&lt;&gt;"3-Way",
        P1017&lt;&gt;"Inner Centre Jamb"
      )
    ),
    IF(OR(Enginuity!$A$1="Frameless Glass",Enginuity!$A$1="Metal Work"),
      AND(TRIM(B1017)=TRIM(Enginuity!$A$17),TRIM(C1017)=TRIM(Enginuity!$A$18)),
      TRIM(B1017)=TRIM(Enginuity!$A$17)
    )
  ),
  ROW(),
  ""
)</f>
        <v/>
      </c>
    </row>
    <row r="1018" spans="1:21" x14ac:dyDescent="0.25">
      <c r="A1018" s="10" t="s">
        <v>256</v>
      </c>
      <c r="B1018" s="229" t="s">
        <v>331</v>
      </c>
      <c r="C1018" s="10" t="s">
        <v>325</v>
      </c>
      <c r="D1018" s="14" t="str">
        <v xml:space="preserve">5" Louver Blade N/A </v>
      </c>
      <c r="E1018" s="157"/>
      <c r="F1018" s="10"/>
      <c r="G1018" s="17"/>
      <c r="H1018" s="10"/>
      <c r="I1018" s="17"/>
      <c r="J1018" s="83"/>
      <c r="K1018" s="343"/>
      <c r="L1018" s="347"/>
      <c r="M1018" s="89"/>
      <c r="N1018" s="10" t="s">
        <v>111</v>
      </c>
      <c r="O1018" s="22">
        <v>130</v>
      </c>
      <c r="P1018" s="21" t="s">
        <v>140</v>
      </c>
      <c r="Q1018" s="83">
        <v>1</v>
      </c>
      <c r="U1018" s="104" t="str">
        <f>IF(
  AND(
    TRIM(A1018)=TRIM(Enginuity!$A$1),
    TRIM(B1018)=TRIM(Enginuity!$A$17),
    Q1018&lt;&gt;"",
    Q1018&lt;&gt;0,
    OR(
      TRIM(C1018)=TRIM(Enginuity!$A$18),
      AND(UPPER(TRIM(M1018))="STD", TRIM(B1018)=TRIM(Enginuity!$A$17))
    ),
    OR(
      AND(LEFT(P1018,5)="1-Way", Enginuity!$B$13=1),
      AND(LEFT(P1018,5)="2-Way", OR(Enginuity!$B$13=2, Enginuity!$B$13=4)),
      AND(LEFT(P1018,5)="3-Way", OR(Enginuity!$B$13=3, Enginuity!$B$13=6)),
      AND(P1018="Inner Centre Jamb", OR(Enginuity!$B$13=4, Enginuity!$B$13=6)),
      AND(
        LEFT(P1018,5)&lt;&gt;"1-Way",
        LEFT(P1018,5)&lt;&gt;"2-Way",
        LEFT(P1018,5)&lt;&gt;"3-Way",
        P1018&lt;&gt;"Inner Centre Jamb"
      )
    ),
    IF(OR(Enginuity!$A$1="Frameless Glass",Enginuity!$A$1="Metal Work"),
      AND(TRIM(B1018)=TRIM(Enginuity!$A$17),TRIM(C1018)=TRIM(Enginuity!$A$18)),
      TRIM(B1018)=TRIM(Enginuity!$A$17)
    )
  ),
  ROW(),
  ""
)</f>
        <v/>
      </c>
    </row>
    <row r="1019" spans="1:21" x14ac:dyDescent="0.25">
      <c r="A1019" s="10" t="s">
        <v>256</v>
      </c>
      <c r="B1019" s="229" t="s">
        <v>331</v>
      </c>
      <c r="C1019" s="10" t="s">
        <v>325</v>
      </c>
      <c r="D1019" s="14" t="str">
        <v>5" Louver Blade P/C</v>
      </c>
      <c r="E1019" s="157"/>
      <c r="F1019" s="10"/>
      <c r="G1019" s="17"/>
      <c r="H1019" s="10"/>
      <c r="I1019" s="17"/>
      <c r="J1019" s="83"/>
      <c r="K1019" s="343"/>
      <c r="L1019" s="347"/>
      <c r="M1019" s="89"/>
      <c r="N1019" s="10" t="s">
        <v>112</v>
      </c>
      <c r="O1019" s="22">
        <v>180</v>
      </c>
      <c r="P1019" s="14" t="s">
        <v>333</v>
      </c>
      <c r="Q1019" s="83">
        <f>IF(Enginuity!$B$6="", "", ROUNDUP(Enginuity!$B$6 / 8, 0))</f>
        <v>3</v>
      </c>
      <c r="U1019" s="104" t="str">
        <f>IF(
  AND(
    TRIM(A1019)=TRIM(Enginuity!$A$1),
    TRIM(B1019)=TRIM(Enginuity!$A$17),
    Q1019&lt;&gt;"",
    Q1019&lt;&gt;0,
    OR(
      TRIM(C1019)=TRIM(Enginuity!$A$18),
      AND(UPPER(TRIM(M1019))="STD", TRIM(B1019)=TRIM(Enginuity!$A$17))
    ),
    OR(
      AND(LEFT(P1019,5)="1-Way", Enginuity!$B$13=1),
      AND(LEFT(P1019,5)="2-Way", OR(Enginuity!$B$13=2, Enginuity!$B$13=4)),
      AND(LEFT(P1019,5)="3-Way", OR(Enginuity!$B$13=3, Enginuity!$B$13=6)),
      AND(P1019="Inner Centre Jamb", OR(Enginuity!$B$13=4, Enginuity!$B$13=6)),
      AND(
        LEFT(P1019,5)&lt;&gt;"1-Way",
        LEFT(P1019,5)&lt;&gt;"2-Way",
        LEFT(P1019,5)&lt;&gt;"3-Way",
        P1019&lt;&gt;"Inner Centre Jamb"
      )
    ),
    IF(OR(Enginuity!$A$1="Frameless Glass",Enginuity!$A$1="Metal Work"),
      AND(TRIM(B1019)=TRIM(Enginuity!$A$17),TRIM(C1019)=TRIM(Enginuity!$A$18)),
      TRIM(B1019)=TRIM(Enginuity!$A$17)
    )
  ),
  ROW(),
  ""
)</f>
        <v/>
      </c>
    </row>
    <row r="1020" spans="1:21" x14ac:dyDescent="0.25">
      <c r="A1020" s="10" t="s">
        <v>256</v>
      </c>
      <c r="B1020" s="229" t="s">
        <v>331</v>
      </c>
      <c r="C1020" s="10" t="s">
        <v>325</v>
      </c>
      <c r="D1020" s="14"/>
      <c r="E1020" s="157"/>
      <c r="F1020" s="10"/>
      <c r="G1020" s="17"/>
      <c r="H1020" s="10"/>
      <c r="I1020" s="17"/>
      <c r="J1020" s="83"/>
      <c r="K1020" s="343"/>
      <c r="L1020" s="347"/>
      <c r="M1020" s="89"/>
      <c r="N1020" s="10" t="s">
        <v>112</v>
      </c>
      <c r="O1020" s="22">
        <v>12</v>
      </c>
      <c r="P1020" s="14" t="s">
        <v>408</v>
      </c>
      <c r="Q1020" s="83">
        <f>IF(Enginuity!$B$6="", "", ROUNDUP(Enginuity!$B$6 / 8, 0))</f>
        <v>3</v>
      </c>
      <c r="U1020" s="104" t="str">
        <f>IF(
  AND(
    TRIM(A1020)=TRIM(Enginuity!$A$1),
    TRIM(B1020)=TRIM(Enginuity!$A$17),
    Q1020&lt;&gt;"",
    Q1020&lt;&gt;0,
    OR(
      TRIM(C1020)=TRIM(Enginuity!$A$18),
      AND(UPPER(TRIM(M1020))="STD", TRIM(B1020)=TRIM(Enginuity!$A$17))
    ),
    OR(
      AND(LEFT(P1020,5)="1-Way", Enginuity!$B$13=1),
      AND(LEFT(P1020,5)="2-Way", OR(Enginuity!$B$13=2, Enginuity!$B$13=4)),
      AND(LEFT(P1020,5)="3-Way", OR(Enginuity!$B$13=3, Enginuity!$B$13=6)),
      AND(P1020="Inner Centre Jamb", OR(Enginuity!$B$13=4, Enginuity!$B$13=6)),
      AND(
        LEFT(P1020,5)&lt;&gt;"1-Way",
        LEFT(P1020,5)&lt;&gt;"2-Way",
        LEFT(P1020,5)&lt;&gt;"3-Way",
        P1020&lt;&gt;"Inner Centre Jamb"
      )
    ),
    IF(OR(Enginuity!$A$1="Frameless Glass",Enginuity!$A$1="Metal Work"),
      AND(TRIM(B1020)=TRIM(Enginuity!$A$17),TRIM(C1020)=TRIM(Enginuity!$A$18)),
      TRIM(B1020)=TRIM(Enginuity!$A$17)
    )
  ),
  ROW(),
  ""
)</f>
        <v/>
      </c>
    </row>
    <row r="1021" spans="1:21" x14ac:dyDescent="0.25">
      <c r="A1021" s="10" t="s">
        <v>256</v>
      </c>
      <c r="B1021" s="229" t="s">
        <v>331</v>
      </c>
      <c r="C1021" s="10" t="s">
        <v>325</v>
      </c>
      <c r="D1021" s="14"/>
      <c r="E1021" s="157"/>
      <c r="F1021" s="10"/>
      <c r="G1021" s="17"/>
      <c r="H1021" s="10"/>
      <c r="I1021" s="17"/>
      <c r="J1021" s="83"/>
      <c r="K1021" s="343"/>
      <c r="L1021" s="347"/>
      <c r="M1021" s="89"/>
      <c r="N1021" s="10" t="s">
        <v>112</v>
      </c>
      <c r="O1021" s="22">
        <v>10</v>
      </c>
      <c r="P1021" s="14" t="s">
        <v>344</v>
      </c>
      <c r="Q1021" s="83">
        <f>IF(Enginuity!$B$15&gt;1200, 3*Enginuity!$B$13, 2*Enginuity!$B$13)</f>
        <v>14</v>
      </c>
      <c r="U1021" s="104" t="str">
        <f>IF(
  AND(
    TRIM(A1021)=TRIM(Enginuity!$A$1),
    TRIM(B1021)=TRIM(Enginuity!$A$17),
    Q1021&lt;&gt;"",
    Q1021&lt;&gt;0,
    OR(
      TRIM(C1021)=TRIM(Enginuity!$A$18),
      AND(UPPER(TRIM(M1021))="STD", TRIM(B1021)=TRIM(Enginuity!$A$17))
    ),
    OR(
      AND(LEFT(P1021,5)="1-Way", Enginuity!$B$13=1),
      AND(LEFT(P1021,5)="2-Way", OR(Enginuity!$B$13=2, Enginuity!$B$13=4)),
      AND(LEFT(P1021,5)="3-Way", OR(Enginuity!$B$13=3, Enginuity!$B$13=6)),
      AND(P1021="Inner Centre Jamb", OR(Enginuity!$B$13=4, Enginuity!$B$13=6)),
      AND(
        LEFT(P1021,5)&lt;&gt;"1-Way",
        LEFT(P1021,5)&lt;&gt;"2-Way",
        LEFT(P1021,5)&lt;&gt;"3-Way",
        P1021&lt;&gt;"Inner Centre Jamb"
      )
    ),
    IF(OR(Enginuity!$A$1="Frameless Glass",Enginuity!$A$1="Metal Work"),
      AND(TRIM(B1021)=TRIM(Enginuity!$A$17),TRIM(C1021)=TRIM(Enginuity!$A$18)),
      TRIM(B1021)=TRIM(Enginuity!$A$17)
    )
  ),
  ROW(),
  ""
)</f>
        <v/>
      </c>
    </row>
    <row r="1022" spans="1:21" x14ac:dyDescent="0.25">
      <c r="A1022" s="10" t="s">
        <v>256</v>
      </c>
      <c r="B1022" s="229" t="s">
        <v>331</v>
      </c>
      <c r="C1022" s="10" t="s">
        <v>325</v>
      </c>
      <c r="D1022" s="14"/>
      <c r="E1022" s="157"/>
      <c r="F1022" s="10"/>
      <c r="G1022" s="17"/>
      <c r="H1022" s="10"/>
      <c r="I1022" s="17"/>
      <c r="J1022" s="83"/>
      <c r="K1022" s="343"/>
      <c r="L1022" s="347"/>
      <c r="M1022" s="89"/>
      <c r="N1022" s="10" t="s">
        <v>176</v>
      </c>
      <c r="O1022" s="22">
        <v>30</v>
      </c>
      <c r="P1022" s="14" t="s">
        <v>409</v>
      </c>
      <c r="Q1022" s="83">
        <f>1</f>
        <v>1</v>
      </c>
      <c r="U1022" s="104" t="str">
        <f>IF(
  AND(
    TRIM(A1022)=TRIM(Enginuity!$A$1),
    TRIM(B1022)=TRIM(Enginuity!$A$17),
    Q1022&lt;&gt;"",
    Q1022&lt;&gt;0,
    OR(
      TRIM(C1022)=TRIM(Enginuity!$A$18),
      AND(UPPER(TRIM(M1022))="STD", TRIM(B1022)=TRIM(Enginuity!$A$17))
    ),
    OR(
      AND(LEFT(P1022,5)="1-Way", Enginuity!$B$13=1),
      AND(LEFT(P1022,5)="2-Way", OR(Enginuity!$B$13=2, Enginuity!$B$13=4)),
      AND(LEFT(P1022,5)="3-Way", OR(Enginuity!$B$13=3, Enginuity!$B$13=6)),
      AND(P1022="Inner Centre Jamb", OR(Enginuity!$B$13=4, Enginuity!$B$13=6)),
      AND(
        LEFT(P1022,5)&lt;&gt;"1-Way",
        LEFT(P1022,5)&lt;&gt;"2-Way",
        LEFT(P1022,5)&lt;&gt;"3-Way",
        P1022&lt;&gt;"Inner Centre Jamb"
      )
    ),
    IF(OR(Enginuity!$A$1="Frameless Glass",Enginuity!$A$1="Metal Work"),
      AND(TRIM(B1022)=TRIM(Enginuity!$A$17),TRIM(C1022)=TRIM(Enginuity!$A$18)),
      TRIM(B1022)=TRIM(Enginuity!$A$17)
    )
  ),
  ROW(),
  ""
)</f>
        <v/>
      </c>
    </row>
    <row r="1023" spans="1:21" x14ac:dyDescent="0.25">
      <c r="A1023" s="10" t="s">
        <v>256</v>
      </c>
      <c r="B1023" s="229" t="s">
        <v>331</v>
      </c>
      <c r="C1023" s="10" t="s">
        <v>325</v>
      </c>
      <c r="D1023" s="14"/>
      <c r="E1023" s="157"/>
      <c r="F1023" s="10"/>
      <c r="G1023" s="17"/>
      <c r="H1023" s="10"/>
      <c r="I1023" s="17"/>
      <c r="J1023" s="83"/>
      <c r="K1023" s="343"/>
      <c r="L1023" s="347"/>
      <c r="M1023" s="89"/>
      <c r="N1023" s="10"/>
      <c r="O1023" s="22"/>
      <c r="P1023" s="14"/>
      <c r="Q1023" s="83"/>
      <c r="U1023" s="104" t="str">
        <f>IF(
  AND(
    TRIM(A1023)=TRIM(Enginuity!$A$1),
    TRIM(B1023)=TRIM(Enginuity!$A$17),
    Q1023&lt;&gt;"",
    Q1023&lt;&gt;0,
    OR(
      TRIM(C1023)=TRIM(Enginuity!$A$18),
      AND(UPPER(TRIM(M1023))="STD", TRIM(B1023)=TRIM(Enginuity!$A$17))
    ),
    OR(
      AND(LEFT(P1023,5)="1-Way", Enginuity!$B$13=1),
      AND(LEFT(P1023,5)="2-Way", OR(Enginuity!$B$13=2, Enginuity!$B$13=4)),
      AND(LEFT(P1023,5)="3-Way", OR(Enginuity!$B$13=3, Enginuity!$B$13=6)),
      AND(P1023="Inner Centre Jamb", OR(Enginuity!$B$13=4, Enginuity!$B$13=6)),
      AND(
        LEFT(P1023,5)&lt;&gt;"1-Way",
        LEFT(P1023,5)&lt;&gt;"2-Way",
        LEFT(P1023,5)&lt;&gt;"3-Way",
        P1023&lt;&gt;"Inner Centre Jamb"
      )
    ),
    IF(OR(Enginuity!$A$1="Frameless Glass",Enginuity!$A$1="Metal Work"),
      AND(TRIM(B1023)=TRIM(Enginuity!$A$17),TRIM(C1023)=TRIM(Enginuity!$A$18)),
      TRIM(B1023)=TRIM(Enginuity!$A$17)
    )
  ),
  ROW(),
  ""
)</f>
        <v/>
      </c>
    </row>
    <row r="1024" spans="1:21" x14ac:dyDescent="0.25">
      <c r="A1024" s="10" t="s">
        <v>256</v>
      </c>
      <c r="B1024" s="229" t="s">
        <v>331</v>
      </c>
      <c r="C1024" s="10" t="s">
        <v>325</v>
      </c>
      <c r="D1024" s="14"/>
      <c r="E1024" s="157"/>
      <c r="F1024" s="10"/>
      <c r="G1024" s="17"/>
      <c r="H1024" s="10"/>
      <c r="I1024" s="17"/>
      <c r="J1024" s="83"/>
      <c r="K1024" s="343"/>
      <c r="L1024" s="347"/>
      <c r="M1024" s="89"/>
      <c r="N1024" s="10"/>
      <c r="O1024" s="22"/>
      <c r="P1024" s="14"/>
      <c r="Q1024" s="83"/>
      <c r="U1024" s="104" t="str">
        <f>IF(
  AND(
    TRIM(A1024)=TRIM(Enginuity!$A$1),
    TRIM(B1024)=TRIM(Enginuity!$A$17),
    Q1024&lt;&gt;"",
    Q1024&lt;&gt;0,
    OR(
      TRIM(C1024)=TRIM(Enginuity!$A$18),
      AND(UPPER(TRIM(M1024))="STD", TRIM(B1024)=TRIM(Enginuity!$A$17))
    ),
    OR(
      AND(LEFT(P1024,5)="1-Way", Enginuity!$B$13=1),
      AND(LEFT(P1024,5)="2-Way", OR(Enginuity!$B$13=2, Enginuity!$B$13=4)),
      AND(LEFT(P1024,5)="3-Way", OR(Enginuity!$B$13=3, Enginuity!$B$13=6)),
      AND(P1024="Inner Centre Jamb", OR(Enginuity!$B$13=4, Enginuity!$B$13=6)),
      AND(
        LEFT(P1024,5)&lt;&gt;"1-Way",
        LEFT(P1024,5)&lt;&gt;"2-Way",
        LEFT(P1024,5)&lt;&gt;"3-Way",
        P1024&lt;&gt;"Inner Centre Jamb"
      )
    ),
    IF(OR(Enginuity!$A$1="Frameless Glass",Enginuity!$A$1="Metal Work"),
      AND(TRIM(B1024)=TRIM(Enginuity!$A$17),TRIM(C1024)=TRIM(Enginuity!$A$18)),
      TRIM(B1024)=TRIM(Enginuity!$A$17)
    )
  ),
  ROW(),
  ""
)</f>
        <v/>
      </c>
    </row>
    <row r="1025" spans="1:21" x14ac:dyDescent="0.25">
      <c r="A1025" s="10" t="s">
        <v>256</v>
      </c>
      <c r="B1025" s="229" t="s">
        <v>331</v>
      </c>
      <c r="C1025" s="10" t="s">
        <v>325</v>
      </c>
      <c r="D1025" s="14"/>
      <c r="E1025" s="157"/>
      <c r="F1025" s="10"/>
      <c r="G1025" s="17"/>
      <c r="H1025" s="10"/>
      <c r="I1025" s="17"/>
      <c r="J1025" s="83"/>
      <c r="K1025" s="343"/>
      <c r="L1025" s="347"/>
      <c r="M1025" s="89"/>
      <c r="N1025" s="10"/>
      <c r="O1025" s="22"/>
      <c r="P1025" s="36"/>
      <c r="Q1025" s="83"/>
      <c r="U1025" s="104" t="str">
        <f>IF(
  AND(
    TRIM(A1025)=TRIM(Enginuity!$A$1),
    TRIM(B1025)=TRIM(Enginuity!$A$17),
    Q1025&lt;&gt;"",
    Q1025&lt;&gt;0,
    OR(
      TRIM(C1025)=TRIM(Enginuity!$A$18),
      AND(UPPER(TRIM(M1025))="STD", TRIM(B1025)=TRIM(Enginuity!$A$17))
    ),
    OR(
      AND(LEFT(P1025,5)="1-Way", Enginuity!$B$13=1),
      AND(LEFT(P1025,5)="2-Way", OR(Enginuity!$B$13=2, Enginuity!$B$13=4)),
      AND(LEFT(P1025,5)="3-Way", OR(Enginuity!$B$13=3, Enginuity!$B$13=6)),
      AND(P1025="Inner Centre Jamb", OR(Enginuity!$B$13=4, Enginuity!$B$13=6)),
      AND(
        LEFT(P1025,5)&lt;&gt;"1-Way",
        LEFT(P1025,5)&lt;&gt;"2-Way",
        LEFT(P1025,5)&lt;&gt;"3-Way",
        P1025&lt;&gt;"Inner Centre Jamb"
      )
    ),
    IF(OR(Enginuity!$A$1="Frameless Glass",Enginuity!$A$1="Metal Work"),
      AND(TRIM(B1025)=TRIM(Enginuity!$A$17),TRIM(C1025)=TRIM(Enginuity!$A$18)),
      TRIM(B1025)=TRIM(Enginuity!$A$17)
    )
  ),
  ROW(),
  ""
)</f>
        <v/>
      </c>
    </row>
    <row r="1026" spans="1:21" x14ac:dyDescent="0.25">
      <c r="A1026" s="17" t="s">
        <v>256</v>
      </c>
      <c r="B1026" s="230"/>
      <c r="C1026" s="17"/>
      <c r="D1026" s="18"/>
      <c r="E1026" s="238"/>
      <c r="F1026" s="23"/>
      <c r="G1026" s="17"/>
      <c r="H1026" s="10"/>
      <c r="I1026" s="17"/>
      <c r="J1026" s="83"/>
      <c r="K1026" s="343"/>
      <c r="L1026" s="347"/>
      <c r="M1026" s="90"/>
      <c r="N1026" s="95"/>
      <c r="O1026" s="25"/>
      <c r="P1026" s="92"/>
      <c r="Q1026" s="84"/>
      <c r="U1026" s="104" t="str">
        <f>IF(
  AND(
    TRIM(A1026)=TRIM(Enginuity!$A$1),
    TRIM(B1026)=TRIM(Enginuity!$A$17),
    Q1026&lt;&gt;"",
    Q1026&lt;&gt;0,
    OR(
      TRIM(C1026)=TRIM(Enginuity!$A$18),
      AND(UPPER(TRIM(M1026))="STD", TRIM(B1026)=TRIM(Enginuity!$A$17))
    ),
    OR(
      AND(LEFT(P1026,5)="1-Way", Enginuity!$B$13=1),
      AND(LEFT(P1026,5)="2-Way", OR(Enginuity!$B$13=2, Enginuity!$B$13=4)),
      AND(LEFT(P1026,5)="3-Way", OR(Enginuity!$B$13=3, Enginuity!$B$13=6)),
      AND(P1026="Inner Centre Jamb", OR(Enginuity!$B$13=4, Enginuity!$B$13=6)),
      AND(
        LEFT(P1026,5)&lt;&gt;"1-Way",
        LEFT(P1026,5)&lt;&gt;"2-Way",
        LEFT(P1026,5)&lt;&gt;"3-Way",
        P1026&lt;&gt;"Inner Centre Jamb"
      )
    ),
    IF(OR(Enginuity!$A$1="Frameless Glass",Enginuity!$A$1="Metal Work"),
      AND(TRIM(B1026)=TRIM(Enginuity!$A$17),TRIM(C1026)=TRIM(Enginuity!$A$18)),
      TRIM(B1026)=TRIM(Enginuity!$A$17)
    )
  ),
  ROW(),
  ""
)</f>
        <v/>
      </c>
    </row>
    <row r="1027" spans="1:21" x14ac:dyDescent="0.25">
      <c r="A1027" s="10" t="s">
        <v>251</v>
      </c>
      <c r="B1027" s="229" t="s">
        <v>1</v>
      </c>
      <c r="C1027" s="10" t="s">
        <v>349</v>
      </c>
      <c r="D1027" s="14" t="str" cm="1">
        <f t="array" ref="D1027:D1031">IFERROR(INDEX(_xlfn._xlws.FILTER(AllMaterialsbak!$BA$2:$BA$30, AllMaterialsbak!$BA$2:$BA$30&lt;&gt;""), _xlfn.SEQUENCE(5)), "")</f>
        <v>Default</v>
      </c>
      <c r="E1027" s="247" t="s">
        <v>191</v>
      </c>
      <c r="F1027" s="11"/>
      <c r="G1027" s="17"/>
      <c r="H1027" s="10"/>
      <c r="I1027" s="17"/>
      <c r="J1027" s="83"/>
      <c r="K1027" s="344">
        <v>0.44051499999999999</v>
      </c>
      <c r="L1027" s="347">
        <v>600</v>
      </c>
      <c r="M1027" s="22"/>
      <c r="N1027" s="10" t="s">
        <v>103</v>
      </c>
      <c r="O1027" s="22">
        <v>2.99</v>
      </c>
      <c r="P1027" s="14" t="s">
        <v>186</v>
      </c>
      <c r="Q1027" s="83">
        <f>Enginuity!$B$6 + (Enginuity!$B$7*2)</f>
        <v>46</v>
      </c>
      <c r="U1027" s="104" t="str">
        <f>IF(
  AND(
    TRIM(A1027)=TRIM(Enginuity!$A$1),
    TRIM(B1027)=TRIM(Enginuity!$A$17),
    Q1027&lt;&gt;"",
    Q1027&lt;&gt;0,
    OR(
      TRIM(C1027)=TRIM(Enginuity!$A$18),
      AND(UPPER(TRIM(M1027))="STD", TRIM(B1027)=TRIM(Enginuity!$A$17))
    ),
    OR(
      AND(LEFT(P1027,5)="1-Way", Enginuity!$B$13=1),
      AND(LEFT(P1027,5)="2-Way", OR(Enginuity!$B$13=2, Enginuity!$B$13=4)),
      AND(LEFT(P1027,5)="3-Way", OR(Enginuity!$B$13=3, Enginuity!$B$13=6)),
      AND(P1027="Inner Centre Jamb", OR(Enginuity!$B$13=4, Enginuity!$B$13=6)),
      AND(
        LEFT(P1027,5)&lt;&gt;"1-Way",
        LEFT(P1027,5)&lt;&gt;"2-Way",
        LEFT(P1027,5)&lt;&gt;"3-Way",
        P1027&lt;&gt;"Inner Centre Jamb"
      )
    ),
    IF(OR(Enginuity!$A$1="Frameless Glass",Enginuity!$A$1="Metal Work"),
      AND(TRIM(B1027)=TRIM(Enginuity!$A$17),TRIM(C1027)=TRIM(Enginuity!$A$18)),
      TRIM(B1027)=TRIM(Enginuity!$A$17)
    )
  ),
  ROW(),
  ""
)</f>
        <v/>
      </c>
    </row>
    <row r="1028" spans="1:21" x14ac:dyDescent="0.25">
      <c r="A1028" s="10" t="s">
        <v>251</v>
      </c>
      <c r="B1028" s="229" t="s">
        <v>1</v>
      </c>
      <c r="C1028" s="10" t="s">
        <v>349</v>
      </c>
      <c r="D1028" s="14" t="str">
        <v xml:space="preserve">2" Louver Blade N/A </v>
      </c>
      <c r="E1028" s="247" t="s">
        <v>200</v>
      </c>
      <c r="F1028" s="11"/>
      <c r="G1028" s="17"/>
      <c r="H1028" s="10"/>
      <c r="I1028" s="17"/>
      <c r="J1028" s="83"/>
      <c r="K1028" s="343"/>
      <c r="L1028" s="347"/>
      <c r="M1028" s="22"/>
      <c r="N1028" s="10" t="s">
        <v>103</v>
      </c>
      <c r="O1028" s="22">
        <v>7.11</v>
      </c>
      <c r="P1028" s="14" t="s">
        <v>187</v>
      </c>
      <c r="Q1028" s="22">
        <f>Enginuity!$B$6</f>
        <v>20</v>
      </c>
      <c r="U1028" s="104" t="str">
        <f>IF(
  AND(
    TRIM(A1028)=TRIM(Enginuity!$A$1),
    TRIM(B1028)=TRIM(Enginuity!$A$17),
    Q1028&lt;&gt;"",
    Q1028&lt;&gt;0,
    OR(
      TRIM(C1028)=TRIM(Enginuity!$A$18),
      AND(UPPER(TRIM(M1028))="STD", TRIM(B1028)=TRIM(Enginuity!$A$17))
    ),
    OR(
      AND(LEFT(P1028,5)="1-Way", Enginuity!$B$13=1),
      AND(LEFT(P1028,5)="2-Way", OR(Enginuity!$B$13=2, Enginuity!$B$13=4)),
      AND(LEFT(P1028,5)="3-Way", OR(Enginuity!$B$13=3, Enginuity!$B$13=6)),
      AND(P1028="Inner Centre Jamb", OR(Enginuity!$B$13=4, Enginuity!$B$13=6)),
      AND(
        LEFT(P1028,5)&lt;&gt;"1-Way",
        LEFT(P1028,5)&lt;&gt;"2-Way",
        LEFT(P1028,5)&lt;&gt;"3-Way",
        P1028&lt;&gt;"Inner Centre Jamb"
      )
    ),
    IF(OR(Enginuity!$A$1="Frameless Glass",Enginuity!$A$1="Metal Work"),
      AND(TRIM(B1028)=TRIM(Enginuity!$A$17),TRIM(C1028)=TRIM(Enginuity!$A$18)),
      TRIM(B1028)=TRIM(Enginuity!$A$17)
    )
  ),
  ROW(),
  ""
)</f>
        <v/>
      </c>
    </row>
    <row r="1029" spans="1:21" x14ac:dyDescent="0.25">
      <c r="A1029" s="10" t="s">
        <v>251</v>
      </c>
      <c r="B1029" s="229" t="s">
        <v>1</v>
      </c>
      <c r="C1029" s="10" t="s">
        <v>349</v>
      </c>
      <c r="D1029" s="14" t="str">
        <v>2" Louver Blade P/C</v>
      </c>
      <c r="E1029" s="247" t="s">
        <v>201</v>
      </c>
      <c r="F1029" s="10"/>
      <c r="G1029" s="17"/>
      <c r="H1029" s="10"/>
      <c r="I1029" s="17"/>
      <c r="J1029" s="83"/>
      <c r="K1029" s="343"/>
      <c r="L1029" s="347"/>
      <c r="M1029" s="22"/>
      <c r="N1029" s="10" t="s">
        <v>103</v>
      </c>
      <c r="O1029" s="22">
        <v>2.99</v>
      </c>
      <c r="P1029" s="14" t="s">
        <v>188</v>
      </c>
      <c r="Q1029" s="83">
        <f>IF(AND(Enginuity!$B$7&gt;0, Enginuity!$B$13&gt;1), (Enginuity!$B$13 - 1) * Enginuity!$B$7, "")</f>
        <v>78</v>
      </c>
      <c r="U1029" s="104" t="str">
        <f>IF(
  AND(
    TRIM(A1029)=TRIM(Enginuity!$A$1),
    TRIM(B1029)=TRIM(Enginuity!$A$17),
    Q1029&lt;&gt;"",
    Q1029&lt;&gt;0,
    OR(
      TRIM(C1029)=TRIM(Enginuity!$A$18),
      AND(UPPER(TRIM(M1029))="STD", TRIM(B1029)=TRIM(Enginuity!$A$17))
    ),
    OR(
      AND(LEFT(P1029,5)="1-Way", Enginuity!$B$13=1),
      AND(LEFT(P1029,5)="2-Way", OR(Enginuity!$B$13=2, Enginuity!$B$13=4)),
      AND(LEFT(P1029,5)="3-Way", OR(Enginuity!$B$13=3, Enginuity!$B$13=6)),
      AND(P1029="Inner Centre Jamb", OR(Enginuity!$B$13=4, Enginuity!$B$13=6)),
      AND(
        LEFT(P1029,5)&lt;&gt;"1-Way",
        LEFT(P1029,5)&lt;&gt;"2-Way",
        LEFT(P1029,5)&lt;&gt;"3-Way",
        P1029&lt;&gt;"Inner Centre Jamb"
      )
    ),
    IF(OR(Enginuity!$A$1="Frameless Glass",Enginuity!$A$1="Metal Work"),
      AND(TRIM(B1029)=TRIM(Enginuity!$A$17),TRIM(C1029)=TRIM(Enginuity!$A$18)),
      TRIM(B1029)=TRIM(Enginuity!$A$17)
    )
  ),
  ROW(),
  ""
)</f>
        <v/>
      </c>
    </row>
    <row r="1030" spans="1:21" x14ac:dyDescent="0.25">
      <c r="A1030" s="10" t="s">
        <v>251</v>
      </c>
      <c r="B1030" s="229" t="s">
        <v>1</v>
      </c>
      <c r="C1030" s="10" t="s">
        <v>349</v>
      </c>
      <c r="D1030" s="14" t="str">
        <v xml:space="preserve">5" Louver Blade N/A </v>
      </c>
      <c r="E1030" s="247" t="s">
        <v>353</v>
      </c>
      <c r="F1030" s="10"/>
      <c r="G1030" s="17"/>
      <c r="H1030" s="10"/>
      <c r="I1030" s="17"/>
      <c r="J1030" s="83"/>
      <c r="K1030" s="343"/>
      <c r="L1030" s="347"/>
      <c r="M1030" s="22"/>
      <c r="N1030" s="10" t="s">
        <v>103</v>
      </c>
      <c r="O1030" s="22">
        <v>10.81</v>
      </c>
      <c r="P1030" s="14" t="s">
        <v>189</v>
      </c>
      <c r="Q1030" s="10">
        <f>(ROUNDUP(Enginuity!$B$6/20,0)+1)*10</f>
        <v>20</v>
      </c>
      <c r="U1030" s="104" t="str">
        <f>IF(
  AND(
    TRIM(A1030)=TRIM(Enginuity!$A$1),
    TRIM(B1030)=TRIM(Enginuity!$A$17),
    Q1030&lt;&gt;"",
    Q1030&lt;&gt;0,
    OR(
      TRIM(C1030)=TRIM(Enginuity!$A$18),
      AND(UPPER(TRIM(M1030))="STD", TRIM(B1030)=TRIM(Enginuity!$A$17))
    ),
    OR(
      AND(LEFT(P1030,5)="1-Way", Enginuity!$B$13=1),
      AND(LEFT(P1030,5)="2-Way", OR(Enginuity!$B$13=2, Enginuity!$B$13=4)),
      AND(LEFT(P1030,5)="3-Way", OR(Enginuity!$B$13=3, Enginuity!$B$13=6)),
      AND(P1030="Inner Centre Jamb", OR(Enginuity!$B$13=4, Enginuity!$B$13=6)),
      AND(
        LEFT(P1030,5)&lt;&gt;"1-Way",
        LEFT(P1030,5)&lt;&gt;"2-Way",
        LEFT(P1030,5)&lt;&gt;"3-Way",
        P1030&lt;&gt;"Inner Centre Jamb"
      )
    ),
    IF(OR(Enginuity!$A$1="Frameless Glass",Enginuity!$A$1="Metal Work"),
      AND(TRIM(B1030)=TRIM(Enginuity!$A$17),TRIM(C1030)=TRIM(Enginuity!$A$18)),
      TRIM(B1030)=TRIM(Enginuity!$A$17)
    )
  ),
  ROW(),
  ""
)</f>
        <v/>
      </c>
    </row>
    <row r="1031" spans="1:21" x14ac:dyDescent="0.25">
      <c r="A1031" s="10" t="s">
        <v>251</v>
      </c>
      <c r="B1031" s="229" t="s">
        <v>1</v>
      </c>
      <c r="C1031" s="10" t="s">
        <v>349</v>
      </c>
      <c r="D1031" s="14" t="str">
        <v>5" Louver Blade P/C</v>
      </c>
      <c r="E1031" s="247" t="s">
        <v>354</v>
      </c>
      <c r="F1031" s="10"/>
      <c r="G1031" s="17"/>
      <c r="H1031" s="10"/>
      <c r="I1031" s="17"/>
      <c r="J1031" s="83"/>
      <c r="K1031" s="343"/>
      <c r="L1031" s="347"/>
      <c r="M1031" s="22"/>
      <c r="N1031" s="10" t="s">
        <v>112</v>
      </c>
      <c r="O1031" s="22">
        <v>23</v>
      </c>
      <c r="P1031" s="14" t="s">
        <v>190</v>
      </c>
      <c r="Q1031" s="10">
        <f>ROUNDUP(((Enginuity!$B$6/4)-1)*Enginuity!$B$7/20,0)</f>
        <v>3</v>
      </c>
      <c r="U1031" s="104" t="str">
        <f>IF(
  AND(
    TRIM(A1031)=TRIM(Enginuity!$A$1),
    TRIM(B1031)=TRIM(Enginuity!$A$17),
    Q1031&lt;&gt;"",
    Q1031&lt;&gt;0,
    OR(
      TRIM(C1031)=TRIM(Enginuity!$A$18),
      AND(UPPER(TRIM(M1031))="STD", TRIM(B1031)=TRIM(Enginuity!$A$17))
    ),
    OR(
      AND(LEFT(P1031,5)="1-Way", Enginuity!$B$13=1),
      AND(LEFT(P1031,5)="2-Way", OR(Enginuity!$B$13=2, Enginuity!$B$13=4)),
      AND(LEFT(P1031,5)="3-Way", OR(Enginuity!$B$13=3, Enginuity!$B$13=6)),
      AND(P1031="Inner Centre Jamb", OR(Enginuity!$B$13=4, Enginuity!$B$13=6)),
      AND(
        LEFT(P1031,5)&lt;&gt;"1-Way",
        LEFT(P1031,5)&lt;&gt;"2-Way",
        LEFT(P1031,5)&lt;&gt;"3-Way",
        P1031&lt;&gt;"Inner Centre Jamb"
      )
    ),
    IF(OR(Enginuity!$A$1="Frameless Glass",Enginuity!$A$1="Metal Work"),
      AND(TRIM(B1031)=TRIM(Enginuity!$A$17),TRIM(C1031)=TRIM(Enginuity!$A$18)),
      TRIM(B1031)=TRIM(Enginuity!$A$17)
    )
  ),
  ROW(),
  ""
)</f>
        <v/>
      </c>
    </row>
    <row r="1032" spans="1:21" x14ac:dyDescent="0.25">
      <c r="A1032" s="10" t="s">
        <v>251</v>
      </c>
      <c r="B1032" s="229" t="s">
        <v>1</v>
      </c>
      <c r="C1032" s="10" t="s">
        <v>349</v>
      </c>
      <c r="D1032" s="14"/>
      <c r="E1032" s="247" t="s">
        <v>355</v>
      </c>
      <c r="F1032" s="10"/>
      <c r="G1032" s="17"/>
      <c r="H1032" s="10"/>
      <c r="I1032" s="17"/>
      <c r="J1032" s="83"/>
      <c r="K1032" s="343"/>
      <c r="L1032" s="347"/>
      <c r="M1032" s="22"/>
      <c r="N1032" s="10" t="s">
        <v>176</v>
      </c>
      <c r="O1032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32" s="5" t="str">
        <f>Enginuity!$A$20</f>
        <v>Z-Louvre Blade - 5"</v>
      </c>
      <c r="Q1032" s="22" t="str">
        <f>IF(O1032&lt;&gt;"",1,"")</f>
        <v/>
      </c>
      <c r="U1032" s="104" t="str">
        <f>IF(
  AND(
    TRIM(A1032)=TRIM(Enginuity!$A$1),
    TRIM(B1032)=TRIM(Enginuity!$A$17),
    Q1032&lt;&gt;"",
    Q1032&lt;&gt;0,
    OR(
      TRIM(C1032)=TRIM(Enginuity!$A$18),
      AND(UPPER(TRIM(M1032))="STD", TRIM(B1032)=TRIM(Enginuity!$A$17))
    ),
    OR(
      AND(LEFT(P1032,5)="1-Way", Enginuity!$B$13=1),
      AND(LEFT(P1032,5)="2-Way", OR(Enginuity!$B$13=2, Enginuity!$B$13=4)),
      AND(LEFT(P1032,5)="3-Way", OR(Enginuity!$B$13=3, Enginuity!$B$13=6)),
      AND(P1032="Inner Centre Jamb", OR(Enginuity!$B$13=4, Enginuity!$B$13=6)),
      AND(
        LEFT(P1032,5)&lt;&gt;"1-Way",
        LEFT(P1032,5)&lt;&gt;"2-Way",
        LEFT(P1032,5)&lt;&gt;"3-Way",
        P1032&lt;&gt;"Inner Centre Jamb"
      )
    ),
    IF(OR(Enginuity!$A$1="Frameless Glass",Enginuity!$A$1="Metal Work"),
      AND(TRIM(B1032)=TRIM(Enginuity!$A$17),TRIM(C1032)=TRIM(Enginuity!$A$18)),
      TRIM(B1032)=TRIM(Enginuity!$A$17)
    )
  ),
  ROW(),
  ""
)</f>
        <v/>
      </c>
    </row>
    <row r="1033" spans="1:21" x14ac:dyDescent="0.25">
      <c r="A1033" s="10" t="s">
        <v>251</v>
      </c>
      <c r="B1033" s="229" t="s">
        <v>1</v>
      </c>
      <c r="C1033" s="10" t="s">
        <v>349</v>
      </c>
      <c r="D1033" s="14"/>
      <c r="E1033" s="247"/>
      <c r="F1033" s="10"/>
      <c r="G1033" s="17"/>
      <c r="H1033" s="10"/>
      <c r="I1033" s="17"/>
      <c r="J1033" s="83"/>
      <c r="K1033" s="343"/>
      <c r="L1033" s="347"/>
      <c r="M1033" s="22"/>
      <c r="N1033" s="14"/>
      <c r="O1033" s="22"/>
      <c r="P1033" s="13"/>
      <c r="Q1033" s="10"/>
      <c r="U1033" s="104" t="str">
        <f>IF(
  AND(
    TRIM(A1033)=TRIM(Enginuity!$A$1),
    TRIM(B1033)=TRIM(Enginuity!$A$17),
    Q1033&lt;&gt;"",
    Q1033&lt;&gt;0,
    OR(
      TRIM(C1033)=TRIM(Enginuity!$A$18),
      AND(UPPER(TRIM(M1033))="STD", TRIM(B1033)=TRIM(Enginuity!$A$17))
    ),
    OR(
      AND(LEFT(P1033,5)="1-Way", Enginuity!$B$13=1),
      AND(LEFT(P1033,5)="2-Way", OR(Enginuity!$B$13=2, Enginuity!$B$13=4)),
      AND(LEFT(P1033,5)="3-Way", OR(Enginuity!$B$13=3, Enginuity!$B$13=6)),
      AND(P1033="Inner Centre Jamb", OR(Enginuity!$B$13=4, Enginuity!$B$13=6)),
      AND(
        LEFT(P1033,5)&lt;&gt;"1-Way",
        LEFT(P1033,5)&lt;&gt;"2-Way",
        LEFT(P1033,5)&lt;&gt;"3-Way",
        P1033&lt;&gt;"Inner Centre Jamb"
      )
    ),
    IF(OR(Enginuity!$A$1="Frameless Glass",Enginuity!$A$1="Metal Work"),
      AND(TRIM(B1033)=TRIM(Enginuity!$A$17),TRIM(C1033)=TRIM(Enginuity!$A$18)),
      TRIM(B1033)=TRIM(Enginuity!$A$17)
    )
  ),
  ROW(),
  ""
)</f>
        <v/>
      </c>
    </row>
    <row r="1034" spans="1:21" x14ac:dyDescent="0.25">
      <c r="A1034" s="10" t="s">
        <v>251</v>
      </c>
      <c r="B1034" s="229" t="s">
        <v>1</v>
      </c>
      <c r="C1034" s="10" t="s">
        <v>349</v>
      </c>
      <c r="D1034" s="14"/>
      <c r="E1034" s="247"/>
      <c r="F1034" s="10"/>
      <c r="G1034" s="17"/>
      <c r="H1034" s="10"/>
      <c r="I1034" s="17"/>
      <c r="J1034" s="83"/>
      <c r="K1034" s="343"/>
      <c r="L1034" s="347"/>
      <c r="M1034" s="22"/>
      <c r="N1034" s="14"/>
      <c r="O1034" s="22"/>
      <c r="P1034" s="13"/>
      <c r="Q1034" s="10"/>
      <c r="U1034" s="104" t="str">
        <f>IF(
  AND(
    TRIM(A1034)=TRIM(Enginuity!$A$1),
    TRIM(B1034)=TRIM(Enginuity!$A$17),
    Q1034&lt;&gt;"",
    Q1034&lt;&gt;0,
    OR(
      TRIM(C1034)=TRIM(Enginuity!$A$18),
      AND(UPPER(TRIM(M1034))="STD", TRIM(B1034)=TRIM(Enginuity!$A$17))
    ),
    OR(
      AND(LEFT(P1034,5)="1-Way", Enginuity!$B$13=1),
      AND(LEFT(P1034,5)="2-Way", OR(Enginuity!$B$13=2, Enginuity!$B$13=4)),
      AND(LEFT(P1034,5)="3-Way", OR(Enginuity!$B$13=3, Enginuity!$B$13=6)),
      AND(P1034="Inner Centre Jamb", OR(Enginuity!$B$13=4, Enginuity!$B$13=6)),
      AND(
        LEFT(P1034,5)&lt;&gt;"1-Way",
        LEFT(P1034,5)&lt;&gt;"2-Way",
        LEFT(P1034,5)&lt;&gt;"3-Way",
        P1034&lt;&gt;"Inner Centre Jamb"
      )
    ),
    IF(OR(Enginuity!$A$1="Frameless Glass",Enginuity!$A$1="Metal Work"),
      AND(TRIM(B1034)=TRIM(Enginuity!$A$17),TRIM(C1034)=TRIM(Enginuity!$A$18)),
      TRIM(B1034)=TRIM(Enginuity!$A$17)
    )
  ),
  ROW(),
  ""
)</f>
        <v/>
      </c>
    </row>
    <row r="1035" spans="1:21" x14ac:dyDescent="0.25">
      <c r="A1035" s="10" t="s">
        <v>251</v>
      </c>
      <c r="B1035" s="229" t="s">
        <v>1</v>
      </c>
      <c r="C1035" s="10" t="s">
        <v>349</v>
      </c>
      <c r="D1035" s="14"/>
      <c r="E1035" s="247"/>
      <c r="F1035" s="10"/>
      <c r="G1035" s="17"/>
      <c r="H1035" s="10"/>
      <c r="I1035" s="17"/>
      <c r="J1035" s="83"/>
      <c r="K1035" s="343"/>
      <c r="L1035" s="347"/>
      <c r="M1035" s="22"/>
      <c r="N1035" s="14"/>
      <c r="O1035" s="22"/>
      <c r="P1035" s="13"/>
      <c r="Q1035" s="10"/>
      <c r="U1035" s="104" t="str">
        <f>IF(
  AND(
    TRIM(A1035)=TRIM(Enginuity!$A$1),
    TRIM(B1035)=TRIM(Enginuity!$A$17),
    Q1035&lt;&gt;"",
    Q1035&lt;&gt;0,
    OR(
      TRIM(C1035)=TRIM(Enginuity!$A$18),
      AND(UPPER(TRIM(M1035))="STD", TRIM(B1035)=TRIM(Enginuity!$A$17))
    ),
    OR(
      AND(LEFT(P1035,5)="1-Way", Enginuity!$B$13=1),
      AND(LEFT(P1035,5)="2-Way", OR(Enginuity!$B$13=2, Enginuity!$B$13=4)),
      AND(LEFT(P1035,5)="3-Way", OR(Enginuity!$B$13=3, Enginuity!$B$13=6)),
      AND(P1035="Inner Centre Jamb", OR(Enginuity!$B$13=4, Enginuity!$B$13=6)),
      AND(
        LEFT(P1035,5)&lt;&gt;"1-Way",
        LEFT(P1035,5)&lt;&gt;"2-Way",
        LEFT(P1035,5)&lt;&gt;"3-Way",
        P1035&lt;&gt;"Inner Centre Jamb"
      )
    ),
    IF(OR(Enginuity!$A$1="Frameless Glass",Enginuity!$A$1="Metal Work"),
      AND(TRIM(B1035)=TRIM(Enginuity!$A$17),TRIM(C1035)=TRIM(Enginuity!$A$18)),
      TRIM(B1035)=TRIM(Enginuity!$A$17)
    )
  ),
  ROW(),
  ""
)</f>
        <v/>
      </c>
    </row>
    <row r="1036" spans="1:21" x14ac:dyDescent="0.25">
      <c r="A1036" s="10" t="s">
        <v>251</v>
      </c>
      <c r="B1036" s="229" t="s">
        <v>1</v>
      </c>
      <c r="C1036" s="10" t="s">
        <v>349</v>
      </c>
      <c r="D1036" s="14"/>
      <c r="E1036" s="247"/>
      <c r="F1036" s="10"/>
      <c r="G1036" s="17"/>
      <c r="H1036" s="10"/>
      <c r="I1036" s="17"/>
      <c r="J1036" s="83"/>
      <c r="K1036" s="343"/>
      <c r="L1036" s="347"/>
      <c r="M1036" s="22"/>
      <c r="N1036" s="14"/>
      <c r="O1036" s="22"/>
      <c r="P1036" s="13"/>
      <c r="Q1036" s="10"/>
      <c r="U1036" s="104" t="str">
        <f>IF(
  AND(
    TRIM(A1036)=TRIM(Enginuity!$A$1),
    TRIM(B1036)=TRIM(Enginuity!$A$17),
    Q1036&lt;&gt;"",
    Q1036&lt;&gt;0,
    OR(
      TRIM(C1036)=TRIM(Enginuity!$A$18),
      AND(UPPER(TRIM(M1036))="STD", TRIM(B1036)=TRIM(Enginuity!$A$17))
    ),
    OR(
      AND(LEFT(P1036,5)="1-Way", Enginuity!$B$13=1),
      AND(LEFT(P1036,5)="2-Way", OR(Enginuity!$B$13=2, Enginuity!$B$13=4)),
      AND(LEFT(P1036,5)="3-Way", OR(Enginuity!$B$13=3, Enginuity!$B$13=6)),
      AND(P1036="Inner Centre Jamb", OR(Enginuity!$B$13=4, Enginuity!$B$13=6)),
      AND(
        LEFT(P1036,5)&lt;&gt;"1-Way",
        LEFT(P1036,5)&lt;&gt;"2-Way",
        LEFT(P1036,5)&lt;&gt;"3-Way",
        P1036&lt;&gt;"Inner Centre Jamb"
      )
    ),
    IF(OR(Enginuity!$A$1="Frameless Glass",Enginuity!$A$1="Metal Work"),
      AND(TRIM(B1036)=TRIM(Enginuity!$A$17),TRIM(C1036)=TRIM(Enginuity!$A$18)),
      TRIM(B1036)=TRIM(Enginuity!$A$17)
    )
  ),
  ROW(),
  ""
)</f>
        <v/>
      </c>
    </row>
    <row r="1037" spans="1:21" x14ac:dyDescent="0.25">
      <c r="A1037" s="10" t="s">
        <v>251</v>
      </c>
      <c r="B1037" s="229" t="s">
        <v>1</v>
      </c>
      <c r="C1037" s="10" t="s">
        <v>349</v>
      </c>
      <c r="D1037" s="14"/>
      <c r="E1037" s="247"/>
      <c r="F1037" s="10"/>
      <c r="G1037" s="17"/>
      <c r="H1037" s="10"/>
      <c r="I1037" s="17"/>
      <c r="J1037" s="83"/>
      <c r="K1037" s="343"/>
      <c r="L1037" s="347"/>
      <c r="M1037" s="22"/>
      <c r="N1037" s="14"/>
      <c r="O1037" s="22"/>
      <c r="P1037" s="13"/>
      <c r="Q1037" s="10"/>
      <c r="U1037" s="104" t="str">
        <f>IF(
  AND(
    TRIM(A1037)=TRIM(Enginuity!$A$1),
    TRIM(B1037)=TRIM(Enginuity!$A$17),
    Q1037&lt;&gt;"",
    Q1037&lt;&gt;0,
    OR(
      TRIM(C1037)=TRIM(Enginuity!$A$18),
      AND(UPPER(TRIM(M1037))="STD", TRIM(B1037)=TRIM(Enginuity!$A$17))
    ),
    OR(
      AND(LEFT(P1037,5)="1-Way", Enginuity!$B$13=1),
      AND(LEFT(P1037,5)="2-Way", OR(Enginuity!$B$13=2, Enginuity!$B$13=4)),
      AND(LEFT(P1037,5)="3-Way", OR(Enginuity!$B$13=3, Enginuity!$B$13=6)),
      AND(P1037="Inner Centre Jamb", OR(Enginuity!$B$13=4, Enginuity!$B$13=6)),
      AND(
        LEFT(P1037,5)&lt;&gt;"1-Way",
        LEFT(P1037,5)&lt;&gt;"2-Way",
        LEFT(P1037,5)&lt;&gt;"3-Way",
        P1037&lt;&gt;"Inner Centre Jamb"
      )
    ),
    IF(OR(Enginuity!$A$1="Frameless Glass",Enginuity!$A$1="Metal Work"),
      AND(TRIM(B1037)=TRIM(Enginuity!$A$17),TRIM(C1037)=TRIM(Enginuity!$A$18)),
      TRIM(B1037)=TRIM(Enginuity!$A$17)
    )
  ),
  ROW(),
  ""
)</f>
        <v/>
      </c>
    </row>
    <row r="1038" spans="1:21" x14ac:dyDescent="0.25">
      <c r="A1038" s="10" t="s">
        <v>251</v>
      </c>
      <c r="B1038" s="229" t="s">
        <v>1</v>
      </c>
      <c r="C1038" s="10" t="s">
        <v>349</v>
      </c>
      <c r="D1038" s="14"/>
      <c r="E1038" s="247"/>
      <c r="F1038" s="10"/>
      <c r="G1038" s="17"/>
      <c r="H1038" s="10"/>
      <c r="I1038" s="17"/>
      <c r="J1038" s="83"/>
      <c r="K1038" s="343"/>
      <c r="L1038" s="347"/>
      <c r="M1038" s="22"/>
      <c r="N1038" s="10"/>
      <c r="O1038" s="22"/>
      <c r="P1038" s="14"/>
      <c r="Q1038" s="83"/>
      <c r="U1038" s="104" t="str">
        <f>IF(
  AND(
    TRIM(A1038)=TRIM(Enginuity!$A$1),
    TRIM(B1038)=TRIM(Enginuity!$A$17),
    Q1038&lt;&gt;"",
    Q1038&lt;&gt;0,
    OR(
      TRIM(C1038)=TRIM(Enginuity!$A$18),
      AND(UPPER(TRIM(M1038))="STD", TRIM(B1038)=TRIM(Enginuity!$A$17))
    ),
    OR(
      AND(LEFT(P1038,5)="1-Way", Enginuity!$B$13=1),
      AND(LEFT(P1038,5)="2-Way", OR(Enginuity!$B$13=2, Enginuity!$B$13=4)),
      AND(LEFT(P1038,5)="3-Way", OR(Enginuity!$B$13=3, Enginuity!$B$13=6)),
      AND(P1038="Inner Centre Jamb", OR(Enginuity!$B$13=4, Enginuity!$B$13=6)),
      AND(
        LEFT(P1038,5)&lt;&gt;"1-Way",
        LEFT(P1038,5)&lt;&gt;"2-Way",
        LEFT(P1038,5)&lt;&gt;"3-Way",
        P1038&lt;&gt;"Inner Centre Jamb"
      )
    ),
    IF(OR(Enginuity!$A$1="Frameless Glass",Enginuity!$A$1="Metal Work"),
      AND(TRIM(B1038)=TRIM(Enginuity!$A$17),TRIM(C1038)=TRIM(Enginuity!$A$18)),
      TRIM(B1038)=TRIM(Enginuity!$A$17)
    )
  ),
  ROW(),
  ""
)</f>
        <v/>
      </c>
    </row>
    <row r="1039" spans="1:21" x14ac:dyDescent="0.25">
      <c r="A1039" s="10" t="s">
        <v>251</v>
      </c>
      <c r="B1039" s="229" t="s">
        <v>1</v>
      </c>
      <c r="C1039" s="10" t="s">
        <v>349</v>
      </c>
      <c r="D1039" s="14"/>
      <c r="E1039" s="247"/>
      <c r="F1039" s="10"/>
      <c r="G1039" s="17"/>
      <c r="H1039" s="10"/>
      <c r="I1039" s="17"/>
      <c r="J1039" s="83"/>
      <c r="K1039" s="343"/>
      <c r="L1039" s="347"/>
      <c r="M1039" s="22"/>
      <c r="N1039" s="10" t="s">
        <v>121</v>
      </c>
      <c r="O1039" s="22">
        <v>7.0000000000000007E-2</v>
      </c>
      <c r="P1039" s="14" t="s">
        <v>198</v>
      </c>
      <c r="Q1039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1039" s="104" t="str">
        <f>IF(
  AND(
    TRIM(A1039)=TRIM(Enginuity!$A$1),
    TRIM(B1039)=TRIM(Enginuity!$A$17),
    Q1039&lt;&gt;"",
    Q1039&lt;&gt;0,
    OR(
      TRIM(C1039)=TRIM(Enginuity!$A$18),
      AND(UPPER(TRIM(M1039))="STD", TRIM(B1039)=TRIM(Enginuity!$A$17))
    ),
    OR(
      AND(LEFT(P1039,5)="1-Way", Enginuity!$B$13=1),
      AND(LEFT(P1039,5)="2-Way", OR(Enginuity!$B$13=2, Enginuity!$B$13=4)),
      AND(LEFT(P1039,5)="3-Way", OR(Enginuity!$B$13=3, Enginuity!$B$13=6)),
      AND(P1039="Inner Centre Jamb", OR(Enginuity!$B$13=4, Enginuity!$B$13=6)),
      AND(
        LEFT(P1039,5)&lt;&gt;"1-Way",
        LEFT(P1039,5)&lt;&gt;"2-Way",
        LEFT(P1039,5)&lt;&gt;"3-Way",
        P1039&lt;&gt;"Inner Centre Jamb"
      )
    ),
    IF(OR(Enginuity!$A$1="Frameless Glass",Enginuity!$A$1="Metal Work"),
      AND(TRIM(B1039)=TRIM(Enginuity!$A$17),TRIM(C1039)=TRIM(Enginuity!$A$18)),
      TRIM(B1039)=TRIM(Enginuity!$A$17)
    )
  ),
  ROW(),
  ""
)</f>
        <v/>
      </c>
    </row>
    <row r="1040" spans="1:21" x14ac:dyDescent="0.25">
      <c r="A1040" s="10" t="s">
        <v>251</v>
      </c>
      <c r="B1040" s="229" t="s">
        <v>1</v>
      </c>
      <c r="C1040" s="10" t="s">
        <v>349</v>
      </c>
      <c r="D1040" s="14"/>
      <c r="E1040" s="247"/>
      <c r="F1040" s="10"/>
      <c r="G1040" s="17"/>
      <c r="H1040" s="10"/>
      <c r="I1040" s="17"/>
      <c r="J1040" s="83"/>
      <c r="K1040" s="343"/>
      <c r="L1040" s="347"/>
      <c r="M1040" s="22"/>
      <c r="N1040" s="10" t="s">
        <v>112</v>
      </c>
      <c r="O1040" s="22">
        <v>2.5</v>
      </c>
      <c r="P1040" s="14" t="s">
        <v>197</v>
      </c>
      <c r="Q1040" s="10">
        <f>ROUNDUP(Enginuity!$B$6/2,0)</f>
        <v>10</v>
      </c>
      <c r="U1040" s="104" t="str">
        <f>IF(
  AND(
    TRIM(A1040)=TRIM(Enginuity!$A$1),
    TRIM(B1040)=TRIM(Enginuity!$A$17),
    Q1040&lt;&gt;"",
    Q1040&lt;&gt;0,
    OR(
      TRIM(C1040)=TRIM(Enginuity!$A$18),
      AND(UPPER(TRIM(M1040))="STD", TRIM(B1040)=TRIM(Enginuity!$A$17))
    ),
    OR(
      AND(LEFT(P1040,5)="1-Way", Enginuity!$B$13=1),
      AND(LEFT(P1040,5)="2-Way", OR(Enginuity!$B$13=2, Enginuity!$B$13=4)),
      AND(LEFT(P1040,5)="3-Way", OR(Enginuity!$B$13=3, Enginuity!$B$13=6)),
      AND(P1040="Inner Centre Jamb", OR(Enginuity!$B$13=4, Enginuity!$B$13=6)),
      AND(
        LEFT(P1040,5)&lt;&gt;"1-Way",
        LEFT(P1040,5)&lt;&gt;"2-Way",
        LEFT(P1040,5)&lt;&gt;"3-Way",
        P1040&lt;&gt;"Inner Centre Jamb"
      )
    ),
    IF(OR(Enginuity!$A$1="Frameless Glass",Enginuity!$A$1="Metal Work"),
      AND(TRIM(B1040)=TRIM(Enginuity!$A$17),TRIM(C1040)=TRIM(Enginuity!$A$18)),
      TRIM(B1040)=TRIM(Enginuity!$A$17)
    )
  ),
  ROW(),
  ""
)</f>
        <v/>
      </c>
    </row>
    <row r="1041" spans="1:21" x14ac:dyDescent="0.25">
      <c r="A1041" s="10" t="s">
        <v>251</v>
      </c>
      <c r="B1041" s="229" t="s">
        <v>1</v>
      </c>
      <c r="C1041" s="10" t="s">
        <v>349</v>
      </c>
      <c r="D1041" s="14"/>
      <c r="E1041" s="247"/>
      <c r="F1041" s="10"/>
      <c r="G1041" s="17"/>
      <c r="H1041" s="10"/>
      <c r="I1041" s="17"/>
      <c r="J1041" s="83"/>
      <c r="K1041" s="343"/>
      <c r="L1041" s="347"/>
      <c r="M1041" s="22"/>
      <c r="N1041" s="10" t="s">
        <v>112</v>
      </c>
      <c r="O1041" s="22">
        <v>7.5</v>
      </c>
      <c r="P1041" s="14" t="s">
        <v>196</v>
      </c>
      <c r="Q1041" s="10">
        <f>ROUNDUP(Enginuity!$B$6/20,0)+1</f>
        <v>2</v>
      </c>
      <c r="U1041" s="104" t="str">
        <f>IF(
  AND(
    TRIM(A1041)=TRIM(Enginuity!$A$1),
    TRIM(B1041)=TRIM(Enginuity!$A$17),
    Q1041&lt;&gt;"",
    Q1041&lt;&gt;0,
    OR(
      TRIM(C1041)=TRIM(Enginuity!$A$18),
      AND(UPPER(TRIM(M1041))="STD", TRIM(B1041)=TRIM(Enginuity!$A$17))
    ),
    OR(
      AND(LEFT(P1041,5)="1-Way", Enginuity!$B$13=1),
      AND(LEFT(P1041,5)="2-Way", OR(Enginuity!$B$13=2, Enginuity!$B$13=4)),
      AND(LEFT(P1041,5)="3-Way", OR(Enginuity!$B$13=3, Enginuity!$B$13=6)),
      AND(P1041="Inner Centre Jamb", OR(Enginuity!$B$13=4, Enginuity!$B$13=6)),
      AND(
        LEFT(P1041,5)&lt;&gt;"1-Way",
        LEFT(P1041,5)&lt;&gt;"2-Way",
        LEFT(P1041,5)&lt;&gt;"3-Way",
        P1041&lt;&gt;"Inner Centre Jamb"
      )
    ),
    IF(OR(Enginuity!$A$1="Frameless Glass",Enginuity!$A$1="Metal Work"),
      AND(TRIM(B1041)=TRIM(Enginuity!$A$17),TRIM(C1041)=TRIM(Enginuity!$A$18)),
      TRIM(B1041)=TRIM(Enginuity!$A$17)
    )
  ),
  ROW(),
  ""
)</f>
        <v/>
      </c>
    </row>
    <row r="1042" spans="1:21" x14ac:dyDescent="0.25">
      <c r="A1042" s="10" t="s">
        <v>251</v>
      </c>
      <c r="B1042" s="229" t="s">
        <v>1</v>
      </c>
      <c r="C1042" s="10" t="s">
        <v>349</v>
      </c>
      <c r="D1042" s="14"/>
      <c r="E1042" s="247"/>
      <c r="F1042" s="10"/>
      <c r="G1042" s="17"/>
      <c r="H1042" s="10"/>
      <c r="I1042" s="17"/>
      <c r="J1042" s="83"/>
      <c r="K1042" s="343"/>
      <c r="L1042" s="347"/>
      <c r="M1042" s="22"/>
      <c r="N1042" s="10" t="s">
        <v>315</v>
      </c>
      <c r="O1042" s="22">
        <v>8.5</v>
      </c>
      <c r="P1042" s="14" t="s">
        <v>318</v>
      </c>
      <c r="Q1042" s="10">
        <f>ROUNDUP((Enginuity!$B$6*2)/24,0)</f>
        <v>2</v>
      </c>
      <c r="U1042" s="104" t="str">
        <f>IF(
  AND(
    TRIM(A1042)=TRIM(Enginuity!$A$1),
    TRIM(B1042)=TRIM(Enginuity!$A$17),
    Q1042&lt;&gt;"",
    Q1042&lt;&gt;0,
    OR(
      TRIM(C1042)=TRIM(Enginuity!$A$18),
      AND(UPPER(TRIM(M1042))="STD", TRIM(B1042)=TRIM(Enginuity!$A$17))
    ),
    OR(
      AND(LEFT(P1042,5)="1-Way", Enginuity!$B$13=1),
      AND(LEFT(P1042,5)="2-Way", OR(Enginuity!$B$13=2, Enginuity!$B$13=4)),
      AND(LEFT(P1042,5)="3-Way", OR(Enginuity!$B$13=3, Enginuity!$B$13=6)),
      AND(P1042="Inner Centre Jamb", OR(Enginuity!$B$13=4, Enginuity!$B$13=6)),
      AND(
        LEFT(P1042,5)&lt;&gt;"1-Way",
        LEFT(P1042,5)&lt;&gt;"2-Way",
        LEFT(P1042,5)&lt;&gt;"3-Way",
        P1042&lt;&gt;"Inner Centre Jamb"
      )
    ),
    IF(OR(Enginuity!$A$1="Frameless Glass",Enginuity!$A$1="Metal Work"),
      AND(TRIM(B1042)=TRIM(Enginuity!$A$17),TRIM(C1042)=TRIM(Enginuity!$A$18)),
      TRIM(B1042)=TRIM(Enginuity!$A$17)
    )
  ),
  ROW(),
  ""
)</f>
        <v/>
      </c>
    </row>
    <row r="1043" spans="1:21" x14ac:dyDescent="0.25">
      <c r="A1043" s="10" t="s">
        <v>251</v>
      </c>
      <c r="B1043" s="229" t="s">
        <v>1</v>
      </c>
      <c r="C1043" s="10" t="s">
        <v>349</v>
      </c>
      <c r="D1043" s="14"/>
      <c r="E1043" s="247"/>
      <c r="F1043" s="10"/>
      <c r="G1043" s="17"/>
      <c r="H1043" s="10"/>
      <c r="I1043" s="17"/>
      <c r="J1043" s="83"/>
      <c r="K1043" s="343"/>
      <c r="L1043" s="347"/>
      <c r="M1043" s="22"/>
      <c r="N1043" s="10" t="s">
        <v>112</v>
      </c>
      <c r="O1043" s="22">
        <v>0.154</v>
      </c>
      <c r="P1043" s="14" t="s">
        <v>195</v>
      </c>
      <c r="Q1043" s="22">
        <f>ROUNDUP(Enginuity!$B$6,0)</f>
        <v>20</v>
      </c>
      <c r="U1043" s="104" t="str">
        <f>IF(
  AND(
    TRIM(A1043)=TRIM(Enginuity!$A$1),
    TRIM(B1043)=TRIM(Enginuity!$A$17),
    Q1043&lt;&gt;"",
    Q1043&lt;&gt;0,
    OR(
      TRIM(C1043)=TRIM(Enginuity!$A$18),
      AND(UPPER(TRIM(M1043))="STD", TRIM(B1043)=TRIM(Enginuity!$A$17))
    ),
    OR(
      AND(LEFT(P1043,5)="1-Way", Enginuity!$B$13=1),
      AND(LEFT(P1043,5)="2-Way", OR(Enginuity!$B$13=2, Enginuity!$B$13=4)),
      AND(LEFT(P1043,5)="3-Way", OR(Enginuity!$B$13=3, Enginuity!$B$13=6)),
      AND(P1043="Inner Centre Jamb", OR(Enginuity!$B$13=4, Enginuity!$B$13=6)),
      AND(
        LEFT(P1043,5)&lt;&gt;"1-Way",
        LEFT(P1043,5)&lt;&gt;"2-Way",
        LEFT(P1043,5)&lt;&gt;"3-Way",
        P1043&lt;&gt;"Inner Centre Jamb"
      )
    ),
    IF(OR(Enginuity!$A$1="Frameless Glass",Enginuity!$A$1="Metal Work"),
      AND(TRIM(B1043)=TRIM(Enginuity!$A$17),TRIM(C1043)=TRIM(Enginuity!$A$18)),
      TRIM(B1043)=TRIM(Enginuity!$A$17)
    )
  ),
  ROW(),
  ""
)</f>
        <v/>
      </c>
    </row>
    <row r="1044" spans="1:21" x14ac:dyDescent="0.25">
      <c r="A1044" s="10" t="s">
        <v>251</v>
      </c>
      <c r="B1044" s="229" t="s">
        <v>1</v>
      </c>
      <c r="C1044" s="10" t="s">
        <v>349</v>
      </c>
      <c r="D1044" s="14"/>
      <c r="E1044" s="247"/>
      <c r="F1044" s="11"/>
      <c r="G1044" s="17"/>
      <c r="H1044" s="10"/>
      <c r="I1044" s="17"/>
      <c r="J1044" s="83"/>
      <c r="K1044" s="343"/>
      <c r="L1044" s="347"/>
      <c r="M1044" s="22"/>
      <c r="N1044" s="10" t="s">
        <v>121</v>
      </c>
      <c r="O1044" s="22">
        <v>4</v>
      </c>
      <c r="P1044" s="14" t="s">
        <v>166</v>
      </c>
      <c r="Q1044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1044" s="104" t="str">
        <f>IF(
  AND(
    TRIM(A1044)=TRIM(Enginuity!$A$1),
    TRIM(B1044)=TRIM(Enginuity!$A$17),
    Q1044&lt;&gt;"",
    Q1044&lt;&gt;0,
    OR(
      TRIM(C1044)=TRIM(Enginuity!$A$18),
      AND(UPPER(TRIM(M1044))="STD", TRIM(B1044)=TRIM(Enginuity!$A$17))
    ),
    OR(
      AND(LEFT(P1044,5)="1-Way", Enginuity!$B$13=1),
      AND(LEFT(P1044,5)="2-Way", OR(Enginuity!$B$13=2, Enginuity!$B$13=4)),
      AND(LEFT(P1044,5)="3-Way", OR(Enginuity!$B$13=3, Enginuity!$B$13=6)),
      AND(P1044="Inner Centre Jamb", OR(Enginuity!$B$13=4, Enginuity!$B$13=6)),
      AND(
        LEFT(P1044,5)&lt;&gt;"1-Way",
        LEFT(P1044,5)&lt;&gt;"2-Way",
        LEFT(P1044,5)&lt;&gt;"3-Way",
        P1044&lt;&gt;"Inner Centre Jamb"
      )
    ),
    IF(OR(Enginuity!$A$1="Frameless Glass",Enginuity!$A$1="Metal Work"),
      AND(TRIM(B1044)=TRIM(Enginuity!$A$17),TRIM(C1044)=TRIM(Enginuity!$A$18)),
      TRIM(B1044)=TRIM(Enginuity!$A$17)
    )
  ),
  ROW(),
  ""
)</f>
        <v/>
      </c>
    </row>
    <row r="1045" spans="1:21" x14ac:dyDescent="0.25">
      <c r="A1045" s="10" t="s">
        <v>251</v>
      </c>
      <c r="B1045" s="229" t="s">
        <v>1</v>
      </c>
      <c r="C1045" s="10" t="s">
        <v>349</v>
      </c>
      <c r="D1045" s="14"/>
      <c r="E1045" s="247"/>
      <c r="F1045" s="10"/>
      <c r="G1045" s="17"/>
      <c r="H1045" s="10"/>
      <c r="I1045" s="17"/>
      <c r="J1045" s="83"/>
      <c r="K1045" s="343"/>
      <c r="L1045" s="347"/>
      <c r="M1045" s="22"/>
      <c r="N1045" s="10" t="s">
        <v>121</v>
      </c>
      <c r="O1045" s="22" t="str">
        <f>$O$2</f>
        <v/>
      </c>
      <c r="P1045" s="21" t="str">
        <f>Enginuity!$A$19</f>
        <v>W/G</v>
      </c>
      <c r="Q1045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1045" s="104" t="str">
        <f>IF(
  AND(
    TRIM(A1045)=TRIM(Enginuity!$A$1),
    TRIM(B1045)=TRIM(Enginuity!$A$17),
    Q1045&lt;&gt;"",
    Q1045&lt;&gt;0,
    OR(
      TRIM(C1045)=TRIM(Enginuity!$A$18),
      AND(UPPER(TRIM(M1045))="STD", TRIM(B1045)=TRIM(Enginuity!$A$17))
    ),
    OR(
      AND(LEFT(P1045,5)="1-Way", Enginuity!$B$13=1),
      AND(LEFT(P1045,5)="2-Way", OR(Enginuity!$B$13=2, Enginuity!$B$13=4)),
      AND(LEFT(P1045,5)="3-Way", OR(Enginuity!$B$13=3, Enginuity!$B$13=6)),
      AND(P1045="Inner Centre Jamb", OR(Enginuity!$B$13=4, Enginuity!$B$13=6)),
      AND(
        LEFT(P1045,5)&lt;&gt;"1-Way",
        LEFT(P1045,5)&lt;&gt;"2-Way",
        LEFT(P1045,5)&lt;&gt;"3-Way",
        P1045&lt;&gt;"Inner Centre Jamb"
      )
    ),
    IF(OR(Enginuity!$A$1="Frameless Glass",Enginuity!$A$1="Metal Work"),
      AND(TRIM(B1045)=TRIM(Enginuity!$A$17),TRIM(C1045)=TRIM(Enginuity!$A$18)),
      TRIM(B1045)=TRIM(Enginuity!$A$17)
    )
  ),
  ROW(),
  ""
)</f>
        <v/>
      </c>
    </row>
    <row r="1046" spans="1:21" x14ac:dyDescent="0.25">
      <c r="A1046" s="17" t="s">
        <v>251</v>
      </c>
      <c r="B1046" s="230" t="s">
        <v>1</v>
      </c>
      <c r="C1046" s="17"/>
      <c r="D1046" s="18"/>
      <c r="E1046" s="158"/>
      <c r="F1046" s="17"/>
      <c r="G1046" s="17"/>
      <c r="H1046" s="10"/>
      <c r="I1046" s="17"/>
      <c r="J1046" s="83"/>
      <c r="K1046" s="343"/>
      <c r="L1046" s="347"/>
      <c r="M1046" s="25"/>
      <c r="N1046" s="17"/>
      <c r="O1046" s="25"/>
      <c r="P1046" s="38"/>
      <c r="Q1046" s="17"/>
      <c r="U1046" s="104" t="str">
        <f>IF(
  AND(
    TRIM(A1046)=TRIM(Enginuity!$A$1),
    TRIM(B1046)=TRIM(Enginuity!$A$17),
    Q1046&lt;&gt;"",
    Q1046&lt;&gt;0,
    OR(
      TRIM(C1046)=TRIM(Enginuity!$A$18),
      AND(UPPER(TRIM(M1046))="STD", TRIM(B1046)=TRIM(Enginuity!$A$17))
    ),
    OR(
      AND(LEFT(P1046,5)="1-Way", Enginuity!$B$13=1),
      AND(LEFT(P1046,5)="2-Way", OR(Enginuity!$B$13=2, Enginuity!$B$13=4)),
      AND(LEFT(P1046,5)="3-Way", OR(Enginuity!$B$13=3, Enginuity!$B$13=6)),
      AND(P1046="Inner Centre Jamb", OR(Enginuity!$B$13=4, Enginuity!$B$13=6)),
      AND(
        LEFT(P1046,5)&lt;&gt;"1-Way",
        LEFT(P1046,5)&lt;&gt;"2-Way",
        LEFT(P1046,5)&lt;&gt;"3-Way",
        P1046&lt;&gt;"Inner Centre Jamb"
      )
    ),
    IF(OR(Enginuity!$A$1="Frameless Glass",Enginuity!$A$1="Metal Work"),
      AND(TRIM(B1046)=TRIM(Enginuity!$A$17),TRIM(C1046)=TRIM(Enginuity!$A$18)),
      TRIM(B1046)=TRIM(Enginuity!$A$17)
    )
  ),
  ROW(),
  ""
)</f>
        <v/>
      </c>
    </row>
    <row r="1047" spans="1:21" x14ac:dyDescent="0.25">
      <c r="A1047" s="10" t="s">
        <v>251</v>
      </c>
      <c r="B1047" s="229" t="s">
        <v>1</v>
      </c>
      <c r="C1047" s="10" t="s">
        <v>350</v>
      </c>
      <c r="D1047" s="14" t="str" cm="1">
        <f t="array" ref="D1047:D1051">IFERROR(INDEX(_xlfn._xlws.FILTER(AllMaterialsbak!$BA$2:$BA$30, AllMaterialsbak!$BA$2:$BA$30&lt;&gt;""), _xlfn.SEQUENCE(5)), "")</f>
        <v>Default</v>
      </c>
      <c r="E1047" s="247" t="s">
        <v>191</v>
      </c>
      <c r="F1047" s="10"/>
      <c r="G1047" s="17"/>
      <c r="H1047" s="10"/>
      <c r="I1047" s="17"/>
      <c r="J1047" s="83"/>
      <c r="K1047" s="344">
        <v>0.51890599999999998</v>
      </c>
      <c r="L1047" s="347">
        <v>600</v>
      </c>
      <c r="M1047" s="22"/>
      <c r="N1047" s="10" t="s">
        <v>103</v>
      </c>
      <c r="O1047" s="22">
        <v>2.99</v>
      </c>
      <c r="P1047" s="14" t="s">
        <v>186</v>
      </c>
      <c r="Q1047" s="83">
        <f>Enginuity!$B$6 + (Enginuity!$B$7*2)</f>
        <v>46</v>
      </c>
      <c r="U1047" s="104" t="str">
        <f>IF(
  AND(
    TRIM(A1047)=TRIM(Enginuity!$A$1),
    TRIM(B1047)=TRIM(Enginuity!$A$17),
    Q1047&lt;&gt;"",
    Q1047&lt;&gt;0,
    OR(
      TRIM(C1047)=TRIM(Enginuity!$A$18),
      AND(UPPER(TRIM(M1047))="STD", TRIM(B1047)=TRIM(Enginuity!$A$17))
    ),
    OR(
      AND(LEFT(P1047,5)="1-Way", Enginuity!$B$13=1),
      AND(LEFT(P1047,5)="2-Way", OR(Enginuity!$B$13=2, Enginuity!$B$13=4)),
      AND(LEFT(P1047,5)="3-Way", OR(Enginuity!$B$13=3, Enginuity!$B$13=6)),
      AND(P1047="Inner Centre Jamb", OR(Enginuity!$B$13=4, Enginuity!$B$13=6)),
      AND(
        LEFT(P1047,5)&lt;&gt;"1-Way",
        LEFT(P1047,5)&lt;&gt;"2-Way",
        LEFT(P1047,5)&lt;&gt;"3-Way",
        P1047&lt;&gt;"Inner Centre Jamb"
      )
    ),
    IF(OR(Enginuity!$A$1="Frameless Glass",Enginuity!$A$1="Metal Work"),
      AND(TRIM(B1047)=TRIM(Enginuity!$A$17),TRIM(C1047)=TRIM(Enginuity!$A$18)),
      TRIM(B1047)=TRIM(Enginuity!$A$17)
    )
  ),
  ROW(),
  ""
)</f>
        <v/>
      </c>
    </row>
    <row r="1048" spans="1:21" x14ac:dyDescent="0.25">
      <c r="A1048" s="10" t="s">
        <v>251</v>
      </c>
      <c r="B1048" s="229" t="s">
        <v>1</v>
      </c>
      <c r="C1048" s="10" t="s">
        <v>350</v>
      </c>
      <c r="D1048" s="14" t="str">
        <v xml:space="preserve">2" Louver Blade N/A </v>
      </c>
      <c r="E1048" s="247" t="s">
        <v>200</v>
      </c>
      <c r="F1048" s="11"/>
      <c r="G1048" s="17"/>
      <c r="H1048" s="10"/>
      <c r="I1048" s="17"/>
      <c r="J1048" s="83"/>
      <c r="K1048" s="343"/>
      <c r="L1048" s="347"/>
      <c r="M1048" s="22"/>
      <c r="N1048" s="10" t="s">
        <v>103</v>
      </c>
      <c r="O1048" s="22">
        <v>7.11</v>
      </c>
      <c r="P1048" s="14" t="s">
        <v>187</v>
      </c>
      <c r="Q1048" s="22">
        <f>Enginuity!$B$6</f>
        <v>20</v>
      </c>
      <c r="U1048" s="104" t="str">
        <f>IF(
  AND(
    TRIM(A1048)=TRIM(Enginuity!$A$1),
    TRIM(B1048)=TRIM(Enginuity!$A$17),
    Q1048&lt;&gt;"",
    Q1048&lt;&gt;0,
    OR(
      TRIM(C1048)=TRIM(Enginuity!$A$18),
      AND(UPPER(TRIM(M1048))="STD", TRIM(B1048)=TRIM(Enginuity!$A$17))
    ),
    OR(
      AND(LEFT(P1048,5)="1-Way", Enginuity!$B$13=1),
      AND(LEFT(P1048,5)="2-Way", OR(Enginuity!$B$13=2, Enginuity!$B$13=4)),
      AND(LEFT(P1048,5)="3-Way", OR(Enginuity!$B$13=3, Enginuity!$B$13=6)),
      AND(P1048="Inner Centre Jamb", OR(Enginuity!$B$13=4, Enginuity!$B$13=6)),
      AND(
        LEFT(P1048,5)&lt;&gt;"1-Way",
        LEFT(P1048,5)&lt;&gt;"2-Way",
        LEFT(P1048,5)&lt;&gt;"3-Way",
        P1048&lt;&gt;"Inner Centre Jamb"
      )
    ),
    IF(OR(Enginuity!$A$1="Frameless Glass",Enginuity!$A$1="Metal Work"),
      AND(TRIM(B1048)=TRIM(Enginuity!$A$17),TRIM(C1048)=TRIM(Enginuity!$A$18)),
      TRIM(B1048)=TRIM(Enginuity!$A$17)
    )
  ),
  ROW(),
  ""
)</f>
        <v/>
      </c>
    </row>
    <row r="1049" spans="1:21" x14ac:dyDescent="0.25">
      <c r="A1049" s="10" t="s">
        <v>251</v>
      </c>
      <c r="B1049" s="229" t="s">
        <v>1</v>
      </c>
      <c r="C1049" s="10" t="s">
        <v>350</v>
      </c>
      <c r="D1049" s="14" t="str">
        <v>2" Louver Blade P/C</v>
      </c>
      <c r="E1049" s="247" t="s">
        <v>201</v>
      </c>
      <c r="F1049" s="11"/>
      <c r="G1049" s="17"/>
      <c r="H1049" s="10"/>
      <c r="I1049" s="17"/>
      <c r="J1049" s="83"/>
      <c r="K1049" s="343"/>
      <c r="L1049" s="347"/>
      <c r="M1049" s="22"/>
      <c r="N1049" s="10" t="s">
        <v>103</v>
      </c>
      <c r="O1049" s="22">
        <v>2.99</v>
      </c>
      <c r="P1049" s="14" t="s">
        <v>188</v>
      </c>
      <c r="Q1049" s="83">
        <f>IF(AND(Enginuity!$B$7&gt;0, Enginuity!$B$13&gt;1), (Enginuity!$B$13 - 1) * Enginuity!$B$7, "")</f>
        <v>78</v>
      </c>
      <c r="U1049" s="104" t="str">
        <f>IF(
  AND(
    TRIM(A1049)=TRIM(Enginuity!$A$1),
    TRIM(B1049)=TRIM(Enginuity!$A$17),
    Q1049&lt;&gt;"",
    Q1049&lt;&gt;0,
    OR(
      TRIM(C1049)=TRIM(Enginuity!$A$18),
      AND(UPPER(TRIM(M1049))="STD", TRIM(B1049)=TRIM(Enginuity!$A$17))
    ),
    OR(
      AND(LEFT(P1049,5)="1-Way", Enginuity!$B$13=1),
      AND(LEFT(P1049,5)="2-Way", OR(Enginuity!$B$13=2, Enginuity!$B$13=4)),
      AND(LEFT(P1049,5)="3-Way", OR(Enginuity!$B$13=3, Enginuity!$B$13=6)),
      AND(P1049="Inner Centre Jamb", OR(Enginuity!$B$13=4, Enginuity!$B$13=6)),
      AND(
        LEFT(P1049,5)&lt;&gt;"1-Way",
        LEFT(P1049,5)&lt;&gt;"2-Way",
        LEFT(P1049,5)&lt;&gt;"3-Way",
        P1049&lt;&gt;"Inner Centre Jamb"
      )
    ),
    IF(OR(Enginuity!$A$1="Frameless Glass",Enginuity!$A$1="Metal Work"),
      AND(TRIM(B1049)=TRIM(Enginuity!$A$17),TRIM(C1049)=TRIM(Enginuity!$A$18)),
      TRIM(B1049)=TRIM(Enginuity!$A$17)
    )
  ),
  ROW(),
  ""
)</f>
        <v/>
      </c>
    </row>
    <row r="1050" spans="1:21" x14ac:dyDescent="0.25">
      <c r="A1050" s="10" t="s">
        <v>251</v>
      </c>
      <c r="B1050" s="229" t="s">
        <v>1</v>
      </c>
      <c r="C1050" s="10" t="s">
        <v>350</v>
      </c>
      <c r="D1050" s="14" t="str">
        <v xml:space="preserve">5" Louver Blade N/A </v>
      </c>
      <c r="E1050" s="247" t="s">
        <v>353</v>
      </c>
      <c r="F1050" s="10"/>
      <c r="G1050" s="17"/>
      <c r="H1050" s="10"/>
      <c r="I1050" s="17"/>
      <c r="J1050" s="83"/>
      <c r="K1050" s="343"/>
      <c r="L1050" s="347"/>
      <c r="M1050" s="22"/>
      <c r="N1050" s="10" t="s">
        <v>103</v>
      </c>
      <c r="O1050" s="22">
        <v>10.81</v>
      </c>
      <c r="P1050" s="14" t="s">
        <v>189</v>
      </c>
      <c r="Q1050" s="10">
        <f>(ROUNDUP(Enginuity!$B$6/20,0)+1)*10</f>
        <v>20</v>
      </c>
      <c r="U1050" s="104" t="str">
        <f>IF(
  AND(
    TRIM(A1050)=TRIM(Enginuity!$A$1),
    TRIM(B1050)=TRIM(Enginuity!$A$17),
    Q1050&lt;&gt;"",
    Q1050&lt;&gt;0,
    OR(
      TRIM(C1050)=TRIM(Enginuity!$A$18),
      AND(UPPER(TRIM(M1050))="STD", TRIM(B1050)=TRIM(Enginuity!$A$17))
    ),
    OR(
      AND(LEFT(P1050,5)="1-Way", Enginuity!$B$13=1),
      AND(LEFT(P1050,5)="2-Way", OR(Enginuity!$B$13=2, Enginuity!$B$13=4)),
      AND(LEFT(P1050,5)="3-Way", OR(Enginuity!$B$13=3, Enginuity!$B$13=6)),
      AND(P1050="Inner Centre Jamb", OR(Enginuity!$B$13=4, Enginuity!$B$13=6)),
      AND(
        LEFT(P1050,5)&lt;&gt;"1-Way",
        LEFT(P1050,5)&lt;&gt;"2-Way",
        LEFT(P1050,5)&lt;&gt;"3-Way",
        P1050&lt;&gt;"Inner Centre Jamb"
      )
    ),
    IF(OR(Enginuity!$A$1="Frameless Glass",Enginuity!$A$1="Metal Work"),
      AND(TRIM(B1050)=TRIM(Enginuity!$A$17),TRIM(C1050)=TRIM(Enginuity!$A$18)),
      TRIM(B1050)=TRIM(Enginuity!$A$17)
    )
  ),
  ROW(),
  ""
)</f>
        <v/>
      </c>
    </row>
    <row r="1051" spans="1:21" x14ac:dyDescent="0.25">
      <c r="A1051" s="10" t="s">
        <v>251</v>
      </c>
      <c r="B1051" s="229" t="s">
        <v>1</v>
      </c>
      <c r="C1051" s="10" t="s">
        <v>350</v>
      </c>
      <c r="D1051" s="14" t="str">
        <v>5" Louver Blade P/C</v>
      </c>
      <c r="E1051" s="247" t="s">
        <v>354</v>
      </c>
      <c r="F1051" s="10"/>
      <c r="G1051" s="17"/>
      <c r="H1051" s="10"/>
      <c r="I1051" s="17"/>
      <c r="J1051" s="83"/>
      <c r="K1051" s="343"/>
      <c r="L1051" s="347"/>
      <c r="M1051" s="22"/>
      <c r="N1051" s="10" t="s">
        <v>176</v>
      </c>
      <c r="O1051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51" s="5" t="str">
        <f>Enginuity!$A$20</f>
        <v>Z-Louvre Blade - 5"</v>
      </c>
      <c r="Q1051" s="22" t="str">
        <f>IF(O1051&lt;&gt;"",1,"")</f>
        <v/>
      </c>
      <c r="U1051" s="104" t="str">
        <f>IF(
  AND(
    TRIM(A1051)=TRIM(Enginuity!$A$1),
    TRIM(B1051)=TRIM(Enginuity!$A$17),
    Q1051&lt;&gt;"",
    Q1051&lt;&gt;0,
    OR(
      TRIM(C1051)=TRIM(Enginuity!$A$18),
      AND(UPPER(TRIM(M1051))="STD", TRIM(B1051)=TRIM(Enginuity!$A$17))
    ),
    OR(
      AND(LEFT(P1051,5)="1-Way", Enginuity!$B$13=1),
      AND(LEFT(P1051,5)="2-Way", OR(Enginuity!$B$13=2, Enginuity!$B$13=4)),
      AND(LEFT(P1051,5)="3-Way", OR(Enginuity!$B$13=3, Enginuity!$B$13=6)),
      AND(P1051="Inner Centre Jamb", OR(Enginuity!$B$13=4, Enginuity!$B$13=6)),
      AND(
        LEFT(P1051,5)&lt;&gt;"1-Way",
        LEFT(P1051,5)&lt;&gt;"2-Way",
        LEFT(P1051,5)&lt;&gt;"3-Way",
        P1051&lt;&gt;"Inner Centre Jamb"
      )
    ),
    IF(OR(Enginuity!$A$1="Frameless Glass",Enginuity!$A$1="Metal Work"),
      AND(TRIM(B1051)=TRIM(Enginuity!$A$17),TRIM(C1051)=TRIM(Enginuity!$A$18)),
      TRIM(B1051)=TRIM(Enginuity!$A$17)
    )
  ),
  ROW(),
  ""
)</f>
        <v/>
      </c>
    </row>
    <row r="1052" spans="1:21" x14ac:dyDescent="0.25">
      <c r="A1052" s="10" t="s">
        <v>251</v>
      </c>
      <c r="B1052" s="229" t="s">
        <v>1</v>
      </c>
      <c r="C1052" s="10" t="s">
        <v>350</v>
      </c>
      <c r="D1052" s="14"/>
      <c r="E1052" s="247" t="s">
        <v>355</v>
      </c>
      <c r="F1052" s="10"/>
      <c r="G1052" s="17"/>
      <c r="H1052" s="10"/>
      <c r="I1052" s="17"/>
      <c r="J1052" s="83"/>
      <c r="K1052" s="343"/>
      <c r="L1052" s="347"/>
      <c r="M1052" s="22"/>
      <c r="N1052" s="10"/>
      <c r="O1052" s="22"/>
      <c r="P1052" s="14"/>
      <c r="Q1052" s="22"/>
      <c r="U1052" s="104" t="str">
        <f>IF(
  AND(
    TRIM(A1052)=TRIM(Enginuity!$A$1),
    TRIM(B1052)=TRIM(Enginuity!$A$17),
    Q1052&lt;&gt;"",
    Q1052&lt;&gt;0,
    OR(
      TRIM(C1052)=TRIM(Enginuity!$A$18),
      AND(UPPER(TRIM(M1052))="STD", TRIM(B1052)=TRIM(Enginuity!$A$17))
    ),
    OR(
      AND(LEFT(P1052,5)="1-Way", Enginuity!$B$13=1),
      AND(LEFT(P1052,5)="2-Way", OR(Enginuity!$B$13=2, Enginuity!$B$13=4)),
      AND(LEFT(P1052,5)="3-Way", OR(Enginuity!$B$13=3, Enginuity!$B$13=6)),
      AND(P1052="Inner Centre Jamb", OR(Enginuity!$B$13=4, Enginuity!$B$13=6)),
      AND(
        LEFT(P1052,5)&lt;&gt;"1-Way",
        LEFT(P1052,5)&lt;&gt;"2-Way",
        LEFT(P1052,5)&lt;&gt;"3-Way",
        P1052&lt;&gt;"Inner Centre Jamb"
      )
    ),
    IF(OR(Enginuity!$A$1="Frameless Glass",Enginuity!$A$1="Metal Work"),
      AND(TRIM(B1052)=TRIM(Enginuity!$A$17),TRIM(C1052)=TRIM(Enginuity!$A$18)),
      TRIM(B1052)=TRIM(Enginuity!$A$17)
    )
  ),
  ROW(),
  ""
)</f>
        <v/>
      </c>
    </row>
    <row r="1053" spans="1:21" x14ac:dyDescent="0.25">
      <c r="A1053" s="10" t="s">
        <v>251</v>
      </c>
      <c r="B1053" s="229" t="s">
        <v>1</v>
      </c>
      <c r="C1053" s="10" t="s">
        <v>350</v>
      </c>
      <c r="D1053" s="14"/>
      <c r="E1053" s="247"/>
      <c r="F1053" s="10"/>
      <c r="G1053" s="17"/>
      <c r="H1053" s="10"/>
      <c r="I1053" s="17"/>
      <c r="J1053" s="83"/>
      <c r="K1053" s="343"/>
      <c r="L1053" s="347"/>
      <c r="M1053" s="22"/>
      <c r="N1053" s="10"/>
      <c r="O1053" s="22"/>
      <c r="P1053" s="14"/>
      <c r="Q1053" s="22"/>
      <c r="U1053" s="104" t="str">
        <f>IF(
  AND(
    TRIM(A1053)=TRIM(Enginuity!$A$1),
    TRIM(B1053)=TRIM(Enginuity!$A$17),
    Q1053&lt;&gt;"",
    Q1053&lt;&gt;0,
    OR(
      TRIM(C1053)=TRIM(Enginuity!$A$18),
      AND(UPPER(TRIM(M1053))="STD", TRIM(B1053)=TRIM(Enginuity!$A$17))
    ),
    OR(
      AND(LEFT(P1053,5)="1-Way", Enginuity!$B$13=1),
      AND(LEFT(P1053,5)="2-Way", OR(Enginuity!$B$13=2, Enginuity!$B$13=4)),
      AND(LEFT(P1053,5)="3-Way", OR(Enginuity!$B$13=3, Enginuity!$B$13=6)),
      AND(P1053="Inner Centre Jamb", OR(Enginuity!$B$13=4, Enginuity!$B$13=6)),
      AND(
        LEFT(P1053,5)&lt;&gt;"1-Way",
        LEFT(P1053,5)&lt;&gt;"2-Way",
        LEFT(P1053,5)&lt;&gt;"3-Way",
        P1053&lt;&gt;"Inner Centre Jamb"
      )
    ),
    IF(OR(Enginuity!$A$1="Frameless Glass",Enginuity!$A$1="Metal Work"),
      AND(TRIM(B1053)=TRIM(Enginuity!$A$17),TRIM(C1053)=TRIM(Enginuity!$A$18)),
      TRIM(B1053)=TRIM(Enginuity!$A$17)
    )
  ),
  ROW(),
  ""
)</f>
        <v/>
      </c>
    </row>
    <row r="1054" spans="1:21" x14ac:dyDescent="0.25">
      <c r="A1054" s="10" t="s">
        <v>251</v>
      </c>
      <c r="B1054" s="229" t="s">
        <v>1</v>
      </c>
      <c r="C1054" s="10" t="s">
        <v>350</v>
      </c>
      <c r="D1054" s="14"/>
      <c r="E1054" s="247"/>
      <c r="F1054" s="10"/>
      <c r="G1054" s="17"/>
      <c r="H1054" s="10"/>
      <c r="I1054" s="17"/>
      <c r="J1054" s="83"/>
      <c r="K1054" s="343"/>
      <c r="L1054" s="347"/>
      <c r="M1054" s="22"/>
      <c r="N1054" s="10"/>
      <c r="O1054" s="22"/>
      <c r="P1054" s="14"/>
      <c r="Q1054" s="10"/>
      <c r="U1054" s="104" t="str">
        <f>IF(
  AND(
    TRIM(A1054)=TRIM(Enginuity!$A$1),
    TRIM(B1054)=TRIM(Enginuity!$A$17),
    Q1054&lt;&gt;"",
    Q1054&lt;&gt;0,
    OR(
      TRIM(C1054)=TRIM(Enginuity!$A$18),
      AND(UPPER(TRIM(M1054))="STD", TRIM(B1054)=TRIM(Enginuity!$A$17))
    ),
    OR(
      AND(LEFT(P1054,5)="1-Way", Enginuity!$B$13=1),
      AND(LEFT(P1054,5)="2-Way", OR(Enginuity!$B$13=2, Enginuity!$B$13=4)),
      AND(LEFT(P1054,5)="3-Way", OR(Enginuity!$B$13=3, Enginuity!$B$13=6)),
      AND(P1054="Inner Centre Jamb", OR(Enginuity!$B$13=4, Enginuity!$B$13=6)),
      AND(
        LEFT(P1054,5)&lt;&gt;"1-Way",
        LEFT(P1054,5)&lt;&gt;"2-Way",
        LEFT(P1054,5)&lt;&gt;"3-Way",
        P1054&lt;&gt;"Inner Centre Jamb"
      )
    ),
    IF(OR(Enginuity!$A$1="Frameless Glass",Enginuity!$A$1="Metal Work"),
      AND(TRIM(B1054)=TRIM(Enginuity!$A$17),TRIM(C1054)=TRIM(Enginuity!$A$18)),
      TRIM(B1054)=TRIM(Enginuity!$A$17)
    )
  ),
  ROW(),
  ""
)</f>
        <v/>
      </c>
    </row>
    <row r="1055" spans="1:21" x14ac:dyDescent="0.25">
      <c r="A1055" s="10" t="s">
        <v>251</v>
      </c>
      <c r="B1055" s="229" t="s">
        <v>1</v>
      </c>
      <c r="C1055" s="10" t="s">
        <v>350</v>
      </c>
      <c r="D1055" s="14"/>
      <c r="E1055" s="247"/>
      <c r="F1055" s="10"/>
      <c r="G1055" s="17"/>
      <c r="H1055" s="10"/>
      <c r="I1055" s="17"/>
      <c r="J1055" s="83"/>
      <c r="K1055" s="343"/>
      <c r="L1055" s="347"/>
      <c r="M1055" s="22"/>
      <c r="N1055" s="14"/>
      <c r="O1055" s="22"/>
      <c r="P1055" s="14"/>
      <c r="Q1055" s="10"/>
      <c r="U1055" s="104" t="str">
        <f>IF(
  AND(
    TRIM(A1055)=TRIM(Enginuity!$A$1),
    TRIM(B1055)=TRIM(Enginuity!$A$17),
    Q1055&lt;&gt;"",
    Q1055&lt;&gt;0,
    OR(
      TRIM(C1055)=TRIM(Enginuity!$A$18),
      AND(UPPER(TRIM(M1055))="STD", TRIM(B1055)=TRIM(Enginuity!$A$17))
    ),
    OR(
      AND(LEFT(P1055,5)="1-Way", Enginuity!$B$13=1),
      AND(LEFT(P1055,5)="2-Way", OR(Enginuity!$B$13=2, Enginuity!$B$13=4)),
      AND(LEFT(P1055,5)="3-Way", OR(Enginuity!$B$13=3, Enginuity!$B$13=6)),
      AND(P1055="Inner Centre Jamb", OR(Enginuity!$B$13=4, Enginuity!$B$13=6)),
      AND(
        LEFT(P1055,5)&lt;&gt;"1-Way",
        LEFT(P1055,5)&lt;&gt;"2-Way",
        LEFT(P1055,5)&lt;&gt;"3-Way",
        P1055&lt;&gt;"Inner Centre Jamb"
      )
    ),
    IF(OR(Enginuity!$A$1="Frameless Glass",Enginuity!$A$1="Metal Work"),
      AND(TRIM(B1055)=TRIM(Enginuity!$A$17),TRIM(C1055)=TRIM(Enginuity!$A$18)),
      TRIM(B1055)=TRIM(Enginuity!$A$17)
    )
  ),
  ROW(),
  ""
)</f>
        <v/>
      </c>
    </row>
    <row r="1056" spans="1:21" x14ac:dyDescent="0.25">
      <c r="A1056" s="10" t="s">
        <v>251</v>
      </c>
      <c r="B1056" s="229" t="s">
        <v>1</v>
      </c>
      <c r="C1056" s="10" t="s">
        <v>350</v>
      </c>
      <c r="D1056" s="14"/>
      <c r="E1056" s="247"/>
      <c r="F1056" s="10"/>
      <c r="G1056" s="17"/>
      <c r="H1056" s="10"/>
      <c r="I1056" s="17"/>
      <c r="J1056" s="83"/>
      <c r="K1056" s="343"/>
      <c r="L1056" s="347"/>
      <c r="M1056" s="22"/>
      <c r="N1056" s="14"/>
      <c r="O1056" s="22"/>
      <c r="P1056" s="14"/>
      <c r="Q1056" s="22"/>
      <c r="U1056" s="104" t="str">
        <f>IF(
  AND(
    TRIM(A1056)=TRIM(Enginuity!$A$1),
    TRIM(B1056)=TRIM(Enginuity!$A$17),
    Q1056&lt;&gt;"",
    Q1056&lt;&gt;0,
    OR(
      TRIM(C1056)=TRIM(Enginuity!$A$18),
      AND(UPPER(TRIM(M1056))="STD", TRIM(B1056)=TRIM(Enginuity!$A$17))
    ),
    OR(
      AND(LEFT(P1056,5)="1-Way", Enginuity!$B$13=1),
      AND(LEFT(P1056,5)="2-Way", OR(Enginuity!$B$13=2, Enginuity!$B$13=4)),
      AND(LEFT(P1056,5)="3-Way", OR(Enginuity!$B$13=3, Enginuity!$B$13=6)),
      AND(P1056="Inner Centre Jamb", OR(Enginuity!$B$13=4, Enginuity!$B$13=6)),
      AND(
        LEFT(P1056,5)&lt;&gt;"1-Way",
        LEFT(P1056,5)&lt;&gt;"2-Way",
        LEFT(P1056,5)&lt;&gt;"3-Way",
        P1056&lt;&gt;"Inner Centre Jamb"
      )
    ),
    IF(OR(Enginuity!$A$1="Frameless Glass",Enginuity!$A$1="Metal Work"),
      AND(TRIM(B1056)=TRIM(Enginuity!$A$17),TRIM(C1056)=TRIM(Enginuity!$A$18)),
      TRIM(B1056)=TRIM(Enginuity!$A$17)
    )
  ),
  ROW(),
  ""
)</f>
        <v/>
      </c>
    </row>
    <row r="1057" spans="1:21" x14ac:dyDescent="0.25">
      <c r="A1057" s="10" t="s">
        <v>251</v>
      </c>
      <c r="B1057" s="229" t="s">
        <v>1</v>
      </c>
      <c r="C1057" s="10" t="s">
        <v>350</v>
      </c>
      <c r="D1057" s="14"/>
      <c r="E1057" s="247"/>
      <c r="F1057" s="10"/>
      <c r="G1057" s="17"/>
      <c r="H1057" s="10"/>
      <c r="I1057" s="17"/>
      <c r="J1057" s="83"/>
      <c r="K1057" s="343"/>
      <c r="L1057" s="347"/>
      <c r="M1057" s="22"/>
      <c r="N1057" s="14"/>
      <c r="O1057" s="22"/>
      <c r="P1057" s="14"/>
      <c r="Q1057" s="10"/>
      <c r="U1057" s="104" t="str">
        <f>IF(
  AND(
    TRIM(A1057)=TRIM(Enginuity!$A$1),
    TRIM(B1057)=TRIM(Enginuity!$A$17),
    Q1057&lt;&gt;"",
    Q1057&lt;&gt;0,
    OR(
      TRIM(C1057)=TRIM(Enginuity!$A$18),
      AND(UPPER(TRIM(M1057))="STD", TRIM(B1057)=TRIM(Enginuity!$A$17))
    ),
    OR(
      AND(LEFT(P1057,5)="1-Way", Enginuity!$B$13=1),
      AND(LEFT(P1057,5)="2-Way", OR(Enginuity!$B$13=2, Enginuity!$B$13=4)),
      AND(LEFT(P1057,5)="3-Way", OR(Enginuity!$B$13=3, Enginuity!$B$13=6)),
      AND(P1057="Inner Centre Jamb", OR(Enginuity!$B$13=4, Enginuity!$B$13=6)),
      AND(
        LEFT(P1057,5)&lt;&gt;"1-Way",
        LEFT(P1057,5)&lt;&gt;"2-Way",
        LEFT(P1057,5)&lt;&gt;"3-Way",
        P1057&lt;&gt;"Inner Centre Jamb"
      )
    ),
    IF(OR(Enginuity!$A$1="Frameless Glass",Enginuity!$A$1="Metal Work"),
      AND(TRIM(B1057)=TRIM(Enginuity!$A$17),TRIM(C1057)=TRIM(Enginuity!$A$18)),
      TRIM(B1057)=TRIM(Enginuity!$A$17)
    )
  ),
  ROW(),
  ""
)</f>
        <v/>
      </c>
    </row>
    <row r="1058" spans="1:21" x14ac:dyDescent="0.25">
      <c r="A1058" s="10" t="s">
        <v>251</v>
      </c>
      <c r="B1058" s="229" t="s">
        <v>1</v>
      </c>
      <c r="C1058" s="10" t="s">
        <v>350</v>
      </c>
      <c r="D1058" s="14"/>
      <c r="E1058" s="247"/>
      <c r="F1058" s="10"/>
      <c r="G1058" s="17"/>
      <c r="H1058" s="10"/>
      <c r="I1058" s="17"/>
      <c r="J1058" s="83"/>
      <c r="K1058" s="343"/>
      <c r="L1058" s="347"/>
      <c r="M1058" s="22"/>
      <c r="N1058" s="14"/>
      <c r="O1058" s="22"/>
      <c r="P1058" s="13"/>
      <c r="Q1058" s="10"/>
      <c r="U1058" s="104" t="str">
        <f>IF(
  AND(
    TRIM(A1058)=TRIM(Enginuity!$A$1),
    TRIM(B1058)=TRIM(Enginuity!$A$17),
    Q1058&lt;&gt;"",
    Q1058&lt;&gt;0,
    OR(
      TRIM(C1058)=TRIM(Enginuity!$A$18),
      AND(UPPER(TRIM(M1058))="STD", TRIM(B1058)=TRIM(Enginuity!$A$17))
    ),
    OR(
      AND(LEFT(P1058,5)="1-Way", Enginuity!$B$13=1),
      AND(LEFT(P1058,5)="2-Way", OR(Enginuity!$B$13=2, Enginuity!$B$13=4)),
      AND(LEFT(P1058,5)="3-Way", OR(Enginuity!$B$13=3, Enginuity!$B$13=6)),
      AND(P1058="Inner Centre Jamb", OR(Enginuity!$B$13=4, Enginuity!$B$13=6)),
      AND(
        LEFT(P1058,5)&lt;&gt;"1-Way",
        LEFT(P1058,5)&lt;&gt;"2-Way",
        LEFT(P1058,5)&lt;&gt;"3-Way",
        P1058&lt;&gt;"Inner Centre Jamb"
      )
    ),
    IF(OR(Enginuity!$A$1="Frameless Glass",Enginuity!$A$1="Metal Work"),
      AND(TRIM(B1058)=TRIM(Enginuity!$A$17),TRIM(C1058)=TRIM(Enginuity!$A$18)),
      TRIM(B1058)=TRIM(Enginuity!$A$17)
    )
  ),
  ROW(),
  ""
)</f>
        <v/>
      </c>
    </row>
    <row r="1059" spans="1:21" x14ac:dyDescent="0.25">
      <c r="A1059" s="10" t="s">
        <v>251</v>
      </c>
      <c r="B1059" s="229" t="s">
        <v>1</v>
      </c>
      <c r="C1059" s="10" t="s">
        <v>350</v>
      </c>
      <c r="D1059" s="14"/>
      <c r="E1059" s="247"/>
      <c r="F1059" s="10"/>
      <c r="G1059" s="17"/>
      <c r="H1059" s="10"/>
      <c r="I1059" s="17"/>
      <c r="J1059" s="83"/>
      <c r="K1059" s="343"/>
      <c r="L1059" s="347"/>
      <c r="M1059" s="22"/>
      <c r="N1059" s="14"/>
      <c r="O1059" s="22"/>
      <c r="P1059" s="13"/>
      <c r="Q1059" s="10"/>
      <c r="U1059" s="104" t="str">
        <f>IF(
  AND(
    TRIM(A1059)=TRIM(Enginuity!$A$1),
    TRIM(B1059)=TRIM(Enginuity!$A$17),
    Q1059&lt;&gt;"",
    Q1059&lt;&gt;0,
    OR(
      TRIM(C1059)=TRIM(Enginuity!$A$18),
      AND(UPPER(TRIM(M1059))="STD", TRIM(B1059)=TRIM(Enginuity!$A$17))
    ),
    OR(
      AND(LEFT(P1059,5)="1-Way", Enginuity!$B$13=1),
      AND(LEFT(P1059,5)="2-Way", OR(Enginuity!$B$13=2, Enginuity!$B$13=4)),
      AND(LEFT(P1059,5)="3-Way", OR(Enginuity!$B$13=3, Enginuity!$B$13=6)),
      AND(P1059="Inner Centre Jamb", OR(Enginuity!$B$13=4, Enginuity!$B$13=6)),
      AND(
        LEFT(P1059,5)&lt;&gt;"1-Way",
        LEFT(P1059,5)&lt;&gt;"2-Way",
        LEFT(P1059,5)&lt;&gt;"3-Way",
        P1059&lt;&gt;"Inner Centre Jamb"
      )
    ),
    IF(OR(Enginuity!$A$1="Frameless Glass",Enginuity!$A$1="Metal Work"),
      AND(TRIM(B1059)=TRIM(Enginuity!$A$17),TRIM(C1059)=TRIM(Enginuity!$A$18)),
      TRIM(B1059)=TRIM(Enginuity!$A$17)
    )
  ),
  ROW(),
  ""
)</f>
        <v/>
      </c>
    </row>
    <row r="1060" spans="1:21" x14ac:dyDescent="0.25">
      <c r="A1060" s="10" t="s">
        <v>251</v>
      </c>
      <c r="B1060" s="229" t="s">
        <v>1</v>
      </c>
      <c r="C1060" s="10" t="s">
        <v>350</v>
      </c>
      <c r="D1060" s="14"/>
      <c r="E1060" s="247"/>
      <c r="F1060" s="10"/>
      <c r="G1060" s="17"/>
      <c r="H1060" s="10"/>
      <c r="I1060" s="17"/>
      <c r="J1060" s="83"/>
      <c r="K1060" s="343"/>
      <c r="L1060" s="347"/>
      <c r="M1060" s="22"/>
      <c r="N1060" s="14"/>
      <c r="O1060" s="22"/>
      <c r="P1060" s="13"/>
      <c r="Q1060" s="10"/>
      <c r="U1060" s="104" t="str">
        <f>IF(
  AND(
    TRIM(A1060)=TRIM(Enginuity!$A$1),
    TRIM(B1060)=TRIM(Enginuity!$A$17),
    Q1060&lt;&gt;"",
    Q1060&lt;&gt;0,
    OR(
      TRIM(C1060)=TRIM(Enginuity!$A$18),
      AND(UPPER(TRIM(M1060))="STD", TRIM(B1060)=TRIM(Enginuity!$A$17))
    ),
    OR(
      AND(LEFT(P1060,5)="1-Way", Enginuity!$B$13=1),
      AND(LEFT(P1060,5)="2-Way", OR(Enginuity!$B$13=2, Enginuity!$B$13=4)),
      AND(LEFT(P1060,5)="3-Way", OR(Enginuity!$B$13=3, Enginuity!$B$13=6)),
      AND(P1060="Inner Centre Jamb", OR(Enginuity!$B$13=4, Enginuity!$B$13=6)),
      AND(
        LEFT(P1060,5)&lt;&gt;"1-Way",
        LEFT(P1060,5)&lt;&gt;"2-Way",
        LEFT(P1060,5)&lt;&gt;"3-Way",
        P1060&lt;&gt;"Inner Centre Jamb"
      )
    ),
    IF(OR(Enginuity!$A$1="Frameless Glass",Enginuity!$A$1="Metal Work"),
      AND(TRIM(B1060)=TRIM(Enginuity!$A$17),TRIM(C1060)=TRIM(Enginuity!$A$18)),
      TRIM(B1060)=TRIM(Enginuity!$A$17)
    )
  ),
  ROW(),
  ""
)</f>
        <v/>
      </c>
    </row>
    <row r="1061" spans="1:21" x14ac:dyDescent="0.25">
      <c r="A1061" s="10" t="s">
        <v>251</v>
      </c>
      <c r="B1061" s="229" t="s">
        <v>1</v>
      </c>
      <c r="C1061" s="10" t="s">
        <v>350</v>
      </c>
      <c r="D1061" s="14"/>
      <c r="E1061" s="247"/>
      <c r="F1061" s="10"/>
      <c r="G1061" s="17"/>
      <c r="H1061" s="10"/>
      <c r="I1061" s="17"/>
      <c r="J1061" s="83"/>
      <c r="K1061" s="343"/>
      <c r="L1061" s="347"/>
      <c r="M1061" s="22"/>
      <c r="N1061" s="14"/>
      <c r="O1061" s="22"/>
      <c r="P1061" s="13"/>
      <c r="Q1061" s="10"/>
      <c r="U1061" s="104" t="str">
        <f>IF(
  AND(
    TRIM(A1061)=TRIM(Enginuity!$A$1),
    TRIM(B1061)=TRIM(Enginuity!$A$17),
    Q1061&lt;&gt;"",
    Q1061&lt;&gt;0,
    OR(
      TRIM(C1061)=TRIM(Enginuity!$A$18),
      AND(UPPER(TRIM(M1061))="STD", TRIM(B1061)=TRIM(Enginuity!$A$17))
    ),
    OR(
      AND(LEFT(P1061,5)="1-Way", Enginuity!$B$13=1),
      AND(LEFT(P1061,5)="2-Way", OR(Enginuity!$B$13=2, Enginuity!$B$13=4)),
      AND(LEFT(P1061,5)="3-Way", OR(Enginuity!$B$13=3, Enginuity!$B$13=6)),
      AND(P1061="Inner Centre Jamb", OR(Enginuity!$B$13=4, Enginuity!$B$13=6)),
      AND(
        LEFT(P1061,5)&lt;&gt;"1-Way",
        LEFT(P1061,5)&lt;&gt;"2-Way",
        LEFT(P1061,5)&lt;&gt;"3-Way",
        P1061&lt;&gt;"Inner Centre Jamb"
      )
    ),
    IF(OR(Enginuity!$A$1="Frameless Glass",Enginuity!$A$1="Metal Work"),
      AND(TRIM(B1061)=TRIM(Enginuity!$A$17),TRIM(C1061)=TRIM(Enginuity!$A$18)),
      TRIM(B1061)=TRIM(Enginuity!$A$17)
    )
  ),
  ROW(),
  ""
)</f>
        <v/>
      </c>
    </row>
    <row r="1062" spans="1:21" x14ac:dyDescent="0.25">
      <c r="A1062" s="10" t="s">
        <v>251</v>
      </c>
      <c r="B1062" s="229" t="s">
        <v>1</v>
      </c>
      <c r="C1062" s="10" t="s">
        <v>350</v>
      </c>
      <c r="D1062" s="14"/>
      <c r="E1062" s="247"/>
      <c r="F1062" s="10"/>
      <c r="G1062" s="17"/>
      <c r="H1062" s="10"/>
      <c r="I1062" s="17"/>
      <c r="J1062" s="83"/>
      <c r="K1062" s="343"/>
      <c r="L1062" s="347"/>
      <c r="M1062" s="10"/>
      <c r="N1062" s="10"/>
      <c r="O1062" s="22"/>
      <c r="P1062" s="14"/>
      <c r="Q1062" s="83"/>
      <c r="U1062" s="104" t="str">
        <f>IF(
  AND(
    TRIM(A1062)=TRIM(Enginuity!$A$1),
    TRIM(B1062)=TRIM(Enginuity!$A$17),
    Q1062&lt;&gt;"",
    Q1062&lt;&gt;0,
    OR(
      TRIM(C1062)=TRIM(Enginuity!$A$18),
      AND(UPPER(TRIM(M1062))="STD", TRIM(B1062)=TRIM(Enginuity!$A$17))
    ),
    OR(
      AND(LEFT(P1062,5)="1-Way", Enginuity!$B$13=1),
      AND(LEFT(P1062,5)="2-Way", OR(Enginuity!$B$13=2, Enginuity!$B$13=4)),
      AND(LEFT(P1062,5)="3-Way", OR(Enginuity!$B$13=3, Enginuity!$B$13=6)),
      AND(P1062="Inner Centre Jamb", OR(Enginuity!$B$13=4, Enginuity!$B$13=6)),
      AND(
        LEFT(P1062,5)&lt;&gt;"1-Way",
        LEFT(P1062,5)&lt;&gt;"2-Way",
        LEFT(P1062,5)&lt;&gt;"3-Way",
        P1062&lt;&gt;"Inner Centre Jamb"
      )
    ),
    IF(OR(Enginuity!$A$1="Frameless Glass",Enginuity!$A$1="Metal Work"),
      AND(TRIM(B1062)=TRIM(Enginuity!$A$17),TRIM(C1062)=TRIM(Enginuity!$A$18)),
      TRIM(B1062)=TRIM(Enginuity!$A$17)
    )
  ),
  ROW(),
  ""
)</f>
        <v/>
      </c>
    </row>
    <row r="1063" spans="1:21" x14ac:dyDescent="0.25">
      <c r="A1063" s="10" t="s">
        <v>251</v>
      </c>
      <c r="B1063" s="229" t="s">
        <v>1</v>
      </c>
      <c r="C1063" s="10" t="s">
        <v>350</v>
      </c>
      <c r="D1063" s="14"/>
      <c r="E1063" s="247"/>
      <c r="F1063" s="10"/>
      <c r="G1063" s="17"/>
      <c r="H1063" s="10"/>
      <c r="I1063" s="17"/>
      <c r="J1063" s="83"/>
      <c r="K1063" s="343"/>
      <c r="L1063" s="347"/>
      <c r="M1063" s="10"/>
      <c r="N1063" s="10" t="s">
        <v>121</v>
      </c>
      <c r="O1063" s="22">
        <v>7.0000000000000007E-2</v>
      </c>
      <c r="P1063" s="14" t="s">
        <v>198</v>
      </c>
      <c r="Q1063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1063" s="104" t="str">
        <f>IF(
  AND(
    TRIM(A1063)=TRIM(Enginuity!$A$1),
    TRIM(B1063)=TRIM(Enginuity!$A$17),
    Q1063&lt;&gt;"",
    Q1063&lt;&gt;0,
    OR(
      TRIM(C1063)=TRIM(Enginuity!$A$18),
      AND(UPPER(TRIM(M1063))="STD", TRIM(B1063)=TRIM(Enginuity!$A$17))
    ),
    OR(
      AND(LEFT(P1063,5)="1-Way", Enginuity!$B$13=1),
      AND(LEFT(P1063,5)="2-Way", OR(Enginuity!$B$13=2, Enginuity!$B$13=4)),
      AND(LEFT(P1063,5)="3-Way", OR(Enginuity!$B$13=3, Enginuity!$B$13=6)),
      AND(P1063="Inner Centre Jamb", OR(Enginuity!$B$13=4, Enginuity!$B$13=6)),
      AND(
        LEFT(P1063,5)&lt;&gt;"1-Way",
        LEFT(P1063,5)&lt;&gt;"2-Way",
        LEFT(P1063,5)&lt;&gt;"3-Way",
        P1063&lt;&gt;"Inner Centre Jamb"
      )
    ),
    IF(OR(Enginuity!$A$1="Frameless Glass",Enginuity!$A$1="Metal Work"),
      AND(TRIM(B1063)=TRIM(Enginuity!$A$17),TRIM(C1063)=TRIM(Enginuity!$A$18)),
      TRIM(B1063)=TRIM(Enginuity!$A$17)
    )
  ),
  ROW(),
  ""
)</f>
        <v/>
      </c>
    </row>
    <row r="1064" spans="1:21" x14ac:dyDescent="0.25">
      <c r="A1064" s="10" t="s">
        <v>251</v>
      </c>
      <c r="B1064" s="229" t="s">
        <v>1</v>
      </c>
      <c r="C1064" s="10" t="s">
        <v>350</v>
      </c>
      <c r="D1064" s="14"/>
      <c r="E1064" s="247"/>
      <c r="F1064" s="10"/>
      <c r="G1064" s="17"/>
      <c r="H1064" s="10"/>
      <c r="I1064" s="17"/>
      <c r="J1064" s="83"/>
      <c r="K1064" s="343"/>
      <c r="L1064" s="347"/>
      <c r="M1064" s="10"/>
      <c r="N1064" s="10" t="s">
        <v>112</v>
      </c>
      <c r="O1064" s="22">
        <v>2.5</v>
      </c>
      <c r="P1064" s="14" t="s">
        <v>197</v>
      </c>
      <c r="Q1064" s="10">
        <f>ROUNDUP(Enginuity!$B$6/2,0)</f>
        <v>10</v>
      </c>
      <c r="U1064" s="104" t="str">
        <f>IF(
  AND(
    TRIM(A1064)=TRIM(Enginuity!$A$1),
    TRIM(B1064)=TRIM(Enginuity!$A$17),
    Q1064&lt;&gt;"",
    Q1064&lt;&gt;0,
    OR(
      TRIM(C1064)=TRIM(Enginuity!$A$18),
      AND(UPPER(TRIM(M1064))="STD", TRIM(B1064)=TRIM(Enginuity!$A$17))
    ),
    OR(
      AND(LEFT(P1064,5)="1-Way", Enginuity!$B$13=1),
      AND(LEFT(P1064,5)="2-Way", OR(Enginuity!$B$13=2, Enginuity!$B$13=4)),
      AND(LEFT(P1064,5)="3-Way", OR(Enginuity!$B$13=3, Enginuity!$B$13=6)),
      AND(P1064="Inner Centre Jamb", OR(Enginuity!$B$13=4, Enginuity!$B$13=6)),
      AND(
        LEFT(P1064,5)&lt;&gt;"1-Way",
        LEFT(P1064,5)&lt;&gt;"2-Way",
        LEFT(P1064,5)&lt;&gt;"3-Way",
        P1064&lt;&gt;"Inner Centre Jamb"
      )
    ),
    IF(OR(Enginuity!$A$1="Frameless Glass",Enginuity!$A$1="Metal Work"),
      AND(TRIM(B1064)=TRIM(Enginuity!$A$17),TRIM(C1064)=TRIM(Enginuity!$A$18)),
      TRIM(B1064)=TRIM(Enginuity!$A$17)
    )
  ),
  ROW(),
  ""
)</f>
        <v/>
      </c>
    </row>
    <row r="1065" spans="1:21" x14ac:dyDescent="0.25">
      <c r="A1065" s="10" t="s">
        <v>251</v>
      </c>
      <c r="B1065" s="229" t="s">
        <v>1</v>
      </c>
      <c r="C1065" s="10" t="s">
        <v>350</v>
      </c>
      <c r="D1065" s="14"/>
      <c r="E1065" s="247"/>
      <c r="F1065" s="10"/>
      <c r="G1065" s="17"/>
      <c r="H1065" s="10"/>
      <c r="I1065" s="17"/>
      <c r="J1065" s="83"/>
      <c r="K1065" s="343"/>
      <c r="L1065" s="347"/>
      <c r="M1065" s="10"/>
      <c r="N1065" s="10" t="s">
        <v>112</v>
      </c>
      <c r="O1065" s="22">
        <v>7.5</v>
      </c>
      <c r="P1065" s="14" t="s">
        <v>196</v>
      </c>
      <c r="Q1065" s="10">
        <f>ROUNDUP(Enginuity!$B$6/20,0)+1</f>
        <v>2</v>
      </c>
      <c r="U1065" s="104" t="str">
        <f>IF(
  AND(
    TRIM(A1065)=TRIM(Enginuity!$A$1),
    TRIM(B1065)=TRIM(Enginuity!$A$17),
    Q1065&lt;&gt;"",
    Q1065&lt;&gt;0,
    OR(
      TRIM(C1065)=TRIM(Enginuity!$A$18),
      AND(UPPER(TRIM(M1065))="STD", TRIM(B1065)=TRIM(Enginuity!$A$17))
    ),
    OR(
      AND(LEFT(P1065,5)="1-Way", Enginuity!$B$13=1),
      AND(LEFT(P1065,5)="2-Way", OR(Enginuity!$B$13=2, Enginuity!$B$13=4)),
      AND(LEFT(P1065,5)="3-Way", OR(Enginuity!$B$13=3, Enginuity!$B$13=6)),
      AND(P1065="Inner Centre Jamb", OR(Enginuity!$B$13=4, Enginuity!$B$13=6)),
      AND(
        LEFT(P1065,5)&lt;&gt;"1-Way",
        LEFT(P1065,5)&lt;&gt;"2-Way",
        LEFT(P1065,5)&lt;&gt;"3-Way",
        P1065&lt;&gt;"Inner Centre Jamb"
      )
    ),
    IF(OR(Enginuity!$A$1="Frameless Glass",Enginuity!$A$1="Metal Work"),
      AND(TRIM(B1065)=TRIM(Enginuity!$A$17),TRIM(C1065)=TRIM(Enginuity!$A$18)),
      TRIM(B1065)=TRIM(Enginuity!$A$17)
    )
  ),
  ROW(),
  ""
)</f>
        <v/>
      </c>
    </row>
    <row r="1066" spans="1:21" x14ac:dyDescent="0.25">
      <c r="A1066" s="10" t="s">
        <v>251</v>
      </c>
      <c r="B1066" s="229" t="s">
        <v>1</v>
      </c>
      <c r="C1066" s="10" t="s">
        <v>350</v>
      </c>
      <c r="D1066" s="14"/>
      <c r="E1066" s="247"/>
      <c r="F1066" s="10"/>
      <c r="G1066" s="17"/>
      <c r="H1066" s="10"/>
      <c r="I1066" s="17"/>
      <c r="J1066" s="83"/>
      <c r="K1066" s="343"/>
      <c r="L1066" s="347"/>
      <c r="M1066" s="10"/>
      <c r="N1066" s="10" t="s">
        <v>315</v>
      </c>
      <c r="O1066" s="22">
        <v>8.5</v>
      </c>
      <c r="P1066" s="14" t="s">
        <v>318</v>
      </c>
      <c r="Q1066" s="10">
        <f>ROUNDUP((Enginuity!$B$6*2)/24,0)</f>
        <v>2</v>
      </c>
      <c r="U1066" s="104" t="str">
        <f>IF(
  AND(
    TRIM(A1066)=TRIM(Enginuity!$A$1),
    TRIM(B1066)=TRIM(Enginuity!$A$17),
    Q1066&lt;&gt;"",
    Q1066&lt;&gt;0,
    OR(
      TRIM(C1066)=TRIM(Enginuity!$A$18),
      AND(UPPER(TRIM(M1066))="STD", TRIM(B1066)=TRIM(Enginuity!$A$17))
    ),
    OR(
      AND(LEFT(P1066,5)="1-Way", Enginuity!$B$13=1),
      AND(LEFT(P1066,5)="2-Way", OR(Enginuity!$B$13=2, Enginuity!$B$13=4)),
      AND(LEFT(P1066,5)="3-Way", OR(Enginuity!$B$13=3, Enginuity!$B$13=6)),
      AND(P1066="Inner Centre Jamb", OR(Enginuity!$B$13=4, Enginuity!$B$13=6)),
      AND(
        LEFT(P1066,5)&lt;&gt;"1-Way",
        LEFT(P1066,5)&lt;&gt;"2-Way",
        LEFT(P1066,5)&lt;&gt;"3-Way",
        P1066&lt;&gt;"Inner Centre Jamb"
      )
    ),
    IF(OR(Enginuity!$A$1="Frameless Glass",Enginuity!$A$1="Metal Work"),
      AND(TRIM(B1066)=TRIM(Enginuity!$A$17),TRIM(C1066)=TRIM(Enginuity!$A$18)),
      TRIM(B1066)=TRIM(Enginuity!$A$17)
    )
  ),
  ROW(),
  ""
)</f>
        <v/>
      </c>
    </row>
    <row r="1067" spans="1:21" x14ac:dyDescent="0.25">
      <c r="A1067" s="10" t="s">
        <v>251</v>
      </c>
      <c r="B1067" s="229" t="s">
        <v>1</v>
      </c>
      <c r="C1067" s="10" t="s">
        <v>350</v>
      </c>
      <c r="D1067" s="14"/>
      <c r="E1067" s="247"/>
      <c r="F1067" s="10"/>
      <c r="G1067" s="17"/>
      <c r="H1067" s="10"/>
      <c r="I1067" s="17"/>
      <c r="J1067" s="83"/>
      <c r="K1067" s="343"/>
      <c r="L1067" s="347"/>
      <c r="M1067" s="10"/>
      <c r="N1067" s="10" t="s">
        <v>112</v>
      </c>
      <c r="O1067" s="22">
        <v>0.154</v>
      </c>
      <c r="P1067" s="14" t="s">
        <v>195</v>
      </c>
      <c r="Q1067" s="22">
        <f>ROUNDUP(Enginuity!$B$6,0)</f>
        <v>20</v>
      </c>
      <c r="U1067" s="104" t="str">
        <f>IF(
  AND(
    TRIM(A1067)=TRIM(Enginuity!$A$1),
    TRIM(B1067)=TRIM(Enginuity!$A$17),
    Q1067&lt;&gt;"",
    Q1067&lt;&gt;0,
    OR(
      TRIM(C1067)=TRIM(Enginuity!$A$18),
      AND(UPPER(TRIM(M1067))="STD", TRIM(B1067)=TRIM(Enginuity!$A$17))
    ),
    OR(
      AND(LEFT(P1067,5)="1-Way", Enginuity!$B$13=1),
      AND(LEFT(P1067,5)="2-Way", OR(Enginuity!$B$13=2, Enginuity!$B$13=4)),
      AND(LEFT(P1067,5)="3-Way", OR(Enginuity!$B$13=3, Enginuity!$B$13=6)),
      AND(P1067="Inner Centre Jamb", OR(Enginuity!$B$13=4, Enginuity!$B$13=6)),
      AND(
        LEFT(P1067,5)&lt;&gt;"1-Way",
        LEFT(P1067,5)&lt;&gt;"2-Way",
        LEFT(P1067,5)&lt;&gt;"3-Way",
        P1067&lt;&gt;"Inner Centre Jamb"
      )
    ),
    IF(OR(Enginuity!$A$1="Frameless Glass",Enginuity!$A$1="Metal Work"),
      AND(TRIM(B1067)=TRIM(Enginuity!$A$17),TRIM(C1067)=TRIM(Enginuity!$A$18)),
      TRIM(B1067)=TRIM(Enginuity!$A$17)
    )
  ),
  ROW(),
  ""
)</f>
        <v/>
      </c>
    </row>
    <row r="1068" spans="1:21" x14ac:dyDescent="0.25">
      <c r="A1068" s="10" t="s">
        <v>251</v>
      </c>
      <c r="B1068" s="229" t="s">
        <v>1</v>
      </c>
      <c r="C1068" s="10" t="s">
        <v>350</v>
      </c>
      <c r="D1068" s="14"/>
      <c r="E1068" s="247"/>
      <c r="F1068" s="11"/>
      <c r="G1068" s="17"/>
      <c r="H1068" s="10"/>
      <c r="I1068" s="17"/>
      <c r="J1068" s="83"/>
      <c r="K1068" s="343"/>
      <c r="L1068" s="347"/>
      <c r="M1068" s="10"/>
      <c r="N1068" s="10" t="s">
        <v>121</v>
      </c>
      <c r="O1068" s="22">
        <v>4</v>
      </c>
      <c r="P1068" s="14" t="s">
        <v>166</v>
      </c>
      <c r="Q1068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1068" s="104" t="str">
        <f>IF(
  AND(
    TRIM(A1068)=TRIM(Enginuity!$A$1),
    TRIM(B1068)=TRIM(Enginuity!$A$17),
    Q1068&lt;&gt;"",
    Q1068&lt;&gt;0,
    OR(
      TRIM(C1068)=TRIM(Enginuity!$A$18),
      AND(UPPER(TRIM(M1068))="STD", TRIM(B1068)=TRIM(Enginuity!$A$17))
    ),
    OR(
      AND(LEFT(P1068,5)="1-Way", Enginuity!$B$13=1),
      AND(LEFT(P1068,5)="2-Way", OR(Enginuity!$B$13=2, Enginuity!$B$13=4)),
      AND(LEFT(P1068,5)="3-Way", OR(Enginuity!$B$13=3, Enginuity!$B$13=6)),
      AND(P1068="Inner Centre Jamb", OR(Enginuity!$B$13=4, Enginuity!$B$13=6)),
      AND(
        LEFT(P1068,5)&lt;&gt;"1-Way",
        LEFT(P1068,5)&lt;&gt;"2-Way",
        LEFT(P1068,5)&lt;&gt;"3-Way",
        P1068&lt;&gt;"Inner Centre Jamb"
      )
    ),
    IF(OR(Enginuity!$A$1="Frameless Glass",Enginuity!$A$1="Metal Work"),
      AND(TRIM(B1068)=TRIM(Enginuity!$A$17),TRIM(C1068)=TRIM(Enginuity!$A$18)),
      TRIM(B1068)=TRIM(Enginuity!$A$17)
    )
  ),
  ROW(),
  ""
)</f>
        <v/>
      </c>
    </row>
    <row r="1069" spans="1:21" x14ac:dyDescent="0.25">
      <c r="A1069" s="10" t="s">
        <v>251</v>
      </c>
      <c r="B1069" s="229" t="s">
        <v>1</v>
      </c>
      <c r="C1069" s="10" t="s">
        <v>350</v>
      </c>
      <c r="D1069" s="14"/>
      <c r="E1069" s="247"/>
      <c r="F1069" s="10"/>
      <c r="G1069" s="17"/>
      <c r="H1069" s="10"/>
      <c r="I1069" s="17"/>
      <c r="J1069" s="83"/>
      <c r="K1069" s="343"/>
      <c r="L1069" s="347"/>
      <c r="M1069" s="10"/>
      <c r="N1069" s="10" t="s">
        <v>121</v>
      </c>
      <c r="O1069" s="22" t="str">
        <f>$O$2</f>
        <v/>
      </c>
      <c r="P1069" s="21" t="str">
        <f>Enginuity!$A$19</f>
        <v>W/G</v>
      </c>
      <c r="Q1069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1069" s="104" t="str">
        <f>IF(
  AND(
    TRIM(A1069)=TRIM(Enginuity!$A$1),
    TRIM(B1069)=TRIM(Enginuity!$A$17),
    Q1069&lt;&gt;"",
    Q1069&lt;&gt;0,
    OR(
      TRIM(C1069)=TRIM(Enginuity!$A$18),
      AND(UPPER(TRIM(M1069))="STD", TRIM(B1069)=TRIM(Enginuity!$A$17))
    ),
    OR(
      AND(LEFT(P1069,5)="1-Way", Enginuity!$B$13=1),
      AND(LEFT(P1069,5)="2-Way", OR(Enginuity!$B$13=2, Enginuity!$B$13=4)),
      AND(LEFT(P1069,5)="3-Way", OR(Enginuity!$B$13=3, Enginuity!$B$13=6)),
      AND(P1069="Inner Centre Jamb", OR(Enginuity!$B$13=4, Enginuity!$B$13=6)),
      AND(
        LEFT(P1069,5)&lt;&gt;"1-Way",
        LEFT(P1069,5)&lt;&gt;"2-Way",
        LEFT(P1069,5)&lt;&gt;"3-Way",
        P1069&lt;&gt;"Inner Centre Jamb"
      )
    ),
    IF(OR(Enginuity!$A$1="Frameless Glass",Enginuity!$A$1="Metal Work"),
      AND(TRIM(B1069)=TRIM(Enginuity!$A$17),TRIM(C1069)=TRIM(Enginuity!$A$18)),
      TRIM(B1069)=TRIM(Enginuity!$A$17)
    )
  ),
  ROW(),
  ""
)</f>
        <v/>
      </c>
    </row>
    <row r="1070" spans="1:21" x14ac:dyDescent="0.25">
      <c r="A1070" s="80"/>
      <c r="B1070" s="228"/>
      <c r="C1070" s="80"/>
      <c r="D1070" s="92"/>
      <c r="E1070" s="237"/>
      <c r="F1070" s="80"/>
      <c r="G1070" s="80"/>
      <c r="H1070" s="80"/>
      <c r="I1070" s="80"/>
      <c r="J1070" s="80"/>
      <c r="K1070" s="342" t="s">
        <v>96</v>
      </c>
      <c r="L1070" s="346" t="s">
        <v>327</v>
      </c>
      <c r="M1070" s="80"/>
      <c r="N1070" s="80" t="s">
        <v>102</v>
      </c>
      <c r="O1070" s="25" t="s">
        <v>105</v>
      </c>
      <c r="P1070" s="92" t="s">
        <v>110</v>
      </c>
      <c r="Q1070" s="80" t="s">
        <v>271</v>
      </c>
      <c r="U1070" s="104" t="str">
        <f>IF(
  AND(
    TRIM(A1070)=TRIM(Enginuity!$A$1),
    TRIM(B1070)=TRIM(Enginuity!$A$17),
    Q1070&lt;&gt;"",
    Q1070&lt;&gt;0,
    OR(
      TRIM(C1070)=TRIM(Enginuity!$A$18),
      AND(UPPER(TRIM(M1070))="STD", TRIM(B1070)=TRIM(Enginuity!$A$17))
    ),
    OR(
      AND(LEFT(P1070,5)="1-Way", Enginuity!$B$13=1),
      AND(LEFT(P1070,5)="2-Way", OR(Enginuity!$B$13=2, Enginuity!$B$13=4)),
      AND(LEFT(P1070,5)="3-Way", OR(Enginuity!$B$13=3, Enginuity!$B$13=6)),
      AND(P1070="Inner Centre Jamb", OR(Enginuity!$B$13=4, Enginuity!$B$13=6)),
      AND(
        LEFT(P1070,5)&lt;&gt;"1-Way",
        LEFT(P1070,5)&lt;&gt;"2-Way",
        LEFT(P1070,5)&lt;&gt;"3-Way",
        P1070&lt;&gt;"Inner Centre Jamb"
      )
    ),
    IF(OR(Enginuity!$A$1="Frameless Glass",Enginuity!$A$1="Metal Work"),
      AND(TRIM(B1070)=TRIM(Enginuity!$A$17),TRIM(C1070)=TRIM(Enginuity!$A$18)),
      TRIM(B1070)=TRIM(Enginuity!$A$17)
    )
  ),
  ROW(),
  ""
)</f>
        <v/>
      </c>
    </row>
    <row r="1071" spans="1:21" x14ac:dyDescent="0.25">
      <c r="A1071" s="10" t="s">
        <v>253</v>
      </c>
      <c r="B1071" s="229" t="s">
        <v>372</v>
      </c>
      <c r="C1071" s="10" t="s">
        <v>373</v>
      </c>
      <c r="D1071" s="14" t="str">
        <f>P1071</f>
        <v>Below 30" x 84" ecobonz 2.5mm Glossy / VACP 800 Series</v>
      </c>
      <c r="E1071" s="248" t="s">
        <v>375</v>
      </c>
      <c r="F1071" s="113" t="s">
        <v>382</v>
      </c>
      <c r="G1071" s="17" t="s">
        <v>381</v>
      </c>
      <c r="H1071" s="10"/>
      <c r="I1071" s="17"/>
      <c r="J1071" s="83"/>
      <c r="K1071" s="344">
        <v>0.171594</v>
      </c>
      <c r="L1071" s="347">
        <v>762</v>
      </c>
      <c r="M1071" s="89">
        <v>1</v>
      </c>
      <c r="N1071" s="10" t="s">
        <v>176</v>
      </c>
      <c r="O1071" s="22">
        <v>267.75</v>
      </c>
      <c r="P1071" s="14" t="s">
        <v>367</v>
      </c>
      <c r="Q1071" s="22" t="str">
        <f>IF(AND(O1071&lt;&gt;"",P1071=Enginuity!$A$19),
   IF(Enginuity!$B$6&gt;4,Enginuity!$B$13,1),
"")</f>
        <v/>
      </c>
      <c r="U1071" s="104" t="str">
        <f>IF(
  AND(
    TRIM(A1071)=TRIM(Enginuity!$A$1),
    TRIM(B1071)=TRIM(Enginuity!$A$17),
    Q1071&lt;&gt;"",
    Q1071&lt;&gt;0,
    OR(
      TRIM(C1071)=TRIM(Enginuity!$A$18),
      AND(UPPER(TRIM(M1071))="STD", TRIM(B1071)=TRIM(Enginuity!$A$17))
    ),
    OR(
      AND(LEFT(P1071,5)="1-Way", Enginuity!$B$13=1),
      AND(LEFT(P1071,5)="2-Way", OR(Enginuity!$B$13=2, Enginuity!$B$13=4)),
      AND(LEFT(P1071,5)="3-Way", OR(Enginuity!$B$13=3, Enginuity!$B$13=6)),
      AND(P1071="Inner Centre Jamb", OR(Enginuity!$B$13=4, Enginuity!$B$13=6)),
      AND(
        LEFT(P1071,5)&lt;&gt;"1-Way",
        LEFT(P1071,5)&lt;&gt;"2-Way",
        LEFT(P1071,5)&lt;&gt;"3-Way",
        P1071&lt;&gt;"Inner Centre Jamb"
      )
    ),
    IF(OR(Enginuity!$A$1="Frameless Glass",Enginuity!$A$1="Metal Work"),
      AND(TRIM(B1071)=TRIM(Enginuity!$A$17),TRIM(C1071)=TRIM(Enginuity!$A$18)),
      TRIM(B1071)=TRIM(Enginuity!$A$17)
    )
  ),
  ROW(),
  ""
)</f>
        <v/>
      </c>
    </row>
    <row r="1072" spans="1:21" x14ac:dyDescent="0.25">
      <c r="A1072" s="10" t="s">
        <v>253</v>
      </c>
      <c r="B1072" s="229" t="s">
        <v>372</v>
      </c>
      <c r="C1072" s="10" t="s">
        <v>373</v>
      </c>
      <c r="D1072" s="14" t="str">
        <f t="shared" ref="D1072:D1078" si="14">P1072</f>
        <v>Below 30" x 84" ecoscreen 2.5mm</v>
      </c>
      <c r="E1072" s="248" t="s">
        <v>376</v>
      </c>
      <c r="F1072" s="113" t="s">
        <v>383</v>
      </c>
      <c r="G1072" s="17"/>
      <c r="H1072" s="10"/>
      <c r="I1072" s="17"/>
      <c r="J1072" s="83"/>
      <c r="K1072" s="343"/>
      <c r="L1072" s="347"/>
      <c r="M1072" s="89">
        <v>2</v>
      </c>
      <c r="N1072" s="10" t="s">
        <v>176</v>
      </c>
      <c r="O1072" s="22">
        <v>288.75</v>
      </c>
      <c r="P1072" s="14" t="s">
        <v>368</v>
      </c>
      <c r="Q1072" s="22" t="str">
        <f>IF(AND(O1072&lt;&gt;"",P1072=Enginuity!$A$19),
   IF(Enginuity!$B$6&gt;4,Enginuity!$B$13,1),
"")</f>
        <v/>
      </c>
      <c r="U1072" s="104" t="str">
        <f>IF(
  AND(
    TRIM(A1072)=TRIM(Enginuity!$A$1),
    TRIM(B1072)=TRIM(Enginuity!$A$17),
    Q1072&lt;&gt;"",
    Q1072&lt;&gt;0,
    OR(
      TRIM(C1072)=TRIM(Enginuity!$A$18),
      AND(UPPER(TRIM(M1072))="STD", TRIM(B1072)=TRIM(Enginuity!$A$17))
    ),
    OR(
      AND(LEFT(P1072,5)="1-Way", Enginuity!$B$13=1),
      AND(LEFT(P1072,5)="2-Way", OR(Enginuity!$B$13=2, Enginuity!$B$13=4)),
      AND(LEFT(P1072,5)="3-Way", OR(Enginuity!$B$13=3, Enginuity!$B$13=6)),
      AND(P1072="Inner Centre Jamb", OR(Enginuity!$B$13=4, Enginuity!$B$13=6)),
      AND(
        LEFT(P1072,5)&lt;&gt;"1-Way",
        LEFT(P1072,5)&lt;&gt;"2-Way",
        LEFT(P1072,5)&lt;&gt;"3-Way",
        P1072&lt;&gt;"Inner Centre Jamb"
      )
    ),
    IF(OR(Enginuity!$A$1="Frameless Glass",Enginuity!$A$1="Metal Work"),
      AND(TRIM(B1072)=TRIM(Enginuity!$A$17),TRIM(C1072)=TRIM(Enginuity!$A$18)),
      TRIM(B1072)=TRIM(Enginuity!$A$17)
    )
  ),
  ROW(),
  ""
)</f>
        <v/>
      </c>
    </row>
    <row r="1073" spans="1:21" x14ac:dyDescent="0.25">
      <c r="A1073" s="10" t="s">
        <v>253</v>
      </c>
      <c r="B1073" s="229" t="s">
        <v>372</v>
      </c>
      <c r="C1073" s="10" t="s">
        <v>373</v>
      </c>
      <c r="D1073" s="14" t="str">
        <f t="shared" si="14"/>
        <v>Below 30" x 84" ecopoly 2.5mm</v>
      </c>
      <c r="E1073" s="157" t="s">
        <v>377</v>
      </c>
      <c r="F1073" s="14" t="s">
        <v>384</v>
      </c>
      <c r="G1073" s="17"/>
      <c r="H1073" s="10"/>
      <c r="I1073" s="17"/>
      <c r="J1073" s="83"/>
      <c r="K1073" s="343"/>
      <c r="L1073" s="347"/>
      <c r="M1073" s="89">
        <f>2+M1071</f>
        <v>3</v>
      </c>
      <c r="N1073" s="10" t="s">
        <v>176</v>
      </c>
      <c r="O1073" s="22">
        <v>309.75</v>
      </c>
      <c r="P1073" s="14" t="s">
        <v>369</v>
      </c>
      <c r="Q1073" s="22" t="str">
        <f>IF(AND(O1073&lt;&gt;"",P1073=Enginuity!$A$19),
   IF(Enginuity!$B$6&gt;4,Enginuity!$B$13,1),
"")</f>
        <v/>
      </c>
      <c r="U1073" s="104" t="str">
        <f>IF(
  AND(
    TRIM(A1073)=TRIM(Enginuity!$A$1),
    TRIM(B1073)=TRIM(Enginuity!$A$17),
    Q1073&lt;&gt;"",
    Q1073&lt;&gt;0,
    OR(
      TRIM(C1073)=TRIM(Enginuity!$A$18),
      AND(UPPER(TRIM(M1073))="STD", TRIM(B1073)=TRIM(Enginuity!$A$17))
    ),
    OR(
      AND(LEFT(P1073,5)="1-Way", Enginuity!$B$13=1),
      AND(LEFT(P1073,5)="2-Way", OR(Enginuity!$B$13=2, Enginuity!$B$13=4)),
      AND(LEFT(P1073,5)="3-Way", OR(Enginuity!$B$13=3, Enginuity!$B$13=6)),
      AND(P1073="Inner Centre Jamb", OR(Enginuity!$B$13=4, Enginuity!$B$13=6)),
      AND(
        LEFT(P1073,5)&lt;&gt;"1-Way",
        LEFT(P1073,5)&lt;&gt;"2-Way",
        LEFT(P1073,5)&lt;&gt;"3-Way",
        P1073&lt;&gt;"Inner Centre Jamb"
      )
    ),
    IF(OR(Enginuity!$A$1="Frameless Glass",Enginuity!$A$1="Metal Work"),
      AND(TRIM(B1073)=TRIM(Enginuity!$A$17),TRIM(C1073)=TRIM(Enginuity!$A$18)),
      TRIM(B1073)=TRIM(Enginuity!$A$17)
    )
  ),
  ROW(),
  ""
)</f>
        <v/>
      </c>
    </row>
    <row r="1074" spans="1:21" x14ac:dyDescent="0.25">
      <c r="A1074" s="10" t="s">
        <v>253</v>
      </c>
      <c r="B1074" s="229" t="s">
        <v>372</v>
      </c>
      <c r="C1074" s="10" t="s">
        <v>373</v>
      </c>
      <c r="D1074" s="14" t="str">
        <f t="shared" si="14"/>
        <v>Below 30" x 84" Aerolite</v>
      </c>
      <c r="E1074" s="157" t="s">
        <v>378</v>
      </c>
      <c r="F1074" s="14"/>
      <c r="G1074" s="17"/>
      <c r="H1074" s="10"/>
      <c r="I1074" s="17"/>
      <c r="J1074" s="83"/>
      <c r="K1074" s="343"/>
      <c r="L1074" s="347"/>
      <c r="M1074" s="89">
        <f t="shared" ref="M1074:M1113" si="15">2+M1072</f>
        <v>4</v>
      </c>
      <c r="N1074" s="10" t="s">
        <v>176</v>
      </c>
      <c r="O1074" s="22">
        <v>330.75</v>
      </c>
      <c r="P1074" s="14" t="s">
        <v>370</v>
      </c>
      <c r="Q1074" s="22" t="str">
        <f>IF(AND(O1074&lt;&gt;"",P1074=Enginuity!$A$19),
   IF(Enginuity!$B$6&gt;4,Enginuity!$B$13,1),
"")</f>
        <v/>
      </c>
      <c r="U1074" s="104" t="str">
        <f>IF(
  AND(
    TRIM(A1074)=TRIM(Enginuity!$A$1),
    TRIM(B1074)=TRIM(Enginuity!$A$17),
    Q1074&lt;&gt;"",
    Q1074&lt;&gt;0,
    OR(
      TRIM(C1074)=TRIM(Enginuity!$A$18),
      AND(UPPER(TRIM(M1074))="STD", TRIM(B1074)=TRIM(Enginuity!$A$17))
    ),
    OR(
      AND(LEFT(P1074,5)="1-Way", Enginuity!$B$13=1),
      AND(LEFT(P1074,5)="2-Way", OR(Enginuity!$B$13=2, Enginuity!$B$13=4)),
      AND(LEFT(P1074,5)="3-Way", OR(Enginuity!$B$13=3, Enginuity!$B$13=6)),
      AND(P1074="Inner Centre Jamb", OR(Enginuity!$B$13=4, Enginuity!$B$13=6)),
      AND(
        LEFT(P1074,5)&lt;&gt;"1-Way",
        LEFT(P1074,5)&lt;&gt;"2-Way",
        LEFT(P1074,5)&lt;&gt;"3-Way",
        P1074&lt;&gt;"Inner Centre Jamb"
      )
    ),
    IF(OR(Enginuity!$A$1="Frameless Glass",Enginuity!$A$1="Metal Work"),
      AND(TRIM(B1074)=TRIM(Enginuity!$A$17),TRIM(C1074)=TRIM(Enginuity!$A$18)),
      TRIM(B1074)=TRIM(Enginuity!$A$17)
    )
  ),
  ROW(),
  ""
)</f>
        <v/>
      </c>
    </row>
    <row r="1075" spans="1:21" x14ac:dyDescent="0.25">
      <c r="A1075" s="10" t="s">
        <v>253</v>
      </c>
      <c r="B1075" s="229" t="s">
        <v>372</v>
      </c>
      <c r="C1075" s="10" t="s">
        <v>373</v>
      </c>
      <c r="D1075" s="14" t="str">
        <f t="shared" si="14"/>
        <v>1. Below 30" x 84" Composite</v>
      </c>
      <c r="E1075" s="157" t="s">
        <v>379</v>
      </c>
      <c r="F1075" s="14"/>
      <c r="G1075" s="17"/>
      <c r="H1075" s="10"/>
      <c r="I1075" s="17"/>
      <c r="J1075" s="83"/>
      <c r="K1075" s="343"/>
      <c r="L1075" s="347"/>
      <c r="M1075" s="89">
        <f t="shared" si="15"/>
        <v>5</v>
      </c>
      <c r="N1075" s="10" t="s">
        <v>176</v>
      </c>
      <c r="O1075" s="22">
        <v>257.25</v>
      </c>
      <c r="P1075" s="14" t="s">
        <v>374</v>
      </c>
      <c r="Q1075" s="22" t="str">
        <f>IF(AND(O1075&lt;&gt;"",P1075=Enginuity!$A$19),
   IF(Enginuity!$B$6&gt;4,Enginuity!$B$13,1),
"")</f>
        <v/>
      </c>
      <c r="U1075" s="104" t="str">
        <f>IF(
  AND(
    TRIM(A1075)=TRIM(Enginuity!$A$1),
    TRIM(B1075)=TRIM(Enginuity!$A$17),
    Q1075&lt;&gt;"",
    Q1075&lt;&gt;0,
    OR(
      TRIM(C1075)=TRIM(Enginuity!$A$18),
      AND(UPPER(TRIM(M1075))="STD", TRIM(B1075)=TRIM(Enginuity!$A$17))
    ),
    OR(
      AND(LEFT(P1075,5)="1-Way", Enginuity!$B$13=1),
      AND(LEFT(P1075,5)="2-Way", OR(Enginuity!$B$13=2, Enginuity!$B$13=4)),
      AND(LEFT(P1075,5)="3-Way", OR(Enginuity!$B$13=3, Enginuity!$B$13=6)),
      AND(P1075="Inner Centre Jamb", OR(Enginuity!$B$13=4, Enginuity!$B$13=6)),
      AND(
        LEFT(P1075,5)&lt;&gt;"1-Way",
        LEFT(P1075,5)&lt;&gt;"2-Way",
        LEFT(P1075,5)&lt;&gt;"3-Way",
        P1075&lt;&gt;"Inner Centre Jamb"
      )
    ),
    IF(OR(Enginuity!$A$1="Frameless Glass",Enginuity!$A$1="Metal Work"),
      AND(TRIM(B1075)=TRIM(Enginuity!$A$17),TRIM(C1075)=TRIM(Enginuity!$A$18)),
      TRIM(B1075)=TRIM(Enginuity!$A$17)
    )
  ),
  ROW(),
  ""
)</f>
        <v/>
      </c>
    </row>
    <row r="1076" spans="1:21" x14ac:dyDescent="0.25">
      <c r="A1076" s="10" t="s">
        <v>253</v>
      </c>
      <c r="B1076" s="229" t="s">
        <v>372</v>
      </c>
      <c r="C1076" s="10" t="s">
        <v>373</v>
      </c>
      <c r="D1076" s="14" t="str">
        <f t="shared" si="14"/>
        <v xml:space="preserve">Below 30" x 84" N.Glass + Lamina Film / N.Dark Grey </v>
      </c>
      <c r="E1076" s="157"/>
      <c r="F1076" s="14"/>
      <c r="G1076" s="17"/>
      <c r="H1076" s="10"/>
      <c r="I1076" s="17"/>
      <c r="J1076" s="83"/>
      <c r="K1076" s="343"/>
      <c r="L1076" s="347"/>
      <c r="M1076" s="89">
        <f t="shared" si="15"/>
        <v>6</v>
      </c>
      <c r="N1076" s="10" t="s">
        <v>176</v>
      </c>
      <c r="O1076" s="22">
        <v>288.75</v>
      </c>
      <c r="P1076" s="14" t="s">
        <v>937</v>
      </c>
      <c r="Q1076" s="22" t="str">
        <f>IF(AND(O1076&lt;&gt;"",P1076=Enginuity!$A$19),
   IF(Enginuity!$B$6&gt;4,Enginuity!$B$13,1),
"")</f>
        <v/>
      </c>
      <c r="U1076" s="104" t="str">
        <f>IF(
  AND(
    TRIM(A1076)=TRIM(Enginuity!$A$1),
    TRIM(B1076)=TRIM(Enginuity!$A$17),
    Q1076&lt;&gt;"",
    Q1076&lt;&gt;0,
    OR(
      TRIM(C1076)=TRIM(Enginuity!$A$18),
      AND(UPPER(TRIM(M1076))="STD", TRIM(B1076)=TRIM(Enginuity!$A$17))
    ),
    OR(
      AND(LEFT(P1076,5)="1-Way", Enginuity!$B$13=1),
      AND(LEFT(P1076,5)="2-Way", OR(Enginuity!$B$13=2, Enginuity!$B$13=4)),
      AND(LEFT(P1076,5)="3-Way", OR(Enginuity!$B$13=3, Enginuity!$B$13=6)),
      AND(P1076="Inner Centre Jamb", OR(Enginuity!$B$13=4, Enginuity!$B$13=6)),
      AND(
        LEFT(P1076,5)&lt;&gt;"1-Way",
        LEFT(P1076,5)&lt;&gt;"2-Way",
        LEFT(P1076,5)&lt;&gt;"3-Way",
        P1076&lt;&gt;"Inner Centre Jamb"
      )
    ),
    IF(OR(Enginuity!$A$1="Frameless Glass",Enginuity!$A$1="Metal Work"),
      AND(TRIM(B1076)=TRIM(Enginuity!$A$17),TRIM(C1076)=TRIM(Enginuity!$A$18)),
      TRIM(B1076)=TRIM(Enginuity!$A$17)
    )
  ),
  ROW(),
  ""
)</f>
        <v/>
      </c>
    </row>
    <row r="1077" spans="1:21" x14ac:dyDescent="0.25">
      <c r="A1077" s="10" t="s">
        <v>253</v>
      </c>
      <c r="B1077" s="229" t="s">
        <v>372</v>
      </c>
      <c r="C1077" s="10" t="s">
        <v>373</v>
      </c>
      <c r="D1077" s="14" t="str">
        <f t="shared" si="14"/>
        <v>Below 30" x 84" N.Clear Glass</v>
      </c>
      <c r="E1077" s="157"/>
      <c r="F1077" s="14"/>
      <c r="G1077" s="17"/>
      <c r="H1077" s="10"/>
      <c r="I1077" s="17"/>
      <c r="J1077" s="83"/>
      <c r="K1077" s="343"/>
      <c r="L1077" s="347"/>
      <c r="M1077" s="89">
        <f t="shared" si="15"/>
        <v>7</v>
      </c>
      <c r="N1077" s="10" t="s">
        <v>176</v>
      </c>
      <c r="O1077" s="22">
        <v>278.25</v>
      </c>
      <c r="P1077" s="14" t="s">
        <v>938</v>
      </c>
      <c r="Q1077" s="22" t="str">
        <f>IF(AND(O1077&lt;&gt;"",P1077=Enginuity!$A$19),
   IF(Enginuity!$B$6&gt;4,Enginuity!$B$13,1),
"")</f>
        <v/>
      </c>
      <c r="U1077" s="104" t="str">
        <f>IF(
  AND(
    TRIM(A1077)=TRIM(Enginuity!$A$1),
    TRIM(B1077)=TRIM(Enginuity!$A$17),
    Q1077&lt;&gt;"",
    Q1077&lt;&gt;0,
    OR(
      TRIM(C1077)=TRIM(Enginuity!$A$18),
      AND(UPPER(TRIM(M1077))="STD", TRIM(B1077)=TRIM(Enginuity!$A$17))
    ),
    OR(
      AND(LEFT(P1077,5)="1-Way", Enginuity!$B$13=1),
      AND(LEFT(P1077,5)="2-Way", OR(Enginuity!$B$13=2, Enginuity!$B$13=4)),
      AND(LEFT(P1077,5)="3-Way", OR(Enginuity!$B$13=3, Enginuity!$B$13=6)),
      AND(P1077="Inner Centre Jamb", OR(Enginuity!$B$13=4, Enginuity!$B$13=6)),
      AND(
        LEFT(P1077,5)&lt;&gt;"1-Way",
        LEFT(P1077,5)&lt;&gt;"2-Way",
        LEFT(P1077,5)&lt;&gt;"3-Way",
        P1077&lt;&gt;"Inner Centre Jamb"
      )
    ),
    IF(OR(Enginuity!$A$1="Frameless Glass",Enginuity!$A$1="Metal Work"),
      AND(TRIM(B1077)=TRIM(Enginuity!$A$17),TRIM(C1077)=TRIM(Enginuity!$A$18)),
      TRIM(B1077)=TRIM(Enginuity!$A$17)
    )
  ),
  ROW(),
  ""
)</f>
        <v/>
      </c>
    </row>
    <row r="1078" spans="1:21" x14ac:dyDescent="0.25">
      <c r="A1078" s="10" t="s">
        <v>253</v>
      </c>
      <c r="B1078" s="229" t="s">
        <v>372</v>
      </c>
      <c r="C1078" s="10" t="s">
        <v>373</v>
      </c>
      <c r="D1078" s="14" t="str">
        <f t="shared" si="14"/>
        <v>Below 30" x 84" Tempered Glass</v>
      </c>
      <c r="E1078" s="157"/>
      <c r="F1078" s="14"/>
      <c r="G1078" s="17"/>
      <c r="H1078" s="10"/>
      <c r="I1078" s="17"/>
      <c r="J1078" s="83"/>
      <c r="K1078" s="343"/>
      <c r="L1078" s="347"/>
      <c r="M1078" s="89">
        <f t="shared" si="15"/>
        <v>8</v>
      </c>
      <c r="N1078" s="10" t="s">
        <v>176</v>
      </c>
      <c r="O1078" s="22">
        <v>372.75</v>
      </c>
      <c r="P1078" s="14" t="s">
        <v>939</v>
      </c>
      <c r="Q1078" s="22" t="str">
        <f>IF(AND(O1078&lt;&gt;"",P1078=Enginuity!$A$19),
   IF(Enginuity!$B$6&gt;4,Enginuity!$B$13,1),
"")</f>
        <v/>
      </c>
      <c r="U1078" s="104" t="str">
        <f>IF(
  AND(
    TRIM(A1078)=TRIM(Enginuity!$A$1),
    TRIM(B1078)=TRIM(Enginuity!$A$17),
    Q1078&lt;&gt;"",
    Q1078&lt;&gt;0,
    OR(
      TRIM(C1078)=TRIM(Enginuity!$A$18),
      AND(UPPER(TRIM(M1078))="STD", TRIM(B1078)=TRIM(Enginuity!$A$17))
    ),
    OR(
      AND(LEFT(P1078,5)="1-Way", Enginuity!$B$13=1),
      AND(LEFT(P1078,5)="2-Way", OR(Enginuity!$B$13=2, Enginuity!$B$13=4)),
      AND(LEFT(P1078,5)="3-Way", OR(Enginuity!$B$13=3, Enginuity!$B$13=6)),
      AND(P1078="Inner Centre Jamb", OR(Enginuity!$B$13=4, Enginuity!$B$13=6)),
      AND(
        LEFT(P1078,5)&lt;&gt;"1-Way",
        LEFT(P1078,5)&lt;&gt;"2-Way",
        LEFT(P1078,5)&lt;&gt;"3-Way",
        P1078&lt;&gt;"Inner Centre Jamb"
      )
    ),
    IF(OR(Enginuity!$A$1="Frameless Glass",Enginuity!$A$1="Metal Work"),
      AND(TRIM(B1078)=TRIM(Enginuity!$A$17),TRIM(C1078)=TRIM(Enginuity!$A$18)),
      TRIM(B1078)=TRIM(Enginuity!$A$17)
    )
  ),
  ROW(),
  ""
)</f>
        <v/>
      </c>
    </row>
    <row r="1079" spans="1:21" x14ac:dyDescent="0.25">
      <c r="A1079" s="10" t="s">
        <v>253</v>
      </c>
      <c r="B1079" s="229" t="s">
        <v>372</v>
      </c>
      <c r="C1079" s="10" t="s">
        <v>373</v>
      </c>
      <c r="D1079" s="14" t="str">
        <f>P1079</f>
        <v>Below 30" x 84" Full Louvers</v>
      </c>
      <c r="E1079" s="157"/>
      <c r="F1079" s="14"/>
      <c r="G1079" s="17"/>
      <c r="H1079" s="10"/>
      <c r="I1079" s="17"/>
      <c r="J1079" s="83"/>
      <c r="K1079" s="343"/>
      <c r="L1079" s="347"/>
      <c r="M1079" s="89">
        <f t="shared" si="15"/>
        <v>9</v>
      </c>
      <c r="N1079" s="10" t="s">
        <v>176</v>
      </c>
      <c r="O1079" s="22">
        <v>588</v>
      </c>
      <c r="P1079" s="14" t="s">
        <v>371</v>
      </c>
      <c r="Q1079" s="22" t="str">
        <f>IF(AND(O1079&lt;&gt;"",P1079=Enginuity!$A$19),
   IF(Enginuity!$B$6&gt;4,Enginuity!$B$13,1),
"")</f>
        <v/>
      </c>
      <c r="U1079" s="104" t="str">
        <f>IF(
  AND(
    TRIM(A1079)=TRIM(Enginuity!$A$1),
    TRIM(B1079)=TRIM(Enginuity!$A$17),
    Q1079&lt;&gt;"",
    Q1079&lt;&gt;0,
    OR(
      TRIM(C1079)=TRIM(Enginuity!$A$18),
      AND(UPPER(TRIM(M1079))="STD", TRIM(B1079)=TRIM(Enginuity!$A$17))
    ),
    OR(
      AND(LEFT(P1079,5)="1-Way", Enginuity!$B$13=1),
      AND(LEFT(P1079,5)="2-Way", OR(Enginuity!$B$13=2, Enginuity!$B$13=4)),
      AND(LEFT(P1079,5)="3-Way", OR(Enginuity!$B$13=3, Enginuity!$B$13=6)),
      AND(P1079="Inner Centre Jamb", OR(Enginuity!$B$13=4, Enginuity!$B$13=6)),
      AND(
        LEFT(P1079,5)&lt;&gt;"1-Way",
        LEFT(P1079,5)&lt;&gt;"2-Way",
        LEFT(P1079,5)&lt;&gt;"3-Way",
        P1079&lt;&gt;"Inner Centre Jamb"
      )
    ),
    IF(OR(Enginuity!$A$1="Frameless Glass",Enginuity!$A$1="Metal Work"),
      AND(TRIM(B1079)=TRIM(Enginuity!$A$17),TRIM(C1079)=TRIM(Enginuity!$A$18)),
      TRIM(B1079)=TRIM(Enginuity!$A$17)
    )
  ),
  ROW(),
  ""
)</f>
        <v/>
      </c>
    </row>
    <row r="1080" spans="1:21" x14ac:dyDescent="0.25">
      <c r="A1080" s="10" t="s">
        <v>253</v>
      </c>
      <c r="B1080" s="229" t="s">
        <v>372</v>
      </c>
      <c r="C1080" s="10" t="s">
        <v>373</v>
      </c>
      <c r="D1080" s="108"/>
      <c r="E1080" s="157"/>
      <c r="F1080" s="14"/>
      <c r="G1080" s="17"/>
      <c r="H1080" s="10"/>
      <c r="I1080" s="17"/>
      <c r="J1080" s="83"/>
      <c r="K1080" s="344"/>
      <c r="L1080" s="347"/>
      <c r="M1080" s="89">
        <v>10</v>
      </c>
      <c r="N1080" s="10" t="s">
        <v>121</v>
      </c>
      <c r="O1080" s="22">
        <f>IF(ISNUMBER(SEARCH("Louvers",Enginuity!$A$19)),AllMaterialsbak!$B$11,AllMaterialsbak!$B$10)</f>
        <v>26.25</v>
      </c>
      <c r="P1080" s="108" t="str">
        <f>$A$10</f>
        <v>Additional Size Complete Set</v>
      </c>
      <c r="Q10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38</v>
      </c>
      <c r="U1080" s="104" t="str">
        <f>IF(
  AND(
    TRIM(A1080)=TRIM(Enginuity!$A$1),
    TRIM(B1080)=TRIM(Enginuity!$A$17),
    Q1080&lt;&gt;"",
    Q1080&lt;&gt;0,
    OR(
      TRIM(C1080)=TRIM(Enginuity!$A$18),
      AND(UPPER(TRIM(M1080))="STD", TRIM(B1080)=TRIM(Enginuity!$A$17))
    ),
    OR(
      AND(LEFT(P1080,5)="1-Way", Enginuity!$B$13=1),
      AND(LEFT(P1080,5)="2-Way", OR(Enginuity!$B$13=2, Enginuity!$B$13=4)),
      AND(LEFT(P1080,5)="3-Way", OR(Enginuity!$B$13=3, Enginuity!$B$13=6)),
      AND(P1080="Inner Centre Jamb", OR(Enginuity!$B$13=4, Enginuity!$B$13=6)),
      AND(
        LEFT(P1080,5)&lt;&gt;"1-Way",
        LEFT(P1080,5)&lt;&gt;"2-Way",
        LEFT(P1080,5)&lt;&gt;"3-Way",
        P1080&lt;&gt;"Inner Centre Jamb"
      )
    ),
    IF(OR(Enginuity!$A$1="Frameless Glass",Enginuity!$A$1="Metal Work"),
      AND(TRIM(B1080)=TRIM(Enginuity!$A$17),TRIM(C1080)=TRIM(Enginuity!$A$18)),
      TRIM(B1080)=TRIM(Enginuity!$A$17)
    )
  ),
  ROW(),
  ""
)</f>
        <v/>
      </c>
    </row>
    <row r="1081" spans="1:21" x14ac:dyDescent="0.25">
      <c r="A1081" s="10" t="s">
        <v>253</v>
      </c>
      <c r="B1081" s="229" t="s">
        <v>372</v>
      </c>
      <c r="C1081" s="10" t="s">
        <v>373</v>
      </c>
      <c r="D1081" s="14"/>
      <c r="E1081" s="157"/>
      <c r="F1081" s="14"/>
      <c r="G1081" s="17"/>
      <c r="H1081" s="10"/>
      <c r="I1081" s="17"/>
      <c r="J1081" s="83"/>
      <c r="K1081" s="344"/>
      <c r="L1081" s="347"/>
      <c r="M1081" s="89"/>
      <c r="N1081" s="10" t="s">
        <v>121</v>
      </c>
      <c r="O1081" s="22">
        <f>IF(Q1081&lt;&gt;"", $B$19, "")</f>
        <v>29.93</v>
      </c>
      <c r="P1081" s="106" t="s">
        <v>380</v>
      </c>
      <c r="Q1081" s="22">
        <f>IF(Enginuity!$B$7&gt;8,MAX((Enginuity!$B$7-8)*Enginuity!$B$6,3),"")</f>
        <v>100</v>
      </c>
      <c r="U1081" s="104" t="str">
        <f>IF(
  AND(
    TRIM(A1081)=TRIM(Enginuity!$A$1),
    TRIM(B1081)=TRIM(Enginuity!$A$17),
    Q1081&lt;&gt;"",
    Q1081&lt;&gt;0,
    OR(
      TRIM(C1081)=TRIM(Enginuity!$A$18),
      AND(UPPER(TRIM(M1081))="STD", TRIM(B1081)=TRIM(Enginuity!$A$17))
    ),
    OR(
      AND(LEFT(P1081,5)="1-Way", Enginuity!$B$13=1),
      AND(LEFT(P1081,5)="2-Way", OR(Enginuity!$B$13=2, Enginuity!$B$13=4)),
      AND(LEFT(P1081,5)="3-Way", OR(Enginuity!$B$13=3, Enginuity!$B$13=6)),
      AND(P1081="Inner Centre Jamb", OR(Enginuity!$B$13=4, Enginuity!$B$13=6)),
      AND(
        LEFT(P1081,5)&lt;&gt;"1-Way",
        LEFT(P1081,5)&lt;&gt;"2-Way",
        LEFT(P1081,5)&lt;&gt;"3-Way",
        P1081&lt;&gt;"Inner Centre Jamb"
      )
    ),
    IF(OR(Enginuity!$A$1="Frameless Glass",Enginuity!$A$1="Metal Work"),
      AND(TRIM(B1081)=TRIM(Enginuity!$A$17),TRIM(C1081)=TRIM(Enginuity!$A$18)),
      TRIM(B1081)=TRIM(Enginuity!$A$17)
    )
  ),
  ROW(),
  ""
)</f>
        <v/>
      </c>
    </row>
    <row r="1082" spans="1:21" x14ac:dyDescent="0.25">
      <c r="A1082" s="10" t="s">
        <v>253</v>
      </c>
      <c r="B1082" s="229" t="s">
        <v>372</v>
      </c>
      <c r="C1082" s="10" t="s">
        <v>373</v>
      </c>
      <c r="D1082" s="14"/>
      <c r="E1082" s="157"/>
      <c r="F1082" s="14"/>
      <c r="G1082" s="17"/>
      <c r="H1082" s="10"/>
      <c r="I1082" s="17"/>
      <c r="J1082" s="83"/>
      <c r="K1082" s="343"/>
      <c r="L1082" s="347"/>
      <c r="M1082" s="89"/>
      <c r="N1082" s="10" t="s">
        <v>176</v>
      </c>
      <c r="O1082" s="22">
        <f>$B$20</f>
        <v>65</v>
      </c>
      <c r="P1082" s="106" t="s">
        <v>389</v>
      </c>
      <c r="Q1082" s="22" t="str">
        <f>IF(AND(Enginuity!$A$21="Supply &amp; Install",Enginuity!$B$7&gt;8),1,"")</f>
        <v/>
      </c>
      <c r="U1082" s="104" t="str">
        <f>IF(
  AND(
    TRIM(A1082)=TRIM(Enginuity!$A$1),
    TRIM(B1082)=TRIM(Enginuity!$A$17),
    Q1082&lt;&gt;"",
    Q1082&lt;&gt;0,
    OR(
      TRIM(C1082)=TRIM(Enginuity!$A$18),
      AND(UPPER(TRIM(M1082))="STD", TRIM(B1082)=TRIM(Enginuity!$A$17))
    ),
    OR(
      AND(LEFT(P1082,5)="1-Way", Enginuity!$B$13=1),
      AND(LEFT(P1082,5)="2-Way", OR(Enginuity!$B$13=2, Enginuity!$B$13=4)),
      AND(LEFT(P1082,5)="3-Way", OR(Enginuity!$B$13=3, Enginuity!$B$13=6)),
      AND(P1082="Inner Centre Jamb", OR(Enginuity!$B$13=4, Enginuity!$B$13=6)),
      AND(
        LEFT(P1082,5)&lt;&gt;"1-Way",
        LEFT(P1082,5)&lt;&gt;"2-Way",
        LEFT(P1082,5)&lt;&gt;"3-Way",
        P1082&lt;&gt;"Inner Centre Jamb"
      )
    ),
    IF(OR(Enginuity!$A$1="Frameless Glass",Enginuity!$A$1="Metal Work"),
      AND(TRIM(B1082)=TRIM(Enginuity!$A$17),TRIM(C1082)=TRIM(Enginuity!$A$18)),
      TRIM(B1082)=TRIM(Enginuity!$A$17)
    )
  ),
  ROW(),
  ""
)</f>
        <v/>
      </c>
    </row>
    <row r="1083" spans="1:21" x14ac:dyDescent="0.25">
      <c r="A1083" s="10" t="s">
        <v>253</v>
      </c>
      <c r="B1083" s="229" t="s">
        <v>372</v>
      </c>
      <c r="C1083" s="10" t="s">
        <v>373</v>
      </c>
      <c r="D1083" s="14"/>
      <c r="E1083" s="157"/>
      <c r="F1083" s="14"/>
      <c r="G1083" s="17"/>
      <c r="H1083" s="10"/>
      <c r="I1083" s="17"/>
      <c r="J1083" s="83"/>
      <c r="K1083" s="343"/>
      <c r="L1083" s="347"/>
      <c r="M1083" s="89"/>
      <c r="N1083" s="10" t="s">
        <v>176</v>
      </c>
      <c r="O1083" s="22">
        <f>IF(Enginuity!$B$13&gt;1, $B$18, "")</f>
        <v>30</v>
      </c>
      <c r="P1083" s="14" t="s">
        <v>388</v>
      </c>
      <c r="Q1083" s="22">
        <f>IF(AND(O1083&lt;&gt;"",Enginuity!$B$6&gt;4),Enginuity!$B$13,"")</f>
        <v>7</v>
      </c>
      <c r="U1083" s="104" t="str">
        <f>IF(
  AND(
    TRIM(A1083)=TRIM(Enginuity!$A$1),
    TRIM(B1083)=TRIM(Enginuity!$A$17),
    Q1083&lt;&gt;"",
    Q1083&lt;&gt;0,
    OR(
      TRIM(C1083)=TRIM(Enginuity!$A$18),
      AND(UPPER(TRIM(M1083))="STD", TRIM(B1083)=TRIM(Enginuity!$A$17))
    ),
    OR(
      AND(LEFT(P1083,5)="1-Way", Enginuity!$B$13=1),
      AND(LEFT(P1083,5)="2-Way", OR(Enginuity!$B$13=2, Enginuity!$B$13=4)),
      AND(LEFT(P1083,5)="3-Way", OR(Enginuity!$B$13=3, Enginuity!$B$13=6)),
      AND(P1083="Inner Centre Jamb", OR(Enginuity!$B$13=4, Enginuity!$B$13=6)),
      AND(
        LEFT(P1083,5)&lt;&gt;"1-Way",
        LEFT(P1083,5)&lt;&gt;"2-Way",
        LEFT(P1083,5)&lt;&gt;"3-Way",
        P1083&lt;&gt;"Inner Centre Jamb"
      )
    ),
    IF(OR(Enginuity!$A$1="Frameless Glass",Enginuity!$A$1="Metal Work"),
      AND(TRIM(B1083)=TRIM(Enginuity!$A$17),TRIM(C1083)=TRIM(Enginuity!$A$18)),
      TRIM(B1083)=TRIM(Enginuity!$A$17)
    )
  ),
  ROW(),
  ""
)</f>
        <v/>
      </c>
    </row>
    <row r="1084" spans="1:21" x14ac:dyDescent="0.25">
      <c r="A1084" s="10" t="s">
        <v>253</v>
      </c>
      <c r="B1084" s="229" t="s">
        <v>372</v>
      </c>
      <c r="C1084" s="10" t="s">
        <v>373</v>
      </c>
      <c r="D1084" s="14"/>
      <c r="E1084" s="157"/>
      <c r="F1084" s="14"/>
      <c r="G1084" s="17"/>
      <c r="H1084" s="10"/>
      <c r="I1084" s="17"/>
      <c r="J1084" s="83"/>
      <c r="K1084" s="343"/>
      <c r="L1084" s="347"/>
      <c r="M1084" s="89"/>
      <c r="N1084" s="10" t="s">
        <v>121</v>
      </c>
      <c r="O10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084" s="106" t="str">
        <f>Enginuity!$A$20</f>
        <v>Z-Louvre Blade - 5"</v>
      </c>
      <c r="Q1084" s="22" t="str">
        <f>IF(O1084&lt;&gt;"",IF(Enginuity!$B$6&gt;4,Enginuity!$B$13,1),"")</f>
        <v/>
      </c>
      <c r="U1084" s="104" t="str">
        <f>IF(
  AND(
    TRIM(A1084)=TRIM(Enginuity!$A$1),
    TRIM(B1084)=TRIM(Enginuity!$A$17),
    Q1084&lt;&gt;"",
    Q1084&lt;&gt;0,
    OR(
      TRIM(C1084)=TRIM(Enginuity!$A$18),
      AND(UPPER(TRIM(M1084))="STD", TRIM(B1084)=TRIM(Enginuity!$A$17))
    ),
    OR(
      AND(LEFT(P1084,5)="1-Way", Enginuity!$B$13=1),
      AND(LEFT(P1084,5)="2-Way", OR(Enginuity!$B$13=2, Enginuity!$B$13=4)),
      AND(LEFT(P1084,5)="3-Way", OR(Enginuity!$B$13=3, Enginuity!$B$13=6)),
      AND(P1084="Inner Centre Jamb", OR(Enginuity!$B$13=4, Enginuity!$B$13=6)),
      AND(
        LEFT(P1084,5)&lt;&gt;"1-Way",
        LEFT(P1084,5)&lt;&gt;"2-Way",
        LEFT(P1084,5)&lt;&gt;"3-Way",
        P1084&lt;&gt;"Inner Centre Jamb"
      )
    ),
    IF(OR(Enginuity!$A$1="Frameless Glass",Enginuity!$A$1="Metal Work"),
      AND(TRIM(B1084)=TRIM(Enginuity!$A$17),TRIM(C1084)=TRIM(Enginuity!$A$18)),
      TRIM(B1084)=TRIM(Enginuity!$A$17)
    )
  ),
  ROW(),
  ""
)</f>
        <v/>
      </c>
    </row>
    <row r="1085" spans="1:21" x14ac:dyDescent="0.25">
      <c r="A1085" s="10" t="s">
        <v>253</v>
      </c>
      <c r="B1085" s="229" t="s">
        <v>372</v>
      </c>
      <c r="C1085" s="10" t="s">
        <v>373</v>
      </c>
      <c r="D1085" s="14"/>
      <c r="E1085" s="157"/>
      <c r="F1085" s="14"/>
      <c r="G1085" s="17"/>
      <c r="H1085" s="10"/>
      <c r="I1085" s="17"/>
      <c r="J1085" s="83"/>
      <c r="K1085" s="343"/>
      <c r="L1085" s="347"/>
      <c r="M1085" s="89"/>
      <c r="N1085" s="10" t="s">
        <v>176</v>
      </c>
      <c r="O1085" s="22" t="str">
        <f>IF(Enginuity!$A$21="Supply &amp; Install",65,
IF(Enginuity!$A$21="Supply &amp; Courier",20,
IF(Enginuity!$A$21="Self Collect",0,
"")))</f>
        <v/>
      </c>
      <c r="P1085" s="5" t="str">
        <f>Enginuity!$A$21</f>
        <v>SF 4"</v>
      </c>
      <c r="Q1085" s="22" t="str">
        <f>IF(O1085&lt;&gt;"",IF(Enginuity!$B$6&gt;4,Enginuity!$B$13,1),"")</f>
        <v/>
      </c>
      <c r="U1085" s="104" t="str">
        <f>IF(
  AND(
    TRIM(A1085)=TRIM(Enginuity!$A$1),
    TRIM(B1085)=TRIM(Enginuity!$A$17),
    Q1085&lt;&gt;"",
    Q1085&lt;&gt;0,
    OR(
      TRIM(C1085)=TRIM(Enginuity!$A$18),
      AND(UPPER(TRIM(M1085))="STD", TRIM(B1085)=TRIM(Enginuity!$A$17))
    ),
    OR(
      AND(LEFT(P1085,5)="1-Way", Enginuity!$B$13=1),
      AND(LEFT(P1085,5)="2-Way", OR(Enginuity!$B$13=2, Enginuity!$B$13=4)),
      AND(LEFT(P1085,5)="3-Way", OR(Enginuity!$B$13=3, Enginuity!$B$13=6)),
      AND(P1085="Inner Centre Jamb", OR(Enginuity!$B$13=4, Enginuity!$B$13=6)),
      AND(
        LEFT(P1085,5)&lt;&gt;"1-Way",
        LEFT(P1085,5)&lt;&gt;"2-Way",
        LEFT(P1085,5)&lt;&gt;"3-Way",
        P1085&lt;&gt;"Inner Centre Jamb"
      )
    ),
    IF(OR(Enginuity!$A$1="Frameless Glass",Enginuity!$A$1="Metal Work"),
      AND(TRIM(B1085)=TRIM(Enginuity!$A$17),TRIM(C1085)=TRIM(Enginuity!$A$18)),
      TRIM(B1085)=TRIM(Enginuity!$A$17)
    )
  ),
  ROW(),
  ""
)</f>
        <v/>
      </c>
    </row>
    <row r="1086" spans="1:21" x14ac:dyDescent="0.25">
      <c r="A1086" s="10" t="s">
        <v>253</v>
      </c>
      <c r="B1086" s="229" t="s">
        <v>372</v>
      </c>
      <c r="C1086" s="10" t="s">
        <v>373</v>
      </c>
      <c r="D1086" s="14"/>
      <c r="E1086" s="157"/>
      <c r="F1086" s="14"/>
      <c r="G1086" s="17"/>
      <c r="H1086" s="10"/>
      <c r="I1086" s="17"/>
      <c r="J1086" s="83"/>
      <c r="K1086" s="343"/>
      <c r="L1086" s="347"/>
      <c r="M1086" s="89"/>
      <c r="N1086" s="10" t="s">
        <v>176</v>
      </c>
      <c r="O1086" s="22" t="str">
        <f>IF(Enginuity!$A$22="Double Lock", $B$17, "")</f>
        <v/>
      </c>
      <c r="P1086" s="106" t="str">
        <f>Enginuity!$A$22</f>
        <v>▼ [Lattice]</v>
      </c>
      <c r="Q1086" s="22" t="str">
        <f>IF(O1086&lt;&gt;"",IF(Enginuity!$B$6&gt;4,Enginuity!$B$13,1),"")</f>
        <v/>
      </c>
      <c r="U1086" s="104" t="str">
        <f>IF(
  AND(
    TRIM(A1086)=TRIM(Enginuity!$A$1),
    TRIM(B1086)=TRIM(Enginuity!$A$17),
    Q1086&lt;&gt;"",
    Q1086&lt;&gt;0,
    OR(
      TRIM(C1086)=TRIM(Enginuity!$A$18),
      AND(UPPER(TRIM(M1086))="STD", TRIM(B1086)=TRIM(Enginuity!$A$17))
    ),
    OR(
      AND(LEFT(P1086,5)="1-Way", Enginuity!$B$13=1),
      AND(LEFT(P1086,5)="2-Way", OR(Enginuity!$B$13=2, Enginuity!$B$13=4)),
      AND(LEFT(P1086,5)="3-Way", OR(Enginuity!$B$13=3, Enginuity!$B$13=6)),
      AND(P1086="Inner Centre Jamb", OR(Enginuity!$B$13=4, Enginuity!$B$13=6)),
      AND(
        LEFT(P1086,5)&lt;&gt;"1-Way",
        LEFT(P1086,5)&lt;&gt;"2-Way",
        LEFT(P1086,5)&lt;&gt;"3-Way",
        P1086&lt;&gt;"Inner Centre Jamb"
      )
    ),
    IF(OR(Enginuity!$A$1="Frameless Glass",Enginuity!$A$1="Metal Work"),
      AND(TRIM(B1086)=TRIM(Enginuity!$A$17),TRIM(C1086)=TRIM(Enginuity!$A$18)),
      TRIM(B1086)=TRIM(Enginuity!$A$17)
    )
  ),
  ROW(),
  ""
)</f>
        <v/>
      </c>
    </row>
    <row r="1087" spans="1:21" x14ac:dyDescent="0.25">
      <c r="A1087" s="17"/>
      <c r="B1087" s="230"/>
      <c r="C1087" s="17"/>
      <c r="D1087" s="18"/>
      <c r="E1087" s="238"/>
      <c r="F1087" s="18"/>
      <c r="G1087" s="17"/>
      <c r="H1087" s="17"/>
      <c r="I1087" s="17"/>
      <c r="J1087" s="84"/>
      <c r="K1087" s="343"/>
      <c r="L1087" s="347"/>
      <c r="M1087" s="90"/>
      <c r="N1087" s="17"/>
      <c r="O1087" s="25"/>
      <c r="P1087" s="18"/>
      <c r="Q1087" s="25"/>
      <c r="U1087" s="104" t="str">
        <f>IF(
  AND(
    TRIM(A1087)=TRIM(Enginuity!$A$1),
    TRIM(B1087)=TRIM(Enginuity!$A$17),
    Q1087&lt;&gt;"",
    Q1087&lt;&gt;0,
    OR(
      TRIM(C1087)=TRIM(Enginuity!$A$18),
      AND(UPPER(TRIM(M1087))="STD", TRIM(B1087)=TRIM(Enginuity!$A$17))
    ),
    OR(
      AND(LEFT(P1087,5)="1-Way", Enginuity!$B$13=1),
      AND(LEFT(P1087,5)="2-Way", OR(Enginuity!$B$13=2, Enginuity!$B$13=4)),
      AND(LEFT(P1087,5)="3-Way", OR(Enginuity!$B$13=3, Enginuity!$B$13=6)),
      AND(P1087="Inner Centre Jamb", OR(Enginuity!$B$13=4, Enginuity!$B$13=6)),
      AND(
        LEFT(P1087,5)&lt;&gt;"1-Way",
        LEFT(P1087,5)&lt;&gt;"2-Way",
        LEFT(P1087,5)&lt;&gt;"3-Way",
        P1087&lt;&gt;"Inner Centre Jamb"
      )
    ),
    IF(OR(Enginuity!$A$1="Frameless Glass",Enginuity!$A$1="Metal Work"),
      AND(TRIM(B1087)=TRIM(Enginuity!$A$17),TRIM(C1087)=TRIM(Enginuity!$A$18)),
      TRIM(B1087)=TRIM(Enginuity!$A$17)
    )
  ),
  ROW(),
  ""
)</f>
        <v/>
      </c>
    </row>
    <row r="1088" spans="1:21" x14ac:dyDescent="0.25">
      <c r="A1088" s="10" t="s">
        <v>253</v>
      </c>
      <c r="B1088" s="229" t="s">
        <v>372</v>
      </c>
      <c r="C1088" s="10" t="s">
        <v>366</v>
      </c>
      <c r="D1088" s="14" t="str">
        <f>P1088</f>
        <v>Below 30" x 84" ecobonz 2.5mm Glossy / VACP 800 Series</v>
      </c>
      <c r="E1088" s="248" t="s">
        <v>375</v>
      </c>
      <c r="F1088" s="113" t="s">
        <v>382</v>
      </c>
      <c r="G1088" s="17" t="s">
        <v>381</v>
      </c>
      <c r="H1088" s="10"/>
      <c r="I1088" s="17"/>
      <c r="J1088" s="83"/>
      <c r="K1088" s="344">
        <v>0.26055600000000001</v>
      </c>
      <c r="L1088" s="347">
        <v>762</v>
      </c>
      <c r="M1088" s="89">
        <f t="shared" si="15"/>
        <v>2</v>
      </c>
      <c r="N1088" s="10" t="s">
        <v>176</v>
      </c>
      <c r="O1088" s="22">
        <v>278.25</v>
      </c>
      <c r="P1088" s="14" t="s">
        <v>367</v>
      </c>
      <c r="Q1088" s="22" t="str">
        <f>IF(AND(O1088&lt;&gt;"",P1088=Enginuity!$A$19),
   IF(Enginuity!$B$6&gt;4,Enginuity!$B$13,1),
"")</f>
        <v/>
      </c>
      <c r="U1088" s="104" t="str">
        <f>IF(
  AND(
    TRIM(A1088)=TRIM(Enginuity!$A$1),
    TRIM(B1088)=TRIM(Enginuity!$A$17),
    Q1088&lt;&gt;"",
    Q1088&lt;&gt;0,
    OR(
      TRIM(C1088)=TRIM(Enginuity!$A$18),
      AND(UPPER(TRIM(M1088))="STD", TRIM(B1088)=TRIM(Enginuity!$A$17))
    ),
    OR(
      AND(LEFT(P1088,5)="1-Way", Enginuity!$B$13=1),
      AND(LEFT(P1088,5)="2-Way", OR(Enginuity!$B$13=2, Enginuity!$B$13=4)),
      AND(LEFT(P1088,5)="3-Way", OR(Enginuity!$B$13=3, Enginuity!$B$13=6)),
      AND(P1088="Inner Centre Jamb", OR(Enginuity!$B$13=4, Enginuity!$B$13=6)),
      AND(
        LEFT(P1088,5)&lt;&gt;"1-Way",
        LEFT(P1088,5)&lt;&gt;"2-Way",
        LEFT(P1088,5)&lt;&gt;"3-Way",
        P1088&lt;&gt;"Inner Centre Jamb"
      )
    ),
    IF(OR(Enginuity!$A$1="Frameless Glass",Enginuity!$A$1="Metal Work"),
      AND(TRIM(B1088)=TRIM(Enginuity!$A$17),TRIM(C1088)=TRIM(Enginuity!$A$18)),
      TRIM(B1088)=TRIM(Enginuity!$A$17)
    )
  ),
  ROW(),
  ""
)</f>
        <v/>
      </c>
    </row>
    <row r="1089" spans="1:61" x14ac:dyDescent="0.25">
      <c r="A1089" s="10" t="s">
        <v>253</v>
      </c>
      <c r="B1089" s="229" t="s">
        <v>372</v>
      </c>
      <c r="C1089" s="10" t="s">
        <v>366</v>
      </c>
      <c r="D1089" s="14" t="str">
        <f t="shared" ref="D1089:D1096" si="16">P1089</f>
        <v>Below 30" x 84" ecoscreen 2.5mm</v>
      </c>
      <c r="E1089" s="248" t="s">
        <v>376</v>
      </c>
      <c r="F1089" s="113" t="s">
        <v>383</v>
      </c>
      <c r="G1089" s="17"/>
      <c r="H1089" s="10"/>
      <c r="I1089" s="17"/>
      <c r="J1089" s="83"/>
      <c r="K1089" s="343"/>
      <c r="L1089" s="347"/>
      <c r="M1089" s="89">
        <f t="shared" si="15"/>
        <v>2</v>
      </c>
      <c r="N1089" s="10" t="s">
        <v>176</v>
      </c>
      <c r="O1089" s="22">
        <v>299.25</v>
      </c>
      <c r="P1089" s="14" t="s">
        <v>368</v>
      </c>
      <c r="Q1089" s="22" t="str">
        <f>IF(AND(O1089&lt;&gt;"",P1089=Enginuity!$A$19),
   IF(Enginuity!$B$6&gt;4,Enginuity!$B$13,1),
"")</f>
        <v/>
      </c>
      <c r="U1089" s="104" t="str">
        <f>IF(
  AND(
    TRIM(A1089)=TRIM(Enginuity!$A$1),
    TRIM(B1089)=TRIM(Enginuity!$A$17),
    Q1089&lt;&gt;"",
    Q1089&lt;&gt;0,
    OR(
      TRIM(C1089)=TRIM(Enginuity!$A$18),
      AND(UPPER(TRIM(M1089))="STD", TRIM(B1089)=TRIM(Enginuity!$A$17))
    ),
    OR(
      AND(LEFT(P1089,5)="1-Way", Enginuity!$B$13=1),
      AND(LEFT(P1089,5)="2-Way", OR(Enginuity!$B$13=2, Enginuity!$B$13=4)),
      AND(LEFT(P1089,5)="3-Way", OR(Enginuity!$B$13=3, Enginuity!$B$13=6)),
      AND(P1089="Inner Centre Jamb", OR(Enginuity!$B$13=4, Enginuity!$B$13=6)),
      AND(
        LEFT(P1089,5)&lt;&gt;"1-Way",
        LEFT(P1089,5)&lt;&gt;"2-Way",
        LEFT(P1089,5)&lt;&gt;"3-Way",
        P1089&lt;&gt;"Inner Centre Jamb"
      )
    ),
    IF(OR(Enginuity!$A$1="Frameless Glass",Enginuity!$A$1="Metal Work"),
      AND(TRIM(B1089)=TRIM(Enginuity!$A$17),TRIM(C1089)=TRIM(Enginuity!$A$18)),
      TRIM(B1089)=TRIM(Enginuity!$A$17)
    )
  ),
  ROW(),
  ""
)</f>
        <v/>
      </c>
    </row>
    <row r="1090" spans="1:61" x14ac:dyDescent="0.25">
      <c r="A1090" s="10" t="s">
        <v>253</v>
      </c>
      <c r="B1090" s="229" t="s">
        <v>372</v>
      </c>
      <c r="C1090" s="10" t="s">
        <v>366</v>
      </c>
      <c r="D1090" s="14" t="str">
        <f t="shared" si="16"/>
        <v>Below 30" x 84" ecopoly 2.5mm</v>
      </c>
      <c r="E1090" s="157" t="s">
        <v>377</v>
      </c>
      <c r="F1090" s="14" t="s">
        <v>384</v>
      </c>
      <c r="G1090" s="17"/>
      <c r="H1090" s="10"/>
      <c r="I1090" s="17"/>
      <c r="J1090" s="83"/>
      <c r="K1090" s="343"/>
      <c r="L1090" s="347"/>
      <c r="M1090" s="89">
        <f t="shared" si="15"/>
        <v>4</v>
      </c>
      <c r="N1090" s="10" t="s">
        <v>176</v>
      </c>
      <c r="O1090" s="22">
        <v>320.25</v>
      </c>
      <c r="P1090" s="14" t="s">
        <v>369</v>
      </c>
      <c r="Q1090" s="22" t="str">
        <f>IF(AND(O1090&lt;&gt;"",P1090=Enginuity!$A$19),
   IF(Enginuity!$B$6&gt;4,Enginuity!$B$13,1),
"")</f>
        <v/>
      </c>
      <c r="U1090" s="104" t="str">
        <f>IF(
  AND(
    TRIM(A1090)=TRIM(Enginuity!$A$1),
    TRIM(B1090)=TRIM(Enginuity!$A$17),
    Q1090&lt;&gt;"",
    Q1090&lt;&gt;0,
    OR(
      TRIM(C1090)=TRIM(Enginuity!$A$18),
      AND(UPPER(TRIM(M1090))="STD", TRIM(B1090)=TRIM(Enginuity!$A$17))
    ),
    OR(
      AND(LEFT(P1090,5)="1-Way", Enginuity!$B$13=1),
      AND(LEFT(P1090,5)="2-Way", OR(Enginuity!$B$13=2, Enginuity!$B$13=4)),
      AND(LEFT(P1090,5)="3-Way", OR(Enginuity!$B$13=3, Enginuity!$B$13=6)),
      AND(P1090="Inner Centre Jamb", OR(Enginuity!$B$13=4, Enginuity!$B$13=6)),
      AND(
        LEFT(P1090,5)&lt;&gt;"1-Way",
        LEFT(P1090,5)&lt;&gt;"2-Way",
        LEFT(P1090,5)&lt;&gt;"3-Way",
        P1090&lt;&gt;"Inner Centre Jamb"
      )
    ),
    IF(OR(Enginuity!$A$1="Frameless Glass",Enginuity!$A$1="Metal Work"),
      AND(TRIM(B1090)=TRIM(Enginuity!$A$17),TRIM(C1090)=TRIM(Enginuity!$A$18)),
      TRIM(B1090)=TRIM(Enginuity!$A$17)
    )
  ),
  ROW(),
  ""
)</f>
        <v/>
      </c>
    </row>
    <row r="1091" spans="1:61" x14ac:dyDescent="0.25">
      <c r="A1091" s="10" t="s">
        <v>253</v>
      </c>
      <c r="B1091" s="229" t="s">
        <v>372</v>
      </c>
      <c r="C1091" s="10" t="s">
        <v>366</v>
      </c>
      <c r="D1091" s="14" t="str">
        <f t="shared" si="16"/>
        <v>Below 30" x 84" Aerolite</v>
      </c>
      <c r="E1091" s="157" t="s">
        <v>378</v>
      </c>
      <c r="F1091" s="14"/>
      <c r="G1091" s="17"/>
      <c r="H1091" s="10"/>
      <c r="I1091" s="17"/>
      <c r="J1091" s="83"/>
      <c r="K1091" s="343"/>
      <c r="L1091" s="347"/>
      <c r="M1091" s="89">
        <f t="shared" si="15"/>
        <v>4</v>
      </c>
      <c r="N1091" s="10" t="s">
        <v>176</v>
      </c>
      <c r="O1091" s="22">
        <v>341.25</v>
      </c>
      <c r="P1091" s="14" t="s">
        <v>370</v>
      </c>
      <c r="Q1091" s="22" t="str">
        <f>IF(AND(O1091&lt;&gt;"",P1091=Enginuity!$A$19),
   IF(Enginuity!$B$6&gt;4,Enginuity!$B$13,1),
"")</f>
        <v/>
      </c>
      <c r="U1091" s="104" t="str">
        <f>IF(
  AND(
    TRIM(A1091)=TRIM(Enginuity!$A$1),
    TRIM(B1091)=TRIM(Enginuity!$A$17),
    Q1091&lt;&gt;"",
    Q1091&lt;&gt;0,
    OR(
      TRIM(C1091)=TRIM(Enginuity!$A$18),
      AND(UPPER(TRIM(M1091))="STD", TRIM(B1091)=TRIM(Enginuity!$A$17))
    ),
    OR(
      AND(LEFT(P1091,5)="1-Way", Enginuity!$B$13=1),
      AND(LEFT(P1091,5)="2-Way", OR(Enginuity!$B$13=2, Enginuity!$B$13=4)),
      AND(LEFT(P1091,5)="3-Way", OR(Enginuity!$B$13=3, Enginuity!$B$13=6)),
      AND(P1091="Inner Centre Jamb", OR(Enginuity!$B$13=4, Enginuity!$B$13=6)),
      AND(
        LEFT(P1091,5)&lt;&gt;"1-Way",
        LEFT(P1091,5)&lt;&gt;"2-Way",
        LEFT(P1091,5)&lt;&gt;"3-Way",
        P1091&lt;&gt;"Inner Centre Jamb"
      )
    ),
    IF(OR(Enginuity!$A$1="Frameless Glass",Enginuity!$A$1="Metal Work"),
      AND(TRIM(B1091)=TRIM(Enginuity!$A$17),TRIM(C1091)=TRIM(Enginuity!$A$18)),
      TRIM(B1091)=TRIM(Enginuity!$A$17)
    )
  ),
  ROW(),
  ""
)</f>
        <v/>
      </c>
    </row>
    <row r="1092" spans="1:61" x14ac:dyDescent="0.25">
      <c r="A1092" s="10" t="s">
        <v>253</v>
      </c>
      <c r="B1092" s="229" t="s">
        <v>372</v>
      </c>
      <c r="C1092" s="10" t="s">
        <v>366</v>
      </c>
      <c r="D1092" s="14" t="str">
        <f t="shared" si="16"/>
        <v>1. Below 30" x 84" Composite</v>
      </c>
      <c r="E1092" s="157" t="s">
        <v>379</v>
      </c>
      <c r="F1092" s="14"/>
      <c r="G1092" s="17"/>
      <c r="H1092" s="10"/>
      <c r="I1092" s="17"/>
      <c r="J1092" s="83"/>
      <c r="K1092" s="343"/>
      <c r="L1092" s="347"/>
      <c r="M1092" s="89">
        <f t="shared" si="15"/>
        <v>6</v>
      </c>
      <c r="N1092" s="10" t="s">
        <v>176</v>
      </c>
      <c r="O1092" s="22">
        <v>267.75</v>
      </c>
      <c r="P1092" s="14" t="s">
        <v>374</v>
      </c>
      <c r="Q1092" s="22" t="str">
        <f>IF(AND(O1092&lt;&gt;"",P1092=Enginuity!$A$19),
   IF(Enginuity!$B$6&gt;4,Enginuity!$B$13,1),
"")</f>
        <v/>
      </c>
      <c r="U1092" s="104" t="str">
        <f>IF(
  AND(
    TRIM(A1092)=TRIM(Enginuity!$A$1),
    TRIM(B1092)=TRIM(Enginuity!$A$17),
    Q1092&lt;&gt;"",
    Q1092&lt;&gt;0,
    OR(
      TRIM(C1092)=TRIM(Enginuity!$A$18),
      AND(UPPER(TRIM(M1092))="STD", TRIM(B1092)=TRIM(Enginuity!$A$17))
    ),
    OR(
      AND(LEFT(P1092,5)="1-Way", Enginuity!$B$13=1),
      AND(LEFT(P1092,5)="2-Way", OR(Enginuity!$B$13=2, Enginuity!$B$13=4)),
      AND(LEFT(P1092,5)="3-Way", OR(Enginuity!$B$13=3, Enginuity!$B$13=6)),
      AND(P1092="Inner Centre Jamb", OR(Enginuity!$B$13=4, Enginuity!$B$13=6)),
      AND(
        LEFT(P1092,5)&lt;&gt;"1-Way",
        LEFT(P1092,5)&lt;&gt;"2-Way",
        LEFT(P1092,5)&lt;&gt;"3-Way",
        P1092&lt;&gt;"Inner Centre Jamb"
      )
    ),
    IF(OR(Enginuity!$A$1="Frameless Glass",Enginuity!$A$1="Metal Work"),
      AND(TRIM(B1092)=TRIM(Enginuity!$A$17),TRIM(C1092)=TRIM(Enginuity!$A$18)),
      TRIM(B1092)=TRIM(Enginuity!$A$17)
    )
  ),
  ROW(),
  ""
)</f>
        <v/>
      </c>
    </row>
    <row r="1093" spans="1:61" x14ac:dyDescent="0.25">
      <c r="A1093" s="10" t="s">
        <v>253</v>
      </c>
      <c r="B1093" s="229" t="s">
        <v>372</v>
      </c>
      <c r="C1093" s="10" t="s">
        <v>366</v>
      </c>
      <c r="D1093" s="14" t="str">
        <f t="shared" si="16"/>
        <v xml:space="preserve">Below 30" x 84" N.Glass + Lamina Film / N.Dark Grey </v>
      </c>
      <c r="E1093" s="157"/>
      <c r="F1093" s="14"/>
      <c r="G1093" s="17"/>
      <c r="H1093" s="10"/>
      <c r="I1093" s="17"/>
      <c r="J1093" s="83"/>
      <c r="K1093" s="343"/>
      <c r="L1093" s="347"/>
      <c r="M1093" s="89">
        <f t="shared" si="15"/>
        <v>6</v>
      </c>
      <c r="N1093" s="10" t="s">
        <v>176</v>
      </c>
      <c r="O1093" s="22">
        <v>299.25</v>
      </c>
      <c r="P1093" s="14" t="s">
        <v>937</v>
      </c>
      <c r="Q1093" s="22" t="str">
        <f>IF(AND(O1093&lt;&gt;"",P1093=Enginuity!$A$19),
   IF(Enginuity!$B$6&gt;4,Enginuity!$B$13,1),
"")</f>
        <v/>
      </c>
      <c r="U1093" s="104" t="str">
        <f>IF(
  AND(
    TRIM(A1093)=TRIM(Enginuity!$A$1),
    TRIM(B1093)=TRIM(Enginuity!$A$17),
    Q1093&lt;&gt;"",
    Q1093&lt;&gt;0,
    OR(
      TRIM(C1093)=TRIM(Enginuity!$A$18),
      AND(UPPER(TRIM(M1093))="STD", TRIM(B1093)=TRIM(Enginuity!$A$17))
    ),
    OR(
      AND(LEFT(P1093,5)="1-Way", Enginuity!$B$13=1),
      AND(LEFT(P1093,5)="2-Way", OR(Enginuity!$B$13=2, Enginuity!$B$13=4)),
      AND(LEFT(P1093,5)="3-Way", OR(Enginuity!$B$13=3, Enginuity!$B$13=6)),
      AND(P1093="Inner Centre Jamb", OR(Enginuity!$B$13=4, Enginuity!$B$13=6)),
      AND(
        LEFT(P1093,5)&lt;&gt;"1-Way",
        LEFT(P1093,5)&lt;&gt;"2-Way",
        LEFT(P1093,5)&lt;&gt;"3-Way",
        P1093&lt;&gt;"Inner Centre Jamb"
      )
    ),
    IF(OR(Enginuity!$A$1="Frameless Glass",Enginuity!$A$1="Metal Work"),
      AND(TRIM(B1093)=TRIM(Enginuity!$A$17),TRIM(C1093)=TRIM(Enginuity!$A$18)),
      TRIM(B1093)=TRIM(Enginuity!$A$17)
    )
  ),
  ROW(),
  ""
)</f>
        <v/>
      </c>
    </row>
    <row r="1094" spans="1:61" x14ac:dyDescent="0.25">
      <c r="A1094" s="10" t="s">
        <v>253</v>
      </c>
      <c r="B1094" s="229" t="s">
        <v>372</v>
      </c>
      <c r="C1094" s="10" t="s">
        <v>366</v>
      </c>
      <c r="D1094" s="14" t="str">
        <f t="shared" si="16"/>
        <v>Below 30" x 84" N.Clear Glass</v>
      </c>
      <c r="E1094" s="157"/>
      <c r="F1094" s="14"/>
      <c r="G1094" s="17"/>
      <c r="H1094" s="10"/>
      <c r="I1094" s="17"/>
      <c r="J1094" s="83"/>
      <c r="K1094" s="343"/>
      <c r="L1094" s="347"/>
      <c r="M1094" s="89">
        <f t="shared" si="15"/>
        <v>8</v>
      </c>
      <c r="N1094" s="10" t="s">
        <v>176</v>
      </c>
      <c r="O1094" s="22">
        <v>288.75</v>
      </c>
      <c r="P1094" s="14" t="s">
        <v>938</v>
      </c>
      <c r="Q1094" s="22" t="str">
        <f>IF(AND(O1094&lt;&gt;"",P1094=Enginuity!$A$19),
   IF(Enginuity!$B$6&gt;4,Enginuity!$B$13,1),
"")</f>
        <v/>
      </c>
      <c r="U1094" s="104" t="str">
        <f>IF(
  AND(
    TRIM(A1094)=TRIM(Enginuity!$A$1),
    TRIM(B1094)=TRIM(Enginuity!$A$17),
    Q1094&lt;&gt;"",
    Q1094&lt;&gt;0,
    OR(
      TRIM(C1094)=TRIM(Enginuity!$A$18),
      AND(UPPER(TRIM(M1094))="STD", TRIM(B1094)=TRIM(Enginuity!$A$17))
    ),
    OR(
      AND(LEFT(P1094,5)="1-Way", Enginuity!$B$13=1),
      AND(LEFT(P1094,5)="2-Way", OR(Enginuity!$B$13=2, Enginuity!$B$13=4)),
      AND(LEFT(P1094,5)="3-Way", OR(Enginuity!$B$13=3, Enginuity!$B$13=6)),
      AND(P1094="Inner Centre Jamb", OR(Enginuity!$B$13=4, Enginuity!$B$13=6)),
      AND(
        LEFT(P1094,5)&lt;&gt;"1-Way",
        LEFT(P1094,5)&lt;&gt;"2-Way",
        LEFT(P1094,5)&lt;&gt;"3-Way",
        P1094&lt;&gt;"Inner Centre Jamb"
      )
    ),
    IF(OR(Enginuity!$A$1="Frameless Glass",Enginuity!$A$1="Metal Work"),
      AND(TRIM(B1094)=TRIM(Enginuity!$A$17),TRIM(C1094)=TRIM(Enginuity!$A$18)),
      TRIM(B1094)=TRIM(Enginuity!$A$17)
    )
  ),
  ROW(),
  ""
)</f>
        <v/>
      </c>
    </row>
    <row r="1095" spans="1:61" x14ac:dyDescent="0.25">
      <c r="A1095" s="10" t="s">
        <v>253</v>
      </c>
      <c r="B1095" s="229" t="s">
        <v>372</v>
      </c>
      <c r="C1095" s="10" t="s">
        <v>366</v>
      </c>
      <c r="D1095" s="14" t="str">
        <f t="shared" si="16"/>
        <v>Below 30" x 84" Tempered Glass</v>
      </c>
      <c r="E1095" s="157"/>
      <c r="F1095" s="14"/>
      <c r="G1095" s="17"/>
      <c r="H1095" s="10"/>
      <c r="I1095" s="17"/>
      <c r="J1095" s="83"/>
      <c r="K1095" s="343"/>
      <c r="L1095" s="347"/>
      <c r="M1095" s="89">
        <f t="shared" si="15"/>
        <v>8</v>
      </c>
      <c r="N1095" s="10" t="s">
        <v>176</v>
      </c>
      <c r="O1095" s="22">
        <v>383.25</v>
      </c>
      <c r="P1095" s="14" t="s">
        <v>939</v>
      </c>
      <c r="Q1095" s="22" t="str">
        <f>IF(AND(O1095&lt;&gt;"",P1095=Enginuity!$A$19),
   IF(Enginuity!$B$6&gt;4,Enginuity!$B$13,1),
"")</f>
        <v/>
      </c>
      <c r="U1095" s="104" t="str">
        <f>IF(
  AND(
    TRIM(A1095)=TRIM(Enginuity!$A$1),
    TRIM(B1095)=TRIM(Enginuity!$A$17),
    Q1095&lt;&gt;"",
    Q1095&lt;&gt;0,
    OR(
      TRIM(C1095)=TRIM(Enginuity!$A$18),
      AND(UPPER(TRIM(M1095))="STD", TRIM(B1095)=TRIM(Enginuity!$A$17))
    ),
    OR(
      AND(LEFT(P1095,5)="1-Way", Enginuity!$B$13=1),
      AND(LEFT(P1095,5)="2-Way", OR(Enginuity!$B$13=2, Enginuity!$B$13=4)),
      AND(LEFT(P1095,5)="3-Way", OR(Enginuity!$B$13=3, Enginuity!$B$13=6)),
      AND(P1095="Inner Centre Jamb", OR(Enginuity!$B$13=4, Enginuity!$B$13=6)),
      AND(
        LEFT(P1095,5)&lt;&gt;"1-Way",
        LEFT(P1095,5)&lt;&gt;"2-Way",
        LEFT(P1095,5)&lt;&gt;"3-Way",
        P1095&lt;&gt;"Inner Centre Jamb"
      )
    ),
    IF(OR(Enginuity!$A$1="Frameless Glass",Enginuity!$A$1="Metal Work"),
      AND(TRIM(B1095)=TRIM(Enginuity!$A$17),TRIM(C1095)=TRIM(Enginuity!$A$18)),
      TRIM(B1095)=TRIM(Enginuity!$A$17)
    )
  ),
  ROW(),
  ""
)</f>
        <v/>
      </c>
    </row>
    <row r="1096" spans="1:61" x14ac:dyDescent="0.25">
      <c r="A1096" s="10" t="s">
        <v>253</v>
      </c>
      <c r="B1096" s="229" t="s">
        <v>372</v>
      </c>
      <c r="C1096" s="10" t="s">
        <v>366</v>
      </c>
      <c r="D1096" s="14" t="str">
        <f t="shared" si="16"/>
        <v>Below 30" x 84" Full Louvers</v>
      </c>
      <c r="E1096" s="157"/>
      <c r="F1096" s="14"/>
      <c r="G1096" s="17"/>
      <c r="H1096" s="10"/>
      <c r="I1096" s="17"/>
      <c r="J1096" s="83"/>
      <c r="K1096" s="343"/>
      <c r="L1096" s="347"/>
      <c r="M1096" s="89">
        <f t="shared" si="15"/>
        <v>10</v>
      </c>
      <c r="N1096" s="10" t="s">
        <v>176</v>
      </c>
      <c r="O1096" s="22">
        <v>598.5</v>
      </c>
      <c r="P1096" s="14" t="s">
        <v>371</v>
      </c>
      <c r="Q1096" s="22" t="str">
        <f>IF(AND(O1096&lt;&gt;"",P1096=Enginuity!$A$19),
   IF(Enginuity!$B$6&gt;4,Enginuity!$B$13,1),
"")</f>
        <v/>
      </c>
      <c r="U1096" s="104" t="str">
        <f>IF(
  AND(
    TRIM(A1096)=TRIM(Enginuity!$A$1),
    TRIM(B1096)=TRIM(Enginuity!$A$17),
    Q1096&lt;&gt;"",
    Q1096&lt;&gt;0,
    OR(
      TRIM(C1096)=TRIM(Enginuity!$A$18),
      AND(UPPER(TRIM(M1096))="STD", TRIM(B1096)=TRIM(Enginuity!$A$17))
    ),
    OR(
      AND(LEFT(P1096,5)="1-Way", Enginuity!$B$13=1),
      AND(LEFT(P1096,5)="2-Way", OR(Enginuity!$B$13=2, Enginuity!$B$13=4)),
      AND(LEFT(P1096,5)="3-Way", OR(Enginuity!$B$13=3, Enginuity!$B$13=6)),
      AND(P1096="Inner Centre Jamb", OR(Enginuity!$B$13=4, Enginuity!$B$13=6)),
      AND(
        LEFT(P1096,5)&lt;&gt;"1-Way",
        LEFT(P1096,5)&lt;&gt;"2-Way",
        LEFT(P1096,5)&lt;&gt;"3-Way",
        P1096&lt;&gt;"Inner Centre Jamb"
      )
    ),
    IF(OR(Enginuity!$A$1="Frameless Glass",Enginuity!$A$1="Metal Work"),
      AND(TRIM(B1096)=TRIM(Enginuity!$A$17),TRIM(C1096)=TRIM(Enginuity!$A$18)),
      TRIM(B1096)=TRIM(Enginuity!$A$17)
    )
  ),
  ROW(),
  ""
)</f>
        <v/>
      </c>
    </row>
    <row r="1097" spans="1:61" x14ac:dyDescent="0.25">
      <c r="A1097" s="10" t="s">
        <v>253</v>
      </c>
      <c r="B1097" s="229" t="s">
        <v>372</v>
      </c>
      <c r="C1097" s="10" t="s">
        <v>366</v>
      </c>
      <c r="D1097" s="108"/>
      <c r="E1097" s="157"/>
      <c r="F1097" s="10"/>
      <c r="G1097" s="17"/>
      <c r="H1097" s="10"/>
      <c r="I1097" s="17"/>
      <c r="J1097" s="83"/>
      <c r="K1097" s="344"/>
      <c r="L1097" s="347"/>
      <c r="M1097" s="89">
        <v>10</v>
      </c>
      <c r="N1097" s="10" t="s">
        <v>121</v>
      </c>
      <c r="O1097" s="22">
        <f>IF(ISNUMBER(SEARCH("Louvers",Enginuity!$A$19)),AllMaterialsbak!$B$11,AllMaterialsbak!$B$10)</f>
        <v>26.25</v>
      </c>
      <c r="P1097" s="108" t="str">
        <f>$A$10</f>
        <v>Additional Size Complete Set</v>
      </c>
      <c r="Q10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38</v>
      </c>
      <c r="U1097" s="104" t="str">
        <f>IF(
  AND(
    TRIM(A1097)=TRIM(Enginuity!$A$1),
    TRIM(B1097)=TRIM(Enginuity!$A$17),
    Q1097&lt;&gt;"",
    Q1097&lt;&gt;0,
    OR(
      TRIM(C1097)=TRIM(Enginuity!$A$18),
      AND(UPPER(TRIM(M1097))="STD", TRIM(B1097)=TRIM(Enginuity!$A$17))
    ),
    OR(
      AND(LEFT(P1097,5)="1-Way", Enginuity!$B$13=1),
      AND(LEFT(P1097,5)="2-Way", OR(Enginuity!$B$13=2, Enginuity!$B$13=4)),
      AND(LEFT(P1097,5)="3-Way", OR(Enginuity!$B$13=3, Enginuity!$B$13=6)),
      AND(P1097="Inner Centre Jamb", OR(Enginuity!$B$13=4, Enginuity!$B$13=6)),
      AND(
        LEFT(P1097,5)&lt;&gt;"1-Way",
        LEFT(P1097,5)&lt;&gt;"2-Way",
        LEFT(P1097,5)&lt;&gt;"3-Way",
        P1097&lt;&gt;"Inner Centre Jamb"
      )
    ),
    IF(OR(Enginuity!$A$1="Frameless Glass",Enginuity!$A$1="Metal Work"),
      AND(TRIM(B1097)=TRIM(Enginuity!$A$17),TRIM(C1097)=TRIM(Enginuity!$A$18)),
      TRIM(B1097)=TRIM(Enginuity!$A$17)
    )
  ),
  ROW(),
  ""
)</f>
        <v/>
      </c>
    </row>
    <row r="1098" spans="1:61" x14ac:dyDescent="0.25">
      <c r="A1098" s="10" t="s">
        <v>253</v>
      </c>
      <c r="B1098" s="229" t="s">
        <v>372</v>
      </c>
      <c r="C1098" s="10" t="s">
        <v>366</v>
      </c>
      <c r="D1098" s="108"/>
      <c r="E1098" s="157"/>
      <c r="F1098" s="14"/>
      <c r="G1098" s="17"/>
      <c r="H1098" s="10"/>
      <c r="I1098" s="17"/>
      <c r="J1098" s="83"/>
      <c r="K1098" s="344"/>
      <c r="L1098" s="347"/>
      <c r="M1098" s="89">
        <v>10</v>
      </c>
      <c r="N1098" s="10" t="s">
        <v>121</v>
      </c>
      <c r="O1098" s="22">
        <f>IF(Q1098&lt;&gt;"", $B$19, "")</f>
        <v>29.93</v>
      </c>
      <c r="P1098" s="106" t="s">
        <v>380</v>
      </c>
      <c r="Q1098" s="22">
        <f>IF(Enginuity!$B$7&gt;8,MAX((Enginuity!$B$7-8)*Enginuity!$B$6,3),"")</f>
        <v>100</v>
      </c>
      <c r="U1098" s="104" t="str">
        <f>IF(
  AND(
    TRIM(A1098)=TRIM(Enginuity!$A$1),
    TRIM(B1098)=TRIM(Enginuity!$A$17),
    Q1098&lt;&gt;"",
    Q1098&lt;&gt;0,
    OR(
      TRIM(C1098)=TRIM(Enginuity!$A$18),
      AND(UPPER(TRIM(M1098))="STD", TRIM(B1098)=TRIM(Enginuity!$A$17))
    ),
    OR(
      AND(LEFT(P1098,5)="1-Way", Enginuity!$B$13=1),
      AND(LEFT(P1098,5)="2-Way", OR(Enginuity!$B$13=2, Enginuity!$B$13=4)),
      AND(LEFT(P1098,5)="3-Way", OR(Enginuity!$B$13=3, Enginuity!$B$13=6)),
      AND(P1098="Inner Centre Jamb", OR(Enginuity!$B$13=4, Enginuity!$B$13=6)),
      AND(
        LEFT(P1098,5)&lt;&gt;"1-Way",
        LEFT(P1098,5)&lt;&gt;"2-Way",
        LEFT(P1098,5)&lt;&gt;"3-Way",
        P1098&lt;&gt;"Inner Centre Jamb"
      )
    ),
    IF(OR(Enginuity!$A$1="Frameless Glass",Enginuity!$A$1="Metal Work"),
      AND(TRIM(B1098)=TRIM(Enginuity!$A$17),TRIM(C1098)=TRIM(Enginuity!$A$18)),
      TRIM(B1098)=TRIM(Enginuity!$A$17)
    )
  ),
  ROW(),
  ""
)</f>
        <v/>
      </c>
    </row>
    <row r="1099" spans="1:61" x14ac:dyDescent="0.25">
      <c r="A1099" s="10" t="s">
        <v>253</v>
      </c>
      <c r="B1099" s="229" t="s">
        <v>372</v>
      </c>
      <c r="C1099" s="10" t="s">
        <v>366</v>
      </c>
      <c r="D1099" s="14"/>
      <c r="E1099" s="157"/>
      <c r="F1099" s="14"/>
      <c r="G1099" s="17"/>
      <c r="H1099" s="10"/>
      <c r="I1099" s="17"/>
      <c r="J1099" s="83"/>
      <c r="K1099" s="344"/>
      <c r="L1099" s="347"/>
      <c r="M1099" s="89"/>
      <c r="N1099" s="10" t="s">
        <v>176</v>
      </c>
      <c r="O1099" s="22">
        <f>$B$20</f>
        <v>65</v>
      </c>
      <c r="P1099" s="106" t="s">
        <v>389</v>
      </c>
      <c r="Q1099" s="22" t="str">
        <f>IF(AND(Enginuity!$A$21="Supply &amp; Install",Enginuity!$B$7&gt;8),1,"")</f>
        <v/>
      </c>
      <c r="U1099" s="104" t="str">
        <f>IF(
  AND(
    TRIM(A1099)=TRIM(Enginuity!$A$1),
    TRIM(B1099)=TRIM(Enginuity!$A$17),
    Q1099&lt;&gt;"",
    Q1099&lt;&gt;0,
    OR(
      TRIM(C1099)=TRIM(Enginuity!$A$18),
      AND(UPPER(TRIM(M1099))="STD", TRIM(B1099)=TRIM(Enginuity!$A$17))
    ),
    OR(
      AND(LEFT(P1099,5)="1-Way", Enginuity!$B$13=1),
      AND(LEFT(P1099,5)="2-Way", OR(Enginuity!$B$13=2, Enginuity!$B$13=4)),
      AND(LEFT(P1099,5)="3-Way", OR(Enginuity!$B$13=3, Enginuity!$B$13=6)),
      AND(P1099="Inner Centre Jamb", OR(Enginuity!$B$13=4, Enginuity!$B$13=6)),
      AND(
        LEFT(P1099,5)&lt;&gt;"1-Way",
        LEFT(P1099,5)&lt;&gt;"2-Way",
        LEFT(P1099,5)&lt;&gt;"3-Way",
        P1099&lt;&gt;"Inner Centre Jamb"
      )
    ),
    IF(OR(Enginuity!$A$1="Frameless Glass",Enginuity!$A$1="Metal Work"),
      AND(TRIM(B1099)=TRIM(Enginuity!$A$17),TRIM(C1099)=TRIM(Enginuity!$A$18)),
      TRIM(B1099)=TRIM(Enginuity!$A$17)
    )
  ),
  ROW(),
  ""
)</f>
        <v/>
      </c>
      <c r="BH1099" s="2"/>
      <c r="BI1099" s="1"/>
    </row>
    <row r="1100" spans="1:61" x14ac:dyDescent="0.25">
      <c r="A1100" s="10" t="s">
        <v>253</v>
      </c>
      <c r="B1100" s="229" t="s">
        <v>372</v>
      </c>
      <c r="C1100" s="10" t="s">
        <v>366</v>
      </c>
      <c r="D1100" s="14"/>
      <c r="E1100" s="157"/>
      <c r="F1100" s="14"/>
      <c r="G1100" s="17"/>
      <c r="H1100" s="10"/>
      <c r="I1100" s="17"/>
      <c r="J1100" s="83"/>
      <c r="K1100" s="343"/>
      <c r="L1100" s="347"/>
      <c r="M1100" s="89"/>
      <c r="N1100" s="10" t="s">
        <v>176</v>
      </c>
      <c r="O1100" s="22">
        <f>IF(Enginuity!$B$13&gt;1, $B$18, "")</f>
        <v>30</v>
      </c>
      <c r="P1100" s="14" t="s">
        <v>388</v>
      </c>
      <c r="Q1100" s="22">
        <f>IF(AND(O1100&lt;&gt;"",Enginuity!$B$6&gt;4),Enginuity!$B$13,"")</f>
        <v>7</v>
      </c>
      <c r="U1100" s="104" t="str">
        <f>IF(
  AND(
    TRIM(A1100)=TRIM(Enginuity!$A$1),
    TRIM(B1100)=TRIM(Enginuity!$A$17),
    Q1100&lt;&gt;"",
    Q1100&lt;&gt;0,
    OR(
      TRIM(C1100)=TRIM(Enginuity!$A$18),
      AND(UPPER(TRIM(M1100))="STD", TRIM(B1100)=TRIM(Enginuity!$A$17))
    ),
    OR(
      AND(LEFT(P1100,5)="1-Way", Enginuity!$B$13=1),
      AND(LEFT(P1100,5)="2-Way", OR(Enginuity!$B$13=2, Enginuity!$B$13=4)),
      AND(LEFT(P1100,5)="3-Way", OR(Enginuity!$B$13=3, Enginuity!$B$13=6)),
      AND(P1100="Inner Centre Jamb", OR(Enginuity!$B$13=4, Enginuity!$B$13=6)),
      AND(
        LEFT(P1100,5)&lt;&gt;"1-Way",
        LEFT(P1100,5)&lt;&gt;"2-Way",
        LEFT(P1100,5)&lt;&gt;"3-Way",
        P1100&lt;&gt;"Inner Centre Jamb"
      )
    ),
    IF(OR(Enginuity!$A$1="Frameless Glass",Enginuity!$A$1="Metal Work"),
      AND(TRIM(B1100)=TRIM(Enginuity!$A$17),TRIM(C1100)=TRIM(Enginuity!$A$18)),
      TRIM(B1100)=TRIM(Enginuity!$A$17)
    )
  ),
  ROW(),
  ""
)</f>
        <v/>
      </c>
      <c r="BH1100" s="156"/>
      <c r="BI1100" s="155"/>
    </row>
    <row r="1101" spans="1:61" x14ac:dyDescent="0.25">
      <c r="A1101" s="10" t="s">
        <v>253</v>
      </c>
      <c r="B1101" s="229" t="s">
        <v>372</v>
      </c>
      <c r="C1101" s="10" t="s">
        <v>366</v>
      </c>
      <c r="D1101" s="14"/>
      <c r="E1101" s="157"/>
      <c r="F1101" s="14"/>
      <c r="G1101" s="17"/>
      <c r="H1101" s="10"/>
      <c r="I1101" s="17"/>
      <c r="J1101" s="83"/>
      <c r="K1101" s="343"/>
      <c r="L1101" s="347"/>
      <c r="M1101" s="89"/>
      <c r="N1101" s="10" t="s">
        <v>121</v>
      </c>
      <c r="O11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01" s="106" t="str">
        <f>Enginuity!$A$20</f>
        <v>Z-Louvre Blade - 5"</v>
      </c>
      <c r="Q1101" s="22" t="str">
        <f>IF(O1101&lt;&gt;"",IF(Enginuity!$B$6&gt;4,Enginuity!$B$13,1),"")</f>
        <v/>
      </c>
      <c r="U1101" s="104" t="str">
        <f>IF(
  AND(
    TRIM(A1101)=TRIM(Enginuity!$A$1),
    TRIM(B1101)=TRIM(Enginuity!$A$17),
    Q1101&lt;&gt;"",
    Q1101&lt;&gt;0,
    OR(
      TRIM(C1101)=TRIM(Enginuity!$A$18),
      AND(UPPER(TRIM(M1101))="STD", TRIM(B1101)=TRIM(Enginuity!$A$17))
    ),
    OR(
      AND(LEFT(P1101,5)="1-Way", Enginuity!$B$13=1),
      AND(LEFT(P1101,5)="2-Way", OR(Enginuity!$B$13=2, Enginuity!$B$13=4)),
      AND(LEFT(P1101,5)="3-Way", OR(Enginuity!$B$13=3, Enginuity!$B$13=6)),
      AND(P1101="Inner Centre Jamb", OR(Enginuity!$B$13=4, Enginuity!$B$13=6)),
      AND(
        LEFT(P1101,5)&lt;&gt;"1-Way",
        LEFT(P1101,5)&lt;&gt;"2-Way",
        LEFT(P1101,5)&lt;&gt;"3-Way",
        P1101&lt;&gt;"Inner Centre Jamb"
      )
    ),
    IF(OR(Enginuity!$A$1="Frameless Glass",Enginuity!$A$1="Metal Work"),
      AND(TRIM(B1101)=TRIM(Enginuity!$A$17),TRIM(C1101)=TRIM(Enginuity!$A$18)),
      TRIM(B1101)=TRIM(Enginuity!$A$17)
    )
  ),
  ROW(),
  ""
)</f>
        <v/>
      </c>
    </row>
    <row r="1102" spans="1:61" x14ac:dyDescent="0.25">
      <c r="A1102" s="10" t="s">
        <v>253</v>
      </c>
      <c r="B1102" s="229" t="s">
        <v>372</v>
      </c>
      <c r="C1102" s="10" t="s">
        <v>366</v>
      </c>
      <c r="D1102" s="14"/>
      <c r="E1102" s="157"/>
      <c r="F1102" s="14"/>
      <c r="G1102" s="17"/>
      <c r="H1102" s="10"/>
      <c r="I1102" s="17"/>
      <c r="J1102" s="83"/>
      <c r="K1102" s="343"/>
      <c r="L1102" s="347"/>
      <c r="M1102" s="89"/>
      <c r="N1102" s="10" t="s">
        <v>176</v>
      </c>
      <c r="O1102" s="22" t="str">
        <f>IF(Enginuity!$A$21="Supply &amp; Install",65,
IF(Enginuity!$A$21="Supply &amp; Courier",20,
IF(Enginuity!$A$21="Self Collect",0,
"")))</f>
        <v/>
      </c>
      <c r="P1102" s="5" t="str">
        <f>Enginuity!$A$21</f>
        <v>SF 4"</v>
      </c>
      <c r="Q1102" s="22" t="str">
        <f>IF(O1102&lt;&gt;"",IF(Enginuity!$B$6&gt;4,Enginuity!$B$13,1),"")</f>
        <v/>
      </c>
      <c r="U1102" s="104" t="str">
        <f>IF(
  AND(
    TRIM(A1102)=TRIM(Enginuity!$A$1),
    TRIM(B1102)=TRIM(Enginuity!$A$17),
    Q1102&lt;&gt;"",
    Q1102&lt;&gt;0,
    OR(
      TRIM(C1102)=TRIM(Enginuity!$A$18),
      AND(UPPER(TRIM(M1102))="STD", TRIM(B1102)=TRIM(Enginuity!$A$17))
    ),
    OR(
      AND(LEFT(P1102,5)="1-Way", Enginuity!$B$13=1),
      AND(LEFT(P1102,5)="2-Way", OR(Enginuity!$B$13=2, Enginuity!$B$13=4)),
      AND(LEFT(P1102,5)="3-Way", OR(Enginuity!$B$13=3, Enginuity!$B$13=6)),
      AND(P1102="Inner Centre Jamb", OR(Enginuity!$B$13=4, Enginuity!$B$13=6)),
      AND(
        LEFT(P1102,5)&lt;&gt;"1-Way",
        LEFT(P1102,5)&lt;&gt;"2-Way",
        LEFT(P1102,5)&lt;&gt;"3-Way",
        P1102&lt;&gt;"Inner Centre Jamb"
      )
    ),
    IF(OR(Enginuity!$A$1="Frameless Glass",Enginuity!$A$1="Metal Work"),
      AND(TRIM(B1102)=TRIM(Enginuity!$A$17),TRIM(C1102)=TRIM(Enginuity!$A$18)),
      TRIM(B1102)=TRIM(Enginuity!$A$17)
    )
  ),
  ROW(),
  ""
)</f>
        <v/>
      </c>
    </row>
    <row r="1103" spans="1:61" x14ac:dyDescent="0.25">
      <c r="A1103" s="10" t="s">
        <v>253</v>
      </c>
      <c r="B1103" s="229" t="s">
        <v>372</v>
      </c>
      <c r="C1103" s="10" t="s">
        <v>366</v>
      </c>
      <c r="D1103" s="14"/>
      <c r="E1103" s="157"/>
      <c r="F1103" s="14"/>
      <c r="G1103" s="17"/>
      <c r="H1103" s="10"/>
      <c r="I1103" s="17"/>
      <c r="J1103" s="83"/>
      <c r="K1103" s="343"/>
      <c r="L1103" s="347"/>
      <c r="M1103" s="89"/>
      <c r="N1103" s="10" t="s">
        <v>176</v>
      </c>
      <c r="O1103" s="22" t="str">
        <f>IF(Enginuity!$A$22="Double Lock", $B$17, "")</f>
        <v/>
      </c>
      <c r="P1103" s="106" t="str">
        <f>Enginuity!$A$22</f>
        <v>▼ [Lattice]</v>
      </c>
      <c r="Q1103" s="22" t="str">
        <f>IF(O1103&lt;&gt;"",IF(Enginuity!$B$6&gt;4,Enginuity!$B$13,1),"")</f>
        <v/>
      </c>
      <c r="U1103" s="104" t="str">
        <f>IF(
  AND(
    TRIM(A1103)=TRIM(Enginuity!$A$1),
    TRIM(B1103)=TRIM(Enginuity!$A$17),
    Q1103&lt;&gt;"",
    Q1103&lt;&gt;0,
    OR(
      TRIM(C1103)=TRIM(Enginuity!$A$18),
      AND(UPPER(TRIM(M1103))="STD", TRIM(B1103)=TRIM(Enginuity!$A$17))
    ),
    OR(
      AND(LEFT(P1103,5)="1-Way", Enginuity!$B$13=1),
      AND(LEFT(P1103,5)="2-Way", OR(Enginuity!$B$13=2, Enginuity!$B$13=4)),
      AND(LEFT(P1103,5)="3-Way", OR(Enginuity!$B$13=3, Enginuity!$B$13=6)),
      AND(P1103="Inner Centre Jamb", OR(Enginuity!$B$13=4, Enginuity!$B$13=6)),
      AND(
        LEFT(P1103,5)&lt;&gt;"1-Way",
        LEFT(P1103,5)&lt;&gt;"2-Way",
        LEFT(P1103,5)&lt;&gt;"3-Way",
        P1103&lt;&gt;"Inner Centre Jamb"
      )
    ),
    IF(OR(Enginuity!$A$1="Frameless Glass",Enginuity!$A$1="Metal Work"),
      AND(TRIM(B1103)=TRIM(Enginuity!$A$17),TRIM(C1103)=TRIM(Enginuity!$A$18)),
      TRIM(B1103)=TRIM(Enginuity!$A$17)
    )
  ),
  ROW(),
  ""
)</f>
        <v/>
      </c>
    </row>
    <row r="1104" spans="1:61" x14ac:dyDescent="0.25">
      <c r="A1104" s="17"/>
      <c r="B1104" s="230"/>
      <c r="C1104" s="17"/>
      <c r="D1104" s="18"/>
      <c r="E1104" s="238"/>
      <c r="F1104" s="18"/>
      <c r="G1104" s="17"/>
      <c r="H1104" s="17"/>
      <c r="I1104" s="17"/>
      <c r="J1104" s="84"/>
      <c r="K1104" s="343"/>
      <c r="L1104" s="347"/>
      <c r="M1104" s="90"/>
      <c r="N1104" s="17"/>
      <c r="O1104" s="25"/>
      <c r="P1104" s="121"/>
      <c r="Q1104" s="25"/>
      <c r="U1104" s="104" t="str">
        <f>IF(
  AND(
    TRIM(A1104)=TRIM(Enginuity!$A$1),
    TRIM(B1104)=TRIM(Enginuity!$A$17),
    Q1104&lt;&gt;"",
    Q1104&lt;&gt;0,
    OR(
      TRIM(C1104)=TRIM(Enginuity!$A$18),
      AND(UPPER(TRIM(M1104))="STD", TRIM(B1104)=TRIM(Enginuity!$A$17))
    ),
    OR(
      AND(LEFT(P1104,5)="1-Way", Enginuity!$B$13=1),
      AND(LEFT(P1104,5)="2-Way", OR(Enginuity!$B$13=2, Enginuity!$B$13=4)),
      AND(LEFT(P1104,5)="3-Way", OR(Enginuity!$B$13=3, Enginuity!$B$13=6)),
      AND(P1104="Inner Centre Jamb", OR(Enginuity!$B$13=4, Enginuity!$B$13=6)),
      AND(
        LEFT(P1104,5)&lt;&gt;"1-Way",
        LEFT(P1104,5)&lt;&gt;"2-Way",
        LEFT(P1104,5)&lt;&gt;"3-Way",
        P1104&lt;&gt;"Inner Centre Jamb"
      )
    ),
    IF(OR(Enginuity!$A$1="Frameless Glass",Enginuity!$A$1="Metal Work"),
      AND(TRIM(B1104)=TRIM(Enginuity!$A$17),TRIM(C1104)=TRIM(Enginuity!$A$18)),
      TRIM(B1104)=TRIM(Enginuity!$A$17)
    )
  ),
  ROW(),
  ""
)</f>
        <v/>
      </c>
    </row>
    <row r="1105" spans="1:21" x14ac:dyDescent="0.25">
      <c r="A1105" s="10" t="s">
        <v>253</v>
      </c>
      <c r="B1105" s="229" t="s">
        <v>372</v>
      </c>
      <c r="C1105" s="10" t="s">
        <v>402</v>
      </c>
      <c r="D1105" s="14" t="str">
        <f>P1105</f>
        <v>Below 30" x 84" ecobonz 2.5mm Glossy / VACP 800 Series</v>
      </c>
      <c r="E1105" s="248" t="s">
        <v>375</v>
      </c>
      <c r="F1105" s="113" t="s">
        <v>382</v>
      </c>
      <c r="G1105" s="17" t="s">
        <v>381</v>
      </c>
      <c r="H1105" s="10"/>
      <c r="I1105" s="17"/>
      <c r="J1105" s="83"/>
      <c r="K1105" s="344">
        <v>0.22795599999999999</v>
      </c>
      <c r="L1105" s="347">
        <v>762</v>
      </c>
      <c r="M1105" s="89">
        <v>1</v>
      </c>
      <c r="N1105" s="10" t="s">
        <v>176</v>
      </c>
      <c r="O1105" s="22">
        <v>330.75</v>
      </c>
      <c r="P1105" s="14" t="s">
        <v>367</v>
      </c>
      <c r="Q1105" s="22" t="str">
        <f>IF(AND(O1105&lt;&gt;"",P1105=Enginuity!$A$19),
   IF(Enginuity!$B$6&gt;4,Enginuity!$B$13,1),
"")</f>
        <v/>
      </c>
      <c r="U1105" s="104" t="str">
        <f>IF(
  AND(
    TRIM(A1105)=TRIM(Enginuity!$A$1),
    TRIM(B1105)=TRIM(Enginuity!$A$17),
    Q1105&lt;&gt;"",
    Q1105&lt;&gt;0,
    OR(
      TRIM(C1105)=TRIM(Enginuity!$A$18),
      AND(UPPER(TRIM(M1105))="STD", TRIM(B1105)=TRIM(Enginuity!$A$17))
    ),
    OR(
      AND(LEFT(P1105,5)="1-Way", Enginuity!$B$13=1),
      AND(LEFT(P1105,5)="2-Way", OR(Enginuity!$B$13=2, Enginuity!$B$13=4)),
      AND(LEFT(P1105,5)="3-Way", OR(Enginuity!$B$13=3, Enginuity!$B$13=6)),
      AND(P1105="Inner Centre Jamb", OR(Enginuity!$B$13=4, Enginuity!$B$13=6)),
      AND(
        LEFT(P1105,5)&lt;&gt;"1-Way",
        LEFT(P1105,5)&lt;&gt;"2-Way",
        LEFT(P1105,5)&lt;&gt;"3-Way",
        P1105&lt;&gt;"Inner Centre Jamb"
      )
    ),
    IF(OR(Enginuity!$A$1="Frameless Glass",Enginuity!$A$1="Metal Work"),
      AND(TRIM(B1105)=TRIM(Enginuity!$A$17),TRIM(C1105)=TRIM(Enginuity!$A$18)),
      TRIM(B1105)=TRIM(Enginuity!$A$17)
    )
  ),
  ROW(),
  ""
)</f>
        <v/>
      </c>
    </row>
    <row r="1106" spans="1:21" x14ac:dyDescent="0.25">
      <c r="A1106" s="10" t="s">
        <v>253</v>
      </c>
      <c r="B1106" s="229" t="s">
        <v>372</v>
      </c>
      <c r="C1106" s="10" t="s">
        <v>402</v>
      </c>
      <c r="D1106" s="14" t="str">
        <f t="shared" ref="D1106:D1113" si="17">P1106</f>
        <v>Below 30" x 84" ecoscreen 2.5mm</v>
      </c>
      <c r="E1106" s="248" t="s">
        <v>376</v>
      </c>
      <c r="F1106" s="113" t="s">
        <v>383</v>
      </c>
      <c r="G1106" s="17"/>
      <c r="H1106" s="10"/>
      <c r="I1106" s="17"/>
      <c r="J1106" s="83"/>
      <c r="K1106" s="343"/>
      <c r="L1106" s="347"/>
      <c r="M1106" s="89">
        <v>2</v>
      </c>
      <c r="N1106" s="10" t="s">
        <v>176</v>
      </c>
      <c r="O1106" s="22">
        <v>351.75</v>
      </c>
      <c r="P1106" s="14" t="s">
        <v>368</v>
      </c>
      <c r="Q1106" s="22" t="str">
        <f>IF(AND(O1106&lt;&gt;"",P1106=Enginuity!$A$19),
   IF(Enginuity!$B$6&gt;4,Enginuity!$B$13,1),
"")</f>
        <v/>
      </c>
      <c r="U1106" s="104" t="str">
        <f>IF(
  AND(
    TRIM(A1106)=TRIM(Enginuity!$A$1),
    TRIM(B1106)=TRIM(Enginuity!$A$17),
    Q1106&lt;&gt;"",
    Q1106&lt;&gt;0,
    OR(
      TRIM(C1106)=TRIM(Enginuity!$A$18),
      AND(UPPER(TRIM(M1106))="STD", TRIM(B1106)=TRIM(Enginuity!$A$17))
    ),
    OR(
      AND(LEFT(P1106,5)="1-Way", Enginuity!$B$13=1),
      AND(LEFT(P1106,5)="2-Way", OR(Enginuity!$B$13=2, Enginuity!$B$13=4)),
      AND(LEFT(P1106,5)="3-Way", OR(Enginuity!$B$13=3, Enginuity!$B$13=6)),
      AND(P1106="Inner Centre Jamb", OR(Enginuity!$B$13=4, Enginuity!$B$13=6)),
      AND(
        LEFT(P1106,5)&lt;&gt;"1-Way",
        LEFT(P1106,5)&lt;&gt;"2-Way",
        LEFT(P1106,5)&lt;&gt;"3-Way",
        P1106&lt;&gt;"Inner Centre Jamb"
      )
    ),
    IF(OR(Enginuity!$A$1="Frameless Glass",Enginuity!$A$1="Metal Work"),
      AND(TRIM(B1106)=TRIM(Enginuity!$A$17),TRIM(C1106)=TRIM(Enginuity!$A$18)),
      TRIM(B1106)=TRIM(Enginuity!$A$17)
    )
  ),
  ROW(),
  ""
)</f>
        <v/>
      </c>
    </row>
    <row r="1107" spans="1:21" x14ac:dyDescent="0.25">
      <c r="A1107" s="10" t="s">
        <v>253</v>
      </c>
      <c r="B1107" s="229" t="s">
        <v>372</v>
      </c>
      <c r="C1107" s="10" t="s">
        <v>402</v>
      </c>
      <c r="D1107" s="14" t="str">
        <f t="shared" si="17"/>
        <v>Below 30" x 84" ecopoly 2.5mm</v>
      </c>
      <c r="E1107" s="157" t="s">
        <v>377</v>
      </c>
      <c r="F1107" s="14" t="s">
        <v>384</v>
      </c>
      <c r="G1107" s="17"/>
      <c r="H1107" s="10"/>
      <c r="I1107" s="17"/>
      <c r="J1107" s="83"/>
      <c r="K1107" s="343"/>
      <c r="L1107" s="347"/>
      <c r="M1107" s="89">
        <f>2+M1105</f>
        <v>3</v>
      </c>
      <c r="N1107" s="10" t="s">
        <v>176</v>
      </c>
      <c r="O1107" s="22">
        <v>372.75</v>
      </c>
      <c r="P1107" s="14" t="s">
        <v>369</v>
      </c>
      <c r="Q1107" s="22" t="str">
        <f>IF(AND(O1107&lt;&gt;"",P1107=Enginuity!$A$19),
   IF(Enginuity!$B$6&gt;4,Enginuity!$B$13,1),
"")</f>
        <v/>
      </c>
      <c r="U1107" s="104" t="str">
        <f>IF(
  AND(
    TRIM(A1107)=TRIM(Enginuity!$A$1),
    TRIM(B1107)=TRIM(Enginuity!$A$17),
    Q1107&lt;&gt;"",
    Q1107&lt;&gt;0,
    OR(
      TRIM(C1107)=TRIM(Enginuity!$A$18),
      AND(UPPER(TRIM(M1107))="STD", TRIM(B1107)=TRIM(Enginuity!$A$17))
    ),
    OR(
      AND(LEFT(P1107,5)="1-Way", Enginuity!$B$13=1),
      AND(LEFT(P1107,5)="2-Way", OR(Enginuity!$B$13=2, Enginuity!$B$13=4)),
      AND(LEFT(P1107,5)="3-Way", OR(Enginuity!$B$13=3, Enginuity!$B$13=6)),
      AND(P1107="Inner Centre Jamb", OR(Enginuity!$B$13=4, Enginuity!$B$13=6)),
      AND(
        LEFT(P1107,5)&lt;&gt;"1-Way",
        LEFT(P1107,5)&lt;&gt;"2-Way",
        LEFT(P1107,5)&lt;&gt;"3-Way",
        P1107&lt;&gt;"Inner Centre Jamb"
      )
    ),
    IF(OR(Enginuity!$A$1="Frameless Glass",Enginuity!$A$1="Metal Work"),
      AND(TRIM(B1107)=TRIM(Enginuity!$A$17),TRIM(C1107)=TRIM(Enginuity!$A$18)),
      TRIM(B1107)=TRIM(Enginuity!$A$17)
    )
  ),
  ROW(),
  ""
)</f>
        <v/>
      </c>
    </row>
    <row r="1108" spans="1:21" x14ac:dyDescent="0.25">
      <c r="A1108" s="10" t="s">
        <v>253</v>
      </c>
      <c r="B1108" s="229" t="s">
        <v>372</v>
      </c>
      <c r="C1108" s="10" t="s">
        <v>402</v>
      </c>
      <c r="D1108" s="14" t="str">
        <f t="shared" si="17"/>
        <v>Below 30" x 84" Aerolite</v>
      </c>
      <c r="E1108" s="157" t="s">
        <v>378</v>
      </c>
      <c r="F1108" s="14"/>
      <c r="G1108" s="17"/>
      <c r="H1108" s="10"/>
      <c r="I1108" s="17"/>
      <c r="J1108" s="83"/>
      <c r="K1108" s="343"/>
      <c r="L1108" s="347"/>
      <c r="M1108" s="89">
        <f t="shared" si="15"/>
        <v>4</v>
      </c>
      <c r="N1108" s="10" t="s">
        <v>176</v>
      </c>
      <c r="O1108" s="22">
        <v>393.75</v>
      </c>
      <c r="P1108" s="14" t="s">
        <v>370</v>
      </c>
      <c r="Q1108" s="22" t="str">
        <f>IF(AND(O1108&lt;&gt;"",P1108=Enginuity!$A$19),
   IF(Enginuity!$B$6&gt;4,Enginuity!$B$13,1),
"")</f>
        <v/>
      </c>
      <c r="U1108" s="104" t="str">
        <f>IF(
  AND(
    TRIM(A1108)=TRIM(Enginuity!$A$1),
    TRIM(B1108)=TRIM(Enginuity!$A$17),
    Q1108&lt;&gt;"",
    Q1108&lt;&gt;0,
    OR(
      TRIM(C1108)=TRIM(Enginuity!$A$18),
      AND(UPPER(TRIM(M1108))="STD", TRIM(B1108)=TRIM(Enginuity!$A$17))
    ),
    OR(
      AND(LEFT(P1108,5)="1-Way", Enginuity!$B$13=1),
      AND(LEFT(P1108,5)="2-Way", OR(Enginuity!$B$13=2, Enginuity!$B$13=4)),
      AND(LEFT(P1108,5)="3-Way", OR(Enginuity!$B$13=3, Enginuity!$B$13=6)),
      AND(P1108="Inner Centre Jamb", OR(Enginuity!$B$13=4, Enginuity!$B$13=6)),
      AND(
        LEFT(P1108,5)&lt;&gt;"1-Way",
        LEFT(P1108,5)&lt;&gt;"2-Way",
        LEFT(P1108,5)&lt;&gt;"3-Way",
        P1108&lt;&gt;"Inner Centre Jamb"
      )
    ),
    IF(OR(Enginuity!$A$1="Frameless Glass",Enginuity!$A$1="Metal Work"),
      AND(TRIM(B1108)=TRIM(Enginuity!$A$17),TRIM(C1108)=TRIM(Enginuity!$A$18)),
      TRIM(B1108)=TRIM(Enginuity!$A$17)
    )
  ),
  ROW(),
  ""
)</f>
        <v/>
      </c>
    </row>
    <row r="1109" spans="1:21" x14ac:dyDescent="0.25">
      <c r="A1109" s="10" t="s">
        <v>253</v>
      </c>
      <c r="B1109" s="229" t="s">
        <v>372</v>
      </c>
      <c r="C1109" s="10" t="s">
        <v>402</v>
      </c>
      <c r="D1109" s="14" t="str">
        <f t="shared" si="17"/>
        <v>1. Below 30" x 84" Composite</v>
      </c>
      <c r="E1109" s="157" t="s">
        <v>379</v>
      </c>
      <c r="F1109" s="14"/>
      <c r="G1109" s="17"/>
      <c r="H1109" s="10"/>
      <c r="I1109" s="17"/>
      <c r="J1109" s="83"/>
      <c r="K1109" s="343"/>
      <c r="L1109" s="347"/>
      <c r="M1109" s="89">
        <f t="shared" si="15"/>
        <v>5</v>
      </c>
      <c r="N1109" s="10" t="s">
        <v>176</v>
      </c>
      <c r="O1109" s="22">
        <v>320.25</v>
      </c>
      <c r="P1109" s="14" t="s">
        <v>374</v>
      </c>
      <c r="Q1109" s="22" t="str">
        <f>IF(AND(O1109&lt;&gt;"",P1109=Enginuity!$A$19),
   IF(Enginuity!$B$6&gt;4,Enginuity!$B$13,1),
"")</f>
        <v/>
      </c>
      <c r="U1109" s="104" t="str">
        <f>IF(
  AND(
    TRIM(A1109)=TRIM(Enginuity!$A$1),
    TRIM(B1109)=TRIM(Enginuity!$A$17),
    Q1109&lt;&gt;"",
    Q1109&lt;&gt;0,
    OR(
      TRIM(C1109)=TRIM(Enginuity!$A$18),
      AND(UPPER(TRIM(M1109))="STD", TRIM(B1109)=TRIM(Enginuity!$A$17))
    ),
    OR(
      AND(LEFT(P1109,5)="1-Way", Enginuity!$B$13=1),
      AND(LEFT(P1109,5)="2-Way", OR(Enginuity!$B$13=2, Enginuity!$B$13=4)),
      AND(LEFT(P1109,5)="3-Way", OR(Enginuity!$B$13=3, Enginuity!$B$13=6)),
      AND(P1109="Inner Centre Jamb", OR(Enginuity!$B$13=4, Enginuity!$B$13=6)),
      AND(
        LEFT(P1109,5)&lt;&gt;"1-Way",
        LEFT(P1109,5)&lt;&gt;"2-Way",
        LEFT(P1109,5)&lt;&gt;"3-Way",
        P1109&lt;&gt;"Inner Centre Jamb"
      )
    ),
    IF(OR(Enginuity!$A$1="Frameless Glass",Enginuity!$A$1="Metal Work"),
      AND(TRIM(B1109)=TRIM(Enginuity!$A$17),TRIM(C1109)=TRIM(Enginuity!$A$18)),
      TRIM(B1109)=TRIM(Enginuity!$A$17)
    )
  ),
  ROW(),
  ""
)</f>
        <v/>
      </c>
    </row>
    <row r="1110" spans="1:21" x14ac:dyDescent="0.25">
      <c r="A1110" s="10" t="s">
        <v>253</v>
      </c>
      <c r="B1110" s="229" t="s">
        <v>372</v>
      </c>
      <c r="C1110" s="10" t="s">
        <v>402</v>
      </c>
      <c r="D1110" s="14" t="str">
        <f t="shared" si="17"/>
        <v xml:space="preserve">Below 30" x 84" N.Glass + Lamina Film / N.Dark Grey </v>
      </c>
      <c r="E1110" s="157"/>
      <c r="F1110" s="14"/>
      <c r="G1110" s="17"/>
      <c r="H1110" s="10"/>
      <c r="I1110" s="17"/>
      <c r="J1110" s="83"/>
      <c r="K1110" s="343"/>
      <c r="L1110" s="347"/>
      <c r="M1110" s="89">
        <f t="shared" si="15"/>
        <v>6</v>
      </c>
      <c r="N1110" s="10" t="s">
        <v>176</v>
      </c>
      <c r="O1110" s="22">
        <v>351.75</v>
      </c>
      <c r="P1110" s="14" t="s">
        <v>937</v>
      </c>
      <c r="Q1110" s="22" t="str">
        <f>IF(AND(O1110&lt;&gt;"",P1110=Enginuity!$A$19),
   IF(Enginuity!$B$6&gt;4,Enginuity!$B$13,1),
"")</f>
        <v/>
      </c>
      <c r="U1110" s="104" t="str">
        <f>IF(
  AND(
    TRIM(A1110)=TRIM(Enginuity!$A$1),
    TRIM(B1110)=TRIM(Enginuity!$A$17),
    Q1110&lt;&gt;"",
    Q1110&lt;&gt;0,
    OR(
      TRIM(C1110)=TRIM(Enginuity!$A$18),
      AND(UPPER(TRIM(M1110))="STD", TRIM(B1110)=TRIM(Enginuity!$A$17))
    ),
    OR(
      AND(LEFT(P1110,5)="1-Way", Enginuity!$B$13=1),
      AND(LEFT(P1110,5)="2-Way", OR(Enginuity!$B$13=2, Enginuity!$B$13=4)),
      AND(LEFT(P1110,5)="3-Way", OR(Enginuity!$B$13=3, Enginuity!$B$13=6)),
      AND(P1110="Inner Centre Jamb", OR(Enginuity!$B$13=4, Enginuity!$B$13=6)),
      AND(
        LEFT(P1110,5)&lt;&gt;"1-Way",
        LEFT(P1110,5)&lt;&gt;"2-Way",
        LEFT(P1110,5)&lt;&gt;"3-Way",
        P1110&lt;&gt;"Inner Centre Jamb"
      )
    ),
    IF(OR(Enginuity!$A$1="Frameless Glass",Enginuity!$A$1="Metal Work"),
      AND(TRIM(B1110)=TRIM(Enginuity!$A$17),TRIM(C1110)=TRIM(Enginuity!$A$18)),
      TRIM(B1110)=TRIM(Enginuity!$A$17)
    )
  ),
  ROW(),
  ""
)</f>
        <v/>
      </c>
    </row>
    <row r="1111" spans="1:21" x14ac:dyDescent="0.25">
      <c r="A1111" s="10" t="s">
        <v>253</v>
      </c>
      <c r="B1111" s="229" t="s">
        <v>372</v>
      </c>
      <c r="C1111" s="10" t="s">
        <v>402</v>
      </c>
      <c r="D1111" s="14" t="str">
        <f t="shared" si="17"/>
        <v>Below 30" x 84" N.Clear Glass</v>
      </c>
      <c r="E1111" s="157"/>
      <c r="F1111" s="14"/>
      <c r="G1111" s="17"/>
      <c r="H1111" s="10"/>
      <c r="I1111" s="17"/>
      <c r="J1111" s="83"/>
      <c r="K1111" s="343"/>
      <c r="L1111" s="347"/>
      <c r="M1111" s="89">
        <f t="shared" si="15"/>
        <v>7</v>
      </c>
      <c r="N1111" s="10" t="s">
        <v>176</v>
      </c>
      <c r="O1111" s="22">
        <v>341.25</v>
      </c>
      <c r="P1111" s="14" t="s">
        <v>938</v>
      </c>
      <c r="Q1111" s="22" t="str">
        <f>IF(AND(O1111&lt;&gt;"",P1111=Enginuity!$A$19),
   IF(Enginuity!$B$6&gt;4,Enginuity!$B$13,1),
"")</f>
        <v/>
      </c>
      <c r="U1111" s="104" t="str">
        <f>IF(
  AND(
    TRIM(A1111)=TRIM(Enginuity!$A$1),
    TRIM(B1111)=TRIM(Enginuity!$A$17),
    Q1111&lt;&gt;"",
    Q1111&lt;&gt;0,
    OR(
      TRIM(C1111)=TRIM(Enginuity!$A$18),
      AND(UPPER(TRIM(M1111))="STD", TRIM(B1111)=TRIM(Enginuity!$A$17))
    ),
    OR(
      AND(LEFT(P1111,5)="1-Way", Enginuity!$B$13=1),
      AND(LEFT(P1111,5)="2-Way", OR(Enginuity!$B$13=2, Enginuity!$B$13=4)),
      AND(LEFT(P1111,5)="3-Way", OR(Enginuity!$B$13=3, Enginuity!$B$13=6)),
      AND(P1111="Inner Centre Jamb", OR(Enginuity!$B$13=4, Enginuity!$B$13=6)),
      AND(
        LEFT(P1111,5)&lt;&gt;"1-Way",
        LEFT(P1111,5)&lt;&gt;"2-Way",
        LEFT(P1111,5)&lt;&gt;"3-Way",
        P1111&lt;&gt;"Inner Centre Jamb"
      )
    ),
    IF(OR(Enginuity!$A$1="Frameless Glass",Enginuity!$A$1="Metal Work"),
      AND(TRIM(B1111)=TRIM(Enginuity!$A$17),TRIM(C1111)=TRIM(Enginuity!$A$18)),
      TRIM(B1111)=TRIM(Enginuity!$A$17)
    )
  ),
  ROW(),
  ""
)</f>
        <v/>
      </c>
    </row>
    <row r="1112" spans="1:21" x14ac:dyDescent="0.25">
      <c r="A1112" s="10" t="s">
        <v>253</v>
      </c>
      <c r="B1112" s="229" t="s">
        <v>372</v>
      </c>
      <c r="C1112" s="10" t="s">
        <v>402</v>
      </c>
      <c r="D1112" s="14" t="str">
        <f t="shared" si="17"/>
        <v>Below 30" x 84" Tempered Glass</v>
      </c>
      <c r="E1112" s="157"/>
      <c r="F1112" s="14"/>
      <c r="G1112" s="17"/>
      <c r="H1112" s="10"/>
      <c r="I1112" s="17"/>
      <c r="J1112" s="83"/>
      <c r="K1112" s="343"/>
      <c r="L1112" s="347"/>
      <c r="M1112" s="89">
        <f t="shared" si="15"/>
        <v>8</v>
      </c>
      <c r="N1112" s="10" t="s">
        <v>176</v>
      </c>
      <c r="O1112" s="22">
        <v>435.75</v>
      </c>
      <c r="P1112" s="14" t="s">
        <v>939</v>
      </c>
      <c r="Q1112" s="22" t="str">
        <f>IF(AND(O1112&lt;&gt;"",P1112=Enginuity!$A$19),
   IF(Enginuity!$B$6&gt;4,Enginuity!$B$13,1),
"")</f>
        <v/>
      </c>
      <c r="U1112" s="104" t="str">
        <f>IF(
  AND(
    TRIM(A1112)=TRIM(Enginuity!$A$1),
    TRIM(B1112)=TRIM(Enginuity!$A$17),
    Q1112&lt;&gt;"",
    Q1112&lt;&gt;0,
    OR(
      TRIM(C1112)=TRIM(Enginuity!$A$18),
      AND(UPPER(TRIM(M1112))="STD", TRIM(B1112)=TRIM(Enginuity!$A$17))
    ),
    OR(
      AND(LEFT(P1112,5)="1-Way", Enginuity!$B$13=1),
      AND(LEFT(P1112,5)="2-Way", OR(Enginuity!$B$13=2, Enginuity!$B$13=4)),
      AND(LEFT(P1112,5)="3-Way", OR(Enginuity!$B$13=3, Enginuity!$B$13=6)),
      AND(P1112="Inner Centre Jamb", OR(Enginuity!$B$13=4, Enginuity!$B$13=6)),
      AND(
        LEFT(P1112,5)&lt;&gt;"1-Way",
        LEFT(P1112,5)&lt;&gt;"2-Way",
        LEFT(P1112,5)&lt;&gt;"3-Way",
        P1112&lt;&gt;"Inner Centre Jamb"
      )
    ),
    IF(OR(Enginuity!$A$1="Frameless Glass",Enginuity!$A$1="Metal Work"),
      AND(TRIM(B1112)=TRIM(Enginuity!$A$17),TRIM(C1112)=TRIM(Enginuity!$A$18)),
      TRIM(B1112)=TRIM(Enginuity!$A$17)
    )
  ),
  ROW(),
  ""
)</f>
        <v/>
      </c>
    </row>
    <row r="1113" spans="1:21" x14ac:dyDescent="0.25">
      <c r="A1113" s="10" t="s">
        <v>253</v>
      </c>
      <c r="B1113" s="229" t="s">
        <v>372</v>
      </c>
      <c r="C1113" s="10" t="s">
        <v>402</v>
      </c>
      <c r="D1113" s="14" t="str">
        <f t="shared" si="17"/>
        <v>Below 30" x 84" Full Louvers</v>
      </c>
      <c r="E1113" s="157"/>
      <c r="F1113" s="14"/>
      <c r="G1113" s="17"/>
      <c r="H1113" s="10"/>
      <c r="I1113" s="17"/>
      <c r="J1113" s="83"/>
      <c r="K1113" s="343"/>
      <c r="L1113" s="347"/>
      <c r="M1113" s="89">
        <f t="shared" si="15"/>
        <v>9</v>
      </c>
      <c r="N1113" s="10" t="s">
        <v>176</v>
      </c>
      <c r="O1113" s="22">
        <v>661.5</v>
      </c>
      <c r="P1113" s="14" t="s">
        <v>371</v>
      </c>
      <c r="Q1113" s="22" t="str">
        <f>IF(AND(O1113&lt;&gt;"",P1113=Enginuity!$A$19),
   IF(Enginuity!$B$6&gt;4,Enginuity!$B$13,1),
"")</f>
        <v/>
      </c>
      <c r="U1113" s="104" t="str">
        <f>IF(
  AND(
    TRIM(A1113)=TRIM(Enginuity!$A$1),
    TRIM(B1113)=TRIM(Enginuity!$A$17),
    Q1113&lt;&gt;"",
    Q1113&lt;&gt;0,
    OR(
      TRIM(C1113)=TRIM(Enginuity!$A$18),
      AND(UPPER(TRIM(M1113))="STD", TRIM(B1113)=TRIM(Enginuity!$A$17))
    ),
    OR(
      AND(LEFT(P1113,5)="1-Way", Enginuity!$B$13=1),
      AND(LEFT(P1113,5)="2-Way", OR(Enginuity!$B$13=2, Enginuity!$B$13=4)),
      AND(LEFT(P1113,5)="3-Way", OR(Enginuity!$B$13=3, Enginuity!$B$13=6)),
      AND(P1113="Inner Centre Jamb", OR(Enginuity!$B$13=4, Enginuity!$B$13=6)),
      AND(
        LEFT(P1113,5)&lt;&gt;"1-Way",
        LEFT(P1113,5)&lt;&gt;"2-Way",
        LEFT(P1113,5)&lt;&gt;"3-Way",
        P1113&lt;&gt;"Inner Centre Jamb"
      )
    ),
    IF(OR(Enginuity!$A$1="Frameless Glass",Enginuity!$A$1="Metal Work"),
      AND(TRIM(B1113)=TRIM(Enginuity!$A$17),TRIM(C1113)=TRIM(Enginuity!$A$18)),
      TRIM(B1113)=TRIM(Enginuity!$A$17)
    )
  ),
  ROW(),
  ""
)</f>
        <v/>
      </c>
    </row>
    <row r="1114" spans="1:21" x14ac:dyDescent="0.25">
      <c r="A1114" s="10" t="s">
        <v>253</v>
      </c>
      <c r="B1114" s="229" t="s">
        <v>372</v>
      </c>
      <c r="C1114" s="10" t="s">
        <v>402</v>
      </c>
      <c r="D1114" s="108"/>
      <c r="E1114" s="157"/>
      <c r="F1114" s="14"/>
      <c r="G1114" s="17"/>
      <c r="H1114" s="10"/>
      <c r="I1114" s="17"/>
      <c r="J1114" s="83"/>
      <c r="K1114" s="344"/>
      <c r="L1114" s="347"/>
      <c r="M1114" s="89">
        <v>10</v>
      </c>
      <c r="N1114" s="10" t="s">
        <v>121</v>
      </c>
      <c r="O1114" s="22">
        <f>IF(ISNUMBER(SEARCH("Louvers",Enginuity!$A$19)),AllMaterialsbak!$B$11,AllMaterialsbak!$B$10)</f>
        <v>26.25</v>
      </c>
      <c r="P1114" s="108" t="str">
        <f>$A$10</f>
        <v>Additional Size Complete Set</v>
      </c>
      <c r="Q1114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38</v>
      </c>
      <c r="U1114" s="104" t="str">
        <f>IF(
  AND(
    TRIM(A1114)=TRIM(Enginuity!$A$1),
    TRIM(B1114)=TRIM(Enginuity!$A$17),
    Q1114&lt;&gt;"",
    Q1114&lt;&gt;0,
    OR(
      TRIM(C1114)=TRIM(Enginuity!$A$18),
      AND(UPPER(TRIM(M1114))="STD", TRIM(B1114)=TRIM(Enginuity!$A$17))
    ),
    OR(
      AND(LEFT(P1114,5)="1-Way", Enginuity!$B$13=1),
      AND(LEFT(P1114,5)="2-Way", OR(Enginuity!$B$13=2, Enginuity!$B$13=4)),
      AND(LEFT(P1114,5)="3-Way", OR(Enginuity!$B$13=3, Enginuity!$B$13=6)),
      AND(P1114="Inner Centre Jamb", OR(Enginuity!$B$13=4, Enginuity!$B$13=6)),
      AND(
        LEFT(P1114,5)&lt;&gt;"1-Way",
        LEFT(P1114,5)&lt;&gt;"2-Way",
        LEFT(P1114,5)&lt;&gt;"3-Way",
        P1114&lt;&gt;"Inner Centre Jamb"
      )
    ),
    IF(OR(Enginuity!$A$1="Frameless Glass",Enginuity!$A$1="Metal Work"),
      AND(TRIM(B1114)=TRIM(Enginuity!$A$17),TRIM(C1114)=TRIM(Enginuity!$A$18)),
      TRIM(B1114)=TRIM(Enginuity!$A$17)
    )
  ),
  ROW(),
  ""
)</f>
        <v/>
      </c>
    </row>
    <row r="1115" spans="1:21" x14ac:dyDescent="0.25">
      <c r="A1115" s="10" t="s">
        <v>253</v>
      </c>
      <c r="B1115" s="229" t="s">
        <v>372</v>
      </c>
      <c r="C1115" s="10" t="s">
        <v>402</v>
      </c>
      <c r="D1115" s="14"/>
      <c r="E1115" s="157"/>
      <c r="F1115" s="14"/>
      <c r="G1115" s="17"/>
      <c r="H1115" s="10"/>
      <c r="I1115" s="17"/>
      <c r="J1115" s="83"/>
      <c r="K1115" s="344"/>
      <c r="L1115" s="347"/>
      <c r="M1115" s="89"/>
      <c r="N1115" s="10" t="s">
        <v>121</v>
      </c>
      <c r="O1115" s="22">
        <f>IF(Q1115&lt;&gt;"", $B$19, "")</f>
        <v>29.93</v>
      </c>
      <c r="P1115" s="106" t="s">
        <v>380</v>
      </c>
      <c r="Q1115" s="22">
        <f>IF(Enginuity!$B$7&gt;8,MAX((Enginuity!$B$7-8)*Enginuity!$B$6,3),"")</f>
        <v>100</v>
      </c>
      <c r="U1115" s="104" t="str">
        <f>IF(
  AND(
    TRIM(A1115)=TRIM(Enginuity!$A$1),
    TRIM(B1115)=TRIM(Enginuity!$A$17),
    Q1115&lt;&gt;"",
    Q1115&lt;&gt;0,
    OR(
      TRIM(C1115)=TRIM(Enginuity!$A$18),
      AND(UPPER(TRIM(M1115))="STD", TRIM(B1115)=TRIM(Enginuity!$A$17))
    ),
    OR(
      AND(LEFT(P1115,5)="1-Way", Enginuity!$B$13=1),
      AND(LEFT(P1115,5)="2-Way", OR(Enginuity!$B$13=2, Enginuity!$B$13=4)),
      AND(LEFT(P1115,5)="3-Way", OR(Enginuity!$B$13=3, Enginuity!$B$13=6)),
      AND(P1115="Inner Centre Jamb", OR(Enginuity!$B$13=4, Enginuity!$B$13=6)),
      AND(
        LEFT(P1115,5)&lt;&gt;"1-Way",
        LEFT(P1115,5)&lt;&gt;"2-Way",
        LEFT(P1115,5)&lt;&gt;"3-Way",
        P1115&lt;&gt;"Inner Centre Jamb"
      )
    ),
    IF(OR(Enginuity!$A$1="Frameless Glass",Enginuity!$A$1="Metal Work"),
      AND(TRIM(B1115)=TRIM(Enginuity!$A$17),TRIM(C1115)=TRIM(Enginuity!$A$18)),
      TRIM(B1115)=TRIM(Enginuity!$A$17)
    )
  ),
  ROW(),
  ""
)</f>
        <v/>
      </c>
    </row>
    <row r="1116" spans="1:21" x14ac:dyDescent="0.25">
      <c r="A1116" s="10" t="s">
        <v>253</v>
      </c>
      <c r="B1116" s="229" t="s">
        <v>372</v>
      </c>
      <c r="C1116" s="10" t="s">
        <v>402</v>
      </c>
      <c r="D1116" s="14"/>
      <c r="E1116" s="157"/>
      <c r="F1116" s="14"/>
      <c r="G1116" s="17"/>
      <c r="H1116" s="10"/>
      <c r="I1116" s="17"/>
      <c r="J1116" s="83"/>
      <c r="K1116" s="343"/>
      <c r="L1116" s="347"/>
      <c r="M1116" s="89"/>
      <c r="N1116" s="10" t="s">
        <v>176</v>
      </c>
      <c r="O1116" s="22">
        <f>$B$20</f>
        <v>65</v>
      </c>
      <c r="P1116" s="106" t="s">
        <v>389</v>
      </c>
      <c r="Q1116" s="22" t="str">
        <f>IF(AND(Enginuity!$A$21="Supply &amp; Install",Enginuity!$B$7&gt;8),1,"")</f>
        <v/>
      </c>
      <c r="U1116" s="104" t="str">
        <f>IF(
  AND(
    TRIM(A1116)=TRIM(Enginuity!$A$1),
    TRIM(B1116)=TRIM(Enginuity!$A$17),
    Q1116&lt;&gt;"",
    Q1116&lt;&gt;0,
    OR(
      TRIM(C1116)=TRIM(Enginuity!$A$18),
      AND(UPPER(TRIM(M1116))="STD", TRIM(B1116)=TRIM(Enginuity!$A$17))
    ),
    OR(
      AND(LEFT(P1116,5)="1-Way", Enginuity!$B$13=1),
      AND(LEFT(P1116,5)="2-Way", OR(Enginuity!$B$13=2, Enginuity!$B$13=4)),
      AND(LEFT(P1116,5)="3-Way", OR(Enginuity!$B$13=3, Enginuity!$B$13=6)),
      AND(P1116="Inner Centre Jamb", OR(Enginuity!$B$13=4, Enginuity!$B$13=6)),
      AND(
        LEFT(P1116,5)&lt;&gt;"1-Way",
        LEFT(P1116,5)&lt;&gt;"2-Way",
        LEFT(P1116,5)&lt;&gt;"3-Way",
        P1116&lt;&gt;"Inner Centre Jamb"
      )
    ),
    IF(OR(Enginuity!$A$1="Frameless Glass",Enginuity!$A$1="Metal Work"),
      AND(TRIM(B1116)=TRIM(Enginuity!$A$17),TRIM(C1116)=TRIM(Enginuity!$A$18)),
      TRIM(B1116)=TRIM(Enginuity!$A$17)
    )
  ),
  ROW(),
  ""
)</f>
        <v/>
      </c>
    </row>
    <row r="1117" spans="1:21" x14ac:dyDescent="0.25">
      <c r="A1117" s="10" t="s">
        <v>253</v>
      </c>
      <c r="B1117" s="229" t="s">
        <v>372</v>
      </c>
      <c r="C1117" s="10" t="s">
        <v>402</v>
      </c>
      <c r="D1117" s="14"/>
      <c r="E1117" s="157"/>
      <c r="F1117" s="14"/>
      <c r="G1117" s="17"/>
      <c r="H1117" s="10"/>
      <c r="I1117" s="17"/>
      <c r="J1117" s="83"/>
      <c r="K1117" s="343"/>
      <c r="L1117" s="347"/>
      <c r="M1117" s="89"/>
      <c r="N1117" s="10" t="s">
        <v>176</v>
      </c>
      <c r="O1117" s="22">
        <f>IF(Enginuity!$B$13&gt;1, $B$18, "")</f>
        <v>30</v>
      </c>
      <c r="P1117" s="14" t="s">
        <v>388</v>
      </c>
      <c r="Q1117" s="22">
        <f>IF(AND(O1117&lt;&gt;"",Enginuity!$B$6&gt;4),Enginuity!$B$13,"")</f>
        <v>7</v>
      </c>
      <c r="U1117" s="104" t="str">
        <f>IF(
  AND(
    TRIM(A1117)=TRIM(Enginuity!$A$1),
    TRIM(B1117)=TRIM(Enginuity!$A$17),
    Q1117&lt;&gt;"",
    Q1117&lt;&gt;0,
    OR(
      TRIM(C1117)=TRIM(Enginuity!$A$18),
      AND(UPPER(TRIM(M1117))="STD", TRIM(B1117)=TRIM(Enginuity!$A$17))
    ),
    OR(
      AND(LEFT(P1117,5)="1-Way", Enginuity!$B$13=1),
      AND(LEFT(P1117,5)="2-Way", OR(Enginuity!$B$13=2, Enginuity!$B$13=4)),
      AND(LEFT(P1117,5)="3-Way", OR(Enginuity!$B$13=3, Enginuity!$B$13=6)),
      AND(P1117="Inner Centre Jamb", OR(Enginuity!$B$13=4, Enginuity!$B$13=6)),
      AND(
        LEFT(P1117,5)&lt;&gt;"1-Way",
        LEFT(P1117,5)&lt;&gt;"2-Way",
        LEFT(P1117,5)&lt;&gt;"3-Way",
        P1117&lt;&gt;"Inner Centre Jamb"
      )
    ),
    IF(OR(Enginuity!$A$1="Frameless Glass",Enginuity!$A$1="Metal Work"),
      AND(TRIM(B1117)=TRIM(Enginuity!$A$17),TRIM(C1117)=TRIM(Enginuity!$A$18)),
      TRIM(B1117)=TRIM(Enginuity!$A$17)
    )
  ),
  ROW(),
  ""
)</f>
        <v/>
      </c>
    </row>
    <row r="1118" spans="1:21" x14ac:dyDescent="0.25">
      <c r="A1118" s="10" t="s">
        <v>253</v>
      </c>
      <c r="B1118" s="229" t="s">
        <v>372</v>
      </c>
      <c r="C1118" s="10" t="s">
        <v>402</v>
      </c>
      <c r="D1118" s="14"/>
      <c r="E1118" s="157"/>
      <c r="F1118" s="14"/>
      <c r="G1118" s="17"/>
      <c r="H1118" s="10"/>
      <c r="I1118" s="17"/>
      <c r="J1118" s="83"/>
      <c r="K1118" s="343"/>
      <c r="L1118" s="347"/>
      <c r="M1118" s="89"/>
      <c r="N1118" s="10" t="s">
        <v>121</v>
      </c>
      <c r="O1118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18" s="106" t="str">
        <f>Enginuity!$A$20</f>
        <v>Z-Louvre Blade - 5"</v>
      </c>
      <c r="Q1118" s="22" t="str">
        <f>IF(O1118&lt;&gt;"",IF(Enginuity!$B$6&gt;4,Enginuity!$B$13,1),"")</f>
        <v/>
      </c>
      <c r="U1118" s="104" t="str">
        <f>IF(
  AND(
    TRIM(A1118)=TRIM(Enginuity!$A$1),
    TRIM(B1118)=TRIM(Enginuity!$A$17),
    Q1118&lt;&gt;"",
    Q1118&lt;&gt;0,
    OR(
      TRIM(C1118)=TRIM(Enginuity!$A$18),
      AND(UPPER(TRIM(M1118))="STD", TRIM(B1118)=TRIM(Enginuity!$A$17))
    ),
    OR(
      AND(LEFT(P1118,5)="1-Way", Enginuity!$B$13=1),
      AND(LEFT(P1118,5)="2-Way", OR(Enginuity!$B$13=2, Enginuity!$B$13=4)),
      AND(LEFT(P1118,5)="3-Way", OR(Enginuity!$B$13=3, Enginuity!$B$13=6)),
      AND(P1118="Inner Centre Jamb", OR(Enginuity!$B$13=4, Enginuity!$B$13=6)),
      AND(
        LEFT(P1118,5)&lt;&gt;"1-Way",
        LEFT(P1118,5)&lt;&gt;"2-Way",
        LEFT(P1118,5)&lt;&gt;"3-Way",
        P1118&lt;&gt;"Inner Centre Jamb"
      )
    ),
    IF(OR(Enginuity!$A$1="Frameless Glass",Enginuity!$A$1="Metal Work"),
      AND(TRIM(B1118)=TRIM(Enginuity!$A$17),TRIM(C1118)=TRIM(Enginuity!$A$18)),
      TRIM(B1118)=TRIM(Enginuity!$A$17)
    )
  ),
  ROW(),
  ""
)</f>
        <v/>
      </c>
    </row>
    <row r="1119" spans="1:21" x14ac:dyDescent="0.25">
      <c r="A1119" s="10" t="s">
        <v>253</v>
      </c>
      <c r="B1119" s="229" t="s">
        <v>372</v>
      </c>
      <c r="C1119" s="10" t="s">
        <v>402</v>
      </c>
      <c r="D1119" s="14"/>
      <c r="E1119" s="157"/>
      <c r="F1119" s="14"/>
      <c r="G1119" s="17"/>
      <c r="H1119" s="10"/>
      <c r="I1119" s="17"/>
      <c r="J1119" s="83"/>
      <c r="K1119" s="343"/>
      <c r="L1119" s="347"/>
      <c r="M1119" s="89"/>
      <c r="N1119" s="10" t="s">
        <v>176</v>
      </c>
      <c r="O1119" s="22" t="str">
        <f>IF(Enginuity!$A$21="Supply &amp; Install",65,
IF(Enginuity!$A$21="Supply &amp; Courier",20,
IF(Enginuity!$A$21="Self Collect",0,
"")))</f>
        <v/>
      </c>
      <c r="P1119" s="5" t="str">
        <f>Enginuity!$A$21</f>
        <v>SF 4"</v>
      </c>
      <c r="Q1119" s="22" t="str">
        <f>IF(O1119&lt;&gt;"",IF(Enginuity!$B$6&gt;4,Enginuity!$B$13,1),"")</f>
        <v/>
      </c>
      <c r="U1119" s="104" t="str">
        <f>IF(
  AND(
    TRIM(A1119)=TRIM(Enginuity!$A$1),
    TRIM(B1119)=TRIM(Enginuity!$A$17),
    Q1119&lt;&gt;"",
    Q1119&lt;&gt;0,
    OR(
      TRIM(C1119)=TRIM(Enginuity!$A$18),
      AND(UPPER(TRIM(M1119))="STD", TRIM(B1119)=TRIM(Enginuity!$A$17))
    ),
    OR(
      AND(LEFT(P1119,5)="1-Way", Enginuity!$B$13=1),
      AND(LEFT(P1119,5)="2-Way", OR(Enginuity!$B$13=2, Enginuity!$B$13=4)),
      AND(LEFT(P1119,5)="3-Way", OR(Enginuity!$B$13=3, Enginuity!$B$13=6)),
      AND(P1119="Inner Centre Jamb", OR(Enginuity!$B$13=4, Enginuity!$B$13=6)),
      AND(
        LEFT(P1119,5)&lt;&gt;"1-Way",
        LEFT(P1119,5)&lt;&gt;"2-Way",
        LEFT(P1119,5)&lt;&gt;"3-Way",
        P1119&lt;&gt;"Inner Centre Jamb"
      )
    ),
    IF(OR(Enginuity!$A$1="Frameless Glass",Enginuity!$A$1="Metal Work"),
      AND(TRIM(B1119)=TRIM(Enginuity!$A$17),TRIM(C1119)=TRIM(Enginuity!$A$18)),
      TRIM(B1119)=TRIM(Enginuity!$A$17)
    )
  ),
  ROW(),
  ""
)</f>
        <v/>
      </c>
    </row>
    <row r="1120" spans="1:21" x14ac:dyDescent="0.25">
      <c r="A1120" s="10" t="s">
        <v>253</v>
      </c>
      <c r="B1120" s="229" t="s">
        <v>372</v>
      </c>
      <c r="C1120" s="10" t="s">
        <v>402</v>
      </c>
      <c r="D1120" s="14"/>
      <c r="E1120" s="157"/>
      <c r="F1120" s="14"/>
      <c r="G1120" s="17"/>
      <c r="H1120" s="10"/>
      <c r="I1120" s="17"/>
      <c r="J1120" s="83"/>
      <c r="K1120" s="343"/>
      <c r="L1120" s="347"/>
      <c r="M1120" s="89"/>
      <c r="N1120" s="10" t="s">
        <v>176</v>
      </c>
      <c r="O1120" s="22" t="str">
        <f>IF(Enginuity!$A$22="Double Lock", $B$17, "")</f>
        <v/>
      </c>
      <c r="P1120" s="106" t="str">
        <f>Enginuity!$A$22</f>
        <v>▼ [Lattice]</v>
      </c>
      <c r="Q1120" s="22" t="str">
        <f>IF(O1120&lt;&gt;"",IF(Enginuity!$B$6&gt;4,Enginuity!$B$13,1),"")</f>
        <v/>
      </c>
      <c r="U1120" s="104" t="str">
        <f>IF(
  AND(
    TRIM(A1120)=TRIM(Enginuity!$A$1),
    TRIM(B1120)=TRIM(Enginuity!$A$17),
    Q1120&lt;&gt;"",
    Q1120&lt;&gt;0,
    OR(
      TRIM(C1120)=TRIM(Enginuity!$A$18),
      AND(UPPER(TRIM(M1120))="STD", TRIM(B1120)=TRIM(Enginuity!$A$17))
    ),
    OR(
      AND(LEFT(P1120,5)="1-Way", Enginuity!$B$13=1),
      AND(LEFT(P1120,5)="2-Way", OR(Enginuity!$B$13=2, Enginuity!$B$13=4)),
      AND(LEFT(P1120,5)="3-Way", OR(Enginuity!$B$13=3, Enginuity!$B$13=6)),
      AND(P1120="Inner Centre Jamb", OR(Enginuity!$B$13=4, Enginuity!$B$13=6)),
      AND(
        LEFT(P1120,5)&lt;&gt;"1-Way",
        LEFT(P1120,5)&lt;&gt;"2-Way",
        LEFT(P1120,5)&lt;&gt;"3-Way",
        P1120&lt;&gt;"Inner Centre Jamb"
      )
    ),
    IF(OR(Enginuity!$A$1="Frameless Glass",Enginuity!$A$1="Metal Work"),
      AND(TRIM(B1120)=TRIM(Enginuity!$A$17),TRIM(C1120)=TRIM(Enginuity!$A$18)),
      TRIM(B1120)=TRIM(Enginuity!$A$17)
    )
  ),
  ROW(),
  ""
)</f>
        <v/>
      </c>
    </row>
    <row r="1121" spans="1:21" x14ac:dyDescent="0.25">
      <c r="A1121" s="17"/>
      <c r="B1121" s="230"/>
      <c r="C1121" s="17"/>
      <c r="D1121" s="18"/>
      <c r="E1121" s="238"/>
      <c r="F1121" s="18"/>
      <c r="G1121" s="17"/>
      <c r="H1121" s="17"/>
      <c r="I1121" s="17"/>
      <c r="J1121" s="84"/>
      <c r="K1121" s="343"/>
      <c r="L1121" s="347"/>
      <c r="M1121" s="90"/>
      <c r="N1121" s="17"/>
      <c r="O1121" s="25"/>
      <c r="P1121" s="18"/>
      <c r="Q1121" s="25"/>
      <c r="U1121" s="104" t="str">
        <f>IF(
  AND(
    TRIM(A1121)=TRIM(Enginuity!$A$1),
    TRIM(B1121)=TRIM(Enginuity!$A$17),
    Q1121&lt;&gt;"",
    Q1121&lt;&gt;0,
    OR(
      TRIM(C1121)=TRIM(Enginuity!$A$18),
      AND(UPPER(TRIM(M1121))="STD", TRIM(B1121)=TRIM(Enginuity!$A$17))
    ),
    OR(
      AND(LEFT(P1121,5)="1-Way", Enginuity!$B$13=1),
      AND(LEFT(P1121,5)="2-Way", OR(Enginuity!$B$13=2, Enginuity!$B$13=4)),
      AND(LEFT(P1121,5)="3-Way", OR(Enginuity!$B$13=3, Enginuity!$B$13=6)),
      AND(P1121="Inner Centre Jamb", OR(Enginuity!$B$13=4, Enginuity!$B$13=6)),
      AND(
        LEFT(P1121,5)&lt;&gt;"1-Way",
        LEFT(P1121,5)&lt;&gt;"2-Way",
        LEFT(P1121,5)&lt;&gt;"3-Way",
        P1121&lt;&gt;"Inner Centre Jamb"
      )
    ),
    IF(OR(Enginuity!$A$1="Frameless Glass",Enginuity!$A$1="Metal Work"),
      AND(TRIM(B1121)=TRIM(Enginuity!$A$17),TRIM(C1121)=TRIM(Enginuity!$A$18)),
      TRIM(B1121)=TRIM(Enginuity!$A$17)
    )
  ),
  ROW(),
  ""
)</f>
        <v/>
      </c>
    </row>
    <row r="1122" spans="1:21" x14ac:dyDescent="0.25">
      <c r="A1122" s="10" t="s">
        <v>254</v>
      </c>
      <c r="B1122" s="229" t="s">
        <v>1669</v>
      </c>
      <c r="C1122" s="10" t="s">
        <v>107</v>
      </c>
      <c r="D1122" s="14" t="str" cm="1">
        <f t="array" ref="D1122:D1126">IFERROR(INDEX(_xlfn._xlws.FILTER(AllMaterialsbak!$BA$2:$BA$30, AllMaterialsbak!$BA$2:$BA$30&lt;&gt;""), _xlfn.SEQUENCE(5)), "")</f>
        <v>Default</v>
      </c>
      <c r="E1122" s="157" t="s">
        <v>396</v>
      </c>
      <c r="F1122" s="11"/>
      <c r="G1122" s="17"/>
      <c r="H1122" s="10"/>
      <c r="I1122" s="17"/>
      <c r="J1122" s="83"/>
      <c r="K1122" s="344">
        <v>0.521208</v>
      </c>
      <c r="L1122" s="347">
        <v>609.6</v>
      </c>
      <c r="M1122" s="89">
        <v>1</v>
      </c>
      <c r="N1122" s="10" t="s">
        <v>103</v>
      </c>
      <c r="O1122" s="22">
        <v>3.1295000000000002</v>
      </c>
      <c r="P1122" s="86" t="s">
        <v>390</v>
      </c>
      <c r="Q1122" s="83">
        <f>$Q$2</f>
        <v>66</v>
      </c>
      <c r="U1122" s="104" t="str">
        <f>IF(
  AND(
    TRIM(A1122)=TRIM(Enginuity!$A$1),
    TRIM(B1122)=TRIM(Enginuity!$A$17),
    Q1122&lt;&gt;"",
    Q1122&lt;&gt;0,
    OR(
      TRIM(C1122)=TRIM(Enginuity!$A$18),
      AND(UPPER(TRIM(M1122))="STD", TRIM(B1122)=TRIM(Enginuity!$A$17))
    ),
    OR(
      AND(LEFT(P1122,5)="1-Way", Enginuity!$B$13=1),
      AND(LEFT(P1122,5)="2-Way", OR(Enginuity!$B$13=2, Enginuity!$B$13=4)),
      AND(LEFT(P1122,5)="3-Way", OR(Enginuity!$B$13=3, Enginuity!$B$13=6)),
      AND(P1122="Inner Centre Jamb", OR(Enginuity!$B$13=4, Enginuity!$B$13=6)),
      AND(
        LEFT(P1122,5)&lt;&gt;"1-Way",
        LEFT(P1122,5)&lt;&gt;"2-Way",
        LEFT(P1122,5)&lt;&gt;"3-Way",
        P1122&lt;&gt;"Inner Centre Jamb"
      )
    ),
    IF(OR(Enginuity!$A$1="Frameless Glass",Enginuity!$A$1="Metal Work"),
      AND(TRIM(B1122)=TRIM(Enginuity!$A$17),TRIM(C1122)=TRIM(Enginuity!$A$18)),
      TRIM(B1122)=TRIM(Enginuity!$A$17)
    )
  ),
  ROW(),
  ""
)</f>
        <v/>
      </c>
    </row>
    <row r="1123" spans="1:21" x14ac:dyDescent="0.25">
      <c r="A1123" s="10" t="s">
        <v>254</v>
      </c>
      <c r="B1123" s="229" t="s">
        <v>1669</v>
      </c>
      <c r="C1123" s="10" t="s">
        <v>107</v>
      </c>
      <c r="D1123" s="14" t="str">
        <v xml:space="preserve">2" Louver Blade N/A </v>
      </c>
      <c r="E1123" s="157" t="s">
        <v>397</v>
      </c>
      <c r="F1123" s="11"/>
      <c r="G1123" s="17"/>
      <c r="H1123" s="10"/>
      <c r="I1123" s="17"/>
      <c r="J1123" s="83"/>
      <c r="K1123" s="343"/>
      <c r="L1123" s="347"/>
      <c r="M1123" s="89">
        <v>2</v>
      </c>
      <c r="N1123" s="10" t="s">
        <v>103</v>
      </c>
      <c r="O1123" s="22">
        <v>1.1000000000000001</v>
      </c>
      <c r="P1123" s="86" t="s">
        <v>391</v>
      </c>
      <c r="Q1123" s="83">
        <f>$Q$3</f>
        <v>222</v>
      </c>
      <c r="U1123" s="104" t="str">
        <f>IF(
  AND(
    TRIM(A1123)=TRIM(Enginuity!$A$1),
    TRIM(B1123)=TRIM(Enginuity!$A$17),
    Q1123&lt;&gt;"",
    Q1123&lt;&gt;0,
    OR(
      TRIM(C1123)=TRIM(Enginuity!$A$18),
      AND(UPPER(TRIM(M1123))="STD", TRIM(B1123)=TRIM(Enginuity!$A$17))
    ),
    OR(
      AND(LEFT(P1123,5)="1-Way", Enginuity!$B$13=1),
      AND(LEFT(P1123,5)="2-Way", OR(Enginuity!$B$13=2, Enginuity!$B$13=4)),
      AND(LEFT(P1123,5)="3-Way", OR(Enginuity!$B$13=3, Enginuity!$B$13=6)),
      AND(P1123="Inner Centre Jamb", OR(Enginuity!$B$13=4, Enginuity!$B$13=6)),
      AND(
        LEFT(P1123,5)&lt;&gt;"1-Way",
        LEFT(P1123,5)&lt;&gt;"2-Way",
        LEFT(P1123,5)&lt;&gt;"3-Way",
        P1123&lt;&gt;"Inner Centre Jamb"
      )
    ),
    IF(OR(Enginuity!$A$1="Frameless Glass",Enginuity!$A$1="Metal Work"),
      AND(TRIM(B1123)=TRIM(Enginuity!$A$17),TRIM(C1123)=TRIM(Enginuity!$A$18)),
      TRIM(B1123)=TRIM(Enginuity!$A$17)
    )
  ),
  ROW(),
  ""
)</f>
        <v/>
      </c>
    </row>
    <row r="1124" spans="1:21" x14ac:dyDescent="0.25">
      <c r="A1124" s="10" t="s">
        <v>254</v>
      </c>
      <c r="B1124" s="229" t="s">
        <v>1669</v>
      </c>
      <c r="C1124" s="10" t="s">
        <v>107</v>
      </c>
      <c r="D1124" s="14" t="str">
        <v>2" Louver Blade P/C</v>
      </c>
      <c r="E1124" s="157" t="s">
        <v>398</v>
      </c>
      <c r="F1124" s="10"/>
      <c r="G1124" s="17"/>
      <c r="H1124" s="10"/>
      <c r="I1124" s="17"/>
      <c r="J1124" s="83"/>
      <c r="K1124" s="343"/>
      <c r="L1124" s="347"/>
      <c r="M1124" s="89">
        <v>3</v>
      </c>
      <c r="N1124" s="10" t="s">
        <v>103</v>
      </c>
      <c r="O1124" s="22">
        <v>3.1295000000000002</v>
      </c>
      <c r="P1124" s="21" t="s">
        <v>392</v>
      </c>
      <c r="Q1124" s="83" t="str">
        <f>IF(
  OR(
    TRIM(Enginuity!$A$21)="1'H X ?'W X Qty Panel Top Hung (Casement Profile)",
    TRIM(Enginuity!$A$21)="1'H X ?'W X Qty Panel Top Fix (Casement Profile)"
  ),
  Enginuity!$B$6,
  ""
)</f>
        <v/>
      </c>
      <c r="U1124" s="104" t="str">
        <f>IF(
  AND(
    TRIM(A1124)=TRIM(Enginuity!$A$1),
    TRIM(B1124)=TRIM(Enginuity!$A$17),
    Q1124&lt;&gt;"",
    Q1124&lt;&gt;0,
    OR(
      TRIM(C1124)=TRIM(Enginuity!$A$18),
      AND(UPPER(TRIM(M1124))="STD", TRIM(B1124)=TRIM(Enginuity!$A$17))
    ),
    OR(
      AND(LEFT(P1124,5)="1-Way", Enginuity!$B$13=1),
      AND(LEFT(P1124,5)="2-Way", OR(Enginuity!$B$13=2, Enginuity!$B$13=4)),
      AND(LEFT(P1124,5)="3-Way", OR(Enginuity!$B$13=3, Enginuity!$B$13=6)),
      AND(P1124="Inner Centre Jamb", OR(Enginuity!$B$13=4, Enginuity!$B$13=6)),
      AND(
        LEFT(P1124,5)&lt;&gt;"1-Way",
        LEFT(P1124,5)&lt;&gt;"2-Way",
        LEFT(P1124,5)&lt;&gt;"3-Way",
        P1124&lt;&gt;"Inner Centre Jamb"
      )
    ),
    IF(OR(Enginuity!$A$1="Frameless Glass",Enginuity!$A$1="Metal Work"),
      AND(TRIM(B1124)=TRIM(Enginuity!$A$17),TRIM(C1124)=TRIM(Enginuity!$A$18)),
      TRIM(B1124)=TRIM(Enginuity!$A$17)
    )
  ),
  ROW(),
  ""
)</f>
        <v/>
      </c>
    </row>
    <row r="1125" spans="1:21" x14ac:dyDescent="0.25">
      <c r="A1125" s="10" t="s">
        <v>254</v>
      </c>
      <c r="B1125" s="229" t="s">
        <v>1669</v>
      </c>
      <c r="C1125" s="10" t="s">
        <v>107</v>
      </c>
      <c r="D1125" s="14" t="str">
        <v xml:space="preserve">5" Louver Blade N/A </v>
      </c>
      <c r="E1125" s="157" t="s">
        <v>399</v>
      </c>
      <c r="F1125" s="10"/>
      <c r="G1125" s="17"/>
      <c r="H1125" s="10"/>
      <c r="I1125" s="17"/>
      <c r="J1125" s="83"/>
      <c r="K1125" s="343"/>
      <c r="L1125" s="347"/>
      <c r="M1125" s="89">
        <v>4</v>
      </c>
      <c r="N1125" s="10" t="s">
        <v>103</v>
      </c>
      <c r="O1125" s="22">
        <v>3.1295000000000002</v>
      </c>
      <c r="P1125" s="21" t="s">
        <v>393</v>
      </c>
      <c r="Q1125" s="83">
        <f>$Q$6</f>
        <v>78</v>
      </c>
      <c r="U1125" s="104" t="str">
        <f>IF(
  AND(
    TRIM(A1125)=TRIM(Enginuity!$A$1),
    TRIM(B1125)=TRIM(Enginuity!$A$17),
    Q1125&lt;&gt;"",
    Q1125&lt;&gt;0,
    OR(
      TRIM(C1125)=TRIM(Enginuity!$A$18),
      AND(UPPER(TRIM(M1125))="STD", TRIM(B1125)=TRIM(Enginuity!$A$17))
    ),
    OR(
      AND(LEFT(P1125,5)="1-Way", Enginuity!$B$13=1),
      AND(LEFT(P1125,5)="2-Way", OR(Enginuity!$B$13=2, Enginuity!$B$13=4)),
      AND(LEFT(P1125,5)="3-Way", OR(Enginuity!$B$13=3, Enginuity!$B$13=6)),
      AND(P1125="Inner Centre Jamb", OR(Enginuity!$B$13=4, Enginuity!$B$13=6)),
      AND(
        LEFT(P1125,5)&lt;&gt;"1-Way",
        LEFT(P1125,5)&lt;&gt;"2-Way",
        LEFT(P1125,5)&lt;&gt;"3-Way",
        P1125&lt;&gt;"Inner Centre Jamb"
      )
    ),
    IF(OR(Enginuity!$A$1="Frameless Glass",Enginuity!$A$1="Metal Work"),
      AND(TRIM(B1125)=TRIM(Enginuity!$A$17),TRIM(C1125)=TRIM(Enginuity!$A$18)),
      TRIM(B1125)=TRIM(Enginuity!$A$17)
    )
  ),
  ROW(),
  ""
)</f>
        <v/>
      </c>
    </row>
    <row r="1126" spans="1:21" x14ac:dyDescent="0.25">
      <c r="A1126" s="10" t="s">
        <v>254</v>
      </c>
      <c r="B1126" s="229" t="s">
        <v>1669</v>
      </c>
      <c r="C1126" s="10" t="s">
        <v>107</v>
      </c>
      <c r="D1126" s="14" t="str">
        <v>5" Louver Blade P/C</v>
      </c>
      <c r="E1126" s="157"/>
      <c r="F1126" s="10"/>
      <c r="G1126" s="17"/>
      <c r="H1126" s="10"/>
      <c r="I1126" s="17"/>
      <c r="J1126" s="83"/>
      <c r="K1126" s="343"/>
      <c r="L1126" s="347"/>
      <c r="M1126" s="89">
        <v>5</v>
      </c>
      <c r="N1126" s="10" t="s">
        <v>111</v>
      </c>
      <c r="O1126" s="22" t="str" cm="1">
        <f t="array" ref="O1126">IFERROR(LOOKUP(2,1/(ISNUMBER(SEARCH({"Aluminium Adjustable","Aluminium Fix","PVC Adjustable","PVC Fix"},Enginuity!$A$20))),{8,2.5,8,2.5}),"")</f>
        <v/>
      </c>
      <c r="P1126" s="5" t="str">
        <f>Enginuity!$A$20</f>
        <v>Z-Louvre Blade - 5"</v>
      </c>
      <c r="Q1126" s="22" t="str" cm="1">
        <f t="array" ref="Q1126">IF(IFERROR(VALUE(INDEX($O:$O,ROW())),0)&gt;0,IF(AND(Enginuity!$B$7&gt;0,Enginuity!$B$13&gt;0),ROUNDUP(Enginuity!$B$7/0.5,0)*Enginuity!$B$13,""),"")</f>
        <v/>
      </c>
      <c r="U1126" s="104" t="str">
        <f>IF(
  AND(
    TRIM(A1126)=TRIM(Enginuity!$A$1),
    TRIM(B1126)=TRIM(Enginuity!$A$17),
    Q1126&lt;&gt;"",
    Q1126&lt;&gt;0,
    OR(
      TRIM(C1126)=TRIM(Enginuity!$A$18),
      AND(UPPER(TRIM(M1126))="STD", TRIM(B1126)=TRIM(Enginuity!$A$17))
    ),
    OR(
      AND(LEFT(P1126,5)="1-Way", Enginuity!$B$13=1),
      AND(LEFT(P1126,5)="2-Way", OR(Enginuity!$B$13=2, Enginuity!$B$13=4)),
      AND(LEFT(P1126,5)="3-Way", OR(Enginuity!$B$13=3, Enginuity!$B$13=6)),
      AND(P1126="Inner Centre Jamb", OR(Enginuity!$B$13=4, Enginuity!$B$13=6)),
      AND(
        LEFT(P1126,5)&lt;&gt;"1-Way",
        LEFT(P1126,5)&lt;&gt;"2-Way",
        LEFT(P1126,5)&lt;&gt;"3-Way",
        P1126&lt;&gt;"Inner Centre Jamb"
      )
    ),
    IF(OR(Enginuity!$A$1="Frameless Glass",Enginuity!$A$1="Metal Work"),
      AND(TRIM(B1126)=TRIM(Enginuity!$A$17),TRIM(C1126)=TRIM(Enginuity!$A$18)),
      TRIM(B1126)=TRIM(Enginuity!$A$17)
    )
  ),
  ROW(),
  ""
)</f>
        <v/>
      </c>
    </row>
    <row r="1127" spans="1:21" x14ac:dyDescent="0.25">
      <c r="A1127" s="10"/>
      <c r="B1127" s="229"/>
      <c r="C1127" s="10"/>
      <c r="D1127" s="14"/>
      <c r="E1127" s="157"/>
      <c r="F1127" s="10"/>
      <c r="G1127" s="17"/>
      <c r="H1127" s="10"/>
      <c r="I1127" s="17"/>
      <c r="J1127" s="83"/>
      <c r="K1127" s="343"/>
      <c r="L1127" s="347"/>
      <c r="M1127" s="89">
        <v>6</v>
      </c>
      <c r="N1127" s="10"/>
      <c r="O1127" s="22"/>
      <c r="P1127" s="14"/>
      <c r="Q1127" s="83"/>
      <c r="U1127" s="104" t="str">
        <f>IF(
  AND(
    TRIM(A1127)=TRIM(Enginuity!$A$1),
    TRIM(B1127)=TRIM(Enginuity!$A$17),
    Q1127&lt;&gt;"",
    Q1127&lt;&gt;0,
    OR(
      TRIM(C1127)=TRIM(Enginuity!$A$18),
      AND(UPPER(TRIM(M1127))="STD", TRIM(B1127)=TRIM(Enginuity!$A$17))
    ),
    OR(
      AND(LEFT(P1127,5)="1-Way", Enginuity!$B$13=1),
      AND(LEFT(P1127,5)="2-Way", OR(Enginuity!$B$13=2, Enginuity!$B$13=4)),
      AND(LEFT(P1127,5)="3-Way", OR(Enginuity!$B$13=3, Enginuity!$B$13=6)),
      AND(P1127="Inner Centre Jamb", OR(Enginuity!$B$13=4, Enginuity!$B$13=6)),
      AND(
        LEFT(P1127,5)&lt;&gt;"1-Way",
        LEFT(P1127,5)&lt;&gt;"2-Way",
        LEFT(P1127,5)&lt;&gt;"3-Way",
        P1127&lt;&gt;"Inner Centre Jamb"
      )
    ),
    IF(OR(Enginuity!$A$1="Frameless Glass",Enginuity!$A$1="Metal Work"),
      AND(TRIM(B1127)=TRIM(Enginuity!$A$17),TRIM(C1127)=TRIM(Enginuity!$A$18)),
      TRIM(B1127)=TRIM(Enginuity!$A$17)
    )
  ),
  ROW(),
  ""
)</f>
        <v/>
      </c>
    </row>
    <row r="1128" spans="1:21" x14ac:dyDescent="0.25">
      <c r="A1128" s="10"/>
      <c r="B1128" s="229"/>
      <c r="C1128" s="10"/>
      <c r="D1128" s="14"/>
      <c r="E1128" s="157"/>
      <c r="F1128" s="10"/>
      <c r="G1128" s="17"/>
      <c r="H1128" s="10"/>
      <c r="I1128" s="17"/>
      <c r="J1128" s="83"/>
      <c r="K1128" s="343"/>
      <c r="L1128" s="347"/>
      <c r="M1128" s="89">
        <v>7</v>
      </c>
      <c r="N1128" s="10"/>
      <c r="O1128" s="22" t="str">
        <f>IF(Enginuity!$A$20="", "",
 IF(Enginuity!$A$20="Lattice Design", F1082,
 IF(Enginuity!$A$20="Lattice Design 12 Box / Panel", F1083,
 ""))
)</f>
        <v/>
      </c>
      <c r="P1128" s="5"/>
      <c r="Q1128" s="22" t="str">
        <f>IF(O1128&lt;&gt;"",1,"")</f>
        <v/>
      </c>
      <c r="U1128" s="104" t="str">
        <f>IF(
  AND(
    TRIM(A1128)=TRIM(Enginuity!$A$1),
    TRIM(B1128)=TRIM(Enginuity!$A$17),
    Q1128&lt;&gt;"",
    Q1128&lt;&gt;0,
    OR(
      TRIM(C1128)=TRIM(Enginuity!$A$18),
      AND(UPPER(TRIM(M1128))="STD", TRIM(B1128)=TRIM(Enginuity!$A$17))
    ),
    OR(
      AND(LEFT(P1128,5)="1-Way", Enginuity!$B$13=1),
      AND(LEFT(P1128,5)="2-Way", OR(Enginuity!$B$13=2, Enginuity!$B$13=4)),
      AND(LEFT(P1128,5)="3-Way", OR(Enginuity!$B$13=3, Enginuity!$B$13=6)),
      AND(P1128="Inner Centre Jamb", OR(Enginuity!$B$13=4, Enginuity!$B$13=6)),
      AND(
        LEFT(P1128,5)&lt;&gt;"1-Way",
        LEFT(P1128,5)&lt;&gt;"2-Way",
        LEFT(P1128,5)&lt;&gt;"3-Way",
        P1128&lt;&gt;"Inner Centre Jamb"
      )
    ),
    IF(OR(Enginuity!$A$1="Frameless Glass",Enginuity!$A$1="Metal Work"),
      AND(TRIM(B1128)=TRIM(Enginuity!$A$17),TRIM(C1128)=TRIM(Enginuity!$A$18)),
      TRIM(B1128)=TRIM(Enginuity!$A$17)
    )
  ),
  ROW(),
  ""
)</f>
        <v/>
      </c>
    </row>
    <row r="1129" spans="1:21" x14ac:dyDescent="0.25">
      <c r="A1129" s="10"/>
      <c r="B1129" s="229"/>
      <c r="C1129" s="10"/>
      <c r="D1129" s="14"/>
      <c r="E1129" s="157"/>
      <c r="F1129" s="10"/>
      <c r="G1129" s="17"/>
      <c r="H1129" s="10"/>
      <c r="I1129" s="17"/>
      <c r="J1129" s="83"/>
      <c r="K1129" s="343"/>
      <c r="L1129" s="347"/>
      <c r="M1129" s="89">
        <v>8</v>
      </c>
      <c r="N1129" s="10"/>
      <c r="O1129" s="22"/>
      <c r="P1129" s="14"/>
      <c r="Q1129" s="83"/>
      <c r="U1129" s="104" t="str">
        <f>IF(
  AND(
    TRIM(A1129)=TRIM(Enginuity!$A$1),
    TRIM(B1129)=TRIM(Enginuity!$A$17),
    Q1129&lt;&gt;"",
    Q1129&lt;&gt;0,
    OR(
      TRIM(C1129)=TRIM(Enginuity!$A$18),
      AND(UPPER(TRIM(M1129))="STD", TRIM(B1129)=TRIM(Enginuity!$A$17))
    ),
    OR(
      AND(LEFT(P1129,5)="1-Way", Enginuity!$B$13=1),
      AND(LEFT(P1129,5)="2-Way", OR(Enginuity!$B$13=2, Enginuity!$B$13=4)),
      AND(LEFT(P1129,5)="3-Way", OR(Enginuity!$B$13=3, Enginuity!$B$13=6)),
      AND(P1129="Inner Centre Jamb", OR(Enginuity!$B$13=4, Enginuity!$B$13=6)),
      AND(
        LEFT(P1129,5)&lt;&gt;"1-Way",
        LEFT(P1129,5)&lt;&gt;"2-Way",
        LEFT(P1129,5)&lt;&gt;"3-Way",
        P1129&lt;&gt;"Inner Centre Jamb"
      )
    ),
    IF(OR(Enginuity!$A$1="Frameless Glass",Enginuity!$A$1="Metal Work"),
      AND(TRIM(B1129)=TRIM(Enginuity!$A$17),TRIM(C1129)=TRIM(Enginuity!$A$18)),
      TRIM(B1129)=TRIM(Enginuity!$A$17)
    )
  ),
  ROW(),
  ""
)</f>
        <v/>
      </c>
    </row>
    <row r="1130" spans="1:21" x14ac:dyDescent="0.25">
      <c r="A1130" s="10" t="s">
        <v>254</v>
      </c>
      <c r="B1130" s="229" t="s">
        <v>1669</v>
      </c>
      <c r="C1130" s="10" t="s">
        <v>97</v>
      </c>
      <c r="D1130" s="14"/>
      <c r="E1130" s="157" t="s">
        <v>396</v>
      </c>
      <c r="F1130" s="10"/>
      <c r="G1130" s="17"/>
      <c r="H1130" s="10"/>
      <c r="I1130" s="17"/>
      <c r="J1130" s="83"/>
      <c r="K1130" s="344">
        <v>0.521208</v>
      </c>
      <c r="L1130" s="347">
        <v>609.6</v>
      </c>
      <c r="M1130" s="89">
        <v>9</v>
      </c>
      <c r="N1130" s="10" t="s">
        <v>103</v>
      </c>
      <c r="O1130" s="22">
        <v>3.3664999999999998</v>
      </c>
      <c r="P1130" s="86" t="s">
        <v>390</v>
      </c>
      <c r="Q1130" s="83">
        <f>$Q$2</f>
        <v>66</v>
      </c>
      <c r="U1130" s="104" t="str">
        <f>IF(
  AND(
    TRIM(A1130)=TRIM(Enginuity!$A$1),
    TRIM(B1130)=TRIM(Enginuity!$A$17),
    Q1130&lt;&gt;"",
    Q1130&lt;&gt;0,
    OR(
      TRIM(C1130)=TRIM(Enginuity!$A$18),
      AND(UPPER(TRIM(M1130))="STD", TRIM(B1130)=TRIM(Enginuity!$A$17))
    ),
    OR(
      AND(LEFT(P1130,5)="1-Way", Enginuity!$B$13=1),
      AND(LEFT(P1130,5)="2-Way", OR(Enginuity!$B$13=2, Enginuity!$B$13=4)),
      AND(LEFT(P1130,5)="3-Way", OR(Enginuity!$B$13=3, Enginuity!$B$13=6)),
      AND(P1130="Inner Centre Jamb", OR(Enginuity!$B$13=4, Enginuity!$B$13=6)),
      AND(
        LEFT(P1130,5)&lt;&gt;"1-Way",
        LEFT(P1130,5)&lt;&gt;"2-Way",
        LEFT(P1130,5)&lt;&gt;"3-Way",
        P1130&lt;&gt;"Inner Centre Jamb"
      )
    ),
    IF(OR(Enginuity!$A$1="Frameless Glass",Enginuity!$A$1="Metal Work"),
      AND(TRIM(B1130)=TRIM(Enginuity!$A$17),TRIM(C1130)=TRIM(Enginuity!$A$18)),
      TRIM(B1130)=TRIM(Enginuity!$A$17)
    )
  ),
  ROW(),
  ""
)</f>
        <v/>
      </c>
    </row>
    <row r="1131" spans="1:21" x14ac:dyDescent="0.25">
      <c r="A1131" s="10" t="s">
        <v>254</v>
      </c>
      <c r="B1131" s="229" t="s">
        <v>1669</v>
      </c>
      <c r="C1131" s="10" t="s">
        <v>97</v>
      </c>
      <c r="D1131" s="14"/>
      <c r="E1131" s="157" t="s">
        <v>397</v>
      </c>
      <c r="F1131" s="10"/>
      <c r="G1131" s="17"/>
      <c r="H1131" s="10"/>
      <c r="I1131" s="17"/>
      <c r="J1131" s="83"/>
      <c r="K1131" s="343"/>
      <c r="L1131" s="347"/>
      <c r="M1131" s="89">
        <v>10</v>
      </c>
      <c r="N1131" s="10" t="s">
        <v>103</v>
      </c>
      <c r="O1131" s="22">
        <v>1.3</v>
      </c>
      <c r="P1131" s="86" t="s">
        <v>391</v>
      </c>
      <c r="Q1131" s="83">
        <f>$Q$3</f>
        <v>222</v>
      </c>
      <c r="U1131" s="104" t="str">
        <f>IF(
  AND(
    TRIM(A1131)=TRIM(Enginuity!$A$1),
    TRIM(B1131)=TRIM(Enginuity!$A$17),
    Q1131&lt;&gt;"",
    Q1131&lt;&gt;0,
    OR(
      TRIM(C1131)=TRIM(Enginuity!$A$18),
      AND(UPPER(TRIM(M1131))="STD", TRIM(B1131)=TRIM(Enginuity!$A$17))
    ),
    OR(
      AND(LEFT(P1131,5)="1-Way", Enginuity!$B$13=1),
      AND(LEFT(P1131,5)="2-Way", OR(Enginuity!$B$13=2, Enginuity!$B$13=4)),
      AND(LEFT(P1131,5)="3-Way", OR(Enginuity!$B$13=3, Enginuity!$B$13=6)),
      AND(P1131="Inner Centre Jamb", OR(Enginuity!$B$13=4, Enginuity!$B$13=6)),
      AND(
        LEFT(P1131,5)&lt;&gt;"1-Way",
        LEFT(P1131,5)&lt;&gt;"2-Way",
        LEFT(P1131,5)&lt;&gt;"3-Way",
        P1131&lt;&gt;"Inner Centre Jamb"
      )
    ),
    IF(OR(Enginuity!$A$1="Frameless Glass",Enginuity!$A$1="Metal Work"),
      AND(TRIM(B1131)=TRIM(Enginuity!$A$17),TRIM(C1131)=TRIM(Enginuity!$A$18)),
      TRIM(B1131)=TRIM(Enginuity!$A$17)
    )
  ),
  ROW(),
  ""
)</f>
        <v/>
      </c>
    </row>
    <row r="1132" spans="1:21" x14ac:dyDescent="0.25">
      <c r="A1132" s="10" t="s">
        <v>254</v>
      </c>
      <c r="B1132" s="229" t="s">
        <v>1669</v>
      </c>
      <c r="C1132" s="10" t="s">
        <v>97</v>
      </c>
      <c r="D1132" s="14"/>
      <c r="E1132" s="157" t="s">
        <v>398</v>
      </c>
      <c r="F1132" s="10"/>
      <c r="G1132" s="17"/>
      <c r="H1132" s="10"/>
      <c r="I1132" s="17"/>
      <c r="J1132" s="83"/>
      <c r="K1132" s="343"/>
      <c r="L1132" s="347"/>
      <c r="M1132" s="89">
        <v>11</v>
      </c>
      <c r="N1132" s="10" t="s">
        <v>103</v>
      </c>
      <c r="O1132" s="22">
        <v>3.37</v>
      </c>
      <c r="P1132" s="21" t="s">
        <v>392</v>
      </c>
      <c r="Q1132" s="83" t="str">
        <f>IF(
  OR(
    TRIM(Enginuity!$A$21)="1'H X ?'W X Qty Panel Top Hung (Casement Profile)",
    TRIM(Enginuity!$A$21)="1'H X ?'W X Qty Panel Top Fix (Casement Profile)"
  ),
  Enginuity!$B$6,
  ""
)</f>
        <v/>
      </c>
      <c r="U1132" s="104" t="str">
        <f>IF(
  AND(
    TRIM(A1132)=TRIM(Enginuity!$A$1),
    TRIM(B1132)=TRIM(Enginuity!$A$17),
    Q1132&lt;&gt;"",
    Q1132&lt;&gt;0,
    OR(
      TRIM(C1132)=TRIM(Enginuity!$A$18),
      AND(UPPER(TRIM(M1132))="STD", TRIM(B1132)=TRIM(Enginuity!$A$17))
    ),
    OR(
      AND(LEFT(P1132,5)="1-Way", Enginuity!$B$13=1),
      AND(LEFT(P1132,5)="2-Way", OR(Enginuity!$B$13=2, Enginuity!$B$13=4)),
      AND(LEFT(P1132,5)="3-Way", OR(Enginuity!$B$13=3, Enginuity!$B$13=6)),
      AND(P1132="Inner Centre Jamb", OR(Enginuity!$B$13=4, Enginuity!$B$13=6)),
      AND(
        LEFT(P1132,5)&lt;&gt;"1-Way",
        LEFT(P1132,5)&lt;&gt;"2-Way",
        LEFT(P1132,5)&lt;&gt;"3-Way",
        P1132&lt;&gt;"Inner Centre Jamb"
      )
    ),
    IF(OR(Enginuity!$A$1="Frameless Glass",Enginuity!$A$1="Metal Work"),
      AND(TRIM(B1132)=TRIM(Enginuity!$A$17),TRIM(C1132)=TRIM(Enginuity!$A$18)),
      TRIM(B1132)=TRIM(Enginuity!$A$17)
    )
  ),
  ROW(),
  ""
)</f>
        <v/>
      </c>
    </row>
    <row r="1133" spans="1:21" x14ac:dyDescent="0.25">
      <c r="A1133" s="10" t="s">
        <v>254</v>
      </c>
      <c r="B1133" s="229" t="s">
        <v>1669</v>
      </c>
      <c r="C1133" s="10" t="s">
        <v>97</v>
      </c>
      <c r="D1133" s="14"/>
      <c r="E1133" s="157" t="s">
        <v>399</v>
      </c>
      <c r="F1133" s="10"/>
      <c r="G1133" s="17"/>
      <c r="H1133" s="10"/>
      <c r="I1133" s="17"/>
      <c r="J1133" s="83"/>
      <c r="K1133" s="343"/>
      <c r="L1133" s="347"/>
      <c r="M1133" s="89">
        <v>12</v>
      </c>
      <c r="N1133" s="10" t="s">
        <v>103</v>
      </c>
      <c r="O1133" s="22">
        <v>3.37</v>
      </c>
      <c r="P1133" s="21" t="s">
        <v>393</v>
      </c>
      <c r="Q1133" s="83">
        <f>$Q$6</f>
        <v>78</v>
      </c>
      <c r="U1133" s="104" t="str">
        <f>IF(
  AND(
    TRIM(A1133)=TRIM(Enginuity!$A$1),
    TRIM(B1133)=TRIM(Enginuity!$A$17),
    Q1133&lt;&gt;"",
    Q1133&lt;&gt;0,
    OR(
      TRIM(C1133)=TRIM(Enginuity!$A$18),
      AND(UPPER(TRIM(M1133))="STD", TRIM(B1133)=TRIM(Enginuity!$A$17))
    ),
    OR(
      AND(LEFT(P1133,5)="1-Way", Enginuity!$B$13=1),
      AND(LEFT(P1133,5)="2-Way", OR(Enginuity!$B$13=2, Enginuity!$B$13=4)),
      AND(LEFT(P1133,5)="3-Way", OR(Enginuity!$B$13=3, Enginuity!$B$13=6)),
      AND(P1133="Inner Centre Jamb", OR(Enginuity!$B$13=4, Enginuity!$B$13=6)),
      AND(
        LEFT(P1133,5)&lt;&gt;"1-Way",
        LEFT(P1133,5)&lt;&gt;"2-Way",
        LEFT(P1133,5)&lt;&gt;"3-Way",
        P1133&lt;&gt;"Inner Centre Jamb"
      )
    ),
    IF(OR(Enginuity!$A$1="Frameless Glass",Enginuity!$A$1="Metal Work"),
      AND(TRIM(B1133)=TRIM(Enginuity!$A$17),TRIM(C1133)=TRIM(Enginuity!$A$18)),
      TRIM(B1133)=TRIM(Enginuity!$A$17)
    )
  ),
  ROW(),
  ""
)</f>
        <v/>
      </c>
    </row>
    <row r="1134" spans="1:21" x14ac:dyDescent="0.25">
      <c r="A1134" s="10" t="s">
        <v>254</v>
      </c>
      <c r="B1134" s="229" t="s">
        <v>1669</v>
      </c>
      <c r="C1134" s="10" t="s">
        <v>97</v>
      </c>
      <c r="D1134" s="14"/>
      <c r="E1134" s="157"/>
      <c r="F1134" s="10"/>
      <c r="G1134" s="17"/>
      <c r="H1134" s="10"/>
      <c r="I1134" s="17"/>
      <c r="J1134" s="83"/>
      <c r="K1134" s="343"/>
      <c r="L1134" s="347"/>
      <c r="M1134" s="89">
        <v>13</v>
      </c>
      <c r="N1134" s="10" t="s">
        <v>111</v>
      </c>
      <c r="O1134" s="22" t="str" cm="1">
        <f t="array" ref="O1134">IFERROR(LOOKUP(2,1/(ISNUMBER(SEARCH({"Aluminium Adjustable","Aluminium Fix","PVC Adjustable","PVC Fix"},Enginuity!$A$20))),{8,2.5,8,2.5}),"")</f>
        <v/>
      </c>
      <c r="P1134" s="5" t="str">
        <f>Enginuity!$A$20</f>
        <v>Z-Louvre Blade - 5"</v>
      </c>
      <c r="Q1134" s="22" t="str" cm="1">
        <f t="array" ref="Q1134">IF(IFERROR(VALUE(INDEX($O:$O,ROW())),0)&gt;0,IF(AND(Enginuity!$B$7&gt;0,Enginuity!$B$13&gt;0),ROUNDUP(Enginuity!$B$7/0.5,0)*Enginuity!$B$13,""),"")</f>
        <v/>
      </c>
      <c r="U1134" s="104" t="str">
        <f>IF(
  AND(
    TRIM(A1134)=TRIM(Enginuity!$A$1),
    TRIM(B1134)=TRIM(Enginuity!$A$17),
    Q1134&lt;&gt;"",
    Q1134&lt;&gt;0,
    OR(
      TRIM(C1134)=TRIM(Enginuity!$A$18),
      AND(UPPER(TRIM(M1134))="STD", TRIM(B1134)=TRIM(Enginuity!$A$17))
    ),
    OR(
      AND(LEFT(P1134,5)="1-Way", Enginuity!$B$13=1),
      AND(LEFT(P1134,5)="2-Way", OR(Enginuity!$B$13=2, Enginuity!$B$13=4)),
      AND(LEFT(P1134,5)="3-Way", OR(Enginuity!$B$13=3, Enginuity!$B$13=6)),
      AND(P1134="Inner Centre Jamb", OR(Enginuity!$B$13=4, Enginuity!$B$13=6)),
      AND(
        LEFT(P1134,5)&lt;&gt;"1-Way",
        LEFT(P1134,5)&lt;&gt;"2-Way",
        LEFT(P1134,5)&lt;&gt;"3-Way",
        P1134&lt;&gt;"Inner Centre Jamb"
      )
    ),
    IF(OR(Enginuity!$A$1="Frameless Glass",Enginuity!$A$1="Metal Work"),
      AND(TRIM(B1134)=TRIM(Enginuity!$A$17),TRIM(C1134)=TRIM(Enginuity!$A$18)),
      TRIM(B1134)=TRIM(Enginuity!$A$17)
    )
  ),
  ROW(),
  ""
)</f>
        <v/>
      </c>
    </row>
    <row r="1135" spans="1:21" x14ac:dyDescent="0.25">
      <c r="A1135" s="10" t="s">
        <v>254</v>
      </c>
      <c r="B1135" s="229" t="s">
        <v>1669</v>
      </c>
      <c r="C1135" s="10"/>
      <c r="D1135" s="14"/>
      <c r="E1135" s="157"/>
      <c r="F1135" s="10"/>
      <c r="G1135" s="17"/>
      <c r="H1135" s="10"/>
      <c r="I1135" s="17"/>
      <c r="J1135" s="83"/>
      <c r="K1135" s="343"/>
      <c r="L1135" s="347"/>
      <c r="M1135" s="89">
        <v>14</v>
      </c>
      <c r="N1135" s="10"/>
      <c r="O1135" s="22"/>
      <c r="P1135" s="14"/>
      <c r="Q1135" s="83"/>
      <c r="U1135" s="104" t="str">
        <f>IF(
  AND(
    TRIM(A1135)=TRIM(Enginuity!$A$1),
    TRIM(B1135)=TRIM(Enginuity!$A$17),
    Q1135&lt;&gt;"",
    Q1135&lt;&gt;0,
    OR(
      TRIM(C1135)=TRIM(Enginuity!$A$18),
      AND(UPPER(TRIM(M1135))="STD", TRIM(B1135)=TRIM(Enginuity!$A$17))
    ),
    OR(
      AND(LEFT(P1135,5)="1-Way", Enginuity!$B$13=1),
      AND(LEFT(P1135,5)="2-Way", OR(Enginuity!$B$13=2, Enginuity!$B$13=4)),
      AND(LEFT(P1135,5)="3-Way", OR(Enginuity!$B$13=3, Enginuity!$B$13=6)),
      AND(P1135="Inner Centre Jamb", OR(Enginuity!$B$13=4, Enginuity!$B$13=6)),
      AND(
        LEFT(P1135,5)&lt;&gt;"1-Way",
        LEFT(P1135,5)&lt;&gt;"2-Way",
        LEFT(P1135,5)&lt;&gt;"3-Way",
        P1135&lt;&gt;"Inner Centre Jamb"
      )
    ),
    IF(OR(Enginuity!$A$1="Frameless Glass",Enginuity!$A$1="Metal Work"),
      AND(TRIM(B1135)=TRIM(Enginuity!$A$17),TRIM(C1135)=TRIM(Enginuity!$A$18)),
      TRIM(B1135)=TRIM(Enginuity!$A$17)
    )
  ),
  ROW(),
  ""
)</f>
        <v/>
      </c>
    </row>
    <row r="1136" spans="1:21" x14ac:dyDescent="0.25">
      <c r="A1136" s="10" t="s">
        <v>254</v>
      </c>
      <c r="B1136" s="229" t="s">
        <v>1669</v>
      </c>
      <c r="C1136" s="10"/>
      <c r="D1136" s="14"/>
      <c r="E1136" s="157"/>
      <c r="F1136" s="10"/>
      <c r="G1136" s="17"/>
      <c r="H1136" s="10"/>
      <c r="I1136" s="17"/>
      <c r="J1136" s="83"/>
      <c r="K1136" s="343"/>
      <c r="L1136" s="347"/>
      <c r="M1136" s="89">
        <v>15</v>
      </c>
      <c r="N1136" s="10"/>
      <c r="O1136" s="22"/>
      <c r="P1136" s="14"/>
      <c r="Q1136" s="83"/>
      <c r="U1136" s="104" t="str">
        <f>IF(
  AND(
    TRIM(A1136)=TRIM(Enginuity!$A$1),
    TRIM(B1136)=TRIM(Enginuity!$A$17),
    Q1136&lt;&gt;"",
    Q1136&lt;&gt;0,
    OR(
      TRIM(C1136)=TRIM(Enginuity!$A$18),
      AND(UPPER(TRIM(M1136))="STD", TRIM(B1136)=TRIM(Enginuity!$A$17))
    ),
    OR(
      AND(LEFT(P1136,5)="1-Way", Enginuity!$B$13=1),
      AND(LEFT(P1136,5)="2-Way", OR(Enginuity!$B$13=2, Enginuity!$B$13=4)),
      AND(LEFT(P1136,5)="3-Way", OR(Enginuity!$B$13=3, Enginuity!$B$13=6)),
      AND(P1136="Inner Centre Jamb", OR(Enginuity!$B$13=4, Enginuity!$B$13=6)),
      AND(
        LEFT(P1136,5)&lt;&gt;"1-Way",
        LEFT(P1136,5)&lt;&gt;"2-Way",
        LEFT(P1136,5)&lt;&gt;"3-Way",
        P1136&lt;&gt;"Inner Centre Jamb"
      )
    ),
    IF(OR(Enginuity!$A$1="Frameless Glass",Enginuity!$A$1="Metal Work"),
      AND(TRIM(B1136)=TRIM(Enginuity!$A$17),TRIM(C1136)=TRIM(Enginuity!$A$18)),
      TRIM(B1136)=TRIM(Enginuity!$A$17)
    )
  ),
  ROW(),
  ""
)</f>
        <v/>
      </c>
    </row>
    <row r="1137" spans="1:21" x14ac:dyDescent="0.25">
      <c r="A1137" s="10" t="s">
        <v>254</v>
      </c>
      <c r="B1137" s="229" t="s">
        <v>1669</v>
      </c>
      <c r="C1137" s="10"/>
      <c r="D1137" s="14"/>
      <c r="E1137" s="157"/>
      <c r="F1137" s="10"/>
      <c r="G1137" s="17"/>
      <c r="H1137" s="10"/>
      <c r="I1137" s="17"/>
      <c r="J1137" s="83"/>
      <c r="K1137" s="343"/>
      <c r="L1137" s="347"/>
      <c r="M1137" s="89">
        <v>16</v>
      </c>
      <c r="N1137" s="10"/>
      <c r="O1137" s="22"/>
      <c r="P1137" s="14"/>
      <c r="Q1137" s="83"/>
      <c r="U1137" s="104" t="str">
        <f>IF(
  AND(
    TRIM(A1137)=TRIM(Enginuity!$A$1),
    TRIM(B1137)=TRIM(Enginuity!$A$17),
    Q1137&lt;&gt;"",
    Q1137&lt;&gt;0,
    OR(
      TRIM(C1137)=TRIM(Enginuity!$A$18),
      AND(UPPER(TRIM(M1137))="STD", TRIM(B1137)=TRIM(Enginuity!$A$17))
    ),
    OR(
      AND(LEFT(P1137,5)="1-Way", Enginuity!$B$13=1),
      AND(LEFT(P1137,5)="2-Way", OR(Enginuity!$B$13=2, Enginuity!$B$13=4)),
      AND(LEFT(P1137,5)="3-Way", OR(Enginuity!$B$13=3, Enginuity!$B$13=6)),
      AND(P1137="Inner Centre Jamb", OR(Enginuity!$B$13=4, Enginuity!$B$13=6)),
      AND(
        LEFT(P1137,5)&lt;&gt;"1-Way",
        LEFT(P1137,5)&lt;&gt;"2-Way",
        LEFT(P1137,5)&lt;&gt;"3-Way",
        P1137&lt;&gt;"Inner Centre Jamb"
      )
    ),
    IF(OR(Enginuity!$A$1="Frameless Glass",Enginuity!$A$1="Metal Work"),
      AND(TRIM(B1137)=TRIM(Enginuity!$A$17),TRIM(C1137)=TRIM(Enginuity!$A$18)),
      TRIM(B1137)=TRIM(Enginuity!$A$17)
    )
  ),
  ROW(),
  ""
)</f>
        <v/>
      </c>
    </row>
    <row r="1138" spans="1:21" x14ac:dyDescent="0.25">
      <c r="A1138" s="10" t="s">
        <v>254</v>
      </c>
      <c r="B1138" s="229" t="s">
        <v>1669</v>
      </c>
      <c r="C1138" s="10"/>
      <c r="D1138" s="14"/>
      <c r="E1138" s="157"/>
      <c r="F1138" s="10"/>
      <c r="G1138" s="17"/>
      <c r="H1138" s="10"/>
      <c r="I1138" s="17"/>
      <c r="J1138" s="83"/>
      <c r="K1138" s="343"/>
      <c r="L1138" s="347"/>
      <c r="M1138" s="89">
        <v>17</v>
      </c>
      <c r="N1138" s="10"/>
      <c r="O1138" s="22"/>
      <c r="P1138" s="14"/>
      <c r="Q1138" s="83"/>
      <c r="U1138" s="104" t="str">
        <f>IF(
  AND(
    TRIM(A1138)=TRIM(Enginuity!$A$1),
    TRIM(B1138)=TRIM(Enginuity!$A$17),
    Q1138&lt;&gt;"",
    Q1138&lt;&gt;0,
    OR(
      TRIM(C1138)=TRIM(Enginuity!$A$18),
      AND(UPPER(TRIM(M1138))="STD", TRIM(B1138)=TRIM(Enginuity!$A$17))
    ),
    OR(
      AND(LEFT(P1138,5)="1-Way", Enginuity!$B$13=1),
      AND(LEFT(P1138,5)="2-Way", OR(Enginuity!$B$13=2, Enginuity!$B$13=4)),
      AND(LEFT(P1138,5)="3-Way", OR(Enginuity!$B$13=3, Enginuity!$B$13=6)),
      AND(P1138="Inner Centre Jamb", OR(Enginuity!$B$13=4, Enginuity!$B$13=6)),
      AND(
        LEFT(P1138,5)&lt;&gt;"1-Way",
        LEFT(P1138,5)&lt;&gt;"2-Way",
        LEFT(P1138,5)&lt;&gt;"3-Way",
        P1138&lt;&gt;"Inner Centre Jamb"
      )
    ),
    IF(OR(Enginuity!$A$1="Frameless Glass",Enginuity!$A$1="Metal Work"),
      AND(TRIM(B1138)=TRIM(Enginuity!$A$17),TRIM(C1138)=TRIM(Enginuity!$A$18)),
      TRIM(B1138)=TRIM(Enginuity!$A$17)
    )
  ),
  ROW(),
  ""
)</f>
        <v/>
      </c>
    </row>
    <row r="1139" spans="1:21" x14ac:dyDescent="0.25">
      <c r="A1139" s="10" t="s">
        <v>254</v>
      </c>
      <c r="B1139" s="229" t="s">
        <v>1669</v>
      </c>
      <c r="C1139" s="10"/>
      <c r="D1139" s="14"/>
      <c r="E1139" s="157"/>
      <c r="F1139" s="10"/>
      <c r="G1139" s="17"/>
      <c r="H1139" s="10"/>
      <c r="I1139" s="17"/>
      <c r="J1139" s="83"/>
      <c r="K1139" s="343"/>
      <c r="L1139" s="347"/>
      <c r="M1139" s="89">
        <v>18</v>
      </c>
      <c r="N1139" s="10"/>
      <c r="O1139" s="22"/>
      <c r="P1139" s="14"/>
      <c r="Q1139" s="83"/>
      <c r="U1139" s="104" t="str">
        <f>IF(
  AND(
    TRIM(A1139)=TRIM(Enginuity!$A$1),
    TRIM(B1139)=TRIM(Enginuity!$A$17),
    Q1139&lt;&gt;"",
    Q1139&lt;&gt;0,
    OR(
      TRIM(C1139)=TRIM(Enginuity!$A$18),
      AND(UPPER(TRIM(M1139))="STD", TRIM(B1139)=TRIM(Enginuity!$A$17))
    ),
    OR(
      AND(LEFT(P1139,5)="1-Way", Enginuity!$B$13=1),
      AND(LEFT(P1139,5)="2-Way", OR(Enginuity!$B$13=2, Enginuity!$B$13=4)),
      AND(LEFT(P1139,5)="3-Way", OR(Enginuity!$B$13=3, Enginuity!$B$13=6)),
      AND(P1139="Inner Centre Jamb", OR(Enginuity!$B$13=4, Enginuity!$B$13=6)),
      AND(
        LEFT(P1139,5)&lt;&gt;"1-Way",
        LEFT(P1139,5)&lt;&gt;"2-Way",
        LEFT(P1139,5)&lt;&gt;"3-Way",
        P1139&lt;&gt;"Inner Centre Jamb"
      )
    ),
    IF(OR(Enginuity!$A$1="Frameless Glass",Enginuity!$A$1="Metal Work"),
      AND(TRIM(B1139)=TRIM(Enginuity!$A$17),TRIM(C1139)=TRIM(Enginuity!$A$18)),
      TRIM(B1139)=TRIM(Enginuity!$A$17)
    )
  ),
  ROW(),
  ""
)</f>
        <v/>
      </c>
    </row>
    <row r="1140" spans="1:21" x14ac:dyDescent="0.25">
      <c r="A1140" s="10" t="s">
        <v>254</v>
      </c>
      <c r="B1140" s="229" t="s">
        <v>1669</v>
      </c>
      <c r="C1140" s="10"/>
      <c r="D1140" s="14"/>
      <c r="E1140" s="157"/>
      <c r="F1140" s="10"/>
      <c r="G1140" s="17"/>
      <c r="H1140" s="10"/>
      <c r="I1140" s="17"/>
      <c r="J1140" s="83"/>
      <c r="K1140" s="343"/>
      <c r="L1140" s="347"/>
      <c r="M1140" s="89">
        <v>19</v>
      </c>
      <c r="N1140" s="10"/>
      <c r="O1140" s="22"/>
      <c r="P1140" s="14"/>
      <c r="Q1140" s="83"/>
      <c r="U1140" s="104" t="str">
        <f>IF(
  AND(
    TRIM(A1140)=TRIM(Enginuity!$A$1),
    TRIM(B1140)=TRIM(Enginuity!$A$17),
    Q1140&lt;&gt;"",
    Q1140&lt;&gt;0,
    OR(
      TRIM(C1140)=TRIM(Enginuity!$A$18),
      AND(UPPER(TRIM(M1140))="STD", TRIM(B1140)=TRIM(Enginuity!$A$17))
    ),
    OR(
      AND(LEFT(P1140,5)="1-Way", Enginuity!$B$13=1),
      AND(LEFT(P1140,5)="2-Way", OR(Enginuity!$B$13=2, Enginuity!$B$13=4)),
      AND(LEFT(P1140,5)="3-Way", OR(Enginuity!$B$13=3, Enginuity!$B$13=6)),
      AND(P1140="Inner Centre Jamb", OR(Enginuity!$B$13=4, Enginuity!$B$13=6)),
      AND(
        LEFT(P1140,5)&lt;&gt;"1-Way",
        LEFT(P1140,5)&lt;&gt;"2-Way",
        LEFT(P1140,5)&lt;&gt;"3-Way",
        P1140&lt;&gt;"Inner Centre Jamb"
      )
    ),
    IF(OR(Enginuity!$A$1="Frameless Glass",Enginuity!$A$1="Metal Work"),
      AND(TRIM(B1140)=TRIM(Enginuity!$A$17),TRIM(C1140)=TRIM(Enginuity!$A$18)),
      TRIM(B1140)=TRIM(Enginuity!$A$17)
    )
  ),
  ROW(),
  ""
)</f>
        <v/>
      </c>
    </row>
    <row r="1141" spans="1:21" x14ac:dyDescent="0.25">
      <c r="A1141" s="10" t="s">
        <v>254</v>
      </c>
      <c r="B1141" s="229" t="s">
        <v>1669</v>
      </c>
      <c r="C1141" s="10"/>
      <c r="D1141" s="14"/>
      <c r="E1141" s="157"/>
      <c r="F1141" s="10"/>
      <c r="G1141" s="17"/>
      <c r="H1141" s="10"/>
      <c r="I1141" s="17"/>
      <c r="J1141" s="83"/>
      <c r="K1141" s="343"/>
      <c r="L1141" s="347"/>
      <c r="M1141" s="89">
        <v>20</v>
      </c>
      <c r="N1141" s="10"/>
      <c r="O1141" s="22"/>
      <c r="P1141" s="14"/>
      <c r="Q1141" s="83"/>
      <c r="U1141" s="104" t="str">
        <f>IF(
  AND(
    TRIM(A1141)=TRIM(Enginuity!$A$1),
    TRIM(B1141)=TRIM(Enginuity!$A$17),
    Q1141&lt;&gt;"",
    Q1141&lt;&gt;0,
    OR(
      TRIM(C1141)=TRIM(Enginuity!$A$18),
      AND(UPPER(TRIM(M1141))="STD", TRIM(B1141)=TRIM(Enginuity!$A$17))
    ),
    OR(
      AND(LEFT(P1141,5)="1-Way", Enginuity!$B$13=1),
      AND(LEFT(P1141,5)="2-Way", OR(Enginuity!$B$13=2, Enginuity!$B$13=4)),
      AND(LEFT(P1141,5)="3-Way", OR(Enginuity!$B$13=3, Enginuity!$B$13=6)),
      AND(P1141="Inner Centre Jamb", OR(Enginuity!$B$13=4, Enginuity!$B$13=6)),
      AND(
        LEFT(P1141,5)&lt;&gt;"1-Way",
        LEFT(P1141,5)&lt;&gt;"2-Way",
        LEFT(P1141,5)&lt;&gt;"3-Way",
        P1141&lt;&gt;"Inner Centre Jamb"
      )
    ),
    IF(OR(Enginuity!$A$1="Frameless Glass",Enginuity!$A$1="Metal Work"),
      AND(TRIM(B1141)=TRIM(Enginuity!$A$17),TRIM(C1141)=TRIM(Enginuity!$A$18)),
      TRIM(B1141)=TRIM(Enginuity!$A$17)
    )
  ),
  ROW(),
  ""
)</f>
        <v/>
      </c>
    </row>
    <row r="1142" spans="1:21" x14ac:dyDescent="0.25">
      <c r="A1142" s="10" t="s">
        <v>254</v>
      </c>
      <c r="B1142" s="229" t="s">
        <v>1669</v>
      </c>
      <c r="C1142" s="10"/>
      <c r="D1142" s="14"/>
      <c r="E1142" s="157"/>
      <c r="F1142" s="10"/>
      <c r="G1142" s="17"/>
      <c r="H1142" s="10"/>
      <c r="I1142" s="17"/>
      <c r="J1142" s="83"/>
      <c r="K1142" s="343"/>
      <c r="L1142" s="347"/>
      <c r="M1142" s="89">
        <v>21</v>
      </c>
      <c r="N1142" s="10"/>
      <c r="O1142" s="22"/>
      <c r="P1142" s="14"/>
      <c r="Q1142" s="83"/>
      <c r="U1142" s="104" t="str">
        <f>IF(
  AND(
    TRIM(A1142)=TRIM(Enginuity!$A$1),
    TRIM(B1142)=TRIM(Enginuity!$A$17),
    Q1142&lt;&gt;"",
    Q1142&lt;&gt;0,
    OR(
      TRIM(C1142)=TRIM(Enginuity!$A$18),
      AND(UPPER(TRIM(M1142))="STD", TRIM(B1142)=TRIM(Enginuity!$A$17))
    ),
    OR(
      AND(LEFT(P1142,5)="1-Way", Enginuity!$B$13=1),
      AND(LEFT(P1142,5)="2-Way", OR(Enginuity!$B$13=2, Enginuity!$B$13=4)),
      AND(LEFT(P1142,5)="3-Way", OR(Enginuity!$B$13=3, Enginuity!$B$13=6)),
      AND(P1142="Inner Centre Jamb", OR(Enginuity!$B$13=4, Enginuity!$B$13=6)),
      AND(
        LEFT(P1142,5)&lt;&gt;"1-Way",
        LEFT(P1142,5)&lt;&gt;"2-Way",
        LEFT(P1142,5)&lt;&gt;"3-Way",
        P1142&lt;&gt;"Inner Centre Jamb"
      )
    ),
    IF(OR(Enginuity!$A$1="Frameless Glass",Enginuity!$A$1="Metal Work"),
      AND(TRIM(B1142)=TRIM(Enginuity!$A$17),TRIM(C1142)=TRIM(Enginuity!$A$18)),
      TRIM(B1142)=TRIM(Enginuity!$A$17)
    )
  ),
  ROW(),
  ""
)</f>
        <v/>
      </c>
    </row>
    <row r="1143" spans="1:21" x14ac:dyDescent="0.25">
      <c r="A1143" s="10" t="s">
        <v>254</v>
      </c>
      <c r="B1143" s="229" t="s">
        <v>1669</v>
      </c>
      <c r="C1143" s="10"/>
      <c r="D1143" s="14"/>
      <c r="E1143" s="157"/>
      <c r="F1143" s="10"/>
      <c r="G1143" s="17"/>
      <c r="H1143" s="10"/>
      <c r="I1143" s="17"/>
      <c r="J1143" s="83"/>
      <c r="K1143" s="343"/>
      <c r="L1143" s="347"/>
      <c r="M1143" s="89">
        <v>22</v>
      </c>
      <c r="N1143" s="10"/>
      <c r="O1143" s="22"/>
      <c r="P1143" s="14"/>
      <c r="Q1143" s="83"/>
      <c r="U1143" s="104" t="str">
        <f>IF(
  AND(
    TRIM(A1143)=TRIM(Enginuity!$A$1),
    TRIM(B1143)=TRIM(Enginuity!$A$17),
    Q1143&lt;&gt;"",
    Q1143&lt;&gt;0,
    OR(
      TRIM(C1143)=TRIM(Enginuity!$A$18),
      AND(UPPER(TRIM(M1143))="STD", TRIM(B1143)=TRIM(Enginuity!$A$17))
    ),
    OR(
      AND(LEFT(P1143,5)="1-Way", Enginuity!$B$13=1),
      AND(LEFT(P1143,5)="2-Way", OR(Enginuity!$B$13=2, Enginuity!$B$13=4)),
      AND(LEFT(P1143,5)="3-Way", OR(Enginuity!$B$13=3, Enginuity!$B$13=6)),
      AND(P1143="Inner Centre Jamb", OR(Enginuity!$B$13=4, Enginuity!$B$13=6)),
      AND(
        LEFT(P1143,5)&lt;&gt;"1-Way",
        LEFT(P1143,5)&lt;&gt;"2-Way",
        LEFT(P1143,5)&lt;&gt;"3-Way",
        P1143&lt;&gt;"Inner Centre Jamb"
      )
    ),
    IF(OR(Enginuity!$A$1="Frameless Glass",Enginuity!$A$1="Metal Work"),
      AND(TRIM(B1143)=TRIM(Enginuity!$A$17),TRIM(C1143)=TRIM(Enginuity!$A$18)),
      TRIM(B1143)=TRIM(Enginuity!$A$17)
    )
  ),
  ROW(),
  ""
)</f>
        <v/>
      </c>
    </row>
    <row r="1144" spans="1:21" x14ac:dyDescent="0.25">
      <c r="A1144" s="10" t="s">
        <v>254</v>
      </c>
      <c r="B1144" s="229" t="s">
        <v>1669</v>
      </c>
      <c r="C1144" s="10"/>
      <c r="D1144" s="14"/>
      <c r="E1144" s="157"/>
      <c r="F1144" s="10"/>
      <c r="G1144" s="17"/>
      <c r="H1144" s="10"/>
      <c r="I1144" s="17"/>
      <c r="J1144" s="83"/>
      <c r="K1144" s="343"/>
      <c r="L1144" s="347"/>
      <c r="M1144" s="89">
        <v>23</v>
      </c>
      <c r="N1144" s="10"/>
      <c r="O1144" s="22"/>
      <c r="P1144" s="14"/>
      <c r="Q1144" s="83"/>
      <c r="U1144" s="104" t="str">
        <f>IF(
  AND(
    TRIM(A1144)=TRIM(Enginuity!$A$1),
    TRIM(B1144)=TRIM(Enginuity!$A$17),
    Q1144&lt;&gt;"",
    Q1144&lt;&gt;0,
    OR(
      TRIM(C1144)=TRIM(Enginuity!$A$18),
      AND(UPPER(TRIM(M1144))="STD", TRIM(B1144)=TRIM(Enginuity!$A$17))
    ),
    OR(
      AND(LEFT(P1144,5)="1-Way", Enginuity!$B$13=1),
      AND(LEFT(P1144,5)="2-Way", OR(Enginuity!$B$13=2, Enginuity!$B$13=4)),
      AND(LEFT(P1144,5)="3-Way", OR(Enginuity!$B$13=3, Enginuity!$B$13=6)),
      AND(P1144="Inner Centre Jamb", OR(Enginuity!$B$13=4, Enginuity!$B$13=6)),
      AND(
        LEFT(P1144,5)&lt;&gt;"1-Way",
        LEFT(P1144,5)&lt;&gt;"2-Way",
        LEFT(P1144,5)&lt;&gt;"3-Way",
        P1144&lt;&gt;"Inner Centre Jamb"
      )
    ),
    IF(OR(Enginuity!$A$1="Frameless Glass",Enginuity!$A$1="Metal Work"),
      AND(TRIM(B1144)=TRIM(Enginuity!$A$17),TRIM(C1144)=TRIM(Enginuity!$A$18)),
      TRIM(B1144)=TRIM(Enginuity!$A$17)
    )
  ),
  ROW(),
  ""
)</f>
        <v/>
      </c>
    </row>
    <row r="1145" spans="1:21" x14ac:dyDescent="0.25">
      <c r="A1145" s="10" t="s">
        <v>254</v>
      </c>
      <c r="B1145" s="229" t="s">
        <v>1669</v>
      </c>
      <c r="C1145" s="10"/>
      <c r="D1145" s="14"/>
      <c r="E1145" s="157"/>
      <c r="F1145" s="10"/>
      <c r="G1145" s="17"/>
      <c r="H1145" s="10"/>
      <c r="I1145" s="17"/>
      <c r="J1145" s="83"/>
      <c r="K1145" s="343"/>
      <c r="L1145" s="347"/>
      <c r="M1145" s="89">
        <v>24</v>
      </c>
      <c r="N1145" s="10"/>
      <c r="O1145" s="22"/>
      <c r="P1145" s="14"/>
      <c r="Q1145" s="83"/>
      <c r="U1145" s="104" t="str">
        <f>IF(
  AND(
    TRIM(A1145)=TRIM(Enginuity!$A$1),
    TRIM(B1145)=TRIM(Enginuity!$A$17),
    Q1145&lt;&gt;"",
    Q1145&lt;&gt;0,
    OR(
      TRIM(C1145)=TRIM(Enginuity!$A$18),
      AND(UPPER(TRIM(M1145))="STD", TRIM(B1145)=TRIM(Enginuity!$A$17))
    ),
    OR(
      AND(LEFT(P1145,5)="1-Way", Enginuity!$B$13=1),
      AND(LEFT(P1145,5)="2-Way", OR(Enginuity!$B$13=2, Enginuity!$B$13=4)),
      AND(LEFT(P1145,5)="3-Way", OR(Enginuity!$B$13=3, Enginuity!$B$13=6)),
      AND(P1145="Inner Centre Jamb", OR(Enginuity!$B$13=4, Enginuity!$B$13=6)),
      AND(
        LEFT(P1145,5)&lt;&gt;"1-Way",
        LEFT(P1145,5)&lt;&gt;"2-Way",
        LEFT(P1145,5)&lt;&gt;"3-Way",
        P1145&lt;&gt;"Inner Centre Jamb"
      )
    ),
    IF(OR(Enginuity!$A$1="Frameless Glass",Enginuity!$A$1="Metal Work"),
      AND(TRIM(B1145)=TRIM(Enginuity!$A$17),TRIM(C1145)=TRIM(Enginuity!$A$18)),
      TRIM(B1145)=TRIM(Enginuity!$A$17)
    )
  ),
  ROW(),
  ""
)</f>
        <v/>
      </c>
    </row>
    <row r="1146" spans="1:21" x14ac:dyDescent="0.25">
      <c r="A1146" s="10" t="s">
        <v>254</v>
      </c>
      <c r="B1146" s="229" t="s">
        <v>1669</v>
      </c>
      <c r="C1146" s="10"/>
      <c r="D1146" s="14"/>
      <c r="E1146" s="157"/>
      <c r="F1146" s="10"/>
      <c r="G1146" s="17"/>
      <c r="H1146" s="10"/>
      <c r="I1146" s="17"/>
      <c r="J1146" s="83"/>
      <c r="K1146" s="343"/>
      <c r="L1146" s="347"/>
      <c r="M1146" s="89">
        <v>25</v>
      </c>
      <c r="N1146" s="10"/>
      <c r="O1146" s="22"/>
      <c r="P1146" s="14"/>
      <c r="Q1146" s="83"/>
      <c r="U1146" s="104" t="str">
        <f>IF(
  AND(
    TRIM(A1146)=TRIM(Enginuity!$A$1),
    TRIM(B1146)=TRIM(Enginuity!$A$17),
    Q1146&lt;&gt;"",
    Q1146&lt;&gt;0,
    OR(
      TRIM(C1146)=TRIM(Enginuity!$A$18),
      AND(UPPER(TRIM(M1146))="STD", TRIM(B1146)=TRIM(Enginuity!$A$17))
    ),
    OR(
      AND(LEFT(P1146,5)="1-Way", Enginuity!$B$13=1),
      AND(LEFT(P1146,5)="2-Way", OR(Enginuity!$B$13=2, Enginuity!$B$13=4)),
      AND(LEFT(P1146,5)="3-Way", OR(Enginuity!$B$13=3, Enginuity!$B$13=6)),
      AND(P1146="Inner Centre Jamb", OR(Enginuity!$B$13=4, Enginuity!$B$13=6)),
      AND(
        LEFT(P1146,5)&lt;&gt;"1-Way",
        LEFT(P1146,5)&lt;&gt;"2-Way",
        LEFT(P1146,5)&lt;&gt;"3-Way",
        P1146&lt;&gt;"Inner Centre Jamb"
      )
    ),
    IF(OR(Enginuity!$A$1="Frameless Glass",Enginuity!$A$1="Metal Work"),
      AND(TRIM(B1146)=TRIM(Enginuity!$A$17),TRIM(C1146)=TRIM(Enginuity!$A$18)),
      TRIM(B1146)=TRIM(Enginuity!$A$17)
    )
  ),
  ROW(),
  ""
)</f>
        <v/>
      </c>
    </row>
    <row r="1147" spans="1:21" x14ac:dyDescent="0.25">
      <c r="A1147" s="10" t="s">
        <v>254</v>
      </c>
      <c r="B1147" s="229" t="s">
        <v>1669</v>
      </c>
      <c r="C1147" s="10"/>
      <c r="D1147" s="14"/>
      <c r="E1147" s="157"/>
      <c r="F1147" s="10"/>
      <c r="G1147" s="17"/>
      <c r="H1147" s="10"/>
      <c r="I1147" s="17"/>
      <c r="J1147" s="83"/>
      <c r="K1147" s="343"/>
      <c r="L1147" s="347"/>
      <c r="M1147" s="89">
        <v>26</v>
      </c>
      <c r="N1147" s="10"/>
      <c r="O1147" s="22"/>
      <c r="P1147" s="14"/>
      <c r="Q1147" s="83"/>
      <c r="U1147" s="104" t="str">
        <f>IF(
  AND(
    TRIM(A1147)=TRIM(Enginuity!$A$1),
    TRIM(B1147)=TRIM(Enginuity!$A$17),
    Q1147&lt;&gt;"",
    Q1147&lt;&gt;0,
    OR(
      TRIM(C1147)=TRIM(Enginuity!$A$18),
      AND(UPPER(TRIM(M1147))="STD", TRIM(B1147)=TRIM(Enginuity!$A$17))
    ),
    OR(
      AND(LEFT(P1147,5)="1-Way", Enginuity!$B$13=1),
      AND(LEFT(P1147,5)="2-Way", OR(Enginuity!$B$13=2, Enginuity!$B$13=4)),
      AND(LEFT(P1147,5)="3-Way", OR(Enginuity!$B$13=3, Enginuity!$B$13=6)),
      AND(P1147="Inner Centre Jamb", OR(Enginuity!$B$13=4, Enginuity!$B$13=6)),
      AND(
        LEFT(P1147,5)&lt;&gt;"1-Way",
        LEFT(P1147,5)&lt;&gt;"2-Way",
        LEFT(P1147,5)&lt;&gt;"3-Way",
        P1147&lt;&gt;"Inner Centre Jamb"
      )
    ),
    IF(OR(Enginuity!$A$1="Frameless Glass",Enginuity!$A$1="Metal Work"),
      AND(TRIM(B1147)=TRIM(Enginuity!$A$17),TRIM(C1147)=TRIM(Enginuity!$A$18)),
      TRIM(B1147)=TRIM(Enginuity!$A$17)
    )
  ),
  ROW(),
  ""
)</f>
        <v/>
      </c>
    </row>
    <row r="1148" spans="1:21" x14ac:dyDescent="0.25">
      <c r="A1148" s="10" t="s">
        <v>254</v>
      </c>
      <c r="B1148" s="229" t="s">
        <v>1669</v>
      </c>
      <c r="C1148" s="10"/>
      <c r="D1148" s="14"/>
      <c r="E1148" s="157"/>
      <c r="F1148" s="10"/>
      <c r="G1148" s="17"/>
      <c r="H1148" s="10"/>
      <c r="I1148" s="17"/>
      <c r="J1148" s="83"/>
      <c r="K1148" s="343"/>
      <c r="L1148" s="347"/>
      <c r="M1148" s="89">
        <v>27</v>
      </c>
      <c r="N1148" s="10"/>
      <c r="O1148" s="22"/>
      <c r="P1148" s="14"/>
      <c r="Q1148" s="83"/>
      <c r="U1148" s="104" t="str">
        <f>IF(
  AND(
    TRIM(A1148)=TRIM(Enginuity!$A$1),
    TRIM(B1148)=TRIM(Enginuity!$A$17),
    Q1148&lt;&gt;"",
    Q1148&lt;&gt;0,
    OR(
      TRIM(C1148)=TRIM(Enginuity!$A$18),
      AND(UPPER(TRIM(M1148))="STD", TRIM(B1148)=TRIM(Enginuity!$A$17))
    ),
    OR(
      AND(LEFT(P1148,5)="1-Way", Enginuity!$B$13=1),
      AND(LEFT(P1148,5)="2-Way", OR(Enginuity!$B$13=2, Enginuity!$B$13=4)),
      AND(LEFT(P1148,5)="3-Way", OR(Enginuity!$B$13=3, Enginuity!$B$13=6)),
      AND(P1148="Inner Centre Jamb", OR(Enginuity!$B$13=4, Enginuity!$B$13=6)),
      AND(
        LEFT(P1148,5)&lt;&gt;"1-Way",
        LEFT(P1148,5)&lt;&gt;"2-Way",
        LEFT(P1148,5)&lt;&gt;"3-Way",
        P1148&lt;&gt;"Inner Centre Jamb"
      )
    ),
    IF(OR(Enginuity!$A$1="Frameless Glass",Enginuity!$A$1="Metal Work"),
      AND(TRIM(B1148)=TRIM(Enginuity!$A$17),TRIM(C1148)=TRIM(Enginuity!$A$18)),
      TRIM(B1148)=TRIM(Enginuity!$A$17)
    )
  ),
  ROW(),
  ""
)</f>
        <v/>
      </c>
    </row>
    <row r="1149" spans="1:21" x14ac:dyDescent="0.25">
      <c r="A1149" s="10" t="s">
        <v>254</v>
      </c>
      <c r="B1149" s="229" t="s">
        <v>1669</v>
      </c>
      <c r="C1149" s="10"/>
      <c r="D1149" s="14"/>
      <c r="E1149" s="157"/>
      <c r="F1149" s="10"/>
      <c r="G1149" s="17"/>
      <c r="H1149" s="10"/>
      <c r="I1149" s="17"/>
      <c r="J1149" s="83"/>
      <c r="K1149" s="343"/>
      <c r="L1149" s="347"/>
      <c r="M1149" s="89">
        <v>28</v>
      </c>
      <c r="N1149" s="10"/>
      <c r="O1149" s="22"/>
      <c r="P1149" s="21"/>
      <c r="Q1149" s="83"/>
      <c r="U1149" s="104" t="str">
        <f>IF(
  AND(
    TRIM(A1149)=TRIM(Enginuity!$A$1),
    TRIM(B1149)=TRIM(Enginuity!$A$17),
    Q1149&lt;&gt;"",
    Q1149&lt;&gt;0,
    OR(
      TRIM(C1149)=TRIM(Enginuity!$A$18),
      AND(UPPER(TRIM(M1149))="STD", TRIM(B1149)=TRIM(Enginuity!$A$17))
    ),
    OR(
      AND(LEFT(P1149,5)="1-Way", Enginuity!$B$13=1),
      AND(LEFT(P1149,5)="2-Way", OR(Enginuity!$B$13=2, Enginuity!$B$13=4)),
      AND(LEFT(P1149,5)="3-Way", OR(Enginuity!$B$13=3, Enginuity!$B$13=6)),
      AND(P1149="Inner Centre Jamb", OR(Enginuity!$B$13=4, Enginuity!$B$13=6)),
      AND(
        LEFT(P1149,5)&lt;&gt;"1-Way",
        LEFT(P1149,5)&lt;&gt;"2-Way",
        LEFT(P1149,5)&lt;&gt;"3-Way",
        P1149&lt;&gt;"Inner Centre Jamb"
      )
    ),
    IF(OR(Enginuity!$A$1="Frameless Glass",Enginuity!$A$1="Metal Work"),
      AND(TRIM(B1149)=TRIM(Enginuity!$A$17),TRIM(C1149)=TRIM(Enginuity!$A$18)),
      TRIM(B1149)=TRIM(Enginuity!$A$17)
    )
  ),
  ROW(),
  ""
)</f>
        <v/>
      </c>
    </row>
    <row r="1150" spans="1:21" x14ac:dyDescent="0.25">
      <c r="A1150" s="10" t="s">
        <v>254</v>
      </c>
      <c r="B1150" s="229" t="s">
        <v>1669</v>
      </c>
      <c r="C1150" s="10"/>
      <c r="D1150" s="14"/>
      <c r="E1150" s="157"/>
      <c r="F1150" s="10"/>
      <c r="G1150" s="17"/>
      <c r="H1150" s="10"/>
      <c r="I1150" s="17"/>
      <c r="J1150" s="83"/>
      <c r="K1150" s="343"/>
      <c r="L1150" s="347"/>
      <c r="M1150" s="89">
        <v>29</v>
      </c>
      <c r="N1150" s="88"/>
      <c r="O1150" s="22"/>
      <c r="P1150" s="36"/>
      <c r="Q1150" s="83"/>
      <c r="U1150" s="104" t="str">
        <f>IF(
  AND(
    TRIM(A1150)=TRIM(Enginuity!$A$1),
    TRIM(B1150)=TRIM(Enginuity!$A$17),
    Q1150&lt;&gt;"",
    Q1150&lt;&gt;0,
    OR(
      TRIM(C1150)=TRIM(Enginuity!$A$18),
      AND(UPPER(TRIM(M1150))="STD", TRIM(B1150)=TRIM(Enginuity!$A$17))
    ),
    OR(
      AND(LEFT(P1150,5)="1-Way", Enginuity!$B$13=1),
      AND(LEFT(P1150,5)="2-Way", OR(Enginuity!$B$13=2, Enginuity!$B$13=4)),
      AND(LEFT(P1150,5)="3-Way", OR(Enginuity!$B$13=3, Enginuity!$B$13=6)),
      AND(P1150="Inner Centre Jamb", OR(Enginuity!$B$13=4, Enginuity!$B$13=6)),
      AND(
        LEFT(P1150,5)&lt;&gt;"1-Way",
        LEFT(P1150,5)&lt;&gt;"2-Way",
        LEFT(P1150,5)&lt;&gt;"3-Way",
        P1150&lt;&gt;"Inner Centre Jamb"
      )
    ),
    IF(OR(Enginuity!$A$1="Frameless Glass",Enginuity!$A$1="Metal Work"),
      AND(TRIM(B1150)=TRIM(Enginuity!$A$17),TRIM(C1150)=TRIM(Enginuity!$A$18)),
      TRIM(B1150)=TRIM(Enginuity!$A$17)
    )
  ),
  ROW(),
  ""
)</f>
        <v/>
      </c>
    </row>
    <row r="1151" spans="1:21" x14ac:dyDescent="0.25">
      <c r="A1151" s="10" t="s">
        <v>254</v>
      </c>
      <c r="B1151" s="229" t="s">
        <v>1669</v>
      </c>
      <c r="C1151" s="10"/>
      <c r="D1151" s="14"/>
      <c r="E1151" s="157"/>
      <c r="F1151" s="10"/>
      <c r="G1151" s="17"/>
      <c r="H1151" s="10"/>
      <c r="I1151" s="17"/>
      <c r="J1151" s="83"/>
      <c r="K1151" s="343"/>
      <c r="L1151" s="347"/>
      <c r="M1151" s="10" t="s">
        <v>117</v>
      </c>
      <c r="N1151" s="10" t="s">
        <v>121</v>
      </c>
      <c r="O1151" s="22" t="str">
        <f>$O$2</f>
        <v/>
      </c>
      <c r="P1151" s="21" t="str">
        <f>Enginuity!$A$19</f>
        <v>W/G</v>
      </c>
      <c r="Q1151" s="83" t="str" cm="1">
        <f t="array" ref="Q1151">IF(IFERROR(VALUE(INDEX($O:$O,ROW())),0)&gt;0,IF(AND(Enginuity!$B$7&gt;0,Enginuity!$B$13&gt;0),ROUNDUP(Enginuity!$B$7/0.5,0)*Enginuity!$B$13,""),"")</f>
        <v/>
      </c>
      <c r="U1151" s="104" t="str">
        <f>IF(
  AND(
    TRIM(A1151)=TRIM(Enginuity!$A$1),
    TRIM(B1151)=TRIM(Enginuity!$A$17),
    Q1151&lt;&gt;"",
    Q1151&lt;&gt;0,
    OR(
      TRIM(C1151)=TRIM(Enginuity!$A$18),
      AND(UPPER(TRIM(M1151))="STD", TRIM(B1151)=TRIM(Enginuity!$A$17))
    ),
    OR(
      AND(LEFT(P1151,5)="1-Way", Enginuity!$B$13=1),
      AND(LEFT(P1151,5)="2-Way", OR(Enginuity!$B$13=2, Enginuity!$B$13=4)),
      AND(LEFT(P1151,5)="3-Way", OR(Enginuity!$B$13=3, Enginuity!$B$13=6)),
      AND(P1151="Inner Centre Jamb", OR(Enginuity!$B$13=4, Enginuity!$B$13=6)),
      AND(
        LEFT(P1151,5)&lt;&gt;"1-Way",
        LEFT(P1151,5)&lt;&gt;"2-Way",
        LEFT(P1151,5)&lt;&gt;"3-Way",
        P1151&lt;&gt;"Inner Centre Jamb"
      )
    ),
    IF(OR(Enginuity!$A$1="Frameless Glass",Enginuity!$A$1="Metal Work"),
      AND(TRIM(B1151)=TRIM(Enginuity!$A$17),TRIM(C1151)=TRIM(Enginuity!$A$18)),
      TRIM(B1151)=TRIM(Enginuity!$A$17)
    )
  ),
  ROW(),
  ""
)</f>
        <v/>
      </c>
    </row>
    <row r="1152" spans="1:21" x14ac:dyDescent="0.25">
      <c r="A1152" s="10" t="s">
        <v>254</v>
      </c>
      <c r="B1152" s="229" t="s">
        <v>1669</v>
      </c>
      <c r="C1152" s="10"/>
      <c r="D1152" s="14"/>
      <c r="E1152" s="157"/>
      <c r="F1152" s="10"/>
      <c r="G1152" s="17"/>
      <c r="H1152" s="10"/>
      <c r="I1152" s="17"/>
      <c r="J1152" s="83"/>
      <c r="K1152" s="343"/>
      <c r="L1152" s="347"/>
      <c r="M1152" s="10" t="s">
        <v>117</v>
      </c>
      <c r="N1152" s="10" t="s">
        <v>103</v>
      </c>
      <c r="O1152" s="22">
        <v>0.4</v>
      </c>
      <c r="P1152" s="14" t="s">
        <v>226</v>
      </c>
      <c r="Q1152" s="83">
        <f>IF(AND(Enginuity!$B$6&gt;0, Enginuity!$B$7&gt;0, Enginuity!$B$13&gt;0), (2 * Enginuity!$B$7 * Enginuity!$B$13) + (2 * Enginuity!$B$6), "")</f>
        <v>222</v>
      </c>
      <c r="U1152" s="104" t="str">
        <f>IF(
  AND(
    TRIM(A1152)=TRIM(Enginuity!$A$1),
    TRIM(B1152)=TRIM(Enginuity!$A$17),
    Q1152&lt;&gt;"",
    Q1152&lt;&gt;0,
    OR(
      TRIM(C1152)=TRIM(Enginuity!$A$18),
      AND(UPPER(TRIM(M1152))="STD", TRIM(B1152)=TRIM(Enginuity!$A$17))
    ),
    OR(
      AND(LEFT(P1152,5)="1-Way", Enginuity!$B$13=1),
      AND(LEFT(P1152,5)="2-Way", OR(Enginuity!$B$13=2, Enginuity!$B$13=4)),
      AND(LEFT(P1152,5)="3-Way", OR(Enginuity!$B$13=3, Enginuity!$B$13=6)),
      AND(P1152="Inner Centre Jamb", OR(Enginuity!$B$13=4, Enginuity!$B$13=6)),
      AND(
        LEFT(P1152,5)&lt;&gt;"1-Way",
        LEFT(P1152,5)&lt;&gt;"2-Way",
        LEFT(P1152,5)&lt;&gt;"3-Way",
        P1152&lt;&gt;"Inner Centre Jamb"
      )
    ),
    IF(OR(Enginuity!$A$1="Frameless Glass",Enginuity!$A$1="Metal Work"),
      AND(TRIM(B1152)=TRIM(Enginuity!$A$17),TRIM(C1152)=TRIM(Enginuity!$A$18)),
      TRIM(B1152)=TRIM(Enginuity!$A$17)
    )
  ),
  ROW(),
  ""
)</f>
        <v/>
      </c>
    </row>
    <row r="1153" spans="1:21" x14ac:dyDescent="0.25">
      <c r="A1153" s="10" t="s">
        <v>254</v>
      </c>
      <c r="B1153" s="229" t="s">
        <v>1669</v>
      </c>
      <c r="C1153" s="10"/>
      <c r="D1153" s="14"/>
      <c r="E1153" s="157"/>
      <c r="F1153" s="10"/>
      <c r="G1153" s="17"/>
      <c r="H1153" s="10"/>
      <c r="I1153" s="17"/>
      <c r="J1153" s="83"/>
      <c r="K1153" s="343"/>
      <c r="L1153" s="347"/>
      <c r="M1153" s="10" t="s">
        <v>117</v>
      </c>
      <c r="N1153" s="10" t="s">
        <v>103</v>
      </c>
      <c r="O1153" s="22">
        <v>0.12</v>
      </c>
      <c r="P1153" s="14" t="s">
        <v>280</v>
      </c>
      <c r="Q1153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576</v>
      </c>
      <c r="U1153" s="104" t="str">
        <f>IF(
  AND(
    TRIM(A1153)=TRIM(Enginuity!$A$1),
    TRIM(B1153)=TRIM(Enginuity!$A$17),
    Q1153&lt;&gt;"",
    Q1153&lt;&gt;0,
    OR(
      TRIM(C1153)=TRIM(Enginuity!$A$18),
      AND(UPPER(TRIM(M1153))="STD", TRIM(B1153)=TRIM(Enginuity!$A$17))
    ),
    OR(
      AND(LEFT(P1153,5)="1-Way", Enginuity!$B$13=1),
      AND(LEFT(P1153,5)="2-Way", OR(Enginuity!$B$13=2, Enginuity!$B$13=4)),
      AND(LEFT(P1153,5)="3-Way", OR(Enginuity!$B$13=3, Enginuity!$B$13=6)),
      AND(P1153="Inner Centre Jamb", OR(Enginuity!$B$13=4, Enginuity!$B$13=6)),
      AND(
        LEFT(P1153,5)&lt;&gt;"1-Way",
        LEFT(P1153,5)&lt;&gt;"2-Way",
        LEFT(P1153,5)&lt;&gt;"3-Way",
        P1153&lt;&gt;"Inner Centre Jamb"
      )
    ),
    IF(OR(Enginuity!$A$1="Frameless Glass",Enginuity!$A$1="Metal Work"),
      AND(TRIM(B1153)=TRIM(Enginuity!$A$17),TRIM(C1153)=TRIM(Enginuity!$A$18)),
      TRIM(B1153)=TRIM(Enginuity!$A$17)
    )
  ),
  ROW(),
  ""
)</f>
        <v/>
      </c>
    </row>
    <row r="1154" spans="1:21" x14ac:dyDescent="0.25">
      <c r="A1154" s="10" t="s">
        <v>254</v>
      </c>
      <c r="B1154" s="229" t="s">
        <v>1669</v>
      </c>
      <c r="C1154" s="10"/>
      <c r="D1154" s="14"/>
      <c r="E1154" s="157"/>
      <c r="F1154" s="10"/>
      <c r="G1154" s="17"/>
      <c r="H1154" s="10"/>
      <c r="I1154" s="17"/>
      <c r="J1154" s="83"/>
      <c r="K1154" s="343"/>
      <c r="L1154" s="347"/>
      <c r="M1154" s="10" t="s">
        <v>117</v>
      </c>
      <c r="N1154" s="10" t="s">
        <v>112</v>
      </c>
      <c r="O1154" s="22">
        <v>1</v>
      </c>
      <c r="P1154" s="14" t="s">
        <v>395</v>
      </c>
      <c r="Q1154" s="83">
        <f>IF(AND(Enginuity!$B$7&gt;0, Enginuity!$B$13&gt;1), (Enginuity!$B$13 - 1) * 2, "")</f>
        <v>12</v>
      </c>
      <c r="U1154" s="104" t="str">
        <f>IF(
  AND(
    TRIM(A1154)=TRIM(Enginuity!$A$1),
    TRIM(B1154)=TRIM(Enginuity!$A$17),
    Q1154&lt;&gt;"",
    Q1154&lt;&gt;0,
    OR(
      TRIM(C1154)=TRIM(Enginuity!$A$18),
      AND(UPPER(TRIM(M1154))="STD", TRIM(B1154)=TRIM(Enginuity!$A$17))
    ),
    OR(
      AND(LEFT(P1154,5)="1-Way", Enginuity!$B$13=1),
      AND(LEFT(P1154,5)="2-Way", OR(Enginuity!$B$13=2, Enginuity!$B$13=4)),
      AND(LEFT(P1154,5)="3-Way", OR(Enginuity!$B$13=3, Enginuity!$B$13=6)),
      AND(P1154="Inner Centre Jamb", OR(Enginuity!$B$13=4, Enginuity!$B$13=6)),
      AND(
        LEFT(P1154,5)&lt;&gt;"1-Way",
        LEFT(P1154,5)&lt;&gt;"2-Way",
        LEFT(P1154,5)&lt;&gt;"3-Way",
        P1154&lt;&gt;"Inner Centre Jamb"
      )
    ),
    IF(OR(Enginuity!$A$1="Frameless Glass",Enginuity!$A$1="Metal Work"),
      AND(TRIM(B1154)=TRIM(Enginuity!$A$17),TRIM(C1154)=TRIM(Enginuity!$A$18)),
      TRIM(B1154)=TRIM(Enginuity!$A$17)
    )
  ),
  ROW(),
  ""
)</f>
        <v/>
      </c>
    </row>
    <row r="1155" spans="1:21" x14ac:dyDescent="0.25">
      <c r="A1155" s="10" t="s">
        <v>254</v>
      </c>
      <c r="B1155" s="229" t="s">
        <v>1669</v>
      </c>
      <c r="C1155" s="10"/>
      <c r="D1155" s="14"/>
      <c r="E1155" s="157"/>
      <c r="F1155" s="10"/>
      <c r="G1155" s="17"/>
      <c r="H1155" s="10"/>
      <c r="I1155" s="17"/>
      <c r="J1155" s="83"/>
      <c r="K1155" s="343"/>
      <c r="L1155" s="347"/>
      <c r="M1155" s="10" t="s">
        <v>117</v>
      </c>
      <c r="N1155" s="10" t="s">
        <v>112</v>
      </c>
      <c r="O1155" s="22">
        <v>1.1000000000000001</v>
      </c>
      <c r="P1155" s="14" t="s">
        <v>394</v>
      </c>
      <c r="Q1155" s="83">
        <v>4</v>
      </c>
      <c r="U1155" s="104" t="str">
        <f>IF(
  AND(
    TRIM(A1155)=TRIM(Enginuity!$A$1),
    TRIM(B1155)=TRIM(Enginuity!$A$17),
    Q1155&lt;&gt;"",
    Q1155&lt;&gt;0,
    OR(
      TRIM(C1155)=TRIM(Enginuity!$A$18),
      AND(UPPER(TRIM(M1155))="STD", TRIM(B1155)=TRIM(Enginuity!$A$17))
    ),
    OR(
      AND(LEFT(P1155,5)="1-Way", Enginuity!$B$13=1),
      AND(LEFT(P1155,5)="2-Way", OR(Enginuity!$B$13=2, Enginuity!$B$13=4)),
      AND(LEFT(P1155,5)="3-Way", OR(Enginuity!$B$13=3, Enginuity!$B$13=6)),
      AND(P1155="Inner Centre Jamb", OR(Enginuity!$B$13=4, Enginuity!$B$13=6)),
      AND(
        LEFT(P1155,5)&lt;&gt;"1-Way",
        LEFT(P1155,5)&lt;&gt;"2-Way",
        LEFT(P1155,5)&lt;&gt;"3-Way",
        P1155&lt;&gt;"Inner Centre Jamb"
      )
    ),
    IF(OR(Enginuity!$A$1="Frameless Glass",Enginuity!$A$1="Metal Work"),
      AND(TRIM(B1155)=TRIM(Enginuity!$A$17),TRIM(C1155)=TRIM(Enginuity!$A$18)),
      TRIM(B1155)=TRIM(Enginuity!$A$17)
    )
  ),
  ROW(),
  ""
)</f>
        <v/>
      </c>
    </row>
    <row r="1156" spans="1:21" x14ac:dyDescent="0.25">
      <c r="A1156" s="10" t="s">
        <v>254</v>
      </c>
      <c r="B1156" s="229" t="s">
        <v>1669</v>
      </c>
      <c r="C1156" s="10"/>
      <c r="D1156" s="14"/>
      <c r="E1156" s="157"/>
      <c r="F1156" s="10"/>
      <c r="G1156" s="17"/>
      <c r="H1156" s="10"/>
      <c r="I1156" s="17"/>
      <c r="J1156" s="83"/>
      <c r="K1156" s="343"/>
      <c r="L1156" s="347"/>
      <c r="M1156" s="10" t="s">
        <v>117</v>
      </c>
      <c r="N1156" s="10"/>
      <c r="O1156" s="22"/>
      <c r="P1156" s="14"/>
      <c r="Q1156" s="83"/>
      <c r="U1156" s="104" t="str">
        <f>IF(
  AND(
    TRIM(A1156)=TRIM(Enginuity!$A$1),
    TRIM(B1156)=TRIM(Enginuity!$A$17),
    Q1156&lt;&gt;"",
    Q1156&lt;&gt;0,
    OR(
      TRIM(C1156)=TRIM(Enginuity!$A$18),
      AND(UPPER(TRIM(M1156))="STD", TRIM(B1156)=TRIM(Enginuity!$A$17))
    ),
    OR(
      AND(LEFT(P1156,5)="1-Way", Enginuity!$B$13=1),
      AND(LEFT(P1156,5)="2-Way", OR(Enginuity!$B$13=2, Enginuity!$B$13=4)),
      AND(LEFT(P1156,5)="3-Way", OR(Enginuity!$B$13=3, Enginuity!$B$13=6)),
      AND(P1156="Inner Centre Jamb", OR(Enginuity!$B$13=4, Enginuity!$B$13=6)),
      AND(
        LEFT(P1156,5)&lt;&gt;"1-Way",
        LEFT(P1156,5)&lt;&gt;"2-Way",
        LEFT(P1156,5)&lt;&gt;"3-Way",
        P1156&lt;&gt;"Inner Centre Jamb"
      )
    ),
    IF(OR(Enginuity!$A$1="Frameless Glass",Enginuity!$A$1="Metal Work"),
      AND(TRIM(B1156)=TRIM(Enginuity!$A$17),TRIM(C1156)=TRIM(Enginuity!$A$18)),
      TRIM(B1156)=TRIM(Enginuity!$A$17)
    )
  ),
  ROW(),
  ""
)</f>
        <v/>
      </c>
    </row>
    <row r="1157" spans="1:21" x14ac:dyDescent="0.25">
      <c r="A1157" s="10" t="s">
        <v>254</v>
      </c>
      <c r="B1157" s="229" t="s">
        <v>1669</v>
      </c>
      <c r="C1157" s="10"/>
      <c r="D1157" s="14"/>
      <c r="E1157" s="157"/>
      <c r="F1157" s="10"/>
      <c r="G1157" s="17"/>
      <c r="H1157" s="10"/>
      <c r="I1157" s="17"/>
      <c r="J1157" s="83"/>
      <c r="K1157" s="343"/>
      <c r="L1157" s="347"/>
      <c r="M1157" s="10" t="s">
        <v>117</v>
      </c>
      <c r="N1157" s="88"/>
      <c r="O1157" s="22"/>
      <c r="P1157" s="36"/>
      <c r="Q1157" s="83"/>
      <c r="U1157" s="104" t="str">
        <f>IF(
  AND(
    TRIM(A1157)=TRIM(Enginuity!$A$1),
    TRIM(B1157)=TRIM(Enginuity!$A$17),
    Q1157&lt;&gt;"",
    Q1157&lt;&gt;0,
    OR(
      TRIM(C1157)=TRIM(Enginuity!$A$18),
      AND(UPPER(TRIM(M1157))="STD", TRIM(B1157)=TRIM(Enginuity!$A$17))
    ),
    OR(
      AND(LEFT(P1157,5)="1-Way", Enginuity!$B$13=1),
      AND(LEFT(P1157,5)="2-Way", OR(Enginuity!$B$13=2, Enginuity!$B$13=4)),
      AND(LEFT(P1157,5)="3-Way", OR(Enginuity!$B$13=3, Enginuity!$B$13=6)),
      AND(P1157="Inner Centre Jamb", OR(Enginuity!$B$13=4, Enginuity!$B$13=6)),
      AND(
        LEFT(P1157,5)&lt;&gt;"1-Way",
        LEFT(P1157,5)&lt;&gt;"2-Way",
        LEFT(P1157,5)&lt;&gt;"3-Way",
        P1157&lt;&gt;"Inner Centre Jamb"
      )
    ),
    IF(OR(Enginuity!$A$1="Frameless Glass",Enginuity!$A$1="Metal Work"),
      AND(TRIM(B1157)=TRIM(Enginuity!$A$17),TRIM(C1157)=TRIM(Enginuity!$A$18)),
      TRIM(B1157)=TRIM(Enginuity!$A$17)
    )
  ),
  ROW(),
  ""
)</f>
        <v/>
      </c>
    </row>
    <row r="1158" spans="1:21" x14ac:dyDescent="0.25">
      <c r="A1158" s="10" t="s">
        <v>254</v>
      </c>
      <c r="B1158" s="229" t="s">
        <v>1669</v>
      </c>
      <c r="C1158" s="10"/>
      <c r="D1158" s="14"/>
      <c r="E1158" s="157"/>
      <c r="F1158" s="10"/>
      <c r="G1158" s="17"/>
      <c r="H1158" s="10"/>
      <c r="I1158" s="17"/>
      <c r="J1158" s="83"/>
      <c r="K1158" s="343"/>
      <c r="L1158" s="347"/>
      <c r="M1158" s="10" t="s">
        <v>117</v>
      </c>
      <c r="N1158" s="10"/>
      <c r="O1158" s="22"/>
      <c r="P1158" s="14"/>
      <c r="Q1158" s="83"/>
      <c r="U1158" s="104" t="str">
        <f>IF(
  AND(
    TRIM(A1158)=TRIM(Enginuity!$A$1),
    TRIM(B1158)=TRIM(Enginuity!$A$17),
    Q1158&lt;&gt;"",
    Q1158&lt;&gt;0,
    OR(
      TRIM(C1158)=TRIM(Enginuity!$A$18),
      AND(UPPER(TRIM(M1158))="STD", TRIM(B1158)=TRIM(Enginuity!$A$17))
    ),
    OR(
      AND(LEFT(P1158,5)="1-Way", Enginuity!$B$13=1),
      AND(LEFT(P1158,5)="2-Way", OR(Enginuity!$B$13=2, Enginuity!$B$13=4)),
      AND(LEFT(P1158,5)="3-Way", OR(Enginuity!$B$13=3, Enginuity!$B$13=6)),
      AND(P1158="Inner Centre Jamb", OR(Enginuity!$B$13=4, Enginuity!$B$13=6)),
      AND(
        LEFT(P1158,5)&lt;&gt;"1-Way",
        LEFT(P1158,5)&lt;&gt;"2-Way",
        LEFT(P1158,5)&lt;&gt;"3-Way",
        P1158&lt;&gt;"Inner Centre Jamb"
      )
    ),
    IF(OR(Enginuity!$A$1="Frameless Glass",Enginuity!$A$1="Metal Work"),
      AND(TRIM(B1158)=TRIM(Enginuity!$A$17),TRIM(C1158)=TRIM(Enginuity!$A$18)),
      TRIM(B1158)=TRIM(Enginuity!$A$17)
    )
  ),
  ROW(),
  ""
)</f>
        <v/>
      </c>
    </row>
    <row r="1159" spans="1:21" x14ac:dyDescent="0.25">
      <c r="A1159" s="10" t="s">
        <v>254</v>
      </c>
      <c r="B1159" s="229" t="s">
        <v>1669</v>
      </c>
      <c r="C1159" s="10"/>
      <c r="D1159" s="14"/>
      <c r="E1159" s="157"/>
      <c r="F1159" s="10"/>
      <c r="G1159" s="17"/>
      <c r="H1159" s="10"/>
      <c r="I1159" s="17"/>
      <c r="J1159" s="83"/>
      <c r="K1159" s="343"/>
      <c r="L1159" s="347"/>
      <c r="M1159" s="10" t="s">
        <v>117</v>
      </c>
      <c r="N1159" s="10"/>
      <c r="O1159" s="22"/>
      <c r="P1159" s="14"/>
      <c r="Q1159" s="83"/>
      <c r="U1159" s="104" t="str">
        <f>IF(
  AND(
    TRIM(A1159)=TRIM(Enginuity!$A$1),
    TRIM(B1159)=TRIM(Enginuity!$A$17),
    Q1159&lt;&gt;"",
    Q1159&lt;&gt;0,
    OR(
      TRIM(C1159)=TRIM(Enginuity!$A$18),
      AND(UPPER(TRIM(M1159))="STD", TRIM(B1159)=TRIM(Enginuity!$A$17))
    ),
    OR(
      AND(LEFT(P1159,5)="1-Way", Enginuity!$B$13=1),
      AND(LEFT(P1159,5)="2-Way", OR(Enginuity!$B$13=2, Enginuity!$B$13=4)),
      AND(LEFT(P1159,5)="3-Way", OR(Enginuity!$B$13=3, Enginuity!$B$13=6)),
      AND(P1159="Inner Centre Jamb", OR(Enginuity!$B$13=4, Enginuity!$B$13=6)),
      AND(
        LEFT(P1159,5)&lt;&gt;"1-Way",
        LEFT(P1159,5)&lt;&gt;"2-Way",
        LEFT(P1159,5)&lt;&gt;"3-Way",
        P1159&lt;&gt;"Inner Centre Jamb"
      )
    ),
    IF(OR(Enginuity!$A$1="Frameless Glass",Enginuity!$A$1="Metal Work"),
      AND(TRIM(B1159)=TRIM(Enginuity!$A$17),TRIM(C1159)=TRIM(Enginuity!$A$18)),
      TRIM(B1159)=TRIM(Enginuity!$A$17)
    )
  ),
  ROW(),
  ""
)</f>
        <v/>
      </c>
    </row>
    <row r="1160" spans="1:21" x14ac:dyDescent="0.25">
      <c r="A1160" s="10" t="s">
        <v>254</v>
      </c>
      <c r="B1160" s="229" t="s">
        <v>1669</v>
      </c>
      <c r="C1160" s="10"/>
      <c r="D1160" s="14"/>
      <c r="E1160" s="157"/>
      <c r="F1160" s="10"/>
      <c r="G1160" s="17"/>
      <c r="H1160" s="10"/>
      <c r="I1160" s="17"/>
      <c r="J1160" s="83"/>
      <c r="K1160" s="343"/>
      <c r="L1160" s="347"/>
      <c r="M1160" s="10"/>
      <c r="N1160" s="10"/>
      <c r="O1160" s="22"/>
      <c r="P1160" s="14"/>
      <c r="Q1160" s="83"/>
      <c r="U1160" s="104" t="str">
        <f>IF(
  AND(
    TRIM(A1160)=TRIM(Enginuity!$A$1),
    TRIM(B1160)=TRIM(Enginuity!$A$17),
    Q1160&lt;&gt;"",
    Q1160&lt;&gt;0,
    OR(
      TRIM(C1160)=TRIM(Enginuity!$A$18),
      AND(UPPER(TRIM(M1160))="STD", TRIM(B1160)=TRIM(Enginuity!$A$17))
    ),
    OR(
      AND(LEFT(P1160,5)="1-Way", Enginuity!$B$13=1),
      AND(LEFT(P1160,5)="2-Way", OR(Enginuity!$B$13=2, Enginuity!$B$13=4)),
      AND(LEFT(P1160,5)="3-Way", OR(Enginuity!$B$13=3, Enginuity!$B$13=6)),
      AND(P1160="Inner Centre Jamb", OR(Enginuity!$B$13=4, Enginuity!$B$13=6)),
      AND(
        LEFT(P1160,5)&lt;&gt;"1-Way",
        LEFT(P1160,5)&lt;&gt;"2-Way",
        LEFT(P1160,5)&lt;&gt;"3-Way",
        P1160&lt;&gt;"Inner Centre Jamb"
      )
    ),
    IF(OR(Enginuity!$A$1="Frameless Glass",Enginuity!$A$1="Metal Work"),
      AND(TRIM(B1160)=TRIM(Enginuity!$A$17),TRIM(C1160)=TRIM(Enginuity!$A$18)),
      TRIM(B1160)=TRIM(Enginuity!$A$17)
    )
  ),
  ROW(),
  ""
)</f>
        <v/>
      </c>
    </row>
    <row r="1161" spans="1:21" x14ac:dyDescent="0.25">
      <c r="A1161" s="10" t="s">
        <v>254</v>
      </c>
      <c r="B1161" s="229" t="s">
        <v>1669</v>
      </c>
      <c r="C1161" s="10"/>
      <c r="D1161" s="14"/>
      <c r="E1161" s="157"/>
      <c r="F1161" s="10"/>
      <c r="G1161" s="17"/>
      <c r="H1161" s="10"/>
      <c r="I1161" s="17"/>
      <c r="J1161" s="83"/>
      <c r="K1161" s="343"/>
      <c r="L1161" s="347"/>
      <c r="M1161" s="10"/>
      <c r="N1161" s="10"/>
      <c r="O1161" s="22"/>
      <c r="P1161" s="14"/>
      <c r="Q1161" s="83"/>
      <c r="U1161" s="104" t="str">
        <f>IF(
  AND(
    TRIM(A1161)=TRIM(Enginuity!$A$1),
    TRIM(B1161)=TRIM(Enginuity!$A$17),
    Q1161&lt;&gt;"",
    Q1161&lt;&gt;0,
    OR(
      TRIM(C1161)=TRIM(Enginuity!$A$18),
      AND(UPPER(TRIM(M1161))="STD", TRIM(B1161)=TRIM(Enginuity!$A$17))
    ),
    OR(
      AND(LEFT(P1161,5)="1-Way", Enginuity!$B$13=1),
      AND(LEFT(P1161,5)="2-Way", OR(Enginuity!$B$13=2, Enginuity!$B$13=4)),
      AND(LEFT(P1161,5)="3-Way", OR(Enginuity!$B$13=3, Enginuity!$B$13=6)),
      AND(P1161="Inner Centre Jamb", OR(Enginuity!$B$13=4, Enginuity!$B$13=6)),
      AND(
        LEFT(P1161,5)&lt;&gt;"1-Way",
        LEFT(P1161,5)&lt;&gt;"2-Way",
        LEFT(P1161,5)&lt;&gt;"3-Way",
        P1161&lt;&gt;"Inner Centre Jamb"
      )
    ),
    IF(OR(Enginuity!$A$1="Frameless Glass",Enginuity!$A$1="Metal Work"),
      AND(TRIM(B1161)=TRIM(Enginuity!$A$17),TRIM(C1161)=TRIM(Enginuity!$A$18)),
      TRIM(B1161)=TRIM(Enginuity!$A$17)
    )
  ),
  ROW(),
  ""
)</f>
        <v/>
      </c>
    </row>
    <row r="1162" spans="1:21" x14ac:dyDescent="0.25">
      <c r="A1162" s="10" t="s">
        <v>254</v>
      </c>
      <c r="B1162" s="229" t="s">
        <v>1669</v>
      </c>
      <c r="C1162" s="10"/>
      <c r="D1162" s="14"/>
      <c r="E1162" s="157"/>
      <c r="F1162" s="10"/>
      <c r="G1162" s="17"/>
      <c r="H1162" s="10"/>
      <c r="I1162" s="17"/>
      <c r="J1162" s="83"/>
      <c r="K1162" s="343"/>
      <c r="L1162" s="347"/>
      <c r="M1162" s="10"/>
      <c r="N1162" s="10"/>
      <c r="O1162" s="22"/>
      <c r="P1162" s="14"/>
      <c r="Q1162" s="83"/>
      <c r="U1162" s="104" t="str">
        <f>IF(
  AND(
    TRIM(A1162)=TRIM(Enginuity!$A$1),
    TRIM(B1162)=TRIM(Enginuity!$A$17),
    Q1162&lt;&gt;"",
    Q1162&lt;&gt;0,
    OR(
      TRIM(C1162)=TRIM(Enginuity!$A$18),
      AND(UPPER(TRIM(M1162))="STD", TRIM(B1162)=TRIM(Enginuity!$A$17))
    ),
    OR(
      AND(LEFT(P1162,5)="1-Way", Enginuity!$B$13=1),
      AND(LEFT(P1162,5)="2-Way", OR(Enginuity!$B$13=2, Enginuity!$B$13=4)),
      AND(LEFT(P1162,5)="3-Way", OR(Enginuity!$B$13=3, Enginuity!$B$13=6)),
      AND(P1162="Inner Centre Jamb", OR(Enginuity!$B$13=4, Enginuity!$B$13=6)),
      AND(
        LEFT(P1162,5)&lt;&gt;"1-Way",
        LEFT(P1162,5)&lt;&gt;"2-Way",
        LEFT(P1162,5)&lt;&gt;"3-Way",
        P1162&lt;&gt;"Inner Centre Jamb"
      )
    ),
    IF(OR(Enginuity!$A$1="Frameless Glass",Enginuity!$A$1="Metal Work"),
      AND(TRIM(B1162)=TRIM(Enginuity!$A$17),TRIM(C1162)=TRIM(Enginuity!$A$18)),
      TRIM(B1162)=TRIM(Enginuity!$A$17)
    )
  ),
  ROW(),
  ""
)</f>
        <v/>
      </c>
    </row>
    <row r="1163" spans="1:21" x14ac:dyDescent="0.25">
      <c r="A1163" s="10" t="s">
        <v>254</v>
      </c>
      <c r="B1163" s="229" t="s">
        <v>1669</v>
      </c>
      <c r="C1163" s="10"/>
      <c r="D1163" s="14"/>
      <c r="E1163" s="157"/>
      <c r="F1163" s="10"/>
      <c r="G1163" s="17"/>
      <c r="H1163" s="10"/>
      <c r="I1163" s="17"/>
      <c r="J1163" s="83"/>
      <c r="K1163" s="343"/>
      <c r="L1163" s="347"/>
      <c r="M1163" s="10"/>
      <c r="N1163" s="10"/>
      <c r="O1163" s="22"/>
      <c r="P1163" s="14"/>
      <c r="Q1163" s="83"/>
      <c r="U1163" s="104" t="str">
        <f>IF(
  AND(
    TRIM(A1163)=TRIM(Enginuity!$A$1),
    TRIM(B1163)=TRIM(Enginuity!$A$17),
    Q1163&lt;&gt;"",
    Q1163&lt;&gt;0,
    OR(
      TRIM(C1163)=TRIM(Enginuity!$A$18),
      AND(UPPER(TRIM(M1163))="STD", TRIM(B1163)=TRIM(Enginuity!$A$17))
    ),
    OR(
      AND(LEFT(P1163,5)="1-Way", Enginuity!$B$13=1),
      AND(LEFT(P1163,5)="2-Way", OR(Enginuity!$B$13=2, Enginuity!$B$13=4)),
      AND(LEFT(P1163,5)="3-Way", OR(Enginuity!$B$13=3, Enginuity!$B$13=6)),
      AND(P1163="Inner Centre Jamb", OR(Enginuity!$B$13=4, Enginuity!$B$13=6)),
      AND(
        LEFT(P1163,5)&lt;&gt;"1-Way",
        LEFT(P1163,5)&lt;&gt;"2-Way",
        LEFT(P1163,5)&lt;&gt;"3-Way",
        P1163&lt;&gt;"Inner Centre Jamb"
      )
    ),
    IF(OR(Enginuity!$A$1="Frameless Glass",Enginuity!$A$1="Metal Work"),
      AND(TRIM(B1163)=TRIM(Enginuity!$A$17),TRIM(C1163)=TRIM(Enginuity!$A$18)),
      TRIM(B1163)=TRIM(Enginuity!$A$17)
    )
  ),
  ROW(),
  ""
)</f>
        <v/>
      </c>
    </row>
    <row r="1164" spans="1:21" x14ac:dyDescent="0.25">
      <c r="A1164" s="10" t="s">
        <v>254</v>
      </c>
      <c r="B1164" s="229" t="s">
        <v>1669</v>
      </c>
      <c r="C1164" s="10"/>
      <c r="D1164" s="14"/>
      <c r="E1164" s="157"/>
      <c r="F1164" s="10"/>
      <c r="G1164" s="17"/>
      <c r="H1164" s="10"/>
      <c r="I1164" s="17"/>
      <c r="J1164" s="83"/>
      <c r="K1164" s="343"/>
      <c r="L1164" s="347"/>
      <c r="M1164" s="10"/>
      <c r="N1164" s="10"/>
      <c r="O1164" s="22"/>
      <c r="P1164" s="21"/>
      <c r="Q1164" s="83"/>
      <c r="U1164" s="104" t="str">
        <f>IF(
  AND(
    TRIM(A1164)=TRIM(Enginuity!$A$1),
    TRIM(B1164)=TRIM(Enginuity!$A$17),
    Q1164&lt;&gt;"",
    Q1164&lt;&gt;0,
    OR(
      TRIM(C1164)=TRIM(Enginuity!$A$18),
      AND(UPPER(TRIM(M1164))="STD", TRIM(B1164)=TRIM(Enginuity!$A$17))
    ),
    OR(
      AND(LEFT(P1164,5)="1-Way", Enginuity!$B$13=1),
      AND(LEFT(P1164,5)="2-Way", OR(Enginuity!$B$13=2, Enginuity!$B$13=4)),
      AND(LEFT(P1164,5)="3-Way", OR(Enginuity!$B$13=3, Enginuity!$B$13=6)),
      AND(P1164="Inner Centre Jamb", OR(Enginuity!$B$13=4, Enginuity!$B$13=6)),
      AND(
        LEFT(P1164,5)&lt;&gt;"1-Way",
        LEFT(P1164,5)&lt;&gt;"2-Way",
        LEFT(P1164,5)&lt;&gt;"3-Way",
        P1164&lt;&gt;"Inner Centre Jamb"
      )
    ),
    IF(OR(Enginuity!$A$1="Frameless Glass",Enginuity!$A$1="Metal Work"),
      AND(TRIM(B1164)=TRIM(Enginuity!$A$17),TRIM(C1164)=TRIM(Enginuity!$A$18)),
      TRIM(B1164)=TRIM(Enginuity!$A$17)
    )
  ),
  ROW(),
  ""
)</f>
        <v/>
      </c>
    </row>
    <row r="1165" spans="1:21" x14ac:dyDescent="0.25">
      <c r="A1165" s="10" t="s">
        <v>254</v>
      </c>
      <c r="B1165" s="229" t="s">
        <v>1669</v>
      </c>
      <c r="C1165" s="10"/>
      <c r="D1165" s="14"/>
      <c r="E1165" s="157"/>
      <c r="F1165" s="10"/>
      <c r="G1165" s="17"/>
      <c r="H1165" s="10"/>
      <c r="I1165" s="17"/>
      <c r="J1165" s="83"/>
      <c r="K1165" s="343"/>
      <c r="L1165" s="347"/>
      <c r="M1165" s="10"/>
      <c r="N1165" s="10"/>
      <c r="O1165" s="22"/>
      <c r="P1165" s="14"/>
      <c r="Q1165" s="83"/>
      <c r="U1165" s="104" t="str">
        <f>IF(
  AND(
    TRIM(A1165)=TRIM(Enginuity!$A$1),
    TRIM(B1165)=TRIM(Enginuity!$A$17),
    Q1165&lt;&gt;"",
    Q1165&lt;&gt;0,
    OR(
      TRIM(C1165)=TRIM(Enginuity!$A$18),
      AND(UPPER(TRIM(M1165))="STD", TRIM(B1165)=TRIM(Enginuity!$A$17))
    ),
    OR(
      AND(LEFT(P1165,5)="1-Way", Enginuity!$B$13=1),
      AND(LEFT(P1165,5)="2-Way", OR(Enginuity!$B$13=2, Enginuity!$B$13=4)),
      AND(LEFT(P1165,5)="3-Way", OR(Enginuity!$B$13=3, Enginuity!$B$13=6)),
      AND(P1165="Inner Centre Jamb", OR(Enginuity!$B$13=4, Enginuity!$B$13=6)),
      AND(
        LEFT(P1165,5)&lt;&gt;"1-Way",
        LEFT(P1165,5)&lt;&gt;"2-Way",
        LEFT(P1165,5)&lt;&gt;"3-Way",
        P1165&lt;&gt;"Inner Centre Jamb"
      )
    ),
    IF(OR(Enginuity!$A$1="Frameless Glass",Enginuity!$A$1="Metal Work"),
      AND(TRIM(B1165)=TRIM(Enginuity!$A$17),TRIM(C1165)=TRIM(Enginuity!$A$18)),
      TRIM(B1165)=TRIM(Enginuity!$A$17)
    )
  ),
  ROW(),
  ""
)</f>
        <v/>
      </c>
    </row>
    <row r="1166" spans="1:21" x14ac:dyDescent="0.25">
      <c r="A1166" s="10" t="s">
        <v>254</v>
      </c>
      <c r="B1166" s="229" t="s">
        <v>1669</v>
      </c>
      <c r="C1166" s="10"/>
      <c r="D1166" s="14"/>
      <c r="E1166" s="157"/>
      <c r="F1166" s="10"/>
      <c r="G1166" s="17"/>
      <c r="H1166" s="10"/>
      <c r="I1166" s="17"/>
      <c r="J1166" s="83"/>
      <c r="K1166" s="343"/>
      <c r="L1166" s="347"/>
      <c r="M1166" s="10"/>
      <c r="N1166" s="10"/>
      <c r="O1166" s="22"/>
      <c r="P1166" s="21"/>
      <c r="Q1166" s="83"/>
      <c r="U1166" s="104" t="str">
        <f>IF(
  AND(
    TRIM(A1166)=TRIM(Enginuity!$A$1),
    TRIM(B1166)=TRIM(Enginuity!$A$17),
    Q1166&lt;&gt;"",
    Q1166&lt;&gt;0,
    OR(
      TRIM(C1166)=TRIM(Enginuity!$A$18),
      AND(UPPER(TRIM(M1166))="STD", TRIM(B1166)=TRIM(Enginuity!$A$17))
    ),
    OR(
      AND(LEFT(P1166,5)="1-Way", Enginuity!$B$13=1),
      AND(LEFT(P1166,5)="2-Way", OR(Enginuity!$B$13=2, Enginuity!$B$13=4)),
      AND(LEFT(P1166,5)="3-Way", OR(Enginuity!$B$13=3, Enginuity!$B$13=6)),
      AND(P1166="Inner Centre Jamb", OR(Enginuity!$B$13=4, Enginuity!$B$13=6)),
      AND(
        LEFT(P1166,5)&lt;&gt;"1-Way",
        LEFT(P1166,5)&lt;&gt;"2-Way",
        LEFT(P1166,5)&lt;&gt;"3-Way",
        P1166&lt;&gt;"Inner Centre Jamb"
      )
    ),
    IF(OR(Enginuity!$A$1="Frameless Glass",Enginuity!$A$1="Metal Work"),
      AND(TRIM(B1166)=TRIM(Enginuity!$A$17),TRIM(C1166)=TRIM(Enginuity!$A$18)),
      TRIM(B1166)=TRIM(Enginuity!$A$17)
    )
  ),
  ROW(),
  ""
)</f>
        <v/>
      </c>
    </row>
    <row r="1167" spans="1:21" x14ac:dyDescent="0.25">
      <c r="A1167" s="10" t="s">
        <v>254</v>
      </c>
      <c r="B1167" s="229" t="s">
        <v>1669</v>
      </c>
      <c r="C1167" s="10"/>
      <c r="D1167" s="14"/>
      <c r="E1167" s="157"/>
      <c r="F1167" s="10"/>
      <c r="G1167" s="17"/>
      <c r="H1167" s="10"/>
      <c r="I1167" s="17"/>
      <c r="J1167" s="83"/>
      <c r="K1167" s="343"/>
      <c r="L1167" s="347"/>
      <c r="M1167" s="89"/>
      <c r="N1167" s="10"/>
      <c r="O1167" s="22"/>
      <c r="P1167" s="14"/>
      <c r="Q1167" s="83"/>
      <c r="U1167" s="104" t="str">
        <f>IF(
  AND(
    TRIM(A1167)=TRIM(Enginuity!$A$1),
    TRIM(B1167)=TRIM(Enginuity!$A$17),
    Q1167&lt;&gt;"",
    Q1167&lt;&gt;0,
    OR(
      TRIM(C1167)=TRIM(Enginuity!$A$18),
      AND(UPPER(TRIM(M1167))="STD", TRIM(B1167)=TRIM(Enginuity!$A$17))
    ),
    OR(
      AND(LEFT(P1167,5)="1-Way", Enginuity!$B$13=1),
      AND(LEFT(P1167,5)="2-Way", OR(Enginuity!$B$13=2, Enginuity!$B$13=4)),
      AND(LEFT(P1167,5)="3-Way", OR(Enginuity!$B$13=3, Enginuity!$B$13=6)),
      AND(P1167="Inner Centre Jamb", OR(Enginuity!$B$13=4, Enginuity!$B$13=6)),
      AND(
        LEFT(P1167,5)&lt;&gt;"1-Way",
        LEFT(P1167,5)&lt;&gt;"2-Way",
        LEFT(P1167,5)&lt;&gt;"3-Way",
        P1167&lt;&gt;"Inner Centre Jamb"
      )
    ),
    IF(OR(Enginuity!$A$1="Frameless Glass",Enginuity!$A$1="Metal Work"),
      AND(TRIM(B1167)=TRIM(Enginuity!$A$17),TRIM(C1167)=TRIM(Enginuity!$A$18)),
      TRIM(B1167)=TRIM(Enginuity!$A$17)
    )
  ),
  ROW(),
  ""
)</f>
        <v/>
      </c>
    </row>
    <row r="1168" spans="1:21" x14ac:dyDescent="0.25">
      <c r="A1168" s="10" t="s">
        <v>254</v>
      </c>
      <c r="B1168" s="229" t="s">
        <v>1669</v>
      </c>
      <c r="C1168" s="10"/>
      <c r="D1168" s="14"/>
      <c r="E1168" s="157"/>
      <c r="F1168" s="10"/>
      <c r="G1168" s="17"/>
      <c r="H1168" s="10"/>
      <c r="I1168" s="17"/>
      <c r="J1168" s="83"/>
      <c r="K1168" s="343"/>
      <c r="L1168" s="347"/>
      <c r="M1168" s="89">
        <v>47</v>
      </c>
      <c r="N1168" s="10"/>
      <c r="O1168" s="22"/>
      <c r="P1168" s="14"/>
      <c r="Q1168" s="83"/>
      <c r="U1168" s="104" t="str">
        <f>IF(
  AND(
    TRIM(A1168)=TRIM(Enginuity!$A$1),
    TRIM(B1168)=TRIM(Enginuity!$A$17),
    Q1168&lt;&gt;"",
    Q1168&lt;&gt;0,
    OR(
      TRIM(C1168)=TRIM(Enginuity!$A$18),
      AND(UPPER(TRIM(M1168))="STD", TRIM(B1168)=TRIM(Enginuity!$A$17))
    ),
    OR(
      AND(LEFT(P1168,5)="1-Way", Enginuity!$B$13=1),
      AND(LEFT(P1168,5)="2-Way", OR(Enginuity!$B$13=2, Enginuity!$B$13=4)),
      AND(LEFT(P1168,5)="3-Way", OR(Enginuity!$B$13=3, Enginuity!$B$13=6)),
      AND(P1168="Inner Centre Jamb", OR(Enginuity!$B$13=4, Enginuity!$B$13=6)),
      AND(
        LEFT(P1168,5)&lt;&gt;"1-Way",
        LEFT(P1168,5)&lt;&gt;"2-Way",
        LEFT(P1168,5)&lt;&gt;"3-Way",
        P1168&lt;&gt;"Inner Centre Jamb"
      )
    ),
    IF(OR(Enginuity!$A$1="Frameless Glass",Enginuity!$A$1="Metal Work"),
      AND(TRIM(B1168)=TRIM(Enginuity!$A$17),TRIM(C1168)=TRIM(Enginuity!$A$18)),
      TRIM(B1168)=TRIM(Enginuity!$A$17)
    )
  ),
  ROW(),
  ""
)</f>
        <v/>
      </c>
    </row>
    <row r="1169" spans="1:21" x14ac:dyDescent="0.25">
      <c r="A1169" s="10" t="s">
        <v>254</v>
      </c>
      <c r="B1169" s="229" t="s">
        <v>1669</v>
      </c>
      <c r="C1169" s="10"/>
      <c r="D1169" s="14"/>
      <c r="E1169" s="157"/>
      <c r="F1169" s="10"/>
      <c r="G1169" s="17"/>
      <c r="H1169" s="10"/>
      <c r="I1169" s="17"/>
      <c r="J1169" s="83"/>
      <c r="K1169" s="343"/>
      <c r="L1169" s="347"/>
      <c r="M1169" s="89">
        <v>48</v>
      </c>
      <c r="N1169" s="10"/>
      <c r="O1169" s="22"/>
      <c r="P1169" s="14"/>
      <c r="Q1169" s="83"/>
      <c r="U1169" s="104" t="str">
        <f>IF(
  AND(
    TRIM(A1169)=TRIM(Enginuity!$A$1),
    TRIM(B1169)=TRIM(Enginuity!$A$17),
    Q1169&lt;&gt;"",
    Q1169&lt;&gt;0,
    OR(
      TRIM(C1169)=TRIM(Enginuity!$A$18),
      AND(UPPER(TRIM(M1169))="STD", TRIM(B1169)=TRIM(Enginuity!$A$17))
    ),
    OR(
      AND(LEFT(P1169,5)="1-Way", Enginuity!$B$13=1),
      AND(LEFT(P1169,5)="2-Way", OR(Enginuity!$B$13=2, Enginuity!$B$13=4)),
      AND(LEFT(P1169,5)="3-Way", OR(Enginuity!$B$13=3, Enginuity!$B$13=6)),
      AND(P1169="Inner Centre Jamb", OR(Enginuity!$B$13=4, Enginuity!$B$13=6)),
      AND(
        LEFT(P1169,5)&lt;&gt;"1-Way",
        LEFT(P1169,5)&lt;&gt;"2-Way",
        LEFT(P1169,5)&lt;&gt;"3-Way",
        P1169&lt;&gt;"Inner Centre Jamb"
      )
    ),
    IF(OR(Enginuity!$A$1="Frameless Glass",Enginuity!$A$1="Metal Work"),
      AND(TRIM(B1169)=TRIM(Enginuity!$A$17),TRIM(C1169)=TRIM(Enginuity!$A$18)),
      TRIM(B1169)=TRIM(Enginuity!$A$17)
    )
  ),
  ROW(),
  ""
)</f>
        <v/>
      </c>
    </row>
    <row r="1170" spans="1:21" x14ac:dyDescent="0.25">
      <c r="A1170" s="17" t="s">
        <v>254</v>
      </c>
      <c r="B1170" s="230" t="s">
        <v>1669</v>
      </c>
      <c r="C1170" s="17"/>
      <c r="D1170" s="18"/>
      <c r="E1170" s="238"/>
      <c r="F1170" s="17"/>
      <c r="G1170" s="17"/>
      <c r="H1170" s="10"/>
      <c r="I1170" s="17"/>
      <c r="J1170" s="83"/>
      <c r="K1170" s="343"/>
      <c r="L1170" s="347"/>
      <c r="M1170" s="90">
        <v>49</v>
      </c>
      <c r="N1170" s="17"/>
      <c r="O1170" s="25"/>
      <c r="P1170" s="92"/>
      <c r="Q1170" s="84"/>
      <c r="U1170" s="104" t="str">
        <f>IF(
  AND(
    TRIM(A1170)=TRIM(Enginuity!$A$1),
    TRIM(B1170)=TRIM(Enginuity!$A$17),
    Q1170&lt;&gt;"",
    Q1170&lt;&gt;0,
    OR(
      TRIM(C1170)=TRIM(Enginuity!$A$18),
      AND(UPPER(TRIM(M1170))="STD", TRIM(B1170)=TRIM(Enginuity!$A$17))
    ),
    OR(
      AND(LEFT(P1170,5)="1-Way", Enginuity!$B$13=1),
      AND(LEFT(P1170,5)="2-Way", OR(Enginuity!$B$13=2, Enginuity!$B$13=4)),
      AND(LEFT(P1170,5)="3-Way", OR(Enginuity!$B$13=3, Enginuity!$B$13=6)),
      AND(P1170="Inner Centre Jamb", OR(Enginuity!$B$13=4, Enginuity!$B$13=6)),
      AND(
        LEFT(P1170,5)&lt;&gt;"1-Way",
        LEFT(P1170,5)&lt;&gt;"2-Way",
        LEFT(P1170,5)&lt;&gt;"3-Way",
        P1170&lt;&gt;"Inner Centre Jamb"
      )
    ),
    IF(OR(Enginuity!$A$1="Frameless Glass",Enginuity!$A$1="Metal Work"),
      AND(TRIM(B1170)=TRIM(Enginuity!$A$17),TRIM(C1170)=TRIM(Enginuity!$A$18)),
      TRIM(B1170)=TRIM(Enginuity!$A$17)
    )
  ),
  ROW(),
  ""
)</f>
        <v/>
      </c>
    </row>
    <row r="1171" spans="1:21" x14ac:dyDescent="0.25">
      <c r="A1171" s="10" t="s">
        <v>253</v>
      </c>
      <c r="B1171" s="229" t="s">
        <v>372</v>
      </c>
      <c r="C1171" s="10" t="s">
        <v>403</v>
      </c>
      <c r="D1171" s="14" t="str">
        <f>P1171</f>
        <v>Below 30" x 84" ecobonz 2.5mm Glossy / VACP 800 Series</v>
      </c>
      <c r="E1171" s="248" t="s">
        <v>375</v>
      </c>
      <c r="F1171" s="113" t="s">
        <v>382</v>
      </c>
      <c r="G1171" s="17" t="s">
        <v>381</v>
      </c>
      <c r="H1171" s="10"/>
      <c r="I1171" s="17"/>
      <c r="J1171" s="83"/>
      <c r="K1171" s="344">
        <v>0.286028</v>
      </c>
      <c r="L1171" s="347">
        <v>762</v>
      </c>
      <c r="M1171" s="89">
        <v>1</v>
      </c>
      <c r="N1171" s="10" t="s">
        <v>176</v>
      </c>
      <c r="O1171" s="22">
        <v>351.75</v>
      </c>
      <c r="P1171" s="14" t="s">
        <v>367</v>
      </c>
      <c r="Q1171" s="22" t="str">
        <f>IF(AND(O1171&lt;&gt;"",P1171=Enginuity!$A$19),
   IF(Enginuity!$B$6&gt;4,Enginuity!$B$13,1),
"")</f>
        <v/>
      </c>
      <c r="U1171" s="104" t="str">
        <f>IF(
  AND(
    TRIM(A1171)=TRIM(Enginuity!$A$1),
    TRIM(B1171)=TRIM(Enginuity!$A$17),
    Q1171&lt;&gt;"",
    Q1171&lt;&gt;0,
    OR(
      TRIM(C1171)=TRIM(Enginuity!$A$18),
      AND(UPPER(TRIM(M1171))="STD", TRIM(B1171)=TRIM(Enginuity!$A$17))
    ),
    OR(
      AND(LEFT(P1171,5)="1-Way", Enginuity!$B$13=1),
      AND(LEFT(P1171,5)="2-Way", OR(Enginuity!$B$13=2, Enginuity!$B$13=4)),
      AND(LEFT(P1171,5)="3-Way", OR(Enginuity!$B$13=3, Enginuity!$B$13=6)),
      AND(P1171="Inner Centre Jamb", OR(Enginuity!$B$13=4, Enginuity!$B$13=6)),
      AND(
        LEFT(P1171,5)&lt;&gt;"1-Way",
        LEFT(P1171,5)&lt;&gt;"2-Way",
        LEFT(P1171,5)&lt;&gt;"3-Way",
        P1171&lt;&gt;"Inner Centre Jamb"
      )
    ),
    IF(OR(Enginuity!$A$1="Frameless Glass",Enginuity!$A$1="Metal Work"),
      AND(TRIM(B1171)=TRIM(Enginuity!$A$17),TRIM(C1171)=TRIM(Enginuity!$A$18)),
      TRIM(B1171)=TRIM(Enginuity!$A$17)
    )
  ),
  ROW(),
  ""
)</f>
        <v/>
      </c>
    </row>
    <row r="1172" spans="1:21" x14ac:dyDescent="0.25">
      <c r="A1172" s="10" t="s">
        <v>253</v>
      </c>
      <c r="B1172" s="229" t="s">
        <v>372</v>
      </c>
      <c r="C1172" s="10" t="s">
        <v>403</v>
      </c>
      <c r="D1172" s="14" t="str">
        <f t="shared" ref="D1172:D1179" si="18">P1172</f>
        <v>Below 30" x 84" ecoscreen 2.5mm</v>
      </c>
      <c r="E1172" s="248" t="s">
        <v>376</v>
      </c>
      <c r="F1172" s="113" t="s">
        <v>383</v>
      </c>
      <c r="G1172" s="17"/>
      <c r="H1172" s="10"/>
      <c r="I1172" s="17"/>
      <c r="J1172" s="83"/>
      <c r="K1172" s="343"/>
      <c r="L1172" s="347"/>
      <c r="M1172" s="89">
        <v>2</v>
      </c>
      <c r="N1172" s="10" t="s">
        <v>176</v>
      </c>
      <c r="O1172" s="22">
        <v>372.75</v>
      </c>
      <c r="P1172" s="14" t="s">
        <v>368</v>
      </c>
      <c r="Q1172" s="22" t="str">
        <f>IF(AND(O1172&lt;&gt;"",P1172=Enginuity!$A$19),
   IF(Enginuity!$B$6&gt;4,Enginuity!$B$13,1),
"")</f>
        <v/>
      </c>
      <c r="U1172" s="104" t="str">
        <f>IF(
  AND(
    TRIM(A1172)=TRIM(Enginuity!$A$1),
    TRIM(B1172)=TRIM(Enginuity!$A$17),
    Q1172&lt;&gt;"",
    Q1172&lt;&gt;0,
    OR(
      TRIM(C1172)=TRIM(Enginuity!$A$18),
      AND(UPPER(TRIM(M1172))="STD", TRIM(B1172)=TRIM(Enginuity!$A$17))
    ),
    OR(
      AND(LEFT(P1172,5)="1-Way", Enginuity!$B$13=1),
      AND(LEFT(P1172,5)="2-Way", OR(Enginuity!$B$13=2, Enginuity!$B$13=4)),
      AND(LEFT(P1172,5)="3-Way", OR(Enginuity!$B$13=3, Enginuity!$B$13=6)),
      AND(P1172="Inner Centre Jamb", OR(Enginuity!$B$13=4, Enginuity!$B$13=6)),
      AND(
        LEFT(P1172,5)&lt;&gt;"1-Way",
        LEFT(P1172,5)&lt;&gt;"2-Way",
        LEFT(P1172,5)&lt;&gt;"3-Way",
        P1172&lt;&gt;"Inner Centre Jamb"
      )
    ),
    IF(OR(Enginuity!$A$1="Frameless Glass",Enginuity!$A$1="Metal Work"),
      AND(TRIM(B1172)=TRIM(Enginuity!$A$17),TRIM(C1172)=TRIM(Enginuity!$A$18)),
      TRIM(B1172)=TRIM(Enginuity!$A$17)
    )
  ),
  ROW(),
  ""
)</f>
        <v/>
      </c>
    </row>
    <row r="1173" spans="1:21" x14ac:dyDescent="0.25">
      <c r="A1173" s="10" t="s">
        <v>253</v>
      </c>
      <c r="B1173" s="229" t="s">
        <v>372</v>
      </c>
      <c r="C1173" s="10" t="s">
        <v>403</v>
      </c>
      <c r="D1173" s="14" t="str">
        <f t="shared" si="18"/>
        <v>Below 30" x 84" ecopoly 2.5mm</v>
      </c>
      <c r="E1173" s="157" t="s">
        <v>377</v>
      </c>
      <c r="F1173" s="14" t="s">
        <v>384</v>
      </c>
      <c r="G1173" s="17"/>
      <c r="H1173" s="10"/>
      <c r="I1173" s="17"/>
      <c r="J1173" s="83"/>
      <c r="K1173" s="343"/>
      <c r="L1173" s="347"/>
      <c r="M1173" s="89">
        <f>2+M1171</f>
        <v>3</v>
      </c>
      <c r="N1173" s="10" t="s">
        <v>176</v>
      </c>
      <c r="O1173" s="22">
        <v>393.75</v>
      </c>
      <c r="P1173" s="14" t="s">
        <v>369</v>
      </c>
      <c r="Q1173" s="22" t="str">
        <f>IF(AND(O1173&lt;&gt;"",P1173=Enginuity!$A$19),
   IF(Enginuity!$B$6&gt;4,Enginuity!$B$13,1),
"")</f>
        <v/>
      </c>
      <c r="U1173" s="104" t="str">
        <f>IF(
  AND(
    TRIM(A1173)=TRIM(Enginuity!$A$1),
    TRIM(B1173)=TRIM(Enginuity!$A$17),
    Q1173&lt;&gt;"",
    Q1173&lt;&gt;0,
    OR(
      TRIM(C1173)=TRIM(Enginuity!$A$18),
      AND(UPPER(TRIM(M1173))="STD", TRIM(B1173)=TRIM(Enginuity!$A$17))
    ),
    OR(
      AND(LEFT(P1173,5)="1-Way", Enginuity!$B$13=1),
      AND(LEFT(P1173,5)="2-Way", OR(Enginuity!$B$13=2, Enginuity!$B$13=4)),
      AND(LEFT(P1173,5)="3-Way", OR(Enginuity!$B$13=3, Enginuity!$B$13=6)),
      AND(P1173="Inner Centre Jamb", OR(Enginuity!$B$13=4, Enginuity!$B$13=6)),
      AND(
        LEFT(P1173,5)&lt;&gt;"1-Way",
        LEFT(P1173,5)&lt;&gt;"2-Way",
        LEFT(P1173,5)&lt;&gt;"3-Way",
        P1173&lt;&gt;"Inner Centre Jamb"
      )
    ),
    IF(OR(Enginuity!$A$1="Frameless Glass",Enginuity!$A$1="Metal Work"),
      AND(TRIM(B1173)=TRIM(Enginuity!$A$17),TRIM(C1173)=TRIM(Enginuity!$A$18)),
      TRIM(B1173)=TRIM(Enginuity!$A$17)
    )
  ),
  ROW(),
  ""
)</f>
        <v/>
      </c>
    </row>
    <row r="1174" spans="1:21" x14ac:dyDescent="0.25">
      <c r="A1174" s="10" t="s">
        <v>253</v>
      </c>
      <c r="B1174" s="229" t="s">
        <v>372</v>
      </c>
      <c r="C1174" s="10" t="s">
        <v>403</v>
      </c>
      <c r="D1174" s="14" t="str">
        <f t="shared" si="18"/>
        <v>Below 30" x 84" Aerolite</v>
      </c>
      <c r="E1174" s="157" t="s">
        <v>378</v>
      </c>
      <c r="F1174" s="14"/>
      <c r="G1174" s="17"/>
      <c r="H1174" s="10"/>
      <c r="I1174" s="17"/>
      <c r="J1174" s="83"/>
      <c r="K1174" s="343"/>
      <c r="L1174" s="347"/>
      <c r="M1174" s="89">
        <f t="shared" ref="M1174:M1196" si="19">2+M1172</f>
        <v>4</v>
      </c>
      <c r="N1174" s="10" t="s">
        <v>176</v>
      </c>
      <c r="O1174" s="22">
        <v>414.75</v>
      </c>
      <c r="P1174" s="14" t="s">
        <v>370</v>
      </c>
      <c r="Q1174" s="22" t="str">
        <f>IF(AND(O1174&lt;&gt;"",P1174=Enginuity!$A$19),
   IF(Enginuity!$B$6&gt;4,Enginuity!$B$13,1),
"")</f>
        <v/>
      </c>
      <c r="U1174" s="104" t="str">
        <f>IF(
  AND(
    TRIM(A1174)=TRIM(Enginuity!$A$1),
    TRIM(B1174)=TRIM(Enginuity!$A$17),
    Q1174&lt;&gt;"",
    Q1174&lt;&gt;0,
    OR(
      TRIM(C1174)=TRIM(Enginuity!$A$18),
      AND(UPPER(TRIM(M1174))="STD", TRIM(B1174)=TRIM(Enginuity!$A$17))
    ),
    OR(
      AND(LEFT(P1174,5)="1-Way", Enginuity!$B$13=1),
      AND(LEFT(P1174,5)="2-Way", OR(Enginuity!$B$13=2, Enginuity!$B$13=4)),
      AND(LEFT(P1174,5)="3-Way", OR(Enginuity!$B$13=3, Enginuity!$B$13=6)),
      AND(P1174="Inner Centre Jamb", OR(Enginuity!$B$13=4, Enginuity!$B$13=6)),
      AND(
        LEFT(P1174,5)&lt;&gt;"1-Way",
        LEFT(P1174,5)&lt;&gt;"2-Way",
        LEFT(P1174,5)&lt;&gt;"3-Way",
        P1174&lt;&gt;"Inner Centre Jamb"
      )
    ),
    IF(OR(Enginuity!$A$1="Frameless Glass",Enginuity!$A$1="Metal Work"),
      AND(TRIM(B1174)=TRIM(Enginuity!$A$17),TRIM(C1174)=TRIM(Enginuity!$A$18)),
      TRIM(B1174)=TRIM(Enginuity!$A$17)
    )
  ),
  ROW(),
  ""
)</f>
        <v/>
      </c>
    </row>
    <row r="1175" spans="1:21" x14ac:dyDescent="0.25">
      <c r="A1175" s="10" t="s">
        <v>253</v>
      </c>
      <c r="B1175" s="229" t="s">
        <v>372</v>
      </c>
      <c r="C1175" s="10" t="s">
        <v>403</v>
      </c>
      <c r="D1175" s="14" t="str">
        <f t="shared" si="18"/>
        <v>1. Below 30" x 84" Composite</v>
      </c>
      <c r="E1175" s="157" t="s">
        <v>379</v>
      </c>
      <c r="F1175" s="14"/>
      <c r="G1175" s="17"/>
      <c r="H1175" s="10"/>
      <c r="I1175" s="17"/>
      <c r="J1175" s="83"/>
      <c r="K1175" s="343"/>
      <c r="L1175" s="347"/>
      <c r="M1175" s="89">
        <f t="shared" si="19"/>
        <v>5</v>
      </c>
      <c r="N1175" s="10" t="s">
        <v>176</v>
      </c>
      <c r="O1175" s="22">
        <v>341.25</v>
      </c>
      <c r="P1175" s="14" t="s">
        <v>374</v>
      </c>
      <c r="Q1175" s="22" t="str">
        <f>IF(AND(O1175&lt;&gt;"",P1175=Enginuity!$A$19),
   IF(Enginuity!$B$6&gt;4,Enginuity!$B$13,1),
"")</f>
        <v/>
      </c>
      <c r="U1175" s="104" t="str">
        <f>IF(
  AND(
    TRIM(A1175)=TRIM(Enginuity!$A$1),
    TRIM(B1175)=TRIM(Enginuity!$A$17),
    Q1175&lt;&gt;"",
    Q1175&lt;&gt;0,
    OR(
      TRIM(C1175)=TRIM(Enginuity!$A$18),
      AND(UPPER(TRIM(M1175))="STD", TRIM(B1175)=TRIM(Enginuity!$A$17))
    ),
    OR(
      AND(LEFT(P1175,5)="1-Way", Enginuity!$B$13=1),
      AND(LEFT(P1175,5)="2-Way", OR(Enginuity!$B$13=2, Enginuity!$B$13=4)),
      AND(LEFT(P1175,5)="3-Way", OR(Enginuity!$B$13=3, Enginuity!$B$13=6)),
      AND(P1175="Inner Centre Jamb", OR(Enginuity!$B$13=4, Enginuity!$B$13=6)),
      AND(
        LEFT(P1175,5)&lt;&gt;"1-Way",
        LEFT(P1175,5)&lt;&gt;"2-Way",
        LEFT(P1175,5)&lt;&gt;"3-Way",
        P1175&lt;&gt;"Inner Centre Jamb"
      )
    ),
    IF(OR(Enginuity!$A$1="Frameless Glass",Enginuity!$A$1="Metal Work"),
      AND(TRIM(B1175)=TRIM(Enginuity!$A$17),TRIM(C1175)=TRIM(Enginuity!$A$18)),
      TRIM(B1175)=TRIM(Enginuity!$A$17)
    )
  ),
  ROW(),
  ""
)</f>
        <v/>
      </c>
    </row>
    <row r="1176" spans="1:21" x14ac:dyDescent="0.25">
      <c r="A1176" s="10" t="s">
        <v>253</v>
      </c>
      <c r="B1176" s="229" t="s">
        <v>372</v>
      </c>
      <c r="C1176" s="10" t="s">
        <v>403</v>
      </c>
      <c r="D1176" s="14" t="str">
        <f t="shared" si="18"/>
        <v xml:space="preserve">Below 30" x 84" N.Glass + Lamina Film / N.Dark Grey </v>
      </c>
      <c r="E1176" s="157"/>
      <c r="F1176" s="14"/>
      <c r="G1176" s="17"/>
      <c r="H1176" s="10"/>
      <c r="I1176" s="17"/>
      <c r="J1176" s="83"/>
      <c r="K1176" s="343"/>
      <c r="L1176" s="347"/>
      <c r="M1176" s="89">
        <f t="shared" si="19"/>
        <v>6</v>
      </c>
      <c r="N1176" s="10" t="s">
        <v>176</v>
      </c>
      <c r="O1176" s="22">
        <v>372.75</v>
      </c>
      <c r="P1176" s="14" t="s">
        <v>937</v>
      </c>
      <c r="Q1176" s="22" t="str">
        <f>IF(AND(O1176&lt;&gt;"",P1176=Enginuity!$A$19),
   IF(Enginuity!$B$6&gt;4,Enginuity!$B$13,1),
"")</f>
        <v/>
      </c>
      <c r="U1176" s="104" t="str">
        <f>IF(
  AND(
    TRIM(A1176)=TRIM(Enginuity!$A$1),
    TRIM(B1176)=TRIM(Enginuity!$A$17),
    Q1176&lt;&gt;"",
    Q1176&lt;&gt;0,
    OR(
      TRIM(C1176)=TRIM(Enginuity!$A$18),
      AND(UPPER(TRIM(M1176))="STD", TRIM(B1176)=TRIM(Enginuity!$A$17))
    ),
    OR(
      AND(LEFT(P1176,5)="1-Way", Enginuity!$B$13=1),
      AND(LEFT(P1176,5)="2-Way", OR(Enginuity!$B$13=2, Enginuity!$B$13=4)),
      AND(LEFT(P1176,5)="3-Way", OR(Enginuity!$B$13=3, Enginuity!$B$13=6)),
      AND(P1176="Inner Centre Jamb", OR(Enginuity!$B$13=4, Enginuity!$B$13=6)),
      AND(
        LEFT(P1176,5)&lt;&gt;"1-Way",
        LEFT(P1176,5)&lt;&gt;"2-Way",
        LEFT(P1176,5)&lt;&gt;"3-Way",
        P1176&lt;&gt;"Inner Centre Jamb"
      )
    ),
    IF(OR(Enginuity!$A$1="Frameless Glass",Enginuity!$A$1="Metal Work"),
      AND(TRIM(B1176)=TRIM(Enginuity!$A$17),TRIM(C1176)=TRIM(Enginuity!$A$18)),
      TRIM(B1176)=TRIM(Enginuity!$A$17)
    )
  ),
  ROW(),
  ""
)</f>
        <v/>
      </c>
    </row>
    <row r="1177" spans="1:21" x14ac:dyDescent="0.25">
      <c r="A1177" s="10" t="s">
        <v>253</v>
      </c>
      <c r="B1177" s="229" t="s">
        <v>372</v>
      </c>
      <c r="C1177" s="10" t="s">
        <v>403</v>
      </c>
      <c r="D1177" s="14" t="str">
        <f t="shared" si="18"/>
        <v>Below 30" x 84" N.Clear Glass</v>
      </c>
      <c r="E1177" s="157"/>
      <c r="F1177" s="14"/>
      <c r="G1177" s="17"/>
      <c r="H1177" s="10"/>
      <c r="I1177" s="17"/>
      <c r="J1177" s="83"/>
      <c r="K1177" s="343"/>
      <c r="L1177" s="347"/>
      <c r="M1177" s="89">
        <f t="shared" si="19"/>
        <v>7</v>
      </c>
      <c r="N1177" s="10" t="s">
        <v>176</v>
      </c>
      <c r="O1177" s="22">
        <v>362.25</v>
      </c>
      <c r="P1177" s="14" t="s">
        <v>938</v>
      </c>
      <c r="Q1177" s="22" t="str">
        <f>IF(AND(O1177&lt;&gt;"",P1177=Enginuity!$A$19),
   IF(Enginuity!$B$6&gt;4,Enginuity!$B$13,1),
"")</f>
        <v/>
      </c>
      <c r="U1177" s="104" t="str">
        <f>IF(
  AND(
    TRIM(A1177)=TRIM(Enginuity!$A$1),
    TRIM(B1177)=TRIM(Enginuity!$A$17),
    Q1177&lt;&gt;"",
    Q1177&lt;&gt;0,
    OR(
      TRIM(C1177)=TRIM(Enginuity!$A$18),
      AND(UPPER(TRIM(M1177))="STD", TRIM(B1177)=TRIM(Enginuity!$A$17))
    ),
    OR(
      AND(LEFT(P1177,5)="1-Way", Enginuity!$B$13=1),
      AND(LEFT(P1177,5)="2-Way", OR(Enginuity!$B$13=2, Enginuity!$B$13=4)),
      AND(LEFT(P1177,5)="3-Way", OR(Enginuity!$B$13=3, Enginuity!$B$13=6)),
      AND(P1177="Inner Centre Jamb", OR(Enginuity!$B$13=4, Enginuity!$B$13=6)),
      AND(
        LEFT(P1177,5)&lt;&gt;"1-Way",
        LEFT(P1177,5)&lt;&gt;"2-Way",
        LEFT(P1177,5)&lt;&gt;"3-Way",
        P1177&lt;&gt;"Inner Centre Jamb"
      )
    ),
    IF(OR(Enginuity!$A$1="Frameless Glass",Enginuity!$A$1="Metal Work"),
      AND(TRIM(B1177)=TRIM(Enginuity!$A$17),TRIM(C1177)=TRIM(Enginuity!$A$18)),
      TRIM(B1177)=TRIM(Enginuity!$A$17)
    )
  ),
  ROW(),
  ""
)</f>
        <v/>
      </c>
    </row>
    <row r="1178" spans="1:21" x14ac:dyDescent="0.25">
      <c r="A1178" s="10" t="s">
        <v>253</v>
      </c>
      <c r="B1178" s="229" t="s">
        <v>372</v>
      </c>
      <c r="C1178" s="10" t="s">
        <v>403</v>
      </c>
      <c r="D1178" s="14" t="str">
        <f t="shared" si="18"/>
        <v>Below 30" x 84" Tempered Glass</v>
      </c>
      <c r="E1178" s="157"/>
      <c r="F1178" s="14"/>
      <c r="G1178" s="17"/>
      <c r="H1178" s="10"/>
      <c r="I1178" s="17"/>
      <c r="J1178" s="83"/>
      <c r="K1178" s="343"/>
      <c r="L1178" s="347"/>
      <c r="M1178" s="89">
        <f t="shared" si="19"/>
        <v>8</v>
      </c>
      <c r="N1178" s="10" t="s">
        <v>176</v>
      </c>
      <c r="O1178" s="22">
        <v>456.75</v>
      </c>
      <c r="P1178" s="14" t="s">
        <v>939</v>
      </c>
      <c r="Q1178" s="22" t="str">
        <f>IF(AND(O1178&lt;&gt;"",P1178=Enginuity!$A$19),
   IF(Enginuity!$B$6&gt;4,Enginuity!$B$13,1),
"")</f>
        <v/>
      </c>
      <c r="U1178" s="104" t="str">
        <f>IF(
  AND(
    TRIM(A1178)=TRIM(Enginuity!$A$1),
    TRIM(B1178)=TRIM(Enginuity!$A$17),
    Q1178&lt;&gt;"",
    Q1178&lt;&gt;0,
    OR(
      TRIM(C1178)=TRIM(Enginuity!$A$18),
      AND(UPPER(TRIM(M1178))="STD", TRIM(B1178)=TRIM(Enginuity!$A$17))
    ),
    OR(
      AND(LEFT(P1178,5)="1-Way", Enginuity!$B$13=1),
      AND(LEFT(P1178,5)="2-Way", OR(Enginuity!$B$13=2, Enginuity!$B$13=4)),
      AND(LEFT(P1178,5)="3-Way", OR(Enginuity!$B$13=3, Enginuity!$B$13=6)),
      AND(P1178="Inner Centre Jamb", OR(Enginuity!$B$13=4, Enginuity!$B$13=6)),
      AND(
        LEFT(P1178,5)&lt;&gt;"1-Way",
        LEFT(P1178,5)&lt;&gt;"2-Way",
        LEFT(P1178,5)&lt;&gt;"3-Way",
        P1178&lt;&gt;"Inner Centre Jamb"
      )
    ),
    IF(OR(Enginuity!$A$1="Frameless Glass",Enginuity!$A$1="Metal Work"),
      AND(TRIM(B1178)=TRIM(Enginuity!$A$17),TRIM(C1178)=TRIM(Enginuity!$A$18)),
      TRIM(B1178)=TRIM(Enginuity!$A$17)
    )
  ),
  ROW(),
  ""
)</f>
        <v/>
      </c>
    </row>
    <row r="1179" spans="1:21" x14ac:dyDescent="0.25">
      <c r="A1179" s="10" t="s">
        <v>253</v>
      </c>
      <c r="B1179" s="229" t="s">
        <v>372</v>
      </c>
      <c r="C1179" s="10" t="s">
        <v>403</v>
      </c>
      <c r="D1179" s="14" t="str">
        <f t="shared" si="18"/>
        <v>Below 30" x 84" Full Louvers</v>
      </c>
      <c r="E1179" s="157"/>
      <c r="F1179" s="14"/>
      <c r="G1179" s="17"/>
      <c r="H1179" s="10"/>
      <c r="I1179" s="17"/>
      <c r="J1179" s="83"/>
      <c r="K1179" s="343"/>
      <c r="L1179" s="347"/>
      <c r="M1179" s="89">
        <f t="shared" si="19"/>
        <v>9</v>
      </c>
      <c r="N1179" s="10" t="s">
        <v>176</v>
      </c>
      <c r="O1179" s="22">
        <v>677.25</v>
      </c>
      <c r="P1179" s="14" t="s">
        <v>371</v>
      </c>
      <c r="Q1179" s="22" t="str">
        <f>IF(AND(O1179&lt;&gt;"",P1179=Enginuity!$A$19),
   IF(Enginuity!$B$6&gt;4,Enginuity!$B$13,1),
"")</f>
        <v/>
      </c>
      <c r="U1179" s="104" t="str">
        <f>IF(
  AND(
    TRIM(A1179)=TRIM(Enginuity!$A$1),
    TRIM(B1179)=TRIM(Enginuity!$A$17),
    Q1179&lt;&gt;"",
    Q1179&lt;&gt;0,
    OR(
      TRIM(C1179)=TRIM(Enginuity!$A$18),
      AND(UPPER(TRIM(M1179))="STD", TRIM(B1179)=TRIM(Enginuity!$A$17))
    ),
    OR(
      AND(LEFT(P1179,5)="1-Way", Enginuity!$B$13=1),
      AND(LEFT(P1179,5)="2-Way", OR(Enginuity!$B$13=2, Enginuity!$B$13=4)),
      AND(LEFT(P1179,5)="3-Way", OR(Enginuity!$B$13=3, Enginuity!$B$13=6)),
      AND(P1179="Inner Centre Jamb", OR(Enginuity!$B$13=4, Enginuity!$B$13=6)),
      AND(
        LEFT(P1179,5)&lt;&gt;"1-Way",
        LEFT(P1179,5)&lt;&gt;"2-Way",
        LEFT(P1179,5)&lt;&gt;"3-Way",
        P1179&lt;&gt;"Inner Centre Jamb"
      )
    ),
    IF(OR(Enginuity!$A$1="Frameless Glass",Enginuity!$A$1="Metal Work"),
      AND(TRIM(B1179)=TRIM(Enginuity!$A$17),TRIM(C1179)=TRIM(Enginuity!$A$18)),
      TRIM(B1179)=TRIM(Enginuity!$A$17)
    )
  ),
  ROW(),
  ""
)</f>
        <v/>
      </c>
    </row>
    <row r="1180" spans="1:21" x14ac:dyDescent="0.25">
      <c r="A1180" s="10" t="s">
        <v>253</v>
      </c>
      <c r="B1180" s="229" t="s">
        <v>372</v>
      </c>
      <c r="C1180" s="10" t="s">
        <v>403</v>
      </c>
      <c r="D1180" s="108"/>
      <c r="E1180" s="157"/>
      <c r="F1180" s="14"/>
      <c r="G1180" s="17"/>
      <c r="H1180" s="10"/>
      <c r="I1180" s="17"/>
      <c r="J1180" s="83"/>
      <c r="K1180" s="344"/>
      <c r="L1180" s="347"/>
      <c r="M1180" s="89">
        <v>10</v>
      </c>
      <c r="N1180" s="10" t="s">
        <v>121</v>
      </c>
      <c r="O1180" s="22">
        <f>IF(ISNUMBER(SEARCH("Louvers",Enginuity!$A$19)),AllMaterialsbak!$B$11,AllMaterialsbak!$B$10)</f>
        <v>26.25</v>
      </c>
      <c r="P1180" s="108" t="str">
        <f>$A$10</f>
        <v>Additional Size Complete Set</v>
      </c>
      <c r="Q11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38</v>
      </c>
      <c r="U1180" s="104" t="str">
        <f>IF(
  AND(
    TRIM(A1180)=TRIM(Enginuity!$A$1),
    TRIM(B1180)=TRIM(Enginuity!$A$17),
    Q1180&lt;&gt;"",
    Q1180&lt;&gt;0,
    OR(
      TRIM(C1180)=TRIM(Enginuity!$A$18),
      AND(UPPER(TRIM(M1180))="STD", TRIM(B1180)=TRIM(Enginuity!$A$17))
    ),
    OR(
      AND(LEFT(P1180,5)="1-Way", Enginuity!$B$13=1),
      AND(LEFT(P1180,5)="2-Way", OR(Enginuity!$B$13=2, Enginuity!$B$13=4)),
      AND(LEFT(P1180,5)="3-Way", OR(Enginuity!$B$13=3, Enginuity!$B$13=6)),
      AND(P1180="Inner Centre Jamb", OR(Enginuity!$B$13=4, Enginuity!$B$13=6)),
      AND(
        LEFT(P1180,5)&lt;&gt;"1-Way",
        LEFT(P1180,5)&lt;&gt;"2-Way",
        LEFT(P1180,5)&lt;&gt;"3-Way",
        P1180&lt;&gt;"Inner Centre Jamb"
      )
    ),
    IF(OR(Enginuity!$A$1="Frameless Glass",Enginuity!$A$1="Metal Work"),
      AND(TRIM(B1180)=TRIM(Enginuity!$A$17),TRIM(C1180)=TRIM(Enginuity!$A$18)),
      TRIM(B1180)=TRIM(Enginuity!$A$17)
    )
  ),
  ROW(),
  ""
)</f>
        <v/>
      </c>
    </row>
    <row r="1181" spans="1:21" x14ac:dyDescent="0.25">
      <c r="A1181" s="10" t="s">
        <v>253</v>
      </c>
      <c r="B1181" s="229" t="s">
        <v>372</v>
      </c>
      <c r="C1181" s="10" t="s">
        <v>403</v>
      </c>
      <c r="D1181" s="14"/>
      <c r="E1181" s="157"/>
      <c r="F1181" s="14"/>
      <c r="G1181" s="17"/>
      <c r="H1181" s="10"/>
      <c r="I1181" s="17"/>
      <c r="J1181" s="83"/>
      <c r="K1181" s="344"/>
      <c r="L1181" s="347"/>
      <c r="M1181" s="89"/>
      <c r="N1181" s="10" t="s">
        <v>121</v>
      </c>
      <c r="O1181" s="22">
        <f>IF(Q1181&lt;&gt;"", $B$19, "")</f>
        <v>29.93</v>
      </c>
      <c r="P1181" s="106" t="s">
        <v>380</v>
      </c>
      <c r="Q1181" s="22">
        <f>IF(Enginuity!$B$7&gt;8,MAX((Enginuity!$B$7-8)*Enginuity!$B$6,3),"")</f>
        <v>100</v>
      </c>
      <c r="U1181" s="104" t="str">
        <f>IF(
  AND(
    TRIM(A1181)=TRIM(Enginuity!$A$1),
    TRIM(B1181)=TRIM(Enginuity!$A$17),
    Q1181&lt;&gt;"",
    Q1181&lt;&gt;0,
    OR(
      TRIM(C1181)=TRIM(Enginuity!$A$18),
      AND(UPPER(TRIM(M1181))="STD", TRIM(B1181)=TRIM(Enginuity!$A$17))
    ),
    OR(
      AND(LEFT(P1181,5)="1-Way", Enginuity!$B$13=1),
      AND(LEFT(P1181,5)="2-Way", OR(Enginuity!$B$13=2, Enginuity!$B$13=4)),
      AND(LEFT(P1181,5)="3-Way", OR(Enginuity!$B$13=3, Enginuity!$B$13=6)),
      AND(P1181="Inner Centre Jamb", OR(Enginuity!$B$13=4, Enginuity!$B$13=6)),
      AND(
        LEFT(P1181,5)&lt;&gt;"1-Way",
        LEFT(P1181,5)&lt;&gt;"2-Way",
        LEFT(P1181,5)&lt;&gt;"3-Way",
        P1181&lt;&gt;"Inner Centre Jamb"
      )
    ),
    IF(OR(Enginuity!$A$1="Frameless Glass",Enginuity!$A$1="Metal Work"),
      AND(TRIM(B1181)=TRIM(Enginuity!$A$17),TRIM(C1181)=TRIM(Enginuity!$A$18)),
      TRIM(B1181)=TRIM(Enginuity!$A$17)
    )
  ),
  ROW(),
  ""
)</f>
        <v/>
      </c>
    </row>
    <row r="1182" spans="1:21" x14ac:dyDescent="0.25">
      <c r="A1182" s="10" t="s">
        <v>253</v>
      </c>
      <c r="B1182" s="229" t="s">
        <v>372</v>
      </c>
      <c r="C1182" s="10" t="s">
        <v>403</v>
      </c>
      <c r="D1182" s="14"/>
      <c r="E1182" s="157"/>
      <c r="F1182" s="14"/>
      <c r="G1182" s="17"/>
      <c r="H1182" s="10"/>
      <c r="I1182" s="17"/>
      <c r="J1182" s="83"/>
      <c r="K1182" s="343"/>
      <c r="L1182" s="347"/>
      <c r="M1182" s="89"/>
      <c r="N1182" s="10" t="s">
        <v>176</v>
      </c>
      <c r="O1182" s="22">
        <f>$B$20</f>
        <v>65</v>
      </c>
      <c r="P1182" s="106" t="s">
        <v>389</v>
      </c>
      <c r="Q1182" s="22" t="str">
        <f>IF(AND(Enginuity!$A$21="Supply &amp; Install",Enginuity!$B$7&gt;8),1,"")</f>
        <v/>
      </c>
      <c r="U1182" s="104" t="str">
        <f>IF(
  AND(
    TRIM(A1182)=TRIM(Enginuity!$A$1),
    TRIM(B1182)=TRIM(Enginuity!$A$17),
    Q1182&lt;&gt;"",
    Q1182&lt;&gt;0,
    OR(
      TRIM(C1182)=TRIM(Enginuity!$A$18),
      AND(UPPER(TRIM(M1182))="STD", TRIM(B1182)=TRIM(Enginuity!$A$17))
    ),
    OR(
      AND(LEFT(P1182,5)="1-Way", Enginuity!$B$13=1),
      AND(LEFT(P1182,5)="2-Way", OR(Enginuity!$B$13=2, Enginuity!$B$13=4)),
      AND(LEFT(P1182,5)="3-Way", OR(Enginuity!$B$13=3, Enginuity!$B$13=6)),
      AND(P1182="Inner Centre Jamb", OR(Enginuity!$B$13=4, Enginuity!$B$13=6)),
      AND(
        LEFT(P1182,5)&lt;&gt;"1-Way",
        LEFT(P1182,5)&lt;&gt;"2-Way",
        LEFT(P1182,5)&lt;&gt;"3-Way",
        P1182&lt;&gt;"Inner Centre Jamb"
      )
    ),
    IF(OR(Enginuity!$A$1="Frameless Glass",Enginuity!$A$1="Metal Work"),
      AND(TRIM(B1182)=TRIM(Enginuity!$A$17),TRIM(C1182)=TRIM(Enginuity!$A$18)),
      TRIM(B1182)=TRIM(Enginuity!$A$17)
    )
  ),
  ROW(),
  ""
)</f>
        <v/>
      </c>
    </row>
    <row r="1183" spans="1:21" x14ac:dyDescent="0.25">
      <c r="A1183" s="10" t="s">
        <v>253</v>
      </c>
      <c r="B1183" s="229" t="s">
        <v>372</v>
      </c>
      <c r="C1183" s="10" t="s">
        <v>403</v>
      </c>
      <c r="D1183" s="14"/>
      <c r="E1183" s="157"/>
      <c r="F1183" s="14"/>
      <c r="G1183" s="17"/>
      <c r="H1183" s="10"/>
      <c r="I1183" s="17"/>
      <c r="J1183" s="83"/>
      <c r="K1183" s="343"/>
      <c r="L1183" s="347"/>
      <c r="M1183" s="89"/>
      <c r="N1183" s="10" t="s">
        <v>176</v>
      </c>
      <c r="O1183" s="22">
        <f>IF(Enginuity!$B$13&gt;1, $B$18, "")</f>
        <v>30</v>
      </c>
      <c r="P1183" s="14" t="s">
        <v>388</v>
      </c>
      <c r="Q1183" s="22">
        <f>IF(AND(O1183&lt;&gt;"",Enginuity!$B$6&gt;4),Enginuity!$B$13,"")</f>
        <v>7</v>
      </c>
      <c r="U1183" s="104" t="str">
        <f>IF(
  AND(
    TRIM(A1183)=TRIM(Enginuity!$A$1),
    TRIM(B1183)=TRIM(Enginuity!$A$17),
    Q1183&lt;&gt;"",
    Q1183&lt;&gt;0,
    OR(
      TRIM(C1183)=TRIM(Enginuity!$A$18),
      AND(UPPER(TRIM(M1183))="STD", TRIM(B1183)=TRIM(Enginuity!$A$17))
    ),
    OR(
      AND(LEFT(P1183,5)="1-Way", Enginuity!$B$13=1),
      AND(LEFT(P1183,5)="2-Way", OR(Enginuity!$B$13=2, Enginuity!$B$13=4)),
      AND(LEFT(P1183,5)="3-Way", OR(Enginuity!$B$13=3, Enginuity!$B$13=6)),
      AND(P1183="Inner Centre Jamb", OR(Enginuity!$B$13=4, Enginuity!$B$13=6)),
      AND(
        LEFT(P1183,5)&lt;&gt;"1-Way",
        LEFT(P1183,5)&lt;&gt;"2-Way",
        LEFT(P1183,5)&lt;&gt;"3-Way",
        P1183&lt;&gt;"Inner Centre Jamb"
      )
    ),
    IF(OR(Enginuity!$A$1="Frameless Glass",Enginuity!$A$1="Metal Work"),
      AND(TRIM(B1183)=TRIM(Enginuity!$A$17),TRIM(C1183)=TRIM(Enginuity!$A$18)),
      TRIM(B1183)=TRIM(Enginuity!$A$17)
    )
  ),
  ROW(),
  ""
)</f>
        <v/>
      </c>
    </row>
    <row r="1184" spans="1:21" x14ac:dyDescent="0.25">
      <c r="A1184" s="10" t="s">
        <v>253</v>
      </c>
      <c r="B1184" s="229" t="s">
        <v>372</v>
      </c>
      <c r="C1184" s="10" t="s">
        <v>403</v>
      </c>
      <c r="D1184" s="14"/>
      <c r="E1184" s="157"/>
      <c r="F1184" s="14"/>
      <c r="G1184" s="17"/>
      <c r="H1184" s="10"/>
      <c r="I1184" s="17"/>
      <c r="J1184" s="83"/>
      <c r="K1184" s="343"/>
      <c r="L1184" s="347"/>
      <c r="M1184" s="89"/>
      <c r="N1184" s="10" t="s">
        <v>121</v>
      </c>
      <c r="O11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84" s="106" t="str">
        <f>Enginuity!$A$20</f>
        <v>Z-Louvre Blade - 5"</v>
      </c>
      <c r="Q1184" s="22" t="str">
        <f>IF(O1184&lt;&gt;"",IF(Enginuity!$B$6&gt;4,Enginuity!$B$13,1),"")</f>
        <v/>
      </c>
      <c r="U1184" s="104" t="str">
        <f>IF(
  AND(
    TRIM(A1184)=TRIM(Enginuity!$A$1),
    TRIM(B1184)=TRIM(Enginuity!$A$17),
    Q1184&lt;&gt;"",
    Q1184&lt;&gt;0,
    OR(
      TRIM(C1184)=TRIM(Enginuity!$A$18),
      AND(UPPER(TRIM(M1184))="STD", TRIM(B1184)=TRIM(Enginuity!$A$17))
    ),
    OR(
      AND(LEFT(P1184,5)="1-Way", Enginuity!$B$13=1),
      AND(LEFT(P1184,5)="2-Way", OR(Enginuity!$B$13=2, Enginuity!$B$13=4)),
      AND(LEFT(P1184,5)="3-Way", OR(Enginuity!$B$13=3, Enginuity!$B$13=6)),
      AND(P1184="Inner Centre Jamb", OR(Enginuity!$B$13=4, Enginuity!$B$13=6)),
      AND(
        LEFT(P1184,5)&lt;&gt;"1-Way",
        LEFT(P1184,5)&lt;&gt;"2-Way",
        LEFT(P1184,5)&lt;&gt;"3-Way",
        P1184&lt;&gt;"Inner Centre Jamb"
      )
    ),
    IF(OR(Enginuity!$A$1="Frameless Glass",Enginuity!$A$1="Metal Work"),
      AND(TRIM(B1184)=TRIM(Enginuity!$A$17),TRIM(C1184)=TRIM(Enginuity!$A$18)),
      TRIM(B1184)=TRIM(Enginuity!$A$17)
    )
  ),
  ROW(),
  ""
)</f>
        <v/>
      </c>
    </row>
    <row r="1185" spans="1:21" x14ac:dyDescent="0.25">
      <c r="A1185" s="10" t="s">
        <v>253</v>
      </c>
      <c r="B1185" s="229" t="s">
        <v>372</v>
      </c>
      <c r="C1185" s="10" t="s">
        <v>403</v>
      </c>
      <c r="D1185" s="14"/>
      <c r="E1185" s="157"/>
      <c r="F1185" s="14"/>
      <c r="G1185" s="17"/>
      <c r="H1185" s="10"/>
      <c r="I1185" s="17"/>
      <c r="J1185" s="83"/>
      <c r="K1185" s="343"/>
      <c r="L1185" s="347"/>
      <c r="M1185" s="89"/>
      <c r="N1185" s="10" t="s">
        <v>176</v>
      </c>
      <c r="O1185" s="22" t="str">
        <f>IF(Enginuity!$A$21="Supply &amp; Install",65,
IF(Enginuity!$A$21="Supply &amp; Courier",20,
IF(Enginuity!$A$21="Self Collect",0,
"")))</f>
        <v/>
      </c>
      <c r="P1185" s="5" t="str">
        <f>Enginuity!$A$21</f>
        <v>SF 4"</v>
      </c>
      <c r="Q1185" s="22" t="str">
        <f>IF(O1185&lt;&gt;"",IF(Enginuity!$B$6&gt;4,Enginuity!$B$13,1),"")</f>
        <v/>
      </c>
      <c r="U1185" s="104" t="str">
        <f>IF(
  AND(
    TRIM(A1185)=TRIM(Enginuity!$A$1),
    TRIM(B1185)=TRIM(Enginuity!$A$17),
    Q1185&lt;&gt;"",
    Q1185&lt;&gt;0,
    OR(
      TRIM(C1185)=TRIM(Enginuity!$A$18),
      AND(UPPER(TRIM(M1185))="STD", TRIM(B1185)=TRIM(Enginuity!$A$17))
    ),
    OR(
      AND(LEFT(P1185,5)="1-Way", Enginuity!$B$13=1),
      AND(LEFT(P1185,5)="2-Way", OR(Enginuity!$B$13=2, Enginuity!$B$13=4)),
      AND(LEFT(P1185,5)="3-Way", OR(Enginuity!$B$13=3, Enginuity!$B$13=6)),
      AND(P1185="Inner Centre Jamb", OR(Enginuity!$B$13=4, Enginuity!$B$13=6)),
      AND(
        LEFT(P1185,5)&lt;&gt;"1-Way",
        LEFT(P1185,5)&lt;&gt;"2-Way",
        LEFT(P1185,5)&lt;&gt;"3-Way",
        P1185&lt;&gt;"Inner Centre Jamb"
      )
    ),
    IF(OR(Enginuity!$A$1="Frameless Glass",Enginuity!$A$1="Metal Work"),
      AND(TRIM(B1185)=TRIM(Enginuity!$A$17),TRIM(C1185)=TRIM(Enginuity!$A$18)),
      TRIM(B1185)=TRIM(Enginuity!$A$17)
    )
  ),
  ROW(),
  ""
)</f>
        <v/>
      </c>
    </row>
    <row r="1186" spans="1:21" x14ac:dyDescent="0.25">
      <c r="A1186" s="10" t="s">
        <v>253</v>
      </c>
      <c r="B1186" s="229" t="s">
        <v>372</v>
      </c>
      <c r="C1186" s="10" t="s">
        <v>403</v>
      </c>
      <c r="D1186" s="14"/>
      <c r="E1186" s="157"/>
      <c r="F1186" s="14"/>
      <c r="G1186" s="17"/>
      <c r="H1186" s="10"/>
      <c r="I1186" s="17"/>
      <c r="J1186" s="83"/>
      <c r="K1186" s="343"/>
      <c r="L1186" s="347"/>
      <c r="M1186" s="89"/>
      <c r="N1186" s="10" t="s">
        <v>176</v>
      </c>
      <c r="O1186" s="22" t="str">
        <f>IF(Enginuity!$A$22="Double Lock", $B$17, "")</f>
        <v/>
      </c>
      <c r="P1186" s="106" t="str">
        <f>Enginuity!$A$22</f>
        <v>▼ [Lattice]</v>
      </c>
      <c r="Q1186" s="22" t="str">
        <f>IF(O1186&lt;&gt;"",IF(Enginuity!$B$6&gt;4,Enginuity!$B$13,1),"")</f>
        <v/>
      </c>
      <c r="U1186" s="104" t="str">
        <f>IF(
  AND(
    TRIM(A1186)=TRIM(Enginuity!$A$1),
    TRIM(B1186)=TRIM(Enginuity!$A$17),
    Q1186&lt;&gt;"",
    Q1186&lt;&gt;0,
    OR(
      TRIM(C1186)=TRIM(Enginuity!$A$18),
      AND(UPPER(TRIM(M1186))="STD", TRIM(B1186)=TRIM(Enginuity!$A$17))
    ),
    OR(
      AND(LEFT(P1186,5)="1-Way", Enginuity!$B$13=1),
      AND(LEFT(P1186,5)="2-Way", OR(Enginuity!$B$13=2, Enginuity!$B$13=4)),
      AND(LEFT(P1186,5)="3-Way", OR(Enginuity!$B$13=3, Enginuity!$B$13=6)),
      AND(P1186="Inner Centre Jamb", OR(Enginuity!$B$13=4, Enginuity!$B$13=6)),
      AND(
        LEFT(P1186,5)&lt;&gt;"1-Way",
        LEFT(P1186,5)&lt;&gt;"2-Way",
        LEFT(P1186,5)&lt;&gt;"3-Way",
        P1186&lt;&gt;"Inner Centre Jamb"
      )
    ),
    IF(OR(Enginuity!$A$1="Frameless Glass",Enginuity!$A$1="Metal Work"),
      AND(TRIM(B1186)=TRIM(Enginuity!$A$17),TRIM(C1186)=TRIM(Enginuity!$A$18)),
      TRIM(B1186)=TRIM(Enginuity!$A$17)
    )
  ),
  ROW(),
  ""
)</f>
        <v/>
      </c>
    </row>
    <row r="1187" spans="1:21" x14ac:dyDescent="0.25">
      <c r="A1187" s="17"/>
      <c r="B1187" s="230"/>
      <c r="C1187" s="17"/>
      <c r="D1187" s="18"/>
      <c r="E1187" s="238"/>
      <c r="F1187" s="18"/>
      <c r="G1187" s="17"/>
      <c r="H1187" s="17"/>
      <c r="I1187" s="17"/>
      <c r="J1187" s="84"/>
      <c r="K1187" s="343"/>
      <c r="L1187" s="347"/>
      <c r="M1187" s="90"/>
      <c r="N1187" s="17"/>
      <c r="O1187" s="25"/>
      <c r="P1187" s="18"/>
      <c r="Q1187" s="25"/>
      <c r="U1187" s="104" t="str">
        <f>IF(
  AND(
    TRIM(A1187)=TRIM(Enginuity!$A$1),
    TRIM(B1187)=TRIM(Enginuity!$A$17),
    Q1187&lt;&gt;"",
    Q1187&lt;&gt;0,
    OR(
      TRIM(C1187)=TRIM(Enginuity!$A$18),
      AND(UPPER(TRIM(M1187))="STD", TRIM(B1187)=TRIM(Enginuity!$A$17))
    ),
    OR(
      AND(LEFT(P1187,5)="1-Way", Enginuity!$B$13=1),
      AND(LEFT(P1187,5)="2-Way", OR(Enginuity!$B$13=2, Enginuity!$B$13=4)),
      AND(LEFT(P1187,5)="3-Way", OR(Enginuity!$B$13=3, Enginuity!$B$13=6)),
      AND(P1187="Inner Centre Jamb", OR(Enginuity!$B$13=4, Enginuity!$B$13=6)),
      AND(
        LEFT(P1187,5)&lt;&gt;"1-Way",
        LEFT(P1187,5)&lt;&gt;"2-Way",
        LEFT(P1187,5)&lt;&gt;"3-Way",
        P1187&lt;&gt;"Inner Centre Jamb"
      )
    ),
    IF(OR(Enginuity!$A$1="Frameless Glass",Enginuity!$A$1="Metal Work"),
      AND(TRIM(B1187)=TRIM(Enginuity!$A$17),TRIM(C1187)=TRIM(Enginuity!$A$18)),
      TRIM(B1187)=TRIM(Enginuity!$A$17)
    )
  ),
  ROW(),
  ""
)</f>
        <v/>
      </c>
    </row>
    <row r="1188" spans="1:21" x14ac:dyDescent="0.25">
      <c r="A1188" s="10" t="s">
        <v>253</v>
      </c>
      <c r="B1188" s="229" t="s">
        <v>372</v>
      </c>
      <c r="C1188" s="10" t="s">
        <v>404</v>
      </c>
      <c r="D1188" s="14" t="str">
        <f>P1188</f>
        <v>Below 30" x 84" ecobonz 2.5mm Glossy / VACP 800 Series</v>
      </c>
      <c r="E1188" s="248" t="s">
        <v>375</v>
      </c>
      <c r="F1188" s="113" t="s">
        <v>382</v>
      </c>
      <c r="G1188" s="17" t="s">
        <v>381</v>
      </c>
      <c r="H1188" s="10"/>
      <c r="I1188" s="17"/>
      <c r="J1188" s="83"/>
      <c r="K1188" s="344">
        <v>0.28156700000000001</v>
      </c>
      <c r="L1188" s="347">
        <v>762</v>
      </c>
      <c r="M1188" s="89">
        <f t="shared" si="19"/>
        <v>2</v>
      </c>
      <c r="N1188" s="10" t="s">
        <v>176</v>
      </c>
      <c r="O1188" s="22">
        <v>430.5</v>
      </c>
      <c r="P1188" s="14" t="s">
        <v>367</v>
      </c>
      <c r="Q1188" s="22" t="str">
        <f>IF(AND(O1188&lt;&gt;"",P1188=Enginuity!$A$19),
   IF(Enginuity!$B$6&gt;4,Enginuity!$B$13,1),
"")</f>
        <v/>
      </c>
      <c r="U1188" s="104" t="str">
        <f>IF(
  AND(
    TRIM(A1188)=TRIM(Enginuity!$A$1),
    TRIM(B1188)=TRIM(Enginuity!$A$17),
    Q1188&lt;&gt;"",
    Q1188&lt;&gt;0,
    OR(
      TRIM(C1188)=TRIM(Enginuity!$A$18),
      AND(UPPER(TRIM(M1188))="STD", TRIM(B1188)=TRIM(Enginuity!$A$17))
    ),
    OR(
      AND(LEFT(P1188,5)="1-Way", Enginuity!$B$13=1),
      AND(LEFT(P1188,5)="2-Way", OR(Enginuity!$B$13=2, Enginuity!$B$13=4)),
      AND(LEFT(P1188,5)="3-Way", OR(Enginuity!$B$13=3, Enginuity!$B$13=6)),
      AND(P1188="Inner Centre Jamb", OR(Enginuity!$B$13=4, Enginuity!$B$13=6)),
      AND(
        LEFT(P1188,5)&lt;&gt;"1-Way",
        LEFT(P1188,5)&lt;&gt;"2-Way",
        LEFT(P1188,5)&lt;&gt;"3-Way",
        P1188&lt;&gt;"Inner Centre Jamb"
      )
    ),
    IF(OR(Enginuity!$A$1="Frameless Glass",Enginuity!$A$1="Metal Work"),
      AND(TRIM(B1188)=TRIM(Enginuity!$A$17),TRIM(C1188)=TRIM(Enginuity!$A$18)),
      TRIM(B1188)=TRIM(Enginuity!$A$17)
    )
  ),
  ROW(),
  ""
)</f>
        <v/>
      </c>
    </row>
    <row r="1189" spans="1:21" x14ac:dyDescent="0.25">
      <c r="A1189" s="10" t="s">
        <v>253</v>
      </c>
      <c r="B1189" s="229" t="s">
        <v>372</v>
      </c>
      <c r="C1189" s="10" t="s">
        <v>404</v>
      </c>
      <c r="D1189" s="14" t="str">
        <f t="shared" ref="D1189:D1196" si="20">P1189</f>
        <v>Below 30" x 84" ecoscreen 2.5mm</v>
      </c>
      <c r="E1189" s="248" t="s">
        <v>376</v>
      </c>
      <c r="F1189" s="113" t="s">
        <v>383</v>
      </c>
      <c r="G1189" s="17"/>
      <c r="H1189" s="10"/>
      <c r="I1189" s="17"/>
      <c r="J1189" s="83"/>
      <c r="K1189" s="343"/>
      <c r="L1189" s="347"/>
      <c r="M1189" s="89">
        <f t="shared" si="19"/>
        <v>2</v>
      </c>
      <c r="N1189" s="10" t="s">
        <v>176</v>
      </c>
      <c r="O1189" s="22">
        <v>451.5</v>
      </c>
      <c r="P1189" s="14" t="s">
        <v>368</v>
      </c>
      <c r="Q1189" s="22" t="str">
        <f>IF(AND(O1189&lt;&gt;"",P1189=Enginuity!$A$19),
   IF(Enginuity!$B$6&gt;4,Enginuity!$B$13,1),
"")</f>
        <v/>
      </c>
      <c r="U1189" s="104" t="str">
        <f>IF(
  AND(
    TRIM(A1189)=TRIM(Enginuity!$A$1),
    TRIM(B1189)=TRIM(Enginuity!$A$17),
    Q1189&lt;&gt;"",
    Q1189&lt;&gt;0,
    OR(
      TRIM(C1189)=TRIM(Enginuity!$A$18),
      AND(UPPER(TRIM(M1189))="STD", TRIM(B1189)=TRIM(Enginuity!$A$17))
    ),
    OR(
      AND(LEFT(P1189,5)="1-Way", Enginuity!$B$13=1),
      AND(LEFT(P1189,5)="2-Way", OR(Enginuity!$B$13=2, Enginuity!$B$13=4)),
      AND(LEFT(P1189,5)="3-Way", OR(Enginuity!$B$13=3, Enginuity!$B$13=6)),
      AND(P1189="Inner Centre Jamb", OR(Enginuity!$B$13=4, Enginuity!$B$13=6)),
      AND(
        LEFT(P1189,5)&lt;&gt;"1-Way",
        LEFT(P1189,5)&lt;&gt;"2-Way",
        LEFT(P1189,5)&lt;&gt;"3-Way",
        P1189&lt;&gt;"Inner Centre Jamb"
      )
    ),
    IF(OR(Enginuity!$A$1="Frameless Glass",Enginuity!$A$1="Metal Work"),
      AND(TRIM(B1189)=TRIM(Enginuity!$A$17),TRIM(C1189)=TRIM(Enginuity!$A$18)),
      TRIM(B1189)=TRIM(Enginuity!$A$17)
    )
  ),
  ROW(),
  ""
)</f>
        <v/>
      </c>
    </row>
    <row r="1190" spans="1:21" x14ac:dyDescent="0.25">
      <c r="A1190" s="10" t="s">
        <v>253</v>
      </c>
      <c r="B1190" s="229" t="s">
        <v>372</v>
      </c>
      <c r="C1190" s="10" t="s">
        <v>404</v>
      </c>
      <c r="D1190" s="14" t="str">
        <f t="shared" si="20"/>
        <v>Below 30" x 84" ecopoly 2.5mm</v>
      </c>
      <c r="E1190" s="157" t="s">
        <v>377</v>
      </c>
      <c r="F1190" s="14" t="s">
        <v>384</v>
      </c>
      <c r="G1190" s="17"/>
      <c r="H1190" s="10"/>
      <c r="I1190" s="17"/>
      <c r="J1190" s="83"/>
      <c r="K1190" s="343"/>
      <c r="L1190" s="347"/>
      <c r="M1190" s="89">
        <f t="shared" si="19"/>
        <v>4</v>
      </c>
      <c r="N1190" s="10" t="s">
        <v>176</v>
      </c>
      <c r="O1190" s="22">
        <v>472.5</v>
      </c>
      <c r="P1190" s="14" t="s">
        <v>369</v>
      </c>
      <c r="Q1190" s="22" t="str">
        <f>IF(AND(O1190&lt;&gt;"",P1190=Enginuity!$A$19),
   IF(Enginuity!$B$6&gt;4,Enginuity!$B$13,1),
"")</f>
        <v/>
      </c>
      <c r="U1190" s="104" t="str">
        <f>IF(
  AND(
    TRIM(A1190)=TRIM(Enginuity!$A$1),
    TRIM(B1190)=TRIM(Enginuity!$A$17),
    Q1190&lt;&gt;"",
    Q1190&lt;&gt;0,
    OR(
      TRIM(C1190)=TRIM(Enginuity!$A$18),
      AND(UPPER(TRIM(M1190))="STD", TRIM(B1190)=TRIM(Enginuity!$A$17))
    ),
    OR(
      AND(LEFT(P1190,5)="1-Way", Enginuity!$B$13=1),
      AND(LEFT(P1190,5)="2-Way", OR(Enginuity!$B$13=2, Enginuity!$B$13=4)),
      AND(LEFT(P1190,5)="3-Way", OR(Enginuity!$B$13=3, Enginuity!$B$13=6)),
      AND(P1190="Inner Centre Jamb", OR(Enginuity!$B$13=4, Enginuity!$B$13=6)),
      AND(
        LEFT(P1190,5)&lt;&gt;"1-Way",
        LEFT(P1190,5)&lt;&gt;"2-Way",
        LEFT(P1190,5)&lt;&gt;"3-Way",
        P1190&lt;&gt;"Inner Centre Jamb"
      )
    ),
    IF(OR(Enginuity!$A$1="Frameless Glass",Enginuity!$A$1="Metal Work"),
      AND(TRIM(B1190)=TRIM(Enginuity!$A$17),TRIM(C1190)=TRIM(Enginuity!$A$18)),
      TRIM(B1190)=TRIM(Enginuity!$A$17)
    )
  ),
  ROW(),
  ""
)</f>
        <v/>
      </c>
    </row>
    <row r="1191" spans="1:21" x14ac:dyDescent="0.25">
      <c r="A1191" s="10" t="s">
        <v>253</v>
      </c>
      <c r="B1191" s="229" t="s">
        <v>372</v>
      </c>
      <c r="C1191" s="10" t="s">
        <v>404</v>
      </c>
      <c r="D1191" s="14" t="str">
        <f t="shared" si="20"/>
        <v>Below 30" x 84" Aerolite</v>
      </c>
      <c r="E1191" s="157" t="s">
        <v>378</v>
      </c>
      <c r="F1191" s="14"/>
      <c r="G1191" s="17"/>
      <c r="H1191" s="10"/>
      <c r="I1191" s="17"/>
      <c r="J1191" s="83"/>
      <c r="K1191" s="343"/>
      <c r="L1191" s="347"/>
      <c r="M1191" s="89">
        <f t="shared" si="19"/>
        <v>4</v>
      </c>
      <c r="N1191" s="10" t="s">
        <v>176</v>
      </c>
      <c r="O1191" s="22">
        <v>493.5</v>
      </c>
      <c r="P1191" s="14" t="s">
        <v>370</v>
      </c>
      <c r="Q1191" s="22" t="str">
        <f>IF(AND(O1191&lt;&gt;"",P1191=Enginuity!$A$19),
   IF(Enginuity!$B$6&gt;4,Enginuity!$B$13,1),
"")</f>
        <v/>
      </c>
      <c r="U1191" s="104" t="str">
        <f>IF(
  AND(
    TRIM(A1191)=TRIM(Enginuity!$A$1),
    TRIM(B1191)=TRIM(Enginuity!$A$17),
    Q1191&lt;&gt;"",
    Q1191&lt;&gt;0,
    OR(
      TRIM(C1191)=TRIM(Enginuity!$A$18),
      AND(UPPER(TRIM(M1191))="STD", TRIM(B1191)=TRIM(Enginuity!$A$17))
    ),
    OR(
      AND(LEFT(P1191,5)="1-Way", Enginuity!$B$13=1),
      AND(LEFT(P1191,5)="2-Way", OR(Enginuity!$B$13=2, Enginuity!$B$13=4)),
      AND(LEFT(P1191,5)="3-Way", OR(Enginuity!$B$13=3, Enginuity!$B$13=6)),
      AND(P1191="Inner Centre Jamb", OR(Enginuity!$B$13=4, Enginuity!$B$13=6)),
      AND(
        LEFT(P1191,5)&lt;&gt;"1-Way",
        LEFT(P1191,5)&lt;&gt;"2-Way",
        LEFT(P1191,5)&lt;&gt;"3-Way",
        P1191&lt;&gt;"Inner Centre Jamb"
      )
    ),
    IF(OR(Enginuity!$A$1="Frameless Glass",Enginuity!$A$1="Metal Work"),
      AND(TRIM(B1191)=TRIM(Enginuity!$A$17),TRIM(C1191)=TRIM(Enginuity!$A$18)),
      TRIM(B1191)=TRIM(Enginuity!$A$17)
    )
  ),
  ROW(),
  ""
)</f>
        <v/>
      </c>
    </row>
    <row r="1192" spans="1:21" x14ac:dyDescent="0.25">
      <c r="A1192" s="10" t="s">
        <v>253</v>
      </c>
      <c r="B1192" s="229" t="s">
        <v>372</v>
      </c>
      <c r="C1192" s="10" t="s">
        <v>404</v>
      </c>
      <c r="D1192" s="14" t="str">
        <f t="shared" si="20"/>
        <v>1. Below 30" x 84" Composite</v>
      </c>
      <c r="E1192" s="157" t="s">
        <v>379</v>
      </c>
      <c r="F1192" s="14"/>
      <c r="G1192" s="17"/>
      <c r="H1192" s="10"/>
      <c r="I1192" s="17"/>
      <c r="J1192" s="83"/>
      <c r="K1192" s="343"/>
      <c r="L1192" s="347"/>
      <c r="M1192" s="89">
        <f t="shared" si="19"/>
        <v>6</v>
      </c>
      <c r="N1192" s="10" t="s">
        <v>176</v>
      </c>
      <c r="O1192" s="22">
        <v>420</v>
      </c>
      <c r="P1192" s="14" t="s">
        <v>374</v>
      </c>
      <c r="Q1192" s="22" t="str">
        <f>IF(AND(O1192&lt;&gt;"",P1192=Enginuity!$A$19),
   IF(Enginuity!$B$6&gt;4,Enginuity!$B$13,1),
"")</f>
        <v/>
      </c>
      <c r="U1192" s="104" t="str">
        <f>IF(
  AND(
    TRIM(A1192)=TRIM(Enginuity!$A$1),
    TRIM(B1192)=TRIM(Enginuity!$A$17),
    Q1192&lt;&gt;"",
    Q1192&lt;&gt;0,
    OR(
      TRIM(C1192)=TRIM(Enginuity!$A$18),
      AND(UPPER(TRIM(M1192))="STD", TRIM(B1192)=TRIM(Enginuity!$A$17))
    ),
    OR(
      AND(LEFT(P1192,5)="1-Way", Enginuity!$B$13=1),
      AND(LEFT(P1192,5)="2-Way", OR(Enginuity!$B$13=2, Enginuity!$B$13=4)),
      AND(LEFT(P1192,5)="3-Way", OR(Enginuity!$B$13=3, Enginuity!$B$13=6)),
      AND(P1192="Inner Centre Jamb", OR(Enginuity!$B$13=4, Enginuity!$B$13=6)),
      AND(
        LEFT(P1192,5)&lt;&gt;"1-Way",
        LEFT(P1192,5)&lt;&gt;"2-Way",
        LEFT(P1192,5)&lt;&gt;"3-Way",
        P1192&lt;&gt;"Inner Centre Jamb"
      )
    ),
    IF(OR(Enginuity!$A$1="Frameless Glass",Enginuity!$A$1="Metal Work"),
      AND(TRIM(B1192)=TRIM(Enginuity!$A$17),TRIM(C1192)=TRIM(Enginuity!$A$18)),
      TRIM(B1192)=TRIM(Enginuity!$A$17)
    )
  ),
  ROW(),
  ""
)</f>
        <v/>
      </c>
    </row>
    <row r="1193" spans="1:21" x14ac:dyDescent="0.25">
      <c r="A1193" s="10" t="s">
        <v>253</v>
      </c>
      <c r="B1193" s="229" t="s">
        <v>372</v>
      </c>
      <c r="C1193" s="10" t="s">
        <v>404</v>
      </c>
      <c r="D1193" s="14" t="str">
        <f t="shared" si="20"/>
        <v xml:space="preserve">Below 30" x 84" N.Glass + Lamina Film / N.Dark Grey </v>
      </c>
      <c r="E1193" s="157"/>
      <c r="F1193" s="14"/>
      <c r="G1193" s="17"/>
      <c r="H1193" s="10"/>
      <c r="I1193" s="17"/>
      <c r="J1193" s="83"/>
      <c r="K1193" s="343"/>
      <c r="L1193" s="347"/>
      <c r="M1193" s="89">
        <f t="shared" si="19"/>
        <v>6</v>
      </c>
      <c r="N1193" s="10" t="s">
        <v>176</v>
      </c>
      <c r="O1193" s="22">
        <v>451.5</v>
      </c>
      <c r="P1193" s="14" t="s">
        <v>937</v>
      </c>
      <c r="Q1193" s="22" t="str">
        <f>IF(AND(O1193&lt;&gt;"",P1193=Enginuity!$A$19),
   IF(Enginuity!$B$6&gt;4,Enginuity!$B$13,1),
"")</f>
        <v/>
      </c>
      <c r="U1193" s="104" t="str">
        <f>IF(
  AND(
    TRIM(A1193)=TRIM(Enginuity!$A$1),
    TRIM(B1193)=TRIM(Enginuity!$A$17),
    Q1193&lt;&gt;"",
    Q1193&lt;&gt;0,
    OR(
      TRIM(C1193)=TRIM(Enginuity!$A$18),
      AND(UPPER(TRIM(M1193))="STD", TRIM(B1193)=TRIM(Enginuity!$A$17))
    ),
    OR(
      AND(LEFT(P1193,5)="1-Way", Enginuity!$B$13=1),
      AND(LEFT(P1193,5)="2-Way", OR(Enginuity!$B$13=2, Enginuity!$B$13=4)),
      AND(LEFT(P1193,5)="3-Way", OR(Enginuity!$B$13=3, Enginuity!$B$13=6)),
      AND(P1193="Inner Centre Jamb", OR(Enginuity!$B$13=4, Enginuity!$B$13=6)),
      AND(
        LEFT(P1193,5)&lt;&gt;"1-Way",
        LEFT(P1193,5)&lt;&gt;"2-Way",
        LEFT(P1193,5)&lt;&gt;"3-Way",
        P1193&lt;&gt;"Inner Centre Jamb"
      )
    ),
    IF(OR(Enginuity!$A$1="Frameless Glass",Enginuity!$A$1="Metal Work"),
      AND(TRIM(B1193)=TRIM(Enginuity!$A$17),TRIM(C1193)=TRIM(Enginuity!$A$18)),
      TRIM(B1193)=TRIM(Enginuity!$A$17)
    )
  ),
  ROW(),
  ""
)</f>
        <v/>
      </c>
    </row>
    <row r="1194" spans="1:21" x14ac:dyDescent="0.25">
      <c r="A1194" s="10" t="s">
        <v>253</v>
      </c>
      <c r="B1194" s="229" t="s">
        <v>372</v>
      </c>
      <c r="C1194" s="10" t="s">
        <v>404</v>
      </c>
      <c r="D1194" s="14" t="str">
        <f t="shared" si="20"/>
        <v>Below 30" x 84" N.Clear Glass</v>
      </c>
      <c r="E1194" s="157"/>
      <c r="F1194" s="14"/>
      <c r="G1194" s="17"/>
      <c r="H1194" s="10"/>
      <c r="I1194" s="17"/>
      <c r="J1194" s="83"/>
      <c r="K1194" s="343"/>
      <c r="L1194" s="347"/>
      <c r="M1194" s="89">
        <f t="shared" si="19"/>
        <v>8</v>
      </c>
      <c r="N1194" s="10" t="s">
        <v>176</v>
      </c>
      <c r="O1194" s="22">
        <v>441</v>
      </c>
      <c r="P1194" s="14" t="s">
        <v>938</v>
      </c>
      <c r="Q1194" s="22" t="str">
        <f>IF(AND(O1194&lt;&gt;"",P1194=Enginuity!$A$19),
   IF(Enginuity!$B$6&gt;4,Enginuity!$B$13,1),
"")</f>
        <v/>
      </c>
      <c r="U1194" s="104" t="str">
        <f>IF(
  AND(
    TRIM(A1194)=TRIM(Enginuity!$A$1),
    TRIM(B1194)=TRIM(Enginuity!$A$17),
    Q1194&lt;&gt;"",
    Q1194&lt;&gt;0,
    OR(
      TRIM(C1194)=TRIM(Enginuity!$A$18),
      AND(UPPER(TRIM(M1194))="STD", TRIM(B1194)=TRIM(Enginuity!$A$17))
    ),
    OR(
      AND(LEFT(P1194,5)="1-Way", Enginuity!$B$13=1),
      AND(LEFT(P1194,5)="2-Way", OR(Enginuity!$B$13=2, Enginuity!$B$13=4)),
      AND(LEFT(P1194,5)="3-Way", OR(Enginuity!$B$13=3, Enginuity!$B$13=6)),
      AND(P1194="Inner Centre Jamb", OR(Enginuity!$B$13=4, Enginuity!$B$13=6)),
      AND(
        LEFT(P1194,5)&lt;&gt;"1-Way",
        LEFT(P1194,5)&lt;&gt;"2-Way",
        LEFT(P1194,5)&lt;&gt;"3-Way",
        P1194&lt;&gt;"Inner Centre Jamb"
      )
    ),
    IF(OR(Enginuity!$A$1="Frameless Glass",Enginuity!$A$1="Metal Work"),
      AND(TRIM(B1194)=TRIM(Enginuity!$A$17),TRIM(C1194)=TRIM(Enginuity!$A$18)),
      TRIM(B1194)=TRIM(Enginuity!$A$17)
    )
  ),
  ROW(),
  ""
)</f>
        <v/>
      </c>
    </row>
    <row r="1195" spans="1:21" x14ac:dyDescent="0.25">
      <c r="A1195" s="10" t="s">
        <v>253</v>
      </c>
      <c r="B1195" s="229" t="s">
        <v>372</v>
      </c>
      <c r="C1195" s="10" t="s">
        <v>404</v>
      </c>
      <c r="D1195" s="14" t="str">
        <f t="shared" si="20"/>
        <v>Below 30" x 84" Tempered Glass</v>
      </c>
      <c r="E1195" s="157"/>
      <c r="F1195" s="14"/>
      <c r="G1195" s="17"/>
      <c r="H1195" s="10"/>
      <c r="I1195" s="17"/>
      <c r="J1195" s="83"/>
      <c r="K1195" s="343"/>
      <c r="L1195" s="347"/>
      <c r="M1195" s="89">
        <f t="shared" si="19"/>
        <v>8</v>
      </c>
      <c r="N1195" s="10" t="s">
        <v>176</v>
      </c>
      <c r="O1195" s="22">
        <v>535.5</v>
      </c>
      <c r="P1195" s="14" t="s">
        <v>939</v>
      </c>
      <c r="Q1195" s="22" t="str">
        <f>IF(AND(O1195&lt;&gt;"",P1195=Enginuity!$A$19),
   IF(Enginuity!$B$6&gt;4,Enginuity!$B$13,1),
"")</f>
        <v/>
      </c>
      <c r="U1195" s="104" t="str">
        <f>IF(
  AND(
    TRIM(A1195)=TRIM(Enginuity!$A$1),
    TRIM(B1195)=TRIM(Enginuity!$A$17),
    Q1195&lt;&gt;"",
    Q1195&lt;&gt;0,
    OR(
      TRIM(C1195)=TRIM(Enginuity!$A$18),
      AND(UPPER(TRIM(M1195))="STD", TRIM(B1195)=TRIM(Enginuity!$A$17))
    ),
    OR(
      AND(LEFT(P1195,5)="1-Way", Enginuity!$B$13=1),
      AND(LEFT(P1195,5)="2-Way", OR(Enginuity!$B$13=2, Enginuity!$B$13=4)),
      AND(LEFT(P1195,5)="3-Way", OR(Enginuity!$B$13=3, Enginuity!$B$13=6)),
      AND(P1195="Inner Centre Jamb", OR(Enginuity!$B$13=4, Enginuity!$B$13=6)),
      AND(
        LEFT(P1195,5)&lt;&gt;"1-Way",
        LEFT(P1195,5)&lt;&gt;"2-Way",
        LEFT(P1195,5)&lt;&gt;"3-Way",
        P1195&lt;&gt;"Inner Centre Jamb"
      )
    ),
    IF(OR(Enginuity!$A$1="Frameless Glass",Enginuity!$A$1="Metal Work"),
      AND(TRIM(B1195)=TRIM(Enginuity!$A$17),TRIM(C1195)=TRIM(Enginuity!$A$18)),
      TRIM(B1195)=TRIM(Enginuity!$A$17)
    )
  ),
  ROW(),
  ""
)</f>
        <v/>
      </c>
    </row>
    <row r="1196" spans="1:21" x14ac:dyDescent="0.25">
      <c r="A1196" s="10" t="s">
        <v>253</v>
      </c>
      <c r="B1196" s="229" t="s">
        <v>372</v>
      </c>
      <c r="C1196" s="10" t="s">
        <v>404</v>
      </c>
      <c r="D1196" s="14" t="str">
        <f t="shared" si="20"/>
        <v>Below 30" x 84" Full Louvers</v>
      </c>
      <c r="E1196" s="157"/>
      <c r="F1196" s="14"/>
      <c r="G1196" s="17"/>
      <c r="H1196" s="10"/>
      <c r="I1196" s="17"/>
      <c r="J1196" s="83"/>
      <c r="K1196" s="343"/>
      <c r="L1196" s="347"/>
      <c r="M1196" s="89">
        <f t="shared" si="19"/>
        <v>10</v>
      </c>
      <c r="N1196" s="10" t="s">
        <v>176</v>
      </c>
      <c r="O1196" s="22">
        <v>798</v>
      </c>
      <c r="P1196" s="14" t="s">
        <v>371</v>
      </c>
      <c r="Q1196" s="22" t="str">
        <f>IF(AND(O1196&lt;&gt;"",P1196=Enginuity!$A$19),
   IF(Enginuity!$B$6&gt;4,Enginuity!$B$13,1),
"")</f>
        <v/>
      </c>
      <c r="U1196" s="104" t="str">
        <f>IF(
  AND(
    TRIM(A1196)=TRIM(Enginuity!$A$1),
    TRIM(B1196)=TRIM(Enginuity!$A$17),
    Q1196&lt;&gt;"",
    Q1196&lt;&gt;0,
    OR(
      TRIM(C1196)=TRIM(Enginuity!$A$18),
      AND(UPPER(TRIM(M1196))="STD", TRIM(B1196)=TRIM(Enginuity!$A$17))
    ),
    OR(
      AND(LEFT(P1196,5)="1-Way", Enginuity!$B$13=1),
      AND(LEFT(P1196,5)="2-Way", OR(Enginuity!$B$13=2, Enginuity!$B$13=4)),
      AND(LEFT(P1196,5)="3-Way", OR(Enginuity!$B$13=3, Enginuity!$B$13=6)),
      AND(P1196="Inner Centre Jamb", OR(Enginuity!$B$13=4, Enginuity!$B$13=6)),
      AND(
        LEFT(P1196,5)&lt;&gt;"1-Way",
        LEFT(P1196,5)&lt;&gt;"2-Way",
        LEFT(P1196,5)&lt;&gt;"3-Way",
        P1196&lt;&gt;"Inner Centre Jamb"
      )
    ),
    IF(OR(Enginuity!$A$1="Frameless Glass",Enginuity!$A$1="Metal Work"),
      AND(TRIM(B1196)=TRIM(Enginuity!$A$17),TRIM(C1196)=TRIM(Enginuity!$A$18)),
      TRIM(B1196)=TRIM(Enginuity!$A$17)
    )
  ),
  ROW(),
  ""
)</f>
        <v/>
      </c>
    </row>
    <row r="1197" spans="1:21" x14ac:dyDescent="0.25">
      <c r="A1197" s="10" t="s">
        <v>253</v>
      </c>
      <c r="B1197" s="229" t="s">
        <v>372</v>
      </c>
      <c r="C1197" s="10" t="s">
        <v>404</v>
      </c>
      <c r="D1197" s="14"/>
      <c r="E1197" s="157"/>
      <c r="F1197" s="10"/>
      <c r="G1197" s="17"/>
      <c r="H1197" s="10"/>
      <c r="I1197" s="17"/>
      <c r="J1197" s="83"/>
      <c r="K1197" s="344"/>
      <c r="L1197" s="347"/>
      <c r="M1197" s="89">
        <v>10</v>
      </c>
      <c r="N1197" s="10" t="s">
        <v>121</v>
      </c>
      <c r="O1197" s="22">
        <f>IF(ISNUMBER(SEARCH("Louvers",Enginuity!$A$19)),AllMaterialsbak!$B$11,AllMaterialsbak!$B$10)</f>
        <v>26.25</v>
      </c>
      <c r="P1197" s="108" t="str">
        <f>$A$10</f>
        <v>Additional Size Complete Set</v>
      </c>
      <c r="Q11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38</v>
      </c>
      <c r="U1197" s="104" t="str">
        <f>IF(
  AND(
    TRIM(A1197)=TRIM(Enginuity!$A$1),
    TRIM(B1197)=TRIM(Enginuity!$A$17),
    Q1197&lt;&gt;"",
    Q1197&lt;&gt;0,
    OR(
      TRIM(C1197)=TRIM(Enginuity!$A$18),
      AND(UPPER(TRIM(M1197))="STD", TRIM(B1197)=TRIM(Enginuity!$A$17))
    ),
    OR(
      AND(LEFT(P1197,5)="1-Way", Enginuity!$B$13=1),
      AND(LEFT(P1197,5)="2-Way", OR(Enginuity!$B$13=2, Enginuity!$B$13=4)),
      AND(LEFT(P1197,5)="3-Way", OR(Enginuity!$B$13=3, Enginuity!$B$13=6)),
      AND(P1197="Inner Centre Jamb", OR(Enginuity!$B$13=4, Enginuity!$B$13=6)),
      AND(
        LEFT(P1197,5)&lt;&gt;"1-Way",
        LEFT(P1197,5)&lt;&gt;"2-Way",
        LEFT(P1197,5)&lt;&gt;"3-Way",
        P1197&lt;&gt;"Inner Centre Jamb"
      )
    ),
    IF(OR(Enginuity!$A$1="Frameless Glass",Enginuity!$A$1="Metal Work"),
      AND(TRIM(B1197)=TRIM(Enginuity!$A$17),TRIM(C1197)=TRIM(Enginuity!$A$18)),
      TRIM(B1197)=TRIM(Enginuity!$A$17)
    )
  ),
  ROW(),
  ""
)</f>
        <v/>
      </c>
    </row>
    <row r="1198" spans="1:21" x14ac:dyDescent="0.25">
      <c r="A1198" s="10" t="s">
        <v>253</v>
      </c>
      <c r="B1198" s="229" t="s">
        <v>372</v>
      </c>
      <c r="C1198" s="10" t="s">
        <v>404</v>
      </c>
      <c r="D1198" s="108"/>
      <c r="E1198" s="157"/>
      <c r="F1198" s="14"/>
      <c r="G1198" s="17"/>
      <c r="H1198" s="10"/>
      <c r="I1198" s="17"/>
      <c r="J1198" s="83"/>
      <c r="K1198" s="344"/>
      <c r="L1198" s="347"/>
      <c r="M1198" s="89">
        <v>10</v>
      </c>
      <c r="N1198" s="10" t="s">
        <v>121</v>
      </c>
      <c r="O1198" s="22">
        <f>IF(Q1198&lt;&gt;"", $B$19, "")</f>
        <v>29.93</v>
      </c>
      <c r="P1198" s="106" t="s">
        <v>380</v>
      </c>
      <c r="Q1198" s="22">
        <f>IF(Enginuity!$B$7&gt;8,MAX((Enginuity!$B$7-8)*Enginuity!$B$6,3),"")</f>
        <v>100</v>
      </c>
      <c r="U1198" s="104" t="str">
        <f>IF(
  AND(
    TRIM(A1198)=TRIM(Enginuity!$A$1),
    TRIM(B1198)=TRIM(Enginuity!$A$17),
    Q1198&lt;&gt;"",
    Q1198&lt;&gt;0,
    OR(
      TRIM(C1198)=TRIM(Enginuity!$A$18),
      AND(UPPER(TRIM(M1198))="STD", TRIM(B1198)=TRIM(Enginuity!$A$17))
    ),
    OR(
      AND(LEFT(P1198,5)="1-Way", Enginuity!$B$13=1),
      AND(LEFT(P1198,5)="2-Way", OR(Enginuity!$B$13=2, Enginuity!$B$13=4)),
      AND(LEFT(P1198,5)="3-Way", OR(Enginuity!$B$13=3, Enginuity!$B$13=6)),
      AND(P1198="Inner Centre Jamb", OR(Enginuity!$B$13=4, Enginuity!$B$13=6)),
      AND(
        LEFT(P1198,5)&lt;&gt;"1-Way",
        LEFT(P1198,5)&lt;&gt;"2-Way",
        LEFT(P1198,5)&lt;&gt;"3-Way",
        P1198&lt;&gt;"Inner Centre Jamb"
      )
    ),
    IF(OR(Enginuity!$A$1="Frameless Glass",Enginuity!$A$1="Metal Work"),
      AND(TRIM(B1198)=TRIM(Enginuity!$A$17),TRIM(C1198)=TRIM(Enginuity!$A$18)),
      TRIM(B1198)=TRIM(Enginuity!$A$17)
    )
  ),
  ROW(),
  ""
)</f>
        <v/>
      </c>
    </row>
    <row r="1199" spans="1:21" x14ac:dyDescent="0.25">
      <c r="A1199" s="10" t="s">
        <v>253</v>
      </c>
      <c r="B1199" s="229" t="s">
        <v>372</v>
      </c>
      <c r="C1199" s="10" t="s">
        <v>404</v>
      </c>
      <c r="D1199" s="14"/>
      <c r="E1199" s="157"/>
      <c r="F1199" s="14"/>
      <c r="G1199" s="17"/>
      <c r="H1199" s="10"/>
      <c r="I1199" s="17"/>
      <c r="J1199" s="83"/>
      <c r="K1199" s="344"/>
      <c r="L1199" s="347"/>
      <c r="M1199" s="89"/>
      <c r="N1199" s="10" t="s">
        <v>176</v>
      </c>
      <c r="O1199" s="22">
        <f>$B$20</f>
        <v>65</v>
      </c>
      <c r="P1199" s="106" t="s">
        <v>389</v>
      </c>
      <c r="Q1199" s="22" t="str">
        <f>IF(AND(Enginuity!$A$21="Supply &amp; Install",Enginuity!$B$7&gt;8),1,"")</f>
        <v/>
      </c>
      <c r="U1199" s="104" t="str">
        <f>IF(
  AND(
    TRIM(A1199)=TRIM(Enginuity!$A$1),
    TRIM(B1199)=TRIM(Enginuity!$A$17),
    Q1199&lt;&gt;"",
    Q1199&lt;&gt;0,
    OR(
      TRIM(C1199)=TRIM(Enginuity!$A$18),
      AND(UPPER(TRIM(M1199))="STD", TRIM(B1199)=TRIM(Enginuity!$A$17))
    ),
    OR(
      AND(LEFT(P1199,5)="1-Way", Enginuity!$B$13=1),
      AND(LEFT(P1199,5)="2-Way", OR(Enginuity!$B$13=2, Enginuity!$B$13=4)),
      AND(LEFT(P1199,5)="3-Way", OR(Enginuity!$B$13=3, Enginuity!$B$13=6)),
      AND(P1199="Inner Centre Jamb", OR(Enginuity!$B$13=4, Enginuity!$B$13=6)),
      AND(
        LEFT(P1199,5)&lt;&gt;"1-Way",
        LEFT(P1199,5)&lt;&gt;"2-Way",
        LEFT(P1199,5)&lt;&gt;"3-Way",
        P1199&lt;&gt;"Inner Centre Jamb"
      )
    ),
    IF(OR(Enginuity!$A$1="Frameless Glass",Enginuity!$A$1="Metal Work"),
      AND(TRIM(B1199)=TRIM(Enginuity!$A$17),TRIM(C1199)=TRIM(Enginuity!$A$18)),
      TRIM(B1199)=TRIM(Enginuity!$A$17)
    )
  ),
  ROW(),
  ""
)</f>
        <v/>
      </c>
    </row>
    <row r="1200" spans="1:21" x14ac:dyDescent="0.25">
      <c r="A1200" s="10" t="s">
        <v>253</v>
      </c>
      <c r="B1200" s="229" t="s">
        <v>372</v>
      </c>
      <c r="C1200" s="10" t="s">
        <v>404</v>
      </c>
      <c r="D1200" s="14"/>
      <c r="E1200" s="157"/>
      <c r="F1200" s="14"/>
      <c r="G1200" s="17"/>
      <c r="H1200" s="10"/>
      <c r="I1200" s="17"/>
      <c r="J1200" s="83"/>
      <c r="K1200" s="343"/>
      <c r="L1200" s="347"/>
      <c r="M1200" s="89"/>
      <c r="N1200" s="10" t="s">
        <v>176</v>
      </c>
      <c r="O1200" s="22">
        <f>IF(Enginuity!$B$13&gt;1, $B$18, "")</f>
        <v>30</v>
      </c>
      <c r="P1200" s="14" t="s">
        <v>388</v>
      </c>
      <c r="Q1200" s="22">
        <f>IF(AND(O1200&lt;&gt;"",Enginuity!$B$6&gt;4),Enginuity!$B$13,"")</f>
        <v>7</v>
      </c>
      <c r="U1200" s="104" t="str">
        <f>IF(
  AND(
    TRIM(A1200)=TRIM(Enginuity!$A$1),
    TRIM(B1200)=TRIM(Enginuity!$A$17),
    Q1200&lt;&gt;"",
    Q1200&lt;&gt;0,
    OR(
      TRIM(C1200)=TRIM(Enginuity!$A$18),
      AND(UPPER(TRIM(M1200))="STD", TRIM(B1200)=TRIM(Enginuity!$A$17))
    ),
    OR(
      AND(LEFT(P1200,5)="1-Way", Enginuity!$B$13=1),
      AND(LEFT(P1200,5)="2-Way", OR(Enginuity!$B$13=2, Enginuity!$B$13=4)),
      AND(LEFT(P1200,5)="3-Way", OR(Enginuity!$B$13=3, Enginuity!$B$13=6)),
      AND(P1200="Inner Centre Jamb", OR(Enginuity!$B$13=4, Enginuity!$B$13=6)),
      AND(
        LEFT(P1200,5)&lt;&gt;"1-Way",
        LEFT(P1200,5)&lt;&gt;"2-Way",
        LEFT(P1200,5)&lt;&gt;"3-Way",
        P1200&lt;&gt;"Inner Centre Jamb"
      )
    ),
    IF(OR(Enginuity!$A$1="Frameless Glass",Enginuity!$A$1="Metal Work"),
      AND(TRIM(B1200)=TRIM(Enginuity!$A$17),TRIM(C1200)=TRIM(Enginuity!$A$18)),
      TRIM(B1200)=TRIM(Enginuity!$A$17)
    )
  ),
  ROW(),
  ""
)</f>
        <v/>
      </c>
    </row>
    <row r="1201" spans="1:21" x14ac:dyDescent="0.25">
      <c r="A1201" s="10" t="s">
        <v>253</v>
      </c>
      <c r="B1201" s="229" t="s">
        <v>372</v>
      </c>
      <c r="C1201" s="10" t="s">
        <v>404</v>
      </c>
      <c r="D1201" s="14"/>
      <c r="E1201" s="157"/>
      <c r="F1201" s="14"/>
      <c r="G1201" s="17"/>
      <c r="H1201" s="10"/>
      <c r="I1201" s="17"/>
      <c r="J1201" s="83"/>
      <c r="K1201" s="343"/>
      <c r="L1201" s="347"/>
      <c r="M1201" s="89"/>
      <c r="N1201" s="10" t="s">
        <v>121</v>
      </c>
      <c r="O12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01" s="106" t="str">
        <f>Enginuity!$A$20</f>
        <v>Z-Louvre Blade - 5"</v>
      </c>
      <c r="Q1201" s="22" t="str">
        <f>IF(O1201&lt;&gt;"",1,"")</f>
        <v/>
      </c>
      <c r="U1201" s="104" t="str">
        <f>IF(
  AND(
    TRIM(A1201)=TRIM(Enginuity!$A$1),
    TRIM(B1201)=TRIM(Enginuity!$A$17),
    Q1201&lt;&gt;"",
    Q1201&lt;&gt;0,
    OR(
      TRIM(C1201)=TRIM(Enginuity!$A$18),
      AND(UPPER(TRIM(M1201))="STD", TRIM(B1201)=TRIM(Enginuity!$A$17))
    ),
    OR(
      AND(LEFT(P1201,5)="1-Way", Enginuity!$B$13=1),
      AND(LEFT(P1201,5)="2-Way", OR(Enginuity!$B$13=2, Enginuity!$B$13=4)),
      AND(LEFT(P1201,5)="3-Way", OR(Enginuity!$B$13=3, Enginuity!$B$13=6)),
      AND(P1201="Inner Centre Jamb", OR(Enginuity!$B$13=4, Enginuity!$B$13=6)),
      AND(
        LEFT(P1201,5)&lt;&gt;"1-Way",
        LEFT(P1201,5)&lt;&gt;"2-Way",
        LEFT(P1201,5)&lt;&gt;"3-Way",
        P1201&lt;&gt;"Inner Centre Jamb"
      )
    ),
    IF(OR(Enginuity!$A$1="Frameless Glass",Enginuity!$A$1="Metal Work"),
      AND(TRIM(B1201)=TRIM(Enginuity!$A$17),TRIM(C1201)=TRIM(Enginuity!$A$18)),
      TRIM(B1201)=TRIM(Enginuity!$A$17)
    )
  ),
  ROW(),
  ""
)</f>
        <v/>
      </c>
    </row>
    <row r="1202" spans="1:21" x14ac:dyDescent="0.25">
      <c r="A1202" s="10" t="s">
        <v>253</v>
      </c>
      <c r="B1202" s="229" t="s">
        <v>372</v>
      </c>
      <c r="C1202" s="10" t="s">
        <v>404</v>
      </c>
      <c r="D1202" s="14"/>
      <c r="E1202" s="157"/>
      <c r="F1202" s="14"/>
      <c r="G1202" s="17"/>
      <c r="H1202" s="10"/>
      <c r="I1202" s="17"/>
      <c r="J1202" s="83"/>
      <c r="K1202" s="343"/>
      <c r="L1202" s="347"/>
      <c r="M1202" s="89"/>
      <c r="N1202" s="10" t="s">
        <v>176</v>
      </c>
      <c r="O1202" s="22" t="str">
        <f>IF(Enginuity!$A$21="Supply &amp; Install",75,
IF(Enginuity!$A$21="Supply &amp; Courier",20,
IF(Enginuity!$A$21="Self Collect",0,
"")))</f>
        <v/>
      </c>
      <c r="P1202" s="5" t="str">
        <f>Enginuity!$A$21</f>
        <v>SF 4"</v>
      </c>
      <c r="Q1202" s="22" t="str">
        <f>IF(O1202&lt;&gt;"",IF(Enginuity!$B$6&gt;4,Enginuity!$B$13,1),"")</f>
        <v/>
      </c>
      <c r="U1202" s="104" t="str">
        <f>IF(
  AND(
    TRIM(A1202)=TRIM(Enginuity!$A$1),
    TRIM(B1202)=TRIM(Enginuity!$A$17),
    Q1202&lt;&gt;"",
    Q1202&lt;&gt;0,
    OR(
      TRIM(C1202)=TRIM(Enginuity!$A$18),
      AND(UPPER(TRIM(M1202))="STD", TRIM(B1202)=TRIM(Enginuity!$A$17))
    ),
    OR(
      AND(LEFT(P1202,5)="1-Way", Enginuity!$B$13=1),
      AND(LEFT(P1202,5)="2-Way", OR(Enginuity!$B$13=2, Enginuity!$B$13=4)),
      AND(LEFT(P1202,5)="3-Way", OR(Enginuity!$B$13=3, Enginuity!$B$13=6)),
      AND(P1202="Inner Centre Jamb", OR(Enginuity!$B$13=4, Enginuity!$B$13=6)),
      AND(
        LEFT(P1202,5)&lt;&gt;"1-Way",
        LEFT(P1202,5)&lt;&gt;"2-Way",
        LEFT(P1202,5)&lt;&gt;"3-Way",
        P1202&lt;&gt;"Inner Centre Jamb"
      )
    ),
    IF(OR(Enginuity!$A$1="Frameless Glass",Enginuity!$A$1="Metal Work"),
      AND(TRIM(B1202)=TRIM(Enginuity!$A$17),TRIM(C1202)=TRIM(Enginuity!$A$18)),
      TRIM(B1202)=TRIM(Enginuity!$A$17)
    )
  ),
  ROW(),
  ""
)</f>
        <v/>
      </c>
    </row>
    <row r="1203" spans="1:21" x14ac:dyDescent="0.25">
      <c r="A1203" s="10" t="s">
        <v>253</v>
      </c>
      <c r="B1203" s="229" t="s">
        <v>372</v>
      </c>
      <c r="C1203" s="10" t="s">
        <v>404</v>
      </c>
      <c r="D1203" s="14"/>
      <c r="E1203" s="157"/>
      <c r="F1203" s="14"/>
      <c r="G1203" s="17"/>
      <c r="H1203" s="10"/>
      <c r="I1203" s="17"/>
      <c r="J1203" s="83"/>
      <c r="K1203" s="343"/>
      <c r="L1203" s="347"/>
      <c r="M1203" s="89"/>
      <c r="N1203" s="10" t="s">
        <v>176</v>
      </c>
      <c r="O1203" s="22" t="str">
        <f>IF(Enginuity!$A$22="Double Lock", $B$17, "")</f>
        <v/>
      </c>
      <c r="P1203" s="106" t="str">
        <f>Enginuity!$A$22</f>
        <v>▼ [Lattice]</v>
      </c>
      <c r="Q1203" s="22" t="str">
        <f>IF(O1203&lt;&gt;"",IF(Enginuity!$B$6&gt;4,Enginuity!$B$13,1),"")</f>
        <v/>
      </c>
      <c r="U1203" s="104" t="str">
        <f>IF(
  AND(
    TRIM(A1203)=TRIM(Enginuity!$A$1),
    TRIM(B1203)=TRIM(Enginuity!$A$17),
    Q1203&lt;&gt;"",
    Q1203&lt;&gt;0,
    OR(
      TRIM(C1203)=TRIM(Enginuity!$A$18),
      AND(UPPER(TRIM(M1203))="STD", TRIM(B1203)=TRIM(Enginuity!$A$17))
    ),
    OR(
      AND(LEFT(P1203,5)="1-Way", Enginuity!$B$13=1),
      AND(LEFT(P1203,5)="2-Way", OR(Enginuity!$B$13=2, Enginuity!$B$13=4)),
      AND(LEFT(P1203,5)="3-Way", OR(Enginuity!$B$13=3, Enginuity!$B$13=6)),
      AND(P1203="Inner Centre Jamb", OR(Enginuity!$B$13=4, Enginuity!$B$13=6)),
      AND(
        LEFT(P1203,5)&lt;&gt;"1-Way",
        LEFT(P1203,5)&lt;&gt;"2-Way",
        LEFT(P1203,5)&lt;&gt;"3-Way",
        P1203&lt;&gt;"Inner Centre Jamb"
      )
    ),
    IF(OR(Enginuity!$A$1="Frameless Glass",Enginuity!$A$1="Metal Work"),
      AND(TRIM(B1203)=TRIM(Enginuity!$A$17),TRIM(C1203)=TRIM(Enginuity!$A$18)),
      TRIM(B1203)=TRIM(Enginuity!$A$17)
    )
  ),
  ROW(),
  ""
)</f>
        <v/>
      </c>
    </row>
    <row r="1204" spans="1:21" x14ac:dyDescent="0.25">
      <c r="A1204" s="17"/>
      <c r="B1204" s="230"/>
      <c r="C1204" s="17"/>
      <c r="D1204" s="18"/>
      <c r="E1204" s="238"/>
      <c r="F1204" s="18"/>
      <c r="G1204" s="17"/>
      <c r="H1204" s="17"/>
      <c r="I1204" s="17"/>
      <c r="J1204" s="84"/>
      <c r="K1204" s="343"/>
      <c r="L1204" s="347"/>
      <c r="M1204" s="90"/>
      <c r="N1204" s="17"/>
      <c r="O1204" s="25"/>
      <c r="P1204" s="121"/>
      <c r="Q1204" s="25"/>
      <c r="U1204" s="104" t="str">
        <f>IF(
  AND(
    TRIM(A1204)=TRIM(Enginuity!$A$1),
    TRIM(B1204)=TRIM(Enginuity!$A$17),
    Q1204&lt;&gt;"",
    Q1204&lt;&gt;0,
    OR(
      TRIM(C1204)=TRIM(Enginuity!$A$18),
      AND(UPPER(TRIM(M1204))="STD", TRIM(B1204)=TRIM(Enginuity!$A$17))
    ),
    OR(
      AND(LEFT(P1204,5)="1-Way", Enginuity!$B$13=1),
      AND(LEFT(P1204,5)="2-Way", OR(Enginuity!$B$13=2, Enginuity!$B$13=4)),
      AND(LEFT(P1204,5)="3-Way", OR(Enginuity!$B$13=3, Enginuity!$B$13=6)),
      AND(P1204="Inner Centre Jamb", OR(Enginuity!$B$13=4, Enginuity!$B$13=6)),
      AND(
        LEFT(P1204,5)&lt;&gt;"1-Way",
        LEFT(P1204,5)&lt;&gt;"2-Way",
        LEFT(P1204,5)&lt;&gt;"3-Way",
        P1204&lt;&gt;"Inner Centre Jamb"
      )
    ),
    IF(OR(Enginuity!$A$1="Frameless Glass",Enginuity!$A$1="Metal Work"),
      AND(TRIM(B1204)=TRIM(Enginuity!$A$17),TRIM(C1204)=TRIM(Enginuity!$A$18)),
      TRIM(B1204)=TRIM(Enginuity!$A$17)
    )
  ),
  ROW(),
  ""
)</f>
        <v/>
      </c>
    </row>
    <row r="1205" spans="1:21" x14ac:dyDescent="0.25">
      <c r="A1205" s="10" t="s">
        <v>253</v>
      </c>
      <c r="B1205" s="229" t="s">
        <v>405</v>
      </c>
      <c r="C1205" s="10" t="s">
        <v>443</v>
      </c>
      <c r="D1205" s="14" t="str">
        <f>P1205</f>
        <v>Below 34" x 84" ecobonz 2.5mm Glossy / VACP 800 Series</v>
      </c>
      <c r="E1205" s="248" t="s">
        <v>375</v>
      </c>
      <c r="F1205" s="113" t="s">
        <v>382</v>
      </c>
      <c r="G1205" s="17" t="s">
        <v>305</v>
      </c>
      <c r="H1205" s="10" t="s">
        <v>441</v>
      </c>
      <c r="I1205" s="17"/>
      <c r="J1205" s="83"/>
      <c r="K1205" s="344">
        <v>0.30055599999999999</v>
      </c>
      <c r="L1205" s="347">
        <v>863.6</v>
      </c>
      <c r="M1205" s="89">
        <v>1</v>
      </c>
      <c r="N1205" s="10" t="s">
        <v>176</v>
      </c>
      <c r="O1205" s="22">
        <v>273</v>
      </c>
      <c r="P1205" s="14" t="s">
        <v>459</v>
      </c>
      <c r="Q1205" s="22" t="str">
        <f>IF(OR(O1205="",P1205&lt;&gt;Enginuity!$A$19),"",
 IF(Enginuity!$B$13&lt;&gt;"",MAX(1,MIN(2,Enginuity!$B$13)),
    IF(Enginuity!$B$6&gt;4,2,1)
 ))</f>
        <v/>
      </c>
      <c r="U1205" s="104" t="str">
        <f>IF(
  AND(
    TRIM(A1205)=TRIM(Enginuity!$A$1),
    TRIM(B1205)=TRIM(Enginuity!$A$17),
    Q1205&lt;&gt;"",
    Q1205&lt;&gt;0,
    OR(
      TRIM(C1205)=TRIM(Enginuity!$A$18),
      AND(UPPER(TRIM(M1205))="STD", TRIM(B1205)=TRIM(Enginuity!$A$17))
    ),
    OR(
      AND(LEFT(P1205,5)="1-Way", Enginuity!$B$13=1),
      AND(LEFT(P1205,5)="2-Way", OR(Enginuity!$B$13=2, Enginuity!$B$13=4)),
      AND(LEFT(P1205,5)="3-Way", OR(Enginuity!$B$13=3, Enginuity!$B$13=6)),
      AND(P1205="Inner Centre Jamb", OR(Enginuity!$B$13=4, Enginuity!$B$13=6)),
      AND(
        LEFT(P1205,5)&lt;&gt;"1-Way",
        LEFT(P1205,5)&lt;&gt;"2-Way",
        LEFT(P1205,5)&lt;&gt;"3-Way",
        P1205&lt;&gt;"Inner Centre Jamb"
      )
    ),
    IF(OR(Enginuity!$A$1="Frameless Glass",Enginuity!$A$1="Metal Work"),
      AND(TRIM(B1205)=TRIM(Enginuity!$A$17),TRIM(C1205)=TRIM(Enginuity!$A$18)),
      TRIM(B1205)=TRIM(Enginuity!$A$17)
    )
  ),
  ROW(),
  ""
)</f>
        <v/>
      </c>
    </row>
    <row r="1206" spans="1:21" x14ac:dyDescent="0.25">
      <c r="A1206" s="10" t="s">
        <v>253</v>
      </c>
      <c r="B1206" s="229" t="s">
        <v>405</v>
      </c>
      <c r="C1206" s="10" t="s">
        <v>443</v>
      </c>
      <c r="D1206" s="14" t="str">
        <f t="shared" ref="D1206:D1213" si="21">P1206</f>
        <v>Below 34" x 84" ecoscreen 2.5mm</v>
      </c>
      <c r="E1206" s="248" t="s">
        <v>376</v>
      </c>
      <c r="F1206" s="113" t="s">
        <v>383</v>
      </c>
      <c r="G1206" s="17"/>
      <c r="H1206" s="10"/>
      <c r="I1206" s="17"/>
      <c r="J1206" s="83"/>
      <c r="K1206" s="343"/>
      <c r="L1206" s="347"/>
      <c r="M1206" s="89">
        <v>2</v>
      </c>
      <c r="N1206" s="10" t="s">
        <v>176</v>
      </c>
      <c r="O1206" s="22">
        <v>304.5</v>
      </c>
      <c r="P1206" s="14" t="s">
        <v>460</v>
      </c>
      <c r="Q1206" s="22" t="str">
        <f>IF(OR(O1206="",P1206&lt;&gt;Enginuity!$A$19),"",
 IF(Enginuity!$B$13&lt;&gt;"",MAX(1,MIN(2,Enginuity!$B$13)),
    IF(Enginuity!$B$6&gt;4,2,1)
 ))</f>
        <v/>
      </c>
      <c r="U1206" s="104" t="str">
        <f>IF(
  AND(
    TRIM(A1206)=TRIM(Enginuity!$A$1),
    TRIM(B1206)=TRIM(Enginuity!$A$17),
    Q1206&lt;&gt;"",
    Q1206&lt;&gt;0,
    OR(
      TRIM(C1206)=TRIM(Enginuity!$A$18),
      AND(UPPER(TRIM(M1206))="STD", TRIM(B1206)=TRIM(Enginuity!$A$17))
    ),
    OR(
      AND(LEFT(P1206,5)="1-Way", Enginuity!$B$13=1),
      AND(LEFT(P1206,5)="2-Way", OR(Enginuity!$B$13=2, Enginuity!$B$13=4)),
      AND(LEFT(P1206,5)="3-Way", OR(Enginuity!$B$13=3, Enginuity!$B$13=6)),
      AND(P1206="Inner Centre Jamb", OR(Enginuity!$B$13=4, Enginuity!$B$13=6)),
      AND(
        LEFT(P1206,5)&lt;&gt;"1-Way",
        LEFT(P1206,5)&lt;&gt;"2-Way",
        LEFT(P1206,5)&lt;&gt;"3-Way",
        P1206&lt;&gt;"Inner Centre Jamb"
      )
    ),
    IF(OR(Enginuity!$A$1="Frameless Glass",Enginuity!$A$1="Metal Work"),
      AND(TRIM(B1206)=TRIM(Enginuity!$A$17),TRIM(C1206)=TRIM(Enginuity!$A$18)),
      TRIM(B1206)=TRIM(Enginuity!$A$17)
    )
  ),
  ROW(),
  ""
)</f>
        <v/>
      </c>
    </row>
    <row r="1207" spans="1:21" x14ac:dyDescent="0.25">
      <c r="A1207" s="10" t="s">
        <v>253</v>
      </c>
      <c r="B1207" s="229" t="s">
        <v>405</v>
      </c>
      <c r="C1207" s="10" t="s">
        <v>443</v>
      </c>
      <c r="D1207" s="14" t="str">
        <f t="shared" si="21"/>
        <v>Below 34" x 84" ecopoly 2.5mm</v>
      </c>
      <c r="E1207" s="157" t="s">
        <v>377</v>
      </c>
      <c r="F1207" s="14" t="s">
        <v>384</v>
      </c>
      <c r="G1207" s="17"/>
      <c r="H1207" s="10"/>
      <c r="I1207" s="17"/>
      <c r="J1207" s="83"/>
      <c r="K1207" s="343"/>
      <c r="L1207" s="347"/>
      <c r="M1207" s="89">
        <v>3</v>
      </c>
      <c r="N1207" s="10" t="s">
        <v>176</v>
      </c>
      <c r="O1207" s="22">
        <v>336</v>
      </c>
      <c r="P1207" s="14" t="s">
        <v>461</v>
      </c>
      <c r="Q1207" s="22" t="str">
        <f>IF(OR(O1207="",P1207&lt;&gt;Enginuity!$A$19),"",
 IF(Enginuity!$B$13&lt;&gt;"",MAX(1,MIN(2,Enginuity!$B$13)),
    IF(Enginuity!$B$6&gt;4,2,1)
 ))</f>
        <v/>
      </c>
      <c r="U1207" s="104" t="str">
        <f>IF(
  AND(
    TRIM(A1207)=TRIM(Enginuity!$A$1),
    TRIM(B1207)=TRIM(Enginuity!$A$17),
    Q1207&lt;&gt;"",
    Q1207&lt;&gt;0,
    OR(
      TRIM(C1207)=TRIM(Enginuity!$A$18),
      AND(UPPER(TRIM(M1207))="STD", TRIM(B1207)=TRIM(Enginuity!$A$17))
    ),
    OR(
      AND(LEFT(P1207,5)="1-Way", Enginuity!$B$13=1),
      AND(LEFT(P1207,5)="2-Way", OR(Enginuity!$B$13=2, Enginuity!$B$13=4)),
      AND(LEFT(P1207,5)="3-Way", OR(Enginuity!$B$13=3, Enginuity!$B$13=6)),
      AND(P1207="Inner Centre Jamb", OR(Enginuity!$B$13=4, Enginuity!$B$13=6)),
      AND(
        LEFT(P1207,5)&lt;&gt;"1-Way",
        LEFT(P1207,5)&lt;&gt;"2-Way",
        LEFT(P1207,5)&lt;&gt;"3-Way",
        P1207&lt;&gt;"Inner Centre Jamb"
      )
    ),
    IF(OR(Enginuity!$A$1="Frameless Glass",Enginuity!$A$1="Metal Work"),
      AND(TRIM(B1207)=TRIM(Enginuity!$A$17),TRIM(C1207)=TRIM(Enginuity!$A$18)),
      TRIM(B1207)=TRIM(Enginuity!$A$17)
    )
  ),
  ROW(),
  ""
)</f>
        <v/>
      </c>
    </row>
    <row r="1208" spans="1:21" x14ac:dyDescent="0.25">
      <c r="A1208" s="10" t="s">
        <v>253</v>
      </c>
      <c r="B1208" s="229" t="s">
        <v>405</v>
      </c>
      <c r="C1208" s="10" t="s">
        <v>443</v>
      </c>
      <c r="D1208" s="14" t="str">
        <f t="shared" si="21"/>
        <v>Below 34" x 84" Aerolite</v>
      </c>
      <c r="E1208" s="157" t="s">
        <v>378</v>
      </c>
      <c r="F1208" s="14"/>
      <c r="G1208" s="17"/>
      <c r="H1208" s="10"/>
      <c r="I1208" s="17"/>
      <c r="J1208" s="83"/>
      <c r="K1208" s="343"/>
      <c r="L1208" s="347"/>
      <c r="M1208" s="89">
        <v>4</v>
      </c>
      <c r="N1208" s="10" t="s">
        <v>176</v>
      </c>
      <c r="O1208" s="22">
        <v>315</v>
      </c>
      <c r="P1208" s="14" t="s">
        <v>462</v>
      </c>
      <c r="Q1208" s="22" t="str">
        <f>IF(OR(O1208="",P1208&lt;&gt;Enginuity!$A$19),"",
 IF(Enginuity!$B$13&lt;&gt;"",MAX(1,MIN(2,Enginuity!$B$13)),
    IF(Enginuity!$B$6&gt;4,2,1)
 ))</f>
        <v/>
      </c>
      <c r="U1208" s="104" t="str">
        <f>IF(
  AND(
    TRIM(A1208)=TRIM(Enginuity!$A$1),
    TRIM(B1208)=TRIM(Enginuity!$A$17),
    Q1208&lt;&gt;"",
    Q1208&lt;&gt;0,
    OR(
      TRIM(C1208)=TRIM(Enginuity!$A$18),
      AND(UPPER(TRIM(M1208))="STD", TRIM(B1208)=TRIM(Enginuity!$A$17))
    ),
    OR(
      AND(LEFT(P1208,5)="1-Way", Enginuity!$B$13=1),
      AND(LEFT(P1208,5)="2-Way", OR(Enginuity!$B$13=2, Enginuity!$B$13=4)),
      AND(LEFT(P1208,5)="3-Way", OR(Enginuity!$B$13=3, Enginuity!$B$13=6)),
      AND(P1208="Inner Centre Jamb", OR(Enginuity!$B$13=4, Enginuity!$B$13=6)),
      AND(
        LEFT(P1208,5)&lt;&gt;"1-Way",
        LEFT(P1208,5)&lt;&gt;"2-Way",
        LEFT(P1208,5)&lt;&gt;"3-Way",
        P1208&lt;&gt;"Inner Centre Jamb"
      )
    ),
    IF(OR(Enginuity!$A$1="Frameless Glass",Enginuity!$A$1="Metal Work"),
      AND(TRIM(B1208)=TRIM(Enginuity!$A$17),TRIM(C1208)=TRIM(Enginuity!$A$18)),
      TRIM(B1208)=TRIM(Enginuity!$A$17)
    )
  ),
  ROW(),
  ""
)</f>
        <v/>
      </c>
    </row>
    <row r="1209" spans="1:21" x14ac:dyDescent="0.25">
      <c r="A1209" s="10" t="s">
        <v>253</v>
      </c>
      <c r="B1209" s="229" t="s">
        <v>405</v>
      </c>
      <c r="C1209" s="10" t="s">
        <v>443</v>
      </c>
      <c r="D1209" s="14" t="str">
        <f t="shared" si="21"/>
        <v>Below 34" x 84" Composite</v>
      </c>
      <c r="E1209" s="157" t="s">
        <v>379</v>
      </c>
      <c r="F1209" s="14"/>
      <c r="G1209" s="17"/>
      <c r="H1209" s="10"/>
      <c r="I1209" s="17"/>
      <c r="J1209" s="83"/>
      <c r="K1209" s="343"/>
      <c r="L1209" s="347"/>
      <c r="M1209" s="89">
        <v>5</v>
      </c>
      <c r="N1209" s="10" t="s">
        <v>176</v>
      </c>
      <c r="O1209" s="22">
        <v>294</v>
      </c>
      <c r="P1209" s="14" t="s">
        <v>463</v>
      </c>
      <c r="Q1209" s="22" t="str">
        <f>IF(OR(O1209="",P1209&lt;&gt;Enginuity!$A$19),"",
 IF(Enginuity!$B$13&lt;&gt;"",MAX(1,MIN(2,Enginuity!$B$13)),
    IF(Enginuity!$B$6&gt;4,2,1)
 ))</f>
        <v/>
      </c>
      <c r="U1209" s="104" t="str">
        <f>IF(
  AND(
    TRIM(A1209)=TRIM(Enginuity!$A$1),
    TRIM(B1209)=TRIM(Enginuity!$A$17),
    Q1209&lt;&gt;"",
    Q1209&lt;&gt;0,
    OR(
      TRIM(C1209)=TRIM(Enginuity!$A$18),
      AND(UPPER(TRIM(M1209))="STD", TRIM(B1209)=TRIM(Enginuity!$A$17))
    ),
    OR(
      AND(LEFT(P1209,5)="1-Way", Enginuity!$B$13=1),
      AND(LEFT(P1209,5)="2-Way", OR(Enginuity!$B$13=2, Enginuity!$B$13=4)),
      AND(LEFT(P1209,5)="3-Way", OR(Enginuity!$B$13=3, Enginuity!$B$13=6)),
      AND(P1209="Inner Centre Jamb", OR(Enginuity!$B$13=4, Enginuity!$B$13=6)),
      AND(
        LEFT(P1209,5)&lt;&gt;"1-Way",
        LEFT(P1209,5)&lt;&gt;"2-Way",
        LEFT(P1209,5)&lt;&gt;"3-Way",
        P1209&lt;&gt;"Inner Centre Jamb"
      )
    ),
    IF(OR(Enginuity!$A$1="Frameless Glass",Enginuity!$A$1="Metal Work"),
      AND(TRIM(B1209)=TRIM(Enginuity!$A$17),TRIM(C1209)=TRIM(Enginuity!$A$18)),
      TRIM(B1209)=TRIM(Enginuity!$A$17)
    )
  ),
  ROW(),
  ""
)</f>
        <v/>
      </c>
    </row>
    <row r="1210" spans="1:21" x14ac:dyDescent="0.25">
      <c r="A1210" s="10" t="s">
        <v>253</v>
      </c>
      <c r="B1210" s="229" t="s">
        <v>405</v>
      </c>
      <c r="C1210" s="10" t="s">
        <v>443</v>
      </c>
      <c r="D1210" s="14" t="str">
        <f t="shared" si="21"/>
        <v>Below 34" x 84" N.Glass + Lamina Film [Full] 5mm / N.Dark Grey Glass 5mm</v>
      </c>
      <c r="E1210" s="157"/>
      <c r="F1210" s="14"/>
      <c r="G1210" s="17"/>
      <c r="H1210" s="10"/>
      <c r="I1210" s="17"/>
      <c r="J1210" s="83"/>
      <c r="K1210" s="343"/>
      <c r="L1210" s="347"/>
      <c r="M1210" s="89">
        <v>6</v>
      </c>
      <c r="N1210" s="10" t="s">
        <v>176</v>
      </c>
      <c r="O1210" s="22">
        <v>273</v>
      </c>
      <c r="P1210" s="14" t="s">
        <v>464</v>
      </c>
      <c r="Q1210" s="22" t="str">
        <f>IF(OR(O1210="",P1210&lt;&gt;Enginuity!$A$19),"",
 IF(Enginuity!$B$13&lt;&gt;"",MAX(1,MIN(2,Enginuity!$B$13)),
    IF(Enginuity!$B$6&gt;4,2,1)
 ))</f>
        <v/>
      </c>
      <c r="U1210" s="104" t="str">
        <f>IF(
  AND(
    TRIM(A1210)=TRIM(Enginuity!$A$1),
    TRIM(B1210)=TRIM(Enginuity!$A$17),
    Q1210&lt;&gt;"",
    Q1210&lt;&gt;0,
    OR(
      TRIM(C1210)=TRIM(Enginuity!$A$18),
      AND(UPPER(TRIM(M1210))="STD", TRIM(B1210)=TRIM(Enginuity!$A$17))
    ),
    OR(
      AND(LEFT(P1210,5)="1-Way", Enginuity!$B$13=1),
      AND(LEFT(P1210,5)="2-Way", OR(Enginuity!$B$13=2, Enginuity!$B$13=4)),
      AND(LEFT(P1210,5)="3-Way", OR(Enginuity!$B$13=3, Enginuity!$B$13=6)),
      AND(P1210="Inner Centre Jamb", OR(Enginuity!$B$13=4, Enginuity!$B$13=6)),
      AND(
        LEFT(P1210,5)&lt;&gt;"1-Way",
        LEFT(P1210,5)&lt;&gt;"2-Way",
        LEFT(P1210,5)&lt;&gt;"3-Way",
        P1210&lt;&gt;"Inner Centre Jamb"
      )
    ),
    IF(OR(Enginuity!$A$1="Frameless Glass",Enginuity!$A$1="Metal Work"),
      AND(TRIM(B1210)=TRIM(Enginuity!$A$17),TRIM(C1210)=TRIM(Enginuity!$A$18)),
      TRIM(B1210)=TRIM(Enginuity!$A$17)
    )
  ),
  ROW(),
  ""
)</f>
        <v/>
      </c>
    </row>
    <row r="1211" spans="1:21" x14ac:dyDescent="0.25">
      <c r="A1211" s="10" t="s">
        <v>253</v>
      </c>
      <c r="B1211" s="229" t="s">
        <v>405</v>
      </c>
      <c r="C1211" s="10" t="s">
        <v>443</v>
      </c>
      <c r="D1211" s="14" t="str">
        <f t="shared" si="21"/>
        <v>1. Below 34" x 84" N.Clear Glass 5mm</v>
      </c>
      <c r="E1211" s="157"/>
      <c r="F1211" s="14"/>
      <c r="G1211" s="17"/>
      <c r="H1211" s="10"/>
      <c r="I1211" s="17"/>
      <c r="J1211" s="83"/>
      <c r="K1211" s="343"/>
      <c r="L1211" s="347"/>
      <c r="M1211" s="89">
        <v>7</v>
      </c>
      <c r="N1211" s="10" t="s">
        <v>176</v>
      </c>
      <c r="O1211" s="22">
        <v>246.75</v>
      </c>
      <c r="P1211" s="14" t="s">
        <v>465</v>
      </c>
      <c r="Q1211" s="22" t="str">
        <f>IF(OR(O1211="",P1211&lt;&gt;Enginuity!$A$19),"",
 IF(Enginuity!$B$13&lt;&gt;"",MAX(1,MIN(2,Enginuity!$B$13)),
    IF(Enginuity!$B$6&gt;4,2,1)
 ))</f>
        <v/>
      </c>
      <c r="U1211" s="104" t="str">
        <f>IF(
  AND(
    TRIM(A1211)=TRIM(Enginuity!$A$1),
    TRIM(B1211)=TRIM(Enginuity!$A$17),
    Q1211&lt;&gt;"",
    Q1211&lt;&gt;0,
    OR(
      TRIM(C1211)=TRIM(Enginuity!$A$18),
      AND(UPPER(TRIM(M1211))="STD", TRIM(B1211)=TRIM(Enginuity!$A$17))
    ),
    OR(
      AND(LEFT(P1211,5)="1-Way", Enginuity!$B$13=1),
      AND(LEFT(P1211,5)="2-Way", OR(Enginuity!$B$13=2, Enginuity!$B$13=4)),
      AND(LEFT(P1211,5)="3-Way", OR(Enginuity!$B$13=3, Enginuity!$B$13=6)),
      AND(P1211="Inner Centre Jamb", OR(Enginuity!$B$13=4, Enginuity!$B$13=6)),
      AND(
        LEFT(P1211,5)&lt;&gt;"1-Way",
        LEFT(P1211,5)&lt;&gt;"2-Way",
        LEFT(P1211,5)&lt;&gt;"3-Way",
        P1211&lt;&gt;"Inner Centre Jamb"
      )
    ),
    IF(OR(Enginuity!$A$1="Frameless Glass",Enginuity!$A$1="Metal Work"),
      AND(TRIM(B1211)=TRIM(Enginuity!$A$17),TRIM(C1211)=TRIM(Enginuity!$A$18)),
      TRIM(B1211)=TRIM(Enginuity!$A$17)
    )
  ),
  ROW(),
  ""
)</f>
        <v/>
      </c>
    </row>
    <row r="1212" spans="1:21" x14ac:dyDescent="0.25">
      <c r="A1212" s="10" t="s">
        <v>253</v>
      </c>
      <c r="B1212" s="229" t="s">
        <v>405</v>
      </c>
      <c r="C1212" s="10" t="s">
        <v>443</v>
      </c>
      <c r="D1212" s="14" t="str">
        <f t="shared" si="21"/>
        <v>Below 34" x 84" Tempered Glass 5mm</v>
      </c>
      <c r="E1212" s="157"/>
      <c r="F1212" s="14"/>
      <c r="G1212" s="17"/>
      <c r="H1212" s="10"/>
      <c r="I1212" s="17"/>
      <c r="J1212" s="83"/>
      <c r="K1212" s="343"/>
      <c r="L1212" s="347"/>
      <c r="M1212" s="89">
        <v>8</v>
      </c>
      <c r="N1212" s="10" t="s">
        <v>176</v>
      </c>
      <c r="O1212" s="22">
        <v>357</v>
      </c>
      <c r="P1212" s="14" t="s">
        <v>466</v>
      </c>
      <c r="Q1212" s="22" t="str">
        <f>IF(OR(O1212="",P1212&lt;&gt;Enginuity!$A$19),"",
 IF(Enginuity!$B$13&lt;&gt;"",MAX(1,MIN(2,Enginuity!$B$13)),
    IF(Enginuity!$B$6&gt;4,2,1)
 ))</f>
        <v/>
      </c>
      <c r="U1212" s="104" t="str">
        <f>IF(
  AND(
    TRIM(A1212)=TRIM(Enginuity!$A$1),
    TRIM(B1212)=TRIM(Enginuity!$A$17),
    Q1212&lt;&gt;"",
    Q1212&lt;&gt;0,
    OR(
      TRIM(C1212)=TRIM(Enginuity!$A$18),
      AND(UPPER(TRIM(M1212))="STD", TRIM(B1212)=TRIM(Enginuity!$A$17))
    ),
    OR(
      AND(LEFT(P1212,5)="1-Way", Enginuity!$B$13=1),
      AND(LEFT(P1212,5)="2-Way", OR(Enginuity!$B$13=2, Enginuity!$B$13=4)),
      AND(LEFT(P1212,5)="3-Way", OR(Enginuity!$B$13=3, Enginuity!$B$13=6)),
      AND(P1212="Inner Centre Jamb", OR(Enginuity!$B$13=4, Enginuity!$B$13=6)),
      AND(
        LEFT(P1212,5)&lt;&gt;"1-Way",
        LEFT(P1212,5)&lt;&gt;"2-Way",
        LEFT(P1212,5)&lt;&gt;"3-Way",
        P1212&lt;&gt;"Inner Centre Jamb"
      )
    ),
    IF(OR(Enginuity!$A$1="Frameless Glass",Enginuity!$A$1="Metal Work"),
      AND(TRIM(B1212)=TRIM(Enginuity!$A$17),TRIM(C1212)=TRIM(Enginuity!$A$18)),
      TRIM(B1212)=TRIM(Enginuity!$A$17)
    )
  ),
  ROW(),
  ""
)</f>
        <v/>
      </c>
    </row>
    <row r="1213" spans="1:21" x14ac:dyDescent="0.25">
      <c r="A1213" s="10" t="s">
        <v>253</v>
      </c>
      <c r="B1213" s="229" t="s">
        <v>405</v>
      </c>
      <c r="C1213" s="10" t="s">
        <v>443</v>
      </c>
      <c r="D1213" s="14" t="str">
        <f t="shared" si="21"/>
        <v>Below 34" x 84" Full Louvers</v>
      </c>
      <c r="E1213" s="157"/>
      <c r="F1213" s="14"/>
      <c r="G1213" s="17"/>
      <c r="H1213" s="10"/>
      <c r="I1213" s="17"/>
      <c r="J1213" s="83"/>
      <c r="K1213" s="343"/>
      <c r="L1213" s="347"/>
      <c r="M1213" s="89">
        <v>9</v>
      </c>
      <c r="N1213" s="10" t="s">
        <v>176</v>
      </c>
      <c r="O1213" s="22">
        <v>609</v>
      </c>
      <c r="P1213" s="14" t="s">
        <v>467</v>
      </c>
      <c r="Q1213" s="22" t="str">
        <f>IF(OR(O1213="",P1213&lt;&gt;Enginuity!$A$19),"",
 IF(Enginuity!$B$13&lt;&gt;"",MAX(1,MIN(2,Enginuity!$B$13)),
    IF(Enginuity!$B$6&gt;4,2,1)
 ))</f>
        <v/>
      </c>
      <c r="U1213" s="104" t="str">
        <f>IF(
  AND(
    TRIM(A1213)=TRIM(Enginuity!$A$1),
    TRIM(B1213)=TRIM(Enginuity!$A$17),
    Q1213&lt;&gt;"",
    Q1213&lt;&gt;0,
    OR(
      TRIM(C1213)=TRIM(Enginuity!$A$18),
      AND(UPPER(TRIM(M1213))="STD", TRIM(B1213)=TRIM(Enginuity!$A$17))
    ),
    OR(
      AND(LEFT(P1213,5)="1-Way", Enginuity!$B$13=1),
      AND(LEFT(P1213,5)="2-Way", OR(Enginuity!$B$13=2, Enginuity!$B$13=4)),
      AND(LEFT(P1213,5)="3-Way", OR(Enginuity!$B$13=3, Enginuity!$B$13=6)),
      AND(P1213="Inner Centre Jamb", OR(Enginuity!$B$13=4, Enginuity!$B$13=6)),
      AND(
        LEFT(P1213,5)&lt;&gt;"1-Way",
        LEFT(P1213,5)&lt;&gt;"2-Way",
        LEFT(P1213,5)&lt;&gt;"3-Way",
        P1213&lt;&gt;"Inner Centre Jamb"
      )
    ),
    IF(OR(Enginuity!$A$1="Frameless Glass",Enginuity!$A$1="Metal Work"),
      AND(TRIM(B1213)=TRIM(Enginuity!$A$17),TRIM(C1213)=TRIM(Enginuity!$A$18)),
      TRIM(B1213)=TRIM(Enginuity!$A$17)
    )
  ),
  ROW(),
  ""
)</f>
        <v/>
      </c>
    </row>
    <row r="1214" spans="1:21" x14ac:dyDescent="0.25">
      <c r="A1214" s="10" t="s">
        <v>253</v>
      </c>
      <c r="B1214" s="229" t="s">
        <v>405</v>
      </c>
      <c r="C1214" s="10" t="s">
        <v>443</v>
      </c>
      <c r="D1214" s="108"/>
      <c r="E1214" s="157"/>
      <c r="F1214" s="14"/>
      <c r="G1214" s="17"/>
      <c r="H1214" s="10"/>
      <c r="I1214" s="17"/>
      <c r="J1214" s="83"/>
      <c r="K1214" s="344"/>
      <c r="L1214" s="347"/>
      <c r="M1214" s="89">
        <v>10</v>
      </c>
      <c r="N1214" s="10" t="s">
        <v>121</v>
      </c>
      <c r="O1214" s="22">
        <f>IF(ISNUMBER(SEARCH("Louvers",Enginuity!$A$19)),AllMaterialsbak!$B$11,AllMaterialsbak!$B$10)</f>
        <v>26.25</v>
      </c>
      <c r="P1214" s="108" t="str">
        <f>$A$10</f>
        <v>Additional Size Complete Set</v>
      </c>
      <c r="Q1214" s="22">
        <f>IF(OR(Enginuity!$B$6="",Enginuity!$B$7=""),"",
 _xlfn.LET(
   _xlpm.w, Enginuity!$B$6,
   _xlpm.h, Enginuity!$B$7,
   _xlpm.p, IF(Enginuity!$B$13="",1,MIN(2,MAX(1,Enginuity!$B$13))),
   _xlpm.baseW, (34/12)*_xlpm.p,
   _xlpm.over, MAX(0, _xlpm.w*MIN(_xlpm.h,8) - MIN(_xlpm.w,_xlpm.baseW)*MIN(7,_xlpm.h)),
   IF(_xlpm.over&gt;0,ROUNDUP(_xlpm.over,0),0)
 )
)</f>
        <v>121</v>
      </c>
      <c r="U1214" s="104" t="str">
        <f>IF(
  AND(
    TRIM(A1214)=TRIM(Enginuity!$A$1),
    TRIM(B1214)=TRIM(Enginuity!$A$17),
    Q1214&lt;&gt;"",
    Q1214&lt;&gt;0,
    OR(
      TRIM(C1214)=TRIM(Enginuity!$A$18),
      AND(UPPER(TRIM(M1214))="STD", TRIM(B1214)=TRIM(Enginuity!$A$17))
    ),
    OR(
      AND(LEFT(P1214,5)="1-Way", Enginuity!$B$13=1),
      AND(LEFT(P1214,5)="2-Way", OR(Enginuity!$B$13=2, Enginuity!$B$13=4)),
      AND(LEFT(P1214,5)="3-Way", OR(Enginuity!$B$13=3, Enginuity!$B$13=6)),
      AND(P1214="Inner Centre Jamb", OR(Enginuity!$B$13=4, Enginuity!$B$13=6)),
      AND(
        LEFT(P1214,5)&lt;&gt;"1-Way",
        LEFT(P1214,5)&lt;&gt;"2-Way",
        LEFT(P1214,5)&lt;&gt;"3-Way",
        P1214&lt;&gt;"Inner Centre Jamb"
      )
    ),
    IF(OR(Enginuity!$A$1="Frameless Glass",Enginuity!$A$1="Metal Work"),
      AND(TRIM(B1214)=TRIM(Enginuity!$A$17),TRIM(C1214)=TRIM(Enginuity!$A$18)),
      TRIM(B1214)=TRIM(Enginuity!$A$17)
    )
  ),
  ROW(),
  ""
)</f>
        <v/>
      </c>
    </row>
    <row r="1215" spans="1:21" x14ac:dyDescent="0.25">
      <c r="A1215" s="10" t="s">
        <v>253</v>
      </c>
      <c r="B1215" s="229" t="s">
        <v>405</v>
      </c>
      <c r="C1215" s="10" t="s">
        <v>443</v>
      </c>
      <c r="D1215" s="14"/>
      <c r="E1215" s="157"/>
      <c r="F1215" s="14"/>
      <c r="G1215" s="17"/>
      <c r="H1215" s="10"/>
      <c r="I1215" s="17"/>
      <c r="J1215" s="83"/>
      <c r="K1215" s="344"/>
      <c r="L1215" s="347"/>
      <c r="M1215" s="89">
        <v>11</v>
      </c>
      <c r="N1215" s="10" t="s">
        <v>121</v>
      </c>
      <c r="O1215" s="22">
        <f>IF(Q1215&lt;&gt;"", $B$19, "")</f>
        <v>29.93</v>
      </c>
      <c r="P1215" s="106" t="s">
        <v>380</v>
      </c>
      <c r="Q1215" s="22">
        <f>IF(Enginuity!$B$7&gt;8,MAX((Enginuity!$B$7-8)*Enginuity!$B$6,3),"")</f>
        <v>100</v>
      </c>
      <c r="U1215" s="104" t="str">
        <f>IF(
  AND(
    TRIM(A1215)=TRIM(Enginuity!$A$1),
    TRIM(B1215)=TRIM(Enginuity!$A$17),
    Q1215&lt;&gt;"",
    Q1215&lt;&gt;0,
    OR(
      TRIM(C1215)=TRIM(Enginuity!$A$18),
      AND(UPPER(TRIM(M1215))="STD", TRIM(B1215)=TRIM(Enginuity!$A$17))
    ),
    OR(
      AND(LEFT(P1215,5)="1-Way", Enginuity!$B$13=1),
      AND(LEFT(P1215,5)="2-Way", OR(Enginuity!$B$13=2, Enginuity!$B$13=4)),
      AND(LEFT(P1215,5)="3-Way", OR(Enginuity!$B$13=3, Enginuity!$B$13=6)),
      AND(P1215="Inner Centre Jamb", OR(Enginuity!$B$13=4, Enginuity!$B$13=6)),
      AND(
        LEFT(P1215,5)&lt;&gt;"1-Way",
        LEFT(P1215,5)&lt;&gt;"2-Way",
        LEFT(P1215,5)&lt;&gt;"3-Way",
        P1215&lt;&gt;"Inner Centre Jamb"
      )
    ),
    IF(OR(Enginuity!$A$1="Frameless Glass",Enginuity!$A$1="Metal Work"),
      AND(TRIM(B1215)=TRIM(Enginuity!$A$17),TRIM(C1215)=TRIM(Enginuity!$A$18)),
      TRIM(B1215)=TRIM(Enginuity!$A$17)
    )
  ),
  ROW(),
  ""
)</f>
        <v/>
      </c>
    </row>
    <row r="1216" spans="1:21" x14ac:dyDescent="0.25">
      <c r="A1216" s="10" t="s">
        <v>253</v>
      </c>
      <c r="B1216" s="229" t="s">
        <v>405</v>
      </c>
      <c r="C1216" s="10" t="s">
        <v>443</v>
      </c>
      <c r="D1216" s="14"/>
      <c r="E1216" s="157"/>
      <c r="F1216" s="14"/>
      <c r="G1216" s="17"/>
      <c r="H1216" s="10"/>
      <c r="I1216" s="17"/>
      <c r="J1216" s="83"/>
      <c r="K1216" s="343"/>
      <c r="L1216" s="347"/>
      <c r="M1216" s="89">
        <v>12</v>
      </c>
      <c r="N1216" s="10" t="s">
        <v>176</v>
      </c>
      <c r="O1216" s="22" t="str">
        <f>IF(Enginuity!$A$21="Supply &amp; Install",$B$20,"")</f>
        <v/>
      </c>
      <c r="P1216" s="106" t="s">
        <v>389</v>
      </c>
      <c r="Q1216" s="22" t="str">
        <f>IF(AND(UPPER(TRIM(Enginuity!$A$21))="SUPPLY &amp; INSTALL",Enginuity!$B$7&gt;8),1,"")</f>
        <v/>
      </c>
      <c r="U1216" s="104" t="str">
        <f>IF(
  AND(
    TRIM(A1216)=TRIM(Enginuity!$A$1),
    TRIM(B1216)=TRIM(Enginuity!$A$17),
    Q1216&lt;&gt;"",
    Q1216&lt;&gt;0,
    OR(
      TRIM(C1216)=TRIM(Enginuity!$A$18),
      AND(UPPER(TRIM(M1216))="STD", TRIM(B1216)=TRIM(Enginuity!$A$17))
    ),
    OR(
      AND(LEFT(P1216,5)="1-Way", Enginuity!$B$13=1),
      AND(LEFT(P1216,5)="2-Way", OR(Enginuity!$B$13=2, Enginuity!$B$13=4)),
      AND(LEFT(P1216,5)="3-Way", OR(Enginuity!$B$13=3, Enginuity!$B$13=6)),
      AND(P1216="Inner Centre Jamb", OR(Enginuity!$B$13=4, Enginuity!$B$13=6)),
      AND(
        LEFT(P1216,5)&lt;&gt;"1-Way",
        LEFT(P1216,5)&lt;&gt;"2-Way",
        LEFT(P1216,5)&lt;&gt;"3-Way",
        P1216&lt;&gt;"Inner Centre Jamb"
      )
    ),
    IF(OR(Enginuity!$A$1="Frameless Glass",Enginuity!$A$1="Metal Work"),
      AND(TRIM(B1216)=TRIM(Enginuity!$A$17),TRIM(C1216)=TRIM(Enginuity!$A$18)),
      TRIM(B1216)=TRIM(Enginuity!$A$17)
    )
  ),
  ROW(),
  ""
)</f>
        <v/>
      </c>
    </row>
    <row r="1217" spans="1:21" x14ac:dyDescent="0.25">
      <c r="A1217" s="10" t="s">
        <v>253</v>
      </c>
      <c r="B1217" s="229" t="s">
        <v>405</v>
      </c>
      <c r="C1217" s="10" t="s">
        <v>443</v>
      </c>
      <c r="D1217" s="14"/>
      <c r="E1217" s="157"/>
      <c r="F1217" s="14"/>
      <c r="G1217" s="17"/>
      <c r="H1217" s="10"/>
      <c r="I1217" s="17"/>
      <c r="J1217" s="83"/>
      <c r="K1217" s="343"/>
      <c r="L1217" s="347"/>
      <c r="M1217" s="89">
        <v>13</v>
      </c>
      <c r="N1217" s="10" t="s">
        <v>121</v>
      </c>
      <c r="O1217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17" s="106" t="str">
        <f>Enginuity!$A$20</f>
        <v>Z-Louvre Blade - 5"</v>
      </c>
      <c r="Q1217" s="22" t="str">
        <f>IF(O1217&lt;&gt;"",IF(Enginuity!$B$6&gt;4,Enginuity!$B$13,1),"")</f>
        <v/>
      </c>
      <c r="U1217" s="104" t="str">
        <f>IF(
  AND(
    TRIM(A1217)=TRIM(Enginuity!$A$1),
    TRIM(B1217)=TRIM(Enginuity!$A$17),
    Q1217&lt;&gt;"",
    Q1217&lt;&gt;0,
    OR(
      TRIM(C1217)=TRIM(Enginuity!$A$18),
      AND(UPPER(TRIM(M1217))="STD", TRIM(B1217)=TRIM(Enginuity!$A$17))
    ),
    OR(
      AND(LEFT(P1217,5)="1-Way", Enginuity!$B$13=1),
      AND(LEFT(P1217,5)="2-Way", OR(Enginuity!$B$13=2, Enginuity!$B$13=4)),
      AND(LEFT(P1217,5)="3-Way", OR(Enginuity!$B$13=3, Enginuity!$B$13=6)),
      AND(P1217="Inner Centre Jamb", OR(Enginuity!$B$13=4, Enginuity!$B$13=6)),
      AND(
        LEFT(P1217,5)&lt;&gt;"1-Way",
        LEFT(P1217,5)&lt;&gt;"2-Way",
        LEFT(P1217,5)&lt;&gt;"3-Way",
        P1217&lt;&gt;"Inner Centre Jamb"
      )
    ),
    IF(OR(Enginuity!$A$1="Frameless Glass",Enginuity!$A$1="Metal Work"),
      AND(TRIM(B1217)=TRIM(Enginuity!$A$17),TRIM(C1217)=TRIM(Enginuity!$A$18)),
      TRIM(B1217)=TRIM(Enginuity!$A$17)
    )
  ),
  ROW(),
  ""
)</f>
        <v/>
      </c>
    </row>
    <row r="1218" spans="1:21" x14ac:dyDescent="0.25">
      <c r="A1218" s="10" t="s">
        <v>253</v>
      </c>
      <c r="B1218" s="229" t="s">
        <v>405</v>
      </c>
      <c r="C1218" s="10" t="s">
        <v>443</v>
      </c>
      <c r="D1218" s="14"/>
      <c r="E1218" s="157"/>
      <c r="F1218" s="14"/>
      <c r="G1218" s="17"/>
      <c r="H1218" s="10"/>
      <c r="I1218" s="17"/>
      <c r="J1218" s="83"/>
      <c r="K1218" s="343"/>
      <c r="L1218" s="347"/>
      <c r="M1218" s="89">
        <v>14</v>
      </c>
      <c r="N1218" s="10" t="s">
        <v>176</v>
      </c>
      <c r="O1218" s="22" t="str">
        <f>IF(Enginuity!$A$21="Supply &amp; Install",68,
IF(Enginuity!$A$21="Supply &amp; Courier",20,
IF(Enginuity!$A$21="Self Collect",0,
"")))</f>
        <v/>
      </c>
      <c r="P1218" s="5" t="str">
        <f>Enginuity!$A$21</f>
        <v>SF 4"</v>
      </c>
      <c r="Q1218" s="22" t="str">
        <f>IF(O1218&lt;&gt;"",IF(Enginuity!$B$6&gt;4,Enginuity!$B$13,1),"")</f>
        <v/>
      </c>
      <c r="U1218" s="104" t="str">
        <f>IF(
  AND(
    TRIM(A1218)=TRIM(Enginuity!$A$1),
    TRIM(B1218)=TRIM(Enginuity!$A$17),
    Q1218&lt;&gt;"",
    Q1218&lt;&gt;0,
    OR(
      TRIM(C1218)=TRIM(Enginuity!$A$18),
      AND(UPPER(TRIM(M1218))="STD", TRIM(B1218)=TRIM(Enginuity!$A$17))
    ),
    OR(
      AND(LEFT(P1218,5)="1-Way", Enginuity!$B$13=1),
      AND(LEFT(P1218,5)="2-Way", OR(Enginuity!$B$13=2, Enginuity!$B$13=4)),
      AND(LEFT(P1218,5)="3-Way", OR(Enginuity!$B$13=3, Enginuity!$B$13=6)),
      AND(P1218="Inner Centre Jamb", OR(Enginuity!$B$13=4, Enginuity!$B$13=6)),
      AND(
        LEFT(P1218,5)&lt;&gt;"1-Way",
        LEFT(P1218,5)&lt;&gt;"2-Way",
        LEFT(P1218,5)&lt;&gt;"3-Way",
        P1218&lt;&gt;"Inner Centre Jamb"
      )
    ),
    IF(OR(Enginuity!$A$1="Frameless Glass",Enginuity!$A$1="Metal Work"),
      AND(TRIM(B1218)=TRIM(Enginuity!$A$17),TRIM(C1218)=TRIM(Enginuity!$A$18)),
      TRIM(B1218)=TRIM(Enginuity!$A$17)
    )
  ),
  ROW(),
  ""
)</f>
        <v/>
      </c>
    </row>
    <row r="1219" spans="1:21" x14ac:dyDescent="0.25">
      <c r="A1219" s="10" t="s">
        <v>253</v>
      </c>
      <c r="B1219" s="229" t="s">
        <v>405</v>
      </c>
      <c r="C1219" s="10" t="s">
        <v>443</v>
      </c>
      <c r="D1219" s="14"/>
      <c r="E1219" s="157"/>
      <c r="F1219" s="14"/>
      <c r="G1219" s="17"/>
      <c r="H1219" s="10"/>
      <c r="I1219" s="17"/>
      <c r="J1219" s="83"/>
      <c r="K1219" s="343"/>
      <c r="L1219" s="347"/>
      <c r="M1219" s="89">
        <v>15</v>
      </c>
      <c r="N1219" s="10" t="s">
        <v>112</v>
      </c>
      <c r="O1219" s="22">
        <v>25</v>
      </c>
      <c r="P1219" s="14" t="s">
        <v>300</v>
      </c>
      <c r="Q1219" s="22" t="str">
        <f>IF(ROUND(Enginuity!$B$13,0)=2,2,"")</f>
        <v/>
      </c>
      <c r="U1219" s="104" t="str">
        <f>IF(
  AND(
    TRIM(A1219)=TRIM(Enginuity!$A$1),
    TRIM(B1219)=TRIM(Enginuity!$A$17),
    Q1219&lt;&gt;"",
    Q1219&lt;&gt;0,
    OR(
      TRIM(C1219)=TRIM(Enginuity!$A$18),
      AND(UPPER(TRIM(M1219))="STD", TRIM(B1219)=TRIM(Enginuity!$A$17))
    ),
    OR(
      AND(LEFT(P1219,5)="1-Way", Enginuity!$B$13=1),
      AND(LEFT(P1219,5)="2-Way", OR(Enginuity!$B$13=2, Enginuity!$B$13=4)),
      AND(LEFT(P1219,5)="3-Way", OR(Enginuity!$B$13=3, Enginuity!$B$13=6)),
      AND(P1219="Inner Centre Jamb", OR(Enginuity!$B$13=4, Enginuity!$B$13=6)),
      AND(
        LEFT(P1219,5)&lt;&gt;"1-Way",
        LEFT(P1219,5)&lt;&gt;"2-Way",
        LEFT(P1219,5)&lt;&gt;"3-Way",
        P1219&lt;&gt;"Inner Centre Jamb"
      )
    ),
    IF(OR(Enginuity!$A$1="Frameless Glass",Enginuity!$A$1="Metal Work"),
      AND(TRIM(B1219)=TRIM(Enginuity!$A$17),TRIM(C1219)=TRIM(Enginuity!$A$18)),
      TRIM(B1219)=TRIM(Enginuity!$A$17)
    )
  ),
  ROW(),
  ""
)</f>
        <v/>
      </c>
    </row>
    <row r="1220" spans="1:21" x14ac:dyDescent="0.25">
      <c r="A1220" s="10" t="s">
        <v>253</v>
      </c>
      <c r="B1220" s="229" t="s">
        <v>405</v>
      </c>
      <c r="C1220" s="10" t="s">
        <v>443</v>
      </c>
      <c r="D1220" s="14"/>
      <c r="E1220" s="157"/>
      <c r="F1220" s="14"/>
      <c r="G1220" s="17"/>
      <c r="H1220" s="10"/>
      <c r="I1220" s="17"/>
      <c r="J1220" s="83"/>
      <c r="K1220" s="343"/>
      <c r="L1220" s="347"/>
      <c r="M1220" s="89">
        <v>16</v>
      </c>
      <c r="N1220" s="10" t="s">
        <v>112</v>
      </c>
      <c r="O1220" s="22">
        <v>12</v>
      </c>
      <c r="P1220" s="14" t="s">
        <v>299</v>
      </c>
      <c r="Q1220" s="22" t="str">
        <f>IF(ROUND(Enginuity!$B$13,0)=2,2,"")</f>
        <v/>
      </c>
      <c r="U1220" s="104" t="str">
        <f>IF(
  AND(
    TRIM(A1220)=TRIM(Enginuity!$A$1),
    TRIM(B1220)=TRIM(Enginuity!$A$17),
    Q1220&lt;&gt;"",
    Q1220&lt;&gt;0,
    OR(
      TRIM(C1220)=TRIM(Enginuity!$A$18),
      AND(UPPER(TRIM(M1220))="STD", TRIM(B1220)=TRIM(Enginuity!$A$17))
    ),
    OR(
      AND(LEFT(P1220,5)="1-Way", Enginuity!$B$13=1),
      AND(LEFT(P1220,5)="2-Way", OR(Enginuity!$B$13=2, Enginuity!$B$13=4)),
      AND(LEFT(P1220,5)="3-Way", OR(Enginuity!$B$13=3, Enginuity!$B$13=6)),
      AND(P1220="Inner Centre Jamb", OR(Enginuity!$B$13=4, Enginuity!$B$13=6)),
      AND(
        LEFT(P1220,5)&lt;&gt;"1-Way",
        LEFT(P1220,5)&lt;&gt;"2-Way",
        LEFT(P1220,5)&lt;&gt;"3-Way",
        P1220&lt;&gt;"Inner Centre Jamb"
      )
    ),
    IF(OR(Enginuity!$A$1="Frameless Glass",Enginuity!$A$1="Metal Work"),
      AND(TRIM(B1220)=TRIM(Enginuity!$A$17),TRIM(C1220)=TRIM(Enginuity!$A$18)),
      TRIM(B1220)=TRIM(Enginuity!$A$17)
    )
  ),
  ROW(),
  ""
)</f>
        <v/>
      </c>
    </row>
    <row r="1221" spans="1:21" x14ac:dyDescent="0.25">
      <c r="A1221" s="10" t="s">
        <v>253</v>
      </c>
      <c r="B1221" s="229" t="s">
        <v>405</v>
      </c>
      <c r="C1221" s="10" t="s">
        <v>443</v>
      </c>
      <c r="D1221" s="14"/>
      <c r="E1221" s="157"/>
      <c r="F1221" s="14"/>
      <c r="G1221" s="17"/>
      <c r="H1221" s="10"/>
      <c r="I1221" s="17"/>
      <c r="J1221" s="83"/>
      <c r="K1221" s="343"/>
      <c r="L1221" s="347"/>
      <c r="M1221" s="89">
        <v>17</v>
      </c>
      <c r="N1221" s="10" t="s">
        <v>176</v>
      </c>
      <c r="O1221" s="22" cm="1">
        <f t="array" ref="O1221">IFERROR(
 IF(COUNTA(O1224:O1226,Q1224:Q1226)=0,"",
  SUMPRODUCT(
   IFERROR(VALUE(SUBSTITUTE(TRIM(O1224:O1226),CHAR(160),"")),0),
   IFERROR(VALUE(SUBSTITUTE(TRIM(Q1224:Q1226),CHAR(160),"")),0)
  )
 ),
"")</f>
        <v>922.7924999999999</v>
      </c>
      <c r="P1221" s="106" t="str">
        <f>Enginuity!$A$22</f>
        <v>▼ [Lattice]</v>
      </c>
      <c r="Q1221" s="22" t="str">
        <f>IFERROR(IF(UPPER(TRIM(P1221))="DOOR FRAME",1,""),"")</f>
        <v/>
      </c>
      <c r="U1221" s="104" t="str">
        <f>IF(
  AND(
    TRIM(A1221)=TRIM(Enginuity!$A$1),
    TRIM(B1221)=TRIM(Enginuity!$A$17),
    Q1221&lt;&gt;"",
    Q1221&lt;&gt;0,
    OR(
      TRIM(C1221)=TRIM(Enginuity!$A$18),
      AND(UPPER(TRIM(M1221))="STD", TRIM(B1221)=TRIM(Enginuity!$A$17))
    ),
    OR(
      AND(LEFT(P1221,5)="1-Way", Enginuity!$B$13=1),
      AND(LEFT(P1221,5)="2-Way", OR(Enginuity!$B$13=2, Enginuity!$B$13=4)),
      AND(LEFT(P1221,5)="3-Way", OR(Enginuity!$B$13=3, Enginuity!$B$13=6)),
      AND(P1221="Inner Centre Jamb", OR(Enginuity!$B$13=4, Enginuity!$B$13=6)),
      AND(
        LEFT(P1221,5)&lt;&gt;"1-Way",
        LEFT(P1221,5)&lt;&gt;"2-Way",
        LEFT(P1221,5)&lt;&gt;"3-Way",
        P1221&lt;&gt;"Inner Centre Jamb"
      )
    ),
    IF(OR(Enginuity!$A$1="Frameless Glass",Enginuity!$A$1="Metal Work"),
      AND(TRIM(B1221)=TRIM(Enginuity!$A$17),TRIM(C1221)=TRIM(Enginuity!$A$18)),
      TRIM(B1221)=TRIM(Enginuity!$A$17)
    )
  ),
  ROW(),
  ""
)</f>
        <v/>
      </c>
    </row>
    <row r="1222" spans="1:21" x14ac:dyDescent="0.25">
      <c r="A1222" s="10" t="s">
        <v>253</v>
      </c>
      <c r="B1222" s="229" t="s">
        <v>405</v>
      </c>
      <c r="C1222" s="10" t="s">
        <v>443</v>
      </c>
      <c r="D1222" s="14"/>
      <c r="E1222" s="248"/>
      <c r="F1222" s="113"/>
      <c r="G1222" s="17"/>
      <c r="H1222" s="10"/>
      <c r="I1222" s="17"/>
      <c r="J1222" s="83"/>
      <c r="K1222" s="343"/>
      <c r="L1222" s="347"/>
      <c r="M1222" s="89">
        <v>18</v>
      </c>
      <c r="N1222" s="10" t="s">
        <v>176</v>
      </c>
      <c r="O1222" s="22" t="str">
        <f>IF(Enginuity!$A$23="HDS-3501 Square Half Deadbolt", $B$22, "")</f>
        <v/>
      </c>
      <c r="P1222" s="106">
        <f>Enginuity!$A$23</f>
        <v>0</v>
      </c>
      <c r="Q1222" s="22" t="str">
        <f>IFERROR(IF(UPPER(TRIM(P1222))="HDS-3501 SQUARE HALF DEADBOLT",1,""),"")</f>
        <v/>
      </c>
      <c r="U1222" s="104" t="str">
        <f>IF(
  AND(
    TRIM(A1222)=TRIM(Enginuity!$A$1),
    TRIM(B1222)=TRIM(Enginuity!$A$17),
    Q1222&lt;&gt;"",
    Q1222&lt;&gt;0,
    OR(
      TRIM(C1222)=TRIM(Enginuity!$A$18),
      AND(UPPER(TRIM(M1222))="STD", TRIM(B1222)=TRIM(Enginuity!$A$17))
    ),
    OR(
      AND(LEFT(P1222,5)="1-Way", Enginuity!$B$13=1),
      AND(LEFT(P1222,5)="2-Way", OR(Enginuity!$B$13=2, Enginuity!$B$13=4)),
      AND(LEFT(P1222,5)="3-Way", OR(Enginuity!$B$13=3, Enginuity!$B$13=6)),
      AND(P1222="Inner Centre Jamb", OR(Enginuity!$B$13=4, Enginuity!$B$13=6)),
      AND(
        LEFT(P1222,5)&lt;&gt;"1-Way",
        LEFT(P1222,5)&lt;&gt;"2-Way",
        LEFT(P1222,5)&lt;&gt;"3-Way",
        P1222&lt;&gt;"Inner Centre Jamb"
      )
    ),
    IF(OR(Enginuity!$A$1="Frameless Glass",Enginuity!$A$1="Metal Work"),
      AND(TRIM(B1222)=TRIM(Enginuity!$A$17),TRIM(C1222)=TRIM(Enginuity!$A$18)),
      TRIM(B1222)=TRIM(Enginuity!$A$17)
    )
  ),
  ROW(),
  ""
)</f>
        <v/>
      </c>
    </row>
    <row r="1223" spans="1:21" x14ac:dyDescent="0.25">
      <c r="A1223" s="17" t="s">
        <v>253</v>
      </c>
      <c r="B1223" s="230" t="s">
        <v>405</v>
      </c>
      <c r="C1223" s="17" t="s">
        <v>443</v>
      </c>
      <c r="D1223" s="18"/>
      <c r="E1223" s="249"/>
      <c r="F1223" s="142"/>
      <c r="G1223" s="17"/>
      <c r="H1223" s="17"/>
      <c r="I1223" s="17"/>
      <c r="J1223" s="84"/>
      <c r="K1223" s="343"/>
      <c r="L1223" s="347"/>
      <c r="M1223" s="90">
        <v>19</v>
      </c>
      <c r="N1223" s="17"/>
      <c r="O1223" s="25"/>
      <c r="P1223" s="18"/>
      <c r="Q1223" s="25"/>
      <c r="U1223" s="104" t="str">
        <f>IF(
  AND(
    TRIM(A1223)=TRIM(Enginuity!$A$1),
    TRIM(B1223)=TRIM(Enginuity!$A$17),
    Q1223&lt;&gt;"",
    Q1223&lt;&gt;0,
    OR(
      TRIM(C1223)=TRIM(Enginuity!$A$18),
      AND(UPPER(TRIM(M1223))="STD", TRIM(B1223)=TRIM(Enginuity!$A$17))
    ),
    OR(
      AND(LEFT(P1223,5)="1-Way", Enginuity!$B$13=1),
      AND(LEFT(P1223,5)="2-Way", OR(Enginuity!$B$13=2, Enginuity!$B$13=4)),
      AND(LEFT(P1223,5)="3-Way", OR(Enginuity!$B$13=3, Enginuity!$B$13=6)),
      AND(P1223="Inner Centre Jamb", OR(Enginuity!$B$13=4, Enginuity!$B$13=6)),
      AND(
        LEFT(P1223,5)&lt;&gt;"1-Way",
        LEFT(P1223,5)&lt;&gt;"2-Way",
        LEFT(P1223,5)&lt;&gt;"3-Way",
        P1223&lt;&gt;"Inner Centre Jamb"
      )
    ),
    IF(OR(Enginuity!$A$1="Frameless Glass",Enginuity!$A$1="Metal Work"),
      AND(TRIM(B1223)=TRIM(Enginuity!$A$17),TRIM(C1223)=TRIM(Enginuity!$A$18)),
      TRIM(B1223)=TRIM(Enginuity!$A$17)
    )
  ),
  ROW(),
  ""
)</f>
        <v/>
      </c>
    </row>
    <row r="1224" spans="1:21" x14ac:dyDescent="0.25">
      <c r="A1224" s="10" t="s">
        <v>253</v>
      </c>
      <c r="B1224" s="229" t="s">
        <v>442</v>
      </c>
      <c r="C1224" s="10" t="s">
        <v>444</v>
      </c>
      <c r="D1224" s="14" t="s">
        <v>445</v>
      </c>
      <c r="E1224" s="157"/>
      <c r="F1224" s="113" t="s">
        <v>382</v>
      </c>
      <c r="G1224" s="17"/>
      <c r="H1224" s="10"/>
      <c r="I1224" s="17"/>
      <c r="J1224" s="83"/>
      <c r="K1224" s="344">
        <v>0.215</v>
      </c>
      <c r="L1224" s="347">
        <v>863.6</v>
      </c>
      <c r="M1224" s="89">
        <v>20</v>
      </c>
      <c r="N1224" s="10" t="s">
        <v>176</v>
      </c>
      <c r="O1224" s="22">
        <v>131.25</v>
      </c>
      <c r="P1224" s="14" t="s">
        <v>445</v>
      </c>
      <c r="Q1224" s="22" t="str">
        <f>IF(O1226&lt;&gt;"",1,"")</f>
        <v/>
      </c>
      <c r="U1224" s="104" t="str">
        <f>IF(
  AND(
    TRIM(A1224)=TRIM(Enginuity!$A$1),
    TRIM(B1224)=TRIM(Enginuity!$A$17),
    Q1224&lt;&gt;"",
    Q1224&lt;&gt;0,
    OR(
      TRIM(C1224)=TRIM(Enginuity!$A$18),
      AND(UPPER(TRIM(M1224))="STD", TRIM(B1224)=TRIM(Enginuity!$A$17))
    ),
    OR(
      AND(LEFT(P1224,5)="1-Way", Enginuity!$B$13=1),
      AND(LEFT(P1224,5)="2-Way", OR(Enginuity!$B$13=2, Enginuity!$B$13=4)),
      AND(LEFT(P1224,5)="3-Way", OR(Enginuity!$B$13=3, Enginuity!$B$13=6)),
      AND(P1224="Inner Centre Jamb", OR(Enginuity!$B$13=4, Enginuity!$B$13=6)),
      AND(
        LEFT(P1224,5)&lt;&gt;"1-Way",
        LEFT(P1224,5)&lt;&gt;"2-Way",
        LEFT(P1224,5)&lt;&gt;"3-Way",
        P1224&lt;&gt;"Inner Centre Jamb"
      )
    ),
    IF(OR(Enginuity!$A$1="Frameless Glass",Enginuity!$A$1="Metal Work"),
      AND(TRIM(B1224)=TRIM(Enginuity!$A$17),TRIM(C1224)=TRIM(Enginuity!$A$18)),
      TRIM(B1224)=TRIM(Enginuity!$A$17)
    )
  ),
  ROW(),
  ""
)</f>
        <v/>
      </c>
    </row>
    <row r="1225" spans="1:21" x14ac:dyDescent="0.25">
      <c r="A1225" s="10" t="s">
        <v>253</v>
      </c>
      <c r="B1225" s="229" t="s">
        <v>442</v>
      </c>
      <c r="C1225" s="10" t="s">
        <v>444</v>
      </c>
      <c r="D1225" s="14"/>
      <c r="E1225" s="157"/>
      <c r="F1225" s="113" t="s">
        <v>383</v>
      </c>
      <c r="G1225" s="17"/>
      <c r="H1225" s="10"/>
      <c r="I1225" s="17"/>
      <c r="J1225" s="83"/>
      <c r="K1225" s="343"/>
      <c r="L1225" s="347"/>
      <c r="M1225" s="89">
        <v>21</v>
      </c>
      <c r="N1225" s="10" t="s">
        <v>446</v>
      </c>
      <c r="O1225" s="22">
        <v>3.15</v>
      </c>
      <c r="P1225" s="108" t="str">
        <f>$A$10</f>
        <v>Additional Size Complete Set</v>
      </c>
      <c r="Q1225" s="22">
        <f>IF(
  CEILING(MAX(0,Enginuity!$B$6*12-34),3)/3 + CEILING(MAX(0,Enginuity!$B$7*12-84),3)/3 = 0,
  "",
  ( CEILING(MAX(0,Enginuity!$B$6*12-34),3)/3 + CEILING(MAX(0,Enginuity!$B$7*12-84),3)/3 ) * $O$1225
)</f>
        <v>292.95</v>
      </c>
      <c r="U1225" s="104" t="str">
        <f>IF(
  AND(
    TRIM(A1225)=TRIM(Enginuity!$A$1),
    TRIM(B1225)=TRIM(Enginuity!$A$17),
    Q1225&lt;&gt;"",
    Q1225&lt;&gt;0,
    OR(
      TRIM(C1225)=TRIM(Enginuity!$A$18),
      AND(UPPER(TRIM(M1225))="STD", TRIM(B1225)=TRIM(Enginuity!$A$17))
    ),
    OR(
      AND(LEFT(P1225,5)="1-Way", Enginuity!$B$13=1),
      AND(LEFT(P1225,5)="2-Way", OR(Enginuity!$B$13=2, Enginuity!$B$13=4)),
      AND(LEFT(P1225,5)="3-Way", OR(Enginuity!$B$13=3, Enginuity!$B$13=6)),
      AND(P1225="Inner Centre Jamb", OR(Enginuity!$B$13=4, Enginuity!$B$13=6)),
      AND(
        LEFT(P1225,5)&lt;&gt;"1-Way",
        LEFT(P1225,5)&lt;&gt;"2-Way",
        LEFT(P1225,5)&lt;&gt;"3-Way",
        P1225&lt;&gt;"Inner Centre Jamb"
      )
    ),
    IF(OR(Enginuity!$A$1="Frameless Glass",Enginuity!$A$1="Metal Work"),
      AND(TRIM(B1225)=TRIM(Enginuity!$A$17),TRIM(C1225)=TRIM(Enginuity!$A$18)),
      TRIM(B1225)=TRIM(Enginuity!$A$17)
    )
  ),
  ROW(),
  ""
)</f>
        <v/>
      </c>
    </row>
    <row r="1226" spans="1:21" x14ac:dyDescent="0.25">
      <c r="A1226" s="10" t="s">
        <v>253</v>
      </c>
      <c r="B1226" s="229" t="s">
        <v>442</v>
      </c>
      <c r="C1226" s="10" t="s">
        <v>444</v>
      </c>
      <c r="D1226" s="14"/>
      <c r="E1226" s="157"/>
      <c r="F1226" s="14" t="s">
        <v>384</v>
      </c>
      <c r="G1226" s="17"/>
      <c r="H1226" s="10"/>
      <c r="I1226" s="17"/>
      <c r="J1226" s="83"/>
      <c r="K1226" s="343"/>
      <c r="L1226" s="347"/>
      <c r="M1226" s="89">
        <v>22</v>
      </c>
      <c r="N1226" s="10" t="s">
        <v>176</v>
      </c>
      <c r="O1226" s="22" t="str">
        <f>IF(Enginuity!$A$21="Supply &amp; Install",65,
IF(Enginuity!$A$21="Supply &amp; Courier",20,
IF(Enginuity!$A$21="Self Collect",0,
"")))</f>
        <v/>
      </c>
      <c r="P1226" s="106" t="str">
        <f>Enginuity!$A$21</f>
        <v>SF 4"</v>
      </c>
      <c r="Q1226" s="22" t="str">
        <f>IF(O1226&lt;&gt;"",1,"")</f>
        <v/>
      </c>
      <c r="U1226" s="104" t="str">
        <f>IF(
  AND(
    TRIM(A1226)=TRIM(Enginuity!$A$1),
    TRIM(B1226)=TRIM(Enginuity!$A$17),
    Q1226&lt;&gt;"",
    Q1226&lt;&gt;0,
    OR(
      TRIM(C1226)=TRIM(Enginuity!$A$18),
      AND(UPPER(TRIM(M1226))="STD", TRIM(B1226)=TRIM(Enginuity!$A$17))
    ),
    OR(
      AND(LEFT(P1226,5)="1-Way", Enginuity!$B$13=1),
      AND(LEFT(P1226,5)="2-Way", OR(Enginuity!$B$13=2, Enginuity!$B$13=4)),
      AND(LEFT(P1226,5)="3-Way", OR(Enginuity!$B$13=3, Enginuity!$B$13=6)),
      AND(P1226="Inner Centre Jamb", OR(Enginuity!$B$13=4, Enginuity!$B$13=6)),
      AND(
        LEFT(P1226,5)&lt;&gt;"1-Way",
        LEFT(P1226,5)&lt;&gt;"2-Way",
        LEFT(P1226,5)&lt;&gt;"3-Way",
        P1226&lt;&gt;"Inner Centre Jamb"
      )
    ),
    IF(OR(Enginuity!$A$1="Frameless Glass",Enginuity!$A$1="Metal Work"),
      AND(TRIM(B1226)=TRIM(Enginuity!$A$17),TRIM(C1226)=TRIM(Enginuity!$A$18)),
      TRIM(B1226)=TRIM(Enginuity!$A$17)
    )
  ),
  ROW(),
  ""
)</f>
        <v/>
      </c>
    </row>
    <row r="1227" spans="1:21" x14ac:dyDescent="0.25">
      <c r="A1227" s="10" t="s">
        <v>253</v>
      </c>
      <c r="B1227" s="229" t="s">
        <v>442</v>
      </c>
      <c r="C1227" s="10" t="s">
        <v>444</v>
      </c>
      <c r="D1227" s="14"/>
      <c r="E1227" s="157"/>
      <c r="F1227" s="14"/>
      <c r="G1227" s="17"/>
      <c r="H1227" s="10"/>
      <c r="I1227" s="17"/>
      <c r="J1227" s="83"/>
      <c r="K1227" s="343"/>
      <c r="L1227" s="347"/>
      <c r="M1227" s="89">
        <v>23</v>
      </c>
      <c r="N1227" s="10"/>
      <c r="O1227" s="22"/>
      <c r="P1227" s="5"/>
      <c r="Q1227" s="22"/>
      <c r="U1227" s="104" t="str">
        <f>IF(
  AND(
    TRIM(A1227)=TRIM(Enginuity!$A$1),
    TRIM(B1227)=TRIM(Enginuity!$A$17),
    Q1227&lt;&gt;"",
    Q1227&lt;&gt;0,
    OR(
      TRIM(C1227)=TRIM(Enginuity!$A$18),
      AND(UPPER(TRIM(M1227))="STD", TRIM(B1227)=TRIM(Enginuity!$A$17))
    ),
    OR(
      AND(LEFT(P1227,5)="1-Way", Enginuity!$B$13=1),
      AND(LEFT(P1227,5)="2-Way", OR(Enginuity!$B$13=2, Enginuity!$B$13=4)),
      AND(LEFT(P1227,5)="3-Way", OR(Enginuity!$B$13=3, Enginuity!$B$13=6)),
      AND(P1227="Inner Centre Jamb", OR(Enginuity!$B$13=4, Enginuity!$B$13=6)),
      AND(
        LEFT(P1227,5)&lt;&gt;"1-Way",
        LEFT(P1227,5)&lt;&gt;"2-Way",
        LEFT(P1227,5)&lt;&gt;"3-Way",
        P1227&lt;&gt;"Inner Centre Jamb"
      )
    ),
    IF(OR(Enginuity!$A$1="Frameless Glass",Enginuity!$A$1="Metal Work"),
      AND(TRIM(B1227)=TRIM(Enginuity!$A$17),TRIM(C1227)=TRIM(Enginuity!$A$18)),
      TRIM(B1227)=TRIM(Enginuity!$A$17)
    )
  ),
  ROW(),
  ""
)</f>
        <v/>
      </c>
    </row>
    <row r="1228" spans="1:21" x14ac:dyDescent="0.25">
      <c r="A1228" s="10" t="s">
        <v>253</v>
      </c>
      <c r="B1228" s="229"/>
      <c r="C1228" s="10"/>
      <c r="D1228" s="14"/>
      <c r="E1228" s="157"/>
      <c r="F1228" s="14"/>
      <c r="G1228" s="17"/>
      <c r="H1228" s="10"/>
      <c r="I1228" s="17"/>
      <c r="J1228" s="83"/>
      <c r="K1228" s="343"/>
      <c r="L1228" s="347"/>
      <c r="M1228" s="89">
        <v>24</v>
      </c>
      <c r="N1228" s="10"/>
      <c r="O1228" s="22"/>
      <c r="P1228" s="106"/>
      <c r="Q1228" s="22"/>
      <c r="U1228" s="104" t="str">
        <f>IF(
  AND(
    TRIM(A1228)=TRIM(Enginuity!$A$1),
    TRIM(B1228)=TRIM(Enginuity!$A$17),
    Q1228&lt;&gt;"",
    Q1228&lt;&gt;0,
    OR(
      TRIM(C1228)=TRIM(Enginuity!$A$18),
      AND(UPPER(TRIM(M1228))="STD", TRIM(B1228)=TRIM(Enginuity!$A$17))
    ),
    OR(
      AND(LEFT(P1228,5)="1-Way", Enginuity!$B$13=1),
      AND(LEFT(P1228,5)="2-Way", OR(Enginuity!$B$13=2, Enginuity!$B$13=4)),
      AND(LEFT(P1228,5)="3-Way", OR(Enginuity!$B$13=3, Enginuity!$B$13=6)),
      AND(P1228="Inner Centre Jamb", OR(Enginuity!$B$13=4, Enginuity!$B$13=6)),
      AND(
        LEFT(P1228,5)&lt;&gt;"1-Way",
        LEFT(P1228,5)&lt;&gt;"2-Way",
        LEFT(P1228,5)&lt;&gt;"3-Way",
        P1228&lt;&gt;"Inner Centre Jamb"
      )
    ),
    IF(OR(Enginuity!$A$1="Frameless Glass",Enginuity!$A$1="Metal Work"),
      AND(TRIM(B1228)=TRIM(Enginuity!$A$17),TRIM(C1228)=TRIM(Enginuity!$A$18)),
      TRIM(B1228)=TRIM(Enginuity!$A$17)
    )
  ),
  ROW(),
  ""
)</f>
        <v/>
      </c>
    </row>
    <row r="1229" spans="1:21" x14ac:dyDescent="0.25">
      <c r="A1229" s="17" t="s">
        <v>253</v>
      </c>
      <c r="B1229" s="230"/>
      <c r="C1229" s="17"/>
      <c r="D1229" s="18"/>
      <c r="E1229" s="238"/>
      <c r="F1229" s="18"/>
      <c r="G1229" s="17"/>
      <c r="H1229" s="17"/>
      <c r="I1229" s="17"/>
      <c r="J1229" s="84"/>
      <c r="K1229" s="343"/>
      <c r="L1229" s="347"/>
      <c r="M1229" s="90">
        <v>25</v>
      </c>
      <c r="N1229" s="17"/>
      <c r="O1229" s="25"/>
      <c r="P1229" s="143"/>
      <c r="Q1229" s="25"/>
      <c r="U1229" s="104" t="str">
        <f>IF(
  AND(
    TRIM(A1229)=TRIM(Enginuity!$A$1),
    TRIM(B1229)=TRIM(Enginuity!$A$17),
    Q1229&lt;&gt;"",
    Q1229&lt;&gt;0,
    OR(
      TRIM(C1229)=TRIM(Enginuity!$A$18),
      AND(UPPER(TRIM(M1229))="STD", TRIM(B1229)=TRIM(Enginuity!$A$17))
    ),
    OR(
      AND(LEFT(P1229,5)="1-Way", Enginuity!$B$13=1),
      AND(LEFT(P1229,5)="2-Way", OR(Enginuity!$B$13=2, Enginuity!$B$13=4)),
      AND(LEFT(P1229,5)="3-Way", OR(Enginuity!$B$13=3, Enginuity!$B$13=6)),
      AND(P1229="Inner Centre Jamb", OR(Enginuity!$B$13=4, Enginuity!$B$13=6)),
      AND(
        LEFT(P1229,5)&lt;&gt;"1-Way",
        LEFT(P1229,5)&lt;&gt;"2-Way",
        LEFT(P1229,5)&lt;&gt;"3-Way",
        P1229&lt;&gt;"Inner Centre Jamb"
      )
    ),
    IF(OR(Enginuity!$A$1="Frameless Glass",Enginuity!$A$1="Metal Work"),
      AND(TRIM(B1229)=TRIM(Enginuity!$A$17),TRIM(C1229)=TRIM(Enginuity!$A$18)),
      TRIM(B1229)=TRIM(Enginuity!$A$17)
    )
  ),
  ROW(),
  ""
)</f>
        <v/>
      </c>
    </row>
    <row r="1230" spans="1:21" x14ac:dyDescent="0.25">
      <c r="A1230" s="10" t="s">
        <v>253</v>
      </c>
      <c r="B1230" s="229" t="s">
        <v>457</v>
      </c>
      <c r="C1230" s="10" t="s">
        <v>458</v>
      </c>
      <c r="D1230" s="14" t="str">
        <f>P1230</f>
        <v>Below 36" x 84" ecobonz 2.5mm Glossy / VACP 800 Series</v>
      </c>
      <c r="E1230" s="248" t="s">
        <v>375</v>
      </c>
      <c r="F1230" s="113" t="s">
        <v>382</v>
      </c>
      <c r="G1230" s="17"/>
      <c r="H1230" s="10"/>
      <c r="I1230" s="17"/>
      <c r="J1230" s="83"/>
      <c r="K1230" s="344">
        <v>0.35718800000000001</v>
      </c>
      <c r="L1230" s="347">
        <v>914.4</v>
      </c>
      <c r="M1230" s="89">
        <v>26</v>
      </c>
      <c r="N1230" s="10" t="s">
        <v>176</v>
      </c>
      <c r="O1230" s="22">
        <v>456.75</v>
      </c>
      <c r="P1230" s="14" t="s">
        <v>448</v>
      </c>
      <c r="Q1230" s="22" t="str">
        <f>IF(AND(O1230&lt;&gt;"",P1230=Enginuity!$A$19),
   IF(Enginuity!$B$6&gt;4,Enginuity!$B$13,1),
"")</f>
        <v/>
      </c>
      <c r="U1230" s="104" t="str">
        <f>IF(
  AND(
    TRIM(A1230)=TRIM(Enginuity!$A$1),
    TRIM(B1230)=TRIM(Enginuity!$A$17),
    Q1230&lt;&gt;"",
    Q1230&lt;&gt;0,
    OR(
      TRIM(C1230)=TRIM(Enginuity!$A$18),
      AND(UPPER(TRIM(M1230))="STD", TRIM(B1230)=TRIM(Enginuity!$A$17))
    ),
    OR(
      AND(LEFT(P1230,5)="1-Way", Enginuity!$B$13=1),
      AND(LEFT(P1230,5)="2-Way", OR(Enginuity!$B$13=2, Enginuity!$B$13=4)),
      AND(LEFT(P1230,5)="3-Way", OR(Enginuity!$B$13=3, Enginuity!$B$13=6)),
      AND(P1230="Inner Centre Jamb", OR(Enginuity!$B$13=4, Enginuity!$B$13=6)),
      AND(
        LEFT(P1230,5)&lt;&gt;"1-Way",
        LEFT(P1230,5)&lt;&gt;"2-Way",
        LEFT(P1230,5)&lt;&gt;"3-Way",
        P1230&lt;&gt;"Inner Centre Jamb"
      )
    ),
    IF(OR(Enginuity!$A$1="Frameless Glass",Enginuity!$A$1="Metal Work"),
      AND(TRIM(B1230)=TRIM(Enginuity!$A$17),TRIM(C1230)=TRIM(Enginuity!$A$18)),
      TRIM(B1230)=TRIM(Enginuity!$A$17)
    )
  ),
  ROW(),
  ""
)</f>
        <v/>
      </c>
    </row>
    <row r="1231" spans="1:21" x14ac:dyDescent="0.25">
      <c r="A1231" s="10" t="s">
        <v>253</v>
      </c>
      <c r="B1231" s="229" t="s">
        <v>457</v>
      </c>
      <c r="C1231" s="10" t="s">
        <v>458</v>
      </c>
      <c r="D1231" s="14" t="str">
        <f t="shared" ref="D1231:D1238" si="22">P1231</f>
        <v>Below 36" x 84" ecoscreen 2.5mm</v>
      </c>
      <c r="E1231" s="248" t="s">
        <v>376</v>
      </c>
      <c r="F1231" s="113" t="s">
        <v>383</v>
      </c>
      <c r="G1231" s="17"/>
      <c r="H1231" s="10"/>
      <c r="I1231" s="17"/>
      <c r="J1231" s="83"/>
      <c r="K1231" s="343"/>
      <c r="L1231" s="347"/>
      <c r="M1231" s="89">
        <v>27</v>
      </c>
      <c r="N1231" s="10" t="s">
        <v>176</v>
      </c>
      <c r="O1231" s="22">
        <v>488.25</v>
      </c>
      <c r="P1231" s="108" t="s">
        <v>449</v>
      </c>
      <c r="Q1231" s="22" t="str">
        <f>IF(AND(O1231&lt;&gt;"",P1231=Enginuity!$A$19),
   IF(Enginuity!$B$6&gt;4,Enginuity!$B$13,1),
"")</f>
        <v/>
      </c>
      <c r="U1231" s="104" t="str">
        <f>IF(
  AND(
    TRIM(A1231)=TRIM(Enginuity!$A$1),
    TRIM(B1231)=TRIM(Enginuity!$A$17),
    Q1231&lt;&gt;"",
    Q1231&lt;&gt;0,
    OR(
      TRIM(C1231)=TRIM(Enginuity!$A$18),
      AND(UPPER(TRIM(M1231))="STD", TRIM(B1231)=TRIM(Enginuity!$A$17))
    ),
    OR(
      AND(LEFT(P1231,5)="1-Way", Enginuity!$B$13=1),
      AND(LEFT(P1231,5)="2-Way", OR(Enginuity!$B$13=2, Enginuity!$B$13=4)),
      AND(LEFT(P1231,5)="3-Way", OR(Enginuity!$B$13=3, Enginuity!$B$13=6)),
      AND(P1231="Inner Centre Jamb", OR(Enginuity!$B$13=4, Enginuity!$B$13=6)),
      AND(
        LEFT(P1231,5)&lt;&gt;"1-Way",
        LEFT(P1231,5)&lt;&gt;"2-Way",
        LEFT(P1231,5)&lt;&gt;"3-Way",
        P1231&lt;&gt;"Inner Centre Jamb"
      )
    ),
    IF(OR(Enginuity!$A$1="Frameless Glass",Enginuity!$A$1="Metal Work"),
      AND(TRIM(B1231)=TRIM(Enginuity!$A$17),TRIM(C1231)=TRIM(Enginuity!$A$18)),
      TRIM(B1231)=TRIM(Enginuity!$A$17)
    )
  ),
  ROW(),
  ""
)</f>
        <v/>
      </c>
    </row>
    <row r="1232" spans="1:21" x14ac:dyDescent="0.25">
      <c r="A1232" s="10" t="s">
        <v>253</v>
      </c>
      <c r="B1232" s="229" t="s">
        <v>457</v>
      </c>
      <c r="C1232" s="10" t="s">
        <v>458</v>
      </c>
      <c r="D1232" s="14" t="str">
        <f t="shared" si="22"/>
        <v>Below 36" x 84" ecopoly 2.5mm</v>
      </c>
      <c r="E1232" s="157" t="s">
        <v>377</v>
      </c>
      <c r="F1232" s="14" t="s">
        <v>384</v>
      </c>
      <c r="G1232" s="17"/>
      <c r="H1232" s="10"/>
      <c r="I1232" s="17"/>
      <c r="J1232" s="83"/>
      <c r="K1232" s="343"/>
      <c r="L1232" s="347"/>
      <c r="M1232" s="89">
        <v>28</v>
      </c>
      <c r="N1232" s="10" t="s">
        <v>176</v>
      </c>
      <c r="O1232" s="22">
        <v>519.75</v>
      </c>
      <c r="P1232" s="106" t="s">
        <v>450</v>
      </c>
      <c r="Q1232" s="22" t="str">
        <f>IF(AND(O1232&lt;&gt;"",P1232=Enginuity!$A$19),
   IF(Enginuity!$B$6&gt;4,Enginuity!$B$13,1),
"")</f>
        <v/>
      </c>
      <c r="U1232" s="104" t="str">
        <f>IF(
  AND(
    TRIM(A1232)=TRIM(Enginuity!$A$1),
    TRIM(B1232)=TRIM(Enginuity!$A$17),
    Q1232&lt;&gt;"",
    Q1232&lt;&gt;0,
    OR(
      TRIM(C1232)=TRIM(Enginuity!$A$18),
      AND(UPPER(TRIM(M1232))="STD", TRIM(B1232)=TRIM(Enginuity!$A$17))
    ),
    OR(
      AND(LEFT(P1232,5)="1-Way", Enginuity!$B$13=1),
      AND(LEFT(P1232,5)="2-Way", OR(Enginuity!$B$13=2, Enginuity!$B$13=4)),
      AND(LEFT(P1232,5)="3-Way", OR(Enginuity!$B$13=3, Enginuity!$B$13=6)),
      AND(P1232="Inner Centre Jamb", OR(Enginuity!$B$13=4, Enginuity!$B$13=6)),
      AND(
        LEFT(P1232,5)&lt;&gt;"1-Way",
        LEFT(P1232,5)&lt;&gt;"2-Way",
        LEFT(P1232,5)&lt;&gt;"3-Way",
        P1232&lt;&gt;"Inner Centre Jamb"
      )
    ),
    IF(OR(Enginuity!$A$1="Frameless Glass",Enginuity!$A$1="Metal Work"),
      AND(TRIM(B1232)=TRIM(Enginuity!$A$17),TRIM(C1232)=TRIM(Enginuity!$A$18)),
      TRIM(B1232)=TRIM(Enginuity!$A$17)
    )
  ),
  ROW(),
  ""
)</f>
        <v/>
      </c>
    </row>
    <row r="1233" spans="1:21" x14ac:dyDescent="0.25">
      <c r="A1233" s="10" t="s">
        <v>253</v>
      </c>
      <c r="B1233" s="229" t="s">
        <v>457</v>
      </c>
      <c r="C1233" s="10" t="s">
        <v>458</v>
      </c>
      <c r="D1233" s="14" t="str">
        <f t="shared" si="22"/>
        <v>Below 36" x 84" Aerolite</v>
      </c>
      <c r="E1233" s="157" t="s">
        <v>378</v>
      </c>
      <c r="F1233" s="14"/>
      <c r="G1233" s="17"/>
      <c r="H1233" s="10"/>
      <c r="I1233" s="17"/>
      <c r="J1233" s="83"/>
      <c r="K1233" s="343"/>
      <c r="L1233" s="347"/>
      <c r="M1233" s="89">
        <v>29</v>
      </c>
      <c r="N1233" s="10" t="s">
        <v>176</v>
      </c>
      <c r="O1233" s="22">
        <v>540.75</v>
      </c>
      <c r="P1233" s="106" t="s">
        <v>451</v>
      </c>
      <c r="Q1233" s="22" t="str">
        <f>IF(AND(O1233&lt;&gt;"",P1233=Enginuity!$A$19),
   IF(Enginuity!$B$6&gt;4,Enginuity!$B$13,1),
"")</f>
        <v/>
      </c>
      <c r="U1233" s="104" t="str">
        <f>IF(
  AND(
    TRIM(A1233)=TRIM(Enginuity!$A$1),
    TRIM(B1233)=TRIM(Enginuity!$A$17),
    Q1233&lt;&gt;"",
    Q1233&lt;&gt;0,
    OR(
      TRIM(C1233)=TRIM(Enginuity!$A$18),
      AND(UPPER(TRIM(M1233))="STD", TRIM(B1233)=TRIM(Enginuity!$A$17))
    ),
    OR(
      AND(LEFT(P1233,5)="1-Way", Enginuity!$B$13=1),
      AND(LEFT(P1233,5)="2-Way", OR(Enginuity!$B$13=2, Enginuity!$B$13=4)),
      AND(LEFT(P1233,5)="3-Way", OR(Enginuity!$B$13=3, Enginuity!$B$13=6)),
      AND(P1233="Inner Centre Jamb", OR(Enginuity!$B$13=4, Enginuity!$B$13=6)),
      AND(
        LEFT(P1233,5)&lt;&gt;"1-Way",
        LEFT(P1233,5)&lt;&gt;"2-Way",
        LEFT(P1233,5)&lt;&gt;"3-Way",
        P1233&lt;&gt;"Inner Centre Jamb"
      )
    ),
    IF(OR(Enginuity!$A$1="Frameless Glass",Enginuity!$A$1="Metal Work"),
      AND(TRIM(B1233)=TRIM(Enginuity!$A$17),TRIM(C1233)=TRIM(Enginuity!$A$18)),
      TRIM(B1233)=TRIM(Enginuity!$A$17)
    )
  ),
  ROW(),
  ""
)</f>
        <v/>
      </c>
    </row>
    <row r="1234" spans="1:21" x14ac:dyDescent="0.25">
      <c r="A1234" s="10" t="s">
        <v>253</v>
      </c>
      <c r="B1234" s="229" t="s">
        <v>457</v>
      </c>
      <c r="C1234" s="10" t="s">
        <v>458</v>
      </c>
      <c r="D1234" s="14" t="str">
        <f t="shared" si="22"/>
        <v>1. Below 36" x 84" Composite</v>
      </c>
      <c r="E1234" s="157" t="s">
        <v>379</v>
      </c>
      <c r="F1234" s="14"/>
      <c r="G1234" s="17"/>
      <c r="H1234" s="10"/>
      <c r="I1234" s="17"/>
      <c r="J1234" s="83"/>
      <c r="K1234" s="343"/>
      <c r="L1234" s="347"/>
      <c r="M1234" s="89">
        <v>30</v>
      </c>
      <c r="N1234" s="10" t="s">
        <v>176</v>
      </c>
      <c r="O1234" s="22">
        <v>446.25</v>
      </c>
      <c r="P1234" s="14" t="s">
        <v>456</v>
      </c>
      <c r="Q1234" s="22" t="str">
        <f>IF(AND(O1234&lt;&gt;"",P1234=Enginuity!$A$19),
   IF(Enginuity!$B$6&gt;4,Enginuity!$B$13,1),
"")</f>
        <v/>
      </c>
      <c r="U1234" s="104" t="str">
        <f>IF(
  AND(
    TRIM(A1234)=TRIM(Enginuity!$A$1),
    TRIM(B1234)=TRIM(Enginuity!$A$17),
    Q1234&lt;&gt;"",
    Q1234&lt;&gt;0,
    OR(
      TRIM(C1234)=TRIM(Enginuity!$A$18),
      AND(UPPER(TRIM(M1234))="STD", TRIM(B1234)=TRIM(Enginuity!$A$17))
    ),
    OR(
      AND(LEFT(P1234,5)="1-Way", Enginuity!$B$13=1),
      AND(LEFT(P1234,5)="2-Way", OR(Enginuity!$B$13=2, Enginuity!$B$13=4)),
      AND(LEFT(P1234,5)="3-Way", OR(Enginuity!$B$13=3, Enginuity!$B$13=6)),
      AND(P1234="Inner Centre Jamb", OR(Enginuity!$B$13=4, Enginuity!$B$13=6)),
      AND(
        LEFT(P1234,5)&lt;&gt;"1-Way",
        LEFT(P1234,5)&lt;&gt;"2-Way",
        LEFT(P1234,5)&lt;&gt;"3-Way",
        P1234&lt;&gt;"Inner Centre Jamb"
      )
    ),
    IF(OR(Enginuity!$A$1="Frameless Glass",Enginuity!$A$1="Metal Work"),
      AND(TRIM(B1234)=TRIM(Enginuity!$A$17),TRIM(C1234)=TRIM(Enginuity!$A$18)),
      TRIM(B1234)=TRIM(Enginuity!$A$17)
    )
  ),
  ROW(),
  ""
)</f>
        <v/>
      </c>
    </row>
    <row r="1235" spans="1:21" x14ac:dyDescent="0.25">
      <c r="A1235" s="10" t="s">
        <v>253</v>
      </c>
      <c r="B1235" s="229" t="s">
        <v>457</v>
      </c>
      <c r="C1235" s="10" t="s">
        <v>458</v>
      </c>
      <c r="D1235" s="14" t="str">
        <f t="shared" si="22"/>
        <v>Below 36" x 84" N.Glass + Lamina Film / N.Dark Grey Glass 5mm</v>
      </c>
      <c r="E1235" s="157"/>
      <c r="F1235" s="14"/>
      <c r="G1235" s="17"/>
      <c r="H1235" s="10"/>
      <c r="I1235" s="17"/>
      <c r="J1235" s="83"/>
      <c r="K1235" s="343"/>
      <c r="L1235" s="347"/>
      <c r="M1235" s="89">
        <v>31</v>
      </c>
      <c r="N1235" s="10" t="s">
        <v>176</v>
      </c>
      <c r="O1235" s="22">
        <v>488.25</v>
      </c>
      <c r="P1235" s="106" t="s">
        <v>452</v>
      </c>
      <c r="Q1235" s="22" t="str">
        <f>IF(AND(O1235&lt;&gt;"",P1235=Enginuity!$A$19),
   IF(Enginuity!$B$6&gt;4,Enginuity!$B$13,1),
"")</f>
        <v/>
      </c>
      <c r="U1235" s="104" t="str">
        <f>IF(
  AND(
    TRIM(A1235)=TRIM(Enginuity!$A$1),
    TRIM(B1235)=TRIM(Enginuity!$A$17),
    Q1235&lt;&gt;"",
    Q1235&lt;&gt;0,
    OR(
      TRIM(C1235)=TRIM(Enginuity!$A$18),
      AND(UPPER(TRIM(M1235))="STD", TRIM(B1235)=TRIM(Enginuity!$A$17))
    ),
    OR(
      AND(LEFT(P1235,5)="1-Way", Enginuity!$B$13=1),
      AND(LEFT(P1235,5)="2-Way", OR(Enginuity!$B$13=2, Enginuity!$B$13=4)),
      AND(LEFT(P1235,5)="3-Way", OR(Enginuity!$B$13=3, Enginuity!$B$13=6)),
      AND(P1235="Inner Centre Jamb", OR(Enginuity!$B$13=4, Enginuity!$B$13=6)),
      AND(
        LEFT(P1235,5)&lt;&gt;"1-Way",
        LEFT(P1235,5)&lt;&gt;"2-Way",
        LEFT(P1235,5)&lt;&gt;"3-Way",
        P1235&lt;&gt;"Inner Centre Jamb"
      )
    ),
    IF(OR(Enginuity!$A$1="Frameless Glass",Enginuity!$A$1="Metal Work"),
      AND(TRIM(B1235)=TRIM(Enginuity!$A$17),TRIM(C1235)=TRIM(Enginuity!$A$18)),
      TRIM(B1235)=TRIM(Enginuity!$A$17)
    )
  ),
  ROW(),
  ""
)</f>
        <v/>
      </c>
    </row>
    <row r="1236" spans="1:21" x14ac:dyDescent="0.25">
      <c r="A1236" s="10" t="s">
        <v>253</v>
      </c>
      <c r="B1236" s="229" t="s">
        <v>457</v>
      </c>
      <c r="C1236" s="10" t="s">
        <v>458</v>
      </c>
      <c r="D1236" s="14" t="str">
        <f t="shared" si="22"/>
        <v>Below 36" x 84" N.Clear Glass 5mm</v>
      </c>
      <c r="E1236" s="157"/>
      <c r="F1236" s="14"/>
      <c r="G1236" s="17"/>
      <c r="H1236" s="10"/>
      <c r="I1236" s="17"/>
      <c r="J1236" s="83"/>
      <c r="K1236" s="343"/>
      <c r="L1236" s="347"/>
      <c r="M1236" s="89">
        <v>32</v>
      </c>
      <c r="N1236" s="10" t="s">
        <v>176</v>
      </c>
      <c r="O1236" s="22">
        <v>477.75</v>
      </c>
      <c r="P1236" s="5" t="s">
        <v>453</v>
      </c>
      <c r="Q1236" s="22" t="str">
        <f>IF(AND(O1236&lt;&gt;"",P1236=Enginuity!$A$19),
   IF(Enginuity!$B$6&gt;4,Enginuity!$B$13,1),
"")</f>
        <v/>
      </c>
      <c r="U1236" s="104" t="str">
        <f>IF(
  AND(
    TRIM(A1236)=TRIM(Enginuity!$A$1),
    TRIM(B1236)=TRIM(Enginuity!$A$17),
    Q1236&lt;&gt;"",
    Q1236&lt;&gt;0,
    OR(
      TRIM(C1236)=TRIM(Enginuity!$A$18),
      AND(UPPER(TRIM(M1236))="STD", TRIM(B1236)=TRIM(Enginuity!$A$17))
    ),
    OR(
      AND(LEFT(P1236,5)="1-Way", Enginuity!$B$13=1),
      AND(LEFT(P1236,5)="2-Way", OR(Enginuity!$B$13=2, Enginuity!$B$13=4)),
      AND(LEFT(P1236,5)="3-Way", OR(Enginuity!$B$13=3, Enginuity!$B$13=6)),
      AND(P1236="Inner Centre Jamb", OR(Enginuity!$B$13=4, Enginuity!$B$13=6)),
      AND(
        LEFT(P1236,5)&lt;&gt;"1-Way",
        LEFT(P1236,5)&lt;&gt;"2-Way",
        LEFT(P1236,5)&lt;&gt;"3-Way",
        P1236&lt;&gt;"Inner Centre Jamb"
      )
    ),
    IF(OR(Enginuity!$A$1="Frameless Glass",Enginuity!$A$1="Metal Work"),
      AND(TRIM(B1236)=TRIM(Enginuity!$A$17),TRIM(C1236)=TRIM(Enginuity!$A$18)),
      TRIM(B1236)=TRIM(Enginuity!$A$17)
    )
  ),
  ROW(),
  ""
)</f>
        <v/>
      </c>
    </row>
    <row r="1237" spans="1:21" x14ac:dyDescent="0.25">
      <c r="A1237" s="10" t="s">
        <v>253</v>
      </c>
      <c r="B1237" s="229" t="s">
        <v>457</v>
      </c>
      <c r="C1237" s="10" t="s">
        <v>458</v>
      </c>
      <c r="D1237" s="14" t="str">
        <f t="shared" si="22"/>
        <v>Below 36" x 84" Tempered Glass 5mm</v>
      </c>
      <c r="E1237" s="157"/>
      <c r="F1237" s="14"/>
      <c r="G1237" s="17"/>
      <c r="H1237" s="10"/>
      <c r="I1237" s="17"/>
      <c r="J1237" s="83"/>
      <c r="K1237" s="343"/>
      <c r="L1237" s="347"/>
      <c r="M1237" s="89">
        <v>33</v>
      </c>
      <c r="N1237" s="10" t="s">
        <v>176</v>
      </c>
      <c r="O1237" s="22">
        <v>572.25</v>
      </c>
      <c r="P1237" s="106" t="s">
        <v>454</v>
      </c>
      <c r="Q1237" s="22" t="str">
        <f>IF(AND(O1237&lt;&gt;"",P1237=Enginuity!$A$19),
   IF(Enginuity!$B$6&gt;4,Enginuity!$B$13,1),
"")</f>
        <v/>
      </c>
      <c r="U1237" s="104" t="str">
        <f>IF(
  AND(
    TRIM(A1237)=TRIM(Enginuity!$A$1),
    TRIM(B1237)=TRIM(Enginuity!$A$17),
    Q1237&lt;&gt;"",
    Q1237&lt;&gt;0,
    OR(
      TRIM(C1237)=TRIM(Enginuity!$A$18),
      AND(UPPER(TRIM(M1237))="STD", TRIM(B1237)=TRIM(Enginuity!$A$17))
    ),
    OR(
      AND(LEFT(P1237,5)="1-Way", Enginuity!$B$13=1),
      AND(LEFT(P1237,5)="2-Way", OR(Enginuity!$B$13=2, Enginuity!$B$13=4)),
      AND(LEFT(P1237,5)="3-Way", OR(Enginuity!$B$13=3, Enginuity!$B$13=6)),
      AND(P1237="Inner Centre Jamb", OR(Enginuity!$B$13=4, Enginuity!$B$13=6)),
      AND(
        LEFT(P1237,5)&lt;&gt;"1-Way",
        LEFT(P1237,5)&lt;&gt;"2-Way",
        LEFT(P1237,5)&lt;&gt;"3-Way",
        P1237&lt;&gt;"Inner Centre Jamb"
      )
    ),
    IF(OR(Enginuity!$A$1="Frameless Glass",Enginuity!$A$1="Metal Work"),
      AND(TRIM(B1237)=TRIM(Enginuity!$A$17),TRIM(C1237)=TRIM(Enginuity!$A$18)),
      TRIM(B1237)=TRIM(Enginuity!$A$17)
    )
  ),
  ROW(),
  ""
)</f>
        <v/>
      </c>
    </row>
    <row r="1238" spans="1:21" x14ac:dyDescent="0.25">
      <c r="A1238" s="10" t="s">
        <v>253</v>
      </c>
      <c r="B1238" s="229" t="s">
        <v>457</v>
      </c>
      <c r="C1238" s="10" t="s">
        <v>458</v>
      </c>
      <c r="D1238" s="14" t="str">
        <f t="shared" si="22"/>
        <v>Below 36" x 84" Full Louvers</v>
      </c>
      <c r="E1238" s="157"/>
      <c r="F1238" s="14"/>
      <c r="G1238" s="17"/>
      <c r="H1238" s="10"/>
      <c r="I1238" s="17"/>
      <c r="J1238" s="83"/>
      <c r="K1238" s="343"/>
      <c r="L1238" s="347"/>
      <c r="M1238" s="89">
        <v>34</v>
      </c>
      <c r="N1238" s="10" t="s">
        <v>176</v>
      </c>
      <c r="O1238" s="22">
        <v>777</v>
      </c>
      <c r="P1238" s="14" t="s">
        <v>455</v>
      </c>
      <c r="Q1238" s="22" t="str">
        <f>IF(AND(O1238&lt;&gt;"",P1238=Enginuity!$A$19),
   IF(Enginuity!$B$6&gt;4,Enginuity!$B$13,1),
"")</f>
        <v/>
      </c>
      <c r="U1238" s="104" t="str">
        <f>IF(
  AND(
    TRIM(A1238)=TRIM(Enginuity!$A$1),
    TRIM(B1238)=TRIM(Enginuity!$A$17),
    Q1238&lt;&gt;"",
    Q1238&lt;&gt;0,
    OR(
      TRIM(C1238)=TRIM(Enginuity!$A$18),
      AND(UPPER(TRIM(M1238))="STD", TRIM(B1238)=TRIM(Enginuity!$A$17))
    ),
    OR(
      AND(LEFT(P1238,5)="1-Way", Enginuity!$B$13=1),
      AND(LEFT(P1238,5)="2-Way", OR(Enginuity!$B$13=2, Enginuity!$B$13=4)),
      AND(LEFT(P1238,5)="3-Way", OR(Enginuity!$B$13=3, Enginuity!$B$13=6)),
      AND(P1238="Inner Centre Jamb", OR(Enginuity!$B$13=4, Enginuity!$B$13=6)),
      AND(
        LEFT(P1238,5)&lt;&gt;"1-Way",
        LEFT(P1238,5)&lt;&gt;"2-Way",
        LEFT(P1238,5)&lt;&gt;"3-Way",
        P1238&lt;&gt;"Inner Centre Jamb"
      )
    ),
    IF(OR(Enginuity!$A$1="Frameless Glass",Enginuity!$A$1="Metal Work"),
      AND(TRIM(B1238)=TRIM(Enginuity!$A$17),TRIM(C1238)=TRIM(Enginuity!$A$18)),
      TRIM(B1238)=TRIM(Enginuity!$A$17)
    )
  ),
  ROW(),
  ""
)</f>
        <v/>
      </c>
    </row>
    <row r="1239" spans="1:21" x14ac:dyDescent="0.25">
      <c r="A1239" s="10" t="s">
        <v>253</v>
      </c>
      <c r="B1239" s="229" t="s">
        <v>457</v>
      </c>
      <c r="C1239" s="10" t="s">
        <v>458</v>
      </c>
      <c r="D1239" s="14"/>
      <c r="E1239" s="248"/>
      <c r="F1239" s="113"/>
      <c r="G1239" s="17"/>
      <c r="H1239" s="10"/>
      <c r="I1239" s="17"/>
      <c r="J1239" s="83"/>
      <c r="K1239" s="343"/>
      <c r="L1239" s="347"/>
      <c r="M1239" s="89">
        <v>35</v>
      </c>
      <c r="N1239" s="10" t="s">
        <v>121</v>
      </c>
      <c r="O1239" s="22">
        <f>IF(ISNUMBER(SEARCH("Louvers",Enginuity!$A$19)),AllMaterialsbak!$B$11,AllMaterialsbak!$B$10)</f>
        <v>26.25</v>
      </c>
      <c r="P1239" s="108" t="str">
        <f>$A$10</f>
        <v>Additional Size Complete Set</v>
      </c>
      <c r="Q1239" s="22">
        <f>IF(OR(Enginuity!$B$6="",Enginuity!$B$7="",Enginuity!$B$13=""),"",
 ROUNDUP(
  MAX(0,
    Enginuity!$B$6*MIN(Enginuity!$B$7,8)
    - MIN(Enginuity!$B$6, 3*Enginuity!$B$13) * MIN(7,Enginuity!$B$7)
  ),0)
)</f>
        <v>20</v>
      </c>
      <c r="U1239" s="104" t="str">
        <f>IF(
  AND(
    TRIM(A1239)=TRIM(Enginuity!$A$1),
    TRIM(B1239)=TRIM(Enginuity!$A$17),
    Q1239&lt;&gt;"",
    Q1239&lt;&gt;0,
    OR(
      TRIM(C1239)=TRIM(Enginuity!$A$18),
      AND(UPPER(TRIM(M1239))="STD", TRIM(B1239)=TRIM(Enginuity!$A$17))
    ),
    OR(
      AND(LEFT(P1239,5)="1-Way", Enginuity!$B$13=1),
      AND(LEFT(P1239,5)="2-Way", OR(Enginuity!$B$13=2, Enginuity!$B$13=4)),
      AND(LEFT(P1239,5)="3-Way", OR(Enginuity!$B$13=3, Enginuity!$B$13=6)),
      AND(P1239="Inner Centre Jamb", OR(Enginuity!$B$13=4, Enginuity!$B$13=6)),
      AND(
        LEFT(P1239,5)&lt;&gt;"1-Way",
        LEFT(P1239,5)&lt;&gt;"2-Way",
        LEFT(P1239,5)&lt;&gt;"3-Way",
        P1239&lt;&gt;"Inner Centre Jamb"
      )
    ),
    IF(OR(Enginuity!$A$1="Frameless Glass",Enginuity!$A$1="Metal Work"),
      AND(TRIM(B1239)=TRIM(Enginuity!$A$17),TRIM(C1239)=TRIM(Enginuity!$A$18)),
      TRIM(B1239)=TRIM(Enginuity!$A$17)
    )
  ),
  ROW(),
  ""
)</f>
        <v/>
      </c>
    </row>
    <row r="1240" spans="1:21" x14ac:dyDescent="0.25">
      <c r="A1240" s="10" t="s">
        <v>253</v>
      </c>
      <c r="B1240" s="229" t="s">
        <v>457</v>
      </c>
      <c r="C1240" s="10" t="s">
        <v>458</v>
      </c>
      <c r="D1240" s="14"/>
      <c r="E1240" s="248"/>
      <c r="F1240" s="113"/>
      <c r="G1240" s="17"/>
      <c r="H1240" s="10"/>
      <c r="I1240" s="17"/>
      <c r="J1240" s="83"/>
      <c r="K1240" s="343"/>
      <c r="L1240" s="347"/>
      <c r="M1240" s="89">
        <v>36</v>
      </c>
      <c r="N1240" s="10" t="s">
        <v>121</v>
      </c>
      <c r="O1240" s="22">
        <f>IF(Q1240&lt;&gt;"", $B$19, "")</f>
        <v>29.93</v>
      </c>
      <c r="P1240" s="106" t="s">
        <v>380</v>
      </c>
      <c r="Q1240" s="22">
        <f>IF(Enginuity!$B$7&gt;8,MAX((Enginuity!$B$7-8)*Enginuity!$B$6,3),"")</f>
        <v>100</v>
      </c>
      <c r="U1240" s="104" t="str">
        <f>IF(
  AND(
    TRIM(A1240)=TRIM(Enginuity!$A$1),
    TRIM(B1240)=TRIM(Enginuity!$A$17),
    Q1240&lt;&gt;"",
    Q1240&lt;&gt;0,
    OR(
      TRIM(C1240)=TRIM(Enginuity!$A$18),
      AND(UPPER(TRIM(M1240))="STD", TRIM(B1240)=TRIM(Enginuity!$A$17))
    ),
    OR(
      AND(LEFT(P1240,5)="1-Way", Enginuity!$B$13=1),
      AND(LEFT(P1240,5)="2-Way", OR(Enginuity!$B$13=2, Enginuity!$B$13=4)),
      AND(LEFT(P1240,5)="3-Way", OR(Enginuity!$B$13=3, Enginuity!$B$13=6)),
      AND(P1240="Inner Centre Jamb", OR(Enginuity!$B$13=4, Enginuity!$B$13=6)),
      AND(
        LEFT(P1240,5)&lt;&gt;"1-Way",
        LEFT(P1240,5)&lt;&gt;"2-Way",
        LEFT(P1240,5)&lt;&gt;"3-Way",
        P1240&lt;&gt;"Inner Centre Jamb"
      )
    ),
    IF(OR(Enginuity!$A$1="Frameless Glass",Enginuity!$A$1="Metal Work"),
      AND(TRIM(B1240)=TRIM(Enginuity!$A$17),TRIM(C1240)=TRIM(Enginuity!$A$18)),
      TRIM(B1240)=TRIM(Enginuity!$A$17)
    )
  ),
  ROW(),
  ""
)</f>
        <v/>
      </c>
    </row>
    <row r="1241" spans="1:21" x14ac:dyDescent="0.25">
      <c r="A1241" s="10" t="s">
        <v>253</v>
      </c>
      <c r="B1241" s="229" t="s">
        <v>457</v>
      </c>
      <c r="C1241" s="10" t="s">
        <v>458</v>
      </c>
      <c r="D1241" s="14"/>
      <c r="E1241" s="157"/>
      <c r="F1241" s="14"/>
      <c r="G1241" s="17"/>
      <c r="H1241" s="10"/>
      <c r="I1241" s="17"/>
      <c r="J1241" s="83"/>
      <c r="K1241" s="343"/>
      <c r="L1241" s="347"/>
      <c r="M1241" s="89">
        <v>37</v>
      </c>
      <c r="N1241" s="10" t="s">
        <v>176</v>
      </c>
      <c r="O1241" s="22" t="str">
        <f>IF(Enginuity!$A$21="Supply &amp; Install",$B$20,"")</f>
        <v/>
      </c>
      <c r="P1241" s="106" t="s">
        <v>389</v>
      </c>
      <c r="Q1241" s="22" t="str">
        <f>IF(AND(Enginuity!$A$21="Supply &amp; Install",Enginuity!$B$7&gt;8),1,"")</f>
        <v/>
      </c>
      <c r="U1241" s="104" t="str">
        <f>IF(
  AND(
    TRIM(A1241)=TRIM(Enginuity!$A$1),
    TRIM(B1241)=TRIM(Enginuity!$A$17),
    Q1241&lt;&gt;"",
    Q1241&lt;&gt;0,
    OR(
      TRIM(C1241)=TRIM(Enginuity!$A$18),
      AND(UPPER(TRIM(M1241))="STD", TRIM(B1241)=TRIM(Enginuity!$A$17))
    ),
    OR(
      AND(LEFT(P1241,5)="1-Way", Enginuity!$B$13=1),
      AND(LEFT(P1241,5)="2-Way", OR(Enginuity!$B$13=2, Enginuity!$B$13=4)),
      AND(LEFT(P1241,5)="3-Way", OR(Enginuity!$B$13=3, Enginuity!$B$13=6)),
      AND(P1241="Inner Centre Jamb", OR(Enginuity!$B$13=4, Enginuity!$B$13=6)),
      AND(
        LEFT(P1241,5)&lt;&gt;"1-Way",
        LEFT(P1241,5)&lt;&gt;"2-Way",
        LEFT(P1241,5)&lt;&gt;"3-Way",
        P1241&lt;&gt;"Inner Centre Jamb"
      )
    ),
    IF(OR(Enginuity!$A$1="Frameless Glass",Enginuity!$A$1="Metal Work"),
      AND(TRIM(B1241)=TRIM(Enginuity!$A$17),TRIM(C1241)=TRIM(Enginuity!$A$18)),
      TRIM(B1241)=TRIM(Enginuity!$A$17)
    )
  ),
  ROW(),
  ""
)</f>
        <v/>
      </c>
    </row>
    <row r="1242" spans="1:21" x14ac:dyDescent="0.25">
      <c r="A1242" s="10" t="s">
        <v>253</v>
      </c>
      <c r="B1242" s="229" t="s">
        <v>457</v>
      </c>
      <c r="C1242" s="10" t="s">
        <v>458</v>
      </c>
      <c r="D1242" s="14"/>
      <c r="E1242" s="157"/>
      <c r="F1242" s="14"/>
      <c r="G1242" s="17"/>
      <c r="H1242" s="10"/>
      <c r="I1242" s="17"/>
      <c r="J1242" s="83"/>
      <c r="K1242" s="343"/>
      <c r="L1242" s="347"/>
      <c r="M1242" s="89">
        <v>38</v>
      </c>
      <c r="N1242" s="10" t="s">
        <v>176</v>
      </c>
      <c r="O1242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42" s="106" t="str">
        <f>Enginuity!$A$20</f>
        <v>Z-Louvre Blade - 5"</v>
      </c>
      <c r="Q1242" s="22" t="str">
        <f>IF(O1242&lt;&gt;"",IF(Enginuity!$B$6&gt;4,Enginuity!$B$13,1),"")</f>
        <v/>
      </c>
      <c r="U1242" s="104" t="str">
        <f>IF(
  AND(
    TRIM(A1242)=TRIM(Enginuity!$A$1),
    TRIM(B1242)=TRIM(Enginuity!$A$17),
    Q1242&lt;&gt;"",
    Q1242&lt;&gt;0,
    OR(
      TRIM(C1242)=TRIM(Enginuity!$A$18),
      AND(UPPER(TRIM(M1242))="STD", TRIM(B1242)=TRIM(Enginuity!$A$17))
    ),
    OR(
      AND(LEFT(P1242,5)="1-Way", Enginuity!$B$13=1),
      AND(LEFT(P1242,5)="2-Way", OR(Enginuity!$B$13=2, Enginuity!$B$13=4)),
      AND(LEFT(P1242,5)="3-Way", OR(Enginuity!$B$13=3, Enginuity!$B$13=6)),
      AND(P1242="Inner Centre Jamb", OR(Enginuity!$B$13=4, Enginuity!$B$13=6)),
      AND(
        LEFT(P1242,5)&lt;&gt;"1-Way",
        LEFT(P1242,5)&lt;&gt;"2-Way",
        LEFT(P1242,5)&lt;&gt;"3-Way",
        P1242&lt;&gt;"Inner Centre Jamb"
      )
    ),
    IF(OR(Enginuity!$A$1="Frameless Glass",Enginuity!$A$1="Metal Work"),
      AND(TRIM(B1242)=TRIM(Enginuity!$A$17),TRIM(C1242)=TRIM(Enginuity!$A$18)),
      TRIM(B1242)=TRIM(Enginuity!$A$17)
    )
  ),
  ROW(),
  ""
)</f>
        <v/>
      </c>
    </row>
    <row r="1243" spans="1:21" x14ac:dyDescent="0.25">
      <c r="A1243" s="10" t="s">
        <v>253</v>
      </c>
      <c r="B1243" s="229" t="s">
        <v>457</v>
      </c>
      <c r="C1243" s="10" t="s">
        <v>458</v>
      </c>
      <c r="D1243" s="86"/>
      <c r="E1243" s="157"/>
      <c r="F1243" s="14"/>
      <c r="G1243" s="17"/>
      <c r="H1243" s="10"/>
      <c r="I1243" s="17"/>
      <c r="J1243" s="83"/>
      <c r="K1243" s="343"/>
      <c r="L1243" s="347"/>
      <c r="M1243" s="89">
        <v>39</v>
      </c>
      <c r="N1243" s="10" t="s">
        <v>176</v>
      </c>
      <c r="O1243" s="22" t="str">
        <f>IF(Enginuity!$A$21="Supply &amp; Install",88,
IF(Enginuity!$A$21="Supply &amp; Courier",20,
IF(Enginuity!$A$21="Self Collect",0,
"")))</f>
        <v/>
      </c>
      <c r="P1243" s="5" t="str">
        <f>Enginuity!$A$21</f>
        <v>SF 4"</v>
      </c>
      <c r="Q1243" s="22" t="str">
        <f>IF(O1243&lt;&gt;"",IF(Enginuity!$B$6&gt;4,Enginuity!$B$13,1),"")</f>
        <v/>
      </c>
      <c r="U1243" s="104" t="str">
        <f>IF(
  AND(
    TRIM(A1243)=TRIM(Enginuity!$A$1),
    TRIM(B1243)=TRIM(Enginuity!$A$17),
    Q1243&lt;&gt;"",
    Q1243&lt;&gt;0,
    OR(
      TRIM(C1243)=TRIM(Enginuity!$A$18),
      AND(UPPER(TRIM(M1243))="STD", TRIM(B1243)=TRIM(Enginuity!$A$17))
    ),
    OR(
      AND(LEFT(P1243,5)="1-Way", Enginuity!$B$13=1),
      AND(LEFT(P1243,5)="2-Way", OR(Enginuity!$B$13=2, Enginuity!$B$13=4)),
      AND(LEFT(P1243,5)="3-Way", OR(Enginuity!$B$13=3, Enginuity!$B$13=6)),
      AND(P1243="Inner Centre Jamb", OR(Enginuity!$B$13=4, Enginuity!$B$13=6)),
      AND(
        LEFT(P1243,5)&lt;&gt;"1-Way",
        LEFT(P1243,5)&lt;&gt;"2-Way",
        LEFT(P1243,5)&lt;&gt;"3-Way",
        P1243&lt;&gt;"Inner Centre Jamb"
      )
    ),
    IF(OR(Enginuity!$A$1="Frameless Glass",Enginuity!$A$1="Metal Work"),
      AND(TRIM(B1243)=TRIM(Enginuity!$A$17),TRIM(C1243)=TRIM(Enginuity!$A$18)),
      TRIM(B1243)=TRIM(Enginuity!$A$17)
    )
  ),
  ROW(),
  ""
)</f>
        <v/>
      </c>
    </row>
    <row r="1244" spans="1:21" x14ac:dyDescent="0.25">
      <c r="A1244" s="10" t="s">
        <v>253</v>
      </c>
      <c r="B1244" s="229" t="s">
        <v>457</v>
      </c>
      <c r="C1244" s="10" t="s">
        <v>458</v>
      </c>
      <c r="D1244" s="86"/>
      <c r="E1244" s="157"/>
      <c r="F1244" s="14"/>
      <c r="G1244" s="17"/>
      <c r="H1244" s="10"/>
      <c r="I1244" s="17"/>
      <c r="J1244" s="83"/>
      <c r="K1244" s="343"/>
      <c r="L1244" s="347"/>
      <c r="M1244" s="89">
        <v>40</v>
      </c>
      <c r="N1244" s="10" t="s">
        <v>176</v>
      </c>
      <c r="O1244" s="22">
        <v>25</v>
      </c>
      <c r="P1244" s="14" t="s">
        <v>300</v>
      </c>
      <c r="Q1244" s="22" t="str">
        <f>IF(ROUND(Enginuity!$B$13,0)=2,2,"")</f>
        <v/>
      </c>
      <c r="U1244" s="104" t="str">
        <f>IF(
  AND(
    TRIM(A1244)=TRIM(Enginuity!$A$1),
    TRIM(B1244)=TRIM(Enginuity!$A$17),
    Q1244&lt;&gt;"",
    Q1244&lt;&gt;0,
    OR(
      TRIM(C1244)=TRIM(Enginuity!$A$18),
      AND(UPPER(TRIM(M1244))="STD", TRIM(B1244)=TRIM(Enginuity!$A$17))
    ),
    OR(
      AND(LEFT(P1244,5)="1-Way", Enginuity!$B$13=1),
      AND(LEFT(P1244,5)="2-Way", OR(Enginuity!$B$13=2, Enginuity!$B$13=4)),
      AND(LEFT(P1244,5)="3-Way", OR(Enginuity!$B$13=3, Enginuity!$B$13=6)),
      AND(P1244="Inner Centre Jamb", OR(Enginuity!$B$13=4, Enginuity!$B$13=6)),
      AND(
        LEFT(P1244,5)&lt;&gt;"1-Way",
        LEFT(P1244,5)&lt;&gt;"2-Way",
        LEFT(P1244,5)&lt;&gt;"3-Way",
        P1244&lt;&gt;"Inner Centre Jamb"
      )
    ),
    IF(OR(Enginuity!$A$1="Frameless Glass",Enginuity!$A$1="Metal Work"),
      AND(TRIM(B1244)=TRIM(Enginuity!$A$17),TRIM(C1244)=TRIM(Enginuity!$A$18)),
      TRIM(B1244)=TRIM(Enginuity!$A$17)
    )
  ),
  ROW(),
  ""
)</f>
        <v/>
      </c>
    </row>
    <row r="1245" spans="1:21" x14ac:dyDescent="0.25">
      <c r="A1245" s="10" t="s">
        <v>253</v>
      </c>
      <c r="B1245" s="229" t="s">
        <v>457</v>
      </c>
      <c r="C1245" s="10" t="s">
        <v>458</v>
      </c>
      <c r="D1245" s="21"/>
      <c r="E1245" s="157"/>
      <c r="F1245" s="14"/>
      <c r="G1245" s="17"/>
      <c r="H1245" s="10"/>
      <c r="I1245" s="17"/>
      <c r="J1245" s="83"/>
      <c r="K1245" s="343"/>
      <c r="L1245" s="347"/>
      <c r="M1245" s="89">
        <v>41</v>
      </c>
      <c r="N1245" s="10" t="s">
        <v>176</v>
      </c>
      <c r="O1245" s="22">
        <v>12</v>
      </c>
      <c r="P1245" s="14" t="s">
        <v>299</v>
      </c>
      <c r="Q1245" s="22" t="str">
        <f>IF(ROUND(Enginuity!$B$13,0)=2,2,"")</f>
        <v/>
      </c>
      <c r="U1245" s="104" t="str">
        <f>IF(
  AND(
    TRIM(A1245)=TRIM(Enginuity!$A$1),
    TRIM(B1245)=TRIM(Enginuity!$A$17),
    Q1245&lt;&gt;"",
    Q1245&lt;&gt;0,
    OR(
      TRIM(C1245)=TRIM(Enginuity!$A$18),
      AND(UPPER(TRIM(M1245))="STD", TRIM(B1245)=TRIM(Enginuity!$A$17))
    ),
    OR(
      AND(LEFT(P1245,5)="1-Way", Enginuity!$B$13=1),
      AND(LEFT(P1245,5)="2-Way", OR(Enginuity!$B$13=2, Enginuity!$B$13=4)),
      AND(LEFT(P1245,5)="3-Way", OR(Enginuity!$B$13=3, Enginuity!$B$13=6)),
      AND(P1245="Inner Centre Jamb", OR(Enginuity!$B$13=4, Enginuity!$B$13=6)),
      AND(
        LEFT(P1245,5)&lt;&gt;"1-Way",
        LEFT(P1245,5)&lt;&gt;"2-Way",
        LEFT(P1245,5)&lt;&gt;"3-Way",
        P1245&lt;&gt;"Inner Centre Jamb"
      )
    ),
    IF(OR(Enginuity!$A$1="Frameless Glass",Enginuity!$A$1="Metal Work"),
      AND(TRIM(B1245)=TRIM(Enginuity!$A$17),TRIM(C1245)=TRIM(Enginuity!$A$18)),
      TRIM(B1245)=TRIM(Enginuity!$A$17)
    )
  ),
  ROW(),
  ""
)</f>
        <v/>
      </c>
    </row>
    <row r="1246" spans="1:21" x14ac:dyDescent="0.25">
      <c r="A1246" s="10" t="s">
        <v>253</v>
      </c>
      <c r="B1246" s="229" t="s">
        <v>457</v>
      </c>
      <c r="C1246" s="10" t="s">
        <v>458</v>
      </c>
      <c r="D1246" s="21"/>
      <c r="E1246" s="157"/>
      <c r="F1246" s="14"/>
      <c r="G1246" s="17"/>
      <c r="H1246" s="10"/>
      <c r="I1246" s="17"/>
      <c r="J1246" s="83"/>
      <c r="K1246" s="343"/>
      <c r="L1246" s="347"/>
      <c r="M1246" s="89">
        <v>42</v>
      </c>
      <c r="N1246" s="10"/>
      <c r="O1246" s="22"/>
      <c r="P1246" s="14"/>
      <c r="Q1246" s="22"/>
      <c r="U1246" s="104" t="str">
        <f>IF(
  AND(
    TRIM(A1246)=TRIM(Enginuity!$A$1),
    TRIM(B1246)=TRIM(Enginuity!$A$17),
    Q1246&lt;&gt;"",
    Q1246&lt;&gt;0,
    OR(
      TRIM(C1246)=TRIM(Enginuity!$A$18),
      AND(UPPER(TRIM(M1246))="STD", TRIM(B1246)=TRIM(Enginuity!$A$17))
    ),
    OR(
      AND(LEFT(P1246,5)="1-Way", Enginuity!$B$13=1),
      AND(LEFT(P1246,5)="2-Way", OR(Enginuity!$B$13=2, Enginuity!$B$13=4)),
      AND(LEFT(P1246,5)="3-Way", OR(Enginuity!$B$13=3, Enginuity!$B$13=6)),
      AND(P1246="Inner Centre Jamb", OR(Enginuity!$B$13=4, Enginuity!$B$13=6)),
      AND(
        LEFT(P1246,5)&lt;&gt;"1-Way",
        LEFT(P1246,5)&lt;&gt;"2-Way",
        LEFT(P1246,5)&lt;&gt;"3-Way",
        P1246&lt;&gt;"Inner Centre Jamb"
      )
    ),
    IF(OR(Enginuity!$A$1="Frameless Glass",Enginuity!$A$1="Metal Work"),
      AND(TRIM(B1246)=TRIM(Enginuity!$A$17),TRIM(C1246)=TRIM(Enginuity!$A$18)),
      TRIM(B1246)=TRIM(Enginuity!$A$17)
    )
  ),
  ROW(),
  ""
)</f>
        <v/>
      </c>
    </row>
    <row r="1247" spans="1:21" x14ac:dyDescent="0.25">
      <c r="A1247" s="10"/>
      <c r="B1247" s="229"/>
      <c r="C1247" s="10"/>
      <c r="D1247" s="255"/>
      <c r="E1247" s="157"/>
      <c r="F1247" s="14"/>
      <c r="G1247" s="17"/>
      <c r="H1247" s="10"/>
      <c r="I1247" s="17"/>
      <c r="J1247" s="83"/>
      <c r="K1247" s="343"/>
      <c r="L1247" s="347"/>
      <c r="M1247" s="89"/>
      <c r="N1247" s="10"/>
      <c r="O1247" s="22"/>
      <c r="P1247" s="14"/>
      <c r="Q1247" s="22"/>
      <c r="U1247" s="104" t="str">
        <f>IF(
  AND(
    TRIM(A1247)=TRIM(Enginuity!$A$1),
    TRIM(B1247)=TRIM(Enginuity!$A$17),
    Q1247&lt;&gt;"",
    Q1247&lt;&gt;0,
    OR(
      TRIM(C1247)=TRIM(Enginuity!$A$18),
      AND(UPPER(TRIM(M1247))="STD", TRIM(B1247)=TRIM(Enginuity!$A$17))
    ),
    OR(
      AND(LEFT(P1247,5)="1-Way", Enginuity!$B$13=1),
      AND(LEFT(P1247,5)="2-Way", OR(Enginuity!$B$13=2, Enginuity!$B$13=4)),
      AND(LEFT(P1247,5)="3-Way", OR(Enginuity!$B$13=3, Enginuity!$B$13=6)),
      AND(P1247="Inner Centre Jamb", OR(Enginuity!$B$13=4, Enginuity!$B$13=6)),
      AND(
        LEFT(P1247,5)&lt;&gt;"1-Way",
        LEFT(P1247,5)&lt;&gt;"2-Way",
        LEFT(P1247,5)&lt;&gt;"3-Way",
        P1247&lt;&gt;"Inner Centre Jamb"
      )
    ),
    IF(OR(Enginuity!$A$1="Frameless Glass",Enginuity!$A$1="Metal Work"),
      AND(TRIM(B1247)=TRIM(Enginuity!$A$17),TRIM(C1247)=TRIM(Enginuity!$A$18)),
      TRIM(B1247)=TRIM(Enginuity!$A$17)
    )
  ),
  ROW(),
  ""
)</f>
        <v/>
      </c>
    </row>
    <row r="1248" spans="1:21" x14ac:dyDescent="0.25">
      <c r="A1248" s="10"/>
      <c r="B1248" s="229"/>
      <c r="C1248" s="10"/>
      <c r="D1248" s="14"/>
      <c r="E1248" s="157"/>
      <c r="F1248" s="10"/>
      <c r="G1248" s="17"/>
      <c r="H1248" s="10"/>
      <c r="I1248" s="17"/>
      <c r="J1248" s="83"/>
      <c r="K1248" s="343"/>
      <c r="L1248" s="347"/>
      <c r="M1248" s="89"/>
      <c r="N1248" s="10"/>
      <c r="O1248" s="22"/>
      <c r="P1248" s="108"/>
      <c r="Q1248" s="22"/>
      <c r="U1248" s="104" t="str">
        <f>IF(
  AND(
    TRIM(A1248)=TRIM(Enginuity!$A$1),
    TRIM(B1248)=TRIM(Enginuity!$A$17),
    Q1248&lt;&gt;"",
    Q1248&lt;&gt;0,
    OR(
      TRIM(C1248)=TRIM(Enginuity!$A$18),
      AND(UPPER(TRIM(M1248))="STD", TRIM(B1248)=TRIM(Enginuity!$A$17))
    ),
    OR(
      AND(LEFT(P1248,5)="1-Way", Enginuity!$B$13=1),
      AND(LEFT(P1248,5)="2-Way", OR(Enginuity!$B$13=2, Enginuity!$B$13=4)),
      AND(LEFT(P1248,5)="3-Way", OR(Enginuity!$B$13=3, Enginuity!$B$13=6)),
      AND(P1248="Inner Centre Jamb", OR(Enginuity!$B$13=4, Enginuity!$B$13=6)),
      AND(
        LEFT(P1248,5)&lt;&gt;"1-Way",
        LEFT(P1248,5)&lt;&gt;"2-Way",
        LEFT(P1248,5)&lt;&gt;"3-Way",
        P1248&lt;&gt;"Inner Centre Jamb"
      )
    ),
    IF(OR(Enginuity!$A$1="Frameless Glass",Enginuity!$A$1="Metal Work"),
      AND(TRIM(B1248)=TRIM(Enginuity!$A$17),TRIM(C1248)=TRIM(Enginuity!$A$18)),
      TRIM(B1248)=TRIM(Enginuity!$A$17)
    )
  ),
  ROW(),
  ""
)</f>
        <v/>
      </c>
    </row>
    <row r="1249" spans="1:21" x14ac:dyDescent="0.25">
      <c r="A1249" s="10"/>
      <c r="B1249" s="229"/>
      <c r="C1249" s="10"/>
      <c r="D1249" s="255"/>
      <c r="E1249" s="157"/>
      <c r="F1249" s="14"/>
      <c r="G1249" s="17"/>
      <c r="H1249" s="10"/>
      <c r="I1249" s="17"/>
      <c r="J1249" s="83"/>
      <c r="K1249" s="343"/>
      <c r="L1249" s="347"/>
      <c r="M1249" s="89"/>
      <c r="N1249" s="10"/>
      <c r="O1249" s="22"/>
      <c r="P1249" s="106"/>
      <c r="Q1249" s="22"/>
      <c r="U1249" s="104" t="str">
        <f>IF(
  AND(
    TRIM(A1249)=TRIM(Enginuity!$A$1),
    TRIM(B1249)=TRIM(Enginuity!$A$17),
    Q1249&lt;&gt;"",
    Q1249&lt;&gt;0,
    OR(
      TRIM(C1249)=TRIM(Enginuity!$A$18),
      AND(UPPER(TRIM(M1249))="STD", TRIM(B1249)=TRIM(Enginuity!$A$17))
    ),
    OR(
      AND(LEFT(P1249,5)="1-Way", Enginuity!$B$13=1),
      AND(LEFT(P1249,5)="2-Way", OR(Enginuity!$B$13=2, Enginuity!$B$13=4)),
      AND(LEFT(P1249,5)="3-Way", OR(Enginuity!$B$13=3, Enginuity!$B$13=6)),
      AND(P1249="Inner Centre Jamb", OR(Enginuity!$B$13=4, Enginuity!$B$13=6)),
      AND(
        LEFT(P1249,5)&lt;&gt;"1-Way",
        LEFT(P1249,5)&lt;&gt;"2-Way",
        LEFT(P1249,5)&lt;&gt;"3-Way",
        P1249&lt;&gt;"Inner Centre Jamb"
      )
    ),
    IF(OR(Enginuity!$A$1="Frameless Glass",Enginuity!$A$1="Metal Work"),
      AND(TRIM(B1249)=TRIM(Enginuity!$A$17),TRIM(C1249)=TRIM(Enginuity!$A$18)),
      TRIM(B1249)=TRIM(Enginuity!$A$17)
    )
  ),
  ROW(),
  ""
)</f>
        <v/>
      </c>
    </row>
    <row r="1250" spans="1:21" x14ac:dyDescent="0.25">
      <c r="A1250" s="10"/>
      <c r="B1250" s="229"/>
      <c r="C1250" s="10"/>
      <c r="D1250" s="14"/>
      <c r="E1250" s="157"/>
      <c r="F1250" s="14"/>
      <c r="G1250" s="17"/>
      <c r="H1250" s="10"/>
      <c r="I1250" s="17"/>
      <c r="J1250" s="83"/>
      <c r="K1250" s="343"/>
      <c r="L1250" s="347"/>
      <c r="M1250" s="89"/>
      <c r="N1250" s="10"/>
      <c r="O1250" s="22"/>
      <c r="P1250" s="106"/>
      <c r="Q1250" s="22"/>
      <c r="U1250" s="104" t="str">
        <f>IF(
  AND(
    TRIM(A1250)=TRIM(Enginuity!$A$1),
    TRIM(B1250)=TRIM(Enginuity!$A$17),
    Q1250&lt;&gt;"",
    Q1250&lt;&gt;0,
    OR(
      TRIM(C1250)=TRIM(Enginuity!$A$18),
      AND(UPPER(TRIM(M1250))="STD", TRIM(B1250)=TRIM(Enginuity!$A$17))
    ),
    OR(
      AND(LEFT(P1250,5)="1-Way", Enginuity!$B$13=1),
      AND(LEFT(P1250,5)="2-Way", OR(Enginuity!$B$13=2, Enginuity!$B$13=4)),
      AND(LEFT(P1250,5)="3-Way", OR(Enginuity!$B$13=3, Enginuity!$B$13=6)),
      AND(P1250="Inner Centre Jamb", OR(Enginuity!$B$13=4, Enginuity!$B$13=6)),
      AND(
        LEFT(P1250,5)&lt;&gt;"1-Way",
        LEFT(P1250,5)&lt;&gt;"2-Way",
        LEFT(P1250,5)&lt;&gt;"3-Way",
        P1250&lt;&gt;"Inner Centre Jamb"
      )
    ),
    IF(OR(Enginuity!$A$1="Frameless Glass",Enginuity!$A$1="Metal Work"),
      AND(TRIM(B1250)=TRIM(Enginuity!$A$17),TRIM(C1250)=TRIM(Enginuity!$A$18)),
      TRIM(B1250)=TRIM(Enginuity!$A$17)
    )
  ),
  ROW(),
  ""
)</f>
        <v/>
      </c>
    </row>
    <row r="1251" spans="1:21" x14ac:dyDescent="0.25">
      <c r="A1251" s="10"/>
      <c r="B1251" s="229"/>
      <c r="C1251" s="10"/>
      <c r="D1251" s="14"/>
      <c r="E1251" s="157"/>
      <c r="F1251" s="14"/>
      <c r="G1251" s="17"/>
      <c r="H1251" s="10"/>
      <c r="I1251" s="17"/>
      <c r="J1251" s="83"/>
      <c r="K1251" s="343"/>
      <c r="L1251" s="347"/>
      <c r="M1251" s="89"/>
      <c r="N1251" s="10"/>
      <c r="O1251" s="22"/>
      <c r="P1251" s="14"/>
      <c r="Q1251" s="22"/>
      <c r="U1251" s="104" t="str">
        <f>IF(
  AND(
    TRIM(A1251)=TRIM(Enginuity!$A$1),
    TRIM(B1251)=TRIM(Enginuity!$A$17),
    Q1251&lt;&gt;"",
    Q1251&lt;&gt;0,
    OR(
      TRIM(C1251)=TRIM(Enginuity!$A$18),
      AND(UPPER(TRIM(M1251))="STD", TRIM(B1251)=TRIM(Enginuity!$A$17))
    ),
    OR(
      AND(LEFT(P1251,5)="1-Way", Enginuity!$B$13=1),
      AND(LEFT(P1251,5)="2-Way", OR(Enginuity!$B$13=2, Enginuity!$B$13=4)),
      AND(LEFT(P1251,5)="3-Way", OR(Enginuity!$B$13=3, Enginuity!$B$13=6)),
      AND(P1251="Inner Centre Jamb", OR(Enginuity!$B$13=4, Enginuity!$B$13=6)),
      AND(
        LEFT(P1251,5)&lt;&gt;"1-Way",
        LEFT(P1251,5)&lt;&gt;"2-Way",
        LEFT(P1251,5)&lt;&gt;"3-Way",
        P1251&lt;&gt;"Inner Centre Jamb"
      )
    ),
    IF(OR(Enginuity!$A$1="Frameless Glass",Enginuity!$A$1="Metal Work"),
      AND(TRIM(B1251)=TRIM(Enginuity!$A$17),TRIM(C1251)=TRIM(Enginuity!$A$18)),
      TRIM(B1251)=TRIM(Enginuity!$A$17)
    )
  ),
  ROW(),
  ""
)</f>
        <v/>
      </c>
    </row>
    <row r="1252" spans="1:21" x14ac:dyDescent="0.25">
      <c r="A1252" s="10"/>
      <c r="B1252" s="229"/>
      <c r="C1252" s="10"/>
      <c r="D1252" s="14"/>
      <c r="E1252" s="157"/>
      <c r="F1252" s="14"/>
      <c r="G1252" s="17"/>
      <c r="H1252" s="10"/>
      <c r="I1252" s="17"/>
      <c r="J1252" s="83"/>
      <c r="K1252" s="343"/>
      <c r="L1252" s="347"/>
      <c r="M1252" s="89">
        <v>48</v>
      </c>
      <c r="N1252" s="10"/>
      <c r="O1252" s="22"/>
      <c r="P1252" s="106"/>
      <c r="Q1252" s="22"/>
      <c r="U1252" s="104" t="str">
        <f>IF(
  AND(
    TRIM(A1252)=TRIM(Enginuity!$A$1),
    TRIM(B1252)=TRIM(Enginuity!$A$17),
    Q1252&lt;&gt;"",
    Q1252&lt;&gt;0,
    OR(
      TRIM(C1252)=TRIM(Enginuity!$A$18),
      AND(UPPER(TRIM(M1252))="STD", TRIM(B1252)=TRIM(Enginuity!$A$17))
    ),
    OR(
      AND(LEFT(P1252,5)="1-Way", Enginuity!$B$13=1),
      AND(LEFT(P1252,5)="2-Way", OR(Enginuity!$B$13=2, Enginuity!$B$13=4)),
      AND(LEFT(P1252,5)="3-Way", OR(Enginuity!$B$13=3, Enginuity!$B$13=6)),
      AND(P1252="Inner Centre Jamb", OR(Enginuity!$B$13=4, Enginuity!$B$13=6)),
      AND(
        LEFT(P1252,5)&lt;&gt;"1-Way",
        LEFT(P1252,5)&lt;&gt;"2-Way",
        LEFT(P1252,5)&lt;&gt;"3-Way",
        P1252&lt;&gt;"Inner Centre Jamb"
      )
    ),
    IF(OR(Enginuity!$A$1="Frameless Glass",Enginuity!$A$1="Metal Work"),
      AND(TRIM(B1252)=TRIM(Enginuity!$A$17),TRIM(C1252)=TRIM(Enginuity!$A$18)),
      TRIM(B1252)=TRIM(Enginuity!$A$17)
    )
  ),
  ROW(),
  ""
)</f>
        <v/>
      </c>
    </row>
    <row r="1253" spans="1:21" x14ac:dyDescent="0.25">
      <c r="A1253" s="17"/>
      <c r="B1253" s="230"/>
      <c r="C1253" s="17"/>
      <c r="D1253" s="18"/>
      <c r="E1253" s="238"/>
      <c r="F1253" s="18"/>
      <c r="G1253" s="17"/>
      <c r="H1253" s="17"/>
      <c r="I1253" s="17"/>
      <c r="J1253" s="84"/>
      <c r="K1253" s="343"/>
      <c r="L1253" s="347"/>
      <c r="M1253" s="80" t="s">
        <v>447</v>
      </c>
      <c r="N1253" s="17"/>
      <c r="O1253" s="25"/>
      <c r="P1253" s="143"/>
      <c r="Q1253" s="25"/>
      <c r="U1253" s="104" t="str">
        <f>IF(
  AND(
    TRIM(A1253)=TRIM(Enginuity!$A$1),
    TRIM(B1253)=TRIM(Enginuity!$A$17),
    Q1253&lt;&gt;"",
    Q1253&lt;&gt;0,
    OR(
      TRIM(C1253)=TRIM(Enginuity!$A$18),
      AND(UPPER(TRIM(M1253))="STD", TRIM(B1253)=TRIM(Enginuity!$A$17))
    ),
    OR(
      AND(LEFT(P1253,5)="1-Way", Enginuity!$B$13=1),
      AND(LEFT(P1253,5)="2-Way", OR(Enginuity!$B$13=2, Enginuity!$B$13=4)),
      AND(LEFT(P1253,5)="3-Way", OR(Enginuity!$B$13=3, Enginuity!$B$13=6)),
      AND(P1253="Inner Centre Jamb", OR(Enginuity!$B$13=4, Enginuity!$B$13=6)),
      AND(
        LEFT(P1253,5)&lt;&gt;"1-Way",
        LEFT(P1253,5)&lt;&gt;"2-Way",
        LEFT(P1253,5)&lt;&gt;"3-Way",
        P1253&lt;&gt;"Inner Centre Jamb"
      )
    ),
    IF(OR(Enginuity!$A$1="Frameless Glass",Enginuity!$A$1="Metal Work"),
      AND(TRIM(B1253)=TRIM(Enginuity!$A$17),TRIM(C1253)=TRIM(Enginuity!$A$18)),
      TRIM(B1253)=TRIM(Enginuity!$A$17)
    )
  ),
  ROW(),
  ""
)</f>
        <v/>
      </c>
    </row>
    <row r="1254" spans="1:21" x14ac:dyDescent="0.25">
      <c r="A1254" s="10" t="s">
        <v>253</v>
      </c>
      <c r="B1254" s="229" t="s">
        <v>331</v>
      </c>
      <c r="C1254" s="10" t="s">
        <v>686</v>
      </c>
      <c r="D1254" s="86" t="s">
        <v>536</v>
      </c>
      <c r="E1254" s="241" t="s">
        <v>687</v>
      </c>
      <c r="F1254" s="86" t="s">
        <v>472</v>
      </c>
      <c r="G1254" s="142" t="s">
        <v>382</v>
      </c>
      <c r="H1254" s="10"/>
      <c r="I1254" s="17"/>
      <c r="J1254" s="83"/>
      <c r="K1254" s="344">
        <v>0.24453800000000001</v>
      </c>
      <c r="L1254" s="347">
        <v>609.6</v>
      </c>
      <c r="M1254" s="89">
        <v>1</v>
      </c>
      <c r="N1254" s="10" t="s">
        <v>176</v>
      </c>
      <c r="O1254" s="22">
        <v>421.05</v>
      </c>
      <c r="P1254" s="86" t="s">
        <v>472</v>
      </c>
      <c r="Q1254" s="22" t="str">
        <f>IF(AND(Enginuity!$A$21&lt;&gt;"", P1254=Enginuity!$A$21), 1, "")</f>
        <v/>
      </c>
      <c r="U1254" s="104" t="str">
        <f>IF(
  AND(
    TRIM(A1254)=TRIM(Enginuity!$A$1),
    TRIM(B1254)=TRIM(Enginuity!$A$17),
    Q1254&lt;&gt;"",
    Q1254&lt;&gt;0,
    OR(
      TRIM(C1254)=TRIM(Enginuity!$A$18),
      AND(UPPER(TRIM(M1254))="STD", TRIM(B1254)=TRIM(Enginuity!$A$17))
    ),
    OR(
      AND(LEFT(P1254,5)="1-Way", Enginuity!$B$13=1),
      AND(LEFT(P1254,5)="2-Way", OR(Enginuity!$B$13=2, Enginuity!$B$13=4)),
      AND(LEFT(P1254,5)="3-Way", OR(Enginuity!$B$13=3, Enginuity!$B$13=6)),
      AND(P1254="Inner Centre Jamb", OR(Enginuity!$B$13=4, Enginuity!$B$13=6)),
      AND(
        LEFT(P1254,5)&lt;&gt;"1-Way",
        LEFT(P1254,5)&lt;&gt;"2-Way",
        LEFT(P1254,5)&lt;&gt;"3-Way",
        P1254&lt;&gt;"Inner Centre Jamb"
      )
    ),
    IF(OR(Enginuity!$A$1="Frameless Glass",Enginuity!$A$1="Metal Work"),
      AND(TRIM(B1254)=TRIM(Enginuity!$A$17),TRIM(C1254)=TRIM(Enginuity!$A$18)),
      TRIM(B1254)=TRIM(Enginuity!$A$17)
    )
  ),
  ROW(),
  ""
)</f>
        <v/>
      </c>
    </row>
    <row r="1255" spans="1:21" x14ac:dyDescent="0.25">
      <c r="A1255" s="10" t="s">
        <v>253</v>
      </c>
      <c r="B1255" s="229" t="s">
        <v>331</v>
      </c>
      <c r="C1255" s="10" t="s">
        <v>686</v>
      </c>
      <c r="D1255" s="86" t="s">
        <v>536</v>
      </c>
      <c r="E1255" s="241" t="s">
        <v>687</v>
      </c>
      <c r="F1255" s="86" t="s">
        <v>473</v>
      </c>
      <c r="G1255" s="18" t="s">
        <v>384</v>
      </c>
      <c r="H1255" s="10"/>
      <c r="I1255" s="17"/>
      <c r="J1255" s="83"/>
      <c r="K1255" s="343"/>
      <c r="L1255" s="347"/>
      <c r="M1255" s="89">
        <v>2</v>
      </c>
      <c r="N1255" s="10" t="s">
        <v>176</v>
      </c>
      <c r="O1255" s="22">
        <v>445.2</v>
      </c>
      <c r="P1255" s="86" t="s">
        <v>473</v>
      </c>
      <c r="Q1255" s="22" t="str">
        <f>IF(AND(Enginuity!$A$21&lt;&gt;"", P1255=Enginuity!$A$21), 1, "")</f>
        <v/>
      </c>
      <c r="U1255" s="104" t="str">
        <f>IF(
  AND(
    TRIM(A1255)=TRIM(Enginuity!$A$1),
    TRIM(B1255)=TRIM(Enginuity!$A$17),
    Q1255&lt;&gt;"",
    Q1255&lt;&gt;0,
    OR(
      TRIM(C1255)=TRIM(Enginuity!$A$18),
      AND(UPPER(TRIM(M1255))="STD", TRIM(B1255)=TRIM(Enginuity!$A$17))
    ),
    OR(
      AND(LEFT(P1255,5)="1-Way", Enginuity!$B$13=1),
      AND(LEFT(P1255,5)="2-Way", OR(Enginuity!$B$13=2, Enginuity!$B$13=4)),
      AND(LEFT(P1255,5)="3-Way", OR(Enginuity!$B$13=3, Enginuity!$B$13=6)),
      AND(P1255="Inner Centre Jamb", OR(Enginuity!$B$13=4, Enginuity!$B$13=6)),
      AND(
        LEFT(P1255,5)&lt;&gt;"1-Way",
        LEFT(P1255,5)&lt;&gt;"2-Way",
        LEFT(P1255,5)&lt;&gt;"3-Way",
        P1255&lt;&gt;"Inner Centre Jamb"
      )
    ),
    IF(OR(Enginuity!$A$1="Frameless Glass",Enginuity!$A$1="Metal Work"),
      AND(TRIM(B1255)=TRIM(Enginuity!$A$17),TRIM(C1255)=TRIM(Enginuity!$A$18)),
      TRIM(B1255)=TRIM(Enginuity!$A$17)
    )
  ),
  ROW(),
  ""
)</f>
        <v/>
      </c>
    </row>
    <row r="1256" spans="1:21" x14ac:dyDescent="0.25">
      <c r="A1256" s="10" t="s">
        <v>253</v>
      </c>
      <c r="B1256" s="229" t="s">
        <v>331</v>
      </c>
      <c r="C1256" s="10" t="s">
        <v>686</v>
      </c>
      <c r="D1256" s="86" t="s">
        <v>536</v>
      </c>
      <c r="E1256" s="241" t="s">
        <v>687</v>
      </c>
      <c r="F1256" s="21" t="s">
        <v>474</v>
      </c>
      <c r="G1256" s="18"/>
      <c r="H1256" s="10"/>
      <c r="I1256" s="17"/>
      <c r="J1256" s="83"/>
      <c r="K1256" s="343"/>
      <c r="L1256" s="347"/>
      <c r="M1256" s="89">
        <v>3</v>
      </c>
      <c r="N1256" s="10" t="s">
        <v>176</v>
      </c>
      <c r="O1256" s="22">
        <v>468.3</v>
      </c>
      <c r="P1256" s="21" t="s">
        <v>474</v>
      </c>
      <c r="Q1256" s="22" t="str">
        <f>IF(AND(Enginuity!$A$21&lt;&gt;"", P1256=Enginuity!$A$21), 1, "")</f>
        <v/>
      </c>
      <c r="U1256" s="104" t="str">
        <f>IF(
  AND(
    TRIM(A1256)=TRIM(Enginuity!$A$1),
    TRIM(B1256)=TRIM(Enginuity!$A$17),
    Q1256&lt;&gt;"",
    Q1256&lt;&gt;0,
    OR(
      TRIM(C1256)=TRIM(Enginuity!$A$18),
      AND(UPPER(TRIM(M1256))="STD", TRIM(B1256)=TRIM(Enginuity!$A$17))
    ),
    OR(
      AND(LEFT(P1256,5)="1-Way", Enginuity!$B$13=1),
      AND(LEFT(P1256,5)="2-Way", OR(Enginuity!$B$13=2, Enginuity!$B$13=4)),
      AND(LEFT(P1256,5)="3-Way", OR(Enginuity!$B$13=3, Enginuity!$B$13=6)),
      AND(P1256="Inner Centre Jamb", OR(Enginuity!$B$13=4, Enginuity!$B$13=6)),
      AND(
        LEFT(P1256,5)&lt;&gt;"1-Way",
        LEFT(P1256,5)&lt;&gt;"2-Way",
        LEFT(P1256,5)&lt;&gt;"3-Way",
        P1256&lt;&gt;"Inner Centre Jamb"
      )
    ),
    IF(OR(Enginuity!$A$1="Frameless Glass",Enginuity!$A$1="Metal Work"),
      AND(TRIM(B1256)=TRIM(Enginuity!$A$17),TRIM(C1256)=TRIM(Enginuity!$A$18)),
      TRIM(B1256)=TRIM(Enginuity!$A$17)
    )
  ),
  ROW(),
  ""
)</f>
        <v/>
      </c>
    </row>
    <row r="1257" spans="1:21" x14ac:dyDescent="0.25">
      <c r="A1257" s="10" t="s">
        <v>253</v>
      </c>
      <c r="B1257" s="229" t="s">
        <v>331</v>
      </c>
      <c r="C1257" s="10" t="s">
        <v>686</v>
      </c>
      <c r="D1257" s="86" t="s">
        <v>536</v>
      </c>
      <c r="E1257" s="241" t="s">
        <v>687</v>
      </c>
      <c r="F1257" s="21" t="s">
        <v>475</v>
      </c>
      <c r="G1257" s="17"/>
      <c r="H1257" s="10"/>
      <c r="I1257" s="17"/>
      <c r="J1257" s="83"/>
      <c r="K1257" s="343"/>
      <c r="L1257" s="347"/>
      <c r="M1257" s="89">
        <v>4</v>
      </c>
      <c r="N1257" s="10" t="s">
        <v>176</v>
      </c>
      <c r="O1257" s="22">
        <v>515.54999999999995</v>
      </c>
      <c r="P1257" s="21" t="s">
        <v>475</v>
      </c>
      <c r="Q1257" s="22" t="str">
        <f>IF(AND(Enginuity!$A$21&lt;&gt;"", P1257=Enginuity!$A$21), 1, "")</f>
        <v/>
      </c>
      <c r="U1257" s="104" t="str">
        <f>IF(
  AND(
    TRIM(A1257)=TRIM(Enginuity!$A$1),
    TRIM(B1257)=TRIM(Enginuity!$A$17),
    Q1257&lt;&gt;"",
    Q1257&lt;&gt;0,
    OR(
      TRIM(C1257)=TRIM(Enginuity!$A$18),
      AND(UPPER(TRIM(M1257))="STD", TRIM(B1257)=TRIM(Enginuity!$A$17))
    ),
    OR(
      AND(LEFT(P1257,5)="1-Way", Enginuity!$B$13=1),
      AND(LEFT(P1257,5)="2-Way", OR(Enginuity!$B$13=2, Enginuity!$B$13=4)),
      AND(LEFT(P1257,5)="3-Way", OR(Enginuity!$B$13=3, Enginuity!$B$13=6)),
      AND(P1257="Inner Centre Jamb", OR(Enginuity!$B$13=4, Enginuity!$B$13=6)),
      AND(
        LEFT(P1257,5)&lt;&gt;"1-Way",
        LEFT(P1257,5)&lt;&gt;"2-Way",
        LEFT(P1257,5)&lt;&gt;"3-Way",
        P1257&lt;&gt;"Inner Centre Jamb"
      )
    ),
    IF(OR(Enginuity!$A$1="Frameless Glass",Enginuity!$A$1="Metal Work"),
      AND(TRIM(B1257)=TRIM(Enginuity!$A$17),TRIM(C1257)=TRIM(Enginuity!$A$18)),
      TRIM(B1257)=TRIM(Enginuity!$A$17)
    )
  ),
  ROW(),
  ""
)</f>
        <v/>
      </c>
    </row>
    <row r="1258" spans="1:21" x14ac:dyDescent="0.25">
      <c r="A1258" s="10" t="s">
        <v>253</v>
      </c>
      <c r="B1258" s="229" t="s">
        <v>331</v>
      </c>
      <c r="C1258" s="10" t="s">
        <v>686</v>
      </c>
      <c r="D1258" s="86" t="s">
        <v>536</v>
      </c>
      <c r="E1258" s="241" t="s">
        <v>687</v>
      </c>
      <c r="F1258" s="5" t="s">
        <v>476</v>
      </c>
      <c r="G1258" s="17"/>
      <c r="H1258" s="10"/>
      <c r="I1258" s="17"/>
      <c r="J1258" s="83"/>
      <c r="K1258" s="343"/>
      <c r="L1258" s="347"/>
      <c r="M1258" s="89">
        <v>5</v>
      </c>
      <c r="N1258" s="10" t="s">
        <v>176</v>
      </c>
      <c r="O1258" s="22">
        <v>539.70000000000005</v>
      </c>
      <c r="P1258" s="5" t="s">
        <v>476</v>
      </c>
      <c r="Q1258" s="22" t="str">
        <f>IF(AND(Enginuity!$A$21&lt;&gt;"", P1258=Enginuity!$A$21), 1, "")</f>
        <v/>
      </c>
      <c r="U1258" s="104" t="str">
        <f>IF(
  AND(
    TRIM(A1258)=TRIM(Enginuity!$A$1),
    TRIM(B1258)=TRIM(Enginuity!$A$17),
    Q1258&lt;&gt;"",
    Q1258&lt;&gt;0,
    OR(
      TRIM(C1258)=TRIM(Enginuity!$A$18),
      AND(UPPER(TRIM(M1258))="STD", TRIM(B1258)=TRIM(Enginuity!$A$17))
    ),
    OR(
      AND(LEFT(P1258,5)="1-Way", Enginuity!$B$13=1),
      AND(LEFT(P1258,5)="2-Way", OR(Enginuity!$B$13=2, Enginuity!$B$13=4)),
      AND(LEFT(P1258,5)="3-Way", OR(Enginuity!$B$13=3, Enginuity!$B$13=6)),
      AND(P1258="Inner Centre Jamb", OR(Enginuity!$B$13=4, Enginuity!$B$13=6)),
      AND(
        LEFT(P1258,5)&lt;&gt;"1-Way",
        LEFT(P1258,5)&lt;&gt;"2-Way",
        LEFT(P1258,5)&lt;&gt;"3-Way",
        P1258&lt;&gt;"Inner Centre Jamb"
      )
    ),
    IF(OR(Enginuity!$A$1="Frameless Glass",Enginuity!$A$1="Metal Work"),
      AND(TRIM(B1258)=TRIM(Enginuity!$A$17),TRIM(C1258)=TRIM(Enginuity!$A$18)),
      TRIM(B1258)=TRIM(Enginuity!$A$17)
    )
  ),
  ROW(),
  ""
)</f>
        <v/>
      </c>
    </row>
    <row r="1259" spans="1:21" x14ac:dyDescent="0.25">
      <c r="A1259" s="10" t="s">
        <v>253</v>
      </c>
      <c r="B1259" s="229" t="s">
        <v>331</v>
      </c>
      <c r="C1259" s="10" t="s">
        <v>686</v>
      </c>
      <c r="D1259" s="86" t="s">
        <v>536</v>
      </c>
      <c r="E1259" s="241" t="s">
        <v>687</v>
      </c>
      <c r="F1259" s="14" t="s">
        <v>477</v>
      </c>
      <c r="G1259" s="17"/>
      <c r="H1259" s="10"/>
      <c r="I1259" s="17"/>
      <c r="J1259" s="83"/>
      <c r="K1259" s="343"/>
      <c r="L1259" s="347"/>
      <c r="M1259" s="89">
        <v>6</v>
      </c>
      <c r="N1259" s="10" t="s">
        <v>176</v>
      </c>
      <c r="O1259" s="22">
        <v>585.9</v>
      </c>
      <c r="P1259" s="14" t="s">
        <v>477</v>
      </c>
      <c r="Q1259" s="22" t="str">
        <f>IF(AND(Enginuity!$A$21&lt;&gt;"", P1259=Enginuity!$A$21), 1, "")</f>
        <v/>
      </c>
      <c r="U1259" s="104" t="str">
        <f>IF(
  AND(
    TRIM(A1259)=TRIM(Enginuity!$A$1),
    TRIM(B1259)=TRIM(Enginuity!$A$17),
    Q1259&lt;&gt;"",
    Q1259&lt;&gt;0,
    OR(
      TRIM(C1259)=TRIM(Enginuity!$A$18),
      AND(UPPER(TRIM(M1259))="STD", TRIM(B1259)=TRIM(Enginuity!$A$17))
    ),
    OR(
      AND(LEFT(P1259,5)="1-Way", Enginuity!$B$13=1),
      AND(LEFT(P1259,5)="2-Way", OR(Enginuity!$B$13=2, Enginuity!$B$13=4)),
      AND(LEFT(P1259,5)="3-Way", OR(Enginuity!$B$13=3, Enginuity!$B$13=6)),
      AND(P1259="Inner Centre Jamb", OR(Enginuity!$B$13=4, Enginuity!$B$13=6)),
      AND(
        LEFT(P1259,5)&lt;&gt;"1-Way",
        LEFT(P1259,5)&lt;&gt;"2-Way",
        LEFT(P1259,5)&lt;&gt;"3-Way",
        P1259&lt;&gt;"Inner Centre Jamb"
      )
    ),
    IF(OR(Enginuity!$A$1="Frameless Glass",Enginuity!$A$1="Metal Work"),
      AND(TRIM(B1259)=TRIM(Enginuity!$A$17),TRIM(C1259)=TRIM(Enginuity!$A$18)),
      TRIM(B1259)=TRIM(Enginuity!$A$17)
    )
  ),
  ROW(),
  ""
)</f>
        <v/>
      </c>
    </row>
    <row r="1260" spans="1:21" x14ac:dyDescent="0.25">
      <c r="A1260" s="10" t="s">
        <v>253</v>
      </c>
      <c r="B1260" s="229" t="s">
        <v>331</v>
      </c>
      <c r="C1260" s="10" t="s">
        <v>686</v>
      </c>
      <c r="D1260" s="86" t="s">
        <v>536</v>
      </c>
      <c r="E1260" s="241" t="s">
        <v>687</v>
      </c>
      <c r="F1260" s="5" t="s">
        <v>478</v>
      </c>
      <c r="G1260" s="17"/>
      <c r="H1260" s="10"/>
      <c r="I1260" s="17"/>
      <c r="J1260" s="83"/>
      <c r="K1260" s="343"/>
      <c r="L1260" s="347"/>
      <c r="M1260" s="89">
        <v>7</v>
      </c>
      <c r="N1260" s="148" t="s">
        <v>176</v>
      </c>
      <c r="O1260" s="149">
        <v>610.04999999999995</v>
      </c>
      <c r="P1260" s="5" t="s">
        <v>478</v>
      </c>
      <c r="Q1260" s="22" t="str">
        <f>IF(AND(Enginuity!$A$21&lt;&gt;"", P1260=Enginuity!$A$21), 1, "")</f>
        <v/>
      </c>
      <c r="U1260" s="104" t="str">
        <f>IF(
  AND(
    TRIM(A1260)=TRIM(Enginuity!$A$1),
    TRIM(B1260)=TRIM(Enginuity!$A$17),
    Q1260&lt;&gt;"",
    Q1260&lt;&gt;0,
    OR(
      TRIM(C1260)=TRIM(Enginuity!$A$18),
      AND(UPPER(TRIM(M1260))="STD", TRIM(B1260)=TRIM(Enginuity!$A$17))
    ),
    OR(
      AND(LEFT(P1260,5)="1-Way", Enginuity!$B$13=1),
      AND(LEFT(P1260,5)="2-Way", OR(Enginuity!$B$13=2, Enginuity!$B$13=4)),
      AND(LEFT(P1260,5)="3-Way", OR(Enginuity!$B$13=3, Enginuity!$B$13=6)),
      AND(P1260="Inner Centre Jamb", OR(Enginuity!$B$13=4, Enginuity!$B$13=6)),
      AND(
        LEFT(P1260,5)&lt;&gt;"1-Way",
        LEFT(P1260,5)&lt;&gt;"2-Way",
        LEFT(P1260,5)&lt;&gt;"3-Way",
        P1260&lt;&gt;"Inner Centre Jamb"
      )
    ),
    IF(OR(Enginuity!$A$1="Frameless Glass",Enginuity!$A$1="Metal Work"),
      AND(TRIM(B1260)=TRIM(Enginuity!$A$17),TRIM(C1260)=TRIM(Enginuity!$A$18)),
      TRIM(B1260)=TRIM(Enginuity!$A$17)
    )
  ),
  ROW(),
  ""
)</f>
        <v/>
      </c>
    </row>
    <row r="1261" spans="1:21" x14ac:dyDescent="0.25">
      <c r="A1261" s="17" t="s">
        <v>253</v>
      </c>
      <c r="B1261" s="230" t="s">
        <v>331</v>
      </c>
      <c r="C1261" s="17" t="s">
        <v>686</v>
      </c>
      <c r="D1261" s="168" t="s">
        <v>536</v>
      </c>
      <c r="E1261" s="250"/>
      <c r="F1261" s="142"/>
      <c r="G1261" s="142"/>
      <c r="H1261" s="17"/>
      <c r="I1261" s="17"/>
      <c r="J1261" s="84"/>
      <c r="K1261" s="344"/>
      <c r="L1261" s="347"/>
      <c r="M1261" s="90">
        <v>8</v>
      </c>
      <c r="N1261" s="17" t="s">
        <v>176</v>
      </c>
      <c r="O1261" s="25" t="str">
        <f>IF(Enginuity!$A$22="Supply &amp; Install",70,IF(Enginuity!$A$22="Self Collect",0,""))</f>
        <v/>
      </c>
      <c r="P1261" s="121" t="str">
        <f>Enginuity!$A$22</f>
        <v>▼ [Lattice]</v>
      </c>
      <c r="Q1261" s="25" t="str">
        <f>IF(AND(
  LEN(O1261)&gt;0,
  OR(P1261="72"" Height", ISNUMBER(SEARCH("72"" Height",D1261))),
  OR(Enginuity!$A$22="Supply &amp; Install", Enginuity!$A$22="Self Collect")
),1,"")</f>
        <v/>
      </c>
      <c r="U1261" s="104" t="str">
        <f>IF(
  AND(
    TRIM(A1261)=TRIM(Enginuity!$A$1),
    TRIM(B1261)=TRIM(Enginuity!$A$17),
    Q1261&lt;&gt;"",
    Q1261&lt;&gt;0,
    OR(
      TRIM(C1261)=TRIM(Enginuity!$A$18),
      AND(UPPER(TRIM(M1261))="STD", TRIM(B1261)=TRIM(Enginuity!$A$17))
    ),
    OR(
      AND(LEFT(P1261,5)="1-Way", Enginuity!$B$13=1),
      AND(LEFT(P1261,5)="2-Way", OR(Enginuity!$B$13=2, Enginuity!$B$13=4)),
      AND(LEFT(P1261,5)="3-Way", OR(Enginuity!$B$13=3, Enginuity!$B$13=6)),
      AND(P1261="Inner Centre Jamb", OR(Enginuity!$B$13=4, Enginuity!$B$13=6)),
      AND(
        LEFT(P1261,5)&lt;&gt;"1-Way",
        LEFT(P1261,5)&lt;&gt;"2-Way",
        LEFT(P1261,5)&lt;&gt;"3-Way",
        P1261&lt;&gt;"Inner Centre Jamb"
      )
    ),
    IF(OR(Enginuity!$A$1="Frameless Glass",Enginuity!$A$1="Metal Work"),
      AND(TRIM(B1261)=TRIM(Enginuity!$A$17),TRIM(C1261)=TRIM(Enginuity!$A$18)),
      TRIM(B1261)=TRIM(Enginuity!$A$17)
    )
  ),
  ROW(),
  ""
)</f>
        <v/>
      </c>
    </row>
    <row r="1262" spans="1:21" x14ac:dyDescent="0.25">
      <c r="A1262" s="10" t="s">
        <v>253</v>
      </c>
      <c r="B1262" s="229" t="s">
        <v>331</v>
      </c>
      <c r="C1262" s="10" t="s">
        <v>686</v>
      </c>
      <c r="D1262" s="86" t="s">
        <v>536</v>
      </c>
      <c r="E1262" s="241" t="s">
        <v>479</v>
      </c>
      <c r="F1262" s="86" t="s">
        <v>480</v>
      </c>
      <c r="G1262" s="142" t="s">
        <v>382</v>
      </c>
      <c r="H1262" s="10"/>
      <c r="I1262" s="17"/>
      <c r="J1262" s="83"/>
      <c r="K1262" s="343"/>
      <c r="L1262" s="347"/>
      <c r="M1262" s="89">
        <v>9</v>
      </c>
      <c r="N1262" s="10" t="s">
        <v>176</v>
      </c>
      <c r="O1262" s="22">
        <v>513.45000000000005</v>
      </c>
      <c r="P1262" s="86" t="s">
        <v>480</v>
      </c>
      <c r="Q1262" s="22" t="str">
        <f>IF(AND(Enginuity!$A$21&lt;&gt;"", P1262=Enginuity!$A$21), 1, "")</f>
        <v/>
      </c>
      <c r="U1262" s="104" t="str">
        <f>IF(
  AND(
    TRIM(A1262)=TRIM(Enginuity!$A$1),
    TRIM(B1262)=TRIM(Enginuity!$A$17),
    Q1262&lt;&gt;"",
    Q1262&lt;&gt;0,
    OR(
      TRIM(C1262)=TRIM(Enginuity!$A$18),
      AND(UPPER(TRIM(M1262))="STD", TRIM(B1262)=TRIM(Enginuity!$A$17))
    ),
    OR(
      AND(LEFT(P1262,5)="1-Way", Enginuity!$B$13=1),
      AND(LEFT(P1262,5)="2-Way", OR(Enginuity!$B$13=2, Enginuity!$B$13=4)),
      AND(LEFT(P1262,5)="3-Way", OR(Enginuity!$B$13=3, Enginuity!$B$13=6)),
      AND(P1262="Inner Centre Jamb", OR(Enginuity!$B$13=4, Enginuity!$B$13=6)),
      AND(
        LEFT(P1262,5)&lt;&gt;"1-Way",
        LEFT(P1262,5)&lt;&gt;"2-Way",
        LEFT(P1262,5)&lt;&gt;"3-Way",
        P1262&lt;&gt;"Inner Centre Jamb"
      )
    ),
    IF(OR(Enginuity!$A$1="Frameless Glass",Enginuity!$A$1="Metal Work"),
      AND(TRIM(B1262)=TRIM(Enginuity!$A$17),TRIM(C1262)=TRIM(Enginuity!$A$18)),
      TRIM(B1262)=TRIM(Enginuity!$A$17)
    )
  ),
  ROW(),
  ""
)</f>
        <v/>
      </c>
    </row>
    <row r="1263" spans="1:21" x14ac:dyDescent="0.25">
      <c r="A1263" s="10" t="s">
        <v>253</v>
      </c>
      <c r="B1263" s="229" t="s">
        <v>331</v>
      </c>
      <c r="C1263" s="10" t="s">
        <v>686</v>
      </c>
      <c r="D1263" s="86" t="s">
        <v>536</v>
      </c>
      <c r="E1263" s="241" t="s">
        <v>479</v>
      </c>
      <c r="F1263" s="86" t="s">
        <v>481</v>
      </c>
      <c r="G1263" s="18" t="s">
        <v>384</v>
      </c>
      <c r="H1263" s="10"/>
      <c r="I1263" s="17"/>
      <c r="J1263" s="83"/>
      <c r="K1263" s="344"/>
      <c r="L1263" s="347"/>
      <c r="M1263" s="89">
        <v>10</v>
      </c>
      <c r="N1263" s="10" t="s">
        <v>176</v>
      </c>
      <c r="O1263" s="22">
        <v>542.85</v>
      </c>
      <c r="P1263" s="86" t="s">
        <v>481</v>
      </c>
      <c r="Q1263" s="22" t="str">
        <f>IF(AND(Enginuity!$A$21&lt;&gt;"", P1263=Enginuity!$A$21), 1, "")</f>
        <v/>
      </c>
      <c r="U1263" s="104" t="str">
        <f>IF(
  AND(
    TRIM(A1263)=TRIM(Enginuity!$A$1),
    TRIM(B1263)=TRIM(Enginuity!$A$17),
    Q1263&lt;&gt;"",
    Q1263&lt;&gt;0,
    OR(
      TRIM(C1263)=TRIM(Enginuity!$A$18),
      AND(UPPER(TRIM(M1263))="STD", TRIM(B1263)=TRIM(Enginuity!$A$17))
    ),
    OR(
      AND(LEFT(P1263,5)="1-Way", Enginuity!$B$13=1),
      AND(LEFT(P1263,5)="2-Way", OR(Enginuity!$B$13=2, Enginuity!$B$13=4)),
      AND(LEFT(P1263,5)="3-Way", OR(Enginuity!$B$13=3, Enginuity!$B$13=6)),
      AND(P1263="Inner Centre Jamb", OR(Enginuity!$B$13=4, Enginuity!$B$13=6)),
      AND(
        LEFT(P1263,5)&lt;&gt;"1-Way",
        LEFT(P1263,5)&lt;&gt;"2-Way",
        LEFT(P1263,5)&lt;&gt;"3-Way",
        P1263&lt;&gt;"Inner Centre Jamb"
      )
    ),
    IF(OR(Enginuity!$A$1="Frameless Glass",Enginuity!$A$1="Metal Work"),
      AND(TRIM(B1263)=TRIM(Enginuity!$A$17),TRIM(C1263)=TRIM(Enginuity!$A$18)),
      TRIM(B1263)=TRIM(Enginuity!$A$17)
    )
  ),
  ROW(),
  ""
)</f>
        <v/>
      </c>
    </row>
    <row r="1264" spans="1:21" x14ac:dyDescent="0.25">
      <c r="A1264" s="10" t="s">
        <v>253</v>
      </c>
      <c r="B1264" s="229" t="s">
        <v>331</v>
      </c>
      <c r="C1264" s="10" t="s">
        <v>686</v>
      </c>
      <c r="D1264" s="86" t="s">
        <v>536</v>
      </c>
      <c r="E1264" s="241" t="s">
        <v>479</v>
      </c>
      <c r="F1264" s="21" t="s">
        <v>482</v>
      </c>
      <c r="G1264" s="17"/>
      <c r="H1264" s="10"/>
      <c r="I1264" s="17"/>
      <c r="J1264" s="83"/>
      <c r="K1264" s="344"/>
      <c r="L1264" s="347"/>
      <c r="M1264" s="89">
        <v>11</v>
      </c>
      <c r="N1264" s="10" t="s">
        <v>176</v>
      </c>
      <c r="O1264" s="22">
        <v>571.20000000000005</v>
      </c>
      <c r="P1264" s="21" t="s">
        <v>482</v>
      </c>
      <c r="Q1264" s="22" t="str">
        <f>IF(AND(Enginuity!$A$21&lt;&gt;"", P1264=Enginuity!$A$21), 1, "")</f>
        <v/>
      </c>
      <c r="U1264" s="104" t="str">
        <f>IF(
  AND(
    TRIM(A1264)=TRIM(Enginuity!$A$1),
    TRIM(B1264)=TRIM(Enginuity!$A$17),
    Q1264&lt;&gt;"",
    Q1264&lt;&gt;0,
    OR(
      TRIM(C1264)=TRIM(Enginuity!$A$18),
      AND(UPPER(TRIM(M1264))="STD", TRIM(B1264)=TRIM(Enginuity!$A$17))
    ),
    OR(
      AND(LEFT(P1264,5)="1-Way", Enginuity!$B$13=1),
      AND(LEFT(P1264,5)="2-Way", OR(Enginuity!$B$13=2, Enginuity!$B$13=4)),
      AND(LEFT(P1264,5)="3-Way", OR(Enginuity!$B$13=3, Enginuity!$B$13=6)),
      AND(P1264="Inner Centre Jamb", OR(Enginuity!$B$13=4, Enginuity!$B$13=6)),
      AND(
        LEFT(P1264,5)&lt;&gt;"1-Way",
        LEFT(P1264,5)&lt;&gt;"2-Way",
        LEFT(P1264,5)&lt;&gt;"3-Way",
        P1264&lt;&gt;"Inner Centre Jamb"
      )
    ),
    IF(OR(Enginuity!$A$1="Frameless Glass",Enginuity!$A$1="Metal Work"),
      AND(TRIM(B1264)=TRIM(Enginuity!$A$17),TRIM(C1264)=TRIM(Enginuity!$A$18)),
      TRIM(B1264)=TRIM(Enginuity!$A$17)
    )
  ),
  ROW(),
  ""
)</f>
        <v/>
      </c>
    </row>
    <row r="1265" spans="1:21" x14ac:dyDescent="0.25">
      <c r="A1265" s="10" t="s">
        <v>253</v>
      </c>
      <c r="B1265" s="229" t="s">
        <v>331</v>
      </c>
      <c r="C1265" s="10" t="s">
        <v>686</v>
      </c>
      <c r="D1265" s="86" t="s">
        <v>536</v>
      </c>
      <c r="E1265" s="241" t="s">
        <v>479</v>
      </c>
      <c r="F1265" s="21" t="s">
        <v>483</v>
      </c>
      <c r="G1265" s="17"/>
      <c r="H1265" s="10"/>
      <c r="I1265" s="17"/>
      <c r="J1265" s="83"/>
      <c r="K1265" s="343"/>
      <c r="L1265" s="347"/>
      <c r="M1265" s="89">
        <v>12</v>
      </c>
      <c r="N1265" s="10" t="s">
        <v>176</v>
      </c>
      <c r="O1265" s="22">
        <v>627.9</v>
      </c>
      <c r="P1265" s="21" t="s">
        <v>483</v>
      </c>
      <c r="Q1265" s="22" t="str">
        <f>IF(AND(Enginuity!$A$21&lt;&gt;"", P1265=Enginuity!$A$21), 1, "")</f>
        <v/>
      </c>
      <c r="U1265" s="104" t="str">
        <f>IF(
  AND(
    TRIM(A1265)=TRIM(Enginuity!$A$1),
    TRIM(B1265)=TRIM(Enginuity!$A$17),
    Q1265&lt;&gt;"",
    Q1265&lt;&gt;0,
    OR(
      TRIM(C1265)=TRIM(Enginuity!$A$18),
      AND(UPPER(TRIM(M1265))="STD", TRIM(B1265)=TRIM(Enginuity!$A$17))
    ),
    OR(
      AND(LEFT(P1265,5)="1-Way", Enginuity!$B$13=1),
      AND(LEFT(P1265,5)="2-Way", OR(Enginuity!$B$13=2, Enginuity!$B$13=4)),
      AND(LEFT(P1265,5)="3-Way", OR(Enginuity!$B$13=3, Enginuity!$B$13=6)),
      AND(P1265="Inner Centre Jamb", OR(Enginuity!$B$13=4, Enginuity!$B$13=6)),
      AND(
        LEFT(P1265,5)&lt;&gt;"1-Way",
        LEFT(P1265,5)&lt;&gt;"2-Way",
        LEFT(P1265,5)&lt;&gt;"3-Way",
        P1265&lt;&gt;"Inner Centre Jamb"
      )
    ),
    IF(OR(Enginuity!$A$1="Frameless Glass",Enginuity!$A$1="Metal Work"),
      AND(TRIM(B1265)=TRIM(Enginuity!$A$17),TRIM(C1265)=TRIM(Enginuity!$A$18)),
      TRIM(B1265)=TRIM(Enginuity!$A$17)
    )
  ),
  ROW(),
  ""
)</f>
        <v/>
      </c>
    </row>
    <row r="1266" spans="1:21" x14ac:dyDescent="0.25">
      <c r="A1266" s="10" t="s">
        <v>253</v>
      </c>
      <c r="B1266" s="229" t="s">
        <v>331</v>
      </c>
      <c r="C1266" s="10" t="s">
        <v>686</v>
      </c>
      <c r="D1266" s="86" t="s">
        <v>536</v>
      </c>
      <c r="E1266" s="241" t="s">
        <v>479</v>
      </c>
      <c r="F1266" s="5" t="s">
        <v>484</v>
      </c>
      <c r="G1266" s="17"/>
      <c r="H1266" s="10"/>
      <c r="I1266" s="17"/>
      <c r="J1266" s="83"/>
      <c r="K1266" s="343"/>
      <c r="L1266" s="347"/>
      <c r="M1266" s="89">
        <v>13</v>
      </c>
      <c r="N1266" s="10" t="s">
        <v>176</v>
      </c>
      <c r="O1266" s="22">
        <v>657.3</v>
      </c>
      <c r="P1266" s="5" t="s">
        <v>484</v>
      </c>
      <c r="Q1266" s="22" t="str">
        <f>IF(AND(Enginuity!$A$21&lt;&gt;"", P1266=Enginuity!$A$21), 1, "")</f>
        <v/>
      </c>
      <c r="U1266" s="104" t="str">
        <f>IF(
  AND(
    TRIM(A1266)=TRIM(Enginuity!$A$1),
    TRIM(B1266)=TRIM(Enginuity!$A$17),
    Q1266&lt;&gt;"",
    Q1266&lt;&gt;0,
    OR(
      TRIM(C1266)=TRIM(Enginuity!$A$18),
      AND(UPPER(TRIM(M1266))="STD", TRIM(B1266)=TRIM(Enginuity!$A$17))
    ),
    OR(
      AND(LEFT(P1266,5)="1-Way", Enginuity!$B$13=1),
      AND(LEFT(P1266,5)="2-Way", OR(Enginuity!$B$13=2, Enginuity!$B$13=4)),
      AND(LEFT(P1266,5)="3-Way", OR(Enginuity!$B$13=3, Enginuity!$B$13=6)),
      AND(P1266="Inner Centre Jamb", OR(Enginuity!$B$13=4, Enginuity!$B$13=6)),
      AND(
        LEFT(P1266,5)&lt;&gt;"1-Way",
        LEFT(P1266,5)&lt;&gt;"2-Way",
        LEFT(P1266,5)&lt;&gt;"3-Way",
        P1266&lt;&gt;"Inner Centre Jamb"
      )
    ),
    IF(OR(Enginuity!$A$1="Frameless Glass",Enginuity!$A$1="Metal Work"),
      AND(TRIM(B1266)=TRIM(Enginuity!$A$17),TRIM(C1266)=TRIM(Enginuity!$A$18)),
      TRIM(B1266)=TRIM(Enginuity!$A$17)
    )
  ),
  ROW(),
  ""
)</f>
        <v/>
      </c>
    </row>
    <row r="1267" spans="1:21" x14ac:dyDescent="0.25">
      <c r="A1267" s="17" t="s">
        <v>253</v>
      </c>
      <c r="B1267" s="230" t="s">
        <v>331</v>
      </c>
      <c r="C1267" s="17" t="s">
        <v>686</v>
      </c>
      <c r="D1267" s="168" t="s">
        <v>536</v>
      </c>
      <c r="E1267" s="158"/>
      <c r="F1267" s="17"/>
      <c r="G1267" s="17"/>
      <c r="H1267" s="17"/>
      <c r="I1267" s="17"/>
      <c r="J1267" s="84"/>
      <c r="K1267" s="343"/>
      <c r="L1267" s="347"/>
      <c r="M1267" s="90"/>
      <c r="N1267" s="17"/>
      <c r="O1267" s="25"/>
      <c r="P1267" s="121"/>
      <c r="Q1267" s="25"/>
      <c r="U1267" s="104" t="str">
        <f>IF(
  AND(
    TRIM(A1267)=TRIM(Enginuity!$A$1),
    TRIM(B1267)=TRIM(Enginuity!$A$17),
    Q1267&lt;&gt;"",
    Q1267&lt;&gt;0,
    OR(
      TRIM(C1267)=TRIM(Enginuity!$A$18),
      AND(UPPER(TRIM(M1267))="STD", TRIM(B1267)=TRIM(Enginuity!$A$17))
    ),
    OR(
      AND(LEFT(P1267,5)="1-Way", Enginuity!$B$13=1),
      AND(LEFT(P1267,5)="2-Way", OR(Enginuity!$B$13=2, Enginuity!$B$13=4)),
      AND(LEFT(P1267,5)="3-Way", OR(Enginuity!$B$13=3, Enginuity!$B$13=6)),
      AND(P1267="Inner Centre Jamb", OR(Enginuity!$B$13=4, Enginuity!$B$13=6)),
      AND(
        LEFT(P1267,5)&lt;&gt;"1-Way",
        LEFT(P1267,5)&lt;&gt;"2-Way",
        LEFT(P1267,5)&lt;&gt;"3-Way",
        P1267&lt;&gt;"Inner Centre Jamb"
      )
    ),
    IF(OR(Enginuity!$A$1="Frameless Glass",Enginuity!$A$1="Metal Work"),
      AND(TRIM(B1267)=TRIM(Enginuity!$A$17),TRIM(C1267)=TRIM(Enginuity!$A$18)),
      TRIM(B1267)=TRIM(Enginuity!$A$17)
    )
  ),
  ROW(),
  ""
)</f>
        <v/>
      </c>
    </row>
    <row r="1268" spans="1:21" x14ac:dyDescent="0.25">
      <c r="A1268" s="10" t="s">
        <v>253</v>
      </c>
      <c r="B1268" s="229" t="s">
        <v>331</v>
      </c>
      <c r="C1268" s="10" t="s">
        <v>686</v>
      </c>
      <c r="D1268" s="86" t="s">
        <v>536</v>
      </c>
      <c r="E1268" s="159" t="s">
        <v>535</v>
      </c>
      <c r="F1268" s="5" t="s">
        <v>485</v>
      </c>
      <c r="G1268" s="142" t="s">
        <v>382</v>
      </c>
      <c r="H1268" s="10"/>
      <c r="I1268" s="17"/>
      <c r="J1268" s="83"/>
      <c r="K1268" s="343"/>
      <c r="L1268" s="347"/>
      <c r="M1268" s="89">
        <v>15</v>
      </c>
      <c r="N1268" s="10" t="s">
        <v>176</v>
      </c>
      <c r="O1268" s="22">
        <v>513.45000000000005</v>
      </c>
      <c r="P1268" s="5" t="s">
        <v>485</v>
      </c>
      <c r="Q1268" s="22" t="str">
        <f>IF(AND(Enginuity!$A$21&lt;&gt;"", P1268=Enginuity!$A$21), 1, "")</f>
        <v/>
      </c>
      <c r="U1268" s="104" t="str">
        <f>IF(
  AND(
    TRIM(A1268)=TRIM(Enginuity!$A$1),
    TRIM(B1268)=TRIM(Enginuity!$A$17),
    Q1268&lt;&gt;"",
    Q1268&lt;&gt;0,
    OR(
      TRIM(C1268)=TRIM(Enginuity!$A$18),
      AND(UPPER(TRIM(M1268))="STD", TRIM(B1268)=TRIM(Enginuity!$A$17))
    ),
    OR(
      AND(LEFT(P1268,5)="1-Way", Enginuity!$B$13=1),
      AND(LEFT(P1268,5)="2-Way", OR(Enginuity!$B$13=2, Enginuity!$B$13=4)),
      AND(LEFT(P1268,5)="3-Way", OR(Enginuity!$B$13=3, Enginuity!$B$13=6)),
      AND(P1268="Inner Centre Jamb", OR(Enginuity!$B$13=4, Enginuity!$B$13=6)),
      AND(
        LEFT(P1268,5)&lt;&gt;"1-Way",
        LEFT(P1268,5)&lt;&gt;"2-Way",
        LEFT(P1268,5)&lt;&gt;"3-Way",
        P1268&lt;&gt;"Inner Centre Jamb"
      )
    ),
    IF(OR(Enginuity!$A$1="Frameless Glass",Enginuity!$A$1="Metal Work"),
      AND(TRIM(B1268)=TRIM(Enginuity!$A$17),TRIM(C1268)=TRIM(Enginuity!$A$18)),
      TRIM(B1268)=TRIM(Enginuity!$A$17)
    )
  ),
  ROW(),
  ""
)</f>
        <v/>
      </c>
    </row>
    <row r="1269" spans="1:21" x14ac:dyDescent="0.25">
      <c r="A1269" s="10" t="s">
        <v>253</v>
      </c>
      <c r="B1269" s="229" t="s">
        <v>331</v>
      </c>
      <c r="C1269" s="10" t="s">
        <v>686</v>
      </c>
      <c r="D1269" s="86" t="s">
        <v>536</v>
      </c>
      <c r="E1269" s="159" t="s">
        <v>535</v>
      </c>
      <c r="F1269" s="157" t="s">
        <v>486</v>
      </c>
      <c r="G1269" s="18" t="s">
        <v>384</v>
      </c>
      <c r="H1269" s="10"/>
      <c r="I1269" s="17"/>
      <c r="J1269" s="83"/>
      <c r="K1269" s="343"/>
      <c r="L1269" s="347"/>
      <c r="M1269" s="89">
        <v>16</v>
      </c>
      <c r="N1269" s="10" t="s">
        <v>176</v>
      </c>
      <c r="O1269" s="22">
        <v>542.85</v>
      </c>
      <c r="P1269" s="14" t="s">
        <v>486</v>
      </c>
      <c r="Q1269" s="22" t="str">
        <f>IF(AND(Enginuity!$A$21&lt;&gt;"", P1269=Enginuity!$A$21), 1, "")</f>
        <v/>
      </c>
      <c r="U1269" s="104" t="str">
        <f>IF(
  AND(
    TRIM(A1269)=TRIM(Enginuity!$A$1),
    TRIM(B1269)=TRIM(Enginuity!$A$17),
    Q1269&lt;&gt;"",
    Q1269&lt;&gt;0,
    OR(
      TRIM(C1269)=TRIM(Enginuity!$A$18),
      AND(UPPER(TRIM(M1269))="STD", TRIM(B1269)=TRIM(Enginuity!$A$17))
    ),
    OR(
      AND(LEFT(P1269,5)="1-Way", Enginuity!$B$13=1),
      AND(LEFT(P1269,5)="2-Way", OR(Enginuity!$B$13=2, Enginuity!$B$13=4)),
      AND(LEFT(P1269,5)="3-Way", OR(Enginuity!$B$13=3, Enginuity!$B$13=6)),
      AND(P1269="Inner Centre Jamb", OR(Enginuity!$B$13=4, Enginuity!$B$13=6)),
      AND(
        LEFT(P1269,5)&lt;&gt;"1-Way",
        LEFT(P1269,5)&lt;&gt;"2-Way",
        LEFT(P1269,5)&lt;&gt;"3-Way",
        P1269&lt;&gt;"Inner Centre Jamb"
      )
    ),
    IF(OR(Enginuity!$A$1="Frameless Glass",Enginuity!$A$1="Metal Work"),
      AND(TRIM(B1269)=TRIM(Enginuity!$A$17),TRIM(C1269)=TRIM(Enginuity!$A$18)),
      TRIM(B1269)=TRIM(Enginuity!$A$17)
    )
  ),
  ROW(),
  ""
)</f>
        <v/>
      </c>
    </row>
    <row r="1270" spans="1:21" x14ac:dyDescent="0.25">
      <c r="A1270" s="10" t="s">
        <v>253</v>
      </c>
      <c r="B1270" s="229" t="s">
        <v>331</v>
      </c>
      <c r="C1270" s="10" t="s">
        <v>686</v>
      </c>
      <c r="D1270" s="86" t="s">
        <v>536</v>
      </c>
      <c r="E1270" s="159" t="s">
        <v>535</v>
      </c>
      <c r="F1270" s="157" t="s">
        <v>487</v>
      </c>
      <c r="G1270" s="17"/>
      <c r="H1270" s="10"/>
      <c r="I1270" s="17"/>
      <c r="J1270" s="83"/>
      <c r="K1270" s="343"/>
      <c r="L1270" s="347"/>
      <c r="M1270" s="89">
        <v>17</v>
      </c>
      <c r="N1270" s="10" t="s">
        <v>176</v>
      </c>
      <c r="O1270" s="22">
        <v>571.20000000000005</v>
      </c>
      <c r="P1270" s="14" t="s">
        <v>487</v>
      </c>
      <c r="Q1270" s="22" t="str">
        <f>IF(AND(Enginuity!$A$21&lt;&gt;"", P1270=Enginuity!$A$21), 1, "")</f>
        <v/>
      </c>
      <c r="U1270" s="104" t="str">
        <f>IF(
  AND(
    TRIM(A1270)=TRIM(Enginuity!$A$1),
    TRIM(B1270)=TRIM(Enginuity!$A$17),
    Q1270&lt;&gt;"",
    Q1270&lt;&gt;0,
    OR(
      TRIM(C1270)=TRIM(Enginuity!$A$18),
      AND(UPPER(TRIM(M1270))="STD", TRIM(B1270)=TRIM(Enginuity!$A$17))
    ),
    OR(
      AND(LEFT(P1270,5)="1-Way", Enginuity!$B$13=1),
      AND(LEFT(P1270,5)="2-Way", OR(Enginuity!$B$13=2, Enginuity!$B$13=4)),
      AND(LEFT(P1270,5)="3-Way", OR(Enginuity!$B$13=3, Enginuity!$B$13=6)),
      AND(P1270="Inner Centre Jamb", OR(Enginuity!$B$13=4, Enginuity!$B$13=6)),
      AND(
        LEFT(P1270,5)&lt;&gt;"1-Way",
        LEFT(P1270,5)&lt;&gt;"2-Way",
        LEFT(P1270,5)&lt;&gt;"3-Way",
        P1270&lt;&gt;"Inner Centre Jamb"
      )
    ),
    IF(OR(Enginuity!$A$1="Frameless Glass",Enginuity!$A$1="Metal Work"),
      AND(TRIM(B1270)=TRIM(Enginuity!$A$17),TRIM(C1270)=TRIM(Enginuity!$A$18)),
      TRIM(B1270)=TRIM(Enginuity!$A$17)
    )
  ),
  ROW(),
  ""
)</f>
        <v/>
      </c>
    </row>
    <row r="1271" spans="1:21" x14ac:dyDescent="0.25">
      <c r="A1271" s="10" t="s">
        <v>253</v>
      </c>
      <c r="B1271" s="229" t="s">
        <v>331</v>
      </c>
      <c r="C1271" s="10" t="s">
        <v>686</v>
      </c>
      <c r="D1271" s="86" t="s">
        <v>536</v>
      </c>
      <c r="E1271" s="159" t="s">
        <v>535</v>
      </c>
      <c r="F1271" s="157" t="s">
        <v>488</v>
      </c>
      <c r="G1271" s="17"/>
      <c r="H1271" s="10"/>
      <c r="I1271" s="17"/>
      <c r="J1271" s="83"/>
      <c r="K1271" s="343"/>
      <c r="L1271" s="347"/>
      <c r="M1271" s="89">
        <v>18</v>
      </c>
      <c r="N1271" s="10" t="s">
        <v>176</v>
      </c>
      <c r="O1271" s="22">
        <v>627.9</v>
      </c>
      <c r="P1271" s="14" t="s">
        <v>488</v>
      </c>
      <c r="Q1271" s="22" t="str">
        <f>IF(AND(Enginuity!$A$21&lt;&gt;"", P1271=Enginuity!$A$21), 1, "")</f>
        <v/>
      </c>
      <c r="U1271" s="104" t="str">
        <f>IF(
  AND(
    TRIM(A1271)=TRIM(Enginuity!$A$1),
    TRIM(B1271)=TRIM(Enginuity!$A$17),
    Q1271&lt;&gt;"",
    Q1271&lt;&gt;0,
    OR(
      TRIM(C1271)=TRIM(Enginuity!$A$18),
      AND(UPPER(TRIM(M1271))="STD", TRIM(B1271)=TRIM(Enginuity!$A$17))
    ),
    OR(
      AND(LEFT(P1271,5)="1-Way", Enginuity!$B$13=1),
      AND(LEFT(P1271,5)="2-Way", OR(Enginuity!$B$13=2, Enginuity!$B$13=4)),
      AND(LEFT(P1271,5)="3-Way", OR(Enginuity!$B$13=3, Enginuity!$B$13=6)),
      AND(P1271="Inner Centre Jamb", OR(Enginuity!$B$13=4, Enginuity!$B$13=6)),
      AND(
        LEFT(P1271,5)&lt;&gt;"1-Way",
        LEFT(P1271,5)&lt;&gt;"2-Way",
        LEFT(P1271,5)&lt;&gt;"3-Way",
        P1271&lt;&gt;"Inner Centre Jamb"
      )
    ),
    IF(OR(Enginuity!$A$1="Frameless Glass",Enginuity!$A$1="Metal Work"),
      AND(TRIM(B1271)=TRIM(Enginuity!$A$17),TRIM(C1271)=TRIM(Enginuity!$A$18)),
      TRIM(B1271)=TRIM(Enginuity!$A$17)
    )
  ),
  ROW(),
  ""
)</f>
        <v/>
      </c>
    </row>
    <row r="1272" spans="1:21" x14ac:dyDescent="0.25">
      <c r="A1272" s="10" t="s">
        <v>253</v>
      </c>
      <c r="B1272" s="229" t="s">
        <v>331</v>
      </c>
      <c r="C1272" s="10" t="s">
        <v>686</v>
      </c>
      <c r="D1272" s="86" t="s">
        <v>536</v>
      </c>
      <c r="E1272" s="159" t="s">
        <v>535</v>
      </c>
      <c r="F1272" s="157" t="s">
        <v>489</v>
      </c>
      <c r="G1272" s="17"/>
      <c r="H1272" s="10"/>
      <c r="I1272" s="17"/>
      <c r="J1272" s="83"/>
      <c r="K1272" s="343"/>
      <c r="L1272" s="347"/>
      <c r="M1272" s="89">
        <v>19</v>
      </c>
      <c r="N1272" s="10" t="s">
        <v>176</v>
      </c>
      <c r="O1272" s="22">
        <v>657.3</v>
      </c>
      <c r="P1272" s="14" t="s">
        <v>489</v>
      </c>
      <c r="Q1272" s="22" t="str">
        <f>IF(AND(Enginuity!$A$21&lt;&gt;"", P1272=Enginuity!$A$21), 1, "")</f>
        <v/>
      </c>
      <c r="U1272" s="104" t="str">
        <f>IF(
  AND(
    TRIM(A1272)=TRIM(Enginuity!$A$1),
    TRIM(B1272)=TRIM(Enginuity!$A$17),
    Q1272&lt;&gt;"",
    Q1272&lt;&gt;0,
    OR(
      TRIM(C1272)=TRIM(Enginuity!$A$18),
      AND(UPPER(TRIM(M1272))="STD", TRIM(B1272)=TRIM(Enginuity!$A$17))
    ),
    OR(
      AND(LEFT(P1272,5)="1-Way", Enginuity!$B$13=1),
      AND(LEFT(P1272,5)="2-Way", OR(Enginuity!$B$13=2, Enginuity!$B$13=4)),
      AND(LEFT(P1272,5)="3-Way", OR(Enginuity!$B$13=3, Enginuity!$B$13=6)),
      AND(P1272="Inner Centre Jamb", OR(Enginuity!$B$13=4, Enginuity!$B$13=6)),
      AND(
        LEFT(P1272,5)&lt;&gt;"1-Way",
        LEFT(P1272,5)&lt;&gt;"2-Way",
        LEFT(P1272,5)&lt;&gt;"3-Way",
        P1272&lt;&gt;"Inner Centre Jamb"
      )
    ),
    IF(OR(Enginuity!$A$1="Frameless Glass",Enginuity!$A$1="Metal Work"),
      AND(TRIM(B1272)=TRIM(Enginuity!$A$17),TRIM(C1272)=TRIM(Enginuity!$A$18)),
      TRIM(B1272)=TRIM(Enginuity!$A$17)
    )
  ),
  ROW(),
  ""
)</f>
        <v/>
      </c>
    </row>
    <row r="1273" spans="1:21" x14ac:dyDescent="0.25">
      <c r="A1273" s="10" t="s">
        <v>253</v>
      </c>
      <c r="B1273" s="229" t="s">
        <v>331</v>
      </c>
      <c r="C1273" s="10" t="s">
        <v>686</v>
      </c>
      <c r="D1273" s="86" t="s">
        <v>536</v>
      </c>
      <c r="E1273" s="159" t="s">
        <v>535</v>
      </c>
      <c r="F1273" s="157" t="s">
        <v>490</v>
      </c>
      <c r="G1273" s="17"/>
      <c r="H1273" s="10"/>
      <c r="I1273" s="17"/>
      <c r="J1273" s="83"/>
      <c r="K1273" s="344"/>
      <c r="L1273" s="347"/>
      <c r="M1273" s="89">
        <v>20</v>
      </c>
      <c r="N1273" s="10" t="s">
        <v>176</v>
      </c>
      <c r="O1273" s="22">
        <v>715.05</v>
      </c>
      <c r="P1273" s="14" t="s">
        <v>490</v>
      </c>
      <c r="Q1273" s="22" t="str">
        <f>IF(AND(Enginuity!$A$21&lt;&gt;"", P1273=Enginuity!$A$21), 1, "")</f>
        <v/>
      </c>
      <c r="U1273" s="104" t="str">
        <f>IF(
  AND(
    TRIM(A1273)=TRIM(Enginuity!$A$1),
    TRIM(B1273)=TRIM(Enginuity!$A$17),
    Q1273&lt;&gt;"",
    Q1273&lt;&gt;0,
    OR(
      TRIM(C1273)=TRIM(Enginuity!$A$18),
      AND(UPPER(TRIM(M1273))="STD", TRIM(B1273)=TRIM(Enginuity!$A$17))
    ),
    OR(
      AND(LEFT(P1273,5)="1-Way", Enginuity!$B$13=1),
      AND(LEFT(P1273,5)="2-Way", OR(Enginuity!$B$13=2, Enginuity!$B$13=4)),
      AND(LEFT(P1273,5)="3-Way", OR(Enginuity!$B$13=3, Enginuity!$B$13=6)),
      AND(P1273="Inner Centre Jamb", OR(Enginuity!$B$13=4, Enginuity!$B$13=6)),
      AND(
        LEFT(P1273,5)&lt;&gt;"1-Way",
        LEFT(P1273,5)&lt;&gt;"2-Way",
        LEFT(P1273,5)&lt;&gt;"3-Way",
        P1273&lt;&gt;"Inner Centre Jamb"
      )
    ),
    IF(OR(Enginuity!$A$1="Frameless Glass",Enginuity!$A$1="Metal Work"),
      AND(TRIM(B1273)=TRIM(Enginuity!$A$17),TRIM(C1273)=TRIM(Enginuity!$A$18)),
      TRIM(B1273)=TRIM(Enginuity!$A$17)
    )
  ),
  ROW(),
  ""
)</f>
        <v/>
      </c>
    </row>
    <row r="1274" spans="1:21" x14ac:dyDescent="0.25">
      <c r="A1274" s="10" t="s">
        <v>253</v>
      </c>
      <c r="B1274" s="229" t="s">
        <v>331</v>
      </c>
      <c r="C1274" s="10" t="s">
        <v>686</v>
      </c>
      <c r="D1274" s="86" t="s">
        <v>536</v>
      </c>
      <c r="E1274" s="159" t="s">
        <v>535</v>
      </c>
      <c r="F1274" s="157" t="s">
        <v>491</v>
      </c>
      <c r="G1274" s="17"/>
      <c r="H1274" s="10"/>
      <c r="I1274" s="17"/>
      <c r="J1274" s="83"/>
      <c r="K1274" s="343"/>
      <c r="L1274" s="347"/>
      <c r="M1274" s="89">
        <v>21</v>
      </c>
      <c r="N1274" s="10" t="s">
        <v>176</v>
      </c>
      <c r="O1274" s="22">
        <v>742.35</v>
      </c>
      <c r="P1274" s="14" t="s">
        <v>491</v>
      </c>
      <c r="Q1274" s="22" t="str">
        <f>IF(AND(Enginuity!$A$21&lt;&gt;"", P1274=Enginuity!$A$21), 1, "")</f>
        <v/>
      </c>
      <c r="U1274" s="104" t="str">
        <f>IF(
  AND(
    TRIM(A1274)=TRIM(Enginuity!$A$1),
    TRIM(B1274)=TRIM(Enginuity!$A$17),
    Q1274&lt;&gt;"",
    Q1274&lt;&gt;0,
    OR(
      TRIM(C1274)=TRIM(Enginuity!$A$18),
      AND(UPPER(TRIM(M1274))="STD", TRIM(B1274)=TRIM(Enginuity!$A$17))
    ),
    OR(
      AND(LEFT(P1274,5)="1-Way", Enginuity!$B$13=1),
      AND(LEFT(P1274,5)="2-Way", OR(Enginuity!$B$13=2, Enginuity!$B$13=4)),
      AND(LEFT(P1274,5)="3-Way", OR(Enginuity!$B$13=3, Enginuity!$B$13=6)),
      AND(P1274="Inner Centre Jamb", OR(Enginuity!$B$13=4, Enginuity!$B$13=6)),
      AND(
        LEFT(P1274,5)&lt;&gt;"1-Way",
        LEFT(P1274,5)&lt;&gt;"2-Way",
        LEFT(P1274,5)&lt;&gt;"3-Way",
        P1274&lt;&gt;"Inner Centre Jamb"
      )
    ),
    IF(OR(Enginuity!$A$1="Frameless Glass",Enginuity!$A$1="Metal Work"),
      AND(TRIM(B1274)=TRIM(Enginuity!$A$17),TRIM(C1274)=TRIM(Enginuity!$A$18)),
      TRIM(B1274)=TRIM(Enginuity!$A$17)
    )
  ),
  ROW(),
  ""
)</f>
        <v/>
      </c>
    </row>
    <row r="1275" spans="1:21" x14ac:dyDescent="0.25">
      <c r="A1275" s="17" t="s">
        <v>253</v>
      </c>
      <c r="B1275" s="230" t="s">
        <v>331</v>
      </c>
      <c r="C1275" s="17" t="s">
        <v>686</v>
      </c>
      <c r="D1275" s="168" t="s">
        <v>536</v>
      </c>
      <c r="E1275" s="158"/>
      <c r="F1275" s="158"/>
      <c r="G1275" s="17"/>
      <c r="H1275" s="17"/>
      <c r="I1275" s="17"/>
      <c r="J1275" s="84"/>
      <c r="K1275" s="343"/>
      <c r="L1275" s="347"/>
      <c r="M1275" s="90"/>
      <c r="N1275" s="17"/>
      <c r="O1275" s="25"/>
      <c r="P1275" s="121"/>
      <c r="Q1275" s="25"/>
      <c r="U1275" s="104" t="str">
        <f>IF(
  AND(
    TRIM(A1275)=TRIM(Enginuity!$A$1),
    TRIM(B1275)=TRIM(Enginuity!$A$17),
    Q1275&lt;&gt;"",
    Q1275&lt;&gt;0,
    OR(
      TRIM(C1275)=TRIM(Enginuity!$A$18),
      AND(UPPER(TRIM(M1275))="STD", TRIM(B1275)=TRIM(Enginuity!$A$17))
    ),
    OR(
      AND(LEFT(P1275,5)="1-Way", Enginuity!$B$13=1),
      AND(LEFT(P1275,5)="2-Way", OR(Enginuity!$B$13=2, Enginuity!$B$13=4)),
      AND(LEFT(P1275,5)="3-Way", OR(Enginuity!$B$13=3, Enginuity!$B$13=6)),
      AND(P1275="Inner Centre Jamb", OR(Enginuity!$B$13=4, Enginuity!$B$13=6)),
      AND(
        LEFT(P1275,5)&lt;&gt;"1-Way",
        LEFT(P1275,5)&lt;&gt;"2-Way",
        LEFT(P1275,5)&lt;&gt;"3-Way",
        P1275&lt;&gt;"Inner Centre Jamb"
      )
    ),
    IF(OR(Enginuity!$A$1="Frameless Glass",Enginuity!$A$1="Metal Work"),
      AND(TRIM(B1275)=TRIM(Enginuity!$A$17),TRIM(C1275)=TRIM(Enginuity!$A$18)),
      TRIM(B1275)=TRIM(Enginuity!$A$17)
    )
  ),
  ROW(),
  ""
)</f>
        <v/>
      </c>
    </row>
    <row r="1276" spans="1:21" x14ac:dyDescent="0.25">
      <c r="A1276" s="10" t="s">
        <v>253</v>
      </c>
      <c r="B1276" s="229" t="s">
        <v>331</v>
      </c>
      <c r="C1276" s="10" t="s">
        <v>686</v>
      </c>
      <c r="D1276" s="86" t="s">
        <v>536</v>
      </c>
      <c r="E1276" s="157" t="s">
        <v>534</v>
      </c>
      <c r="F1276" s="157" t="s">
        <v>492</v>
      </c>
      <c r="G1276" s="142" t="s">
        <v>382</v>
      </c>
      <c r="H1276" s="10"/>
      <c r="I1276" s="17"/>
      <c r="J1276" s="83"/>
      <c r="K1276" s="343"/>
      <c r="L1276" s="347"/>
      <c r="M1276" s="89">
        <v>23</v>
      </c>
      <c r="N1276" s="10" t="s">
        <v>176</v>
      </c>
      <c r="O1276" s="22">
        <v>591.15</v>
      </c>
      <c r="P1276" s="14" t="s">
        <v>492</v>
      </c>
      <c r="Q1276" s="22" t="str">
        <f>IF(AND(Enginuity!$A$21&lt;&gt;"", P1276=Enginuity!$A$21), 1, "")</f>
        <v/>
      </c>
      <c r="U1276" s="104" t="str">
        <f>IF(
  AND(
    TRIM(A1276)=TRIM(Enginuity!$A$1),
    TRIM(B1276)=TRIM(Enginuity!$A$17),
    Q1276&lt;&gt;"",
    Q1276&lt;&gt;0,
    OR(
      TRIM(C1276)=TRIM(Enginuity!$A$18),
      AND(UPPER(TRIM(M1276))="STD", TRIM(B1276)=TRIM(Enginuity!$A$17))
    ),
    OR(
      AND(LEFT(P1276,5)="1-Way", Enginuity!$B$13=1),
      AND(LEFT(P1276,5)="2-Way", OR(Enginuity!$B$13=2, Enginuity!$B$13=4)),
      AND(LEFT(P1276,5)="3-Way", OR(Enginuity!$B$13=3, Enginuity!$B$13=6)),
      AND(P1276="Inner Centre Jamb", OR(Enginuity!$B$13=4, Enginuity!$B$13=6)),
      AND(
        LEFT(P1276,5)&lt;&gt;"1-Way",
        LEFT(P1276,5)&lt;&gt;"2-Way",
        LEFT(P1276,5)&lt;&gt;"3-Way",
        P1276&lt;&gt;"Inner Centre Jamb"
      )
    ),
    IF(OR(Enginuity!$A$1="Frameless Glass",Enginuity!$A$1="Metal Work"),
      AND(TRIM(B1276)=TRIM(Enginuity!$A$17),TRIM(C1276)=TRIM(Enginuity!$A$18)),
      TRIM(B1276)=TRIM(Enginuity!$A$17)
    )
  ),
  ROW(),
  ""
)</f>
        <v/>
      </c>
    </row>
    <row r="1277" spans="1:21" x14ac:dyDescent="0.25">
      <c r="A1277" s="10" t="s">
        <v>253</v>
      </c>
      <c r="B1277" s="229" t="s">
        <v>331</v>
      </c>
      <c r="C1277" s="10" t="s">
        <v>686</v>
      </c>
      <c r="D1277" s="86" t="s">
        <v>536</v>
      </c>
      <c r="E1277" s="157" t="s">
        <v>534</v>
      </c>
      <c r="F1277" s="157" t="s">
        <v>493</v>
      </c>
      <c r="G1277" s="18" t="s">
        <v>384</v>
      </c>
      <c r="H1277" s="10"/>
      <c r="I1277" s="17"/>
      <c r="J1277" s="83"/>
      <c r="K1277" s="343"/>
      <c r="L1277" s="347"/>
      <c r="M1277" s="89">
        <v>24</v>
      </c>
      <c r="N1277" s="10" t="s">
        <v>176</v>
      </c>
      <c r="O1277" s="22">
        <v>632.1</v>
      </c>
      <c r="P1277" s="14" t="s">
        <v>493</v>
      </c>
      <c r="Q1277" s="22" t="str">
        <f>IF(AND(Enginuity!$A$21&lt;&gt;"", P1277=Enginuity!$A$21), 1, "")</f>
        <v/>
      </c>
      <c r="U1277" s="104" t="str">
        <f>IF(
  AND(
    TRIM(A1277)=TRIM(Enginuity!$A$1),
    TRIM(B1277)=TRIM(Enginuity!$A$17),
    Q1277&lt;&gt;"",
    Q1277&lt;&gt;0,
    OR(
      TRIM(C1277)=TRIM(Enginuity!$A$18),
      AND(UPPER(TRIM(M1277))="STD", TRIM(B1277)=TRIM(Enginuity!$A$17))
    ),
    OR(
      AND(LEFT(P1277,5)="1-Way", Enginuity!$B$13=1),
      AND(LEFT(P1277,5)="2-Way", OR(Enginuity!$B$13=2, Enginuity!$B$13=4)),
      AND(LEFT(P1277,5)="3-Way", OR(Enginuity!$B$13=3, Enginuity!$B$13=6)),
      AND(P1277="Inner Centre Jamb", OR(Enginuity!$B$13=4, Enginuity!$B$13=6)),
      AND(
        LEFT(P1277,5)&lt;&gt;"1-Way",
        LEFT(P1277,5)&lt;&gt;"2-Way",
        LEFT(P1277,5)&lt;&gt;"3-Way",
        P1277&lt;&gt;"Inner Centre Jamb"
      )
    ),
    IF(OR(Enginuity!$A$1="Frameless Glass",Enginuity!$A$1="Metal Work"),
      AND(TRIM(B1277)=TRIM(Enginuity!$A$17),TRIM(C1277)=TRIM(Enginuity!$A$18)),
      TRIM(B1277)=TRIM(Enginuity!$A$17)
    )
  ),
  ROW(),
  ""
)</f>
        <v/>
      </c>
    </row>
    <row r="1278" spans="1:21" x14ac:dyDescent="0.25">
      <c r="A1278" s="10" t="s">
        <v>253</v>
      </c>
      <c r="B1278" s="229" t="s">
        <v>331</v>
      </c>
      <c r="C1278" s="10" t="s">
        <v>686</v>
      </c>
      <c r="D1278" s="86" t="s">
        <v>536</v>
      </c>
      <c r="E1278" s="157" t="s">
        <v>534</v>
      </c>
      <c r="F1278" s="157" t="s">
        <v>494</v>
      </c>
      <c r="G1278" s="17"/>
      <c r="H1278" s="10"/>
      <c r="I1278" s="17"/>
      <c r="J1278" s="83"/>
      <c r="K1278" s="343"/>
      <c r="L1278" s="347"/>
      <c r="M1278" s="89">
        <v>25</v>
      </c>
      <c r="N1278" s="10" t="s">
        <v>176</v>
      </c>
      <c r="O1278" s="22">
        <v>674.1</v>
      </c>
      <c r="P1278" s="14" t="s">
        <v>494</v>
      </c>
      <c r="Q1278" s="22" t="str">
        <f>IF(AND(Enginuity!$A$21&lt;&gt;"", P1278=Enginuity!$A$21), 1, "")</f>
        <v/>
      </c>
      <c r="U1278" s="104" t="str">
        <f>IF(
  AND(
    TRIM(A1278)=TRIM(Enginuity!$A$1),
    TRIM(B1278)=TRIM(Enginuity!$A$17),
    Q1278&lt;&gt;"",
    Q1278&lt;&gt;0,
    OR(
      TRIM(C1278)=TRIM(Enginuity!$A$18),
      AND(UPPER(TRIM(M1278))="STD", TRIM(B1278)=TRIM(Enginuity!$A$17))
    ),
    OR(
      AND(LEFT(P1278,5)="1-Way", Enginuity!$B$13=1),
      AND(LEFT(P1278,5)="2-Way", OR(Enginuity!$B$13=2, Enginuity!$B$13=4)),
      AND(LEFT(P1278,5)="3-Way", OR(Enginuity!$B$13=3, Enginuity!$B$13=6)),
      AND(P1278="Inner Centre Jamb", OR(Enginuity!$B$13=4, Enginuity!$B$13=6)),
      AND(
        LEFT(P1278,5)&lt;&gt;"1-Way",
        LEFT(P1278,5)&lt;&gt;"2-Way",
        LEFT(P1278,5)&lt;&gt;"3-Way",
        P1278&lt;&gt;"Inner Centre Jamb"
      )
    ),
    IF(OR(Enginuity!$A$1="Frameless Glass",Enginuity!$A$1="Metal Work"),
      AND(TRIM(B1278)=TRIM(Enginuity!$A$17),TRIM(C1278)=TRIM(Enginuity!$A$18)),
      TRIM(B1278)=TRIM(Enginuity!$A$17)
    )
  ),
  ROW(),
  ""
)</f>
        <v/>
      </c>
    </row>
    <row r="1279" spans="1:21" x14ac:dyDescent="0.25">
      <c r="A1279" s="10" t="s">
        <v>253</v>
      </c>
      <c r="B1279" s="229" t="s">
        <v>331</v>
      </c>
      <c r="C1279" s="10" t="s">
        <v>686</v>
      </c>
      <c r="D1279" s="86" t="s">
        <v>536</v>
      </c>
      <c r="E1279" s="157" t="s">
        <v>534</v>
      </c>
      <c r="F1279" s="159" t="s">
        <v>495</v>
      </c>
      <c r="G1279" s="17"/>
      <c r="H1279" s="10"/>
      <c r="I1279" s="17"/>
      <c r="J1279" s="83"/>
      <c r="K1279" s="344"/>
      <c r="L1279" s="347"/>
      <c r="M1279" s="89">
        <v>26</v>
      </c>
      <c r="N1279" s="10" t="s">
        <v>176</v>
      </c>
      <c r="O1279" s="22">
        <v>743.4</v>
      </c>
      <c r="P1279" s="106" t="s">
        <v>495</v>
      </c>
      <c r="Q1279" s="22" t="str">
        <f>IF(AND(Enginuity!$A$21&lt;&gt;"", P1279=Enginuity!$A$21), 1, "")</f>
        <v/>
      </c>
      <c r="U1279" s="104" t="str">
        <f>IF(
  AND(
    TRIM(A1279)=TRIM(Enginuity!$A$1),
    TRIM(B1279)=TRIM(Enginuity!$A$17),
    Q1279&lt;&gt;"",
    Q1279&lt;&gt;0,
    OR(
      TRIM(C1279)=TRIM(Enginuity!$A$18),
      AND(UPPER(TRIM(M1279))="STD", TRIM(B1279)=TRIM(Enginuity!$A$17))
    ),
    OR(
      AND(LEFT(P1279,5)="1-Way", Enginuity!$B$13=1),
      AND(LEFT(P1279,5)="2-Way", OR(Enginuity!$B$13=2, Enginuity!$B$13=4)),
      AND(LEFT(P1279,5)="3-Way", OR(Enginuity!$B$13=3, Enginuity!$B$13=6)),
      AND(P1279="Inner Centre Jamb", OR(Enginuity!$B$13=4, Enginuity!$B$13=6)),
      AND(
        LEFT(P1279,5)&lt;&gt;"1-Way",
        LEFT(P1279,5)&lt;&gt;"2-Way",
        LEFT(P1279,5)&lt;&gt;"3-Way",
        P1279&lt;&gt;"Inner Centre Jamb"
      )
    ),
    IF(OR(Enginuity!$A$1="Frameless Glass",Enginuity!$A$1="Metal Work"),
      AND(TRIM(B1279)=TRIM(Enginuity!$A$17),TRIM(C1279)=TRIM(Enginuity!$A$18)),
      TRIM(B1279)=TRIM(Enginuity!$A$17)
    )
  ),
  ROW(),
  ""
)</f>
        <v/>
      </c>
    </row>
    <row r="1280" spans="1:21" x14ac:dyDescent="0.25">
      <c r="A1280" s="10" t="s">
        <v>253</v>
      </c>
      <c r="B1280" s="229" t="s">
        <v>331</v>
      </c>
      <c r="C1280" s="10" t="s">
        <v>686</v>
      </c>
      <c r="D1280" s="86" t="s">
        <v>536</v>
      </c>
      <c r="E1280" s="157" t="s">
        <v>534</v>
      </c>
      <c r="F1280" s="157" t="s">
        <v>496</v>
      </c>
      <c r="G1280" s="17"/>
      <c r="H1280" s="10"/>
      <c r="I1280" s="17"/>
      <c r="J1280" s="83"/>
      <c r="K1280" s="343"/>
      <c r="L1280" s="347"/>
      <c r="M1280" s="89">
        <v>27</v>
      </c>
      <c r="N1280" s="10" t="s">
        <v>176</v>
      </c>
      <c r="O1280" s="22">
        <v>785.4</v>
      </c>
      <c r="P1280" s="14" t="s">
        <v>496</v>
      </c>
      <c r="Q1280" s="22" t="str">
        <f>IF(AND(Enginuity!$A$21&lt;&gt;"", P1280=Enginuity!$A$21), 1, "")</f>
        <v/>
      </c>
      <c r="U1280" s="104" t="str">
        <f>IF(
  AND(
    TRIM(A1280)=TRIM(Enginuity!$A$1),
    TRIM(B1280)=TRIM(Enginuity!$A$17),
    Q1280&lt;&gt;"",
    Q1280&lt;&gt;0,
    OR(
      TRIM(C1280)=TRIM(Enginuity!$A$18),
      AND(UPPER(TRIM(M1280))="STD", TRIM(B1280)=TRIM(Enginuity!$A$17))
    ),
    OR(
      AND(LEFT(P1280,5)="1-Way", Enginuity!$B$13=1),
      AND(LEFT(P1280,5)="2-Way", OR(Enginuity!$B$13=2, Enginuity!$B$13=4)),
      AND(LEFT(P1280,5)="3-Way", OR(Enginuity!$B$13=3, Enginuity!$B$13=6)),
      AND(P1280="Inner Centre Jamb", OR(Enginuity!$B$13=4, Enginuity!$B$13=6)),
      AND(
        LEFT(P1280,5)&lt;&gt;"1-Way",
        LEFT(P1280,5)&lt;&gt;"2-Way",
        LEFT(P1280,5)&lt;&gt;"3-Way",
        P1280&lt;&gt;"Inner Centre Jamb"
      )
    ),
    IF(OR(Enginuity!$A$1="Frameless Glass",Enginuity!$A$1="Metal Work"),
      AND(TRIM(B1280)=TRIM(Enginuity!$A$17),TRIM(C1280)=TRIM(Enginuity!$A$18)),
      TRIM(B1280)=TRIM(Enginuity!$A$17)
    )
  ),
  ROW(),
  ""
)</f>
        <v/>
      </c>
    </row>
    <row r="1281" spans="1:21" x14ac:dyDescent="0.25">
      <c r="A1281" s="10" t="s">
        <v>253</v>
      </c>
      <c r="B1281" s="229" t="s">
        <v>331</v>
      </c>
      <c r="C1281" s="10" t="s">
        <v>686</v>
      </c>
      <c r="D1281" s="86" t="s">
        <v>536</v>
      </c>
      <c r="E1281" s="157" t="s">
        <v>534</v>
      </c>
      <c r="F1281" s="160" t="s">
        <v>497</v>
      </c>
      <c r="G1281" s="17"/>
      <c r="H1281" s="10"/>
      <c r="I1281" s="17"/>
      <c r="J1281" s="83"/>
      <c r="K1281" s="343"/>
      <c r="L1281" s="347"/>
      <c r="M1281" s="89">
        <v>28</v>
      </c>
      <c r="N1281" s="10" t="s">
        <v>176</v>
      </c>
      <c r="O1281" s="22">
        <v>855.75</v>
      </c>
      <c r="P1281" s="21" t="s">
        <v>497</v>
      </c>
      <c r="Q1281" s="22" t="str">
        <f>IF(AND(Enginuity!$A$21&lt;&gt;"", P1281=Enginuity!$A$21), 1, "")</f>
        <v/>
      </c>
      <c r="U1281" s="104" t="str">
        <f>IF(
  AND(
    TRIM(A1281)=TRIM(Enginuity!$A$1),
    TRIM(B1281)=TRIM(Enginuity!$A$17),
    Q1281&lt;&gt;"",
    Q1281&lt;&gt;0,
    OR(
      TRIM(C1281)=TRIM(Enginuity!$A$18),
      AND(UPPER(TRIM(M1281))="STD", TRIM(B1281)=TRIM(Enginuity!$A$17))
    ),
    OR(
      AND(LEFT(P1281,5)="1-Way", Enginuity!$B$13=1),
      AND(LEFT(P1281,5)="2-Way", OR(Enginuity!$B$13=2, Enginuity!$B$13=4)),
      AND(LEFT(P1281,5)="3-Way", OR(Enginuity!$B$13=3, Enginuity!$B$13=6)),
      AND(P1281="Inner Centre Jamb", OR(Enginuity!$B$13=4, Enginuity!$B$13=6)),
      AND(
        LEFT(P1281,5)&lt;&gt;"1-Way",
        LEFT(P1281,5)&lt;&gt;"2-Way",
        LEFT(P1281,5)&lt;&gt;"3-Way",
        P1281&lt;&gt;"Inner Centre Jamb"
      )
    ),
    IF(OR(Enginuity!$A$1="Frameless Glass",Enginuity!$A$1="Metal Work"),
      AND(TRIM(B1281)=TRIM(Enginuity!$A$17),TRIM(C1281)=TRIM(Enginuity!$A$18)),
      TRIM(B1281)=TRIM(Enginuity!$A$17)
    )
  ),
  ROW(),
  ""
)</f>
        <v/>
      </c>
    </row>
    <row r="1282" spans="1:21" x14ac:dyDescent="0.25">
      <c r="A1282" s="10" t="s">
        <v>253</v>
      </c>
      <c r="B1282" s="229" t="s">
        <v>331</v>
      </c>
      <c r="C1282" s="10" t="s">
        <v>686</v>
      </c>
      <c r="D1282" s="86" t="s">
        <v>536</v>
      </c>
      <c r="E1282" s="157" t="s">
        <v>534</v>
      </c>
      <c r="F1282" s="161" t="s">
        <v>498</v>
      </c>
      <c r="G1282" s="17"/>
      <c r="H1282" s="10"/>
      <c r="I1282" s="17"/>
      <c r="J1282" s="83"/>
      <c r="K1282" s="343"/>
      <c r="L1282" s="347"/>
      <c r="M1282" s="89">
        <v>29</v>
      </c>
      <c r="N1282" s="10" t="s">
        <v>176</v>
      </c>
      <c r="O1282" s="22">
        <v>896.7</v>
      </c>
      <c r="P1282" s="36" t="s">
        <v>498</v>
      </c>
      <c r="Q1282" s="22" t="str">
        <f>IF(AND(Enginuity!$A$21&lt;&gt;"", P1282=Enginuity!$A$21), 1, "")</f>
        <v/>
      </c>
      <c r="U1282" s="104" t="str">
        <f>IF(
  AND(
    TRIM(A1282)=TRIM(Enginuity!$A$1),
    TRIM(B1282)=TRIM(Enginuity!$A$17),
    Q1282&lt;&gt;"",
    Q1282&lt;&gt;0,
    OR(
      TRIM(C1282)=TRIM(Enginuity!$A$18),
      AND(UPPER(TRIM(M1282))="STD", TRIM(B1282)=TRIM(Enginuity!$A$17))
    ),
    OR(
      AND(LEFT(P1282,5)="1-Way", Enginuity!$B$13=1),
      AND(LEFT(P1282,5)="2-Way", OR(Enginuity!$B$13=2, Enginuity!$B$13=4)),
      AND(LEFT(P1282,5)="3-Way", OR(Enginuity!$B$13=3, Enginuity!$B$13=6)),
      AND(P1282="Inner Centre Jamb", OR(Enginuity!$B$13=4, Enginuity!$B$13=6)),
      AND(
        LEFT(P1282,5)&lt;&gt;"1-Way",
        LEFT(P1282,5)&lt;&gt;"2-Way",
        LEFT(P1282,5)&lt;&gt;"3-Way",
        P1282&lt;&gt;"Inner Centre Jamb"
      )
    ),
    IF(OR(Enginuity!$A$1="Frameless Glass",Enginuity!$A$1="Metal Work"),
      AND(TRIM(B1282)=TRIM(Enginuity!$A$17),TRIM(C1282)=TRIM(Enginuity!$A$18)),
      TRIM(B1282)=TRIM(Enginuity!$A$17)
    )
  ),
  ROW(),
  ""
)</f>
        <v/>
      </c>
    </row>
    <row r="1283" spans="1:21" x14ac:dyDescent="0.25">
      <c r="A1283" s="101" t="s">
        <v>253</v>
      </c>
      <c r="B1283" s="232" t="s">
        <v>331</v>
      </c>
      <c r="C1283" s="101" t="s">
        <v>686</v>
      </c>
      <c r="D1283" s="162" t="s">
        <v>536</v>
      </c>
      <c r="E1283" s="251"/>
      <c r="F1283" s="101"/>
      <c r="G1283" s="17"/>
      <c r="H1283" s="101"/>
      <c r="I1283" s="17"/>
      <c r="J1283" s="151"/>
      <c r="K1283" s="343"/>
      <c r="L1283" s="347"/>
      <c r="M1283" s="152"/>
      <c r="N1283" s="17"/>
      <c r="O1283" s="25"/>
      <c r="P1283" s="121"/>
      <c r="Q1283" s="25"/>
      <c r="U1283" s="104" t="str">
        <f>IF(
  AND(
    TRIM(A1283)=TRIM(Enginuity!$A$1),
    TRIM(B1283)=TRIM(Enginuity!$A$17),
    Q1283&lt;&gt;"",
    Q1283&lt;&gt;0,
    OR(
      TRIM(C1283)=TRIM(Enginuity!$A$18),
      AND(UPPER(TRIM(M1283))="STD", TRIM(B1283)=TRIM(Enginuity!$A$17))
    ),
    OR(
      AND(LEFT(P1283,5)="1-Way", Enginuity!$B$13=1),
      AND(LEFT(P1283,5)="2-Way", OR(Enginuity!$B$13=2, Enginuity!$B$13=4)),
      AND(LEFT(P1283,5)="3-Way", OR(Enginuity!$B$13=3, Enginuity!$B$13=6)),
      AND(P1283="Inner Centre Jamb", OR(Enginuity!$B$13=4, Enginuity!$B$13=6)),
      AND(
        LEFT(P1283,5)&lt;&gt;"1-Way",
        LEFT(P1283,5)&lt;&gt;"2-Way",
        LEFT(P1283,5)&lt;&gt;"3-Way",
        P1283&lt;&gt;"Inner Centre Jamb"
      )
    ),
    IF(OR(Enginuity!$A$1="Frameless Glass",Enginuity!$A$1="Metal Work"),
      AND(TRIM(B1283)=TRIM(Enginuity!$A$17),TRIM(C1283)=TRIM(Enginuity!$A$18)),
      TRIM(B1283)=TRIM(Enginuity!$A$17)
    )
  ),
  ROW(),
  ""
)</f>
        <v/>
      </c>
    </row>
    <row r="1284" spans="1:21" x14ac:dyDescent="0.25">
      <c r="A1284" s="10" t="s">
        <v>253</v>
      </c>
      <c r="B1284" s="229" t="s">
        <v>331</v>
      </c>
      <c r="C1284" s="10" t="s">
        <v>686</v>
      </c>
      <c r="D1284" s="14" t="s">
        <v>537</v>
      </c>
      <c r="E1284" s="157" t="s">
        <v>687</v>
      </c>
      <c r="F1284" s="14" t="s">
        <v>499</v>
      </c>
      <c r="G1284" s="142" t="s">
        <v>382</v>
      </c>
      <c r="H1284" s="10"/>
      <c r="I1284" s="17"/>
      <c r="J1284" s="83"/>
      <c r="K1284" s="344">
        <v>0.24453800000000001</v>
      </c>
      <c r="L1284" s="347">
        <v>609.6</v>
      </c>
      <c r="M1284" s="89">
        <v>31</v>
      </c>
      <c r="N1284" s="10" t="s">
        <v>176</v>
      </c>
      <c r="O1284" s="22">
        <v>459.9</v>
      </c>
      <c r="P1284" s="14" t="s">
        <v>499</v>
      </c>
      <c r="Q1284" s="22" t="str">
        <f>IF(AND(Enginuity!$A$21&lt;&gt;"", P1284=Enginuity!$A$21), 1, "")</f>
        <v/>
      </c>
      <c r="U1284" s="104" t="str">
        <f>IF(
  AND(
    TRIM(A1284)=TRIM(Enginuity!$A$1),
    TRIM(B1284)=TRIM(Enginuity!$A$17),
    Q1284&lt;&gt;"",
    Q1284&lt;&gt;0,
    OR(
      TRIM(C1284)=TRIM(Enginuity!$A$18),
      AND(UPPER(TRIM(M1284))="STD", TRIM(B1284)=TRIM(Enginuity!$A$17))
    ),
    OR(
      AND(LEFT(P1284,5)="1-Way", Enginuity!$B$13=1),
      AND(LEFT(P1284,5)="2-Way", OR(Enginuity!$B$13=2, Enginuity!$B$13=4)),
      AND(LEFT(P1284,5)="3-Way", OR(Enginuity!$B$13=3, Enginuity!$B$13=6)),
      AND(P1284="Inner Centre Jamb", OR(Enginuity!$B$13=4, Enginuity!$B$13=6)),
      AND(
        LEFT(P1284,5)&lt;&gt;"1-Way",
        LEFT(P1284,5)&lt;&gt;"2-Way",
        LEFT(P1284,5)&lt;&gt;"3-Way",
        P1284&lt;&gt;"Inner Centre Jamb"
      )
    ),
    IF(OR(Enginuity!$A$1="Frameless Glass",Enginuity!$A$1="Metal Work"),
      AND(TRIM(B1284)=TRIM(Enginuity!$A$17),TRIM(C1284)=TRIM(Enginuity!$A$18)),
      TRIM(B1284)=TRIM(Enginuity!$A$17)
    )
  ),
  ROW(),
  ""
)</f>
        <v/>
      </c>
    </row>
    <row r="1285" spans="1:21" x14ac:dyDescent="0.25">
      <c r="A1285" s="10" t="s">
        <v>253</v>
      </c>
      <c r="B1285" s="229" t="s">
        <v>331</v>
      </c>
      <c r="C1285" s="10" t="s">
        <v>686</v>
      </c>
      <c r="D1285" s="14" t="s">
        <v>537</v>
      </c>
      <c r="E1285" s="157" t="s">
        <v>687</v>
      </c>
      <c r="F1285" s="14" t="s">
        <v>500</v>
      </c>
      <c r="G1285" s="18" t="s">
        <v>384</v>
      </c>
      <c r="H1285" s="10"/>
      <c r="I1285" s="17"/>
      <c r="J1285" s="83"/>
      <c r="K1285" s="343"/>
      <c r="L1285" s="347"/>
      <c r="M1285" s="89">
        <v>32</v>
      </c>
      <c r="N1285" s="10" t="s">
        <v>176</v>
      </c>
      <c r="O1285" s="22">
        <v>486.15</v>
      </c>
      <c r="P1285" s="14" t="s">
        <v>500</v>
      </c>
      <c r="Q1285" s="22" t="str">
        <f>IF(AND(Enginuity!$A$21&lt;&gt;"", P1285=Enginuity!$A$21), 1, "")</f>
        <v/>
      </c>
      <c r="U1285" s="104" t="str">
        <f>IF(
  AND(
    TRIM(A1285)=TRIM(Enginuity!$A$1),
    TRIM(B1285)=TRIM(Enginuity!$A$17),
    Q1285&lt;&gt;"",
    Q1285&lt;&gt;0,
    OR(
      TRIM(C1285)=TRIM(Enginuity!$A$18),
      AND(UPPER(TRIM(M1285))="STD", TRIM(B1285)=TRIM(Enginuity!$A$17))
    ),
    OR(
      AND(LEFT(P1285,5)="1-Way", Enginuity!$B$13=1),
      AND(LEFT(P1285,5)="2-Way", OR(Enginuity!$B$13=2, Enginuity!$B$13=4)),
      AND(LEFT(P1285,5)="3-Way", OR(Enginuity!$B$13=3, Enginuity!$B$13=6)),
      AND(P1285="Inner Centre Jamb", OR(Enginuity!$B$13=4, Enginuity!$B$13=6)),
      AND(
        LEFT(P1285,5)&lt;&gt;"1-Way",
        LEFT(P1285,5)&lt;&gt;"2-Way",
        LEFT(P1285,5)&lt;&gt;"3-Way",
        P1285&lt;&gt;"Inner Centre Jamb"
      )
    ),
    IF(OR(Enginuity!$A$1="Frameless Glass",Enginuity!$A$1="Metal Work"),
      AND(TRIM(B1285)=TRIM(Enginuity!$A$17),TRIM(C1285)=TRIM(Enginuity!$A$18)),
      TRIM(B1285)=TRIM(Enginuity!$A$17)
    )
  ),
  ROW(),
  ""
)</f>
        <v/>
      </c>
    </row>
    <row r="1286" spans="1:21" x14ac:dyDescent="0.25">
      <c r="A1286" s="10" t="s">
        <v>253</v>
      </c>
      <c r="B1286" s="229" t="s">
        <v>331</v>
      </c>
      <c r="C1286" s="10" t="s">
        <v>686</v>
      </c>
      <c r="D1286" s="14" t="s">
        <v>537</v>
      </c>
      <c r="E1286" s="157" t="s">
        <v>687</v>
      </c>
      <c r="F1286" s="14" t="s">
        <v>501</v>
      </c>
      <c r="G1286" s="17"/>
      <c r="H1286" s="10"/>
      <c r="I1286" s="17"/>
      <c r="J1286" s="83"/>
      <c r="K1286" s="343"/>
      <c r="L1286" s="347"/>
      <c r="M1286" s="89">
        <v>33</v>
      </c>
      <c r="N1286" s="10" t="s">
        <v>176</v>
      </c>
      <c r="O1286" s="22">
        <v>511.35</v>
      </c>
      <c r="P1286" s="14" t="s">
        <v>501</v>
      </c>
      <c r="Q1286" s="22" t="str">
        <f>IF(AND(Enginuity!$A$21&lt;&gt;"", P1286=Enginuity!$A$21), 1, "")</f>
        <v/>
      </c>
      <c r="U1286" s="104" t="str">
        <f>IF(
  AND(
    TRIM(A1286)=TRIM(Enginuity!$A$1),
    TRIM(B1286)=TRIM(Enginuity!$A$17),
    Q1286&lt;&gt;"",
    Q1286&lt;&gt;0,
    OR(
      TRIM(C1286)=TRIM(Enginuity!$A$18),
      AND(UPPER(TRIM(M1286))="STD", TRIM(B1286)=TRIM(Enginuity!$A$17))
    ),
    OR(
      AND(LEFT(P1286,5)="1-Way", Enginuity!$B$13=1),
      AND(LEFT(P1286,5)="2-Way", OR(Enginuity!$B$13=2, Enginuity!$B$13=4)),
      AND(LEFT(P1286,5)="3-Way", OR(Enginuity!$B$13=3, Enginuity!$B$13=6)),
      AND(P1286="Inner Centre Jamb", OR(Enginuity!$B$13=4, Enginuity!$B$13=6)),
      AND(
        LEFT(P1286,5)&lt;&gt;"1-Way",
        LEFT(P1286,5)&lt;&gt;"2-Way",
        LEFT(P1286,5)&lt;&gt;"3-Way",
        P1286&lt;&gt;"Inner Centre Jamb"
      )
    ),
    IF(OR(Enginuity!$A$1="Frameless Glass",Enginuity!$A$1="Metal Work"),
      AND(TRIM(B1286)=TRIM(Enginuity!$A$17),TRIM(C1286)=TRIM(Enginuity!$A$18)),
      TRIM(B1286)=TRIM(Enginuity!$A$17)
    )
  ),
  ROW(),
  ""
)</f>
        <v/>
      </c>
    </row>
    <row r="1287" spans="1:21" x14ac:dyDescent="0.25">
      <c r="A1287" s="10" t="s">
        <v>253</v>
      </c>
      <c r="B1287" s="229" t="s">
        <v>331</v>
      </c>
      <c r="C1287" s="10" t="s">
        <v>686</v>
      </c>
      <c r="D1287" s="14" t="s">
        <v>537</v>
      </c>
      <c r="E1287" s="157" t="s">
        <v>687</v>
      </c>
      <c r="F1287" s="14" t="s">
        <v>502</v>
      </c>
      <c r="G1287" s="17"/>
      <c r="H1287" s="10"/>
      <c r="I1287" s="17"/>
      <c r="J1287" s="83"/>
      <c r="K1287" s="343"/>
      <c r="L1287" s="347"/>
      <c r="M1287" s="89">
        <v>34</v>
      </c>
      <c r="N1287" s="10" t="s">
        <v>176</v>
      </c>
      <c r="O1287" s="22">
        <v>562.79999999999995</v>
      </c>
      <c r="P1287" s="14" t="s">
        <v>502</v>
      </c>
      <c r="Q1287" s="22" t="str">
        <f>IF(AND(Enginuity!$A$21&lt;&gt;"", P1287=Enginuity!$A$21), 1, "")</f>
        <v/>
      </c>
      <c r="U1287" s="104" t="str">
        <f>IF(
  AND(
    TRIM(A1287)=TRIM(Enginuity!$A$1),
    TRIM(B1287)=TRIM(Enginuity!$A$17),
    Q1287&lt;&gt;"",
    Q1287&lt;&gt;0,
    OR(
      TRIM(C1287)=TRIM(Enginuity!$A$18),
      AND(UPPER(TRIM(M1287))="STD", TRIM(B1287)=TRIM(Enginuity!$A$17))
    ),
    OR(
      AND(LEFT(P1287,5)="1-Way", Enginuity!$B$13=1),
      AND(LEFT(P1287,5)="2-Way", OR(Enginuity!$B$13=2, Enginuity!$B$13=4)),
      AND(LEFT(P1287,5)="3-Way", OR(Enginuity!$B$13=3, Enginuity!$B$13=6)),
      AND(P1287="Inner Centre Jamb", OR(Enginuity!$B$13=4, Enginuity!$B$13=6)),
      AND(
        LEFT(P1287,5)&lt;&gt;"1-Way",
        LEFT(P1287,5)&lt;&gt;"2-Way",
        LEFT(P1287,5)&lt;&gt;"3-Way",
        P1287&lt;&gt;"Inner Centre Jamb"
      )
    ),
    IF(OR(Enginuity!$A$1="Frameless Glass",Enginuity!$A$1="Metal Work"),
      AND(TRIM(B1287)=TRIM(Enginuity!$A$17),TRIM(C1287)=TRIM(Enginuity!$A$18)),
      TRIM(B1287)=TRIM(Enginuity!$A$17)
    )
  ),
  ROW(),
  ""
)</f>
        <v/>
      </c>
    </row>
    <row r="1288" spans="1:21" x14ac:dyDescent="0.25">
      <c r="A1288" s="10" t="s">
        <v>253</v>
      </c>
      <c r="B1288" s="229" t="s">
        <v>331</v>
      </c>
      <c r="C1288" s="10" t="s">
        <v>686</v>
      </c>
      <c r="D1288" s="14" t="s">
        <v>537</v>
      </c>
      <c r="E1288" s="157" t="s">
        <v>687</v>
      </c>
      <c r="F1288" s="14" t="s">
        <v>503</v>
      </c>
      <c r="G1288" s="17"/>
      <c r="H1288" s="10"/>
      <c r="I1288" s="17"/>
      <c r="J1288" s="83"/>
      <c r="K1288" s="343"/>
      <c r="L1288" s="347"/>
      <c r="M1288" s="89">
        <v>35</v>
      </c>
      <c r="N1288" s="10" t="s">
        <v>176</v>
      </c>
      <c r="O1288" s="22">
        <v>588</v>
      </c>
      <c r="P1288" s="14" t="s">
        <v>503</v>
      </c>
      <c r="Q1288" s="22" t="str">
        <f>IF(AND(Enginuity!$A$21&lt;&gt;"", P1288=Enginuity!$A$21), 1, "")</f>
        <v/>
      </c>
      <c r="U1288" s="104" t="str">
        <f>IF(
  AND(
    TRIM(A1288)=TRIM(Enginuity!$A$1),
    TRIM(B1288)=TRIM(Enginuity!$A$17),
    Q1288&lt;&gt;"",
    Q1288&lt;&gt;0,
    OR(
      TRIM(C1288)=TRIM(Enginuity!$A$18),
      AND(UPPER(TRIM(M1288))="STD", TRIM(B1288)=TRIM(Enginuity!$A$17))
    ),
    OR(
      AND(LEFT(P1288,5)="1-Way", Enginuity!$B$13=1),
      AND(LEFT(P1288,5)="2-Way", OR(Enginuity!$B$13=2, Enginuity!$B$13=4)),
      AND(LEFT(P1288,5)="3-Way", OR(Enginuity!$B$13=3, Enginuity!$B$13=6)),
      AND(P1288="Inner Centre Jamb", OR(Enginuity!$B$13=4, Enginuity!$B$13=6)),
      AND(
        LEFT(P1288,5)&lt;&gt;"1-Way",
        LEFT(P1288,5)&lt;&gt;"2-Way",
        LEFT(P1288,5)&lt;&gt;"3-Way",
        P1288&lt;&gt;"Inner Centre Jamb"
      )
    ),
    IF(OR(Enginuity!$A$1="Frameless Glass",Enginuity!$A$1="Metal Work"),
      AND(TRIM(B1288)=TRIM(Enginuity!$A$17),TRIM(C1288)=TRIM(Enginuity!$A$18)),
      TRIM(B1288)=TRIM(Enginuity!$A$17)
    )
  ),
  ROW(),
  ""
)</f>
        <v/>
      </c>
    </row>
    <row r="1289" spans="1:21" x14ac:dyDescent="0.25">
      <c r="A1289" s="10" t="s">
        <v>253</v>
      </c>
      <c r="B1289" s="229" t="s">
        <v>331</v>
      </c>
      <c r="C1289" s="10" t="s">
        <v>686</v>
      </c>
      <c r="D1289" s="14" t="s">
        <v>537</v>
      </c>
      <c r="E1289" s="157" t="s">
        <v>687</v>
      </c>
      <c r="F1289" s="36" t="s">
        <v>504</v>
      </c>
      <c r="G1289" s="17"/>
      <c r="H1289" s="10"/>
      <c r="I1289" s="17"/>
      <c r="J1289" s="83"/>
      <c r="K1289" s="343"/>
      <c r="L1289" s="347"/>
      <c r="M1289" s="89">
        <v>36</v>
      </c>
      <c r="N1289" s="10" t="s">
        <v>176</v>
      </c>
      <c r="O1289" s="22">
        <v>639.45000000000005</v>
      </c>
      <c r="P1289" s="36" t="s">
        <v>504</v>
      </c>
      <c r="Q1289" s="22" t="str">
        <f>IF(AND(Enginuity!$A$21&lt;&gt;"", P1289=Enginuity!$A$21), 1, "")</f>
        <v/>
      </c>
      <c r="U1289" s="104" t="str">
        <f>IF(
  AND(
    TRIM(A1289)=TRIM(Enginuity!$A$1),
    TRIM(B1289)=TRIM(Enginuity!$A$17),
    Q1289&lt;&gt;"",
    Q1289&lt;&gt;0,
    OR(
      TRIM(C1289)=TRIM(Enginuity!$A$18),
      AND(UPPER(TRIM(M1289))="STD", TRIM(B1289)=TRIM(Enginuity!$A$17))
    ),
    OR(
      AND(LEFT(P1289,5)="1-Way", Enginuity!$B$13=1),
      AND(LEFT(P1289,5)="2-Way", OR(Enginuity!$B$13=2, Enginuity!$B$13=4)),
      AND(LEFT(P1289,5)="3-Way", OR(Enginuity!$B$13=3, Enginuity!$B$13=6)),
      AND(P1289="Inner Centre Jamb", OR(Enginuity!$B$13=4, Enginuity!$B$13=6)),
      AND(
        LEFT(P1289,5)&lt;&gt;"1-Way",
        LEFT(P1289,5)&lt;&gt;"2-Way",
        LEFT(P1289,5)&lt;&gt;"3-Way",
        P1289&lt;&gt;"Inner Centre Jamb"
      )
    ),
    IF(OR(Enginuity!$A$1="Frameless Glass",Enginuity!$A$1="Metal Work"),
      AND(TRIM(B1289)=TRIM(Enginuity!$A$17),TRIM(C1289)=TRIM(Enginuity!$A$18)),
      TRIM(B1289)=TRIM(Enginuity!$A$17)
    )
  ),
  ROW(),
  ""
)</f>
        <v/>
      </c>
    </row>
    <row r="1290" spans="1:21" x14ac:dyDescent="0.25">
      <c r="A1290" s="10" t="s">
        <v>253</v>
      </c>
      <c r="B1290" s="229" t="s">
        <v>331</v>
      </c>
      <c r="C1290" s="10" t="s">
        <v>686</v>
      </c>
      <c r="D1290" s="14" t="s">
        <v>537</v>
      </c>
      <c r="E1290" s="157" t="s">
        <v>687</v>
      </c>
      <c r="F1290" s="14" t="s">
        <v>505</v>
      </c>
      <c r="G1290" s="17"/>
      <c r="H1290" s="10"/>
      <c r="I1290" s="17"/>
      <c r="J1290" s="83"/>
      <c r="K1290" s="343"/>
      <c r="L1290" s="347"/>
      <c r="M1290" s="89">
        <v>37</v>
      </c>
      <c r="N1290" s="10" t="s">
        <v>176</v>
      </c>
      <c r="O1290" s="22">
        <v>665.7</v>
      </c>
      <c r="P1290" s="14" t="s">
        <v>505</v>
      </c>
      <c r="Q1290" s="22" t="str">
        <f>IF(AND(Enginuity!$A$21&lt;&gt;"", P1290=Enginuity!$A$21), 1, "")</f>
        <v/>
      </c>
      <c r="U1290" s="104" t="str">
        <f>IF(
  AND(
    TRIM(A1290)=TRIM(Enginuity!$A$1),
    TRIM(B1290)=TRIM(Enginuity!$A$17),
    Q1290&lt;&gt;"",
    Q1290&lt;&gt;0,
    OR(
      TRIM(C1290)=TRIM(Enginuity!$A$18),
      AND(UPPER(TRIM(M1290))="STD", TRIM(B1290)=TRIM(Enginuity!$A$17))
    ),
    OR(
      AND(LEFT(P1290,5)="1-Way", Enginuity!$B$13=1),
      AND(LEFT(P1290,5)="2-Way", OR(Enginuity!$B$13=2, Enginuity!$B$13=4)),
      AND(LEFT(P1290,5)="3-Way", OR(Enginuity!$B$13=3, Enginuity!$B$13=6)),
      AND(P1290="Inner Centre Jamb", OR(Enginuity!$B$13=4, Enginuity!$B$13=6)),
      AND(
        LEFT(P1290,5)&lt;&gt;"1-Way",
        LEFT(P1290,5)&lt;&gt;"2-Way",
        LEFT(P1290,5)&lt;&gt;"3-Way",
        P1290&lt;&gt;"Inner Centre Jamb"
      )
    ),
    IF(OR(Enginuity!$A$1="Frameless Glass",Enginuity!$A$1="Metal Work"),
      AND(TRIM(B1290)=TRIM(Enginuity!$A$17),TRIM(C1290)=TRIM(Enginuity!$A$18)),
      TRIM(B1290)=TRIM(Enginuity!$A$17)
    )
  ),
  ROW(),
  ""
)</f>
        <v/>
      </c>
    </row>
    <row r="1291" spans="1:21" x14ac:dyDescent="0.25">
      <c r="A1291" s="17" t="s">
        <v>253</v>
      </c>
      <c r="B1291" s="230" t="s">
        <v>331</v>
      </c>
      <c r="C1291" s="17" t="s">
        <v>686</v>
      </c>
      <c r="D1291" s="18" t="s">
        <v>537</v>
      </c>
      <c r="E1291" s="250"/>
      <c r="F1291" s="142"/>
      <c r="G1291" s="17"/>
      <c r="H1291" s="17"/>
      <c r="I1291" s="17"/>
      <c r="J1291" s="84"/>
      <c r="K1291" s="344"/>
      <c r="L1291" s="347"/>
      <c r="M1291" s="90"/>
      <c r="N1291" s="17" t="s">
        <v>176</v>
      </c>
      <c r="O1291" s="25" t="str">
        <f>IF(OR(Enginuity!$A$22="Supply &amp; Install",Enginuity!$A$22="Self Collect"),70,"")</f>
        <v/>
      </c>
      <c r="P1291" s="121" t="str">
        <f>Enginuity!$A$22</f>
        <v>▼ [Lattice]</v>
      </c>
      <c r="Q1291" s="25" t="str">
        <f>IF(AND(
  LEN(O1291)&gt;0,
  OR(P1291="72"" Height", ISNUMBER(SEARCH("72"" Height",D1291))),
  OR(Enginuity!$A$22="Supply &amp; Install", Enginuity!$A$22="Self Collect")
),1,"")</f>
        <v/>
      </c>
      <c r="U1291" s="104" t="str">
        <f>IF(
  AND(
    TRIM(A1291)=TRIM(Enginuity!$A$1),
    TRIM(B1291)=TRIM(Enginuity!$A$17),
    Q1291&lt;&gt;"",
    Q1291&lt;&gt;0,
    OR(
      TRIM(C1291)=TRIM(Enginuity!$A$18),
      AND(UPPER(TRIM(M1291))="STD", TRIM(B1291)=TRIM(Enginuity!$A$17))
    ),
    OR(
      AND(LEFT(P1291,5)="1-Way", Enginuity!$B$13=1),
      AND(LEFT(P1291,5)="2-Way", OR(Enginuity!$B$13=2, Enginuity!$B$13=4)),
      AND(LEFT(P1291,5)="3-Way", OR(Enginuity!$B$13=3, Enginuity!$B$13=6)),
      AND(P1291="Inner Centre Jamb", OR(Enginuity!$B$13=4, Enginuity!$B$13=6)),
      AND(
        LEFT(P1291,5)&lt;&gt;"1-Way",
        LEFT(P1291,5)&lt;&gt;"2-Way",
        LEFT(P1291,5)&lt;&gt;"3-Way",
        P1291&lt;&gt;"Inner Centre Jamb"
      )
    ),
    IF(OR(Enginuity!$A$1="Frameless Glass",Enginuity!$A$1="Metal Work"),
      AND(TRIM(B1291)=TRIM(Enginuity!$A$17),TRIM(C1291)=TRIM(Enginuity!$A$18)),
      TRIM(B1291)=TRIM(Enginuity!$A$17)
    )
  ),
  ROW(),
  ""
)</f>
        <v/>
      </c>
    </row>
    <row r="1292" spans="1:21" x14ac:dyDescent="0.25">
      <c r="A1292" s="10" t="s">
        <v>253</v>
      </c>
      <c r="B1292" s="229" t="s">
        <v>331</v>
      </c>
      <c r="C1292" s="10" t="s">
        <v>686</v>
      </c>
      <c r="D1292" s="14" t="s">
        <v>537</v>
      </c>
      <c r="E1292" s="157" t="s">
        <v>479</v>
      </c>
      <c r="F1292" s="14" t="s">
        <v>506</v>
      </c>
      <c r="G1292" s="142" t="s">
        <v>382</v>
      </c>
      <c r="H1292" s="10"/>
      <c r="I1292" s="17"/>
      <c r="J1292" s="83"/>
      <c r="K1292" s="343"/>
      <c r="L1292" s="347"/>
      <c r="M1292" s="89">
        <v>39</v>
      </c>
      <c r="N1292" s="10" t="s">
        <v>176</v>
      </c>
      <c r="O1292" s="22">
        <v>552.29999999999995</v>
      </c>
      <c r="P1292" s="14" t="s">
        <v>506</v>
      </c>
      <c r="Q1292" s="22" t="str">
        <f>IF(AND(Enginuity!$A$21&lt;&gt;"", P1292=Enginuity!$A$21), 1, "")</f>
        <v/>
      </c>
      <c r="U1292" s="104" t="str">
        <f>IF(
  AND(
    TRIM(A1292)=TRIM(Enginuity!$A$1),
    TRIM(B1292)=TRIM(Enginuity!$A$17),
    Q1292&lt;&gt;"",
    Q1292&lt;&gt;0,
    OR(
      TRIM(C1292)=TRIM(Enginuity!$A$18),
      AND(UPPER(TRIM(M1292))="STD", TRIM(B1292)=TRIM(Enginuity!$A$17))
    ),
    OR(
      AND(LEFT(P1292,5)="1-Way", Enginuity!$B$13=1),
      AND(LEFT(P1292,5)="2-Way", OR(Enginuity!$B$13=2, Enginuity!$B$13=4)),
      AND(LEFT(P1292,5)="3-Way", OR(Enginuity!$B$13=3, Enginuity!$B$13=6)),
      AND(P1292="Inner Centre Jamb", OR(Enginuity!$B$13=4, Enginuity!$B$13=6)),
      AND(
        LEFT(P1292,5)&lt;&gt;"1-Way",
        LEFT(P1292,5)&lt;&gt;"2-Way",
        LEFT(P1292,5)&lt;&gt;"3-Way",
        P1292&lt;&gt;"Inner Centre Jamb"
      )
    ),
    IF(OR(Enginuity!$A$1="Frameless Glass",Enginuity!$A$1="Metal Work"),
      AND(TRIM(B1292)=TRIM(Enginuity!$A$17),TRIM(C1292)=TRIM(Enginuity!$A$18)),
      TRIM(B1292)=TRIM(Enginuity!$A$17)
    )
  ),
  ROW(),
  ""
)</f>
        <v/>
      </c>
    </row>
    <row r="1293" spans="1:21" x14ac:dyDescent="0.25">
      <c r="A1293" s="10" t="s">
        <v>253</v>
      </c>
      <c r="B1293" s="229" t="s">
        <v>331</v>
      </c>
      <c r="C1293" s="10" t="s">
        <v>686</v>
      </c>
      <c r="D1293" s="14" t="s">
        <v>537</v>
      </c>
      <c r="E1293" s="157" t="s">
        <v>479</v>
      </c>
      <c r="F1293" s="14" t="s">
        <v>507</v>
      </c>
      <c r="G1293" s="18" t="s">
        <v>384</v>
      </c>
      <c r="H1293" s="10"/>
      <c r="I1293" s="17"/>
      <c r="J1293" s="83"/>
      <c r="K1293" s="343"/>
      <c r="L1293" s="347"/>
      <c r="M1293" s="89">
        <v>40</v>
      </c>
      <c r="N1293" s="10" t="s">
        <v>176</v>
      </c>
      <c r="O1293" s="22">
        <v>582.75</v>
      </c>
      <c r="P1293" s="14" t="s">
        <v>507</v>
      </c>
      <c r="Q1293" s="22" t="str">
        <f>IF(AND(Enginuity!$A$21&lt;&gt;"", P1293=Enginuity!$A$21), 1, "")</f>
        <v/>
      </c>
      <c r="U1293" s="104" t="str">
        <f>IF(
  AND(
    TRIM(A1293)=TRIM(Enginuity!$A$1),
    TRIM(B1293)=TRIM(Enginuity!$A$17),
    Q1293&lt;&gt;"",
    Q1293&lt;&gt;0,
    OR(
      TRIM(C1293)=TRIM(Enginuity!$A$18),
      AND(UPPER(TRIM(M1293))="STD", TRIM(B1293)=TRIM(Enginuity!$A$17))
    ),
    OR(
      AND(LEFT(P1293,5)="1-Way", Enginuity!$B$13=1),
      AND(LEFT(P1293,5)="2-Way", OR(Enginuity!$B$13=2, Enginuity!$B$13=4)),
      AND(LEFT(P1293,5)="3-Way", OR(Enginuity!$B$13=3, Enginuity!$B$13=6)),
      AND(P1293="Inner Centre Jamb", OR(Enginuity!$B$13=4, Enginuity!$B$13=6)),
      AND(
        LEFT(P1293,5)&lt;&gt;"1-Way",
        LEFT(P1293,5)&lt;&gt;"2-Way",
        LEFT(P1293,5)&lt;&gt;"3-Way",
        P1293&lt;&gt;"Inner Centre Jamb"
      )
    ),
    IF(OR(Enginuity!$A$1="Frameless Glass",Enginuity!$A$1="Metal Work"),
      AND(TRIM(B1293)=TRIM(Enginuity!$A$17),TRIM(C1293)=TRIM(Enginuity!$A$18)),
      TRIM(B1293)=TRIM(Enginuity!$A$17)
    )
  ),
  ROW(),
  ""
)</f>
        <v/>
      </c>
    </row>
    <row r="1294" spans="1:21" x14ac:dyDescent="0.25">
      <c r="A1294" s="10" t="s">
        <v>253</v>
      </c>
      <c r="B1294" s="229" t="s">
        <v>331</v>
      </c>
      <c r="C1294" s="10" t="s">
        <v>686</v>
      </c>
      <c r="D1294" s="14" t="s">
        <v>537</v>
      </c>
      <c r="E1294" s="157" t="s">
        <v>479</v>
      </c>
      <c r="F1294" s="14" t="s">
        <v>508</v>
      </c>
      <c r="G1294" s="17"/>
      <c r="H1294" s="10"/>
      <c r="I1294" s="17"/>
      <c r="J1294" s="83"/>
      <c r="K1294" s="343"/>
      <c r="L1294" s="347"/>
      <c r="M1294" s="89">
        <v>41</v>
      </c>
      <c r="N1294" s="10" t="s">
        <v>176</v>
      </c>
      <c r="O1294" s="22">
        <v>613.20000000000005</v>
      </c>
      <c r="P1294" s="14" t="s">
        <v>508</v>
      </c>
      <c r="Q1294" s="22" t="str">
        <f>IF(AND(Enginuity!$A$21&lt;&gt;"", P1294=Enginuity!$A$21), 1, "")</f>
        <v/>
      </c>
      <c r="U1294" s="104" t="str">
        <f>IF(
  AND(
    TRIM(A1294)=TRIM(Enginuity!$A$1),
    TRIM(B1294)=TRIM(Enginuity!$A$17),
    Q1294&lt;&gt;"",
    Q1294&lt;&gt;0,
    OR(
      TRIM(C1294)=TRIM(Enginuity!$A$18),
      AND(UPPER(TRIM(M1294))="STD", TRIM(B1294)=TRIM(Enginuity!$A$17))
    ),
    OR(
      AND(LEFT(P1294,5)="1-Way", Enginuity!$B$13=1),
      AND(LEFT(P1294,5)="2-Way", OR(Enginuity!$B$13=2, Enginuity!$B$13=4)),
      AND(LEFT(P1294,5)="3-Way", OR(Enginuity!$B$13=3, Enginuity!$B$13=6)),
      AND(P1294="Inner Centre Jamb", OR(Enginuity!$B$13=4, Enginuity!$B$13=6)),
      AND(
        LEFT(P1294,5)&lt;&gt;"1-Way",
        LEFT(P1294,5)&lt;&gt;"2-Way",
        LEFT(P1294,5)&lt;&gt;"3-Way",
        P1294&lt;&gt;"Inner Centre Jamb"
      )
    ),
    IF(OR(Enginuity!$A$1="Frameless Glass",Enginuity!$A$1="Metal Work"),
      AND(TRIM(B1294)=TRIM(Enginuity!$A$17),TRIM(C1294)=TRIM(Enginuity!$A$18)),
      TRIM(B1294)=TRIM(Enginuity!$A$17)
    )
  ),
  ROW(),
  ""
)</f>
        <v/>
      </c>
    </row>
    <row r="1295" spans="1:21" x14ac:dyDescent="0.25">
      <c r="A1295" s="10" t="s">
        <v>253</v>
      </c>
      <c r="B1295" s="229" t="s">
        <v>331</v>
      </c>
      <c r="C1295" s="10" t="s">
        <v>686</v>
      </c>
      <c r="D1295" s="14" t="s">
        <v>537</v>
      </c>
      <c r="E1295" s="157" t="s">
        <v>479</v>
      </c>
      <c r="F1295" s="14" t="s">
        <v>509</v>
      </c>
      <c r="G1295" s="17"/>
      <c r="H1295" s="10"/>
      <c r="I1295" s="17"/>
      <c r="J1295" s="83"/>
      <c r="K1295" s="343"/>
      <c r="L1295" s="347"/>
      <c r="M1295" s="89">
        <v>42</v>
      </c>
      <c r="N1295" s="10" t="s">
        <v>176</v>
      </c>
      <c r="O1295" s="22">
        <v>675.15</v>
      </c>
      <c r="P1295" s="14" t="s">
        <v>509</v>
      </c>
      <c r="Q1295" s="22" t="str">
        <f>IF(AND(Enginuity!$A$21&lt;&gt;"", P1295=Enginuity!$A$21), 1, "")</f>
        <v/>
      </c>
      <c r="U1295" s="104" t="str">
        <f>IF(
  AND(
    TRIM(A1295)=TRIM(Enginuity!$A$1),
    TRIM(B1295)=TRIM(Enginuity!$A$17),
    Q1295&lt;&gt;"",
    Q1295&lt;&gt;0,
    OR(
      TRIM(C1295)=TRIM(Enginuity!$A$18),
      AND(UPPER(TRIM(M1295))="STD", TRIM(B1295)=TRIM(Enginuity!$A$17))
    ),
    OR(
      AND(LEFT(P1295,5)="1-Way", Enginuity!$B$13=1),
      AND(LEFT(P1295,5)="2-Way", OR(Enginuity!$B$13=2, Enginuity!$B$13=4)),
      AND(LEFT(P1295,5)="3-Way", OR(Enginuity!$B$13=3, Enginuity!$B$13=6)),
      AND(P1295="Inner Centre Jamb", OR(Enginuity!$B$13=4, Enginuity!$B$13=6)),
      AND(
        LEFT(P1295,5)&lt;&gt;"1-Way",
        LEFT(P1295,5)&lt;&gt;"2-Way",
        LEFT(P1295,5)&lt;&gt;"3-Way",
        P1295&lt;&gt;"Inner Centre Jamb"
      )
    ),
    IF(OR(Enginuity!$A$1="Frameless Glass",Enginuity!$A$1="Metal Work"),
      AND(TRIM(B1295)=TRIM(Enginuity!$A$17),TRIM(C1295)=TRIM(Enginuity!$A$18)),
      TRIM(B1295)=TRIM(Enginuity!$A$17)
    )
  ),
  ROW(),
  ""
)</f>
        <v/>
      </c>
    </row>
    <row r="1296" spans="1:21" x14ac:dyDescent="0.25">
      <c r="A1296" s="10" t="s">
        <v>253</v>
      </c>
      <c r="B1296" s="229" t="s">
        <v>331</v>
      </c>
      <c r="C1296" s="10" t="s">
        <v>686</v>
      </c>
      <c r="D1296" s="14" t="s">
        <v>537</v>
      </c>
      <c r="E1296" s="157" t="s">
        <v>479</v>
      </c>
      <c r="F1296" s="21" t="s">
        <v>510</v>
      </c>
      <c r="G1296" s="17"/>
      <c r="H1296" s="10"/>
      <c r="I1296" s="17"/>
      <c r="J1296" s="83"/>
      <c r="K1296" s="343"/>
      <c r="L1296" s="347"/>
      <c r="M1296" s="89">
        <v>43</v>
      </c>
      <c r="N1296" s="10" t="s">
        <v>176</v>
      </c>
      <c r="O1296" s="22">
        <v>706.65</v>
      </c>
      <c r="P1296" s="21" t="s">
        <v>510</v>
      </c>
      <c r="Q1296" s="22" t="str">
        <f>IF(AND(Enginuity!$A$21&lt;&gt;"", P1296=Enginuity!$A$21), 1, "")</f>
        <v/>
      </c>
      <c r="U1296" s="104" t="str">
        <f>IF(
  AND(
    TRIM(A1296)=TRIM(Enginuity!$A$1),
    TRIM(B1296)=TRIM(Enginuity!$A$17),
    Q1296&lt;&gt;"",
    Q1296&lt;&gt;0,
    OR(
      TRIM(C1296)=TRIM(Enginuity!$A$18),
      AND(UPPER(TRIM(M1296))="STD", TRIM(B1296)=TRIM(Enginuity!$A$17))
    ),
    OR(
      AND(LEFT(P1296,5)="1-Way", Enginuity!$B$13=1),
      AND(LEFT(P1296,5)="2-Way", OR(Enginuity!$B$13=2, Enginuity!$B$13=4)),
      AND(LEFT(P1296,5)="3-Way", OR(Enginuity!$B$13=3, Enginuity!$B$13=6)),
      AND(P1296="Inner Centre Jamb", OR(Enginuity!$B$13=4, Enginuity!$B$13=6)),
      AND(
        LEFT(P1296,5)&lt;&gt;"1-Way",
        LEFT(P1296,5)&lt;&gt;"2-Way",
        LEFT(P1296,5)&lt;&gt;"3-Way",
        P1296&lt;&gt;"Inner Centre Jamb"
      )
    ),
    IF(OR(Enginuity!$A$1="Frameless Glass",Enginuity!$A$1="Metal Work"),
      AND(TRIM(B1296)=TRIM(Enginuity!$A$17),TRIM(C1296)=TRIM(Enginuity!$A$18)),
      TRIM(B1296)=TRIM(Enginuity!$A$17)
    )
  ),
  ROW(),
  ""
)</f>
        <v/>
      </c>
    </row>
    <row r="1297" spans="1:21" x14ac:dyDescent="0.25">
      <c r="A1297" s="17" t="s">
        <v>253</v>
      </c>
      <c r="B1297" s="230" t="s">
        <v>331</v>
      </c>
      <c r="C1297" s="17" t="s">
        <v>686</v>
      </c>
      <c r="D1297" s="18" t="s">
        <v>537</v>
      </c>
      <c r="E1297" s="158"/>
      <c r="F1297" s="17"/>
      <c r="G1297" s="17"/>
      <c r="H1297" s="17"/>
      <c r="I1297" s="17"/>
      <c r="J1297" s="84"/>
      <c r="K1297" s="343"/>
      <c r="L1297" s="347"/>
      <c r="M1297" s="90"/>
      <c r="N1297" s="17"/>
      <c r="O1297" s="25"/>
      <c r="P1297" s="121"/>
      <c r="Q1297" s="25"/>
      <c r="U1297" s="104" t="str">
        <f>IF(
  AND(
    TRIM(A1297)=TRIM(Enginuity!$A$1),
    TRIM(B1297)=TRIM(Enginuity!$A$17),
    Q1297&lt;&gt;"",
    Q1297&lt;&gt;0,
    OR(
      TRIM(C1297)=TRIM(Enginuity!$A$18),
      AND(UPPER(TRIM(M1297))="STD", TRIM(B1297)=TRIM(Enginuity!$A$17))
    ),
    OR(
      AND(LEFT(P1297,5)="1-Way", Enginuity!$B$13=1),
      AND(LEFT(P1297,5)="2-Way", OR(Enginuity!$B$13=2, Enginuity!$B$13=4)),
      AND(LEFT(P1297,5)="3-Way", OR(Enginuity!$B$13=3, Enginuity!$B$13=6)),
      AND(P1297="Inner Centre Jamb", OR(Enginuity!$B$13=4, Enginuity!$B$13=6)),
      AND(
        LEFT(P1297,5)&lt;&gt;"1-Way",
        LEFT(P1297,5)&lt;&gt;"2-Way",
        LEFT(P1297,5)&lt;&gt;"3-Way",
        P1297&lt;&gt;"Inner Centre Jamb"
      )
    ),
    IF(OR(Enginuity!$A$1="Frameless Glass",Enginuity!$A$1="Metal Work"),
      AND(TRIM(B1297)=TRIM(Enginuity!$A$17),TRIM(C1297)=TRIM(Enginuity!$A$18)),
      TRIM(B1297)=TRIM(Enginuity!$A$17)
    )
  ),
  ROW(),
  ""
)</f>
        <v/>
      </c>
    </row>
    <row r="1298" spans="1:21" x14ac:dyDescent="0.25">
      <c r="A1298" s="10" t="s">
        <v>253</v>
      </c>
      <c r="B1298" s="229" t="s">
        <v>331</v>
      </c>
      <c r="C1298" s="10" t="s">
        <v>686</v>
      </c>
      <c r="D1298" s="14" t="s">
        <v>537</v>
      </c>
      <c r="E1298" s="160" t="s">
        <v>535</v>
      </c>
      <c r="F1298" s="21" t="s">
        <v>511</v>
      </c>
      <c r="G1298" s="142" t="s">
        <v>382</v>
      </c>
      <c r="H1298" s="10"/>
      <c r="I1298" s="17"/>
      <c r="J1298" s="83"/>
      <c r="K1298" s="343"/>
      <c r="L1298" s="347"/>
      <c r="M1298" s="89">
        <v>45</v>
      </c>
      <c r="N1298" s="10" t="s">
        <v>176</v>
      </c>
      <c r="O1298" s="22">
        <v>552.29999999999995</v>
      </c>
      <c r="P1298" s="21" t="s">
        <v>511</v>
      </c>
      <c r="Q1298" s="22" t="str">
        <f>IF(AND(Enginuity!$A$21&lt;&gt;"", P1298=Enginuity!$A$21), 1, "")</f>
        <v/>
      </c>
      <c r="U1298" s="104" t="str">
        <f>IF(
  AND(
    TRIM(A1298)=TRIM(Enginuity!$A$1),
    TRIM(B1298)=TRIM(Enginuity!$A$17),
    Q1298&lt;&gt;"",
    Q1298&lt;&gt;0,
    OR(
      TRIM(C1298)=TRIM(Enginuity!$A$18),
      AND(UPPER(TRIM(M1298))="STD", TRIM(B1298)=TRIM(Enginuity!$A$17))
    ),
    OR(
      AND(LEFT(P1298,5)="1-Way", Enginuity!$B$13=1),
      AND(LEFT(P1298,5)="2-Way", OR(Enginuity!$B$13=2, Enginuity!$B$13=4)),
      AND(LEFT(P1298,5)="3-Way", OR(Enginuity!$B$13=3, Enginuity!$B$13=6)),
      AND(P1298="Inner Centre Jamb", OR(Enginuity!$B$13=4, Enginuity!$B$13=6)),
      AND(
        LEFT(P1298,5)&lt;&gt;"1-Way",
        LEFT(P1298,5)&lt;&gt;"2-Way",
        LEFT(P1298,5)&lt;&gt;"3-Way",
        P1298&lt;&gt;"Inner Centre Jamb"
      )
    ),
    IF(OR(Enginuity!$A$1="Frameless Glass",Enginuity!$A$1="Metal Work"),
      AND(TRIM(B1298)=TRIM(Enginuity!$A$17),TRIM(C1298)=TRIM(Enginuity!$A$18)),
      TRIM(B1298)=TRIM(Enginuity!$A$17)
    )
  ),
  ROW(),
  ""
)</f>
        <v/>
      </c>
    </row>
    <row r="1299" spans="1:21" x14ac:dyDescent="0.25">
      <c r="A1299" s="10" t="s">
        <v>253</v>
      </c>
      <c r="B1299" s="229" t="s">
        <v>331</v>
      </c>
      <c r="C1299" s="10" t="s">
        <v>686</v>
      </c>
      <c r="D1299" s="14" t="s">
        <v>537</v>
      </c>
      <c r="E1299" s="160" t="s">
        <v>535</v>
      </c>
      <c r="F1299" s="14" t="s">
        <v>512</v>
      </c>
      <c r="G1299" s="18" t="s">
        <v>384</v>
      </c>
      <c r="H1299" s="10"/>
      <c r="I1299" s="17"/>
      <c r="J1299" s="83"/>
      <c r="K1299" s="343"/>
      <c r="L1299" s="347"/>
      <c r="M1299" s="89">
        <v>46</v>
      </c>
      <c r="N1299" s="10" t="s">
        <v>176</v>
      </c>
      <c r="O1299" s="22">
        <v>582.75</v>
      </c>
      <c r="P1299" s="14" t="s">
        <v>512</v>
      </c>
      <c r="Q1299" s="22" t="str">
        <f>IF(AND(Enginuity!$A$21&lt;&gt;"", P1299=Enginuity!$A$21), 1, "")</f>
        <v/>
      </c>
      <c r="U1299" s="104" t="str">
        <f>IF(
  AND(
    TRIM(A1299)=TRIM(Enginuity!$A$1),
    TRIM(B1299)=TRIM(Enginuity!$A$17),
    Q1299&lt;&gt;"",
    Q1299&lt;&gt;0,
    OR(
      TRIM(C1299)=TRIM(Enginuity!$A$18),
      AND(UPPER(TRIM(M1299))="STD", TRIM(B1299)=TRIM(Enginuity!$A$17))
    ),
    OR(
      AND(LEFT(P1299,5)="1-Way", Enginuity!$B$13=1),
      AND(LEFT(P1299,5)="2-Way", OR(Enginuity!$B$13=2, Enginuity!$B$13=4)),
      AND(LEFT(P1299,5)="3-Way", OR(Enginuity!$B$13=3, Enginuity!$B$13=6)),
      AND(P1299="Inner Centre Jamb", OR(Enginuity!$B$13=4, Enginuity!$B$13=6)),
      AND(
        LEFT(P1299,5)&lt;&gt;"1-Way",
        LEFT(P1299,5)&lt;&gt;"2-Way",
        LEFT(P1299,5)&lt;&gt;"3-Way",
        P1299&lt;&gt;"Inner Centre Jamb"
      )
    ),
    IF(OR(Enginuity!$A$1="Frameless Glass",Enginuity!$A$1="Metal Work"),
      AND(TRIM(B1299)=TRIM(Enginuity!$A$17),TRIM(C1299)=TRIM(Enginuity!$A$18)),
      TRIM(B1299)=TRIM(Enginuity!$A$17)
    )
  ),
  ROW(),
  ""
)</f>
        <v/>
      </c>
    </row>
    <row r="1300" spans="1:21" x14ac:dyDescent="0.25">
      <c r="A1300" s="10" t="s">
        <v>253</v>
      </c>
      <c r="B1300" s="229" t="s">
        <v>331</v>
      </c>
      <c r="C1300" s="10" t="s">
        <v>686</v>
      </c>
      <c r="D1300" s="14" t="s">
        <v>537</v>
      </c>
      <c r="E1300" s="160" t="s">
        <v>535</v>
      </c>
      <c r="F1300" s="14" t="s">
        <v>513</v>
      </c>
      <c r="G1300" s="17"/>
      <c r="H1300" s="10"/>
      <c r="I1300" s="17"/>
      <c r="J1300" s="83"/>
      <c r="K1300" s="343"/>
      <c r="L1300" s="347"/>
      <c r="M1300" s="89">
        <v>47</v>
      </c>
      <c r="N1300" s="10" t="s">
        <v>176</v>
      </c>
      <c r="O1300" s="22">
        <v>613.20000000000005</v>
      </c>
      <c r="P1300" s="14" t="s">
        <v>513</v>
      </c>
      <c r="Q1300" s="22" t="str">
        <f>IF(AND(Enginuity!$A$21&lt;&gt;"", P1300=Enginuity!$A$21), 1, "")</f>
        <v/>
      </c>
      <c r="U1300" s="104" t="str">
        <f>IF(
  AND(
    TRIM(A1300)=TRIM(Enginuity!$A$1),
    TRIM(B1300)=TRIM(Enginuity!$A$17),
    Q1300&lt;&gt;"",
    Q1300&lt;&gt;0,
    OR(
      TRIM(C1300)=TRIM(Enginuity!$A$18),
      AND(UPPER(TRIM(M1300))="STD", TRIM(B1300)=TRIM(Enginuity!$A$17))
    ),
    OR(
      AND(LEFT(P1300,5)="1-Way", Enginuity!$B$13=1),
      AND(LEFT(P1300,5)="2-Way", OR(Enginuity!$B$13=2, Enginuity!$B$13=4)),
      AND(LEFT(P1300,5)="3-Way", OR(Enginuity!$B$13=3, Enginuity!$B$13=6)),
      AND(P1300="Inner Centre Jamb", OR(Enginuity!$B$13=4, Enginuity!$B$13=6)),
      AND(
        LEFT(P1300,5)&lt;&gt;"1-Way",
        LEFT(P1300,5)&lt;&gt;"2-Way",
        LEFT(P1300,5)&lt;&gt;"3-Way",
        P1300&lt;&gt;"Inner Centre Jamb"
      )
    ),
    IF(OR(Enginuity!$A$1="Frameless Glass",Enginuity!$A$1="Metal Work"),
      AND(TRIM(B1300)=TRIM(Enginuity!$A$17),TRIM(C1300)=TRIM(Enginuity!$A$18)),
      TRIM(B1300)=TRIM(Enginuity!$A$17)
    )
  ),
  ROW(),
  ""
)</f>
        <v/>
      </c>
    </row>
    <row r="1301" spans="1:21" x14ac:dyDescent="0.25">
      <c r="A1301" s="10" t="s">
        <v>253</v>
      </c>
      <c r="B1301" s="229" t="s">
        <v>331</v>
      </c>
      <c r="C1301" s="10" t="s">
        <v>686</v>
      </c>
      <c r="D1301" s="14" t="s">
        <v>537</v>
      </c>
      <c r="E1301" s="160" t="s">
        <v>535</v>
      </c>
      <c r="F1301" s="14" t="s">
        <v>514</v>
      </c>
      <c r="G1301" s="17"/>
      <c r="H1301" s="10"/>
      <c r="I1301" s="17"/>
      <c r="J1301" s="83"/>
      <c r="K1301" s="343"/>
      <c r="L1301" s="347"/>
      <c r="M1301" s="89">
        <v>48</v>
      </c>
      <c r="N1301" s="10" t="s">
        <v>176</v>
      </c>
      <c r="O1301" s="22">
        <v>675.15</v>
      </c>
      <c r="P1301" s="14" t="s">
        <v>514</v>
      </c>
      <c r="Q1301" s="22" t="str">
        <f>IF(AND(Enginuity!$A$21&lt;&gt;"", P1301=Enginuity!$A$21), 1, "")</f>
        <v/>
      </c>
      <c r="U1301" s="104" t="str">
        <f>IF(
  AND(
    TRIM(A1301)=TRIM(Enginuity!$A$1),
    TRIM(B1301)=TRIM(Enginuity!$A$17),
    Q1301&lt;&gt;"",
    Q1301&lt;&gt;0,
    OR(
      TRIM(C1301)=TRIM(Enginuity!$A$18),
      AND(UPPER(TRIM(M1301))="STD", TRIM(B1301)=TRIM(Enginuity!$A$17))
    ),
    OR(
      AND(LEFT(P1301,5)="1-Way", Enginuity!$B$13=1),
      AND(LEFT(P1301,5)="2-Way", OR(Enginuity!$B$13=2, Enginuity!$B$13=4)),
      AND(LEFT(P1301,5)="3-Way", OR(Enginuity!$B$13=3, Enginuity!$B$13=6)),
      AND(P1301="Inner Centre Jamb", OR(Enginuity!$B$13=4, Enginuity!$B$13=6)),
      AND(
        LEFT(P1301,5)&lt;&gt;"1-Way",
        LEFT(P1301,5)&lt;&gt;"2-Way",
        LEFT(P1301,5)&lt;&gt;"3-Way",
        P1301&lt;&gt;"Inner Centre Jamb"
      )
    ),
    IF(OR(Enginuity!$A$1="Frameless Glass",Enginuity!$A$1="Metal Work"),
      AND(TRIM(B1301)=TRIM(Enginuity!$A$17),TRIM(C1301)=TRIM(Enginuity!$A$18)),
      TRIM(B1301)=TRIM(Enginuity!$A$17)
    )
  ),
  ROW(),
  ""
)</f>
        <v/>
      </c>
    </row>
    <row r="1302" spans="1:21" x14ac:dyDescent="0.25">
      <c r="A1302" s="10" t="s">
        <v>253</v>
      </c>
      <c r="B1302" s="229" t="s">
        <v>331</v>
      </c>
      <c r="C1302" s="10" t="s">
        <v>686</v>
      </c>
      <c r="D1302" s="14" t="s">
        <v>537</v>
      </c>
      <c r="E1302" s="160" t="s">
        <v>535</v>
      </c>
      <c r="F1302" s="36" t="s">
        <v>515</v>
      </c>
      <c r="G1302" s="17"/>
      <c r="H1302" s="10"/>
      <c r="I1302" s="17"/>
      <c r="J1302" s="83"/>
      <c r="K1302" s="343"/>
      <c r="L1302" s="347"/>
      <c r="M1302" s="12" t="s">
        <v>447</v>
      </c>
      <c r="N1302" s="10" t="s">
        <v>176</v>
      </c>
      <c r="O1302" s="22">
        <v>706.65</v>
      </c>
      <c r="P1302" s="36" t="s">
        <v>515</v>
      </c>
      <c r="Q1302" s="22" t="str">
        <f>IF(AND(Enginuity!$A$21&lt;&gt;"", P1302=Enginuity!$A$21), 1, "")</f>
        <v/>
      </c>
      <c r="U1302" s="104" t="str">
        <f>IF(
  AND(
    TRIM(A1302)=TRIM(Enginuity!$A$1),
    TRIM(B1302)=TRIM(Enginuity!$A$17),
    Q1302&lt;&gt;"",
    Q1302&lt;&gt;0,
    OR(
      TRIM(C1302)=TRIM(Enginuity!$A$18),
      AND(UPPER(TRIM(M1302))="STD", TRIM(B1302)=TRIM(Enginuity!$A$17))
    ),
    OR(
      AND(LEFT(P1302,5)="1-Way", Enginuity!$B$13=1),
      AND(LEFT(P1302,5)="2-Way", OR(Enginuity!$B$13=2, Enginuity!$B$13=4)),
      AND(LEFT(P1302,5)="3-Way", OR(Enginuity!$B$13=3, Enginuity!$B$13=6)),
      AND(P1302="Inner Centre Jamb", OR(Enginuity!$B$13=4, Enginuity!$B$13=6)),
      AND(
        LEFT(P1302,5)&lt;&gt;"1-Way",
        LEFT(P1302,5)&lt;&gt;"2-Way",
        LEFT(P1302,5)&lt;&gt;"3-Way",
        P1302&lt;&gt;"Inner Centre Jamb"
      )
    ),
    IF(OR(Enginuity!$A$1="Frameless Glass",Enginuity!$A$1="Metal Work"),
      AND(TRIM(B1302)=TRIM(Enginuity!$A$17),TRIM(C1302)=TRIM(Enginuity!$A$18)),
      TRIM(B1302)=TRIM(Enginuity!$A$17)
    )
  ),
  ROW(),
  ""
)</f>
        <v/>
      </c>
    </row>
    <row r="1303" spans="1:21" x14ac:dyDescent="0.25">
      <c r="A1303" s="10" t="s">
        <v>253</v>
      </c>
      <c r="B1303" s="229" t="s">
        <v>331</v>
      </c>
      <c r="C1303" s="10" t="s">
        <v>686</v>
      </c>
      <c r="D1303" s="14" t="s">
        <v>537</v>
      </c>
      <c r="E1303" s="160" t="s">
        <v>535</v>
      </c>
      <c r="F1303" s="14" t="s">
        <v>516</v>
      </c>
      <c r="G1303" s="17"/>
      <c r="H1303" s="10"/>
      <c r="I1303" s="17"/>
      <c r="J1303" s="83"/>
      <c r="K1303" s="343"/>
      <c r="L1303" s="347"/>
      <c r="M1303" s="12" t="s">
        <v>518</v>
      </c>
      <c r="N1303" s="10" t="s">
        <v>176</v>
      </c>
      <c r="O1303" s="22">
        <v>767.55</v>
      </c>
      <c r="P1303" s="14" t="s">
        <v>516</v>
      </c>
      <c r="Q1303" s="22" t="str">
        <f>IF(AND(Enginuity!$A$21&lt;&gt;"", P1303=Enginuity!$A$21), 1, "")</f>
        <v/>
      </c>
      <c r="U1303" s="104" t="str">
        <f>IF(
  AND(
    TRIM(A1303)=TRIM(Enginuity!$A$1),
    TRIM(B1303)=TRIM(Enginuity!$A$17),
    Q1303&lt;&gt;"",
    Q1303&lt;&gt;0,
    OR(
      TRIM(C1303)=TRIM(Enginuity!$A$18),
      AND(UPPER(TRIM(M1303))="STD", TRIM(B1303)=TRIM(Enginuity!$A$17))
    ),
    OR(
      AND(LEFT(P1303,5)="1-Way", Enginuity!$B$13=1),
      AND(LEFT(P1303,5)="2-Way", OR(Enginuity!$B$13=2, Enginuity!$B$13=4)),
      AND(LEFT(P1303,5)="3-Way", OR(Enginuity!$B$13=3, Enginuity!$B$13=6)),
      AND(P1303="Inner Centre Jamb", OR(Enginuity!$B$13=4, Enginuity!$B$13=6)),
      AND(
        LEFT(P1303,5)&lt;&gt;"1-Way",
        LEFT(P1303,5)&lt;&gt;"2-Way",
        LEFT(P1303,5)&lt;&gt;"3-Way",
        P1303&lt;&gt;"Inner Centre Jamb"
      )
    ),
    IF(OR(Enginuity!$A$1="Frameless Glass",Enginuity!$A$1="Metal Work"),
      AND(TRIM(B1303)=TRIM(Enginuity!$A$17),TRIM(C1303)=TRIM(Enginuity!$A$18)),
      TRIM(B1303)=TRIM(Enginuity!$A$17)
    )
  ),
  ROW(),
  ""
)</f>
        <v/>
      </c>
    </row>
    <row r="1304" spans="1:21" x14ac:dyDescent="0.25">
      <c r="A1304" s="10" t="s">
        <v>253</v>
      </c>
      <c r="B1304" s="229" t="s">
        <v>331</v>
      </c>
      <c r="C1304" s="10" t="s">
        <v>686</v>
      </c>
      <c r="D1304" s="14" t="s">
        <v>537</v>
      </c>
      <c r="E1304" s="160" t="s">
        <v>535</v>
      </c>
      <c r="F1304" s="14" t="s">
        <v>517</v>
      </c>
      <c r="G1304" s="17"/>
      <c r="H1304" s="10"/>
      <c r="I1304" s="17"/>
      <c r="J1304" s="83"/>
      <c r="K1304" s="343"/>
      <c r="L1304" s="347"/>
      <c r="M1304" s="12" t="s">
        <v>519</v>
      </c>
      <c r="N1304" s="10" t="s">
        <v>176</v>
      </c>
      <c r="O1304" s="22">
        <v>798</v>
      </c>
      <c r="P1304" s="14" t="s">
        <v>517</v>
      </c>
      <c r="Q1304" s="22" t="str">
        <f>IF(AND(Enginuity!$A$21&lt;&gt;"", P1304=Enginuity!$A$21), 1, "")</f>
        <v/>
      </c>
      <c r="U1304" s="104" t="str">
        <f>IF(
  AND(
    TRIM(A1304)=TRIM(Enginuity!$A$1),
    TRIM(B1304)=TRIM(Enginuity!$A$17),
    Q1304&lt;&gt;"",
    Q1304&lt;&gt;0,
    OR(
      TRIM(C1304)=TRIM(Enginuity!$A$18),
      AND(UPPER(TRIM(M1304))="STD", TRIM(B1304)=TRIM(Enginuity!$A$17))
    ),
    OR(
      AND(LEFT(P1304,5)="1-Way", Enginuity!$B$13=1),
      AND(LEFT(P1304,5)="2-Way", OR(Enginuity!$B$13=2, Enginuity!$B$13=4)),
      AND(LEFT(P1304,5)="3-Way", OR(Enginuity!$B$13=3, Enginuity!$B$13=6)),
      AND(P1304="Inner Centre Jamb", OR(Enginuity!$B$13=4, Enginuity!$B$13=6)),
      AND(
        LEFT(P1304,5)&lt;&gt;"1-Way",
        LEFT(P1304,5)&lt;&gt;"2-Way",
        LEFT(P1304,5)&lt;&gt;"3-Way",
        P1304&lt;&gt;"Inner Centre Jamb"
      )
    ),
    IF(OR(Enginuity!$A$1="Frameless Glass",Enginuity!$A$1="Metal Work"),
      AND(TRIM(B1304)=TRIM(Enginuity!$A$17),TRIM(C1304)=TRIM(Enginuity!$A$18)),
      TRIM(B1304)=TRIM(Enginuity!$A$17)
    )
  ),
  ROW(),
  ""
)</f>
        <v/>
      </c>
    </row>
    <row r="1305" spans="1:21" x14ac:dyDescent="0.25">
      <c r="A1305" s="17" t="s">
        <v>253</v>
      </c>
      <c r="B1305" s="230" t="s">
        <v>331</v>
      </c>
      <c r="C1305" s="17" t="s">
        <v>686</v>
      </c>
      <c r="D1305" s="18" t="s">
        <v>537</v>
      </c>
      <c r="E1305" s="158"/>
      <c r="F1305" s="17"/>
      <c r="G1305" s="17"/>
      <c r="H1305" s="17"/>
      <c r="I1305" s="17"/>
      <c r="J1305" s="84"/>
      <c r="K1305" s="343"/>
      <c r="L1305" s="347"/>
      <c r="M1305" s="90"/>
      <c r="N1305" s="17"/>
      <c r="O1305" s="25"/>
      <c r="P1305" s="121"/>
      <c r="Q1305" s="25"/>
      <c r="U1305" s="104" t="str">
        <f>IF(
  AND(
    TRIM(A1305)=TRIM(Enginuity!$A$1),
    TRIM(B1305)=TRIM(Enginuity!$A$17),
    Q1305&lt;&gt;"",
    Q1305&lt;&gt;0,
    OR(
      TRIM(C1305)=TRIM(Enginuity!$A$18),
      AND(UPPER(TRIM(M1305))="STD", TRIM(B1305)=TRIM(Enginuity!$A$17))
    ),
    OR(
      AND(LEFT(P1305,5)="1-Way", Enginuity!$B$13=1),
      AND(LEFT(P1305,5)="2-Way", OR(Enginuity!$B$13=2, Enginuity!$B$13=4)),
      AND(LEFT(P1305,5)="3-Way", OR(Enginuity!$B$13=3, Enginuity!$B$13=6)),
      AND(P1305="Inner Centre Jamb", OR(Enginuity!$B$13=4, Enginuity!$B$13=6)),
      AND(
        LEFT(P1305,5)&lt;&gt;"1-Way",
        LEFT(P1305,5)&lt;&gt;"2-Way",
        LEFT(P1305,5)&lt;&gt;"3-Way",
        P1305&lt;&gt;"Inner Centre Jamb"
      )
    ),
    IF(OR(Enginuity!$A$1="Frameless Glass",Enginuity!$A$1="Metal Work"),
      AND(TRIM(B1305)=TRIM(Enginuity!$A$17),TRIM(C1305)=TRIM(Enginuity!$A$18)),
      TRIM(B1305)=TRIM(Enginuity!$A$17)
    )
  ),
  ROW(),
  ""
)</f>
        <v/>
      </c>
    </row>
    <row r="1306" spans="1:21" x14ac:dyDescent="0.25">
      <c r="A1306" s="10" t="s">
        <v>253</v>
      </c>
      <c r="B1306" s="229" t="s">
        <v>331</v>
      </c>
      <c r="C1306" s="10" t="s">
        <v>686</v>
      </c>
      <c r="D1306" s="14" t="s">
        <v>537</v>
      </c>
      <c r="E1306" s="157" t="s">
        <v>534</v>
      </c>
      <c r="F1306" s="14" t="s">
        <v>527</v>
      </c>
      <c r="G1306" s="142" t="s">
        <v>382</v>
      </c>
      <c r="H1306" s="10"/>
      <c r="I1306" s="17"/>
      <c r="J1306" s="83"/>
      <c r="K1306" s="343"/>
      <c r="L1306" s="347"/>
      <c r="M1306" s="12" t="s">
        <v>520</v>
      </c>
      <c r="N1306" s="10" t="s">
        <v>176</v>
      </c>
      <c r="O1306" s="22">
        <v>591.15</v>
      </c>
      <c r="P1306" s="14" t="s">
        <v>527</v>
      </c>
      <c r="Q1306" s="22" t="str">
        <f>IF(AND(Enginuity!$A$21&lt;&gt;"", P1306=Enginuity!$A$21), 1, "")</f>
        <v/>
      </c>
      <c r="U1306" s="104" t="str">
        <f>IF(
  AND(
    TRIM(A1306)=TRIM(Enginuity!$A$1),
    TRIM(B1306)=TRIM(Enginuity!$A$17),
    Q1306&lt;&gt;"",
    Q1306&lt;&gt;0,
    OR(
      TRIM(C1306)=TRIM(Enginuity!$A$18),
      AND(UPPER(TRIM(M1306))="STD", TRIM(B1306)=TRIM(Enginuity!$A$17))
    ),
    OR(
      AND(LEFT(P1306,5)="1-Way", Enginuity!$B$13=1),
      AND(LEFT(P1306,5)="2-Way", OR(Enginuity!$B$13=2, Enginuity!$B$13=4)),
      AND(LEFT(P1306,5)="3-Way", OR(Enginuity!$B$13=3, Enginuity!$B$13=6)),
      AND(P1306="Inner Centre Jamb", OR(Enginuity!$B$13=4, Enginuity!$B$13=6)),
      AND(
        LEFT(P1306,5)&lt;&gt;"1-Way",
        LEFT(P1306,5)&lt;&gt;"2-Way",
        LEFT(P1306,5)&lt;&gt;"3-Way",
        P1306&lt;&gt;"Inner Centre Jamb"
      )
    ),
    IF(OR(Enginuity!$A$1="Frameless Glass",Enginuity!$A$1="Metal Work"),
      AND(TRIM(B1306)=TRIM(Enginuity!$A$17),TRIM(C1306)=TRIM(Enginuity!$A$18)),
      TRIM(B1306)=TRIM(Enginuity!$A$17)
    )
  ),
  ROW(),
  ""
)</f>
        <v/>
      </c>
    </row>
    <row r="1307" spans="1:21" x14ac:dyDescent="0.25">
      <c r="A1307" s="10" t="s">
        <v>253</v>
      </c>
      <c r="B1307" s="229" t="s">
        <v>331</v>
      </c>
      <c r="C1307" s="10" t="s">
        <v>686</v>
      </c>
      <c r="D1307" s="14" t="s">
        <v>537</v>
      </c>
      <c r="E1307" s="157" t="s">
        <v>534</v>
      </c>
      <c r="F1307" s="14" t="s">
        <v>528</v>
      </c>
      <c r="G1307" s="18" t="s">
        <v>384</v>
      </c>
      <c r="H1307" s="10"/>
      <c r="I1307" s="17"/>
      <c r="J1307" s="83"/>
      <c r="K1307" s="343"/>
      <c r="L1307" s="347"/>
      <c r="M1307" s="12" t="s">
        <v>521</v>
      </c>
      <c r="N1307" s="10" t="s">
        <v>176</v>
      </c>
      <c r="O1307" s="22">
        <v>632.1</v>
      </c>
      <c r="P1307" s="14" t="s">
        <v>528</v>
      </c>
      <c r="Q1307" s="22" t="str">
        <f>IF(AND(Enginuity!$A$21&lt;&gt;"", P1307=Enginuity!$A$21), 1, "")</f>
        <v/>
      </c>
      <c r="U1307" s="104" t="str">
        <f>IF(
  AND(
    TRIM(A1307)=TRIM(Enginuity!$A$1),
    TRIM(B1307)=TRIM(Enginuity!$A$17),
    Q1307&lt;&gt;"",
    Q1307&lt;&gt;0,
    OR(
      TRIM(C1307)=TRIM(Enginuity!$A$18),
      AND(UPPER(TRIM(M1307))="STD", TRIM(B1307)=TRIM(Enginuity!$A$17))
    ),
    OR(
      AND(LEFT(P1307,5)="1-Way", Enginuity!$B$13=1),
      AND(LEFT(P1307,5)="2-Way", OR(Enginuity!$B$13=2, Enginuity!$B$13=4)),
      AND(LEFT(P1307,5)="3-Way", OR(Enginuity!$B$13=3, Enginuity!$B$13=6)),
      AND(P1307="Inner Centre Jamb", OR(Enginuity!$B$13=4, Enginuity!$B$13=6)),
      AND(
        LEFT(P1307,5)&lt;&gt;"1-Way",
        LEFT(P1307,5)&lt;&gt;"2-Way",
        LEFT(P1307,5)&lt;&gt;"3-Way",
        P1307&lt;&gt;"Inner Centre Jamb"
      )
    ),
    IF(OR(Enginuity!$A$1="Frameless Glass",Enginuity!$A$1="Metal Work"),
      AND(TRIM(B1307)=TRIM(Enginuity!$A$17),TRIM(C1307)=TRIM(Enginuity!$A$18)),
      TRIM(B1307)=TRIM(Enginuity!$A$17)
    )
  ),
  ROW(),
  ""
)</f>
        <v/>
      </c>
    </row>
    <row r="1308" spans="1:21" x14ac:dyDescent="0.25">
      <c r="A1308" s="10" t="s">
        <v>253</v>
      </c>
      <c r="B1308" s="229" t="s">
        <v>331</v>
      </c>
      <c r="C1308" s="10" t="s">
        <v>686</v>
      </c>
      <c r="D1308" s="14" t="s">
        <v>537</v>
      </c>
      <c r="E1308" s="157" t="s">
        <v>534</v>
      </c>
      <c r="F1308" s="14" t="s">
        <v>529</v>
      </c>
      <c r="G1308" s="17"/>
      <c r="H1308" s="10"/>
      <c r="I1308" s="17"/>
      <c r="J1308" s="83"/>
      <c r="K1308" s="343"/>
      <c r="L1308" s="347"/>
      <c r="M1308" s="12" t="s">
        <v>522</v>
      </c>
      <c r="N1308" s="10" t="s">
        <v>176</v>
      </c>
      <c r="O1308" s="22">
        <v>674.1</v>
      </c>
      <c r="P1308" s="14" t="s">
        <v>529</v>
      </c>
      <c r="Q1308" s="22" t="str">
        <f>IF(AND(Enginuity!$A$21&lt;&gt;"", P1308=Enginuity!$A$21), 1, "")</f>
        <v/>
      </c>
      <c r="U1308" s="104" t="str">
        <f>IF(
  AND(
    TRIM(A1308)=TRIM(Enginuity!$A$1),
    TRIM(B1308)=TRIM(Enginuity!$A$17),
    Q1308&lt;&gt;"",
    Q1308&lt;&gt;0,
    OR(
      TRIM(C1308)=TRIM(Enginuity!$A$18),
      AND(UPPER(TRIM(M1308))="STD", TRIM(B1308)=TRIM(Enginuity!$A$17))
    ),
    OR(
      AND(LEFT(P1308,5)="1-Way", Enginuity!$B$13=1),
      AND(LEFT(P1308,5)="2-Way", OR(Enginuity!$B$13=2, Enginuity!$B$13=4)),
      AND(LEFT(P1308,5)="3-Way", OR(Enginuity!$B$13=3, Enginuity!$B$13=6)),
      AND(P1308="Inner Centre Jamb", OR(Enginuity!$B$13=4, Enginuity!$B$13=6)),
      AND(
        LEFT(P1308,5)&lt;&gt;"1-Way",
        LEFT(P1308,5)&lt;&gt;"2-Way",
        LEFT(P1308,5)&lt;&gt;"3-Way",
        P1308&lt;&gt;"Inner Centre Jamb"
      )
    ),
    IF(OR(Enginuity!$A$1="Frameless Glass",Enginuity!$A$1="Metal Work"),
      AND(TRIM(B1308)=TRIM(Enginuity!$A$17),TRIM(C1308)=TRIM(Enginuity!$A$18)),
      TRIM(B1308)=TRIM(Enginuity!$A$17)
    )
  ),
  ROW(),
  ""
)</f>
        <v/>
      </c>
    </row>
    <row r="1309" spans="1:21" x14ac:dyDescent="0.25">
      <c r="A1309" s="10" t="s">
        <v>253</v>
      </c>
      <c r="B1309" s="229" t="s">
        <v>331</v>
      </c>
      <c r="C1309" s="10" t="s">
        <v>686</v>
      </c>
      <c r="D1309" s="14" t="s">
        <v>537</v>
      </c>
      <c r="E1309" s="157" t="s">
        <v>534</v>
      </c>
      <c r="F1309" s="21" t="s">
        <v>530</v>
      </c>
      <c r="G1309" s="17"/>
      <c r="H1309" s="10"/>
      <c r="I1309" s="17"/>
      <c r="J1309" s="83"/>
      <c r="K1309" s="343"/>
      <c r="L1309" s="347"/>
      <c r="M1309" s="12" t="s">
        <v>523</v>
      </c>
      <c r="N1309" s="10" t="s">
        <v>176</v>
      </c>
      <c r="O1309" s="22">
        <v>743.4</v>
      </c>
      <c r="P1309" s="21" t="s">
        <v>530</v>
      </c>
      <c r="Q1309" s="22" t="str">
        <f>IF(AND(Enginuity!$A$21&lt;&gt;"", P1309=Enginuity!$A$21), 1, "")</f>
        <v/>
      </c>
      <c r="U1309" s="104" t="str">
        <f>IF(
  AND(
    TRIM(A1309)=TRIM(Enginuity!$A$1),
    TRIM(B1309)=TRIM(Enginuity!$A$17),
    Q1309&lt;&gt;"",
    Q1309&lt;&gt;0,
    OR(
      TRIM(C1309)=TRIM(Enginuity!$A$18),
      AND(UPPER(TRIM(M1309))="STD", TRIM(B1309)=TRIM(Enginuity!$A$17))
    ),
    OR(
      AND(LEFT(P1309,5)="1-Way", Enginuity!$B$13=1),
      AND(LEFT(P1309,5)="2-Way", OR(Enginuity!$B$13=2, Enginuity!$B$13=4)),
      AND(LEFT(P1309,5)="3-Way", OR(Enginuity!$B$13=3, Enginuity!$B$13=6)),
      AND(P1309="Inner Centre Jamb", OR(Enginuity!$B$13=4, Enginuity!$B$13=6)),
      AND(
        LEFT(P1309,5)&lt;&gt;"1-Way",
        LEFT(P1309,5)&lt;&gt;"2-Way",
        LEFT(P1309,5)&lt;&gt;"3-Way",
        P1309&lt;&gt;"Inner Centre Jamb"
      )
    ),
    IF(OR(Enginuity!$A$1="Frameless Glass",Enginuity!$A$1="Metal Work"),
      AND(TRIM(B1309)=TRIM(Enginuity!$A$17),TRIM(C1309)=TRIM(Enginuity!$A$18)),
      TRIM(B1309)=TRIM(Enginuity!$A$17)
    )
  ),
  ROW(),
  ""
)</f>
        <v/>
      </c>
    </row>
    <row r="1310" spans="1:21" x14ac:dyDescent="0.25">
      <c r="A1310" s="10" t="s">
        <v>253</v>
      </c>
      <c r="B1310" s="229" t="s">
        <v>331</v>
      </c>
      <c r="C1310" s="10" t="s">
        <v>686</v>
      </c>
      <c r="D1310" s="14" t="s">
        <v>537</v>
      </c>
      <c r="E1310" s="157" t="s">
        <v>534</v>
      </c>
      <c r="F1310" s="21" t="s">
        <v>531</v>
      </c>
      <c r="G1310" s="17"/>
      <c r="H1310" s="10"/>
      <c r="I1310" s="17"/>
      <c r="J1310" s="83"/>
      <c r="K1310" s="343"/>
      <c r="L1310" s="347"/>
      <c r="M1310" s="12" t="s">
        <v>524</v>
      </c>
      <c r="N1310" s="10" t="s">
        <v>176</v>
      </c>
      <c r="O1310" s="22">
        <v>785.4</v>
      </c>
      <c r="P1310" s="21" t="s">
        <v>531</v>
      </c>
      <c r="Q1310" s="22" t="str">
        <f>IF(AND(Enginuity!$A$21&lt;&gt;"", P1310=Enginuity!$A$21), 1, "")</f>
        <v/>
      </c>
      <c r="U1310" s="104" t="str">
        <f>IF(
  AND(
    TRIM(A1310)=TRIM(Enginuity!$A$1),
    TRIM(B1310)=TRIM(Enginuity!$A$17),
    Q1310&lt;&gt;"",
    Q1310&lt;&gt;0,
    OR(
      TRIM(C1310)=TRIM(Enginuity!$A$18),
      AND(UPPER(TRIM(M1310))="STD", TRIM(B1310)=TRIM(Enginuity!$A$17))
    ),
    OR(
      AND(LEFT(P1310,5)="1-Way", Enginuity!$B$13=1),
      AND(LEFT(P1310,5)="2-Way", OR(Enginuity!$B$13=2, Enginuity!$B$13=4)),
      AND(LEFT(P1310,5)="3-Way", OR(Enginuity!$B$13=3, Enginuity!$B$13=6)),
      AND(P1310="Inner Centre Jamb", OR(Enginuity!$B$13=4, Enginuity!$B$13=6)),
      AND(
        LEFT(P1310,5)&lt;&gt;"1-Way",
        LEFT(P1310,5)&lt;&gt;"2-Way",
        LEFT(P1310,5)&lt;&gt;"3-Way",
        P1310&lt;&gt;"Inner Centre Jamb"
      )
    ),
    IF(OR(Enginuity!$A$1="Frameless Glass",Enginuity!$A$1="Metal Work"),
      AND(TRIM(B1310)=TRIM(Enginuity!$A$17),TRIM(C1310)=TRIM(Enginuity!$A$18)),
      TRIM(B1310)=TRIM(Enginuity!$A$17)
    )
  ),
  ROW(),
  ""
)</f>
        <v/>
      </c>
    </row>
    <row r="1311" spans="1:21" x14ac:dyDescent="0.25">
      <c r="A1311" s="10" t="s">
        <v>253</v>
      </c>
      <c r="B1311" s="229" t="s">
        <v>331</v>
      </c>
      <c r="C1311" s="10" t="s">
        <v>686</v>
      </c>
      <c r="D1311" s="14" t="s">
        <v>537</v>
      </c>
      <c r="E1311" s="157" t="s">
        <v>534</v>
      </c>
      <c r="F1311" s="21" t="s">
        <v>532</v>
      </c>
      <c r="G1311" s="17"/>
      <c r="H1311" s="10"/>
      <c r="I1311" s="17"/>
      <c r="J1311" s="83"/>
      <c r="K1311" s="343"/>
      <c r="L1311" s="347"/>
      <c r="M1311" s="12" t="s">
        <v>525</v>
      </c>
      <c r="N1311" s="10" t="s">
        <v>176</v>
      </c>
      <c r="O1311" s="22">
        <v>855.75</v>
      </c>
      <c r="P1311" s="21" t="s">
        <v>532</v>
      </c>
      <c r="Q1311" s="22" t="str">
        <f>IF(AND(Enginuity!$A$21&lt;&gt;"", P1311=Enginuity!$A$21), 1, "")</f>
        <v/>
      </c>
      <c r="U1311" s="104" t="str">
        <f>IF(
  AND(
    TRIM(A1311)=TRIM(Enginuity!$A$1),
    TRIM(B1311)=TRIM(Enginuity!$A$17),
    Q1311&lt;&gt;"",
    Q1311&lt;&gt;0,
    OR(
      TRIM(C1311)=TRIM(Enginuity!$A$18),
      AND(UPPER(TRIM(M1311))="STD", TRIM(B1311)=TRIM(Enginuity!$A$17))
    ),
    OR(
      AND(LEFT(P1311,5)="1-Way", Enginuity!$B$13=1),
      AND(LEFT(P1311,5)="2-Way", OR(Enginuity!$B$13=2, Enginuity!$B$13=4)),
      AND(LEFT(P1311,5)="3-Way", OR(Enginuity!$B$13=3, Enginuity!$B$13=6)),
      AND(P1311="Inner Centre Jamb", OR(Enginuity!$B$13=4, Enginuity!$B$13=6)),
      AND(
        LEFT(P1311,5)&lt;&gt;"1-Way",
        LEFT(P1311,5)&lt;&gt;"2-Way",
        LEFT(P1311,5)&lt;&gt;"3-Way",
        P1311&lt;&gt;"Inner Centre Jamb"
      )
    ),
    IF(OR(Enginuity!$A$1="Frameless Glass",Enginuity!$A$1="Metal Work"),
      AND(TRIM(B1311)=TRIM(Enginuity!$A$17),TRIM(C1311)=TRIM(Enginuity!$A$18)),
      TRIM(B1311)=TRIM(Enginuity!$A$17)
    )
  ),
  ROW(),
  ""
)</f>
        <v/>
      </c>
    </row>
    <row r="1312" spans="1:21" x14ac:dyDescent="0.25">
      <c r="A1312" s="10" t="s">
        <v>253</v>
      </c>
      <c r="B1312" s="229" t="s">
        <v>331</v>
      </c>
      <c r="C1312" s="10" t="s">
        <v>686</v>
      </c>
      <c r="D1312" s="14" t="s">
        <v>537</v>
      </c>
      <c r="E1312" s="157" t="s">
        <v>534</v>
      </c>
      <c r="F1312" s="14" t="s">
        <v>533</v>
      </c>
      <c r="G1312" s="17"/>
      <c r="H1312" s="10"/>
      <c r="I1312" s="17"/>
      <c r="J1312" s="83"/>
      <c r="K1312" s="343"/>
      <c r="L1312" s="347"/>
      <c r="M1312" s="12" t="s">
        <v>526</v>
      </c>
      <c r="N1312" s="10" t="s">
        <v>176</v>
      </c>
      <c r="O1312" s="22">
        <v>896.7</v>
      </c>
      <c r="P1312" s="14" t="s">
        <v>533</v>
      </c>
      <c r="Q1312" s="22" t="str">
        <f>IF(AND(Enginuity!$A$21&lt;&gt;"", P1312=Enginuity!$A$21), 1, "")</f>
        <v/>
      </c>
      <c r="U1312" s="104" t="str">
        <f>IF(
  AND(
    TRIM(A1312)=TRIM(Enginuity!$A$1),
    TRIM(B1312)=TRIM(Enginuity!$A$17),
    Q1312&lt;&gt;"",
    Q1312&lt;&gt;0,
    OR(
      TRIM(C1312)=TRIM(Enginuity!$A$18),
      AND(UPPER(TRIM(M1312))="STD", TRIM(B1312)=TRIM(Enginuity!$A$17))
    ),
    OR(
      AND(LEFT(P1312,5)="1-Way", Enginuity!$B$13=1),
      AND(LEFT(P1312,5)="2-Way", OR(Enginuity!$B$13=2, Enginuity!$B$13=4)),
      AND(LEFT(P1312,5)="3-Way", OR(Enginuity!$B$13=3, Enginuity!$B$13=6)),
      AND(P1312="Inner Centre Jamb", OR(Enginuity!$B$13=4, Enginuity!$B$13=6)),
      AND(
        LEFT(P1312,5)&lt;&gt;"1-Way",
        LEFT(P1312,5)&lt;&gt;"2-Way",
        LEFT(P1312,5)&lt;&gt;"3-Way",
        P1312&lt;&gt;"Inner Centre Jamb"
      )
    ),
    IF(OR(Enginuity!$A$1="Frameless Glass",Enginuity!$A$1="Metal Work"),
      AND(TRIM(B1312)=TRIM(Enginuity!$A$17),TRIM(C1312)=TRIM(Enginuity!$A$18)),
      TRIM(B1312)=TRIM(Enginuity!$A$17)
    )
  ),
  ROW(),
  ""
)</f>
        <v/>
      </c>
    </row>
    <row r="1313" spans="1:21" x14ac:dyDescent="0.25">
      <c r="A1313" s="101" t="s">
        <v>253</v>
      </c>
      <c r="B1313" s="232" t="s">
        <v>331</v>
      </c>
      <c r="C1313" s="101" t="s">
        <v>686</v>
      </c>
      <c r="D1313" s="150"/>
      <c r="E1313" s="251"/>
      <c r="F1313" s="101"/>
      <c r="G1313" s="17"/>
      <c r="H1313" s="101"/>
      <c r="I1313" s="17"/>
      <c r="J1313" s="151"/>
      <c r="K1313" s="343"/>
      <c r="L1313" s="347"/>
      <c r="M1313" s="152"/>
      <c r="N1313" s="101"/>
      <c r="O1313" s="154"/>
      <c r="P1313" s="153"/>
      <c r="Q1313" s="154"/>
      <c r="U1313" s="104" t="str">
        <f>IF(
  AND(
    TRIM(A1313)=TRIM(Enginuity!$A$1),
    TRIM(B1313)=TRIM(Enginuity!$A$17),
    Q1313&lt;&gt;"",
    Q1313&lt;&gt;0,
    OR(
      TRIM(C1313)=TRIM(Enginuity!$A$18),
      AND(UPPER(TRIM(M1313))="STD", TRIM(B1313)=TRIM(Enginuity!$A$17))
    ),
    OR(
      AND(LEFT(P1313,5)="1-Way", Enginuity!$B$13=1),
      AND(LEFT(P1313,5)="2-Way", OR(Enginuity!$B$13=2, Enginuity!$B$13=4)),
      AND(LEFT(P1313,5)="3-Way", OR(Enginuity!$B$13=3, Enginuity!$B$13=6)),
      AND(P1313="Inner Centre Jamb", OR(Enginuity!$B$13=4, Enginuity!$B$13=6)),
      AND(
        LEFT(P1313,5)&lt;&gt;"1-Way",
        LEFT(P1313,5)&lt;&gt;"2-Way",
        LEFT(P1313,5)&lt;&gt;"3-Way",
        P1313&lt;&gt;"Inner Centre Jamb"
      )
    ),
    IF(OR(Enginuity!$A$1="Frameless Glass",Enginuity!$A$1="Metal Work"),
      AND(TRIM(B1313)=TRIM(Enginuity!$A$17),TRIM(C1313)=TRIM(Enginuity!$A$18)),
      TRIM(B1313)=TRIM(Enginuity!$A$17)
    )
  ),
  ROW(),
  ""
)</f>
        <v/>
      </c>
    </row>
    <row r="1314" spans="1:21" x14ac:dyDescent="0.25">
      <c r="A1314" s="10" t="s">
        <v>253</v>
      </c>
      <c r="B1314" s="229" t="s">
        <v>331</v>
      </c>
      <c r="C1314" s="10" t="s">
        <v>692</v>
      </c>
      <c r="D1314" s="86" t="s">
        <v>536</v>
      </c>
      <c r="E1314" s="241" t="s">
        <v>703</v>
      </c>
      <c r="F1314" s="86" t="s">
        <v>472</v>
      </c>
      <c r="G1314" s="142" t="s">
        <v>382</v>
      </c>
      <c r="H1314" s="10"/>
      <c r="I1314" s="17"/>
      <c r="J1314" s="83"/>
      <c r="K1314" s="344">
        <v>0.24453800000000001</v>
      </c>
      <c r="L1314" s="347">
        <v>609.6</v>
      </c>
      <c r="M1314" s="89">
        <v>1</v>
      </c>
      <c r="N1314" s="10" t="s">
        <v>176</v>
      </c>
      <c r="O1314" s="106">
        <v>598.5</v>
      </c>
      <c r="P1314" s="86" t="s">
        <v>472</v>
      </c>
      <c r="Q1314" s="22" t="str">
        <f>IF(AND(Enginuity!$A$21&lt;&gt;"", P1314=Enginuity!$A$21), 1, "")</f>
        <v/>
      </c>
      <c r="U1314" s="104" t="str">
        <f>IF(
  AND(
    TRIM(A1314)=TRIM(Enginuity!$A$1),
    TRIM(B1314)=TRIM(Enginuity!$A$17),
    Q1314&lt;&gt;"",
    Q1314&lt;&gt;0,
    OR(
      TRIM(C1314)=TRIM(Enginuity!$A$18),
      AND(UPPER(TRIM(M1314))="STD", TRIM(B1314)=TRIM(Enginuity!$A$17))
    ),
    OR(
      AND(LEFT(P1314,5)="1-Way", Enginuity!$B$13=1),
      AND(LEFT(P1314,5)="2-Way", OR(Enginuity!$B$13=2, Enginuity!$B$13=4)),
      AND(LEFT(P1314,5)="3-Way", OR(Enginuity!$B$13=3, Enginuity!$B$13=6)),
      AND(P1314="Inner Centre Jamb", OR(Enginuity!$B$13=4, Enginuity!$B$13=6)),
      AND(
        LEFT(P1314,5)&lt;&gt;"1-Way",
        LEFT(P1314,5)&lt;&gt;"2-Way",
        LEFT(P1314,5)&lt;&gt;"3-Way",
        P1314&lt;&gt;"Inner Centre Jamb"
      )
    ),
    IF(OR(Enginuity!$A$1="Frameless Glass",Enginuity!$A$1="Metal Work"),
      AND(TRIM(B1314)=TRIM(Enginuity!$A$17),TRIM(C1314)=TRIM(Enginuity!$A$18)),
      TRIM(B1314)=TRIM(Enginuity!$A$17)
    )
  ),
  ROW(),
  ""
)</f>
        <v/>
      </c>
    </row>
    <row r="1315" spans="1:21" x14ac:dyDescent="0.25">
      <c r="A1315" s="10" t="s">
        <v>253</v>
      </c>
      <c r="B1315" s="229" t="s">
        <v>331</v>
      </c>
      <c r="C1315" s="10" t="s">
        <v>692</v>
      </c>
      <c r="D1315" s="86" t="s">
        <v>536</v>
      </c>
      <c r="E1315" s="241" t="s">
        <v>703</v>
      </c>
      <c r="F1315" s="86" t="s">
        <v>473</v>
      </c>
      <c r="G1315" s="18" t="s">
        <v>384</v>
      </c>
      <c r="H1315" s="10"/>
      <c r="I1315" s="17"/>
      <c r="J1315" s="83"/>
      <c r="K1315" s="343"/>
      <c r="L1315" s="347"/>
      <c r="M1315" s="89">
        <v>2</v>
      </c>
      <c r="N1315" s="10" t="s">
        <v>176</v>
      </c>
      <c r="O1315" s="106">
        <v>627.9</v>
      </c>
      <c r="P1315" s="86" t="s">
        <v>473</v>
      </c>
      <c r="Q1315" s="22" t="str">
        <f>IF(AND(Enginuity!$A$21&lt;&gt;"", P1315=Enginuity!$A$21), 1, "")</f>
        <v/>
      </c>
      <c r="U1315" s="104" t="str">
        <f>IF(
  AND(
    TRIM(A1315)=TRIM(Enginuity!$A$1),
    TRIM(B1315)=TRIM(Enginuity!$A$17),
    Q1315&lt;&gt;"",
    Q1315&lt;&gt;0,
    OR(
      TRIM(C1315)=TRIM(Enginuity!$A$18),
      AND(UPPER(TRIM(M1315))="STD", TRIM(B1315)=TRIM(Enginuity!$A$17))
    ),
    OR(
      AND(LEFT(P1315,5)="1-Way", Enginuity!$B$13=1),
      AND(LEFT(P1315,5)="2-Way", OR(Enginuity!$B$13=2, Enginuity!$B$13=4)),
      AND(LEFT(P1315,5)="3-Way", OR(Enginuity!$B$13=3, Enginuity!$B$13=6)),
      AND(P1315="Inner Centre Jamb", OR(Enginuity!$B$13=4, Enginuity!$B$13=6)),
      AND(
        LEFT(P1315,5)&lt;&gt;"1-Way",
        LEFT(P1315,5)&lt;&gt;"2-Way",
        LEFT(P1315,5)&lt;&gt;"3-Way",
        P1315&lt;&gt;"Inner Centre Jamb"
      )
    ),
    IF(OR(Enginuity!$A$1="Frameless Glass",Enginuity!$A$1="Metal Work"),
      AND(TRIM(B1315)=TRIM(Enginuity!$A$17),TRIM(C1315)=TRIM(Enginuity!$A$18)),
      TRIM(B1315)=TRIM(Enginuity!$A$17)
    )
  ),
  ROW(),
  ""
)</f>
        <v/>
      </c>
    </row>
    <row r="1316" spans="1:21" x14ac:dyDescent="0.25">
      <c r="A1316" s="10" t="s">
        <v>253</v>
      </c>
      <c r="B1316" s="229" t="s">
        <v>331</v>
      </c>
      <c r="C1316" s="10" t="s">
        <v>692</v>
      </c>
      <c r="D1316" s="86" t="s">
        <v>536</v>
      </c>
      <c r="E1316" s="160" t="s">
        <v>479</v>
      </c>
      <c r="F1316" s="21" t="s">
        <v>480</v>
      </c>
      <c r="G1316" s="142" t="s">
        <v>382</v>
      </c>
      <c r="H1316" s="10"/>
      <c r="I1316" s="17"/>
      <c r="J1316" s="83"/>
      <c r="K1316" s="343"/>
      <c r="L1316" s="347"/>
      <c r="M1316" s="89">
        <v>3</v>
      </c>
      <c r="N1316" s="10" t="s">
        <v>176</v>
      </c>
      <c r="O1316" s="106">
        <v>598.5</v>
      </c>
      <c r="P1316" s="21" t="s">
        <v>480</v>
      </c>
      <c r="Q1316" s="22" t="str">
        <f>IF(AND(Enginuity!$A$21&lt;&gt;"", P1316=Enginuity!$A$21), 1, "")</f>
        <v/>
      </c>
      <c r="U1316" s="104" t="str">
        <f>IF(
  AND(
    TRIM(A1316)=TRIM(Enginuity!$A$1),
    TRIM(B1316)=TRIM(Enginuity!$A$17),
    Q1316&lt;&gt;"",
    Q1316&lt;&gt;0,
    OR(
      TRIM(C1316)=TRIM(Enginuity!$A$18),
      AND(UPPER(TRIM(M1316))="STD", TRIM(B1316)=TRIM(Enginuity!$A$17))
    ),
    OR(
      AND(LEFT(P1316,5)="1-Way", Enginuity!$B$13=1),
      AND(LEFT(P1316,5)="2-Way", OR(Enginuity!$B$13=2, Enginuity!$B$13=4)),
      AND(LEFT(P1316,5)="3-Way", OR(Enginuity!$B$13=3, Enginuity!$B$13=6)),
      AND(P1316="Inner Centre Jamb", OR(Enginuity!$B$13=4, Enginuity!$B$13=6)),
      AND(
        LEFT(P1316,5)&lt;&gt;"1-Way",
        LEFT(P1316,5)&lt;&gt;"2-Way",
        LEFT(P1316,5)&lt;&gt;"3-Way",
        P1316&lt;&gt;"Inner Centre Jamb"
      )
    ),
    IF(OR(Enginuity!$A$1="Frameless Glass",Enginuity!$A$1="Metal Work"),
      AND(TRIM(B1316)=TRIM(Enginuity!$A$17),TRIM(C1316)=TRIM(Enginuity!$A$18)),
      TRIM(B1316)=TRIM(Enginuity!$A$17)
    )
  ),
  ROW(),
  ""
)</f>
        <v/>
      </c>
    </row>
    <row r="1317" spans="1:21" x14ac:dyDescent="0.25">
      <c r="A1317" s="10" t="s">
        <v>253</v>
      </c>
      <c r="B1317" s="229" t="s">
        <v>331</v>
      </c>
      <c r="C1317" s="10" t="s">
        <v>692</v>
      </c>
      <c r="D1317" s="86" t="s">
        <v>536</v>
      </c>
      <c r="E1317" s="160" t="s">
        <v>479</v>
      </c>
      <c r="F1317" s="21" t="s">
        <v>481</v>
      </c>
      <c r="G1317" s="18" t="s">
        <v>384</v>
      </c>
      <c r="H1317" s="10"/>
      <c r="I1317" s="17"/>
      <c r="J1317" s="83"/>
      <c r="K1317" s="343"/>
      <c r="L1317" s="347"/>
      <c r="M1317" s="89">
        <v>4</v>
      </c>
      <c r="N1317" s="10" t="s">
        <v>176</v>
      </c>
      <c r="O1317" s="106">
        <v>627.9</v>
      </c>
      <c r="P1317" s="21" t="s">
        <v>481</v>
      </c>
      <c r="Q1317" s="22" t="str">
        <f>IF(AND(Enginuity!$A$21&lt;&gt;"", P1317=Enginuity!$A$21), 1, "")</f>
        <v/>
      </c>
      <c r="U1317" s="104" t="str">
        <f>IF(
  AND(
    TRIM(A1317)=TRIM(Enginuity!$A$1),
    TRIM(B1317)=TRIM(Enginuity!$A$17),
    Q1317&lt;&gt;"",
    Q1317&lt;&gt;0,
    OR(
      TRIM(C1317)=TRIM(Enginuity!$A$18),
      AND(UPPER(TRIM(M1317))="STD", TRIM(B1317)=TRIM(Enginuity!$A$17))
    ),
    OR(
      AND(LEFT(P1317,5)="1-Way", Enginuity!$B$13=1),
      AND(LEFT(P1317,5)="2-Way", OR(Enginuity!$B$13=2, Enginuity!$B$13=4)),
      AND(LEFT(P1317,5)="3-Way", OR(Enginuity!$B$13=3, Enginuity!$B$13=6)),
      AND(P1317="Inner Centre Jamb", OR(Enginuity!$B$13=4, Enginuity!$B$13=6)),
      AND(
        LEFT(P1317,5)&lt;&gt;"1-Way",
        LEFT(P1317,5)&lt;&gt;"2-Way",
        LEFT(P1317,5)&lt;&gt;"3-Way",
        P1317&lt;&gt;"Inner Centre Jamb"
      )
    ),
    IF(OR(Enginuity!$A$1="Frameless Glass",Enginuity!$A$1="Metal Work"),
      AND(TRIM(B1317)=TRIM(Enginuity!$A$17),TRIM(C1317)=TRIM(Enginuity!$A$18)),
      TRIM(B1317)=TRIM(Enginuity!$A$17)
    )
  ),
  ROW(),
  ""
)</f>
        <v/>
      </c>
    </row>
    <row r="1318" spans="1:21" x14ac:dyDescent="0.25">
      <c r="A1318" s="10" t="s">
        <v>253</v>
      </c>
      <c r="B1318" s="229" t="s">
        <v>331</v>
      </c>
      <c r="C1318" s="10" t="s">
        <v>692</v>
      </c>
      <c r="D1318" s="86" t="s">
        <v>536</v>
      </c>
      <c r="E1318" s="159" t="s">
        <v>704</v>
      </c>
      <c r="F1318" s="106" t="s">
        <v>693</v>
      </c>
      <c r="G1318" s="142" t="s">
        <v>382</v>
      </c>
      <c r="H1318" s="10"/>
      <c r="I1318" s="17"/>
      <c r="J1318" s="83"/>
      <c r="K1318" s="343"/>
      <c r="L1318" s="347"/>
      <c r="M1318" s="89">
        <v>5</v>
      </c>
      <c r="N1318" s="10" t="s">
        <v>176</v>
      </c>
      <c r="O1318" s="106">
        <v>786.45</v>
      </c>
      <c r="P1318" s="106" t="s">
        <v>693</v>
      </c>
      <c r="Q1318" s="22" t="str">
        <f>IF(AND(Enginuity!$A$21&lt;&gt;"", P1318=Enginuity!$A$21), 1, "")</f>
        <v/>
      </c>
      <c r="U1318" s="104" t="str">
        <f>IF(
  AND(
    TRIM(A1318)=TRIM(Enginuity!$A$1),
    TRIM(B1318)=TRIM(Enginuity!$A$17),
    Q1318&lt;&gt;"",
    Q1318&lt;&gt;0,
    OR(
      TRIM(C1318)=TRIM(Enginuity!$A$18),
      AND(UPPER(TRIM(M1318))="STD", TRIM(B1318)=TRIM(Enginuity!$A$17))
    ),
    OR(
      AND(LEFT(P1318,5)="1-Way", Enginuity!$B$13=1),
      AND(LEFT(P1318,5)="2-Way", OR(Enginuity!$B$13=2, Enginuity!$B$13=4)),
      AND(LEFT(P1318,5)="3-Way", OR(Enginuity!$B$13=3, Enginuity!$B$13=6)),
      AND(P1318="Inner Centre Jamb", OR(Enginuity!$B$13=4, Enginuity!$B$13=6)),
      AND(
        LEFT(P1318,5)&lt;&gt;"1-Way",
        LEFT(P1318,5)&lt;&gt;"2-Way",
        LEFT(P1318,5)&lt;&gt;"3-Way",
        P1318&lt;&gt;"Inner Centre Jamb"
      )
    ),
    IF(OR(Enginuity!$A$1="Frameless Glass",Enginuity!$A$1="Metal Work"),
      AND(TRIM(B1318)=TRIM(Enginuity!$A$17),TRIM(C1318)=TRIM(Enginuity!$A$18)),
      TRIM(B1318)=TRIM(Enginuity!$A$17)
    )
  ),
  ROW(),
  ""
)</f>
        <v/>
      </c>
    </row>
    <row r="1319" spans="1:21" x14ac:dyDescent="0.25">
      <c r="A1319" s="10" t="s">
        <v>253</v>
      </c>
      <c r="B1319" s="229" t="s">
        <v>331</v>
      </c>
      <c r="C1319" s="10" t="s">
        <v>692</v>
      </c>
      <c r="D1319" s="86" t="s">
        <v>536</v>
      </c>
      <c r="E1319" s="159" t="s">
        <v>704</v>
      </c>
      <c r="F1319" s="14" t="s">
        <v>694</v>
      </c>
      <c r="G1319" s="18" t="s">
        <v>384</v>
      </c>
      <c r="H1319" s="10"/>
      <c r="I1319" s="17"/>
      <c r="J1319" s="83"/>
      <c r="K1319" s="343"/>
      <c r="L1319" s="347"/>
      <c r="M1319" s="89">
        <v>6</v>
      </c>
      <c r="N1319" s="10" t="s">
        <v>176</v>
      </c>
      <c r="O1319" s="106">
        <v>893.55</v>
      </c>
      <c r="P1319" s="14" t="s">
        <v>694</v>
      </c>
      <c r="Q1319" s="22" t="str">
        <f>IF(AND(Enginuity!$A$21&lt;&gt;"", P1319=Enginuity!$A$21), 1, "")</f>
        <v/>
      </c>
      <c r="U1319" s="104" t="str">
        <f>IF(
  AND(
    TRIM(A1319)=TRIM(Enginuity!$A$1),
    TRIM(B1319)=TRIM(Enginuity!$A$17),
    Q1319&lt;&gt;"",
    Q1319&lt;&gt;0,
    OR(
      TRIM(C1319)=TRIM(Enginuity!$A$18),
      AND(UPPER(TRIM(M1319))="STD", TRIM(B1319)=TRIM(Enginuity!$A$17))
    ),
    OR(
      AND(LEFT(P1319,5)="1-Way", Enginuity!$B$13=1),
      AND(LEFT(P1319,5)="2-Way", OR(Enginuity!$B$13=2, Enginuity!$B$13=4)),
      AND(LEFT(P1319,5)="3-Way", OR(Enginuity!$B$13=3, Enginuity!$B$13=6)),
      AND(P1319="Inner Centre Jamb", OR(Enginuity!$B$13=4, Enginuity!$B$13=6)),
      AND(
        LEFT(P1319,5)&lt;&gt;"1-Way",
        LEFT(P1319,5)&lt;&gt;"2-Way",
        LEFT(P1319,5)&lt;&gt;"3-Way",
        P1319&lt;&gt;"Inner Centre Jamb"
      )
    ),
    IF(OR(Enginuity!$A$1="Frameless Glass",Enginuity!$A$1="Metal Work"),
      AND(TRIM(B1319)=TRIM(Enginuity!$A$17),TRIM(C1319)=TRIM(Enginuity!$A$18)),
      TRIM(B1319)=TRIM(Enginuity!$A$17)
    )
  ),
  ROW(),
  ""
)</f>
        <v/>
      </c>
    </row>
    <row r="1320" spans="1:21" x14ac:dyDescent="0.25">
      <c r="A1320" s="10" t="s">
        <v>253</v>
      </c>
      <c r="B1320" s="229" t="s">
        <v>331</v>
      </c>
      <c r="C1320" s="10" t="s">
        <v>692</v>
      </c>
      <c r="D1320" s="86" t="s">
        <v>536</v>
      </c>
      <c r="E1320" s="241" t="s">
        <v>705</v>
      </c>
      <c r="F1320" s="106" t="s">
        <v>695</v>
      </c>
      <c r="G1320" s="142" t="s">
        <v>382</v>
      </c>
      <c r="H1320" s="10"/>
      <c r="I1320" s="17"/>
      <c r="J1320" s="83"/>
      <c r="K1320" s="343"/>
      <c r="L1320" s="347"/>
      <c r="M1320" s="89">
        <v>7</v>
      </c>
      <c r="N1320" s="148" t="s">
        <v>176</v>
      </c>
      <c r="O1320" s="106">
        <v>940.8</v>
      </c>
      <c r="P1320" s="106" t="s">
        <v>695</v>
      </c>
      <c r="Q1320" s="22" t="str">
        <f>IF(AND(Enginuity!$A$21&lt;&gt;"", P1320=Enginuity!$A$21), 1, "")</f>
        <v/>
      </c>
      <c r="U1320" s="104" t="str">
        <f>IF(
  AND(
    TRIM(A1320)=TRIM(Enginuity!$A$1),
    TRIM(B1320)=TRIM(Enginuity!$A$17),
    Q1320&lt;&gt;"",
    Q1320&lt;&gt;0,
    OR(
      TRIM(C1320)=TRIM(Enginuity!$A$18),
      AND(UPPER(TRIM(M1320))="STD", TRIM(B1320)=TRIM(Enginuity!$A$17))
    ),
    OR(
      AND(LEFT(P1320,5)="1-Way", Enginuity!$B$13=1),
      AND(LEFT(P1320,5)="2-Way", OR(Enginuity!$B$13=2, Enginuity!$B$13=4)),
      AND(LEFT(P1320,5)="3-Way", OR(Enginuity!$B$13=3, Enginuity!$B$13=6)),
      AND(P1320="Inner Centre Jamb", OR(Enginuity!$B$13=4, Enginuity!$B$13=6)),
      AND(
        LEFT(P1320,5)&lt;&gt;"1-Way",
        LEFT(P1320,5)&lt;&gt;"2-Way",
        LEFT(P1320,5)&lt;&gt;"3-Way",
        P1320&lt;&gt;"Inner Centre Jamb"
      )
    ),
    IF(OR(Enginuity!$A$1="Frameless Glass",Enginuity!$A$1="Metal Work"),
      AND(TRIM(B1320)=TRIM(Enginuity!$A$17),TRIM(C1320)=TRIM(Enginuity!$A$18)),
      TRIM(B1320)=TRIM(Enginuity!$A$17)
    )
  ),
  ROW(),
  ""
)</f>
        <v/>
      </c>
    </row>
    <row r="1321" spans="1:21" x14ac:dyDescent="0.25">
      <c r="A1321" s="10" t="s">
        <v>253</v>
      </c>
      <c r="B1321" s="229" t="s">
        <v>331</v>
      </c>
      <c r="C1321" s="10" t="s">
        <v>692</v>
      </c>
      <c r="D1321" s="86" t="s">
        <v>536</v>
      </c>
      <c r="E1321" s="241" t="s">
        <v>705</v>
      </c>
      <c r="F1321" s="106" t="s">
        <v>696</v>
      </c>
      <c r="G1321" s="18" t="s">
        <v>384</v>
      </c>
      <c r="H1321" s="10"/>
      <c r="I1321" s="17"/>
      <c r="J1321" s="83"/>
      <c r="K1321" s="344"/>
      <c r="L1321" s="347"/>
      <c r="M1321" s="166">
        <v>8</v>
      </c>
      <c r="N1321" s="10" t="s">
        <v>176</v>
      </c>
      <c r="O1321" s="106">
        <v>1074.1500000000001</v>
      </c>
      <c r="P1321" s="106" t="s">
        <v>696</v>
      </c>
      <c r="Q1321" s="22" t="str">
        <f>IF(AND(Enginuity!$A$21&lt;&gt;"", P1321=Enginuity!$A$21), 1, "")</f>
        <v/>
      </c>
      <c r="U1321" s="104" t="str">
        <f>IF(
  AND(
    TRIM(A1321)=TRIM(Enginuity!$A$1),
    TRIM(B1321)=TRIM(Enginuity!$A$17),
    Q1321&lt;&gt;"",
    Q1321&lt;&gt;0,
    OR(
      TRIM(C1321)=TRIM(Enginuity!$A$18),
      AND(UPPER(TRIM(M1321))="STD", TRIM(B1321)=TRIM(Enginuity!$A$17))
    ),
    OR(
      AND(LEFT(P1321,5)="1-Way", Enginuity!$B$13=1),
      AND(LEFT(P1321,5)="2-Way", OR(Enginuity!$B$13=2, Enginuity!$B$13=4)),
      AND(LEFT(P1321,5)="3-Way", OR(Enginuity!$B$13=3, Enginuity!$B$13=6)),
      AND(P1321="Inner Centre Jamb", OR(Enginuity!$B$13=4, Enginuity!$B$13=6)),
      AND(
        LEFT(P1321,5)&lt;&gt;"1-Way",
        LEFT(P1321,5)&lt;&gt;"2-Way",
        LEFT(P1321,5)&lt;&gt;"3-Way",
        P1321&lt;&gt;"Inner Centre Jamb"
      )
    ),
    IF(OR(Enginuity!$A$1="Frameless Glass",Enginuity!$A$1="Metal Work"),
      AND(TRIM(B1321)=TRIM(Enginuity!$A$17),TRIM(C1321)=TRIM(Enginuity!$A$18)),
      TRIM(B1321)=TRIM(Enginuity!$A$17)
    )
  ),
  ROW(),
  ""
)</f>
        <v/>
      </c>
    </row>
    <row r="1322" spans="1:21" x14ac:dyDescent="0.25">
      <c r="A1322" s="10" t="s">
        <v>253</v>
      </c>
      <c r="B1322" s="229" t="s">
        <v>331</v>
      </c>
      <c r="C1322" s="10" t="s">
        <v>692</v>
      </c>
      <c r="D1322" s="86" t="s">
        <v>536</v>
      </c>
      <c r="E1322" s="241" t="s">
        <v>706</v>
      </c>
      <c r="F1322" s="86" t="s">
        <v>697</v>
      </c>
      <c r="G1322" s="142" t="s">
        <v>382</v>
      </c>
      <c r="H1322" s="10"/>
      <c r="I1322" s="17"/>
      <c r="J1322" s="83"/>
      <c r="K1322" s="343"/>
      <c r="L1322" s="347"/>
      <c r="M1322" s="166">
        <v>9</v>
      </c>
      <c r="N1322" s="10" t="s">
        <v>176</v>
      </c>
      <c r="O1322" s="106">
        <v>844.2</v>
      </c>
      <c r="P1322" s="86" t="s">
        <v>697</v>
      </c>
      <c r="Q1322" s="22" t="str">
        <f>IF(AND(Enginuity!$A$21&lt;&gt;"", P1322=Enginuity!$A$21), 1, "")</f>
        <v/>
      </c>
      <c r="U1322" s="104" t="str">
        <f>IF(
  AND(
    TRIM(A1322)=TRIM(Enginuity!$A$1),
    TRIM(B1322)=TRIM(Enginuity!$A$17),
    Q1322&lt;&gt;"",
    Q1322&lt;&gt;0,
    OR(
      TRIM(C1322)=TRIM(Enginuity!$A$18),
      AND(UPPER(TRIM(M1322))="STD", TRIM(B1322)=TRIM(Enginuity!$A$17))
    ),
    OR(
      AND(LEFT(P1322,5)="1-Way", Enginuity!$B$13=1),
      AND(LEFT(P1322,5)="2-Way", OR(Enginuity!$B$13=2, Enginuity!$B$13=4)),
      AND(LEFT(P1322,5)="3-Way", OR(Enginuity!$B$13=3, Enginuity!$B$13=6)),
      AND(P1322="Inner Centre Jamb", OR(Enginuity!$B$13=4, Enginuity!$B$13=6)),
      AND(
        LEFT(P1322,5)&lt;&gt;"1-Way",
        LEFT(P1322,5)&lt;&gt;"2-Way",
        LEFT(P1322,5)&lt;&gt;"3-Way",
        P1322&lt;&gt;"Inner Centre Jamb"
      )
    ),
    IF(OR(Enginuity!$A$1="Frameless Glass",Enginuity!$A$1="Metal Work"),
      AND(TRIM(B1322)=TRIM(Enginuity!$A$17),TRIM(C1322)=TRIM(Enginuity!$A$18)),
      TRIM(B1322)=TRIM(Enginuity!$A$17)
    )
  ),
  ROW(),
  ""
)</f>
        <v/>
      </c>
    </row>
    <row r="1323" spans="1:21" x14ac:dyDescent="0.25">
      <c r="A1323" s="10" t="s">
        <v>253</v>
      </c>
      <c r="B1323" s="229" t="s">
        <v>331</v>
      </c>
      <c r="C1323" s="10" t="s">
        <v>692</v>
      </c>
      <c r="D1323" s="86" t="s">
        <v>536</v>
      </c>
      <c r="E1323" s="241" t="s">
        <v>706</v>
      </c>
      <c r="F1323" s="86" t="s">
        <v>698</v>
      </c>
      <c r="G1323" s="18" t="s">
        <v>384</v>
      </c>
      <c r="H1323" s="10"/>
      <c r="I1323" s="17"/>
      <c r="J1323" s="83"/>
      <c r="K1323" s="344"/>
      <c r="L1323" s="347"/>
      <c r="M1323" s="166">
        <v>10</v>
      </c>
      <c r="N1323" s="10" t="s">
        <v>176</v>
      </c>
      <c r="O1323" s="106">
        <v>959.7</v>
      </c>
      <c r="P1323" s="86" t="s">
        <v>698</v>
      </c>
      <c r="Q1323" s="22" t="str">
        <f>IF(AND(Enginuity!$A$21&lt;&gt;"", P1323=Enginuity!$A$21), 1, "")</f>
        <v/>
      </c>
      <c r="U1323" s="104" t="str">
        <f>IF(
  AND(
    TRIM(A1323)=TRIM(Enginuity!$A$1),
    TRIM(B1323)=TRIM(Enginuity!$A$17),
    Q1323&lt;&gt;"",
    Q1323&lt;&gt;0,
    OR(
      TRIM(C1323)=TRIM(Enginuity!$A$18),
      AND(UPPER(TRIM(M1323))="STD", TRIM(B1323)=TRIM(Enginuity!$A$17))
    ),
    OR(
      AND(LEFT(P1323,5)="1-Way", Enginuity!$B$13=1),
      AND(LEFT(P1323,5)="2-Way", OR(Enginuity!$B$13=2, Enginuity!$B$13=4)),
      AND(LEFT(P1323,5)="3-Way", OR(Enginuity!$B$13=3, Enginuity!$B$13=6)),
      AND(P1323="Inner Centre Jamb", OR(Enginuity!$B$13=4, Enginuity!$B$13=6)),
      AND(
        LEFT(P1323,5)&lt;&gt;"1-Way",
        LEFT(P1323,5)&lt;&gt;"2-Way",
        LEFT(P1323,5)&lt;&gt;"3-Way",
        P1323&lt;&gt;"Inner Centre Jamb"
      )
    ),
    IF(OR(Enginuity!$A$1="Frameless Glass",Enginuity!$A$1="Metal Work"),
      AND(TRIM(B1323)=TRIM(Enginuity!$A$17),TRIM(C1323)=TRIM(Enginuity!$A$18)),
      TRIM(B1323)=TRIM(Enginuity!$A$17)
    )
  ),
  ROW(),
  ""
)</f>
        <v/>
      </c>
    </row>
    <row r="1324" spans="1:21" x14ac:dyDescent="0.25">
      <c r="A1324" s="10" t="s">
        <v>253</v>
      </c>
      <c r="B1324" s="229" t="s">
        <v>331</v>
      </c>
      <c r="C1324" s="10" t="s">
        <v>692</v>
      </c>
      <c r="D1324" s="86" t="s">
        <v>536</v>
      </c>
      <c r="E1324" s="160" t="s">
        <v>707</v>
      </c>
      <c r="F1324" s="21" t="s">
        <v>699</v>
      </c>
      <c r="G1324" s="142" t="s">
        <v>382</v>
      </c>
      <c r="H1324" s="10"/>
      <c r="I1324" s="17"/>
      <c r="J1324" s="83"/>
      <c r="K1324" s="344"/>
      <c r="L1324" s="347"/>
      <c r="M1324" s="166">
        <v>11</v>
      </c>
      <c r="N1324" s="10" t="s">
        <v>176</v>
      </c>
      <c r="O1324" s="106">
        <v>998.55</v>
      </c>
      <c r="P1324" s="21" t="s">
        <v>699</v>
      </c>
      <c r="Q1324" s="22" t="str">
        <f>IF(AND(Enginuity!$A$21&lt;&gt;"", P1324=Enginuity!$A$21), 1, "")</f>
        <v/>
      </c>
      <c r="U1324" s="104" t="str">
        <f>IF(
  AND(
    TRIM(A1324)=TRIM(Enginuity!$A$1),
    TRIM(B1324)=TRIM(Enginuity!$A$17),
    Q1324&lt;&gt;"",
    Q1324&lt;&gt;0,
    OR(
      TRIM(C1324)=TRIM(Enginuity!$A$18),
      AND(UPPER(TRIM(M1324))="STD", TRIM(B1324)=TRIM(Enginuity!$A$17))
    ),
    OR(
      AND(LEFT(P1324,5)="1-Way", Enginuity!$B$13=1),
      AND(LEFT(P1324,5)="2-Way", OR(Enginuity!$B$13=2, Enginuity!$B$13=4)),
      AND(LEFT(P1324,5)="3-Way", OR(Enginuity!$B$13=3, Enginuity!$B$13=6)),
      AND(P1324="Inner Centre Jamb", OR(Enginuity!$B$13=4, Enginuity!$B$13=6)),
      AND(
        LEFT(P1324,5)&lt;&gt;"1-Way",
        LEFT(P1324,5)&lt;&gt;"2-Way",
        LEFT(P1324,5)&lt;&gt;"3-Way",
        P1324&lt;&gt;"Inner Centre Jamb"
      )
    ),
    IF(OR(Enginuity!$A$1="Frameless Glass",Enginuity!$A$1="Metal Work"),
      AND(TRIM(B1324)=TRIM(Enginuity!$A$17),TRIM(C1324)=TRIM(Enginuity!$A$18)),
      TRIM(B1324)=TRIM(Enginuity!$A$17)
    )
  ),
  ROW(),
  ""
)</f>
        <v/>
      </c>
    </row>
    <row r="1325" spans="1:21" x14ac:dyDescent="0.25">
      <c r="A1325" s="10" t="s">
        <v>253</v>
      </c>
      <c r="B1325" s="229" t="s">
        <v>331</v>
      </c>
      <c r="C1325" s="10" t="s">
        <v>692</v>
      </c>
      <c r="D1325" s="86" t="s">
        <v>536</v>
      </c>
      <c r="E1325" s="160" t="s">
        <v>707</v>
      </c>
      <c r="F1325" s="21" t="s">
        <v>700</v>
      </c>
      <c r="G1325" s="18" t="s">
        <v>384</v>
      </c>
      <c r="H1325" s="10"/>
      <c r="I1325" s="17"/>
      <c r="J1325" s="83"/>
      <c r="K1325" s="343"/>
      <c r="L1325" s="347"/>
      <c r="M1325" s="166">
        <v>12</v>
      </c>
      <c r="N1325" s="10" t="s">
        <v>176</v>
      </c>
      <c r="O1325" s="106">
        <v>1140.3</v>
      </c>
      <c r="P1325" s="21" t="s">
        <v>700</v>
      </c>
      <c r="Q1325" s="22" t="str">
        <f>IF(AND(Enginuity!$A$21&lt;&gt;"", P1325=Enginuity!$A$21), 1, "")</f>
        <v/>
      </c>
      <c r="U1325" s="104" t="str">
        <f>IF(
  AND(
    TRIM(A1325)=TRIM(Enginuity!$A$1),
    TRIM(B1325)=TRIM(Enginuity!$A$17),
    Q1325&lt;&gt;"",
    Q1325&lt;&gt;0,
    OR(
      TRIM(C1325)=TRIM(Enginuity!$A$18),
      AND(UPPER(TRIM(M1325))="STD", TRIM(B1325)=TRIM(Enginuity!$A$17))
    ),
    OR(
      AND(LEFT(P1325,5)="1-Way", Enginuity!$B$13=1),
      AND(LEFT(P1325,5)="2-Way", OR(Enginuity!$B$13=2, Enginuity!$B$13=4)),
      AND(LEFT(P1325,5)="3-Way", OR(Enginuity!$B$13=3, Enginuity!$B$13=6)),
      AND(P1325="Inner Centre Jamb", OR(Enginuity!$B$13=4, Enginuity!$B$13=6)),
      AND(
        LEFT(P1325,5)&lt;&gt;"1-Way",
        LEFT(P1325,5)&lt;&gt;"2-Way",
        LEFT(P1325,5)&lt;&gt;"3-Way",
        P1325&lt;&gt;"Inner Centre Jamb"
      )
    ),
    IF(OR(Enginuity!$A$1="Frameless Glass",Enginuity!$A$1="Metal Work"),
      AND(TRIM(B1325)=TRIM(Enginuity!$A$17),TRIM(C1325)=TRIM(Enginuity!$A$18)),
      TRIM(B1325)=TRIM(Enginuity!$A$17)
    )
  ),
  ROW(),
  ""
)</f>
        <v/>
      </c>
    </row>
    <row r="1326" spans="1:21" x14ac:dyDescent="0.25">
      <c r="A1326" s="10" t="s">
        <v>253</v>
      </c>
      <c r="B1326" s="229" t="s">
        <v>331</v>
      </c>
      <c r="C1326" s="10" t="s">
        <v>692</v>
      </c>
      <c r="D1326" s="86" t="s">
        <v>536</v>
      </c>
      <c r="E1326" s="159" t="s">
        <v>708</v>
      </c>
      <c r="F1326" s="106" t="s">
        <v>701</v>
      </c>
      <c r="G1326" s="142" t="s">
        <v>382</v>
      </c>
      <c r="H1326" s="10"/>
      <c r="I1326" s="17"/>
      <c r="J1326" s="83"/>
      <c r="K1326" s="343"/>
      <c r="L1326" s="347"/>
      <c r="M1326" s="166">
        <v>13</v>
      </c>
      <c r="N1326" s="10" t="s">
        <v>176</v>
      </c>
      <c r="O1326" s="106">
        <v>786.45</v>
      </c>
      <c r="P1326" s="106" t="s">
        <v>701</v>
      </c>
      <c r="Q1326" s="22" t="str">
        <f>IF(AND(Enginuity!$A$21&lt;&gt;"", P1326=Enginuity!$A$21), 1, "")</f>
        <v/>
      </c>
      <c r="U1326" s="104" t="str">
        <f>IF(
  AND(
    TRIM(A1326)=TRIM(Enginuity!$A$1),
    TRIM(B1326)=TRIM(Enginuity!$A$17),
    Q1326&lt;&gt;"",
    Q1326&lt;&gt;0,
    OR(
      TRIM(C1326)=TRIM(Enginuity!$A$18),
      AND(UPPER(TRIM(M1326))="STD", TRIM(B1326)=TRIM(Enginuity!$A$17))
    ),
    OR(
      AND(LEFT(P1326,5)="1-Way", Enginuity!$B$13=1),
      AND(LEFT(P1326,5)="2-Way", OR(Enginuity!$B$13=2, Enginuity!$B$13=4)),
      AND(LEFT(P1326,5)="3-Way", OR(Enginuity!$B$13=3, Enginuity!$B$13=6)),
      AND(P1326="Inner Centre Jamb", OR(Enginuity!$B$13=4, Enginuity!$B$13=6)),
      AND(
        LEFT(P1326,5)&lt;&gt;"1-Way",
        LEFT(P1326,5)&lt;&gt;"2-Way",
        LEFT(P1326,5)&lt;&gt;"3-Way",
        P1326&lt;&gt;"Inner Centre Jamb"
      )
    ),
    IF(OR(Enginuity!$A$1="Frameless Glass",Enginuity!$A$1="Metal Work"),
      AND(TRIM(B1326)=TRIM(Enginuity!$A$17),TRIM(C1326)=TRIM(Enginuity!$A$18)),
      TRIM(B1326)=TRIM(Enginuity!$A$17)
    )
  ),
  ROW(),
  ""
)</f>
        <v/>
      </c>
    </row>
    <row r="1327" spans="1:21" x14ac:dyDescent="0.25">
      <c r="A1327" s="10" t="s">
        <v>253</v>
      </c>
      <c r="B1327" s="229" t="s">
        <v>331</v>
      </c>
      <c r="C1327" s="10" t="s">
        <v>692</v>
      </c>
      <c r="D1327" s="86" t="s">
        <v>536</v>
      </c>
      <c r="E1327" s="159" t="s">
        <v>708</v>
      </c>
      <c r="F1327" s="106" t="s">
        <v>702</v>
      </c>
      <c r="G1327" s="18" t="s">
        <v>384</v>
      </c>
      <c r="H1327" s="10"/>
      <c r="I1327" s="17"/>
      <c r="J1327" s="83"/>
      <c r="K1327" s="343"/>
      <c r="L1327" s="347"/>
      <c r="M1327" s="166">
        <v>14</v>
      </c>
      <c r="N1327" s="10" t="s">
        <v>176</v>
      </c>
      <c r="O1327" s="106">
        <v>893.55</v>
      </c>
      <c r="P1327" s="106" t="s">
        <v>702</v>
      </c>
      <c r="Q1327" s="22" t="str">
        <f>IF(AND(Enginuity!$A$21&lt;&gt;"", P1327=Enginuity!$A$21), 1, "")</f>
        <v/>
      </c>
      <c r="U1327" s="104" t="str">
        <f>IF(
  AND(
    TRIM(A1327)=TRIM(Enginuity!$A$1),
    TRIM(B1327)=TRIM(Enginuity!$A$17),
    Q1327&lt;&gt;"",
    Q1327&lt;&gt;0,
    OR(
      TRIM(C1327)=TRIM(Enginuity!$A$18),
      AND(UPPER(TRIM(M1327))="STD", TRIM(B1327)=TRIM(Enginuity!$A$17))
    ),
    OR(
      AND(LEFT(P1327,5)="1-Way", Enginuity!$B$13=1),
      AND(LEFT(P1327,5)="2-Way", OR(Enginuity!$B$13=2, Enginuity!$B$13=4)),
      AND(LEFT(P1327,5)="3-Way", OR(Enginuity!$B$13=3, Enginuity!$B$13=6)),
      AND(P1327="Inner Centre Jamb", OR(Enginuity!$B$13=4, Enginuity!$B$13=6)),
      AND(
        LEFT(P1327,5)&lt;&gt;"1-Way",
        LEFT(P1327,5)&lt;&gt;"2-Way",
        LEFT(P1327,5)&lt;&gt;"3-Way",
        P1327&lt;&gt;"Inner Centre Jamb"
      )
    ),
    IF(OR(Enginuity!$A$1="Frameless Glass",Enginuity!$A$1="Metal Work"),
      AND(TRIM(B1327)=TRIM(Enginuity!$A$17),TRIM(C1327)=TRIM(Enginuity!$A$18)),
      TRIM(B1327)=TRIM(Enginuity!$A$17)
    )
  ),
  ROW(),
  ""
)</f>
        <v/>
      </c>
    </row>
    <row r="1328" spans="1:21" x14ac:dyDescent="0.25">
      <c r="A1328" s="10" t="s">
        <v>253</v>
      </c>
      <c r="B1328" s="229" t="s">
        <v>331</v>
      </c>
      <c r="C1328" s="10" t="s">
        <v>692</v>
      </c>
      <c r="D1328" s="86" t="s">
        <v>536</v>
      </c>
      <c r="E1328" s="159"/>
      <c r="F1328" s="165"/>
      <c r="G1328" s="142"/>
      <c r="H1328" s="10"/>
      <c r="I1328" s="17"/>
      <c r="J1328" s="83"/>
      <c r="K1328" s="343"/>
      <c r="L1328" s="347"/>
      <c r="M1328" s="89">
        <v>15</v>
      </c>
      <c r="N1328" s="163" t="s">
        <v>176</v>
      </c>
      <c r="O1328" s="164" t="str">
        <f>IF(Enginuity!$A$22="Supply &amp; Install",70,IF(Enginuity!$A$22="Self Collect",0,""))</f>
        <v/>
      </c>
      <c r="P1328" s="165" t="str">
        <f>Enginuity!$A$22</f>
        <v>▼ [Lattice]</v>
      </c>
      <c r="Q1328" s="164" t="str">
        <f>IF(AND(
  LEN(O1328)&gt;0,
  OR(P1328="72"" Height", ISNUMBER(SEARCH("72"" Height",D1328))),
  OR(Enginuity!$A$22="Supply &amp; Install", Enginuity!$A$22="Self Collect")
),1,"")</f>
        <v/>
      </c>
      <c r="U1328" s="104" t="str">
        <f>IF(
  AND(
    TRIM(A1328)=TRIM(Enginuity!$A$1),
    TRIM(B1328)=TRIM(Enginuity!$A$17),
    Q1328&lt;&gt;"",
    Q1328&lt;&gt;0,
    OR(
      TRIM(C1328)=TRIM(Enginuity!$A$18),
      AND(UPPER(TRIM(M1328))="STD", TRIM(B1328)=TRIM(Enginuity!$A$17))
    ),
    OR(
      AND(LEFT(P1328,5)="1-Way", Enginuity!$B$13=1),
      AND(LEFT(P1328,5)="2-Way", OR(Enginuity!$B$13=2, Enginuity!$B$13=4)),
      AND(LEFT(P1328,5)="3-Way", OR(Enginuity!$B$13=3, Enginuity!$B$13=6)),
      AND(P1328="Inner Centre Jamb", OR(Enginuity!$B$13=4, Enginuity!$B$13=6)),
      AND(
        LEFT(P1328,5)&lt;&gt;"1-Way",
        LEFT(P1328,5)&lt;&gt;"2-Way",
        LEFT(P1328,5)&lt;&gt;"3-Way",
        P1328&lt;&gt;"Inner Centre Jamb"
      )
    ),
    IF(OR(Enginuity!$A$1="Frameless Glass",Enginuity!$A$1="Metal Work"),
      AND(TRIM(B1328)=TRIM(Enginuity!$A$17),TRIM(C1328)=TRIM(Enginuity!$A$18)),
      TRIM(B1328)=TRIM(Enginuity!$A$17)
    )
  ),
  ROW(),
  ""
)</f>
        <v/>
      </c>
    </row>
    <row r="1329" spans="1:21" x14ac:dyDescent="0.25">
      <c r="A1329" s="101"/>
      <c r="B1329" s="232"/>
      <c r="C1329" s="101"/>
      <c r="D1329" s="162"/>
      <c r="E1329" s="252"/>
      <c r="F1329" s="167"/>
      <c r="G1329" s="18"/>
      <c r="H1329" s="101"/>
      <c r="I1329" s="17"/>
      <c r="J1329" s="151"/>
      <c r="K1329" s="343"/>
      <c r="L1329" s="347"/>
      <c r="M1329" s="152">
        <v>16</v>
      </c>
      <c r="N1329" s="101" t="s">
        <v>176</v>
      </c>
      <c r="O1329" s="154"/>
      <c r="P1329" s="150"/>
      <c r="Q1329" s="154"/>
      <c r="U1329" s="104" t="str">
        <f>IF(
  AND(
    TRIM(A1329)=TRIM(Enginuity!$A$1),
    TRIM(B1329)=TRIM(Enginuity!$A$17),
    Q1329&lt;&gt;"",
    Q1329&lt;&gt;0,
    OR(
      TRIM(C1329)=TRIM(Enginuity!$A$18),
      AND(UPPER(TRIM(M1329))="STD", TRIM(B1329)=TRIM(Enginuity!$A$17))
    ),
    OR(
      AND(LEFT(P1329,5)="1-Way", Enginuity!$B$13=1),
      AND(LEFT(P1329,5)="2-Way", OR(Enginuity!$B$13=2, Enginuity!$B$13=4)),
      AND(LEFT(P1329,5)="3-Way", OR(Enginuity!$B$13=3, Enginuity!$B$13=6)),
      AND(P1329="Inner Centre Jamb", OR(Enginuity!$B$13=4, Enginuity!$B$13=6)),
      AND(
        LEFT(P1329,5)&lt;&gt;"1-Way",
        LEFT(P1329,5)&lt;&gt;"2-Way",
        LEFT(P1329,5)&lt;&gt;"3-Way",
        P1329&lt;&gt;"Inner Centre Jamb"
      )
    ),
    IF(OR(Enginuity!$A$1="Frameless Glass",Enginuity!$A$1="Metal Work"),
      AND(TRIM(B1329)=TRIM(Enginuity!$A$17),TRIM(C1329)=TRIM(Enginuity!$A$18)),
      TRIM(B1329)=TRIM(Enginuity!$A$17)
    )
  ),
  ROW(),
  ""
)</f>
        <v/>
      </c>
    </row>
    <row r="1330" spans="1:21" x14ac:dyDescent="0.25">
      <c r="A1330" s="10" t="s">
        <v>253</v>
      </c>
      <c r="B1330" s="229" t="s">
        <v>331</v>
      </c>
      <c r="C1330" s="10" t="s">
        <v>692</v>
      </c>
      <c r="D1330" s="86" t="s">
        <v>537</v>
      </c>
      <c r="E1330" s="241" t="s">
        <v>703</v>
      </c>
      <c r="F1330" s="86" t="s">
        <v>499</v>
      </c>
      <c r="G1330" s="142" t="s">
        <v>382</v>
      </c>
      <c r="H1330" s="10"/>
      <c r="I1330" s="17"/>
      <c r="J1330" s="83"/>
      <c r="K1330" s="344">
        <v>0.24453800000000001</v>
      </c>
      <c r="L1330" s="347">
        <v>609.6</v>
      </c>
      <c r="M1330" s="89">
        <v>1</v>
      </c>
      <c r="N1330" s="10" t="s">
        <v>176</v>
      </c>
      <c r="O1330" s="106">
        <v>653.1</v>
      </c>
      <c r="P1330" s="86" t="s">
        <v>499</v>
      </c>
      <c r="Q1330" s="22" t="str">
        <f>IF(AND(Enginuity!$A$21&lt;&gt;"", P1330=Enginuity!$A$21), 1, "")</f>
        <v/>
      </c>
      <c r="U1330" s="104" t="str">
        <f>IF(
  AND(
    TRIM(A1330)=TRIM(Enginuity!$A$1),
    TRIM(B1330)=TRIM(Enginuity!$A$17),
    Q1330&lt;&gt;"",
    Q1330&lt;&gt;0,
    OR(
      TRIM(C1330)=TRIM(Enginuity!$A$18),
      AND(UPPER(TRIM(M1330))="STD", TRIM(B1330)=TRIM(Enginuity!$A$17))
    ),
    OR(
      AND(LEFT(P1330,5)="1-Way", Enginuity!$B$13=1),
      AND(LEFT(P1330,5)="2-Way", OR(Enginuity!$B$13=2, Enginuity!$B$13=4)),
      AND(LEFT(P1330,5)="3-Way", OR(Enginuity!$B$13=3, Enginuity!$B$13=6)),
      AND(P1330="Inner Centre Jamb", OR(Enginuity!$B$13=4, Enginuity!$B$13=6)),
      AND(
        LEFT(P1330,5)&lt;&gt;"1-Way",
        LEFT(P1330,5)&lt;&gt;"2-Way",
        LEFT(P1330,5)&lt;&gt;"3-Way",
        P1330&lt;&gt;"Inner Centre Jamb"
      )
    ),
    IF(OR(Enginuity!$A$1="Frameless Glass",Enginuity!$A$1="Metal Work"),
      AND(TRIM(B1330)=TRIM(Enginuity!$A$17),TRIM(C1330)=TRIM(Enginuity!$A$18)),
      TRIM(B1330)=TRIM(Enginuity!$A$17)
    )
  ),
  ROW(),
  ""
)</f>
        <v/>
      </c>
    </row>
    <row r="1331" spans="1:21" x14ac:dyDescent="0.25">
      <c r="A1331" s="10" t="s">
        <v>253</v>
      </c>
      <c r="B1331" s="229" t="s">
        <v>331</v>
      </c>
      <c r="C1331" s="10" t="s">
        <v>692</v>
      </c>
      <c r="D1331" s="86" t="s">
        <v>537</v>
      </c>
      <c r="E1331" s="241" t="s">
        <v>703</v>
      </c>
      <c r="F1331" s="86" t="s">
        <v>500</v>
      </c>
      <c r="G1331" s="18" t="s">
        <v>384</v>
      </c>
      <c r="H1331" s="10"/>
      <c r="I1331" s="17"/>
      <c r="J1331" s="83"/>
      <c r="K1331" s="343"/>
      <c r="L1331" s="347"/>
      <c r="M1331" s="89">
        <v>2</v>
      </c>
      <c r="N1331" s="10" t="s">
        <v>176</v>
      </c>
      <c r="O1331" s="106">
        <v>684.6</v>
      </c>
      <c r="P1331" s="86" t="s">
        <v>500</v>
      </c>
      <c r="Q1331" s="22" t="str">
        <f>IF(AND(Enginuity!$A$21&lt;&gt;"", P1331=Enginuity!$A$21), 1, "")</f>
        <v/>
      </c>
      <c r="U1331" s="104" t="str">
        <f>IF(
  AND(
    TRIM(A1331)=TRIM(Enginuity!$A$1),
    TRIM(B1331)=TRIM(Enginuity!$A$17),
    Q1331&lt;&gt;"",
    Q1331&lt;&gt;0,
    OR(
      TRIM(C1331)=TRIM(Enginuity!$A$18),
      AND(UPPER(TRIM(M1331))="STD", TRIM(B1331)=TRIM(Enginuity!$A$17))
    ),
    OR(
      AND(LEFT(P1331,5)="1-Way", Enginuity!$B$13=1),
      AND(LEFT(P1331,5)="2-Way", OR(Enginuity!$B$13=2, Enginuity!$B$13=4)),
      AND(LEFT(P1331,5)="3-Way", OR(Enginuity!$B$13=3, Enginuity!$B$13=6)),
      AND(P1331="Inner Centre Jamb", OR(Enginuity!$B$13=4, Enginuity!$B$13=6)),
      AND(
        LEFT(P1331,5)&lt;&gt;"1-Way",
        LEFT(P1331,5)&lt;&gt;"2-Way",
        LEFT(P1331,5)&lt;&gt;"3-Way",
        P1331&lt;&gt;"Inner Centre Jamb"
      )
    ),
    IF(OR(Enginuity!$A$1="Frameless Glass",Enginuity!$A$1="Metal Work"),
      AND(TRIM(B1331)=TRIM(Enginuity!$A$17),TRIM(C1331)=TRIM(Enginuity!$A$18)),
      TRIM(B1331)=TRIM(Enginuity!$A$17)
    )
  ),
  ROW(),
  ""
)</f>
        <v/>
      </c>
    </row>
    <row r="1332" spans="1:21" x14ac:dyDescent="0.25">
      <c r="A1332" s="10" t="s">
        <v>253</v>
      </c>
      <c r="B1332" s="229" t="s">
        <v>331</v>
      </c>
      <c r="C1332" s="10" t="s">
        <v>692</v>
      </c>
      <c r="D1332" s="86" t="s">
        <v>537</v>
      </c>
      <c r="E1332" s="160" t="s">
        <v>479</v>
      </c>
      <c r="F1332" s="21" t="s">
        <v>506</v>
      </c>
      <c r="G1332" s="142" t="s">
        <v>382</v>
      </c>
      <c r="H1332" s="10"/>
      <c r="I1332" s="17"/>
      <c r="J1332" s="83"/>
      <c r="K1332" s="343"/>
      <c r="L1332" s="347"/>
      <c r="M1332" s="89">
        <v>3</v>
      </c>
      <c r="N1332" s="10" t="s">
        <v>176</v>
      </c>
      <c r="O1332" s="106">
        <v>653.1</v>
      </c>
      <c r="P1332" s="21" t="s">
        <v>506</v>
      </c>
      <c r="Q1332" s="22" t="str">
        <f>IF(AND(Enginuity!$A$21&lt;&gt;"", P1332=Enginuity!$A$21), 1, "")</f>
        <v/>
      </c>
      <c r="U1332" s="104" t="str">
        <f>IF(
  AND(
    TRIM(A1332)=TRIM(Enginuity!$A$1),
    TRIM(B1332)=TRIM(Enginuity!$A$17),
    Q1332&lt;&gt;"",
    Q1332&lt;&gt;0,
    OR(
      TRIM(C1332)=TRIM(Enginuity!$A$18),
      AND(UPPER(TRIM(M1332))="STD", TRIM(B1332)=TRIM(Enginuity!$A$17))
    ),
    OR(
      AND(LEFT(P1332,5)="1-Way", Enginuity!$B$13=1),
      AND(LEFT(P1332,5)="2-Way", OR(Enginuity!$B$13=2, Enginuity!$B$13=4)),
      AND(LEFT(P1332,5)="3-Way", OR(Enginuity!$B$13=3, Enginuity!$B$13=6)),
      AND(P1332="Inner Centre Jamb", OR(Enginuity!$B$13=4, Enginuity!$B$13=6)),
      AND(
        LEFT(P1332,5)&lt;&gt;"1-Way",
        LEFT(P1332,5)&lt;&gt;"2-Way",
        LEFT(P1332,5)&lt;&gt;"3-Way",
        P1332&lt;&gt;"Inner Centre Jamb"
      )
    ),
    IF(OR(Enginuity!$A$1="Frameless Glass",Enginuity!$A$1="Metal Work"),
      AND(TRIM(B1332)=TRIM(Enginuity!$A$17),TRIM(C1332)=TRIM(Enginuity!$A$18)),
      TRIM(B1332)=TRIM(Enginuity!$A$17)
    )
  ),
  ROW(),
  ""
)</f>
        <v/>
      </c>
    </row>
    <row r="1333" spans="1:21" x14ac:dyDescent="0.25">
      <c r="A1333" s="10" t="s">
        <v>253</v>
      </c>
      <c r="B1333" s="229" t="s">
        <v>331</v>
      </c>
      <c r="C1333" s="10" t="s">
        <v>692</v>
      </c>
      <c r="D1333" s="86" t="s">
        <v>537</v>
      </c>
      <c r="E1333" s="160" t="s">
        <v>479</v>
      </c>
      <c r="F1333" s="21" t="s">
        <v>507</v>
      </c>
      <c r="G1333" s="18" t="s">
        <v>384</v>
      </c>
      <c r="H1333" s="10"/>
      <c r="I1333" s="17"/>
      <c r="J1333" s="83"/>
      <c r="K1333" s="343"/>
      <c r="L1333" s="347"/>
      <c r="M1333" s="89">
        <v>4</v>
      </c>
      <c r="N1333" s="10" t="s">
        <v>176</v>
      </c>
      <c r="O1333" s="106">
        <v>684.6</v>
      </c>
      <c r="P1333" s="21" t="s">
        <v>507</v>
      </c>
      <c r="Q1333" s="22" t="str">
        <f>IF(AND(Enginuity!$A$21&lt;&gt;"", P1333=Enginuity!$A$21), 1, "")</f>
        <v/>
      </c>
      <c r="U1333" s="104" t="str">
        <f>IF(
  AND(
    TRIM(A1333)=TRIM(Enginuity!$A$1),
    TRIM(B1333)=TRIM(Enginuity!$A$17),
    Q1333&lt;&gt;"",
    Q1333&lt;&gt;0,
    OR(
      TRIM(C1333)=TRIM(Enginuity!$A$18),
      AND(UPPER(TRIM(M1333))="STD", TRIM(B1333)=TRIM(Enginuity!$A$17))
    ),
    OR(
      AND(LEFT(P1333,5)="1-Way", Enginuity!$B$13=1),
      AND(LEFT(P1333,5)="2-Way", OR(Enginuity!$B$13=2, Enginuity!$B$13=4)),
      AND(LEFT(P1333,5)="3-Way", OR(Enginuity!$B$13=3, Enginuity!$B$13=6)),
      AND(P1333="Inner Centre Jamb", OR(Enginuity!$B$13=4, Enginuity!$B$13=6)),
      AND(
        LEFT(P1333,5)&lt;&gt;"1-Way",
        LEFT(P1333,5)&lt;&gt;"2-Way",
        LEFT(P1333,5)&lt;&gt;"3-Way",
        P1333&lt;&gt;"Inner Centre Jamb"
      )
    ),
    IF(OR(Enginuity!$A$1="Frameless Glass",Enginuity!$A$1="Metal Work"),
      AND(TRIM(B1333)=TRIM(Enginuity!$A$17),TRIM(C1333)=TRIM(Enginuity!$A$18)),
      TRIM(B1333)=TRIM(Enginuity!$A$17)
    )
  ),
  ROW(),
  ""
)</f>
        <v/>
      </c>
    </row>
    <row r="1334" spans="1:21" x14ac:dyDescent="0.25">
      <c r="A1334" s="10" t="s">
        <v>253</v>
      </c>
      <c r="B1334" s="229" t="s">
        <v>331</v>
      </c>
      <c r="C1334" s="10" t="s">
        <v>692</v>
      </c>
      <c r="D1334" s="86" t="s">
        <v>537</v>
      </c>
      <c r="E1334" s="159" t="s">
        <v>704</v>
      </c>
      <c r="F1334" s="106" t="s">
        <v>511</v>
      </c>
      <c r="G1334" s="142" t="s">
        <v>382</v>
      </c>
      <c r="H1334" s="10"/>
      <c r="I1334" s="17"/>
      <c r="J1334" s="83"/>
      <c r="K1334" s="343"/>
      <c r="L1334" s="347"/>
      <c r="M1334" s="89">
        <v>5</v>
      </c>
      <c r="N1334" s="10" t="s">
        <v>176</v>
      </c>
      <c r="O1334" s="106">
        <v>844.2</v>
      </c>
      <c r="P1334" s="106" t="s">
        <v>511</v>
      </c>
      <c r="Q1334" s="22" t="str">
        <f>IF(AND(Enginuity!$A$21&lt;&gt;"", P1334=Enginuity!$A$21), 1, "")</f>
        <v/>
      </c>
      <c r="U1334" s="104" t="str">
        <f>IF(
  AND(
    TRIM(A1334)=TRIM(Enginuity!$A$1),
    TRIM(B1334)=TRIM(Enginuity!$A$17),
    Q1334&lt;&gt;"",
    Q1334&lt;&gt;0,
    OR(
      TRIM(C1334)=TRIM(Enginuity!$A$18),
      AND(UPPER(TRIM(M1334))="STD", TRIM(B1334)=TRIM(Enginuity!$A$17))
    ),
    OR(
      AND(LEFT(P1334,5)="1-Way", Enginuity!$B$13=1),
      AND(LEFT(P1334,5)="2-Way", OR(Enginuity!$B$13=2, Enginuity!$B$13=4)),
      AND(LEFT(P1334,5)="3-Way", OR(Enginuity!$B$13=3, Enginuity!$B$13=6)),
      AND(P1334="Inner Centre Jamb", OR(Enginuity!$B$13=4, Enginuity!$B$13=6)),
      AND(
        LEFT(P1334,5)&lt;&gt;"1-Way",
        LEFT(P1334,5)&lt;&gt;"2-Way",
        LEFT(P1334,5)&lt;&gt;"3-Way",
        P1334&lt;&gt;"Inner Centre Jamb"
      )
    ),
    IF(OR(Enginuity!$A$1="Frameless Glass",Enginuity!$A$1="Metal Work"),
      AND(TRIM(B1334)=TRIM(Enginuity!$A$17),TRIM(C1334)=TRIM(Enginuity!$A$18)),
      TRIM(B1334)=TRIM(Enginuity!$A$17)
    )
  ),
  ROW(),
  ""
)</f>
        <v/>
      </c>
    </row>
    <row r="1335" spans="1:21" x14ac:dyDescent="0.25">
      <c r="A1335" s="10" t="s">
        <v>253</v>
      </c>
      <c r="B1335" s="229" t="s">
        <v>331</v>
      </c>
      <c r="C1335" s="10" t="s">
        <v>692</v>
      </c>
      <c r="D1335" s="86" t="s">
        <v>537</v>
      </c>
      <c r="E1335" s="159" t="s">
        <v>704</v>
      </c>
      <c r="F1335" s="14" t="s">
        <v>512</v>
      </c>
      <c r="G1335" s="18" t="s">
        <v>384</v>
      </c>
      <c r="H1335" s="10"/>
      <c r="I1335" s="17"/>
      <c r="J1335" s="83"/>
      <c r="K1335" s="343"/>
      <c r="L1335" s="347"/>
      <c r="M1335" s="89">
        <v>6</v>
      </c>
      <c r="N1335" s="10" t="s">
        <v>176</v>
      </c>
      <c r="O1335" s="106">
        <v>959.7</v>
      </c>
      <c r="P1335" s="14" t="s">
        <v>512</v>
      </c>
      <c r="Q1335" s="22" t="str">
        <f>IF(AND(Enginuity!$A$21&lt;&gt;"", P1335=Enginuity!$A$21), 1, "")</f>
        <v/>
      </c>
      <c r="U1335" s="104" t="str">
        <f>IF(
  AND(
    TRIM(A1335)=TRIM(Enginuity!$A$1),
    TRIM(B1335)=TRIM(Enginuity!$A$17),
    Q1335&lt;&gt;"",
    Q1335&lt;&gt;0,
    OR(
      TRIM(C1335)=TRIM(Enginuity!$A$18),
      AND(UPPER(TRIM(M1335))="STD", TRIM(B1335)=TRIM(Enginuity!$A$17))
    ),
    OR(
      AND(LEFT(P1335,5)="1-Way", Enginuity!$B$13=1),
      AND(LEFT(P1335,5)="2-Way", OR(Enginuity!$B$13=2, Enginuity!$B$13=4)),
      AND(LEFT(P1335,5)="3-Way", OR(Enginuity!$B$13=3, Enginuity!$B$13=6)),
      AND(P1335="Inner Centre Jamb", OR(Enginuity!$B$13=4, Enginuity!$B$13=6)),
      AND(
        LEFT(P1335,5)&lt;&gt;"1-Way",
        LEFT(P1335,5)&lt;&gt;"2-Way",
        LEFT(P1335,5)&lt;&gt;"3-Way",
        P1335&lt;&gt;"Inner Centre Jamb"
      )
    ),
    IF(OR(Enginuity!$A$1="Frameless Glass",Enginuity!$A$1="Metal Work"),
      AND(TRIM(B1335)=TRIM(Enginuity!$A$17),TRIM(C1335)=TRIM(Enginuity!$A$18)),
      TRIM(B1335)=TRIM(Enginuity!$A$17)
    )
  ),
  ROW(),
  ""
)</f>
        <v/>
      </c>
    </row>
    <row r="1336" spans="1:21" x14ac:dyDescent="0.25">
      <c r="A1336" s="10" t="s">
        <v>253</v>
      </c>
      <c r="B1336" s="229" t="s">
        <v>331</v>
      </c>
      <c r="C1336" s="10" t="s">
        <v>692</v>
      </c>
      <c r="D1336" s="86" t="s">
        <v>537</v>
      </c>
      <c r="E1336" s="241" t="s">
        <v>705</v>
      </c>
      <c r="F1336" s="106" t="s">
        <v>527</v>
      </c>
      <c r="G1336" s="142" t="s">
        <v>382</v>
      </c>
      <c r="H1336" s="10"/>
      <c r="I1336" s="17"/>
      <c r="J1336" s="83"/>
      <c r="K1336" s="343"/>
      <c r="L1336" s="347"/>
      <c r="M1336" s="89">
        <v>7</v>
      </c>
      <c r="N1336" s="148" t="s">
        <v>176</v>
      </c>
      <c r="O1336" s="106">
        <v>1024.8</v>
      </c>
      <c r="P1336" s="106" t="s">
        <v>527</v>
      </c>
      <c r="Q1336" s="22" t="str">
        <f>IF(AND(Enginuity!$A$21&lt;&gt;"", P1336=Enginuity!$A$21), 1, "")</f>
        <v/>
      </c>
      <c r="U1336" s="104" t="str">
        <f>IF(
  AND(
    TRIM(A1336)=TRIM(Enginuity!$A$1),
    TRIM(B1336)=TRIM(Enginuity!$A$17),
    Q1336&lt;&gt;"",
    Q1336&lt;&gt;0,
    OR(
      TRIM(C1336)=TRIM(Enginuity!$A$18),
      AND(UPPER(TRIM(M1336))="STD", TRIM(B1336)=TRIM(Enginuity!$A$17))
    ),
    OR(
      AND(LEFT(P1336,5)="1-Way", Enginuity!$B$13=1),
      AND(LEFT(P1336,5)="2-Way", OR(Enginuity!$B$13=2, Enginuity!$B$13=4)),
      AND(LEFT(P1336,5)="3-Way", OR(Enginuity!$B$13=3, Enginuity!$B$13=6)),
      AND(P1336="Inner Centre Jamb", OR(Enginuity!$B$13=4, Enginuity!$B$13=6)),
      AND(
        LEFT(P1336,5)&lt;&gt;"1-Way",
        LEFT(P1336,5)&lt;&gt;"2-Way",
        LEFT(P1336,5)&lt;&gt;"3-Way",
        P1336&lt;&gt;"Inner Centre Jamb"
      )
    ),
    IF(OR(Enginuity!$A$1="Frameless Glass",Enginuity!$A$1="Metal Work"),
      AND(TRIM(B1336)=TRIM(Enginuity!$A$17),TRIM(C1336)=TRIM(Enginuity!$A$18)),
      TRIM(B1336)=TRIM(Enginuity!$A$17)
    )
  ),
  ROW(),
  ""
)</f>
        <v/>
      </c>
    </row>
    <row r="1337" spans="1:21" x14ac:dyDescent="0.25">
      <c r="A1337" s="10" t="s">
        <v>253</v>
      </c>
      <c r="B1337" s="229" t="s">
        <v>331</v>
      </c>
      <c r="C1337" s="10" t="s">
        <v>692</v>
      </c>
      <c r="D1337" s="86" t="s">
        <v>537</v>
      </c>
      <c r="E1337" s="241" t="s">
        <v>705</v>
      </c>
      <c r="F1337" s="106" t="s">
        <v>528</v>
      </c>
      <c r="G1337" s="18" t="s">
        <v>384</v>
      </c>
      <c r="H1337" s="10"/>
      <c r="I1337" s="17"/>
      <c r="J1337" s="83"/>
      <c r="K1337" s="344"/>
      <c r="L1337" s="347"/>
      <c r="M1337" s="166">
        <v>8</v>
      </c>
      <c r="N1337" s="10" t="s">
        <v>176</v>
      </c>
      <c r="O1337" s="106">
        <v>1169.7</v>
      </c>
      <c r="P1337" s="106" t="s">
        <v>528</v>
      </c>
      <c r="Q1337" s="22" t="str">
        <f>IF(AND(Enginuity!$A$21&lt;&gt;"", P1337=Enginuity!$A$21), 1, "")</f>
        <v/>
      </c>
      <c r="U1337" s="104" t="str">
        <f>IF(
  AND(
    TRIM(A1337)=TRIM(Enginuity!$A$1),
    TRIM(B1337)=TRIM(Enginuity!$A$17),
    Q1337&lt;&gt;"",
    Q1337&lt;&gt;0,
    OR(
      TRIM(C1337)=TRIM(Enginuity!$A$18),
      AND(UPPER(TRIM(M1337))="STD", TRIM(B1337)=TRIM(Enginuity!$A$17))
    ),
    OR(
      AND(LEFT(P1337,5)="1-Way", Enginuity!$B$13=1),
      AND(LEFT(P1337,5)="2-Way", OR(Enginuity!$B$13=2, Enginuity!$B$13=4)),
      AND(LEFT(P1337,5)="3-Way", OR(Enginuity!$B$13=3, Enginuity!$B$13=6)),
      AND(P1337="Inner Centre Jamb", OR(Enginuity!$B$13=4, Enginuity!$B$13=6)),
      AND(
        LEFT(P1337,5)&lt;&gt;"1-Way",
        LEFT(P1337,5)&lt;&gt;"2-Way",
        LEFT(P1337,5)&lt;&gt;"3-Way",
        P1337&lt;&gt;"Inner Centre Jamb"
      )
    ),
    IF(OR(Enginuity!$A$1="Frameless Glass",Enginuity!$A$1="Metal Work"),
      AND(TRIM(B1337)=TRIM(Enginuity!$A$17),TRIM(C1337)=TRIM(Enginuity!$A$18)),
      TRIM(B1337)=TRIM(Enginuity!$A$17)
    )
  ),
  ROW(),
  ""
)</f>
        <v/>
      </c>
    </row>
    <row r="1338" spans="1:21" x14ac:dyDescent="0.25">
      <c r="A1338" s="10" t="s">
        <v>253</v>
      </c>
      <c r="B1338" s="229" t="s">
        <v>331</v>
      </c>
      <c r="C1338" s="10" t="s">
        <v>692</v>
      </c>
      <c r="D1338" s="86" t="s">
        <v>537</v>
      </c>
      <c r="E1338" s="241" t="s">
        <v>706</v>
      </c>
      <c r="F1338" s="86" t="s">
        <v>709</v>
      </c>
      <c r="G1338" s="142" t="s">
        <v>382</v>
      </c>
      <c r="H1338" s="10"/>
      <c r="I1338" s="17"/>
      <c r="J1338" s="83"/>
      <c r="K1338" s="343"/>
      <c r="L1338" s="347"/>
      <c r="M1338" s="166">
        <v>9</v>
      </c>
      <c r="N1338" s="10" t="s">
        <v>176</v>
      </c>
      <c r="O1338" s="106">
        <v>903</v>
      </c>
      <c r="P1338" s="86" t="s">
        <v>709</v>
      </c>
      <c r="Q1338" s="22" t="str">
        <f>IF(AND(Enginuity!$A$21&lt;&gt;"", P1338=Enginuity!$A$21), 1, "")</f>
        <v/>
      </c>
      <c r="U1338" s="104" t="str">
        <f>IF(
  AND(
    TRIM(A1338)=TRIM(Enginuity!$A$1),
    TRIM(B1338)=TRIM(Enginuity!$A$17),
    Q1338&lt;&gt;"",
    Q1338&lt;&gt;0,
    OR(
      TRIM(C1338)=TRIM(Enginuity!$A$18),
      AND(UPPER(TRIM(M1338))="STD", TRIM(B1338)=TRIM(Enginuity!$A$17))
    ),
    OR(
      AND(LEFT(P1338,5)="1-Way", Enginuity!$B$13=1),
      AND(LEFT(P1338,5)="2-Way", OR(Enginuity!$B$13=2, Enginuity!$B$13=4)),
      AND(LEFT(P1338,5)="3-Way", OR(Enginuity!$B$13=3, Enginuity!$B$13=6)),
      AND(P1338="Inner Centre Jamb", OR(Enginuity!$B$13=4, Enginuity!$B$13=6)),
      AND(
        LEFT(P1338,5)&lt;&gt;"1-Way",
        LEFT(P1338,5)&lt;&gt;"2-Way",
        LEFT(P1338,5)&lt;&gt;"3-Way",
        P1338&lt;&gt;"Inner Centre Jamb"
      )
    ),
    IF(OR(Enginuity!$A$1="Frameless Glass",Enginuity!$A$1="Metal Work"),
      AND(TRIM(B1338)=TRIM(Enginuity!$A$17),TRIM(C1338)=TRIM(Enginuity!$A$18)),
      TRIM(B1338)=TRIM(Enginuity!$A$17)
    )
  ),
  ROW(),
  ""
)</f>
        <v/>
      </c>
    </row>
    <row r="1339" spans="1:21" x14ac:dyDescent="0.25">
      <c r="A1339" s="10" t="s">
        <v>253</v>
      </c>
      <c r="B1339" s="229" t="s">
        <v>331</v>
      </c>
      <c r="C1339" s="10" t="s">
        <v>692</v>
      </c>
      <c r="D1339" s="86" t="s">
        <v>537</v>
      </c>
      <c r="E1339" s="241" t="s">
        <v>706</v>
      </c>
      <c r="F1339" s="86" t="s">
        <v>710</v>
      </c>
      <c r="G1339" s="18" t="s">
        <v>384</v>
      </c>
      <c r="H1339" s="10"/>
      <c r="I1339" s="17"/>
      <c r="J1339" s="83"/>
      <c r="K1339" s="344"/>
      <c r="L1339" s="347"/>
      <c r="M1339" s="166">
        <v>10</v>
      </c>
      <c r="N1339" s="10" t="s">
        <v>176</v>
      </c>
      <c r="O1339" s="106">
        <v>1027.95</v>
      </c>
      <c r="P1339" s="86" t="s">
        <v>710</v>
      </c>
      <c r="Q1339" s="22" t="str">
        <f>IF(AND(Enginuity!$A$21&lt;&gt;"", P1339=Enginuity!$A$21), 1, "")</f>
        <v/>
      </c>
      <c r="U1339" s="104" t="str">
        <f>IF(
  AND(
    TRIM(A1339)=TRIM(Enginuity!$A$1),
    TRIM(B1339)=TRIM(Enginuity!$A$17),
    Q1339&lt;&gt;"",
    Q1339&lt;&gt;0,
    OR(
      TRIM(C1339)=TRIM(Enginuity!$A$18),
      AND(UPPER(TRIM(M1339))="STD", TRIM(B1339)=TRIM(Enginuity!$A$17))
    ),
    OR(
      AND(LEFT(P1339,5)="1-Way", Enginuity!$B$13=1),
      AND(LEFT(P1339,5)="2-Way", OR(Enginuity!$B$13=2, Enginuity!$B$13=4)),
      AND(LEFT(P1339,5)="3-Way", OR(Enginuity!$B$13=3, Enginuity!$B$13=6)),
      AND(P1339="Inner Centre Jamb", OR(Enginuity!$B$13=4, Enginuity!$B$13=6)),
      AND(
        LEFT(P1339,5)&lt;&gt;"1-Way",
        LEFT(P1339,5)&lt;&gt;"2-Way",
        LEFT(P1339,5)&lt;&gt;"3-Way",
        P1339&lt;&gt;"Inner Centre Jamb"
      )
    ),
    IF(OR(Enginuity!$A$1="Frameless Glass",Enginuity!$A$1="Metal Work"),
      AND(TRIM(B1339)=TRIM(Enginuity!$A$17),TRIM(C1339)=TRIM(Enginuity!$A$18)),
      TRIM(B1339)=TRIM(Enginuity!$A$17)
    )
  ),
  ROW(),
  ""
)</f>
        <v/>
      </c>
    </row>
    <row r="1340" spans="1:21" x14ac:dyDescent="0.25">
      <c r="A1340" s="10" t="s">
        <v>253</v>
      </c>
      <c r="B1340" s="229" t="s">
        <v>331</v>
      </c>
      <c r="C1340" s="10" t="s">
        <v>692</v>
      </c>
      <c r="D1340" s="86" t="s">
        <v>537</v>
      </c>
      <c r="E1340" s="160" t="s">
        <v>707</v>
      </c>
      <c r="F1340" s="21" t="s">
        <v>711</v>
      </c>
      <c r="G1340" s="142" t="s">
        <v>382</v>
      </c>
      <c r="H1340" s="10"/>
      <c r="I1340" s="17"/>
      <c r="J1340" s="83"/>
      <c r="K1340" s="344"/>
      <c r="L1340" s="347"/>
      <c r="M1340" s="166">
        <v>11</v>
      </c>
      <c r="N1340" s="10" t="s">
        <v>176</v>
      </c>
      <c r="O1340" s="106">
        <v>1083.5999999999999</v>
      </c>
      <c r="P1340" s="21" t="s">
        <v>711</v>
      </c>
      <c r="Q1340" s="22" t="str">
        <f>IF(AND(Enginuity!$A$21&lt;&gt;"", P1340=Enginuity!$A$21), 1, "")</f>
        <v/>
      </c>
      <c r="U1340" s="104" t="str">
        <f>IF(
  AND(
    TRIM(A1340)=TRIM(Enginuity!$A$1),
    TRIM(B1340)=TRIM(Enginuity!$A$17),
    Q1340&lt;&gt;"",
    Q1340&lt;&gt;0,
    OR(
      TRIM(C1340)=TRIM(Enginuity!$A$18),
      AND(UPPER(TRIM(M1340))="STD", TRIM(B1340)=TRIM(Enginuity!$A$17))
    ),
    OR(
      AND(LEFT(P1340,5)="1-Way", Enginuity!$B$13=1),
      AND(LEFT(P1340,5)="2-Way", OR(Enginuity!$B$13=2, Enginuity!$B$13=4)),
      AND(LEFT(P1340,5)="3-Way", OR(Enginuity!$B$13=3, Enginuity!$B$13=6)),
      AND(P1340="Inner Centre Jamb", OR(Enginuity!$B$13=4, Enginuity!$B$13=6)),
      AND(
        LEFT(P1340,5)&lt;&gt;"1-Way",
        LEFT(P1340,5)&lt;&gt;"2-Way",
        LEFT(P1340,5)&lt;&gt;"3-Way",
        P1340&lt;&gt;"Inner Centre Jamb"
      )
    ),
    IF(OR(Enginuity!$A$1="Frameless Glass",Enginuity!$A$1="Metal Work"),
      AND(TRIM(B1340)=TRIM(Enginuity!$A$17),TRIM(C1340)=TRIM(Enginuity!$A$18)),
      TRIM(B1340)=TRIM(Enginuity!$A$17)
    )
  ),
  ROW(),
  ""
)</f>
        <v/>
      </c>
    </row>
    <row r="1341" spans="1:21" x14ac:dyDescent="0.25">
      <c r="A1341" s="10" t="s">
        <v>253</v>
      </c>
      <c r="B1341" s="229" t="s">
        <v>331</v>
      </c>
      <c r="C1341" s="10" t="s">
        <v>692</v>
      </c>
      <c r="D1341" s="86" t="s">
        <v>537</v>
      </c>
      <c r="E1341" s="160" t="s">
        <v>707</v>
      </c>
      <c r="F1341" s="21" t="s">
        <v>712</v>
      </c>
      <c r="G1341" s="18" t="s">
        <v>384</v>
      </c>
      <c r="H1341" s="10"/>
      <c r="I1341" s="17"/>
      <c r="J1341" s="83"/>
      <c r="K1341" s="343"/>
      <c r="L1341" s="347"/>
      <c r="M1341" s="166">
        <v>12</v>
      </c>
      <c r="N1341" s="10" t="s">
        <v>176</v>
      </c>
      <c r="O1341" s="106">
        <v>1237.95</v>
      </c>
      <c r="P1341" s="21" t="s">
        <v>712</v>
      </c>
      <c r="Q1341" s="22" t="str">
        <f>IF(AND(Enginuity!$A$21&lt;&gt;"", P1341=Enginuity!$A$21), 1, "")</f>
        <v/>
      </c>
      <c r="U1341" s="104" t="str">
        <f>IF(
  AND(
    TRIM(A1341)=TRIM(Enginuity!$A$1),
    TRIM(B1341)=TRIM(Enginuity!$A$17),
    Q1341&lt;&gt;"",
    Q1341&lt;&gt;0,
    OR(
      TRIM(C1341)=TRIM(Enginuity!$A$18),
      AND(UPPER(TRIM(M1341))="STD", TRIM(B1341)=TRIM(Enginuity!$A$17))
    ),
    OR(
      AND(LEFT(P1341,5)="1-Way", Enginuity!$B$13=1),
      AND(LEFT(P1341,5)="2-Way", OR(Enginuity!$B$13=2, Enginuity!$B$13=4)),
      AND(LEFT(P1341,5)="3-Way", OR(Enginuity!$B$13=3, Enginuity!$B$13=6)),
      AND(P1341="Inner Centre Jamb", OR(Enginuity!$B$13=4, Enginuity!$B$13=6)),
      AND(
        LEFT(P1341,5)&lt;&gt;"1-Way",
        LEFT(P1341,5)&lt;&gt;"2-Way",
        LEFT(P1341,5)&lt;&gt;"3-Way",
        P1341&lt;&gt;"Inner Centre Jamb"
      )
    ),
    IF(OR(Enginuity!$A$1="Frameless Glass",Enginuity!$A$1="Metal Work"),
      AND(TRIM(B1341)=TRIM(Enginuity!$A$17),TRIM(C1341)=TRIM(Enginuity!$A$18)),
      TRIM(B1341)=TRIM(Enginuity!$A$17)
    )
  ),
  ROW(),
  ""
)</f>
        <v/>
      </c>
    </row>
    <row r="1342" spans="1:21" x14ac:dyDescent="0.25">
      <c r="A1342" s="10" t="s">
        <v>253</v>
      </c>
      <c r="B1342" s="229" t="s">
        <v>331</v>
      </c>
      <c r="C1342" s="10" t="s">
        <v>692</v>
      </c>
      <c r="D1342" s="86" t="s">
        <v>537</v>
      </c>
      <c r="E1342" s="159" t="s">
        <v>708</v>
      </c>
      <c r="F1342" s="106" t="s">
        <v>713</v>
      </c>
      <c r="G1342" s="142" t="s">
        <v>382</v>
      </c>
      <c r="H1342" s="10"/>
      <c r="I1342" s="17"/>
      <c r="J1342" s="83"/>
      <c r="K1342" s="343"/>
      <c r="L1342" s="347"/>
      <c r="M1342" s="166">
        <v>13</v>
      </c>
      <c r="N1342" s="10" t="s">
        <v>176</v>
      </c>
      <c r="O1342" s="106">
        <v>844.2</v>
      </c>
      <c r="P1342" s="106" t="s">
        <v>713</v>
      </c>
      <c r="Q1342" s="22" t="str">
        <f>IF(AND(Enginuity!$A$21&lt;&gt;"", P1342=Enginuity!$A$21), 1, "")</f>
        <v/>
      </c>
      <c r="U1342" s="104" t="str">
        <f>IF(
  AND(
    TRIM(A1342)=TRIM(Enginuity!$A$1),
    TRIM(B1342)=TRIM(Enginuity!$A$17),
    Q1342&lt;&gt;"",
    Q1342&lt;&gt;0,
    OR(
      TRIM(C1342)=TRIM(Enginuity!$A$18),
      AND(UPPER(TRIM(M1342))="STD", TRIM(B1342)=TRIM(Enginuity!$A$17))
    ),
    OR(
      AND(LEFT(P1342,5)="1-Way", Enginuity!$B$13=1),
      AND(LEFT(P1342,5)="2-Way", OR(Enginuity!$B$13=2, Enginuity!$B$13=4)),
      AND(LEFT(P1342,5)="3-Way", OR(Enginuity!$B$13=3, Enginuity!$B$13=6)),
      AND(P1342="Inner Centre Jamb", OR(Enginuity!$B$13=4, Enginuity!$B$13=6)),
      AND(
        LEFT(P1342,5)&lt;&gt;"1-Way",
        LEFT(P1342,5)&lt;&gt;"2-Way",
        LEFT(P1342,5)&lt;&gt;"3-Way",
        P1342&lt;&gt;"Inner Centre Jamb"
      )
    ),
    IF(OR(Enginuity!$A$1="Frameless Glass",Enginuity!$A$1="Metal Work"),
      AND(TRIM(B1342)=TRIM(Enginuity!$A$17),TRIM(C1342)=TRIM(Enginuity!$A$18)),
      TRIM(B1342)=TRIM(Enginuity!$A$17)
    )
  ),
  ROW(),
  ""
)</f>
        <v/>
      </c>
    </row>
    <row r="1343" spans="1:21" x14ac:dyDescent="0.25">
      <c r="A1343" s="10" t="s">
        <v>253</v>
      </c>
      <c r="B1343" s="229" t="s">
        <v>331</v>
      </c>
      <c r="C1343" s="10" t="s">
        <v>692</v>
      </c>
      <c r="D1343" s="86" t="s">
        <v>537</v>
      </c>
      <c r="E1343" s="159" t="s">
        <v>708</v>
      </c>
      <c r="F1343" s="106" t="s">
        <v>714</v>
      </c>
      <c r="G1343" s="18" t="s">
        <v>384</v>
      </c>
      <c r="H1343" s="10"/>
      <c r="I1343" s="17"/>
      <c r="J1343" s="83"/>
      <c r="K1343" s="343"/>
      <c r="L1343" s="347"/>
      <c r="M1343" s="166">
        <v>14</v>
      </c>
      <c r="N1343" s="10" t="s">
        <v>176</v>
      </c>
      <c r="O1343" s="106">
        <v>959.7</v>
      </c>
      <c r="P1343" s="106" t="s">
        <v>714</v>
      </c>
      <c r="Q1343" s="22" t="str">
        <f>IF(AND(Enginuity!$A$21&lt;&gt;"", P1343=Enginuity!$A$21), 1, "")</f>
        <v/>
      </c>
      <c r="U1343" s="104" t="str">
        <f>IF(
  AND(
    TRIM(A1343)=TRIM(Enginuity!$A$1),
    TRIM(B1343)=TRIM(Enginuity!$A$17),
    Q1343&lt;&gt;"",
    Q1343&lt;&gt;0,
    OR(
      TRIM(C1343)=TRIM(Enginuity!$A$18),
      AND(UPPER(TRIM(M1343))="STD", TRIM(B1343)=TRIM(Enginuity!$A$17))
    ),
    OR(
      AND(LEFT(P1343,5)="1-Way", Enginuity!$B$13=1),
      AND(LEFT(P1343,5)="2-Way", OR(Enginuity!$B$13=2, Enginuity!$B$13=4)),
      AND(LEFT(P1343,5)="3-Way", OR(Enginuity!$B$13=3, Enginuity!$B$13=6)),
      AND(P1343="Inner Centre Jamb", OR(Enginuity!$B$13=4, Enginuity!$B$13=6)),
      AND(
        LEFT(P1343,5)&lt;&gt;"1-Way",
        LEFT(P1343,5)&lt;&gt;"2-Way",
        LEFT(P1343,5)&lt;&gt;"3-Way",
        P1343&lt;&gt;"Inner Centre Jamb"
      )
    ),
    IF(OR(Enginuity!$A$1="Frameless Glass",Enginuity!$A$1="Metal Work"),
      AND(TRIM(B1343)=TRIM(Enginuity!$A$17),TRIM(C1343)=TRIM(Enginuity!$A$18)),
      TRIM(B1343)=TRIM(Enginuity!$A$17)
    )
  ),
  ROW(),
  ""
)</f>
        <v/>
      </c>
    </row>
    <row r="1344" spans="1:21" x14ac:dyDescent="0.25">
      <c r="A1344" s="10" t="s">
        <v>253</v>
      </c>
      <c r="B1344" s="229" t="s">
        <v>331</v>
      </c>
      <c r="C1344" s="10" t="s">
        <v>692</v>
      </c>
      <c r="D1344" s="86" t="s">
        <v>537</v>
      </c>
      <c r="E1344" s="159"/>
      <c r="F1344" s="165"/>
      <c r="G1344" s="142"/>
      <c r="H1344" s="10"/>
      <c r="I1344" s="17"/>
      <c r="J1344" s="83"/>
      <c r="K1344" s="343"/>
      <c r="L1344" s="347"/>
      <c r="M1344" s="89">
        <v>15</v>
      </c>
      <c r="N1344" s="163" t="s">
        <v>176</v>
      </c>
      <c r="O1344" s="164" t="str">
        <f>IF(Enginuity!$A$22="Supply &amp; Install",70,IF(Enginuity!$A$22="Self Collect",0,""))</f>
        <v/>
      </c>
      <c r="P1344" s="165" t="str">
        <f>Enginuity!$A$22</f>
        <v>▼ [Lattice]</v>
      </c>
      <c r="Q1344" s="164" t="str">
        <f>IF(AND(
  LEN(O1344)&gt;0,
  OR(P1344="72"" Height", ISNUMBER(SEARCH("72"" Height",D1344))),
  OR(Enginuity!$A$22="Supply &amp; Install", Enginuity!$A$22="Self Collect")
),1,"")</f>
        <v/>
      </c>
      <c r="U1344" s="104" t="str">
        <f>IF(
  AND(
    TRIM(A1344)=TRIM(Enginuity!$A$1),
    TRIM(B1344)=TRIM(Enginuity!$A$17),
    Q1344&lt;&gt;"",
    Q1344&lt;&gt;0,
    OR(
      TRIM(C1344)=TRIM(Enginuity!$A$18),
      AND(UPPER(TRIM(M1344))="STD", TRIM(B1344)=TRIM(Enginuity!$A$17))
    ),
    OR(
      AND(LEFT(P1344,5)="1-Way", Enginuity!$B$13=1),
      AND(LEFT(P1344,5)="2-Way", OR(Enginuity!$B$13=2, Enginuity!$B$13=4)),
      AND(LEFT(P1344,5)="3-Way", OR(Enginuity!$B$13=3, Enginuity!$B$13=6)),
      AND(P1344="Inner Centre Jamb", OR(Enginuity!$B$13=4, Enginuity!$B$13=6)),
      AND(
        LEFT(P1344,5)&lt;&gt;"1-Way",
        LEFT(P1344,5)&lt;&gt;"2-Way",
        LEFT(P1344,5)&lt;&gt;"3-Way",
        P1344&lt;&gt;"Inner Centre Jamb"
      )
    ),
    IF(OR(Enginuity!$A$1="Frameless Glass",Enginuity!$A$1="Metal Work"),
      AND(TRIM(B1344)=TRIM(Enginuity!$A$17),TRIM(C1344)=TRIM(Enginuity!$A$18)),
      TRIM(B1344)=TRIM(Enginuity!$A$17)
    )
  ),
  ROW(),
  ""
)</f>
        <v/>
      </c>
    </row>
    <row r="1345" spans="1:21" x14ac:dyDescent="0.25">
      <c r="A1345" s="101"/>
      <c r="B1345" s="232"/>
      <c r="C1345" s="101"/>
      <c r="D1345" s="162"/>
      <c r="E1345" s="252"/>
      <c r="F1345" s="167"/>
      <c r="G1345" s="18"/>
      <c r="H1345" s="101"/>
      <c r="I1345" s="17"/>
      <c r="J1345" s="151"/>
      <c r="K1345" s="343"/>
      <c r="L1345" s="347"/>
      <c r="M1345" s="152"/>
      <c r="N1345" s="101"/>
      <c r="O1345" s="154"/>
      <c r="P1345" s="150"/>
      <c r="Q1345" s="154"/>
      <c r="U1345" s="104" t="str">
        <f>IF(
  AND(
    TRIM(A1345)=TRIM(Enginuity!$A$1),
    TRIM(B1345)=TRIM(Enginuity!$A$17),
    Q1345&lt;&gt;"",
    Q1345&lt;&gt;0,
    OR(
      TRIM(C1345)=TRIM(Enginuity!$A$18),
      AND(UPPER(TRIM(M1345))="STD", TRIM(B1345)=TRIM(Enginuity!$A$17))
    ),
    OR(
      AND(LEFT(P1345,5)="1-Way", Enginuity!$B$13=1),
      AND(LEFT(P1345,5)="2-Way", OR(Enginuity!$B$13=2, Enginuity!$B$13=4)),
      AND(LEFT(P1345,5)="3-Way", OR(Enginuity!$B$13=3, Enginuity!$B$13=6)),
      AND(P1345="Inner Centre Jamb", OR(Enginuity!$B$13=4, Enginuity!$B$13=6)),
      AND(
        LEFT(P1345,5)&lt;&gt;"1-Way",
        LEFT(P1345,5)&lt;&gt;"2-Way",
        LEFT(P1345,5)&lt;&gt;"3-Way",
        P1345&lt;&gt;"Inner Centre Jamb"
      )
    ),
    IF(OR(Enginuity!$A$1="Frameless Glass",Enginuity!$A$1="Metal Work"),
      AND(TRIM(B1345)=TRIM(Enginuity!$A$17),TRIM(C1345)=TRIM(Enginuity!$A$18)),
      TRIM(B1345)=TRIM(Enginuity!$A$17)
    )
  ),
  ROW(),
  ""
)</f>
        <v/>
      </c>
    </row>
    <row r="1346" spans="1:21" x14ac:dyDescent="0.25">
      <c r="A1346" s="10" t="s">
        <v>253</v>
      </c>
      <c r="B1346" s="229" t="s">
        <v>331</v>
      </c>
      <c r="C1346" s="10" t="s">
        <v>715</v>
      </c>
      <c r="D1346" s="86" t="s">
        <v>536</v>
      </c>
      <c r="E1346" s="241" t="s">
        <v>703</v>
      </c>
      <c r="F1346" s="14" t="s">
        <v>716</v>
      </c>
      <c r="G1346" s="142" t="s">
        <v>382</v>
      </c>
      <c r="H1346" s="10"/>
      <c r="I1346" s="17"/>
      <c r="J1346" s="83"/>
      <c r="K1346" s="344">
        <v>0.24453800000000001</v>
      </c>
      <c r="L1346" s="347">
        <v>609.6</v>
      </c>
      <c r="M1346" s="89"/>
      <c r="N1346" s="10"/>
      <c r="O1346" s="22">
        <v>162.75</v>
      </c>
      <c r="P1346" s="14" t="s">
        <v>716</v>
      </c>
      <c r="Q1346" s="22" t="str">
        <f>IF(AND(Enginuity!$A$21&lt;&gt;"", P1346=Enginuity!$A$21), 1, "")</f>
        <v/>
      </c>
      <c r="U1346" s="104" t="str">
        <f>IF(
  AND(
    TRIM(A1346)=TRIM(Enginuity!$A$1),
    TRIM(B1346)=TRIM(Enginuity!$A$17),
    Q1346&lt;&gt;"",
    Q1346&lt;&gt;0,
    OR(
      TRIM(C1346)=TRIM(Enginuity!$A$18),
      AND(UPPER(TRIM(M1346))="STD", TRIM(B1346)=TRIM(Enginuity!$A$17))
    ),
    OR(
      AND(LEFT(P1346,5)="1-Way", Enginuity!$B$13=1),
      AND(LEFT(P1346,5)="2-Way", OR(Enginuity!$B$13=2, Enginuity!$B$13=4)),
      AND(LEFT(P1346,5)="3-Way", OR(Enginuity!$B$13=3, Enginuity!$B$13=6)),
      AND(P1346="Inner Centre Jamb", OR(Enginuity!$B$13=4, Enginuity!$B$13=6)),
      AND(
        LEFT(P1346,5)&lt;&gt;"1-Way",
        LEFT(P1346,5)&lt;&gt;"2-Way",
        LEFT(P1346,5)&lt;&gt;"3-Way",
        P1346&lt;&gt;"Inner Centre Jamb"
      )
    ),
    IF(OR(Enginuity!$A$1="Frameless Glass",Enginuity!$A$1="Metal Work"),
      AND(TRIM(B1346)=TRIM(Enginuity!$A$17),TRIM(C1346)=TRIM(Enginuity!$A$18)),
      TRIM(B1346)=TRIM(Enginuity!$A$17)
    )
  ),
  ROW(),
  ""
)</f>
        <v/>
      </c>
    </row>
    <row r="1347" spans="1:21" x14ac:dyDescent="0.25">
      <c r="A1347" s="10" t="s">
        <v>253</v>
      </c>
      <c r="B1347" s="229" t="s">
        <v>331</v>
      </c>
      <c r="C1347" s="10" t="s">
        <v>715</v>
      </c>
      <c r="D1347" s="86" t="s">
        <v>536</v>
      </c>
      <c r="E1347" s="241" t="s">
        <v>703</v>
      </c>
      <c r="F1347" s="14" t="s">
        <v>717</v>
      </c>
      <c r="G1347" s="18" t="s">
        <v>384</v>
      </c>
      <c r="H1347" s="10"/>
      <c r="I1347" s="17"/>
      <c r="J1347" s="83"/>
      <c r="K1347" s="343"/>
      <c r="L1347" s="347"/>
      <c r="M1347" s="89"/>
      <c r="N1347" s="10"/>
      <c r="O1347" s="22">
        <v>174.3</v>
      </c>
      <c r="P1347" s="14" t="s">
        <v>717</v>
      </c>
      <c r="Q1347" s="22" t="str">
        <f>IF(AND(Enginuity!$A$21&lt;&gt;"", P1347=Enginuity!$A$21), 1, "")</f>
        <v/>
      </c>
      <c r="U1347" s="104" t="str">
        <f>IF(
  AND(
    TRIM(A1347)=TRIM(Enginuity!$A$1),
    TRIM(B1347)=TRIM(Enginuity!$A$17),
    Q1347&lt;&gt;"",
    Q1347&lt;&gt;0,
    OR(
      TRIM(C1347)=TRIM(Enginuity!$A$18),
      AND(UPPER(TRIM(M1347))="STD", TRIM(B1347)=TRIM(Enginuity!$A$17))
    ),
    OR(
      AND(LEFT(P1347,5)="1-Way", Enginuity!$B$13=1),
      AND(LEFT(P1347,5)="2-Way", OR(Enginuity!$B$13=2, Enginuity!$B$13=4)),
      AND(LEFT(P1347,5)="3-Way", OR(Enginuity!$B$13=3, Enginuity!$B$13=6)),
      AND(P1347="Inner Centre Jamb", OR(Enginuity!$B$13=4, Enginuity!$B$13=6)),
      AND(
        LEFT(P1347,5)&lt;&gt;"1-Way",
        LEFT(P1347,5)&lt;&gt;"2-Way",
        LEFT(P1347,5)&lt;&gt;"3-Way",
        P1347&lt;&gt;"Inner Centre Jamb"
      )
    ),
    IF(OR(Enginuity!$A$1="Frameless Glass",Enginuity!$A$1="Metal Work"),
      AND(TRIM(B1347)=TRIM(Enginuity!$A$17),TRIM(C1347)=TRIM(Enginuity!$A$18)),
      TRIM(B1347)=TRIM(Enginuity!$A$17)
    )
  ),
  ROW(),
  ""
)</f>
        <v/>
      </c>
    </row>
    <row r="1348" spans="1:21" x14ac:dyDescent="0.25">
      <c r="A1348" s="10" t="s">
        <v>253</v>
      </c>
      <c r="B1348" s="229" t="s">
        <v>331</v>
      </c>
      <c r="C1348" s="10" t="s">
        <v>715</v>
      </c>
      <c r="D1348" s="86" t="s">
        <v>536</v>
      </c>
      <c r="E1348" s="241" t="s">
        <v>703</v>
      </c>
      <c r="F1348" s="14" t="s">
        <v>718</v>
      </c>
      <c r="G1348" s="18"/>
      <c r="H1348" s="10"/>
      <c r="I1348" s="17"/>
      <c r="J1348" s="83"/>
      <c r="K1348" s="343"/>
      <c r="L1348" s="347"/>
      <c r="M1348" s="89"/>
      <c r="N1348" s="10"/>
      <c r="O1348" s="22">
        <v>192.15</v>
      </c>
      <c r="P1348" s="14" t="s">
        <v>718</v>
      </c>
      <c r="Q1348" s="22" t="str">
        <f>IF(AND(Enginuity!$A$21&lt;&gt;"", P1348=Enginuity!$A$21), 1, "")</f>
        <v/>
      </c>
      <c r="U1348" s="104" t="str">
        <f>IF(
  AND(
    TRIM(A1348)=TRIM(Enginuity!$A$1),
    TRIM(B1348)=TRIM(Enginuity!$A$17),
    Q1348&lt;&gt;"",
    Q1348&lt;&gt;0,
    OR(
      TRIM(C1348)=TRIM(Enginuity!$A$18),
      AND(UPPER(TRIM(M1348))="STD", TRIM(B1348)=TRIM(Enginuity!$A$17))
    ),
    OR(
      AND(LEFT(P1348,5)="1-Way", Enginuity!$B$13=1),
      AND(LEFT(P1348,5)="2-Way", OR(Enginuity!$B$13=2, Enginuity!$B$13=4)),
      AND(LEFT(P1348,5)="3-Way", OR(Enginuity!$B$13=3, Enginuity!$B$13=6)),
      AND(P1348="Inner Centre Jamb", OR(Enginuity!$B$13=4, Enginuity!$B$13=6)),
      AND(
        LEFT(P1348,5)&lt;&gt;"1-Way",
        LEFT(P1348,5)&lt;&gt;"2-Way",
        LEFT(P1348,5)&lt;&gt;"3-Way",
        P1348&lt;&gt;"Inner Centre Jamb"
      )
    ),
    IF(OR(Enginuity!$A$1="Frameless Glass",Enginuity!$A$1="Metal Work"),
      AND(TRIM(B1348)=TRIM(Enginuity!$A$17),TRIM(C1348)=TRIM(Enginuity!$A$18)),
      TRIM(B1348)=TRIM(Enginuity!$A$17)
    )
  ),
  ROW(),
  ""
)</f>
        <v/>
      </c>
    </row>
    <row r="1349" spans="1:21" x14ac:dyDescent="0.25">
      <c r="A1349" s="10" t="s">
        <v>253</v>
      </c>
      <c r="B1349" s="229" t="s">
        <v>331</v>
      </c>
      <c r="C1349" s="10" t="s">
        <v>715</v>
      </c>
      <c r="D1349" s="86" t="s">
        <v>536</v>
      </c>
      <c r="E1349" s="241" t="s">
        <v>703</v>
      </c>
      <c r="F1349" s="36" t="s">
        <v>719</v>
      </c>
      <c r="G1349" s="17"/>
      <c r="H1349" s="10"/>
      <c r="I1349" s="17"/>
      <c r="J1349" s="83"/>
      <c r="K1349" s="343"/>
      <c r="L1349" s="347"/>
      <c r="M1349" s="89"/>
      <c r="N1349" s="10"/>
      <c r="O1349" s="22">
        <v>203.7</v>
      </c>
      <c r="P1349" s="36" t="s">
        <v>719</v>
      </c>
      <c r="Q1349" s="22" t="str">
        <f>IF(AND(Enginuity!$A$21&lt;&gt;"", P1349=Enginuity!$A$21), 1, "")</f>
        <v/>
      </c>
      <c r="U1349" s="104" t="str">
        <f>IF(
  AND(
    TRIM(A1349)=TRIM(Enginuity!$A$1),
    TRIM(B1349)=TRIM(Enginuity!$A$17),
    Q1349&lt;&gt;"",
    Q1349&lt;&gt;0,
    OR(
      TRIM(C1349)=TRIM(Enginuity!$A$18),
      AND(UPPER(TRIM(M1349))="STD", TRIM(B1349)=TRIM(Enginuity!$A$17))
    ),
    OR(
      AND(LEFT(P1349,5)="1-Way", Enginuity!$B$13=1),
      AND(LEFT(P1349,5)="2-Way", OR(Enginuity!$B$13=2, Enginuity!$B$13=4)),
      AND(LEFT(P1349,5)="3-Way", OR(Enginuity!$B$13=3, Enginuity!$B$13=6)),
      AND(P1349="Inner Centre Jamb", OR(Enginuity!$B$13=4, Enginuity!$B$13=6)),
      AND(
        LEFT(P1349,5)&lt;&gt;"1-Way",
        LEFT(P1349,5)&lt;&gt;"2-Way",
        LEFT(P1349,5)&lt;&gt;"3-Way",
        P1349&lt;&gt;"Inner Centre Jamb"
      )
    ),
    IF(OR(Enginuity!$A$1="Frameless Glass",Enginuity!$A$1="Metal Work"),
      AND(TRIM(B1349)=TRIM(Enginuity!$A$17),TRIM(C1349)=TRIM(Enginuity!$A$18)),
      TRIM(B1349)=TRIM(Enginuity!$A$17)
    )
  ),
  ROW(),
  ""
)</f>
        <v/>
      </c>
    </row>
    <row r="1350" spans="1:21" x14ac:dyDescent="0.25">
      <c r="A1350" s="10" t="s">
        <v>253</v>
      </c>
      <c r="B1350" s="229" t="s">
        <v>331</v>
      </c>
      <c r="C1350" s="10" t="s">
        <v>715</v>
      </c>
      <c r="D1350" s="86" t="s">
        <v>536</v>
      </c>
      <c r="E1350" s="241" t="s">
        <v>703</v>
      </c>
      <c r="F1350" s="14" t="s">
        <v>472</v>
      </c>
      <c r="G1350" s="17"/>
      <c r="H1350" s="10"/>
      <c r="I1350" s="17"/>
      <c r="J1350" s="83"/>
      <c r="K1350" s="343"/>
      <c r="L1350" s="347"/>
      <c r="M1350" s="89"/>
      <c r="N1350" s="10"/>
      <c r="O1350" s="22">
        <v>221.55</v>
      </c>
      <c r="P1350" s="14" t="s">
        <v>472</v>
      </c>
      <c r="Q1350" s="22" t="str">
        <f>IF(AND(Enginuity!$A$21&lt;&gt;"", P1350=Enginuity!$A$21), 1, "")</f>
        <v/>
      </c>
      <c r="U1350" s="104" t="str">
        <f>IF(
  AND(
    TRIM(A1350)=TRIM(Enginuity!$A$1),
    TRIM(B1350)=TRIM(Enginuity!$A$17),
    Q1350&lt;&gt;"",
    Q1350&lt;&gt;0,
    OR(
      TRIM(C1350)=TRIM(Enginuity!$A$18),
      AND(UPPER(TRIM(M1350))="STD", TRIM(B1350)=TRIM(Enginuity!$A$17))
    ),
    OR(
      AND(LEFT(P1350,5)="1-Way", Enginuity!$B$13=1),
      AND(LEFT(P1350,5)="2-Way", OR(Enginuity!$B$13=2, Enginuity!$B$13=4)),
      AND(LEFT(P1350,5)="3-Way", OR(Enginuity!$B$13=3, Enginuity!$B$13=6)),
      AND(P1350="Inner Centre Jamb", OR(Enginuity!$B$13=4, Enginuity!$B$13=6)),
      AND(
        LEFT(P1350,5)&lt;&gt;"1-Way",
        LEFT(P1350,5)&lt;&gt;"2-Way",
        LEFT(P1350,5)&lt;&gt;"3-Way",
        P1350&lt;&gt;"Inner Centre Jamb"
      )
    ),
    IF(OR(Enginuity!$A$1="Frameless Glass",Enginuity!$A$1="Metal Work"),
      AND(TRIM(B1350)=TRIM(Enginuity!$A$17),TRIM(C1350)=TRIM(Enginuity!$A$18)),
      TRIM(B1350)=TRIM(Enginuity!$A$17)
    )
  ),
  ROW(),
  ""
)</f>
        <v/>
      </c>
    </row>
    <row r="1351" spans="1:21" x14ac:dyDescent="0.25">
      <c r="A1351" s="10" t="s">
        <v>253</v>
      </c>
      <c r="B1351" s="229" t="s">
        <v>331</v>
      </c>
      <c r="C1351" s="10" t="s">
        <v>715</v>
      </c>
      <c r="D1351" s="86" t="s">
        <v>536</v>
      </c>
      <c r="E1351" s="241" t="s">
        <v>703</v>
      </c>
      <c r="F1351" s="106" t="s">
        <v>473</v>
      </c>
      <c r="G1351" s="17"/>
      <c r="H1351" s="10"/>
      <c r="I1351" s="17"/>
      <c r="J1351" s="83"/>
      <c r="K1351" s="343"/>
      <c r="L1351" s="347"/>
      <c r="M1351" s="89"/>
      <c r="N1351" s="10"/>
      <c r="O1351" s="22">
        <v>239.4</v>
      </c>
      <c r="P1351" s="106" t="s">
        <v>473</v>
      </c>
      <c r="Q1351" s="22" t="str">
        <f>IF(AND(Enginuity!$A$21&lt;&gt;"", P1351=Enginuity!$A$21), 1, "")</f>
        <v/>
      </c>
      <c r="U1351" s="104" t="str">
        <f>IF(
  AND(
    TRIM(A1351)=TRIM(Enginuity!$A$1),
    TRIM(B1351)=TRIM(Enginuity!$A$17),
    Q1351&lt;&gt;"",
    Q1351&lt;&gt;0,
    OR(
      TRIM(C1351)=TRIM(Enginuity!$A$18),
      AND(UPPER(TRIM(M1351))="STD", TRIM(B1351)=TRIM(Enginuity!$A$17))
    ),
    OR(
      AND(LEFT(P1351,5)="1-Way", Enginuity!$B$13=1),
      AND(LEFT(P1351,5)="2-Way", OR(Enginuity!$B$13=2, Enginuity!$B$13=4)),
      AND(LEFT(P1351,5)="3-Way", OR(Enginuity!$B$13=3, Enginuity!$B$13=6)),
      AND(P1351="Inner Centre Jamb", OR(Enginuity!$B$13=4, Enginuity!$B$13=6)),
      AND(
        LEFT(P1351,5)&lt;&gt;"1-Way",
        LEFT(P1351,5)&lt;&gt;"2-Way",
        LEFT(P1351,5)&lt;&gt;"3-Way",
        P1351&lt;&gt;"Inner Centre Jamb"
      )
    ),
    IF(OR(Enginuity!$A$1="Frameless Glass",Enginuity!$A$1="Metal Work"),
      AND(TRIM(B1351)=TRIM(Enginuity!$A$17),TRIM(C1351)=TRIM(Enginuity!$A$18)),
      TRIM(B1351)=TRIM(Enginuity!$A$17)
    )
  ),
  ROW(),
  ""
)</f>
        <v/>
      </c>
    </row>
    <row r="1352" spans="1:21" x14ac:dyDescent="0.25">
      <c r="A1352" s="10" t="s">
        <v>253</v>
      </c>
      <c r="B1352" s="229" t="s">
        <v>331</v>
      </c>
      <c r="C1352" s="10" t="s">
        <v>715</v>
      </c>
      <c r="D1352" s="86" t="s">
        <v>536</v>
      </c>
      <c r="E1352" s="241" t="s">
        <v>703</v>
      </c>
      <c r="F1352" s="14" t="s">
        <v>474</v>
      </c>
      <c r="G1352" s="142"/>
      <c r="H1352" s="10"/>
      <c r="I1352" s="17"/>
      <c r="J1352" s="83"/>
      <c r="K1352" s="343"/>
      <c r="L1352" s="347"/>
      <c r="M1352" s="89"/>
      <c r="N1352" s="10"/>
      <c r="O1352" s="22">
        <v>280.35000000000002</v>
      </c>
      <c r="P1352" s="14" t="s">
        <v>474</v>
      </c>
      <c r="Q1352" s="22" t="str">
        <f>IF(AND(Enginuity!$A$21&lt;&gt;"", P1352=Enginuity!$A$21), 1, "")</f>
        <v/>
      </c>
      <c r="U1352" s="104" t="str">
        <f>IF(
  AND(
    TRIM(A1352)=TRIM(Enginuity!$A$1),
    TRIM(B1352)=TRIM(Enginuity!$A$17),
    Q1352&lt;&gt;"",
    Q1352&lt;&gt;0,
    OR(
      TRIM(C1352)=TRIM(Enginuity!$A$18),
      AND(UPPER(TRIM(M1352))="STD", TRIM(B1352)=TRIM(Enginuity!$A$17))
    ),
    OR(
      AND(LEFT(P1352,5)="1-Way", Enginuity!$B$13=1),
      AND(LEFT(P1352,5)="2-Way", OR(Enginuity!$B$13=2, Enginuity!$B$13=4)),
      AND(LEFT(P1352,5)="3-Way", OR(Enginuity!$B$13=3, Enginuity!$B$13=6)),
      AND(P1352="Inner Centre Jamb", OR(Enginuity!$B$13=4, Enginuity!$B$13=6)),
      AND(
        LEFT(P1352,5)&lt;&gt;"1-Way",
        LEFT(P1352,5)&lt;&gt;"2-Way",
        LEFT(P1352,5)&lt;&gt;"3-Way",
        P1352&lt;&gt;"Inner Centre Jamb"
      )
    ),
    IF(OR(Enginuity!$A$1="Frameless Glass",Enginuity!$A$1="Metal Work"),
      AND(TRIM(B1352)=TRIM(Enginuity!$A$17),TRIM(C1352)=TRIM(Enginuity!$A$18)),
      TRIM(B1352)=TRIM(Enginuity!$A$17)
    )
  ),
  ROW(),
  ""
)</f>
        <v/>
      </c>
    </row>
    <row r="1353" spans="1:21" x14ac:dyDescent="0.25">
      <c r="A1353" s="10" t="s">
        <v>253</v>
      </c>
      <c r="B1353" s="229" t="s">
        <v>331</v>
      </c>
      <c r="C1353" s="10" t="s">
        <v>715</v>
      </c>
      <c r="D1353" s="86" t="s">
        <v>536</v>
      </c>
      <c r="E1353" s="160" t="s">
        <v>479</v>
      </c>
      <c r="F1353" s="14" t="s">
        <v>720</v>
      </c>
      <c r="G1353" s="142" t="s">
        <v>382</v>
      </c>
      <c r="H1353" s="10"/>
      <c r="I1353" s="17"/>
      <c r="J1353" s="83"/>
      <c r="K1353" s="343"/>
      <c r="L1353" s="347"/>
      <c r="M1353" s="89"/>
      <c r="N1353" s="10"/>
      <c r="O1353" s="22">
        <v>162.75</v>
      </c>
      <c r="P1353" s="14" t="s">
        <v>720</v>
      </c>
      <c r="Q1353" s="22" t="str">
        <f>IF(AND(Enginuity!$A$21&lt;&gt;"", P1353=Enginuity!$A$21), 1, "")</f>
        <v/>
      </c>
      <c r="U1353" s="104" t="str">
        <f>IF(
  AND(
    TRIM(A1353)=TRIM(Enginuity!$A$1),
    TRIM(B1353)=TRIM(Enginuity!$A$17),
    Q1353&lt;&gt;"",
    Q1353&lt;&gt;0,
    OR(
      TRIM(C1353)=TRIM(Enginuity!$A$18),
      AND(UPPER(TRIM(M1353))="STD", TRIM(B1353)=TRIM(Enginuity!$A$17))
    ),
    OR(
      AND(LEFT(P1353,5)="1-Way", Enginuity!$B$13=1),
      AND(LEFT(P1353,5)="2-Way", OR(Enginuity!$B$13=2, Enginuity!$B$13=4)),
      AND(LEFT(P1353,5)="3-Way", OR(Enginuity!$B$13=3, Enginuity!$B$13=6)),
      AND(P1353="Inner Centre Jamb", OR(Enginuity!$B$13=4, Enginuity!$B$13=6)),
      AND(
        LEFT(P1353,5)&lt;&gt;"1-Way",
        LEFT(P1353,5)&lt;&gt;"2-Way",
        LEFT(P1353,5)&lt;&gt;"3-Way",
        P1353&lt;&gt;"Inner Centre Jamb"
      )
    ),
    IF(OR(Enginuity!$A$1="Frameless Glass",Enginuity!$A$1="Metal Work"),
      AND(TRIM(B1353)=TRIM(Enginuity!$A$17),TRIM(C1353)=TRIM(Enginuity!$A$18)),
      TRIM(B1353)=TRIM(Enginuity!$A$17)
    )
  ),
  ROW(),
  ""
)</f>
        <v/>
      </c>
    </row>
    <row r="1354" spans="1:21" x14ac:dyDescent="0.25">
      <c r="A1354" s="10" t="s">
        <v>253</v>
      </c>
      <c r="B1354" s="229" t="s">
        <v>331</v>
      </c>
      <c r="C1354" s="10" t="s">
        <v>715</v>
      </c>
      <c r="D1354" s="86" t="s">
        <v>536</v>
      </c>
      <c r="E1354" s="160" t="s">
        <v>479</v>
      </c>
      <c r="F1354" s="14" t="s">
        <v>721</v>
      </c>
      <c r="G1354" s="18" t="s">
        <v>384</v>
      </c>
      <c r="H1354" s="10"/>
      <c r="I1354" s="17"/>
      <c r="J1354" s="83"/>
      <c r="K1354" s="343"/>
      <c r="L1354" s="347"/>
      <c r="M1354" s="89"/>
      <c r="N1354" s="10"/>
      <c r="O1354" s="22">
        <v>174.3</v>
      </c>
      <c r="P1354" s="14" t="s">
        <v>721</v>
      </c>
      <c r="Q1354" s="22" t="str">
        <f>IF(AND(Enginuity!$A$21&lt;&gt;"", P1354=Enginuity!$A$21), 1, "")</f>
        <v/>
      </c>
      <c r="U1354" s="104" t="str">
        <f>IF(
  AND(
    TRIM(A1354)=TRIM(Enginuity!$A$1),
    TRIM(B1354)=TRIM(Enginuity!$A$17),
    Q1354&lt;&gt;"",
    Q1354&lt;&gt;0,
    OR(
      TRIM(C1354)=TRIM(Enginuity!$A$18),
      AND(UPPER(TRIM(M1354))="STD", TRIM(B1354)=TRIM(Enginuity!$A$17))
    ),
    OR(
      AND(LEFT(P1354,5)="1-Way", Enginuity!$B$13=1),
      AND(LEFT(P1354,5)="2-Way", OR(Enginuity!$B$13=2, Enginuity!$B$13=4)),
      AND(LEFT(P1354,5)="3-Way", OR(Enginuity!$B$13=3, Enginuity!$B$13=6)),
      AND(P1354="Inner Centre Jamb", OR(Enginuity!$B$13=4, Enginuity!$B$13=6)),
      AND(
        LEFT(P1354,5)&lt;&gt;"1-Way",
        LEFT(P1354,5)&lt;&gt;"2-Way",
        LEFT(P1354,5)&lt;&gt;"3-Way",
        P1354&lt;&gt;"Inner Centre Jamb"
      )
    ),
    IF(OR(Enginuity!$A$1="Frameless Glass",Enginuity!$A$1="Metal Work"),
      AND(TRIM(B1354)=TRIM(Enginuity!$A$17),TRIM(C1354)=TRIM(Enginuity!$A$18)),
      TRIM(B1354)=TRIM(Enginuity!$A$17)
    )
  ),
  ROW(),
  ""
)</f>
        <v/>
      </c>
    </row>
    <row r="1355" spans="1:21" x14ac:dyDescent="0.25">
      <c r="A1355" s="10" t="s">
        <v>253</v>
      </c>
      <c r="B1355" s="229" t="s">
        <v>331</v>
      </c>
      <c r="C1355" s="10" t="s">
        <v>715</v>
      </c>
      <c r="D1355" s="86" t="s">
        <v>536</v>
      </c>
      <c r="E1355" s="160" t="s">
        <v>479</v>
      </c>
      <c r="F1355" s="14" t="s">
        <v>722</v>
      </c>
      <c r="G1355" s="18"/>
      <c r="H1355" s="10"/>
      <c r="I1355" s="17"/>
      <c r="J1355" s="83"/>
      <c r="K1355" s="343"/>
      <c r="L1355" s="347"/>
      <c r="M1355" s="89"/>
      <c r="N1355" s="10"/>
      <c r="O1355" s="22">
        <v>203.7</v>
      </c>
      <c r="P1355" s="14" t="s">
        <v>722</v>
      </c>
      <c r="Q1355" s="22" t="str">
        <f>IF(AND(Enginuity!$A$21&lt;&gt;"", P1355=Enginuity!$A$21), 1, "")</f>
        <v/>
      </c>
      <c r="U1355" s="104" t="str">
        <f>IF(
  AND(
    TRIM(A1355)=TRIM(Enginuity!$A$1),
    TRIM(B1355)=TRIM(Enginuity!$A$17),
    Q1355&lt;&gt;"",
    Q1355&lt;&gt;0,
    OR(
      TRIM(C1355)=TRIM(Enginuity!$A$18),
      AND(UPPER(TRIM(M1355))="STD", TRIM(B1355)=TRIM(Enginuity!$A$17))
    ),
    OR(
      AND(LEFT(P1355,5)="1-Way", Enginuity!$B$13=1),
      AND(LEFT(P1355,5)="2-Way", OR(Enginuity!$B$13=2, Enginuity!$B$13=4)),
      AND(LEFT(P1355,5)="3-Way", OR(Enginuity!$B$13=3, Enginuity!$B$13=6)),
      AND(P1355="Inner Centre Jamb", OR(Enginuity!$B$13=4, Enginuity!$B$13=6)),
      AND(
        LEFT(P1355,5)&lt;&gt;"1-Way",
        LEFT(P1355,5)&lt;&gt;"2-Way",
        LEFT(P1355,5)&lt;&gt;"3-Way",
        P1355&lt;&gt;"Inner Centre Jamb"
      )
    ),
    IF(OR(Enginuity!$A$1="Frameless Glass",Enginuity!$A$1="Metal Work"),
      AND(TRIM(B1355)=TRIM(Enginuity!$A$17),TRIM(C1355)=TRIM(Enginuity!$A$18)),
      TRIM(B1355)=TRIM(Enginuity!$A$17)
    )
  ),
  ROW(),
  ""
)</f>
        <v/>
      </c>
    </row>
    <row r="1356" spans="1:21" x14ac:dyDescent="0.25">
      <c r="A1356" s="10" t="s">
        <v>253</v>
      </c>
      <c r="B1356" s="229" t="s">
        <v>331</v>
      </c>
      <c r="C1356" s="10" t="s">
        <v>715</v>
      </c>
      <c r="D1356" s="86" t="s">
        <v>536</v>
      </c>
      <c r="E1356" s="160" t="s">
        <v>479</v>
      </c>
      <c r="F1356" s="21" t="s">
        <v>723</v>
      </c>
      <c r="G1356" s="17"/>
      <c r="H1356" s="10"/>
      <c r="I1356" s="17"/>
      <c r="J1356" s="83"/>
      <c r="K1356" s="343"/>
      <c r="L1356" s="347"/>
      <c r="M1356" s="89"/>
      <c r="N1356" s="10"/>
      <c r="O1356" s="22">
        <v>221.55</v>
      </c>
      <c r="P1356" s="21" t="s">
        <v>723</v>
      </c>
      <c r="Q1356" s="22" t="str">
        <f>IF(AND(Enginuity!$A$21&lt;&gt;"", P1356=Enginuity!$A$21), 1, "")</f>
        <v/>
      </c>
      <c r="U1356" s="104" t="str">
        <f>IF(
  AND(
    TRIM(A1356)=TRIM(Enginuity!$A$1),
    TRIM(B1356)=TRIM(Enginuity!$A$17),
    Q1356&lt;&gt;"",
    Q1356&lt;&gt;0,
    OR(
      TRIM(C1356)=TRIM(Enginuity!$A$18),
      AND(UPPER(TRIM(M1356))="STD", TRIM(B1356)=TRIM(Enginuity!$A$17))
    ),
    OR(
      AND(LEFT(P1356,5)="1-Way", Enginuity!$B$13=1),
      AND(LEFT(P1356,5)="2-Way", OR(Enginuity!$B$13=2, Enginuity!$B$13=4)),
      AND(LEFT(P1356,5)="3-Way", OR(Enginuity!$B$13=3, Enginuity!$B$13=6)),
      AND(P1356="Inner Centre Jamb", OR(Enginuity!$B$13=4, Enginuity!$B$13=6)),
      AND(
        LEFT(P1356,5)&lt;&gt;"1-Way",
        LEFT(P1356,5)&lt;&gt;"2-Way",
        LEFT(P1356,5)&lt;&gt;"3-Way",
        P1356&lt;&gt;"Inner Centre Jamb"
      )
    ),
    IF(OR(Enginuity!$A$1="Frameless Glass",Enginuity!$A$1="Metal Work"),
      AND(TRIM(B1356)=TRIM(Enginuity!$A$17),TRIM(C1356)=TRIM(Enginuity!$A$18)),
      TRIM(B1356)=TRIM(Enginuity!$A$17)
    )
  ),
  ROW(),
  ""
)</f>
        <v/>
      </c>
    </row>
    <row r="1357" spans="1:21" x14ac:dyDescent="0.25">
      <c r="A1357" s="10" t="s">
        <v>253</v>
      </c>
      <c r="B1357" s="229" t="s">
        <v>331</v>
      </c>
      <c r="C1357" s="10" t="s">
        <v>715</v>
      </c>
      <c r="D1357" s="86" t="s">
        <v>536</v>
      </c>
      <c r="E1357" s="160" t="s">
        <v>479</v>
      </c>
      <c r="F1357" s="106" t="s">
        <v>724</v>
      </c>
      <c r="G1357" s="17"/>
      <c r="H1357" s="10"/>
      <c r="I1357" s="17"/>
      <c r="J1357" s="83"/>
      <c r="K1357" s="343"/>
      <c r="L1357" s="347"/>
      <c r="M1357" s="89"/>
      <c r="N1357" s="10"/>
      <c r="O1357" s="22">
        <v>239.4</v>
      </c>
      <c r="P1357" s="106" t="s">
        <v>724</v>
      </c>
      <c r="Q1357" s="22" t="str">
        <f>IF(AND(Enginuity!$A$21&lt;&gt;"", P1357=Enginuity!$A$21), 1, "")</f>
        <v/>
      </c>
      <c r="U1357" s="104" t="str">
        <f>IF(
  AND(
    TRIM(A1357)=TRIM(Enginuity!$A$1),
    TRIM(B1357)=TRIM(Enginuity!$A$17),
    Q1357&lt;&gt;"",
    Q1357&lt;&gt;0,
    OR(
      TRIM(C1357)=TRIM(Enginuity!$A$18),
      AND(UPPER(TRIM(M1357))="STD", TRIM(B1357)=TRIM(Enginuity!$A$17))
    ),
    OR(
      AND(LEFT(P1357,5)="1-Way", Enginuity!$B$13=1),
      AND(LEFT(P1357,5)="2-Way", OR(Enginuity!$B$13=2, Enginuity!$B$13=4)),
      AND(LEFT(P1357,5)="3-Way", OR(Enginuity!$B$13=3, Enginuity!$B$13=6)),
      AND(P1357="Inner Centre Jamb", OR(Enginuity!$B$13=4, Enginuity!$B$13=6)),
      AND(
        LEFT(P1357,5)&lt;&gt;"1-Way",
        LEFT(P1357,5)&lt;&gt;"2-Way",
        LEFT(P1357,5)&lt;&gt;"3-Way",
        P1357&lt;&gt;"Inner Centre Jamb"
      )
    ),
    IF(OR(Enginuity!$A$1="Frameless Glass",Enginuity!$A$1="Metal Work"),
      AND(TRIM(B1357)=TRIM(Enginuity!$A$17),TRIM(C1357)=TRIM(Enginuity!$A$18)),
      TRIM(B1357)=TRIM(Enginuity!$A$17)
    )
  ),
  ROW(),
  ""
)</f>
        <v/>
      </c>
    </row>
    <row r="1358" spans="1:21" x14ac:dyDescent="0.25">
      <c r="A1358" s="10" t="s">
        <v>253</v>
      </c>
      <c r="B1358" s="229" t="s">
        <v>331</v>
      </c>
      <c r="C1358" s="10" t="s">
        <v>715</v>
      </c>
      <c r="D1358" s="86" t="s">
        <v>536</v>
      </c>
      <c r="E1358" s="160" t="s">
        <v>479</v>
      </c>
      <c r="F1358" s="21" t="s">
        <v>725</v>
      </c>
      <c r="G1358" s="142"/>
      <c r="H1358" s="10"/>
      <c r="I1358" s="17"/>
      <c r="J1358" s="83"/>
      <c r="K1358" s="343"/>
      <c r="L1358" s="347"/>
      <c r="M1358" s="89"/>
      <c r="N1358" s="10"/>
      <c r="O1358" s="22">
        <v>280.35000000000002</v>
      </c>
      <c r="P1358" s="21" t="s">
        <v>725</v>
      </c>
      <c r="Q1358" s="22" t="str">
        <f>IF(AND(Enginuity!$A$21&lt;&gt;"", P1358=Enginuity!$A$21), 1, "")</f>
        <v/>
      </c>
      <c r="U1358" s="104" t="str">
        <f>IF(
  AND(
    TRIM(A1358)=TRIM(Enginuity!$A$1),
    TRIM(B1358)=TRIM(Enginuity!$A$17),
    Q1358&lt;&gt;"",
    Q1358&lt;&gt;0,
    OR(
      TRIM(C1358)=TRIM(Enginuity!$A$18),
      AND(UPPER(TRIM(M1358))="STD", TRIM(B1358)=TRIM(Enginuity!$A$17))
    ),
    OR(
      AND(LEFT(P1358,5)="1-Way", Enginuity!$B$13=1),
      AND(LEFT(P1358,5)="2-Way", OR(Enginuity!$B$13=2, Enginuity!$B$13=4)),
      AND(LEFT(P1358,5)="3-Way", OR(Enginuity!$B$13=3, Enginuity!$B$13=6)),
      AND(P1358="Inner Centre Jamb", OR(Enginuity!$B$13=4, Enginuity!$B$13=6)),
      AND(
        LEFT(P1358,5)&lt;&gt;"1-Way",
        LEFT(P1358,5)&lt;&gt;"2-Way",
        LEFT(P1358,5)&lt;&gt;"3-Way",
        P1358&lt;&gt;"Inner Centre Jamb"
      )
    ),
    IF(OR(Enginuity!$A$1="Frameless Glass",Enginuity!$A$1="Metal Work"),
      AND(TRIM(B1358)=TRIM(Enginuity!$A$17),TRIM(C1358)=TRIM(Enginuity!$A$18)),
      TRIM(B1358)=TRIM(Enginuity!$A$17)
    )
  ),
  ROW(),
  ""
)</f>
        <v/>
      </c>
    </row>
    <row r="1359" spans="1:21" x14ac:dyDescent="0.25">
      <c r="A1359" s="10" t="s">
        <v>253</v>
      </c>
      <c r="B1359" s="229" t="s">
        <v>331</v>
      </c>
      <c r="C1359" s="10" t="s">
        <v>715</v>
      </c>
      <c r="D1359" s="86" t="s">
        <v>536</v>
      </c>
      <c r="E1359" s="159" t="s">
        <v>704</v>
      </c>
      <c r="F1359" s="14" t="s">
        <v>726</v>
      </c>
      <c r="G1359" s="142" t="s">
        <v>382</v>
      </c>
      <c r="H1359" s="10"/>
      <c r="I1359" s="17"/>
      <c r="J1359" s="83"/>
      <c r="K1359" s="343"/>
      <c r="L1359" s="347"/>
      <c r="M1359" s="89"/>
      <c r="N1359" s="10"/>
      <c r="O1359" s="22">
        <v>197.4</v>
      </c>
      <c r="P1359" s="14" t="s">
        <v>726</v>
      </c>
      <c r="Q1359" s="22" t="str">
        <f>IF(AND(Enginuity!$A$21&lt;&gt;"", P1359=Enginuity!$A$21), 1, "")</f>
        <v/>
      </c>
      <c r="U1359" s="104" t="str">
        <f>IF(
  AND(
    TRIM(A1359)=TRIM(Enginuity!$A$1),
    TRIM(B1359)=TRIM(Enginuity!$A$17),
    Q1359&lt;&gt;"",
    Q1359&lt;&gt;0,
    OR(
      TRIM(C1359)=TRIM(Enginuity!$A$18),
      AND(UPPER(TRIM(M1359))="STD", TRIM(B1359)=TRIM(Enginuity!$A$17))
    ),
    OR(
      AND(LEFT(P1359,5)="1-Way", Enginuity!$B$13=1),
      AND(LEFT(P1359,5)="2-Way", OR(Enginuity!$B$13=2, Enginuity!$B$13=4)),
      AND(LEFT(P1359,5)="3-Way", OR(Enginuity!$B$13=3, Enginuity!$B$13=6)),
      AND(P1359="Inner Centre Jamb", OR(Enginuity!$B$13=4, Enginuity!$B$13=6)),
      AND(
        LEFT(P1359,5)&lt;&gt;"1-Way",
        LEFT(P1359,5)&lt;&gt;"2-Way",
        LEFT(P1359,5)&lt;&gt;"3-Way",
        P1359&lt;&gt;"Inner Centre Jamb"
      )
    ),
    IF(OR(Enginuity!$A$1="Frameless Glass",Enginuity!$A$1="Metal Work"),
      AND(TRIM(B1359)=TRIM(Enginuity!$A$17),TRIM(C1359)=TRIM(Enginuity!$A$18)),
      TRIM(B1359)=TRIM(Enginuity!$A$17)
    )
  ),
  ROW(),
  ""
)</f>
        <v/>
      </c>
    </row>
    <row r="1360" spans="1:21" x14ac:dyDescent="0.25">
      <c r="A1360" s="10" t="s">
        <v>253</v>
      </c>
      <c r="B1360" s="229" t="s">
        <v>331</v>
      </c>
      <c r="C1360" s="10" t="s">
        <v>715</v>
      </c>
      <c r="D1360" s="86" t="s">
        <v>536</v>
      </c>
      <c r="E1360" s="159" t="s">
        <v>704</v>
      </c>
      <c r="F1360" s="14" t="s">
        <v>727</v>
      </c>
      <c r="G1360" s="18" t="s">
        <v>384</v>
      </c>
      <c r="H1360" s="10"/>
      <c r="I1360" s="17"/>
      <c r="J1360" s="83"/>
      <c r="K1360" s="343"/>
      <c r="L1360" s="347"/>
      <c r="M1360" s="89"/>
      <c r="N1360" s="10"/>
      <c r="O1360" s="22">
        <v>212.1</v>
      </c>
      <c r="P1360" s="14" t="s">
        <v>727</v>
      </c>
      <c r="Q1360" s="22" t="str">
        <f>IF(AND(Enginuity!$A$21&lt;&gt;"", P1360=Enginuity!$A$21), 1, "")</f>
        <v/>
      </c>
      <c r="U1360" s="104" t="str">
        <f>IF(
  AND(
    TRIM(A1360)=TRIM(Enginuity!$A$1),
    TRIM(B1360)=TRIM(Enginuity!$A$17),
    Q1360&lt;&gt;"",
    Q1360&lt;&gt;0,
    OR(
      TRIM(C1360)=TRIM(Enginuity!$A$18),
      AND(UPPER(TRIM(M1360))="STD", TRIM(B1360)=TRIM(Enginuity!$A$17))
    ),
    OR(
      AND(LEFT(P1360,5)="1-Way", Enginuity!$B$13=1),
      AND(LEFT(P1360,5)="2-Way", OR(Enginuity!$B$13=2, Enginuity!$B$13=4)),
      AND(LEFT(P1360,5)="3-Way", OR(Enginuity!$B$13=3, Enginuity!$B$13=6)),
      AND(P1360="Inner Centre Jamb", OR(Enginuity!$B$13=4, Enginuity!$B$13=6)),
      AND(
        LEFT(P1360,5)&lt;&gt;"1-Way",
        LEFT(P1360,5)&lt;&gt;"2-Way",
        LEFT(P1360,5)&lt;&gt;"3-Way",
        P1360&lt;&gt;"Inner Centre Jamb"
      )
    ),
    IF(OR(Enginuity!$A$1="Frameless Glass",Enginuity!$A$1="Metal Work"),
      AND(TRIM(B1360)=TRIM(Enginuity!$A$17),TRIM(C1360)=TRIM(Enginuity!$A$18)),
      TRIM(B1360)=TRIM(Enginuity!$A$17)
    )
  ),
  ROW(),
  ""
)</f>
        <v/>
      </c>
    </row>
    <row r="1361" spans="1:21" x14ac:dyDescent="0.25">
      <c r="A1361" s="10" t="s">
        <v>253</v>
      </c>
      <c r="B1361" s="229" t="s">
        <v>331</v>
      </c>
      <c r="C1361" s="10" t="s">
        <v>715</v>
      </c>
      <c r="D1361" s="86" t="s">
        <v>536</v>
      </c>
      <c r="E1361" s="159" t="s">
        <v>704</v>
      </c>
      <c r="F1361" s="14" t="s">
        <v>728</v>
      </c>
      <c r="G1361" s="18"/>
      <c r="H1361" s="10"/>
      <c r="I1361" s="17"/>
      <c r="J1361" s="83"/>
      <c r="K1361" s="343"/>
      <c r="L1361" s="347"/>
      <c r="M1361" s="89"/>
      <c r="N1361" s="10"/>
      <c r="O1361" s="22">
        <v>234.15</v>
      </c>
      <c r="P1361" s="14" t="s">
        <v>728</v>
      </c>
      <c r="Q1361" s="22" t="str">
        <f>IF(AND(Enginuity!$A$21&lt;&gt;"", P1361=Enginuity!$A$21), 1, "")</f>
        <v/>
      </c>
      <c r="U1361" s="104" t="str">
        <f>IF(
  AND(
    TRIM(A1361)=TRIM(Enginuity!$A$1),
    TRIM(B1361)=TRIM(Enginuity!$A$17),
    Q1361&lt;&gt;"",
    Q1361&lt;&gt;0,
    OR(
      TRIM(C1361)=TRIM(Enginuity!$A$18),
      AND(UPPER(TRIM(M1361))="STD", TRIM(B1361)=TRIM(Enginuity!$A$17))
    ),
    OR(
      AND(LEFT(P1361,5)="1-Way", Enginuity!$B$13=1),
      AND(LEFT(P1361,5)="2-Way", OR(Enginuity!$B$13=2, Enginuity!$B$13=4)),
      AND(LEFT(P1361,5)="3-Way", OR(Enginuity!$B$13=3, Enginuity!$B$13=6)),
      AND(P1361="Inner Centre Jamb", OR(Enginuity!$B$13=4, Enginuity!$B$13=6)),
      AND(
        LEFT(P1361,5)&lt;&gt;"1-Way",
        LEFT(P1361,5)&lt;&gt;"2-Way",
        LEFT(P1361,5)&lt;&gt;"3-Way",
        P1361&lt;&gt;"Inner Centre Jamb"
      )
    ),
    IF(OR(Enginuity!$A$1="Frameless Glass",Enginuity!$A$1="Metal Work"),
      AND(TRIM(B1361)=TRIM(Enginuity!$A$17),TRIM(C1361)=TRIM(Enginuity!$A$18)),
      TRIM(B1361)=TRIM(Enginuity!$A$17)
    )
  ),
  ROW(),
  ""
)</f>
        <v/>
      </c>
    </row>
    <row r="1362" spans="1:21" x14ac:dyDescent="0.25">
      <c r="A1362" s="10" t="s">
        <v>253</v>
      </c>
      <c r="B1362" s="229" t="s">
        <v>331</v>
      </c>
      <c r="C1362" s="10" t="s">
        <v>715</v>
      </c>
      <c r="D1362" s="86" t="s">
        <v>536</v>
      </c>
      <c r="E1362" s="159" t="s">
        <v>704</v>
      </c>
      <c r="F1362" s="36" t="s">
        <v>729</v>
      </c>
      <c r="G1362" s="17"/>
      <c r="H1362" s="10"/>
      <c r="I1362" s="17"/>
      <c r="J1362" s="83"/>
      <c r="K1362" s="343"/>
      <c r="L1362" s="347"/>
      <c r="M1362" s="12"/>
      <c r="N1362" s="10"/>
      <c r="O1362" s="22">
        <v>247.8</v>
      </c>
      <c r="P1362" s="36" t="s">
        <v>729</v>
      </c>
      <c r="Q1362" s="22" t="str">
        <f>IF(AND(Enginuity!$A$21&lt;&gt;"", P1362=Enginuity!$A$21), 1, "")</f>
        <v/>
      </c>
      <c r="U1362" s="104" t="str">
        <f>IF(
  AND(
    TRIM(A1362)=TRIM(Enginuity!$A$1),
    TRIM(B1362)=TRIM(Enginuity!$A$17),
    Q1362&lt;&gt;"",
    Q1362&lt;&gt;0,
    OR(
      TRIM(C1362)=TRIM(Enginuity!$A$18),
      AND(UPPER(TRIM(M1362))="STD", TRIM(B1362)=TRIM(Enginuity!$A$17))
    ),
    OR(
      AND(LEFT(P1362,5)="1-Way", Enginuity!$B$13=1),
      AND(LEFT(P1362,5)="2-Way", OR(Enginuity!$B$13=2, Enginuity!$B$13=4)),
      AND(LEFT(P1362,5)="3-Way", OR(Enginuity!$B$13=3, Enginuity!$B$13=6)),
      AND(P1362="Inner Centre Jamb", OR(Enginuity!$B$13=4, Enginuity!$B$13=6)),
      AND(
        LEFT(P1362,5)&lt;&gt;"1-Way",
        LEFT(P1362,5)&lt;&gt;"2-Way",
        LEFT(P1362,5)&lt;&gt;"3-Way",
        P1362&lt;&gt;"Inner Centre Jamb"
      )
    ),
    IF(OR(Enginuity!$A$1="Frameless Glass",Enginuity!$A$1="Metal Work"),
      AND(TRIM(B1362)=TRIM(Enginuity!$A$17),TRIM(C1362)=TRIM(Enginuity!$A$18)),
      TRIM(B1362)=TRIM(Enginuity!$A$17)
    )
  ),
  ROW(),
  ""
)</f>
        <v/>
      </c>
    </row>
    <row r="1363" spans="1:21" x14ac:dyDescent="0.25">
      <c r="A1363" s="10" t="s">
        <v>253</v>
      </c>
      <c r="B1363" s="229" t="s">
        <v>331</v>
      </c>
      <c r="C1363" s="10" t="s">
        <v>715</v>
      </c>
      <c r="D1363" s="86" t="s">
        <v>536</v>
      </c>
      <c r="E1363" s="159" t="s">
        <v>704</v>
      </c>
      <c r="F1363" s="14" t="s">
        <v>693</v>
      </c>
      <c r="G1363" s="17"/>
      <c r="H1363" s="10"/>
      <c r="I1363" s="17"/>
      <c r="J1363" s="83"/>
      <c r="K1363" s="343"/>
      <c r="L1363" s="347"/>
      <c r="M1363" s="12"/>
      <c r="N1363" s="10"/>
      <c r="O1363" s="22">
        <v>269.85000000000002</v>
      </c>
      <c r="P1363" s="14" t="s">
        <v>693</v>
      </c>
      <c r="Q1363" s="22" t="str">
        <f>IF(AND(Enginuity!$A$21&lt;&gt;"", P1363=Enginuity!$A$21), 1, "")</f>
        <v/>
      </c>
      <c r="U1363" s="104" t="str">
        <f>IF(
  AND(
    TRIM(A1363)=TRIM(Enginuity!$A$1),
    TRIM(B1363)=TRIM(Enginuity!$A$17),
    Q1363&lt;&gt;"",
    Q1363&lt;&gt;0,
    OR(
      TRIM(C1363)=TRIM(Enginuity!$A$18),
      AND(UPPER(TRIM(M1363))="STD", TRIM(B1363)=TRIM(Enginuity!$A$17))
    ),
    OR(
      AND(LEFT(P1363,5)="1-Way", Enginuity!$B$13=1),
      AND(LEFT(P1363,5)="2-Way", OR(Enginuity!$B$13=2, Enginuity!$B$13=4)),
      AND(LEFT(P1363,5)="3-Way", OR(Enginuity!$B$13=3, Enginuity!$B$13=6)),
      AND(P1363="Inner Centre Jamb", OR(Enginuity!$B$13=4, Enginuity!$B$13=6)),
      AND(
        LEFT(P1363,5)&lt;&gt;"1-Way",
        LEFT(P1363,5)&lt;&gt;"2-Way",
        LEFT(P1363,5)&lt;&gt;"3-Way",
        P1363&lt;&gt;"Inner Centre Jamb"
      )
    ),
    IF(OR(Enginuity!$A$1="Frameless Glass",Enginuity!$A$1="Metal Work"),
      AND(TRIM(B1363)=TRIM(Enginuity!$A$17),TRIM(C1363)=TRIM(Enginuity!$A$18)),
      TRIM(B1363)=TRIM(Enginuity!$A$17)
    )
  ),
  ROW(),
  ""
)</f>
        <v/>
      </c>
    </row>
    <row r="1364" spans="1:21" x14ac:dyDescent="0.25">
      <c r="A1364" s="10" t="s">
        <v>253</v>
      </c>
      <c r="B1364" s="229" t="s">
        <v>331</v>
      </c>
      <c r="C1364" s="10" t="s">
        <v>715</v>
      </c>
      <c r="D1364" s="86" t="s">
        <v>536</v>
      </c>
      <c r="E1364" s="159" t="s">
        <v>704</v>
      </c>
      <c r="F1364" s="14" t="s">
        <v>694</v>
      </c>
      <c r="G1364" s="17"/>
      <c r="H1364" s="10"/>
      <c r="I1364" s="17"/>
      <c r="J1364" s="83"/>
      <c r="K1364" s="343"/>
      <c r="L1364" s="347"/>
      <c r="M1364" s="12"/>
      <c r="N1364" s="10"/>
      <c r="O1364" s="22">
        <v>290.85000000000002</v>
      </c>
      <c r="P1364" s="14" t="s">
        <v>694</v>
      </c>
      <c r="Q1364" s="22" t="str">
        <f>IF(AND(Enginuity!$A$21&lt;&gt;"", P1364=Enginuity!$A$21), 1, "")</f>
        <v/>
      </c>
      <c r="U1364" s="104" t="str">
        <f>IF(
  AND(
    TRIM(A1364)=TRIM(Enginuity!$A$1),
    TRIM(B1364)=TRIM(Enginuity!$A$17),
    Q1364&lt;&gt;"",
    Q1364&lt;&gt;0,
    OR(
      TRIM(C1364)=TRIM(Enginuity!$A$18),
      AND(UPPER(TRIM(M1364))="STD", TRIM(B1364)=TRIM(Enginuity!$A$17))
    ),
    OR(
      AND(LEFT(P1364,5)="1-Way", Enginuity!$B$13=1),
      AND(LEFT(P1364,5)="2-Way", OR(Enginuity!$B$13=2, Enginuity!$B$13=4)),
      AND(LEFT(P1364,5)="3-Way", OR(Enginuity!$B$13=3, Enginuity!$B$13=6)),
      AND(P1364="Inner Centre Jamb", OR(Enginuity!$B$13=4, Enginuity!$B$13=6)),
      AND(
        LEFT(P1364,5)&lt;&gt;"1-Way",
        LEFT(P1364,5)&lt;&gt;"2-Way",
        LEFT(P1364,5)&lt;&gt;"3-Way",
        P1364&lt;&gt;"Inner Centre Jamb"
      )
    ),
    IF(OR(Enginuity!$A$1="Frameless Glass",Enginuity!$A$1="Metal Work"),
      AND(TRIM(B1364)=TRIM(Enginuity!$A$17),TRIM(C1364)=TRIM(Enginuity!$A$18)),
      TRIM(B1364)=TRIM(Enginuity!$A$17)
    )
  ),
  ROW(),
  ""
)</f>
        <v/>
      </c>
    </row>
    <row r="1365" spans="1:21" x14ac:dyDescent="0.25">
      <c r="A1365" s="10" t="s">
        <v>253</v>
      </c>
      <c r="B1365" s="229" t="s">
        <v>331</v>
      </c>
      <c r="C1365" s="10" t="s">
        <v>715</v>
      </c>
      <c r="D1365" s="86" t="s">
        <v>536</v>
      </c>
      <c r="E1365" s="159" t="s">
        <v>704</v>
      </c>
      <c r="F1365" s="106" t="s">
        <v>730</v>
      </c>
      <c r="G1365" s="17"/>
      <c r="H1365" s="10"/>
      <c r="I1365" s="17"/>
      <c r="J1365" s="83"/>
      <c r="K1365" s="343"/>
      <c r="L1365" s="347"/>
      <c r="M1365" s="89"/>
      <c r="N1365" s="10"/>
      <c r="O1365" s="22">
        <v>341.25</v>
      </c>
      <c r="P1365" s="106" t="s">
        <v>730</v>
      </c>
      <c r="Q1365" s="22" t="str">
        <f>IF(AND(Enginuity!$A$21&lt;&gt;"", P1365=Enginuity!$A$21), 1, "")</f>
        <v/>
      </c>
      <c r="U1365" s="104" t="str">
        <f>IF(
  AND(
    TRIM(A1365)=TRIM(Enginuity!$A$1),
    TRIM(B1365)=TRIM(Enginuity!$A$17),
    Q1365&lt;&gt;"",
    Q1365&lt;&gt;0,
    OR(
      TRIM(C1365)=TRIM(Enginuity!$A$18),
      AND(UPPER(TRIM(M1365))="STD", TRIM(B1365)=TRIM(Enginuity!$A$17))
    ),
    OR(
      AND(LEFT(P1365,5)="1-Way", Enginuity!$B$13=1),
      AND(LEFT(P1365,5)="2-Way", OR(Enginuity!$B$13=2, Enginuity!$B$13=4)),
      AND(LEFT(P1365,5)="3-Way", OR(Enginuity!$B$13=3, Enginuity!$B$13=6)),
      AND(P1365="Inner Centre Jamb", OR(Enginuity!$B$13=4, Enginuity!$B$13=6)),
      AND(
        LEFT(P1365,5)&lt;&gt;"1-Way",
        LEFT(P1365,5)&lt;&gt;"2-Way",
        LEFT(P1365,5)&lt;&gt;"3-Way",
        P1365&lt;&gt;"Inner Centre Jamb"
      )
    ),
    IF(OR(Enginuity!$A$1="Frameless Glass",Enginuity!$A$1="Metal Work"),
      AND(TRIM(B1365)=TRIM(Enginuity!$A$17),TRIM(C1365)=TRIM(Enginuity!$A$18)),
      TRIM(B1365)=TRIM(Enginuity!$A$17)
    )
  ),
  ROW(),
  ""
)</f>
        <v/>
      </c>
    </row>
    <row r="1366" spans="1:21" x14ac:dyDescent="0.25">
      <c r="A1366" s="10" t="s">
        <v>253</v>
      </c>
      <c r="B1366" s="229" t="s">
        <v>331</v>
      </c>
      <c r="C1366" s="10" t="s">
        <v>715</v>
      </c>
      <c r="D1366" s="86" t="s">
        <v>536</v>
      </c>
      <c r="E1366" s="241" t="s">
        <v>705</v>
      </c>
      <c r="F1366" s="14" t="s">
        <v>731</v>
      </c>
      <c r="G1366" s="142" t="s">
        <v>382</v>
      </c>
      <c r="H1366" s="10"/>
      <c r="I1366" s="17"/>
      <c r="J1366" s="83"/>
      <c r="K1366" s="343"/>
      <c r="L1366" s="347"/>
      <c r="M1366" s="12"/>
      <c r="N1366" s="10"/>
      <c r="O1366" s="22">
        <v>223.65</v>
      </c>
      <c r="P1366" s="14" t="s">
        <v>731</v>
      </c>
      <c r="Q1366" s="22" t="str">
        <f>IF(AND(Enginuity!$A$21&lt;&gt;"", P1366=Enginuity!$A$21), 1, "")</f>
        <v/>
      </c>
      <c r="U1366" s="104" t="str">
        <f>IF(
  AND(
    TRIM(A1366)=TRIM(Enginuity!$A$1),
    TRIM(B1366)=TRIM(Enginuity!$A$17),
    Q1366&lt;&gt;"",
    Q1366&lt;&gt;0,
    OR(
      TRIM(C1366)=TRIM(Enginuity!$A$18),
      AND(UPPER(TRIM(M1366))="STD", TRIM(B1366)=TRIM(Enginuity!$A$17))
    ),
    OR(
      AND(LEFT(P1366,5)="1-Way", Enginuity!$B$13=1),
      AND(LEFT(P1366,5)="2-Way", OR(Enginuity!$B$13=2, Enginuity!$B$13=4)),
      AND(LEFT(P1366,5)="3-Way", OR(Enginuity!$B$13=3, Enginuity!$B$13=6)),
      AND(P1366="Inner Centre Jamb", OR(Enginuity!$B$13=4, Enginuity!$B$13=6)),
      AND(
        LEFT(P1366,5)&lt;&gt;"1-Way",
        LEFT(P1366,5)&lt;&gt;"2-Way",
        LEFT(P1366,5)&lt;&gt;"3-Way",
        P1366&lt;&gt;"Inner Centre Jamb"
      )
    ),
    IF(OR(Enginuity!$A$1="Frameless Glass",Enginuity!$A$1="Metal Work"),
      AND(TRIM(B1366)=TRIM(Enginuity!$A$17),TRIM(C1366)=TRIM(Enginuity!$A$18)),
      TRIM(B1366)=TRIM(Enginuity!$A$17)
    )
  ),
  ROW(),
  ""
)</f>
        <v/>
      </c>
    </row>
    <row r="1367" spans="1:21" x14ac:dyDescent="0.25">
      <c r="A1367" s="10" t="s">
        <v>253</v>
      </c>
      <c r="B1367" s="229" t="s">
        <v>331</v>
      </c>
      <c r="C1367" s="10" t="s">
        <v>715</v>
      </c>
      <c r="D1367" s="86" t="s">
        <v>536</v>
      </c>
      <c r="E1367" s="241" t="s">
        <v>705</v>
      </c>
      <c r="F1367" s="14" t="s">
        <v>732</v>
      </c>
      <c r="G1367" s="18" t="s">
        <v>384</v>
      </c>
      <c r="H1367" s="10"/>
      <c r="I1367" s="17"/>
      <c r="J1367" s="83"/>
      <c r="K1367" s="343"/>
      <c r="L1367" s="347"/>
      <c r="M1367" s="12"/>
      <c r="N1367" s="10"/>
      <c r="O1367" s="22">
        <v>250.95</v>
      </c>
      <c r="P1367" s="14" t="s">
        <v>732</v>
      </c>
      <c r="Q1367" s="22" t="str">
        <f>IF(AND(Enginuity!$A$21&lt;&gt;"", P1367=Enginuity!$A$21), 1, "")</f>
        <v/>
      </c>
      <c r="U1367" s="104" t="str">
        <f>IF(
  AND(
    TRIM(A1367)=TRIM(Enginuity!$A$1),
    TRIM(B1367)=TRIM(Enginuity!$A$17),
    Q1367&lt;&gt;"",
    Q1367&lt;&gt;0,
    OR(
      TRIM(C1367)=TRIM(Enginuity!$A$18),
      AND(UPPER(TRIM(M1367))="STD", TRIM(B1367)=TRIM(Enginuity!$A$17))
    ),
    OR(
      AND(LEFT(P1367,5)="1-Way", Enginuity!$B$13=1),
      AND(LEFT(P1367,5)="2-Way", OR(Enginuity!$B$13=2, Enginuity!$B$13=4)),
      AND(LEFT(P1367,5)="3-Way", OR(Enginuity!$B$13=3, Enginuity!$B$13=6)),
      AND(P1367="Inner Centre Jamb", OR(Enginuity!$B$13=4, Enginuity!$B$13=6)),
      AND(
        LEFT(P1367,5)&lt;&gt;"1-Way",
        LEFT(P1367,5)&lt;&gt;"2-Way",
        LEFT(P1367,5)&lt;&gt;"3-Way",
        P1367&lt;&gt;"Inner Centre Jamb"
      )
    ),
    IF(OR(Enginuity!$A$1="Frameless Glass",Enginuity!$A$1="Metal Work"),
      AND(TRIM(B1367)=TRIM(Enginuity!$A$17),TRIM(C1367)=TRIM(Enginuity!$A$18)),
      TRIM(B1367)=TRIM(Enginuity!$A$17)
    )
  ),
  ROW(),
  ""
)</f>
        <v/>
      </c>
    </row>
    <row r="1368" spans="1:21" x14ac:dyDescent="0.25">
      <c r="A1368" s="10" t="s">
        <v>253</v>
      </c>
      <c r="B1368" s="229" t="s">
        <v>331</v>
      </c>
      <c r="C1368" s="10" t="s">
        <v>715</v>
      </c>
      <c r="D1368" s="86" t="s">
        <v>536</v>
      </c>
      <c r="E1368" s="241" t="s">
        <v>705</v>
      </c>
      <c r="F1368" s="14" t="s">
        <v>733</v>
      </c>
      <c r="G1368" s="18"/>
      <c r="H1368" s="10"/>
      <c r="I1368" s="17"/>
      <c r="J1368" s="83"/>
      <c r="K1368" s="343"/>
      <c r="L1368" s="347"/>
      <c r="M1368" s="12"/>
      <c r="N1368" s="10"/>
      <c r="O1368" s="22">
        <v>285.60000000000002</v>
      </c>
      <c r="P1368" s="14" t="s">
        <v>733</v>
      </c>
      <c r="Q1368" s="22" t="str">
        <f>IF(AND(Enginuity!$A$21&lt;&gt;"", P1368=Enginuity!$A$21), 1, "")</f>
        <v/>
      </c>
      <c r="U1368" s="104" t="str">
        <f>IF(
  AND(
    TRIM(A1368)=TRIM(Enginuity!$A$1),
    TRIM(B1368)=TRIM(Enginuity!$A$17),
    Q1368&lt;&gt;"",
    Q1368&lt;&gt;0,
    OR(
      TRIM(C1368)=TRIM(Enginuity!$A$18),
      AND(UPPER(TRIM(M1368))="STD", TRIM(B1368)=TRIM(Enginuity!$A$17))
    ),
    OR(
      AND(LEFT(P1368,5)="1-Way", Enginuity!$B$13=1),
      AND(LEFT(P1368,5)="2-Way", OR(Enginuity!$B$13=2, Enginuity!$B$13=4)),
      AND(LEFT(P1368,5)="3-Way", OR(Enginuity!$B$13=3, Enginuity!$B$13=6)),
      AND(P1368="Inner Centre Jamb", OR(Enginuity!$B$13=4, Enginuity!$B$13=6)),
      AND(
        LEFT(P1368,5)&lt;&gt;"1-Way",
        LEFT(P1368,5)&lt;&gt;"2-Way",
        LEFT(P1368,5)&lt;&gt;"3-Way",
        P1368&lt;&gt;"Inner Centre Jamb"
      )
    ),
    IF(OR(Enginuity!$A$1="Frameless Glass",Enginuity!$A$1="Metal Work"),
      AND(TRIM(B1368)=TRIM(Enginuity!$A$17),TRIM(C1368)=TRIM(Enginuity!$A$18)),
      TRIM(B1368)=TRIM(Enginuity!$A$17)
    )
  ),
  ROW(),
  ""
)</f>
        <v/>
      </c>
    </row>
    <row r="1369" spans="1:21" x14ac:dyDescent="0.25">
      <c r="A1369" s="10" t="s">
        <v>253</v>
      </c>
      <c r="B1369" s="229" t="s">
        <v>331</v>
      </c>
      <c r="C1369" s="10" t="s">
        <v>715</v>
      </c>
      <c r="D1369" s="86" t="s">
        <v>536</v>
      </c>
      <c r="E1369" s="241" t="s">
        <v>705</v>
      </c>
      <c r="F1369" s="21" t="s">
        <v>734</v>
      </c>
      <c r="G1369" s="17"/>
      <c r="H1369" s="10"/>
      <c r="I1369" s="17"/>
      <c r="J1369" s="83"/>
      <c r="K1369" s="343"/>
      <c r="L1369" s="347"/>
      <c r="M1369" s="12"/>
      <c r="N1369" s="10"/>
      <c r="O1369" s="22">
        <v>311.85000000000002</v>
      </c>
      <c r="P1369" s="21" t="s">
        <v>734</v>
      </c>
      <c r="Q1369" s="22" t="str">
        <f>IF(AND(Enginuity!$A$21&lt;&gt;"", P1369=Enginuity!$A$21), 1, "")</f>
        <v/>
      </c>
      <c r="U1369" s="104" t="str">
        <f>IF(
  AND(
    TRIM(A1369)=TRIM(Enginuity!$A$1),
    TRIM(B1369)=TRIM(Enginuity!$A$17),
    Q1369&lt;&gt;"",
    Q1369&lt;&gt;0,
    OR(
      TRIM(C1369)=TRIM(Enginuity!$A$18),
      AND(UPPER(TRIM(M1369))="STD", TRIM(B1369)=TRIM(Enginuity!$A$17))
    ),
    OR(
      AND(LEFT(P1369,5)="1-Way", Enginuity!$B$13=1),
      AND(LEFT(P1369,5)="2-Way", OR(Enginuity!$B$13=2, Enginuity!$B$13=4)),
      AND(LEFT(P1369,5)="3-Way", OR(Enginuity!$B$13=3, Enginuity!$B$13=6)),
      AND(P1369="Inner Centre Jamb", OR(Enginuity!$B$13=4, Enginuity!$B$13=6)),
      AND(
        LEFT(P1369,5)&lt;&gt;"1-Way",
        LEFT(P1369,5)&lt;&gt;"2-Way",
        LEFT(P1369,5)&lt;&gt;"3-Way",
        P1369&lt;&gt;"Inner Centre Jamb"
      )
    ),
    IF(OR(Enginuity!$A$1="Frameless Glass",Enginuity!$A$1="Metal Work"),
      AND(TRIM(B1369)=TRIM(Enginuity!$A$17),TRIM(C1369)=TRIM(Enginuity!$A$18)),
      TRIM(B1369)=TRIM(Enginuity!$A$17)
    )
  ),
  ROW(),
  ""
)</f>
        <v/>
      </c>
    </row>
    <row r="1370" spans="1:21" x14ac:dyDescent="0.25">
      <c r="A1370" s="10" t="s">
        <v>253</v>
      </c>
      <c r="B1370" s="229" t="s">
        <v>331</v>
      </c>
      <c r="C1370" s="10" t="s">
        <v>715</v>
      </c>
      <c r="D1370" s="86" t="s">
        <v>536</v>
      </c>
      <c r="E1370" s="241" t="s">
        <v>705</v>
      </c>
      <c r="F1370" s="21" t="s">
        <v>695</v>
      </c>
      <c r="G1370" s="17"/>
      <c r="H1370" s="10"/>
      <c r="I1370" s="17"/>
      <c r="J1370" s="83"/>
      <c r="K1370" s="343"/>
      <c r="L1370" s="347"/>
      <c r="M1370" s="12"/>
      <c r="N1370" s="10"/>
      <c r="O1370" s="22">
        <v>346.5</v>
      </c>
      <c r="P1370" s="21" t="s">
        <v>695</v>
      </c>
      <c r="Q1370" s="22" t="str">
        <f>IF(AND(Enginuity!$A$21&lt;&gt;"", P1370=Enginuity!$A$21), 1, "")</f>
        <v/>
      </c>
      <c r="U1370" s="104" t="str">
        <f>IF(
  AND(
    TRIM(A1370)=TRIM(Enginuity!$A$1),
    TRIM(B1370)=TRIM(Enginuity!$A$17),
    Q1370&lt;&gt;"",
    Q1370&lt;&gt;0,
    OR(
      TRIM(C1370)=TRIM(Enginuity!$A$18),
      AND(UPPER(TRIM(M1370))="STD", TRIM(B1370)=TRIM(Enginuity!$A$17))
    ),
    OR(
      AND(LEFT(P1370,5)="1-Way", Enginuity!$B$13=1),
      AND(LEFT(P1370,5)="2-Way", OR(Enginuity!$B$13=2, Enginuity!$B$13=4)),
      AND(LEFT(P1370,5)="3-Way", OR(Enginuity!$B$13=3, Enginuity!$B$13=6)),
      AND(P1370="Inner Centre Jamb", OR(Enginuity!$B$13=4, Enginuity!$B$13=6)),
      AND(
        LEFT(P1370,5)&lt;&gt;"1-Way",
        LEFT(P1370,5)&lt;&gt;"2-Way",
        LEFT(P1370,5)&lt;&gt;"3-Way",
        P1370&lt;&gt;"Inner Centre Jamb"
      )
    ),
    IF(OR(Enginuity!$A$1="Frameless Glass",Enginuity!$A$1="Metal Work"),
      AND(TRIM(B1370)=TRIM(Enginuity!$A$17),TRIM(C1370)=TRIM(Enginuity!$A$18)),
      TRIM(B1370)=TRIM(Enginuity!$A$17)
    )
  ),
  ROW(),
  ""
)</f>
        <v/>
      </c>
    </row>
    <row r="1371" spans="1:21" x14ac:dyDescent="0.25">
      <c r="A1371" s="10" t="s">
        <v>253</v>
      </c>
      <c r="B1371" s="229" t="s">
        <v>331</v>
      </c>
      <c r="C1371" s="10" t="s">
        <v>715</v>
      </c>
      <c r="D1371" s="86" t="s">
        <v>536</v>
      </c>
      <c r="E1371" s="241" t="s">
        <v>705</v>
      </c>
      <c r="F1371" s="21" t="s">
        <v>696</v>
      </c>
      <c r="G1371" s="17"/>
      <c r="H1371" s="10"/>
      <c r="I1371" s="17"/>
      <c r="J1371" s="83"/>
      <c r="K1371" s="343"/>
      <c r="L1371" s="347"/>
      <c r="M1371" s="12"/>
      <c r="N1371" s="10"/>
      <c r="O1371" s="22">
        <v>381.15</v>
      </c>
      <c r="P1371" s="21" t="s">
        <v>696</v>
      </c>
      <c r="Q1371" s="22" t="str">
        <f>IF(AND(Enginuity!$A$21&lt;&gt;"", P1371=Enginuity!$A$21), 1, "")</f>
        <v/>
      </c>
      <c r="U1371" s="104" t="str">
        <f>IF(
  AND(
    TRIM(A1371)=TRIM(Enginuity!$A$1),
    TRIM(B1371)=TRIM(Enginuity!$A$17),
    Q1371&lt;&gt;"",
    Q1371&lt;&gt;0,
    OR(
      TRIM(C1371)=TRIM(Enginuity!$A$18),
      AND(UPPER(TRIM(M1371))="STD", TRIM(B1371)=TRIM(Enginuity!$A$17))
    ),
    OR(
      AND(LEFT(P1371,5)="1-Way", Enginuity!$B$13=1),
      AND(LEFT(P1371,5)="2-Way", OR(Enginuity!$B$13=2, Enginuity!$B$13=4)),
      AND(LEFT(P1371,5)="3-Way", OR(Enginuity!$B$13=3, Enginuity!$B$13=6)),
      AND(P1371="Inner Centre Jamb", OR(Enginuity!$B$13=4, Enginuity!$B$13=6)),
      AND(
        LEFT(P1371,5)&lt;&gt;"1-Way",
        LEFT(P1371,5)&lt;&gt;"2-Way",
        LEFT(P1371,5)&lt;&gt;"3-Way",
        P1371&lt;&gt;"Inner Centre Jamb"
      )
    ),
    IF(OR(Enginuity!$A$1="Frameless Glass",Enginuity!$A$1="Metal Work"),
      AND(TRIM(B1371)=TRIM(Enginuity!$A$17),TRIM(C1371)=TRIM(Enginuity!$A$18)),
      TRIM(B1371)=TRIM(Enginuity!$A$17)
    )
  ),
  ROW(),
  ""
)</f>
        <v/>
      </c>
    </row>
    <row r="1372" spans="1:21" x14ac:dyDescent="0.25">
      <c r="A1372" s="10" t="s">
        <v>253</v>
      </c>
      <c r="B1372" s="229" t="s">
        <v>331</v>
      </c>
      <c r="C1372" s="10" t="s">
        <v>715</v>
      </c>
      <c r="D1372" s="86" t="s">
        <v>536</v>
      </c>
      <c r="E1372" s="241" t="s">
        <v>705</v>
      </c>
      <c r="F1372" s="14" t="s">
        <v>735</v>
      </c>
      <c r="G1372" s="17"/>
      <c r="H1372" s="10"/>
      <c r="I1372" s="17"/>
      <c r="J1372" s="83"/>
      <c r="K1372" s="343"/>
      <c r="L1372" s="347"/>
      <c r="M1372" s="12"/>
      <c r="N1372" s="10"/>
      <c r="O1372" s="22">
        <v>444.15</v>
      </c>
      <c r="P1372" s="14" t="s">
        <v>735</v>
      </c>
      <c r="Q1372" s="22" t="str">
        <f>IF(AND(Enginuity!$A$21&lt;&gt;"", P1372=Enginuity!$A$21), 1, "")</f>
        <v/>
      </c>
      <c r="U1372" s="104" t="str">
        <f>IF(
  AND(
    TRIM(A1372)=TRIM(Enginuity!$A$1),
    TRIM(B1372)=TRIM(Enginuity!$A$17),
    Q1372&lt;&gt;"",
    Q1372&lt;&gt;0,
    OR(
      TRIM(C1372)=TRIM(Enginuity!$A$18),
      AND(UPPER(TRIM(M1372))="STD", TRIM(B1372)=TRIM(Enginuity!$A$17))
    ),
    OR(
      AND(LEFT(P1372,5)="1-Way", Enginuity!$B$13=1),
      AND(LEFT(P1372,5)="2-Way", OR(Enginuity!$B$13=2, Enginuity!$B$13=4)),
      AND(LEFT(P1372,5)="3-Way", OR(Enginuity!$B$13=3, Enginuity!$B$13=6)),
      AND(P1372="Inner Centre Jamb", OR(Enginuity!$B$13=4, Enginuity!$B$13=6)),
      AND(
        LEFT(P1372,5)&lt;&gt;"1-Way",
        LEFT(P1372,5)&lt;&gt;"2-Way",
        LEFT(P1372,5)&lt;&gt;"3-Way",
        P1372&lt;&gt;"Inner Centre Jamb"
      )
    ),
    IF(OR(Enginuity!$A$1="Frameless Glass",Enginuity!$A$1="Metal Work"),
      AND(TRIM(B1372)=TRIM(Enginuity!$A$17),TRIM(C1372)=TRIM(Enginuity!$A$18)),
      TRIM(B1372)=TRIM(Enginuity!$A$17)
    )
  ),
  ROW(),
  ""
)</f>
        <v/>
      </c>
    </row>
    <row r="1373" spans="1:21" x14ac:dyDescent="0.25">
      <c r="A1373" s="17" t="s">
        <v>253</v>
      </c>
      <c r="B1373" s="230" t="s">
        <v>331</v>
      </c>
      <c r="C1373" s="17" t="s">
        <v>715</v>
      </c>
      <c r="D1373" s="168" t="s">
        <v>536</v>
      </c>
      <c r="E1373" s="253"/>
      <c r="F1373" s="18"/>
      <c r="G1373" s="17"/>
      <c r="H1373" s="17"/>
      <c r="I1373" s="17"/>
      <c r="J1373" s="84"/>
      <c r="K1373" s="343"/>
      <c r="L1373" s="347"/>
      <c r="M1373" s="90"/>
      <c r="N1373" s="17" t="s">
        <v>176</v>
      </c>
      <c r="O1373" s="25" t="str">
        <f>IF(Enginuity!$A$22="Supply &amp; Install",70,IF(Enginuity!$A$22="Self Collect",0,""))</f>
        <v/>
      </c>
      <c r="P1373" s="121" t="str">
        <f>Enginuity!$A$22</f>
        <v>▼ [Lattice]</v>
      </c>
      <c r="Q1373" s="25" t="str">
        <f>IF(AND(
  LEN(O1373)&gt;0,
  OR(P1373="72"" Height", ISNUMBER(SEARCH("72"" Height",D1373))),
  OR(Enginuity!$A$22="Supply &amp; Install", Enginuity!$A$22="Self Collect")
),1,"")</f>
        <v/>
      </c>
      <c r="U1373" s="104" t="str">
        <f>IF(
  AND(
    TRIM(A1373)=TRIM(Enginuity!$A$1),
    TRIM(B1373)=TRIM(Enginuity!$A$17),
    Q1373&lt;&gt;"",
    Q1373&lt;&gt;0,
    OR(
      TRIM(C1373)=TRIM(Enginuity!$A$18),
      AND(UPPER(TRIM(M1373))="STD", TRIM(B1373)=TRIM(Enginuity!$A$17))
    ),
    OR(
      AND(LEFT(P1373,5)="1-Way", Enginuity!$B$13=1),
      AND(LEFT(P1373,5)="2-Way", OR(Enginuity!$B$13=2, Enginuity!$B$13=4)),
      AND(LEFT(P1373,5)="3-Way", OR(Enginuity!$B$13=3, Enginuity!$B$13=6)),
      AND(P1373="Inner Centre Jamb", OR(Enginuity!$B$13=4, Enginuity!$B$13=6)),
      AND(
        LEFT(P1373,5)&lt;&gt;"1-Way",
        LEFT(P1373,5)&lt;&gt;"2-Way",
        LEFT(P1373,5)&lt;&gt;"3-Way",
        P1373&lt;&gt;"Inner Centre Jamb"
      )
    ),
    IF(OR(Enginuity!$A$1="Frameless Glass",Enginuity!$A$1="Metal Work"),
      AND(TRIM(B1373)=TRIM(Enginuity!$A$17),TRIM(C1373)=TRIM(Enginuity!$A$18)),
      TRIM(B1373)=TRIM(Enginuity!$A$17)
    )
  ),
  ROW(),
  ""
)</f>
        <v/>
      </c>
    </row>
    <row r="1374" spans="1:21" x14ac:dyDescent="0.25">
      <c r="A1374" s="10" t="s">
        <v>253</v>
      </c>
      <c r="B1374" s="229" t="s">
        <v>331</v>
      </c>
      <c r="C1374" s="10" t="s">
        <v>715</v>
      </c>
      <c r="D1374" s="86" t="s">
        <v>537</v>
      </c>
      <c r="E1374" s="241" t="s">
        <v>703</v>
      </c>
      <c r="F1374" s="14" t="s">
        <v>736</v>
      </c>
      <c r="G1374" s="142" t="s">
        <v>382</v>
      </c>
      <c r="H1374" s="10"/>
      <c r="I1374" s="17"/>
      <c r="J1374" s="83"/>
      <c r="K1374" s="344">
        <v>0.24453800000000001</v>
      </c>
      <c r="L1374" s="347">
        <v>609.6</v>
      </c>
      <c r="M1374" s="12"/>
      <c r="N1374" s="10"/>
      <c r="O1374" s="22">
        <v>177.45</v>
      </c>
      <c r="P1374" s="36" t="s">
        <v>736</v>
      </c>
      <c r="Q1374" s="22" t="str">
        <f>IF(AND(Enginuity!$A$21&lt;&gt;"", P1374=Enginuity!$A$21), 1, "")</f>
        <v/>
      </c>
      <c r="U1374" s="104" t="str">
        <f>IF(
  AND(
    TRIM(A1374)=TRIM(Enginuity!$A$1),
    TRIM(B1374)=TRIM(Enginuity!$A$17),
    Q1374&lt;&gt;"",
    Q1374&lt;&gt;0,
    OR(
      TRIM(C1374)=TRIM(Enginuity!$A$18),
      AND(UPPER(TRIM(M1374))="STD", TRIM(B1374)=TRIM(Enginuity!$A$17))
    ),
    OR(
      AND(LEFT(P1374,5)="1-Way", Enginuity!$B$13=1),
      AND(LEFT(P1374,5)="2-Way", OR(Enginuity!$B$13=2, Enginuity!$B$13=4)),
      AND(LEFT(P1374,5)="3-Way", OR(Enginuity!$B$13=3, Enginuity!$B$13=6)),
      AND(P1374="Inner Centre Jamb", OR(Enginuity!$B$13=4, Enginuity!$B$13=6)),
      AND(
        LEFT(P1374,5)&lt;&gt;"1-Way",
        LEFT(P1374,5)&lt;&gt;"2-Way",
        LEFT(P1374,5)&lt;&gt;"3-Way",
        P1374&lt;&gt;"Inner Centre Jamb"
      )
    ),
    IF(OR(Enginuity!$A$1="Frameless Glass",Enginuity!$A$1="Metal Work"),
      AND(TRIM(B1374)=TRIM(Enginuity!$A$17),TRIM(C1374)=TRIM(Enginuity!$A$18)),
      TRIM(B1374)=TRIM(Enginuity!$A$17)
    )
  ),
  ROW(),
  ""
)</f>
        <v/>
      </c>
    </row>
    <row r="1375" spans="1:21" x14ac:dyDescent="0.25">
      <c r="A1375" s="10" t="s">
        <v>253</v>
      </c>
      <c r="B1375" s="229" t="s">
        <v>331</v>
      </c>
      <c r="C1375" s="10" t="s">
        <v>715</v>
      </c>
      <c r="D1375" s="86" t="s">
        <v>537</v>
      </c>
      <c r="E1375" s="241" t="s">
        <v>703</v>
      </c>
      <c r="F1375" s="14" t="s">
        <v>737</v>
      </c>
      <c r="G1375" s="18" t="s">
        <v>384</v>
      </c>
      <c r="H1375" s="10"/>
      <c r="I1375" s="17"/>
      <c r="J1375" s="83"/>
      <c r="K1375" s="343"/>
      <c r="L1375" s="347"/>
      <c r="M1375" s="12"/>
      <c r="N1375" s="10"/>
      <c r="O1375" s="22">
        <v>190.05</v>
      </c>
      <c r="P1375" s="14" t="s">
        <v>737</v>
      </c>
      <c r="Q1375" s="22" t="str">
        <f>IF(AND(Enginuity!$A$21&lt;&gt;"", P1375=Enginuity!$A$21), 1, "")</f>
        <v/>
      </c>
      <c r="U1375" s="104" t="str">
        <f>IF(
  AND(
    TRIM(A1375)=TRIM(Enginuity!$A$1),
    TRIM(B1375)=TRIM(Enginuity!$A$17),
    Q1375&lt;&gt;"",
    Q1375&lt;&gt;0,
    OR(
      TRIM(C1375)=TRIM(Enginuity!$A$18),
      AND(UPPER(TRIM(M1375))="STD", TRIM(B1375)=TRIM(Enginuity!$A$17))
    ),
    OR(
      AND(LEFT(P1375,5)="1-Way", Enginuity!$B$13=1),
      AND(LEFT(P1375,5)="2-Way", OR(Enginuity!$B$13=2, Enginuity!$B$13=4)),
      AND(LEFT(P1375,5)="3-Way", OR(Enginuity!$B$13=3, Enginuity!$B$13=6)),
      AND(P1375="Inner Centre Jamb", OR(Enginuity!$B$13=4, Enginuity!$B$13=6)),
      AND(
        LEFT(P1375,5)&lt;&gt;"1-Way",
        LEFT(P1375,5)&lt;&gt;"2-Way",
        LEFT(P1375,5)&lt;&gt;"3-Way",
        P1375&lt;&gt;"Inner Centre Jamb"
      )
    ),
    IF(OR(Enginuity!$A$1="Frameless Glass",Enginuity!$A$1="Metal Work"),
      AND(TRIM(B1375)=TRIM(Enginuity!$A$17),TRIM(C1375)=TRIM(Enginuity!$A$18)),
      TRIM(B1375)=TRIM(Enginuity!$A$17)
    )
  ),
  ROW(),
  ""
)</f>
        <v/>
      </c>
    </row>
    <row r="1376" spans="1:21" x14ac:dyDescent="0.25">
      <c r="A1376" s="10" t="s">
        <v>253</v>
      </c>
      <c r="B1376" s="229" t="s">
        <v>331</v>
      </c>
      <c r="C1376" s="10" t="s">
        <v>715</v>
      </c>
      <c r="D1376" s="86" t="s">
        <v>537</v>
      </c>
      <c r="E1376" s="241" t="s">
        <v>703</v>
      </c>
      <c r="F1376" s="14" t="s">
        <v>738</v>
      </c>
      <c r="G1376" s="18"/>
      <c r="H1376" s="10"/>
      <c r="I1376" s="17"/>
      <c r="J1376" s="83"/>
      <c r="K1376" s="343"/>
      <c r="L1376" s="347"/>
      <c r="M1376" s="12"/>
      <c r="N1376" s="10"/>
      <c r="O1376" s="22">
        <v>208.95</v>
      </c>
      <c r="P1376" s="14" t="s">
        <v>738</v>
      </c>
      <c r="Q1376" s="22" t="str">
        <f>IF(AND(Enginuity!$A$21&lt;&gt;"", P1376=Enginuity!$A$21), 1, "")</f>
        <v/>
      </c>
      <c r="U1376" s="104" t="str">
        <f>IF(
  AND(
    TRIM(A1376)=TRIM(Enginuity!$A$1),
    TRIM(B1376)=TRIM(Enginuity!$A$17),
    Q1376&lt;&gt;"",
    Q1376&lt;&gt;0,
    OR(
      TRIM(C1376)=TRIM(Enginuity!$A$18),
      AND(UPPER(TRIM(M1376))="STD", TRIM(B1376)=TRIM(Enginuity!$A$17))
    ),
    OR(
      AND(LEFT(P1376,5)="1-Way", Enginuity!$B$13=1),
      AND(LEFT(P1376,5)="2-Way", OR(Enginuity!$B$13=2, Enginuity!$B$13=4)),
      AND(LEFT(P1376,5)="3-Way", OR(Enginuity!$B$13=3, Enginuity!$B$13=6)),
      AND(P1376="Inner Centre Jamb", OR(Enginuity!$B$13=4, Enginuity!$B$13=6)),
      AND(
        LEFT(P1376,5)&lt;&gt;"1-Way",
        LEFT(P1376,5)&lt;&gt;"2-Way",
        LEFT(P1376,5)&lt;&gt;"3-Way",
        P1376&lt;&gt;"Inner Centre Jamb"
      )
    ),
    IF(OR(Enginuity!$A$1="Frameless Glass",Enginuity!$A$1="Metal Work"),
      AND(TRIM(B1376)=TRIM(Enginuity!$A$17),TRIM(C1376)=TRIM(Enginuity!$A$18)),
      TRIM(B1376)=TRIM(Enginuity!$A$17)
    )
  ),
  ROW(),
  ""
)</f>
        <v/>
      </c>
    </row>
    <row r="1377" spans="1:21" x14ac:dyDescent="0.25">
      <c r="A1377" s="10" t="s">
        <v>253</v>
      </c>
      <c r="B1377" s="229" t="s">
        <v>331</v>
      </c>
      <c r="C1377" s="10" t="s">
        <v>715</v>
      </c>
      <c r="D1377" s="86" t="s">
        <v>537</v>
      </c>
      <c r="E1377" s="241" t="s">
        <v>703</v>
      </c>
      <c r="F1377" s="36" t="s">
        <v>739</v>
      </c>
      <c r="G1377" s="17"/>
      <c r="H1377" s="10"/>
      <c r="I1377" s="17"/>
      <c r="J1377" s="83"/>
      <c r="K1377" s="343"/>
      <c r="L1377" s="347"/>
      <c r="M1377" s="89"/>
      <c r="N1377" s="10"/>
      <c r="O1377" s="22">
        <v>222.6</v>
      </c>
      <c r="P1377" s="106" t="s">
        <v>739</v>
      </c>
      <c r="Q1377" s="22" t="str">
        <f>IF(AND(Enginuity!$A$21&lt;&gt;"", P1377=Enginuity!$A$21), 1, "")</f>
        <v/>
      </c>
      <c r="U1377" s="104" t="str">
        <f>IF(
  AND(
    TRIM(A1377)=TRIM(Enginuity!$A$1),
    TRIM(B1377)=TRIM(Enginuity!$A$17),
    Q1377&lt;&gt;"",
    Q1377&lt;&gt;0,
    OR(
      TRIM(C1377)=TRIM(Enginuity!$A$18),
      AND(UPPER(TRIM(M1377))="STD", TRIM(B1377)=TRIM(Enginuity!$A$17))
    ),
    OR(
      AND(LEFT(P1377,5)="1-Way", Enginuity!$B$13=1),
      AND(LEFT(P1377,5)="2-Way", OR(Enginuity!$B$13=2, Enginuity!$B$13=4)),
      AND(LEFT(P1377,5)="3-Way", OR(Enginuity!$B$13=3, Enginuity!$B$13=6)),
      AND(P1377="Inner Centre Jamb", OR(Enginuity!$B$13=4, Enginuity!$B$13=6)),
      AND(
        LEFT(P1377,5)&lt;&gt;"1-Way",
        LEFT(P1377,5)&lt;&gt;"2-Way",
        LEFT(P1377,5)&lt;&gt;"3-Way",
        P1377&lt;&gt;"Inner Centre Jamb"
      )
    ),
    IF(OR(Enginuity!$A$1="Frameless Glass",Enginuity!$A$1="Metal Work"),
      AND(TRIM(B1377)=TRIM(Enginuity!$A$17),TRIM(C1377)=TRIM(Enginuity!$A$18)),
      TRIM(B1377)=TRIM(Enginuity!$A$17)
    )
  ),
  ROW(),
  ""
)</f>
        <v/>
      </c>
    </row>
    <row r="1378" spans="1:21" x14ac:dyDescent="0.25">
      <c r="A1378" s="10" t="s">
        <v>253</v>
      </c>
      <c r="B1378" s="229" t="s">
        <v>331</v>
      </c>
      <c r="C1378" s="10" t="s">
        <v>715</v>
      </c>
      <c r="D1378" s="86" t="s">
        <v>537</v>
      </c>
      <c r="E1378" s="241" t="s">
        <v>703</v>
      </c>
      <c r="F1378" s="14" t="s">
        <v>499</v>
      </c>
      <c r="G1378" s="17"/>
      <c r="H1378" s="10"/>
      <c r="I1378" s="17"/>
      <c r="J1378" s="83"/>
      <c r="K1378" s="343"/>
      <c r="L1378" s="347"/>
      <c r="M1378" s="12"/>
      <c r="N1378" s="10"/>
      <c r="O1378" s="22">
        <v>241.5</v>
      </c>
      <c r="P1378" s="14" t="s">
        <v>499</v>
      </c>
      <c r="Q1378" s="22" t="str">
        <f>IF(AND(Enginuity!$A$21&lt;&gt;"", P1378=Enginuity!$A$21), 1, "")</f>
        <v/>
      </c>
      <c r="U1378" s="104" t="str">
        <f>IF(
  AND(
    TRIM(A1378)=TRIM(Enginuity!$A$1),
    TRIM(B1378)=TRIM(Enginuity!$A$17),
    Q1378&lt;&gt;"",
    Q1378&lt;&gt;0,
    OR(
      TRIM(C1378)=TRIM(Enginuity!$A$18),
      AND(UPPER(TRIM(M1378))="STD", TRIM(B1378)=TRIM(Enginuity!$A$17))
    ),
    OR(
      AND(LEFT(P1378,5)="1-Way", Enginuity!$B$13=1),
      AND(LEFT(P1378,5)="2-Way", OR(Enginuity!$B$13=2, Enginuity!$B$13=4)),
      AND(LEFT(P1378,5)="3-Way", OR(Enginuity!$B$13=3, Enginuity!$B$13=6)),
      AND(P1378="Inner Centre Jamb", OR(Enginuity!$B$13=4, Enginuity!$B$13=6)),
      AND(
        LEFT(P1378,5)&lt;&gt;"1-Way",
        LEFT(P1378,5)&lt;&gt;"2-Way",
        LEFT(P1378,5)&lt;&gt;"3-Way",
        P1378&lt;&gt;"Inner Centre Jamb"
      )
    ),
    IF(OR(Enginuity!$A$1="Frameless Glass",Enginuity!$A$1="Metal Work"),
      AND(TRIM(B1378)=TRIM(Enginuity!$A$17),TRIM(C1378)=TRIM(Enginuity!$A$18)),
      TRIM(B1378)=TRIM(Enginuity!$A$17)
    )
  ),
  ROW(),
  ""
)</f>
        <v/>
      </c>
    </row>
    <row r="1379" spans="1:21" x14ac:dyDescent="0.25">
      <c r="A1379" s="10" t="s">
        <v>253</v>
      </c>
      <c r="B1379" s="229" t="s">
        <v>331</v>
      </c>
      <c r="C1379" s="10" t="s">
        <v>715</v>
      </c>
      <c r="D1379" s="86" t="s">
        <v>537</v>
      </c>
      <c r="E1379" s="241" t="s">
        <v>703</v>
      </c>
      <c r="F1379" s="106" t="s">
        <v>500</v>
      </c>
      <c r="G1379" s="17"/>
      <c r="H1379" s="10"/>
      <c r="I1379" s="17"/>
      <c r="J1379" s="83"/>
      <c r="K1379" s="343"/>
      <c r="L1379" s="347"/>
      <c r="M1379" s="12"/>
      <c r="N1379" s="10"/>
      <c r="O1379" s="22">
        <v>260.39999999999998</v>
      </c>
      <c r="P1379" s="14" t="s">
        <v>500</v>
      </c>
      <c r="Q1379" s="22" t="str">
        <f>IF(AND(Enginuity!$A$21&lt;&gt;"", P1379=Enginuity!$A$21), 1, "")</f>
        <v/>
      </c>
      <c r="U1379" s="104" t="str">
        <f>IF(
  AND(
    TRIM(A1379)=TRIM(Enginuity!$A$1),
    TRIM(B1379)=TRIM(Enginuity!$A$17),
    Q1379&lt;&gt;"",
    Q1379&lt;&gt;0,
    OR(
      TRIM(C1379)=TRIM(Enginuity!$A$18),
      AND(UPPER(TRIM(M1379))="STD", TRIM(B1379)=TRIM(Enginuity!$A$17))
    ),
    OR(
      AND(LEFT(P1379,5)="1-Way", Enginuity!$B$13=1),
      AND(LEFT(P1379,5)="2-Way", OR(Enginuity!$B$13=2, Enginuity!$B$13=4)),
      AND(LEFT(P1379,5)="3-Way", OR(Enginuity!$B$13=3, Enginuity!$B$13=6)),
      AND(P1379="Inner Centre Jamb", OR(Enginuity!$B$13=4, Enginuity!$B$13=6)),
      AND(
        LEFT(P1379,5)&lt;&gt;"1-Way",
        LEFT(P1379,5)&lt;&gt;"2-Way",
        LEFT(P1379,5)&lt;&gt;"3-Way",
        P1379&lt;&gt;"Inner Centre Jamb"
      )
    ),
    IF(OR(Enginuity!$A$1="Frameless Glass",Enginuity!$A$1="Metal Work"),
      AND(TRIM(B1379)=TRIM(Enginuity!$A$17),TRIM(C1379)=TRIM(Enginuity!$A$18)),
      TRIM(B1379)=TRIM(Enginuity!$A$17)
    )
  ),
  ROW(),
  ""
)</f>
        <v/>
      </c>
    </row>
    <row r="1380" spans="1:21" x14ac:dyDescent="0.25">
      <c r="A1380" s="10" t="s">
        <v>253</v>
      </c>
      <c r="B1380" s="229" t="s">
        <v>331</v>
      </c>
      <c r="C1380" s="10" t="s">
        <v>715</v>
      </c>
      <c r="D1380" s="86" t="s">
        <v>537</v>
      </c>
      <c r="E1380" s="241" t="s">
        <v>703</v>
      </c>
      <c r="F1380" s="14" t="s">
        <v>501</v>
      </c>
      <c r="G1380" s="142"/>
      <c r="H1380" s="10"/>
      <c r="I1380" s="17"/>
      <c r="J1380" s="83"/>
      <c r="K1380" s="343"/>
      <c r="L1380" s="347"/>
      <c r="M1380" s="12"/>
      <c r="N1380" s="10"/>
      <c r="O1380" s="22">
        <v>305.55</v>
      </c>
      <c r="P1380" s="14" t="s">
        <v>501</v>
      </c>
      <c r="Q1380" s="22" t="str">
        <f>IF(AND(Enginuity!$A$21&lt;&gt;"", P1380=Enginuity!$A$21), 1, "")</f>
        <v/>
      </c>
      <c r="U1380" s="104" t="str">
        <f>IF(
  AND(
    TRIM(A1380)=TRIM(Enginuity!$A$1),
    TRIM(B1380)=TRIM(Enginuity!$A$17),
    Q1380&lt;&gt;"",
    Q1380&lt;&gt;0,
    OR(
      TRIM(C1380)=TRIM(Enginuity!$A$18),
      AND(UPPER(TRIM(M1380))="STD", TRIM(B1380)=TRIM(Enginuity!$A$17))
    ),
    OR(
      AND(LEFT(P1380,5)="1-Way", Enginuity!$B$13=1),
      AND(LEFT(P1380,5)="2-Way", OR(Enginuity!$B$13=2, Enginuity!$B$13=4)),
      AND(LEFT(P1380,5)="3-Way", OR(Enginuity!$B$13=3, Enginuity!$B$13=6)),
      AND(P1380="Inner Centre Jamb", OR(Enginuity!$B$13=4, Enginuity!$B$13=6)),
      AND(
        LEFT(P1380,5)&lt;&gt;"1-Way",
        LEFT(P1380,5)&lt;&gt;"2-Way",
        LEFT(P1380,5)&lt;&gt;"3-Way",
        P1380&lt;&gt;"Inner Centre Jamb"
      )
    ),
    IF(OR(Enginuity!$A$1="Frameless Glass",Enginuity!$A$1="Metal Work"),
      AND(TRIM(B1380)=TRIM(Enginuity!$A$17),TRIM(C1380)=TRIM(Enginuity!$A$18)),
      TRIM(B1380)=TRIM(Enginuity!$A$17)
    )
  ),
  ROW(),
  ""
)</f>
        <v/>
      </c>
    </row>
    <row r="1381" spans="1:21" x14ac:dyDescent="0.25">
      <c r="A1381" s="10" t="s">
        <v>253</v>
      </c>
      <c r="B1381" s="229" t="s">
        <v>331</v>
      </c>
      <c r="C1381" s="10" t="s">
        <v>715</v>
      </c>
      <c r="D1381" s="86" t="s">
        <v>537</v>
      </c>
      <c r="E1381" s="160" t="s">
        <v>479</v>
      </c>
      <c r="F1381" s="14" t="s">
        <v>740</v>
      </c>
      <c r="G1381" s="142" t="s">
        <v>382</v>
      </c>
      <c r="H1381" s="10"/>
      <c r="I1381" s="17"/>
      <c r="J1381" s="83"/>
      <c r="K1381" s="343"/>
      <c r="L1381" s="347"/>
      <c r="M1381" s="12"/>
      <c r="N1381" s="10"/>
      <c r="O1381" s="22">
        <v>177.45</v>
      </c>
      <c r="P1381" s="21" t="s">
        <v>740</v>
      </c>
      <c r="Q1381" s="22" t="str">
        <f>IF(AND(Enginuity!$A$21&lt;&gt;"", P1381=Enginuity!$A$21), 1, "")</f>
        <v/>
      </c>
      <c r="U1381" s="104" t="str">
        <f>IF(
  AND(
    TRIM(A1381)=TRIM(Enginuity!$A$1),
    TRIM(B1381)=TRIM(Enginuity!$A$17),
    Q1381&lt;&gt;"",
    Q1381&lt;&gt;0,
    OR(
      TRIM(C1381)=TRIM(Enginuity!$A$18),
      AND(UPPER(TRIM(M1381))="STD", TRIM(B1381)=TRIM(Enginuity!$A$17))
    ),
    OR(
      AND(LEFT(P1381,5)="1-Way", Enginuity!$B$13=1),
      AND(LEFT(P1381,5)="2-Way", OR(Enginuity!$B$13=2, Enginuity!$B$13=4)),
      AND(LEFT(P1381,5)="3-Way", OR(Enginuity!$B$13=3, Enginuity!$B$13=6)),
      AND(P1381="Inner Centre Jamb", OR(Enginuity!$B$13=4, Enginuity!$B$13=6)),
      AND(
        LEFT(P1381,5)&lt;&gt;"1-Way",
        LEFT(P1381,5)&lt;&gt;"2-Way",
        LEFT(P1381,5)&lt;&gt;"3-Way",
        P1381&lt;&gt;"Inner Centre Jamb"
      )
    ),
    IF(OR(Enginuity!$A$1="Frameless Glass",Enginuity!$A$1="Metal Work"),
      AND(TRIM(B1381)=TRIM(Enginuity!$A$17),TRIM(C1381)=TRIM(Enginuity!$A$18)),
      TRIM(B1381)=TRIM(Enginuity!$A$17)
    )
  ),
  ROW(),
  ""
)</f>
        <v/>
      </c>
    </row>
    <row r="1382" spans="1:21" x14ac:dyDescent="0.25">
      <c r="A1382" s="10" t="s">
        <v>253</v>
      </c>
      <c r="B1382" s="229" t="s">
        <v>331</v>
      </c>
      <c r="C1382" s="10" t="s">
        <v>715</v>
      </c>
      <c r="D1382" s="86" t="s">
        <v>537</v>
      </c>
      <c r="E1382" s="160" t="s">
        <v>479</v>
      </c>
      <c r="F1382" s="14" t="s">
        <v>741</v>
      </c>
      <c r="G1382" s="18" t="s">
        <v>384</v>
      </c>
      <c r="H1382" s="10"/>
      <c r="I1382" s="17"/>
      <c r="J1382" s="83"/>
      <c r="K1382" s="343"/>
      <c r="L1382" s="347"/>
      <c r="M1382" s="12"/>
      <c r="N1382" s="10"/>
      <c r="O1382" s="22">
        <v>190.05</v>
      </c>
      <c r="P1382" s="21" t="s">
        <v>741</v>
      </c>
      <c r="Q1382" s="22" t="str">
        <f>IF(AND(Enginuity!$A$21&lt;&gt;"", P1382=Enginuity!$A$21), 1, "")</f>
        <v/>
      </c>
      <c r="U1382" s="104" t="str">
        <f>IF(
  AND(
    TRIM(A1382)=TRIM(Enginuity!$A$1),
    TRIM(B1382)=TRIM(Enginuity!$A$17),
    Q1382&lt;&gt;"",
    Q1382&lt;&gt;0,
    OR(
      TRIM(C1382)=TRIM(Enginuity!$A$18),
      AND(UPPER(TRIM(M1382))="STD", TRIM(B1382)=TRIM(Enginuity!$A$17))
    ),
    OR(
      AND(LEFT(P1382,5)="1-Way", Enginuity!$B$13=1),
      AND(LEFT(P1382,5)="2-Way", OR(Enginuity!$B$13=2, Enginuity!$B$13=4)),
      AND(LEFT(P1382,5)="3-Way", OR(Enginuity!$B$13=3, Enginuity!$B$13=6)),
      AND(P1382="Inner Centre Jamb", OR(Enginuity!$B$13=4, Enginuity!$B$13=6)),
      AND(
        LEFT(P1382,5)&lt;&gt;"1-Way",
        LEFT(P1382,5)&lt;&gt;"2-Way",
        LEFT(P1382,5)&lt;&gt;"3-Way",
        P1382&lt;&gt;"Inner Centre Jamb"
      )
    ),
    IF(OR(Enginuity!$A$1="Frameless Glass",Enginuity!$A$1="Metal Work"),
      AND(TRIM(B1382)=TRIM(Enginuity!$A$17),TRIM(C1382)=TRIM(Enginuity!$A$18)),
      TRIM(B1382)=TRIM(Enginuity!$A$17)
    )
  ),
  ROW(),
  ""
)</f>
        <v/>
      </c>
    </row>
    <row r="1383" spans="1:21" x14ac:dyDescent="0.25">
      <c r="A1383" s="10" t="s">
        <v>253</v>
      </c>
      <c r="B1383" s="229" t="s">
        <v>331</v>
      </c>
      <c r="C1383" s="10" t="s">
        <v>715</v>
      </c>
      <c r="D1383" s="86" t="s">
        <v>537</v>
      </c>
      <c r="E1383" s="160" t="s">
        <v>479</v>
      </c>
      <c r="F1383" s="14" t="s">
        <v>742</v>
      </c>
      <c r="G1383" s="18"/>
      <c r="H1383" s="10"/>
      <c r="I1383" s="17"/>
      <c r="J1383" s="83"/>
      <c r="K1383" s="343"/>
      <c r="L1383" s="347"/>
      <c r="M1383" s="12"/>
      <c r="N1383" s="10"/>
      <c r="O1383" s="22">
        <v>222.6</v>
      </c>
      <c r="P1383" s="21" t="s">
        <v>742</v>
      </c>
      <c r="Q1383" s="22" t="str">
        <f>IF(AND(Enginuity!$A$21&lt;&gt;"", P1383=Enginuity!$A$21), 1, "")</f>
        <v/>
      </c>
      <c r="U1383" s="104" t="str">
        <f>IF(
  AND(
    TRIM(A1383)=TRIM(Enginuity!$A$1),
    TRIM(B1383)=TRIM(Enginuity!$A$17),
    Q1383&lt;&gt;"",
    Q1383&lt;&gt;0,
    OR(
      TRIM(C1383)=TRIM(Enginuity!$A$18),
      AND(UPPER(TRIM(M1383))="STD", TRIM(B1383)=TRIM(Enginuity!$A$17))
    ),
    OR(
      AND(LEFT(P1383,5)="1-Way", Enginuity!$B$13=1),
      AND(LEFT(P1383,5)="2-Way", OR(Enginuity!$B$13=2, Enginuity!$B$13=4)),
      AND(LEFT(P1383,5)="3-Way", OR(Enginuity!$B$13=3, Enginuity!$B$13=6)),
      AND(P1383="Inner Centre Jamb", OR(Enginuity!$B$13=4, Enginuity!$B$13=6)),
      AND(
        LEFT(P1383,5)&lt;&gt;"1-Way",
        LEFT(P1383,5)&lt;&gt;"2-Way",
        LEFT(P1383,5)&lt;&gt;"3-Way",
        P1383&lt;&gt;"Inner Centre Jamb"
      )
    ),
    IF(OR(Enginuity!$A$1="Frameless Glass",Enginuity!$A$1="Metal Work"),
      AND(TRIM(B1383)=TRIM(Enginuity!$A$17),TRIM(C1383)=TRIM(Enginuity!$A$18)),
      TRIM(B1383)=TRIM(Enginuity!$A$17)
    )
  ),
  ROW(),
  ""
)</f>
        <v/>
      </c>
    </row>
    <row r="1384" spans="1:21" x14ac:dyDescent="0.25">
      <c r="A1384" s="10" t="s">
        <v>253</v>
      </c>
      <c r="B1384" s="229" t="s">
        <v>331</v>
      </c>
      <c r="C1384" s="10" t="s">
        <v>715</v>
      </c>
      <c r="D1384" s="86" t="s">
        <v>537</v>
      </c>
      <c r="E1384" s="160" t="s">
        <v>479</v>
      </c>
      <c r="F1384" s="21" t="s">
        <v>743</v>
      </c>
      <c r="G1384" s="17"/>
      <c r="H1384" s="10"/>
      <c r="I1384" s="17"/>
      <c r="J1384" s="83"/>
      <c r="K1384" s="343"/>
      <c r="L1384" s="347"/>
      <c r="M1384" s="12"/>
      <c r="N1384" s="10"/>
      <c r="O1384" s="22">
        <v>241.5</v>
      </c>
      <c r="P1384" s="14" t="s">
        <v>743</v>
      </c>
      <c r="Q1384" s="22" t="str">
        <f>IF(AND(Enginuity!$A$21&lt;&gt;"", P1384=Enginuity!$A$21), 1, "")</f>
        <v/>
      </c>
      <c r="U1384" s="104" t="str">
        <f>IF(
  AND(
    TRIM(A1384)=TRIM(Enginuity!$A$1),
    TRIM(B1384)=TRIM(Enginuity!$A$17),
    Q1384&lt;&gt;"",
    Q1384&lt;&gt;0,
    OR(
      TRIM(C1384)=TRIM(Enginuity!$A$18),
      AND(UPPER(TRIM(M1384))="STD", TRIM(B1384)=TRIM(Enginuity!$A$17))
    ),
    OR(
      AND(LEFT(P1384,5)="1-Way", Enginuity!$B$13=1),
      AND(LEFT(P1384,5)="2-Way", OR(Enginuity!$B$13=2, Enginuity!$B$13=4)),
      AND(LEFT(P1384,5)="3-Way", OR(Enginuity!$B$13=3, Enginuity!$B$13=6)),
      AND(P1384="Inner Centre Jamb", OR(Enginuity!$B$13=4, Enginuity!$B$13=6)),
      AND(
        LEFT(P1384,5)&lt;&gt;"1-Way",
        LEFT(P1384,5)&lt;&gt;"2-Way",
        LEFT(P1384,5)&lt;&gt;"3-Way",
        P1384&lt;&gt;"Inner Centre Jamb"
      )
    ),
    IF(OR(Enginuity!$A$1="Frameless Glass",Enginuity!$A$1="Metal Work"),
      AND(TRIM(B1384)=TRIM(Enginuity!$A$17),TRIM(C1384)=TRIM(Enginuity!$A$18)),
      TRIM(B1384)=TRIM(Enginuity!$A$17)
    )
  ),
  ROW(),
  ""
)</f>
        <v/>
      </c>
    </row>
    <row r="1385" spans="1:21" x14ac:dyDescent="0.25">
      <c r="A1385" s="10" t="s">
        <v>253</v>
      </c>
      <c r="B1385" s="229" t="s">
        <v>331</v>
      </c>
      <c r="C1385" s="10" t="s">
        <v>715</v>
      </c>
      <c r="D1385" s="86" t="s">
        <v>537</v>
      </c>
      <c r="E1385" s="160" t="s">
        <v>479</v>
      </c>
      <c r="F1385" s="106" t="s">
        <v>744</v>
      </c>
      <c r="G1385" s="17"/>
      <c r="H1385" s="10"/>
      <c r="I1385" s="17"/>
      <c r="J1385" s="83"/>
      <c r="K1385" s="343"/>
      <c r="L1385" s="347"/>
      <c r="M1385" s="89"/>
      <c r="N1385" s="10"/>
      <c r="O1385" s="22">
        <v>260.39999999999998</v>
      </c>
      <c r="P1385" s="14" t="s">
        <v>744</v>
      </c>
      <c r="Q1385" s="22" t="str">
        <f>IF(AND(Enginuity!$A$21&lt;&gt;"", P1385=Enginuity!$A$21), 1, "")</f>
        <v/>
      </c>
      <c r="U1385" s="104" t="str">
        <f>IF(
  AND(
    TRIM(A1385)=TRIM(Enginuity!$A$1),
    TRIM(B1385)=TRIM(Enginuity!$A$17),
    Q1385&lt;&gt;"",
    Q1385&lt;&gt;0,
    OR(
      TRIM(C1385)=TRIM(Enginuity!$A$18),
      AND(UPPER(TRIM(M1385))="STD", TRIM(B1385)=TRIM(Enginuity!$A$17))
    ),
    OR(
      AND(LEFT(P1385,5)="1-Way", Enginuity!$B$13=1),
      AND(LEFT(P1385,5)="2-Way", OR(Enginuity!$B$13=2, Enginuity!$B$13=4)),
      AND(LEFT(P1385,5)="3-Way", OR(Enginuity!$B$13=3, Enginuity!$B$13=6)),
      AND(P1385="Inner Centre Jamb", OR(Enginuity!$B$13=4, Enginuity!$B$13=6)),
      AND(
        LEFT(P1385,5)&lt;&gt;"1-Way",
        LEFT(P1385,5)&lt;&gt;"2-Way",
        LEFT(P1385,5)&lt;&gt;"3-Way",
        P1385&lt;&gt;"Inner Centre Jamb"
      )
    ),
    IF(OR(Enginuity!$A$1="Frameless Glass",Enginuity!$A$1="Metal Work"),
      AND(TRIM(B1385)=TRIM(Enginuity!$A$17),TRIM(C1385)=TRIM(Enginuity!$A$18)),
      TRIM(B1385)=TRIM(Enginuity!$A$17)
    )
  ),
  ROW(),
  ""
)</f>
        <v/>
      </c>
    </row>
    <row r="1386" spans="1:21" x14ac:dyDescent="0.25">
      <c r="A1386" s="10" t="s">
        <v>253</v>
      </c>
      <c r="B1386" s="229" t="s">
        <v>331</v>
      </c>
      <c r="C1386" s="10" t="s">
        <v>715</v>
      </c>
      <c r="D1386" s="86" t="s">
        <v>537</v>
      </c>
      <c r="E1386" s="160" t="s">
        <v>479</v>
      </c>
      <c r="F1386" s="21" t="s">
        <v>745</v>
      </c>
      <c r="G1386" s="142"/>
      <c r="H1386" s="10"/>
      <c r="I1386" s="17"/>
      <c r="J1386" s="83"/>
      <c r="K1386" s="343"/>
      <c r="L1386" s="347"/>
      <c r="M1386" s="12"/>
      <c r="N1386" s="10"/>
      <c r="O1386" s="22">
        <v>305.55</v>
      </c>
      <c r="P1386" s="36" t="s">
        <v>745</v>
      </c>
      <c r="Q1386" s="22" t="str">
        <f>IF(AND(Enginuity!$A$21&lt;&gt;"", P1386=Enginuity!$A$21), 1, "")</f>
        <v/>
      </c>
      <c r="U1386" s="104" t="str">
        <f>IF(
  AND(
    TRIM(A1386)=TRIM(Enginuity!$A$1),
    TRIM(B1386)=TRIM(Enginuity!$A$17),
    Q1386&lt;&gt;"",
    Q1386&lt;&gt;0,
    OR(
      TRIM(C1386)=TRIM(Enginuity!$A$18),
      AND(UPPER(TRIM(M1386))="STD", TRIM(B1386)=TRIM(Enginuity!$A$17))
    ),
    OR(
      AND(LEFT(P1386,5)="1-Way", Enginuity!$B$13=1),
      AND(LEFT(P1386,5)="2-Way", OR(Enginuity!$B$13=2, Enginuity!$B$13=4)),
      AND(LEFT(P1386,5)="3-Way", OR(Enginuity!$B$13=3, Enginuity!$B$13=6)),
      AND(P1386="Inner Centre Jamb", OR(Enginuity!$B$13=4, Enginuity!$B$13=6)),
      AND(
        LEFT(P1386,5)&lt;&gt;"1-Way",
        LEFT(P1386,5)&lt;&gt;"2-Way",
        LEFT(P1386,5)&lt;&gt;"3-Way",
        P1386&lt;&gt;"Inner Centre Jamb"
      )
    ),
    IF(OR(Enginuity!$A$1="Frameless Glass",Enginuity!$A$1="Metal Work"),
      AND(TRIM(B1386)=TRIM(Enginuity!$A$17),TRIM(C1386)=TRIM(Enginuity!$A$18)),
      TRIM(B1386)=TRIM(Enginuity!$A$17)
    )
  ),
  ROW(),
  ""
)</f>
        <v/>
      </c>
    </row>
    <row r="1387" spans="1:21" x14ac:dyDescent="0.25">
      <c r="A1387" s="10" t="s">
        <v>253</v>
      </c>
      <c r="B1387" s="229" t="s">
        <v>331</v>
      </c>
      <c r="C1387" s="10" t="s">
        <v>715</v>
      </c>
      <c r="D1387" s="86" t="s">
        <v>537</v>
      </c>
      <c r="E1387" s="159" t="s">
        <v>704</v>
      </c>
      <c r="F1387" s="14" t="s">
        <v>746</v>
      </c>
      <c r="G1387" s="142" t="s">
        <v>382</v>
      </c>
      <c r="H1387" s="10"/>
      <c r="I1387" s="17"/>
      <c r="J1387" s="83"/>
      <c r="K1387" s="343"/>
      <c r="L1387" s="347"/>
      <c r="M1387" s="12"/>
      <c r="N1387" s="10"/>
      <c r="O1387" s="22">
        <v>212.1</v>
      </c>
      <c r="P1387" s="14" t="s">
        <v>746</v>
      </c>
      <c r="Q1387" s="22" t="str">
        <f>IF(AND(Enginuity!$A$21&lt;&gt;"", P1387=Enginuity!$A$21), 1, "")</f>
        <v/>
      </c>
      <c r="U1387" s="104" t="str">
        <f>IF(
  AND(
    TRIM(A1387)=TRIM(Enginuity!$A$1),
    TRIM(B1387)=TRIM(Enginuity!$A$17),
    Q1387&lt;&gt;"",
    Q1387&lt;&gt;0,
    OR(
      TRIM(C1387)=TRIM(Enginuity!$A$18),
      AND(UPPER(TRIM(M1387))="STD", TRIM(B1387)=TRIM(Enginuity!$A$17))
    ),
    OR(
      AND(LEFT(P1387,5)="1-Way", Enginuity!$B$13=1),
      AND(LEFT(P1387,5)="2-Way", OR(Enginuity!$B$13=2, Enginuity!$B$13=4)),
      AND(LEFT(P1387,5)="3-Way", OR(Enginuity!$B$13=3, Enginuity!$B$13=6)),
      AND(P1387="Inner Centre Jamb", OR(Enginuity!$B$13=4, Enginuity!$B$13=6)),
      AND(
        LEFT(P1387,5)&lt;&gt;"1-Way",
        LEFT(P1387,5)&lt;&gt;"2-Way",
        LEFT(P1387,5)&lt;&gt;"3-Way",
        P1387&lt;&gt;"Inner Centre Jamb"
      )
    ),
    IF(OR(Enginuity!$A$1="Frameless Glass",Enginuity!$A$1="Metal Work"),
      AND(TRIM(B1387)=TRIM(Enginuity!$A$17),TRIM(C1387)=TRIM(Enginuity!$A$18)),
      TRIM(B1387)=TRIM(Enginuity!$A$17)
    )
  ),
  ROW(),
  ""
)</f>
        <v/>
      </c>
    </row>
    <row r="1388" spans="1:21" x14ac:dyDescent="0.25">
      <c r="A1388" s="10" t="s">
        <v>253</v>
      </c>
      <c r="B1388" s="229" t="s">
        <v>331</v>
      </c>
      <c r="C1388" s="10" t="s">
        <v>715</v>
      </c>
      <c r="D1388" s="86" t="s">
        <v>537</v>
      </c>
      <c r="E1388" s="159" t="s">
        <v>704</v>
      </c>
      <c r="F1388" s="14" t="s">
        <v>747</v>
      </c>
      <c r="G1388" s="18" t="s">
        <v>384</v>
      </c>
      <c r="H1388" s="10"/>
      <c r="I1388" s="17"/>
      <c r="J1388" s="83"/>
      <c r="K1388" s="343"/>
      <c r="L1388" s="347"/>
      <c r="M1388" s="12"/>
      <c r="N1388" s="10"/>
      <c r="O1388" s="22">
        <v>227.85</v>
      </c>
      <c r="P1388" s="14" t="s">
        <v>747</v>
      </c>
      <c r="Q1388" s="22" t="str">
        <f>IF(AND(Enginuity!$A$21&lt;&gt;"", P1388=Enginuity!$A$21), 1, "")</f>
        <v/>
      </c>
      <c r="U1388" s="104" t="str">
        <f>IF(
  AND(
    TRIM(A1388)=TRIM(Enginuity!$A$1),
    TRIM(B1388)=TRIM(Enginuity!$A$17),
    Q1388&lt;&gt;"",
    Q1388&lt;&gt;0,
    OR(
      TRIM(C1388)=TRIM(Enginuity!$A$18),
      AND(UPPER(TRIM(M1388))="STD", TRIM(B1388)=TRIM(Enginuity!$A$17))
    ),
    OR(
      AND(LEFT(P1388,5)="1-Way", Enginuity!$B$13=1),
      AND(LEFT(P1388,5)="2-Way", OR(Enginuity!$B$13=2, Enginuity!$B$13=4)),
      AND(LEFT(P1388,5)="3-Way", OR(Enginuity!$B$13=3, Enginuity!$B$13=6)),
      AND(P1388="Inner Centre Jamb", OR(Enginuity!$B$13=4, Enginuity!$B$13=6)),
      AND(
        LEFT(P1388,5)&lt;&gt;"1-Way",
        LEFT(P1388,5)&lt;&gt;"2-Way",
        LEFT(P1388,5)&lt;&gt;"3-Way",
        P1388&lt;&gt;"Inner Centre Jamb"
      )
    ),
    IF(OR(Enginuity!$A$1="Frameless Glass",Enginuity!$A$1="Metal Work"),
      AND(TRIM(B1388)=TRIM(Enginuity!$A$17),TRIM(C1388)=TRIM(Enginuity!$A$18)),
      TRIM(B1388)=TRIM(Enginuity!$A$17)
    )
  ),
  ROW(),
  ""
)</f>
        <v/>
      </c>
    </row>
    <row r="1389" spans="1:21" x14ac:dyDescent="0.25">
      <c r="A1389" s="10" t="s">
        <v>253</v>
      </c>
      <c r="B1389" s="229" t="s">
        <v>331</v>
      </c>
      <c r="C1389" s="10" t="s">
        <v>715</v>
      </c>
      <c r="D1389" s="86" t="s">
        <v>537</v>
      </c>
      <c r="E1389" s="159" t="s">
        <v>704</v>
      </c>
      <c r="F1389" s="14" t="s">
        <v>748</v>
      </c>
      <c r="G1389" s="18"/>
      <c r="H1389" s="10"/>
      <c r="I1389" s="17"/>
      <c r="J1389" s="83"/>
      <c r="K1389" s="343"/>
      <c r="L1389" s="347"/>
      <c r="M1389" s="89"/>
      <c r="N1389" s="10"/>
      <c r="O1389" s="22">
        <v>250.95</v>
      </c>
      <c r="P1389" s="106" t="s">
        <v>748</v>
      </c>
      <c r="Q1389" s="22" t="str">
        <f>IF(AND(Enginuity!$A$21&lt;&gt;"", P1389=Enginuity!$A$21), 1, "")</f>
        <v/>
      </c>
      <c r="U1389" s="104" t="str">
        <f>IF(
  AND(
    TRIM(A1389)=TRIM(Enginuity!$A$1),
    TRIM(B1389)=TRIM(Enginuity!$A$17),
    Q1389&lt;&gt;"",
    Q1389&lt;&gt;0,
    OR(
      TRIM(C1389)=TRIM(Enginuity!$A$18),
      AND(UPPER(TRIM(M1389))="STD", TRIM(B1389)=TRIM(Enginuity!$A$17))
    ),
    OR(
      AND(LEFT(P1389,5)="1-Way", Enginuity!$B$13=1),
      AND(LEFT(P1389,5)="2-Way", OR(Enginuity!$B$13=2, Enginuity!$B$13=4)),
      AND(LEFT(P1389,5)="3-Way", OR(Enginuity!$B$13=3, Enginuity!$B$13=6)),
      AND(P1389="Inner Centre Jamb", OR(Enginuity!$B$13=4, Enginuity!$B$13=6)),
      AND(
        LEFT(P1389,5)&lt;&gt;"1-Way",
        LEFT(P1389,5)&lt;&gt;"2-Way",
        LEFT(P1389,5)&lt;&gt;"3-Way",
        P1389&lt;&gt;"Inner Centre Jamb"
      )
    ),
    IF(OR(Enginuity!$A$1="Frameless Glass",Enginuity!$A$1="Metal Work"),
      AND(TRIM(B1389)=TRIM(Enginuity!$A$17),TRIM(C1389)=TRIM(Enginuity!$A$18)),
      TRIM(B1389)=TRIM(Enginuity!$A$17)
    )
  ),
  ROW(),
  ""
)</f>
        <v/>
      </c>
    </row>
    <row r="1390" spans="1:21" x14ac:dyDescent="0.25">
      <c r="A1390" s="10" t="s">
        <v>253</v>
      </c>
      <c r="B1390" s="229" t="s">
        <v>331</v>
      </c>
      <c r="C1390" s="10" t="s">
        <v>715</v>
      </c>
      <c r="D1390" s="86" t="s">
        <v>537</v>
      </c>
      <c r="E1390" s="159" t="s">
        <v>704</v>
      </c>
      <c r="F1390" s="36" t="s">
        <v>749</v>
      </c>
      <c r="G1390" s="17"/>
      <c r="H1390" s="10"/>
      <c r="I1390" s="17"/>
      <c r="J1390" s="83"/>
      <c r="K1390" s="343"/>
      <c r="L1390" s="347"/>
      <c r="M1390" s="12"/>
      <c r="N1390" s="10"/>
      <c r="O1390" s="22">
        <v>265.64999999999998</v>
      </c>
      <c r="P1390" s="14" t="s">
        <v>749</v>
      </c>
      <c r="Q1390" s="22" t="str">
        <f>IF(AND(Enginuity!$A$21&lt;&gt;"", P1390=Enginuity!$A$21), 1, "")</f>
        <v/>
      </c>
      <c r="U1390" s="104" t="str">
        <f>IF(
  AND(
    TRIM(A1390)=TRIM(Enginuity!$A$1),
    TRIM(B1390)=TRIM(Enginuity!$A$17),
    Q1390&lt;&gt;"",
    Q1390&lt;&gt;0,
    OR(
      TRIM(C1390)=TRIM(Enginuity!$A$18),
      AND(UPPER(TRIM(M1390))="STD", TRIM(B1390)=TRIM(Enginuity!$A$17))
    ),
    OR(
      AND(LEFT(P1390,5)="1-Way", Enginuity!$B$13=1),
      AND(LEFT(P1390,5)="2-Way", OR(Enginuity!$B$13=2, Enginuity!$B$13=4)),
      AND(LEFT(P1390,5)="3-Way", OR(Enginuity!$B$13=3, Enginuity!$B$13=6)),
      AND(P1390="Inner Centre Jamb", OR(Enginuity!$B$13=4, Enginuity!$B$13=6)),
      AND(
        LEFT(P1390,5)&lt;&gt;"1-Way",
        LEFT(P1390,5)&lt;&gt;"2-Way",
        LEFT(P1390,5)&lt;&gt;"3-Way",
        P1390&lt;&gt;"Inner Centre Jamb"
      )
    ),
    IF(OR(Enginuity!$A$1="Frameless Glass",Enginuity!$A$1="Metal Work"),
      AND(TRIM(B1390)=TRIM(Enginuity!$A$17),TRIM(C1390)=TRIM(Enginuity!$A$18)),
      TRIM(B1390)=TRIM(Enginuity!$A$17)
    )
  ),
  ROW(),
  ""
)</f>
        <v/>
      </c>
    </row>
    <row r="1391" spans="1:21" x14ac:dyDescent="0.25">
      <c r="A1391" s="10" t="s">
        <v>253</v>
      </c>
      <c r="B1391" s="229" t="s">
        <v>331</v>
      </c>
      <c r="C1391" s="10" t="s">
        <v>715</v>
      </c>
      <c r="D1391" s="86" t="s">
        <v>537</v>
      </c>
      <c r="E1391" s="159" t="s">
        <v>704</v>
      </c>
      <c r="F1391" s="14" t="s">
        <v>511</v>
      </c>
      <c r="G1391" s="17"/>
      <c r="H1391" s="10"/>
      <c r="I1391" s="17"/>
      <c r="J1391" s="83"/>
      <c r="K1391" s="343"/>
      <c r="L1391" s="347"/>
      <c r="M1391" s="12"/>
      <c r="N1391" s="10"/>
      <c r="O1391" s="22">
        <v>289.8</v>
      </c>
      <c r="P1391" s="14" t="s">
        <v>511</v>
      </c>
      <c r="Q1391" s="22" t="str">
        <f>IF(AND(Enginuity!$A$21&lt;&gt;"", P1391=Enginuity!$A$21), 1, "")</f>
        <v/>
      </c>
      <c r="U1391" s="104" t="str">
        <f>IF(
  AND(
    TRIM(A1391)=TRIM(Enginuity!$A$1),
    TRIM(B1391)=TRIM(Enginuity!$A$17),
    Q1391&lt;&gt;"",
    Q1391&lt;&gt;0,
    OR(
      TRIM(C1391)=TRIM(Enginuity!$A$18),
      AND(UPPER(TRIM(M1391))="STD", TRIM(B1391)=TRIM(Enginuity!$A$17))
    ),
    OR(
      AND(LEFT(P1391,5)="1-Way", Enginuity!$B$13=1),
      AND(LEFT(P1391,5)="2-Way", OR(Enginuity!$B$13=2, Enginuity!$B$13=4)),
      AND(LEFT(P1391,5)="3-Way", OR(Enginuity!$B$13=3, Enginuity!$B$13=6)),
      AND(P1391="Inner Centre Jamb", OR(Enginuity!$B$13=4, Enginuity!$B$13=6)),
      AND(
        LEFT(P1391,5)&lt;&gt;"1-Way",
        LEFT(P1391,5)&lt;&gt;"2-Way",
        LEFT(P1391,5)&lt;&gt;"3-Way",
        P1391&lt;&gt;"Inner Centre Jamb"
      )
    ),
    IF(OR(Enginuity!$A$1="Frameless Glass",Enginuity!$A$1="Metal Work"),
      AND(TRIM(B1391)=TRIM(Enginuity!$A$17),TRIM(C1391)=TRIM(Enginuity!$A$18)),
      TRIM(B1391)=TRIM(Enginuity!$A$17)
    )
  ),
  ROW(),
  ""
)</f>
        <v/>
      </c>
    </row>
    <row r="1392" spans="1:21" x14ac:dyDescent="0.25">
      <c r="A1392" s="10" t="s">
        <v>253</v>
      </c>
      <c r="B1392" s="229" t="s">
        <v>331</v>
      </c>
      <c r="C1392" s="10" t="s">
        <v>715</v>
      </c>
      <c r="D1392" s="86" t="s">
        <v>537</v>
      </c>
      <c r="E1392" s="159" t="s">
        <v>704</v>
      </c>
      <c r="F1392" s="14" t="s">
        <v>512</v>
      </c>
      <c r="G1392" s="17"/>
      <c r="H1392" s="10"/>
      <c r="I1392" s="17"/>
      <c r="J1392" s="83"/>
      <c r="K1392" s="343"/>
      <c r="L1392" s="347"/>
      <c r="M1392" s="12"/>
      <c r="N1392" s="10"/>
      <c r="O1392" s="22">
        <v>312.89999999999998</v>
      </c>
      <c r="P1392" s="14" t="s">
        <v>512</v>
      </c>
      <c r="Q1392" s="22" t="str">
        <f>IF(AND(Enginuity!$A$21&lt;&gt;"", P1392=Enginuity!$A$21), 1, "")</f>
        <v/>
      </c>
      <c r="U1392" s="104" t="str">
        <f>IF(
  AND(
    TRIM(A1392)=TRIM(Enginuity!$A$1),
    TRIM(B1392)=TRIM(Enginuity!$A$17),
    Q1392&lt;&gt;"",
    Q1392&lt;&gt;0,
    OR(
      TRIM(C1392)=TRIM(Enginuity!$A$18),
      AND(UPPER(TRIM(M1392))="STD", TRIM(B1392)=TRIM(Enginuity!$A$17))
    ),
    OR(
      AND(LEFT(P1392,5)="1-Way", Enginuity!$B$13=1),
      AND(LEFT(P1392,5)="2-Way", OR(Enginuity!$B$13=2, Enginuity!$B$13=4)),
      AND(LEFT(P1392,5)="3-Way", OR(Enginuity!$B$13=3, Enginuity!$B$13=6)),
      AND(P1392="Inner Centre Jamb", OR(Enginuity!$B$13=4, Enginuity!$B$13=6)),
      AND(
        LEFT(P1392,5)&lt;&gt;"1-Way",
        LEFT(P1392,5)&lt;&gt;"2-Way",
        LEFT(P1392,5)&lt;&gt;"3-Way",
        P1392&lt;&gt;"Inner Centre Jamb"
      )
    ),
    IF(OR(Enginuity!$A$1="Frameless Glass",Enginuity!$A$1="Metal Work"),
      AND(TRIM(B1392)=TRIM(Enginuity!$A$17),TRIM(C1392)=TRIM(Enginuity!$A$18)),
      TRIM(B1392)=TRIM(Enginuity!$A$17)
    )
  ),
  ROW(),
  ""
)</f>
        <v/>
      </c>
    </row>
    <row r="1393" spans="1:21" x14ac:dyDescent="0.25">
      <c r="A1393" s="10" t="s">
        <v>253</v>
      </c>
      <c r="B1393" s="229" t="s">
        <v>331</v>
      </c>
      <c r="C1393" s="10" t="s">
        <v>715</v>
      </c>
      <c r="D1393" s="86" t="s">
        <v>537</v>
      </c>
      <c r="E1393" s="159" t="s">
        <v>704</v>
      </c>
      <c r="F1393" s="106" t="s">
        <v>513</v>
      </c>
      <c r="G1393" s="17"/>
      <c r="H1393" s="10"/>
      <c r="I1393" s="17"/>
      <c r="J1393" s="83"/>
      <c r="K1393" s="343"/>
      <c r="L1393" s="347"/>
      <c r="M1393" s="12"/>
      <c r="N1393" s="10"/>
      <c r="O1393" s="22">
        <v>366.45</v>
      </c>
      <c r="P1393" s="21" t="s">
        <v>513</v>
      </c>
      <c r="Q1393" s="22" t="str">
        <f>IF(AND(Enginuity!$A$21&lt;&gt;"", P1393=Enginuity!$A$21), 1, "")</f>
        <v/>
      </c>
      <c r="U1393" s="104" t="str">
        <f>IF(
  AND(
    TRIM(A1393)=TRIM(Enginuity!$A$1),
    TRIM(B1393)=TRIM(Enginuity!$A$17),
    Q1393&lt;&gt;"",
    Q1393&lt;&gt;0,
    OR(
      TRIM(C1393)=TRIM(Enginuity!$A$18),
      AND(UPPER(TRIM(M1393))="STD", TRIM(B1393)=TRIM(Enginuity!$A$17))
    ),
    OR(
      AND(LEFT(P1393,5)="1-Way", Enginuity!$B$13=1),
      AND(LEFT(P1393,5)="2-Way", OR(Enginuity!$B$13=2, Enginuity!$B$13=4)),
      AND(LEFT(P1393,5)="3-Way", OR(Enginuity!$B$13=3, Enginuity!$B$13=6)),
      AND(P1393="Inner Centre Jamb", OR(Enginuity!$B$13=4, Enginuity!$B$13=6)),
      AND(
        LEFT(P1393,5)&lt;&gt;"1-Way",
        LEFT(P1393,5)&lt;&gt;"2-Way",
        LEFT(P1393,5)&lt;&gt;"3-Way",
        P1393&lt;&gt;"Inner Centre Jamb"
      )
    ),
    IF(OR(Enginuity!$A$1="Frameless Glass",Enginuity!$A$1="Metal Work"),
      AND(TRIM(B1393)=TRIM(Enginuity!$A$17),TRIM(C1393)=TRIM(Enginuity!$A$18)),
      TRIM(B1393)=TRIM(Enginuity!$A$17)
    )
  ),
  ROW(),
  ""
)</f>
        <v/>
      </c>
    </row>
    <row r="1394" spans="1:21" x14ac:dyDescent="0.25">
      <c r="A1394" s="10" t="s">
        <v>253</v>
      </c>
      <c r="B1394" s="229" t="s">
        <v>331</v>
      </c>
      <c r="C1394" s="10" t="s">
        <v>715</v>
      </c>
      <c r="D1394" s="86" t="s">
        <v>537</v>
      </c>
      <c r="E1394" s="241" t="s">
        <v>705</v>
      </c>
      <c r="F1394" s="14" t="s">
        <v>750</v>
      </c>
      <c r="G1394" s="142" t="s">
        <v>382</v>
      </c>
      <c r="H1394" s="10"/>
      <c r="I1394" s="17"/>
      <c r="J1394" s="83"/>
      <c r="K1394" s="343"/>
      <c r="L1394" s="347"/>
      <c r="M1394" s="12"/>
      <c r="N1394" s="10"/>
      <c r="O1394" s="22">
        <v>238.35</v>
      </c>
      <c r="P1394" s="21" t="s">
        <v>750</v>
      </c>
      <c r="Q1394" s="22" t="str">
        <f>IF(AND(Enginuity!$A$21&lt;&gt;"", P1394=Enginuity!$A$21), 1, "")</f>
        <v/>
      </c>
      <c r="U1394" s="104" t="str">
        <f>IF(
  AND(
    TRIM(A1394)=TRIM(Enginuity!$A$1),
    TRIM(B1394)=TRIM(Enginuity!$A$17),
    Q1394&lt;&gt;"",
    Q1394&lt;&gt;0,
    OR(
      TRIM(C1394)=TRIM(Enginuity!$A$18),
      AND(UPPER(TRIM(M1394))="STD", TRIM(B1394)=TRIM(Enginuity!$A$17))
    ),
    OR(
      AND(LEFT(P1394,5)="1-Way", Enginuity!$B$13=1),
      AND(LEFT(P1394,5)="2-Way", OR(Enginuity!$B$13=2, Enginuity!$B$13=4)),
      AND(LEFT(P1394,5)="3-Way", OR(Enginuity!$B$13=3, Enginuity!$B$13=6)),
      AND(P1394="Inner Centre Jamb", OR(Enginuity!$B$13=4, Enginuity!$B$13=6)),
      AND(
        LEFT(P1394,5)&lt;&gt;"1-Way",
        LEFT(P1394,5)&lt;&gt;"2-Way",
        LEFT(P1394,5)&lt;&gt;"3-Way",
        P1394&lt;&gt;"Inner Centre Jamb"
      )
    ),
    IF(OR(Enginuity!$A$1="Frameless Glass",Enginuity!$A$1="Metal Work"),
      AND(TRIM(B1394)=TRIM(Enginuity!$A$17),TRIM(C1394)=TRIM(Enginuity!$A$18)),
      TRIM(B1394)=TRIM(Enginuity!$A$17)
    )
  ),
  ROW(),
  ""
)</f>
        <v/>
      </c>
    </row>
    <row r="1395" spans="1:21" x14ac:dyDescent="0.25">
      <c r="A1395" s="10" t="s">
        <v>253</v>
      </c>
      <c r="B1395" s="229" t="s">
        <v>331</v>
      </c>
      <c r="C1395" s="10" t="s">
        <v>715</v>
      </c>
      <c r="D1395" s="86" t="s">
        <v>537</v>
      </c>
      <c r="E1395" s="241" t="s">
        <v>705</v>
      </c>
      <c r="F1395" s="14" t="s">
        <v>751</v>
      </c>
      <c r="G1395" s="18" t="s">
        <v>384</v>
      </c>
      <c r="H1395" s="10"/>
      <c r="I1395" s="17"/>
      <c r="J1395" s="83"/>
      <c r="K1395" s="343"/>
      <c r="L1395" s="347"/>
      <c r="M1395" s="12"/>
      <c r="N1395" s="10"/>
      <c r="O1395" s="22">
        <v>273</v>
      </c>
      <c r="P1395" s="21" t="s">
        <v>751</v>
      </c>
      <c r="Q1395" s="22" t="str">
        <f>IF(AND(Enginuity!$A$21&lt;&gt;"", P1395=Enginuity!$A$21), 1, "")</f>
        <v/>
      </c>
      <c r="U1395" s="104" t="str">
        <f>IF(
  AND(
    TRIM(A1395)=TRIM(Enginuity!$A$1),
    TRIM(B1395)=TRIM(Enginuity!$A$17),
    Q1395&lt;&gt;"",
    Q1395&lt;&gt;0,
    OR(
      TRIM(C1395)=TRIM(Enginuity!$A$18),
      AND(UPPER(TRIM(M1395))="STD", TRIM(B1395)=TRIM(Enginuity!$A$17))
    ),
    OR(
      AND(LEFT(P1395,5)="1-Way", Enginuity!$B$13=1),
      AND(LEFT(P1395,5)="2-Way", OR(Enginuity!$B$13=2, Enginuity!$B$13=4)),
      AND(LEFT(P1395,5)="3-Way", OR(Enginuity!$B$13=3, Enginuity!$B$13=6)),
      AND(P1395="Inner Centre Jamb", OR(Enginuity!$B$13=4, Enginuity!$B$13=6)),
      AND(
        LEFT(P1395,5)&lt;&gt;"1-Way",
        LEFT(P1395,5)&lt;&gt;"2-Way",
        LEFT(P1395,5)&lt;&gt;"3-Way",
        P1395&lt;&gt;"Inner Centre Jamb"
      )
    ),
    IF(OR(Enginuity!$A$1="Frameless Glass",Enginuity!$A$1="Metal Work"),
      AND(TRIM(B1395)=TRIM(Enginuity!$A$17),TRIM(C1395)=TRIM(Enginuity!$A$18)),
      TRIM(B1395)=TRIM(Enginuity!$A$17)
    )
  ),
  ROW(),
  ""
)</f>
        <v/>
      </c>
    </row>
    <row r="1396" spans="1:21" x14ac:dyDescent="0.25">
      <c r="A1396" s="10" t="s">
        <v>253</v>
      </c>
      <c r="B1396" s="229" t="s">
        <v>331</v>
      </c>
      <c r="C1396" s="10" t="s">
        <v>715</v>
      </c>
      <c r="D1396" s="86" t="s">
        <v>537</v>
      </c>
      <c r="E1396" s="241" t="s">
        <v>705</v>
      </c>
      <c r="F1396" s="14" t="s">
        <v>752</v>
      </c>
      <c r="G1396" s="18"/>
      <c r="H1396" s="10"/>
      <c r="I1396" s="17"/>
      <c r="J1396" s="83"/>
      <c r="K1396" s="343"/>
      <c r="L1396" s="347"/>
      <c r="M1396" s="12"/>
      <c r="N1396" s="10"/>
      <c r="O1396" s="22">
        <v>302.39999999999998</v>
      </c>
      <c r="P1396" s="14" t="s">
        <v>752</v>
      </c>
      <c r="Q1396" s="22" t="str">
        <f>IF(AND(Enginuity!$A$21&lt;&gt;"", P1396=Enginuity!$A$21), 1, "")</f>
        <v/>
      </c>
      <c r="U1396" s="104" t="str">
        <f>IF(
  AND(
    TRIM(A1396)=TRIM(Enginuity!$A$1),
    TRIM(B1396)=TRIM(Enginuity!$A$17),
    Q1396&lt;&gt;"",
    Q1396&lt;&gt;0,
    OR(
      TRIM(C1396)=TRIM(Enginuity!$A$18),
      AND(UPPER(TRIM(M1396))="STD", TRIM(B1396)=TRIM(Enginuity!$A$17))
    ),
    OR(
      AND(LEFT(P1396,5)="1-Way", Enginuity!$B$13=1),
      AND(LEFT(P1396,5)="2-Way", OR(Enginuity!$B$13=2, Enginuity!$B$13=4)),
      AND(LEFT(P1396,5)="3-Way", OR(Enginuity!$B$13=3, Enginuity!$B$13=6)),
      AND(P1396="Inner Centre Jamb", OR(Enginuity!$B$13=4, Enginuity!$B$13=6)),
      AND(
        LEFT(P1396,5)&lt;&gt;"1-Way",
        LEFT(P1396,5)&lt;&gt;"2-Way",
        LEFT(P1396,5)&lt;&gt;"3-Way",
        P1396&lt;&gt;"Inner Centre Jamb"
      )
    ),
    IF(OR(Enginuity!$A$1="Frameless Glass",Enginuity!$A$1="Metal Work"),
      AND(TRIM(B1396)=TRIM(Enginuity!$A$17),TRIM(C1396)=TRIM(Enginuity!$A$18)),
      TRIM(B1396)=TRIM(Enginuity!$A$17)
    )
  ),
  ROW(),
  ""
)</f>
        <v/>
      </c>
    </row>
    <row r="1397" spans="1:21" x14ac:dyDescent="0.25">
      <c r="A1397" s="10" t="s">
        <v>253</v>
      </c>
      <c r="B1397" s="229" t="s">
        <v>331</v>
      </c>
      <c r="C1397" s="10" t="s">
        <v>715</v>
      </c>
      <c r="D1397" s="86" t="s">
        <v>537</v>
      </c>
      <c r="E1397" s="241" t="s">
        <v>705</v>
      </c>
      <c r="F1397" s="21" t="s">
        <v>753</v>
      </c>
      <c r="G1397" s="17"/>
      <c r="H1397" s="10"/>
      <c r="I1397" s="17"/>
      <c r="J1397" s="83"/>
      <c r="K1397" s="343"/>
      <c r="L1397" s="347"/>
      <c r="M1397" s="89"/>
      <c r="N1397" s="10"/>
      <c r="O1397" s="22">
        <v>341.25</v>
      </c>
      <c r="P1397" s="14" t="s">
        <v>753</v>
      </c>
      <c r="Q1397" s="22" t="str">
        <f>IF(AND(Enginuity!$A$21&lt;&gt;"", P1397=Enginuity!$A$21), 1, "")</f>
        <v/>
      </c>
      <c r="U1397" s="104" t="str">
        <f>IF(
  AND(
    TRIM(A1397)=TRIM(Enginuity!$A$1),
    TRIM(B1397)=TRIM(Enginuity!$A$17),
    Q1397&lt;&gt;"",
    Q1397&lt;&gt;0,
    OR(
      TRIM(C1397)=TRIM(Enginuity!$A$18),
      AND(UPPER(TRIM(M1397))="STD", TRIM(B1397)=TRIM(Enginuity!$A$17))
    ),
    OR(
      AND(LEFT(P1397,5)="1-Way", Enginuity!$B$13=1),
      AND(LEFT(P1397,5)="2-Way", OR(Enginuity!$B$13=2, Enginuity!$B$13=4)),
      AND(LEFT(P1397,5)="3-Way", OR(Enginuity!$B$13=3, Enginuity!$B$13=6)),
      AND(P1397="Inner Centre Jamb", OR(Enginuity!$B$13=4, Enginuity!$B$13=6)),
      AND(
        LEFT(P1397,5)&lt;&gt;"1-Way",
        LEFT(P1397,5)&lt;&gt;"2-Way",
        LEFT(P1397,5)&lt;&gt;"3-Way",
        P1397&lt;&gt;"Inner Centre Jamb"
      )
    ),
    IF(OR(Enginuity!$A$1="Frameless Glass",Enginuity!$A$1="Metal Work"),
      AND(TRIM(B1397)=TRIM(Enginuity!$A$17),TRIM(C1397)=TRIM(Enginuity!$A$18)),
      TRIM(B1397)=TRIM(Enginuity!$A$17)
    )
  ),
  ROW(),
  ""
)</f>
        <v/>
      </c>
    </row>
    <row r="1398" spans="1:21" x14ac:dyDescent="0.25">
      <c r="A1398" s="10" t="s">
        <v>253</v>
      </c>
      <c r="B1398" s="229" t="s">
        <v>331</v>
      </c>
      <c r="C1398" s="10" t="s">
        <v>715</v>
      </c>
      <c r="D1398" s="86" t="s">
        <v>537</v>
      </c>
      <c r="E1398" s="241" t="s">
        <v>705</v>
      </c>
      <c r="F1398" s="21" t="s">
        <v>527</v>
      </c>
      <c r="G1398" s="17"/>
      <c r="H1398" s="10"/>
      <c r="I1398" s="17"/>
      <c r="J1398" s="83"/>
      <c r="K1398" s="343"/>
      <c r="L1398" s="347"/>
      <c r="M1398" s="12"/>
      <c r="N1398" s="10"/>
      <c r="O1398" s="22">
        <v>380.1</v>
      </c>
      <c r="P1398" s="36" t="s">
        <v>527</v>
      </c>
      <c r="Q1398" s="22" t="str">
        <f>IF(AND(Enginuity!$A$21&lt;&gt;"", P1398=Enginuity!$A$21), 1, "")</f>
        <v/>
      </c>
      <c r="U1398" s="104" t="str">
        <f>IF(
  AND(
    TRIM(A1398)=TRIM(Enginuity!$A$1),
    TRIM(B1398)=TRIM(Enginuity!$A$17),
    Q1398&lt;&gt;"",
    Q1398&lt;&gt;0,
    OR(
      TRIM(C1398)=TRIM(Enginuity!$A$18),
      AND(UPPER(TRIM(M1398))="STD", TRIM(B1398)=TRIM(Enginuity!$A$17))
    ),
    OR(
      AND(LEFT(P1398,5)="1-Way", Enginuity!$B$13=1),
      AND(LEFT(P1398,5)="2-Way", OR(Enginuity!$B$13=2, Enginuity!$B$13=4)),
      AND(LEFT(P1398,5)="3-Way", OR(Enginuity!$B$13=3, Enginuity!$B$13=6)),
      AND(P1398="Inner Centre Jamb", OR(Enginuity!$B$13=4, Enginuity!$B$13=6)),
      AND(
        LEFT(P1398,5)&lt;&gt;"1-Way",
        LEFT(P1398,5)&lt;&gt;"2-Way",
        LEFT(P1398,5)&lt;&gt;"3-Way",
        P1398&lt;&gt;"Inner Centre Jamb"
      )
    ),
    IF(OR(Enginuity!$A$1="Frameless Glass",Enginuity!$A$1="Metal Work"),
      AND(TRIM(B1398)=TRIM(Enginuity!$A$17),TRIM(C1398)=TRIM(Enginuity!$A$18)),
      TRIM(B1398)=TRIM(Enginuity!$A$17)
    )
  ),
  ROW(),
  ""
)</f>
        <v/>
      </c>
    </row>
    <row r="1399" spans="1:21" x14ac:dyDescent="0.25">
      <c r="A1399" s="10" t="s">
        <v>253</v>
      </c>
      <c r="B1399" s="229" t="s">
        <v>331</v>
      </c>
      <c r="C1399" s="10" t="s">
        <v>715</v>
      </c>
      <c r="D1399" s="86" t="s">
        <v>537</v>
      </c>
      <c r="E1399" s="241" t="s">
        <v>705</v>
      </c>
      <c r="F1399" s="21" t="s">
        <v>528</v>
      </c>
      <c r="G1399" s="17"/>
      <c r="H1399" s="10"/>
      <c r="I1399" s="17"/>
      <c r="J1399" s="83"/>
      <c r="K1399" s="343"/>
      <c r="L1399" s="347"/>
      <c r="M1399" s="12"/>
      <c r="N1399" s="10"/>
      <c r="O1399" s="22">
        <v>417.9</v>
      </c>
      <c r="P1399" s="14" t="s">
        <v>528</v>
      </c>
      <c r="Q1399" s="22" t="str">
        <f>IF(AND(Enginuity!$A$21&lt;&gt;"", P1399=Enginuity!$A$21), 1, "")</f>
        <v/>
      </c>
      <c r="U1399" s="104" t="str">
        <f>IF(
  AND(
    TRIM(A1399)=TRIM(Enginuity!$A$1),
    TRIM(B1399)=TRIM(Enginuity!$A$17),
    Q1399&lt;&gt;"",
    Q1399&lt;&gt;0,
    OR(
      TRIM(C1399)=TRIM(Enginuity!$A$18),
      AND(UPPER(TRIM(M1399))="STD", TRIM(B1399)=TRIM(Enginuity!$A$17))
    ),
    OR(
      AND(LEFT(P1399,5)="1-Way", Enginuity!$B$13=1),
      AND(LEFT(P1399,5)="2-Way", OR(Enginuity!$B$13=2, Enginuity!$B$13=4)),
      AND(LEFT(P1399,5)="3-Way", OR(Enginuity!$B$13=3, Enginuity!$B$13=6)),
      AND(P1399="Inner Centre Jamb", OR(Enginuity!$B$13=4, Enginuity!$B$13=6)),
      AND(
        LEFT(P1399,5)&lt;&gt;"1-Way",
        LEFT(P1399,5)&lt;&gt;"2-Way",
        LEFT(P1399,5)&lt;&gt;"3-Way",
        P1399&lt;&gt;"Inner Centre Jamb"
      )
    ),
    IF(OR(Enginuity!$A$1="Frameless Glass",Enginuity!$A$1="Metal Work"),
      AND(TRIM(B1399)=TRIM(Enginuity!$A$17),TRIM(C1399)=TRIM(Enginuity!$A$18)),
      TRIM(B1399)=TRIM(Enginuity!$A$17)
    )
  ),
  ROW(),
  ""
)</f>
        <v/>
      </c>
    </row>
    <row r="1400" spans="1:21" x14ac:dyDescent="0.25">
      <c r="A1400" s="10" t="s">
        <v>253</v>
      </c>
      <c r="B1400" s="229" t="s">
        <v>331</v>
      </c>
      <c r="C1400" s="10" t="s">
        <v>715</v>
      </c>
      <c r="D1400" s="86" t="s">
        <v>537</v>
      </c>
      <c r="E1400" s="241" t="s">
        <v>705</v>
      </c>
      <c r="F1400" s="14" t="s">
        <v>529</v>
      </c>
      <c r="G1400" s="17"/>
      <c r="H1400" s="10"/>
      <c r="I1400" s="17"/>
      <c r="J1400" s="83"/>
      <c r="K1400" s="343"/>
      <c r="L1400" s="347"/>
      <c r="M1400" s="12"/>
      <c r="N1400" s="10"/>
      <c r="O1400" s="22">
        <v>487.2</v>
      </c>
      <c r="P1400" s="14" t="s">
        <v>529</v>
      </c>
      <c r="Q1400" s="22" t="str">
        <f>IF(AND(Enginuity!$A$21&lt;&gt;"", P1400=Enginuity!$A$21), 1, "")</f>
        <v/>
      </c>
      <c r="U1400" s="104" t="str">
        <f>IF(
  AND(
    TRIM(A1400)=TRIM(Enginuity!$A$1),
    TRIM(B1400)=TRIM(Enginuity!$A$17),
    Q1400&lt;&gt;"",
    Q1400&lt;&gt;0,
    OR(
      TRIM(C1400)=TRIM(Enginuity!$A$18),
      AND(UPPER(TRIM(M1400))="STD", TRIM(B1400)=TRIM(Enginuity!$A$17))
    ),
    OR(
      AND(LEFT(P1400,5)="1-Way", Enginuity!$B$13=1),
      AND(LEFT(P1400,5)="2-Way", OR(Enginuity!$B$13=2, Enginuity!$B$13=4)),
      AND(LEFT(P1400,5)="3-Way", OR(Enginuity!$B$13=3, Enginuity!$B$13=6)),
      AND(P1400="Inner Centre Jamb", OR(Enginuity!$B$13=4, Enginuity!$B$13=6)),
      AND(
        LEFT(P1400,5)&lt;&gt;"1-Way",
        LEFT(P1400,5)&lt;&gt;"2-Way",
        LEFT(P1400,5)&lt;&gt;"3-Way",
        P1400&lt;&gt;"Inner Centre Jamb"
      )
    ),
    IF(OR(Enginuity!$A$1="Frameless Glass",Enginuity!$A$1="Metal Work"),
      AND(TRIM(B1400)=TRIM(Enginuity!$A$17),TRIM(C1400)=TRIM(Enginuity!$A$18)),
      TRIM(B1400)=TRIM(Enginuity!$A$17)
    )
  ),
  ROW(),
  ""
)</f>
        <v/>
      </c>
    </row>
    <row r="1401" spans="1:21" x14ac:dyDescent="0.25">
      <c r="A1401" s="17" t="s">
        <v>253</v>
      </c>
      <c r="B1401" s="230" t="s">
        <v>331</v>
      </c>
      <c r="C1401" s="17" t="s">
        <v>715</v>
      </c>
      <c r="D1401" s="168" t="s">
        <v>537</v>
      </c>
      <c r="E1401" s="253"/>
      <c r="F1401" s="18"/>
      <c r="G1401" s="17"/>
      <c r="H1401" s="17"/>
      <c r="I1401" s="17"/>
      <c r="J1401" s="84"/>
      <c r="K1401" s="343"/>
      <c r="L1401" s="347"/>
      <c r="M1401" s="90"/>
      <c r="N1401" s="17" t="s">
        <v>176</v>
      </c>
      <c r="O1401" s="25" t="str">
        <f>IF(Enginuity!$A$22="Supply &amp; Install",70,IF(Enginuity!$A$22="Self Collect",0,""))</f>
        <v/>
      </c>
      <c r="P1401" s="121" t="str">
        <f>Enginuity!$A$22</f>
        <v>▼ [Lattice]</v>
      </c>
      <c r="Q1401" s="25" t="str">
        <f>IF(AND(
  LEN(O1401)&gt;0,
  OR(P1401="72"" Height", ISNUMBER(SEARCH("72"" Height",D1401))),
  OR(Enginuity!$A$22="Supply &amp; Install", Enginuity!$A$22="Self Collect")
),1,"")</f>
        <v/>
      </c>
      <c r="U1401" s="104" t="str">
        <f>IF(
  AND(
    TRIM(A1401)=TRIM(Enginuity!$A$1),
    TRIM(B1401)=TRIM(Enginuity!$A$17),
    Q1401&lt;&gt;"",
    Q1401&lt;&gt;0,
    OR(
      TRIM(C1401)=TRIM(Enginuity!$A$18),
      AND(UPPER(TRIM(M1401))="STD", TRIM(B1401)=TRIM(Enginuity!$A$17))
    ),
    OR(
      AND(LEFT(P1401,5)="1-Way", Enginuity!$B$13=1),
      AND(LEFT(P1401,5)="2-Way", OR(Enginuity!$B$13=2, Enginuity!$B$13=4)),
      AND(LEFT(P1401,5)="3-Way", OR(Enginuity!$B$13=3, Enginuity!$B$13=6)),
      AND(P1401="Inner Centre Jamb", OR(Enginuity!$B$13=4, Enginuity!$B$13=6)),
      AND(
        LEFT(P1401,5)&lt;&gt;"1-Way",
        LEFT(P1401,5)&lt;&gt;"2-Way",
        LEFT(P1401,5)&lt;&gt;"3-Way",
        P1401&lt;&gt;"Inner Centre Jamb"
      )
    ),
    IF(OR(Enginuity!$A$1="Frameless Glass",Enginuity!$A$1="Metal Work"),
      AND(TRIM(B1401)=TRIM(Enginuity!$A$17),TRIM(C1401)=TRIM(Enginuity!$A$18)),
      TRIM(B1401)=TRIM(Enginuity!$A$17)
    )
  ),
  ROW(),
  ""
)</f>
        <v/>
      </c>
    </row>
    <row r="1402" spans="1:21" x14ac:dyDescent="0.25">
      <c r="U1402" s="104" t="str">
        <f>IF(
  AND(
    TRIM(A1402)=TRIM(Enginuity!$A$1),
    TRIM(B1402)=TRIM(Enginuity!$A$17),
    Q1402&lt;&gt;"",
    Q1402&lt;&gt;0,
    OR(
      TRIM(C1402)=TRIM(Enginuity!$A$18),
      AND(UPPER(TRIM(M1402))="STD", TRIM(B1402)=TRIM(Enginuity!$A$17))
    ),
    OR(
      AND(LEFT(P1402,5)="1-Way", Enginuity!$B$13=1),
      AND(LEFT(P1402,5)="2-Way", OR(Enginuity!$B$13=2, Enginuity!$B$13=4)),
      AND(LEFT(P1402,5)="3-Way", OR(Enginuity!$B$13=3, Enginuity!$B$13=6)),
      AND(P1402="Inner Centre Jamb", OR(Enginuity!$B$13=4, Enginuity!$B$13=6)),
      AND(
        LEFT(P1402,5)&lt;&gt;"1-Way",
        LEFT(P1402,5)&lt;&gt;"2-Way",
        LEFT(P1402,5)&lt;&gt;"3-Way",
        P1402&lt;&gt;"Inner Centre Jamb"
      )
    ),
    IF(OR(Enginuity!$A$1="Frameless Glass",Enginuity!$A$1="Metal Work"),
      AND(TRIM(B1402)=TRIM(Enginuity!$A$17),TRIM(C1402)=TRIM(Enginuity!$A$18)),
      TRIM(B1402)=TRIM(Enginuity!$A$17)
    )
  ),
  ROW(),
  ""
)</f>
        <v/>
      </c>
    </row>
    <row r="1403" spans="1:21" x14ac:dyDescent="0.25">
      <c r="U1403" s="104" t="str">
        <f>IF(
  AND(
    TRIM(A1403)=TRIM(Enginuity!$A$1),
    TRIM(B1403)=TRIM(Enginuity!$A$17),
    Q1403&lt;&gt;"",
    Q1403&lt;&gt;0,
    OR(
      TRIM(C1403)=TRIM(Enginuity!$A$18),
      AND(UPPER(TRIM(M1403))="STD", TRIM(B1403)=TRIM(Enginuity!$A$17))
    ),
    OR(
      AND(LEFT(P1403,5)="1-Way", Enginuity!$B$13=1),
      AND(LEFT(P1403,5)="2-Way", OR(Enginuity!$B$13=2, Enginuity!$B$13=4)),
      AND(LEFT(P1403,5)="3-Way", OR(Enginuity!$B$13=3, Enginuity!$B$13=6)),
      AND(P1403="Inner Centre Jamb", OR(Enginuity!$B$13=4, Enginuity!$B$13=6)),
      AND(
        LEFT(P1403,5)&lt;&gt;"1-Way",
        LEFT(P1403,5)&lt;&gt;"2-Way",
        LEFT(P1403,5)&lt;&gt;"3-Way",
        P1403&lt;&gt;"Inner Centre Jamb"
      )
    ),
    IF(OR(Enginuity!$A$1="Frameless Glass",Enginuity!$A$1="Metal Work"),
      AND(TRIM(B1403)=TRIM(Enginuity!$A$17),TRIM(C1403)=TRIM(Enginuity!$A$18)),
      TRIM(B1403)=TRIM(Enginuity!$A$17)
    )
  ),
  ROW(),
  ""
)</f>
        <v/>
      </c>
    </row>
    <row r="1404" spans="1:21" x14ac:dyDescent="0.25">
      <c r="U1404" s="104" t="str">
        <f>IF(
  AND(
    TRIM(A1404)=TRIM(Enginuity!$A$1),
    TRIM(B1404)=TRIM(Enginuity!$A$17),
    Q1404&lt;&gt;"",
    Q1404&lt;&gt;0,
    OR(
      TRIM(C1404)=TRIM(Enginuity!$A$18),
      AND(UPPER(TRIM(M1404))="STD", TRIM(B1404)=TRIM(Enginuity!$A$17))
    ),
    OR(
      AND(LEFT(P1404,5)="1-Way", Enginuity!$B$13=1),
      AND(LEFT(P1404,5)="2-Way", OR(Enginuity!$B$13=2, Enginuity!$B$13=4)),
      AND(LEFT(P1404,5)="3-Way", OR(Enginuity!$B$13=3, Enginuity!$B$13=6)),
      AND(P1404="Inner Centre Jamb", OR(Enginuity!$B$13=4, Enginuity!$B$13=6)),
      AND(
        LEFT(P1404,5)&lt;&gt;"1-Way",
        LEFT(P1404,5)&lt;&gt;"2-Way",
        LEFT(P1404,5)&lt;&gt;"3-Way",
        P1404&lt;&gt;"Inner Centre Jamb"
      )
    ),
    IF(OR(Enginuity!$A$1="Frameless Glass",Enginuity!$A$1="Metal Work"),
      AND(TRIM(B1404)=TRIM(Enginuity!$A$17),TRIM(C1404)=TRIM(Enginuity!$A$18)),
      TRIM(B1404)=TRIM(Enginuity!$A$17)
    )
  ),
  ROW(),
  ""
)</f>
        <v/>
      </c>
    </row>
    <row r="1405" spans="1:21" x14ac:dyDescent="0.25">
      <c r="U1405" s="104" t="str">
        <f>IF(
  AND(
    TRIM(A1405)=TRIM(Enginuity!$A$1),
    TRIM(B1405)=TRIM(Enginuity!$A$17),
    Q1405&lt;&gt;"",
    Q1405&lt;&gt;0,
    OR(
      TRIM(C1405)=TRIM(Enginuity!$A$18),
      AND(UPPER(TRIM(M1405))="STD", TRIM(B1405)=TRIM(Enginuity!$A$17))
    ),
    OR(
      AND(LEFT(P1405,5)="1-Way", Enginuity!$B$13=1),
      AND(LEFT(P1405,5)="2-Way", OR(Enginuity!$B$13=2, Enginuity!$B$13=4)),
      AND(LEFT(P1405,5)="3-Way", OR(Enginuity!$B$13=3, Enginuity!$B$13=6)),
      AND(P1405="Inner Centre Jamb", OR(Enginuity!$B$13=4, Enginuity!$B$13=6)),
      AND(
        LEFT(P1405,5)&lt;&gt;"1-Way",
        LEFT(P1405,5)&lt;&gt;"2-Way",
        LEFT(P1405,5)&lt;&gt;"3-Way",
        P1405&lt;&gt;"Inner Centre Jamb"
      )
    ),
    IF(OR(Enginuity!$A$1="Frameless Glass",Enginuity!$A$1="Metal Work"),
      AND(TRIM(B1405)=TRIM(Enginuity!$A$17),TRIM(C1405)=TRIM(Enginuity!$A$18)),
      TRIM(B1405)=TRIM(Enginuity!$A$17)
    )
  ),
  ROW(),
  ""
)</f>
        <v/>
      </c>
    </row>
    <row r="1406" spans="1:21" x14ac:dyDescent="0.25">
      <c r="U1406" s="104" t="str">
        <f>IF(
  AND(
    TRIM(A1406)=TRIM(Enginuity!$A$1),
    TRIM(B1406)=TRIM(Enginuity!$A$17),
    Q1406&lt;&gt;"",
    Q1406&lt;&gt;0,
    OR(
      TRIM(C1406)=TRIM(Enginuity!$A$18),
      AND(UPPER(TRIM(M1406))="STD", TRIM(B1406)=TRIM(Enginuity!$A$17))
    ),
    OR(
      AND(LEFT(P1406,5)="1-Way", Enginuity!$B$13=1),
      AND(LEFT(P1406,5)="2-Way", OR(Enginuity!$B$13=2, Enginuity!$B$13=4)),
      AND(LEFT(P1406,5)="3-Way", OR(Enginuity!$B$13=3, Enginuity!$B$13=6)),
      AND(P1406="Inner Centre Jamb", OR(Enginuity!$B$13=4, Enginuity!$B$13=6)),
      AND(
        LEFT(P1406,5)&lt;&gt;"1-Way",
        LEFT(P1406,5)&lt;&gt;"2-Way",
        LEFT(P1406,5)&lt;&gt;"3-Way",
        P1406&lt;&gt;"Inner Centre Jamb"
      )
    ),
    IF(OR(Enginuity!$A$1="Frameless Glass",Enginuity!$A$1="Metal Work"),
      AND(TRIM(B1406)=TRIM(Enginuity!$A$17),TRIM(C1406)=TRIM(Enginuity!$A$18)),
      TRIM(B1406)=TRIM(Enginuity!$A$17)
    )
  ),
  ROW(),
  ""
)</f>
        <v/>
      </c>
    </row>
    <row r="1407" spans="1:21" x14ac:dyDescent="0.25">
      <c r="U1407" s="104" t="str">
        <f>IF(
  AND(
    TRIM(A1407)=TRIM(Enginuity!$A$1),
    TRIM(B1407)=TRIM(Enginuity!$A$17),
    Q1407&lt;&gt;"",
    Q1407&lt;&gt;0,
    OR(
      TRIM(C1407)=TRIM(Enginuity!$A$18),
      AND(UPPER(TRIM(M1407))="STD", TRIM(B1407)=TRIM(Enginuity!$A$17))
    ),
    OR(
      AND(LEFT(P1407,5)="1-Way", Enginuity!$B$13=1),
      AND(LEFT(P1407,5)="2-Way", OR(Enginuity!$B$13=2, Enginuity!$B$13=4)),
      AND(LEFT(P1407,5)="3-Way", OR(Enginuity!$B$13=3, Enginuity!$B$13=6)),
      AND(P1407="Inner Centre Jamb", OR(Enginuity!$B$13=4, Enginuity!$B$13=6)),
      AND(
        LEFT(P1407,5)&lt;&gt;"1-Way",
        LEFT(P1407,5)&lt;&gt;"2-Way",
        LEFT(P1407,5)&lt;&gt;"3-Way",
        P1407&lt;&gt;"Inner Centre Jamb"
      )
    ),
    IF(OR(Enginuity!$A$1="Frameless Glass",Enginuity!$A$1="Metal Work"),
      AND(TRIM(B1407)=TRIM(Enginuity!$A$17),TRIM(C1407)=TRIM(Enginuity!$A$18)),
      TRIM(B1407)=TRIM(Enginuity!$A$17)
    )
  ),
  ROW(),
  ""
)</f>
        <v/>
      </c>
    </row>
    <row r="1408" spans="1:21" x14ac:dyDescent="0.25">
      <c r="U1408" s="104" t="str">
        <f>IF(
  AND(
    TRIM(A1408)=TRIM(Enginuity!$A$1),
    TRIM(B1408)=TRIM(Enginuity!$A$17),
    Q1408&lt;&gt;"",
    Q1408&lt;&gt;0,
    OR(
      TRIM(C1408)=TRIM(Enginuity!$A$18),
      AND(UPPER(TRIM(M1408))="STD", TRIM(B1408)=TRIM(Enginuity!$A$17))
    ),
    OR(
      AND(LEFT(P1408,5)="1-Way", Enginuity!$B$13=1),
      AND(LEFT(P1408,5)="2-Way", OR(Enginuity!$B$13=2, Enginuity!$B$13=4)),
      AND(LEFT(P1408,5)="3-Way", OR(Enginuity!$B$13=3, Enginuity!$B$13=6)),
      AND(P1408="Inner Centre Jamb", OR(Enginuity!$B$13=4, Enginuity!$B$13=6)),
      AND(
        LEFT(P1408,5)&lt;&gt;"1-Way",
        LEFT(P1408,5)&lt;&gt;"2-Way",
        LEFT(P1408,5)&lt;&gt;"3-Way",
        P1408&lt;&gt;"Inner Centre Jamb"
      )
    ),
    IF(OR(Enginuity!$A$1="Frameless Glass",Enginuity!$A$1="Metal Work"),
      AND(TRIM(B1408)=TRIM(Enginuity!$A$17),TRIM(C1408)=TRIM(Enginuity!$A$18)),
      TRIM(B1408)=TRIM(Enginuity!$A$17)
    )
  ),
  ROW(),
  ""
)</f>
        <v/>
      </c>
    </row>
    <row r="1409" spans="1:21" x14ac:dyDescent="0.25">
      <c r="U1409" s="104" t="str">
        <f>IF(
  AND(
    TRIM(A1409)=TRIM(Enginuity!$A$1),
    TRIM(B1409)=TRIM(Enginuity!$A$17),
    Q1409&lt;&gt;"",
    Q1409&lt;&gt;0,
    OR(
      TRIM(C1409)=TRIM(Enginuity!$A$18),
      AND(UPPER(TRIM(M1409))="STD", TRIM(B1409)=TRIM(Enginuity!$A$17))
    ),
    OR(
      AND(LEFT(P1409,5)="1-Way", Enginuity!$B$13=1),
      AND(LEFT(P1409,5)="2-Way", OR(Enginuity!$B$13=2, Enginuity!$B$13=4)),
      AND(LEFT(P1409,5)="3-Way", OR(Enginuity!$B$13=3, Enginuity!$B$13=6)),
      AND(P1409="Inner Centre Jamb", OR(Enginuity!$B$13=4, Enginuity!$B$13=6)),
      AND(
        LEFT(P1409,5)&lt;&gt;"1-Way",
        LEFT(P1409,5)&lt;&gt;"2-Way",
        LEFT(P1409,5)&lt;&gt;"3-Way",
        P1409&lt;&gt;"Inner Centre Jamb"
      )
    ),
    IF(OR(Enginuity!$A$1="Frameless Glass",Enginuity!$A$1="Metal Work"),
      AND(TRIM(B1409)=TRIM(Enginuity!$A$17),TRIM(C1409)=TRIM(Enginuity!$A$18)),
      TRIM(B1409)=TRIM(Enginuity!$A$17)
    )
  ),
  ROW(),
  ""
)</f>
        <v/>
      </c>
    </row>
    <row r="1410" spans="1:21" x14ac:dyDescent="0.25">
      <c r="U1410" s="104" t="str">
        <f>IF(
  AND(
    TRIM(A1410)=TRIM(Enginuity!$A$1),
    TRIM(B1410)=TRIM(Enginuity!$A$17),
    Q1410&lt;&gt;"",
    Q1410&lt;&gt;0,
    OR(
      TRIM(C1410)=TRIM(Enginuity!$A$18),
      AND(UPPER(TRIM(M1410))="STD", TRIM(B1410)=TRIM(Enginuity!$A$17))
    ),
    OR(
      AND(LEFT(P1410,5)="1-Way", Enginuity!$B$13=1),
      AND(LEFT(P1410,5)="2-Way", OR(Enginuity!$B$13=2, Enginuity!$B$13=4)),
      AND(LEFT(P1410,5)="3-Way", OR(Enginuity!$B$13=3, Enginuity!$B$13=6)),
      AND(P1410="Inner Centre Jamb", OR(Enginuity!$B$13=4, Enginuity!$B$13=6)),
      AND(
        LEFT(P1410,5)&lt;&gt;"1-Way",
        LEFT(P1410,5)&lt;&gt;"2-Way",
        LEFT(P1410,5)&lt;&gt;"3-Way",
        P1410&lt;&gt;"Inner Centre Jamb"
      )
    ),
    IF(OR(Enginuity!$A$1="Frameless Glass",Enginuity!$A$1="Metal Work"),
      AND(TRIM(B1410)=TRIM(Enginuity!$A$17),TRIM(C1410)=TRIM(Enginuity!$A$18)),
      TRIM(B1410)=TRIM(Enginuity!$A$17)
    )
  ),
  ROW(),
  ""
)</f>
        <v/>
      </c>
    </row>
    <row r="1411" spans="1:21" x14ac:dyDescent="0.25">
      <c r="U1411" s="104" t="str">
        <f>IF(
  AND(
    TRIM(A1411)=TRIM(Enginuity!$A$1),
    TRIM(B1411)=TRIM(Enginuity!$A$17),
    Q1411&lt;&gt;"",
    Q1411&lt;&gt;0,
    OR(
      TRIM(C1411)=TRIM(Enginuity!$A$18),
      AND(UPPER(TRIM(M1411))="STD", TRIM(B1411)=TRIM(Enginuity!$A$17))
    ),
    OR(
      AND(LEFT(P1411,5)="1-Way", Enginuity!$B$13=1),
      AND(LEFT(P1411,5)="2-Way", OR(Enginuity!$B$13=2, Enginuity!$B$13=4)),
      AND(LEFT(P1411,5)="3-Way", OR(Enginuity!$B$13=3, Enginuity!$B$13=6)),
      AND(P1411="Inner Centre Jamb", OR(Enginuity!$B$13=4, Enginuity!$B$13=6)),
      AND(
        LEFT(P1411,5)&lt;&gt;"1-Way",
        LEFT(P1411,5)&lt;&gt;"2-Way",
        LEFT(P1411,5)&lt;&gt;"3-Way",
        P1411&lt;&gt;"Inner Centre Jamb"
      )
    ),
    IF(OR(Enginuity!$A$1="Frameless Glass",Enginuity!$A$1="Metal Work"),
      AND(TRIM(B1411)=TRIM(Enginuity!$A$17),TRIM(C1411)=TRIM(Enginuity!$A$18)),
      TRIM(B1411)=TRIM(Enginuity!$A$17)
    )
  ),
  ROW(),
  ""
)</f>
        <v/>
      </c>
    </row>
    <row r="1412" spans="1:21" x14ac:dyDescent="0.25">
      <c r="U1412" s="104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1413" spans="1:21" x14ac:dyDescent="0.25">
      <c r="U1413" s="104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1414" spans="1:21" x14ac:dyDescent="0.25">
      <c r="U1414" s="104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1415" spans="1:21" x14ac:dyDescent="0.25">
      <c r="U1415" s="104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1416" spans="1:21" x14ac:dyDescent="0.25">
      <c r="U1416" s="104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1417" spans="1:21" x14ac:dyDescent="0.25">
      <c r="U1417" s="104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1418" spans="1:21" x14ac:dyDescent="0.25">
      <c r="U1418" s="104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1419" spans="1:21" x14ac:dyDescent="0.25">
      <c r="U1419" s="104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1420" spans="1:21" x14ac:dyDescent="0.25">
      <c r="A1420" s="10" t="s">
        <v>795</v>
      </c>
      <c r="B1420" s="233" t="s">
        <v>796</v>
      </c>
      <c r="C1420" s="14" t="s">
        <v>803</v>
      </c>
      <c r="D1420" s="14" t="s">
        <v>804</v>
      </c>
      <c r="E1420" s="157"/>
      <c r="F1420" s="10"/>
      <c r="G1420" s="17"/>
      <c r="H1420" s="10"/>
      <c r="I1420" s="17"/>
      <c r="J1420" s="83"/>
      <c r="K1420" s="344">
        <v>0</v>
      </c>
      <c r="L1420" s="347">
        <f>IF(OR(Enginuity!$B$6="",Enginuity!$B$7=""),"",2*(Enginuity!$B$6+Enginuity!$B$7))</f>
        <v>66</v>
      </c>
      <c r="M1420" s="89" t="s">
        <v>117</v>
      </c>
      <c r="N1420" s="10" t="s">
        <v>158</v>
      </c>
      <c r="O1420" s="22">
        <v>15</v>
      </c>
      <c r="P1420" s="22" t="s">
        <v>810</v>
      </c>
      <c r="Q1420" s="107" t="str">
        <f>IF(AND(Enginuity!$A$19&lt;&gt;"",UPPER(TRIM(D1420))=UPPER(TRIM(Enginuity!$A$19)),Enginuity!$B$6&gt;0,Enginuity!$B$7&gt;0),2*(Enginuity!$B$6+Enginuity!$B$7),"")</f>
        <v/>
      </c>
      <c r="U1420" s="104" t="str">
        <f>IF(
  AND(
    TRIM(A1420)=TRIM(Enginuity!$A$1),
    TRIM(B1420)=TRIM(Enginuity!$A$17),
    Q1420&lt;&gt;"",
    Q1420&lt;&gt;0,
    OR(
      TRIM(C1420)=TRIM(Enginuity!$A$18),
      AND(UPPER(TRIM(M1420))="STD", TRIM(B1420)=TRIM(Enginuity!$A$17))
    ),
    OR(
      AND(LEFT(P1420,5)="1-Way", Enginuity!$B$13=1),
      AND(LEFT(P1420,5)="2-Way", OR(Enginuity!$B$13=2, Enginuity!$B$13=4)),
      AND(LEFT(P1420,5)="3-Way", OR(Enginuity!$B$13=3, Enginuity!$B$13=6)),
      AND(P1420="Inner Centre Jamb", OR(Enginuity!$B$13=4, Enginuity!$B$13=6)),
      AND(
        LEFT(P1420,5)&lt;&gt;"1-Way",
        LEFT(P1420,5)&lt;&gt;"2-Way",
        LEFT(P1420,5)&lt;&gt;"3-Way",
        P1420&lt;&gt;"Inner Centre Jamb"
      )
    ),
    IF(OR(Enginuity!$A$1="Frameless Glass",Enginuity!$A$1="Metal Work"),
      AND(TRIM(B1420)=TRIM(Enginuity!$A$17),TRIM(C1420)=TRIM(Enginuity!$A$18)),
      TRIM(B1420)=TRIM(Enginuity!$A$17)
    )
  ),
  ROW(),
  ""
)</f>
        <v/>
      </c>
    </row>
    <row r="1421" spans="1:21" x14ac:dyDescent="0.25">
      <c r="A1421" s="10" t="s">
        <v>795</v>
      </c>
      <c r="B1421" s="233" t="s">
        <v>796</v>
      </c>
      <c r="C1421" s="14" t="s">
        <v>803</v>
      </c>
      <c r="D1421" s="14" t="s">
        <v>807</v>
      </c>
      <c r="E1421" s="160"/>
      <c r="F1421" s="14"/>
      <c r="G1421" s="17"/>
      <c r="H1421" s="10"/>
      <c r="I1421" s="17"/>
      <c r="J1421" s="83"/>
      <c r="K1421" s="344"/>
      <c r="L1421" s="347"/>
      <c r="M1421" s="89" t="s">
        <v>117</v>
      </c>
      <c r="N1421" s="10" t="s">
        <v>158</v>
      </c>
      <c r="O1421" s="22">
        <v>20</v>
      </c>
      <c r="P1421" s="22" t="s">
        <v>811</v>
      </c>
      <c r="Q1421" s="107" t="str">
        <f>IF(AND(Enginuity!$A$19&lt;&gt;"",UPPER(TRIM(D1421))=UPPER(TRIM(Enginuity!$A$19)),Enginuity!$B$6&gt;0,Enginuity!$B$7&gt;0),2*(Enginuity!$B$6+Enginuity!$B$7),"")</f>
        <v/>
      </c>
      <c r="U1421" s="104" t="str">
        <f>IF(
  AND(
    TRIM(A1421)=TRIM(Enginuity!$A$1),
    TRIM(B1421)=TRIM(Enginuity!$A$17),
    Q1421&lt;&gt;"",
    Q1421&lt;&gt;0,
    OR(
      TRIM(C1421)=TRIM(Enginuity!$A$18),
      AND(UPPER(TRIM(M1421))="STD", TRIM(B1421)=TRIM(Enginuity!$A$17))
    ),
    OR(
      AND(LEFT(P1421,5)="1-Way", Enginuity!$B$13=1),
      AND(LEFT(P1421,5)="2-Way", OR(Enginuity!$B$13=2, Enginuity!$B$13=4)),
      AND(LEFT(P1421,5)="3-Way", OR(Enginuity!$B$13=3, Enginuity!$B$13=6)),
      AND(P1421="Inner Centre Jamb", OR(Enginuity!$B$13=4, Enginuity!$B$13=6)),
      AND(
        LEFT(P1421,5)&lt;&gt;"1-Way",
        LEFT(P1421,5)&lt;&gt;"2-Way",
        LEFT(P1421,5)&lt;&gt;"3-Way",
        P1421&lt;&gt;"Inner Centre Jamb"
      )
    ),
    IF(OR(Enginuity!$A$1="Frameless Glass",Enginuity!$A$1="Metal Work"),
      AND(TRIM(B1421)=TRIM(Enginuity!$A$17),TRIM(C1421)=TRIM(Enginuity!$A$18)),
      TRIM(B1421)=TRIM(Enginuity!$A$17)
    )
  ),
  ROW(),
  ""
)</f>
        <v/>
      </c>
    </row>
    <row r="1422" spans="1:21" x14ac:dyDescent="0.25">
      <c r="A1422" s="10" t="s">
        <v>795</v>
      </c>
      <c r="B1422" s="233" t="s">
        <v>796</v>
      </c>
      <c r="C1422" s="14" t="s">
        <v>803</v>
      </c>
      <c r="D1422" s="14" t="s">
        <v>822</v>
      </c>
      <c r="E1422" s="157"/>
      <c r="F1422" s="21"/>
      <c r="G1422" s="17"/>
      <c r="H1422" s="10"/>
      <c r="I1422" s="17"/>
      <c r="J1422" s="83"/>
      <c r="K1422" s="344"/>
      <c r="L1422" s="347"/>
      <c r="M1422" s="12" t="s">
        <v>117</v>
      </c>
      <c r="N1422" s="10" t="s">
        <v>158</v>
      </c>
      <c r="O1422" s="22">
        <v>24</v>
      </c>
      <c r="P1422" s="22" t="s">
        <v>812</v>
      </c>
      <c r="Q1422" s="107" t="str">
        <f>IF(AND(Enginuity!$A$19&lt;&gt;"",UPPER(TRIM(D1422))=UPPER(TRIM(Enginuity!$A$19)),Enginuity!$B$6&gt;0,Enginuity!$B$7&gt;0),2*(Enginuity!$B$6+Enginuity!$B$7),"")</f>
        <v/>
      </c>
      <c r="U1422" s="104" t="str">
        <f>IF(
  AND(
    TRIM(A1422)=TRIM(Enginuity!$A$1),
    TRIM(B1422)=TRIM(Enginuity!$A$17),
    Q1422&lt;&gt;"",
    Q1422&lt;&gt;0,
    OR(
      TRIM(C1422)=TRIM(Enginuity!$A$18),
      AND(UPPER(TRIM(M1422))="STD", TRIM(B1422)=TRIM(Enginuity!$A$17))
    ),
    OR(
      AND(LEFT(P1422,5)="1-Way", Enginuity!$B$13=1),
      AND(LEFT(P1422,5)="2-Way", OR(Enginuity!$B$13=2, Enginuity!$B$13=4)),
      AND(LEFT(P1422,5)="3-Way", OR(Enginuity!$B$13=3, Enginuity!$B$13=6)),
      AND(P1422="Inner Centre Jamb", OR(Enginuity!$B$13=4, Enginuity!$B$13=6)),
      AND(
        LEFT(P1422,5)&lt;&gt;"1-Way",
        LEFT(P1422,5)&lt;&gt;"2-Way",
        LEFT(P1422,5)&lt;&gt;"3-Way",
        P1422&lt;&gt;"Inner Centre Jamb"
      )
    ),
    IF(OR(Enginuity!$A$1="Frameless Glass",Enginuity!$A$1="Metal Work"),
      AND(TRIM(B1422)=TRIM(Enginuity!$A$17),TRIM(C1422)=TRIM(Enginuity!$A$18)),
      TRIM(B1422)=TRIM(Enginuity!$A$17)
    )
  ),
  ROW(),
  ""
)</f>
        <v/>
      </c>
    </row>
    <row r="1423" spans="1:21" x14ac:dyDescent="0.25">
      <c r="A1423" s="10" t="s">
        <v>795</v>
      </c>
      <c r="B1423" s="233" t="s">
        <v>796</v>
      </c>
      <c r="C1423" s="14" t="s">
        <v>803</v>
      </c>
      <c r="D1423" s="14" t="s">
        <v>805</v>
      </c>
      <c r="E1423" s="157"/>
      <c r="F1423" s="21"/>
      <c r="G1423" s="17"/>
      <c r="H1423" s="10"/>
      <c r="I1423" s="17"/>
      <c r="J1423" s="83"/>
      <c r="K1423" s="344"/>
      <c r="L1423" s="347"/>
      <c r="M1423" s="12" t="s">
        <v>117</v>
      </c>
      <c r="N1423" s="10" t="s">
        <v>158</v>
      </c>
      <c r="O1423" s="22">
        <v>14</v>
      </c>
      <c r="P1423" s="22" t="s">
        <v>813</v>
      </c>
      <c r="Q1423" s="107" t="str">
        <f>IF(AND(Enginuity!$A$19&lt;&gt;"",UPPER(TRIM(D1423))=UPPER(TRIM(Enginuity!$A$19)),Enginuity!$B$6&gt;0,Enginuity!$B$7&gt;0),2*(Enginuity!$B$6+Enginuity!$B$7),"")</f>
        <v/>
      </c>
      <c r="U1423" s="104" t="str">
        <f>IF(
  AND(
    TRIM(A1423)=TRIM(Enginuity!$A$1),
    TRIM(B1423)=TRIM(Enginuity!$A$17),
    Q1423&lt;&gt;"",
    Q1423&lt;&gt;0,
    OR(
      TRIM(C1423)=TRIM(Enginuity!$A$18),
      AND(UPPER(TRIM(M1423))="STD", TRIM(B1423)=TRIM(Enginuity!$A$17))
    ),
    OR(
      AND(LEFT(P1423,5)="1-Way", Enginuity!$B$13=1),
      AND(LEFT(P1423,5)="2-Way", OR(Enginuity!$B$13=2, Enginuity!$B$13=4)),
      AND(LEFT(P1423,5)="3-Way", OR(Enginuity!$B$13=3, Enginuity!$B$13=6)),
      AND(P1423="Inner Centre Jamb", OR(Enginuity!$B$13=4, Enginuity!$B$13=6)),
      AND(
        LEFT(P1423,5)&lt;&gt;"1-Way",
        LEFT(P1423,5)&lt;&gt;"2-Way",
        LEFT(P1423,5)&lt;&gt;"3-Way",
        P1423&lt;&gt;"Inner Centre Jamb"
      )
    ),
    IF(OR(Enginuity!$A$1="Frameless Glass",Enginuity!$A$1="Metal Work"),
      AND(TRIM(B1423)=TRIM(Enginuity!$A$17),TRIM(C1423)=TRIM(Enginuity!$A$18)),
      TRIM(B1423)=TRIM(Enginuity!$A$17)
    )
  ),
  ROW(),
  ""
)</f>
        <v/>
      </c>
    </row>
    <row r="1424" spans="1:21" x14ac:dyDescent="0.25">
      <c r="A1424" s="10" t="s">
        <v>795</v>
      </c>
      <c r="B1424" s="233" t="s">
        <v>796</v>
      </c>
      <c r="C1424" s="14" t="s">
        <v>803</v>
      </c>
      <c r="D1424" s="14" t="s">
        <v>806</v>
      </c>
      <c r="E1424" s="157"/>
      <c r="F1424" s="14"/>
      <c r="G1424" s="17"/>
      <c r="H1424" s="10"/>
      <c r="I1424" s="17"/>
      <c r="J1424" s="83"/>
      <c r="K1424" s="344"/>
      <c r="L1424" s="347"/>
      <c r="M1424" s="89" t="s">
        <v>117</v>
      </c>
      <c r="N1424" s="10" t="s">
        <v>158</v>
      </c>
      <c r="O1424" s="22">
        <v>17</v>
      </c>
      <c r="P1424" s="22" t="s">
        <v>814</v>
      </c>
      <c r="Q1424" s="107" t="str">
        <f>IF(AND(Enginuity!$A$19&lt;&gt;"",UPPER(TRIM(D1424))=UPPER(TRIM(Enginuity!$A$19)),Enginuity!$B$6&gt;0,Enginuity!$B$7&gt;0),2*(Enginuity!$B$6+Enginuity!$B$7),"")</f>
        <v/>
      </c>
      <c r="U1424" s="104" t="str">
        <f>IF(
  AND(
    TRIM(A1424)=TRIM(Enginuity!$A$1),
    TRIM(B1424)=TRIM(Enginuity!$A$17),
    Q1424&lt;&gt;"",
    Q1424&lt;&gt;0,
    OR(
      TRIM(C1424)=TRIM(Enginuity!$A$18),
      AND(UPPER(TRIM(M1424))="STD", TRIM(B1424)=TRIM(Enginuity!$A$17))
    ),
    OR(
      AND(LEFT(P1424,5)="1-Way", Enginuity!$B$13=1),
      AND(LEFT(P1424,5)="2-Way", OR(Enginuity!$B$13=2, Enginuity!$B$13=4)),
      AND(LEFT(P1424,5)="3-Way", OR(Enginuity!$B$13=3, Enginuity!$B$13=6)),
      AND(P1424="Inner Centre Jamb", OR(Enginuity!$B$13=4, Enginuity!$B$13=6)),
      AND(
        LEFT(P1424,5)&lt;&gt;"1-Way",
        LEFT(P1424,5)&lt;&gt;"2-Way",
        LEFT(P1424,5)&lt;&gt;"3-Way",
        P1424&lt;&gt;"Inner Centre Jamb"
      )
    ),
    IF(OR(Enginuity!$A$1="Frameless Glass",Enginuity!$A$1="Metal Work"),
      AND(TRIM(B1424)=TRIM(Enginuity!$A$17),TRIM(C1424)=TRIM(Enginuity!$A$18)),
      TRIM(B1424)=TRIM(Enginuity!$A$17)
    )
  ),
  ROW(),
  ""
)</f>
        <v/>
      </c>
    </row>
    <row r="1425" spans="1:21" x14ac:dyDescent="0.25">
      <c r="A1425" s="10" t="s">
        <v>795</v>
      </c>
      <c r="B1425" s="233" t="s">
        <v>815</v>
      </c>
      <c r="C1425" s="14" t="s">
        <v>818</v>
      </c>
      <c r="D1425" s="14"/>
      <c r="E1425" s="160"/>
      <c r="F1425" s="14"/>
      <c r="G1425" s="17"/>
      <c r="H1425" s="10"/>
      <c r="I1425" s="17"/>
      <c r="J1425" s="83"/>
      <c r="K1425" s="344">
        <v>0</v>
      </c>
      <c r="L1425" s="347">
        <f>IF(OR(Enginuity!$B$6="",Enginuity!$B$7=""),"",2*(Enginuity!$B$6+Enginuity!$B$7))</f>
        <v>66</v>
      </c>
      <c r="M1425" s="89"/>
      <c r="N1425" s="12" t="s">
        <v>817</v>
      </c>
      <c r="O1425" s="22"/>
      <c r="P1425" s="5" t="str">
        <f>Enginuity!$A$18</f>
        <v>CTW / SF Partition / Z-Louvre</v>
      </c>
      <c r="Q1425" s="22" t="str">
        <f>IF(Enginuity!$A$18="","",
IF(LEFT(TRIM(LOWER(Enginuity!$A$18)),2)="fr",
   IF(Enginuity!$B$15="","",Enginuity!$B$15/100),
IF(LEFT(TRIM(LOWER(Enginuity!$A$18)),4)="sqft",
   IF(Enginuity!$B$9="","",Enginuity!$B$9/100),
"")))</f>
        <v/>
      </c>
      <c r="U1425" s="104" t="str">
        <f>IF(
  AND(
    TRIM(A1425)=TRIM(Enginuity!$A$1),
    TRIM(B1425)=TRIM(Enginuity!$A$17),
    Q1425&lt;&gt;"",
    Q1425&lt;&gt;0,
    OR(
      TRIM(C1425)=TRIM(Enginuity!$A$18),
      AND(UPPER(TRIM(M1425))="STD", TRIM(B1425)=TRIM(Enginuity!$A$17))
    ),
    OR(
      AND(LEFT(P1425,5)="1-Way", Enginuity!$B$13=1),
      AND(LEFT(P1425,5)="2-Way", OR(Enginuity!$B$13=2, Enginuity!$B$13=4)),
      AND(LEFT(P1425,5)="3-Way", OR(Enginuity!$B$13=3, Enginuity!$B$13=6)),
      AND(P1425="Inner Centre Jamb", OR(Enginuity!$B$13=4, Enginuity!$B$13=6)),
      AND(
        LEFT(P1425,5)&lt;&gt;"1-Way",
        LEFT(P1425,5)&lt;&gt;"2-Way",
        LEFT(P1425,5)&lt;&gt;"3-Way",
        P1425&lt;&gt;"Inner Centre Jamb"
      )
    ),
    IF(OR(Enginuity!$A$1="Frameless Glass",Enginuity!$A$1="Metal Work"),
      AND(TRIM(B1425)=TRIM(Enginuity!$A$17),TRIM(C1425)=TRIM(Enginuity!$A$18)),
      TRIM(B1425)=TRIM(Enginuity!$A$17)
    )
  ),
  ROW(),
  ""
)</f>
        <v/>
      </c>
    </row>
    <row r="1426" spans="1:21" x14ac:dyDescent="0.25">
      <c r="A1426" s="10" t="s">
        <v>795</v>
      </c>
      <c r="B1426" s="233" t="s">
        <v>815</v>
      </c>
      <c r="C1426" s="14" t="s">
        <v>819</v>
      </c>
      <c r="D1426" s="14"/>
      <c r="E1426" s="160"/>
      <c r="F1426" s="36"/>
      <c r="G1426" s="17"/>
      <c r="H1426" s="10"/>
      <c r="I1426" s="17"/>
      <c r="J1426" s="83"/>
      <c r="K1426" s="343"/>
      <c r="L1426" s="347"/>
      <c r="M1426" s="12"/>
      <c r="N1426" s="10"/>
      <c r="O1426" s="22"/>
      <c r="P1426" s="14"/>
      <c r="Q1426" s="22"/>
      <c r="U1426" s="104" t="str">
        <f>IF(
  AND(
    TRIM(A1426)=TRIM(Enginuity!$A$1),
    TRIM(B1426)=TRIM(Enginuity!$A$17),
    Q1426&lt;&gt;"",
    Q1426&lt;&gt;0,
    OR(
      TRIM(C1426)=TRIM(Enginuity!$A$18),
      AND(UPPER(TRIM(M1426))="STD", TRIM(B1426)=TRIM(Enginuity!$A$17))
    ),
    OR(
      AND(LEFT(P1426,5)="1-Way", Enginuity!$B$13=1),
      AND(LEFT(P1426,5)="2-Way", OR(Enginuity!$B$13=2, Enginuity!$B$13=4)),
      AND(LEFT(P1426,5)="3-Way", OR(Enginuity!$B$13=3, Enginuity!$B$13=6)),
      AND(P1426="Inner Centre Jamb", OR(Enginuity!$B$13=4, Enginuity!$B$13=6)),
      AND(
        LEFT(P1426,5)&lt;&gt;"1-Way",
        LEFT(P1426,5)&lt;&gt;"2-Way",
        LEFT(P1426,5)&lt;&gt;"3-Way",
        P1426&lt;&gt;"Inner Centre Jamb"
      )
    ),
    IF(OR(Enginuity!$A$1="Frameless Glass",Enginuity!$A$1="Metal Work"),
      AND(TRIM(B1426)=TRIM(Enginuity!$A$17),TRIM(C1426)=TRIM(Enginuity!$A$18)),
      TRIM(B1426)=TRIM(Enginuity!$A$17)
    )
  ),
  ROW(),
  ""
)</f>
        <v/>
      </c>
    </row>
    <row r="1427" spans="1:21" x14ac:dyDescent="0.25">
      <c r="A1427" s="17" t="s">
        <v>795</v>
      </c>
      <c r="B1427" s="230"/>
      <c r="C1427" s="18"/>
      <c r="D1427" s="18"/>
      <c r="E1427" s="253"/>
      <c r="F1427" s="18"/>
      <c r="G1427" s="17"/>
      <c r="H1427" s="17"/>
      <c r="I1427" s="17"/>
      <c r="J1427" s="84"/>
      <c r="K1427" s="343"/>
      <c r="L1427" s="347"/>
      <c r="M1427" s="80"/>
      <c r="N1427" s="17"/>
      <c r="O1427" s="25"/>
      <c r="P1427" s="18"/>
      <c r="Q1427" s="25"/>
      <c r="U1427" s="104" t="str">
        <f>IF(
  AND(
    TRIM(A1427)=TRIM(Enginuity!$A$1),
    TRIM(B1427)=TRIM(Enginuity!$A$17),
    Q1427&lt;&gt;"",
    Q1427&lt;&gt;0,
    OR(
      TRIM(C1427)=TRIM(Enginuity!$A$18),
      AND(UPPER(TRIM(M1427))="STD", TRIM(B1427)=TRIM(Enginuity!$A$17))
    ),
    OR(
      AND(LEFT(P1427,5)="1-Way", Enginuity!$B$13=1),
      AND(LEFT(P1427,5)="2-Way", OR(Enginuity!$B$13=2, Enginuity!$B$13=4)),
      AND(LEFT(P1427,5)="3-Way", OR(Enginuity!$B$13=3, Enginuity!$B$13=6)),
      AND(P1427="Inner Centre Jamb", OR(Enginuity!$B$13=4, Enginuity!$B$13=6)),
      AND(
        LEFT(P1427,5)&lt;&gt;"1-Way",
        LEFT(P1427,5)&lt;&gt;"2-Way",
        LEFT(P1427,5)&lt;&gt;"3-Way",
        P1427&lt;&gt;"Inner Centre Jamb"
      )
    ),
    IF(OR(Enginuity!$A$1="Frameless Glass",Enginuity!$A$1="Metal Work"),
      AND(TRIM(B1427)=TRIM(Enginuity!$A$17),TRIM(C1427)=TRIM(Enginuity!$A$18)),
      TRIM(B1427)=TRIM(Enginuity!$A$17)
    )
  ),
  ROW(),
  ""
)</f>
        <v/>
      </c>
    </row>
    <row r="1428" spans="1:21" x14ac:dyDescent="0.25">
      <c r="A1428" s="10" t="s">
        <v>795</v>
      </c>
      <c r="B1428" s="233" t="s">
        <v>796</v>
      </c>
      <c r="C1428" s="14" t="s">
        <v>832</v>
      </c>
      <c r="D1428" s="107" t="s">
        <v>828</v>
      </c>
      <c r="E1428" s="160"/>
      <c r="F1428" s="14"/>
      <c r="G1428" s="17"/>
      <c r="H1428" s="10"/>
      <c r="I1428" s="17"/>
      <c r="J1428" s="83"/>
      <c r="K1428" s="344">
        <v>0</v>
      </c>
      <c r="L1428" s="347">
        <f>IF(OR(Enginuity!$B$6="",Enginuity!$B$7=""),"",2*(Enginuity!$B$6+Enginuity!$B$7))</f>
        <v>66</v>
      </c>
      <c r="M1428" s="89" t="s">
        <v>117</v>
      </c>
      <c r="N1428" s="10" t="s">
        <v>121</v>
      </c>
      <c r="O1428" s="22">
        <v>9.5</v>
      </c>
      <c r="P1428" s="14" t="s">
        <v>824</v>
      </c>
      <c r="Q1428" s="22" t="str">
        <f>IF(AND(Enginuity!$A$19&lt;&gt;"", UPPER(TRIM(D1428))=UPPER(TRIM(Enginuity!$A$19)), N(Enginuity!$B$9)&gt;0), Enginuity!$B$9, "")</f>
        <v/>
      </c>
      <c r="U1428" s="104" t="str">
        <f>IF(
  AND(
    TRIM(A1428)=TRIM(Enginuity!$A$1),
    TRIM(B1428)=TRIM(Enginuity!$A$17),
    Q1428&lt;&gt;"",
    Q1428&lt;&gt;0,
    OR(
      TRIM(C1428)=TRIM(Enginuity!$A$18),
      AND(UPPER(TRIM(M1428))="STD", TRIM(B1428)=TRIM(Enginuity!$A$17))
    ),
    OR(
      AND(LEFT(P1428,5)="1-Way", Enginuity!$B$13=1),
      AND(LEFT(P1428,5)="2-Way", OR(Enginuity!$B$13=2, Enginuity!$B$13=4)),
      AND(LEFT(P1428,5)="3-Way", OR(Enginuity!$B$13=3, Enginuity!$B$13=6)),
      AND(P1428="Inner Centre Jamb", OR(Enginuity!$B$13=4, Enginuity!$B$13=6)),
      AND(
        LEFT(P1428,5)&lt;&gt;"1-Way",
        LEFT(P1428,5)&lt;&gt;"2-Way",
        LEFT(P1428,5)&lt;&gt;"3-Way",
        P1428&lt;&gt;"Inner Centre Jamb"
      )
    ),
    IF(OR(Enginuity!$A$1="Frameless Glass",Enginuity!$A$1="Metal Work"),
      AND(TRIM(B1428)=TRIM(Enginuity!$A$17),TRIM(C1428)=TRIM(Enginuity!$A$18)),
      TRIM(B1428)=TRIM(Enginuity!$A$17)
    )
  ),
  ROW(),
  ""
)</f>
        <v/>
      </c>
    </row>
    <row r="1429" spans="1:21" x14ac:dyDescent="0.25">
      <c r="A1429" s="10" t="s">
        <v>795</v>
      </c>
      <c r="B1429" s="233" t="s">
        <v>796</v>
      </c>
      <c r="C1429" s="14" t="s">
        <v>832</v>
      </c>
      <c r="D1429" s="107" t="s">
        <v>829</v>
      </c>
      <c r="E1429" s="247"/>
      <c r="F1429" s="10"/>
      <c r="G1429" s="17"/>
      <c r="H1429" s="10"/>
      <c r="I1429" s="17"/>
      <c r="J1429" s="83"/>
      <c r="K1429" s="343"/>
      <c r="L1429" s="347"/>
      <c r="M1429" s="89" t="s">
        <v>117</v>
      </c>
      <c r="N1429" s="10" t="s">
        <v>121</v>
      </c>
      <c r="O1429" s="22">
        <v>12</v>
      </c>
      <c r="P1429" s="14" t="s">
        <v>825</v>
      </c>
      <c r="Q1429" s="22" t="str">
        <f>IF(AND(Enginuity!$A$19&lt;&gt;"", UPPER(TRIM(D1429))=UPPER(TRIM(Enginuity!$A$19)), N(Enginuity!$B$9)&gt;0), Enginuity!$B$9, "")</f>
        <v/>
      </c>
      <c r="U1429" s="104" t="str">
        <f>IF(
  AND(
    TRIM(A1429)=TRIM(Enginuity!$A$1),
    TRIM(B1429)=TRIM(Enginuity!$A$17),
    Q1429&lt;&gt;"",
    Q1429&lt;&gt;0,
    OR(
      TRIM(C1429)=TRIM(Enginuity!$A$18),
      AND(UPPER(TRIM(M1429))="STD", TRIM(B1429)=TRIM(Enginuity!$A$17))
    ),
    OR(
      AND(LEFT(P1429,5)="1-Way", Enginuity!$B$13=1),
      AND(LEFT(P1429,5)="2-Way", OR(Enginuity!$B$13=2, Enginuity!$B$13=4)),
      AND(LEFT(P1429,5)="3-Way", OR(Enginuity!$B$13=3, Enginuity!$B$13=6)),
      AND(P1429="Inner Centre Jamb", OR(Enginuity!$B$13=4, Enginuity!$B$13=6)),
      AND(
        LEFT(P1429,5)&lt;&gt;"1-Way",
        LEFT(P1429,5)&lt;&gt;"2-Way",
        LEFT(P1429,5)&lt;&gt;"3-Way",
        P1429&lt;&gt;"Inner Centre Jamb"
      )
    ),
    IF(OR(Enginuity!$A$1="Frameless Glass",Enginuity!$A$1="Metal Work"),
      AND(TRIM(B1429)=TRIM(Enginuity!$A$17),TRIM(C1429)=TRIM(Enginuity!$A$18)),
      TRIM(B1429)=TRIM(Enginuity!$A$17)
    )
  ),
  ROW(),
  ""
)</f>
        <v/>
      </c>
    </row>
    <row r="1430" spans="1:21" x14ac:dyDescent="0.25">
      <c r="A1430" s="10" t="s">
        <v>795</v>
      </c>
      <c r="B1430" s="233" t="s">
        <v>796</v>
      </c>
      <c r="C1430" s="14" t="s">
        <v>832</v>
      </c>
      <c r="D1430" s="107" t="s">
        <v>830</v>
      </c>
      <c r="E1430" s="157"/>
      <c r="F1430" s="10"/>
      <c r="G1430" s="17"/>
      <c r="H1430" s="10"/>
      <c r="I1430" s="17"/>
      <c r="J1430" s="83"/>
      <c r="K1430" s="343"/>
      <c r="L1430" s="347"/>
      <c r="M1430" s="12" t="s">
        <v>117</v>
      </c>
      <c r="N1430" s="10" t="s">
        <v>121</v>
      </c>
      <c r="O1430" s="22">
        <v>20</v>
      </c>
      <c r="P1430" s="14" t="s">
        <v>826</v>
      </c>
      <c r="Q1430" s="22" t="str">
        <f>IF(AND(Enginuity!$A$19&lt;&gt;"", UPPER(TRIM(D1430))=UPPER(TRIM(Enginuity!$A$19)), N(Enginuity!$B$9)&gt;0), Enginuity!$B$9, "")</f>
        <v/>
      </c>
      <c r="U1430" s="104" t="str">
        <f>IF(
  AND(
    TRIM(A1430)=TRIM(Enginuity!$A$1),
    TRIM(B1430)=TRIM(Enginuity!$A$17),
    Q1430&lt;&gt;"",
    Q1430&lt;&gt;0,
    OR(
      TRIM(C1430)=TRIM(Enginuity!$A$18),
      AND(UPPER(TRIM(M1430))="STD", TRIM(B1430)=TRIM(Enginuity!$A$17))
    ),
    OR(
      AND(LEFT(P1430,5)="1-Way", Enginuity!$B$13=1),
      AND(LEFT(P1430,5)="2-Way", OR(Enginuity!$B$13=2, Enginuity!$B$13=4)),
      AND(LEFT(P1430,5)="3-Way", OR(Enginuity!$B$13=3, Enginuity!$B$13=6)),
      AND(P1430="Inner Centre Jamb", OR(Enginuity!$B$13=4, Enginuity!$B$13=6)),
      AND(
        LEFT(P1430,5)&lt;&gt;"1-Way",
        LEFT(P1430,5)&lt;&gt;"2-Way",
        LEFT(P1430,5)&lt;&gt;"3-Way",
        P1430&lt;&gt;"Inner Centre Jamb"
      )
    ),
    IF(OR(Enginuity!$A$1="Frameless Glass",Enginuity!$A$1="Metal Work"),
      AND(TRIM(B1430)=TRIM(Enginuity!$A$17),TRIM(C1430)=TRIM(Enginuity!$A$18)),
      TRIM(B1430)=TRIM(Enginuity!$A$17)
    )
  ),
  ROW(),
  ""
)</f>
        <v/>
      </c>
    </row>
    <row r="1431" spans="1:21" x14ac:dyDescent="0.25">
      <c r="A1431" s="10" t="s">
        <v>795</v>
      </c>
      <c r="B1431" s="233" t="s">
        <v>796</v>
      </c>
      <c r="C1431" s="14" t="s">
        <v>832</v>
      </c>
      <c r="D1431" s="107" t="s">
        <v>831</v>
      </c>
      <c r="E1431" s="157"/>
      <c r="F1431" s="10"/>
      <c r="G1431" s="17"/>
      <c r="H1431" s="10"/>
      <c r="I1431" s="17"/>
      <c r="J1431" s="83"/>
      <c r="K1431" s="343"/>
      <c r="L1431" s="347"/>
      <c r="M1431" s="12" t="s">
        <v>117</v>
      </c>
      <c r="N1431" s="10" t="s">
        <v>121</v>
      </c>
      <c r="O1431" s="22">
        <v>15</v>
      </c>
      <c r="P1431" s="14" t="s">
        <v>827</v>
      </c>
      <c r="Q1431" s="22" t="str">
        <f>IF(AND(Enginuity!$A$19&lt;&gt;"", UPPER(TRIM(D1431))=UPPER(TRIM(Enginuity!$A$19)), N(Enginuity!$B$9)&gt;0), Enginuity!$B$9, "")</f>
        <v/>
      </c>
      <c r="U1431" s="104" t="str">
        <f>IF(
  AND(
    TRIM(A1431)=TRIM(Enginuity!$A$1),
    TRIM(B1431)=TRIM(Enginuity!$A$17),
    Q1431&lt;&gt;"",
    Q1431&lt;&gt;0,
    OR(
      TRIM(C1431)=TRIM(Enginuity!$A$18),
      AND(UPPER(TRIM(M1431))="STD", TRIM(B1431)=TRIM(Enginuity!$A$17))
    ),
    OR(
      AND(LEFT(P1431,5)="1-Way", Enginuity!$B$13=1),
      AND(LEFT(P1431,5)="2-Way", OR(Enginuity!$B$13=2, Enginuity!$B$13=4)),
      AND(LEFT(P1431,5)="3-Way", OR(Enginuity!$B$13=3, Enginuity!$B$13=6)),
      AND(P1431="Inner Centre Jamb", OR(Enginuity!$B$13=4, Enginuity!$B$13=6)),
      AND(
        LEFT(P1431,5)&lt;&gt;"1-Way",
        LEFT(P1431,5)&lt;&gt;"2-Way",
        LEFT(P1431,5)&lt;&gt;"3-Way",
        P1431&lt;&gt;"Inner Centre Jamb"
      )
    ),
    IF(OR(Enginuity!$A$1="Frameless Glass",Enginuity!$A$1="Metal Work"),
      AND(TRIM(B1431)=TRIM(Enginuity!$A$17),TRIM(C1431)=TRIM(Enginuity!$A$18)),
      TRIM(B1431)=TRIM(Enginuity!$A$17)
    )
  ),
  ROW(),
  ""
)</f>
        <v/>
      </c>
    </row>
    <row r="1432" spans="1:21" x14ac:dyDescent="0.25">
      <c r="A1432" s="17" t="s">
        <v>795</v>
      </c>
      <c r="B1432" s="234"/>
      <c r="C1432" s="18"/>
      <c r="D1432" s="18"/>
      <c r="E1432" s="238"/>
      <c r="F1432" s="17"/>
      <c r="G1432" s="17"/>
      <c r="H1432" s="17"/>
      <c r="I1432" s="17"/>
      <c r="J1432" s="84"/>
      <c r="K1432" s="344"/>
      <c r="L1432" s="347"/>
      <c r="M1432" s="80"/>
      <c r="N1432" s="17"/>
      <c r="O1432" s="25"/>
      <c r="P1432" s="18"/>
      <c r="Q1432" s="25"/>
      <c r="U1432" s="104" t="str">
        <f>IF(
  AND(
    TRIM(A1432)=TRIM(Enginuity!$A$1),
    TRIM(B1432)=TRIM(Enginuity!$A$17),
    Q1432&lt;&gt;"",
    Q1432&lt;&gt;0,
    OR(
      TRIM(C1432)=TRIM(Enginuity!$A$18),
      AND(UPPER(TRIM(M1432))="STD", TRIM(B1432)=TRIM(Enginuity!$A$17))
    ),
    OR(
      AND(LEFT(P1432,5)="1-Way", Enginuity!$B$13=1),
      AND(LEFT(P1432,5)="2-Way", OR(Enginuity!$B$13=2, Enginuity!$B$13=4)),
      AND(LEFT(P1432,5)="3-Way", OR(Enginuity!$B$13=3, Enginuity!$B$13=6)),
      AND(P1432="Inner Centre Jamb", OR(Enginuity!$B$13=4, Enginuity!$B$13=6)),
      AND(
        LEFT(P1432,5)&lt;&gt;"1-Way",
        LEFT(P1432,5)&lt;&gt;"2-Way",
        LEFT(P1432,5)&lt;&gt;"3-Way",
        P1432&lt;&gt;"Inner Centre Jamb"
      )
    ),
    IF(OR(Enginuity!$A$1="Frameless Glass",Enginuity!$A$1="Metal Work"),
      AND(TRIM(B1432)=TRIM(Enginuity!$A$17),TRIM(C1432)=TRIM(Enginuity!$A$18)),
      TRIM(B1432)=TRIM(Enginuity!$A$17)
    )
  ),
  ROW(),
  ""
)</f>
        <v/>
      </c>
    </row>
    <row r="1433" spans="1:21" x14ac:dyDescent="0.25">
      <c r="A1433" s="10" t="s">
        <v>795</v>
      </c>
      <c r="B1433" s="233" t="s">
        <v>796</v>
      </c>
      <c r="C1433" s="14" t="s">
        <v>833</v>
      </c>
      <c r="D1433" s="14" t="s">
        <v>834</v>
      </c>
      <c r="E1433" s="157"/>
      <c r="F1433" s="10"/>
      <c r="G1433" s="17"/>
      <c r="H1433" s="10"/>
      <c r="I1433" s="17"/>
      <c r="J1433" s="83"/>
      <c r="K1433" s="344">
        <v>0</v>
      </c>
      <c r="L1433" s="347">
        <f>IF(OR(Enginuity!$B$6="",Enginuity!$B$7=""),"",2*(Enginuity!$B$6+Enginuity!$B$7))</f>
        <v>66</v>
      </c>
      <c r="M1433" s="89" t="s">
        <v>117</v>
      </c>
      <c r="N1433" s="10" t="s">
        <v>158</v>
      </c>
      <c r="O1433" s="22" t="str">
        <f>IF(N(Q1433)&gt;0, IF(Enginuity!$B$9&lt;=20,100,15), "")</f>
        <v/>
      </c>
      <c r="P1433" s="14" t="s">
        <v>834</v>
      </c>
      <c r="Q1433" s="22" t="str">
        <f>IF(LEFT(UPPER(TRIM(Enginuity!$A$19)),1)="L",
   IF(N(Enginuity!$B$9)&gt;0,
      IF(Enginuity!$B$9&lt;=20,1,IF(N(Enginuity!$B$15)&gt;0,Enginuity!$B$15,"")),
   ""),
"")</f>
        <v/>
      </c>
      <c r="U1433" s="104" t="str">
        <f>IF(
  AND(
    TRIM(A1433)=TRIM(Enginuity!$A$1),
    TRIM(B1433)=TRIM(Enginuity!$A$17),
    Q1433&lt;&gt;"",
    Q1433&lt;&gt;0,
    OR(
      TRIM(C1433)=TRIM(Enginuity!$A$18),
      AND(UPPER(TRIM(M1433))="STD", TRIM(B1433)=TRIM(Enginuity!$A$17))
    ),
    OR(
      AND(LEFT(P1433,5)="1-Way", Enginuity!$B$13=1),
      AND(LEFT(P1433,5)="2-Way", OR(Enginuity!$B$13=2, Enginuity!$B$13=4)),
      AND(LEFT(P1433,5)="3-Way", OR(Enginuity!$B$13=3, Enginuity!$B$13=6)),
      AND(P1433="Inner Centre Jamb", OR(Enginuity!$B$13=4, Enginuity!$B$13=6)),
      AND(
        LEFT(P1433,5)&lt;&gt;"1-Way",
        LEFT(P1433,5)&lt;&gt;"2-Way",
        LEFT(P1433,5)&lt;&gt;"3-Way",
        P1433&lt;&gt;"Inner Centre Jamb"
      )
    ),
    IF(OR(Enginuity!$A$1="Frameless Glass",Enginuity!$A$1="Metal Work"),
      AND(TRIM(B1433)=TRIM(Enginuity!$A$17),TRIM(C1433)=TRIM(Enginuity!$A$18)),
      TRIM(B1433)=TRIM(Enginuity!$A$17)
    )
  ),
  ROW(),
  ""
)</f>
        <v/>
      </c>
    </row>
    <row r="1434" spans="1:21" x14ac:dyDescent="0.25">
      <c r="A1434" s="10" t="s">
        <v>795</v>
      </c>
      <c r="B1434" s="233" t="s">
        <v>796</v>
      </c>
      <c r="C1434" s="14" t="s">
        <v>833</v>
      </c>
      <c r="D1434" s="14" t="s">
        <v>835</v>
      </c>
      <c r="E1434" s="157"/>
      <c r="F1434" s="10"/>
      <c r="G1434" s="17"/>
      <c r="H1434" s="10"/>
      <c r="I1434" s="17"/>
      <c r="J1434" s="83"/>
      <c r="K1434" s="343"/>
      <c r="L1434" s="347"/>
      <c r="M1434" s="89" t="s">
        <v>117</v>
      </c>
      <c r="N1434" s="10" t="s">
        <v>158</v>
      </c>
      <c r="O1434" s="22" t="str">
        <f>IF(N(Q1434)&gt;0, IF(Enginuity!$B$9&lt;=20,150,17), "")</f>
        <v/>
      </c>
      <c r="P1434" s="14" t="s">
        <v>835</v>
      </c>
      <c r="Q1434" s="22" t="str">
        <f>IF(LEFT(UPPER(TRIM(Enginuity!$A$19)),1)="M",
   IF(N(Enginuity!$B$9)&gt;0,
      IF(Enginuity!$B$9&lt;=20,1,IF(N(Enginuity!$B$15)&gt;0,Enginuity!$B$15,"")),
   ""),
"")</f>
        <v/>
      </c>
      <c r="U1434" s="104" t="str">
        <f>IF(
  AND(
    TRIM(A1434)=TRIM(Enginuity!$A$1),
    TRIM(B1434)=TRIM(Enginuity!$A$17),
    Q1434&lt;&gt;"",
    Q1434&lt;&gt;0,
    OR(
      TRIM(C1434)=TRIM(Enginuity!$A$18),
      AND(UPPER(TRIM(M1434))="STD", TRIM(B1434)=TRIM(Enginuity!$A$17))
    ),
    OR(
      AND(LEFT(P1434,5)="1-Way", Enginuity!$B$13=1),
      AND(LEFT(P1434,5)="2-Way", OR(Enginuity!$B$13=2, Enginuity!$B$13=4)),
      AND(LEFT(P1434,5)="3-Way", OR(Enginuity!$B$13=3, Enginuity!$B$13=6)),
      AND(P1434="Inner Centre Jamb", OR(Enginuity!$B$13=4, Enginuity!$B$13=6)),
      AND(
        LEFT(P1434,5)&lt;&gt;"1-Way",
        LEFT(P1434,5)&lt;&gt;"2-Way",
        LEFT(P1434,5)&lt;&gt;"3-Way",
        P1434&lt;&gt;"Inner Centre Jamb"
      )
    ),
    IF(OR(Enginuity!$A$1="Frameless Glass",Enginuity!$A$1="Metal Work"),
      AND(TRIM(B1434)=TRIM(Enginuity!$A$17),TRIM(C1434)=TRIM(Enginuity!$A$18)),
      TRIM(B1434)=TRIM(Enginuity!$A$17)
    )
  ),
  ROW(),
  ""
)</f>
        <v/>
      </c>
    </row>
    <row r="1435" spans="1:21" x14ac:dyDescent="0.25">
      <c r="A1435" s="10" t="s">
        <v>795</v>
      </c>
      <c r="B1435" s="233" t="s">
        <v>796</v>
      </c>
      <c r="C1435" s="14" t="s">
        <v>833</v>
      </c>
      <c r="D1435" s="14" t="s">
        <v>836</v>
      </c>
      <c r="E1435" s="157"/>
      <c r="F1435" s="10"/>
      <c r="G1435" s="17"/>
      <c r="H1435" s="10"/>
      <c r="I1435" s="17"/>
      <c r="J1435" s="83"/>
      <c r="K1435" s="343"/>
      <c r="L1435" s="347"/>
      <c r="M1435" s="12" t="s">
        <v>117</v>
      </c>
      <c r="N1435" s="10" t="s">
        <v>158</v>
      </c>
      <c r="O1435" s="22" t="str">
        <f>IF(N(Q1435)&gt;0, IF(Enginuity!$B$9&lt;=20,200,20), "")</f>
        <v/>
      </c>
      <c r="P1435" s="14" t="s">
        <v>836</v>
      </c>
      <c r="Q1435" s="22" t="str">
        <f>IF(LEFT(UPPER(TRIM(Enginuity!$A$19)),1)="H",
   IF(N(Enginuity!$B$9)&gt;0,
      IF(Enginuity!$B$9&lt;=20,1,IF(N(Enginuity!$B$15)&gt;0,Enginuity!$B$15,"")),
   ""),
"")</f>
        <v/>
      </c>
      <c r="U1435" s="104" t="str">
        <f>IF(
  AND(
    TRIM(A1435)=TRIM(Enginuity!$A$1),
    TRIM(B1435)=TRIM(Enginuity!$A$17),
    Q1435&lt;&gt;"",
    Q1435&lt;&gt;0,
    OR(
      TRIM(C1435)=TRIM(Enginuity!$A$18),
      AND(UPPER(TRIM(M1435))="STD", TRIM(B1435)=TRIM(Enginuity!$A$17))
    ),
    OR(
      AND(LEFT(P1435,5)="1-Way", Enginuity!$B$13=1),
      AND(LEFT(P1435,5)="2-Way", OR(Enginuity!$B$13=2, Enginuity!$B$13=4)),
      AND(LEFT(P1435,5)="3-Way", OR(Enginuity!$B$13=3, Enginuity!$B$13=6)),
      AND(P1435="Inner Centre Jamb", OR(Enginuity!$B$13=4, Enginuity!$B$13=6)),
      AND(
        LEFT(P1435,5)&lt;&gt;"1-Way",
        LEFT(P1435,5)&lt;&gt;"2-Way",
        LEFT(P1435,5)&lt;&gt;"3-Way",
        P1435&lt;&gt;"Inner Centre Jamb"
      )
    ),
    IF(OR(Enginuity!$A$1="Frameless Glass",Enginuity!$A$1="Metal Work"),
      AND(TRIM(B1435)=TRIM(Enginuity!$A$17),TRIM(C1435)=TRIM(Enginuity!$A$18)),
      TRIM(B1435)=TRIM(Enginuity!$A$17)
    )
  ),
  ROW(),
  ""
)</f>
        <v/>
      </c>
    </row>
    <row r="1436" spans="1:21" x14ac:dyDescent="0.25">
      <c r="A1436" s="101"/>
      <c r="B1436" s="232"/>
      <c r="C1436" s="101"/>
      <c r="D1436" s="150"/>
      <c r="E1436" s="167"/>
      <c r="F1436" s="101"/>
      <c r="G1436" s="17"/>
      <c r="H1436" s="101"/>
      <c r="I1436" s="17"/>
      <c r="J1436" s="151"/>
      <c r="K1436" s="343"/>
      <c r="L1436" s="347"/>
      <c r="M1436" s="152"/>
      <c r="N1436" s="101"/>
      <c r="O1436" s="154"/>
      <c r="P1436" s="200"/>
      <c r="Q1436" s="201"/>
      <c r="U1436" s="104" t="str">
        <f>IF(
  AND(
    TRIM(A1436)=TRIM(Enginuity!$A$1),
    TRIM(B1436)=TRIM(Enginuity!$A$17),
    Q1436&lt;&gt;"",
    Q1436&lt;&gt;0,
    OR(
      TRIM(C1436)=TRIM(Enginuity!$A$18),
      AND(UPPER(TRIM(M1436))="STD", TRIM(B1436)=TRIM(Enginuity!$A$17))
    ),
    OR(
      AND(LEFT(P1436,5)="1-Way", Enginuity!$B$13=1),
      AND(LEFT(P1436,5)="2-Way", OR(Enginuity!$B$13=2, Enginuity!$B$13=4)),
      AND(LEFT(P1436,5)="3-Way", OR(Enginuity!$B$13=3, Enginuity!$B$13=6)),
      AND(P1436="Inner Centre Jamb", OR(Enginuity!$B$13=4, Enginuity!$B$13=6)),
      AND(
        LEFT(P1436,5)&lt;&gt;"1-Way",
        LEFT(P1436,5)&lt;&gt;"2-Way",
        LEFT(P1436,5)&lt;&gt;"3-Way",
        P1436&lt;&gt;"Inner Centre Jamb"
      )
    ),
    IF(OR(Enginuity!$A$1="Frameless Glass",Enginuity!$A$1="Metal Work"),
      AND(TRIM(B1436)=TRIM(Enginuity!$A$17),TRIM(C1436)=TRIM(Enginuity!$A$18)),
      TRIM(B1436)=TRIM(Enginuity!$A$17)
    )
  ),
  ROW(),
  ""
)</f>
        <v/>
      </c>
    </row>
    <row r="1437" spans="1:21" x14ac:dyDescent="0.25">
      <c r="A1437" s="10" t="s">
        <v>795</v>
      </c>
      <c r="B1437" s="233" t="s">
        <v>837</v>
      </c>
      <c r="C1437" s="14" t="s">
        <v>818</v>
      </c>
      <c r="D1437" s="36" t="str">
        <f>P1437</f>
        <v>Silicone Reseal (Perimeter)</v>
      </c>
      <c r="E1437" s="157"/>
      <c r="F1437" s="10"/>
      <c r="G1437" s="17"/>
      <c r="H1437" s="10"/>
      <c r="I1437" s="17"/>
      <c r="J1437" s="83"/>
      <c r="K1437" s="344">
        <v>0</v>
      </c>
      <c r="L1437" s="347">
        <f>IF(OR(Enginuity!$B$6="",Enginuity!$B$7=""),"",2*(Enginuity!$B$6+Enginuity!$B$7))</f>
        <v>66</v>
      </c>
      <c r="M1437" s="89" t="s">
        <v>117</v>
      </c>
      <c r="N1437" s="10" t="s">
        <v>158</v>
      </c>
      <c r="O1437" s="22">
        <v>2</v>
      </c>
      <c r="P1437" s="36" t="s">
        <v>840</v>
      </c>
      <c r="Q1437" s="22" t="str">
        <f>IF(AND(Enginuity!$A$19&lt;&gt;"",UPPER(TRIM(D1437))=UPPER(TRIM(Enginuity!$A$19)),Enginuity!$B$6&gt;0,Enginuity!$B$7&gt;0),2*(Enginuity!$B$6+Enginuity!$B$7),"")</f>
        <v/>
      </c>
      <c r="U1437" s="104" t="str">
        <f>IF(
  AND(
    TRIM(A1437)=TRIM(Enginuity!$A$1),
    TRIM(B1437)=TRIM(Enginuity!$A$17),
    Q1437&lt;&gt;"",
    Q1437&lt;&gt;0,
    OR(
      TRIM(C1437)=TRIM(Enginuity!$A$18),
      AND(UPPER(TRIM(M1437))="STD", TRIM(B1437)=TRIM(Enginuity!$A$17))
    ),
    OR(
      AND(LEFT(P1437,5)="1-Way", Enginuity!$B$13=1),
      AND(LEFT(P1437,5)="2-Way", OR(Enginuity!$B$13=2, Enginuity!$B$13=4)),
      AND(LEFT(P1437,5)="3-Way", OR(Enginuity!$B$13=3, Enginuity!$B$13=6)),
      AND(P1437="Inner Centre Jamb", OR(Enginuity!$B$13=4, Enginuity!$B$13=6)),
      AND(
        LEFT(P1437,5)&lt;&gt;"1-Way",
        LEFT(P1437,5)&lt;&gt;"2-Way",
        LEFT(P1437,5)&lt;&gt;"3-Way",
        P1437&lt;&gt;"Inner Centre Jamb"
      )
    ),
    IF(OR(Enginuity!$A$1="Frameless Glass",Enginuity!$A$1="Metal Work"),
      AND(TRIM(B1437)=TRIM(Enginuity!$A$17),TRIM(C1437)=TRIM(Enginuity!$A$18)),
      TRIM(B1437)=TRIM(Enginuity!$A$17)
    )
  ),
  ROW(),
  ""
)</f>
        <v/>
      </c>
    </row>
    <row r="1438" spans="1:21" x14ac:dyDescent="0.25">
      <c r="A1438" s="10" t="s">
        <v>795</v>
      </c>
      <c r="B1438" s="233" t="s">
        <v>837</v>
      </c>
      <c r="C1438" s="14" t="s">
        <v>818</v>
      </c>
      <c r="D1438" s="36" t="str">
        <f>P1438</f>
        <v>Perimeter Skim 2-4"</v>
      </c>
      <c r="E1438" s="157"/>
      <c r="F1438" s="10"/>
      <c r="G1438" s="17"/>
      <c r="H1438" s="10"/>
      <c r="I1438" s="17"/>
      <c r="J1438" s="83"/>
      <c r="K1438" s="343"/>
      <c r="L1438" s="347"/>
      <c r="M1438" s="12" t="s">
        <v>117</v>
      </c>
      <c r="N1438" s="10" t="s">
        <v>158</v>
      </c>
      <c r="O1438" s="22">
        <v>2.5</v>
      </c>
      <c r="P1438" s="36" t="s">
        <v>841</v>
      </c>
      <c r="Q1438" s="22" t="str">
        <f>IF(AND(Enginuity!$A$19&lt;&gt;"",UPPER(TRIM(D1438))=UPPER(TRIM(Enginuity!$A$19)),Enginuity!$B$6&gt;0,Enginuity!$B$7&gt;0),2*(Enginuity!$B$6+Enginuity!$B$7),"")</f>
        <v/>
      </c>
      <c r="U1438" s="104" t="str">
        <f>IF(
  AND(
    TRIM(A1438)=TRIM(Enginuity!$A$1),
    TRIM(B1438)=TRIM(Enginuity!$A$17),
    Q1438&lt;&gt;"",
    Q1438&lt;&gt;0,
    OR(
      TRIM(C1438)=TRIM(Enginuity!$A$18),
      AND(UPPER(TRIM(M1438))="STD", TRIM(B1438)=TRIM(Enginuity!$A$17))
    ),
    OR(
      AND(LEFT(P1438,5)="1-Way", Enginuity!$B$13=1),
      AND(LEFT(P1438,5)="2-Way", OR(Enginuity!$B$13=2, Enginuity!$B$13=4)),
      AND(LEFT(P1438,5)="3-Way", OR(Enginuity!$B$13=3, Enginuity!$B$13=6)),
      AND(P1438="Inner Centre Jamb", OR(Enginuity!$B$13=4, Enginuity!$B$13=6)),
      AND(
        LEFT(P1438,5)&lt;&gt;"1-Way",
        LEFT(P1438,5)&lt;&gt;"2-Way",
        LEFT(P1438,5)&lt;&gt;"3-Way",
        P1438&lt;&gt;"Inner Centre Jamb"
      )
    ),
    IF(OR(Enginuity!$A$1="Frameless Glass",Enginuity!$A$1="Metal Work"),
      AND(TRIM(B1438)=TRIM(Enginuity!$A$17),TRIM(C1438)=TRIM(Enginuity!$A$18)),
      TRIM(B1438)=TRIM(Enginuity!$A$17)
    )
  ),
  ROW(),
  ""
)</f>
        <v/>
      </c>
    </row>
    <row r="1439" spans="1:21" x14ac:dyDescent="0.25">
      <c r="A1439" s="17" t="s">
        <v>795</v>
      </c>
      <c r="B1439" s="234"/>
      <c r="C1439" s="18"/>
      <c r="D1439" s="18"/>
      <c r="E1439" s="238"/>
      <c r="F1439" s="17"/>
      <c r="G1439" s="17"/>
      <c r="H1439" s="17"/>
      <c r="I1439" s="17"/>
      <c r="J1439" s="84"/>
      <c r="K1439" s="343"/>
      <c r="L1439" s="347"/>
      <c r="M1439" s="90"/>
      <c r="N1439" s="17"/>
      <c r="O1439" s="25"/>
      <c r="P1439" s="92"/>
      <c r="Q1439" s="179"/>
      <c r="U1439" s="104" t="str">
        <f>IF(
  AND(
    TRIM(A1439)=TRIM(Enginuity!$A$1),
    TRIM(B1439)=TRIM(Enginuity!$A$17),
    Q1439&lt;&gt;"",
    Q1439&lt;&gt;0,
    OR(
      TRIM(C1439)=TRIM(Enginuity!$A$18),
      AND(UPPER(TRIM(M1439))="STD", TRIM(B1439)=TRIM(Enginuity!$A$17))
    ),
    OR(
      AND(LEFT(P1439,5)="1-Way", Enginuity!$B$13=1),
      AND(LEFT(P1439,5)="2-Way", OR(Enginuity!$B$13=2, Enginuity!$B$13=4)),
      AND(LEFT(P1439,5)="3-Way", OR(Enginuity!$B$13=3, Enginuity!$B$13=6)),
      AND(P1439="Inner Centre Jamb", OR(Enginuity!$B$13=4, Enginuity!$B$13=6)),
      AND(
        LEFT(P1439,5)&lt;&gt;"1-Way",
        LEFT(P1439,5)&lt;&gt;"2-Way",
        LEFT(P1439,5)&lt;&gt;"3-Way",
        P1439&lt;&gt;"Inner Centre Jamb"
      )
    ),
    IF(OR(Enginuity!$A$1="Frameless Glass",Enginuity!$A$1="Metal Work"),
      AND(TRIM(B1439)=TRIM(Enginuity!$A$17),TRIM(C1439)=TRIM(Enginuity!$A$18)),
      TRIM(B1439)=TRIM(Enginuity!$A$17)
    )
  ),
  ROW(),
  ""
)</f>
        <v/>
      </c>
    </row>
    <row r="1440" spans="1:21" x14ac:dyDescent="0.25">
      <c r="A1440" s="10" t="s">
        <v>795</v>
      </c>
      <c r="B1440" s="233" t="s">
        <v>837</v>
      </c>
      <c r="C1440" s="14" t="s">
        <v>838</v>
      </c>
      <c r="D1440" s="36" t="str">
        <f>P1440</f>
        <v>Final Cleaning</v>
      </c>
      <c r="E1440" s="157"/>
      <c r="F1440" s="10"/>
      <c r="G1440" s="17"/>
      <c r="H1440" s="10"/>
      <c r="I1440" s="17"/>
      <c r="J1440" s="83"/>
      <c r="K1440" s="344">
        <v>0</v>
      </c>
      <c r="L1440" s="347">
        <f>IF(OR(Enginuity!$B$6="",Enginuity!$B$7=""),"",2*(Enginuity!$B$6+Enginuity!$B$7))</f>
        <v>66</v>
      </c>
      <c r="M1440" s="89" t="s">
        <v>117</v>
      </c>
      <c r="N1440" s="10" t="s">
        <v>121</v>
      </c>
      <c r="O1440" s="22">
        <v>1</v>
      </c>
      <c r="P1440" s="36" t="s">
        <v>842</v>
      </c>
      <c r="Q1440" s="98" t="str">
        <f>IF(AND(Enginuity!$A$19&lt;&gt;"", UPPER(TRIM(D1440))=UPPER(TRIM(Enginuity!$A$19)), N(Enginuity!$B$9)&gt;0), Enginuity!$B$9, "")</f>
        <v/>
      </c>
      <c r="U1440" s="104" t="str">
        <f>IF(
  AND(
    TRIM(A1440)=TRIM(Enginuity!$A$1),
    TRIM(B1440)=TRIM(Enginuity!$A$17),
    Q1440&lt;&gt;"",
    Q1440&lt;&gt;0,
    OR(
      TRIM(C1440)=TRIM(Enginuity!$A$18),
      AND(UPPER(TRIM(M1440))="STD", TRIM(B1440)=TRIM(Enginuity!$A$17))
    ),
    OR(
      AND(LEFT(P1440,5)="1-Way", Enginuity!$B$13=1),
      AND(LEFT(P1440,5)="2-Way", OR(Enginuity!$B$13=2, Enginuity!$B$13=4)),
      AND(LEFT(P1440,5)="3-Way", OR(Enginuity!$B$13=3, Enginuity!$B$13=6)),
      AND(P1440="Inner Centre Jamb", OR(Enginuity!$B$13=4, Enginuity!$B$13=6)),
      AND(
        LEFT(P1440,5)&lt;&gt;"1-Way",
        LEFT(P1440,5)&lt;&gt;"2-Way",
        LEFT(P1440,5)&lt;&gt;"3-Way",
        P1440&lt;&gt;"Inner Centre Jamb"
      )
    ),
    IF(OR(Enginuity!$A$1="Frameless Glass",Enginuity!$A$1="Metal Work"),
      AND(TRIM(B1440)=TRIM(Enginuity!$A$17),TRIM(C1440)=TRIM(Enginuity!$A$18)),
      TRIM(B1440)=TRIM(Enginuity!$A$17)
    )
  ),
  ROW(),
  ""
)</f>
        <v/>
      </c>
    </row>
    <row r="1441" spans="1:21" x14ac:dyDescent="0.25">
      <c r="A1441" s="10" t="s">
        <v>795</v>
      </c>
      <c r="B1441" s="233" t="s">
        <v>837</v>
      </c>
      <c r="C1441" s="14" t="s">
        <v>838</v>
      </c>
      <c r="D1441" s="36" t="str">
        <f t="shared" ref="D1441:D1446" si="23">P1441</f>
        <v>Paint Spot (Prime+Topcoat)</v>
      </c>
      <c r="E1441" s="157"/>
      <c r="F1441" s="10"/>
      <c r="G1441" s="17"/>
      <c r="H1441" s="10"/>
      <c r="I1441" s="17"/>
      <c r="J1441" s="83"/>
      <c r="K1441" s="343"/>
      <c r="L1441" s="347"/>
      <c r="M1441" s="89" t="s">
        <v>117</v>
      </c>
      <c r="N1441" s="10" t="s">
        <v>121</v>
      </c>
      <c r="O1441" s="22">
        <v>4</v>
      </c>
      <c r="P1441" s="36" t="s">
        <v>843</v>
      </c>
      <c r="Q1441" s="98" t="str">
        <f>IF(AND(Enginuity!$A$19&lt;&gt;"", UPPER(TRIM(D1441))=UPPER(TRIM(Enginuity!$A$19)), N(Enginuity!$B$9)&gt;0), Enginuity!$B$9, "")</f>
        <v/>
      </c>
      <c r="U1441" s="104" t="str">
        <f>IF(
  AND(
    TRIM(A1441)=TRIM(Enginuity!$A$1),
    TRIM(B1441)=TRIM(Enginuity!$A$17),
    Q1441&lt;&gt;"",
    Q1441&lt;&gt;0,
    OR(
      TRIM(C1441)=TRIM(Enginuity!$A$18),
      AND(UPPER(TRIM(M1441))="STD", TRIM(B1441)=TRIM(Enginuity!$A$17))
    ),
    OR(
      AND(LEFT(P1441,5)="1-Way", Enginuity!$B$13=1),
      AND(LEFT(P1441,5)="2-Way", OR(Enginuity!$B$13=2, Enginuity!$B$13=4)),
      AND(LEFT(P1441,5)="3-Way", OR(Enginuity!$B$13=3, Enginuity!$B$13=6)),
      AND(P1441="Inner Centre Jamb", OR(Enginuity!$B$13=4, Enginuity!$B$13=6)),
      AND(
        LEFT(P1441,5)&lt;&gt;"1-Way",
        LEFT(P1441,5)&lt;&gt;"2-Way",
        LEFT(P1441,5)&lt;&gt;"3-Way",
        P1441&lt;&gt;"Inner Centre Jamb"
      )
    ),
    IF(OR(Enginuity!$A$1="Frameless Glass",Enginuity!$A$1="Metal Work"),
      AND(TRIM(B1441)=TRIM(Enginuity!$A$17),TRIM(C1441)=TRIM(Enginuity!$A$18)),
      TRIM(B1441)=TRIM(Enginuity!$A$17)
    )
  ),
  ROW(),
  ""
)</f>
        <v/>
      </c>
    </row>
    <row r="1442" spans="1:21" x14ac:dyDescent="0.25">
      <c r="A1442" s="10" t="s">
        <v>795</v>
      </c>
      <c r="B1442" s="233" t="s">
        <v>837</v>
      </c>
      <c r="C1442" s="14" t="s">
        <v>838</v>
      </c>
      <c r="D1442" s="36" t="str">
        <f t="shared" si="23"/>
        <v>Plaster &amp; Skim (Area)</v>
      </c>
      <c r="E1442" s="157"/>
      <c r="F1442" s="10"/>
      <c r="G1442" s="17"/>
      <c r="H1442" s="10"/>
      <c r="I1442" s="17"/>
      <c r="J1442" s="83"/>
      <c r="K1442" s="343"/>
      <c r="L1442" s="347"/>
      <c r="M1442" s="12" t="s">
        <v>117</v>
      </c>
      <c r="N1442" s="10" t="s">
        <v>121</v>
      </c>
      <c r="O1442" s="22">
        <v>4.5</v>
      </c>
      <c r="P1442" s="36" t="s">
        <v>844</v>
      </c>
      <c r="Q1442" s="98" t="str">
        <f>IF(AND(Enginuity!$A$19&lt;&gt;"", UPPER(TRIM(D1442))=UPPER(TRIM(Enginuity!$A$19)), N(Enginuity!$B$9)&gt;0), Enginuity!$B$9, "")</f>
        <v/>
      </c>
      <c r="U1442" s="104" t="str">
        <f>IF(
  AND(
    TRIM(A1442)=TRIM(Enginuity!$A$1),
    TRIM(B1442)=TRIM(Enginuity!$A$17),
    Q1442&lt;&gt;"",
    Q1442&lt;&gt;0,
    OR(
      TRIM(C1442)=TRIM(Enginuity!$A$18),
      AND(UPPER(TRIM(M1442))="STD", TRIM(B1442)=TRIM(Enginuity!$A$17))
    ),
    OR(
      AND(LEFT(P1442,5)="1-Way", Enginuity!$B$13=1),
      AND(LEFT(P1442,5)="2-Way", OR(Enginuity!$B$13=2, Enginuity!$B$13=4)),
      AND(LEFT(P1442,5)="3-Way", OR(Enginuity!$B$13=3, Enginuity!$B$13=6)),
      AND(P1442="Inner Centre Jamb", OR(Enginuity!$B$13=4, Enginuity!$B$13=6)),
      AND(
        LEFT(P1442,5)&lt;&gt;"1-Way",
        LEFT(P1442,5)&lt;&gt;"2-Way",
        LEFT(P1442,5)&lt;&gt;"3-Way",
        P1442&lt;&gt;"Inner Centre Jamb"
      )
    ),
    IF(OR(Enginuity!$A$1="Frameless Glass",Enginuity!$A$1="Metal Work"),
      AND(TRIM(B1442)=TRIM(Enginuity!$A$17),TRIM(C1442)=TRIM(Enginuity!$A$18)),
      TRIM(B1442)=TRIM(Enginuity!$A$17)
    )
  ),
  ROW(),
  ""
)</f>
        <v/>
      </c>
    </row>
    <row r="1443" spans="1:21" x14ac:dyDescent="0.25">
      <c r="A1443" s="10" t="s">
        <v>795</v>
      </c>
      <c r="B1443" s="233" t="s">
        <v>837</v>
      </c>
      <c r="C1443" s="14" t="s">
        <v>838</v>
      </c>
      <c r="D1443" s="36" t="str">
        <f t="shared" si="23"/>
        <v>Facade Patch &amp; Repaint</v>
      </c>
      <c r="E1443" s="157"/>
      <c r="F1443" s="10"/>
      <c r="G1443" s="17"/>
      <c r="H1443" s="10"/>
      <c r="I1443" s="17"/>
      <c r="J1443" s="83"/>
      <c r="K1443" s="343"/>
      <c r="L1443" s="347"/>
      <c r="M1443" s="12" t="s">
        <v>117</v>
      </c>
      <c r="N1443" s="10" t="s">
        <v>121</v>
      </c>
      <c r="O1443" s="22">
        <v>5.5</v>
      </c>
      <c r="P1443" s="36" t="s">
        <v>845</v>
      </c>
      <c r="Q1443" s="98" t="str">
        <f>IF(AND(Enginuity!$A$19&lt;&gt;"", UPPER(TRIM(D1443))=UPPER(TRIM(Enginuity!$A$19)), N(Enginuity!$B$9)&gt;0), Enginuity!$B$9, "")</f>
        <v/>
      </c>
      <c r="U1443" s="104" t="str">
        <f>IF(
  AND(
    TRIM(A1443)=TRIM(Enginuity!$A$1),
    TRIM(B1443)=TRIM(Enginuity!$A$17),
    Q1443&lt;&gt;"",
    Q1443&lt;&gt;0,
    OR(
      TRIM(C1443)=TRIM(Enginuity!$A$18),
      AND(UPPER(TRIM(M1443))="STD", TRIM(B1443)=TRIM(Enginuity!$A$17))
    ),
    OR(
      AND(LEFT(P1443,5)="1-Way", Enginuity!$B$13=1),
      AND(LEFT(P1443,5)="2-Way", OR(Enginuity!$B$13=2, Enginuity!$B$13=4)),
      AND(LEFT(P1443,5)="3-Way", OR(Enginuity!$B$13=3, Enginuity!$B$13=6)),
      AND(P1443="Inner Centre Jamb", OR(Enginuity!$B$13=4, Enginuity!$B$13=6)),
      AND(
        LEFT(P1443,5)&lt;&gt;"1-Way",
        LEFT(P1443,5)&lt;&gt;"2-Way",
        LEFT(P1443,5)&lt;&gt;"3-Way",
        P1443&lt;&gt;"Inner Centre Jamb"
      )
    ),
    IF(OR(Enginuity!$A$1="Frameless Glass",Enginuity!$A$1="Metal Work"),
      AND(TRIM(B1443)=TRIM(Enginuity!$A$17),TRIM(C1443)=TRIM(Enginuity!$A$18)),
      TRIM(B1443)=TRIM(Enginuity!$A$17)
    )
  ),
  ROW(),
  ""
)</f>
        <v/>
      </c>
    </row>
    <row r="1444" spans="1:21" x14ac:dyDescent="0.25">
      <c r="A1444" s="10" t="s">
        <v>795</v>
      </c>
      <c r="B1444" s="233" t="s">
        <v>837</v>
      </c>
      <c r="C1444" s="14" t="s">
        <v>838</v>
      </c>
      <c r="D1444" s="36" t="str">
        <f t="shared" si="23"/>
        <v>Waterproofing Patch</v>
      </c>
      <c r="E1444" s="157"/>
      <c r="F1444" s="10"/>
      <c r="G1444" s="17"/>
      <c r="H1444" s="10"/>
      <c r="I1444" s="17"/>
      <c r="J1444" s="83"/>
      <c r="K1444" s="343"/>
      <c r="L1444" s="347"/>
      <c r="M1444" s="89" t="s">
        <v>117</v>
      </c>
      <c r="N1444" s="10" t="s">
        <v>121</v>
      </c>
      <c r="O1444" s="22">
        <v>8</v>
      </c>
      <c r="P1444" s="36" t="s">
        <v>846</v>
      </c>
      <c r="Q1444" s="98" t="str">
        <f>IF(AND(Enginuity!$A$19&lt;&gt;"", UPPER(TRIM(D1444))=UPPER(TRIM(Enginuity!$A$19)), N(Enginuity!$B$9)&gt;0), Enginuity!$B$9, "")</f>
        <v/>
      </c>
      <c r="U1444" s="104" t="str">
        <f>IF(
  AND(
    TRIM(A1444)=TRIM(Enginuity!$A$1),
    TRIM(B1444)=TRIM(Enginuity!$A$17),
    Q1444&lt;&gt;"",
    Q1444&lt;&gt;0,
    OR(
      TRIM(C1444)=TRIM(Enginuity!$A$18),
      AND(UPPER(TRIM(M1444))="STD", TRIM(B1444)=TRIM(Enginuity!$A$17))
    ),
    OR(
      AND(LEFT(P1444,5)="1-Way", Enginuity!$B$13=1),
      AND(LEFT(P1444,5)="2-Way", OR(Enginuity!$B$13=2, Enginuity!$B$13=4)),
      AND(LEFT(P1444,5)="3-Way", OR(Enginuity!$B$13=3, Enginuity!$B$13=6)),
      AND(P1444="Inner Centre Jamb", OR(Enginuity!$B$13=4, Enginuity!$B$13=6)),
      AND(
        LEFT(P1444,5)&lt;&gt;"1-Way",
        LEFT(P1444,5)&lt;&gt;"2-Way",
        LEFT(P1444,5)&lt;&gt;"3-Way",
        P1444&lt;&gt;"Inner Centre Jamb"
      )
    ),
    IF(OR(Enginuity!$A$1="Frameless Glass",Enginuity!$A$1="Metal Work"),
      AND(TRIM(B1444)=TRIM(Enginuity!$A$17),TRIM(C1444)=TRIM(Enginuity!$A$18)),
      TRIM(B1444)=TRIM(Enginuity!$A$17)
    )
  ),
  ROW(),
  ""
)</f>
        <v/>
      </c>
    </row>
    <row r="1445" spans="1:21" x14ac:dyDescent="0.25">
      <c r="A1445" s="10" t="s">
        <v>795</v>
      </c>
      <c r="B1445" s="233" t="s">
        <v>837</v>
      </c>
      <c r="C1445" s="14" t="s">
        <v>838</v>
      </c>
      <c r="D1445" s="36" t="str">
        <f t="shared" si="23"/>
        <v>Tile Re-Lay</v>
      </c>
      <c r="E1445" s="157"/>
      <c r="F1445" s="10"/>
      <c r="G1445" s="17"/>
      <c r="H1445" s="10"/>
      <c r="I1445" s="17"/>
      <c r="J1445" s="83"/>
      <c r="K1445" s="343"/>
      <c r="L1445" s="347"/>
      <c r="M1445" s="89" t="s">
        <v>117</v>
      </c>
      <c r="N1445" s="10" t="s">
        <v>121</v>
      </c>
      <c r="O1445" s="22">
        <v>13.5</v>
      </c>
      <c r="P1445" s="36" t="s">
        <v>847</v>
      </c>
      <c r="Q1445" s="98" t="str">
        <f>IF(AND(Enginuity!$A$19&lt;&gt;"", UPPER(TRIM(D1445))=UPPER(TRIM(Enginuity!$A$19)), N(Enginuity!$B$9)&gt;0), Enginuity!$B$9, "")</f>
        <v/>
      </c>
      <c r="U1445" s="104" t="str">
        <f>IF(
  AND(
    TRIM(A1445)=TRIM(Enginuity!$A$1),
    TRIM(B1445)=TRIM(Enginuity!$A$17),
    Q1445&lt;&gt;"",
    Q1445&lt;&gt;0,
    OR(
      TRIM(C1445)=TRIM(Enginuity!$A$18),
      AND(UPPER(TRIM(M1445))="STD", TRIM(B1445)=TRIM(Enginuity!$A$17))
    ),
    OR(
      AND(LEFT(P1445,5)="1-Way", Enginuity!$B$13=1),
      AND(LEFT(P1445,5)="2-Way", OR(Enginuity!$B$13=2, Enginuity!$B$13=4)),
      AND(LEFT(P1445,5)="3-Way", OR(Enginuity!$B$13=3, Enginuity!$B$13=6)),
      AND(P1445="Inner Centre Jamb", OR(Enginuity!$B$13=4, Enginuity!$B$13=6)),
      AND(
        LEFT(P1445,5)&lt;&gt;"1-Way",
        LEFT(P1445,5)&lt;&gt;"2-Way",
        LEFT(P1445,5)&lt;&gt;"3-Way",
        P1445&lt;&gt;"Inner Centre Jamb"
      )
    ),
    IF(OR(Enginuity!$A$1="Frameless Glass",Enginuity!$A$1="Metal Work"),
      AND(TRIM(B1445)=TRIM(Enginuity!$A$17),TRIM(C1445)=TRIM(Enginuity!$A$18)),
      TRIM(B1445)=TRIM(Enginuity!$A$17)
    )
  ),
  ROW(),
  ""
)</f>
        <v/>
      </c>
    </row>
    <row r="1446" spans="1:21" x14ac:dyDescent="0.25">
      <c r="A1446" s="10" t="s">
        <v>795</v>
      </c>
      <c r="B1446" s="233" t="s">
        <v>837</v>
      </c>
      <c r="C1446" s="14" t="s">
        <v>838</v>
      </c>
      <c r="D1446" s="36" t="str">
        <f t="shared" si="23"/>
        <v>Glass Refit/Replace</v>
      </c>
      <c r="E1446" s="157"/>
      <c r="F1446" s="10"/>
      <c r="G1446" s="17"/>
      <c r="H1446" s="10"/>
      <c r="I1446" s="17"/>
      <c r="J1446" s="83"/>
      <c r="K1446" s="343"/>
      <c r="L1446" s="347"/>
      <c r="M1446" s="89" t="s">
        <v>117</v>
      </c>
      <c r="N1446" s="10" t="s">
        <v>121</v>
      </c>
      <c r="O1446" s="22">
        <v>70</v>
      </c>
      <c r="P1446" s="36" t="s">
        <v>848</v>
      </c>
      <c r="Q1446" s="98" t="str">
        <f>IF(AND(Enginuity!$A$19&lt;&gt;"", UPPER(TRIM(D1446))=UPPER(TRIM(Enginuity!$A$19)), N(Enginuity!$B$9)&gt;0), Enginuity!$B$9, "")</f>
        <v/>
      </c>
      <c r="U1446" s="104" t="str">
        <f>IF(
  AND(
    TRIM(A1446)=TRIM(Enginuity!$A$1),
    TRIM(B1446)=TRIM(Enginuity!$A$17),
    Q1446&lt;&gt;"",
    Q1446&lt;&gt;0,
    OR(
      TRIM(C1446)=TRIM(Enginuity!$A$18),
      AND(UPPER(TRIM(M1446))="STD", TRIM(B1446)=TRIM(Enginuity!$A$17))
    ),
    OR(
      AND(LEFT(P1446,5)="1-Way", Enginuity!$B$13=1),
      AND(LEFT(P1446,5)="2-Way", OR(Enginuity!$B$13=2, Enginuity!$B$13=4)),
      AND(LEFT(P1446,5)="3-Way", OR(Enginuity!$B$13=3, Enginuity!$B$13=6)),
      AND(P1446="Inner Centre Jamb", OR(Enginuity!$B$13=4, Enginuity!$B$13=6)),
      AND(
        LEFT(P1446,5)&lt;&gt;"1-Way",
        LEFT(P1446,5)&lt;&gt;"2-Way",
        LEFT(P1446,5)&lt;&gt;"3-Way",
        P1446&lt;&gt;"Inner Centre Jamb"
      )
    ),
    IF(OR(Enginuity!$A$1="Frameless Glass",Enginuity!$A$1="Metal Work"),
      AND(TRIM(B1446)=TRIM(Enginuity!$A$17),TRIM(C1446)=TRIM(Enginuity!$A$18)),
      TRIM(B1446)=TRIM(Enginuity!$A$17)
    )
  ),
  ROW(),
  ""
)</f>
        <v/>
      </c>
    </row>
    <row r="1447" spans="1:21" x14ac:dyDescent="0.25">
      <c r="A1447" s="17" t="s">
        <v>795</v>
      </c>
      <c r="B1447" s="230"/>
      <c r="C1447" s="18"/>
      <c r="D1447" s="18"/>
      <c r="E1447" s="238"/>
      <c r="F1447" s="17"/>
      <c r="G1447" s="17"/>
      <c r="H1447" s="17"/>
      <c r="I1447" s="17"/>
      <c r="J1447" s="84"/>
      <c r="K1447" s="343"/>
      <c r="L1447" s="347"/>
      <c r="M1447" s="90"/>
      <c r="N1447" s="17"/>
      <c r="O1447" s="25"/>
      <c r="P1447" s="92"/>
      <c r="Q1447" s="179"/>
      <c r="U1447" s="104" t="str">
        <f>IF(
  AND(
    TRIM(A1447)=TRIM(Enginuity!$A$1),
    TRIM(B1447)=TRIM(Enginuity!$A$17),
    Q1447&lt;&gt;"",
    Q1447&lt;&gt;0,
    OR(
      TRIM(C1447)=TRIM(Enginuity!$A$18),
      AND(UPPER(TRIM(M1447))="STD", TRIM(B1447)=TRIM(Enginuity!$A$17))
    ),
    OR(
      AND(LEFT(P1447,5)="1-Way", Enginuity!$B$13=1),
      AND(LEFT(P1447,5)="2-Way", OR(Enginuity!$B$13=2, Enginuity!$B$13=4)),
      AND(LEFT(P1447,5)="3-Way", OR(Enginuity!$B$13=3, Enginuity!$B$13=6)),
      AND(P1447="Inner Centre Jamb", OR(Enginuity!$B$13=4, Enginuity!$B$13=6)),
      AND(
        LEFT(P1447,5)&lt;&gt;"1-Way",
        LEFT(P1447,5)&lt;&gt;"2-Way",
        LEFT(P1447,5)&lt;&gt;"3-Way",
        P1447&lt;&gt;"Inner Centre Jamb"
      )
    ),
    IF(OR(Enginuity!$A$1="Frameless Glass",Enginuity!$A$1="Metal Work"),
      AND(TRIM(B1447)=TRIM(Enginuity!$A$17),TRIM(C1447)=TRIM(Enginuity!$A$18)),
      TRIM(B1447)=TRIM(Enginuity!$A$17)
    )
  ),
  ROW(),
  ""
)</f>
        <v/>
      </c>
    </row>
    <row r="1448" spans="1:21" x14ac:dyDescent="0.25">
      <c r="A1448" s="10" t="s">
        <v>795</v>
      </c>
      <c r="B1448" s="233" t="s">
        <v>837</v>
      </c>
      <c r="C1448" s="14" t="s">
        <v>859</v>
      </c>
      <c r="D1448" s="36" t="str">
        <f>P1448</f>
        <v>Skirting/Architrave</v>
      </c>
      <c r="E1448" s="157"/>
      <c r="F1448" s="10"/>
      <c r="G1448" s="17"/>
      <c r="H1448" s="10"/>
      <c r="I1448" s="17"/>
      <c r="J1448" s="83"/>
      <c r="K1448" s="344">
        <v>0</v>
      </c>
      <c r="L1448" s="347">
        <f>IF(OR(Enginuity!$B$6="",Enginuity!$B$7=""),"",2*(Enginuity!$B$6+Enginuity!$B$7))</f>
        <v>66</v>
      </c>
      <c r="M1448" s="89" t="s">
        <v>117</v>
      </c>
      <c r="N1448" s="10" t="s">
        <v>859</v>
      </c>
      <c r="O1448" s="22">
        <v>15</v>
      </c>
      <c r="P1448" s="36" t="s">
        <v>849</v>
      </c>
      <c r="Q1448" s="98" t="str">
        <f>IF(AND(Enginuity!$A$19&lt;&gt;"", UPPER(TRIM(D1448))=UPPER(TRIM(Enginuity!$A$19)), Enginuity!$B$6&gt;0, Enginuity!$B$7&gt;0), 2*Enginuity!$B$7 + Enginuity!$B$6, "")</f>
        <v/>
      </c>
      <c r="U1448" s="104" t="str">
        <f>IF(
  AND(
    TRIM(A1448)=TRIM(Enginuity!$A$1),
    TRIM(B1448)=TRIM(Enginuity!$A$17),
    Q1448&lt;&gt;"",
    Q1448&lt;&gt;0,
    OR(
      TRIM(C1448)=TRIM(Enginuity!$A$18),
      AND(UPPER(TRIM(M1448))="STD", TRIM(B1448)=TRIM(Enginuity!$A$17))
    ),
    OR(
      AND(LEFT(P1448,5)="1-Way", Enginuity!$B$13=1),
      AND(LEFT(P1448,5)="2-Way", OR(Enginuity!$B$13=2, Enginuity!$B$13=4)),
      AND(LEFT(P1448,5)="3-Way", OR(Enginuity!$B$13=3, Enginuity!$B$13=6)),
      AND(P1448="Inner Centre Jamb", OR(Enginuity!$B$13=4, Enginuity!$B$13=6)),
      AND(
        LEFT(P1448,5)&lt;&gt;"1-Way",
        LEFT(P1448,5)&lt;&gt;"2-Way",
        LEFT(P1448,5)&lt;&gt;"3-Way",
        P1448&lt;&gt;"Inner Centre Jamb"
      )
    ),
    IF(OR(Enginuity!$A$1="Frameless Glass",Enginuity!$A$1="Metal Work"),
      AND(TRIM(B1448)=TRIM(Enginuity!$A$17),TRIM(C1448)=TRIM(Enginuity!$A$18)),
      TRIM(B1448)=TRIM(Enginuity!$A$17)
    )
  ),
  ROW(),
  ""
)</f>
        <v/>
      </c>
    </row>
    <row r="1449" spans="1:21" x14ac:dyDescent="0.25">
      <c r="A1449" s="10" t="s">
        <v>795</v>
      </c>
      <c r="B1449" s="233" t="s">
        <v>837</v>
      </c>
      <c r="C1449" s="14" t="s">
        <v>859</v>
      </c>
      <c r="D1449" s="36" t="str">
        <f t="shared" ref="D1449:D1450" si="24">P1449</f>
        <v>Gutter/Downpipe Reconnect</v>
      </c>
      <c r="E1449" s="157"/>
      <c r="F1449" s="10"/>
      <c r="G1449" s="17"/>
      <c r="H1449" s="10"/>
      <c r="I1449" s="17"/>
      <c r="J1449" s="83"/>
      <c r="K1449" s="343"/>
      <c r="L1449" s="347"/>
      <c r="M1449" s="89" t="s">
        <v>117</v>
      </c>
      <c r="N1449" s="10" t="s">
        <v>859</v>
      </c>
      <c r="O1449" s="22">
        <v>18</v>
      </c>
      <c r="P1449" s="36" t="s">
        <v>850</v>
      </c>
      <c r="Q1449" s="98" t="str">
        <f>IF(AND(Enginuity!$A$19&lt;&gt;"", UPPER(TRIM(D1449))=UPPER(TRIM(Enginuity!$A$19)), Enginuity!$B$6&gt;0, Enginuity!$B$7&gt;0), 2*Enginuity!$B$7 + Enginuity!$B$6, "")</f>
        <v/>
      </c>
      <c r="U1449" s="104" t="str">
        <f>IF(
  AND(
    TRIM(A1449)=TRIM(Enginuity!$A$1),
    TRIM(B1449)=TRIM(Enginuity!$A$17),
    Q1449&lt;&gt;"",
    Q1449&lt;&gt;0,
    OR(
      TRIM(C1449)=TRIM(Enginuity!$A$18),
      AND(UPPER(TRIM(M1449))="STD", TRIM(B1449)=TRIM(Enginuity!$A$17))
    ),
    OR(
      AND(LEFT(P1449,5)="1-Way", Enginuity!$B$13=1),
      AND(LEFT(P1449,5)="2-Way", OR(Enginuity!$B$13=2, Enginuity!$B$13=4)),
      AND(LEFT(P1449,5)="3-Way", OR(Enginuity!$B$13=3, Enginuity!$B$13=6)),
      AND(P1449="Inner Centre Jamb", OR(Enginuity!$B$13=4, Enginuity!$B$13=6)),
      AND(
        LEFT(P1449,5)&lt;&gt;"1-Way",
        LEFT(P1449,5)&lt;&gt;"2-Way",
        LEFT(P1449,5)&lt;&gt;"3-Way",
        P1449&lt;&gt;"Inner Centre Jamb"
      )
    ),
    IF(OR(Enginuity!$A$1="Frameless Glass",Enginuity!$A$1="Metal Work"),
      AND(TRIM(B1449)=TRIM(Enginuity!$A$17),TRIM(C1449)=TRIM(Enginuity!$A$18)),
      TRIM(B1449)=TRIM(Enginuity!$A$17)
    )
  ),
  ROW(),
  ""
)</f>
        <v/>
      </c>
    </row>
    <row r="1450" spans="1:21" x14ac:dyDescent="0.25">
      <c r="A1450" s="10" t="s">
        <v>795</v>
      </c>
      <c r="B1450" s="233" t="s">
        <v>837</v>
      </c>
      <c r="C1450" s="14" t="s">
        <v>859</v>
      </c>
      <c r="D1450" s="36" t="str">
        <f t="shared" si="24"/>
        <v>Jamb/Sill Rebuild</v>
      </c>
      <c r="E1450" s="157"/>
      <c r="F1450" s="10"/>
      <c r="G1450" s="17"/>
      <c r="H1450" s="10"/>
      <c r="I1450" s="17"/>
      <c r="J1450" s="83"/>
      <c r="K1450" s="343"/>
      <c r="L1450" s="347"/>
      <c r="M1450" s="89" t="s">
        <v>117</v>
      </c>
      <c r="N1450" s="10" t="s">
        <v>859</v>
      </c>
      <c r="O1450" s="22">
        <v>22</v>
      </c>
      <c r="P1450" s="36" t="s">
        <v>851</v>
      </c>
      <c r="Q1450" s="98" t="str">
        <f>IF(AND(Enginuity!$A$19&lt;&gt;"", UPPER(TRIM(D1450))=UPPER(TRIM(Enginuity!$A$19)), Enginuity!$B$6&gt;0, Enginuity!$B$7&gt;0), 2*Enginuity!$B$7 + Enginuity!$B$6, "")</f>
        <v/>
      </c>
      <c r="U1450" s="104" t="str">
        <f>IF(
  AND(
    TRIM(A1450)=TRIM(Enginuity!$A$1),
    TRIM(B1450)=TRIM(Enginuity!$A$17),
    Q1450&lt;&gt;"",
    Q1450&lt;&gt;0,
    OR(
      TRIM(C1450)=TRIM(Enginuity!$A$18),
      AND(UPPER(TRIM(M1450))="STD", TRIM(B1450)=TRIM(Enginuity!$A$17))
    ),
    OR(
      AND(LEFT(P1450,5)="1-Way", Enginuity!$B$13=1),
      AND(LEFT(P1450,5)="2-Way", OR(Enginuity!$B$13=2, Enginuity!$B$13=4)),
      AND(LEFT(P1450,5)="3-Way", OR(Enginuity!$B$13=3, Enginuity!$B$13=6)),
      AND(P1450="Inner Centre Jamb", OR(Enginuity!$B$13=4, Enginuity!$B$13=6)),
      AND(
        LEFT(P1450,5)&lt;&gt;"1-Way",
        LEFT(P1450,5)&lt;&gt;"2-Way",
        LEFT(P1450,5)&lt;&gt;"3-Way",
        P1450&lt;&gt;"Inner Centre Jamb"
      )
    ),
    IF(OR(Enginuity!$A$1="Frameless Glass",Enginuity!$A$1="Metal Work"),
      AND(TRIM(B1450)=TRIM(Enginuity!$A$17),TRIM(C1450)=TRIM(Enginuity!$A$18)),
      TRIM(B1450)=TRIM(Enginuity!$A$17)
    )
  ),
  ROW(),
  ""
)</f>
        <v/>
      </c>
    </row>
    <row r="1451" spans="1:21" x14ac:dyDescent="0.25">
      <c r="A1451" s="17" t="s">
        <v>795</v>
      </c>
      <c r="B1451" s="230"/>
      <c r="C1451" s="18"/>
      <c r="D1451" s="18"/>
      <c r="E1451" s="238"/>
      <c r="F1451" s="17"/>
      <c r="G1451" s="17"/>
      <c r="H1451" s="17"/>
      <c r="I1451" s="17"/>
      <c r="J1451" s="84"/>
      <c r="K1451" s="343"/>
      <c r="L1451" s="347"/>
      <c r="M1451" s="90"/>
      <c r="N1451" s="17"/>
      <c r="O1451" s="25"/>
      <c r="P1451" s="92"/>
      <c r="Q1451" s="179"/>
      <c r="U1451" s="104" t="str">
        <f>IF(
  AND(
    TRIM(A1451)=TRIM(Enginuity!$A$1),
    TRIM(B1451)=TRIM(Enginuity!$A$17),
    Q1451&lt;&gt;"",
    Q1451&lt;&gt;0,
    OR(
      TRIM(C1451)=TRIM(Enginuity!$A$18),
      AND(UPPER(TRIM(M1451))="STD", TRIM(B1451)=TRIM(Enginuity!$A$17))
    ),
    OR(
      AND(LEFT(P1451,5)="1-Way", Enginuity!$B$13=1),
      AND(LEFT(P1451,5)="2-Way", OR(Enginuity!$B$13=2, Enginuity!$B$13=4)),
      AND(LEFT(P1451,5)="3-Way", OR(Enginuity!$B$13=3, Enginuity!$B$13=6)),
      AND(P1451="Inner Centre Jamb", OR(Enginuity!$B$13=4, Enginuity!$B$13=6)),
      AND(
        LEFT(P1451,5)&lt;&gt;"1-Way",
        LEFT(P1451,5)&lt;&gt;"2-Way",
        LEFT(P1451,5)&lt;&gt;"3-Way",
        P1451&lt;&gt;"Inner Centre Jamb"
      )
    ),
    IF(OR(Enginuity!$A$1="Frameless Glass",Enginuity!$A$1="Metal Work"),
      AND(TRIM(B1451)=TRIM(Enginuity!$A$17),TRIM(C1451)=TRIM(Enginuity!$A$18)),
      TRIM(B1451)=TRIM(Enginuity!$A$17)
    )
  ),
  ROW(),
  ""
)</f>
        <v/>
      </c>
    </row>
    <row r="1452" spans="1:21" x14ac:dyDescent="0.25">
      <c r="A1452" s="10" t="s">
        <v>795</v>
      </c>
      <c r="B1452" s="233" t="s">
        <v>837</v>
      </c>
      <c r="C1452" s="14" t="s">
        <v>860</v>
      </c>
      <c r="D1452" s="36" t="str">
        <f>P1452</f>
        <v>New Frame Install</v>
      </c>
      <c r="E1452" s="157"/>
      <c r="F1452" s="10"/>
      <c r="G1452" s="17"/>
      <c r="H1452" s="10"/>
      <c r="I1452" s="17"/>
      <c r="J1452" s="83"/>
      <c r="K1452" s="344">
        <v>0</v>
      </c>
      <c r="L1452" s="347">
        <f>IF(OR(Enginuity!$B$6="",Enginuity!$B$7=""),"",2*(Enginuity!$B$6+Enginuity!$B$7))</f>
        <v>66</v>
      </c>
      <c r="M1452" s="89" t="s">
        <v>117</v>
      </c>
      <c r="N1452" s="10" t="s">
        <v>860</v>
      </c>
      <c r="O1452" s="22">
        <v>120</v>
      </c>
      <c r="P1452" s="36" t="s">
        <v>852</v>
      </c>
      <c r="Q1452" s="98" t="str">
        <f>IF(AND(Enginuity!$A$19&lt;&gt;"",UPPER(TRIM($D1452))=UPPER(TRIM(Enginuity!$A$19))),1,"")</f>
        <v/>
      </c>
      <c r="U1452" s="104" t="str">
        <f>IF(
  AND(
    TRIM(A1452)=TRIM(Enginuity!$A$1),
    TRIM(B1452)=TRIM(Enginuity!$A$17),
    Q1452&lt;&gt;"",
    Q1452&lt;&gt;0,
    OR(
      TRIM(C1452)=TRIM(Enginuity!$A$18),
      AND(UPPER(TRIM(M1452))="STD", TRIM(B1452)=TRIM(Enginuity!$A$17))
    ),
    OR(
      AND(LEFT(P1452,5)="1-Way", Enginuity!$B$13=1),
      AND(LEFT(P1452,5)="2-Way", OR(Enginuity!$B$13=2, Enginuity!$B$13=4)),
      AND(LEFT(P1452,5)="3-Way", OR(Enginuity!$B$13=3, Enginuity!$B$13=6)),
      AND(P1452="Inner Centre Jamb", OR(Enginuity!$B$13=4, Enginuity!$B$13=6)),
      AND(
        LEFT(P1452,5)&lt;&gt;"1-Way",
        LEFT(P1452,5)&lt;&gt;"2-Way",
        LEFT(P1452,5)&lt;&gt;"3-Way",
        P1452&lt;&gt;"Inner Centre Jamb"
      )
    ),
    IF(OR(Enginuity!$A$1="Frameless Glass",Enginuity!$A$1="Metal Work"),
      AND(TRIM(B1452)=TRIM(Enginuity!$A$17),TRIM(C1452)=TRIM(Enginuity!$A$18)),
      TRIM(B1452)=TRIM(Enginuity!$A$17)
    )
  ),
  ROW(),
  ""
)</f>
        <v/>
      </c>
    </row>
    <row r="1453" spans="1:21" x14ac:dyDescent="0.25">
      <c r="A1453" s="10" t="s">
        <v>795</v>
      </c>
      <c r="B1453" s="233" t="s">
        <v>837</v>
      </c>
      <c r="C1453" s="14" t="s">
        <v>860</v>
      </c>
      <c r="D1453" s="36" t="str">
        <f t="shared" ref="D1453:D1454" si="25">P1453</f>
        <v>Track Re-Level</v>
      </c>
      <c r="E1453" s="157"/>
      <c r="F1453" s="10"/>
      <c r="G1453" s="17"/>
      <c r="H1453" s="10"/>
      <c r="I1453" s="17"/>
      <c r="J1453" s="83"/>
      <c r="K1453" s="343"/>
      <c r="L1453" s="347"/>
      <c r="M1453" s="89" t="s">
        <v>117</v>
      </c>
      <c r="N1453" s="10" t="s">
        <v>860</v>
      </c>
      <c r="O1453" s="22">
        <v>220</v>
      </c>
      <c r="P1453" s="36" t="s">
        <v>853</v>
      </c>
      <c r="Q1453" s="98" t="str">
        <f>IF(AND(Enginuity!$A$19&lt;&gt;"",UPPER(TRIM($D1453))=UPPER(TRIM(Enginuity!$A$19))),1,"")</f>
        <v/>
      </c>
      <c r="U1453" s="104" t="str">
        <f>IF(
  AND(
    TRIM(A1453)=TRIM(Enginuity!$A$1),
    TRIM(B1453)=TRIM(Enginuity!$A$17),
    Q1453&lt;&gt;"",
    Q1453&lt;&gt;0,
    OR(
      TRIM(C1453)=TRIM(Enginuity!$A$18),
      AND(UPPER(TRIM(M1453))="STD", TRIM(B1453)=TRIM(Enginuity!$A$17))
    ),
    OR(
      AND(LEFT(P1453,5)="1-Way", Enginuity!$B$13=1),
      AND(LEFT(P1453,5)="2-Way", OR(Enginuity!$B$13=2, Enginuity!$B$13=4)),
      AND(LEFT(P1453,5)="3-Way", OR(Enginuity!$B$13=3, Enginuity!$B$13=6)),
      AND(P1453="Inner Centre Jamb", OR(Enginuity!$B$13=4, Enginuity!$B$13=6)),
      AND(
        LEFT(P1453,5)&lt;&gt;"1-Way",
        LEFT(P1453,5)&lt;&gt;"2-Way",
        LEFT(P1453,5)&lt;&gt;"3-Way",
        P1453&lt;&gt;"Inner Centre Jamb"
      )
    ),
    IF(OR(Enginuity!$A$1="Frameless Glass",Enginuity!$A$1="Metal Work"),
      AND(TRIM(B1453)=TRIM(Enginuity!$A$17),TRIM(C1453)=TRIM(Enginuity!$A$18)),
      TRIM(B1453)=TRIM(Enginuity!$A$17)
    )
  ),
  ROW(),
  ""
)</f>
        <v/>
      </c>
    </row>
    <row r="1454" spans="1:21" x14ac:dyDescent="0.25">
      <c r="A1454" s="10" t="s">
        <v>795</v>
      </c>
      <c r="B1454" s="233" t="s">
        <v>837</v>
      </c>
      <c r="C1454" s="14" t="s">
        <v>860</v>
      </c>
      <c r="D1454" s="36" t="str">
        <f t="shared" si="25"/>
        <v>Board-Up (Temporary)</v>
      </c>
      <c r="E1454" s="157"/>
      <c r="F1454" s="10"/>
      <c r="G1454" s="17"/>
      <c r="H1454" s="10"/>
      <c r="I1454" s="17"/>
      <c r="J1454" s="83"/>
      <c r="K1454" s="343"/>
      <c r="L1454" s="347"/>
      <c r="M1454" s="89" t="s">
        <v>117</v>
      </c>
      <c r="N1454" s="10" t="s">
        <v>860</v>
      </c>
      <c r="O1454" s="22">
        <v>250</v>
      </c>
      <c r="P1454" s="36" t="s">
        <v>854</v>
      </c>
      <c r="Q1454" s="98" t="str">
        <f>IF(AND(Enginuity!$A$19&lt;&gt;"",UPPER(TRIM($D1454))=UPPER(TRIM(Enginuity!$A$19))),1,"")</f>
        <v/>
      </c>
      <c r="U1454" s="104" t="str">
        <f>IF(
  AND(
    TRIM(A1454)=TRIM(Enginuity!$A$1),
    TRIM(B1454)=TRIM(Enginuity!$A$17),
    Q1454&lt;&gt;"",
    Q1454&lt;&gt;0,
    OR(
      TRIM(C1454)=TRIM(Enginuity!$A$18),
      AND(UPPER(TRIM(M1454))="STD", TRIM(B1454)=TRIM(Enginuity!$A$17))
    ),
    OR(
      AND(LEFT(P1454,5)="1-Way", Enginuity!$B$13=1),
      AND(LEFT(P1454,5)="2-Way", OR(Enginuity!$B$13=2, Enginuity!$B$13=4)),
      AND(LEFT(P1454,5)="3-Way", OR(Enginuity!$B$13=3, Enginuity!$B$13=6)),
      AND(P1454="Inner Centre Jamb", OR(Enginuity!$B$13=4, Enginuity!$B$13=6)),
      AND(
        LEFT(P1454,5)&lt;&gt;"1-Way",
        LEFT(P1454,5)&lt;&gt;"2-Way",
        LEFT(P1454,5)&lt;&gt;"3-Way",
        P1454&lt;&gt;"Inner Centre Jamb"
      )
    ),
    IF(OR(Enginuity!$A$1="Frameless Glass",Enginuity!$A$1="Metal Work"),
      AND(TRIM(B1454)=TRIM(Enginuity!$A$17),TRIM(C1454)=TRIM(Enginuity!$A$18)),
      TRIM(B1454)=TRIM(Enginuity!$A$17)
    )
  ),
  ROW(),
  ""
)</f>
        <v/>
      </c>
    </row>
    <row r="1455" spans="1:21" x14ac:dyDescent="0.25">
      <c r="A1455" s="17" t="s">
        <v>795</v>
      </c>
      <c r="B1455" s="230"/>
      <c r="C1455" s="18"/>
      <c r="D1455" s="18"/>
      <c r="E1455" s="238"/>
      <c r="F1455" s="17"/>
      <c r="G1455" s="17"/>
      <c r="H1455" s="17"/>
      <c r="I1455" s="17"/>
      <c r="J1455" s="84"/>
      <c r="K1455" s="343"/>
      <c r="L1455" s="347"/>
      <c r="M1455" s="90"/>
      <c r="N1455" s="17"/>
      <c r="O1455" s="25"/>
      <c r="P1455" s="92"/>
      <c r="Q1455" s="179"/>
      <c r="U1455" s="104" t="str">
        <f>IF(
  AND(
    TRIM(A1455)=TRIM(Enginuity!$A$1),
    TRIM(B1455)=TRIM(Enginuity!$A$17),
    Q1455&lt;&gt;"",
    Q1455&lt;&gt;0,
    OR(
      TRIM(C1455)=TRIM(Enginuity!$A$18),
      AND(UPPER(TRIM(M1455))="STD", TRIM(B1455)=TRIM(Enginuity!$A$17))
    ),
    OR(
      AND(LEFT(P1455,5)="1-Way", Enginuity!$B$13=1),
      AND(LEFT(P1455,5)="2-Way", OR(Enginuity!$B$13=2, Enginuity!$B$13=4)),
      AND(LEFT(P1455,5)="3-Way", OR(Enginuity!$B$13=3, Enginuity!$B$13=6)),
      AND(P1455="Inner Centre Jamb", OR(Enginuity!$B$13=4, Enginuity!$B$13=6)),
      AND(
        LEFT(P1455,5)&lt;&gt;"1-Way",
        LEFT(P1455,5)&lt;&gt;"2-Way",
        LEFT(P1455,5)&lt;&gt;"3-Way",
        P1455&lt;&gt;"Inner Centre Jamb"
      )
    ),
    IF(OR(Enginuity!$A$1="Frameless Glass",Enginuity!$A$1="Metal Work"),
      AND(TRIM(B1455)=TRIM(Enginuity!$A$17),TRIM(C1455)=TRIM(Enginuity!$A$18)),
      TRIM(B1455)=TRIM(Enginuity!$A$17)
    )
  ),
  ROW(),
  ""
)</f>
        <v/>
      </c>
    </row>
    <row r="1456" spans="1:21" x14ac:dyDescent="0.25">
      <c r="A1456" s="10" t="s">
        <v>795</v>
      </c>
      <c r="B1456" s="233" t="s">
        <v>837</v>
      </c>
      <c r="C1456" s="14" t="s">
        <v>839</v>
      </c>
      <c r="D1456" s="36" t="str">
        <f>P1456</f>
        <v>Anchor-Hole Patch</v>
      </c>
      <c r="E1456" s="157"/>
      <c r="F1456" s="10"/>
      <c r="G1456" s="17"/>
      <c r="H1456" s="10"/>
      <c r="I1456" s="17"/>
      <c r="J1456" s="83"/>
      <c r="K1456" s="344">
        <v>0</v>
      </c>
      <c r="L1456" s="347">
        <f>IF(OR(Enginuity!$B$6="",Enginuity!$B$7=""),"",2*(Enginuity!$B$6+Enginuity!$B$7))</f>
        <v>66</v>
      </c>
      <c r="M1456" s="89" t="s">
        <v>117</v>
      </c>
      <c r="N1456" s="10" t="s">
        <v>839</v>
      </c>
      <c r="O1456" s="22">
        <v>20</v>
      </c>
      <c r="P1456" s="36" t="s">
        <v>855</v>
      </c>
      <c r="Q1456" s="98" t="str">
        <f>IF(AND(Enginuity!$A$19&lt;&gt;"",UPPER(TRIM($D1456))=UPPER(TRIM(Enginuity!$A$19))),1,"")</f>
        <v/>
      </c>
      <c r="U1456" s="104" t="str">
        <f>IF(
  AND(
    TRIM(A1456)=TRIM(Enginuity!$A$1),
    TRIM(B1456)=TRIM(Enginuity!$A$17),
    Q1456&lt;&gt;"",
    Q1456&lt;&gt;0,
    OR(
      TRIM(C1456)=TRIM(Enginuity!$A$18),
      AND(UPPER(TRIM(M1456))="STD", TRIM(B1456)=TRIM(Enginuity!$A$17))
    ),
    OR(
      AND(LEFT(P1456,5)="1-Way", Enginuity!$B$13=1),
      AND(LEFT(P1456,5)="2-Way", OR(Enginuity!$B$13=2, Enginuity!$B$13=4)),
      AND(LEFT(P1456,5)="3-Way", OR(Enginuity!$B$13=3, Enginuity!$B$13=6)),
      AND(P1456="Inner Centre Jamb", OR(Enginuity!$B$13=4, Enginuity!$B$13=6)),
      AND(
        LEFT(P1456,5)&lt;&gt;"1-Way",
        LEFT(P1456,5)&lt;&gt;"2-Way",
        LEFT(P1456,5)&lt;&gt;"3-Way",
        P1456&lt;&gt;"Inner Centre Jamb"
      )
    ),
    IF(OR(Enginuity!$A$1="Frameless Glass",Enginuity!$A$1="Metal Work"),
      AND(TRIM(B1456)=TRIM(Enginuity!$A$17),TRIM(C1456)=TRIM(Enginuity!$A$18)),
      TRIM(B1456)=TRIM(Enginuity!$A$17)
    )
  ),
  ROW(),
  ""
)</f>
        <v/>
      </c>
    </row>
    <row r="1457" spans="1:21" x14ac:dyDescent="0.25">
      <c r="A1457" s="10" t="s">
        <v>795</v>
      </c>
      <c r="B1457" s="233" t="s">
        <v>837</v>
      </c>
      <c r="C1457" s="14" t="s">
        <v>839</v>
      </c>
      <c r="D1457" s="36" t="str">
        <f t="shared" ref="D1457:D1459" si="26">P1457</f>
        <v>Welding Patch/Bracket</v>
      </c>
      <c r="E1457" s="157"/>
      <c r="F1457" s="10"/>
      <c r="G1457" s="17"/>
      <c r="H1457" s="10"/>
      <c r="I1457" s="17"/>
      <c r="J1457" s="83"/>
      <c r="K1457" s="343"/>
      <c r="L1457" s="347"/>
      <c r="M1457" s="89" t="s">
        <v>117</v>
      </c>
      <c r="N1457" s="10" t="s">
        <v>839</v>
      </c>
      <c r="O1457" s="22">
        <v>120</v>
      </c>
      <c r="P1457" s="36" t="s">
        <v>856</v>
      </c>
      <c r="Q1457" s="98" t="str">
        <f>IF(AND(Enginuity!$A$19&lt;&gt;"",UPPER(TRIM($D1457))=UPPER(TRIM(Enginuity!$A$19))),1,"")</f>
        <v/>
      </c>
      <c r="U1457" s="104" t="str">
        <f>IF(
  AND(
    TRIM(A1457)=TRIM(Enginuity!$A$1),
    TRIM(B1457)=TRIM(Enginuity!$A$17),
    Q1457&lt;&gt;"",
    Q1457&lt;&gt;0,
    OR(
      TRIM(C1457)=TRIM(Enginuity!$A$18),
      AND(UPPER(TRIM(M1457))="STD", TRIM(B1457)=TRIM(Enginuity!$A$17))
    ),
    OR(
      AND(LEFT(P1457,5)="1-Way", Enginuity!$B$13=1),
      AND(LEFT(P1457,5)="2-Way", OR(Enginuity!$B$13=2, Enginuity!$B$13=4)),
      AND(LEFT(P1457,5)="3-Way", OR(Enginuity!$B$13=3, Enginuity!$B$13=6)),
      AND(P1457="Inner Centre Jamb", OR(Enginuity!$B$13=4, Enginuity!$B$13=6)),
      AND(
        LEFT(P1457,5)&lt;&gt;"1-Way",
        LEFT(P1457,5)&lt;&gt;"2-Way",
        LEFT(P1457,5)&lt;&gt;"3-Way",
        P1457&lt;&gt;"Inner Centre Jamb"
      )
    ),
    IF(OR(Enginuity!$A$1="Frameless Glass",Enginuity!$A$1="Metal Work"),
      AND(TRIM(B1457)=TRIM(Enginuity!$A$17),TRIM(C1457)=TRIM(Enginuity!$A$18)),
      TRIM(B1457)=TRIM(Enginuity!$A$17)
    )
  ),
  ROW(),
  ""
)</f>
        <v/>
      </c>
    </row>
    <row r="1458" spans="1:21" x14ac:dyDescent="0.25">
      <c r="A1458" s="10" t="s">
        <v>795</v>
      </c>
      <c r="B1458" s="233" t="s">
        <v>837</v>
      </c>
      <c r="C1458" s="14" t="s">
        <v>839</v>
      </c>
      <c r="D1458" s="36" t="str">
        <f t="shared" si="26"/>
        <v>Electrical Make-Safe</v>
      </c>
      <c r="E1458" s="157"/>
      <c r="F1458" s="10"/>
      <c r="G1458" s="17"/>
      <c r="H1458" s="10"/>
      <c r="I1458" s="17"/>
      <c r="J1458" s="83"/>
      <c r="K1458" s="343"/>
      <c r="L1458" s="347"/>
      <c r="M1458" s="89" t="s">
        <v>117</v>
      </c>
      <c r="N1458" s="10" t="s">
        <v>839</v>
      </c>
      <c r="O1458" s="22">
        <v>130</v>
      </c>
      <c r="P1458" s="36" t="s">
        <v>857</v>
      </c>
      <c r="Q1458" s="98" t="str">
        <f>IF(AND(Enginuity!$A$19&lt;&gt;"",UPPER(TRIM($D1458))=UPPER(TRIM(Enginuity!$A$19))),1,"")</f>
        <v/>
      </c>
      <c r="U1458" s="104" t="str">
        <f>IF(
  AND(
    TRIM(A1458)=TRIM(Enginuity!$A$1),
    TRIM(B1458)=TRIM(Enginuity!$A$17),
    Q1458&lt;&gt;"",
    Q1458&lt;&gt;0,
    OR(
      TRIM(C1458)=TRIM(Enginuity!$A$18),
      AND(UPPER(TRIM(M1458))="STD", TRIM(B1458)=TRIM(Enginuity!$A$17))
    ),
    OR(
      AND(LEFT(P1458,5)="1-Way", Enginuity!$B$13=1),
      AND(LEFT(P1458,5)="2-Way", OR(Enginuity!$B$13=2, Enginuity!$B$13=4)),
      AND(LEFT(P1458,5)="3-Way", OR(Enginuity!$B$13=3, Enginuity!$B$13=6)),
      AND(P1458="Inner Centre Jamb", OR(Enginuity!$B$13=4, Enginuity!$B$13=6)),
      AND(
        LEFT(P1458,5)&lt;&gt;"1-Way",
        LEFT(P1458,5)&lt;&gt;"2-Way",
        LEFT(P1458,5)&lt;&gt;"3-Way",
        P1458&lt;&gt;"Inner Centre Jamb"
      )
    ),
    IF(OR(Enginuity!$A$1="Frameless Glass",Enginuity!$A$1="Metal Work"),
      AND(TRIM(B1458)=TRIM(Enginuity!$A$17),TRIM(C1458)=TRIM(Enginuity!$A$18)),
      TRIM(B1458)=TRIM(Enginuity!$A$17)
    )
  ),
  ROW(),
  ""
)</f>
        <v/>
      </c>
    </row>
    <row r="1459" spans="1:21" x14ac:dyDescent="0.25">
      <c r="A1459" s="10" t="s">
        <v>795</v>
      </c>
      <c r="B1459" s="233" t="s">
        <v>837</v>
      </c>
      <c r="C1459" s="14" t="s">
        <v>839</v>
      </c>
      <c r="D1459" s="36" t="str">
        <f t="shared" si="26"/>
        <v>Plumbing Cap/Reroute</v>
      </c>
      <c r="E1459" s="157"/>
      <c r="F1459" s="21"/>
      <c r="G1459" s="17"/>
      <c r="H1459" s="10"/>
      <c r="I1459" s="17"/>
      <c r="J1459" s="83"/>
      <c r="K1459" s="344"/>
      <c r="L1459" s="347"/>
      <c r="M1459" s="89" t="s">
        <v>117</v>
      </c>
      <c r="N1459" s="10" t="s">
        <v>839</v>
      </c>
      <c r="O1459" s="22">
        <v>250</v>
      </c>
      <c r="P1459" s="14" t="s">
        <v>858</v>
      </c>
      <c r="Q1459" s="98" t="str">
        <f>IF(AND(Enginuity!$A$19&lt;&gt;"",UPPER(TRIM($D1459))=UPPER(TRIM(Enginuity!$A$19))),1,"")</f>
        <v/>
      </c>
      <c r="U1459" s="104" t="str">
        <f>IF(
  AND(
    TRIM(A1459)=TRIM(Enginuity!$A$1),
    TRIM(B1459)=TRIM(Enginuity!$A$17),
    Q1459&lt;&gt;"",
    Q1459&lt;&gt;0,
    OR(
      TRIM(C1459)=TRIM(Enginuity!$A$18),
      AND(UPPER(TRIM(M1459))="STD", TRIM(B1459)=TRIM(Enginuity!$A$17))
    ),
    OR(
      AND(LEFT(P1459,5)="1-Way", Enginuity!$B$13=1),
      AND(LEFT(P1459,5)="2-Way", OR(Enginuity!$B$13=2, Enginuity!$B$13=4)),
      AND(LEFT(P1459,5)="3-Way", OR(Enginuity!$B$13=3, Enginuity!$B$13=6)),
      AND(P1459="Inner Centre Jamb", OR(Enginuity!$B$13=4, Enginuity!$B$13=6)),
      AND(
        LEFT(P1459,5)&lt;&gt;"1-Way",
        LEFT(P1459,5)&lt;&gt;"2-Way",
        LEFT(P1459,5)&lt;&gt;"3-Way",
        P1459&lt;&gt;"Inner Centre Jamb"
      )
    ),
    IF(OR(Enginuity!$A$1="Frameless Glass",Enginuity!$A$1="Metal Work"),
      AND(TRIM(B1459)=TRIM(Enginuity!$A$17),TRIM(C1459)=TRIM(Enginuity!$A$18)),
      TRIM(B1459)=TRIM(Enginuity!$A$17)
    )
  ),
  ROW(),
  ""
)</f>
        <v/>
      </c>
    </row>
    <row r="1460" spans="1:21" x14ac:dyDescent="0.25">
      <c r="A1460" s="101" t="s">
        <v>795</v>
      </c>
      <c r="B1460" s="232"/>
      <c r="C1460" s="150"/>
      <c r="D1460" s="150"/>
      <c r="E1460" s="167"/>
      <c r="F1460" s="202"/>
      <c r="G1460" s="17"/>
      <c r="H1460" s="101"/>
      <c r="I1460" s="17"/>
      <c r="J1460" s="151"/>
      <c r="K1460" s="343"/>
      <c r="L1460" s="347"/>
      <c r="M1460" s="100"/>
      <c r="N1460" s="101"/>
      <c r="O1460" s="154"/>
      <c r="P1460" s="150"/>
      <c r="Q1460" s="154"/>
      <c r="U1460" s="104" t="str">
        <f>IF(
  AND(
    TRIM(A1460)=TRIM(Enginuity!$A$1),
    TRIM(B1460)=TRIM(Enginuity!$A$17),
    Q1460&lt;&gt;"",
    Q1460&lt;&gt;0,
    OR(
      TRIM(C1460)=TRIM(Enginuity!$A$18),
      AND(UPPER(TRIM(M1460))="STD", TRIM(B1460)=TRIM(Enginuity!$A$17))
    ),
    OR(
      AND(LEFT(P1460,5)="1-Way", Enginuity!$B$13=1),
      AND(LEFT(P1460,5)="2-Way", OR(Enginuity!$B$13=2, Enginuity!$B$13=4)),
      AND(LEFT(P1460,5)="3-Way", OR(Enginuity!$B$13=3, Enginuity!$B$13=6)),
      AND(P1460="Inner Centre Jamb", OR(Enginuity!$B$13=4, Enginuity!$B$13=6)),
      AND(
        LEFT(P1460,5)&lt;&gt;"1-Way",
        LEFT(P1460,5)&lt;&gt;"2-Way",
        LEFT(P1460,5)&lt;&gt;"3-Way",
        P1460&lt;&gt;"Inner Centre Jamb"
      )
    ),
    IF(OR(Enginuity!$A$1="Frameless Glass",Enginuity!$A$1="Metal Work"),
      AND(TRIM(B1460)=TRIM(Enginuity!$A$17),TRIM(C1460)=TRIM(Enginuity!$A$18)),
      TRIM(B1460)=TRIM(Enginuity!$A$17)
    )
  ),
  ROW(),
  ""
)</f>
        <v/>
      </c>
    </row>
    <row r="1461" spans="1:21" x14ac:dyDescent="0.25">
      <c r="A1461" s="10" t="s">
        <v>795</v>
      </c>
      <c r="B1461" s="229" t="s">
        <v>880</v>
      </c>
      <c r="C1461" s="14" t="s">
        <v>818</v>
      </c>
      <c r="D1461" s="14" t="str">
        <f>P1461</f>
        <v>Perimeter Foam Fill</v>
      </c>
      <c r="E1461" s="157"/>
      <c r="F1461" s="21"/>
      <c r="G1461" s="17"/>
      <c r="H1461" s="10"/>
      <c r="I1461" s="17"/>
      <c r="J1461" s="83"/>
      <c r="K1461" s="344">
        <v>0</v>
      </c>
      <c r="L1461" s="347">
        <f>IF(OR(Enginuity!$B$6="",Enginuity!$B$7=""),"",2*(Enginuity!$B$6+Enginuity!$B$7))</f>
        <v>66</v>
      </c>
      <c r="M1461" s="89" t="s">
        <v>117</v>
      </c>
      <c r="N1461" s="10" t="s">
        <v>158</v>
      </c>
      <c r="O1461" s="22">
        <v>1.2</v>
      </c>
      <c r="P1461" s="14" t="s">
        <v>881</v>
      </c>
      <c r="Q1461" s="22" t="str">
        <f>IF(AND(Enginuity!$A$19&lt;&gt;"",UPPER(TRIM(D1461))=UPPER(TRIM(Enginuity!$A$19)),Enginuity!$B$6&gt;0,Enginuity!$B$7&gt;0),2*(Enginuity!$B$6+Enginuity!$B$7),"")</f>
        <v/>
      </c>
      <c r="U1461" s="104" t="str">
        <f>IF(
  AND(
    TRIM(A1461)=TRIM(Enginuity!$A$1),
    TRIM(B1461)=TRIM(Enginuity!$A$17),
    Q1461&lt;&gt;"",
    Q1461&lt;&gt;0,
    OR(
      TRIM(C1461)=TRIM(Enginuity!$A$18),
      AND(UPPER(TRIM(M1461))="STD", TRIM(B1461)=TRIM(Enginuity!$A$17))
    ),
    OR(
      AND(LEFT(P1461,5)="1-Way", Enginuity!$B$13=1),
      AND(LEFT(P1461,5)="2-Way", OR(Enginuity!$B$13=2, Enginuity!$B$13=4)),
      AND(LEFT(P1461,5)="3-Way", OR(Enginuity!$B$13=3, Enginuity!$B$13=6)),
      AND(P1461="Inner Centre Jamb", OR(Enginuity!$B$13=4, Enginuity!$B$13=6)),
      AND(
        LEFT(P1461,5)&lt;&gt;"1-Way",
        LEFT(P1461,5)&lt;&gt;"2-Way",
        LEFT(P1461,5)&lt;&gt;"3-Way",
        P1461&lt;&gt;"Inner Centre Jamb"
      )
    ),
    IF(OR(Enginuity!$A$1="Frameless Glass",Enginuity!$A$1="Metal Work"),
      AND(TRIM(B1461)=TRIM(Enginuity!$A$17),TRIM(C1461)=TRIM(Enginuity!$A$18)),
      TRIM(B1461)=TRIM(Enginuity!$A$17)
    )
  ),
  ROW(),
  ""
)</f>
        <v/>
      </c>
    </row>
    <row r="1462" spans="1:21" x14ac:dyDescent="0.25">
      <c r="A1462" s="10" t="s">
        <v>795</v>
      </c>
      <c r="B1462" s="229" t="s">
        <v>880</v>
      </c>
      <c r="C1462" s="14"/>
      <c r="D1462" s="14"/>
      <c r="E1462" s="157"/>
      <c r="F1462" s="14"/>
      <c r="G1462" s="17"/>
      <c r="H1462" s="10"/>
      <c r="I1462" s="17"/>
      <c r="J1462" s="83"/>
      <c r="K1462" s="343"/>
      <c r="L1462" s="347"/>
      <c r="M1462" s="12"/>
      <c r="N1462" s="10"/>
      <c r="O1462" s="22"/>
      <c r="P1462" s="14"/>
      <c r="Q1462" s="22"/>
      <c r="U1462" s="104" t="str">
        <f>IF(
  AND(
    TRIM(A1462)=TRIM(Enginuity!$A$1),
    TRIM(B1462)=TRIM(Enginuity!$A$17),
    Q1462&lt;&gt;"",
    Q1462&lt;&gt;0,
    OR(
      TRIM(C1462)=TRIM(Enginuity!$A$18),
      AND(UPPER(TRIM(M1462))="STD", TRIM(B1462)=TRIM(Enginuity!$A$17))
    ),
    OR(
      AND(LEFT(P1462,5)="1-Way", Enginuity!$B$13=1),
      AND(LEFT(P1462,5)="2-Way", OR(Enginuity!$B$13=2, Enginuity!$B$13=4)),
      AND(LEFT(P1462,5)="3-Way", OR(Enginuity!$B$13=3, Enginuity!$B$13=6)),
      AND(P1462="Inner Centre Jamb", OR(Enginuity!$B$13=4, Enginuity!$B$13=6)),
      AND(
        LEFT(P1462,5)&lt;&gt;"1-Way",
        LEFT(P1462,5)&lt;&gt;"2-Way",
        LEFT(P1462,5)&lt;&gt;"3-Way",
        P1462&lt;&gt;"Inner Centre Jamb"
      )
    ),
    IF(OR(Enginuity!$A$1="Frameless Glass",Enginuity!$A$1="Metal Work"),
      AND(TRIM(B1462)=TRIM(Enginuity!$A$17),TRIM(C1462)=TRIM(Enginuity!$A$18)),
      TRIM(B1462)=TRIM(Enginuity!$A$17)
    )
  ),
  ROW(),
  ""
)</f>
        <v/>
      </c>
    </row>
    <row r="1463" spans="1:21" x14ac:dyDescent="0.25">
      <c r="A1463" s="10" t="s">
        <v>795</v>
      </c>
      <c r="B1463" s="229" t="s">
        <v>880</v>
      </c>
      <c r="C1463" s="14" t="s">
        <v>838</v>
      </c>
      <c r="D1463" s="14" t="str">
        <f t="shared" ref="D1463:D1479" si="27">P1463</f>
        <v>Glass Panel Install (Existing Frame, Pre-Cut)</v>
      </c>
      <c r="E1463" s="160"/>
      <c r="F1463" s="14"/>
      <c r="G1463" s="17"/>
      <c r="H1463" s="10"/>
      <c r="I1463" s="17"/>
      <c r="J1463" s="83"/>
      <c r="K1463" s="343"/>
      <c r="L1463" s="347"/>
      <c r="M1463" s="89" t="s">
        <v>117</v>
      </c>
      <c r="N1463" s="10" t="s">
        <v>121</v>
      </c>
      <c r="O1463" s="22">
        <v>8</v>
      </c>
      <c r="P1463" s="14" t="s">
        <v>882</v>
      </c>
      <c r="Q1463" s="98" t="str">
        <f>IF(AND(Enginuity!$A$19&lt;&gt;"", UPPER(TRIM(D1463))=UPPER(TRIM(Enginuity!$A$19)), N(Enginuity!$B$9)&gt;0), Enginuity!$B$9, "")</f>
        <v/>
      </c>
      <c r="U1463" s="104" t="str">
        <f>IF(
  AND(
    TRIM(A1463)=TRIM(Enginuity!$A$1),
    TRIM(B1463)=TRIM(Enginuity!$A$17),
    Q1463&lt;&gt;"",
    Q1463&lt;&gt;0,
    OR(
      TRIM(C1463)=TRIM(Enginuity!$A$18),
      AND(UPPER(TRIM(M1463))="STD", TRIM(B1463)=TRIM(Enginuity!$A$17))
    ),
    OR(
      AND(LEFT(P1463,5)="1-Way", Enginuity!$B$13=1),
      AND(LEFT(P1463,5)="2-Way", OR(Enginuity!$B$13=2, Enginuity!$B$13=4)),
      AND(LEFT(P1463,5)="3-Way", OR(Enginuity!$B$13=3, Enginuity!$B$13=6)),
      AND(P1463="Inner Centre Jamb", OR(Enginuity!$B$13=4, Enginuity!$B$13=6)),
      AND(
        LEFT(P1463,5)&lt;&gt;"1-Way",
        LEFT(P1463,5)&lt;&gt;"2-Way",
        LEFT(P1463,5)&lt;&gt;"3-Way",
        P1463&lt;&gt;"Inner Centre Jamb"
      )
    ),
    IF(OR(Enginuity!$A$1="Frameless Glass",Enginuity!$A$1="Metal Work"),
      AND(TRIM(B1463)=TRIM(Enginuity!$A$17),TRIM(C1463)=TRIM(Enginuity!$A$18)),
      TRIM(B1463)=TRIM(Enginuity!$A$17)
    )
  ),
  ROW(),
  ""
)</f>
        <v/>
      </c>
    </row>
    <row r="1464" spans="1:21" x14ac:dyDescent="0.25">
      <c r="A1464" s="10" t="s">
        <v>795</v>
      </c>
      <c r="B1464" s="229" t="s">
        <v>880</v>
      </c>
      <c r="C1464" s="14" t="s">
        <v>838</v>
      </c>
      <c r="D1464" s="14" t="str">
        <f t="shared" si="27"/>
        <v>Security Mesh Panel Install (Sash Profile)</v>
      </c>
      <c r="E1464" s="160"/>
      <c r="F1464" s="36"/>
      <c r="G1464" s="17"/>
      <c r="H1464" s="10"/>
      <c r="I1464" s="17"/>
      <c r="J1464" s="83"/>
      <c r="K1464" s="343"/>
      <c r="L1464" s="347"/>
      <c r="M1464" s="89" t="s">
        <v>117</v>
      </c>
      <c r="N1464" s="10" t="s">
        <v>121</v>
      </c>
      <c r="O1464" s="22">
        <v>35</v>
      </c>
      <c r="P1464" s="14" t="s">
        <v>883</v>
      </c>
      <c r="Q1464" s="98" t="str">
        <f>IF(AND(Enginuity!$A$19&lt;&gt;"", UPPER(TRIM(D1464))=UPPER(TRIM(Enginuity!$A$19)), N(Enginuity!$B$9)&gt;0), Enginuity!$B$9, "")</f>
        <v/>
      </c>
      <c r="U1464" s="104" t="str">
        <f>IF(
  AND(
    TRIM(A1464)=TRIM(Enginuity!$A$1),
    TRIM(B1464)=TRIM(Enginuity!$A$17),
    Q1464&lt;&gt;"",
    Q1464&lt;&gt;0,
    OR(
      TRIM(C1464)=TRIM(Enginuity!$A$18),
      AND(UPPER(TRIM(M1464))="STD", TRIM(B1464)=TRIM(Enginuity!$A$17))
    ),
    OR(
      AND(LEFT(P1464,5)="1-Way", Enginuity!$B$13=1),
      AND(LEFT(P1464,5)="2-Way", OR(Enginuity!$B$13=2, Enginuity!$B$13=4)),
      AND(LEFT(P1464,5)="3-Way", OR(Enginuity!$B$13=3, Enginuity!$B$13=6)),
      AND(P1464="Inner Centre Jamb", OR(Enginuity!$B$13=4, Enginuity!$B$13=6)),
      AND(
        LEFT(P1464,5)&lt;&gt;"1-Way",
        LEFT(P1464,5)&lt;&gt;"2-Way",
        LEFT(P1464,5)&lt;&gt;"3-Way",
        P1464&lt;&gt;"Inner Centre Jamb"
      )
    ),
    IF(OR(Enginuity!$A$1="Frameless Glass",Enginuity!$A$1="Metal Work"),
      AND(TRIM(B1464)=TRIM(Enginuity!$A$17),TRIM(C1464)=TRIM(Enginuity!$A$18)),
      TRIM(B1464)=TRIM(Enginuity!$A$17)
    )
  ),
  ROW(),
  ""
)</f>
        <v/>
      </c>
    </row>
    <row r="1465" spans="1:21" x14ac:dyDescent="0.25">
      <c r="A1465" s="10" t="s">
        <v>795</v>
      </c>
      <c r="B1465" s="229" t="s">
        <v>880</v>
      </c>
      <c r="C1465" s="14"/>
      <c r="D1465" s="14"/>
      <c r="E1465" s="160"/>
      <c r="F1465" s="14"/>
      <c r="G1465" s="17"/>
      <c r="H1465" s="10"/>
      <c r="I1465" s="17"/>
      <c r="J1465" s="83"/>
      <c r="K1465" s="343"/>
      <c r="L1465" s="347"/>
      <c r="M1465" s="12"/>
      <c r="N1465" s="10"/>
      <c r="O1465" s="22"/>
      <c r="P1465" s="14"/>
      <c r="Q1465" s="22"/>
      <c r="U1465" s="104" t="str">
        <f>IF(
  AND(
    TRIM(A1465)=TRIM(Enginuity!$A$1),
    TRIM(B1465)=TRIM(Enginuity!$A$17),
    Q1465&lt;&gt;"",
    Q1465&lt;&gt;0,
    OR(
      TRIM(C1465)=TRIM(Enginuity!$A$18),
      AND(UPPER(TRIM(M1465))="STD", TRIM(B1465)=TRIM(Enginuity!$A$17))
    ),
    OR(
      AND(LEFT(P1465,5)="1-Way", Enginuity!$B$13=1),
      AND(LEFT(P1465,5)="2-Way", OR(Enginuity!$B$13=2, Enginuity!$B$13=4)),
      AND(LEFT(P1465,5)="3-Way", OR(Enginuity!$B$13=3, Enginuity!$B$13=6)),
      AND(P1465="Inner Centre Jamb", OR(Enginuity!$B$13=4, Enginuity!$B$13=6)),
      AND(
        LEFT(P1465,5)&lt;&gt;"1-Way",
        LEFT(P1465,5)&lt;&gt;"2-Way",
        LEFT(P1465,5)&lt;&gt;"3-Way",
        P1465&lt;&gt;"Inner Centre Jamb"
      )
    ),
    IF(OR(Enginuity!$A$1="Frameless Glass",Enginuity!$A$1="Metal Work"),
      AND(TRIM(B1465)=TRIM(Enginuity!$A$17),TRIM(C1465)=TRIM(Enginuity!$A$18)),
      TRIM(B1465)=TRIM(Enginuity!$A$17)
    )
  ),
  ROW(),
  ""
)</f>
        <v/>
      </c>
    </row>
    <row r="1466" spans="1:21" x14ac:dyDescent="0.25">
      <c r="A1466" s="10" t="s">
        <v>795</v>
      </c>
      <c r="B1466" s="229" t="s">
        <v>880</v>
      </c>
      <c r="C1466" s="14" t="s">
        <v>859</v>
      </c>
      <c r="D1466" s="14" t="str">
        <f t="shared" si="27"/>
        <v>Weatherstrip / Brush Seal Install</v>
      </c>
      <c r="E1466" s="160"/>
      <c r="F1466" s="14"/>
      <c r="G1466" s="17"/>
      <c r="H1466" s="10"/>
      <c r="I1466" s="17"/>
      <c r="J1466" s="83"/>
      <c r="K1466" s="343"/>
      <c r="L1466" s="347"/>
      <c r="M1466" s="89" t="s">
        <v>117</v>
      </c>
      <c r="N1466" s="10" t="s">
        <v>859</v>
      </c>
      <c r="O1466" s="22">
        <v>8</v>
      </c>
      <c r="P1466" s="14" t="s">
        <v>884</v>
      </c>
      <c r="Q1466" s="98" t="str">
        <f>IF(AND(Enginuity!$A$19&lt;&gt;"", UPPER(TRIM(D1466))=UPPER(TRIM(Enginuity!$A$19)), Enginuity!$B$6&gt;0, Enginuity!$B$7&gt;0), 2*Enginuity!$B$7 + Enginuity!$B$6, "")</f>
        <v/>
      </c>
      <c r="U1466" s="104" t="str">
        <f>IF(
  AND(
    TRIM(A1466)=TRIM(Enginuity!$A$1),
    TRIM(B1466)=TRIM(Enginuity!$A$17),
    Q1466&lt;&gt;"",
    Q1466&lt;&gt;0,
    OR(
      TRIM(C1466)=TRIM(Enginuity!$A$18),
      AND(UPPER(TRIM(M1466))="STD", TRIM(B1466)=TRIM(Enginuity!$A$17))
    ),
    OR(
      AND(LEFT(P1466,5)="1-Way", Enginuity!$B$13=1),
      AND(LEFT(P1466,5)="2-Way", OR(Enginuity!$B$13=2, Enginuity!$B$13=4)),
      AND(LEFT(P1466,5)="3-Way", OR(Enginuity!$B$13=3, Enginuity!$B$13=6)),
      AND(P1466="Inner Centre Jamb", OR(Enginuity!$B$13=4, Enginuity!$B$13=6)),
      AND(
        LEFT(P1466,5)&lt;&gt;"1-Way",
        LEFT(P1466,5)&lt;&gt;"2-Way",
        LEFT(P1466,5)&lt;&gt;"3-Way",
        P1466&lt;&gt;"Inner Centre Jamb"
      )
    ),
    IF(OR(Enginuity!$A$1="Frameless Glass",Enginuity!$A$1="Metal Work"),
      AND(TRIM(B1466)=TRIM(Enginuity!$A$17),TRIM(C1466)=TRIM(Enginuity!$A$18)),
      TRIM(B1466)=TRIM(Enginuity!$A$17)
    )
  ),
  ROW(),
  ""
)</f>
        <v/>
      </c>
    </row>
    <row r="1467" spans="1:21" x14ac:dyDescent="0.25">
      <c r="A1467" s="10" t="s">
        <v>795</v>
      </c>
      <c r="B1467" s="229" t="s">
        <v>880</v>
      </c>
      <c r="C1467" s="14"/>
      <c r="D1467" s="14"/>
      <c r="E1467" s="247"/>
      <c r="F1467" s="10"/>
      <c r="G1467" s="17"/>
      <c r="H1467" s="10"/>
      <c r="I1467" s="17"/>
      <c r="J1467" s="83"/>
      <c r="K1467" s="343"/>
      <c r="L1467" s="347"/>
      <c r="M1467" s="89"/>
      <c r="N1467" s="10"/>
      <c r="O1467" s="22"/>
      <c r="P1467" s="14"/>
      <c r="Q1467" s="22"/>
      <c r="U1467" s="104" t="str">
        <f>IF(
  AND(
    TRIM(A1467)=TRIM(Enginuity!$A$1),
    TRIM(B1467)=TRIM(Enginuity!$A$17),
    Q1467&lt;&gt;"",
    Q1467&lt;&gt;0,
    OR(
      TRIM(C1467)=TRIM(Enginuity!$A$18),
      AND(UPPER(TRIM(M1467))="STD", TRIM(B1467)=TRIM(Enginuity!$A$17))
    ),
    OR(
      AND(LEFT(P1467,5)="1-Way", Enginuity!$B$13=1),
      AND(LEFT(P1467,5)="2-Way", OR(Enginuity!$B$13=2, Enginuity!$B$13=4)),
      AND(LEFT(P1467,5)="3-Way", OR(Enginuity!$B$13=3, Enginuity!$B$13=6)),
      AND(P1467="Inner Centre Jamb", OR(Enginuity!$B$13=4, Enginuity!$B$13=6)),
      AND(
        LEFT(P1467,5)&lt;&gt;"1-Way",
        LEFT(P1467,5)&lt;&gt;"2-Way",
        LEFT(P1467,5)&lt;&gt;"3-Way",
        P1467&lt;&gt;"Inner Centre Jamb"
      )
    ),
    IF(OR(Enginuity!$A$1="Frameless Glass",Enginuity!$A$1="Metal Work"),
      AND(TRIM(B1467)=TRIM(Enginuity!$A$17),TRIM(C1467)=TRIM(Enginuity!$A$18)),
      TRIM(B1467)=TRIM(Enginuity!$A$17)
    )
  ),
  ROW(),
  ""
)</f>
        <v/>
      </c>
    </row>
    <row r="1468" spans="1:21" x14ac:dyDescent="0.25">
      <c r="A1468" s="10" t="s">
        <v>795</v>
      </c>
      <c r="B1468" s="229" t="s">
        <v>880</v>
      </c>
      <c r="C1468" s="14" t="s">
        <v>860</v>
      </c>
      <c r="D1468" s="14" t="str">
        <f t="shared" si="27"/>
        <v>Insect Screen Install (Magnetic/Frame)</v>
      </c>
      <c r="E1468" s="157"/>
      <c r="F1468" s="10"/>
      <c r="G1468" s="17"/>
      <c r="H1468" s="10"/>
      <c r="I1468" s="17"/>
      <c r="J1468" s="83"/>
      <c r="K1468" s="343"/>
      <c r="L1468" s="347"/>
      <c r="M1468" s="89" t="s">
        <v>117</v>
      </c>
      <c r="N1468" s="10" t="s">
        <v>860</v>
      </c>
      <c r="O1468" s="22">
        <v>90</v>
      </c>
      <c r="P1468" s="14" t="s">
        <v>885</v>
      </c>
      <c r="Q1468" s="98" t="str">
        <f>IF(AND(Enginuity!$A$19&lt;&gt;"",UPPER(TRIM($D1468))=UPPER(TRIM(Enginuity!$A$19))),1,"")</f>
        <v/>
      </c>
      <c r="U1468" s="104" t="str">
        <f>IF(
  AND(
    TRIM(A1468)=TRIM(Enginuity!$A$1),
    TRIM(B1468)=TRIM(Enginuity!$A$17),
    Q1468&lt;&gt;"",
    Q1468&lt;&gt;0,
    OR(
      TRIM(C1468)=TRIM(Enginuity!$A$18),
      AND(UPPER(TRIM(M1468))="STD", TRIM(B1468)=TRIM(Enginuity!$A$17))
    ),
    OR(
      AND(LEFT(P1468,5)="1-Way", Enginuity!$B$13=1),
      AND(LEFT(P1468,5)="2-Way", OR(Enginuity!$B$13=2, Enginuity!$B$13=4)),
      AND(LEFT(P1468,5)="3-Way", OR(Enginuity!$B$13=3, Enginuity!$B$13=6)),
      AND(P1468="Inner Centre Jamb", OR(Enginuity!$B$13=4, Enginuity!$B$13=6)),
      AND(
        LEFT(P1468,5)&lt;&gt;"1-Way",
        LEFT(P1468,5)&lt;&gt;"2-Way",
        LEFT(P1468,5)&lt;&gt;"3-Way",
        P1468&lt;&gt;"Inner Centre Jamb"
      )
    ),
    IF(OR(Enginuity!$A$1="Frameless Glass",Enginuity!$A$1="Metal Work"),
      AND(TRIM(B1468)=TRIM(Enginuity!$A$17),TRIM(C1468)=TRIM(Enginuity!$A$18)),
      TRIM(B1468)=TRIM(Enginuity!$A$17)
    )
  ),
  ROW(),
  ""
)</f>
        <v/>
      </c>
    </row>
    <row r="1469" spans="1:21" x14ac:dyDescent="0.25">
      <c r="A1469" s="10" t="s">
        <v>795</v>
      </c>
      <c r="B1469" s="229" t="s">
        <v>880</v>
      </c>
      <c r="C1469" s="14" t="s">
        <v>860</v>
      </c>
      <c r="D1469" s="14" t="str">
        <f t="shared" si="27"/>
        <v>Door Leaf Install (Swing); Window Install (Casement); Threshold / Bottom Seal Install</v>
      </c>
      <c r="E1469" s="157"/>
      <c r="F1469" s="10"/>
      <c r="G1469" s="17"/>
      <c r="H1469" s="10"/>
      <c r="I1469" s="17"/>
      <c r="J1469" s="83"/>
      <c r="K1469" s="343"/>
      <c r="L1469" s="347"/>
      <c r="M1469" s="89" t="s">
        <v>117</v>
      </c>
      <c r="N1469" s="10" t="s">
        <v>860</v>
      </c>
      <c r="O1469" s="22">
        <v>120</v>
      </c>
      <c r="P1469" s="14" t="s">
        <v>886</v>
      </c>
      <c r="Q1469" s="98" t="str">
        <f>IF(AND(Enginuity!$A$19&lt;&gt;"",UPPER(TRIM($D1469))=UPPER(TRIM(Enginuity!$A$19))),1,"")</f>
        <v/>
      </c>
      <c r="U1469" s="104" t="str">
        <f>IF(
  AND(
    TRIM(A1469)=TRIM(Enginuity!$A$1),
    TRIM(B1469)=TRIM(Enginuity!$A$17),
    Q1469&lt;&gt;"",
    Q1469&lt;&gt;0,
    OR(
      TRIM(C1469)=TRIM(Enginuity!$A$18),
      AND(UPPER(TRIM(M1469))="STD", TRIM(B1469)=TRIM(Enginuity!$A$17))
    ),
    OR(
      AND(LEFT(P1469,5)="1-Way", Enginuity!$B$13=1),
      AND(LEFT(P1469,5)="2-Way", OR(Enginuity!$B$13=2, Enginuity!$B$13=4)),
      AND(LEFT(P1469,5)="3-Way", OR(Enginuity!$B$13=3, Enginuity!$B$13=6)),
      AND(P1469="Inner Centre Jamb", OR(Enginuity!$B$13=4, Enginuity!$B$13=6)),
      AND(
        LEFT(P1469,5)&lt;&gt;"1-Way",
        LEFT(P1469,5)&lt;&gt;"2-Way",
        LEFT(P1469,5)&lt;&gt;"3-Way",
        P1469&lt;&gt;"Inner Centre Jamb"
      )
    ),
    IF(OR(Enginuity!$A$1="Frameless Glass",Enginuity!$A$1="Metal Work"),
      AND(TRIM(B1469)=TRIM(Enginuity!$A$17),TRIM(C1469)=TRIM(Enginuity!$A$18)),
      TRIM(B1469)=TRIM(Enginuity!$A$17)
    )
  ),
  ROW(),
  ""
)</f>
        <v/>
      </c>
    </row>
    <row r="1470" spans="1:21" x14ac:dyDescent="0.25">
      <c r="A1470" s="10" t="s">
        <v>795</v>
      </c>
      <c r="B1470" s="229" t="s">
        <v>880</v>
      </c>
      <c r="C1470" s="14" t="s">
        <v>860</v>
      </c>
      <c r="D1470" s="14" t="str">
        <f t="shared" si="27"/>
        <v>Sliding Door Panel Install; Window Install (Sliding); Frame-Only Install (Alu/uPVC/Timber/MS/SS)</v>
      </c>
      <c r="E1470" s="157"/>
      <c r="F1470" s="10"/>
      <c r="G1470" s="17"/>
      <c r="H1470" s="10"/>
      <c r="I1470" s="17"/>
      <c r="J1470" s="83"/>
      <c r="K1470" s="343"/>
      <c r="L1470" s="347"/>
      <c r="M1470" s="89" t="s">
        <v>117</v>
      </c>
      <c r="N1470" s="10" t="s">
        <v>860</v>
      </c>
      <c r="O1470" s="22">
        <v>150</v>
      </c>
      <c r="P1470" s="14" t="s">
        <v>887</v>
      </c>
      <c r="Q1470" s="98" t="str">
        <f>IF(AND(Enginuity!$A$19&lt;&gt;"",UPPER(TRIM($D1470))=UPPER(TRIM(Enginuity!$A$19))),1,"")</f>
        <v/>
      </c>
      <c r="U1470" s="104" t="str">
        <f>IF(
  AND(
    TRIM(A1470)=TRIM(Enginuity!$A$1),
    TRIM(B1470)=TRIM(Enginuity!$A$17),
    Q1470&lt;&gt;"",
    Q1470&lt;&gt;0,
    OR(
      TRIM(C1470)=TRIM(Enginuity!$A$18),
      AND(UPPER(TRIM(M1470))="STD", TRIM(B1470)=TRIM(Enginuity!$A$17))
    ),
    OR(
      AND(LEFT(P1470,5)="1-Way", Enginuity!$B$13=1),
      AND(LEFT(P1470,5)="2-Way", OR(Enginuity!$B$13=2, Enginuity!$B$13=4)),
      AND(LEFT(P1470,5)="3-Way", OR(Enginuity!$B$13=3, Enginuity!$B$13=6)),
      AND(P1470="Inner Centre Jamb", OR(Enginuity!$B$13=4, Enginuity!$B$13=6)),
      AND(
        LEFT(P1470,5)&lt;&gt;"1-Way",
        LEFT(P1470,5)&lt;&gt;"2-Way",
        LEFT(P1470,5)&lt;&gt;"3-Way",
        P1470&lt;&gt;"Inner Centre Jamb"
      )
    ),
    IF(OR(Enginuity!$A$1="Frameless Glass",Enginuity!$A$1="Metal Work"),
      AND(TRIM(B1470)=TRIM(Enginuity!$A$17),TRIM(C1470)=TRIM(Enginuity!$A$18)),
      TRIM(B1470)=TRIM(Enginuity!$A$17)
    )
  ),
  ROW(),
  ""
)</f>
        <v/>
      </c>
    </row>
    <row r="1471" spans="1:21" x14ac:dyDescent="0.25">
      <c r="A1471" s="10" t="s">
        <v>795</v>
      </c>
      <c r="B1471" s="229" t="s">
        <v>880</v>
      </c>
      <c r="C1471" s="14" t="s">
        <v>860</v>
      </c>
      <c r="D1471" s="14" t="str">
        <f t="shared" si="27"/>
        <v>Bi-Fold Door Set Install</v>
      </c>
      <c r="E1471" s="157"/>
      <c r="F1471" s="10"/>
      <c r="G1471" s="17"/>
      <c r="H1471" s="10"/>
      <c r="I1471" s="17"/>
      <c r="J1471" s="83"/>
      <c r="K1471" s="343"/>
      <c r="L1471" s="347"/>
      <c r="M1471" s="89" t="s">
        <v>117</v>
      </c>
      <c r="N1471" s="10" t="s">
        <v>860</v>
      </c>
      <c r="O1471" s="22">
        <v>220</v>
      </c>
      <c r="P1471" s="21" t="s">
        <v>888</v>
      </c>
      <c r="Q1471" s="98" t="str">
        <f>IF(AND(Enginuity!$A$19&lt;&gt;"",UPPER(TRIM($D1471))=UPPER(TRIM(Enginuity!$A$19))),1,"")</f>
        <v/>
      </c>
      <c r="U1471" s="104" t="str">
        <f>IF(
  AND(
    TRIM(A1471)=TRIM(Enginuity!$A$1),
    TRIM(B1471)=TRIM(Enginuity!$A$17),
    Q1471&lt;&gt;"",
    Q1471&lt;&gt;0,
    OR(
      TRIM(C1471)=TRIM(Enginuity!$A$18),
      AND(UPPER(TRIM(M1471))="STD", TRIM(B1471)=TRIM(Enginuity!$A$17))
    ),
    OR(
      AND(LEFT(P1471,5)="1-Way", Enginuity!$B$13=1),
      AND(LEFT(P1471,5)="2-Way", OR(Enginuity!$B$13=2, Enginuity!$B$13=4)),
      AND(LEFT(P1471,5)="3-Way", OR(Enginuity!$B$13=3, Enginuity!$B$13=6)),
      AND(P1471="Inner Centre Jamb", OR(Enginuity!$B$13=4, Enginuity!$B$13=6)),
      AND(
        LEFT(P1471,5)&lt;&gt;"1-Way",
        LEFT(P1471,5)&lt;&gt;"2-Way",
        LEFT(P1471,5)&lt;&gt;"3-Way",
        P1471&lt;&gt;"Inner Centre Jamb"
      )
    ),
    IF(OR(Enginuity!$A$1="Frameless Glass",Enginuity!$A$1="Metal Work"),
      AND(TRIM(B1471)=TRIM(Enginuity!$A$17),TRIM(C1471)=TRIM(Enginuity!$A$18)),
      TRIM(B1471)=TRIM(Enginuity!$A$17)
    )
  ),
  ROW(),
  ""
)</f>
        <v/>
      </c>
    </row>
    <row r="1472" spans="1:21" x14ac:dyDescent="0.25">
      <c r="A1472" s="10" t="s">
        <v>795</v>
      </c>
      <c r="B1472" s="229" t="s">
        <v>880</v>
      </c>
      <c r="C1472" s="14" t="s">
        <v>860</v>
      </c>
      <c r="D1472" s="14" t="str">
        <f t="shared" si="27"/>
        <v>Grille / Burglar Bar Install</v>
      </c>
      <c r="E1472" s="157"/>
      <c r="F1472" s="10"/>
      <c r="G1472" s="17"/>
      <c r="H1472" s="10"/>
      <c r="I1472" s="17"/>
      <c r="J1472" s="83"/>
      <c r="K1472" s="343"/>
      <c r="L1472" s="347"/>
      <c r="M1472" s="89" t="s">
        <v>117</v>
      </c>
      <c r="N1472" s="10" t="s">
        <v>860</v>
      </c>
      <c r="O1472" s="22">
        <v>250</v>
      </c>
      <c r="P1472" s="36" t="s">
        <v>889</v>
      </c>
      <c r="Q1472" s="98" t="str">
        <f>IF(AND(Enginuity!$A$19&lt;&gt;"",UPPER(TRIM($D1472))=UPPER(TRIM(Enginuity!$A$19))),1,"")</f>
        <v/>
      </c>
      <c r="U1472" s="104" t="str">
        <f>IF(
  AND(
    TRIM(A1472)=TRIM(Enginuity!$A$1),
    TRIM(B1472)=TRIM(Enginuity!$A$17),
    Q1472&lt;&gt;"",
    Q1472&lt;&gt;0,
    OR(
      TRIM(C1472)=TRIM(Enginuity!$A$18),
      AND(UPPER(TRIM(M1472))="STD", TRIM(B1472)=TRIM(Enginuity!$A$17))
    ),
    OR(
      AND(LEFT(P1472,5)="1-Way", Enginuity!$B$13=1),
      AND(LEFT(P1472,5)="2-Way", OR(Enginuity!$B$13=2, Enginuity!$B$13=4)),
      AND(LEFT(P1472,5)="3-Way", OR(Enginuity!$B$13=3, Enginuity!$B$13=6)),
      AND(P1472="Inner Centre Jamb", OR(Enginuity!$B$13=4, Enginuity!$B$13=6)),
      AND(
        LEFT(P1472,5)&lt;&gt;"1-Way",
        LEFT(P1472,5)&lt;&gt;"2-Way",
        LEFT(P1472,5)&lt;&gt;"3-Way",
        P1472&lt;&gt;"Inner Centre Jamb"
      )
    ),
    IF(OR(Enginuity!$A$1="Frameless Glass",Enginuity!$A$1="Metal Work"),
      AND(TRIM(B1472)=TRIM(Enginuity!$A$17),TRIM(C1472)=TRIM(Enginuity!$A$18)),
      TRIM(B1472)=TRIM(Enginuity!$A$17)
    )
  ),
  ROW(),
  ""
)</f>
        <v/>
      </c>
    </row>
    <row r="1473" spans="1:21" x14ac:dyDescent="0.25">
      <c r="A1473" s="10" t="s">
        <v>795</v>
      </c>
      <c r="B1473" s="229" t="s">
        <v>880</v>
      </c>
      <c r="C1473" s="14" t="s">
        <v>860</v>
      </c>
      <c r="D1473" s="14" t="str">
        <f t="shared" si="27"/>
        <v>Frameless Glass (U-Channel) Install</v>
      </c>
      <c r="E1473" s="157"/>
      <c r="F1473" s="10"/>
      <c r="G1473" s="17"/>
      <c r="H1473" s="10"/>
      <c r="I1473" s="17"/>
      <c r="J1473" s="83"/>
      <c r="K1473" s="343"/>
      <c r="L1473" s="347"/>
      <c r="M1473" s="89" t="s">
        <v>117</v>
      </c>
      <c r="N1473" s="10" t="s">
        <v>860</v>
      </c>
      <c r="O1473" s="22">
        <v>300</v>
      </c>
      <c r="P1473" s="5" t="s">
        <v>890</v>
      </c>
      <c r="Q1473" s="98" t="str">
        <f>IF(AND(Enginuity!$A$19&lt;&gt;"",UPPER(TRIM($D1473))=UPPER(TRIM(Enginuity!$A$19))),1,"")</f>
        <v/>
      </c>
      <c r="U1473" s="104" t="str">
        <f>IF(
  AND(
    TRIM(A1473)=TRIM(Enginuity!$A$1),
    TRIM(B1473)=TRIM(Enginuity!$A$17),
    Q1473&lt;&gt;"",
    Q1473&lt;&gt;0,
    OR(
      TRIM(C1473)=TRIM(Enginuity!$A$18),
      AND(UPPER(TRIM(M1473))="STD", TRIM(B1473)=TRIM(Enginuity!$A$17))
    ),
    OR(
      AND(LEFT(P1473,5)="1-Way", Enginuity!$B$13=1),
      AND(LEFT(P1473,5)="2-Way", OR(Enginuity!$B$13=2, Enginuity!$B$13=4)),
      AND(LEFT(P1473,5)="3-Way", OR(Enginuity!$B$13=3, Enginuity!$B$13=6)),
      AND(P1473="Inner Centre Jamb", OR(Enginuity!$B$13=4, Enginuity!$B$13=6)),
      AND(
        LEFT(P1473,5)&lt;&gt;"1-Way",
        LEFT(P1473,5)&lt;&gt;"2-Way",
        LEFT(P1473,5)&lt;&gt;"3-Way",
        P1473&lt;&gt;"Inner Centre Jamb"
      )
    ),
    IF(OR(Enginuity!$A$1="Frameless Glass",Enginuity!$A$1="Metal Work"),
      AND(TRIM(B1473)=TRIM(Enginuity!$A$17),TRIM(C1473)=TRIM(Enginuity!$A$18)),
      TRIM(B1473)=TRIM(Enginuity!$A$17)
    )
  ),
  ROW(),
  ""
)</f>
        <v/>
      </c>
    </row>
    <row r="1474" spans="1:21" x14ac:dyDescent="0.25">
      <c r="A1474" s="10" t="s">
        <v>795</v>
      </c>
      <c r="B1474" s="229" t="s">
        <v>880</v>
      </c>
      <c r="C1474" s="14" t="s">
        <v>860</v>
      </c>
      <c r="D1474" s="14" t="str">
        <f t="shared" si="27"/>
        <v>Shower Screen Set Install</v>
      </c>
      <c r="E1474" s="157"/>
      <c r="F1474" s="10"/>
      <c r="G1474" s="17"/>
      <c r="H1474" s="10"/>
      <c r="I1474" s="17"/>
      <c r="J1474" s="83"/>
      <c r="K1474" s="343"/>
      <c r="L1474" s="347"/>
      <c r="M1474" s="89" t="s">
        <v>117</v>
      </c>
      <c r="N1474" s="10" t="s">
        <v>860</v>
      </c>
      <c r="O1474" s="22">
        <v>350</v>
      </c>
      <c r="P1474" s="36" t="s">
        <v>891</v>
      </c>
      <c r="Q1474" s="98" t="str">
        <f>IF(AND(Enginuity!$A$19&lt;&gt;"",UPPER(TRIM($D1474))=UPPER(TRIM(Enginuity!$A$19))),1,"")</f>
        <v/>
      </c>
      <c r="U1474" s="104" t="str">
        <f>IF(
  AND(
    TRIM(A1474)=TRIM(Enginuity!$A$1),
    TRIM(B1474)=TRIM(Enginuity!$A$17),
    Q1474&lt;&gt;"",
    Q1474&lt;&gt;0,
    OR(
      TRIM(C1474)=TRIM(Enginuity!$A$18),
      AND(UPPER(TRIM(M1474))="STD", TRIM(B1474)=TRIM(Enginuity!$A$17))
    ),
    OR(
      AND(LEFT(P1474,5)="1-Way", Enginuity!$B$13=1),
      AND(LEFT(P1474,5)="2-Way", OR(Enginuity!$B$13=2, Enginuity!$B$13=4)),
      AND(LEFT(P1474,5)="3-Way", OR(Enginuity!$B$13=3, Enginuity!$B$13=6)),
      AND(P1474="Inner Centre Jamb", OR(Enginuity!$B$13=4, Enginuity!$B$13=6)),
      AND(
        LEFT(P1474,5)&lt;&gt;"1-Way",
        LEFT(P1474,5)&lt;&gt;"2-Way",
        LEFT(P1474,5)&lt;&gt;"3-Way",
        P1474&lt;&gt;"Inner Centre Jamb"
      )
    ),
    IF(OR(Enginuity!$A$1="Frameless Glass",Enginuity!$A$1="Metal Work"),
      AND(TRIM(B1474)=TRIM(Enginuity!$A$17),TRIM(C1474)=TRIM(Enginuity!$A$18)),
      TRIM(B1474)=TRIM(Enginuity!$A$17)
    )
  ),
  ROW(),
  ""
)</f>
        <v/>
      </c>
    </row>
    <row r="1475" spans="1:21" x14ac:dyDescent="0.25">
      <c r="A1475" s="10" t="s">
        <v>795</v>
      </c>
      <c r="B1475" s="229" t="s">
        <v>880</v>
      </c>
      <c r="C1475" s="14"/>
      <c r="D1475" s="14"/>
      <c r="E1475" s="157"/>
      <c r="F1475" s="10"/>
      <c r="G1475" s="17"/>
      <c r="H1475" s="10"/>
      <c r="I1475" s="17"/>
      <c r="J1475" s="83"/>
      <c r="K1475" s="343"/>
      <c r="L1475" s="347"/>
      <c r="M1475" s="89"/>
      <c r="N1475" s="10"/>
      <c r="O1475" s="22"/>
      <c r="P1475" s="36"/>
      <c r="Q1475" s="98"/>
      <c r="U1475" s="104" t="str">
        <f>IF(
  AND(
    TRIM(A1475)=TRIM(Enginuity!$A$1),
    TRIM(B1475)=TRIM(Enginuity!$A$17),
    Q1475&lt;&gt;"",
    Q1475&lt;&gt;0,
    OR(
      TRIM(C1475)=TRIM(Enginuity!$A$18),
      AND(UPPER(TRIM(M1475))="STD", TRIM(B1475)=TRIM(Enginuity!$A$17))
    ),
    OR(
      AND(LEFT(P1475,5)="1-Way", Enginuity!$B$13=1),
      AND(LEFT(P1475,5)="2-Way", OR(Enginuity!$B$13=2, Enginuity!$B$13=4)),
      AND(LEFT(P1475,5)="3-Way", OR(Enginuity!$B$13=3, Enginuity!$B$13=6)),
      AND(P1475="Inner Centre Jamb", OR(Enginuity!$B$13=4, Enginuity!$B$13=6)),
      AND(
        LEFT(P1475,5)&lt;&gt;"1-Way",
        LEFT(P1475,5)&lt;&gt;"2-Way",
        LEFT(P1475,5)&lt;&gt;"3-Way",
        P1475&lt;&gt;"Inner Centre Jamb"
      )
    ),
    IF(OR(Enginuity!$A$1="Frameless Glass",Enginuity!$A$1="Metal Work"),
      AND(TRIM(B1475)=TRIM(Enginuity!$A$17),TRIM(C1475)=TRIM(Enginuity!$A$18)),
      TRIM(B1475)=TRIM(Enginuity!$A$17)
    )
  ),
  ROW(),
  ""
)</f>
        <v/>
      </c>
    </row>
    <row r="1476" spans="1:21" x14ac:dyDescent="0.25">
      <c r="A1476" s="10" t="s">
        <v>795</v>
      </c>
      <c r="B1476" s="229" t="s">
        <v>880</v>
      </c>
      <c r="C1476" s="14" t="s">
        <v>839</v>
      </c>
      <c r="D1476" s="14" t="str">
        <f t="shared" si="27"/>
        <v>Restrictor / Safety Stay Install</v>
      </c>
      <c r="E1476" s="157"/>
      <c r="F1476" s="10"/>
      <c r="G1476" s="17"/>
      <c r="H1476" s="10"/>
      <c r="I1476" s="17"/>
      <c r="J1476" s="83"/>
      <c r="K1476" s="343"/>
      <c r="L1476" s="347"/>
      <c r="M1476" s="89" t="s">
        <v>117</v>
      </c>
      <c r="N1476" s="10" t="s">
        <v>839</v>
      </c>
      <c r="O1476" s="22">
        <v>60</v>
      </c>
      <c r="P1476" s="36" t="s">
        <v>892</v>
      </c>
      <c r="Q1476" s="98" t="str">
        <f>IF(AND(Enginuity!$A$19&lt;&gt;"",UPPER(TRIM($D1476))=UPPER(TRIM(Enginuity!$A$19))),1,"")</f>
        <v/>
      </c>
      <c r="U1476" s="104" t="str">
        <f>IF(
  AND(
    TRIM(A1476)=TRIM(Enginuity!$A$1),
    TRIM(B1476)=TRIM(Enginuity!$A$17),
    Q1476&lt;&gt;"",
    Q1476&lt;&gt;0,
    OR(
      TRIM(C1476)=TRIM(Enginuity!$A$18),
      AND(UPPER(TRIM(M1476))="STD", TRIM(B1476)=TRIM(Enginuity!$A$17))
    ),
    OR(
      AND(LEFT(P1476,5)="1-Way", Enginuity!$B$13=1),
      AND(LEFT(P1476,5)="2-Way", OR(Enginuity!$B$13=2, Enginuity!$B$13=4)),
      AND(LEFT(P1476,5)="3-Way", OR(Enginuity!$B$13=3, Enginuity!$B$13=6)),
      AND(P1476="Inner Centre Jamb", OR(Enginuity!$B$13=4, Enginuity!$B$13=6)),
      AND(
        LEFT(P1476,5)&lt;&gt;"1-Way",
        LEFT(P1476,5)&lt;&gt;"2-Way",
        LEFT(P1476,5)&lt;&gt;"3-Way",
        P1476&lt;&gt;"Inner Centre Jamb"
      )
    ),
    IF(OR(Enginuity!$A$1="Frameless Glass",Enginuity!$A$1="Metal Work"),
      AND(TRIM(B1476)=TRIM(Enginuity!$A$17),TRIM(C1476)=TRIM(Enginuity!$A$18)),
      TRIM(B1476)=TRIM(Enginuity!$A$17)
    )
  ),
  ROW(),
  ""
)</f>
        <v/>
      </c>
    </row>
    <row r="1477" spans="1:21" x14ac:dyDescent="0.25">
      <c r="A1477" s="10" t="s">
        <v>795</v>
      </c>
      <c r="B1477" s="229" t="s">
        <v>880</v>
      </c>
      <c r="C1477" s="14" t="s">
        <v>839</v>
      </c>
      <c r="D1477" s="14" t="str">
        <f t="shared" si="27"/>
        <v>Door Hardware Pack Install</v>
      </c>
      <c r="E1477" s="157"/>
      <c r="F1477" s="10"/>
      <c r="G1477" s="17"/>
      <c r="H1477" s="10"/>
      <c r="I1477" s="17"/>
      <c r="J1477" s="83"/>
      <c r="K1477" s="343"/>
      <c r="L1477" s="347"/>
      <c r="M1477" s="89" t="s">
        <v>117</v>
      </c>
      <c r="N1477" s="10" t="s">
        <v>839</v>
      </c>
      <c r="O1477" s="22">
        <v>80</v>
      </c>
      <c r="P1477" s="36" t="s">
        <v>893</v>
      </c>
      <c r="Q1477" s="98" t="str">
        <f>IF(AND(Enginuity!$A$19&lt;&gt;"",UPPER(TRIM($D1477))=UPPER(TRIM(Enginuity!$A$19))),1,"")</f>
        <v/>
      </c>
      <c r="U1477" s="104" t="str">
        <f>IF(
  AND(
    TRIM(A1477)=TRIM(Enginuity!$A$1),
    TRIM(B1477)=TRIM(Enginuity!$A$17),
    Q1477&lt;&gt;"",
    Q1477&lt;&gt;0,
    OR(
      TRIM(C1477)=TRIM(Enginuity!$A$18),
      AND(UPPER(TRIM(M1477))="STD", TRIM(B1477)=TRIM(Enginuity!$A$17))
    ),
    OR(
      AND(LEFT(P1477,5)="1-Way", Enginuity!$B$13=1),
      AND(LEFT(P1477,5)="2-Way", OR(Enginuity!$B$13=2, Enginuity!$B$13=4)),
      AND(LEFT(P1477,5)="3-Way", OR(Enginuity!$B$13=3, Enginuity!$B$13=6)),
      AND(P1477="Inner Centre Jamb", OR(Enginuity!$B$13=4, Enginuity!$B$13=6)),
      AND(
        LEFT(P1477,5)&lt;&gt;"1-Way",
        LEFT(P1477,5)&lt;&gt;"2-Way",
        LEFT(P1477,5)&lt;&gt;"3-Way",
        P1477&lt;&gt;"Inner Centre Jamb"
      )
    ),
    IF(OR(Enginuity!$A$1="Frameless Glass",Enginuity!$A$1="Metal Work"),
      AND(TRIM(B1477)=TRIM(Enginuity!$A$17),TRIM(C1477)=TRIM(Enginuity!$A$18)),
      TRIM(B1477)=TRIM(Enginuity!$A$17)
    )
  ),
  ROW(),
  ""
)</f>
        <v/>
      </c>
    </row>
    <row r="1478" spans="1:21" x14ac:dyDescent="0.25">
      <c r="A1478" s="10" t="s">
        <v>795</v>
      </c>
      <c r="B1478" s="229" t="s">
        <v>880</v>
      </c>
      <c r="C1478" s="14" t="s">
        <v>839</v>
      </c>
      <c r="D1478" s="14" t="str">
        <f t="shared" si="27"/>
        <v>Patch Fittings / Glass Hardware Install</v>
      </c>
      <c r="E1478" s="157"/>
      <c r="F1478" s="10"/>
      <c r="G1478" s="17"/>
      <c r="H1478" s="10"/>
      <c r="I1478" s="17"/>
      <c r="J1478" s="83"/>
      <c r="K1478" s="343"/>
      <c r="L1478" s="347"/>
      <c r="M1478" s="89" t="s">
        <v>117</v>
      </c>
      <c r="N1478" s="10" t="s">
        <v>839</v>
      </c>
      <c r="O1478" s="22">
        <v>120</v>
      </c>
      <c r="P1478" s="36" t="s">
        <v>894</v>
      </c>
      <c r="Q1478" s="98" t="str">
        <f>IF(AND(Enginuity!$A$19&lt;&gt;"",UPPER(TRIM($D1478))=UPPER(TRIM(Enginuity!$A$19))),1,"")</f>
        <v/>
      </c>
      <c r="U1478" s="104" t="str">
        <f>IF(
  AND(
    TRIM(A1478)=TRIM(Enginuity!$A$1),
    TRIM(B1478)=TRIM(Enginuity!$A$17),
    Q1478&lt;&gt;"",
    Q1478&lt;&gt;0,
    OR(
      TRIM(C1478)=TRIM(Enginuity!$A$18),
      AND(UPPER(TRIM(M1478))="STD", TRIM(B1478)=TRIM(Enginuity!$A$17))
    ),
    OR(
      AND(LEFT(P1478,5)="1-Way", Enginuity!$B$13=1),
      AND(LEFT(P1478,5)="2-Way", OR(Enginuity!$B$13=2, Enginuity!$B$13=4)),
      AND(LEFT(P1478,5)="3-Way", OR(Enginuity!$B$13=3, Enginuity!$B$13=6)),
      AND(P1478="Inner Centre Jamb", OR(Enginuity!$B$13=4, Enginuity!$B$13=6)),
      AND(
        LEFT(P1478,5)&lt;&gt;"1-Way",
        LEFT(P1478,5)&lt;&gt;"2-Way",
        LEFT(P1478,5)&lt;&gt;"3-Way",
        P1478&lt;&gt;"Inner Centre Jamb"
      )
    ),
    IF(OR(Enginuity!$A$1="Frameless Glass",Enginuity!$A$1="Metal Work"),
      AND(TRIM(B1478)=TRIM(Enginuity!$A$17),TRIM(C1478)=TRIM(Enginuity!$A$18)),
      TRIM(B1478)=TRIM(Enginuity!$A$17)
    )
  ),
  ROW(),
  ""
)</f>
        <v/>
      </c>
    </row>
    <row r="1479" spans="1:21" x14ac:dyDescent="0.25">
      <c r="A1479" s="10" t="s">
        <v>795</v>
      </c>
      <c r="B1479" s="229" t="s">
        <v>880</v>
      </c>
      <c r="C1479" s="14" t="s">
        <v>839</v>
      </c>
      <c r="D1479" s="14" t="str">
        <f t="shared" si="27"/>
        <v>Door Closer / Floor Spring Install</v>
      </c>
      <c r="E1479" s="157"/>
      <c r="F1479" s="10"/>
      <c r="G1479" s="17"/>
      <c r="H1479" s="10"/>
      <c r="I1479" s="17"/>
      <c r="J1479" s="83"/>
      <c r="K1479" s="343"/>
      <c r="L1479" s="347"/>
      <c r="M1479" s="89" t="s">
        <v>117</v>
      </c>
      <c r="N1479" s="10" t="s">
        <v>839</v>
      </c>
      <c r="O1479" s="22">
        <v>180</v>
      </c>
      <c r="P1479" s="36" t="s">
        <v>895</v>
      </c>
      <c r="Q1479" s="98" t="str">
        <f>IF(AND(Enginuity!$A$19&lt;&gt;"",UPPER(TRIM($D1479))=UPPER(TRIM(Enginuity!$A$19))),1,"")</f>
        <v/>
      </c>
      <c r="U1479" s="104" t="str">
        <f>IF(
  AND(
    TRIM(A1479)=TRIM(Enginuity!$A$1),
    TRIM(B1479)=TRIM(Enginuity!$A$17),
    Q1479&lt;&gt;"",
    Q1479&lt;&gt;0,
    OR(
      TRIM(C1479)=TRIM(Enginuity!$A$18),
      AND(UPPER(TRIM(M1479))="STD", TRIM(B1479)=TRIM(Enginuity!$A$17))
    ),
    OR(
      AND(LEFT(P1479,5)="1-Way", Enginuity!$B$13=1),
      AND(LEFT(P1479,5)="2-Way", OR(Enginuity!$B$13=2, Enginuity!$B$13=4)),
      AND(LEFT(P1479,5)="3-Way", OR(Enginuity!$B$13=3, Enginuity!$B$13=6)),
      AND(P1479="Inner Centre Jamb", OR(Enginuity!$B$13=4, Enginuity!$B$13=6)),
      AND(
        LEFT(P1479,5)&lt;&gt;"1-Way",
        LEFT(P1479,5)&lt;&gt;"2-Way",
        LEFT(P1479,5)&lt;&gt;"3-Way",
        P1479&lt;&gt;"Inner Centre Jamb"
      )
    ),
    IF(OR(Enginuity!$A$1="Frameless Glass",Enginuity!$A$1="Metal Work"),
      AND(TRIM(B1479)=TRIM(Enginuity!$A$17),TRIM(C1479)=TRIM(Enginuity!$A$18)),
      TRIM(B1479)=TRIM(Enginuity!$A$17)
    )
  ),
  ROW(),
  ""
)</f>
        <v/>
      </c>
    </row>
    <row r="1480" spans="1:21" x14ac:dyDescent="0.25">
      <c r="A1480" s="101" t="s">
        <v>795</v>
      </c>
      <c r="B1480" s="232"/>
      <c r="C1480" s="101"/>
      <c r="D1480" s="150"/>
      <c r="E1480" s="167"/>
      <c r="F1480" s="101"/>
      <c r="G1480" s="17"/>
      <c r="H1480" s="101"/>
      <c r="I1480" s="17"/>
      <c r="J1480" s="151"/>
      <c r="K1480" s="343"/>
      <c r="L1480" s="347"/>
      <c r="M1480" s="152"/>
      <c r="N1480" s="101"/>
      <c r="O1480" s="154"/>
      <c r="P1480" s="200"/>
      <c r="Q1480" s="201"/>
      <c r="U1480" s="104" t="str">
        <f>IF(
  AND(
    TRIM(A1480)=TRIM(Enginuity!$A$1),
    TRIM(B1480)=TRIM(Enginuity!$A$17),
    Q1480&lt;&gt;"",
    Q1480&lt;&gt;0,
    OR(
      TRIM(C1480)=TRIM(Enginuity!$A$18),
      AND(UPPER(TRIM(M1480))="STD", TRIM(B1480)=TRIM(Enginuity!$A$17))
    ),
    OR(
      AND(LEFT(P1480,5)="1-Way", Enginuity!$B$13=1),
      AND(LEFT(P1480,5)="2-Way", OR(Enginuity!$B$13=2, Enginuity!$B$13=4)),
      AND(LEFT(P1480,5)="3-Way", OR(Enginuity!$B$13=3, Enginuity!$B$13=6)),
      AND(P1480="Inner Centre Jamb", OR(Enginuity!$B$13=4, Enginuity!$B$13=6)),
      AND(
        LEFT(P1480,5)&lt;&gt;"1-Way",
        LEFT(P1480,5)&lt;&gt;"2-Way",
        LEFT(P1480,5)&lt;&gt;"3-Way",
        P1480&lt;&gt;"Inner Centre Jamb"
      )
    ),
    IF(OR(Enginuity!$A$1="Frameless Glass",Enginuity!$A$1="Metal Work"),
      AND(TRIM(B1480)=TRIM(Enginuity!$A$17),TRIM(C1480)=TRIM(Enginuity!$A$18)),
      TRIM(B1480)=TRIM(Enginuity!$A$17)
    )
  ),
  ROW(),
  ""
)</f>
        <v/>
      </c>
    </row>
    <row r="1481" spans="1:21" x14ac:dyDescent="0.25">
      <c r="A1481" s="10" t="s">
        <v>795</v>
      </c>
      <c r="B1481" s="235" t="s">
        <v>924</v>
      </c>
      <c r="C1481" s="12" t="s">
        <v>925</v>
      </c>
      <c r="D1481" s="36" t="str">
        <f>P1481</f>
        <v>Roof Turbine Ventilator 12" — (Metal Deck)</v>
      </c>
      <c r="E1481" s="161" t="str">
        <f>P1490</f>
        <v>Tile Roof Flashing / Upstand</v>
      </c>
      <c r="F1481" s="10"/>
      <c r="G1481" s="17"/>
      <c r="H1481" s="10"/>
      <c r="I1481" s="17"/>
      <c r="J1481" s="83"/>
      <c r="K1481" s="344">
        <v>0</v>
      </c>
      <c r="L1481" s="347">
        <f>IF(OR(Enginuity!$B$6="",Enginuity!$B$7=""),"",2*(Enginuity!$B$6+Enginuity!$B$7))</f>
        <v>66</v>
      </c>
      <c r="M1481" s="89" t="s">
        <v>117</v>
      </c>
      <c r="N1481" s="10" t="s">
        <v>860</v>
      </c>
      <c r="O1481" s="22">
        <v>500</v>
      </c>
      <c r="P1481" s="36" t="s">
        <v>914</v>
      </c>
      <c r="Q1481" s="98" t="str">
        <f>IF(AND(Enginuity!$A$19&lt;&gt;"",UPPER(TRIM($D1481))=UPPER(TRIM(Enginuity!$A$19))),1,"")</f>
        <v/>
      </c>
      <c r="U1481" s="104" t="str">
        <f>IF(
  AND(
    TRIM(A1481)=TRIM(Enginuity!$A$1),
    TRIM(B1481)=TRIM(Enginuity!$A$17),
    Q1481&lt;&gt;"",
    Q1481&lt;&gt;0,
    OR(
      TRIM(C1481)=TRIM(Enginuity!$A$18),
      AND(UPPER(TRIM(M1481))="STD", TRIM(B1481)=TRIM(Enginuity!$A$17))
    ),
    OR(
      AND(LEFT(P1481,5)="1-Way", Enginuity!$B$13=1),
      AND(LEFT(P1481,5)="2-Way", OR(Enginuity!$B$13=2, Enginuity!$B$13=4)),
      AND(LEFT(P1481,5)="3-Way", OR(Enginuity!$B$13=3, Enginuity!$B$13=6)),
      AND(P1481="Inner Centre Jamb", OR(Enginuity!$B$13=4, Enginuity!$B$13=6)),
      AND(
        LEFT(P1481,5)&lt;&gt;"1-Way",
        LEFT(P1481,5)&lt;&gt;"2-Way",
        LEFT(P1481,5)&lt;&gt;"3-Way",
        P1481&lt;&gt;"Inner Centre Jamb"
      )
    ),
    IF(OR(Enginuity!$A$1="Frameless Glass",Enginuity!$A$1="Metal Work"),
      AND(TRIM(B1481)=TRIM(Enginuity!$A$17),TRIM(C1481)=TRIM(Enginuity!$A$18)),
      TRIM(B1481)=TRIM(Enginuity!$A$17)
    )
  ),
  ROW(),
  ""
)</f>
        <v/>
      </c>
    </row>
    <row r="1482" spans="1:21" x14ac:dyDescent="0.25">
      <c r="A1482" s="10" t="s">
        <v>795</v>
      </c>
      <c r="B1482" s="235" t="s">
        <v>924</v>
      </c>
      <c r="C1482" s="12" t="s">
        <v>925</v>
      </c>
      <c r="D1482" s="36" t="str">
        <f t="shared" ref="D1482:D1486" si="28">P1482</f>
        <v>Roof Turbine Ventilator 14" — (Metal Deck)</v>
      </c>
      <c r="E1482" s="161" t="str">
        <f t="shared" ref="E1482:E1484" si="29">P1491</f>
        <v>High-Access / 2-Storey Surcharge</v>
      </c>
      <c r="F1482" s="10"/>
      <c r="G1482" s="17"/>
      <c r="H1482" s="10"/>
      <c r="I1482" s="17"/>
      <c r="J1482" s="83"/>
      <c r="K1482" s="343"/>
      <c r="L1482" s="347"/>
      <c r="M1482" s="89" t="s">
        <v>117</v>
      </c>
      <c r="N1482" s="10" t="s">
        <v>860</v>
      </c>
      <c r="O1482" s="22">
        <v>600</v>
      </c>
      <c r="P1482" s="36" t="s">
        <v>915</v>
      </c>
      <c r="Q1482" s="98" t="str">
        <f>IF(AND(Enginuity!$A$19&lt;&gt;"",UPPER(TRIM($D1482))=UPPER(TRIM(Enginuity!$A$19))),1,"")</f>
        <v/>
      </c>
      <c r="U1482" s="104" t="str">
        <f>IF(
  AND(
    TRIM(A1482)=TRIM(Enginuity!$A$1),
    TRIM(B1482)=TRIM(Enginuity!$A$17),
    Q1482&lt;&gt;"",
    Q1482&lt;&gt;0,
    OR(
      TRIM(C1482)=TRIM(Enginuity!$A$18),
      AND(UPPER(TRIM(M1482))="STD", TRIM(B1482)=TRIM(Enginuity!$A$17))
    ),
    OR(
      AND(LEFT(P1482,5)="1-Way", Enginuity!$B$13=1),
      AND(LEFT(P1482,5)="2-Way", OR(Enginuity!$B$13=2, Enginuity!$B$13=4)),
      AND(LEFT(P1482,5)="3-Way", OR(Enginuity!$B$13=3, Enginuity!$B$13=6)),
      AND(P1482="Inner Centre Jamb", OR(Enginuity!$B$13=4, Enginuity!$B$13=6)),
      AND(
        LEFT(P1482,5)&lt;&gt;"1-Way",
        LEFT(P1482,5)&lt;&gt;"2-Way",
        LEFT(P1482,5)&lt;&gt;"3-Way",
        P1482&lt;&gt;"Inner Centre Jamb"
      )
    ),
    IF(OR(Enginuity!$A$1="Frameless Glass",Enginuity!$A$1="Metal Work"),
      AND(TRIM(B1482)=TRIM(Enginuity!$A$17),TRIM(C1482)=TRIM(Enginuity!$A$18)),
      TRIM(B1482)=TRIM(Enginuity!$A$17)
    )
  ),
  ROW(),
  ""
)</f>
        <v/>
      </c>
    </row>
    <row r="1483" spans="1:21" x14ac:dyDescent="0.25">
      <c r="A1483" s="10" t="s">
        <v>795</v>
      </c>
      <c r="B1483" s="235" t="s">
        <v>924</v>
      </c>
      <c r="C1483" s="12" t="s">
        <v>925</v>
      </c>
      <c r="D1483" s="36" t="str">
        <f t="shared" si="28"/>
        <v>Roof Turbine Ventilator 16" — (Metal Deck)</v>
      </c>
      <c r="E1483" s="161" t="str">
        <f t="shared" si="29"/>
        <v>Remove &amp; Dispose Existing Ventilator</v>
      </c>
      <c r="F1483" s="10"/>
      <c r="G1483" s="17"/>
      <c r="H1483" s="10"/>
      <c r="I1483" s="17"/>
      <c r="J1483" s="83"/>
      <c r="K1483" s="343"/>
      <c r="L1483" s="347"/>
      <c r="M1483" s="89" t="s">
        <v>117</v>
      </c>
      <c r="N1483" s="10" t="s">
        <v>860</v>
      </c>
      <c r="O1483" s="22">
        <v>750</v>
      </c>
      <c r="P1483" s="36" t="s">
        <v>916</v>
      </c>
      <c r="Q1483" s="98" t="str">
        <f>IF(AND(Enginuity!$A$19&lt;&gt;"",UPPER(TRIM($D1483))=UPPER(TRIM(Enginuity!$A$19))),1,"")</f>
        <v/>
      </c>
      <c r="U1483" s="104" t="str">
        <f>IF(
  AND(
    TRIM(A1483)=TRIM(Enginuity!$A$1),
    TRIM(B1483)=TRIM(Enginuity!$A$17),
    Q1483&lt;&gt;"",
    Q1483&lt;&gt;0,
    OR(
      TRIM(C1483)=TRIM(Enginuity!$A$18),
      AND(UPPER(TRIM(M1483))="STD", TRIM(B1483)=TRIM(Enginuity!$A$17))
    ),
    OR(
      AND(LEFT(P1483,5)="1-Way", Enginuity!$B$13=1),
      AND(LEFT(P1483,5)="2-Way", OR(Enginuity!$B$13=2, Enginuity!$B$13=4)),
      AND(LEFT(P1483,5)="3-Way", OR(Enginuity!$B$13=3, Enginuity!$B$13=6)),
      AND(P1483="Inner Centre Jamb", OR(Enginuity!$B$13=4, Enginuity!$B$13=6)),
      AND(
        LEFT(P1483,5)&lt;&gt;"1-Way",
        LEFT(P1483,5)&lt;&gt;"2-Way",
        LEFT(P1483,5)&lt;&gt;"3-Way",
        P1483&lt;&gt;"Inner Centre Jamb"
      )
    ),
    IF(OR(Enginuity!$A$1="Frameless Glass",Enginuity!$A$1="Metal Work"),
      AND(TRIM(B1483)=TRIM(Enginuity!$A$17),TRIM(C1483)=TRIM(Enginuity!$A$18)),
      TRIM(B1483)=TRIM(Enginuity!$A$17)
    )
  ),
  ROW(),
  ""
)</f>
        <v/>
      </c>
    </row>
    <row r="1484" spans="1:21" x14ac:dyDescent="0.25">
      <c r="A1484" s="10" t="s">
        <v>795</v>
      </c>
      <c r="B1484" s="235" t="s">
        <v>924</v>
      </c>
      <c r="C1484" s="12" t="s">
        <v>925</v>
      </c>
      <c r="D1484" s="36" t="str">
        <f t="shared" si="28"/>
        <v>Roof Turbine Ventilator 18" — (Metal Deck)</v>
      </c>
      <c r="E1484" s="161" t="str">
        <f t="shared" si="29"/>
        <v>Core Drill RC Slab / Concrete</v>
      </c>
      <c r="F1484" s="10"/>
      <c r="G1484" s="17"/>
      <c r="H1484" s="10"/>
      <c r="I1484" s="17"/>
      <c r="J1484" s="83"/>
      <c r="K1484" s="343"/>
      <c r="L1484" s="347"/>
      <c r="M1484" s="89" t="s">
        <v>117</v>
      </c>
      <c r="N1484" s="10" t="s">
        <v>860</v>
      </c>
      <c r="O1484" s="22">
        <v>900</v>
      </c>
      <c r="P1484" s="36" t="s">
        <v>917</v>
      </c>
      <c r="Q1484" s="98" t="str">
        <f>IF(AND(Enginuity!$A$19&lt;&gt;"",UPPER(TRIM($D1484))=UPPER(TRIM(Enginuity!$A$19))),1,"")</f>
        <v/>
      </c>
      <c r="U1484" s="104" t="str">
        <f>IF(
  AND(
    TRIM(A1484)=TRIM(Enginuity!$A$1),
    TRIM(B1484)=TRIM(Enginuity!$A$17),
    Q1484&lt;&gt;"",
    Q1484&lt;&gt;0,
    OR(
      TRIM(C1484)=TRIM(Enginuity!$A$18),
      AND(UPPER(TRIM(M1484))="STD", TRIM(B1484)=TRIM(Enginuity!$A$17))
    ),
    OR(
      AND(LEFT(P1484,5)="1-Way", Enginuity!$B$13=1),
      AND(LEFT(P1484,5)="2-Way", OR(Enginuity!$B$13=2, Enginuity!$B$13=4)),
      AND(LEFT(P1484,5)="3-Way", OR(Enginuity!$B$13=3, Enginuity!$B$13=6)),
      AND(P1484="Inner Centre Jamb", OR(Enginuity!$B$13=4, Enginuity!$B$13=6)),
      AND(
        LEFT(P1484,5)&lt;&gt;"1-Way",
        LEFT(P1484,5)&lt;&gt;"2-Way",
        LEFT(P1484,5)&lt;&gt;"3-Way",
        P1484&lt;&gt;"Inner Centre Jamb"
      )
    ),
    IF(OR(Enginuity!$A$1="Frameless Glass",Enginuity!$A$1="Metal Work"),
      AND(TRIM(B1484)=TRIM(Enginuity!$A$17),TRIM(C1484)=TRIM(Enginuity!$A$18)),
      TRIM(B1484)=TRIM(Enginuity!$A$17)
    )
  ),
  ROW(),
  ""
)</f>
        <v/>
      </c>
    </row>
    <row r="1485" spans="1:21" x14ac:dyDescent="0.25">
      <c r="A1485" s="10" t="s">
        <v>795</v>
      </c>
      <c r="B1485" s="235" t="s">
        <v>924</v>
      </c>
      <c r="C1485" s="12" t="s">
        <v>925</v>
      </c>
      <c r="D1485" s="36" t="str">
        <f t="shared" si="28"/>
        <v>Roof Turbine Ventilator 20" — (Metal Deck)</v>
      </c>
      <c r="E1485" s="157"/>
      <c r="F1485" s="10"/>
      <c r="G1485" s="17"/>
      <c r="H1485" s="10"/>
      <c r="I1485" s="17"/>
      <c r="J1485" s="83"/>
      <c r="K1485" s="343"/>
      <c r="L1485" s="347"/>
      <c r="M1485" s="89" t="s">
        <v>117</v>
      </c>
      <c r="N1485" s="10" t="s">
        <v>860</v>
      </c>
      <c r="O1485" s="22">
        <v>1100</v>
      </c>
      <c r="P1485" s="36" t="s">
        <v>918</v>
      </c>
      <c r="Q1485" s="98" t="str">
        <f>IF(AND(Enginuity!$A$19&lt;&gt;"",UPPER(TRIM($D1485))=UPPER(TRIM(Enginuity!$A$19))),1,"")</f>
        <v/>
      </c>
      <c r="U1485" s="104" t="str">
        <f>IF(
  AND(
    TRIM(A1485)=TRIM(Enginuity!$A$1),
    TRIM(B1485)=TRIM(Enginuity!$A$17),
    Q1485&lt;&gt;"",
    Q1485&lt;&gt;0,
    OR(
      TRIM(C1485)=TRIM(Enginuity!$A$18),
      AND(UPPER(TRIM(M1485))="STD", TRIM(B1485)=TRIM(Enginuity!$A$17))
    ),
    OR(
      AND(LEFT(P1485,5)="1-Way", Enginuity!$B$13=1),
      AND(LEFT(P1485,5)="2-Way", OR(Enginuity!$B$13=2, Enginuity!$B$13=4)),
      AND(LEFT(P1485,5)="3-Way", OR(Enginuity!$B$13=3, Enginuity!$B$13=6)),
      AND(P1485="Inner Centre Jamb", OR(Enginuity!$B$13=4, Enginuity!$B$13=6)),
      AND(
        LEFT(P1485,5)&lt;&gt;"1-Way",
        LEFT(P1485,5)&lt;&gt;"2-Way",
        LEFT(P1485,5)&lt;&gt;"3-Way",
        P1485&lt;&gt;"Inner Centre Jamb"
      )
    ),
    IF(OR(Enginuity!$A$1="Frameless Glass",Enginuity!$A$1="Metal Work"),
      AND(TRIM(B1485)=TRIM(Enginuity!$A$17),TRIM(C1485)=TRIM(Enginuity!$A$18)),
      TRIM(B1485)=TRIM(Enginuity!$A$17)
    )
  ),
  ROW(),
  ""
)</f>
        <v/>
      </c>
    </row>
    <row r="1486" spans="1:21" x14ac:dyDescent="0.25">
      <c r="A1486" s="10" t="s">
        <v>795</v>
      </c>
      <c r="B1486" s="235" t="s">
        <v>924</v>
      </c>
      <c r="C1486" s="12" t="s">
        <v>925</v>
      </c>
      <c r="D1486" s="36" t="str">
        <f t="shared" si="28"/>
        <v>Roof Turbine Ventilator 24" — (Metal Deck)</v>
      </c>
      <c r="E1486" s="157"/>
      <c r="F1486" s="10"/>
      <c r="G1486" s="17"/>
      <c r="H1486" s="10"/>
      <c r="I1486" s="17"/>
      <c r="J1486" s="83"/>
      <c r="K1486" s="343"/>
      <c r="L1486" s="347"/>
      <c r="M1486" s="89" t="s">
        <v>117</v>
      </c>
      <c r="N1486" s="10" t="s">
        <v>860</v>
      </c>
      <c r="O1486" s="22">
        <v>1400</v>
      </c>
      <c r="P1486" s="36" t="s">
        <v>919</v>
      </c>
      <c r="Q1486" s="98" t="str">
        <f>IF(AND(Enginuity!$A$19&lt;&gt;"",UPPER(TRIM($D1486))=UPPER(TRIM(Enginuity!$A$19))),1,"")</f>
        <v/>
      </c>
      <c r="U1486" s="104" t="str">
        <f>IF(
  AND(
    TRIM(A1486)=TRIM(Enginuity!$A$1),
    TRIM(B1486)=TRIM(Enginuity!$A$17),
    Q1486&lt;&gt;"",
    Q1486&lt;&gt;0,
    OR(
      TRIM(C1486)=TRIM(Enginuity!$A$18),
      AND(UPPER(TRIM(M1486))="STD", TRIM(B1486)=TRIM(Enginuity!$A$17))
    ),
    OR(
      AND(LEFT(P1486,5)="1-Way", Enginuity!$B$13=1),
      AND(LEFT(P1486,5)="2-Way", OR(Enginuity!$B$13=2, Enginuity!$B$13=4)),
      AND(LEFT(P1486,5)="3-Way", OR(Enginuity!$B$13=3, Enginuity!$B$13=6)),
      AND(P1486="Inner Centre Jamb", OR(Enginuity!$B$13=4, Enginuity!$B$13=6)),
      AND(
        LEFT(P1486,5)&lt;&gt;"1-Way",
        LEFT(P1486,5)&lt;&gt;"2-Way",
        LEFT(P1486,5)&lt;&gt;"3-Way",
        P1486&lt;&gt;"Inner Centre Jamb"
      )
    ),
    IF(OR(Enginuity!$A$1="Frameless Glass",Enginuity!$A$1="Metal Work"),
      AND(TRIM(B1486)=TRIM(Enginuity!$A$17),TRIM(C1486)=TRIM(Enginuity!$A$18)),
      TRIM(B1486)=TRIM(Enginuity!$A$17)
    )
  ),
  ROW(),
  ""
)</f>
        <v/>
      </c>
    </row>
    <row r="1487" spans="1:21" x14ac:dyDescent="0.25">
      <c r="A1487" s="10" t="s">
        <v>795</v>
      </c>
      <c r="B1487" s="235" t="s">
        <v>924</v>
      </c>
      <c r="C1487" s="12" t="s">
        <v>925</v>
      </c>
      <c r="D1487" s="36"/>
      <c r="E1487" s="157"/>
      <c r="F1487" s="10"/>
      <c r="G1487" s="17"/>
      <c r="H1487" s="10"/>
      <c r="I1487" s="17"/>
      <c r="J1487" s="83"/>
      <c r="K1487" s="343"/>
      <c r="L1487" s="347"/>
      <c r="M1487" s="89" t="s">
        <v>117</v>
      </c>
      <c r="N1487" s="10" t="s">
        <v>860</v>
      </c>
      <c r="O1487" s="22">
        <v>50</v>
      </c>
      <c r="P1487" s="36" t="s">
        <v>911</v>
      </c>
      <c r="Q1487" s="98" t="str">
        <f>IF(LEN(TRIM(Enginuity!$A$18))=0,"",
   IF(UPPER(SUBSTITUTE(TRIM($C1481),CHAR(160),""))=
      UPPER(SUBSTITUTE(TRIM(Enginuity!$A$18),CHAR(160),"")),1,""))</f>
        <v/>
      </c>
      <c r="U1487" s="104" t="str">
        <f>IF(
  AND(
    TRIM(A1487)=TRIM(Enginuity!$A$1),
    TRIM(B1487)=TRIM(Enginuity!$A$17),
    Q1487&lt;&gt;"",
    Q1487&lt;&gt;0,
    OR(
      TRIM(C1487)=TRIM(Enginuity!$A$18),
      AND(UPPER(TRIM(M1487))="STD", TRIM(B1487)=TRIM(Enginuity!$A$17))
    ),
    OR(
      AND(LEFT(P1487,5)="1-Way", Enginuity!$B$13=1),
      AND(LEFT(P1487,5)="2-Way", OR(Enginuity!$B$13=2, Enginuity!$B$13=4)),
      AND(LEFT(P1487,5)="3-Way", OR(Enginuity!$B$13=3, Enginuity!$B$13=6)),
      AND(P1487="Inner Centre Jamb", OR(Enginuity!$B$13=4, Enginuity!$B$13=6)),
      AND(
        LEFT(P1487,5)&lt;&gt;"1-Way",
        LEFT(P1487,5)&lt;&gt;"2-Way",
        LEFT(P1487,5)&lt;&gt;"3-Way",
        P1487&lt;&gt;"Inner Centre Jamb"
      )
    ),
    IF(OR(Enginuity!$A$1="Frameless Glass",Enginuity!$A$1="Metal Work"),
      AND(TRIM(B1487)=TRIM(Enginuity!$A$17),TRIM(C1487)=TRIM(Enginuity!$A$18)),
      TRIM(B1487)=TRIM(Enginuity!$A$17)
    )
  ),
  ROW(),
  ""
)</f>
        <v/>
      </c>
    </row>
    <row r="1488" spans="1:21" x14ac:dyDescent="0.25">
      <c r="A1488" s="10" t="s">
        <v>795</v>
      </c>
      <c r="B1488" s="235" t="s">
        <v>924</v>
      </c>
      <c r="C1488" s="12" t="s">
        <v>925</v>
      </c>
      <c r="D1488" s="36"/>
      <c r="E1488" s="157"/>
      <c r="F1488" s="10"/>
      <c r="G1488" s="17"/>
      <c r="H1488" s="10"/>
      <c r="I1488" s="17"/>
      <c r="J1488" s="83"/>
      <c r="K1488" s="343"/>
      <c r="L1488" s="347"/>
      <c r="M1488" s="89" t="s">
        <v>117</v>
      </c>
      <c r="N1488" s="10" t="s">
        <v>860</v>
      </c>
      <c r="O1488" s="22">
        <v>30</v>
      </c>
      <c r="P1488" s="36" t="s">
        <v>912</v>
      </c>
      <c r="Q1488" s="98" t="str">
        <f>IF(LEN(TRIM(Enginuity!$A$18))=0,"",
   IF(UPPER(SUBSTITUTE(TRIM($C1482),CHAR(160),""))=
      UPPER(SUBSTITUTE(TRIM(Enginuity!$A$18),CHAR(160),"")),1,""))</f>
        <v/>
      </c>
      <c r="U1488" s="104" t="str">
        <f>IF(
  AND(
    TRIM(A1488)=TRIM(Enginuity!$A$1),
    TRIM(B1488)=TRIM(Enginuity!$A$17),
    Q1488&lt;&gt;"",
    Q1488&lt;&gt;0,
    OR(
      TRIM(C1488)=TRIM(Enginuity!$A$18),
      AND(UPPER(TRIM(M1488))="STD", TRIM(B1488)=TRIM(Enginuity!$A$17))
    ),
    OR(
      AND(LEFT(P1488,5)="1-Way", Enginuity!$B$13=1),
      AND(LEFT(P1488,5)="2-Way", OR(Enginuity!$B$13=2, Enginuity!$B$13=4)),
      AND(LEFT(P1488,5)="3-Way", OR(Enginuity!$B$13=3, Enginuity!$B$13=6)),
      AND(P1488="Inner Centre Jamb", OR(Enginuity!$B$13=4, Enginuity!$B$13=6)),
      AND(
        LEFT(P1488,5)&lt;&gt;"1-Way",
        LEFT(P1488,5)&lt;&gt;"2-Way",
        LEFT(P1488,5)&lt;&gt;"3-Way",
        P1488&lt;&gt;"Inner Centre Jamb"
      )
    ),
    IF(OR(Enginuity!$A$1="Frameless Glass",Enginuity!$A$1="Metal Work"),
      AND(TRIM(B1488)=TRIM(Enginuity!$A$17),TRIM(C1488)=TRIM(Enginuity!$A$18)),
      TRIM(B1488)=TRIM(Enginuity!$A$17)
    )
  ),
  ROW(),
  ""
)</f>
        <v/>
      </c>
    </row>
    <row r="1489" spans="1:21" x14ac:dyDescent="0.25">
      <c r="A1489" s="10" t="s">
        <v>795</v>
      </c>
      <c r="B1489" s="235" t="s">
        <v>924</v>
      </c>
      <c r="C1489" s="12" t="s">
        <v>925</v>
      </c>
      <c r="D1489" s="36"/>
      <c r="E1489" s="157"/>
      <c r="F1489" s="10"/>
      <c r="G1489" s="17"/>
      <c r="H1489" s="10"/>
      <c r="I1489" s="17"/>
      <c r="J1489" s="83"/>
      <c r="K1489" s="343"/>
      <c r="L1489" s="347"/>
      <c r="M1489" s="89" t="s">
        <v>117</v>
      </c>
      <c r="N1489" s="10" t="s">
        <v>121</v>
      </c>
      <c r="O1489" s="22">
        <v>6</v>
      </c>
      <c r="P1489" s="36" t="s">
        <v>913</v>
      </c>
      <c r="Q1489" s="98" t="str">
        <f>IF(LEN(TRIM(Enginuity!$A$18))=0,"",
   IF(UPPER(SUBSTITUTE(TRIM($C1483),CHAR(160),""))=
      UPPER(SUBSTITUTE(TRIM(Enginuity!$A$18),CHAR(160),"")),1,""))</f>
        <v/>
      </c>
      <c r="U1489" s="104" t="str">
        <f>IF(
  AND(
    TRIM(A1489)=TRIM(Enginuity!$A$1),
    TRIM(B1489)=TRIM(Enginuity!$A$17),
    Q1489&lt;&gt;"",
    Q1489&lt;&gt;0,
    OR(
      TRIM(C1489)=TRIM(Enginuity!$A$18),
      AND(UPPER(TRIM(M1489))="STD", TRIM(B1489)=TRIM(Enginuity!$A$17))
    ),
    OR(
      AND(LEFT(P1489,5)="1-Way", Enginuity!$B$13=1),
      AND(LEFT(P1489,5)="2-Way", OR(Enginuity!$B$13=2, Enginuity!$B$13=4)),
      AND(LEFT(P1489,5)="3-Way", OR(Enginuity!$B$13=3, Enginuity!$B$13=6)),
      AND(P1489="Inner Centre Jamb", OR(Enginuity!$B$13=4, Enginuity!$B$13=6)),
      AND(
        LEFT(P1489,5)&lt;&gt;"1-Way",
        LEFT(P1489,5)&lt;&gt;"2-Way",
        LEFT(P1489,5)&lt;&gt;"3-Way",
        P1489&lt;&gt;"Inner Centre Jamb"
      )
    ),
    IF(OR(Enginuity!$A$1="Frameless Glass",Enginuity!$A$1="Metal Work"),
      AND(TRIM(B1489)=TRIM(Enginuity!$A$17),TRIM(C1489)=TRIM(Enginuity!$A$18)),
      TRIM(B1489)=TRIM(Enginuity!$A$17)
    )
  ),
  ROW(),
  ""
)</f>
        <v/>
      </c>
    </row>
    <row r="1490" spans="1:21" x14ac:dyDescent="0.25">
      <c r="A1490" s="10" t="s">
        <v>795</v>
      </c>
      <c r="B1490" s="235" t="s">
        <v>924</v>
      </c>
      <c r="C1490" s="12" t="s">
        <v>925</v>
      </c>
      <c r="D1490" s="14"/>
      <c r="E1490" s="157"/>
      <c r="F1490" s="10"/>
      <c r="G1490" s="17"/>
      <c r="H1490" s="10"/>
      <c r="I1490" s="17"/>
      <c r="J1490" s="83"/>
      <c r="K1490" s="343"/>
      <c r="L1490" s="347"/>
      <c r="M1490" s="89" t="s">
        <v>117</v>
      </c>
      <c r="N1490" s="10" t="s">
        <v>860</v>
      </c>
      <c r="O1490" s="22">
        <v>150</v>
      </c>
      <c r="P1490" s="36" t="s">
        <v>920</v>
      </c>
      <c r="Q1490" s="98" t="str">
        <f>IF(AND(Enginuity!$A$20&lt;&gt;"",
        UPPER(SUBSTITUTE(TRIM($E1481),CHAR(160),""))=
        UPPER(SUBSTITUTE(TRIM(Enginuity!$A$20),CHAR(160),""))),1,"")</f>
        <v/>
      </c>
      <c r="U1490" s="104" t="str">
        <f>IF(
  AND(
    TRIM(A1490)=TRIM(Enginuity!$A$1),
    TRIM(B1490)=TRIM(Enginuity!$A$17),
    Q1490&lt;&gt;"",
    Q1490&lt;&gt;0,
    OR(
      TRIM(C1490)=TRIM(Enginuity!$A$18),
      AND(UPPER(TRIM(M1490))="STD", TRIM(B1490)=TRIM(Enginuity!$A$17))
    ),
    OR(
      AND(LEFT(P1490,5)="1-Way", Enginuity!$B$13=1),
      AND(LEFT(P1490,5)="2-Way", OR(Enginuity!$B$13=2, Enginuity!$B$13=4)),
      AND(LEFT(P1490,5)="3-Way", OR(Enginuity!$B$13=3, Enginuity!$B$13=6)),
      AND(P1490="Inner Centre Jamb", OR(Enginuity!$B$13=4, Enginuity!$B$13=6)),
      AND(
        LEFT(P1490,5)&lt;&gt;"1-Way",
        LEFT(P1490,5)&lt;&gt;"2-Way",
        LEFT(P1490,5)&lt;&gt;"3-Way",
        P1490&lt;&gt;"Inner Centre Jamb"
      )
    ),
    IF(OR(Enginuity!$A$1="Frameless Glass",Enginuity!$A$1="Metal Work"),
      AND(TRIM(B1490)=TRIM(Enginuity!$A$17),TRIM(C1490)=TRIM(Enginuity!$A$18)),
      TRIM(B1490)=TRIM(Enginuity!$A$17)
    )
  ),
  ROW(),
  ""
)</f>
        <v/>
      </c>
    </row>
    <row r="1491" spans="1:21" x14ac:dyDescent="0.25">
      <c r="A1491" s="10" t="s">
        <v>795</v>
      </c>
      <c r="B1491" s="235" t="s">
        <v>924</v>
      </c>
      <c r="C1491" s="12" t="s">
        <v>925</v>
      </c>
      <c r="D1491" s="14"/>
      <c r="E1491" s="157"/>
      <c r="F1491" s="10"/>
      <c r="G1491" s="17"/>
      <c r="H1491" s="10"/>
      <c r="I1491" s="17"/>
      <c r="J1491" s="83"/>
      <c r="K1491" s="343"/>
      <c r="L1491" s="347"/>
      <c r="M1491" s="89" t="s">
        <v>117</v>
      </c>
      <c r="N1491" s="10" t="s">
        <v>860</v>
      </c>
      <c r="O1491" s="22">
        <v>150</v>
      </c>
      <c r="P1491" s="36" t="s">
        <v>921</v>
      </c>
      <c r="Q1491" s="98" t="str">
        <f>IF(AND(Enginuity!$A$20&lt;&gt;"",
        UPPER(SUBSTITUTE(TRIM($E1482),CHAR(160),""))=
        UPPER(SUBSTITUTE(TRIM(Enginuity!$A$20),CHAR(160),""))),1,"")</f>
        <v/>
      </c>
      <c r="U1491" s="104" t="str">
        <f>IF(
  AND(
    TRIM(A1491)=TRIM(Enginuity!$A$1),
    TRIM(B1491)=TRIM(Enginuity!$A$17),
    Q1491&lt;&gt;"",
    Q1491&lt;&gt;0,
    OR(
      TRIM(C1491)=TRIM(Enginuity!$A$18),
      AND(UPPER(TRIM(M1491))="STD", TRIM(B1491)=TRIM(Enginuity!$A$17))
    ),
    OR(
      AND(LEFT(P1491,5)="1-Way", Enginuity!$B$13=1),
      AND(LEFT(P1491,5)="2-Way", OR(Enginuity!$B$13=2, Enginuity!$B$13=4)),
      AND(LEFT(P1491,5)="3-Way", OR(Enginuity!$B$13=3, Enginuity!$B$13=6)),
      AND(P1491="Inner Centre Jamb", OR(Enginuity!$B$13=4, Enginuity!$B$13=6)),
      AND(
        LEFT(P1491,5)&lt;&gt;"1-Way",
        LEFT(P1491,5)&lt;&gt;"2-Way",
        LEFT(P1491,5)&lt;&gt;"3-Way",
        P1491&lt;&gt;"Inner Centre Jamb"
      )
    ),
    IF(OR(Enginuity!$A$1="Frameless Glass",Enginuity!$A$1="Metal Work"),
      AND(TRIM(B1491)=TRIM(Enginuity!$A$17),TRIM(C1491)=TRIM(Enginuity!$A$18)),
      TRIM(B1491)=TRIM(Enginuity!$A$17)
    )
  ),
  ROW(),
  ""
)</f>
        <v/>
      </c>
    </row>
    <row r="1492" spans="1:21" x14ac:dyDescent="0.25">
      <c r="A1492" s="10" t="s">
        <v>795</v>
      </c>
      <c r="B1492" s="235" t="s">
        <v>924</v>
      </c>
      <c r="C1492" s="12" t="s">
        <v>925</v>
      </c>
      <c r="D1492" s="14"/>
      <c r="E1492" s="157"/>
      <c r="F1492" s="10"/>
      <c r="G1492" s="17"/>
      <c r="H1492" s="10"/>
      <c r="I1492" s="17"/>
      <c r="J1492" s="83"/>
      <c r="K1492" s="343"/>
      <c r="L1492" s="347"/>
      <c r="M1492" s="89" t="s">
        <v>117</v>
      </c>
      <c r="N1492" s="10" t="s">
        <v>860</v>
      </c>
      <c r="O1492" s="22">
        <v>150</v>
      </c>
      <c r="P1492" s="36" t="s">
        <v>922</v>
      </c>
      <c r="Q1492" s="98" t="str">
        <f>IF(AND(Enginuity!$A$20&lt;&gt;"",
        UPPER(SUBSTITUTE(TRIM($E1483),CHAR(160),""))=
        UPPER(SUBSTITUTE(TRIM(Enginuity!$A$20),CHAR(160),""))),1,"")</f>
        <v/>
      </c>
      <c r="U1492" s="104" t="str">
        <f>IF(
  AND(
    TRIM(A1492)=TRIM(Enginuity!$A$1),
    TRIM(B1492)=TRIM(Enginuity!$A$17),
    Q1492&lt;&gt;"",
    Q1492&lt;&gt;0,
    OR(
      TRIM(C1492)=TRIM(Enginuity!$A$18),
      AND(UPPER(TRIM(M1492))="STD", TRIM(B1492)=TRIM(Enginuity!$A$17))
    ),
    OR(
      AND(LEFT(P1492,5)="1-Way", Enginuity!$B$13=1),
      AND(LEFT(P1492,5)="2-Way", OR(Enginuity!$B$13=2, Enginuity!$B$13=4)),
      AND(LEFT(P1492,5)="3-Way", OR(Enginuity!$B$13=3, Enginuity!$B$13=6)),
      AND(P1492="Inner Centre Jamb", OR(Enginuity!$B$13=4, Enginuity!$B$13=6)),
      AND(
        LEFT(P1492,5)&lt;&gt;"1-Way",
        LEFT(P1492,5)&lt;&gt;"2-Way",
        LEFT(P1492,5)&lt;&gt;"3-Way",
        P1492&lt;&gt;"Inner Centre Jamb"
      )
    ),
    IF(OR(Enginuity!$A$1="Frameless Glass",Enginuity!$A$1="Metal Work"),
      AND(TRIM(B1492)=TRIM(Enginuity!$A$17),TRIM(C1492)=TRIM(Enginuity!$A$18)),
      TRIM(B1492)=TRIM(Enginuity!$A$17)
    )
  ),
  ROW(),
  ""
)</f>
        <v/>
      </c>
    </row>
    <row r="1493" spans="1:21" x14ac:dyDescent="0.25">
      <c r="A1493" s="10" t="s">
        <v>795</v>
      </c>
      <c r="B1493" s="235" t="s">
        <v>924</v>
      </c>
      <c r="C1493" s="12" t="s">
        <v>925</v>
      </c>
      <c r="D1493" s="14"/>
      <c r="E1493" s="157"/>
      <c r="F1493" s="10"/>
      <c r="G1493" s="17"/>
      <c r="H1493" s="10"/>
      <c r="I1493" s="17"/>
      <c r="J1493" s="83"/>
      <c r="K1493" s="343"/>
      <c r="L1493" s="347"/>
      <c r="M1493" s="89" t="s">
        <v>117</v>
      </c>
      <c r="N1493" s="10" t="s">
        <v>860</v>
      </c>
      <c r="O1493" s="22">
        <v>250</v>
      </c>
      <c r="P1493" s="36" t="s">
        <v>923</v>
      </c>
      <c r="Q1493" s="98" t="str">
        <f>IF(AND(Enginuity!$A$20&lt;&gt;"",
        UPPER(SUBSTITUTE(TRIM($E1484),CHAR(160),""))=
        UPPER(SUBSTITUTE(TRIM(Enginuity!$A$20),CHAR(160),""))),1,"")</f>
        <v/>
      </c>
      <c r="U1493" s="104" t="str">
        <f>IF(
  AND(
    TRIM(A1493)=TRIM(Enginuity!$A$1),
    TRIM(B1493)=TRIM(Enginuity!$A$17),
    Q1493&lt;&gt;"",
    Q1493&lt;&gt;0,
    OR(
      TRIM(C1493)=TRIM(Enginuity!$A$18),
      AND(UPPER(TRIM(M1493))="STD", TRIM(B1493)=TRIM(Enginuity!$A$17))
    ),
    OR(
      AND(LEFT(P1493,5)="1-Way", Enginuity!$B$13=1),
      AND(LEFT(P1493,5)="2-Way", OR(Enginuity!$B$13=2, Enginuity!$B$13=4)),
      AND(LEFT(P1493,5)="3-Way", OR(Enginuity!$B$13=3, Enginuity!$B$13=6)),
      AND(P1493="Inner Centre Jamb", OR(Enginuity!$B$13=4, Enginuity!$B$13=6)),
      AND(
        LEFT(P1493,5)&lt;&gt;"1-Way",
        LEFT(P1493,5)&lt;&gt;"2-Way",
        LEFT(P1493,5)&lt;&gt;"3-Way",
        P1493&lt;&gt;"Inner Centre Jamb"
      )
    ),
    IF(OR(Enginuity!$A$1="Frameless Glass",Enginuity!$A$1="Metal Work"),
      AND(TRIM(B1493)=TRIM(Enginuity!$A$17),TRIM(C1493)=TRIM(Enginuity!$A$18)),
      TRIM(B1493)=TRIM(Enginuity!$A$17)
    )
  ),
  ROW(),
  ""
)</f>
        <v/>
      </c>
    </row>
    <row r="1494" spans="1:21" x14ac:dyDescent="0.25">
      <c r="A1494" s="10" t="s">
        <v>795</v>
      </c>
      <c r="B1494" s="235" t="s">
        <v>924</v>
      </c>
      <c r="C1494" s="12" t="s">
        <v>925</v>
      </c>
      <c r="D1494" s="14"/>
      <c r="E1494" s="157"/>
      <c r="F1494" s="10"/>
      <c r="G1494" s="17"/>
      <c r="H1494" s="10"/>
      <c r="I1494" s="17"/>
      <c r="J1494" s="83"/>
      <c r="K1494" s="343"/>
      <c r="L1494" s="347"/>
      <c r="M1494" s="89" t="s">
        <v>117</v>
      </c>
      <c r="N1494" s="10" t="s">
        <v>859</v>
      </c>
      <c r="O1494" s="22">
        <v>25</v>
      </c>
      <c r="P1494" s="36" t="s">
        <v>926</v>
      </c>
      <c r="Q1494" s="98"/>
      <c r="U1494" s="104" t="str">
        <f>IF(
  AND(
    TRIM(A1494)=TRIM(Enginuity!$A$1),
    TRIM(B1494)=TRIM(Enginuity!$A$17),
    Q1494&lt;&gt;"",
    Q1494&lt;&gt;0,
    OR(
      TRIM(C1494)=TRIM(Enginuity!$A$18),
      AND(UPPER(TRIM(M1494))="STD", TRIM(B1494)=TRIM(Enginuity!$A$17))
    ),
    OR(
      AND(LEFT(P1494,5)="1-Way", Enginuity!$B$13=1),
      AND(LEFT(P1494,5)="2-Way", OR(Enginuity!$B$13=2, Enginuity!$B$13=4)),
      AND(LEFT(P1494,5)="3-Way", OR(Enginuity!$B$13=3, Enginuity!$B$13=6)),
      AND(P1494="Inner Centre Jamb", OR(Enginuity!$B$13=4, Enginuity!$B$13=6)),
      AND(
        LEFT(P1494,5)&lt;&gt;"1-Way",
        LEFT(P1494,5)&lt;&gt;"2-Way",
        LEFT(P1494,5)&lt;&gt;"3-Way",
        P1494&lt;&gt;"Inner Centre Jamb"
      )
    ),
    IF(OR(Enginuity!$A$1="Frameless Glass",Enginuity!$A$1="Metal Work"),
      AND(TRIM(B1494)=TRIM(Enginuity!$A$17),TRIM(C1494)=TRIM(Enginuity!$A$18)),
      TRIM(B1494)=TRIM(Enginuity!$A$17)
    )
  ),
  ROW(),
  ""
)</f>
        <v/>
      </c>
    </row>
    <row r="1495" spans="1:21" x14ac:dyDescent="0.25">
      <c r="A1495" s="10"/>
      <c r="B1495" s="235"/>
      <c r="C1495" s="12"/>
      <c r="D1495" s="14"/>
      <c r="E1495" s="157"/>
      <c r="F1495" s="10"/>
      <c r="G1495" s="17"/>
      <c r="H1495" s="10"/>
      <c r="I1495" s="17"/>
      <c r="J1495" s="83"/>
      <c r="K1495" s="343"/>
      <c r="L1495" s="347"/>
      <c r="M1495" s="89"/>
      <c r="N1495" s="10"/>
      <c r="O1495" s="22"/>
      <c r="P1495" s="36"/>
      <c r="Q1495" s="98"/>
      <c r="U1495" s="104" t="str">
        <f>IF(
  AND(
    TRIM(A1495)=TRIM(Enginuity!$A$1),
    TRIM(B1495)=TRIM(Enginuity!$A$17),
    Q1495&lt;&gt;"",
    Q1495&lt;&gt;0,
    OR(
      TRIM(C1495)=TRIM(Enginuity!$A$18),
      AND(UPPER(TRIM(M1495))="STD", TRIM(B1495)=TRIM(Enginuity!$A$17))
    ),
    OR(
      AND(LEFT(P1495,5)="1-Way", Enginuity!$B$13=1),
      AND(LEFT(P1495,5)="2-Way", OR(Enginuity!$B$13=2, Enginuity!$B$13=4)),
      AND(LEFT(P1495,5)="3-Way", OR(Enginuity!$B$13=3, Enginuity!$B$13=6)),
      AND(P1495="Inner Centre Jamb", OR(Enginuity!$B$13=4, Enginuity!$B$13=6)),
      AND(
        LEFT(P1495,5)&lt;&gt;"1-Way",
        LEFT(P1495,5)&lt;&gt;"2-Way",
        LEFT(P1495,5)&lt;&gt;"3-Way",
        P1495&lt;&gt;"Inner Centre Jamb"
      )
    ),
    IF(OR(Enginuity!$A$1="Frameless Glass",Enginuity!$A$1="Metal Work"),
      AND(TRIM(B1495)=TRIM(Enginuity!$A$17),TRIM(C1495)=TRIM(Enginuity!$A$18)),
      TRIM(B1495)=TRIM(Enginuity!$A$17)
    )
  ),
  ROW(),
  ""
)</f>
        <v/>
      </c>
    </row>
    <row r="1496" spans="1:21" x14ac:dyDescent="0.25">
      <c r="A1496" s="10"/>
      <c r="B1496" s="235"/>
      <c r="C1496" s="12"/>
      <c r="D1496" s="14"/>
      <c r="E1496" s="157"/>
      <c r="F1496" s="10"/>
      <c r="G1496" s="17"/>
      <c r="H1496" s="10"/>
      <c r="I1496" s="17"/>
      <c r="J1496" s="83"/>
      <c r="K1496" s="343"/>
      <c r="L1496" s="347"/>
      <c r="M1496" s="89"/>
      <c r="N1496" s="10"/>
      <c r="O1496" s="22"/>
      <c r="P1496" s="36"/>
      <c r="Q1496" s="98"/>
      <c r="U1496" s="104" t="str">
        <f>IF(
  AND(
    TRIM(A1496)=TRIM(Enginuity!$A$1),
    TRIM(B1496)=TRIM(Enginuity!$A$17),
    Q1496&lt;&gt;"",
    Q1496&lt;&gt;0,
    OR(
      TRIM(C1496)=TRIM(Enginuity!$A$18),
      AND(UPPER(TRIM(M1496))="STD", TRIM(B1496)=TRIM(Enginuity!$A$17))
    ),
    OR(
      AND(LEFT(P1496,5)="1-Way", Enginuity!$B$13=1),
      AND(LEFT(P1496,5)="2-Way", OR(Enginuity!$B$13=2, Enginuity!$B$13=4)),
      AND(LEFT(P1496,5)="3-Way", OR(Enginuity!$B$13=3, Enginuity!$B$13=6)),
      AND(P1496="Inner Centre Jamb", OR(Enginuity!$B$13=4, Enginuity!$B$13=6)),
      AND(
        LEFT(P1496,5)&lt;&gt;"1-Way",
        LEFT(P1496,5)&lt;&gt;"2-Way",
        LEFT(P1496,5)&lt;&gt;"3-Way",
        P1496&lt;&gt;"Inner Centre Jamb"
      )
    ),
    IF(OR(Enginuity!$A$1="Frameless Glass",Enginuity!$A$1="Metal Work"),
      AND(TRIM(B1496)=TRIM(Enginuity!$A$17),TRIM(C1496)=TRIM(Enginuity!$A$18)),
      TRIM(B1496)=TRIM(Enginuity!$A$17)
    )
  ),
  ROW(),
  ""
)</f>
        <v/>
      </c>
    </row>
    <row r="1497" spans="1:21" x14ac:dyDescent="0.25">
      <c r="A1497" s="101"/>
      <c r="B1497" s="236"/>
      <c r="C1497" s="100"/>
      <c r="D1497" s="150"/>
      <c r="E1497" s="167"/>
      <c r="F1497" s="101"/>
      <c r="G1497" s="17"/>
      <c r="H1497" s="101"/>
      <c r="I1497" s="17"/>
      <c r="J1497" s="151"/>
      <c r="K1497" s="343"/>
      <c r="L1497" s="347"/>
      <c r="M1497" s="152"/>
      <c r="N1497" s="101"/>
      <c r="O1497" s="154"/>
      <c r="P1497" s="200"/>
      <c r="Q1497" s="201"/>
      <c r="U1497" s="104" t="str">
        <f>IF(
  AND(
    TRIM(A1497)=TRIM(Enginuity!$A$1),
    TRIM(B1497)=TRIM(Enginuity!$A$17),
    Q1497&lt;&gt;"",
    Q1497&lt;&gt;0,
    OR(
      TRIM(C1497)=TRIM(Enginuity!$A$18),
      AND(UPPER(TRIM(M1497))="STD", TRIM(B1497)=TRIM(Enginuity!$A$17))
    ),
    OR(
      AND(LEFT(P1497,5)="1-Way", Enginuity!$B$13=1),
      AND(LEFT(P1497,5)="2-Way", OR(Enginuity!$B$13=2, Enginuity!$B$13=4)),
      AND(LEFT(P1497,5)="3-Way", OR(Enginuity!$B$13=3, Enginuity!$B$13=6)),
      AND(P1497="Inner Centre Jamb", OR(Enginuity!$B$13=4, Enginuity!$B$13=6)),
      AND(
        LEFT(P1497,5)&lt;&gt;"1-Way",
        LEFT(P1497,5)&lt;&gt;"2-Way",
        LEFT(P1497,5)&lt;&gt;"3-Way",
        P1497&lt;&gt;"Inner Centre Jamb"
      )
    ),
    IF(OR(Enginuity!$A$1="Frameless Glass",Enginuity!$A$1="Metal Work"),
      AND(TRIM(B1497)=TRIM(Enginuity!$A$17),TRIM(C1497)=TRIM(Enginuity!$A$18)),
      TRIM(B1497)=TRIM(Enginuity!$A$17)
    )
  ),
  ROW(),
  ""
)</f>
        <v/>
      </c>
    </row>
    <row r="1498" spans="1:21" x14ac:dyDescent="0.25">
      <c r="A1498" s="10" t="s">
        <v>795</v>
      </c>
      <c r="B1498" s="235" t="s">
        <v>940</v>
      </c>
      <c r="C1498" s="107" t="str">
        <f>P1503</f>
        <v>Transportation – W. Persekutuan/Selangor</v>
      </c>
      <c r="D1498" s="107" t="str">
        <f>P1500</f>
        <v>Transformer 100W (AC110/220V 50/60Hz)</v>
      </c>
      <c r="E1498" s="242" t="str">
        <f>P1498</f>
        <v>Smart Film</v>
      </c>
      <c r="F1498" s="106" t="str">
        <f>P1512</f>
        <v>Accommodation</v>
      </c>
      <c r="G1498" s="38" t="str">
        <f>P1513</f>
        <v>Labour Charge</v>
      </c>
      <c r="H1498" s="10"/>
      <c r="I1498" s="17"/>
      <c r="J1498" s="83"/>
      <c r="K1498" s="344">
        <v>0</v>
      </c>
      <c r="L1498" s="347">
        <f>IF(OR(Enginuity!$B$6="",Enginuity!$B$7=""),"",2*(Enginuity!$B$6+Enginuity!$B$7))</f>
        <v>66</v>
      </c>
      <c r="M1498" s="89" t="s">
        <v>117</v>
      </c>
      <c r="N1498" s="10" t="s">
        <v>121</v>
      </c>
      <c r="O1498" s="22">
        <v>89</v>
      </c>
      <c r="P1498" s="107" t="s">
        <v>941</v>
      </c>
      <c r="Q1498" s="98">
        <v>1</v>
      </c>
      <c r="U1498" s="104" t="str">
        <f>IF(
  AND(
    TRIM(A1498)=TRIM(Enginuity!$A$1),
    TRIM(B1498)=TRIM(Enginuity!$A$17),
    Q1498&lt;&gt;"",
    Q1498&lt;&gt;0,
    OR(
      TRIM(C1498)=TRIM(Enginuity!$A$18),
      AND(UPPER(TRIM(M1498))="STD", TRIM(B1498)=TRIM(Enginuity!$A$17))
    ),
    OR(
      AND(LEFT(P1498,5)="1-Way", Enginuity!$B$13=1),
      AND(LEFT(P1498,5)="2-Way", OR(Enginuity!$B$13=2, Enginuity!$B$13=4)),
      AND(LEFT(P1498,5)="3-Way", OR(Enginuity!$B$13=3, Enginuity!$B$13=6)),
      AND(P1498="Inner Centre Jamb", OR(Enginuity!$B$13=4, Enginuity!$B$13=6)),
      AND(
        LEFT(P1498,5)&lt;&gt;"1-Way",
        LEFT(P1498,5)&lt;&gt;"2-Way",
        LEFT(P1498,5)&lt;&gt;"3-Way",
        P1498&lt;&gt;"Inner Centre Jamb"
      )
    ),
    IF(OR(Enginuity!$A$1="Frameless Glass",Enginuity!$A$1="Metal Work"),
      AND(TRIM(B1498)=TRIM(Enginuity!$A$17),TRIM(C1498)=TRIM(Enginuity!$A$18)),
      TRIM(B1498)=TRIM(Enginuity!$A$17)
    )
  ),
  ROW(),
  ""
)</f>
        <v/>
      </c>
    </row>
    <row r="1499" spans="1:21" x14ac:dyDescent="0.25">
      <c r="A1499" s="10" t="s">
        <v>795</v>
      </c>
      <c r="B1499" s="235" t="s">
        <v>940</v>
      </c>
      <c r="C1499" s="107" t="str">
        <f t="shared" ref="C1499:C1506" si="30">P1504</f>
        <v>Transportation – Seremban</v>
      </c>
      <c r="D1499" s="107" t="str">
        <f t="shared" ref="D1499:D1500" si="31">P1501</f>
        <v>Transformer 200W (AC110/220V 50/60Hz)</v>
      </c>
      <c r="E1499" s="242" t="str">
        <f>P1499</f>
        <v>Smart Glass</v>
      </c>
      <c r="F1499" s="14"/>
      <c r="G1499" s="38"/>
      <c r="H1499" s="10"/>
      <c r="I1499" s="17"/>
      <c r="J1499" s="83"/>
      <c r="K1499" s="343"/>
      <c r="L1499" s="347"/>
      <c r="M1499" s="89" t="s">
        <v>117</v>
      </c>
      <c r="N1499" s="10" t="s">
        <v>121</v>
      </c>
      <c r="O1499" s="22">
        <v>199</v>
      </c>
      <c r="P1499" s="107" t="s">
        <v>942</v>
      </c>
      <c r="Q1499" s="98">
        <v>1</v>
      </c>
      <c r="U1499" s="104" t="str">
        <f>IF(
  AND(
    TRIM(A1499)=TRIM(Enginuity!$A$1),
    TRIM(B1499)=TRIM(Enginuity!$A$17),
    Q1499&lt;&gt;"",
    Q1499&lt;&gt;0,
    OR(
      TRIM(C1499)=TRIM(Enginuity!$A$18),
      AND(UPPER(TRIM(M1499))="STD", TRIM(B1499)=TRIM(Enginuity!$A$17))
    ),
    OR(
      AND(LEFT(P1499,5)="1-Way", Enginuity!$B$13=1),
      AND(LEFT(P1499,5)="2-Way", OR(Enginuity!$B$13=2, Enginuity!$B$13=4)),
      AND(LEFT(P1499,5)="3-Way", OR(Enginuity!$B$13=3, Enginuity!$B$13=6)),
      AND(P1499="Inner Centre Jamb", OR(Enginuity!$B$13=4, Enginuity!$B$13=6)),
      AND(
        LEFT(P1499,5)&lt;&gt;"1-Way",
        LEFT(P1499,5)&lt;&gt;"2-Way",
        LEFT(P1499,5)&lt;&gt;"3-Way",
        P1499&lt;&gt;"Inner Centre Jamb"
      )
    ),
    IF(OR(Enginuity!$A$1="Frameless Glass",Enginuity!$A$1="Metal Work"),
      AND(TRIM(B1499)=TRIM(Enginuity!$A$17),TRIM(C1499)=TRIM(Enginuity!$A$18)),
      TRIM(B1499)=TRIM(Enginuity!$A$17)
    )
  ),
  ROW(),
  ""
)</f>
        <v/>
      </c>
    </row>
    <row r="1500" spans="1:21" x14ac:dyDescent="0.25">
      <c r="A1500" s="10" t="s">
        <v>795</v>
      </c>
      <c r="B1500" s="235" t="s">
        <v>940</v>
      </c>
      <c r="C1500" s="107" t="str">
        <f t="shared" si="30"/>
        <v>Transportation – Perak/Melaka</v>
      </c>
      <c r="D1500" s="107" t="str">
        <f t="shared" si="31"/>
        <v>Transformer 300W (AC110/220V 50/60Hz)</v>
      </c>
      <c r="E1500" s="242"/>
      <c r="F1500" s="14"/>
      <c r="G1500" s="38"/>
      <c r="H1500" s="10"/>
      <c r="I1500" s="17"/>
      <c r="J1500" s="83"/>
      <c r="K1500" s="343"/>
      <c r="L1500" s="347"/>
      <c r="M1500" s="89" t="s">
        <v>117</v>
      </c>
      <c r="N1500" s="10" t="s">
        <v>957</v>
      </c>
      <c r="O1500" s="22">
        <v>380</v>
      </c>
      <c r="P1500" s="107" t="s">
        <v>943</v>
      </c>
      <c r="Q1500" s="98">
        <v>1</v>
      </c>
      <c r="U1500" s="104" t="str">
        <f>IF(
  AND(
    TRIM(A1500)=TRIM(Enginuity!$A$1),
    TRIM(B1500)=TRIM(Enginuity!$A$17),
    Q1500&lt;&gt;"",
    Q1500&lt;&gt;0,
    OR(
      TRIM(C1500)=TRIM(Enginuity!$A$18),
      AND(UPPER(TRIM(M1500))="STD", TRIM(B1500)=TRIM(Enginuity!$A$17))
    ),
    OR(
      AND(LEFT(P1500,5)="1-Way", Enginuity!$B$13=1),
      AND(LEFT(P1500,5)="2-Way", OR(Enginuity!$B$13=2, Enginuity!$B$13=4)),
      AND(LEFT(P1500,5)="3-Way", OR(Enginuity!$B$13=3, Enginuity!$B$13=6)),
      AND(P1500="Inner Centre Jamb", OR(Enginuity!$B$13=4, Enginuity!$B$13=6)),
      AND(
        LEFT(P1500,5)&lt;&gt;"1-Way",
        LEFT(P1500,5)&lt;&gt;"2-Way",
        LEFT(P1500,5)&lt;&gt;"3-Way",
        P1500&lt;&gt;"Inner Centre Jamb"
      )
    ),
    IF(OR(Enginuity!$A$1="Frameless Glass",Enginuity!$A$1="Metal Work"),
      AND(TRIM(B1500)=TRIM(Enginuity!$A$17),TRIM(C1500)=TRIM(Enginuity!$A$18)),
      TRIM(B1500)=TRIM(Enginuity!$A$17)
    )
  ),
  ROW(),
  ""
)</f>
        <v/>
      </c>
    </row>
    <row r="1501" spans="1:21" x14ac:dyDescent="0.25">
      <c r="A1501" s="10" t="s">
        <v>795</v>
      </c>
      <c r="B1501" s="235" t="s">
        <v>940</v>
      </c>
      <c r="C1501" s="107" t="str">
        <f t="shared" si="30"/>
        <v>Transportation – Kuantan</v>
      </c>
      <c r="D1501" s="107"/>
      <c r="E1501" s="242"/>
      <c r="F1501" s="14"/>
      <c r="G1501" s="18"/>
      <c r="H1501" s="10"/>
      <c r="I1501" s="17"/>
      <c r="J1501" s="83"/>
      <c r="K1501" s="343"/>
      <c r="L1501" s="347"/>
      <c r="M1501" s="89" t="s">
        <v>117</v>
      </c>
      <c r="N1501" s="10" t="s">
        <v>957</v>
      </c>
      <c r="O1501" s="22">
        <v>580</v>
      </c>
      <c r="P1501" s="107" t="s">
        <v>944</v>
      </c>
      <c r="Q1501" s="22">
        <v>1</v>
      </c>
      <c r="U1501" s="104" t="str">
        <f>IF(
  AND(
    TRIM(A1501)=TRIM(Enginuity!$A$1),
    TRIM(B1501)=TRIM(Enginuity!$A$17),
    Q1501&lt;&gt;"",
    Q1501&lt;&gt;0,
    OR(
      TRIM(C1501)=TRIM(Enginuity!$A$18),
      AND(UPPER(TRIM(M1501))="STD", TRIM(B1501)=TRIM(Enginuity!$A$17))
    ),
    OR(
      AND(LEFT(P1501,5)="1-Way", Enginuity!$B$13=1),
      AND(LEFT(P1501,5)="2-Way", OR(Enginuity!$B$13=2, Enginuity!$B$13=4)),
      AND(LEFT(P1501,5)="3-Way", OR(Enginuity!$B$13=3, Enginuity!$B$13=6)),
      AND(P1501="Inner Centre Jamb", OR(Enginuity!$B$13=4, Enginuity!$B$13=6)),
      AND(
        LEFT(P1501,5)&lt;&gt;"1-Way",
        LEFT(P1501,5)&lt;&gt;"2-Way",
        LEFT(P1501,5)&lt;&gt;"3-Way",
        P1501&lt;&gt;"Inner Centre Jamb"
      )
    ),
    IF(OR(Enginuity!$A$1="Frameless Glass",Enginuity!$A$1="Metal Work"),
      AND(TRIM(B1501)=TRIM(Enginuity!$A$17),TRIM(C1501)=TRIM(Enginuity!$A$18)),
      TRIM(B1501)=TRIM(Enginuity!$A$17)
    )
  ),
  ROW(),
  ""
)</f>
        <v/>
      </c>
    </row>
    <row r="1502" spans="1:21" x14ac:dyDescent="0.25">
      <c r="A1502" s="10" t="s">
        <v>795</v>
      </c>
      <c r="B1502" s="235" t="s">
        <v>940</v>
      </c>
      <c r="C1502" s="107" t="str">
        <f t="shared" si="30"/>
        <v>Transportation – Penang/Johor Bahru</v>
      </c>
      <c r="D1502" s="107"/>
      <c r="E1502" s="242"/>
      <c r="F1502" s="21"/>
      <c r="G1502" s="18"/>
      <c r="H1502" s="10"/>
      <c r="I1502" s="17"/>
      <c r="J1502" s="83"/>
      <c r="K1502" s="343"/>
      <c r="L1502" s="347"/>
      <c r="M1502" s="89" t="s">
        <v>117</v>
      </c>
      <c r="N1502" s="10" t="s">
        <v>957</v>
      </c>
      <c r="O1502" s="22">
        <v>780</v>
      </c>
      <c r="P1502" s="107" t="s">
        <v>945</v>
      </c>
      <c r="Q1502" s="22">
        <v>1</v>
      </c>
      <c r="U1502" s="104" t="str">
        <f>IF(
  AND(
    TRIM(A1502)=TRIM(Enginuity!$A$1),
    TRIM(B1502)=TRIM(Enginuity!$A$17),
    Q1502&lt;&gt;"",
    Q1502&lt;&gt;0,
    OR(
      TRIM(C1502)=TRIM(Enginuity!$A$18),
      AND(UPPER(TRIM(M1502))="STD", TRIM(B1502)=TRIM(Enginuity!$A$17))
    ),
    OR(
      AND(LEFT(P1502,5)="1-Way", Enginuity!$B$13=1),
      AND(LEFT(P1502,5)="2-Way", OR(Enginuity!$B$13=2, Enginuity!$B$13=4)),
      AND(LEFT(P1502,5)="3-Way", OR(Enginuity!$B$13=3, Enginuity!$B$13=6)),
      AND(P1502="Inner Centre Jamb", OR(Enginuity!$B$13=4, Enginuity!$B$13=6)),
      AND(
        LEFT(P1502,5)&lt;&gt;"1-Way",
        LEFT(P1502,5)&lt;&gt;"2-Way",
        LEFT(P1502,5)&lt;&gt;"3-Way",
        P1502&lt;&gt;"Inner Centre Jamb"
      )
    ),
    IF(OR(Enginuity!$A$1="Frameless Glass",Enginuity!$A$1="Metal Work"),
      AND(TRIM(B1502)=TRIM(Enginuity!$A$17),TRIM(C1502)=TRIM(Enginuity!$A$18)),
      TRIM(B1502)=TRIM(Enginuity!$A$17)
    )
  ),
  ROW(),
  ""
)</f>
        <v/>
      </c>
    </row>
    <row r="1503" spans="1:21" x14ac:dyDescent="0.25">
      <c r="A1503" s="10" t="s">
        <v>795</v>
      </c>
      <c r="B1503" s="235" t="s">
        <v>940</v>
      </c>
      <c r="C1503" s="107" t="str">
        <f t="shared" si="30"/>
        <v>Transportation – Kedah/Kuala Terengganu</v>
      </c>
      <c r="D1503" s="14"/>
      <c r="E1503" s="242"/>
      <c r="F1503" s="21"/>
      <c r="G1503" s="92"/>
      <c r="H1503" s="10"/>
      <c r="I1503" s="17"/>
      <c r="J1503" s="83"/>
      <c r="K1503" s="343"/>
      <c r="L1503" s="347"/>
      <c r="M1503" s="89" t="s">
        <v>117</v>
      </c>
      <c r="N1503" s="10" t="s">
        <v>958</v>
      </c>
      <c r="O1503" s="22">
        <v>50</v>
      </c>
      <c r="P1503" s="107" t="s">
        <v>946</v>
      </c>
      <c r="Q1503" s="22">
        <v>1</v>
      </c>
      <c r="U1503" s="104" t="str">
        <f>IF(
  AND(
    TRIM(A1503)=TRIM(Enginuity!$A$1),
    TRIM(B1503)=TRIM(Enginuity!$A$17),
    Q1503&lt;&gt;"",
    Q1503&lt;&gt;0,
    OR(
      TRIM(C1503)=TRIM(Enginuity!$A$18),
      AND(UPPER(TRIM(M1503))="STD", TRIM(B1503)=TRIM(Enginuity!$A$17))
    ),
    OR(
      AND(LEFT(P1503,5)="1-Way", Enginuity!$B$13=1),
      AND(LEFT(P1503,5)="2-Way", OR(Enginuity!$B$13=2, Enginuity!$B$13=4)),
      AND(LEFT(P1503,5)="3-Way", OR(Enginuity!$B$13=3, Enginuity!$B$13=6)),
      AND(P1503="Inner Centre Jamb", OR(Enginuity!$B$13=4, Enginuity!$B$13=6)),
      AND(
        LEFT(P1503,5)&lt;&gt;"1-Way",
        LEFT(P1503,5)&lt;&gt;"2-Way",
        LEFT(P1503,5)&lt;&gt;"3-Way",
        P1503&lt;&gt;"Inner Centre Jamb"
      )
    ),
    IF(OR(Enginuity!$A$1="Frameless Glass",Enginuity!$A$1="Metal Work"),
      AND(TRIM(B1503)=TRIM(Enginuity!$A$17),TRIM(C1503)=TRIM(Enginuity!$A$18)),
      TRIM(B1503)=TRIM(Enginuity!$A$17)
    )
  ),
  ROW(),
  ""
)</f>
        <v/>
      </c>
    </row>
    <row r="1504" spans="1:21" x14ac:dyDescent="0.25">
      <c r="A1504" s="10" t="s">
        <v>795</v>
      </c>
      <c r="B1504" s="235" t="s">
        <v>940</v>
      </c>
      <c r="C1504" s="107" t="str">
        <f t="shared" si="30"/>
        <v>Transportation – Perlis</v>
      </c>
      <c r="D1504" s="14"/>
      <c r="E1504" s="242"/>
      <c r="F1504" s="21"/>
      <c r="G1504" s="18"/>
      <c r="H1504" s="10"/>
      <c r="I1504" s="17"/>
      <c r="J1504" s="83"/>
      <c r="K1504" s="343"/>
      <c r="L1504" s="347"/>
      <c r="M1504" s="89" t="s">
        <v>117</v>
      </c>
      <c r="N1504" s="10" t="s">
        <v>958</v>
      </c>
      <c r="O1504" s="22">
        <v>250</v>
      </c>
      <c r="P1504" s="107" t="s">
        <v>947</v>
      </c>
      <c r="Q1504" s="22">
        <v>1</v>
      </c>
      <c r="U1504" s="104" t="str">
        <f>IF(
  AND(
    TRIM(A1504)=TRIM(Enginuity!$A$1),
    TRIM(B1504)=TRIM(Enginuity!$A$17),
    Q1504&lt;&gt;"",
    Q1504&lt;&gt;0,
    OR(
      TRIM(C1504)=TRIM(Enginuity!$A$18),
      AND(UPPER(TRIM(M1504))="STD", TRIM(B1504)=TRIM(Enginuity!$A$17))
    ),
    OR(
      AND(LEFT(P1504,5)="1-Way", Enginuity!$B$13=1),
      AND(LEFT(P1504,5)="2-Way", OR(Enginuity!$B$13=2, Enginuity!$B$13=4)),
      AND(LEFT(P1504,5)="3-Way", OR(Enginuity!$B$13=3, Enginuity!$B$13=6)),
      AND(P1504="Inner Centre Jamb", OR(Enginuity!$B$13=4, Enginuity!$B$13=6)),
      AND(
        LEFT(P1504,5)&lt;&gt;"1-Way",
        LEFT(P1504,5)&lt;&gt;"2-Way",
        LEFT(P1504,5)&lt;&gt;"3-Way",
        P1504&lt;&gt;"Inner Centre Jamb"
      )
    ),
    IF(OR(Enginuity!$A$1="Frameless Glass",Enginuity!$A$1="Metal Work"),
      AND(TRIM(B1504)=TRIM(Enginuity!$A$17),TRIM(C1504)=TRIM(Enginuity!$A$18)),
      TRIM(B1504)=TRIM(Enginuity!$A$17)
    )
  ),
  ROW(),
  ""
)</f>
        <v/>
      </c>
    </row>
    <row r="1505" spans="1:21" x14ac:dyDescent="0.25">
      <c r="A1505" s="10" t="s">
        <v>795</v>
      </c>
      <c r="B1505" s="235" t="s">
        <v>940</v>
      </c>
      <c r="C1505" s="107" t="str">
        <f t="shared" si="30"/>
        <v>Transportation – Kelantan</v>
      </c>
      <c r="D1505" s="14"/>
      <c r="E1505" s="242"/>
      <c r="F1505" s="10"/>
      <c r="G1505" s="18"/>
      <c r="H1505" s="10"/>
      <c r="I1505" s="17"/>
      <c r="J1505" s="83"/>
      <c r="K1505" s="343"/>
      <c r="L1505" s="347"/>
      <c r="M1505" s="89" t="s">
        <v>117</v>
      </c>
      <c r="N1505" s="10" t="s">
        <v>958</v>
      </c>
      <c r="O1505" s="22">
        <v>500</v>
      </c>
      <c r="P1505" s="107" t="s">
        <v>948</v>
      </c>
      <c r="Q1505" s="22">
        <v>1</v>
      </c>
      <c r="U1505" s="104" t="str">
        <f>IF(
  AND(
    TRIM(A1505)=TRIM(Enginuity!$A$1),
    TRIM(B1505)=TRIM(Enginuity!$A$17),
    Q1505&lt;&gt;"",
    Q1505&lt;&gt;0,
    OR(
      TRIM(C1505)=TRIM(Enginuity!$A$18),
      AND(UPPER(TRIM(M1505))="STD", TRIM(B1505)=TRIM(Enginuity!$A$17))
    ),
    OR(
      AND(LEFT(P1505,5)="1-Way", Enginuity!$B$13=1),
      AND(LEFT(P1505,5)="2-Way", OR(Enginuity!$B$13=2, Enginuity!$B$13=4)),
      AND(LEFT(P1505,5)="3-Way", OR(Enginuity!$B$13=3, Enginuity!$B$13=6)),
      AND(P1505="Inner Centre Jamb", OR(Enginuity!$B$13=4, Enginuity!$B$13=6)),
      AND(
        LEFT(P1505,5)&lt;&gt;"1-Way",
        LEFT(P1505,5)&lt;&gt;"2-Way",
        LEFT(P1505,5)&lt;&gt;"3-Way",
        P1505&lt;&gt;"Inner Centre Jamb"
      )
    ),
    IF(OR(Enginuity!$A$1="Frameless Glass",Enginuity!$A$1="Metal Work"),
      AND(TRIM(B1505)=TRIM(Enginuity!$A$17),TRIM(C1505)=TRIM(Enginuity!$A$18)),
      TRIM(B1505)=TRIM(Enginuity!$A$17)
    )
  ),
  ROW(),
  ""
)</f>
        <v/>
      </c>
    </row>
    <row r="1506" spans="1:21" x14ac:dyDescent="0.25">
      <c r="A1506" s="10" t="s">
        <v>795</v>
      </c>
      <c r="B1506" s="235" t="s">
        <v>940</v>
      </c>
      <c r="C1506" s="107" t="str">
        <f t="shared" si="30"/>
        <v>Transportation – Sabah/Sarawak</v>
      </c>
      <c r="D1506" s="14"/>
      <c r="E1506" s="242"/>
      <c r="F1506" s="14"/>
      <c r="G1506" s="17"/>
      <c r="H1506" s="10"/>
      <c r="I1506" s="17"/>
      <c r="J1506" s="83"/>
      <c r="K1506" s="343"/>
      <c r="L1506" s="347"/>
      <c r="M1506" s="89" t="s">
        <v>117</v>
      </c>
      <c r="N1506" s="10" t="s">
        <v>958</v>
      </c>
      <c r="O1506" s="22">
        <v>700</v>
      </c>
      <c r="P1506" s="107" t="s">
        <v>949</v>
      </c>
      <c r="Q1506" s="22">
        <v>1</v>
      </c>
      <c r="U1506" s="104" t="str">
        <f>IF(
  AND(
    TRIM(A1506)=TRIM(Enginuity!$A$1),
    TRIM(B1506)=TRIM(Enginuity!$A$17),
    Q1506&lt;&gt;"",
    Q1506&lt;&gt;0,
    OR(
      TRIM(C1506)=TRIM(Enginuity!$A$18),
      AND(UPPER(TRIM(M1506))="STD", TRIM(B1506)=TRIM(Enginuity!$A$17))
    ),
    OR(
      AND(LEFT(P1506,5)="1-Way", Enginuity!$B$13=1),
      AND(LEFT(P1506,5)="2-Way", OR(Enginuity!$B$13=2, Enginuity!$B$13=4)),
      AND(LEFT(P1506,5)="3-Way", OR(Enginuity!$B$13=3, Enginuity!$B$13=6)),
      AND(P1506="Inner Centre Jamb", OR(Enginuity!$B$13=4, Enginuity!$B$13=6)),
      AND(
        LEFT(P1506,5)&lt;&gt;"1-Way",
        LEFT(P1506,5)&lt;&gt;"2-Way",
        LEFT(P1506,5)&lt;&gt;"3-Way",
        P1506&lt;&gt;"Inner Centre Jamb"
      )
    ),
    IF(OR(Enginuity!$A$1="Frameless Glass",Enginuity!$A$1="Metal Work"),
      AND(TRIM(B1506)=TRIM(Enginuity!$A$17),TRIM(C1506)=TRIM(Enginuity!$A$18)),
      TRIM(B1506)=TRIM(Enginuity!$A$17)
    )
  ),
  ROW(),
  ""
)</f>
        <v/>
      </c>
    </row>
    <row r="1507" spans="1:21" x14ac:dyDescent="0.25">
      <c r="A1507" s="10" t="s">
        <v>795</v>
      </c>
      <c r="B1507" s="235" t="s">
        <v>940</v>
      </c>
      <c r="C1507" s="14"/>
      <c r="D1507" s="107"/>
      <c r="E1507" s="157"/>
      <c r="F1507" s="10"/>
      <c r="G1507" s="17"/>
      <c r="H1507" s="10"/>
      <c r="I1507" s="17"/>
      <c r="J1507" s="83"/>
      <c r="K1507" s="343"/>
      <c r="L1507" s="347"/>
      <c r="M1507" s="89" t="s">
        <v>117</v>
      </c>
      <c r="N1507" s="10" t="s">
        <v>958</v>
      </c>
      <c r="O1507" s="22">
        <v>800</v>
      </c>
      <c r="P1507" s="107" t="s">
        <v>950</v>
      </c>
      <c r="Q1507" s="22">
        <v>1</v>
      </c>
      <c r="U1507" s="104" t="str">
        <f>IF(
  AND(
    TRIM(A1507)=TRIM(Enginuity!$A$1),
    TRIM(B1507)=TRIM(Enginuity!$A$17),
    Q1507&lt;&gt;"",
    Q1507&lt;&gt;0,
    OR(
      TRIM(C1507)=TRIM(Enginuity!$A$18),
      AND(UPPER(TRIM(M1507))="STD", TRIM(B1507)=TRIM(Enginuity!$A$17))
    ),
    OR(
      AND(LEFT(P1507,5)="1-Way", Enginuity!$B$13=1),
      AND(LEFT(P1507,5)="2-Way", OR(Enginuity!$B$13=2, Enginuity!$B$13=4)),
      AND(LEFT(P1507,5)="3-Way", OR(Enginuity!$B$13=3, Enginuity!$B$13=6)),
      AND(P1507="Inner Centre Jamb", OR(Enginuity!$B$13=4, Enginuity!$B$13=6)),
      AND(
        LEFT(P1507,5)&lt;&gt;"1-Way",
        LEFT(P1507,5)&lt;&gt;"2-Way",
        LEFT(P1507,5)&lt;&gt;"3-Way",
        P1507&lt;&gt;"Inner Centre Jamb"
      )
    ),
    IF(OR(Enginuity!$A$1="Frameless Glass",Enginuity!$A$1="Metal Work"),
      AND(TRIM(B1507)=TRIM(Enginuity!$A$17),TRIM(C1507)=TRIM(Enginuity!$A$18)),
      TRIM(B1507)=TRIM(Enginuity!$A$17)
    )
  ),
  ROW(),
  ""
)</f>
        <v/>
      </c>
    </row>
    <row r="1508" spans="1:21" x14ac:dyDescent="0.25">
      <c r="A1508" s="10" t="s">
        <v>795</v>
      </c>
      <c r="B1508" s="235" t="s">
        <v>940</v>
      </c>
      <c r="C1508" s="14"/>
      <c r="D1508" s="107"/>
      <c r="E1508" s="157"/>
      <c r="F1508" s="10"/>
      <c r="G1508" s="17"/>
      <c r="H1508" s="10"/>
      <c r="I1508" s="17"/>
      <c r="J1508" s="83"/>
      <c r="K1508" s="343"/>
      <c r="L1508" s="347"/>
      <c r="M1508" s="89" t="s">
        <v>117</v>
      </c>
      <c r="N1508" s="10" t="s">
        <v>958</v>
      </c>
      <c r="O1508" s="22">
        <v>1000</v>
      </c>
      <c r="P1508" s="107" t="s">
        <v>951</v>
      </c>
      <c r="Q1508" s="22">
        <v>1</v>
      </c>
      <c r="U1508" s="104" t="str">
        <f>IF(
  AND(
    TRIM(A1508)=TRIM(Enginuity!$A$1),
    TRIM(B1508)=TRIM(Enginuity!$A$17),
    Q1508&lt;&gt;"",
    Q1508&lt;&gt;0,
    OR(
      TRIM(C1508)=TRIM(Enginuity!$A$18),
      AND(UPPER(TRIM(M1508))="STD", TRIM(B1508)=TRIM(Enginuity!$A$17))
    ),
    OR(
      AND(LEFT(P1508,5)="1-Way", Enginuity!$B$13=1),
      AND(LEFT(P1508,5)="2-Way", OR(Enginuity!$B$13=2, Enginuity!$B$13=4)),
      AND(LEFT(P1508,5)="3-Way", OR(Enginuity!$B$13=3, Enginuity!$B$13=6)),
      AND(P1508="Inner Centre Jamb", OR(Enginuity!$B$13=4, Enginuity!$B$13=6)),
      AND(
        LEFT(P1508,5)&lt;&gt;"1-Way",
        LEFT(P1508,5)&lt;&gt;"2-Way",
        LEFT(P1508,5)&lt;&gt;"3-Way",
        P1508&lt;&gt;"Inner Centre Jamb"
      )
    ),
    IF(OR(Enginuity!$A$1="Frameless Glass",Enginuity!$A$1="Metal Work"),
      AND(TRIM(B1508)=TRIM(Enginuity!$A$17),TRIM(C1508)=TRIM(Enginuity!$A$18)),
      TRIM(B1508)=TRIM(Enginuity!$A$17)
    )
  ),
  ROW(),
  ""
)</f>
        <v/>
      </c>
    </row>
    <row r="1509" spans="1:21" x14ac:dyDescent="0.25">
      <c r="A1509" s="10" t="s">
        <v>795</v>
      </c>
      <c r="B1509" s="235" t="s">
        <v>940</v>
      </c>
      <c r="C1509" s="14"/>
      <c r="D1509" s="107"/>
      <c r="E1509" s="157"/>
      <c r="F1509" s="10"/>
      <c r="G1509" s="17"/>
      <c r="H1509" s="10"/>
      <c r="I1509" s="17"/>
      <c r="J1509" s="83"/>
      <c r="K1509" s="343"/>
      <c r="L1509" s="347"/>
      <c r="M1509" s="89" t="s">
        <v>117</v>
      </c>
      <c r="N1509" s="10" t="s">
        <v>958</v>
      </c>
      <c r="O1509" s="22">
        <v>1200</v>
      </c>
      <c r="P1509" s="107" t="s">
        <v>952</v>
      </c>
      <c r="Q1509" s="22">
        <v>1</v>
      </c>
      <c r="U1509" s="104" t="str">
        <f>IF(
  AND(
    TRIM(A1509)=TRIM(Enginuity!$A$1),
    TRIM(B1509)=TRIM(Enginuity!$A$17),
    Q1509&lt;&gt;"",
    Q1509&lt;&gt;0,
    OR(
      TRIM(C1509)=TRIM(Enginuity!$A$18),
      AND(UPPER(TRIM(M1509))="STD", TRIM(B1509)=TRIM(Enginuity!$A$17))
    ),
    OR(
      AND(LEFT(P1509,5)="1-Way", Enginuity!$B$13=1),
      AND(LEFT(P1509,5)="2-Way", OR(Enginuity!$B$13=2, Enginuity!$B$13=4)),
      AND(LEFT(P1509,5)="3-Way", OR(Enginuity!$B$13=3, Enginuity!$B$13=6)),
      AND(P1509="Inner Centre Jamb", OR(Enginuity!$B$13=4, Enginuity!$B$13=6)),
      AND(
        LEFT(P1509,5)&lt;&gt;"1-Way",
        LEFT(P1509,5)&lt;&gt;"2-Way",
        LEFT(P1509,5)&lt;&gt;"3-Way",
        P1509&lt;&gt;"Inner Centre Jamb"
      )
    ),
    IF(OR(Enginuity!$A$1="Frameless Glass",Enginuity!$A$1="Metal Work"),
      AND(TRIM(B1509)=TRIM(Enginuity!$A$17),TRIM(C1509)=TRIM(Enginuity!$A$18)),
      TRIM(B1509)=TRIM(Enginuity!$A$17)
    )
  ),
  ROW(),
  ""
)</f>
        <v/>
      </c>
    </row>
    <row r="1510" spans="1:21" x14ac:dyDescent="0.25">
      <c r="A1510" s="10" t="s">
        <v>795</v>
      </c>
      <c r="B1510" s="235" t="s">
        <v>940</v>
      </c>
      <c r="C1510" s="14"/>
      <c r="D1510" s="107"/>
      <c r="E1510" s="157"/>
      <c r="F1510" s="10"/>
      <c r="G1510" s="17"/>
      <c r="H1510" s="10"/>
      <c r="I1510" s="17"/>
      <c r="J1510" s="83"/>
      <c r="K1510" s="343"/>
      <c r="L1510" s="347"/>
      <c r="M1510" s="89" t="s">
        <v>117</v>
      </c>
      <c r="N1510" s="10" t="s">
        <v>958</v>
      </c>
      <c r="O1510" s="22">
        <v>1500</v>
      </c>
      <c r="P1510" s="107" t="s">
        <v>953</v>
      </c>
      <c r="Q1510" s="83">
        <v>1</v>
      </c>
      <c r="U1510" s="104" t="str">
        <f>IF(
  AND(
    TRIM(A1510)=TRIM(Enginuity!$A$1),
    TRIM(B1510)=TRIM(Enginuity!$A$17),
    Q1510&lt;&gt;"",
    Q1510&lt;&gt;0,
    OR(
      TRIM(C1510)=TRIM(Enginuity!$A$18),
      AND(UPPER(TRIM(M1510))="STD", TRIM(B1510)=TRIM(Enginuity!$A$17))
    ),
    OR(
      AND(LEFT(P1510,5)="1-Way", Enginuity!$B$13=1),
      AND(LEFT(P1510,5)="2-Way", OR(Enginuity!$B$13=2, Enginuity!$B$13=4)),
      AND(LEFT(P1510,5)="3-Way", OR(Enginuity!$B$13=3, Enginuity!$B$13=6)),
      AND(P1510="Inner Centre Jamb", OR(Enginuity!$B$13=4, Enginuity!$B$13=6)),
      AND(
        LEFT(P1510,5)&lt;&gt;"1-Way",
        LEFT(P1510,5)&lt;&gt;"2-Way",
        LEFT(P1510,5)&lt;&gt;"3-Way",
        P1510&lt;&gt;"Inner Centre Jamb"
      )
    ),
    IF(OR(Enginuity!$A$1="Frameless Glass",Enginuity!$A$1="Metal Work"),
      AND(TRIM(B1510)=TRIM(Enginuity!$A$17),TRIM(C1510)=TRIM(Enginuity!$A$18)),
      TRIM(B1510)=TRIM(Enginuity!$A$17)
    )
  ),
  ROW(),
  ""
)</f>
        <v/>
      </c>
    </row>
    <row r="1511" spans="1:21" x14ac:dyDescent="0.25">
      <c r="A1511" s="10" t="s">
        <v>795</v>
      </c>
      <c r="B1511" s="235" t="s">
        <v>940</v>
      </c>
      <c r="C1511" s="14"/>
      <c r="D1511" s="107"/>
      <c r="E1511" s="157"/>
      <c r="F1511" s="10"/>
      <c r="G1511" s="17"/>
      <c r="H1511" s="10"/>
      <c r="I1511" s="17"/>
      <c r="J1511" s="83"/>
      <c r="K1511" s="343"/>
      <c r="L1511" s="347"/>
      <c r="M1511" s="89" t="s">
        <v>117</v>
      </c>
      <c r="N1511" s="10" t="s">
        <v>958</v>
      </c>
      <c r="O1511" s="22">
        <v>6000</v>
      </c>
      <c r="P1511" s="107" t="s">
        <v>954</v>
      </c>
      <c r="Q1511" s="98">
        <v>1</v>
      </c>
      <c r="U1511" s="104" t="str">
        <f>IF(
  AND(
    TRIM(A1511)=TRIM(Enginuity!$A$1),
    TRIM(B1511)=TRIM(Enginuity!$A$17),
    Q1511&lt;&gt;"",
    Q1511&lt;&gt;0,
    OR(
      TRIM(C1511)=TRIM(Enginuity!$A$18),
      AND(UPPER(TRIM(M1511))="STD", TRIM(B1511)=TRIM(Enginuity!$A$17))
    ),
    OR(
      AND(LEFT(P1511,5)="1-Way", Enginuity!$B$13=1),
      AND(LEFT(P1511,5)="2-Way", OR(Enginuity!$B$13=2, Enginuity!$B$13=4)),
      AND(LEFT(P1511,5)="3-Way", OR(Enginuity!$B$13=3, Enginuity!$B$13=6)),
      AND(P1511="Inner Centre Jamb", OR(Enginuity!$B$13=4, Enginuity!$B$13=6)),
      AND(
        LEFT(P1511,5)&lt;&gt;"1-Way",
        LEFT(P1511,5)&lt;&gt;"2-Way",
        LEFT(P1511,5)&lt;&gt;"3-Way",
        P1511&lt;&gt;"Inner Centre Jamb"
      )
    ),
    IF(OR(Enginuity!$A$1="Frameless Glass",Enginuity!$A$1="Metal Work"),
      AND(TRIM(B1511)=TRIM(Enginuity!$A$17),TRIM(C1511)=TRIM(Enginuity!$A$18)),
      TRIM(B1511)=TRIM(Enginuity!$A$17)
    )
  ),
  ROW(),
  ""
)</f>
        <v/>
      </c>
    </row>
    <row r="1512" spans="1:21" x14ac:dyDescent="0.25">
      <c r="A1512" s="10" t="s">
        <v>795</v>
      </c>
      <c r="B1512" s="235" t="s">
        <v>940</v>
      </c>
      <c r="C1512" s="14"/>
      <c r="D1512" s="107"/>
      <c r="E1512" s="159"/>
      <c r="F1512" s="10"/>
      <c r="G1512" s="17"/>
      <c r="H1512" s="10"/>
      <c r="I1512" s="17"/>
      <c r="J1512" s="83"/>
      <c r="K1512" s="343"/>
      <c r="L1512" s="347"/>
      <c r="M1512" s="89" t="s">
        <v>117</v>
      </c>
      <c r="N1512" s="10" t="s">
        <v>956</v>
      </c>
      <c r="O1512" s="22">
        <v>300</v>
      </c>
      <c r="P1512" s="106" t="s">
        <v>955</v>
      </c>
      <c r="Q1512" s="22">
        <v>1</v>
      </c>
      <c r="U1512" s="104" t="str">
        <f>IF(
  AND(
    TRIM(A1512)=TRIM(Enginuity!$A$1),
    TRIM(B1512)=TRIM(Enginuity!$A$17),
    Q1512&lt;&gt;"",
    Q1512&lt;&gt;0,
    OR(
      TRIM(C1512)=TRIM(Enginuity!$A$18),
      AND(UPPER(TRIM(M1512))="STD", TRIM(B1512)=TRIM(Enginuity!$A$17))
    ),
    OR(
      AND(LEFT(P1512,5)="1-Way", Enginuity!$B$13=1),
      AND(LEFT(P1512,5)="2-Way", OR(Enginuity!$B$13=2, Enginuity!$B$13=4)),
      AND(LEFT(P1512,5)="3-Way", OR(Enginuity!$B$13=3, Enginuity!$B$13=6)),
      AND(P1512="Inner Centre Jamb", OR(Enginuity!$B$13=4, Enginuity!$B$13=6)),
      AND(
        LEFT(P1512,5)&lt;&gt;"1-Way",
        LEFT(P1512,5)&lt;&gt;"2-Way",
        LEFT(P1512,5)&lt;&gt;"3-Way",
        P1512&lt;&gt;"Inner Centre Jamb"
      )
    ),
    IF(OR(Enginuity!$A$1="Frameless Glass",Enginuity!$A$1="Metal Work"),
      AND(TRIM(B1512)=TRIM(Enginuity!$A$17),TRIM(C1512)=TRIM(Enginuity!$A$18)),
      TRIM(B1512)=TRIM(Enginuity!$A$17)
    )
  ),
  ROW(),
  ""
)</f>
        <v/>
      </c>
    </row>
    <row r="1513" spans="1:21" x14ac:dyDescent="0.25">
      <c r="A1513" s="10" t="s">
        <v>795</v>
      </c>
      <c r="B1513" s="235" t="s">
        <v>940</v>
      </c>
      <c r="C1513" s="14"/>
      <c r="D1513" s="107"/>
      <c r="E1513" s="157"/>
      <c r="F1513" s="10"/>
      <c r="G1513" s="17"/>
      <c r="H1513" s="10"/>
      <c r="I1513" s="17"/>
      <c r="J1513" s="83"/>
      <c r="K1513" s="343"/>
      <c r="L1513" s="347"/>
      <c r="M1513" s="89" t="s">
        <v>117</v>
      </c>
      <c r="N1513" s="10" t="s">
        <v>228</v>
      </c>
      <c r="O1513" s="22" t="s">
        <v>960</v>
      </c>
      <c r="P1513" s="107" t="s">
        <v>959</v>
      </c>
      <c r="Q1513" s="98">
        <v>1</v>
      </c>
      <c r="U1513" s="104" t="str">
        <f>IF(
  AND(
    TRIM(A1513)=TRIM(Enginuity!$A$1),
    TRIM(B1513)=TRIM(Enginuity!$A$17),
    Q1513&lt;&gt;"",
    Q1513&lt;&gt;0,
    OR(
      TRIM(C1513)=TRIM(Enginuity!$A$18),
      AND(UPPER(TRIM(M1513))="STD", TRIM(B1513)=TRIM(Enginuity!$A$17))
    ),
    OR(
      AND(LEFT(P1513,5)="1-Way", Enginuity!$B$13=1),
      AND(LEFT(P1513,5)="2-Way", OR(Enginuity!$B$13=2, Enginuity!$B$13=4)),
      AND(LEFT(P1513,5)="3-Way", OR(Enginuity!$B$13=3, Enginuity!$B$13=6)),
      AND(P1513="Inner Centre Jamb", OR(Enginuity!$B$13=4, Enginuity!$B$13=6)),
      AND(
        LEFT(P1513,5)&lt;&gt;"1-Way",
        LEFT(P1513,5)&lt;&gt;"2-Way",
        LEFT(P1513,5)&lt;&gt;"3-Way",
        P1513&lt;&gt;"Inner Centre Jamb"
      )
    ),
    IF(OR(Enginuity!$A$1="Frameless Glass",Enginuity!$A$1="Metal Work"),
      AND(TRIM(B1513)=TRIM(Enginuity!$A$17),TRIM(C1513)=TRIM(Enginuity!$A$18)),
      TRIM(B1513)=TRIM(Enginuity!$A$17)
    )
  ),
  ROW(),
  ""
)</f>
        <v/>
      </c>
    </row>
    <row r="1514" spans="1:21" x14ac:dyDescent="0.25">
      <c r="A1514" s="10" t="s">
        <v>795</v>
      </c>
      <c r="B1514" s="235" t="s">
        <v>940</v>
      </c>
      <c r="C1514" s="14"/>
      <c r="D1514" s="14"/>
      <c r="E1514" s="157"/>
      <c r="F1514" s="10"/>
      <c r="G1514" s="17"/>
      <c r="H1514" s="10"/>
      <c r="I1514" s="17"/>
      <c r="J1514" s="83"/>
      <c r="K1514" s="343"/>
      <c r="L1514" s="347"/>
      <c r="M1514" s="89"/>
      <c r="N1514" s="10"/>
      <c r="O1514" s="22"/>
      <c r="P1514" s="36"/>
      <c r="Q1514" s="98"/>
      <c r="U1514" s="104" t="str">
        <f>IF(
  AND(
    TRIM(A1514)=TRIM(Enginuity!$A$1),
    TRIM(B1514)=TRIM(Enginuity!$A$17),
    Q1514&lt;&gt;"",
    Q1514&lt;&gt;0,
    OR(
      TRIM(C1514)=TRIM(Enginuity!$A$18),
      AND(UPPER(TRIM(M1514))="STD", TRIM(B1514)=TRIM(Enginuity!$A$17))
    ),
    OR(
      AND(LEFT(P1514,5)="1-Way", Enginuity!$B$13=1),
      AND(LEFT(P1514,5)="2-Way", OR(Enginuity!$B$13=2, Enginuity!$B$13=4)),
      AND(LEFT(P1514,5)="3-Way", OR(Enginuity!$B$13=3, Enginuity!$B$13=6)),
      AND(P1514="Inner Centre Jamb", OR(Enginuity!$B$13=4, Enginuity!$B$13=6)),
      AND(
        LEFT(P1514,5)&lt;&gt;"1-Way",
        LEFT(P1514,5)&lt;&gt;"2-Way",
        LEFT(P1514,5)&lt;&gt;"3-Way",
        P1514&lt;&gt;"Inner Centre Jamb"
      )
    ),
    IF(OR(Enginuity!$A$1="Frameless Glass",Enginuity!$A$1="Metal Work"),
      AND(TRIM(B1514)=TRIM(Enginuity!$A$17),TRIM(C1514)=TRIM(Enginuity!$A$18)),
      TRIM(B1514)=TRIM(Enginuity!$A$17)
    )
  ),
  ROW(),
  ""
)</f>
        <v/>
      </c>
    </row>
    <row r="1515" spans="1:21" x14ac:dyDescent="0.25">
      <c r="A1515" s="10" t="s">
        <v>795</v>
      </c>
      <c r="B1515" s="235" t="s">
        <v>940</v>
      </c>
      <c r="C1515" s="14"/>
      <c r="D1515" s="14"/>
      <c r="E1515" s="157"/>
      <c r="F1515" s="10"/>
      <c r="G1515" s="17"/>
      <c r="H1515" s="10"/>
      <c r="I1515" s="17"/>
      <c r="J1515" s="83"/>
      <c r="K1515" s="343"/>
      <c r="L1515" s="347"/>
      <c r="M1515" s="89"/>
      <c r="N1515" s="10"/>
      <c r="O1515" s="22"/>
      <c r="P1515" s="36"/>
      <c r="Q1515" s="98"/>
      <c r="U1515" s="104" t="str">
        <f>IF(
  AND(
    TRIM(A1515)=TRIM(Enginuity!$A$1),
    TRIM(B1515)=TRIM(Enginuity!$A$17),
    Q1515&lt;&gt;"",
    Q1515&lt;&gt;0,
    OR(
      TRIM(C1515)=TRIM(Enginuity!$A$18),
      AND(UPPER(TRIM(M1515))="STD", TRIM(B1515)=TRIM(Enginuity!$A$17))
    ),
    OR(
      AND(LEFT(P1515,5)="1-Way", Enginuity!$B$13=1),
      AND(LEFT(P1515,5)="2-Way", OR(Enginuity!$B$13=2, Enginuity!$B$13=4)),
      AND(LEFT(P1515,5)="3-Way", OR(Enginuity!$B$13=3, Enginuity!$B$13=6)),
      AND(P1515="Inner Centre Jamb", OR(Enginuity!$B$13=4, Enginuity!$B$13=6)),
      AND(
        LEFT(P1515,5)&lt;&gt;"1-Way",
        LEFT(P1515,5)&lt;&gt;"2-Way",
        LEFT(P1515,5)&lt;&gt;"3-Way",
        P1515&lt;&gt;"Inner Centre Jamb"
      )
    ),
    IF(OR(Enginuity!$A$1="Frameless Glass",Enginuity!$A$1="Metal Work"),
      AND(TRIM(B1515)=TRIM(Enginuity!$A$17),TRIM(C1515)=TRIM(Enginuity!$A$18)),
      TRIM(B1515)=TRIM(Enginuity!$A$17)
    )
  ),
  ROW(),
  ""
)</f>
        <v/>
      </c>
    </row>
    <row r="1516" spans="1:21" x14ac:dyDescent="0.25">
      <c r="A1516" s="10" t="s">
        <v>795</v>
      </c>
      <c r="B1516" s="235" t="s">
        <v>940</v>
      </c>
      <c r="C1516" s="14"/>
      <c r="D1516" s="14"/>
      <c r="E1516" s="157"/>
      <c r="F1516" s="10"/>
      <c r="G1516" s="17"/>
      <c r="H1516" s="10"/>
      <c r="I1516" s="17"/>
      <c r="J1516" s="83"/>
      <c r="K1516" s="343"/>
      <c r="L1516" s="347"/>
      <c r="M1516" s="89"/>
      <c r="N1516" s="10"/>
      <c r="O1516" s="22"/>
      <c r="P1516" s="36"/>
      <c r="Q1516" s="98"/>
      <c r="U1516" s="104" t="str">
        <f>IF(
  AND(
    TRIM(A1516)=TRIM(Enginuity!$A$1),
    TRIM(B1516)=TRIM(Enginuity!$A$17),
    Q1516&lt;&gt;"",
    Q1516&lt;&gt;0,
    OR(
      TRIM(C1516)=TRIM(Enginuity!$A$18),
      AND(UPPER(TRIM(M1516))="STD", TRIM(B1516)=TRIM(Enginuity!$A$17))
    ),
    OR(
      AND(LEFT(P1516,5)="1-Way", Enginuity!$B$13=1),
      AND(LEFT(P1516,5)="2-Way", OR(Enginuity!$B$13=2, Enginuity!$B$13=4)),
      AND(LEFT(P1516,5)="3-Way", OR(Enginuity!$B$13=3, Enginuity!$B$13=6)),
      AND(P1516="Inner Centre Jamb", OR(Enginuity!$B$13=4, Enginuity!$B$13=6)),
      AND(
        LEFT(P1516,5)&lt;&gt;"1-Way",
        LEFT(P1516,5)&lt;&gt;"2-Way",
        LEFT(P1516,5)&lt;&gt;"3-Way",
        P1516&lt;&gt;"Inner Centre Jamb"
      )
    ),
    IF(OR(Enginuity!$A$1="Frameless Glass",Enginuity!$A$1="Metal Work"),
      AND(TRIM(B1516)=TRIM(Enginuity!$A$17),TRIM(C1516)=TRIM(Enginuity!$A$18)),
      TRIM(B1516)=TRIM(Enginuity!$A$17)
    )
  ),
  ROW(),
  ""
)</f>
        <v/>
      </c>
    </row>
    <row r="1517" spans="1:21" x14ac:dyDescent="0.25">
      <c r="A1517" s="10" t="s">
        <v>795</v>
      </c>
      <c r="B1517" s="235" t="s">
        <v>940</v>
      </c>
      <c r="C1517" s="14"/>
      <c r="D1517" s="14"/>
      <c r="E1517" s="157"/>
      <c r="F1517" s="10"/>
      <c r="G1517" s="17"/>
      <c r="H1517" s="10"/>
      <c r="I1517" s="17"/>
      <c r="J1517" s="83"/>
      <c r="K1517" s="343"/>
      <c r="L1517" s="347"/>
      <c r="M1517" s="89"/>
      <c r="N1517" s="10"/>
      <c r="O1517" s="22"/>
      <c r="P1517" s="36"/>
      <c r="Q1517" s="98"/>
      <c r="U1517" s="104" t="str">
        <f>IF(
  AND(
    TRIM(A1517)=TRIM(Enginuity!$A$1),
    TRIM(B1517)=TRIM(Enginuity!$A$17),
    Q1517&lt;&gt;"",
    Q1517&lt;&gt;0,
    OR(
      TRIM(C1517)=TRIM(Enginuity!$A$18),
      AND(UPPER(TRIM(M1517))="STD", TRIM(B1517)=TRIM(Enginuity!$A$17))
    ),
    OR(
      AND(LEFT(P1517,5)="1-Way", Enginuity!$B$13=1),
      AND(LEFT(P1517,5)="2-Way", OR(Enginuity!$B$13=2, Enginuity!$B$13=4)),
      AND(LEFT(P1517,5)="3-Way", OR(Enginuity!$B$13=3, Enginuity!$B$13=6)),
      AND(P1517="Inner Centre Jamb", OR(Enginuity!$B$13=4, Enginuity!$B$13=6)),
      AND(
        LEFT(P1517,5)&lt;&gt;"1-Way",
        LEFT(P1517,5)&lt;&gt;"2-Way",
        LEFT(P1517,5)&lt;&gt;"3-Way",
        P1517&lt;&gt;"Inner Centre Jamb"
      )
    ),
    IF(OR(Enginuity!$A$1="Frameless Glass",Enginuity!$A$1="Metal Work"),
      AND(TRIM(B1517)=TRIM(Enginuity!$A$17),TRIM(C1517)=TRIM(Enginuity!$A$18)),
      TRIM(B1517)=TRIM(Enginuity!$A$17)
    )
  ),
  ROW(),
  ""
)</f>
        <v/>
      </c>
    </row>
    <row r="1518" spans="1:21" x14ac:dyDescent="0.25">
      <c r="A1518" s="10" t="s">
        <v>795</v>
      </c>
      <c r="B1518" s="235" t="s">
        <v>940</v>
      </c>
      <c r="C1518" s="10"/>
      <c r="D1518" s="14"/>
      <c r="E1518" s="157"/>
      <c r="F1518" s="10"/>
      <c r="G1518" s="17"/>
      <c r="H1518" s="10"/>
      <c r="I1518" s="17"/>
      <c r="J1518" s="83"/>
      <c r="K1518" s="343"/>
      <c r="L1518" s="347"/>
      <c r="M1518" s="89"/>
      <c r="N1518" s="10"/>
      <c r="O1518" s="22"/>
      <c r="P1518" s="36"/>
      <c r="Q1518" s="98"/>
      <c r="U1518" s="104" t="str">
        <f>IF(
  AND(
    TRIM(A1518)=TRIM(Enginuity!$A$1),
    TRIM(B1518)=TRIM(Enginuity!$A$17),
    Q1518&lt;&gt;"",
    Q1518&lt;&gt;0,
    OR(
      TRIM(C1518)=TRIM(Enginuity!$A$18),
      AND(UPPER(TRIM(M1518))="STD", TRIM(B1518)=TRIM(Enginuity!$A$17))
    ),
    OR(
      AND(LEFT(P1518,5)="1-Way", Enginuity!$B$13=1),
      AND(LEFT(P1518,5)="2-Way", OR(Enginuity!$B$13=2, Enginuity!$B$13=4)),
      AND(LEFT(P1518,5)="3-Way", OR(Enginuity!$B$13=3, Enginuity!$B$13=6)),
      AND(P1518="Inner Centre Jamb", OR(Enginuity!$B$13=4, Enginuity!$B$13=6)),
      AND(
        LEFT(P1518,5)&lt;&gt;"1-Way",
        LEFT(P1518,5)&lt;&gt;"2-Way",
        LEFT(P1518,5)&lt;&gt;"3-Way",
        P1518&lt;&gt;"Inner Centre Jamb"
      )
    ),
    IF(OR(Enginuity!$A$1="Frameless Glass",Enginuity!$A$1="Metal Work"),
      AND(TRIM(B1518)=TRIM(Enginuity!$A$17),TRIM(C1518)=TRIM(Enginuity!$A$18)),
      TRIM(B1518)=TRIM(Enginuity!$A$17)
    )
  ),
  ROW(),
  ""
)</f>
        <v/>
      </c>
    </row>
    <row r="1519" spans="1:21" x14ac:dyDescent="0.25">
      <c r="A1519" s="10" t="s">
        <v>795</v>
      </c>
      <c r="B1519" s="235" t="s">
        <v>940</v>
      </c>
      <c r="C1519" s="10"/>
      <c r="D1519" s="14"/>
      <c r="E1519" s="157"/>
      <c r="F1519" s="10"/>
      <c r="G1519" s="17"/>
      <c r="H1519" s="10"/>
      <c r="I1519" s="17"/>
      <c r="J1519" s="83"/>
      <c r="K1519" s="343"/>
      <c r="L1519" s="347"/>
      <c r="M1519" s="89"/>
      <c r="N1519" s="10"/>
      <c r="O1519" s="22"/>
      <c r="P1519" s="36"/>
      <c r="Q1519" s="98"/>
      <c r="U1519" s="104" t="str">
        <f>IF(
  AND(
    TRIM(A1519)=TRIM(Enginuity!$A$1),
    TRIM(B1519)=TRIM(Enginuity!$A$17),
    Q1519&lt;&gt;"",
    Q1519&lt;&gt;0,
    OR(
      TRIM(C1519)=TRIM(Enginuity!$A$18),
      AND(UPPER(TRIM(M1519))="STD", TRIM(B1519)=TRIM(Enginuity!$A$17))
    ),
    OR(
      AND(LEFT(P1519,5)="1-Way", Enginuity!$B$13=1),
      AND(LEFT(P1519,5)="2-Way", OR(Enginuity!$B$13=2, Enginuity!$B$13=4)),
      AND(LEFT(P1519,5)="3-Way", OR(Enginuity!$B$13=3, Enginuity!$B$13=6)),
      AND(P1519="Inner Centre Jamb", OR(Enginuity!$B$13=4, Enginuity!$B$13=6)),
      AND(
        LEFT(P1519,5)&lt;&gt;"1-Way",
        LEFT(P1519,5)&lt;&gt;"2-Way",
        LEFT(P1519,5)&lt;&gt;"3-Way",
        P1519&lt;&gt;"Inner Centre Jamb"
      )
    ),
    IF(OR(Enginuity!$A$1="Frameless Glass",Enginuity!$A$1="Metal Work"),
      AND(TRIM(B1519)=TRIM(Enginuity!$A$17),TRIM(C1519)=TRIM(Enginuity!$A$18)),
      TRIM(B1519)=TRIM(Enginuity!$A$17)
    )
  ),
  ROW(),
  ""
)</f>
        <v/>
      </c>
    </row>
    <row r="1520" spans="1:21" x14ac:dyDescent="0.25">
      <c r="A1520" s="10" t="s">
        <v>795</v>
      </c>
      <c r="B1520" s="235" t="s">
        <v>940</v>
      </c>
      <c r="C1520" s="10"/>
      <c r="D1520" s="14"/>
      <c r="E1520" s="157"/>
      <c r="F1520" s="10"/>
      <c r="G1520" s="17"/>
      <c r="H1520" s="10"/>
      <c r="I1520" s="17"/>
      <c r="J1520" s="83"/>
      <c r="K1520" s="343"/>
      <c r="L1520" s="347"/>
      <c r="M1520" s="89"/>
      <c r="N1520" s="10"/>
      <c r="O1520" s="22"/>
      <c r="P1520" s="36"/>
      <c r="Q1520" s="98"/>
      <c r="U1520" s="104" t="str">
        <f>IF(
  AND(
    TRIM(A1520)=TRIM(Enginuity!$A$1),
    TRIM(B1520)=TRIM(Enginuity!$A$17),
    Q1520&lt;&gt;"",
    Q1520&lt;&gt;0,
    OR(
      TRIM(C1520)=TRIM(Enginuity!$A$18),
      AND(UPPER(TRIM(M1520))="STD", TRIM(B1520)=TRIM(Enginuity!$A$17))
    ),
    OR(
      AND(LEFT(P1520,5)="1-Way", Enginuity!$B$13=1),
      AND(LEFT(P1520,5)="2-Way", OR(Enginuity!$B$13=2, Enginuity!$B$13=4)),
      AND(LEFT(P1520,5)="3-Way", OR(Enginuity!$B$13=3, Enginuity!$B$13=6)),
      AND(P1520="Inner Centre Jamb", OR(Enginuity!$B$13=4, Enginuity!$B$13=6)),
      AND(
        LEFT(P1520,5)&lt;&gt;"1-Way",
        LEFT(P1520,5)&lt;&gt;"2-Way",
        LEFT(P1520,5)&lt;&gt;"3-Way",
        P1520&lt;&gt;"Inner Centre Jamb"
      )
    ),
    IF(OR(Enginuity!$A$1="Frameless Glass",Enginuity!$A$1="Metal Work"),
      AND(TRIM(B1520)=TRIM(Enginuity!$A$17),TRIM(C1520)=TRIM(Enginuity!$A$18)),
      TRIM(B1520)=TRIM(Enginuity!$A$17)
    )
  ),
  ROW(),
  ""
)</f>
        <v/>
      </c>
    </row>
    <row r="1521" spans="1:21" x14ac:dyDescent="0.25">
      <c r="A1521" s="10" t="s">
        <v>795</v>
      </c>
      <c r="B1521" s="235" t="s">
        <v>940</v>
      </c>
      <c r="C1521" s="10"/>
      <c r="D1521" s="14"/>
      <c r="E1521" s="157"/>
      <c r="F1521" s="10"/>
      <c r="G1521" s="17"/>
      <c r="H1521" s="10"/>
      <c r="I1521" s="17"/>
      <c r="J1521" s="83"/>
      <c r="K1521" s="343"/>
      <c r="L1521" s="347"/>
      <c r="M1521" s="89"/>
      <c r="N1521" s="10"/>
      <c r="O1521" s="22"/>
      <c r="P1521" s="36"/>
      <c r="Q1521" s="98"/>
      <c r="U1521" s="104" t="str">
        <f>IF(
  AND(
    TRIM(A1521)=TRIM(Enginuity!$A$1),
    TRIM(B1521)=TRIM(Enginuity!$A$17),
    Q1521&lt;&gt;"",
    Q1521&lt;&gt;0,
    OR(
      TRIM(C1521)=TRIM(Enginuity!$A$18),
      AND(UPPER(TRIM(M1521))="STD", TRIM(B1521)=TRIM(Enginuity!$A$17))
    ),
    OR(
      AND(LEFT(P1521,5)="1-Way", Enginuity!$B$13=1),
      AND(LEFT(P1521,5)="2-Way", OR(Enginuity!$B$13=2, Enginuity!$B$13=4)),
      AND(LEFT(P1521,5)="3-Way", OR(Enginuity!$B$13=3, Enginuity!$B$13=6)),
      AND(P1521="Inner Centre Jamb", OR(Enginuity!$B$13=4, Enginuity!$B$13=6)),
      AND(
        LEFT(P1521,5)&lt;&gt;"1-Way",
        LEFT(P1521,5)&lt;&gt;"2-Way",
        LEFT(P1521,5)&lt;&gt;"3-Way",
        P1521&lt;&gt;"Inner Centre Jamb"
      )
    ),
    IF(OR(Enginuity!$A$1="Frameless Glass",Enginuity!$A$1="Metal Work"),
      AND(TRIM(B1521)=TRIM(Enginuity!$A$17),TRIM(C1521)=TRIM(Enginuity!$A$18)),
      TRIM(B1521)=TRIM(Enginuity!$A$17)
    )
  ),
  ROW(),
  ""
)</f>
        <v/>
      </c>
    </row>
    <row r="1522" spans="1:21" x14ac:dyDescent="0.25">
      <c r="A1522" s="10" t="s">
        <v>795</v>
      </c>
      <c r="B1522" s="235" t="s">
        <v>940</v>
      </c>
      <c r="C1522" s="10"/>
      <c r="D1522" s="14"/>
      <c r="E1522" s="157"/>
      <c r="F1522" s="10"/>
      <c r="G1522" s="17"/>
      <c r="H1522" s="10"/>
      <c r="I1522" s="17"/>
      <c r="J1522" s="83"/>
      <c r="K1522" s="343"/>
      <c r="L1522" s="347"/>
      <c r="M1522" s="89"/>
      <c r="N1522" s="10"/>
      <c r="O1522" s="22"/>
      <c r="P1522" s="36"/>
      <c r="Q1522" s="98"/>
      <c r="U1522" s="104" t="str">
        <f>IF(
  AND(
    TRIM(A1522)=TRIM(Enginuity!$A$1),
    TRIM(B1522)=TRIM(Enginuity!$A$17),
    Q1522&lt;&gt;"",
    Q1522&lt;&gt;0,
    OR(
      TRIM(C1522)=TRIM(Enginuity!$A$18),
      AND(UPPER(TRIM(M1522))="STD", TRIM(B1522)=TRIM(Enginuity!$A$17))
    ),
    OR(
      AND(LEFT(P1522,5)="1-Way", Enginuity!$B$13=1),
      AND(LEFT(P1522,5)="2-Way", OR(Enginuity!$B$13=2, Enginuity!$B$13=4)),
      AND(LEFT(P1522,5)="3-Way", OR(Enginuity!$B$13=3, Enginuity!$B$13=6)),
      AND(P1522="Inner Centre Jamb", OR(Enginuity!$B$13=4, Enginuity!$B$13=6)),
      AND(
        LEFT(P1522,5)&lt;&gt;"1-Way",
        LEFT(P1522,5)&lt;&gt;"2-Way",
        LEFT(P1522,5)&lt;&gt;"3-Way",
        P1522&lt;&gt;"Inner Centre Jamb"
      )
    ),
    IF(OR(Enginuity!$A$1="Frameless Glass",Enginuity!$A$1="Metal Work"),
      AND(TRIM(B1522)=TRIM(Enginuity!$A$17),TRIM(C1522)=TRIM(Enginuity!$A$18)),
      TRIM(B1522)=TRIM(Enginuity!$A$17)
    )
  ),
  ROW(),
  ""
)</f>
        <v/>
      </c>
    </row>
    <row r="1523" spans="1:21" x14ac:dyDescent="0.25">
      <c r="A1523" s="10" t="s">
        <v>795</v>
      </c>
      <c r="B1523" s="235" t="s">
        <v>940</v>
      </c>
      <c r="C1523" s="10"/>
      <c r="D1523" s="14"/>
      <c r="E1523" s="157"/>
      <c r="F1523" s="10"/>
      <c r="G1523" s="17"/>
      <c r="H1523" s="10"/>
      <c r="I1523" s="17"/>
      <c r="J1523" s="83"/>
      <c r="K1523" s="343"/>
      <c r="L1523" s="347"/>
      <c r="M1523" s="89"/>
      <c r="N1523" s="10"/>
      <c r="O1523" s="22"/>
      <c r="P1523" s="36"/>
      <c r="Q1523" s="98"/>
      <c r="U1523" s="104" t="str">
        <f>IF(
  AND(
    TRIM(A1523)=TRIM(Enginuity!$A$1),
    TRIM(B1523)=TRIM(Enginuity!$A$17),
    Q1523&lt;&gt;"",
    Q1523&lt;&gt;0,
    OR(
      TRIM(C1523)=TRIM(Enginuity!$A$18),
      AND(UPPER(TRIM(M1523))="STD", TRIM(B1523)=TRIM(Enginuity!$A$17))
    ),
    OR(
      AND(LEFT(P1523,5)="1-Way", Enginuity!$B$13=1),
      AND(LEFT(P1523,5)="2-Way", OR(Enginuity!$B$13=2, Enginuity!$B$13=4)),
      AND(LEFT(P1523,5)="3-Way", OR(Enginuity!$B$13=3, Enginuity!$B$13=6)),
      AND(P1523="Inner Centre Jamb", OR(Enginuity!$B$13=4, Enginuity!$B$13=6)),
      AND(
        LEFT(P1523,5)&lt;&gt;"1-Way",
        LEFT(P1523,5)&lt;&gt;"2-Way",
        LEFT(P1523,5)&lt;&gt;"3-Way",
        P1523&lt;&gt;"Inner Centre Jamb"
      )
    ),
    IF(OR(Enginuity!$A$1="Frameless Glass",Enginuity!$A$1="Metal Work"),
      AND(TRIM(B1523)=TRIM(Enginuity!$A$17),TRIM(C1523)=TRIM(Enginuity!$A$18)),
      TRIM(B1523)=TRIM(Enginuity!$A$17)
    )
  ),
  ROW(),
  ""
)</f>
        <v/>
      </c>
    </row>
    <row r="1524" spans="1:21" x14ac:dyDescent="0.25">
      <c r="A1524" s="10" t="s">
        <v>795</v>
      </c>
      <c r="B1524" s="235" t="s">
        <v>940</v>
      </c>
      <c r="C1524" s="10"/>
      <c r="D1524" s="14"/>
      <c r="E1524" s="157"/>
      <c r="F1524" s="10"/>
      <c r="G1524" s="17"/>
      <c r="H1524" s="10"/>
      <c r="I1524" s="17"/>
      <c r="J1524" s="83"/>
      <c r="K1524" s="343"/>
      <c r="L1524" s="347"/>
      <c r="M1524" s="89"/>
      <c r="N1524" s="10"/>
      <c r="O1524" s="22"/>
      <c r="P1524" s="36"/>
      <c r="Q1524" s="98"/>
      <c r="U1524" s="104" t="str">
        <f>IF(
  AND(
    TRIM(A1524)=TRIM(Enginuity!$A$1),
    TRIM(B1524)=TRIM(Enginuity!$A$17),
    Q1524&lt;&gt;"",
    Q1524&lt;&gt;0,
    OR(
      TRIM(C1524)=TRIM(Enginuity!$A$18),
      AND(UPPER(TRIM(M1524))="STD", TRIM(B1524)=TRIM(Enginuity!$A$17))
    ),
    OR(
      AND(LEFT(P1524,5)="1-Way", Enginuity!$B$13=1),
      AND(LEFT(P1524,5)="2-Way", OR(Enginuity!$B$13=2, Enginuity!$B$13=4)),
      AND(LEFT(P1524,5)="3-Way", OR(Enginuity!$B$13=3, Enginuity!$B$13=6)),
      AND(P1524="Inner Centre Jamb", OR(Enginuity!$B$13=4, Enginuity!$B$13=6)),
      AND(
        LEFT(P1524,5)&lt;&gt;"1-Way",
        LEFT(P1524,5)&lt;&gt;"2-Way",
        LEFT(P1524,5)&lt;&gt;"3-Way",
        P1524&lt;&gt;"Inner Centre Jamb"
      )
    ),
    IF(OR(Enginuity!$A$1="Frameless Glass",Enginuity!$A$1="Metal Work"),
      AND(TRIM(B1524)=TRIM(Enginuity!$A$17),TRIM(C1524)=TRIM(Enginuity!$A$18)),
      TRIM(B1524)=TRIM(Enginuity!$A$17)
    )
  ),
  ROW(),
  ""
)</f>
        <v/>
      </c>
    </row>
    <row r="1525" spans="1:21" x14ac:dyDescent="0.25">
      <c r="A1525" s="10" t="s">
        <v>795</v>
      </c>
      <c r="B1525" s="229"/>
      <c r="C1525" s="10"/>
      <c r="D1525" s="14"/>
      <c r="E1525" s="157"/>
      <c r="F1525" s="10"/>
      <c r="G1525" s="17"/>
      <c r="H1525" s="10"/>
      <c r="I1525" s="17"/>
      <c r="J1525" s="83"/>
      <c r="K1525" s="343"/>
      <c r="L1525" s="347"/>
      <c r="M1525" s="89"/>
      <c r="N1525" s="10"/>
      <c r="O1525" s="22"/>
      <c r="P1525" s="36"/>
      <c r="Q1525" s="98"/>
      <c r="U1525" s="104" t="str">
        <f>IF(
  AND(
    TRIM(A1525)=TRIM(Enginuity!$A$1),
    TRIM(B1525)=TRIM(Enginuity!$A$17),
    Q1525&lt;&gt;"",
    Q1525&lt;&gt;0,
    OR(
      TRIM(C1525)=TRIM(Enginuity!$A$18),
      AND(UPPER(TRIM(M1525))="STD", TRIM(B1525)=TRIM(Enginuity!$A$17))
    ),
    OR(
      AND(LEFT(P1525,5)="1-Way", Enginuity!$B$13=1),
      AND(LEFT(P1525,5)="2-Way", OR(Enginuity!$B$13=2, Enginuity!$B$13=4)),
      AND(LEFT(P1525,5)="3-Way", OR(Enginuity!$B$13=3, Enginuity!$B$13=6)),
      AND(P1525="Inner Centre Jamb", OR(Enginuity!$B$13=4, Enginuity!$B$13=6)),
      AND(
        LEFT(P1525,5)&lt;&gt;"1-Way",
        LEFT(P1525,5)&lt;&gt;"2-Way",
        LEFT(P1525,5)&lt;&gt;"3-Way",
        P1525&lt;&gt;"Inner Centre Jamb"
      )
    ),
    IF(OR(Enginuity!$A$1="Frameless Glass",Enginuity!$A$1="Metal Work"),
      AND(TRIM(B1525)=TRIM(Enginuity!$A$17),TRIM(C1525)=TRIM(Enginuity!$A$18)),
      TRIM(B1525)=TRIM(Enginuity!$A$17)
    )
  ),
  ROW(),
  ""
)</f>
        <v/>
      </c>
    </row>
    <row r="1526" spans="1:21" x14ac:dyDescent="0.25">
      <c r="A1526" s="10" t="s">
        <v>795</v>
      </c>
      <c r="B1526" s="229"/>
      <c r="C1526" s="10"/>
      <c r="D1526" s="14"/>
      <c r="E1526" s="157"/>
      <c r="F1526" s="10"/>
      <c r="G1526" s="17"/>
      <c r="H1526" s="10"/>
      <c r="I1526" s="17"/>
      <c r="J1526" s="83"/>
      <c r="K1526" s="343"/>
      <c r="L1526" s="347"/>
      <c r="M1526" s="89"/>
      <c r="N1526" s="10"/>
      <c r="O1526" s="22"/>
      <c r="P1526" s="36"/>
      <c r="Q1526" s="98"/>
      <c r="U1526" s="104" t="str">
        <f>IF(
  AND(
    TRIM(A1526)=TRIM(Enginuity!$A$1),
    TRIM(B1526)=TRIM(Enginuity!$A$17),
    Q1526&lt;&gt;"",
    Q1526&lt;&gt;0,
    OR(
      TRIM(C1526)=TRIM(Enginuity!$A$18),
      AND(UPPER(TRIM(M1526))="STD", TRIM(B1526)=TRIM(Enginuity!$A$17))
    ),
    OR(
      AND(LEFT(P1526,5)="1-Way", Enginuity!$B$13=1),
      AND(LEFT(P1526,5)="2-Way", OR(Enginuity!$B$13=2, Enginuity!$B$13=4)),
      AND(LEFT(P1526,5)="3-Way", OR(Enginuity!$B$13=3, Enginuity!$B$13=6)),
      AND(P1526="Inner Centre Jamb", OR(Enginuity!$B$13=4, Enginuity!$B$13=6)),
      AND(
        LEFT(P1526,5)&lt;&gt;"1-Way",
        LEFT(P1526,5)&lt;&gt;"2-Way",
        LEFT(P1526,5)&lt;&gt;"3-Way",
        P1526&lt;&gt;"Inner Centre Jamb"
      )
    ),
    IF(OR(Enginuity!$A$1="Frameless Glass",Enginuity!$A$1="Metal Work"),
      AND(TRIM(B1526)=TRIM(Enginuity!$A$17),TRIM(C1526)=TRIM(Enginuity!$A$18)),
      TRIM(B1526)=TRIM(Enginuity!$A$17)
    )
  ),
  ROW(),
  ""
)</f>
        <v/>
      </c>
    </row>
    <row r="1527" spans="1:21" x14ac:dyDescent="0.25">
      <c r="A1527" s="10" t="s">
        <v>795</v>
      </c>
      <c r="B1527" s="229"/>
      <c r="C1527" s="10"/>
      <c r="D1527" s="14"/>
      <c r="E1527" s="157"/>
      <c r="F1527" s="10"/>
      <c r="G1527" s="17"/>
      <c r="H1527" s="10"/>
      <c r="I1527" s="17"/>
      <c r="J1527" s="83"/>
      <c r="K1527" s="343"/>
      <c r="L1527" s="347"/>
      <c r="M1527" s="89"/>
      <c r="N1527" s="10"/>
      <c r="O1527" s="22"/>
      <c r="P1527" s="36"/>
      <c r="Q1527" s="98"/>
      <c r="U1527" s="104" t="str">
        <f>IF(
  AND(
    TRIM(A1527)=TRIM(Enginuity!$A$1),
    TRIM(B1527)=TRIM(Enginuity!$A$17),
    Q1527&lt;&gt;"",
    Q1527&lt;&gt;0,
    OR(
      TRIM(C1527)=TRIM(Enginuity!$A$18),
      AND(UPPER(TRIM(M1527))="STD", TRIM(B1527)=TRIM(Enginuity!$A$17))
    ),
    OR(
      AND(LEFT(P1527,5)="1-Way", Enginuity!$B$13=1),
      AND(LEFT(P1527,5)="2-Way", OR(Enginuity!$B$13=2, Enginuity!$B$13=4)),
      AND(LEFT(P1527,5)="3-Way", OR(Enginuity!$B$13=3, Enginuity!$B$13=6)),
      AND(P1527="Inner Centre Jamb", OR(Enginuity!$B$13=4, Enginuity!$B$13=6)),
      AND(
        LEFT(P1527,5)&lt;&gt;"1-Way",
        LEFT(P1527,5)&lt;&gt;"2-Way",
        LEFT(P1527,5)&lt;&gt;"3-Way",
        P1527&lt;&gt;"Inner Centre Jamb"
      )
    ),
    IF(OR(Enginuity!$A$1="Frameless Glass",Enginuity!$A$1="Metal Work"),
      AND(TRIM(B1527)=TRIM(Enginuity!$A$17),TRIM(C1527)=TRIM(Enginuity!$A$18)),
      TRIM(B1527)=TRIM(Enginuity!$A$17)
    )
  ),
  ROW(),
  ""
)</f>
        <v/>
      </c>
    </row>
    <row r="1528" spans="1:21" x14ac:dyDescent="0.25">
      <c r="A1528" s="10" t="s">
        <v>795</v>
      </c>
      <c r="B1528" s="229"/>
      <c r="C1528" s="10"/>
      <c r="D1528" s="14"/>
      <c r="E1528" s="157"/>
      <c r="F1528" s="10"/>
      <c r="G1528" s="17"/>
      <c r="H1528" s="10"/>
      <c r="I1528" s="17"/>
      <c r="J1528" s="83"/>
      <c r="K1528" s="343"/>
      <c r="L1528" s="347"/>
      <c r="M1528" s="89"/>
      <c r="N1528" s="10"/>
      <c r="O1528" s="22"/>
      <c r="P1528" s="36"/>
      <c r="Q1528" s="98"/>
      <c r="U1528" s="104" t="str">
        <f>IF(
  AND(
    TRIM(A1528)=TRIM(Enginuity!$A$1),
    TRIM(B1528)=TRIM(Enginuity!$A$17),
    Q1528&lt;&gt;"",
    Q1528&lt;&gt;0,
    OR(
      TRIM(C1528)=TRIM(Enginuity!$A$18),
      AND(UPPER(TRIM(M1528))="STD", TRIM(B1528)=TRIM(Enginuity!$A$17))
    ),
    OR(
      AND(LEFT(P1528,5)="1-Way", Enginuity!$B$13=1),
      AND(LEFT(P1528,5)="2-Way", OR(Enginuity!$B$13=2, Enginuity!$B$13=4)),
      AND(LEFT(P1528,5)="3-Way", OR(Enginuity!$B$13=3, Enginuity!$B$13=6)),
      AND(P1528="Inner Centre Jamb", OR(Enginuity!$B$13=4, Enginuity!$B$13=6)),
      AND(
        LEFT(P1528,5)&lt;&gt;"1-Way",
        LEFT(P1528,5)&lt;&gt;"2-Way",
        LEFT(P1528,5)&lt;&gt;"3-Way",
        P1528&lt;&gt;"Inner Centre Jamb"
      )
    ),
    IF(OR(Enginuity!$A$1="Frameless Glass",Enginuity!$A$1="Metal Work"),
      AND(TRIM(B1528)=TRIM(Enginuity!$A$17),TRIM(C1528)=TRIM(Enginuity!$A$18)),
      TRIM(B1528)=TRIM(Enginuity!$A$17)
    )
  ),
  ROW(),
  ""
)</f>
        <v/>
      </c>
    </row>
    <row r="1529" spans="1:21" x14ac:dyDescent="0.25">
      <c r="A1529" s="10" t="s">
        <v>795</v>
      </c>
      <c r="B1529" s="229"/>
      <c r="C1529" s="10"/>
      <c r="D1529" s="14"/>
      <c r="E1529" s="157"/>
      <c r="F1529" s="10"/>
      <c r="G1529" s="17"/>
      <c r="H1529" s="10"/>
      <c r="I1529" s="17"/>
      <c r="J1529" s="83"/>
      <c r="K1529" s="343"/>
      <c r="L1529" s="347"/>
      <c r="M1529" s="89"/>
      <c r="N1529" s="10"/>
      <c r="O1529" s="22"/>
      <c r="P1529" s="36"/>
      <c r="Q1529" s="98"/>
      <c r="U1529" s="104" t="str">
        <f>IF(
  AND(
    TRIM(A1529)=TRIM(Enginuity!$A$1),
    TRIM(B1529)=TRIM(Enginuity!$A$17),
    Q1529&lt;&gt;"",
    Q1529&lt;&gt;0,
    OR(
      TRIM(C1529)=TRIM(Enginuity!$A$18),
      AND(UPPER(TRIM(M1529))="STD", TRIM(B1529)=TRIM(Enginuity!$A$17))
    ),
    OR(
      AND(LEFT(P1529,5)="1-Way", Enginuity!$B$13=1),
      AND(LEFT(P1529,5)="2-Way", OR(Enginuity!$B$13=2, Enginuity!$B$13=4)),
      AND(LEFT(P1529,5)="3-Way", OR(Enginuity!$B$13=3, Enginuity!$B$13=6)),
      AND(P1529="Inner Centre Jamb", OR(Enginuity!$B$13=4, Enginuity!$B$13=6)),
      AND(
        LEFT(P1529,5)&lt;&gt;"1-Way",
        LEFT(P1529,5)&lt;&gt;"2-Way",
        LEFT(P1529,5)&lt;&gt;"3-Way",
        P1529&lt;&gt;"Inner Centre Jamb"
      )
    ),
    IF(OR(Enginuity!$A$1="Frameless Glass",Enginuity!$A$1="Metal Work"),
      AND(TRIM(B1529)=TRIM(Enginuity!$A$17),TRIM(C1529)=TRIM(Enginuity!$A$18)),
      TRIM(B1529)=TRIM(Enginuity!$A$17)
    )
  ),
  ROW(),
  ""
)</f>
        <v/>
      </c>
    </row>
    <row r="1530" spans="1:21" x14ac:dyDescent="0.25">
      <c r="A1530" s="10" t="s">
        <v>795</v>
      </c>
      <c r="B1530" s="229"/>
      <c r="C1530" s="10"/>
      <c r="D1530" s="14"/>
      <c r="E1530" s="157"/>
      <c r="F1530" s="10"/>
      <c r="G1530" s="17"/>
      <c r="H1530" s="10"/>
      <c r="I1530" s="17"/>
      <c r="J1530" s="83"/>
      <c r="K1530" s="343"/>
      <c r="L1530" s="347"/>
      <c r="M1530" s="89"/>
      <c r="N1530" s="10"/>
      <c r="O1530" s="22"/>
      <c r="P1530" s="36"/>
      <c r="Q1530" s="98"/>
      <c r="U1530" s="104" t="str">
        <f>IF(
  AND(
    TRIM(A1530)=TRIM(Enginuity!$A$1),
    TRIM(B1530)=TRIM(Enginuity!$A$17),
    Q1530&lt;&gt;"",
    Q1530&lt;&gt;0,
    OR(
      TRIM(C1530)=TRIM(Enginuity!$A$18),
      AND(UPPER(TRIM(M1530))="STD", TRIM(B1530)=TRIM(Enginuity!$A$17))
    ),
    OR(
      AND(LEFT(P1530,5)="1-Way", Enginuity!$B$13=1),
      AND(LEFT(P1530,5)="2-Way", OR(Enginuity!$B$13=2, Enginuity!$B$13=4)),
      AND(LEFT(P1530,5)="3-Way", OR(Enginuity!$B$13=3, Enginuity!$B$13=6)),
      AND(P1530="Inner Centre Jamb", OR(Enginuity!$B$13=4, Enginuity!$B$13=6)),
      AND(
        LEFT(P1530,5)&lt;&gt;"1-Way",
        LEFT(P1530,5)&lt;&gt;"2-Way",
        LEFT(P1530,5)&lt;&gt;"3-Way",
        P1530&lt;&gt;"Inner Centre Jamb"
      )
    ),
    IF(OR(Enginuity!$A$1="Frameless Glass",Enginuity!$A$1="Metal Work"),
      AND(TRIM(B1530)=TRIM(Enginuity!$A$17),TRIM(C1530)=TRIM(Enginuity!$A$18)),
      TRIM(B1530)=TRIM(Enginuity!$A$17)
    )
  ),
  ROW(),
  ""
)</f>
        <v/>
      </c>
    </row>
    <row r="1531" spans="1:21" x14ac:dyDescent="0.25">
      <c r="A1531" s="10" t="s">
        <v>795</v>
      </c>
      <c r="B1531" s="229"/>
      <c r="C1531" s="10"/>
      <c r="D1531" s="14"/>
      <c r="E1531" s="157"/>
      <c r="F1531" s="10"/>
      <c r="G1531" s="17"/>
      <c r="H1531" s="10"/>
      <c r="I1531" s="17"/>
      <c r="J1531" s="83"/>
      <c r="K1531" s="343"/>
      <c r="L1531" s="347"/>
      <c r="M1531" s="89"/>
      <c r="N1531" s="10"/>
      <c r="O1531" s="22"/>
      <c r="P1531" s="36"/>
      <c r="Q1531" s="98"/>
      <c r="U1531" s="104" t="str">
        <f>IF(
  AND(
    TRIM(A1531)=TRIM(Enginuity!$A$1),
    TRIM(B1531)=TRIM(Enginuity!$A$17),
    Q1531&lt;&gt;"",
    Q1531&lt;&gt;0,
    OR(
      TRIM(C1531)=TRIM(Enginuity!$A$18),
      AND(UPPER(TRIM(M1531))="STD", TRIM(B1531)=TRIM(Enginuity!$A$17))
    ),
    OR(
      AND(LEFT(P1531,5)="1-Way", Enginuity!$B$13=1),
      AND(LEFT(P1531,5)="2-Way", OR(Enginuity!$B$13=2, Enginuity!$B$13=4)),
      AND(LEFT(P1531,5)="3-Way", OR(Enginuity!$B$13=3, Enginuity!$B$13=6)),
      AND(P1531="Inner Centre Jamb", OR(Enginuity!$B$13=4, Enginuity!$B$13=6)),
      AND(
        LEFT(P1531,5)&lt;&gt;"1-Way",
        LEFT(P1531,5)&lt;&gt;"2-Way",
        LEFT(P1531,5)&lt;&gt;"3-Way",
        P1531&lt;&gt;"Inner Centre Jamb"
      )
    ),
    IF(OR(Enginuity!$A$1="Frameless Glass",Enginuity!$A$1="Metal Work"),
      AND(TRIM(B1531)=TRIM(Enginuity!$A$17),TRIM(C1531)=TRIM(Enginuity!$A$18)),
      TRIM(B1531)=TRIM(Enginuity!$A$17)
    )
  ),
  ROW(),
  ""
)</f>
        <v/>
      </c>
    </row>
    <row r="1532" spans="1:21" x14ac:dyDescent="0.25">
      <c r="A1532" s="10" t="s">
        <v>795</v>
      </c>
      <c r="B1532" s="229"/>
      <c r="C1532" s="10"/>
      <c r="D1532" s="14"/>
      <c r="E1532" s="157"/>
      <c r="F1532" s="10"/>
      <c r="G1532" s="17"/>
      <c r="H1532" s="10"/>
      <c r="I1532" s="17"/>
      <c r="J1532" s="83"/>
      <c r="K1532" s="343"/>
      <c r="L1532" s="347"/>
      <c r="M1532" s="89"/>
      <c r="N1532" s="10"/>
      <c r="O1532" s="22"/>
      <c r="P1532" s="36"/>
      <c r="Q1532" s="98"/>
      <c r="U1532" s="104" t="str">
        <f>IF(
  AND(
    TRIM(A1532)=TRIM(Enginuity!$A$1),
    TRIM(B1532)=TRIM(Enginuity!$A$17),
    Q1532&lt;&gt;"",
    Q1532&lt;&gt;0,
    OR(
      TRIM(C1532)=TRIM(Enginuity!$A$18),
      AND(UPPER(TRIM(M1532))="STD", TRIM(B1532)=TRIM(Enginuity!$A$17))
    ),
    OR(
      AND(LEFT(P1532,5)="1-Way", Enginuity!$B$13=1),
      AND(LEFT(P1532,5)="2-Way", OR(Enginuity!$B$13=2, Enginuity!$B$13=4)),
      AND(LEFT(P1532,5)="3-Way", OR(Enginuity!$B$13=3, Enginuity!$B$13=6)),
      AND(P1532="Inner Centre Jamb", OR(Enginuity!$B$13=4, Enginuity!$B$13=6)),
      AND(
        LEFT(P1532,5)&lt;&gt;"1-Way",
        LEFT(P1532,5)&lt;&gt;"2-Way",
        LEFT(P1532,5)&lt;&gt;"3-Way",
        P1532&lt;&gt;"Inner Centre Jamb"
      )
    ),
    IF(OR(Enginuity!$A$1="Frameless Glass",Enginuity!$A$1="Metal Work"),
      AND(TRIM(B1532)=TRIM(Enginuity!$A$17),TRIM(C1532)=TRIM(Enginuity!$A$18)),
      TRIM(B1532)=TRIM(Enginuity!$A$17)
    )
  ),
  ROW(),
  ""
)</f>
        <v/>
      </c>
    </row>
    <row r="1533" spans="1:21" x14ac:dyDescent="0.25">
      <c r="A1533" s="10" t="s">
        <v>795</v>
      </c>
      <c r="B1533" s="229"/>
      <c r="C1533" s="10"/>
      <c r="D1533" s="14"/>
      <c r="E1533" s="157"/>
      <c r="F1533" s="10"/>
      <c r="G1533" s="17"/>
      <c r="H1533" s="10"/>
      <c r="I1533" s="17"/>
      <c r="J1533" s="83"/>
      <c r="K1533" s="343"/>
      <c r="L1533" s="347"/>
      <c r="M1533" s="89"/>
      <c r="N1533" s="10"/>
      <c r="O1533" s="22"/>
      <c r="P1533" s="36"/>
      <c r="Q1533" s="98"/>
      <c r="U1533" s="104" t="str">
        <f>IF(
  AND(
    TRIM(A1533)=TRIM(Enginuity!$A$1),
    TRIM(B1533)=TRIM(Enginuity!$A$17),
    Q1533&lt;&gt;"",
    Q1533&lt;&gt;0,
    OR(
      TRIM(C1533)=TRIM(Enginuity!$A$18),
      AND(UPPER(TRIM(M1533))="STD", TRIM(B1533)=TRIM(Enginuity!$A$17))
    ),
    OR(
      AND(LEFT(P1533,5)="1-Way", Enginuity!$B$13=1),
      AND(LEFT(P1533,5)="2-Way", OR(Enginuity!$B$13=2, Enginuity!$B$13=4)),
      AND(LEFT(P1533,5)="3-Way", OR(Enginuity!$B$13=3, Enginuity!$B$13=6)),
      AND(P1533="Inner Centre Jamb", OR(Enginuity!$B$13=4, Enginuity!$B$13=6)),
      AND(
        LEFT(P1533,5)&lt;&gt;"1-Way",
        LEFT(P1533,5)&lt;&gt;"2-Way",
        LEFT(P1533,5)&lt;&gt;"3-Way",
        P1533&lt;&gt;"Inner Centre Jamb"
      )
    ),
    IF(OR(Enginuity!$A$1="Frameless Glass",Enginuity!$A$1="Metal Work"),
      AND(TRIM(B1533)=TRIM(Enginuity!$A$17),TRIM(C1533)=TRIM(Enginuity!$A$18)),
      TRIM(B1533)=TRIM(Enginuity!$A$17)
    )
  ),
  ROW(),
  ""
)</f>
        <v/>
      </c>
    </row>
    <row r="1534" spans="1:21" x14ac:dyDescent="0.25">
      <c r="A1534" s="10" t="s">
        <v>795</v>
      </c>
      <c r="B1534" s="229"/>
      <c r="C1534" s="10"/>
      <c r="D1534" s="14"/>
      <c r="E1534" s="157"/>
      <c r="F1534" s="10"/>
      <c r="G1534" s="17"/>
      <c r="H1534" s="10"/>
      <c r="I1534" s="17"/>
      <c r="J1534" s="83"/>
      <c r="K1534" s="343"/>
      <c r="L1534" s="347"/>
      <c r="M1534" s="89"/>
      <c r="N1534" s="10"/>
      <c r="O1534" s="22"/>
      <c r="P1534" s="36"/>
      <c r="Q1534" s="98"/>
      <c r="U1534" s="104" t="str">
        <f>IF(
  AND(
    TRIM(A1534)=TRIM(Enginuity!$A$1),
    TRIM(B1534)=TRIM(Enginuity!$A$17),
    Q1534&lt;&gt;"",
    Q1534&lt;&gt;0,
    OR(
      TRIM(C1534)=TRIM(Enginuity!$A$18),
      AND(UPPER(TRIM(M1534))="STD", TRIM(B1534)=TRIM(Enginuity!$A$17))
    ),
    OR(
      AND(LEFT(P1534,5)="1-Way", Enginuity!$B$13=1),
      AND(LEFT(P1534,5)="2-Way", OR(Enginuity!$B$13=2, Enginuity!$B$13=4)),
      AND(LEFT(P1534,5)="3-Way", OR(Enginuity!$B$13=3, Enginuity!$B$13=6)),
      AND(P1534="Inner Centre Jamb", OR(Enginuity!$B$13=4, Enginuity!$B$13=6)),
      AND(
        LEFT(P1534,5)&lt;&gt;"1-Way",
        LEFT(P1534,5)&lt;&gt;"2-Way",
        LEFT(P1534,5)&lt;&gt;"3-Way",
        P1534&lt;&gt;"Inner Centre Jamb"
      )
    ),
    IF(OR(Enginuity!$A$1="Frameless Glass",Enginuity!$A$1="Metal Work"),
      AND(TRIM(B1534)=TRIM(Enginuity!$A$17),TRIM(C1534)=TRIM(Enginuity!$A$18)),
      TRIM(B1534)=TRIM(Enginuity!$A$17)
    )
  ),
  ROW(),
  ""
)</f>
        <v/>
      </c>
    </row>
    <row r="1535" spans="1:21" x14ac:dyDescent="0.25">
      <c r="A1535" s="10" t="s">
        <v>795</v>
      </c>
      <c r="B1535" s="229"/>
      <c r="C1535" s="10"/>
      <c r="D1535" s="14"/>
      <c r="E1535" s="157"/>
      <c r="F1535" s="10"/>
      <c r="G1535" s="17"/>
      <c r="H1535" s="10"/>
      <c r="I1535" s="17"/>
      <c r="J1535" s="83"/>
      <c r="K1535" s="343"/>
      <c r="L1535" s="347"/>
      <c r="M1535" s="89"/>
      <c r="N1535" s="10"/>
      <c r="O1535" s="22"/>
      <c r="P1535" s="36"/>
      <c r="Q1535" s="98"/>
      <c r="U1535" s="104" t="str">
        <f>IF(
  AND(
    TRIM(A1535)=TRIM(Enginuity!$A$1),
    TRIM(B1535)=TRIM(Enginuity!$A$17),
    Q1535&lt;&gt;"",
    Q1535&lt;&gt;0,
    OR(
      TRIM(C1535)=TRIM(Enginuity!$A$18),
      AND(UPPER(TRIM(M1535))="STD", TRIM(B1535)=TRIM(Enginuity!$A$17))
    ),
    OR(
      AND(LEFT(P1535,5)="1-Way", Enginuity!$B$13=1),
      AND(LEFT(P1535,5)="2-Way", OR(Enginuity!$B$13=2, Enginuity!$B$13=4)),
      AND(LEFT(P1535,5)="3-Way", OR(Enginuity!$B$13=3, Enginuity!$B$13=6)),
      AND(P1535="Inner Centre Jamb", OR(Enginuity!$B$13=4, Enginuity!$B$13=6)),
      AND(
        LEFT(P1535,5)&lt;&gt;"1-Way",
        LEFT(P1535,5)&lt;&gt;"2-Way",
        LEFT(P1535,5)&lt;&gt;"3-Way",
        P1535&lt;&gt;"Inner Centre Jamb"
      )
    ),
    IF(OR(Enginuity!$A$1="Frameless Glass",Enginuity!$A$1="Metal Work"),
      AND(TRIM(B1535)=TRIM(Enginuity!$A$17),TRIM(C1535)=TRIM(Enginuity!$A$18)),
      TRIM(B1535)=TRIM(Enginuity!$A$17)
    )
  ),
  ROW(),
  ""
)</f>
        <v/>
      </c>
    </row>
    <row r="1536" spans="1:21" x14ac:dyDescent="0.25">
      <c r="A1536" s="17" t="s">
        <v>768</v>
      </c>
      <c r="B1536" s="230"/>
      <c r="C1536" s="17"/>
      <c r="D1536" s="18"/>
      <c r="E1536" s="238"/>
      <c r="F1536" s="17"/>
      <c r="G1536" s="17"/>
      <c r="H1536" s="17"/>
      <c r="I1536" s="17"/>
      <c r="J1536" s="84"/>
      <c r="K1536" s="343"/>
      <c r="L1536" s="347"/>
      <c r="M1536" s="90"/>
      <c r="N1536" s="17"/>
      <c r="O1536" s="25"/>
      <c r="P1536" s="92"/>
      <c r="Q1536" s="179"/>
      <c r="U1536" s="104" t="str">
        <f>IF(
  AND(
    TRIM(A1536)=TRIM(Enginuity!$A$1),
    TRIM(B1536)=TRIM(Enginuity!$A$17),
    Q1536&lt;&gt;"",
    Q1536&lt;&gt;0,
    OR(
      TRIM(C1536)=TRIM(Enginuity!$A$18),
      AND(UPPER(TRIM(M1536))="STD", TRIM(B1536)=TRIM(Enginuity!$A$17))
    ),
    OR(
      AND(LEFT(P1536,5)="1-Way", Enginuity!$B$13=1),
      AND(LEFT(P1536,5)="2-Way", OR(Enginuity!$B$13=2, Enginuity!$B$13=4)),
      AND(LEFT(P1536,5)="3-Way", OR(Enginuity!$B$13=3, Enginuity!$B$13=6)),
      AND(P1536="Inner Centre Jamb", OR(Enginuity!$B$13=4, Enginuity!$B$13=6)),
      AND(
        LEFT(P1536,5)&lt;&gt;"1-Way",
        LEFT(P1536,5)&lt;&gt;"2-Way",
        LEFT(P1536,5)&lt;&gt;"3-Way",
        P1536&lt;&gt;"Inner Centre Jamb"
      )
    ),
    IF(OR(Enginuity!$A$1="Frameless Glass",Enginuity!$A$1="Metal Work"),
      AND(TRIM(B1536)=TRIM(Enginuity!$A$17),TRIM(C1536)=TRIM(Enginuity!$A$18)),
      TRIM(B1536)=TRIM(Enginuity!$A$17)
    )
  ),
  ROW(),
  ""
)</f>
        <v/>
      </c>
    </row>
    <row r="1537" spans="1:21" x14ac:dyDescent="0.25">
      <c r="A1537" s="10" t="s">
        <v>768</v>
      </c>
      <c r="B1537" s="229" t="s">
        <v>769</v>
      </c>
      <c r="C1537" s="14" t="s">
        <v>770</v>
      </c>
      <c r="D1537" s="14" t="str" cm="1">
        <f t="array" ref="D1537:D1541">IFERROR(INDEX(_xlfn._xlws.FILTER(AllMaterialsbak!$BA$2:$BA$30, AllMaterialsbak!$BA$2:$BA$30&lt;&gt;""), _xlfn.SEQUENCE(5)), "")</f>
        <v>Default</v>
      </c>
      <c r="E1537" s="157" t="s">
        <v>257</v>
      </c>
      <c r="F1537" s="21"/>
      <c r="G1537" s="17"/>
      <c r="H1537" s="10"/>
      <c r="I1537" s="17"/>
      <c r="J1537" s="83"/>
      <c r="K1537" s="344">
        <v>0.5</v>
      </c>
      <c r="L1537" s="347">
        <v>1219.2</v>
      </c>
      <c r="M1537" s="12"/>
      <c r="N1537" s="10" t="s">
        <v>176</v>
      </c>
      <c r="O1537" s="22">
        <v>765.1</v>
      </c>
      <c r="P1537" s="14" t="s">
        <v>770</v>
      </c>
      <c r="Q1537" s="22" t="str">
        <f>IF(Enginuity!$A$18=C1537,1,"")</f>
        <v/>
      </c>
      <c r="U1537" s="104" t="str">
        <f>IF(
  AND(
    TRIM(A1537)=TRIM(Enginuity!$A$1),
    TRIM(B1537)=TRIM(Enginuity!$A$17),
    Q1537&lt;&gt;"",
    Q1537&lt;&gt;0,
    OR(
      TRIM(C1537)=TRIM(Enginuity!$A$18),
      AND(UPPER(TRIM(M1537))="STD", TRIM(B1537)=TRIM(Enginuity!$A$17))
    ),
    OR(
      AND(LEFT(P1537,5)="1-Way", Enginuity!$B$13=1),
      AND(LEFT(P1537,5)="2-Way", OR(Enginuity!$B$13=2, Enginuity!$B$13=4)),
      AND(LEFT(P1537,5)="3-Way", OR(Enginuity!$B$13=3, Enginuity!$B$13=6)),
      AND(P1537="Inner Centre Jamb", OR(Enginuity!$B$13=4, Enginuity!$B$13=6)),
      AND(
        LEFT(P1537,5)&lt;&gt;"1-Way",
        LEFT(P1537,5)&lt;&gt;"2-Way",
        LEFT(P1537,5)&lt;&gt;"3-Way",
        P1537&lt;&gt;"Inner Centre Jamb"
      )
    ),
    IF(OR(Enginuity!$A$1="Frameless Glass",Enginuity!$A$1="Metal Work"),
      AND(TRIM(B1537)=TRIM(Enginuity!$A$17),TRIM(C1537)=TRIM(Enginuity!$A$18)),
      TRIM(B1537)=TRIM(Enginuity!$A$17)
    )
  ),
  ROW(),
  ""
)</f>
        <v/>
      </c>
    </row>
    <row r="1538" spans="1:21" x14ac:dyDescent="0.25">
      <c r="A1538" s="10" t="s">
        <v>768</v>
      </c>
      <c r="B1538" s="229" t="s">
        <v>769</v>
      </c>
      <c r="C1538" s="14" t="s">
        <v>771</v>
      </c>
      <c r="D1538" s="14" t="str">
        <v xml:space="preserve">2" Louver Blade N/A </v>
      </c>
      <c r="E1538" s="157" t="s">
        <v>269</v>
      </c>
      <c r="F1538" s="21"/>
      <c r="G1538" s="17"/>
      <c r="H1538" s="10"/>
      <c r="I1538" s="17"/>
      <c r="J1538" s="83"/>
      <c r="K1538" s="343"/>
      <c r="L1538" s="347"/>
      <c r="M1538" s="12"/>
      <c r="N1538" s="10" t="s">
        <v>176</v>
      </c>
      <c r="O1538" s="22">
        <v>1051.0999999999999</v>
      </c>
      <c r="P1538" s="14" t="s">
        <v>771</v>
      </c>
      <c r="Q1538" s="22" t="str">
        <f>IF(Enginuity!$A$18=C1538,1,"")</f>
        <v/>
      </c>
      <c r="U1538" s="104" t="str">
        <f>IF(
  AND(
    TRIM(A1538)=TRIM(Enginuity!$A$1),
    TRIM(B1538)=TRIM(Enginuity!$A$17),
    Q1538&lt;&gt;"",
    Q1538&lt;&gt;0,
    OR(
      TRIM(C1538)=TRIM(Enginuity!$A$18),
      AND(UPPER(TRIM(M1538))="STD", TRIM(B1538)=TRIM(Enginuity!$A$17))
    ),
    OR(
      AND(LEFT(P1538,5)="1-Way", Enginuity!$B$13=1),
      AND(LEFT(P1538,5)="2-Way", OR(Enginuity!$B$13=2, Enginuity!$B$13=4)),
      AND(LEFT(P1538,5)="3-Way", OR(Enginuity!$B$13=3, Enginuity!$B$13=6)),
      AND(P1538="Inner Centre Jamb", OR(Enginuity!$B$13=4, Enginuity!$B$13=6)),
      AND(
        LEFT(P1538,5)&lt;&gt;"1-Way",
        LEFT(P1538,5)&lt;&gt;"2-Way",
        LEFT(P1538,5)&lt;&gt;"3-Way",
        P1538&lt;&gt;"Inner Centre Jamb"
      )
    ),
    IF(OR(Enginuity!$A$1="Frameless Glass",Enginuity!$A$1="Metal Work"),
      AND(TRIM(B1538)=TRIM(Enginuity!$A$17),TRIM(C1538)=TRIM(Enginuity!$A$18)),
      TRIM(B1538)=TRIM(Enginuity!$A$17)
    )
  ),
  ROW(),
  ""
)</f>
        <v/>
      </c>
    </row>
    <row r="1539" spans="1:21" x14ac:dyDescent="0.25">
      <c r="A1539" s="10" t="s">
        <v>768</v>
      </c>
      <c r="B1539" s="229" t="s">
        <v>769</v>
      </c>
      <c r="C1539" s="14" t="s">
        <v>772</v>
      </c>
      <c r="D1539" s="14" t="str">
        <v>2" Louver Blade P/C</v>
      </c>
      <c r="E1539" s="157"/>
      <c r="F1539" s="21"/>
      <c r="G1539" s="17"/>
      <c r="H1539" s="10"/>
      <c r="I1539" s="17"/>
      <c r="J1539" s="83"/>
      <c r="K1539" s="343"/>
      <c r="L1539" s="347"/>
      <c r="M1539" s="12"/>
      <c r="N1539" s="10" t="s">
        <v>176</v>
      </c>
      <c r="O1539" s="22">
        <v>1322.9</v>
      </c>
      <c r="P1539" s="14" t="s">
        <v>772</v>
      </c>
      <c r="Q1539" s="22" t="str">
        <f>IF(Enginuity!$A$18=C1539,1,"")</f>
        <v/>
      </c>
      <c r="U1539" s="104" t="str">
        <f>IF(
  AND(
    TRIM(A1539)=TRIM(Enginuity!$A$1),
    TRIM(B1539)=TRIM(Enginuity!$A$17),
    Q1539&lt;&gt;"",
    Q1539&lt;&gt;0,
    OR(
      TRIM(C1539)=TRIM(Enginuity!$A$18),
      AND(UPPER(TRIM(M1539))="STD", TRIM(B1539)=TRIM(Enginuity!$A$17))
    ),
    OR(
      AND(LEFT(P1539,5)="1-Way", Enginuity!$B$13=1),
      AND(LEFT(P1539,5)="2-Way", OR(Enginuity!$B$13=2, Enginuity!$B$13=4)),
      AND(LEFT(P1539,5)="3-Way", OR(Enginuity!$B$13=3, Enginuity!$B$13=6)),
      AND(P1539="Inner Centre Jamb", OR(Enginuity!$B$13=4, Enginuity!$B$13=6)),
      AND(
        LEFT(P1539,5)&lt;&gt;"1-Way",
        LEFT(P1539,5)&lt;&gt;"2-Way",
        LEFT(P1539,5)&lt;&gt;"3-Way",
        P1539&lt;&gt;"Inner Centre Jamb"
      )
    ),
    IF(OR(Enginuity!$A$1="Frameless Glass",Enginuity!$A$1="Metal Work"),
      AND(TRIM(B1539)=TRIM(Enginuity!$A$17),TRIM(C1539)=TRIM(Enginuity!$A$18)),
      TRIM(B1539)=TRIM(Enginuity!$A$17)
    )
  ),
  ROW(),
  ""
)</f>
        <v/>
      </c>
    </row>
    <row r="1540" spans="1:21" x14ac:dyDescent="0.25">
      <c r="A1540" s="10" t="s">
        <v>768</v>
      </c>
      <c r="B1540" s="229" t="s">
        <v>769</v>
      </c>
      <c r="C1540" s="14" t="s">
        <v>773</v>
      </c>
      <c r="D1540" s="14" t="str">
        <v xml:space="preserve">5" Louver Blade N/A </v>
      </c>
      <c r="E1540" s="157"/>
      <c r="F1540" s="14"/>
      <c r="G1540" s="17"/>
      <c r="H1540" s="10"/>
      <c r="I1540" s="17"/>
      <c r="J1540" s="83"/>
      <c r="K1540" s="343"/>
      <c r="L1540" s="347"/>
      <c r="M1540" s="12"/>
      <c r="N1540" s="10" t="s">
        <v>176</v>
      </c>
      <c r="O1540" s="22">
        <v>1702.7</v>
      </c>
      <c r="P1540" s="14" t="s">
        <v>773</v>
      </c>
      <c r="Q1540" s="22" t="str">
        <f>IF(Enginuity!$A$18=C1540,1,"")</f>
        <v/>
      </c>
      <c r="U1540" s="104" t="str">
        <f>IF(
  AND(
    TRIM(A1540)=TRIM(Enginuity!$A$1),
    TRIM(B1540)=TRIM(Enginuity!$A$17),
    Q1540&lt;&gt;"",
    Q1540&lt;&gt;0,
    OR(
      TRIM(C1540)=TRIM(Enginuity!$A$18),
      AND(UPPER(TRIM(M1540))="STD", TRIM(B1540)=TRIM(Enginuity!$A$17))
    ),
    OR(
      AND(LEFT(P1540,5)="1-Way", Enginuity!$B$13=1),
      AND(LEFT(P1540,5)="2-Way", OR(Enginuity!$B$13=2, Enginuity!$B$13=4)),
      AND(LEFT(P1540,5)="3-Way", OR(Enginuity!$B$13=3, Enginuity!$B$13=6)),
      AND(P1540="Inner Centre Jamb", OR(Enginuity!$B$13=4, Enginuity!$B$13=6)),
      AND(
        LEFT(P1540,5)&lt;&gt;"1-Way",
        LEFT(P1540,5)&lt;&gt;"2-Way",
        LEFT(P1540,5)&lt;&gt;"3-Way",
        P1540&lt;&gt;"Inner Centre Jamb"
      )
    ),
    IF(OR(Enginuity!$A$1="Frameless Glass",Enginuity!$A$1="Metal Work"),
      AND(TRIM(B1540)=TRIM(Enginuity!$A$17),TRIM(C1540)=TRIM(Enginuity!$A$18)),
      TRIM(B1540)=TRIM(Enginuity!$A$17)
    )
  ),
  ROW(),
  ""
)</f>
        <v/>
      </c>
    </row>
    <row r="1541" spans="1:21" x14ac:dyDescent="0.25">
      <c r="A1541" s="10" t="s">
        <v>768</v>
      </c>
      <c r="B1541" s="229" t="s">
        <v>769</v>
      </c>
      <c r="C1541" s="14" t="s">
        <v>774</v>
      </c>
      <c r="D1541" s="14" t="str">
        <v>5" Louver Blade P/C</v>
      </c>
      <c r="E1541" s="160"/>
      <c r="F1541" s="14"/>
      <c r="G1541" s="17"/>
      <c r="H1541" s="10"/>
      <c r="I1541" s="17"/>
      <c r="J1541" s="83"/>
      <c r="K1541" s="343"/>
      <c r="L1541" s="347"/>
      <c r="M1541" s="89"/>
      <c r="N1541" s="10" t="s">
        <v>176</v>
      </c>
      <c r="O1541" s="22">
        <v>1419.1</v>
      </c>
      <c r="P1541" s="14" t="s">
        <v>774</v>
      </c>
      <c r="Q1541" s="22" t="str">
        <f>IF(Enginuity!$A$18=C1541,1,"")</f>
        <v/>
      </c>
      <c r="U1541" s="104" t="str">
        <f>IF(
  AND(
    TRIM(A1541)=TRIM(Enginuity!$A$1),
    TRIM(B1541)=TRIM(Enginuity!$A$17),
    Q1541&lt;&gt;"",
    Q1541&lt;&gt;0,
    OR(
      TRIM(C1541)=TRIM(Enginuity!$A$18),
      AND(UPPER(TRIM(M1541))="STD", TRIM(B1541)=TRIM(Enginuity!$A$17))
    ),
    OR(
      AND(LEFT(P1541,5)="1-Way", Enginuity!$B$13=1),
      AND(LEFT(P1541,5)="2-Way", OR(Enginuity!$B$13=2, Enginuity!$B$13=4)),
      AND(LEFT(P1541,5)="3-Way", OR(Enginuity!$B$13=3, Enginuity!$B$13=6)),
      AND(P1541="Inner Centre Jamb", OR(Enginuity!$B$13=4, Enginuity!$B$13=6)),
      AND(
        LEFT(P1541,5)&lt;&gt;"1-Way",
        LEFT(P1541,5)&lt;&gt;"2-Way",
        LEFT(P1541,5)&lt;&gt;"3-Way",
        P1541&lt;&gt;"Inner Centre Jamb"
      )
    ),
    IF(OR(Enginuity!$A$1="Frameless Glass",Enginuity!$A$1="Metal Work"),
      AND(TRIM(B1541)=TRIM(Enginuity!$A$17),TRIM(C1541)=TRIM(Enginuity!$A$18)),
      TRIM(B1541)=TRIM(Enginuity!$A$17)
    )
  ),
  ROW(),
  ""
)</f>
        <v/>
      </c>
    </row>
    <row r="1542" spans="1:21" x14ac:dyDescent="0.25">
      <c r="A1542" s="10" t="s">
        <v>768</v>
      </c>
      <c r="B1542" s="229" t="s">
        <v>769</v>
      </c>
      <c r="C1542" s="14" t="s">
        <v>775</v>
      </c>
      <c r="D1542" s="14"/>
      <c r="E1542" s="160"/>
      <c r="F1542" s="36"/>
      <c r="G1542" s="17"/>
      <c r="H1542" s="10"/>
      <c r="I1542" s="17"/>
      <c r="J1542" s="83"/>
      <c r="K1542" s="343"/>
      <c r="L1542" s="347"/>
      <c r="M1542" s="12"/>
      <c r="N1542" s="10" t="s">
        <v>176</v>
      </c>
      <c r="O1542" s="22">
        <v>1673.1</v>
      </c>
      <c r="P1542" s="14" t="s">
        <v>775</v>
      </c>
      <c r="Q1542" s="22" t="str">
        <f>IF(Enginuity!$A$18=C1542,1,"")</f>
        <v/>
      </c>
      <c r="U1542" s="104" t="str">
        <f>IF(
  AND(
    TRIM(A1542)=TRIM(Enginuity!$A$1),
    TRIM(B1542)=TRIM(Enginuity!$A$17),
    Q1542&lt;&gt;"",
    Q1542&lt;&gt;0,
    OR(
      TRIM(C1542)=TRIM(Enginuity!$A$18),
      AND(UPPER(TRIM(M1542))="STD", TRIM(B1542)=TRIM(Enginuity!$A$17))
    ),
    OR(
      AND(LEFT(P1542,5)="1-Way", Enginuity!$B$13=1),
      AND(LEFT(P1542,5)="2-Way", OR(Enginuity!$B$13=2, Enginuity!$B$13=4)),
      AND(LEFT(P1542,5)="3-Way", OR(Enginuity!$B$13=3, Enginuity!$B$13=6)),
      AND(P1542="Inner Centre Jamb", OR(Enginuity!$B$13=4, Enginuity!$B$13=6)),
      AND(
        LEFT(P1542,5)&lt;&gt;"1-Way",
        LEFT(P1542,5)&lt;&gt;"2-Way",
        LEFT(P1542,5)&lt;&gt;"3-Way",
        P1542&lt;&gt;"Inner Centre Jamb"
      )
    ),
    IF(OR(Enginuity!$A$1="Frameless Glass",Enginuity!$A$1="Metal Work"),
      AND(TRIM(B1542)=TRIM(Enginuity!$A$17),TRIM(C1542)=TRIM(Enginuity!$A$18)),
      TRIM(B1542)=TRIM(Enginuity!$A$17)
    )
  ),
  ROW(),
  ""
)</f>
        <v/>
      </c>
    </row>
    <row r="1543" spans="1:21" x14ac:dyDescent="0.25">
      <c r="A1543" s="10" t="s">
        <v>768</v>
      </c>
      <c r="B1543" s="229" t="s">
        <v>769</v>
      </c>
      <c r="C1543" s="14" t="s">
        <v>776</v>
      </c>
      <c r="D1543" s="14"/>
      <c r="E1543" s="160"/>
      <c r="F1543" s="14"/>
      <c r="G1543" s="17"/>
      <c r="H1543" s="10"/>
      <c r="I1543" s="17"/>
      <c r="J1543" s="83"/>
      <c r="K1543" s="343"/>
      <c r="L1543" s="347"/>
      <c r="M1543" s="12"/>
      <c r="N1543" s="10" t="s">
        <v>176</v>
      </c>
      <c r="O1543" s="22">
        <v>1833.1</v>
      </c>
      <c r="P1543" s="14" t="s">
        <v>776</v>
      </c>
      <c r="Q1543" s="22" t="str">
        <f>IF(Enginuity!$A$18=C1543,1,"")</f>
        <v/>
      </c>
      <c r="U1543" s="104" t="str">
        <f>IF(
  AND(
    TRIM(A1543)=TRIM(Enginuity!$A$1),
    TRIM(B1543)=TRIM(Enginuity!$A$17),
    Q1543&lt;&gt;"",
    Q1543&lt;&gt;0,
    OR(
      TRIM(C1543)=TRIM(Enginuity!$A$18),
      AND(UPPER(TRIM(M1543))="STD", TRIM(B1543)=TRIM(Enginuity!$A$17))
    ),
    OR(
      AND(LEFT(P1543,5)="1-Way", Enginuity!$B$13=1),
      AND(LEFT(P1543,5)="2-Way", OR(Enginuity!$B$13=2, Enginuity!$B$13=4)),
      AND(LEFT(P1543,5)="3-Way", OR(Enginuity!$B$13=3, Enginuity!$B$13=6)),
      AND(P1543="Inner Centre Jamb", OR(Enginuity!$B$13=4, Enginuity!$B$13=6)),
      AND(
        LEFT(P1543,5)&lt;&gt;"1-Way",
        LEFT(P1543,5)&lt;&gt;"2-Way",
        LEFT(P1543,5)&lt;&gt;"3-Way",
        P1543&lt;&gt;"Inner Centre Jamb"
      )
    ),
    IF(OR(Enginuity!$A$1="Frameless Glass",Enginuity!$A$1="Metal Work"),
      AND(TRIM(B1543)=TRIM(Enginuity!$A$17),TRIM(C1543)=TRIM(Enginuity!$A$18)),
      TRIM(B1543)=TRIM(Enginuity!$A$17)
    )
  ),
  ROW(),
  ""
)</f>
        <v/>
      </c>
    </row>
    <row r="1544" spans="1:21" x14ac:dyDescent="0.25">
      <c r="A1544" s="10" t="s">
        <v>768</v>
      </c>
      <c r="B1544" s="229" t="s">
        <v>769</v>
      </c>
      <c r="C1544" s="14" t="s">
        <v>777</v>
      </c>
      <c r="D1544" s="14"/>
      <c r="E1544" s="160"/>
      <c r="F1544" s="14"/>
      <c r="G1544" s="17"/>
      <c r="H1544" s="10"/>
      <c r="I1544" s="17"/>
      <c r="J1544" s="83"/>
      <c r="K1544" s="343"/>
      <c r="L1544" s="347"/>
      <c r="M1544" s="12"/>
      <c r="N1544" s="10" t="s">
        <v>176</v>
      </c>
      <c r="O1544" s="22">
        <v>2087.1</v>
      </c>
      <c r="P1544" s="14" t="s">
        <v>777</v>
      </c>
      <c r="Q1544" s="22" t="str">
        <f>IF(Enginuity!$A$18=C1544,1,"")</f>
        <v/>
      </c>
      <c r="U1544" s="104" t="str">
        <f>IF(
  AND(
    TRIM(A1544)=TRIM(Enginuity!$A$1),
    TRIM(B1544)=TRIM(Enginuity!$A$17),
    Q1544&lt;&gt;"",
    Q1544&lt;&gt;0,
    OR(
      TRIM(C1544)=TRIM(Enginuity!$A$18),
      AND(UPPER(TRIM(M1544))="STD", TRIM(B1544)=TRIM(Enginuity!$A$17))
    ),
    OR(
      AND(LEFT(P1544,5)="1-Way", Enginuity!$B$13=1),
      AND(LEFT(P1544,5)="2-Way", OR(Enginuity!$B$13=2, Enginuity!$B$13=4)),
      AND(LEFT(P1544,5)="3-Way", OR(Enginuity!$B$13=3, Enginuity!$B$13=6)),
      AND(P1544="Inner Centre Jamb", OR(Enginuity!$B$13=4, Enginuity!$B$13=6)),
      AND(
        LEFT(P1544,5)&lt;&gt;"1-Way",
        LEFT(P1544,5)&lt;&gt;"2-Way",
        LEFT(P1544,5)&lt;&gt;"3-Way",
        P1544&lt;&gt;"Inner Centre Jamb"
      )
    ),
    IF(OR(Enginuity!$A$1="Frameless Glass",Enginuity!$A$1="Metal Work"),
      AND(TRIM(B1544)=TRIM(Enginuity!$A$17),TRIM(C1544)=TRIM(Enginuity!$A$18)),
      TRIM(B1544)=TRIM(Enginuity!$A$17)
    )
  ),
  ROW(),
  ""
)</f>
        <v/>
      </c>
    </row>
    <row r="1545" spans="1:21" x14ac:dyDescent="0.25">
      <c r="A1545" s="10" t="s">
        <v>768</v>
      </c>
      <c r="B1545" s="229" t="s">
        <v>769</v>
      </c>
      <c r="C1545" s="14" t="s">
        <v>778</v>
      </c>
      <c r="D1545" s="14"/>
      <c r="E1545" s="247"/>
      <c r="F1545" s="10"/>
      <c r="G1545" s="17"/>
      <c r="H1545" s="10"/>
      <c r="I1545" s="17"/>
      <c r="J1545" s="83"/>
      <c r="K1545" s="343"/>
      <c r="L1545" s="347"/>
      <c r="M1545" s="89"/>
      <c r="N1545" s="10" t="s">
        <v>176</v>
      </c>
      <c r="O1545" s="22">
        <v>3017.8</v>
      </c>
      <c r="P1545" s="14" t="s">
        <v>778</v>
      </c>
      <c r="Q1545" s="22" t="str">
        <f>IF(Enginuity!$A$18=C1545,1,"")</f>
        <v/>
      </c>
      <c r="U1545" s="104" t="str">
        <f>IF(
  AND(
    TRIM(A1545)=TRIM(Enginuity!$A$1),
    TRIM(B1545)=TRIM(Enginuity!$A$17),
    Q1545&lt;&gt;"",
    Q1545&lt;&gt;0,
    OR(
      TRIM(C1545)=TRIM(Enginuity!$A$18),
      AND(UPPER(TRIM(M1545))="STD", TRIM(B1545)=TRIM(Enginuity!$A$17))
    ),
    OR(
      AND(LEFT(P1545,5)="1-Way", Enginuity!$B$13=1),
      AND(LEFT(P1545,5)="2-Way", OR(Enginuity!$B$13=2, Enginuity!$B$13=4)),
      AND(LEFT(P1545,5)="3-Way", OR(Enginuity!$B$13=3, Enginuity!$B$13=6)),
      AND(P1545="Inner Centre Jamb", OR(Enginuity!$B$13=4, Enginuity!$B$13=6)),
      AND(
        LEFT(P1545,5)&lt;&gt;"1-Way",
        LEFT(P1545,5)&lt;&gt;"2-Way",
        LEFT(P1545,5)&lt;&gt;"3-Way",
        P1545&lt;&gt;"Inner Centre Jamb"
      )
    ),
    IF(OR(Enginuity!$A$1="Frameless Glass",Enginuity!$A$1="Metal Work"),
      AND(TRIM(B1545)=TRIM(Enginuity!$A$17),TRIM(C1545)=TRIM(Enginuity!$A$18)),
      TRIM(B1545)=TRIM(Enginuity!$A$17)
    )
  ),
  ROW(),
  ""
)</f>
        <v/>
      </c>
    </row>
    <row r="1546" spans="1:21" x14ac:dyDescent="0.25">
      <c r="A1546" s="10" t="s">
        <v>768</v>
      </c>
      <c r="B1546" s="229" t="s">
        <v>769</v>
      </c>
      <c r="C1546" s="14" t="s">
        <v>779</v>
      </c>
      <c r="D1546" s="14"/>
      <c r="E1546" s="157"/>
      <c r="F1546" s="10"/>
      <c r="G1546" s="17"/>
      <c r="H1546" s="10"/>
      <c r="I1546" s="17"/>
      <c r="J1546" s="83"/>
      <c r="K1546" s="343"/>
      <c r="L1546" s="347"/>
      <c r="M1546" s="89"/>
      <c r="N1546" s="10" t="s">
        <v>176</v>
      </c>
      <c r="O1546" s="22">
        <v>3400</v>
      </c>
      <c r="P1546" s="14" t="s">
        <v>779</v>
      </c>
      <c r="Q1546" s="22" t="str">
        <f>IF(Enginuity!$A$18=C1546,1,"")</f>
        <v/>
      </c>
      <c r="U1546" s="104" t="str">
        <f>IF(
  AND(
    TRIM(A1546)=TRIM(Enginuity!$A$1),
    TRIM(B1546)=TRIM(Enginuity!$A$17),
    Q1546&lt;&gt;"",
    Q1546&lt;&gt;0,
    OR(
      TRIM(C1546)=TRIM(Enginuity!$A$18),
      AND(UPPER(TRIM(M1546))="STD", TRIM(B1546)=TRIM(Enginuity!$A$17))
    ),
    OR(
      AND(LEFT(P1546,5)="1-Way", Enginuity!$B$13=1),
      AND(LEFT(P1546,5)="2-Way", OR(Enginuity!$B$13=2, Enginuity!$B$13=4)),
      AND(LEFT(P1546,5)="3-Way", OR(Enginuity!$B$13=3, Enginuity!$B$13=6)),
      AND(P1546="Inner Centre Jamb", OR(Enginuity!$B$13=4, Enginuity!$B$13=6)),
      AND(
        LEFT(P1546,5)&lt;&gt;"1-Way",
        LEFT(P1546,5)&lt;&gt;"2-Way",
        LEFT(P1546,5)&lt;&gt;"3-Way",
        P1546&lt;&gt;"Inner Centre Jamb"
      )
    ),
    IF(OR(Enginuity!$A$1="Frameless Glass",Enginuity!$A$1="Metal Work"),
      AND(TRIM(B1546)=TRIM(Enginuity!$A$17),TRIM(C1546)=TRIM(Enginuity!$A$18)),
      TRIM(B1546)=TRIM(Enginuity!$A$17)
    )
  ),
  ROW(),
  ""
)</f>
        <v/>
      </c>
    </row>
    <row r="1547" spans="1:21" x14ac:dyDescent="0.25">
      <c r="A1547" s="10" t="s">
        <v>768</v>
      </c>
      <c r="B1547" s="229" t="s">
        <v>769</v>
      </c>
      <c r="C1547" s="14" t="s">
        <v>780</v>
      </c>
      <c r="D1547" s="14"/>
      <c r="E1547" s="157"/>
      <c r="F1547" s="10"/>
      <c r="G1547" s="17"/>
      <c r="H1547" s="10"/>
      <c r="I1547" s="17"/>
      <c r="J1547" s="83"/>
      <c r="K1547" s="343"/>
      <c r="L1547" s="347"/>
      <c r="M1547" s="89"/>
      <c r="N1547" s="10" t="s">
        <v>176</v>
      </c>
      <c r="O1547" s="22">
        <v>4211.2</v>
      </c>
      <c r="P1547" s="14" t="s">
        <v>780</v>
      </c>
      <c r="Q1547" s="22" t="str">
        <f>IF(Enginuity!$A$18=C1547,1,"")</f>
        <v/>
      </c>
      <c r="U1547" s="104" t="str">
        <f>IF(
  AND(
    TRIM(A1547)=TRIM(Enginuity!$A$1),
    TRIM(B1547)=TRIM(Enginuity!$A$17),
    Q1547&lt;&gt;"",
    Q1547&lt;&gt;0,
    OR(
      TRIM(C1547)=TRIM(Enginuity!$A$18),
      AND(UPPER(TRIM(M1547))="STD", TRIM(B1547)=TRIM(Enginuity!$A$17))
    ),
    OR(
      AND(LEFT(P1547,5)="1-Way", Enginuity!$B$13=1),
      AND(LEFT(P1547,5)="2-Way", OR(Enginuity!$B$13=2, Enginuity!$B$13=4)),
      AND(LEFT(P1547,5)="3-Way", OR(Enginuity!$B$13=3, Enginuity!$B$13=6)),
      AND(P1547="Inner Centre Jamb", OR(Enginuity!$B$13=4, Enginuity!$B$13=6)),
      AND(
        LEFT(P1547,5)&lt;&gt;"1-Way",
        LEFT(P1547,5)&lt;&gt;"2-Way",
        LEFT(P1547,5)&lt;&gt;"3-Way",
        P1547&lt;&gt;"Inner Centre Jamb"
      )
    ),
    IF(OR(Enginuity!$A$1="Frameless Glass",Enginuity!$A$1="Metal Work"),
      AND(TRIM(B1547)=TRIM(Enginuity!$A$17),TRIM(C1547)=TRIM(Enginuity!$A$18)),
      TRIM(B1547)=TRIM(Enginuity!$A$17)
    )
  ),
  ROW(),
  ""
)</f>
        <v/>
      </c>
    </row>
    <row r="1548" spans="1:21" x14ac:dyDescent="0.25">
      <c r="A1548" s="10" t="s">
        <v>768</v>
      </c>
      <c r="B1548" s="229" t="s">
        <v>769</v>
      </c>
      <c r="C1548" s="14" t="s">
        <v>781</v>
      </c>
      <c r="D1548" s="14"/>
      <c r="E1548" s="157"/>
      <c r="F1548" s="10"/>
      <c r="G1548" s="17"/>
      <c r="H1548" s="10"/>
      <c r="I1548" s="17"/>
      <c r="J1548" s="83"/>
      <c r="K1548" s="343"/>
      <c r="L1548" s="347"/>
      <c r="M1548" s="89"/>
      <c r="N1548" s="10" t="s">
        <v>176</v>
      </c>
      <c r="O1548" s="22">
        <v>4840.3999999999996</v>
      </c>
      <c r="P1548" s="14" t="s">
        <v>781</v>
      </c>
      <c r="Q1548" s="22" t="str">
        <f>IF(Enginuity!$A$18=C1548,1,"")</f>
        <v/>
      </c>
      <c r="U1548" s="104" t="str">
        <f>IF(
  AND(
    TRIM(A1548)=TRIM(Enginuity!$A$1),
    TRIM(B1548)=TRIM(Enginuity!$A$17),
    Q1548&lt;&gt;"",
    Q1548&lt;&gt;0,
    OR(
      TRIM(C1548)=TRIM(Enginuity!$A$18),
      AND(UPPER(TRIM(M1548))="STD", TRIM(B1548)=TRIM(Enginuity!$A$17))
    ),
    OR(
      AND(LEFT(P1548,5)="1-Way", Enginuity!$B$13=1),
      AND(LEFT(P1548,5)="2-Way", OR(Enginuity!$B$13=2, Enginuity!$B$13=4)),
      AND(LEFT(P1548,5)="3-Way", OR(Enginuity!$B$13=3, Enginuity!$B$13=6)),
      AND(P1548="Inner Centre Jamb", OR(Enginuity!$B$13=4, Enginuity!$B$13=6)),
      AND(
        LEFT(P1548,5)&lt;&gt;"1-Way",
        LEFT(P1548,5)&lt;&gt;"2-Way",
        LEFT(P1548,5)&lt;&gt;"3-Way",
        P1548&lt;&gt;"Inner Centre Jamb"
      )
    ),
    IF(OR(Enginuity!$A$1="Frameless Glass",Enginuity!$A$1="Metal Work"),
      AND(TRIM(B1548)=TRIM(Enginuity!$A$17),TRIM(C1548)=TRIM(Enginuity!$A$18)),
      TRIM(B1548)=TRIM(Enginuity!$A$17)
    )
  ),
  ROW(),
  ""
)</f>
        <v/>
      </c>
    </row>
    <row r="1549" spans="1:21" x14ac:dyDescent="0.25">
      <c r="A1549" s="10" t="s">
        <v>768</v>
      </c>
      <c r="B1549" s="229" t="s">
        <v>769</v>
      </c>
      <c r="C1549" s="14"/>
      <c r="D1549" s="14"/>
      <c r="E1549" s="157"/>
      <c r="F1549" s="10"/>
      <c r="G1549" s="17"/>
      <c r="H1549" s="10"/>
      <c r="I1549" s="17"/>
      <c r="J1549" s="83"/>
      <c r="K1549" s="343"/>
      <c r="L1549" s="347"/>
      <c r="M1549" s="10" t="s">
        <v>117</v>
      </c>
      <c r="N1549" s="10" t="s">
        <v>121</v>
      </c>
      <c r="O1549" s="22" t="str">
        <f>$O$2</f>
        <v/>
      </c>
      <c r="P1549" s="21" t="str">
        <f>Enginuity!$A$19</f>
        <v>W/G</v>
      </c>
      <c r="Q1549" s="83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260</v>
      </c>
      <c r="U1549" s="104" t="str">
        <f>IF(
  AND(
    TRIM(A1549)=TRIM(Enginuity!$A$1),
    TRIM(B1549)=TRIM(Enginuity!$A$17),
    Q1549&lt;&gt;"",
    Q1549&lt;&gt;0,
    OR(
      TRIM(C1549)=TRIM(Enginuity!$A$18),
      AND(UPPER(TRIM(M1549))="STD", TRIM(B1549)=TRIM(Enginuity!$A$17))
    ),
    OR(
      AND(LEFT(P1549,5)="1-Way", Enginuity!$B$13=1),
      AND(LEFT(P1549,5)="2-Way", OR(Enginuity!$B$13=2, Enginuity!$B$13=4)),
      AND(LEFT(P1549,5)="3-Way", OR(Enginuity!$B$13=3, Enginuity!$B$13=6)),
      AND(P1549="Inner Centre Jamb", OR(Enginuity!$B$13=4, Enginuity!$B$13=6)),
      AND(
        LEFT(P1549,5)&lt;&gt;"1-Way",
        LEFT(P1549,5)&lt;&gt;"2-Way",
        LEFT(P1549,5)&lt;&gt;"3-Way",
        P1549&lt;&gt;"Inner Centre Jamb"
      )
    ),
    IF(OR(Enginuity!$A$1="Frameless Glass",Enginuity!$A$1="Metal Work"),
      AND(TRIM(B1549)=TRIM(Enginuity!$A$17),TRIM(C1549)=TRIM(Enginuity!$A$18)),
      TRIM(B1549)=TRIM(Enginuity!$A$17)
    )
  ),
  ROW(),
  ""
)</f>
        <v/>
      </c>
    </row>
    <row r="1550" spans="1:21" x14ac:dyDescent="0.25">
      <c r="A1550" s="10" t="s">
        <v>768</v>
      </c>
      <c r="B1550" s="229" t="s">
        <v>769</v>
      </c>
      <c r="C1550" s="14"/>
      <c r="D1550" s="14"/>
      <c r="E1550" s="157"/>
      <c r="F1550" s="10"/>
      <c r="G1550" s="17"/>
      <c r="H1550" s="10"/>
      <c r="I1550" s="17"/>
      <c r="J1550" s="83"/>
      <c r="K1550" s="343"/>
      <c r="L1550" s="347"/>
      <c r="M1550" s="10" t="s">
        <v>117</v>
      </c>
      <c r="N1550" s="10" t="s">
        <v>782</v>
      </c>
      <c r="O1550" s="22">
        <v>200</v>
      </c>
      <c r="P1550" s="36" t="s">
        <v>166</v>
      </c>
      <c r="Q1550" s="98" t="str" cm="1">
        <f t="array" ref="Q1550">IF(SUMPRODUCT(--(LEN(Q1537:Q1548)&lt;&gt;0))&gt;0, Enginuity!$B$13, "")</f>
        <v/>
      </c>
      <c r="U1550" s="104" t="str">
        <f>IF(
  AND(
    TRIM(A1550)=TRIM(Enginuity!$A$1),
    TRIM(B1550)=TRIM(Enginuity!$A$17),
    Q1550&lt;&gt;"",
    Q1550&lt;&gt;0,
    OR(
      TRIM(C1550)=TRIM(Enginuity!$A$18),
      AND(UPPER(TRIM(M1550))="STD", TRIM(B1550)=TRIM(Enginuity!$A$17))
    ),
    OR(
      AND(LEFT(P1550,5)="1-Way", Enginuity!$B$13=1),
      AND(LEFT(P1550,5)="2-Way", OR(Enginuity!$B$13=2, Enginuity!$B$13=4)),
      AND(LEFT(P1550,5)="3-Way", OR(Enginuity!$B$13=3, Enginuity!$B$13=6)),
      AND(P1550="Inner Centre Jamb", OR(Enginuity!$B$13=4, Enginuity!$B$13=6)),
      AND(
        LEFT(P1550,5)&lt;&gt;"1-Way",
        LEFT(P1550,5)&lt;&gt;"2-Way",
        LEFT(P1550,5)&lt;&gt;"3-Way",
        P1550&lt;&gt;"Inner Centre Jamb"
      )
    ),
    IF(OR(Enginuity!$A$1="Frameless Glass",Enginuity!$A$1="Metal Work"),
      AND(TRIM(B1550)=TRIM(Enginuity!$A$17),TRIM(C1550)=TRIM(Enginuity!$A$18)),
      TRIM(B1550)=TRIM(Enginuity!$A$17)
    )
  ),
  ROW(),
  ""
)</f>
        <v/>
      </c>
    </row>
    <row r="1551" spans="1:21" x14ac:dyDescent="0.25">
      <c r="A1551" s="10" t="s">
        <v>768</v>
      </c>
      <c r="B1551" s="229" t="s">
        <v>769</v>
      </c>
      <c r="C1551" s="14"/>
      <c r="D1551" s="14"/>
      <c r="E1551" s="157"/>
      <c r="F1551" s="10"/>
      <c r="G1551" s="17"/>
      <c r="H1551" s="10"/>
      <c r="I1551" s="17"/>
      <c r="J1551" s="83"/>
      <c r="K1551" s="343"/>
      <c r="L1551" s="347"/>
      <c r="M1551" s="10" t="s">
        <v>117</v>
      </c>
      <c r="N1551" s="10" t="s">
        <v>176</v>
      </c>
      <c r="O1551" s="22" t="str">
        <f>IF(Enginuity!$A$20="", "",
 IF(Enginuity!$A$20="Lattice Design", $F$9,
 IF(Enginuity!$A$20="Lattice Design 12 Box / Panel", $F$10,
 ""))
)</f>
        <v/>
      </c>
      <c r="P1551" s="5" t="str">
        <f>Enginuity!$A$20</f>
        <v>Z-Louvre Blade - 5"</v>
      </c>
      <c r="Q1551" s="22" t="str">
        <f>IF(O1551&lt;&gt;"",1,"")</f>
        <v/>
      </c>
      <c r="U1551" s="104" t="str">
        <f>IF(
  AND(
    TRIM(A1551)=TRIM(Enginuity!$A$1),
    TRIM(B1551)=TRIM(Enginuity!$A$17),
    Q1551&lt;&gt;"",
    Q1551&lt;&gt;0,
    OR(
      TRIM(C1551)=TRIM(Enginuity!$A$18),
      AND(UPPER(TRIM(M1551))="STD", TRIM(B1551)=TRIM(Enginuity!$A$17))
    ),
    OR(
      AND(LEFT(P1551,5)="1-Way", Enginuity!$B$13=1),
      AND(LEFT(P1551,5)="2-Way", OR(Enginuity!$B$13=2, Enginuity!$B$13=4)),
      AND(LEFT(P1551,5)="3-Way", OR(Enginuity!$B$13=3, Enginuity!$B$13=6)),
      AND(P1551="Inner Centre Jamb", OR(Enginuity!$B$13=4, Enginuity!$B$13=6)),
      AND(
        LEFT(P1551,5)&lt;&gt;"1-Way",
        LEFT(P1551,5)&lt;&gt;"2-Way",
        LEFT(P1551,5)&lt;&gt;"3-Way",
        P1551&lt;&gt;"Inner Centre Jamb"
      )
    ),
    IF(OR(Enginuity!$A$1="Frameless Glass",Enginuity!$A$1="Metal Work"),
      AND(TRIM(B1551)=TRIM(Enginuity!$A$17),TRIM(C1551)=TRIM(Enginuity!$A$18)),
      TRIM(B1551)=TRIM(Enginuity!$A$17)
    )
  ),
  ROW(),
  ""
)</f>
        <v/>
      </c>
    </row>
    <row r="1552" spans="1:21" x14ac:dyDescent="0.25">
      <c r="A1552" s="10" t="s">
        <v>768</v>
      </c>
      <c r="B1552" s="229" t="s">
        <v>769</v>
      </c>
      <c r="C1552" s="14"/>
      <c r="D1552" s="14"/>
      <c r="E1552" s="157"/>
      <c r="F1552" s="10"/>
      <c r="G1552" s="17"/>
      <c r="H1552" s="10"/>
      <c r="I1552" s="17"/>
      <c r="J1552" s="83"/>
      <c r="K1552" s="343"/>
      <c r="L1552" s="347"/>
      <c r="M1552" s="89"/>
      <c r="N1552" s="10"/>
      <c r="O1552" s="22"/>
      <c r="P1552" s="36"/>
      <c r="Q1552" s="98"/>
      <c r="U1552" s="104" t="str">
        <f>IF(
  AND(
    TRIM(A1552)=TRIM(Enginuity!$A$1),
    TRIM(B1552)=TRIM(Enginuity!$A$17),
    Q1552&lt;&gt;"",
    Q1552&lt;&gt;0,
    OR(
      TRIM(C1552)=TRIM(Enginuity!$A$18),
      AND(UPPER(TRIM(M1552))="STD", TRIM(B1552)=TRIM(Enginuity!$A$17))
    ),
    OR(
      AND(LEFT(P1552,5)="1-Way", Enginuity!$B$13=1),
      AND(LEFT(P1552,5)="2-Way", OR(Enginuity!$B$13=2, Enginuity!$B$13=4)),
      AND(LEFT(P1552,5)="3-Way", OR(Enginuity!$B$13=3, Enginuity!$B$13=6)),
      AND(P1552="Inner Centre Jamb", OR(Enginuity!$B$13=4, Enginuity!$B$13=6)),
      AND(
        LEFT(P1552,5)&lt;&gt;"1-Way",
        LEFT(P1552,5)&lt;&gt;"2-Way",
        LEFT(P1552,5)&lt;&gt;"3-Way",
        P1552&lt;&gt;"Inner Centre Jamb"
      )
    ),
    IF(OR(Enginuity!$A$1="Frameless Glass",Enginuity!$A$1="Metal Work"),
      AND(TRIM(B1552)=TRIM(Enginuity!$A$17),TRIM(C1552)=TRIM(Enginuity!$A$18)),
      TRIM(B1552)=TRIM(Enginuity!$A$17)
    )
  ),
  ROW(),
  ""
)</f>
        <v/>
      </c>
    </row>
    <row r="1553" spans="1:21" x14ac:dyDescent="0.25">
      <c r="A1553" s="10" t="s">
        <v>768</v>
      </c>
      <c r="B1553" s="229" t="s">
        <v>769</v>
      </c>
      <c r="C1553" s="14"/>
      <c r="D1553" s="14"/>
      <c r="E1553" s="157"/>
      <c r="F1553" s="10"/>
      <c r="G1553" s="17"/>
      <c r="H1553" s="10"/>
      <c r="I1553" s="17"/>
      <c r="J1553" s="83"/>
      <c r="K1553" s="343"/>
      <c r="L1553" s="347"/>
      <c r="M1553" s="89"/>
      <c r="N1553" s="10"/>
      <c r="O1553" s="22"/>
      <c r="P1553" s="36"/>
      <c r="Q1553" s="98"/>
      <c r="U1553" s="104" t="str">
        <f>IF(
  AND(
    TRIM(A1553)=TRIM(Enginuity!$A$1),
    TRIM(B1553)=TRIM(Enginuity!$A$17),
    Q1553&lt;&gt;"",
    Q1553&lt;&gt;0,
    OR(
      TRIM(C1553)=TRIM(Enginuity!$A$18),
      AND(UPPER(TRIM(M1553))="STD", TRIM(B1553)=TRIM(Enginuity!$A$17))
    ),
    OR(
      AND(LEFT(P1553,5)="1-Way", Enginuity!$B$13=1),
      AND(LEFT(P1553,5)="2-Way", OR(Enginuity!$B$13=2, Enginuity!$B$13=4)),
      AND(LEFT(P1553,5)="3-Way", OR(Enginuity!$B$13=3, Enginuity!$B$13=6)),
      AND(P1553="Inner Centre Jamb", OR(Enginuity!$B$13=4, Enginuity!$B$13=6)),
      AND(
        LEFT(P1553,5)&lt;&gt;"1-Way",
        LEFT(P1553,5)&lt;&gt;"2-Way",
        LEFT(P1553,5)&lt;&gt;"3-Way",
        P1553&lt;&gt;"Inner Centre Jamb"
      )
    ),
    IF(OR(Enginuity!$A$1="Frameless Glass",Enginuity!$A$1="Metal Work"),
      AND(TRIM(B1553)=TRIM(Enginuity!$A$17),TRIM(C1553)=TRIM(Enginuity!$A$18)),
      TRIM(B1553)=TRIM(Enginuity!$A$17)
    )
  ),
  ROW(),
  ""
)</f>
        <v/>
      </c>
    </row>
    <row r="1554" spans="1:21" x14ac:dyDescent="0.25">
      <c r="A1554" s="10" t="s">
        <v>768</v>
      </c>
      <c r="B1554" s="229" t="s">
        <v>769</v>
      </c>
      <c r="C1554" s="14"/>
      <c r="D1554" s="14"/>
      <c r="E1554" s="157"/>
      <c r="F1554" s="10"/>
      <c r="G1554" s="17"/>
      <c r="H1554" s="10"/>
      <c r="I1554" s="17"/>
      <c r="J1554" s="83"/>
      <c r="K1554" s="343"/>
      <c r="L1554" s="347"/>
      <c r="M1554" s="89"/>
      <c r="N1554" s="10"/>
      <c r="O1554" s="22"/>
      <c r="P1554" s="36"/>
      <c r="Q1554" s="98"/>
      <c r="U1554" s="104" t="str">
        <f>IF(
  AND(
    TRIM(A1554)=TRIM(Enginuity!$A$1),
    TRIM(B1554)=TRIM(Enginuity!$A$17),
    Q1554&lt;&gt;"",
    Q1554&lt;&gt;0,
    OR(
      TRIM(C1554)=TRIM(Enginuity!$A$18),
      AND(UPPER(TRIM(M1554))="STD", TRIM(B1554)=TRIM(Enginuity!$A$17))
    ),
    OR(
      AND(LEFT(P1554,5)="1-Way", Enginuity!$B$13=1),
      AND(LEFT(P1554,5)="2-Way", OR(Enginuity!$B$13=2, Enginuity!$B$13=4)),
      AND(LEFT(P1554,5)="3-Way", OR(Enginuity!$B$13=3, Enginuity!$B$13=6)),
      AND(P1554="Inner Centre Jamb", OR(Enginuity!$B$13=4, Enginuity!$B$13=6)),
      AND(
        LEFT(P1554,5)&lt;&gt;"1-Way",
        LEFT(P1554,5)&lt;&gt;"2-Way",
        LEFT(P1554,5)&lt;&gt;"3-Way",
        P1554&lt;&gt;"Inner Centre Jamb"
      )
    ),
    IF(OR(Enginuity!$A$1="Frameless Glass",Enginuity!$A$1="Metal Work"),
      AND(TRIM(B1554)=TRIM(Enginuity!$A$17),TRIM(C1554)=TRIM(Enginuity!$A$18)),
      TRIM(B1554)=TRIM(Enginuity!$A$17)
    )
  ),
  ROW(),
  ""
)</f>
        <v/>
      </c>
    </row>
    <row r="1555" spans="1:21" x14ac:dyDescent="0.25">
      <c r="A1555" s="10" t="s">
        <v>768</v>
      </c>
      <c r="B1555" s="229" t="s">
        <v>769</v>
      </c>
      <c r="C1555" s="14"/>
      <c r="D1555" s="14"/>
      <c r="E1555" s="157"/>
      <c r="F1555" s="10"/>
      <c r="G1555" s="17"/>
      <c r="H1555" s="10"/>
      <c r="I1555" s="17"/>
      <c r="J1555" s="83"/>
      <c r="K1555" s="343"/>
      <c r="L1555" s="347"/>
      <c r="M1555" s="89"/>
      <c r="N1555" s="10"/>
      <c r="O1555" s="22"/>
      <c r="P1555" s="36"/>
      <c r="Q1555" s="98"/>
      <c r="U1555" s="104" t="str">
        <f>IF(
  AND(
    TRIM(A1555)=TRIM(Enginuity!$A$1),
    TRIM(B1555)=TRIM(Enginuity!$A$17),
    Q1555&lt;&gt;"",
    Q1555&lt;&gt;0,
    OR(
      TRIM(C1555)=TRIM(Enginuity!$A$18),
      AND(UPPER(TRIM(M1555))="STD", TRIM(B1555)=TRIM(Enginuity!$A$17))
    ),
    OR(
      AND(LEFT(P1555,5)="1-Way", Enginuity!$B$13=1),
      AND(LEFT(P1555,5)="2-Way", OR(Enginuity!$B$13=2, Enginuity!$B$13=4)),
      AND(LEFT(P1555,5)="3-Way", OR(Enginuity!$B$13=3, Enginuity!$B$13=6)),
      AND(P1555="Inner Centre Jamb", OR(Enginuity!$B$13=4, Enginuity!$B$13=6)),
      AND(
        LEFT(P1555,5)&lt;&gt;"1-Way",
        LEFT(P1555,5)&lt;&gt;"2-Way",
        LEFT(P1555,5)&lt;&gt;"3-Way",
        P1555&lt;&gt;"Inner Centre Jamb"
      )
    ),
    IF(OR(Enginuity!$A$1="Frameless Glass",Enginuity!$A$1="Metal Work"),
      AND(TRIM(B1555)=TRIM(Enginuity!$A$17),TRIM(C1555)=TRIM(Enginuity!$A$18)),
      TRIM(B1555)=TRIM(Enginuity!$A$17)
    )
  ),
  ROW(),
  ""
)</f>
        <v/>
      </c>
    </row>
    <row r="1556" spans="1:21" x14ac:dyDescent="0.25">
      <c r="A1556" s="10" t="s">
        <v>768</v>
      </c>
      <c r="B1556" s="229" t="s">
        <v>769</v>
      </c>
      <c r="C1556" s="14"/>
      <c r="D1556" s="14"/>
      <c r="E1556" s="157"/>
      <c r="F1556" s="10"/>
      <c r="G1556" s="17"/>
      <c r="H1556" s="10"/>
      <c r="I1556" s="17"/>
      <c r="J1556" s="83"/>
      <c r="K1556" s="343"/>
      <c r="L1556" s="347"/>
      <c r="M1556" s="89"/>
      <c r="N1556" s="10"/>
      <c r="O1556" s="22"/>
      <c r="P1556" s="36"/>
      <c r="Q1556" s="98"/>
      <c r="U1556" s="104" t="str">
        <f>IF(
  AND(
    TRIM(A1556)=TRIM(Enginuity!$A$1),
    TRIM(B1556)=TRIM(Enginuity!$A$17),
    Q1556&lt;&gt;"",
    Q1556&lt;&gt;0,
    OR(
      TRIM(C1556)=TRIM(Enginuity!$A$18),
      AND(UPPER(TRIM(M1556))="STD", TRIM(B1556)=TRIM(Enginuity!$A$17))
    ),
    OR(
      AND(LEFT(P1556,5)="1-Way", Enginuity!$B$13=1),
      AND(LEFT(P1556,5)="2-Way", OR(Enginuity!$B$13=2, Enginuity!$B$13=4)),
      AND(LEFT(P1556,5)="3-Way", OR(Enginuity!$B$13=3, Enginuity!$B$13=6)),
      AND(P1556="Inner Centre Jamb", OR(Enginuity!$B$13=4, Enginuity!$B$13=6)),
      AND(
        LEFT(P1556,5)&lt;&gt;"1-Way",
        LEFT(P1556,5)&lt;&gt;"2-Way",
        LEFT(P1556,5)&lt;&gt;"3-Way",
        P1556&lt;&gt;"Inner Centre Jamb"
      )
    ),
    IF(OR(Enginuity!$A$1="Frameless Glass",Enginuity!$A$1="Metal Work"),
      AND(TRIM(B1556)=TRIM(Enginuity!$A$17),TRIM(C1556)=TRIM(Enginuity!$A$18)),
      TRIM(B1556)=TRIM(Enginuity!$A$17)
    )
  ),
  ROW(),
  ""
)</f>
        <v/>
      </c>
    </row>
    <row r="1557" spans="1:21" x14ac:dyDescent="0.25">
      <c r="A1557" s="10" t="s">
        <v>768</v>
      </c>
      <c r="B1557" s="229" t="s">
        <v>769</v>
      </c>
      <c r="C1557" s="10"/>
      <c r="D1557" s="14"/>
      <c r="E1557" s="157"/>
      <c r="F1557" s="10"/>
      <c r="G1557" s="17"/>
      <c r="H1557" s="10"/>
      <c r="I1557" s="17"/>
      <c r="J1557" s="83"/>
      <c r="K1557" s="343"/>
      <c r="L1557" s="347"/>
      <c r="M1557" s="89"/>
      <c r="N1557" s="10"/>
      <c r="O1557" s="22"/>
      <c r="P1557" s="36"/>
      <c r="Q1557" s="98"/>
      <c r="U1557" s="104" t="str">
        <f>IF(
  AND(
    TRIM(A1557)=TRIM(Enginuity!$A$1),
    TRIM(B1557)=TRIM(Enginuity!$A$17),
    Q1557&lt;&gt;"",
    Q1557&lt;&gt;0,
    OR(
      TRIM(C1557)=TRIM(Enginuity!$A$18),
      AND(UPPER(TRIM(M1557))="STD", TRIM(B1557)=TRIM(Enginuity!$A$17))
    ),
    OR(
      AND(LEFT(P1557,5)="1-Way", Enginuity!$B$13=1),
      AND(LEFT(P1557,5)="2-Way", OR(Enginuity!$B$13=2, Enginuity!$B$13=4)),
      AND(LEFT(P1557,5)="3-Way", OR(Enginuity!$B$13=3, Enginuity!$B$13=6)),
      AND(P1557="Inner Centre Jamb", OR(Enginuity!$B$13=4, Enginuity!$B$13=6)),
      AND(
        LEFT(P1557,5)&lt;&gt;"1-Way",
        LEFT(P1557,5)&lt;&gt;"2-Way",
        LEFT(P1557,5)&lt;&gt;"3-Way",
        P1557&lt;&gt;"Inner Centre Jamb"
      )
    ),
    IF(OR(Enginuity!$A$1="Frameless Glass",Enginuity!$A$1="Metal Work"),
      AND(TRIM(B1557)=TRIM(Enginuity!$A$17),TRIM(C1557)=TRIM(Enginuity!$A$18)),
      TRIM(B1557)=TRIM(Enginuity!$A$17)
    )
  ),
  ROW(),
  ""
)</f>
        <v/>
      </c>
    </row>
    <row r="1558" spans="1:21" x14ac:dyDescent="0.25">
      <c r="A1558" s="10" t="s">
        <v>768</v>
      </c>
      <c r="B1558" s="229" t="s">
        <v>769</v>
      </c>
      <c r="C1558" s="10"/>
      <c r="D1558" s="14"/>
      <c r="E1558" s="157"/>
      <c r="F1558" s="10"/>
      <c r="G1558" s="17"/>
      <c r="H1558" s="10"/>
      <c r="I1558" s="17"/>
      <c r="J1558" s="83"/>
      <c r="K1558" s="343"/>
      <c r="L1558" s="347"/>
      <c r="M1558" s="89"/>
      <c r="N1558" s="10"/>
      <c r="O1558" s="22"/>
      <c r="P1558" s="36"/>
      <c r="Q1558" s="98"/>
      <c r="U1558" s="104" t="str">
        <f>IF(
  AND(
    TRIM(A1558)=TRIM(Enginuity!$A$1),
    TRIM(B1558)=TRIM(Enginuity!$A$17),
    Q1558&lt;&gt;"",
    Q1558&lt;&gt;0,
    OR(
      TRIM(C1558)=TRIM(Enginuity!$A$18),
      AND(UPPER(TRIM(M1558))="STD", TRIM(B1558)=TRIM(Enginuity!$A$17))
    ),
    OR(
      AND(LEFT(P1558,5)="1-Way", Enginuity!$B$13=1),
      AND(LEFT(P1558,5)="2-Way", OR(Enginuity!$B$13=2, Enginuity!$B$13=4)),
      AND(LEFT(P1558,5)="3-Way", OR(Enginuity!$B$13=3, Enginuity!$B$13=6)),
      AND(P1558="Inner Centre Jamb", OR(Enginuity!$B$13=4, Enginuity!$B$13=6)),
      AND(
        LEFT(P1558,5)&lt;&gt;"1-Way",
        LEFT(P1558,5)&lt;&gt;"2-Way",
        LEFT(P1558,5)&lt;&gt;"3-Way",
        P1558&lt;&gt;"Inner Centre Jamb"
      )
    ),
    IF(OR(Enginuity!$A$1="Frameless Glass",Enginuity!$A$1="Metal Work"),
      AND(TRIM(B1558)=TRIM(Enginuity!$A$17),TRIM(C1558)=TRIM(Enginuity!$A$18)),
      TRIM(B1558)=TRIM(Enginuity!$A$17)
    )
  ),
  ROW(),
  ""
)</f>
        <v/>
      </c>
    </row>
    <row r="1559" spans="1:21" x14ac:dyDescent="0.25">
      <c r="A1559" s="10" t="s">
        <v>768</v>
      </c>
      <c r="B1559" s="229" t="s">
        <v>769</v>
      </c>
      <c r="C1559" s="10"/>
      <c r="D1559" s="14"/>
      <c r="E1559" s="157"/>
      <c r="F1559" s="10"/>
      <c r="G1559" s="17"/>
      <c r="H1559" s="10"/>
      <c r="I1559" s="17"/>
      <c r="J1559" s="83"/>
      <c r="K1559" s="343"/>
      <c r="L1559" s="347"/>
      <c r="M1559" s="89"/>
      <c r="N1559" s="10"/>
      <c r="O1559" s="22"/>
      <c r="P1559" s="36"/>
      <c r="Q1559" s="98"/>
      <c r="U1559" s="104" t="str">
        <f>IF(
  AND(
    TRIM(A1559)=TRIM(Enginuity!$A$1),
    TRIM(B1559)=TRIM(Enginuity!$A$17),
    Q1559&lt;&gt;"",
    Q1559&lt;&gt;0,
    OR(
      TRIM(C1559)=TRIM(Enginuity!$A$18),
      AND(UPPER(TRIM(M1559))="STD", TRIM(B1559)=TRIM(Enginuity!$A$17))
    ),
    OR(
      AND(LEFT(P1559,5)="1-Way", Enginuity!$B$13=1),
      AND(LEFT(P1559,5)="2-Way", OR(Enginuity!$B$13=2, Enginuity!$B$13=4)),
      AND(LEFT(P1559,5)="3-Way", OR(Enginuity!$B$13=3, Enginuity!$B$13=6)),
      AND(P1559="Inner Centre Jamb", OR(Enginuity!$B$13=4, Enginuity!$B$13=6)),
      AND(
        LEFT(P1559,5)&lt;&gt;"1-Way",
        LEFT(P1559,5)&lt;&gt;"2-Way",
        LEFT(P1559,5)&lt;&gt;"3-Way",
        P1559&lt;&gt;"Inner Centre Jamb"
      )
    ),
    IF(OR(Enginuity!$A$1="Frameless Glass",Enginuity!$A$1="Metal Work"),
      AND(TRIM(B1559)=TRIM(Enginuity!$A$17),TRIM(C1559)=TRIM(Enginuity!$A$18)),
      TRIM(B1559)=TRIM(Enginuity!$A$17)
    )
  ),
  ROW(),
  ""
)</f>
        <v/>
      </c>
    </row>
    <row r="1560" spans="1:21" x14ac:dyDescent="0.25">
      <c r="A1560" s="10" t="s">
        <v>768</v>
      </c>
      <c r="B1560" s="229" t="s">
        <v>769</v>
      </c>
      <c r="C1560" s="10"/>
      <c r="D1560" s="14"/>
      <c r="E1560" s="157"/>
      <c r="F1560" s="10"/>
      <c r="G1560" s="17"/>
      <c r="H1560" s="10"/>
      <c r="I1560" s="17"/>
      <c r="J1560" s="83"/>
      <c r="K1560" s="343"/>
      <c r="L1560" s="347"/>
      <c r="M1560" s="89"/>
      <c r="N1560" s="10"/>
      <c r="O1560" s="22"/>
      <c r="P1560" s="36"/>
      <c r="Q1560" s="98"/>
      <c r="U1560" s="104" t="str">
        <f>IF(
  AND(
    TRIM(A1560)=TRIM(Enginuity!$A$1),
    TRIM(B1560)=TRIM(Enginuity!$A$17),
    Q1560&lt;&gt;"",
    Q1560&lt;&gt;0,
    OR(
      TRIM(C1560)=TRIM(Enginuity!$A$18),
      AND(UPPER(TRIM(M1560))="STD", TRIM(B1560)=TRIM(Enginuity!$A$17))
    ),
    OR(
      AND(LEFT(P1560,5)="1-Way", Enginuity!$B$13=1),
      AND(LEFT(P1560,5)="2-Way", OR(Enginuity!$B$13=2, Enginuity!$B$13=4)),
      AND(LEFT(P1560,5)="3-Way", OR(Enginuity!$B$13=3, Enginuity!$B$13=6)),
      AND(P1560="Inner Centre Jamb", OR(Enginuity!$B$13=4, Enginuity!$B$13=6)),
      AND(
        LEFT(P1560,5)&lt;&gt;"1-Way",
        LEFT(P1560,5)&lt;&gt;"2-Way",
        LEFT(P1560,5)&lt;&gt;"3-Way",
        P1560&lt;&gt;"Inner Centre Jamb"
      )
    ),
    IF(OR(Enginuity!$A$1="Frameless Glass",Enginuity!$A$1="Metal Work"),
      AND(TRIM(B1560)=TRIM(Enginuity!$A$17),TRIM(C1560)=TRIM(Enginuity!$A$18)),
      TRIM(B1560)=TRIM(Enginuity!$A$17)
    )
  ),
  ROW(),
  ""
)</f>
        <v/>
      </c>
    </row>
    <row r="1561" spans="1:21" x14ac:dyDescent="0.25">
      <c r="A1561" s="10" t="s">
        <v>768</v>
      </c>
      <c r="B1561" s="229" t="s">
        <v>769</v>
      </c>
      <c r="C1561" s="10"/>
      <c r="D1561" s="14"/>
      <c r="E1561" s="157"/>
      <c r="F1561" s="10"/>
      <c r="G1561" s="17"/>
      <c r="H1561" s="10"/>
      <c r="I1561" s="17"/>
      <c r="J1561" s="83"/>
      <c r="K1561" s="343"/>
      <c r="L1561" s="347"/>
      <c r="M1561" s="89"/>
      <c r="N1561" s="10"/>
      <c r="O1561" s="22"/>
      <c r="P1561" s="36"/>
      <c r="Q1561" s="98"/>
      <c r="U1561" s="104" t="str">
        <f>IF(
  AND(
    TRIM(A1561)=TRIM(Enginuity!$A$1),
    TRIM(B1561)=TRIM(Enginuity!$A$17),
    Q1561&lt;&gt;"",
    Q1561&lt;&gt;0,
    OR(
      TRIM(C1561)=TRIM(Enginuity!$A$18),
      AND(UPPER(TRIM(M1561))="STD", TRIM(B1561)=TRIM(Enginuity!$A$17))
    ),
    OR(
      AND(LEFT(P1561,5)="1-Way", Enginuity!$B$13=1),
      AND(LEFT(P1561,5)="2-Way", OR(Enginuity!$B$13=2, Enginuity!$B$13=4)),
      AND(LEFT(P1561,5)="3-Way", OR(Enginuity!$B$13=3, Enginuity!$B$13=6)),
      AND(P1561="Inner Centre Jamb", OR(Enginuity!$B$13=4, Enginuity!$B$13=6)),
      AND(
        LEFT(P1561,5)&lt;&gt;"1-Way",
        LEFT(P1561,5)&lt;&gt;"2-Way",
        LEFT(P1561,5)&lt;&gt;"3-Way",
        P1561&lt;&gt;"Inner Centre Jamb"
      )
    ),
    IF(OR(Enginuity!$A$1="Frameless Glass",Enginuity!$A$1="Metal Work"),
      AND(TRIM(B1561)=TRIM(Enginuity!$A$17),TRIM(C1561)=TRIM(Enginuity!$A$18)),
      TRIM(B1561)=TRIM(Enginuity!$A$17)
    )
  ),
  ROW(),
  ""
)</f>
        <v/>
      </c>
    </row>
    <row r="1562" spans="1:21" x14ac:dyDescent="0.25">
      <c r="A1562" s="10" t="s">
        <v>768</v>
      </c>
      <c r="B1562" s="229" t="s">
        <v>769</v>
      </c>
      <c r="C1562" s="10"/>
      <c r="D1562" s="14"/>
      <c r="E1562" s="157"/>
      <c r="F1562" s="10"/>
      <c r="G1562" s="17"/>
      <c r="H1562" s="10"/>
      <c r="I1562" s="17"/>
      <c r="J1562" s="83"/>
      <c r="K1562" s="343"/>
      <c r="L1562" s="347"/>
      <c r="M1562" s="89"/>
      <c r="N1562" s="10"/>
      <c r="O1562" s="22"/>
      <c r="P1562" s="36"/>
      <c r="Q1562" s="98"/>
      <c r="U1562" s="104" t="str">
        <f>IF(
  AND(
    TRIM(A1562)=TRIM(Enginuity!$A$1),
    TRIM(B1562)=TRIM(Enginuity!$A$17),
    Q1562&lt;&gt;"",
    Q1562&lt;&gt;0,
    OR(
      TRIM(C1562)=TRIM(Enginuity!$A$18),
      AND(UPPER(TRIM(M1562))="STD", TRIM(B1562)=TRIM(Enginuity!$A$17))
    ),
    OR(
      AND(LEFT(P1562,5)="1-Way", Enginuity!$B$13=1),
      AND(LEFT(P1562,5)="2-Way", OR(Enginuity!$B$13=2, Enginuity!$B$13=4)),
      AND(LEFT(P1562,5)="3-Way", OR(Enginuity!$B$13=3, Enginuity!$B$13=6)),
      AND(P1562="Inner Centre Jamb", OR(Enginuity!$B$13=4, Enginuity!$B$13=6)),
      AND(
        LEFT(P1562,5)&lt;&gt;"1-Way",
        LEFT(P1562,5)&lt;&gt;"2-Way",
        LEFT(P1562,5)&lt;&gt;"3-Way",
        P1562&lt;&gt;"Inner Centre Jamb"
      )
    ),
    IF(OR(Enginuity!$A$1="Frameless Glass",Enginuity!$A$1="Metal Work"),
      AND(TRIM(B1562)=TRIM(Enginuity!$A$17),TRIM(C1562)=TRIM(Enginuity!$A$18)),
      TRIM(B1562)=TRIM(Enginuity!$A$17)
    )
  ),
  ROW(),
  ""
)</f>
        <v/>
      </c>
    </row>
    <row r="1563" spans="1:21" x14ac:dyDescent="0.25">
      <c r="A1563" s="10" t="s">
        <v>768</v>
      </c>
      <c r="B1563" s="229" t="s">
        <v>769</v>
      </c>
      <c r="C1563" s="10"/>
      <c r="D1563" s="14"/>
      <c r="E1563" s="157"/>
      <c r="F1563" s="10"/>
      <c r="G1563" s="17"/>
      <c r="H1563" s="10"/>
      <c r="I1563" s="17"/>
      <c r="J1563" s="83"/>
      <c r="K1563" s="343"/>
      <c r="L1563" s="347"/>
      <c r="M1563" s="89"/>
      <c r="N1563" s="10"/>
      <c r="O1563" s="22"/>
      <c r="P1563" s="36"/>
      <c r="Q1563" s="98"/>
      <c r="U1563" s="104" t="str">
        <f>IF(
  AND(
    TRIM(A1563)=TRIM(Enginuity!$A$1),
    TRIM(B1563)=TRIM(Enginuity!$A$17),
    Q1563&lt;&gt;"",
    Q1563&lt;&gt;0,
    OR(
      TRIM(C1563)=TRIM(Enginuity!$A$18),
      AND(UPPER(TRIM(M1563))="STD", TRIM(B1563)=TRIM(Enginuity!$A$17))
    ),
    OR(
      AND(LEFT(P1563,5)="1-Way", Enginuity!$B$13=1),
      AND(LEFT(P1563,5)="2-Way", OR(Enginuity!$B$13=2, Enginuity!$B$13=4)),
      AND(LEFT(P1563,5)="3-Way", OR(Enginuity!$B$13=3, Enginuity!$B$13=6)),
      AND(P1563="Inner Centre Jamb", OR(Enginuity!$B$13=4, Enginuity!$B$13=6)),
      AND(
        LEFT(P1563,5)&lt;&gt;"1-Way",
        LEFT(P1563,5)&lt;&gt;"2-Way",
        LEFT(P1563,5)&lt;&gt;"3-Way",
        P1563&lt;&gt;"Inner Centre Jamb"
      )
    ),
    IF(OR(Enginuity!$A$1="Frameless Glass",Enginuity!$A$1="Metal Work"),
      AND(TRIM(B1563)=TRIM(Enginuity!$A$17),TRIM(C1563)=TRIM(Enginuity!$A$18)),
      TRIM(B1563)=TRIM(Enginuity!$A$17)
    )
  ),
  ROW(),
  ""
)</f>
        <v/>
      </c>
    </row>
    <row r="1564" spans="1:21" x14ac:dyDescent="0.25">
      <c r="A1564" s="10" t="s">
        <v>768</v>
      </c>
      <c r="B1564" s="229" t="s">
        <v>769</v>
      </c>
      <c r="C1564" s="10"/>
      <c r="D1564" s="14"/>
      <c r="E1564" s="157"/>
      <c r="F1564" s="10"/>
      <c r="G1564" s="17"/>
      <c r="H1564" s="10"/>
      <c r="I1564" s="17"/>
      <c r="J1564" s="83"/>
      <c r="K1564" s="343"/>
      <c r="L1564" s="347"/>
      <c r="M1564" s="89"/>
      <c r="N1564" s="10"/>
      <c r="O1564" s="22"/>
      <c r="P1564" s="36"/>
      <c r="Q1564" s="98"/>
      <c r="U1564" s="104" t="str">
        <f>IF(
  AND(
    TRIM(A1564)=TRIM(Enginuity!$A$1),
    TRIM(B1564)=TRIM(Enginuity!$A$17),
    Q1564&lt;&gt;"",
    Q1564&lt;&gt;0,
    OR(
      TRIM(C1564)=TRIM(Enginuity!$A$18),
      AND(UPPER(TRIM(M1564))="STD", TRIM(B1564)=TRIM(Enginuity!$A$17))
    ),
    OR(
      AND(LEFT(P1564,5)="1-Way", Enginuity!$B$13=1),
      AND(LEFT(P1564,5)="2-Way", OR(Enginuity!$B$13=2, Enginuity!$B$13=4)),
      AND(LEFT(P1564,5)="3-Way", OR(Enginuity!$B$13=3, Enginuity!$B$13=6)),
      AND(P1564="Inner Centre Jamb", OR(Enginuity!$B$13=4, Enginuity!$B$13=6)),
      AND(
        LEFT(P1564,5)&lt;&gt;"1-Way",
        LEFT(P1564,5)&lt;&gt;"2-Way",
        LEFT(P1564,5)&lt;&gt;"3-Way",
        P1564&lt;&gt;"Inner Centre Jamb"
      )
    ),
    IF(OR(Enginuity!$A$1="Frameless Glass",Enginuity!$A$1="Metal Work"),
      AND(TRIM(B1564)=TRIM(Enginuity!$A$17),TRIM(C1564)=TRIM(Enginuity!$A$18)),
      TRIM(B1564)=TRIM(Enginuity!$A$17)
    )
  ),
  ROW(),
  ""
)</f>
        <v/>
      </c>
    </row>
    <row r="1565" spans="1:21" x14ac:dyDescent="0.25">
      <c r="A1565" s="10" t="s">
        <v>768</v>
      </c>
      <c r="B1565" s="229" t="s">
        <v>769</v>
      </c>
      <c r="C1565" s="10"/>
      <c r="D1565" s="14"/>
      <c r="E1565" s="157"/>
      <c r="F1565" s="10"/>
      <c r="G1565" s="17"/>
      <c r="H1565" s="10"/>
      <c r="I1565" s="17"/>
      <c r="J1565" s="83"/>
      <c r="K1565" s="343"/>
      <c r="L1565" s="347"/>
      <c r="M1565" s="89"/>
      <c r="N1565" s="10"/>
      <c r="O1565" s="22"/>
      <c r="P1565" s="36"/>
      <c r="Q1565" s="98"/>
      <c r="U1565" s="104" t="str">
        <f>IF(
  AND(
    TRIM(A1565)=TRIM(Enginuity!$A$1),
    TRIM(B1565)=TRIM(Enginuity!$A$17),
    Q1565&lt;&gt;"",
    Q1565&lt;&gt;0,
    OR(
      TRIM(C1565)=TRIM(Enginuity!$A$18),
      AND(UPPER(TRIM(M1565))="STD", TRIM(B1565)=TRIM(Enginuity!$A$17))
    ),
    OR(
      AND(LEFT(P1565,5)="1-Way", Enginuity!$B$13=1),
      AND(LEFT(P1565,5)="2-Way", OR(Enginuity!$B$13=2, Enginuity!$B$13=4)),
      AND(LEFT(P1565,5)="3-Way", OR(Enginuity!$B$13=3, Enginuity!$B$13=6)),
      AND(P1565="Inner Centre Jamb", OR(Enginuity!$B$13=4, Enginuity!$B$13=6)),
      AND(
        LEFT(P1565,5)&lt;&gt;"1-Way",
        LEFT(P1565,5)&lt;&gt;"2-Way",
        LEFT(P1565,5)&lt;&gt;"3-Way",
        P1565&lt;&gt;"Inner Centre Jamb"
      )
    ),
    IF(OR(Enginuity!$A$1="Frameless Glass",Enginuity!$A$1="Metal Work"),
      AND(TRIM(B1565)=TRIM(Enginuity!$A$17),TRIM(C1565)=TRIM(Enginuity!$A$18)),
      TRIM(B1565)=TRIM(Enginuity!$A$17)
    )
  ),
  ROW(),
  ""
)</f>
        <v/>
      </c>
    </row>
    <row r="1566" spans="1:21" x14ac:dyDescent="0.25">
      <c r="A1566" s="10" t="s">
        <v>768</v>
      </c>
      <c r="B1566" s="229" t="s">
        <v>769</v>
      </c>
      <c r="C1566" s="10"/>
      <c r="D1566" s="14"/>
      <c r="E1566" s="157"/>
      <c r="F1566" s="10"/>
      <c r="G1566" s="17"/>
      <c r="H1566" s="10"/>
      <c r="I1566" s="17"/>
      <c r="J1566" s="83"/>
      <c r="K1566" s="343"/>
      <c r="L1566" s="347"/>
      <c r="M1566" s="89"/>
      <c r="N1566" s="10"/>
      <c r="O1566" s="22"/>
      <c r="P1566" s="36"/>
      <c r="Q1566" s="98"/>
      <c r="U1566" s="104" t="str">
        <f>IF(
  AND(
    TRIM(A1566)=TRIM(Enginuity!$A$1),
    TRIM(B1566)=TRIM(Enginuity!$A$17),
    Q1566&lt;&gt;"",
    Q1566&lt;&gt;0,
    OR(
      TRIM(C1566)=TRIM(Enginuity!$A$18),
      AND(UPPER(TRIM(M1566))="STD", TRIM(B1566)=TRIM(Enginuity!$A$17))
    ),
    OR(
      AND(LEFT(P1566,5)="1-Way", Enginuity!$B$13=1),
      AND(LEFT(P1566,5)="2-Way", OR(Enginuity!$B$13=2, Enginuity!$B$13=4)),
      AND(LEFT(P1566,5)="3-Way", OR(Enginuity!$B$13=3, Enginuity!$B$13=6)),
      AND(P1566="Inner Centre Jamb", OR(Enginuity!$B$13=4, Enginuity!$B$13=6)),
      AND(
        LEFT(P1566,5)&lt;&gt;"1-Way",
        LEFT(P1566,5)&lt;&gt;"2-Way",
        LEFT(P1566,5)&lt;&gt;"3-Way",
        P1566&lt;&gt;"Inner Centre Jamb"
      )
    ),
    IF(OR(Enginuity!$A$1="Frameless Glass",Enginuity!$A$1="Metal Work"),
      AND(TRIM(B1566)=TRIM(Enginuity!$A$17),TRIM(C1566)=TRIM(Enginuity!$A$18)),
      TRIM(B1566)=TRIM(Enginuity!$A$17)
    )
  ),
  ROW(),
  ""
)</f>
        <v/>
      </c>
    </row>
    <row r="1567" spans="1:21" x14ac:dyDescent="0.25">
      <c r="A1567" s="10" t="s">
        <v>768</v>
      </c>
      <c r="B1567" s="229" t="s">
        <v>769</v>
      </c>
      <c r="C1567" s="10"/>
      <c r="D1567" s="14"/>
      <c r="E1567" s="157"/>
      <c r="F1567" s="10"/>
      <c r="G1567" s="17"/>
      <c r="H1567" s="10"/>
      <c r="I1567" s="17"/>
      <c r="J1567" s="83"/>
      <c r="K1567" s="343"/>
      <c r="L1567" s="347"/>
      <c r="M1567" s="89"/>
      <c r="N1567" s="10"/>
      <c r="O1567" s="22"/>
      <c r="P1567" s="36"/>
      <c r="Q1567" s="98"/>
      <c r="U1567" s="104" t="str">
        <f>IF(
  AND(
    TRIM(A1567)=TRIM(Enginuity!$A$1),
    TRIM(B1567)=TRIM(Enginuity!$A$17),
    Q1567&lt;&gt;"",
    Q1567&lt;&gt;0,
    OR(
      TRIM(C1567)=TRIM(Enginuity!$A$18),
      AND(UPPER(TRIM(M1567))="STD", TRIM(B1567)=TRIM(Enginuity!$A$17))
    ),
    OR(
      AND(LEFT(P1567,5)="1-Way", Enginuity!$B$13=1),
      AND(LEFT(P1567,5)="2-Way", OR(Enginuity!$B$13=2, Enginuity!$B$13=4)),
      AND(LEFT(P1567,5)="3-Way", OR(Enginuity!$B$13=3, Enginuity!$B$13=6)),
      AND(P1567="Inner Centre Jamb", OR(Enginuity!$B$13=4, Enginuity!$B$13=6)),
      AND(
        LEFT(P1567,5)&lt;&gt;"1-Way",
        LEFT(P1567,5)&lt;&gt;"2-Way",
        LEFT(P1567,5)&lt;&gt;"3-Way",
        P1567&lt;&gt;"Inner Centre Jamb"
      )
    ),
    IF(OR(Enginuity!$A$1="Frameless Glass",Enginuity!$A$1="Metal Work"),
      AND(TRIM(B1567)=TRIM(Enginuity!$A$17),TRIM(C1567)=TRIM(Enginuity!$A$18)),
      TRIM(B1567)=TRIM(Enginuity!$A$17)
    )
  ),
  ROW(),
  ""
)</f>
        <v/>
      </c>
    </row>
    <row r="1568" spans="1:21" x14ac:dyDescent="0.25">
      <c r="A1568" s="10" t="s">
        <v>768</v>
      </c>
      <c r="B1568" s="229" t="s">
        <v>769</v>
      </c>
      <c r="C1568" s="10"/>
      <c r="D1568" s="14"/>
      <c r="E1568" s="157"/>
      <c r="F1568" s="10"/>
      <c r="G1568" s="17"/>
      <c r="H1568" s="10"/>
      <c r="I1568" s="17"/>
      <c r="J1568" s="83"/>
      <c r="K1568" s="343"/>
      <c r="L1568" s="347"/>
      <c r="M1568" s="89"/>
      <c r="N1568" s="10"/>
      <c r="O1568" s="22"/>
      <c r="P1568" s="36"/>
      <c r="Q1568" s="98"/>
      <c r="U1568" s="104" t="str">
        <f>IF(
  AND(
    TRIM(A1568)=TRIM(Enginuity!$A$1),
    TRIM(B1568)=TRIM(Enginuity!$A$17),
    Q1568&lt;&gt;"",
    Q1568&lt;&gt;0,
    OR(
      TRIM(C1568)=TRIM(Enginuity!$A$18),
      AND(UPPER(TRIM(M1568))="STD", TRIM(B1568)=TRIM(Enginuity!$A$17))
    ),
    OR(
      AND(LEFT(P1568,5)="1-Way", Enginuity!$B$13=1),
      AND(LEFT(P1568,5)="2-Way", OR(Enginuity!$B$13=2, Enginuity!$B$13=4)),
      AND(LEFT(P1568,5)="3-Way", OR(Enginuity!$B$13=3, Enginuity!$B$13=6)),
      AND(P1568="Inner Centre Jamb", OR(Enginuity!$B$13=4, Enginuity!$B$13=6)),
      AND(
        LEFT(P1568,5)&lt;&gt;"1-Way",
        LEFT(P1568,5)&lt;&gt;"2-Way",
        LEFT(P1568,5)&lt;&gt;"3-Way",
        P1568&lt;&gt;"Inner Centre Jamb"
      )
    ),
    IF(OR(Enginuity!$A$1="Frameless Glass",Enginuity!$A$1="Metal Work"),
      AND(TRIM(B1568)=TRIM(Enginuity!$A$17),TRIM(C1568)=TRIM(Enginuity!$A$18)),
      TRIM(B1568)=TRIM(Enginuity!$A$17)
    )
  ),
  ROW(),
  ""
)</f>
        <v/>
      </c>
    </row>
    <row r="1569" spans="1:21" x14ac:dyDescent="0.25">
      <c r="A1569" s="10" t="s">
        <v>768</v>
      </c>
      <c r="B1569" s="229" t="s">
        <v>769</v>
      </c>
      <c r="C1569" s="10"/>
      <c r="D1569" s="14"/>
      <c r="E1569" s="157"/>
      <c r="F1569" s="10"/>
      <c r="G1569" s="17"/>
      <c r="H1569" s="10"/>
      <c r="I1569" s="17"/>
      <c r="J1569" s="83"/>
      <c r="K1569" s="343"/>
      <c r="L1569" s="347"/>
      <c r="M1569" s="89"/>
      <c r="N1569" s="10"/>
      <c r="O1569" s="22"/>
      <c r="P1569" s="36"/>
      <c r="Q1569" s="98"/>
      <c r="U1569" s="104" t="str">
        <f>IF(
  AND(
    TRIM(A1569)=TRIM(Enginuity!$A$1),
    TRIM(B1569)=TRIM(Enginuity!$A$17),
    Q1569&lt;&gt;"",
    Q1569&lt;&gt;0,
    OR(
      TRIM(C1569)=TRIM(Enginuity!$A$18),
      AND(UPPER(TRIM(M1569))="STD", TRIM(B1569)=TRIM(Enginuity!$A$17))
    ),
    OR(
      AND(LEFT(P1569,5)="1-Way", Enginuity!$B$13=1),
      AND(LEFT(P1569,5)="2-Way", OR(Enginuity!$B$13=2, Enginuity!$B$13=4)),
      AND(LEFT(P1569,5)="3-Way", OR(Enginuity!$B$13=3, Enginuity!$B$13=6)),
      AND(P1569="Inner Centre Jamb", OR(Enginuity!$B$13=4, Enginuity!$B$13=6)),
      AND(
        LEFT(P1569,5)&lt;&gt;"1-Way",
        LEFT(P1569,5)&lt;&gt;"2-Way",
        LEFT(P1569,5)&lt;&gt;"3-Way",
        P1569&lt;&gt;"Inner Centre Jamb"
      )
    ),
    IF(OR(Enginuity!$A$1="Frameless Glass",Enginuity!$A$1="Metal Work"),
      AND(TRIM(B1569)=TRIM(Enginuity!$A$17),TRIM(C1569)=TRIM(Enginuity!$A$18)),
      TRIM(B1569)=TRIM(Enginuity!$A$17)
    )
  ),
  ROW(),
  ""
)</f>
        <v/>
      </c>
    </row>
    <row r="1570" spans="1:21" x14ac:dyDescent="0.25">
      <c r="A1570" s="10" t="s">
        <v>768</v>
      </c>
      <c r="B1570" s="229" t="s">
        <v>769</v>
      </c>
      <c r="C1570" s="10"/>
      <c r="D1570" s="14"/>
      <c r="E1570" s="157"/>
      <c r="F1570" s="10"/>
      <c r="G1570" s="17"/>
      <c r="H1570" s="10"/>
      <c r="I1570" s="17"/>
      <c r="J1570" s="83"/>
      <c r="K1570" s="343"/>
      <c r="L1570" s="347"/>
      <c r="M1570" s="89"/>
      <c r="N1570" s="10"/>
      <c r="O1570" s="22"/>
      <c r="P1570" s="36"/>
      <c r="Q1570" s="98"/>
      <c r="U1570" s="104" t="str">
        <f>IF(
  AND(
    TRIM(A1570)=TRIM(Enginuity!$A$1),
    TRIM(B1570)=TRIM(Enginuity!$A$17),
    Q1570&lt;&gt;"",
    Q1570&lt;&gt;0,
    OR(
      TRIM(C1570)=TRIM(Enginuity!$A$18),
      AND(UPPER(TRIM(M1570))="STD", TRIM(B1570)=TRIM(Enginuity!$A$17))
    ),
    OR(
      AND(LEFT(P1570,5)="1-Way", Enginuity!$B$13=1),
      AND(LEFT(P1570,5)="2-Way", OR(Enginuity!$B$13=2, Enginuity!$B$13=4)),
      AND(LEFT(P1570,5)="3-Way", OR(Enginuity!$B$13=3, Enginuity!$B$13=6)),
      AND(P1570="Inner Centre Jamb", OR(Enginuity!$B$13=4, Enginuity!$B$13=6)),
      AND(
        LEFT(P1570,5)&lt;&gt;"1-Way",
        LEFT(P1570,5)&lt;&gt;"2-Way",
        LEFT(P1570,5)&lt;&gt;"3-Way",
        P1570&lt;&gt;"Inner Centre Jamb"
      )
    ),
    IF(OR(Enginuity!$A$1="Frameless Glass",Enginuity!$A$1="Metal Work"),
      AND(TRIM(B1570)=TRIM(Enginuity!$A$17),TRIM(C1570)=TRIM(Enginuity!$A$18)),
      TRIM(B1570)=TRIM(Enginuity!$A$17)
    )
  ),
  ROW(),
  ""
)</f>
        <v/>
      </c>
    </row>
    <row r="1571" spans="1:21" x14ac:dyDescent="0.25">
      <c r="A1571" s="10" t="s">
        <v>768</v>
      </c>
      <c r="B1571" s="229" t="s">
        <v>769</v>
      </c>
      <c r="C1571" s="10"/>
      <c r="D1571" s="14"/>
      <c r="E1571" s="157"/>
      <c r="F1571" s="10"/>
      <c r="G1571" s="17"/>
      <c r="H1571" s="10"/>
      <c r="I1571" s="17"/>
      <c r="J1571" s="83"/>
      <c r="K1571" s="343"/>
      <c r="L1571" s="347"/>
      <c r="M1571" s="89"/>
      <c r="N1571" s="10"/>
      <c r="O1571" s="22"/>
      <c r="P1571" s="36"/>
      <c r="Q1571" s="98"/>
      <c r="U1571" s="104" t="str">
        <f>IF(
  AND(
    TRIM(A1571)=TRIM(Enginuity!$A$1),
    TRIM(B1571)=TRIM(Enginuity!$A$17),
    Q1571&lt;&gt;"",
    Q1571&lt;&gt;0,
    OR(
      TRIM(C1571)=TRIM(Enginuity!$A$18),
      AND(UPPER(TRIM(M1571))="STD", TRIM(B1571)=TRIM(Enginuity!$A$17))
    ),
    OR(
      AND(LEFT(P1571,5)="1-Way", Enginuity!$B$13=1),
      AND(LEFT(P1571,5)="2-Way", OR(Enginuity!$B$13=2, Enginuity!$B$13=4)),
      AND(LEFT(P1571,5)="3-Way", OR(Enginuity!$B$13=3, Enginuity!$B$13=6)),
      AND(P1571="Inner Centre Jamb", OR(Enginuity!$B$13=4, Enginuity!$B$13=6)),
      AND(
        LEFT(P1571,5)&lt;&gt;"1-Way",
        LEFT(P1571,5)&lt;&gt;"2-Way",
        LEFT(P1571,5)&lt;&gt;"3-Way",
        P1571&lt;&gt;"Inner Centre Jamb"
      )
    ),
    IF(OR(Enginuity!$A$1="Frameless Glass",Enginuity!$A$1="Metal Work"),
      AND(TRIM(B1571)=TRIM(Enginuity!$A$17),TRIM(C1571)=TRIM(Enginuity!$A$18)),
      TRIM(B1571)=TRIM(Enginuity!$A$17)
    )
  ),
  ROW(),
  ""
)</f>
        <v/>
      </c>
    </row>
    <row r="1572" spans="1:21" x14ac:dyDescent="0.25">
      <c r="A1572" s="10" t="s">
        <v>768</v>
      </c>
      <c r="B1572" s="229" t="s">
        <v>769</v>
      </c>
      <c r="C1572" s="10"/>
      <c r="D1572" s="14"/>
      <c r="E1572" s="157"/>
      <c r="F1572" s="10"/>
      <c r="G1572" s="17"/>
      <c r="H1572" s="10"/>
      <c r="I1572" s="17"/>
      <c r="J1572" s="83"/>
      <c r="K1572" s="343"/>
      <c r="L1572" s="347"/>
      <c r="M1572" s="89"/>
      <c r="N1572" s="10"/>
      <c r="O1572" s="22"/>
      <c r="P1572" s="36"/>
      <c r="Q1572" s="98"/>
      <c r="U1572" s="104" t="str">
        <f>IF(
  AND(
    TRIM(A1572)=TRIM(Enginuity!$A$1),
    TRIM(B1572)=TRIM(Enginuity!$A$17),
    Q1572&lt;&gt;"",
    Q1572&lt;&gt;0,
    OR(
      TRIM(C1572)=TRIM(Enginuity!$A$18),
      AND(UPPER(TRIM(M1572))="STD", TRIM(B1572)=TRIM(Enginuity!$A$17))
    ),
    OR(
      AND(LEFT(P1572,5)="1-Way", Enginuity!$B$13=1),
      AND(LEFT(P1572,5)="2-Way", OR(Enginuity!$B$13=2, Enginuity!$B$13=4)),
      AND(LEFT(P1572,5)="3-Way", OR(Enginuity!$B$13=3, Enginuity!$B$13=6)),
      AND(P1572="Inner Centre Jamb", OR(Enginuity!$B$13=4, Enginuity!$B$13=6)),
      AND(
        LEFT(P1572,5)&lt;&gt;"1-Way",
        LEFT(P1572,5)&lt;&gt;"2-Way",
        LEFT(P1572,5)&lt;&gt;"3-Way",
        P1572&lt;&gt;"Inner Centre Jamb"
      )
    ),
    IF(OR(Enginuity!$A$1="Frameless Glass",Enginuity!$A$1="Metal Work"),
      AND(TRIM(B1572)=TRIM(Enginuity!$A$17),TRIM(C1572)=TRIM(Enginuity!$A$18)),
      TRIM(B1572)=TRIM(Enginuity!$A$17)
    )
  ),
  ROW(),
  ""
)</f>
        <v/>
      </c>
    </row>
    <row r="1573" spans="1:21" x14ac:dyDescent="0.25">
      <c r="A1573" s="10" t="s">
        <v>768</v>
      </c>
      <c r="B1573" s="229" t="s">
        <v>769</v>
      </c>
      <c r="C1573" s="10"/>
      <c r="D1573" s="14"/>
      <c r="E1573" s="157"/>
      <c r="F1573" s="10"/>
      <c r="G1573" s="17"/>
      <c r="H1573" s="10"/>
      <c r="I1573" s="17"/>
      <c r="J1573" s="83"/>
      <c r="K1573" s="343"/>
      <c r="L1573" s="347"/>
      <c r="M1573" s="89"/>
      <c r="N1573" s="10"/>
      <c r="O1573" s="22"/>
      <c r="P1573" s="36"/>
      <c r="Q1573" s="98"/>
      <c r="U1573" s="104" t="str">
        <f>IF(
  AND(
    TRIM(A1573)=TRIM(Enginuity!$A$1),
    TRIM(B1573)=TRIM(Enginuity!$A$17),
    Q1573&lt;&gt;"",
    Q1573&lt;&gt;0,
    OR(
      TRIM(C1573)=TRIM(Enginuity!$A$18),
      AND(UPPER(TRIM(M1573))="STD", TRIM(B1573)=TRIM(Enginuity!$A$17))
    ),
    OR(
      AND(LEFT(P1573,5)="1-Way", Enginuity!$B$13=1),
      AND(LEFT(P1573,5)="2-Way", OR(Enginuity!$B$13=2, Enginuity!$B$13=4)),
      AND(LEFT(P1573,5)="3-Way", OR(Enginuity!$B$13=3, Enginuity!$B$13=6)),
      AND(P1573="Inner Centre Jamb", OR(Enginuity!$B$13=4, Enginuity!$B$13=6)),
      AND(
        LEFT(P1573,5)&lt;&gt;"1-Way",
        LEFT(P1573,5)&lt;&gt;"2-Way",
        LEFT(P1573,5)&lt;&gt;"3-Way",
        P1573&lt;&gt;"Inner Centre Jamb"
      )
    ),
    IF(OR(Enginuity!$A$1="Frameless Glass",Enginuity!$A$1="Metal Work"),
      AND(TRIM(B1573)=TRIM(Enginuity!$A$17),TRIM(C1573)=TRIM(Enginuity!$A$18)),
      TRIM(B1573)=TRIM(Enginuity!$A$17)
    )
  ),
  ROW(),
  ""
)</f>
        <v/>
      </c>
    </row>
    <row r="1574" spans="1:21" x14ac:dyDescent="0.25">
      <c r="A1574" s="10" t="s">
        <v>768</v>
      </c>
      <c r="B1574" s="229"/>
      <c r="C1574" s="10"/>
      <c r="D1574" s="14"/>
      <c r="E1574" s="157"/>
      <c r="F1574" s="10"/>
      <c r="G1574" s="17"/>
      <c r="H1574" s="10"/>
      <c r="I1574" s="17"/>
      <c r="J1574" s="83"/>
      <c r="K1574" s="343"/>
      <c r="L1574" s="347"/>
      <c r="M1574" s="89"/>
      <c r="N1574" s="10"/>
      <c r="O1574" s="22"/>
      <c r="P1574" s="36"/>
      <c r="Q1574" s="98"/>
      <c r="U1574" s="104" t="str">
        <f>IF(
  AND(
    TRIM(A1574)=TRIM(Enginuity!$A$1),
    TRIM(B1574)=TRIM(Enginuity!$A$17),
    Q1574&lt;&gt;"",
    Q1574&lt;&gt;0,
    OR(
      TRIM(C1574)=TRIM(Enginuity!$A$18),
      AND(UPPER(TRIM(M1574))="STD", TRIM(B1574)=TRIM(Enginuity!$A$17))
    ),
    OR(
      AND(LEFT(P1574,5)="1-Way", Enginuity!$B$13=1),
      AND(LEFT(P1574,5)="2-Way", OR(Enginuity!$B$13=2, Enginuity!$B$13=4)),
      AND(LEFT(P1574,5)="3-Way", OR(Enginuity!$B$13=3, Enginuity!$B$13=6)),
      AND(P1574="Inner Centre Jamb", OR(Enginuity!$B$13=4, Enginuity!$B$13=6)),
      AND(
        LEFT(P1574,5)&lt;&gt;"1-Way",
        LEFT(P1574,5)&lt;&gt;"2-Way",
        LEFT(P1574,5)&lt;&gt;"3-Way",
        P1574&lt;&gt;"Inner Centre Jamb"
      )
    ),
    IF(OR(Enginuity!$A$1="Frameless Glass",Enginuity!$A$1="Metal Work"),
      AND(TRIM(B1574)=TRIM(Enginuity!$A$17),TRIM(C1574)=TRIM(Enginuity!$A$18)),
      TRIM(B1574)=TRIM(Enginuity!$A$17)
    )
  ),
  ROW(),
  ""
)</f>
        <v/>
      </c>
    </row>
    <row r="1575" spans="1:21" x14ac:dyDescent="0.25">
      <c r="A1575" s="17" t="s">
        <v>768</v>
      </c>
      <c r="B1575" s="230"/>
      <c r="C1575" s="17"/>
      <c r="D1575" s="18"/>
      <c r="E1575" s="238"/>
      <c r="F1575" s="17"/>
      <c r="G1575" s="17"/>
      <c r="H1575" s="17"/>
      <c r="I1575" s="17"/>
      <c r="J1575" s="84"/>
      <c r="K1575" s="343"/>
      <c r="L1575" s="347"/>
      <c r="M1575" s="90"/>
      <c r="N1575" s="17"/>
      <c r="O1575" s="25"/>
      <c r="P1575" s="92"/>
      <c r="Q1575" s="179"/>
      <c r="U1575" s="104" t="str">
        <f>IF(
  AND(
    TRIM(A1575)=TRIM(Enginuity!$A$1),
    TRIM(B1575)=TRIM(Enginuity!$A$17),
    Q1575&lt;&gt;"",
    Q1575&lt;&gt;0,
    OR(
      TRIM(C1575)=TRIM(Enginuity!$A$18),
      AND(UPPER(TRIM(M1575))="STD", TRIM(B1575)=TRIM(Enginuity!$A$17))
    ),
    OR(
      AND(LEFT(P1575,5)="1-Way", Enginuity!$B$13=1),
      AND(LEFT(P1575,5)="2-Way", OR(Enginuity!$B$13=2, Enginuity!$B$13=4)),
      AND(LEFT(P1575,5)="3-Way", OR(Enginuity!$B$13=3, Enginuity!$B$13=6)),
      AND(P1575="Inner Centre Jamb", OR(Enginuity!$B$13=4, Enginuity!$B$13=6)),
      AND(
        LEFT(P1575,5)&lt;&gt;"1-Way",
        LEFT(P1575,5)&lt;&gt;"2-Way",
        LEFT(P1575,5)&lt;&gt;"3-Way",
        P1575&lt;&gt;"Inner Centre Jamb"
      )
    ),
    IF(OR(Enginuity!$A$1="Frameless Glass",Enginuity!$A$1="Metal Work"),
      AND(TRIM(B1575)=TRIM(Enginuity!$A$17),TRIM(C1575)=TRIM(Enginuity!$A$18)),
      TRIM(B1575)=TRIM(Enginuity!$A$17)
    )
  ),
  ROW(),
  ""
)</f>
        <v/>
      </c>
    </row>
    <row r="1576" spans="1:21" x14ac:dyDescent="0.25">
      <c r="A1576" s="10" t="s">
        <v>253</v>
      </c>
      <c r="B1576" s="229" t="s">
        <v>372</v>
      </c>
      <c r="C1576" s="10" t="s">
        <v>928</v>
      </c>
      <c r="D1576" s="14" t="str">
        <f>P1576</f>
        <v>Below 30" x 84" ecobonz 2.5mm Glossy / VACP 800 Series</v>
      </c>
      <c r="E1576" s="248" t="s">
        <v>375</v>
      </c>
      <c r="F1576" s="113" t="s">
        <v>382</v>
      </c>
      <c r="G1576" s="17" t="s">
        <v>381</v>
      </c>
      <c r="H1576" s="10"/>
      <c r="I1576" s="17"/>
      <c r="J1576" s="83"/>
      <c r="K1576" s="344">
        <v>0.286028</v>
      </c>
      <c r="L1576" s="347">
        <v>762</v>
      </c>
      <c r="M1576" s="89">
        <v>1</v>
      </c>
      <c r="N1576" s="10" t="s">
        <v>176</v>
      </c>
      <c r="O1576" s="22">
        <v>388.5</v>
      </c>
      <c r="P1576" s="14" t="s">
        <v>367</v>
      </c>
      <c r="Q1576" s="22" t="str">
        <f>IF(AND(O1576&lt;&gt;"",P1576=Enginuity!$A$19),
   IF(Enginuity!$B$6&gt;4,Enginuity!$B$13,1),
"")</f>
        <v/>
      </c>
      <c r="U1576" s="104" t="str">
        <f>IF(
  AND(
    TRIM(A1576)=TRIM(Enginuity!$A$1),
    TRIM(B1576)=TRIM(Enginuity!$A$17),
    Q1576&lt;&gt;"",
    Q1576&lt;&gt;0,
    OR(
      TRIM(C1576)=TRIM(Enginuity!$A$18),
      AND(UPPER(TRIM(M1576))="STD", TRIM(B1576)=TRIM(Enginuity!$A$17))
    ),
    OR(
      AND(LEFT(P1576,5)="1-Way", Enginuity!$B$13=1),
      AND(LEFT(P1576,5)="2-Way", OR(Enginuity!$B$13=2, Enginuity!$B$13=4)),
      AND(LEFT(P1576,5)="3-Way", OR(Enginuity!$B$13=3, Enginuity!$B$13=6)),
      AND(P1576="Inner Centre Jamb", OR(Enginuity!$B$13=4, Enginuity!$B$13=6)),
      AND(
        LEFT(P1576,5)&lt;&gt;"1-Way",
        LEFT(P1576,5)&lt;&gt;"2-Way",
        LEFT(P1576,5)&lt;&gt;"3-Way",
        P1576&lt;&gt;"Inner Centre Jamb"
      )
    ),
    IF(OR(Enginuity!$A$1="Frameless Glass",Enginuity!$A$1="Metal Work"),
      AND(TRIM(B1576)=TRIM(Enginuity!$A$17),TRIM(C1576)=TRIM(Enginuity!$A$18)),
      TRIM(B1576)=TRIM(Enginuity!$A$17)
    )
  ),
  ROW(),
  ""
)</f>
        <v/>
      </c>
    </row>
    <row r="1577" spans="1:21" x14ac:dyDescent="0.25">
      <c r="A1577" s="10" t="s">
        <v>253</v>
      </c>
      <c r="B1577" s="229" t="s">
        <v>372</v>
      </c>
      <c r="C1577" s="10" t="s">
        <v>928</v>
      </c>
      <c r="D1577" s="14" t="str">
        <f t="shared" ref="D1577:D1584" si="32">P1577</f>
        <v>Below 30" x 84" ecoscreen 2.5mm</v>
      </c>
      <c r="E1577" s="248" t="s">
        <v>376</v>
      </c>
      <c r="F1577" s="113" t="s">
        <v>383</v>
      </c>
      <c r="G1577" s="17"/>
      <c r="H1577" s="10"/>
      <c r="I1577" s="17"/>
      <c r="J1577" s="83"/>
      <c r="K1577" s="343"/>
      <c r="L1577" s="347"/>
      <c r="M1577" s="89">
        <v>2</v>
      </c>
      <c r="N1577" s="10" t="s">
        <v>176</v>
      </c>
      <c r="O1577" s="22">
        <v>409.5</v>
      </c>
      <c r="P1577" s="14" t="s">
        <v>368</v>
      </c>
      <c r="Q1577" s="22" t="str">
        <f>IF(AND(O1577&lt;&gt;"",P1577=Enginuity!$A$19),
   IF(Enginuity!$B$6&gt;4,Enginuity!$B$13,1),
"")</f>
        <v/>
      </c>
      <c r="U1577" s="104" t="str">
        <f>IF(
  AND(
    TRIM(A1577)=TRIM(Enginuity!$A$1),
    TRIM(B1577)=TRIM(Enginuity!$A$17),
    Q1577&lt;&gt;"",
    Q1577&lt;&gt;0,
    OR(
      TRIM(C1577)=TRIM(Enginuity!$A$18),
      AND(UPPER(TRIM(M1577))="STD", TRIM(B1577)=TRIM(Enginuity!$A$17))
    ),
    OR(
      AND(LEFT(P1577,5)="1-Way", Enginuity!$B$13=1),
      AND(LEFT(P1577,5)="2-Way", OR(Enginuity!$B$13=2, Enginuity!$B$13=4)),
      AND(LEFT(P1577,5)="3-Way", OR(Enginuity!$B$13=3, Enginuity!$B$13=6)),
      AND(P1577="Inner Centre Jamb", OR(Enginuity!$B$13=4, Enginuity!$B$13=6)),
      AND(
        LEFT(P1577,5)&lt;&gt;"1-Way",
        LEFT(P1577,5)&lt;&gt;"2-Way",
        LEFT(P1577,5)&lt;&gt;"3-Way",
        P1577&lt;&gt;"Inner Centre Jamb"
      )
    ),
    IF(OR(Enginuity!$A$1="Frameless Glass",Enginuity!$A$1="Metal Work"),
      AND(TRIM(B1577)=TRIM(Enginuity!$A$17),TRIM(C1577)=TRIM(Enginuity!$A$18)),
      TRIM(B1577)=TRIM(Enginuity!$A$17)
    )
  ),
  ROW(),
  ""
)</f>
        <v/>
      </c>
    </row>
    <row r="1578" spans="1:21" x14ac:dyDescent="0.25">
      <c r="A1578" s="10" t="s">
        <v>253</v>
      </c>
      <c r="B1578" s="229" t="s">
        <v>372</v>
      </c>
      <c r="C1578" s="10" t="s">
        <v>928</v>
      </c>
      <c r="D1578" s="14" t="str">
        <f t="shared" si="32"/>
        <v>Below 30" x 84" ecopoly 2.5mm</v>
      </c>
      <c r="E1578" s="157" t="s">
        <v>377</v>
      </c>
      <c r="F1578" s="14" t="s">
        <v>384</v>
      </c>
      <c r="G1578" s="17"/>
      <c r="H1578" s="10"/>
      <c r="I1578" s="17"/>
      <c r="J1578" s="83"/>
      <c r="K1578" s="343"/>
      <c r="L1578" s="347"/>
      <c r="M1578" s="89">
        <f>2+M1576</f>
        <v>3</v>
      </c>
      <c r="N1578" s="10" t="s">
        <v>176</v>
      </c>
      <c r="O1578" s="22">
        <v>430.5</v>
      </c>
      <c r="P1578" s="14" t="s">
        <v>369</v>
      </c>
      <c r="Q1578" s="22" t="str">
        <f>IF(AND(O1578&lt;&gt;"",P1578=Enginuity!$A$19),
   IF(Enginuity!$B$6&gt;4,Enginuity!$B$13,1),
"")</f>
        <v/>
      </c>
      <c r="U1578" s="104" t="str">
        <f>IF(
  AND(
    TRIM(A1578)=TRIM(Enginuity!$A$1),
    TRIM(B1578)=TRIM(Enginuity!$A$17),
    Q1578&lt;&gt;"",
    Q1578&lt;&gt;0,
    OR(
      TRIM(C1578)=TRIM(Enginuity!$A$18),
      AND(UPPER(TRIM(M1578))="STD", TRIM(B1578)=TRIM(Enginuity!$A$17))
    ),
    OR(
      AND(LEFT(P1578,5)="1-Way", Enginuity!$B$13=1),
      AND(LEFT(P1578,5)="2-Way", OR(Enginuity!$B$13=2, Enginuity!$B$13=4)),
      AND(LEFT(P1578,5)="3-Way", OR(Enginuity!$B$13=3, Enginuity!$B$13=6)),
      AND(P1578="Inner Centre Jamb", OR(Enginuity!$B$13=4, Enginuity!$B$13=6)),
      AND(
        LEFT(P1578,5)&lt;&gt;"1-Way",
        LEFT(P1578,5)&lt;&gt;"2-Way",
        LEFT(P1578,5)&lt;&gt;"3-Way",
        P1578&lt;&gt;"Inner Centre Jamb"
      )
    ),
    IF(OR(Enginuity!$A$1="Frameless Glass",Enginuity!$A$1="Metal Work"),
      AND(TRIM(B1578)=TRIM(Enginuity!$A$17),TRIM(C1578)=TRIM(Enginuity!$A$18)),
      TRIM(B1578)=TRIM(Enginuity!$A$17)
    )
  ),
  ROW(),
  ""
)</f>
        <v/>
      </c>
    </row>
    <row r="1579" spans="1:21" x14ac:dyDescent="0.25">
      <c r="A1579" s="10" t="s">
        <v>253</v>
      </c>
      <c r="B1579" s="229" t="s">
        <v>372</v>
      </c>
      <c r="C1579" s="10" t="s">
        <v>928</v>
      </c>
      <c r="D1579" s="14" t="str">
        <f t="shared" si="32"/>
        <v>Below 30" x 84" Aerolite</v>
      </c>
      <c r="E1579" s="157" t="s">
        <v>378</v>
      </c>
      <c r="F1579" s="14"/>
      <c r="G1579" s="17"/>
      <c r="H1579" s="10"/>
      <c r="I1579" s="17"/>
      <c r="J1579" s="83"/>
      <c r="K1579" s="343"/>
      <c r="L1579" s="347"/>
      <c r="M1579" s="89">
        <f t="shared" ref="M1579:M1601" si="33">2+M1577</f>
        <v>4</v>
      </c>
      <c r="N1579" s="10" t="s">
        <v>176</v>
      </c>
      <c r="O1579" s="22">
        <v>451.5</v>
      </c>
      <c r="P1579" s="14" t="s">
        <v>370</v>
      </c>
      <c r="Q1579" s="22" t="str">
        <f>IF(AND(O1579&lt;&gt;"",P1579=Enginuity!$A$19),
   IF(Enginuity!$B$6&gt;4,Enginuity!$B$13,1),
"")</f>
        <v/>
      </c>
      <c r="U1579" s="104" t="str">
        <f>IF(
  AND(
    TRIM(A1579)=TRIM(Enginuity!$A$1),
    TRIM(B1579)=TRIM(Enginuity!$A$17),
    Q1579&lt;&gt;"",
    Q1579&lt;&gt;0,
    OR(
      TRIM(C1579)=TRIM(Enginuity!$A$18),
      AND(UPPER(TRIM(M1579))="STD", TRIM(B1579)=TRIM(Enginuity!$A$17))
    ),
    OR(
      AND(LEFT(P1579,5)="1-Way", Enginuity!$B$13=1),
      AND(LEFT(P1579,5)="2-Way", OR(Enginuity!$B$13=2, Enginuity!$B$13=4)),
      AND(LEFT(P1579,5)="3-Way", OR(Enginuity!$B$13=3, Enginuity!$B$13=6)),
      AND(P1579="Inner Centre Jamb", OR(Enginuity!$B$13=4, Enginuity!$B$13=6)),
      AND(
        LEFT(P1579,5)&lt;&gt;"1-Way",
        LEFT(P1579,5)&lt;&gt;"2-Way",
        LEFT(P1579,5)&lt;&gt;"3-Way",
        P1579&lt;&gt;"Inner Centre Jamb"
      )
    ),
    IF(OR(Enginuity!$A$1="Frameless Glass",Enginuity!$A$1="Metal Work"),
      AND(TRIM(B1579)=TRIM(Enginuity!$A$17),TRIM(C1579)=TRIM(Enginuity!$A$18)),
      TRIM(B1579)=TRIM(Enginuity!$A$17)
    )
  ),
  ROW(),
  ""
)</f>
        <v/>
      </c>
    </row>
    <row r="1580" spans="1:21" x14ac:dyDescent="0.25">
      <c r="A1580" s="10" t="s">
        <v>253</v>
      </c>
      <c r="B1580" s="229" t="s">
        <v>372</v>
      </c>
      <c r="C1580" s="10" t="s">
        <v>928</v>
      </c>
      <c r="D1580" s="14" t="str">
        <f t="shared" si="32"/>
        <v>1. Below 30" x 84" Composite</v>
      </c>
      <c r="E1580" s="157" t="s">
        <v>379</v>
      </c>
      <c r="F1580" s="14"/>
      <c r="G1580" s="17"/>
      <c r="H1580" s="10"/>
      <c r="I1580" s="17"/>
      <c r="J1580" s="83"/>
      <c r="K1580" s="343"/>
      <c r="L1580" s="347"/>
      <c r="M1580" s="89">
        <f t="shared" si="33"/>
        <v>5</v>
      </c>
      <c r="N1580" s="10" t="s">
        <v>176</v>
      </c>
      <c r="O1580" s="22">
        <v>378</v>
      </c>
      <c r="P1580" s="14" t="s">
        <v>374</v>
      </c>
      <c r="Q1580" s="22" t="str">
        <f>IF(AND(O1580&lt;&gt;"",P1580=Enginuity!$A$19),
   IF(Enginuity!$B$6&gt;4,Enginuity!$B$13,1),
"")</f>
        <v/>
      </c>
      <c r="U1580" s="104" t="str">
        <f>IF(
  AND(
    TRIM(A1580)=TRIM(Enginuity!$A$1),
    TRIM(B1580)=TRIM(Enginuity!$A$17),
    Q1580&lt;&gt;"",
    Q1580&lt;&gt;0,
    OR(
      TRIM(C1580)=TRIM(Enginuity!$A$18),
      AND(UPPER(TRIM(M1580))="STD", TRIM(B1580)=TRIM(Enginuity!$A$17))
    ),
    OR(
      AND(LEFT(P1580,5)="1-Way", Enginuity!$B$13=1),
      AND(LEFT(P1580,5)="2-Way", OR(Enginuity!$B$13=2, Enginuity!$B$13=4)),
      AND(LEFT(P1580,5)="3-Way", OR(Enginuity!$B$13=3, Enginuity!$B$13=6)),
      AND(P1580="Inner Centre Jamb", OR(Enginuity!$B$13=4, Enginuity!$B$13=6)),
      AND(
        LEFT(P1580,5)&lt;&gt;"1-Way",
        LEFT(P1580,5)&lt;&gt;"2-Way",
        LEFT(P1580,5)&lt;&gt;"3-Way",
        P1580&lt;&gt;"Inner Centre Jamb"
      )
    ),
    IF(OR(Enginuity!$A$1="Frameless Glass",Enginuity!$A$1="Metal Work"),
      AND(TRIM(B1580)=TRIM(Enginuity!$A$17),TRIM(C1580)=TRIM(Enginuity!$A$18)),
      TRIM(B1580)=TRIM(Enginuity!$A$17)
    )
  ),
  ROW(),
  ""
)</f>
        <v/>
      </c>
    </row>
    <row r="1581" spans="1:21" x14ac:dyDescent="0.25">
      <c r="A1581" s="10" t="s">
        <v>253</v>
      </c>
      <c r="B1581" s="229" t="s">
        <v>372</v>
      </c>
      <c r="C1581" s="10" t="s">
        <v>928</v>
      </c>
      <c r="D1581" s="14" t="str">
        <f t="shared" si="32"/>
        <v xml:space="preserve">Below 30" x 84" N.Glass + Lamina Film / N.Dark Grey </v>
      </c>
      <c r="E1581" s="157"/>
      <c r="F1581" s="14"/>
      <c r="G1581" s="17"/>
      <c r="H1581" s="10"/>
      <c r="I1581" s="17"/>
      <c r="J1581" s="83"/>
      <c r="K1581" s="343"/>
      <c r="L1581" s="347"/>
      <c r="M1581" s="89">
        <f t="shared" si="33"/>
        <v>6</v>
      </c>
      <c r="N1581" s="10" t="s">
        <v>176</v>
      </c>
      <c r="O1581" s="22">
        <v>409.5</v>
      </c>
      <c r="P1581" s="14" t="s">
        <v>937</v>
      </c>
      <c r="Q1581" s="22" t="str">
        <f>IF(AND(O1581&lt;&gt;"",P1581=Enginuity!$A$19),
   IF(Enginuity!$B$6&gt;4,Enginuity!$B$13,1),
"")</f>
        <v/>
      </c>
      <c r="U1581" s="104" t="str">
        <f>IF(
  AND(
    TRIM(A1581)=TRIM(Enginuity!$A$1),
    TRIM(B1581)=TRIM(Enginuity!$A$17),
    Q1581&lt;&gt;"",
    Q1581&lt;&gt;0,
    OR(
      TRIM(C1581)=TRIM(Enginuity!$A$18),
      AND(UPPER(TRIM(M1581))="STD", TRIM(B1581)=TRIM(Enginuity!$A$17))
    ),
    OR(
      AND(LEFT(P1581,5)="1-Way", Enginuity!$B$13=1),
      AND(LEFT(P1581,5)="2-Way", OR(Enginuity!$B$13=2, Enginuity!$B$13=4)),
      AND(LEFT(P1581,5)="3-Way", OR(Enginuity!$B$13=3, Enginuity!$B$13=6)),
      AND(P1581="Inner Centre Jamb", OR(Enginuity!$B$13=4, Enginuity!$B$13=6)),
      AND(
        LEFT(P1581,5)&lt;&gt;"1-Way",
        LEFT(P1581,5)&lt;&gt;"2-Way",
        LEFT(P1581,5)&lt;&gt;"3-Way",
        P1581&lt;&gt;"Inner Centre Jamb"
      )
    ),
    IF(OR(Enginuity!$A$1="Frameless Glass",Enginuity!$A$1="Metal Work"),
      AND(TRIM(B1581)=TRIM(Enginuity!$A$17),TRIM(C1581)=TRIM(Enginuity!$A$18)),
      TRIM(B1581)=TRIM(Enginuity!$A$17)
    )
  ),
  ROW(),
  ""
)</f>
        <v/>
      </c>
    </row>
    <row r="1582" spans="1:21" x14ac:dyDescent="0.25">
      <c r="A1582" s="10" t="s">
        <v>253</v>
      </c>
      <c r="B1582" s="229" t="s">
        <v>372</v>
      </c>
      <c r="C1582" s="10" t="s">
        <v>928</v>
      </c>
      <c r="D1582" s="14" t="str">
        <f t="shared" si="32"/>
        <v>Below 30" x 84" N.Clear Glass</v>
      </c>
      <c r="E1582" s="157"/>
      <c r="F1582" s="14"/>
      <c r="G1582" s="17"/>
      <c r="H1582" s="10"/>
      <c r="I1582" s="17"/>
      <c r="J1582" s="83"/>
      <c r="K1582" s="343"/>
      <c r="L1582" s="347"/>
      <c r="M1582" s="89">
        <f t="shared" si="33"/>
        <v>7</v>
      </c>
      <c r="N1582" s="10" t="s">
        <v>176</v>
      </c>
      <c r="O1582" s="22">
        <v>399</v>
      </c>
      <c r="P1582" s="14" t="s">
        <v>938</v>
      </c>
      <c r="Q1582" s="22" t="str">
        <f>IF(AND(O1582&lt;&gt;"",P1582=Enginuity!$A$19),
   IF(Enginuity!$B$6&gt;4,Enginuity!$B$13,1),
"")</f>
        <v/>
      </c>
      <c r="U1582" s="104" t="str">
        <f>IF(
  AND(
    TRIM(A1582)=TRIM(Enginuity!$A$1),
    TRIM(B1582)=TRIM(Enginuity!$A$17),
    Q1582&lt;&gt;"",
    Q1582&lt;&gt;0,
    OR(
      TRIM(C1582)=TRIM(Enginuity!$A$18),
      AND(UPPER(TRIM(M1582))="STD", TRIM(B1582)=TRIM(Enginuity!$A$17))
    ),
    OR(
      AND(LEFT(P1582,5)="1-Way", Enginuity!$B$13=1),
      AND(LEFT(P1582,5)="2-Way", OR(Enginuity!$B$13=2, Enginuity!$B$13=4)),
      AND(LEFT(P1582,5)="3-Way", OR(Enginuity!$B$13=3, Enginuity!$B$13=6)),
      AND(P1582="Inner Centre Jamb", OR(Enginuity!$B$13=4, Enginuity!$B$13=6)),
      AND(
        LEFT(P1582,5)&lt;&gt;"1-Way",
        LEFT(P1582,5)&lt;&gt;"2-Way",
        LEFT(P1582,5)&lt;&gt;"3-Way",
        P1582&lt;&gt;"Inner Centre Jamb"
      )
    ),
    IF(OR(Enginuity!$A$1="Frameless Glass",Enginuity!$A$1="Metal Work"),
      AND(TRIM(B1582)=TRIM(Enginuity!$A$17),TRIM(C1582)=TRIM(Enginuity!$A$18)),
      TRIM(B1582)=TRIM(Enginuity!$A$17)
    )
  ),
  ROW(),
  ""
)</f>
        <v/>
      </c>
    </row>
    <row r="1583" spans="1:21" x14ac:dyDescent="0.25">
      <c r="A1583" s="10" t="s">
        <v>253</v>
      </c>
      <c r="B1583" s="229" t="s">
        <v>372</v>
      </c>
      <c r="C1583" s="10" t="s">
        <v>928</v>
      </c>
      <c r="D1583" s="14" t="str">
        <f t="shared" si="32"/>
        <v>Below 30" x 84" Tempered Glass</v>
      </c>
      <c r="E1583" s="157"/>
      <c r="F1583" s="14"/>
      <c r="G1583" s="17"/>
      <c r="H1583" s="10"/>
      <c r="I1583" s="17"/>
      <c r="J1583" s="83"/>
      <c r="K1583" s="343"/>
      <c r="L1583" s="347"/>
      <c r="M1583" s="89">
        <f t="shared" si="33"/>
        <v>8</v>
      </c>
      <c r="N1583" s="10" t="s">
        <v>176</v>
      </c>
      <c r="O1583" s="22">
        <v>493.5</v>
      </c>
      <c r="P1583" s="14" t="s">
        <v>939</v>
      </c>
      <c r="Q1583" s="22" t="str">
        <f>IF(AND(O1583&lt;&gt;"",P1583=Enginuity!$A$19),
   IF(Enginuity!$B$6&gt;4,Enginuity!$B$13,1),
"")</f>
        <v/>
      </c>
      <c r="U1583" s="104" t="str">
        <f>IF(
  AND(
    TRIM(A1583)=TRIM(Enginuity!$A$1),
    TRIM(B1583)=TRIM(Enginuity!$A$17),
    Q1583&lt;&gt;"",
    Q1583&lt;&gt;0,
    OR(
      TRIM(C1583)=TRIM(Enginuity!$A$18),
      AND(UPPER(TRIM(M1583))="STD", TRIM(B1583)=TRIM(Enginuity!$A$17))
    ),
    OR(
      AND(LEFT(P1583,5)="1-Way", Enginuity!$B$13=1),
      AND(LEFT(P1583,5)="2-Way", OR(Enginuity!$B$13=2, Enginuity!$B$13=4)),
      AND(LEFT(P1583,5)="3-Way", OR(Enginuity!$B$13=3, Enginuity!$B$13=6)),
      AND(P1583="Inner Centre Jamb", OR(Enginuity!$B$13=4, Enginuity!$B$13=6)),
      AND(
        LEFT(P1583,5)&lt;&gt;"1-Way",
        LEFT(P1583,5)&lt;&gt;"2-Way",
        LEFT(P1583,5)&lt;&gt;"3-Way",
        P1583&lt;&gt;"Inner Centre Jamb"
      )
    ),
    IF(OR(Enginuity!$A$1="Frameless Glass",Enginuity!$A$1="Metal Work"),
      AND(TRIM(B1583)=TRIM(Enginuity!$A$17),TRIM(C1583)=TRIM(Enginuity!$A$18)),
      TRIM(B1583)=TRIM(Enginuity!$A$17)
    )
  ),
  ROW(),
  ""
)</f>
        <v/>
      </c>
    </row>
    <row r="1584" spans="1:21" x14ac:dyDescent="0.25">
      <c r="A1584" s="10" t="s">
        <v>253</v>
      </c>
      <c r="B1584" s="229" t="s">
        <v>372</v>
      </c>
      <c r="C1584" s="10" t="s">
        <v>928</v>
      </c>
      <c r="D1584" s="14" t="str">
        <f t="shared" si="32"/>
        <v>Below 30" x 84" Full Louvers</v>
      </c>
      <c r="E1584" s="157"/>
      <c r="F1584" s="14"/>
      <c r="G1584" s="17"/>
      <c r="H1584" s="10"/>
      <c r="I1584" s="17"/>
      <c r="J1584" s="83"/>
      <c r="K1584" s="343"/>
      <c r="L1584" s="347"/>
      <c r="M1584" s="89">
        <f t="shared" si="33"/>
        <v>9</v>
      </c>
      <c r="N1584" s="10" t="s">
        <v>176</v>
      </c>
      <c r="O1584" s="22">
        <v>714</v>
      </c>
      <c r="P1584" s="14" t="s">
        <v>371</v>
      </c>
      <c r="Q1584" s="22" t="str">
        <f>IF(AND(O1584&lt;&gt;"",P1584=Enginuity!$A$19),
   IF(Enginuity!$B$6&gt;4,Enginuity!$B$13,1),
"")</f>
        <v/>
      </c>
      <c r="U1584" s="104" t="str">
        <f>IF(
  AND(
    TRIM(A1584)=TRIM(Enginuity!$A$1),
    TRIM(B1584)=TRIM(Enginuity!$A$17),
    Q1584&lt;&gt;"",
    Q1584&lt;&gt;0,
    OR(
      TRIM(C1584)=TRIM(Enginuity!$A$18),
      AND(UPPER(TRIM(M1584))="STD", TRIM(B1584)=TRIM(Enginuity!$A$17))
    ),
    OR(
      AND(LEFT(P1584,5)="1-Way", Enginuity!$B$13=1),
      AND(LEFT(P1584,5)="2-Way", OR(Enginuity!$B$13=2, Enginuity!$B$13=4)),
      AND(LEFT(P1584,5)="3-Way", OR(Enginuity!$B$13=3, Enginuity!$B$13=6)),
      AND(P1584="Inner Centre Jamb", OR(Enginuity!$B$13=4, Enginuity!$B$13=6)),
      AND(
        LEFT(P1584,5)&lt;&gt;"1-Way",
        LEFT(P1584,5)&lt;&gt;"2-Way",
        LEFT(P1584,5)&lt;&gt;"3-Way",
        P1584&lt;&gt;"Inner Centre Jamb"
      )
    ),
    IF(OR(Enginuity!$A$1="Frameless Glass",Enginuity!$A$1="Metal Work"),
      AND(TRIM(B1584)=TRIM(Enginuity!$A$17),TRIM(C1584)=TRIM(Enginuity!$A$18)),
      TRIM(B1584)=TRIM(Enginuity!$A$17)
    )
  ),
  ROW(),
  ""
)</f>
        <v/>
      </c>
    </row>
    <row r="1585" spans="1:21" x14ac:dyDescent="0.25">
      <c r="A1585" s="10" t="s">
        <v>253</v>
      </c>
      <c r="B1585" s="229" t="s">
        <v>372</v>
      </c>
      <c r="C1585" s="10" t="s">
        <v>928</v>
      </c>
      <c r="D1585" s="108"/>
      <c r="E1585" s="157"/>
      <c r="F1585" s="14"/>
      <c r="G1585" s="17"/>
      <c r="H1585" s="10"/>
      <c r="I1585" s="17"/>
      <c r="J1585" s="83"/>
      <c r="K1585" s="344"/>
      <c r="L1585" s="347"/>
      <c r="M1585" s="89">
        <v>10</v>
      </c>
      <c r="N1585" s="10" t="s">
        <v>121</v>
      </c>
      <c r="O1585" s="22">
        <f>IF(ISNUMBER(SEARCH("Louvers",Enginuity!$A$19)),AllMaterialsbak!$B$11,AllMaterialsbak!$B$10)</f>
        <v>26.25</v>
      </c>
      <c r="P1585" s="108" t="str">
        <f>$A$10</f>
        <v>Additional Size Complete Set</v>
      </c>
      <c r="Q1585" s="22">
        <f>IF(OR(Enginuity!$B$6="",Enginuity!$B$7="",Enginuity!$B$13="",Enginuity!$B$13=0),"",
 ROUNDUP(
   MAX(0,
     Enginuity!$B$6*MIN(Enginuity!$B$7,8)
     - Enginuity!$B$13
       * MIN(3,Enginuity!$B$6/Enginuity!$B$13)
       * MIN(7,MIN(Enginuity!$B$7,8))
   ),0)
)</f>
        <v>20</v>
      </c>
      <c r="U1585" s="104" t="str">
        <f>IF(
  AND(
    TRIM(A1585)=TRIM(Enginuity!$A$1),
    TRIM(B1585)=TRIM(Enginuity!$A$17),
    Q1585&lt;&gt;"",
    Q1585&lt;&gt;0,
    OR(
      TRIM(C1585)=TRIM(Enginuity!$A$18),
      AND(UPPER(TRIM(M1585))="STD", TRIM(B1585)=TRIM(Enginuity!$A$17))
    ),
    OR(
      AND(LEFT(P1585,5)="1-Way", Enginuity!$B$13=1),
      AND(LEFT(P1585,5)="2-Way", OR(Enginuity!$B$13=2, Enginuity!$B$13=4)),
      AND(LEFT(P1585,5)="3-Way", OR(Enginuity!$B$13=3, Enginuity!$B$13=6)),
      AND(P1585="Inner Centre Jamb", OR(Enginuity!$B$13=4, Enginuity!$B$13=6)),
      AND(
        LEFT(P1585,5)&lt;&gt;"1-Way",
        LEFT(P1585,5)&lt;&gt;"2-Way",
        LEFT(P1585,5)&lt;&gt;"3-Way",
        P1585&lt;&gt;"Inner Centre Jamb"
      )
    ),
    IF(OR(Enginuity!$A$1="Frameless Glass",Enginuity!$A$1="Metal Work"),
      AND(TRIM(B1585)=TRIM(Enginuity!$A$17),TRIM(C1585)=TRIM(Enginuity!$A$18)),
      TRIM(B1585)=TRIM(Enginuity!$A$17)
    )
  ),
  ROW(),
  ""
)</f>
        <v/>
      </c>
    </row>
    <row r="1586" spans="1:21" x14ac:dyDescent="0.25">
      <c r="A1586" s="10" t="s">
        <v>253</v>
      </c>
      <c r="B1586" s="229" t="s">
        <v>372</v>
      </c>
      <c r="C1586" s="10" t="s">
        <v>928</v>
      </c>
      <c r="D1586" s="14"/>
      <c r="E1586" s="157"/>
      <c r="F1586" s="14"/>
      <c r="G1586" s="17"/>
      <c r="H1586" s="10"/>
      <c r="I1586" s="17"/>
      <c r="J1586" s="83"/>
      <c r="K1586" s="344"/>
      <c r="L1586" s="347"/>
      <c r="M1586" s="89"/>
      <c r="N1586" s="10" t="s">
        <v>121</v>
      </c>
      <c r="O1586" s="22">
        <f>IF(Q1586&lt;&gt;"", $B$19, "")</f>
        <v>29.93</v>
      </c>
      <c r="P1586" s="106" t="s">
        <v>380</v>
      </c>
      <c r="Q1586" s="22">
        <f>IF(Enginuity!$B$7&gt;8,MAX((Enginuity!$B$7-8)*Enginuity!$B$6,3),"")</f>
        <v>100</v>
      </c>
      <c r="U1586" s="104" t="str">
        <f>IF(
  AND(
    TRIM(A1586)=TRIM(Enginuity!$A$1),
    TRIM(B1586)=TRIM(Enginuity!$A$17),
    Q1586&lt;&gt;"",
    Q1586&lt;&gt;0,
    OR(
      TRIM(C1586)=TRIM(Enginuity!$A$18),
      AND(UPPER(TRIM(M1586))="STD", TRIM(B1586)=TRIM(Enginuity!$A$17))
    ),
    OR(
      AND(LEFT(P1586,5)="1-Way", Enginuity!$B$13=1),
      AND(LEFT(P1586,5)="2-Way", OR(Enginuity!$B$13=2, Enginuity!$B$13=4)),
      AND(LEFT(P1586,5)="3-Way", OR(Enginuity!$B$13=3, Enginuity!$B$13=6)),
      AND(P1586="Inner Centre Jamb", OR(Enginuity!$B$13=4, Enginuity!$B$13=6)),
      AND(
        LEFT(P1586,5)&lt;&gt;"1-Way",
        LEFT(P1586,5)&lt;&gt;"2-Way",
        LEFT(P1586,5)&lt;&gt;"3-Way",
        P1586&lt;&gt;"Inner Centre Jamb"
      )
    ),
    IF(OR(Enginuity!$A$1="Frameless Glass",Enginuity!$A$1="Metal Work"),
      AND(TRIM(B1586)=TRIM(Enginuity!$A$17),TRIM(C1586)=TRIM(Enginuity!$A$18)),
      TRIM(B1586)=TRIM(Enginuity!$A$17)
    )
  ),
  ROW(),
  ""
)</f>
        <v/>
      </c>
    </row>
    <row r="1587" spans="1:21" x14ac:dyDescent="0.25">
      <c r="A1587" s="10" t="s">
        <v>253</v>
      </c>
      <c r="B1587" s="229" t="s">
        <v>372</v>
      </c>
      <c r="C1587" s="10" t="s">
        <v>928</v>
      </c>
      <c r="D1587" s="14"/>
      <c r="E1587" s="157"/>
      <c r="F1587" s="14"/>
      <c r="G1587" s="17"/>
      <c r="H1587" s="10"/>
      <c r="I1587" s="17"/>
      <c r="J1587" s="83"/>
      <c r="K1587" s="343"/>
      <c r="L1587" s="347"/>
      <c r="M1587" s="89"/>
      <c r="N1587" s="10" t="s">
        <v>176</v>
      </c>
      <c r="O1587" s="22">
        <f>$B$20</f>
        <v>65</v>
      </c>
      <c r="P1587" s="106" t="s">
        <v>389</v>
      </c>
      <c r="Q1587" s="22" t="str">
        <f>IF(AND(Enginuity!$A$21="Supply &amp; Install",Enginuity!$B$7&gt;8),1,"")</f>
        <v/>
      </c>
      <c r="U1587" s="104" t="str">
        <f>IF(
  AND(
    TRIM(A1587)=TRIM(Enginuity!$A$1),
    TRIM(B1587)=TRIM(Enginuity!$A$17),
    Q1587&lt;&gt;"",
    Q1587&lt;&gt;0,
    OR(
      TRIM(C1587)=TRIM(Enginuity!$A$18),
      AND(UPPER(TRIM(M1587))="STD", TRIM(B1587)=TRIM(Enginuity!$A$17))
    ),
    OR(
      AND(LEFT(P1587,5)="1-Way", Enginuity!$B$13=1),
      AND(LEFT(P1587,5)="2-Way", OR(Enginuity!$B$13=2, Enginuity!$B$13=4)),
      AND(LEFT(P1587,5)="3-Way", OR(Enginuity!$B$13=3, Enginuity!$B$13=6)),
      AND(P1587="Inner Centre Jamb", OR(Enginuity!$B$13=4, Enginuity!$B$13=6)),
      AND(
        LEFT(P1587,5)&lt;&gt;"1-Way",
        LEFT(P1587,5)&lt;&gt;"2-Way",
        LEFT(P1587,5)&lt;&gt;"3-Way",
        P1587&lt;&gt;"Inner Centre Jamb"
      )
    ),
    IF(OR(Enginuity!$A$1="Frameless Glass",Enginuity!$A$1="Metal Work"),
      AND(TRIM(B1587)=TRIM(Enginuity!$A$17),TRIM(C1587)=TRIM(Enginuity!$A$18)),
      TRIM(B1587)=TRIM(Enginuity!$A$17)
    )
  ),
  ROW(),
  ""
)</f>
        <v/>
      </c>
    </row>
    <row r="1588" spans="1:21" x14ac:dyDescent="0.25">
      <c r="A1588" s="10" t="s">
        <v>253</v>
      </c>
      <c r="B1588" s="229" t="s">
        <v>372</v>
      </c>
      <c r="C1588" s="10" t="s">
        <v>928</v>
      </c>
      <c r="D1588" s="14"/>
      <c r="E1588" s="157"/>
      <c r="F1588" s="14"/>
      <c r="G1588" s="17"/>
      <c r="H1588" s="10"/>
      <c r="I1588" s="17"/>
      <c r="J1588" s="83"/>
      <c r="K1588" s="343"/>
      <c r="L1588" s="347"/>
      <c r="M1588" s="89"/>
      <c r="N1588" s="10" t="s">
        <v>176</v>
      </c>
      <c r="O1588" s="22">
        <f>IF(Enginuity!$B$13&gt;1, $B$18, "")</f>
        <v>30</v>
      </c>
      <c r="P1588" s="14" t="s">
        <v>388</v>
      </c>
      <c r="Q1588" s="22">
        <f>IF(AND(O1588&lt;&gt;"",Enginuity!$B$6&gt;4),Enginuity!$B$13,"")</f>
        <v>7</v>
      </c>
      <c r="U1588" s="104" t="str">
        <f>IF(
  AND(
    TRIM(A1588)=TRIM(Enginuity!$A$1),
    TRIM(B1588)=TRIM(Enginuity!$A$17),
    Q1588&lt;&gt;"",
    Q1588&lt;&gt;0,
    OR(
      TRIM(C1588)=TRIM(Enginuity!$A$18),
      AND(UPPER(TRIM(M1588))="STD", TRIM(B1588)=TRIM(Enginuity!$A$17))
    ),
    OR(
      AND(LEFT(P1588,5)="1-Way", Enginuity!$B$13=1),
      AND(LEFT(P1588,5)="2-Way", OR(Enginuity!$B$13=2, Enginuity!$B$13=4)),
      AND(LEFT(P1588,5)="3-Way", OR(Enginuity!$B$13=3, Enginuity!$B$13=6)),
      AND(P1588="Inner Centre Jamb", OR(Enginuity!$B$13=4, Enginuity!$B$13=6)),
      AND(
        LEFT(P1588,5)&lt;&gt;"1-Way",
        LEFT(P1588,5)&lt;&gt;"2-Way",
        LEFT(P1588,5)&lt;&gt;"3-Way",
        P1588&lt;&gt;"Inner Centre Jamb"
      )
    ),
    IF(OR(Enginuity!$A$1="Frameless Glass",Enginuity!$A$1="Metal Work"),
      AND(TRIM(B1588)=TRIM(Enginuity!$A$17),TRIM(C1588)=TRIM(Enginuity!$A$18)),
      TRIM(B1588)=TRIM(Enginuity!$A$17)
    )
  ),
  ROW(),
  ""
)</f>
        <v/>
      </c>
    </row>
    <row r="1589" spans="1:21" x14ac:dyDescent="0.25">
      <c r="A1589" s="10" t="s">
        <v>253</v>
      </c>
      <c r="B1589" s="229" t="s">
        <v>372</v>
      </c>
      <c r="C1589" s="10" t="s">
        <v>928</v>
      </c>
      <c r="D1589" s="14"/>
      <c r="E1589" s="157"/>
      <c r="F1589" s="14"/>
      <c r="G1589" s="17"/>
      <c r="H1589" s="10"/>
      <c r="I1589" s="17"/>
      <c r="J1589" s="83"/>
      <c r="K1589" s="343"/>
      <c r="L1589" s="347"/>
      <c r="M1589" s="89"/>
      <c r="N1589" s="10" t="s">
        <v>121</v>
      </c>
      <c r="O1589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589" s="106" t="str">
        <f>Enginuity!$A$20</f>
        <v>Z-Louvre Blade - 5"</v>
      </c>
      <c r="Q1589" s="22" t="str">
        <f>IF(O1589&lt;&gt;"",1,"")</f>
        <v/>
      </c>
      <c r="U1589" s="104" t="str">
        <f>IF(
  AND(
    TRIM(A1589)=TRIM(Enginuity!$A$1),
    TRIM(B1589)=TRIM(Enginuity!$A$17),
    Q1589&lt;&gt;"",
    Q1589&lt;&gt;0,
    OR(
      TRIM(C1589)=TRIM(Enginuity!$A$18),
      AND(UPPER(TRIM(M1589))="STD", TRIM(B1589)=TRIM(Enginuity!$A$17))
    ),
    OR(
      AND(LEFT(P1589,5)="1-Way", Enginuity!$B$13=1),
      AND(LEFT(P1589,5)="2-Way", OR(Enginuity!$B$13=2, Enginuity!$B$13=4)),
      AND(LEFT(P1589,5)="3-Way", OR(Enginuity!$B$13=3, Enginuity!$B$13=6)),
      AND(P1589="Inner Centre Jamb", OR(Enginuity!$B$13=4, Enginuity!$B$13=6)),
      AND(
        LEFT(P1589,5)&lt;&gt;"1-Way",
        LEFT(P1589,5)&lt;&gt;"2-Way",
        LEFT(P1589,5)&lt;&gt;"3-Way",
        P1589&lt;&gt;"Inner Centre Jamb"
      )
    ),
    IF(OR(Enginuity!$A$1="Frameless Glass",Enginuity!$A$1="Metal Work"),
      AND(TRIM(B1589)=TRIM(Enginuity!$A$17),TRIM(C1589)=TRIM(Enginuity!$A$18)),
      TRIM(B1589)=TRIM(Enginuity!$A$17)
    )
  ),
  ROW(),
  ""
)</f>
        <v/>
      </c>
    </row>
    <row r="1590" spans="1:21" x14ac:dyDescent="0.25">
      <c r="A1590" s="10" t="s">
        <v>253</v>
      </c>
      <c r="B1590" s="229" t="s">
        <v>372</v>
      </c>
      <c r="C1590" s="10" t="s">
        <v>928</v>
      </c>
      <c r="D1590" s="14"/>
      <c r="E1590" s="157"/>
      <c r="F1590" s="14"/>
      <c r="G1590" s="17"/>
      <c r="H1590" s="10"/>
      <c r="I1590" s="17"/>
      <c r="J1590" s="83"/>
      <c r="K1590" s="343"/>
      <c r="L1590" s="347"/>
      <c r="M1590" s="89"/>
      <c r="N1590" s="10" t="s">
        <v>176</v>
      </c>
      <c r="O1590" s="22" t="str">
        <f>IF(Enginuity!$A$21="Supply &amp; Install",65,
IF(Enginuity!$A$21="Supply &amp; Courier",20,
IF(Enginuity!$A$21="Self Collect",0,
"")))</f>
        <v/>
      </c>
      <c r="P1590" s="5" t="str">
        <f>Enginuity!$A$21</f>
        <v>SF 4"</v>
      </c>
      <c r="Q1590" s="22" t="str">
        <f>IF(O1590&lt;&gt;"",IF(Enginuity!$B$6&gt;4,Enginuity!$B$13,1),"")</f>
        <v/>
      </c>
      <c r="U1590" s="104" t="str">
        <f>IF(
  AND(
    TRIM(A1590)=TRIM(Enginuity!$A$1),
    TRIM(B1590)=TRIM(Enginuity!$A$17),
    Q1590&lt;&gt;"",
    Q1590&lt;&gt;0,
    OR(
      TRIM(C1590)=TRIM(Enginuity!$A$18),
      AND(UPPER(TRIM(M1590))="STD", TRIM(B1590)=TRIM(Enginuity!$A$17))
    ),
    OR(
      AND(LEFT(P1590,5)="1-Way", Enginuity!$B$13=1),
      AND(LEFT(P1590,5)="2-Way", OR(Enginuity!$B$13=2, Enginuity!$B$13=4)),
      AND(LEFT(P1590,5)="3-Way", OR(Enginuity!$B$13=3, Enginuity!$B$13=6)),
      AND(P1590="Inner Centre Jamb", OR(Enginuity!$B$13=4, Enginuity!$B$13=6)),
      AND(
        LEFT(P1590,5)&lt;&gt;"1-Way",
        LEFT(P1590,5)&lt;&gt;"2-Way",
        LEFT(P1590,5)&lt;&gt;"3-Way",
        P1590&lt;&gt;"Inner Centre Jamb"
      )
    ),
    IF(OR(Enginuity!$A$1="Frameless Glass",Enginuity!$A$1="Metal Work"),
      AND(TRIM(B1590)=TRIM(Enginuity!$A$17),TRIM(C1590)=TRIM(Enginuity!$A$18)),
      TRIM(B1590)=TRIM(Enginuity!$A$17)
    )
  ),
  ROW(),
  ""
)</f>
        <v/>
      </c>
    </row>
    <row r="1591" spans="1:21" x14ac:dyDescent="0.25">
      <c r="A1591" s="10" t="s">
        <v>253</v>
      </c>
      <c r="B1591" s="229" t="s">
        <v>372</v>
      </c>
      <c r="C1591" s="10" t="s">
        <v>928</v>
      </c>
      <c r="D1591" s="14"/>
      <c r="E1591" s="157"/>
      <c r="F1591" s="14"/>
      <c r="G1591" s="17"/>
      <c r="H1591" s="10"/>
      <c r="I1591" s="17"/>
      <c r="J1591" s="83"/>
      <c r="K1591" s="343"/>
      <c r="L1591" s="347"/>
      <c r="M1591" s="89"/>
      <c r="N1591" s="10" t="s">
        <v>176</v>
      </c>
      <c r="O1591" s="22" t="str">
        <f>IF(Enginuity!$A$22="Double Lock", $B$17, "")</f>
        <v/>
      </c>
      <c r="P1591" s="106" t="str">
        <f>Enginuity!$A$22</f>
        <v>▼ [Lattice]</v>
      </c>
      <c r="Q1591" s="22" t="str">
        <f>IF(O1591&lt;&gt;"",IF(Enginuity!$B$6&gt;4,Enginuity!$B$13,1),"")</f>
        <v/>
      </c>
      <c r="U1591" s="104" t="str">
        <f>IF(
  AND(
    TRIM(A1591)=TRIM(Enginuity!$A$1),
    TRIM(B1591)=TRIM(Enginuity!$A$17),
    Q1591&lt;&gt;"",
    Q1591&lt;&gt;0,
    OR(
      TRIM(C1591)=TRIM(Enginuity!$A$18),
      AND(UPPER(TRIM(M1591))="STD", TRIM(B1591)=TRIM(Enginuity!$A$17))
    ),
    OR(
      AND(LEFT(P1591,5)="1-Way", Enginuity!$B$13=1),
      AND(LEFT(P1591,5)="2-Way", OR(Enginuity!$B$13=2, Enginuity!$B$13=4)),
      AND(LEFT(P1591,5)="3-Way", OR(Enginuity!$B$13=3, Enginuity!$B$13=6)),
      AND(P1591="Inner Centre Jamb", OR(Enginuity!$B$13=4, Enginuity!$B$13=6)),
      AND(
        LEFT(P1591,5)&lt;&gt;"1-Way",
        LEFT(P1591,5)&lt;&gt;"2-Way",
        LEFT(P1591,5)&lt;&gt;"3-Way",
        P1591&lt;&gt;"Inner Centre Jamb"
      )
    ),
    IF(OR(Enginuity!$A$1="Frameless Glass",Enginuity!$A$1="Metal Work"),
      AND(TRIM(B1591)=TRIM(Enginuity!$A$17),TRIM(C1591)=TRIM(Enginuity!$A$18)),
      TRIM(B1591)=TRIM(Enginuity!$A$17)
    )
  ),
  ROW(),
  ""
)</f>
        <v/>
      </c>
    </row>
    <row r="1592" spans="1:21" x14ac:dyDescent="0.25">
      <c r="A1592" s="17"/>
      <c r="B1592" s="230"/>
      <c r="C1592" s="17"/>
      <c r="D1592" s="18"/>
      <c r="E1592" s="238"/>
      <c r="F1592" s="18"/>
      <c r="G1592" s="17"/>
      <c r="H1592" s="17"/>
      <c r="I1592" s="17"/>
      <c r="J1592" s="84"/>
      <c r="K1592" s="343"/>
      <c r="L1592" s="347"/>
      <c r="M1592" s="90"/>
      <c r="N1592" s="17"/>
      <c r="O1592" s="25"/>
      <c r="P1592" s="18"/>
      <c r="Q1592" s="25"/>
      <c r="U1592" s="104" t="str">
        <f>IF(
  AND(
    TRIM(A1592)=TRIM(Enginuity!$A$1),
    TRIM(B1592)=TRIM(Enginuity!$A$17),
    Q1592&lt;&gt;"",
    Q1592&lt;&gt;0,
    OR(
      TRIM(C1592)=TRIM(Enginuity!$A$18),
      AND(UPPER(TRIM(M1592))="STD", TRIM(B1592)=TRIM(Enginuity!$A$17))
    ),
    OR(
      AND(LEFT(P1592,5)="1-Way", Enginuity!$B$13=1),
      AND(LEFT(P1592,5)="2-Way", OR(Enginuity!$B$13=2, Enginuity!$B$13=4)),
      AND(LEFT(P1592,5)="3-Way", OR(Enginuity!$B$13=3, Enginuity!$B$13=6)),
      AND(P1592="Inner Centre Jamb", OR(Enginuity!$B$13=4, Enginuity!$B$13=6)),
      AND(
        LEFT(P1592,5)&lt;&gt;"1-Way",
        LEFT(P1592,5)&lt;&gt;"2-Way",
        LEFT(P1592,5)&lt;&gt;"3-Way",
        P1592&lt;&gt;"Inner Centre Jamb"
      )
    ),
    IF(OR(Enginuity!$A$1="Frameless Glass",Enginuity!$A$1="Metal Work"),
      AND(TRIM(B1592)=TRIM(Enginuity!$A$17),TRIM(C1592)=TRIM(Enginuity!$A$18)),
      TRIM(B1592)=TRIM(Enginuity!$A$17)
    )
  ),
  ROW(),
  ""
)</f>
        <v/>
      </c>
    </row>
    <row r="1593" spans="1:21" x14ac:dyDescent="0.25">
      <c r="A1593" s="10" t="s">
        <v>253</v>
      </c>
      <c r="B1593" s="229" t="s">
        <v>372</v>
      </c>
      <c r="C1593" s="10" t="s">
        <v>929</v>
      </c>
      <c r="D1593" s="14" t="str">
        <f>P1593</f>
        <v>Below 30" x 84" ecobonz 2.5mm Glossy / VACP 800 Series</v>
      </c>
      <c r="E1593" s="248" t="s">
        <v>375</v>
      </c>
      <c r="F1593" s="113" t="s">
        <v>382</v>
      </c>
      <c r="G1593" s="17" t="s">
        <v>381</v>
      </c>
      <c r="H1593" s="10"/>
      <c r="I1593" s="17"/>
      <c r="J1593" s="83"/>
      <c r="K1593" s="344">
        <v>0.28156700000000001</v>
      </c>
      <c r="L1593" s="347">
        <v>762</v>
      </c>
      <c r="M1593" s="89">
        <f t="shared" si="33"/>
        <v>2</v>
      </c>
      <c r="N1593" s="10" t="s">
        <v>176</v>
      </c>
      <c r="O1593" s="22">
        <v>472.5</v>
      </c>
      <c r="P1593" s="14" t="s">
        <v>367</v>
      </c>
      <c r="Q1593" s="22" t="str">
        <f>IF(AND(O1593&lt;&gt;"",P1593=Enginuity!$A$19),
   IF(Enginuity!$B$6&gt;4,Enginuity!$B$13,1),
"")</f>
        <v/>
      </c>
      <c r="U1593" s="104" t="str">
        <f>IF(
  AND(
    TRIM(A1593)=TRIM(Enginuity!$A$1),
    TRIM(B1593)=TRIM(Enginuity!$A$17),
    Q1593&lt;&gt;"",
    Q1593&lt;&gt;0,
    OR(
      TRIM(C1593)=TRIM(Enginuity!$A$18),
      AND(UPPER(TRIM(M1593))="STD", TRIM(B1593)=TRIM(Enginuity!$A$17))
    ),
    OR(
      AND(LEFT(P1593,5)="1-Way", Enginuity!$B$13=1),
      AND(LEFT(P1593,5)="2-Way", OR(Enginuity!$B$13=2, Enginuity!$B$13=4)),
      AND(LEFT(P1593,5)="3-Way", OR(Enginuity!$B$13=3, Enginuity!$B$13=6)),
      AND(P1593="Inner Centre Jamb", OR(Enginuity!$B$13=4, Enginuity!$B$13=6)),
      AND(
        LEFT(P1593,5)&lt;&gt;"1-Way",
        LEFT(P1593,5)&lt;&gt;"2-Way",
        LEFT(P1593,5)&lt;&gt;"3-Way",
        P1593&lt;&gt;"Inner Centre Jamb"
      )
    ),
    IF(OR(Enginuity!$A$1="Frameless Glass",Enginuity!$A$1="Metal Work"),
      AND(TRIM(B1593)=TRIM(Enginuity!$A$17),TRIM(C1593)=TRIM(Enginuity!$A$18)),
      TRIM(B1593)=TRIM(Enginuity!$A$17)
    )
  ),
  ROW(),
  ""
)</f>
        <v/>
      </c>
    </row>
    <row r="1594" spans="1:21" x14ac:dyDescent="0.25">
      <c r="A1594" s="10" t="s">
        <v>253</v>
      </c>
      <c r="B1594" s="229" t="s">
        <v>372</v>
      </c>
      <c r="C1594" s="10" t="s">
        <v>929</v>
      </c>
      <c r="D1594" s="14" t="str">
        <f t="shared" ref="D1594:D1601" si="34">P1594</f>
        <v>Below 30" x 84" ecoscreen 2.5mm</v>
      </c>
      <c r="E1594" s="248" t="s">
        <v>376</v>
      </c>
      <c r="F1594" s="113" t="s">
        <v>383</v>
      </c>
      <c r="G1594" s="17"/>
      <c r="H1594" s="10"/>
      <c r="I1594" s="17"/>
      <c r="J1594" s="83"/>
      <c r="K1594" s="343"/>
      <c r="L1594" s="347"/>
      <c r="M1594" s="89">
        <f t="shared" si="33"/>
        <v>2</v>
      </c>
      <c r="N1594" s="10" t="s">
        <v>176</v>
      </c>
      <c r="O1594" s="22">
        <v>493.5</v>
      </c>
      <c r="P1594" s="14" t="s">
        <v>368</v>
      </c>
      <c r="Q1594" s="22" t="str">
        <f>IF(AND(O1594&lt;&gt;"",P1594=Enginuity!$A$19),
   IF(Enginuity!$B$6&gt;4,Enginuity!$B$13,1),
"")</f>
        <v/>
      </c>
      <c r="U1594" s="104" t="str">
        <f>IF(
  AND(
    TRIM(A1594)=TRIM(Enginuity!$A$1),
    TRIM(B1594)=TRIM(Enginuity!$A$17),
    Q1594&lt;&gt;"",
    Q1594&lt;&gt;0,
    OR(
      TRIM(C1594)=TRIM(Enginuity!$A$18),
      AND(UPPER(TRIM(M1594))="STD", TRIM(B1594)=TRIM(Enginuity!$A$17))
    ),
    OR(
      AND(LEFT(P1594,5)="1-Way", Enginuity!$B$13=1),
      AND(LEFT(P1594,5)="2-Way", OR(Enginuity!$B$13=2, Enginuity!$B$13=4)),
      AND(LEFT(P1594,5)="3-Way", OR(Enginuity!$B$13=3, Enginuity!$B$13=6)),
      AND(P1594="Inner Centre Jamb", OR(Enginuity!$B$13=4, Enginuity!$B$13=6)),
      AND(
        LEFT(P1594,5)&lt;&gt;"1-Way",
        LEFT(P1594,5)&lt;&gt;"2-Way",
        LEFT(P1594,5)&lt;&gt;"3-Way",
        P1594&lt;&gt;"Inner Centre Jamb"
      )
    ),
    IF(OR(Enginuity!$A$1="Frameless Glass",Enginuity!$A$1="Metal Work"),
      AND(TRIM(B1594)=TRIM(Enginuity!$A$17),TRIM(C1594)=TRIM(Enginuity!$A$18)),
      TRIM(B1594)=TRIM(Enginuity!$A$17)
    )
  ),
  ROW(),
  ""
)</f>
        <v/>
      </c>
    </row>
    <row r="1595" spans="1:21" x14ac:dyDescent="0.25">
      <c r="A1595" s="10" t="s">
        <v>253</v>
      </c>
      <c r="B1595" s="229" t="s">
        <v>372</v>
      </c>
      <c r="C1595" s="10" t="s">
        <v>929</v>
      </c>
      <c r="D1595" s="14" t="str">
        <f t="shared" si="34"/>
        <v>Below 30" x 84" ecopoly 2.5mm</v>
      </c>
      <c r="E1595" s="157" t="s">
        <v>377</v>
      </c>
      <c r="F1595" s="14" t="s">
        <v>384</v>
      </c>
      <c r="G1595" s="17"/>
      <c r="H1595" s="10"/>
      <c r="I1595" s="17"/>
      <c r="J1595" s="83"/>
      <c r="K1595" s="343"/>
      <c r="L1595" s="347"/>
      <c r="M1595" s="89">
        <f t="shared" si="33"/>
        <v>4</v>
      </c>
      <c r="N1595" s="10" t="s">
        <v>176</v>
      </c>
      <c r="O1595" s="22">
        <v>514.5</v>
      </c>
      <c r="P1595" s="14" t="s">
        <v>369</v>
      </c>
      <c r="Q1595" s="22" t="str">
        <f>IF(AND(O1595&lt;&gt;"",P1595=Enginuity!$A$19),
   IF(Enginuity!$B$6&gt;4,Enginuity!$B$13,1),
"")</f>
        <v/>
      </c>
      <c r="U1595" s="104" t="str">
        <f>IF(
  AND(
    TRIM(A1595)=TRIM(Enginuity!$A$1),
    TRIM(B1595)=TRIM(Enginuity!$A$17),
    Q1595&lt;&gt;"",
    Q1595&lt;&gt;0,
    OR(
      TRIM(C1595)=TRIM(Enginuity!$A$18),
      AND(UPPER(TRIM(M1595))="STD", TRIM(B1595)=TRIM(Enginuity!$A$17))
    ),
    OR(
      AND(LEFT(P1595,5)="1-Way", Enginuity!$B$13=1),
      AND(LEFT(P1595,5)="2-Way", OR(Enginuity!$B$13=2, Enginuity!$B$13=4)),
      AND(LEFT(P1595,5)="3-Way", OR(Enginuity!$B$13=3, Enginuity!$B$13=6)),
      AND(P1595="Inner Centre Jamb", OR(Enginuity!$B$13=4, Enginuity!$B$13=6)),
      AND(
        LEFT(P1595,5)&lt;&gt;"1-Way",
        LEFT(P1595,5)&lt;&gt;"2-Way",
        LEFT(P1595,5)&lt;&gt;"3-Way",
        P1595&lt;&gt;"Inner Centre Jamb"
      )
    ),
    IF(OR(Enginuity!$A$1="Frameless Glass",Enginuity!$A$1="Metal Work"),
      AND(TRIM(B1595)=TRIM(Enginuity!$A$17),TRIM(C1595)=TRIM(Enginuity!$A$18)),
      TRIM(B1595)=TRIM(Enginuity!$A$17)
    )
  ),
  ROW(),
  ""
)</f>
        <v/>
      </c>
    </row>
    <row r="1596" spans="1:21" x14ac:dyDescent="0.25">
      <c r="A1596" s="10" t="s">
        <v>253</v>
      </c>
      <c r="B1596" s="229" t="s">
        <v>372</v>
      </c>
      <c r="C1596" s="10" t="s">
        <v>929</v>
      </c>
      <c r="D1596" s="14" t="str">
        <f t="shared" si="34"/>
        <v>Below 30" x 84" Aerolite</v>
      </c>
      <c r="E1596" s="157" t="s">
        <v>378</v>
      </c>
      <c r="F1596" s="14"/>
      <c r="G1596" s="17"/>
      <c r="H1596" s="10"/>
      <c r="I1596" s="17"/>
      <c r="J1596" s="83"/>
      <c r="K1596" s="343"/>
      <c r="L1596" s="347"/>
      <c r="M1596" s="89">
        <f t="shared" si="33"/>
        <v>4</v>
      </c>
      <c r="N1596" s="10" t="s">
        <v>176</v>
      </c>
      <c r="O1596" s="22">
        <v>535.5</v>
      </c>
      <c r="P1596" s="14" t="s">
        <v>370</v>
      </c>
      <c r="Q1596" s="22" t="str">
        <f>IF(AND(O1596&lt;&gt;"",P1596=Enginuity!$A$19),
   IF(Enginuity!$B$6&gt;4,Enginuity!$B$13,1),
"")</f>
        <v/>
      </c>
      <c r="U1596" s="104" t="str">
        <f>IF(
  AND(
    TRIM(A1596)=TRIM(Enginuity!$A$1),
    TRIM(B1596)=TRIM(Enginuity!$A$17),
    Q1596&lt;&gt;"",
    Q1596&lt;&gt;0,
    OR(
      TRIM(C1596)=TRIM(Enginuity!$A$18),
      AND(UPPER(TRIM(M1596))="STD", TRIM(B1596)=TRIM(Enginuity!$A$17))
    ),
    OR(
      AND(LEFT(P1596,5)="1-Way", Enginuity!$B$13=1),
      AND(LEFT(P1596,5)="2-Way", OR(Enginuity!$B$13=2, Enginuity!$B$13=4)),
      AND(LEFT(P1596,5)="3-Way", OR(Enginuity!$B$13=3, Enginuity!$B$13=6)),
      AND(P1596="Inner Centre Jamb", OR(Enginuity!$B$13=4, Enginuity!$B$13=6)),
      AND(
        LEFT(P1596,5)&lt;&gt;"1-Way",
        LEFT(P1596,5)&lt;&gt;"2-Way",
        LEFT(P1596,5)&lt;&gt;"3-Way",
        P1596&lt;&gt;"Inner Centre Jamb"
      )
    ),
    IF(OR(Enginuity!$A$1="Frameless Glass",Enginuity!$A$1="Metal Work"),
      AND(TRIM(B1596)=TRIM(Enginuity!$A$17),TRIM(C1596)=TRIM(Enginuity!$A$18)),
      TRIM(B1596)=TRIM(Enginuity!$A$17)
    )
  ),
  ROW(),
  ""
)</f>
        <v/>
      </c>
    </row>
    <row r="1597" spans="1:21" x14ac:dyDescent="0.25">
      <c r="A1597" s="10" t="s">
        <v>253</v>
      </c>
      <c r="B1597" s="229" t="s">
        <v>372</v>
      </c>
      <c r="C1597" s="10" t="s">
        <v>929</v>
      </c>
      <c r="D1597" s="14" t="str">
        <f t="shared" si="34"/>
        <v>1. Below 30" x 84" Composite</v>
      </c>
      <c r="E1597" s="157" t="s">
        <v>379</v>
      </c>
      <c r="F1597" s="14"/>
      <c r="G1597" s="17"/>
      <c r="H1597" s="10"/>
      <c r="I1597" s="17"/>
      <c r="J1597" s="83"/>
      <c r="K1597" s="343"/>
      <c r="L1597" s="347"/>
      <c r="M1597" s="89">
        <f t="shared" si="33"/>
        <v>6</v>
      </c>
      <c r="N1597" s="10" t="s">
        <v>176</v>
      </c>
      <c r="O1597" s="22">
        <v>462</v>
      </c>
      <c r="P1597" s="14" t="s">
        <v>374</v>
      </c>
      <c r="Q1597" s="22" t="str">
        <f>IF(AND(O1597&lt;&gt;"",P1597=Enginuity!$A$19),
   IF(Enginuity!$B$6&gt;4,Enginuity!$B$13,1),
"")</f>
        <v/>
      </c>
      <c r="U1597" s="104" t="str">
        <f>IF(
  AND(
    TRIM(A1597)=TRIM(Enginuity!$A$1),
    TRIM(B1597)=TRIM(Enginuity!$A$17),
    Q1597&lt;&gt;"",
    Q1597&lt;&gt;0,
    OR(
      TRIM(C1597)=TRIM(Enginuity!$A$18),
      AND(UPPER(TRIM(M1597))="STD", TRIM(B1597)=TRIM(Enginuity!$A$17))
    ),
    OR(
      AND(LEFT(P1597,5)="1-Way", Enginuity!$B$13=1),
      AND(LEFT(P1597,5)="2-Way", OR(Enginuity!$B$13=2, Enginuity!$B$13=4)),
      AND(LEFT(P1597,5)="3-Way", OR(Enginuity!$B$13=3, Enginuity!$B$13=6)),
      AND(P1597="Inner Centre Jamb", OR(Enginuity!$B$13=4, Enginuity!$B$13=6)),
      AND(
        LEFT(P1597,5)&lt;&gt;"1-Way",
        LEFT(P1597,5)&lt;&gt;"2-Way",
        LEFT(P1597,5)&lt;&gt;"3-Way",
        P1597&lt;&gt;"Inner Centre Jamb"
      )
    ),
    IF(OR(Enginuity!$A$1="Frameless Glass",Enginuity!$A$1="Metal Work"),
      AND(TRIM(B1597)=TRIM(Enginuity!$A$17),TRIM(C1597)=TRIM(Enginuity!$A$18)),
      TRIM(B1597)=TRIM(Enginuity!$A$17)
    )
  ),
  ROW(),
  ""
)</f>
        <v/>
      </c>
    </row>
    <row r="1598" spans="1:21" x14ac:dyDescent="0.25">
      <c r="A1598" s="10" t="s">
        <v>253</v>
      </c>
      <c r="B1598" s="229" t="s">
        <v>372</v>
      </c>
      <c r="C1598" s="10" t="s">
        <v>929</v>
      </c>
      <c r="D1598" s="14" t="str">
        <f t="shared" si="34"/>
        <v xml:space="preserve">Below 30" x 84" N.Glass + Lamina Film / N.Dark Grey </v>
      </c>
      <c r="E1598" s="157"/>
      <c r="F1598" s="14"/>
      <c r="G1598" s="17"/>
      <c r="H1598" s="10"/>
      <c r="I1598" s="17"/>
      <c r="J1598" s="83"/>
      <c r="K1598" s="343"/>
      <c r="L1598" s="347"/>
      <c r="M1598" s="89">
        <f t="shared" si="33"/>
        <v>6</v>
      </c>
      <c r="N1598" s="10" t="s">
        <v>176</v>
      </c>
      <c r="O1598" s="22">
        <v>493.5</v>
      </c>
      <c r="P1598" s="14" t="s">
        <v>937</v>
      </c>
      <c r="Q1598" s="22" t="str">
        <f>IF(AND(O1598&lt;&gt;"",P1598=Enginuity!$A$19),
   IF(Enginuity!$B$6&gt;4,Enginuity!$B$13,1),
"")</f>
        <v/>
      </c>
      <c r="U1598" s="104" t="str">
        <f>IF(
  AND(
    TRIM(A1598)=TRIM(Enginuity!$A$1),
    TRIM(B1598)=TRIM(Enginuity!$A$17),
    Q1598&lt;&gt;"",
    Q1598&lt;&gt;0,
    OR(
      TRIM(C1598)=TRIM(Enginuity!$A$18),
      AND(UPPER(TRIM(M1598))="STD", TRIM(B1598)=TRIM(Enginuity!$A$17))
    ),
    OR(
      AND(LEFT(P1598,5)="1-Way", Enginuity!$B$13=1),
      AND(LEFT(P1598,5)="2-Way", OR(Enginuity!$B$13=2, Enginuity!$B$13=4)),
      AND(LEFT(P1598,5)="3-Way", OR(Enginuity!$B$13=3, Enginuity!$B$13=6)),
      AND(P1598="Inner Centre Jamb", OR(Enginuity!$B$13=4, Enginuity!$B$13=6)),
      AND(
        LEFT(P1598,5)&lt;&gt;"1-Way",
        LEFT(P1598,5)&lt;&gt;"2-Way",
        LEFT(P1598,5)&lt;&gt;"3-Way",
        P1598&lt;&gt;"Inner Centre Jamb"
      )
    ),
    IF(OR(Enginuity!$A$1="Frameless Glass",Enginuity!$A$1="Metal Work"),
      AND(TRIM(B1598)=TRIM(Enginuity!$A$17),TRIM(C1598)=TRIM(Enginuity!$A$18)),
      TRIM(B1598)=TRIM(Enginuity!$A$17)
    )
  ),
  ROW(),
  ""
)</f>
        <v/>
      </c>
    </row>
    <row r="1599" spans="1:21" x14ac:dyDescent="0.25">
      <c r="A1599" s="10" t="s">
        <v>253</v>
      </c>
      <c r="B1599" s="229" t="s">
        <v>372</v>
      </c>
      <c r="C1599" s="10" t="s">
        <v>929</v>
      </c>
      <c r="D1599" s="14" t="str">
        <f t="shared" si="34"/>
        <v>Below 30" x 84" N.Clear Glass</v>
      </c>
      <c r="E1599" s="157"/>
      <c r="F1599" s="14"/>
      <c r="G1599" s="17"/>
      <c r="H1599" s="10"/>
      <c r="I1599" s="17"/>
      <c r="J1599" s="83"/>
      <c r="K1599" s="343"/>
      <c r="L1599" s="347"/>
      <c r="M1599" s="89">
        <f t="shared" si="33"/>
        <v>8</v>
      </c>
      <c r="N1599" s="10" t="s">
        <v>176</v>
      </c>
      <c r="O1599" s="22">
        <v>483</v>
      </c>
      <c r="P1599" s="14" t="s">
        <v>938</v>
      </c>
      <c r="Q1599" s="22" t="str">
        <f>IF(AND(O1599&lt;&gt;"",P1599=Enginuity!$A$19),
   IF(Enginuity!$B$6&gt;4,Enginuity!$B$13,1),
"")</f>
        <v/>
      </c>
      <c r="U1599" s="104" t="str">
        <f>IF(
  AND(
    TRIM(A1599)=TRIM(Enginuity!$A$1),
    TRIM(B1599)=TRIM(Enginuity!$A$17),
    Q1599&lt;&gt;"",
    Q1599&lt;&gt;0,
    OR(
      TRIM(C1599)=TRIM(Enginuity!$A$18),
      AND(UPPER(TRIM(M1599))="STD", TRIM(B1599)=TRIM(Enginuity!$A$17))
    ),
    OR(
      AND(LEFT(P1599,5)="1-Way", Enginuity!$B$13=1),
      AND(LEFT(P1599,5)="2-Way", OR(Enginuity!$B$13=2, Enginuity!$B$13=4)),
      AND(LEFT(P1599,5)="3-Way", OR(Enginuity!$B$13=3, Enginuity!$B$13=6)),
      AND(P1599="Inner Centre Jamb", OR(Enginuity!$B$13=4, Enginuity!$B$13=6)),
      AND(
        LEFT(P1599,5)&lt;&gt;"1-Way",
        LEFT(P1599,5)&lt;&gt;"2-Way",
        LEFT(P1599,5)&lt;&gt;"3-Way",
        P1599&lt;&gt;"Inner Centre Jamb"
      )
    ),
    IF(OR(Enginuity!$A$1="Frameless Glass",Enginuity!$A$1="Metal Work"),
      AND(TRIM(B1599)=TRIM(Enginuity!$A$17),TRIM(C1599)=TRIM(Enginuity!$A$18)),
      TRIM(B1599)=TRIM(Enginuity!$A$17)
    )
  ),
  ROW(),
  ""
)</f>
        <v/>
      </c>
    </row>
    <row r="1600" spans="1:21" x14ac:dyDescent="0.25">
      <c r="A1600" s="10" t="s">
        <v>253</v>
      </c>
      <c r="B1600" s="229" t="s">
        <v>372</v>
      </c>
      <c r="C1600" s="10" t="s">
        <v>929</v>
      </c>
      <c r="D1600" s="14" t="str">
        <f t="shared" si="34"/>
        <v>Below 30" x 84" Tempered Glass</v>
      </c>
      <c r="E1600" s="157"/>
      <c r="F1600" s="14"/>
      <c r="G1600" s="17"/>
      <c r="H1600" s="10"/>
      <c r="I1600" s="17"/>
      <c r="J1600" s="83"/>
      <c r="K1600" s="343"/>
      <c r="L1600" s="347"/>
      <c r="M1600" s="89">
        <f t="shared" si="33"/>
        <v>8</v>
      </c>
      <c r="N1600" s="10" t="s">
        <v>176</v>
      </c>
      <c r="O1600" s="22">
        <v>577.5</v>
      </c>
      <c r="P1600" s="14" t="s">
        <v>939</v>
      </c>
      <c r="Q1600" s="22" t="str">
        <f>IF(AND(O1600&lt;&gt;"",P1600=Enginuity!$A$19),
   IF(Enginuity!$B$6&gt;4,Enginuity!$B$13,1),
"")</f>
        <v/>
      </c>
      <c r="U1600" s="104" t="str">
        <f>IF(
  AND(
    TRIM(A1600)=TRIM(Enginuity!$A$1),
    TRIM(B1600)=TRIM(Enginuity!$A$17),
    Q1600&lt;&gt;"",
    Q1600&lt;&gt;0,
    OR(
      TRIM(C1600)=TRIM(Enginuity!$A$18),
      AND(UPPER(TRIM(M1600))="STD", TRIM(B1600)=TRIM(Enginuity!$A$17))
    ),
    OR(
      AND(LEFT(P1600,5)="1-Way", Enginuity!$B$13=1),
      AND(LEFT(P1600,5)="2-Way", OR(Enginuity!$B$13=2, Enginuity!$B$13=4)),
      AND(LEFT(P1600,5)="3-Way", OR(Enginuity!$B$13=3, Enginuity!$B$13=6)),
      AND(P1600="Inner Centre Jamb", OR(Enginuity!$B$13=4, Enginuity!$B$13=6)),
      AND(
        LEFT(P1600,5)&lt;&gt;"1-Way",
        LEFT(P1600,5)&lt;&gt;"2-Way",
        LEFT(P1600,5)&lt;&gt;"3-Way",
        P1600&lt;&gt;"Inner Centre Jamb"
      )
    ),
    IF(OR(Enginuity!$A$1="Frameless Glass",Enginuity!$A$1="Metal Work"),
      AND(TRIM(B1600)=TRIM(Enginuity!$A$17),TRIM(C1600)=TRIM(Enginuity!$A$18)),
      TRIM(B1600)=TRIM(Enginuity!$A$17)
    )
  ),
  ROW(),
  ""
)</f>
        <v/>
      </c>
    </row>
    <row r="1601" spans="1:21" x14ac:dyDescent="0.25">
      <c r="A1601" s="10" t="s">
        <v>253</v>
      </c>
      <c r="B1601" s="229" t="s">
        <v>372</v>
      </c>
      <c r="C1601" s="10" t="s">
        <v>929</v>
      </c>
      <c r="D1601" s="14" t="str">
        <f t="shared" si="34"/>
        <v>Below 30" x 84" Full Louvers</v>
      </c>
      <c r="E1601" s="157"/>
      <c r="F1601" s="14"/>
      <c r="G1601" s="17"/>
      <c r="H1601" s="10"/>
      <c r="I1601" s="17"/>
      <c r="J1601" s="83"/>
      <c r="K1601" s="343"/>
      <c r="L1601" s="347"/>
      <c r="M1601" s="89">
        <f t="shared" si="33"/>
        <v>10</v>
      </c>
      <c r="N1601" s="10" t="s">
        <v>176</v>
      </c>
      <c r="O1601" s="22">
        <v>840</v>
      </c>
      <c r="P1601" s="14" t="s">
        <v>371</v>
      </c>
      <c r="Q1601" s="22" t="str">
        <f>IF(AND(O1601&lt;&gt;"",P1601=Enginuity!$A$19),
   IF(Enginuity!$B$6&gt;4,Enginuity!$B$13,1),
"")</f>
        <v/>
      </c>
      <c r="U1601" s="104" t="str">
        <f>IF(
  AND(
    TRIM(A1601)=TRIM(Enginuity!$A$1),
    TRIM(B1601)=TRIM(Enginuity!$A$17),
    Q1601&lt;&gt;"",
    Q1601&lt;&gt;0,
    OR(
      TRIM(C1601)=TRIM(Enginuity!$A$18),
      AND(UPPER(TRIM(M1601))="STD", TRIM(B1601)=TRIM(Enginuity!$A$17))
    ),
    OR(
      AND(LEFT(P1601,5)="1-Way", Enginuity!$B$13=1),
      AND(LEFT(P1601,5)="2-Way", OR(Enginuity!$B$13=2, Enginuity!$B$13=4)),
      AND(LEFT(P1601,5)="3-Way", OR(Enginuity!$B$13=3, Enginuity!$B$13=6)),
      AND(P1601="Inner Centre Jamb", OR(Enginuity!$B$13=4, Enginuity!$B$13=6)),
      AND(
        LEFT(P1601,5)&lt;&gt;"1-Way",
        LEFT(P1601,5)&lt;&gt;"2-Way",
        LEFT(P1601,5)&lt;&gt;"3-Way",
        P1601&lt;&gt;"Inner Centre Jamb"
      )
    ),
    IF(OR(Enginuity!$A$1="Frameless Glass",Enginuity!$A$1="Metal Work"),
      AND(TRIM(B1601)=TRIM(Enginuity!$A$17),TRIM(C1601)=TRIM(Enginuity!$A$18)),
      TRIM(B1601)=TRIM(Enginuity!$A$17)
    )
  ),
  ROW(),
  ""
)</f>
        <v/>
      </c>
    </row>
    <row r="1602" spans="1:21" x14ac:dyDescent="0.25">
      <c r="A1602" s="10" t="s">
        <v>253</v>
      </c>
      <c r="B1602" s="229" t="s">
        <v>372</v>
      </c>
      <c r="C1602" s="10" t="s">
        <v>929</v>
      </c>
      <c r="D1602" s="108"/>
      <c r="E1602" s="157"/>
      <c r="F1602" s="10"/>
      <c r="G1602" s="17"/>
      <c r="H1602" s="10"/>
      <c r="I1602" s="17"/>
      <c r="J1602" s="83"/>
      <c r="K1602" s="344"/>
      <c r="L1602" s="347"/>
      <c r="M1602" s="89">
        <v>10</v>
      </c>
      <c r="N1602" s="10" t="s">
        <v>121</v>
      </c>
      <c r="O1602" s="22">
        <f>IF(ISNUMBER(SEARCH("Louvers",Enginuity!$A$19)),AllMaterialsbak!$B$11,AllMaterialsbak!$B$10)</f>
        <v>26.25</v>
      </c>
      <c r="P1602" s="108" t="str">
        <f>$A$10</f>
        <v>Additional Size Complete Set</v>
      </c>
      <c r="Q1602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38</v>
      </c>
      <c r="U1602" s="104" t="str">
        <f>IF(
  AND(
    TRIM(A1602)=TRIM(Enginuity!$A$1),
    TRIM(B1602)=TRIM(Enginuity!$A$17),
    Q1602&lt;&gt;"",
    Q1602&lt;&gt;0,
    OR(
      TRIM(C1602)=TRIM(Enginuity!$A$18),
      AND(UPPER(TRIM(M1602))="STD", TRIM(B1602)=TRIM(Enginuity!$A$17))
    ),
    OR(
      AND(LEFT(P1602,5)="1-Way", Enginuity!$B$13=1),
      AND(LEFT(P1602,5)="2-Way", OR(Enginuity!$B$13=2, Enginuity!$B$13=4)),
      AND(LEFT(P1602,5)="3-Way", OR(Enginuity!$B$13=3, Enginuity!$B$13=6)),
      AND(P1602="Inner Centre Jamb", OR(Enginuity!$B$13=4, Enginuity!$B$13=6)),
      AND(
        LEFT(P1602,5)&lt;&gt;"1-Way",
        LEFT(P1602,5)&lt;&gt;"2-Way",
        LEFT(P1602,5)&lt;&gt;"3-Way",
        P1602&lt;&gt;"Inner Centre Jamb"
      )
    ),
    IF(OR(Enginuity!$A$1="Frameless Glass",Enginuity!$A$1="Metal Work"),
      AND(TRIM(B1602)=TRIM(Enginuity!$A$17),TRIM(C1602)=TRIM(Enginuity!$A$18)),
      TRIM(B1602)=TRIM(Enginuity!$A$17)
    )
  ),
  ROW(),
  ""
)</f>
        <v/>
      </c>
    </row>
    <row r="1603" spans="1:21" x14ac:dyDescent="0.25">
      <c r="A1603" s="10" t="s">
        <v>253</v>
      </c>
      <c r="B1603" s="229" t="s">
        <v>372</v>
      </c>
      <c r="C1603" s="10" t="s">
        <v>929</v>
      </c>
      <c r="D1603" s="108"/>
      <c r="E1603" s="157"/>
      <c r="F1603" s="14"/>
      <c r="G1603" s="17"/>
      <c r="H1603" s="10"/>
      <c r="I1603" s="17"/>
      <c r="J1603" s="83"/>
      <c r="K1603" s="344"/>
      <c r="L1603" s="347"/>
      <c r="M1603" s="89">
        <v>10</v>
      </c>
      <c r="N1603" s="10" t="s">
        <v>121</v>
      </c>
      <c r="O1603" s="22">
        <f>IF(Q1603&lt;&gt;"", $B$19, "")</f>
        <v>29.93</v>
      </c>
      <c r="P1603" s="106" t="s">
        <v>380</v>
      </c>
      <c r="Q1603" s="22">
        <f>IF(Enginuity!$B$7&gt;8,MAX((Enginuity!$B$7-8)*Enginuity!$B$6,3),"")</f>
        <v>100</v>
      </c>
      <c r="U1603" s="104" t="str">
        <f>IF(
  AND(
    TRIM(A1603)=TRIM(Enginuity!$A$1),
    TRIM(B1603)=TRIM(Enginuity!$A$17),
    Q1603&lt;&gt;"",
    Q1603&lt;&gt;0,
    OR(
      TRIM(C1603)=TRIM(Enginuity!$A$18),
      AND(UPPER(TRIM(M1603))="STD", TRIM(B1603)=TRIM(Enginuity!$A$17))
    ),
    OR(
      AND(LEFT(P1603,5)="1-Way", Enginuity!$B$13=1),
      AND(LEFT(P1603,5)="2-Way", OR(Enginuity!$B$13=2, Enginuity!$B$13=4)),
      AND(LEFT(P1603,5)="3-Way", OR(Enginuity!$B$13=3, Enginuity!$B$13=6)),
      AND(P1603="Inner Centre Jamb", OR(Enginuity!$B$13=4, Enginuity!$B$13=6)),
      AND(
        LEFT(P1603,5)&lt;&gt;"1-Way",
        LEFT(P1603,5)&lt;&gt;"2-Way",
        LEFT(P1603,5)&lt;&gt;"3-Way",
        P1603&lt;&gt;"Inner Centre Jamb"
      )
    ),
    IF(OR(Enginuity!$A$1="Frameless Glass",Enginuity!$A$1="Metal Work"),
      AND(TRIM(B1603)=TRIM(Enginuity!$A$17),TRIM(C1603)=TRIM(Enginuity!$A$18)),
      TRIM(B1603)=TRIM(Enginuity!$A$17)
    )
  ),
  ROW(),
  ""
)</f>
        <v/>
      </c>
    </row>
    <row r="1604" spans="1:21" x14ac:dyDescent="0.25">
      <c r="A1604" s="10" t="s">
        <v>253</v>
      </c>
      <c r="B1604" s="229" t="s">
        <v>372</v>
      </c>
      <c r="C1604" s="10" t="s">
        <v>929</v>
      </c>
      <c r="D1604" s="14"/>
      <c r="E1604" s="157"/>
      <c r="F1604" s="14"/>
      <c r="G1604" s="17"/>
      <c r="H1604" s="10"/>
      <c r="I1604" s="17"/>
      <c r="J1604" s="83"/>
      <c r="K1604" s="344"/>
      <c r="L1604" s="347"/>
      <c r="M1604" s="89"/>
      <c r="N1604" s="10" t="s">
        <v>176</v>
      </c>
      <c r="O1604" s="22">
        <f>$B$20</f>
        <v>65</v>
      </c>
      <c r="P1604" s="106" t="s">
        <v>389</v>
      </c>
      <c r="Q1604" s="22" t="str">
        <f>IF(AND(Enginuity!$A$21="Supply &amp; Install",Enginuity!$B$7&gt;8),1,"")</f>
        <v/>
      </c>
      <c r="U1604" s="104" t="str">
        <f>IF(
  AND(
    TRIM(A1604)=TRIM(Enginuity!$A$1),
    TRIM(B1604)=TRIM(Enginuity!$A$17),
    Q1604&lt;&gt;"",
    Q1604&lt;&gt;0,
    OR(
      TRIM(C1604)=TRIM(Enginuity!$A$18),
      AND(UPPER(TRIM(M1604))="STD", TRIM(B1604)=TRIM(Enginuity!$A$17))
    ),
    OR(
      AND(LEFT(P1604,5)="1-Way", Enginuity!$B$13=1),
      AND(LEFT(P1604,5)="2-Way", OR(Enginuity!$B$13=2, Enginuity!$B$13=4)),
      AND(LEFT(P1604,5)="3-Way", OR(Enginuity!$B$13=3, Enginuity!$B$13=6)),
      AND(P1604="Inner Centre Jamb", OR(Enginuity!$B$13=4, Enginuity!$B$13=6)),
      AND(
        LEFT(P1604,5)&lt;&gt;"1-Way",
        LEFT(P1604,5)&lt;&gt;"2-Way",
        LEFT(P1604,5)&lt;&gt;"3-Way",
        P1604&lt;&gt;"Inner Centre Jamb"
      )
    ),
    IF(OR(Enginuity!$A$1="Frameless Glass",Enginuity!$A$1="Metal Work"),
      AND(TRIM(B1604)=TRIM(Enginuity!$A$17),TRIM(C1604)=TRIM(Enginuity!$A$18)),
      TRIM(B1604)=TRIM(Enginuity!$A$17)
    )
  ),
  ROW(),
  ""
)</f>
        <v/>
      </c>
    </row>
    <row r="1605" spans="1:21" x14ac:dyDescent="0.25">
      <c r="A1605" s="10" t="s">
        <v>253</v>
      </c>
      <c r="B1605" s="229" t="s">
        <v>372</v>
      </c>
      <c r="C1605" s="10" t="s">
        <v>929</v>
      </c>
      <c r="D1605" s="14"/>
      <c r="E1605" s="157"/>
      <c r="F1605" s="14"/>
      <c r="G1605" s="17"/>
      <c r="H1605" s="10"/>
      <c r="I1605" s="17"/>
      <c r="J1605" s="83"/>
      <c r="K1605" s="343"/>
      <c r="L1605" s="347"/>
      <c r="M1605" s="89"/>
      <c r="N1605" s="10" t="s">
        <v>176</v>
      </c>
      <c r="O1605" s="22">
        <f>IF(Enginuity!$B$13&gt;1, $B$18, "")</f>
        <v>30</v>
      </c>
      <c r="P1605" s="14" t="s">
        <v>388</v>
      </c>
      <c r="Q1605" s="22">
        <f>IF(AND(O1605&lt;&gt;"",Enginuity!$B$6&gt;4),Enginuity!$B$13,"")</f>
        <v>7</v>
      </c>
      <c r="U1605" s="104" t="str">
        <f>IF(
  AND(
    TRIM(A1605)=TRIM(Enginuity!$A$1),
    TRIM(B1605)=TRIM(Enginuity!$A$17),
    Q1605&lt;&gt;"",
    Q1605&lt;&gt;0,
    OR(
      TRIM(C1605)=TRIM(Enginuity!$A$18),
      AND(UPPER(TRIM(M1605))="STD", TRIM(B1605)=TRIM(Enginuity!$A$17))
    ),
    OR(
      AND(LEFT(P1605,5)="1-Way", Enginuity!$B$13=1),
      AND(LEFT(P1605,5)="2-Way", OR(Enginuity!$B$13=2, Enginuity!$B$13=4)),
      AND(LEFT(P1605,5)="3-Way", OR(Enginuity!$B$13=3, Enginuity!$B$13=6)),
      AND(P1605="Inner Centre Jamb", OR(Enginuity!$B$13=4, Enginuity!$B$13=6)),
      AND(
        LEFT(P1605,5)&lt;&gt;"1-Way",
        LEFT(P1605,5)&lt;&gt;"2-Way",
        LEFT(P1605,5)&lt;&gt;"3-Way",
        P1605&lt;&gt;"Inner Centre Jamb"
      )
    ),
    IF(OR(Enginuity!$A$1="Frameless Glass",Enginuity!$A$1="Metal Work"),
      AND(TRIM(B1605)=TRIM(Enginuity!$A$17),TRIM(C1605)=TRIM(Enginuity!$A$18)),
      TRIM(B1605)=TRIM(Enginuity!$A$17)
    )
  ),
  ROW(),
  ""
)</f>
        <v/>
      </c>
    </row>
    <row r="1606" spans="1:21" x14ac:dyDescent="0.25">
      <c r="A1606" s="10" t="s">
        <v>253</v>
      </c>
      <c r="B1606" s="229" t="s">
        <v>372</v>
      </c>
      <c r="C1606" s="10" t="s">
        <v>929</v>
      </c>
      <c r="D1606" s="14"/>
      <c r="E1606" s="157"/>
      <c r="F1606" s="14"/>
      <c r="G1606" s="17"/>
      <c r="H1606" s="10"/>
      <c r="I1606" s="17"/>
      <c r="J1606" s="83"/>
      <c r="K1606" s="343"/>
      <c r="L1606" s="347"/>
      <c r="M1606" s="89"/>
      <c r="N1606" s="10" t="s">
        <v>121</v>
      </c>
      <c r="O1606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606" s="106" t="str">
        <f>Enginuity!$A$20</f>
        <v>Z-Louvre Blade - 5"</v>
      </c>
      <c r="Q1606" s="22" t="str">
        <f>IF(O1606&lt;&gt;"",1,"")</f>
        <v/>
      </c>
      <c r="U1606" s="104" t="str">
        <f>IF(
  AND(
    TRIM(A1606)=TRIM(Enginuity!$A$1),
    TRIM(B1606)=TRIM(Enginuity!$A$17),
    Q1606&lt;&gt;"",
    Q1606&lt;&gt;0,
    OR(
      TRIM(C1606)=TRIM(Enginuity!$A$18),
      AND(UPPER(TRIM(M1606))="STD", TRIM(B1606)=TRIM(Enginuity!$A$17))
    ),
    OR(
      AND(LEFT(P1606,5)="1-Way", Enginuity!$B$13=1),
      AND(LEFT(P1606,5)="2-Way", OR(Enginuity!$B$13=2, Enginuity!$B$13=4)),
      AND(LEFT(P1606,5)="3-Way", OR(Enginuity!$B$13=3, Enginuity!$B$13=6)),
      AND(P1606="Inner Centre Jamb", OR(Enginuity!$B$13=4, Enginuity!$B$13=6)),
      AND(
        LEFT(P1606,5)&lt;&gt;"1-Way",
        LEFT(P1606,5)&lt;&gt;"2-Way",
        LEFT(P1606,5)&lt;&gt;"3-Way",
        P1606&lt;&gt;"Inner Centre Jamb"
      )
    ),
    IF(OR(Enginuity!$A$1="Frameless Glass",Enginuity!$A$1="Metal Work"),
      AND(TRIM(B1606)=TRIM(Enginuity!$A$17),TRIM(C1606)=TRIM(Enginuity!$A$18)),
      TRIM(B1606)=TRIM(Enginuity!$A$17)
    )
  ),
  ROW(),
  ""
)</f>
        <v/>
      </c>
    </row>
    <row r="1607" spans="1:21" x14ac:dyDescent="0.25">
      <c r="A1607" s="10" t="s">
        <v>253</v>
      </c>
      <c r="B1607" s="229" t="s">
        <v>372</v>
      </c>
      <c r="C1607" s="10" t="s">
        <v>929</v>
      </c>
      <c r="D1607" s="14"/>
      <c r="E1607" s="157"/>
      <c r="F1607" s="14"/>
      <c r="G1607" s="17"/>
      <c r="H1607" s="10"/>
      <c r="I1607" s="17"/>
      <c r="J1607" s="83"/>
      <c r="K1607" s="343"/>
      <c r="L1607" s="347"/>
      <c r="M1607" s="89"/>
      <c r="N1607" s="10" t="s">
        <v>176</v>
      </c>
      <c r="O1607" s="22" t="str">
        <f>IF(Enginuity!$A$21="Supply &amp; Install",75,
IF(Enginuity!$A$21="Supply &amp; Courier",20,
IF(Enginuity!$A$21="Self Collect",0,
"")))</f>
        <v/>
      </c>
      <c r="P1607" s="5" t="str">
        <f>Enginuity!$A$21</f>
        <v>SF 4"</v>
      </c>
      <c r="Q1607" s="22" t="str">
        <f>IF(O1607&lt;&gt;"",IF(Enginuity!$B$6&gt;4,Enginuity!$B$13,1),"")</f>
        <v/>
      </c>
      <c r="U1607" s="104" t="str">
        <f>IF(
  AND(
    TRIM(A1607)=TRIM(Enginuity!$A$1),
    TRIM(B1607)=TRIM(Enginuity!$A$17),
    Q1607&lt;&gt;"",
    Q1607&lt;&gt;0,
    OR(
      TRIM(C1607)=TRIM(Enginuity!$A$18),
      AND(UPPER(TRIM(M1607))="STD", TRIM(B1607)=TRIM(Enginuity!$A$17))
    ),
    OR(
      AND(LEFT(P1607,5)="1-Way", Enginuity!$B$13=1),
      AND(LEFT(P1607,5)="2-Way", OR(Enginuity!$B$13=2, Enginuity!$B$13=4)),
      AND(LEFT(P1607,5)="3-Way", OR(Enginuity!$B$13=3, Enginuity!$B$13=6)),
      AND(P1607="Inner Centre Jamb", OR(Enginuity!$B$13=4, Enginuity!$B$13=6)),
      AND(
        LEFT(P1607,5)&lt;&gt;"1-Way",
        LEFT(P1607,5)&lt;&gt;"2-Way",
        LEFT(P1607,5)&lt;&gt;"3-Way",
        P1607&lt;&gt;"Inner Centre Jamb"
      )
    ),
    IF(OR(Enginuity!$A$1="Frameless Glass",Enginuity!$A$1="Metal Work"),
      AND(TRIM(B1607)=TRIM(Enginuity!$A$17),TRIM(C1607)=TRIM(Enginuity!$A$18)),
      TRIM(B1607)=TRIM(Enginuity!$A$17)
    )
  ),
  ROW(),
  ""
)</f>
        <v/>
      </c>
    </row>
    <row r="1608" spans="1:21" x14ac:dyDescent="0.25">
      <c r="A1608" s="10" t="s">
        <v>253</v>
      </c>
      <c r="B1608" s="229" t="s">
        <v>372</v>
      </c>
      <c r="C1608" s="10" t="s">
        <v>929</v>
      </c>
      <c r="D1608" s="14"/>
      <c r="E1608" s="157"/>
      <c r="F1608" s="14"/>
      <c r="G1608" s="17"/>
      <c r="H1608" s="10"/>
      <c r="I1608" s="17"/>
      <c r="J1608" s="83"/>
      <c r="K1608" s="343"/>
      <c r="L1608" s="347"/>
      <c r="M1608" s="89"/>
      <c r="N1608" s="10" t="s">
        <v>176</v>
      </c>
      <c r="O1608" s="22" t="str">
        <f>IF(Enginuity!$A$22="Double Lock", $B$17, "")</f>
        <v/>
      </c>
      <c r="P1608" s="106" t="str">
        <f>Enginuity!$A$22</f>
        <v>▼ [Lattice]</v>
      </c>
      <c r="Q1608" s="22" t="str">
        <f>IF(O1608&lt;&gt;"",IF(Enginuity!$B$6&gt;4,Enginuity!$B$13,1),"")</f>
        <v/>
      </c>
      <c r="U1608" s="104" t="str">
        <f>IF(
  AND(
    TRIM(A1608)=TRIM(Enginuity!$A$1),
    TRIM(B1608)=TRIM(Enginuity!$A$17),
    Q1608&lt;&gt;"",
    Q1608&lt;&gt;0,
    OR(
      TRIM(C1608)=TRIM(Enginuity!$A$18),
      AND(UPPER(TRIM(M1608))="STD", TRIM(B1608)=TRIM(Enginuity!$A$17))
    ),
    OR(
      AND(LEFT(P1608,5)="1-Way", Enginuity!$B$13=1),
      AND(LEFT(P1608,5)="2-Way", OR(Enginuity!$B$13=2, Enginuity!$B$13=4)),
      AND(LEFT(P1608,5)="3-Way", OR(Enginuity!$B$13=3, Enginuity!$B$13=6)),
      AND(P1608="Inner Centre Jamb", OR(Enginuity!$B$13=4, Enginuity!$B$13=6)),
      AND(
        LEFT(P1608,5)&lt;&gt;"1-Way",
        LEFT(P1608,5)&lt;&gt;"2-Way",
        LEFT(P1608,5)&lt;&gt;"3-Way",
        P1608&lt;&gt;"Inner Centre Jamb"
      )
    ),
    IF(OR(Enginuity!$A$1="Frameless Glass",Enginuity!$A$1="Metal Work"),
      AND(TRIM(B1608)=TRIM(Enginuity!$A$17),TRIM(C1608)=TRIM(Enginuity!$A$18)),
      TRIM(B1608)=TRIM(Enginuity!$A$17)
    )
  ),
  ROW(),
  ""
)</f>
        <v/>
      </c>
    </row>
    <row r="1609" spans="1:21" x14ac:dyDescent="0.25">
      <c r="A1609" s="17"/>
      <c r="B1609" s="230"/>
      <c r="C1609" s="17"/>
      <c r="D1609" s="18"/>
      <c r="E1609" s="238"/>
      <c r="F1609" s="17"/>
      <c r="G1609" s="17"/>
      <c r="H1609" s="17"/>
      <c r="I1609" s="17"/>
      <c r="J1609" s="84"/>
      <c r="K1609" s="343"/>
      <c r="L1609" s="347"/>
      <c r="M1609" s="90"/>
      <c r="N1609" s="17"/>
      <c r="O1609" s="25"/>
      <c r="P1609" s="92"/>
      <c r="Q1609" s="179"/>
      <c r="U1609" s="104" t="str">
        <f>IF(
  AND(
    TRIM(A1609)=TRIM(Enginuity!$A$1),
    TRIM(B1609)=TRIM(Enginuity!$A$17),
    Q1609&lt;&gt;"",
    Q1609&lt;&gt;0,
    OR(
      TRIM(C1609)=TRIM(Enginuity!$A$18),
      AND(UPPER(TRIM(M1609))="STD", TRIM(B1609)=TRIM(Enginuity!$A$17))
    ),
    OR(
      AND(LEFT(P1609,5)="1-Way", Enginuity!$B$13=1),
      AND(LEFT(P1609,5)="2-Way", OR(Enginuity!$B$13=2, Enginuity!$B$13=4)),
      AND(LEFT(P1609,5)="3-Way", OR(Enginuity!$B$13=3, Enginuity!$B$13=6)),
      AND(P1609="Inner Centre Jamb", OR(Enginuity!$B$13=4, Enginuity!$B$13=6)),
      AND(
        LEFT(P1609,5)&lt;&gt;"1-Way",
        LEFT(P1609,5)&lt;&gt;"2-Way",
        LEFT(P1609,5)&lt;&gt;"3-Way",
        P1609&lt;&gt;"Inner Centre Jamb"
      )
    ),
    IF(OR(Enginuity!$A$1="Frameless Glass",Enginuity!$A$1="Metal Work"),
      AND(TRIM(B1609)=TRIM(Enginuity!$A$17),TRIM(C1609)=TRIM(Enginuity!$A$18)),
      TRIM(B1609)=TRIM(Enginuity!$A$17)
    )
  ),
  ROW(),
  ""
)</f>
        <v/>
      </c>
    </row>
    <row r="1610" spans="1:21" x14ac:dyDescent="0.25">
      <c r="A1610" s="10" t="s">
        <v>768</v>
      </c>
      <c r="B1610" s="233" t="s">
        <v>790</v>
      </c>
      <c r="C1610" s="14" t="s">
        <v>97</v>
      </c>
      <c r="D1610" s="14" t="str" cm="1">
        <f t="array" ref="D1610:D1614">IFERROR(INDEX(_xlfn._xlws.FILTER(AllMaterialsbak!$BA$2:$BA$30, AllMaterialsbak!$BA$2:$BA$30&lt;&gt;""), _xlfn.SEQUENCE(5)), "")</f>
        <v>Default</v>
      </c>
      <c r="E1610" s="157"/>
      <c r="F1610" s="21"/>
      <c r="G1610" s="17"/>
      <c r="H1610" s="10"/>
      <c r="I1610" s="17"/>
      <c r="J1610" s="83"/>
      <c r="K1610" s="344">
        <v>0.56403999999999999</v>
      </c>
      <c r="L1610" s="347">
        <v>914.4</v>
      </c>
      <c r="M1610" s="12"/>
      <c r="N1610" s="10" t="s">
        <v>112</v>
      </c>
      <c r="O1610" s="22">
        <v>70</v>
      </c>
      <c r="P1610" s="14" t="s">
        <v>788</v>
      </c>
      <c r="Q1610" s="83">
        <f>IF(OR(Enginuity!$B$6="",Enginuity!$B$7="",Enginuity!$B$13=""),"",
   CEILING(
      (((Enginuity!$B$7*2)+(Enginuity!$B$6*2)) * Enginuity!$B$13) / 20.013,
      1
   )
)</f>
        <v>24</v>
      </c>
      <c r="U1610" s="104" t="str">
        <f>IF(
  AND(
    TRIM(A1610)=TRIM(Enginuity!$A$1),
    TRIM(B1610)=TRIM(Enginuity!$A$17),
    Q1610&lt;&gt;"",
    Q1610&lt;&gt;0,
    OR(
      TRIM(C1610)=TRIM(Enginuity!$A$18),
      AND(UPPER(TRIM(M1610))="STD", TRIM(B1610)=TRIM(Enginuity!$A$17))
    ),
    OR(
      AND(LEFT(P1610,5)="1-Way", Enginuity!$B$13=1),
      AND(LEFT(P1610,5)="2-Way", OR(Enginuity!$B$13=2, Enginuity!$B$13=4)),
      AND(LEFT(P1610,5)="3-Way", OR(Enginuity!$B$13=3, Enginuity!$B$13=6)),
      AND(P1610="Inner Centre Jamb", OR(Enginuity!$B$13=4, Enginuity!$B$13=6)),
      AND(
        LEFT(P1610,5)&lt;&gt;"1-Way",
        LEFT(P1610,5)&lt;&gt;"2-Way",
        LEFT(P1610,5)&lt;&gt;"3-Way",
        P1610&lt;&gt;"Inner Centre Jamb"
      )
    ),
    IF(OR(Enginuity!$A$1="Frameless Glass",Enginuity!$A$1="Metal Work"),
      AND(TRIM(B1610)=TRIM(Enginuity!$A$17),TRIM(C1610)=TRIM(Enginuity!$A$18)),
      TRIM(B1610)=TRIM(Enginuity!$A$17)
    )
  ),
  ROW(),
  ""
)</f>
        <v/>
      </c>
    </row>
    <row r="1611" spans="1:21" x14ac:dyDescent="0.25">
      <c r="A1611" s="10" t="s">
        <v>768</v>
      </c>
      <c r="B1611" s="233" t="s">
        <v>790</v>
      </c>
      <c r="C1611" s="14" t="s">
        <v>97</v>
      </c>
      <c r="D1611" s="14" t="str">
        <v xml:space="preserve">2" Louver Blade N/A </v>
      </c>
      <c r="E1611" s="157"/>
      <c r="F1611" s="21"/>
      <c r="G1611" s="17"/>
      <c r="H1611" s="10"/>
      <c r="I1611" s="17"/>
      <c r="J1611" s="83"/>
      <c r="K1611" s="343"/>
      <c r="L1611" s="347"/>
      <c r="M1611" s="12"/>
      <c r="N1611" s="10" t="s">
        <v>112</v>
      </c>
      <c r="O1611" s="22">
        <v>18</v>
      </c>
      <c r="P1611" s="14" t="s">
        <v>789</v>
      </c>
      <c r="Q1611" s="83">
        <f>IF(OR(Enginuity!$B$6="",Enginuity!$B$7="",Enginuity!$B$13=""),"",
   CEILING(
      (((Enginuity!$B$7*2)+(Enginuity!$B$6*2)) * Enginuity!$B$13) / 20.013,
      1
   )
)</f>
        <v>24</v>
      </c>
      <c r="U1611" s="104" t="str">
        <f>IF(
  AND(
    TRIM(A1611)=TRIM(Enginuity!$A$1),
    TRIM(B1611)=TRIM(Enginuity!$A$17),
    Q1611&lt;&gt;"",
    Q1611&lt;&gt;0,
    OR(
      TRIM(C1611)=TRIM(Enginuity!$A$18),
      AND(UPPER(TRIM(M1611))="STD", TRIM(B1611)=TRIM(Enginuity!$A$17))
    ),
    OR(
      AND(LEFT(P1611,5)="1-Way", Enginuity!$B$13=1),
      AND(LEFT(P1611,5)="2-Way", OR(Enginuity!$B$13=2, Enginuity!$B$13=4)),
      AND(LEFT(P1611,5)="3-Way", OR(Enginuity!$B$13=3, Enginuity!$B$13=6)),
      AND(P1611="Inner Centre Jamb", OR(Enginuity!$B$13=4, Enginuity!$B$13=6)),
      AND(
        LEFT(P1611,5)&lt;&gt;"1-Way",
        LEFT(P1611,5)&lt;&gt;"2-Way",
        LEFT(P1611,5)&lt;&gt;"3-Way",
        P1611&lt;&gt;"Inner Centre Jamb"
      )
    ),
    IF(OR(Enginuity!$A$1="Frameless Glass",Enginuity!$A$1="Metal Work"),
      AND(TRIM(B1611)=TRIM(Enginuity!$A$17),TRIM(C1611)=TRIM(Enginuity!$A$18)),
      TRIM(B1611)=TRIM(Enginuity!$A$17)
    )
  ),
  ROW(),
  ""
)</f>
        <v/>
      </c>
    </row>
    <row r="1612" spans="1:21" x14ac:dyDescent="0.25">
      <c r="A1612" s="10" t="s">
        <v>768</v>
      </c>
      <c r="B1612" s="233" t="s">
        <v>790</v>
      </c>
      <c r="C1612" s="14"/>
      <c r="D1612" s="14" t="str">
        <v>2" Louver Blade P/C</v>
      </c>
      <c r="E1612" s="157"/>
      <c r="F1612" s="14"/>
      <c r="G1612" s="17"/>
      <c r="H1612" s="10"/>
      <c r="I1612" s="17"/>
      <c r="J1612" s="83"/>
      <c r="K1612" s="343"/>
      <c r="L1612" s="347"/>
      <c r="M1612" s="10" t="s">
        <v>117</v>
      </c>
      <c r="N1612" s="10" t="s">
        <v>121</v>
      </c>
      <c r="O1612" s="22" t="str">
        <f>$O$2</f>
        <v/>
      </c>
      <c r="P1612" s="21" t="str">
        <f>Enginuity!$A$19</f>
        <v>W/G</v>
      </c>
      <c r="Q1612" s="83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260</v>
      </c>
      <c r="U1612" s="104" t="str">
        <f>IF(
  AND(
    TRIM(A1612)=TRIM(Enginuity!$A$1),
    TRIM(B1612)=TRIM(Enginuity!$A$17),
    Q1612&lt;&gt;"",
    Q1612&lt;&gt;0,
    OR(
      TRIM(C1612)=TRIM(Enginuity!$A$18),
      AND(UPPER(TRIM(M1612))="STD", TRIM(B1612)=TRIM(Enginuity!$A$17))
    ),
    OR(
      AND(LEFT(P1612,5)="1-Way", Enginuity!$B$13=1),
      AND(LEFT(P1612,5)="2-Way", OR(Enginuity!$B$13=2, Enginuity!$B$13=4)),
      AND(LEFT(P1612,5)="3-Way", OR(Enginuity!$B$13=3, Enginuity!$B$13=6)),
      AND(P1612="Inner Centre Jamb", OR(Enginuity!$B$13=4, Enginuity!$B$13=6)),
      AND(
        LEFT(P1612,5)&lt;&gt;"1-Way",
        LEFT(P1612,5)&lt;&gt;"2-Way",
        LEFT(P1612,5)&lt;&gt;"3-Way",
        P1612&lt;&gt;"Inner Centre Jamb"
      )
    ),
    IF(OR(Enginuity!$A$1="Frameless Glass",Enginuity!$A$1="Metal Work"),
      AND(TRIM(B1612)=TRIM(Enginuity!$A$17),TRIM(C1612)=TRIM(Enginuity!$A$18)),
      TRIM(B1612)=TRIM(Enginuity!$A$17)
    )
  ),
  ROW(),
  ""
)</f>
        <v/>
      </c>
    </row>
    <row r="1613" spans="1:21" x14ac:dyDescent="0.25">
      <c r="A1613" s="10" t="s">
        <v>768</v>
      </c>
      <c r="B1613" s="233" t="s">
        <v>790</v>
      </c>
      <c r="C1613" s="14"/>
      <c r="D1613" s="14" t="str">
        <v xml:space="preserve">5" Louver Blade N/A </v>
      </c>
      <c r="E1613" s="160"/>
      <c r="F1613" s="14"/>
      <c r="G1613" s="17"/>
      <c r="H1613" s="10"/>
      <c r="I1613" s="17"/>
      <c r="J1613" s="83"/>
      <c r="K1613" s="343"/>
      <c r="L1613" s="347"/>
      <c r="M1613" s="10" t="s">
        <v>117</v>
      </c>
      <c r="N1613" s="10" t="s">
        <v>103</v>
      </c>
      <c r="O1613" s="22">
        <v>0.8</v>
      </c>
      <c r="P1613" s="14" t="s">
        <v>272</v>
      </c>
      <c r="Q1613" s="83">
        <f>IF(AND(Enginuity!$B$6&gt;0, Enginuity!$B$7&gt;0, Enginuity!$B$13&gt;0), ((2*Enginuity!$B$7*Enginuity!$B$13)+(2*Enginuity!$B$6))*2, "")</f>
        <v>444</v>
      </c>
      <c r="U1613" s="104" t="str">
        <f>IF(
  AND(
    TRIM(A1613)=TRIM(Enginuity!$A$1),
    TRIM(B1613)=TRIM(Enginuity!$A$17),
    Q1613&lt;&gt;"",
    Q1613&lt;&gt;0,
    OR(
      TRIM(C1613)=TRIM(Enginuity!$A$18),
      AND(UPPER(TRIM(M1613))="STD", TRIM(B1613)=TRIM(Enginuity!$A$17))
    ),
    OR(
      AND(LEFT(P1613,5)="1-Way", Enginuity!$B$13=1),
      AND(LEFT(P1613,5)="2-Way", OR(Enginuity!$B$13=2, Enginuity!$B$13=4)),
      AND(LEFT(P1613,5)="3-Way", OR(Enginuity!$B$13=3, Enginuity!$B$13=6)),
      AND(P1613="Inner Centre Jamb", OR(Enginuity!$B$13=4, Enginuity!$B$13=6)),
      AND(
        LEFT(P1613,5)&lt;&gt;"1-Way",
        LEFT(P1613,5)&lt;&gt;"2-Way",
        LEFT(P1613,5)&lt;&gt;"3-Way",
        P1613&lt;&gt;"Inner Centre Jamb"
      )
    ),
    IF(OR(Enginuity!$A$1="Frameless Glass",Enginuity!$A$1="Metal Work"),
      AND(TRIM(B1613)=TRIM(Enginuity!$A$17),TRIM(C1613)=TRIM(Enginuity!$A$18)),
      TRIM(B1613)=TRIM(Enginuity!$A$17)
    )
  ),
  ROW(),
  ""
)</f>
        <v/>
      </c>
    </row>
    <row r="1614" spans="1:21" x14ac:dyDescent="0.25">
      <c r="A1614" s="10" t="s">
        <v>768</v>
      </c>
      <c r="B1614" s="229"/>
      <c r="C1614" s="14"/>
      <c r="D1614" s="14" t="str">
        <v>5" Louver Blade P/C</v>
      </c>
      <c r="E1614" s="160"/>
      <c r="F1614" s="36"/>
      <c r="G1614" s="17"/>
      <c r="H1614" s="10"/>
      <c r="I1614" s="17"/>
      <c r="J1614" s="83"/>
      <c r="K1614" s="343"/>
      <c r="L1614" s="347"/>
      <c r="M1614" s="12"/>
      <c r="N1614" s="10"/>
      <c r="O1614" s="22"/>
      <c r="P1614" s="14"/>
      <c r="Q1614" s="22"/>
      <c r="U1614" s="104" t="str">
        <f>IF(
  AND(
    TRIM(A1614)=TRIM(Enginuity!$A$1),
    TRIM(B1614)=TRIM(Enginuity!$A$17),
    Q1614&lt;&gt;"",
    Q1614&lt;&gt;0,
    OR(
      TRIM(C1614)=TRIM(Enginuity!$A$18),
      AND(UPPER(TRIM(M1614))="STD", TRIM(B1614)=TRIM(Enginuity!$A$17))
    ),
    OR(
      AND(LEFT(P1614,5)="1-Way", Enginuity!$B$13=1),
      AND(LEFT(P1614,5)="2-Way", OR(Enginuity!$B$13=2, Enginuity!$B$13=4)),
      AND(LEFT(P1614,5)="3-Way", OR(Enginuity!$B$13=3, Enginuity!$B$13=6)),
      AND(P1614="Inner Centre Jamb", OR(Enginuity!$B$13=4, Enginuity!$B$13=6)),
      AND(
        LEFT(P1614,5)&lt;&gt;"1-Way",
        LEFT(P1614,5)&lt;&gt;"2-Way",
        LEFT(P1614,5)&lt;&gt;"3-Way",
        P1614&lt;&gt;"Inner Centre Jamb"
      )
    ),
    IF(OR(Enginuity!$A$1="Frameless Glass",Enginuity!$A$1="Metal Work"),
      AND(TRIM(B1614)=TRIM(Enginuity!$A$17),TRIM(C1614)=TRIM(Enginuity!$A$18)),
      TRIM(B1614)=TRIM(Enginuity!$A$17)
    )
  ),
  ROW(),
  ""
)</f>
        <v/>
      </c>
    </row>
    <row r="1615" spans="1:21" x14ac:dyDescent="0.25">
      <c r="A1615" s="10" t="s">
        <v>768</v>
      </c>
      <c r="B1615" s="229"/>
      <c r="C1615" s="14"/>
      <c r="D1615" s="14"/>
      <c r="E1615" s="160"/>
      <c r="F1615" s="14"/>
      <c r="G1615" s="17"/>
      <c r="H1615" s="10"/>
      <c r="I1615" s="17"/>
      <c r="J1615" s="83"/>
      <c r="K1615" s="343"/>
      <c r="L1615" s="347"/>
      <c r="M1615" s="12"/>
      <c r="N1615" s="10"/>
      <c r="O1615" s="22"/>
      <c r="P1615" s="14"/>
      <c r="Q1615" s="22"/>
      <c r="U1615" s="104" t="str">
        <f>IF(
  AND(
    TRIM(A1615)=TRIM(Enginuity!$A$1),
    TRIM(B1615)=TRIM(Enginuity!$A$17),
    Q1615&lt;&gt;"",
    Q1615&lt;&gt;0,
    OR(
      TRIM(C1615)=TRIM(Enginuity!$A$18),
      AND(UPPER(TRIM(M1615))="STD", TRIM(B1615)=TRIM(Enginuity!$A$17))
    ),
    OR(
      AND(LEFT(P1615,5)="1-Way", Enginuity!$B$13=1),
      AND(LEFT(P1615,5)="2-Way", OR(Enginuity!$B$13=2, Enginuity!$B$13=4)),
      AND(LEFT(P1615,5)="3-Way", OR(Enginuity!$B$13=3, Enginuity!$B$13=6)),
      AND(P1615="Inner Centre Jamb", OR(Enginuity!$B$13=4, Enginuity!$B$13=6)),
      AND(
        LEFT(P1615,5)&lt;&gt;"1-Way",
        LEFT(P1615,5)&lt;&gt;"2-Way",
        LEFT(P1615,5)&lt;&gt;"3-Way",
        P1615&lt;&gt;"Inner Centre Jamb"
      )
    ),
    IF(OR(Enginuity!$A$1="Frameless Glass",Enginuity!$A$1="Metal Work"),
      AND(TRIM(B1615)=TRIM(Enginuity!$A$17),TRIM(C1615)=TRIM(Enginuity!$A$18)),
      TRIM(B1615)=TRIM(Enginuity!$A$17)
    )
  ),
  ROW(),
  ""
)</f>
        <v/>
      </c>
    </row>
    <row r="1616" spans="1:21" x14ac:dyDescent="0.25">
      <c r="A1616" s="10" t="s">
        <v>768</v>
      </c>
      <c r="B1616" s="229"/>
      <c r="C1616" s="14"/>
      <c r="D1616" s="14"/>
      <c r="E1616" s="160"/>
      <c r="F1616" s="14"/>
      <c r="G1616" s="17"/>
      <c r="H1616" s="10"/>
      <c r="I1616" s="17"/>
      <c r="J1616" s="83"/>
      <c r="K1616" s="343"/>
      <c r="L1616" s="347"/>
      <c r="M1616" s="12"/>
      <c r="N1616" s="10"/>
      <c r="O1616" s="22"/>
      <c r="P1616" s="14"/>
      <c r="Q1616" s="22"/>
      <c r="U1616" s="104" t="str">
        <f>IF(
  AND(
    TRIM(A1616)=TRIM(Enginuity!$A$1),
    TRIM(B1616)=TRIM(Enginuity!$A$17),
    Q1616&lt;&gt;"",
    Q1616&lt;&gt;0,
    OR(
      TRIM(C1616)=TRIM(Enginuity!$A$18),
      AND(UPPER(TRIM(M1616))="STD", TRIM(B1616)=TRIM(Enginuity!$A$17))
    ),
    OR(
      AND(LEFT(P1616,5)="1-Way", Enginuity!$B$13=1),
      AND(LEFT(P1616,5)="2-Way", OR(Enginuity!$B$13=2, Enginuity!$B$13=4)),
      AND(LEFT(P1616,5)="3-Way", OR(Enginuity!$B$13=3, Enginuity!$B$13=6)),
      AND(P1616="Inner Centre Jamb", OR(Enginuity!$B$13=4, Enginuity!$B$13=6)),
      AND(
        LEFT(P1616,5)&lt;&gt;"1-Way",
        LEFT(P1616,5)&lt;&gt;"2-Way",
        LEFT(P1616,5)&lt;&gt;"3-Way",
        P1616&lt;&gt;"Inner Centre Jamb"
      )
    ),
    IF(OR(Enginuity!$A$1="Frameless Glass",Enginuity!$A$1="Metal Work"),
      AND(TRIM(B1616)=TRIM(Enginuity!$A$17),TRIM(C1616)=TRIM(Enginuity!$A$18)),
      TRIM(B1616)=TRIM(Enginuity!$A$17)
    )
  ),
  ROW(),
  ""
)</f>
        <v/>
      </c>
    </row>
    <row r="1617" spans="1:21" x14ac:dyDescent="0.25">
      <c r="A1617" s="10" t="s">
        <v>768</v>
      </c>
      <c r="B1617" s="229"/>
      <c r="C1617" s="14"/>
      <c r="D1617" s="14"/>
      <c r="E1617" s="247"/>
      <c r="F1617" s="10"/>
      <c r="G1617" s="17"/>
      <c r="H1617" s="10"/>
      <c r="I1617" s="17"/>
      <c r="J1617" s="83"/>
      <c r="K1617" s="343"/>
      <c r="L1617" s="347"/>
      <c r="M1617" s="10" t="s">
        <v>117</v>
      </c>
      <c r="N1617" s="10" t="s">
        <v>121</v>
      </c>
      <c r="O1617" s="22">
        <f>$B$21</f>
        <v>16.46</v>
      </c>
      <c r="P1617" s="21" t="str">
        <f>$A$21</f>
        <v>Black Stainless Steel Mesh</v>
      </c>
      <c r="Q1617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1617" s="104" t="str">
        <f>IF(
  AND(
    TRIM(A1617)=TRIM(Enginuity!$A$1),
    TRIM(B1617)=TRIM(Enginuity!$A$17),
    Q1617&lt;&gt;"",
    Q1617&lt;&gt;0,
    OR(
      TRIM(C1617)=TRIM(Enginuity!$A$18),
      AND(UPPER(TRIM(M1617))="STD", TRIM(B1617)=TRIM(Enginuity!$A$17))
    ),
    OR(
      AND(LEFT(P1617,5)="1-Way", Enginuity!$B$13=1),
      AND(LEFT(P1617,5)="2-Way", OR(Enginuity!$B$13=2, Enginuity!$B$13=4)),
      AND(LEFT(P1617,5)="3-Way", OR(Enginuity!$B$13=3, Enginuity!$B$13=6)),
      AND(P1617="Inner Centre Jamb", OR(Enginuity!$B$13=4, Enginuity!$B$13=6)),
      AND(
        LEFT(P1617,5)&lt;&gt;"1-Way",
        LEFT(P1617,5)&lt;&gt;"2-Way",
        LEFT(P1617,5)&lt;&gt;"3-Way",
        P1617&lt;&gt;"Inner Centre Jamb"
      )
    ),
    IF(OR(Enginuity!$A$1="Frameless Glass",Enginuity!$A$1="Metal Work"),
      AND(TRIM(B1617)=TRIM(Enginuity!$A$17),TRIM(C1617)=TRIM(Enginuity!$A$18)),
      TRIM(B1617)=TRIM(Enginuity!$A$17)
    )
  ),
  ROW(),
  ""
)</f>
        <v/>
      </c>
    </row>
    <row r="1618" spans="1:21" x14ac:dyDescent="0.25">
      <c r="A1618" s="10" t="s">
        <v>768</v>
      </c>
      <c r="B1618" s="229"/>
      <c r="C1618" s="14"/>
      <c r="D1618" s="14"/>
      <c r="E1618" s="157"/>
      <c r="F1618" s="10"/>
      <c r="G1618" s="17"/>
      <c r="H1618" s="10"/>
      <c r="I1618" s="17"/>
      <c r="J1618" s="83"/>
      <c r="K1618" s="343"/>
      <c r="L1618" s="347"/>
      <c r="M1618" s="10" t="s">
        <v>117</v>
      </c>
      <c r="N1618" s="10" t="s">
        <v>121</v>
      </c>
      <c r="O1618" s="22" t="str">
        <f>$O$2</f>
        <v/>
      </c>
      <c r="P1618" s="21" t="str">
        <f>Enginuity!$A$19</f>
        <v>W/G</v>
      </c>
      <c r="Q1618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1618" s="104" t="str">
        <f>IF(
  AND(
    TRIM(A1618)=TRIM(Enginuity!$A$1),
    TRIM(B1618)=TRIM(Enginuity!$A$17),
    Q1618&lt;&gt;"",
    Q1618&lt;&gt;0,
    OR(
      TRIM(C1618)=TRIM(Enginuity!$A$18),
      AND(UPPER(TRIM(M1618))="STD", TRIM(B1618)=TRIM(Enginuity!$A$17))
    ),
    OR(
      AND(LEFT(P1618,5)="1-Way", Enginuity!$B$13=1),
      AND(LEFT(P1618,5)="2-Way", OR(Enginuity!$B$13=2, Enginuity!$B$13=4)),
      AND(LEFT(P1618,5)="3-Way", OR(Enginuity!$B$13=3, Enginuity!$B$13=6)),
      AND(P1618="Inner Centre Jamb", OR(Enginuity!$B$13=4, Enginuity!$B$13=6)),
      AND(
        LEFT(P1618,5)&lt;&gt;"1-Way",
        LEFT(P1618,5)&lt;&gt;"2-Way",
        LEFT(P1618,5)&lt;&gt;"3-Way",
        P1618&lt;&gt;"Inner Centre Jamb"
      )
    ),
    IF(OR(Enginuity!$A$1="Frameless Glass",Enginuity!$A$1="Metal Work"),
      AND(TRIM(B1618)=TRIM(Enginuity!$A$17),TRIM(C1618)=TRIM(Enginuity!$A$18)),
      TRIM(B1618)=TRIM(Enginuity!$A$17)
    )
  ),
  ROW(),
  ""
)</f>
        <v/>
      </c>
    </row>
    <row r="1619" spans="1:21" x14ac:dyDescent="0.25">
      <c r="A1619" s="10" t="s">
        <v>768</v>
      </c>
      <c r="B1619" s="229"/>
      <c r="C1619" s="14"/>
      <c r="D1619" s="14"/>
      <c r="E1619" s="157"/>
      <c r="F1619" s="10"/>
      <c r="G1619" s="17"/>
      <c r="H1619" s="10"/>
      <c r="I1619" s="17"/>
      <c r="J1619" s="83"/>
      <c r="K1619" s="343"/>
      <c r="L1619" s="347"/>
      <c r="M1619" s="10" t="s">
        <v>117</v>
      </c>
      <c r="N1619" s="10" t="s">
        <v>103</v>
      </c>
      <c r="O1619" s="22">
        <v>0.4</v>
      </c>
      <c r="P1619" s="14" t="s">
        <v>115</v>
      </c>
      <c r="Q1619" s="83">
        <f>IF(AND(Enginuity!$B$6&gt;0, Enginuity!$B$7&gt;0), ROUND(((Enginuity!$B$6 + Enginuity!$B$7) * 2), 2), "")</f>
        <v>66</v>
      </c>
      <c r="U1619" s="104" t="str">
        <f>IF(
  AND(
    TRIM(A1619)=TRIM(Enginuity!$A$1),
    TRIM(B1619)=TRIM(Enginuity!$A$17),
    Q1619&lt;&gt;"",
    Q1619&lt;&gt;0,
    OR(
      TRIM(C1619)=TRIM(Enginuity!$A$18),
      AND(UPPER(TRIM(M1619))="STD", TRIM(B1619)=TRIM(Enginuity!$A$17))
    ),
    OR(
      AND(LEFT(P1619,5)="1-Way", Enginuity!$B$13=1),
      AND(LEFT(P1619,5)="2-Way", OR(Enginuity!$B$13=2, Enginuity!$B$13=4)),
      AND(LEFT(P1619,5)="3-Way", OR(Enginuity!$B$13=3, Enginuity!$B$13=6)),
      AND(P1619="Inner Centre Jamb", OR(Enginuity!$B$13=4, Enginuity!$B$13=6)),
      AND(
        LEFT(P1619,5)&lt;&gt;"1-Way",
        LEFT(P1619,5)&lt;&gt;"2-Way",
        LEFT(P1619,5)&lt;&gt;"3-Way",
        P1619&lt;&gt;"Inner Centre Jamb"
      )
    ),
    IF(OR(Enginuity!$A$1="Frameless Glass",Enginuity!$A$1="Metal Work"),
      AND(TRIM(B1619)=TRIM(Enginuity!$A$17),TRIM(C1619)=TRIM(Enginuity!$A$18)),
      TRIM(B1619)=TRIM(Enginuity!$A$17)
    )
  ),
  ROW(),
  ""
)</f>
        <v/>
      </c>
    </row>
    <row r="1620" spans="1:21" x14ac:dyDescent="0.25">
      <c r="A1620" s="10" t="s">
        <v>768</v>
      </c>
      <c r="B1620" s="229"/>
      <c r="C1620" s="14"/>
      <c r="D1620" s="14"/>
      <c r="E1620" s="157"/>
      <c r="F1620" s="10"/>
      <c r="G1620" s="17"/>
      <c r="H1620" s="10"/>
      <c r="I1620" s="17"/>
      <c r="J1620" s="83"/>
      <c r="K1620" s="343"/>
      <c r="L1620" s="347"/>
      <c r="M1620" s="10" t="s">
        <v>117</v>
      </c>
      <c r="N1620" s="10" t="s">
        <v>103</v>
      </c>
      <c r="O1620" s="22">
        <v>0.4</v>
      </c>
      <c r="P1620" s="14" t="s">
        <v>116</v>
      </c>
      <c r="Q1620" s="83">
        <f>IF(AND(Enginuity!$B$6&gt;0, Enginuity!$B$7&gt;0, Enginuity!$B$13&gt;0), (2 * Enginuity!$B$7 * Enginuity!$B$13) + (2 * Enginuity!$B$6), "")</f>
        <v>222</v>
      </c>
      <c r="U1620" s="104" t="str">
        <f>IF(
  AND(
    TRIM(A1620)=TRIM(Enginuity!$A$1),
    TRIM(B1620)=TRIM(Enginuity!$A$17),
    Q1620&lt;&gt;"",
    Q1620&lt;&gt;0,
    OR(
      TRIM(C1620)=TRIM(Enginuity!$A$18),
      AND(UPPER(TRIM(M1620))="STD", TRIM(B1620)=TRIM(Enginuity!$A$17))
    ),
    OR(
      AND(LEFT(P1620,5)="1-Way", Enginuity!$B$13=1),
      AND(LEFT(P1620,5)="2-Way", OR(Enginuity!$B$13=2, Enginuity!$B$13=4)),
      AND(LEFT(P1620,5)="3-Way", OR(Enginuity!$B$13=3, Enginuity!$B$13=6)),
      AND(P1620="Inner Centre Jamb", OR(Enginuity!$B$13=4, Enginuity!$B$13=6)),
      AND(
        LEFT(P1620,5)&lt;&gt;"1-Way",
        LEFT(P1620,5)&lt;&gt;"2-Way",
        LEFT(P1620,5)&lt;&gt;"3-Way",
        P1620&lt;&gt;"Inner Centre Jamb"
      )
    ),
    IF(OR(Enginuity!$A$1="Frameless Glass",Enginuity!$A$1="Metal Work"),
      AND(TRIM(B1620)=TRIM(Enginuity!$A$17),TRIM(C1620)=TRIM(Enginuity!$A$18)),
      TRIM(B1620)=TRIM(Enginuity!$A$17)
    )
  ),
  ROW(),
  ""
)</f>
        <v/>
      </c>
    </row>
    <row r="1621" spans="1:21" x14ac:dyDescent="0.25">
      <c r="A1621" s="10" t="s">
        <v>768</v>
      </c>
      <c r="B1621" s="229"/>
      <c r="C1621" s="14"/>
      <c r="D1621" s="14"/>
      <c r="E1621" s="157"/>
      <c r="F1621" s="10"/>
      <c r="G1621" s="17"/>
      <c r="H1621" s="10"/>
      <c r="I1621" s="17"/>
      <c r="J1621" s="83"/>
      <c r="K1621" s="343"/>
      <c r="L1621" s="347"/>
      <c r="M1621" s="10" t="s">
        <v>117</v>
      </c>
      <c r="N1621" s="10" t="s">
        <v>103</v>
      </c>
      <c r="O1621" s="22">
        <v>0.8</v>
      </c>
      <c r="P1621" s="14" t="s">
        <v>272</v>
      </c>
      <c r="Q1621" s="83">
        <f>IF(AND(Enginuity!$B$6&gt;0, Enginuity!$B$7&gt;0, Enginuity!$B$13&gt;0), ((2*Enginuity!$B$7*Enginuity!$B$13)+(2*Enginuity!$B$6))*2, "")</f>
        <v>444</v>
      </c>
      <c r="U1621" s="104" t="str">
        <f>IF(
  AND(
    TRIM(A1621)=TRIM(Enginuity!$A$1),
    TRIM(B1621)=TRIM(Enginuity!$A$17),
    Q1621&lt;&gt;"",
    Q1621&lt;&gt;0,
    OR(
      TRIM(C1621)=TRIM(Enginuity!$A$18),
      AND(UPPER(TRIM(M1621))="STD", TRIM(B1621)=TRIM(Enginuity!$A$17))
    ),
    OR(
      AND(LEFT(P1621,5)="1-Way", Enginuity!$B$13=1),
      AND(LEFT(P1621,5)="2-Way", OR(Enginuity!$B$13=2, Enginuity!$B$13=4)),
      AND(LEFT(P1621,5)="3-Way", OR(Enginuity!$B$13=3, Enginuity!$B$13=6)),
      AND(P1621="Inner Centre Jamb", OR(Enginuity!$B$13=4, Enginuity!$B$13=6)),
      AND(
        LEFT(P1621,5)&lt;&gt;"1-Way",
        LEFT(P1621,5)&lt;&gt;"2-Way",
        LEFT(P1621,5)&lt;&gt;"3-Way",
        P1621&lt;&gt;"Inner Centre Jamb"
      )
    ),
    IF(OR(Enginuity!$A$1="Frameless Glass",Enginuity!$A$1="Metal Work"),
      AND(TRIM(B1621)=TRIM(Enginuity!$A$17),TRIM(C1621)=TRIM(Enginuity!$A$18)),
      TRIM(B1621)=TRIM(Enginuity!$A$17)
    )
  ),
  ROW(),
  ""
)</f>
        <v/>
      </c>
    </row>
    <row r="1622" spans="1:21" x14ac:dyDescent="0.25">
      <c r="A1622" s="10" t="s">
        <v>768</v>
      </c>
      <c r="B1622" s="229"/>
      <c r="C1622" s="14"/>
      <c r="D1622" s="14"/>
      <c r="E1622" s="157"/>
      <c r="F1622" s="10"/>
      <c r="G1622" s="17"/>
      <c r="H1622" s="10"/>
      <c r="I1622" s="17"/>
      <c r="J1622" s="83"/>
      <c r="K1622" s="343"/>
      <c r="L1622" s="347"/>
      <c r="M1622" s="10" t="s">
        <v>117</v>
      </c>
      <c r="N1622" s="10" t="s">
        <v>103</v>
      </c>
      <c r="O1622" s="22">
        <v>0.12</v>
      </c>
      <c r="P1622" s="14" t="s">
        <v>280</v>
      </c>
      <c r="Q1622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576</v>
      </c>
      <c r="U1622" s="104" t="str">
        <f>IF(
  AND(
    TRIM(A1622)=TRIM(Enginuity!$A$1),
    TRIM(B1622)=TRIM(Enginuity!$A$17),
    Q1622&lt;&gt;"",
    Q1622&lt;&gt;0,
    OR(
      TRIM(C1622)=TRIM(Enginuity!$A$18),
      AND(UPPER(TRIM(M1622))="STD", TRIM(B1622)=TRIM(Enginuity!$A$17))
    ),
    OR(
      AND(LEFT(P1622,5)="1-Way", Enginuity!$B$13=1),
      AND(LEFT(P1622,5)="2-Way", OR(Enginuity!$B$13=2, Enginuity!$B$13=4)),
      AND(LEFT(P1622,5)="3-Way", OR(Enginuity!$B$13=3, Enginuity!$B$13=6)),
      AND(P1622="Inner Centre Jamb", OR(Enginuity!$B$13=4, Enginuity!$B$13=6)),
      AND(
        LEFT(P1622,5)&lt;&gt;"1-Way",
        LEFT(P1622,5)&lt;&gt;"2-Way",
        LEFT(P1622,5)&lt;&gt;"3-Way",
        P1622&lt;&gt;"Inner Centre Jamb"
      )
    ),
    IF(OR(Enginuity!$A$1="Frameless Glass",Enginuity!$A$1="Metal Work"),
      AND(TRIM(B1622)=TRIM(Enginuity!$A$17),TRIM(C1622)=TRIM(Enginuity!$A$18)),
      TRIM(B1622)=TRIM(Enginuity!$A$17)
    )
  ),
  ROW(),
  ""
)</f>
        <v/>
      </c>
    </row>
    <row r="1623" spans="1:21" x14ac:dyDescent="0.25">
      <c r="A1623" s="10" t="s">
        <v>768</v>
      </c>
      <c r="B1623" s="229"/>
      <c r="C1623" s="14"/>
      <c r="D1623" s="14"/>
      <c r="E1623" s="157"/>
      <c r="F1623" s="10"/>
      <c r="G1623" s="17"/>
      <c r="H1623" s="10"/>
      <c r="I1623" s="17"/>
      <c r="J1623" s="83"/>
      <c r="K1623" s="343"/>
      <c r="L1623" s="347"/>
      <c r="M1623" s="10" t="s">
        <v>117</v>
      </c>
      <c r="N1623" s="10" t="s">
        <v>112</v>
      </c>
      <c r="O1623" s="22">
        <v>25</v>
      </c>
      <c r="P1623" s="14" t="s">
        <v>125</v>
      </c>
      <c r="Q1623" s="83">
        <f>Enginuity!$B$13*IF(TRIM(Enginuity!$A$21)="1'H X ?'W X Qty Panel Top Hung (Casement Profile)",2,1)</f>
        <v>7</v>
      </c>
      <c r="U1623" s="104" t="str">
        <f>IF(
  AND(
    TRIM(A1623)=TRIM(Enginuity!$A$1),
    TRIM(B1623)=TRIM(Enginuity!$A$17),
    Q1623&lt;&gt;"",
    Q1623&lt;&gt;0,
    OR(
      TRIM(C1623)=TRIM(Enginuity!$A$18),
      AND(UPPER(TRIM(M1623))="STD", TRIM(B1623)=TRIM(Enginuity!$A$17))
    ),
    OR(
      AND(LEFT(P1623,5)="1-Way", Enginuity!$B$13=1),
      AND(LEFT(P1623,5)="2-Way", OR(Enginuity!$B$13=2, Enginuity!$B$13=4)),
      AND(LEFT(P1623,5)="3-Way", OR(Enginuity!$B$13=3, Enginuity!$B$13=6)),
      AND(P1623="Inner Centre Jamb", OR(Enginuity!$B$13=4, Enginuity!$B$13=6)),
      AND(
        LEFT(P1623,5)&lt;&gt;"1-Way",
        LEFT(P1623,5)&lt;&gt;"2-Way",
        LEFT(P1623,5)&lt;&gt;"3-Way",
        P1623&lt;&gt;"Inner Centre Jamb"
      )
    ),
    IF(OR(Enginuity!$A$1="Frameless Glass",Enginuity!$A$1="Metal Work"),
      AND(TRIM(B1623)=TRIM(Enginuity!$A$17),TRIM(C1623)=TRIM(Enginuity!$A$18)),
      TRIM(B1623)=TRIM(Enginuity!$A$17)
    )
  ),
  ROW(),
  ""
)</f>
        <v/>
      </c>
    </row>
    <row r="1624" spans="1:21" x14ac:dyDescent="0.25">
      <c r="A1624" s="10" t="s">
        <v>768</v>
      </c>
      <c r="B1624" s="229"/>
      <c r="C1624" s="14"/>
      <c r="D1624" s="14"/>
      <c r="E1624" s="157"/>
      <c r="F1624" s="10"/>
      <c r="G1624" s="17"/>
      <c r="H1624" s="10"/>
      <c r="I1624" s="17"/>
      <c r="J1624" s="83"/>
      <c r="K1624" s="343"/>
      <c r="L1624" s="347"/>
      <c r="M1624" s="10" t="s">
        <v>117</v>
      </c>
      <c r="N1624" s="88" t="s">
        <v>112</v>
      </c>
      <c r="O1624" s="22">
        <v>4.5</v>
      </c>
      <c r="P1624" s="36" t="s">
        <v>124</v>
      </c>
      <c r="Q1624" s="83">
        <f>Enginuity!$B$13*IF(TRIM(Enginuity!$A$21)="1'H X ?'W X Qty Panel Top Hung (Casement Profile)",2,1)</f>
        <v>7</v>
      </c>
      <c r="U1624" s="104" t="str">
        <f>IF(
  AND(
    TRIM(A1624)=TRIM(Enginuity!$A$1),
    TRIM(B1624)=TRIM(Enginuity!$A$17),
    Q1624&lt;&gt;"",
    Q1624&lt;&gt;0,
    OR(
      TRIM(C1624)=TRIM(Enginuity!$A$18),
      AND(UPPER(TRIM(M1624))="STD", TRIM(B1624)=TRIM(Enginuity!$A$17))
    ),
    OR(
      AND(LEFT(P1624,5)="1-Way", Enginuity!$B$13=1),
      AND(LEFT(P1624,5)="2-Way", OR(Enginuity!$B$13=2, Enginuity!$B$13=4)),
      AND(LEFT(P1624,5)="3-Way", OR(Enginuity!$B$13=3, Enginuity!$B$13=6)),
      AND(P1624="Inner Centre Jamb", OR(Enginuity!$B$13=4, Enginuity!$B$13=6)),
      AND(
        LEFT(P1624,5)&lt;&gt;"1-Way",
        LEFT(P1624,5)&lt;&gt;"2-Way",
        LEFT(P1624,5)&lt;&gt;"3-Way",
        P1624&lt;&gt;"Inner Centre Jamb"
      )
    ),
    IF(OR(Enginuity!$A$1="Frameless Glass",Enginuity!$A$1="Metal Work"),
      AND(TRIM(B1624)=TRIM(Enginuity!$A$17),TRIM(C1624)=TRIM(Enginuity!$A$18)),
      TRIM(B1624)=TRIM(Enginuity!$A$17)
    )
  ),
  ROW(),
  ""
)</f>
        <v/>
      </c>
    </row>
    <row r="1625" spans="1:21" x14ac:dyDescent="0.25">
      <c r="A1625" s="10" t="s">
        <v>768</v>
      </c>
      <c r="B1625" s="229"/>
      <c r="C1625" s="14"/>
      <c r="D1625" s="14"/>
      <c r="E1625" s="157"/>
      <c r="F1625" s="10"/>
      <c r="G1625" s="17"/>
      <c r="H1625" s="10"/>
      <c r="I1625" s="17"/>
      <c r="J1625" s="83"/>
      <c r="K1625" s="343"/>
      <c r="L1625" s="347"/>
      <c r="M1625" s="10" t="s">
        <v>117</v>
      </c>
      <c r="N1625" s="10" t="s">
        <v>112</v>
      </c>
      <c r="O1625" s="22">
        <v>1</v>
      </c>
      <c r="P1625" s="14" t="s">
        <v>132</v>
      </c>
      <c r="Q1625" s="83">
        <f>IF(AND(ISNUMBER(Enginuity!$B$13), Enginuity!$B$13&gt;0), Enginuity!$B$13*4, "")</f>
        <v>28</v>
      </c>
      <c r="U1625" s="104" t="str">
        <f>IF(
  AND(
    TRIM(A1625)=TRIM(Enginuity!$A$1),
    TRIM(B1625)=TRIM(Enginuity!$A$17),
    Q1625&lt;&gt;"",
    Q1625&lt;&gt;0,
    OR(
      TRIM(C1625)=TRIM(Enginuity!$A$18),
      AND(UPPER(TRIM(M1625))="STD", TRIM(B1625)=TRIM(Enginuity!$A$17))
    ),
    OR(
      AND(LEFT(P1625,5)="1-Way", Enginuity!$B$13=1),
      AND(LEFT(P1625,5)="2-Way", OR(Enginuity!$B$13=2, Enginuity!$B$13=4)),
      AND(LEFT(P1625,5)="3-Way", OR(Enginuity!$B$13=3, Enginuity!$B$13=6)),
      AND(P1625="Inner Centre Jamb", OR(Enginuity!$B$13=4, Enginuity!$B$13=6)),
      AND(
        LEFT(P1625,5)&lt;&gt;"1-Way",
        LEFT(P1625,5)&lt;&gt;"2-Way",
        LEFT(P1625,5)&lt;&gt;"3-Way",
        P1625&lt;&gt;"Inner Centre Jamb"
      )
    ),
    IF(OR(Enginuity!$A$1="Frameless Glass",Enginuity!$A$1="Metal Work"),
      AND(TRIM(B1625)=TRIM(Enginuity!$A$17),TRIM(C1625)=TRIM(Enginuity!$A$18)),
      TRIM(B1625)=TRIM(Enginuity!$A$17)
    )
  ),
  ROW(),
  ""
)</f>
        <v/>
      </c>
    </row>
    <row r="1626" spans="1:21" x14ac:dyDescent="0.25">
      <c r="A1626" s="10" t="s">
        <v>768</v>
      </c>
      <c r="B1626" s="229"/>
      <c r="C1626" s="14"/>
      <c r="D1626" s="14"/>
      <c r="E1626" s="157"/>
      <c r="F1626" s="10"/>
      <c r="G1626" s="17"/>
      <c r="H1626" s="10"/>
      <c r="I1626" s="17"/>
      <c r="J1626" s="83"/>
      <c r="K1626" s="343"/>
      <c r="L1626" s="347"/>
      <c r="M1626" s="10" t="s">
        <v>117</v>
      </c>
      <c r="N1626" s="10" t="s">
        <v>112</v>
      </c>
      <c r="O1626" s="22">
        <v>1</v>
      </c>
      <c r="P1626" s="14" t="s">
        <v>132</v>
      </c>
      <c r="Q1626" s="83">
        <f>IF(AND(ISNUMBER(Enginuity!$B$13), Enginuity!$B$13&gt;0), Enginuity!$B$13*4, "")</f>
        <v>28</v>
      </c>
      <c r="U1626" s="104" t="str">
        <f>IF(
  AND(
    TRIM(A1626)=TRIM(Enginuity!$A$1),
    TRIM(B1626)=TRIM(Enginuity!$A$17),
    Q1626&lt;&gt;"",
    Q1626&lt;&gt;0,
    OR(
      TRIM(C1626)=TRIM(Enginuity!$A$18),
      AND(UPPER(TRIM(M1626))="STD", TRIM(B1626)=TRIM(Enginuity!$A$17))
    ),
    OR(
      AND(LEFT(P1626,5)="1-Way", Enginuity!$B$13=1),
      AND(LEFT(P1626,5)="2-Way", OR(Enginuity!$B$13=2, Enginuity!$B$13=4)),
      AND(LEFT(P1626,5)="3-Way", OR(Enginuity!$B$13=3, Enginuity!$B$13=6)),
      AND(P1626="Inner Centre Jamb", OR(Enginuity!$B$13=4, Enginuity!$B$13=6)),
      AND(
        LEFT(P1626,5)&lt;&gt;"1-Way",
        LEFT(P1626,5)&lt;&gt;"2-Way",
        LEFT(P1626,5)&lt;&gt;"3-Way",
        P1626&lt;&gt;"Inner Centre Jamb"
      )
    ),
    IF(OR(Enginuity!$A$1="Frameless Glass",Enginuity!$A$1="Metal Work"),
      AND(TRIM(B1626)=TRIM(Enginuity!$A$17),TRIM(C1626)=TRIM(Enginuity!$A$18)),
      TRIM(B1626)=TRIM(Enginuity!$A$17)
    )
  ),
  ROW(),
  ""
)</f>
        <v/>
      </c>
    </row>
    <row r="1627" spans="1:21" x14ac:dyDescent="0.25">
      <c r="A1627" s="10" t="s">
        <v>768</v>
      </c>
      <c r="B1627" s="229"/>
      <c r="C1627" s="14"/>
      <c r="D1627" s="14"/>
      <c r="E1627" s="157"/>
      <c r="F1627" s="10"/>
      <c r="G1627" s="17"/>
      <c r="H1627" s="10"/>
      <c r="I1627" s="17"/>
      <c r="J1627" s="83"/>
      <c r="K1627" s="343"/>
      <c r="L1627" s="347"/>
      <c r="M1627" s="10" t="s">
        <v>117</v>
      </c>
      <c r="N1627" s="10" t="s">
        <v>112</v>
      </c>
      <c r="O1627" s="22">
        <v>1</v>
      </c>
      <c r="P1627" s="14" t="s">
        <v>132</v>
      </c>
      <c r="Q1627" s="83">
        <v>4</v>
      </c>
      <c r="U1627" s="104" t="str">
        <f>IF(
  AND(
    TRIM(A1627)=TRIM(Enginuity!$A$1),
    TRIM(B1627)=TRIM(Enginuity!$A$17),
    Q1627&lt;&gt;"",
    Q1627&lt;&gt;0,
    OR(
      TRIM(C1627)=TRIM(Enginuity!$A$18),
      AND(UPPER(TRIM(M1627))="STD", TRIM(B1627)=TRIM(Enginuity!$A$17))
    ),
    OR(
      AND(LEFT(P1627,5)="1-Way", Enginuity!$B$13=1),
      AND(LEFT(P1627,5)="2-Way", OR(Enginuity!$B$13=2, Enginuity!$B$13=4)),
      AND(LEFT(P1627,5)="3-Way", OR(Enginuity!$B$13=3, Enginuity!$B$13=6)),
      AND(P1627="Inner Centre Jamb", OR(Enginuity!$B$13=4, Enginuity!$B$13=6)),
      AND(
        LEFT(P1627,5)&lt;&gt;"1-Way",
        LEFT(P1627,5)&lt;&gt;"2-Way",
        LEFT(P1627,5)&lt;&gt;"3-Way",
        P1627&lt;&gt;"Inner Centre Jamb"
      )
    ),
    IF(OR(Enginuity!$A$1="Frameless Glass",Enginuity!$A$1="Metal Work"),
      AND(TRIM(B1627)=TRIM(Enginuity!$A$17),TRIM(C1627)=TRIM(Enginuity!$A$18)),
      TRIM(B1627)=TRIM(Enginuity!$A$17)
    )
  ),
  ROW(),
  ""
)</f>
        <v/>
      </c>
    </row>
    <row r="1628" spans="1:21" x14ac:dyDescent="0.25">
      <c r="A1628" s="10" t="s">
        <v>768</v>
      </c>
      <c r="B1628" s="229"/>
      <c r="C1628" s="14"/>
      <c r="D1628" s="14"/>
      <c r="E1628" s="157"/>
      <c r="F1628" s="10"/>
      <c r="G1628" s="17"/>
      <c r="H1628" s="10"/>
      <c r="I1628" s="17"/>
      <c r="J1628" s="83"/>
      <c r="K1628" s="343"/>
      <c r="L1628" s="347"/>
      <c r="M1628" s="10" t="s">
        <v>117</v>
      </c>
      <c r="N1628" s="10" t="s">
        <v>112</v>
      </c>
      <c r="O1628" s="22">
        <v>0.45</v>
      </c>
      <c r="P1628" s="14" t="s">
        <v>131</v>
      </c>
      <c r="Q1628" s="83">
        <f>Enginuity!$B$13*4</f>
        <v>28</v>
      </c>
      <c r="U1628" s="104" t="str">
        <f>IF(
  AND(
    TRIM(A1628)=TRIM(Enginuity!$A$1),
    TRIM(B1628)=TRIM(Enginuity!$A$17),
    Q1628&lt;&gt;"",
    Q1628&lt;&gt;0,
    OR(
      TRIM(C1628)=TRIM(Enginuity!$A$18),
      AND(UPPER(TRIM(M1628))="STD", TRIM(B1628)=TRIM(Enginuity!$A$17))
    ),
    OR(
      AND(LEFT(P1628,5)="1-Way", Enginuity!$B$13=1),
      AND(LEFT(P1628,5)="2-Way", OR(Enginuity!$B$13=2, Enginuity!$B$13=4)),
      AND(LEFT(P1628,5)="3-Way", OR(Enginuity!$B$13=3, Enginuity!$B$13=6)),
      AND(P1628="Inner Centre Jamb", OR(Enginuity!$B$13=4, Enginuity!$B$13=6)),
      AND(
        LEFT(P1628,5)&lt;&gt;"1-Way",
        LEFT(P1628,5)&lt;&gt;"2-Way",
        LEFT(P1628,5)&lt;&gt;"3-Way",
        P1628&lt;&gt;"Inner Centre Jamb"
      )
    ),
    IF(OR(Enginuity!$A$1="Frameless Glass",Enginuity!$A$1="Metal Work"),
      AND(TRIM(B1628)=TRIM(Enginuity!$A$17),TRIM(C1628)=TRIM(Enginuity!$A$18)),
      TRIM(B1628)=TRIM(Enginuity!$A$17)
    )
  ),
  ROW(),
  ""
)</f>
        <v/>
      </c>
    </row>
    <row r="1629" spans="1:21" x14ac:dyDescent="0.25">
      <c r="A1629" s="10" t="s">
        <v>768</v>
      </c>
      <c r="B1629" s="229"/>
      <c r="C1629" s="10"/>
      <c r="D1629" s="14"/>
      <c r="E1629" s="157"/>
      <c r="F1629" s="10"/>
      <c r="G1629" s="17"/>
      <c r="H1629" s="10"/>
      <c r="I1629" s="17"/>
      <c r="J1629" s="83"/>
      <c r="K1629" s="343"/>
      <c r="L1629" s="347"/>
      <c r="M1629" s="10" t="s">
        <v>117</v>
      </c>
      <c r="N1629" s="10" t="s">
        <v>112</v>
      </c>
      <c r="O1629" s="22">
        <v>3</v>
      </c>
      <c r="P1629" s="14" t="s">
        <v>130</v>
      </c>
      <c r="Q1629" s="83">
        <f>Enginuity!$B$13*
 IF(Enginuity!$B$7&lt;5,2,
 IF(Enginuity!$B$7&lt;6,3,
 IF(Enginuity!$B$7&lt;=7,4,5)))</f>
        <v>35</v>
      </c>
      <c r="U1629" s="104" t="str">
        <f>IF(
  AND(
    TRIM(A1629)=TRIM(Enginuity!$A$1),
    TRIM(B1629)=TRIM(Enginuity!$A$17),
    Q1629&lt;&gt;"",
    Q1629&lt;&gt;0,
    OR(
      TRIM(C1629)=TRIM(Enginuity!$A$18),
      AND(UPPER(TRIM(M1629))="STD", TRIM(B1629)=TRIM(Enginuity!$A$17))
    ),
    OR(
      AND(LEFT(P1629,5)="1-Way", Enginuity!$B$13=1),
      AND(LEFT(P1629,5)="2-Way", OR(Enginuity!$B$13=2, Enginuity!$B$13=4)),
      AND(LEFT(P1629,5)="3-Way", OR(Enginuity!$B$13=3, Enginuity!$B$13=6)),
      AND(P1629="Inner Centre Jamb", OR(Enginuity!$B$13=4, Enginuity!$B$13=6)),
      AND(
        LEFT(P1629,5)&lt;&gt;"1-Way",
        LEFT(P1629,5)&lt;&gt;"2-Way",
        LEFT(P1629,5)&lt;&gt;"3-Way",
        P1629&lt;&gt;"Inner Centre Jamb"
      )
    ),
    IF(OR(Enginuity!$A$1="Frameless Glass",Enginuity!$A$1="Metal Work"),
      AND(TRIM(B1629)=TRIM(Enginuity!$A$17),TRIM(C1629)=TRIM(Enginuity!$A$18)),
      TRIM(B1629)=TRIM(Enginuity!$A$17)
    )
  ),
  ROW(),
  ""
)</f>
        <v/>
      </c>
    </row>
    <row r="1630" spans="1:21" x14ac:dyDescent="0.25">
      <c r="A1630" s="10" t="s">
        <v>768</v>
      </c>
      <c r="B1630" s="229"/>
      <c r="C1630" s="10"/>
      <c r="D1630" s="14"/>
      <c r="E1630" s="157"/>
      <c r="F1630" s="10"/>
      <c r="G1630" s="17"/>
      <c r="H1630" s="10"/>
      <c r="I1630" s="17"/>
      <c r="J1630" s="83"/>
      <c r="K1630" s="343"/>
      <c r="L1630" s="347"/>
      <c r="M1630" s="10" t="s">
        <v>117</v>
      </c>
      <c r="N1630" s="10" t="s">
        <v>112</v>
      </c>
      <c r="O1630" s="22">
        <v>12</v>
      </c>
      <c r="P1630" s="14" t="s">
        <v>129</v>
      </c>
      <c r="Q1630" s="83">
        <f>Enginuity!$B$13*
 IF(Enginuity!$B$7&lt;5,2,
 IF(Enginuity!$B$7&lt;6,3,
 IF(Enginuity!$B$7&lt;=7,4,5)))</f>
        <v>35</v>
      </c>
      <c r="U1630" s="104" t="str">
        <f>IF(
  AND(
    TRIM(A1630)=TRIM(Enginuity!$A$1),
    TRIM(B1630)=TRIM(Enginuity!$A$17),
    Q1630&lt;&gt;"",
    Q1630&lt;&gt;0,
    OR(
      TRIM(C1630)=TRIM(Enginuity!$A$18),
      AND(UPPER(TRIM(M1630))="STD", TRIM(B1630)=TRIM(Enginuity!$A$17))
    ),
    OR(
      AND(LEFT(P1630,5)="1-Way", Enginuity!$B$13=1),
      AND(LEFT(P1630,5)="2-Way", OR(Enginuity!$B$13=2, Enginuity!$B$13=4)),
      AND(LEFT(P1630,5)="3-Way", OR(Enginuity!$B$13=3, Enginuity!$B$13=6)),
      AND(P1630="Inner Centre Jamb", OR(Enginuity!$B$13=4, Enginuity!$B$13=6)),
      AND(
        LEFT(P1630,5)&lt;&gt;"1-Way",
        LEFT(P1630,5)&lt;&gt;"2-Way",
        LEFT(P1630,5)&lt;&gt;"3-Way",
        P1630&lt;&gt;"Inner Centre Jamb"
      )
    ),
    IF(OR(Enginuity!$A$1="Frameless Glass",Enginuity!$A$1="Metal Work"),
      AND(TRIM(B1630)=TRIM(Enginuity!$A$17),TRIM(C1630)=TRIM(Enginuity!$A$18)),
      TRIM(B1630)=TRIM(Enginuity!$A$17)
    )
  ),
  ROW(),
  ""
)</f>
        <v/>
      </c>
    </row>
    <row r="1631" spans="1:21" x14ac:dyDescent="0.25">
      <c r="A1631" s="10" t="s">
        <v>768</v>
      </c>
      <c r="B1631" s="229"/>
      <c r="C1631" s="10"/>
      <c r="D1631" s="14"/>
      <c r="E1631" s="157"/>
      <c r="F1631" s="10"/>
      <c r="G1631" s="17"/>
      <c r="H1631" s="10"/>
      <c r="I1631" s="17"/>
      <c r="J1631" s="83"/>
      <c r="K1631" s="343"/>
      <c r="L1631" s="347"/>
      <c r="M1631" s="10" t="s">
        <v>117</v>
      </c>
      <c r="N1631" s="10" t="s">
        <v>112</v>
      </c>
      <c r="O1631" s="22">
        <v>7</v>
      </c>
      <c r="P1631" s="14" t="s">
        <v>128</v>
      </c>
      <c r="Q1631" s="83">
        <f>Enginuity!$B$13*2</f>
        <v>14</v>
      </c>
      <c r="U1631" s="104" t="str">
        <f>IF(
  AND(
    TRIM(A1631)=TRIM(Enginuity!$A$1),
    TRIM(B1631)=TRIM(Enginuity!$A$17),
    Q1631&lt;&gt;"",
    Q1631&lt;&gt;0,
    OR(
      TRIM(C1631)=TRIM(Enginuity!$A$18),
      AND(UPPER(TRIM(M1631))="STD", TRIM(B1631)=TRIM(Enginuity!$A$17))
    ),
    OR(
      AND(LEFT(P1631,5)="1-Way", Enginuity!$B$13=1),
      AND(LEFT(P1631,5)="2-Way", OR(Enginuity!$B$13=2, Enginuity!$B$13=4)),
      AND(LEFT(P1631,5)="3-Way", OR(Enginuity!$B$13=3, Enginuity!$B$13=6)),
      AND(P1631="Inner Centre Jamb", OR(Enginuity!$B$13=4, Enginuity!$B$13=6)),
      AND(
        LEFT(P1631,5)&lt;&gt;"1-Way",
        LEFT(P1631,5)&lt;&gt;"2-Way",
        LEFT(P1631,5)&lt;&gt;"3-Way",
        P1631&lt;&gt;"Inner Centre Jamb"
      )
    ),
    IF(OR(Enginuity!$A$1="Frameless Glass",Enginuity!$A$1="Metal Work"),
      AND(TRIM(B1631)=TRIM(Enginuity!$A$17),TRIM(C1631)=TRIM(Enginuity!$A$18)),
      TRIM(B1631)=TRIM(Enginuity!$A$17)
    )
  ),
  ROW(),
  ""
)</f>
        <v/>
      </c>
    </row>
    <row r="1632" spans="1:21" x14ac:dyDescent="0.25">
      <c r="A1632" s="10" t="s">
        <v>768</v>
      </c>
      <c r="B1632" s="229"/>
      <c r="C1632" s="10"/>
      <c r="D1632" s="14"/>
      <c r="E1632" s="157"/>
      <c r="F1632" s="10"/>
      <c r="G1632" s="17"/>
      <c r="H1632" s="10"/>
      <c r="I1632" s="17"/>
      <c r="J1632" s="83"/>
      <c r="K1632" s="343"/>
      <c r="L1632" s="347"/>
      <c r="M1632" s="10" t="s">
        <v>117</v>
      </c>
      <c r="N1632" s="10" t="s">
        <v>112</v>
      </c>
      <c r="O1632" s="22">
        <v>2</v>
      </c>
      <c r="P1632" s="14" t="s">
        <v>127</v>
      </c>
      <c r="Q1632" s="83">
        <f>Enginuity!$B$13*2</f>
        <v>14</v>
      </c>
      <c r="U1632" s="104" t="str">
        <f>IF(
  AND(
    TRIM(A1632)=TRIM(Enginuity!$A$1),
    TRIM(B1632)=TRIM(Enginuity!$A$17),
    Q1632&lt;&gt;"",
    Q1632&lt;&gt;0,
    OR(
      TRIM(C1632)=TRIM(Enginuity!$A$18),
      AND(UPPER(TRIM(M1632))="STD", TRIM(B1632)=TRIM(Enginuity!$A$17))
    ),
    OR(
      AND(LEFT(P1632,5)="1-Way", Enginuity!$B$13=1),
      AND(LEFT(P1632,5)="2-Way", OR(Enginuity!$B$13=2, Enginuity!$B$13=4)),
      AND(LEFT(P1632,5)="3-Way", OR(Enginuity!$B$13=3, Enginuity!$B$13=6)),
      AND(P1632="Inner Centre Jamb", OR(Enginuity!$B$13=4, Enginuity!$B$13=6)),
      AND(
        LEFT(P1632,5)&lt;&gt;"1-Way",
        LEFT(P1632,5)&lt;&gt;"2-Way",
        LEFT(P1632,5)&lt;&gt;"3-Way",
        P1632&lt;&gt;"Inner Centre Jamb"
      )
    ),
    IF(OR(Enginuity!$A$1="Frameless Glass",Enginuity!$A$1="Metal Work"),
      AND(TRIM(B1632)=TRIM(Enginuity!$A$17),TRIM(C1632)=TRIM(Enginuity!$A$18)),
      TRIM(B1632)=TRIM(Enginuity!$A$17)
    )
  ),
  ROW(),
  ""
)</f>
        <v/>
      </c>
    </row>
    <row r="1633" spans="1:21" x14ac:dyDescent="0.25">
      <c r="A1633" s="10" t="s">
        <v>768</v>
      </c>
      <c r="B1633" s="229"/>
      <c r="C1633" s="10"/>
      <c r="D1633" s="14"/>
      <c r="E1633" s="157"/>
      <c r="F1633" s="10"/>
      <c r="G1633" s="17"/>
      <c r="H1633" s="10"/>
      <c r="I1633" s="17"/>
      <c r="J1633" s="83"/>
      <c r="K1633" s="343"/>
      <c r="L1633" s="347"/>
      <c r="M1633" s="10" t="s">
        <v>117</v>
      </c>
      <c r="N1633" s="10" t="s">
        <v>112</v>
      </c>
      <c r="O1633" s="22">
        <v>1</v>
      </c>
      <c r="P1633" s="21" t="s">
        <v>126</v>
      </c>
      <c r="Q1633" s="83">
        <f>Enginuity!$B$13*1</f>
        <v>7</v>
      </c>
      <c r="U1633" s="104" t="str">
        <f>IF(
  AND(
    TRIM(A1633)=TRIM(Enginuity!$A$1),
    TRIM(B1633)=TRIM(Enginuity!$A$17),
    Q1633&lt;&gt;"",
    Q1633&lt;&gt;0,
    OR(
      TRIM(C1633)=TRIM(Enginuity!$A$18),
      AND(UPPER(TRIM(M1633))="STD", TRIM(B1633)=TRIM(Enginuity!$A$17))
    ),
    OR(
      AND(LEFT(P1633,5)="1-Way", Enginuity!$B$13=1),
      AND(LEFT(P1633,5)="2-Way", OR(Enginuity!$B$13=2, Enginuity!$B$13=4)),
      AND(LEFT(P1633,5)="3-Way", OR(Enginuity!$B$13=3, Enginuity!$B$13=6)),
      AND(P1633="Inner Centre Jamb", OR(Enginuity!$B$13=4, Enginuity!$B$13=6)),
      AND(
        LEFT(P1633,5)&lt;&gt;"1-Way",
        LEFT(P1633,5)&lt;&gt;"2-Way",
        LEFT(P1633,5)&lt;&gt;"3-Way",
        P1633&lt;&gt;"Inner Centre Jamb"
      )
    ),
    IF(OR(Enginuity!$A$1="Frameless Glass",Enginuity!$A$1="Metal Work"),
      AND(TRIM(B1633)=TRIM(Enginuity!$A$17),TRIM(C1633)=TRIM(Enginuity!$A$18)),
      TRIM(B1633)=TRIM(Enginuity!$A$17)
    )
  ),
  ROW(),
  ""
)</f>
        <v/>
      </c>
    </row>
    <row r="1634" spans="1:21" x14ac:dyDescent="0.25">
      <c r="A1634" s="17" t="s">
        <v>768</v>
      </c>
      <c r="B1634" s="230"/>
      <c r="C1634" s="17"/>
      <c r="D1634" s="18"/>
      <c r="E1634" s="238"/>
      <c r="F1634" s="17"/>
      <c r="G1634" s="17"/>
      <c r="H1634" s="17"/>
      <c r="I1634" s="17"/>
      <c r="J1634" s="84"/>
      <c r="K1634" s="343"/>
      <c r="L1634" s="347"/>
      <c r="M1634" s="90"/>
      <c r="N1634" s="17"/>
      <c r="O1634" s="25"/>
      <c r="P1634" s="92"/>
      <c r="Q1634" s="179"/>
      <c r="U1634" s="104" t="str">
        <f>IF(
  AND(
    TRIM(A1634)=TRIM(Enginuity!$A$1),
    TRIM(B1634)=TRIM(Enginuity!$A$17),
    Q1634&lt;&gt;"",
    Q1634&lt;&gt;0,
    OR(
      TRIM(C1634)=TRIM(Enginuity!$A$18),
      AND(UPPER(TRIM(M1634))="STD", TRIM(B1634)=TRIM(Enginuity!$A$17))
    ),
    OR(
      AND(LEFT(P1634,5)="1-Way", Enginuity!$B$13=1),
      AND(LEFT(P1634,5)="2-Way", OR(Enginuity!$B$13=2, Enginuity!$B$13=4)),
      AND(LEFT(P1634,5)="3-Way", OR(Enginuity!$B$13=3, Enginuity!$B$13=6)),
      AND(P1634="Inner Centre Jamb", OR(Enginuity!$B$13=4, Enginuity!$B$13=6)),
      AND(
        LEFT(P1634,5)&lt;&gt;"1-Way",
        LEFT(P1634,5)&lt;&gt;"2-Way",
        LEFT(P1634,5)&lt;&gt;"3-Way",
        P1634&lt;&gt;"Inner Centre Jamb"
      )
    ),
    IF(OR(Enginuity!$A$1="Frameless Glass",Enginuity!$A$1="Metal Work"),
      AND(TRIM(B1634)=TRIM(Enginuity!$A$17),TRIM(C1634)=TRIM(Enginuity!$A$18)),
      TRIM(B1634)=TRIM(Enginuity!$A$17)
    )
  ),
  ROW(),
  ""
)</f>
        <v/>
      </c>
    </row>
    <row r="1635" spans="1:21" x14ac:dyDescent="0.25">
      <c r="A1635" s="10" t="s">
        <v>768</v>
      </c>
      <c r="B1635" s="229" t="str">
        <f>_xlfn.UNICHAR(9940) &amp; " Folding Door Slim Series " &amp; _xlfn.UNICHAR(9940)</f>
        <v>⛔ Folding Door Slim Series ⛔</v>
      </c>
      <c r="C1635" s="10" t="s">
        <v>97</v>
      </c>
      <c r="D1635" s="14" t="str" cm="1">
        <f t="array" ref="D1635:D1639">IFERROR(INDEX(_xlfn._xlws.FILTER(AllMaterialsbak!$BA$2:$BA$30, AllMaterialsbak!$BA$2:$BA$30&lt;&gt;""), _xlfn.SEQUENCE(5)), "")</f>
        <v>Default</v>
      </c>
      <c r="E1635" s="157" t="s">
        <v>257</v>
      </c>
      <c r="F1635" s="10" t="s">
        <v>9</v>
      </c>
      <c r="G1635" s="17"/>
      <c r="H1635" s="10"/>
      <c r="I1635" s="17"/>
      <c r="J1635" s="83"/>
      <c r="K1635" s="344">
        <v>0.47260799999999997</v>
      </c>
      <c r="L1635" s="347">
        <v>762</v>
      </c>
      <c r="M1635" s="89">
        <v>1</v>
      </c>
      <c r="N1635" s="10" t="s">
        <v>103</v>
      </c>
      <c r="O1635" s="22">
        <v>13.04</v>
      </c>
      <c r="P1635" s="86" t="s">
        <v>310</v>
      </c>
      <c r="Q1635" s="98">
        <f>Enginuity!$B$6</f>
        <v>20</v>
      </c>
      <c r="U1635" s="104" t="str">
        <f>IF(
  AND(
    TRIM(A1635)=TRIM(Enginuity!$A$1),
    TRIM(B1635)=TRIM(Enginuity!$A$17),
    Q1635&lt;&gt;"",
    Q1635&lt;&gt;0,
    OR(
      TRIM(C1635)=TRIM(Enginuity!$A$18),
      AND(UPPER(TRIM(M1635))="STD", TRIM(B1635)=TRIM(Enginuity!$A$17))
    ),
    OR(
      AND(LEFT(P1635,5)="1-Way", Enginuity!$B$13=1),
      AND(LEFT(P1635,5)="2-Way", OR(Enginuity!$B$13=2, Enginuity!$B$13=4)),
      AND(LEFT(P1635,5)="3-Way", OR(Enginuity!$B$13=3, Enginuity!$B$13=6)),
      AND(P1635="Inner Centre Jamb", OR(Enginuity!$B$13=4, Enginuity!$B$13=6)),
      AND(
        LEFT(P1635,5)&lt;&gt;"1-Way",
        LEFT(P1635,5)&lt;&gt;"2-Way",
        LEFT(P1635,5)&lt;&gt;"3-Way",
        P1635&lt;&gt;"Inner Centre Jamb"
      )
    ),
    IF(OR(Enginuity!$A$1="Frameless Glass",Enginuity!$A$1="Metal Work"),
      AND(TRIM(B1635)=TRIM(Enginuity!$A$17),TRIM(C1635)=TRIM(Enginuity!$A$18)),
      TRIM(B1635)=TRIM(Enginuity!$A$17)
    )
  ),
  ROW(),
  ""
)</f>
        <v/>
      </c>
    </row>
    <row r="1636" spans="1:21" x14ac:dyDescent="0.25">
      <c r="A1636" s="10"/>
      <c r="B1636" s="229" t="s">
        <v>965</v>
      </c>
      <c r="C1636" s="10" t="s">
        <v>97</v>
      </c>
      <c r="D1636" s="14" t="str">
        <v xml:space="preserve">2" Louver Blade N/A </v>
      </c>
      <c r="E1636" s="157" t="s">
        <v>269</v>
      </c>
      <c r="F1636" s="11"/>
      <c r="G1636" s="17"/>
      <c r="H1636" s="10"/>
      <c r="I1636" s="17"/>
      <c r="J1636" s="83"/>
      <c r="K1636" s="343"/>
      <c r="L1636" s="347"/>
      <c r="M1636" s="89">
        <v>2</v>
      </c>
      <c r="N1636" s="10" t="s">
        <v>103</v>
      </c>
      <c r="O1636" s="22">
        <v>6.84</v>
      </c>
      <c r="P1636" s="86" t="s">
        <v>311</v>
      </c>
      <c r="Q1636" s="98">
        <f>Enginuity!$B$6</f>
        <v>20</v>
      </c>
      <c r="U1636" s="104" t="str">
        <f>IF(
  AND(
    TRIM(A1636)=TRIM(Enginuity!$A$1),
    TRIM(B1636)=TRIM(Enginuity!$A$17),
    Q1636&lt;&gt;"",
    Q1636&lt;&gt;0,
    OR(
      TRIM(C1636)=TRIM(Enginuity!$A$18),
      AND(UPPER(TRIM(M1636))="STD", TRIM(B1636)=TRIM(Enginuity!$A$17))
    ),
    OR(
      AND(LEFT(P1636,5)="1-Way", Enginuity!$B$13=1),
      AND(LEFT(P1636,5)="2-Way", OR(Enginuity!$B$13=2, Enginuity!$B$13=4)),
      AND(LEFT(P1636,5)="3-Way", OR(Enginuity!$B$13=3, Enginuity!$B$13=6)),
      AND(P1636="Inner Centre Jamb", OR(Enginuity!$B$13=4, Enginuity!$B$13=6)),
      AND(
        LEFT(P1636,5)&lt;&gt;"1-Way",
        LEFT(P1636,5)&lt;&gt;"2-Way",
        LEFT(P1636,5)&lt;&gt;"3-Way",
        P1636&lt;&gt;"Inner Centre Jamb"
      )
    ),
    IF(OR(Enginuity!$A$1="Frameless Glass",Enginuity!$A$1="Metal Work"),
      AND(TRIM(B1636)=TRIM(Enginuity!$A$17),TRIM(C1636)=TRIM(Enginuity!$A$18)),
      TRIM(B1636)=TRIM(Enginuity!$A$17)
    )
  ),
  ROW(),
  ""
)</f>
        <v/>
      </c>
    </row>
    <row r="1637" spans="1:21" x14ac:dyDescent="0.25">
      <c r="A1637" s="10"/>
      <c r="B1637" s="229" t="s">
        <v>965</v>
      </c>
      <c r="C1637" s="10" t="s">
        <v>97</v>
      </c>
      <c r="D1637" s="14" t="str">
        <v>2" Louver Blade P/C</v>
      </c>
      <c r="E1637" s="157"/>
      <c r="F1637" s="10"/>
      <c r="G1637" s="17"/>
      <c r="H1637" s="10"/>
      <c r="I1637" s="17"/>
      <c r="J1637" s="83"/>
      <c r="K1637" s="343"/>
      <c r="L1637" s="347"/>
      <c r="M1637" s="89">
        <v>3</v>
      </c>
      <c r="N1637" s="10" t="s">
        <v>103</v>
      </c>
      <c r="O1637" s="22">
        <v>6.93</v>
      </c>
      <c r="P1637" s="14" t="s">
        <v>260</v>
      </c>
      <c r="Q1637" s="83">
        <f>IF(Enginuity!$B$7&gt;0, 2 * Enginuity!$B$7, "")</f>
        <v>26</v>
      </c>
      <c r="U1637" s="104" t="str">
        <f>IF(
  AND(
    TRIM(A1637)=TRIM(Enginuity!$A$1),
    TRIM(B1637)=TRIM(Enginuity!$A$17),
    Q1637&lt;&gt;"",
    Q1637&lt;&gt;0,
    OR(
      TRIM(C1637)=TRIM(Enginuity!$A$18),
      AND(UPPER(TRIM(M1637))="STD", TRIM(B1637)=TRIM(Enginuity!$A$17))
    ),
    OR(
      AND(LEFT(P1637,5)="1-Way", Enginuity!$B$13=1),
      AND(LEFT(P1637,5)="2-Way", OR(Enginuity!$B$13=2, Enginuity!$B$13=4)),
      AND(LEFT(P1637,5)="3-Way", OR(Enginuity!$B$13=3, Enginuity!$B$13=6)),
      AND(P1637="Inner Centre Jamb", OR(Enginuity!$B$13=4, Enginuity!$B$13=6)),
      AND(
        LEFT(P1637,5)&lt;&gt;"1-Way",
        LEFT(P1637,5)&lt;&gt;"2-Way",
        LEFT(P1637,5)&lt;&gt;"3-Way",
        P1637&lt;&gt;"Inner Centre Jamb"
      )
    ),
    IF(OR(Enginuity!$A$1="Frameless Glass",Enginuity!$A$1="Metal Work"),
      AND(TRIM(B1637)=TRIM(Enginuity!$A$17),TRIM(C1637)=TRIM(Enginuity!$A$18)),
      TRIM(B1637)=TRIM(Enginuity!$A$17)
    )
  ),
  ROW(),
  ""
)</f>
        <v/>
      </c>
    </row>
    <row r="1638" spans="1:21" x14ac:dyDescent="0.25">
      <c r="A1638" s="10"/>
      <c r="B1638" s="229" t="s">
        <v>965</v>
      </c>
      <c r="C1638" s="10" t="s">
        <v>97</v>
      </c>
      <c r="D1638" s="14" t="str">
        <v xml:space="preserve">5" Louver Blade N/A </v>
      </c>
      <c r="E1638" s="157"/>
      <c r="F1638" s="10"/>
      <c r="G1638" s="17"/>
      <c r="H1638" s="10"/>
      <c r="I1638" s="17"/>
      <c r="J1638" s="83"/>
      <c r="K1638" s="343"/>
      <c r="L1638" s="347"/>
      <c r="M1638" s="89">
        <v>4</v>
      </c>
      <c r="N1638" s="10" t="s">
        <v>103</v>
      </c>
      <c r="O1638" s="22">
        <v>9.9</v>
      </c>
      <c r="P1638" s="86" t="str">
        <f>$P$3</f>
        <v>Inner Frame</v>
      </c>
      <c r="Q1638" s="83">
        <f>$Q$3</f>
        <v>222</v>
      </c>
      <c r="U1638" s="104" t="str">
        <f>IF(
  AND(
    TRIM(A1638)=TRIM(Enginuity!$A$1),
    TRIM(B1638)=TRIM(Enginuity!$A$17),
    Q1638&lt;&gt;"",
    Q1638&lt;&gt;0,
    OR(
      TRIM(C1638)=TRIM(Enginuity!$A$18),
      AND(UPPER(TRIM(M1638))="STD", TRIM(B1638)=TRIM(Enginuity!$A$17))
    ),
    OR(
      AND(LEFT(P1638,5)="1-Way", Enginuity!$B$13=1),
      AND(LEFT(P1638,5)="2-Way", OR(Enginuity!$B$13=2, Enginuity!$B$13=4)),
      AND(LEFT(P1638,5)="3-Way", OR(Enginuity!$B$13=3, Enginuity!$B$13=6)),
      AND(P1638="Inner Centre Jamb", OR(Enginuity!$B$13=4, Enginuity!$B$13=6)),
      AND(
        LEFT(P1638,5)&lt;&gt;"1-Way",
        LEFT(P1638,5)&lt;&gt;"2-Way",
        LEFT(P1638,5)&lt;&gt;"3-Way",
        P1638&lt;&gt;"Inner Centre Jamb"
      )
    ),
    IF(OR(Enginuity!$A$1="Frameless Glass",Enginuity!$A$1="Metal Work"),
      AND(TRIM(B1638)=TRIM(Enginuity!$A$17),TRIM(C1638)=TRIM(Enginuity!$A$18)),
      TRIM(B1638)=TRIM(Enginuity!$A$17)
    )
  ),
  ROW(),
  ""
)</f>
        <v/>
      </c>
    </row>
    <row r="1639" spans="1:21" x14ac:dyDescent="0.25">
      <c r="A1639" s="10"/>
      <c r="B1639" s="229" t="s">
        <v>965</v>
      </c>
      <c r="C1639" s="10" t="s">
        <v>97</v>
      </c>
      <c r="D1639" s="14" t="str">
        <v>5" Louver Blade P/C</v>
      </c>
      <c r="E1639" s="157"/>
      <c r="F1639" s="10"/>
      <c r="G1639" s="17"/>
      <c r="H1639" s="10"/>
      <c r="I1639" s="17"/>
      <c r="J1639" s="83"/>
      <c r="K1639" s="343"/>
      <c r="L1639" s="347"/>
      <c r="M1639" s="89">
        <v>5</v>
      </c>
      <c r="N1639" s="10" t="s">
        <v>103</v>
      </c>
      <c r="O1639" s="22">
        <v>2.86</v>
      </c>
      <c r="P1639" s="14" t="s">
        <v>312</v>
      </c>
      <c r="Q1639" s="83">
        <f>IF(Enginuity!$B$7&gt;0, 2 * Enginuity!$B$7, "")</f>
        <v>26</v>
      </c>
      <c r="U1639" s="104" t="str">
        <f>IF(
  AND(
    TRIM(A1639)=TRIM(Enginuity!$A$1),
    TRIM(B1639)=TRIM(Enginuity!$A$17),
    Q1639&lt;&gt;"",
    Q1639&lt;&gt;0,
    OR(
      TRIM(C1639)=TRIM(Enginuity!$A$18),
      AND(UPPER(TRIM(M1639))="STD", TRIM(B1639)=TRIM(Enginuity!$A$17))
    ),
    OR(
      AND(LEFT(P1639,5)="1-Way", Enginuity!$B$13=1),
      AND(LEFT(P1639,5)="2-Way", OR(Enginuity!$B$13=2, Enginuity!$B$13=4)),
      AND(LEFT(P1639,5)="3-Way", OR(Enginuity!$B$13=3, Enginuity!$B$13=6)),
      AND(P1639="Inner Centre Jamb", OR(Enginuity!$B$13=4, Enginuity!$B$13=6)),
      AND(
        LEFT(P1639,5)&lt;&gt;"1-Way",
        LEFT(P1639,5)&lt;&gt;"2-Way",
        LEFT(P1639,5)&lt;&gt;"3-Way",
        P1639&lt;&gt;"Inner Centre Jamb"
      )
    ),
    IF(OR(Enginuity!$A$1="Frameless Glass",Enginuity!$A$1="Metal Work"),
      AND(TRIM(B1639)=TRIM(Enginuity!$A$17),TRIM(C1639)=TRIM(Enginuity!$A$18)),
      TRIM(B1639)=TRIM(Enginuity!$A$17)
    )
  ),
  ROW(),
  ""
)</f>
        <v/>
      </c>
    </row>
    <row r="1640" spans="1:21" x14ac:dyDescent="0.25">
      <c r="A1640" s="10"/>
      <c r="B1640" s="229" t="s">
        <v>965</v>
      </c>
      <c r="C1640" s="10" t="s">
        <v>97</v>
      </c>
      <c r="D1640" s="14"/>
      <c r="E1640" s="157"/>
      <c r="F1640" s="10"/>
      <c r="G1640" s="17"/>
      <c r="H1640" s="10"/>
      <c r="I1640" s="17"/>
      <c r="J1640" s="83"/>
      <c r="K1640" s="343"/>
      <c r="L1640" s="347"/>
      <c r="M1640" s="89">
        <v>6</v>
      </c>
      <c r="N1640" s="10" t="s">
        <v>103</v>
      </c>
      <c r="O1640" s="22">
        <v>1.1100000000000001</v>
      </c>
      <c r="P1640" s="14" t="s">
        <v>309</v>
      </c>
      <c r="Q1640" s="83">
        <f>Enginuity!$B$7*Enginuity!$B$13</f>
        <v>91</v>
      </c>
      <c r="U1640" s="104" t="str">
        <f>IF(
  AND(
    TRIM(A1640)=TRIM(Enginuity!$A$1),
    TRIM(B1640)=TRIM(Enginuity!$A$17),
    Q1640&lt;&gt;"",
    Q1640&lt;&gt;0,
    OR(
      TRIM(C1640)=TRIM(Enginuity!$A$18),
      AND(UPPER(TRIM(M1640))="STD", TRIM(B1640)=TRIM(Enginuity!$A$17))
    ),
    OR(
      AND(LEFT(P1640,5)="1-Way", Enginuity!$B$13=1),
      AND(LEFT(P1640,5)="2-Way", OR(Enginuity!$B$13=2, Enginuity!$B$13=4)),
      AND(LEFT(P1640,5)="3-Way", OR(Enginuity!$B$13=3, Enginuity!$B$13=6)),
      AND(P1640="Inner Centre Jamb", OR(Enginuity!$B$13=4, Enginuity!$B$13=6)),
      AND(
        LEFT(P1640,5)&lt;&gt;"1-Way",
        LEFT(P1640,5)&lt;&gt;"2-Way",
        LEFT(P1640,5)&lt;&gt;"3-Way",
        P1640&lt;&gt;"Inner Centre Jamb"
      )
    ),
    IF(OR(Enginuity!$A$1="Frameless Glass",Enginuity!$A$1="Metal Work"),
      AND(TRIM(B1640)=TRIM(Enginuity!$A$17),TRIM(C1640)=TRIM(Enginuity!$A$18)),
      TRIM(B1640)=TRIM(Enginuity!$A$17)
    )
  ),
  ROW(),
  ""
)</f>
        <v/>
      </c>
    </row>
    <row r="1641" spans="1:21" x14ac:dyDescent="0.25">
      <c r="A1641" s="10"/>
      <c r="B1641" s="229" t="s">
        <v>965</v>
      </c>
      <c r="C1641" s="10" t="s">
        <v>97</v>
      </c>
      <c r="D1641" s="14"/>
      <c r="E1641" s="157"/>
      <c r="F1641" s="10"/>
      <c r="G1641" s="17"/>
      <c r="H1641" s="10"/>
      <c r="I1641" s="17"/>
      <c r="J1641" s="83"/>
      <c r="K1641" s="343"/>
      <c r="L1641" s="347"/>
      <c r="M1641" s="89">
        <v>7</v>
      </c>
      <c r="N1641" s="10" t="s">
        <v>176</v>
      </c>
      <c r="O1641" s="22" t="str">
        <f>IF(Enginuity!$A$20="", "",
 IF(Enginuity!$A$20="Lattice Design", $F$9,
 IF(Enginuity!$A$20="Lattice Design 12 Box / Panel", $F$10,
 ""))
)</f>
        <v/>
      </c>
      <c r="P1641" s="5" t="str">
        <f>Enginuity!$A$20</f>
        <v>Z-Louvre Blade - 5"</v>
      </c>
      <c r="Q1641" s="22" t="str">
        <f>IF(O1641&lt;&gt;"",1,"")</f>
        <v/>
      </c>
      <c r="U1641" s="104" t="str">
        <f>IF(
  AND(
    TRIM(A1641)=TRIM(Enginuity!$A$1),
    TRIM(B1641)=TRIM(Enginuity!$A$17),
    Q1641&lt;&gt;"",
    Q1641&lt;&gt;0,
    OR(
      TRIM(C1641)=TRIM(Enginuity!$A$18),
      AND(UPPER(TRIM(M1641))="STD", TRIM(B1641)=TRIM(Enginuity!$A$17))
    ),
    OR(
      AND(LEFT(P1641,5)="1-Way", Enginuity!$B$13=1),
      AND(LEFT(P1641,5)="2-Way", OR(Enginuity!$B$13=2, Enginuity!$B$13=4)),
      AND(LEFT(P1641,5)="3-Way", OR(Enginuity!$B$13=3, Enginuity!$B$13=6)),
      AND(P1641="Inner Centre Jamb", OR(Enginuity!$B$13=4, Enginuity!$B$13=6)),
      AND(
        LEFT(P1641,5)&lt;&gt;"1-Way",
        LEFT(P1641,5)&lt;&gt;"2-Way",
        LEFT(P1641,5)&lt;&gt;"3-Way",
        P1641&lt;&gt;"Inner Centre Jamb"
      )
    ),
    IF(OR(Enginuity!$A$1="Frameless Glass",Enginuity!$A$1="Metal Work"),
      AND(TRIM(B1641)=TRIM(Enginuity!$A$17),TRIM(C1641)=TRIM(Enginuity!$A$18)),
      TRIM(B1641)=TRIM(Enginuity!$A$17)
    )
  ),
  ROW(),
  ""
)</f>
        <v/>
      </c>
    </row>
    <row r="1642" spans="1:21" x14ac:dyDescent="0.25">
      <c r="A1642" s="10"/>
      <c r="B1642" s="229" t="s">
        <v>965</v>
      </c>
      <c r="C1642" s="10" t="s">
        <v>97</v>
      </c>
      <c r="D1642" s="14"/>
      <c r="E1642" s="157"/>
      <c r="F1642" s="10"/>
      <c r="G1642" s="17"/>
      <c r="H1642" s="10"/>
      <c r="I1642" s="17"/>
      <c r="J1642" s="83"/>
      <c r="K1642" s="343"/>
      <c r="L1642" s="347"/>
      <c r="M1642" s="89">
        <v>8</v>
      </c>
      <c r="N1642" s="10" t="s">
        <v>176</v>
      </c>
      <c r="O1642" s="22" t="str">
        <f>IF(Enginuity!$A$21="12""H Top Hung Standard Casement Profile", $F$11,
IF(Enginuity!$A$21="12""H Top / Bottom Fix Standard Casement Profile", $F$12,
""))</f>
        <v/>
      </c>
      <c r="P1642" s="106"/>
      <c r="Q1642" s="22" t="str">
        <f>IF(O1642&lt;&gt;"",1,"")</f>
        <v/>
      </c>
      <c r="U1642" s="104" t="str">
        <f>IF(
  AND(
    TRIM(A1642)=TRIM(Enginuity!$A$1),
    TRIM(B1642)=TRIM(Enginuity!$A$17),
    Q1642&lt;&gt;"",
    Q1642&lt;&gt;0,
    OR(
      TRIM(C1642)=TRIM(Enginuity!$A$18),
      AND(UPPER(TRIM(M1642))="STD", TRIM(B1642)=TRIM(Enginuity!$A$17))
    ),
    OR(
      AND(LEFT(P1642,5)="1-Way", Enginuity!$B$13=1),
      AND(LEFT(P1642,5)="2-Way", OR(Enginuity!$B$13=2, Enginuity!$B$13=4)),
      AND(LEFT(P1642,5)="3-Way", OR(Enginuity!$B$13=3, Enginuity!$B$13=6)),
      AND(P1642="Inner Centre Jamb", OR(Enginuity!$B$13=4, Enginuity!$B$13=6)),
      AND(
        LEFT(P1642,5)&lt;&gt;"1-Way",
        LEFT(P1642,5)&lt;&gt;"2-Way",
        LEFT(P1642,5)&lt;&gt;"3-Way",
        P1642&lt;&gt;"Inner Centre Jamb"
      )
    ),
    IF(OR(Enginuity!$A$1="Frameless Glass",Enginuity!$A$1="Metal Work"),
      AND(TRIM(B1642)=TRIM(Enginuity!$A$17),TRIM(C1642)=TRIM(Enginuity!$A$18)),
      TRIM(B1642)=TRIM(Enginuity!$A$17)
    )
  ),
  ROW(),
  ""
)</f>
        <v/>
      </c>
    </row>
    <row r="1643" spans="1:21" x14ac:dyDescent="0.25">
      <c r="A1643" s="10"/>
      <c r="B1643" s="229" t="s">
        <v>965</v>
      </c>
      <c r="C1643" s="10" t="s">
        <v>97</v>
      </c>
      <c r="D1643" s="14"/>
      <c r="E1643" s="157"/>
      <c r="F1643" s="10"/>
      <c r="G1643" s="17"/>
      <c r="H1643" s="10"/>
      <c r="I1643" s="17"/>
      <c r="J1643" s="83"/>
      <c r="K1643" s="343"/>
      <c r="L1643" s="347"/>
      <c r="M1643" s="89">
        <v>9</v>
      </c>
      <c r="N1643" s="10" t="s">
        <v>176</v>
      </c>
      <c r="O1643" s="22" t="str">
        <f>IF(Enginuity!$A$21="Subframe 1"" X 2""", $J$2, "")</f>
        <v/>
      </c>
      <c r="P1643" s="106" t="str">
        <f>Enginuity!$A$21</f>
        <v>SF 4"</v>
      </c>
      <c r="Q1643" s="22" t="str">
        <f>IF(O1643&lt;&gt;"",1,"")</f>
        <v/>
      </c>
      <c r="U1643" s="104" t="str">
        <f>IF(
  AND(
    TRIM(A1643)=TRIM(Enginuity!$A$1),
    TRIM(B1643)=TRIM(Enginuity!$A$17),
    Q1643&lt;&gt;"",
    Q1643&lt;&gt;0,
    OR(
      TRIM(C1643)=TRIM(Enginuity!$A$18),
      AND(UPPER(TRIM(M1643))="STD", TRIM(B1643)=TRIM(Enginuity!$A$17))
    ),
    OR(
      AND(LEFT(P1643,5)="1-Way", Enginuity!$B$13=1),
      AND(LEFT(P1643,5)="2-Way", OR(Enginuity!$B$13=2, Enginuity!$B$13=4)),
      AND(LEFT(P1643,5)="3-Way", OR(Enginuity!$B$13=3, Enginuity!$B$13=6)),
      AND(P1643="Inner Centre Jamb", OR(Enginuity!$B$13=4, Enginuity!$B$13=6)),
      AND(
        LEFT(P1643,5)&lt;&gt;"1-Way",
        LEFT(P1643,5)&lt;&gt;"2-Way",
        LEFT(P1643,5)&lt;&gt;"3-Way",
        P1643&lt;&gt;"Inner Centre Jamb"
      )
    ),
    IF(OR(Enginuity!$A$1="Frameless Glass",Enginuity!$A$1="Metal Work"),
      AND(TRIM(B1643)=TRIM(Enginuity!$A$17),TRIM(C1643)=TRIM(Enginuity!$A$18)),
      TRIM(B1643)=TRIM(Enginuity!$A$17)
    )
  ),
  ROW(),
  ""
)</f>
        <v/>
      </c>
    </row>
    <row r="1644" spans="1:21" x14ac:dyDescent="0.25">
      <c r="A1644" s="10"/>
      <c r="B1644" s="229" t="s">
        <v>965</v>
      </c>
      <c r="C1644" s="10" t="s">
        <v>97</v>
      </c>
      <c r="D1644" s="14"/>
      <c r="E1644" s="157"/>
      <c r="F1644" s="10"/>
      <c r="G1644" s="17"/>
      <c r="H1644" s="10"/>
      <c r="I1644" s="17"/>
      <c r="J1644" s="83"/>
      <c r="K1644" s="343"/>
      <c r="L1644" s="347"/>
      <c r="M1644" s="89">
        <v>10</v>
      </c>
      <c r="N1644" s="10"/>
      <c r="O1644" s="22"/>
      <c r="P1644" s="14"/>
      <c r="Q1644" s="83"/>
      <c r="U1644" s="104" t="str">
        <f>IF(
  AND(
    TRIM(A1644)=TRIM(Enginuity!$A$1),
    TRIM(B1644)=TRIM(Enginuity!$A$17),
    Q1644&lt;&gt;"",
    Q1644&lt;&gt;0,
    OR(
      TRIM(C1644)=TRIM(Enginuity!$A$18),
      AND(UPPER(TRIM(M1644))="STD", TRIM(B1644)=TRIM(Enginuity!$A$17))
    ),
    OR(
      AND(LEFT(P1644,5)="1-Way", Enginuity!$B$13=1),
      AND(LEFT(P1644,5)="2-Way", OR(Enginuity!$B$13=2, Enginuity!$B$13=4)),
      AND(LEFT(P1644,5)="3-Way", OR(Enginuity!$B$13=3, Enginuity!$B$13=6)),
      AND(P1644="Inner Centre Jamb", OR(Enginuity!$B$13=4, Enginuity!$B$13=6)),
      AND(
        LEFT(P1644,5)&lt;&gt;"1-Way",
        LEFT(P1644,5)&lt;&gt;"2-Way",
        LEFT(P1644,5)&lt;&gt;"3-Way",
        P1644&lt;&gt;"Inner Centre Jamb"
      )
    ),
    IF(OR(Enginuity!$A$1="Frameless Glass",Enginuity!$A$1="Metal Work"),
      AND(TRIM(B1644)=TRIM(Enginuity!$A$17),TRIM(C1644)=TRIM(Enginuity!$A$18)),
      TRIM(B1644)=TRIM(Enginuity!$A$17)
    )
  ),
  ROW(),
  ""
)</f>
        <v/>
      </c>
    </row>
    <row r="1645" spans="1:21" x14ac:dyDescent="0.25">
      <c r="A1645" s="10"/>
      <c r="B1645" s="229" t="s">
        <v>965</v>
      </c>
      <c r="C1645" s="10" t="s">
        <v>97</v>
      </c>
      <c r="D1645" s="14"/>
      <c r="E1645" s="157"/>
      <c r="F1645" s="10"/>
      <c r="G1645" s="17"/>
      <c r="H1645" s="10"/>
      <c r="I1645" s="17"/>
      <c r="J1645" s="83"/>
      <c r="K1645" s="343"/>
      <c r="L1645" s="347"/>
      <c r="M1645" s="89">
        <v>11</v>
      </c>
      <c r="N1645" s="10"/>
      <c r="O1645" s="22"/>
      <c r="P1645" s="14"/>
      <c r="Q1645" s="83"/>
      <c r="U1645" s="104" t="str">
        <f>IF(
  AND(
    TRIM(A1645)=TRIM(Enginuity!$A$1),
    TRIM(B1645)=TRIM(Enginuity!$A$17),
    Q1645&lt;&gt;"",
    Q1645&lt;&gt;0,
    OR(
      TRIM(C1645)=TRIM(Enginuity!$A$18),
      AND(UPPER(TRIM(M1645))="STD", TRIM(B1645)=TRIM(Enginuity!$A$17))
    ),
    OR(
      AND(LEFT(P1645,5)="1-Way", Enginuity!$B$13=1),
      AND(LEFT(P1645,5)="2-Way", OR(Enginuity!$B$13=2, Enginuity!$B$13=4)),
      AND(LEFT(P1645,5)="3-Way", OR(Enginuity!$B$13=3, Enginuity!$B$13=6)),
      AND(P1645="Inner Centre Jamb", OR(Enginuity!$B$13=4, Enginuity!$B$13=6)),
      AND(
        LEFT(P1645,5)&lt;&gt;"1-Way",
        LEFT(P1645,5)&lt;&gt;"2-Way",
        LEFT(P1645,5)&lt;&gt;"3-Way",
        P1645&lt;&gt;"Inner Centre Jamb"
      )
    ),
    IF(OR(Enginuity!$A$1="Frameless Glass",Enginuity!$A$1="Metal Work"),
      AND(TRIM(B1645)=TRIM(Enginuity!$A$17),TRIM(C1645)=TRIM(Enginuity!$A$18)),
      TRIM(B1645)=TRIM(Enginuity!$A$17)
    )
  ),
  ROW(),
  ""
)</f>
        <v/>
      </c>
    </row>
    <row r="1646" spans="1:21" x14ac:dyDescent="0.25">
      <c r="A1646" s="10"/>
      <c r="B1646" s="229" t="s">
        <v>965</v>
      </c>
      <c r="C1646" s="10" t="s">
        <v>97</v>
      </c>
      <c r="D1646" s="14"/>
      <c r="E1646" s="157"/>
      <c r="F1646" s="10"/>
      <c r="G1646" s="17"/>
      <c r="H1646" s="10"/>
      <c r="I1646" s="17"/>
      <c r="J1646" s="83"/>
      <c r="K1646" s="343"/>
      <c r="L1646" s="347"/>
      <c r="M1646" s="89">
        <v>12</v>
      </c>
      <c r="N1646" s="10"/>
      <c r="O1646" s="22"/>
      <c r="P1646" s="14"/>
      <c r="Q1646" s="83"/>
      <c r="U1646" s="104" t="str">
        <f>IF(
  AND(
    TRIM(A1646)=TRIM(Enginuity!$A$1),
    TRIM(B1646)=TRIM(Enginuity!$A$17),
    Q1646&lt;&gt;"",
    Q1646&lt;&gt;0,
    OR(
      TRIM(C1646)=TRIM(Enginuity!$A$18),
      AND(UPPER(TRIM(M1646))="STD", TRIM(B1646)=TRIM(Enginuity!$A$17))
    ),
    OR(
      AND(LEFT(P1646,5)="1-Way", Enginuity!$B$13=1),
      AND(LEFT(P1646,5)="2-Way", OR(Enginuity!$B$13=2, Enginuity!$B$13=4)),
      AND(LEFT(P1646,5)="3-Way", OR(Enginuity!$B$13=3, Enginuity!$B$13=6)),
      AND(P1646="Inner Centre Jamb", OR(Enginuity!$B$13=4, Enginuity!$B$13=6)),
      AND(
        LEFT(P1646,5)&lt;&gt;"1-Way",
        LEFT(P1646,5)&lt;&gt;"2-Way",
        LEFT(P1646,5)&lt;&gt;"3-Way",
        P1646&lt;&gt;"Inner Centre Jamb"
      )
    ),
    IF(OR(Enginuity!$A$1="Frameless Glass",Enginuity!$A$1="Metal Work"),
      AND(TRIM(B1646)=TRIM(Enginuity!$A$17),TRIM(C1646)=TRIM(Enginuity!$A$18)),
      TRIM(B1646)=TRIM(Enginuity!$A$17)
    )
  ),
  ROW(),
  ""
)</f>
        <v/>
      </c>
    </row>
    <row r="1647" spans="1:21" x14ac:dyDescent="0.25">
      <c r="A1647" s="10"/>
      <c r="B1647" s="229" t="s">
        <v>965</v>
      </c>
      <c r="C1647" s="10" t="s">
        <v>97</v>
      </c>
      <c r="D1647" s="14"/>
      <c r="E1647" s="157"/>
      <c r="F1647" s="10"/>
      <c r="G1647" s="17"/>
      <c r="H1647" s="10"/>
      <c r="I1647" s="17"/>
      <c r="J1647" s="83"/>
      <c r="K1647" s="343"/>
      <c r="L1647" s="347"/>
      <c r="M1647" s="89">
        <v>13</v>
      </c>
      <c r="N1647" s="10"/>
      <c r="O1647" s="22"/>
      <c r="P1647" s="14"/>
      <c r="Q1647" s="83"/>
      <c r="U1647" s="104" t="str">
        <f>IF(
  AND(
    TRIM(A1647)=TRIM(Enginuity!$A$1),
    TRIM(B1647)=TRIM(Enginuity!$A$17),
    Q1647&lt;&gt;"",
    Q1647&lt;&gt;0,
    OR(
      TRIM(C1647)=TRIM(Enginuity!$A$18),
      AND(UPPER(TRIM(M1647))="STD", TRIM(B1647)=TRIM(Enginuity!$A$17))
    ),
    OR(
      AND(LEFT(P1647,5)="1-Way", Enginuity!$B$13=1),
      AND(LEFT(P1647,5)="2-Way", OR(Enginuity!$B$13=2, Enginuity!$B$13=4)),
      AND(LEFT(P1647,5)="3-Way", OR(Enginuity!$B$13=3, Enginuity!$B$13=6)),
      AND(P1647="Inner Centre Jamb", OR(Enginuity!$B$13=4, Enginuity!$B$13=6)),
      AND(
        LEFT(P1647,5)&lt;&gt;"1-Way",
        LEFT(P1647,5)&lt;&gt;"2-Way",
        LEFT(P1647,5)&lt;&gt;"3-Way",
        P1647&lt;&gt;"Inner Centre Jamb"
      )
    ),
    IF(OR(Enginuity!$A$1="Frameless Glass",Enginuity!$A$1="Metal Work"),
      AND(TRIM(B1647)=TRIM(Enginuity!$A$17),TRIM(C1647)=TRIM(Enginuity!$A$18)),
      TRIM(B1647)=TRIM(Enginuity!$A$17)
    )
  ),
  ROW(),
  ""
)</f>
        <v/>
      </c>
    </row>
    <row r="1648" spans="1:21" x14ac:dyDescent="0.25">
      <c r="A1648" s="10"/>
      <c r="B1648" s="229" t="s">
        <v>965</v>
      </c>
      <c r="C1648" s="10" t="s">
        <v>97</v>
      </c>
      <c r="D1648" s="14"/>
      <c r="E1648" s="157"/>
      <c r="F1648" s="10"/>
      <c r="G1648" s="17"/>
      <c r="H1648" s="10"/>
      <c r="I1648" s="17"/>
      <c r="J1648" s="83"/>
      <c r="K1648" s="343"/>
      <c r="L1648" s="347"/>
      <c r="M1648" s="89">
        <v>14</v>
      </c>
      <c r="N1648" s="10"/>
      <c r="O1648" s="22"/>
      <c r="P1648" s="14"/>
      <c r="Q1648" s="83"/>
      <c r="U1648" s="104" t="str">
        <f>IF(
  AND(
    TRIM(A1648)=TRIM(Enginuity!$A$1),
    TRIM(B1648)=TRIM(Enginuity!$A$17),
    Q1648&lt;&gt;"",
    Q1648&lt;&gt;0,
    OR(
      TRIM(C1648)=TRIM(Enginuity!$A$18),
      AND(UPPER(TRIM(M1648))="STD", TRIM(B1648)=TRIM(Enginuity!$A$17))
    ),
    OR(
      AND(LEFT(P1648,5)="1-Way", Enginuity!$B$13=1),
      AND(LEFT(P1648,5)="2-Way", OR(Enginuity!$B$13=2, Enginuity!$B$13=4)),
      AND(LEFT(P1648,5)="3-Way", OR(Enginuity!$B$13=3, Enginuity!$B$13=6)),
      AND(P1648="Inner Centre Jamb", OR(Enginuity!$B$13=4, Enginuity!$B$13=6)),
      AND(
        LEFT(P1648,5)&lt;&gt;"1-Way",
        LEFT(P1648,5)&lt;&gt;"2-Way",
        LEFT(P1648,5)&lt;&gt;"3-Way",
        P1648&lt;&gt;"Inner Centre Jamb"
      )
    ),
    IF(OR(Enginuity!$A$1="Frameless Glass",Enginuity!$A$1="Metal Work"),
      AND(TRIM(B1648)=TRIM(Enginuity!$A$17),TRIM(C1648)=TRIM(Enginuity!$A$18)),
      TRIM(B1648)=TRIM(Enginuity!$A$17)
    )
  ),
  ROW(),
  ""
)</f>
        <v/>
      </c>
    </row>
    <row r="1649" spans="1:21" x14ac:dyDescent="0.25">
      <c r="A1649" s="10"/>
      <c r="B1649" s="229" t="s">
        <v>965</v>
      </c>
      <c r="C1649" s="10" t="s">
        <v>97</v>
      </c>
      <c r="D1649" s="14"/>
      <c r="E1649" s="157"/>
      <c r="F1649" s="10"/>
      <c r="G1649" s="17"/>
      <c r="H1649" s="10"/>
      <c r="I1649" s="17"/>
      <c r="J1649" s="83"/>
      <c r="K1649" s="343"/>
      <c r="L1649" s="347"/>
      <c r="M1649" s="89">
        <v>15</v>
      </c>
      <c r="N1649" s="10"/>
      <c r="O1649" s="22"/>
      <c r="P1649" s="14"/>
      <c r="Q1649" s="83"/>
      <c r="U1649" s="104" t="str">
        <f>IF(
  AND(
    TRIM(A1649)=TRIM(Enginuity!$A$1),
    TRIM(B1649)=TRIM(Enginuity!$A$17),
    Q1649&lt;&gt;"",
    Q1649&lt;&gt;0,
    OR(
      TRIM(C1649)=TRIM(Enginuity!$A$18),
      AND(UPPER(TRIM(M1649))="STD", TRIM(B1649)=TRIM(Enginuity!$A$17))
    ),
    OR(
      AND(LEFT(P1649,5)="1-Way", Enginuity!$B$13=1),
      AND(LEFT(P1649,5)="2-Way", OR(Enginuity!$B$13=2, Enginuity!$B$13=4)),
      AND(LEFT(P1649,5)="3-Way", OR(Enginuity!$B$13=3, Enginuity!$B$13=6)),
      AND(P1649="Inner Centre Jamb", OR(Enginuity!$B$13=4, Enginuity!$B$13=6)),
      AND(
        LEFT(P1649,5)&lt;&gt;"1-Way",
        LEFT(P1649,5)&lt;&gt;"2-Way",
        LEFT(P1649,5)&lt;&gt;"3-Way",
        P1649&lt;&gt;"Inner Centre Jamb"
      )
    ),
    IF(OR(Enginuity!$A$1="Frameless Glass",Enginuity!$A$1="Metal Work"),
      AND(TRIM(B1649)=TRIM(Enginuity!$A$17),TRIM(C1649)=TRIM(Enginuity!$A$18)),
      TRIM(B1649)=TRIM(Enginuity!$A$17)
    )
  ),
  ROW(),
  ""
)</f>
        <v/>
      </c>
    </row>
    <row r="1650" spans="1:21" x14ac:dyDescent="0.25">
      <c r="A1650" s="10"/>
      <c r="B1650" s="229" t="s">
        <v>965</v>
      </c>
      <c r="C1650" s="10" t="s">
        <v>97</v>
      </c>
      <c r="D1650" s="14"/>
      <c r="E1650" s="157"/>
      <c r="F1650" s="10"/>
      <c r="G1650" s="17"/>
      <c r="H1650" s="10"/>
      <c r="I1650" s="17"/>
      <c r="J1650" s="83"/>
      <c r="K1650" s="343"/>
      <c r="L1650" s="347"/>
      <c r="M1650" s="89">
        <v>16</v>
      </c>
      <c r="N1650" s="10"/>
      <c r="O1650" s="22"/>
      <c r="P1650" s="14"/>
      <c r="Q1650" s="83"/>
      <c r="U1650" s="104" t="str">
        <f>IF(
  AND(
    TRIM(A1650)=TRIM(Enginuity!$A$1),
    TRIM(B1650)=TRIM(Enginuity!$A$17),
    Q1650&lt;&gt;"",
    Q1650&lt;&gt;0,
    OR(
      TRIM(C1650)=TRIM(Enginuity!$A$18),
      AND(UPPER(TRIM(M1650))="STD", TRIM(B1650)=TRIM(Enginuity!$A$17))
    ),
    OR(
      AND(LEFT(P1650,5)="1-Way", Enginuity!$B$13=1),
      AND(LEFT(P1650,5)="2-Way", OR(Enginuity!$B$13=2, Enginuity!$B$13=4)),
      AND(LEFT(P1650,5)="3-Way", OR(Enginuity!$B$13=3, Enginuity!$B$13=6)),
      AND(P1650="Inner Centre Jamb", OR(Enginuity!$B$13=4, Enginuity!$B$13=6)),
      AND(
        LEFT(P1650,5)&lt;&gt;"1-Way",
        LEFT(P1650,5)&lt;&gt;"2-Way",
        LEFT(P1650,5)&lt;&gt;"3-Way",
        P1650&lt;&gt;"Inner Centre Jamb"
      )
    ),
    IF(OR(Enginuity!$A$1="Frameless Glass",Enginuity!$A$1="Metal Work"),
      AND(TRIM(B1650)=TRIM(Enginuity!$A$17),TRIM(C1650)=TRIM(Enginuity!$A$18)),
      TRIM(B1650)=TRIM(Enginuity!$A$17)
    )
  ),
  ROW(),
  ""
)</f>
        <v/>
      </c>
    </row>
    <row r="1651" spans="1:21" x14ac:dyDescent="0.25">
      <c r="A1651" s="10"/>
      <c r="B1651" s="229" t="s">
        <v>965</v>
      </c>
      <c r="C1651" s="10"/>
      <c r="D1651" s="14"/>
      <c r="E1651" s="157"/>
      <c r="F1651" s="10"/>
      <c r="G1651" s="17"/>
      <c r="H1651" s="10"/>
      <c r="I1651" s="17"/>
      <c r="J1651" s="83"/>
      <c r="K1651" s="343"/>
      <c r="L1651" s="347"/>
      <c r="M1651" s="89">
        <v>17</v>
      </c>
      <c r="N1651" s="10"/>
      <c r="O1651" s="22"/>
      <c r="P1651" s="14"/>
      <c r="Q1651" s="83"/>
      <c r="U1651" s="104" t="str">
        <f>IF(
  AND(
    TRIM(A1651)=TRIM(Enginuity!$A$1),
    TRIM(B1651)=TRIM(Enginuity!$A$17),
    Q1651&lt;&gt;"",
    Q1651&lt;&gt;0,
    OR(
      TRIM(C1651)=TRIM(Enginuity!$A$18),
      AND(UPPER(TRIM(M1651))="STD", TRIM(B1651)=TRIM(Enginuity!$A$17))
    ),
    OR(
      AND(LEFT(P1651,5)="1-Way", Enginuity!$B$13=1),
      AND(LEFT(P1651,5)="2-Way", OR(Enginuity!$B$13=2, Enginuity!$B$13=4)),
      AND(LEFT(P1651,5)="3-Way", OR(Enginuity!$B$13=3, Enginuity!$B$13=6)),
      AND(P1651="Inner Centre Jamb", OR(Enginuity!$B$13=4, Enginuity!$B$13=6)),
      AND(
        LEFT(P1651,5)&lt;&gt;"1-Way",
        LEFT(P1651,5)&lt;&gt;"2-Way",
        LEFT(P1651,5)&lt;&gt;"3-Way",
        P1651&lt;&gt;"Inner Centre Jamb"
      )
    ),
    IF(OR(Enginuity!$A$1="Frameless Glass",Enginuity!$A$1="Metal Work"),
      AND(TRIM(B1651)=TRIM(Enginuity!$A$17),TRIM(C1651)=TRIM(Enginuity!$A$18)),
      TRIM(B1651)=TRIM(Enginuity!$A$17)
    )
  ),
  ROW(),
  ""
)</f>
        <v/>
      </c>
    </row>
    <row r="1652" spans="1:21" x14ac:dyDescent="0.25">
      <c r="A1652" s="10"/>
      <c r="B1652" s="229" t="s">
        <v>965</v>
      </c>
      <c r="C1652" s="10"/>
      <c r="D1652" s="14"/>
      <c r="E1652" s="157"/>
      <c r="F1652" s="10"/>
      <c r="G1652" s="17"/>
      <c r="H1652" s="10"/>
      <c r="I1652" s="17"/>
      <c r="J1652" s="83"/>
      <c r="K1652" s="343"/>
      <c r="L1652" s="347"/>
      <c r="M1652" s="89">
        <v>18</v>
      </c>
      <c r="N1652" s="10"/>
      <c r="O1652" s="22"/>
      <c r="P1652" s="14"/>
      <c r="Q1652" s="83"/>
      <c r="U1652" s="104" t="str">
        <f>IF(
  AND(
    TRIM(A1652)=TRIM(Enginuity!$A$1),
    TRIM(B1652)=TRIM(Enginuity!$A$17),
    Q1652&lt;&gt;"",
    Q1652&lt;&gt;0,
    OR(
      TRIM(C1652)=TRIM(Enginuity!$A$18),
      AND(UPPER(TRIM(M1652))="STD", TRIM(B1652)=TRIM(Enginuity!$A$17))
    ),
    OR(
      AND(LEFT(P1652,5)="1-Way", Enginuity!$B$13=1),
      AND(LEFT(P1652,5)="2-Way", OR(Enginuity!$B$13=2, Enginuity!$B$13=4)),
      AND(LEFT(P1652,5)="3-Way", OR(Enginuity!$B$13=3, Enginuity!$B$13=6)),
      AND(P1652="Inner Centre Jamb", OR(Enginuity!$B$13=4, Enginuity!$B$13=6)),
      AND(
        LEFT(P1652,5)&lt;&gt;"1-Way",
        LEFT(P1652,5)&lt;&gt;"2-Way",
        LEFT(P1652,5)&lt;&gt;"3-Way",
        P1652&lt;&gt;"Inner Centre Jamb"
      )
    ),
    IF(OR(Enginuity!$A$1="Frameless Glass",Enginuity!$A$1="Metal Work"),
      AND(TRIM(B1652)=TRIM(Enginuity!$A$17),TRIM(C1652)=TRIM(Enginuity!$A$18)),
      TRIM(B1652)=TRIM(Enginuity!$A$17)
    )
  ),
  ROW(),
  ""
)</f>
        <v/>
      </c>
    </row>
    <row r="1653" spans="1:21" x14ac:dyDescent="0.25">
      <c r="A1653" s="10"/>
      <c r="B1653" s="229" t="s">
        <v>965</v>
      </c>
      <c r="C1653" s="10"/>
      <c r="D1653" s="14"/>
      <c r="E1653" s="157"/>
      <c r="F1653" s="10"/>
      <c r="G1653" s="17"/>
      <c r="H1653" s="10"/>
      <c r="I1653" s="17"/>
      <c r="J1653" s="83"/>
      <c r="K1653" s="343"/>
      <c r="L1653" s="347"/>
      <c r="M1653" s="89">
        <v>19</v>
      </c>
      <c r="N1653" s="10"/>
      <c r="O1653" s="22"/>
      <c r="P1653" s="14"/>
      <c r="Q1653" s="83"/>
      <c r="U1653" s="104" t="str">
        <f>IF(
  AND(
    TRIM(A1653)=TRIM(Enginuity!$A$1),
    TRIM(B1653)=TRIM(Enginuity!$A$17),
    Q1653&lt;&gt;"",
    Q1653&lt;&gt;0,
    OR(
      TRIM(C1653)=TRIM(Enginuity!$A$18),
      AND(UPPER(TRIM(M1653))="STD", TRIM(B1653)=TRIM(Enginuity!$A$17))
    ),
    OR(
      AND(LEFT(P1653,5)="1-Way", Enginuity!$B$13=1),
      AND(LEFT(P1653,5)="2-Way", OR(Enginuity!$B$13=2, Enginuity!$B$13=4)),
      AND(LEFT(P1653,5)="3-Way", OR(Enginuity!$B$13=3, Enginuity!$B$13=6)),
      AND(P1653="Inner Centre Jamb", OR(Enginuity!$B$13=4, Enginuity!$B$13=6)),
      AND(
        LEFT(P1653,5)&lt;&gt;"1-Way",
        LEFT(P1653,5)&lt;&gt;"2-Way",
        LEFT(P1653,5)&lt;&gt;"3-Way",
        P1653&lt;&gt;"Inner Centre Jamb"
      )
    ),
    IF(OR(Enginuity!$A$1="Frameless Glass",Enginuity!$A$1="Metal Work"),
      AND(TRIM(B1653)=TRIM(Enginuity!$A$17),TRIM(C1653)=TRIM(Enginuity!$A$18)),
      TRIM(B1653)=TRIM(Enginuity!$A$17)
    )
  ),
  ROW(),
  ""
)</f>
        <v/>
      </c>
    </row>
    <row r="1654" spans="1:21" x14ac:dyDescent="0.25">
      <c r="A1654" s="10"/>
      <c r="B1654" s="229" t="s">
        <v>965</v>
      </c>
      <c r="C1654" s="10"/>
      <c r="D1654" s="14"/>
      <c r="E1654" s="157"/>
      <c r="F1654" s="10"/>
      <c r="G1654" s="17"/>
      <c r="H1654" s="10"/>
      <c r="I1654" s="17"/>
      <c r="J1654" s="83"/>
      <c r="K1654" s="343"/>
      <c r="L1654" s="347"/>
      <c r="M1654" s="89">
        <v>20</v>
      </c>
      <c r="N1654" s="14"/>
      <c r="O1654" s="22"/>
      <c r="P1654" s="14"/>
      <c r="Q1654" s="83"/>
      <c r="U1654" s="104" t="str">
        <f>IF(
  AND(
    TRIM(A1654)=TRIM(Enginuity!$A$1),
    TRIM(B1654)=TRIM(Enginuity!$A$17),
    Q1654&lt;&gt;"",
    Q1654&lt;&gt;0,
    OR(
      TRIM(C1654)=TRIM(Enginuity!$A$18),
      AND(UPPER(TRIM(M1654))="STD", TRIM(B1654)=TRIM(Enginuity!$A$17))
    ),
    OR(
      AND(LEFT(P1654,5)="1-Way", Enginuity!$B$13=1),
      AND(LEFT(P1654,5)="2-Way", OR(Enginuity!$B$13=2, Enginuity!$B$13=4)),
      AND(LEFT(P1654,5)="3-Way", OR(Enginuity!$B$13=3, Enginuity!$B$13=6)),
      AND(P1654="Inner Centre Jamb", OR(Enginuity!$B$13=4, Enginuity!$B$13=6)),
      AND(
        LEFT(P1654,5)&lt;&gt;"1-Way",
        LEFT(P1654,5)&lt;&gt;"2-Way",
        LEFT(P1654,5)&lt;&gt;"3-Way",
        P1654&lt;&gt;"Inner Centre Jamb"
      )
    ),
    IF(OR(Enginuity!$A$1="Frameless Glass",Enginuity!$A$1="Metal Work"),
      AND(TRIM(B1654)=TRIM(Enginuity!$A$17),TRIM(C1654)=TRIM(Enginuity!$A$18)),
      TRIM(B1654)=TRIM(Enginuity!$A$17)
    )
  ),
  ROW(),
  ""
)</f>
        <v/>
      </c>
    </row>
    <row r="1655" spans="1:21" x14ac:dyDescent="0.25">
      <c r="A1655" s="10"/>
      <c r="B1655" s="229" t="s">
        <v>965</v>
      </c>
      <c r="C1655" s="10"/>
      <c r="D1655" s="14"/>
      <c r="E1655" s="157"/>
      <c r="F1655" s="10"/>
      <c r="G1655" s="17"/>
      <c r="H1655" s="10"/>
      <c r="I1655" s="17"/>
      <c r="J1655" s="83"/>
      <c r="K1655" s="343"/>
      <c r="L1655" s="347"/>
      <c r="M1655" s="89">
        <v>21</v>
      </c>
      <c r="N1655" s="21"/>
      <c r="O1655" s="22"/>
      <c r="P1655" s="14"/>
      <c r="Q1655" s="83"/>
      <c r="U1655" s="104" t="str">
        <f>IF(
  AND(
    TRIM(A1655)=TRIM(Enginuity!$A$1),
    TRIM(B1655)=TRIM(Enginuity!$A$17),
    Q1655&lt;&gt;"",
    Q1655&lt;&gt;0,
    OR(
      TRIM(C1655)=TRIM(Enginuity!$A$18),
      AND(UPPER(TRIM(M1655))="STD", TRIM(B1655)=TRIM(Enginuity!$A$17))
    ),
    OR(
      AND(LEFT(P1655,5)="1-Way", Enginuity!$B$13=1),
      AND(LEFT(P1655,5)="2-Way", OR(Enginuity!$B$13=2, Enginuity!$B$13=4)),
      AND(LEFT(P1655,5)="3-Way", OR(Enginuity!$B$13=3, Enginuity!$B$13=6)),
      AND(P1655="Inner Centre Jamb", OR(Enginuity!$B$13=4, Enginuity!$B$13=6)),
      AND(
        LEFT(P1655,5)&lt;&gt;"1-Way",
        LEFT(P1655,5)&lt;&gt;"2-Way",
        LEFT(P1655,5)&lt;&gt;"3-Way",
        P1655&lt;&gt;"Inner Centre Jamb"
      )
    ),
    IF(OR(Enginuity!$A$1="Frameless Glass",Enginuity!$A$1="Metal Work"),
      AND(TRIM(B1655)=TRIM(Enginuity!$A$17),TRIM(C1655)=TRIM(Enginuity!$A$18)),
      TRIM(B1655)=TRIM(Enginuity!$A$17)
    )
  ),
  ROW(),
  ""
)</f>
        <v/>
      </c>
    </row>
    <row r="1656" spans="1:21" x14ac:dyDescent="0.25">
      <c r="A1656" s="10"/>
      <c r="B1656" s="229" t="s">
        <v>965</v>
      </c>
      <c r="C1656" s="10"/>
      <c r="D1656" s="14"/>
      <c r="E1656" s="157"/>
      <c r="F1656" s="10"/>
      <c r="G1656" s="17"/>
      <c r="H1656" s="10"/>
      <c r="I1656" s="17"/>
      <c r="J1656" s="83"/>
      <c r="K1656" s="343"/>
      <c r="L1656" s="347"/>
      <c r="M1656" s="89">
        <v>22</v>
      </c>
      <c r="N1656" s="14"/>
      <c r="O1656" s="22"/>
      <c r="P1656" s="14"/>
      <c r="Q1656" s="83"/>
      <c r="U1656" s="104" t="str">
        <f>IF(
  AND(
    TRIM(A1656)=TRIM(Enginuity!$A$1),
    TRIM(B1656)=TRIM(Enginuity!$A$17),
    Q1656&lt;&gt;"",
    Q1656&lt;&gt;0,
    OR(
      TRIM(C1656)=TRIM(Enginuity!$A$18),
      AND(UPPER(TRIM(M1656))="STD", TRIM(B1656)=TRIM(Enginuity!$A$17))
    ),
    OR(
      AND(LEFT(P1656,5)="1-Way", Enginuity!$B$13=1),
      AND(LEFT(P1656,5)="2-Way", OR(Enginuity!$B$13=2, Enginuity!$B$13=4)),
      AND(LEFT(P1656,5)="3-Way", OR(Enginuity!$B$13=3, Enginuity!$B$13=6)),
      AND(P1656="Inner Centre Jamb", OR(Enginuity!$B$13=4, Enginuity!$B$13=6)),
      AND(
        LEFT(P1656,5)&lt;&gt;"1-Way",
        LEFT(P1656,5)&lt;&gt;"2-Way",
        LEFT(P1656,5)&lt;&gt;"3-Way",
        P1656&lt;&gt;"Inner Centre Jamb"
      )
    ),
    IF(OR(Enginuity!$A$1="Frameless Glass",Enginuity!$A$1="Metal Work"),
      AND(TRIM(B1656)=TRIM(Enginuity!$A$17),TRIM(C1656)=TRIM(Enginuity!$A$18)),
      TRIM(B1656)=TRIM(Enginuity!$A$17)
    )
  ),
  ROW(),
  ""
)</f>
        <v/>
      </c>
    </row>
    <row r="1657" spans="1:21" x14ac:dyDescent="0.25">
      <c r="A1657" s="10"/>
      <c r="B1657" s="229" t="s">
        <v>965</v>
      </c>
      <c r="C1657" s="10"/>
      <c r="D1657" s="14"/>
      <c r="E1657" s="157"/>
      <c r="F1657" s="10"/>
      <c r="G1657" s="17"/>
      <c r="H1657" s="10"/>
      <c r="I1657" s="17"/>
      <c r="J1657" s="83"/>
      <c r="K1657" s="343"/>
      <c r="L1657" s="347"/>
      <c r="M1657" s="89">
        <v>23</v>
      </c>
      <c r="N1657" s="14"/>
      <c r="O1657" s="22"/>
      <c r="P1657" s="14"/>
      <c r="Q1657" s="83"/>
      <c r="U1657" s="104" t="str">
        <f>IF(
  AND(
    TRIM(A1657)=TRIM(Enginuity!$A$1),
    TRIM(B1657)=TRIM(Enginuity!$A$17),
    Q1657&lt;&gt;"",
    Q1657&lt;&gt;0,
    OR(
      TRIM(C1657)=TRIM(Enginuity!$A$18),
      AND(UPPER(TRIM(M1657))="STD", TRIM(B1657)=TRIM(Enginuity!$A$17))
    ),
    OR(
      AND(LEFT(P1657,5)="1-Way", Enginuity!$B$13=1),
      AND(LEFT(P1657,5)="2-Way", OR(Enginuity!$B$13=2, Enginuity!$B$13=4)),
      AND(LEFT(P1657,5)="3-Way", OR(Enginuity!$B$13=3, Enginuity!$B$13=6)),
      AND(P1657="Inner Centre Jamb", OR(Enginuity!$B$13=4, Enginuity!$B$13=6)),
      AND(
        LEFT(P1657,5)&lt;&gt;"1-Way",
        LEFT(P1657,5)&lt;&gt;"2-Way",
        LEFT(P1657,5)&lt;&gt;"3-Way",
        P1657&lt;&gt;"Inner Centre Jamb"
      )
    ),
    IF(OR(Enginuity!$A$1="Frameless Glass",Enginuity!$A$1="Metal Work"),
      AND(TRIM(B1657)=TRIM(Enginuity!$A$17),TRIM(C1657)=TRIM(Enginuity!$A$18)),
      TRIM(B1657)=TRIM(Enginuity!$A$17)
    )
  ),
  ROW(),
  ""
)</f>
        <v/>
      </c>
    </row>
    <row r="1658" spans="1:21" x14ac:dyDescent="0.25">
      <c r="A1658" s="10"/>
      <c r="B1658" s="229" t="s">
        <v>965</v>
      </c>
      <c r="C1658" s="10"/>
      <c r="D1658" s="14"/>
      <c r="E1658" s="157"/>
      <c r="F1658" s="10"/>
      <c r="G1658" s="17"/>
      <c r="H1658" s="10"/>
      <c r="I1658" s="17"/>
      <c r="J1658" s="83"/>
      <c r="K1658" s="343"/>
      <c r="L1658" s="347"/>
      <c r="M1658" s="89">
        <v>24</v>
      </c>
      <c r="N1658" s="14"/>
      <c r="O1658" s="22"/>
      <c r="P1658" s="14"/>
      <c r="Q1658" s="83"/>
      <c r="U1658" s="104" t="str">
        <f>IF(
  AND(
    TRIM(A1658)=TRIM(Enginuity!$A$1),
    TRIM(B1658)=TRIM(Enginuity!$A$17),
    Q1658&lt;&gt;"",
    Q1658&lt;&gt;0,
    OR(
      TRIM(C1658)=TRIM(Enginuity!$A$18),
      AND(UPPER(TRIM(M1658))="STD", TRIM(B1658)=TRIM(Enginuity!$A$17))
    ),
    OR(
      AND(LEFT(P1658,5)="1-Way", Enginuity!$B$13=1),
      AND(LEFT(P1658,5)="2-Way", OR(Enginuity!$B$13=2, Enginuity!$B$13=4)),
      AND(LEFT(P1658,5)="3-Way", OR(Enginuity!$B$13=3, Enginuity!$B$13=6)),
      AND(P1658="Inner Centre Jamb", OR(Enginuity!$B$13=4, Enginuity!$B$13=6)),
      AND(
        LEFT(P1658,5)&lt;&gt;"1-Way",
        LEFT(P1658,5)&lt;&gt;"2-Way",
        LEFT(P1658,5)&lt;&gt;"3-Way",
        P1658&lt;&gt;"Inner Centre Jamb"
      )
    ),
    IF(OR(Enginuity!$A$1="Frameless Glass",Enginuity!$A$1="Metal Work"),
      AND(TRIM(B1658)=TRIM(Enginuity!$A$17),TRIM(C1658)=TRIM(Enginuity!$A$18)),
      TRIM(B1658)=TRIM(Enginuity!$A$17)
    )
  ),
  ROW(),
  ""
)</f>
        <v/>
      </c>
    </row>
    <row r="1659" spans="1:21" x14ac:dyDescent="0.25">
      <c r="A1659" s="10"/>
      <c r="B1659" s="229" t="s">
        <v>965</v>
      </c>
      <c r="C1659" s="10"/>
      <c r="D1659" s="14"/>
      <c r="E1659" s="157"/>
      <c r="F1659" s="10"/>
      <c r="G1659" s="17"/>
      <c r="H1659" s="10"/>
      <c r="I1659" s="17"/>
      <c r="J1659" s="83"/>
      <c r="K1659" s="343"/>
      <c r="L1659" s="347"/>
      <c r="M1659" s="89">
        <v>25</v>
      </c>
      <c r="N1659" s="14"/>
      <c r="O1659" s="22"/>
      <c r="P1659" s="14"/>
      <c r="Q1659" s="83"/>
      <c r="U1659" s="104" t="str">
        <f>IF(
  AND(
    TRIM(A1659)=TRIM(Enginuity!$A$1),
    TRIM(B1659)=TRIM(Enginuity!$A$17),
    Q1659&lt;&gt;"",
    Q1659&lt;&gt;0,
    OR(
      TRIM(C1659)=TRIM(Enginuity!$A$18),
      AND(UPPER(TRIM(M1659))="STD", TRIM(B1659)=TRIM(Enginuity!$A$17))
    ),
    OR(
      AND(LEFT(P1659,5)="1-Way", Enginuity!$B$13=1),
      AND(LEFT(P1659,5)="2-Way", OR(Enginuity!$B$13=2, Enginuity!$B$13=4)),
      AND(LEFT(P1659,5)="3-Way", OR(Enginuity!$B$13=3, Enginuity!$B$13=6)),
      AND(P1659="Inner Centre Jamb", OR(Enginuity!$B$13=4, Enginuity!$B$13=6)),
      AND(
        LEFT(P1659,5)&lt;&gt;"1-Way",
        LEFT(P1659,5)&lt;&gt;"2-Way",
        LEFT(P1659,5)&lt;&gt;"3-Way",
        P1659&lt;&gt;"Inner Centre Jamb"
      )
    ),
    IF(OR(Enginuity!$A$1="Frameless Glass",Enginuity!$A$1="Metal Work"),
      AND(TRIM(B1659)=TRIM(Enginuity!$A$17),TRIM(C1659)=TRIM(Enginuity!$A$18)),
      TRIM(B1659)=TRIM(Enginuity!$A$17)
    )
  ),
  ROW(),
  ""
)</f>
        <v/>
      </c>
    </row>
    <row r="1660" spans="1:21" x14ac:dyDescent="0.25">
      <c r="A1660" s="10"/>
      <c r="B1660" s="229" t="s">
        <v>965</v>
      </c>
      <c r="C1660" s="10"/>
      <c r="D1660" s="14"/>
      <c r="E1660" s="157"/>
      <c r="F1660" s="10"/>
      <c r="G1660" s="17"/>
      <c r="H1660" s="10"/>
      <c r="I1660" s="17"/>
      <c r="J1660" s="83"/>
      <c r="K1660" s="343"/>
      <c r="L1660" s="347"/>
      <c r="M1660" s="89">
        <v>26</v>
      </c>
      <c r="N1660" s="14"/>
      <c r="O1660" s="22"/>
      <c r="P1660" s="14"/>
      <c r="Q1660" s="83"/>
      <c r="U1660" s="104" t="str">
        <f>IF(
  AND(
    TRIM(A1660)=TRIM(Enginuity!$A$1),
    TRIM(B1660)=TRIM(Enginuity!$A$17),
    Q1660&lt;&gt;"",
    Q1660&lt;&gt;0,
    OR(
      TRIM(C1660)=TRIM(Enginuity!$A$18),
      AND(UPPER(TRIM(M1660))="STD", TRIM(B1660)=TRIM(Enginuity!$A$17))
    ),
    OR(
      AND(LEFT(P1660,5)="1-Way", Enginuity!$B$13=1),
      AND(LEFT(P1660,5)="2-Way", OR(Enginuity!$B$13=2, Enginuity!$B$13=4)),
      AND(LEFT(P1660,5)="3-Way", OR(Enginuity!$B$13=3, Enginuity!$B$13=6)),
      AND(P1660="Inner Centre Jamb", OR(Enginuity!$B$13=4, Enginuity!$B$13=6)),
      AND(
        LEFT(P1660,5)&lt;&gt;"1-Way",
        LEFT(P1660,5)&lt;&gt;"2-Way",
        LEFT(P1660,5)&lt;&gt;"3-Way",
        P1660&lt;&gt;"Inner Centre Jamb"
      )
    ),
    IF(OR(Enginuity!$A$1="Frameless Glass",Enginuity!$A$1="Metal Work"),
      AND(TRIM(B1660)=TRIM(Enginuity!$A$17),TRIM(C1660)=TRIM(Enginuity!$A$18)),
      TRIM(B1660)=TRIM(Enginuity!$A$17)
    )
  ),
  ROW(),
  ""
)</f>
        <v/>
      </c>
    </row>
    <row r="1661" spans="1:21" x14ac:dyDescent="0.25">
      <c r="A1661" s="10"/>
      <c r="B1661" s="229" t="s">
        <v>965</v>
      </c>
      <c r="C1661" s="10"/>
      <c r="D1661" s="14"/>
      <c r="E1661" s="157"/>
      <c r="F1661" s="10"/>
      <c r="G1661" s="17"/>
      <c r="H1661" s="10"/>
      <c r="I1661" s="17"/>
      <c r="J1661" s="83"/>
      <c r="K1661" s="343"/>
      <c r="L1661" s="347"/>
      <c r="M1661" s="89">
        <v>27</v>
      </c>
      <c r="N1661" s="10"/>
      <c r="O1661" s="22"/>
      <c r="P1661" s="14"/>
      <c r="Q1661" s="83"/>
      <c r="U1661" s="104" t="str">
        <f>IF(
  AND(
    TRIM(A1661)=TRIM(Enginuity!$A$1),
    TRIM(B1661)=TRIM(Enginuity!$A$17),
    Q1661&lt;&gt;"",
    Q1661&lt;&gt;0,
    OR(
      TRIM(C1661)=TRIM(Enginuity!$A$18),
      AND(UPPER(TRIM(M1661))="STD", TRIM(B1661)=TRIM(Enginuity!$A$17))
    ),
    OR(
      AND(LEFT(P1661,5)="1-Way", Enginuity!$B$13=1),
      AND(LEFT(P1661,5)="2-Way", OR(Enginuity!$B$13=2, Enginuity!$B$13=4)),
      AND(LEFT(P1661,5)="3-Way", OR(Enginuity!$B$13=3, Enginuity!$B$13=6)),
      AND(P1661="Inner Centre Jamb", OR(Enginuity!$B$13=4, Enginuity!$B$13=6)),
      AND(
        LEFT(P1661,5)&lt;&gt;"1-Way",
        LEFT(P1661,5)&lt;&gt;"2-Way",
        LEFT(P1661,5)&lt;&gt;"3-Way",
        P1661&lt;&gt;"Inner Centre Jamb"
      )
    ),
    IF(OR(Enginuity!$A$1="Frameless Glass",Enginuity!$A$1="Metal Work"),
      AND(TRIM(B1661)=TRIM(Enginuity!$A$17),TRIM(C1661)=TRIM(Enginuity!$A$18)),
      TRIM(B1661)=TRIM(Enginuity!$A$17)
    )
  ),
  ROW(),
  ""
)</f>
        <v/>
      </c>
    </row>
    <row r="1662" spans="1:21" x14ac:dyDescent="0.25">
      <c r="A1662" s="10"/>
      <c r="B1662" s="229" t="s">
        <v>965</v>
      </c>
      <c r="C1662" s="10"/>
      <c r="D1662" s="14"/>
      <c r="E1662" s="157"/>
      <c r="F1662" s="10"/>
      <c r="G1662" s="17"/>
      <c r="H1662" s="10"/>
      <c r="I1662" s="17"/>
      <c r="J1662" s="83"/>
      <c r="K1662" s="343"/>
      <c r="L1662" s="347"/>
      <c r="M1662" s="89">
        <v>28</v>
      </c>
      <c r="N1662" s="10"/>
      <c r="O1662" s="22"/>
      <c r="P1662" s="21"/>
      <c r="Q1662" s="83"/>
      <c r="U1662" s="104" t="str">
        <f>IF(
  AND(
    TRIM(A1662)=TRIM(Enginuity!$A$1),
    TRIM(B1662)=TRIM(Enginuity!$A$17),
    Q1662&lt;&gt;"",
    Q1662&lt;&gt;0,
    OR(
      TRIM(C1662)=TRIM(Enginuity!$A$18),
      AND(UPPER(TRIM(M1662))="STD", TRIM(B1662)=TRIM(Enginuity!$A$17))
    ),
    OR(
      AND(LEFT(P1662,5)="1-Way", Enginuity!$B$13=1),
      AND(LEFT(P1662,5)="2-Way", OR(Enginuity!$B$13=2, Enginuity!$B$13=4)),
      AND(LEFT(P1662,5)="3-Way", OR(Enginuity!$B$13=3, Enginuity!$B$13=6)),
      AND(P1662="Inner Centre Jamb", OR(Enginuity!$B$13=4, Enginuity!$B$13=6)),
      AND(
        LEFT(P1662,5)&lt;&gt;"1-Way",
        LEFT(P1662,5)&lt;&gt;"2-Way",
        LEFT(P1662,5)&lt;&gt;"3-Way",
        P1662&lt;&gt;"Inner Centre Jamb"
      )
    ),
    IF(OR(Enginuity!$A$1="Frameless Glass",Enginuity!$A$1="Metal Work"),
      AND(TRIM(B1662)=TRIM(Enginuity!$A$17),TRIM(C1662)=TRIM(Enginuity!$A$18)),
      TRIM(B1662)=TRIM(Enginuity!$A$17)
    )
  ),
  ROW(),
  ""
)</f>
        <v/>
      </c>
    </row>
    <row r="1663" spans="1:21" x14ac:dyDescent="0.25">
      <c r="A1663" s="10"/>
      <c r="B1663" s="229" t="s">
        <v>965</v>
      </c>
      <c r="C1663" s="10"/>
      <c r="D1663" s="14"/>
      <c r="E1663" s="157"/>
      <c r="F1663" s="10"/>
      <c r="G1663" s="17"/>
      <c r="H1663" s="10"/>
      <c r="I1663" s="17"/>
      <c r="J1663" s="83"/>
      <c r="K1663" s="343"/>
      <c r="L1663" s="347"/>
      <c r="M1663" s="89">
        <v>29</v>
      </c>
      <c r="N1663" s="88"/>
      <c r="O1663" s="22"/>
      <c r="P1663" s="36"/>
      <c r="Q1663" s="83"/>
      <c r="U1663" s="104" t="str">
        <f>IF(
  AND(
    TRIM(A1663)=TRIM(Enginuity!$A$1),
    TRIM(B1663)=TRIM(Enginuity!$A$17),
    Q1663&lt;&gt;"",
    Q1663&lt;&gt;0,
    OR(
      TRIM(C1663)=TRIM(Enginuity!$A$18),
      AND(UPPER(TRIM(M1663))="STD", TRIM(B1663)=TRIM(Enginuity!$A$17))
    ),
    OR(
      AND(LEFT(P1663,5)="1-Way", Enginuity!$B$13=1),
      AND(LEFT(P1663,5)="2-Way", OR(Enginuity!$B$13=2, Enginuity!$B$13=4)),
      AND(LEFT(P1663,5)="3-Way", OR(Enginuity!$B$13=3, Enginuity!$B$13=6)),
      AND(P1663="Inner Centre Jamb", OR(Enginuity!$B$13=4, Enginuity!$B$13=6)),
      AND(
        LEFT(P1663,5)&lt;&gt;"1-Way",
        LEFT(P1663,5)&lt;&gt;"2-Way",
        LEFT(P1663,5)&lt;&gt;"3-Way",
        P1663&lt;&gt;"Inner Centre Jamb"
      )
    ),
    IF(OR(Enginuity!$A$1="Frameless Glass",Enginuity!$A$1="Metal Work"),
      AND(TRIM(B1663)=TRIM(Enginuity!$A$17),TRIM(C1663)=TRIM(Enginuity!$A$18)),
      TRIM(B1663)=TRIM(Enginuity!$A$17)
    )
  ),
  ROW(),
  ""
)</f>
        <v/>
      </c>
    </row>
    <row r="1664" spans="1:21" x14ac:dyDescent="0.25">
      <c r="A1664" s="10"/>
      <c r="B1664" s="229" t="s">
        <v>965</v>
      </c>
      <c r="C1664" s="10"/>
      <c r="D1664" s="14"/>
      <c r="E1664" s="157"/>
      <c r="F1664" s="10"/>
      <c r="G1664" s="17"/>
      <c r="H1664" s="10"/>
      <c r="I1664" s="17"/>
      <c r="J1664" s="83"/>
      <c r="K1664" s="343"/>
      <c r="L1664" s="347"/>
      <c r="M1664" s="10" t="s">
        <v>117</v>
      </c>
      <c r="N1664" s="10" t="s">
        <v>121</v>
      </c>
      <c r="O1664" s="22" t="str">
        <f>$O$2</f>
        <v/>
      </c>
      <c r="P1664" s="21" t="str">
        <f>Enginuity!$A$19</f>
        <v>W/G</v>
      </c>
      <c r="Q1664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1664" s="104" t="str">
        <f>IF(
  AND(
    TRIM(A1664)=TRIM(Enginuity!$A$1),
    TRIM(B1664)=TRIM(Enginuity!$A$17),
    Q1664&lt;&gt;"",
    Q1664&lt;&gt;0,
    OR(
      TRIM(C1664)=TRIM(Enginuity!$A$18),
      AND(UPPER(TRIM(M1664))="STD", TRIM(B1664)=TRIM(Enginuity!$A$17))
    ),
    OR(
      AND(LEFT(P1664,5)="1-Way", Enginuity!$B$13=1),
      AND(LEFT(P1664,5)="2-Way", OR(Enginuity!$B$13=2, Enginuity!$B$13=4)),
      AND(LEFT(P1664,5)="3-Way", OR(Enginuity!$B$13=3, Enginuity!$B$13=6)),
      AND(P1664="Inner Centre Jamb", OR(Enginuity!$B$13=4, Enginuity!$B$13=6)),
      AND(
        LEFT(P1664,5)&lt;&gt;"1-Way",
        LEFT(P1664,5)&lt;&gt;"2-Way",
        LEFT(P1664,5)&lt;&gt;"3-Way",
        P1664&lt;&gt;"Inner Centre Jamb"
      )
    ),
    IF(OR(Enginuity!$A$1="Frameless Glass",Enginuity!$A$1="Metal Work"),
      AND(TRIM(B1664)=TRIM(Enginuity!$A$17),TRIM(C1664)=TRIM(Enginuity!$A$18)),
      TRIM(B1664)=TRIM(Enginuity!$A$17)
    )
  ),
  ROW(),
  ""
)</f>
        <v/>
      </c>
    </row>
    <row r="1665" spans="1:21" x14ac:dyDescent="0.25">
      <c r="A1665" s="10"/>
      <c r="B1665" s="229" t="s">
        <v>965</v>
      </c>
      <c r="C1665" s="10"/>
      <c r="D1665" s="14"/>
      <c r="E1665" s="157"/>
      <c r="F1665" s="10"/>
      <c r="G1665" s="17"/>
      <c r="H1665" s="10"/>
      <c r="I1665" s="17"/>
      <c r="J1665" s="83"/>
      <c r="K1665" s="343"/>
      <c r="L1665" s="347"/>
      <c r="M1665" s="10" t="s">
        <v>117</v>
      </c>
      <c r="N1665" s="10" t="s">
        <v>103</v>
      </c>
      <c r="O1665" s="22">
        <v>0.4</v>
      </c>
      <c r="P1665" s="14" t="s">
        <v>313</v>
      </c>
      <c r="Q1665" s="83">
        <f>IF(AND(Enginuity!$B$6&gt;0, Enginuity!$B$7&gt;0), ROUND(((Enginuity!$B$6 + Enginuity!$B$7) * 2), 2), "")</f>
        <v>66</v>
      </c>
      <c r="U1665" s="104" t="str">
        <f>IF(
  AND(
    TRIM(A1665)=TRIM(Enginuity!$A$1),
    TRIM(B1665)=TRIM(Enginuity!$A$17),
    Q1665&lt;&gt;"",
    Q1665&lt;&gt;0,
    OR(
      TRIM(C1665)=TRIM(Enginuity!$A$18),
      AND(UPPER(TRIM(M1665))="STD", TRIM(B1665)=TRIM(Enginuity!$A$17))
    ),
    OR(
      AND(LEFT(P1665,5)="1-Way", Enginuity!$B$13=1),
      AND(LEFT(P1665,5)="2-Way", OR(Enginuity!$B$13=2, Enginuity!$B$13=4)),
      AND(LEFT(P1665,5)="3-Way", OR(Enginuity!$B$13=3, Enginuity!$B$13=6)),
      AND(P1665="Inner Centre Jamb", OR(Enginuity!$B$13=4, Enginuity!$B$13=6)),
      AND(
        LEFT(P1665,5)&lt;&gt;"1-Way",
        LEFT(P1665,5)&lt;&gt;"2-Way",
        LEFT(P1665,5)&lt;&gt;"3-Way",
        P1665&lt;&gt;"Inner Centre Jamb"
      )
    ),
    IF(OR(Enginuity!$A$1="Frameless Glass",Enginuity!$A$1="Metal Work"),
      AND(TRIM(B1665)=TRIM(Enginuity!$A$17),TRIM(C1665)=TRIM(Enginuity!$A$18)),
      TRIM(B1665)=TRIM(Enginuity!$A$17)
    )
  ),
  ROW(),
  ""
)</f>
        <v/>
      </c>
    </row>
    <row r="1666" spans="1:21" x14ac:dyDescent="0.25">
      <c r="A1666" s="10"/>
      <c r="B1666" s="229" t="s">
        <v>965</v>
      </c>
      <c r="C1666" s="10"/>
      <c r="D1666" s="14"/>
      <c r="E1666" s="157"/>
      <c r="F1666" s="10"/>
      <c r="G1666" s="17"/>
      <c r="H1666" s="10"/>
      <c r="I1666" s="17"/>
      <c r="J1666" s="83"/>
      <c r="K1666" s="343"/>
      <c r="L1666" s="347"/>
      <c r="M1666" s="10" t="s">
        <v>117</v>
      </c>
      <c r="N1666" s="10" t="s">
        <v>103</v>
      </c>
      <c r="O1666" s="22">
        <v>0.4</v>
      </c>
      <c r="P1666" s="14" t="s">
        <v>116</v>
      </c>
      <c r="Q1666" s="83">
        <f>IF(AND(Enginuity!$B$6&gt;0, Enginuity!$B$7&gt;0, Enginuity!$B$13&gt;0), (2 * Enginuity!$B$7 * Enginuity!$B$13) + (2 * Enginuity!$B$6), "")</f>
        <v>222</v>
      </c>
      <c r="U1666" s="104" t="str">
        <f>IF(
  AND(
    TRIM(A1666)=TRIM(Enginuity!$A$1),
    TRIM(B1666)=TRIM(Enginuity!$A$17),
    Q1666&lt;&gt;"",
    Q1666&lt;&gt;0,
    OR(
      TRIM(C1666)=TRIM(Enginuity!$A$18),
      AND(UPPER(TRIM(M1666))="STD", TRIM(B1666)=TRIM(Enginuity!$A$17))
    ),
    OR(
      AND(LEFT(P1666,5)="1-Way", Enginuity!$B$13=1),
      AND(LEFT(P1666,5)="2-Way", OR(Enginuity!$B$13=2, Enginuity!$B$13=4)),
      AND(LEFT(P1666,5)="3-Way", OR(Enginuity!$B$13=3, Enginuity!$B$13=6)),
      AND(P1666="Inner Centre Jamb", OR(Enginuity!$B$13=4, Enginuity!$B$13=6)),
      AND(
        LEFT(P1666,5)&lt;&gt;"1-Way",
        LEFT(P1666,5)&lt;&gt;"2-Way",
        LEFT(P1666,5)&lt;&gt;"3-Way",
        P1666&lt;&gt;"Inner Centre Jamb"
      )
    ),
    IF(OR(Enginuity!$A$1="Frameless Glass",Enginuity!$A$1="Metal Work"),
      AND(TRIM(B1666)=TRIM(Enginuity!$A$17),TRIM(C1666)=TRIM(Enginuity!$A$18)),
      TRIM(B1666)=TRIM(Enginuity!$A$17)
    )
  ),
  ROW(),
  ""
)</f>
        <v/>
      </c>
    </row>
    <row r="1667" spans="1:21" x14ac:dyDescent="0.25">
      <c r="A1667" s="10"/>
      <c r="B1667" s="229" t="s">
        <v>965</v>
      </c>
      <c r="C1667" s="10"/>
      <c r="D1667" s="14"/>
      <c r="E1667" s="157"/>
      <c r="F1667" s="10"/>
      <c r="G1667" s="17"/>
      <c r="H1667" s="10"/>
      <c r="I1667" s="17"/>
      <c r="J1667" s="83"/>
      <c r="K1667" s="343"/>
      <c r="L1667" s="347"/>
      <c r="M1667" s="10" t="s">
        <v>117</v>
      </c>
      <c r="N1667" s="10" t="s">
        <v>103</v>
      </c>
      <c r="O1667" s="22">
        <v>0.8</v>
      </c>
      <c r="P1667" s="14" t="s">
        <v>272</v>
      </c>
      <c r="Q1667" s="83">
        <f>IF(AND(Enginuity!$B$6&gt;0, Enginuity!$B$7&gt;0, Enginuity!$B$13&gt;0), ((2*Enginuity!$B$7*Enginuity!$B$13)+(2*Enginuity!$B$6))*2, "")</f>
        <v>444</v>
      </c>
      <c r="U1667" s="104" t="str">
        <f>IF(
  AND(
    TRIM(A1667)=TRIM(Enginuity!$A$1),
    TRIM(B1667)=TRIM(Enginuity!$A$17),
    Q1667&lt;&gt;"",
    Q1667&lt;&gt;0,
    OR(
      TRIM(C1667)=TRIM(Enginuity!$A$18),
      AND(UPPER(TRIM(M1667))="STD", TRIM(B1667)=TRIM(Enginuity!$A$17))
    ),
    OR(
      AND(LEFT(P1667,5)="1-Way", Enginuity!$B$13=1),
      AND(LEFT(P1667,5)="2-Way", OR(Enginuity!$B$13=2, Enginuity!$B$13=4)),
      AND(LEFT(P1667,5)="3-Way", OR(Enginuity!$B$13=3, Enginuity!$B$13=6)),
      AND(P1667="Inner Centre Jamb", OR(Enginuity!$B$13=4, Enginuity!$B$13=6)),
      AND(
        LEFT(P1667,5)&lt;&gt;"1-Way",
        LEFT(P1667,5)&lt;&gt;"2-Way",
        LEFT(P1667,5)&lt;&gt;"3-Way",
        P1667&lt;&gt;"Inner Centre Jamb"
      )
    ),
    IF(OR(Enginuity!$A$1="Frameless Glass",Enginuity!$A$1="Metal Work"),
      AND(TRIM(B1667)=TRIM(Enginuity!$A$17),TRIM(C1667)=TRIM(Enginuity!$A$18)),
      TRIM(B1667)=TRIM(Enginuity!$A$17)
    )
  ),
  ROW(),
  ""
)</f>
        <v/>
      </c>
    </row>
    <row r="1668" spans="1:21" x14ac:dyDescent="0.25">
      <c r="A1668" s="10"/>
      <c r="B1668" s="229" t="s">
        <v>965</v>
      </c>
      <c r="C1668" s="10"/>
      <c r="D1668" s="14"/>
      <c r="E1668" s="157"/>
      <c r="F1668" s="10"/>
      <c r="G1668" s="17"/>
      <c r="H1668" s="10"/>
      <c r="I1668" s="17"/>
      <c r="J1668" s="83"/>
      <c r="K1668" s="343"/>
      <c r="L1668" s="347"/>
      <c r="M1668" s="10" t="s">
        <v>117</v>
      </c>
      <c r="N1668" s="10" t="s">
        <v>103</v>
      </c>
      <c r="O1668" s="22">
        <v>0.12</v>
      </c>
      <c r="P1668" s="14" t="s">
        <v>280</v>
      </c>
      <c r="Q1668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576</v>
      </c>
      <c r="U1668" s="104" t="str">
        <f>IF(
  AND(
    TRIM(A1668)=TRIM(Enginuity!$A$1),
    TRIM(B1668)=TRIM(Enginuity!$A$17),
    Q1668&lt;&gt;"",
    Q1668&lt;&gt;0,
    OR(
      TRIM(C1668)=TRIM(Enginuity!$A$18),
      AND(UPPER(TRIM(M1668))="STD", TRIM(B1668)=TRIM(Enginuity!$A$17))
    ),
    OR(
      AND(LEFT(P1668,5)="1-Way", Enginuity!$B$13=1),
      AND(LEFT(P1668,5)="2-Way", OR(Enginuity!$B$13=2, Enginuity!$B$13=4)),
      AND(LEFT(P1668,5)="3-Way", OR(Enginuity!$B$13=3, Enginuity!$B$13=6)),
      AND(P1668="Inner Centre Jamb", OR(Enginuity!$B$13=4, Enginuity!$B$13=6)),
      AND(
        LEFT(P1668,5)&lt;&gt;"1-Way",
        LEFT(P1668,5)&lt;&gt;"2-Way",
        LEFT(P1668,5)&lt;&gt;"3-Way",
        P1668&lt;&gt;"Inner Centre Jamb"
      )
    ),
    IF(OR(Enginuity!$A$1="Frameless Glass",Enginuity!$A$1="Metal Work"),
      AND(TRIM(B1668)=TRIM(Enginuity!$A$17),TRIM(C1668)=TRIM(Enginuity!$A$18)),
      TRIM(B1668)=TRIM(Enginuity!$A$17)
    )
  ),
  ROW(),
  ""
)</f>
        <v/>
      </c>
    </row>
    <row r="1669" spans="1:21" x14ac:dyDescent="0.25">
      <c r="A1669" s="10"/>
      <c r="B1669" s="229" t="s">
        <v>965</v>
      </c>
      <c r="C1669" s="10"/>
      <c r="D1669" s="14"/>
      <c r="E1669" s="157"/>
      <c r="F1669" s="10"/>
      <c r="G1669" s="17"/>
      <c r="H1669" s="10"/>
      <c r="I1669" s="17"/>
      <c r="J1669" s="83"/>
      <c r="K1669" s="343"/>
      <c r="L1669" s="347"/>
      <c r="M1669" s="10" t="s">
        <v>117</v>
      </c>
      <c r="N1669" s="10" t="s">
        <v>112</v>
      </c>
      <c r="O1669" s="22">
        <v>80</v>
      </c>
      <c r="P1669" s="14" t="s">
        <v>314</v>
      </c>
      <c r="Q1669" s="83">
        <f>IF(MOD(Enginuity!$B$13,2)=1,1,0)</f>
        <v>1</v>
      </c>
      <c r="U1669" s="104" t="str">
        <f>IF(
  AND(
    TRIM(A1669)=TRIM(Enginuity!$A$1),
    TRIM(B1669)=TRIM(Enginuity!$A$17),
    Q1669&lt;&gt;"",
    Q1669&lt;&gt;0,
    OR(
      TRIM(C1669)=TRIM(Enginuity!$A$18),
      AND(UPPER(TRIM(M1669))="STD", TRIM(B1669)=TRIM(Enginuity!$A$17))
    ),
    OR(
      AND(LEFT(P1669,5)="1-Way", Enginuity!$B$13=1),
      AND(LEFT(P1669,5)="2-Way", OR(Enginuity!$B$13=2, Enginuity!$B$13=4)),
      AND(LEFT(P1669,5)="3-Way", OR(Enginuity!$B$13=3, Enginuity!$B$13=6)),
      AND(P1669="Inner Centre Jamb", OR(Enginuity!$B$13=4, Enginuity!$B$13=6)),
      AND(
        LEFT(P1669,5)&lt;&gt;"1-Way",
        LEFT(P1669,5)&lt;&gt;"2-Way",
        LEFT(P1669,5)&lt;&gt;"3-Way",
        P1669&lt;&gt;"Inner Centre Jamb"
      )
    ),
    IF(OR(Enginuity!$A$1="Frameless Glass",Enginuity!$A$1="Metal Work"),
      AND(TRIM(B1669)=TRIM(Enginuity!$A$17),TRIM(C1669)=TRIM(Enginuity!$A$18)),
      TRIM(B1669)=TRIM(Enginuity!$A$17)
    )
  ),
  ROW(),
  ""
)</f>
        <v/>
      </c>
    </row>
    <row r="1670" spans="1:21" x14ac:dyDescent="0.25">
      <c r="A1670" s="10"/>
      <c r="B1670" s="229" t="s">
        <v>965</v>
      </c>
      <c r="C1670" s="10"/>
      <c r="D1670" s="14"/>
      <c r="E1670" s="157"/>
      <c r="F1670" s="10"/>
      <c r="G1670" s="17"/>
      <c r="H1670" s="10"/>
      <c r="I1670" s="17"/>
      <c r="J1670" s="83"/>
      <c r="K1670" s="343"/>
      <c r="L1670" s="347"/>
      <c r="M1670" s="10" t="s">
        <v>117</v>
      </c>
      <c r="N1670" s="88" t="s">
        <v>112</v>
      </c>
      <c r="O1670" s="22">
        <v>60</v>
      </c>
      <c r="P1670" s="14" t="s">
        <v>182</v>
      </c>
      <c r="Q1670" s="83">
        <f>FLOOR(Enginuity!$B$13/2,1)</f>
        <v>3</v>
      </c>
      <c r="U1670" s="104" t="str">
        <f>IF(
  AND(
    TRIM(A1670)=TRIM(Enginuity!$A$1),
    TRIM(B1670)=TRIM(Enginuity!$A$17),
    Q1670&lt;&gt;"",
    Q1670&lt;&gt;0,
    OR(
      TRIM(C1670)=TRIM(Enginuity!$A$18),
      AND(UPPER(TRIM(M1670))="STD", TRIM(B1670)=TRIM(Enginuity!$A$17))
    ),
    OR(
      AND(LEFT(P1670,5)="1-Way", Enginuity!$B$13=1),
      AND(LEFT(P1670,5)="2-Way", OR(Enginuity!$B$13=2, Enginuity!$B$13=4)),
      AND(LEFT(P1670,5)="3-Way", OR(Enginuity!$B$13=3, Enginuity!$B$13=6)),
      AND(P1670="Inner Centre Jamb", OR(Enginuity!$B$13=4, Enginuity!$B$13=6)),
      AND(
        LEFT(P1670,5)&lt;&gt;"1-Way",
        LEFT(P1670,5)&lt;&gt;"2-Way",
        LEFT(P1670,5)&lt;&gt;"3-Way",
        P1670&lt;&gt;"Inner Centre Jamb"
      )
    ),
    IF(OR(Enginuity!$A$1="Frameless Glass",Enginuity!$A$1="Metal Work"),
      AND(TRIM(B1670)=TRIM(Enginuity!$A$17),TRIM(C1670)=TRIM(Enginuity!$A$18)),
      TRIM(B1670)=TRIM(Enginuity!$A$17)
    )
  ),
  ROW(),
  ""
)</f>
        <v/>
      </c>
    </row>
    <row r="1671" spans="1:21" x14ac:dyDescent="0.25">
      <c r="A1671" s="10"/>
      <c r="B1671" s="229" t="s">
        <v>965</v>
      </c>
      <c r="C1671" s="10"/>
      <c r="D1671" s="14"/>
      <c r="E1671" s="157"/>
      <c r="F1671" s="10"/>
      <c r="G1671" s="17"/>
      <c r="H1671" s="10"/>
      <c r="I1671" s="17"/>
      <c r="J1671" s="83"/>
      <c r="K1671" s="343"/>
      <c r="L1671" s="347"/>
      <c r="M1671" s="10" t="s">
        <v>117</v>
      </c>
      <c r="N1671" s="10" t="s">
        <v>112</v>
      </c>
      <c r="O1671" s="22">
        <v>2.8</v>
      </c>
      <c r="P1671" s="14" t="s">
        <v>133</v>
      </c>
      <c r="Q1671" s="83">
        <f>IF(AND(ISNUMBER(Enginuity!$B$13), Enginuity!$B$13&gt;0), Enginuity!$B$13*4, "")</f>
        <v>28</v>
      </c>
      <c r="U1671" s="104" t="str">
        <f>IF(
  AND(
    TRIM(A1671)=TRIM(Enginuity!$A$1),
    TRIM(B1671)=TRIM(Enginuity!$A$17),
    Q1671&lt;&gt;"",
    Q1671&lt;&gt;0,
    OR(
      TRIM(C1671)=TRIM(Enginuity!$A$18),
      AND(UPPER(TRIM(M1671))="STD", TRIM(B1671)=TRIM(Enginuity!$A$17))
    ),
    OR(
      AND(LEFT(P1671,5)="1-Way", Enginuity!$B$13=1),
      AND(LEFT(P1671,5)="2-Way", OR(Enginuity!$B$13=2, Enginuity!$B$13=4)),
      AND(LEFT(P1671,5)="3-Way", OR(Enginuity!$B$13=3, Enginuity!$B$13=6)),
      AND(P1671="Inner Centre Jamb", OR(Enginuity!$B$13=4, Enginuity!$B$13=6)),
      AND(
        LEFT(P1671,5)&lt;&gt;"1-Way",
        LEFT(P1671,5)&lt;&gt;"2-Way",
        LEFT(P1671,5)&lt;&gt;"3-Way",
        P1671&lt;&gt;"Inner Centre Jamb"
      )
    ),
    IF(OR(Enginuity!$A$1="Frameless Glass",Enginuity!$A$1="Metal Work"),
      AND(TRIM(B1671)=TRIM(Enginuity!$A$17),TRIM(C1671)=TRIM(Enginuity!$A$18)),
      TRIM(B1671)=TRIM(Enginuity!$A$17)
    )
  ),
  ROW(),
  ""
)</f>
        <v/>
      </c>
    </row>
    <row r="1672" spans="1:21" x14ac:dyDescent="0.25">
      <c r="A1672" s="10"/>
      <c r="B1672" s="229" t="s">
        <v>965</v>
      </c>
      <c r="C1672" s="10"/>
      <c r="D1672" s="14"/>
      <c r="E1672" s="157"/>
      <c r="F1672" s="10"/>
      <c r="G1672" s="17"/>
      <c r="H1672" s="10"/>
      <c r="I1672" s="17"/>
      <c r="J1672" s="83"/>
      <c r="K1672" s="343"/>
      <c r="L1672" s="347"/>
      <c r="M1672" s="10" t="s">
        <v>117</v>
      </c>
      <c r="N1672" s="10" t="s">
        <v>112</v>
      </c>
      <c r="O1672" s="22">
        <v>28</v>
      </c>
      <c r="P1672" s="14" t="s">
        <v>183</v>
      </c>
      <c r="Q1672" s="83">
        <f>FLOOR(Enginuity!$B$13/2,1)</f>
        <v>3</v>
      </c>
      <c r="U1672" s="104" t="str">
        <f>IF(
  AND(
    TRIM(A1672)=TRIM(Enginuity!$A$1),
    TRIM(B1672)=TRIM(Enginuity!$A$17),
    Q1672&lt;&gt;"",
    Q1672&lt;&gt;0,
    OR(
      TRIM(C1672)=TRIM(Enginuity!$A$18),
      AND(UPPER(TRIM(M1672))="STD", TRIM(B1672)=TRIM(Enginuity!$A$17))
    ),
    OR(
      AND(LEFT(P1672,5)="1-Way", Enginuity!$B$13=1),
      AND(LEFT(P1672,5)="2-Way", OR(Enginuity!$B$13=2, Enginuity!$B$13=4)),
      AND(LEFT(P1672,5)="3-Way", OR(Enginuity!$B$13=3, Enginuity!$B$13=6)),
      AND(P1672="Inner Centre Jamb", OR(Enginuity!$B$13=4, Enginuity!$B$13=6)),
      AND(
        LEFT(P1672,5)&lt;&gt;"1-Way",
        LEFT(P1672,5)&lt;&gt;"2-Way",
        LEFT(P1672,5)&lt;&gt;"3-Way",
        P1672&lt;&gt;"Inner Centre Jamb"
      )
    ),
    IF(OR(Enginuity!$A$1="Frameless Glass",Enginuity!$A$1="Metal Work"),
      AND(TRIM(B1672)=TRIM(Enginuity!$A$17),TRIM(C1672)=TRIM(Enginuity!$A$18)),
      TRIM(B1672)=TRIM(Enginuity!$A$17)
    )
  ),
  ROW(),
  ""
)</f>
        <v/>
      </c>
    </row>
    <row r="1673" spans="1:21" x14ac:dyDescent="0.25">
      <c r="A1673" s="10"/>
      <c r="B1673" s="229" t="s">
        <v>965</v>
      </c>
      <c r="C1673" s="10"/>
      <c r="D1673" s="14"/>
      <c r="E1673" s="157"/>
      <c r="F1673" s="10"/>
      <c r="G1673" s="17"/>
      <c r="H1673" s="10"/>
      <c r="I1673" s="17"/>
      <c r="J1673" s="83"/>
      <c r="K1673" s="343"/>
      <c r="L1673" s="347"/>
      <c r="M1673" s="10" t="s">
        <v>117</v>
      </c>
      <c r="N1673" s="10" t="s">
        <v>112</v>
      </c>
      <c r="O1673" s="22">
        <v>15</v>
      </c>
      <c r="P1673" s="14" t="s">
        <v>223</v>
      </c>
      <c r="Q1673" s="83">
        <f>(Enginuity!$B$13*
  IF(Enginuity!$B$7&lt;=7,3,
  IF(Enginuity!$B$7&lt;=9,4,
  IF(Enginuity!$B$7&lt;=11,5,6))))
  - (2*FLOOR((Enginuity!$B$13-1)/2,1))</f>
        <v>36</v>
      </c>
      <c r="U1673" s="104" t="str">
        <f>IF(
  AND(
    TRIM(A1673)=TRIM(Enginuity!$A$1),
    TRIM(B1673)=TRIM(Enginuity!$A$17),
    Q1673&lt;&gt;"",
    Q1673&lt;&gt;0,
    OR(
      TRIM(C1673)=TRIM(Enginuity!$A$18),
      AND(UPPER(TRIM(M1673))="STD", TRIM(B1673)=TRIM(Enginuity!$A$17))
    ),
    OR(
      AND(LEFT(P1673,5)="1-Way", Enginuity!$B$13=1),
      AND(LEFT(P1673,5)="2-Way", OR(Enginuity!$B$13=2, Enginuity!$B$13=4)),
      AND(LEFT(P1673,5)="3-Way", OR(Enginuity!$B$13=3, Enginuity!$B$13=6)),
      AND(P1673="Inner Centre Jamb", OR(Enginuity!$B$13=4, Enginuity!$B$13=6)),
      AND(
        LEFT(P1673,5)&lt;&gt;"1-Way",
        LEFT(P1673,5)&lt;&gt;"2-Way",
        LEFT(P1673,5)&lt;&gt;"3-Way",
        P1673&lt;&gt;"Inner Centre Jamb"
      )
    ),
    IF(OR(Enginuity!$A$1="Frameless Glass",Enginuity!$A$1="Metal Work"),
      AND(TRIM(B1673)=TRIM(Enginuity!$A$17),TRIM(C1673)=TRIM(Enginuity!$A$18)),
      TRIM(B1673)=TRIM(Enginuity!$A$17)
    )
  ),
  ROW(),
  ""
)</f>
        <v/>
      </c>
    </row>
    <row r="1674" spans="1:21" x14ac:dyDescent="0.25">
      <c r="A1674" s="10"/>
      <c r="B1674" s="229" t="s">
        <v>965</v>
      </c>
      <c r="C1674" s="10"/>
      <c r="D1674" s="14"/>
      <c r="E1674" s="157"/>
      <c r="F1674" s="10"/>
      <c r="G1674" s="17"/>
      <c r="H1674" s="10"/>
      <c r="I1674" s="17"/>
      <c r="J1674" s="83"/>
      <c r="K1674" s="343"/>
      <c r="L1674" s="347"/>
      <c r="M1674" s="10" t="s">
        <v>117</v>
      </c>
      <c r="N1674" s="10" t="s">
        <v>112</v>
      </c>
      <c r="O1674" s="22">
        <v>30</v>
      </c>
      <c r="P1674" s="14" t="s">
        <v>184</v>
      </c>
      <c r="Q1674" s="83">
        <f>FLOOR(Enginuity!$B$13/2,1)</f>
        <v>3</v>
      </c>
      <c r="U1674" s="104" t="str">
        <f>IF(
  AND(
    TRIM(A1674)=TRIM(Enginuity!$A$1),
    TRIM(B1674)=TRIM(Enginuity!$A$17),
    Q1674&lt;&gt;"",
    Q1674&lt;&gt;0,
    OR(
      TRIM(C1674)=TRIM(Enginuity!$A$18),
      AND(UPPER(TRIM(M1674))="STD", TRIM(B1674)=TRIM(Enginuity!$A$17))
    ),
    OR(
      AND(LEFT(P1674,5)="1-Way", Enginuity!$B$13=1),
      AND(LEFT(P1674,5)="2-Way", OR(Enginuity!$B$13=2, Enginuity!$B$13=4)),
      AND(LEFT(P1674,5)="3-Way", OR(Enginuity!$B$13=3, Enginuity!$B$13=6)),
      AND(P1674="Inner Centre Jamb", OR(Enginuity!$B$13=4, Enginuity!$B$13=6)),
      AND(
        LEFT(P1674,5)&lt;&gt;"1-Way",
        LEFT(P1674,5)&lt;&gt;"2-Way",
        LEFT(P1674,5)&lt;&gt;"3-Way",
        P1674&lt;&gt;"Inner Centre Jamb"
      )
    ),
    IF(OR(Enginuity!$A$1="Frameless Glass",Enginuity!$A$1="Metal Work"),
      AND(TRIM(B1674)=TRIM(Enginuity!$A$17),TRIM(C1674)=TRIM(Enginuity!$A$18)),
      TRIM(B1674)=TRIM(Enginuity!$A$17)
    )
  ),
  ROW(),
  ""
)</f>
        <v/>
      </c>
    </row>
    <row r="1675" spans="1:21" x14ac:dyDescent="0.25">
      <c r="A1675" s="10"/>
      <c r="B1675" s="229" t="s">
        <v>965</v>
      </c>
      <c r="C1675" s="10"/>
      <c r="D1675" s="14"/>
      <c r="E1675" s="157"/>
      <c r="F1675" s="10"/>
      <c r="G1675" s="17"/>
      <c r="H1675" s="10"/>
      <c r="I1675" s="17"/>
      <c r="J1675" s="83"/>
      <c r="K1675" s="343"/>
      <c r="L1675" s="347"/>
      <c r="M1675" s="10" t="s">
        <v>117</v>
      </c>
      <c r="N1675" s="10" t="s">
        <v>112</v>
      </c>
      <c r="O1675" s="22">
        <v>7.8</v>
      </c>
      <c r="P1675" s="14" t="s">
        <v>185</v>
      </c>
      <c r="Q1675" s="83">
        <f>(FLOOR(Enginuity!$B$13/2,1)*2)+IF(MOD(Enginuity!$B$13,2)=1,2,0)</f>
        <v>8</v>
      </c>
      <c r="U1675" s="104" t="str">
        <f>IF(
  AND(
    TRIM(A1675)=TRIM(Enginuity!$A$1),
    TRIM(B1675)=TRIM(Enginuity!$A$17),
    Q1675&lt;&gt;"",
    Q1675&lt;&gt;0,
    OR(
      TRIM(C1675)=TRIM(Enginuity!$A$18),
      AND(UPPER(TRIM(M1675))="STD", TRIM(B1675)=TRIM(Enginuity!$A$17))
    ),
    OR(
      AND(LEFT(P1675,5)="1-Way", Enginuity!$B$13=1),
      AND(LEFT(P1675,5)="2-Way", OR(Enginuity!$B$13=2, Enginuity!$B$13=4)),
      AND(LEFT(P1675,5)="3-Way", OR(Enginuity!$B$13=3, Enginuity!$B$13=6)),
      AND(P1675="Inner Centre Jamb", OR(Enginuity!$B$13=4, Enginuity!$B$13=6)),
      AND(
        LEFT(P1675,5)&lt;&gt;"1-Way",
        LEFT(P1675,5)&lt;&gt;"2-Way",
        LEFT(P1675,5)&lt;&gt;"3-Way",
        P1675&lt;&gt;"Inner Centre Jamb"
      )
    ),
    IF(OR(Enginuity!$A$1="Frameless Glass",Enginuity!$A$1="Metal Work"),
      AND(TRIM(B1675)=TRIM(Enginuity!$A$17),TRIM(C1675)=TRIM(Enginuity!$A$18)),
      TRIM(B1675)=TRIM(Enginuity!$A$17)
    )
  ),
  ROW(),
  ""
)</f>
        <v/>
      </c>
    </row>
    <row r="1676" spans="1:21" x14ac:dyDescent="0.25">
      <c r="A1676" s="10"/>
      <c r="B1676" s="229" t="s">
        <v>965</v>
      </c>
      <c r="C1676" s="10"/>
      <c r="D1676" s="14"/>
      <c r="E1676" s="157"/>
      <c r="F1676" s="10"/>
      <c r="G1676" s="17"/>
      <c r="H1676" s="10"/>
      <c r="I1676" s="17"/>
      <c r="J1676" s="83"/>
      <c r="K1676" s="343"/>
      <c r="L1676" s="347"/>
      <c r="M1676" s="10" t="s">
        <v>117</v>
      </c>
      <c r="N1676" s="10"/>
      <c r="O1676" s="22"/>
      <c r="P1676" s="21"/>
      <c r="Q1676" s="83"/>
      <c r="U1676" s="104" t="str">
        <f>IF(
  AND(
    TRIM(A1676)=TRIM(Enginuity!$A$1),
    TRIM(B1676)=TRIM(Enginuity!$A$17),
    Q1676&lt;&gt;"",
    Q1676&lt;&gt;0,
    OR(
      TRIM(C1676)=TRIM(Enginuity!$A$18),
      AND(UPPER(TRIM(M1676))="STD", TRIM(B1676)=TRIM(Enginuity!$A$17))
    ),
    OR(
      AND(LEFT(P1676,5)="1-Way", Enginuity!$B$13=1),
      AND(LEFT(P1676,5)="2-Way", OR(Enginuity!$B$13=2, Enginuity!$B$13=4)),
      AND(LEFT(P1676,5)="3-Way", OR(Enginuity!$B$13=3, Enginuity!$B$13=6)),
      AND(P1676="Inner Centre Jamb", OR(Enginuity!$B$13=4, Enginuity!$B$13=6)),
      AND(
        LEFT(P1676,5)&lt;&gt;"1-Way",
        LEFT(P1676,5)&lt;&gt;"2-Way",
        LEFT(P1676,5)&lt;&gt;"3-Way",
        P1676&lt;&gt;"Inner Centre Jamb"
      )
    ),
    IF(OR(Enginuity!$A$1="Frameless Glass",Enginuity!$A$1="Metal Work"),
      AND(TRIM(B1676)=TRIM(Enginuity!$A$17),TRIM(C1676)=TRIM(Enginuity!$A$18)),
      TRIM(B1676)=TRIM(Enginuity!$A$17)
    )
  ),
  ROW(),
  ""
)</f>
        <v/>
      </c>
    </row>
    <row r="1677" spans="1:21" x14ac:dyDescent="0.25">
      <c r="A1677" s="10"/>
      <c r="B1677" s="229" t="s">
        <v>965</v>
      </c>
      <c r="C1677" s="10"/>
      <c r="D1677" s="14"/>
      <c r="E1677" s="157"/>
      <c r="F1677" s="10"/>
      <c r="G1677" s="17"/>
      <c r="H1677" s="10"/>
      <c r="I1677" s="17"/>
      <c r="J1677" s="83"/>
      <c r="K1677" s="343"/>
      <c r="L1677" s="347"/>
      <c r="M1677" s="10" t="s">
        <v>117</v>
      </c>
      <c r="N1677" s="10"/>
      <c r="O1677" s="22"/>
      <c r="P1677" s="21"/>
      <c r="Q1677" s="83"/>
      <c r="U1677" s="104" t="str">
        <f>IF(
  AND(
    TRIM(A1677)=TRIM(Enginuity!$A$1),
    TRIM(B1677)=TRIM(Enginuity!$A$17),
    Q1677&lt;&gt;"",
    Q1677&lt;&gt;0,
    OR(
      TRIM(C1677)=TRIM(Enginuity!$A$18),
      AND(UPPER(TRIM(M1677))="STD", TRIM(B1677)=TRIM(Enginuity!$A$17))
    ),
    OR(
      AND(LEFT(P1677,5)="1-Way", Enginuity!$B$13=1),
      AND(LEFT(P1677,5)="2-Way", OR(Enginuity!$B$13=2, Enginuity!$B$13=4)),
      AND(LEFT(P1677,5)="3-Way", OR(Enginuity!$B$13=3, Enginuity!$B$13=6)),
      AND(P1677="Inner Centre Jamb", OR(Enginuity!$B$13=4, Enginuity!$B$13=6)),
      AND(
        LEFT(P1677,5)&lt;&gt;"1-Way",
        LEFT(P1677,5)&lt;&gt;"2-Way",
        LEFT(P1677,5)&lt;&gt;"3-Way",
        P1677&lt;&gt;"Inner Centre Jamb"
      )
    ),
    IF(OR(Enginuity!$A$1="Frameless Glass",Enginuity!$A$1="Metal Work"),
      AND(TRIM(B1677)=TRIM(Enginuity!$A$17),TRIM(C1677)=TRIM(Enginuity!$A$18)),
      TRIM(B1677)=TRIM(Enginuity!$A$17)
    )
  ),
  ROW(),
  ""
)</f>
        <v/>
      </c>
    </row>
    <row r="1678" spans="1:21" x14ac:dyDescent="0.25">
      <c r="A1678" s="10"/>
      <c r="B1678" s="229" t="s">
        <v>965</v>
      </c>
      <c r="C1678" s="10"/>
      <c r="D1678" s="14"/>
      <c r="E1678" s="157"/>
      <c r="F1678" s="10"/>
      <c r="G1678" s="17"/>
      <c r="H1678" s="10"/>
      <c r="I1678" s="17"/>
      <c r="J1678" s="83"/>
      <c r="K1678" s="343"/>
      <c r="L1678" s="347"/>
      <c r="M1678" s="10" t="s">
        <v>117</v>
      </c>
      <c r="N1678" s="10"/>
      <c r="O1678" s="22"/>
      <c r="P1678" s="14"/>
      <c r="Q1678" s="83"/>
      <c r="U1678" s="104" t="str">
        <f>IF(
  AND(
    TRIM(A1678)=TRIM(Enginuity!$A$1),
    TRIM(B1678)=TRIM(Enginuity!$A$17),
    Q1678&lt;&gt;"",
    Q1678&lt;&gt;0,
    OR(
      TRIM(C1678)=TRIM(Enginuity!$A$18),
      AND(UPPER(TRIM(M1678))="STD", TRIM(B1678)=TRIM(Enginuity!$A$17))
    ),
    OR(
      AND(LEFT(P1678,5)="1-Way", Enginuity!$B$13=1),
      AND(LEFT(P1678,5)="2-Way", OR(Enginuity!$B$13=2, Enginuity!$B$13=4)),
      AND(LEFT(P1678,5)="3-Way", OR(Enginuity!$B$13=3, Enginuity!$B$13=6)),
      AND(P1678="Inner Centre Jamb", OR(Enginuity!$B$13=4, Enginuity!$B$13=6)),
      AND(
        LEFT(P1678,5)&lt;&gt;"1-Way",
        LEFT(P1678,5)&lt;&gt;"2-Way",
        LEFT(P1678,5)&lt;&gt;"3-Way",
        P1678&lt;&gt;"Inner Centre Jamb"
      )
    ),
    IF(OR(Enginuity!$A$1="Frameless Glass",Enginuity!$A$1="Metal Work"),
      AND(TRIM(B1678)=TRIM(Enginuity!$A$17),TRIM(C1678)=TRIM(Enginuity!$A$18)),
      TRIM(B1678)=TRIM(Enginuity!$A$17)
    )
  ),
  ROW(),
  ""
)</f>
        <v/>
      </c>
    </row>
    <row r="1679" spans="1:21" x14ac:dyDescent="0.25">
      <c r="A1679" s="10"/>
      <c r="B1679" s="229" t="s">
        <v>965</v>
      </c>
      <c r="C1679" s="10"/>
      <c r="D1679" s="14"/>
      <c r="E1679" s="157"/>
      <c r="F1679" s="10"/>
      <c r="G1679" s="17"/>
      <c r="H1679" s="10"/>
      <c r="I1679" s="17"/>
      <c r="J1679" s="83"/>
      <c r="K1679" s="343"/>
      <c r="L1679" s="347"/>
      <c r="M1679" s="10" t="s">
        <v>117</v>
      </c>
      <c r="N1679" s="10"/>
      <c r="O1679" s="22"/>
      <c r="P1679" s="21"/>
      <c r="Q1679" s="83"/>
      <c r="U1679" s="104" t="str">
        <f>IF(
  AND(
    TRIM(A1679)=TRIM(Enginuity!$A$1),
    TRIM(B1679)=TRIM(Enginuity!$A$17),
    Q1679&lt;&gt;"",
    Q1679&lt;&gt;0,
    OR(
      TRIM(C1679)=TRIM(Enginuity!$A$18),
      AND(UPPER(TRIM(M1679))="STD", TRIM(B1679)=TRIM(Enginuity!$A$17))
    ),
    OR(
      AND(LEFT(P1679,5)="1-Way", Enginuity!$B$13=1),
      AND(LEFT(P1679,5)="2-Way", OR(Enginuity!$B$13=2, Enginuity!$B$13=4)),
      AND(LEFT(P1679,5)="3-Way", OR(Enginuity!$B$13=3, Enginuity!$B$13=6)),
      AND(P1679="Inner Centre Jamb", OR(Enginuity!$B$13=4, Enginuity!$B$13=6)),
      AND(
        LEFT(P1679,5)&lt;&gt;"1-Way",
        LEFT(P1679,5)&lt;&gt;"2-Way",
        LEFT(P1679,5)&lt;&gt;"3-Way",
        P1679&lt;&gt;"Inner Centre Jamb"
      )
    ),
    IF(OR(Enginuity!$A$1="Frameless Glass",Enginuity!$A$1="Metal Work"),
      AND(TRIM(B1679)=TRIM(Enginuity!$A$17),TRIM(C1679)=TRIM(Enginuity!$A$18)),
      TRIM(B1679)=TRIM(Enginuity!$A$17)
    )
  ),
  ROW(),
  ""
)</f>
        <v/>
      </c>
    </row>
    <row r="1680" spans="1:21" x14ac:dyDescent="0.25">
      <c r="A1680" s="10"/>
      <c r="B1680" s="229" t="s">
        <v>965</v>
      </c>
      <c r="C1680" s="10"/>
      <c r="D1680" s="14"/>
      <c r="E1680" s="157"/>
      <c r="F1680" s="10"/>
      <c r="G1680" s="17"/>
      <c r="H1680" s="10"/>
      <c r="I1680" s="17"/>
      <c r="J1680" s="83"/>
      <c r="K1680" s="343"/>
      <c r="L1680" s="347"/>
      <c r="M1680" s="89">
        <v>46</v>
      </c>
      <c r="N1680" s="10"/>
      <c r="O1680" s="22"/>
      <c r="P1680" s="14"/>
      <c r="Q1680" s="83"/>
      <c r="U1680" s="104" t="str">
        <f>IF(
  AND(
    TRIM(A1680)=TRIM(Enginuity!$A$1),
    TRIM(B1680)=TRIM(Enginuity!$A$17),
    Q1680&lt;&gt;"",
    Q1680&lt;&gt;0,
    OR(
      TRIM(C1680)=TRIM(Enginuity!$A$18),
      AND(UPPER(TRIM(M1680))="STD", TRIM(B1680)=TRIM(Enginuity!$A$17))
    ),
    OR(
      AND(LEFT(P1680,5)="1-Way", Enginuity!$B$13=1),
      AND(LEFT(P1680,5)="2-Way", OR(Enginuity!$B$13=2, Enginuity!$B$13=4)),
      AND(LEFT(P1680,5)="3-Way", OR(Enginuity!$B$13=3, Enginuity!$B$13=6)),
      AND(P1680="Inner Centre Jamb", OR(Enginuity!$B$13=4, Enginuity!$B$13=6)),
      AND(
        LEFT(P1680,5)&lt;&gt;"1-Way",
        LEFT(P1680,5)&lt;&gt;"2-Way",
        LEFT(P1680,5)&lt;&gt;"3-Way",
        P1680&lt;&gt;"Inner Centre Jamb"
      )
    ),
    IF(OR(Enginuity!$A$1="Frameless Glass",Enginuity!$A$1="Metal Work"),
      AND(TRIM(B1680)=TRIM(Enginuity!$A$17),TRIM(C1680)=TRIM(Enginuity!$A$18)),
      TRIM(B1680)=TRIM(Enginuity!$A$17)
    )
  ),
  ROW(),
  ""
)</f>
        <v/>
      </c>
    </row>
    <row r="1681" spans="1:21" x14ac:dyDescent="0.25">
      <c r="A1681" s="10"/>
      <c r="B1681" s="229" t="s">
        <v>965</v>
      </c>
      <c r="C1681" s="10"/>
      <c r="D1681" s="14"/>
      <c r="E1681" s="157"/>
      <c r="F1681" s="10"/>
      <c r="G1681" s="17"/>
      <c r="H1681" s="10"/>
      <c r="I1681" s="17"/>
      <c r="J1681" s="83"/>
      <c r="K1681" s="343"/>
      <c r="L1681" s="347"/>
      <c r="M1681" s="89">
        <v>47</v>
      </c>
      <c r="N1681" s="10"/>
      <c r="O1681" s="22"/>
      <c r="P1681" s="14"/>
      <c r="Q1681" s="83"/>
      <c r="U1681" s="104" t="str">
        <f>IF(
  AND(
    TRIM(A1681)=TRIM(Enginuity!$A$1),
    TRIM(B1681)=TRIM(Enginuity!$A$17),
    Q1681&lt;&gt;"",
    Q1681&lt;&gt;0,
    OR(
      TRIM(C1681)=TRIM(Enginuity!$A$18),
      AND(UPPER(TRIM(M1681))="STD", TRIM(B1681)=TRIM(Enginuity!$A$17))
    ),
    OR(
      AND(LEFT(P1681,5)="1-Way", Enginuity!$B$13=1),
      AND(LEFT(P1681,5)="2-Way", OR(Enginuity!$B$13=2, Enginuity!$B$13=4)),
      AND(LEFT(P1681,5)="3-Way", OR(Enginuity!$B$13=3, Enginuity!$B$13=6)),
      AND(P1681="Inner Centre Jamb", OR(Enginuity!$B$13=4, Enginuity!$B$13=6)),
      AND(
        LEFT(P1681,5)&lt;&gt;"1-Way",
        LEFT(P1681,5)&lt;&gt;"2-Way",
        LEFT(P1681,5)&lt;&gt;"3-Way",
        P1681&lt;&gt;"Inner Centre Jamb"
      )
    ),
    IF(OR(Enginuity!$A$1="Frameless Glass",Enginuity!$A$1="Metal Work"),
      AND(TRIM(B1681)=TRIM(Enginuity!$A$17),TRIM(C1681)=TRIM(Enginuity!$A$18)),
      TRIM(B1681)=TRIM(Enginuity!$A$17)
    )
  ),
  ROW(),
  ""
)</f>
        <v/>
      </c>
    </row>
    <row r="1682" spans="1:21" x14ac:dyDescent="0.25">
      <c r="A1682" s="10"/>
      <c r="B1682" s="229" t="s">
        <v>965</v>
      </c>
      <c r="C1682" s="10"/>
      <c r="D1682" s="14"/>
      <c r="E1682" s="157"/>
      <c r="F1682" s="10"/>
      <c r="G1682" s="17"/>
      <c r="H1682" s="10"/>
      <c r="I1682" s="17"/>
      <c r="J1682" s="83"/>
      <c r="K1682" s="343"/>
      <c r="L1682" s="347"/>
      <c r="M1682" s="89">
        <v>48</v>
      </c>
      <c r="N1682" s="10"/>
      <c r="O1682" s="22"/>
      <c r="P1682" s="14"/>
      <c r="Q1682" s="83"/>
      <c r="U1682" s="104" t="str">
        <f>IF(
  AND(
    TRIM(A1682)=TRIM(Enginuity!$A$1),
    TRIM(B1682)=TRIM(Enginuity!$A$17),
    Q1682&lt;&gt;"",
    Q1682&lt;&gt;0,
    OR(
      TRIM(C1682)=TRIM(Enginuity!$A$18),
      AND(UPPER(TRIM(M1682))="STD", TRIM(B1682)=TRIM(Enginuity!$A$17))
    ),
    OR(
      AND(LEFT(P1682,5)="1-Way", Enginuity!$B$13=1),
      AND(LEFT(P1682,5)="2-Way", OR(Enginuity!$B$13=2, Enginuity!$B$13=4)),
      AND(LEFT(P1682,5)="3-Way", OR(Enginuity!$B$13=3, Enginuity!$B$13=6)),
      AND(P1682="Inner Centre Jamb", OR(Enginuity!$B$13=4, Enginuity!$B$13=6)),
      AND(
        LEFT(P1682,5)&lt;&gt;"1-Way",
        LEFT(P1682,5)&lt;&gt;"2-Way",
        LEFT(P1682,5)&lt;&gt;"3-Way",
        P1682&lt;&gt;"Inner Centre Jamb"
      )
    ),
    IF(OR(Enginuity!$A$1="Frameless Glass",Enginuity!$A$1="Metal Work"),
      AND(TRIM(B1682)=TRIM(Enginuity!$A$17),TRIM(C1682)=TRIM(Enginuity!$A$18)),
      TRIM(B1682)=TRIM(Enginuity!$A$17)
    )
  ),
  ROW(),
  ""
)</f>
        <v/>
      </c>
    </row>
    <row r="1683" spans="1:21" x14ac:dyDescent="0.25">
      <c r="A1683" s="17" t="s">
        <v>768</v>
      </c>
      <c r="B1683" s="230"/>
      <c r="C1683" s="17"/>
      <c r="D1683" s="18"/>
      <c r="E1683" s="238"/>
      <c r="F1683" s="17"/>
      <c r="G1683" s="17"/>
      <c r="H1683" s="17"/>
      <c r="I1683" s="17"/>
      <c r="J1683" s="84"/>
      <c r="K1683" s="343"/>
      <c r="L1683" s="347"/>
      <c r="M1683" s="90"/>
      <c r="N1683" s="17"/>
      <c r="O1683" s="25"/>
      <c r="P1683" s="92"/>
      <c r="Q1683" s="179"/>
      <c r="U1683" s="104" t="str">
        <f>IF(
  AND(
    TRIM(A1683)=TRIM(Enginuity!$A$1),
    TRIM(B1683)=TRIM(Enginuity!$A$17),
    Q1683&lt;&gt;"",
    Q1683&lt;&gt;0,
    OR(
      TRIM(C1683)=TRIM(Enginuity!$A$18),
      AND(UPPER(TRIM(M1683))="STD", TRIM(B1683)=TRIM(Enginuity!$A$17))
    ),
    OR(
      AND(LEFT(P1683,5)="1-Way", Enginuity!$B$13=1),
      AND(LEFT(P1683,5)="2-Way", OR(Enginuity!$B$13=2, Enginuity!$B$13=4)),
      AND(LEFT(P1683,5)="3-Way", OR(Enginuity!$B$13=3, Enginuity!$B$13=6)),
      AND(P1683="Inner Centre Jamb", OR(Enginuity!$B$13=4, Enginuity!$B$13=6)),
      AND(
        LEFT(P1683,5)&lt;&gt;"1-Way",
        LEFT(P1683,5)&lt;&gt;"2-Way",
        LEFT(P1683,5)&lt;&gt;"3-Way",
        P1683&lt;&gt;"Inner Centre Jamb"
      )
    ),
    IF(OR(Enginuity!$A$1="Frameless Glass",Enginuity!$A$1="Metal Work"),
      AND(TRIM(B1683)=TRIM(Enginuity!$A$17),TRIM(C1683)=TRIM(Enginuity!$A$18)),
      TRIM(B1683)=TRIM(Enginuity!$A$17)
    )
  ),
  ROW(),
  ""
)</f>
        <v/>
      </c>
    </row>
    <row r="1684" spans="1:21" x14ac:dyDescent="0.25">
      <c r="A1684" s="10" t="s">
        <v>768</v>
      </c>
      <c r="B1684" s="229" t="s">
        <v>966</v>
      </c>
      <c r="C1684" s="10" t="s">
        <v>97</v>
      </c>
      <c r="D1684" s="14" t="str" cm="1">
        <f t="array" ref="D1684:D1693">IFERROR(INDEX(_xlfn._xlws.FILTER(AllMaterialsbak!$BA$2:$BA$30, AllMaterialsbak!$BA$2:$BA$30&lt;&gt;""), _xlfn.SEQUENCE(10)), "")</f>
        <v>Default</v>
      </c>
      <c r="E1684" s="157" t="s">
        <v>257</v>
      </c>
      <c r="F1684" s="10" t="s">
        <v>9</v>
      </c>
      <c r="G1684" s="17"/>
      <c r="H1684" s="10"/>
      <c r="I1684" s="17"/>
      <c r="J1684" s="83"/>
      <c r="K1684" s="344">
        <v>0.47260799999999997</v>
      </c>
      <c r="L1684" s="347">
        <v>914.4</v>
      </c>
      <c r="M1684" s="89">
        <v>1</v>
      </c>
      <c r="N1684" s="10" t="s">
        <v>103</v>
      </c>
      <c r="O1684" s="22">
        <v>6.93</v>
      </c>
      <c r="P1684" s="86" t="s">
        <v>305</v>
      </c>
      <c r="Q1684" s="83">
        <f>Enginuity!$B$6 + (Enginuity!$B$7*2)</f>
        <v>46</v>
      </c>
      <c r="U1684" s="104" t="str">
        <f>IF(
  AND(
    TRIM(A1684)=TRIM(Enginuity!$A$1),
    TRIM(B1684)=TRIM(Enginuity!$A$17),
    Q1684&lt;&gt;"",
    Q1684&lt;&gt;0,
    OR(
      TRIM(C1684)=TRIM(Enginuity!$A$18),
      AND(UPPER(TRIM(M1684))="STD", TRIM(B1684)=TRIM(Enginuity!$A$17))
    ),
    OR(
      AND(LEFT(P1684,5)="1-Way", Enginuity!$B$13=1),
      AND(LEFT(P1684,5)="2-Way", OR(Enginuity!$B$13=2, Enginuity!$B$13=4)),
      AND(LEFT(P1684,5)="3-Way", OR(Enginuity!$B$13=3, Enginuity!$B$13=6)),
      AND(P1684="Inner Centre Jamb", OR(Enginuity!$B$13=4, Enginuity!$B$13=6)),
      AND(
        LEFT(P1684,5)&lt;&gt;"1-Way",
        LEFT(P1684,5)&lt;&gt;"2-Way",
        LEFT(P1684,5)&lt;&gt;"3-Way",
        P1684&lt;&gt;"Inner Centre Jamb"
      )
    ),
    IF(OR(Enginuity!$A$1="Frameless Glass",Enginuity!$A$1="Metal Work"),
      AND(TRIM(B1684)=TRIM(Enginuity!$A$17),TRIM(C1684)=TRIM(Enginuity!$A$18)),
      TRIM(B1684)=TRIM(Enginuity!$A$17)
    )
  ),
  ROW(),
  ""
)</f>
        <v/>
      </c>
    </row>
    <row r="1685" spans="1:21" x14ac:dyDescent="0.25">
      <c r="A1685" s="10" t="s">
        <v>768</v>
      </c>
      <c r="B1685" s="229" t="s">
        <v>966</v>
      </c>
      <c r="C1685" s="10" t="s">
        <v>97</v>
      </c>
      <c r="D1685" s="14" t="str">
        <v xml:space="preserve">2" Louver Blade N/A </v>
      </c>
      <c r="E1685" s="157" t="s">
        <v>269</v>
      </c>
      <c r="F1685" s="11"/>
      <c r="G1685" s="17"/>
      <c r="H1685" s="10"/>
      <c r="I1685" s="17"/>
      <c r="J1685" s="83"/>
      <c r="K1685" s="343"/>
      <c r="L1685" s="347"/>
      <c r="M1685" s="89">
        <v>2</v>
      </c>
      <c r="N1685" s="10" t="s">
        <v>103</v>
      </c>
      <c r="O1685" s="22">
        <v>9.9</v>
      </c>
      <c r="P1685" s="86" t="str">
        <f>$P$3</f>
        <v>Inner Frame</v>
      </c>
      <c r="Q1685" s="83">
        <f>IF(AND(Enginuity!$B$6&gt;0,Enginuity!$B$7&gt;0,Enginuity!$B$13&gt;0),
   ROUND(2*(Enginuity!$B$6+Enginuity!$B$7)*Enginuity!$B$13,2),
"")</f>
        <v>462</v>
      </c>
      <c r="U1685" s="104" t="str">
        <f>IF(
  AND(
    TRIM(A1685)=TRIM(Enginuity!$A$1),
    TRIM(B1685)=TRIM(Enginuity!$A$17),
    Q1685&lt;&gt;"",
    Q1685&lt;&gt;0,
    OR(
      TRIM(C1685)=TRIM(Enginuity!$A$18),
      AND(UPPER(TRIM(M1685))="STD", TRIM(B1685)=TRIM(Enginuity!$A$17))
    ),
    OR(
      AND(LEFT(P1685,5)="1-Way", Enginuity!$B$13=1),
      AND(LEFT(P1685,5)="2-Way", OR(Enginuity!$B$13=2, Enginuity!$B$13=4)),
      AND(LEFT(P1685,5)="3-Way", OR(Enginuity!$B$13=3, Enginuity!$B$13=6)),
      AND(P1685="Inner Centre Jamb", OR(Enginuity!$B$13=4, Enginuity!$B$13=6)),
      AND(
        LEFT(P1685,5)&lt;&gt;"1-Way",
        LEFT(P1685,5)&lt;&gt;"2-Way",
        LEFT(P1685,5)&lt;&gt;"3-Way",
        P1685&lt;&gt;"Inner Centre Jamb"
      )
    ),
    IF(OR(Enginuity!$A$1="Frameless Glass",Enginuity!$A$1="Metal Work"),
      AND(TRIM(B1685)=TRIM(Enginuity!$A$17),TRIM(C1685)=TRIM(Enginuity!$A$18)),
      TRIM(B1685)=TRIM(Enginuity!$A$17)
    )
  ),
  ROW(),
  ""
)</f>
        <v/>
      </c>
    </row>
    <row r="1686" spans="1:21" x14ac:dyDescent="0.25">
      <c r="A1686" s="10" t="s">
        <v>768</v>
      </c>
      <c r="B1686" s="229" t="s">
        <v>966</v>
      </c>
      <c r="C1686" s="10" t="s">
        <v>97</v>
      </c>
      <c r="D1686" s="14" t="str">
        <v>2" Louver Blade P/C</v>
      </c>
      <c r="E1686" s="157"/>
      <c r="F1686" s="10"/>
      <c r="G1686" s="17"/>
      <c r="H1686" s="10"/>
      <c r="I1686" s="17"/>
      <c r="J1686" s="83"/>
      <c r="K1686" s="343"/>
      <c r="L1686" s="347"/>
      <c r="M1686" s="89">
        <f>2+M1684</f>
        <v>3</v>
      </c>
      <c r="N1686" s="10" t="s">
        <v>103</v>
      </c>
      <c r="O1686" s="22">
        <v>2.86</v>
      </c>
      <c r="P1686" s="14" t="s">
        <v>312</v>
      </c>
      <c r="Q1686" s="83">
        <f>IF(Enginuity!$B$7&gt;0, Enginuity!$B$7, "")</f>
        <v>13</v>
      </c>
      <c r="U1686" s="104" t="str">
        <f>IF(
  AND(
    TRIM(A1686)=TRIM(Enginuity!$A$1),
    TRIM(B1686)=TRIM(Enginuity!$A$17),
    Q1686&lt;&gt;"",
    Q1686&lt;&gt;0,
    OR(
      TRIM(C1686)=TRIM(Enginuity!$A$18),
      AND(UPPER(TRIM(M1686))="STD", TRIM(B1686)=TRIM(Enginuity!$A$17))
    ),
    OR(
      AND(LEFT(P1686,5)="1-Way", Enginuity!$B$13=1),
      AND(LEFT(P1686,5)="2-Way", OR(Enginuity!$B$13=2, Enginuity!$B$13=4)),
      AND(LEFT(P1686,5)="3-Way", OR(Enginuity!$B$13=3, Enginuity!$B$13=6)),
      AND(P1686="Inner Centre Jamb", OR(Enginuity!$B$13=4, Enginuity!$B$13=6)),
      AND(
        LEFT(P1686,5)&lt;&gt;"1-Way",
        LEFT(P1686,5)&lt;&gt;"2-Way",
        LEFT(P1686,5)&lt;&gt;"3-Way",
        P1686&lt;&gt;"Inner Centre Jamb"
      )
    ),
    IF(OR(Enginuity!$A$1="Frameless Glass",Enginuity!$A$1="Metal Work"),
      AND(TRIM(B1686)=TRIM(Enginuity!$A$17),TRIM(C1686)=TRIM(Enginuity!$A$18)),
      TRIM(B1686)=TRIM(Enginuity!$A$17)
    )
  ),
  ROW(),
  ""
)</f>
        <v/>
      </c>
    </row>
    <row r="1687" spans="1:21" x14ac:dyDescent="0.25">
      <c r="A1687" s="10" t="s">
        <v>768</v>
      </c>
      <c r="B1687" s="229" t="s">
        <v>966</v>
      </c>
      <c r="C1687" s="10" t="s">
        <v>97</v>
      </c>
      <c r="D1687" s="14" t="str">
        <v xml:space="preserve">5" Louver Blade N/A </v>
      </c>
      <c r="E1687" s="157"/>
      <c r="F1687" s="10"/>
      <c r="G1687" s="17"/>
      <c r="H1687" s="10"/>
      <c r="I1687" s="17"/>
      <c r="J1687" s="83"/>
      <c r="K1687" s="343"/>
      <c r="L1687" s="347"/>
      <c r="M1687" s="89">
        <f t="shared" ref="M1687:M1701" si="35">2+M1685</f>
        <v>4</v>
      </c>
      <c r="N1687" s="10" t="s">
        <v>103</v>
      </c>
      <c r="O1687" s="22">
        <v>1.1100000000000001</v>
      </c>
      <c r="P1687" s="14" t="s">
        <v>309</v>
      </c>
      <c r="Q1687" s="83">
        <f>Enginuity!$B$7*Enginuity!$B$13</f>
        <v>91</v>
      </c>
      <c r="U1687" s="104" t="str">
        <f>IF(
  AND(
    TRIM(A1687)=TRIM(Enginuity!$A$1),
    TRIM(B1687)=TRIM(Enginuity!$A$17),
    Q1687&lt;&gt;"",
    Q1687&lt;&gt;0,
    OR(
      TRIM(C1687)=TRIM(Enginuity!$A$18),
      AND(UPPER(TRIM(M1687))="STD", TRIM(B1687)=TRIM(Enginuity!$A$17))
    ),
    OR(
      AND(LEFT(P1687,5)="1-Way", Enginuity!$B$13=1),
      AND(LEFT(P1687,5)="2-Way", OR(Enginuity!$B$13=2, Enginuity!$B$13=4)),
      AND(LEFT(P1687,5)="3-Way", OR(Enginuity!$B$13=3, Enginuity!$B$13=6)),
      AND(P1687="Inner Centre Jamb", OR(Enginuity!$B$13=4, Enginuity!$B$13=6)),
      AND(
        LEFT(P1687,5)&lt;&gt;"1-Way",
        LEFT(P1687,5)&lt;&gt;"2-Way",
        LEFT(P1687,5)&lt;&gt;"3-Way",
        P1687&lt;&gt;"Inner Centre Jamb"
      )
    ),
    IF(OR(Enginuity!$A$1="Frameless Glass",Enginuity!$A$1="Metal Work"),
      AND(TRIM(B1687)=TRIM(Enginuity!$A$17),TRIM(C1687)=TRIM(Enginuity!$A$18)),
      TRIM(B1687)=TRIM(Enginuity!$A$17)
    )
  ),
  ROW(),
  ""
)</f>
        <v/>
      </c>
    </row>
    <row r="1688" spans="1:21" x14ac:dyDescent="0.25">
      <c r="A1688" s="10" t="s">
        <v>768</v>
      </c>
      <c r="B1688" s="229" t="s">
        <v>966</v>
      </c>
      <c r="C1688" s="10" t="s">
        <v>97</v>
      </c>
      <c r="D1688" s="14" t="str">
        <v>5" Louver Blade P/C</v>
      </c>
      <c r="E1688" s="157"/>
      <c r="F1688" s="10"/>
      <c r="G1688" s="17"/>
      <c r="H1688" s="10"/>
      <c r="I1688" s="17"/>
      <c r="J1688" s="83"/>
      <c r="K1688" s="343"/>
      <c r="L1688" s="347"/>
      <c r="M1688" s="89">
        <f t="shared" si="35"/>
        <v>5</v>
      </c>
      <c r="N1688" s="10" t="s">
        <v>176</v>
      </c>
      <c r="O1688" s="22" t="str">
        <f>IF(Enginuity!$A$20="", "",
 IF(Enginuity!$A$20="Lattice Design", $F$9,
 IF(Enginuity!$A$20="Lattice Design 12 Box / Panel", $F$10,
 ""))
)</f>
        <v/>
      </c>
      <c r="P1688" s="5" t="str">
        <f>Enginuity!$A$20</f>
        <v>Z-Louvre Blade - 5"</v>
      </c>
      <c r="Q1688" s="22" t="str">
        <f>IF(O1688&lt;&gt;"",1,"")</f>
        <v/>
      </c>
      <c r="U1688" s="104" t="str">
        <f>IF(
  AND(
    TRIM(A1688)=TRIM(Enginuity!$A$1),
    TRIM(B1688)=TRIM(Enginuity!$A$17),
    Q1688&lt;&gt;"",
    Q1688&lt;&gt;0,
    OR(
      TRIM(C1688)=TRIM(Enginuity!$A$18),
      AND(UPPER(TRIM(M1688))="STD", TRIM(B1688)=TRIM(Enginuity!$A$17))
    ),
    OR(
      AND(LEFT(P1688,5)="1-Way", Enginuity!$B$13=1),
      AND(LEFT(P1688,5)="2-Way", OR(Enginuity!$B$13=2, Enginuity!$B$13=4)),
      AND(LEFT(P1688,5)="3-Way", OR(Enginuity!$B$13=3, Enginuity!$B$13=6)),
      AND(P1688="Inner Centre Jamb", OR(Enginuity!$B$13=4, Enginuity!$B$13=6)),
      AND(
        LEFT(P1688,5)&lt;&gt;"1-Way",
        LEFT(P1688,5)&lt;&gt;"2-Way",
        LEFT(P1688,5)&lt;&gt;"3-Way",
        P1688&lt;&gt;"Inner Centre Jamb"
      )
    ),
    IF(OR(Enginuity!$A$1="Frameless Glass",Enginuity!$A$1="Metal Work"),
      AND(TRIM(B1688)=TRIM(Enginuity!$A$17),TRIM(C1688)=TRIM(Enginuity!$A$18)),
      TRIM(B1688)=TRIM(Enginuity!$A$17)
    )
  ),
  ROW(),
  ""
)</f>
        <v/>
      </c>
    </row>
    <row r="1689" spans="1:21" x14ac:dyDescent="0.25">
      <c r="A1689" s="10" t="s">
        <v>768</v>
      </c>
      <c r="B1689" s="229" t="s">
        <v>966</v>
      </c>
      <c r="C1689" s="10" t="s">
        <v>97</v>
      </c>
      <c r="D1689" s="14" t="str">
        <v/>
      </c>
      <c r="E1689" s="157"/>
      <c r="F1689" s="10"/>
      <c r="G1689" s="17"/>
      <c r="H1689" s="10"/>
      <c r="I1689" s="17"/>
      <c r="J1689" s="83"/>
      <c r="K1689" s="343"/>
      <c r="L1689" s="347"/>
      <c r="M1689" s="89">
        <f t="shared" si="35"/>
        <v>6</v>
      </c>
      <c r="N1689" s="10" t="s">
        <v>176</v>
      </c>
      <c r="O1689" s="22" t="str">
        <f>IF(Enginuity!$A$21="12""H Top Hung Standard Casement Profile", $F$11,
IF(Enginuity!$A$21="12""H Top / Bottom Fix Standard Casement Profile", $F$12,
""))</f>
        <v/>
      </c>
      <c r="P1689" s="106"/>
      <c r="Q1689" s="22" t="str">
        <f>IF(O1689&lt;&gt;"",1,"")</f>
        <v/>
      </c>
      <c r="U1689" s="104" t="str">
        <f>IF(
  AND(
    TRIM(A1689)=TRIM(Enginuity!$A$1),
    TRIM(B1689)=TRIM(Enginuity!$A$17),
    Q1689&lt;&gt;"",
    Q1689&lt;&gt;0,
    OR(
      TRIM(C1689)=TRIM(Enginuity!$A$18),
      AND(UPPER(TRIM(M1689))="STD", TRIM(B1689)=TRIM(Enginuity!$A$17))
    ),
    OR(
      AND(LEFT(P1689,5)="1-Way", Enginuity!$B$13=1),
      AND(LEFT(P1689,5)="2-Way", OR(Enginuity!$B$13=2, Enginuity!$B$13=4)),
      AND(LEFT(P1689,5)="3-Way", OR(Enginuity!$B$13=3, Enginuity!$B$13=6)),
      AND(P1689="Inner Centre Jamb", OR(Enginuity!$B$13=4, Enginuity!$B$13=6)),
      AND(
        LEFT(P1689,5)&lt;&gt;"1-Way",
        LEFT(P1689,5)&lt;&gt;"2-Way",
        LEFT(P1689,5)&lt;&gt;"3-Way",
        P1689&lt;&gt;"Inner Centre Jamb"
      )
    ),
    IF(OR(Enginuity!$A$1="Frameless Glass",Enginuity!$A$1="Metal Work"),
      AND(TRIM(B1689)=TRIM(Enginuity!$A$17),TRIM(C1689)=TRIM(Enginuity!$A$18)),
      TRIM(B1689)=TRIM(Enginuity!$A$17)
    )
  ),
  ROW(),
  ""
)</f>
        <v/>
      </c>
    </row>
    <row r="1690" spans="1:21" x14ac:dyDescent="0.25">
      <c r="A1690" s="10" t="s">
        <v>768</v>
      </c>
      <c r="B1690" s="229" t="s">
        <v>966</v>
      </c>
      <c r="C1690" s="10" t="s">
        <v>97</v>
      </c>
      <c r="D1690" s="14" t="str">
        <v/>
      </c>
      <c r="E1690" s="157"/>
      <c r="F1690" s="10"/>
      <c r="G1690" s="17"/>
      <c r="H1690" s="10"/>
      <c r="I1690" s="17"/>
      <c r="J1690" s="83"/>
      <c r="K1690" s="343"/>
      <c r="L1690" s="347"/>
      <c r="M1690" s="89">
        <f t="shared" si="35"/>
        <v>7</v>
      </c>
      <c r="N1690" s="10" t="s">
        <v>176</v>
      </c>
      <c r="O1690" s="22" t="str">
        <f>IF(Enginuity!$A$21="Subframe 1"" X 2""", $J$2, "")</f>
        <v/>
      </c>
      <c r="P1690" s="106" t="str">
        <f>Enginuity!$A$21</f>
        <v>SF 4"</v>
      </c>
      <c r="Q1690" s="22" t="str">
        <f>IF(O1690&lt;&gt;"",1,"")</f>
        <v/>
      </c>
      <c r="U1690" s="104" t="str">
        <f>IF(
  AND(
    TRIM(A1690)=TRIM(Enginuity!$A$1),
    TRIM(B1690)=TRIM(Enginuity!$A$17),
    Q1690&lt;&gt;"",
    Q1690&lt;&gt;0,
    OR(
      TRIM(C1690)=TRIM(Enginuity!$A$18),
      AND(UPPER(TRIM(M1690))="STD", TRIM(B1690)=TRIM(Enginuity!$A$17))
    ),
    OR(
      AND(LEFT(P1690,5)="1-Way", Enginuity!$B$13=1),
      AND(LEFT(P1690,5)="2-Way", OR(Enginuity!$B$13=2, Enginuity!$B$13=4)),
      AND(LEFT(P1690,5)="3-Way", OR(Enginuity!$B$13=3, Enginuity!$B$13=6)),
      AND(P1690="Inner Centre Jamb", OR(Enginuity!$B$13=4, Enginuity!$B$13=6)),
      AND(
        LEFT(P1690,5)&lt;&gt;"1-Way",
        LEFT(P1690,5)&lt;&gt;"2-Way",
        LEFT(P1690,5)&lt;&gt;"3-Way",
        P1690&lt;&gt;"Inner Centre Jamb"
      )
    ),
    IF(OR(Enginuity!$A$1="Frameless Glass",Enginuity!$A$1="Metal Work"),
      AND(TRIM(B1690)=TRIM(Enginuity!$A$17),TRIM(C1690)=TRIM(Enginuity!$A$18)),
      TRIM(B1690)=TRIM(Enginuity!$A$17)
    )
  ),
  ROW(),
  ""
)</f>
        <v/>
      </c>
    </row>
    <row r="1691" spans="1:21" x14ac:dyDescent="0.25">
      <c r="A1691" s="10" t="s">
        <v>768</v>
      </c>
      <c r="B1691" s="229" t="s">
        <v>966</v>
      </c>
      <c r="C1691" s="10" t="s">
        <v>97</v>
      </c>
      <c r="D1691" s="14" t="str">
        <v/>
      </c>
      <c r="E1691" s="157"/>
      <c r="F1691" s="10"/>
      <c r="G1691" s="17"/>
      <c r="H1691" s="10"/>
      <c r="I1691" s="17"/>
      <c r="J1691" s="83"/>
      <c r="K1691" s="343"/>
      <c r="L1691" s="347"/>
      <c r="M1691" s="89">
        <f t="shared" si="35"/>
        <v>8</v>
      </c>
      <c r="N1691" s="10"/>
      <c r="O1691" s="22"/>
      <c r="P1691" s="5"/>
      <c r="Q1691" s="22"/>
      <c r="U1691" s="104" t="str">
        <f>IF(
  AND(
    TRIM(A1691)=TRIM(Enginuity!$A$1),
    TRIM(B1691)=TRIM(Enginuity!$A$17),
    Q1691&lt;&gt;"",
    Q1691&lt;&gt;0,
    OR(
      TRIM(C1691)=TRIM(Enginuity!$A$18),
      AND(UPPER(TRIM(M1691))="STD", TRIM(B1691)=TRIM(Enginuity!$A$17))
    ),
    OR(
      AND(LEFT(P1691,5)="1-Way", Enginuity!$B$13=1),
      AND(LEFT(P1691,5)="2-Way", OR(Enginuity!$B$13=2, Enginuity!$B$13=4)),
      AND(LEFT(P1691,5)="3-Way", OR(Enginuity!$B$13=3, Enginuity!$B$13=6)),
      AND(P1691="Inner Centre Jamb", OR(Enginuity!$B$13=4, Enginuity!$B$13=6)),
      AND(
        LEFT(P1691,5)&lt;&gt;"1-Way",
        LEFT(P1691,5)&lt;&gt;"2-Way",
        LEFT(P1691,5)&lt;&gt;"3-Way",
        P1691&lt;&gt;"Inner Centre Jamb"
      )
    ),
    IF(OR(Enginuity!$A$1="Frameless Glass",Enginuity!$A$1="Metal Work"),
      AND(TRIM(B1691)=TRIM(Enginuity!$A$17),TRIM(C1691)=TRIM(Enginuity!$A$18)),
      TRIM(B1691)=TRIM(Enginuity!$A$17)
    )
  ),
  ROW(),
  ""
)</f>
        <v/>
      </c>
    </row>
    <row r="1692" spans="1:21" x14ac:dyDescent="0.25">
      <c r="A1692" s="10" t="s">
        <v>768</v>
      </c>
      <c r="B1692" s="229" t="s">
        <v>966</v>
      </c>
      <c r="C1692" s="10" t="s">
        <v>97</v>
      </c>
      <c r="D1692" s="14" t="str">
        <v/>
      </c>
      <c r="E1692" s="157"/>
      <c r="F1692" s="10"/>
      <c r="G1692" s="17"/>
      <c r="H1692" s="10"/>
      <c r="I1692" s="17"/>
      <c r="J1692" s="83"/>
      <c r="K1692" s="343"/>
      <c r="L1692" s="347"/>
      <c r="M1692" s="89">
        <f t="shared" si="35"/>
        <v>9</v>
      </c>
      <c r="N1692" s="10"/>
      <c r="O1692" s="22"/>
      <c r="P1692" s="106"/>
      <c r="Q1692" s="22"/>
      <c r="U1692" s="104" t="str">
        <f>IF(
  AND(
    TRIM(A1692)=TRIM(Enginuity!$A$1),
    TRIM(B1692)=TRIM(Enginuity!$A$17),
    Q1692&lt;&gt;"",
    Q1692&lt;&gt;0,
    OR(
      TRIM(C1692)=TRIM(Enginuity!$A$18),
      AND(UPPER(TRIM(M1692))="STD", TRIM(B1692)=TRIM(Enginuity!$A$17))
    ),
    OR(
      AND(LEFT(P1692,5)="1-Way", Enginuity!$B$13=1),
      AND(LEFT(P1692,5)="2-Way", OR(Enginuity!$B$13=2, Enginuity!$B$13=4)),
      AND(LEFT(P1692,5)="3-Way", OR(Enginuity!$B$13=3, Enginuity!$B$13=6)),
      AND(P1692="Inner Centre Jamb", OR(Enginuity!$B$13=4, Enginuity!$B$13=6)),
      AND(
        LEFT(P1692,5)&lt;&gt;"1-Way",
        LEFT(P1692,5)&lt;&gt;"2-Way",
        LEFT(P1692,5)&lt;&gt;"3-Way",
        P1692&lt;&gt;"Inner Centre Jamb"
      )
    ),
    IF(OR(Enginuity!$A$1="Frameless Glass",Enginuity!$A$1="Metal Work"),
      AND(TRIM(B1692)=TRIM(Enginuity!$A$17),TRIM(C1692)=TRIM(Enginuity!$A$18)),
      TRIM(B1692)=TRIM(Enginuity!$A$17)
    )
  ),
  ROW(),
  ""
)</f>
        <v/>
      </c>
    </row>
    <row r="1693" spans="1:21" x14ac:dyDescent="0.25">
      <c r="A1693" s="10" t="s">
        <v>768</v>
      </c>
      <c r="B1693" s="229" t="s">
        <v>966</v>
      </c>
      <c r="C1693" s="10" t="s">
        <v>97</v>
      </c>
      <c r="D1693" s="14" t="str">
        <v/>
      </c>
      <c r="E1693" s="157"/>
      <c r="F1693" s="10"/>
      <c r="G1693" s="17"/>
      <c r="H1693" s="10"/>
      <c r="I1693" s="17"/>
      <c r="J1693" s="83"/>
      <c r="K1693" s="343"/>
      <c r="L1693" s="347"/>
      <c r="M1693" s="89">
        <f t="shared" si="35"/>
        <v>10</v>
      </c>
      <c r="N1693" s="10"/>
      <c r="O1693" s="22"/>
      <c r="P1693" s="106"/>
      <c r="Q1693" s="22"/>
      <c r="U1693" s="104" t="str">
        <f>IF(
  AND(
    TRIM(A1693)=TRIM(Enginuity!$A$1),
    TRIM(B1693)=TRIM(Enginuity!$A$17),
    Q1693&lt;&gt;"",
    Q1693&lt;&gt;0,
    OR(
      TRIM(C1693)=TRIM(Enginuity!$A$18),
      AND(UPPER(TRIM(M1693))="STD", TRIM(B1693)=TRIM(Enginuity!$A$17))
    ),
    OR(
      AND(LEFT(P1693,5)="1-Way", Enginuity!$B$13=1),
      AND(LEFT(P1693,5)="2-Way", OR(Enginuity!$B$13=2, Enginuity!$B$13=4)),
      AND(LEFT(P1693,5)="3-Way", OR(Enginuity!$B$13=3, Enginuity!$B$13=6)),
      AND(P1693="Inner Centre Jamb", OR(Enginuity!$B$13=4, Enginuity!$B$13=6)),
      AND(
        LEFT(P1693,5)&lt;&gt;"1-Way",
        LEFT(P1693,5)&lt;&gt;"2-Way",
        LEFT(P1693,5)&lt;&gt;"3-Way",
        P1693&lt;&gt;"Inner Centre Jamb"
      )
    ),
    IF(OR(Enginuity!$A$1="Frameless Glass",Enginuity!$A$1="Metal Work"),
      AND(TRIM(B1693)=TRIM(Enginuity!$A$17),TRIM(C1693)=TRIM(Enginuity!$A$18)),
      TRIM(B1693)=TRIM(Enginuity!$A$17)
    )
  ),
  ROW(),
  ""
)</f>
        <v/>
      </c>
    </row>
    <row r="1694" spans="1:21" x14ac:dyDescent="0.25">
      <c r="A1694" s="10" t="s">
        <v>768</v>
      </c>
      <c r="B1694" s="229" t="s">
        <v>966</v>
      </c>
      <c r="C1694" s="10" t="s">
        <v>97</v>
      </c>
      <c r="D1694" s="14"/>
      <c r="E1694" s="157"/>
      <c r="F1694" s="10"/>
      <c r="G1694" s="17"/>
      <c r="H1694" s="10"/>
      <c r="I1694" s="17"/>
      <c r="J1694" s="83"/>
      <c r="K1694" s="343"/>
      <c r="L1694" s="347"/>
      <c r="M1694" s="89">
        <f t="shared" si="35"/>
        <v>11</v>
      </c>
      <c r="N1694" s="10"/>
      <c r="O1694" s="22"/>
      <c r="P1694" s="106"/>
      <c r="Q1694" s="22"/>
      <c r="U1694" s="104" t="str">
        <f>IF(
  AND(
    TRIM(A1694)=TRIM(Enginuity!$A$1),
    TRIM(B1694)=TRIM(Enginuity!$A$17),
    Q1694&lt;&gt;"",
    Q1694&lt;&gt;0,
    OR(
      TRIM(C1694)=TRIM(Enginuity!$A$18),
      AND(UPPER(TRIM(M1694))="STD", TRIM(B1694)=TRIM(Enginuity!$A$17))
    ),
    OR(
      AND(LEFT(P1694,5)="1-Way", Enginuity!$B$13=1),
      AND(LEFT(P1694,5)="2-Way", OR(Enginuity!$B$13=2, Enginuity!$B$13=4)),
      AND(LEFT(P1694,5)="3-Way", OR(Enginuity!$B$13=3, Enginuity!$B$13=6)),
      AND(P1694="Inner Centre Jamb", OR(Enginuity!$B$13=4, Enginuity!$B$13=6)),
      AND(
        LEFT(P1694,5)&lt;&gt;"1-Way",
        LEFT(P1694,5)&lt;&gt;"2-Way",
        LEFT(P1694,5)&lt;&gt;"3-Way",
        P1694&lt;&gt;"Inner Centre Jamb"
      )
    ),
    IF(OR(Enginuity!$A$1="Frameless Glass",Enginuity!$A$1="Metal Work"),
      AND(TRIM(B1694)=TRIM(Enginuity!$A$17),TRIM(C1694)=TRIM(Enginuity!$A$18)),
      TRIM(B1694)=TRIM(Enginuity!$A$17)
    )
  ),
  ROW(),
  ""
)</f>
        <v/>
      </c>
    </row>
    <row r="1695" spans="1:21" x14ac:dyDescent="0.25">
      <c r="A1695" s="10" t="s">
        <v>768</v>
      </c>
      <c r="B1695" s="229" t="s">
        <v>966</v>
      </c>
      <c r="C1695" s="10" t="s">
        <v>97</v>
      </c>
      <c r="D1695" s="14"/>
      <c r="E1695" s="157"/>
      <c r="F1695" s="10"/>
      <c r="G1695" s="17"/>
      <c r="H1695" s="10"/>
      <c r="I1695" s="17"/>
      <c r="J1695" s="83"/>
      <c r="K1695" s="343"/>
      <c r="L1695" s="347"/>
      <c r="M1695" s="89">
        <f t="shared" si="35"/>
        <v>12</v>
      </c>
      <c r="N1695" s="10"/>
      <c r="O1695" s="22"/>
      <c r="P1695" s="106"/>
      <c r="Q1695" s="22"/>
      <c r="U1695" s="104" t="str">
        <f>IF(
  AND(
    TRIM(A1695)=TRIM(Enginuity!$A$1),
    TRIM(B1695)=TRIM(Enginuity!$A$17),
    Q1695&lt;&gt;"",
    Q1695&lt;&gt;0,
    OR(
      TRIM(C1695)=TRIM(Enginuity!$A$18),
      AND(UPPER(TRIM(M1695))="STD", TRIM(B1695)=TRIM(Enginuity!$A$17))
    ),
    OR(
      AND(LEFT(P1695,5)="1-Way", Enginuity!$B$13=1),
      AND(LEFT(P1695,5)="2-Way", OR(Enginuity!$B$13=2, Enginuity!$B$13=4)),
      AND(LEFT(P1695,5)="3-Way", OR(Enginuity!$B$13=3, Enginuity!$B$13=6)),
      AND(P1695="Inner Centre Jamb", OR(Enginuity!$B$13=4, Enginuity!$B$13=6)),
      AND(
        LEFT(P1695,5)&lt;&gt;"1-Way",
        LEFT(P1695,5)&lt;&gt;"2-Way",
        LEFT(P1695,5)&lt;&gt;"3-Way",
        P1695&lt;&gt;"Inner Centre Jamb"
      )
    ),
    IF(OR(Enginuity!$A$1="Frameless Glass",Enginuity!$A$1="Metal Work"),
      AND(TRIM(B1695)=TRIM(Enginuity!$A$17),TRIM(C1695)=TRIM(Enginuity!$A$18)),
      TRIM(B1695)=TRIM(Enginuity!$A$17)
    )
  ),
  ROW(),
  ""
)</f>
        <v/>
      </c>
    </row>
    <row r="1696" spans="1:21" x14ac:dyDescent="0.25">
      <c r="A1696" s="10" t="s">
        <v>768</v>
      </c>
      <c r="B1696" s="229" t="s">
        <v>966</v>
      </c>
      <c r="C1696" s="10" t="s">
        <v>97</v>
      </c>
      <c r="D1696" s="14"/>
      <c r="E1696" s="157"/>
      <c r="F1696" s="10"/>
      <c r="G1696" s="17"/>
      <c r="H1696" s="10"/>
      <c r="I1696" s="17"/>
      <c r="J1696" s="83"/>
      <c r="K1696" s="343"/>
      <c r="L1696" s="347"/>
      <c r="M1696" s="89">
        <f t="shared" si="35"/>
        <v>13</v>
      </c>
      <c r="N1696" s="10"/>
      <c r="O1696" s="22"/>
      <c r="P1696" s="14"/>
      <c r="Q1696" s="83"/>
      <c r="U1696" s="104" t="str">
        <f>IF(
  AND(
    TRIM(A1696)=TRIM(Enginuity!$A$1),
    TRIM(B1696)=TRIM(Enginuity!$A$17),
    Q1696&lt;&gt;"",
    Q1696&lt;&gt;0,
    OR(
      TRIM(C1696)=TRIM(Enginuity!$A$18),
      AND(UPPER(TRIM(M1696))="STD", TRIM(B1696)=TRIM(Enginuity!$A$17))
    ),
    OR(
      AND(LEFT(P1696,5)="1-Way", Enginuity!$B$13=1),
      AND(LEFT(P1696,5)="2-Way", OR(Enginuity!$B$13=2, Enginuity!$B$13=4)),
      AND(LEFT(P1696,5)="3-Way", OR(Enginuity!$B$13=3, Enginuity!$B$13=6)),
      AND(P1696="Inner Centre Jamb", OR(Enginuity!$B$13=4, Enginuity!$B$13=6)),
      AND(
        LEFT(P1696,5)&lt;&gt;"1-Way",
        LEFT(P1696,5)&lt;&gt;"2-Way",
        LEFT(P1696,5)&lt;&gt;"3-Way",
        P1696&lt;&gt;"Inner Centre Jamb"
      )
    ),
    IF(OR(Enginuity!$A$1="Frameless Glass",Enginuity!$A$1="Metal Work"),
      AND(TRIM(B1696)=TRIM(Enginuity!$A$17),TRIM(C1696)=TRIM(Enginuity!$A$18)),
      TRIM(B1696)=TRIM(Enginuity!$A$17)
    )
  ),
  ROW(),
  ""
)</f>
        <v/>
      </c>
    </row>
    <row r="1697" spans="1:21" x14ac:dyDescent="0.25">
      <c r="A1697" s="10" t="s">
        <v>768</v>
      </c>
      <c r="B1697" s="229" t="s">
        <v>966</v>
      </c>
      <c r="C1697" s="10" t="s">
        <v>97</v>
      </c>
      <c r="D1697" s="14"/>
      <c r="E1697" s="157"/>
      <c r="F1697" s="10"/>
      <c r="G1697" s="17"/>
      <c r="H1697" s="10"/>
      <c r="I1697" s="17"/>
      <c r="J1697" s="83"/>
      <c r="K1697" s="343"/>
      <c r="L1697" s="347"/>
      <c r="M1697" s="89">
        <f t="shared" si="35"/>
        <v>14</v>
      </c>
      <c r="N1697" s="10"/>
      <c r="O1697" s="22"/>
      <c r="P1697" s="14"/>
      <c r="Q1697" s="83"/>
      <c r="U1697" s="104" t="str">
        <f>IF(
  AND(
    TRIM(A1697)=TRIM(Enginuity!$A$1),
    TRIM(B1697)=TRIM(Enginuity!$A$17),
    Q1697&lt;&gt;"",
    Q1697&lt;&gt;0,
    OR(
      TRIM(C1697)=TRIM(Enginuity!$A$18),
      AND(UPPER(TRIM(M1697))="STD", TRIM(B1697)=TRIM(Enginuity!$A$17))
    ),
    OR(
      AND(LEFT(P1697,5)="1-Way", Enginuity!$B$13=1),
      AND(LEFT(P1697,5)="2-Way", OR(Enginuity!$B$13=2, Enginuity!$B$13=4)),
      AND(LEFT(P1697,5)="3-Way", OR(Enginuity!$B$13=3, Enginuity!$B$13=6)),
      AND(P1697="Inner Centre Jamb", OR(Enginuity!$B$13=4, Enginuity!$B$13=6)),
      AND(
        LEFT(P1697,5)&lt;&gt;"1-Way",
        LEFT(P1697,5)&lt;&gt;"2-Way",
        LEFT(P1697,5)&lt;&gt;"3-Way",
        P1697&lt;&gt;"Inner Centre Jamb"
      )
    ),
    IF(OR(Enginuity!$A$1="Frameless Glass",Enginuity!$A$1="Metal Work"),
      AND(TRIM(B1697)=TRIM(Enginuity!$A$17),TRIM(C1697)=TRIM(Enginuity!$A$18)),
      TRIM(B1697)=TRIM(Enginuity!$A$17)
    )
  ),
  ROW(),
  ""
)</f>
        <v/>
      </c>
    </row>
    <row r="1698" spans="1:21" x14ac:dyDescent="0.25">
      <c r="A1698" s="10" t="s">
        <v>768</v>
      </c>
      <c r="B1698" s="229" t="s">
        <v>966</v>
      </c>
      <c r="C1698" s="10" t="s">
        <v>97</v>
      </c>
      <c r="D1698" s="14"/>
      <c r="E1698" s="157"/>
      <c r="F1698" s="10"/>
      <c r="G1698" s="17"/>
      <c r="H1698" s="10"/>
      <c r="I1698" s="17"/>
      <c r="J1698" s="83"/>
      <c r="K1698" s="343"/>
      <c r="L1698" s="347"/>
      <c r="M1698" s="89">
        <f t="shared" si="35"/>
        <v>15</v>
      </c>
      <c r="N1698" s="10"/>
      <c r="O1698" s="22"/>
      <c r="P1698" s="14"/>
      <c r="Q1698" s="83"/>
      <c r="U1698" s="104" t="str">
        <f>IF(
  AND(
    TRIM(A1698)=TRIM(Enginuity!$A$1),
    TRIM(B1698)=TRIM(Enginuity!$A$17),
    Q1698&lt;&gt;"",
    Q1698&lt;&gt;0,
    OR(
      TRIM(C1698)=TRIM(Enginuity!$A$18),
      AND(UPPER(TRIM(M1698))="STD", TRIM(B1698)=TRIM(Enginuity!$A$17))
    ),
    OR(
      AND(LEFT(P1698,5)="1-Way", Enginuity!$B$13=1),
      AND(LEFT(P1698,5)="2-Way", OR(Enginuity!$B$13=2, Enginuity!$B$13=4)),
      AND(LEFT(P1698,5)="3-Way", OR(Enginuity!$B$13=3, Enginuity!$B$13=6)),
      AND(P1698="Inner Centre Jamb", OR(Enginuity!$B$13=4, Enginuity!$B$13=6)),
      AND(
        LEFT(P1698,5)&lt;&gt;"1-Way",
        LEFT(P1698,5)&lt;&gt;"2-Way",
        LEFT(P1698,5)&lt;&gt;"3-Way",
        P1698&lt;&gt;"Inner Centre Jamb"
      )
    ),
    IF(OR(Enginuity!$A$1="Frameless Glass",Enginuity!$A$1="Metal Work"),
      AND(TRIM(B1698)=TRIM(Enginuity!$A$17),TRIM(C1698)=TRIM(Enginuity!$A$18)),
      TRIM(B1698)=TRIM(Enginuity!$A$17)
    )
  ),
  ROW(),
  ""
)</f>
        <v/>
      </c>
    </row>
    <row r="1699" spans="1:21" x14ac:dyDescent="0.25">
      <c r="A1699" s="10" t="s">
        <v>768</v>
      </c>
      <c r="B1699" s="229" t="s">
        <v>966</v>
      </c>
      <c r="C1699" s="10" t="s">
        <v>97</v>
      </c>
      <c r="D1699" s="14"/>
      <c r="E1699" s="157"/>
      <c r="F1699" s="10"/>
      <c r="G1699" s="17"/>
      <c r="H1699" s="10"/>
      <c r="I1699" s="17"/>
      <c r="J1699" s="83"/>
      <c r="K1699" s="343"/>
      <c r="L1699" s="347"/>
      <c r="M1699" s="89">
        <f t="shared" si="35"/>
        <v>16</v>
      </c>
      <c r="N1699" s="10"/>
      <c r="O1699" s="22"/>
      <c r="P1699" s="14"/>
      <c r="Q1699" s="83"/>
      <c r="U1699" s="104" t="str">
        <f>IF(
  AND(
    TRIM(A1699)=TRIM(Enginuity!$A$1),
    TRIM(B1699)=TRIM(Enginuity!$A$17),
    Q1699&lt;&gt;"",
    Q1699&lt;&gt;0,
    OR(
      TRIM(C1699)=TRIM(Enginuity!$A$18),
      AND(UPPER(TRIM(M1699))="STD", TRIM(B1699)=TRIM(Enginuity!$A$17))
    ),
    OR(
      AND(LEFT(P1699,5)="1-Way", Enginuity!$B$13=1),
      AND(LEFT(P1699,5)="2-Way", OR(Enginuity!$B$13=2, Enginuity!$B$13=4)),
      AND(LEFT(P1699,5)="3-Way", OR(Enginuity!$B$13=3, Enginuity!$B$13=6)),
      AND(P1699="Inner Centre Jamb", OR(Enginuity!$B$13=4, Enginuity!$B$13=6)),
      AND(
        LEFT(P1699,5)&lt;&gt;"1-Way",
        LEFT(P1699,5)&lt;&gt;"2-Way",
        LEFT(P1699,5)&lt;&gt;"3-Way",
        P1699&lt;&gt;"Inner Centre Jamb"
      )
    ),
    IF(OR(Enginuity!$A$1="Frameless Glass",Enginuity!$A$1="Metal Work"),
      AND(TRIM(B1699)=TRIM(Enginuity!$A$17),TRIM(C1699)=TRIM(Enginuity!$A$18)),
      TRIM(B1699)=TRIM(Enginuity!$A$17)
    )
  ),
  ROW(),
  ""
)</f>
        <v/>
      </c>
    </row>
    <row r="1700" spans="1:21" x14ac:dyDescent="0.25">
      <c r="A1700" s="10" t="s">
        <v>768</v>
      </c>
      <c r="B1700" s="229" t="s">
        <v>966</v>
      </c>
      <c r="C1700" s="10"/>
      <c r="D1700" s="14"/>
      <c r="E1700" s="157"/>
      <c r="F1700" s="10"/>
      <c r="G1700" s="17"/>
      <c r="H1700" s="10"/>
      <c r="I1700" s="17"/>
      <c r="J1700" s="83"/>
      <c r="K1700" s="343"/>
      <c r="L1700" s="347"/>
      <c r="M1700" s="89">
        <f t="shared" si="35"/>
        <v>17</v>
      </c>
      <c r="N1700" s="10"/>
      <c r="O1700" s="22"/>
      <c r="P1700" s="21"/>
      <c r="Q1700" s="83"/>
      <c r="U1700" s="104" t="str">
        <f>IF(
  AND(
    TRIM(A1700)=TRIM(Enginuity!$A$1),
    TRIM(B1700)=TRIM(Enginuity!$A$17),
    Q1700&lt;&gt;"",
    Q1700&lt;&gt;0,
    OR(
      TRIM(C1700)=TRIM(Enginuity!$A$18),
      AND(UPPER(TRIM(M1700))="STD", TRIM(B1700)=TRIM(Enginuity!$A$17))
    ),
    OR(
      AND(LEFT(P1700,5)="1-Way", Enginuity!$B$13=1),
      AND(LEFT(P1700,5)="2-Way", OR(Enginuity!$B$13=2, Enginuity!$B$13=4)),
      AND(LEFT(P1700,5)="3-Way", OR(Enginuity!$B$13=3, Enginuity!$B$13=6)),
      AND(P1700="Inner Centre Jamb", OR(Enginuity!$B$13=4, Enginuity!$B$13=6)),
      AND(
        LEFT(P1700,5)&lt;&gt;"1-Way",
        LEFT(P1700,5)&lt;&gt;"2-Way",
        LEFT(P1700,5)&lt;&gt;"3-Way",
        P1700&lt;&gt;"Inner Centre Jamb"
      )
    ),
    IF(OR(Enginuity!$A$1="Frameless Glass",Enginuity!$A$1="Metal Work"),
      AND(TRIM(B1700)=TRIM(Enginuity!$A$17),TRIM(C1700)=TRIM(Enginuity!$A$18)),
      TRIM(B1700)=TRIM(Enginuity!$A$17)
    )
  ),
  ROW(),
  ""
)</f>
        <v/>
      </c>
    </row>
    <row r="1701" spans="1:21" x14ac:dyDescent="0.25">
      <c r="A1701" s="10" t="s">
        <v>768</v>
      </c>
      <c r="B1701" s="229" t="s">
        <v>966</v>
      </c>
      <c r="C1701" s="10"/>
      <c r="D1701" s="14"/>
      <c r="E1701" s="157"/>
      <c r="F1701" s="10"/>
      <c r="G1701" s="17"/>
      <c r="H1701" s="10"/>
      <c r="I1701" s="17"/>
      <c r="J1701" s="83"/>
      <c r="K1701" s="343"/>
      <c r="L1701" s="347"/>
      <c r="M1701" s="89">
        <f t="shared" si="35"/>
        <v>18</v>
      </c>
      <c r="N1701" s="10"/>
      <c r="O1701" s="22"/>
      <c r="P1701" s="21"/>
      <c r="Q1701" s="83"/>
      <c r="U1701" s="104" t="str">
        <f>IF(
  AND(
    TRIM(A1701)=TRIM(Enginuity!$A$1),
    TRIM(B1701)=TRIM(Enginuity!$A$17),
    Q1701&lt;&gt;"",
    Q1701&lt;&gt;0,
    OR(
      TRIM(C1701)=TRIM(Enginuity!$A$18),
      AND(UPPER(TRIM(M1701))="STD", TRIM(B1701)=TRIM(Enginuity!$A$17))
    ),
    OR(
      AND(LEFT(P1701,5)="1-Way", Enginuity!$B$13=1),
      AND(LEFT(P1701,5)="2-Way", OR(Enginuity!$B$13=2, Enginuity!$B$13=4)),
      AND(LEFT(P1701,5)="3-Way", OR(Enginuity!$B$13=3, Enginuity!$B$13=6)),
      AND(P1701="Inner Centre Jamb", OR(Enginuity!$B$13=4, Enginuity!$B$13=6)),
      AND(
        LEFT(P1701,5)&lt;&gt;"1-Way",
        LEFT(P1701,5)&lt;&gt;"2-Way",
        LEFT(P1701,5)&lt;&gt;"3-Way",
        P1701&lt;&gt;"Inner Centre Jamb"
      )
    ),
    IF(OR(Enginuity!$A$1="Frameless Glass",Enginuity!$A$1="Metal Work"),
      AND(TRIM(B1701)=TRIM(Enginuity!$A$17),TRIM(C1701)=TRIM(Enginuity!$A$18)),
      TRIM(B1701)=TRIM(Enginuity!$A$17)
    )
  ),
  ROW(),
  ""
)</f>
        <v/>
      </c>
    </row>
    <row r="1702" spans="1:21" x14ac:dyDescent="0.25">
      <c r="A1702" s="10" t="s">
        <v>768</v>
      </c>
      <c r="B1702" s="229" t="s">
        <v>966</v>
      </c>
      <c r="C1702" s="10"/>
      <c r="D1702" s="14"/>
      <c r="E1702" s="157"/>
      <c r="F1702" s="10"/>
      <c r="G1702" s="17"/>
      <c r="H1702" s="10"/>
      <c r="I1702" s="17"/>
      <c r="J1702" s="83"/>
      <c r="K1702" s="343"/>
      <c r="L1702" s="347"/>
      <c r="M1702" s="89" t="s">
        <v>117</v>
      </c>
      <c r="N1702" s="10" t="s">
        <v>103</v>
      </c>
      <c r="O1702" s="22">
        <v>0.4</v>
      </c>
      <c r="P1702" s="14" t="s">
        <v>313</v>
      </c>
      <c r="Q1702" s="83">
        <f>Enginuity!$B$6 + (Enginuity!$B$7*2)</f>
        <v>46</v>
      </c>
      <c r="U1702" s="104" t="str">
        <f>IF(
  AND(
    TRIM(A1702)=TRIM(Enginuity!$A$1),
    TRIM(B1702)=TRIM(Enginuity!$A$17),
    Q1702&lt;&gt;"",
    Q1702&lt;&gt;0,
    OR(
      TRIM(C1702)=TRIM(Enginuity!$A$18),
      AND(UPPER(TRIM(M1702))="STD", TRIM(B1702)=TRIM(Enginuity!$A$17))
    ),
    OR(
      AND(LEFT(P1702,5)="1-Way", Enginuity!$B$13=1),
      AND(LEFT(P1702,5)="2-Way", OR(Enginuity!$B$13=2, Enginuity!$B$13=4)),
      AND(LEFT(P1702,5)="3-Way", OR(Enginuity!$B$13=3, Enginuity!$B$13=6)),
      AND(P1702="Inner Centre Jamb", OR(Enginuity!$B$13=4, Enginuity!$B$13=6)),
      AND(
        LEFT(P1702,5)&lt;&gt;"1-Way",
        LEFT(P1702,5)&lt;&gt;"2-Way",
        LEFT(P1702,5)&lt;&gt;"3-Way",
        P1702&lt;&gt;"Inner Centre Jamb"
      )
    ),
    IF(OR(Enginuity!$A$1="Frameless Glass",Enginuity!$A$1="Metal Work"),
      AND(TRIM(B1702)=TRIM(Enginuity!$A$17),TRIM(C1702)=TRIM(Enginuity!$A$18)),
      TRIM(B1702)=TRIM(Enginuity!$A$17)
    )
  ),
  ROW(),
  ""
)</f>
        <v/>
      </c>
    </row>
    <row r="1703" spans="1:21" x14ac:dyDescent="0.25">
      <c r="A1703" s="10" t="s">
        <v>768</v>
      </c>
      <c r="B1703" s="229" t="s">
        <v>966</v>
      </c>
      <c r="C1703" s="10"/>
      <c r="D1703" s="14"/>
      <c r="E1703" s="157"/>
      <c r="F1703" s="10"/>
      <c r="G1703" s="17"/>
      <c r="H1703" s="10"/>
      <c r="I1703" s="17"/>
      <c r="J1703" s="83"/>
      <c r="K1703" s="343"/>
      <c r="L1703" s="347"/>
      <c r="M1703" s="89" t="s">
        <v>117</v>
      </c>
      <c r="N1703" s="10" t="s">
        <v>103</v>
      </c>
      <c r="O1703" s="22">
        <v>0.4</v>
      </c>
      <c r="P1703" s="14" t="s">
        <v>973</v>
      </c>
      <c r="Q1703" s="83">
        <f>IF(OR(Enginuity!$B$6="",Enginuity!$B$7="",Enginuity!$B$13=""),"",
  2*(Enginuity!$B$6+Enginuity!$B$7)*Enginuity!$B$13*2
)</f>
        <v>924</v>
      </c>
      <c r="U1703" s="104" t="str">
        <f>IF(
  AND(
    TRIM(A1703)=TRIM(Enginuity!$A$1),
    TRIM(B1703)=TRIM(Enginuity!$A$17),
    Q1703&lt;&gt;"",
    Q1703&lt;&gt;0,
    OR(
      TRIM(C1703)=TRIM(Enginuity!$A$18),
      AND(UPPER(TRIM(M1703))="STD", TRIM(B1703)=TRIM(Enginuity!$A$17))
    ),
    OR(
      AND(LEFT(P1703,5)="1-Way", Enginuity!$B$13=1),
      AND(LEFT(P1703,5)="2-Way", OR(Enginuity!$B$13=2, Enginuity!$B$13=4)),
      AND(LEFT(P1703,5)="3-Way", OR(Enginuity!$B$13=3, Enginuity!$B$13=6)),
      AND(P1703="Inner Centre Jamb", OR(Enginuity!$B$13=4, Enginuity!$B$13=6)),
      AND(
        LEFT(P1703,5)&lt;&gt;"1-Way",
        LEFT(P1703,5)&lt;&gt;"2-Way",
        LEFT(P1703,5)&lt;&gt;"3-Way",
        P1703&lt;&gt;"Inner Centre Jamb"
      )
    ),
    IF(OR(Enginuity!$A$1="Frameless Glass",Enginuity!$A$1="Metal Work"),
      AND(TRIM(B1703)=TRIM(Enginuity!$A$17),TRIM(C1703)=TRIM(Enginuity!$A$18)),
      TRIM(B1703)=TRIM(Enginuity!$A$17)
    )
  ),
  ROW(),
  ""
)</f>
        <v/>
      </c>
    </row>
    <row r="1704" spans="1:21" x14ac:dyDescent="0.25">
      <c r="A1704" s="10" t="s">
        <v>768</v>
      </c>
      <c r="B1704" s="229" t="s">
        <v>966</v>
      </c>
      <c r="C1704" s="10"/>
      <c r="D1704" s="14"/>
      <c r="E1704" s="157"/>
      <c r="F1704" s="10"/>
      <c r="G1704" s="17"/>
      <c r="H1704" s="10"/>
      <c r="I1704" s="17"/>
      <c r="J1704" s="83"/>
      <c r="K1704" s="343"/>
      <c r="L1704" s="347"/>
      <c r="M1704" s="89" t="s">
        <v>117</v>
      </c>
      <c r="N1704" s="10" t="s">
        <v>103</v>
      </c>
      <c r="O1704" s="22">
        <v>0.12</v>
      </c>
      <c r="P1704" s="14" t="s">
        <v>280</v>
      </c>
      <c r="Q1704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576</v>
      </c>
      <c r="U1704" s="104" t="str">
        <f>IF(
  AND(
    TRIM(A1704)=TRIM(Enginuity!$A$1),
    TRIM(B1704)=TRIM(Enginuity!$A$17),
    Q1704&lt;&gt;"",
    Q1704&lt;&gt;0,
    OR(
      TRIM(C1704)=TRIM(Enginuity!$A$18),
      AND(UPPER(TRIM(M1704))="STD", TRIM(B1704)=TRIM(Enginuity!$A$17))
    ),
    OR(
      AND(LEFT(P1704,5)="1-Way", Enginuity!$B$13=1),
      AND(LEFT(P1704,5)="2-Way", OR(Enginuity!$B$13=2, Enginuity!$B$13=4)),
      AND(LEFT(P1704,5)="3-Way", OR(Enginuity!$B$13=3, Enginuity!$B$13=6)),
      AND(P1704="Inner Centre Jamb", OR(Enginuity!$B$13=4, Enginuity!$B$13=6)),
      AND(
        LEFT(P1704,5)&lt;&gt;"1-Way",
        LEFT(P1704,5)&lt;&gt;"2-Way",
        LEFT(P1704,5)&lt;&gt;"3-Way",
        P1704&lt;&gt;"Inner Centre Jamb"
      )
    ),
    IF(OR(Enginuity!$A$1="Frameless Glass",Enginuity!$A$1="Metal Work"),
      AND(TRIM(B1704)=TRIM(Enginuity!$A$17),TRIM(C1704)=TRIM(Enginuity!$A$18)),
      TRIM(B1704)=TRIM(Enginuity!$A$17)
    )
  ),
  ROW(),
  ""
)</f>
        <v/>
      </c>
    </row>
    <row r="1705" spans="1:21" x14ac:dyDescent="0.25">
      <c r="A1705" s="10" t="s">
        <v>768</v>
      </c>
      <c r="B1705" s="229" t="s">
        <v>966</v>
      </c>
      <c r="C1705" s="10"/>
      <c r="D1705" s="14"/>
      <c r="E1705" s="157"/>
      <c r="F1705" s="10"/>
      <c r="G1705" s="17"/>
      <c r="H1705" s="10"/>
      <c r="I1705" s="17"/>
      <c r="J1705" s="83"/>
      <c r="K1705" s="343"/>
      <c r="L1705" s="347"/>
      <c r="M1705" s="89" t="s">
        <v>117</v>
      </c>
      <c r="N1705" s="10" t="s">
        <v>112</v>
      </c>
      <c r="O1705" s="22">
        <v>80</v>
      </c>
      <c r="P1705" s="14" t="s">
        <v>314</v>
      </c>
      <c r="Q1705" s="83">
        <f>IF(MOD(Enginuity!$B$13,2)=1,1,0)</f>
        <v>1</v>
      </c>
      <c r="U1705" s="104" t="str">
        <f>IF(
  AND(
    TRIM(A1705)=TRIM(Enginuity!$A$1),
    TRIM(B1705)=TRIM(Enginuity!$A$17),
    Q1705&lt;&gt;"",
    Q1705&lt;&gt;0,
    OR(
      TRIM(C1705)=TRIM(Enginuity!$A$18),
      AND(UPPER(TRIM(M1705))="STD", TRIM(B1705)=TRIM(Enginuity!$A$17))
    ),
    OR(
      AND(LEFT(P1705,5)="1-Way", Enginuity!$B$13=1),
      AND(LEFT(P1705,5)="2-Way", OR(Enginuity!$B$13=2, Enginuity!$B$13=4)),
      AND(LEFT(P1705,5)="3-Way", OR(Enginuity!$B$13=3, Enginuity!$B$13=6)),
      AND(P1705="Inner Centre Jamb", OR(Enginuity!$B$13=4, Enginuity!$B$13=6)),
      AND(
        LEFT(P1705,5)&lt;&gt;"1-Way",
        LEFT(P1705,5)&lt;&gt;"2-Way",
        LEFT(P1705,5)&lt;&gt;"3-Way",
        P1705&lt;&gt;"Inner Centre Jamb"
      )
    ),
    IF(OR(Enginuity!$A$1="Frameless Glass",Enginuity!$A$1="Metal Work"),
      AND(TRIM(B1705)=TRIM(Enginuity!$A$17),TRIM(C1705)=TRIM(Enginuity!$A$18)),
      TRIM(B1705)=TRIM(Enginuity!$A$17)
    )
  ),
  ROW(),
  ""
)</f>
        <v/>
      </c>
    </row>
    <row r="1706" spans="1:21" x14ac:dyDescent="0.25">
      <c r="A1706" s="10" t="s">
        <v>768</v>
      </c>
      <c r="B1706" s="229" t="s">
        <v>966</v>
      </c>
      <c r="C1706" s="10"/>
      <c r="D1706" s="14"/>
      <c r="E1706" s="157"/>
      <c r="F1706" s="10"/>
      <c r="G1706" s="17"/>
      <c r="H1706" s="10"/>
      <c r="I1706" s="17"/>
      <c r="J1706" s="83"/>
      <c r="K1706" s="343"/>
      <c r="L1706" s="347"/>
      <c r="M1706" s="89" t="s">
        <v>117</v>
      </c>
      <c r="N1706" s="10" t="s">
        <v>112</v>
      </c>
      <c r="O1706" s="22">
        <v>2.8</v>
      </c>
      <c r="P1706" s="14" t="s">
        <v>133</v>
      </c>
      <c r="Q1706" s="83">
        <f>IF(AND(ISNUMBER(Enginuity!$B$13), Enginuity!$B$13&gt;0), Enginuity!$B$13*4, "")</f>
        <v>28</v>
      </c>
      <c r="U1706" s="104" t="str">
        <f>IF(
  AND(
    TRIM(A1706)=TRIM(Enginuity!$A$1),
    TRIM(B1706)=TRIM(Enginuity!$A$17),
    Q1706&lt;&gt;"",
    Q1706&lt;&gt;0,
    OR(
      TRIM(C1706)=TRIM(Enginuity!$A$18),
      AND(UPPER(TRIM(M1706))="STD", TRIM(B1706)=TRIM(Enginuity!$A$17))
    ),
    OR(
      AND(LEFT(P1706,5)="1-Way", Enginuity!$B$13=1),
      AND(LEFT(P1706,5)="2-Way", OR(Enginuity!$B$13=2, Enginuity!$B$13=4)),
      AND(LEFT(P1706,5)="3-Way", OR(Enginuity!$B$13=3, Enginuity!$B$13=6)),
      AND(P1706="Inner Centre Jamb", OR(Enginuity!$B$13=4, Enginuity!$B$13=6)),
      AND(
        LEFT(P1706,5)&lt;&gt;"1-Way",
        LEFT(P1706,5)&lt;&gt;"2-Way",
        LEFT(P1706,5)&lt;&gt;"3-Way",
        P1706&lt;&gt;"Inner Centre Jamb"
      )
    ),
    IF(OR(Enginuity!$A$1="Frameless Glass",Enginuity!$A$1="Metal Work"),
      AND(TRIM(B1706)=TRIM(Enginuity!$A$17),TRIM(C1706)=TRIM(Enginuity!$A$18)),
      TRIM(B1706)=TRIM(Enginuity!$A$17)
    )
  ),
  ROW(),
  ""
)</f>
        <v/>
      </c>
    </row>
    <row r="1707" spans="1:21" x14ac:dyDescent="0.25">
      <c r="A1707" s="10" t="s">
        <v>768</v>
      </c>
      <c r="B1707" s="229" t="s">
        <v>966</v>
      </c>
      <c r="C1707" s="10"/>
      <c r="D1707" s="14"/>
      <c r="E1707" s="157"/>
      <c r="F1707" s="10"/>
      <c r="G1707" s="17"/>
      <c r="H1707" s="10"/>
      <c r="I1707" s="17"/>
      <c r="J1707" s="83"/>
      <c r="K1707" s="343"/>
      <c r="L1707" s="347"/>
      <c r="M1707" s="89" t="s">
        <v>117</v>
      </c>
      <c r="N1707" s="10" t="s">
        <v>112</v>
      </c>
      <c r="O1707" s="22">
        <v>15</v>
      </c>
      <c r="P1707" s="14" t="s">
        <v>223</v>
      </c>
      <c r="Q1707" s="83">
        <f>IF(OR(Enginuity!$B$7="",Enginuity!$B$13=""),"",
Enginuity!$B$13*
IF(Enginuity!$B$7&lt;=7,4,
IF(Enginuity!$B$7&lt;=9,5,
IF(Enginuity!$B$7&lt;=11,6,7))))</f>
        <v>49</v>
      </c>
      <c r="U1707" s="104" t="str">
        <f>IF(
  AND(
    TRIM(A1707)=TRIM(Enginuity!$A$1),
    TRIM(B1707)=TRIM(Enginuity!$A$17),
    Q1707&lt;&gt;"",
    Q1707&lt;&gt;0,
    OR(
      TRIM(C1707)=TRIM(Enginuity!$A$18),
      AND(UPPER(TRIM(M1707))="STD", TRIM(B1707)=TRIM(Enginuity!$A$17))
    ),
    OR(
      AND(LEFT(P1707,5)="1-Way", Enginuity!$B$13=1),
      AND(LEFT(P1707,5)="2-Way", OR(Enginuity!$B$13=2, Enginuity!$B$13=4)),
      AND(LEFT(P1707,5)="3-Way", OR(Enginuity!$B$13=3, Enginuity!$B$13=6)),
      AND(P1707="Inner Centre Jamb", OR(Enginuity!$B$13=4, Enginuity!$B$13=6)),
      AND(
        LEFT(P1707,5)&lt;&gt;"1-Way",
        LEFT(P1707,5)&lt;&gt;"2-Way",
        LEFT(P1707,5)&lt;&gt;"3-Way",
        P1707&lt;&gt;"Inner Centre Jamb"
      )
    ),
    IF(OR(Enginuity!$A$1="Frameless Glass",Enginuity!$A$1="Metal Work"),
      AND(TRIM(B1707)=TRIM(Enginuity!$A$17),TRIM(C1707)=TRIM(Enginuity!$A$18)),
      TRIM(B1707)=TRIM(Enginuity!$A$17)
    )
  ),
  ROW(),
  ""
)</f>
        <v/>
      </c>
    </row>
    <row r="1708" spans="1:21" x14ac:dyDescent="0.25">
      <c r="A1708" s="10" t="s">
        <v>768</v>
      </c>
      <c r="B1708" s="229" t="s">
        <v>966</v>
      </c>
      <c r="C1708" s="10"/>
      <c r="D1708" s="14"/>
      <c r="E1708" s="157"/>
      <c r="F1708" s="10"/>
      <c r="G1708" s="17"/>
      <c r="H1708" s="10"/>
      <c r="I1708" s="17"/>
      <c r="J1708" s="83"/>
      <c r="K1708" s="343"/>
      <c r="L1708" s="347"/>
      <c r="M1708" s="89" t="s">
        <v>117</v>
      </c>
      <c r="N1708" s="10" t="s">
        <v>112</v>
      </c>
      <c r="O1708" s="22">
        <v>30</v>
      </c>
      <c r="P1708" s="14" t="s">
        <v>184</v>
      </c>
      <c r="Q1708" s="83">
        <f>IF(OR(Enginuity!$B$13="",Enginuity!$B$13&lt;2),"",Enginuity!$B$13-1)</f>
        <v>6</v>
      </c>
      <c r="U1708" s="104" t="str">
        <f>IF(
  AND(
    TRIM(A1708)=TRIM(Enginuity!$A$1),
    TRIM(B1708)=TRIM(Enginuity!$A$17),
    Q1708&lt;&gt;"",
    Q1708&lt;&gt;0,
    OR(
      TRIM(C1708)=TRIM(Enginuity!$A$18),
      AND(UPPER(TRIM(M1708))="STD", TRIM(B1708)=TRIM(Enginuity!$A$17))
    ),
    OR(
      AND(LEFT(P1708,5)="1-Way", Enginuity!$B$13=1),
      AND(LEFT(P1708,5)="2-Way", OR(Enginuity!$B$13=2, Enginuity!$B$13=4)),
      AND(LEFT(P1708,5)="3-Way", OR(Enginuity!$B$13=3, Enginuity!$B$13=6)),
      AND(P1708="Inner Centre Jamb", OR(Enginuity!$B$13=4, Enginuity!$B$13=6)),
      AND(
        LEFT(P1708,5)&lt;&gt;"1-Way",
        LEFT(P1708,5)&lt;&gt;"2-Way",
        LEFT(P1708,5)&lt;&gt;"3-Way",
        P1708&lt;&gt;"Inner Centre Jamb"
      )
    ),
    IF(OR(Enginuity!$A$1="Frameless Glass",Enginuity!$A$1="Metal Work"),
      AND(TRIM(B1708)=TRIM(Enginuity!$A$17),TRIM(C1708)=TRIM(Enginuity!$A$18)),
      TRIM(B1708)=TRIM(Enginuity!$A$17)
    )
  ),
  ROW(),
  ""
)</f>
        <v/>
      </c>
    </row>
    <row r="1709" spans="1:21" x14ac:dyDescent="0.25">
      <c r="A1709" s="10" t="s">
        <v>768</v>
      </c>
      <c r="B1709" s="229" t="s">
        <v>966</v>
      </c>
      <c r="C1709" s="10"/>
      <c r="D1709" s="14"/>
      <c r="E1709" s="157"/>
      <c r="F1709" s="10"/>
      <c r="G1709" s="17"/>
      <c r="H1709" s="10"/>
      <c r="I1709" s="17"/>
      <c r="J1709" s="83"/>
      <c r="K1709" s="343"/>
      <c r="L1709" s="347"/>
      <c r="M1709" s="89" t="s">
        <v>117</v>
      </c>
      <c r="N1709" s="10" t="s">
        <v>112</v>
      </c>
      <c r="O1709" s="22">
        <v>7.8</v>
      </c>
      <c r="P1709" s="14" t="s">
        <v>185</v>
      </c>
      <c r="Q1709" s="83">
        <f>(FLOOR(Enginuity!$B$13/2,1)*2)+IF(MOD(Enginuity!$B$13,2)=1,2,0)</f>
        <v>8</v>
      </c>
      <c r="U1709" s="104" t="str">
        <f>IF(
  AND(
    TRIM(A1709)=TRIM(Enginuity!$A$1),
    TRIM(B1709)=TRIM(Enginuity!$A$17),
    Q1709&lt;&gt;"",
    Q1709&lt;&gt;0,
    OR(
      TRIM(C1709)=TRIM(Enginuity!$A$18),
      AND(UPPER(TRIM(M1709))="STD", TRIM(B1709)=TRIM(Enginuity!$A$17))
    ),
    OR(
      AND(LEFT(P1709,5)="1-Way", Enginuity!$B$13=1),
      AND(LEFT(P1709,5)="2-Way", OR(Enginuity!$B$13=2, Enginuity!$B$13=4)),
      AND(LEFT(P1709,5)="3-Way", OR(Enginuity!$B$13=3, Enginuity!$B$13=6)),
      AND(P1709="Inner Centre Jamb", OR(Enginuity!$B$13=4, Enginuity!$B$13=6)),
      AND(
        LEFT(P1709,5)&lt;&gt;"1-Way",
        LEFT(P1709,5)&lt;&gt;"2-Way",
        LEFT(P1709,5)&lt;&gt;"3-Way",
        P1709&lt;&gt;"Inner Centre Jamb"
      )
    ),
    IF(OR(Enginuity!$A$1="Frameless Glass",Enginuity!$A$1="Metal Work"),
      AND(TRIM(B1709)=TRIM(Enginuity!$A$17),TRIM(C1709)=TRIM(Enginuity!$A$18)),
      TRIM(B1709)=TRIM(Enginuity!$A$17)
    )
  ),
  ROW(),
  ""
)</f>
        <v/>
      </c>
    </row>
    <row r="1710" spans="1:21" x14ac:dyDescent="0.25">
      <c r="A1710" s="10" t="s">
        <v>768</v>
      </c>
      <c r="B1710" s="229" t="s">
        <v>966</v>
      </c>
      <c r="C1710" s="10"/>
      <c r="D1710" s="14"/>
      <c r="E1710" s="157"/>
      <c r="F1710" s="10"/>
      <c r="G1710" s="17"/>
      <c r="H1710" s="10"/>
      <c r="I1710" s="17"/>
      <c r="J1710" s="83"/>
      <c r="K1710" s="343"/>
      <c r="L1710" s="347"/>
      <c r="M1710" s="89" t="s">
        <v>117</v>
      </c>
      <c r="N1710" s="10" t="s">
        <v>967</v>
      </c>
      <c r="O1710" s="22">
        <v>6.5</v>
      </c>
      <c r="P1710" s="14" t="s">
        <v>968</v>
      </c>
      <c r="Q1710" s="83">
        <f>IF(OR(Enginuity!$B$13="",Enginuity!$B$13=0),"",Enginuity!$B$13*2)</f>
        <v>14</v>
      </c>
      <c r="U1710" s="104" t="str">
        <f>IF(
  AND(
    TRIM(A1710)=TRIM(Enginuity!$A$1),
    TRIM(B1710)=TRIM(Enginuity!$A$17),
    Q1710&lt;&gt;"",
    Q1710&lt;&gt;0,
    OR(
      TRIM(C1710)=TRIM(Enginuity!$A$18),
      AND(UPPER(TRIM(M1710))="STD", TRIM(B1710)=TRIM(Enginuity!$A$17))
    ),
    OR(
      AND(LEFT(P1710,5)="1-Way", Enginuity!$B$13=1),
      AND(LEFT(P1710,5)="2-Way", OR(Enginuity!$B$13=2, Enginuity!$B$13=4)),
      AND(LEFT(P1710,5)="3-Way", OR(Enginuity!$B$13=3, Enginuity!$B$13=6)),
      AND(P1710="Inner Centre Jamb", OR(Enginuity!$B$13=4, Enginuity!$B$13=6)),
      AND(
        LEFT(P1710,5)&lt;&gt;"1-Way",
        LEFT(P1710,5)&lt;&gt;"2-Way",
        LEFT(P1710,5)&lt;&gt;"3-Way",
        P1710&lt;&gt;"Inner Centre Jamb"
      )
    ),
    IF(OR(Enginuity!$A$1="Frameless Glass",Enginuity!$A$1="Metal Work"),
      AND(TRIM(B1710)=TRIM(Enginuity!$A$17),TRIM(C1710)=TRIM(Enginuity!$A$18)),
      TRIM(B1710)=TRIM(Enginuity!$A$17)
    )
  ),
  ROW(),
  ""
)</f>
        <v/>
      </c>
    </row>
    <row r="1711" spans="1:21" x14ac:dyDescent="0.25">
      <c r="A1711" s="10" t="s">
        <v>768</v>
      </c>
      <c r="B1711" s="229" t="s">
        <v>966</v>
      </c>
      <c r="C1711" s="10"/>
      <c r="D1711" s="14"/>
      <c r="E1711" s="157"/>
      <c r="F1711" s="10"/>
      <c r="G1711" s="17"/>
      <c r="H1711" s="10"/>
      <c r="I1711" s="17"/>
      <c r="J1711" s="83"/>
      <c r="K1711" s="343"/>
      <c r="L1711" s="347"/>
      <c r="M1711" s="89" t="s">
        <v>117</v>
      </c>
      <c r="N1711" s="10" t="s">
        <v>176</v>
      </c>
      <c r="O1711" s="22" cm="1">
        <f t="array" ref="O1711">SUMPRODUCT( IFERROR(Q1733:Q1750*O1733:O1750, 0) )</f>
        <v>15968.22</v>
      </c>
      <c r="P1711" s="14" t="str">
        <f>IF(Enginuity!$A$19="","", "Dual Security Door Insert c/w SS Mesh + " &amp; Enginuity!$A$19)</f>
        <v>Dual Security Door Insert c/w SS Mesh + W/G</v>
      </c>
      <c r="Q1711" s="22">
        <f>IFERROR(--(N(O1711)&lt;&gt;0),"")</f>
        <v>1</v>
      </c>
      <c r="U1711" s="104" t="str">
        <f>IF(
  AND(
    TRIM(A1711)=TRIM(Enginuity!$A$1),
    TRIM(B1711)=TRIM(Enginuity!$A$17),
    Q1711&lt;&gt;"",
    Q1711&lt;&gt;0,
    OR(
      TRIM(C1711)=TRIM(Enginuity!$A$18),
      AND(UPPER(TRIM(M1711))="STD", TRIM(B1711)=TRIM(Enginuity!$A$17))
    ),
    OR(
      AND(LEFT(P1711,5)="1-Way", Enginuity!$B$13=1),
      AND(LEFT(P1711,5)="2-Way", OR(Enginuity!$B$13=2, Enginuity!$B$13=4)),
      AND(LEFT(P1711,5)="3-Way", OR(Enginuity!$B$13=3, Enginuity!$B$13=6)),
      AND(P1711="Inner Centre Jamb", OR(Enginuity!$B$13=4, Enginuity!$B$13=6)),
      AND(
        LEFT(P1711,5)&lt;&gt;"1-Way",
        LEFT(P1711,5)&lt;&gt;"2-Way",
        LEFT(P1711,5)&lt;&gt;"3-Way",
        P1711&lt;&gt;"Inner Centre Jamb"
      )
    ),
    IF(OR(Enginuity!$A$1="Frameless Glass",Enginuity!$A$1="Metal Work"),
      AND(TRIM(B1711)=TRIM(Enginuity!$A$17),TRIM(C1711)=TRIM(Enginuity!$A$18)),
      TRIM(B1711)=TRIM(Enginuity!$A$17)
    )
  ),
  ROW(),
  ""
)</f>
        <v/>
      </c>
    </row>
    <row r="1712" spans="1:21" x14ac:dyDescent="0.25">
      <c r="A1712" s="10" t="s">
        <v>768</v>
      </c>
      <c r="B1712" s="229" t="s">
        <v>966</v>
      </c>
      <c r="C1712" s="10"/>
      <c r="D1712" s="14"/>
      <c r="E1712" s="157"/>
      <c r="F1712" s="10"/>
      <c r="G1712" s="17"/>
      <c r="H1712" s="10"/>
      <c r="I1712" s="17"/>
      <c r="J1712" s="83"/>
      <c r="K1712" s="343"/>
      <c r="L1712" s="347"/>
      <c r="M1712" s="89"/>
      <c r="N1712" s="10"/>
      <c r="O1712" s="22"/>
      <c r="P1712" s="14"/>
      <c r="Q1712" s="83"/>
      <c r="U1712" s="104" t="str">
        <f>IF(
  AND(
    TRIM(A1712)=TRIM(Enginuity!$A$1),
    TRIM(B1712)=TRIM(Enginuity!$A$17),
    Q1712&lt;&gt;"",
    Q1712&lt;&gt;0,
    OR(
      TRIM(C1712)=TRIM(Enginuity!$A$18),
      AND(UPPER(TRIM(M1712))="STD", TRIM(B1712)=TRIM(Enginuity!$A$17))
    ),
    OR(
      AND(LEFT(P1712,5)="1-Way", Enginuity!$B$13=1),
      AND(LEFT(P1712,5)="2-Way", OR(Enginuity!$B$13=2, Enginuity!$B$13=4)),
      AND(LEFT(P1712,5)="3-Way", OR(Enginuity!$B$13=3, Enginuity!$B$13=6)),
      AND(P1712="Inner Centre Jamb", OR(Enginuity!$B$13=4, Enginuity!$B$13=6)),
      AND(
        LEFT(P1712,5)&lt;&gt;"1-Way",
        LEFT(P1712,5)&lt;&gt;"2-Way",
        LEFT(P1712,5)&lt;&gt;"3-Way",
        P1712&lt;&gt;"Inner Centre Jamb"
      )
    ),
    IF(OR(Enginuity!$A$1="Frameless Glass",Enginuity!$A$1="Metal Work"),
      AND(TRIM(B1712)=TRIM(Enginuity!$A$17),TRIM(C1712)=TRIM(Enginuity!$A$18)),
      TRIM(B1712)=TRIM(Enginuity!$A$17)
    )
  ),
  ROW(),
  ""
)</f>
        <v/>
      </c>
    </row>
    <row r="1713" spans="1:21" x14ac:dyDescent="0.25">
      <c r="A1713" s="10" t="s">
        <v>768</v>
      </c>
      <c r="B1713" s="229" t="s">
        <v>966</v>
      </c>
      <c r="C1713" s="10"/>
      <c r="D1713" s="14"/>
      <c r="E1713" s="157"/>
      <c r="F1713" s="10"/>
      <c r="G1713" s="17"/>
      <c r="H1713" s="10"/>
      <c r="I1713" s="17"/>
      <c r="J1713" s="83"/>
      <c r="K1713" s="343"/>
      <c r="L1713" s="347"/>
      <c r="M1713" s="89"/>
      <c r="N1713" s="10"/>
      <c r="O1713" s="22"/>
      <c r="P1713" s="14"/>
      <c r="Q1713" s="83"/>
      <c r="U1713" s="104" t="str">
        <f>IF(
  AND(
    TRIM(A1713)=TRIM(Enginuity!$A$1),
    TRIM(B1713)=TRIM(Enginuity!$A$17),
    Q1713&lt;&gt;"",
    Q1713&lt;&gt;0,
    OR(
      TRIM(C1713)=TRIM(Enginuity!$A$18),
      AND(UPPER(TRIM(M1713))="STD", TRIM(B1713)=TRIM(Enginuity!$A$17))
    ),
    OR(
      AND(LEFT(P1713,5)="1-Way", Enginuity!$B$13=1),
      AND(LEFT(P1713,5)="2-Way", OR(Enginuity!$B$13=2, Enginuity!$B$13=4)),
      AND(LEFT(P1713,5)="3-Way", OR(Enginuity!$B$13=3, Enginuity!$B$13=6)),
      AND(P1713="Inner Centre Jamb", OR(Enginuity!$B$13=4, Enginuity!$B$13=6)),
      AND(
        LEFT(P1713,5)&lt;&gt;"1-Way",
        LEFT(P1713,5)&lt;&gt;"2-Way",
        LEFT(P1713,5)&lt;&gt;"3-Way",
        P1713&lt;&gt;"Inner Centre Jamb"
      )
    ),
    IF(OR(Enginuity!$A$1="Frameless Glass",Enginuity!$A$1="Metal Work"),
      AND(TRIM(B1713)=TRIM(Enginuity!$A$17),TRIM(C1713)=TRIM(Enginuity!$A$18)),
      TRIM(B1713)=TRIM(Enginuity!$A$17)
    )
  ),
  ROW(),
  ""
)</f>
        <v/>
      </c>
    </row>
    <row r="1714" spans="1:21" x14ac:dyDescent="0.25">
      <c r="A1714" s="10" t="s">
        <v>768</v>
      </c>
      <c r="B1714" s="229" t="s">
        <v>966</v>
      </c>
      <c r="C1714" s="10"/>
      <c r="D1714" s="14"/>
      <c r="E1714" s="157"/>
      <c r="F1714" s="10"/>
      <c r="G1714" s="17"/>
      <c r="H1714" s="10"/>
      <c r="I1714" s="17"/>
      <c r="J1714" s="83"/>
      <c r="K1714" s="343"/>
      <c r="L1714" s="347"/>
      <c r="M1714" s="89"/>
      <c r="N1714" s="10"/>
      <c r="O1714" s="22"/>
      <c r="P1714" s="14"/>
      <c r="Q1714" s="83"/>
      <c r="U1714" s="104" t="str">
        <f>IF(
  AND(
    TRIM(A1714)=TRIM(Enginuity!$A$1),
    TRIM(B1714)=TRIM(Enginuity!$A$17),
    Q1714&lt;&gt;"",
    Q1714&lt;&gt;0,
    OR(
      TRIM(C1714)=TRIM(Enginuity!$A$18),
      AND(UPPER(TRIM(M1714))="STD", TRIM(B1714)=TRIM(Enginuity!$A$17))
    ),
    OR(
      AND(LEFT(P1714,5)="1-Way", Enginuity!$B$13=1),
      AND(LEFT(P1714,5)="2-Way", OR(Enginuity!$B$13=2, Enginuity!$B$13=4)),
      AND(LEFT(P1714,5)="3-Way", OR(Enginuity!$B$13=3, Enginuity!$B$13=6)),
      AND(P1714="Inner Centre Jamb", OR(Enginuity!$B$13=4, Enginuity!$B$13=6)),
      AND(
        LEFT(P1714,5)&lt;&gt;"1-Way",
        LEFT(P1714,5)&lt;&gt;"2-Way",
        LEFT(P1714,5)&lt;&gt;"3-Way",
        P1714&lt;&gt;"Inner Centre Jamb"
      )
    ),
    IF(OR(Enginuity!$A$1="Frameless Glass",Enginuity!$A$1="Metal Work"),
      AND(TRIM(B1714)=TRIM(Enginuity!$A$17),TRIM(C1714)=TRIM(Enginuity!$A$18)),
      TRIM(B1714)=TRIM(Enginuity!$A$17)
    )
  ),
  ROW(),
  ""
)</f>
        <v/>
      </c>
    </row>
    <row r="1715" spans="1:21" x14ac:dyDescent="0.25">
      <c r="A1715" s="10" t="s">
        <v>768</v>
      </c>
      <c r="B1715" s="229" t="s">
        <v>966</v>
      </c>
      <c r="C1715" s="10"/>
      <c r="D1715" s="14"/>
      <c r="E1715" s="157"/>
      <c r="F1715" s="10"/>
      <c r="G1715" s="17"/>
      <c r="H1715" s="10"/>
      <c r="I1715" s="17"/>
      <c r="J1715" s="83"/>
      <c r="K1715" s="343"/>
      <c r="L1715" s="347"/>
      <c r="M1715" s="89"/>
      <c r="N1715" s="10"/>
      <c r="O1715" s="22"/>
      <c r="P1715" s="14"/>
      <c r="Q1715" s="83"/>
      <c r="U1715" s="104" t="str">
        <f>IF(
  AND(
    TRIM(A1715)=TRIM(Enginuity!$A$1),
    TRIM(B1715)=TRIM(Enginuity!$A$17),
    Q1715&lt;&gt;"",
    Q1715&lt;&gt;0,
    OR(
      TRIM(C1715)=TRIM(Enginuity!$A$18),
      AND(UPPER(TRIM(M1715))="STD", TRIM(B1715)=TRIM(Enginuity!$A$17))
    ),
    OR(
      AND(LEFT(P1715,5)="1-Way", Enginuity!$B$13=1),
      AND(LEFT(P1715,5)="2-Way", OR(Enginuity!$B$13=2, Enginuity!$B$13=4)),
      AND(LEFT(P1715,5)="3-Way", OR(Enginuity!$B$13=3, Enginuity!$B$13=6)),
      AND(P1715="Inner Centre Jamb", OR(Enginuity!$B$13=4, Enginuity!$B$13=6)),
      AND(
        LEFT(P1715,5)&lt;&gt;"1-Way",
        LEFT(P1715,5)&lt;&gt;"2-Way",
        LEFT(P1715,5)&lt;&gt;"3-Way",
        P1715&lt;&gt;"Inner Centre Jamb"
      )
    ),
    IF(OR(Enginuity!$A$1="Frameless Glass",Enginuity!$A$1="Metal Work"),
      AND(TRIM(B1715)=TRIM(Enginuity!$A$17),TRIM(C1715)=TRIM(Enginuity!$A$18)),
      TRIM(B1715)=TRIM(Enginuity!$A$17)
    )
  ),
  ROW(),
  ""
)</f>
        <v/>
      </c>
    </row>
    <row r="1716" spans="1:21" x14ac:dyDescent="0.25">
      <c r="A1716" s="10" t="s">
        <v>768</v>
      </c>
      <c r="B1716" s="229" t="s">
        <v>966</v>
      </c>
      <c r="C1716" s="10"/>
      <c r="D1716" s="14"/>
      <c r="E1716" s="157"/>
      <c r="F1716" s="10"/>
      <c r="G1716" s="17"/>
      <c r="H1716" s="10"/>
      <c r="I1716" s="17"/>
      <c r="J1716" s="83"/>
      <c r="K1716" s="343"/>
      <c r="L1716" s="347"/>
      <c r="M1716" s="89"/>
      <c r="N1716" s="10"/>
      <c r="O1716" s="22"/>
      <c r="P1716" s="14"/>
      <c r="Q1716" s="83"/>
      <c r="U1716" s="104" t="str">
        <f>IF(
  AND(
    TRIM(A1716)=TRIM(Enginuity!$A$1),
    TRIM(B1716)=TRIM(Enginuity!$A$17),
    Q1716&lt;&gt;"",
    Q1716&lt;&gt;0,
    OR(
      TRIM(C1716)=TRIM(Enginuity!$A$18),
      AND(UPPER(TRIM(M1716))="STD", TRIM(B1716)=TRIM(Enginuity!$A$17))
    ),
    OR(
      AND(LEFT(P1716,5)="1-Way", Enginuity!$B$13=1),
      AND(LEFT(P1716,5)="2-Way", OR(Enginuity!$B$13=2, Enginuity!$B$13=4)),
      AND(LEFT(P1716,5)="3-Way", OR(Enginuity!$B$13=3, Enginuity!$B$13=6)),
      AND(P1716="Inner Centre Jamb", OR(Enginuity!$B$13=4, Enginuity!$B$13=6)),
      AND(
        LEFT(P1716,5)&lt;&gt;"1-Way",
        LEFT(P1716,5)&lt;&gt;"2-Way",
        LEFT(P1716,5)&lt;&gt;"3-Way",
        P1716&lt;&gt;"Inner Centre Jamb"
      )
    ),
    IF(OR(Enginuity!$A$1="Frameless Glass",Enginuity!$A$1="Metal Work"),
      AND(TRIM(B1716)=TRIM(Enginuity!$A$17),TRIM(C1716)=TRIM(Enginuity!$A$18)),
      TRIM(B1716)=TRIM(Enginuity!$A$17)
    )
  ),
  ROW(),
  ""
)</f>
        <v/>
      </c>
    </row>
    <row r="1717" spans="1:21" x14ac:dyDescent="0.25">
      <c r="A1717" s="10" t="s">
        <v>768</v>
      </c>
      <c r="B1717" s="229" t="s">
        <v>966</v>
      </c>
      <c r="C1717" s="10"/>
      <c r="D1717" s="14"/>
      <c r="E1717" s="157"/>
      <c r="F1717" s="10"/>
      <c r="G1717" s="17"/>
      <c r="H1717" s="10"/>
      <c r="I1717" s="17"/>
      <c r="J1717" s="83"/>
      <c r="K1717" s="343"/>
      <c r="L1717" s="347"/>
      <c r="M1717" s="89"/>
      <c r="N1717" s="10"/>
      <c r="O1717" s="22"/>
      <c r="P1717" s="14"/>
      <c r="Q1717" s="83"/>
      <c r="U1717" s="104" t="str">
        <f>IF(
  AND(
    TRIM(A1717)=TRIM(Enginuity!$A$1),
    TRIM(B1717)=TRIM(Enginuity!$A$17),
    Q1717&lt;&gt;"",
    Q1717&lt;&gt;0,
    OR(
      TRIM(C1717)=TRIM(Enginuity!$A$18),
      AND(UPPER(TRIM(M1717))="STD", TRIM(B1717)=TRIM(Enginuity!$A$17))
    ),
    OR(
      AND(LEFT(P1717,5)="1-Way", Enginuity!$B$13=1),
      AND(LEFT(P1717,5)="2-Way", OR(Enginuity!$B$13=2, Enginuity!$B$13=4)),
      AND(LEFT(P1717,5)="3-Way", OR(Enginuity!$B$13=3, Enginuity!$B$13=6)),
      AND(P1717="Inner Centre Jamb", OR(Enginuity!$B$13=4, Enginuity!$B$13=6)),
      AND(
        LEFT(P1717,5)&lt;&gt;"1-Way",
        LEFT(P1717,5)&lt;&gt;"2-Way",
        LEFT(P1717,5)&lt;&gt;"3-Way",
        P1717&lt;&gt;"Inner Centre Jamb"
      )
    ),
    IF(OR(Enginuity!$A$1="Frameless Glass",Enginuity!$A$1="Metal Work"),
      AND(TRIM(B1717)=TRIM(Enginuity!$A$17),TRIM(C1717)=TRIM(Enginuity!$A$18)),
      TRIM(B1717)=TRIM(Enginuity!$A$17)
    )
  ),
  ROW(),
  ""
)</f>
        <v/>
      </c>
    </row>
    <row r="1718" spans="1:21" x14ac:dyDescent="0.25">
      <c r="A1718" s="10" t="s">
        <v>768</v>
      </c>
      <c r="B1718" s="229" t="s">
        <v>966</v>
      </c>
      <c r="C1718" s="10"/>
      <c r="D1718" s="14"/>
      <c r="E1718" s="157"/>
      <c r="F1718" s="10"/>
      <c r="G1718" s="17"/>
      <c r="H1718" s="10"/>
      <c r="I1718" s="17"/>
      <c r="J1718" s="83"/>
      <c r="K1718" s="343"/>
      <c r="L1718" s="347"/>
      <c r="M1718" s="89"/>
      <c r="N1718" s="10"/>
      <c r="O1718" s="22"/>
      <c r="P1718" s="14"/>
      <c r="Q1718" s="83"/>
      <c r="U1718" s="104" t="str">
        <f>IF(
  AND(
    TRIM(A1718)=TRIM(Enginuity!$A$1),
    TRIM(B1718)=TRIM(Enginuity!$A$17),
    Q1718&lt;&gt;"",
    Q1718&lt;&gt;0,
    OR(
      TRIM(C1718)=TRIM(Enginuity!$A$18),
      AND(UPPER(TRIM(M1718))="STD", TRIM(B1718)=TRIM(Enginuity!$A$17))
    ),
    OR(
      AND(LEFT(P1718,5)="1-Way", Enginuity!$B$13=1),
      AND(LEFT(P1718,5)="2-Way", OR(Enginuity!$B$13=2, Enginuity!$B$13=4)),
      AND(LEFT(P1718,5)="3-Way", OR(Enginuity!$B$13=3, Enginuity!$B$13=6)),
      AND(P1718="Inner Centre Jamb", OR(Enginuity!$B$13=4, Enginuity!$B$13=6)),
      AND(
        LEFT(P1718,5)&lt;&gt;"1-Way",
        LEFT(P1718,5)&lt;&gt;"2-Way",
        LEFT(P1718,5)&lt;&gt;"3-Way",
        P1718&lt;&gt;"Inner Centre Jamb"
      )
    ),
    IF(OR(Enginuity!$A$1="Frameless Glass",Enginuity!$A$1="Metal Work"),
      AND(TRIM(B1718)=TRIM(Enginuity!$A$17),TRIM(C1718)=TRIM(Enginuity!$A$18)),
      TRIM(B1718)=TRIM(Enginuity!$A$17)
    )
  ),
  ROW(),
  ""
)</f>
        <v/>
      </c>
    </row>
    <row r="1719" spans="1:21" x14ac:dyDescent="0.25">
      <c r="A1719" s="10" t="s">
        <v>768</v>
      </c>
      <c r="B1719" s="229" t="s">
        <v>966</v>
      </c>
      <c r="C1719" s="10"/>
      <c r="D1719" s="14"/>
      <c r="E1719" s="157"/>
      <c r="F1719" s="10"/>
      <c r="G1719" s="17"/>
      <c r="H1719" s="10"/>
      <c r="I1719" s="17"/>
      <c r="J1719" s="83"/>
      <c r="K1719" s="343"/>
      <c r="L1719" s="347"/>
      <c r="M1719" s="89"/>
      <c r="N1719" s="10"/>
      <c r="O1719" s="22"/>
      <c r="P1719" s="14"/>
      <c r="Q1719" s="83"/>
      <c r="U1719" s="104" t="str">
        <f>IF(
  AND(
    TRIM(A1719)=TRIM(Enginuity!$A$1),
    TRIM(B1719)=TRIM(Enginuity!$A$17),
    Q1719&lt;&gt;"",
    Q1719&lt;&gt;0,
    OR(
      TRIM(C1719)=TRIM(Enginuity!$A$18),
      AND(UPPER(TRIM(M1719))="STD", TRIM(B1719)=TRIM(Enginuity!$A$17))
    ),
    OR(
      AND(LEFT(P1719,5)="1-Way", Enginuity!$B$13=1),
      AND(LEFT(P1719,5)="2-Way", OR(Enginuity!$B$13=2, Enginuity!$B$13=4)),
      AND(LEFT(P1719,5)="3-Way", OR(Enginuity!$B$13=3, Enginuity!$B$13=6)),
      AND(P1719="Inner Centre Jamb", OR(Enginuity!$B$13=4, Enginuity!$B$13=6)),
      AND(
        LEFT(P1719,5)&lt;&gt;"1-Way",
        LEFT(P1719,5)&lt;&gt;"2-Way",
        LEFT(P1719,5)&lt;&gt;"3-Way",
        P1719&lt;&gt;"Inner Centre Jamb"
      )
    ),
    IF(OR(Enginuity!$A$1="Frameless Glass",Enginuity!$A$1="Metal Work"),
      AND(TRIM(B1719)=TRIM(Enginuity!$A$17),TRIM(C1719)=TRIM(Enginuity!$A$18)),
      TRIM(B1719)=TRIM(Enginuity!$A$17)
    )
  ),
  ROW(),
  ""
)</f>
        <v/>
      </c>
    </row>
    <row r="1720" spans="1:21" x14ac:dyDescent="0.25">
      <c r="A1720" s="10" t="s">
        <v>768</v>
      </c>
      <c r="B1720" s="229" t="s">
        <v>966</v>
      </c>
      <c r="C1720" s="10"/>
      <c r="D1720" s="14"/>
      <c r="E1720" s="157"/>
      <c r="F1720" s="10"/>
      <c r="G1720" s="17"/>
      <c r="H1720" s="10"/>
      <c r="I1720" s="17"/>
      <c r="J1720" s="83"/>
      <c r="K1720" s="343"/>
      <c r="L1720" s="347"/>
      <c r="M1720" s="89"/>
      <c r="N1720" s="10"/>
      <c r="O1720" s="22"/>
      <c r="P1720" s="14"/>
      <c r="Q1720" s="83"/>
      <c r="U1720" s="104" t="str">
        <f>IF(
  AND(
    TRIM(A1720)=TRIM(Enginuity!$A$1),
    TRIM(B1720)=TRIM(Enginuity!$A$17),
    Q1720&lt;&gt;"",
    Q1720&lt;&gt;0,
    OR(
      TRIM(C1720)=TRIM(Enginuity!$A$18),
      AND(UPPER(TRIM(M1720))="STD", TRIM(B1720)=TRIM(Enginuity!$A$17))
    ),
    OR(
      AND(LEFT(P1720,5)="1-Way", Enginuity!$B$13=1),
      AND(LEFT(P1720,5)="2-Way", OR(Enginuity!$B$13=2, Enginuity!$B$13=4)),
      AND(LEFT(P1720,5)="3-Way", OR(Enginuity!$B$13=3, Enginuity!$B$13=6)),
      AND(P1720="Inner Centre Jamb", OR(Enginuity!$B$13=4, Enginuity!$B$13=6)),
      AND(
        LEFT(P1720,5)&lt;&gt;"1-Way",
        LEFT(P1720,5)&lt;&gt;"2-Way",
        LEFT(P1720,5)&lt;&gt;"3-Way",
        P1720&lt;&gt;"Inner Centre Jamb"
      )
    ),
    IF(OR(Enginuity!$A$1="Frameless Glass",Enginuity!$A$1="Metal Work"),
      AND(TRIM(B1720)=TRIM(Enginuity!$A$17),TRIM(C1720)=TRIM(Enginuity!$A$18)),
      TRIM(B1720)=TRIM(Enginuity!$A$17)
    )
  ),
  ROW(),
  ""
)</f>
        <v/>
      </c>
    </row>
    <row r="1721" spans="1:21" x14ac:dyDescent="0.25">
      <c r="A1721" s="10" t="s">
        <v>768</v>
      </c>
      <c r="B1721" s="229" t="s">
        <v>966</v>
      </c>
      <c r="C1721" s="10"/>
      <c r="D1721" s="14"/>
      <c r="E1721" s="157"/>
      <c r="F1721" s="10"/>
      <c r="G1721" s="17"/>
      <c r="H1721" s="10"/>
      <c r="I1721" s="17"/>
      <c r="J1721" s="83"/>
      <c r="K1721" s="343"/>
      <c r="L1721" s="347"/>
      <c r="M1721" s="89"/>
      <c r="N1721" s="10"/>
      <c r="O1721" s="22"/>
      <c r="P1721" s="14"/>
      <c r="Q1721" s="83"/>
      <c r="U1721" s="104" t="str">
        <f>IF(
  AND(
    TRIM(A1721)=TRIM(Enginuity!$A$1),
    TRIM(B1721)=TRIM(Enginuity!$A$17),
    Q1721&lt;&gt;"",
    Q1721&lt;&gt;0,
    OR(
      TRIM(C1721)=TRIM(Enginuity!$A$18),
      AND(UPPER(TRIM(M1721))="STD", TRIM(B1721)=TRIM(Enginuity!$A$17))
    ),
    OR(
      AND(LEFT(P1721,5)="1-Way", Enginuity!$B$13=1),
      AND(LEFT(P1721,5)="2-Way", OR(Enginuity!$B$13=2, Enginuity!$B$13=4)),
      AND(LEFT(P1721,5)="3-Way", OR(Enginuity!$B$13=3, Enginuity!$B$13=6)),
      AND(P1721="Inner Centre Jamb", OR(Enginuity!$B$13=4, Enginuity!$B$13=6)),
      AND(
        LEFT(P1721,5)&lt;&gt;"1-Way",
        LEFT(P1721,5)&lt;&gt;"2-Way",
        LEFT(P1721,5)&lt;&gt;"3-Way",
        P1721&lt;&gt;"Inner Centre Jamb"
      )
    ),
    IF(OR(Enginuity!$A$1="Frameless Glass",Enginuity!$A$1="Metal Work"),
      AND(TRIM(B1721)=TRIM(Enginuity!$A$17),TRIM(C1721)=TRIM(Enginuity!$A$18)),
      TRIM(B1721)=TRIM(Enginuity!$A$17)
    )
  ),
  ROW(),
  ""
)</f>
        <v/>
      </c>
    </row>
    <row r="1722" spans="1:21" x14ac:dyDescent="0.25">
      <c r="A1722" s="10" t="s">
        <v>768</v>
      </c>
      <c r="B1722" s="229" t="s">
        <v>966</v>
      </c>
      <c r="C1722" s="10"/>
      <c r="D1722" s="14"/>
      <c r="E1722" s="157"/>
      <c r="F1722" s="10"/>
      <c r="G1722" s="17"/>
      <c r="H1722" s="10"/>
      <c r="I1722" s="17"/>
      <c r="J1722" s="83"/>
      <c r="K1722" s="343"/>
      <c r="L1722" s="347"/>
      <c r="M1722" s="89"/>
      <c r="N1722" s="10"/>
      <c r="O1722" s="22"/>
      <c r="P1722" s="14"/>
      <c r="Q1722" s="83"/>
      <c r="U1722" s="104" t="str">
        <f>IF(
  AND(
    TRIM(A1722)=TRIM(Enginuity!$A$1),
    TRIM(B1722)=TRIM(Enginuity!$A$17),
    Q1722&lt;&gt;"",
    Q1722&lt;&gt;0,
    OR(
      TRIM(C1722)=TRIM(Enginuity!$A$18),
      AND(UPPER(TRIM(M1722))="STD", TRIM(B1722)=TRIM(Enginuity!$A$17))
    ),
    OR(
      AND(LEFT(P1722,5)="1-Way", Enginuity!$B$13=1),
      AND(LEFT(P1722,5)="2-Way", OR(Enginuity!$B$13=2, Enginuity!$B$13=4)),
      AND(LEFT(P1722,5)="3-Way", OR(Enginuity!$B$13=3, Enginuity!$B$13=6)),
      AND(P1722="Inner Centre Jamb", OR(Enginuity!$B$13=4, Enginuity!$B$13=6)),
      AND(
        LEFT(P1722,5)&lt;&gt;"1-Way",
        LEFT(P1722,5)&lt;&gt;"2-Way",
        LEFT(P1722,5)&lt;&gt;"3-Way",
        P1722&lt;&gt;"Inner Centre Jamb"
      )
    ),
    IF(OR(Enginuity!$A$1="Frameless Glass",Enginuity!$A$1="Metal Work"),
      AND(TRIM(B1722)=TRIM(Enginuity!$A$17),TRIM(C1722)=TRIM(Enginuity!$A$18)),
      TRIM(B1722)=TRIM(Enginuity!$A$17)
    )
  ),
  ROW(),
  ""
)</f>
        <v/>
      </c>
    </row>
    <row r="1723" spans="1:21" x14ac:dyDescent="0.25">
      <c r="A1723" s="10" t="s">
        <v>768</v>
      </c>
      <c r="B1723" s="229" t="s">
        <v>966</v>
      </c>
      <c r="C1723" s="10"/>
      <c r="D1723" s="14"/>
      <c r="E1723" s="157"/>
      <c r="F1723" s="10"/>
      <c r="G1723" s="17"/>
      <c r="H1723" s="10"/>
      <c r="I1723" s="17"/>
      <c r="J1723" s="83"/>
      <c r="K1723" s="343"/>
      <c r="L1723" s="347"/>
      <c r="M1723" s="89"/>
      <c r="N1723" s="10"/>
      <c r="O1723" s="22"/>
      <c r="P1723" s="14"/>
      <c r="Q1723" s="83"/>
      <c r="U1723" s="104" t="str">
        <f>IF(
  AND(
    TRIM(A1723)=TRIM(Enginuity!$A$1),
    TRIM(B1723)=TRIM(Enginuity!$A$17),
    Q1723&lt;&gt;"",
    Q1723&lt;&gt;0,
    OR(
      TRIM(C1723)=TRIM(Enginuity!$A$18),
      AND(UPPER(TRIM(M1723))="STD", TRIM(B1723)=TRIM(Enginuity!$A$17))
    ),
    OR(
      AND(LEFT(P1723,5)="1-Way", Enginuity!$B$13=1),
      AND(LEFT(P1723,5)="2-Way", OR(Enginuity!$B$13=2, Enginuity!$B$13=4)),
      AND(LEFT(P1723,5)="3-Way", OR(Enginuity!$B$13=3, Enginuity!$B$13=6)),
      AND(P1723="Inner Centre Jamb", OR(Enginuity!$B$13=4, Enginuity!$B$13=6)),
      AND(
        LEFT(P1723,5)&lt;&gt;"1-Way",
        LEFT(P1723,5)&lt;&gt;"2-Way",
        LEFT(P1723,5)&lt;&gt;"3-Way",
        P1723&lt;&gt;"Inner Centre Jamb"
      )
    ),
    IF(OR(Enginuity!$A$1="Frameless Glass",Enginuity!$A$1="Metal Work"),
      AND(TRIM(B1723)=TRIM(Enginuity!$A$17),TRIM(C1723)=TRIM(Enginuity!$A$18)),
      TRIM(B1723)=TRIM(Enginuity!$A$17)
    )
  ),
  ROW(),
  ""
)</f>
        <v/>
      </c>
    </row>
    <row r="1724" spans="1:21" x14ac:dyDescent="0.25">
      <c r="A1724" s="10" t="s">
        <v>768</v>
      </c>
      <c r="B1724" s="229" t="s">
        <v>966</v>
      </c>
      <c r="C1724" s="10"/>
      <c r="D1724" s="14"/>
      <c r="E1724" s="157"/>
      <c r="F1724" s="10"/>
      <c r="G1724" s="17"/>
      <c r="H1724" s="10"/>
      <c r="I1724" s="17"/>
      <c r="J1724" s="83"/>
      <c r="K1724" s="343"/>
      <c r="L1724" s="347"/>
      <c r="M1724" s="89"/>
      <c r="N1724" s="10"/>
      <c r="O1724" s="22"/>
      <c r="P1724" s="14"/>
      <c r="Q1724" s="83"/>
      <c r="U1724" s="104" t="str">
        <f>IF(
  AND(
    TRIM(A1724)=TRIM(Enginuity!$A$1),
    TRIM(B1724)=TRIM(Enginuity!$A$17),
    Q1724&lt;&gt;"",
    Q1724&lt;&gt;0,
    OR(
      TRIM(C1724)=TRIM(Enginuity!$A$18),
      AND(UPPER(TRIM(M1724))="STD", TRIM(B1724)=TRIM(Enginuity!$A$17))
    ),
    OR(
      AND(LEFT(P1724,5)="1-Way", Enginuity!$B$13=1),
      AND(LEFT(P1724,5)="2-Way", OR(Enginuity!$B$13=2, Enginuity!$B$13=4)),
      AND(LEFT(P1724,5)="3-Way", OR(Enginuity!$B$13=3, Enginuity!$B$13=6)),
      AND(P1724="Inner Centre Jamb", OR(Enginuity!$B$13=4, Enginuity!$B$13=6)),
      AND(
        LEFT(P1724,5)&lt;&gt;"1-Way",
        LEFT(P1724,5)&lt;&gt;"2-Way",
        LEFT(P1724,5)&lt;&gt;"3-Way",
        P1724&lt;&gt;"Inner Centre Jamb"
      )
    ),
    IF(OR(Enginuity!$A$1="Frameless Glass",Enginuity!$A$1="Metal Work"),
      AND(TRIM(B1724)=TRIM(Enginuity!$A$17),TRIM(C1724)=TRIM(Enginuity!$A$18)),
      TRIM(B1724)=TRIM(Enginuity!$A$17)
    )
  ),
  ROW(),
  ""
)</f>
        <v/>
      </c>
    </row>
    <row r="1725" spans="1:21" x14ac:dyDescent="0.25">
      <c r="A1725" s="10" t="s">
        <v>768</v>
      </c>
      <c r="B1725" s="229" t="s">
        <v>966</v>
      </c>
      <c r="C1725" s="10"/>
      <c r="D1725" s="14"/>
      <c r="E1725" s="157"/>
      <c r="F1725" s="10"/>
      <c r="G1725" s="17"/>
      <c r="H1725" s="10"/>
      <c r="I1725" s="17"/>
      <c r="J1725" s="83"/>
      <c r="K1725" s="343"/>
      <c r="L1725" s="347"/>
      <c r="M1725" s="89"/>
      <c r="N1725" s="10"/>
      <c r="O1725" s="22"/>
      <c r="P1725" s="14"/>
      <c r="Q1725" s="83"/>
      <c r="U1725" s="104" t="str">
        <f>IF(
  AND(
    TRIM(A1725)=TRIM(Enginuity!$A$1),
    TRIM(B1725)=TRIM(Enginuity!$A$17),
    Q1725&lt;&gt;"",
    Q1725&lt;&gt;0,
    OR(
      TRIM(C1725)=TRIM(Enginuity!$A$18),
      AND(UPPER(TRIM(M1725))="STD", TRIM(B1725)=TRIM(Enginuity!$A$17))
    ),
    OR(
      AND(LEFT(P1725,5)="1-Way", Enginuity!$B$13=1),
      AND(LEFT(P1725,5)="2-Way", OR(Enginuity!$B$13=2, Enginuity!$B$13=4)),
      AND(LEFT(P1725,5)="3-Way", OR(Enginuity!$B$13=3, Enginuity!$B$13=6)),
      AND(P1725="Inner Centre Jamb", OR(Enginuity!$B$13=4, Enginuity!$B$13=6)),
      AND(
        LEFT(P1725,5)&lt;&gt;"1-Way",
        LEFT(P1725,5)&lt;&gt;"2-Way",
        LEFT(P1725,5)&lt;&gt;"3-Way",
        P1725&lt;&gt;"Inner Centre Jamb"
      )
    ),
    IF(OR(Enginuity!$A$1="Frameless Glass",Enginuity!$A$1="Metal Work"),
      AND(TRIM(B1725)=TRIM(Enginuity!$A$17),TRIM(C1725)=TRIM(Enginuity!$A$18)),
      TRIM(B1725)=TRIM(Enginuity!$A$17)
    )
  ),
  ROW(),
  ""
)</f>
        <v/>
      </c>
    </row>
    <row r="1726" spans="1:21" x14ac:dyDescent="0.25">
      <c r="A1726" s="10" t="s">
        <v>768</v>
      </c>
      <c r="B1726" s="229" t="s">
        <v>966</v>
      </c>
      <c r="C1726" s="10"/>
      <c r="D1726" s="14"/>
      <c r="E1726" s="157"/>
      <c r="F1726" s="10"/>
      <c r="G1726" s="17"/>
      <c r="H1726" s="10"/>
      <c r="I1726" s="17"/>
      <c r="J1726" s="83"/>
      <c r="K1726" s="343"/>
      <c r="L1726" s="347"/>
      <c r="M1726" s="89"/>
      <c r="N1726" s="10"/>
      <c r="O1726" s="22"/>
      <c r="P1726" s="14"/>
      <c r="Q1726" s="83"/>
      <c r="U1726" s="104" t="str">
        <f>IF(
  AND(
    TRIM(A1726)=TRIM(Enginuity!$A$1),
    TRIM(B1726)=TRIM(Enginuity!$A$17),
    Q1726&lt;&gt;"",
    Q1726&lt;&gt;0,
    OR(
      TRIM(C1726)=TRIM(Enginuity!$A$18),
      AND(UPPER(TRIM(M1726))="STD", TRIM(B1726)=TRIM(Enginuity!$A$17))
    ),
    OR(
      AND(LEFT(P1726,5)="1-Way", Enginuity!$B$13=1),
      AND(LEFT(P1726,5)="2-Way", OR(Enginuity!$B$13=2, Enginuity!$B$13=4)),
      AND(LEFT(P1726,5)="3-Way", OR(Enginuity!$B$13=3, Enginuity!$B$13=6)),
      AND(P1726="Inner Centre Jamb", OR(Enginuity!$B$13=4, Enginuity!$B$13=6)),
      AND(
        LEFT(P1726,5)&lt;&gt;"1-Way",
        LEFT(P1726,5)&lt;&gt;"2-Way",
        LEFT(P1726,5)&lt;&gt;"3-Way",
        P1726&lt;&gt;"Inner Centre Jamb"
      )
    ),
    IF(OR(Enginuity!$A$1="Frameless Glass",Enginuity!$A$1="Metal Work"),
      AND(TRIM(B1726)=TRIM(Enginuity!$A$17),TRIM(C1726)=TRIM(Enginuity!$A$18)),
      TRIM(B1726)=TRIM(Enginuity!$A$17)
    )
  ),
  ROW(),
  ""
)</f>
        <v/>
      </c>
    </row>
    <row r="1727" spans="1:21" x14ac:dyDescent="0.25">
      <c r="A1727" s="10" t="s">
        <v>768</v>
      </c>
      <c r="B1727" s="229" t="s">
        <v>966</v>
      </c>
      <c r="C1727" s="10"/>
      <c r="D1727" s="14"/>
      <c r="E1727" s="157"/>
      <c r="F1727" s="10"/>
      <c r="G1727" s="17"/>
      <c r="H1727" s="10"/>
      <c r="I1727" s="17"/>
      <c r="J1727" s="83"/>
      <c r="K1727" s="343"/>
      <c r="L1727" s="347"/>
      <c r="M1727" s="89"/>
      <c r="N1727" s="10"/>
      <c r="O1727" s="22"/>
      <c r="P1727" s="14"/>
      <c r="Q1727" s="83"/>
      <c r="U1727" s="104" t="str">
        <f>IF(
  AND(
    TRIM(A1727)=TRIM(Enginuity!$A$1),
    TRIM(B1727)=TRIM(Enginuity!$A$17),
    Q1727&lt;&gt;"",
    Q1727&lt;&gt;0,
    OR(
      TRIM(C1727)=TRIM(Enginuity!$A$18),
      AND(UPPER(TRIM(M1727))="STD", TRIM(B1727)=TRIM(Enginuity!$A$17))
    ),
    OR(
      AND(LEFT(P1727,5)="1-Way", Enginuity!$B$13=1),
      AND(LEFT(P1727,5)="2-Way", OR(Enginuity!$B$13=2, Enginuity!$B$13=4)),
      AND(LEFT(P1727,5)="3-Way", OR(Enginuity!$B$13=3, Enginuity!$B$13=6)),
      AND(P1727="Inner Centre Jamb", OR(Enginuity!$B$13=4, Enginuity!$B$13=6)),
      AND(
        LEFT(P1727,5)&lt;&gt;"1-Way",
        LEFT(P1727,5)&lt;&gt;"2-Way",
        LEFT(P1727,5)&lt;&gt;"3-Way",
        P1727&lt;&gt;"Inner Centre Jamb"
      )
    ),
    IF(OR(Enginuity!$A$1="Frameless Glass",Enginuity!$A$1="Metal Work"),
      AND(TRIM(B1727)=TRIM(Enginuity!$A$17),TRIM(C1727)=TRIM(Enginuity!$A$18)),
      TRIM(B1727)=TRIM(Enginuity!$A$17)
    )
  ),
  ROW(),
  ""
)</f>
        <v/>
      </c>
    </row>
    <row r="1728" spans="1:21" x14ac:dyDescent="0.25">
      <c r="A1728" s="10" t="s">
        <v>768</v>
      </c>
      <c r="B1728" s="229" t="s">
        <v>966</v>
      </c>
      <c r="C1728" s="10"/>
      <c r="D1728" s="14"/>
      <c r="E1728" s="157"/>
      <c r="F1728" s="10"/>
      <c r="G1728" s="17"/>
      <c r="H1728" s="10"/>
      <c r="I1728" s="17"/>
      <c r="J1728" s="83"/>
      <c r="K1728" s="343"/>
      <c r="L1728" s="347"/>
      <c r="M1728" s="89"/>
      <c r="N1728" s="10"/>
      <c r="O1728" s="22"/>
      <c r="P1728" s="14"/>
      <c r="Q1728" s="83"/>
      <c r="U1728" s="104" t="str">
        <f>IF(
  AND(
    TRIM(A1728)=TRIM(Enginuity!$A$1),
    TRIM(B1728)=TRIM(Enginuity!$A$17),
    Q1728&lt;&gt;"",
    Q1728&lt;&gt;0,
    OR(
      TRIM(C1728)=TRIM(Enginuity!$A$18),
      AND(UPPER(TRIM(M1728))="STD", TRIM(B1728)=TRIM(Enginuity!$A$17))
    ),
    OR(
      AND(LEFT(P1728,5)="1-Way", Enginuity!$B$13=1),
      AND(LEFT(P1728,5)="2-Way", OR(Enginuity!$B$13=2, Enginuity!$B$13=4)),
      AND(LEFT(P1728,5)="3-Way", OR(Enginuity!$B$13=3, Enginuity!$B$13=6)),
      AND(P1728="Inner Centre Jamb", OR(Enginuity!$B$13=4, Enginuity!$B$13=6)),
      AND(
        LEFT(P1728,5)&lt;&gt;"1-Way",
        LEFT(P1728,5)&lt;&gt;"2-Way",
        LEFT(P1728,5)&lt;&gt;"3-Way",
        P1728&lt;&gt;"Inner Centre Jamb"
      )
    ),
    IF(OR(Enginuity!$A$1="Frameless Glass",Enginuity!$A$1="Metal Work"),
      AND(TRIM(B1728)=TRIM(Enginuity!$A$17),TRIM(C1728)=TRIM(Enginuity!$A$18)),
      TRIM(B1728)=TRIM(Enginuity!$A$17)
    )
  ),
  ROW(),
  ""
)</f>
        <v/>
      </c>
    </row>
    <row r="1729" spans="1:21" x14ac:dyDescent="0.25">
      <c r="A1729" s="10" t="s">
        <v>768</v>
      </c>
      <c r="B1729" s="229" t="s">
        <v>966</v>
      </c>
      <c r="C1729" s="10"/>
      <c r="D1729" s="14"/>
      <c r="E1729" s="157"/>
      <c r="F1729" s="10"/>
      <c r="G1729" s="17"/>
      <c r="H1729" s="10"/>
      <c r="I1729" s="17"/>
      <c r="J1729" s="83"/>
      <c r="K1729" s="343"/>
      <c r="L1729" s="347"/>
      <c r="M1729" s="89"/>
      <c r="N1729" s="10"/>
      <c r="O1729" s="22"/>
      <c r="P1729" s="14"/>
      <c r="Q1729" s="83"/>
      <c r="U1729" s="104" t="str">
        <f>IF(
  AND(
    TRIM(A1729)=TRIM(Enginuity!$A$1),
    TRIM(B1729)=TRIM(Enginuity!$A$17),
    Q1729&lt;&gt;"",
    Q1729&lt;&gt;0,
    OR(
      TRIM(C1729)=TRIM(Enginuity!$A$18),
      AND(UPPER(TRIM(M1729))="STD", TRIM(B1729)=TRIM(Enginuity!$A$17))
    ),
    OR(
      AND(LEFT(P1729,5)="1-Way", Enginuity!$B$13=1),
      AND(LEFT(P1729,5)="2-Way", OR(Enginuity!$B$13=2, Enginuity!$B$13=4)),
      AND(LEFT(P1729,5)="3-Way", OR(Enginuity!$B$13=3, Enginuity!$B$13=6)),
      AND(P1729="Inner Centre Jamb", OR(Enginuity!$B$13=4, Enginuity!$B$13=6)),
      AND(
        LEFT(P1729,5)&lt;&gt;"1-Way",
        LEFT(P1729,5)&lt;&gt;"2-Way",
        LEFT(P1729,5)&lt;&gt;"3-Way",
        P1729&lt;&gt;"Inner Centre Jamb"
      )
    ),
    IF(OR(Enginuity!$A$1="Frameless Glass",Enginuity!$A$1="Metal Work"),
      AND(TRIM(B1729)=TRIM(Enginuity!$A$17),TRIM(C1729)=TRIM(Enginuity!$A$18)),
      TRIM(B1729)=TRIM(Enginuity!$A$17)
    )
  ),
  ROW(),
  ""
)</f>
        <v/>
      </c>
    </row>
    <row r="1730" spans="1:21" x14ac:dyDescent="0.25">
      <c r="A1730" s="10" t="s">
        <v>768</v>
      </c>
      <c r="B1730" s="229" t="s">
        <v>966</v>
      </c>
      <c r="C1730" s="10"/>
      <c r="D1730" s="14"/>
      <c r="E1730" s="157"/>
      <c r="F1730" s="10"/>
      <c r="G1730" s="17"/>
      <c r="H1730" s="10"/>
      <c r="I1730" s="17"/>
      <c r="J1730" s="83"/>
      <c r="K1730" s="343"/>
      <c r="L1730" s="347"/>
      <c r="M1730" s="89"/>
      <c r="N1730" s="10"/>
      <c r="O1730" s="22"/>
      <c r="P1730" s="14"/>
      <c r="Q1730" s="83"/>
      <c r="U1730" s="104" t="str">
        <f>IF(
  AND(
    TRIM(A1730)=TRIM(Enginuity!$A$1),
    TRIM(B1730)=TRIM(Enginuity!$A$17),
    Q1730&lt;&gt;"",
    Q1730&lt;&gt;0,
    OR(
      TRIM(C1730)=TRIM(Enginuity!$A$18),
      AND(UPPER(TRIM(M1730))="STD", TRIM(B1730)=TRIM(Enginuity!$A$17))
    ),
    OR(
      AND(LEFT(P1730,5)="1-Way", Enginuity!$B$13=1),
      AND(LEFT(P1730,5)="2-Way", OR(Enginuity!$B$13=2, Enginuity!$B$13=4)),
      AND(LEFT(P1730,5)="3-Way", OR(Enginuity!$B$13=3, Enginuity!$B$13=6)),
      AND(P1730="Inner Centre Jamb", OR(Enginuity!$B$13=4, Enginuity!$B$13=6)),
      AND(
        LEFT(P1730,5)&lt;&gt;"1-Way",
        LEFT(P1730,5)&lt;&gt;"2-Way",
        LEFT(P1730,5)&lt;&gt;"3-Way",
        P1730&lt;&gt;"Inner Centre Jamb"
      )
    ),
    IF(OR(Enginuity!$A$1="Frameless Glass",Enginuity!$A$1="Metal Work"),
      AND(TRIM(B1730)=TRIM(Enginuity!$A$17),TRIM(C1730)=TRIM(Enginuity!$A$18)),
      TRIM(B1730)=TRIM(Enginuity!$A$17)
    )
  ),
  ROW(),
  ""
)</f>
        <v/>
      </c>
    </row>
    <row r="1731" spans="1:21" x14ac:dyDescent="0.25">
      <c r="A1731" s="10" t="s">
        <v>768</v>
      </c>
      <c r="B1731" s="229" t="s">
        <v>966</v>
      </c>
      <c r="C1731" s="10"/>
      <c r="D1731" s="14"/>
      <c r="E1731" s="157"/>
      <c r="F1731" s="10"/>
      <c r="G1731" s="17"/>
      <c r="H1731" s="10"/>
      <c r="I1731" s="17"/>
      <c r="J1731" s="83"/>
      <c r="K1731" s="343"/>
      <c r="L1731" s="347"/>
      <c r="M1731" s="89"/>
      <c r="N1731" s="10"/>
      <c r="O1731" s="22"/>
      <c r="P1731" s="14"/>
      <c r="Q1731" s="83"/>
      <c r="U1731" s="104" t="str">
        <f>IF(
  AND(
    TRIM(A1731)=TRIM(Enginuity!$A$1),
    TRIM(B1731)=TRIM(Enginuity!$A$17),
    Q1731&lt;&gt;"",
    Q1731&lt;&gt;0,
    OR(
      TRIM(C1731)=TRIM(Enginuity!$A$18),
      AND(UPPER(TRIM(M1731))="STD", TRIM(B1731)=TRIM(Enginuity!$A$17))
    ),
    OR(
      AND(LEFT(P1731,5)="1-Way", Enginuity!$B$13=1),
      AND(LEFT(P1731,5)="2-Way", OR(Enginuity!$B$13=2, Enginuity!$B$13=4)),
      AND(LEFT(P1731,5)="3-Way", OR(Enginuity!$B$13=3, Enginuity!$B$13=6)),
      AND(P1731="Inner Centre Jamb", OR(Enginuity!$B$13=4, Enginuity!$B$13=6)),
      AND(
        LEFT(P1731,5)&lt;&gt;"1-Way",
        LEFT(P1731,5)&lt;&gt;"2-Way",
        LEFT(P1731,5)&lt;&gt;"3-Way",
        P1731&lt;&gt;"Inner Centre Jamb"
      )
    ),
    IF(OR(Enginuity!$A$1="Frameless Glass",Enginuity!$A$1="Metal Work"),
      AND(TRIM(B1731)=TRIM(Enginuity!$A$17),TRIM(C1731)=TRIM(Enginuity!$A$18)),
      TRIM(B1731)=TRIM(Enginuity!$A$17)
    )
  ),
  ROW(),
  ""
)</f>
        <v/>
      </c>
    </row>
    <row r="1732" spans="1:21" x14ac:dyDescent="0.25">
      <c r="A1732" s="17" t="s">
        <v>768</v>
      </c>
      <c r="B1732" s="230"/>
      <c r="C1732" s="17"/>
      <c r="D1732" s="18"/>
      <c r="E1732" s="238"/>
      <c r="F1732" s="17"/>
      <c r="G1732" s="17"/>
      <c r="H1732" s="17"/>
      <c r="I1732" s="17"/>
      <c r="J1732" s="84"/>
      <c r="K1732" s="343"/>
      <c r="L1732" s="347"/>
      <c r="M1732" s="90"/>
      <c r="N1732" s="17" t="s">
        <v>102</v>
      </c>
      <c r="O1732" s="25" t="s">
        <v>1781</v>
      </c>
      <c r="P1732" s="92" t="s">
        <v>1540</v>
      </c>
      <c r="Q1732" s="179" t="s">
        <v>1631</v>
      </c>
      <c r="U1732" s="104" t="str">
        <f>IF(
  AND(
    TRIM(A1732)=TRIM(Enginuity!$A$1),
    TRIM(B1732)=TRIM(Enginuity!$A$17),
    Q1732&lt;&gt;"",
    Q1732&lt;&gt;0,
    OR(
      TRIM(C1732)=TRIM(Enginuity!$A$18),
      AND(UPPER(TRIM(M1732))="STD", TRIM(B1732)=TRIM(Enginuity!$A$17))
    ),
    OR(
      AND(LEFT(P1732,5)="1-Way", Enginuity!$B$13=1),
      AND(LEFT(P1732,5)="2-Way", OR(Enginuity!$B$13=2, Enginuity!$B$13=4)),
      AND(LEFT(P1732,5)="3-Way", OR(Enginuity!$B$13=3, Enginuity!$B$13=6)),
      AND(P1732="Inner Centre Jamb", OR(Enginuity!$B$13=4, Enginuity!$B$13=6)),
      AND(
        LEFT(P1732,5)&lt;&gt;"1-Way",
        LEFT(P1732,5)&lt;&gt;"2-Way",
        LEFT(P1732,5)&lt;&gt;"3-Way",
        P1732&lt;&gt;"Inner Centre Jamb"
      )
    ),
    IF(OR(Enginuity!$A$1="Frameless Glass",Enginuity!$A$1="Metal Work"),
      AND(TRIM(B1732)=TRIM(Enginuity!$A$17),TRIM(C1732)=TRIM(Enginuity!$A$18)),
      TRIM(B1732)=TRIM(Enginuity!$A$17)
    )
  ),
  ROW(),
  ""
)</f>
        <v/>
      </c>
    </row>
    <row r="1733" spans="1:21" x14ac:dyDescent="0.25">
      <c r="A1733" s="10" t="s">
        <v>768</v>
      </c>
      <c r="B1733" s="229" t="str">
        <f>_xlfn.UNICHAR(9940) &amp; " Dual Security Door Insert " &amp; _xlfn.UNICHAR(9940)</f>
        <v>⛔ Dual Security Door Insert ⛔</v>
      </c>
      <c r="C1733" s="10" t="s">
        <v>97</v>
      </c>
      <c r="D1733" s="14" t="str" cm="1">
        <f t="array" ref="D1733:D1742">IFERROR(INDEX(_xlfn._xlws.FILTER(AllMaterialsbak!$BA$2:$BA$30, AllMaterialsbak!$BA$2:$BA$30&lt;&gt;""), _xlfn.SEQUENCE(10)), "")</f>
        <v>Default</v>
      </c>
      <c r="E1733" s="157" t="s">
        <v>257</v>
      </c>
      <c r="F1733" s="10"/>
      <c r="G1733" s="17"/>
      <c r="H1733" s="10"/>
      <c r="I1733" s="17"/>
      <c r="J1733" s="83"/>
      <c r="K1733" s="344">
        <v>0.47260799999999997</v>
      </c>
      <c r="L1733" s="347">
        <v>914.4</v>
      </c>
      <c r="M1733" s="89"/>
      <c r="N1733" s="10" t="s">
        <v>103</v>
      </c>
      <c r="O1733" s="22">
        <v>8.5</v>
      </c>
      <c r="P1733" s="14" t="s">
        <v>1772</v>
      </c>
      <c r="Q1733" s="83">
        <f>IF(AND(Enginuity!$B$6&gt;0, Enginuity!$B$7&gt;0), ROUND(((Enginuity!$B$6 + Enginuity!$B$7) * 2), 2), "")</f>
        <v>66</v>
      </c>
      <c r="U1733" s="104" t="str">
        <f>IF(
  AND(
    TRIM(A1733)=TRIM(Enginuity!$A$1),
    TRIM(B1733)=TRIM(Enginuity!$A$17),
    Q1733&lt;&gt;"",
    Q1733&lt;&gt;0,
    OR(
      TRIM(C1733)=TRIM(Enginuity!$A$18),
      AND(UPPER(TRIM(M1733))="STD", TRIM(B1733)=TRIM(Enginuity!$A$17))
    ),
    OR(
      AND(LEFT(P1733,5)="1-Way", Enginuity!$B$13=1),
      AND(LEFT(P1733,5)="2-Way", OR(Enginuity!$B$13=2, Enginuity!$B$13=4)),
      AND(LEFT(P1733,5)="3-Way", OR(Enginuity!$B$13=3, Enginuity!$B$13=6)),
      AND(P1733="Inner Centre Jamb", OR(Enginuity!$B$13=4, Enginuity!$B$13=6)),
      AND(
        LEFT(P1733,5)&lt;&gt;"1-Way",
        LEFT(P1733,5)&lt;&gt;"2-Way",
        LEFT(P1733,5)&lt;&gt;"3-Way",
        P1733&lt;&gt;"Inner Centre Jamb"
      )
    ),
    IF(OR(Enginuity!$A$1="Frameless Glass",Enginuity!$A$1="Metal Work"),
      AND(TRIM(B1733)=TRIM(Enginuity!$A$17),TRIM(C1733)=TRIM(Enginuity!$A$18)),
      TRIM(B1733)=TRIM(Enginuity!$A$17)
    )
  ),
  ROW(),
  ""
)</f>
        <v/>
      </c>
    </row>
    <row r="1734" spans="1:21" x14ac:dyDescent="0.25">
      <c r="A1734" s="10" t="s">
        <v>768</v>
      </c>
      <c r="B1734" s="229" t="str">
        <f t="shared" ref="B1734:B1780" si="36">_xlfn.UNICHAR(9940) &amp; " Dual Security Door Insert " &amp; _xlfn.UNICHAR(9940)</f>
        <v>⛔ Dual Security Door Insert ⛔</v>
      </c>
      <c r="C1734" s="10" t="s">
        <v>97</v>
      </c>
      <c r="D1734" s="14" t="str">
        <v xml:space="preserve">2" Louver Blade N/A </v>
      </c>
      <c r="E1734" s="157" t="s">
        <v>269</v>
      </c>
      <c r="F1734" s="11"/>
      <c r="G1734" s="17"/>
      <c r="H1734" s="10"/>
      <c r="I1734" s="17"/>
      <c r="J1734" s="83"/>
      <c r="K1734" s="343"/>
      <c r="L1734" s="347"/>
      <c r="M1734" s="89"/>
      <c r="N1734" s="10" t="s">
        <v>103</v>
      </c>
      <c r="O1734" s="22">
        <v>8.5</v>
      </c>
      <c r="P1734" s="14" t="s">
        <v>1771</v>
      </c>
      <c r="Q1734" s="83">
        <f>IF(AND(Enginuity!$B$6&gt;0,Enginuity!$B$7&gt;0,Enginuity!$B$13&gt;0),
   ROUND(2*(Enginuity!$B$6+Enginuity!$B$7)*Enginuity!$B$13,2),
"")</f>
        <v>462</v>
      </c>
      <c r="U1734" s="104" t="str">
        <f>IF(
  AND(
    TRIM(A1734)=TRIM(Enginuity!$A$1),
    TRIM(B1734)=TRIM(Enginuity!$A$17),
    Q1734&lt;&gt;"",
    Q1734&lt;&gt;0,
    OR(
      TRIM(C1734)=TRIM(Enginuity!$A$18),
      AND(UPPER(TRIM(M1734))="STD", TRIM(B1734)=TRIM(Enginuity!$A$17))
    ),
    OR(
      AND(LEFT(P1734,5)="1-Way", Enginuity!$B$13=1),
      AND(LEFT(P1734,5)="2-Way", OR(Enginuity!$B$13=2, Enginuity!$B$13=4)),
      AND(LEFT(P1734,5)="3-Way", OR(Enginuity!$B$13=3, Enginuity!$B$13=6)),
      AND(P1734="Inner Centre Jamb", OR(Enginuity!$B$13=4, Enginuity!$B$13=6)),
      AND(
        LEFT(P1734,5)&lt;&gt;"1-Way",
        LEFT(P1734,5)&lt;&gt;"2-Way",
        LEFT(P1734,5)&lt;&gt;"3-Way",
        P1734&lt;&gt;"Inner Centre Jamb"
      )
    ),
    IF(OR(Enginuity!$A$1="Frameless Glass",Enginuity!$A$1="Metal Work"),
      AND(TRIM(B1734)=TRIM(Enginuity!$A$17),TRIM(C1734)=TRIM(Enginuity!$A$18)),
      TRIM(B1734)=TRIM(Enginuity!$A$17)
    )
  ),
  ROW(),
  ""
)</f>
        <v/>
      </c>
    </row>
    <row r="1735" spans="1:21" x14ac:dyDescent="0.25">
      <c r="A1735" s="10" t="s">
        <v>768</v>
      </c>
      <c r="B1735" s="229" t="str">
        <f t="shared" si="36"/>
        <v>⛔ Dual Security Door Insert ⛔</v>
      </c>
      <c r="C1735" s="10" t="s">
        <v>97</v>
      </c>
      <c r="D1735" s="14" t="str">
        <v>2" Louver Blade P/C</v>
      </c>
      <c r="E1735" s="157"/>
      <c r="F1735" s="10"/>
      <c r="G1735" s="17"/>
      <c r="H1735" s="10"/>
      <c r="I1735" s="17"/>
      <c r="J1735" s="83"/>
      <c r="K1735" s="343"/>
      <c r="L1735" s="347"/>
      <c r="M1735" s="89"/>
      <c r="N1735" s="10" t="s">
        <v>103</v>
      </c>
      <c r="O1735" s="22">
        <v>10.5</v>
      </c>
      <c r="P1735" s="14" t="s">
        <v>1773</v>
      </c>
      <c r="Q1735" s="83">
        <f>IF(AND(Enginuity!$B$6&gt;0,Enginuity!$B$7&gt;0,Enginuity!$B$13&gt;0),
   ROUND(2*(Enginuity!$B$6+Enginuity!$B$7)*Enginuity!$B$13,2),
"")</f>
        <v>462</v>
      </c>
      <c r="U1735" s="104" t="str">
        <f>IF(
  AND(
    TRIM(A1735)=TRIM(Enginuity!$A$1),
    TRIM(B1735)=TRIM(Enginuity!$A$17),
    Q1735&lt;&gt;"",
    Q1735&lt;&gt;0,
    OR(
      TRIM(C1735)=TRIM(Enginuity!$A$18),
      AND(UPPER(TRIM(M1735))="STD", TRIM(B1735)=TRIM(Enginuity!$A$17))
    ),
    OR(
      AND(LEFT(P1735,5)="1-Way", Enginuity!$B$13=1),
      AND(LEFT(P1735,5)="2-Way", OR(Enginuity!$B$13=2, Enginuity!$B$13=4)),
      AND(LEFT(P1735,5)="3-Way", OR(Enginuity!$B$13=3, Enginuity!$B$13=6)),
      AND(P1735="Inner Centre Jamb", OR(Enginuity!$B$13=4, Enginuity!$B$13=6)),
      AND(
        LEFT(P1735,5)&lt;&gt;"1-Way",
        LEFT(P1735,5)&lt;&gt;"2-Way",
        LEFT(P1735,5)&lt;&gt;"3-Way",
        P1735&lt;&gt;"Inner Centre Jamb"
      )
    ),
    IF(OR(Enginuity!$A$1="Frameless Glass",Enginuity!$A$1="Metal Work"),
      AND(TRIM(B1735)=TRIM(Enginuity!$A$17),TRIM(C1735)=TRIM(Enginuity!$A$18)),
      TRIM(B1735)=TRIM(Enginuity!$A$17)
    )
  ),
  ROW(),
  ""
)</f>
        <v/>
      </c>
    </row>
    <row r="1736" spans="1:21" x14ac:dyDescent="0.25">
      <c r="A1736" s="10" t="s">
        <v>768</v>
      </c>
      <c r="B1736" s="229" t="str">
        <f t="shared" si="36"/>
        <v>⛔ Dual Security Door Insert ⛔</v>
      </c>
      <c r="C1736" s="10" t="s">
        <v>97</v>
      </c>
      <c r="D1736" s="14" t="str">
        <v xml:space="preserve">5" Louver Blade N/A </v>
      </c>
      <c r="E1736" s="157"/>
      <c r="F1736" s="10"/>
      <c r="G1736" s="17"/>
      <c r="H1736" s="10"/>
      <c r="I1736" s="17"/>
      <c r="J1736" s="83"/>
      <c r="K1736" s="343"/>
      <c r="L1736" s="347"/>
      <c r="M1736" s="89"/>
      <c r="N1736" s="10" t="s">
        <v>103</v>
      </c>
      <c r="O1736" s="22">
        <v>1.1100000000000001</v>
      </c>
      <c r="P1736" s="14" t="s">
        <v>309</v>
      </c>
      <c r="Q1736" s="83">
        <f>IF(OR(Enginuity!$B$7="",Enginuity!$B$13=""),"",Enginuity!$B$7*Enginuity!$B$13*2)</f>
        <v>182</v>
      </c>
      <c r="U1736" s="104" t="str">
        <f>IF(
  AND(
    TRIM(A1736)=TRIM(Enginuity!$A$1),
    TRIM(B1736)=TRIM(Enginuity!$A$17),
    Q1736&lt;&gt;"",
    Q1736&lt;&gt;0,
    OR(
      TRIM(C1736)=TRIM(Enginuity!$A$18),
      AND(UPPER(TRIM(M1736))="STD", TRIM(B1736)=TRIM(Enginuity!$A$17))
    ),
    OR(
      AND(LEFT(P1736,5)="1-Way", Enginuity!$B$13=1),
      AND(LEFT(P1736,5)="2-Way", OR(Enginuity!$B$13=2, Enginuity!$B$13=4)),
      AND(LEFT(P1736,5)="3-Way", OR(Enginuity!$B$13=3, Enginuity!$B$13=6)),
      AND(P1736="Inner Centre Jamb", OR(Enginuity!$B$13=4, Enginuity!$B$13=6)),
      AND(
        LEFT(P1736,5)&lt;&gt;"1-Way",
        LEFT(P1736,5)&lt;&gt;"2-Way",
        LEFT(P1736,5)&lt;&gt;"3-Way",
        P1736&lt;&gt;"Inner Centre Jamb"
      )
    ),
    IF(OR(Enginuity!$A$1="Frameless Glass",Enginuity!$A$1="Metal Work"),
      AND(TRIM(B1736)=TRIM(Enginuity!$A$17),TRIM(C1736)=TRIM(Enginuity!$A$18)),
      TRIM(B1736)=TRIM(Enginuity!$A$17)
    )
  ),
  ROW(),
  ""
)</f>
        <v/>
      </c>
    </row>
    <row r="1737" spans="1:21" x14ac:dyDescent="0.25">
      <c r="A1737" s="10" t="s">
        <v>768</v>
      </c>
      <c r="B1737" s="229" t="str">
        <f t="shared" si="36"/>
        <v>⛔ Dual Security Door Insert ⛔</v>
      </c>
      <c r="C1737" s="10" t="s">
        <v>97</v>
      </c>
      <c r="D1737" s="14" t="str">
        <v>5" Louver Blade P/C</v>
      </c>
      <c r="E1737" s="157"/>
      <c r="F1737" s="10"/>
      <c r="G1737" s="17"/>
      <c r="H1737" s="10"/>
      <c r="I1737" s="17"/>
      <c r="J1737" s="83"/>
      <c r="K1737" s="343"/>
      <c r="L1737" s="347"/>
      <c r="M1737" s="89"/>
      <c r="N1737" s="10" t="s">
        <v>967</v>
      </c>
      <c r="O1737" s="22">
        <v>12</v>
      </c>
      <c r="P1737" s="18" t="s">
        <v>1766</v>
      </c>
      <c r="Q1737" s="83">
        <f>IF(Enginuity!$B$13="","",Enginuity!$B$13)</f>
        <v>7</v>
      </c>
      <c r="U1737" s="104" t="str">
        <f>IF(
  AND(
    TRIM(A1737)=TRIM(Enginuity!$A$1),
    TRIM(B1737)=TRIM(Enginuity!$A$17),
    Q1737&lt;&gt;"",
    Q1737&lt;&gt;0,
    OR(
      TRIM(C1737)=TRIM(Enginuity!$A$18),
      AND(UPPER(TRIM(M1737))="STD", TRIM(B1737)=TRIM(Enginuity!$A$17))
    ),
    OR(
      AND(LEFT(P1737,5)="1-Way", Enginuity!$B$13=1),
      AND(LEFT(P1737,5)="2-Way", OR(Enginuity!$B$13=2, Enginuity!$B$13=4)),
      AND(LEFT(P1737,5)="3-Way", OR(Enginuity!$B$13=3, Enginuity!$B$13=6)),
      AND(P1737="Inner Centre Jamb", OR(Enginuity!$B$13=4, Enginuity!$B$13=6)),
      AND(
        LEFT(P1737,5)&lt;&gt;"1-Way",
        LEFT(P1737,5)&lt;&gt;"2-Way",
        LEFT(P1737,5)&lt;&gt;"3-Way",
        P1737&lt;&gt;"Inner Centre Jamb"
      )
    ),
    IF(OR(Enginuity!$A$1="Frameless Glass",Enginuity!$A$1="Metal Work"),
      AND(TRIM(B1737)=TRIM(Enginuity!$A$17),TRIM(C1737)=TRIM(Enginuity!$A$18)),
      TRIM(B1737)=TRIM(Enginuity!$A$17)
    )
  ),
  ROW(),
  ""
)</f>
        <v/>
      </c>
    </row>
    <row r="1738" spans="1:21" x14ac:dyDescent="0.25">
      <c r="A1738" s="10" t="s">
        <v>768</v>
      </c>
      <c r="B1738" s="229" t="str">
        <f t="shared" si="36"/>
        <v>⛔ Dual Security Door Insert ⛔</v>
      </c>
      <c r="C1738" s="10" t="s">
        <v>97</v>
      </c>
      <c r="D1738" s="14" t="str">
        <v/>
      </c>
      <c r="E1738" s="157"/>
      <c r="F1738" s="10"/>
      <c r="G1738" s="17"/>
      <c r="H1738" s="10"/>
      <c r="I1738" s="17"/>
      <c r="J1738" s="83"/>
      <c r="K1738" s="343"/>
      <c r="L1738" s="347"/>
      <c r="M1738" s="89"/>
      <c r="N1738" s="10" t="s">
        <v>967</v>
      </c>
      <c r="O1738" s="22">
        <v>85</v>
      </c>
      <c r="P1738" s="18" t="s">
        <v>1774</v>
      </c>
      <c r="Q1738" s="83">
        <f>IF(Enginuity!$B$13="","",Enginuity!$B$13)</f>
        <v>7</v>
      </c>
      <c r="U1738" s="104" t="str">
        <f>IF(
  AND(
    TRIM(A1738)=TRIM(Enginuity!$A$1),
    TRIM(B1738)=TRIM(Enginuity!$A$17),
    Q1738&lt;&gt;"",
    Q1738&lt;&gt;0,
    OR(
      TRIM(C1738)=TRIM(Enginuity!$A$18),
      AND(UPPER(TRIM(M1738))="STD", TRIM(B1738)=TRIM(Enginuity!$A$17))
    ),
    OR(
      AND(LEFT(P1738,5)="1-Way", Enginuity!$B$13=1),
      AND(LEFT(P1738,5)="2-Way", OR(Enginuity!$B$13=2, Enginuity!$B$13=4)),
      AND(LEFT(P1738,5)="3-Way", OR(Enginuity!$B$13=3, Enginuity!$B$13=6)),
      AND(P1738="Inner Centre Jamb", OR(Enginuity!$B$13=4, Enginuity!$B$13=6)),
      AND(
        LEFT(P1738,5)&lt;&gt;"1-Way",
        LEFT(P1738,5)&lt;&gt;"2-Way",
        LEFT(P1738,5)&lt;&gt;"3-Way",
        P1738&lt;&gt;"Inner Centre Jamb"
      )
    ),
    IF(OR(Enginuity!$A$1="Frameless Glass",Enginuity!$A$1="Metal Work"),
      AND(TRIM(B1738)=TRIM(Enginuity!$A$17),TRIM(C1738)=TRIM(Enginuity!$A$18)),
      TRIM(B1738)=TRIM(Enginuity!$A$17)
    )
  ),
  ROW(),
  ""
)</f>
        <v/>
      </c>
    </row>
    <row r="1739" spans="1:21" x14ac:dyDescent="0.25">
      <c r="A1739" s="10" t="s">
        <v>768</v>
      </c>
      <c r="B1739" s="229" t="str">
        <f t="shared" si="36"/>
        <v>⛔ Dual Security Door Insert ⛔</v>
      </c>
      <c r="C1739" s="10" t="s">
        <v>97</v>
      </c>
      <c r="D1739" s="14" t="str">
        <v/>
      </c>
      <c r="E1739" s="157"/>
      <c r="F1739" s="10"/>
      <c r="G1739" s="17"/>
      <c r="H1739" s="10"/>
      <c r="I1739" s="17"/>
      <c r="J1739" s="83"/>
      <c r="K1739" s="343"/>
      <c r="L1739" s="347"/>
      <c r="M1739" s="89"/>
      <c r="N1739" s="10" t="s">
        <v>112</v>
      </c>
      <c r="O1739" s="22">
        <v>35</v>
      </c>
      <c r="P1739" s="18" t="s">
        <v>1775</v>
      </c>
      <c r="Q1739" s="83">
        <f>IF(Enginuity!$B$13="","",Enginuity!$B$13)</f>
        <v>7</v>
      </c>
      <c r="U1739" s="104" t="str">
        <f>IF(
  AND(
    TRIM(A1739)=TRIM(Enginuity!$A$1),
    TRIM(B1739)=TRIM(Enginuity!$A$17),
    Q1739&lt;&gt;"",
    Q1739&lt;&gt;0,
    OR(
      TRIM(C1739)=TRIM(Enginuity!$A$18),
      AND(UPPER(TRIM(M1739))="STD", TRIM(B1739)=TRIM(Enginuity!$A$17))
    ),
    OR(
      AND(LEFT(P1739,5)="1-Way", Enginuity!$B$13=1),
      AND(LEFT(P1739,5)="2-Way", OR(Enginuity!$B$13=2, Enginuity!$B$13=4)),
      AND(LEFT(P1739,5)="3-Way", OR(Enginuity!$B$13=3, Enginuity!$B$13=6)),
      AND(P1739="Inner Centre Jamb", OR(Enginuity!$B$13=4, Enginuity!$B$13=6)),
      AND(
        LEFT(P1739,5)&lt;&gt;"1-Way",
        LEFT(P1739,5)&lt;&gt;"2-Way",
        LEFT(P1739,5)&lt;&gt;"3-Way",
        P1739&lt;&gt;"Inner Centre Jamb"
      )
    ),
    IF(OR(Enginuity!$A$1="Frameless Glass",Enginuity!$A$1="Metal Work"),
      AND(TRIM(B1739)=TRIM(Enginuity!$A$17),TRIM(C1739)=TRIM(Enginuity!$A$18)),
      TRIM(B1739)=TRIM(Enginuity!$A$17)
    )
  ),
  ROW(),
  ""
)</f>
        <v/>
      </c>
    </row>
    <row r="1740" spans="1:21" x14ac:dyDescent="0.25">
      <c r="A1740" s="10" t="s">
        <v>768</v>
      </c>
      <c r="B1740" s="229" t="str">
        <f t="shared" si="36"/>
        <v>⛔ Dual Security Door Insert ⛔</v>
      </c>
      <c r="C1740" s="10" t="s">
        <v>97</v>
      </c>
      <c r="D1740" s="14" t="str">
        <v/>
      </c>
      <c r="E1740" s="157"/>
      <c r="F1740" s="10"/>
      <c r="G1740" s="17"/>
      <c r="H1740" s="10"/>
      <c r="I1740" s="17"/>
      <c r="J1740" s="83"/>
      <c r="K1740" s="343"/>
      <c r="L1740" s="347"/>
      <c r="M1740" s="89"/>
      <c r="N1740" s="10" t="s">
        <v>112</v>
      </c>
      <c r="O1740" s="22">
        <v>12</v>
      </c>
      <c r="P1740" s="18" t="s">
        <v>1776</v>
      </c>
      <c r="Q1740" s="83">
        <f>IF(OR(Enginuity!$B$13="",Enginuity!$B$13=0),"",Enginuity!$B$13*2)</f>
        <v>14</v>
      </c>
      <c r="U1740" s="104" t="str">
        <f>IF(
  AND(
    TRIM(A1740)=TRIM(Enginuity!$A$1),
    TRIM(B1740)=TRIM(Enginuity!$A$17),
    Q1740&lt;&gt;"",
    Q1740&lt;&gt;0,
    OR(
      TRIM(C1740)=TRIM(Enginuity!$A$18),
      AND(UPPER(TRIM(M1740))="STD", TRIM(B1740)=TRIM(Enginuity!$A$17))
    ),
    OR(
      AND(LEFT(P1740,5)="1-Way", Enginuity!$B$13=1),
      AND(LEFT(P1740,5)="2-Way", OR(Enginuity!$B$13=2, Enginuity!$B$13=4)),
      AND(LEFT(P1740,5)="3-Way", OR(Enginuity!$B$13=3, Enginuity!$B$13=6)),
      AND(P1740="Inner Centre Jamb", OR(Enginuity!$B$13=4, Enginuity!$B$13=6)),
      AND(
        LEFT(P1740,5)&lt;&gt;"1-Way",
        LEFT(P1740,5)&lt;&gt;"2-Way",
        LEFT(P1740,5)&lt;&gt;"3-Way",
        P1740&lt;&gt;"Inner Centre Jamb"
      )
    ),
    IF(OR(Enginuity!$A$1="Frameless Glass",Enginuity!$A$1="Metal Work"),
      AND(TRIM(B1740)=TRIM(Enginuity!$A$17),TRIM(C1740)=TRIM(Enginuity!$A$18)),
      TRIM(B1740)=TRIM(Enginuity!$A$17)
    )
  ),
  ROW(),
  ""
)</f>
        <v/>
      </c>
    </row>
    <row r="1741" spans="1:21" x14ac:dyDescent="0.25">
      <c r="A1741" s="10" t="s">
        <v>768</v>
      </c>
      <c r="B1741" s="229" t="str">
        <f t="shared" si="36"/>
        <v>⛔ Dual Security Door Insert ⛔</v>
      </c>
      <c r="C1741" s="10" t="s">
        <v>97</v>
      </c>
      <c r="D1741" s="14" t="str">
        <v/>
      </c>
      <c r="E1741" s="157"/>
      <c r="F1741" s="10"/>
      <c r="G1741" s="17"/>
      <c r="H1741" s="10"/>
      <c r="I1741" s="17"/>
      <c r="J1741" s="83"/>
      <c r="K1741" s="343"/>
      <c r="L1741" s="347"/>
      <c r="M1741" s="89"/>
      <c r="N1741" s="10" t="s">
        <v>112</v>
      </c>
      <c r="O1741" s="22">
        <v>18</v>
      </c>
      <c r="P1741" s="18" t="s">
        <v>1777</v>
      </c>
      <c r="Q1741" s="83">
        <f>IF(Enginuity!$B$13="","",Enginuity!$B$13)</f>
        <v>7</v>
      </c>
      <c r="U1741" s="104" t="str">
        <f>IF(
  AND(
    TRIM(A1741)=TRIM(Enginuity!$A$1),
    TRIM(B1741)=TRIM(Enginuity!$A$17),
    Q1741&lt;&gt;"",
    Q1741&lt;&gt;0,
    OR(
      TRIM(C1741)=TRIM(Enginuity!$A$18),
      AND(UPPER(TRIM(M1741))="STD", TRIM(B1741)=TRIM(Enginuity!$A$17))
    ),
    OR(
      AND(LEFT(P1741,5)="1-Way", Enginuity!$B$13=1),
      AND(LEFT(P1741,5)="2-Way", OR(Enginuity!$B$13=2, Enginuity!$B$13=4)),
      AND(LEFT(P1741,5)="3-Way", OR(Enginuity!$B$13=3, Enginuity!$B$13=6)),
      AND(P1741="Inner Centre Jamb", OR(Enginuity!$B$13=4, Enginuity!$B$13=6)),
      AND(
        LEFT(P1741,5)&lt;&gt;"1-Way",
        LEFT(P1741,5)&lt;&gt;"2-Way",
        LEFT(P1741,5)&lt;&gt;"3-Way",
        P1741&lt;&gt;"Inner Centre Jamb"
      )
    ),
    IF(OR(Enginuity!$A$1="Frameless Glass",Enginuity!$A$1="Metal Work"),
      AND(TRIM(B1741)=TRIM(Enginuity!$A$17),TRIM(C1741)=TRIM(Enginuity!$A$18)),
      TRIM(B1741)=TRIM(Enginuity!$A$17)
    )
  ),
  ROW(),
  ""
)</f>
        <v/>
      </c>
    </row>
    <row r="1742" spans="1:21" x14ac:dyDescent="0.25">
      <c r="A1742" s="10" t="s">
        <v>768</v>
      </c>
      <c r="B1742" s="229" t="str">
        <f t="shared" si="36"/>
        <v>⛔ Dual Security Door Insert ⛔</v>
      </c>
      <c r="C1742" s="10" t="s">
        <v>97</v>
      </c>
      <c r="D1742" s="14" t="str">
        <v/>
      </c>
      <c r="E1742" s="157"/>
      <c r="F1742" s="10"/>
      <c r="G1742" s="17"/>
      <c r="H1742" s="10"/>
      <c r="I1742" s="17"/>
      <c r="J1742" s="83"/>
      <c r="K1742" s="343"/>
      <c r="L1742" s="347"/>
      <c r="M1742" s="89"/>
      <c r="N1742" s="10" t="s">
        <v>112</v>
      </c>
      <c r="O1742" s="22">
        <v>1.2</v>
      </c>
      <c r="P1742" s="18" t="s">
        <v>1778</v>
      </c>
      <c r="Q1742" s="83">
        <f>IF(OR(Enginuity!$B$13="",Enginuity!$B$13=0),"",Enginuity!$B$13*8)</f>
        <v>56</v>
      </c>
      <c r="U1742" s="104" t="str">
        <f>IF(
  AND(
    TRIM(A1742)=TRIM(Enginuity!$A$1),
    TRIM(B1742)=TRIM(Enginuity!$A$17),
    Q1742&lt;&gt;"",
    Q1742&lt;&gt;0,
    OR(
      TRIM(C1742)=TRIM(Enginuity!$A$18),
      AND(UPPER(TRIM(M1742))="STD", TRIM(B1742)=TRIM(Enginuity!$A$17))
    ),
    OR(
      AND(LEFT(P1742,5)="1-Way", Enginuity!$B$13=1),
      AND(LEFT(P1742,5)="2-Way", OR(Enginuity!$B$13=2, Enginuity!$B$13=4)),
      AND(LEFT(P1742,5)="3-Way", OR(Enginuity!$B$13=3, Enginuity!$B$13=6)),
      AND(P1742="Inner Centre Jamb", OR(Enginuity!$B$13=4, Enginuity!$B$13=6)),
      AND(
        LEFT(P1742,5)&lt;&gt;"1-Way",
        LEFT(P1742,5)&lt;&gt;"2-Way",
        LEFT(P1742,5)&lt;&gt;"3-Way",
        P1742&lt;&gt;"Inner Centre Jamb"
      )
    ),
    IF(OR(Enginuity!$A$1="Frameless Glass",Enginuity!$A$1="Metal Work"),
      AND(TRIM(B1742)=TRIM(Enginuity!$A$17),TRIM(C1742)=TRIM(Enginuity!$A$18)),
      TRIM(B1742)=TRIM(Enginuity!$A$17)
    )
  ),
  ROW(),
  ""
)</f>
        <v/>
      </c>
    </row>
    <row r="1743" spans="1:21" x14ac:dyDescent="0.25">
      <c r="A1743" s="10" t="s">
        <v>768</v>
      </c>
      <c r="B1743" s="229" t="str">
        <f t="shared" si="36"/>
        <v>⛔ Dual Security Door Insert ⛔</v>
      </c>
      <c r="C1743" s="10" t="s">
        <v>97</v>
      </c>
      <c r="D1743" s="14"/>
      <c r="E1743" s="157"/>
      <c r="F1743" s="10"/>
      <c r="G1743" s="17"/>
      <c r="H1743" s="10"/>
      <c r="I1743" s="17"/>
      <c r="J1743" s="83"/>
      <c r="K1743" s="343"/>
      <c r="L1743" s="347"/>
      <c r="M1743" s="89"/>
      <c r="N1743" s="10" t="s">
        <v>112</v>
      </c>
      <c r="O1743" s="22">
        <v>0.8</v>
      </c>
      <c r="P1743" s="18" t="s">
        <v>1779</v>
      </c>
      <c r="Q1743" s="83">
        <f>IF(OR(Enginuity!$B$13="",Enginuity!$B$13=0),"",Enginuity!$B$13*8)</f>
        <v>56</v>
      </c>
      <c r="U1743" s="104" t="str">
        <f>IF(
  AND(
    TRIM(A1743)=TRIM(Enginuity!$A$1),
    TRIM(B1743)=TRIM(Enginuity!$A$17),
    Q1743&lt;&gt;"",
    Q1743&lt;&gt;0,
    OR(
      TRIM(C1743)=TRIM(Enginuity!$A$18),
      AND(UPPER(TRIM(M1743))="STD", TRIM(B1743)=TRIM(Enginuity!$A$17))
    ),
    OR(
      AND(LEFT(P1743,5)="1-Way", Enginuity!$B$13=1),
      AND(LEFT(P1743,5)="2-Way", OR(Enginuity!$B$13=2, Enginuity!$B$13=4)),
      AND(LEFT(P1743,5)="3-Way", OR(Enginuity!$B$13=3, Enginuity!$B$13=6)),
      AND(P1743="Inner Centre Jamb", OR(Enginuity!$B$13=4, Enginuity!$B$13=6)),
      AND(
        LEFT(P1743,5)&lt;&gt;"1-Way",
        LEFT(P1743,5)&lt;&gt;"2-Way",
        LEFT(P1743,5)&lt;&gt;"3-Way",
        P1743&lt;&gt;"Inner Centre Jamb"
      )
    ),
    IF(OR(Enginuity!$A$1="Frameless Glass",Enginuity!$A$1="Metal Work"),
      AND(TRIM(B1743)=TRIM(Enginuity!$A$17),TRIM(C1743)=TRIM(Enginuity!$A$18)),
      TRIM(B1743)=TRIM(Enginuity!$A$17)
    )
  ),
  ROW(),
  ""
)</f>
        <v/>
      </c>
    </row>
    <row r="1744" spans="1:21" x14ac:dyDescent="0.25">
      <c r="A1744" s="10" t="s">
        <v>768</v>
      </c>
      <c r="B1744" s="229" t="str">
        <f t="shared" si="36"/>
        <v>⛔ Dual Security Door Insert ⛔</v>
      </c>
      <c r="C1744" s="10" t="s">
        <v>97</v>
      </c>
      <c r="D1744" s="14"/>
      <c r="E1744" s="157"/>
      <c r="F1744" s="10"/>
      <c r="G1744" s="17"/>
      <c r="H1744" s="10"/>
      <c r="I1744" s="17"/>
      <c r="J1744" s="83"/>
      <c r="K1744" s="343"/>
      <c r="L1744" s="347"/>
      <c r="M1744" s="89"/>
      <c r="N1744" s="10" t="s">
        <v>112</v>
      </c>
      <c r="O1744" s="22">
        <v>4</v>
      </c>
      <c r="P1744" s="92" t="s">
        <v>1780</v>
      </c>
      <c r="Q1744" s="83">
        <f>IF(OR(Enginuity!$B$13="",Enginuity!$B$13=0),"",Enginuity!$B$13*2)</f>
        <v>14</v>
      </c>
      <c r="U1744" s="104" t="str">
        <f>IF(
  AND(
    TRIM(A1744)=TRIM(Enginuity!$A$1),
    TRIM(B1744)=TRIM(Enginuity!$A$17),
    Q1744&lt;&gt;"",
    Q1744&lt;&gt;0,
    OR(
      TRIM(C1744)=TRIM(Enginuity!$A$18),
      AND(UPPER(TRIM(M1744))="STD", TRIM(B1744)=TRIM(Enginuity!$A$17))
    ),
    OR(
      AND(LEFT(P1744,5)="1-Way", Enginuity!$B$13=1),
      AND(LEFT(P1744,5)="2-Way", OR(Enginuity!$B$13=2, Enginuity!$B$13=4)),
      AND(LEFT(P1744,5)="3-Way", OR(Enginuity!$B$13=3, Enginuity!$B$13=6)),
      AND(P1744="Inner Centre Jamb", OR(Enginuity!$B$13=4, Enginuity!$B$13=6)),
      AND(
        LEFT(P1744,5)&lt;&gt;"1-Way",
        LEFT(P1744,5)&lt;&gt;"2-Way",
        LEFT(P1744,5)&lt;&gt;"3-Way",
        P1744&lt;&gt;"Inner Centre Jamb"
      )
    ),
    IF(OR(Enginuity!$A$1="Frameless Glass",Enginuity!$A$1="Metal Work"),
      AND(TRIM(B1744)=TRIM(Enginuity!$A$17),TRIM(C1744)=TRIM(Enginuity!$A$18)),
      TRIM(B1744)=TRIM(Enginuity!$A$17)
    )
  ),
  ROW(),
  ""
)</f>
        <v/>
      </c>
    </row>
    <row r="1745" spans="1:21" x14ac:dyDescent="0.25">
      <c r="A1745" s="10" t="s">
        <v>768</v>
      </c>
      <c r="B1745" s="229" t="str">
        <f t="shared" si="36"/>
        <v>⛔ Dual Security Door Insert ⛔</v>
      </c>
      <c r="C1745" s="10" t="s">
        <v>97</v>
      </c>
      <c r="D1745" s="14"/>
      <c r="E1745" s="157"/>
      <c r="F1745" s="10"/>
      <c r="G1745" s="17"/>
      <c r="H1745" s="10"/>
      <c r="I1745" s="17"/>
      <c r="J1745" s="83"/>
      <c r="K1745" s="343"/>
      <c r="L1745" s="347"/>
      <c r="M1745" s="89"/>
      <c r="N1745" s="10" t="s">
        <v>112</v>
      </c>
      <c r="O1745" s="22">
        <v>1.3</v>
      </c>
      <c r="P1745" s="14" t="s">
        <v>969</v>
      </c>
      <c r="Q1745" s="83">
        <f>IF(Enginuity!$B$13="","",Enginuity!$B$13*20)</f>
        <v>140</v>
      </c>
      <c r="U1745" s="104" t="str">
        <f>IF(
  AND(
    TRIM(A1745)=TRIM(Enginuity!$A$1),
    TRIM(B1745)=TRIM(Enginuity!$A$17),
    Q1745&lt;&gt;"",
    Q1745&lt;&gt;0,
    OR(
      TRIM(C1745)=TRIM(Enginuity!$A$18),
      AND(UPPER(TRIM(M1745))="STD", TRIM(B1745)=TRIM(Enginuity!$A$17))
    ),
    OR(
      AND(LEFT(P1745,5)="1-Way", Enginuity!$B$13=1),
      AND(LEFT(P1745,5)="2-Way", OR(Enginuity!$B$13=2, Enginuity!$B$13=4)),
      AND(LEFT(P1745,5)="3-Way", OR(Enginuity!$B$13=3, Enginuity!$B$13=6)),
      AND(P1745="Inner Centre Jamb", OR(Enginuity!$B$13=4, Enginuity!$B$13=6)),
      AND(
        LEFT(P1745,5)&lt;&gt;"1-Way",
        LEFT(P1745,5)&lt;&gt;"2-Way",
        LEFT(P1745,5)&lt;&gt;"3-Way",
        P1745&lt;&gt;"Inner Centre Jamb"
      )
    ),
    IF(OR(Enginuity!$A$1="Frameless Glass",Enginuity!$A$1="Metal Work"),
      AND(TRIM(B1745)=TRIM(Enginuity!$A$17),TRIM(C1745)=TRIM(Enginuity!$A$18)),
      TRIM(B1745)=TRIM(Enginuity!$A$17)
    )
  ),
  ROW(),
  ""
)</f>
        <v/>
      </c>
    </row>
    <row r="1746" spans="1:21" x14ac:dyDescent="0.25">
      <c r="A1746" s="10" t="s">
        <v>768</v>
      </c>
      <c r="B1746" s="229" t="str">
        <f t="shared" si="36"/>
        <v>⛔ Dual Security Door Insert ⛔</v>
      </c>
      <c r="C1746" s="10" t="s">
        <v>97</v>
      </c>
      <c r="D1746" s="14"/>
      <c r="E1746" s="157"/>
      <c r="F1746" s="10"/>
      <c r="G1746" s="17"/>
      <c r="H1746" s="10"/>
      <c r="I1746" s="17"/>
      <c r="J1746" s="83"/>
      <c r="K1746" s="343"/>
      <c r="L1746" s="347"/>
      <c r="M1746" s="89"/>
      <c r="N1746" s="10" t="s">
        <v>112</v>
      </c>
      <c r="O1746" s="22">
        <v>1.5</v>
      </c>
      <c r="P1746" s="14" t="s">
        <v>970</v>
      </c>
      <c r="Q1746" s="83">
        <f>IF(Enginuity!$B$13="","",Enginuity!$B$13*20)</f>
        <v>140</v>
      </c>
      <c r="U1746" s="104" t="str">
        <f>IF(
  AND(
    TRIM(A1746)=TRIM(Enginuity!$A$1),
    TRIM(B1746)=TRIM(Enginuity!$A$17),
    Q1746&lt;&gt;"",
    Q1746&lt;&gt;0,
    OR(
      TRIM(C1746)=TRIM(Enginuity!$A$18),
      AND(UPPER(TRIM(M1746))="STD", TRIM(B1746)=TRIM(Enginuity!$A$17))
    ),
    OR(
      AND(LEFT(P1746,5)="1-Way", Enginuity!$B$13=1),
      AND(LEFT(P1746,5)="2-Way", OR(Enginuity!$B$13=2, Enginuity!$B$13=4)),
      AND(LEFT(P1746,5)="3-Way", OR(Enginuity!$B$13=3, Enginuity!$B$13=6)),
      AND(P1746="Inner Centre Jamb", OR(Enginuity!$B$13=4, Enginuity!$B$13=6)),
      AND(
        LEFT(P1746,5)&lt;&gt;"1-Way",
        LEFT(P1746,5)&lt;&gt;"2-Way",
        LEFT(P1746,5)&lt;&gt;"3-Way",
        P1746&lt;&gt;"Inner Centre Jamb"
      )
    ),
    IF(OR(Enginuity!$A$1="Frameless Glass",Enginuity!$A$1="Metal Work"),
      AND(TRIM(B1746)=TRIM(Enginuity!$A$17),TRIM(C1746)=TRIM(Enginuity!$A$18)),
      TRIM(B1746)=TRIM(Enginuity!$A$17)
    )
  ),
  ROW(),
  ""
)</f>
        <v/>
      </c>
    </row>
    <row r="1747" spans="1:21" x14ac:dyDescent="0.25">
      <c r="A1747" s="10" t="s">
        <v>768</v>
      </c>
      <c r="B1747" s="229" t="str">
        <f t="shared" si="36"/>
        <v>⛔ Dual Security Door Insert ⛔</v>
      </c>
      <c r="C1747" s="10" t="s">
        <v>97</v>
      </c>
      <c r="D1747" s="14"/>
      <c r="E1747" s="157"/>
      <c r="F1747" s="10"/>
      <c r="G1747" s="17"/>
      <c r="H1747" s="10"/>
      <c r="I1747" s="17"/>
      <c r="J1747" s="83"/>
      <c r="K1747" s="343"/>
      <c r="L1747" s="347"/>
      <c r="M1747" s="89"/>
      <c r="N1747" s="10" t="s">
        <v>103</v>
      </c>
      <c r="O1747" s="22">
        <v>0.2</v>
      </c>
      <c r="P1747" s="14" t="s">
        <v>971</v>
      </c>
      <c r="Q1747" s="83">
        <f>IF(OR(Enginuity!$B$6="",Enginuity!$B$7="",Enginuity!$B$13=""),"",
  2*(Enginuity!$B$6+Enginuity!$B$7)*Enginuity!$B$13*2
)</f>
        <v>924</v>
      </c>
      <c r="U1747" s="104" t="str">
        <f>IF(
  AND(
    TRIM(A1747)=TRIM(Enginuity!$A$1),
    TRIM(B1747)=TRIM(Enginuity!$A$17),
    Q1747&lt;&gt;"",
    Q1747&lt;&gt;0,
    OR(
      TRIM(C1747)=TRIM(Enginuity!$A$18),
      AND(UPPER(TRIM(M1747))="STD", TRIM(B1747)=TRIM(Enginuity!$A$17))
    ),
    OR(
      AND(LEFT(P1747,5)="1-Way", Enginuity!$B$13=1),
      AND(LEFT(P1747,5)="2-Way", OR(Enginuity!$B$13=2, Enginuity!$B$13=4)),
      AND(LEFT(P1747,5)="3-Way", OR(Enginuity!$B$13=3, Enginuity!$B$13=6)),
      AND(P1747="Inner Centre Jamb", OR(Enginuity!$B$13=4, Enginuity!$B$13=6)),
      AND(
        LEFT(P1747,5)&lt;&gt;"1-Way",
        LEFT(P1747,5)&lt;&gt;"2-Way",
        LEFT(P1747,5)&lt;&gt;"3-Way",
        P1747&lt;&gt;"Inner Centre Jamb"
      )
    ),
    IF(OR(Enginuity!$A$1="Frameless Glass",Enginuity!$A$1="Metal Work"),
      AND(TRIM(B1747)=TRIM(Enginuity!$A$17),TRIM(C1747)=TRIM(Enginuity!$A$18)),
      TRIM(B1747)=TRIM(Enginuity!$A$17)
    )
  ),
  ROW(),
  ""
)</f>
        <v/>
      </c>
    </row>
    <row r="1748" spans="1:21" x14ac:dyDescent="0.25">
      <c r="A1748" s="10" t="s">
        <v>768</v>
      </c>
      <c r="B1748" s="229" t="str">
        <f t="shared" si="36"/>
        <v>⛔ Dual Security Door Insert ⛔</v>
      </c>
      <c r="C1748" s="10" t="s">
        <v>97</v>
      </c>
      <c r="D1748" s="14"/>
      <c r="E1748" s="157"/>
      <c r="F1748" s="10"/>
      <c r="G1748" s="17"/>
      <c r="H1748" s="10"/>
      <c r="I1748" s="17"/>
      <c r="J1748" s="83"/>
      <c r="K1748" s="343"/>
      <c r="L1748" s="347"/>
      <c r="M1748" s="89"/>
      <c r="N1748" s="10" t="s">
        <v>103</v>
      </c>
      <c r="O1748" s="22">
        <v>0.2</v>
      </c>
      <c r="P1748" s="14" t="s">
        <v>972</v>
      </c>
      <c r="Q1748" s="83">
        <f>IF(OR(Enginuity!$B$6="",Enginuity!$B$7="",Enginuity!$B$13=""),"",
  2*(Enginuity!$B$6+Enginuity!$B$7)*Enginuity!$B$13*2
)</f>
        <v>924</v>
      </c>
      <c r="U1748" s="104" t="str">
        <f>IF(
  AND(
    TRIM(A1748)=TRIM(Enginuity!$A$1),
    TRIM(B1748)=TRIM(Enginuity!$A$17),
    Q1748&lt;&gt;"",
    Q1748&lt;&gt;0,
    OR(
      TRIM(C1748)=TRIM(Enginuity!$A$18),
      AND(UPPER(TRIM(M1748))="STD", TRIM(B1748)=TRIM(Enginuity!$A$17))
    ),
    OR(
      AND(LEFT(P1748,5)="1-Way", Enginuity!$B$13=1),
      AND(LEFT(P1748,5)="2-Way", OR(Enginuity!$B$13=2, Enginuity!$B$13=4)),
      AND(LEFT(P1748,5)="3-Way", OR(Enginuity!$B$13=3, Enginuity!$B$13=6)),
      AND(P1748="Inner Centre Jamb", OR(Enginuity!$B$13=4, Enginuity!$B$13=6)),
      AND(
        LEFT(P1748,5)&lt;&gt;"1-Way",
        LEFT(P1748,5)&lt;&gt;"2-Way",
        LEFT(P1748,5)&lt;&gt;"3-Way",
        P1748&lt;&gt;"Inner Centre Jamb"
      )
    ),
    IF(OR(Enginuity!$A$1="Frameless Glass",Enginuity!$A$1="Metal Work"),
      AND(TRIM(B1748)=TRIM(Enginuity!$A$17),TRIM(C1748)=TRIM(Enginuity!$A$18)),
      TRIM(B1748)=TRIM(Enginuity!$A$17)
    )
  ),
  ROW(),
  ""
)</f>
        <v/>
      </c>
    </row>
    <row r="1749" spans="1:21" x14ac:dyDescent="0.25">
      <c r="A1749" s="10" t="s">
        <v>768</v>
      </c>
      <c r="B1749" s="229" t="str">
        <f t="shared" si="36"/>
        <v>⛔ Dual Security Door Insert ⛔</v>
      </c>
      <c r="C1749" s="10" t="s">
        <v>97</v>
      </c>
      <c r="D1749" s="14"/>
      <c r="E1749" s="157"/>
      <c r="F1749" s="10"/>
      <c r="G1749" s="17"/>
      <c r="H1749" s="10"/>
      <c r="I1749" s="17"/>
      <c r="J1749" s="83"/>
      <c r="K1749" s="343"/>
      <c r="L1749" s="347"/>
      <c r="M1749" s="89"/>
      <c r="N1749" s="10" t="s">
        <v>121</v>
      </c>
      <c r="O1749" s="22" t="str">
        <f>$O$2</f>
        <v/>
      </c>
      <c r="P1749" s="21" t="str">
        <f>Enginuity!$A$19</f>
        <v>W/G</v>
      </c>
      <c r="Q1749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1749" s="104" t="str">
        <f>IF(
  AND(
    TRIM(A1749)=TRIM(Enginuity!$A$1),
    TRIM(B1749)=TRIM(Enginuity!$A$17),
    Q1749&lt;&gt;"",
    Q1749&lt;&gt;0,
    OR(
      TRIM(C1749)=TRIM(Enginuity!$A$18),
      AND(UPPER(TRIM(M1749))="STD", TRIM(B1749)=TRIM(Enginuity!$A$17))
    ),
    OR(
      AND(LEFT(P1749,5)="1-Way", Enginuity!$B$13=1),
      AND(LEFT(P1749,5)="2-Way", OR(Enginuity!$B$13=2, Enginuity!$B$13=4)),
      AND(LEFT(P1749,5)="3-Way", OR(Enginuity!$B$13=3, Enginuity!$B$13=6)),
      AND(P1749="Inner Centre Jamb", OR(Enginuity!$B$13=4, Enginuity!$B$13=6)),
      AND(
        LEFT(P1749,5)&lt;&gt;"1-Way",
        LEFT(P1749,5)&lt;&gt;"2-Way",
        LEFT(P1749,5)&lt;&gt;"3-Way",
        P1749&lt;&gt;"Inner Centre Jamb"
      )
    ),
    IF(OR(Enginuity!$A$1="Frameless Glass",Enginuity!$A$1="Metal Work"),
      AND(TRIM(B1749)=TRIM(Enginuity!$A$17),TRIM(C1749)=TRIM(Enginuity!$A$18)),
      TRIM(B1749)=TRIM(Enginuity!$A$17)
    )
  ),
  ROW(),
  ""
)</f>
        <v/>
      </c>
    </row>
    <row r="1750" spans="1:21" x14ac:dyDescent="0.25">
      <c r="A1750" s="10" t="s">
        <v>768</v>
      </c>
      <c r="B1750" s="229" t="str">
        <f t="shared" si="36"/>
        <v>⛔ Dual Security Door Insert ⛔</v>
      </c>
      <c r="C1750" s="10"/>
      <c r="D1750" s="14"/>
      <c r="E1750" s="157"/>
      <c r="F1750" s="10"/>
      <c r="G1750" s="17"/>
      <c r="H1750" s="10"/>
      <c r="I1750" s="17"/>
      <c r="J1750" s="83"/>
      <c r="K1750" s="343"/>
      <c r="L1750" s="347"/>
      <c r="M1750" s="89"/>
      <c r="N1750" s="10" t="s">
        <v>121</v>
      </c>
      <c r="O1750" s="22">
        <f>$B$21</f>
        <v>16.46</v>
      </c>
      <c r="P1750" s="21" t="str">
        <f>$A$21</f>
        <v>Black Stainless Steel Mesh</v>
      </c>
      <c r="Q1750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1750" s="104" t="str">
        <f>IF(
  AND(
    TRIM(A1750)=TRIM(Enginuity!$A$1),
    TRIM(B1750)=TRIM(Enginuity!$A$17),
    Q1750&lt;&gt;"",
    Q1750&lt;&gt;0,
    OR(
      TRIM(C1750)=TRIM(Enginuity!$A$18),
      AND(UPPER(TRIM(M1750))="STD", TRIM(B1750)=TRIM(Enginuity!$A$17))
    ),
    OR(
      AND(LEFT(P1750,5)="1-Way", Enginuity!$B$13=1),
      AND(LEFT(P1750,5)="2-Way", OR(Enginuity!$B$13=2, Enginuity!$B$13=4)),
      AND(LEFT(P1750,5)="3-Way", OR(Enginuity!$B$13=3, Enginuity!$B$13=6)),
      AND(P1750="Inner Centre Jamb", OR(Enginuity!$B$13=4, Enginuity!$B$13=6)),
      AND(
        LEFT(P1750,5)&lt;&gt;"1-Way",
        LEFT(P1750,5)&lt;&gt;"2-Way",
        LEFT(P1750,5)&lt;&gt;"3-Way",
        P1750&lt;&gt;"Inner Centre Jamb"
      )
    ),
    IF(OR(Enginuity!$A$1="Frameless Glass",Enginuity!$A$1="Metal Work"),
      AND(TRIM(B1750)=TRIM(Enginuity!$A$17),TRIM(C1750)=TRIM(Enginuity!$A$18)),
      TRIM(B1750)=TRIM(Enginuity!$A$17)
    )
  ),
  ROW(),
  ""
)</f>
        <v/>
      </c>
    </row>
    <row r="1751" spans="1:21" x14ac:dyDescent="0.25">
      <c r="A1751" s="10" t="s">
        <v>768</v>
      </c>
      <c r="B1751" s="229" t="str">
        <f t="shared" si="36"/>
        <v>⛔ Dual Security Door Insert ⛔</v>
      </c>
      <c r="C1751" s="10"/>
      <c r="D1751" s="14"/>
      <c r="E1751" s="157"/>
      <c r="F1751" s="10"/>
      <c r="G1751" s="17"/>
      <c r="H1751" s="10"/>
      <c r="I1751" s="17"/>
      <c r="J1751" s="83"/>
      <c r="K1751" s="343"/>
      <c r="L1751" s="347"/>
      <c r="M1751" s="89"/>
      <c r="N1751" s="10"/>
      <c r="O1751" s="22"/>
      <c r="P1751" s="14"/>
      <c r="Q1751" s="83"/>
      <c r="U1751" s="104" t="str">
        <f>IF(
  AND(
    TRIM(A1751)=TRIM(Enginuity!$A$1),
    TRIM(B1751)=TRIM(Enginuity!$A$17),
    Q1751&lt;&gt;"",
    Q1751&lt;&gt;0,
    OR(
      TRIM(C1751)=TRIM(Enginuity!$A$18),
      AND(UPPER(TRIM(M1751))="STD", TRIM(B1751)=TRIM(Enginuity!$A$17))
    ),
    OR(
      AND(LEFT(P1751,5)="1-Way", Enginuity!$B$13=1),
      AND(LEFT(P1751,5)="2-Way", OR(Enginuity!$B$13=2, Enginuity!$B$13=4)),
      AND(LEFT(P1751,5)="3-Way", OR(Enginuity!$B$13=3, Enginuity!$B$13=6)),
      AND(P1751="Inner Centre Jamb", OR(Enginuity!$B$13=4, Enginuity!$B$13=6)),
      AND(
        LEFT(P1751,5)&lt;&gt;"1-Way",
        LEFT(P1751,5)&lt;&gt;"2-Way",
        LEFT(P1751,5)&lt;&gt;"3-Way",
        P1751&lt;&gt;"Inner Centre Jamb"
      )
    ),
    IF(OR(Enginuity!$A$1="Frameless Glass",Enginuity!$A$1="Metal Work"),
      AND(TRIM(B1751)=TRIM(Enginuity!$A$17),TRIM(C1751)=TRIM(Enginuity!$A$18)),
      TRIM(B1751)=TRIM(Enginuity!$A$17)
    )
  ),
  ROW(),
  ""
)</f>
        <v/>
      </c>
    </row>
    <row r="1752" spans="1:21" x14ac:dyDescent="0.25">
      <c r="A1752" s="10" t="s">
        <v>768</v>
      </c>
      <c r="B1752" s="229" t="str">
        <f t="shared" si="36"/>
        <v>⛔ Dual Security Door Insert ⛔</v>
      </c>
      <c r="C1752" s="10"/>
      <c r="D1752" s="14"/>
      <c r="E1752" s="157"/>
      <c r="F1752" s="10"/>
      <c r="G1752" s="17"/>
      <c r="H1752" s="10"/>
      <c r="I1752" s="17"/>
      <c r="J1752" s="83"/>
      <c r="K1752" s="343"/>
      <c r="L1752" s="347"/>
      <c r="M1752" s="89"/>
      <c r="N1752" s="10"/>
      <c r="O1752" s="22"/>
      <c r="P1752" s="341">
        <f>IF(COUNTA(Q1733:Q1750,O1733:O1750)=0,"",SUMPRODUCT(Q1733:Q1750,O1733:O1750))</f>
        <v>15968.22</v>
      </c>
      <c r="Q1752" s="83"/>
      <c r="U1752" s="104" t="str">
        <f>IF(
  AND(
    TRIM(A1752)=TRIM(Enginuity!$A$1),
    TRIM(B1752)=TRIM(Enginuity!$A$17),
    Q1752&lt;&gt;"",
    Q1752&lt;&gt;0,
    OR(
      TRIM(C1752)=TRIM(Enginuity!$A$18),
      AND(UPPER(TRIM(M1752))="STD", TRIM(B1752)=TRIM(Enginuity!$A$17))
    ),
    OR(
      AND(LEFT(P1752,5)="1-Way", Enginuity!$B$13=1),
      AND(LEFT(P1752,5)="2-Way", OR(Enginuity!$B$13=2, Enginuity!$B$13=4)),
      AND(LEFT(P1752,5)="3-Way", OR(Enginuity!$B$13=3, Enginuity!$B$13=6)),
      AND(P1752="Inner Centre Jamb", OR(Enginuity!$B$13=4, Enginuity!$B$13=6)),
      AND(
        LEFT(P1752,5)&lt;&gt;"1-Way",
        LEFT(P1752,5)&lt;&gt;"2-Way",
        LEFT(P1752,5)&lt;&gt;"3-Way",
        P1752&lt;&gt;"Inner Centre Jamb"
      )
    ),
    IF(OR(Enginuity!$A$1="Frameless Glass",Enginuity!$A$1="Metal Work"),
      AND(TRIM(B1752)=TRIM(Enginuity!$A$17),TRIM(C1752)=TRIM(Enginuity!$A$18)),
      TRIM(B1752)=TRIM(Enginuity!$A$17)
    )
  ),
  ROW(),
  ""
)</f>
        <v/>
      </c>
    </row>
    <row r="1753" spans="1:21" x14ac:dyDescent="0.25">
      <c r="A1753" s="10" t="s">
        <v>768</v>
      </c>
      <c r="B1753" s="229" t="str">
        <f t="shared" si="36"/>
        <v>⛔ Dual Security Door Insert ⛔</v>
      </c>
      <c r="C1753" s="10"/>
      <c r="D1753" s="14"/>
      <c r="E1753" s="157"/>
      <c r="F1753" s="10"/>
      <c r="G1753" s="17"/>
      <c r="H1753" s="10"/>
      <c r="I1753" s="17"/>
      <c r="J1753" s="83"/>
      <c r="K1753" s="343"/>
      <c r="L1753" s="347"/>
      <c r="M1753" s="89"/>
      <c r="N1753" s="10"/>
      <c r="O1753" s="22"/>
      <c r="P1753" s="14"/>
      <c r="Q1753" s="83"/>
      <c r="U1753" s="104" t="str">
        <f>IF(
  AND(
    TRIM(A1753)=TRIM(Enginuity!$A$1),
    TRIM(B1753)=TRIM(Enginuity!$A$17),
    Q1753&lt;&gt;"",
    Q1753&lt;&gt;0,
    OR(
      TRIM(C1753)=TRIM(Enginuity!$A$18),
      AND(UPPER(TRIM(M1753))="STD", TRIM(B1753)=TRIM(Enginuity!$A$17))
    ),
    OR(
      AND(LEFT(P1753,5)="1-Way", Enginuity!$B$13=1),
      AND(LEFT(P1753,5)="2-Way", OR(Enginuity!$B$13=2, Enginuity!$B$13=4)),
      AND(LEFT(P1753,5)="3-Way", OR(Enginuity!$B$13=3, Enginuity!$B$13=6)),
      AND(P1753="Inner Centre Jamb", OR(Enginuity!$B$13=4, Enginuity!$B$13=6)),
      AND(
        LEFT(P1753,5)&lt;&gt;"1-Way",
        LEFT(P1753,5)&lt;&gt;"2-Way",
        LEFT(P1753,5)&lt;&gt;"3-Way",
        P1753&lt;&gt;"Inner Centre Jamb"
      )
    ),
    IF(OR(Enginuity!$A$1="Frameless Glass",Enginuity!$A$1="Metal Work"),
      AND(TRIM(B1753)=TRIM(Enginuity!$A$17),TRIM(C1753)=TRIM(Enginuity!$A$18)),
      TRIM(B1753)=TRIM(Enginuity!$A$17)
    )
  ),
  ROW(),
  ""
)</f>
        <v/>
      </c>
    </row>
    <row r="1754" spans="1:21" x14ac:dyDescent="0.25">
      <c r="A1754" s="10" t="s">
        <v>768</v>
      </c>
      <c r="B1754" s="229" t="str">
        <f t="shared" si="36"/>
        <v>⛔ Dual Security Door Insert ⛔</v>
      </c>
      <c r="C1754" s="10"/>
      <c r="D1754" s="14"/>
      <c r="E1754" s="157"/>
      <c r="F1754" s="10"/>
      <c r="G1754" s="17"/>
      <c r="H1754" s="10"/>
      <c r="I1754" s="17"/>
      <c r="J1754" s="83"/>
      <c r="K1754" s="343"/>
      <c r="L1754" s="347"/>
      <c r="M1754" s="89"/>
      <c r="N1754" s="10"/>
      <c r="O1754" s="22"/>
      <c r="P1754" s="14"/>
      <c r="Q1754" s="83"/>
      <c r="U1754" s="104" t="str">
        <f>IF(
  AND(
    TRIM(A1754)=TRIM(Enginuity!$A$1),
    TRIM(B1754)=TRIM(Enginuity!$A$17),
    Q1754&lt;&gt;"",
    Q1754&lt;&gt;0,
    OR(
      TRIM(C1754)=TRIM(Enginuity!$A$18),
      AND(UPPER(TRIM(M1754))="STD", TRIM(B1754)=TRIM(Enginuity!$A$17))
    ),
    OR(
      AND(LEFT(P1754,5)="1-Way", Enginuity!$B$13=1),
      AND(LEFT(P1754,5)="2-Way", OR(Enginuity!$B$13=2, Enginuity!$B$13=4)),
      AND(LEFT(P1754,5)="3-Way", OR(Enginuity!$B$13=3, Enginuity!$B$13=6)),
      AND(P1754="Inner Centre Jamb", OR(Enginuity!$B$13=4, Enginuity!$B$13=6)),
      AND(
        LEFT(P1754,5)&lt;&gt;"1-Way",
        LEFT(P1754,5)&lt;&gt;"2-Way",
        LEFT(P1754,5)&lt;&gt;"3-Way",
        P1754&lt;&gt;"Inner Centre Jamb"
      )
    ),
    IF(OR(Enginuity!$A$1="Frameless Glass",Enginuity!$A$1="Metal Work"),
      AND(TRIM(B1754)=TRIM(Enginuity!$A$17),TRIM(C1754)=TRIM(Enginuity!$A$18)),
      TRIM(B1754)=TRIM(Enginuity!$A$17)
    )
  ),
  ROW(),
  ""
)</f>
        <v/>
      </c>
    </row>
    <row r="1755" spans="1:21" x14ac:dyDescent="0.25">
      <c r="A1755" s="10" t="s">
        <v>768</v>
      </c>
      <c r="B1755" s="229" t="str">
        <f t="shared" si="36"/>
        <v>⛔ Dual Security Door Insert ⛔</v>
      </c>
      <c r="C1755" s="10"/>
      <c r="D1755" s="14"/>
      <c r="E1755" s="157"/>
      <c r="F1755" s="10"/>
      <c r="G1755" s="17"/>
      <c r="H1755" s="10"/>
      <c r="I1755" s="17"/>
      <c r="J1755" s="83"/>
      <c r="K1755" s="343"/>
      <c r="L1755" s="347"/>
      <c r="M1755" s="89"/>
      <c r="N1755" s="10"/>
      <c r="O1755" s="22"/>
      <c r="P1755" s="14"/>
      <c r="Q1755" s="83"/>
      <c r="U1755" s="104" t="str">
        <f>IF(
  AND(
    TRIM(A1755)=TRIM(Enginuity!$A$1),
    TRIM(B1755)=TRIM(Enginuity!$A$17),
    Q1755&lt;&gt;"",
    Q1755&lt;&gt;0,
    OR(
      TRIM(C1755)=TRIM(Enginuity!$A$18),
      AND(UPPER(TRIM(M1755))="STD", TRIM(B1755)=TRIM(Enginuity!$A$17))
    ),
    OR(
      AND(LEFT(P1755,5)="1-Way", Enginuity!$B$13=1),
      AND(LEFT(P1755,5)="2-Way", OR(Enginuity!$B$13=2, Enginuity!$B$13=4)),
      AND(LEFT(P1755,5)="3-Way", OR(Enginuity!$B$13=3, Enginuity!$B$13=6)),
      AND(P1755="Inner Centre Jamb", OR(Enginuity!$B$13=4, Enginuity!$B$13=6)),
      AND(
        LEFT(P1755,5)&lt;&gt;"1-Way",
        LEFT(P1755,5)&lt;&gt;"2-Way",
        LEFT(P1755,5)&lt;&gt;"3-Way",
        P1755&lt;&gt;"Inner Centre Jamb"
      )
    ),
    IF(OR(Enginuity!$A$1="Frameless Glass",Enginuity!$A$1="Metal Work"),
      AND(TRIM(B1755)=TRIM(Enginuity!$A$17),TRIM(C1755)=TRIM(Enginuity!$A$18)),
      TRIM(B1755)=TRIM(Enginuity!$A$17)
    )
  ),
  ROW(),
  ""
)</f>
        <v/>
      </c>
    </row>
    <row r="1756" spans="1:21" x14ac:dyDescent="0.25">
      <c r="A1756" s="10" t="s">
        <v>768</v>
      </c>
      <c r="B1756" s="229" t="str">
        <f t="shared" si="36"/>
        <v>⛔ Dual Security Door Insert ⛔</v>
      </c>
      <c r="C1756" s="10"/>
      <c r="D1756" s="14"/>
      <c r="E1756" s="157"/>
      <c r="F1756" s="10"/>
      <c r="G1756" s="17"/>
      <c r="H1756" s="10"/>
      <c r="I1756" s="17"/>
      <c r="J1756" s="83"/>
      <c r="K1756" s="343"/>
      <c r="L1756" s="347"/>
      <c r="M1756" s="89"/>
      <c r="N1756" s="10"/>
      <c r="O1756" s="22"/>
      <c r="P1756" s="14"/>
      <c r="Q1756" s="83"/>
      <c r="U1756" s="104" t="str">
        <f>IF(
  AND(
    TRIM(A1756)=TRIM(Enginuity!$A$1),
    TRIM(B1756)=TRIM(Enginuity!$A$17),
    Q1756&lt;&gt;"",
    Q1756&lt;&gt;0,
    OR(
      TRIM(C1756)=TRIM(Enginuity!$A$18),
      AND(UPPER(TRIM(M1756))="STD", TRIM(B1756)=TRIM(Enginuity!$A$17))
    ),
    OR(
      AND(LEFT(P1756,5)="1-Way", Enginuity!$B$13=1),
      AND(LEFT(P1756,5)="2-Way", OR(Enginuity!$B$13=2, Enginuity!$B$13=4)),
      AND(LEFT(P1756,5)="3-Way", OR(Enginuity!$B$13=3, Enginuity!$B$13=6)),
      AND(P1756="Inner Centre Jamb", OR(Enginuity!$B$13=4, Enginuity!$B$13=6)),
      AND(
        LEFT(P1756,5)&lt;&gt;"1-Way",
        LEFT(P1756,5)&lt;&gt;"2-Way",
        LEFT(P1756,5)&lt;&gt;"3-Way",
        P1756&lt;&gt;"Inner Centre Jamb"
      )
    ),
    IF(OR(Enginuity!$A$1="Frameless Glass",Enginuity!$A$1="Metal Work"),
      AND(TRIM(B1756)=TRIM(Enginuity!$A$17),TRIM(C1756)=TRIM(Enginuity!$A$18)),
      TRIM(B1756)=TRIM(Enginuity!$A$17)
    )
  ),
  ROW(),
  ""
)</f>
        <v/>
      </c>
    </row>
    <row r="1757" spans="1:21" x14ac:dyDescent="0.25">
      <c r="A1757" s="10" t="s">
        <v>768</v>
      </c>
      <c r="B1757" s="229" t="str">
        <f t="shared" si="36"/>
        <v>⛔ Dual Security Door Insert ⛔</v>
      </c>
      <c r="C1757" s="10"/>
      <c r="D1757" s="14"/>
      <c r="E1757" s="157"/>
      <c r="F1757" s="10"/>
      <c r="G1757" s="17"/>
      <c r="H1757" s="10"/>
      <c r="I1757" s="17"/>
      <c r="J1757" s="83"/>
      <c r="K1757" s="343"/>
      <c r="L1757" s="347"/>
      <c r="M1757" s="89"/>
      <c r="N1757" s="10"/>
      <c r="O1757" s="22"/>
      <c r="P1757" s="14"/>
      <c r="Q1757" s="83"/>
      <c r="U1757" s="104" t="str">
        <f>IF(
  AND(
    TRIM(A1757)=TRIM(Enginuity!$A$1),
    TRIM(B1757)=TRIM(Enginuity!$A$17),
    Q1757&lt;&gt;"",
    Q1757&lt;&gt;0,
    OR(
      TRIM(C1757)=TRIM(Enginuity!$A$18),
      AND(UPPER(TRIM(M1757))="STD", TRIM(B1757)=TRIM(Enginuity!$A$17))
    ),
    OR(
      AND(LEFT(P1757,5)="1-Way", Enginuity!$B$13=1),
      AND(LEFT(P1757,5)="2-Way", OR(Enginuity!$B$13=2, Enginuity!$B$13=4)),
      AND(LEFT(P1757,5)="3-Way", OR(Enginuity!$B$13=3, Enginuity!$B$13=6)),
      AND(P1757="Inner Centre Jamb", OR(Enginuity!$B$13=4, Enginuity!$B$13=6)),
      AND(
        LEFT(P1757,5)&lt;&gt;"1-Way",
        LEFT(P1757,5)&lt;&gt;"2-Way",
        LEFT(P1757,5)&lt;&gt;"3-Way",
        P1757&lt;&gt;"Inner Centre Jamb"
      )
    ),
    IF(OR(Enginuity!$A$1="Frameless Glass",Enginuity!$A$1="Metal Work"),
      AND(TRIM(B1757)=TRIM(Enginuity!$A$17),TRIM(C1757)=TRIM(Enginuity!$A$18)),
      TRIM(B1757)=TRIM(Enginuity!$A$17)
    )
  ),
  ROW(),
  ""
)</f>
        <v/>
      </c>
    </row>
    <row r="1758" spans="1:21" x14ac:dyDescent="0.25">
      <c r="A1758" s="10" t="s">
        <v>768</v>
      </c>
      <c r="B1758" s="229" t="str">
        <f t="shared" si="36"/>
        <v>⛔ Dual Security Door Insert ⛔</v>
      </c>
      <c r="C1758" s="10"/>
      <c r="D1758" s="14"/>
      <c r="E1758" s="157"/>
      <c r="F1758" s="10"/>
      <c r="G1758" s="17"/>
      <c r="H1758" s="10"/>
      <c r="I1758" s="17"/>
      <c r="J1758" s="83"/>
      <c r="K1758" s="343"/>
      <c r="L1758" s="347"/>
      <c r="M1758" s="89"/>
      <c r="N1758" s="10"/>
      <c r="O1758" s="22"/>
      <c r="P1758" s="14"/>
      <c r="Q1758" s="83"/>
      <c r="U1758" s="104" t="str">
        <f>IF(
  AND(
    TRIM(A1758)=TRIM(Enginuity!$A$1),
    TRIM(B1758)=TRIM(Enginuity!$A$17),
    Q1758&lt;&gt;"",
    Q1758&lt;&gt;0,
    OR(
      TRIM(C1758)=TRIM(Enginuity!$A$18),
      AND(UPPER(TRIM(M1758))="STD", TRIM(B1758)=TRIM(Enginuity!$A$17))
    ),
    OR(
      AND(LEFT(P1758,5)="1-Way", Enginuity!$B$13=1),
      AND(LEFT(P1758,5)="2-Way", OR(Enginuity!$B$13=2, Enginuity!$B$13=4)),
      AND(LEFT(P1758,5)="3-Way", OR(Enginuity!$B$13=3, Enginuity!$B$13=6)),
      AND(P1758="Inner Centre Jamb", OR(Enginuity!$B$13=4, Enginuity!$B$13=6)),
      AND(
        LEFT(P1758,5)&lt;&gt;"1-Way",
        LEFT(P1758,5)&lt;&gt;"2-Way",
        LEFT(P1758,5)&lt;&gt;"3-Way",
        P1758&lt;&gt;"Inner Centre Jamb"
      )
    ),
    IF(OR(Enginuity!$A$1="Frameless Glass",Enginuity!$A$1="Metal Work"),
      AND(TRIM(B1758)=TRIM(Enginuity!$A$17),TRIM(C1758)=TRIM(Enginuity!$A$18)),
      TRIM(B1758)=TRIM(Enginuity!$A$17)
    )
  ),
  ROW(),
  ""
)</f>
        <v/>
      </c>
    </row>
    <row r="1759" spans="1:21" x14ac:dyDescent="0.25">
      <c r="A1759" s="10" t="s">
        <v>768</v>
      </c>
      <c r="B1759" s="229" t="str">
        <f t="shared" si="36"/>
        <v>⛔ Dual Security Door Insert ⛔</v>
      </c>
      <c r="C1759" s="10"/>
      <c r="D1759" s="14"/>
      <c r="E1759" s="157"/>
      <c r="F1759" s="10"/>
      <c r="G1759" s="17"/>
      <c r="H1759" s="10"/>
      <c r="I1759" s="17"/>
      <c r="J1759" s="83"/>
      <c r="K1759" s="343"/>
      <c r="L1759" s="347"/>
      <c r="M1759" s="89"/>
      <c r="N1759" s="10"/>
      <c r="O1759" s="22"/>
      <c r="P1759" s="14"/>
      <c r="Q1759" s="83"/>
      <c r="U1759" s="104" t="str">
        <f>IF(
  AND(
    TRIM(A1759)=TRIM(Enginuity!$A$1),
    TRIM(B1759)=TRIM(Enginuity!$A$17),
    Q1759&lt;&gt;"",
    Q1759&lt;&gt;0,
    OR(
      TRIM(C1759)=TRIM(Enginuity!$A$18),
      AND(UPPER(TRIM(M1759))="STD", TRIM(B1759)=TRIM(Enginuity!$A$17))
    ),
    OR(
      AND(LEFT(P1759,5)="1-Way", Enginuity!$B$13=1),
      AND(LEFT(P1759,5)="2-Way", OR(Enginuity!$B$13=2, Enginuity!$B$13=4)),
      AND(LEFT(P1759,5)="3-Way", OR(Enginuity!$B$13=3, Enginuity!$B$13=6)),
      AND(P1759="Inner Centre Jamb", OR(Enginuity!$B$13=4, Enginuity!$B$13=6)),
      AND(
        LEFT(P1759,5)&lt;&gt;"1-Way",
        LEFT(P1759,5)&lt;&gt;"2-Way",
        LEFT(P1759,5)&lt;&gt;"3-Way",
        P1759&lt;&gt;"Inner Centre Jamb"
      )
    ),
    IF(OR(Enginuity!$A$1="Frameless Glass",Enginuity!$A$1="Metal Work"),
      AND(TRIM(B1759)=TRIM(Enginuity!$A$17),TRIM(C1759)=TRIM(Enginuity!$A$18)),
      TRIM(B1759)=TRIM(Enginuity!$A$17)
    )
  ),
  ROW(),
  ""
)</f>
        <v/>
      </c>
    </row>
    <row r="1760" spans="1:21" x14ac:dyDescent="0.25">
      <c r="A1760" s="10" t="s">
        <v>768</v>
      </c>
      <c r="B1760" s="229" t="str">
        <f t="shared" si="36"/>
        <v>⛔ Dual Security Door Insert ⛔</v>
      </c>
      <c r="C1760" s="10"/>
      <c r="D1760" s="14"/>
      <c r="E1760" s="157"/>
      <c r="F1760" s="10"/>
      <c r="G1760" s="17"/>
      <c r="H1760" s="10"/>
      <c r="I1760" s="17"/>
      <c r="J1760" s="83"/>
      <c r="K1760" s="343"/>
      <c r="L1760" s="347"/>
      <c r="M1760" s="89"/>
      <c r="N1760" s="10"/>
      <c r="O1760" s="22"/>
      <c r="P1760" s="14"/>
      <c r="Q1760" s="83"/>
      <c r="U1760" s="104" t="str">
        <f>IF(
  AND(
    TRIM(A1760)=TRIM(Enginuity!$A$1),
    TRIM(B1760)=TRIM(Enginuity!$A$17),
    Q1760&lt;&gt;"",
    Q1760&lt;&gt;0,
    OR(
      TRIM(C1760)=TRIM(Enginuity!$A$18),
      AND(UPPER(TRIM(M1760))="STD", TRIM(B1760)=TRIM(Enginuity!$A$17))
    ),
    OR(
      AND(LEFT(P1760,5)="1-Way", Enginuity!$B$13=1),
      AND(LEFT(P1760,5)="2-Way", OR(Enginuity!$B$13=2, Enginuity!$B$13=4)),
      AND(LEFT(P1760,5)="3-Way", OR(Enginuity!$B$13=3, Enginuity!$B$13=6)),
      AND(P1760="Inner Centre Jamb", OR(Enginuity!$B$13=4, Enginuity!$B$13=6)),
      AND(
        LEFT(P1760,5)&lt;&gt;"1-Way",
        LEFT(P1760,5)&lt;&gt;"2-Way",
        LEFT(P1760,5)&lt;&gt;"3-Way",
        P1760&lt;&gt;"Inner Centre Jamb"
      )
    ),
    IF(OR(Enginuity!$A$1="Frameless Glass",Enginuity!$A$1="Metal Work"),
      AND(TRIM(B1760)=TRIM(Enginuity!$A$17),TRIM(C1760)=TRIM(Enginuity!$A$18)),
      TRIM(B1760)=TRIM(Enginuity!$A$17)
    )
  ),
  ROW(),
  ""
)</f>
        <v/>
      </c>
    </row>
    <row r="1761" spans="1:21" x14ac:dyDescent="0.25">
      <c r="A1761" s="10" t="s">
        <v>768</v>
      </c>
      <c r="B1761" s="229" t="str">
        <f t="shared" si="36"/>
        <v>⛔ Dual Security Door Insert ⛔</v>
      </c>
      <c r="C1761" s="10"/>
      <c r="D1761" s="14"/>
      <c r="E1761" s="157"/>
      <c r="F1761" s="10"/>
      <c r="G1761" s="17"/>
      <c r="H1761" s="10"/>
      <c r="I1761" s="17"/>
      <c r="J1761" s="83"/>
      <c r="K1761" s="343"/>
      <c r="L1761" s="347"/>
      <c r="M1761" s="89"/>
      <c r="N1761" s="10"/>
      <c r="O1761" s="22"/>
      <c r="P1761" s="14"/>
      <c r="Q1761" s="83"/>
      <c r="U1761" s="104" t="str">
        <f>IF(
  AND(
    TRIM(A1761)=TRIM(Enginuity!$A$1),
    TRIM(B1761)=TRIM(Enginuity!$A$17),
    Q1761&lt;&gt;"",
    Q1761&lt;&gt;0,
    OR(
      TRIM(C1761)=TRIM(Enginuity!$A$18),
      AND(UPPER(TRIM(M1761))="STD", TRIM(B1761)=TRIM(Enginuity!$A$17))
    ),
    OR(
      AND(LEFT(P1761,5)="1-Way", Enginuity!$B$13=1),
      AND(LEFT(P1761,5)="2-Way", OR(Enginuity!$B$13=2, Enginuity!$B$13=4)),
      AND(LEFT(P1761,5)="3-Way", OR(Enginuity!$B$13=3, Enginuity!$B$13=6)),
      AND(P1761="Inner Centre Jamb", OR(Enginuity!$B$13=4, Enginuity!$B$13=6)),
      AND(
        LEFT(P1761,5)&lt;&gt;"1-Way",
        LEFT(P1761,5)&lt;&gt;"2-Way",
        LEFT(P1761,5)&lt;&gt;"3-Way",
        P1761&lt;&gt;"Inner Centre Jamb"
      )
    ),
    IF(OR(Enginuity!$A$1="Frameless Glass",Enginuity!$A$1="Metal Work"),
      AND(TRIM(B1761)=TRIM(Enginuity!$A$17),TRIM(C1761)=TRIM(Enginuity!$A$18)),
      TRIM(B1761)=TRIM(Enginuity!$A$17)
    )
  ),
  ROW(),
  ""
)</f>
        <v/>
      </c>
    </row>
    <row r="1762" spans="1:21" x14ac:dyDescent="0.25">
      <c r="A1762" s="10" t="s">
        <v>768</v>
      </c>
      <c r="B1762" s="229" t="str">
        <f t="shared" si="36"/>
        <v>⛔ Dual Security Door Insert ⛔</v>
      </c>
      <c r="C1762" s="10"/>
      <c r="D1762" s="14"/>
      <c r="E1762" s="157"/>
      <c r="F1762" s="10"/>
      <c r="G1762" s="17"/>
      <c r="H1762" s="10"/>
      <c r="I1762" s="17"/>
      <c r="J1762" s="83"/>
      <c r="K1762" s="343"/>
      <c r="L1762" s="347"/>
      <c r="M1762" s="89"/>
      <c r="N1762" s="10"/>
      <c r="O1762" s="22"/>
      <c r="P1762" s="14"/>
      <c r="Q1762" s="83"/>
      <c r="U1762" s="104" t="str">
        <f>IF(
  AND(
    TRIM(A1762)=TRIM(Enginuity!$A$1),
    TRIM(B1762)=TRIM(Enginuity!$A$17),
    Q1762&lt;&gt;"",
    Q1762&lt;&gt;0,
    OR(
      TRIM(C1762)=TRIM(Enginuity!$A$18),
      AND(UPPER(TRIM(M1762))="STD", TRIM(B1762)=TRIM(Enginuity!$A$17))
    ),
    OR(
      AND(LEFT(P1762,5)="1-Way", Enginuity!$B$13=1),
      AND(LEFT(P1762,5)="2-Way", OR(Enginuity!$B$13=2, Enginuity!$B$13=4)),
      AND(LEFT(P1762,5)="3-Way", OR(Enginuity!$B$13=3, Enginuity!$B$13=6)),
      AND(P1762="Inner Centre Jamb", OR(Enginuity!$B$13=4, Enginuity!$B$13=6)),
      AND(
        LEFT(P1762,5)&lt;&gt;"1-Way",
        LEFT(P1762,5)&lt;&gt;"2-Way",
        LEFT(P1762,5)&lt;&gt;"3-Way",
        P1762&lt;&gt;"Inner Centre Jamb"
      )
    ),
    IF(OR(Enginuity!$A$1="Frameless Glass",Enginuity!$A$1="Metal Work"),
      AND(TRIM(B1762)=TRIM(Enginuity!$A$17),TRIM(C1762)=TRIM(Enginuity!$A$18)),
      TRIM(B1762)=TRIM(Enginuity!$A$17)
    )
  ),
  ROW(),
  ""
)</f>
        <v/>
      </c>
    </row>
    <row r="1763" spans="1:21" x14ac:dyDescent="0.25">
      <c r="A1763" s="10" t="s">
        <v>768</v>
      </c>
      <c r="B1763" s="229" t="str">
        <f t="shared" si="36"/>
        <v>⛔ Dual Security Door Insert ⛔</v>
      </c>
      <c r="C1763" s="10"/>
      <c r="D1763" s="14"/>
      <c r="E1763" s="157"/>
      <c r="F1763" s="10"/>
      <c r="G1763" s="17"/>
      <c r="H1763" s="10"/>
      <c r="I1763" s="17"/>
      <c r="J1763" s="83"/>
      <c r="K1763" s="343"/>
      <c r="L1763" s="347"/>
      <c r="M1763" s="89"/>
      <c r="N1763" s="10"/>
      <c r="O1763" s="22"/>
      <c r="P1763" s="14"/>
      <c r="Q1763" s="83"/>
      <c r="U1763" s="104" t="str">
        <f>IF(
  AND(
    TRIM(A1763)=TRIM(Enginuity!$A$1),
    TRIM(B1763)=TRIM(Enginuity!$A$17),
    Q1763&lt;&gt;"",
    Q1763&lt;&gt;0,
    OR(
      TRIM(C1763)=TRIM(Enginuity!$A$18),
      AND(UPPER(TRIM(M1763))="STD", TRIM(B1763)=TRIM(Enginuity!$A$17))
    ),
    OR(
      AND(LEFT(P1763,5)="1-Way", Enginuity!$B$13=1),
      AND(LEFT(P1763,5)="2-Way", OR(Enginuity!$B$13=2, Enginuity!$B$13=4)),
      AND(LEFT(P1763,5)="3-Way", OR(Enginuity!$B$13=3, Enginuity!$B$13=6)),
      AND(P1763="Inner Centre Jamb", OR(Enginuity!$B$13=4, Enginuity!$B$13=6)),
      AND(
        LEFT(P1763,5)&lt;&gt;"1-Way",
        LEFT(P1763,5)&lt;&gt;"2-Way",
        LEFT(P1763,5)&lt;&gt;"3-Way",
        P1763&lt;&gt;"Inner Centre Jamb"
      )
    ),
    IF(OR(Enginuity!$A$1="Frameless Glass",Enginuity!$A$1="Metal Work"),
      AND(TRIM(B1763)=TRIM(Enginuity!$A$17),TRIM(C1763)=TRIM(Enginuity!$A$18)),
      TRIM(B1763)=TRIM(Enginuity!$A$17)
    )
  ),
  ROW(),
  ""
)</f>
        <v/>
      </c>
    </row>
    <row r="1764" spans="1:21" x14ac:dyDescent="0.25">
      <c r="A1764" s="10" t="s">
        <v>768</v>
      </c>
      <c r="B1764" s="229" t="str">
        <f t="shared" si="36"/>
        <v>⛔ Dual Security Door Insert ⛔</v>
      </c>
      <c r="C1764" s="10"/>
      <c r="D1764" s="14"/>
      <c r="E1764" s="157"/>
      <c r="F1764" s="10"/>
      <c r="G1764" s="17"/>
      <c r="H1764" s="10"/>
      <c r="I1764" s="17"/>
      <c r="J1764" s="83"/>
      <c r="K1764" s="343"/>
      <c r="L1764" s="347"/>
      <c r="M1764" s="89"/>
      <c r="N1764" s="10"/>
      <c r="O1764" s="22"/>
      <c r="P1764" s="14"/>
      <c r="Q1764" s="83"/>
      <c r="U1764" s="104" t="str">
        <f>IF(
  AND(
    TRIM(A1764)=TRIM(Enginuity!$A$1),
    TRIM(B1764)=TRIM(Enginuity!$A$17),
    Q1764&lt;&gt;"",
    Q1764&lt;&gt;0,
    OR(
      TRIM(C1764)=TRIM(Enginuity!$A$18),
      AND(UPPER(TRIM(M1764))="STD", TRIM(B1764)=TRIM(Enginuity!$A$17))
    ),
    OR(
      AND(LEFT(P1764,5)="1-Way", Enginuity!$B$13=1),
      AND(LEFT(P1764,5)="2-Way", OR(Enginuity!$B$13=2, Enginuity!$B$13=4)),
      AND(LEFT(P1764,5)="3-Way", OR(Enginuity!$B$13=3, Enginuity!$B$13=6)),
      AND(P1764="Inner Centre Jamb", OR(Enginuity!$B$13=4, Enginuity!$B$13=6)),
      AND(
        LEFT(P1764,5)&lt;&gt;"1-Way",
        LEFT(P1764,5)&lt;&gt;"2-Way",
        LEFT(P1764,5)&lt;&gt;"3-Way",
        P1764&lt;&gt;"Inner Centre Jamb"
      )
    ),
    IF(OR(Enginuity!$A$1="Frameless Glass",Enginuity!$A$1="Metal Work"),
      AND(TRIM(B1764)=TRIM(Enginuity!$A$17),TRIM(C1764)=TRIM(Enginuity!$A$18)),
      TRIM(B1764)=TRIM(Enginuity!$A$17)
    )
  ),
  ROW(),
  ""
)</f>
        <v/>
      </c>
    </row>
    <row r="1765" spans="1:21" x14ac:dyDescent="0.25">
      <c r="A1765" s="10" t="s">
        <v>768</v>
      </c>
      <c r="B1765" s="229" t="str">
        <f t="shared" si="36"/>
        <v>⛔ Dual Security Door Insert ⛔</v>
      </c>
      <c r="C1765" s="10"/>
      <c r="D1765" s="14"/>
      <c r="E1765" s="157"/>
      <c r="F1765" s="10"/>
      <c r="G1765" s="17"/>
      <c r="H1765" s="10"/>
      <c r="I1765" s="17"/>
      <c r="J1765" s="83"/>
      <c r="K1765" s="343"/>
      <c r="L1765" s="347"/>
      <c r="M1765" s="89"/>
      <c r="N1765" s="10"/>
      <c r="O1765" s="22"/>
      <c r="P1765" s="14"/>
      <c r="Q1765" s="83"/>
      <c r="U1765" s="104" t="str">
        <f>IF(
  AND(
    TRIM(A1765)=TRIM(Enginuity!$A$1),
    TRIM(B1765)=TRIM(Enginuity!$A$17),
    Q1765&lt;&gt;"",
    Q1765&lt;&gt;0,
    OR(
      TRIM(C1765)=TRIM(Enginuity!$A$18),
      AND(UPPER(TRIM(M1765))="STD", TRIM(B1765)=TRIM(Enginuity!$A$17))
    ),
    OR(
      AND(LEFT(P1765,5)="1-Way", Enginuity!$B$13=1),
      AND(LEFT(P1765,5)="2-Way", OR(Enginuity!$B$13=2, Enginuity!$B$13=4)),
      AND(LEFT(P1765,5)="3-Way", OR(Enginuity!$B$13=3, Enginuity!$B$13=6)),
      AND(P1765="Inner Centre Jamb", OR(Enginuity!$B$13=4, Enginuity!$B$13=6)),
      AND(
        LEFT(P1765,5)&lt;&gt;"1-Way",
        LEFT(P1765,5)&lt;&gt;"2-Way",
        LEFT(P1765,5)&lt;&gt;"3-Way",
        P1765&lt;&gt;"Inner Centre Jamb"
      )
    ),
    IF(OR(Enginuity!$A$1="Frameless Glass",Enginuity!$A$1="Metal Work"),
      AND(TRIM(B1765)=TRIM(Enginuity!$A$17),TRIM(C1765)=TRIM(Enginuity!$A$18)),
      TRIM(B1765)=TRIM(Enginuity!$A$17)
    )
  ),
  ROW(),
  ""
)</f>
        <v/>
      </c>
    </row>
    <row r="1766" spans="1:21" x14ac:dyDescent="0.25">
      <c r="A1766" s="10" t="s">
        <v>768</v>
      </c>
      <c r="B1766" s="229" t="str">
        <f t="shared" si="36"/>
        <v>⛔ Dual Security Door Insert ⛔</v>
      </c>
      <c r="C1766" s="10"/>
      <c r="D1766" s="14"/>
      <c r="E1766" s="157"/>
      <c r="F1766" s="10"/>
      <c r="G1766" s="17"/>
      <c r="H1766" s="10"/>
      <c r="I1766" s="17"/>
      <c r="J1766" s="83"/>
      <c r="K1766" s="343"/>
      <c r="L1766" s="347"/>
      <c r="M1766" s="89"/>
      <c r="N1766" s="10"/>
      <c r="O1766" s="22"/>
      <c r="P1766" s="14"/>
      <c r="Q1766" s="83"/>
      <c r="U1766" s="104" t="str">
        <f>IF(
  AND(
    TRIM(A1766)=TRIM(Enginuity!$A$1),
    TRIM(B1766)=TRIM(Enginuity!$A$17),
    Q1766&lt;&gt;"",
    Q1766&lt;&gt;0,
    OR(
      TRIM(C1766)=TRIM(Enginuity!$A$18),
      AND(UPPER(TRIM(M1766))="STD", TRIM(B1766)=TRIM(Enginuity!$A$17))
    ),
    OR(
      AND(LEFT(P1766,5)="1-Way", Enginuity!$B$13=1),
      AND(LEFT(P1766,5)="2-Way", OR(Enginuity!$B$13=2, Enginuity!$B$13=4)),
      AND(LEFT(P1766,5)="3-Way", OR(Enginuity!$B$13=3, Enginuity!$B$13=6)),
      AND(P1766="Inner Centre Jamb", OR(Enginuity!$B$13=4, Enginuity!$B$13=6)),
      AND(
        LEFT(P1766,5)&lt;&gt;"1-Way",
        LEFT(P1766,5)&lt;&gt;"2-Way",
        LEFT(P1766,5)&lt;&gt;"3-Way",
        P1766&lt;&gt;"Inner Centre Jamb"
      )
    ),
    IF(OR(Enginuity!$A$1="Frameless Glass",Enginuity!$A$1="Metal Work"),
      AND(TRIM(B1766)=TRIM(Enginuity!$A$17),TRIM(C1766)=TRIM(Enginuity!$A$18)),
      TRIM(B1766)=TRIM(Enginuity!$A$17)
    )
  ),
  ROW(),
  ""
)</f>
        <v/>
      </c>
    </row>
    <row r="1767" spans="1:21" x14ac:dyDescent="0.25">
      <c r="A1767" s="10" t="s">
        <v>768</v>
      </c>
      <c r="B1767" s="229" t="str">
        <f t="shared" si="36"/>
        <v>⛔ Dual Security Door Insert ⛔</v>
      </c>
      <c r="C1767" s="10"/>
      <c r="D1767" s="14"/>
      <c r="E1767" s="157"/>
      <c r="F1767" s="10"/>
      <c r="G1767" s="17"/>
      <c r="H1767" s="10"/>
      <c r="I1767" s="17"/>
      <c r="J1767" s="83"/>
      <c r="K1767" s="343"/>
      <c r="L1767" s="347"/>
      <c r="M1767" s="89"/>
      <c r="N1767" s="10"/>
      <c r="O1767" s="22"/>
      <c r="P1767" s="14"/>
      <c r="Q1767" s="83"/>
      <c r="U1767" s="104" t="str">
        <f>IF(
  AND(
    TRIM(A1767)=TRIM(Enginuity!$A$1),
    TRIM(B1767)=TRIM(Enginuity!$A$17),
    Q1767&lt;&gt;"",
    Q1767&lt;&gt;0,
    OR(
      TRIM(C1767)=TRIM(Enginuity!$A$18),
      AND(UPPER(TRIM(M1767))="STD", TRIM(B1767)=TRIM(Enginuity!$A$17))
    ),
    OR(
      AND(LEFT(P1767,5)="1-Way", Enginuity!$B$13=1),
      AND(LEFT(P1767,5)="2-Way", OR(Enginuity!$B$13=2, Enginuity!$B$13=4)),
      AND(LEFT(P1767,5)="3-Way", OR(Enginuity!$B$13=3, Enginuity!$B$13=6)),
      AND(P1767="Inner Centre Jamb", OR(Enginuity!$B$13=4, Enginuity!$B$13=6)),
      AND(
        LEFT(P1767,5)&lt;&gt;"1-Way",
        LEFT(P1767,5)&lt;&gt;"2-Way",
        LEFT(P1767,5)&lt;&gt;"3-Way",
        P1767&lt;&gt;"Inner Centre Jamb"
      )
    ),
    IF(OR(Enginuity!$A$1="Frameless Glass",Enginuity!$A$1="Metal Work"),
      AND(TRIM(B1767)=TRIM(Enginuity!$A$17),TRIM(C1767)=TRIM(Enginuity!$A$18)),
      TRIM(B1767)=TRIM(Enginuity!$A$17)
    )
  ),
  ROW(),
  ""
)</f>
        <v/>
      </c>
    </row>
    <row r="1768" spans="1:21" x14ac:dyDescent="0.25">
      <c r="A1768" s="10" t="s">
        <v>768</v>
      </c>
      <c r="B1768" s="229" t="str">
        <f t="shared" si="36"/>
        <v>⛔ Dual Security Door Insert ⛔</v>
      </c>
      <c r="C1768" s="10"/>
      <c r="D1768" s="14"/>
      <c r="E1768" s="157"/>
      <c r="F1768" s="10"/>
      <c r="G1768" s="17"/>
      <c r="H1768" s="10"/>
      <c r="I1768" s="17"/>
      <c r="J1768" s="83"/>
      <c r="K1768" s="343"/>
      <c r="L1768" s="347"/>
      <c r="M1768" s="89"/>
      <c r="N1768" s="10"/>
      <c r="O1768" s="22"/>
      <c r="P1768" s="14"/>
      <c r="Q1768" s="83"/>
      <c r="U1768" s="104" t="str">
        <f>IF(
  AND(
    TRIM(A1768)=TRIM(Enginuity!$A$1),
    TRIM(B1768)=TRIM(Enginuity!$A$17),
    Q1768&lt;&gt;"",
    Q1768&lt;&gt;0,
    OR(
      TRIM(C1768)=TRIM(Enginuity!$A$18),
      AND(UPPER(TRIM(M1768))="STD", TRIM(B1768)=TRIM(Enginuity!$A$17))
    ),
    OR(
      AND(LEFT(P1768,5)="1-Way", Enginuity!$B$13=1),
      AND(LEFT(P1768,5)="2-Way", OR(Enginuity!$B$13=2, Enginuity!$B$13=4)),
      AND(LEFT(P1768,5)="3-Way", OR(Enginuity!$B$13=3, Enginuity!$B$13=6)),
      AND(P1768="Inner Centre Jamb", OR(Enginuity!$B$13=4, Enginuity!$B$13=6)),
      AND(
        LEFT(P1768,5)&lt;&gt;"1-Way",
        LEFT(P1768,5)&lt;&gt;"2-Way",
        LEFT(P1768,5)&lt;&gt;"3-Way",
        P1768&lt;&gt;"Inner Centre Jamb"
      )
    ),
    IF(OR(Enginuity!$A$1="Frameless Glass",Enginuity!$A$1="Metal Work"),
      AND(TRIM(B1768)=TRIM(Enginuity!$A$17),TRIM(C1768)=TRIM(Enginuity!$A$18)),
      TRIM(B1768)=TRIM(Enginuity!$A$17)
    )
  ),
  ROW(),
  ""
)</f>
        <v/>
      </c>
    </row>
    <row r="1769" spans="1:21" x14ac:dyDescent="0.25">
      <c r="A1769" s="10" t="s">
        <v>768</v>
      </c>
      <c r="B1769" s="229" t="str">
        <f t="shared" si="36"/>
        <v>⛔ Dual Security Door Insert ⛔</v>
      </c>
      <c r="C1769" s="10"/>
      <c r="D1769" s="14"/>
      <c r="E1769" s="157"/>
      <c r="F1769" s="10"/>
      <c r="G1769" s="17"/>
      <c r="H1769" s="10"/>
      <c r="I1769" s="17"/>
      <c r="J1769" s="83"/>
      <c r="K1769" s="343"/>
      <c r="L1769" s="347"/>
      <c r="M1769" s="89"/>
      <c r="N1769" s="10"/>
      <c r="O1769" s="22"/>
      <c r="P1769" s="14"/>
      <c r="Q1769" s="83"/>
      <c r="U1769" s="104" t="str">
        <f>IF(
  AND(
    TRIM(A1769)=TRIM(Enginuity!$A$1),
    TRIM(B1769)=TRIM(Enginuity!$A$17),
    Q1769&lt;&gt;"",
    Q1769&lt;&gt;0,
    OR(
      TRIM(C1769)=TRIM(Enginuity!$A$18),
      AND(UPPER(TRIM(M1769))="STD", TRIM(B1769)=TRIM(Enginuity!$A$17))
    ),
    OR(
      AND(LEFT(P1769,5)="1-Way", Enginuity!$B$13=1),
      AND(LEFT(P1769,5)="2-Way", OR(Enginuity!$B$13=2, Enginuity!$B$13=4)),
      AND(LEFT(P1769,5)="3-Way", OR(Enginuity!$B$13=3, Enginuity!$B$13=6)),
      AND(P1769="Inner Centre Jamb", OR(Enginuity!$B$13=4, Enginuity!$B$13=6)),
      AND(
        LEFT(P1769,5)&lt;&gt;"1-Way",
        LEFT(P1769,5)&lt;&gt;"2-Way",
        LEFT(P1769,5)&lt;&gt;"3-Way",
        P1769&lt;&gt;"Inner Centre Jamb"
      )
    ),
    IF(OR(Enginuity!$A$1="Frameless Glass",Enginuity!$A$1="Metal Work"),
      AND(TRIM(B1769)=TRIM(Enginuity!$A$17),TRIM(C1769)=TRIM(Enginuity!$A$18)),
      TRIM(B1769)=TRIM(Enginuity!$A$17)
    )
  ),
  ROW(),
  ""
)</f>
        <v/>
      </c>
    </row>
    <row r="1770" spans="1:21" x14ac:dyDescent="0.25">
      <c r="A1770" s="10" t="s">
        <v>768</v>
      </c>
      <c r="B1770" s="229" t="str">
        <f t="shared" si="36"/>
        <v>⛔ Dual Security Door Insert ⛔</v>
      </c>
      <c r="C1770" s="10"/>
      <c r="D1770" s="14"/>
      <c r="E1770" s="157"/>
      <c r="F1770" s="10"/>
      <c r="G1770" s="17"/>
      <c r="H1770" s="10"/>
      <c r="I1770" s="17"/>
      <c r="J1770" s="83"/>
      <c r="K1770" s="343"/>
      <c r="L1770" s="347"/>
      <c r="M1770" s="89"/>
      <c r="N1770" s="10"/>
      <c r="O1770" s="22"/>
      <c r="P1770" s="14"/>
      <c r="Q1770" s="83"/>
      <c r="U1770" s="104" t="str">
        <f>IF(
  AND(
    TRIM(A1770)=TRIM(Enginuity!$A$1),
    TRIM(B1770)=TRIM(Enginuity!$A$17),
    Q1770&lt;&gt;"",
    Q1770&lt;&gt;0,
    OR(
      TRIM(C1770)=TRIM(Enginuity!$A$18),
      AND(UPPER(TRIM(M1770))="STD", TRIM(B1770)=TRIM(Enginuity!$A$17))
    ),
    OR(
      AND(LEFT(P1770,5)="1-Way", Enginuity!$B$13=1),
      AND(LEFT(P1770,5)="2-Way", OR(Enginuity!$B$13=2, Enginuity!$B$13=4)),
      AND(LEFT(P1770,5)="3-Way", OR(Enginuity!$B$13=3, Enginuity!$B$13=6)),
      AND(P1770="Inner Centre Jamb", OR(Enginuity!$B$13=4, Enginuity!$B$13=6)),
      AND(
        LEFT(P1770,5)&lt;&gt;"1-Way",
        LEFT(P1770,5)&lt;&gt;"2-Way",
        LEFT(P1770,5)&lt;&gt;"3-Way",
        P1770&lt;&gt;"Inner Centre Jamb"
      )
    ),
    IF(OR(Enginuity!$A$1="Frameless Glass",Enginuity!$A$1="Metal Work"),
      AND(TRIM(B1770)=TRIM(Enginuity!$A$17),TRIM(C1770)=TRIM(Enginuity!$A$18)),
      TRIM(B1770)=TRIM(Enginuity!$A$17)
    )
  ),
  ROW(),
  ""
)</f>
        <v/>
      </c>
    </row>
    <row r="1771" spans="1:21" x14ac:dyDescent="0.25">
      <c r="A1771" s="10" t="s">
        <v>768</v>
      </c>
      <c r="B1771" s="229" t="str">
        <f t="shared" si="36"/>
        <v>⛔ Dual Security Door Insert ⛔</v>
      </c>
      <c r="C1771" s="10"/>
      <c r="D1771" s="14"/>
      <c r="E1771" s="157"/>
      <c r="F1771" s="10"/>
      <c r="G1771" s="17"/>
      <c r="H1771" s="10"/>
      <c r="I1771" s="17"/>
      <c r="J1771" s="83"/>
      <c r="K1771" s="343"/>
      <c r="L1771" s="347"/>
      <c r="M1771" s="89"/>
      <c r="N1771" s="10"/>
      <c r="O1771" s="22"/>
      <c r="P1771" s="14"/>
      <c r="Q1771" s="83"/>
      <c r="U1771" s="104" t="str">
        <f>IF(
  AND(
    TRIM(A1771)=TRIM(Enginuity!$A$1),
    TRIM(B1771)=TRIM(Enginuity!$A$17),
    Q1771&lt;&gt;"",
    Q1771&lt;&gt;0,
    OR(
      TRIM(C1771)=TRIM(Enginuity!$A$18),
      AND(UPPER(TRIM(M1771))="STD", TRIM(B1771)=TRIM(Enginuity!$A$17))
    ),
    OR(
      AND(LEFT(P1771,5)="1-Way", Enginuity!$B$13=1),
      AND(LEFT(P1771,5)="2-Way", OR(Enginuity!$B$13=2, Enginuity!$B$13=4)),
      AND(LEFT(P1771,5)="3-Way", OR(Enginuity!$B$13=3, Enginuity!$B$13=6)),
      AND(P1771="Inner Centre Jamb", OR(Enginuity!$B$13=4, Enginuity!$B$13=6)),
      AND(
        LEFT(P1771,5)&lt;&gt;"1-Way",
        LEFT(P1771,5)&lt;&gt;"2-Way",
        LEFT(P1771,5)&lt;&gt;"3-Way",
        P1771&lt;&gt;"Inner Centre Jamb"
      )
    ),
    IF(OR(Enginuity!$A$1="Frameless Glass",Enginuity!$A$1="Metal Work"),
      AND(TRIM(B1771)=TRIM(Enginuity!$A$17),TRIM(C1771)=TRIM(Enginuity!$A$18)),
      TRIM(B1771)=TRIM(Enginuity!$A$17)
    )
  ),
  ROW(),
  ""
)</f>
        <v/>
      </c>
    </row>
    <row r="1772" spans="1:21" x14ac:dyDescent="0.25">
      <c r="A1772" s="10" t="s">
        <v>768</v>
      </c>
      <c r="B1772" s="229" t="str">
        <f t="shared" si="36"/>
        <v>⛔ Dual Security Door Insert ⛔</v>
      </c>
      <c r="C1772" s="10"/>
      <c r="D1772" s="14"/>
      <c r="E1772" s="157"/>
      <c r="F1772" s="10"/>
      <c r="G1772" s="17"/>
      <c r="H1772" s="10"/>
      <c r="I1772" s="17"/>
      <c r="J1772" s="83"/>
      <c r="K1772" s="343"/>
      <c r="L1772" s="347"/>
      <c r="M1772" s="89"/>
      <c r="N1772" s="10"/>
      <c r="O1772" s="22"/>
      <c r="P1772" s="14"/>
      <c r="Q1772" s="83"/>
      <c r="U1772" s="104" t="str">
        <f>IF(
  AND(
    TRIM(A1772)=TRIM(Enginuity!$A$1),
    TRIM(B1772)=TRIM(Enginuity!$A$17),
    Q1772&lt;&gt;"",
    Q1772&lt;&gt;0,
    OR(
      TRIM(C1772)=TRIM(Enginuity!$A$18),
      AND(UPPER(TRIM(M1772))="STD", TRIM(B1772)=TRIM(Enginuity!$A$17))
    ),
    OR(
      AND(LEFT(P1772,5)="1-Way", Enginuity!$B$13=1),
      AND(LEFT(P1772,5)="2-Way", OR(Enginuity!$B$13=2, Enginuity!$B$13=4)),
      AND(LEFT(P1772,5)="3-Way", OR(Enginuity!$B$13=3, Enginuity!$B$13=6)),
      AND(P1772="Inner Centre Jamb", OR(Enginuity!$B$13=4, Enginuity!$B$13=6)),
      AND(
        LEFT(P1772,5)&lt;&gt;"1-Way",
        LEFT(P1772,5)&lt;&gt;"2-Way",
        LEFT(P1772,5)&lt;&gt;"3-Way",
        P1772&lt;&gt;"Inner Centre Jamb"
      )
    ),
    IF(OR(Enginuity!$A$1="Frameless Glass",Enginuity!$A$1="Metal Work"),
      AND(TRIM(B1772)=TRIM(Enginuity!$A$17),TRIM(C1772)=TRIM(Enginuity!$A$18)),
      TRIM(B1772)=TRIM(Enginuity!$A$17)
    )
  ),
  ROW(),
  ""
)</f>
        <v/>
      </c>
    </row>
    <row r="1773" spans="1:21" x14ac:dyDescent="0.25">
      <c r="A1773" s="10" t="s">
        <v>768</v>
      </c>
      <c r="B1773" s="229" t="str">
        <f t="shared" si="36"/>
        <v>⛔ Dual Security Door Insert ⛔</v>
      </c>
      <c r="C1773" s="10"/>
      <c r="D1773" s="14"/>
      <c r="E1773" s="157"/>
      <c r="F1773" s="10"/>
      <c r="G1773" s="17"/>
      <c r="H1773" s="10"/>
      <c r="I1773" s="17"/>
      <c r="J1773" s="83"/>
      <c r="K1773" s="343"/>
      <c r="L1773" s="347"/>
      <c r="M1773" s="89"/>
      <c r="N1773" s="10"/>
      <c r="O1773" s="22"/>
      <c r="P1773" s="14"/>
      <c r="Q1773" s="83"/>
      <c r="U1773" s="104" t="str">
        <f>IF(
  AND(
    TRIM(A1773)=TRIM(Enginuity!$A$1),
    TRIM(B1773)=TRIM(Enginuity!$A$17),
    Q1773&lt;&gt;"",
    Q1773&lt;&gt;0,
    OR(
      TRIM(C1773)=TRIM(Enginuity!$A$18),
      AND(UPPER(TRIM(M1773))="STD", TRIM(B1773)=TRIM(Enginuity!$A$17))
    ),
    OR(
      AND(LEFT(P1773,5)="1-Way", Enginuity!$B$13=1),
      AND(LEFT(P1773,5)="2-Way", OR(Enginuity!$B$13=2, Enginuity!$B$13=4)),
      AND(LEFT(P1773,5)="3-Way", OR(Enginuity!$B$13=3, Enginuity!$B$13=6)),
      AND(P1773="Inner Centre Jamb", OR(Enginuity!$B$13=4, Enginuity!$B$13=6)),
      AND(
        LEFT(P1773,5)&lt;&gt;"1-Way",
        LEFT(P1773,5)&lt;&gt;"2-Way",
        LEFT(P1773,5)&lt;&gt;"3-Way",
        P1773&lt;&gt;"Inner Centre Jamb"
      )
    ),
    IF(OR(Enginuity!$A$1="Frameless Glass",Enginuity!$A$1="Metal Work"),
      AND(TRIM(B1773)=TRIM(Enginuity!$A$17),TRIM(C1773)=TRIM(Enginuity!$A$18)),
      TRIM(B1773)=TRIM(Enginuity!$A$17)
    )
  ),
  ROW(),
  ""
)</f>
        <v/>
      </c>
    </row>
    <row r="1774" spans="1:21" x14ac:dyDescent="0.25">
      <c r="A1774" s="10" t="s">
        <v>768</v>
      </c>
      <c r="B1774" s="229" t="str">
        <f t="shared" si="36"/>
        <v>⛔ Dual Security Door Insert ⛔</v>
      </c>
      <c r="C1774" s="10"/>
      <c r="D1774" s="14"/>
      <c r="E1774" s="157"/>
      <c r="F1774" s="10"/>
      <c r="G1774" s="17"/>
      <c r="H1774" s="10"/>
      <c r="I1774" s="17"/>
      <c r="J1774" s="83"/>
      <c r="K1774" s="343"/>
      <c r="L1774" s="347"/>
      <c r="M1774" s="89"/>
      <c r="N1774" s="10"/>
      <c r="O1774" s="22"/>
      <c r="P1774" s="14"/>
      <c r="Q1774" s="83"/>
      <c r="U1774" s="104" t="str">
        <f>IF(
  AND(
    TRIM(A1774)=TRIM(Enginuity!$A$1),
    TRIM(B1774)=TRIM(Enginuity!$A$17),
    Q1774&lt;&gt;"",
    Q1774&lt;&gt;0,
    OR(
      TRIM(C1774)=TRIM(Enginuity!$A$18),
      AND(UPPER(TRIM(M1774))="STD", TRIM(B1774)=TRIM(Enginuity!$A$17))
    ),
    OR(
      AND(LEFT(P1774,5)="1-Way", Enginuity!$B$13=1),
      AND(LEFT(P1774,5)="2-Way", OR(Enginuity!$B$13=2, Enginuity!$B$13=4)),
      AND(LEFT(P1774,5)="3-Way", OR(Enginuity!$B$13=3, Enginuity!$B$13=6)),
      AND(P1774="Inner Centre Jamb", OR(Enginuity!$B$13=4, Enginuity!$B$13=6)),
      AND(
        LEFT(P1774,5)&lt;&gt;"1-Way",
        LEFT(P1774,5)&lt;&gt;"2-Way",
        LEFT(P1774,5)&lt;&gt;"3-Way",
        P1774&lt;&gt;"Inner Centre Jamb"
      )
    ),
    IF(OR(Enginuity!$A$1="Frameless Glass",Enginuity!$A$1="Metal Work"),
      AND(TRIM(B1774)=TRIM(Enginuity!$A$17),TRIM(C1774)=TRIM(Enginuity!$A$18)),
      TRIM(B1774)=TRIM(Enginuity!$A$17)
    )
  ),
  ROW(),
  ""
)</f>
        <v/>
      </c>
    </row>
    <row r="1775" spans="1:21" x14ac:dyDescent="0.25">
      <c r="A1775" s="10" t="s">
        <v>768</v>
      </c>
      <c r="B1775" s="229" t="str">
        <f t="shared" si="36"/>
        <v>⛔ Dual Security Door Insert ⛔</v>
      </c>
      <c r="C1775" s="10"/>
      <c r="D1775" s="14"/>
      <c r="E1775" s="157"/>
      <c r="F1775" s="10"/>
      <c r="G1775" s="17"/>
      <c r="H1775" s="10"/>
      <c r="I1775" s="17"/>
      <c r="J1775" s="83"/>
      <c r="K1775" s="343"/>
      <c r="L1775" s="347"/>
      <c r="M1775" s="89"/>
      <c r="N1775" s="10"/>
      <c r="O1775" s="22"/>
      <c r="P1775" s="14"/>
      <c r="Q1775" s="83"/>
      <c r="U1775" s="104" t="str">
        <f>IF(
  AND(
    TRIM(A1775)=TRIM(Enginuity!$A$1),
    TRIM(B1775)=TRIM(Enginuity!$A$17),
    Q1775&lt;&gt;"",
    Q1775&lt;&gt;0,
    OR(
      TRIM(C1775)=TRIM(Enginuity!$A$18),
      AND(UPPER(TRIM(M1775))="STD", TRIM(B1775)=TRIM(Enginuity!$A$17))
    ),
    OR(
      AND(LEFT(P1775,5)="1-Way", Enginuity!$B$13=1),
      AND(LEFT(P1775,5)="2-Way", OR(Enginuity!$B$13=2, Enginuity!$B$13=4)),
      AND(LEFT(P1775,5)="3-Way", OR(Enginuity!$B$13=3, Enginuity!$B$13=6)),
      AND(P1775="Inner Centre Jamb", OR(Enginuity!$B$13=4, Enginuity!$B$13=6)),
      AND(
        LEFT(P1775,5)&lt;&gt;"1-Way",
        LEFT(P1775,5)&lt;&gt;"2-Way",
        LEFT(P1775,5)&lt;&gt;"3-Way",
        P1775&lt;&gt;"Inner Centre Jamb"
      )
    ),
    IF(OR(Enginuity!$A$1="Frameless Glass",Enginuity!$A$1="Metal Work"),
      AND(TRIM(B1775)=TRIM(Enginuity!$A$17),TRIM(C1775)=TRIM(Enginuity!$A$18)),
      TRIM(B1775)=TRIM(Enginuity!$A$17)
    )
  ),
  ROW(),
  ""
)</f>
        <v/>
      </c>
    </row>
    <row r="1776" spans="1:21" x14ac:dyDescent="0.25">
      <c r="A1776" s="10" t="s">
        <v>768</v>
      </c>
      <c r="B1776" s="229" t="str">
        <f t="shared" si="36"/>
        <v>⛔ Dual Security Door Insert ⛔</v>
      </c>
      <c r="C1776" s="10"/>
      <c r="D1776" s="14"/>
      <c r="E1776" s="157"/>
      <c r="F1776" s="10"/>
      <c r="G1776" s="17"/>
      <c r="H1776" s="10"/>
      <c r="I1776" s="17"/>
      <c r="J1776" s="83"/>
      <c r="K1776" s="343"/>
      <c r="L1776" s="347"/>
      <c r="M1776" s="89"/>
      <c r="N1776" s="10"/>
      <c r="O1776" s="22"/>
      <c r="P1776" s="14"/>
      <c r="Q1776" s="83"/>
      <c r="U1776" s="104" t="str">
        <f>IF(
  AND(
    TRIM(A1776)=TRIM(Enginuity!$A$1),
    TRIM(B1776)=TRIM(Enginuity!$A$17),
    Q1776&lt;&gt;"",
    Q1776&lt;&gt;0,
    OR(
      TRIM(C1776)=TRIM(Enginuity!$A$18),
      AND(UPPER(TRIM(M1776))="STD", TRIM(B1776)=TRIM(Enginuity!$A$17))
    ),
    OR(
      AND(LEFT(P1776,5)="1-Way", Enginuity!$B$13=1),
      AND(LEFT(P1776,5)="2-Way", OR(Enginuity!$B$13=2, Enginuity!$B$13=4)),
      AND(LEFT(P1776,5)="3-Way", OR(Enginuity!$B$13=3, Enginuity!$B$13=6)),
      AND(P1776="Inner Centre Jamb", OR(Enginuity!$B$13=4, Enginuity!$B$13=6)),
      AND(
        LEFT(P1776,5)&lt;&gt;"1-Way",
        LEFT(P1776,5)&lt;&gt;"2-Way",
        LEFT(P1776,5)&lt;&gt;"3-Way",
        P1776&lt;&gt;"Inner Centre Jamb"
      )
    ),
    IF(OR(Enginuity!$A$1="Frameless Glass",Enginuity!$A$1="Metal Work"),
      AND(TRIM(B1776)=TRIM(Enginuity!$A$17),TRIM(C1776)=TRIM(Enginuity!$A$18)),
      TRIM(B1776)=TRIM(Enginuity!$A$17)
    )
  ),
  ROW(),
  ""
)</f>
        <v/>
      </c>
    </row>
    <row r="1777" spans="1:21" x14ac:dyDescent="0.25">
      <c r="A1777" s="10" t="s">
        <v>768</v>
      </c>
      <c r="B1777" s="229" t="str">
        <f t="shared" si="36"/>
        <v>⛔ Dual Security Door Insert ⛔</v>
      </c>
      <c r="C1777" s="10"/>
      <c r="D1777" s="14"/>
      <c r="E1777" s="157"/>
      <c r="F1777" s="10"/>
      <c r="G1777" s="17"/>
      <c r="H1777" s="10"/>
      <c r="I1777" s="17"/>
      <c r="J1777" s="83"/>
      <c r="K1777" s="343"/>
      <c r="L1777" s="347"/>
      <c r="M1777" s="89"/>
      <c r="N1777" s="10"/>
      <c r="O1777" s="22"/>
      <c r="P1777" s="14"/>
      <c r="Q1777" s="83"/>
      <c r="U1777" s="104" t="str">
        <f>IF(
  AND(
    TRIM(A1777)=TRIM(Enginuity!$A$1),
    TRIM(B1777)=TRIM(Enginuity!$A$17),
    Q1777&lt;&gt;"",
    Q1777&lt;&gt;0,
    OR(
      TRIM(C1777)=TRIM(Enginuity!$A$18),
      AND(UPPER(TRIM(M1777))="STD", TRIM(B1777)=TRIM(Enginuity!$A$17))
    ),
    OR(
      AND(LEFT(P1777,5)="1-Way", Enginuity!$B$13=1),
      AND(LEFT(P1777,5)="2-Way", OR(Enginuity!$B$13=2, Enginuity!$B$13=4)),
      AND(LEFT(P1777,5)="3-Way", OR(Enginuity!$B$13=3, Enginuity!$B$13=6)),
      AND(P1777="Inner Centre Jamb", OR(Enginuity!$B$13=4, Enginuity!$B$13=6)),
      AND(
        LEFT(P1777,5)&lt;&gt;"1-Way",
        LEFT(P1777,5)&lt;&gt;"2-Way",
        LEFT(P1777,5)&lt;&gt;"3-Way",
        P1777&lt;&gt;"Inner Centre Jamb"
      )
    ),
    IF(OR(Enginuity!$A$1="Frameless Glass",Enginuity!$A$1="Metal Work"),
      AND(TRIM(B1777)=TRIM(Enginuity!$A$17),TRIM(C1777)=TRIM(Enginuity!$A$18)),
      TRIM(B1777)=TRIM(Enginuity!$A$17)
    )
  ),
  ROW(),
  ""
)</f>
        <v/>
      </c>
    </row>
    <row r="1778" spans="1:21" x14ac:dyDescent="0.25">
      <c r="A1778" s="10" t="s">
        <v>768</v>
      </c>
      <c r="B1778" s="229" t="str">
        <f t="shared" si="36"/>
        <v>⛔ Dual Security Door Insert ⛔</v>
      </c>
      <c r="C1778" s="10"/>
      <c r="D1778" s="14"/>
      <c r="E1778" s="157"/>
      <c r="F1778" s="10"/>
      <c r="G1778" s="17"/>
      <c r="H1778" s="10"/>
      <c r="I1778" s="17"/>
      <c r="J1778" s="83"/>
      <c r="K1778" s="343"/>
      <c r="L1778" s="347"/>
      <c r="M1778" s="89"/>
      <c r="N1778" s="10"/>
      <c r="O1778" s="22"/>
      <c r="P1778" s="14"/>
      <c r="Q1778" s="83"/>
      <c r="U1778" s="104" t="str">
        <f>IF(
  AND(
    TRIM(A1778)=TRIM(Enginuity!$A$1),
    TRIM(B1778)=TRIM(Enginuity!$A$17),
    Q1778&lt;&gt;"",
    Q1778&lt;&gt;0,
    OR(
      TRIM(C1778)=TRIM(Enginuity!$A$18),
      AND(UPPER(TRIM(M1778))="STD", TRIM(B1778)=TRIM(Enginuity!$A$17))
    ),
    OR(
      AND(LEFT(P1778,5)="1-Way", Enginuity!$B$13=1),
      AND(LEFT(P1778,5)="2-Way", OR(Enginuity!$B$13=2, Enginuity!$B$13=4)),
      AND(LEFT(P1778,5)="3-Way", OR(Enginuity!$B$13=3, Enginuity!$B$13=6)),
      AND(P1778="Inner Centre Jamb", OR(Enginuity!$B$13=4, Enginuity!$B$13=6)),
      AND(
        LEFT(P1778,5)&lt;&gt;"1-Way",
        LEFT(P1778,5)&lt;&gt;"2-Way",
        LEFT(P1778,5)&lt;&gt;"3-Way",
        P1778&lt;&gt;"Inner Centre Jamb"
      )
    ),
    IF(OR(Enginuity!$A$1="Frameless Glass",Enginuity!$A$1="Metal Work"),
      AND(TRIM(B1778)=TRIM(Enginuity!$A$17),TRIM(C1778)=TRIM(Enginuity!$A$18)),
      TRIM(B1778)=TRIM(Enginuity!$A$17)
    )
  ),
  ROW(),
  ""
)</f>
        <v/>
      </c>
    </row>
    <row r="1779" spans="1:21" x14ac:dyDescent="0.25">
      <c r="A1779" s="10" t="s">
        <v>768</v>
      </c>
      <c r="B1779" s="229" t="str">
        <f t="shared" si="36"/>
        <v>⛔ Dual Security Door Insert ⛔</v>
      </c>
      <c r="C1779" s="10"/>
      <c r="D1779" s="14"/>
      <c r="E1779" s="157"/>
      <c r="F1779" s="10"/>
      <c r="G1779" s="17"/>
      <c r="H1779" s="10"/>
      <c r="I1779" s="17"/>
      <c r="J1779" s="83"/>
      <c r="K1779" s="343"/>
      <c r="L1779" s="347"/>
      <c r="M1779" s="89"/>
      <c r="N1779" s="10"/>
      <c r="O1779" s="22"/>
      <c r="P1779" s="14"/>
      <c r="Q1779" s="83"/>
      <c r="U1779" s="104" t="str">
        <f>IF(
  AND(
    TRIM(A1779)=TRIM(Enginuity!$A$1),
    TRIM(B1779)=TRIM(Enginuity!$A$17),
    Q1779&lt;&gt;"",
    Q1779&lt;&gt;0,
    OR(
      TRIM(C1779)=TRIM(Enginuity!$A$18),
      AND(UPPER(TRIM(M1779))="STD", TRIM(B1779)=TRIM(Enginuity!$A$17))
    ),
    OR(
      AND(LEFT(P1779,5)="1-Way", Enginuity!$B$13=1),
      AND(LEFT(P1779,5)="2-Way", OR(Enginuity!$B$13=2, Enginuity!$B$13=4)),
      AND(LEFT(P1779,5)="3-Way", OR(Enginuity!$B$13=3, Enginuity!$B$13=6)),
      AND(P1779="Inner Centre Jamb", OR(Enginuity!$B$13=4, Enginuity!$B$13=6)),
      AND(
        LEFT(P1779,5)&lt;&gt;"1-Way",
        LEFT(P1779,5)&lt;&gt;"2-Way",
        LEFT(P1779,5)&lt;&gt;"3-Way",
        P1779&lt;&gt;"Inner Centre Jamb"
      )
    ),
    IF(OR(Enginuity!$A$1="Frameless Glass",Enginuity!$A$1="Metal Work"),
      AND(TRIM(B1779)=TRIM(Enginuity!$A$17),TRIM(C1779)=TRIM(Enginuity!$A$18)),
      TRIM(B1779)=TRIM(Enginuity!$A$17)
    )
  ),
  ROW(),
  ""
)</f>
        <v/>
      </c>
    </row>
    <row r="1780" spans="1:21" x14ac:dyDescent="0.25">
      <c r="A1780" s="10" t="s">
        <v>768</v>
      </c>
      <c r="B1780" s="229" t="str">
        <f t="shared" si="36"/>
        <v>⛔ Dual Security Door Insert ⛔</v>
      </c>
      <c r="C1780" s="10"/>
      <c r="D1780" s="14"/>
      <c r="E1780" s="157"/>
      <c r="F1780" s="10"/>
      <c r="G1780" s="17"/>
      <c r="H1780" s="10"/>
      <c r="I1780" s="17"/>
      <c r="J1780" s="83"/>
      <c r="K1780" s="343"/>
      <c r="L1780" s="347"/>
      <c r="M1780" s="89"/>
      <c r="N1780" s="10"/>
      <c r="O1780" s="22"/>
      <c r="P1780" s="14"/>
      <c r="Q1780" s="83"/>
      <c r="U1780" s="104" t="str">
        <f>IF(
  AND(
    TRIM(A1780)=TRIM(Enginuity!$A$1),
    TRIM(B1780)=TRIM(Enginuity!$A$17),
    Q1780&lt;&gt;"",
    Q1780&lt;&gt;0,
    OR(
      TRIM(C1780)=TRIM(Enginuity!$A$18),
      AND(UPPER(TRIM(M1780))="STD", TRIM(B1780)=TRIM(Enginuity!$A$17))
    ),
    OR(
      AND(LEFT(P1780,5)="1-Way", Enginuity!$B$13=1),
      AND(LEFT(P1780,5)="2-Way", OR(Enginuity!$B$13=2, Enginuity!$B$13=4)),
      AND(LEFT(P1780,5)="3-Way", OR(Enginuity!$B$13=3, Enginuity!$B$13=6)),
      AND(P1780="Inner Centre Jamb", OR(Enginuity!$B$13=4, Enginuity!$B$13=6)),
      AND(
        LEFT(P1780,5)&lt;&gt;"1-Way",
        LEFT(P1780,5)&lt;&gt;"2-Way",
        LEFT(P1780,5)&lt;&gt;"3-Way",
        P1780&lt;&gt;"Inner Centre Jamb"
      )
    ),
    IF(OR(Enginuity!$A$1="Frameless Glass",Enginuity!$A$1="Metal Work"),
      AND(TRIM(B1780)=TRIM(Enginuity!$A$17),TRIM(C1780)=TRIM(Enginuity!$A$18)),
      TRIM(B1780)=TRIM(Enginuity!$A$17)
    )
  ),
  ROW(),
  ""
)</f>
        <v/>
      </c>
    </row>
    <row r="1781" spans="1:21" x14ac:dyDescent="0.25">
      <c r="A1781" s="17" t="s">
        <v>768</v>
      </c>
      <c r="B1781" s="230"/>
      <c r="C1781" s="17"/>
      <c r="D1781" s="18"/>
      <c r="E1781" s="238"/>
      <c r="F1781" s="18"/>
      <c r="G1781" s="17"/>
      <c r="H1781" s="17"/>
      <c r="I1781" s="17"/>
      <c r="J1781" s="84"/>
      <c r="K1781" s="343"/>
      <c r="L1781" s="347"/>
      <c r="M1781" s="90"/>
      <c r="N1781" s="17"/>
      <c r="O1781" s="25"/>
      <c r="P1781" s="18"/>
      <c r="Q1781" s="25"/>
      <c r="U1781" s="104" t="str">
        <f>IF(
  AND(
    TRIM(A1781)=TRIM(Enginuity!$A$1),
    TRIM(B1781)=TRIM(Enginuity!$A$17),
    Q1781&lt;&gt;"",
    Q1781&lt;&gt;0,
    OR(
      TRIM(C1781)=TRIM(Enginuity!$A$18),
      AND(UPPER(TRIM(M1781))="STD", TRIM(B1781)=TRIM(Enginuity!$A$17))
    ),
    OR(
      AND(LEFT(P1781,5)="1-Way", Enginuity!$B$13=1),
      AND(LEFT(P1781,5)="2-Way", OR(Enginuity!$B$13=2, Enginuity!$B$13=4)),
      AND(LEFT(P1781,5)="3-Way", OR(Enginuity!$B$13=3, Enginuity!$B$13=6)),
      AND(P1781="Inner Centre Jamb", OR(Enginuity!$B$13=4, Enginuity!$B$13=6)),
      AND(
        LEFT(P1781,5)&lt;&gt;"1-Way",
        LEFT(P1781,5)&lt;&gt;"2-Way",
        LEFT(P1781,5)&lt;&gt;"3-Way",
        P1781&lt;&gt;"Inner Centre Jamb"
      )
    ),
    IF(OR(Enginuity!$A$1="Frameless Glass",Enginuity!$A$1="Metal Work"),
      AND(TRIM(B1781)=TRIM(Enginuity!$A$17),TRIM(C1781)=TRIM(Enginuity!$A$18)),
      TRIM(B1781)=TRIM(Enginuity!$A$17)
    )
  ),
  ROW(),
  ""
)</f>
        <v/>
      </c>
    </row>
    <row r="1782" spans="1:21" x14ac:dyDescent="0.25">
      <c r="A1782" s="10" t="s">
        <v>768</v>
      </c>
      <c r="B1782" s="229" t="s">
        <v>1358</v>
      </c>
      <c r="C1782" s="10" t="s">
        <v>1368</v>
      </c>
      <c r="D1782" s="107" t="str" cm="1">
        <f t="array" ref="D1782:D1791">IFERROR(INDEX(_xlfn._xlws.FILTER(AllMaterialsbak!$BA$2:$BA$30, AllMaterialsbak!$BA$2:$BA$30&lt;&gt;""), _xlfn.SEQUENCE(10)), "")</f>
        <v>Default</v>
      </c>
      <c r="E1782" s="157"/>
      <c r="F1782" s="11"/>
      <c r="G1782" s="17"/>
      <c r="H1782" s="10"/>
      <c r="I1782" s="17"/>
      <c r="J1782" s="83"/>
      <c r="K1782" s="344">
        <v>0.521208</v>
      </c>
      <c r="L1782" s="347">
        <v>762</v>
      </c>
      <c r="M1782" s="89">
        <v>1</v>
      </c>
      <c r="N1782" s="10" t="s">
        <v>112</v>
      </c>
      <c r="O1782" s="22">
        <v>140</v>
      </c>
      <c r="P1782" s="21" t="s">
        <v>1359</v>
      </c>
      <c r="Q1782" s="83">
        <f>IFERROR(
 IF(N(Enginuity!$B$7)=0,"",
  3 + ROUNDUP(MAX(0,(Enginuity!$B$7*304.8 - 25.4 - 310)/90),0)
 ),
"")</f>
        <v>44</v>
      </c>
      <c r="U1782" s="104" t="str">
        <f>IF(
  AND(
    TRIM(A1782)=TRIM(Enginuity!$A$1),
    TRIM(B1782)=TRIM(Enginuity!$A$17),
    Q1782&lt;&gt;"",
    Q1782&lt;&gt;0,
    OR(
      TRIM(C1782)=TRIM(Enginuity!$A$18),
      AND(UPPER(TRIM(M1782))="STD", TRIM(B1782)=TRIM(Enginuity!$A$17))
    ),
    OR(
      AND(LEFT(P1782,5)="1-Way", Enginuity!$B$13=1),
      AND(LEFT(P1782,5)="2-Way", OR(Enginuity!$B$13=2, Enginuity!$B$13=4)),
      AND(LEFT(P1782,5)="3-Way", OR(Enginuity!$B$13=3, Enginuity!$B$13=6)),
      AND(P1782="Inner Centre Jamb", OR(Enginuity!$B$13=4, Enginuity!$B$13=6)),
      AND(
        LEFT(P1782,5)&lt;&gt;"1-Way",
        LEFT(P1782,5)&lt;&gt;"2-Way",
        LEFT(P1782,5)&lt;&gt;"3-Way",
        P1782&lt;&gt;"Inner Centre Jamb"
      )
    ),
    IF(OR(Enginuity!$A$1="Frameless Glass",Enginuity!$A$1="Metal Work"),
      AND(TRIM(B1782)=TRIM(Enginuity!$A$17),TRIM(C1782)=TRIM(Enginuity!$A$18)),
      TRIM(B1782)=TRIM(Enginuity!$A$17)
    )
  ),
  ROW(),
  ""
)</f>
        <v/>
      </c>
    </row>
    <row r="1783" spans="1:21" x14ac:dyDescent="0.25">
      <c r="A1783" s="10" t="s">
        <v>768</v>
      </c>
      <c r="B1783" s="229" t="s">
        <v>1358</v>
      </c>
      <c r="C1783" s="10" t="s">
        <v>1364</v>
      </c>
      <c r="D1783" s="107" t="str">
        <v xml:space="preserve">2" Louver Blade N/A </v>
      </c>
      <c r="E1783" s="157"/>
      <c r="F1783" s="11"/>
      <c r="G1783" s="17"/>
      <c r="H1783" s="10"/>
      <c r="I1783" s="17"/>
      <c r="J1783" s="83"/>
      <c r="K1783" s="343"/>
      <c r="L1783" s="347"/>
      <c r="M1783" s="89">
        <v>2</v>
      </c>
      <c r="N1783" s="10" t="s">
        <v>112</v>
      </c>
      <c r="O1783" s="22">
        <v>208</v>
      </c>
      <c r="P1783" s="21" t="s">
        <v>1360</v>
      </c>
      <c r="Q1783" s="83">
        <f>IFERROR(
 IF(N(Enginuity!$B$7)=0,"",
  3 + ROUNDUP(MAX(0,(Enginuity!$B$7*304.8 - 25.4 - 310)/90),0)
 ),
"")</f>
        <v>44</v>
      </c>
      <c r="U1783" s="104" t="str">
        <f>IF(
  AND(
    TRIM(A1783)=TRIM(Enginuity!$A$1),
    TRIM(B1783)=TRIM(Enginuity!$A$17),
    Q1783&lt;&gt;"",
    Q1783&lt;&gt;0,
    OR(
      TRIM(C1783)=TRIM(Enginuity!$A$18),
      AND(UPPER(TRIM(M1783))="STD", TRIM(B1783)=TRIM(Enginuity!$A$17))
    ),
    OR(
      AND(LEFT(P1783,5)="1-Way", Enginuity!$B$13=1),
      AND(LEFT(P1783,5)="2-Way", OR(Enginuity!$B$13=2, Enginuity!$B$13=4)),
      AND(LEFT(P1783,5)="3-Way", OR(Enginuity!$B$13=3, Enginuity!$B$13=6)),
      AND(P1783="Inner Centre Jamb", OR(Enginuity!$B$13=4, Enginuity!$B$13=6)),
      AND(
        LEFT(P1783,5)&lt;&gt;"1-Way",
        LEFT(P1783,5)&lt;&gt;"2-Way",
        LEFT(P1783,5)&lt;&gt;"3-Way",
        P1783&lt;&gt;"Inner Centre Jamb"
      )
    ),
    IF(OR(Enginuity!$A$1="Frameless Glass",Enginuity!$A$1="Metal Work"),
      AND(TRIM(B1783)=TRIM(Enginuity!$A$17),TRIM(C1783)=TRIM(Enginuity!$A$18)),
      TRIM(B1783)=TRIM(Enginuity!$A$17)
    )
  ),
  ROW(),
  ""
)</f>
        <v/>
      </c>
    </row>
    <row r="1784" spans="1:21" x14ac:dyDescent="0.25">
      <c r="A1784" s="10" t="s">
        <v>768</v>
      </c>
      <c r="B1784" s="229" t="s">
        <v>1358</v>
      </c>
      <c r="C1784" s="10" t="s">
        <v>1361</v>
      </c>
      <c r="D1784" s="107" t="str">
        <v>2" Louver Blade P/C</v>
      </c>
      <c r="E1784" s="157"/>
      <c r="F1784" s="10"/>
      <c r="G1784" s="17"/>
      <c r="H1784" s="10"/>
      <c r="I1784" s="17"/>
      <c r="J1784" s="83"/>
      <c r="K1784" s="343"/>
      <c r="L1784" s="347"/>
      <c r="M1784" s="89">
        <v>3</v>
      </c>
      <c r="N1784" s="10" t="s">
        <v>112</v>
      </c>
      <c r="O1784" s="22" t="str">
        <f>IFERROR(
  MAX(
    2,
    (
      ( N(Enginuity!$B$6)*304.8 - ( MAX(1,ROUNDUP(N(Enginuity!$B$13),0)) + 1 )*25.4 )
      / MAX(1,ROUNDUP(N(Enginuity!$B$13),0)) / 304.8
    ) * (102/304.8)
  ) * $O$2,
"")</f>
        <v/>
      </c>
      <c r="P1784" s="21" t="s">
        <v>1363</v>
      </c>
      <c r="Q1784" s="22">
        <f>IFERROR(
  MAX(1,ROUNDUP(N(Enginuity!$B$13),0)) *
  ( 3 + ROUNDUP(MAX(0,(N(Enginuity!$B$7)*304.8 - 25.4 - 310)/90),0) ),
"")</f>
        <v>308</v>
      </c>
      <c r="U1784" s="104" t="str">
        <f>IF(
  AND(
    TRIM(A1784)=TRIM(Enginuity!$A$1),
    TRIM(B1784)=TRIM(Enginuity!$A$17),
    Q1784&lt;&gt;"",
    Q1784&lt;&gt;0,
    OR(
      TRIM(C1784)=TRIM(Enginuity!$A$18),
      AND(UPPER(TRIM(M1784))="STD", TRIM(B1784)=TRIM(Enginuity!$A$17))
    ),
    OR(
      AND(LEFT(P1784,5)="1-Way", Enginuity!$B$13=1),
      AND(LEFT(P1784,5)="2-Way", OR(Enginuity!$B$13=2, Enginuity!$B$13=4)),
      AND(LEFT(P1784,5)="3-Way", OR(Enginuity!$B$13=3, Enginuity!$B$13=6)),
      AND(P1784="Inner Centre Jamb", OR(Enginuity!$B$13=4, Enginuity!$B$13=6)),
      AND(
        LEFT(P1784,5)&lt;&gt;"1-Way",
        LEFT(P1784,5)&lt;&gt;"2-Way",
        LEFT(P1784,5)&lt;&gt;"3-Way",
        P1784&lt;&gt;"Inner Centre Jamb"
      )
    ),
    IF(OR(Enginuity!$A$1="Frameless Glass",Enginuity!$A$1="Metal Work"),
      AND(TRIM(B1784)=TRIM(Enginuity!$A$17),TRIM(C1784)=TRIM(Enginuity!$A$18)),
      TRIM(B1784)=TRIM(Enginuity!$A$17)
    )
  ),
  ROW(),
  ""
)</f>
        <v/>
      </c>
    </row>
    <row r="1785" spans="1:21" x14ac:dyDescent="0.25">
      <c r="A1785" s="10" t="s">
        <v>768</v>
      </c>
      <c r="B1785" s="229" t="s">
        <v>1358</v>
      </c>
      <c r="C1785" s="10"/>
      <c r="D1785" s="107" t="str">
        <v xml:space="preserve">5" Louver Blade N/A </v>
      </c>
      <c r="E1785" s="157"/>
      <c r="F1785" s="10"/>
      <c r="G1785" s="17"/>
      <c r="H1785" s="10"/>
      <c r="I1785" s="17"/>
      <c r="J1785" s="83"/>
      <c r="K1785" s="343"/>
      <c r="L1785" s="347"/>
      <c r="M1785" s="89" t="s">
        <v>117</v>
      </c>
      <c r="N1785" s="10" t="s">
        <v>111</v>
      </c>
      <c r="O1785" s="22" cm="1">
        <f t="array" ref="O1785">IFERROR(
 IF(N(Enginuity!$B$7)=0,"",
  _xlfn.LET(
    _xlpm.hft, Enginuity!$B$7,
    _xlpm.free, 150,
    _xlpm.mm, _xlpm.hft*304.8,
    _xlpm.eff, MAX(0, _xlpm.mm-_xlpm.free),
    _xlpm.blades, 3 + ROUNDUP(MAX(0,(_xlpm.eff-310)/90),0),
    _xlpm.bcap, MIN(33, _xlpm.blades),
    _xlpm.price, INDEX(
      {56,67,76,94,102,112,141,151,159,179,197,208,220,229,256,282,293,301,311,321,339,360,376,398,432,458,486,515,546,578,613},
      MATCH(_xlpm.bcap, {3,4,5,6,7,8,9,10,11,12,13,14,15,16,17,18,19,20,21,22,23,24,25,26,27,28,29,30,31,32,33}, 0)
    ),
    _xlpm.price
  )
 ),
"")</f>
        <v>613</v>
      </c>
      <c r="P1785" s="108" t="str" cm="1">
        <f t="array" ref="P1785">IFERROR(
  TEXT(
    IFERROR(
      INDEX({3;4;5;6;7;8;9;10;11;12;13;14;15;16;17;18;19;20;21;22;23;24;25;26;27;28;29;30;31;32;33},
            MATCH(ROUND(O1785,0),
                  {56;67;76;94;102;112;141;151;159;179;197;208;220;229;256;282;293;301;311;321;339;360;376;398;432;458;486;515;546;578;613},
            0)
      ),
      IF(N(Enginuity!$B$7)=0, NA(), 3 + ROUNDUP(MAX(0,(Enginuity!$B$7*304.8-150-310)/90),0))
    ),
  "0") &amp; " Blade 4"" Adjustable Altair Louver",
"")</f>
        <v>33 Blade 4" Adjustable Altair Louver</v>
      </c>
      <c r="Q1785" s="83">
        <f>IFERROR(MAX(1, ROUNDUP(VALUE(Enginuity!$B$13), 0)), 1)</f>
        <v>7</v>
      </c>
      <c r="U1785" s="104" t="str">
        <f>IF(
  AND(
    TRIM(A1785)=TRIM(Enginuity!$A$1),
    TRIM(B1785)=TRIM(Enginuity!$A$17),
    Q1785&lt;&gt;"",
    Q1785&lt;&gt;0,
    OR(
      TRIM(C1785)=TRIM(Enginuity!$A$18),
      AND(UPPER(TRIM(M1785))="STD", TRIM(B1785)=TRIM(Enginuity!$A$17))
    ),
    OR(
      AND(LEFT(P1785,5)="1-Way", Enginuity!$B$13=1),
      AND(LEFT(P1785,5)="2-Way", OR(Enginuity!$B$13=2, Enginuity!$B$13=4)),
      AND(LEFT(P1785,5)="3-Way", OR(Enginuity!$B$13=3, Enginuity!$B$13=6)),
      AND(P1785="Inner Centre Jamb", OR(Enginuity!$B$13=4, Enginuity!$B$13=6)),
      AND(
        LEFT(P1785,5)&lt;&gt;"1-Way",
        LEFT(P1785,5)&lt;&gt;"2-Way",
        LEFT(P1785,5)&lt;&gt;"3-Way",
        P1785&lt;&gt;"Inner Centre Jamb"
      )
    ),
    IF(OR(Enginuity!$A$1="Frameless Glass",Enginuity!$A$1="Metal Work"),
      AND(TRIM(B1785)=TRIM(Enginuity!$A$17),TRIM(C1785)=TRIM(Enginuity!$A$18)),
      TRIM(B1785)=TRIM(Enginuity!$A$17)
    )
  ),
  ROW(),
  ""
)</f>
        <v/>
      </c>
    </row>
    <row r="1786" spans="1:21" x14ac:dyDescent="0.25">
      <c r="A1786" s="10" t="s">
        <v>768</v>
      </c>
      <c r="B1786" s="229" t="s">
        <v>1358</v>
      </c>
      <c r="C1786" s="10"/>
      <c r="D1786" s="14" t="str">
        <v>5" Louver Blade P/C</v>
      </c>
      <c r="E1786" s="157"/>
      <c r="F1786" s="10"/>
      <c r="G1786" s="17"/>
      <c r="H1786" s="10"/>
      <c r="I1786" s="17"/>
      <c r="J1786" s="83"/>
      <c r="K1786" s="343"/>
      <c r="L1786" s="347"/>
      <c r="M1786" s="89" t="s">
        <v>117</v>
      </c>
      <c r="N1786" s="10" t="s">
        <v>112</v>
      </c>
      <c r="O1786" s="22">
        <v>148</v>
      </c>
      <c r="P1786" s="86" t="s">
        <v>1357</v>
      </c>
      <c r="Q1786" s="83">
        <f>IFERROR( CEILING( (Enginuity!$B$6*304.8*2) / 3000, 1 ), "" )</f>
        <v>5</v>
      </c>
      <c r="U1786" s="104" t="str">
        <f>IF(
  AND(
    TRIM(A1786)=TRIM(Enginuity!$A$1),
    TRIM(B1786)=TRIM(Enginuity!$A$17),
    Q1786&lt;&gt;"",
    Q1786&lt;&gt;0,
    OR(
      TRIM(C1786)=TRIM(Enginuity!$A$18),
      AND(UPPER(TRIM(M1786))="STD", TRIM(B1786)=TRIM(Enginuity!$A$17))
    ),
    OR(
      AND(LEFT(P1786,5)="1-Way", Enginuity!$B$13=1),
      AND(LEFT(P1786,5)="2-Way", OR(Enginuity!$B$13=2, Enginuity!$B$13=4)),
      AND(LEFT(P1786,5)="3-Way", OR(Enginuity!$B$13=3, Enginuity!$B$13=6)),
      AND(P1786="Inner Centre Jamb", OR(Enginuity!$B$13=4, Enginuity!$B$13=6)),
      AND(
        LEFT(P1786,5)&lt;&gt;"1-Way",
        LEFT(P1786,5)&lt;&gt;"2-Way",
        LEFT(P1786,5)&lt;&gt;"3-Way",
        P1786&lt;&gt;"Inner Centre Jamb"
      )
    ),
    IF(OR(Enginuity!$A$1="Frameless Glass",Enginuity!$A$1="Metal Work"),
      AND(TRIM(B1786)=TRIM(Enginuity!$A$17),TRIM(C1786)=TRIM(Enginuity!$A$18)),
      TRIM(B1786)=TRIM(Enginuity!$A$17)
    )
  ),
  ROW(),
  ""
)</f>
        <v/>
      </c>
    </row>
    <row r="1787" spans="1:21" x14ac:dyDescent="0.25">
      <c r="A1787" s="10" t="s">
        <v>768</v>
      </c>
      <c r="B1787" s="229" t="s">
        <v>1358</v>
      </c>
      <c r="C1787" s="10" t="s">
        <v>1369</v>
      </c>
      <c r="D1787" s="14" t="str">
        <v/>
      </c>
      <c r="E1787" s="157"/>
      <c r="F1787" s="10"/>
      <c r="G1787" s="17"/>
      <c r="H1787" s="10"/>
      <c r="I1787" s="17"/>
      <c r="J1787" s="83"/>
      <c r="K1787" s="343"/>
      <c r="L1787" s="347"/>
      <c r="M1787" s="89">
        <v>4</v>
      </c>
      <c r="N1787" s="10" t="s">
        <v>112</v>
      </c>
      <c r="O1787" s="22">
        <v>207</v>
      </c>
      <c r="P1787" s="21" t="s">
        <v>1365</v>
      </c>
      <c r="Q1787" s="83">
        <f>IFERROR(
 IF(N(Enginuity!$B$7)=0,"",
  2 + ROUNDUP(MAX(0,(Enginuity!$B$7*304.8 - 25.4 - 320)/140),0)
 ),
"")</f>
        <v>28</v>
      </c>
      <c r="U1787" s="104" t="str">
        <f>IF(
  AND(
    TRIM(A1787)=TRIM(Enginuity!$A$1),
    TRIM(B1787)=TRIM(Enginuity!$A$17),
    Q1787&lt;&gt;"",
    Q1787&lt;&gt;0,
    OR(
      TRIM(C1787)=TRIM(Enginuity!$A$18),
      AND(UPPER(TRIM(M1787))="STD", TRIM(B1787)=TRIM(Enginuity!$A$17))
    ),
    OR(
      AND(LEFT(P1787,5)="1-Way", Enginuity!$B$13=1),
      AND(LEFT(P1787,5)="2-Way", OR(Enginuity!$B$13=2, Enginuity!$B$13=4)),
      AND(LEFT(P1787,5)="3-Way", OR(Enginuity!$B$13=3, Enginuity!$B$13=6)),
      AND(P1787="Inner Centre Jamb", OR(Enginuity!$B$13=4, Enginuity!$B$13=6)),
      AND(
        LEFT(P1787,5)&lt;&gt;"1-Way",
        LEFT(P1787,5)&lt;&gt;"2-Way",
        LEFT(P1787,5)&lt;&gt;"3-Way",
        P1787&lt;&gt;"Inner Centre Jamb"
      )
    ),
    IF(OR(Enginuity!$A$1="Frameless Glass",Enginuity!$A$1="Metal Work"),
      AND(TRIM(B1787)=TRIM(Enginuity!$A$17),TRIM(C1787)=TRIM(Enginuity!$A$18)),
      TRIM(B1787)=TRIM(Enginuity!$A$17)
    )
  ),
  ROW(),
  ""
)</f>
        <v/>
      </c>
    </row>
    <row r="1788" spans="1:21" x14ac:dyDescent="0.25">
      <c r="A1788" s="10" t="s">
        <v>768</v>
      </c>
      <c r="B1788" s="229" t="s">
        <v>1358</v>
      </c>
      <c r="C1788" s="10" t="s">
        <v>1370</v>
      </c>
      <c r="D1788" s="14" t="str">
        <v/>
      </c>
      <c r="E1788" s="157"/>
      <c r="F1788" s="10"/>
      <c r="G1788" s="17"/>
      <c r="H1788" s="10"/>
      <c r="I1788" s="17"/>
      <c r="J1788" s="83"/>
      <c r="K1788" s="343"/>
      <c r="L1788" s="347"/>
      <c r="M1788" s="89">
        <v>5</v>
      </c>
      <c r="N1788" s="10" t="s">
        <v>112</v>
      </c>
      <c r="O1788" s="22">
        <v>304</v>
      </c>
      <c r="P1788" s="21" t="s">
        <v>1366</v>
      </c>
      <c r="Q1788" s="83">
        <f>IFERROR(
 IF(N(Enginuity!$B$7)=0,"",
  2 + ROUNDUP(MAX(0,(Enginuity!$B$7*304.8 - 25.4 - 320)/140),0)
 ),
"")</f>
        <v>28</v>
      </c>
      <c r="U1788" s="104" t="str">
        <f>IF(
  AND(
    TRIM(A1788)=TRIM(Enginuity!$A$1),
    TRIM(B1788)=TRIM(Enginuity!$A$17),
    Q1788&lt;&gt;"",
    Q1788&lt;&gt;0,
    OR(
      TRIM(C1788)=TRIM(Enginuity!$A$18),
      AND(UPPER(TRIM(M1788))="STD", TRIM(B1788)=TRIM(Enginuity!$A$17))
    ),
    OR(
      AND(LEFT(P1788,5)="1-Way", Enginuity!$B$13=1),
      AND(LEFT(P1788,5)="2-Way", OR(Enginuity!$B$13=2, Enginuity!$B$13=4)),
      AND(LEFT(P1788,5)="3-Way", OR(Enginuity!$B$13=3, Enginuity!$B$13=6)),
      AND(P1788="Inner Centre Jamb", OR(Enginuity!$B$13=4, Enginuity!$B$13=6)),
      AND(
        LEFT(P1788,5)&lt;&gt;"1-Way",
        LEFT(P1788,5)&lt;&gt;"2-Way",
        LEFT(P1788,5)&lt;&gt;"3-Way",
        P1788&lt;&gt;"Inner Centre Jamb"
      )
    ),
    IF(OR(Enginuity!$A$1="Frameless Glass",Enginuity!$A$1="Metal Work"),
      AND(TRIM(B1788)=TRIM(Enginuity!$A$17),TRIM(C1788)=TRIM(Enginuity!$A$18)),
      TRIM(B1788)=TRIM(Enginuity!$A$17)
    )
  ),
  ROW(),
  ""
)</f>
        <v/>
      </c>
    </row>
    <row r="1789" spans="1:21" x14ac:dyDescent="0.25">
      <c r="A1789" s="10" t="s">
        <v>768</v>
      </c>
      <c r="B1789" s="229" t="s">
        <v>1358</v>
      </c>
      <c r="C1789" s="10" t="s">
        <v>1362</v>
      </c>
      <c r="D1789" s="14" t="str">
        <v/>
      </c>
      <c r="E1789" s="157"/>
      <c r="F1789" s="10"/>
      <c r="G1789" s="17"/>
      <c r="H1789" s="10"/>
      <c r="I1789" s="17"/>
      <c r="J1789" s="83"/>
      <c r="K1789" s="343"/>
      <c r="L1789" s="347"/>
      <c r="M1789" s="89">
        <v>6</v>
      </c>
      <c r="N1789" s="10" t="s">
        <v>112</v>
      </c>
      <c r="O1789" s="22" t="str">
        <f>IFERROR(
  MAX(
    2,
    (
      ( N(Enginuity!$B$6)*304.8 - ( MAX(1,ROUNDUP(N(Enginuity!$B$13),0)) + 1 )*25.4 )
      / MAX(1,ROUNDUP(N(Enginuity!$B$13),0)) / 304.8
    ) * (152/304.8)
  ) * $O$2,
"")</f>
        <v/>
      </c>
      <c r="P1789" s="21" t="s">
        <v>1367</v>
      </c>
      <c r="Q1789" s="22">
        <f>IFERROR(
  MAX(1,ROUNDUP(N(Enginuity!$B$13),0)) *
  ( 2 + ROUNDUP(MAX(0,(N(Enginuity!$B$7)*304.8 - 25.4 - 320)/140),0) ),
"")</f>
        <v>196</v>
      </c>
      <c r="U1789" s="104" t="str">
        <f>IF(
  AND(
    TRIM(A1789)=TRIM(Enginuity!$A$1),
    TRIM(B1789)=TRIM(Enginuity!$A$17),
    Q1789&lt;&gt;"",
    Q1789&lt;&gt;0,
    OR(
      TRIM(C1789)=TRIM(Enginuity!$A$18),
      AND(UPPER(TRIM(M1789))="STD", TRIM(B1789)=TRIM(Enginuity!$A$17))
    ),
    OR(
      AND(LEFT(P1789,5)="1-Way", Enginuity!$B$13=1),
      AND(LEFT(P1789,5)="2-Way", OR(Enginuity!$B$13=2, Enginuity!$B$13=4)),
      AND(LEFT(P1789,5)="3-Way", OR(Enginuity!$B$13=3, Enginuity!$B$13=6)),
      AND(P1789="Inner Centre Jamb", OR(Enginuity!$B$13=4, Enginuity!$B$13=6)),
      AND(
        LEFT(P1789,5)&lt;&gt;"1-Way",
        LEFT(P1789,5)&lt;&gt;"2-Way",
        LEFT(P1789,5)&lt;&gt;"3-Way",
        P1789&lt;&gt;"Inner Centre Jamb"
      )
    ),
    IF(OR(Enginuity!$A$1="Frameless Glass",Enginuity!$A$1="Metal Work"),
      AND(TRIM(B1789)=TRIM(Enginuity!$A$17),TRIM(C1789)=TRIM(Enginuity!$A$18)),
      TRIM(B1789)=TRIM(Enginuity!$A$17)
    )
  ),
  ROW(),
  ""
)</f>
        <v/>
      </c>
    </row>
    <row r="1790" spans="1:21" x14ac:dyDescent="0.25">
      <c r="A1790" s="10" t="s">
        <v>768</v>
      </c>
      <c r="B1790" s="229" t="s">
        <v>1358</v>
      </c>
      <c r="C1790" s="10"/>
      <c r="D1790" s="14" t="str">
        <v/>
      </c>
      <c r="E1790" s="157"/>
      <c r="F1790" s="10"/>
      <c r="G1790" s="17"/>
      <c r="H1790" s="10"/>
      <c r="I1790" s="17"/>
      <c r="J1790" s="83"/>
      <c r="K1790" s="344"/>
      <c r="L1790" s="347"/>
      <c r="M1790" s="89">
        <v>9</v>
      </c>
      <c r="N1790" s="10"/>
      <c r="O1790" s="22"/>
      <c r="P1790" s="86"/>
      <c r="Q1790" s="83"/>
      <c r="U1790" s="104" t="str">
        <f>IF(
  AND(
    TRIM(A1790)=TRIM(Enginuity!$A$1),
    TRIM(B1790)=TRIM(Enginuity!$A$17),
    Q1790&lt;&gt;"",
    Q1790&lt;&gt;0,
    OR(
      TRIM(C1790)=TRIM(Enginuity!$A$18),
      AND(UPPER(TRIM(M1790))="STD", TRIM(B1790)=TRIM(Enginuity!$A$17))
    ),
    OR(
      AND(LEFT(P1790,5)="1-Way", Enginuity!$B$13=1),
      AND(LEFT(P1790,5)="2-Way", OR(Enginuity!$B$13=2, Enginuity!$B$13=4)),
      AND(LEFT(P1790,5)="3-Way", OR(Enginuity!$B$13=3, Enginuity!$B$13=6)),
      AND(P1790="Inner Centre Jamb", OR(Enginuity!$B$13=4, Enginuity!$B$13=6)),
      AND(
        LEFT(P1790,5)&lt;&gt;"1-Way",
        LEFT(P1790,5)&lt;&gt;"2-Way",
        LEFT(P1790,5)&lt;&gt;"3-Way",
        P1790&lt;&gt;"Inner Centre Jamb"
      )
    ),
    IF(OR(Enginuity!$A$1="Frameless Glass",Enginuity!$A$1="Metal Work"),
      AND(TRIM(B1790)=TRIM(Enginuity!$A$17),TRIM(C1790)=TRIM(Enginuity!$A$18)),
      TRIM(B1790)=TRIM(Enginuity!$A$17)
    )
  ),
  ROW(),
  ""
)</f>
        <v/>
      </c>
    </row>
    <row r="1791" spans="1:21" x14ac:dyDescent="0.25">
      <c r="A1791" s="10" t="s">
        <v>768</v>
      </c>
      <c r="B1791" s="229" t="s">
        <v>1358</v>
      </c>
      <c r="C1791" s="10"/>
      <c r="D1791" s="14" t="str">
        <v/>
      </c>
      <c r="E1791" s="157"/>
      <c r="F1791" s="10"/>
      <c r="G1791" s="17"/>
      <c r="H1791" s="10"/>
      <c r="I1791" s="17"/>
      <c r="J1791" s="83"/>
      <c r="K1791" s="343"/>
      <c r="L1791" s="347"/>
      <c r="M1791" s="89"/>
      <c r="N1791" s="10"/>
      <c r="O1791" s="22"/>
      <c r="P1791" s="108"/>
      <c r="Q1791" s="83"/>
      <c r="U1791" s="104" t="str">
        <f>IF(
  AND(
    TRIM(A1791)=TRIM(Enginuity!$A$1),
    TRIM(B1791)=TRIM(Enginuity!$A$17),
    Q1791&lt;&gt;"",
    Q1791&lt;&gt;0,
    OR(
      TRIM(C1791)=TRIM(Enginuity!$A$18),
      AND(UPPER(TRIM(M1791))="STD", TRIM(B1791)=TRIM(Enginuity!$A$17))
    ),
    OR(
      AND(LEFT(P1791,5)="1-Way", Enginuity!$B$13=1),
      AND(LEFT(P1791,5)="2-Way", OR(Enginuity!$B$13=2, Enginuity!$B$13=4)),
      AND(LEFT(P1791,5)="3-Way", OR(Enginuity!$B$13=3, Enginuity!$B$13=6)),
      AND(P1791="Inner Centre Jamb", OR(Enginuity!$B$13=4, Enginuity!$B$13=6)),
      AND(
        LEFT(P1791,5)&lt;&gt;"1-Way",
        LEFT(P1791,5)&lt;&gt;"2-Way",
        LEFT(P1791,5)&lt;&gt;"3-Way",
        P1791&lt;&gt;"Inner Centre Jamb"
      )
    ),
    IF(OR(Enginuity!$A$1="Frameless Glass",Enginuity!$A$1="Metal Work"),
      AND(TRIM(B1791)=TRIM(Enginuity!$A$17),TRIM(C1791)=TRIM(Enginuity!$A$18)),
      TRIM(B1791)=TRIM(Enginuity!$A$17)
    )
  ),
  ROW(),
  ""
)</f>
        <v/>
      </c>
    </row>
    <row r="1792" spans="1:21" x14ac:dyDescent="0.25">
      <c r="A1792" s="10" t="s">
        <v>768</v>
      </c>
      <c r="B1792" s="229" t="s">
        <v>1358</v>
      </c>
      <c r="C1792" s="10"/>
      <c r="D1792" s="14"/>
      <c r="E1792" s="157"/>
      <c r="F1792" s="10"/>
      <c r="G1792" s="17"/>
      <c r="H1792" s="10"/>
      <c r="I1792" s="17"/>
      <c r="J1792" s="83"/>
      <c r="K1792" s="343"/>
      <c r="L1792" s="347"/>
      <c r="M1792" s="89"/>
      <c r="N1792" s="10"/>
      <c r="O1792" s="22"/>
      <c r="P1792" s="86"/>
      <c r="Q1792" s="83"/>
      <c r="U1792" s="104" t="str">
        <f>IF(
  AND(
    TRIM(A1792)=TRIM(Enginuity!$A$1),
    TRIM(B1792)=TRIM(Enginuity!$A$17),
    Q1792&lt;&gt;"",
    Q1792&lt;&gt;0,
    OR(
      TRIM(C1792)=TRIM(Enginuity!$A$18),
      AND(UPPER(TRIM(M1792))="STD", TRIM(B1792)=TRIM(Enginuity!$A$17))
    ),
    OR(
      AND(LEFT(P1792,5)="1-Way", Enginuity!$B$13=1),
      AND(LEFT(P1792,5)="2-Way", OR(Enginuity!$B$13=2, Enginuity!$B$13=4)),
      AND(LEFT(P1792,5)="3-Way", OR(Enginuity!$B$13=3, Enginuity!$B$13=6)),
      AND(P1792="Inner Centre Jamb", OR(Enginuity!$B$13=4, Enginuity!$B$13=6)),
      AND(
        LEFT(P1792,5)&lt;&gt;"1-Way",
        LEFT(P1792,5)&lt;&gt;"2-Way",
        LEFT(P1792,5)&lt;&gt;"3-Way",
        P1792&lt;&gt;"Inner Centre Jamb"
      )
    ),
    IF(OR(Enginuity!$A$1="Frameless Glass",Enginuity!$A$1="Metal Work"),
      AND(TRIM(B1792)=TRIM(Enginuity!$A$17),TRIM(C1792)=TRIM(Enginuity!$A$18)),
      TRIM(B1792)=TRIM(Enginuity!$A$17)
    )
  ),
  ROW(),
  ""
)</f>
        <v/>
      </c>
    </row>
    <row r="1793" spans="1:21" x14ac:dyDescent="0.25">
      <c r="A1793" s="10" t="s">
        <v>768</v>
      </c>
      <c r="B1793" s="229" t="s">
        <v>1358</v>
      </c>
      <c r="C1793" s="10"/>
      <c r="D1793" s="14"/>
      <c r="E1793" s="157"/>
      <c r="F1793" s="10"/>
      <c r="G1793" s="17"/>
      <c r="H1793" s="10"/>
      <c r="I1793" s="17"/>
      <c r="J1793" s="83"/>
      <c r="K1793" s="343"/>
      <c r="L1793" s="347"/>
      <c r="M1793" s="89"/>
      <c r="N1793" s="10"/>
      <c r="O1793" s="22"/>
      <c r="P1793" s="21"/>
      <c r="Q1793" s="83"/>
      <c r="U1793" s="104" t="str">
        <f>IF(
  AND(
    TRIM(A1793)=TRIM(Enginuity!$A$1),
    TRIM(B1793)=TRIM(Enginuity!$A$17),
    Q1793&lt;&gt;"",
    Q1793&lt;&gt;0,
    OR(
      TRIM(C1793)=TRIM(Enginuity!$A$18),
      AND(UPPER(TRIM(M1793))="STD", TRIM(B1793)=TRIM(Enginuity!$A$17))
    ),
    OR(
      AND(LEFT(P1793,5)="1-Way", Enginuity!$B$13=1),
      AND(LEFT(P1793,5)="2-Way", OR(Enginuity!$B$13=2, Enginuity!$B$13=4)),
      AND(LEFT(P1793,5)="3-Way", OR(Enginuity!$B$13=3, Enginuity!$B$13=6)),
      AND(P1793="Inner Centre Jamb", OR(Enginuity!$B$13=4, Enginuity!$B$13=6)),
      AND(
        LEFT(P1793,5)&lt;&gt;"1-Way",
        LEFT(P1793,5)&lt;&gt;"2-Way",
        LEFT(P1793,5)&lt;&gt;"3-Way",
        P1793&lt;&gt;"Inner Centre Jamb"
      )
    ),
    IF(OR(Enginuity!$A$1="Frameless Glass",Enginuity!$A$1="Metal Work"),
      AND(TRIM(B1793)=TRIM(Enginuity!$A$17),TRIM(C1793)=TRIM(Enginuity!$A$18)),
      TRIM(B1793)=TRIM(Enginuity!$A$17)
    )
  ),
  ROW(),
  ""
)</f>
        <v/>
      </c>
    </row>
    <row r="1794" spans="1:21" x14ac:dyDescent="0.25">
      <c r="A1794" s="10" t="s">
        <v>768</v>
      </c>
      <c r="B1794" s="229" t="s">
        <v>1358</v>
      </c>
      <c r="C1794" s="10"/>
      <c r="D1794" s="14"/>
      <c r="E1794" s="157"/>
      <c r="F1794" s="10"/>
      <c r="G1794" s="17"/>
      <c r="H1794" s="10"/>
      <c r="I1794" s="17"/>
      <c r="J1794" s="83"/>
      <c r="K1794" s="343"/>
      <c r="L1794" s="347"/>
      <c r="M1794" s="89"/>
      <c r="N1794" s="10"/>
      <c r="O1794" s="22"/>
      <c r="P1794" s="21"/>
      <c r="Q1794" s="83"/>
      <c r="U1794" s="104" t="str">
        <f>IF(
  AND(
    TRIM(A1794)=TRIM(Enginuity!$A$1),
    TRIM(B1794)=TRIM(Enginuity!$A$17),
    Q1794&lt;&gt;"",
    Q1794&lt;&gt;0,
    OR(
      TRIM(C1794)=TRIM(Enginuity!$A$18),
      AND(UPPER(TRIM(M1794))="STD", TRIM(B1794)=TRIM(Enginuity!$A$17))
    ),
    OR(
      AND(LEFT(P1794,5)="1-Way", Enginuity!$B$13=1),
      AND(LEFT(P1794,5)="2-Way", OR(Enginuity!$B$13=2, Enginuity!$B$13=4)),
      AND(LEFT(P1794,5)="3-Way", OR(Enginuity!$B$13=3, Enginuity!$B$13=6)),
      AND(P1794="Inner Centre Jamb", OR(Enginuity!$B$13=4, Enginuity!$B$13=6)),
      AND(
        LEFT(P1794,5)&lt;&gt;"1-Way",
        LEFT(P1794,5)&lt;&gt;"2-Way",
        LEFT(P1794,5)&lt;&gt;"3-Way",
        P1794&lt;&gt;"Inner Centre Jamb"
      )
    ),
    IF(OR(Enginuity!$A$1="Frameless Glass",Enginuity!$A$1="Metal Work"),
      AND(TRIM(B1794)=TRIM(Enginuity!$A$17),TRIM(C1794)=TRIM(Enginuity!$A$18)),
      TRIM(B1794)=TRIM(Enginuity!$A$17)
    )
  ),
  ROW(),
  ""
)</f>
        <v/>
      </c>
    </row>
    <row r="1795" spans="1:21" x14ac:dyDescent="0.25">
      <c r="A1795" s="10" t="s">
        <v>768</v>
      </c>
      <c r="B1795" s="229" t="s">
        <v>1358</v>
      </c>
      <c r="C1795" s="10"/>
      <c r="D1795" s="14"/>
      <c r="E1795" s="157"/>
      <c r="F1795" s="10"/>
      <c r="G1795" s="17"/>
      <c r="H1795" s="10"/>
      <c r="I1795" s="17"/>
      <c r="J1795" s="83"/>
      <c r="K1795" s="343"/>
      <c r="L1795" s="347"/>
      <c r="M1795" s="89"/>
      <c r="N1795" s="10"/>
      <c r="O1795" s="22"/>
      <c r="P1795" s="21"/>
      <c r="Q1795" s="83"/>
      <c r="U1795" s="104" t="str">
        <f>IF(
  AND(
    TRIM(A1795)=TRIM(Enginuity!$A$1),
    TRIM(B1795)=TRIM(Enginuity!$A$17),
    Q1795&lt;&gt;"",
    Q1795&lt;&gt;0,
    OR(
      TRIM(C1795)=TRIM(Enginuity!$A$18),
      AND(UPPER(TRIM(M1795))="STD", TRIM(B1795)=TRIM(Enginuity!$A$17))
    ),
    OR(
      AND(LEFT(P1795,5)="1-Way", Enginuity!$B$13=1),
      AND(LEFT(P1795,5)="2-Way", OR(Enginuity!$B$13=2, Enginuity!$B$13=4)),
      AND(LEFT(P1795,5)="3-Way", OR(Enginuity!$B$13=3, Enginuity!$B$13=6)),
      AND(P1795="Inner Centre Jamb", OR(Enginuity!$B$13=4, Enginuity!$B$13=6)),
      AND(
        LEFT(P1795,5)&lt;&gt;"1-Way",
        LEFT(P1795,5)&lt;&gt;"2-Way",
        LEFT(P1795,5)&lt;&gt;"3-Way",
        P1795&lt;&gt;"Inner Centre Jamb"
      )
    ),
    IF(OR(Enginuity!$A$1="Frameless Glass",Enginuity!$A$1="Metal Work"),
      AND(TRIM(B1795)=TRIM(Enginuity!$A$17),TRIM(C1795)=TRIM(Enginuity!$A$18)),
      TRIM(B1795)=TRIM(Enginuity!$A$17)
    )
  ),
  ROW(),
  ""
)</f>
        <v/>
      </c>
    </row>
    <row r="1796" spans="1:21" x14ac:dyDescent="0.25">
      <c r="A1796" s="10" t="s">
        <v>768</v>
      </c>
      <c r="B1796" s="229" t="s">
        <v>1358</v>
      </c>
      <c r="C1796" s="10"/>
      <c r="D1796" s="14"/>
      <c r="E1796" s="157"/>
      <c r="F1796" s="10"/>
      <c r="G1796" s="17"/>
      <c r="H1796" s="10"/>
      <c r="I1796" s="17"/>
      <c r="J1796" s="83"/>
      <c r="K1796" s="343"/>
      <c r="L1796" s="347"/>
      <c r="M1796" s="89"/>
      <c r="N1796" s="10"/>
      <c r="O1796" s="22"/>
      <c r="P1796" s="21"/>
      <c r="Q1796" s="22"/>
      <c r="U1796" s="104" t="str">
        <f>IF(
  AND(
    TRIM(A1796)=TRIM(Enginuity!$A$1),
    TRIM(B1796)=TRIM(Enginuity!$A$17),
    Q1796&lt;&gt;"",
    Q1796&lt;&gt;0,
    OR(
      TRIM(C1796)=TRIM(Enginuity!$A$18),
      AND(UPPER(TRIM(M1796))="STD", TRIM(B1796)=TRIM(Enginuity!$A$17))
    ),
    OR(
      AND(LEFT(P1796,5)="1-Way", Enginuity!$B$13=1),
      AND(LEFT(P1796,5)="2-Way", OR(Enginuity!$B$13=2, Enginuity!$B$13=4)),
      AND(LEFT(P1796,5)="3-Way", OR(Enginuity!$B$13=3, Enginuity!$B$13=6)),
      AND(P1796="Inner Centre Jamb", OR(Enginuity!$B$13=4, Enginuity!$B$13=6)),
      AND(
        LEFT(P1796,5)&lt;&gt;"1-Way",
        LEFT(P1796,5)&lt;&gt;"2-Way",
        LEFT(P1796,5)&lt;&gt;"3-Way",
        P1796&lt;&gt;"Inner Centre Jamb"
      )
    ),
    IF(OR(Enginuity!$A$1="Frameless Glass",Enginuity!$A$1="Metal Work"),
      AND(TRIM(B1796)=TRIM(Enginuity!$A$17),TRIM(C1796)=TRIM(Enginuity!$A$18)),
      TRIM(B1796)=TRIM(Enginuity!$A$17)
    )
  ),
  ROW(),
  ""
)</f>
        <v/>
      </c>
    </row>
    <row r="1797" spans="1:21" x14ac:dyDescent="0.25">
      <c r="A1797" s="10" t="s">
        <v>768</v>
      </c>
      <c r="B1797" s="229" t="s">
        <v>1358</v>
      </c>
      <c r="C1797" s="10"/>
      <c r="D1797" s="14"/>
      <c r="E1797" s="157"/>
      <c r="F1797" s="10"/>
      <c r="G1797" s="17"/>
      <c r="H1797" s="10"/>
      <c r="I1797" s="17"/>
      <c r="J1797" s="83"/>
      <c r="K1797" s="343"/>
      <c r="L1797" s="347"/>
      <c r="M1797" s="89"/>
      <c r="N1797" s="10"/>
      <c r="O1797" s="22"/>
      <c r="P1797" s="108"/>
      <c r="Q1797" s="83"/>
      <c r="U1797" s="104" t="str">
        <f>IF(
  AND(
    TRIM(A1797)=TRIM(Enginuity!$A$1),
    TRIM(B1797)=TRIM(Enginuity!$A$17),
    Q1797&lt;&gt;"",
    Q1797&lt;&gt;0,
    OR(
      TRIM(C1797)=TRIM(Enginuity!$A$18),
      AND(UPPER(TRIM(M1797))="STD", TRIM(B1797)=TRIM(Enginuity!$A$17))
    ),
    OR(
      AND(LEFT(P1797,5)="1-Way", Enginuity!$B$13=1),
      AND(LEFT(P1797,5)="2-Way", OR(Enginuity!$B$13=2, Enginuity!$B$13=4)),
      AND(LEFT(P1797,5)="3-Way", OR(Enginuity!$B$13=3, Enginuity!$B$13=6)),
      AND(P1797="Inner Centre Jamb", OR(Enginuity!$B$13=4, Enginuity!$B$13=6)),
      AND(
        LEFT(P1797,5)&lt;&gt;"1-Way",
        LEFT(P1797,5)&lt;&gt;"2-Way",
        LEFT(P1797,5)&lt;&gt;"3-Way",
        P1797&lt;&gt;"Inner Centre Jamb"
      )
    ),
    IF(OR(Enginuity!$A$1="Frameless Glass",Enginuity!$A$1="Metal Work"),
      AND(TRIM(B1797)=TRIM(Enginuity!$A$17),TRIM(C1797)=TRIM(Enginuity!$A$18)),
      TRIM(B1797)=TRIM(Enginuity!$A$17)
    )
  ),
  ROW(),
  ""
)</f>
        <v/>
      </c>
    </row>
    <row r="1798" spans="1:21" x14ac:dyDescent="0.25">
      <c r="A1798" s="10" t="s">
        <v>768</v>
      </c>
      <c r="B1798" s="229" t="s">
        <v>1358</v>
      </c>
      <c r="C1798" s="10"/>
      <c r="D1798" s="14"/>
      <c r="E1798" s="157"/>
      <c r="F1798" s="10"/>
      <c r="G1798" s="17"/>
      <c r="H1798" s="10"/>
      <c r="I1798" s="17"/>
      <c r="J1798" s="83"/>
      <c r="K1798" s="343"/>
      <c r="L1798" s="347"/>
      <c r="M1798" s="89"/>
      <c r="N1798" s="10"/>
      <c r="O1798" s="22"/>
      <c r="P1798" s="86"/>
      <c r="Q1798" s="83"/>
      <c r="U1798" s="104" t="str">
        <f>IF(
  AND(
    TRIM(A1798)=TRIM(Enginuity!$A$1),
    TRIM(B1798)=TRIM(Enginuity!$A$17),
    Q1798&lt;&gt;"",
    Q1798&lt;&gt;0,
    OR(
      TRIM(C1798)=TRIM(Enginuity!$A$18),
      AND(UPPER(TRIM(M1798))="STD", TRIM(B1798)=TRIM(Enginuity!$A$17))
    ),
    OR(
      AND(LEFT(P1798,5)="1-Way", Enginuity!$B$13=1),
      AND(LEFT(P1798,5)="2-Way", OR(Enginuity!$B$13=2, Enginuity!$B$13=4)),
      AND(LEFT(P1798,5)="3-Way", OR(Enginuity!$B$13=3, Enginuity!$B$13=6)),
      AND(P1798="Inner Centre Jamb", OR(Enginuity!$B$13=4, Enginuity!$B$13=6)),
      AND(
        LEFT(P1798,5)&lt;&gt;"1-Way",
        LEFT(P1798,5)&lt;&gt;"2-Way",
        LEFT(P1798,5)&lt;&gt;"3-Way",
        P1798&lt;&gt;"Inner Centre Jamb"
      )
    ),
    IF(OR(Enginuity!$A$1="Frameless Glass",Enginuity!$A$1="Metal Work"),
      AND(TRIM(B1798)=TRIM(Enginuity!$A$17),TRIM(C1798)=TRIM(Enginuity!$A$18)),
      TRIM(B1798)=TRIM(Enginuity!$A$17)
    )
  ),
  ROW(),
  ""
)</f>
        <v/>
      </c>
    </row>
    <row r="1799" spans="1:21" x14ac:dyDescent="0.25">
      <c r="A1799" s="10" t="s">
        <v>768</v>
      </c>
      <c r="B1799" s="229" t="s">
        <v>1358</v>
      </c>
      <c r="C1799" s="10"/>
      <c r="D1799" s="14"/>
      <c r="E1799" s="157"/>
      <c r="F1799" s="10"/>
      <c r="G1799" s="17"/>
      <c r="H1799" s="10"/>
      <c r="I1799" s="17"/>
      <c r="J1799" s="83"/>
      <c r="K1799" s="343"/>
      <c r="L1799" s="347"/>
      <c r="M1799" s="89">
        <v>18</v>
      </c>
      <c r="N1799" s="10"/>
      <c r="O1799" s="22"/>
      <c r="P1799" s="14"/>
      <c r="Q1799" s="83"/>
      <c r="U1799" s="104" t="str">
        <f>IF(
  AND(
    TRIM(A1799)=TRIM(Enginuity!$A$1),
    TRIM(B1799)=TRIM(Enginuity!$A$17),
    Q1799&lt;&gt;"",
    Q1799&lt;&gt;0,
    OR(
      TRIM(C1799)=TRIM(Enginuity!$A$18),
      AND(UPPER(TRIM(M1799))="STD", TRIM(B1799)=TRIM(Enginuity!$A$17))
    ),
    OR(
      AND(LEFT(P1799,5)="1-Way", Enginuity!$B$13=1),
      AND(LEFT(P1799,5)="2-Way", OR(Enginuity!$B$13=2, Enginuity!$B$13=4)),
      AND(LEFT(P1799,5)="3-Way", OR(Enginuity!$B$13=3, Enginuity!$B$13=6)),
      AND(P1799="Inner Centre Jamb", OR(Enginuity!$B$13=4, Enginuity!$B$13=6)),
      AND(
        LEFT(P1799,5)&lt;&gt;"1-Way",
        LEFT(P1799,5)&lt;&gt;"2-Way",
        LEFT(P1799,5)&lt;&gt;"3-Way",
        P1799&lt;&gt;"Inner Centre Jamb"
      )
    ),
    IF(OR(Enginuity!$A$1="Frameless Glass",Enginuity!$A$1="Metal Work"),
      AND(TRIM(B1799)=TRIM(Enginuity!$A$17),TRIM(C1799)=TRIM(Enginuity!$A$18)),
      TRIM(B1799)=TRIM(Enginuity!$A$17)
    )
  ),
  ROW(),
  ""
)</f>
        <v/>
      </c>
    </row>
    <row r="1800" spans="1:21" x14ac:dyDescent="0.25">
      <c r="A1800" s="10" t="s">
        <v>768</v>
      </c>
      <c r="B1800" s="229" t="s">
        <v>1358</v>
      </c>
      <c r="C1800" s="10"/>
      <c r="D1800" s="14"/>
      <c r="E1800" s="157"/>
      <c r="F1800" s="10"/>
      <c r="G1800" s="17"/>
      <c r="H1800" s="10"/>
      <c r="I1800" s="17"/>
      <c r="J1800" s="83"/>
      <c r="K1800" s="343"/>
      <c r="L1800" s="347"/>
      <c r="M1800" s="89">
        <v>19</v>
      </c>
      <c r="N1800" s="10"/>
      <c r="O1800" s="22"/>
      <c r="P1800" s="14"/>
      <c r="Q1800" s="83"/>
      <c r="U1800" s="104" t="str">
        <f>IF(
  AND(
    TRIM(A1800)=TRIM(Enginuity!$A$1),
    TRIM(B1800)=TRIM(Enginuity!$A$17),
    Q1800&lt;&gt;"",
    Q1800&lt;&gt;0,
    OR(
      TRIM(C1800)=TRIM(Enginuity!$A$18),
      AND(UPPER(TRIM(M1800))="STD", TRIM(B1800)=TRIM(Enginuity!$A$17))
    ),
    OR(
      AND(LEFT(P1800,5)="1-Way", Enginuity!$B$13=1),
      AND(LEFT(P1800,5)="2-Way", OR(Enginuity!$B$13=2, Enginuity!$B$13=4)),
      AND(LEFT(P1800,5)="3-Way", OR(Enginuity!$B$13=3, Enginuity!$B$13=6)),
      AND(P1800="Inner Centre Jamb", OR(Enginuity!$B$13=4, Enginuity!$B$13=6)),
      AND(
        LEFT(P1800,5)&lt;&gt;"1-Way",
        LEFT(P1800,5)&lt;&gt;"2-Way",
        LEFT(P1800,5)&lt;&gt;"3-Way",
        P1800&lt;&gt;"Inner Centre Jamb"
      )
    ),
    IF(OR(Enginuity!$A$1="Frameless Glass",Enginuity!$A$1="Metal Work"),
      AND(TRIM(B1800)=TRIM(Enginuity!$A$17),TRIM(C1800)=TRIM(Enginuity!$A$18)),
      TRIM(B1800)=TRIM(Enginuity!$A$17)
    )
  ),
  ROW(),
  ""
)</f>
        <v/>
      </c>
    </row>
    <row r="1801" spans="1:21" x14ac:dyDescent="0.25">
      <c r="A1801" s="10" t="s">
        <v>768</v>
      </c>
      <c r="B1801" s="229" t="s">
        <v>1358</v>
      </c>
      <c r="C1801" s="10"/>
      <c r="D1801" s="14"/>
      <c r="E1801" s="157"/>
      <c r="F1801" s="10"/>
      <c r="G1801" s="17"/>
      <c r="H1801" s="10"/>
      <c r="I1801" s="17"/>
      <c r="J1801" s="83"/>
      <c r="K1801" s="343"/>
      <c r="L1801" s="347"/>
      <c r="M1801" s="89">
        <v>20</v>
      </c>
      <c r="N1801" s="10"/>
      <c r="O1801" s="22"/>
      <c r="P1801" s="14"/>
      <c r="Q1801" s="83"/>
      <c r="U1801" s="104" t="str">
        <f>IF(
  AND(
    TRIM(A1801)=TRIM(Enginuity!$A$1),
    TRIM(B1801)=TRIM(Enginuity!$A$17),
    Q1801&lt;&gt;"",
    Q1801&lt;&gt;0,
    OR(
      TRIM(C1801)=TRIM(Enginuity!$A$18),
      AND(UPPER(TRIM(M1801))="STD", TRIM(B1801)=TRIM(Enginuity!$A$17))
    ),
    OR(
      AND(LEFT(P1801,5)="1-Way", Enginuity!$B$13=1),
      AND(LEFT(P1801,5)="2-Way", OR(Enginuity!$B$13=2, Enginuity!$B$13=4)),
      AND(LEFT(P1801,5)="3-Way", OR(Enginuity!$B$13=3, Enginuity!$B$13=6)),
      AND(P1801="Inner Centre Jamb", OR(Enginuity!$B$13=4, Enginuity!$B$13=6)),
      AND(
        LEFT(P1801,5)&lt;&gt;"1-Way",
        LEFT(P1801,5)&lt;&gt;"2-Way",
        LEFT(P1801,5)&lt;&gt;"3-Way",
        P1801&lt;&gt;"Inner Centre Jamb"
      )
    ),
    IF(OR(Enginuity!$A$1="Frameless Glass",Enginuity!$A$1="Metal Work"),
      AND(TRIM(B1801)=TRIM(Enginuity!$A$17),TRIM(C1801)=TRIM(Enginuity!$A$18)),
      TRIM(B1801)=TRIM(Enginuity!$A$17)
    )
  ),
  ROW(),
  ""
)</f>
        <v/>
      </c>
    </row>
    <row r="1802" spans="1:21" x14ac:dyDescent="0.25">
      <c r="A1802" s="10" t="s">
        <v>768</v>
      </c>
      <c r="B1802" s="229" t="s">
        <v>1358</v>
      </c>
      <c r="C1802" s="10"/>
      <c r="D1802" s="14"/>
      <c r="E1802" s="157"/>
      <c r="F1802" s="10"/>
      <c r="G1802" s="17"/>
      <c r="H1802" s="10"/>
      <c r="I1802" s="17"/>
      <c r="J1802" s="83"/>
      <c r="K1802" s="343"/>
      <c r="L1802" s="347"/>
      <c r="M1802" s="89">
        <v>21</v>
      </c>
      <c r="N1802" s="10"/>
      <c r="O1802" s="22"/>
      <c r="P1802" s="14"/>
      <c r="Q1802" s="83"/>
      <c r="U1802" s="104" t="str">
        <f>IF(
  AND(
    TRIM(A1802)=TRIM(Enginuity!$A$1),
    TRIM(B1802)=TRIM(Enginuity!$A$17),
    Q1802&lt;&gt;"",
    Q1802&lt;&gt;0,
    OR(
      TRIM(C1802)=TRIM(Enginuity!$A$18),
      AND(UPPER(TRIM(M1802))="STD", TRIM(B1802)=TRIM(Enginuity!$A$17))
    ),
    OR(
      AND(LEFT(P1802,5)="1-Way", Enginuity!$B$13=1),
      AND(LEFT(P1802,5)="2-Way", OR(Enginuity!$B$13=2, Enginuity!$B$13=4)),
      AND(LEFT(P1802,5)="3-Way", OR(Enginuity!$B$13=3, Enginuity!$B$13=6)),
      AND(P1802="Inner Centre Jamb", OR(Enginuity!$B$13=4, Enginuity!$B$13=6)),
      AND(
        LEFT(P1802,5)&lt;&gt;"1-Way",
        LEFT(P1802,5)&lt;&gt;"2-Way",
        LEFT(P1802,5)&lt;&gt;"3-Way",
        P1802&lt;&gt;"Inner Centre Jamb"
      )
    ),
    IF(OR(Enginuity!$A$1="Frameless Glass",Enginuity!$A$1="Metal Work"),
      AND(TRIM(B1802)=TRIM(Enginuity!$A$17),TRIM(C1802)=TRIM(Enginuity!$A$18)),
      TRIM(B1802)=TRIM(Enginuity!$A$17)
    )
  ),
  ROW(),
  ""
)</f>
        <v/>
      </c>
    </row>
    <row r="1803" spans="1:21" x14ac:dyDescent="0.25">
      <c r="A1803" s="10" t="s">
        <v>768</v>
      </c>
      <c r="B1803" s="229" t="s">
        <v>1358</v>
      </c>
      <c r="C1803" s="10"/>
      <c r="D1803" s="14"/>
      <c r="E1803" s="157"/>
      <c r="F1803" s="10"/>
      <c r="G1803" s="17"/>
      <c r="H1803" s="10"/>
      <c r="I1803" s="17"/>
      <c r="J1803" s="83"/>
      <c r="K1803" s="343"/>
      <c r="L1803" s="347"/>
      <c r="M1803" s="89">
        <v>22</v>
      </c>
      <c r="N1803" s="10"/>
      <c r="O1803" s="22"/>
      <c r="P1803" s="14"/>
      <c r="Q1803" s="83"/>
      <c r="U1803" s="104" t="str">
        <f>IF(
  AND(
    TRIM(A1803)=TRIM(Enginuity!$A$1),
    TRIM(B1803)=TRIM(Enginuity!$A$17),
    Q1803&lt;&gt;"",
    Q1803&lt;&gt;0,
    OR(
      TRIM(C1803)=TRIM(Enginuity!$A$18),
      AND(UPPER(TRIM(M1803))="STD", TRIM(B1803)=TRIM(Enginuity!$A$17))
    ),
    OR(
      AND(LEFT(P1803,5)="1-Way", Enginuity!$B$13=1),
      AND(LEFT(P1803,5)="2-Way", OR(Enginuity!$B$13=2, Enginuity!$B$13=4)),
      AND(LEFT(P1803,5)="3-Way", OR(Enginuity!$B$13=3, Enginuity!$B$13=6)),
      AND(P1803="Inner Centre Jamb", OR(Enginuity!$B$13=4, Enginuity!$B$13=6)),
      AND(
        LEFT(P1803,5)&lt;&gt;"1-Way",
        LEFT(P1803,5)&lt;&gt;"2-Way",
        LEFT(P1803,5)&lt;&gt;"3-Way",
        P1803&lt;&gt;"Inner Centre Jamb"
      )
    ),
    IF(OR(Enginuity!$A$1="Frameless Glass",Enginuity!$A$1="Metal Work"),
      AND(TRIM(B1803)=TRIM(Enginuity!$A$17),TRIM(C1803)=TRIM(Enginuity!$A$18)),
      TRIM(B1803)=TRIM(Enginuity!$A$17)
    )
  ),
  ROW(),
  ""
)</f>
        <v/>
      </c>
    </row>
    <row r="1804" spans="1:21" x14ac:dyDescent="0.25">
      <c r="A1804" s="10" t="s">
        <v>768</v>
      </c>
      <c r="B1804" s="229" t="s">
        <v>1358</v>
      </c>
      <c r="C1804" s="10"/>
      <c r="D1804" s="14"/>
      <c r="E1804" s="157"/>
      <c r="F1804" s="10"/>
      <c r="G1804" s="17"/>
      <c r="H1804" s="10"/>
      <c r="I1804" s="17"/>
      <c r="J1804" s="83"/>
      <c r="K1804" s="343"/>
      <c r="L1804" s="347"/>
      <c r="M1804" s="89">
        <v>23</v>
      </c>
      <c r="N1804" s="10"/>
      <c r="O1804" s="22"/>
      <c r="P1804" s="14"/>
      <c r="Q1804" s="83"/>
      <c r="U1804" s="104" t="str">
        <f>IF(
  AND(
    TRIM(A1804)=TRIM(Enginuity!$A$1),
    TRIM(B1804)=TRIM(Enginuity!$A$17),
    Q1804&lt;&gt;"",
    Q1804&lt;&gt;0,
    OR(
      TRIM(C1804)=TRIM(Enginuity!$A$18),
      AND(UPPER(TRIM(M1804))="STD", TRIM(B1804)=TRIM(Enginuity!$A$17))
    ),
    OR(
      AND(LEFT(P1804,5)="1-Way", Enginuity!$B$13=1),
      AND(LEFT(P1804,5)="2-Way", OR(Enginuity!$B$13=2, Enginuity!$B$13=4)),
      AND(LEFT(P1804,5)="3-Way", OR(Enginuity!$B$13=3, Enginuity!$B$13=6)),
      AND(P1804="Inner Centre Jamb", OR(Enginuity!$B$13=4, Enginuity!$B$13=6)),
      AND(
        LEFT(P1804,5)&lt;&gt;"1-Way",
        LEFT(P1804,5)&lt;&gt;"2-Way",
        LEFT(P1804,5)&lt;&gt;"3-Way",
        P1804&lt;&gt;"Inner Centre Jamb"
      )
    ),
    IF(OR(Enginuity!$A$1="Frameless Glass",Enginuity!$A$1="Metal Work"),
      AND(TRIM(B1804)=TRIM(Enginuity!$A$17),TRIM(C1804)=TRIM(Enginuity!$A$18)),
      TRIM(B1804)=TRIM(Enginuity!$A$17)
    )
  ),
  ROW(),
  ""
)</f>
        <v/>
      </c>
    </row>
    <row r="1805" spans="1:21" x14ac:dyDescent="0.25">
      <c r="A1805" s="10" t="s">
        <v>768</v>
      </c>
      <c r="B1805" s="229" t="s">
        <v>1358</v>
      </c>
      <c r="C1805" s="10"/>
      <c r="D1805" s="14"/>
      <c r="E1805" s="157"/>
      <c r="F1805" s="10"/>
      <c r="G1805" s="17"/>
      <c r="H1805" s="10"/>
      <c r="I1805" s="17"/>
      <c r="J1805" s="83"/>
      <c r="K1805" s="343"/>
      <c r="L1805" s="347"/>
      <c r="M1805" s="89">
        <v>24</v>
      </c>
      <c r="N1805" s="10"/>
      <c r="O1805" s="22"/>
      <c r="P1805" s="14"/>
      <c r="Q1805" s="83"/>
      <c r="U1805" s="104" t="str">
        <f>IF(
  AND(
    TRIM(A1805)=TRIM(Enginuity!$A$1),
    TRIM(B1805)=TRIM(Enginuity!$A$17),
    Q1805&lt;&gt;"",
    Q1805&lt;&gt;0,
    OR(
      TRIM(C1805)=TRIM(Enginuity!$A$18),
      AND(UPPER(TRIM(M1805))="STD", TRIM(B1805)=TRIM(Enginuity!$A$17))
    ),
    OR(
      AND(LEFT(P1805,5)="1-Way", Enginuity!$B$13=1),
      AND(LEFT(P1805,5)="2-Way", OR(Enginuity!$B$13=2, Enginuity!$B$13=4)),
      AND(LEFT(P1805,5)="3-Way", OR(Enginuity!$B$13=3, Enginuity!$B$13=6)),
      AND(P1805="Inner Centre Jamb", OR(Enginuity!$B$13=4, Enginuity!$B$13=6)),
      AND(
        LEFT(P1805,5)&lt;&gt;"1-Way",
        LEFT(P1805,5)&lt;&gt;"2-Way",
        LEFT(P1805,5)&lt;&gt;"3-Way",
        P1805&lt;&gt;"Inner Centre Jamb"
      )
    ),
    IF(OR(Enginuity!$A$1="Frameless Glass",Enginuity!$A$1="Metal Work"),
      AND(TRIM(B1805)=TRIM(Enginuity!$A$17),TRIM(C1805)=TRIM(Enginuity!$A$18)),
      TRIM(B1805)=TRIM(Enginuity!$A$17)
    )
  ),
  ROW(),
  ""
)</f>
        <v/>
      </c>
    </row>
    <row r="1806" spans="1:21" x14ac:dyDescent="0.25">
      <c r="A1806" s="10" t="s">
        <v>768</v>
      </c>
      <c r="B1806" s="229" t="s">
        <v>1358</v>
      </c>
      <c r="C1806" s="10"/>
      <c r="D1806" s="14"/>
      <c r="E1806" s="157"/>
      <c r="F1806" s="10"/>
      <c r="G1806" s="17"/>
      <c r="H1806" s="10"/>
      <c r="I1806" s="17"/>
      <c r="J1806" s="83"/>
      <c r="K1806" s="343"/>
      <c r="L1806" s="347"/>
      <c r="M1806" s="89">
        <v>25</v>
      </c>
      <c r="N1806" s="10"/>
      <c r="O1806" s="22"/>
      <c r="P1806" s="14"/>
      <c r="Q1806" s="83"/>
      <c r="U1806" s="104" t="str">
        <f>IF(
  AND(
    TRIM(A1806)=TRIM(Enginuity!$A$1),
    TRIM(B1806)=TRIM(Enginuity!$A$17),
    Q1806&lt;&gt;"",
    Q1806&lt;&gt;0,
    OR(
      TRIM(C1806)=TRIM(Enginuity!$A$18),
      AND(UPPER(TRIM(M1806))="STD", TRIM(B1806)=TRIM(Enginuity!$A$17))
    ),
    OR(
      AND(LEFT(P1806,5)="1-Way", Enginuity!$B$13=1),
      AND(LEFT(P1806,5)="2-Way", OR(Enginuity!$B$13=2, Enginuity!$B$13=4)),
      AND(LEFT(P1806,5)="3-Way", OR(Enginuity!$B$13=3, Enginuity!$B$13=6)),
      AND(P1806="Inner Centre Jamb", OR(Enginuity!$B$13=4, Enginuity!$B$13=6)),
      AND(
        LEFT(P1806,5)&lt;&gt;"1-Way",
        LEFT(P1806,5)&lt;&gt;"2-Way",
        LEFT(P1806,5)&lt;&gt;"3-Way",
        P1806&lt;&gt;"Inner Centre Jamb"
      )
    ),
    IF(OR(Enginuity!$A$1="Frameless Glass",Enginuity!$A$1="Metal Work"),
      AND(TRIM(B1806)=TRIM(Enginuity!$A$17),TRIM(C1806)=TRIM(Enginuity!$A$18)),
      TRIM(B1806)=TRIM(Enginuity!$A$17)
    )
  ),
  ROW(),
  ""
)</f>
        <v/>
      </c>
    </row>
    <row r="1807" spans="1:21" x14ac:dyDescent="0.25">
      <c r="A1807" s="10" t="s">
        <v>768</v>
      </c>
      <c r="B1807" s="229" t="s">
        <v>1358</v>
      </c>
      <c r="C1807" s="10"/>
      <c r="D1807" s="14"/>
      <c r="E1807" s="157"/>
      <c r="F1807" s="10"/>
      <c r="G1807" s="17"/>
      <c r="H1807" s="10"/>
      <c r="I1807" s="17"/>
      <c r="J1807" s="83"/>
      <c r="K1807" s="343"/>
      <c r="L1807" s="347"/>
      <c r="M1807" s="89">
        <v>26</v>
      </c>
      <c r="N1807" s="10"/>
      <c r="O1807" s="22"/>
      <c r="P1807" s="14"/>
      <c r="Q1807" s="83"/>
      <c r="U1807" s="104" t="str">
        <f>IF(
  AND(
    TRIM(A1807)=TRIM(Enginuity!$A$1),
    TRIM(B1807)=TRIM(Enginuity!$A$17),
    Q1807&lt;&gt;"",
    Q1807&lt;&gt;0,
    OR(
      TRIM(C1807)=TRIM(Enginuity!$A$18),
      AND(UPPER(TRIM(M1807))="STD", TRIM(B1807)=TRIM(Enginuity!$A$17))
    ),
    OR(
      AND(LEFT(P1807,5)="1-Way", Enginuity!$B$13=1),
      AND(LEFT(P1807,5)="2-Way", OR(Enginuity!$B$13=2, Enginuity!$B$13=4)),
      AND(LEFT(P1807,5)="3-Way", OR(Enginuity!$B$13=3, Enginuity!$B$13=6)),
      AND(P1807="Inner Centre Jamb", OR(Enginuity!$B$13=4, Enginuity!$B$13=6)),
      AND(
        LEFT(P1807,5)&lt;&gt;"1-Way",
        LEFT(P1807,5)&lt;&gt;"2-Way",
        LEFT(P1807,5)&lt;&gt;"3-Way",
        P1807&lt;&gt;"Inner Centre Jamb"
      )
    ),
    IF(OR(Enginuity!$A$1="Frameless Glass",Enginuity!$A$1="Metal Work"),
      AND(TRIM(B1807)=TRIM(Enginuity!$A$17),TRIM(C1807)=TRIM(Enginuity!$A$18)),
      TRIM(B1807)=TRIM(Enginuity!$A$17)
    )
  ),
  ROW(),
  ""
)</f>
        <v/>
      </c>
    </row>
    <row r="1808" spans="1:21" x14ac:dyDescent="0.25">
      <c r="A1808" s="10" t="s">
        <v>768</v>
      </c>
      <c r="B1808" s="229" t="s">
        <v>1358</v>
      </c>
      <c r="C1808" s="10"/>
      <c r="D1808" s="14"/>
      <c r="E1808" s="157"/>
      <c r="F1808" s="10"/>
      <c r="G1808" s="17"/>
      <c r="H1808" s="10"/>
      <c r="I1808" s="17"/>
      <c r="J1808" s="83"/>
      <c r="K1808" s="343"/>
      <c r="L1808" s="347"/>
      <c r="M1808" s="89">
        <v>27</v>
      </c>
      <c r="N1808" s="10"/>
      <c r="O1808" s="22"/>
      <c r="P1808" s="14"/>
      <c r="Q1808" s="83"/>
      <c r="U1808" s="104" t="str">
        <f>IF(
  AND(
    TRIM(A1808)=TRIM(Enginuity!$A$1),
    TRIM(B1808)=TRIM(Enginuity!$A$17),
    Q1808&lt;&gt;"",
    Q1808&lt;&gt;0,
    OR(
      TRIM(C1808)=TRIM(Enginuity!$A$18),
      AND(UPPER(TRIM(M1808))="STD", TRIM(B1808)=TRIM(Enginuity!$A$17))
    ),
    OR(
      AND(LEFT(P1808,5)="1-Way", Enginuity!$B$13=1),
      AND(LEFT(P1808,5)="2-Way", OR(Enginuity!$B$13=2, Enginuity!$B$13=4)),
      AND(LEFT(P1808,5)="3-Way", OR(Enginuity!$B$13=3, Enginuity!$B$13=6)),
      AND(P1808="Inner Centre Jamb", OR(Enginuity!$B$13=4, Enginuity!$B$13=6)),
      AND(
        LEFT(P1808,5)&lt;&gt;"1-Way",
        LEFT(P1808,5)&lt;&gt;"2-Way",
        LEFT(P1808,5)&lt;&gt;"3-Way",
        P1808&lt;&gt;"Inner Centre Jamb"
      )
    ),
    IF(OR(Enginuity!$A$1="Frameless Glass",Enginuity!$A$1="Metal Work"),
      AND(TRIM(B1808)=TRIM(Enginuity!$A$17),TRIM(C1808)=TRIM(Enginuity!$A$18)),
      TRIM(B1808)=TRIM(Enginuity!$A$17)
    )
  ),
  ROW(),
  ""
)</f>
        <v/>
      </c>
    </row>
    <row r="1809" spans="1:21" x14ac:dyDescent="0.25">
      <c r="A1809" s="10" t="s">
        <v>768</v>
      </c>
      <c r="B1809" s="229" t="s">
        <v>1358</v>
      </c>
      <c r="C1809" s="10"/>
      <c r="D1809" s="14"/>
      <c r="E1809" s="157"/>
      <c r="F1809" s="10"/>
      <c r="G1809" s="17"/>
      <c r="H1809" s="10"/>
      <c r="I1809" s="17"/>
      <c r="J1809" s="83"/>
      <c r="K1809" s="343"/>
      <c r="L1809" s="347"/>
      <c r="M1809" s="89">
        <v>28</v>
      </c>
      <c r="N1809" s="10"/>
      <c r="O1809" s="22"/>
      <c r="P1809" s="21"/>
      <c r="Q1809" s="83"/>
      <c r="U1809" s="104" t="str">
        <f>IF(
  AND(
    TRIM(A1809)=TRIM(Enginuity!$A$1),
    TRIM(B1809)=TRIM(Enginuity!$A$17),
    Q1809&lt;&gt;"",
    Q1809&lt;&gt;0,
    OR(
      TRIM(C1809)=TRIM(Enginuity!$A$18),
      AND(UPPER(TRIM(M1809))="STD", TRIM(B1809)=TRIM(Enginuity!$A$17))
    ),
    OR(
      AND(LEFT(P1809,5)="1-Way", Enginuity!$B$13=1),
      AND(LEFT(P1809,5)="2-Way", OR(Enginuity!$B$13=2, Enginuity!$B$13=4)),
      AND(LEFT(P1809,5)="3-Way", OR(Enginuity!$B$13=3, Enginuity!$B$13=6)),
      AND(P1809="Inner Centre Jamb", OR(Enginuity!$B$13=4, Enginuity!$B$13=6)),
      AND(
        LEFT(P1809,5)&lt;&gt;"1-Way",
        LEFT(P1809,5)&lt;&gt;"2-Way",
        LEFT(P1809,5)&lt;&gt;"3-Way",
        P1809&lt;&gt;"Inner Centre Jamb"
      )
    ),
    IF(OR(Enginuity!$A$1="Frameless Glass",Enginuity!$A$1="Metal Work"),
      AND(TRIM(B1809)=TRIM(Enginuity!$A$17),TRIM(C1809)=TRIM(Enginuity!$A$18)),
      TRIM(B1809)=TRIM(Enginuity!$A$17)
    )
  ),
  ROW(),
  ""
)</f>
        <v/>
      </c>
    </row>
    <row r="1810" spans="1:21" x14ac:dyDescent="0.25">
      <c r="A1810" s="10" t="s">
        <v>768</v>
      </c>
      <c r="B1810" s="229" t="s">
        <v>1358</v>
      </c>
      <c r="C1810" s="10"/>
      <c r="D1810" s="14"/>
      <c r="E1810" s="157"/>
      <c r="F1810" s="10"/>
      <c r="G1810" s="17"/>
      <c r="H1810" s="10"/>
      <c r="I1810" s="17"/>
      <c r="J1810" s="83"/>
      <c r="K1810" s="343"/>
      <c r="L1810" s="347"/>
      <c r="M1810" s="89">
        <v>29</v>
      </c>
      <c r="N1810" s="88"/>
      <c r="O1810" s="22"/>
      <c r="P1810" s="36"/>
      <c r="Q1810" s="83"/>
      <c r="U1810" s="104" t="str">
        <f>IF(
  AND(
    TRIM(A1810)=TRIM(Enginuity!$A$1),
    TRIM(B1810)=TRIM(Enginuity!$A$17),
    Q1810&lt;&gt;"",
    Q1810&lt;&gt;0,
    OR(
      TRIM(C1810)=TRIM(Enginuity!$A$18),
      AND(UPPER(TRIM(M1810))="STD", TRIM(B1810)=TRIM(Enginuity!$A$17))
    ),
    OR(
      AND(LEFT(P1810,5)="1-Way", Enginuity!$B$13=1),
      AND(LEFT(P1810,5)="2-Way", OR(Enginuity!$B$13=2, Enginuity!$B$13=4)),
      AND(LEFT(P1810,5)="3-Way", OR(Enginuity!$B$13=3, Enginuity!$B$13=6)),
      AND(P1810="Inner Centre Jamb", OR(Enginuity!$B$13=4, Enginuity!$B$13=6)),
      AND(
        LEFT(P1810,5)&lt;&gt;"1-Way",
        LEFT(P1810,5)&lt;&gt;"2-Way",
        LEFT(P1810,5)&lt;&gt;"3-Way",
        P1810&lt;&gt;"Inner Centre Jamb"
      )
    ),
    IF(OR(Enginuity!$A$1="Frameless Glass",Enginuity!$A$1="Metal Work"),
      AND(TRIM(B1810)=TRIM(Enginuity!$A$17),TRIM(C1810)=TRIM(Enginuity!$A$18)),
      TRIM(B1810)=TRIM(Enginuity!$A$17)
    )
  ),
  ROW(),
  ""
)</f>
        <v/>
      </c>
    </row>
    <row r="1811" spans="1:21" x14ac:dyDescent="0.25">
      <c r="A1811" s="10" t="s">
        <v>768</v>
      </c>
      <c r="B1811" s="229" t="s">
        <v>1358</v>
      </c>
      <c r="C1811" s="10"/>
      <c r="D1811" s="14"/>
      <c r="E1811" s="157"/>
      <c r="F1811" s="10"/>
      <c r="G1811" s="17"/>
      <c r="H1811" s="10"/>
      <c r="I1811" s="17"/>
      <c r="J1811" s="83"/>
      <c r="K1811" s="343"/>
      <c r="L1811" s="347"/>
      <c r="M1811" s="10" t="s">
        <v>117</v>
      </c>
      <c r="N1811" s="10"/>
      <c r="O1811" s="22"/>
      <c r="P1811" s="21"/>
      <c r="Q1811" s="83"/>
      <c r="U1811" s="104" t="str">
        <f>IF(
  AND(
    TRIM(A1811)=TRIM(Enginuity!$A$1),
    TRIM(B1811)=TRIM(Enginuity!$A$17),
    Q1811&lt;&gt;"",
    Q1811&lt;&gt;0,
    OR(
      TRIM(C1811)=TRIM(Enginuity!$A$18),
      AND(UPPER(TRIM(M1811))="STD", TRIM(B1811)=TRIM(Enginuity!$A$17))
    ),
    OR(
      AND(LEFT(P1811,5)="1-Way", Enginuity!$B$13=1),
      AND(LEFT(P1811,5)="2-Way", OR(Enginuity!$B$13=2, Enginuity!$B$13=4)),
      AND(LEFT(P1811,5)="3-Way", OR(Enginuity!$B$13=3, Enginuity!$B$13=6)),
      AND(P1811="Inner Centre Jamb", OR(Enginuity!$B$13=4, Enginuity!$B$13=6)),
      AND(
        LEFT(P1811,5)&lt;&gt;"1-Way",
        LEFT(P1811,5)&lt;&gt;"2-Way",
        LEFT(P1811,5)&lt;&gt;"3-Way",
        P1811&lt;&gt;"Inner Centre Jamb"
      )
    ),
    IF(OR(Enginuity!$A$1="Frameless Glass",Enginuity!$A$1="Metal Work"),
      AND(TRIM(B1811)=TRIM(Enginuity!$A$17),TRIM(C1811)=TRIM(Enginuity!$A$18)),
      TRIM(B1811)=TRIM(Enginuity!$A$17)
    )
  ),
  ROW(),
  ""
)</f>
        <v/>
      </c>
    </row>
    <row r="1812" spans="1:21" x14ac:dyDescent="0.25">
      <c r="A1812" s="10" t="s">
        <v>768</v>
      </c>
      <c r="B1812" s="229" t="s">
        <v>1358</v>
      </c>
      <c r="C1812" s="10"/>
      <c r="D1812" s="14"/>
      <c r="E1812" s="157"/>
      <c r="F1812" s="10"/>
      <c r="G1812" s="17"/>
      <c r="H1812" s="10"/>
      <c r="I1812" s="17"/>
      <c r="J1812" s="83"/>
      <c r="K1812" s="343"/>
      <c r="L1812" s="347"/>
      <c r="M1812" s="10" t="s">
        <v>117</v>
      </c>
      <c r="N1812" s="10"/>
      <c r="O1812" s="22"/>
      <c r="P1812" s="14"/>
      <c r="Q1812" s="83"/>
      <c r="U1812" s="104" t="str">
        <f>IF(
  AND(
    TRIM(A1812)=TRIM(Enginuity!$A$1),
    TRIM(B1812)=TRIM(Enginuity!$A$17),
    Q1812&lt;&gt;"",
    Q1812&lt;&gt;0,
    OR(
      TRIM(C1812)=TRIM(Enginuity!$A$18),
      AND(UPPER(TRIM(M1812))="STD", TRIM(B1812)=TRIM(Enginuity!$A$17))
    ),
    OR(
      AND(LEFT(P1812,5)="1-Way", Enginuity!$B$13=1),
      AND(LEFT(P1812,5)="2-Way", OR(Enginuity!$B$13=2, Enginuity!$B$13=4)),
      AND(LEFT(P1812,5)="3-Way", OR(Enginuity!$B$13=3, Enginuity!$B$13=6)),
      AND(P1812="Inner Centre Jamb", OR(Enginuity!$B$13=4, Enginuity!$B$13=6)),
      AND(
        LEFT(P1812,5)&lt;&gt;"1-Way",
        LEFT(P1812,5)&lt;&gt;"2-Way",
        LEFT(P1812,5)&lt;&gt;"3-Way",
        P1812&lt;&gt;"Inner Centre Jamb"
      )
    ),
    IF(OR(Enginuity!$A$1="Frameless Glass",Enginuity!$A$1="Metal Work"),
      AND(TRIM(B1812)=TRIM(Enginuity!$A$17),TRIM(C1812)=TRIM(Enginuity!$A$18)),
      TRIM(B1812)=TRIM(Enginuity!$A$17)
    )
  ),
  ROW(),
  ""
)</f>
        <v/>
      </c>
    </row>
    <row r="1813" spans="1:21" x14ac:dyDescent="0.25">
      <c r="A1813" s="10" t="s">
        <v>768</v>
      </c>
      <c r="B1813" s="229" t="s">
        <v>1358</v>
      </c>
      <c r="C1813" s="10"/>
      <c r="D1813" s="14"/>
      <c r="E1813" s="157"/>
      <c r="F1813" s="10"/>
      <c r="G1813" s="17"/>
      <c r="H1813" s="10"/>
      <c r="I1813" s="17"/>
      <c r="J1813" s="83"/>
      <c r="K1813" s="343"/>
      <c r="L1813" s="347"/>
      <c r="M1813" s="10" t="s">
        <v>117</v>
      </c>
      <c r="N1813" s="10"/>
      <c r="O1813" s="22"/>
      <c r="P1813" s="14"/>
      <c r="Q1813" s="83"/>
      <c r="U1813" s="104" t="str">
        <f>IF(
  AND(
    TRIM(A1813)=TRIM(Enginuity!$A$1),
    TRIM(B1813)=TRIM(Enginuity!$A$17),
    Q1813&lt;&gt;"",
    Q1813&lt;&gt;0,
    OR(
      TRIM(C1813)=TRIM(Enginuity!$A$18),
      AND(UPPER(TRIM(M1813))="STD", TRIM(B1813)=TRIM(Enginuity!$A$17))
    ),
    OR(
      AND(LEFT(P1813,5)="1-Way", Enginuity!$B$13=1),
      AND(LEFT(P1813,5)="2-Way", OR(Enginuity!$B$13=2, Enginuity!$B$13=4)),
      AND(LEFT(P1813,5)="3-Way", OR(Enginuity!$B$13=3, Enginuity!$B$13=6)),
      AND(P1813="Inner Centre Jamb", OR(Enginuity!$B$13=4, Enginuity!$B$13=6)),
      AND(
        LEFT(P1813,5)&lt;&gt;"1-Way",
        LEFT(P1813,5)&lt;&gt;"2-Way",
        LEFT(P1813,5)&lt;&gt;"3-Way",
        P1813&lt;&gt;"Inner Centre Jamb"
      )
    ),
    IF(OR(Enginuity!$A$1="Frameless Glass",Enginuity!$A$1="Metal Work"),
      AND(TRIM(B1813)=TRIM(Enginuity!$A$17),TRIM(C1813)=TRIM(Enginuity!$A$18)),
      TRIM(B1813)=TRIM(Enginuity!$A$17)
    )
  ),
  ROW(),
  ""
)</f>
        <v/>
      </c>
    </row>
    <row r="1814" spans="1:21" x14ac:dyDescent="0.25">
      <c r="A1814" s="10" t="s">
        <v>768</v>
      </c>
      <c r="B1814" s="229" t="s">
        <v>1358</v>
      </c>
      <c r="C1814" s="10"/>
      <c r="D1814" s="14"/>
      <c r="E1814" s="157"/>
      <c r="F1814" s="10"/>
      <c r="G1814" s="17"/>
      <c r="H1814" s="10"/>
      <c r="I1814" s="17"/>
      <c r="J1814" s="83"/>
      <c r="K1814" s="343"/>
      <c r="L1814" s="347"/>
      <c r="M1814" s="10" t="s">
        <v>117</v>
      </c>
      <c r="N1814" s="10"/>
      <c r="O1814" s="22"/>
      <c r="P1814" s="14"/>
      <c r="Q1814" s="83"/>
      <c r="U1814" s="104" t="str">
        <f>IF(
  AND(
    TRIM(A1814)=TRIM(Enginuity!$A$1),
    TRIM(B1814)=TRIM(Enginuity!$A$17),
    Q1814&lt;&gt;"",
    Q1814&lt;&gt;0,
    OR(
      TRIM(C1814)=TRIM(Enginuity!$A$18),
      AND(UPPER(TRIM(M1814))="STD", TRIM(B1814)=TRIM(Enginuity!$A$17))
    ),
    OR(
      AND(LEFT(P1814,5)="1-Way", Enginuity!$B$13=1),
      AND(LEFT(P1814,5)="2-Way", OR(Enginuity!$B$13=2, Enginuity!$B$13=4)),
      AND(LEFT(P1814,5)="3-Way", OR(Enginuity!$B$13=3, Enginuity!$B$13=6)),
      AND(P1814="Inner Centre Jamb", OR(Enginuity!$B$13=4, Enginuity!$B$13=6)),
      AND(
        LEFT(P1814,5)&lt;&gt;"1-Way",
        LEFT(P1814,5)&lt;&gt;"2-Way",
        LEFT(P1814,5)&lt;&gt;"3-Way",
        P1814&lt;&gt;"Inner Centre Jamb"
      )
    ),
    IF(OR(Enginuity!$A$1="Frameless Glass",Enginuity!$A$1="Metal Work"),
      AND(TRIM(B1814)=TRIM(Enginuity!$A$17),TRIM(C1814)=TRIM(Enginuity!$A$18)),
      TRIM(B1814)=TRIM(Enginuity!$A$17)
    )
  ),
  ROW(),
  ""
)</f>
        <v/>
      </c>
    </row>
    <row r="1815" spans="1:21" x14ac:dyDescent="0.25">
      <c r="A1815" s="10" t="s">
        <v>768</v>
      </c>
      <c r="B1815" s="229" t="s">
        <v>1358</v>
      </c>
      <c r="C1815" s="10"/>
      <c r="D1815" s="14"/>
      <c r="E1815" s="157"/>
      <c r="F1815" s="10"/>
      <c r="G1815" s="17"/>
      <c r="H1815" s="10"/>
      <c r="I1815" s="17"/>
      <c r="J1815" s="83"/>
      <c r="K1815" s="343"/>
      <c r="L1815" s="347"/>
      <c r="M1815" s="10" t="s">
        <v>117</v>
      </c>
      <c r="N1815" s="10"/>
      <c r="O1815" s="22"/>
      <c r="P1815" s="14"/>
      <c r="Q1815" s="83"/>
      <c r="U1815" s="104" t="str">
        <f>IF(
  AND(
    TRIM(A1815)=TRIM(Enginuity!$A$1),
    TRIM(B1815)=TRIM(Enginuity!$A$17),
    Q1815&lt;&gt;"",
    Q1815&lt;&gt;0,
    OR(
      TRIM(C1815)=TRIM(Enginuity!$A$18),
      AND(UPPER(TRIM(M1815))="STD", TRIM(B1815)=TRIM(Enginuity!$A$17))
    ),
    OR(
      AND(LEFT(P1815,5)="1-Way", Enginuity!$B$13=1),
      AND(LEFT(P1815,5)="2-Way", OR(Enginuity!$B$13=2, Enginuity!$B$13=4)),
      AND(LEFT(P1815,5)="3-Way", OR(Enginuity!$B$13=3, Enginuity!$B$13=6)),
      AND(P1815="Inner Centre Jamb", OR(Enginuity!$B$13=4, Enginuity!$B$13=6)),
      AND(
        LEFT(P1815,5)&lt;&gt;"1-Way",
        LEFT(P1815,5)&lt;&gt;"2-Way",
        LEFT(P1815,5)&lt;&gt;"3-Way",
        P1815&lt;&gt;"Inner Centre Jamb"
      )
    ),
    IF(OR(Enginuity!$A$1="Frameless Glass",Enginuity!$A$1="Metal Work"),
      AND(TRIM(B1815)=TRIM(Enginuity!$A$17),TRIM(C1815)=TRIM(Enginuity!$A$18)),
      TRIM(B1815)=TRIM(Enginuity!$A$17)
    )
  ),
  ROW(),
  ""
)</f>
        <v/>
      </c>
    </row>
    <row r="1816" spans="1:21" x14ac:dyDescent="0.25">
      <c r="A1816" s="10" t="s">
        <v>768</v>
      </c>
      <c r="B1816" s="229" t="s">
        <v>1358</v>
      </c>
      <c r="C1816" s="10"/>
      <c r="D1816" s="14"/>
      <c r="E1816" s="157"/>
      <c r="F1816" s="10"/>
      <c r="G1816" s="17"/>
      <c r="H1816" s="10"/>
      <c r="I1816" s="17"/>
      <c r="J1816" s="83"/>
      <c r="K1816" s="343"/>
      <c r="L1816" s="347"/>
      <c r="M1816" s="10" t="s">
        <v>117</v>
      </c>
      <c r="N1816" s="10"/>
      <c r="O1816" s="22"/>
      <c r="P1816" s="14"/>
      <c r="Q1816" s="83"/>
      <c r="U1816" s="104" t="str">
        <f>IF(
  AND(
    TRIM(A1816)=TRIM(Enginuity!$A$1),
    TRIM(B1816)=TRIM(Enginuity!$A$17),
    Q1816&lt;&gt;"",
    Q1816&lt;&gt;0,
    OR(
      TRIM(C1816)=TRIM(Enginuity!$A$18),
      AND(UPPER(TRIM(M1816))="STD", TRIM(B1816)=TRIM(Enginuity!$A$17))
    ),
    OR(
      AND(LEFT(P1816,5)="1-Way", Enginuity!$B$13=1),
      AND(LEFT(P1816,5)="2-Way", OR(Enginuity!$B$13=2, Enginuity!$B$13=4)),
      AND(LEFT(P1816,5)="3-Way", OR(Enginuity!$B$13=3, Enginuity!$B$13=6)),
      AND(P1816="Inner Centre Jamb", OR(Enginuity!$B$13=4, Enginuity!$B$13=6)),
      AND(
        LEFT(P1816,5)&lt;&gt;"1-Way",
        LEFT(P1816,5)&lt;&gt;"2-Way",
        LEFT(P1816,5)&lt;&gt;"3-Way",
        P1816&lt;&gt;"Inner Centre Jamb"
      )
    ),
    IF(OR(Enginuity!$A$1="Frameless Glass",Enginuity!$A$1="Metal Work"),
      AND(TRIM(B1816)=TRIM(Enginuity!$A$17),TRIM(C1816)=TRIM(Enginuity!$A$18)),
      TRIM(B1816)=TRIM(Enginuity!$A$17)
    )
  ),
  ROW(),
  ""
)</f>
        <v/>
      </c>
    </row>
    <row r="1817" spans="1:21" x14ac:dyDescent="0.25">
      <c r="A1817" s="10" t="s">
        <v>768</v>
      </c>
      <c r="B1817" s="229" t="s">
        <v>1358</v>
      </c>
      <c r="C1817" s="10"/>
      <c r="D1817" s="14"/>
      <c r="E1817" s="157"/>
      <c r="F1817" s="10"/>
      <c r="G1817" s="17"/>
      <c r="H1817" s="10"/>
      <c r="I1817" s="17"/>
      <c r="J1817" s="83"/>
      <c r="K1817" s="343"/>
      <c r="L1817" s="347"/>
      <c r="M1817" s="10" t="s">
        <v>117</v>
      </c>
      <c r="N1817" s="88"/>
      <c r="O1817" s="22"/>
      <c r="P1817" s="36"/>
      <c r="Q1817" s="83"/>
      <c r="U1817" s="104" t="str">
        <f>IF(
  AND(
    TRIM(A1817)=TRIM(Enginuity!$A$1),
    TRIM(B1817)=TRIM(Enginuity!$A$17),
    Q1817&lt;&gt;"",
    Q1817&lt;&gt;0,
    OR(
      TRIM(C1817)=TRIM(Enginuity!$A$18),
      AND(UPPER(TRIM(M1817))="STD", TRIM(B1817)=TRIM(Enginuity!$A$17))
    ),
    OR(
      AND(LEFT(P1817,5)="1-Way", Enginuity!$B$13=1),
      AND(LEFT(P1817,5)="2-Way", OR(Enginuity!$B$13=2, Enginuity!$B$13=4)),
      AND(LEFT(P1817,5)="3-Way", OR(Enginuity!$B$13=3, Enginuity!$B$13=6)),
      AND(P1817="Inner Centre Jamb", OR(Enginuity!$B$13=4, Enginuity!$B$13=6)),
      AND(
        LEFT(P1817,5)&lt;&gt;"1-Way",
        LEFT(P1817,5)&lt;&gt;"2-Way",
        LEFT(P1817,5)&lt;&gt;"3-Way",
        P1817&lt;&gt;"Inner Centre Jamb"
      )
    ),
    IF(OR(Enginuity!$A$1="Frameless Glass",Enginuity!$A$1="Metal Work"),
      AND(TRIM(B1817)=TRIM(Enginuity!$A$17),TRIM(C1817)=TRIM(Enginuity!$A$18)),
      TRIM(B1817)=TRIM(Enginuity!$A$17)
    )
  ),
  ROW(),
  ""
)</f>
        <v/>
      </c>
    </row>
    <row r="1818" spans="1:21" x14ac:dyDescent="0.25">
      <c r="A1818" s="10" t="s">
        <v>768</v>
      </c>
      <c r="B1818" s="229" t="s">
        <v>1358</v>
      </c>
      <c r="C1818" s="10"/>
      <c r="D1818" s="14"/>
      <c r="E1818" s="157"/>
      <c r="F1818" s="10"/>
      <c r="G1818" s="17"/>
      <c r="H1818" s="10"/>
      <c r="I1818" s="17"/>
      <c r="J1818" s="83"/>
      <c r="K1818" s="343"/>
      <c r="L1818" s="347"/>
      <c r="M1818" s="10" t="s">
        <v>117</v>
      </c>
      <c r="N1818" s="10"/>
      <c r="O1818" s="22"/>
      <c r="P1818" s="14"/>
      <c r="Q1818" s="83"/>
      <c r="U1818" s="104" t="str">
        <f>IF(
  AND(
    TRIM(A1818)=TRIM(Enginuity!$A$1),
    TRIM(B1818)=TRIM(Enginuity!$A$17),
    Q1818&lt;&gt;"",
    Q1818&lt;&gt;0,
    OR(
      TRIM(C1818)=TRIM(Enginuity!$A$18),
      AND(UPPER(TRIM(M1818))="STD", TRIM(B1818)=TRIM(Enginuity!$A$17))
    ),
    OR(
      AND(LEFT(P1818,5)="1-Way", Enginuity!$B$13=1),
      AND(LEFT(P1818,5)="2-Way", OR(Enginuity!$B$13=2, Enginuity!$B$13=4)),
      AND(LEFT(P1818,5)="3-Way", OR(Enginuity!$B$13=3, Enginuity!$B$13=6)),
      AND(P1818="Inner Centre Jamb", OR(Enginuity!$B$13=4, Enginuity!$B$13=6)),
      AND(
        LEFT(P1818,5)&lt;&gt;"1-Way",
        LEFT(P1818,5)&lt;&gt;"2-Way",
        LEFT(P1818,5)&lt;&gt;"3-Way",
        P1818&lt;&gt;"Inner Centre Jamb"
      )
    ),
    IF(OR(Enginuity!$A$1="Frameless Glass",Enginuity!$A$1="Metal Work"),
      AND(TRIM(B1818)=TRIM(Enginuity!$A$17),TRIM(C1818)=TRIM(Enginuity!$A$18)),
      TRIM(B1818)=TRIM(Enginuity!$A$17)
    )
  ),
  ROW(),
  ""
)</f>
        <v/>
      </c>
    </row>
    <row r="1819" spans="1:21" x14ac:dyDescent="0.25">
      <c r="A1819" s="10" t="s">
        <v>768</v>
      </c>
      <c r="B1819" s="229" t="s">
        <v>1358</v>
      </c>
      <c r="C1819" s="10"/>
      <c r="D1819" s="14"/>
      <c r="E1819" s="157"/>
      <c r="F1819" s="10"/>
      <c r="G1819" s="17"/>
      <c r="H1819" s="10"/>
      <c r="I1819" s="17"/>
      <c r="J1819" s="83"/>
      <c r="K1819" s="343"/>
      <c r="L1819" s="347"/>
      <c r="M1819" s="10" t="s">
        <v>117</v>
      </c>
      <c r="N1819" s="10"/>
      <c r="O1819" s="22"/>
      <c r="P1819" s="14" t="str">
        <f>IF(TRIM(Enginuity!$B$19)="150 X 150", Enginuity!$B$9, "")</f>
        <v/>
      </c>
      <c r="Q1819" s="83"/>
      <c r="U1819" s="104" t="str">
        <f>IF(
  AND(
    TRIM(A1819)=TRIM(Enginuity!$A$1),
    TRIM(B1819)=TRIM(Enginuity!$A$17),
    Q1819&lt;&gt;"",
    Q1819&lt;&gt;0,
    OR(
      TRIM(C1819)=TRIM(Enginuity!$A$18),
      AND(UPPER(TRIM(M1819))="STD", TRIM(B1819)=TRIM(Enginuity!$A$17))
    ),
    OR(
      AND(LEFT(P1819,5)="1-Way", Enginuity!$B$13=1),
      AND(LEFT(P1819,5)="2-Way", OR(Enginuity!$B$13=2, Enginuity!$B$13=4)),
      AND(LEFT(P1819,5)="3-Way", OR(Enginuity!$B$13=3, Enginuity!$B$13=6)),
      AND(P1819="Inner Centre Jamb", OR(Enginuity!$B$13=4, Enginuity!$B$13=6)),
      AND(
        LEFT(P1819,5)&lt;&gt;"1-Way",
        LEFT(P1819,5)&lt;&gt;"2-Way",
        LEFT(P1819,5)&lt;&gt;"3-Way",
        P1819&lt;&gt;"Inner Centre Jamb"
      )
    ),
    IF(OR(Enginuity!$A$1="Frameless Glass",Enginuity!$A$1="Metal Work"),
      AND(TRIM(B1819)=TRIM(Enginuity!$A$17),TRIM(C1819)=TRIM(Enginuity!$A$18)),
      TRIM(B1819)=TRIM(Enginuity!$A$17)
    )
  ),
  ROW(),
  ""
)</f>
        <v/>
      </c>
    </row>
    <row r="1820" spans="1:21" x14ac:dyDescent="0.25">
      <c r="A1820" s="10" t="s">
        <v>768</v>
      </c>
      <c r="B1820" s="229" t="s">
        <v>1358</v>
      </c>
      <c r="C1820" s="10"/>
      <c r="D1820" s="14"/>
      <c r="E1820" s="157"/>
      <c r="F1820" s="10"/>
      <c r="G1820" s="17"/>
      <c r="H1820" s="10"/>
      <c r="I1820" s="17"/>
      <c r="J1820" s="83"/>
      <c r="K1820" s="343"/>
      <c r="L1820" s="347"/>
      <c r="M1820" s="10"/>
      <c r="N1820" s="10"/>
      <c r="O1820" s="22"/>
      <c r="P1820" s="14" t="b">
        <f>TRIM(Enginuity!$B$19)="150 X 150"</f>
        <v>0</v>
      </c>
      <c r="Q1820" s="83"/>
      <c r="U1820" s="104" t="str">
        <f>IF(
  AND(
    TRIM(A1820)=TRIM(Enginuity!$A$1),
    TRIM(B1820)=TRIM(Enginuity!$A$17),
    Q1820&lt;&gt;"",
    Q1820&lt;&gt;0,
    OR(
      TRIM(C1820)=TRIM(Enginuity!$A$18),
      AND(UPPER(TRIM(M1820))="STD", TRIM(B1820)=TRIM(Enginuity!$A$17))
    ),
    OR(
      AND(LEFT(P1820,5)="1-Way", Enginuity!$B$13=1),
      AND(LEFT(P1820,5)="2-Way", OR(Enginuity!$B$13=2, Enginuity!$B$13=4)),
      AND(LEFT(P1820,5)="3-Way", OR(Enginuity!$B$13=3, Enginuity!$B$13=6)),
      AND(P1820="Inner Centre Jamb", OR(Enginuity!$B$13=4, Enginuity!$B$13=6)),
      AND(
        LEFT(P1820,5)&lt;&gt;"1-Way",
        LEFT(P1820,5)&lt;&gt;"2-Way",
        LEFT(P1820,5)&lt;&gt;"3-Way",
        P1820&lt;&gt;"Inner Centre Jamb"
      )
    ),
    IF(OR(Enginuity!$A$1="Frameless Glass",Enginuity!$A$1="Metal Work"),
      AND(TRIM(B1820)=TRIM(Enginuity!$A$17),TRIM(C1820)=TRIM(Enginuity!$A$18)),
      TRIM(B1820)=TRIM(Enginuity!$A$17)
    )
  ),
  ROW(),
  ""
)</f>
        <v/>
      </c>
    </row>
    <row r="1821" spans="1:21" x14ac:dyDescent="0.25">
      <c r="A1821" s="10" t="s">
        <v>768</v>
      </c>
      <c r="B1821" s="229" t="s">
        <v>1358</v>
      </c>
      <c r="C1821" s="10"/>
      <c r="D1821" s="14"/>
      <c r="E1821" s="157"/>
      <c r="F1821" s="10"/>
      <c r="G1821" s="17"/>
      <c r="H1821" s="10"/>
      <c r="I1821" s="17"/>
      <c r="J1821" s="83"/>
      <c r="K1821" s="343"/>
      <c r="L1821" s="347"/>
      <c r="M1821" s="10"/>
      <c r="N1821" s="10"/>
      <c r="O1821" s="22"/>
      <c r="P1821" s="14"/>
      <c r="Q1821" s="83"/>
      <c r="U1821" s="104" t="str">
        <f>IF(
  AND(
    TRIM(A1821)=TRIM(Enginuity!$A$1),
    TRIM(B1821)=TRIM(Enginuity!$A$17),
    Q1821&lt;&gt;"",
    Q1821&lt;&gt;0,
    OR(
      TRIM(C1821)=TRIM(Enginuity!$A$18),
      AND(UPPER(TRIM(M1821))="STD", TRIM(B1821)=TRIM(Enginuity!$A$17))
    ),
    OR(
      AND(LEFT(P1821,5)="1-Way", Enginuity!$B$13=1),
      AND(LEFT(P1821,5)="2-Way", OR(Enginuity!$B$13=2, Enginuity!$B$13=4)),
      AND(LEFT(P1821,5)="3-Way", OR(Enginuity!$B$13=3, Enginuity!$B$13=6)),
      AND(P1821="Inner Centre Jamb", OR(Enginuity!$B$13=4, Enginuity!$B$13=6)),
      AND(
        LEFT(P1821,5)&lt;&gt;"1-Way",
        LEFT(P1821,5)&lt;&gt;"2-Way",
        LEFT(P1821,5)&lt;&gt;"3-Way",
        P1821&lt;&gt;"Inner Centre Jamb"
      )
    ),
    IF(OR(Enginuity!$A$1="Frameless Glass",Enginuity!$A$1="Metal Work"),
      AND(TRIM(B1821)=TRIM(Enginuity!$A$17),TRIM(C1821)=TRIM(Enginuity!$A$18)),
      TRIM(B1821)=TRIM(Enginuity!$A$17)
    )
  ),
  ROW(),
  ""
)</f>
        <v/>
      </c>
    </row>
    <row r="1822" spans="1:21" x14ac:dyDescent="0.25">
      <c r="A1822" s="10" t="s">
        <v>768</v>
      </c>
      <c r="B1822" s="229" t="s">
        <v>1358</v>
      </c>
      <c r="C1822" s="10"/>
      <c r="D1822" s="14"/>
      <c r="E1822" s="157"/>
      <c r="F1822" s="10"/>
      <c r="G1822" s="17"/>
      <c r="H1822" s="10"/>
      <c r="I1822" s="17"/>
      <c r="J1822" s="83"/>
      <c r="K1822" s="343"/>
      <c r="L1822" s="347"/>
      <c r="M1822" s="10"/>
      <c r="N1822" s="10"/>
      <c r="O1822" s="22"/>
      <c r="P1822" s="14"/>
      <c r="Q1822" s="83"/>
      <c r="U1822" s="104" t="str">
        <f>IF(
  AND(
    TRIM(A1822)=TRIM(Enginuity!$A$1),
    TRIM(B1822)=TRIM(Enginuity!$A$17),
    Q1822&lt;&gt;"",
    Q1822&lt;&gt;0,
    OR(
      TRIM(C1822)=TRIM(Enginuity!$A$18),
      AND(UPPER(TRIM(M1822))="STD", TRIM(B1822)=TRIM(Enginuity!$A$17))
    ),
    OR(
      AND(LEFT(P1822,5)="1-Way", Enginuity!$B$13=1),
      AND(LEFT(P1822,5)="2-Way", OR(Enginuity!$B$13=2, Enginuity!$B$13=4)),
      AND(LEFT(P1822,5)="3-Way", OR(Enginuity!$B$13=3, Enginuity!$B$13=6)),
      AND(P1822="Inner Centre Jamb", OR(Enginuity!$B$13=4, Enginuity!$B$13=6)),
      AND(
        LEFT(P1822,5)&lt;&gt;"1-Way",
        LEFT(P1822,5)&lt;&gt;"2-Way",
        LEFT(P1822,5)&lt;&gt;"3-Way",
        P1822&lt;&gt;"Inner Centre Jamb"
      )
    ),
    IF(OR(Enginuity!$A$1="Frameless Glass",Enginuity!$A$1="Metal Work"),
      AND(TRIM(B1822)=TRIM(Enginuity!$A$17),TRIM(C1822)=TRIM(Enginuity!$A$18)),
      TRIM(B1822)=TRIM(Enginuity!$A$17)
    )
  ),
  ROW(),
  ""
)</f>
        <v/>
      </c>
    </row>
    <row r="1823" spans="1:21" x14ac:dyDescent="0.25">
      <c r="A1823" s="10" t="s">
        <v>768</v>
      </c>
      <c r="B1823" s="229" t="s">
        <v>1358</v>
      </c>
      <c r="C1823" s="10"/>
      <c r="D1823" s="14"/>
      <c r="E1823" s="157"/>
      <c r="F1823" s="10"/>
      <c r="G1823" s="17"/>
      <c r="H1823" s="10"/>
      <c r="I1823" s="17"/>
      <c r="J1823" s="83"/>
      <c r="K1823" s="343"/>
      <c r="L1823" s="347"/>
      <c r="M1823" s="10"/>
      <c r="N1823" s="10"/>
      <c r="O1823" s="22"/>
      <c r="P1823" s="14"/>
      <c r="Q1823" s="83"/>
      <c r="U1823" s="104" t="str">
        <f>IF(
  AND(
    TRIM(A1823)=TRIM(Enginuity!$A$1),
    TRIM(B1823)=TRIM(Enginuity!$A$17),
    Q1823&lt;&gt;"",
    Q1823&lt;&gt;0,
    OR(
      TRIM(C1823)=TRIM(Enginuity!$A$18),
      AND(UPPER(TRIM(M1823))="STD", TRIM(B1823)=TRIM(Enginuity!$A$17))
    ),
    OR(
      AND(LEFT(P1823,5)="1-Way", Enginuity!$B$13=1),
      AND(LEFT(P1823,5)="2-Way", OR(Enginuity!$B$13=2, Enginuity!$B$13=4)),
      AND(LEFT(P1823,5)="3-Way", OR(Enginuity!$B$13=3, Enginuity!$B$13=6)),
      AND(P1823="Inner Centre Jamb", OR(Enginuity!$B$13=4, Enginuity!$B$13=6)),
      AND(
        LEFT(P1823,5)&lt;&gt;"1-Way",
        LEFT(P1823,5)&lt;&gt;"2-Way",
        LEFT(P1823,5)&lt;&gt;"3-Way",
        P1823&lt;&gt;"Inner Centre Jamb"
      )
    ),
    IF(OR(Enginuity!$A$1="Frameless Glass",Enginuity!$A$1="Metal Work"),
      AND(TRIM(B1823)=TRIM(Enginuity!$A$17),TRIM(C1823)=TRIM(Enginuity!$A$18)),
      TRIM(B1823)=TRIM(Enginuity!$A$17)
    )
  ),
  ROW(),
  ""
)</f>
        <v/>
      </c>
    </row>
    <row r="1824" spans="1:21" x14ac:dyDescent="0.25">
      <c r="A1824" s="10" t="s">
        <v>768</v>
      </c>
      <c r="B1824" s="229" t="s">
        <v>1358</v>
      </c>
      <c r="C1824" s="10"/>
      <c r="D1824" s="14"/>
      <c r="E1824" s="157"/>
      <c r="F1824" s="10"/>
      <c r="G1824" s="17"/>
      <c r="H1824" s="10"/>
      <c r="I1824" s="17"/>
      <c r="J1824" s="83"/>
      <c r="K1824" s="343"/>
      <c r="L1824" s="347"/>
      <c r="M1824" s="10"/>
      <c r="N1824" s="10"/>
      <c r="O1824" s="22"/>
      <c r="P1824" s="21" t="str">
        <f>SUBSTITUTE(SUBSTITUTE(UPPER(TRIM(SUBSTITUTE(Enginuity!$B$19,CHAR(160)," "))),"×","X")," ","")</f>
        <v>↓PNLSEARC↓</v>
      </c>
      <c r="Q1824" s="83"/>
      <c r="U1824" s="104" t="str">
        <f>IF(
  AND(
    TRIM(A1824)=TRIM(Enginuity!$A$1),
    TRIM(B1824)=TRIM(Enginuity!$A$17),
    Q1824&lt;&gt;"",
    Q1824&lt;&gt;0,
    OR(
      TRIM(C1824)=TRIM(Enginuity!$A$18),
      AND(UPPER(TRIM(M1824))="STD", TRIM(B1824)=TRIM(Enginuity!$A$17))
    ),
    OR(
      AND(LEFT(P1824,5)="1-Way", Enginuity!$B$13=1),
      AND(LEFT(P1824,5)="2-Way", OR(Enginuity!$B$13=2, Enginuity!$B$13=4)),
      AND(LEFT(P1824,5)="3-Way", OR(Enginuity!$B$13=3, Enginuity!$B$13=6)),
      AND(P1824="Inner Centre Jamb", OR(Enginuity!$B$13=4, Enginuity!$B$13=6)),
      AND(
        LEFT(P1824,5)&lt;&gt;"1-Way",
        LEFT(P1824,5)&lt;&gt;"2-Way",
        LEFT(P1824,5)&lt;&gt;"3-Way",
        P1824&lt;&gt;"Inner Centre Jamb"
      )
    ),
    IF(OR(Enginuity!$A$1="Frameless Glass",Enginuity!$A$1="Metal Work"),
      AND(TRIM(B1824)=TRIM(Enginuity!$A$17),TRIM(C1824)=TRIM(Enginuity!$A$18)),
      TRIM(B1824)=TRIM(Enginuity!$A$17)
    )
  ),
  ROW(),
  ""
)</f>
        <v/>
      </c>
    </row>
    <row r="1825" spans="1:21" x14ac:dyDescent="0.25">
      <c r="A1825" s="10" t="s">
        <v>768</v>
      </c>
      <c r="B1825" s="229" t="s">
        <v>1358</v>
      </c>
      <c r="C1825" s="10"/>
      <c r="D1825" s="14"/>
      <c r="E1825" s="157"/>
      <c r="F1825" s="10"/>
      <c r="G1825" s="17"/>
      <c r="H1825" s="10"/>
      <c r="I1825" s="17"/>
      <c r="J1825" s="83"/>
      <c r="K1825" s="343"/>
      <c r="L1825" s="347"/>
      <c r="M1825" s="10"/>
      <c r="N1825" s="10"/>
      <c r="O1825" s="22"/>
      <c r="P1825" s="14"/>
      <c r="Q1825" s="83"/>
      <c r="U1825" s="104" t="str">
        <f>IF(
  AND(
    TRIM(A1825)=TRIM(Enginuity!$A$1),
    TRIM(B1825)=TRIM(Enginuity!$A$17),
    Q1825&lt;&gt;"",
    Q1825&lt;&gt;0,
    OR(
      TRIM(C1825)=TRIM(Enginuity!$A$18),
      AND(UPPER(TRIM(M1825))="STD", TRIM(B1825)=TRIM(Enginuity!$A$17))
    ),
    OR(
      AND(LEFT(P1825,5)="1-Way", Enginuity!$B$13=1),
      AND(LEFT(P1825,5)="2-Way", OR(Enginuity!$B$13=2, Enginuity!$B$13=4)),
      AND(LEFT(P1825,5)="3-Way", OR(Enginuity!$B$13=3, Enginuity!$B$13=6)),
      AND(P1825="Inner Centre Jamb", OR(Enginuity!$B$13=4, Enginuity!$B$13=6)),
      AND(
        LEFT(P1825,5)&lt;&gt;"1-Way",
        LEFT(P1825,5)&lt;&gt;"2-Way",
        LEFT(P1825,5)&lt;&gt;"3-Way",
        P1825&lt;&gt;"Inner Centre Jamb"
      )
    ),
    IF(OR(Enginuity!$A$1="Frameless Glass",Enginuity!$A$1="Metal Work"),
      AND(TRIM(B1825)=TRIM(Enginuity!$A$17),TRIM(C1825)=TRIM(Enginuity!$A$18)),
      TRIM(B1825)=TRIM(Enginuity!$A$17)
    )
  ),
  ROW(),
  ""
)</f>
        <v/>
      </c>
    </row>
    <row r="1826" spans="1:21" x14ac:dyDescent="0.25">
      <c r="A1826" s="10" t="s">
        <v>768</v>
      </c>
      <c r="B1826" s="229" t="s">
        <v>1358</v>
      </c>
      <c r="C1826" s="10"/>
      <c r="D1826" s="14"/>
      <c r="E1826" s="157"/>
      <c r="F1826" s="10"/>
      <c r="G1826" s="17"/>
      <c r="H1826" s="10"/>
      <c r="I1826" s="17"/>
      <c r="J1826" s="83"/>
      <c r="K1826" s="343"/>
      <c r="L1826" s="347"/>
      <c r="M1826" s="10"/>
      <c r="N1826" s="10"/>
      <c r="O1826" s="22"/>
      <c r="P1826" s="21"/>
      <c r="Q1826" s="83"/>
      <c r="U1826" s="104" t="str">
        <f>IF(
  AND(
    TRIM(A1826)=TRIM(Enginuity!$A$1),
    TRIM(B1826)=TRIM(Enginuity!$A$17),
    Q1826&lt;&gt;"",
    Q1826&lt;&gt;0,
    OR(
      TRIM(C1826)=TRIM(Enginuity!$A$18),
      AND(UPPER(TRIM(M1826))="STD", TRIM(B1826)=TRIM(Enginuity!$A$17))
    ),
    OR(
      AND(LEFT(P1826,5)="1-Way", Enginuity!$B$13=1),
      AND(LEFT(P1826,5)="2-Way", OR(Enginuity!$B$13=2, Enginuity!$B$13=4)),
      AND(LEFT(P1826,5)="3-Way", OR(Enginuity!$B$13=3, Enginuity!$B$13=6)),
      AND(P1826="Inner Centre Jamb", OR(Enginuity!$B$13=4, Enginuity!$B$13=6)),
      AND(
        LEFT(P1826,5)&lt;&gt;"1-Way",
        LEFT(P1826,5)&lt;&gt;"2-Way",
        LEFT(P1826,5)&lt;&gt;"3-Way",
        P1826&lt;&gt;"Inner Centre Jamb"
      )
    ),
    IF(OR(Enginuity!$A$1="Frameless Glass",Enginuity!$A$1="Metal Work"),
      AND(TRIM(B1826)=TRIM(Enginuity!$A$17),TRIM(C1826)=TRIM(Enginuity!$A$18)),
      TRIM(B1826)=TRIM(Enginuity!$A$17)
    )
  ),
  ROW(),
  ""
)</f>
        <v/>
      </c>
    </row>
    <row r="1827" spans="1:21" x14ac:dyDescent="0.25">
      <c r="A1827" s="10" t="s">
        <v>768</v>
      </c>
      <c r="B1827" s="229" t="s">
        <v>1358</v>
      </c>
      <c r="C1827" s="10"/>
      <c r="D1827" s="14"/>
      <c r="E1827" s="157"/>
      <c r="F1827" s="10"/>
      <c r="G1827" s="17"/>
      <c r="H1827" s="10"/>
      <c r="I1827" s="17"/>
      <c r="J1827" s="83"/>
      <c r="K1827" s="343"/>
      <c r="L1827" s="347"/>
      <c r="M1827" s="89"/>
      <c r="N1827" s="10"/>
      <c r="O1827" s="22"/>
      <c r="P1827" s="36"/>
      <c r="Q1827" s="83"/>
      <c r="U1827" s="104" t="str">
        <f>IF(
  AND(
    TRIM(A1827)=TRIM(Enginuity!$A$1),
    TRIM(B1827)=TRIM(Enginuity!$A$17),
    Q1827&lt;&gt;"",
    Q1827&lt;&gt;0,
    OR(
      TRIM(C1827)=TRIM(Enginuity!$A$18),
      AND(UPPER(TRIM(M1827))="STD", TRIM(B1827)=TRIM(Enginuity!$A$17))
    ),
    OR(
      AND(LEFT(P1827,5)="1-Way", Enginuity!$B$13=1),
      AND(LEFT(P1827,5)="2-Way", OR(Enginuity!$B$13=2, Enginuity!$B$13=4)),
      AND(LEFT(P1827,5)="3-Way", OR(Enginuity!$B$13=3, Enginuity!$B$13=6)),
      AND(P1827="Inner Centre Jamb", OR(Enginuity!$B$13=4, Enginuity!$B$13=6)),
      AND(
        LEFT(P1827,5)&lt;&gt;"1-Way",
        LEFT(P1827,5)&lt;&gt;"2-Way",
        LEFT(P1827,5)&lt;&gt;"3-Way",
        P1827&lt;&gt;"Inner Centre Jamb"
      )
    ),
    IF(OR(Enginuity!$A$1="Frameless Glass",Enginuity!$A$1="Metal Work"),
      AND(TRIM(B1827)=TRIM(Enginuity!$A$17),TRIM(C1827)=TRIM(Enginuity!$A$18)),
      TRIM(B1827)=TRIM(Enginuity!$A$17)
    )
  ),
  ROW(),
  ""
)</f>
        <v/>
      </c>
    </row>
    <row r="1828" spans="1:21" x14ac:dyDescent="0.25">
      <c r="A1828" s="10" t="s">
        <v>768</v>
      </c>
      <c r="B1828" s="229" t="s">
        <v>1358</v>
      </c>
      <c r="C1828" s="10"/>
      <c r="D1828" s="14"/>
      <c r="E1828" s="157"/>
      <c r="F1828" s="10"/>
      <c r="G1828" s="17"/>
      <c r="H1828" s="10"/>
      <c r="I1828" s="17"/>
      <c r="J1828" s="83"/>
      <c r="K1828" s="343"/>
      <c r="L1828" s="347"/>
      <c r="M1828" s="89">
        <v>47</v>
      </c>
      <c r="N1828" s="10"/>
      <c r="O1828" s="22"/>
      <c r="P1828" s="14"/>
      <c r="Q1828" s="83"/>
      <c r="U1828" s="104" t="str">
        <f>IF(
  AND(
    TRIM(A1828)=TRIM(Enginuity!$A$1),
    TRIM(B1828)=TRIM(Enginuity!$A$17),
    Q1828&lt;&gt;"",
    Q1828&lt;&gt;0,
    OR(
      TRIM(C1828)=TRIM(Enginuity!$A$18),
      AND(UPPER(TRIM(M1828))="STD", TRIM(B1828)=TRIM(Enginuity!$A$17))
    ),
    OR(
      AND(LEFT(P1828,5)="1-Way", Enginuity!$B$13=1),
      AND(LEFT(P1828,5)="2-Way", OR(Enginuity!$B$13=2, Enginuity!$B$13=4)),
      AND(LEFT(P1828,5)="3-Way", OR(Enginuity!$B$13=3, Enginuity!$B$13=6)),
      AND(P1828="Inner Centre Jamb", OR(Enginuity!$B$13=4, Enginuity!$B$13=6)),
      AND(
        LEFT(P1828,5)&lt;&gt;"1-Way",
        LEFT(P1828,5)&lt;&gt;"2-Way",
        LEFT(P1828,5)&lt;&gt;"3-Way",
        P1828&lt;&gt;"Inner Centre Jamb"
      )
    ),
    IF(OR(Enginuity!$A$1="Frameless Glass",Enginuity!$A$1="Metal Work"),
      AND(TRIM(B1828)=TRIM(Enginuity!$A$17),TRIM(C1828)=TRIM(Enginuity!$A$18)),
      TRIM(B1828)=TRIM(Enginuity!$A$17)
    )
  ),
  ROW(),
  ""
)</f>
        <v/>
      </c>
    </row>
    <row r="1829" spans="1:21" x14ac:dyDescent="0.25">
      <c r="A1829" s="10" t="s">
        <v>768</v>
      </c>
      <c r="B1829" s="229" t="s">
        <v>1358</v>
      </c>
      <c r="C1829" s="10"/>
      <c r="D1829" s="14"/>
      <c r="E1829" s="157"/>
      <c r="F1829" s="10"/>
      <c r="G1829" s="17"/>
      <c r="H1829" s="10"/>
      <c r="I1829" s="17"/>
      <c r="J1829" s="83"/>
      <c r="K1829" s="343"/>
      <c r="L1829" s="347"/>
      <c r="M1829" s="89">
        <v>48</v>
      </c>
      <c r="N1829" s="10"/>
      <c r="O1829" s="22"/>
      <c r="P1829" s="14"/>
      <c r="Q1829" s="83"/>
      <c r="U1829" s="104" t="str">
        <f>IF(
  AND(
    TRIM(A1829)=TRIM(Enginuity!$A$1),
    TRIM(B1829)=TRIM(Enginuity!$A$17),
    Q1829&lt;&gt;"",
    Q1829&lt;&gt;0,
    OR(
      TRIM(C1829)=TRIM(Enginuity!$A$18),
      AND(UPPER(TRIM(M1829))="STD", TRIM(B1829)=TRIM(Enginuity!$A$17))
    ),
    OR(
      AND(LEFT(P1829,5)="1-Way", Enginuity!$B$13=1),
      AND(LEFT(P1829,5)="2-Way", OR(Enginuity!$B$13=2, Enginuity!$B$13=4)),
      AND(LEFT(P1829,5)="3-Way", OR(Enginuity!$B$13=3, Enginuity!$B$13=6)),
      AND(P1829="Inner Centre Jamb", OR(Enginuity!$B$13=4, Enginuity!$B$13=6)),
      AND(
        LEFT(P1829,5)&lt;&gt;"1-Way",
        LEFT(P1829,5)&lt;&gt;"2-Way",
        LEFT(P1829,5)&lt;&gt;"3-Way",
        P1829&lt;&gt;"Inner Centre Jamb"
      )
    ),
    IF(OR(Enginuity!$A$1="Frameless Glass",Enginuity!$A$1="Metal Work"),
      AND(TRIM(B1829)=TRIM(Enginuity!$A$17),TRIM(C1829)=TRIM(Enginuity!$A$18)),
      TRIM(B1829)=TRIM(Enginuity!$A$17)
    )
  ),
  ROW(),
  ""
)</f>
        <v/>
      </c>
    </row>
    <row r="1830" spans="1:21" x14ac:dyDescent="0.25">
      <c r="A1830" s="17" t="s">
        <v>768</v>
      </c>
      <c r="B1830" s="230"/>
      <c r="C1830" s="17"/>
      <c r="D1830" s="18"/>
      <c r="E1830" s="238"/>
      <c r="F1830" s="17"/>
      <c r="G1830" s="17"/>
      <c r="H1830" s="17"/>
      <c r="I1830" s="17"/>
      <c r="J1830" s="84"/>
      <c r="K1830" s="343"/>
      <c r="L1830" s="347"/>
      <c r="M1830" s="90"/>
      <c r="N1830" s="17"/>
      <c r="O1830" s="25"/>
      <c r="P1830" s="92"/>
      <c r="Q1830" s="179"/>
      <c r="U1830" s="104" t="str">
        <f>IF(
  AND(
    TRIM(A1830)=TRIM(Enginuity!$A$1),
    TRIM(B1830)=TRIM(Enginuity!$A$17),
    Q1830&lt;&gt;"",
    Q1830&lt;&gt;0,
    OR(
      TRIM(C1830)=TRIM(Enginuity!$A$18),
      AND(UPPER(TRIM(M1830))="STD", TRIM(B1830)=TRIM(Enginuity!$A$17))
    ),
    OR(
      AND(LEFT(P1830,5)="1-Way", Enginuity!$B$13=1),
      AND(LEFT(P1830,5)="2-Way", OR(Enginuity!$B$13=2, Enginuity!$B$13=4)),
      AND(LEFT(P1830,5)="3-Way", OR(Enginuity!$B$13=3, Enginuity!$B$13=6)),
      AND(P1830="Inner Centre Jamb", OR(Enginuity!$B$13=4, Enginuity!$B$13=6)),
      AND(
        LEFT(P1830,5)&lt;&gt;"1-Way",
        LEFT(P1830,5)&lt;&gt;"2-Way",
        LEFT(P1830,5)&lt;&gt;"3-Way",
        P1830&lt;&gt;"Inner Centre Jamb"
      )
    ),
    IF(OR(Enginuity!$A$1="Frameless Glass",Enginuity!$A$1="Metal Work"),
      AND(TRIM(B1830)=TRIM(Enginuity!$A$17),TRIM(C1830)=TRIM(Enginuity!$A$18)),
      TRIM(B1830)=TRIM(Enginuity!$A$17)
    )
  ),
  ROW(),
  ""
)</f>
        <v/>
      </c>
    </row>
    <row r="1831" spans="1:21" x14ac:dyDescent="0.25">
      <c r="A1831" s="10" t="s">
        <v>252</v>
      </c>
      <c r="B1831" s="229" t="s">
        <v>1426</v>
      </c>
      <c r="C1831" s="14" t="s">
        <v>1429</v>
      </c>
      <c r="D1831" s="14"/>
      <c r="E1831" s="157"/>
      <c r="F1831" s="10"/>
      <c r="G1831" s="17"/>
      <c r="H1831" s="10"/>
      <c r="I1831" s="17"/>
      <c r="J1831" s="83"/>
      <c r="K1831" s="344">
        <v>0.419568</v>
      </c>
      <c r="L1831" s="347">
        <v>150</v>
      </c>
      <c r="M1831" s="89">
        <v>39</v>
      </c>
      <c r="N1831" s="10" t="s">
        <v>121</v>
      </c>
      <c r="O1831" s="22">
        <v>12.1</v>
      </c>
      <c r="P1831" s="109" t="str">
        <f>TRIM(Enginuity!$A$17 &amp; " " &amp; Enginuity!$A$18)</f>
        <v>Supply &amp; Delivery CTW / SF Partition / Z-Louvre</v>
      </c>
      <c r="Q1831" s="83" t="str">
        <f>IF(
  ISNUMBER(MATCH(
    SUBSTITUTE(SUBSTITUTE(UPPER(TRIM(CLEAN(SUBSTITUTE(Enginuity!$A$18,CHAR(160)," ")))),"×","X")," ",""),
    {"050X050","50X50"},
    0
  )),
  IF(
    OR(Enginuity!$B$6="",Enginuity!$B$7=""),
    "",
    Enginuity!$B$6*Enginuity!$B$7
    + IF(Enginuity!$B$8="",0, 2*Enginuity!$B$6*Enginuity!$B$8 + 2*Enginuity!$B$7*Enginuity!$B$8)
  ),
  ""
)</f>
        <v/>
      </c>
      <c r="U1831" s="104" t="str">
        <f>IF(
  AND(
    TRIM(A1831)=TRIM(Enginuity!$A$1),
    TRIM(B1831)=TRIM(Enginuity!$A$17),
    Q1831&lt;&gt;"",
    Q1831&lt;&gt;0,
    OR(
      TRIM(C1831)=TRIM(Enginuity!$A$18),
      AND(UPPER(TRIM(M1831))="STD", TRIM(B1831)=TRIM(Enginuity!$A$17))
    ),
    OR(
      AND(LEFT(P1831,5)="1-Way", Enginuity!$B$13=1),
      AND(LEFT(P1831,5)="2-Way", OR(Enginuity!$B$13=2, Enginuity!$B$13=4)),
      AND(LEFT(P1831,5)="3-Way", OR(Enginuity!$B$13=3, Enginuity!$B$13=6)),
      AND(P1831="Inner Centre Jamb", OR(Enginuity!$B$13=4, Enginuity!$B$13=6)),
      AND(
        LEFT(P1831,5)&lt;&gt;"1-Way",
        LEFT(P1831,5)&lt;&gt;"2-Way",
        LEFT(P1831,5)&lt;&gt;"3-Way",
        P1831&lt;&gt;"Inner Centre Jamb"
      )
    ),
    IF(OR(Enginuity!$A$1="Frameless Glass",Enginuity!$A$1="Metal Work"),
      AND(TRIM(B1831)=TRIM(Enginuity!$A$17),TRIM(C1831)=TRIM(Enginuity!$A$18)),
      TRIM(B1831)=TRIM(Enginuity!$A$17)
    )
  ),
  ROW(),
  ""
)</f>
        <v/>
      </c>
    </row>
    <row r="1832" spans="1:21" x14ac:dyDescent="0.25">
      <c r="A1832" s="10" t="s">
        <v>252</v>
      </c>
      <c r="B1832" s="229" t="s">
        <v>1426</v>
      </c>
      <c r="C1832" s="14" t="s">
        <v>1427</v>
      </c>
      <c r="D1832" s="14"/>
      <c r="E1832" s="157"/>
      <c r="F1832" s="10"/>
      <c r="G1832" s="17"/>
      <c r="H1832" s="10"/>
      <c r="I1832" s="17"/>
      <c r="J1832" s="83"/>
      <c r="K1832" s="343"/>
      <c r="L1832" s="347"/>
      <c r="M1832" s="89">
        <v>40</v>
      </c>
      <c r="N1832" s="10" t="s">
        <v>121</v>
      </c>
      <c r="O1832" s="22">
        <v>12.1</v>
      </c>
      <c r="P1832" s="109" t="str">
        <f>TRIM(Enginuity!$A$17 &amp; " " &amp; Enginuity!$A$18)</f>
        <v>Supply &amp; Delivery CTW / SF Partition / Z-Louvre</v>
      </c>
      <c r="Q1832" s="83" t="str">
        <f>IF(
  SUBSTITUTE(SUBSTITUTE(UPPER(TRIM(SUBSTITUTE(Enginuity!$A$18,CHAR(160)," "))),"×","X")," ","")="100X100",
  IF(OR(Enginuity!$B$6="",Enginuity!$B$7=""),"",Enginuity!$B$6*Enginuity!$B$7),
  ""
)</f>
        <v/>
      </c>
      <c r="U1832" s="104" t="str">
        <f>IF(
  AND(
    TRIM(A1832)=TRIM(Enginuity!$A$1),
    TRIM(B1832)=TRIM(Enginuity!$A$17),
    Q1832&lt;&gt;"",
    Q1832&lt;&gt;0,
    OR(
      TRIM(C1832)=TRIM(Enginuity!$A$18),
      AND(UPPER(TRIM(M1832))="STD", TRIM(B1832)=TRIM(Enginuity!$A$17))
    ),
    OR(
      AND(LEFT(P1832,5)="1-Way", Enginuity!$B$13=1),
      AND(LEFT(P1832,5)="2-Way", OR(Enginuity!$B$13=2, Enginuity!$B$13=4)),
      AND(LEFT(P1832,5)="3-Way", OR(Enginuity!$B$13=3, Enginuity!$B$13=6)),
      AND(P1832="Inner Centre Jamb", OR(Enginuity!$B$13=4, Enginuity!$B$13=6)),
      AND(
        LEFT(P1832,5)&lt;&gt;"1-Way",
        LEFT(P1832,5)&lt;&gt;"2-Way",
        LEFT(P1832,5)&lt;&gt;"3-Way",
        P1832&lt;&gt;"Inner Centre Jamb"
      )
    ),
    IF(OR(Enginuity!$A$1="Frameless Glass",Enginuity!$A$1="Metal Work"),
      AND(TRIM(B1832)=TRIM(Enginuity!$A$17),TRIM(C1832)=TRIM(Enginuity!$A$18)),
      TRIM(B1832)=TRIM(Enginuity!$A$17)
    )
  ),
  ROW(),
  ""
)</f>
        <v/>
      </c>
    </row>
    <row r="1833" spans="1:21" x14ac:dyDescent="0.25">
      <c r="A1833" s="10" t="s">
        <v>252</v>
      </c>
      <c r="B1833" s="229" t="s">
        <v>1426</v>
      </c>
      <c r="C1833" s="14" t="s">
        <v>1372</v>
      </c>
      <c r="D1833" s="14"/>
      <c r="E1833" s="157"/>
      <c r="F1833" s="10"/>
      <c r="G1833" s="17"/>
      <c r="H1833" s="10"/>
      <c r="I1833" s="17"/>
      <c r="J1833" s="83"/>
      <c r="K1833" s="344"/>
      <c r="L1833" s="347"/>
      <c r="M1833" s="89">
        <v>39</v>
      </c>
      <c r="N1833" s="10" t="s">
        <v>121</v>
      </c>
      <c r="O1833" s="22">
        <v>12.1</v>
      </c>
      <c r="P1833" s="109" t="str">
        <f>TRIM(Enginuity!$A$17 &amp; " " &amp; Enginuity!$A$18)</f>
        <v>Supply &amp; Delivery CTW / SF Partition / Z-Louvre</v>
      </c>
      <c r="Q1833" s="83" t="str">
        <f>IF(
  SUBSTITUTE(SUBSTITUTE(UPPER(TRIM(SUBSTITUTE(Enginuity!$A$18,CHAR(160)," "))),"×","X")," ","")="150X150",
  IF(OR(Enginuity!$B$6="",Enginuity!$B$7=""),"",Enginuity!$B$6*Enginuity!$B$7),
  ""
)</f>
        <v/>
      </c>
      <c r="U1833" s="104" t="str">
        <f>IF(
  AND(
    TRIM(A1833)=TRIM(Enginuity!$A$1),
    TRIM(B1833)=TRIM(Enginuity!$A$17),
    Q1833&lt;&gt;"",
    Q1833&lt;&gt;0,
    OR(
      TRIM(C1833)=TRIM(Enginuity!$A$18),
      AND(UPPER(TRIM(M1833))="STD", TRIM(B1833)=TRIM(Enginuity!$A$17))
    ),
    OR(
      AND(LEFT(P1833,5)="1-Way", Enginuity!$B$13=1),
      AND(LEFT(P1833,5)="2-Way", OR(Enginuity!$B$13=2, Enginuity!$B$13=4)),
      AND(LEFT(P1833,5)="3-Way", OR(Enginuity!$B$13=3, Enginuity!$B$13=6)),
      AND(P1833="Inner Centre Jamb", OR(Enginuity!$B$13=4, Enginuity!$B$13=6)),
      AND(
        LEFT(P1833,5)&lt;&gt;"1-Way",
        LEFT(P1833,5)&lt;&gt;"2-Way",
        LEFT(P1833,5)&lt;&gt;"3-Way",
        P1833&lt;&gt;"Inner Centre Jamb"
      )
    ),
    IF(OR(Enginuity!$A$1="Frameless Glass",Enginuity!$A$1="Metal Work"),
      AND(TRIM(B1833)=TRIM(Enginuity!$A$17),TRIM(C1833)=TRIM(Enginuity!$A$18)),
      TRIM(B1833)=TRIM(Enginuity!$A$17)
    )
  ),
  ROW(),
  ""
)</f>
        <v/>
      </c>
    </row>
    <row r="1834" spans="1:21" x14ac:dyDescent="0.25">
      <c r="A1834" s="10" t="s">
        <v>252</v>
      </c>
      <c r="B1834" s="229" t="s">
        <v>1426</v>
      </c>
      <c r="C1834" s="14" t="s">
        <v>1428</v>
      </c>
      <c r="D1834" s="14"/>
      <c r="E1834" s="157"/>
      <c r="F1834" s="10"/>
      <c r="G1834" s="17"/>
      <c r="H1834" s="10"/>
      <c r="I1834" s="17"/>
      <c r="J1834" s="83"/>
      <c r="K1834" s="343"/>
      <c r="L1834" s="347"/>
      <c r="M1834" s="89">
        <v>42</v>
      </c>
      <c r="N1834" s="10" t="s">
        <v>121</v>
      </c>
      <c r="O1834" s="22">
        <v>12.1</v>
      </c>
      <c r="P1834" s="109" t="str">
        <f>TRIM(Enginuity!$A$17 &amp; " " &amp; Enginuity!$A$18)</f>
        <v>Supply &amp; Delivery CTW / SF Partition / Z-Louvre</v>
      </c>
      <c r="Q1834" s="83" t="str">
        <f>IF(
  SUBSTITUTE(SUBSTITUTE(UPPER(TRIM(SUBSTITUTE(Enginuity!$A$18,CHAR(160)," "))),"×","X")," ","")="200X200",
  IF(OR(Enginuity!$B$6="",Enginuity!$B$7=""),"",Enginuity!$B$6*Enginuity!$B$7),
  ""
)</f>
        <v/>
      </c>
      <c r="U1834" s="104" t="str">
        <f>IF(
  AND(
    TRIM(A1834)=TRIM(Enginuity!$A$1),
    TRIM(B1834)=TRIM(Enginuity!$A$17),
    Q1834&lt;&gt;"",
    Q1834&lt;&gt;0,
    OR(
      TRIM(C1834)=TRIM(Enginuity!$A$18),
      AND(UPPER(TRIM(M1834))="STD", TRIM(B1834)=TRIM(Enginuity!$A$17))
    ),
    OR(
      AND(LEFT(P1834,5)="1-Way", Enginuity!$B$13=1),
      AND(LEFT(P1834,5)="2-Way", OR(Enginuity!$B$13=2, Enginuity!$B$13=4)),
      AND(LEFT(P1834,5)="3-Way", OR(Enginuity!$B$13=3, Enginuity!$B$13=6)),
      AND(P1834="Inner Centre Jamb", OR(Enginuity!$B$13=4, Enginuity!$B$13=6)),
      AND(
        LEFT(P1834,5)&lt;&gt;"1-Way",
        LEFT(P1834,5)&lt;&gt;"2-Way",
        LEFT(P1834,5)&lt;&gt;"3-Way",
        P1834&lt;&gt;"Inner Centre Jamb"
      )
    ),
    IF(OR(Enginuity!$A$1="Frameless Glass",Enginuity!$A$1="Metal Work"),
      AND(TRIM(B1834)=TRIM(Enginuity!$A$17),TRIM(C1834)=TRIM(Enginuity!$A$18)),
      TRIM(B1834)=TRIM(Enginuity!$A$17)
    )
  ),
  ROW(),
  ""
)</f>
        <v/>
      </c>
    </row>
    <row r="1835" spans="1:21" x14ac:dyDescent="0.25">
      <c r="A1835" s="10" t="s">
        <v>252</v>
      </c>
      <c r="B1835" s="229" t="s">
        <v>1426</v>
      </c>
      <c r="C1835" s="10"/>
      <c r="D1835" s="14"/>
      <c r="E1835" s="157"/>
      <c r="F1835" s="10"/>
      <c r="G1835" s="17"/>
      <c r="H1835" s="10"/>
      <c r="I1835" s="17"/>
      <c r="J1835" s="83"/>
      <c r="K1835" s="343"/>
      <c r="L1835" s="347"/>
      <c r="M1835" s="89" t="s">
        <v>117</v>
      </c>
      <c r="N1835" s="88" t="s">
        <v>121</v>
      </c>
      <c r="O1835" s="22">
        <v>4</v>
      </c>
      <c r="P1835" s="36" t="s">
        <v>166</v>
      </c>
      <c r="Q1835" s="83" t="str">
        <f>IF(
  TRIM(SUBSTITUTE(Enginuity!$A$17,CHAR(160)," "))="Ceiling Aluminium Cell",
  IFERROR(
    IF(
      OR(Enginuity!$B$6="",Enginuity!$B$7=""),
      "",
      IF(
        Enginuity!$B$8="",
        VALUE(Enginuity!$B$6)*VALUE(Enginuity!$B$7),
        VALUE(Enginuity!$B$6)*VALUE(Enginuity!$B$7)
        + 2*VALUE(Enginuity!$B$6)*VALUE(Enginuity!$B$8)
        + 2*VALUE(Enginuity!$B$7)*VALUE(Enginuity!$B$8)
      )
    ),
    ""
  ),
  ""
)</f>
        <v/>
      </c>
      <c r="U1835" s="104" t="str">
        <f>IF(
  AND(
    TRIM(A1835)=TRIM(Enginuity!$A$1),
    TRIM(B1835)=TRIM(Enginuity!$A$17),
    Q1835&lt;&gt;"",
    Q1835&lt;&gt;0,
    OR(
      TRIM(C1835)=TRIM(Enginuity!$A$18),
      AND(UPPER(TRIM(M1835))="STD", TRIM(B1835)=TRIM(Enginuity!$A$17))
    ),
    OR(
      AND(LEFT(P1835,5)="1-Way", Enginuity!$B$13=1),
      AND(LEFT(P1835,5)="2-Way", OR(Enginuity!$B$13=2, Enginuity!$B$13=4)),
      AND(LEFT(P1835,5)="3-Way", OR(Enginuity!$B$13=3, Enginuity!$B$13=6)),
      AND(P1835="Inner Centre Jamb", OR(Enginuity!$B$13=4, Enginuity!$B$13=6)),
      AND(
        LEFT(P1835,5)&lt;&gt;"1-Way",
        LEFT(P1835,5)&lt;&gt;"2-Way",
        LEFT(P1835,5)&lt;&gt;"3-Way",
        P1835&lt;&gt;"Inner Centre Jamb"
      )
    ),
    IF(OR(Enginuity!$A$1="Frameless Glass",Enginuity!$A$1="Metal Work"),
      AND(TRIM(B1835)=TRIM(Enginuity!$A$17),TRIM(C1835)=TRIM(Enginuity!$A$18)),
      TRIM(B1835)=TRIM(Enginuity!$A$17)
    )
  ),
  ROW(),
  ""
)</f>
        <v/>
      </c>
    </row>
    <row r="1836" spans="1:21" x14ac:dyDescent="0.25">
      <c r="A1836" s="10"/>
      <c r="B1836" s="229"/>
      <c r="C1836" s="10"/>
      <c r="D1836" s="14"/>
      <c r="E1836" s="157"/>
      <c r="F1836" s="10"/>
      <c r="G1836" s="17"/>
      <c r="H1836" s="10"/>
      <c r="I1836" s="17"/>
      <c r="J1836" s="83"/>
      <c r="K1836" s="343"/>
      <c r="L1836" s="347"/>
      <c r="M1836" s="89"/>
      <c r="N1836" s="88"/>
      <c r="O1836" s="22"/>
      <c r="P1836" s="36"/>
      <c r="Q1836" s="83"/>
      <c r="U1836" s="104" t="str">
        <f>IF(
  AND(
    TRIM(A1836)=TRIM(Enginuity!$A$1),
    TRIM(B1836)=TRIM(Enginuity!$A$17),
    Q1836&lt;&gt;"",
    Q1836&lt;&gt;0,
    OR(
      TRIM(C1836)=TRIM(Enginuity!$A$18),
      AND(UPPER(TRIM(M1836))="STD", TRIM(B1836)=TRIM(Enginuity!$A$17))
    ),
    OR(
      AND(LEFT(P1836,5)="1-Way", Enginuity!$B$13=1),
      AND(LEFT(P1836,5)="2-Way", OR(Enginuity!$B$13=2, Enginuity!$B$13=4)),
      AND(LEFT(P1836,5)="3-Way", OR(Enginuity!$B$13=3, Enginuity!$B$13=6)),
      AND(P1836="Inner Centre Jamb", OR(Enginuity!$B$13=4, Enginuity!$B$13=6)),
      AND(
        LEFT(P1836,5)&lt;&gt;"1-Way",
        LEFT(P1836,5)&lt;&gt;"2-Way",
        LEFT(P1836,5)&lt;&gt;"3-Way",
        P1836&lt;&gt;"Inner Centre Jamb"
      )
    ),
    IF(OR(Enginuity!$A$1="Frameless Glass",Enginuity!$A$1="Metal Work"),
      AND(TRIM(B1836)=TRIM(Enginuity!$A$17),TRIM(C1836)=TRIM(Enginuity!$A$18)),
      TRIM(B1836)=TRIM(Enginuity!$A$17)
    )
  ),
  ROW(),
  ""
)</f>
        <v/>
      </c>
    </row>
    <row r="1837" spans="1:21" x14ac:dyDescent="0.25">
      <c r="A1837" s="10"/>
      <c r="B1837" s="229"/>
      <c r="C1837" s="10"/>
      <c r="D1837" s="14"/>
      <c r="E1837" s="157"/>
      <c r="F1837" s="10"/>
      <c r="G1837" s="17"/>
      <c r="H1837" s="10"/>
      <c r="I1837" s="17"/>
      <c r="J1837" s="83"/>
      <c r="K1837" s="343"/>
      <c r="L1837" s="347"/>
      <c r="M1837" s="89"/>
      <c r="N1837" s="88"/>
      <c r="O1837" s="22"/>
      <c r="P1837" s="36"/>
      <c r="Q1837" s="83"/>
      <c r="U1837" s="104" t="str">
        <f>IF(
  AND(
    TRIM(A1837)=TRIM(Enginuity!$A$1),
    TRIM(B1837)=TRIM(Enginuity!$A$17),
    Q1837&lt;&gt;"",
    Q1837&lt;&gt;0,
    OR(
      TRIM(C1837)=TRIM(Enginuity!$A$18),
      AND(UPPER(TRIM(M1837))="STD", TRIM(B1837)=TRIM(Enginuity!$A$17))
    ),
    OR(
      AND(LEFT(P1837,5)="1-Way", Enginuity!$B$13=1),
      AND(LEFT(P1837,5)="2-Way", OR(Enginuity!$B$13=2, Enginuity!$B$13=4)),
      AND(LEFT(P1837,5)="3-Way", OR(Enginuity!$B$13=3, Enginuity!$B$13=6)),
      AND(P1837="Inner Centre Jamb", OR(Enginuity!$B$13=4, Enginuity!$B$13=6)),
      AND(
        LEFT(P1837,5)&lt;&gt;"1-Way",
        LEFT(P1837,5)&lt;&gt;"2-Way",
        LEFT(P1837,5)&lt;&gt;"3-Way",
        P1837&lt;&gt;"Inner Centre Jamb"
      )
    ),
    IF(OR(Enginuity!$A$1="Frameless Glass",Enginuity!$A$1="Metal Work"),
      AND(TRIM(B1837)=TRIM(Enginuity!$A$17),TRIM(C1837)=TRIM(Enginuity!$A$18)),
      TRIM(B1837)=TRIM(Enginuity!$A$17)
    )
  ),
  ROW(),
  ""
)</f>
        <v/>
      </c>
    </row>
    <row r="1838" spans="1:21" x14ac:dyDescent="0.25">
      <c r="A1838" s="10"/>
      <c r="B1838" s="229"/>
      <c r="C1838" s="10"/>
      <c r="D1838" s="14"/>
      <c r="E1838" s="157"/>
      <c r="F1838" s="10"/>
      <c r="G1838" s="17"/>
      <c r="H1838" s="10"/>
      <c r="I1838" s="17"/>
      <c r="J1838" s="83"/>
      <c r="K1838" s="343"/>
      <c r="L1838" s="347"/>
      <c r="M1838" s="89"/>
      <c r="N1838" s="10"/>
      <c r="O1838" s="22"/>
      <c r="P1838" s="36"/>
      <c r="Q1838" s="83"/>
      <c r="U1838" s="104" t="str">
        <f>IF(
  AND(
    TRIM(A1838)=TRIM(Enginuity!$A$1),
    TRIM(B1838)=TRIM(Enginuity!$A$17),
    Q1838&lt;&gt;"",
    Q1838&lt;&gt;0,
    OR(
      TRIM(C1838)=TRIM(Enginuity!$A$18),
      AND(UPPER(TRIM(M1838))="STD", TRIM(B1838)=TRIM(Enginuity!$A$17))
    ),
    OR(
      AND(LEFT(P1838,5)="1-Way", Enginuity!$B$13=1),
      AND(LEFT(P1838,5)="2-Way", OR(Enginuity!$B$13=2, Enginuity!$B$13=4)),
      AND(LEFT(P1838,5)="3-Way", OR(Enginuity!$B$13=3, Enginuity!$B$13=6)),
      AND(P1838="Inner Centre Jamb", OR(Enginuity!$B$13=4, Enginuity!$B$13=6)),
      AND(
        LEFT(P1838,5)&lt;&gt;"1-Way",
        LEFT(P1838,5)&lt;&gt;"2-Way",
        LEFT(P1838,5)&lt;&gt;"3-Way",
        P1838&lt;&gt;"Inner Centre Jamb"
      )
    ),
    IF(OR(Enginuity!$A$1="Frameless Glass",Enginuity!$A$1="Metal Work"),
      AND(TRIM(B1838)=TRIM(Enginuity!$A$17),TRIM(C1838)=TRIM(Enginuity!$A$18)),
      TRIM(B1838)=TRIM(Enginuity!$A$17)
    )
  ),
  ROW(),
  ""
)</f>
        <v/>
      </c>
    </row>
    <row r="1839" spans="1:21" x14ac:dyDescent="0.25">
      <c r="A1839" s="10"/>
      <c r="B1839" s="229"/>
      <c r="C1839" s="10"/>
      <c r="D1839" s="14"/>
      <c r="E1839" s="157"/>
      <c r="F1839" s="10"/>
      <c r="G1839" s="17"/>
      <c r="H1839" s="10"/>
      <c r="I1839" s="17"/>
      <c r="J1839" s="83"/>
      <c r="K1839" s="343"/>
      <c r="L1839" s="347"/>
      <c r="M1839" s="89"/>
      <c r="N1839" s="88"/>
      <c r="O1839" s="22"/>
      <c r="P1839" s="36"/>
      <c r="Q1839" s="83"/>
      <c r="U1839" s="104" t="str">
        <f>IF(
  AND(
    TRIM(A1839)=TRIM(Enginuity!$A$1),
    TRIM(B1839)=TRIM(Enginuity!$A$17),
    Q1839&lt;&gt;"",
    Q1839&lt;&gt;0,
    OR(
      TRIM(C1839)=TRIM(Enginuity!$A$18),
      AND(UPPER(TRIM(M1839))="STD", TRIM(B1839)=TRIM(Enginuity!$A$17))
    ),
    OR(
      AND(LEFT(P1839,5)="1-Way", Enginuity!$B$13=1),
      AND(LEFT(P1839,5)="2-Way", OR(Enginuity!$B$13=2, Enginuity!$B$13=4)),
      AND(LEFT(P1839,5)="3-Way", OR(Enginuity!$B$13=3, Enginuity!$B$13=6)),
      AND(P1839="Inner Centre Jamb", OR(Enginuity!$B$13=4, Enginuity!$B$13=6)),
      AND(
        LEFT(P1839,5)&lt;&gt;"1-Way",
        LEFT(P1839,5)&lt;&gt;"2-Way",
        LEFT(P1839,5)&lt;&gt;"3-Way",
        P1839&lt;&gt;"Inner Centre Jamb"
      )
    ),
    IF(OR(Enginuity!$A$1="Frameless Glass",Enginuity!$A$1="Metal Work"),
      AND(TRIM(B1839)=TRIM(Enginuity!$A$17),TRIM(C1839)=TRIM(Enginuity!$A$18)),
      TRIM(B1839)=TRIM(Enginuity!$A$17)
    )
  ),
  ROW(),
  ""
)</f>
        <v/>
      </c>
    </row>
    <row r="1840" spans="1:21" x14ac:dyDescent="0.25">
      <c r="A1840" s="10"/>
      <c r="B1840" s="229"/>
      <c r="C1840" s="10"/>
      <c r="D1840" s="14"/>
      <c r="E1840" s="157"/>
      <c r="F1840" s="10"/>
      <c r="G1840" s="17"/>
      <c r="H1840" s="10"/>
      <c r="I1840" s="17"/>
      <c r="J1840" s="83"/>
      <c r="K1840" s="343"/>
      <c r="L1840" s="347"/>
      <c r="M1840" s="89"/>
      <c r="N1840" s="10"/>
      <c r="O1840" s="22"/>
      <c r="P1840" s="14"/>
      <c r="Q1840" s="83"/>
      <c r="U1840" s="104" t="str">
        <f>IF(
  AND(
    TRIM(A1840)=TRIM(Enginuity!$A$1),
    TRIM(B1840)=TRIM(Enginuity!$A$17),
    Q1840&lt;&gt;"",
    Q1840&lt;&gt;0,
    OR(
      TRIM(C1840)=TRIM(Enginuity!$A$18),
      AND(UPPER(TRIM(M1840))="STD", TRIM(B1840)=TRIM(Enginuity!$A$17))
    ),
    OR(
      AND(LEFT(P1840,5)="1-Way", Enginuity!$B$13=1),
      AND(LEFT(P1840,5)="2-Way", OR(Enginuity!$B$13=2, Enginuity!$B$13=4)),
      AND(LEFT(P1840,5)="3-Way", OR(Enginuity!$B$13=3, Enginuity!$B$13=6)),
      AND(P1840="Inner Centre Jamb", OR(Enginuity!$B$13=4, Enginuity!$B$13=6)),
      AND(
        LEFT(P1840,5)&lt;&gt;"1-Way",
        LEFT(P1840,5)&lt;&gt;"2-Way",
        LEFT(P1840,5)&lt;&gt;"3-Way",
        P1840&lt;&gt;"Inner Centre Jamb"
      )
    ),
    IF(OR(Enginuity!$A$1="Frameless Glass",Enginuity!$A$1="Metal Work"),
      AND(TRIM(B1840)=TRIM(Enginuity!$A$17),TRIM(C1840)=TRIM(Enginuity!$A$18)),
      TRIM(B1840)=TRIM(Enginuity!$A$17)
    )
  ),
  ROW(),
  ""
)</f>
        <v/>
      </c>
    </row>
    <row r="1841" spans="1:21" x14ac:dyDescent="0.25">
      <c r="A1841" s="10"/>
      <c r="B1841" s="229"/>
      <c r="C1841" s="10"/>
      <c r="D1841" s="14"/>
      <c r="E1841" s="157"/>
      <c r="F1841" s="10"/>
      <c r="G1841" s="17"/>
      <c r="H1841" s="10"/>
      <c r="I1841" s="17"/>
      <c r="J1841" s="83"/>
      <c r="K1841" s="343"/>
      <c r="L1841" s="347"/>
      <c r="M1841" s="89"/>
      <c r="N1841" s="10"/>
      <c r="O1841" s="22"/>
      <c r="P1841" s="14"/>
      <c r="Q1841" s="83"/>
      <c r="U1841" s="104" t="str">
        <f>IF(
  AND(
    TRIM(A1841)=TRIM(Enginuity!$A$1),
    TRIM(B1841)=TRIM(Enginuity!$A$17),
    Q1841&lt;&gt;"",
    Q1841&lt;&gt;0,
    OR(
      TRIM(C1841)=TRIM(Enginuity!$A$18),
      AND(UPPER(TRIM(M1841))="STD", TRIM(B1841)=TRIM(Enginuity!$A$17))
    ),
    OR(
      AND(LEFT(P1841,5)="1-Way", Enginuity!$B$13=1),
      AND(LEFT(P1841,5)="2-Way", OR(Enginuity!$B$13=2, Enginuity!$B$13=4)),
      AND(LEFT(P1841,5)="3-Way", OR(Enginuity!$B$13=3, Enginuity!$B$13=6)),
      AND(P1841="Inner Centre Jamb", OR(Enginuity!$B$13=4, Enginuity!$B$13=6)),
      AND(
        LEFT(P1841,5)&lt;&gt;"1-Way",
        LEFT(P1841,5)&lt;&gt;"2-Way",
        LEFT(P1841,5)&lt;&gt;"3-Way",
        P1841&lt;&gt;"Inner Centre Jamb"
      )
    ),
    IF(OR(Enginuity!$A$1="Frameless Glass",Enginuity!$A$1="Metal Work"),
      AND(TRIM(B1841)=TRIM(Enginuity!$A$17),TRIM(C1841)=TRIM(Enginuity!$A$18)),
      TRIM(B1841)=TRIM(Enginuity!$A$17)
    )
  ),
  ROW(),
  ""
)</f>
        <v/>
      </c>
    </row>
    <row r="1842" spans="1:21" x14ac:dyDescent="0.25">
      <c r="A1842" s="10"/>
      <c r="B1842" s="229"/>
      <c r="C1842" s="10"/>
      <c r="D1842" s="14"/>
      <c r="E1842" s="157"/>
      <c r="F1842" s="10"/>
      <c r="G1842" s="17"/>
      <c r="H1842" s="10"/>
      <c r="I1842" s="17"/>
      <c r="J1842" s="83"/>
      <c r="K1842" s="343"/>
      <c r="L1842" s="347"/>
      <c r="M1842" s="89"/>
      <c r="N1842" s="10"/>
      <c r="O1842" s="22"/>
      <c r="P1842" s="14"/>
      <c r="Q1842" s="83"/>
      <c r="U1842" s="104" t="str">
        <f>IF(
  AND(
    TRIM(A1842)=TRIM(Enginuity!$A$1),
    TRIM(B1842)=TRIM(Enginuity!$A$17),
    Q1842&lt;&gt;"",
    Q1842&lt;&gt;0,
    OR(
      TRIM(C1842)=TRIM(Enginuity!$A$18),
      AND(UPPER(TRIM(M1842))="STD", TRIM(B1842)=TRIM(Enginuity!$A$17))
    ),
    OR(
      AND(LEFT(P1842,5)="1-Way", Enginuity!$B$13=1),
      AND(LEFT(P1842,5)="2-Way", OR(Enginuity!$B$13=2, Enginuity!$B$13=4)),
      AND(LEFT(P1842,5)="3-Way", OR(Enginuity!$B$13=3, Enginuity!$B$13=6)),
      AND(P1842="Inner Centre Jamb", OR(Enginuity!$B$13=4, Enginuity!$B$13=6)),
      AND(
        LEFT(P1842,5)&lt;&gt;"1-Way",
        LEFT(P1842,5)&lt;&gt;"2-Way",
        LEFT(P1842,5)&lt;&gt;"3-Way",
        P1842&lt;&gt;"Inner Centre Jamb"
      )
    ),
    IF(OR(Enginuity!$A$1="Frameless Glass",Enginuity!$A$1="Metal Work"),
      AND(TRIM(B1842)=TRIM(Enginuity!$A$17),TRIM(C1842)=TRIM(Enginuity!$A$18)),
      TRIM(B1842)=TRIM(Enginuity!$A$17)
    )
  ),
  ROW(),
  ""
)</f>
        <v/>
      </c>
    </row>
    <row r="1843" spans="1:21" x14ac:dyDescent="0.25">
      <c r="A1843" s="10"/>
      <c r="B1843" s="229"/>
      <c r="C1843" s="10"/>
      <c r="D1843" s="14"/>
      <c r="E1843" s="157"/>
      <c r="F1843" s="10"/>
      <c r="G1843" s="17"/>
      <c r="H1843" s="10"/>
      <c r="I1843" s="17"/>
      <c r="J1843" s="83"/>
      <c r="K1843" s="343"/>
      <c r="L1843" s="347"/>
      <c r="M1843" s="89"/>
      <c r="N1843" s="10"/>
      <c r="O1843" s="22"/>
      <c r="P1843" s="14"/>
      <c r="Q1843" s="83"/>
      <c r="U1843" s="104" t="str">
        <f>IF(
  AND(
    TRIM(A1843)=TRIM(Enginuity!$A$1),
    TRIM(B1843)=TRIM(Enginuity!$A$17),
    Q1843&lt;&gt;"",
    Q1843&lt;&gt;0,
    OR(
      TRIM(C1843)=TRIM(Enginuity!$A$18),
      AND(UPPER(TRIM(M1843))="STD", TRIM(B1843)=TRIM(Enginuity!$A$17))
    ),
    OR(
      AND(LEFT(P1843,5)="1-Way", Enginuity!$B$13=1),
      AND(LEFT(P1843,5)="2-Way", OR(Enginuity!$B$13=2, Enginuity!$B$13=4)),
      AND(LEFT(P1843,5)="3-Way", OR(Enginuity!$B$13=3, Enginuity!$B$13=6)),
      AND(P1843="Inner Centre Jamb", OR(Enginuity!$B$13=4, Enginuity!$B$13=6)),
      AND(
        LEFT(P1843,5)&lt;&gt;"1-Way",
        LEFT(P1843,5)&lt;&gt;"2-Way",
        LEFT(P1843,5)&lt;&gt;"3-Way",
        P1843&lt;&gt;"Inner Centre Jamb"
      )
    ),
    IF(OR(Enginuity!$A$1="Frameless Glass",Enginuity!$A$1="Metal Work"),
      AND(TRIM(B1843)=TRIM(Enginuity!$A$17),TRIM(C1843)=TRIM(Enginuity!$A$18)),
      TRIM(B1843)=TRIM(Enginuity!$A$17)
    )
  ),
  ROW(),
  ""
)</f>
        <v/>
      </c>
    </row>
    <row r="1844" spans="1:21" x14ac:dyDescent="0.25">
      <c r="A1844" s="10"/>
      <c r="B1844" s="229"/>
      <c r="C1844" s="10"/>
      <c r="D1844" s="14"/>
      <c r="E1844" s="157"/>
      <c r="F1844" s="10"/>
      <c r="G1844" s="17"/>
      <c r="H1844" s="10"/>
      <c r="I1844" s="17"/>
      <c r="J1844" s="83"/>
      <c r="K1844" s="343"/>
      <c r="L1844" s="347"/>
      <c r="M1844" s="89"/>
      <c r="N1844" s="10"/>
      <c r="O1844" s="22"/>
      <c r="P1844" s="14"/>
      <c r="Q1844" s="83"/>
      <c r="U1844" s="104" t="str">
        <f>IF(
  AND(
    TRIM(A1844)=TRIM(Enginuity!$A$1),
    TRIM(B1844)=TRIM(Enginuity!$A$17),
    Q1844&lt;&gt;"",
    Q1844&lt;&gt;0,
    OR(
      TRIM(C1844)=TRIM(Enginuity!$A$18),
      AND(UPPER(TRIM(M1844))="STD", TRIM(B1844)=TRIM(Enginuity!$A$17))
    ),
    OR(
      AND(LEFT(P1844,5)="1-Way", Enginuity!$B$13=1),
      AND(LEFT(P1844,5)="2-Way", OR(Enginuity!$B$13=2, Enginuity!$B$13=4)),
      AND(LEFT(P1844,5)="3-Way", OR(Enginuity!$B$13=3, Enginuity!$B$13=6)),
      AND(P1844="Inner Centre Jamb", OR(Enginuity!$B$13=4, Enginuity!$B$13=6)),
      AND(
        LEFT(P1844,5)&lt;&gt;"1-Way",
        LEFT(P1844,5)&lt;&gt;"2-Way",
        LEFT(P1844,5)&lt;&gt;"3-Way",
        P1844&lt;&gt;"Inner Centre Jamb"
      )
    ),
    IF(OR(Enginuity!$A$1="Frameless Glass",Enginuity!$A$1="Metal Work"),
      AND(TRIM(B1844)=TRIM(Enginuity!$A$17),TRIM(C1844)=TRIM(Enginuity!$A$18)),
      TRIM(B1844)=TRIM(Enginuity!$A$17)
    )
  ),
  ROW(),
  ""
)</f>
        <v/>
      </c>
    </row>
    <row r="1845" spans="1:21" x14ac:dyDescent="0.25">
      <c r="A1845" s="10"/>
      <c r="B1845" s="229"/>
      <c r="C1845" s="10"/>
      <c r="D1845" s="14"/>
      <c r="E1845" s="157"/>
      <c r="F1845" s="10"/>
      <c r="G1845" s="17"/>
      <c r="H1845" s="10"/>
      <c r="I1845" s="17"/>
      <c r="J1845" s="83"/>
      <c r="K1845" s="343"/>
      <c r="L1845" s="347"/>
      <c r="M1845" s="89"/>
      <c r="N1845" s="10"/>
      <c r="O1845" s="22"/>
      <c r="P1845" s="14"/>
      <c r="Q1845" s="83"/>
      <c r="U1845" s="104" t="str">
        <f>IF(
  AND(
    TRIM(A1845)=TRIM(Enginuity!$A$1),
    TRIM(B1845)=TRIM(Enginuity!$A$17),
    Q1845&lt;&gt;"",
    Q1845&lt;&gt;0,
    OR(
      TRIM(C1845)=TRIM(Enginuity!$A$18),
      AND(UPPER(TRIM(M1845))="STD", TRIM(B1845)=TRIM(Enginuity!$A$17))
    ),
    OR(
      AND(LEFT(P1845,5)="1-Way", Enginuity!$B$13=1),
      AND(LEFT(P1845,5)="2-Way", OR(Enginuity!$B$13=2, Enginuity!$B$13=4)),
      AND(LEFT(P1845,5)="3-Way", OR(Enginuity!$B$13=3, Enginuity!$B$13=6)),
      AND(P1845="Inner Centre Jamb", OR(Enginuity!$B$13=4, Enginuity!$B$13=6)),
      AND(
        LEFT(P1845,5)&lt;&gt;"1-Way",
        LEFT(P1845,5)&lt;&gt;"2-Way",
        LEFT(P1845,5)&lt;&gt;"3-Way",
        P1845&lt;&gt;"Inner Centre Jamb"
      )
    ),
    IF(OR(Enginuity!$A$1="Frameless Glass",Enginuity!$A$1="Metal Work"),
      AND(TRIM(B1845)=TRIM(Enginuity!$A$17),TRIM(C1845)=TRIM(Enginuity!$A$18)),
      TRIM(B1845)=TRIM(Enginuity!$A$17)
    )
  ),
  ROW(),
  ""
)</f>
        <v/>
      </c>
    </row>
    <row r="1846" spans="1:21" x14ac:dyDescent="0.25">
      <c r="A1846" s="10"/>
      <c r="B1846" s="229"/>
      <c r="C1846" s="10"/>
      <c r="D1846" s="14"/>
      <c r="E1846" s="157"/>
      <c r="F1846" s="10"/>
      <c r="G1846" s="17"/>
      <c r="H1846" s="10"/>
      <c r="I1846" s="17"/>
      <c r="J1846" s="83"/>
      <c r="K1846" s="343"/>
      <c r="L1846" s="347"/>
      <c r="M1846" s="89"/>
      <c r="N1846" s="10"/>
      <c r="O1846" s="22"/>
      <c r="P1846" s="14"/>
      <c r="Q1846" s="83"/>
      <c r="U1846" s="104" t="str">
        <f>IF(
  AND(
    TRIM(A1846)=TRIM(Enginuity!$A$1),
    TRIM(B1846)=TRIM(Enginuity!$A$17),
    Q1846&lt;&gt;"",
    Q1846&lt;&gt;0,
    OR(
      TRIM(C1846)=TRIM(Enginuity!$A$18),
      AND(UPPER(TRIM(M1846))="STD", TRIM(B1846)=TRIM(Enginuity!$A$17))
    ),
    OR(
      AND(LEFT(P1846,5)="1-Way", Enginuity!$B$13=1),
      AND(LEFT(P1846,5)="2-Way", OR(Enginuity!$B$13=2, Enginuity!$B$13=4)),
      AND(LEFT(P1846,5)="3-Way", OR(Enginuity!$B$13=3, Enginuity!$B$13=6)),
      AND(P1846="Inner Centre Jamb", OR(Enginuity!$B$13=4, Enginuity!$B$13=6)),
      AND(
        LEFT(P1846,5)&lt;&gt;"1-Way",
        LEFT(P1846,5)&lt;&gt;"2-Way",
        LEFT(P1846,5)&lt;&gt;"3-Way",
        P1846&lt;&gt;"Inner Centre Jamb"
      )
    ),
    IF(OR(Enginuity!$A$1="Frameless Glass",Enginuity!$A$1="Metal Work"),
      AND(TRIM(B1846)=TRIM(Enginuity!$A$17),TRIM(C1846)=TRIM(Enginuity!$A$18)),
      TRIM(B1846)=TRIM(Enginuity!$A$17)
    )
  ),
  ROW(),
  ""
)</f>
        <v/>
      </c>
    </row>
    <row r="1847" spans="1:21" x14ac:dyDescent="0.25">
      <c r="A1847" s="10"/>
      <c r="B1847" s="229"/>
      <c r="C1847" s="10"/>
      <c r="D1847" s="14"/>
      <c r="E1847" s="157"/>
      <c r="F1847" s="10"/>
      <c r="G1847" s="17"/>
      <c r="H1847" s="10"/>
      <c r="I1847" s="17"/>
      <c r="J1847" s="83"/>
      <c r="K1847" s="343"/>
      <c r="L1847" s="347"/>
      <c r="M1847" s="89"/>
      <c r="N1847" s="10"/>
      <c r="O1847" s="22"/>
      <c r="P1847" s="14"/>
      <c r="Q1847" s="83"/>
      <c r="U1847" s="104" t="str">
        <f>IF(
  AND(
    TRIM(A1847)=TRIM(Enginuity!$A$1),
    TRIM(B1847)=TRIM(Enginuity!$A$17),
    Q1847&lt;&gt;"",
    Q1847&lt;&gt;0,
    OR(
      TRIM(C1847)=TRIM(Enginuity!$A$18),
      AND(UPPER(TRIM(M1847))="STD", TRIM(B1847)=TRIM(Enginuity!$A$17))
    ),
    OR(
      AND(LEFT(P1847,5)="1-Way", Enginuity!$B$13=1),
      AND(LEFT(P1847,5)="2-Way", OR(Enginuity!$B$13=2, Enginuity!$B$13=4)),
      AND(LEFT(P1847,5)="3-Way", OR(Enginuity!$B$13=3, Enginuity!$B$13=6)),
      AND(P1847="Inner Centre Jamb", OR(Enginuity!$B$13=4, Enginuity!$B$13=6)),
      AND(
        LEFT(P1847,5)&lt;&gt;"1-Way",
        LEFT(P1847,5)&lt;&gt;"2-Way",
        LEFT(P1847,5)&lt;&gt;"3-Way",
        P1847&lt;&gt;"Inner Centre Jamb"
      )
    ),
    IF(OR(Enginuity!$A$1="Frameless Glass",Enginuity!$A$1="Metal Work"),
      AND(TRIM(B1847)=TRIM(Enginuity!$A$17),TRIM(C1847)=TRIM(Enginuity!$A$18)),
      TRIM(B1847)=TRIM(Enginuity!$A$17)
    )
  ),
  ROW(),
  ""
)</f>
        <v/>
      </c>
    </row>
    <row r="1848" spans="1:21" x14ac:dyDescent="0.25">
      <c r="A1848" s="10"/>
      <c r="B1848" s="229"/>
      <c r="C1848" s="10"/>
      <c r="D1848" s="14"/>
      <c r="E1848" s="157"/>
      <c r="F1848" s="10"/>
      <c r="G1848" s="17"/>
      <c r="H1848" s="10"/>
      <c r="I1848" s="17"/>
      <c r="J1848" s="83"/>
      <c r="K1848" s="343"/>
      <c r="L1848" s="347"/>
      <c r="M1848" s="89"/>
      <c r="N1848" s="10"/>
      <c r="O1848" s="22"/>
      <c r="P1848" s="14"/>
      <c r="Q1848" s="83"/>
      <c r="U1848" s="104" t="str">
        <f>IF(
  AND(
    TRIM(A1848)=TRIM(Enginuity!$A$1),
    TRIM(B1848)=TRIM(Enginuity!$A$17),
    Q1848&lt;&gt;"",
    Q1848&lt;&gt;0,
    OR(
      TRIM(C1848)=TRIM(Enginuity!$A$18),
      AND(UPPER(TRIM(M1848))="STD", TRIM(B1848)=TRIM(Enginuity!$A$17))
    ),
    OR(
      AND(LEFT(P1848,5)="1-Way", Enginuity!$B$13=1),
      AND(LEFT(P1848,5)="2-Way", OR(Enginuity!$B$13=2, Enginuity!$B$13=4)),
      AND(LEFT(P1848,5)="3-Way", OR(Enginuity!$B$13=3, Enginuity!$B$13=6)),
      AND(P1848="Inner Centre Jamb", OR(Enginuity!$B$13=4, Enginuity!$B$13=6)),
      AND(
        LEFT(P1848,5)&lt;&gt;"1-Way",
        LEFT(P1848,5)&lt;&gt;"2-Way",
        LEFT(P1848,5)&lt;&gt;"3-Way",
        P1848&lt;&gt;"Inner Centre Jamb"
      )
    ),
    IF(OR(Enginuity!$A$1="Frameless Glass",Enginuity!$A$1="Metal Work"),
      AND(TRIM(B1848)=TRIM(Enginuity!$A$17),TRIM(C1848)=TRIM(Enginuity!$A$18)),
      TRIM(B1848)=TRIM(Enginuity!$A$17)
    )
  ),
  ROW(),
  ""
)</f>
        <v/>
      </c>
    </row>
    <row r="1849" spans="1:21" x14ac:dyDescent="0.25">
      <c r="A1849" s="10"/>
      <c r="B1849" s="229"/>
      <c r="C1849" s="10"/>
      <c r="D1849" s="14"/>
      <c r="E1849" s="157"/>
      <c r="F1849" s="10"/>
      <c r="G1849" s="17"/>
      <c r="H1849" s="10"/>
      <c r="I1849" s="17"/>
      <c r="J1849" s="83"/>
      <c r="K1849" s="343"/>
      <c r="L1849" s="347"/>
      <c r="M1849" s="89"/>
      <c r="N1849" s="10"/>
      <c r="O1849" s="22"/>
      <c r="P1849" s="14"/>
      <c r="Q1849" s="83"/>
      <c r="U1849" s="104" t="str">
        <f>IF(
  AND(
    TRIM(A1849)=TRIM(Enginuity!$A$1),
    TRIM(B1849)=TRIM(Enginuity!$A$17),
    Q1849&lt;&gt;"",
    Q1849&lt;&gt;0,
    OR(
      TRIM(C1849)=TRIM(Enginuity!$A$18),
      AND(UPPER(TRIM(M1849))="STD", TRIM(B1849)=TRIM(Enginuity!$A$17))
    ),
    OR(
      AND(LEFT(P1849,5)="1-Way", Enginuity!$B$13=1),
      AND(LEFT(P1849,5)="2-Way", OR(Enginuity!$B$13=2, Enginuity!$B$13=4)),
      AND(LEFT(P1849,5)="3-Way", OR(Enginuity!$B$13=3, Enginuity!$B$13=6)),
      AND(P1849="Inner Centre Jamb", OR(Enginuity!$B$13=4, Enginuity!$B$13=6)),
      AND(
        LEFT(P1849,5)&lt;&gt;"1-Way",
        LEFT(P1849,5)&lt;&gt;"2-Way",
        LEFT(P1849,5)&lt;&gt;"3-Way",
        P1849&lt;&gt;"Inner Centre Jamb"
      )
    ),
    IF(OR(Enginuity!$A$1="Frameless Glass",Enginuity!$A$1="Metal Work"),
      AND(TRIM(B1849)=TRIM(Enginuity!$A$17),TRIM(C1849)=TRIM(Enginuity!$A$18)),
      TRIM(B1849)=TRIM(Enginuity!$A$17)
    )
  ),
  ROW(),
  ""
)</f>
        <v/>
      </c>
    </row>
    <row r="1850" spans="1:21" x14ac:dyDescent="0.25">
      <c r="A1850" s="10"/>
      <c r="B1850" s="229"/>
      <c r="C1850" s="10"/>
      <c r="D1850" s="14"/>
      <c r="E1850" s="157"/>
      <c r="F1850" s="10"/>
      <c r="G1850" s="17"/>
      <c r="H1850" s="10"/>
      <c r="I1850" s="17"/>
      <c r="J1850" s="83"/>
      <c r="K1850" s="343"/>
      <c r="L1850" s="347"/>
      <c r="M1850" s="89"/>
      <c r="N1850" s="14"/>
      <c r="O1850" s="22"/>
      <c r="P1850" s="14"/>
      <c r="Q1850" s="83"/>
      <c r="U1850" s="104" t="str">
        <f>IF(
  AND(
    TRIM(A1850)=TRIM(Enginuity!$A$1),
    TRIM(B1850)=TRIM(Enginuity!$A$17),
    Q1850&lt;&gt;"",
    Q1850&lt;&gt;0,
    OR(
      TRIM(C1850)=TRIM(Enginuity!$A$18),
      AND(UPPER(TRIM(M1850))="STD", TRIM(B1850)=TRIM(Enginuity!$A$17))
    ),
    OR(
      AND(LEFT(P1850,5)="1-Way", Enginuity!$B$13=1),
      AND(LEFT(P1850,5)="2-Way", OR(Enginuity!$B$13=2, Enginuity!$B$13=4)),
      AND(LEFT(P1850,5)="3-Way", OR(Enginuity!$B$13=3, Enginuity!$B$13=6)),
      AND(P1850="Inner Centre Jamb", OR(Enginuity!$B$13=4, Enginuity!$B$13=6)),
      AND(
        LEFT(P1850,5)&lt;&gt;"1-Way",
        LEFT(P1850,5)&lt;&gt;"2-Way",
        LEFT(P1850,5)&lt;&gt;"3-Way",
        P1850&lt;&gt;"Inner Centre Jamb"
      )
    ),
    IF(OR(Enginuity!$A$1="Frameless Glass",Enginuity!$A$1="Metal Work"),
      AND(TRIM(B1850)=TRIM(Enginuity!$A$17),TRIM(C1850)=TRIM(Enginuity!$A$18)),
      TRIM(B1850)=TRIM(Enginuity!$A$17)
    )
  ),
  ROW(),
  ""
)</f>
        <v/>
      </c>
    </row>
    <row r="1851" spans="1:21" x14ac:dyDescent="0.25">
      <c r="A1851" s="10"/>
      <c r="B1851" s="229"/>
      <c r="C1851" s="10"/>
      <c r="D1851" s="14"/>
      <c r="E1851" s="157"/>
      <c r="F1851" s="10"/>
      <c r="G1851" s="17"/>
      <c r="H1851" s="10"/>
      <c r="I1851" s="17"/>
      <c r="J1851" s="83"/>
      <c r="K1851" s="343"/>
      <c r="L1851" s="347"/>
      <c r="M1851" s="89"/>
      <c r="N1851" s="21"/>
      <c r="O1851" s="22"/>
      <c r="P1851" s="14"/>
      <c r="Q1851" s="83"/>
      <c r="U1851" s="104" t="str">
        <f>IF(
  AND(
    TRIM(A1851)=TRIM(Enginuity!$A$1),
    TRIM(B1851)=TRIM(Enginuity!$A$17),
    Q1851&lt;&gt;"",
    Q1851&lt;&gt;0,
    OR(
      TRIM(C1851)=TRIM(Enginuity!$A$18),
      AND(UPPER(TRIM(M1851))="STD", TRIM(B1851)=TRIM(Enginuity!$A$17))
    ),
    OR(
      AND(LEFT(P1851,5)="1-Way", Enginuity!$B$13=1),
      AND(LEFT(P1851,5)="2-Way", OR(Enginuity!$B$13=2, Enginuity!$B$13=4)),
      AND(LEFT(P1851,5)="3-Way", OR(Enginuity!$B$13=3, Enginuity!$B$13=6)),
      AND(P1851="Inner Centre Jamb", OR(Enginuity!$B$13=4, Enginuity!$B$13=6)),
      AND(
        LEFT(P1851,5)&lt;&gt;"1-Way",
        LEFT(P1851,5)&lt;&gt;"2-Way",
        LEFT(P1851,5)&lt;&gt;"3-Way",
        P1851&lt;&gt;"Inner Centre Jamb"
      )
    ),
    IF(OR(Enginuity!$A$1="Frameless Glass",Enginuity!$A$1="Metal Work"),
      AND(TRIM(B1851)=TRIM(Enginuity!$A$17),TRIM(C1851)=TRIM(Enginuity!$A$18)),
      TRIM(B1851)=TRIM(Enginuity!$A$17)
    )
  ),
  ROW(),
  ""
)</f>
        <v/>
      </c>
    </row>
    <row r="1852" spans="1:21" x14ac:dyDescent="0.25">
      <c r="A1852" s="10"/>
      <c r="B1852" s="229"/>
      <c r="C1852" s="10"/>
      <c r="D1852" s="14"/>
      <c r="E1852" s="157"/>
      <c r="F1852" s="10"/>
      <c r="G1852" s="17"/>
      <c r="H1852" s="10"/>
      <c r="I1852" s="17"/>
      <c r="J1852" s="83"/>
      <c r="K1852" s="343"/>
      <c r="L1852" s="347"/>
      <c r="M1852" s="89"/>
      <c r="N1852" s="14"/>
      <c r="O1852" s="22"/>
      <c r="P1852" s="14"/>
      <c r="Q1852" s="83"/>
      <c r="U1852" s="104" t="str">
        <f>IF(
  AND(
    TRIM(A1852)=TRIM(Enginuity!$A$1),
    TRIM(B1852)=TRIM(Enginuity!$A$17),
    Q1852&lt;&gt;"",
    Q1852&lt;&gt;0,
    OR(
      TRIM(C1852)=TRIM(Enginuity!$A$18),
      AND(UPPER(TRIM(M1852))="STD", TRIM(B1852)=TRIM(Enginuity!$A$17))
    ),
    OR(
      AND(LEFT(P1852,5)="1-Way", Enginuity!$B$13=1),
      AND(LEFT(P1852,5)="2-Way", OR(Enginuity!$B$13=2, Enginuity!$B$13=4)),
      AND(LEFT(P1852,5)="3-Way", OR(Enginuity!$B$13=3, Enginuity!$B$13=6)),
      AND(P1852="Inner Centre Jamb", OR(Enginuity!$B$13=4, Enginuity!$B$13=6)),
      AND(
        LEFT(P1852,5)&lt;&gt;"1-Way",
        LEFT(P1852,5)&lt;&gt;"2-Way",
        LEFT(P1852,5)&lt;&gt;"3-Way",
        P1852&lt;&gt;"Inner Centre Jamb"
      )
    ),
    IF(OR(Enginuity!$A$1="Frameless Glass",Enginuity!$A$1="Metal Work"),
      AND(TRIM(B1852)=TRIM(Enginuity!$A$17),TRIM(C1852)=TRIM(Enginuity!$A$18)),
      TRIM(B1852)=TRIM(Enginuity!$A$17)
    )
  ),
  ROW(),
  ""
)</f>
        <v/>
      </c>
    </row>
    <row r="1853" spans="1:21" x14ac:dyDescent="0.25">
      <c r="A1853" s="10"/>
      <c r="B1853" s="229"/>
      <c r="C1853" s="10"/>
      <c r="D1853" s="14"/>
      <c r="E1853" s="157"/>
      <c r="F1853" s="10"/>
      <c r="G1853" s="17"/>
      <c r="H1853" s="10"/>
      <c r="I1853" s="17"/>
      <c r="J1853" s="83"/>
      <c r="K1853" s="343"/>
      <c r="L1853" s="347"/>
      <c r="M1853" s="89"/>
      <c r="N1853" s="14"/>
      <c r="O1853" s="22"/>
      <c r="P1853" s="14"/>
      <c r="Q1853" s="83"/>
      <c r="U1853" s="104" t="str">
        <f>IF(
  AND(
    TRIM(A1853)=TRIM(Enginuity!$A$1),
    TRIM(B1853)=TRIM(Enginuity!$A$17),
    Q1853&lt;&gt;"",
    Q1853&lt;&gt;0,
    OR(
      TRIM(C1853)=TRIM(Enginuity!$A$18),
      AND(UPPER(TRIM(M1853))="STD", TRIM(B1853)=TRIM(Enginuity!$A$17))
    ),
    OR(
      AND(LEFT(P1853,5)="1-Way", Enginuity!$B$13=1),
      AND(LEFT(P1853,5)="2-Way", OR(Enginuity!$B$13=2, Enginuity!$B$13=4)),
      AND(LEFT(P1853,5)="3-Way", OR(Enginuity!$B$13=3, Enginuity!$B$13=6)),
      AND(P1853="Inner Centre Jamb", OR(Enginuity!$B$13=4, Enginuity!$B$13=6)),
      AND(
        LEFT(P1853,5)&lt;&gt;"1-Way",
        LEFT(P1853,5)&lt;&gt;"2-Way",
        LEFT(P1853,5)&lt;&gt;"3-Way",
        P1853&lt;&gt;"Inner Centre Jamb"
      )
    ),
    IF(OR(Enginuity!$A$1="Frameless Glass",Enginuity!$A$1="Metal Work"),
      AND(TRIM(B1853)=TRIM(Enginuity!$A$17),TRIM(C1853)=TRIM(Enginuity!$A$18)),
      TRIM(B1853)=TRIM(Enginuity!$A$17)
    )
  ),
  ROW(),
  ""
)</f>
        <v/>
      </c>
    </row>
    <row r="1854" spans="1:21" x14ac:dyDescent="0.25">
      <c r="A1854" s="10"/>
      <c r="B1854" s="229"/>
      <c r="C1854" s="10"/>
      <c r="D1854" s="14"/>
      <c r="E1854" s="157"/>
      <c r="F1854" s="10"/>
      <c r="G1854" s="17"/>
      <c r="H1854" s="10"/>
      <c r="I1854" s="17"/>
      <c r="J1854" s="83"/>
      <c r="K1854" s="343"/>
      <c r="L1854" s="347"/>
      <c r="M1854" s="89"/>
      <c r="N1854" s="14"/>
      <c r="O1854" s="22"/>
      <c r="P1854" s="14"/>
      <c r="Q1854" s="83"/>
      <c r="U1854" s="104" t="str">
        <f>IF(
  AND(
    TRIM(A1854)=TRIM(Enginuity!$A$1),
    TRIM(B1854)=TRIM(Enginuity!$A$17),
    Q1854&lt;&gt;"",
    Q1854&lt;&gt;0,
    OR(
      TRIM(C1854)=TRIM(Enginuity!$A$18),
      AND(UPPER(TRIM(M1854))="STD", TRIM(B1854)=TRIM(Enginuity!$A$17))
    ),
    OR(
      AND(LEFT(P1854,5)="1-Way", Enginuity!$B$13=1),
      AND(LEFT(P1854,5)="2-Way", OR(Enginuity!$B$13=2, Enginuity!$B$13=4)),
      AND(LEFT(P1854,5)="3-Way", OR(Enginuity!$B$13=3, Enginuity!$B$13=6)),
      AND(P1854="Inner Centre Jamb", OR(Enginuity!$B$13=4, Enginuity!$B$13=6)),
      AND(
        LEFT(P1854,5)&lt;&gt;"1-Way",
        LEFT(P1854,5)&lt;&gt;"2-Way",
        LEFT(P1854,5)&lt;&gt;"3-Way",
        P1854&lt;&gt;"Inner Centre Jamb"
      )
    ),
    IF(OR(Enginuity!$A$1="Frameless Glass",Enginuity!$A$1="Metal Work"),
      AND(TRIM(B1854)=TRIM(Enginuity!$A$17),TRIM(C1854)=TRIM(Enginuity!$A$18)),
      TRIM(B1854)=TRIM(Enginuity!$A$17)
    )
  ),
  ROW(),
  ""
)</f>
        <v/>
      </c>
    </row>
    <row r="1855" spans="1:21" x14ac:dyDescent="0.25">
      <c r="A1855" s="10"/>
      <c r="B1855" s="229"/>
      <c r="C1855" s="10"/>
      <c r="D1855" s="14"/>
      <c r="E1855" s="157"/>
      <c r="F1855" s="10"/>
      <c r="G1855" s="17"/>
      <c r="H1855" s="10"/>
      <c r="I1855" s="17"/>
      <c r="J1855" s="83"/>
      <c r="K1855" s="343"/>
      <c r="L1855" s="347"/>
      <c r="M1855" s="89"/>
      <c r="N1855" s="14"/>
      <c r="O1855" s="22"/>
      <c r="P1855" s="14"/>
      <c r="Q1855" s="83"/>
      <c r="U1855" s="104" t="str">
        <f>IF(
  AND(
    TRIM(A1855)=TRIM(Enginuity!$A$1),
    TRIM(B1855)=TRIM(Enginuity!$A$17),
    Q1855&lt;&gt;"",
    Q1855&lt;&gt;0,
    OR(
      TRIM(C1855)=TRIM(Enginuity!$A$18),
      AND(UPPER(TRIM(M1855))="STD", TRIM(B1855)=TRIM(Enginuity!$A$17))
    ),
    OR(
      AND(LEFT(P1855,5)="1-Way", Enginuity!$B$13=1),
      AND(LEFT(P1855,5)="2-Way", OR(Enginuity!$B$13=2, Enginuity!$B$13=4)),
      AND(LEFT(P1855,5)="3-Way", OR(Enginuity!$B$13=3, Enginuity!$B$13=6)),
      AND(P1855="Inner Centre Jamb", OR(Enginuity!$B$13=4, Enginuity!$B$13=6)),
      AND(
        LEFT(P1855,5)&lt;&gt;"1-Way",
        LEFT(P1855,5)&lt;&gt;"2-Way",
        LEFT(P1855,5)&lt;&gt;"3-Way",
        P1855&lt;&gt;"Inner Centre Jamb"
      )
    ),
    IF(OR(Enginuity!$A$1="Frameless Glass",Enginuity!$A$1="Metal Work"),
      AND(TRIM(B1855)=TRIM(Enginuity!$A$17),TRIM(C1855)=TRIM(Enginuity!$A$18)),
      TRIM(B1855)=TRIM(Enginuity!$A$17)
    )
  ),
  ROW(),
  ""
)</f>
        <v/>
      </c>
    </row>
    <row r="1856" spans="1:21" x14ac:dyDescent="0.25">
      <c r="A1856" s="10"/>
      <c r="B1856" s="229"/>
      <c r="C1856" s="10"/>
      <c r="D1856" s="14"/>
      <c r="E1856" s="157"/>
      <c r="F1856" s="10"/>
      <c r="G1856" s="17"/>
      <c r="H1856" s="10"/>
      <c r="I1856" s="17"/>
      <c r="J1856" s="83"/>
      <c r="K1856" s="343"/>
      <c r="L1856" s="347"/>
      <c r="M1856" s="89"/>
      <c r="N1856" s="14"/>
      <c r="O1856" s="22"/>
      <c r="P1856" s="14"/>
      <c r="Q1856" s="83"/>
      <c r="U1856" s="104" t="str">
        <f>IF(
  AND(
    TRIM(A1856)=TRIM(Enginuity!$A$1),
    TRIM(B1856)=TRIM(Enginuity!$A$17),
    Q1856&lt;&gt;"",
    Q1856&lt;&gt;0,
    OR(
      TRIM(C1856)=TRIM(Enginuity!$A$18),
      AND(UPPER(TRIM(M1856))="STD", TRIM(B1856)=TRIM(Enginuity!$A$17))
    ),
    OR(
      AND(LEFT(P1856,5)="1-Way", Enginuity!$B$13=1),
      AND(LEFT(P1856,5)="2-Way", OR(Enginuity!$B$13=2, Enginuity!$B$13=4)),
      AND(LEFT(P1856,5)="3-Way", OR(Enginuity!$B$13=3, Enginuity!$B$13=6)),
      AND(P1856="Inner Centre Jamb", OR(Enginuity!$B$13=4, Enginuity!$B$13=6)),
      AND(
        LEFT(P1856,5)&lt;&gt;"1-Way",
        LEFT(P1856,5)&lt;&gt;"2-Way",
        LEFT(P1856,5)&lt;&gt;"3-Way",
        P1856&lt;&gt;"Inner Centre Jamb"
      )
    ),
    IF(OR(Enginuity!$A$1="Frameless Glass",Enginuity!$A$1="Metal Work"),
      AND(TRIM(B1856)=TRIM(Enginuity!$A$17),TRIM(C1856)=TRIM(Enginuity!$A$18)),
      TRIM(B1856)=TRIM(Enginuity!$A$17)
    )
  ),
  ROW(),
  ""
)</f>
        <v/>
      </c>
    </row>
    <row r="1857" spans="1:21" x14ac:dyDescent="0.25">
      <c r="A1857" s="10"/>
      <c r="B1857" s="229"/>
      <c r="C1857" s="10"/>
      <c r="D1857" s="14"/>
      <c r="E1857" s="157"/>
      <c r="F1857" s="10"/>
      <c r="G1857" s="17"/>
      <c r="H1857" s="10"/>
      <c r="I1857" s="17"/>
      <c r="J1857" s="83"/>
      <c r="K1857" s="343"/>
      <c r="L1857" s="347"/>
      <c r="M1857" s="89"/>
      <c r="N1857" s="10"/>
      <c r="O1857" s="22"/>
      <c r="P1857" s="14"/>
      <c r="Q1857" s="83"/>
      <c r="U1857" s="104" t="str">
        <f>IF(
  AND(
    TRIM(A1857)=TRIM(Enginuity!$A$1),
    TRIM(B1857)=TRIM(Enginuity!$A$17),
    Q1857&lt;&gt;"",
    Q1857&lt;&gt;0,
    OR(
      TRIM(C1857)=TRIM(Enginuity!$A$18),
      AND(UPPER(TRIM(M1857))="STD", TRIM(B1857)=TRIM(Enginuity!$A$17))
    ),
    OR(
      AND(LEFT(P1857,5)="1-Way", Enginuity!$B$13=1),
      AND(LEFT(P1857,5)="2-Way", OR(Enginuity!$B$13=2, Enginuity!$B$13=4)),
      AND(LEFT(P1857,5)="3-Way", OR(Enginuity!$B$13=3, Enginuity!$B$13=6)),
      AND(P1857="Inner Centre Jamb", OR(Enginuity!$B$13=4, Enginuity!$B$13=6)),
      AND(
        LEFT(P1857,5)&lt;&gt;"1-Way",
        LEFT(P1857,5)&lt;&gt;"2-Way",
        LEFT(P1857,5)&lt;&gt;"3-Way",
        P1857&lt;&gt;"Inner Centre Jamb"
      )
    ),
    IF(OR(Enginuity!$A$1="Frameless Glass",Enginuity!$A$1="Metal Work"),
      AND(TRIM(B1857)=TRIM(Enginuity!$A$17),TRIM(C1857)=TRIM(Enginuity!$A$18)),
      TRIM(B1857)=TRIM(Enginuity!$A$17)
    )
  ),
  ROW(),
  ""
)</f>
        <v/>
      </c>
    </row>
    <row r="1858" spans="1:21" x14ac:dyDescent="0.25">
      <c r="A1858" s="10"/>
      <c r="B1858" s="229"/>
      <c r="C1858" s="10"/>
      <c r="D1858" s="14"/>
      <c r="E1858" s="157"/>
      <c r="F1858" s="10"/>
      <c r="G1858" s="17"/>
      <c r="H1858" s="10"/>
      <c r="I1858" s="17"/>
      <c r="J1858" s="83"/>
      <c r="K1858" s="343"/>
      <c r="L1858" s="347"/>
      <c r="M1858" s="89"/>
      <c r="N1858" s="10"/>
      <c r="O1858" s="22"/>
      <c r="P1858" s="21"/>
      <c r="Q1858" s="83"/>
      <c r="U1858" s="104" t="str">
        <f>IF(
  AND(
    TRIM(A1858)=TRIM(Enginuity!$A$1),
    TRIM(B1858)=TRIM(Enginuity!$A$17),
    Q1858&lt;&gt;"",
    Q1858&lt;&gt;0,
    OR(
      TRIM(C1858)=TRIM(Enginuity!$A$18),
      AND(UPPER(TRIM(M1858))="STD", TRIM(B1858)=TRIM(Enginuity!$A$17))
    ),
    OR(
      AND(LEFT(P1858,5)="1-Way", Enginuity!$B$13=1),
      AND(LEFT(P1858,5)="2-Way", OR(Enginuity!$B$13=2, Enginuity!$B$13=4)),
      AND(LEFT(P1858,5)="3-Way", OR(Enginuity!$B$13=3, Enginuity!$B$13=6)),
      AND(P1858="Inner Centre Jamb", OR(Enginuity!$B$13=4, Enginuity!$B$13=6)),
      AND(
        LEFT(P1858,5)&lt;&gt;"1-Way",
        LEFT(P1858,5)&lt;&gt;"2-Way",
        LEFT(P1858,5)&lt;&gt;"3-Way",
        P1858&lt;&gt;"Inner Centre Jamb"
      )
    ),
    IF(OR(Enginuity!$A$1="Frameless Glass",Enginuity!$A$1="Metal Work"),
      AND(TRIM(B1858)=TRIM(Enginuity!$A$17),TRIM(C1858)=TRIM(Enginuity!$A$18)),
      TRIM(B1858)=TRIM(Enginuity!$A$17)
    )
  ),
  ROW(),
  ""
)</f>
        <v/>
      </c>
    </row>
    <row r="1859" spans="1:21" x14ac:dyDescent="0.25">
      <c r="A1859" s="10"/>
      <c r="B1859" s="229"/>
      <c r="C1859" s="10"/>
      <c r="D1859" s="14"/>
      <c r="E1859" s="157"/>
      <c r="F1859" s="10"/>
      <c r="G1859" s="17"/>
      <c r="H1859" s="10"/>
      <c r="I1859" s="17"/>
      <c r="J1859" s="83"/>
      <c r="K1859" s="343"/>
      <c r="L1859" s="347"/>
      <c r="M1859" s="89"/>
      <c r="N1859" s="88"/>
      <c r="O1859" s="22"/>
      <c r="P1859" s="36"/>
      <c r="Q1859" s="83"/>
      <c r="U1859" s="104" t="str">
        <f>IF(
  AND(
    TRIM(A1859)=TRIM(Enginuity!$A$1),
    TRIM(B1859)=TRIM(Enginuity!$A$17),
    Q1859&lt;&gt;"",
    Q1859&lt;&gt;0,
    OR(
      TRIM(C1859)=TRIM(Enginuity!$A$18),
      AND(UPPER(TRIM(M1859))="STD", TRIM(B1859)=TRIM(Enginuity!$A$17))
    ),
    OR(
      AND(LEFT(P1859,5)="1-Way", Enginuity!$B$13=1),
      AND(LEFT(P1859,5)="2-Way", OR(Enginuity!$B$13=2, Enginuity!$B$13=4)),
      AND(LEFT(P1859,5)="3-Way", OR(Enginuity!$B$13=3, Enginuity!$B$13=6)),
      AND(P1859="Inner Centre Jamb", OR(Enginuity!$B$13=4, Enginuity!$B$13=6)),
      AND(
        LEFT(P1859,5)&lt;&gt;"1-Way",
        LEFT(P1859,5)&lt;&gt;"2-Way",
        LEFT(P1859,5)&lt;&gt;"3-Way",
        P1859&lt;&gt;"Inner Centre Jamb"
      )
    ),
    IF(OR(Enginuity!$A$1="Frameless Glass",Enginuity!$A$1="Metal Work"),
      AND(TRIM(B1859)=TRIM(Enginuity!$A$17),TRIM(C1859)=TRIM(Enginuity!$A$18)),
      TRIM(B1859)=TRIM(Enginuity!$A$17)
    )
  ),
  ROW(),
  ""
)</f>
        <v/>
      </c>
    </row>
    <row r="1860" spans="1:21" x14ac:dyDescent="0.25">
      <c r="A1860" s="10"/>
      <c r="B1860" s="229"/>
      <c r="C1860" s="10"/>
      <c r="D1860" s="14"/>
      <c r="E1860" s="157"/>
      <c r="F1860" s="10"/>
      <c r="G1860" s="17"/>
      <c r="H1860" s="10"/>
      <c r="I1860" s="17"/>
      <c r="J1860" s="83"/>
      <c r="K1860" s="343"/>
      <c r="L1860" s="347"/>
      <c r="M1860" s="10"/>
      <c r="N1860" s="10"/>
      <c r="O1860" s="22"/>
      <c r="P1860" s="21"/>
      <c r="Q1860" s="83"/>
      <c r="U1860" s="104" t="str">
        <f>IF(
  AND(
    TRIM(A1860)=TRIM(Enginuity!$A$1),
    TRIM(B1860)=TRIM(Enginuity!$A$17),
    Q1860&lt;&gt;"",
    Q1860&lt;&gt;0,
    OR(
      TRIM(C1860)=TRIM(Enginuity!$A$18),
      AND(UPPER(TRIM(M1860))="STD", TRIM(B1860)=TRIM(Enginuity!$A$17))
    ),
    OR(
      AND(LEFT(P1860,5)="1-Way", Enginuity!$B$13=1),
      AND(LEFT(P1860,5)="2-Way", OR(Enginuity!$B$13=2, Enginuity!$B$13=4)),
      AND(LEFT(P1860,5)="3-Way", OR(Enginuity!$B$13=3, Enginuity!$B$13=6)),
      AND(P1860="Inner Centre Jamb", OR(Enginuity!$B$13=4, Enginuity!$B$13=6)),
      AND(
        LEFT(P1860,5)&lt;&gt;"1-Way",
        LEFT(P1860,5)&lt;&gt;"2-Way",
        LEFT(P1860,5)&lt;&gt;"3-Way",
        P1860&lt;&gt;"Inner Centre Jamb"
      )
    ),
    IF(OR(Enginuity!$A$1="Frameless Glass",Enginuity!$A$1="Metal Work"),
      AND(TRIM(B1860)=TRIM(Enginuity!$A$17),TRIM(C1860)=TRIM(Enginuity!$A$18)),
      TRIM(B1860)=TRIM(Enginuity!$A$17)
    )
  ),
  ROW(),
  ""
)</f>
        <v/>
      </c>
    </row>
    <row r="1861" spans="1:21" x14ac:dyDescent="0.25">
      <c r="A1861" s="10"/>
      <c r="B1861" s="229"/>
      <c r="C1861" s="10"/>
      <c r="D1861" s="14"/>
      <c r="E1861" s="157"/>
      <c r="F1861" s="10"/>
      <c r="G1861" s="17"/>
      <c r="H1861" s="10"/>
      <c r="I1861" s="17"/>
      <c r="J1861" s="83"/>
      <c r="K1861" s="343"/>
      <c r="L1861" s="347"/>
      <c r="M1861" s="10"/>
      <c r="N1861" s="10"/>
      <c r="O1861" s="22"/>
      <c r="P1861" s="14"/>
      <c r="Q1861" s="83"/>
      <c r="U1861" s="104" t="str">
        <f>IF(
  AND(
    TRIM(A1861)=TRIM(Enginuity!$A$1),
    TRIM(B1861)=TRIM(Enginuity!$A$17),
    Q1861&lt;&gt;"",
    Q1861&lt;&gt;0,
    OR(
      TRIM(C1861)=TRIM(Enginuity!$A$18),
      AND(UPPER(TRIM(M1861))="STD", TRIM(B1861)=TRIM(Enginuity!$A$17))
    ),
    OR(
      AND(LEFT(P1861,5)="1-Way", Enginuity!$B$13=1),
      AND(LEFT(P1861,5)="2-Way", OR(Enginuity!$B$13=2, Enginuity!$B$13=4)),
      AND(LEFT(P1861,5)="3-Way", OR(Enginuity!$B$13=3, Enginuity!$B$13=6)),
      AND(P1861="Inner Centre Jamb", OR(Enginuity!$B$13=4, Enginuity!$B$13=6)),
      AND(
        LEFT(P1861,5)&lt;&gt;"1-Way",
        LEFT(P1861,5)&lt;&gt;"2-Way",
        LEFT(P1861,5)&lt;&gt;"3-Way",
        P1861&lt;&gt;"Inner Centre Jamb"
      )
    ),
    IF(OR(Enginuity!$A$1="Frameless Glass",Enginuity!$A$1="Metal Work"),
      AND(TRIM(B1861)=TRIM(Enginuity!$A$17),TRIM(C1861)=TRIM(Enginuity!$A$18)),
      TRIM(B1861)=TRIM(Enginuity!$A$17)
    )
  ),
  ROW(),
  ""
)</f>
        <v/>
      </c>
    </row>
    <row r="1862" spans="1:21" x14ac:dyDescent="0.25">
      <c r="A1862" s="10"/>
      <c r="B1862" s="229"/>
      <c r="C1862" s="10"/>
      <c r="D1862" s="14"/>
      <c r="E1862" s="157"/>
      <c r="F1862" s="10"/>
      <c r="G1862" s="17"/>
      <c r="H1862" s="10"/>
      <c r="I1862" s="17"/>
      <c r="J1862" s="83"/>
      <c r="K1862" s="343"/>
      <c r="L1862" s="347"/>
      <c r="M1862" s="10"/>
      <c r="N1862" s="10"/>
      <c r="O1862" s="22"/>
      <c r="P1862" s="14"/>
      <c r="Q1862" s="83"/>
      <c r="U1862" s="104" t="str">
        <f>IF(
  AND(
    TRIM(A1862)=TRIM(Enginuity!$A$1),
    TRIM(B1862)=TRIM(Enginuity!$A$17),
    Q1862&lt;&gt;"",
    Q1862&lt;&gt;0,
    OR(
      TRIM(C1862)=TRIM(Enginuity!$A$18),
      AND(UPPER(TRIM(M1862))="STD", TRIM(B1862)=TRIM(Enginuity!$A$17))
    ),
    OR(
      AND(LEFT(P1862,5)="1-Way", Enginuity!$B$13=1),
      AND(LEFT(P1862,5)="2-Way", OR(Enginuity!$B$13=2, Enginuity!$B$13=4)),
      AND(LEFT(P1862,5)="3-Way", OR(Enginuity!$B$13=3, Enginuity!$B$13=6)),
      AND(P1862="Inner Centre Jamb", OR(Enginuity!$B$13=4, Enginuity!$B$13=6)),
      AND(
        LEFT(P1862,5)&lt;&gt;"1-Way",
        LEFT(P1862,5)&lt;&gt;"2-Way",
        LEFT(P1862,5)&lt;&gt;"3-Way",
        P1862&lt;&gt;"Inner Centre Jamb"
      )
    ),
    IF(OR(Enginuity!$A$1="Frameless Glass",Enginuity!$A$1="Metal Work"),
      AND(TRIM(B1862)=TRIM(Enginuity!$A$17),TRIM(C1862)=TRIM(Enginuity!$A$18)),
      TRIM(B1862)=TRIM(Enginuity!$A$17)
    )
  ),
  ROW(),
  ""
)</f>
        <v/>
      </c>
    </row>
    <row r="1863" spans="1:21" x14ac:dyDescent="0.25">
      <c r="A1863" s="10"/>
      <c r="B1863" s="229"/>
      <c r="C1863" s="10"/>
      <c r="D1863" s="14"/>
      <c r="E1863" s="157"/>
      <c r="F1863" s="10"/>
      <c r="G1863" s="17"/>
      <c r="H1863" s="10"/>
      <c r="I1863" s="17"/>
      <c r="J1863" s="83"/>
      <c r="K1863" s="343"/>
      <c r="L1863" s="347"/>
      <c r="M1863" s="10"/>
      <c r="N1863" s="10"/>
      <c r="O1863" s="22"/>
      <c r="P1863" s="14"/>
      <c r="Q1863" s="83"/>
      <c r="U1863" s="104" t="str">
        <f>IF(
  AND(
    TRIM(A1863)=TRIM(Enginuity!$A$1),
    TRIM(B1863)=TRIM(Enginuity!$A$17),
    Q1863&lt;&gt;"",
    Q1863&lt;&gt;0,
    OR(
      TRIM(C1863)=TRIM(Enginuity!$A$18),
      AND(UPPER(TRIM(M1863))="STD", TRIM(B1863)=TRIM(Enginuity!$A$17))
    ),
    OR(
      AND(LEFT(P1863,5)="1-Way", Enginuity!$B$13=1),
      AND(LEFT(P1863,5)="2-Way", OR(Enginuity!$B$13=2, Enginuity!$B$13=4)),
      AND(LEFT(P1863,5)="3-Way", OR(Enginuity!$B$13=3, Enginuity!$B$13=6)),
      AND(P1863="Inner Centre Jamb", OR(Enginuity!$B$13=4, Enginuity!$B$13=6)),
      AND(
        LEFT(P1863,5)&lt;&gt;"1-Way",
        LEFT(P1863,5)&lt;&gt;"2-Way",
        LEFT(P1863,5)&lt;&gt;"3-Way",
        P1863&lt;&gt;"Inner Centre Jamb"
      )
    ),
    IF(OR(Enginuity!$A$1="Frameless Glass",Enginuity!$A$1="Metal Work"),
      AND(TRIM(B1863)=TRIM(Enginuity!$A$17),TRIM(C1863)=TRIM(Enginuity!$A$18)),
      TRIM(B1863)=TRIM(Enginuity!$A$17)
    )
  ),
  ROW(),
  ""
)</f>
        <v/>
      </c>
    </row>
    <row r="1864" spans="1:21" x14ac:dyDescent="0.25">
      <c r="A1864" s="10"/>
      <c r="B1864" s="229"/>
      <c r="C1864" s="10"/>
      <c r="D1864" s="14"/>
      <c r="E1864" s="157"/>
      <c r="F1864" s="10"/>
      <c r="G1864" s="17"/>
      <c r="H1864" s="10"/>
      <c r="I1864" s="17"/>
      <c r="J1864" s="83"/>
      <c r="K1864" s="343"/>
      <c r="L1864" s="347"/>
      <c r="M1864" s="10"/>
      <c r="N1864" s="10"/>
      <c r="O1864" s="22"/>
      <c r="P1864" s="14"/>
      <c r="Q1864" s="83"/>
      <c r="U1864" s="104" t="str">
        <f>IF(
  AND(
    TRIM(A1864)=TRIM(Enginuity!$A$1),
    TRIM(B1864)=TRIM(Enginuity!$A$17),
    Q1864&lt;&gt;"",
    Q1864&lt;&gt;0,
    OR(
      TRIM(C1864)=TRIM(Enginuity!$A$18),
      AND(UPPER(TRIM(M1864))="STD", TRIM(B1864)=TRIM(Enginuity!$A$17))
    ),
    OR(
      AND(LEFT(P1864,5)="1-Way", Enginuity!$B$13=1),
      AND(LEFT(P1864,5)="2-Way", OR(Enginuity!$B$13=2, Enginuity!$B$13=4)),
      AND(LEFT(P1864,5)="3-Way", OR(Enginuity!$B$13=3, Enginuity!$B$13=6)),
      AND(P1864="Inner Centre Jamb", OR(Enginuity!$B$13=4, Enginuity!$B$13=6)),
      AND(
        LEFT(P1864,5)&lt;&gt;"1-Way",
        LEFT(P1864,5)&lt;&gt;"2-Way",
        LEFT(P1864,5)&lt;&gt;"3-Way",
        P1864&lt;&gt;"Inner Centre Jamb"
      )
    ),
    IF(OR(Enginuity!$A$1="Frameless Glass",Enginuity!$A$1="Metal Work"),
      AND(TRIM(B1864)=TRIM(Enginuity!$A$17),TRIM(C1864)=TRIM(Enginuity!$A$18)),
      TRIM(B1864)=TRIM(Enginuity!$A$17)
    )
  ),
  ROW(),
  ""
)</f>
        <v/>
      </c>
    </row>
    <row r="1865" spans="1:21" x14ac:dyDescent="0.25">
      <c r="A1865" s="10"/>
      <c r="B1865" s="229"/>
      <c r="C1865" s="10"/>
      <c r="D1865" s="14"/>
      <c r="E1865" s="157"/>
      <c r="F1865" s="10"/>
      <c r="G1865" s="17"/>
      <c r="H1865" s="10"/>
      <c r="I1865" s="17"/>
      <c r="J1865" s="83"/>
      <c r="K1865" s="343"/>
      <c r="L1865" s="347"/>
      <c r="M1865" s="10"/>
      <c r="N1865" s="10"/>
      <c r="O1865" s="22"/>
      <c r="P1865" s="14"/>
      <c r="Q1865" s="83"/>
      <c r="U1865" s="104" t="str">
        <f>IF(
  AND(
    TRIM(A1865)=TRIM(Enginuity!$A$1),
    TRIM(B1865)=TRIM(Enginuity!$A$17),
    Q1865&lt;&gt;"",
    Q1865&lt;&gt;0,
    OR(
      TRIM(C1865)=TRIM(Enginuity!$A$18),
      AND(UPPER(TRIM(M1865))="STD", TRIM(B1865)=TRIM(Enginuity!$A$17))
    ),
    OR(
      AND(LEFT(P1865,5)="1-Way", Enginuity!$B$13=1),
      AND(LEFT(P1865,5)="2-Way", OR(Enginuity!$B$13=2, Enginuity!$B$13=4)),
      AND(LEFT(P1865,5)="3-Way", OR(Enginuity!$B$13=3, Enginuity!$B$13=6)),
      AND(P1865="Inner Centre Jamb", OR(Enginuity!$B$13=4, Enginuity!$B$13=6)),
      AND(
        LEFT(P1865,5)&lt;&gt;"1-Way",
        LEFT(P1865,5)&lt;&gt;"2-Way",
        LEFT(P1865,5)&lt;&gt;"3-Way",
        P1865&lt;&gt;"Inner Centre Jamb"
      )
    ),
    IF(OR(Enginuity!$A$1="Frameless Glass",Enginuity!$A$1="Metal Work"),
      AND(TRIM(B1865)=TRIM(Enginuity!$A$17),TRIM(C1865)=TRIM(Enginuity!$A$18)),
      TRIM(B1865)=TRIM(Enginuity!$A$17)
    )
  ),
  ROW(),
  ""
)</f>
        <v/>
      </c>
    </row>
    <row r="1866" spans="1:21" x14ac:dyDescent="0.25">
      <c r="A1866" s="10"/>
      <c r="B1866" s="229"/>
      <c r="C1866" s="10"/>
      <c r="D1866" s="14"/>
      <c r="E1866" s="157"/>
      <c r="F1866" s="10"/>
      <c r="G1866" s="17"/>
      <c r="H1866" s="10"/>
      <c r="I1866" s="17"/>
      <c r="J1866" s="83"/>
      <c r="K1866" s="343"/>
      <c r="L1866" s="347"/>
      <c r="M1866" s="10"/>
      <c r="N1866" s="88"/>
      <c r="O1866" s="22"/>
      <c r="P1866" s="14"/>
      <c r="Q1866" s="83"/>
      <c r="U1866" s="104" t="str">
        <f>IF(
  AND(
    TRIM(A1866)=TRIM(Enginuity!$A$1),
    TRIM(B1866)=TRIM(Enginuity!$A$17),
    Q1866&lt;&gt;"",
    Q1866&lt;&gt;0,
    OR(
      TRIM(C1866)=TRIM(Enginuity!$A$18),
      AND(UPPER(TRIM(M1866))="STD", TRIM(B1866)=TRIM(Enginuity!$A$17))
    ),
    OR(
      AND(LEFT(P1866,5)="1-Way", Enginuity!$B$13=1),
      AND(LEFT(P1866,5)="2-Way", OR(Enginuity!$B$13=2, Enginuity!$B$13=4)),
      AND(LEFT(P1866,5)="3-Way", OR(Enginuity!$B$13=3, Enginuity!$B$13=6)),
      AND(P1866="Inner Centre Jamb", OR(Enginuity!$B$13=4, Enginuity!$B$13=6)),
      AND(
        LEFT(P1866,5)&lt;&gt;"1-Way",
        LEFT(P1866,5)&lt;&gt;"2-Way",
        LEFT(P1866,5)&lt;&gt;"3-Way",
        P1866&lt;&gt;"Inner Centre Jamb"
      )
    ),
    IF(OR(Enginuity!$A$1="Frameless Glass",Enginuity!$A$1="Metal Work"),
      AND(TRIM(B1866)=TRIM(Enginuity!$A$17),TRIM(C1866)=TRIM(Enginuity!$A$18)),
      TRIM(B1866)=TRIM(Enginuity!$A$17)
    )
  ),
  ROW(),
  ""
)</f>
        <v/>
      </c>
    </row>
    <row r="1867" spans="1:21" x14ac:dyDescent="0.25">
      <c r="A1867" s="10"/>
      <c r="B1867" s="229"/>
      <c r="C1867" s="10"/>
      <c r="D1867" s="14"/>
      <c r="E1867" s="157"/>
      <c r="F1867" s="10"/>
      <c r="G1867" s="17"/>
      <c r="H1867" s="10"/>
      <c r="I1867" s="17"/>
      <c r="J1867" s="83"/>
      <c r="K1867" s="343"/>
      <c r="L1867" s="347"/>
      <c r="M1867" s="10"/>
      <c r="N1867" s="10"/>
      <c r="O1867" s="22"/>
      <c r="P1867" s="14"/>
      <c r="Q1867" s="83"/>
      <c r="U1867" s="104" t="str">
        <f>IF(
  AND(
    TRIM(A1867)=TRIM(Enginuity!$A$1),
    TRIM(B1867)=TRIM(Enginuity!$A$17),
    Q1867&lt;&gt;"",
    Q1867&lt;&gt;0,
    OR(
      TRIM(C1867)=TRIM(Enginuity!$A$18),
      AND(UPPER(TRIM(M1867))="STD", TRIM(B1867)=TRIM(Enginuity!$A$17))
    ),
    OR(
      AND(LEFT(P1867,5)="1-Way", Enginuity!$B$13=1),
      AND(LEFT(P1867,5)="2-Way", OR(Enginuity!$B$13=2, Enginuity!$B$13=4)),
      AND(LEFT(P1867,5)="3-Way", OR(Enginuity!$B$13=3, Enginuity!$B$13=6)),
      AND(P1867="Inner Centre Jamb", OR(Enginuity!$B$13=4, Enginuity!$B$13=6)),
      AND(
        LEFT(P1867,5)&lt;&gt;"1-Way",
        LEFT(P1867,5)&lt;&gt;"2-Way",
        LEFT(P1867,5)&lt;&gt;"3-Way",
        P1867&lt;&gt;"Inner Centre Jamb"
      )
    ),
    IF(OR(Enginuity!$A$1="Frameless Glass",Enginuity!$A$1="Metal Work"),
      AND(TRIM(B1867)=TRIM(Enginuity!$A$17),TRIM(C1867)=TRIM(Enginuity!$A$18)),
      TRIM(B1867)=TRIM(Enginuity!$A$17)
    )
  ),
  ROW(),
  ""
)</f>
        <v/>
      </c>
    </row>
    <row r="1868" spans="1:21" x14ac:dyDescent="0.25">
      <c r="A1868" s="10"/>
      <c r="B1868" s="229"/>
      <c r="C1868" s="10"/>
      <c r="D1868" s="14"/>
      <c r="E1868" s="157"/>
      <c r="F1868" s="10"/>
      <c r="G1868" s="17"/>
      <c r="H1868" s="10"/>
      <c r="I1868" s="17"/>
      <c r="J1868" s="83"/>
      <c r="K1868" s="343"/>
      <c r="L1868" s="347"/>
      <c r="M1868" s="10"/>
      <c r="N1868" s="10"/>
      <c r="O1868" s="22"/>
      <c r="P1868" s="14"/>
      <c r="Q1868" s="83"/>
      <c r="U1868" s="104" t="str">
        <f>IF(
  AND(
    TRIM(A1868)=TRIM(Enginuity!$A$1),
    TRIM(B1868)=TRIM(Enginuity!$A$17),
    Q1868&lt;&gt;"",
    Q1868&lt;&gt;0,
    OR(
      TRIM(C1868)=TRIM(Enginuity!$A$18),
      AND(UPPER(TRIM(M1868))="STD", TRIM(B1868)=TRIM(Enginuity!$A$17))
    ),
    OR(
      AND(LEFT(P1868,5)="1-Way", Enginuity!$B$13=1),
      AND(LEFT(P1868,5)="2-Way", OR(Enginuity!$B$13=2, Enginuity!$B$13=4)),
      AND(LEFT(P1868,5)="3-Way", OR(Enginuity!$B$13=3, Enginuity!$B$13=6)),
      AND(P1868="Inner Centre Jamb", OR(Enginuity!$B$13=4, Enginuity!$B$13=6)),
      AND(
        LEFT(P1868,5)&lt;&gt;"1-Way",
        LEFT(P1868,5)&lt;&gt;"2-Way",
        LEFT(P1868,5)&lt;&gt;"3-Way",
        P1868&lt;&gt;"Inner Centre Jamb"
      )
    ),
    IF(OR(Enginuity!$A$1="Frameless Glass",Enginuity!$A$1="Metal Work"),
      AND(TRIM(B1868)=TRIM(Enginuity!$A$17),TRIM(C1868)=TRIM(Enginuity!$A$18)),
      TRIM(B1868)=TRIM(Enginuity!$A$17)
    )
  ),
  ROW(),
  ""
)</f>
        <v/>
      </c>
    </row>
    <row r="1869" spans="1:21" x14ac:dyDescent="0.25">
      <c r="A1869" s="10"/>
      <c r="B1869" s="229"/>
      <c r="C1869" s="10"/>
      <c r="D1869" s="14"/>
      <c r="E1869" s="157"/>
      <c r="F1869" s="10"/>
      <c r="G1869" s="17"/>
      <c r="H1869" s="10"/>
      <c r="I1869" s="17"/>
      <c r="J1869" s="83"/>
      <c r="K1869" s="343"/>
      <c r="L1869" s="347"/>
      <c r="M1869" s="10"/>
      <c r="N1869" s="10"/>
      <c r="O1869" s="22"/>
      <c r="P1869" s="14"/>
      <c r="Q1869" s="83"/>
      <c r="U1869" s="104" t="str">
        <f>IF(
  AND(
    TRIM(A1869)=TRIM(Enginuity!$A$1),
    TRIM(B1869)=TRIM(Enginuity!$A$17),
    Q1869&lt;&gt;"",
    Q1869&lt;&gt;0,
    OR(
      TRIM(C1869)=TRIM(Enginuity!$A$18),
      AND(UPPER(TRIM(M1869))="STD", TRIM(B1869)=TRIM(Enginuity!$A$17))
    ),
    OR(
      AND(LEFT(P1869,5)="1-Way", Enginuity!$B$13=1),
      AND(LEFT(P1869,5)="2-Way", OR(Enginuity!$B$13=2, Enginuity!$B$13=4)),
      AND(LEFT(P1869,5)="3-Way", OR(Enginuity!$B$13=3, Enginuity!$B$13=6)),
      AND(P1869="Inner Centre Jamb", OR(Enginuity!$B$13=4, Enginuity!$B$13=6)),
      AND(
        LEFT(P1869,5)&lt;&gt;"1-Way",
        LEFT(P1869,5)&lt;&gt;"2-Way",
        LEFT(P1869,5)&lt;&gt;"3-Way",
        P1869&lt;&gt;"Inner Centre Jamb"
      )
    ),
    IF(OR(Enginuity!$A$1="Frameless Glass",Enginuity!$A$1="Metal Work"),
      AND(TRIM(B1869)=TRIM(Enginuity!$A$17),TRIM(C1869)=TRIM(Enginuity!$A$18)),
      TRIM(B1869)=TRIM(Enginuity!$A$17)
    )
  ),
  ROW(),
  ""
)</f>
        <v/>
      </c>
    </row>
    <row r="1870" spans="1:21" x14ac:dyDescent="0.25">
      <c r="A1870" s="10"/>
      <c r="B1870" s="229"/>
      <c r="C1870" s="10"/>
      <c r="D1870" s="14"/>
      <c r="E1870" s="157"/>
      <c r="F1870" s="10"/>
      <c r="G1870" s="17"/>
      <c r="H1870" s="10"/>
      <c r="I1870" s="17"/>
      <c r="J1870" s="83"/>
      <c r="K1870" s="343"/>
      <c r="L1870" s="347"/>
      <c r="M1870" s="10"/>
      <c r="N1870" s="10"/>
      <c r="O1870" s="22"/>
      <c r="P1870" s="14"/>
      <c r="Q1870" s="83"/>
      <c r="U1870" s="104" t="str">
        <f>IF(
  AND(
    TRIM(A1870)=TRIM(Enginuity!$A$1),
    TRIM(B1870)=TRIM(Enginuity!$A$17),
    Q1870&lt;&gt;"",
    Q1870&lt;&gt;0,
    OR(
      TRIM(C1870)=TRIM(Enginuity!$A$18),
      AND(UPPER(TRIM(M1870))="STD", TRIM(B1870)=TRIM(Enginuity!$A$17))
    ),
    OR(
      AND(LEFT(P1870,5)="1-Way", Enginuity!$B$13=1),
      AND(LEFT(P1870,5)="2-Way", OR(Enginuity!$B$13=2, Enginuity!$B$13=4)),
      AND(LEFT(P1870,5)="3-Way", OR(Enginuity!$B$13=3, Enginuity!$B$13=6)),
      AND(P1870="Inner Centre Jamb", OR(Enginuity!$B$13=4, Enginuity!$B$13=6)),
      AND(
        LEFT(P1870,5)&lt;&gt;"1-Way",
        LEFT(P1870,5)&lt;&gt;"2-Way",
        LEFT(P1870,5)&lt;&gt;"3-Way",
        P1870&lt;&gt;"Inner Centre Jamb"
      )
    ),
    IF(OR(Enginuity!$A$1="Frameless Glass",Enginuity!$A$1="Metal Work"),
      AND(TRIM(B1870)=TRIM(Enginuity!$A$17),TRIM(C1870)=TRIM(Enginuity!$A$18)),
      TRIM(B1870)=TRIM(Enginuity!$A$17)
    )
  ),
  ROW(),
  ""
)</f>
        <v/>
      </c>
    </row>
    <row r="1871" spans="1:21" x14ac:dyDescent="0.25">
      <c r="A1871" s="10"/>
      <c r="B1871" s="229"/>
      <c r="C1871" s="10"/>
      <c r="D1871" s="14"/>
      <c r="E1871" s="157"/>
      <c r="F1871" s="10"/>
      <c r="G1871" s="17"/>
      <c r="H1871" s="10"/>
      <c r="I1871" s="17"/>
      <c r="J1871" s="83"/>
      <c r="K1871" s="343"/>
      <c r="L1871" s="347"/>
      <c r="M1871" s="10"/>
      <c r="N1871" s="10"/>
      <c r="O1871" s="22"/>
      <c r="P1871" s="14"/>
      <c r="Q1871" s="83"/>
      <c r="U1871" s="104" t="str">
        <f>IF(
  AND(
    TRIM(A1871)=TRIM(Enginuity!$A$1),
    TRIM(B1871)=TRIM(Enginuity!$A$17),
    Q1871&lt;&gt;"",
    Q1871&lt;&gt;0,
    OR(
      TRIM(C1871)=TRIM(Enginuity!$A$18),
      AND(UPPER(TRIM(M1871))="STD", TRIM(B1871)=TRIM(Enginuity!$A$17))
    ),
    OR(
      AND(LEFT(P1871,5)="1-Way", Enginuity!$B$13=1),
      AND(LEFT(P1871,5)="2-Way", OR(Enginuity!$B$13=2, Enginuity!$B$13=4)),
      AND(LEFT(P1871,5)="3-Way", OR(Enginuity!$B$13=3, Enginuity!$B$13=6)),
      AND(P1871="Inner Centre Jamb", OR(Enginuity!$B$13=4, Enginuity!$B$13=6)),
      AND(
        LEFT(P1871,5)&lt;&gt;"1-Way",
        LEFT(P1871,5)&lt;&gt;"2-Way",
        LEFT(P1871,5)&lt;&gt;"3-Way",
        P1871&lt;&gt;"Inner Centre Jamb"
      )
    ),
    IF(OR(Enginuity!$A$1="Frameless Glass",Enginuity!$A$1="Metal Work"),
      AND(TRIM(B1871)=TRIM(Enginuity!$A$17),TRIM(C1871)=TRIM(Enginuity!$A$18)),
      TRIM(B1871)=TRIM(Enginuity!$A$17)
    )
  ),
  ROW(),
  ""
)</f>
        <v/>
      </c>
    </row>
    <row r="1872" spans="1:21" x14ac:dyDescent="0.25">
      <c r="A1872" s="10"/>
      <c r="B1872" s="229"/>
      <c r="C1872" s="10"/>
      <c r="D1872" s="14"/>
      <c r="E1872" s="157"/>
      <c r="F1872" s="10"/>
      <c r="G1872" s="17"/>
      <c r="H1872" s="10"/>
      <c r="I1872" s="17"/>
      <c r="J1872" s="83"/>
      <c r="K1872" s="343"/>
      <c r="L1872" s="347"/>
      <c r="M1872" s="10"/>
      <c r="N1872" s="10"/>
      <c r="O1872" s="22"/>
      <c r="P1872" s="21"/>
      <c r="Q1872" s="83"/>
      <c r="U1872" s="104" t="str">
        <f>IF(
  AND(
    TRIM(A1872)=TRIM(Enginuity!$A$1),
    TRIM(B1872)=TRIM(Enginuity!$A$17),
    Q1872&lt;&gt;"",
    Q1872&lt;&gt;0,
    OR(
      TRIM(C1872)=TRIM(Enginuity!$A$18),
      AND(UPPER(TRIM(M1872))="STD", TRIM(B1872)=TRIM(Enginuity!$A$17))
    ),
    OR(
      AND(LEFT(P1872,5)="1-Way", Enginuity!$B$13=1),
      AND(LEFT(P1872,5)="2-Way", OR(Enginuity!$B$13=2, Enginuity!$B$13=4)),
      AND(LEFT(P1872,5)="3-Way", OR(Enginuity!$B$13=3, Enginuity!$B$13=6)),
      AND(P1872="Inner Centre Jamb", OR(Enginuity!$B$13=4, Enginuity!$B$13=6)),
      AND(
        LEFT(P1872,5)&lt;&gt;"1-Way",
        LEFT(P1872,5)&lt;&gt;"2-Way",
        LEFT(P1872,5)&lt;&gt;"3-Way",
        P1872&lt;&gt;"Inner Centre Jamb"
      )
    ),
    IF(OR(Enginuity!$A$1="Frameless Glass",Enginuity!$A$1="Metal Work"),
      AND(TRIM(B1872)=TRIM(Enginuity!$A$17),TRIM(C1872)=TRIM(Enginuity!$A$18)),
      TRIM(B1872)=TRIM(Enginuity!$A$17)
    )
  ),
  ROW(),
  ""
)</f>
        <v/>
      </c>
    </row>
    <row r="1873" spans="1:21" x14ac:dyDescent="0.25">
      <c r="A1873" s="10"/>
      <c r="B1873" s="229"/>
      <c r="C1873" s="10"/>
      <c r="D1873" s="14"/>
      <c r="E1873" s="157"/>
      <c r="F1873" s="10"/>
      <c r="G1873" s="17"/>
      <c r="H1873" s="10"/>
      <c r="I1873" s="17"/>
      <c r="J1873" s="83"/>
      <c r="K1873" s="343"/>
      <c r="L1873" s="347"/>
      <c r="M1873" s="10"/>
      <c r="N1873" s="10"/>
      <c r="O1873" s="22"/>
      <c r="P1873" s="21"/>
      <c r="Q1873" s="83"/>
      <c r="U1873" s="104" t="str">
        <f>IF(
  AND(
    TRIM(A1873)=TRIM(Enginuity!$A$1),
    TRIM(B1873)=TRIM(Enginuity!$A$17),
    Q1873&lt;&gt;"",
    Q1873&lt;&gt;0,
    OR(
      TRIM(C1873)=TRIM(Enginuity!$A$18),
      AND(UPPER(TRIM(M1873))="STD", TRIM(B1873)=TRIM(Enginuity!$A$17))
    ),
    OR(
      AND(LEFT(P1873,5)="1-Way", Enginuity!$B$13=1),
      AND(LEFT(P1873,5)="2-Way", OR(Enginuity!$B$13=2, Enginuity!$B$13=4)),
      AND(LEFT(P1873,5)="3-Way", OR(Enginuity!$B$13=3, Enginuity!$B$13=6)),
      AND(P1873="Inner Centre Jamb", OR(Enginuity!$B$13=4, Enginuity!$B$13=6)),
      AND(
        LEFT(P1873,5)&lt;&gt;"1-Way",
        LEFT(P1873,5)&lt;&gt;"2-Way",
        LEFT(P1873,5)&lt;&gt;"3-Way",
        P1873&lt;&gt;"Inner Centre Jamb"
      )
    ),
    IF(OR(Enginuity!$A$1="Frameless Glass",Enginuity!$A$1="Metal Work"),
      AND(TRIM(B1873)=TRIM(Enginuity!$A$17),TRIM(C1873)=TRIM(Enginuity!$A$18)),
      TRIM(B1873)=TRIM(Enginuity!$A$17)
    )
  ),
  ROW(),
  ""
)</f>
        <v/>
      </c>
    </row>
    <row r="1874" spans="1:21" x14ac:dyDescent="0.25">
      <c r="A1874" s="10"/>
      <c r="B1874" s="229"/>
      <c r="C1874" s="10"/>
      <c r="D1874" s="14"/>
      <c r="E1874" s="157"/>
      <c r="F1874" s="10"/>
      <c r="G1874" s="17"/>
      <c r="H1874" s="10"/>
      <c r="I1874" s="17"/>
      <c r="J1874" s="83"/>
      <c r="K1874" s="343"/>
      <c r="L1874" s="347"/>
      <c r="M1874" s="10"/>
      <c r="N1874" s="10"/>
      <c r="O1874" s="22"/>
      <c r="P1874" s="14"/>
      <c r="Q1874" s="83"/>
      <c r="U1874" s="104" t="str">
        <f>IF(
  AND(
    TRIM(A1874)=TRIM(Enginuity!$A$1),
    TRIM(B1874)=TRIM(Enginuity!$A$17),
    Q1874&lt;&gt;"",
    Q1874&lt;&gt;0,
    OR(
      TRIM(C1874)=TRIM(Enginuity!$A$18),
      AND(UPPER(TRIM(M1874))="STD", TRIM(B1874)=TRIM(Enginuity!$A$17))
    ),
    OR(
      AND(LEFT(P1874,5)="1-Way", Enginuity!$B$13=1),
      AND(LEFT(P1874,5)="2-Way", OR(Enginuity!$B$13=2, Enginuity!$B$13=4)),
      AND(LEFT(P1874,5)="3-Way", OR(Enginuity!$B$13=3, Enginuity!$B$13=6)),
      AND(P1874="Inner Centre Jamb", OR(Enginuity!$B$13=4, Enginuity!$B$13=6)),
      AND(
        LEFT(P1874,5)&lt;&gt;"1-Way",
        LEFT(P1874,5)&lt;&gt;"2-Way",
        LEFT(P1874,5)&lt;&gt;"3-Way",
        P1874&lt;&gt;"Inner Centre Jamb"
      )
    ),
    IF(OR(Enginuity!$A$1="Frameless Glass",Enginuity!$A$1="Metal Work"),
      AND(TRIM(B1874)=TRIM(Enginuity!$A$17),TRIM(C1874)=TRIM(Enginuity!$A$18)),
      TRIM(B1874)=TRIM(Enginuity!$A$17)
    )
  ),
  ROW(),
  ""
)</f>
        <v/>
      </c>
    </row>
    <row r="1875" spans="1:21" x14ac:dyDescent="0.25">
      <c r="A1875" s="10"/>
      <c r="B1875" s="229"/>
      <c r="C1875" s="10"/>
      <c r="D1875" s="14"/>
      <c r="E1875" s="157"/>
      <c r="F1875" s="10"/>
      <c r="G1875" s="17"/>
      <c r="H1875" s="10"/>
      <c r="I1875" s="17"/>
      <c r="J1875" s="83"/>
      <c r="K1875" s="343"/>
      <c r="L1875" s="347"/>
      <c r="M1875" s="10"/>
      <c r="N1875" s="10"/>
      <c r="O1875" s="22"/>
      <c r="P1875" s="21"/>
      <c r="Q1875" s="83"/>
      <c r="U1875" s="104" t="str">
        <f>IF(
  AND(
    TRIM(A1875)=TRIM(Enginuity!$A$1),
    TRIM(B1875)=TRIM(Enginuity!$A$17),
    Q1875&lt;&gt;"",
    Q1875&lt;&gt;0,
    OR(
      TRIM(C1875)=TRIM(Enginuity!$A$18),
      AND(UPPER(TRIM(M1875))="STD", TRIM(B1875)=TRIM(Enginuity!$A$17))
    ),
    OR(
      AND(LEFT(P1875,5)="1-Way", Enginuity!$B$13=1),
      AND(LEFT(P1875,5)="2-Way", OR(Enginuity!$B$13=2, Enginuity!$B$13=4)),
      AND(LEFT(P1875,5)="3-Way", OR(Enginuity!$B$13=3, Enginuity!$B$13=6)),
      AND(P1875="Inner Centre Jamb", OR(Enginuity!$B$13=4, Enginuity!$B$13=6)),
      AND(
        LEFT(P1875,5)&lt;&gt;"1-Way",
        LEFT(P1875,5)&lt;&gt;"2-Way",
        LEFT(P1875,5)&lt;&gt;"3-Way",
        P1875&lt;&gt;"Inner Centre Jamb"
      )
    ),
    IF(OR(Enginuity!$A$1="Frameless Glass",Enginuity!$A$1="Metal Work"),
      AND(TRIM(B1875)=TRIM(Enginuity!$A$17),TRIM(C1875)=TRIM(Enginuity!$A$18)),
      TRIM(B1875)=TRIM(Enginuity!$A$17)
    )
  ),
  ROW(),
  ""
)</f>
        <v/>
      </c>
    </row>
    <row r="1876" spans="1:21" x14ac:dyDescent="0.25">
      <c r="A1876" s="10"/>
      <c r="B1876" s="229"/>
      <c r="C1876" s="10"/>
      <c r="D1876" s="14"/>
      <c r="E1876" s="157"/>
      <c r="F1876" s="10"/>
      <c r="G1876" s="17"/>
      <c r="H1876" s="10"/>
      <c r="I1876" s="17"/>
      <c r="J1876" s="83"/>
      <c r="K1876" s="343"/>
      <c r="L1876" s="347"/>
      <c r="M1876" s="89"/>
      <c r="N1876" s="10"/>
      <c r="O1876" s="22"/>
      <c r="P1876" s="14"/>
      <c r="Q1876" s="83"/>
      <c r="U1876" s="104" t="str">
        <f>IF(
  AND(
    TRIM(A1876)=TRIM(Enginuity!$A$1),
    TRIM(B1876)=TRIM(Enginuity!$A$17),
    Q1876&lt;&gt;"",
    Q1876&lt;&gt;0,
    OR(
      TRIM(C1876)=TRIM(Enginuity!$A$18),
      AND(UPPER(TRIM(M1876))="STD", TRIM(B1876)=TRIM(Enginuity!$A$17))
    ),
    OR(
      AND(LEFT(P1876,5)="1-Way", Enginuity!$B$13=1),
      AND(LEFT(P1876,5)="2-Way", OR(Enginuity!$B$13=2, Enginuity!$B$13=4)),
      AND(LEFT(P1876,5)="3-Way", OR(Enginuity!$B$13=3, Enginuity!$B$13=6)),
      AND(P1876="Inner Centre Jamb", OR(Enginuity!$B$13=4, Enginuity!$B$13=6)),
      AND(
        LEFT(P1876,5)&lt;&gt;"1-Way",
        LEFT(P1876,5)&lt;&gt;"2-Way",
        LEFT(P1876,5)&lt;&gt;"3-Way",
        P1876&lt;&gt;"Inner Centre Jamb"
      )
    ),
    IF(OR(Enginuity!$A$1="Frameless Glass",Enginuity!$A$1="Metal Work"),
      AND(TRIM(B1876)=TRIM(Enginuity!$A$17),TRIM(C1876)=TRIM(Enginuity!$A$18)),
      TRIM(B1876)=TRIM(Enginuity!$A$17)
    )
  ),
  ROW(),
  ""
)</f>
        <v/>
      </c>
    </row>
    <row r="1877" spans="1:21" x14ac:dyDescent="0.25">
      <c r="A1877" s="10"/>
      <c r="B1877" s="229"/>
      <c r="C1877" s="10"/>
      <c r="D1877" s="14"/>
      <c r="E1877" s="157"/>
      <c r="F1877" s="10"/>
      <c r="G1877" s="17"/>
      <c r="H1877" s="10"/>
      <c r="I1877" s="17"/>
      <c r="J1877" s="83"/>
      <c r="K1877" s="343"/>
      <c r="L1877" s="347"/>
      <c r="M1877" s="89"/>
      <c r="N1877" s="10"/>
      <c r="O1877" s="22"/>
      <c r="P1877" s="14"/>
      <c r="Q1877" s="83"/>
      <c r="U1877" s="104" t="str">
        <f>IF(
  AND(
    TRIM(A1877)=TRIM(Enginuity!$A$1),
    TRIM(B1877)=TRIM(Enginuity!$A$17),
    Q1877&lt;&gt;"",
    Q1877&lt;&gt;0,
    OR(
      TRIM(C1877)=TRIM(Enginuity!$A$18),
      AND(UPPER(TRIM(M1877))="STD", TRIM(B1877)=TRIM(Enginuity!$A$17))
    ),
    OR(
      AND(LEFT(P1877,5)="1-Way", Enginuity!$B$13=1),
      AND(LEFT(P1877,5)="2-Way", OR(Enginuity!$B$13=2, Enginuity!$B$13=4)),
      AND(LEFT(P1877,5)="3-Way", OR(Enginuity!$B$13=3, Enginuity!$B$13=6)),
      AND(P1877="Inner Centre Jamb", OR(Enginuity!$B$13=4, Enginuity!$B$13=6)),
      AND(
        LEFT(P1877,5)&lt;&gt;"1-Way",
        LEFT(P1877,5)&lt;&gt;"2-Way",
        LEFT(P1877,5)&lt;&gt;"3-Way",
        P1877&lt;&gt;"Inner Centre Jamb"
      )
    ),
    IF(OR(Enginuity!$A$1="Frameless Glass",Enginuity!$A$1="Metal Work"),
      AND(TRIM(B1877)=TRIM(Enginuity!$A$17),TRIM(C1877)=TRIM(Enginuity!$A$18)),
      TRIM(B1877)=TRIM(Enginuity!$A$17)
    )
  ),
  ROW(),
  ""
)</f>
        <v/>
      </c>
    </row>
    <row r="1878" spans="1:21" x14ac:dyDescent="0.25">
      <c r="A1878" s="10"/>
      <c r="B1878" s="229"/>
      <c r="C1878" s="10"/>
      <c r="D1878" s="14"/>
      <c r="E1878" s="157"/>
      <c r="F1878" s="10"/>
      <c r="G1878" s="17"/>
      <c r="H1878" s="10"/>
      <c r="I1878" s="17"/>
      <c r="J1878" s="83"/>
      <c r="K1878" s="343"/>
      <c r="L1878" s="347"/>
      <c r="M1878" s="89"/>
      <c r="N1878" s="10"/>
      <c r="O1878" s="22"/>
      <c r="P1878" s="14"/>
      <c r="Q1878" s="83"/>
      <c r="U1878" s="104" t="str">
        <f>IF(
  AND(
    TRIM(A1878)=TRIM(Enginuity!$A$1),
    TRIM(B1878)=TRIM(Enginuity!$A$17),
    Q1878&lt;&gt;"",
    Q1878&lt;&gt;0,
    OR(
      TRIM(C1878)=TRIM(Enginuity!$A$18),
      AND(UPPER(TRIM(M1878))="STD", TRIM(B1878)=TRIM(Enginuity!$A$17))
    ),
    OR(
      AND(LEFT(P1878,5)="1-Way", Enginuity!$B$13=1),
      AND(LEFT(P1878,5)="2-Way", OR(Enginuity!$B$13=2, Enginuity!$B$13=4)),
      AND(LEFT(P1878,5)="3-Way", OR(Enginuity!$B$13=3, Enginuity!$B$13=6)),
      AND(P1878="Inner Centre Jamb", OR(Enginuity!$B$13=4, Enginuity!$B$13=6)),
      AND(
        LEFT(P1878,5)&lt;&gt;"1-Way",
        LEFT(P1878,5)&lt;&gt;"2-Way",
        LEFT(P1878,5)&lt;&gt;"3-Way",
        P1878&lt;&gt;"Inner Centre Jamb"
      )
    ),
    IF(OR(Enginuity!$A$1="Frameless Glass",Enginuity!$A$1="Metal Work"),
      AND(TRIM(B1878)=TRIM(Enginuity!$A$17),TRIM(C1878)=TRIM(Enginuity!$A$18)),
      TRIM(B1878)=TRIM(Enginuity!$A$17)
    )
  ),
  ROW(),
  ""
)</f>
        <v/>
      </c>
    </row>
    <row r="1879" spans="1:21" x14ac:dyDescent="0.25">
      <c r="A1879" s="17" t="s">
        <v>768</v>
      </c>
      <c r="B1879" s="230"/>
      <c r="C1879" s="17"/>
      <c r="D1879" s="18"/>
      <c r="E1879" s="238"/>
      <c r="F1879" s="17"/>
      <c r="G1879" s="17"/>
      <c r="H1879" s="17"/>
      <c r="I1879" s="17"/>
      <c r="J1879" s="84"/>
      <c r="K1879" s="343"/>
      <c r="L1879" s="347"/>
      <c r="M1879" s="90"/>
      <c r="N1879" s="17"/>
      <c r="O1879" s="25"/>
      <c r="P1879" s="92"/>
      <c r="Q1879" s="179"/>
      <c r="U1879" s="104" t="str">
        <f>IF(
  AND(
    TRIM(A1879)=TRIM(Enginuity!$A$1),
    TRIM(B1879)=TRIM(Enginuity!$A$17),
    Q1879&lt;&gt;"",
    Q1879&lt;&gt;0,
    OR(
      TRIM(C1879)=TRIM(Enginuity!$A$18),
      AND(UPPER(TRIM(M1879))="STD", TRIM(B1879)=TRIM(Enginuity!$A$17))
    ),
    OR(
      AND(LEFT(P1879,5)="1-Way", Enginuity!$B$13=1),
      AND(LEFT(P1879,5)="2-Way", OR(Enginuity!$B$13=2, Enginuity!$B$13=4)),
      AND(LEFT(P1879,5)="3-Way", OR(Enginuity!$B$13=3, Enginuity!$B$13=6)),
      AND(P1879="Inner Centre Jamb", OR(Enginuity!$B$13=4, Enginuity!$B$13=6)),
      AND(
        LEFT(P1879,5)&lt;&gt;"1-Way",
        LEFT(P1879,5)&lt;&gt;"2-Way",
        LEFT(P1879,5)&lt;&gt;"3-Way",
        P1879&lt;&gt;"Inner Centre Jamb"
      )
    ),
    IF(OR(Enginuity!$A$1="Frameless Glass",Enginuity!$A$1="Metal Work"),
      AND(TRIM(B1879)=TRIM(Enginuity!$A$17),TRIM(C1879)=TRIM(Enginuity!$A$18)),
      TRIM(B1879)=TRIM(Enginuity!$A$17)
    )
  ),
  ROW(),
  ""
)</f>
        <v/>
      </c>
    </row>
    <row r="1880" spans="1:21" x14ac:dyDescent="0.25">
      <c r="A1880" s="10" t="s">
        <v>1373</v>
      </c>
      <c r="B1880" s="229" t="s">
        <v>1374</v>
      </c>
      <c r="C1880" s="10" t="s">
        <v>1375</v>
      </c>
      <c r="D1880" s="14" t="str" cm="1">
        <f t="array" ref="D1880:D1889">IFERROR(INDEX(_xlfn._xlws.FILTER(AllMaterialsbak!$BA$2:$BA$30, AllMaterialsbak!$BA$2:$BA$30&lt;&gt;""), _xlfn.SEQUENCE(10)), "")</f>
        <v>Default</v>
      </c>
      <c r="E1880" s="157"/>
      <c r="F1880" s="10"/>
      <c r="G1880" s="17"/>
      <c r="H1880" s="10"/>
      <c r="I1880" s="17"/>
      <c r="J1880" s="83"/>
      <c r="K1880" s="344">
        <v>0.1</v>
      </c>
      <c r="L1880" s="347">
        <v>100</v>
      </c>
      <c r="M1880" s="89"/>
      <c r="N1880" s="10" t="s">
        <v>121</v>
      </c>
      <c r="O1880" s="22" t="str">
        <f>$O$2</f>
        <v/>
      </c>
      <c r="P1880" s="21" t="str">
        <f>Enginuity!$A$19</f>
        <v>W/G</v>
      </c>
      <c r="Q1880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1880" s="104" t="str">
        <f>IF(
  AND(
    TRIM(A1880)=TRIM(Enginuity!$A$1),
    TRIM(B1880)=TRIM(Enginuity!$A$17),
    Q1880&lt;&gt;"",
    Q1880&lt;&gt;0,
    OR(
      TRIM(C1880)=TRIM(Enginuity!$A$18),
      AND(UPPER(TRIM(M1880))="STD", TRIM(B1880)=TRIM(Enginuity!$A$17))
    ),
    OR(
      AND(LEFT(P1880,5)="1-Way", Enginuity!$B$13=1),
      AND(LEFT(P1880,5)="2-Way", OR(Enginuity!$B$13=2, Enginuity!$B$13=4)),
      AND(LEFT(P1880,5)="3-Way", OR(Enginuity!$B$13=3, Enginuity!$B$13=6)),
      AND(P1880="Inner Centre Jamb", OR(Enginuity!$B$13=4, Enginuity!$B$13=6)),
      AND(
        LEFT(P1880,5)&lt;&gt;"1-Way",
        LEFT(P1880,5)&lt;&gt;"2-Way",
        LEFT(P1880,5)&lt;&gt;"3-Way",
        P1880&lt;&gt;"Inner Centre Jamb"
      )
    ),
    IF(OR(Enginuity!$A$1="Frameless Glass",Enginuity!$A$1="Metal Work"),
      AND(TRIM(B1880)=TRIM(Enginuity!$A$17),TRIM(C1880)=TRIM(Enginuity!$A$18)),
      TRIM(B1880)=TRIM(Enginuity!$A$17)
    )
  ),
  ROW(),
  ""
)</f>
        <v/>
      </c>
    </row>
    <row r="1881" spans="1:21" x14ac:dyDescent="0.25">
      <c r="A1881" s="10" t="s">
        <v>1373</v>
      </c>
      <c r="B1881" s="229" t="s">
        <v>1374</v>
      </c>
      <c r="C1881" s="10" t="s">
        <v>1375</v>
      </c>
      <c r="D1881" s="36" t="str">
        <v xml:space="preserve">2" Louver Blade N/A </v>
      </c>
      <c r="E1881" s="157"/>
      <c r="F1881" s="10"/>
      <c r="G1881" s="17"/>
      <c r="H1881" s="10"/>
      <c r="I1881" s="17"/>
      <c r="J1881" s="83"/>
      <c r="K1881" s="343"/>
      <c r="L1881" s="347"/>
      <c r="M1881" s="89"/>
      <c r="N1881" s="10"/>
      <c r="O1881" s="22"/>
      <c r="P1881" s="36"/>
      <c r="Q1881" s="22" t="str">
        <f>IF(AND(O1881&lt;&gt;"",P1881=Enginuity!$A$19),
   IF(Enginuity!$B$6&gt;4,Enginuity!$B$13,1),
"")</f>
        <v/>
      </c>
      <c r="U1881" s="104" t="str">
        <f>IF(
  AND(
    TRIM(A1881)=TRIM(Enginuity!$A$1),
    TRIM(B1881)=TRIM(Enginuity!$A$17),
    Q1881&lt;&gt;"",
    Q1881&lt;&gt;0,
    OR(
      TRIM(C1881)=TRIM(Enginuity!$A$18),
      AND(UPPER(TRIM(M1881))="STD", TRIM(B1881)=TRIM(Enginuity!$A$17))
    ),
    OR(
      AND(LEFT(P1881,5)="1-Way", Enginuity!$B$13=1),
      AND(LEFT(P1881,5)="2-Way", OR(Enginuity!$B$13=2, Enginuity!$B$13=4)),
      AND(LEFT(P1881,5)="3-Way", OR(Enginuity!$B$13=3, Enginuity!$B$13=6)),
      AND(P1881="Inner Centre Jamb", OR(Enginuity!$B$13=4, Enginuity!$B$13=6)),
      AND(
        LEFT(P1881,5)&lt;&gt;"1-Way",
        LEFT(P1881,5)&lt;&gt;"2-Way",
        LEFT(P1881,5)&lt;&gt;"3-Way",
        P1881&lt;&gt;"Inner Centre Jamb"
      )
    ),
    IF(OR(Enginuity!$A$1="Frameless Glass",Enginuity!$A$1="Metal Work"),
      AND(TRIM(B1881)=TRIM(Enginuity!$A$17),TRIM(C1881)=TRIM(Enginuity!$A$18)),
      TRIM(B1881)=TRIM(Enginuity!$A$17)
    )
  ),
  ROW(),
  ""
)</f>
        <v/>
      </c>
    </row>
    <row r="1882" spans="1:21" x14ac:dyDescent="0.25">
      <c r="A1882" s="10" t="s">
        <v>1373</v>
      </c>
      <c r="B1882" s="229" t="s">
        <v>1374</v>
      </c>
      <c r="C1882" s="10" t="s">
        <v>1375</v>
      </c>
      <c r="D1882" s="36" t="str">
        <v>2" Louver Blade P/C</v>
      </c>
      <c r="E1882" s="157"/>
      <c r="F1882" s="10"/>
      <c r="G1882" s="17"/>
      <c r="H1882" s="10"/>
      <c r="I1882" s="17"/>
      <c r="J1882" s="83"/>
      <c r="K1882" s="343"/>
      <c r="L1882" s="347"/>
      <c r="M1882" s="89"/>
      <c r="N1882" s="10"/>
      <c r="O1882" s="22"/>
      <c r="P1882" s="36"/>
      <c r="Q1882" s="22" t="str">
        <f>IF(AND(O1882&lt;&gt;"",P1882=Enginuity!$A$19),
   IF(Enginuity!$B$6&gt;4,Enginuity!$B$13,1),
"")</f>
        <v/>
      </c>
      <c r="U1882" s="104" t="str">
        <f>IF(
  AND(
    TRIM(A1882)=TRIM(Enginuity!$A$1),
    TRIM(B1882)=TRIM(Enginuity!$A$17),
    Q1882&lt;&gt;"",
    Q1882&lt;&gt;0,
    OR(
      TRIM(C1882)=TRIM(Enginuity!$A$18),
      AND(UPPER(TRIM(M1882))="STD", TRIM(B1882)=TRIM(Enginuity!$A$17))
    ),
    OR(
      AND(LEFT(P1882,5)="1-Way", Enginuity!$B$13=1),
      AND(LEFT(P1882,5)="2-Way", OR(Enginuity!$B$13=2, Enginuity!$B$13=4)),
      AND(LEFT(P1882,5)="3-Way", OR(Enginuity!$B$13=3, Enginuity!$B$13=6)),
      AND(P1882="Inner Centre Jamb", OR(Enginuity!$B$13=4, Enginuity!$B$13=6)),
      AND(
        LEFT(P1882,5)&lt;&gt;"1-Way",
        LEFT(P1882,5)&lt;&gt;"2-Way",
        LEFT(P1882,5)&lt;&gt;"3-Way",
        P1882&lt;&gt;"Inner Centre Jamb"
      )
    ),
    IF(OR(Enginuity!$A$1="Frameless Glass",Enginuity!$A$1="Metal Work"),
      AND(TRIM(B1882)=TRIM(Enginuity!$A$17),TRIM(C1882)=TRIM(Enginuity!$A$18)),
      TRIM(B1882)=TRIM(Enginuity!$A$17)
    )
  ),
  ROW(),
  ""
)</f>
        <v/>
      </c>
    </row>
    <row r="1883" spans="1:21" x14ac:dyDescent="0.25">
      <c r="A1883" s="10" t="s">
        <v>1373</v>
      </c>
      <c r="B1883" s="229" t="s">
        <v>1374</v>
      </c>
      <c r="C1883" s="10" t="s">
        <v>1375</v>
      </c>
      <c r="D1883" s="36" t="str">
        <v xml:space="preserve">5" Louver Blade N/A </v>
      </c>
      <c r="E1883" s="157"/>
      <c r="F1883" s="10"/>
      <c r="G1883" s="17"/>
      <c r="H1883" s="10"/>
      <c r="I1883" s="17"/>
      <c r="J1883" s="83"/>
      <c r="K1883" s="343"/>
      <c r="L1883" s="347"/>
      <c r="M1883" s="89"/>
      <c r="N1883" s="10"/>
      <c r="O1883" s="22"/>
      <c r="P1883" s="36"/>
      <c r="Q1883" s="22" t="str">
        <f>IF(AND(O1883&lt;&gt;"",P1883=Enginuity!$A$19),
   IF(Enginuity!$B$6&gt;4,Enginuity!$B$13,1),
"")</f>
        <v/>
      </c>
      <c r="U1883" s="104" t="str">
        <f>IF(
  AND(
    TRIM(A1883)=TRIM(Enginuity!$A$1),
    TRIM(B1883)=TRIM(Enginuity!$A$17),
    Q1883&lt;&gt;"",
    Q1883&lt;&gt;0,
    OR(
      TRIM(C1883)=TRIM(Enginuity!$A$18),
      AND(UPPER(TRIM(M1883))="STD", TRIM(B1883)=TRIM(Enginuity!$A$17))
    ),
    OR(
      AND(LEFT(P1883,5)="1-Way", Enginuity!$B$13=1),
      AND(LEFT(P1883,5)="2-Way", OR(Enginuity!$B$13=2, Enginuity!$B$13=4)),
      AND(LEFT(P1883,5)="3-Way", OR(Enginuity!$B$13=3, Enginuity!$B$13=6)),
      AND(P1883="Inner Centre Jamb", OR(Enginuity!$B$13=4, Enginuity!$B$13=6)),
      AND(
        LEFT(P1883,5)&lt;&gt;"1-Way",
        LEFT(P1883,5)&lt;&gt;"2-Way",
        LEFT(P1883,5)&lt;&gt;"3-Way",
        P1883&lt;&gt;"Inner Centre Jamb"
      )
    ),
    IF(OR(Enginuity!$A$1="Frameless Glass",Enginuity!$A$1="Metal Work"),
      AND(TRIM(B1883)=TRIM(Enginuity!$A$17),TRIM(C1883)=TRIM(Enginuity!$A$18)),
      TRIM(B1883)=TRIM(Enginuity!$A$17)
    )
  ),
  ROW(),
  ""
)</f>
        <v/>
      </c>
    </row>
    <row r="1884" spans="1:21" x14ac:dyDescent="0.25">
      <c r="A1884" s="10" t="s">
        <v>1373</v>
      </c>
      <c r="B1884" s="229" t="s">
        <v>1374</v>
      </c>
      <c r="C1884" s="10" t="s">
        <v>1375</v>
      </c>
      <c r="D1884" s="36" t="str">
        <v>5" Louver Blade P/C</v>
      </c>
      <c r="E1884" s="157"/>
      <c r="F1884" s="10"/>
      <c r="G1884" s="17"/>
      <c r="H1884" s="10"/>
      <c r="I1884" s="17"/>
      <c r="J1884" s="83"/>
      <c r="K1884" s="343"/>
      <c r="L1884" s="347"/>
      <c r="M1884" s="89"/>
      <c r="N1884" s="10"/>
      <c r="O1884" s="22"/>
      <c r="P1884" s="36"/>
      <c r="Q1884" s="22" t="str">
        <f>IF(AND(O1884&lt;&gt;"",P1884=Enginuity!$A$19),
   IF(Enginuity!$B$6&gt;4,Enginuity!$B$13,1),
"")</f>
        <v/>
      </c>
      <c r="U1884" s="104" t="str">
        <f>IF(
  AND(
    TRIM(A1884)=TRIM(Enginuity!$A$1),
    TRIM(B1884)=TRIM(Enginuity!$A$17),
    Q1884&lt;&gt;"",
    Q1884&lt;&gt;0,
    OR(
      TRIM(C1884)=TRIM(Enginuity!$A$18),
      AND(UPPER(TRIM(M1884))="STD", TRIM(B1884)=TRIM(Enginuity!$A$17))
    ),
    OR(
      AND(LEFT(P1884,5)="1-Way", Enginuity!$B$13=1),
      AND(LEFT(P1884,5)="2-Way", OR(Enginuity!$B$13=2, Enginuity!$B$13=4)),
      AND(LEFT(P1884,5)="3-Way", OR(Enginuity!$B$13=3, Enginuity!$B$13=6)),
      AND(P1884="Inner Centre Jamb", OR(Enginuity!$B$13=4, Enginuity!$B$13=6)),
      AND(
        LEFT(P1884,5)&lt;&gt;"1-Way",
        LEFT(P1884,5)&lt;&gt;"2-Way",
        LEFT(P1884,5)&lt;&gt;"3-Way",
        P1884&lt;&gt;"Inner Centre Jamb"
      )
    ),
    IF(OR(Enginuity!$A$1="Frameless Glass",Enginuity!$A$1="Metal Work"),
      AND(TRIM(B1884)=TRIM(Enginuity!$A$17),TRIM(C1884)=TRIM(Enginuity!$A$18)),
      TRIM(B1884)=TRIM(Enginuity!$A$17)
    )
  ),
  ROW(),
  ""
)</f>
        <v/>
      </c>
    </row>
    <row r="1885" spans="1:21" x14ac:dyDescent="0.25">
      <c r="A1885" s="10" t="s">
        <v>1373</v>
      </c>
      <c r="B1885" s="229" t="s">
        <v>1374</v>
      </c>
      <c r="C1885" s="10" t="s">
        <v>1375</v>
      </c>
      <c r="D1885" s="36" t="str">
        <v/>
      </c>
      <c r="E1885" s="157"/>
      <c r="F1885" s="10"/>
      <c r="G1885" s="17"/>
      <c r="H1885" s="10"/>
      <c r="I1885" s="17"/>
      <c r="J1885" s="83"/>
      <c r="K1885" s="343"/>
      <c r="L1885" s="347"/>
      <c r="M1885" s="89"/>
      <c r="N1885" s="88"/>
      <c r="O1885" s="22"/>
      <c r="P1885" s="36"/>
      <c r="Q1885" s="22" t="str">
        <f>IF(AND(O1885&lt;&gt;"",P1885=Enginuity!$A$19),
   IF(Enginuity!$B$6&gt;4,Enginuity!$B$13,1),
"")</f>
        <v/>
      </c>
      <c r="U1885" s="104" t="str">
        <f>IF(
  AND(
    TRIM(A1885)=TRIM(Enginuity!$A$1),
    TRIM(B1885)=TRIM(Enginuity!$A$17),
    Q1885&lt;&gt;"",
    Q1885&lt;&gt;0,
    OR(
      TRIM(C1885)=TRIM(Enginuity!$A$18),
      AND(UPPER(TRIM(M1885))="STD", TRIM(B1885)=TRIM(Enginuity!$A$17))
    ),
    OR(
      AND(LEFT(P1885,5)="1-Way", Enginuity!$B$13=1),
      AND(LEFT(P1885,5)="2-Way", OR(Enginuity!$B$13=2, Enginuity!$B$13=4)),
      AND(LEFT(P1885,5)="3-Way", OR(Enginuity!$B$13=3, Enginuity!$B$13=6)),
      AND(P1885="Inner Centre Jamb", OR(Enginuity!$B$13=4, Enginuity!$B$13=6)),
      AND(
        LEFT(P1885,5)&lt;&gt;"1-Way",
        LEFT(P1885,5)&lt;&gt;"2-Way",
        LEFT(P1885,5)&lt;&gt;"3-Way",
        P1885&lt;&gt;"Inner Centre Jamb"
      )
    ),
    IF(OR(Enginuity!$A$1="Frameless Glass",Enginuity!$A$1="Metal Work"),
      AND(TRIM(B1885)=TRIM(Enginuity!$A$17),TRIM(C1885)=TRIM(Enginuity!$A$18)),
      TRIM(B1885)=TRIM(Enginuity!$A$17)
    )
  ),
  ROW(),
  ""
)</f>
        <v/>
      </c>
    </row>
    <row r="1886" spans="1:21" x14ac:dyDescent="0.25">
      <c r="A1886" s="10" t="s">
        <v>1373</v>
      </c>
      <c r="B1886" s="229" t="s">
        <v>1374</v>
      </c>
      <c r="C1886" s="10" t="s">
        <v>1375</v>
      </c>
      <c r="D1886" s="36" t="str">
        <v/>
      </c>
      <c r="E1886" s="157"/>
      <c r="F1886" s="10"/>
      <c r="G1886" s="17"/>
      <c r="H1886" s="10"/>
      <c r="I1886" s="17"/>
      <c r="J1886" s="83"/>
      <c r="K1886" s="343"/>
      <c r="L1886" s="347"/>
      <c r="M1886" s="89"/>
      <c r="N1886" s="88"/>
      <c r="O1886" s="22"/>
      <c r="P1886" s="36"/>
      <c r="Q1886" s="22" t="str">
        <f>IF(AND(O1886&lt;&gt;"",P1886=Enginuity!$A$19),
   IF(Enginuity!$B$6&gt;4,Enginuity!$B$13,1),
"")</f>
        <v/>
      </c>
      <c r="U1886" s="104" t="str">
        <f>IF(
  AND(
    TRIM(A1886)=TRIM(Enginuity!$A$1),
    TRIM(B1886)=TRIM(Enginuity!$A$17),
    Q1886&lt;&gt;"",
    Q1886&lt;&gt;0,
    OR(
      TRIM(C1886)=TRIM(Enginuity!$A$18),
      AND(UPPER(TRIM(M1886))="STD", TRIM(B1886)=TRIM(Enginuity!$A$17))
    ),
    OR(
      AND(LEFT(P1886,5)="1-Way", Enginuity!$B$13=1),
      AND(LEFT(P1886,5)="2-Way", OR(Enginuity!$B$13=2, Enginuity!$B$13=4)),
      AND(LEFT(P1886,5)="3-Way", OR(Enginuity!$B$13=3, Enginuity!$B$13=6)),
      AND(P1886="Inner Centre Jamb", OR(Enginuity!$B$13=4, Enginuity!$B$13=6)),
      AND(
        LEFT(P1886,5)&lt;&gt;"1-Way",
        LEFT(P1886,5)&lt;&gt;"2-Way",
        LEFT(P1886,5)&lt;&gt;"3-Way",
        P1886&lt;&gt;"Inner Centre Jamb"
      )
    ),
    IF(OR(Enginuity!$A$1="Frameless Glass",Enginuity!$A$1="Metal Work"),
      AND(TRIM(B1886)=TRIM(Enginuity!$A$17),TRIM(C1886)=TRIM(Enginuity!$A$18)),
      TRIM(B1886)=TRIM(Enginuity!$A$17)
    )
  ),
  ROW(),
  ""
)</f>
        <v/>
      </c>
    </row>
    <row r="1887" spans="1:21" x14ac:dyDescent="0.25">
      <c r="A1887" s="10" t="s">
        <v>1373</v>
      </c>
      <c r="B1887" s="229" t="s">
        <v>1374</v>
      </c>
      <c r="C1887" s="10" t="s">
        <v>1375</v>
      </c>
      <c r="D1887" s="36" t="str">
        <v/>
      </c>
      <c r="E1887" s="157"/>
      <c r="F1887" s="10"/>
      <c r="G1887" s="17"/>
      <c r="H1887" s="10"/>
      <c r="I1887" s="17"/>
      <c r="J1887" s="83"/>
      <c r="K1887" s="343"/>
      <c r="L1887" s="347"/>
      <c r="M1887" s="89"/>
      <c r="N1887" s="10"/>
      <c r="O1887" s="22"/>
      <c r="P1887" s="36"/>
      <c r="Q1887" s="22" t="str">
        <f>IF(AND(O1887&lt;&gt;"",P1887=Enginuity!$A$19),
   IF(Enginuity!$B$6&gt;4,Enginuity!$B$13,1),
"")</f>
        <v/>
      </c>
      <c r="U1887" s="104" t="str">
        <f>IF(
  AND(
    TRIM(A1887)=TRIM(Enginuity!$A$1),
    TRIM(B1887)=TRIM(Enginuity!$A$17),
    Q1887&lt;&gt;"",
    Q1887&lt;&gt;0,
    OR(
      TRIM(C1887)=TRIM(Enginuity!$A$18),
      AND(UPPER(TRIM(M1887))="STD", TRIM(B1887)=TRIM(Enginuity!$A$17))
    ),
    OR(
      AND(LEFT(P1887,5)="1-Way", Enginuity!$B$13=1),
      AND(LEFT(P1887,5)="2-Way", OR(Enginuity!$B$13=2, Enginuity!$B$13=4)),
      AND(LEFT(P1887,5)="3-Way", OR(Enginuity!$B$13=3, Enginuity!$B$13=6)),
      AND(P1887="Inner Centre Jamb", OR(Enginuity!$B$13=4, Enginuity!$B$13=6)),
      AND(
        LEFT(P1887,5)&lt;&gt;"1-Way",
        LEFT(P1887,5)&lt;&gt;"2-Way",
        LEFT(P1887,5)&lt;&gt;"3-Way",
        P1887&lt;&gt;"Inner Centre Jamb"
      )
    ),
    IF(OR(Enginuity!$A$1="Frameless Glass",Enginuity!$A$1="Metal Work"),
      AND(TRIM(B1887)=TRIM(Enginuity!$A$17),TRIM(C1887)=TRIM(Enginuity!$A$18)),
      TRIM(B1887)=TRIM(Enginuity!$A$17)
    )
  ),
  ROW(),
  ""
)</f>
        <v/>
      </c>
    </row>
    <row r="1888" spans="1:21" x14ac:dyDescent="0.25">
      <c r="A1888" s="10" t="s">
        <v>1373</v>
      </c>
      <c r="B1888" s="229" t="s">
        <v>1374</v>
      </c>
      <c r="C1888" s="10" t="s">
        <v>1375</v>
      </c>
      <c r="D1888" s="36" t="str">
        <v/>
      </c>
      <c r="E1888" s="157"/>
      <c r="F1888" s="10"/>
      <c r="G1888" s="17"/>
      <c r="H1888" s="10"/>
      <c r="I1888" s="17"/>
      <c r="J1888" s="83"/>
      <c r="K1888" s="343"/>
      <c r="L1888" s="347"/>
      <c r="M1888" s="89"/>
      <c r="N1888" s="88"/>
      <c r="O1888" s="22"/>
      <c r="P1888" s="36"/>
      <c r="Q1888" s="22" t="str">
        <f>IF(AND(O1888&lt;&gt;"",P1888=Enginuity!$A$19),
   IF(Enginuity!$B$6&gt;4,Enginuity!$B$13,1),
"")</f>
        <v/>
      </c>
      <c r="U1888" s="104" t="str">
        <f>IF(
  AND(
    TRIM(A1888)=TRIM(Enginuity!$A$1),
    TRIM(B1888)=TRIM(Enginuity!$A$17),
    Q1888&lt;&gt;"",
    Q1888&lt;&gt;0,
    OR(
      TRIM(C1888)=TRIM(Enginuity!$A$18),
      AND(UPPER(TRIM(M1888))="STD", TRIM(B1888)=TRIM(Enginuity!$A$17))
    ),
    OR(
      AND(LEFT(P1888,5)="1-Way", Enginuity!$B$13=1),
      AND(LEFT(P1888,5)="2-Way", OR(Enginuity!$B$13=2, Enginuity!$B$13=4)),
      AND(LEFT(P1888,5)="3-Way", OR(Enginuity!$B$13=3, Enginuity!$B$13=6)),
      AND(P1888="Inner Centre Jamb", OR(Enginuity!$B$13=4, Enginuity!$B$13=6)),
      AND(
        LEFT(P1888,5)&lt;&gt;"1-Way",
        LEFT(P1888,5)&lt;&gt;"2-Way",
        LEFT(P1888,5)&lt;&gt;"3-Way",
        P1888&lt;&gt;"Inner Centre Jamb"
      )
    ),
    IF(OR(Enginuity!$A$1="Frameless Glass",Enginuity!$A$1="Metal Work"),
      AND(TRIM(B1888)=TRIM(Enginuity!$A$17),TRIM(C1888)=TRIM(Enginuity!$A$18)),
      TRIM(B1888)=TRIM(Enginuity!$A$17)
    )
  ),
  ROW(),
  ""
)</f>
        <v/>
      </c>
    </row>
    <row r="1889" spans="1:21" x14ac:dyDescent="0.25">
      <c r="A1889" s="10" t="s">
        <v>1373</v>
      </c>
      <c r="B1889" s="229" t="s">
        <v>1374</v>
      </c>
      <c r="C1889" s="10" t="s">
        <v>1375</v>
      </c>
      <c r="D1889" s="36" t="str">
        <v/>
      </c>
      <c r="E1889" s="157"/>
      <c r="F1889" s="10"/>
      <c r="G1889" s="17"/>
      <c r="H1889" s="10"/>
      <c r="I1889" s="17"/>
      <c r="J1889" s="83"/>
      <c r="K1889" s="343"/>
      <c r="L1889" s="347"/>
      <c r="M1889" s="89"/>
      <c r="N1889" s="10"/>
      <c r="O1889" s="22"/>
      <c r="P1889" s="14"/>
      <c r="Q1889" s="22" t="str">
        <f>IF(AND(O1889&lt;&gt;"",P1889=Enginuity!$A$19),
   IF(Enginuity!$B$6&gt;4,Enginuity!$B$13,1),
"")</f>
        <v/>
      </c>
      <c r="U1889" s="104" t="str">
        <f>IF(
  AND(
    TRIM(A1889)=TRIM(Enginuity!$A$1),
    TRIM(B1889)=TRIM(Enginuity!$A$17),
    Q1889&lt;&gt;"",
    Q1889&lt;&gt;0,
    OR(
      TRIM(C1889)=TRIM(Enginuity!$A$18),
      AND(UPPER(TRIM(M1889))="STD", TRIM(B1889)=TRIM(Enginuity!$A$17))
    ),
    OR(
      AND(LEFT(P1889,5)="1-Way", Enginuity!$B$13=1),
      AND(LEFT(P1889,5)="2-Way", OR(Enginuity!$B$13=2, Enginuity!$B$13=4)),
      AND(LEFT(P1889,5)="3-Way", OR(Enginuity!$B$13=3, Enginuity!$B$13=6)),
      AND(P1889="Inner Centre Jamb", OR(Enginuity!$B$13=4, Enginuity!$B$13=6)),
      AND(
        LEFT(P1889,5)&lt;&gt;"1-Way",
        LEFT(P1889,5)&lt;&gt;"2-Way",
        LEFT(P1889,5)&lt;&gt;"3-Way",
        P1889&lt;&gt;"Inner Centre Jamb"
      )
    ),
    IF(OR(Enginuity!$A$1="Frameless Glass",Enginuity!$A$1="Metal Work"),
      AND(TRIM(B1889)=TRIM(Enginuity!$A$17),TRIM(C1889)=TRIM(Enginuity!$A$18)),
      TRIM(B1889)=TRIM(Enginuity!$A$17)
    )
  ),
  ROW(),
  ""
)</f>
        <v/>
      </c>
    </row>
    <row r="1890" spans="1:21" x14ac:dyDescent="0.25">
      <c r="A1890" s="10" t="s">
        <v>1373</v>
      </c>
      <c r="B1890" s="229" t="s">
        <v>1374</v>
      </c>
      <c r="C1890" s="10" t="s">
        <v>1375</v>
      </c>
      <c r="D1890" s="36"/>
      <c r="E1890" s="157"/>
      <c r="F1890" s="10"/>
      <c r="G1890" s="17"/>
      <c r="H1890" s="10"/>
      <c r="I1890" s="17"/>
      <c r="J1890" s="83"/>
      <c r="K1890" s="343"/>
      <c r="L1890" s="347"/>
      <c r="M1890" s="89"/>
      <c r="N1890" s="10"/>
      <c r="O1890" s="22"/>
      <c r="P1890" s="14"/>
      <c r="Q1890" s="22" t="str">
        <f>IF(AND(O1890&lt;&gt;"",P1890=Enginuity!$A$19),
   IF(Enginuity!$B$6&gt;4,Enginuity!$B$13,1),
"")</f>
        <v/>
      </c>
      <c r="U1890" s="104" t="str">
        <f>IF(
  AND(
    TRIM(A1890)=TRIM(Enginuity!$A$1),
    TRIM(B1890)=TRIM(Enginuity!$A$17),
    Q1890&lt;&gt;"",
    Q1890&lt;&gt;0,
    OR(
      TRIM(C1890)=TRIM(Enginuity!$A$18),
      AND(UPPER(TRIM(M1890))="STD", TRIM(B1890)=TRIM(Enginuity!$A$17))
    ),
    OR(
      AND(LEFT(P1890,5)="1-Way", Enginuity!$B$13=1),
      AND(LEFT(P1890,5)="2-Way", OR(Enginuity!$B$13=2, Enginuity!$B$13=4)),
      AND(LEFT(P1890,5)="3-Way", OR(Enginuity!$B$13=3, Enginuity!$B$13=6)),
      AND(P1890="Inner Centre Jamb", OR(Enginuity!$B$13=4, Enginuity!$B$13=6)),
      AND(
        LEFT(P1890,5)&lt;&gt;"1-Way",
        LEFT(P1890,5)&lt;&gt;"2-Way",
        LEFT(P1890,5)&lt;&gt;"3-Way",
        P1890&lt;&gt;"Inner Centre Jamb"
      )
    ),
    IF(OR(Enginuity!$A$1="Frameless Glass",Enginuity!$A$1="Metal Work"),
      AND(TRIM(B1890)=TRIM(Enginuity!$A$17),TRIM(C1890)=TRIM(Enginuity!$A$18)),
      TRIM(B1890)=TRIM(Enginuity!$A$17)
    )
  ),
  ROW(),
  ""
)</f>
        <v/>
      </c>
    </row>
    <row r="1891" spans="1:21" x14ac:dyDescent="0.25">
      <c r="A1891" s="10" t="s">
        <v>1373</v>
      </c>
      <c r="B1891" s="229" t="s">
        <v>1374</v>
      </c>
      <c r="C1891" s="10" t="s">
        <v>1375</v>
      </c>
      <c r="D1891" s="36"/>
      <c r="E1891" s="157"/>
      <c r="F1891" s="10"/>
      <c r="G1891" s="17"/>
      <c r="H1891" s="10"/>
      <c r="I1891" s="17"/>
      <c r="J1891" s="83"/>
      <c r="K1891" s="343"/>
      <c r="L1891" s="347"/>
      <c r="M1891" s="89"/>
      <c r="N1891" s="10"/>
      <c r="O1891" s="22"/>
      <c r="P1891" s="14"/>
      <c r="Q1891" s="22" t="str">
        <f>IF(AND(O1891&lt;&gt;"",P1891=Enginuity!$A$19),
   IF(Enginuity!$B$6&gt;4,Enginuity!$B$13,1),
"")</f>
        <v/>
      </c>
      <c r="U1891" s="104" t="str">
        <f>IF(
  AND(
    TRIM(A1891)=TRIM(Enginuity!$A$1),
    TRIM(B1891)=TRIM(Enginuity!$A$17),
    Q1891&lt;&gt;"",
    Q1891&lt;&gt;0,
    OR(
      TRIM(C1891)=TRIM(Enginuity!$A$18),
      AND(UPPER(TRIM(M1891))="STD", TRIM(B1891)=TRIM(Enginuity!$A$17))
    ),
    OR(
      AND(LEFT(P1891,5)="1-Way", Enginuity!$B$13=1),
      AND(LEFT(P1891,5)="2-Way", OR(Enginuity!$B$13=2, Enginuity!$B$13=4)),
      AND(LEFT(P1891,5)="3-Way", OR(Enginuity!$B$13=3, Enginuity!$B$13=6)),
      AND(P1891="Inner Centre Jamb", OR(Enginuity!$B$13=4, Enginuity!$B$13=6)),
      AND(
        LEFT(P1891,5)&lt;&gt;"1-Way",
        LEFT(P1891,5)&lt;&gt;"2-Way",
        LEFT(P1891,5)&lt;&gt;"3-Way",
        P1891&lt;&gt;"Inner Centre Jamb"
      )
    ),
    IF(OR(Enginuity!$A$1="Frameless Glass",Enginuity!$A$1="Metal Work"),
      AND(TRIM(B1891)=TRIM(Enginuity!$A$17),TRIM(C1891)=TRIM(Enginuity!$A$18)),
      TRIM(B1891)=TRIM(Enginuity!$A$17)
    )
  ),
  ROW(),
  ""
)</f>
        <v/>
      </c>
    </row>
    <row r="1892" spans="1:21" x14ac:dyDescent="0.25">
      <c r="A1892" s="10" t="s">
        <v>1373</v>
      </c>
      <c r="B1892" s="229" t="s">
        <v>1374</v>
      </c>
      <c r="C1892" s="10" t="s">
        <v>1375</v>
      </c>
      <c r="D1892" s="36"/>
      <c r="E1892" s="157"/>
      <c r="F1892" s="10"/>
      <c r="G1892" s="17"/>
      <c r="H1892" s="10"/>
      <c r="I1892" s="17"/>
      <c r="J1892" s="83"/>
      <c r="K1892" s="343"/>
      <c r="L1892" s="347"/>
      <c r="M1892" s="89"/>
      <c r="N1892" s="10"/>
      <c r="O1892" s="22"/>
      <c r="P1892" s="14"/>
      <c r="Q1892" s="22" t="str">
        <f>IF(AND(O1892&lt;&gt;"",P1892=Enginuity!$A$19),
   IF(Enginuity!$B$6&gt;4,Enginuity!$B$13,1),
"")</f>
        <v/>
      </c>
      <c r="U1892" s="104" t="str">
        <f>IF(
  AND(
    TRIM(A1892)=TRIM(Enginuity!$A$1),
    TRIM(B1892)=TRIM(Enginuity!$A$17),
    Q1892&lt;&gt;"",
    Q1892&lt;&gt;0,
    OR(
      TRIM(C1892)=TRIM(Enginuity!$A$18),
      AND(UPPER(TRIM(M1892))="STD", TRIM(B1892)=TRIM(Enginuity!$A$17))
    ),
    OR(
      AND(LEFT(P1892,5)="1-Way", Enginuity!$B$13=1),
      AND(LEFT(P1892,5)="2-Way", OR(Enginuity!$B$13=2, Enginuity!$B$13=4)),
      AND(LEFT(P1892,5)="3-Way", OR(Enginuity!$B$13=3, Enginuity!$B$13=6)),
      AND(P1892="Inner Centre Jamb", OR(Enginuity!$B$13=4, Enginuity!$B$13=6)),
      AND(
        LEFT(P1892,5)&lt;&gt;"1-Way",
        LEFT(P1892,5)&lt;&gt;"2-Way",
        LEFT(P1892,5)&lt;&gt;"3-Way",
        P1892&lt;&gt;"Inner Centre Jamb"
      )
    ),
    IF(OR(Enginuity!$A$1="Frameless Glass",Enginuity!$A$1="Metal Work"),
      AND(TRIM(B1892)=TRIM(Enginuity!$A$17),TRIM(C1892)=TRIM(Enginuity!$A$18)),
      TRIM(B1892)=TRIM(Enginuity!$A$17)
    )
  ),
  ROW(),
  ""
)</f>
        <v/>
      </c>
    </row>
    <row r="1893" spans="1:21" x14ac:dyDescent="0.25">
      <c r="A1893" s="10" t="s">
        <v>1373</v>
      </c>
      <c r="B1893" s="229" t="s">
        <v>1374</v>
      </c>
      <c r="C1893" s="10" t="s">
        <v>1375</v>
      </c>
      <c r="D1893" s="36"/>
      <c r="E1893" s="157"/>
      <c r="F1893" s="10"/>
      <c r="G1893" s="17"/>
      <c r="H1893" s="10"/>
      <c r="I1893" s="17"/>
      <c r="J1893" s="83"/>
      <c r="K1893" s="343"/>
      <c r="L1893" s="347"/>
      <c r="M1893" s="89"/>
      <c r="N1893" s="10"/>
      <c r="O1893" s="22"/>
      <c r="P1893" s="14"/>
      <c r="Q1893" s="22" t="str">
        <f>IF(AND(O1893&lt;&gt;"",P1893=Enginuity!$A$19),
   IF(Enginuity!$B$6&gt;4,Enginuity!$B$13,1),
"")</f>
        <v/>
      </c>
      <c r="U1893" s="104" t="str">
        <f>IF(
  AND(
    TRIM(A1893)=TRIM(Enginuity!$A$1),
    TRIM(B1893)=TRIM(Enginuity!$A$17),
    Q1893&lt;&gt;"",
    Q1893&lt;&gt;0,
    OR(
      TRIM(C1893)=TRIM(Enginuity!$A$18),
      AND(UPPER(TRIM(M1893))="STD", TRIM(B1893)=TRIM(Enginuity!$A$17))
    ),
    OR(
      AND(LEFT(P1893,5)="1-Way", Enginuity!$B$13=1),
      AND(LEFT(P1893,5)="2-Way", OR(Enginuity!$B$13=2, Enginuity!$B$13=4)),
      AND(LEFT(P1893,5)="3-Way", OR(Enginuity!$B$13=3, Enginuity!$B$13=6)),
      AND(P1893="Inner Centre Jamb", OR(Enginuity!$B$13=4, Enginuity!$B$13=6)),
      AND(
        LEFT(P1893,5)&lt;&gt;"1-Way",
        LEFT(P1893,5)&lt;&gt;"2-Way",
        LEFT(P1893,5)&lt;&gt;"3-Way",
        P1893&lt;&gt;"Inner Centre Jamb"
      )
    ),
    IF(OR(Enginuity!$A$1="Frameless Glass",Enginuity!$A$1="Metal Work"),
      AND(TRIM(B1893)=TRIM(Enginuity!$A$17),TRIM(C1893)=TRIM(Enginuity!$A$18)),
      TRIM(B1893)=TRIM(Enginuity!$A$17)
    )
  ),
  ROW(),
  ""
)</f>
        <v/>
      </c>
    </row>
    <row r="1894" spans="1:21" x14ac:dyDescent="0.25">
      <c r="A1894" s="10" t="s">
        <v>1373</v>
      </c>
      <c r="B1894" s="229" t="s">
        <v>1374</v>
      </c>
      <c r="C1894" s="10" t="s">
        <v>1375</v>
      </c>
      <c r="D1894" s="36"/>
      <c r="E1894" s="157"/>
      <c r="F1894" s="10"/>
      <c r="G1894" s="17"/>
      <c r="H1894" s="10"/>
      <c r="I1894" s="17"/>
      <c r="J1894" s="83"/>
      <c r="K1894" s="343"/>
      <c r="L1894" s="347"/>
      <c r="M1894" s="89"/>
      <c r="N1894" s="10"/>
      <c r="O1894" s="22"/>
      <c r="P1894" s="14"/>
      <c r="Q1894" s="22" t="str">
        <f>IF(AND(O1894&lt;&gt;"",P1894=Enginuity!$A$19),
   IF(Enginuity!$B$6&gt;4,Enginuity!$B$13,1),
"")</f>
        <v/>
      </c>
      <c r="U1894" s="104" t="str">
        <f>IF(
  AND(
    TRIM(A1894)=TRIM(Enginuity!$A$1),
    TRIM(B1894)=TRIM(Enginuity!$A$17),
    Q1894&lt;&gt;"",
    Q1894&lt;&gt;0,
    OR(
      TRIM(C1894)=TRIM(Enginuity!$A$18),
      AND(UPPER(TRIM(M1894))="STD", TRIM(B1894)=TRIM(Enginuity!$A$17))
    ),
    OR(
      AND(LEFT(P1894,5)="1-Way", Enginuity!$B$13=1),
      AND(LEFT(P1894,5)="2-Way", OR(Enginuity!$B$13=2, Enginuity!$B$13=4)),
      AND(LEFT(P1894,5)="3-Way", OR(Enginuity!$B$13=3, Enginuity!$B$13=6)),
      AND(P1894="Inner Centre Jamb", OR(Enginuity!$B$13=4, Enginuity!$B$13=6)),
      AND(
        LEFT(P1894,5)&lt;&gt;"1-Way",
        LEFT(P1894,5)&lt;&gt;"2-Way",
        LEFT(P1894,5)&lt;&gt;"3-Way",
        P1894&lt;&gt;"Inner Centre Jamb"
      )
    ),
    IF(OR(Enginuity!$A$1="Frameless Glass",Enginuity!$A$1="Metal Work"),
      AND(TRIM(B1894)=TRIM(Enginuity!$A$17),TRIM(C1894)=TRIM(Enginuity!$A$18)),
      TRIM(B1894)=TRIM(Enginuity!$A$17)
    )
  ),
  ROW(),
  ""
)</f>
        <v/>
      </c>
    </row>
    <row r="1895" spans="1:21" x14ac:dyDescent="0.25">
      <c r="A1895" s="10" t="s">
        <v>1373</v>
      </c>
      <c r="B1895" s="229" t="s">
        <v>1374</v>
      </c>
      <c r="C1895" s="10" t="s">
        <v>1375</v>
      </c>
      <c r="D1895" s="36"/>
      <c r="E1895" s="157"/>
      <c r="F1895" s="10"/>
      <c r="G1895" s="17"/>
      <c r="H1895" s="10"/>
      <c r="I1895" s="17"/>
      <c r="J1895" s="83"/>
      <c r="K1895" s="343"/>
      <c r="L1895" s="347"/>
      <c r="M1895" s="89"/>
      <c r="N1895" s="10"/>
      <c r="O1895" s="22"/>
      <c r="P1895" s="14"/>
      <c r="Q1895" s="22" t="str">
        <f>IF(AND(O1895&lt;&gt;"",P1895=Enginuity!$A$19),
   IF(Enginuity!$B$6&gt;4,Enginuity!$B$13,1),
"")</f>
        <v/>
      </c>
      <c r="U1895" s="104" t="str">
        <f>IF(
  AND(
    TRIM(A1895)=TRIM(Enginuity!$A$1),
    TRIM(B1895)=TRIM(Enginuity!$A$17),
    Q1895&lt;&gt;"",
    Q1895&lt;&gt;0,
    OR(
      TRIM(C1895)=TRIM(Enginuity!$A$18),
      AND(UPPER(TRIM(M1895))="STD", TRIM(B1895)=TRIM(Enginuity!$A$17))
    ),
    OR(
      AND(LEFT(P1895,5)="1-Way", Enginuity!$B$13=1),
      AND(LEFT(P1895,5)="2-Way", OR(Enginuity!$B$13=2, Enginuity!$B$13=4)),
      AND(LEFT(P1895,5)="3-Way", OR(Enginuity!$B$13=3, Enginuity!$B$13=6)),
      AND(P1895="Inner Centre Jamb", OR(Enginuity!$B$13=4, Enginuity!$B$13=6)),
      AND(
        LEFT(P1895,5)&lt;&gt;"1-Way",
        LEFT(P1895,5)&lt;&gt;"2-Way",
        LEFT(P1895,5)&lt;&gt;"3-Way",
        P1895&lt;&gt;"Inner Centre Jamb"
      )
    ),
    IF(OR(Enginuity!$A$1="Frameless Glass",Enginuity!$A$1="Metal Work"),
      AND(TRIM(B1895)=TRIM(Enginuity!$A$17),TRIM(C1895)=TRIM(Enginuity!$A$18)),
      TRIM(B1895)=TRIM(Enginuity!$A$17)
    )
  ),
  ROW(),
  ""
)</f>
        <v/>
      </c>
    </row>
    <row r="1896" spans="1:21" x14ac:dyDescent="0.25">
      <c r="A1896" s="10" t="s">
        <v>1373</v>
      </c>
      <c r="B1896" s="229" t="s">
        <v>1374</v>
      </c>
      <c r="C1896" s="10" t="s">
        <v>1375</v>
      </c>
      <c r="D1896" s="36"/>
      <c r="E1896" s="157"/>
      <c r="F1896" s="10"/>
      <c r="G1896" s="17"/>
      <c r="H1896" s="10"/>
      <c r="I1896" s="17"/>
      <c r="J1896" s="83"/>
      <c r="K1896" s="343"/>
      <c r="L1896" s="347"/>
      <c r="M1896" s="89"/>
      <c r="N1896" s="10"/>
      <c r="O1896" s="22"/>
      <c r="P1896" s="14"/>
      <c r="Q1896" s="22" t="str">
        <f>IF(AND(O1896&lt;&gt;"",P1896=Enginuity!$A$19),
   IF(Enginuity!$B$6&gt;4,Enginuity!$B$13,1),
"")</f>
        <v/>
      </c>
      <c r="U1896" s="104" t="str">
        <f>IF(
  AND(
    TRIM(A1896)=TRIM(Enginuity!$A$1),
    TRIM(B1896)=TRIM(Enginuity!$A$17),
    Q1896&lt;&gt;"",
    Q1896&lt;&gt;0,
    OR(
      TRIM(C1896)=TRIM(Enginuity!$A$18),
      AND(UPPER(TRIM(M1896))="STD", TRIM(B1896)=TRIM(Enginuity!$A$17))
    ),
    OR(
      AND(LEFT(P1896,5)="1-Way", Enginuity!$B$13=1),
      AND(LEFT(P1896,5)="2-Way", OR(Enginuity!$B$13=2, Enginuity!$B$13=4)),
      AND(LEFT(P1896,5)="3-Way", OR(Enginuity!$B$13=3, Enginuity!$B$13=6)),
      AND(P1896="Inner Centre Jamb", OR(Enginuity!$B$13=4, Enginuity!$B$13=6)),
      AND(
        LEFT(P1896,5)&lt;&gt;"1-Way",
        LEFT(P1896,5)&lt;&gt;"2-Way",
        LEFT(P1896,5)&lt;&gt;"3-Way",
        P1896&lt;&gt;"Inner Centre Jamb"
      )
    ),
    IF(OR(Enginuity!$A$1="Frameless Glass",Enginuity!$A$1="Metal Work"),
      AND(TRIM(B1896)=TRIM(Enginuity!$A$17),TRIM(C1896)=TRIM(Enginuity!$A$18)),
      TRIM(B1896)=TRIM(Enginuity!$A$17)
    )
  ),
  ROW(),
  ""
)</f>
        <v/>
      </c>
    </row>
    <row r="1897" spans="1:21" x14ac:dyDescent="0.25">
      <c r="A1897" s="10" t="s">
        <v>1373</v>
      </c>
      <c r="B1897" s="229" t="s">
        <v>1374</v>
      </c>
      <c r="C1897" s="10" t="s">
        <v>1375</v>
      </c>
      <c r="D1897" s="36"/>
      <c r="E1897" s="157"/>
      <c r="F1897" s="10"/>
      <c r="G1897" s="17"/>
      <c r="H1897" s="10"/>
      <c r="I1897" s="17"/>
      <c r="J1897" s="83"/>
      <c r="K1897" s="343"/>
      <c r="L1897" s="347"/>
      <c r="M1897" s="89"/>
      <c r="N1897" s="10"/>
      <c r="O1897" s="22"/>
      <c r="P1897" s="14"/>
      <c r="Q1897" s="22" t="str">
        <f>IF(AND(O1897&lt;&gt;"",P1897=Enginuity!$A$19),
   IF(Enginuity!$B$6&gt;4,Enginuity!$B$13,1),
"")</f>
        <v/>
      </c>
      <c r="U1897" s="104" t="str">
        <f>IF(
  AND(
    TRIM(A1897)=TRIM(Enginuity!$A$1),
    TRIM(B1897)=TRIM(Enginuity!$A$17),
    Q1897&lt;&gt;"",
    Q1897&lt;&gt;0,
    OR(
      TRIM(C1897)=TRIM(Enginuity!$A$18),
      AND(UPPER(TRIM(M1897))="STD", TRIM(B1897)=TRIM(Enginuity!$A$17))
    ),
    OR(
      AND(LEFT(P1897,5)="1-Way", Enginuity!$B$13=1),
      AND(LEFT(P1897,5)="2-Way", OR(Enginuity!$B$13=2, Enginuity!$B$13=4)),
      AND(LEFT(P1897,5)="3-Way", OR(Enginuity!$B$13=3, Enginuity!$B$13=6)),
      AND(P1897="Inner Centre Jamb", OR(Enginuity!$B$13=4, Enginuity!$B$13=6)),
      AND(
        LEFT(P1897,5)&lt;&gt;"1-Way",
        LEFT(P1897,5)&lt;&gt;"2-Way",
        LEFT(P1897,5)&lt;&gt;"3-Way",
        P1897&lt;&gt;"Inner Centre Jamb"
      )
    ),
    IF(OR(Enginuity!$A$1="Frameless Glass",Enginuity!$A$1="Metal Work"),
      AND(TRIM(B1897)=TRIM(Enginuity!$A$17),TRIM(C1897)=TRIM(Enginuity!$A$18)),
      TRIM(B1897)=TRIM(Enginuity!$A$17)
    )
  ),
  ROW(),
  ""
)</f>
        <v/>
      </c>
    </row>
    <row r="1898" spans="1:21" x14ac:dyDescent="0.25">
      <c r="A1898" s="10" t="s">
        <v>1373</v>
      </c>
      <c r="B1898" s="229" t="s">
        <v>1374</v>
      </c>
      <c r="C1898" s="10" t="s">
        <v>1375</v>
      </c>
      <c r="D1898" s="36"/>
      <c r="E1898" s="157"/>
      <c r="F1898" s="10"/>
      <c r="G1898" s="17"/>
      <c r="H1898" s="10"/>
      <c r="I1898" s="17"/>
      <c r="J1898" s="83"/>
      <c r="K1898" s="343"/>
      <c r="L1898" s="347"/>
      <c r="M1898" s="89"/>
      <c r="N1898" s="10"/>
      <c r="O1898" s="22"/>
      <c r="P1898" s="14"/>
      <c r="Q1898" s="22" t="str">
        <f>IF(AND(O1898&lt;&gt;"",P1898=Enginuity!$A$19),
   IF(Enginuity!$B$6&gt;4,Enginuity!$B$13,1),
"")</f>
        <v/>
      </c>
      <c r="U1898" s="104" t="str">
        <f>IF(
  AND(
    TRIM(A1898)=TRIM(Enginuity!$A$1),
    TRIM(B1898)=TRIM(Enginuity!$A$17),
    Q1898&lt;&gt;"",
    Q1898&lt;&gt;0,
    OR(
      TRIM(C1898)=TRIM(Enginuity!$A$18),
      AND(UPPER(TRIM(M1898))="STD", TRIM(B1898)=TRIM(Enginuity!$A$17))
    ),
    OR(
      AND(LEFT(P1898,5)="1-Way", Enginuity!$B$13=1),
      AND(LEFT(P1898,5)="2-Way", OR(Enginuity!$B$13=2, Enginuity!$B$13=4)),
      AND(LEFT(P1898,5)="3-Way", OR(Enginuity!$B$13=3, Enginuity!$B$13=6)),
      AND(P1898="Inner Centre Jamb", OR(Enginuity!$B$13=4, Enginuity!$B$13=6)),
      AND(
        LEFT(P1898,5)&lt;&gt;"1-Way",
        LEFT(P1898,5)&lt;&gt;"2-Way",
        LEFT(P1898,5)&lt;&gt;"3-Way",
        P1898&lt;&gt;"Inner Centre Jamb"
      )
    ),
    IF(OR(Enginuity!$A$1="Frameless Glass",Enginuity!$A$1="Metal Work"),
      AND(TRIM(B1898)=TRIM(Enginuity!$A$17),TRIM(C1898)=TRIM(Enginuity!$A$18)),
      TRIM(B1898)=TRIM(Enginuity!$A$17)
    )
  ),
  ROW(),
  ""
)</f>
        <v/>
      </c>
    </row>
    <row r="1899" spans="1:21" x14ac:dyDescent="0.25">
      <c r="A1899" s="10" t="s">
        <v>1373</v>
      </c>
      <c r="B1899" s="229" t="s">
        <v>1374</v>
      </c>
      <c r="C1899" s="10" t="s">
        <v>1375</v>
      </c>
      <c r="D1899" s="36"/>
      <c r="E1899" s="157"/>
      <c r="F1899" s="10"/>
      <c r="G1899" s="17"/>
      <c r="H1899" s="10"/>
      <c r="I1899" s="17"/>
      <c r="J1899" s="83"/>
      <c r="K1899" s="343"/>
      <c r="L1899" s="347"/>
      <c r="M1899" s="89"/>
      <c r="N1899" s="14"/>
      <c r="O1899" s="22"/>
      <c r="P1899" s="14"/>
      <c r="Q1899" s="22" t="str">
        <f>IF(AND(O1899&lt;&gt;"",P1899=Enginuity!$A$19),
   IF(Enginuity!$B$6&gt;4,Enginuity!$B$13,1),
"")</f>
        <v/>
      </c>
      <c r="U1899" s="104" t="str">
        <f>IF(
  AND(
    TRIM(A1899)=TRIM(Enginuity!$A$1),
    TRIM(B1899)=TRIM(Enginuity!$A$17),
    Q1899&lt;&gt;"",
    Q1899&lt;&gt;0,
    OR(
      TRIM(C1899)=TRIM(Enginuity!$A$18),
      AND(UPPER(TRIM(M1899))="STD", TRIM(B1899)=TRIM(Enginuity!$A$17))
    ),
    OR(
      AND(LEFT(P1899,5)="1-Way", Enginuity!$B$13=1),
      AND(LEFT(P1899,5)="2-Way", OR(Enginuity!$B$13=2, Enginuity!$B$13=4)),
      AND(LEFT(P1899,5)="3-Way", OR(Enginuity!$B$13=3, Enginuity!$B$13=6)),
      AND(P1899="Inner Centre Jamb", OR(Enginuity!$B$13=4, Enginuity!$B$13=6)),
      AND(
        LEFT(P1899,5)&lt;&gt;"1-Way",
        LEFT(P1899,5)&lt;&gt;"2-Way",
        LEFT(P1899,5)&lt;&gt;"3-Way",
        P1899&lt;&gt;"Inner Centre Jamb"
      )
    ),
    IF(OR(Enginuity!$A$1="Frameless Glass",Enginuity!$A$1="Metal Work"),
      AND(TRIM(B1899)=TRIM(Enginuity!$A$17),TRIM(C1899)=TRIM(Enginuity!$A$18)),
      TRIM(B1899)=TRIM(Enginuity!$A$17)
    )
  ),
  ROW(),
  ""
)</f>
        <v/>
      </c>
    </row>
    <row r="1900" spans="1:21" x14ac:dyDescent="0.25">
      <c r="A1900" s="10" t="s">
        <v>1373</v>
      </c>
      <c r="B1900" s="229" t="s">
        <v>1374</v>
      </c>
      <c r="C1900" s="10" t="s">
        <v>1375</v>
      </c>
      <c r="D1900" s="36"/>
      <c r="E1900" s="157"/>
      <c r="F1900" s="10"/>
      <c r="G1900" s="17"/>
      <c r="H1900" s="10"/>
      <c r="I1900" s="17"/>
      <c r="J1900" s="83"/>
      <c r="K1900" s="343"/>
      <c r="L1900" s="347"/>
      <c r="M1900" s="89"/>
      <c r="N1900" s="21"/>
      <c r="O1900" s="22"/>
      <c r="P1900" s="14"/>
      <c r="Q1900" s="22" t="str">
        <f>IF(AND(O1900&lt;&gt;"",P1900=Enginuity!$A$19),
   IF(Enginuity!$B$6&gt;4,Enginuity!$B$13,1),
"")</f>
        <v/>
      </c>
      <c r="U1900" s="104" t="str">
        <f>IF(
  AND(
    TRIM(A1900)=TRIM(Enginuity!$A$1),
    TRIM(B1900)=TRIM(Enginuity!$A$17),
    Q1900&lt;&gt;"",
    Q1900&lt;&gt;0,
    OR(
      TRIM(C1900)=TRIM(Enginuity!$A$18),
      AND(UPPER(TRIM(M1900))="STD", TRIM(B1900)=TRIM(Enginuity!$A$17))
    ),
    OR(
      AND(LEFT(P1900,5)="1-Way", Enginuity!$B$13=1),
      AND(LEFT(P1900,5)="2-Way", OR(Enginuity!$B$13=2, Enginuity!$B$13=4)),
      AND(LEFT(P1900,5)="3-Way", OR(Enginuity!$B$13=3, Enginuity!$B$13=6)),
      AND(P1900="Inner Centre Jamb", OR(Enginuity!$B$13=4, Enginuity!$B$13=6)),
      AND(
        LEFT(P1900,5)&lt;&gt;"1-Way",
        LEFT(P1900,5)&lt;&gt;"2-Way",
        LEFT(P1900,5)&lt;&gt;"3-Way",
        P1900&lt;&gt;"Inner Centre Jamb"
      )
    ),
    IF(OR(Enginuity!$A$1="Frameless Glass",Enginuity!$A$1="Metal Work"),
      AND(TRIM(B1900)=TRIM(Enginuity!$A$17),TRIM(C1900)=TRIM(Enginuity!$A$18)),
      TRIM(B1900)=TRIM(Enginuity!$A$17)
    )
  ),
  ROW(),
  ""
)</f>
        <v/>
      </c>
    </row>
    <row r="1901" spans="1:21" x14ac:dyDescent="0.25">
      <c r="A1901" s="10" t="s">
        <v>1373</v>
      </c>
      <c r="B1901" s="229" t="s">
        <v>1374</v>
      </c>
      <c r="C1901" s="10" t="s">
        <v>1375</v>
      </c>
      <c r="D1901" s="36"/>
      <c r="E1901" s="157"/>
      <c r="F1901" s="10"/>
      <c r="G1901" s="17"/>
      <c r="H1901" s="10"/>
      <c r="I1901" s="17"/>
      <c r="J1901" s="83"/>
      <c r="K1901" s="343"/>
      <c r="L1901" s="347"/>
      <c r="M1901" s="89"/>
      <c r="N1901" s="14"/>
      <c r="O1901" s="22"/>
      <c r="P1901" s="14"/>
      <c r="Q1901" s="22" t="str">
        <f>IF(AND(O1901&lt;&gt;"",P1901=Enginuity!$A$19),
   IF(Enginuity!$B$6&gt;4,Enginuity!$B$13,1),
"")</f>
        <v/>
      </c>
      <c r="U1901" s="104" t="str">
        <f>IF(
  AND(
    TRIM(A1901)=TRIM(Enginuity!$A$1),
    TRIM(B1901)=TRIM(Enginuity!$A$17),
    Q1901&lt;&gt;"",
    Q1901&lt;&gt;0,
    OR(
      TRIM(C1901)=TRIM(Enginuity!$A$18),
      AND(UPPER(TRIM(M1901))="STD", TRIM(B1901)=TRIM(Enginuity!$A$17))
    ),
    OR(
      AND(LEFT(P1901,5)="1-Way", Enginuity!$B$13=1),
      AND(LEFT(P1901,5)="2-Way", OR(Enginuity!$B$13=2, Enginuity!$B$13=4)),
      AND(LEFT(P1901,5)="3-Way", OR(Enginuity!$B$13=3, Enginuity!$B$13=6)),
      AND(P1901="Inner Centre Jamb", OR(Enginuity!$B$13=4, Enginuity!$B$13=6)),
      AND(
        LEFT(P1901,5)&lt;&gt;"1-Way",
        LEFT(P1901,5)&lt;&gt;"2-Way",
        LEFT(P1901,5)&lt;&gt;"3-Way",
        P1901&lt;&gt;"Inner Centre Jamb"
      )
    ),
    IF(OR(Enginuity!$A$1="Frameless Glass",Enginuity!$A$1="Metal Work"),
      AND(TRIM(B1901)=TRIM(Enginuity!$A$17),TRIM(C1901)=TRIM(Enginuity!$A$18)),
      TRIM(B1901)=TRIM(Enginuity!$A$17)
    )
  ),
  ROW(),
  ""
)</f>
        <v/>
      </c>
    </row>
    <row r="1902" spans="1:21" x14ac:dyDescent="0.25">
      <c r="A1902" s="10" t="s">
        <v>1373</v>
      </c>
      <c r="B1902" s="229" t="s">
        <v>1374</v>
      </c>
      <c r="C1902" s="10"/>
      <c r="D1902" s="36"/>
      <c r="E1902" s="157"/>
      <c r="F1902" s="10"/>
      <c r="G1902" s="17"/>
      <c r="H1902" s="10"/>
      <c r="I1902" s="17"/>
      <c r="J1902" s="83"/>
      <c r="K1902" s="343"/>
      <c r="L1902" s="347"/>
      <c r="M1902" s="89"/>
      <c r="N1902" s="14"/>
      <c r="O1902" s="22"/>
      <c r="P1902" s="14"/>
      <c r="Q1902" s="83"/>
      <c r="U1902" s="104" t="str">
        <f>IF(
  AND(
    TRIM(A1902)=TRIM(Enginuity!$A$1),
    TRIM(B1902)=TRIM(Enginuity!$A$17),
    Q1902&lt;&gt;"",
    Q1902&lt;&gt;0,
    OR(
      TRIM(C1902)=TRIM(Enginuity!$A$18),
      AND(UPPER(TRIM(M1902))="STD", TRIM(B1902)=TRIM(Enginuity!$A$17))
    ),
    OR(
      AND(LEFT(P1902,5)="1-Way", Enginuity!$B$13=1),
      AND(LEFT(P1902,5)="2-Way", OR(Enginuity!$B$13=2, Enginuity!$B$13=4)),
      AND(LEFT(P1902,5)="3-Way", OR(Enginuity!$B$13=3, Enginuity!$B$13=6)),
      AND(P1902="Inner Centre Jamb", OR(Enginuity!$B$13=4, Enginuity!$B$13=6)),
      AND(
        LEFT(P1902,5)&lt;&gt;"1-Way",
        LEFT(P1902,5)&lt;&gt;"2-Way",
        LEFT(P1902,5)&lt;&gt;"3-Way",
        P1902&lt;&gt;"Inner Centre Jamb"
      )
    ),
    IF(OR(Enginuity!$A$1="Frameless Glass",Enginuity!$A$1="Metal Work"),
      AND(TRIM(B1902)=TRIM(Enginuity!$A$17),TRIM(C1902)=TRIM(Enginuity!$A$18)),
      TRIM(B1902)=TRIM(Enginuity!$A$17)
    )
  ),
  ROW(),
  ""
)</f>
        <v/>
      </c>
    </row>
    <row r="1903" spans="1:21" x14ac:dyDescent="0.25">
      <c r="A1903" s="10" t="s">
        <v>1373</v>
      </c>
      <c r="B1903" s="229" t="s">
        <v>1374</v>
      </c>
      <c r="C1903" s="10"/>
      <c r="D1903" s="36"/>
      <c r="E1903" s="157"/>
      <c r="F1903" s="10"/>
      <c r="G1903" s="17"/>
      <c r="H1903" s="10"/>
      <c r="I1903" s="17"/>
      <c r="J1903" s="83"/>
      <c r="K1903" s="343"/>
      <c r="L1903" s="347"/>
      <c r="M1903" s="89"/>
      <c r="N1903" s="14"/>
      <c r="O1903" s="22"/>
      <c r="P1903" s="14"/>
      <c r="Q1903" s="83"/>
      <c r="U1903" s="104" t="str">
        <f>IF(
  AND(
    TRIM(A1903)=TRIM(Enginuity!$A$1),
    TRIM(B1903)=TRIM(Enginuity!$A$17),
    Q1903&lt;&gt;"",
    Q1903&lt;&gt;0,
    OR(
      TRIM(C1903)=TRIM(Enginuity!$A$18),
      AND(UPPER(TRIM(M1903))="STD", TRIM(B1903)=TRIM(Enginuity!$A$17))
    ),
    OR(
      AND(LEFT(P1903,5)="1-Way", Enginuity!$B$13=1),
      AND(LEFT(P1903,5)="2-Way", OR(Enginuity!$B$13=2, Enginuity!$B$13=4)),
      AND(LEFT(P1903,5)="3-Way", OR(Enginuity!$B$13=3, Enginuity!$B$13=6)),
      AND(P1903="Inner Centre Jamb", OR(Enginuity!$B$13=4, Enginuity!$B$13=6)),
      AND(
        LEFT(P1903,5)&lt;&gt;"1-Way",
        LEFT(P1903,5)&lt;&gt;"2-Way",
        LEFT(P1903,5)&lt;&gt;"3-Way",
        P1903&lt;&gt;"Inner Centre Jamb"
      )
    ),
    IF(OR(Enginuity!$A$1="Frameless Glass",Enginuity!$A$1="Metal Work"),
      AND(TRIM(B1903)=TRIM(Enginuity!$A$17),TRIM(C1903)=TRIM(Enginuity!$A$18)),
      TRIM(B1903)=TRIM(Enginuity!$A$17)
    )
  ),
  ROW(),
  ""
)</f>
        <v/>
      </c>
    </row>
    <row r="1904" spans="1:21" x14ac:dyDescent="0.25">
      <c r="A1904" s="10"/>
      <c r="B1904" s="229"/>
      <c r="C1904" s="10"/>
      <c r="D1904" s="14"/>
      <c r="E1904" s="157"/>
      <c r="F1904" s="10"/>
      <c r="G1904" s="17"/>
      <c r="H1904" s="10"/>
      <c r="I1904" s="17"/>
      <c r="J1904" s="83"/>
      <c r="K1904" s="343"/>
      <c r="L1904" s="347"/>
      <c r="M1904" s="89"/>
      <c r="N1904" s="14"/>
      <c r="O1904" s="22"/>
      <c r="P1904" s="14"/>
      <c r="Q1904" s="83"/>
      <c r="U1904" s="104" t="str">
        <f>IF(
  AND(
    TRIM(A1904)=TRIM(Enginuity!$A$1),
    TRIM(B1904)=TRIM(Enginuity!$A$17),
    Q1904&lt;&gt;"",
    Q1904&lt;&gt;0,
    OR(
      TRIM(C1904)=TRIM(Enginuity!$A$18),
      AND(UPPER(TRIM(M1904))="STD", TRIM(B1904)=TRIM(Enginuity!$A$17))
    ),
    OR(
      AND(LEFT(P1904,5)="1-Way", Enginuity!$B$13=1),
      AND(LEFT(P1904,5)="2-Way", OR(Enginuity!$B$13=2, Enginuity!$B$13=4)),
      AND(LEFT(P1904,5)="3-Way", OR(Enginuity!$B$13=3, Enginuity!$B$13=6)),
      AND(P1904="Inner Centre Jamb", OR(Enginuity!$B$13=4, Enginuity!$B$13=6)),
      AND(
        LEFT(P1904,5)&lt;&gt;"1-Way",
        LEFT(P1904,5)&lt;&gt;"2-Way",
        LEFT(P1904,5)&lt;&gt;"3-Way",
        P1904&lt;&gt;"Inner Centre Jamb"
      )
    ),
    IF(OR(Enginuity!$A$1="Frameless Glass",Enginuity!$A$1="Metal Work"),
      AND(TRIM(B1904)=TRIM(Enginuity!$A$17),TRIM(C1904)=TRIM(Enginuity!$A$18)),
      TRIM(B1904)=TRIM(Enginuity!$A$17)
    )
  ),
  ROW(),
  ""
)</f>
        <v/>
      </c>
    </row>
    <row r="1905" spans="1:21" x14ac:dyDescent="0.25">
      <c r="A1905" s="10"/>
      <c r="B1905" s="229"/>
      <c r="C1905" s="10"/>
      <c r="D1905" s="14"/>
      <c r="E1905" s="157"/>
      <c r="F1905" s="10"/>
      <c r="G1905" s="17"/>
      <c r="H1905" s="10"/>
      <c r="I1905" s="17"/>
      <c r="J1905" s="83"/>
      <c r="K1905" s="343"/>
      <c r="L1905" s="347"/>
      <c r="M1905" s="89"/>
      <c r="N1905" s="14"/>
      <c r="O1905" s="22"/>
      <c r="P1905" s="14"/>
      <c r="Q1905" s="83"/>
      <c r="U1905" s="104" t="str">
        <f>IF(
  AND(
    TRIM(A1905)=TRIM(Enginuity!$A$1),
    TRIM(B1905)=TRIM(Enginuity!$A$17),
    Q1905&lt;&gt;"",
    Q1905&lt;&gt;0,
    OR(
      TRIM(C1905)=TRIM(Enginuity!$A$18),
      AND(UPPER(TRIM(M1905))="STD", TRIM(B1905)=TRIM(Enginuity!$A$17))
    ),
    OR(
      AND(LEFT(P1905,5)="1-Way", Enginuity!$B$13=1),
      AND(LEFT(P1905,5)="2-Way", OR(Enginuity!$B$13=2, Enginuity!$B$13=4)),
      AND(LEFT(P1905,5)="3-Way", OR(Enginuity!$B$13=3, Enginuity!$B$13=6)),
      AND(P1905="Inner Centre Jamb", OR(Enginuity!$B$13=4, Enginuity!$B$13=6)),
      AND(
        LEFT(P1905,5)&lt;&gt;"1-Way",
        LEFT(P1905,5)&lt;&gt;"2-Way",
        LEFT(P1905,5)&lt;&gt;"3-Way",
        P1905&lt;&gt;"Inner Centre Jamb"
      )
    ),
    IF(OR(Enginuity!$A$1="Frameless Glass",Enginuity!$A$1="Metal Work"),
      AND(TRIM(B1905)=TRIM(Enginuity!$A$17),TRIM(C1905)=TRIM(Enginuity!$A$18)),
      TRIM(B1905)=TRIM(Enginuity!$A$17)
    )
  ),
  ROW(),
  ""
)</f>
        <v/>
      </c>
    </row>
    <row r="1906" spans="1:21" x14ac:dyDescent="0.25">
      <c r="A1906" s="10"/>
      <c r="B1906" s="229"/>
      <c r="C1906" s="10"/>
      <c r="D1906" s="14"/>
      <c r="E1906" s="157"/>
      <c r="F1906" s="10"/>
      <c r="G1906" s="17"/>
      <c r="H1906" s="10"/>
      <c r="I1906" s="17"/>
      <c r="J1906" s="83"/>
      <c r="K1906" s="343"/>
      <c r="L1906" s="347"/>
      <c r="M1906" s="89"/>
      <c r="N1906" s="10"/>
      <c r="O1906" s="22"/>
      <c r="P1906" s="14"/>
      <c r="Q1906" s="83"/>
      <c r="U1906" s="104" t="str">
        <f>IF(
  AND(
    TRIM(A1906)=TRIM(Enginuity!$A$1),
    TRIM(B1906)=TRIM(Enginuity!$A$17),
    Q1906&lt;&gt;"",
    Q1906&lt;&gt;0,
    OR(
      TRIM(C1906)=TRIM(Enginuity!$A$18),
      AND(UPPER(TRIM(M1906))="STD", TRIM(B1906)=TRIM(Enginuity!$A$17))
    ),
    OR(
      AND(LEFT(P1906,5)="1-Way", Enginuity!$B$13=1),
      AND(LEFT(P1906,5)="2-Way", OR(Enginuity!$B$13=2, Enginuity!$B$13=4)),
      AND(LEFT(P1906,5)="3-Way", OR(Enginuity!$B$13=3, Enginuity!$B$13=6)),
      AND(P1906="Inner Centre Jamb", OR(Enginuity!$B$13=4, Enginuity!$B$13=6)),
      AND(
        LEFT(P1906,5)&lt;&gt;"1-Way",
        LEFT(P1906,5)&lt;&gt;"2-Way",
        LEFT(P1906,5)&lt;&gt;"3-Way",
        P1906&lt;&gt;"Inner Centre Jamb"
      )
    ),
    IF(OR(Enginuity!$A$1="Frameless Glass",Enginuity!$A$1="Metal Work"),
      AND(TRIM(B1906)=TRIM(Enginuity!$A$17),TRIM(C1906)=TRIM(Enginuity!$A$18)),
      TRIM(B1906)=TRIM(Enginuity!$A$17)
    )
  ),
  ROW(),
  ""
)</f>
        <v/>
      </c>
    </row>
    <row r="1907" spans="1:21" x14ac:dyDescent="0.25">
      <c r="A1907" s="10"/>
      <c r="B1907" s="229"/>
      <c r="C1907" s="10"/>
      <c r="D1907" s="14"/>
      <c r="E1907" s="157"/>
      <c r="F1907" s="10"/>
      <c r="G1907" s="17"/>
      <c r="H1907" s="10"/>
      <c r="I1907" s="17"/>
      <c r="J1907" s="83"/>
      <c r="K1907" s="343"/>
      <c r="L1907" s="347"/>
      <c r="M1907" s="89"/>
      <c r="N1907" s="10"/>
      <c r="O1907" s="22"/>
      <c r="P1907" s="21"/>
      <c r="Q1907" s="83"/>
      <c r="U1907" s="104" t="str">
        <f>IF(
  AND(
    TRIM(A1907)=TRIM(Enginuity!$A$1),
    TRIM(B1907)=TRIM(Enginuity!$A$17),
    Q1907&lt;&gt;"",
    Q1907&lt;&gt;0,
    OR(
      TRIM(C1907)=TRIM(Enginuity!$A$18),
      AND(UPPER(TRIM(M1907))="STD", TRIM(B1907)=TRIM(Enginuity!$A$17))
    ),
    OR(
      AND(LEFT(P1907,5)="1-Way", Enginuity!$B$13=1),
      AND(LEFT(P1907,5)="2-Way", OR(Enginuity!$B$13=2, Enginuity!$B$13=4)),
      AND(LEFT(P1907,5)="3-Way", OR(Enginuity!$B$13=3, Enginuity!$B$13=6)),
      AND(P1907="Inner Centre Jamb", OR(Enginuity!$B$13=4, Enginuity!$B$13=6)),
      AND(
        LEFT(P1907,5)&lt;&gt;"1-Way",
        LEFT(P1907,5)&lt;&gt;"2-Way",
        LEFT(P1907,5)&lt;&gt;"3-Way",
        P1907&lt;&gt;"Inner Centre Jamb"
      )
    ),
    IF(OR(Enginuity!$A$1="Frameless Glass",Enginuity!$A$1="Metal Work"),
      AND(TRIM(B1907)=TRIM(Enginuity!$A$17),TRIM(C1907)=TRIM(Enginuity!$A$18)),
      TRIM(B1907)=TRIM(Enginuity!$A$17)
    )
  ),
  ROW(),
  ""
)</f>
        <v/>
      </c>
    </row>
    <row r="1908" spans="1:21" x14ac:dyDescent="0.25">
      <c r="A1908" s="10"/>
      <c r="B1908" s="229"/>
      <c r="C1908" s="10"/>
      <c r="D1908" s="14"/>
      <c r="E1908" s="157"/>
      <c r="F1908" s="10"/>
      <c r="G1908" s="17"/>
      <c r="H1908" s="10"/>
      <c r="I1908" s="17"/>
      <c r="J1908" s="83"/>
      <c r="K1908" s="343"/>
      <c r="L1908" s="347"/>
      <c r="M1908" s="89"/>
      <c r="N1908" s="88"/>
      <c r="O1908" s="22"/>
      <c r="P1908" s="36"/>
      <c r="Q1908" s="83"/>
      <c r="U1908" s="104" t="str">
        <f>IF(
  AND(
    TRIM(A1908)=TRIM(Enginuity!$A$1),
    TRIM(B1908)=TRIM(Enginuity!$A$17),
    Q1908&lt;&gt;"",
    Q1908&lt;&gt;0,
    OR(
      TRIM(C1908)=TRIM(Enginuity!$A$18),
      AND(UPPER(TRIM(M1908))="STD", TRIM(B1908)=TRIM(Enginuity!$A$17))
    ),
    OR(
      AND(LEFT(P1908,5)="1-Way", Enginuity!$B$13=1),
      AND(LEFT(P1908,5)="2-Way", OR(Enginuity!$B$13=2, Enginuity!$B$13=4)),
      AND(LEFT(P1908,5)="3-Way", OR(Enginuity!$B$13=3, Enginuity!$B$13=6)),
      AND(P1908="Inner Centre Jamb", OR(Enginuity!$B$13=4, Enginuity!$B$13=6)),
      AND(
        LEFT(P1908,5)&lt;&gt;"1-Way",
        LEFT(P1908,5)&lt;&gt;"2-Way",
        LEFT(P1908,5)&lt;&gt;"3-Way",
        P1908&lt;&gt;"Inner Centre Jamb"
      )
    ),
    IF(OR(Enginuity!$A$1="Frameless Glass",Enginuity!$A$1="Metal Work"),
      AND(TRIM(B1908)=TRIM(Enginuity!$A$17),TRIM(C1908)=TRIM(Enginuity!$A$18)),
      TRIM(B1908)=TRIM(Enginuity!$A$17)
    )
  ),
  ROW(),
  ""
)</f>
        <v/>
      </c>
    </row>
    <row r="1909" spans="1:21" x14ac:dyDescent="0.25">
      <c r="A1909" s="10"/>
      <c r="B1909" s="229"/>
      <c r="C1909" s="10"/>
      <c r="D1909" s="14"/>
      <c r="E1909" s="157"/>
      <c r="F1909" s="10"/>
      <c r="G1909" s="17"/>
      <c r="H1909" s="10"/>
      <c r="I1909" s="17"/>
      <c r="J1909" s="83"/>
      <c r="K1909" s="343"/>
      <c r="L1909" s="347"/>
      <c r="M1909" s="10"/>
      <c r="N1909" s="10"/>
      <c r="O1909" s="22"/>
      <c r="P1909" s="21"/>
      <c r="Q1909" s="83"/>
      <c r="U1909" s="104" t="str">
        <f>IF(
  AND(
    TRIM(A1909)=TRIM(Enginuity!$A$1),
    TRIM(B1909)=TRIM(Enginuity!$A$17),
    Q1909&lt;&gt;"",
    Q1909&lt;&gt;0,
    OR(
      TRIM(C1909)=TRIM(Enginuity!$A$18),
      AND(UPPER(TRIM(M1909))="STD", TRIM(B1909)=TRIM(Enginuity!$A$17))
    ),
    OR(
      AND(LEFT(P1909,5)="1-Way", Enginuity!$B$13=1),
      AND(LEFT(P1909,5)="2-Way", OR(Enginuity!$B$13=2, Enginuity!$B$13=4)),
      AND(LEFT(P1909,5)="3-Way", OR(Enginuity!$B$13=3, Enginuity!$B$13=6)),
      AND(P1909="Inner Centre Jamb", OR(Enginuity!$B$13=4, Enginuity!$B$13=6)),
      AND(
        LEFT(P1909,5)&lt;&gt;"1-Way",
        LEFT(P1909,5)&lt;&gt;"2-Way",
        LEFT(P1909,5)&lt;&gt;"3-Way",
        P1909&lt;&gt;"Inner Centre Jamb"
      )
    ),
    IF(OR(Enginuity!$A$1="Frameless Glass",Enginuity!$A$1="Metal Work"),
      AND(TRIM(B1909)=TRIM(Enginuity!$A$17),TRIM(C1909)=TRIM(Enginuity!$A$18)),
      TRIM(B1909)=TRIM(Enginuity!$A$17)
    )
  ),
  ROW(),
  ""
)</f>
        <v/>
      </c>
    </row>
    <row r="1910" spans="1:21" x14ac:dyDescent="0.25">
      <c r="A1910" s="10"/>
      <c r="B1910" s="229"/>
      <c r="C1910" s="10"/>
      <c r="D1910" s="14"/>
      <c r="E1910" s="157"/>
      <c r="F1910" s="10"/>
      <c r="G1910" s="17"/>
      <c r="H1910" s="10"/>
      <c r="I1910" s="17"/>
      <c r="J1910" s="83"/>
      <c r="K1910" s="343"/>
      <c r="L1910" s="347"/>
      <c r="M1910" s="10"/>
      <c r="N1910" s="10"/>
      <c r="O1910" s="22"/>
      <c r="P1910" s="14"/>
      <c r="Q1910" s="83"/>
      <c r="U1910" s="104" t="str">
        <f>IF(
  AND(
    TRIM(A1910)=TRIM(Enginuity!$A$1),
    TRIM(B1910)=TRIM(Enginuity!$A$17),
    Q1910&lt;&gt;"",
    Q1910&lt;&gt;0,
    OR(
      TRIM(C1910)=TRIM(Enginuity!$A$18),
      AND(UPPER(TRIM(M1910))="STD", TRIM(B1910)=TRIM(Enginuity!$A$17))
    ),
    OR(
      AND(LEFT(P1910,5)="1-Way", Enginuity!$B$13=1),
      AND(LEFT(P1910,5)="2-Way", OR(Enginuity!$B$13=2, Enginuity!$B$13=4)),
      AND(LEFT(P1910,5)="3-Way", OR(Enginuity!$B$13=3, Enginuity!$B$13=6)),
      AND(P1910="Inner Centre Jamb", OR(Enginuity!$B$13=4, Enginuity!$B$13=6)),
      AND(
        LEFT(P1910,5)&lt;&gt;"1-Way",
        LEFT(P1910,5)&lt;&gt;"2-Way",
        LEFT(P1910,5)&lt;&gt;"3-Way",
        P1910&lt;&gt;"Inner Centre Jamb"
      )
    ),
    IF(OR(Enginuity!$A$1="Frameless Glass",Enginuity!$A$1="Metal Work"),
      AND(TRIM(B1910)=TRIM(Enginuity!$A$17),TRIM(C1910)=TRIM(Enginuity!$A$18)),
      TRIM(B1910)=TRIM(Enginuity!$A$17)
    )
  ),
  ROW(),
  ""
)</f>
        <v/>
      </c>
    </row>
    <row r="1911" spans="1:21" x14ac:dyDescent="0.25">
      <c r="A1911" s="10"/>
      <c r="B1911" s="229"/>
      <c r="C1911" s="10"/>
      <c r="D1911" s="14"/>
      <c r="E1911" s="157"/>
      <c r="F1911" s="10"/>
      <c r="G1911" s="17"/>
      <c r="H1911" s="10"/>
      <c r="I1911" s="17"/>
      <c r="J1911" s="83"/>
      <c r="K1911" s="343"/>
      <c r="L1911" s="347"/>
      <c r="M1911" s="10"/>
      <c r="N1911" s="10"/>
      <c r="O1911" s="22"/>
      <c r="P1911" s="14"/>
      <c r="Q1911" s="83"/>
      <c r="U1911" s="104" t="str">
        <f>IF(
  AND(
    TRIM(A1911)=TRIM(Enginuity!$A$1),
    TRIM(B1911)=TRIM(Enginuity!$A$17),
    Q1911&lt;&gt;"",
    Q1911&lt;&gt;0,
    OR(
      TRIM(C1911)=TRIM(Enginuity!$A$18),
      AND(UPPER(TRIM(M1911))="STD", TRIM(B1911)=TRIM(Enginuity!$A$17))
    ),
    OR(
      AND(LEFT(P1911,5)="1-Way", Enginuity!$B$13=1),
      AND(LEFT(P1911,5)="2-Way", OR(Enginuity!$B$13=2, Enginuity!$B$13=4)),
      AND(LEFT(P1911,5)="3-Way", OR(Enginuity!$B$13=3, Enginuity!$B$13=6)),
      AND(P1911="Inner Centre Jamb", OR(Enginuity!$B$13=4, Enginuity!$B$13=6)),
      AND(
        LEFT(P1911,5)&lt;&gt;"1-Way",
        LEFT(P1911,5)&lt;&gt;"2-Way",
        LEFT(P1911,5)&lt;&gt;"3-Way",
        P1911&lt;&gt;"Inner Centre Jamb"
      )
    ),
    IF(OR(Enginuity!$A$1="Frameless Glass",Enginuity!$A$1="Metal Work"),
      AND(TRIM(B1911)=TRIM(Enginuity!$A$17),TRIM(C1911)=TRIM(Enginuity!$A$18)),
      TRIM(B1911)=TRIM(Enginuity!$A$17)
    )
  ),
  ROW(),
  ""
)</f>
        <v/>
      </c>
    </row>
    <row r="1912" spans="1:21" x14ac:dyDescent="0.25">
      <c r="A1912" s="10"/>
      <c r="B1912" s="229"/>
      <c r="C1912" s="10"/>
      <c r="D1912" s="14"/>
      <c r="E1912" s="157"/>
      <c r="F1912" s="10"/>
      <c r="G1912" s="17"/>
      <c r="H1912" s="10"/>
      <c r="I1912" s="17"/>
      <c r="J1912" s="83"/>
      <c r="K1912" s="343"/>
      <c r="L1912" s="347"/>
      <c r="M1912" s="10"/>
      <c r="N1912" s="10"/>
      <c r="O1912" s="22"/>
      <c r="P1912" s="14"/>
      <c r="Q1912" s="83"/>
      <c r="U1912" s="104" t="str">
        <f>IF(
  AND(
    TRIM(A1912)=TRIM(Enginuity!$A$1),
    TRIM(B1912)=TRIM(Enginuity!$A$17),
    Q1912&lt;&gt;"",
    Q1912&lt;&gt;0,
    OR(
      TRIM(C1912)=TRIM(Enginuity!$A$18),
      AND(UPPER(TRIM(M1912))="STD", TRIM(B1912)=TRIM(Enginuity!$A$17))
    ),
    OR(
      AND(LEFT(P1912,5)="1-Way", Enginuity!$B$13=1),
      AND(LEFT(P1912,5)="2-Way", OR(Enginuity!$B$13=2, Enginuity!$B$13=4)),
      AND(LEFT(P1912,5)="3-Way", OR(Enginuity!$B$13=3, Enginuity!$B$13=6)),
      AND(P1912="Inner Centre Jamb", OR(Enginuity!$B$13=4, Enginuity!$B$13=6)),
      AND(
        LEFT(P1912,5)&lt;&gt;"1-Way",
        LEFT(P1912,5)&lt;&gt;"2-Way",
        LEFT(P1912,5)&lt;&gt;"3-Way",
        P1912&lt;&gt;"Inner Centre Jamb"
      )
    ),
    IF(OR(Enginuity!$A$1="Frameless Glass",Enginuity!$A$1="Metal Work"),
      AND(TRIM(B1912)=TRIM(Enginuity!$A$17),TRIM(C1912)=TRIM(Enginuity!$A$18)),
      TRIM(B1912)=TRIM(Enginuity!$A$17)
    )
  ),
  ROW(),
  ""
)</f>
        <v/>
      </c>
    </row>
    <row r="1913" spans="1:21" x14ac:dyDescent="0.25">
      <c r="A1913" s="10"/>
      <c r="B1913" s="229"/>
      <c r="C1913" s="10"/>
      <c r="D1913" s="14"/>
      <c r="E1913" s="157"/>
      <c r="F1913" s="10"/>
      <c r="G1913" s="17"/>
      <c r="H1913" s="10"/>
      <c r="I1913" s="17"/>
      <c r="J1913" s="83"/>
      <c r="K1913" s="343"/>
      <c r="L1913" s="347"/>
      <c r="M1913" s="10"/>
      <c r="N1913" s="10"/>
      <c r="O1913" s="22"/>
      <c r="P1913" s="14"/>
      <c r="Q1913" s="83"/>
      <c r="U1913" s="104" t="str">
        <f>IF(
  AND(
    TRIM(A1913)=TRIM(Enginuity!$A$1),
    TRIM(B1913)=TRIM(Enginuity!$A$17),
    Q1913&lt;&gt;"",
    Q1913&lt;&gt;0,
    OR(
      TRIM(C1913)=TRIM(Enginuity!$A$18),
      AND(UPPER(TRIM(M1913))="STD", TRIM(B1913)=TRIM(Enginuity!$A$17))
    ),
    OR(
      AND(LEFT(P1913,5)="1-Way", Enginuity!$B$13=1),
      AND(LEFT(P1913,5)="2-Way", OR(Enginuity!$B$13=2, Enginuity!$B$13=4)),
      AND(LEFT(P1913,5)="3-Way", OR(Enginuity!$B$13=3, Enginuity!$B$13=6)),
      AND(P1913="Inner Centre Jamb", OR(Enginuity!$B$13=4, Enginuity!$B$13=6)),
      AND(
        LEFT(P1913,5)&lt;&gt;"1-Way",
        LEFT(P1913,5)&lt;&gt;"2-Way",
        LEFT(P1913,5)&lt;&gt;"3-Way",
        P1913&lt;&gt;"Inner Centre Jamb"
      )
    ),
    IF(OR(Enginuity!$A$1="Frameless Glass",Enginuity!$A$1="Metal Work"),
      AND(TRIM(B1913)=TRIM(Enginuity!$A$17),TRIM(C1913)=TRIM(Enginuity!$A$18)),
      TRIM(B1913)=TRIM(Enginuity!$A$17)
    )
  ),
  ROW(),
  ""
)</f>
        <v/>
      </c>
    </row>
    <row r="1914" spans="1:21" x14ac:dyDescent="0.25">
      <c r="A1914" s="10"/>
      <c r="B1914" s="229"/>
      <c r="C1914" s="10"/>
      <c r="D1914" s="14"/>
      <c r="E1914" s="157"/>
      <c r="F1914" s="10"/>
      <c r="G1914" s="17"/>
      <c r="H1914" s="10"/>
      <c r="I1914" s="17"/>
      <c r="J1914" s="83"/>
      <c r="K1914" s="343"/>
      <c r="L1914" s="347"/>
      <c r="M1914" s="10"/>
      <c r="N1914" s="10"/>
      <c r="O1914" s="22"/>
      <c r="P1914" s="14"/>
      <c r="Q1914" s="83"/>
      <c r="U1914" s="104" t="str">
        <f>IF(
  AND(
    TRIM(A1914)=TRIM(Enginuity!$A$1),
    TRIM(B1914)=TRIM(Enginuity!$A$17),
    Q1914&lt;&gt;"",
    Q1914&lt;&gt;0,
    OR(
      TRIM(C1914)=TRIM(Enginuity!$A$18),
      AND(UPPER(TRIM(M1914))="STD", TRIM(B1914)=TRIM(Enginuity!$A$17))
    ),
    OR(
      AND(LEFT(P1914,5)="1-Way", Enginuity!$B$13=1),
      AND(LEFT(P1914,5)="2-Way", OR(Enginuity!$B$13=2, Enginuity!$B$13=4)),
      AND(LEFT(P1914,5)="3-Way", OR(Enginuity!$B$13=3, Enginuity!$B$13=6)),
      AND(P1914="Inner Centre Jamb", OR(Enginuity!$B$13=4, Enginuity!$B$13=6)),
      AND(
        LEFT(P1914,5)&lt;&gt;"1-Way",
        LEFT(P1914,5)&lt;&gt;"2-Way",
        LEFT(P1914,5)&lt;&gt;"3-Way",
        P1914&lt;&gt;"Inner Centre Jamb"
      )
    ),
    IF(OR(Enginuity!$A$1="Frameless Glass",Enginuity!$A$1="Metal Work"),
      AND(TRIM(B1914)=TRIM(Enginuity!$A$17),TRIM(C1914)=TRIM(Enginuity!$A$18)),
      TRIM(B1914)=TRIM(Enginuity!$A$17)
    )
  ),
  ROW(),
  ""
)</f>
        <v/>
      </c>
    </row>
    <row r="1915" spans="1:21" x14ac:dyDescent="0.25">
      <c r="A1915" s="10"/>
      <c r="B1915" s="229"/>
      <c r="C1915" s="10"/>
      <c r="D1915" s="14"/>
      <c r="E1915" s="157"/>
      <c r="F1915" s="10"/>
      <c r="G1915" s="17"/>
      <c r="H1915" s="10"/>
      <c r="I1915" s="17"/>
      <c r="J1915" s="83"/>
      <c r="K1915" s="343"/>
      <c r="L1915" s="347"/>
      <c r="M1915" s="10"/>
      <c r="N1915" s="88"/>
      <c r="O1915" s="22"/>
      <c r="P1915" s="14"/>
      <c r="Q1915" s="83"/>
      <c r="U1915" s="104" t="str">
        <f>IF(
  AND(
    TRIM(A1915)=TRIM(Enginuity!$A$1),
    TRIM(B1915)=TRIM(Enginuity!$A$17),
    Q1915&lt;&gt;"",
    Q1915&lt;&gt;0,
    OR(
      TRIM(C1915)=TRIM(Enginuity!$A$18),
      AND(UPPER(TRIM(M1915))="STD", TRIM(B1915)=TRIM(Enginuity!$A$17))
    ),
    OR(
      AND(LEFT(P1915,5)="1-Way", Enginuity!$B$13=1),
      AND(LEFT(P1915,5)="2-Way", OR(Enginuity!$B$13=2, Enginuity!$B$13=4)),
      AND(LEFT(P1915,5)="3-Way", OR(Enginuity!$B$13=3, Enginuity!$B$13=6)),
      AND(P1915="Inner Centre Jamb", OR(Enginuity!$B$13=4, Enginuity!$B$13=6)),
      AND(
        LEFT(P1915,5)&lt;&gt;"1-Way",
        LEFT(P1915,5)&lt;&gt;"2-Way",
        LEFT(P1915,5)&lt;&gt;"3-Way",
        P1915&lt;&gt;"Inner Centre Jamb"
      )
    ),
    IF(OR(Enginuity!$A$1="Frameless Glass",Enginuity!$A$1="Metal Work"),
      AND(TRIM(B1915)=TRIM(Enginuity!$A$17),TRIM(C1915)=TRIM(Enginuity!$A$18)),
      TRIM(B1915)=TRIM(Enginuity!$A$17)
    )
  ),
  ROW(),
  ""
)</f>
        <v/>
      </c>
    </row>
    <row r="1916" spans="1:21" x14ac:dyDescent="0.25">
      <c r="A1916" s="10"/>
      <c r="B1916" s="229"/>
      <c r="C1916" s="10"/>
      <c r="D1916" s="14"/>
      <c r="E1916" s="157"/>
      <c r="F1916" s="10"/>
      <c r="G1916" s="17"/>
      <c r="H1916" s="10"/>
      <c r="I1916" s="17"/>
      <c r="J1916" s="83"/>
      <c r="K1916" s="343"/>
      <c r="L1916" s="347"/>
      <c r="M1916" s="10"/>
      <c r="N1916" s="10"/>
      <c r="O1916" s="22"/>
      <c r="P1916" s="14"/>
      <c r="Q1916" s="83"/>
      <c r="U1916" s="104" t="str">
        <f>IF(
  AND(
    TRIM(A1916)=TRIM(Enginuity!$A$1),
    TRIM(B1916)=TRIM(Enginuity!$A$17),
    Q1916&lt;&gt;"",
    Q1916&lt;&gt;0,
    OR(
      TRIM(C1916)=TRIM(Enginuity!$A$18),
      AND(UPPER(TRIM(M1916))="STD", TRIM(B1916)=TRIM(Enginuity!$A$17))
    ),
    OR(
      AND(LEFT(P1916,5)="1-Way", Enginuity!$B$13=1),
      AND(LEFT(P1916,5)="2-Way", OR(Enginuity!$B$13=2, Enginuity!$B$13=4)),
      AND(LEFT(P1916,5)="3-Way", OR(Enginuity!$B$13=3, Enginuity!$B$13=6)),
      AND(P1916="Inner Centre Jamb", OR(Enginuity!$B$13=4, Enginuity!$B$13=6)),
      AND(
        LEFT(P1916,5)&lt;&gt;"1-Way",
        LEFT(P1916,5)&lt;&gt;"2-Way",
        LEFT(P1916,5)&lt;&gt;"3-Way",
        P1916&lt;&gt;"Inner Centre Jamb"
      )
    ),
    IF(OR(Enginuity!$A$1="Frameless Glass",Enginuity!$A$1="Metal Work"),
      AND(TRIM(B1916)=TRIM(Enginuity!$A$17),TRIM(C1916)=TRIM(Enginuity!$A$18)),
      TRIM(B1916)=TRIM(Enginuity!$A$17)
    )
  ),
  ROW(),
  ""
)</f>
        <v/>
      </c>
    </row>
    <row r="1917" spans="1:21" x14ac:dyDescent="0.25">
      <c r="A1917" s="10"/>
      <c r="B1917" s="229"/>
      <c r="C1917" s="10"/>
      <c r="D1917" s="14"/>
      <c r="E1917" s="157"/>
      <c r="F1917" s="10"/>
      <c r="G1917" s="17"/>
      <c r="H1917" s="10"/>
      <c r="I1917" s="17"/>
      <c r="J1917" s="83"/>
      <c r="K1917" s="343"/>
      <c r="L1917" s="347"/>
      <c r="M1917" s="10"/>
      <c r="N1917" s="10"/>
      <c r="O1917" s="22"/>
      <c r="P1917" s="14"/>
      <c r="Q1917" s="83"/>
      <c r="U1917" s="104" t="str">
        <f>IF(
  AND(
    TRIM(A1917)=TRIM(Enginuity!$A$1),
    TRIM(B1917)=TRIM(Enginuity!$A$17),
    Q1917&lt;&gt;"",
    Q1917&lt;&gt;0,
    OR(
      TRIM(C1917)=TRIM(Enginuity!$A$18),
      AND(UPPER(TRIM(M1917))="STD", TRIM(B1917)=TRIM(Enginuity!$A$17))
    ),
    OR(
      AND(LEFT(P1917,5)="1-Way", Enginuity!$B$13=1),
      AND(LEFT(P1917,5)="2-Way", OR(Enginuity!$B$13=2, Enginuity!$B$13=4)),
      AND(LEFT(P1917,5)="3-Way", OR(Enginuity!$B$13=3, Enginuity!$B$13=6)),
      AND(P1917="Inner Centre Jamb", OR(Enginuity!$B$13=4, Enginuity!$B$13=6)),
      AND(
        LEFT(P1917,5)&lt;&gt;"1-Way",
        LEFT(P1917,5)&lt;&gt;"2-Way",
        LEFT(P1917,5)&lt;&gt;"3-Way",
        P1917&lt;&gt;"Inner Centre Jamb"
      )
    ),
    IF(OR(Enginuity!$A$1="Frameless Glass",Enginuity!$A$1="Metal Work"),
      AND(TRIM(B1917)=TRIM(Enginuity!$A$17),TRIM(C1917)=TRIM(Enginuity!$A$18)),
      TRIM(B1917)=TRIM(Enginuity!$A$17)
    )
  ),
  ROW(),
  ""
)</f>
        <v/>
      </c>
    </row>
    <row r="1918" spans="1:21" x14ac:dyDescent="0.25">
      <c r="A1918" s="10"/>
      <c r="B1918" s="229"/>
      <c r="C1918" s="10"/>
      <c r="D1918" s="14"/>
      <c r="E1918" s="157"/>
      <c r="F1918" s="10"/>
      <c r="G1918" s="17"/>
      <c r="H1918" s="10"/>
      <c r="I1918" s="17"/>
      <c r="J1918" s="83"/>
      <c r="K1918" s="343"/>
      <c r="L1918" s="347"/>
      <c r="M1918" s="10"/>
      <c r="N1918" s="10"/>
      <c r="O1918" s="22"/>
      <c r="P1918" s="14"/>
      <c r="Q1918" s="83"/>
      <c r="U1918" s="104" t="str">
        <f>IF(
  AND(
    TRIM(A1918)=TRIM(Enginuity!$A$1),
    TRIM(B1918)=TRIM(Enginuity!$A$17),
    Q1918&lt;&gt;"",
    Q1918&lt;&gt;0,
    OR(
      TRIM(C1918)=TRIM(Enginuity!$A$18),
      AND(UPPER(TRIM(M1918))="STD", TRIM(B1918)=TRIM(Enginuity!$A$17))
    ),
    OR(
      AND(LEFT(P1918,5)="1-Way", Enginuity!$B$13=1),
      AND(LEFT(P1918,5)="2-Way", OR(Enginuity!$B$13=2, Enginuity!$B$13=4)),
      AND(LEFT(P1918,5)="3-Way", OR(Enginuity!$B$13=3, Enginuity!$B$13=6)),
      AND(P1918="Inner Centre Jamb", OR(Enginuity!$B$13=4, Enginuity!$B$13=6)),
      AND(
        LEFT(P1918,5)&lt;&gt;"1-Way",
        LEFT(P1918,5)&lt;&gt;"2-Way",
        LEFT(P1918,5)&lt;&gt;"3-Way",
        P1918&lt;&gt;"Inner Centre Jamb"
      )
    ),
    IF(OR(Enginuity!$A$1="Frameless Glass",Enginuity!$A$1="Metal Work"),
      AND(TRIM(B1918)=TRIM(Enginuity!$A$17),TRIM(C1918)=TRIM(Enginuity!$A$18)),
      TRIM(B1918)=TRIM(Enginuity!$A$17)
    )
  ),
  ROW(),
  ""
)</f>
        <v/>
      </c>
    </row>
    <row r="1919" spans="1:21" x14ac:dyDescent="0.25">
      <c r="A1919" s="10"/>
      <c r="B1919" s="229"/>
      <c r="C1919" s="10"/>
      <c r="D1919" s="14"/>
      <c r="E1919" s="157"/>
      <c r="F1919" s="10"/>
      <c r="G1919" s="17"/>
      <c r="H1919" s="10"/>
      <c r="I1919" s="17"/>
      <c r="J1919" s="83"/>
      <c r="K1919" s="343"/>
      <c r="L1919" s="347"/>
      <c r="M1919" s="10"/>
      <c r="N1919" s="10"/>
      <c r="O1919" s="22"/>
      <c r="P1919" s="14"/>
      <c r="Q1919" s="83"/>
      <c r="U1919" s="104" t="str">
        <f>IF(
  AND(
    TRIM(A1919)=TRIM(Enginuity!$A$1),
    TRIM(B1919)=TRIM(Enginuity!$A$17),
    Q1919&lt;&gt;"",
    Q1919&lt;&gt;0,
    OR(
      TRIM(C1919)=TRIM(Enginuity!$A$18),
      AND(UPPER(TRIM(M1919))="STD", TRIM(B1919)=TRIM(Enginuity!$A$17))
    ),
    OR(
      AND(LEFT(P1919,5)="1-Way", Enginuity!$B$13=1),
      AND(LEFT(P1919,5)="2-Way", OR(Enginuity!$B$13=2, Enginuity!$B$13=4)),
      AND(LEFT(P1919,5)="3-Way", OR(Enginuity!$B$13=3, Enginuity!$B$13=6)),
      AND(P1919="Inner Centre Jamb", OR(Enginuity!$B$13=4, Enginuity!$B$13=6)),
      AND(
        LEFT(P1919,5)&lt;&gt;"1-Way",
        LEFT(P1919,5)&lt;&gt;"2-Way",
        LEFT(P1919,5)&lt;&gt;"3-Way",
        P1919&lt;&gt;"Inner Centre Jamb"
      )
    ),
    IF(OR(Enginuity!$A$1="Frameless Glass",Enginuity!$A$1="Metal Work"),
      AND(TRIM(B1919)=TRIM(Enginuity!$A$17),TRIM(C1919)=TRIM(Enginuity!$A$18)),
      TRIM(B1919)=TRIM(Enginuity!$A$17)
    )
  ),
  ROW(),
  ""
)</f>
        <v/>
      </c>
    </row>
    <row r="1920" spans="1:21" x14ac:dyDescent="0.25">
      <c r="A1920" s="10"/>
      <c r="B1920" s="229"/>
      <c r="C1920" s="10"/>
      <c r="D1920" s="14"/>
      <c r="E1920" s="157"/>
      <c r="F1920" s="10"/>
      <c r="G1920" s="17"/>
      <c r="H1920" s="10"/>
      <c r="I1920" s="17"/>
      <c r="J1920" s="83"/>
      <c r="K1920" s="343"/>
      <c r="L1920" s="347"/>
      <c r="M1920" s="10"/>
      <c r="N1920" s="10"/>
      <c r="O1920" s="22"/>
      <c r="P1920" s="14"/>
      <c r="Q1920" s="83"/>
      <c r="U1920" s="104" t="str">
        <f>IF(
  AND(
    TRIM(A1920)=TRIM(Enginuity!$A$1),
    TRIM(B1920)=TRIM(Enginuity!$A$17),
    Q1920&lt;&gt;"",
    Q1920&lt;&gt;0,
    OR(
      TRIM(C1920)=TRIM(Enginuity!$A$18),
      AND(UPPER(TRIM(M1920))="STD", TRIM(B1920)=TRIM(Enginuity!$A$17))
    ),
    OR(
      AND(LEFT(P1920,5)="1-Way", Enginuity!$B$13=1),
      AND(LEFT(P1920,5)="2-Way", OR(Enginuity!$B$13=2, Enginuity!$B$13=4)),
      AND(LEFT(P1920,5)="3-Way", OR(Enginuity!$B$13=3, Enginuity!$B$13=6)),
      AND(P1920="Inner Centre Jamb", OR(Enginuity!$B$13=4, Enginuity!$B$13=6)),
      AND(
        LEFT(P1920,5)&lt;&gt;"1-Way",
        LEFT(P1920,5)&lt;&gt;"2-Way",
        LEFT(P1920,5)&lt;&gt;"3-Way",
        P1920&lt;&gt;"Inner Centre Jamb"
      )
    ),
    IF(OR(Enginuity!$A$1="Frameless Glass",Enginuity!$A$1="Metal Work"),
      AND(TRIM(B1920)=TRIM(Enginuity!$A$17),TRIM(C1920)=TRIM(Enginuity!$A$18)),
      TRIM(B1920)=TRIM(Enginuity!$A$17)
    )
  ),
  ROW(),
  ""
)</f>
        <v/>
      </c>
    </row>
    <row r="1921" spans="1:21" x14ac:dyDescent="0.25">
      <c r="A1921" s="10"/>
      <c r="B1921" s="229"/>
      <c r="C1921" s="10"/>
      <c r="D1921" s="14"/>
      <c r="E1921" s="157"/>
      <c r="F1921" s="10"/>
      <c r="G1921" s="17"/>
      <c r="H1921" s="10"/>
      <c r="I1921" s="17"/>
      <c r="J1921" s="83"/>
      <c r="K1921" s="343"/>
      <c r="L1921" s="347"/>
      <c r="M1921" s="10"/>
      <c r="N1921" s="10"/>
      <c r="O1921" s="22"/>
      <c r="P1921" s="21"/>
      <c r="Q1921" s="83"/>
      <c r="U1921" s="104" t="str">
        <f>IF(
  AND(
    TRIM(A1921)=TRIM(Enginuity!$A$1),
    TRIM(B1921)=TRIM(Enginuity!$A$17),
    Q1921&lt;&gt;"",
    Q1921&lt;&gt;0,
    OR(
      TRIM(C1921)=TRIM(Enginuity!$A$18),
      AND(UPPER(TRIM(M1921))="STD", TRIM(B1921)=TRIM(Enginuity!$A$17))
    ),
    OR(
      AND(LEFT(P1921,5)="1-Way", Enginuity!$B$13=1),
      AND(LEFT(P1921,5)="2-Way", OR(Enginuity!$B$13=2, Enginuity!$B$13=4)),
      AND(LEFT(P1921,5)="3-Way", OR(Enginuity!$B$13=3, Enginuity!$B$13=6)),
      AND(P1921="Inner Centre Jamb", OR(Enginuity!$B$13=4, Enginuity!$B$13=6)),
      AND(
        LEFT(P1921,5)&lt;&gt;"1-Way",
        LEFT(P1921,5)&lt;&gt;"2-Way",
        LEFT(P1921,5)&lt;&gt;"3-Way",
        P1921&lt;&gt;"Inner Centre Jamb"
      )
    ),
    IF(OR(Enginuity!$A$1="Frameless Glass",Enginuity!$A$1="Metal Work"),
      AND(TRIM(B1921)=TRIM(Enginuity!$A$17),TRIM(C1921)=TRIM(Enginuity!$A$18)),
      TRIM(B1921)=TRIM(Enginuity!$A$17)
    )
  ),
  ROW(),
  ""
)</f>
        <v/>
      </c>
    </row>
    <row r="1922" spans="1:21" x14ac:dyDescent="0.25">
      <c r="A1922" s="10"/>
      <c r="B1922" s="229"/>
      <c r="C1922" s="10"/>
      <c r="D1922" s="14"/>
      <c r="E1922" s="157"/>
      <c r="F1922" s="10"/>
      <c r="G1922" s="17"/>
      <c r="H1922" s="10"/>
      <c r="I1922" s="17"/>
      <c r="J1922" s="83"/>
      <c r="K1922" s="343"/>
      <c r="L1922" s="347"/>
      <c r="M1922" s="10"/>
      <c r="N1922" s="10"/>
      <c r="O1922" s="22"/>
      <c r="P1922" s="21"/>
      <c r="Q1922" s="83"/>
      <c r="U1922" s="104" t="str">
        <f>IF(
  AND(
    TRIM(A1922)=TRIM(Enginuity!$A$1),
    TRIM(B1922)=TRIM(Enginuity!$A$17),
    Q1922&lt;&gt;"",
    Q1922&lt;&gt;0,
    OR(
      TRIM(C1922)=TRIM(Enginuity!$A$18),
      AND(UPPER(TRIM(M1922))="STD", TRIM(B1922)=TRIM(Enginuity!$A$17))
    ),
    OR(
      AND(LEFT(P1922,5)="1-Way", Enginuity!$B$13=1),
      AND(LEFT(P1922,5)="2-Way", OR(Enginuity!$B$13=2, Enginuity!$B$13=4)),
      AND(LEFT(P1922,5)="3-Way", OR(Enginuity!$B$13=3, Enginuity!$B$13=6)),
      AND(P1922="Inner Centre Jamb", OR(Enginuity!$B$13=4, Enginuity!$B$13=6)),
      AND(
        LEFT(P1922,5)&lt;&gt;"1-Way",
        LEFT(P1922,5)&lt;&gt;"2-Way",
        LEFT(P1922,5)&lt;&gt;"3-Way",
        P1922&lt;&gt;"Inner Centre Jamb"
      )
    ),
    IF(OR(Enginuity!$A$1="Frameless Glass",Enginuity!$A$1="Metal Work"),
      AND(TRIM(B1922)=TRIM(Enginuity!$A$17),TRIM(C1922)=TRIM(Enginuity!$A$18)),
      TRIM(B1922)=TRIM(Enginuity!$A$17)
    )
  ),
  ROW(),
  ""
)</f>
        <v/>
      </c>
    </row>
    <row r="1923" spans="1:21" x14ac:dyDescent="0.25">
      <c r="A1923" s="10"/>
      <c r="B1923" s="229"/>
      <c r="C1923" s="10"/>
      <c r="D1923" s="14"/>
      <c r="E1923" s="157"/>
      <c r="F1923" s="10"/>
      <c r="G1923" s="17"/>
      <c r="H1923" s="10"/>
      <c r="I1923" s="17"/>
      <c r="J1923" s="83"/>
      <c r="K1923" s="343"/>
      <c r="L1923" s="347"/>
      <c r="M1923" s="10"/>
      <c r="N1923" s="10"/>
      <c r="O1923" s="22"/>
      <c r="P1923" s="14"/>
      <c r="Q1923" s="83"/>
      <c r="U1923" s="104" t="str">
        <f>IF(
  AND(
    TRIM(A1923)=TRIM(Enginuity!$A$1),
    TRIM(B1923)=TRIM(Enginuity!$A$17),
    Q1923&lt;&gt;"",
    Q1923&lt;&gt;0,
    OR(
      TRIM(C1923)=TRIM(Enginuity!$A$18),
      AND(UPPER(TRIM(M1923))="STD", TRIM(B1923)=TRIM(Enginuity!$A$17))
    ),
    OR(
      AND(LEFT(P1923,5)="1-Way", Enginuity!$B$13=1),
      AND(LEFT(P1923,5)="2-Way", OR(Enginuity!$B$13=2, Enginuity!$B$13=4)),
      AND(LEFT(P1923,5)="3-Way", OR(Enginuity!$B$13=3, Enginuity!$B$13=6)),
      AND(P1923="Inner Centre Jamb", OR(Enginuity!$B$13=4, Enginuity!$B$13=6)),
      AND(
        LEFT(P1923,5)&lt;&gt;"1-Way",
        LEFT(P1923,5)&lt;&gt;"2-Way",
        LEFT(P1923,5)&lt;&gt;"3-Way",
        P1923&lt;&gt;"Inner Centre Jamb"
      )
    ),
    IF(OR(Enginuity!$A$1="Frameless Glass",Enginuity!$A$1="Metal Work"),
      AND(TRIM(B1923)=TRIM(Enginuity!$A$17),TRIM(C1923)=TRIM(Enginuity!$A$18)),
      TRIM(B1923)=TRIM(Enginuity!$A$17)
    )
  ),
  ROW(),
  ""
)</f>
        <v/>
      </c>
    </row>
    <row r="1924" spans="1:21" x14ac:dyDescent="0.25">
      <c r="A1924" s="10"/>
      <c r="B1924" s="229"/>
      <c r="C1924" s="10"/>
      <c r="D1924" s="14"/>
      <c r="E1924" s="157"/>
      <c r="F1924" s="10"/>
      <c r="G1924" s="17"/>
      <c r="H1924" s="10"/>
      <c r="I1924" s="17"/>
      <c r="J1924" s="83"/>
      <c r="K1924" s="343"/>
      <c r="L1924" s="347"/>
      <c r="M1924" s="10"/>
      <c r="N1924" s="10"/>
      <c r="O1924" s="22"/>
      <c r="P1924" s="21"/>
      <c r="Q1924" s="83"/>
      <c r="U1924" s="104" t="str">
        <f>IF(
  AND(
    TRIM(A1924)=TRIM(Enginuity!$A$1),
    TRIM(B1924)=TRIM(Enginuity!$A$17),
    Q1924&lt;&gt;"",
    Q1924&lt;&gt;0,
    OR(
      TRIM(C1924)=TRIM(Enginuity!$A$18),
      AND(UPPER(TRIM(M1924))="STD", TRIM(B1924)=TRIM(Enginuity!$A$17))
    ),
    OR(
      AND(LEFT(P1924,5)="1-Way", Enginuity!$B$13=1),
      AND(LEFT(P1924,5)="2-Way", OR(Enginuity!$B$13=2, Enginuity!$B$13=4)),
      AND(LEFT(P1924,5)="3-Way", OR(Enginuity!$B$13=3, Enginuity!$B$13=6)),
      AND(P1924="Inner Centre Jamb", OR(Enginuity!$B$13=4, Enginuity!$B$13=6)),
      AND(
        LEFT(P1924,5)&lt;&gt;"1-Way",
        LEFT(P1924,5)&lt;&gt;"2-Way",
        LEFT(P1924,5)&lt;&gt;"3-Way",
        P1924&lt;&gt;"Inner Centre Jamb"
      )
    ),
    IF(OR(Enginuity!$A$1="Frameless Glass",Enginuity!$A$1="Metal Work"),
      AND(TRIM(B1924)=TRIM(Enginuity!$A$17),TRIM(C1924)=TRIM(Enginuity!$A$18)),
      TRIM(B1924)=TRIM(Enginuity!$A$17)
    )
  ),
  ROW(),
  ""
)</f>
        <v/>
      </c>
    </row>
    <row r="1925" spans="1:21" x14ac:dyDescent="0.25">
      <c r="A1925" s="10"/>
      <c r="B1925" s="229"/>
      <c r="C1925" s="10"/>
      <c r="D1925" s="14"/>
      <c r="E1925" s="157"/>
      <c r="F1925" s="10"/>
      <c r="G1925" s="17"/>
      <c r="H1925" s="10"/>
      <c r="I1925" s="17"/>
      <c r="J1925" s="83"/>
      <c r="K1925" s="343"/>
      <c r="L1925" s="347"/>
      <c r="M1925" s="89"/>
      <c r="N1925" s="10"/>
      <c r="O1925" s="22"/>
      <c r="P1925" s="14"/>
      <c r="Q1925" s="83"/>
      <c r="U1925" s="104" t="str">
        <f>IF(
  AND(
    TRIM(A1925)=TRIM(Enginuity!$A$1),
    TRIM(B1925)=TRIM(Enginuity!$A$17),
    Q1925&lt;&gt;"",
    Q1925&lt;&gt;0,
    OR(
      TRIM(C1925)=TRIM(Enginuity!$A$18),
      AND(UPPER(TRIM(M1925))="STD", TRIM(B1925)=TRIM(Enginuity!$A$17))
    ),
    OR(
      AND(LEFT(P1925,5)="1-Way", Enginuity!$B$13=1),
      AND(LEFT(P1925,5)="2-Way", OR(Enginuity!$B$13=2, Enginuity!$B$13=4)),
      AND(LEFT(P1925,5)="3-Way", OR(Enginuity!$B$13=3, Enginuity!$B$13=6)),
      AND(P1925="Inner Centre Jamb", OR(Enginuity!$B$13=4, Enginuity!$B$13=6)),
      AND(
        LEFT(P1925,5)&lt;&gt;"1-Way",
        LEFT(P1925,5)&lt;&gt;"2-Way",
        LEFT(P1925,5)&lt;&gt;"3-Way",
        P1925&lt;&gt;"Inner Centre Jamb"
      )
    ),
    IF(OR(Enginuity!$A$1="Frameless Glass",Enginuity!$A$1="Metal Work"),
      AND(TRIM(B1925)=TRIM(Enginuity!$A$17),TRIM(C1925)=TRIM(Enginuity!$A$18)),
      TRIM(B1925)=TRIM(Enginuity!$A$17)
    )
  ),
  ROW(),
  ""
)</f>
        <v/>
      </c>
    </row>
    <row r="1926" spans="1:21" x14ac:dyDescent="0.25">
      <c r="A1926" s="10"/>
      <c r="B1926" s="229"/>
      <c r="C1926" s="10"/>
      <c r="D1926" s="14"/>
      <c r="E1926" s="157"/>
      <c r="F1926" s="10"/>
      <c r="G1926" s="17"/>
      <c r="H1926" s="10"/>
      <c r="I1926" s="17"/>
      <c r="J1926" s="83"/>
      <c r="K1926" s="343"/>
      <c r="L1926" s="347"/>
      <c r="M1926" s="89"/>
      <c r="N1926" s="10"/>
      <c r="O1926" s="22"/>
      <c r="P1926" s="14"/>
      <c r="Q1926" s="83"/>
      <c r="U1926" s="104" t="str">
        <f>IF(
  AND(
    TRIM(A1926)=TRIM(Enginuity!$A$1),
    TRIM(B1926)=TRIM(Enginuity!$A$17),
    Q1926&lt;&gt;"",
    Q1926&lt;&gt;0,
    OR(
      TRIM(C1926)=TRIM(Enginuity!$A$18),
      AND(UPPER(TRIM(M1926))="STD", TRIM(B1926)=TRIM(Enginuity!$A$17))
    ),
    OR(
      AND(LEFT(P1926,5)="1-Way", Enginuity!$B$13=1),
      AND(LEFT(P1926,5)="2-Way", OR(Enginuity!$B$13=2, Enginuity!$B$13=4)),
      AND(LEFT(P1926,5)="3-Way", OR(Enginuity!$B$13=3, Enginuity!$B$13=6)),
      AND(P1926="Inner Centre Jamb", OR(Enginuity!$B$13=4, Enginuity!$B$13=6)),
      AND(
        LEFT(P1926,5)&lt;&gt;"1-Way",
        LEFT(P1926,5)&lt;&gt;"2-Way",
        LEFT(P1926,5)&lt;&gt;"3-Way",
        P1926&lt;&gt;"Inner Centre Jamb"
      )
    ),
    IF(OR(Enginuity!$A$1="Frameless Glass",Enginuity!$A$1="Metal Work"),
      AND(TRIM(B1926)=TRIM(Enginuity!$A$17),TRIM(C1926)=TRIM(Enginuity!$A$18)),
      TRIM(B1926)=TRIM(Enginuity!$A$17)
    )
  ),
  ROW(),
  ""
)</f>
        <v/>
      </c>
    </row>
    <row r="1927" spans="1:21" x14ac:dyDescent="0.25">
      <c r="A1927" s="10"/>
      <c r="B1927" s="229"/>
      <c r="C1927" s="10"/>
      <c r="D1927" s="14"/>
      <c r="E1927" s="157"/>
      <c r="F1927" s="10"/>
      <c r="G1927" s="17"/>
      <c r="H1927" s="10"/>
      <c r="I1927" s="17"/>
      <c r="J1927" s="83"/>
      <c r="K1927" s="343"/>
      <c r="L1927" s="347"/>
      <c r="M1927" s="89"/>
      <c r="N1927" s="10"/>
      <c r="O1927" s="22"/>
      <c r="P1927" s="14"/>
      <c r="Q1927" s="83"/>
      <c r="U1927" s="104" t="str">
        <f>IF(
  AND(
    TRIM(A1927)=TRIM(Enginuity!$A$1),
    TRIM(B1927)=TRIM(Enginuity!$A$17),
    Q1927&lt;&gt;"",
    Q1927&lt;&gt;0,
    OR(
      TRIM(C1927)=TRIM(Enginuity!$A$18),
      AND(UPPER(TRIM(M1927))="STD", TRIM(B1927)=TRIM(Enginuity!$A$17))
    ),
    OR(
      AND(LEFT(P1927,5)="1-Way", Enginuity!$B$13=1),
      AND(LEFT(P1927,5)="2-Way", OR(Enginuity!$B$13=2, Enginuity!$B$13=4)),
      AND(LEFT(P1927,5)="3-Way", OR(Enginuity!$B$13=3, Enginuity!$B$13=6)),
      AND(P1927="Inner Centre Jamb", OR(Enginuity!$B$13=4, Enginuity!$B$13=6)),
      AND(
        LEFT(P1927,5)&lt;&gt;"1-Way",
        LEFT(P1927,5)&lt;&gt;"2-Way",
        LEFT(P1927,5)&lt;&gt;"3-Way",
        P1927&lt;&gt;"Inner Centre Jamb"
      )
    ),
    IF(OR(Enginuity!$A$1="Frameless Glass",Enginuity!$A$1="Metal Work"),
      AND(TRIM(B1927)=TRIM(Enginuity!$A$17),TRIM(C1927)=TRIM(Enginuity!$A$18)),
      TRIM(B1927)=TRIM(Enginuity!$A$17)
    )
  ),
  ROW(),
  ""
)</f>
        <v/>
      </c>
    </row>
    <row r="1928" spans="1:21" x14ac:dyDescent="0.25">
      <c r="A1928" s="10"/>
      <c r="B1928" s="229"/>
      <c r="C1928" s="10"/>
      <c r="D1928" s="14"/>
      <c r="E1928" s="157"/>
      <c r="F1928" s="10"/>
      <c r="G1928" s="17"/>
      <c r="H1928" s="10"/>
      <c r="I1928" s="17"/>
      <c r="J1928" s="83"/>
      <c r="K1928" s="343"/>
      <c r="L1928" s="347"/>
      <c r="M1928" s="89"/>
      <c r="N1928" s="10"/>
      <c r="O1928" s="22"/>
      <c r="P1928" s="14"/>
      <c r="Q1928" s="83"/>
      <c r="U1928" s="104" t="str">
        <f>IF(
  AND(
    TRIM(A1928)=TRIM(Enginuity!$A$1),
    TRIM(B1928)=TRIM(Enginuity!$A$17),
    Q1928&lt;&gt;"",
    Q1928&lt;&gt;0,
    OR(
      TRIM(C1928)=TRIM(Enginuity!$A$18),
      AND(UPPER(TRIM(M1928))="STD", TRIM(B1928)=TRIM(Enginuity!$A$17))
    ),
    OR(
      AND(LEFT(P1928,5)="1-Way", Enginuity!$B$13=1),
      AND(LEFT(P1928,5)="2-Way", OR(Enginuity!$B$13=2, Enginuity!$B$13=4)),
      AND(LEFT(P1928,5)="3-Way", OR(Enginuity!$B$13=3, Enginuity!$B$13=6)),
      AND(P1928="Inner Centre Jamb", OR(Enginuity!$B$13=4, Enginuity!$B$13=6)),
      AND(
        LEFT(P1928,5)&lt;&gt;"1-Way",
        LEFT(P1928,5)&lt;&gt;"2-Way",
        LEFT(P1928,5)&lt;&gt;"3-Way",
        P1928&lt;&gt;"Inner Centre Jamb"
      )
    ),
    IF(OR(Enginuity!$A$1="Frameless Glass",Enginuity!$A$1="Metal Work"),
      AND(TRIM(B1928)=TRIM(Enginuity!$A$17),TRIM(C1928)=TRIM(Enginuity!$A$18)),
      TRIM(B1928)=TRIM(Enginuity!$A$17)
    )
  ),
  ROW(),
  ""
)</f>
        <v/>
      </c>
    </row>
    <row r="1929" spans="1:21" x14ac:dyDescent="0.25">
      <c r="A1929" s="10"/>
      <c r="B1929" s="229"/>
      <c r="C1929" s="10"/>
      <c r="D1929" s="14"/>
      <c r="E1929" s="157"/>
      <c r="F1929" s="10"/>
      <c r="G1929" s="17"/>
      <c r="H1929" s="10"/>
      <c r="I1929" s="17"/>
      <c r="J1929" s="83"/>
      <c r="K1929" s="343"/>
      <c r="L1929" s="347"/>
      <c r="M1929" s="89"/>
      <c r="N1929" s="14"/>
      <c r="O1929" s="22"/>
      <c r="P1929" s="14"/>
      <c r="Q1929" s="83"/>
      <c r="U1929" s="104" t="str">
        <f>IF(
  AND(
    TRIM(A1929)=TRIM(Enginuity!$A$1),
    TRIM(B1929)=TRIM(Enginuity!$A$17),
    Q1929&lt;&gt;"",
    Q1929&lt;&gt;0,
    OR(
      TRIM(C1929)=TRIM(Enginuity!$A$18),
      AND(UPPER(TRIM(M1929))="STD", TRIM(B1929)=TRIM(Enginuity!$A$17))
    ),
    OR(
      AND(LEFT(P1929,5)="1-Way", Enginuity!$B$13=1),
      AND(LEFT(P1929,5)="2-Way", OR(Enginuity!$B$13=2, Enginuity!$B$13=4)),
      AND(LEFT(P1929,5)="3-Way", OR(Enginuity!$B$13=3, Enginuity!$B$13=6)),
      AND(P1929="Inner Centre Jamb", OR(Enginuity!$B$13=4, Enginuity!$B$13=6)),
      AND(
        LEFT(P1929,5)&lt;&gt;"1-Way",
        LEFT(P1929,5)&lt;&gt;"2-Way",
        LEFT(P1929,5)&lt;&gt;"3-Way",
        P1929&lt;&gt;"Inner Centre Jamb"
      )
    ),
    IF(OR(Enginuity!$A$1="Frameless Glass",Enginuity!$A$1="Metal Work"),
      AND(TRIM(B1929)=TRIM(Enginuity!$A$17),TRIM(C1929)=TRIM(Enginuity!$A$18)),
      TRIM(B1929)=TRIM(Enginuity!$A$17)
    )
  ),
  ROW(),
  ""
)</f>
        <v/>
      </c>
    </row>
    <row r="1930" spans="1:21" x14ac:dyDescent="0.25">
      <c r="A1930" s="10"/>
      <c r="B1930" s="229"/>
      <c r="C1930" s="10"/>
      <c r="D1930" s="14"/>
      <c r="E1930" s="157"/>
      <c r="F1930" s="10"/>
      <c r="G1930" s="17"/>
      <c r="H1930" s="10"/>
      <c r="I1930" s="17"/>
      <c r="J1930" s="83"/>
      <c r="K1930" s="343"/>
      <c r="L1930" s="347"/>
      <c r="M1930" s="89"/>
      <c r="N1930" s="21"/>
      <c r="O1930" s="22"/>
      <c r="P1930" s="14"/>
      <c r="Q1930" s="83"/>
      <c r="U1930" s="104" t="str">
        <f>IF(
  AND(
    TRIM(A1930)=TRIM(Enginuity!$A$1),
    TRIM(B1930)=TRIM(Enginuity!$A$17),
    Q1930&lt;&gt;"",
    Q1930&lt;&gt;0,
    OR(
      TRIM(C1930)=TRIM(Enginuity!$A$18),
      AND(UPPER(TRIM(M1930))="STD", TRIM(B1930)=TRIM(Enginuity!$A$17))
    ),
    OR(
      AND(LEFT(P1930,5)="1-Way", Enginuity!$B$13=1),
      AND(LEFT(P1930,5)="2-Way", OR(Enginuity!$B$13=2, Enginuity!$B$13=4)),
      AND(LEFT(P1930,5)="3-Way", OR(Enginuity!$B$13=3, Enginuity!$B$13=6)),
      AND(P1930="Inner Centre Jamb", OR(Enginuity!$B$13=4, Enginuity!$B$13=6)),
      AND(
        LEFT(P1930,5)&lt;&gt;"1-Way",
        LEFT(P1930,5)&lt;&gt;"2-Way",
        LEFT(P1930,5)&lt;&gt;"3-Way",
        P1930&lt;&gt;"Inner Centre Jamb"
      )
    ),
    IF(OR(Enginuity!$A$1="Frameless Glass",Enginuity!$A$1="Metal Work"),
      AND(TRIM(B1930)=TRIM(Enginuity!$A$17),TRIM(C1930)=TRIM(Enginuity!$A$18)),
      TRIM(B1930)=TRIM(Enginuity!$A$17)
    )
  ),
  ROW(),
  ""
)</f>
        <v/>
      </c>
    </row>
    <row r="1931" spans="1:21" x14ac:dyDescent="0.25">
      <c r="A1931" s="10"/>
      <c r="B1931" s="229"/>
      <c r="C1931" s="10"/>
      <c r="D1931" s="14"/>
      <c r="E1931" s="157"/>
      <c r="F1931" s="10"/>
      <c r="G1931" s="17"/>
      <c r="H1931" s="10"/>
      <c r="I1931" s="17"/>
      <c r="J1931" s="83"/>
      <c r="K1931" s="343"/>
      <c r="L1931" s="347"/>
      <c r="M1931" s="89"/>
      <c r="N1931" s="14"/>
      <c r="O1931" s="22"/>
      <c r="P1931" s="14"/>
      <c r="Q1931" s="83"/>
      <c r="U1931" s="104" t="str">
        <f>IF(
  AND(
    TRIM(A1931)=TRIM(Enginuity!$A$1),
    TRIM(B1931)=TRIM(Enginuity!$A$17),
    Q1931&lt;&gt;"",
    Q1931&lt;&gt;0,
    OR(
      TRIM(C1931)=TRIM(Enginuity!$A$18),
      AND(UPPER(TRIM(M1931))="STD", TRIM(B1931)=TRIM(Enginuity!$A$17))
    ),
    OR(
      AND(LEFT(P1931,5)="1-Way", Enginuity!$B$13=1),
      AND(LEFT(P1931,5)="2-Way", OR(Enginuity!$B$13=2, Enginuity!$B$13=4)),
      AND(LEFT(P1931,5)="3-Way", OR(Enginuity!$B$13=3, Enginuity!$B$13=6)),
      AND(P1931="Inner Centre Jamb", OR(Enginuity!$B$13=4, Enginuity!$B$13=6)),
      AND(
        LEFT(P1931,5)&lt;&gt;"1-Way",
        LEFT(P1931,5)&lt;&gt;"2-Way",
        LEFT(P1931,5)&lt;&gt;"3-Way",
        P1931&lt;&gt;"Inner Centre Jamb"
      )
    ),
    IF(OR(Enginuity!$A$1="Frameless Glass",Enginuity!$A$1="Metal Work"),
      AND(TRIM(B1931)=TRIM(Enginuity!$A$17),TRIM(C1931)=TRIM(Enginuity!$A$18)),
      TRIM(B1931)=TRIM(Enginuity!$A$17)
    )
  ),
  ROW(),
  ""
)</f>
        <v/>
      </c>
    </row>
    <row r="1932" spans="1:21" x14ac:dyDescent="0.25">
      <c r="A1932" s="10"/>
      <c r="B1932" s="229"/>
      <c r="C1932" s="10"/>
      <c r="D1932" s="14"/>
      <c r="E1932" s="157"/>
      <c r="F1932" s="10"/>
      <c r="G1932" s="17"/>
      <c r="H1932" s="10"/>
      <c r="I1932" s="17"/>
      <c r="J1932" s="83"/>
      <c r="K1932" s="343"/>
      <c r="L1932" s="347"/>
      <c r="M1932" s="89"/>
      <c r="N1932" s="14"/>
      <c r="O1932" s="22"/>
      <c r="P1932" s="14"/>
      <c r="Q1932" s="83"/>
      <c r="U1932" s="104" t="str">
        <f>IF(
  AND(
    TRIM(A1932)=TRIM(Enginuity!$A$1),
    TRIM(B1932)=TRIM(Enginuity!$A$17),
    Q1932&lt;&gt;"",
    Q1932&lt;&gt;0,
    OR(
      TRIM(C1932)=TRIM(Enginuity!$A$18),
      AND(UPPER(TRIM(M1932))="STD", TRIM(B1932)=TRIM(Enginuity!$A$17))
    ),
    OR(
      AND(LEFT(P1932,5)="1-Way", Enginuity!$B$13=1),
      AND(LEFT(P1932,5)="2-Way", OR(Enginuity!$B$13=2, Enginuity!$B$13=4)),
      AND(LEFT(P1932,5)="3-Way", OR(Enginuity!$B$13=3, Enginuity!$B$13=6)),
      AND(P1932="Inner Centre Jamb", OR(Enginuity!$B$13=4, Enginuity!$B$13=6)),
      AND(
        LEFT(P1932,5)&lt;&gt;"1-Way",
        LEFT(P1932,5)&lt;&gt;"2-Way",
        LEFT(P1932,5)&lt;&gt;"3-Way",
        P1932&lt;&gt;"Inner Centre Jamb"
      )
    ),
    IF(OR(Enginuity!$A$1="Frameless Glass",Enginuity!$A$1="Metal Work"),
      AND(TRIM(B1932)=TRIM(Enginuity!$A$17),TRIM(C1932)=TRIM(Enginuity!$A$18)),
      TRIM(B1932)=TRIM(Enginuity!$A$17)
    )
  ),
  ROW(),
  ""
)</f>
        <v/>
      </c>
    </row>
    <row r="1933" spans="1:21" x14ac:dyDescent="0.25">
      <c r="A1933" s="10"/>
      <c r="B1933" s="229"/>
      <c r="C1933" s="10"/>
      <c r="D1933" s="14"/>
      <c r="E1933" s="157"/>
      <c r="F1933" s="10"/>
      <c r="G1933" s="17"/>
      <c r="H1933" s="10"/>
      <c r="I1933" s="17"/>
      <c r="J1933" s="83"/>
      <c r="K1933" s="343"/>
      <c r="L1933" s="347"/>
      <c r="M1933" s="89"/>
      <c r="N1933" s="14"/>
      <c r="O1933" s="22"/>
      <c r="P1933" s="14"/>
      <c r="Q1933" s="83"/>
      <c r="U1933" s="104" t="str">
        <f>IF(
  AND(
    TRIM(A1933)=TRIM(Enginuity!$A$1),
    TRIM(B1933)=TRIM(Enginuity!$A$17),
    Q1933&lt;&gt;"",
    Q1933&lt;&gt;0,
    OR(
      TRIM(C1933)=TRIM(Enginuity!$A$18),
      AND(UPPER(TRIM(M1933))="STD", TRIM(B1933)=TRIM(Enginuity!$A$17))
    ),
    OR(
      AND(LEFT(P1933,5)="1-Way", Enginuity!$B$13=1),
      AND(LEFT(P1933,5)="2-Way", OR(Enginuity!$B$13=2, Enginuity!$B$13=4)),
      AND(LEFT(P1933,5)="3-Way", OR(Enginuity!$B$13=3, Enginuity!$B$13=6)),
      AND(P1933="Inner Centre Jamb", OR(Enginuity!$B$13=4, Enginuity!$B$13=6)),
      AND(
        LEFT(P1933,5)&lt;&gt;"1-Way",
        LEFT(P1933,5)&lt;&gt;"2-Way",
        LEFT(P1933,5)&lt;&gt;"3-Way",
        P1933&lt;&gt;"Inner Centre Jamb"
      )
    ),
    IF(OR(Enginuity!$A$1="Frameless Glass",Enginuity!$A$1="Metal Work"),
      AND(TRIM(B1933)=TRIM(Enginuity!$A$17),TRIM(C1933)=TRIM(Enginuity!$A$18)),
      TRIM(B1933)=TRIM(Enginuity!$A$17)
    )
  ),
  ROW(),
  ""
)</f>
        <v/>
      </c>
    </row>
    <row r="1934" spans="1:21" x14ac:dyDescent="0.25">
      <c r="A1934" s="10"/>
      <c r="B1934" s="229"/>
      <c r="C1934" s="10"/>
      <c r="D1934" s="14"/>
      <c r="E1934" s="157"/>
      <c r="F1934" s="10"/>
      <c r="G1934" s="17"/>
      <c r="H1934" s="10"/>
      <c r="I1934" s="17"/>
      <c r="J1934" s="83"/>
      <c r="K1934" s="343"/>
      <c r="L1934" s="347"/>
      <c r="M1934" s="89"/>
      <c r="N1934" s="14"/>
      <c r="O1934" s="22"/>
      <c r="P1934" s="14"/>
      <c r="Q1934" s="83"/>
      <c r="U1934" s="104" t="str">
        <f>IF(
  AND(
    TRIM(A1934)=TRIM(Enginuity!$A$1),
    TRIM(B1934)=TRIM(Enginuity!$A$17),
    Q1934&lt;&gt;"",
    Q1934&lt;&gt;0,
    OR(
      TRIM(C1934)=TRIM(Enginuity!$A$18),
      AND(UPPER(TRIM(M1934))="STD", TRIM(B1934)=TRIM(Enginuity!$A$17))
    ),
    OR(
      AND(LEFT(P1934,5)="1-Way", Enginuity!$B$13=1),
      AND(LEFT(P1934,5)="2-Way", OR(Enginuity!$B$13=2, Enginuity!$B$13=4)),
      AND(LEFT(P1934,5)="3-Way", OR(Enginuity!$B$13=3, Enginuity!$B$13=6)),
      AND(P1934="Inner Centre Jamb", OR(Enginuity!$B$13=4, Enginuity!$B$13=6)),
      AND(
        LEFT(P1934,5)&lt;&gt;"1-Way",
        LEFT(P1934,5)&lt;&gt;"2-Way",
        LEFT(P1934,5)&lt;&gt;"3-Way",
        P1934&lt;&gt;"Inner Centre Jamb"
      )
    ),
    IF(OR(Enginuity!$A$1="Frameless Glass",Enginuity!$A$1="Metal Work"),
      AND(TRIM(B1934)=TRIM(Enginuity!$A$17),TRIM(C1934)=TRIM(Enginuity!$A$18)),
      TRIM(B1934)=TRIM(Enginuity!$A$17)
    )
  ),
  ROW(),
  ""
)</f>
        <v/>
      </c>
    </row>
    <row r="1935" spans="1:21" x14ac:dyDescent="0.25">
      <c r="A1935" s="10"/>
      <c r="B1935" s="229"/>
      <c r="C1935" s="10"/>
      <c r="D1935" s="14"/>
      <c r="E1935" s="157"/>
      <c r="F1935" s="10"/>
      <c r="G1935" s="17"/>
      <c r="H1935" s="10"/>
      <c r="I1935" s="17"/>
      <c r="J1935" s="83"/>
      <c r="K1935" s="343"/>
      <c r="L1935" s="347"/>
      <c r="M1935" s="89"/>
      <c r="N1935" s="14"/>
      <c r="O1935" s="22"/>
      <c r="P1935" s="14"/>
      <c r="Q1935" s="83"/>
      <c r="U1935" s="104" t="str">
        <f>IF(
  AND(
    TRIM(A1935)=TRIM(Enginuity!$A$1),
    TRIM(B1935)=TRIM(Enginuity!$A$17),
    Q1935&lt;&gt;"",
    Q1935&lt;&gt;0,
    OR(
      TRIM(C1935)=TRIM(Enginuity!$A$18),
      AND(UPPER(TRIM(M1935))="STD", TRIM(B1935)=TRIM(Enginuity!$A$17))
    ),
    OR(
      AND(LEFT(P1935,5)="1-Way", Enginuity!$B$13=1),
      AND(LEFT(P1935,5)="2-Way", OR(Enginuity!$B$13=2, Enginuity!$B$13=4)),
      AND(LEFT(P1935,5)="3-Way", OR(Enginuity!$B$13=3, Enginuity!$B$13=6)),
      AND(P1935="Inner Centre Jamb", OR(Enginuity!$B$13=4, Enginuity!$B$13=6)),
      AND(
        LEFT(P1935,5)&lt;&gt;"1-Way",
        LEFT(P1935,5)&lt;&gt;"2-Way",
        LEFT(P1935,5)&lt;&gt;"3-Way",
        P1935&lt;&gt;"Inner Centre Jamb"
      )
    ),
    IF(OR(Enginuity!$A$1="Frameless Glass",Enginuity!$A$1="Metal Work"),
      AND(TRIM(B1935)=TRIM(Enginuity!$A$17),TRIM(C1935)=TRIM(Enginuity!$A$18)),
      TRIM(B1935)=TRIM(Enginuity!$A$17)
    )
  ),
  ROW(),
  ""
)</f>
        <v/>
      </c>
    </row>
    <row r="1936" spans="1:21" x14ac:dyDescent="0.25">
      <c r="A1936" s="10"/>
      <c r="B1936" s="229"/>
      <c r="C1936" s="10"/>
      <c r="D1936" s="14"/>
      <c r="E1936" s="157"/>
      <c r="F1936" s="10"/>
      <c r="G1936" s="17"/>
      <c r="H1936" s="10"/>
      <c r="I1936" s="17"/>
      <c r="J1936" s="83"/>
      <c r="K1936" s="343"/>
      <c r="L1936" s="347"/>
      <c r="M1936" s="89"/>
      <c r="N1936" s="10"/>
      <c r="O1936" s="22"/>
      <c r="P1936" s="14"/>
      <c r="Q1936" s="83"/>
      <c r="U1936" s="104" t="str">
        <f>IF(
  AND(
    TRIM(A1936)=TRIM(Enginuity!$A$1),
    TRIM(B1936)=TRIM(Enginuity!$A$17),
    Q1936&lt;&gt;"",
    Q1936&lt;&gt;0,
    OR(
      TRIM(C1936)=TRIM(Enginuity!$A$18),
      AND(UPPER(TRIM(M1936))="STD", TRIM(B1936)=TRIM(Enginuity!$A$17))
    ),
    OR(
      AND(LEFT(P1936,5)="1-Way", Enginuity!$B$13=1),
      AND(LEFT(P1936,5)="2-Way", OR(Enginuity!$B$13=2, Enginuity!$B$13=4)),
      AND(LEFT(P1936,5)="3-Way", OR(Enginuity!$B$13=3, Enginuity!$B$13=6)),
      AND(P1936="Inner Centre Jamb", OR(Enginuity!$B$13=4, Enginuity!$B$13=6)),
      AND(
        LEFT(P1936,5)&lt;&gt;"1-Way",
        LEFT(P1936,5)&lt;&gt;"2-Way",
        LEFT(P1936,5)&lt;&gt;"3-Way",
        P1936&lt;&gt;"Inner Centre Jamb"
      )
    ),
    IF(OR(Enginuity!$A$1="Frameless Glass",Enginuity!$A$1="Metal Work"),
      AND(TRIM(B1936)=TRIM(Enginuity!$A$17),TRIM(C1936)=TRIM(Enginuity!$A$18)),
      TRIM(B1936)=TRIM(Enginuity!$A$17)
    )
  ),
  ROW(),
  ""
)</f>
        <v/>
      </c>
    </row>
    <row r="1937" spans="1:21" x14ac:dyDescent="0.25">
      <c r="A1937" s="10"/>
      <c r="B1937" s="229"/>
      <c r="C1937" s="10"/>
      <c r="D1937" s="14"/>
      <c r="E1937" s="157"/>
      <c r="F1937" s="10"/>
      <c r="G1937" s="17"/>
      <c r="H1937" s="10"/>
      <c r="I1937" s="17"/>
      <c r="J1937" s="83"/>
      <c r="K1937" s="343"/>
      <c r="L1937" s="347"/>
      <c r="M1937" s="89"/>
      <c r="N1937" s="10"/>
      <c r="O1937" s="22"/>
      <c r="P1937" s="21"/>
      <c r="Q1937" s="83"/>
      <c r="U1937" s="104" t="str">
        <f>IF(
  AND(
    TRIM(A1937)=TRIM(Enginuity!$A$1),
    TRIM(B1937)=TRIM(Enginuity!$A$17),
    Q1937&lt;&gt;"",
    Q1937&lt;&gt;0,
    OR(
      TRIM(C1937)=TRIM(Enginuity!$A$18),
      AND(UPPER(TRIM(M1937))="STD", TRIM(B1937)=TRIM(Enginuity!$A$17))
    ),
    OR(
      AND(LEFT(P1937,5)="1-Way", Enginuity!$B$13=1),
      AND(LEFT(P1937,5)="2-Way", OR(Enginuity!$B$13=2, Enginuity!$B$13=4)),
      AND(LEFT(P1937,5)="3-Way", OR(Enginuity!$B$13=3, Enginuity!$B$13=6)),
      AND(P1937="Inner Centre Jamb", OR(Enginuity!$B$13=4, Enginuity!$B$13=6)),
      AND(
        LEFT(P1937,5)&lt;&gt;"1-Way",
        LEFT(P1937,5)&lt;&gt;"2-Way",
        LEFT(P1937,5)&lt;&gt;"3-Way",
        P1937&lt;&gt;"Inner Centre Jamb"
      )
    ),
    IF(OR(Enginuity!$A$1="Frameless Glass",Enginuity!$A$1="Metal Work"),
      AND(TRIM(B1937)=TRIM(Enginuity!$A$17),TRIM(C1937)=TRIM(Enginuity!$A$18)),
      TRIM(B1937)=TRIM(Enginuity!$A$17)
    )
  ),
  ROW(),
  ""
)</f>
        <v/>
      </c>
    </row>
    <row r="1938" spans="1:21" x14ac:dyDescent="0.25">
      <c r="A1938" s="10"/>
      <c r="B1938" s="229"/>
      <c r="C1938" s="10"/>
      <c r="D1938" s="14"/>
      <c r="E1938" s="157"/>
      <c r="F1938" s="10"/>
      <c r="G1938" s="17"/>
      <c r="H1938" s="10"/>
      <c r="I1938" s="17"/>
      <c r="J1938" s="83"/>
      <c r="K1938" s="343"/>
      <c r="L1938" s="347"/>
      <c r="M1938" s="89"/>
      <c r="N1938" s="88"/>
      <c r="O1938" s="22"/>
      <c r="P1938" s="36"/>
      <c r="Q1938" s="83"/>
      <c r="U1938" s="104" t="str">
        <f>IF(
  AND(
    TRIM(A1938)=TRIM(Enginuity!$A$1),
    TRIM(B1938)=TRIM(Enginuity!$A$17),
    Q1938&lt;&gt;"",
    Q1938&lt;&gt;0,
    OR(
      TRIM(C1938)=TRIM(Enginuity!$A$18),
      AND(UPPER(TRIM(M1938))="STD", TRIM(B1938)=TRIM(Enginuity!$A$17))
    ),
    OR(
      AND(LEFT(P1938,5)="1-Way", Enginuity!$B$13=1),
      AND(LEFT(P1938,5)="2-Way", OR(Enginuity!$B$13=2, Enginuity!$B$13=4)),
      AND(LEFT(P1938,5)="3-Way", OR(Enginuity!$B$13=3, Enginuity!$B$13=6)),
      AND(P1938="Inner Centre Jamb", OR(Enginuity!$B$13=4, Enginuity!$B$13=6)),
      AND(
        LEFT(P1938,5)&lt;&gt;"1-Way",
        LEFT(P1938,5)&lt;&gt;"2-Way",
        LEFT(P1938,5)&lt;&gt;"3-Way",
        P1938&lt;&gt;"Inner Centre Jamb"
      )
    ),
    IF(OR(Enginuity!$A$1="Frameless Glass",Enginuity!$A$1="Metal Work"),
      AND(TRIM(B1938)=TRIM(Enginuity!$A$17),TRIM(C1938)=TRIM(Enginuity!$A$18)),
      TRIM(B1938)=TRIM(Enginuity!$A$17)
    )
  ),
  ROW(),
  ""
)</f>
        <v/>
      </c>
    </row>
    <row r="1939" spans="1:21" x14ac:dyDescent="0.25">
      <c r="A1939" s="10"/>
      <c r="B1939" s="229"/>
      <c r="C1939" s="10"/>
      <c r="D1939" s="14"/>
      <c r="E1939" s="157"/>
      <c r="F1939" s="10"/>
      <c r="G1939" s="17"/>
      <c r="H1939" s="10"/>
      <c r="I1939" s="17"/>
      <c r="J1939" s="83"/>
      <c r="K1939" s="343"/>
      <c r="L1939" s="347"/>
      <c r="M1939" s="10"/>
      <c r="N1939" s="10"/>
      <c r="O1939" s="22"/>
      <c r="P1939" s="21"/>
      <c r="Q1939" s="83"/>
      <c r="U1939" s="104" t="str">
        <f>IF(
  AND(
    TRIM(A1939)=TRIM(Enginuity!$A$1),
    TRIM(B1939)=TRIM(Enginuity!$A$17),
    Q1939&lt;&gt;"",
    Q1939&lt;&gt;0,
    OR(
      TRIM(C1939)=TRIM(Enginuity!$A$18),
      AND(UPPER(TRIM(M1939))="STD", TRIM(B1939)=TRIM(Enginuity!$A$17))
    ),
    OR(
      AND(LEFT(P1939,5)="1-Way", Enginuity!$B$13=1),
      AND(LEFT(P1939,5)="2-Way", OR(Enginuity!$B$13=2, Enginuity!$B$13=4)),
      AND(LEFT(P1939,5)="3-Way", OR(Enginuity!$B$13=3, Enginuity!$B$13=6)),
      AND(P1939="Inner Centre Jamb", OR(Enginuity!$B$13=4, Enginuity!$B$13=6)),
      AND(
        LEFT(P1939,5)&lt;&gt;"1-Way",
        LEFT(P1939,5)&lt;&gt;"2-Way",
        LEFT(P1939,5)&lt;&gt;"3-Way",
        P1939&lt;&gt;"Inner Centre Jamb"
      )
    ),
    IF(OR(Enginuity!$A$1="Frameless Glass",Enginuity!$A$1="Metal Work"),
      AND(TRIM(B1939)=TRIM(Enginuity!$A$17),TRIM(C1939)=TRIM(Enginuity!$A$18)),
      TRIM(B1939)=TRIM(Enginuity!$A$17)
    )
  ),
  ROW(),
  ""
)</f>
        <v/>
      </c>
    </row>
    <row r="1940" spans="1:21" x14ac:dyDescent="0.25">
      <c r="A1940" s="10"/>
      <c r="B1940" s="229"/>
      <c r="C1940" s="10"/>
      <c r="D1940" s="14"/>
      <c r="E1940" s="157"/>
      <c r="F1940" s="10"/>
      <c r="G1940" s="17"/>
      <c r="H1940" s="10"/>
      <c r="I1940" s="17"/>
      <c r="J1940" s="83"/>
      <c r="K1940" s="343"/>
      <c r="L1940" s="347"/>
      <c r="M1940" s="10"/>
      <c r="N1940" s="10"/>
      <c r="O1940" s="22"/>
      <c r="P1940" s="14"/>
      <c r="Q1940" s="83"/>
      <c r="U1940" s="104" t="str">
        <f>IF(
  AND(
    TRIM(A1940)=TRIM(Enginuity!$A$1),
    TRIM(B1940)=TRIM(Enginuity!$A$17),
    Q1940&lt;&gt;"",
    Q1940&lt;&gt;0,
    OR(
      TRIM(C1940)=TRIM(Enginuity!$A$18),
      AND(UPPER(TRIM(M1940))="STD", TRIM(B1940)=TRIM(Enginuity!$A$17))
    ),
    OR(
      AND(LEFT(P1940,5)="1-Way", Enginuity!$B$13=1),
      AND(LEFT(P1940,5)="2-Way", OR(Enginuity!$B$13=2, Enginuity!$B$13=4)),
      AND(LEFT(P1940,5)="3-Way", OR(Enginuity!$B$13=3, Enginuity!$B$13=6)),
      AND(P1940="Inner Centre Jamb", OR(Enginuity!$B$13=4, Enginuity!$B$13=6)),
      AND(
        LEFT(P1940,5)&lt;&gt;"1-Way",
        LEFT(P1940,5)&lt;&gt;"2-Way",
        LEFT(P1940,5)&lt;&gt;"3-Way",
        P1940&lt;&gt;"Inner Centre Jamb"
      )
    ),
    IF(OR(Enginuity!$A$1="Frameless Glass",Enginuity!$A$1="Metal Work"),
      AND(TRIM(B1940)=TRIM(Enginuity!$A$17),TRIM(C1940)=TRIM(Enginuity!$A$18)),
      TRIM(B1940)=TRIM(Enginuity!$A$17)
    )
  ),
  ROW(),
  ""
)</f>
        <v/>
      </c>
    </row>
    <row r="1941" spans="1:21" x14ac:dyDescent="0.25">
      <c r="A1941" s="10"/>
      <c r="B1941" s="229"/>
      <c r="C1941" s="10"/>
      <c r="D1941" s="14"/>
      <c r="E1941" s="157"/>
      <c r="F1941" s="10"/>
      <c r="G1941" s="17"/>
      <c r="H1941" s="10"/>
      <c r="I1941" s="17"/>
      <c r="J1941" s="83"/>
      <c r="K1941" s="343"/>
      <c r="L1941" s="347"/>
      <c r="M1941" s="10"/>
      <c r="N1941" s="10"/>
      <c r="O1941" s="22"/>
      <c r="P1941" s="14"/>
      <c r="Q1941" s="83"/>
      <c r="U1941" s="104" t="str">
        <f>IF(
  AND(
    TRIM(A1941)=TRIM(Enginuity!$A$1),
    TRIM(B1941)=TRIM(Enginuity!$A$17),
    Q1941&lt;&gt;"",
    Q1941&lt;&gt;0,
    OR(
      TRIM(C1941)=TRIM(Enginuity!$A$18),
      AND(UPPER(TRIM(M1941))="STD", TRIM(B1941)=TRIM(Enginuity!$A$17))
    ),
    OR(
      AND(LEFT(P1941,5)="1-Way", Enginuity!$B$13=1),
      AND(LEFT(P1941,5)="2-Way", OR(Enginuity!$B$13=2, Enginuity!$B$13=4)),
      AND(LEFT(P1941,5)="3-Way", OR(Enginuity!$B$13=3, Enginuity!$B$13=6)),
      AND(P1941="Inner Centre Jamb", OR(Enginuity!$B$13=4, Enginuity!$B$13=6)),
      AND(
        LEFT(P1941,5)&lt;&gt;"1-Way",
        LEFT(P1941,5)&lt;&gt;"2-Way",
        LEFT(P1941,5)&lt;&gt;"3-Way",
        P1941&lt;&gt;"Inner Centre Jamb"
      )
    ),
    IF(OR(Enginuity!$A$1="Frameless Glass",Enginuity!$A$1="Metal Work"),
      AND(TRIM(B1941)=TRIM(Enginuity!$A$17),TRIM(C1941)=TRIM(Enginuity!$A$18)),
      TRIM(B1941)=TRIM(Enginuity!$A$17)
    )
  ),
  ROW(),
  ""
)</f>
        <v/>
      </c>
    </row>
    <row r="1942" spans="1:21" x14ac:dyDescent="0.25">
      <c r="A1942" s="10"/>
      <c r="B1942" s="229"/>
      <c r="C1942" s="10"/>
      <c r="D1942" s="14"/>
      <c r="E1942" s="157"/>
      <c r="F1942" s="10"/>
      <c r="G1942" s="17"/>
      <c r="H1942" s="10"/>
      <c r="I1942" s="17"/>
      <c r="J1942" s="83"/>
      <c r="K1942" s="343"/>
      <c r="L1942" s="347"/>
      <c r="M1942" s="10"/>
      <c r="N1942" s="10"/>
      <c r="O1942" s="22"/>
      <c r="P1942" s="14"/>
      <c r="Q1942" s="83"/>
      <c r="U1942" s="104" t="str">
        <f>IF(
  AND(
    TRIM(A1942)=TRIM(Enginuity!$A$1),
    TRIM(B1942)=TRIM(Enginuity!$A$17),
    Q1942&lt;&gt;"",
    Q1942&lt;&gt;0,
    OR(
      TRIM(C1942)=TRIM(Enginuity!$A$18),
      AND(UPPER(TRIM(M1942))="STD", TRIM(B1942)=TRIM(Enginuity!$A$17))
    ),
    OR(
      AND(LEFT(P1942,5)="1-Way", Enginuity!$B$13=1),
      AND(LEFT(P1942,5)="2-Way", OR(Enginuity!$B$13=2, Enginuity!$B$13=4)),
      AND(LEFT(P1942,5)="3-Way", OR(Enginuity!$B$13=3, Enginuity!$B$13=6)),
      AND(P1942="Inner Centre Jamb", OR(Enginuity!$B$13=4, Enginuity!$B$13=6)),
      AND(
        LEFT(P1942,5)&lt;&gt;"1-Way",
        LEFT(P1942,5)&lt;&gt;"2-Way",
        LEFT(P1942,5)&lt;&gt;"3-Way",
        P1942&lt;&gt;"Inner Centre Jamb"
      )
    ),
    IF(OR(Enginuity!$A$1="Frameless Glass",Enginuity!$A$1="Metal Work"),
      AND(TRIM(B1942)=TRIM(Enginuity!$A$17),TRIM(C1942)=TRIM(Enginuity!$A$18)),
      TRIM(B1942)=TRIM(Enginuity!$A$17)
    )
  ),
  ROW(),
  ""
)</f>
        <v/>
      </c>
    </row>
    <row r="1943" spans="1:21" x14ac:dyDescent="0.25">
      <c r="A1943" s="10"/>
      <c r="B1943" s="229"/>
      <c r="C1943" s="10"/>
      <c r="D1943" s="14"/>
      <c r="E1943" s="157"/>
      <c r="F1943" s="10"/>
      <c r="G1943" s="17"/>
      <c r="H1943" s="10"/>
      <c r="I1943" s="17"/>
      <c r="J1943" s="83"/>
      <c r="K1943" s="343"/>
      <c r="L1943" s="347"/>
      <c r="M1943" s="10"/>
      <c r="N1943" s="10"/>
      <c r="O1943" s="22"/>
      <c r="P1943" s="14"/>
      <c r="Q1943" s="83"/>
      <c r="U1943" s="104" t="str">
        <f>IF(
  AND(
    TRIM(A1943)=TRIM(Enginuity!$A$1),
    TRIM(B1943)=TRIM(Enginuity!$A$17),
    Q1943&lt;&gt;"",
    Q1943&lt;&gt;0,
    OR(
      TRIM(C1943)=TRIM(Enginuity!$A$18),
      AND(UPPER(TRIM(M1943))="STD", TRIM(B1943)=TRIM(Enginuity!$A$17))
    ),
    OR(
      AND(LEFT(P1943,5)="1-Way", Enginuity!$B$13=1),
      AND(LEFT(P1943,5)="2-Way", OR(Enginuity!$B$13=2, Enginuity!$B$13=4)),
      AND(LEFT(P1943,5)="3-Way", OR(Enginuity!$B$13=3, Enginuity!$B$13=6)),
      AND(P1943="Inner Centre Jamb", OR(Enginuity!$B$13=4, Enginuity!$B$13=6)),
      AND(
        LEFT(P1943,5)&lt;&gt;"1-Way",
        LEFT(P1943,5)&lt;&gt;"2-Way",
        LEFT(P1943,5)&lt;&gt;"3-Way",
        P1943&lt;&gt;"Inner Centre Jamb"
      )
    ),
    IF(OR(Enginuity!$A$1="Frameless Glass",Enginuity!$A$1="Metal Work"),
      AND(TRIM(B1943)=TRIM(Enginuity!$A$17),TRIM(C1943)=TRIM(Enginuity!$A$18)),
      TRIM(B1943)=TRIM(Enginuity!$A$17)
    )
  ),
  ROW(),
  ""
)</f>
        <v/>
      </c>
    </row>
    <row r="1944" spans="1:21" x14ac:dyDescent="0.25">
      <c r="A1944" s="10"/>
      <c r="B1944" s="229"/>
      <c r="C1944" s="10"/>
      <c r="D1944" s="14"/>
      <c r="E1944" s="157"/>
      <c r="F1944" s="10"/>
      <c r="G1944" s="17"/>
      <c r="H1944" s="10"/>
      <c r="I1944" s="17"/>
      <c r="J1944" s="83"/>
      <c r="K1944" s="343"/>
      <c r="L1944" s="347"/>
      <c r="M1944" s="10"/>
      <c r="N1944" s="10"/>
      <c r="O1944" s="22"/>
      <c r="P1944" s="14"/>
      <c r="Q1944" s="83"/>
      <c r="U1944" s="104" t="str">
        <f>IF(
  AND(
    TRIM(A1944)=TRIM(Enginuity!$A$1),
    TRIM(B1944)=TRIM(Enginuity!$A$17),
    Q1944&lt;&gt;"",
    Q1944&lt;&gt;0,
    OR(
      TRIM(C1944)=TRIM(Enginuity!$A$18),
      AND(UPPER(TRIM(M1944))="STD", TRIM(B1944)=TRIM(Enginuity!$A$17))
    ),
    OR(
      AND(LEFT(P1944,5)="1-Way", Enginuity!$B$13=1),
      AND(LEFT(P1944,5)="2-Way", OR(Enginuity!$B$13=2, Enginuity!$B$13=4)),
      AND(LEFT(P1944,5)="3-Way", OR(Enginuity!$B$13=3, Enginuity!$B$13=6)),
      AND(P1944="Inner Centre Jamb", OR(Enginuity!$B$13=4, Enginuity!$B$13=6)),
      AND(
        LEFT(P1944,5)&lt;&gt;"1-Way",
        LEFT(P1944,5)&lt;&gt;"2-Way",
        LEFT(P1944,5)&lt;&gt;"3-Way",
        P1944&lt;&gt;"Inner Centre Jamb"
      )
    ),
    IF(OR(Enginuity!$A$1="Frameless Glass",Enginuity!$A$1="Metal Work"),
      AND(TRIM(B1944)=TRIM(Enginuity!$A$17),TRIM(C1944)=TRIM(Enginuity!$A$18)),
      TRIM(B1944)=TRIM(Enginuity!$A$17)
    )
  ),
  ROW(),
  ""
)</f>
        <v/>
      </c>
    </row>
    <row r="1945" spans="1:21" x14ac:dyDescent="0.25">
      <c r="A1945" s="10"/>
      <c r="B1945" s="229"/>
      <c r="C1945" s="10"/>
      <c r="D1945" s="14"/>
      <c r="E1945" s="157"/>
      <c r="F1945" s="10"/>
      <c r="G1945" s="17"/>
      <c r="H1945" s="10"/>
      <c r="I1945" s="17"/>
      <c r="J1945" s="83"/>
      <c r="K1945" s="343"/>
      <c r="L1945" s="347"/>
      <c r="M1945" s="10"/>
      <c r="N1945" s="88"/>
      <c r="O1945" s="22"/>
      <c r="P1945" s="14"/>
      <c r="Q1945" s="83"/>
      <c r="U1945" s="104" t="str">
        <f>IF(
  AND(
    TRIM(A1945)=TRIM(Enginuity!$A$1),
    TRIM(B1945)=TRIM(Enginuity!$A$17),
    Q1945&lt;&gt;"",
    Q1945&lt;&gt;0,
    OR(
      TRIM(C1945)=TRIM(Enginuity!$A$18),
      AND(UPPER(TRIM(M1945))="STD", TRIM(B1945)=TRIM(Enginuity!$A$17))
    ),
    OR(
      AND(LEFT(P1945,5)="1-Way", Enginuity!$B$13=1),
      AND(LEFT(P1945,5)="2-Way", OR(Enginuity!$B$13=2, Enginuity!$B$13=4)),
      AND(LEFT(P1945,5)="3-Way", OR(Enginuity!$B$13=3, Enginuity!$B$13=6)),
      AND(P1945="Inner Centre Jamb", OR(Enginuity!$B$13=4, Enginuity!$B$13=6)),
      AND(
        LEFT(P1945,5)&lt;&gt;"1-Way",
        LEFT(P1945,5)&lt;&gt;"2-Way",
        LEFT(P1945,5)&lt;&gt;"3-Way",
        P1945&lt;&gt;"Inner Centre Jamb"
      )
    ),
    IF(OR(Enginuity!$A$1="Frameless Glass",Enginuity!$A$1="Metal Work"),
      AND(TRIM(B1945)=TRIM(Enginuity!$A$17),TRIM(C1945)=TRIM(Enginuity!$A$18)),
      TRIM(B1945)=TRIM(Enginuity!$A$17)
    )
  ),
  ROW(),
  ""
)</f>
        <v/>
      </c>
    </row>
    <row r="1946" spans="1:21" x14ac:dyDescent="0.25">
      <c r="A1946" s="10"/>
      <c r="B1946" s="229"/>
      <c r="C1946" s="10"/>
      <c r="D1946" s="14"/>
      <c r="E1946" s="157"/>
      <c r="F1946" s="10"/>
      <c r="G1946" s="17"/>
      <c r="H1946" s="10"/>
      <c r="I1946" s="17"/>
      <c r="J1946" s="83"/>
      <c r="K1946" s="343"/>
      <c r="L1946" s="347"/>
      <c r="M1946" s="10"/>
      <c r="N1946" s="10"/>
      <c r="O1946" s="22"/>
      <c r="P1946" s="14"/>
      <c r="Q1946" s="83"/>
      <c r="U1946" s="104" t="str">
        <f>IF(
  AND(
    TRIM(A1946)=TRIM(Enginuity!$A$1),
    TRIM(B1946)=TRIM(Enginuity!$A$17),
    Q1946&lt;&gt;"",
    Q1946&lt;&gt;0,
    OR(
      TRIM(C1946)=TRIM(Enginuity!$A$18),
      AND(UPPER(TRIM(M1946))="STD", TRIM(B1946)=TRIM(Enginuity!$A$17))
    ),
    OR(
      AND(LEFT(P1946,5)="1-Way", Enginuity!$B$13=1),
      AND(LEFT(P1946,5)="2-Way", OR(Enginuity!$B$13=2, Enginuity!$B$13=4)),
      AND(LEFT(P1946,5)="3-Way", OR(Enginuity!$B$13=3, Enginuity!$B$13=6)),
      AND(P1946="Inner Centre Jamb", OR(Enginuity!$B$13=4, Enginuity!$B$13=6)),
      AND(
        LEFT(P1946,5)&lt;&gt;"1-Way",
        LEFT(P1946,5)&lt;&gt;"2-Way",
        LEFT(P1946,5)&lt;&gt;"3-Way",
        P1946&lt;&gt;"Inner Centre Jamb"
      )
    ),
    IF(OR(Enginuity!$A$1="Frameless Glass",Enginuity!$A$1="Metal Work"),
      AND(TRIM(B1946)=TRIM(Enginuity!$A$17),TRIM(C1946)=TRIM(Enginuity!$A$18)),
      TRIM(B1946)=TRIM(Enginuity!$A$17)
    )
  ),
  ROW(),
  ""
)</f>
        <v/>
      </c>
    </row>
    <row r="1947" spans="1:21" x14ac:dyDescent="0.25">
      <c r="A1947" s="10"/>
      <c r="B1947" s="229"/>
      <c r="C1947" s="10"/>
      <c r="D1947" s="14"/>
      <c r="E1947" s="157"/>
      <c r="F1947" s="10"/>
      <c r="G1947" s="17"/>
      <c r="H1947" s="10"/>
      <c r="I1947" s="17"/>
      <c r="J1947" s="83"/>
      <c r="K1947" s="343"/>
      <c r="L1947" s="347"/>
      <c r="M1947" s="10"/>
      <c r="N1947" s="10"/>
      <c r="O1947" s="22"/>
      <c r="P1947" s="14"/>
      <c r="Q1947" s="83"/>
      <c r="U1947" s="104" t="str">
        <f>IF(
  AND(
    TRIM(A1947)=TRIM(Enginuity!$A$1),
    TRIM(B1947)=TRIM(Enginuity!$A$17),
    Q1947&lt;&gt;"",
    Q1947&lt;&gt;0,
    OR(
      TRIM(C1947)=TRIM(Enginuity!$A$18),
      AND(UPPER(TRIM(M1947))="STD", TRIM(B1947)=TRIM(Enginuity!$A$17))
    ),
    OR(
      AND(LEFT(P1947,5)="1-Way", Enginuity!$B$13=1),
      AND(LEFT(P1947,5)="2-Way", OR(Enginuity!$B$13=2, Enginuity!$B$13=4)),
      AND(LEFT(P1947,5)="3-Way", OR(Enginuity!$B$13=3, Enginuity!$B$13=6)),
      AND(P1947="Inner Centre Jamb", OR(Enginuity!$B$13=4, Enginuity!$B$13=6)),
      AND(
        LEFT(P1947,5)&lt;&gt;"1-Way",
        LEFT(P1947,5)&lt;&gt;"2-Way",
        LEFT(P1947,5)&lt;&gt;"3-Way",
        P1947&lt;&gt;"Inner Centre Jamb"
      )
    ),
    IF(OR(Enginuity!$A$1="Frameless Glass",Enginuity!$A$1="Metal Work"),
      AND(TRIM(B1947)=TRIM(Enginuity!$A$17),TRIM(C1947)=TRIM(Enginuity!$A$18)),
      TRIM(B1947)=TRIM(Enginuity!$A$17)
    )
  ),
  ROW(),
  ""
)</f>
        <v/>
      </c>
    </row>
    <row r="1948" spans="1:21" x14ac:dyDescent="0.25">
      <c r="A1948" s="10"/>
      <c r="B1948" s="229"/>
      <c r="C1948" s="10"/>
      <c r="D1948" s="14"/>
      <c r="E1948" s="157"/>
      <c r="F1948" s="10"/>
      <c r="G1948" s="17"/>
      <c r="H1948" s="10"/>
      <c r="I1948" s="17"/>
      <c r="J1948" s="83"/>
      <c r="K1948" s="343"/>
      <c r="L1948" s="347"/>
      <c r="M1948" s="10"/>
      <c r="N1948" s="10"/>
      <c r="O1948" s="22"/>
      <c r="P1948" s="14"/>
      <c r="Q1948" s="83"/>
      <c r="U1948" s="104" t="str">
        <f>IF(
  AND(
    TRIM(A1948)=TRIM(Enginuity!$A$1),
    TRIM(B1948)=TRIM(Enginuity!$A$17),
    Q1948&lt;&gt;"",
    Q1948&lt;&gt;0,
    OR(
      TRIM(C1948)=TRIM(Enginuity!$A$18),
      AND(UPPER(TRIM(M1948))="STD", TRIM(B1948)=TRIM(Enginuity!$A$17))
    ),
    OR(
      AND(LEFT(P1948,5)="1-Way", Enginuity!$B$13=1),
      AND(LEFT(P1948,5)="2-Way", OR(Enginuity!$B$13=2, Enginuity!$B$13=4)),
      AND(LEFT(P1948,5)="3-Way", OR(Enginuity!$B$13=3, Enginuity!$B$13=6)),
      AND(P1948="Inner Centre Jamb", OR(Enginuity!$B$13=4, Enginuity!$B$13=6)),
      AND(
        LEFT(P1948,5)&lt;&gt;"1-Way",
        LEFT(P1948,5)&lt;&gt;"2-Way",
        LEFT(P1948,5)&lt;&gt;"3-Way",
        P1948&lt;&gt;"Inner Centre Jamb"
      )
    ),
    IF(OR(Enginuity!$A$1="Frameless Glass",Enginuity!$A$1="Metal Work"),
      AND(TRIM(B1948)=TRIM(Enginuity!$A$17),TRIM(C1948)=TRIM(Enginuity!$A$18)),
      TRIM(B1948)=TRIM(Enginuity!$A$17)
    )
  ),
  ROW(),
  ""
)</f>
        <v/>
      </c>
    </row>
    <row r="1949" spans="1:21" x14ac:dyDescent="0.25">
      <c r="A1949" s="10"/>
      <c r="B1949" s="229"/>
      <c r="C1949" s="10"/>
      <c r="D1949" s="14"/>
      <c r="E1949" s="157"/>
      <c r="F1949" s="10"/>
      <c r="G1949" s="17"/>
      <c r="H1949" s="10"/>
      <c r="I1949" s="17"/>
      <c r="J1949" s="83"/>
      <c r="K1949" s="343"/>
      <c r="L1949" s="347"/>
      <c r="M1949" s="10"/>
      <c r="N1949" s="10"/>
      <c r="O1949" s="22"/>
      <c r="P1949" s="14"/>
      <c r="Q1949" s="83"/>
      <c r="U1949" s="104" t="str">
        <f>IF(
  AND(
    TRIM(A1949)=TRIM(Enginuity!$A$1),
    TRIM(B1949)=TRIM(Enginuity!$A$17),
    Q1949&lt;&gt;"",
    Q1949&lt;&gt;0,
    OR(
      TRIM(C1949)=TRIM(Enginuity!$A$18),
      AND(UPPER(TRIM(M1949))="STD", TRIM(B1949)=TRIM(Enginuity!$A$17))
    ),
    OR(
      AND(LEFT(P1949,5)="1-Way", Enginuity!$B$13=1),
      AND(LEFT(P1949,5)="2-Way", OR(Enginuity!$B$13=2, Enginuity!$B$13=4)),
      AND(LEFT(P1949,5)="3-Way", OR(Enginuity!$B$13=3, Enginuity!$B$13=6)),
      AND(P1949="Inner Centre Jamb", OR(Enginuity!$B$13=4, Enginuity!$B$13=6)),
      AND(
        LEFT(P1949,5)&lt;&gt;"1-Way",
        LEFT(P1949,5)&lt;&gt;"2-Way",
        LEFT(P1949,5)&lt;&gt;"3-Way",
        P1949&lt;&gt;"Inner Centre Jamb"
      )
    ),
    IF(OR(Enginuity!$A$1="Frameless Glass",Enginuity!$A$1="Metal Work"),
      AND(TRIM(B1949)=TRIM(Enginuity!$A$17),TRIM(C1949)=TRIM(Enginuity!$A$18)),
      TRIM(B1949)=TRIM(Enginuity!$A$17)
    )
  ),
  ROW(),
  ""
)</f>
        <v/>
      </c>
    </row>
    <row r="1950" spans="1:21" x14ac:dyDescent="0.25">
      <c r="A1950" s="10"/>
      <c r="B1950" s="229"/>
      <c r="C1950" s="10"/>
      <c r="D1950" s="14"/>
      <c r="E1950" s="157"/>
      <c r="F1950" s="10"/>
      <c r="G1950" s="17"/>
      <c r="H1950" s="10"/>
      <c r="I1950" s="17"/>
      <c r="J1950" s="83"/>
      <c r="K1950" s="343"/>
      <c r="L1950" s="347"/>
      <c r="M1950" s="10"/>
      <c r="N1950" s="10"/>
      <c r="O1950" s="22"/>
      <c r="P1950" s="14"/>
      <c r="Q1950" s="83"/>
      <c r="U1950" s="104" t="str">
        <f>IF(
  AND(
    TRIM(A1950)=TRIM(Enginuity!$A$1),
    TRIM(B1950)=TRIM(Enginuity!$A$17),
    Q1950&lt;&gt;"",
    Q1950&lt;&gt;0,
    OR(
      TRIM(C1950)=TRIM(Enginuity!$A$18),
      AND(UPPER(TRIM(M1950))="STD", TRIM(B1950)=TRIM(Enginuity!$A$17))
    ),
    OR(
      AND(LEFT(P1950,5)="1-Way", Enginuity!$B$13=1),
      AND(LEFT(P1950,5)="2-Way", OR(Enginuity!$B$13=2, Enginuity!$B$13=4)),
      AND(LEFT(P1950,5)="3-Way", OR(Enginuity!$B$13=3, Enginuity!$B$13=6)),
      AND(P1950="Inner Centre Jamb", OR(Enginuity!$B$13=4, Enginuity!$B$13=6)),
      AND(
        LEFT(P1950,5)&lt;&gt;"1-Way",
        LEFT(P1950,5)&lt;&gt;"2-Way",
        LEFT(P1950,5)&lt;&gt;"3-Way",
        P1950&lt;&gt;"Inner Centre Jamb"
      )
    ),
    IF(OR(Enginuity!$A$1="Frameless Glass",Enginuity!$A$1="Metal Work"),
      AND(TRIM(B1950)=TRIM(Enginuity!$A$17),TRIM(C1950)=TRIM(Enginuity!$A$18)),
      TRIM(B1950)=TRIM(Enginuity!$A$17)
    )
  ),
  ROW(),
  ""
)</f>
        <v/>
      </c>
    </row>
    <row r="1951" spans="1:21" x14ac:dyDescent="0.25">
      <c r="A1951" s="10"/>
      <c r="B1951" s="229"/>
      <c r="C1951" s="10"/>
      <c r="D1951" s="14"/>
      <c r="E1951" s="157"/>
      <c r="F1951" s="10"/>
      <c r="G1951" s="17"/>
      <c r="H1951" s="10"/>
      <c r="I1951" s="17"/>
      <c r="J1951" s="83"/>
      <c r="K1951" s="343"/>
      <c r="L1951" s="347"/>
      <c r="M1951" s="10"/>
      <c r="N1951" s="10"/>
      <c r="O1951" s="22"/>
      <c r="P1951" s="21"/>
      <c r="Q1951" s="83"/>
      <c r="U1951" s="104" t="str">
        <f>IF(
  AND(
    TRIM(A1951)=TRIM(Enginuity!$A$1),
    TRIM(B1951)=TRIM(Enginuity!$A$17),
    Q1951&lt;&gt;"",
    Q1951&lt;&gt;0,
    OR(
      TRIM(C1951)=TRIM(Enginuity!$A$18),
      AND(UPPER(TRIM(M1951))="STD", TRIM(B1951)=TRIM(Enginuity!$A$17))
    ),
    OR(
      AND(LEFT(P1951,5)="1-Way", Enginuity!$B$13=1),
      AND(LEFT(P1951,5)="2-Way", OR(Enginuity!$B$13=2, Enginuity!$B$13=4)),
      AND(LEFT(P1951,5)="3-Way", OR(Enginuity!$B$13=3, Enginuity!$B$13=6)),
      AND(P1951="Inner Centre Jamb", OR(Enginuity!$B$13=4, Enginuity!$B$13=6)),
      AND(
        LEFT(P1951,5)&lt;&gt;"1-Way",
        LEFT(P1951,5)&lt;&gt;"2-Way",
        LEFT(P1951,5)&lt;&gt;"3-Way",
        P1951&lt;&gt;"Inner Centre Jamb"
      )
    ),
    IF(OR(Enginuity!$A$1="Frameless Glass",Enginuity!$A$1="Metal Work"),
      AND(TRIM(B1951)=TRIM(Enginuity!$A$17),TRIM(C1951)=TRIM(Enginuity!$A$18)),
      TRIM(B1951)=TRIM(Enginuity!$A$17)
    )
  ),
  ROW(),
  ""
)</f>
        <v/>
      </c>
    </row>
    <row r="1952" spans="1:21" x14ac:dyDescent="0.25">
      <c r="A1952" s="10"/>
      <c r="B1952" s="229"/>
      <c r="C1952" s="10"/>
      <c r="D1952" s="14"/>
      <c r="E1952" s="157"/>
      <c r="F1952" s="10"/>
      <c r="G1952" s="17"/>
      <c r="H1952" s="10"/>
      <c r="I1952" s="17"/>
      <c r="J1952" s="83"/>
      <c r="K1952" s="343"/>
      <c r="L1952" s="347"/>
      <c r="M1952" s="10"/>
      <c r="N1952" s="10"/>
      <c r="O1952" s="22"/>
      <c r="P1952" s="21"/>
      <c r="Q1952" s="83"/>
      <c r="U1952" s="104" t="str">
        <f>IF(
  AND(
    TRIM(A1952)=TRIM(Enginuity!$A$1),
    TRIM(B1952)=TRIM(Enginuity!$A$17),
    Q1952&lt;&gt;"",
    Q1952&lt;&gt;0,
    OR(
      TRIM(C1952)=TRIM(Enginuity!$A$18),
      AND(UPPER(TRIM(M1952))="STD", TRIM(B1952)=TRIM(Enginuity!$A$17))
    ),
    OR(
      AND(LEFT(P1952,5)="1-Way", Enginuity!$B$13=1),
      AND(LEFT(P1952,5)="2-Way", OR(Enginuity!$B$13=2, Enginuity!$B$13=4)),
      AND(LEFT(P1952,5)="3-Way", OR(Enginuity!$B$13=3, Enginuity!$B$13=6)),
      AND(P1952="Inner Centre Jamb", OR(Enginuity!$B$13=4, Enginuity!$B$13=6)),
      AND(
        LEFT(P1952,5)&lt;&gt;"1-Way",
        LEFT(P1952,5)&lt;&gt;"2-Way",
        LEFT(P1952,5)&lt;&gt;"3-Way",
        P1952&lt;&gt;"Inner Centre Jamb"
      )
    ),
    IF(OR(Enginuity!$A$1="Frameless Glass",Enginuity!$A$1="Metal Work"),
      AND(TRIM(B1952)=TRIM(Enginuity!$A$17),TRIM(C1952)=TRIM(Enginuity!$A$18)),
      TRIM(B1952)=TRIM(Enginuity!$A$17)
    )
  ),
  ROW(),
  ""
)</f>
        <v/>
      </c>
    </row>
    <row r="1953" spans="1:21" x14ac:dyDescent="0.25">
      <c r="A1953" s="10"/>
      <c r="B1953" s="229"/>
      <c r="C1953" s="10"/>
      <c r="D1953" s="14"/>
      <c r="E1953" s="157"/>
      <c r="F1953" s="10"/>
      <c r="G1953" s="17"/>
      <c r="H1953" s="10"/>
      <c r="I1953" s="17"/>
      <c r="J1953" s="83"/>
      <c r="K1953" s="343"/>
      <c r="L1953" s="347"/>
      <c r="M1953" s="10"/>
      <c r="N1953" s="10"/>
      <c r="O1953" s="22"/>
      <c r="P1953" s="14"/>
      <c r="Q1953" s="83"/>
      <c r="U1953" s="104" t="str">
        <f>IF(
  AND(
    TRIM(A1953)=TRIM(Enginuity!$A$1),
    TRIM(B1953)=TRIM(Enginuity!$A$17),
    Q1953&lt;&gt;"",
    Q1953&lt;&gt;0,
    OR(
      TRIM(C1953)=TRIM(Enginuity!$A$18),
      AND(UPPER(TRIM(M1953))="STD", TRIM(B1953)=TRIM(Enginuity!$A$17))
    ),
    OR(
      AND(LEFT(P1953,5)="1-Way", Enginuity!$B$13=1),
      AND(LEFT(P1953,5)="2-Way", OR(Enginuity!$B$13=2, Enginuity!$B$13=4)),
      AND(LEFT(P1953,5)="3-Way", OR(Enginuity!$B$13=3, Enginuity!$B$13=6)),
      AND(P1953="Inner Centre Jamb", OR(Enginuity!$B$13=4, Enginuity!$B$13=6)),
      AND(
        LEFT(P1953,5)&lt;&gt;"1-Way",
        LEFT(P1953,5)&lt;&gt;"2-Way",
        LEFT(P1953,5)&lt;&gt;"3-Way",
        P1953&lt;&gt;"Inner Centre Jamb"
      )
    ),
    IF(OR(Enginuity!$A$1="Frameless Glass",Enginuity!$A$1="Metal Work"),
      AND(TRIM(B1953)=TRIM(Enginuity!$A$17),TRIM(C1953)=TRIM(Enginuity!$A$18)),
      TRIM(B1953)=TRIM(Enginuity!$A$17)
    )
  ),
  ROW(),
  ""
)</f>
        <v/>
      </c>
    </row>
    <row r="1954" spans="1:21" x14ac:dyDescent="0.25">
      <c r="A1954" s="10"/>
      <c r="B1954" s="229"/>
      <c r="C1954" s="10"/>
      <c r="D1954" s="14"/>
      <c r="E1954" s="157"/>
      <c r="F1954" s="10"/>
      <c r="G1954" s="17"/>
      <c r="H1954" s="10"/>
      <c r="I1954" s="17"/>
      <c r="J1954" s="83"/>
      <c r="K1954" s="343"/>
      <c r="L1954" s="347"/>
      <c r="M1954" s="10"/>
      <c r="N1954" s="10"/>
      <c r="O1954" s="22"/>
      <c r="P1954" s="21"/>
      <c r="Q1954" s="83"/>
      <c r="U1954" s="104" t="str">
        <f>IF(
  AND(
    TRIM(A1954)=TRIM(Enginuity!$A$1),
    TRIM(B1954)=TRIM(Enginuity!$A$17),
    Q1954&lt;&gt;"",
    Q1954&lt;&gt;0,
    OR(
      TRIM(C1954)=TRIM(Enginuity!$A$18),
      AND(UPPER(TRIM(M1954))="STD", TRIM(B1954)=TRIM(Enginuity!$A$17))
    ),
    OR(
      AND(LEFT(P1954,5)="1-Way", Enginuity!$B$13=1),
      AND(LEFT(P1954,5)="2-Way", OR(Enginuity!$B$13=2, Enginuity!$B$13=4)),
      AND(LEFT(P1954,5)="3-Way", OR(Enginuity!$B$13=3, Enginuity!$B$13=6)),
      AND(P1954="Inner Centre Jamb", OR(Enginuity!$B$13=4, Enginuity!$B$13=6)),
      AND(
        LEFT(P1954,5)&lt;&gt;"1-Way",
        LEFT(P1954,5)&lt;&gt;"2-Way",
        LEFT(P1954,5)&lt;&gt;"3-Way",
        P1954&lt;&gt;"Inner Centre Jamb"
      )
    ),
    IF(OR(Enginuity!$A$1="Frameless Glass",Enginuity!$A$1="Metal Work"),
      AND(TRIM(B1954)=TRIM(Enginuity!$A$17),TRIM(C1954)=TRIM(Enginuity!$A$18)),
      TRIM(B1954)=TRIM(Enginuity!$A$17)
    )
  ),
  ROW(),
  ""
)</f>
        <v/>
      </c>
    </row>
    <row r="1955" spans="1:21" x14ac:dyDescent="0.25">
      <c r="A1955" s="10"/>
      <c r="B1955" s="229"/>
      <c r="C1955" s="10"/>
      <c r="D1955" s="14"/>
      <c r="E1955" s="157"/>
      <c r="F1955" s="10"/>
      <c r="G1955" s="17"/>
      <c r="H1955" s="10"/>
      <c r="I1955" s="17"/>
      <c r="J1955" s="83"/>
      <c r="K1955" s="343"/>
      <c r="L1955" s="347"/>
      <c r="M1955" s="89"/>
      <c r="N1955" s="10"/>
      <c r="O1955" s="22"/>
      <c r="P1955" s="14"/>
      <c r="Q1955" s="83"/>
      <c r="U1955" s="104" t="str">
        <f>IF(
  AND(
    TRIM(A1955)=TRIM(Enginuity!$A$1),
    TRIM(B1955)=TRIM(Enginuity!$A$17),
    Q1955&lt;&gt;"",
    Q1955&lt;&gt;0,
    OR(
      TRIM(C1955)=TRIM(Enginuity!$A$18),
      AND(UPPER(TRIM(M1955))="STD", TRIM(B1955)=TRIM(Enginuity!$A$17))
    ),
    OR(
      AND(LEFT(P1955,5)="1-Way", Enginuity!$B$13=1),
      AND(LEFT(P1955,5)="2-Way", OR(Enginuity!$B$13=2, Enginuity!$B$13=4)),
      AND(LEFT(P1955,5)="3-Way", OR(Enginuity!$B$13=3, Enginuity!$B$13=6)),
      AND(P1955="Inner Centre Jamb", OR(Enginuity!$B$13=4, Enginuity!$B$13=6)),
      AND(
        LEFT(P1955,5)&lt;&gt;"1-Way",
        LEFT(P1955,5)&lt;&gt;"2-Way",
        LEFT(P1955,5)&lt;&gt;"3-Way",
        P1955&lt;&gt;"Inner Centre Jamb"
      )
    ),
    IF(OR(Enginuity!$A$1="Frameless Glass",Enginuity!$A$1="Metal Work"),
      AND(TRIM(B1955)=TRIM(Enginuity!$A$17),TRIM(C1955)=TRIM(Enginuity!$A$18)),
      TRIM(B1955)=TRIM(Enginuity!$A$17)
    )
  ),
  ROW(),
  ""
)</f>
        <v/>
      </c>
    </row>
    <row r="1956" spans="1:21" x14ac:dyDescent="0.25">
      <c r="A1956" s="10"/>
      <c r="B1956" s="229"/>
      <c r="C1956" s="10"/>
      <c r="D1956" s="14"/>
      <c r="E1956" s="157"/>
      <c r="F1956" s="10"/>
      <c r="G1956" s="17"/>
      <c r="H1956" s="10"/>
      <c r="I1956" s="17"/>
      <c r="J1956" s="83"/>
      <c r="K1956" s="343"/>
      <c r="L1956" s="347"/>
      <c r="M1956" s="89"/>
      <c r="N1956" s="10"/>
      <c r="O1956" s="22"/>
      <c r="P1956" s="14"/>
      <c r="Q1956" s="83"/>
      <c r="U1956" s="104" t="str">
        <f>IF(
  AND(
    TRIM(A1956)=TRIM(Enginuity!$A$1),
    TRIM(B1956)=TRIM(Enginuity!$A$17),
    Q1956&lt;&gt;"",
    Q1956&lt;&gt;0,
    OR(
      TRIM(C1956)=TRIM(Enginuity!$A$18),
      AND(UPPER(TRIM(M1956))="STD", TRIM(B1956)=TRIM(Enginuity!$A$17))
    ),
    OR(
      AND(LEFT(P1956,5)="1-Way", Enginuity!$B$13=1),
      AND(LEFT(P1956,5)="2-Way", OR(Enginuity!$B$13=2, Enginuity!$B$13=4)),
      AND(LEFT(P1956,5)="3-Way", OR(Enginuity!$B$13=3, Enginuity!$B$13=6)),
      AND(P1956="Inner Centre Jamb", OR(Enginuity!$B$13=4, Enginuity!$B$13=6)),
      AND(
        LEFT(P1956,5)&lt;&gt;"1-Way",
        LEFT(P1956,5)&lt;&gt;"2-Way",
        LEFT(P1956,5)&lt;&gt;"3-Way",
        P1956&lt;&gt;"Inner Centre Jamb"
      )
    ),
    IF(OR(Enginuity!$A$1="Frameless Glass",Enginuity!$A$1="Metal Work"),
      AND(TRIM(B1956)=TRIM(Enginuity!$A$17),TRIM(C1956)=TRIM(Enginuity!$A$18)),
      TRIM(B1956)=TRIM(Enginuity!$A$17)
    )
  ),
  ROW(),
  ""
)</f>
        <v/>
      </c>
    </row>
    <row r="1957" spans="1:21" x14ac:dyDescent="0.25">
      <c r="A1957" s="10"/>
      <c r="B1957" s="229"/>
      <c r="C1957" s="10"/>
      <c r="D1957" s="14"/>
      <c r="E1957" s="157"/>
      <c r="F1957" s="10"/>
      <c r="G1957" s="17"/>
      <c r="H1957" s="10"/>
      <c r="I1957" s="17"/>
      <c r="J1957" s="83"/>
      <c r="K1957" s="343"/>
      <c r="L1957" s="347"/>
      <c r="M1957" s="89"/>
      <c r="N1957" s="10"/>
      <c r="O1957" s="22"/>
      <c r="P1957" s="14"/>
      <c r="Q1957" s="83"/>
      <c r="U1957" s="104" t="str">
        <f>IF(
  AND(
    TRIM(A1957)=TRIM(Enginuity!$A$1),
    TRIM(B1957)=TRIM(Enginuity!$A$17),
    Q1957&lt;&gt;"",
    Q1957&lt;&gt;0,
    OR(
      TRIM(C1957)=TRIM(Enginuity!$A$18),
      AND(UPPER(TRIM(M1957))="STD", TRIM(B1957)=TRIM(Enginuity!$A$17))
    ),
    OR(
      AND(LEFT(P1957,5)="1-Way", Enginuity!$B$13=1),
      AND(LEFT(P1957,5)="2-Way", OR(Enginuity!$B$13=2, Enginuity!$B$13=4)),
      AND(LEFT(P1957,5)="3-Way", OR(Enginuity!$B$13=3, Enginuity!$B$13=6)),
      AND(P1957="Inner Centre Jamb", OR(Enginuity!$B$13=4, Enginuity!$B$13=6)),
      AND(
        LEFT(P1957,5)&lt;&gt;"1-Way",
        LEFT(P1957,5)&lt;&gt;"2-Way",
        LEFT(P1957,5)&lt;&gt;"3-Way",
        P1957&lt;&gt;"Inner Centre Jamb"
      )
    ),
    IF(OR(Enginuity!$A$1="Frameless Glass",Enginuity!$A$1="Metal Work"),
      AND(TRIM(B1957)=TRIM(Enginuity!$A$17),TRIM(C1957)=TRIM(Enginuity!$A$18)),
      TRIM(B1957)=TRIM(Enginuity!$A$17)
    )
  ),
  ROW(),
  ""
)</f>
        <v/>
      </c>
    </row>
    <row r="1958" spans="1:21" x14ac:dyDescent="0.25">
      <c r="A1958" s="10"/>
      <c r="B1958" s="229"/>
      <c r="C1958" s="10"/>
      <c r="D1958" s="14"/>
      <c r="E1958" s="157"/>
      <c r="F1958" s="10"/>
      <c r="G1958" s="17"/>
      <c r="H1958" s="10"/>
      <c r="I1958" s="17"/>
      <c r="J1958" s="83"/>
      <c r="K1958" s="344"/>
      <c r="L1958" s="347"/>
      <c r="M1958" s="89"/>
      <c r="N1958" s="10"/>
      <c r="O1958" s="22"/>
      <c r="P1958" s="36"/>
      <c r="Q1958" s="83"/>
      <c r="U1958" s="104" t="str">
        <f>IF(
  AND(
    TRIM(A1958)=TRIM(Enginuity!$A$1),
    TRIM(B1958)=TRIM(Enginuity!$A$17),
    Q1958&lt;&gt;"",
    Q1958&lt;&gt;0,
    OR(
      TRIM(C1958)=TRIM(Enginuity!$A$18),
      AND(UPPER(TRIM(M1958))="STD", TRIM(B1958)=TRIM(Enginuity!$A$17))
    ),
    OR(
      AND(LEFT(P1958,5)="1-Way", Enginuity!$B$13=1),
      AND(LEFT(P1958,5)="2-Way", OR(Enginuity!$B$13=2, Enginuity!$B$13=4)),
      AND(LEFT(P1958,5)="3-Way", OR(Enginuity!$B$13=3, Enginuity!$B$13=6)),
      AND(P1958="Inner Centre Jamb", OR(Enginuity!$B$13=4, Enginuity!$B$13=6)),
      AND(
        LEFT(P1958,5)&lt;&gt;"1-Way",
        LEFT(P1958,5)&lt;&gt;"2-Way",
        LEFT(P1958,5)&lt;&gt;"3-Way",
        P1958&lt;&gt;"Inner Centre Jamb"
      )
    ),
    IF(OR(Enginuity!$A$1="Frameless Glass",Enginuity!$A$1="Metal Work"),
      AND(TRIM(B1958)=TRIM(Enginuity!$A$17),TRIM(C1958)=TRIM(Enginuity!$A$18)),
      TRIM(B1958)=TRIM(Enginuity!$A$17)
    )
  ),
  ROW(),
  ""
)</f>
        <v/>
      </c>
    </row>
    <row r="1959" spans="1:21" x14ac:dyDescent="0.25">
      <c r="A1959" s="10"/>
      <c r="B1959" s="229"/>
      <c r="C1959" s="10"/>
      <c r="D1959" s="14"/>
      <c r="E1959" s="157"/>
      <c r="F1959" s="10"/>
      <c r="G1959" s="17"/>
      <c r="H1959" s="10"/>
      <c r="I1959" s="17"/>
      <c r="J1959" s="83"/>
      <c r="K1959" s="343"/>
      <c r="L1959" s="347"/>
      <c r="M1959" s="89"/>
      <c r="N1959" s="10"/>
      <c r="O1959" s="22"/>
      <c r="P1959" s="36"/>
      <c r="Q1959" s="83"/>
      <c r="U1959" s="104" t="str">
        <f>IF(
  AND(
    TRIM(A1959)=TRIM(Enginuity!$A$1),
    TRIM(B1959)=TRIM(Enginuity!$A$17),
    Q1959&lt;&gt;"",
    Q1959&lt;&gt;0,
    OR(
      TRIM(C1959)=TRIM(Enginuity!$A$18),
      AND(UPPER(TRIM(M1959))="STD", TRIM(B1959)=TRIM(Enginuity!$A$17))
    ),
    OR(
      AND(LEFT(P1959,5)="1-Way", Enginuity!$B$13=1),
      AND(LEFT(P1959,5)="2-Way", OR(Enginuity!$B$13=2, Enginuity!$B$13=4)),
      AND(LEFT(P1959,5)="3-Way", OR(Enginuity!$B$13=3, Enginuity!$B$13=6)),
      AND(P1959="Inner Centre Jamb", OR(Enginuity!$B$13=4, Enginuity!$B$13=6)),
      AND(
        LEFT(P1959,5)&lt;&gt;"1-Way",
        LEFT(P1959,5)&lt;&gt;"2-Way",
        LEFT(P1959,5)&lt;&gt;"3-Way",
        P1959&lt;&gt;"Inner Centre Jamb"
      )
    ),
    IF(OR(Enginuity!$A$1="Frameless Glass",Enginuity!$A$1="Metal Work"),
      AND(TRIM(B1959)=TRIM(Enginuity!$A$17),TRIM(C1959)=TRIM(Enginuity!$A$18)),
      TRIM(B1959)=TRIM(Enginuity!$A$17)
    )
  ),
  ROW(),
  ""
)</f>
        <v/>
      </c>
    </row>
    <row r="1960" spans="1:21" x14ac:dyDescent="0.25">
      <c r="A1960" s="10"/>
      <c r="B1960" s="229"/>
      <c r="C1960" s="10"/>
      <c r="D1960" s="14"/>
      <c r="E1960" s="157"/>
      <c r="F1960" s="10"/>
      <c r="G1960" s="17"/>
      <c r="H1960" s="10"/>
      <c r="I1960" s="17"/>
      <c r="J1960" s="83"/>
      <c r="K1960" s="343"/>
      <c r="L1960" s="347"/>
      <c r="M1960" s="89"/>
      <c r="N1960" s="10"/>
      <c r="O1960" s="22"/>
      <c r="P1960" s="36"/>
      <c r="Q1960" s="83"/>
      <c r="U1960" s="104" t="str">
        <f>IF(
  AND(
    TRIM(A1960)=TRIM(Enginuity!$A$1),
    TRIM(B1960)=TRIM(Enginuity!$A$17),
    Q1960&lt;&gt;"",
    Q1960&lt;&gt;0,
    OR(
      TRIM(C1960)=TRIM(Enginuity!$A$18),
      AND(UPPER(TRIM(M1960))="STD", TRIM(B1960)=TRIM(Enginuity!$A$17))
    ),
    OR(
      AND(LEFT(P1960,5)="1-Way", Enginuity!$B$13=1),
      AND(LEFT(P1960,5)="2-Way", OR(Enginuity!$B$13=2, Enginuity!$B$13=4)),
      AND(LEFT(P1960,5)="3-Way", OR(Enginuity!$B$13=3, Enginuity!$B$13=6)),
      AND(P1960="Inner Centre Jamb", OR(Enginuity!$B$13=4, Enginuity!$B$13=6)),
      AND(
        LEFT(P1960,5)&lt;&gt;"1-Way",
        LEFT(P1960,5)&lt;&gt;"2-Way",
        LEFT(P1960,5)&lt;&gt;"3-Way",
        P1960&lt;&gt;"Inner Centre Jamb"
      )
    ),
    IF(OR(Enginuity!$A$1="Frameless Glass",Enginuity!$A$1="Metal Work"),
      AND(TRIM(B1960)=TRIM(Enginuity!$A$17),TRIM(C1960)=TRIM(Enginuity!$A$18)),
      TRIM(B1960)=TRIM(Enginuity!$A$17)
    )
  ),
  ROW(),
  ""
)</f>
        <v/>
      </c>
    </row>
    <row r="1961" spans="1:21" x14ac:dyDescent="0.25">
      <c r="A1961" s="10"/>
      <c r="B1961" s="229"/>
      <c r="C1961" s="10"/>
      <c r="D1961" s="14"/>
      <c r="E1961" s="157"/>
      <c r="F1961" s="10"/>
      <c r="G1961" s="17"/>
      <c r="H1961" s="10"/>
      <c r="I1961" s="17"/>
      <c r="J1961" s="83"/>
      <c r="K1961" s="343"/>
      <c r="L1961" s="347"/>
      <c r="M1961" s="89"/>
      <c r="N1961" s="10"/>
      <c r="O1961" s="22"/>
      <c r="P1961" s="36"/>
      <c r="Q1961" s="83"/>
      <c r="U1961" s="104" t="str">
        <f>IF(
  AND(
    TRIM(A1961)=TRIM(Enginuity!$A$1),
    TRIM(B1961)=TRIM(Enginuity!$A$17),
    Q1961&lt;&gt;"",
    Q1961&lt;&gt;0,
    OR(
      TRIM(C1961)=TRIM(Enginuity!$A$18),
      AND(UPPER(TRIM(M1961))="STD", TRIM(B1961)=TRIM(Enginuity!$A$17))
    ),
    OR(
      AND(LEFT(P1961,5)="1-Way", Enginuity!$B$13=1),
      AND(LEFT(P1961,5)="2-Way", OR(Enginuity!$B$13=2, Enginuity!$B$13=4)),
      AND(LEFT(P1961,5)="3-Way", OR(Enginuity!$B$13=3, Enginuity!$B$13=6)),
      AND(P1961="Inner Centre Jamb", OR(Enginuity!$B$13=4, Enginuity!$B$13=6)),
      AND(
        LEFT(P1961,5)&lt;&gt;"1-Way",
        LEFT(P1961,5)&lt;&gt;"2-Way",
        LEFT(P1961,5)&lt;&gt;"3-Way",
        P1961&lt;&gt;"Inner Centre Jamb"
      )
    ),
    IF(OR(Enginuity!$A$1="Frameless Glass",Enginuity!$A$1="Metal Work"),
      AND(TRIM(B1961)=TRIM(Enginuity!$A$17),TRIM(C1961)=TRIM(Enginuity!$A$18)),
      TRIM(B1961)=TRIM(Enginuity!$A$17)
    )
  ),
  ROW(),
  ""
)</f>
        <v/>
      </c>
    </row>
    <row r="1962" spans="1:21" x14ac:dyDescent="0.25">
      <c r="A1962" s="10"/>
      <c r="B1962" s="229"/>
      <c r="C1962" s="10"/>
      <c r="D1962" s="14"/>
      <c r="E1962" s="157"/>
      <c r="F1962" s="10"/>
      <c r="G1962" s="17"/>
      <c r="H1962" s="10"/>
      <c r="I1962" s="17"/>
      <c r="J1962" s="83"/>
      <c r="K1962" s="343"/>
      <c r="L1962" s="347"/>
      <c r="M1962" s="89"/>
      <c r="N1962" s="10"/>
      <c r="O1962" s="22"/>
      <c r="P1962" s="36"/>
      <c r="Q1962" s="83"/>
      <c r="U1962" s="104" t="str">
        <f>IF(
  AND(
    TRIM(A1962)=TRIM(Enginuity!$A$1),
    TRIM(B1962)=TRIM(Enginuity!$A$17),
    Q1962&lt;&gt;"",
    Q1962&lt;&gt;0,
    OR(
      TRIM(C1962)=TRIM(Enginuity!$A$18),
      AND(UPPER(TRIM(M1962))="STD", TRIM(B1962)=TRIM(Enginuity!$A$17))
    ),
    OR(
      AND(LEFT(P1962,5)="1-Way", Enginuity!$B$13=1),
      AND(LEFT(P1962,5)="2-Way", OR(Enginuity!$B$13=2, Enginuity!$B$13=4)),
      AND(LEFT(P1962,5)="3-Way", OR(Enginuity!$B$13=3, Enginuity!$B$13=6)),
      AND(P1962="Inner Centre Jamb", OR(Enginuity!$B$13=4, Enginuity!$B$13=6)),
      AND(
        LEFT(P1962,5)&lt;&gt;"1-Way",
        LEFT(P1962,5)&lt;&gt;"2-Way",
        LEFT(P1962,5)&lt;&gt;"3-Way",
        P1962&lt;&gt;"Inner Centre Jamb"
      )
    ),
    IF(OR(Enginuity!$A$1="Frameless Glass",Enginuity!$A$1="Metal Work"),
      AND(TRIM(B1962)=TRIM(Enginuity!$A$17),TRIM(C1962)=TRIM(Enginuity!$A$18)),
      TRIM(B1962)=TRIM(Enginuity!$A$17)
    )
  ),
  ROW(),
  ""
)</f>
        <v/>
      </c>
    </row>
    <row r="1963" spans="1:21" x14ac:dyDescent="0.25">
      <c r="A1963" s="10"/>
      <c r="B1963" s="229"/>
      <c r="C1963" s="10"/>
      <c r="D1963" s="14"/>
      <c r="E1963" s="157"/>
      <c r="F1963" s="10"/>
      <c r="G1963" s="17"/>
      <c r="H1963" s="10"/>
      <c r="I1963" s="17"/>
      <c r="J1963" s="83"/>
      <c r="K1963" s="343"/>
      <c r="L1963" s="347"/>
      <c r="M1963" s="89"/>
      <c r="N1963" s="88"/>
      <c r="O1963" s="22"/>
      <c r="P1963" s="36"/>
      <c r="Q1963" s="83"/>
      <c r="U1963" s="104" t="str">
        <f>IF(
  AND(
    TRIM(A1963)=TRIM(Enginuity!$A$1),
    TRIM(B1963)=TRIM(Enginuity!$A$17),
    Q1963&lt;&gt;"",
    Q1963&lt;&gt;0,
    OR(
      TRIM(C1963)=TRIM(Enginuity!$A$18),
      AND(UPPER(TRIM(M1963))="STD", TRIM(B1963)=TRIM(Enginuity!$A$17))
    ),
    OR(
      AND(LEFT(P1963,5)="1-Way", Enginuity!$B$13=1),
      AND(LEFT(P1963,5)="2-Way", OR(Enginuity!$B$13=2, Enginuity!$B$13=4)),
      AND(LEFT(P1963,5)="3-Way", OR(Enginuity!$B$13=3, Enginuity!$B$13=6)),
      AND(P1963="Inner Centre Jamb", OR(Enginuity!$B$13=4, Enginuity!$B$13=6)),
      AND(
        LEFT(P1963,5)&lt;&gt;"1-Way",
        LEFT(P1963,5)&lt;&gt;"2-Way",
        LEFT(P1963,5)&lt;&gt;"3-Way",
        P1963&lt;&gt;"Inner Centre Jamb"
      )
    ),
    IF(OR(Enginuity!$A$1="Frameless Glass",Enginuity!$A$1="Metal Work"),
      AND(TRIM(B1963)=TRIM(Enginuity!$A$17),TRIM(C1963)=TRIM(Enginuity!$A$18)),
      TRIM(B1963)=TRIM(Enginuity!$A$17)
    )
  ),
  ROW(),
  ""
)</f>
        <v/>
      </c>
    </row>
    <row r="1964" spans="1:21" x14ac:dyDescent="0.25">
      <c r="A1964" s="10"/>
      <c r="B1964" s="229"/>
      <c r="C1964" s="10"/>
      <c r="D1964" s="14"/>
      <c r="E1964" s="157"/>
      <c r="F1964" s="10"/>
      <c r="G1964" s="17"/>
      <c r="H1964" s="10"/>
      <c r="I1964" s="17"/>
      <c r="J1964" s="83"/>
      <c r="K1964" s="343"/>
      <c r="L1964" s="347"/>
      <c r="M1964" s="89"/>
      <c r="N1964" s="88"/>
      <c r="O1964" s="22"/>
      <c r="P1964" s="36"/>
      <c r="Q1964" s="83"/>
      <c r="U1964" s="104" t="str">
        <f>IF(
  AND(
    TRIM(A1964)=TRIM(Enginuity!$A$1),
    TRIM(B1964)=TRIM(Enginuity!$A$17),
    Q1964&lt;&gt;"",
    Q1964&lt;&gt;0,
    OR(
      TRIM(C1964)=TRIM(Enginuity!$A$18),
      AND(UPPER(TRIM(M1964))="STD", TRIM(B1964)=TRIM(Enginuity!$A$17))
    ),
    OR(
      AND(LEFT(P1964,5)="1-Way", Enginuity!$B$13=1),
      AND(LEFT(P1964,5)="2-Way", OR(Enginuity!$B$13=2, Enginuity!$B$13=4)),
      AND(LEFT(P1964,5)="3-Way", OR(Enginuity!$B$13=3, Enginuity!$B$13=6)),
      AND(P1964="Inner Centre Jamb", OR(Enginuity!$B$13=4, Enginuity!$B$13=6)),
      AND(
        LEFT(P1964,5)&lt;&gt;"1-Way",
        LEFT(P1964,5)&lt;&gt;"2-Way",
        LEFT(P1964,5)&lt;&gt;"3-Way",
        P1964&lt;&gt;"Inner Centre Jamb"
      )
    ),
    IF(OR(Enginuity!$A$1="Frameless Glass",Enginuity!$A$1="Metal Work"),
      AND(TRIM(B1964)=TRIM(Enginuity!$A$17),TRIM(C1964)=TRIM(Enginuity!$A$18)),
      TRIM(B1964)=TRIM(Enginuity!$A$17)
    )
  ),
  ROW(),
  ""
)</f>
        <v/>
      </c>
    </row>
    <row r="1965" spans="1:21" x14ac:dyDescent="0.25">
      <c r="A1965" s="10"/>
      <c r="B1965" s="229"/>
      <c r="C1965" s="10"/>
      <c r="D1965" s="14"/>
      <c r="E1965" s="157"/>
      <c r="F1965" s="10"/>
      <c r="G1965" s="17"/>
      <c r="H1965" s="10"/>
      <c r="I1965" s="17"/>
      <c r="J1965" s="83"/>
      <c r="K1965" s="343"/>
      <c r="L1965" s="347"/>
      <c r="M1965" s="89"/>
      <c r="N1965" s="10"/>
      <c r="O1965" s="22"/>
      <c r="P1965" s="36"/>
      <c r="Q1965" s="83"/>
      <c r="U1965" s="104" t="str">
        <f>IF(
  AND(
    TRIM(A1965)=TRIM(Enginuity!$A$1),
    TRIM(B1965)=TRIM(Enginuity!$A$17),
    Q1965&lt;&gt;"",
    Q1965&lt;&gt;0,
    OR(
      TRIM(C1965)=TRIM(Enginuity!$A$18),
      AND(UPPER(TRIM(M1965))="STD", TRIM(B1965)=TRIM(Enginuity!$A$17))
    ),
    OR(
      AND(LEFT(P1965,5)="1-Way", Enginuity!$B$13=1),
      AND(LEFT(P1965,5)="2-Way", OR(Enginuity!$B$13=2, Enginuity!$B$13=4)),
      AND(LEFT(P1965,5)="3-Way", OR(Enginuity!$B$13=3, Enginuity!$B$13=6)),
      AND(P1965="Inner Centre Jamb", OR(Enginuity!$B$13=4, Enginuity!$B$13=6)),
      AND(
        LEFT(P1965,5)&lt;&gt;"1-Way",
        LEFT(P1965,5)&lt;&gt;"2-Way",
        LEFT(P1965,5)&lt;&gt;"3-Way",
        P1965&lt;&gt;"Inner Centre Jamb"
      )
    ),
    IF(OR(Enginuity!$A$1="Frameless Glass",Enginuity!$A$1="Metal Work"),
      AND(TRIM(B1965)=TRIM(Enginuity!$A$17),TRIM(C1965)=TRIM(Enginuity!$A$18)),
      TRIM(B1965)=TRIM(Enginuity!$A$17)
    )
  ),
  ROW(),
  ""
)</f>
        <v/>
      </c>
    </row>
    <row r="1966" spans="1:21" x14ac:dyDescent="0.25">
      <c r="A1966" s="10"/>
      <c r="B1966" s="229"/>
      <c r="C1966" s="10"/>
      <c r="D1966" s="14"/>
      <c r="E1966" s="157"/>
      <c r="F1966" s="10"/>
      <c r="G1966" s="17"/>
      <c r="H1966" s="10"/>
      <c r="I1966" s="17"/>
      <c r="J1966" s="83"/>
      <c r="K1966" s="343"/>
      <c r="L1966" s="347"/>
      <c r="M1966" s="89"/>
      <c r="N1966" s="88"/>
      <c r="O1966" s="22"/>
      <c r="P1966" s="36"/>
      <c r="Q1966" s="83"/>
      <c r="U1966" s="104" t="str">
        <f>IF(
  AND(
    TRIM(A1966)=TRIM(Enginuity!$A$1),
    TRIM(B1966)=TRIM(Enginuity!$A$17),
    Q1966&lt;&gt;"",
    Q1966&lt;&gt;0,
    OR(
      TRIM(C1966)=TRIM(Enginuity!$A$18),
      AND(UPPER(TRIM(M1966))="STD", TRIM(B1966)=TRIM(Enginuity!$A$17))
    ),
    OR(
      AND(LEFT(P1966,5)="1-Way", Enginuity!$B$13=1),
      AND(LEFT(P1966,5)="2-Way", OR(Enginuity!$B$13=2, Enginuity!$B$13=4)),
      AND(LEFT(P1966,5)="3-Way", OR(Enginuity!$B$13=3, Enginuity!$B$13=6)),
      AND(P1966="Inner Centre Jamb", OR(Enginuity!$B$13=4, Enginuity!$B$13=6)),
      AND(
        LEFT(P1966,5)&lt;&gt;"1-Way",
        LEFT(P1966,5)&lt;&gt;"2-Way",
        LEFT(P1966,5)&lt;&gt;"3-Way",
        P1966&lt;&gt;"Inner Centre Jamb"
      )
    ),
    IF(OR(Enginuity!$A$1="Frameless Glass",Enginuity!$A$1="Metal Work"),
      AND(TRIM(B1966)=TRIM(Enginuity!$A$17),TRIM(C1966)=TRIM(Enginuity!$A$18)),
      TRIM(B1966)=TRIM(Enginuity!$A$17)
    )
  ),
  ROW(),
  ""
)</f>
        <v/>
      </c>
    </row>
    <row r="1967" spans="1:21" x14ac:dyDescent="0.25">
      <c r="A1967" s="10"/>
      <c r="B1967" s="229"/>
      <c r="C1967" s="10"/>
      <c r="D1967" s="14"/>
      <c r="E1967" s="157"/>
      <c r="F1967" s="10"/>
      <c r="G1967" s="17"/>
      <c r="H1967" s="10"/>
      <c r="I1967" s="17"/>
      <c r="J1967" s="83"/>
      <c r="K1967" s="343"/>
      <c r="L1967" s="347"/>
      <c r="M1967" s="89"/>
      <c r="N1967" s="10"/>
      <c r="O1967" s="22"/>
      <c r="P1967" s="14"/>
      <c r="Q1967" s="83"/>
      <c r="U1967" s="104" t="str">
        <f>IF(
  AND(
    TRIM(A1967)=TRIM(Enginuity!$A$1),
    TRIM(B1967)=TRIM(Enginuity!$A$17),
    Q1967&lt;&gt;"",
    Q1967&lt;&gt;0,
    OR(
      TRIM(C1967)=TRIM(Enginuity!$A$18),
      AND(UPPER(TRIM(M1967))="STD", TRIM(B1967)=TRIM(Enginuity!$A$17))
    ),
    OR(
      AND(LEFT(P1967,5)="1-Way", Enginuity!$B$13=1),
      AND(LEFT(P1967,5)="2-Way", OR(Enginuity!$B$13=2, Enginuity!$B$13=4)),
      AND(LEFT(P1967,5)="3-Way", OR(Enginuity!$B$13=3, Enginuity!$B$13=6)),
      AND(P1967="Inner Centre Jamb", OR(Enginuity!$B$13=4, Enginuity!$B$13=6)),
      AND(
        LEFT(P1967,5)&lt;&gt;"1-Way",
        LEFT(P1967,5)&lt;&gt;"2-Way",
        LEFT(P1967,5)&lt;&gt;"3-Way",
        P1967&lt;&gt;"Inner Centre Jamb"
      )
    ),
    IF(OR(Enginuity!$A$1="Frameless Glass",Enginuity!$A$1="Metal Work"),
      AND(TRIM(B1967)=TRIM(Enginuity!$A$17),TRIM(C1967)=TRIM(Enginuity!$A$18)),
      TRIM(B1967)=TRIM(Enginuity!$A$17)
    )
  ),
  ROW(),
  ""
)</f>
        <v/>
      </c>
    </row>
    <row r="1968" spans="1:21" x14ac:dyDescent="0.25">
      <c r="A1968" s="10"/>
      <c r="B1968" s="229"/>
      <c r="C1968" s="10"/>
      <c r="D1968" s="14"/>
      <c r="E1968" s="157"/>
      <c r="F1968" s="10"/>
      <c r="G1968" s="17"/>
      <c r="H1968" s="10"/>
      <c r="I1968" s="17"/>
      <c r="J1968" s="83"/>
      <c r="K1968" s="343"/>
      <c r="L1968" s="347"/>
      <c r="M1968" s="89"/>
      <c r="N1968" s="10"/>
      <c r="O1968" s="22"/>
      <c r="P1968" s="14"/>
      <c r="Q1968" s="83"/>
      <c r="U1968" s="104" t="str">
        <f>IF(
  AND(
    TRIM(A1968)=TRIM(Enginuity!$A$1),
    TRIM(B1968)=TRIM(Enginuity!$A$17),
    Q1968&lt;&gt;"",
    Q1968&lt;&gt;0,
    OR(
      TRIM(C1968)=TRIM(Enginuity!$A$18),
      AND(UPPER(TRIM(M1968))="STD", TRIM(B1968)=TRIM(Enginuity!$A$17))
    ),
    OR(
      AND(LEFT(P1968,5)="1-Way", Enginuity!$B$13=1),
      AND(LEFT(P1968,5)="2-Way", OR(Enginuity!$B$13=2, Enginuity!$B$13=4)),
      AND(LEFT(P1968,5)="3-Way", OR(Enginuity!$B$13=3, Enginuity!$B$13=6)),
      AND(P1968="Inner Centre Jamb", OR(Enginuity!$B$13=4, Enginuity!$B$13=6)),
      AND(
        LEFT(P1968,5)&lt;&gt;"1-Way",
        LEFT(P1968,5)&lt;&gt;"2-Way",
        LEFT(P1968,5)&lt;&gt;"3-Way",
        P1968&lt;&gt;"Inner Centre Jamb"
      )
    ),
    IF(OR(Enginuity!$A$1="Frameless Glass",Enginuity!$A$1="Metal Work"),
      AND(TRIM(B1968)=TRIM(Enginuity!$A$17),TRIM(C1968)=TRIM(Enginuity!$A$18)),
      TRIM(B1968)=TRIM(Enginuity!$A$17)
    )
  ),
  ROW(),
  ""
)</f>
        <v/>
      </c>
    </row>
    <row r="1969" spans="1:21" x14ac:dyDescent="0.25">
      <c r="A1969" s="10"/>
      <c r="B1969" s="229"/>
      <c r="C1969" s="10"/>
      <c r="D1969" s="14"/>
      <c r="E1969" s="157"/>
      <c r="F1969" s="10"/>
      <c r="G1969" s="17"/>
      <c r="H1969" s="10"/>
      <c r="I1969" s="17"/>
      <c r="J1969" s="83"/>
      <c r="K1969" s="343"/>
      <c r="L1969" s="347"/>
      <c r="M1969" s="89"/>
      <c r="N1969" s="10"/>
      <c r="O1969" s="22"/>
      <c r="P1969" s="14"/>
      <c r="Q1969" s="83"/>
      <c r="U1969" s="104" t="str">
        <f>IF(
  AND(
    TRIM(A1969)=TRIM(Enginuity!$A$1),
    TRIM(B1969)=TRIM(Enginuity!$A$17),
    Q1969&lt;&gt;"",
    Q1969&lt;&gt;0,
    OR(
      TRIM(C1969)=TRIM(Enginuity!$A$18),
      AND(UPPER(TRIM(M1969))="STD", TRIM(B1969)=TRIM(Enginuity!$A$17))
    ),
    OR(
      AND(LEFT(P1969,5)="1-Way", Enginuity!$B$13=1),
      AND(LEFT(P1969,5)="2-Way", OR(Enginuity!$B$13=2, Enginuity!$B$13=4)),
      AND(LEFT(P1969,5)="3-Way", OR(Enginuity!$B$13=3, Enginuity!$B$13=6)),
      AND(P1969="Inner Centre Jamb", OR(Enginuity!$B$13=4, Enginuity!$B$13=6)),
      AND(
        LEFT(P1969,5)&lt;&gt;"1-Way",
        LEFT(P1969,5)&lt;&gt;"2-Way",
        LEFT(P1969,5)&lt;&gt;"3-Way",
        P1969&lt;&gt;"Inner Centre Jamb"
      )
    ),
    IF(OR(Enginuity!$A$1="Frameless Glass",Enginuity!$A$1="Metal Work"),
      AND(TRIM(B1969)=TRIM(Enginuity!$A$17),TRIM(C1969)=TRIM(Enginuity!$A$18)),
      TRIM(B1969)=TRIM(Enginuity!$A$17)
    )
  ),
  ROW(),
  ""
)</f>
        <v/>
      </c>
    </row>
    <row r="1970" spans="1:21" x14ac:dyDescent="0.25">
      <c r="A1970" s="10"/>
      <c r="B1970" s="229"/>
      <c r="C1970" s="10"/>
      <c r="D1970" s="14"/>
      <c r="E1970" s="157"/>
      <c r="F1970" s="10"/>
      <c r="G1970" s="17"/>
      <c r="H1970" s="10"/>
      <c r="I1970" s="17"/>
      <c r="J1970" s="83"/>
      <c r="K1970" s="343"/>
      <c r="L1970" s="347"/>
      <c r="M1970" s="89"/>
      <c r="N1970" s="10"/>
      <c r="O1970" s="22"/>
      <c r="P1970" s="14"/>
      <c r="Q1970" s="83"/>
      <c r="U1970" s="104" t="str">
        <f>IF(
  AND(
    TRIM(A1970)=TRIM(Enginuity!$A$1),
    TRIM(B1970)=TRIM(Enginuity!$A$17),
    Q1970&lt;&gt;"",
    Q1970&lt;&gt;0,
    OR(
      TRIM(C1970)=TRIM(Enginuity!$A$18),
      AND(UPPER(TRIM(M1970))="STD", TRIM(B1970)=TRIM(Enginuity!$A$17))
    ),
    OR(
      AND(LEFT(P1970,5)="1-Way", Enginuity!$B$13=1),
      AND(LEFT(P1970,5)="2-Way", OR(Enginuity!$B$13=2, Enginuity!$B$13=4)),
      AND(LEFT(P1970,5)="3-Way", OR(Enginuity!$B$13=3, Enginuity!$B$13=6)),
      AND(P1970="Inner Centre Jamb", OR(Enginuity!$B$13=4, Enginuity!$B$13=6)),
      AND(
        LEFT(P1970,5)&lt;&gt;"1-Way",
        LEFT(P1970,5)&lt;&gt;"2-Way",
        LEFT(P1970,5)&lt;&gt;"3-Way",
        P1970&lt;&gt;"Inner Centre Jamb"
      )
    ),
    IF(OR(Enginuity!$A$1="Frameless Glass",Enginuity!$A$1="Metal Work"),
      AND(TRIM(B1970)=TRIM(Enginuity!$A$17),TRIM(C1970)=TRIM(Enginuity!$A$18)),
      TRIM(B1970)=TRIM(Enginuity!$A$17)
    )
  ),
  ROW(),
  ""
)</f>
        <v/>
      </c>
    </row>
    <row r="1971" spans="1:21" x14ac:dyDescent="0.25">
      <c r="A1971" s="10"/>
      <c r="B1971" s="229"/>
      <c r="C1971" s="10"/>
      <c r="D1971" s="14"/>
      <c r="E1971" s="157"/>
      <c r="F1971" s="10"/>
      <c r="G1971" s="17"/>
      <c r="H1971" s="10"/>
      <c r="I1971" s="17"/>
      <c r="J1971" s="83"/>
      <c r="K1971" s="343"/>
      <c r="L1971" s="347"/>
      <c r="M1971" s="89"/>
      <c r="N1971" s="10"/>
      <c r="O1971" s="22"/>
      <c r="P1971" s="14"/>
      <c r="Q1971" s="83"/>
      <c r="U1971" s="104" t="str">
        <f>IF(
  AND(
    TRIM(A1971)=TRIM(Enginuity!$A$1),
    TRIM(B1971)=TRIM(Enginuity!$A$17),
    Q1971&lt;&gt;"",
    Q1971&lt;&gt;0,
    OR(
      TRIM(C1971)=TRIM(Enginuity!$A$18),
      AND(UPPER(TRIM(M1971))="STD", TRIM(B1971)=TRIM(Enginuity!$A$17))
    ),
    OR(
      AND(LEFT(P1971,5)="1-Way", Enginuity!$B$13=1),
      AND(LEFT(P1971,5)="2-Way", OR(Enginuity!$B$13=2, Enginuity!$B$13=4)),
      AND(LEFT(P1971,5)="3-Way", OR(Enginuity!$B$13=3, Enginuity!$B$13=6)),
      AND(P1971="Inner Centre Jamb", OR(Enginuity!$B$13=4, Enginuity!$B$13=6)),
      AND(
        LEFT(P1971,5)&lt;&gt;"1-Way",
        LEFT(P1971,5)&lt;&gt;"2-Way",
        LEFT(P1971,5)&lt;&gt;"3-Way",
        P1971&lt;&gt;"Inner Centre Jamb"
      )
    ),
    IF(OR(Enginuity!$A$1="Frameless Glass",Enginuity!$A$1="Metal Work"),
      AND(TRIM(B1971)=TRIM(Enginuity!$A$17),TRIM(C1971)=TRIM(Enginuity!$A$18)),
      TRIM(B1971)=TRIM(Enginuity!$A$17)
    )
  ),
  ROW(),
  ""
)</f>
        <v/>
      </c>
    </row>
    <row r="1972" spans="1:21" x14ac:dyDescent="0.25">
      <c r="A1972" s="10"/>
      <c r="B1972" s="229"/>
      <c r="C1972" s="10"/>
      <c r="D1972" s="14"/>
      <c r="E1972" s="157"/>
      <c r="F1972" s="10"/>
      <c r="G1972" s="17"/>
      <c r="H1972" s="10"/>
      <c r="I1972" s="17"/>
      <c r="J1972" s="83"/>
      <c r="K1972" s="343"/>
      <c r="L1972" s="347"/>
      <c r="M1972" s="89"/>
      <c r="N1972" s="10"/>
      <c r="O1972" s="22"/>
      <c r="P1972" s="14"/>
      <c r="Q1972" s="83"/>
      <c r="U1972" s="104" t="str">
        <f>IF(
  AND(
    TRIM(A1972)=TRIM(Enginuity!$A$1),
    TRIM(B1972)=TRIM(Enginuity!$A$17),
    Q1972&lt;&gt;"",
    Q1972&lt;&gt;0,
    OR(
      TRIM(C1972)=TRIM(Enginuity!$A$18),
      AND(UPPER(TRIM(M1972))="STD", TRIM(B1972)=TRIM(Enginuity!$A$17))
    ),
    OR(
      AND(LEFT(P1972,5)="1-Way", Enginuity!$B$13=1),
      AND(LEFT(P1972,5)="2-Way", OR(Enginuity!$B$13=2, Enginuity!$B$13=4)),
      AND(LEFT(P1972,5)="3-Way", OR(Enginuity!$B$13=3, Enginuity!$B$13=6)),
      AND(P1972="Inner Centre Jamb", OR(Enginuity!$B$13=4, Enginuity!$B$13=6)),
      AND(
        LEFT(P1972,5)&lt;&gt;"1-Way",
        LEFT(P1972,5)&lt;&gt;"2-Way",
        LEFT(P1972,5)&lt;&gt;"3-Way",
        P1972&lt;&gt;"Inner Centre Jamb"
      )
    ),
    IF(OR(Enginuity!$A$1="Frameless Glass",Enginuity!$A$1="Metal Work"),
      AND(TRIM(B1972)=TRIM(Enginuity!$A$17),TRIM(C1972)=TRIM(Enginuity!$A$18)),
      TRIM(B1972)=TRIM(Enginuity!$A$17)
    )
  ),
  ROW(),
  ""
)</f>
        <v/>
      </c>
    </row>
    <row r="1973" spans="1:21" x14ac:dyDescent="0.25">
      <c r="A1973" s="10"/>
      <c r="B1973" s="229"/>
      <c r="C1973" s="10"/>
      <c r="D1973" s="14"/>
      <c r="E1973" s="157"/>
      <c r="F1973" s="10"/>
      <c r="G1973" s="17"/>
      <c r="H1973" s="10"/>
      <c r="I1973" s="17"/>
      <c r="J1973" s="83"/>
      <c r="K1973" s="343"/>
      <c r="L1973" s="347"/>
      <c r="M1973" s="89"/>
      <c r="N1973" s="10"/>
      <c r="O1973" s="22"/>
      <c r="P1973" s="14"/>
      <c r="Q1973" s="83"/>
      <c r="U1973" s="104" t="str">
        <f>IF(
  AND(
    TRIM(A1973)=TRIM(Enginuity!$A$1),
    TRIM(B1973)=TRIM(Enginuity!$A$17),
    Q1973&lt;&gt;"",
    Q1973&lt;&gt;0,
    OR(
      TRIM(C1973)=TRIM(Enginuity!$A$18),
      AND(UPPER(TRIM(M1973))="STD", TRIM(B1973)=TRIM(Enginuity!$A$17))
    ),
    OR(
      AND(LEFT(P1973,5)="1-Way", Enginuity!$B$13=1),
      AND(LEFT(P1973,5)="2-Way", OR(Enginuity!$B$13=2, Enginuity!$B$13=4)),
      AND(LEFT(P1973,5)="3-Way", OR(Enginuity!$B$13=3, Enginuity!$B$13=6)),
      AND(P1973="Inner Centre Jamb", OR(Enginuity!$B$13=4, Enginuity!$B$13=6)),
      AND(
        LEFT(P1973,5)&lt;&gt;"1-Way",
        LEFT(P1973,5)&lt;&gt;"2-Way",
        LEFT(P1973,5)&lt;&gt;"3-Way",
        P1973&lt;&gt;"Inner Centre Jamb"
      )
    ),
    IF(OR(Enginuity!$A$1="Frameless Glass",Enginuity!$A$1="Metal Work"),
      AND(TRIM(B1973)=TRIM(Enginuity!$A$17),TRIM(C1973)=TRIM(Enginuity!$A$18)),
      TRIM(B1973)=TRIM(Enginuity!$A$17)
    )
  ),
  ROW(),
  ""
)</f>
        <v/>
      </c>
    </row>
    <row r="1974" spans="1:21" x14ac:dyDescent="0.25">
      <c r="A1974" s="10"/>
      <c r="B1974" s="229"/>
      <c r="C1974" s="10"/>
      <c r="D1974" s="14"/>
      <c r="E1974" s="157"/>
      <c r="F1974" s="10"/>
      <c r="G1974" s="17"/>
      <c r="H1974" s="10"/>
      <c r="I1974" s="17"/>
      <c r="J1974" s="83"/>
      <c r="K1974" s="343"/>
      <c r="L1974" s="347"/>
      <c r="M1974" s="89"/>
      <c r="N1974" s="10"/>
      <c r="O1974" s="22"/>
      <c r="P1974" s="14"/>
      <c r="Q1974" s="83"/>
      <c r="U1974" s="104" t="str">
        <f>IF(
  AND(
    TRIM(A1974)=TRIM(Enginuity!$A$1),
    TRIM(B1974)=TRIM(Enginuity!$A$17),
    Q1974&lt;&gt;"",
    Q1974&lt;&gt;0,
    OR(
      TRIM(C1974)=TRIM(Enginuity!$A$18),
      AND(UPPER(TRIM(M1974))="STD", TRIM(B1974)=TRIM(Enginuity!$A$17))
    ),
    OR(
      AND(LEFT(P1974,5)="1-Way", Enginuity!$B$13=1),
      AND(LEFT(P1974,5)="2-Way", OR(Enginuity!$B$13=2, Enginuity!$B$13=4)),
      AND(LEFT(P1974,5)="3-Way", OR(Enginuity!$B$13=3, Enginuity!$B$13=6)),
      AND(P1974="Inner Centre Jamb", OR(Enginuity!$B$13=4, Enginuity!$B$13=6)),
      AND(
        LEFT(P1974,5)&lt;&gt;"1-Way",
        LEFT(P1974,5)&lt;&gt;"2-Way",
        LEFT(P1974,5)&lt;&gt;"3-Way",
        P1974&lt;&gt;"Inner Centre Jamb"
      )
    ),
    IF(OR(Enginuity!$A$1="Frameless Glass",Enginuity!$A$1="Metal Work"),
      AND(TRIM(B1974)=TRIM(Enginuity!$A$17),TRIM(C1974)=TRIM(Enginuity!$A$18)),
      TRIM(B1974)=TRIM(Enginuity!$A$17)
    )
  ),
  ROW(),
  ""
)</f>
        <v/>
      </c>
    </row>
    <row r="1975" spans="1:21" x14ac:dyDescent="0.25">
      <c r="A1975" s="10"/>
      <c r="B1975" s="229"/>
      <c r="C1975" s="10"/>
      <c r="D1975" s="14"/>
      <c r="E1975" s="157"/>
      <c r="F1975" s="10"/>
      <c r="G1975" s="17"/>
      <c r="H1975" s="10"/>
      <c r="I1975" s="17"/>
      <c r="J1975" s="83"/>
      <c r="K1975" s="343"/>
      <c r="L1975" s="347"/>
      <c r="M1975" s="89"/>
      <c r="N1975" s="10"/>
      <c r="O1975" s="22"/>
      <c r="P1975" s="14"/>
      <c r="Q1975" s="83"/>
      <c r="U1975" s="104" t="str">
        <f>IF(
  AND(
    TRIM(A1975)=TRIM(Enginuity!$A$1),
    TRIM(B1975)=TRIM(Enginuity!$A$17),
    Q1975&lt;&gt;"",
    Q1975&lt;&gt;0,
    OR(
      TRIM(C1975)=TRIM(Enginuity!$A$18),
      AND(UPPER(TRIM(M1975))="STD", TRIM(B1975)=TRIM(Enginuity!$A$17))
    ),
    OR(
      AND(LEFT(P1975,5)="1-Way", Enginuity!$B$13=1),
      AND(LEFT(P1975,5)="2-Way", OR(Enginuity!$B$13=2, Enginuity!$B$13=4)),
      AND(LEFT(P1975,5)="3-Way", OR(Enginuity!$B$13=3, Enginuity!$B$13=6)),
      AND(P1975="Inner Centre Jamb", OR(Enginuity!$B$13=4, Enginuity!$B$13=6)),
      AND(
        LEFT(P1975,5)&lt;&gt;"1-Way",
        LEFT(P1975,5)&lt;&gt;"2-Way",
        LEFT(P1975,5)&lt;&gt;"3-Way",
        P1975&lt;&gt;"Inner Centre Jamb"
      )
    ),
    IF(OR(Enginuity!$A$1="Frameless Glass",Enginuity!$A$1="Metal Work"),
      AND(TRIM(B1975)=TRIM(Enginuity!$A$17),TRIM(C1975)=TRIM(Enginuity!$A$18)),
      TRIM(B1975)=TRIM(Enginuity!$A$17)
    )
  ),
  ROW(),
  ""
)</f>
        <v/>
      </c>
    </row>
    <row r="1976" spans="1:21" x14ac:dyDescent="0.25">
      <c r="A1976" s="10"/>
      <c r="B1976" s="229"/>
      <c r="C1976" s="10"/>
      <c r="D1976" s="14"/>
      <c r="E1976" s="157"/>
      <c r="F1976" s="10"/>
      <c r="G1976" s="17"/>
      <c r="H1976" s="10"/>
      <c r="I1976" s="17"/>
      <c r="J1976" s="83"/>
      <c r="K1976" s="343"/>
      <c r="L1976" s="347"/>
      <c r="M1976" s="89"/>
      <c r="N1976" s="10"/>
      <c r="O1976" s="22"/>
      <c r="P1976" s="14"/>
      <c r="Q1976" s="83"/>
      <c r="U1976" s="104" t="str">
        <f>IF(
  AND(
    TRIM(A1976)=TRIM(Enginuity!$A$1),
    TRIM(B1976)=TRIM(Enginuity!$A$17),
    Q1976&lt;&gt;"",
    Q1976&lt;&gt;0,
    OR(
      TRIM(C1976)=TRIM(Enginuity!$A$18),
      AND(UPPER(TRIM(M1976))="STD", TRIM(B1976)=TRIM(Enginuity!$A$17))
    ),
    OR(
      AND(LEFT(P1976,5)="1-Way", Enginuity!$B$13=1),
      AND(LEFT(P1976,5)="2-Way", OR(Enginuity!$B$13=2, Enginuity!$B$13=4)),
      AND(LEFT(P1976,5)="3-Way", OR(Enginuity!$B$13=3, Enginuity!$B$13=6)),
      AND(P1976="Inner Centre Jamb", OR(Enginuity!$B$13=4, Enginuity!$B$13=6)),
      AND(
        LEFT(P1976,5)&lt;&gt;"1-Way",
        LEFT(P1976,5)&lt;&gt;"2-Way",
        LEFT(P1976,5)&lt;&gt;"3-Way",
        P1976&lt;&gt;"Inner Centre Jamb"
      )
    ),
    IF(OR(Enginuity!$A$1="Frameless Glass",Enginuity!$A$1="Metal Work"),
      AND(TRIM(B1976)=TRIM(Enginuity!$A$17),TRIM(C1976)=TRIM(Enginuity!$A$18)),
      TRIM(B1976)=TRIM(Enginuity!$A$17)
    )
  ),
  ROW(),
  ""
)</f>
        <v/>
      </c>
    </row>
    <row r="1977" spans="1:21" x14ac:dyDescent="0.25">
      <c r="A1977" s="10"/>
      <c r="B1977" s="229"/>
      <c r="C1977" s="10"/>
      <c r="D1977" s="14"/>
      <c r="E1977" s="157"/>
      <c r="F1977" s="10"/>
      <c r="G1977" s="17"/>
      <c r="H1977" s="10"/>
      <c r="I1977" s="17"/>
      <c r="J1977" s="83"/>
      <c r="K1977" s="343"/>
      <c r="L1977" s="347"/>
      <c r="M1977" s="89"/>
      <c r="N1977" s="14"/>
      <c r="O1977" s="22"/>
      <c r="P1977" s="14"/>
      <c r="Q1977" s="83"/>
      <c r="U1977" s="104" t="str">
        <f>IF(
  AND(
    TRIM(A1977)=TRIM(Enginuity!$A$1),
    TRIM(B1977)=TRIM(Enginuity!$A$17),
    Q1977&lt;&gt;"",
    Q1977&lt;&gt;0,
    OR(
      TRIM(C1977)=TRIM(Enginuity!$A$18),
      AND(UPPER(TRIM(M1977))="STD", TRIM(B1977)=TRIM(Enginuity!$A$17))
    ),
    OR(
      AND(LEFT(P1977,5)="1-Way", Enginuity!$B$13=1),
      AND(LEFT(P1977,5)="2-Way", OR(Enginuity!$B$13=2, Enginuity!$B$13=4)),
      AND(LEFT(P1977,5)="3-Way", OR(Enginuity!$B$13=3, Enginuity!$B$13=6)),
      AND(P1977="Inner Centre Jamb", OR(Enginuity!$B$13=4, Enginuity!$B$13=6)),
      AND(
        LEFT(P1977,5)&lt;&gt;"1-Way",
        LEFT(P1977,5)&lt;&gt;"2-Way",
        LEFT(P1977,5)&lt;&gt;"3-Way",
        P1977&lt;&gt;"Inner Centre Jamb"
      )
    ),
    IF(OR(Enginuity!$A$1="Frameless Glass",Enginuity!$A$1="Metal Work"),
      AND(TRIM(B1977)=TRIM(Enginuity!$A$17),TRIM(C1977)=TRIM(Enginuity!$A$18)),
      TRIM(B1977)=TRIM(Enginuity!$A$17)
    )
  ),
  ROW(),
  ""
)</f>
        <v/>
      </c>
    </row>
    <row r="1978" spans="1:21" x14ac:dyDescent="0.25">
      <c r="A1978" s="10"/>
      <c r="B1978" s="229"/>
      <c r="C1978" s="10"/>
      <c r="D1978" s="14"/>
      <c r="E1978" s="157"/>
      <c r="F1978" s="10"/>
      <c r="G1978" s="17"/>
      <c r="H1978" s="10"/>
      <c r="I1978" s="17"/>
      <c r="J1978" s="83"/>
      <c r="K1978" s="343"/>
      <c r="L1978" s="347"/>
      <c r="M1978" s="89"/>
      <c r="N1978" s="21"/>
      <c r="O1978" s="22"/>
      <c r="P1978" s="14"/>
      <c r="Q1978" s="83"/>
      <c r="U1978" s="104" t="str">
        <f>IF(
  AND(
    TRIM(A1978)=TRIM(Enginuity!$A$1),
    TRIM(B1978)=TRIM(Enginuity!$A$17),
    Q1978&lt;&gt;"",
    Q1978&lt;&gt;0,
    OR(
      TRIM(C1978)=TRIM(Enginuity!$A$18),
      AND(UPPER(TRIM(M1978))="STD", TRIM(B1978)=TRIM(Enginuity!$A$17))
    ),
    OR(
      AND(LEFT(P1978,5)="1-Way", Enginuity!$B$13=1),
      AND(LEFT(P1978,5)="2-Way", OR(Enginuity!$B$13=2, Enginuity!$B$13=4)),
      AND(LEFT(P1978,5)="3-Way", OR(Enginuity!$B$13=3, Enginuity!$B$13=6)),
      AND(P1978="Inner Centre Jamb", OR(Enginuity!$B$13=4, Enginuity!$B$13=6)),
      AND(
        LEFT(P1978,5)&lt;&gt;"1-Way",
        LEFT(P1978,5)&lt;&gt;"2-Way",
        LEFT(P1978,5)&lt;&gt;"3-Way",
        P1978&lt;&gt;"Inner Centre Jamb"
      )
    ),
    IF(OR(Enginuity!$A$1="Frameless Glass",Enginuity!$A$1="Metal Work"),
      AND(TRIM(B1978)=TRIM(Enginuity!$A$17),TRIM(C1978)=TRIM(Enginuity!$A$18)),
      TRIM(B1978)=TRIM(Enginuity!$A$17)
    )
  ),
  ROW(),
  ""
)</f>
        <v/>
      </c>
    </row>
    <row r="1979" spans="1:21" x14ac:dyDescent="0.25">
      <c r="A1979" s="10"/>
      <c r="B1979" s="229"/>
      <c r="C1979" s="10"/>
      <c r="D1979" s="14"/>
      <c r="E1979" s="157"/>
      <c r="F1979" s="10"/>
      <c r="G1979" s="17"/>
      <c r="H1979" s="10"/>
      <c r="I1979" s="17"/>
      <c r="J1979" s="83"/>
      <c r="K1979" s="343"/>
      <c r="L1979" s="347"/>
      <c r="M1979" s="89"/>
      <c r="N1979" s="14"/>
      <c r="O1979" s="22"/>
      <c r="P1979" s="14"/>
      <c r="Q1979" s="83"/>
      <c r="U1979" s="104" t="str">
        <f>IF(
  AND(
    TRIM(A1979)=TRIM(Enginuity!$A$1),
    TRIM(B1979)=TRIM(Enginuity!$A$17),
    Q1979&lt;&gt;"",
    Q1979&lt;&gt;0,
    OR(
      TRIM(C1979)=TRIM(Enginuity!$A$18),
      AND(UPPER(TRIM(M1979))="STD", TRIM(B1979)=TRIM(Enginuity!$A$17))
    ),
    OR(
      AND(LEFT(P1979,5)="1-Way", Enginuity!$B$13=1),
      AND(LEFT(P1979,5)="2-Way", OR(Enginuity!$B$13=2, Enginuity!$B$13=4)),
      AND(LEFT(P1979,5)="3-Way", OR(Enginuity!$B$13=3, Enginuity!$B$13=6)),
      AND(P1979="Inner Centre Jamb", OR(Enginuity!$B$13=4, Enginuity!$B$13=6)),
      AND(
        LEFT(P1979,5)&lt;&gt;"1-Way",
        LEFT(P1979,5)&lt;&gt;"2-Way",
        LEFT(P1979,5)&lt;&gt;"3-Way",
        P1979&lt;&gt;"Inner Centre Jamb"
      )
    ),
    IF(OR(Enginuity!$A$1="Frameless Glass",Enginuity!$A$1="Metal Work"),
      AND(TRIM(B1979)=TRIM(Enginuity!$A$17),TRIM(C1979)=TRIM(Enginuity!$A$18)),
      TRIM(B1979)=TRIM(Enginuity!$A$17)
    )
  ),
  ROW(),
  ""
)</f>
        <v/>
      </c>
    </row>
    <row r="1980" spans="1:21" x14ac:dyDescent="0.25">
      <c r="A1980" s="10"/>
      <c r="B1980" s="229"/>
      <c r="C1980" s="10"/>
      <c r="D1980" s="14"/>
      <c r="E1980" s="157"/>
      <c r="F1980" s="10"/>
      <c r="G1980" s="17"/>
      <c r="H1980" s="10"/>
      <c r="I1980" s="17"/>
      <c r="J1980" s="83"/>
      <c r="K1980" s="343"/>
      <c r="L1980" s="347"/>
      <c r="M1980" s="89"/>
      <c r="N1980" s="14"/>
      <c r="O1980" s="22"/>
      <c r="P1980" s="14"/>
      <c r="Q1980" s="83"/>
      <c r="U1980" s="104" t="str">
        <f>IF(
  AND(
    TRIM(A1980)=TRIM(Enginuity!$A$1),
    TRIM(B1980)=TRIM(Enginuity!$A$17),
    Q1980&lt;&gt;"",
    Q1980&lt;&gt;0,
    OR(
      TRIM(C1980)=TRIM(Enginuity!$A$18),
      AND(UPPER(TRIM(M1980))="STD", TRIM(B1980)=TRIM(Enginuity!$A$17))
    ),
    OR(
      AND(LEFT(P1980,5)="1-Way", Enginuity!$B$13=1),
      AND(LEFT(P1980,5)="2-Way", OR(Enginuity!$B$13=2, Enginuity!$B$13=4)),
      AND(LEFT(P1980,5)="3-Way", OR(Enginuity!$B$13=3, Enginuity!$B$13=6)),
      AND(P1980="Inner Centre Jamb", OR(Enginuity!$B$13=4, Enginuity!$B$13=6)),
      AND(
        LEFT(P1980,5)&lt;&gt;"1-Way",
        LEFT(P1980,5)&lt;&gt;"2-Way",
        LEFT(P1980,5)&lt;&gt;"3-Way",
        P1980&lt;&gt;"Inner Centre Jamb"
      )
    ),
    IF(OR(Enginuity!$A$1="Frameless Glass",Enginuity!$A$1="Metal Work"),
      AND(TRIM(B1980)=TRIM(Enginuity!$A$17),TRIM(C1980)=TRIM(Enginuity!$A$18)),
      TRIM(B1980)=TRIM(Enginuity!$A$17)
    )
  ),
  ROW(),
  ""
)</f>
        <v/>
      </c>
    </row>
    <row r="1981" spans="1:21" x14ac:dyDescent="0.25">
      <c r="A1981" s="10"/>
      <c r="B1981" s="229"/>
      <c r="C1981" s="10"/>
      <c r="D1981" s="14"/>
      <c r="E1981" s="157"/>
      <c r="F1981" s="10"/>
      <c r="G1981" s="17"/>
      <c r="H1981" s="10"/>
      <c r="I1981" s="17"/>
      <c r="J1981" s="83"/>
      <c r="K1981" s="343"/>
      <c r="L1981" s="347"/>
      <c r="M1981" s="89"/>
      <c r="N1981" s="14"/>
      <c r="O1981" s="22"/>
      <c r="P1981" s="14"/>
      <c r="Q1981" s="83"/>
      <c r="U1981" s="104" t="str">
        <f>IF(
  AND(
    TRIM(A1981)=TRIM(Enginuity!$A$1),
    TRIM(B1981)=TRIM(Enginuity!$A$17),
    Q1981&lt;&gt;"",
    Q1981&lt;&gt;0,
    OR(
      TRIM(C1981)=TRIM(Enginuity!$A$18),
      AND(UPPER(TRIM(M1981))="STD", TRIM(B1981)=TRIM(Enginuity!$A$17))
    ),
    OR(
      AND(LEFT(P1981,5)="1-Way", Enginuity!$B$13=1),
      AND(LEFT(P1981,5)="2-Way", OR(Enginuity!$B$13=2, Enginuity!$B$13=4)),
      AND(LEFT(P1981,5)="3-Way", OR(Enginuity!$B$13=3, Enginuity!$B$13=6)),
      AND(P1981="Inner Centre Jamb", OR(Enginuity!$B$13=4, Enginuity!$B$13=6)),
      AND(
        LEFT(P1981,5)&lt;&gt;"1-Way",
        LEFT(P1981,5)&lt;&gt;"2-Way",
        LEFT(P1981,5)&lt;&gt;"3-Way",
        P1981&lt;&gt;"Inner Centre Jamb"
      )
    ),
    IF(OR(Enginuity!$A$1="Frameless Glass",Enginuity!$A$1="Metal Work"),
      AND(TRIM(B1981)=TRIM(Enginuity!$A$17),TRIM(C1981)=TRIM(Enginuity!$A$18)),
      TRIM(B1981)=TRIM(Enginuity!$A$17)
    )
  ),
  ROW(),
  ""
)</f>
        <v/>
      </c>
    </row>
    <row r="1982" spans="1:21" x14ac:dyDescent="0.25">
      <c r="A1982" s="10"/>
      <c r="B1982" s="229"/>
      <c r="C1982" s="10"/>
      <c r="D1982" s="14"/>
      <c r="E1982" s="157"/>
      <c r="F1982" s="10"/>
      <c r="G1982" s="17"/>
      <c r="H1982" s="10"/>
      <c r="I1982" s="17"/>
      <c r="J1982" s="83"/>
      <c r="K1982" s="343"/>
      <c r="L1982" s="347"/>
      <c r="M1982" s="89"/>
      <c r="N1982" s="14"/>
      <c r="O1982" s="22"/>
      <c r="P1982" s="14"/>
      <c r="Q1982" s="83"/>
      <c r="U1982" s="104" t="str">
        <f>IF(
  AND(
    TRIM(A1982)=TRIM(Enginuity!$A$1),
    TRIM(B1982)=TRIM(Enginuity!$A$17),
    Q1982&lt;&gt;"",
    Q1982&lt;&gt;0,
    OR(
      TRIM(C1982)=TRIM(Enginuity!$A$18),
      AND(UPPER(TRIM(M1982))="STD", TRIM(B1982)=TRIM(Enginuity!$A$17))
    ),
    OR(
      AND(LEFT(P1982,5)="1-Way", Enginuity!$B$13=1),
      AND(LEFT(P1982,5)="2-Way", OR(Enginuity!$B$13=2, Enginuity!$B$13=4)),
      AND(LEFT(P1982,5)="3-Way", OR(Enginuity!$B$13=3, Enginuity!$B$13=6)),
      AND(P1982="Inner Centre Jamb", OR(Enginuity!$B$13=4, Enginuity!$B$13=6)),
      AND(
        LEFT(P1982,5)&lt;&gt;"1-Way",
        LEFT(P1982,5)&lt;&gt;"2-Way",
        LEFT(P1982,5)&lt;&gt;"3-Way",
        P1982&lt;&gt;"Inner Centre Jamb"
      )
    ),
    IF(OR(Enginuity!$A$1="Frameless Glass",Enginuity!$A$1="Metal Work"),
      AND(TRIM(B1982)=TRIM(Enginuity!$A$17),TRIM(C1982)=TRIM(Enginuity!$A$18)),
      TRIM(B1982)=TRIM(Enginuity!$A$17)
    )
  ),
  ROW(),
  ""
)</f>
        <v/>
      </c>
    </row>
    <row r="1983" spans="1:21" x14ac:dyDescent="0.25">
      <c r="A1983" s="10"/>
      <c r="B1983" s="229"/>
      <c r="C1983" s="10"/>
      <c r="D1983" s="14"/>
      <c r="E1983" s="157"/>
      <c r="F1983" s="10"/>
      <c r="G1983" s="17"/>
      <c r="H1983" s="10"/>
      <c r="I1983" s="17"/>
      <c r="J1983" s="83"/>
      <c r="K1983" s="343"/>
      <c r="L1983" s="347"/>
      <c r="M1983" s="89"/>
      <c r="N1983" s="14"/>
      <c r="O1983" s="22"/>
      <c r="P1983" s="14"/>
      <c r="Q1983" s="83"/>
      <c r="U1983" s="104" t="str">
        <f>IF(
  AND(
    TRIM(A1983)=TRIM(Enginuity!$A$1),
    TRIM(B1983)=TRIM(Enginuity!$A$17),
    Q1983&lt;&gt;"",
    Q1983&lt;&gt;0,
    OR(
      TRIM(C1983)=TRIM(Enginuity!$A$18),
      AND(UPPER(TRIM(M1983))="STD", TRIM(B1983)=TRIM(Enginuity!$A$17))
    ),
    OR(
      AND(LEFT(P1983,5)="1-Way", Enginuity!$B$13=1),
      AND(LEFT(P1983,5)="2-Way", OR(Enginuity!$B$13=2, Enginuity!$B$13=4)),
      AND(LEFT(P1983,5)="3-Way", OR(Enginuity!$B$13=3, Enginuity!$B$13=6)),
      AND(P1983="Inner Centre Jamb", OR(Enginuity!$B$13=4, Enginuity!$B$13=6)),
      AND(
        LEFT(P1983,5)&lt;&gt;"1-Way",
        LEFT(P1983,5)&lt;&gt;"2-Way",
        LEFT(P1983,5)&lt;&gt;"3-Way",
        P1983&lt;&gt;"Inner Centre Jamb"
      )
    ),
    IF(OR(Enginuity!$A$1="Frameless Glass",Enginuity!$A$1="Metal Work"),
      AND(TRIM(B1983)=TRIM(Enginuity!$A$17),TRIM(C1983)=TRIM(Enginuity!$A$18)),
      TRIM(B1983)=TRIM(Enginuity!$A$17)
    )
  ),
  ROW(),
  ""
)</f>
        <v/>
      </c>
    </row>
    <row r="1984" spans="1:21" x14ac:dyDescent="0.25">
      <c r="A1984" s="10"/>
      <c r="B1984" s="229"/>
      <c r="C1984" s="10"/>
      <c r="D1984" s="14"/>
      <c r="E1984" s="157"/>
      <c r="F1984" s="10"/>
      <c r="G1984" s="17"/>
      <c r="H1984" s="10"/>
      <c r="I1984" s="17"/>
      <c r="J1984" s="83"/>
      <c r="K1984" s="343"/>
      <c r="L1984" s="347"/>
      <c r="M1984" s="89"/>
      <c r="N1984" s="10"/>
      <c r="O1984" s="22"/>
      <c r="P1984" s="14"/>
      <c r="Q1984" s="83"/>
      <c r="U1984" s="104" t="str">
        <f>IF(
  AND(
    TRIM(A1984)=TRIM(Enginuity!$A$1),
    TRIM(B1984)=TRIM(Enginuity!$A$17),
    Q1984&lt;&gt;"",
    Q1984&lt;&gt;0,
    OR(
      TRIM(C1984)=TRIM(Enginuity!$A$18),
      AND(UPPER(TRIM(M1984))="STD", TRIM(B1984)=TRIM(Enginuity!$A$17))
    ),
    OR(
      AND(LEFT(P1984,5)="1-Way", Enginuity!$B$13=1),
      AND(LEFT(P1984,5)="2-Way", OR(Enginuity!$B$13=2, Enginuity!$B$13=4)),
      AND(LEFT(P1984,5)="3-Way", OR(Enginuity!$B$13=3, Enginuity!$B$13=6)),
      AND(P1984="Inner Centre Jamb", OR(Enginuity!$B$13=4, Enginuity!$B$13=6)),
      AND(
        LEFT(P1984,5)&lt;&gt;"1-Way",
        LEFT(P1984,5)&lt;&gt;"2-Way",
        LEFT(P1984,5)&lt;&gt;"3-Way",
        P1984&lt;&gt;"Inner Centre Jamb"
      )
    ),
    IF(OR(Enginuity!$A$1="Frameless Glass",Enginuity!$A$1="Metal Work"),
      AND(TRIM(B1984)=TRIM(Enginuity!$A$17),TRIM(C1984)=TRIM(Enginuity!$A$18)),
      TRIM(B1984)=TRIM(Enginuity!$A$17)
    )
  ),
  ROW(),
  ""
)</f>
        <v/>
      </c>
    </row>
    <row r="1985" spans="1:21" x14ac:dyDescent="0.25">
      <c r="A1985" s="10"/>
      <c r="B1985" s="229"/>
      <c r="C1985" s="10"/>
      <c r="D1985" s="14"/>
      <c r="E1985" s="157"/>
      <c r="F1985" s="10"/>
      <c r="G1985" s="17"/>
      <c r="H1985" s="10"/>
      <c r="I1985" s="17"/>
      <c r="J1985" s="83"/>
      <c r="K1985" s="343"/>
      <c r="L1985" s="347"/>
      <c r="M1985" s="89"/>
      <c r="N1985" s="10"/>
      <c r="O1985" s="22"/>
      <c r="P1985" s="21"/>
      <c r="Q1985" s="83"/>
      <c r="U1985" s="104" t="str">
        <f>IF(
  AND(
    TRIM(A1985)=TRIM(Enginuity!$A$1),
    TRIM(B1985)=TRIM(Enginuity!$A$17),
    Q1985&lt;&gt;"",
    Q1985&lt;&gt;0,
    OR(
      TRIM(C1985)=TRIM(Enginuity!$A$18),
      AND(UPPER(TRIM(M1985))="STD", TRIM(B1985)=TRIM(Enginuity!$A$17))
    ),
    OR(
      AND(LEFT(P1985,5)="1-Way", Enginuity!$B$13=1),
      AND(LEFT(P1985,5)="2-Way", OR(Enginuity!$B$13=2, Enginuity!$B$13=4)),
      AND(LEFT(P1985,5)="3-Way", OR(Enginuity!$B$13=3, Enginuity!$B$13=6)),
      AND(P1985="Inner Centre Jamb", OR(Enginuity!$B$13=4, Enginuity!$B$13=6)),
      AND(
        LEFT(P1985,5)&lt;&gt;"1-Way",
        LEFT(P1985,5)&lt;&gt;"2-Way",
        LEFT(P1985,5)&lt;&gt;"3-Way",
        P1985&lt;&gt;"Inner Centre Jamb"
      )
    ),
    IF(OR(Enginuity!$A$1="Frameless Glass",Enginuity!$A$1="Metal Work"),
      AND(TRIM(B1985)=TRIM(Enginuity!$A$17),TRIM(C1985)=TRIM(Enginuity!$A$18)),
      TRIM(B1985)=TRIM(Enginuity!$A$17)
    )
  ),
  ROW(),
  ""
)</f>
        <v/>
      </c>
    </row>
    <row r="1986" spans="1:21" x14ac:dyDescent="0.25">
      <c r="A1986" s="10"/>
      <c r="B1986" s="229"/>
      <c r="C1986" s="10"/>
      <c r="D1986" s="14"/>
      <c r="E1986" s="157"/>
      <c r="F1986" s="10"/>
      <c r="G1986" s="17"/>
      <c r="H1986" s="10"/>
      <c r="I1986" s="17"/>
      <c r="J1986" s="83"/>
      <c r="K1986" s="343"/>
      <c r="L1986" s="347"/>
      <c r="M1986" s="89"/>
      <c r="N1986" s="88"/>
      <c r="O1986" s="22"/>
      <c r="P1986" s="36"/>
      <c r="Q1986" s="83"/>
      <c r="U1986" s="104" t="str">
        <f>IF(
  AND(
    TRIM(A1986)=TRIM(Enginuity!$A$1),
    TRIM(B1986)=TRIM(Enginuity!$A$17),
    Q1986&lt;&gt;"",
    Q1986&lt;&gt;0,
    OR(
      TRIM(C1986)=TRIM(Enginuity!$A$18),
      AND(UPPER(TRIM(M1986))="STD", TRIM(B1986)=TRIM(Enginuity!$A$17))
    ),
    OR(
      AND(LEFT(P1986,5)="1-Way", Enginuity!$B$13=1),
      AND(LEFT(P1986,5)="2-Way", OR(Enginuity!$B$13=2, Enginuity!$B$13=4)),
      AND(LEFT(P1986,5)="3-Way", OR(Enginuity!$B$13=3, Enginuity!$B$13=6)),
      AND(P1986="Inner Centre Jamb", OR(Enginuity!$B$13=4, Enginuity!$B$13=6)),
      AND(
        LEFT(P1986,5)&lt;&gt;"1-Way",
        LEFT(P1986,5)&lt;&gt;"2-Way",
        LEFT(P1986,5)&lt;&gt;"3-Way",
        P1986&lt;&gt;"Inner Centre Jamb"
      )
    ),
    IF(OR(Enginuity!$A$1="Frameless Glass",Enginuity!$A$1="Metal Work"),
      AND(TRIM(B1986)=TRIM(Enginuity!$A$17),TRIM(C1986)=TRIM(Enginuity!$A$18)),
      TRIM(B1986)=TRIM(Enginuity!$A$17)
    )
  ),
  ROW(),
  ""
)</f>
        <v/>
      </c>
    </row>
    <row r="1987" spans="1:21" x14ac:dyDescent="0.25">
      <c r="A1987" s="10"/>
      <c r="B1987" s="229"/>
      <c r="C1987" s="10"/>
      <c r="D1987" s="14"/>
      <c r="E1987" s="157"/>
      <c r="F1987" s="10"/>
      <c r="G1987" s="17"/>
      <c r="H1987" s="10"/>
      <c r="I1987" s="17"/>
      <c r="J1987" s="83"/>
      <c r="K1987" s="343"/>
      <c r="L1987" s="347"/>
      <c r="M1987" s="10"/>
      <c r="N1987" s="10"/>
      <c r="O1987" s="22"/>
      <c r="P1987" s="21"/>
      <c r="Q1987" s="83"/>
      <c r="U1987" s="104" t="str">
        <f>IF(
  AND(
    TRIM(A1987)=TRIM(Enginuity!$A$1),
    TRIM(B1987)=TRIM(Enginuity!$A$17),
    Q1987&lt;&gt;"",
    Q1987&lt;&gt;0,
    OR(
      TRIM(C1987)=TRIM(Enginuity!$A$18),
      AND(UPPER(TRIM(M1987))="STD", TRIM(B1987)=TRIM(Enginuity!$A$17))
    ),
    OR(
      AND(LEFT(P1987,5)="1-Way", Enginuity!$B$13=1),
      AND(LEFT(P1987,5)="2-Way", OR(Enginuity!$B$13=2, Enginuity!$B$13=4)),
      AND(LEFT(P1987,5)="3-Way", OR(Enginuity!$B$13=3, Enginuity!$B$13=6)),
      AND(P1987="Inner Centre Jamb", OR(Enginuity!$B$13=4, Enginuity!$B$13=6)),
      AND(
        LEFT(P1987,5)&lt;&gt;"1-Way",
        LEFT(P1987,5)&lt;&gt;"2-Way",
        LEFT(P1987,5)&lt;&gt;"3-Way",
        P1987&lt;&gt;"Inner Centre Jamb"
      )
    ),
    IF(OR(Enginuity!$A$1="Frameless Glass",Enginuity!$A$1="Metal Work"),
      AND(TRIM(B1987)=TRIM(Enginuity!$A$17),TRIM(C1987)=TRIM(Enginuity!$A$18)),
      TRIM(B1987)=TRIM(Enginuity!$A$17)
    )
  ),
  ROW(),
  ""
)</f>
        <v/>
      </c>
    </row>
    <row r="1988" spans="1:21" x14ac:dyDescent="0.25">
      <c r="A1988" s="10"/>
      <c r="B1988" s="229"/>
      <c r="C1988" s="10"/>
      <c r="D1988" s="14"/>
      <c r="E1988" s="157"/>
      <c r="F1988" s="10"/>
      <c r="G1988" s="17"/>
      <c r="H1988" s="10"/>
      <c r="I1988" s="17"/>
      <c r="J1988" s="83"/>
      <c r="K1988" s="343"/>
      <c r="L1988" s="347"/>
      <c r="M1988" s="10"/>
      <c r="N1988" s="10"/>
      <c r="O1988" s="22"/>
      <c r="P1988" s="14"/>
      <c r="Q1988" s="83"/>
      <c r="U1988" s="104" t="str">
        <f>IF(
  AND(
    TRIM(A1988)=TRIM(Enginuity!$A$1),
    TRIM(B1988)=TRIM(Enginuity!$A$17),
    Q1988&lt;&gt;"",
    Q1988&lt;&gt;0,
    OR(
      TRIM(C1988)=TRIM(Enginuity!$A$18),
      AND(UPPER(TRIM(M1988))="STD", TRIM(B1988)=TRIM(Enginuity!$A$17))
    ),
    OR(
      AND(LEFT(P1988,5)="1-Way", Enginuity!$B$13=1),
      AND(LEFT(P1988,5)="2-Way", OR(Enginuity!$B$13=2, Enginuity!$B$13=4)),
      AND(LEFT(P1988,5)="3-Way", OR(Enginuity!$B$13=3, Enginuity!$B$13=6)),
      AND(P1988="Inner Centre Jamb", OR(Enginuity!$B$13=4, Enginuity!$B$13=6)),
      AND(
        LEFT(P1988,5)&lt;&gt;"1-Way",
        LEFT(P1988,5)&lt;&gt;"2-Way",
        LEFT(P1988,5)&lt;&gt;"3-Way",
        P1988&lt;&gt;"Inner Centre Jamb"
      )
    ),
    IF(OR(Enginuity!$A$1="Frameless Glass",Enginuity!$A$1="Metal Work"),
      AND(TRIM(B1988)=TRIM(Enginuity!$A$17),TRIM(C1988)=TRIM(Enginuity!$A$18)),
      TRIM(B1988)=TRIM(Enginuity!$A$17)
    )
  ),
  ROW(),
  ""
)</f>
        <v/>
      </c>
    </row>
    <row r="1989" spans="1:21" x14ac:dyDescent="0.25">
      <c r="A1989" s="10"/>
      <c r="B1989" s="229"/>
      <c r="C1989" s="10"/>
      <c r="D1989" s="14"/>
      <c r="E1989" s="157"/>
      <c r="F1989" s="10"/>
      <c r="G1989" s="17"/>
      <c r="H1989" s="10"/>
      <c r="I1989" s="17"/>
      <c r="J1989" s="83"/>
      <c r="K1989" s="343"/>
      <c r="L1989" s="347"/>
      <c r="M1989" s="10"/>
      <c r="N1989" s="10"/>
      <c r="O1989" s="22"/>
      <c r="P1989" s="14"/>
      <c r="Q1989" s="83"/>
      <c r="U1989" s="104" t="str">
        <f>IF(
  AND(
    TRIM(A1989)=TRIM(Enginuity!$A$1),
    TRIM(B1989)=TRIM(Enginuity!$A$17),
    Q1989&lt;&gt;"",
    Q1989&lt;&gt;0,
    OR(
      TRIM(C1989)=TRIM(Enginuity!$A$18),
      AND(UPPER(TRIM(M1989))="STD", TRIM(B1989)=TRIM(Enginuity!$A$17))
    ),
    OR(
      AND(LEFT(P1989,5)="1-Way", Enginuity!$B$13=1),
      AND(LEFT(P1989,5)="2-Way", OR(Enginuity!$B$13=2, Enginuity!$B$13=4)),
      AND(LEFT(P1989,5)="3-Way", OR(Enginuity!$B$13=3, Enginuity!$B$13=6)),
      AND(P1989="Inner Centre Jamb", OR(Enginuity!$B$13=4, Enginuity!$B$13=6)),
      AND(
        LEFT(P1989,5)&lt;&gt;"1-Way",
        LEFT(P1989,5)&lt;&gt;"2-Way",
        LEFT(P1989,5)&lt;&gt;"3-Way",
        P1989&lt;&gt;"Inner Centre Jamb"
      )
    ),
    IF(OR(Enginuity!$A$1="Frameless Glass",Enginuity!$A$1="Metal Work"),
      AND(TRIM(B1989)=TRIM(Enginuity!$A$17),TRIM(C1989)=TRIM(Enginuity!$A$18)),
      TRIM(B1989)=TRIM(Enginuity!$A$17)
    )
  ),
  ROW(),
  ""
)</f>
        <v/>
      </c>
    </row>
    <row r="1990" spans="1:21" x14ac:dyDescent="0.25">
      <c r="A1990" s="10"/>
      <c r="B1990" s="229"/>
      <c r="C1990" s="10"/>
      <c r="D1990" s="14"/>
      <c r="E1990" s="157"/>
      <c r="F1990" s="10"/>
      <c r="G1990" s="17"/>
      <c r="H1990" s="10"/>
      <c r="I1990" s="17"/>
      <c r="J1990" s="83"/>
      <c r="K1990" s="343"/>
      <c r="L1990" s="347"/>
      <c r="M1990" s="10"/>
      <c r="N1990" s="10"/>
      <c r="O1990" s="22"/>
      <c r="P1990" s="14"/>
      <c r="Q1990" s="83"/>
      <c r="U1990" s="104" t="str">
        <f>IF(
  AND(
    TRIM(A1990)=TRIM(Enginuity!$A$1),
    TRIM(B1990)=TRIM(Enginuity!$A$17),
    Q1990&lt;&gt;"",
    Q1990&lt;&gt;0,
    OR(
      TRIM(C1990)=TRIM(Enginuity!$A$18),
      AND(UPPER(TRIM(M1990))="STD", TRIM(B1990)=TRIM(Enginuity!$A$17))
    ),
    OR(
      AND(LEFT(P1990,5)="1-Way", Enginuity!$B$13=1),
      AND(LEFT(P1990,5)="2-Way", OR(Enginuity!$B$13=2, Enginuity!$B$13=4)),
      AND(LEFT(P1990,5)="3-Way", OR(Enginuity!$B$13=3, Enginuity!$B$13=6)),
      AND(P1990="Inner Centre Jamb", OR(Enginuity!$B$13=4, Enginuity!$B$13=6)),
      AND(
        LEFT(P1990,5)&lt;&gt;"1-Way",
        LEFT(P1990,5)&lt;&gt;"2-Way",
        LEFT(P1990,5)&lt;&gt;"3-Way",
        P1990&lt;&gt;"Inner Centre Jamb"
      )
    ),
    IF(OR(Enginuity!$A$1="Frameless Glass",Enginuity!$A$1="Metal Work"),
      AND(TRIM(B1990)=TRIM(Enginuity!$A$17),TRIM(C1990)=TRIM(Enginuity!$A$18)),
      TRIM(B1990)=TRIM(Enginuity!$A$17)
    )
  ),
  ROW(),
  ""
)</f>
        <v/>
      </c>
    </row>
    <row r="1991" spans="1:21" x14ac:dyDescent="0.25">
      <c r="A1991" s="10"/>
      <c r="B1991" s="229"/>
      <c r="C1991" s="10"/>
      <c r="D1991" s="14"/>
      <c r="E1991" s="157"/>
      <c r="F1991" s="10"/>
      <c r="G1991" s="17"/>
      <c r="H1991" s="10"/>
      <c r="I1991" s="17"/>
      <c r="J1991" s="83"/>
      <c r="K1991" s="343"/>
      <c r="L1991" s="347"/>
      <c r="M1991" s="10"/>
      <c r="N1991" s="10"/>
      <c r="O1991" s="22"/>
      <c r="P1991" s="14"/>
      <c r="Q1991" s="83"/>
      <c r="U1991" s="104" t="str">
        <f>IF(
  AND(
    TRIM(A1991)=TRIM(Enginuity!$A$1),
    TRIM(B1991)=TRIM(Enginuity!$A$17),
    Q1991&lt;&gt;"",
    Q1991&lt;&gt;0,
    OR(
      TRIM(C1991)=TRIM(Enginuity!$A$18),
      AND(UPPER(TRIM(M1991))="STD", TRIM(B1991)=TRIM(Enginuity!$A$17))
    ),
    OR(
      AND(LEFT(P1991,5)="1-Way", Enginuity!$B$13=1),
      AND(LEFT(P1991,5)="2-Way", OR(Enginuity!$B$13=2, Enginuity!$B$13=4)),
      AND(LEFT(P1991,5)="3-Way", OR(Enginuity!$B$13=3, Enginuity!$B$13=6)),
      AND(P1991="Inner Centre Jamb", OR(Enginuity!$B$13=4, Enginuity!$B$13=6)),
      AND(
        LEFT(P1991,5)&lt;&gt;"1-Way",
        LEFT(P1991,5)&lt;&gt;"2-Way",
        LEFT(P1991,5)&lt;&gt;"3-Way",
        P1991&lt;&gt;"Inner Centre Jamb"
      )
    ),
    IF(OR(Enginuity!$A$1="Frameless Glass",Enginuity!$A$1="Metal Work"),
      AND(TRIM(B1991)=TRIM(Enginuity!$A$17),TRIM(C1991)=TRIM(Enginuity!$A$18)),
      TRIM(B1991)=TRIM(Enginuity!$A$17)
    )
  ),
  ROW(),
  ""
)</f>
        <v/>
      </c>
    </row>
    <row r="1992" spans="1:21" x14ac:dyDescent="0.25">
      <c r="A1992" s="10"/>
      <c r="B1992" s="229"/>
      <c r="C1992" s="10"/>
      <c r="D1992" s="14"/>
      <c r="E1992" s="157"/>
      <c r="F1992" s="10"/>
      <c r="G1992" s="17"/>
      <c r="H1992" s="10"/>
      <c r="I1992" s="17"/>
      <c r="J1992" s="83"/>
      <c r="K1992" s="343"/>
      <c r="L1992" s="347"/>
      <c r="M1992" s="10"/>
      <c r="N1992" s="10"/>
      <c r="O1992" s="22"/>
      <c r="P1992" s="14"/>
      <c r="Q1992" s="83"/>
      <c r="U1992" s="104" t="str">
        <f>IF(
  AND(
    TRIM(A1992)=TRIM(Enginuity!$A$1),
    TRIM(B1992)=TRIM(Enginuity!$A$17),
    Q1992&lt;&gt;"",
    Q1992&lt;&gt;0,
    OR(
      TRIM(C1992)=TRIM(Enginuity!$A$18),
      AND(UPPER(TRIM(M1992))="STD", TRIM(B1992)=TRIM(Enginuity!$A$17))
    ),
    OR(
      AND(LEFT(P1992,5)="1-Way", Enginuity!$B$13=1),
      AND(LEFT(P1992,5)="2-Way", OR(Enginuity!$B$13=2, Enginuity!$B$13=4)),
      AND(LEFT(P1992,5)="3-Way", OR(Enginuity!$B$13=3, Enginuity!$B$13=6)),
      AND(P1992="Inner Centre Jamb", OR(Enginuity!$B$13=4, Enginuity!$B$13=6)),
      AND(
        LEFT(P1992,5)&lt;&gt;"1-Way",
        LEFT(P1992,5)&lt;&gt;"2-Way",
        LEFT(P1992,5)&lt;&gt;"3-Way",
        P1992&lt;&gt;"Inner Centre Jamb"
      )
    ),
    IF(OR(Enginuity!$A$1="Frameless Glass",Enginuity!$A$1="Metal Work"),
      AND(TRIM(B1992)=TRIM(Enginuity!$A$17),TRIM(C1992)=TRIM(Enginuity!$A$18)),
      TRIM(B1992)=TRIM(Enginuity!$A$17)
    )
  ),
  ROW(),
  ""
)</f>
        <v/>
      </c>
    </row>
    <row r="1993" spans="1:21" x14ac:dyDescent="0.25">
      <c r="A1993" s="10"/>
      <c r="B1993" s="229"/>
      <c r="C1993" s="10"/>
      <c r="D1993" s="14"/>
      <c r="E1993" s="157"/>
      <c r="F1993" s="10"/>
      <c r="G1993" s="17"/>
      <c r="H1993" s="10"/>
      <c r="I1993" s="17"/>
      <c r="J1993" s="83"/>
      <c r="K1993" s="343"/>
      <c r="L1993" s="347"/>
      <c r="M1993" s="10"/>
      <c r="N1993" s="88"/>
      <c r="O1993" s="22"/>
      <c r="P1993" s="14"/>
      <c r="Q1993" s="83"/>
      <c r="U1993" s="104" t="str">
        <f>IF(
  AND(
    TRIM(A1993)=TRIM(Enginuity!$A$1),
    TRIM(B1993)=TRIM(Enginuity!$A$17),
    Q1993&lt;&gt;"",
    Q1993&lt;&gt;0,
    OR(
      TRIM(C1993)=TRIM(Enginuity!$A$18),
      AND(UPPER(TRIM(M1993))="STD", TRIM(B1993)=TRIM(Enginuity!$A$17))
    ),
    OR(
      AND(LEFT(P1993,5)="1-Way", Enginuity!$B$13=1),
      AND(LEFT(P1993,5)="2-Way", OR(Enginuity!$B$13=2, Enginuity!$B$13=4)),
      AND(LEFT(P1993,5)="3-Way", OR(Enginuity!$B$13=3, Enginuity!$B$13=6)),
      AND(P1993="Inner Centre Jamb", OR(Enginuity!$B$13=4, Enginuity!$B$13=6)),
      AND(
        LEFT(P1993,5)&lt;&gt;"1-Way",
        LEFT(P1993,5)&lt;&gt;"2-Way",
        LEFT(P1993,5)&lt;&gt;"3-Way",
        P1993&lt;&gt;"Inner Centre Jamb"
      )
    ),
    IF(OR(Enginuity!$A$1="Frameless Glass",Enginuity!$A$1="Metal Work"),
      AND(TRIM(B1993)=TRIM(Enginuity!$A$17),TRIM(C1993)=TRIM(Enginuity!$A$18)),
      TRIM(B1993)=TRIM(Enginuity!$A$17)
    )
  ),
  ROW(),
  ""
)</f>
        <v/>
      </c>
    </row>
    <row r="1994" spans="1:21" x14ac:dyDescent="0.25">
      <c r="A1994" s="10"/>
      <c r="B1994" s="229"/>
      <c r="C1994" s="10"/>
      <c r="D1994" s="14"/>
      <c r="E1994" s="157"/>
      <c r="F1994" s="10"/>
      <c r="G1994" s="17"/>
      <c r="H1994" s="10"/>
      <c r="I1994" s="17"/>
      <c r="J1994" s="83"/>
      <c r="K1994" s="343"/>
      <c r="L1994" s="347"/>
      <c r="M1994" s="10"/>
      <c r="N1994" s="10"/>
      <c r="O1994" s="22"/>
      <c r="P1994" s="14"/>
      <c r="Q1994" s="83"/>
      <c r="U1994" s="104" t="str">
        <f>IF(
  AND(
    TRIM(A1994)=TRIM(Enginuity!$A$1),
    TRIM(B1994)=TRIM(Enginuity!$A$17),
    Q1994&lt;&gt;"",
    Q1994&lt;&gt;0,
    OR(
      TRIM(C1994)=TRIM(Enginuity!$A$18),
      AND(UPPER(TRIM(M1994))="STD", TRIM(B1994)=TRIM(Enginuity!$A$17))
    ),
    OR(
      AND(LEFT(P1994,5)="1-Way", Enginuity!$B$13=1),
      AND(LEFT(P1994,5)="2-Way", OR(Enginuity!$B$13=2, Enginuity!$B$13=4)),
      AND(LEFT(P1994,5)="3-Way", OR(Enginuity!$B$13=3, Enginuity!$B$13=6)),
      AND(P1994="Inner Centre Jamb", OR(Enginuity!$B$13=4, Enginuity!$B$13=6)),
      AND(
        LEFT(P1994,5)&lt;&gt;"1-Way",
        LEFT(P1994,5)&lt;&gt;"2-Way",
        LEFT(P1994,5)&lt;&gt;"3-Way",
        P1994&lt;&gt;"Inner Centre Jamb"
      )
    ),
    IF(OR(Enginuity!$A$1="Frameless Glass",Enginuity!$A$1="Metal Work"),
      AND(TRIM(B1994)=TRIM(Enginuity!$A$17),TRIM(C1994)=TRIM(Enginuity!$A$18)),
      TRIM(B1994)=TRIM(Enginuity!$A$17)
    )
  ),
  ROW(),
  ""
)</f>
        <v/>
      </c>
    </row>
    <row r="1995" spans="1:21" x14ac:dyDescent="0.25">
      <c r="A1995" s="10"/>
      <c r="B1995" s="229"/>
      <c r="C1995" s="10"/>
      <c r="D1995" s="14"/>
      <c r="E1995" s="157"/>
      <c r="F1995" s="10"/>
      <c r="G1995" s="17"/>
      <c r="H1995" s="10"/>
      <c r="I1995" s="17"/>
      <c r="J1995" s="83"/>
      <c r="K1995" s="343"/>
      <c r="L1995" s="347"/>
      <c r="M1995" s="10"/>
      <c r="N1995" s="10"/>
      <c r="O1995" s="22"/>
      <c r="P1995" s="14"/>
      <c r="Q1995" s="83"/>
      <c r="U1995" s="104" t="str">
        <f>IF(
  AND(
    TRIM(A1995)=TRIM(Enginuity!$A$1),
    TRIM(B1995)=TRIM(Enginuity!$A$17),
    Q1995&lt;&gt;"",
    Q1995&lt;&gt;0,
    OR(
      TRIM(C1995)=TRIM(Enginuity!$A$18),
      AND(UPPER(TRIM(M1995))="STD", TRIM(B1995)=TRIM(Enginuity!$A$17))
    ),
    OR(
      AND(LEFT(P1995,5)="1-Way", Enginuity!$B$13=1),
      AND(LEFT(P1995,5)="2-Way", OR(Enginuity!$B$13=2, Enginuity!$B$13=4)),
      AND(LEFT(P1995,5)="3-Way", OR(Enginuity!$B$13=3, Enginuity!$B$13=6)),
      AND(P1995="Inner Centre Jamb", OR(Enginuity!$B$13=4, Enginuity!$B$13=6)),
      AND(
        LEFT(P1995,5)&lt;&gt;"1-Way",
        LEFT(P1995,5)&lt;&gt;"2-Way",
        LEFT(P1995,5)&lt;&gt;"3-Way",
        P1995&lt;&gt;"Inner Centre Jamb"
      )
    ),
    IF(OR(Enginuity!$A$1="Frameless Glass",Enginuity!$A$1="Metal Work"),
      AND(TRIM(B1995)=TRIM(Enginuity!$A$17),TRIM(C1995)=TRIM(Enginuity!$A$18)),
      TRIM(B1995)=TRIM(Enginuity!$A$17)
    )
  ),
  ROW(),
  ""
)</f>
        <v/>
      </c>
    </row>
    <row r="1996" spans="1:21" x14ac:dyDescent="0.25">
      <c r="A1996" s="10"/>
      <c r="B1996" s="229"/>
      <c r="C1996" s="10"/>
      <c r="D1996" s="14"/>
      <c r="E1996" s="157"/>
      <c r="F1996" s="10"/>
      <c r="G1996" s="17"/>
      <c r="H1996" s="10"/>
      <c r="I1996" s="17"/>
      <c r="J1996" s="83"/>
      <c r="K1996" s="343"/>
      <c r="L1996" s="347"/>
      <c r="M1996" s="10"/>
      <c r="N1996" s="10"/>
      <c r="O1996" s="22"/>
      <c r="P1996" s="14"/>
      <c r="Q1996" s="83"/>
      <c r="U1996" s="104" t="str">
        <f>IF(
  AND(
    TRIM(A1996)=TRIM(Enginuity!$A$1),
    TRIM(B1996)=TRIM(Enginuity!$A$17),
    Q1996&lt;&gt;"",
    Q1996&lt;&gt;0,
    OR(
      TRIM(C1996)=TRIM(Enginuity!$A$18),
      AND(UPPER(TRIM(M1996))="STD", TRIM(B1996)=TRIM(Enginuity!$A$17))
    ),
    OR(
      AND(LEFT(P1996,5)="1-Way", Enginuity!$B$13=1),
      AND(LEFT(P1996,5)="2-Way", OR(Enginuity!$B$13=2, Enginuity!$B$13=4)),
      AND(LEFT(P1996,5)="3-Way", OR(Enginuity!$B$13=3, Enginuity!$B$13=6)),
      AND(P1996="Inner Centre Jamb", OR(Enginuity!$B$13=4, Enginuity!$B$13=6)),
      AND(
        LEFT(P1996,5)&lt;&gt;"1-Way",
        LEFT(P1996,5)&lt;&gt;"2-Way",
        LEFT(P1996,5)&lt;&gt;"3-Way",
        P1996&lt;&gt;"Inner Centre Jamb"
      )
    ),
    IF(OR(Enginuity!$A$1="Frameless Glass",Enginuity!$A$1="Metal Work"),
      AND(TRIM(B1996)=TRIM(Enginuity!$A$17),TRIM(C1996)=TRIM(Enginuity!$A$18)),
      TRIM(B1996)=TRIM(Enginuity!$A$17)
    )
  ),
  ROW(),
  ""
)</f>
        <v/>
      </c>
    </row>
    <row r="1997" spans="1:21" x14ac:dyDescent="0.25">
      <c r="A1997" s="10"/>
      <c r="B1997" s="229"/>
      <c r="C1997" s="10"/>
      <c r="D1997" s="14"/>
      <c r="E1997" s="157"/>
      <c r="F1997" s="10"/>
      <c r="G1997" s="17"/>
      <c r="H1997" s="10"/>
      <c r="I1997" s="17"/>
      <c r="J1997" s="83"/>
      <c r="K1997" s="343"/>
      <c r="L1997" s="347"/>
      <c r="M1997" s="10"/>
      <c r="N1997" s="10"/>
      <c r="O1997" s="22"/>
      <c r="P1997" s="14"/>
      <c r="Q1997" s="83"/>
      <c r="U1997" s="104" t="str">
        <f>IF(
  AND(
    TRIM(A1997)=TRIM(Enginuity!$A$1),
    TRIM(B1997)=TRIM(Enginuity!$A$17),
    Q1997&lt;&gt;"",
    Q1997&lt;&gt;0,
    OR(
      TRIM(C1997)=TRIM(Enginuity!$A$18),
      AND(UPPER(TRIM(M1997))="STD", TRIM(B1997)=TRIM(Enginuity!$A$17))
    ),
    OR(
      AND(LEFT(P1997,5)="1-Way", Enginuity!$B$13=1),
      AND(LEFT(P1997,5)="2-Way", OR(Enginuity!$B$13=2, Enginuity!$B$13=4)),
      AND(LEFT(P1997,5)="3-Way", OR(Enginuity!$B$13=3, Enginuity!$B$13=6)),
      AND(P1997="Inner Centre Jamb", OR(Enginuity!$B$13=4, Enginuity!$B$13=6)),
      AND(
        LEFT(P1997,5)&lt;&gt;"1-Way",
        LEFT(P1997,5)&lt;&gt;"2-Way",
        LEFT(P1997,5)&lt;&gt;"3-Way",
        P1997&lt;&gt;"Inner Centre Jamb"
      )
    ),
    IF(OR(Enginuity!$A$1="Frameless Glass",Enginuity!$A$1="Metal Work"),
      AND(TRIM(B1997)=TRIM(Enginuity!$A$17),TRIM(C1997)=TRIM(Enginuity!$A$18)),
      TRIM(B1997)=TRIM(Enginuity!$A$17)
    )
  ),
  ROW(),
  ""
)</f>
        <v/>
      </c>
    </row>
    <row r="1998" spans="1:21" x14ac:dyDescent="0.25">
      <c r="A1998" s="10"/>
      <c r="B1998" s="229"/>
      <c r="C1998" s="10"/>
      <c r="D1998" s="14"/>
      <c r="E1998" s="157"/>
      <c r="F1998" s="10"/>
      <c r="G1998" s="17"/>
      <c r="H1998" s="10"/>
      <c r="I1998" s="17"/>
      <c r="J1998" s="83"/>
      <c r="K1998" s="343"/>
      <c r="L1998" s="347"/>
      <c r="M1998" s="10"/>
      <c r="N1998" s="10"/>
      <c r="O1998" s="22"/>
      <c r="P1998" s="14"/>
      <c r="Q1998" s="83"/>
      <c r="U1998" s="104" t="str">
        <f>IF(
  AND(
    TRIM(A1998)=TRIM(Enginuity!$A$1),
    TRIM(B1998)=TRIM(Enginuity!$A$17),
    Q1998&lt;&gt;"",
    Q1998&lt;&gt;0,
    OR(
      TRIM(C1998)=TRIM(Enginuity!$A$18),
      AND(UPPER(TRIM(M1998))="STD", TRIM(B1998)=TRIM(Enginuity!$A$17))
    ),
    OR(
      AND(LEFT(P1998,5)="1-Way", Enginuity!$B$13=1),
      AND(LEFT(P1998,5)="2-Way", OR(Enginuity!$B$13=2, Enginuity!$B$13=4)),
      AND(LEFT(P1998,5)="3-Way", OR(Enginuity!$B$13=3, Enginuity!$B$13=6)),
      AND(P1998="Inner Centre Jamb", OR(Enginuity!$B$13=4, Enginuity!$B$13=6)),
      AND(
        LEFT(P1998,5)&lt;&gt;"1-Way",
        LEFT(P1998,5)&lt;&gt;"2-Way",
        LEFT(P1998,5)&lt;&gt;"3-Way",
        P1998&lt;&gt;"Inner Centre Jamb"
      )
    ),
    IF(OR(Enginuity!$A$1="Frameless Glass",Enginuity!$A$1="Metal Work"),
      AND(TRIM(B1998)=TRIM(Enginuity!$A$17),TRIM(C1998)=TRIM(Enginuity!$A$18)),
      TRIM(B1998)=TRIM(Enginuity!$A$17)
    )
  ),
  ROW(),
  ""
)</f>
        <v/>
      </c>
    </row>
    <row r="1999" spans="1:21" x14ac:dyDescent="0.25">
      <c r="A1999" s="10"/>
      <c r="B1999" s="229"/>
      <c r="C1999" s="10"/>
      <c r="D1999" s="14"/>
      <c r="E1999" s="157"/>
      <c r="F1999" s="10"/>
      <c r="G1999" s="17"/>
      <c r="H1999" s="10"/>
      <c r="I1999" s="17"/>
      <c r="J1999" s="83"/>
      <c r="K1999" s="343"/>
      <c r="L1999" s="347"/>
      <c r="M1999" s="10"/>
      <c r="N1999" s="10"/>
      <c r="O1999" s="22"/>
      <c r="P1999" s="21"/>
      <c r="Q1999" s="83"/>
      <c r="U1999" s="104" t="str">
        <f>IF(
  AND(
    TRIM(A1999)=TRIM(Enginuity!$A$1),
    TRIM(B1999)=TRIM(Enginuity!$A$17),
    Q1999&lt;&gt;"",
    Q1999&lt;&gt;0,
    OR(
      TRIM(C1999)=TRIM(Enginuity!$A$18),
      AND(UPPER(TRIM(M1999))="STD", TRIM(B1999)=TRIM(Enginuity!$A$17))
    ),
    OR(
      AND(LEFT(P1999,5)="1-Way", Enginuity!$B$13=1),
      AND(LEFT(P1999,5)="2-Way", OR(Enginuity!$B$13=2, Enginuity!$B$13=4)),
      AND(LEFT(P1999,5)="3-Way", OR(Enginuity!$B$13=3, Enginuity!$B$13=6)),
      AND(P1999="Inner Centre Jamb", OR(Enginuity!$B$13=4, Enginuity!$B$13=6)),
      AND(
        LEFT(P1999,5)&lt;&gt;"1-Way",
        LEFT(P1999,5)&lt;&gt;"2-Way",
        LEFT(P1999,5)&lt;&gt;"3-Way",
        P1999&lt;&gt;"Inner Centre Jamb"
      )
    ),
    IF(OR(Enginuity!$A$1="Frameless Glass",Enginuity!$A$1="Metal Work"),
      AND(TRIM(B1999)=TRIM(Enginuity!$A$17),TRIM(C1999)=TRIM(Enginuity!$A$18)),
      TRIM(B1999)=TRIM(Enginuity!$A$17)
    )
  ),
  ROW(),
  ""
)</f>
        <v/>
      </c>
    </row>
    <row r="2000" spans="1:21" x14ac:dyDescent="0.25">
      <c r="A2000" s="10"/>
      <c r="B2000" s="229"/>
      <c r="C2000" s="10"/>
      <c r="D2000" s="14"/>
      <c r="E2000" s="157"/>
      <c r="F2000" s="10"/>
      <c r="G2000" s="17"/>
      <c r="H2000" s="10"/>
      <c r="I2000" s="17"/>
      <c r="J2000" s="83"/>
      <c r="K2000" s="343"/>
      <c r="L2000" s="347"/>
      <c r="M2000" s="10"/>
      <c r="N2000" s="10"/>
      <c r="O2000" s="22"/>
      <c r="P2000" s="21"/>
      <c r="Q2000" s="83"/>
      <c r="U2000" s="104" t="str">
        <f>IF(
  AND(
    TRIM(A2000)=TRIM(Enginuity!$A$1),
    TRIM(B2000)=TRIM(Enginuity!$A$17),
    Q2000&lt;&gt;"",
    Q2000&lt;&gt;0,
    OR(
      TRIM(C2000)=TRIM(Enginuity!$A$18),
      AND(UPPER(TRIM(M2000))="STD", TRIM(B2000)=TRIM(Enginuity!$A$17))
    ),
    OR(
      AND(LEFT(P2000,5)="1-Way", Enginuity!$B$13=1),
      AND(LEFT(P2000,5)="2-Way", OR(Enginuity!$B$13=2, Enginuity!$B$13=4)),
      AND(LEFT(P2000,5)="3-Way", OR(Enginuity!$B$13=3, Enginuity!$B$13=6)),
      AND(P2000="Inner Centre Jamb", OR(Enginuity!$B$13=4, Enginuity!$B$13=6)),
      AND(
        LEFT(P2000,5)&lt;&gt;"1-Way",
        LEFT(P2000,5)&lt;&gt;"2-Way",
        LEFT(P2000,5)&lt;&gt;"3-Way",
        P2000&lt;&gt;"Inner Centre Jamb"
      )
    ),
    IF(OR(Enginuity!$A$1="Frameless Glass",Enginuity!$A$1="Metal Work"),
      AND(TRIM(B2000)=TRIM(Enginuity!$A$17),TRIM(C2000)=TRIM(Enginuity!$A$18)),
      TRIM(B2000)=TRIM(Enginuity!$A$17)
    )
  ),
  ROW(),
  ""
)</f>
        <v/>
      </c>
    </row>
    <row r="2001" spans="1:21" x14ac:dyDescent="0.25">
      <c r="A2001" s="10"/>
      <c r="B2001" s="229"/>
      <c r="C2001" s="10"/>
      <c r="D2001" s="14"/>
      <c r="E2001" s="157"/>
      <c r="F2001" s="10"/>
      <c r="G2001" s="17"/>
      <c r="H2001" s="10"/>
      <c r="I2001" s="17"/>
      <c r="J2001" s="83"/>
      <c r="K2001" s="343"/>
      <c r="L2001" s="347"/>
      <c r="M2001" s="10"/>
      <c r="N2001" s="10"/>
      <c r="O2001" s="22"/>
      <c r="P2001" s="14"/>
      <c r="Q2001" s="83"/>
      <c r="U2001" s="104" t="str">
        <f>IF(
  AND(
    TRIM(A2001)=TRIM(Enginuity!$A$1),
    TRIM(B2001)=TRIM(Enginuity!$A$17),
    Q2001&lt;&gt;"",
    Q2001&lt;&gt;0,
    OR(
      TRIM(C2001)=TRIM(Enginuity!$A$18),
      AND(UPPER(TRIM(M2001))="STD", TRIM(B2001)=TRIM(Enginuity!$A$17))
    ),
    OR(
      AND(LEFT(P2001,5)="1-Way", Enginuity!$B$13=1),
      AND(LEFT(P2001,5)="2-Way", OR(Enginuity!$B$13=2, Enginuity!$B$13=4)),
      AND(LEFT(P2001,5)="3-Way", OR(Enginuity!$B$13=3, Enginuity!$B$13=6)),
      AND(P2001="Inner Centre Jamb", OR(Enginuity!$B$13=4, Enginuity!$B$13=6)),
      AND(
        LEFT(P2001,5)&lt;&gt;"1-Way",
        LEFT(P2001,5)&lt;&gt;"2-Way",
        LEFT(P2001,5)&lt;&gt;"3-Way",
        P2001&lt;&gt;"Inner Centre Jamb"
      )
    ),
    IF(OR(Enginuity!$A$1="Frameless Glass",Enginuity!$A$1="Metal Work"),
      AND(TRIM(B2001)=TRIM(Enginuity!$A$17),TRIM(C2001)=TRIM(Enginuity!$A$18)),
      TRIM(B2001)=TRIM(Enginuity!$A$17)
    )
  ),
  ROW(),
  ""
)</f>
        <v/>
      </c>
    </row>
    <row r="2002" spans="1:21" x14ac:dyDescent="0.25">
      <c r="A2002" s="10"/>
      <c r="B2002" s="229"/>
      <c r="C2002" s="10"/>
      <c r="D2002" s="14"/>
      <c r="E2002" s="157"/>
      <c r="F2002" s="10"/>
      <c r="G2002" s="17"/>
      <c r="H2002" s="10"/>
      <c r="I2002" s="17"/>
      <c r="J2002" s="83"/>
      <c r="K2002" s="343"/>
      <c r="L2002" s="347"/>
      <c r="M2002" s="10"/>
      <c r="N2002" s="10"/>
      <c r="O2002" s="22"/>
      <c r="P2002" s="21"/>
      <c r="Q2002" s="83"/>
      <c r="U2002" s="104" t="str">
        <f>IF(
  AND(
    TRIM(A2002)=TRIM(Enginuity!$A$1),
    TRIM(B2002)=TRIM(Enginuity!$A$17),
    Q2002&lt;&gt;"",
    Q2002&lt;&gt;0,
    OR(
      TRIM(C2002)=TRIM(Enginuity!$A$18),
      AND(UPPER(TRIM(M2002))="STD", TRIM(B2002)=TRIM(Enginuity!$A$17))
    ),
    OR(
      AND(LEFT(P2002,5)="1-Way", Enginuity!$B$13=1),
      AND(LEFT(P2002,5)="2-Way", OR(Enginuity!$B$13=2, Enginuity!$B$13=4)),
      AND(LEFT(P2002,5)="3-Way", OR(Enginuity!$B$13=3, Enginuity!$B$13=6)),
      AND(P2002="Inner Centre Jamb", OR(Enginuity!$B$13=4, Enginuity!$B$13=6)),
      AND(
        LEFT(P2002,5)&lt;&gt;"1-Way",
        LEFT(P2002,5)&lt;&gt;"2-Way",
        LEFT(P2002,5)&lt;&gt;"3-Way",
        P2002&lt;&gt;"Inner Centre Jamb"
      )
    ),
    IF(OR(Enginuity!$A$1="Frameless Glass",Enginuity!$A$1="Metal Work"),
      AND(TRIM(B2002)=TRIM(Enginuity!$A$17),TRIM(C2002)=TRIM(Enginuity!$A$18)),
      TRIM(B2002)=TRIM(Enginuity!$A$17)
    )
  ),
  ROW(),
  ""
)</f>
        <v/>
      </c>
    </row>
    <row r="2003" spans="1:21" x14ac:dyDescent="0.25">
      <c r="A2003" s="10"/>
      <c r="B2003" s="229"/>
      <c r="C2003" s="10"/>
      <c r="D2003" s="14"/>
      <c r="E2003" s="157"/>
      <c r="F2003" s="10"/>
      <c r="G2003" s="17"/>
      <c r="H2003" s="10"/>
      <c r="I2003" s="17"/>
      <c r="J2003" s="83"/>
      <c r="K2003" s="343"/>
      <c r="L2003" s="347"/>
      <c r="M2003" s="89"/>
      <c r="N2003" s="10"/>
      <c r="O2003" s="22"/>
      <c r="P2003" s="14"/>
      <c r="Q2003" s="83"/>
      <c r="U2003" s="104" t="str">
        <f>IF(
  AND(
    TRIM(A2003)=TRIM(Enginuity!$A$1),
    TRIM(B2003)=TRIM(Enginuity!$A$17),
    Q2003&lt;&gt;"",
    Q2003&lt;&gt;0,
    OR(
      TRIM(C2003)=TRIM(Enginuity!$A$18),
      AND(UPPER(TRIM(M2003))="STD", TRIM(B2003)=TRIM(Enginuity!$A$17))
    ),
    OR(
      AND(LEFT(P2003,5)="1-Way", Enginuity!$B$13=1),
      AND(LEFT(P2003,5)="2-Way", OR(Enginuity!$B$13=2, Enginuity!$B$13=4)),
      AND(LEFT(P2003,5)="3-Way", OR(Enginuity!$B$13=3, Enginuity!$B$13=6)),
      AND(P2003="Inner Centre Jamb", OR(Enginuity!$B$13=4, Enginuity!$B$13=6)),
      AND(
        LEFT(P2003,5)&lt;&gt;"1-Way",
        LEFT(P2003,5)&lt;&gt;"2-Way",
        LEFT(P2003,5)&lt;&gt;"3-Way",
        P2003&lt;&gt;"Inner Centre Jamb"
      )
    ),
    IF(OR(Enginuity!$A$1="Frameless Glass",Enginuity!$A$1="Metal Work"),
      AND(TRIM(B2003)=TRIM(Enginuity!$A$17),TRIM(C2003)=TRIM(Enginuity!$A$18)),
      TRIM(B2003)=TRIM(Enginuity!$A$17)
    )
  ),
  ROW(),
  ""
)</f>
        <v/>
      </c>
    </row>
    <row r="2004" spans="1:21" x14ac:dyDescent="0.25">
      <c r="A2004" s="10"/>
      <c r="B2004" s="229"/>
      <c r="C2004" s="10"/>
      <c r="D2004" s="14"/>
      <c r="E2004" s="157"/>
      <c r="F2004" s="10"/>
      <c r="G2004" s="17"/>
      <c r="H2004" s="10"/>
      <c r="I2004" s="17"/>
      <c r="J2004" s="83"/>
      <c r="K2004" s="343"/>
      <c r="L2004" s="347"/>
      <c r="M2004" s="89"/>
      <c r="N2004" s="10"/>
      <c r="O2004" s="22"/>
      <c r="P2004" s="14"/>
      <c r="Q2004" s="83"/>
      <c r="U2004" s="104" t="str">
        <f>IF(
  AND(
    TRIM(A2004)=TRIM(Enginuity!$A$1),
    TRIM(B2004)=TRIM(Enginuity!$A$17),
    Q2004&lt;&gt;"",
    Q2004&lt;&gt;0,
    OR(
      TRIM(C2004)=TRIM(Enginuity!$A$18),
      AND(UPPER(TRIM(M2004))="STD", TRIM(B2004)=TRIM(Enginuity!$A$17))
    ),
    OR(
      AND(LEFT(P2004,5)="1-Way", Enginuity!$B$13=1),
      AND(LEFT(P2004,5)="2-Way", OR(Enginuity!$B$13=2, Enginuity!$B$13=4)),
      AND(LEFT(P2004,5)="3-Way", OR(Enginuity!$B$13=3, Enginuity!$B$13=6)),
      AND(P2004="Inner Centre Jamb", OR(Enginuity!$B$13=4, Enginuity!$B$13=6)),
      AND(
        LEFT(P2004,5)&lt;&gt;"1-Way",
        LEFT(P2004,5)&lt;&gt;"2-Way",
        LEFT(P2004,5)&lt;&gt;"3-Way",
        P2004&lt;&gt;"Inner Centre Jamb"
      )
    ),
    IF(OR(Enginuity!$A$1="Frameless Glass",Enginuity!$A$1="Metal Work"),
      AND(TRIM(B2004)=TRIM(Enginuity!$A$17),TRIM(C2004)=TRIM(Enginuity!$A$18)),
      TRIM(B2004)=TRIM(Enginuity!$A$17)
    )
  ),
  ROW(),
  ""
)</f>
        <v/>
      </c>
    </row>
    <row r="2005" spans="1:21" x14ac:dyDescent="0.25">
      <c r="A2005" s="10"/>
      <c r="B2005" s="229"/>
      <c r="C2005" s="10"/>
      <c r="D2005" s="14"/>
      <c r="E2005" s="157"/>
      <c r="F2005" s="10"/>
      <c r="G2005" s="17"/>
      <c r="H2005" s="10"/>
      <c r="I2005" s="17"/>
      <c r="J2005" s="83"/>
      <c r="K2005" s="343"/>
      <c r="L2005" s="347"/>
      <c r="M2005" s="89"/>
      <c r="N2005" s="10"/>
      <c r="O2005" s="22"/>
      <c r="P2005" s="14"/>
      <c r="Q2005" s="83"/>
      <c r="U2005" s="104" t="str">
        <f>IF(
  AND(
    TRIM(A2005)=TRIM(Enginuity!$A$1),
    TRIM(B2005)=TRIM(Enginuity!$A$17),
    Q2005&lt;&gt;"",
    Q2005&lt;&gt;0,
    OR(
      TRIM(C2005)=TRIM(Enginuity!$A$18),
      AND(UPPER(TRIM(M2005))="STD", TRIM(B2005)=TRIM(Enginuity!$A$17))
    ),
    OR(
      AND(LEFT(P2005,5)="1-Way", Enginuity!$B$13=1),
      AND(LEFT(P2005,5)="2-Way", OR(Enginuity!$B$13=2, Enginuity!$B$13=4)),
      AND(LEFT(P2005,5)="3-Way", OR(Enginuity!$B$13=3, Enginuity!$B$13=6)),
      AND(P2005="Inner Centre Jamb", OR(Enginuity!$B$13=4, Enginuity!$B$13=6)),
      AND(
        LEFT(P2005,5)&lt;&gt;"1-Way",
        LEFT(P2005,5)&lt;&gt;"2-Way",
        LEFT(P2005,5)&lt;&gt;"3-Way",
        P2005&lt;&gt;"Inner Centre Jamb"
      )
    ),
    IF(OR(Enginuity!$A$1="Frameless Glass",Enginuity!$A$1="Metal Work"),
      AND(TRIM(B2005)=TRIM(Enginuity!$A$17),TRIM(C2005)=TRIM(Enginuity!$A$18)),
      TRIM(B2005)=TRIM(Enginuity!$A$17)
    )
  ),
  ROW(),
  ""
)</f>
        <v/>
      </c>
    </row>
    <row r="2006" spans="1:21" x14ac:dyDescent="0.25">
      <c r="A2006" s="10"/>
      <c r="B2006" s="229"/>
      <c r="C2006" s="10"/>
      <c r="D2006" s="14"/>
      <c r="E2006" s="157"/>
      <c r="F2006" s="10"/>
      <c r="G2006" s="17"/>
      <c r="H2006" s="10"/>
      <c r="I2006" s="17"/>
      <c r="J2006" s="83"/>
      <c r="K2006" s="343"/>
      <c r="L2006" s="347"/>
      <c r="M2006" s="89"/>
      <c r="N2006" s="10"/>
      <c r="O2006" s="22"/>
      <c r="P2006" s="14"/>
      <c r="Q2006" s="83"/>
      <c r="U2006" s="104" t="str">
        <f>IF(
  AND(
    TRIM(A2006)=TRIM(Enginuity!$A$1),
    TRIM(B2006)=TRIM(Enginuity!$A$17),
    Q2006&lt;&gt;"",
    Q2006&lt;&gt;0,
    OR(
      TRIM(C2006)=TRIM(Enginuity!$A$18),
      AND(UPPER(TRIM(M2006))="STD", TRIM(B2006)=TRIM(Enginuity!$A$17))
    ),
    OR(
      AND(LEFT(P2006,5)="1-Way", Enginuity!$B$13=1),
      AND(LEFT(P2006,5)="2-Way", OR(Enginuity!$B$13=2, Enginuity!$B$13=4)),
      AND(LEFT(P2006,5)="3-Way", OR(Enginuity!$B$13=3, Enginuity!$B$13=6)),
      AND(P2006="Inner Centre Jamb", OR(Enginuity!$B$13=4, Enginuity!$B$13=6)),
      AND(
        LEFT(P2006,5)&lt;&gt;"1-Way",
        LEFT(P2006,5)&lt;&gt;"2-Way",
        LEFT(P2006,5)&lt;&gt;"3-Way",
        P2006&lt;&gt;"Inner Centre Jamb"
      )
    ),
    IF(OR(Enginuity!$A$1="Frameless Glass",Enginuity!$A$1="Metal Work"),
      AND(TRIM(B2006)=TRIM(Enginuity!$A$17),TRIM(C2006)=TRIM(Enginuity!$A$18)),
      TRIM(B2006)=TRIM(Enginuity!$A$17)
    )
  ),
  ROW(),
  ""
)</f>
        <v/>
      </c>
    </row>
    <row r="2007" spans="1:21" x14ac:dyDescent="0.25">
      <c r="A2007" s="10"/>
      <c r="B2007" s="229"/>
      <c r="C2007" s="10"/>
      <c r="D2007" s="14"/>
      <c r="E2007" s="157"/>
      <c r="F2007" s="10"/>
      <c r="G2007" s="17"/>
      <c r="H2007" s="10"/>
      <c r="I2007" s="17"/>
      <c r="J2007" s="83"/>
      <c r="K2007" s="343"/>
      <c r="L2007" s="347"/>
      <c r="M2007" s="89"/>
      <c r="N2007" s="14"/>
      <c r="O2007" s="22"/>
      <c r="P2007" s="14"/>
      <c r="Q2007" s="83"/>
      <c r="U2007" s="104" t="str">
        <f>IF(
  AND(
    TRIM(A2007)=TRIM(Enginuity!$A$1),
    TRIM(B2007)=TRIM(Enginuity!$A$17),
    Q2007&lt;&gt;"",
    Q2007&lt;&gt;0,
    OR(
      TRIM(C2007)=TRIM(Enginuity!$A$18),
      AND(UPPER(TRIM(M2007))="STD", TRIM(B2007)=TRIM(Enginuity!$A$17))
    ),
    OR(
      AND(LEFT(P2007,5)="1-Way", Enginuity!$B$13=1),
      AND(LEFT(P2007,5)="2-Way", OR(Enginuity!$B$13=2, Enginuity!$B$13=4)),
      AND(LEFT(P2007,5)="3-Way", OR(Enginuity!$B$13=3, Enginuity!$B$13=6)),
      AND(P2007="Inner Centre Jamb", OR(Enginuity!$B$13=4, Enginuity!$B$13=6)),
      AND(
        LEFT(P2007,5)&lt;&gt;"1-Way",
        LEFT(P2007,5)&lt;&gt;"2-Way",
        LEFT(P2007,5)&lt;&gt;"3-Way",
        P2007&lt;&gt;"Inner Centre Jamb"
      )
    ),
    IF(OR(Enginuity!$A$1="Frameless Glass",Enginuity!$A$1="Metal Work"),
      AND(TRIM(B2007)=TRIM(Enginuity!$A$17),TRIM(C2007)=TRIM(Enginuity!$A$18)),
      TRIM(B2007)=TRIM(Enginuity!$A$17)
    )
  ),
  ROW(),
  ""
)</f>
        <v/>
      </c>
    </row>
    <row r="2008" spans="1:21" x14ac:dyDescent="0.25">
      <c r="A2008" s="10"/>
      <c r="B2008" s="229"/>
      <c r="C2008" s="10"/>
      <c r="D2008" s="14"/>
      <c r="E2008" s="157"/>
      <c r="F2008" s="10"/>
      <c r="G2008" s="17"/>
      <c r="H2008" s="10"/>
      <c r="I2008" s="17"/>
      <c r="J2008" s="83"/>
      <c r="K2008" s="343"/>
      <c r="L2008" s="347"/>
      <c r="M2008" s="89"/>
      <c r="N2008" s="21"/>
      <c r="O2008" s="22"/>
      <c r="P2008" s="14"/>
      <c r="Q2008" s="83"/>
      <c r="U2008" s="104" t="str">
        <f>IF(
  AND(
    TRIM(A2008)=TRIM(Enginuity!$A$1),
    TRIM(B2008)=TRIM(Enginuity!$A$17),
    Q2008&lt;&gt;"",
    Q2008&lt;&gt;0,
    OR(
      TRIM(C2008)=TRIM(Enginuity!$A$18),
      AND(UPPER(TRIM(M2008))="STD", TRIM(B2008)=TRIM(Enginuity!$A$17))
    ),
    OR(
      AND(LEFT(P2008,5)="1-Way", Enginuity!$B$13=1),
      AND(LEFT(P2008,5)="2-Way", OR(Enginuity!$B$13=2, Enginuity!$B$13=4)),
      AND(LEFT(P2008,5)="3-Way", OR(Enginuity!$B$13=3, Enginuity!$B$13=6)),
      AND(P2008="Inner Centre Jamb", OR(Enginuity!$B$13=4, Enginuity!$B$13=6)),
      AND(
        LEFT(P2008,5)&lt;&gt;"1-Way",
        LEFT(P2008,5)&lt;&gt;"2-Way",
        LEFT(P2008,5)&lt;&gt;"3-Way",
        P2008&lt;&gt;"Inner Centre Jamb"
      )
    ),
    IF(OR(Enginuity!$A$1="Frameless Glass",Enginuity!$A$1="Metal Work"),
      AND(TRIM(B2008)=TRIM(Enginuity!$A$17),TRIM(C2008)=TRIM(Enginuity!$A$18)),
      TRIM(B2008)=TRIM(Enginuity!$A$17)
    )
  ),
  ROW(),
  ""
)</f>
        <v/>
      </c>
    </row>
    <row r="2009" spans="1:21" x14ac:dyDescent="0.25">
      <c r="A2009" s="10"/>
      <c r="B2009" s="229"/>
      <c r="C2009" s="10"/>
      <c r="D2009" s="14"/>
      <c r="E2009" s="157"/>
      <c r="F2009" s="10"/>
      <c r="G2009" s="17"/>
      <c r="H2009" s="10"/>
      <c r="I2009" s="17"/>
      <c r="J2009" s="83"/>
      <c r="K2009" s="343"/>
      <c r="L2009" s="347"/>
      <c r="M2009" s="89"/>
      <c r="N2009" s="14"/>
      <c r="O2009" s="22"/>
      <c r="P2009" s="14"/>
      <c r="Q2009" s="83"/>
      <c r="U2009" s="104" t="str">
        <f>IF(
  AND(
    TRIM(A2009)=TRIM(Enginuity!$A$1),
    TRIM(B2009)=TRIM(Enginuity!$A$17),
    Q2009&lt;&gt;"",
    Q2009&lt;&gt;0,
    OR(
      TRIM(C2009)=TRIM(Enginuity!$A$18),
      AND(UPPER(TRIM(M2009))="STD", TRIM(B2009)=TRIM(Enginuity!$A$17))
    ),
    OR(
      AND(LEFT(P2009,5)="1-Way", Enginuity!$B$13=1),
      AND(LEFT(P2009,5)="2-Way", OR(Enginuity!$B$13=2, Enginuity!$B$13=4)),
      AND(LEFT(P2009,5)="3-Way", OR(Enginuity!$B$13=3, Enginuity!$B$13=6)),
      AND(P2009="Inner Centre Jamb", OR(Enginuity!$B$13=4, Enginuity!$B$13=6)),
      AND(
        LEFT(P2009,5)&lt;&gt;"1-Way",
        LEFT(P2009,5)&lt;&gt;"2-Way",
        LEFT(P2009,5)&lt;&gt;"3-Way",
        P2009&lt;&gt;"Inner Centre Jamb"
      )
    ),
    IF(OR(Enginuity!$A$1="Frameless Glass",Enginuity!$A$1="Metal Work"),
      AND(TRIM(B2009)=TRIM(Enginuity!$A$17),TRIM(C2009)=TRIM(Enginuity!$A$18)),
      TRIM(B2009)=TRIM(Enginuity!$A$17)
    )
  ),
  ROW(),
  ""
)</f>
        <v/>
      </c>
    </row>
    <row r="2010" spans="1:21" x14ac:dyDescent="0.25">
      <c r="A2010" s="10"/>
      <c r="B2010" s="229"/>
      <c r="C2010" s="10"/>
      <c r="D2010" s="14"/>
      <c r="E2010" s="157"/>
      <c r="F2010" s="10"/>
      <c r="G2010" s="17"/>
      <c r="H2010" s="10"/>
      <c r="I2010" s="17"/>
      <c r="J2010" s="83"/>
      <c r="K2010" s="343"/>
      <c r="L2010" s="347"/>
      <c r="M2010" s="89"/>
      <c r="N2010" s="14"/>
      <c r="O2010" s="22"/>
      <c r="P2010" s="14"/>
      <c r="Q2010" s="83"/>
      <c r="U2010" s="104" t="str">
        <f>IF(
  AND(
    TRIM(A2010)=TRIM(Enginuity!$A$1),
    TRIM(B2010)=TRIM(Enginuity!$A$17),
    Q2010&lt;&gt;"",
    Q2010&lt;&gt;0,
    OR(
      TRIM(C2010)=TRIM(Enginuity!$A$18),
      AND(UPPER(TRIM(M2010))="STD", TRIM(B2010)=TRIM(Enginuity!$A$17))
    ),
    OR(
      AND(LEFT(P2010,5)="1-Way", Enginuity!$B$13=1),
      AND(LEFT(P2010,5)="2-Way", OR(Enginuity!$B$13=2, Enginuity!$B$13=4)),
      AND(LEFT(P2010,5)="3-Way", OR(Enginuity!$B$13=3, Enginuity!$B$13=6)),
      AND(P2010="Inner Centre Jamb", OR(Enginuity!$B$13=4, Enginuity!$B$13=6)),
      AND(
        LEFT(P2010,5)&lt;&gt;"1-Way",
        LEFT(P2010,5)&lt;&gt;"2-Way",
        LEFT(P2010,5)&lt;&gt;"3-Way",
        P2010&lt;&gt;"Inner Centre Jamb"
      )
    ),
    IF(OR(Enginuity!$A$1="Frameless Glass",Enginuity!$A$1="Metal Work"),
      AND(TRIM(B2010)=TRIM(Enginuity!$A$17),TRIM(C2010)=TRIM(Enginuity!$A$18)),
      TRIM(B2010)=TRIM(Enginuity!$A$17)
    )
  ),
  ROW(),
  ""
)</f>
        <v/>
      </c>
    </row>
    <row r="2011" spans="1:21" x14ac:dyDescent="0.25">
      <c r="A2011" s="10"/>
      <c r="B2011" s="229"/>
      <c r="C2011" s="10"/>
      <c r="D2011" s="14"/>
      <c r="E2011" s="157"/>
      <c r="F2011" s="10"/>
      <c r="G2011" s="17"/>
      <c r="H2011" s="10"/>
      <c r="I2011" s="17"/>
      <c r="J2011" s="83"/>
      <c r="K2011" s="343"/>
      <c r="L2011" s="347"/>
      <c r="M2011" s="89"/>
      <c r="N2011" s="14"/>
      <c r="O2011" s="22"/>
      <c r="P2011" s="14"/>
      <c r="Q2011" s="83"/>
      <c r="U2011" s="104" t="str">
        <f>IF(
  AND(
    TRIM(A2011)=TRIM(Enginuity!$A$1),
    TRIM(B2011)=TRIM(Enginuity!$A$17),
    Q2011&lt;&gt;"",
    Q2011&lt;&gt;0,
    OR(
      TRIM(C2011)=TRIM(Enginuity!$A$18),
      AND(UPPER(TRIM(M2011))="STD", TRIM(B2011)=TRIM(Enginuity!$A$17))
    ),
    OR(
      AND(LEFT(P2011,5)="1-Way", Enginuity!$B$13=1),
      AND(LEFT(P2011,5)="2-Way", OR(Enginuity!$B$13=2, Enginuity!$B$13=4)),
      AND(LEFT(P2011,5)="3-Way", OR(Enginuity!$B$13=3, Enginuity!$B$13=6)),
      AND(P2011="Inner Centre Jamb", OR(Enginuity!$B$13=4, Enginuity!$B$13=6)),
      AND(
        LEFT(P2011,5)&lt;&gt;"1-Way",
        LEFT(P2011,5)&lt;&gt;"2-Way",
        LEFT(P2011,5)&lt;&gt;"3-Way",
        P2011&lt;&gt;"Inner Centre Jamb"
      )
    ),
    IF(OR(Enginuity!$A$1="Frameless Glass",Enginuity!$A$1="Metal Work"),
      AND(TRIM(B2011)=TRIM(Enginuity!$A$17),TRIM(C2011)=TRIM(Enginuity!$A$18)),
      TRIM(B2011)=TRIM(Enginuity!$A$17)
    )
  ),
  ROW(),
  ""
)</f>
        <v/>
      </c>
    </row>
    <row r="2012" spans="1:21" x14ac:dyDescent="0.25">
      <c r="A2012" s="10"/>
      <c r="B2012" s="229"/>
      <c r="C2012" s="10"/>
      <c r="D2012" s="14"/>
      <c r="E2012" s="157"/>
      <c r="F2012" s="10"/>
      <c r="G2012" s="17"/>
      <c r="H2012" s="10"/>
      <c r="I2012" s="17"/>
      <c r="J2012" s="83"/>
      <c r="K2012" s="343"/>
      <c r="L2012" s="347"/>
      <c r="M2012" s="89"/>
      <c r="N2012" s="14"/>
      <c r="O2012" s="22"/>
      <c r="P2012" s="14"/>
      <c r="Q2012" s="83"/>
      <c r="U2012" s="104" t="str">
        <f>IF(
  AND(
    TRIM(A2012)=TRIM(Enginuity!$A$1),
    TRIM(B2012)=TRIM(Enginuity!$A$17),
    Q2012&lt;&gt;"",
    Q2012&lt;&gt;0,
    OR(
      TRIM(C2012)=TRIM(Enginuity!$A$18),
      AND(UPPER(TRIM(M2012))="STD", TRIM(B2012)=TRIM(Enginuity!$A$17))
    ),
    OR(
      AND(LEFT(P2012,5)="1-Way", Enginuity!$B$13=1),
      AND(LEFT(P2012,5)="2-Way", OR(Enginuity!$B$13=2, Enginuity!$B$13=4)),
      AND(LEFT(P2012,5)="3-Way", OR(Enginuity!$B$13=3, Enginuity!$B$13=6)),
      AND(P2012="Inner Centre Jamb", OR(Enginuity!$B$13=4, Enginuity!$B$13=6)),
      AND(
        LEFT(P2012,5)&lt;&gt;"1-Way",
        LEFT(P2012,5)&lt;&gt;"2-Way",
        LEFT(P2012,5)&lt;&gt;"3-Way",
        P2012&lt;&gt;"Inner Centre Jamb"
      )
    ),
    IF(OR(Enginuity!$A$1="Frameless Glass",Enginuity!$A$1="Metal Work"),
      AND(TRIM(B2012)=TRIM(Enginuity!$A$17),TRIM(C2012)=TRIM(Enginuity!$A$18)),
      TRIM(B2012)=TRIM(Enginuity!$A$17)
    )
  ),
  ROW(),
  ""
)</f>
        <v/>
      </c>
    </row>
    <row r="2013" spans="1:21" x14ac:dyDescent="0.25">
      <c r="A2013" s="10"/>
      <c r="B2013" s="229"/>
      <c r="C2013" s="10"/>
      <c r="D2013" s="14"/>
      <c r="E2013" s="157"/>
      <c r="F2013" s="10"/>
      <c r="G2013" s="17"/>
      <c r="H2013" s="10"/>
      <c r="I2013" s="17"/>
      <c r="J2013" s="83"/>
      <c r="K2013" s="343"/>
      <c r="L2013" s="347"/>
      <c r="M2013" s="89"/>
      <c r="N2013" s="14"/>
      <c r="O2013" s="22"/>
      <c r="P2013" s="14"/>
      <c r="Q2013" s="83"/>
      <c r="U2013" s="104" t="str">
        <f>IF(
  AND(
    TRIM(A2013)=TRIM(Enginuity!$A$1),
    TRIM(B2013)=TRIM(Enginuity!$A$17),
    Q2013&lt;&gt;"",
    Q2013&lt;&gt;0,
    OR(
      TRIM(C2013)=TRIM(Enginuity!$A$18),
      AND(UPPER(TRIM(M2013))="STD", TRIM(B2013)=TRIM(Enginuity!$A$17))
    ),
    OR(
      AND(LEFT(P2013,5)="1-Way", Enginuity!$B$13=1),
      AND(LEFT(P2013,5)="2-Way", OR(Enginuity!$B$13=2, Enginuity!$B$13=4)),
      AND(LEFT(P2013,5)="3-Way", OR(Enginuity!$B$13=3, Enginuity!$B$13=6)),
      AND(P2013="Inner Centre Jamb", OR(Enginuity!$B$13=4, Enginuity!$B$13=6)),
      AND(
        LEFT(P2013,5)&lt;&gt;"1-Way",
        LEFT(P2013,5)&lt;&gt;"2-Way",
        LEFT(P2013,5)&lt;&gt;"3-Way",
        P2013&lt;&gt;"Inner Centre Jamb"
      )
    ),
    IF(OR(Enginuity!$A$1="Frameless Glass",Enginuity!$A$1="Metal Work"),
      AND(TRIM(B2013)=TRIM(Enginuity!$A$17),TRIM(C2013)=TRIM(Enginuity!$A$18)),
      TRIM(B2013)=TRIM(Enginuity!$A$17)
    )
  ),
  ROW(),
  ""
)</f>
        <v/>
      </c>
    </row>
    <row r="2014" spans="1:21" x14ac:dyDescent="0.25">
      <c r="A2014" s="10"/>
      <c r="B2014" s="229"/>
      <c r="C2014" s="10"/>
      <c r="D2014" s="14"/>
      <c r="E2014" s="157"/>
      <c r="F2014" s="10"/>
      <c r="G2014" s="17"/>
      <c r="H2014" s="10"/>
      <c r="I2014" s="17"/>
      <c r="J2014" s="83"/>
      <c r="K2014" s="343"/>
      <c r="L2014" s="347"/>
      <c r="M2014" s="89"/>
      <c r="N2014" s="10"/>
      <c r="O2014" s="22"/>
      <c r="P2014" s="14"/>
      <c r="Q2014" s="83"/>
      <c r="U2014" s="104" t="str">
        <f>IF(
  AND(
    TRIM(A2014)=TRIM(Enginuity!$A$1),
    TRIM(B2014)=TRIM(Enginuity!$A$17),
    Q2014&lt;&gt;"",
    Q2014&lt;&gt;0,
    OR(
      TRIM(C2014)=TRIM(Enginuity!$A$18),
      AND(UPPER(TRIM(M2014))="STD", TRIM(B2014)=TRIM(Enginuity!$A$17))
    ),
    OR(
      AND(LEFT(P2014,5)="1-Way", Enginuity!$B$13=1),
      AND(LEFT(P2014,5)="2-Way", OR(Enginuity!$B$13=2, Enginuity!$B$13=4)),
      AND(LEFT(P2014,5)="3-Way", OR(Enginuity!$B$13=3, Enginuity!$B$13=6)),
      AND(P2014="Inner Centre Jamb", OR(Enginuity!$B$13=4, Enginuity!$B$13=6)),
      AND(
        LEFT(P2014,5)&lt;&gt;"1-Way",
        LEFT(P2014,5)&lt;&gt;"2-Way",
        LEFT(P2014,5)&lt;&gt;"3-Way",
        P2014&lt;&gt;"Inner Centre Jamb"
      )
    ),
    IF(OR(Enginuity!$A$1="Frameless Glass",Enginuity!$A$1="Metal Work"),
      AND(TRIM(B2014)=TRIM(Enginuity!$A$17),TRIM(C2014)=TRIM(Enginuity!$A$18)),
      TRIM(B2014)=TRIM(Enginuity!$A$17)
    )
  ),
  ROW(),
  ""
)</f>
        <v/>
      </c>
    </row>
    <row r="2015" spans="1:21" x14ac:dyDescent="0.25">
      <c r="A2015" s="10"/>
      <c r="B2015" s="229"/>
      <c r="C2015" s="10"/>
      <c r="D2015" s="14"/>
      <c r="E2015" s="157"/>
      <c r="F2015" s="10"/>
      <c r="G2015" s="17"/>
      <c r="H2015" s="10"/>
      <c r="I2015" s="17"/>
      <c r="J2015" s="83"/>
      <c r="K2015" s="343"/>
      <c r="L2015" s="347"/>
      <c r="M2015" s="89"/>
      <c r="N2015" s="10"/>
      <c r="O2015" s="22"/>
      <c r="P2015" s="21"/>
      <c r="Q2015" s="83"/>
      <c r="U2015" s="104" t="str">
        <f>IF(
  AND(
    TRIM(A2015)=TRIM(Enginuity!$A$1),
    TRIM(B2015)=TRIM(Enginuity!$A$17),
    Q2015&lt;&gt;"",
    Q2015&lt;&gt;0,
    OR(
      TRIM(C2015)=TRIM(Enginuity!$A$18),
      AND(UPPER(TRIM(M2015))="STD", TRIM(B2015)=TRIM(Enginuity!$A$17))
    ),
    OR(
      AND(LEFT(P2015,5)="1-Way", Enginuity!$B$13=1),
      AND(LEFT(P2015,5)="2-Way", OR(Enginuity!$B$13=2, Enginuity!$B$13=4)),
      AND(LEFT(P2015,5)="3-Way", OR(Enginuity!$B$13=3, Enginuity!$B$13=6)),
      AND(P2015="Inner Centre Jamb", OR(Enginuity!$B$13=4, Enginuity!$B$13=6)),
      AND(
        LEFT(P2015,5)&lt;&gt;"1-Way",
        LEFT(P2015,5)&lt;&gt;"2-Way",
        LEFT(P2015,5)&lt;&gt;"3-Way",
        P2015&lt;&gt;"Inner Centre Jamb"
      )
    ),
    IF(OR(Enginuity!$A$1="Frameless Glass",Enginuity!$A$1="Metal Work"),
      AND(TRIM(B2015)=TRIM(Enginuity!$A$17),TRIM(C2015)=TRIM(Enginuity!$A$18)),
      TRIM(B2015)=TRIM(Enginuity!$A$17)
    )
  ),
  ROW(),
  ""
)</f>
        <v/>
      </c>
    </row>
    <row r="2016" spans="1:21" x14ac:dyDescent="0.25">
      <c r="A2016" s="10"/>
      <c r="B2016" s="229"/>
      <c r="C2016" s="10"/>
      <c r="D2016" s="14"/>
      <c r="E2016" s="157"/>
      <c r="F2016" s="10"/>
      <c r="G2016" s="17"/>
      <c r="H2016" s="10"/>
      <c r="I2016" s="17"/>
      <c r="J2016" s="83"/>
      <c r="K2016" s="343"/>
      <c r="L2016" s="347"/>
      <c r="M2016" s="89"/>
      <c r="N2016" s="88"/>
      <c r="O2016" s="22"/>
      <c r="P2016" s="36"/>
      <c r="Q2016" s="83"/>
      <c r="U2016" s="104" t="str">
        <f>IF(
  AND(
    TRIM(A2016)=TRIM(Enginuity!$A$1),
    TRIM(B2016)=TRIM(Enginuity!$A$17),
    Q2016&lt;&gt;"",
    Q2016&lt;&gt;0,
    OR(
      TRIM(C2016)=TRIM(Enginuity!$A$18),
      AND(UPPER(TRIM(M2016))="STD", TRIM(B2016)=TRIM(Enginuity!$A$17))
    ),
    OR(
      AND(LEFT(P2016,5)="1-Way", Enginuity!$B$13=1),
      AND(LEFT(P2016,5)="2-Way", OR(Enginuity!$B$13=2, Enginuity!$B$13=4)),
      AND(LEFT(P2016,5)="3-Way", OR(Enginuity!$B$13=3, Enginuity!$B$13=6)),
      AND(P2016="Inner Centre Jamb", OR(Enginuity!$B$13=4, Enginuity!$B$13=6)),
      AND(
        LEFT(P2016,5)&lt;&gt;"1-Way",
        LEFT(P2016,5)&lt;&gt;"2-Way",
        LEFT(P2016,5)&lt;&gt;"3-Way",
        P2016&lt;&gt;"Inner Centre Jamb"
      )
    ),
    IF(OR(Enginuity!$A$1="Frameless Glass",Enginuity!$A$1="Metal Work"),
      AND(TRIM(B2016)=TRIM(Enginuity!$A$17),TRIM(C2016)=TRIM(Enginuity!$A$18)),
      TRIM(B2016)=TRIM(Enginuity!$A$17)
    )
  ),
  ROW(),
  ""
)</f>
        <v/>
      </c>
    </row>
    <row r="2017" spans="1:21" x14ac:dyDescent="0.25">
      <c r="A2017" s="10"/>
      <c r="B2017" s="229"/>
      <c r="C2017" s="10"/>
      <c r="D2017" s="14"/>
      <c r="E2017" s="157"/>
      <c r="F2017" s="10"/>
      <c r="G2017" s="17"/>
      <c r="H2017" s="10"/>
      <c r="I2017" s="17"/>
      <c r="J2017" s="83"/>
      <c r="K2017" s="343"/>
      <c r="L2017" s="347"/>
      <c r="M2017" s="10"/>
      <c r="N2017" s="10"/>
      <c r="O2017" s="22"/>
      <c r="P2017" s="21"/>
      <c r="Q2017" s="83"/>
      <c r="U2017" s="104" t="str">
        <f>IF(
  AND(
    TRIM(A2017)=TRIM(Enginuity!$A$1),
    TRIM(B2017)=TRIM(Enginuity!$A$17),
    Q2017&lt;&gt;"",
    Q2017&lt;&gt;0,
    OR(
      TRIM(C2017)=TRIM(Enginuity!$A$18),
      AND(UPPER(TRIM(M2017))="STD", TRIM(B2017)=TRIM(Enginuity!$A$17))
    ),
    OR(
      AND(LEFT(P2017,5)="1-Way", Enginuity!$B$13=1),
      AND(LEFT(P2017,5)="2-Way", OR(Enginuity!$B$13=2, Enginuity!$B$13=4)),
      AND(LEFT(P2017,5)="3-Way", OR(Enginuity!$B$13=3, Enginuity!$B$13=6)),
      AND(P2017="Inner Centre Jamb", OR(Enginuity!$B$13=4, Enginuity!$B$13=6)),
      AND(
        LEFT(P2017,5)&lt;&gt;"1-Way",
        LEFT(P2017,5)&lt;&gt;"2-Way",
        LEFT(P2017,5)&lt;&gt;"3-Way",
        P2017&lt;&gt;"Inner Centre Jamb"
      )
    ),
    IF(OR(Enginuity!$A$1="Frameless Glass",Enginuity!$A$1="Metal Work"),
      AND(TRIM(B2017)=TRIM(Enginuity!$A$17),TRIM(C2017)=TRIM(Enginuity!$A$18)),
      TRIM(B2017)=TRIM(Enginuity!$A$17)
    )
  ),
  ROW(),
  ""
)</f>
        <v/>
      </c>
    </row>
    <row r="2018" spans="1:21" x14ac:dyDescent="0.25">
      <c r="A2018" s="10"/>
      <c r="B2018" s="229"/>
      <c r="C2018" s="10"/>
      <c r="D2018" s="14"/>
      <c r="E2018" s="157"/>
      <c r="F2018" s="10"/>
      <c r="G2018" s="17"/>
      <c r="H2018" s="10"/>
      <c r="I2018" s="17"/>
      <c r="J2018" s="83"/>
      <c r="K2018" s="343"/>
      <c r="L2018" s="347"/>
      <c r="M2018" s="10"/>
      <c r="N2018" s="10"/>
      <c r="O2018" s="22"/>
      <c r="P2018" s="14"/>
      <c r="Q2018" s="83"/>
      <c r="U2018" s="104" t="str">
        <f>IF(
  AND(
    TRIM(A2018)=TRIM(Enginuity!$A$1),
    TRIM(B2018)=TRIM(Enginuity!$A$17),
    Q2018&lt;&gt;"",
    Q2018&lt;&gt;0,
    OR(
      TRIM(C2018)=TRIM(Enginuity!$A$18),
      AND(UPPER(TRIM(M2018))="STD", TRIM(B2018)=TRIM(Enginuity!$A$17))
    ),
    OR(
      AND(LEFT(P2018,5)="1-Way", Enginuity!$B$13=1),
      AND(LEFT(P2018,5)="2-Way", OR(Enginuity!$B$13=2, Enginuity!$B$13=4)),
      AND(LEFT(P2018,5)="3-Way", OR(Enginuity!$B$13=3, Enginuity!$B$13=6)),
      AND(P2018="Inner Centre Jamb", OR(Enginuity!$B$13=4, Enginuity!$B$13=6)),
      AND(
        LEFT(P2018,5)&lt;&gt;"1-Way",
        LEFT(P2018,5)&lt;&gt;"2-Way",
        LEFT(P2018,5)&lt;&gt;"3-Way",
        P2018&lt;&gt;"Inner Centre Jamb"
      )
    ),
    IF(OR(Enginuity!$A$1="Frameless Glass",Enginuity!$A$1="Metal Work"),
      AND(TRIM(B2018)=TRIM(Enginuity!$A$17),TRIM(C2018)=TRIM(Enginuity!$A$18)),
      TRIM(B2018)=TRIM(Enginuity!$A$17)
    )
  ),
  ROW(),
  ""
)</f>
        <v/>
      </c>
    </row>
    <row r="2019" spans="1:21" x14ac:dyDescent="0.25">
      <c r="A2019" s="10"/>
      <c r="B2019" s="229"/>
      <c r="C2019" s="10"/>
      <c r="D2019" s="14"/>
      <c r="E2019" s="157"/>
      <c r="F2019" s="10"/>
      <c r="G2019" s="17"/>
      <c r="H2019" s="10"/>
      <c r="I2019" s="17"/>
      <c r="J2019" s="83"/>
      <c r="K2019" s="343"/>
      <c r="L2019" s="347"/>
      <c r="M2019" s="10"/>
      <c r="N2019" s="10"/>
      <c r="O2019" s="22"/>
      <c r="P2019" s="14"/>
      <c r="Q2019" s="83"/>
      <c r="U2019" s="104" t="str">
        <f>IF(
  AND(
    TRIM(A2019)=TRIM(Enginuity!$A$1),
    TRIM(B2019)=TRIM(Enginuity!$A$17),
    Q2019&lt;&gt;"",
    Q2019&lt;&gt;0,
    OR(
      TRIM(C2019)=TRIM(Enginuity!$A$18),
      AND(UPPER(TRIM(M2019))="STD", TRIM(B2019)=TRIM(Enginuity!$A$17))
    ),
    OR(
      AND(LEFT(P2019,5)="1-Way", Enginuity!$B$13=1),
      AND(LEFT(P2019,5)="2-Way", OR(Enginuity!$B$13=2, Enginuity!$B$13=4)),
      AND(LEFT(P2019,5)="3-Way", OR(Enginuity!$B$13=3, Enginuity!$B$13=6)),
      AND(P2019="Inner Centre Jamb", OR(Enginuity!$B$13=4, Enginuity!$B$13=6)),
      AND(
        LEFT(P2019,5)&lt;&gt;"1-Way",
        LEFT(P2019,5)&lt;&gt;"2-Way",
        LEFT(P2019,5)&lt;&gt;"3-Way",
        P2019&lt;&gt;"Inner Centre Jamb"
      )
    ),
    IF(OR(Enginuity!$A$1="Frameless Glass",Enginuity!$A$1="Metal Work"),
      AND(TRIM(B2019)=TRIM(Enginuity!$A$17),TRIM(C2019)=TRIM(Enginuity!$A$18)),
      TRIM(B2019)=TRIM(Enginuity!$A$17)
    )
  ),
  ROW(),
  ""
)</f>
        <v/>
      </c>
    </row>
    <row r="2020" spans="1:21" x14ac:dyDescent="0.25">
      <c r="A2020" s="10"/>
      <c r="B2020" s="229"/>
      <c r="C2020" s="10"/>
      <c r="D2020" s="14"/>
      <c r="E2020" s="157"/>
      <c r="F2020" s="10"/>
      <c r="G2020" s="17"/>
      <c r="H2020" s="10"/>
      <c r="I2020" s="17"/>
      <c r="J2020" s="83"/>
      <c r="K2020" s="343"/>
      <c r="L2020" s="347"/>
      <c r="M2020" s="10"/>
      <c r="N2020" s="10"/>
      <c r="O2020" s="22"/>
      <c r="P2020" s="14"/>
      <c r="Q2020" s="83"/>
      <c r="U2020" s="104" t="str">
        <f>IF(
  AND(
    TRIM(A2020)=TRIM(Enginuity!$A$1),
    TRIM(B2020)=TRIM(Enginuity!$A$17),
    Q2020&lt;&gt;"",
    Q2020&lt;&gt;0,
    OR(
      TRIM(C2020)=TRIM(Enginuity!$A$18),
      AND(UPPER(TRIM(M2020))="STD", TRIM(B2020)=TRIM(Enginuity!$A$17))
    ),
    OR(
      AND(LEFT(P2020,5)="1-Way", Enginuity!$B$13=1),
      AND(LEFT(P2020,5)="2-Way", OR(Enginuity!$B$13=2, Enginuity!$B$13=4)),
      AND(LEFT(P2020,5)="3-Way", OR(Enginuity!$B$13=3, Enginuity!$B$13=6)),
      AND(P2020="Inner Centre Jamb", OR(Enginuity!$B$13=4, Enginuity!$B$13=6)),
      AND(
        LEFT(P2020,5)&lt;&gt;"1-Way",
        LEFT(P2020,5)&lt;&gt;"2-Way",
        LEFT(P2020,5)&lt;&gt;"3-Way",
        P2020&lt;&gt;"Inner Centre Jamb"
      )
    ),
    IF(OR(Enginuity!$A$1="Frameless Glass",Enginuity!$A$1="Metal Work"),
      AND(TRIM(B2020)=TRIM(Enginuity!$A$17),TRIM(C2020)=TRIM(Enginuity!$A$18)),
      TRIM(B2020)=TRIM(Enginuity!$A$17)
    )
  ),
  ROW(),
  ""
)</f>
        <v/>
      </c>
    </row>
    <row r="2021" spans="1:21" x14ac:dyDescent="0.25">
      <c r="A2021" s="10"/>
      <c r="B2021" s="229"/>
      <c r="C2021" s="10"/>
      <c r="D2021" s="14"/>
      <c r="E2021" s="157"/>
      <c r="F2021" s="10"/>
      <c r="G2021" s="17"/>
      <c r="H2021" s="10"/>
      <c r="I2021" s="17"/>
      <c r="J2021" s="83"/>
      <c r="K2021" s="343"/>
      <c r="L2021" s="347"/>
      <c r="M2021" s="10"/>
      <c r="N2021" s="10"/>
      <c r="O2021" s="22"/>
      <c r="P2021" s="14"/>
      <c r="Q2021" s="83"/>
      <c r="U2021" s="104" t="str">
        <f>IF(
  AND(
    TRIM(A2021)=TRIM(Enginuity!$A$1),
    TRIM(B2021)=TRIM(Enginuity!$A$17),
    Q2021&lt;&gt;"",
    Q2021&lt;&gt;0,
    OR(
      TRIM(C2021)=TRIM(Enginuity!$A$18),
      AND(UPPER(TRIM(M2021))="STD", TRIM(B2021)=TRIM(Enginuity!$A$17))
    ),
    OR(
      AND(LEFT(P2021,5)="1-Way", Enginuity!$B$13=1),
      AND(LEFT(P2021,5)="2-Way", OR(Enginuity!$B$13=2, Enginuity!$B$13=4)),
      AND(LEFT(P2021,5)="3-Way", OR(Enginuity!$B$13=3, Enginuity!$B$13=6)),
      AND(P2021="Inner Centre Jamb", OR(Enginuity!$B$13=4, Enginuity!$B$13=6)),
      AND(
        LEFT(P2021,5)&lt;&gt;"1-Way",
        LEFT(P2021,5)&lt;&gt;"2-Way",
        LEFT(P2021,5)&lt;&gt;"3-Way",
        P2021&lt;&gt;"Inner Centre Jamb"
      )
    ),
    IF(OR(Enginuity!$A$1="Frameless Glass",Enginuity!$A$1="Metal Work"),
      AND(TRIM(B2021)=TRIM(Enginuity!$A$17),TRIM(C2021)=TRIM(Enginuity!$A$18)),
      TRIM(B2021)=TRIM(Enginuity!$A$17)
    )
  ),
  ROW(),
  ""
)</f>
        <v/>
      </c>
    </row>
    <row r="2022" spans="1:21" x14ac:dyDescent="0.25">
      <c r="A2022" s="10"/>
      <c r="B2022" s="229"/>
      <c r="C2022" s="10"/>
      <c r="D2022" s="14"/>
      <c r="E2022" s="157"/>
      <c r="F2022" s="10"/>
      <c r="G2022" s="17"/>
      <c r="H2022" s="10"/>
      <c r="I2022" s="17"/>
      <c r="J2022" s="83"/>
      <c r="K2022" s="343"/>
      <c r="L2022" s="347"/>
      <c r="M2022" s="10"/>
      <c r="N2022" s="10"/>
      <c r="O2022" s="22"/>
      <c r="P2022" s="14"/>
      <c r="Q2022" s="83"/>
      <c r="U2022" s="104" t="str">
        <f>IF(
  AND(
    TRIM(A2022)=TRIM(Enginuity!$A$1),
    TRIM(B2022)=TRIM(Enginuity!$A$17),
    Q2022&lt;&gt;"",
    Q2022&lt;&gt;0,
    OR(
      TRIM(C2022)=TRIM(Enginuity!$A$18),
      AND(UPPER(TRIM(M2022))="STD", TRIM(B2022)=TRIM(Enginuity!$A$17))
    ),
    OR(
      AND(LEFT(P2022,5)="1-Way", Enginuity!$B$13=1),
      AND(LEFT(P2022,5)="2-Way", OR(Enginuity!$B$13=2, Enginuity!$B$13=4)),
      AND(LEFT(P2022,5)="3-Way", OR(Enginuity!$B$13=3, Enginuity!$B$13=6)),
      AND(P2022="Inner Centre Jamb", OR(Enginuity!$B$13=4, Enginuity!$B$13=6)),
      AND(
        LEFT(P2022,5)&lt;&gt;"1-Way",
        LEFT(P2022,5)&lt;&gt;"2-Way",
        LEFT(P2022,5)&lt;&gt;"3-Way",
        P2022&lt;&gt;"Inner Centre Jamb"
      )
    ),
    IF(OR(Enginuity!$A$1="Frameless Glass",Enginuity!$A$1="Metal Work"),
      AND(TRIM(B2022)=TRIM(Enginuity!$A$17),TRIM(C2022)=TRIM(Enginuity!$A$18)),
      TRIM(B2022)=TRIM(Enginuity!$A$17)
    )
  ),
  ROW(),
  ""
)</f>
        <v/>
      </c>
    </row>
    <row r="2023" spans="1:21" x14ac:dyDescent="0.25">
      <c r="A2023" s="10"/>
      <c r="B2023" s="229"/>
      <c r="C2023" s="10"/>
      <c r="D2023" s="14"/>
      <c r="E2023" s="157"/>
      <c r="F2023" s="10"/>
      <c r="G2023" s="17"/>
      <c r="H2023" s="10"/>
      <c r="I2023" s="17"/>
      <c r="J2023" s="83"/>
      <c r="K2023" s="343"/>
      <c r="L2023" s="347"/>
      <c r="M2023" s="10"/>
      <c r="N2023" s="88"/>
      <c r="O2023" s="22"/>
      <c r="P2023" s="14"/>
      <c r="Q2023" s="83"/>
      <c r="U2023" s="104" t="str">
        <f>IF(
  AND(
    TRIM(A2023)=TRIM(Enginuity!$A$1),
    TRIM(B2023)=TRIM(Enginuity!$A$17),
    Q2023&lt;&gt;"",
    Q2023&lt;&gt;0,
    OR(
      TRIM(C2023)=TRIM(Enginuity!$A$18),
      AND(UPPER(TRIM(M2023))="STD", TRIM(B2023)=TRIM(Enginuity!$A$17))
    ),
    OR(
      AND(LEFT(P2023,5)="1-Way", Enginuity!$B$13=1),
      AND(LEFT(P2023,5)="2-Way", OR(Enginuity!$B$13=2, Enginuity!$B$13=4)),
      AND(LEFT(P2023,5)="3-Way", OR(Enginuity!$B$13=3, Enginuity!$B$13=6)),
      AND(P2023="Inner Centre Jamb", OR(Enginuity!$B$13=4, Enginuity!$B$13=6)),
      AND(
        LEFT(P2023,5)&lt;&gt;"1-Way",
        LEFT(P2023,5)&lt;&gt;"2-Way",
        LEFT(P2023,5)&lt;&gt;"3-Way",
        P2023&lt;&gt;"Inner Centre Jamb"
      )
    ),
    IF(OR(Enginuity!$A$1="Frameless Glass",Enginuity!$A$1="Metal Work"),
      AND(TRIM(B2023)=TRIM(Enginuity!$A$17),TRIM(C2023)=TRIM(Enginuity!$A$18)),
      TRIM(B2023)=TRIM(Enginuity!$A$17)
    )
  ),
  ROW(),
  ""
)</f>
        <v/>
      </c>
    </row>
    <row r="2024" spans="1:21" x14ac:dyDescent="0.25">
      <c r="A2024" s="10"/>
      <c r="B2024" s="229"/>
      <c r="C2024" s="10"/>
      <c r="D2024" s="14"/>
      <c r="E2024" s="157"/>
      <c r="F2024" s="10"/>
      <c r="G2024" s="17"/>
      <c r="H2024" s="10"/>
      <c r="I2024" s="17"/>
      <c r="J2024" s="83"/>
      <c r="K2024" s="343"/>
      <c r="L2024" s="347"/>
      <c r="M2024" s="10"/>
      <c r="N2024" s="10"/>
      <c r="O2024" s="22"/>
      <c r="P2024" s="14"/>
      <c r="Q2024" s="83"/>
      <c r="U2024" s="104" t="str">
        <f>IF(
  AND(
    TRIM(A2024)=TRIM(Enginuity!$A$1),
    TRIM(B2024)=TRIM(Enginuity!$A$17),
    Q2024&lt;&gt;"",
    Q2024&lt;&gt;0,
    OR(
      TRIM(C2024)=TRIM(Enginuity!$A$18),
      AND(UPPER(TRIM(M2024))="STD", TRIM(B2024)=TRIM(Enginuity!$A$17))
    ),
    OR(
      AND(LEFT(P2024,5)="1-Way", Enginuity!$B$13=1),
      AND(LEFT(P2024,5)="2-Way", OR(Enginuity!$B$13=2, Enginuity!$B$13=4)),
      AND(LEFT(P2024,5)="3-Way", OR(Enginuity!$B$13=3, Enginuity!$B$13=6)),
      AND(P2024="Inner Centre Jamb", OR(Enginuity!$B$13=4, Enginuity!$B$13=6)),
      AND(
        LEFT(P2024,5)&lt;&gt;"1-Way",
        LEFT(P2024,5)&lt;&gt;"2-Way",
        LEFT(P2024,5)&lt;&gt;"3-Way",
        P2024&lt;&gt;"Inner Centre Jamb"
      )
    ),
    IF(OR(Enginuity!$A$1="Frameless Glass",Enginuity!$A$1="Metal Work"),
      AND(TRIM(B2024)=TRIM(Enginuity!$A$17),TRIM(C2024)=TRIM(Enginuity!$A$18)),
      TRIM(B2024)=TRIM(Enginuity!$A$17)
    )
  ),
  ROW(),
  ""
)</f>
        <v/>
      </c>
    </row>
    <row r="2025" spans="1:21" x14ac:dyDescent="0.25">
      <c r="A2025" s="10"/>
      <c r="B2025" s="229"/>
      <c r="C2025" s="10"/>
      <c r="D2025" s="14"/>
      <c r="E2025" s="157"/>
      <c r="F2025" s="10"/>
      <c r="G2025" s="17"/>
      <c r="H2025" s="10"/>
      <c r="I2025" s="17"/>
      <c r="J2025" s="83"/>
      <c r="K2025" s="343"/>
      <c r="L2025" s="347"/>
      <c r="M2025" s="10"/>
      <c r="N2025" s="10"/>
      <c r="O2025" s="22"/>
      <c r="P2025" s="14"/>
      <c r="Q2025" s="83"/>
      <c r="U2025" s="104" t="str">
        <f>IF(
  AND(
    TRIM(A2025)=TRIM(Enginuity!$A$1),
    TRIM(B2025)=TRIM(Enginuity!$A$17),
    Q2025&lt;&gt;"",
    Q2025&lt;&gt;0,
    OR(
      TRIM(C2025)=TRIM(Enginuity!$A$18),
      AND(UPPER(TRIM(M2025))="STD", TRIM(B2025)=TRIM(Enginuity!$A$17))
    ),
    OR(
      AND(LEFT(P2025,5)="1-Way", Enginuity!$B$13=1),
      AND(LEFT(P2025,5)="2-Way", OR(Enginuity!$B$13=2, Enginuity!$B$13=4)),
      AND(LEFT(P2025,5)="3-Way", OR(Enginuity!$B$13=3, Enginuity!$B$13=6)),
      AND(P2025="Inner Centre Jamb", OR(Enginuity!$B$13=4, Enginuity!$B$13=6)),
      AND(
        LEFT(P2025,5)&lt;&gt;"1-Way",
        LEFT(P2025,5)&lt;&gt;"2-Way",
        LEFT(P2025,5)&lt;&gt;"3-Way",
        P2025&lt;&gt;"Inner Centre Jamb"
      )
    ),
    IF(OR(Enginuity!$A$1="Frameless Glass",Enginuity!$A$1="Metal Work"),
      AND(TRIM(B2025)=TRIM(Enginuity!$A$17),TRIM(C2025)=TRIM(Enginuity!$A$18)),
      TRIM(B2025)=TRIM(Enginuity!$A$17)
    )
  ),
  ROW(),
  ""
)</f>
        <v/>
      </c>
    </row>
    <row r="2026" spans="1:21" x14ac:dyDescent="0.25">
      <c r="A2026" s="10"/>
      <c r="B2026" s="229"/>
      <c r="C2026" s="10"/>
      <c r="D2026" s="14"/>
      <c r="E2026" s="157"/>
      <c r="F2026" s="10"/>
      <c r="G2026" s="17"/>
      <c r="H2026" s="10"/>
      <c r="I2026" s="17"/>
      <c r="J2026" s="83"/>
      <c r="K2026" s="343"/>
      <c r="L2026" s="347"/>
      <c r="M2026" s="10"/>
      <c r="N2026" s="10"/>
      <c r="O2026" s="22"/>
      <c r="P2026" s="14"/>
      <c r="Q2026" s="83"/>
      <c r="U2026" s="104" t="str">
        <f>IF(
  AND(
    TRIM(A2026)=TRIM(Enginuity!$A$1),
    TRIM(B2026)=TRIM(Enginuity!$A$17),
    Q2026&lt;&gt;"",
    Q2026&lt;&gt;0,
    OR(
      TRIM(C2026)=TRIM(Enginuity!$A$18),
      AND(UPPER(TRIM(M2026))="STD", TRIM(B2026)=TRIM(Enginuity!$A$17))
    ),
    OR(
      AND(LEFT(P2026,5)="1-Way", Enginuity!$B$13=1),
      AND(LEFT(P2026,5)="2-Way", OR(Enginuity!$B$13=2, Enginuity!$B$13=4)),
      AND(LEFT(P2026,5)="3-Way", OR(Enginuity!$B$13=3, Enginuity!$B$13=6)),
      AND(P2026="Inner Centre Jamb", OR(Enginuity!$B$13=4, Enginuity!$B$13=6)),
      AND(
        LEFT(P2026,5)&lt;&gt;"1-Way",
        LEFT(P2026,5)&lt;&gt;"2-Way",
        LEFT(P2026,5)&lt;&gt;"3-Way",
        P2026&lt;&gt;"Inner Centre Jamb"
      )
    ),
    IF(OR(Enginuity!$A$1="Frameless Glass",Enginuity!$A$1="Metal Work"),
      AND(TRIM(B2026)=TRIM(Enginuity!$A$17),TRIM(C2026)=TRIM(Enginuity!$A$18)),
      TRIM(B2026)=TRIM(Enginuity!$A$17)
    )
  ),
  ROW(),
  ""
)</f>
        <v/>
      </c>
    </row>
    <row r="2027" spans="1:21" x14ac:dyDescent="0.25">
      <c r="A2027" s="10"/>
      <c r="B2027" s="229"/>
      <c r="C2027" s="10"/>
      <c r="D2027" s="14"/>
      <c r="E2027" s="157"/>
      <c r="F2027" s="10"/>
      <c r="G2027" s="17"/>
      <c r="H2027" s="10"/>
      <c r="I2027" s="17"/>
      <c r="J2027" s="83"/>
      <c r="K2027" s="343"/>
      <c r="L2027" s="347"/>
      <c r="M2027" s="10"/>
      <c r="N2027" s="10"/>
      <c r="O2027" s="22"/>
      <c r="P2027" s="14"/>
      <c r="Q2027" s="83"/>
      <c r="U2027" s="104" t="str">
        <f>IF(
  AND(
    TRIM(A2027)=TRIM(Enginuity!$A$1),
    TRIM(B2027)=TRIM(Enginuity!$A$17),
    Q2027&lt;&gt;"",
    Q2027&lt;&gt;0,
    OR(
      TRIM(C2027)=TRIM(Enginuity!$A$18),
      AND(UPPER(TRIM(M2027))="STD", TRIM(B2027)=TRIM(Enginuity!$A$17))
    ),
    OR(
      AND(LEFT(P2027,5)="1-Way", Enginuity!$B$13=1),
      AND(LEFT(P2027,5)="2-Way", OR(Enginuity!$B$13=2, Enginuity!$B$13=4)),
      AND(LEFT(P2027,5)="3-Way", OR(Enginuity!$B$13=3, Enginuity!$B$13=6)),
      AND(P2027="Inner Centre Jamb", OR(Enginuity!$B$13=4, Enginuity!$B$13=6)),
      AND(
        LEFT(P2027,5)&lt;&gt;"1-Way",
        LEFT(P2027,5)&lt;&gt;"2-Way",
        LEFT(P2027,5)&lt;&gt;"3-Way",
        P2027&lt;&gt;"Inner Centre Jamb"
      )
    ),
    IF(OR(Enginuity!$A$1="Frameless Glass",Enginuity!$A$1="Metal Work"),
      AND(TRIM(B2027)=TRIM(Enginuity!$A$17),TRIM(C2027)=TRIM(Enginuity!$A$18)),
      TRIM(B2027)=TRIM(Enginuity!$A$17)
    )
  ),
  ROW(),
  ""
)</f>
        <v/>
      </c>
    </row>
    <row r="2028" spans="1:21" x14ac:dyDescent="0.25">
      <c r="A2028" s="10"/>
      <c r="B2028" s="229"/>
      <c r="C2028" s="10"/>
      <c r="D2028" s="14"/>
      <c r="E2028" s="157"/>
      <c r="F2028" s="10"/>
      <c r="G2028" s="17"/>
      <c r="H2028" s="10"/>
      <c r="I2028" s="17"/>
      <c r="J2028" s="83"/>
      <c r="K2028" s="343"/>
      <c r="L2028" s="347"/>
      <c r="M2028" s="10"/>
      <c r="N2028" s="10"/>
      <c r="O2028" s="22"/>
      <c r="P2028" s="14"/>
      <c r="Q2028" s="83"/>
      <c r="U2028" s="104" t="str">
        <f>IF(
  AND(
    TRIM(A2028)=TRIM(Enginuity!$A$1),
    TRIM(B2028)=TRIM(Enginuity!$A$17),
    Q2028&lt;&gt;"",
    Q2028&lt;&gt;0,
    OR(
      TRIM(C2028)=TRIM(Enginuity!$A$18),
      AND(UPPER(TRIM(M2028))="STD", TRIM(B2028)=TRIM(Enginuity!$A$17))
    ),
    OR(
      AND(LEFT(P2028,5)="1-Way", Enginuity!$B$13=1),
      AND(LEFT(P2028,5)="2-Way", OR(Enginuity!$B$13=2, Enginuity!$B$13=4)),
      AND(LEFT(P2028,5)="3-Way", OR(Enginuity!$B$13=3, Enginuity!$B$13=6)),
      AND(P2028="Inner Centre Jamb", OR(Enginuity!$B$13=4, Enginuity!$B$13=6)),
      AND(
        LEFT(P2028,5)&lt;&gt;"1-Way",
        LEFT(P2028,5)&lt;&gt;"2-Way",
        LEFT(P2028,5)&lt;&gt;"3-Way",
        P2028&lt;&gt;"Inner Centre Jamb"
      )
    ),
    IF(OR(Enginuity!$A$1="Frameless Glass",Enginuity!$A$1="Metal Work"),
      AND(TRIM(B2028)=TRIM(Enginuity!$A$17),TRIM(C2028)=TRIM(Enginuity!$A$18)),
      TRIM(B2028)=TRIM(Enginuity!$A$17)
    )
  ),
  ROW(),
  ""
)</f>
        <v/>
      </c>
    </row>
    <row r="2029" spans="1:21" x14ac:dyDescent="0.25">
      <c r="A2029" s="10"/>
      <c r="B2029" s="229"/>
      <c r="C2029" s="10"/>
      <c r="D2029" s="14"/>
      <c r="E2029" s="157"/>
      <c r="F2029" s="10"/>
      <c r="G2029" s="17"/>
      <c r="H2029" s="10"/>
      <c r="I2029" s="17"/>
      <c r="J2029" s="83"/>
      <c r="K2029" s="343"/>
      <c r="L2029" s="347"/>
      <c r="M2029" s="10"/>
      <c r="N2029" s="10"/>
      <c r="O2029" s="22"/>
      <c r="P2029" s="21"/>
      <c r="Q2029" s="83"/>
      <c r="U2029" s="104" t="str">
        <f>IF(
  AND(
    TRIM(A2029)=TRIM(Enginuity!$A$1),
    TRIM(B2029)=TRIM(Enginuity!$A$17),
    Q2029&lt;&gt;"",
    Q2029&lt;&gt;0,
    OR(
      TRIM(C2029)=TRIM(Enginuity!$A$18),
      AND(UPPER(TRIM(M2029))="STD", TRIM(B2029)=TRIM(Enginuity!$A$17))
    ),
    OR(
      AND(LEFT(P2029,5)="1-Way", Enginuity!$B$13=1),
      AND(LEFT(P2029,5)="2-Way", OR(Enginuity!$B$13=2, Enginuity!$B$13=4)),
      AND(LEFT(P2029,5)="3-Way", OR(Enginuity!$B$13=3, Enginuity!$B$13=6)),
      AND(P2029="Inner Centre Jamb", OR(Enginuity!$B$13=4, Enginuity!$B$13=6)),
      AND(
        LEFT(P2029,5)&lt;&gt;"1-Way",
        LEFT(P2029,5)&lt;&gt;"2-Way",
        LEFT(P2029,5)&lt;&gt;"3-Way",
        P2029&lt;&gt;"Inner Centre Jamb"
      )
    ),
    IF(OR(Enginuity!$A$1="Frameless Glass",Enginuity!$A$1="Metal Work"),
      AND(TRIM(B2029)=TRIM(Enginuity!$A$17),TRIM(C2029)=TRIM(Enginuity!$A$18)),
      TRIM(B2029)=TRIM(Enginuity!$A$17)
    )
  ),
  ROW(),
  ""
)</f>
        <v/>
      </c>
    </row>
    <row r="2030" spans="1:21" x14ac:dyDescent="0.25">
      <c r="A2030" s="10"/>
      <c r="B2030" s="229"/>
      <c r="C2030" s="10"/>
      <c r="D2030" s="14"/>
      <c r="E2030" s="157"/>
      <c r="F2030" s="10"/>
      <c r="G2030" s="17"/>
      <c r="H2030" s="10"/>
      <c r="I2030" s="17"/>
      <c r="J2030" s="83"/>
      <c r="K2030" s="343"/>
      <c r="L2030" s="347"/>
      <c r="M2030" s="10"/>
      <c r="N2030" s="10"/>
      <c r="O2030" s="22"/>
      <c r="P2030" s="21"/>
      <c r="Q2030" s="83"/>
      <c r="U2030" s="104" t="str">
        <f>IF(
  AND(
    TRIM(A2030)=TRIM(Enginuity!$A$1),
    TRIM(B2030)=TRIM(Enginuity!$A$17),
    Q2030&lt;&gt;"",
    Q2030&lt;&gt;0,
    OR(
      TRIM(C2030)=TRIM(Enginuity!$A$18),
      AND(UPPER(TRIM(M2030))="STD", TRIM(B2030)=TRIM(Enginuity!$A$17))
    ),
    OR(
      AND(LEFT(P2030,5)="1-Way", Enginuity!$B$13=1),
      AND(LEFT(P2030,5)="2-Way", OR(Enginuity!$B$13=2, Enginuity!$B$13=4)),
      AND(LEFT(P2030,5)="3-Way", OR(Enginuity!$B$13=3, Enginuity!$B$13=6)),
      AND(P2030="Inner Centre Jamb", OR(Enginuity!$B$13=4, Enginuity!$B$13=6)),
      AND(
        LEFT(P2030,5)&lt;&gt;"1-Way",
        LEFT(P2030,5)&lt;&gt;"2-Way",
        LEFT(P2030,5)&lt;&gt;"3-Way",
        P2030&lt;&gt;"Inner Centre Jamb"
      )
    ),
    IF(OR(Enginuity!$A$1="Frameless Glass",Enginuity!$A$1="Metal Work"),
      AND(TRIM(B2030)=TRIM(Enginuity!$A$17),TRIM(C2030)=TRIM(Enginuity!$A$18)),
      TRIM(B2030)=TRIM(Enginuity!$A$17)
    )
  ),
  ROW(),
  ""
)</f>
        <v/>
      </c>
    </row>
    <row r="2031" spans="1:21" x14ac:dyDescent="0.25">
      <c r="A2031" s="10"/>
      <c r="B2031" s="229"/>
      <c r="C2031" s="10"/>
      <c r="D2031" s="14"/>
      <c r="E2031" s="157"/>
      <c r="F2031" s="10"/>
      <c r="G2031" s="17"/>
      <c r="H2031" s="10"/>
      <c r="I2031" s="17"/>
      <c r="J2031" s="83"/>
      <c r="K2031" s="343"/>
      <c r="L2031" s="347"/>
      <c r="M2031" s="10"/>
      <c r="N2031" s="10"/>
      <c r="O2031" s="22"/>
      <c r="P2031" s="14"/>
      <c r="Q2031" s="83"/>
      <c r="U2031" s="104" t="str">
        <f>IF(
  AND(
    TRIM(A2031)=TRIM(Enginuity!$A$1),
    TRIM(B2031)=TRIM(Enginuity!$A$17),
    Q2031&lt;&gt;"",
    Q2031&lt;&gt;0,
    OR(
      TRIM(C2031)=TRIM(Enginuity!$A$18),
      AND(UPPER(TRIM(M2031))="STD", TRIM(B2031)=TRIM(Enginuity!$A$17))
    ),
    OR(
      AND(LEFT(P2031,5)="1-Way", Enginuity!$B$13=1),
      AND(LEFT(P2031,5)="2-Way", OR(Enginuity!$B$13=2, Enginuity!$B$13=4)),
      AND(LEFT(P2031,5)="3-Way", OR(Enginuity!$B$13=3, Enginuity!$B$13=6)),
      AND(P2031="Inner Centre Jamb", OR(Enginuity!$B$13=4, Enginuity!$B$13=6)),
      AND(
        LEFT(P2031,5)&lt;&gt;"1-Way",
        LEFT(P2031,5)&lt;&gt;"2-Way",
        LEFT(P2031,5)&lt;&gt;"3-Way",
        P2031&lt;&gt;"Inner Centre Jamb"
      )
    ),
    IF(OR(Enginuity!$A$1="Frameless Glass",Enginuity!$A$1="Metal Work"),
      AND(TRIM(B2031)=TRIM(Enginuity!$A$17),TRIM(C2031)=TRIM(Enginuity!$A$18)),
      TRIM(B2031)=TRIM(Enginuity!$A$17)
    )
  ),
  ROW(),
  ""
)</f>
        <v/>
      </c>
    </row>
    <row r="2032" spans="1:21" x14ac:dyDescent="0.25">
      <c r="A2032" s="10"/>
      <c r="B2032" s="229"/>
      <c r="C2032" s="10"/>
      <c r="D2032" s="14"/>
      <c r="E2032" s="157"/>
      <c r="F2032" s="10"/>
      <c r="G2032" s="17"/>
      <c r="H2032" s="10"/>
      <c r="I2032" s="17"/>
      <c r="J2032" s="83"/>
      <c r="K2032" s="343"/>
      <c r="L2032" s="347"/>
      <c r="M2032" s="10"/>
      <c r="N2032" s="10"/>
      <c r="O2032" s="22"/>
      <c r="P2032" s="21"/>
      <c r="Q2032" s="83"/>
      <c r="U2032" s="104" t="str">
        <f>IF(
  AND(
    TRIM(A2032)=TRIM(Enginuity!$A$1),
    TRIM(B2032)=TRIM(Enginuity!$A$17),
    Q2032&lt;&gt;"",
    Q2032&lt;&gt;0,
    OR(
      TRIM(C2032)=TRIM(Enginuity!$A$18),
      AND(UPPER(TRIM(M2032))="STD", TRIM(B2032)=TRIM(Enginuity!$A$17))
    ),
    OR(
      AND(LEFT(P2032,5)="1-Way", Enginuity!$B$13=1),
      AND(LEFT(P2032,5)="2-Way", OR(Enginuity!$B$13=2, Enginuity!$B$13=4)),
      AND(LEFT(P2032,5)="3-Way", OR(Enginuity!$B$13=3, Enginuity!$B$13=6)),
      AND(P2032="Inner Centre Jamb", OR(Enginuity!$B$13=4, Enginuity!$B$13=6)),
      AND(
        LEFT(P2032,5)&lt;&gt;"1-Way",
        LEFT(P2032,5)&lt;&gt;"2-Way",
        LEFT(P2032,5)&lt;&gt;"3-Way",
        P2032&lt;&gt;"Inner Centre Jamb"
      )
    ),
    IF(OR(Enginuity!$A$1="Frameless Glass",Enginuity!$A$1="Metal Work"),
      AND(TRIM(B2032)=TRIM(Enginuity!$A$17),TRIM(C2032)=TRIM(Enginuity!$A$18)),
      TRIM(B2032)=TRIM(Enginuity!$A$17)
    )
  ),
  ROW(),
  ""
)</f>
        <v/>
      </c>
    </row>
    <row r="2033" spans="1:21" x14ac:dyDescent="0.25">
      <c r="A2033" s="10"/>
      <c r="B2033" s="229"/>
      <c r="C2033" s="10"/>
      <c r="D2033" s="14"/>
      <c r="E2033" s="157"/>
      <c r="F2033" s="10"/>
      <c r="G2033" s="17"/>
      <c r="H2033" s="10"/>
      <c r="I2033" s="17"/>
      <c r="J2033" s="83"/>
      <c r="K2033" s="343"/>
      <c r="L2033" s="347"/>
      <c r="M2033" s="89"/>
      <c r="N2033" s="10"/>
      <c r="O2033" s="22"/>
      <c r="P2033" s="14"/>
      <c r="Q2033" s="83"/>
      <c r="U2033" s="104" t="str">
        <f>IF(
  AND(
    TRIM(A2033)=TRIM(Enginuity!$A$1),
    TRIM(B2033)=TRIM(Enginuity!$A$17),
    Q2033&lt;&gt;"",
    Q2033&lt;&gt;0,
    OR(
      TRIM(C2033)=TRIM(Enginuity!$A$18),
      AND(UPPER(TRIM(M2033))="STD", TRIM(B2033)=TRIM(Enginuity!$A$17))
    ),
    OR(
      AND(LEFT(P2033,5)="1-Way", Enginuity!$B$13=1),
      AND(LEFT(P2033,5)="2-Way", OR(Enginuity!$B$13=2, Enginuity!$B$13=4)),
      AND(LEFT(P2033,5)="3-Way", OR(Enginuity!$B$13=3, Enginuity!$B$13=6)),
      AND(P2033="Inner Centre Jamb", OR(Enginuity!$B$13=4, Enginuity!$B$13=6)),
      AND(
        LEFT(P2033,5)&lt;&gt;"1-Way",
        LEFT(P2033,5)&lt;&gt;"2-Way",
        LEFT(P2033,5)&lt;&gt;"3-Way",
        P2033&lt;&gt;"Inner Centre Jamb"
      )
    ),
    IF(OR(Enginuity!$A$1="Frameless Glass",Enginuity!$A$1="Metal Work"),
      AND(TRIM(B2033)=TRIM(Enginuity!$A$17),TRIM(C2033)=TRIM(Enginuity!$A$18)),
      TRIM(B2033)=TRIM(Enginuity!$A$17)
    )
  ),
  ROW(),
  ""
)</f>
        <v/>
      </c>
    </row>
    <row r="2034" spans="1:21" x14ac:dyDescent="0.25">
      <c r="A2034" s="10"/>
      <c r="B2034" s="229"/>
      <c r="C2034" s="10"/>
      <c r="D2034" s="14"/>
      <c r="E2034" s="157"/>
      <c r="F2034" s="10"/>
      <c r="G2034" s="17"/>
      <c r="H2034" s="10"/>
      <c r="I2034" s="17"/>
      <c r="J2034" s="83"/>
      <c r="K2034" s="343"/>
      <c r="L2034" s="347"/>
      <c r="M2034" s="89"/>
      <c r="N2034" s="10"/>
      <c r="O2034" s="22"/>
      <c r="P2034" s="14"/>
      <c r="Q2034" s="83"/>
      <c r="U2034" s="104" t="str">
        <f>IF(
  AND(
    TRIM(A2034)=TRIM(Enginuity!$A$1),
    TRIM(B2034)=TRIM(Enginuity!$A$17),
    Q2034&lt;&gt;"",
    Q2034&lt;&gt;0,
    OR(
      TRIM(C2034)=TRIM(Enginuity!$A$18),
      AND(UPPER(TRIM(M2034))="STD", TRIM(B2034)=TRIM(Enginuity!$A$17))
    ),
    OR(
      AND(LEFT(P2034,5)="1-Way", Enginuity!$B$13=1),
      AND(LEFT(P2034,5)="2-Way", OR(Enginuity!$B$13=2, Enginuity!$B$13=4)),
      AND(LEFT(P2034,5)="3-Way", OR(Enginuity!$B$13=3, Enginuity!$B$13=6)),
      AND(P2034="Inner Centre Jamb", OR(Enginuity!$B$13=4, Enginuity!$B$13=6)),
      AND(
        LEFT(P2034,5)&lt;&gt;"1-Way",
        LEFT(P2034,5)&lt;&gt;"2-Way",
        LEFT(P2034,5)&lt;&gt;"3-Way",
        P2034&lt;&gt;"Inner Centre Jamb"
      )
    ),
    IF(OR(Enginuity!$A$1="Frameless Glass",Enginuity!$A$1="Metal Work"),
      AND(TRIM(B2034)=TRIM(Enginuity!$A$17),TRIM(C2034)=TRIM(Enginuity!$A$18)),
      TRIM(B2034)=TRIM(Enginuity!$A$17)
    )
  ),
  ROW(),
  ""
)</f>
        <v/>
      </c>
    </row>
    <row r="2035" spans="1:21" x14ac:dyDescent="0.25">
      <c r="A2035" s="10"/>
      <c r="B2035" s="229"/>
      <c r="C2035" s="10"/>
      <c r="D2035" s="14"/>
      <c r="E2035" s="157"/>
      <c r="F2035" s="10"/>
      <c r="G2035" s="17"/>
      <c r="H2035" s="10"/>
      <c r="I2035" s="17"/>
      <c r="J2035" s="83"/>
      <c r="K2035" s="343"/>
      <c r="L2035" s="347"/>
      <c r="M2035" s="89"/>
      <c r="N2035" s="10"/>
      <c r="O2035" s="22"/>
      <c r="P2035" s="14"/>
      <c r="Q2035" s="83"/>
      <c r="U2035" s="104" t="str">
        <f>IF(
  AND(
    TRIM(A2035)=TRIM(Enginuity!$A$1),
    TRIM(B2035)=TRIM(Enginuity!$A$17),
    Q2035&lt;&gt;"",
    Q2035&lt;&gt;0,
    OR(
      TRIM(C2035)=TRIM(Enginuity!$A$18),
      AND(UPPER(TRIM(M2035))="STD", TRIM(B2035)=TRIM(Enginuity!$A$17))
    ),
    OR(
      AND(LEFT(P2035,5)="1-Way", Enginuity!$B$13=1),
      AND(LEFT(P2035,5)="2-Way", OR(Enginuity!$B$13=2, Enginuity!$B$13=4)),
      AND(LEFT(P2035,5)="3-Way", OR(Enginuity!$B$13=3, Enginuity!$B$13=6)),
      AND(P2035="Inner Centre Jamb", OR(Enginuity!$B$13=4, Enginuity!$B$13=6)),
      AND(
        LEFT(P2035,5)&lt;&gt;"1-Way",
        LEFT(P2035,5)&lt;&gt;"2-Way",
        LEFT(P2035,5)&lt;&gt;"3-Way",
        P2035&lt;&gt;"Inner Centre Jamb"
      )
    ),
    IF(OR(Enginuity!$A$1="Frameless Glass",Enginuity!$A$1="Metal Work"),
      AND(TRIM(B2035)=TRIM(Enginuity!$A$17),TRIM(C2035)=TRIM(Enginuity!$A$18)),
      TRIM(B2035)=TRIM(Enginuity!$A$17)
    )
  ),
  ROW(),
  ""
)</f>
        <v/>
      </c>
    </row>
    <row r="2036" spans="1:21" x14ac:dyDescent="0.25">
      <c r="A2036" s="17"/>
      <c r="B2036" s="230"/>
      <c r="C2036" s="17"/>
      <c r="D2036" s="18"/>
      <c r="E2036" s="238"/>
      <c r="F2036" s="17"/>
      <c r="G2036" s="17"/>
      <c r="H2036" s="17"/>
      <c r="I2036" s="17"/>
      <c r="J2036" s="84"/>
      <c r="K2036" s="343"/>
      <c r="L2036" s="347"/>
      <c r="M2036" s="90"/>
      <c r="N2036" s="17"/>
      <c r="O2036" s="25"/>
      <c r="P2036" s="92"/>
      <c r="Q2036" s="179"/>
      <c r="U2036" s="104" t="str">
        <f>IF(
  AND(
    TRIM(A2036)=TRIM(Enginuity!$A$1),
    TRIM(B2036)=TRIM(Enginuity!$A$17),
    Q2036&lt;&gt;"",
    Q2036&lt;&gt;0,
    OR(
      TRIM(C2036)=TRIM(Enginuity!$A$18),
      AND(UPPER(TRIM(M2036))="STD", TRIM(B2036)=TRIM(Enginuity!$A$17))
    ),
    OR(
      AND(LEFT(P2036,5)="1-Way", Enginuity!$B$13=1),
      AND(LEFT(P2036,5)="2-Way", OR(Enginuity!$B$13=2, Enginuity!$B$13=4)),
      AND(LEFT(P2036,5)="3-Way", OR(Enginuity!$B$13=3, Enginuity!$B$13=6)),
      AND(P2036="Inner Centre Jamb", OR(Enginuity!$B$13=4, Enginuity!$B$13=6)),
      AND(
        LEFT(P2036,5)&lt;&gt;"1-Way",
        LEFT(P2036,5)&lt;&gt;"2-Way",
        LEFT(P2036,5)&lt;&gt;"3-Way",
        P2036&lt;&gt;"Inner Centre Jamb"
      )
    ),
    IF(OR(Enginuity!$A$1="Frameless Glass",Enginuity!$A$1="Metal Work"),
      AND(TRIM(B2036)=TRIM(Enginuity!$A$17),TRIM(C2036)=TRIM(Enginuity!$A$18)),
      TRIM(B2036)=TRIM(Enginuity!$A$17)
    )
  ),
  ROW(),
  ""
)</f>
        <v/>
      </c>
    </row>
    <row r="2037" spans="1:21" x14ac:dyDescent="0.25">
      <c r="A2037" s="10" t="s">
        <v>256</v>
      </c>
      <c r="B2037" s="229" t="s">
        <v>321</v>
      </c>
      <c r="C2037" s="10" t="s">
        <v>320</v>
      </c>
      <c r="D2037" s="14" t="str" cm="1">
        <f t="array" ref="D2037:D2043">IFERROR(INDEX(_xlfn._xlws.FILTER(AllMaterialsbak!$BA$2:$BA$30, AllMaterialsbak!$BA$2:$BA$30&lt;&gt;""), _xlfn.SEQUENCE(7)), "")</f>
        <v>Default</v>
      </c>
      <c r="E2037" s="157" t="s">
        <v>1460</v>
      </c>
      <c r="F2037" s="11"/>
      <c r="G2037" s="17"/>
      <c r="H2037" s="10"/>
      <c r="I2037" s="17"/>
      <c r="J2037" s="83"/>
      <c r="K2037" s="344">
        <v>0.53859800000000002</v>
      </c>
      <c r="L2037" s="347">
        <v>1200</v>
      </c>
      <c r="M2037" s="89">
        <v>1</v>
      </c>
      <c r="N2037" s="10" t="s">
        <v>112</v>
      </c>
      <c r="O2037" s="22">
        <v>100</v>
      </c>
      <c r="P2037" s="14" t="s">
        <v>244</v>
      </c>
      <c r="Q2037" s="83">
        <f>IF(Enginuity!$B$6="","",CEILING(Enginuity!$B$6*0.3048/6.1,1))</f>
        <v>1</v>
      </c>
      <c r="U2037" s="104" t="str">
        <f>IF(
  AND(
    TRIM(A2037)=TRIM(Enginuity!$A$1),
    TRIM(B2037)=TRIM(Enginuity!$A$17),
    Q2037&lt;&gt;"",
    Q2037&lt;&gt;0,
    OR(
      TRIM(C2037)=TRIM(Enginuity!$A$18),
      AND(UPPER(TRIM(M2037))="STD", TRIM(B2037)=TRIM(Enginuity!$A$17))
    ),
    OR(
      AND(LEFT(P2037,5)="1-Way", Enginuity!$B$13=1),
      AND(LEFT(P2037,5)="2-Way", OR(Enginuity!$B$13=2, Enginuity!$B$13=4)),
      AND(LEFT(P2037,5)="3-Way", OR(Enginuity!$B$13=3, Enginuity!$B$13=6)),
      AND(P2037="Inner Centre Jamb", OR(Enginuity!$B$13=4, Enginuity!$B$13=6)),
      AND(
        LEFT(P2037,5)&lt;&gt;"1-Way",
        LEFT(P2037,5)&lt;&gt;"2-Way",
        LEFT(P2037,5)&lt;&gt;"3-Way",
        P2037&lt;&gt;"Inner Centre Jamb"
      )
    ),
    IF(OR(Enginuity!$A$1="Frameless Glass",Enginuity!$A$1="Metal Work"),
      AND(TRIM(B2037)=TRIM(Enginuity!$A$17),TRIM(C2037)=TRIM(Enginuity!$A$18)),
      TRIM(B2037)=TRIM(Enginuity!$A$17)
    )
  ),
  ROW(),
  ""
)</f>
        <v/>
      </c>
    </row>
    <row r="2038" spans="1:21" x14ac:dyDescent="0.25">
      <c r="A2038" s="10" t="s">
        <v>256</v>
      </c>
      <c r="B2038" s="229" t="s">
        <v>321</v>
      </c>
      <c r="C2038" s="10" t="s">
        <v>320</v>
      </c>
      <c r="D2038" s="14" t="str">
        <v xml:space="preserve">2" Louver Blade N/A </v>
      </c>
      <c r="E2038" s="157"/>
      <c r="F2038" s="11"/>
      <c r="G2038" s="17"/>
      <c r="H2038" s="10"/>
      <c r="I2038" s="17"/>
      <c r="J2038" s="83"/>
      <c r="K2038" s="344"/>
      <c r="L2038" s="347"/>
      <c r="M2038" s="89">
        <f>1+M2037</f>
        <v>2</v>
      </c>
      <c r="N2038" s="10" t="s">
        <v>112</v>
      </c>
      <c r="O2038" s="22">
        <v>0.1</v>
      </c>
      <c r="P2038" s="14" t="s">
        <v>221</v>
      </c>
      <c r="Q2038" s="83">
        <f>IF(OR(Enginuity!$B$6="",Enginuity!$B$15=""),
   "",
   _xlfn.LET(
      _xlpm.lenFt, Enginuity!$B$6,
      _xlpm.panelW, Enginuity!$B$15,
      _xlpm.loc, MAX(2, ROUNDUP(_xlpm.lenFt*304.8/_xlpm.panelW,0)+1),
      _xlpm.bracketQty, _xlpm.loc*2,
      _xlpm.bracketQty*2
   )
)</f>
        <v>32</v>
      </c>
      <c r="U2038" s="104" t="str">
        <f>IF(
  AND(
    TRIM(A2038)=TRIM(Enginuity!$A$1),
    TRIM(B2038)=TRIM(Enginuity!$A$17),
    Q2038&lt;&gt;"",
    Q2038&lt;&gt;0,
    OR(
      TRIM(C2038)=TRIM(Enginuity!$A$18),
      AND(UPPER(TRIM(M2038))="STD", TRIM(B2038)=TRIM(Enginuity!$A$17))
    ),
    OR(
      AND(LEFT(P2038,5)="1-Way", Enginuity!$B$13=1),
      AND(LEFT(P2038,5)="2-Way", OR(Enginuity!$B$13=2, Enginuity!$B$13=4)),
      AND(LEFT(P2038,5)="3-Way", OR(Enginuity!$B$13=3, Enginuity!$B$13=6)),
      AND(P2038="Inner Centre Jamb", OR(Enginuity!$B$13=4, Enginuity!$B$13=6)),
      AND(
        LEFT(P2038,5)&lt;&gt;"1-Way",
        LEFT(P2038,5)&lt;&gt;"2-Way",
        LEFT(P2038,5)&lt;&gt;"3-Way",
        P2038&lt;&gt;"Inner Centre Jamb"
      )
    ),
    IF(OR(Enginuity!$A$1="Frameless Glass",Enginuity!$A$1="Metal Work"),
      AND(TRIM(B2038)=TRIM(Enginuity!$A$17),TRIM(C2038)=TRIM(Enginuity!$A$18)),
      TRIM(B2038)=TRIM(Enginuity!$A$17)
    )
  ),
  ROW(),
  ""
)</f>
        <v/>
      </c>
    </row>
    <row r="2039" spans="1:21" x14ac:dyDescent="0.25">
      <c r="A2039" s="10" t="s">
        <v>256</v>
      </c>
      <c r="B2039" s="229" t="s">
        <v>321</v>
      </c>
      <c r="C2039" s="10" t="s">
        <v>320</v>
      </c>
      <c r="D2039" s="14" t="str">
        <v>2" Louver Blade P/C</v>
      </c>
      <c r="E2039" s="157"/>
      <c r="F2039" s="11"/>
      <c r="G2039" s="17"/>
      <c r="H2039" s="10"/>
      <c r="I2039" s="17"/>
      <c r="J2039" s="83"/>
      <c r="K2039" s="344"/>
      <c r="L2039" s="347"/>
      <c r="M2039" s="89">
        <f t="shared" ref="M2039:M2102" si="37">1+M2038</f>
        <v>3</v>
      </c>
      <c r="N2039" s="10" t="s">
        <v>315</v>
      </c>
      <c r="O2039" s="22">
        <v>8.5</v>
      </c>
      <c r="P2039" s="14" t="s">
        <v>318</v>
      </c>
      <c r="Q2039" s="83">
        <f>IF(OR(Enginuity!$B$6="",Enginuity!$B$15=""),
   "",
   CEILING(
      (
         Enginuity!$B$6*304.8 +
         (MAX(0,ROUNDUP(Enginuity!$B$6*304.8/Enginuity!$B$15,0)-1))*1000
      )*24/24716,
   1)
)</f>
        <v>12</v>
      </c>
      <c r="U2039" s="104" t="str">
        <f>IF(
  AND(
    TRIM(A2039)=TRIM(Enginuity!$A$1),
    TRIM(B2039)=TRIM(Enginuity!$A$17),
    Q2039&lt;&gt;"",
    Q2039&lt;&gt;0,
    OR(
      TRIM(C2039)=TRIM(Enginuity!$A$18),
      AND(UPPER(TRIM(M2039))="STD", TRIM(B2039)=TRIM(Enginuity!$A$17))
    ),
    OR(
      AND(LEFT(P2039,5)="1-Way", Enginuity!$B$13=1),
      AND(LEFT(P2039,5)="2-Way", OR(Enginuity!$B$13=2, Enginuity!$B$13=4)),
      AND(LEFT(P2039,5)="3-Way", OR(Enginuity!$B$13=3, Enginuity!$B$13=6)),
      AND(P2039="Inner Centre Jamb", OR(Enginuity!$B$13=4, Enginuity!$B$13=6)),
      AND(
        LEFT(P2039,5)&lt;&gt;"1-Way",
        LEFT(P2039,5)&lt;&gt;"2-Way",
        LEFT(P2039,5)&lt;&gt;"3-Way",
        P2039&lt;&gt;"Inner Centre Jamb"
      )
    ),
    IF(OR(Enginuity!$A$1="Frameless Glass",Enginuity!$A$1="Metal Work"),
      AND(TRIM(B2039)=TRIM(Enginuity!$A$17),TRIM(C2039)=TRIM(Enginuity!$A$18)),
      TRIM(B2039)=TRIM(Enginuity!$A$17)
    )
  ),
  ROW(),
  ""
)</f>
        <v/>
      </c>
    </row>
    <row r="2040" spans="1:21" x14ac:dyDescent="0.25">
      <c r="A2040" s="10" t="s">
        <v>256</v>
      </c>
      <c r="B2040" s="229" t="s">
        <v>321</v>
      </c>
      <c r="C2040" s="10" t="s">
        <v>320</v>
      </c>
      <c r="D2040" s="14" t="str">
        <v xml:space="preserve">5" Louver Blade N/A </v>
      </c>
      <c r="E2040" s="157"/>
      <c r="F2040" s="10"/>
      <c r="G2040" s="17"/>
      <c r="H2040" s="10"/>
      <c r="I2040" s="17"/>
      <c r="J2040" s="83"/>
      <c r="K2040" s="344"/>
      <c r="L2040" s="347"/>
      <c r="M2040" s="89">
        <f t="shared" si="37"/>
        <v>4</v>
      </c>
      <c r="N2040" s="10" t="s">
        <v>121</v>
      </c>
      <c r="O2040" s="22" t="str">
        <f>$O$2</f>
        <v/>
      </c>
      <c r="P2040" s="21" t="str">
        <f>Enginuity!$A$19</f>
        <v>W/G</v>
      </c>
      <c r="Q2040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2040" s="104" t="str">
        <f>IF(
  AND(
    TRIM(A2040)=TRIM(Enginuity!$A$1),
    TRIM(B2040)=TRIM(Enginuity!$A$17),
    Q2040&lt;&gt;"",
    Q2040&lt;&gt;0,
    OR(
      TRIM(C2040)=TRIM(Enginuity!$A$18),
      AND(UPPER(TRIM(M2040))="STD", TRIM(B2040)=TRIM(Enginuity!$A$17))
    ),
    OR(
      AND(LEFT(P2040,5)="1-Way", Enginuity!$B$13=1),
      AND(LEFT(P2040,5)="2-Way", OR(Enginuity!$B$13=2, Enginuity!$B$13=4)),
      AND(LEFT(P2040,5)="3-Way", OR(Enginuity!$B$13=3, Enginuity!$B$13=6)),
      AND(P2040="Inner Centre Jamb", OR(Enginuity!$B$13=4, Enginuity!$B$13=6)),
      AND(
        LEFT(P2040,5)&lt;&gt;"1-Way",
        LEFT(P2040,5)&lt;&gt;"2-Way",
        LEFT(P2040,5)&lt;&gt;"3-Way",
        P2040&lt;&gt;"Inner Centre Jamb"
      )
    ),
    IF(OR(Enginuity!$A$1="Frameless Glass",Enginuity!$A$1="Metal Work"),
      AND(TRIM(B2040)=TRIM(Enginuity!$A$17),TRIM(C2040)=TRIM(Enginuity!$A$18)),
      TRIM(B2040)=TRIM(Enginuity!$A$17)
    )
  ),
  ROW(),
  ""
)</f>
        <v/>
      </c>
    </row>
    <row r="2041" spans="1:21" x14ac:dyDescent="0.25">
      <c r="A2041" s="10" t="s">
        <v>256</v>
      </c>
      <c r="B2041" s="229" t="s">
        <v>321</v>
      </c>
      <c r="C2041" s="10" t="s">
        <v>320</v>
      </c>
      <c r="D2041" s="14" t="str">
        <v>5" Louver Blade P/C</v>
      </c>
      <c r="E2041" s="157"/>
      <c r="F2041" s="10"/>
      <c r="G2041" s="17"/>
      <c r="H2041" s="10"/>
      <c r="I2041" s="17"/>
      <c r="J2041" s="83"/>
      <c r="K2041" s="344"/>
      <c r="L2041" s="347"/>
      <c r="M2041" s="89">
        <f t="shared" si="37"/>
        <v>5</v>
      </c>
      <c r="N2041" s="10" t="s">
        <v>112</v>
      </c>
      <c r="O2041" s="22">
        <v>42</v>
      </c>
      <c r="P2041" s="14" t="s">
        <v>1464</v>
      </c>
      <c r="Q2041" s="83">
        <f>IF(OR(Enginuity!$B$6="",Enginuity!$B$15=""),
   "",
   _xlfn.LET(
      _xlpm.lenFt, Enginuity!$B$6,
      _xlpm.panelW, Enginuity!$B$15,
      _xlpm.loc, MAX(2, ROUNDUP(_xlpm.lenFt*304.8/_xlpm.panelW,0)+1),
      _xlpm.bracketQty, _xlpm.loc*2,
      CEILING(_xlpm.bracketQty*50/6100,1)
   )
)</f>
        <v>1</v>
      </c>
      <c r="U2041" s="104" t="str">
        <f>IF(
  AND(
    TRIM(A2041)=TRIM(Enginuity!$A$1),
    TRIM(B2041)=TRIM(Enginuity!$A$17),
    Q2041&lt;&gt;"",
    Q2041&lt;&gt;0,
    OR(
      TRIM(C2041)=TRIM(Enginuity!$A$18),
      AND(UPPER(TRIM(M2041))="STD", TRIM(B2041)=TRIM(Enginuity!$A$17))
    ),
    OR(
      AND(LEFT(P2041,5)="1-Way", Enginuity!$B$13=1),
      AND(LEFT(P2041,5)="2-Way", OR(Enginuity!$B$13=2, Enginuity!$B$13=4)),
      AND(LEFT(P2041,5)="3-Way", OR(Enginuity!$B$13=3, Enginuity!$B$13=6)),
      AND(P2041="Inner Centre Jamb", OR(Enginuity!$B$13=4, Enginuity!$B$13=6)),
      AND(
        LEFT(P2041,5)&lt;&gt;"1-Way",
        LEFT(P2041,5)&lt;&gt;"2-Way",
        LEFT(P2041,5)&lt;&gt;"3-Way",
        P2041&lt;&gt;"Inner Centre Jamb"
      )
    ),
    IF(OR(Enginuity!$A$1="Frameless Glass",Enginuity!$A$1="Metal Work"),
      AND(TRIM(B2041)=TRIM(Enginuity!$A$17),TRIM(C2041)=TRIM(Enginuity!$A$18)),
      TRIM(B2041)=TRIM(Enginuity!$A$17)
    )
  ),
  ROW(),
  ""
)</f>
        <v/>
      </c>
    </row>
    <row r="2042" spans="1:21" x14ac:dyDescent="0.25">
      <c r="A2042" s="10" t="s">
        <v>256</v>
      </c>
      <c r="B2042" s="229" t="s">
        <v>321</v>
      </c>
      <c r="C2042" s="10" t="s">
        <v>320</v>
      </c>
      <c r="D2042" s="14" t="str">
        <v/>
      </c>
      <c r="E2042" s="157"/>
      <c r="F2042" s="10"/>
      <c r="G2042" s="17"/>
      <c r="H2042" s="10"/>
      <c r="I2042" s="17"/>
      <c r="J2042" s="83"/>
      <c r="K2042" s="344"/>
      <c r="L2042" s="347"/>
      <c r="M2042" s="89">
        <f t="shared" si="37"/>
        <v>6</v>
      </c>
      <c r="N2042" s="10" t="s">
        <v>228</v>
      </c>
      <c r="O2042" s="22">
        <v>1</v>
      </c>
      <c r="P2042" s="14" t="s">
        <v>226</v>
      </c>
      <c r="Q2042" s="83">
        <f>CEILING((9.7*2.7*2*(Enginuity!$B$6+Enginuity!$B$7)*30.48)/38000,1)*15 + 10 + 30</f>
        <v>70</v>
      </c>
      <c r="U2042" s="104" t="str">
        <f>IF(
  AND(
    TRIM(A2042)=TRIM(Enginuity!$A$1),
    TRIM(B2042)=TRIM(Enginuity!$A$17),
    Q2042&lt;&gt;"",
    Q2042&lt;&gt;0,
    OR(
      TRIM(C2042)=TRIM(Enginuity!$A$18),
      AND(UPPER(TRIM(M2042))="STD", TRIM(B2042)=TRIM(Enginuity!$A$17))
    ),
    OR(
      AND(LEFT(P2042,5)="1-Way", Enginuity!$B$13=1),
      AND(LEFT(P2042,5)="2-Way", OR(Enginuity!$B$13=2, Enginuity!$B$13=4)),
      AND(LEFT(P2042,5)="3-Way", OR(Enginuity!$B$13=3, Enginuity!$B$13=6)),
      AND(P2042="Inner Centre Jamb", OR(Enginuity!$B$13=4, Enginuity!$B$13=6)),
      AND(
        LEFT(P2042,5)&lt;&gt;"1-Way",
        LEFT(P2042,5)&lt;&gt;"2-Way",
        LEFT(P2042,5)&lt;&gt;"3-Way",
        P2042&lt;&gt;"Inner Centre Jamb"
      )
    ),
    IF(OR(Enginuity!$A$1="Frameless Glass",Enginuity!$A$1="Metal Work"),
      AND(TRIM(B2042)=TRIM(Enginuity!$A$17),TRIM(C2042)=TRIM(Enginuity!$A$18)),
      TRIM(B2042)=TRIM(Enginuity!$A$17)
    )
  ),
  ROW(),
  ""
)</f>
        <v/>
      </c>
    </row>
    <row r="2043" spans="1:21" x14ac:dyDescent="0.25">
      <c r="A2043" s="10" t="s">
        <v>256</v>
      </c>
      <c r="B2043" s="229" t="s">
        <v>321</v>
      </c>
      <c r="C2043" s="10" t="s">
        <v>320</v>
      </c>
      <c r="D2043" s="14" t="str">
        <v/>
      </c>
      <c r="E2043" s="157"/>
      <c r="F2043" s="10"/>
      <c r="G2043" s="17"/>
      <c r="H2043" s="10"/>
      <c r="I2043" s="17"/>
      <c r="J2043" s="83"/>
      <c r="K2043" s="344"/>
      <c r="L2043" s="347"/>
      <c r="M2043" s="89">
        <f t="shared" si="37"/>
        <v>7</v>
      </c>
      <c r="N2043" s="10" t="s">
        <v>228</v>
      </c>
      <c r="O2043" s="22" t="str">
        <f>IF(Enginuity!$A$20="Boxed Up",$O$2064,"")</f>
        <v/>
      </c>
      <c r="P2043" s="108" t="str">
        <f>Enginuity!$A$20</f>
        <v>Z-Louvre Blade - 5"</v>
      </c>
      <c r="Q2043" s="83" t="str">
        <f>IF($O2043="","",1)</f>
        <v/>
      </c>
      <c r="U2043" s="104" t="str">
        <f>IF(
  AND(
    TRIM(A2043)=TRIM(Enginuity!$A$1),
    TRIM(B2043)=TRIM(Enginuity!$A$17),
    Q2043&lt;&gt;"",
    Q2043&lt;&gt;0,
    OR(
      TRIM(C2043)=TRIM(Enginuity!$A$18),
      AND(UPPER(TRIM(M2043))="STD", TRIM(B2043)=TRIM(Enginuity!$A$17))
    ),
    OR(
      AND(LEFT(P2043,5)="1-Way", Enginuity!$B$13=1),
      AND(LEFT(P2043,5)="2-Way", OR(Enginuity!$B$13=2, Enginuity!$B$13=4)),
      AND(LEFT(P2043,5)="3-Way", OR(Enginuity!$B$13=3, Enginuity!$B$13=6)),
      AND(P2043="Inner Centre Jamb", OR(Enginuity!$B$13=4, Enginuity!$B$13=6)),
      AND(
        LEFT(P2043,5)&lt;&gt;"1-Way",
        LEFT(P2043,5)&lt;&gt;"2-Way",
        LEFT(P2043,5)&lt;&gt;"3-Way",
        P2043&lt;&gt;"Inner Centre Jamb"
      )
    ),
    IF(OR(Enginuity!$A$1="Frameless Glass",Enginuity!$A$1="Metal Work"),
      AND(TRIM(B2043)=TRIM(Enginuity!$A$17),TRIM(C2043)=TRIM(Enginuity!$A$18)),
      TRIM(B2043)=TRIM(Enginuity!$A$17)
    )
  ),
  ROW(),
  ""
)</f>
        <v/>
      </c>
    </row>
    <row r="2044" spans="1:21" x14ac:dyDescent="0.25">
      <c r="A2044" s="10"/>
      <c r="B2044" s="229"/>
      <c r="C2044" s="10"/>
      <c r="D2044" s="14"/>
      <c r="E2044" s="157"/>
      <c r="F2044" s="10"/>
      <c r="G2044" s="17"/>
      <c r="H2044" s="10"/>
      <c r="I2044" s="17"/>
      <c r="J2044" s="83"/>
      <c r="K2044" s="343"/>
      <c r="L2044" s="347"/>
      <c r="M2044" s="89">
        <f t="shared" si="37"/>
        <v>8</v>
      </c>
      <c r="N2044" s="10"/>
      <c r="O2044" s="22"/>
      <c r="P2044" s="14"/>
      <c r="Q2044" s="83"/>
      <c r="U2044" s="104" t="str">
        <f>IF(
  AND(
    TRIM(A2044)=TRIM(Enginuity!$A$1),
    TRIM(B2044)=TRIM(Enginuity!$A$17),
    Q2044&lt;&gt;"",
    Q2044&lt;&gt;0,
    OR(
      TRIM(C2044)=TRIM(Enginuity!$A$18),
      AND(UPPER(TRIM(M2044))="STD", TRIM(B2044)=TRIM(Enginuity!$A$17))
    ),
    OR(
      AND(LEFT(P2044,5)="1-Way", Enginuity!$B$13=1),
      AND(LEFT(P2044,5)="2-Way", OR(Enginuity!$B$13=2, Enginuity!$B$13=4)),
      AND(LEFT(P2044,5)="3-Way", OR(Enginuity!$B$13=3, Enginuity!$B$13=6)),
      AND(P2044="Inner Centre Jamb", OR(Enginuity!$B$13=4, Enginuity!$B$13=6)),
      AND(
        LEFT(P2044,5)&lt;&gt;"1-Way",
        LEFT(P2044,5)&lt;&gt;"2-Way",
        LEFT(P2044,5)&lt;&gt;"3-Way",
        P2044&lt;&gt;"Inner Centre Jamb"
      )
    ),
    IF(OR(Enginuity!$A$1="Frameless Glass",Enginuity!$A$1="Metal Work"),
      AND(TRIM(B2044)=TRIM(Enginuity!$A$17),TRIM(C2044)=TRIM(Enginuity!$A$18)),
      TRIM(B2044)=TRIM(Enginuity!$A$17)
    )
  ),
  ROW(),
  ""
)</f>
        <v/>
      </c>
    </row>
    <row r="2045" spans="1:21" x14ac:dyDescent="0.25">
      <c r="A2045" s="10"/>
      <c r="B2045" s="229"/>
      <c r="C2045" s="10"/>
      <c r="D2045" s="14"/>
      <c r="E2045" s="157"/>
      <c r="F2045" s="10"/>
      <c r="G2045" s="17"/>
      <c r="H2045" s="10"/>
      <c r="I2045" s="17"/>
      <c r="J2045" s="83"/>
      <c r="K2045" s="343"/>
      <c r="L2045" s="347"/>
      <c r="M2045" s="89">
        <f t="shared" si="37"/>
        <v>9</v>
      </c>
      <c r="N2045" s="10" t="s">
        <v>1434</v>
      </c>
      <c r="O2045" s="22">
        <v>23</v>
      </c>
      <c r="P2045" s="14" t="s">
        <v>1435</v>
      </c>
      <c r="Q2045" s="83">
        <f>IF(Enginuity!$B$6="","",CEILING(0.025*Enginuity!$B$6,1))</f>
        <v>1</v>
      </c>
      <c r="U2045" s="104" t="str">
        <f>IF(
  AND(
    TRIM(A2045)=TRIM(Enginuity!$A$1),
    TRIM(B2045)=TRIM(Enginuity!$A$17),
    Q2045&lt;&gt;"",
    Q2045&lt;&gt;0,
    OR(
      TRIM(C2045)=TRIM(Enginuity!$A$18),
      AND(UPPER(TRIM(M2045))="STD", TRIM(B2045)=TRIM(Enginuity!$A$17))
    ),
    OR(
      AND(LEFT(P2045,5)="1-Way", Enginuity!$B$13=1),
      AND(LEFT(P2045,5)="2-Way", OR(Enginuity!$B$13=2, Enginuity!$B$13=4)),
      AND(LEFT(P2045,5)="3-Way", OR(Enginuity!$B$13=3, Enginuity!$B$13=6)),
      AND(P2045="Inner Centre Jamb", OR(Enginuity!$B$13=4, Enginuity!$B$13=6)),
      AND(
        LEFT(P2045,5)&lt;&gt;"1-Way",
        LEFT(P2045,5)&lt;&gt;"2-Way",
        LEFT(P2045,5)&lt;&gt;"3-Way",
        P2045&lt;&gt;"Inner Centre Jamb"
      )
    ),
    IF(OR(Enginuity!$A$1="Frameless Glass",Enginuity!$A$1="Metal Work"),
      AND(TRIM(B2045)=TRIM(Enginuity!$A$17),TRIM(C2045)=TRIM(Enginuity!$A$18)),
      TRIM(B2045)=TRIM(Enginuity!$A$17)
    )
  ),
  ROW(),
  ""
)</f>
        <v/>
      </c>
    </row>
    <row r="2046" spans="1:21" x14ac:dyDescent="0.25">
      <c r="A2046" s="10"/>
      <c r="B2046" s="229"/>
      <c r="C2046" s="10"/>
      <c r="D2046" s="14"/>
      <c r="E2046" s="157"/>
      <c r="F2046" s="10"/>
      <c r="G2046" s="17"/>
      <c r="H2046" s="10"/>
      <c r="I2046" s="17"/>
      <c r="J2046" s="83"/>
      <c r="K2046" s="343"/>
      <c r="L2046" s="347"/>
      <c r="M2046" s="89">
        <f t="shared" si="37"/>
        <v>10</v>
      </c>
      <c r="N2046" s="10" t="s">
        <v>1434</v>
      </c>
      <c r="O2046" s="22">
        <v>6</v>
      </c>
      <c r="P2046" s="14" t="s">
        <v>1436</v>
      </c>
      <c r="Q2046" s="83"/>
      <c r="U2046" s="104" t="str">
        <f>IF(
  AND(
    TRIM(A2046)=TRIM(Enginuity!$A$1),
    TRIM(B2046)=TRIM(Enginuity!$A$17),
    Q2046&lt;&gt;"",
    Q2046&lt;&gt;0,
    OR(
      TRIM(C2046)=TRIM(Enginuity!$A$18),
      AND(UPPER(TRIM(M2046))="STD", TRIM(B2046)=TRIM(Enginuity!$A$17))
    ),
    OR(
      AND(LEFT(P2046,5)="1-Way", Enginuity!$B$13=1),
      AND(LEFT(P2046,5)="2-Way", OR(Enginuity!$B$13=2, Enginuity!$B$13=4)),
      AND(LEFT(P2046,5)="3-Way", OR(Enginuity!$B$13=3, Enginuity!$B$13=6)),
      AND(P2046="Inner Centre Jamb", OR(Enginuity!$B$13=4, Enginuity!$B$13=6)),
      AND(
        LEFT(P2046,5)&lt;&gt;"1-Way",
        LEFT(P2046,5)&lt;&gt;"2-Way",
        LEFT(P2046,5)&lt;&gt;"3-Way",
        P2046&lt;&gt;"Inner Centre Jamb"
      )
    ),
    IF(OR(Enginuity!$A$1="Frameless Glass",Enginuity!$A$1="Metal Work"),
      AND(TRIM(B2046)=TRIM(Enginuity!$A$17),TRIM(C2046)=TRIM(Enginuity!$A$18)),
      TRIM(B2046)=TRIM(Enginuity!$A$17)
    )
  ),
  ROW(),
  ""
)</f>
        <v/>
      </c>
    </row>
    <row r="2047" spans="1:21" x14ac:dyDescent="0.25">
      <c r="A2047" s="10"/>
      <c r="B2047" s="229"/>
      <c r="C2047" s="10"/>
      <c r="D2047" s="14"/>
      <c r="E2047" s="157"/>
      <c r="F2047" s="10"/>
      <c r="G2047" s="17"/>
      <c r="H2047" s="10"/>
      <c r="I2047" s="17"/>
      <c r="J2047" s="83"/>
      <c r="K2047" s="343"/>
      <c r="L2047" s="347"/>
      <c r="M2047" s="89">
        <f t="shared" si="37"/>
        <v>11</v>
      </c>
      <c r="N2047" s="10" t="s">
        <v>1434</v>
      </c>
      <c r="O2047" s="22">
        <v>6</v>
      </c>
      <c r="P2047" s="14" t="s">
        <v>1437</v>
      </c>
      <c r="Q2047" s="83">
        <f>IF(Enginuity!$B$6="","",CEILING(0.125*Enginuity!$B$6,1))</f>
        <v>3</v>
      </c>
      <c r="U2047" s="104" t="str">
        <f>IF(
  AND(
    TRIM(A2047)=TRIM(Enginuity!$A$1),
    TRIM(B2047)=TRIM(Enginuity!$A$17),
    Q2047&lt;&gt;"",
    Q2047&lt;&gt;0,
    OR(
      TRIM(C2047)=TRIM(Enginuity!$A$18),
      AND(UPPER(TRIM(M2047))="STD", TRIM(B2047)=TRIM(Enginuity!$A$17))
    ),
    OR(
      AND(LEFT(P2047,5)="1-Way", Enginuity!$B$13=1),
      AND(LEFT(P2047,5)="2-Way", OR(Enginuity!$B$13=2, Enginuity!$B$13=4)),
      AND(LEFT(P2047,5)="3-Way", OR(Enginuity!$B$13=3, Enginuity!$B$13=6)),
      AND(P2047="Inner Centre Jamb", OR(Enginuity!$B$13=4, Enginuity!$B$13=6)),
      AND(
        LEFT(P2047,5)&lt;&gt;"1-Way",
        LEFT(P2047,5)&lt;&gt;"2-Way",
        LEFT(P2047,5)&lt;&gt;"3-Way",
        P2047&lt;&gt;"Inner Centre Jamb"
      )
    ),
    IF(OR(Enginuity!$A$1="Frameless Glass",Enginuity!$A$1="Metal Work"),
      AND(TRIM(B2047)=TRIM(Enginuity!$A$17),TRIM(C2047)=TRIM(Enginuity!$A$18)),
      TRIM(B2047)=TRIM(Enginuity!$A$17)
    )
  ),
  ROW(),
  ""
)</f>
        <v/>
      </c>
    </row>
    <row r="2048" spans="1:21" x14ac:dyDescent="0.25">
      <c r="A2048" s="10"/>
      <c r="B2048" s="229"/>
      <c r="C2048" s="10"/>
      <c r="D2048" s="14"/>
      <c r="E2048" s="157"/>
      <c r="F2048" s="11"/>
      <c r="G2048" s="17"/>
      <c r="H2048" s="10"/>
      <c r="I2048" s="17"/>
      <c r="J2048" s="83"/>
      <c r="K2048" s="344"/>
      <c r="L2048" s="347"/>
      <c r="M2048" s="89">
        <f t="shared" si="37"/>
        <v>12</v>
      </c>
      <c r="N2048" s="10" t="s">
        <v>1434</v>
      </c>
      <c r="O2048" s="22">
        <v>7</v>
      </c>
      <c r="P2048" s="21" t="s">
        <v>1458</v>
      </c>
      <c r="Q2048" s="83">
        <f>IF(Enginuity!$B$6="","",CEILING(0.1875*Enginuity!$B$6,1))</f>
        <v>4</v>
      </c>
      <c r="U2048" s="104" t="str">
        <f>IF(
  AND(
    TRIM(A2048)=TRIM(Enginuity!$A$1),
    TRIM(B2048)=TRIM(Enginuity!$A$17),
    Q2048&lt;&gt;"",
    Q2048&lt;&gt;0,
    OR(
      TRIM(C2048)=TRIM(Enginuity!$A$18),
      AND(UPPER(TRIM(M2048))="STD", TRIM(B2048)=TRIM(Enginuity!$A$17))
    ),
    OR(
      AND(LEFT(P2048,5)="1-Way", Enginuity!$B$13=1),
      AND(LEFT(P2048,5)="2-Way", OR(Enginuity!$B$13=2, Enginuity!$B$13=4)),
      AND(LEFT(P2048,5)="3-Way", OR(Enginuity!$B$13=3, Enginuity!$B$13=6)),
      AND(P2048="Inner Centre Jamb", OR(Enginuity!$B$13=4, Enginuity!$B$13=6)),
      AND(
        LEFT(P2048,5)&lt;&gt;"1-Way",
        LEFT(P2048,5)&lt;&gt;"2-Way",
        LEFT(P2048,5)&lt;&gt;"3-Way",
        P2048&lt;&gt;"Inner Centre Jamb"
      )
    ),
    IF(OR(Enginuity!$A$1="Frameless Glass",Enginuity!$A$1="Metal Work"),
      AND(TRIM(B2048)=TRIM(Enginuity!$A$17),TRIM(C2048)=TRIM(Enginuity!$A$18)),
      TRIM(B2048)=TRIM(Enginuity!$A$17)
    )
  ),
  ROW(),
  ""
)</f>
        <v/>
      </c>
    </row>
    <row r="2049" spans="1:21" x14ac:dyDescent="0.25">
      <c r="A2049" s="10"/>
      <c r="B2049" s="229"/>
      <c r="C2049" s="10"/>
      <c r="D2049" s="14"/>
      <c r="E2049" s="157"/>
      <c r="F2049" s="11"/>
      <c r="G2049" s="17"/>
      <c r="H2049" s="10"/>
      <c r="I2049" s="17"/>
      <c r="J2049" s="83"/>
      <c r="K2049" s="343"/>
      <c r="L2049" s="347"/>
      <c r="M2049" s="89">
        <f t="shared" si="37"/>
        <v>13</v>
      </c>
      <c r="N2049" s="10" t="s">
        <v>1438</v>
      </c>
      <c r="O2049" s="22">
        <v>48</v>
      </c>
      <c r="P2049" s="14" t="s">
        <v>1439</v>
      </c>
      <c r="Q2049" s="83">
        <f>IF(Enginuity!$B$6="","",CEILING(Enginuity!$B$6/48,1))</f>
        <v>1</v>
      </c>
      <c r="U2049" s="104" t="str">
        <f>IF(
  AND(
    TRIM(A2049)=TRIM(Enginuity!$A$1),
    TRIM(B2049)=TRIM(Enginuity!$A$17),
    Q2049&lt;&gt;"",
    Q2049&lt;&gt;0,
    OR(
      TRIM(C2049)=TRIM(Enginuity!$A$18),
      AND(UPPER(TRIM(M2049))="STD", TRIM(B2049)=TRIM(Enginuity!$A$17))
    ),
    OR(
      AND(LEFT(P2049,5)="1-Way", Enginuity!$B$13=1),
      AND(LEFT(P2049,5)="2-Way", OR(Enginuity!$B$13=2, Enginuity!$B$13=4)),
      AND(LEFT(P2049,5)="3-Way", OR(Enginuity!$B$13=3, Enginuity!$B$13=6)),
      AND(P2049="Inner Centre Jamb", OR(Enginuity!$B$13=4, Enginuity!$B$13=6)),
      AND(
        LEFT(P2049,5)&lt;&gt;"1-Way",
        LEFT(P2049,5)&lt;&gt;"2-Way",
        LEFT(P2049,5)&lt;&gt;"3-Way",
        P2049&lt;&gt;"Inner Centre Jamb"
      )
    ),
    IF(OR(Enginuity!$A$1="Frameless Glass",Enginuity!$A$1="Metal Work"),
      AND(TRIM(B2049)=TRIM(Enginuity!$A$17),TRIM(C2049)=TRIM(Enginuity!$A$18)),
      TRIM(B2049)=TRIM(Enginuity!$A$17)
    )
  ),
  ROW(),
  ""
)</f>
        <v/>
      </c>
    </row>
    <row r="2050" spans="1:21" x14ac:dyDescent="0.25">
      <c r="A2050" s="10"/>
      <c r="B2050" s="229"/>
      <c r="C2050" s="10"/>
      <c r="D2050" s="14"/>
      <c r="E2050" s="157"/>
      <c r="F2050" s="11"/>
      <c r="G2050" s="17"/>
      <c r="H2050" s="10"/>
      <c r="I2050" s="17"/>
      <c r="J2050" s="83"/>
      <c r="K2050" s="343"/>
      <c r="L2050" s="347"/>
      <c r="M2050" s="89">
        <f t="shared" si="37"/>
        <v>14</v>
      </c>
      <c r="N2050" s="10" t="s">
        <v>1440</v>
      </c>
      <c r="O2050" s="22">
        <v>10</v>
      </c>
      <c r="P2050" s="14" t="s">
        <v>1441</v>
      </c>
      <c r="Q2050" s="83">
        <f>IF(Enginuity!$B$6="","",CEILING(0.2*Enginuity!$B$6,1))</f>
        <v>4</v>
      </c>
      <c r="U2050" s="104" t="str">
        <f>IF(
  AND(
    TRIM(A2050)=TRIM(Enginuity!$A$1),
    TRIM(B2050)=TRIM(Enginuity!$A$17),
    Q2050&lt;&gt;"",
    Q2050&lt;&gt;0,
    OR(
      TRIM(C2050)=TRIM(Enginuity!$A$18),
      AND(UPPER(TRIM(M2050))="STD", TRIM(B2050)=TRIM(Enginuity!$A$17))
    ),
    OR(
      AND(LEFT(P2050,5)="1-Way", Enginuity!$B$13=1),
      AND(LEFT(P2050,5)="2-Way", OR(Enginuity!$B$13=2, Enginuity!$B$13=4)),
      AND(LEFT(P2050,5)="3-Way", OR(Enginuity!$B$13=3, Enginuity!$B$13=6)),
      AND(P2050="Inner Centre Jamb", OR(Enginuity!$B$13=4, Enginuity!$B$13=6)),
      AND(
        LEFT(P2050,5)&lt;&gt;"1-Way",
        LEFT(P2050,5)&lt;&gt;"2-Way",
        LEFT(P2050,5)&lt;&gt;"3-Way",
        P2050&lt;&gt;"Inner Centre Jamb"
      )
    ),
    IF(OR(Enginuity!$A$1="Frameless Glass",Enginuity!$A$1="Metal Work"),
      AND(TRIM(B2050)=TRIM(Enginuity!$A$17),TRIM(C2050)=TRIM(Enginuity!$A$18)),
      TRIM(B2050)=TRIM(Enginuity!$A$17)
    )
  ),
  ROW(),
  ""
)</f>
        <v/>
      </c>
    </row>
    <row r="2051" spans="1:21" x14ac:dyDescent="0.25">
      <c r="A2051" s="10"/>
      <c r="B2051" s="229"/>
      <c r="C2051" s="10"/>
      <c r="D2051" s="14"/>
      <c r="E2051" s="157"/>
      <c r="F2051" s="10"/>
      <c r="G2051" s="17"/>
      <c r="H2051" s="10"/>
      <c r="I2051" s="17"/>
      <c r="J2051" s="83"/>
      <c r="K2051" s="343"/>
      <c r="L2051" s="347"/>
      <c r="M2051" s="89">
        <f t="shared" si="37"/>
        <v>15</v>
      </c>
      <c r="N2051" s="10" t="s">
        <v>1442</v>
      </c>
      <c r="O2051" s="22">
        <v>8</v>
      </c>
      <c r="P2051" s="14" t="s">
        <v>1443</v>
      </c>
      <c r="Q2051" s="83">
        <f>IF(Enginuity!$B$6="","",CEILING(0.0026*Enginuity!$B$6,1))</f>
        <v>1</v>
      </c>
      <c r="U2051" s="104" t="str">
        <f>IF(
  AND(
    TRIM(A2051)=TRIM(Enginuity!$A$1),
    TRIM(B2051)=TRIM(Enginuity!$A$17),
    Q2051&lt;&gt;"",
    Q2051&lt;&gt;0,
    OR(
      TRIM(C2051)=TRIM(Enginuity!$A$18),
      AND(UPPER(TRIM(M2051))="STD", TRIM(B2051)=TRIM(Enginuity!$A$17))
    ),
    OR(
      AND(LEFT(P2051,5)="1-Way", Enginuity!$B$13=1),
      AND(LEFT(P2051,5)="2-Way", OR(Enginuity!$B$13=2, Enginuity!$B$13=4)),
      AND(LEFT(P2051,5)="3-Way", OR(Enginuity!$B$13=3, Enginuity!$B$13=6)),
      AND(P2051="Inner Centre Jamb", OR(Enginuity!$B$13=4, Enginuity!$B$13=6)),
      AND(
        LEFT(P2051,5)&lt;&gt;"1-Way",
        LEFT(P2051,5)&lt;&gt;"2-Way",
        LEFT(P2051,5)&lt;&gt;"3-Way",
        P2051&lt;&gt;"Inner Centre Jamb"
      )
    ),
    IF(OR(Enginuity!$A$1="Frameless Glass",Enginuity!$A$1="Metal Work"),
      AND(TRIM(B2051)=TRIM(Enginuity!$A$17),TRIM(C2051)=TRIM(Enginuity!$A$18)),
      TRIM(B2051)=TRIM(Enginuity!$A$17)
    )
  ),
  ROW(),
  ""
)</f>
        <v/>
      </c>
    </row>
    <row r="2052" spans="1:21" x14ac:dyDescent="0.25">
      <c r="A2052" s="10"/>
      <c r="B2052" s="229"/>
      <c r="C2052" s="10"/>
      <c r="D2052" s="14"/>
      <c r="E2052" s="157"/>
      <c r="F2052" s="10"/>
      <c r="G2052" s="17"/>
      <c r="H2052" s="10"/>
      <c r="I2052" s="17"/>
      <c r="J2052" s="83"/>
      <c r="K2052" s="343"/>
      <c r="L2052" s="347"/>
      <c r="M2052" s="89">
        <f t="shared" si="37"/>
        <v>16</v>
      </c>
      <c r="N2052" s="10" t="s">
        <v>1442</v>
      </c>
      <c r="O2052" s="22">
        <v>8</v>
      </c>
      <c r="P2052" s="14" t="s">
        <v>1444</v>
      </c>
      <c r="Q2052" s="83"/>
      <c r="U2052" s="104" t="str">
        <f>IF(
  AND(
    TRIM(A2052)=TRIM(Enginuity!$A$1),
    TRIM(B2052)=TRIM(Enginuity!$A$17),
    Q2052&lt;&gt;"",
    Q2052&lt;&gt;0,
    OR(
      TRIM(C2052)=TRIM(Enginuity!$A$18),
      AND(UPPER(TRIM(M2052))="STD", TRIM(B2052)=TRIM(Enginuity!$A$17))
    ),
    OR(
      AND(LEFT(P2052,5)="1-Way", Enginuity!$B$13=1),
      AND(LEFT(P2052,5)="2-Way", OR(Enginuity!$B$13=2, Enginuity!$B$13=4)),
      AND(LEFT(P2052,5)="3-Way", OR(Enginuity!$B$13=3, Enginuity!$B$13=6)),
      AND(P2052="Inner Centre Jamb", OR(Enginuity!$B$13=4, Enginuity!$B$13=6)),
      AND(
        LEFT(P2052,5)&lt;&gt;"1-Way",
        LEFT(P2052,5)&lt;&gt;"2-Way",
        LEFT(P2052,5)&lt;&gt;"3-Way",
        P2052&lt;&gt;"Inner Centre Jamb"
      )
    ),
    IF(OR(Enginuity!$A$1="Frameless Glass",Enginuity!$A$1="Metal Work"),
      AND(TRIM(B2052)=TRIM(Enginuity!$A$17),TRIM(C2052)=TRIM(Enginuity!$A$18)),
      TRIM(B2052)=TRIM(Enginuity!$A$17)
    )
  ),
  ROW(),
  ""
)</f>
        <v/>
      </c>
    </row>
    <row r="2053" spans="1:21" x14ac:dyDescent="0.25">
      <c r="A2053" s="10"/>
      <c r="B2053" s="229"/>
      <c r="C2053" s="10"/>
      <c r="D2053" s="14"/>
      <c r="E2053" s="157"/>
      <c r="F2053" s="10"/>
      <c r="G2053" s="17"/>
      <c r="H2053" s="10"/>
      <c r="I2053" s="17"/>
      <c r="J2053" s="83"/>
      <c r="K2053" s="343"/>
      <c r="L2053" s="347"/>
      <c r="M2053" s="89">
        <f t="shared" si="37"/>
        <v>17</v>
      </c>
      <c r="N2053" s="10" t="s">
        <v>1445</v>
      </c>
      <c r="O2053" s="22">
        <v>35</v>
      </c>
      <c r="P2053" s="14" t="s">
        <v>1446</v>
      </c>
      <c r="Q2053" s="83">
        <f>IF(Enginuity!$B$6="","",CEILING(0.00125*Enginuity!$B$6/5,1))</f>
        <v>1</v>
      </c>
      <c r="U2053" s="104" t="str">
        <f>IF(
  AND(
    TRIM(A2053)=TRIM(Enginuity!$A$1),
    TRIM(B2053)=TRIM(Enginuity!$A$17),
    Q2053&lt;&gt;"",
    Q2053&lt;&gt;0,
    OR(
      TRIM(C2053)=TRIM(Enginuity!$A$18),
      AND(UPPER(TRIM(M2053))="STD", TRIM(B2053)=TRIM(Enginuity!$A$17))
    ),
    OR(
      AND(LEFT(P2053,5)="1-Way", Enginuity!$B$13=1),
      AND(LEFT(P2053,5)="2-Way", OR(Enginuity!$B$13=2, Enginuity!$B$13=4)),
      AND(LEFT(P2053,5)="3-Way", OR(Enginuity!$B$13=3, Enginuity!$B$13=6)),
      AND(P2053="Inner Centre Jamb", OR(Enginuity!$B$13=4, Enginuity!$B$13=6)),
      AND(
        LEFT(P2053,5)&lt;&gt;"1-Way",
        LEFT(P2053,5)&lt;&gt;"2-Way",
        LEFT(P2053,5)&lt;&gt;"3-Way",
        P2053&lt;&gt;"Inner Centre Jamb"
      )
    ),
    IF(OR(Enginuity!$A$1="Frameless Glass",Enginuity!$A$1="Metal Work"),
      AND(TRIM(B2053)=TRIM(Enginuity!$A$17),TRIM(C2053)=TRIM(Enginuity!$A$18)),
      TRIM(B2053)=TRIM(Enginuity!$A$17)
    )
  ),
  ROW(),
  ""
)</f>
        <v/>
      </c>
    </row>
    <row r="2054" spans="1:21" x14ac:dyDescent="0.25">
      <c r="A2054" s="10"/>
      <c r="B2054" s="229"/>
      <c r="C2054" s="10"/>
      <c r="D2054" s="14"/>
      <c r="E2054" s="157"/>
      <c r="F2054" s="10"/>
      <c r="G2054" s="17"/>
      <c r="H2054" s="10"/>
      <c r="I2054" s="17"/>
      <c r="J2054" s="83"/>
      <c r="K2054" s="343"/>
      <c r="L2054" s="347"/>
      <c r="M2054" s="89">
        <f t="shared" si="37"/>
        <v>18</v>
      </c>
      <c r="N2054" s="10" t="s">
        <v>1447</v>
      </c>
      <c r="O2054" s="22">
        <v>30</v>
      </c>
      <c r="P2054" s="14" t="s">
        <v>1448</v>
      </c>
      <c r="Q2054" s="83">
        <f>IF(Enginuity!$B$6="","",CEILING(0.3125*Enginuity!$B$6/12,1))</f>
        <v>1</v>
      </c>
      <c r="U2054" s="104" t="str">
        <f>IF(
  AND(
    TRIM(A2054)=TRIM(Enginuity!$A$1),
    TRIM(B2054)=TRIM(Enginuity!$A$17),
    Q2054&lt;&gt;"",
    Q2054&lt;&gt;0,
    OR(
      TRIM(C2054)=TRIM(Enginuity!$A$18),
      AND(UPPER(TRIM(M2054))="STD", TRIM(B2054)=TRIM(Enginuity!$A$17))
    ),
    OR(
      AND(LEFT(P2054,5)="1-Way", Enginuity!$B$13=1),
      AND(LEFT(P2054,5)="2-Way", OR(Enginuity!$B$13=2, Enginuity!$B$13=4)),
      AND(LEFT(P2054,5)="3-Way", OR(Enginuity!$B$13=3, Enginuity!$B$13=6)),
      AND(P2054="Inner Centre Jamb", OR(Enginuity!$B$13=4, Enginuity!$B$13=6)),
      AND(
        LEFT(P2054,5)&lt;&gt;"1-Way",
        LEFT(P2054,5)&lt;&gt;"2-Way",
        LEFT(P2054,5)&lt;&gt;"3-Way",
        P2054&lt;&gt;"Inner Centre Jamb"
      )
    ),
    IF(OR(Enginuity!$A$1="Frameless Glass",Enginuity!$A$1="Metal Work"),
      AND(TRIM(B2054)=TRIM(Enginuity!$A$17),TRIM(C2054)=TRIM(Enginuity!$A$18)),
      TRIM(B2054)=TRIM(Enginuity!$A$17)
    )
  ),
  ROW(),
  ""
)</f>
        <v/>
      </c>
    </row>
    <row r="2055" spans="1:21" x14ac:dyDescent="0.25">
      <c r="A2055" s="10"/>
      <c r="B2055" s="229"/>
      <c r="C2055" s="10"/>
      <c r="D2055" s="14"/>
      <c r="E2055" s="157"/>
      <c r="F2055" s="10"/>
      <c r="G2055" s="17"/>
      <c r="H2055" s="10"/>
      <c r="I2055" s="17"/>
      <c r="J2055" s="83"/>
      <c r="K2055" s="343"/>
      <c r="L2055" s="347"/>
      <c r="M2055" s="89">
        <f t="shared" si="37"/>
        <v>19</v>
      </c>
      <c r="N2055" s="10" t="s">
        <v>1447</v>
      </c>
      <c r="O2055" s="22">
        <v>15</v>
      </c>
      <c r="P2055" s="36" t="s">
        <v>1449</v>
      </c>
      <c r="Q2055" s="83">
        <f>IF(Enginuity!$B$6="","",CEILING(0.61*Enginuity!$B$6/12,1))</f>
        <v>2</v>
      </c>
      <c r="U2055" s="104" t="str">
        <f>IF(
  AND(
    TRIM(A2055)=TRIM(Enginuity!$A$1),
    TRIM(B2055)=TRIM(Enginuity!$A$17),
    Q2055&lt;&gt;"",
    Q2055&lt;&gt;0,
    OR(
      TRIM(C2055)=TRIM(Enginuity!$A$18),
      AND(UPPER(TRIM(M2055))="STD", TRIM(B2055)=TRIM(Enginuity!$A$17))
    ),
    OR(
      AND(LEFT(P2055,5)="1-Way", Enginuity!$B$13=1),
      AND(LEFT(P2055,5)="2-Way", OR(Enginuity!$B$13=2, Enginuity!$B$13=4)),
      AND(LEFT(P2055,5)="3-Way", OR(Enginuity!$B$13=3, Enginuity!$B$13=6)),
      AND(P2055="Inner Centre Jamb", OR(Enginuity!$B$13=4, Enginuity!$B$13=6)),
      AND(
        LEFT(P2055,5)&lt;&gt;"1-Way",
        LEFT(P2055,5)&lt;&gt;"2-Way",
        LEFT(P2055,5)&lt;&gt;"3-Way",
        P2055&lt;&gt;"Inner Centre Jamb"
      )
    ),
    IF(OR(Enginuity!$A$1="Frameless Glass",Enginuity!$A$1="Metal Work"),
      AND(TRIM(B2055)=TRIM(Enginuity!$A$17),TRIM(C2055)=TRIM(Enginuity!$A$18)),
      TRIM(B2055)=TRIM(Enginuity!$A$17)
    )
  ),
  ROW(),
  ""
)</f>
        <v/>
      </c>
    </row>
    <row r="2056" spans="1:21" x14ac:dyDescent="0.25">
      <c r="A2056" s="10"/>
      <c r="B2056" s="229"/>
      <c r="C2056" s="10"/>
      <c r="D2056" s="14"/>
      <c r="E2056" s="157"/>
      <c r="F2056" s="10"/>
      <c r="G2056" s="17"/>
      <c r="H2056" s="10"/>
      <c r="I2056" s="17"/>
      <c r="J2056" s="83"/>
      <c r="K2056" s="343"/>
      <c r="L2056" s="347"/>
      <c r="M2056" s="89">
        <f t="shared" si="37"/>
        <v>20</v>
      </c>
      <c r="N2056" s="10" t="s">
        <v>1447</v>
      </c>
      <c r="O2056" s="22">
        <v>12</v>
      </c>
      <c r="P2056" s="14" t="s">
        <v>1450</v>
      </c>
      <c r="Q2056" s="22"/>
      <c r="U2056" s="104" t="str">
        <f>IF(
  AND(
    TRIM(A2056)=TRIM(Enginuity!$A$1),
    TRIM(B2056)=TRIM(Enginuity!$A$17),
    Q2056&lt;&gt;"",
    Q2056&lt;&gt;0,
    OR(
      TRIM(C2056)=TRIM(Enginuity!$A$18),
      AND(UPPER(TRIM(M2056))="STD", TRIM(B2056)=TRIM(Enginuity!$A$17))
    ),
    OR(
      AND(LEFT(P2056,5)="1-Way", Enginuity!$B$13=1),
      AND(LEFT(P2056,5)="2-Way", OR(Enginuity!$B$13=2, Enginuity!$B$13=4)),
      AND(LEFT(P2056,5)="3-Way", OR(Enginuity!$B$13=3, Enginuity!$B$13=6)),
      AND(P2056="Inner Centre Jamb", OR(Enginuity!$B$13=4, Enginuity!$B$13=6)),
      AND(
        LEFT(P2056,5)&lt;&gt;"1-Way",
        LEFT(P2056,5)&lt;&gt;"2-Way",
        LEFT(P2056,5)&lt;&gt;"3-Way",
        P2056&lt;&gt;"Inner Centre Jamb"
      )
    ),
    IF(OR(Enginuity!$A$1="Frameless Glass",Enginuity!$A$1="Metal Work"),
      AND(TRIM(B2056)=TRIM(Enginuity!$A$17),TRIM(C2056)=TRIM(Enginuity!$A$18)),
      TRIM(B2056)=TRIM(Enginuity!$A$17)
    )
  ),
  ROW(),
  ""
)</f>
        <v/>
      </c>
    </row>
    <row r="2057" spans="1:21" x14ac:dyDescent="0.25">
      <c r="A2057" s="10"/>
      <c r="B2057" s="229"/>
      <c r="C2057" s="10"/>
      <c r="D2057" s="14"/>
      <c r="E2057" s="157"/>
      <c r="F2057" s="10"/>
      <c r="G2057" s="17"/>
      <c r="H2057" s="10"/>
      <c r="I2057" s="17"/>
      <c r="J2057" s="83"/>
      <c r="K2057" s="343"/>
      <c r="L2057" s="347"/>
      <c r="M2057" s="89">
        <f t="shared" si="37"/>
        <v>21</v>
      </c>
      <c r="N2057" s="10" t="s">
        <v>1451</v>
      </c>
      <c r="O2057" s="22">
        <v>10</v>
      </c>
      <c r="P2057" s="14" t="s">
        <v>1452</v>
      </c>
      <c r="Q2057" s="22">
        <f>IF(Enginuity!$B$6="","",CEILING(0.002*Enginuity!$B$6,1))</f>
        <v>1</v>
      </c>
      <c r="U2057" s="104" t="str">
        <f>IF(
  AND(
    TRIM(A2057)=TRIM(Enginuity!$A$1),
    TRIM(B2057)=TRIM(Enginuity!$A$17),
    Q2057&lt;&gt;"",
    Q2057&lt;&gt;0,
    OR(
      TRIM(C2057)=TRIM(Enginuity!$A$18),
      AND(UPPER(TRIM(M2057))="STD", TRIM(B2057)=TRIM(Enginuity!$A$17))
    ),
    OR(
      AND(LEFT(P2057,5)="1-Way", Enginuity!$B$13=1),
      AND(LEFT(P2057,5)="2-Way", OR(Enginuity!$B$13=2, Enginuity!$B$13=4)),
      AND(LEFT(P2057,5)="3-Way", OR(Enginuity!$B$13=3, Enginuity!$B$13=6)),
      AND(P2057="Inner Centre Jamb", OR(Enginuity!$B$13=4, Enginuity!$B$13=6)),
      AND(
        LEFT(P2057,5)&lt;&gt;"1-Way",
        LEFT(P2057,5)&lt;&gt;"2-Way",
        LEFT(P2057,5)&lt;&gt;"3-Way",
        P2057&lt;&gt;"Inner Centre Jamb"
      )
    ),
    IF(OR(Enginuity!$A$1="Frameless Glass",Enginuity!$A$1="Metal Work"),
      AND(TRIM(B2057)=TRIM(Enginuity!$A$17),TRIM(C2057)=TRIM(Enginuity!$A$18)),
      TRIM(B2057)=TRIM(Enginuity!$A$17)
    )
  ),
  ROW(),
  ""
)</f>
        <v/>
      </c>
    </row>
    <row r="2058" spans="1:21" x14ac:dyDescent="0.25">
      <c r="A2058" s="10"/>
      <c r="B2058" s="229"/>
      <c r="C2058" s="10"/>
      <c r="D2058" s="14"/>
      <c r="E2058" s="157"/>
      <c r="F2058" s="10"/>
      <c r="G2058" s="17"/>
      <c r="H2058" s="10"/>
      <c r="I2058" s="17"/>
      <c r="J2058" s="83"/>
      <c r="K2058" s="343"/>
      <c r="L2058" s="347"/>
      <c r="M2058" s="89">
        <f t="shared" si="37"/>
        <v>22</v>
      </c>
      <c r="N2058" s="10" t="s">
        <v>1440</v>
      </c>
      <c r="O2058" s="22">
        <v>10.9</v>
      </c>
      <c r="P2058" s="14" t="s">
        <v>1453</v>
      </c>
      <c r="Q2058" s="22">
        <f>IF(Enginuity!$B$6="","",CEILING(0.05*Enginuity!$B$6,1))</f>
        <v>1</v>
      </c>
      <c r="U2058" s="104" t="str">
        <f>IF(
  AND(
    TRIM(A2058)=TRIM(Enginuity!$A$1),
    TRIM(B2058)=TRIM(Enginuity!$A$17),
    Q2058&lt;&gt;"",
    Q2058&lt;&gt;0,
    OR(
      TRIM(C2058)=TRIM(Enginuity!$A$18),
      AND(UPPER(TRIM(M2058))="STD", TRIM(B2058)=TRIM(Enginuity!$A$17))
    ),
    OR(
      AND(LEFT(P2058,5)="1-Way", Enginuity!$B$13=1),
      AND(LEFT(P2058,5)="2-Way", OR(Enginuity!$B$13=2, Enginuity!$B$13=4)),
      AND(LEFT(P2058,5)="3-Way", OR(Enginuity!$B$13=3, Enginuity!$B$13=6)),
      AND(P2058="Inner Centre Jamb", OR(Enginuity!$B$13=4, Enginuity!$B$13=6)),
      AND(
        LEFT(P2058,5)&lt;&gt;"1-Way",
        LEFT(P2058,5)&lt;&gt;"2-Way",
        LEFT(P2058,5)&lt;&gt;"3-Way",
        P2058&lt;&gt;"Inner Centre Jamb"
      )
    ),
    IF(OR(Enginuity!$A$1="Frameless Glass",Enginuity!$A$1="Metal Work"),
      AND(TRIM(B2058)=TRIM(Enginuity!$A$17),TRIM(C2058)=TRIM(Enginuity!$A$18)),
      TRIM(B2058)=TRIM(Enginuity!$A$17)
    )
  ),
  ROW(),
  ""
)</f>
        <v/>
      </c>
    </row>
    <row r="2059" spans="1:21" x14ac:dyDescent="0.25">
      <c r="A2059" s="10"/>
      <c r="B2059" s="229"/>
      <c r="C2059" s="10"/>
      <c r="D2059" s="36"/>
      <c r="E2059" s="157"/>
      <c r="F2059" s="10"/>
      <c r="G2059" s="17"/>
      <c r="H2059" s="10"/>
      <c r="I2059" s="17"/>
      <c r="J2059" s="83"/>
      <c r="K2059" s="343"/>
      <c r="L2059" s="347"/>
      <c r="M2059" s="89">
        <f t="shared" si="37"/>
        <v>23</v>
      </c>
      <c r="N2059" s="10" t="s">
        <v>1434</v>
      </c>
      <c r="O2059" s="22">
        <v>40</v>
      </c>
      <c r="P2059" s="14" t="s">
        <v>1454</v>
      </c>
      <c r="Q2059" s="22"/>
      <c r="U2059" s="104" t="str">
        <f>IF(
  AND(
    TRIM(A2059)=TRIM(Enginuity!$A$1),
    TRIM(B2059)=TRIM(Enginuity!$A$17),
    Q2059&lt;&gt;"",
    Q2059&lt;&gt;0,
    OR(
      TRIM(C2059)=TRIM(Enginuity!$A$18),
      AND(UPPER(TRIM(M2059))="STD", TRIM(B2059)=TRIM(Enginuity!$A$17))
    ),
    OR(
      AND(LEFT(P2059,5)="1-Way", Enginuity!$B$13=1),
      AND(LEFT(P2059,5)="2-Way", OR(Enginuity!$B$13=2, Enginuity!$B$13=4)),
      AND(LEFT(P2059,5)="3-Way", OR(Enginuity!$B$13=3, Enginuity!$B$13=6)),
      AND(P2059="Inner Centre Jamb", OR(Enginuity!$B$13=4, Enginuity!$B$13=6)),
      AND(
        LEFT(P2059,5)&lt;&gt;"1-Way",
        LEFT(P2059,5)&lt;&gt;"2-Way",
        LEFT(P2059,5)&lt;&gt;"3-Way",
        P2059&lt;&gt;"Inner Centre Jamb"
      )
    ),
    IF(OR(Enginuity!$A$1="Frameless Glass",Enginuity!$A$1="Metal Work"),
      AND(TRIM(B2059)=TRIM(Enginuity!$A$17),TRIM(C2059)=TRIM(Enginuity!$A$18)),
      TRIM(B2059)=TRIM(Enginuity!$A$17)
    )
  ),
  ROW(),
  ""
)</f>
        <v/>
      </c>
    </row>
    <row r="2060" spans="1:21" x14ac:dyDescent="0.25">
      <c r="A2060" s="10"/>
      <c r="B2060" s="229"/>
      <c r="C2060" s="10"/>
      <c r="D2060" s="36"/>
      <c r="E2060" s="157"/>
      <c r="F2060" s="10"/>
      <c r="G2060" s="17"/>
      <c r="H2060" s="10"/>
      <c r="I2060" s="17"/>
      <c r="J2060" s="83"/>
      <c r="K2060" s="343"/>
      <c r="L2060" s="347"/>
      <c r="M2060" s="89">
        <f t="shared" si="37"/>
        <v>24</v>
      </c>
      <c r="N2060" s="10" t="s">
        <v>1434</v>
      </c>
      <c r="O2060" s="22">
        <v>22</v>
      </c>
      <c r="P2060" s="14" t="s">
        <v>1455</v>
      </c>
      <c r="Q2060" s="22">
        <f>IF(Enginuity!$B$6="","",CEILING(0.186*Enginuity!$B$6/25,1))</f>
        <v>1</v>
      </c>
      <c r="U2060" s="104" t="str">
        <f>IF(
  AND(
    TRIM(A2060)=TRIM(Enginuity!$A$1),
    TRIM(B2060)=TRIM(Enginuity!$A$17),
    Q2060&lt;&gt;"",
    Q2060&lt;&gt;0,
    OR(
      TRIM(C2060)=TRIM(Enginuity!$A$18),
      AND(UPPER(TRIM(M2060))="STD", TRIM(B2060)=TRIM(Enginuity!$A$17))
    ),
    OR(
      AND(LEFT(P2060,5)="1-Way", Enginuity!$B$13=1),
      AND(LEFT(P2060,5)="2-Way", OR(Enginuity!$B$13=2, Enginuity!$B$13=4)),
      AND(LEFT(P2060,5)="3-Way", OR(Enginuity!$B$13=3, Enginuity!$B$13=6)),
      AND(P2060="Inner Centre Jamb", OR(Enginuity!$B$13=4, Enginuity!$B$13=6)),
      AND(
        LEFT(P2060,5)&lt;&gt;"1-Way",
        LEFT(P2060,5)&lt;&gt;"2-Way",
        LEFT(P2060,5)&lt;&gt;"3-Way",
        P2060&lt;&gt;"Inner Centre Jamb"
      )
    ),
    IF(OR(Enginuity!$A$1="Frameless Glass",Enginuity!$A$1="Metal Work"),
      AND(TRIM(B2060)=TRIM(Enginuity!$A$17),TRIM(C2060)=TRIM(Enginuity!$A$18)),
      TRIM(B2060)=TRIM(Enginuity!$A$17)
    )
  ),
  ROW(),
  ""
)</f>
        <v/>
      </c>
    </row>
    <row r="2061" spans="1:21" x14ac:dyDescent="0.25">
      <c r="A2061" s="10"/>
      <c r="B2061" s="229"/>
      <c r="C2061" s="10"/>
      <c r="D2061" s="36"/>
      <c r="E2061" s="157"/>
      <c r="F2061" s="10"/>
      <c r="G2061" s="17"/>
      <c r="H2061" s="10"/>
      <c r="I2061" s="17"/>
      <c r="J2061" s="83"/>
      <c r="K2061" s="343"/>
      <c r="L2061" s="347"/>
      <c r="M2061" s="89">
        <f t="shared" si="37"/>
        <v>25</v>
      </c>
      <c r="N2061" s="10" t="s">
        <v>1445</v>
      </c>
      <c r="O2061" s="22">
        <v>60</v>
      </c>
      <c r="P2061" s="14" t="s">
        <v>1456</v>
      </c>
      <c r="Q2061" s="22">
        <f>IF(Enginuity!$B$6="","",CEILING(0.0093*Enginuity!$B$6/5,1))</f>
        <v>1</v>
      </c>
      <c r="U2061" s="104" t="str">
        <f>IF(
  AND(
    TRIM(A2061)=TRIM(Enginuity!$A$1),
    TRIM(B2061)=TRIM(Enginuity!$A$17),
    Q2061&lt;&gt;"",
    Q2061&lt;&gt;0,
    OR(
      TRIM(C2061)=TRIM(Enginuity!$A$18),
      AND(UPPER(TRIM(M2061))="STD", TRIM(B2061)=TRIM(Enginuity!$A$17))
    ),
    OR(
      AND(LEFT(P2061,5)="1-Way", Enginuity!$B$13=1),
      AND(LEFT(P2061,5)="2-Way", OR(Enginuity!$B$13=2, Enginuity!$B$13=4)),
      AND(LEFT(P2061,5)="3-Way", OR(Enginuity!$B$13=3, Enginuity!$B$13=6)),
      AND(P2061="Inner Centre Jamb", OR(Enginuity!$B$13=4, Enginuity!$B$13=6)),
      AND(
        LEFT(P2061,5)&lt;&gt;"1-Way",
        LEFT(P2061,5)&lt;&gt;"2-Way",
        LEFT(P2061,5)&lt;&gt;"3-Way",
        P2061&lt;&gt;"Inner Centre Jamb"
      )
    ),
    IF(OR(Enginuity!$A$1="Frameless Glass",Enginuity!$A$1="Metal Work"),
      AND(TRIM(B2061)=TRIM(Enginuity!$A$17),TRIM(C2061)=TRIM(Enginuity!$A$18)),
      TRIM(B2061)=TRIM(Enginuity!$A$17)
    )
  ),
  ROW(),
  ""
)</f>
        <v/>
      </c>
    </row>
    <row r="2062" spans="1:21" x14ac:dyDescent="0.25">
      <c r="A2062" s="10"/>
      <c r="B2062" s="229"/>
      <c r="C2062" s="10"/>
      <c r="D2062" s="36"/>
      <c r="E2062" s="157"/>
      <c r="F2062" s="10"/>
      <c r="G2062" s="17"/>
      <c r="H2062" s="10"/>
      <c r="I2062" s="17"/>
      <c r="J2062" s="83"/>
      <c r="K2062" s="343"/>
      <c r="L2062" s="347"/>
      <c r="M2062" s="89">
        <f t="shared" si="37"/>
        <v>26</v>
      </c>
      <c r="N2062" s="10" t="s">
        <v>1445</v>
      </c>
      <c r="O2062" s="22">
        <v>85</v>
      </c>
      <c r="P2062" s="14" t="s">
        <v>1457</v>
      </c>
      <c r="Q2062" s="22">
        <f>IF(Enginuity!$B$6="","",CEILING(0.0186*Enginuity!$B$6/18,1))</f>
        <v>1</v>
      </c>
      <c r="U2062" s="104" t="str">
        <f>IF(
  AND(
    TRIM(A2062)=TRIM(Enginuity!$A$1),
    TRIM(B2062)=TRIM(Enginuity!$A$17),
    Q2062&lt;&gt;"",
    Q2062&lt;&gt;0,
    OR(
      TRIM(C2062)=TRIM(Enginuity!$A$18),
      AND(UPPER(TRIM(M2062))="STD", TRIM(B2062)=TRIM(Enginuity!$A$17))
    ),
    OR(
      AND(LEFT(P2062,5)="1-Way", Enginuity!$B$13=1),
      AND(LEFT(P2062,5)="2-Way", OR(Enginuity!$B$13=2, Enginuity!$B$13=4)),
      AND(LEFT(P2062,5)="3-Way", OR(Enginuity!$B$13=3, Enginuity!$B$13=6)),
      AND(P2062="Inner Centre Jamb", OR(Enginuity!$B$13=4, Enginuity!$B$13=6)),
      AND(
        LEFT(P2062,5)&lt;&gt;"1-Way",
        LEFT(P2062,5)&lt;&gt;"2-Way",
        LEFT(P2062,5)&lt;&gt;"3-Way",
        P2062&lt;&gt;"Inner Centre Jamb"
      )
    ),
    IF(OR(Enginuity!$A$1="Frameless Glass",Enginuity!$A$1="Metal Work"),
      AND(TRIM(B2062)=TRIM(Enginuity!$A$17),TRIM(C2062)=TRIM(Enginuity!$A$18)),
      TRIM(B2062)=TRIM(Enginuity!$A$17)
    )
  ),
  ROW(),
  ""
)</f>
        <v/>
      </c>
    </row>
    <row r="2063" spans="1:21" x14ac:dyDescent="0.25">
      <c r="A2063" s="10"/>
      <c r="B2063" s="229"/>
      <c r="C2063" s="10"/>
      <c r="D2063" s="36"/>
      <c r="E2063" s="157"/>
      <c r="F2063" s="10"/>
      <c r="G2063" s="17"/>
      <c r="H2063" s="10"/>
      <c r="I2063" s="17"/>
      <c r="J2063" s="83"/>
      <c r="K2063" s="343"/>
      <c r="L2063" s="347"/>
      <c r="M2063" s="89">
        <f t="shared" si="37"/>
        <v>27</v>
      </c>
      <c r="N2063" s="10" t="s">
        <v>158</v>
      </c>
      <c r="O2063" s="22">
        <v>17</v>
      </c>
      <c r="P2063" s="14" t="s">
        <v>166</v>
      </c>
      <c r="Q2063" s="22">
        <f>IF(Enginuity!$B$6="","",MAX(Enginuity!$B$6,1000/$O$2063))</f>
        <v>58.823529411764703</v>
      </c>
      <c r="U2063" s="104" t="str">
        <f>IF(
  AND(
    TRIM(A2063)=TRIM(Enginuity!$A$1),
    TRIM(B2063)=TRIM(Enginuity!$A$17),
    Q2063&lt;&gt;"",
    Q2063&lt;&gt;0,
    OR(
      TRIM(C2063)=TRIM(Enginuity!$A$18),
      AND(UPPER(TRIM(M2063))="STD", TRIM(B2063)=TRIM(Enginuity!$A$17))
    ),
    OR(
      AND(LEFT(P2063,5)="1-Way", Enginuity!$B$13=1),
      AND(LEFT(P2063,5)="2-Way", OR(Enginuity!$B$13=2, Enginuity!$B$13=4)),
      AND(LEFT(P2063,5)="3-Way", OR(Enginuity!$B$13=3, Enginuity!$B$13=6)),
      AND(P2063="Inner Centre Jamb", OR(Enginuity!$B$13=4, Enginuity!$B$13=6)),
      AND(
        LEFT(P2063,5)&lt;&gt;"1-Way",
        LEFT(P2063,5)&lt;&gt;"2-Way",
        LEFT(P2063,5)&lt;&gt;"3-Way",
        P2063&lt;&gt;"Inner Centre Jamb"
      )
    ),
    IF(OR(Enginuity!$A$1="Frameless Glass",Enginuity!$A$1="Metal Work"),
      AND(TRIM(B2063)=TRIM(Enginuity!$A$17),TRIM(C2063)=TRIM(Enginuity!$A$18)),
      TRIM(B2063)=TRIM(Enginuity!$A$17)
    )
  ),
  ROW(),
  ""
)</f>
        <v/>
      </c>
    </row>
    <row r="2064" spans="1:21" x14ac:dyDescent="0.25">
      <c r="A2064" s="10"/>
      <c r="B2064" s="229"/>
      <c r="C2064" s="10"/>
      <c r="D2064" s="36"/>
      <c r="E2064" s="157"/>
      <c r="F2064" s="10"/>
      <c r="G2064" s="17"/>
      <c r="H2064" s="10"/>
      <c r="I2064" s="17"/>
      <c r="J2064" s="83"/>
      <c r="K2064" s="343"/>
      <c r="L2064" s="347"/>
      <c r="M2064" s="89">
        <f t="shared" si="37"/>
        <v>28</v>
      </c>
      <c r="N2064" s="14"/>
      <c r="O2064" s="195">
        <f>IF(Enginuity!$B$6="","",
   SUMPRODUCT($Q$2045:$Q$2062,$O$2045:$O$2062)
   + MAX(800,$Q$2063*$O$2063)
)</f>
        <v>1447.9</v>
      </c>
      <c r="P2064" s="257" t="s">
        <v>1461</v>
      </c>
      <c r="Q2064" s="22"/>
      <c r="U2064" s="104" t="str">
        <f>IF(
  AND(
    TRIM(A2064)=TRIM(Enginuity!$A$1),
    TRIM(B2064)=TRIM(Enginuity!$A$17),
    Q2064&lt;&gt;"",
    Q2064&lt;&gt;0,
    OR(
      TRIM(C2064)=TRIM(Enginuity!$A$18),
      AND(UPPER(TRIM(M2064))="STD", TRIM(B2064)=TRIM(Enginuity!$A$17))
    ),
    OR(
      AND(LEFT(P2064,5)="1-Way", Enginuity!$B$13=1),
      AND(LEFT(P2064,5)="2-Way", OR(Enginuity!$B$13=2, Enginuity!$B$13=4)),
      AND(LEFT(P2064,5)="3-Way", OR(Enginuity!$B$13=3, Enginuity!$B$13=6)),
      AND(P2064="Inner Centre Jamb", OR(Enginuity!$B$13=4, Enginuity!$B$13=6)),
      AND(
        LEFT(P2064,5)&lt;&gt;"1-Way",
        LEFT(P2064,5)&lt;&gt;"2-Way",
        LEFT(P2064,5)&lt;&gt;"3-Way",
        P2064&lt;&gt;"Inner Centre Jamb"
      )
    ),
    IF(OR(Enginuity!$A$1="Frameless Glass",Enginuity!$A$1="Metal Work"),
      AND(TRIM(B2064)=TRIM(Enginuity!$A$17),TRIM(C2064)=TRIM(Enginuity!$A$18)),
      TRIM(B2064)=TRIM(Enginuity!$A$17)
    )
  ),
  ROW(),
  ""
)</f>
        <v/>
      </c>
    </row>
    <row r="2065" spans="1:21" x14ac:dyDescent="0.25">
      <c r="A2065" s="10"/>
      <c r="B2065" s="229"/>
      <c r="C2065" s="10"/>
      <c r="D2065" s="36"/>
      <c r="E2065" s="157"/>
      <c r="F2065" s="10"/>
      <c r="G2065" s="17"/>
      <c r="H2065" s="10"/>
      <c r="I2065" s="17"/>
      <c r="J2065" s="83"/>
      <c r="K2065" s="343"/>
      <c r="L2065" s="347"/>
      <c r="M2065" s="89">
        <f t="shared" si="37"/>
        <v>29</v>
      </c>
      <c r="N2065" s="10"/>
      <c r="O2065" s="22"/>
      <c r="P2065" s="14"/>
      <c r="Q2065" s="22"/>
      <c r="U2065" s="104" t="str">
        <f>IF(
  AND(
    TRIM(A2065)=TRIM(Enginuity!$A$1),
    TRIM(B2065)=TRIM(Enginuity!$A$17),
    Q2065&lt;&gt;"",
    Q2065&lt;&gt;0,
    OR(
      TRIM(C2065)=TRIM(Enginuity!$A$18),
      AND(UPPER(TRIM(M2065))="STD", TRIM(B2065)=TRIM(Enginuity!$A$17))
    ),
    OR(
      AND(LEFT(P2065,5)="1-Way", Enginuity!$B$13=1),
      AND(LEFT(P2065,5)="2-Way", OR(Enginuity!$B$13=2, Enginuity!$B$13=4)),
      AND(LEFT(P2065,5)="3-Way", OR(Enginuity!$B$13=3, Enginuity!$B$13=6)),
      AND(P2065="Inner Centre Jamb", OR(Enginuity!$B$13=4, Enginuity!$B$13=6)),
      AND(
        LEFT(P2065,5)&lt;&gt;"1-Way",
        LEFT(P2065,5)&lt;&gt;"2-Way",
        LEFT(P2065,5)&lt;&gt;"3-Way",
        P2065&lt;&gt;"Inner Centre Jamb"
      )
    ),
    IF(OR(Enginuity!$A$1="Frameless Glass",Enginuity!$A$1="Metal Work"),
      AND(TRIM(B2065)=TRIM(Enginuity!$A$17),TRIM(C2065)=TRIM(Enginuity!$A$18)),
      TRIM(B2065)=TRIM(Enginuity!$A$17)
    )
  ),
  ROW(),
  ""
)</f>
        <v/>
      </c>
    </row>
    <row r="2066" spans="1:21" x14ac:dyDescent="0.25">
      <c r="A2066" s="10"/>
      <c r="B2066" s="229"/>
      <c r="C2066" s="10"/>
      <c r="D2066" s="36"/>
      <c r="E2066" s="157"/>
      <c r="F2066" s="10"/>
      <c r="G2066" s="17"/>
      <c r="H2066" s="10"/>
      <c r="I2066" s="17"/>
      <c r="J2066" s="83"/>
      <c r="K2066" s="343"/>
      <c r="L2066" s="347"/>
      <c r="M2066" s="89">
        <f t="shared" si="37"/>
        <v>30</v>
      </c>
      <c r="N2066" s="10"/>
      <c r="O2066" s="22"/>
      <c r="P2066" s="14"/>
      <c r="Q2066" s="22"/>
      <c r="U2066" s="104" t="str">
        <f>IF(
  AND(
    TRIM(A2066)=TRIM(Enginuity!$A$1),
    TRIM(B2066)=TRIM(Enginuity!$A$17),
    Q2066&lt;&gt;"",
    Q2066&lt;&gt;0,
    OR(
      TRIM(C2066)=TRIM(Enginuity!$A$18),
      AND(UPPER(TRIM(M2066))="STD", TRIM(B2066)=TRIM(Enginuity!$A$17))
    ),
    OR(
      AND(LEFT(P2066,5)="1-Way", Enginuity!$B$13=1),
      AND(LEFT(P2066,5)="2-Way", OR(Enginuity!$B$13=2, Enginuity!$B$13=4)),
      AND(LEFT(P2066,5)="3-Way", OR(Enginuity!$B$13=3, Enginuity!$B$13=6)),
      AND(P2066="Inner Centre Jamb", OR(Enginuity!$B$13=4, Enginuity!$B$13=6)),
      AND(
        LEFT(P2066,5)&lt;&gt;"1-Way",
        LEFT(P2066,5)&lt;&gt;"2-Way",
        LEFT(P2066,5)&lt;&gt;"3-Way",
        P2066&lt;&gt;"Inner Centre Jamb"
      )
    ),
    IF(OR(Enginuity!$A$1="Frameless Glass",Enginuity!$A$1="Metal Work"),
      AND(TRIM(B2066)=TRIM(Enginuity!$A$17),TRIM(C2066)=TRIM(Enginuity!$A$18)),
      TRIM(B2066)=TRIM(Enginuity!$A$17)
    )
  ),
  ROW(),
  ""
)</f>
        <v/>
      </c>
    </row>
    <row r="2067" spans="1:21" x14ac:dyDescent="0.25">
      <c r="A2067" s="10"/>
      <c r="B2067" s="229"/>
      <c r="C2067" s="10"/>
      <c r="D2067" s="36"/>
      <c r="E2067" s="157"/>
      <c r="F2067" s="10"/>
      <c r="G2067" s="17"/>
      <c r="H2067" s="10"/>
      <c r="I2067" s="17"/>
      <c r="J2067" s="83"/>
      <c r="K2067" s="343"/>
      <c r="L2067" s="347"/>
      <c r="M2067" s="89">
        <f t="shared" si="37"/>
        <v>31</v>
      </c>
      <c r="N2067" s="14"/>
      <c r="O2067" s="195"/>
      <c r="P2067" s="257"/>
      <c r="Q2067" s="22"/>
      <c r="U2067" s="104" t="str">
        <f>IF(
  AND(
    TRIM(A2067)=TRIM(Enginuity!$A$1),
    TRIM(B2067)=TRIM(Enginuity!$A$17),
    Q2067&lt;&gt;"",
    Q2067&lt;&gt;0,
    OR(
      TRIM(C2067)=TRIM(Enginuity!$A$18),
      AND(UPPER(TRIM(M2067))="STD", TRIM(B2067)=TRIM(Enginuity!$A$17))
    ),
    OR(
      AND(LEFT(P2067,5)="1-Way", Enginuity!$B$13=1),
      AND(LEFT(P2067,5)="2-Way", OR(Enginuity!$B$13=2, Enginuity!$B$13=4)),
      AND(LEFT(P2067,5)="3-Way", OR(Enginuity!$B$13=3, Enginuity!$B$13=6)),
      AND(P2067="Inner Centre Jamb", OR(Enginuity!$B$13=4, Enginuity!$B$13=6)),
      AND(
        LEFT(P2067,5)&lt;&gt;"1-Way",
        LEFT(P2067,5)&lt;&gt;"2-Way",
        LEFT(P2067,5)&lt;&gt;"3-Way",
        P2067&lt;&gt;"Inner Centre Jamb"
      )
    ),
    IF(OR(Enginuity!$A$1="Frameless Glass",Enginuity!$A$1="Metal Work"),
      AND(TRIM(B2067)=TRIM(Enginuity!$A$17),TRIM(C2067)=TRIM(Enginuity!$A$18)),
      TRIM(B2067)=TRIM(Enginuity!$A$17)
    )
  ),
  ROW(),
  ""
)</f>
        <v/>
      </c>
    </row>
    <row r="2068" spans="1:21" x14ac:dyDescent="0.25">
      <c r="A2068" s="10"/>
      <c r="B2068" s="229"/>
      <c r="C2068" s="10"/>
      <c r="D2068" s="14"/>
      <c r="E2068" s="157"/>
      <c r="F2068" s="10"/>
      <c r="G2068" s="17"/>
      <c r="H2068" s="10"/>
      <c r="I2068" s="17"/>
      <c r="J2068" s="83"/>
      <c r="K2068" s="343"/>
      <c r="L2068" s="347"/>
      <c r="M2068" s="89">
        <f t="shared" si="37"/>
        <v>32</v>
      </c>
      <c r="N2068" s="10"/>
      <c r="O2068" s="22"/>
      <c r="P2068" s="14"/>
      <c r="Q2068" s="83"/>
      <c r="U2068" s="104" t="str">
        <f>IF(
  AND(
    TRIM(A2068)=TRIM(Enginuity!$A$1),
    TRIM(B2068)=TRIM(Enginuity!$A$17),
    Q2068&lt;&gt;"",
    Q2068&lt;&gt;0,
    OR(
      TRIM(C2068)=TRIM(Enginuity!$A$18),
      AND(UPPER(TRIM(M2068))="STD", TRIM(B2068)=TRIM(Enginuity!$A$17))
    ),
    OR(
      AND(LEFT(P2068,5)="1-Way", Enginuity!$B$13=1),
      AND(LEFT(P2068,5)="2-Way", OR(Enginuity!$B$13=2, Enginuity!$B$13=4)),
      AND(LEFT(P2068,5)="3-Way", OR(Enginuity!$B$13=3, Enginuity!$B$13=6)),
      AND(P2068="Inner Centre Jamb", OR(Enginuity!$B$13=4, Enginuity!$B$13=6)),
      AND(
        LEFT(P2068,5)&lt;&gt;"1-Way",
        LEFT(P2068,5)&lt;&gt;"2-Way",
        LEFT(P2068,5)&lt;&gt;"3-Way",
        P2068&lt;&gt;"Inner Centre Jamb"
      )
    ),
    IF(OR(Enginuity!$A$1="Frameless Glass",Enginuity!$A$1="Metal Work"),
      AND(TRIM(B2068)=TRIM(Enginuity!$A$17),TRIM(C2068)=TRIM(Enginuity!$A$18)),
      TRIM(B2068)=TRIM(Enginuity!$A$17)
    )
  ),
  ROW(),
  ""
)</f>
        <v/>
      </c>
    </row>
    <row r="2069" spans="1:21" x14ac:dyDescent="0.25">
      <c r="A2069" s="10"/>
      <c r="B2069" s="229"/>
      <c r="C2069" s="10"/>
      <c r="D2069" s="14"/>
      <c r="E2069" s="157"/>
      <c r="F2069" s="10"/>
      <c r="G2069" s="17"/>
      <c r="H2069" s="10"/>
      <c r="I2069" s="17"/>
      <c r="J2069" s="83"/>
      <c r="K2069" s="343"/>
      <c r="L2069" s="347"/>
      <c r="M2069" s="89">
        <f t="shared" si="37"/>
        <v>33</v>
      </c>
      <c r="N2069" s="10"/>
      <c r="O2069" s="22"/>
      <c r="P2069" s="14"/>
      <c r="Q2069" s="83"/>
      <c r="U2069" s="104" t="str">
        <f>IF(
  AND(
    TRIM(A2069)=TRIM(Enginuity!$A$1),
    TRIM(B2069)=TRIM(Enginuity!$A$17),
    Q2069&lt;&gt;"",
    Q2069&lt;&gt;0,
    OR(
      TRIM(C2069)=TRIM(Enginuity!$A$18),
      AND(UPPER(TRIM(M2069))="STD", TRIM(B2069)=TRIM(Enginuity!$A$17))
    ),
    OR(
      AND(LEFT(P2069,5)="1-Way", Enginuity!$B$13=1),
      AND(LEFT(P2069,5)="2-Way", OR(Enginuity!$B$13=2, Enginuity!$B$13=4)),
      AND(LEFT(P2069,5)="3-Way", OR(Enginuity!$B$13=3, Enginuity!$B$13=6)),
      AND(P2069="Inner Centre Jamb", OR(Enginuity!$B$13=4, Enginuity!$B$13=6)),
      AND(
        LEFT(P2069,5)&lt;&gt;"1-Way",
        LEFT(P2069,5)&lt;&gt;"2-Way",
        LEFT(P2069,5)&lt;&gt;"3-Way",
        P2069&lt;&gt;"Inner Centre Jamb"
      )
    ),
    IF(OR(Enginuity!$A$1="Frameless Glass",Enginuity!$A$1="Metal Work"),
      AND(TRIM(B2069)=TRIM(Enginuity!$A$17),TRIM(C2069)=TRIM(Enginuity!$A$18)),
      TRIM(B2069)=TRIM(Enginuity!$A$17)
    )
  ),
  ROW(),
  ""
)</f>
        <v/>
      </c>
    </row>
    <row r="2070" spans="1:21" x14ac:dyDescent="0.25">
      <c r="A2070" s="10"/>
      <c r="B2070" s="229"/>
      <c r="C2070" s="10"/>
      <c r="D2070" s="14"/>
      <c r="E2070" s="157"/>
      <c r="F2070" s="10"/>
      <c r="G2070" s="17"/>
      <c r="H2070" s="10"/>
      <c r="I2070" s="17"/>
      <c r="J2070" s="83"/>
      <c r="K2070" s="343"/>
      <c r="L2070" s="347"/>
      <c r="M2070" s="89">
        <f t="shared" si="37"/>
        <v>34</v>
      </c>
      <c r="N2070" s="10"/>
      <c r="O2070" s="22"/>
      <c r="P2070" s="36"/>
      <c r="Q2070" s="83"/>
      <c r="U2070" s="104" t="str">
        <f>IF(
  AND(
    TRIM(A2070)=TRIM(Enginuity!$A$1),
    TRIM(B2070)=TRIM(Enginuity!$A$17),
    Q2070&lt;&gt;"",
    Q2070&lt;&gt;0,
    OR(
      TRIM(C2070)=TRIM(Enginuity!$A$18),
      AND(UPPER(TRIM(M2070))="STD", TRIM(B2070)=TRIM(Enginuity!$A$17))
    ),
    OR(
      AND(LEFT(P2070,5)="1-Way", Enginuity!$B$13=1),
      AND(LEFT(P2070,5)="2-Way", OR(Enginuity!$B$13=2, Enginuity!$B$13=4)),
      AND(LEFT(P2070,5)="3-Way", OR(Enginuity!$B$13=3, Enginuity!$B$13=6)),
      AND(P2070="Inner Centre Jamb", OR(Enginuity!$B$13=4, Enginuity!$B$13=6)),
      AND(
        LEFT(P2070,5)&lt;&gt;"1-Way",
        LEFT(P2070,5)&lt;&gt;"2-Way",
        LEFT(P2070,5)&lt;&gt;"3-Way",
        P2070&lt;&gt;"Inner Centre Jamb"
      )
    ),
    IF(OR(Enginuity!$A$1="Frameless Glass",Enginuity!$A$1="Metal Work"),
      AND(TRIM(B2070)=TRIM(Enginuity!$A$17),TRIM(C2070)=TRIM(Enginuity!$A$18)),
      TRIM(B2070)=TRIM(Enginuity!$A$17)
    )
  ),
  ROW(),
  ""
)</f>
        <v/>
      </c>
    </row>
    <row r="2071" spans="1:21" x14ac:dyDescent="0.25">
      <c r="A2071" s="10"/>
      <c r="B2071" s="229"/>
      <c r="C2071" s="10"/>
      <c r="D2071" s="14"/>
      <c r="E2071" s="157"/>
      <c r="F2071" s="10"/>
      <c r="G2071" s="17"/>
      <c r="H2071" s="10"/>
      <c r="I2071" s="17"/>
      <c r="J2071" s="83"/>
      <c r="K2071" s="343"/>
      <c r="L2071" s="347"/>
      <c r="M2071" s="89">
        <f t="shared" si="37"/>
        <v>35</v>
      </c>
      <c r="N2071" s="10"/>
      <c r="O2071" s="22"/>
      <c r="P2071" s="14"/>
      <c r="Q2071" s="83"/>
      <c r="U2071" s="104" t="str">
        <f>IF(
  AND(
    TRIM(A2071)=TRIM(Enginuity!$A$1),
    TRIM(B2071)=TRIM(Enginuity!$A$17),
    Q2071&lt;&gt;"",
    Q2071&lt;&gt;0,
    OR(
      TRIM(C2071)=TRIM(Enginuity!$A$18),
      AND(UPPER(TRIM(M2071))="STD", TRIM(B2071)=TRIM(Enginuity!$A$17))
    ),
    OR(
      AND(LEFT(P2071,5)="1-Way", Enginuity!$B$13=1),
      AND(LEFT(P2071,5)="2-Way", OR(Enginuity!$B$13=2, Enginuity!$B$13=4)),
      AND(LEFT(P2071,5)="3-Way", OR(Enginuity!$B$13=3, Enginuity!$B$13=6)),
      AND(P2071="Inner Centre Jamb", OR(Enginuity!$B$13=4, Enginuity!$B$13=6)),
      AND(
        LEFT(P2071,5)&lt;&gt;"1-Way",
        LEFT(P2071,5)&lt;&gt;"2-Way",
        LEFT(P2071,5)&lt;&gt;"3-Way",
        P2071&lt;&gt;"Inner Centre Jamb"
      )
    ),
    IF(OR(Enginuity!$A$1="Frameless Glass",Enginuity!$A$1="Metal Work"),
      AND(TRIM(B2071)=TRIM(Enginuity!$A$17),TRIM(C2071)=TRIM(Enginuity!$A$18)),
      TRIM(B2071)=TRIM(Enginuity!$A$17)
    )
  ),
  ROW(),
  ""
)</f>
        <v/>
      </c>
    </row>
    <row r="2072" spans="1:21" x14ac:dyDescent="0.25">
      <c r="A2072" s="10"/>
      <c r="B2072" s="229"/>
      <c r="C2072" s="10"/>
      <c r="D2072" s="14"/>
      <c r="E2072" s="157"/>
      <c r="F2072" s="10"/>
      <c r="G2072" s="17"/>
      <c r="H2072" s="10"/>
      <c r="I2072" s="17"/>
      <c r="J2072" s="83"/>
      <c r="K2072" s="343"/>
      <c r="L2072" s="347"/>
      <c r="M2072" s="89">
        <f t="shared" si="37"/>
        <v>36</v>
      </c>
      <c r="N2072" s="10"/>
      <c r="O2072" s="22">
        <v>153.5</v>
      </c>
      <c r="P2072" s="14" t="s">
        <v>247</v>
      </c>
      <c r="Q2072" s="83"/>
      <c r="U2072" s="104" t="str">
        <f>IF(
  AND(
    TRIM(A2072)=TRIM(Enginuity!$A$1),
    TRIM(B2072)=TRIM(Enginuity!$A$17),
    Q2072&lt;&gt;"",
    Q2072&lt;&gt;0,
    OR(
      TRIM(C2072)=TRIM(Enginuity!$A$18),
      AND(UPPER(TRIM(M2072))="STD", TRIM(B2072)=TRIM(Enginuity!$A$17))
    ),
    OR(
      AND(LEFT(P2072,5)="1-Way", Enginuity!$B$13=1),
      AND(LEFT(P2072,5)="2-Way", OR(Enginuity!$B$13=2, Enginuity!$B$13=4)),
      AND(LEFT(P2072,5)="3-Way", OR(Enginuity!$B$13=3, Enginuity!$B$13=6)),
      AND(P2072="Inner Centre Jamb", OR(Enginuity!$B$13=4, Enginuity!$B$13=6)),
      AND(
        LEFT(P2072,5)&lt;&gt;"1-Way",
        LEFT(P2072,5)&lt;&gt;"2-Way",
        LEFT(P2072,5)&lt;&gt;"3-Way",
        P2072&lt;&gt;"Inner Centre Jamb"
      )
    ),
    IF(OR(Enginuity!$A$1="Frameless Glass",Enginuity!$A$1="Metal Work"),
      AND(TRIM(B2072)=TRIM(Enginuity!$A$17),TRIM(C2072)=TRIM(Enginuity!$A$18)),
      TRIM(B2072)=TRIM(Enginuity!$A$17)
    )
  ),
  ROW(),
  ""
)</f>
        <v/>
      </c>
    </row>
    <row r="2073" spans="1:21" x14ac:dyDescent="0.25">
      <c r="A2073" s="10"/>
      <c r="B2073" s="229"/>
      <c r="C2073" s="10"/>
      <c r="D2073" s="14"/>
      <c r="E2073" s="157"/>
      <c r="F2073" s="10"/>
      <c r="G2073" s="17"/>
      <c r="H2073" s="10"/>
      <c r="I2073" s="17"/>
      <c r="J2073" s="83"/>
      <c r="K2073" s="343"/>
      <c r="L2073" s="347"/>
      <c r="M2073" s="89">
        <f t="shared" si="37"/>
        <v>37</v>
      </c>
      <c r="N2073" s="10"/>
      <c r="O2073" s="22">
        <v>11</v>
      </c>
      <c r="P2073" s="14" t="s">
        <v>248</v>
      </c>
      <c r="Q2073" s="83"/>
      <c r="U2073" s="104" t="str">
        <f>IF(
  AND(
    TRIM(A2073)=TRIM(Enginuity!$A$1),
    TRIM(B2073)=TRIM(Enginuity!$A$17),
    Q2073&lt;&gt;"",
    Q2073&lt;&gt;0,
    OR(
      TRIM(C2073)=TRIM(Enginuity!$A$18),
      AND(UPPER(TRIM(M2073))="STD", TRIM(B2073)=TRIM(Enginuity!$A$17))
    ),
    OR(
      AND(LEFT(P2073,5)="1-Way", Enginuity!$B$13=1),
      AND(LEFT(P2073,5)="2-Way", OR(Enginuity!$B$13=2, Enginuity!$B$13=4)),
      AND(LEFT(P2073,5)="3-Way", OR(Enginuity!$B$13=3, Enginuity!$B$13=6)),
      AND(P2073="Inner Centre Jamb", OR(Enginuity!$B$13=4, Enginuity!$B$13=6)),
      AND(
        LEFT(P2073,5)&lt;&gt;"1-Way",
        LEFT(P2073,5)&lt;&gt;"2-Way",
        LEFT(P2073,5)&lt;&gt;"3-Way",
        P2073&lt;&gt;"Inner Centre Jamb"
      )
    ),
    IF(OR(Enginuity!$A$1="Frameless Glass",Enginuity!$A$1="Metal Work"),
      AND(TRIM(B2073)=TRIM(Enginuity!$A$17),TRIM(C2073)=TRIM(Enginuity!$A$18)),
      TRIM(B2073)=TRIM(Enginuity!$A$17)
    )
  ),
  ROW(),
  ""
)</f>
        <v/>
      </c>
    </row>
    <row r="2074" spans="1:21" x14ac:dyDescent="0.25">
      <c r="A2074" s="10"/>
      <c r="B2074" s="229"/>
      <c r="C2074" s="10"/>
      <c r="D2074" s="14"/>
      <c r="E2074" s="157"/>
      <c r="F2074" s="10"/>
      <c r="G2074" s="17"/>
      <c r="H2074" s="10"/>
      <c r="I2074" s="17"/>
      <c r="J2074" s="83"/>
      <c r="K2074" s="343"/>
      <c r="L2074" s="347"/>
      <c r="M2074" s="89">
        <f t="shared" si="37"/>
        <v>38</v>
      </c>
      <c r="N2074" s="10"/>
      <c r="O2074" s="22">
        <v>11</v>
      </c>
      <c r="P2074" s="14" t="s">
        <v>249</v>
      </c>
      <c r="Q2074" s="83"/>
      <c r="U2074" s="104" t="str">
        <f>IF(
  AND(
    TRIM(A2074)=TRIM(Enginuity!$A$1),
    TRIM(B2074)=TRIM(Enginuity!$A$17),
    Q2074&lt;&gt;"",
    Q2074&lt;&gt;0,
    OR(
      TRIM(C2074)=TRIM(Enginuity!$A$18),
      AND(UPPER(TRIM(M2074))="STD", TRIM(B2074)=TRIM(Enginuity!$A$17))
    ),
    OR(
      AND(LEFT(P2074,5)="1-Way", Enginuity!$B$13=1),
      AND(LEFT(P2074,5)="2-Way", OR(Enginuity!$B$13=2, Enginuity!$B$13=4)),
      AND(LEFT(P2074,5)="3-Way", OR(Enginuity!$B$13=3, Enginuity!$B$13=6)),
      AND(P2074="Inner Centre Jamb", OR(Enginuity!$B$13=4, Enginuity!$B$13=6)),
      AND(
        LEFT(P2074,5)&lt;&gt;"1-Way",
        LEFT(P2074,5)&lt;&gt;"2-Way",
        LEFT(P2074,5)&lt;&gt;"3-Way",
        P2074&lt;&gt;"Inner Centre Jamb"
      )
    ),
    IF(OR(Enginuity!$A$1="Frameless Glass",Enginuity!$A$1="Metal Work"),
      AND(TRIM(B2074)=TRIM(Enginuity!$A$17),TRIM(C2074)=TRIM(Enginuity!$A$18)),
      TRIM(B2074)=TRIM(Enginuity!$A$17)
    )
  ),
  ROW(),
  ""
)</f>
        <v/>
      </c>
    </row>
    <row r="2075" spans="1:21" x14ac:dyDescent="0.25">
      <c r="A2075" s="10"/>
      <c r="B2075" s="229"/>
      <c r="C2075" s="10"/>
      <c r="D2075" s="14"/>
      <c r="E2075" s="157"/>
      <c r="F2075" s="10"/>
      <c r="G2075" s="17"/>
      <c r="H2075" s="10"/>
      <c r="I2075" s="17"/>
      <c r="J2075" s="83"/>
      <c r="K2075" s="343"/>
      <c r="L2075" s="347"/>
      <c r="M2075" s="89">
        <f t="shared" si="37"/>
        <v>39</v>
      </c>
      <c r="N2075" s="10"/>
      <c r="O2075" s="22">
        <v>3.5</v>
      </c>
      <c r="P2075" s="14" t="s">
        <v>250</v>
      </c>
      <c r="Q2075" s="83"/>
      <c r="U2075" s="104" t="str">
        <f>IF(
  AND(
    TRIM(A2075)=TRIM(Enginuity!$A$1),
    TRIM(B2075)=TRIM(Enginuity!$A$17),
    Q2075&lt;&gt;"",
    Q2075&lt;&gt;0,
    OR(
      TRIM(C2075)=TRIM(Enginuity!$A$18),
      AND(UPPER(TRIM(M2075))="STD", TRIM(B2075)=TRIM(Enginuity!$A$17))
    ),
    OR(
      AND(LEFT(P2075,5)="1-Way", Enginuity!$B$13=1),
      AND(LEFT(P2075,5)="2-Way", OR(Enginuity!$B$13=2, Enginuity!$B$13=4)),
      AND(LEFT(P2075,5)="3-Way", OR(Enginuity!$B$13=3, Enginuity!$B$13=6)),
      AND(P2075="Inner Centre Jamb", OR(Enginuity!$B$13=4, Enginuity!$B$13=6)),
      AND(
        LEFT(P2075,5)&lt;&gt;"1-Way",
        LEFT(P2075,5)&lt;&gt;"2-Way",
        LEFT(P2075,5)&lt;&gt;"3-Way",
        P2075&lt;&gt;"Inner Centre Jamb"
      )
    ),
    IF(OR(Enginuity!$A$1="Frameless Glass",Enginuity!$A$1="Metal Work"),
      AND(TRIM(B2075)=TRIM(Enginuity!$A$17),TRIM(C2075)=TRIM(Enginuity!$A$18)),
      TRIM(B2075)=TRIM(Enginuity!$A$17)
    )
  ),
  ROW(),
  ""
)</f>
        <v/>
      </c>
    </row>
    <row r="2076" spans="1:21" x14ac:dyDescent="0.25">
      <c r="A2076" s="10"/>
      <c r="B2076" s="229"/>
      <c r="C2076" s="10"/>
      <c r="D2076" s="14"/>
      <c r="E2076" s="157"/>
      <c r="F2076" s="10"/>
      <c r="G2076" s="17"/>
      <c r="H2076" s="10"/>
      <c r="I2076" s="17"/>
      <c r="J2076" s="83"/>
      <c r="K2076" s="343"/>
      <c r="L2076" s="347"/>
      <c r="M2076" s="89">
        <f t="shared" si="37"/>
        <v>40</v>
      </c>
      <c r="N2076" s="10"/>
      <c r="O2076" s="22"/>
      <c r="P2076" s="36"/>
      <c r="Q2076" s="83"/>
      <c r="U2076" s="104" t="str">
        <f>IF(
  AND(
    TRIM(A2076)=TRIM(Enginuity!$A$1),
    TRIM(B2076)=TRIM(Enginuity!$A$17),
    Q2076&lt;&gt;"",
    Q2076&lt;&gt;0,
    OR(
      TRIM(C2076)=TRIM(Enginuity!$A$18),
      AND(UPPER(TRIM(M2076))="STD", TRIM(B2076)=TRIM(Enginuity!$A$17))
    ),
    OR(
      AND(LEFT(P2076,5)="1-Way", Enginuity!$B$13=1),
      AND(LEFT(P2076,5)="2-Way", OR(Enginuity!$B$13=2, Enginuity!$B$13=4)),
      AND(LEFT(P2076,5)="3-Way", OR(Enginuity!$B$13=3, Enginuity!$B$13=6)),
      AND(P2076="Inner Centre Jamb", OR(Enginuity!$B$13=4, Enginuity!$B$13=6)),
      AND(
        LEFT(P2076,5)&lt;&gt;"1-Way",
        LEFT(P2076,5)&lt;&gt;"2-Way",
        LEFT(P2076,5)&lt;&gt;"3-Way",
        P2076&lt;&gt;"Inner Centre Jamb"
      )
    ),
    IF(OR(Enginuity!$A$1="Frameless Glass",Enginuity!$A$1="Metal Work"),
      AND(TRIM(B2076)=TRIM(Enginuity!$A$17),TRIM(C2076)=TRIM(Enginuity!$A$18)),
      TRIM(B2076)=TRIM(Enginuity!$A$17)
    )
  ),
  ROW(),
  ""
)</f>
        <v/>
      </c>
    </row>
    <row r="2077" spans="1:21" x14ac:dyDescent="0.25">
      <c r="A2077" s="10"/>
      <c r="B2077" s="229"/>
      <c r="C2077" s="10"/>
      <c r="D2077" s="14"/>
      <c r="E2077" s="157"/>
      <c r="F2077" s="10"/>
      <c r="G2077" s="17"/>
      <c r="H2077" s="10"/>
      <c r="I2077" s="17"/>
      <c r="J2077" s="83"/>
      <c r="K2077" s="343"/>
      <c r="L2077" s="347"/>
      <c r="M2077" s="89">
        <f t="shared" si="37"/>
        <v>41</v>
      </c>
      <c r="N2077" s="10"/>
      <c r="O2077" s="22"/>
      <c r="P2077" s="21"/>
      <c r="Q2077" s="83"/>
      <c r="U2077" s="104" t="str">
        <f>IF(
  AND(
    TRIM(A2077)=TRIM(Enginuity!$A$1),
    TRIM(B2077)=TRIM(Enginuity!$A$17),
    Q2077&lt;&gt;"",
    Q2077&lt;&gt;0,
    OR(
      TRIM(C2077)=TRIM(Enginuity!$A$18),
      AND(UPPER(TRIM(M2077))="STD", TRIM(B2077)=TRIM(Enginuity!$A$17))
    ),
    OR(
      AND(LEFT(P2077,5)="1-Way", Enginuity!$B$13=1),
      AND(LEFT(P2077,5)="2-Way", OR(Enginuity!$B$13=2, Enginuity!$B$13=4)),
      AND(LEFT(P2077,5)="3-Way", OR(Enginuity!$B$13=3, Enginuity!$B$13=6)),
      AND(P2077="Inner Centre Jamb", OR(Enginuity!$B$13=4, Enginuity!$B$13=6)),
      AND(
        LEFT(P2077,5)&lt;&gt;"1-Way",
        LEFT(P2077,5)&lt;&gt;"2-Way",
        LEFT(P2077,5)&lt;&gt;"3-Way",
        P2077&lt;&gt;"Inner Centre Jamb"
      )
    ),
    IF(OR(Enginuity!$A$1="Frameless Glass",Enginuity!$A$1="Metal Work"),
      AND(TRIM(B2077)=TRIM(Enginuity!$A$17),TRIM(C2077)=TRIM(Enginuity!$A$18)),
      TRIM(B2077)=TRIM(Enginuity!$A$17)
    )
  ),
  ROW(),
  ""
)</f>
        <v/>
      </c>
    </row>
    <row r="2078" spans="1:21" x14ac:dyDescent="0.25">
      <c r="A2078" s="10"/>
      <c r="B2078" s="229"/>
      <c r="C2078" s="10"/>
      <c r="D2078" s="14"/>
      <c r="E2078" s="157"/>
      <c r="F2078" s="10"/>
      <c r="G2078" s="17"/>
      <c r="H2078" s="10"/>
      <c r="I2078" s="17"/>
      <c r="J2078" s="83"/>
      <c r="K2078" s="343"/>
      <c r="L2078" s="347"/>
      <c r="M2078" s="89">
        <f t="shared" si="37"/>
        <v>42</v>
      </c>
      <c r="N2078" s="10"/>
      <c r="O2078" s="22"/>
      <c r="P2078" s="14"/>
      <c r="Q2078" s="83"/>
      <c r="U2078" s="104" t="str">
        <f>IF(
  AND(
    TRIM(A2078)=TRIM(Enginuity!$A$1),
    TRIM(B2078)=TRIM(Enginuity!$A$17),
    Q2078&lt;&gt;"",
    Q2078&lt;&gt;0,
    OR(
      TRIM(C2078)=TRIM(Enginuity!$A$18),
      AND(UPPER(TRIM(M2078))="STD", TRIM(B2078)=TRIM(Enginuity!$A$17))
    ),
    OR(
      AND(LEFT(P2078,5)="1-Way", Enginuity!$B$13=1),
      AND(LEFT(P2078,5)="2-Way", OR(Enginuity!$B$13=2, Enginuity!$B$13=4)),
      AND(LEFT(P2078,5)="3-Way", OR(Enginuity!$B$13=3, Enginuity!$B$13=6)),
      AND(P2078="Inner Centre Jamb", OR(Enginuity!$B$13=4, Enginuity!$B$13=6)),
      AND(
        LEFT(P2078,5)&lt;&gt;"1-Way",
        LEFT(P2078,5)&lt;&gt;"2-Way",
        LEFT(P2078,5)&lt;&gt;"3-Way",
        P2078&lt;&gt;"Inner Centre Jamb"
      )
    ),
    IF(OR(Enginuity!$A$1="Frameless Glass",Enginuity!$A$1="Metal Work"),
      AND(TRIM(B2078)=TRIM(Enginuity!$A$17),TRIM(C2078)=TRIM(Enginuity!$A$18)),
      TRIM(B2078)=TRIM(Enginuity!$A$17)
    )
  ),
  ROW(),
  ""
)</f>
        <v/>
      </c>
    </row>
    <row r="2079" spans="1:21" x14ac:dyDescent="0.25">
      <c r="A2079" s="10"/>
      <c r="B2079" s="229"/>
      <c r="C2079" s="10"/>
      <c r="D2079" s="14"/>
      <c r="E2079" s="157"/>
      <c r="F2079" s="10"/>
      <c r="G2079" s="17"/>
      <c r="H2079" s="10"/>
      <c r="I2079" s="17"/>
      <c r="J2079" s="83"/>
      <c r="K2079" s="343"/>
      <c r="L2079" s="347"/>
      <c r="M2079" s="89">
        <f t="shared" si="37"/>
        <v>43</v>
      </c>
      <c r="N2079" s="10"/>
      <c r="O2079" s="22"/>
      <c r="P2079" s="14"/>
      <c r="Q2079" s="83"/>
      <c r="U2079" s="104" t="str">
        <f>IF(
  AND(
    TRIM(A2079)=TRIM(Enginuity!$A$1),
    TRIM(B2079)=TRIM(Enginuity!$A$17),
    Q2079&lt;&gt;"",
    Q2079&lt;&gt;0,
    OR(
      TRIM(C2079)=TRIM(Enginuity!$A$18),
      AND(UPPER(TRIM(M2079))="STD", TRIM(B2079)=TRIM(Enginuity!$A$17))
    ),
    OR(
      AND(LEFT(P2079,5)="1-Way", Enginuity!$B$13=1),
      AND(LEFT(P2079,5)="2-Way", OR(Enginuity!$B$13=2, Enginuity!$B$13=4)),
      AND(LEFT(P2079,5)="3-Way", OR(Enginuity!$B$13=3, Enginuity!$B$13=6)),
      AND(P2079="Inner Centre Jamb", OR(Enginuity!$B$13=4, Enginuity!$B$13=6)),
      AND(
        LEFT(P2079,5)&lt;&gt;"1-Way",
        LEFT(P2079,5)&lt;&gt;"2-Way",
        LEFT(P2079,5)&lt;&gt;"3-Way",
        P2079&lt;&gt;"Inner Centre Jamb"
      )
    ),
    IF(OR(Enginuity!$A$1="Frameless Glass",Enginuity!$A$1="Metal Work"),
      AND(TRIM(B2079)=TRIM(Enginuity!$A$17),TRIM(C2079)=TRIM(Enginuity!$A$18)),
      TRIM(B2079)=TRIM(Enginuity!$A$17)
    )
  ),
  ROW(),
  ""
)</f>
        <v/>
      </c>
    </row>
    <row r="2080" spans="1:21" x14ac:dyDescent="0.25">
      <c r="A2080" s="10"/>
      <c r="B2080" s="229"/>
      <c r="C2080" s="10"/>
      <c r="D2080" s="14"/>
      <c r="E2080" s="157"/>
      <c r="F2080" s="10"/>
      <c r="G2080" s="17"/>
      <c r="H2080" s="10"/>
      <c r="I2080" s="17"/>
      <c r="J2080" s="83"/>
      <c r="K2080" s="343"/>
      <c r="L2080" s="347"/>
      <c r="M2080" s="89">
        <f t="shared" si="37"/>
        <v>44</v>
      </c>
      <c r="N2080" s="10"/>
      <c r="O2080" s="22"/>
      <c r="P2080" s="14"/>
      <c r="Q2080" s="83"/>
      <c r="U2080" s="104" t="str">
        <f>IF(
  AND(
    TRIM(A2080)=TRIM(Enginuity!$A$1),
    TRIM(B2080)=TRIM(Enginuity!$A$17),
    Q2080&lt;&gt;"",
    Q2080&lt;&gt;0,
    OR(
      TRIM(C2080)=TRIM(Enginuity!$A$18),
      AND(UPPER(TRIM(M2080))="STD", TRIM(B2080)=TRIM(Enginuity!$A$17))
    ),
    OR(
      AND(LEFT(P2080,5)="1-Way", Enginuity!$B$13=1),
      AND(LEFT(P2080,5)="2-Way", OR(Enginuity!$B$13=2, Enginuity!$B$13=4)),
      AND(LEFT(P2080,5)="3-Way", OR(Enginuity!$B$13=3, Enginuity!$B$13=6)),
      AND(P2080="Inner Centre Jamb", OR(Enginuity!$B$13=4, Enginuity!$B$13=6)),
      AND(
        LEFT(P2080,5)&lt;&gt;"1-Way",
        LEFT(P2080,5)&lt;&gt;"2-Way",
        LEFT(P2080,5)&lt;&gt;"3-Way",
        P2080&lt;&gt;"Inner Centre Jamb"
      )
    ),
    IF(OR(Enginuity!$A$1="Frameless Glass",Enginuity!$A$1="Metal Work"),
      AND(TRIM(B2080)=TRIM(Enginuity!$A$17),TRIM(C2080)=TRIM(Enginuity!$A$18)),
      TRIM(B2080)=TRIM(Enginuity!$A$17)
    )
  ),
  ROW(),
  ""
)</f>
        <v/>
      </c>
    </row>
    <row r="2081" spans="1:21" x14ac:dyDescent="0.25">
      <c r="A2081" s="10"/>
      <c r="B2081" s="229"/>
      <c r="C2081" s="10"/>
      <c r="D2081" s="14"/>
      <c r="E2081" s="157"/>
      <c r="F2081" s="10"/>
      <c r="G2081" s="17"/>
      <c r="H2081" s="10"/>
      <c r="I2081" s="17"/>
      <c r="J2081" s="83"/>
      <c r="K2081" s="343"/>
      <c r="L2081" s="347"/>
      <c r="M2081" s="89">
        <f t="shared" si="37"/>
        <v>45</v>
      </c>
      <c r="N2081" s="10"/>
      <c r="O2081" s="22"/>
      <c r="P2081" s="14"/>
      <c r="Q2081" s="83"/>
      <c r="U2081" s="104" t="str">
        <f>IF(
  AND(
    TRIM(A2081)=TRIM(Enginuity!$A$1),
    TRIM(B2081)=TRIM(Enginuity!$A$17),
    Q2081&lt;&gt;"",
    Q2081&lt;&gt;0,
    OR(
      TRIM(C2081)=TRIM(Enginuity!$A$18),
      AND(UPPER(TRIM(M2081))="STD", TRIM(B2081)=TRIM(Enginuity!$A$17))
    ),
    OR(
      AND(LEFT(P2081,5)="1-Way", Enginuity!$B$13=1),
      AND(LEFT(P2081,5)="2-Way", OR(Enginuity!$B$13=2, Enginuity!$B$13=4)),
      AND(LEFT(P2081,5)="3-Way", OR(Enginuity!$B$13=3, Enginuity!$B$13=6)),
      AND(P2081="Inner Centre Jamb", OR(Enginuity!$B$13=4, Enginuity!$B$13=6)),
      AND(
        LEFT(P2081,5)&lt;&gt;"1-Way",
        LEFT(P2081,5)&lt;&gt;"2-Way",
        LEFT(P2081,5)&lt;&gt;"3-Way",
        P2081&lt;&gt;"Inner Centre Jamb"
      )
    ),
    IF(OR(Enginuity!$A$1="Frameless Glass",Enginuity!$A$1="Metal Work"),
      AND(TRIM(B2081)=TRIM(Enginuity!$A$17),TRIM(C2081)=TRIM(Enginuity!$A$18)),
      TRIM(B2081)=TRIM(Enginuity!$A$17)
    )
  ),
  ROW(),
  ""
)</f>
        <v/>
      </c>
    </row>
    <row r="2082" spans="1:21" x14ac:dyDescent="0.25">
      <c r="A2082" s="10"/>
      <c r="B2082" s="229"/>
      <c r="C2082" s="10"/>
      <c r="D2082" s="14"/>
      <c r="E2082" s="157"/>
      <c r="F2082" s="10"/>
      <c r="G2082" s="17"/>
      <c r="H2082" s="10"/>
      <c r="I2082" s="17"/>
      <c r="J2082" s="83"/>
      <c r="K2082" s="343"/>
      <c r="L2082" s="347"/>
      <c r="M2082" s="89">
        <f t="shared" si="37"/>
        <v>46</v>
      </c>
      <c r="N2082" s="10"/>
      <c r="O2082" s="22"/>
      <c r="P2082" s="14"/>
      <c r="Q2082" s="83"/>
      <c r="U2082" s="104" t="str">
        <f>IF(
  AND(
    TRIM(A2082)=TRIM(Enginuity!$A$1),
    TRIM(B2082)=TRIM(Enginuity!$A$17),
    Q2082&lt;&gt;"",
    Q2082&lt;&gt;0,
    OR(
      TRIM(C2082)=TRIM(Enginuity!$A$18),
      AND(UPPER(TRIM(M2082))="STD", TRIM(B2082)=TRIM(Enginuity!$A$17))
    ),
    OR(
      AND(LEFT(P2082,5)="1-Way", Enginuity!$B$13=1),
      AND(LEFT(P2082,5)="2-Way", OR(Enginuity!$B$13=2, Enginuity!$B$13=4)),
      AND(LEFT(P2082,5)="3-Way", OR(Enginuity!$B$13=3, Enginuity!$B$13=6)),
      AND(P2082="Inner Centre Jamb", OR(Enginuity!$B$13=4, Enginuity!$B$13=6)),
      AND(
        LEFT(P2082,5)&lt;&gt;"1-Way",
        LEFT(P2082,5)&lt;&gt;"2-Way",
        LEFT(P2082,5)&lt;&gt;"3-Way",
        P2082&lt;&gt;"Inner Centre Jamb"
      )
    ),
    IF(OR(Enginuity!$A$1="Frameless Glass",Enginuity!$A$1="Metal Work"),
      AND(TRIM(B2082)=TRIM(Enginuity!$A$17),TRIM(C2082)=TRIM(Enginuity!$A$18)),
      TRIM(B2082)=TRIM(Enginuity!$A$17)
    )
  ),
  ROW(),
  ""
)</f>
        <v/>
      </c>
    </row>
    <row r="2083" spans="1:21" x14ac:dyDescent="0.25">
      <c r="A2083" s="10"/>
      <c r="B2083" s="229"/>
      <c r="C2083" s="10"/>
      <c r="D2083" s="14"/>
      <c r="E2083" s="157"/>
      <c r="F2083" s="10"/>
      <c r="G2083" s="17"/>
      <c r="H2083" s="10"/>
      <c r="I2083" s="17"/>
      <c r="J2083" s="83"/>
      <c r="K2083" s="343"/>
      <c r="L2083" s="347"/>
      <c r="M2083" s="89">
        <f t="shared" si="37"/>
        <v>47</v>
      </c>
      <c r="N2083" s="10"/>
      <c r="O2083" s="22"/>
      <c r="P2083" s="14"/>
      <c r="Q2083" s="83"/>
      <c r="U2083" s="104" t="str">
        <f>IF(
  AND(
    TRIM(A2083)=TRIM(Enginuity!$A$1),
    TRIM(B2083)=TRIM(Enginuity!$A$17),
    Q2083&lt;&gt;"",
    Q2083&lt;&gt;0,
    OR(
      TRIM(C2083)=TRIM(Enginuity!$A$18),
      AND(UPPER(TRIM(M2083))="STD", TRIM(B2083)=TRIM(Enginuity!$A$17))
    ),
    OR(
      AND(LEFT(P2083,5)="1-Way", Enginuity!$B$13=1),
      AND(LEFT(P2083,5)="2-Way", OR(Enginuity!$B$13=2, Enginuity!$B$13=4)),
      AND(LEFT(P2083,5)="3-Way", OR(Enginuity!$B$13=3, Enginuity!$B$13=6)),
      AND(P2083="Inner Centre Jamb", OR(Enginuity!$B$13=4, Enginuity!$B$13=6)),
      AND(
        LEFT(P2083,5)&lt;&gt;"1-Way",
        LEFT(P2083,5)&lt;&gt;"2-Way",
        LEFT(P2083,5)&lt;&gt;"3-Way",
        P2083&lt;&gt;"Inner Centre Jamb"
      )
    ),
    IF(OR(Enginuity!$A$1="Frameless Glass",Enginuity!$A$1="Metal Work"),
      AND(TRIM(B2083)=TRIM(Enginuity!$A$17),TRIM(C2083)=TRIM(Enginuity!$A$18)),
      TRIM(B2083)=TRIM(Enginuity!$A$17)
    )
  ),
  ROW(),
  ""
)</f>
        <v/>
      </c>
    </row>
    <row r="2084" spans="1:21" x14ac:dyDescent="0.25">
      <c r="A2084" s="10"/>
      <c r="B2084" s="229"/>
      <c r="C2084" s="10"/>
      <c r="D2084" s="14"/>
      <c r="E2084" s="157"/>
      <c r="F2084" s="10"/>
      <c r="G2084" s="17"/>
      <c r="H2084" s="10"/>
      <c r="I2084" s="17"/>
      <c r="J2084" s="83"/>
      <c r="K2084" s="343"/>
      <c r="L2084" s="347"/>
      <c r="M2084" s="89">
        <f t="shared" si="37"/>
        <v>48</v>
      </c>
      <c r="N2084" s="10"/>
      <c r="O2084" s="22"/>
      <c r="P2084" s="36"/>
      <c r="Q2084" s="83"/>
      <c r="U2084" s="104" t="str">
        <f>IF(
  AND(
    TRIM(A2084)=TRIM(Enginuity!$A$1),
    TRIM(B2084)=TRIM(Enginuity!$A$17),
    Q2084&lt;&gt;"",
    Q2084&lt;&gt;0,
    OR(
      TRIM(C2084)=TRIM(Enginuity!$A$18),
      AND(UPPER(TRIM(M2084))="STD", TRIM(B2084)=TRIM(Enginuity!$A$17))
    ),
    OR(
      AND(LEFT(P2084,5)="1-Way", Enginuity!$B$13=1),
      AND(LEFT(P2084,5)="2-Way", OR(Enginuity!$B$13=2, Enginuity!$B$13=4)),
      AND(LEFT(P2084,5)="3-Way", OR(Enginuity!$B$13=3, Enginuity!$B$13=6)),
      AND(P2084="Inner Centre Jamb", OR(Enginuity!$B$13=4, Enginuity!$B$13=6)),
      AND(
        LEFT(P2084,5)&lt;&gt;"1-Way",
        LEFT(P2084,5)&lt;&gt;"2-Way",
        LEFT(P2084,5)&lt;&gt;"3-Way",
        P2084&lt;&gt;"Inner Centre Jamb"
      )
    ),
    IF(OR(Enginuity!$A$1="Frameless Glass",Enginuity!$A$1="Metal Work"),
      AND(TRIM(B2084)=TRIM(Enginuity!$A$17),TRIM(C2084)=TRIM(Enginuity!$A$18)),
      TRIM(B2084)=TRIM(Enginuity!$A$17)
    )
  ),
  ROW(),
  ""
)</f>
        <v/>
      </c>
    </row>
    <row r="2085" spans="1:21" x14ac:dyDescent="0.25">
      <c r="A2085" s="10"/>
      <c r="B2085" s="229"/>
      <c r="C2085" s="10"/>
      <c r="D2085" s="36"/>
      <c r="E2085" s="157"/>
      <c r="F2085" s="10"/>
      <c r="G2085" s="17"/>
      <c r="H2085" s="10"/>
      <c r="I2085" s="17"/>
      <c r="J2085" s="83"/>
      <c r="K2085" s="343"/>
      <c r="L2085" s="347"/>
      <c r="M2085" s="89">
        <f t="shared" si="37"/>
        <v>49</v>
      </c>
      <c r="N2085" s="10"/>
      <c r="O2085" s="22"/>
      <c r="P2085" s="14"/>
      <c r="Q2085" s="22"/>
      <c r="U2085" s="104" t="str">
        <f>IF(
  AND(
    TRIM(A2085)=TRIM(Enginuity!$A$1),
    TRIM(B2085)=TRIM(Enginuity!$A$17),
    Q2085&lt;&gt;"",
    Q2085&lt;&gt;0,
    OR(
      TRIM(C2085)=TRIM(Enginuity!$A$18),
      AND(UPPER(TRIM(M2085))="STD", TRIM(B2085)=TRIM(Enginuity!$A$17))
    ),
    OR(
      AND(LEFT(P2085,5)="1-Way", Enginuity!$B$13=1),
      AND(LEFT(P2085,5)="2-Way", OR(Enginuity!$B$13=2, Enginuity!$B$13=4)),
      AND(LEFT(P2085,5)="3-Way", OR(Enginuity!$B$13=3, Enginuity!$B$13=6)),
      AND(P2085="Inner Centre Jamb", OR(Enginuity!$B$13=4, Enginuity!$B$13=6)),
      AND(
        LEFT(P2085,5)&lt;&gt;"1-Way",
        LEFT(P2085,5)&lt;&gt;"2-Way",
        LEFT(P2085,5)&lt;&gt;"3-Way",
        P2085&lt;&gt;"Inner Centre Jamb"
      )
    ),
    IF(OR(Enginuity!$A$1="Frameless Glass",Enginuity!$A$1="Metal Work"),
      AND(TRIM(B2085)=TRIM(Enginuity!$A$17),TRIM(C2085)=TRIM(Enginuity!$A$18)),
      TRIM(B2085)=TRIM(Enginuity!$A$17)
    )
  ),
  ROW(),
  ""
)</f>
        <v/>
      </c>
    </row>
    <row r="2086" spans="1:21" x14ac:dyDescent="0.25">
      <c r="A2086" s="10"/>
      <c r="B2086" s="229"/>
      <c r="C2086" s="10"/>
      <c r="D2086" s="36"/>
      <c r="E2086" s="157"/>
      <c r="F2086" s="10"/>
      <c r="G2086" s="17"/>
      <c r="H2086" s="10"/>
      <c r="I2086" s="17"/>
      <c r="J2086" s="83"/>
      <c r="K2086" s="343"/>
      <c r="L2086" s="347"/>
      <c r="M2086" s="89">
        <f t="shared" si="37"/>
        <v>50</v>
      </c>
      <c r="N2086" s="10"/>
      <c r="O2086" s="22"/>
      <c r="P2086" s="14"/>
      <c r="Q2086" s="22"/>
      <c r="U2086" s="104" t="str">
        <f>IF(
  AND(
    TRIM(A2086)=TRIM(Enginuity!$A$1),
    TRIM(B2086)=TRIM(Enginuity!$A$17),
    Q2086&lt;&gt;"",
    Q2086&lt;&gt;0,
    OR(
      TRIM(C2086)=TRIM(Enginuity!$A$18),
      AND(UPPER(TRIM(M2086))="STD", TRIM(B2086)=TRIM(Enginuity!$A$17))
    ),
    OR(
      AND(LEFT(P2086,5)="1-Way", Enginuity!$B$13=1),
      AND(LEFT(P2086,5)="2-Way", OR(Enginuity!$B$13=2, Enginuity!$B$13=4)),
      AND(LEFT(P2086,5)="3-Way", OR(Enginuity!$B$13=3, Enginuity!$B$13=6)),
      AND(P2086="Inner Centre Jamb", OR(Enginuity!$B$13=4, Enginuity!$B$13=6)),
      AND(
        LEFT(P2086,5)&lt;&gt;"1-Way",
        LEFT(P2086,5)&lt;&gt;"2-Way",
        LEFT(P2086,5)&lt;&gt;"3-Way",
        P2086&lt;&gt;"Inner Centre Jamb"
      )
    ),
    IF(OR(Enginuity!$A$1="Frameless Glass",Enginuity!$A$1="Metal Work"),
      AND(TRIM(B2086)=TRIM(Enginuity!$A$17),TRIM(C2086)=TRIM(Enginuity!$A$18)),
      TRIM(B2086)=TRIM(Enginuity!$A$17)
    )
  ),
  ROW(),
  ""
)</f>
        <v/>
      </c>
    </row>
    <row r="2087" spans="1:21" x14ac:dyDescent="0.25">
      <c r="A2087" s="10"/>
      <c r="B2087" s="229"/>
      <c r="C2087" s="10"/>
      <c r="D2087" s="36"/>
      <c r="E2087" s="157"/>
      <c r="F2087" s="10"/>
      <c r="G2087" s="17"/>
      <c r="H2087" s="10"/>
      <c r="I2087" s="17"/>
      <c r="J2087" s="83"/>
      <c r="K2087" s="343"/>
      <c r="L2087" s="347"/>
      <c r="M2087" s="89">
        <f t="shared" si="37"/>
        <v>51</v>
      </c>
      <c r="N2087" s="10"/>
      <c r="O2087" s="22"/>
      <c r="P2087" s="14"/>
      <c r="Q2087" s="22"/>
      <c r="U2087" s="104" t="str">
        <f>IF(
  AND(
    TRIM(A2087)=TRIM(Enginuity!$A$1),
    TRIM(B2087)=TRIM(Enginuity!$A$17),
    Q2087&lt;&gt;"",
    Q2087&lt;&gt;0,
    OR(
      TRIM(C2087)=TRIM(Enginuity!$A$18),
      AND(UPPER(TRIM(M2087))="STD", TRIM(B2087)=TRIM(Enginuity!$A$17))
    ),
    OR(
      AND(LEFT(P2087,5)="1-Way", Enginuity!$B$13=1),
      AND(LEFT(P2087,5)="2-Way", OR(Enginuity!$B$13=2, Enginuity!$B$13=4)),
      AND(LEFT(P2087,5)="3-Way", OR(Enginuity!$B$13=3, Enginuity!$B$13=6)),
      AND(P2087="Inner Centre Jamb", OR(Enginuity!$B$13=4, Enginuity!$B$13=6)),
      AND(
        LEFT(P2087,5)&lt;&gt;"1-Way",
        LEFT(P2087,5)&lt;&gt;"2-Way",
        LEFT(P2087,5)&lt;&gt;"3-Way",
        P2087&lt;&gt;"Inner Centre Jamb"
      )
    ),
    IF(OR(Enginuity!$A$1="Frameless Glass",Enginuity!$A$1="Metal Work"),
      AND(TRIM(B2087)=TRIM(Enginuity!$A$17),TRIM(C2087)=TRIM(Enginuity!$A$18)),
      TRIM(B2087)=TRIM(Enginuity!$A$17)
    )
  ),
  ROW(),
  ""
)</f>
        <v/>
      </c>
    </row>
    <row r="2088" spans="1:21" x14ac:dyDescent="0.25">
      <c r="A2088" s="10"/>
      <c r="B2088" s="229"/>
      <c r="C2088" s="10"/>
      <c r="D2088" s="36"/>
      <c r="E2088" s="157"/>
      <c r="F2088" s="10"/>
      <c r="G2088" s="17"/>
      <c r="H2088" s="10"/>
      <c r="I2088" s="17"/>
      <c r="J2088" s="83"/>
      <c r="K2088" s="343"/>
      <c r="L2088" s="347"/>
      <c r="M2088" s="89">
        <f t="shared" si="37"/>
        <v>52</v>
      </c>
      <c r="N2088" s="10"/>
      <c r="O2088" s="22"/>
      <c r="P2088" s="14"/>
      <c r="Q2088" s="22"/>
      <c r="U2088" s="104" t="str">
        <f>IF(
  AND(
    TRIM(A2088)=TRIM(Enginuity!$A$1),
    TRIM(B2088)=TRIM(Enginuity!$A$17),
    Q2088&lt;&gt;"",
    Q2088&lt;&gt;0,
    OR(
      TRIM(C2088)=TRIM(Enginuity!$A$18),
      AND(UPPER(TRIM(M2088))="STD", TRIM(B2088)=TRIM(Enginuity!$A$17))
    ),
    OR(
      AND(LEFT(P2088,5)="1-Way", Enginuity!$B$13=1),
      AND(LEFT(P2088,5)="2-Way", OR(Enginuity!$B$13=2, Enginuity!$B$13=4)),
      AND(LEFT(P2088,5)="3-Way", OR(Enginuity!$B$13=3, Enginuity!$B$13=6)),
      AND(P2088="Inner Centre Jamb", OR(Enginuity!$B$13=4, Enginuity!$B$13=6)),
      AND(
        LEFT(P2088,5)&lt;&gt;"1-Way",
        LEFT(P2088,5)&lt;&gt;"2-Way",
        LEFT(P2088,5)&lt;&gt;"3-Way",
        P2088&lt;&gt;"Inner Centre Jamb"
      )
    ),
    IF(OR(Enginuity!$A$1="Frameless Glass",Enginuity!$A$1="Metal Work"),
      AND(TRIM(B2088)=TRIM(Enginuity!$A$17),TRIM(C2088)=TRIM(Enginuity!$A$18)),
      TRIM(B2088)=TRIM(Enginuity!$A$17)
    )
  ),
  ROW(),
  ""
)</f>
        <v/>
      </c>
    </row>
    <row r="2089" spans="1:21" x14ac:dyDescent="0.25">
      <c r="A2089" s="10"/>
      <c r="B2089" s="229"/>
      <c r="C2089" s="10"/>
      <c r="D2089" s="36"/>
      <c r="E2089" s="157"/>
      <c r="F2089" s="10"/>
      <c r="G2089" s="17"/>
      <c r="H2089" s="10"/>
      <c r="I2089" s="17"/>
      <c r="J2089" s="83"/>
      <c r="K2089" s="343"/>
      <c r="L2089" s="347"/>
      <c r="M2089" s="89">
        <f t="shared" si="37"/>
        <v>53</v>
      </c>
      <c r="N2089" s="10"/>
      <c r="O2089" s="22"/>
      <c r="P2089" s="14"/>
      <c r="Q2089" s="22"/>
      <c r="U2089" s="104" t="str">
        <f>IF(
  AND(
    TRIM(A2089)=TRIM(Enginuity!$A$1),
    TRIM(B2089)=TRIM(Enginuity!$A$17),
    Q2089&lt;&gt;"",
    Q2089&lt;&gt;0,
    OR(
      TRIM(C2089)=TRIM(Enginuity!$A$18),
      AND(UPPER(TRIM(M2089))="STD", TRIM(B2089)=TRIM(Enginuity!$A$17))
    ),
    OR(
      AND(LEFT(P2089,5)="1-Way", Enginuity!$B$13=1),
      AND(LEFT(P2089,5)="2-Way", OR(Enginuity!$B$13=2, Enginuity!$B$13=4)),
      AND(LEFT(P2089,5)="3-Way", OR(Enginuity!$B$13=3, Enginuity!$B$13=6)),
      AND(P2089="Inner Centre Jamb", OR(Enginuity!$B$13=4, Enginuity!$B$13=6)),
      AND(
        LEFT(P2089,5)&lt;&gt;"1-Way",
        LEFT(P2089,5)&lt;&gt;"2-Way",
        LEFT(P2089,5)&lt;&gt;"3-Way",
        P2089&lt;&gt;"Inner Centre Jamb"
      )
    ),
    IF(OR(Enginuity!$A$1="Frameless Glass",Enginuity!$A$1="Metal Work"),
      AND(TRIM(B2089)=TRIM(Enginuity!$A$17),TRIM(C2089)=TRIM(Enginuity!$A$18)),
      TRIM(B2089)=TRIM(Enginuity!$A$17)
    )
  ),
  ROW(),
  ""
)</f>
        <v/>
      </c>
    </row>
    <row r="2090" spans="1:21" x14ac:dyDescent="0.25">
      <c r="A2090" s="10"/>
      <c r="B2090" s="229"/>
      <c r="C2090" s="10"/>
      <c r="D2090" s="36"/>
      <c r="E2090" s="157"/>
      <c r="F2090" s="10"/>
      <c r="G2090" s="17"/>
      <c r="H2090" s="10"/>
      <c r="I2090" s="17"/>
      <c r="J2090" s="83"/>
      <c r="K2090" s="343"/>
      <c r="L2090" s="347"/>
      <c r="M2090" s="89">
        <f t="shared" si="37"/>
        <v>54</v>
      </c>
      <c r="N2090" s="10"/>
      <c r="O2090" s="22"/>
      <c r="P2090" s="14"/>
      <c r="Q2090" s="22"/>
      <c r="U2090" s="104" t="str">
        <f>IF(
  AND(
    TRIM(A2090)=TRIM(Enginuity!$A$1),
    TRIM(B2090)=TRIM(Enginuity!$A$17),
    Q2090&lt;&gt;"",
    Q2090&lt;&gt;0,
    OR(
      TRIM(C2090)=TRIM(Enginuity!$A$18),
      AND(UPPER(TRIM(M2090))="STD", TRIM(B2090)=TRIM(Enginuity!$A$17))
    ),
    OR(
      AND(LEFT(P2090,5)="1-Way", Enginuity!$B$13=1),
      AND(LEFT(P2090,5)="2-Way", OR(Enginuity!$B$13=2, Enginuity!$B$13=4)),
      AND(LEFT(P2090,5)="3-Way", OR(Enginuity!$B$13=3, Enginuity!$B$13=6)),
      AND(P2090="Inner Centre Jamb", OR(Enginuity!$B$13=4, Enginuity!$B$13=6)),
      AND(
        LEFT(P2090,5)&lt;&gt;"1-Way",
        LEFT(P2090,5)&lt;&gt;"2-Way",
        LEFT(P2090,5)&lt;&gt;"3-Way",
        P2090&lt;&gt;"Inner Centre Jamb"
      )
    ),
    IF(OR(Enginuity!$A$1="Frameless Glass",Enginuity!$A$1="Metal Work"),
      AND(TRIM(B2090)=TRIM(Enginuity!$A$17),TRIM(C2090)=TRIM(Enginuity!$A$18)),
      TRIM(B2090)=TRIM(Enginuity!$A$17)
    )
  ),
  ROW(),
  ""
)</f>
        <v/>
      </c>
    </row>
    <row r="2091" spans="1:21" x14ac:dyDescent="0.25">
      <c r="A2091" s="10"/>
      <c r="B2091" s="229"/>
      <c r="C2091" s="10"/>
      <c r="D2091" s="36"/>
      <c r="E2091" s="157"/>
      <c r="F2091" s="10"/>
      <c r="G2091" s="17"/>
      <c r="H2091" s="10"/>
      <c r="I2091" s="17"/>
      <c r="J2091" s="83"/>
      <c r="K2091" s="343"/>
      <c r="L2091" s="347"/>
      <c r="M2091" s="89">
        <f t="shared" si="37"/>
        <v>55</v>
      </c>
      <c r="N2091" s="10"/>
      <c r="O2091" s="22"/>
      <c r="P2091" s="14"/>
      <c r="Q2091" s="22"/>
      <c r="U2091" s="104" t="str">
        <f>IF(
  AND(
    TRIM(A2091)=TRIM(Enginuity!$A$1),
    TRIM(B2091)=TRIM(Enginuity!$A$17),
    Q2091&lt;&gt;"",
    Q2091&lt;&gt;0,
    OR(
      TRIM(C2091)=TRIM(Enginuity!$A$18),
      AND(UPPER(TRIM(M2091))="STD", TRIM(B2091)=TRIM(Enginuity!$A$17))
    ),
    OR(
      AND(LEFT(P2091,5)="1-Way", Enginuity!$B$13=1),
      AND(LEFT(P2091,5)="2-Way", OR(Enginuity!$B$13=2, Enginuity!$B$13=4)),
      AND(LEFT(P2091,5)="3-Way", OR(Enginuity!$B$13=3, Enginuity!$B$13=6)),
      AND(P2091="Inner Centre Jamb", OR(Enginuity!$B$13=4, Enginuity!$B$13=6)),
      AND(
        LEFT(P2091,5)&lt;&gt;"1-Way",
        LEFT(P2091,5)&lt;&gt;"2-Way",
        LEFT(P2091,5)&lt;&gt;"3-Way",
        P2091&lt;&gt;"Inner Centre Jamb"
      )
    ),
    IF(OR(Enginuity!$A$1="Frameless Glass",Enginuity!$A$1="Metal Work"),
      AND(TRIM(B2091)=TRIM(Enginuity!$A$17),TRIM(C2091)=TRIM(Enginuity!$A$18)),
      TRIM(B2091)=TRIM(Enginuity!$A$17)
    )
  ),
  ROW(),
  ""
)</f>
        <v/>
      </c>
    </row>
    <row r="2092" spans="1:21" x14ac:dyDescent="0.25">
      <c r="A2092" s="10"/>
      <c r="B2092" s="229"/>
      <c r="C2092" s="10"/>
      <c r="D2092" s="36"/>
      <c r="E2092" s="157"/>
      <c r="F2092" s="10"/>
      <c r="G2092" s="17"/>
      <c r="H2092" s="10"/>
      <c r="I2092" s="17"/>
      <c r="J2092" s="83"/>
      <c r="K2092" s="343"/>
      <c r="L2092" s="347"/>
      <c r="M2092" s="89">
        <f t="shared" si="37"/>
        <v>56</v>
      </c>
      <c r="N2092" s="10"/>
      <c r="O2092" s="22"/>
      <c r="P2092" s="14"/>
      <c r="Q2092" s="22"/>
      <c r="U2092" s="104" t="str">
        <f>IF(
  AND(
    TRIM(A2092)=TRIM(Enginuity!$A$1),
    TRIM(B2092)=TRIM(Enginuity!$A$17),
    Q2092&lt;&gt;"",
    Q2092&lt;&gt;0,
    OR(
      TRIM(C2092)=TRIM(Enginuity!$A$18),
      AND(UPPER(TRIM(M2092))="STD", TRIM(B2092)=TRIM(Enginuity!$A$17))
    ),
    OR(
      AND(LEFT(P2092,5)="1-Way", Enginuity!$B$13=1),
      AND(LEFT(P2092,5)="2-Way", OR(Enginuity!$B$13=2, Enginuity!$B$13=4)),
      AND(LEFT(P2092,5)="3-Way", OR(Enginuity!$B$13=3, Enginuity!$B$13=6)),
      AND(P2092="Inner Centre Jamb", OR(Enginuity!$B$13=4, Enginuity!$B$13=6)),
      AND(
        LEFT(P2092,5)&lt;&gt;"1-Way",
        LEFT(P2092,5)&lt;&gt;"2-Way",
        LEFT(P2092,5)&lt;&gt;"3-Way",
        P2092&lt;&gt;"Inner Centre Jamb"
      )
    ),
    IF(OR(Enginuity!$A$1="Frameless Glass",Enginuity!$A$1="Metal Work"),
      AND(TRIM(B2092)=TRIM(Enginuity!$A$17),TRIM(C2092)=TRIM(Enginuity!$A$18)),
      TRIM(B2092)=TRIM(Enginuity!$A$17)
    )
  ),
  ROW(),
  ""
)</f>
        <v/>
      </c>
    </row>
    <row r="2093" spans="1:21" x14ac:dyDescent="0.25">
      <c r="A2093" s="10"/>
      <c r="B2093" s="229"/>
      <c r="C2093" s="10"/>
      <c r="D2093" s="36"/>
      <c r="E2093" s="157"/>
      <c r="F2093" s="10"/>
      <c r="G2093" s="17"/>
      <c r="H2093" s="10"/>
      <c r="I2093" s="17"/>
      <c r="J2093" s="83"/>
      <c r="K2093" s="343"/>
      <c r="L2093" s="347"/>
      <c r="M2093" s="89">
        <f t="shared" si="37"/>
        <v>57</v>
      </c>
      <c r="N2093" s="14"/>
      <c r="O2093" s="22"/>
      <c r="P2093" s="14"/>
      <c r="Q2093" s="22"/>
      <c r="U2093" s="104" t="str">
        <f>IF(
  AND(
    TRIM(A2093)=TRIM(Enginuity!$A$1),
    TRIM(B2093)=TRIM(Enginuity!$A$17),
    Q2093&lt;&gt;"",
    Q2093&lt;&gt;0,
    OR(
      TRIM(C2093)=TRIM(Enginuity!$A$18),
      AND(UPPER(TRIM(M2093))="STD", TRIM(B2093)=TRIM(Enginuity!$A$17))
    ),
    OR(
      AND(LEFT(P2093,5)="1-Way", Enginuity!$B$13=1),
      AND(LEFT(P2093,5)="2-Way", OR(Enginuity!$B$13=2, Enginuity!$B$13=4)),
      AND(LEFT(P2093,5)="3-Way", OR(Enginuity!$B$13=3, Enginuity!$B$13=6)),
      AND(P2093="Inner Centre Jamb", OR(Enginuity!$B$13=4, Enginuity!$B$13=6)),
      AND(
        LEFT(P2093,5)&lt;&gt;"1-Way",
        LEFT(P2093,5)&lt;&gt;"2-Way",
        LEFT(P2093,5)&lt;&gt;"3-Way",
        P2093&lt;&gt;"Inner Centre Jamb"
      )
    ),
    IF(OR(Enginuity!$A$1="Frameless Glass",Enginuity!$A$1="Metal Work"),
      AND(TRIM(B2093)=TRIM(Enginuity!$A$17),TRIM(C2093)=TRIM(Enginuity!$A$18)),
      TRIM(B2093)=TRIM(Enginuity!$A$17)
    )
  ),
  ROW(),
  ""
)</f>
        <v/>
      </c>
    </row>
    <row r="2094" spans="1:21" x14ac:dyDescent="0.25">
      <c r="A2094" s="10"/>
      <c r="B2094" s="229"/>
      <c r="C2094" s="10"/>
      <c r="D2094" s="14"/>
      <c r="E2094" s="157"/>
      <c r="F2094" s="10"/>
      <c r="G2094" s="17"/>
      <c r="H2094" s="10"/>
      <c r="I2094" s="17"/>
      <c r="J2094" s="83"/>
      <c r="K2094" s="343"/>
      <c r="L2094" s="347"/>
      <c r="M2094" s="89">
        <f t="shared" si="37"/>
        <v>58</v>
      </c>
      <c r="N2094" s="10"/>
      <c r="O2094" s="22"/>
      <c r="P2094" s="21"/>
      <c r="Q2094" s="83"/>
      <c r="U2094" s="104" t="str">
        <f>IF(
  AND(
    TRIM(A2094)=TRIM(Enginuity!$A$1),
    TRIM(B2094)=TRIM(Enginuity!$A$17),
    Q2094&lt;&gt;"",
    Q2094&lt;&gt;0,
    OR(
      TRIM(C2094)=TRIM(Enginuity!$A$18),
      AND(UPPER(TRIM(M2094))="STD", TRIM(B2094)=TRIM(Enginuity!$A$17))
    ),
    OR(
      AND(LEFT(P2094,5)="1-Way", Enginuity!$B$13=1),
      AND(LEFT(P2094,5)="2-Way", OR(Enginuity!$B$13=2, Enginuity!$B$13=4)),
      AND(LEFT(P2094,5)="3-Way", OR(Enginuity!$B$13=3, Enginuity!$B$13=6)),
      AND(P2094="Inner Centre Jamb", OR(Enginuity!$B$13=4, Enginuity!$B$13=6)),
      AND(
        LEFT(P2094,5)&lt;&gt;"1-Way",
        LEFT(P2094,5)&lt;&gt;"2-Way",
        LEFT(P2094,5)&lt;&gt;"3-Way",
        P2094&lt;&gt;"Inner Centre Jamb"
      )
    ),
    IF(OR(Enginuity!$A$1="Frameless Glass",Enginuity!$A$1="Metal Work"),
      AND(TRIM(B2094)=TRIM(Enginuity!$A$17),TRIM(C2094)=TRIM(Enginuity!$A$18)),
      TRIM(B2094)=TRIM(Enginuity!$A$17)
    )
  ),
  ROW(),
  ""
)</f>
        <v/>
      </c>
    </row>
    <row r="2095" spans="1:21" x14ac:dyDescent="0.25">
      <c r="A2095" s="10"/>
      <c r="B2095" s="229"/>
      <c r="C2095" s="10"/>
      <c r="D2095" s="14"/>
      <c r="E2095" s="157"/>
      <c r="F2095" s="10"/>
      <c r="G2095" s="17"/>
      <c r="H2095" s="10"/>
      <c r="I2095" s="17"/>
      <c r="J2095" s="83"/>
      <c r="K2095" s="343"/>
      <c r="L2095" s="347"/>
      <c r="M2095" s="89">
        <f t="shared" si="37"/>
        <v>59</v>
      </c>
      <c r="N2095" s="88"/>
      <c r="O2095" s="22"/>
      <c r="P2095" s="36"/>
      <c r="Q2095" s="83"/>
      <c r="U2095" s="104" t="str">
        <f>IF(
  AND(
    TRIM(A2095)=TRIM(Enginuity!$A$1),
    TRIM(B2095)=TRIM(Enginuity!$A$17),
    Q2095&lt;&gt;"",
    Q2095&lt;&gt;0,
    OR(
      TRIM(C2095)=TRIM(Enginuity!$A$18),
      AND(UPPER(TRIM(M2095))="STD", TRIM(B2095)=TRIM(Enginuity!$A$17))
    ),
    OR(
      AND(LEFT(P2095,5)="1-Way", Enginuity!$B$13=1),
      AND(LEFT(P2095,5)="2-Way", OR(Enginuity!$B$13=2, Enginuity!$B$13=4)),
      AND(LEFT(P2095,5)="3-Way", OR(Enginuity!$B$13=3, Enginuity!$B$13=6)),
      AND(P2095="Inner Centre Jamb", OR(Enginuity!$B$13=4, Enginuity!$B$13=6)),
      AND(
        LEFT(P2095,5)&lt;&gt;"1-Way",
        LEFT(P2095,5)&lt;&gt;"2-Way",
        LEFT(P2095,5)&lt;&gt;"3-Way",
        P2095&lt;&gt;"Inner Centre Jamb"
      )
    ),
    IF(OR(Enginuity!$A$1="Frameless Glass",Enginuity!$A$1="Metal Work"),
      AND(TRIM(B2095)=TRIM(Enginuity!$A$17),TRIM(C2095)=TRIM(Enginuity!$A$18)),
      TRIM(B2095)=TRIM(Enginuity!$A$17)
    )
  ),
  ROW(),
  ""
)</f>
        <v/>
      </c>
    </row>
    <row r="2096" spans="1:21" x14ac:dyDescent="0.25">
      <c r="A2096" s="10"/>
      <c r="B2096" s="229"/>
      <c r="C2096" s="10"/>
      <c r="D2096" s="14"/>
      <c r="E2096" s="157"/>
      <c r="F2096" s="10"/>
      <c r="G2096" s="17"/>
      <c r="H2096" s="10"/>
      <c r="I2096" s="17"/>
      <c r="J2096" s="83"/>
      <c r="K2096" s="343"/>
      <c r="L2096" s="347"/>
      <c r="M2096" s="89">
        <f t="shared" si="37"/>
        <v>60</v>
      </c>
      <c r="N2096" s="10"/>
      <c r="O2096" s="22"/>
      <c r="P2096" s="21"/>
      <c r="Q2096" s="83"/>
      <c r="U2096" s="104" t="str">
        <f>IF(
  AND(
    TRIM(A2096)=TRIM(Enginuity!$A$1),
    TRIM(B2096)=TRIM(Enginuity!$A$17),
    Q2096&lt;&gt;"",
    Q2096&lt;&gt;0,
    OR(
      TRIM(C2096)=TRIM(Enginuity!$A$18),
      AND(UPPER(TRIM(M2096))="STD", TRIM(B2096)=TRIM(Enginuity!$A$17))
    ),
    OR(
      AND(LEFT(P2096,5)="1-Way", Enginuity!$B$13=1),
      AND(LEFT(P2096,5)="2-Way", OR(Enginuity!$B$13=2, Enginuity!$B$13=4)),
      AND(LEFT(P2096,5)="3-Way", OR(Enginuity!$B$13=3, Enginuity!$B$13=6)),
      AND(P2096="Inner Centre Jamb", OR(Enginuity!$B$13=4, Enginuity!$B$13=6)),
      AND(
        LEFT(P2096,5)&lt;&gt;"1-Way",
        LEFT(P2096,5)&lt;&gt;"2-Way",
        LEFT(P2096,5)&lt;&gt;"3-Way",
        P2096&lt;&gt;"Inner Centre Jamb"
      )
    ),
    IF(OR(Enginuity!$A$1="Frameless Glass",Enginuity!$A$1="Metal Work"),
      AND(TRIM(B2096)=TRIM(Enginuity!$A$17),TRIM(C2096)=TRIM(Enginuity!$A$18)),
      TRIM(B2096)=TRIM(Enginuity!$A$17)
    )
  ),
  ROW(),
  ""
)</f>
        <v/>
      </c>
    </row>
    <row r="2097" spans="1:21" x14ac:dyDescent="0.25">
      <c r="A2097" s="10"/>
      <c r="B2097" s="229"/>
      <c r="C2097" s="10"/>
      <c r="D2097" s="14"/>
      <c r="E2097" s="157"/>
      <c r="F2097" s="10"/>
      <c r="G2097" s="17"/>
      <c r="H2097" s="10"/>
      <c r="I2097" s="17"/>
      <c r="J2097" s="83"/>
      <c r="K2097" s="343"/>
      <c r="L2097" s="347"/>
      <c r="M2097" s="89">
        <f t="shared" si="37"/>
        <v>61</v>
      </c>
      <c r="N2097" s="10"/>
      <c r="O2097" s="22"/>
      <c r="P2097" s="14"/>
      <c r="Q2097" s="83"/>
      <c r="U2097" s="104" t="str">
        <f>IF(
  AND(
    TRIM(A2097)=TRIM(Enginuity!$A$1),
    TRIM(B2097)=TRIM(Enginuity!$A$17),
    Q2097&lt;&gt;"",
    Q2097&lt;&gt;0,
    OR(
      TRIM(C2097)=TRIM(Enginuity!$A$18),
      AND(UPPER(TRIM(M2097))="STD", TRIM(B2097)=TRIM(Enginuity!$A$17))
    ),
    OR(
      AND(LEFT(P2097,5)="1-Way", Enginuity!$B$13=1),
      AND(LEFT(P2097,5)="2-Way", OR(Enginuity!$B$13=2, Enginuity!$B$13=4)),
      AND(LEFT(P2097,5)="3-Way", OR(Enginuity!$B$13=3, Enginuity!$B$13=6)),
      AND(P2097="Inner Centre Jamb", OR(Enginuity!$B$13=4, Enginuity!$B$13=6)),
      AND(
        LEFT(P2097,5)&lt;&gt;"1-Way",
        LEFT(P2097,5)&lt;&gt;"2-Way",
        LEFT(P2097,5)&lt;&gt;"3-Way",
        P2097&lt;&gt;"Inner Centre Jamb"
      )
    ),
    IF(OR(Enginuity!$A$1="Frameless Glass",Enginuity!$A$1="Metal Work"),
      AND(TRIM(B2097)=TRIM(Enginuity!$A$17),TRIM(C2097)=TRIM(Enginuity!$A$18)),
      TRIM(B2097)=TRIM(Enginuity!$A$17)
    )
  ),
  ROW(),
  ""
)</f>
        <v/>
      </c>
    </row>
    <row r="2098" spans="1:21" x14ac:dyDescent="0.25">
      <c r="A2098" s="10"/>
      <c r="B2098" s="229"/>
      <c r="C2098" s="10"/>
      <c r="D2098" s="14"/>
      <c r="E2098" s="157"/>
      <c r="F2098" s="10"/>
      <c r="G2098" s="17"/>
      <c r="H2098" s="10"/>
      <c r="I2098" s="17"/>
      <c r="J2098" s="83"/>
      <c r="K2098" s="343"/>
      <c r="L2098" s="347"/>
      <c r="M2098" s="89">
        <f t="shared" si="37"/>
        <v>62</v>
      </c>
      <c r="N2098" s="10"/>
      <c r="O2098" s="22"/>
      <c r="P2098" s="14"/>
      <c r="Q2098" s="83"/>
      <c r="U2098" s="104" t="str">
        <f>IF(
  AND(
    TRIM(A2098)=TRIM(Enginuity!$A$1),
    TRIM(B2098)=TRIM(Enginuity!$A$17),
    Q2098&lt;&gt;"",
    Q2098&lt;&gt;0,
    OR(
      TRIM(C2098)=TRIM(Enginuity!$A$18),
      AND(UPPER(TRIM(M2098))="STD", TRIM(B2098)=TRIM(Enginuity!$A$17))
    ),
    OR(
      AND(LEFT(P2098,5)="1-Way", Enginuity!$B$13=1),
      AND(LEFT(P2098,5)="2-Way", OR(Enginuity!$B$13=2, Enginuity!$B$13=4)),
      AND(LEFT(P2098,5)="3-Way", OR(Enginuity!$B$13=3, Enginuity!$B$13=6)),
      AND(P2098="Inner Centre Jamb", OR(Enginuity!$B$13=4, Enginuity!$B$13=6)),
      AND(
        LEFT(P2098,5)&lt;&gt;"1-Way",
        LEFT(P2098,5)&lt;&gt;"2-Way",
        LEFT(P2098,5)&lt;&gt;"3-Way",
        P2098&lt;&gt;"Inner Centre Jamb"
      )
    ),
    IF(OR(Enginuity!$A$1="Frameless Glass",Enginuity!$A$1="Metal Work"),
      AND(TRIM(B2098)=TRIM(Enginuity!$A$17),TRIM(C2098)=TRIM(Enginuity!$A$18)),
      TRIM(B2098)=TRIM(Enginuity!$A$17)
    )
  ),
  ROW(),
  ""
)</f>
        <v/>
      </c>
    </row>
    <row r="2099" spans="1:21" x14ac:dyDescent="0.25">
      <c r="A2099" s="10"/>
      <c r="B2099" s="229"/>
      <c r="C2099" s="10"/>
      <c r="D2099" s="14"/>
      <c r="E2099" s="157"/>
      <c r="F2099" s="10"/>
      <c r="G2099" s="17"/>
      <c r="H2099" s="10"/>
      <c r="I2099" s="17"/>
      <c r="J2099" s="83"/>
      <c r="K2099" s="343"/>
      <c r="L2099" s="347"/>
      <c r="M2099" s="89">
        <f t="shared" si="37"/>
        <v>63</v>
      </c>
      <c r="N2099" s="10"/>
      <c r="O2099" s="22"/>
      <c r="P2099" s="14"/>
      <c r="Q2099" s="83"/>
      <c r="U2099" s="104" t="str">
        <f>IF(
  AND(
    TRIM(A2099)=TRIM(Enginuity!$A$1),
    TRIM(B2099)=TRIM(Enginuity!$A$17),
    Q2099&lt;&gt;"",
    Q2099&lt;&gt;0,
    OR(
      TRIM(C2099)=TRIM(Enginuity!$A$18),
      AND(UPPER(TRIM(M2099))="STD", TRIM(B2099)=TRIM(Enginuity!$A$17))
    ),
    OR(
      AND(LEFT(P2099,5)="1-Way", Enginuity!$B$13=1),
      AND(LEFT(P2099,5)="2-Way", OR(Enginuity!$B$13=2, Enginuity!$B$13=4)),
      AND(LEFT(P2099,5)="3-Way", OR(Enginuity!$B$13=3, Enginuity!$B$13=6)),
      AND(P2099="Inner Centre Jamb", OR(Enginuity!$B$13=4, Enginuity!$B$13=6)),
      AND(
        LEFT(P2099,5)&lt;&gt;"1-Way",
        LEFT(P2099,5)&lt;&gt;"2-Way",
        LEFT(P2099,5)&lt;&gt;"3-Way",
        P2099&lt;&gt;"Inner Centre Jamb"
      )
    ),
    IF(OR(Enginuity!$A$1="Frameless Glass",Enginuity!$A$1="Metal Work"),
      AND(TRIM(B2099)=TRIM(Enginuity!$A$17),TRIM(C2099)=TRIM(Enginuity!$A$18)),
      TRIM(B2099)=TRIM(Enginuity!$A$17)
    )
  ),
  ROW(),
  ""
)</f>
        <v/>
      </c>
    </row>
    <row r="2100" spans="1:21" x14ac:dyDescent="0.25">
      <c r="A2100" s="10"/>
      <c r="B2100" s="229"/>
      <c r="C2100" s="10"/>
      <c r="D2100" s="14"/>
      <c r="E2100" s="157"/>
      <c r="F2100" s="10"/>
      <c r="G2100" s="17"/>
      <c r="H2100" s="10"/>
      <c r="I2100" s="17"/>
      <c r="J2100" s="83"/>
      <c r="K2100" s="343"/>
      <c r="L2100" s="347"/>
      <c r="M2100" s="89">
        <f t="shared" si="37"/>
        <v>64</v>
      </c>
      <c r="N2100" s="10"/>
      <c r="O2100" s="22"/>
      <c r="P2100" s="14"/>
      <c r="Q2100" s="83"/>
      <c r="U2100" s="104" t="str">
        <f>IF(
  AND(
    TRIM(A2100)=TRIM(Enginuity!$A$1),
    TRIM(B2100)=TRIM(Enginuity!$A$17),
    Q2100&lt;&gt;"",
    Q2100&lt;&gt;0,
    OR(
      TRIM(C2100)=TRIM(Enginuity!$A$18),
      AND(UPPER(TRIM(M2100))="STD", TRIM(B2100)=TRIM(Enginuity!$A$17))
    ),
    OR(
      AND(LEFT(P2100,5)="1-Way", Enginuity!$B$13=1),
      AND(LEFT(P2100,5)="2-Way", OR(Enginuity!$B$13=2, Enginuity!$B$13=4)),
      AND(LEFT(P2100,5)="3-Way", OR(Enginuity!$B$13=3, Enginuity!$B$13=6)),
      AND(P2100="Inner Centre Jamb", OR(Enginuity!$B$13=4, Enginuity!$B$13=6)),
      AND(
        LEFT(P2100,5)&lt;&gt;"1-Way",
        LEFT(P2100,5)&lt;&gt;"2-Way",
        LEFT(P2100,5)&lt;&gt;"3-Way",
        P2100&lt;&gt;"Inner Centre Jamb"
      )
    ),
    IF(OR(Enginuity!$A$1="Frameless Glass",Enginuity!$A$1="Metal Work"),
      AND(TRIM(B2100)=TRIM(Enginuity!$A$17),TRIM(C2100)=TRIM(Enginuity!$A$18)),
      TRIM(B2100)=TRIM(Enginuity!$A$17)
    )
  ),
  ROW(),
  ""
)</f>
        <v/>
      </c>
    </row>
    <row r="2101" spans="1:21" x14ac:dyDescent="0.25">
      <c r="A2101" s="10"/>
      <c r="B2101" s="229"/>
      <c r="C2101" s="10"/>
      <c r="D2101" s="14"/>
      <c r="E2101" s="157"/>
      <c r="F2101" s="10"/>
      <c r="G2101" s="17"/>
      <c r="H2101" s="10"/>
      <c r="I2101" s="17"/>
      <c r="J2101" s="83"/>
      <c r="K2101" s="343"/>
      <c r="L2101" s="347"/>
      <c r="M2101" s="89">
        <f t="shared" si="37"/>
        <v>65</v>
      </c>
      <c r="N2101" s="10"/>
      <c r="O2101" s="22"/>
      <c r="P2101" s="14"/>
      <c r="Q2101" s="83"/>
      <c r="U2101" s="104" t="str">
        <f>IF(
  AND(
    TRIM(A2101)=TRIM(Enginuity!$A$1),
    TRIM(B2101)=TRIM(Enginuity!$A$17),
    Q2101&lt;&gt;"",
    Q2101&lt;&gt;0,
    OR(
      TRIM(C2101)=TRIM(Enginuity!$A$18),
      AND(UPPER(TRIM(M2101))="STD", TRIM(B2101)=TRIM(Enginuity!$A$17))
    ),
    OR(
      AND(LEFT(P2101,5)="1-Way", Enginuity!$B$13=1),
      AND(LEFT(P2101,5)="2-Way", OR(Enginuity!$B$13=2, Enginuity!$B$13=4)),
      AND(LEFT(P2101,5)="3-Way", OR(Enginuity!$B$13=3, Enginuity!$B$13=6)),
      AND(P2101="Inner Centre Jamb", OR(Enginuity!$B$13=4, Enginuity!$B$13=6)),
      AND(
        LEFT(P2101,5)&lt;&gt;"1-Way",
        LEFT(P2101,5)&lt;&gt;"2-Way",
        LEFT(P2101,5)&lt;&gt;"3-Way",
        P2101&lt;&gt;"Inner Centre Jamb"
      )
    ),
    IF(OR(Enginuity!$A$1="Frameless Glass",Enginuity!$A$1="Metal Work"),
      AND(TRIM(B2101)=TRIM(Enginuity!$A$17),TRIM(C2101)=TRIM(Enginuity!$A$18)),
      TRIM(B2101)=TRIM(Enginuity!$A$17)
    )
  ),
  ROW(),
  ""
)</f>
        <v/>
      </c>
    </row>
    <row r="2102" spans="1:21" x14ac:dyDescent="0.25">
      <c r="A2102" s="10"/>
      <c r="B2102" s="229"/>
      <c r="C2102" s="10"/>
      <c r="D2102" s="14"/>
      <c r="E2102" s="157"/>
      <c r="F2102" s="10"/>
      <c r="G2102" s="17"/>
      <c r="H2102" s="10"/>
      <c r="I2102" s="17"/>
      <c r="J2102" s="83"/>
      <c r="K2102" s="343"/>
      <c r="L2102" s="347"/>
      <c r="M2102" s="89">
        <f t="shared" si="37"/>
        <v>66</v>
      </c>
      <c r="N2102" s="88"/>
      <c r="O2102" s="22"/>
      <c r="P2102" s="14"/>
      <c r="Q2102" s="83"/>
      <c r="U2102" s="104" t="str">
        <f>IF(
  AND(
    TRIM(A2102)=TRIM(Enginuity!$A$1),
    TRIM(B2102)=TRIM(Enginuity!$A$17),
    Q2102&lt;&gt;"",
    Q2102&lt;&gt;0,
    OR(
      TRIM(C2102)=TRIM(Enginuity!$A$18),
      AND(UPPER(TRIM(M2102))="STD", TRIM(B2102)=TRIM(Enginuity!$A$17))
    ),
    OR(
      AND(LEFT(P2102,5)="1-Way", Enginuity!$B$13=1),
      AND(LEFT(P2102,5)="2-Way", OR(Enginuity!$B$13=2, Enginuity!$B$13=4)),
      AND(LEFT(P2102,5)="3-Way", OR(Enginuity!$B$13=3, Enginuity!$B$13=6)),
      AND(P2102="Inner Centre Jamb", OR(Enginuity!$B$13=4, Enginuity!$B$13=6)),
      AND(
        LEFT(P2102,5)&lt;&gt;"1-Way",
        LEFT(P2102,5)&lt;&gt;"2-Way",
        LEFT(P2102,5)&lt;&gt;"3-Way",
        P2102&lt;&gt;"Inner Centre Jamb"
      )
    ),
    IF(OR(Enginuity!$A$1="Frameless Glass",Enginuity!$A$1="Metal Work"),
      AND(TRIM(B2102)=TRIM(Enginuity!$A$17),TRIM(C2102)=TRIM(Enginuity!$A$18)),
      TRIM(B2102)=TRIM(Enginuity!$A$17)
    )
  ),
  ROW(),
  ""
)</f>
        <v/>
      </c>
    </row>
    <row r="2103" spans="1:21" x14ac:dyDescent="0.25">
      <c r="A2103" s="10"/>
      <c r="B2103" s="229"/>
      <c r="C2103" s="10"/>
      <c r="D2103" s="14"/>
      <c r="E2103" s="157"/>
      <c r="F2103" s="10"/>
      <c r="G2103" s="17"/>
      <c r="H2103" s="10"/>
      <c r="I2103" s="17"/>
      <c r="J2103" s="83"/>
      <c r="K2103" s="343"/>
      <c r="L2103" s="347"/>
      <c r="M2103" s="89">
        <f t="shared" ref="M2103:M2166" si="38">1+M2102</f>
        <v>67</v>
      </c>
      <c r="N2103" s="10"/>
      <c r="O2103" s="22"/>
      <c r="P2103" s="14"/>
      <c r="Q2103" s="83"/>
      <c r="U2103" s="104" t="str">
        <f>IF(
  AND(
    TRIM(A2103)=TRIM(Enginuity!$A$1),
    TRIM(B2103)=TRIM(Enginuity!$A$17),
    Q2103&lt;&gt;"",
    Q2103&lt;&gt;0,
    OR(
      TRIM(C2103)=TRIM(Enginuity!$A$18),
      AND(UPPER(TRIM(M2103))="STD", TRIM(B2103)=TRIM(Enginuity!$A$17))
    ),
    OR(
      AND(LEFT(P2103,5)="1-Way", Enginuity!$B$13=1),
      AND(LEFT(P2103,5)="2-Way", OR(Enginuity!$B$13=2, Enginuity!$B$13=4)),
      AND(LEFT(P2103,5)="3-Way", OR(Enginuity!$B$13=3, Enginuity!$B$13=6)),
      AND(P2103="Inner Centre Jamb", OR(Enginuity!$B$13=4, Enginuity!$B$13=6)),
      AND(
        LEFT(P2103,5)&lt;&gt;"1-Way",
        LEFT(P2103,5)&lt;&gt;"2-Way",
        LEFT(P2103,5)&lt;&gt;"3-Way",
        P2103&lt;&gt;"Inner Centre Jamb"
      )
    ),
    IF(OR(Enginuity!$A$1="Frameless Glass",Enginuity!$A$1="Metal Work"),
      AND(TRIM(B2103)=TRIM(Enginuity!$A$17),TRIM(C2103)=TRIM(Enginuity!$A$18)),
      TRIM(B2103)=TRIM(Enginuity!$A$17)
    )
  ),
  ROW(),
  ""
)</f>
        <v/>
      </c>
    </row>
    <row r="2104" spans="1:21" x14ac:dyDescent="0.25">
      <c r="A2104" s="10"/>
      <c r="B2104" s="229"/>
      <c r="C2104" s="10"/>
      <c r="D2104" s="14"/>
      <c r="E2104" s="157"/>
      <c r="F2104" s="10"/>
      <c r="G2104" s="17"/>
      <c r="H2104" s="10"/>
      <c r="I2104" s="17"/>
      <c r="J2104" s="83"/>
      <c r="K2104" s="343"/>
      <c r="L2104" s="347"/>
      <c r="M2104" s="89">
        <f t="shared" si="38"/>
        <v>68</v>
      </c>
      <c r="N2104" s="10"/>
      <c r="O2104" s="22"/>
      <c r="P2104" s="14"/>
      <c r="Q2104" s="83"/>
      <c r="U2104" s="104" t="str">
        <f>IF(
  AND(
    TRIM(A2104)=TRIM(Enginuity!$A$1),
    TRIM(B2104)=TRIM(Enginuity!$A$17),
    Q2104&lt;&gt;"",
    Q2104&lt;&gt;0,
    OR(
      TRIM(C2104)=TRIM(Enginuity!$A$18),
      AND(UPPER(TRIM(M2104))="STD", TRIM(B2104)=TRIM(Enginuity!$A$17))
    ),
    OR(
      AND(LEFT(P2104,5)="1-Way", Enginuity!$B$13=1),
      AND(LEFT(P2104,5)="2-Way", OR(Enginuity!$B$13=2, Enginuity!$B$13=4)),
      AND(LEFT(P2104,5)="3-Way", OR(Enginuity!$B$13=3, Enginuity!$B$13=6)),
      AND(P2104="Inner Centre Jamb", OR(Enginuity!$B$13=4, Enginuity!$B$13=6)),
      AND(
        LEFT(P2104,5)&lt;&gt;"1-Way",
        LEFT(P2104,5)&lt;&gt;"2-Way",
        LEFT(P2104,5)&lt;&gt;"3-Way",
        P2104&lt;&gt;"Inner Centre Jamb"
      )
    ),
    IF(OR(Enginuity!$A$1="Frameless Glass",Enginuity!$A$1="Metal Work"),
      AND(TRIM(B2104)=TRIM(Enginuity!$A$17),TRIM(C2104)=TRIM(Enginuity!$A$18)),
      TRIM(B2104)=TRIM(Enginuity!$A$17)
    )
  ),
  ROW(),
  ""
)</f>
        <v/>
      </c>
    </row>
    <row r="2105" spans="1:21" x14ac:dyDescent="0.25">
      <c r="A2105" s="10"/>
      <c r="B2105" s="229"/>
      <c r="C2105" s="10"/>
      <c r="D2105" s="14"/>
      <c r="E2105" s="157"/>
      <c r="F2105" s="10"/>
      <c r="G2105" s="17"/>
      <c r="H2105" s="10"/>
      <c r="I2105" s="17"/>
      <c r="J2105" s="83"/>
      <c r="K2105" s="343"/>
      <c r="L2105" s="347"/>
      <c r="M2105" s="89">
        <f t="shared" si="38"/>
        <v>69</v>
      </c>
      <c r="N2105" s="10"/>
      <c r="O2105" s="22"/>
      <c r="P2105" s="14"/>
      <c r="Q2105" s="83"/>
      <c r="U2105" s="104" t="str">
        <f>IF(
  AND(
    TRIM(A2105)=TRIM(Enginuity!$A$1),
    TRIM(B2105)=TRIM(Enginuity!$A$17),
    Q2105&lt;&gt;"",
    Q2105&lt;&gt;0,
    OR(
      TRIM(C2105)=TRIM(Enginuity!$A$18),
      AND(UPPER(TRIM(M2105))="STD", TRIM(B2105)=TRIM(Enginuity!$A$17))
    ),
    OR(
      AND(LEFT(P2105,5)="1-Way", Enginuity!$B$13=1),
      AND(LEFT(P2105,5)="2-Way", OR(Enginuity!$B$13=2, Enginuity!$B$13=4)),
      AND(LEFT(P2105,5)="3-Way", OR(Enginuity!$B$13=3, Enginuity!$B$13=6)),
      AND(P2105="Inner Centre Jamb", OR(Enginuity!$B$13=4, Enginuity!$B$13=6)),
      AND(
        LEFT(P2105,5)&lt;&gt;"1-Way",
        LEFT(P2105,5)&lt;&gt;"2-Way",
        LEFT(P2105,5)&lt;&gt;"3-Way",
        P2105&lt;&gt;"Inner Centre Jamb"
      )
    ),
    IF(OR(Enginuity!$A$1="Frameless Glass",Enginuity!$A$1="Metal Work"),
      AND(TRIM(B2105)=TRIM(Enginuity!$A$17),TRIM(C2105)=TRIM(Enginuity!$A$18)),
      TRIM(B2105)=TRIM(Enginuity!$A$17)
    )
  ),
  ROW(),
  ""
)</f>
        <v/>
      </c>
    </row>
    <row r="2106" spans="1:21" x14ac:dyDescent="0.25">
      <c r="A2106" s="10"/>
      <c r="B2106" s="229"/>
      <c r="C2106" s="10"/>
      <c r="D2106" s="14"/>
      <c r="E2106" s="157"/>
      <c r="F2106" s="10"/>
      <c r="G2106" s="17"/>
      <c r="H2106" s="10"/>
      <c r="I2106" s="17"/>
      <c r="J2106" s="83"/>
      <c r="K2106" s="343"/>
      <c r="L2106" s="347"/>
      <c r="M2106" s="89">
        <f t="shared" si="38"/>
        <v>70</v>
      </c>
      <c r="N2106" s="10"/>
      <c r="O2106" s="22"/>
      <c r="P2106" s="14"/>
      <c r="Q2106" s="83"/>
      <c r="U2106" s="104" t="str">
        <f>IF(
  AND(
    TRIM(A2106)=TRIM(Enginuity!$A$1),
    TRIM(B2106)=TRIM(Enginuity!$A$17),
    Q2106&lt;&gt;"",
    Q2106&lt;&gt;0,
    OR(
      TRIM(C2106)=TRIM(Enginuity!$A$18),
      AND(UPPER(TRIM(M2106))="STD", TRIM(B2106)=TRIM(Enginuity!$A$17))
    ),
    OR(
      AND(LEFT(P2106,5)="1-Way", Enginuity!$B$13=1),
      AND(LEFT(P2106,5)="2-Way", OR(Enginuity!$B$13=2, Enginuity!$B$13=4)),
      AND(LEFT(P2106,5)="3-Way", OR(Enginuity!$B$13=3, Enginuity!$B$13=6)),
      AND(P2106="Inner Centre Jamb", OR(Enginuity!$B$13=4, Enginuity!$B$13=6)),
      AND(
        LEFT(P2106,5)&lt;&gt;"1-Way",
        LEFT(P2106,5)&lt;&gt;"2-Way",
        LEFT(P2106,5)&lt;&gt;"3-Way",
        P2106&lt;&gt;"Inner Centre Jamb"
      )
    ),
    IF(OR(Enginuity!$A$1="Frameless Glass",Enginuity!$A$1="Metal Work"),
      AND(TRIM(B2106)=TRIM(Enginuity!$A$17),TRIM(C2106)=TRIM(Enginuity!$A$18)),
      TRIM(B2106)=TRIM(Enginuity!$A$17)
    )
  ),
  ROW(),
  ""
)</f>
        <v/>
      </c>
    </row>
    <row r="2107" spans="1:21" x14ac:dyDescent="0.25">
      <c r="A2107" s="10"/>
      <c r="B2107" s="229"/>
      <c r="C2107" s="10"/>
      <c r="D2107" s="14"/>
      <c r="E2107" s="157"/>
      <c r="F2107" s="10"/>
      <c r="G2107" s="17"/>
      <c r="H2107" s="10"/>
      <c r="I2107" s="17"/>
      <c r="J2107" s="83"/>
      <c r="K2107" s="343"/>
      <c r="L2107" s="347"/>
      <c r="M2107" s="89">
        <f t="shared" si="38"/>
        <v>71</v>
      </c>
      <c r="N2107" s="10"/>
      <c r="O2107" s="22"/>
      <c r="P2107" s="14"/>
      <c r="Q2107" s="83"/>
      <c r="U2107" s="104" t="str">
        <f>IF(
  AND(
    TRIM(A2107)=TRIM(Enginuity!$A$1),
    TRIM(B2107)=TRIM(Enginuity!$A$17),
    Q2107&lt;&gt;"",
    Q2107&lt;&gt;0,
    OR(
      TRIM(C2107)=TRIM(Enginuity!$A$18),
      AND(UPPER(TRIM(M2107))="STD", TRIM(B2107)=TRIM(Enginuity!$A$17))
    ),
    OR(
      AND(LEFT(P2107,5)="1-Way", Enginuity!$B$13=1),
      AND(LEFT(P2107,5)="2-Way", OR(Enginuity!$B$13=2, Enginuity!$B$13=4)),
      AND(LEFT(P2107,5)="3-Way", OR(Enginuity!$B$13=3, Enginuity!$B$13=6)),
      AND(P2107="Inner Centre Jamb", OR(Enginuity!$B$13=4, Enginuity!$B$13=6)),
      AND(
        LEFT(P2107,5)&lt;&gt;"1-Way",
        LEFT(P2107,5)&lt;&gt;"2-Way",
        LEFT(P2107,5)&lt;&gt;"3-Way",
        P2107&lt;&gt;"Inner Centre Jamb"
      )
    ),
    IF(OR(Enginuity!$A$1="Frameless Glass",Enginuity!$A$1="Metal Work"),
      AND(TRIM(B2107)=TRIM(Enginuity!$A$17),TRIM(C2107)=TRIM(Enginuity!$A$18)),
      TRIM(B2107)=TRIM(Enginuity!$A$17)
    )
  ),
  ROW(),
  ""
)</f>
        <v/>
      </c>
    </row>
    <row r="2108" spans="1:21" x14ac:dyDescent="0.25">
      <c r="A2108" s="10"/>
      <c r="B2108" s="229"/>
      <c r="C2108" s="10"/>
      <c r="D2108" s="14"/>
      <c r="E2108" s="157"/>
      <c r="F2108" s="10"/>
      <c r="G2108" s="17"/>
      <c r="H2108" s="10"/>
      <c r="I2108" s="17"/>
      <c r="J2108" s="83"/>
      <c r="K2108" s="343"/>
      <c r="L2108" s="347"/>
      <c r="M2108" s="89">
        <f t="shared" si="38"/>
        <v>72</v>
      </c>
      <c r="N2108" s="10"/>
      <c r="O2108" s="22"/>
      <c r="P2108" s="21"/>
      <c r="Q2108" s="83"/>
      <c r="U2108" s="104" t="str">
        <f>IF(
  AND(
    TRIM(A2108)=TRIM(Enginuity!$A$1),
    TRIM(B2108)=TRIM(Enginuity!$A$17),
    Q2108&lt;&gt;"",
    Q2108&lt;&gt;0,
    OR(
      TRIM(C2108)=TRIM(Enginuity!$A$18),
      AND(UPPER(TRIM(M2108))="STD", TRIM(B2108)=TRIM(Enginuity!$A$17))
    ),
    OR(
      AND(LEFT(P2108,5)="1-Way", Enginuity!$B$13=1),
      AND(LEFT(P2108,5)="2-Way", OR(Enginuity!$B$13=2, Enginuity!$B$13=4)),
      AND(LEFT(P2108,5)="3-Way", OR(Enginuity!$B$13=3, Enginuity!$B$13=6)),
      AND(P2108="Inner Centre Jamb", OR(Enginuity!$B$13=4, Enginuity!$B$13=6)),
      AND(
        LEFT(P2108,5)&lt;&gt;"1-Way",
        LEFT(P2108,5)&lt;&gt;"2-Way",
        LEFT(P2108,5)&lt;&gt;"3-Way",
        P2108&lt;&gt;"Inner Centre Jamb"
      )
    ),
    IF(OR(Enginuity!$A$1="Frameless Glass",Enginuity!$A$1="Metal Work"),
      AND(TRIM(B2108)=TRIM(Enginuity!$A$17),TRIM(C2108)=TRIM(Enginuity!$A$18)),
      TRIM(B2108)=TRIM(Enginuity!$A$17)
    )
  ),
  ROW(),
  ""
)</f>
        <v/>
      </c>
    </row>
    <row r="2109" spans="1:21" x14ac:dyDescent="0.25">
      <c r="A2109" s="10"/>
      <c r="B2109" s="229"/>
      <c r="C2109" s="10"/>
      <c r="D2109" s="14"/>
      <c r="E2109" s="157"/>
      <c r="F2109" s="10"/>
      <c r="G2109" s="17"/>
      <c r="H2109" s="10"/>
      <c r="I2109" s="17"/>
      <c r="J2109" s="83"/>
      <c r="K2109" s="343"/>
      <c r="L2109" s="347"/>
      <c r="M2109" s="89">
        <f t="shared" si="38"/>
        <v>73</v>
      </c>
      <c r="N2109" s="10"/>
      <c r="O2109" s="22"/>
      <c r="P2109" s="21"/>
      <c r="Q2109" s="83"/>
      <c r="U2109" s="104" t="str">
        <f>IF(
  AND(
    TRIM(A2109)=TRIM(Enginuity!$A$1),
    TRIM(B2109)=TRIM(Enginuity!$A$17),
    Q2109&lt;&gt;"",
    Q2109&lt;&gt;0,
    OR(
      TRIM(C2109)=TRIM(Enginuity!$A$18),
      AND(UPPER(TRIM(M2109))="STD", TRIM(B2109)=TRIM(Enginuity!$A$17))
    ),
    OR(
      AND(LEFT(P2109,5)="1-Way", Enginuity!$B$13=1),
      AND(LEFT(P2109,5)="2-Way", OR(Enginuity!$B$13=2, Enginuity!$B$13=4)),
      AND(LEFT(P2109,5)="3-Way", OR(Enginuity!$B$13=3, Enginuity!$B$13=6)),
      AND(P2109="Inner Centre Jamb", OR(Enginuity!$B$13=4, Enginuity!$B$13=6)),
      AND(
        LEFT(P2109,5)&lt;&gt;"1-Way",
        LEFT(P2109,5)&lt;&gt;"2-Way",
        LEFT(P2109,5)&lt;&gt;"3-Way",
        P2109&lt;&gt;"Inner Centre Jamb"
      )
    ),
    IF(OR(Enginuity!$A$1="Frameless Glass",Enginuity!$A$1="Metal Work"),
      AND(TRIM(B2109)=TRIM(Enginuity!$A$17),TRIM(C2109)=TRIM(Enginuity!$A$18)),
      TRIM(B2109)=TRIM(Enginuity!$A$17)
    )
  ),
  ROW(),
  ""
)</f>
        <v/>
      </c>
    </row>
    <row r="2110" spans="1:21" x14ac:dyDescent="0.25">
      <c r="A2110" s="10"/>
      <c r="B2110" s="229"/>
      <c r="C2110" s="10"/>
      <c r="D2110" s="14"/>
      <c r="E2110" s="157"/>
      <c r="F2110" s="10"/>
      <c r="G2110" s="17"/>
      <c r="H2110" s="10"/>
      <c r="I2110" s="17"/>
      <c r="J2110" s="83"/>
      <c r="K2110" s="343"/>
      <c r="L2110" s="347"/>
      <c r="M2110" s="89">
        <f t="shared" si="38"/>
        <v>74</v>
      </c>
      <c r="N2110" s="10"/>
      <c r="O2110" s="22"/>
      <c r="P2110" s="14"/>
      <c r="Q2110" s="83"/>
      <c r="U2110" s="104" t="str">
        <f>IF(
  AND(
    TRIM(A2110)=TRIM(Enginuity!$A$1),
    TRIM(B2110)=TRIM(Enginuity!$A$17),
    Q2110&lt;&gt;"",
    Q2110&lt;&gt;0,
    OR(
      TRIM(C2110)=TRIM(Enginuity!$A$18),
      AND(UPPER(TRIM(M2110))="STD", TRIM(B2110)=TRIM(Enginuity!$A$17))
    ),
    OR(
      AND(LEFT(P2110,5)="1-Way", Enginuity!$B$13=1),
      AND(LEFT(P2110,5)="2-Way", OR(Enginuity!$B$13=2, Enginuity!$B$13=4)),
      AND(LEFT(P2110,5)="3-Way", OR(Enginuity!$B$13=3, Enginuity!$B$13=6)),
      AND(P2110="Inner Centre Jamb", OR(Enginuity!$B$13=4, Enginuity!$B$13=6)),
      AND(
        LEFT(P2110,5)&lt;&gt;"1-Way",
        LEFT(P2110,5)&lt;&gt;"2-Way",
        LEFT(P2110,5)&lt;&gt;"3-Way",
        P2110&lt;&gt;"Inner Centre Jamb"
      )
    ),
    IF(OR(Enginuity!$A$1="Frameless Glass",Enginuity!$A$1="Metal Work"),
      AND(TRIM(B2110)=TRIM(Enginuity!$A$17),TRIM(C2110)=TRIM(Enginuity!$A$18)),
      TRIM(B2110)=TRIM(Enginuity!$A$17)
    )
  ),
  ROW(),
  ""
)</f>
        <v/>
      </c>
    </row>
    <row r="2111" spans="1:21" x14ac:dyDescent="0.25">
      <c r="A2111" s="10"/>
      <c r="B2111" s="229"/>
      <c r="C2111" s="10"/>
      <c r="D2111" s="14"/>
      <c r="E2111" s="157"/>
      <c r="F2111" s="10"/>
      <c r="G2111" s="17"/>
      <c r="H2111" s="10"/>
      <c r="I2111" s="17"/>
      <c r="J2111" s="83"/>
      <c r="K2111" s="343"/>
      <c r="L2111" s="347"/>
      <c r="M2111" s="89">
        <f t="shared" si="38"/>
        <v>75</v>
      </c>
      <c r="N2111" s="10"/>
      <c r="O2111" s="22"/>
      <c r="P2111" s="21"/>
      <c r="Q2111" s="83"/>
      <c r="U2111" s="104" t="str">
        <f>IF(
  AND(
    TRIM(A2111)=TRIM(Enginuity!$A$1),
    TRIM(B2111)=TRIM(Enginuity!$A$17),
    Q2111&lt;&gt;"",
    Q2111&lt;&gt;0,
    OR(
      TRIM(C2111)=TRIM(Enginuity!$A$18),
      AND(UPPER(TRIM(M2111))="STD", TRIM(B2111)=TRIM(Enginuity!$A$17))
    ),
    OR(
      AND(LEFT(P2111,5)="1-Way", Enginuity!$B$13=1),
      AND(LEFT(P2111,5)="2-Way", OR(Enginuity!$B$13=2, Enginuity!$B$13=4)),
      AND(LEFT(P2111,5)="3-Way", OR(Enginuity!$B$13=3, Enginuity!$B$13=6)),
      AND(P2111="Inner Centre Jamb", OR(Enginuity!$B$13=4, Enginuity!$B$13=6)),
      AND(
        LEFT(P2111,5)&lt;&gt;"1-Way",
        LEFT(P2111,5)&lt;&gt;"2-Way",
        LEFT(P2111,5)&lt;&gt;"3-Way",
        P2111&lt;&gt;"Inner Centre Jamb"
      )
    ),
    IF(OR(Enginuity!$A$1="Frameless Glass",Enginuity!$A$1="Metal Work"),
      AND(TRIM(B2111)=TRIM(Enginuity!$A$17),TRIM(C2111)=TRIM(Enginuity!$A$18)),
      TRIM(B2111)=TRIM(Enginuity!$A$17)
    )
  ),
  ROW(),
  ""
)</f>
        <v/>
      </c>
    </row>
    <row r="2112" spans="1:21" x14ac:dyDescent="0.25">
      <c r="A2112" s="10"/>
      <c r="B2112" s="229"/>
      <c r="C2112" s="10"/>
      <c r="D2112" s="14"/>
      <c r="E2112" s="157"/>
      <c r="F2112" s="10"/>
      <c r="G2112" s="17"/>
      <c r="H2112" s="10"/>
      <c r="I2112" s="17"/>
      <c r="J2112" s="83"/>
      <c r="K2112" s="343"/>
      <c r="L2112" s="347"/>
      <c r="M2112" s="89">
        <f t="shared" si="38"/>
        <v>76</v>
      </c>
      <c r="N2112" s="10"/>
      <c r="O2112" s="22"/>
      <c r="P2112" s="14"/>
      <c r="Q2112" s="83"/>
      <c r="U2112" s="104" t="str">
        <f>IF(
  AND(
    TRIM(A2112)=TRIM(Enginuity!$A$1),
    TRIM(B2112)=TRIM(Enginuity!$A$17),
    Q2112&lt;&gt;"",
    Q2112&lt;&gt;0,
    OR(
      TRIM(C2112)=TRIM(Enginuity!$A$18),
      AND(UPPER(TRIM(M2112))="STD", TRIM(B2112)=TRIM(Enginuity!$A$17))
    ),
    OR(
      AND(LEFT(P2112,5)="1-Way", Enginuity!$B$13=1),
      AND(LEFT(P2112,5)="2-Way", OR(Enginuity!$B$13=2, Enginuity!$B$13=4)),
      AND(LEFT(P2112,5)="3-Way", OR(Enginuity!$B$13=3, Enginuity!$B$13=6)),
      AND(P2112="Inner Centre Jamb", OR(Enginuity!$B$13=4, Enginuity!$B$13=6)),
      AND(
        LEFT(P2112,5)&lt;&gt;"1-Way",
        LEFT(P2112,5)&lt;&gt;"2-Way",
        LEFT(P2112,5)&lt;&gt;"3-Way",
        P2112&lt;&gt;"Inner Centre Jamb"
      )
    ),
    IF(OR(Enginuity!$A$1="Frameless Glass",Enginuity!$A$1="Metal Work"),
      AND(TRIM(B2112)=TRIM(Enginuity!$A$17),TRIM(C2112)=TRIM(Enginuity!$A$18)),
      TRIM(B2112)=TRIM(Enginuity!$A$17)
    )
  ),
  ROW(),
  ""
)</f>
        <v/>
      </c>
    </row>
    <row r="2113" spans="1:21" x14ac:dyDescent="0.25">
      <c r="A2113" s="10"/>
      <c r="B2113" s="229"/>
      <c r="C2113" s="10"/>
      <c r="D2113" s="14"/>
      <c r="E2113" s="157"/>
      <c r="F2113" s="10"/>
      <c r="G2113" s="17"/>
      <c r="H2113" s="10"/>
      <c r="I2113" s="17"/>
      <c r="J2113" s="83"/>
      <c r="K2113" s="343"/>
      <c r="L2113" s="347"/>
      <c r="M2113" s="89">
        <f t="shared" si="38"/>
        <v>77</v>
      </c>
      <c r="N2113" s="10"/>
      <c r="O2113" s="22"/>
      <c r="P2113" s="14"/>
      <c r="Q2113" s="83"/>
      <c r="U2113" s="104" t="str">
        <f>IF(
  AND(
    TRIM(A2113)=TRIM(Enginuity!$A$1),
    TRIM(B2113)=TRIM(Enginuity!$A$17),
    Q2113&lt;&gt;"",
    Q2113&lt;&gt;0,
    OR(
      TRIM(C2113)=TRIM(Enginuity!$A$18),
      AND(UPPER(TRIM(M2113))="STD", TRIM(B2113)=TRIM(Enginuity!$A$17))
    ),
    OR(
      AND(LEFT(P2113,5)="1-Way", Enginuity!$B$13=1),
      AND(LEFT(P2113,5)="2-Way", OR(Enginuity!$B$13=2, Enginuity!$B$13=4)),
      AND(LEFT(P2113,5)="3-Way", OR(Enginuity!$B$13=3, Enginuity!$B$13=6)),
      AND(P2113="Inner Centre Jamb", OR(Enginuity!$B$13=4, Enginuity!$B$13=6)),
      AND(
        LEFT(P2113,5)&lt;&gt;"1-Way",
        LEFT(P2113,5)&lt;&gt;"2-Way",
        LEFT(P2113,5)&lt;&gt;"3-Way",
        P2113&lt;&gt;"Inner Centre Jamb"
      )
    ),
    IF(OR(Enginuity!$A$1="Frameless Glass",Enginuity!$A$1="Metal Work"),
      AND(TRIM(B2113)=TRIM(Enginuity!$A$17),TRIM(C2113)=TRIM(Enginuity!$A$18)),
      TRIM(B2113)=TRIM(Enginuity!$A$17)
    )
  ),
  ROW(),
  ""
)</f>
        <v/>
      </c>
    </row>
    <row r="2114" spans="1:21" x14ac:dyDescent="0.25">
      <c r="A2114" s="10"/>
      <c r="B2114" s="229"/>
      <c r="C2114" s="10"/>
      <c r="D2114" s="14"/>
      <c r="E2114" s="157"/>
      <c r="F2114" s="10"/>
      <c r="G2114" s="17"/>
      <c r="H2114" s="10"/>
      <c r="I2114" s="17"/>
      <c r="J2114" s="83"/>
      <c r="K2114" s="343"/>
      <c r="L2114" s="347"/>
      <c r="M2114" s="89">
        <f t="shared" si="38"/>
        <v>78</v>
      </c>
      <c r="N2114" s="10"/>
      <c r="O2114" s="22"/>
      <c r="P2114" s="14"/>
      <c r="Q2114" s="83"/>
      <c r="U2114" s="104" t="str">
        <f>IF(
  AND(
    TRIM(A2114)=TRIM(Enginuity!$A$1),
    TRIM(B2114)=TRIM(Enginuity!$A$17),
    Q2114&lt;&gt;"",
    Q2114&lt;&gt;0,
    OR(
      TRIM(C2114)=TRIM(Enginuity!$A$18),
      AND(UPPER(TRIM(M2114))="STD", TRIM(B2114)=TRIM(Enginuity!$A$17))
    ),
    OR(
      AND(LEFT(P2114,5)="1-Way", Enginuity!$B$13=1),
      AND(LEFT(P2114,5)="2-Way", OR(Enginuity!$B$13=2, Enginuity!$B$13=4)),
      AND(LEFT(P2114,5)="3-Way", OR(Enginuity!$B$13=3, Enginuity!$B$13=6)),
      AND(P2114="Inner Centre Jamb", OR(Enginuity!$B$13=4, Enginuity!$B$13=6)),
      AND(
        LEFT(P2114,5)&lt;&gt;"1-Way",
        LEFT(P2114,5)&lt;&gt;"2-Way",
        LEFT(P2114,5)&lt;&gt;"3-Way",
        P2114&lt;&gt;"Inner Centre Jamb"
      )
    ),
    IF(OR(Enginuity!$A$1="Frameless Glass",Enginuity!$A$1="Metal Work"),
      AND(TRIM(B2114)=TRIM(Enginuity!$A$17),TRIM(C2114)=TRIM(Enginuity!$A$18)),
      TRIM(B2114)=TRIM(Enginuity!$A$17)
    )
  ),
  ROW(),
  ""
)</f>
        <v/>
      </c>
    </row>
    <row r="2115" spans="1:21" x14ac:dyDescent="0.25">
      <c r="A2115" s="10"/>
      <c r="B2115" s="229"/>
      <c r="C2115" s="10"/>
      <c r="D2115" s="14"/>
      <c r="E2115" s="157"/>
      <c r="F2115" s="10"/>
      <c r="G2115" s="17"/>
      <c r="H2115" s="10"/>
      <c r="I2115" s="17"/>
      <c r="J2115" s="83"/>
      <c r="K2115" s="344"/>
      <c r="L2115" s="347"/>
      <c r="M2115" s="89">
        <f t="shared" si="38"/>
        <v>79</v>
      </c>
      <c r="N2115" s="10"/>
      <c r="O2115" s="22"/>
      <c r="P2115" s="36"/>
      <c r="Q2115" s="83"/>
      <c r="U2115" s="104" t="str">
        <f>IF(
  AND(
    TRIM(A2115)=TRIM(Enginuity!$A$1),
    TRIM(B2115)=TRIM(Enginuity!$A$17),
    Q2115&lt;&gt;"",
    Q2115&lt;&gt;0,
    OR(
      TRIM(C2115)=TRIM(Enginuity!$A$18),
      AND(UPPER(TRIM(M2115))="STD", TRIM(B2115)=TRIM(Enginuity!$A$17))
    ),
    OR(
      AND(LEFT(P2115,5)="1-Way", Enginuity!$B$13=1),
      AND(LEFT(P2115,5)="2-Way", OR(Enginuity!$B$13=2, Enginuity!$B$13=4)),
      AND(LEFT(P2115,5)="3-Way", OR(Enginuity!$B$13=3, Enginuity!$B$13=6)),
      AND(P2115="Inner Centre Jamb", OR(Enginuity!$B$13=4, Enginuity!$B$13=6)),
      AND(
        LEFT(P2115,5)&lt;&gt;"1-Way",
        LEFT(P2115,5)&lt;&gt;"2-Way",
        LEFT(P2115,5)&lt;&gt;"3-Way",
        P2115&lt;&gt;"Inner Centre Jamb"
      )
    ),
    IF(OR(Enginuity!$A$1="Frameless Glass",Enginuity!$A$1="Metal Work"),
      AND(TRIM(B2115)=TRIM(Enginuity!$A$17),TRIM(C2115)=TRIM(Enginuity!$A$18)),
      TRIM(B2115)=TRIM(Enginuity!$A$17)
    )
  ),
  ROW(),
  ""
)</f>
        <v/>
      </c>
    </row>
    <row r="2116" spans="1:21" x14ac:dyDescent="0.25">
      <c r="A2116" s="10"/>
      <c r="B2116" s="229"/>
      <c r="C2116" s="10"/>
      <c r="D2116" s="14"/>
      <c r="E2116" s="157"/>
      <c r="F2116" s="10"/>
      <c r="G2116" s="17"/>
      <c r="H2116" s="10"/>
      <c r="I2116" s="17"/>
      <c r="J2116" s="83"/>
      <c r="K2116" s="343"/>
      <c r="L2116" s="347"/>
      <c r="M2116" s="89">
        <f t="shared" si="38"/>
        <v>80</v>
      </c>
      <c r="N2116" s="10"/>
      <c r="O2116" s="22"/>
      <c r="P2116" s="36"/>
      <c r="Q2116" s="83"/>
      <c r="U2116" s="104" t="str">
        <f>IF(
  AND(
    TRIM(A2116)=TRIM(Enginuity!$A$1),
    TRIM(B2116)=TRIM(Enginuity!$A$17),
    Q2116&lt;&gt;"",
    Q2116&lt;&gt;0,
    OR(
      TRIM(C2116)=TRIM(Enginuity!$A$18),
      AND(UPPER(TRIM(M2116))="STD", TRIM(B2116)=TRIM(Enginuity!$A$17))
    ),
    OR(
      AND(LEFT(P2116,5)="1-Way", Enginuity!$B$13=1),
      AND(LEFT(P2116,5)="2-Way", OR(Enginuity!$B$13=2, Enginuity!$B$13=4)),
      AND(LEFT(P2116,5)="3-Way", OR(Enginuity!$B$13=3, Enginuity!$B$13=6)),
      AND(P2116="Inner Centre Jamb", OR(Enginuity!$B$13=4, Enginuity!$B$13=6)),
      AND(
        LEFT(P2116,5)&lt;&gt;"1-Way",
        LEFT(P2116,5)&lt;&gt;"2-Way",
        LEFT(P2116,5)&lt;&gt;"3-Way",
        P2116&lt;&gt;"Inner Centre Jamb"
      )
    ),
    IF(OR(Enginuity!$A$1="Frameless Glass",Enginuity!$A$1="Metal Work"),
      AND(TRIM(B2116)=TRIM(Enginuity!$A$17),TRIM(C2116)=TRIM(Enginuity!$A$18)),
      TRIM(B2116)=TRIM(Enginuity!$A$17)
    )
  ),
  ROW(),
  ""
)</f>
        <v/>
      </c>
    </row>
    <row r="2117" spans="1:21" x14ac:dyDescent="0.25">
      <c r="A2117" s="10"/>
      <c r="B2117" s="229"/>
      <c r="C2117" s="10"/>
      <c r="D2117" s="14"/>
      <c r="E2117" s="157"/>
      <c r="F2117" s="10"/>
      <c r="G2117" s="17"/>
      <c r="H2117" s="10"/>
      <c r="I2117" s="17"/>
      <c r="J2117" s="83"/>
      <c r="K2117" s="343"/>
      <c r="L2117" s="347"/>
      <c r="M2117" s="89">
        <f t="shared" si="38"/>
        <v>81</v>
      </c>
      <c r="N2117" s="10"/>
      <c r="O2117" s="22"/>
      <c r="P2117" s="36"/>
      <c r="Q2117" s="83"/>
      <c r="U2117" s="104" t="str">
        <f>IF(
  AND(
    TRIM(A2117)=TRIM(Enginuity!$A$1),
    TRIM(B2117)=TRIM(Enginuity!$A$17),
    Q2117&lt;&gt;"",
    Q2117&lt;&gt;0,
    OR(
      TRIM(C2117)=TRIM(Enginuity!$A$18),
      AND(UPPER(TRIM(M2117))="STD", TRIM(B2117)=TRIM(Enginuity!$A$17))
    ),
    OR(
      AND(LEFT(P2117,5)="1-Way", Enginuity!$B$13=1),
      AND(LEFT(P2117,5)="2-Way", OR(Enginuity!$B$13=2, Enginuity!$B$13=4)),
      AND(LEFT(P2117,5)="3-Way", OR(Enginuity!$B$13=3, Enginuity!$B$13=6)),
      AND(P2117="Inner Centre Jamb", OR(Enginuity!$B$13=4, Enginuity!$B$13=6)),
      AND(
        LEFT(P2117,5)&lt;&gt;"1-Way",
        LEFT(P2117,5)&lt;&gt;"2-Way",
        LEFT(P2117,5)&lt;&gt;"3-Way",
        P2117&lt;&gt;"Inner Centre Jamb"
      )
    ),
    IF(OR(Enginuity!$A$1="Frameless Glass",Enginuity!$A$1="Metal Work"),
      AND(TRIM(B2117)=TRIM(Enginuity!$A$17),TRIM(C2117)=TRIM(Enginuity!$A$18)),
      TRIM(B2117)=TRIM(Enginuity!$A$17)
    )
  ),
  ROW(),
  ""
)</f>
        <v/>
      </c>
    </row>
    <row r="2118" spans="1:21" x14ac:dyDescent="0.25">
      <c r="A2118" s="10"/>
      <c r="B2118" s="229"/>
      <c r="C2118" s="10"/>
      <c r="D2118" s="14"/>
      <c r="E2118" s="157"/>
      <c r="F2118" s="10"/>
      <c r="G2118" s="17"/>
      <c r="H2118" s="10"/>
      <c r="I2118" s="17"/>
      <c r="J2118" s="83"/>
      <c r="K2118" s="343"/>
      <c r="L2118" s="347"/>
      <c r="M2118" s="89">
        <f t="shared" si="38"/>
        <v>82</v>
      </c>
      <c r="N2118" s="10"/>
      <c r="O2118" s="22"/>
      <c r="P2118" s="36"/>
      <c r="Q2118" s="83"/>
      <c r="U2118" s="104" t="str">
        <f>IF(
  AND(
    TRIM(A2118)=TRIM(Enginuity!$A$1),
    TRIM(B2118)=TRIM(Enginuity!$A$17),
    Q2118&lt;&gt;"",
    Q2118&lt;&gt;0,
    OR(
      TRIM(C2118)=TRIM(Enginuity!$A$18),
      AND(UPPER(TRIM(M2118))="STD", TRIM(B2118)=TRIM(Enginuity!$A$17))
    ),
    OR(
      AND(LEFT(P2118,5)="1-Way", Enginuity!$B$13=1),
      AND(LEFT(P2118,5)="2-Way", OR(Enginuity!$B$13=2, Enginuity!$B$13=4)),
      AND(LEFT(P2118,5)="3-Way", OR(Enginuity!$B$13=3, Enginuity!$B$13=6)),
      AND(P2118="Inner Centre Jamb", OR(Enginuity!$B$13=4, Enginuity!$B$13=6)),
      AND(
        LEFT(P2118,5)&lt;&gt;"1-Way",
        LEFT(P2118,5)&lt;&gt;"2-Way",
        LEFT(P2118,5)&lt;&gt;"3-Way",
        P2118&lt;&gt;"Inner Centre Jamb"
      )
    ),
    IF(OR(Enginuity!$A$1="Frameless Glass",Enginuity!$A$1="Metal Work"),
      AND(TRIM(B2118)=TRIM(Enginuity!$A$17),TRIM(C2118)=TRIM(Enginuity!$A$18)),
      TRIM(B2118)=TRIM(Enginuity!$A$17)
    )
  ),
  ROW(),
  ""
)</f>
        <v/>
      </c>
    </row>
    <row r="2119" spans="1:21" x14ac:dyDescent="0.25">
      <c r="A2119" s="10"/>
      <c r="B2119" s="229"/>
      <c r="C2119" s="10"/>
      <c r="D2119" s="14"/>
      <c r="E2119" s="157"/>
      <c r="F2119" s="10"/>
      <c r="G2119" s="17"/>
      <c r="H2119" s="10"/>
      <c r="I2119" s="17"/>
      <c r="J2119" s="83"/>
      <c r="K2119" s="343"/>
      <c r="L2119" s="347"/>
      <c r="M2119" s="89">
        <f t="shared" si="38"/>
        <v>83</v>
      </c>
      <c r="N2119" s="10"/>
      <c r="O2119" s="22"/>
      <c r="P2119" s="36"/>
      <c r="Q2119" s="83"/>
      <c r="U2119" s="104" t="str">
        <f>IF(
  AND(
    TRIM(A2119)=TRIM(Enginuity!$A$1),
    TRIM(B2119)=TRIM(Enginuity!$A$17),
    Q2119&lt;&gt;"",
    Q2119&lt;&gt;0,
    OR(
      TRIM(C2119)=TRIM(Enginuity!$A$18),
      AND(UPPER(TRIM(M2119))="STD", TRIM(B2119)=TRIM(Enginuity!$A$17))
    ),
    OR(
      AND(LEFT(P2119,5)="1-Way", Enginuity!$B$13=1),
      AND(LEFT(P2119,5)="2-Way", OR(Enginuity!$B$13=2, Enginuity!$B$13=4)),
      AND(LEFT(P2119,5)="3-Way", OR(Enginuity!$B$13=3, Enginuity!$B$13=6)),
      AND(P2119="Inner Centre Jamb", OR(Enginuity!$B$13=4, Enginuity!$B$13=6)),
      AND(
        LEFT(P2119,5)&lt;&gt;"1-Way",
        LEFT(P2119,5)&lt;&gt;"2-Way",
        LEFT(P2119,5)&lt;&gt;"3-Way",
        P2119&lt;&gt;"Inner Centre Jamb"
      )
    ),
    IF(OR(Enginuity!$A$1="Frameless Glass",Enginuity!$A$1="Metal Work"),
      AND(TRIM(B2119)=TRIM(Enginuity!$A$17),TRIM(C2119)=TRIM(Enginuity!$A$18)),
      TRIM(B2119)=TRIM(Enginuity!$A$17)
    )
  ),
  ROW(),
  ""
)</f>
        <v/>
      </c>
    </row>
    <row r="2120" spans="1:21" x14ac:dyDescent="0.25">
      <c r="A2120" s="10"/>
      <c r="B2120" s="229"/>
      <c r="C2120" s="10"/>
      <c r="D2120" s="14"/>
      <c r="E2120" s="157"/>
      <c r="F2120" s="10"/>
      <c r="G2120" s="17"/>
      <c r="H2120" s="10"/>
      <c r="I2120" s="17"/>
      <c r="J2120" s="83"/>
      <c r="K2120" s="343"/>
      <c r="L2120" s="347"/>
      <c r="M2120" s="89">
        <f t="shared" si="38"/>
        <v>84</v>
      </c>
      <c r="N2120" s="88"/>
      <c r="O2120" s="22"/>
      <c r="P2120" s="36"/>
      <c r="Q2120" s="83"/>
      <c r="U2120" s="104" t="str">
        <f>IF(
  AND(
    TRIM(A2120)=TRIM(Enginuity!$A$1),
    TRIM(B2120)=TRIM(Enginuity!$A$17),
    Q2120&lt;&gt;"",
    Q2120&lt;&gt;0,
    OR(
      TRIM(C2120)=TRIM(Enginuity!$A$18),
      AND(UPPER(TRIM(M2120))="STD", TRIM(B2120)=TRIM(Enginuity!$A$17))
    ),
    OR(
      AND(LEFT(P2120,5)="1-Way", Enginuity!$B$13=1),
      AND(LEFT(P2120,5)="2-Way", OR(Enginuity!$B$13=2, Enginuity!$B$13=4)),
      AND(LEFT(P2120,5)="3-Way", OR(Enginuity!$B$13=3, Enginuity!$B$13=6)),
      AND(P2120="Inner Centre Jamb", OR(Enginuity!$B$13=4, Enginuity!$B$13=6)),
      AND(
        LEFT(P2120,5)&lt;&gt;"1-Way",
        LEFT(P2120,5)&lt;&gt;"2-Way",
        LEFT(P2120,5)&lt;&gt;"3-Way",
        P2120&lt;&gt;"Inner Centre Jamb"
      )
    ),
    IF(OR(Enginuity!$A$1="Frameless Glass",Enginuity!$A$1="Metal Work"),
      AND(TRIM(B2120)=TRIM(Enginuity!$A$17),TRIM(C2120)=TRIM(Enginuity!$A$18)),
      TRIM(B2120)=TRIM(Enginuity!$A$17)
    )
  ),
  ROW(),
  ""
)</f>
        <v/>
      </c>
    </row>
    <row r="2121" spans="1:21" x14ac:dyDescent="0.25">
      <c r="A2121" s="10"/>
      <c r="B2121" s="229"/>
      <c r="C2121" s="10"/>
      <c r="D2121" s="14"/>
      <c r="E2121" s="157"/>
      <c r="F2121" s="10"/>
      <c r="G2121" s="17"/>
      <c r="H2121" s="10"/>
      <c r="I2121" s="17"/>
      <c r="J2121" s="83"/>
      <c r="K2121" s="343"/>
      <c r="L2121" s="347"/>
      <c r="M2121" s="89">
        <f t="shared" si="38"/>
        <v>85</v>
      </c>
      <c r="N2121" s="88"/>
      <c r="O2121" s="22"/>
      <c r="P2121" s="36"/>
      <c r="Q2121" s="83"/>
      <c r="U2121" s="104" t="str">
        <f>IF(
  AND(
    TRIM(A2121)=TRIM(Enginuity!$A$1),
    TRIM(B2121)=TRIM(Enginuity!$A$17),
    Q2121&lt;&gt;"",
    Q2121&lt;&gt;0,
    OR(
      TRIM(C2121)=TRIM(Enginuity!$A$18),
      AND(UPPER(TRIM(M2121))="STD", TRIM(B2121)=TRIM(Enginuity!$A$17))
    ),
    OR(
      AND(LEFT(P2121,5)="1-Way", Enginuity!$B$13=1),
      AND(LEFT(P2121,5)="2-Way", OR(Enginuity!$B$13=2, Enginuity!$B$13=4)),
      AND(LEFT(P2121,5)="3-Way", OR(Enginuity!$B$13=3, Enginuity!$B$13=6)),
      AND(P2121="Inner Centre Jamb", OR(Enginuity!$B$13=4, Enginuity!$B$13=6)),
      AND(
        LEFT(P2121,5)&lt;&gt;"1-Way",
        LEFT(P2121,5)&lt;&gt;"2-Way",
        LEFT(P2121,5)&lt;&gt;"3-Way",
        P2121&lt;&gt;"Inner Centre Jamb"
      )
    ),
    IF(OR(Enginuity!$A$1="Frameless Glass",Enginuity!$A$1="Metal Work"),
      AND(TRIM(B2121)=TRIM(Enginuity!$A$17),TRIM(C2121)=TRIM(Enginuity!$A$18)),
      TRIM(B2121)=TRIM(Enginuity!$A$17)
    )
  ),
  ROW(),
  ""
)</f>
        <v/>
      </c>
    </row>
    <row r="2122" spans="1:21" x14ac:dyDescent="0.25">
      <c r="A2122" s="10"/>
      <c r="B2122" s="229"/>
      <c r="C2122" s="10"/>
      <c r="D2122" s="14"/>
      <c r="E2122" s="157"/>
      <c r="F2122" s="10"/>
      <c r="G2122" s="17"/>
      <c r="H2122" s="10"/>
      <c r="I2122" s="17"/>
      <c r="J2122" s="83"/>
      <c r="K2122" s="343"/>
      <c r="L2122" s="347"/>
      <c r="M2122" s="89">
        <f t="shared" si="38"/>
        <v>86</v>
      </c>
      <c r="N2122" s="10"/>
      <c r="O2122" s="22"/>
      <c r="P2122" s="36"/>
      <c r="Q2122" s="83"/>
      <c r="U2122" s="104" t="str">
        <f>IF(
  AND(
    TRIM(A2122)=TRIM(Enginuity!$A$1),
    TRIM(B2122)=TRIM(Enginuity!$A$17),
    Q2122&lt;&gt;"",
    Q2122&lt;&gt;0,
    OR(
      TRIM(C2122)=TRIM(Enginuity!$A$18),
      AND(UPPER(TRIM(M2122))="STD", TRIM(B2122)=TRIM(Enginuity!$A$17))
    ),
    OR(
      AND(LEFT(P2122,5)="1-Way", Enginuity!$B$13=1),
      AND(LEFT(P2122,5)="2-Way", OR(Enginuity!$B$13=2, Enginuity!$B$13=4)),
      AND(LEFT(P2122,5)="3-Way", OR(Enginuity!$B$13=3, Enginuity!$B$13=6)),
      AND(P2122="Inner Centre Jamb", OR(Enginuity!$B$13=4, Enginuity!$B$13=6)),
      AND(
        LEFT(P2122,5)&lt;&gt;"1-Way",
        LEFT(P2122,5)&lt;&gt;"2-Way",
        LEFT(P2122,5)&lt;&gt;"3-Way",
        P2122&lt;&gt;"Inner Centre Jamb"
      )
    ),
    IF(OR(Enginuity!$A$1="Frameless Glass",Enginuity!$A$1="Metal Work"),
      AND(TRIM(B2122)=TRIM(Enginuity!$A$17),TRIM(C2122)=TRIM(Enginuity!$A$18)),
      TRIM(B2122)=TRIM(Enginuity!$A$17)
    )
  ),
  ROW(),
  ""
)</f>
        <v/>
      </c>
    </row>
    <row r="2123" spans="1:21" x14ac:dyDescent="0.25">
      <c r="A2123" s="10"/>
      <c r="B2123" s="229"/>
      <c r="C2123" s="10"/>
      <c r="D2123" s="14"/>
      <c r="E2123" s="157"/>
      <c r="F2123" s="10"/>
      <c r="G2123" s="17"/>
      <c r="H2123" s="10"/>
      <c r="I2123" s="17"/>
      <c r="J2123" s="83"/>
      <c r="K2123" s="343"/>
      <c r="L2123" s="347"/>
      <c r="M2123" s="89">
        <f t="shared" si="38"/>
        <v>87</v>
      </c>
      <c r="N2123" s="88"/>
      <c r="O2123" s="22"/>
      <c r="P2123" s="36"/>
      <c r="Q2123" s="83"/>
      <c r="U2123" s="104" t="str">
        <f>IF(
  AND(
    TRIM(A2123)=TRIM(Enginuity!$A$1),
    TRIM(B2123)=TRIM(Enginuity!$A$17),
    Q2123&lt;&gt;"",
    Q2123&lt;&gt;0,
    OR(
      TRIM(C2123)=TRIM(Enginuity!$A$18),
      AND(UPPER(TRIM(M2123))="STD", TRIM(B2123)=TRIM(Enginuity!$A$17))
    ),
    OR(
      AND(LEFT(P2123,5)="1-Way", Enginuity!$B$13=1),
      AND(LEFT(P2123,5)="2-Way", OR(Enginuity!$B$13=2, Enginuity!$B$13=4)),
      AND(LEFT(P2123,5)="3-Way", OR(Enginuity!$B$13=3, Enginuity!$B$13=6)),
      AND(P2123="Inner Centre Jamb", OR(Enginuity!$B$13=4, Enginuity!$B$13=6)),
      AND(
        LEFT(P2123,5)&lt;&gt;"1-Way",
        LEFT(P2123,5)&lt;&gt;"2-Way",
        LEFT(P2123,5)&lt;&gt;"3-Way",
        P2123&lt;&gt;"Inner Centre Jamb"
      )
    ),
    IF(OR(Enginuity!$A$1="Frameless Glass",Enginuity!$A$1="Metal Work"),
      AND(TRIM(B2123)=TRIM(Enginuity!$A$17),TRIM(C2123)=TRIM(Enginuity!$A$18)),
      TRIM(B2123)=TRIM(Enginuity!$A$17)
    )
  ),
  ROW(),
  ""
)</f>
        <v/>
      </c>
    </row>
    <row r="2124" spans="1:21" x14ac:dyDescent="0.25">
      <c r="A2124" s="10"/>
      <c r="B2124" s="229"/>
      <c r="C2124" s="10"/>
      <c r="D2124" s="14"/>
      <c r="E2124" s="157"/>
      <c r="F2124" s="10"/>
      <c r="G2124" s="17"/>
      <c r="H2124" s="10"/>
      <c r="I2124" s="17"/>
      <c r="J2124" s="83"/>
      <c r="K2124" s="343"/>
      <c r="L2124" s="347"/>
      <c r="M2124" s="89">
        <f t="shared" si="38"/>
        <v>88</v>
      </c>
      <c r="N2124" s="10"/>
      <c r="O2124" s="22"/>
      <c r="P2124" s="14"/>
      <c r="Q2124" s="83"/>
      <c r="U2124" s="104" t="str">
        <f>IF(
  AND(
    TRIM(A2124)=TRIM(Enginuity!$A$1),
    TRIM(B2124)=TRIM(Enginuity!$A$17),
    Q2124&lt;&gt;"",
    Q2124&lt;&gt;0,
    OR(
      TRIM(C2124)=TRIM(Enginuity!$A$18),
      AND(UPPER(TRIM(M2124))="STD", TRIM(B2124)=TRIM(Enginuity!$A$17))
    ),
    OR(
      AND(LEFT(P2124,5)="1-Way", Enginuity!$B$13=1),
      AND(LEFT(P2124,5)="2-Way", OR(Enginuity!$B$13=2, Enginuity!$B$13=4)),
      AND(LEFT(P2124,5)="3-Way", OR(Enginuity!$B$13=3, Enginuity!$B$13=6)),
      AND(P2124="Inner Centre Jamb", OR(Enginuity!$B$13=4, Enginuity!$B$13=6)),
      AND(
        LEFT(P2124,5)&lt;&gt;"1-Way",
        LEFT(P2124,5)&lt;&gt;"2-Way",
        LEFT(P2124,5)&lt;&gt;"3-Way",
        P2124&lt;&gt;"Inner Centre Jamb"
      )
    ),
    IF(OR(Enginuity!$A$1="Frameless Glass",Enginuity!$A$1="Metal Work"),
      AND(TRIM(B2124)=TRIM(Enginuity!$A$17),TRIM(C2124)=TRIM(Enginuity!$A$18)),
      TRIM(B2124)=TRIM(Enginuity!$A$17)
    )
  ),
  ROW(),
  ""
)</f>
        <v/>
      </c>
    </row>
    <row r="2125" spans="1:21" x14ac:dyDescent="0.25">
      <c r="A2125" s="10"/>
      <c r="B2125" s="229"/>
      <c r="C2125" s="10"/>
      <c r="D2125" s="14"/>
      <c r="E2125" s="157"/>
      <c r="F2125" s="10"/>
      <c r="G2125" s="17"/>
      <c r="H2125" s="10"/>
      <c r="I2125" s="17"/>
      <c r="J2125" s="83"/>
      <c r="K2125" s="343"/>
      <c r="L2125" s="347"/>
      <c r="M2125" s="89">
        <f t="shared" si="38"/>
        <v>89</v>
      </c>
      <c r="N2125" s="10"/>
      <c r="O2125" s="22"/>
      <c r="P2125" s="14"/>
      <c r="Q2125" s="83"/>
      <c r="U2125" s="104" t="str">
        <f>IF(
  AND(
    TRIM(A2125)=TRIM(Enginuity!$A$1),
    TRIM(B2125)=TRIM(Enginuity!$A$17),
    Q2125&lt;&gt;"",
    Q2125&lt;&gt;0,
    OR(
      TRIM(C2125)=TRIM(Enginuity!$A$18),
      AND(UPPER(TRIM(M2125))="STD", TRIM(B2125)=TRIM(Enginuity!$A$17))
    ),
    OR(
      AND(LEFT(P2125,5)="1-Way", Enginuity!$B$13=1),
      AND(LEFT(P2125,5)="2-Way", OR(Enginuity!$B$13=2, Enginuity!$B$13=4)),
      AND(LEFT(P2125,5)="3-Way", OR(Enginuity!$B$13=3, Enginuity!$B$13=6)),
      AND(P2125="Inner Centre Jamb", OR(Enginuity!$B$13=4, Enginuity!$B$13=6)),
      AND(
        LEFT(P2125,5)&lt;&gt;"1-Way",
        LEFT(P2125,5)&lt;&gt;"2-Way",
        LEFT(P2125,5)&lt;&gt;"3-Way",
        P2125&lt;&gt;"Inner Centre Jamb"
      )
    ),
    IF(OR(Enginuity!$A$1="Frameless Glass",Enginuity!$A$1="Metal Work"),
      AND(TRIM(B2125)=TRIM(Enginuity!$A$17),TRIM(C2125)=TRIM(Enginuity!$A$18)),
      TRIM(B2125)=TRIM(Enginuity!$A$17)
    )
  ),
  ROW(),
  ""
)</f>
        <v/>
      </c>
    </row>
    <row r="2126" spans="1:21" x14ac:dyDescent="0.25">
      <c r="A2126" s="10"/>
      <c r="B2126" s="229"/>
      <c r="C2126" s="10"/>
      <c r="D2126" s="14"/>
      <c r="E2126" s="157"/>
      <c r="F2126" s="10"/>
      <c r="G2126" s="17"/>
      <c r="H2126" s="10"/>
      <c r="I2126" s="17"/>
      <c r="J2126" s="83"/>
      <c r="K2126" s="343"/>
      <c r="L2126" s="347"/>
      <c r="M2126" s="89">
        <f t="shared" si="38"/>
        <v>90</v>
      </c>
      <c r="N2126" s="10"/>
      <c r="O2126" s="22"/>
      <c r="P2126" s="14"/>
      <c r="Q2126" s="83"/>
      <c r="U2126" s="104" t="str">
        <f>IF(
  AND(
    TRIM(A2126)=TRIM(Enginuity!$A$1),
    TRIM(B2126)=TRIM(Enginuity!$A$17),
    Q2126&lt;&gt;"",
    Q2126&lt;&gt;0,
    OR(
      TRIM(C2126)=TRIM(Enginuity!$A$18),
      AND(UPPER(TRIM(M2126))="STD", TRIM(B2126)=TRIM(Enginuity!$A$17))
    ),
    OR(
      AND(LEFT(P2126,5)="1-Way", Enginuity!$B$13=1),
      AND(LEFT(P2126,5)="2-Way", OR(Enginuity!$B$13=2, Enginuity!$B$13=4)),
      AND(LEFT(P2126,5)="3-Way", OR(Enginuity!$B$13=3, Enginuity!$B$13=6)),
      AND(P2126="Inner Centre Jamb", OR(Enginuity!$B$13=4, Enginuity!$B$13=6)),
      AND(
        LEFT(P2126,5)&lt;&gt;"1-Way",
        LEFT(P2126,5)&lt;&gt;"2-Way",
        LEFT(P2126,5)&lt;&gt;"3-Way",
        P2126&lt;&gt;"Inner Centre Jamb"
      )
    ),
    IF(OR(Enginuity!$A$1="Frameless Glass",Enginuity!$A$1="Metal Work"),
      AND(TRIM(B2126)=TRIM(Enginuity!$A$17),TRIM(C2126)=TRIM(Enginuity!$A$18)),
      TRIM(B2126)=TRIM(Enginuity!$A$17)
    )
  ),
  ROW(),
  ""
)</f>
        <v/>
      </c>
    </row>
    <row r="2127" spans="1:21" x14ac:dyDescent="0.25">
      <c r="A2127" s="10"/>
      <c r="B2127" s="229"/>
      <c r="C2127" s="10"/>
      <c r="D2127" s="14"/>
      <c r="E2127" s="157"/>
      <c r="F2127" s="10"/>
      <c r="G2127" s="17"/>
      <c r="H2127" s="10"/>
      <c r="I2127" s="17"/>
      <c r="J2127" s="83"/>
      <c r="K2127" s="343"/>
      <c r="L2127" s="347"/>
      <c r="M2127" s="89">
        <f t="shared" si="38"/>
        <v>91</v>
      </c>
      <c r="N2127" s="10"/>
      <c r="O2127" s="22"/>
      <c r="P2127" s="14"/>
      <c r="Q2127" s="83"/>
      <c r="U2127" s="104" t="str">
        <f>IF(
  AND(
    TRIM(A2127)=TRIM(Enginuity!$A$1),
    TRIM(B2127)=TRIM(Enginuity!$A$17),
    Q2127&lt;&gt;"",
    Q2127&lt;&gt;0,
    OR(
      TRIM(C2127)=TRIM(Enginuity!$A$18),
      AND(UPPER(TRIM(M2127))="STD", TRIM(B2127)=TRIM(Enginuity!$A$17))
    ),
    OR(
      AND(LEFT(P2127,5)="1-Way", Enginuity!$B$13=1),
      AND(LEFT(P2127,5)="2-Way", OR(Enginuity!$B$13=2, Enginuity!$B$13=4)),
      AND(LEFT(P2127,5)="3-Way", OR(Enginuity!$B$13=3, Enginuity!$B$13=6)),
      AND(P2127="Inner Centre Jamb", OR(Enginuity!$B$13=4, Enginuity!$B$13=6)),
      AND(
        LEFT(P2127,5)&lt;&gt;"1-Way",
        LEFT(P2127,5)&lt;&gt;"2-Way",
        LEFT(P2127,5)&lt;&gt;"3-Way",
        P2127&lt;&gt;"Inner Centre Jamb"
      )
    ),
    IF(OR(Enginuity!$A$1="Frameless Glass",Enginuity!$A$1="Metal Work"),
      AND(TRIM(B2127)=TRIM(Enginuity!$A$17),TRIM(C2127)=TRIM(Enginuity!$A$18)),
      TRIM(B2127)=TRIM(Enginuity!$A$17)
    )
  ),
  ROW(),
  ""
)</f>
        <v/>
      </c>
    </row>
    <row r="2128" spans="1:21" x14ac:dyDescent="0.25">
      <c r="A2128" s="10"/>
      <c r="B2128" s="229"/>
      <c r="C2128" s="10"/>
      <c r="D2128" s="14"/>
      <c r="E2128" s="157"/>
      <c r="F2128" s="10"/>
      <c r="G2128" s="17"/>
      <c r="H2128" s="10"/>
      <c r="I2128" s="17"/>
      <c r="J2128" s="83"/>
      <c r="K2128" s="343"/>
      <c r="L2128" s="347"/>
      <c r="M2128" s="89">
        <f t="shared" si="38"/>
        <v>92</v>
      </c>
      <c r="N2128" s="10"/>
      <c r="O2128" s="22"/>
      <c r="P2128" s="14"/>
      <c r="Q2128" s="83"/>
      <c r="U2128" s="104" t="str">
        <f>IF(
  AND(
    TRIM(A2128)=TRIM(Enginuity!$A$1),
    TRIM(B2128)=TRIM(Enginuity!$A$17),
    Q2128&lt;&gt;"",
    Q2128&lt;&gt;0,
    OR(
      TRIM(C2128)=TRIM(Enginuity!$A$18),
      AND(UPPER(TRIM(M2128))="STD", TRIM(B2128)=TRIM(Enginuity!$A$17))
    ),
    OR(
      AND(LEFT(P2128,5)="1-Way", Enginuity!$B$13=1),
      AND(LEFT(P2128,5)="2-Way", OR(Enginuity!$B$13=2, Enginuity!$B$13=4)),
      AND(LEFT(P2128,5)="3-Way", OR(Enginuity!$B$13=3, Enginuity!$B$13=6)),
      AND(P2128="Inner Centre Jamb", OR(Enginuity!$B$13=4, Enginuity!$B$13=6)),
      AND(
        LEFT(P2128,5)&lt;&gt;"1-Way",
        LEFT(P2128,5)&lt;&gt;"2-Way",
        LEFT(P2128,5)&lt;&gt;"3-Way",
        P2128&lt;&gt;"Inner Centre Jamb"
      )
    ),
    IF(OR(Enginuity!$A$1="Frameless Glass",Enginuity!$A$1="Metal Work"),
      AND(TRIM(B2128)=TRIM(Enginuity!$A$17),TRIM(C2128)=TRIM(Enginuity!$A$18)),
      TRIM(B2128)=TRIM(Enginuity!$A$17)
    )
  ),
  ROW(),
  ""
)</f>
        <v/>
      </c>
    </row>
    <row r="2129" spans="1:21" x14ac:dyDescent="0.25">
      <c r="A2129" s="10"/>
      <c r="B2129" s="229"/>
      <c r="C2129" s="10"/>
      <c r="D2129" s="14"/>
      <c r="E2129" s="157"/>
      <c r="F2129" s="10"/>
      <c r="G2129" s="17"/>
      <c r="H2129" s="10"/>
      <c r="I2129" s="17"/>
      <c r="J2129" s="83"/>
      <c r="K2129" s="343"/>
      <c r="L2129" s="347"/>
      <c r="M2129" s="89">
        <f t="shared" si="38"/>
        <v>93</v>
      </c>
      <c r="N2129" s="10"/>
      <c r="O2129" s="22"/>
      <c r="P2129" s="14"/>
      <c r="Q2129" s="83"/>
      <c r="U2129" s="104" t="str">
        <f>IF(
  AND(
    TRIM(A2129)=TRIM(Enginuity!$A$1),
    TRIM(B2129)=TRIM(Enginuity!$A$17),
    Q2129&lt;&gt;"",
    Q2129&lt;&gt;0,
    OR(
      TRIM(C2129)=TRIM(Enginuity!$A$18),
      AND(UPPER(TRIM(M2129))="STD", TRIM(B2129)=TRIM(Enginuity!$A$17))
    ),
    OR(
      AND(LEFT(P2129,5)="1-Way", Enginuity!$B$13=1),
      AND(LEFT(P2129,5)="2-Way", OR(Enginuity!$B$13=2, Enginuity!$B$13=4)),
      AND(LEFT(P2129,5)="3-Way", OR(Enginuity!$B$13=3, Enginuity!$B$13=6)),
      AND(P2129="Inner Centre Jamb", OR(Enginuity!$B$13=4, Enginuity!$B$13=6)),
      AND(
        LEFT(P2129,5)&lt;&gt;"1-Way",
        LEFT(P2129,5)&lt;&gt;"2-Way",
        LEFT(P2129,5)&lt;&gt;"3-Way",
        P2129&lt;&gt;"Inner Centre Jamb"
      )
    ),
    IF(OR(Enginuity!$A$1="Frameless Glass",Enginuity!$A$1="Metal Work"),
      AND(TRIM(B2129)=TRIM(Enginuity!$A$17),TRIM(C2129)=TRIM(Enginuity!$A$18)),
      TRIM(B2129)=TRIM(Enginuity!$A$17)
    )
  ),
  ROW(),
  ""
)</f>
        <v/>
      </c>
    </row>
    <row r="2130" spans="1:21" x14ac:dyDescent="0.25">
      <c r="A2130" s="10"/>
      <c r="B2130" s="229"/>
      <c r="C2130" s="10"/>
      <c r="D2130" s="14"/>
      <c r="E2130" s="157"/>
      <c r="F2130" s="10"/>
      <c r="G2130" s="17"/>
      <c r="H2130" s="10"/>
      <c r="I2130" s="17"/>
      <c r="J2130" s="83"/>
      <c r="K2130" s="343"/>
      <c r="L2130" s="347"/>
      <c r="M2130" s="89">
        <f t="shared" si="38"/>
        <v>94</v>
      </c>
      <c r="N2130" s="10"/>
      <c r="O2130" s="22"/>
      <c r="P2130" s="14"/>
      <c r="Q2130" s="83"/>
      <c r="U2130" s="104" t="str">
        <f>IF(
  AND(
    TRIM(A2130)=TRIM(Enginuity!$A$1),
    TRIM(B2130)=TRIM(Enginuity!$A$17),
    Q2130&lt;&gt;"",
    Q2130&lt;&gt;0,
    OR(
      TRIM(C2130)=TRIM(Enginuity!$A$18),
      AND(UPPER(TRIM(M2130))="STD", TRIM(B2130)=TRIM(Enginuity!$A$17))
    ),
    OR(
      AND(LEFT(P2130,5)="1-Way", Enginuity!$B$13=1),
      AND(LEFT(P2130,5)="2-Way", OR(Enginuity!$B$13=2, Enginuity!$B$13=4)),
      AND(LEFT(P2130,5)="3-Way", OR(Enginuity!$B$13=3, Enginuity!$B$13=6)),
      AND(P2130="Inner Centre Jamb", OR(Enginuity!$B$13=4, Enginuity!$B$13=6)),
      AND(
        LEFT(P2130,5)&lt;&gt;"1-Way",
        LEFT(P2130,5)&lt;&gt;"2-Way",
        LEFT(P2130,5)&lt;&gt;"3-Way",
        P2130&lt;&gt;"Inner Centre Jamb"
      )
    ),
    IF(OR(Enginuity!$A$1="Frameless Glass",Enginuity!$A$1="Metal Work"),
      AND(TRIM(B2130)=TRIM(Enginuity!$A$17),TRIM(C2130)=TRIM(Enginuity!$A$18)),
      TRIM(B2130)=TRIM(Enginuity!$A$17)
    )
  ),
  ROW(),
  ""
)</f>
        <v/>
      </c>
    </row>
    <row r="2131" spans="1:21" x14ac:dyDescent="0.25">
      <c r="A2131" s="10"/>
      <c r="B2131" s="229"/>
      <c r="C2131" s="10"/>
      <c r="D2131" s="14"/>
      <c r="E2131" s="157"/>
      <c r="F2131" s="10"/>
      <c r="G2131" s="17"/>
      <c r="H2131" s="10"/>
      <c r="I2131" s="17"/>
      <c r="J2131" s="83"/>
      <c r="K2131" s="343"/>
      <c r="L2131" s="347"/>
      <c r="M2131" s="89">
        <f t="shared" si="38"/>
        <v>95</v>
      </c>
      <c r="N2131" s="10"/>
      <c r="O2131" s="22"/>
      <c r="P2131" s="14"/>
      <c r="Q2131" s="83"/>
      <c r="U2131" s="104" t="str">
        <f>IF(
  AND(
    TRIM(A2131)=TRIM(Enginuity!$A$1),
    TRIM(B2131)=TRIM(Enginuity!$A$17),
    Q2131&lt;&gt;"",
    Q2131&lt;&gt;0,
    OR(
      TRIM(C2131)=TRIM(Enginuity!$A$18),
      AND(UPPER(TRIM(M2131))="STD", TRIM(B2131)=TRIM(Enginuity!$A$17))
    ),
    OR(
      AND(LEFT(P2131,5)="1-Way", Enginuity!$B$13=1),
      AND(LEFT(P2131,5)="2-Way", OR(Enginuity!$B$13=2, Enginuity!$B$13=4)),
      AND(LEFT(P2131,5)="3-Way", OR(Enginuity!$B$13=3, Enginuity!$B$13=6)),
      AND(P2131="Inner Centre Jamb", OR(Enginuity!$B$13=4, Enginuity!$B$13=6)),
      AND(
        LEFT(P2131,5)&lt;&gt;"1-Way",
        LEFT(P2131,5)&lt;&gt;"2-Way",
        LEFT(P2131,5)&lt;&gt;"3-Way",
        P2131&lt;&gt;"Inner Centre Jamb"
      )
    ),
    IF(OR(Enginuity!$A$1="Frameless Glass",Enginuity!$A$1="Metal Work"),
      AND(TRIM(B2131)=TRIM(Enginuity!$A$17),TRIM(C2131)=TRIM(Enginuity!$A$18)),
      TRIM(B2131)=TRIM(Enginuity!$A$17)
    )
  ),
  ROW(),
  ""
)</f>
        <v/>
      </c>
    </row>
    <row r="2132" spans="1:21" x14ac:dyDescent="0.25">
      <c r="A2132" s="10"/>
      <c r="B2132" s="229"/>
      <c r="C2132" s="10"/>
      <c r="D2132" s="14"/>
      <c r="E2132" s="157"/>
      <c r="F2132" s="10"/>
      <c r="G2132" s="17"/>
      <c r="H2132" s="10"/>
      <c r="I2132" s="17"/>
      <c r="J2132" s="83"/>
      <c r="K2132" s="343"/>
      <c r="L2132" s="347"/>
      <c r="M2132" s="89">
        <f t="shared" si="38"/>
        <v>96</v>
      </c>
      <c r="N2132" s="10"/>
      <c r="O2132" s="22"/>
      <c r="P2132" s="14"/>
      <c r="Q2132" s="83"/>
      <c r="U2132" s="104" t="str">
        <f>IF(
  AND(
    TRIM(A2132)=TRIM(Enginuity!$A$1),
    TRIM(B2132)=TRIM(Enginuity!$A$17),
    Q2132&lt;&gt;"",
    Q2132&lt;&gt;0,
    OR(
      TRIM(C2132)=TRIM(Enginuity!$A$18),
      AND(UPPER(TRIM(M2132))="STD", TRIM(B2132)=TRIM(Enginuity!$A$17))
    ),
    OR(
      AND(LEFT(P2132,5)="1-Way", Enginuity!$B$13=1),
      AND(LEFT(P2132,5)="2-Way", OR(Enginuity!$B$13=2, Enginuity!$B$13=4)),
      AND(LEFT(P2132,5)="3-Way", OR(Enginuity!$B$13=3, Enginuity!$B$13=6)),
      AND(P2132="Inner Centre Jamb", OR(Enginuity!$B$13=4, Enginuity!$B$13=6)),
      AND(
        LEFT(P2132,5)&lt;&gt;"1-Way",
        LEFT(P2132,5)&lt;&gt;"2-Way",
        LEFT(P2132,5)&lt;&gt;"3-Way",
        P2132&lt;&gt;"Inner Centre Jamb"
      )
    ),
    IF(OR(Enginuity!$A$1="Frameless Glass",Enginuity!$A$1="Metal Work"),
      AND(TRIM(B2132)=TRIM(Enginuity!$A$17),TRIM(C2132)=TRIM(Enginuity!$A$18)),
      TRIM(B2132)=TRIM(Enginuity!$A$17)
    )
  ),
  ROW(),
  ""
)</f>
        <v/>
      </c>
    </row>
    <row r="2133" spans="1:21" x14ac:dyDescent="0.25">
      <c r="A2133" s="10"/>
      <c r="B2133" s="229"/>
      <c r="C2133" s="10"/>
      <c r="D2133" s="14"/>
      <c r="E2133" s="157"/>
      <c r="F2133" s="10"/>
      <c r="G2133" s="17"/>
      <c r="H2133" s="10"/>
      <c r="I2133" s="17"/>
      <c r="J2133" s="83"/>
      <c r="K2133" s="343"/>
      <c r="L2133" s="347"/>
      <c r="M2133" s="89">
        <f t="shared" si="38"/>
        <v>97</v>
      </c>
      <c r="N2133" s="10"/>
      <c r="O2133" s="22"/>
      <c r="P2133" s="14"/>
      <c r="Q2133" s="83"/>
      <c r="U2133" s="104" t="str">
        <f>IF(
  AND(
    TRIM(A2133)=TRIM(Enginuity!$A$1),
    TRIM(B2133)=TRIM(Enginuity!$A$17),
    Q2133&lt;&gt;"",
    Q2133&lt;&gt;0,
    OR(
      TRIM(C2133)=TRIM(Enginuity!$A$18),
      AND(UPPER(TRIM(M2133))="STD", TRIM(B2133)=TRIM(Enginuity!$A$17))
    ),
    OR(
      AND(LEFT(P2133,5)="1-Way", Enginuity!$B$13=1),
      AND(LEFT(P2133,5)="2-Way", OR(Enginuity!$B$13=2, Enginuity!$B$13=4)),
      AND(LEFT(P2133,5)="3-Way", OR(Enginuity!$B$13=3, Enginuity!$B$13=6)),
      AND(P2133="Inner Centre Jamb", OR(Enginuity!$B$13=4, Enginuity!$B$13=6)),
      AND(
        LEFT(P2133,5)&lt;&gt;"1-Way",
        LEFT(P2133,5)&lt;&gt;"2-Way",
        LEFT(P2133,5)&lt;&gt;"3-Way",
        P2133&lt;&gt;"Inner Centre Jamb"
      )
    ),
    IF(OR(Enginuity!$A$1="Frameless Glass",Enginuity!$A$1="Metal Work"),
      AND(TRIM(B2133)=TRIM(Enginuity!$A$17),TRIM(C2133)=TRIM(Enginuity!$A$18)),
      TRIM(B2133)=TRIM(Enginuity!$A$17)
    )
  ),
  ROW(),
  ""
)</f>
        <v/>
      </c>
    </row>
    <row r="2134" spans="1:21" x14ac:dyDescent="0.25">
      <c r="A2134" s="10"/>
      <c r="B2134" s="229"/>
      <c r="C2134" s="10"/>
      <c r="D2134" s="14"/>
      <c r="E2134" s="157"/>
      <c r="F2134" s="10"/>
      <c r="G2134" s="17"/>
      <c r="H2134" s="10"/>
      <c r="I2134" s="17"/>
      <c r="J2134" s="83"/>
      <c r="K2134" s="343"/>
      <c r="L2134" s="347"/>
      <c r="M2134" s="89">
        <f t="shared" si="38"/>
        <v>98</v>
      </c>
      <c r="N2134" s="14"/>
      <c r="O2134" s="22"/>
      <c r="P2134" s="14"/>
      <c r="Q2134" s="83"/>
      <c r="U2134" s="104" t="str">
        <f>IF(
  AND(
    TRIM(A2134)=TRIM(Enginuity!$A$1),
    TRIM(B2134)=TRIM(Enginuity!$A$17),
    Q2134&lt;&gt;"",
    Q2134&lt;&gt;0,
    OR(
      TRIM(C2134)=TRIM(Enginuity!$A$18),
      AND(UPPER(TRIM(M2134))="STD", TRIM(B2134)=TRIM(Enginuity!$A$17))
    ),
    OR(
      AND(LEFT(P2134,5)="1-Way", Enginuity!$B$13=1),
      AND(LEFT(P2134,5)="2-Way", OR(Enginuity!$B$13=2, Enginuity!$B$13=4)),
      AND(LEFT(P2134,5)="3-Way", OR(Enginuity!$B$13=3, Enginuity!$B$13=6)),
      AND(P2134="Inner Centre Jamb", OR(Enginuity!$B$13=4, Enginuity!$B$13=6)),
      AND(
        LEFT(P2134,5)&lt;&gt;"1-Way",
        LEFT(P2134,5)&lt;&gt;"2-Way",
        LEFT(P2134,5)&lt;&gt;"3-Way",
        P2134&lt;&gt;"Inner Centre Jamb"
      )
    ),
    IF(OR(Enginuity!$A$1="Frameless Glass",Enginuity!$A$1="Metal Work"),
      AND(TRIM(B2134)=TRIM(Enginuity!$A$17),TRIM(C2134)=TRIM(Enginuity!$A$18)),
      TRIM(B2134)=TRIM(Enginuity!$A$17)
    )
  ),
  ROW(),
  ""
)</f>
        <v/>
      </c>
    </row>
    <row r="2135" spans="1:21" x14ac:dyDescent="0.25">
      <c r="A2135" s="10"/>
      <c r="B2135" s="229"/>
      <c r="C2135" s="10"/>
      <c r="D2135" s="14"/>
      <c r="E2135" s="157"/>
      <c r="F2135" s="10"/>
      <c r="G2135" s="17"/>
      <c r="H2135" s="10"/>
      <c r="I2135" s="17"/>
      <c r="J2135" s="83"/>
      <c r="K2135" s="343"/>
      <c r="L2135" s="347"/>
      <c r="M2135" s="89">
        <f t="shared" si="38"/>
        <v>99</v>
      </c>
      <c r="N2135" s="21"/>
      <c r="O2135" s="22"/>
      <c r="P2135" s="14"/>
      <c r="Q2135" s="83"/>
      <c r="U2135" s="104" t="str">
        <f>IF(
  AND(
    TRIM(A2135)=TRIM(Enginuity!$A$1),
    TRIM(B2135)=TRIM(Enginuity!$A$17),
    Q2135&lt;&gt;"",
    Q2135&lt;&gt;0,
    OR(
      TRIM(C2135)=TRIM(Enginuity!$A$18),
      AND(UPPER(TRIM(M2135))="STD", TRIM(B2135)=TRIM(Enginuity!$A$17))
    ),
    OR(
      AND(LEFT(P2135,5)="1-Way", Enginuity!$B$13=1),
      AND(LEFT(P2135,5)="2-Way", OR(Enginuity!$B$13=2, Enginuity!$B$13=4)),
      AND(LEFT(P2135,5)="3-Way", OR(Enginuity!$B$13=3, Enginuity!$B$13=6)),
      AND(P2135="Inner Centre Jamb", OR(Enginuity!$B$13=4, Enginuity!$B$13=6)),
      AND(
        LEFT(P2135,5)&lt;&gt;"1-Way",
        LEFT(P2135,5)&lt;&gt;"2-Way",
        LEFT(P2135,5)&lt;&gt;"3-Way",
        P2135&lt;&gt;"Inner Centre Jamb"
      )
    ),
    IF(OR(Enginuity!$A$1="Frameless Glass",Enginuity!$A$1="Metal Work"),
      AND(TRIM(B2135)=TRIM(Enginuity!$A$17),TRIM(C2135)=TRIM(Enginuity!$A$18)),
      TRIM(B2135)=TRIM(Enginuity!$A$17)
    )
  ),
  ROW(),
  ""
)</f>
        <v/>
      </c>
    </row>
    <row r="2136" spans="1:21" x14ac:dyDescent="0.25">
      <c r="A2136" s="10"/>
      <c r="B2136" s="229"/>
      <c r="C2136" s="10"/>
      <c r="D2136" s="14"/>
      <c r="E2136" s="157"/>
      <c r="F2136" s="10"/>
      <c r="G2136" s="17"/>
      <c r="H2136" s="10"/>
      <c r="I2136" s="17"/>
      <c r="J2136" s="83"/>
      <c r="K2136" s="343"/>
      <c r="L2136" s="347"/>
      <c r="M2136" s="89">
        <f t="shared" si="38"/>
        <v>100</v>
      </c>
      <c r="N2136" s="14"/>
      <c r="O2136" s="22"/>
      <c r="P2136" s="14"/>
      <c r="Q2136" s="83"/>
      <c r="U2136" s="104" t="str">
        <f>IF(
  AND(
    TRIM(A2136)=TRIM(Enginuity!$A$1),
    TRIM(B2136)=TRIM(Enginuity!$A$17),
    Q2136&lt;&gt;"",
    Q2136&lt;&gt;0,
    OR(
      TRIM(C2136)=TRIM(Enginuity!$A$18),
      AND(UPPER(TRIM(M2136))="STD", TRIM(B2136)=TRIM(Enginuity!$A$17))
    ),
    OR(
      AND(LEFT(P2136,5)="1-Way", Enginuity!$B$13=1),
      AND(LEFT(P2136,5)="2-Way", OR(Enginuity!$B$13=2, Enginuity!$B$13=4)),
      AND(LEFT(P2136,5)="3-Way", OR(Enginuity!$B$13=3, Enginuity!$B$13=6)),
      AND(P2136="Inner Centre Jamb", OR(Enginuity!$B$13=4, Enginuity!$B$13=6)),
      AND(
        LEFT(P2136,5)&lt;&gt;"1-Way",
        LEFT(P2136,5)&lt;&gt;"2-Way",
        LEFT(P2136,5)&lt;&gt;"3-Way",
        P2136&lt;&gt;"Inner Centre Jamb"
      )
    ),
    IF(OR(Enginuity!$A$1="Frameless Glass",Enginuity!$A$1="Metal Work"),
      AND(TRIM(B2136)=TRIM(Enginuity!$A$17),TRIM(C2136)=TRIM(Enginuity!$A$18)),
      TRIM(B2136)=TRIM(Enginuity!$A$17)
    )
  ),
  ROW(),
  ""
)</f>
        <v/>
      </c>
    </row>
    <row r="2137" spans="1:21" x14ac:dyDescent="0.25">
      <c r="A2137" s="10"/>
      <c r="B2137" s="229"/>
      <c r="C2137" s="10"/>
      <c r="D2137" s="14"/>
      <c r="E2137" s="157"/>
      <c r="F2137" s="10"/>
      <c r="G2137" s="17"/>
      <c r="H2137" s="10"/>
      <c r="I2137" s="17"/>
      <c r="J2137" s="83"/>
      <c r="K2137" s="343"/>
      <c r="L2137" s="347"/>
      <c r="M2137" s="89">
        <f t="shared" si="38"/>
        <v>101</v>
      </c>
      <c r="N2137" s="14"/>
      <c r="O2137" s="22"/>
      <c r="P2137" s="14"/>
      <c r="Q2137" s="83"/>
      <c r="U2137" s="104" t="str">
        <f>IF(
  AND(
    TRIM(A2137)=TRIM(Enginuity!$A$1),
    TRIM(B2137)=TRIM(Enginuity!$A$17),
    Q2137&lt;&gt;"",
    Q2137&lt;&gt;0,
    OR(
      TRIM(C2137)=TRIM(Enginuity!$A$18),
      AND(UPPER(TRIM(M2137))="STD", TRIM(B2137)=TRIM(Enginuity!$A$17))
    ),
    OR(
      AND(LEFT(P2137,5)="1-Way", Enginuity!$B$13=1),
      AND(LEFT(P2137,5)="2-Way", OR(Enginuity!$B$13=2, Enginuity!$B$13=4)),
      AND(LEFT(P2137,5)="3-Way", OR(Enginuity!$B$13=3, Enginuity!$B$13=6)),
      AND(P2137="Inner Centre Jamb", OR(Enginuity!$B$13=4, Enginuity!$B$13=6)),
      AND(
        LEFT(P2137,5)&lt;&gt;"1-Way",
        LEFT(P2137,5)&lt;&gt;"2-Way",
        LEFT(P2137,5)&lt;&gt;"3-Way",
        P2137&lt;&gt;"Inner Centre Jamb"
      )
    ),
    IF(OR(Enginuity!$A$1="Frameless Glass",Enginuity!$A$1="Metal Work"),
      AND(TRIM(B2137)=TRIM(Enginuity!$A$17),TRIM(C2137)=TRIM(Enginuity!$A$18)),
      TRIM(B2137)=TRIM(Enginuity!$A$17)
    )
  ),
  ROW(),
  ""
)</f>
        <v/>
      </c>
    </row>
    <row r="2138" spans="1:21" x14ac:dyDescent="0.25">
      <c r="A2138" s="10"/>
      <c r="B2138" s="229"/>
      <c r="C2138" s="10"/>
      <c r="D2138" s="14"/>
      <c r="E2138" s="157"/>
      <c r="F2138" s="10"/>
      <c r="G2138" s="17"/>
      <c r="H2138" s="10"/>
      <c r="I2138" s="17"/>
      <c r="J2138" s="83"/>
      <c r="K2138" s="343"/>
      <c r="L2138" s="347"/>
      <c r="M2138" s="89">
        <f t="shared" si="38"/>
        <v>102</v>
      </c>
      <c r="N2138" s="14"/>
      <c r="O2138" s="22"/>
      <c r="P2138" s="14"/>
      <c r="Q2138" s="83"/>
      <c r="U2138" s="104" t="str">
        <f>IF(
  AND(
    TRIM(A2138)=TRIM(Enginuity!$A$1),
    TRIM(B2138)=TRIM(Enginuity!$A$17),
    Q2138&lt;&gt;"",
    Q2138&lt;&gt;0,
    OR(
      TRIM(C2138)=TRIM(Enginuity!$A$18),
      AND(UPPER(TRIM(M2138))="STD", TRIM(B2138)=TRIM(Enginuity!$A$17))
    ),
    OR(
      AND(LEFT(P2138,5)="1-Way", Enginuity!$B$13=1),
      AND(LEFT(P2138,5)="2-Way", OR(Enginuity!$B$13=2, Enginuity!$B$13=4)),
      AND(LEFT(P2138,5)="3-Way", OR(Enginuity!$B$13=3, Enginuity!$B$13=6)),
      AND(P2138="Inner Centre Jamb", OR(Enginuity!$B$13=4, Enginuity!$B$13=6)),
      AND(
        LEFT(P2138,5)&lt;&gt;"1-Way",
        LEFT(P2138,5)&lt;&gt;"2-Way",
        LEFT(P2138,5)&lt;&gt;"3-Way",
        P2138&lt;&gt;"Inner Centre Jamb"
      )
    ),
    IF(OR(Enginuity!$A$1="Frameless Glass",Enginuity!$A$1="Metal Work"),
      AND(TRIM(B2138)=TRIM(Enginuity!$A$17),TRIM(C2138)=TRIM(Enginuity!$A$18)),
      TRIM(B2138)=TRIM(Enginuity!$A$17)
    )
  ),
  ROW(),
  ""
)</f>
        <v/>
      </c>
    </row>
    <row r="2139" spans="1:21" x14ac:dyDescent="0.25">
      <c r="A2139" s="10"/>
      <c r="B2139" s="229"/>
      <c r="C2139" s="10"/>
      <c r="D2139" s="14"/>
      <c r="E2139" s="157"/>
      <c r="F2139" s="10"/>
      <c r="G2139" s="17"/>
      <c r="H2139" s="10"/>
      <c r="I2139" s="17"/>
      <c r="J2139" s="83"/>
      <c r="K2139" s="343"/>
      <c r="L2139" s="347"/>
      <c r="M2139" s="89">
        <f t="shared" si="38"/>
        <v>103</v>
      </c>
      <c r="N2139" s="14"/>
      <c r="O2139" s="22"/>
      <c r="P2139" s="14"/>
      <c r="Q2139" s="83"/>
      <c r="U2139" s="104" t="str">
        <f>IF(
  AND(
    TRIM(A2139)=TRIM(Enginuity!$A$1),
    TRIM(B2139)=TRIM(Enginuity!$A$17),
    Q2139&lt;&gt;"",
    Q2139&lt;&gt;0,
    OR(
      TRIM(C2139)=TRIM(Enginuity!$A$18),
      AND(UPPER(TRIM(M2139))="STD", TRIM(B2139)=TRIM(Enginuity!$A$17))
    ),
    OR(
      AND(LEFT(P2139,5)="1-Way", Enginuity!$B$13=1),
      AND(LEFT(P2139,5)="2-Way", OR(Enginuity!$B$13=2, Enginuity!$B$13=4)),
      AND(LEFT(P2139,5)="3-Way", OR(Enginuity!$B$13=3, Enginuity!$B$13=6)),
      AND(P2139="Inner Centre Jamb", OR(Enginuity!$B$13=4, Enginuity!$B$13=6)),
      AND(
        LEFT(P2139,5)&lt;&gt;"1-Way",
        LEFT(P2139,5)&lt;&gt;"2-Way",
        LEFT(P2139,5)&lt;&gt;"3-Way",
        P2139&lt;&gt;"Inner Centre Jamb"
      )
    ),
    IF(OR(Enginuity!$A$1="Frameless Glass",Enginuity!$A$1="Metal Work"),
      AND(TRIM(B2139)=TRIM(Enginuity!$A$17),TRIM(C2139)=TRIM(Enginuity!$A$18)),
      TRIM(B2139)=TRIM(Enginuity!$A$17)
    )
  ),
  ROW(),
  ""
)</f>
        <v/>
      </c>
    </row>
    <row r="2140" spans="1:21" x14ac:dyDescent="0.25">
      <c r="A2140" s="10"/>
      <c r="B2140" s="229"/>
      <c r="C2140" s="10"/>
      <c r="D2140" s="14"/>
      <c r="E2140" s="157"/>
      <c r="F2140" s="10"/>
      <c r="G2140" s="17"/>
      <c r="H2140" s="10"/>
      <c r="I2140" s="17"/>
      <c r="J2140" s="83"/>
      <c r="K2140" s="343"/>
      <c r="L2140" s="347"/>
      <c r="M2140" s="89">
        <f t="shared" si="38"/>
        <v>104</v>
      </c>
      <c r="N2140" s="14"/>
      <c r="O2140" s="22"/>
      <c r="P2140" s="14"/>
      <c r="Q2140" s="83"/>
      <c r="U2140" s="104" t="str">
        <f>IF(
  AND(
    TRIM(A2140)=TRIM(Enginuity!$A$1),
    TRIM(B2140)=TRIM(Enginuity!$A$17),
    Q2140&lt;&gt;"",
    Q2140&lt;&gt;0,
    OR(
      TRIM(C2140)=TRIM(Enginuity!$A$18),
      AND(UPPER(TRIM(M2140))="STD", TRIM(B2140)=TRIM(Enginuity!$A$17))
    ),
    OR(
      AND(LEFT(P2140,5)="1-Way", Enginuity!$B$13=1),
      AND(LEFT(P2140,5)="2-Way", OR(Enginuity!$B$13=2, Enginuity!$B$13=4)),
      AND(LEFT(P2140,5)="3-Way", OR(Enginuity!$B$13=3, Enginuity!$B$13=6)),
      AND(P2140="Inner Centre Jamb", OR(Enginuity!$B$13=4, Enginuity!$B$13=6)),
      AND(
        LEFT(P2140,5)&lt;&gt;"1-Way",
        LEFT(P2140,5)&lt;&gt;"2-Way",
        LEFT(P2140,5)&lt;&gt;"3-Way",
        P2140&lt;&gt;"Inner Centre Jamb"
      )
    ),
    IF(OR(Enginuity!$A$1="Frameless Glass",Enginuity!$A$1="Metal Work"),
      AND(TRIM(B2140)=TRIM(Enginuity!$A$17),TRIM(C2140)=TRIM(Enginuity!$A$18)),
      TRIM(B2140)=TRIM(Enginuity!$A$17)
    )
  ),
  ROW(),
  ""
)</f>
        <v/>
      </c>
    </row>
    <row r="2141" spans="1:21" x14ac:dyDescent="0.25">
      <c r="A2141" s="10"/>
      <c r="B2141" s="229"/>
      <c r="C2141" s="10"/>
      <c r="D2141" s="14"/>
      <c r="E2141" s="157"/>
      <c r="F2141" s="10"/>
      <c r="G2141" s="17"/>
      <c r="H2141" s="10"/>
      <c r="I2141" s="17"/>
      <c r="J2141" s="83"/>
      <c r="K2141" s="343"/>
      <c r="L2141" s="347"/>
      <c r="M2141" s="89">
        <f t="shared" si="38"/>
        <v>105</v>
      </c>
      <c r="N2141" s="10"/>
      <c r="O2141" s="22"/>
      <c r="P2141" s="14"/>
      <c r="Q2141" s="83"/>
      <c r="U2141" s="104" t="str">
        <f>IF(
  AND(
    TRIM(A2141)=TRIM(Enginuity!$A$1),
    TRIM(B2141)=TRIM(Enginuity!$A$17),
    Q2141&lt;&gt;"",
    Q2141&lt;&gt;0,
    OR(
      TRIM(C2141)=TRIM(Enginuity!$A$18),
      AND(UPPER(TRIM(M2141))="STD", TRIM(B2141)=TRIM(Enginuity!$A$17))
    ),
    OR(
      AND(LEFT(P2141,5)="1-Way", Enginuity!$B$13=1),
      AND(LEFT(P2141,5)="2-Way", OR(Enginuity!$B$13=2, Enginuity!$B$13=4)),
      AND(LEFT(P2141,5)="3-Way", OR(Enginuity!$B$13=3, Enginuity!$B$13=6)),
      AND(P2141="Inner Centre Jamb", OR(Enginuity!$B$13=4, Enginuity!$B$13=6)),
      AND(
        LEFT(P2141,5)&lt;&gt;"1-Way",
        LEFT(P2141,5)&lt;&gt;"2-Way",
        LEFT(P2141,5)&lt;&gt;"3-Way",
        P2141&lt;&gt;"Inner Centre Jamb"
      )
    ),
    IF(OR(Enginuity!$A$1="Frameless Glass",Enginuity!$A$1="Metal Work"),
      AND(TRIM(B2141)=TRIM(Enginuity!$A$17),TRIM(C2141)=TRIM(Enginuity!$A$18)),
      TRIM(B2141)=TRIM(Enginuity!$A$17)
    )
  ),
  ROW(),
  ""
)</f>
        <v/>
      </c>
    </row>
    <row r="2142" spans="1:21" x14ac:dyDescent="0.25">
      <c r="A2142" s="10"/>
      <c r="B2142" s="229"/>
      <c r="C2142" s="10"/>
      <c r="D2142" s="14"/>
      <c r="E2142" s="157"/>
      <c r="F2142" s="10"/>
      <c r="G2142" s="17"/>
      <c r="H2142" s="10"/>
      <c r="I2142" s="17"/>
      <c r="J2142" s="83"/>
      <c r="K2142" s="343"/>
      <c r="L2142" s="347"/>
      <c r="M2142" s="89">
        <f t="shared" si="38"/>
        <v>106</v>
      </c>
      <c r="N2142" s="10"/>
      <c r="O2142" s="22"/>
      <c r="P2142" s="21"/>
      <c r="Q2142" s="83"/>
      <c r="U2142" s="104" t="str">
        <f>IF(
  AND(
    TRIM(A2142)=TRIM(Enginuity!$A$1),
    TRIM(B2142)=TRIM(Enginuity!$A$17),
    Q2142&lt;&gt;"",
    Q2142&lt;&gt;0,
    OR(
      TRIM(C2142)=TRIM(Enginuity!$A$18),
      AND(UPPER(TRIM(M2142))="STD", TRIM(B2142)=TRIM(Enginuity!$A$17))
    ),
    OR(
      AND(LEFT(P2142,5)="1-Way", Enginuity!$B$13=1),
      AND(LEFT(P2142,5)="2-Way", OR(Enginuity!$B$13=2, Enginuity!$B$13=4)),
      AND(LEFT(P2142,5)="3-Way", OR(Enginuity!$B$13=3, Enginuity!$B$13=6)),
      AND(P2142="Inner Centre Jamb", OR(Enginuity!$B$13=4, Enginuity!$B$13=6)),
      AND(
        LEFT(P2142,5)&lt;&gt;"1-Way",
        LEFT(P2142,5)&lt;&gt;"2-Way",
        LEFT(P2142,5)&lt;&gt;"3-Way",
        P2142&lt;&gt;"Inner Centre Jamb"
      )
    ),
    IF(OR(Enginuity!$A$1="Frameless Glass",Enginuity!$A$1="Metal Work"),
      AND(TRIM(B2142)=TRIM(Enginuity!$A$17),TRIM(C2142)=TRIM(Enginuity!$A$18)),
      TRIM(B2142)=TRIM(Enginuity!$A$17)
    )
  ),
  ROW(),
  ""
)</f>
        <v/>
      </c>
    </row>
    <row r="2143" spans="1:21" x14ac:dyDescent="0.25">
      <c r="A2143" s="10"/>
      <c r="B2143" s="229"/>
      <c r="C2143" s="10"/>
      <c r="D2143" s="14"/>
      <c r="E2143" s="157"/>
      <c r="F2143" s="10"/>
      <c r="G2143" s="17"/>
      <c r="H2143" s="10"/>
      <c r="I2143" s="17"/>
      <c r="J2143" s="83"/>
      <c r="K2143" s="343"/>
      <c r="L2143" s="347"/>
      <c r="M2143" s="89">
        <f t="shared" si="38"/>
        <v>107</v>
      </c>
      <c r="N2143" s="88"/>
      <c r="O2143" s="22"/>
      <c r="P2143" s="36"/>
      <c r="Q2143" s="83"/>
      <c r="U2143" s="104" t="str">
        <f>IF(
  AND(
    TRIM(A2143)=TRIM(Enginuity!$A$1),
    TRIM(B2143)=TRIM(Enginuity!$A$17),
    Q2143&lt;&gt;"",
    Q2143&lt;&gt;0,
    OR(
      TRIM(C2143)=TRIM(Enginuity!$A$18),
      AND(UPPER(TRIM(M2143))="STD", TRIM(B2143)=TRIM(Enginuity!$A$17))
    ),
    OR(
      AND(LEFT(P2143,5)="1-Way", Enginuity!$B$13=1),
      AND(LEFT(P2143,5)="2-Way", OR(Enginuity!$B$13=2, Enginuity!$B$13=4)),
      AND(LEFT(P2143,5)="3-Way", OR(Enginuity!$B$13=3, Enginuity!$B$13=6)),
      AND(P2143="Inner Centre Jamb", OR(Enginuity!$B$13=4, Enginuity!$B$13=6)),
      AND(
        LEFT(P2143,5)&lt;&gt;"1-Way",
        LEFT(P2143,5)&lt;&gt;"2-Way",
        LEFT(P2143,5)&lt;&gt;"3-Way",
        P2143&lt;&gt;"Inner Centre Jamb"
      )
    ),
    IF(OR(Enginuity!$A$1="Frameless Glass",Enginuity!$A$1="Metal Work"),
      AND(TRIM(B2143)=TRIM(Enginuity!$A$17),TRIM(C2143)=TRIM(Enginuity!$A$18)),
      TRIM(B2143)=TRIM(Enginuity!$A$17)
    )
  ),
  ROW(),
  ""
)</f>
        <v/>
      </c>
    </row>
    <row r="2144" spans="1:21" x14ac:dyDescent="0.25">
      <c r="A2144" s="10"/>
      <c r="B2144" s="229"/>
      <c r="C2144" s="10"/>
      <c r="D2144" s="14"/>
      <c r="E2144" s="157"/>
      <c r="F2144" s="10"/>
      <c r="G2144" s="17"/>
      <c r="H2144" s="10"/>
      <c r="I2144" s="17"/>
      <c r="J2144" s="83"/>
      <c r="K2144" s="343"/>
      <c r="L2144" s="347"/>
      <c r="M2144" s="89">
        <f t="shared" si="38"/>
        <v>108</v>
      </c>
      <c r="N2144" s="10"/>
      <c r="O2144" s="22"/>
      <c r="P2144" s="21"/>
      <c r="Q2144" s="83"/>
      <c r="U2144" s="104" t="str">
        <f>IF(
  AND(
    TRIM(A2144)=TRIM(Enginuity!$A$1),
    TRIM(B2144)=TRIM(Enginuity!$A$17),
    Q2144&lt;&gt;"",
    Q2144&lt;&gt;0,
    OR(
      TRIM(C2144)=TRIM(Enginuity!$A$18),
      AND(UPPER(TRIM(M2144))="STD", TRIM(B2144)=TRIM(Enginuity!$A$17))
    ),
    OR(
      AND(LEFT(P2144,5)="1-Way", Enginuity!$B$13=1),
      AND(LEFT(P2144,5)="2-Way", OR(Enginuity!$B$13=2, Enginuity!$B$13=4)),
      AND(LEFT(P2144,5)="3-Way", OR(Enginuity!$B$13=3, Enginuity!$B$13=6)),
      AND(P2144="Inner Centre Jamb", OR(Enginuity!$B$13=4, Enginuity!$B$13=6)),
      AND(
        LEFT(P2144,5)&lt;&gt;"1-Way",
        LEFT(P2144,5)&lt;&gt;"2-Way",
        LEFT(P2144,5)&lt;&gt;"3-Way",
        P2144&lt;&gt;"Inner Centre Jamb"
      )
    ),
    IF(OR(Enginuity!$A$1="Frameless Glass",Enginuity!$A$1="Metal Work"),
      AND(TRIM(B2144)=TRIM(Enginuity!$A$17),TRIM(C2144)=TRIM(Enginuity!$A$18)),
      TRIM(B2144)=TRIM(Enginuity!$A$17)
    )
  ),
  ROW(),
  ""
)</f>
        <v/>
      </c>
    </row>
    <row r="2145" spans="1:21" x14ac:dyDescent="0.25">
      <c r="A2145" s="10"/>
      <c r="B2145" s="229"/>
      <c r="C2145" s="10"/>
      <c r="D2145" s="14"/>
      <c r="E2145" s="157"/>
      <c r="F2145" s="10"/>
      <c r="G2145" s="17"/>
      <c r="H2145" s="10"/>
      <c r="I2145" s="17"/>
      <c r="J2145" s="83"/>
      <c r="K2145" s="343"/>
      <c r="L2145" s="347"/>
      <c r="M2145" s="89">
        <f t="shared" si="38"/>
        <v>109</v>
      </c>
      <c r="N2145" s="10"/>
      <c r="O2145" s="22"/>
      <c r="P2145" s="14"/>
      <c r="Q2145" s="83"/>
      <c r="U2145" s="104" t="str">
        <f>IF(
  AND(
    TRIM(A2145)=TRIM(Enginuity!$A$1),
    TRIM(B2145)=TRIM(Enginuity!$A$17),
    Q2145&lt;&gt;"",
    Q2145&lt;&gt;0,
    OR(
      TRIM(C2145)=TRIM(Enginuity!$A$18),
      AND(UPPER(TRIM(M2145))="STD", TRIM(B2145)=TRIM(Enginuity!$A$17))
    ),
    OR(
      AND(LEFT(P2145,5)="1-Way", Enginuity!$B$13=1),
      AND(LEFT(P2145,5)="2-Way", OR(Enginuity!$B$13=2, Enginuity!$B$13=4)),
      AND(LEFT(P2145,5)="3-Way", OR(Enginuity!$B$13=3, Enginuity!$B$13=6)),
      AND(P2145="Inner Centre Jamb", OR(Enginuity!$B$13=4, Enginuity!$B$13=6)),
      AND(
        LEFT(P2145,5)&lt;&gt;"1-Way",
        LEFT(P2145,5)&lt;&gt;"2-Way",
        LEFT(P2145,5)&lt;&gt;"3-Way",
        P2145&lt;&gt;"Inner Centre Jamb"
      )
    ),
    IF(OR(Enginuity!$A$1="Frameless Glass",Enginuity!$A$1="Metal Work"),
      AND(TRIM(B2145)=TRIM(Enginuity!$A$17),TRIM(C2145)=TRIM(Enginuity!$A$18)),
      TRIM(B2145)=TRIM(Enginuity!$A$17)
    )
  ),
  ROW(),
  ""
)</f>
        <v/>
      </c>
    </row>
    <row r="2146" spans="1:21" x14ac:dyDescent="0.25">
      <c r="A2146" s="10"/>
      <c r="B2146" s="229"/>
      <c r="C2146" s="10"/>
      <c r="D2146" s="14"/>
      <c r="E2146" s="157"/>
      <c r="F2146" s="10"/>
      <c r="G2146" s="17"/>
      <c r="H2146" s="10"/>
      <c r="I2146" s="17"/>
      <c r="J2146" s="83"/>
      <c r="K2146" s="343"/>
      <c r="L2146" s="347"/>
      <c r="M2146" s="89">
        <f t="shared" si="38"/>
        <v>110</v>
      </c>
      <c r="N2146" s="10"/>
      <c r="O2146" s="22"/>
      <c r="P2146" s="14"/>
      <c r="Q2146" s="83"/>
      <c r="U2146" s="104" t="str">
        <f>IF(
  AND(
    TRIM(A2146)=TRIM(Enginuity!$A$1),
    TRIM(B2146)=TRIM(Enginuity!$A$17),
    Q2146&lt;&gt;"",
    Q2146&lt;&gt;0,
    OR(
      TRIM(C2146)=TRIM(Enginuity!$A$18),
      AND(UPPER(TRIM(M2146))="STD", TRIM(B2146)=TRIM(Enginuity!$A$17))
    ),
    OR(
      AND(LEFT(P2146,5)="1-Way", Enginuity!$B$13=1),
      AND(LEFT(P2146,5)="2-Way", OR(Enginuity!$B$13=2, Enginuity!$B$13=4)),
      AND(LEFT(P2146,5)="3-Way", OR(Enginuity!$B$13=3, Enginuity!$B$13=6)),
      AND(P2146="Inner Centre Jamb", OR(Enginuity!$B$13=4, Enginuity!$B$13=6)),
      AND(
        LEFT(P2146,5)&lt;&gt;"1-Way",
        LEFT(P2146,5)&lt;&gt;"2-Way",
        LEFT(P2146,5)&lt;&gt;"3-Way",
        P2146&lt;&gt;"Inner Centre Jamb"
      )
    ),
    IF(OR(Enginuity!$A$1="Frameless Glass",Enginuity!$A$1="Metal Work"),
      AND(TRIM(B2146)=TRIM(Enginuity!$A$17),TRIM(C2146)=TRIM(Enginuity!$A$18)),
      TRIM(B2146)=TRIM(Enginuity!$A$17)
    )
  ),
  ROW(),
  ""
)</f>
        <v/>
      </c>
    </row>
    <row r="2147" spans="1:21" x14ac:dyDescent="0.25">
      <c r="A2147" s="10"/>
      <c r="B2147" s="229"/>
      <c r="C2147" s="10"/>
      <c r="D2147" s="14"/>
      <c r="E2147" s="157"/>
      <c r="F2147" s="10"/>
      <c r="G2147" s="17"/>
      <c r="H2147" s="10"/>
      <c r="I2147" s="17"/>
      <c r="J2147" s="83"/>
      <c r="K2147" s="343"/>
      <c r="L2147" s="347"/>
      <c r="M2147" s="89">
        <f t="shared" si="38"/>
        <v>111</v>
      </c>
      <c r="N2147" s="10"/>
      <c r="O2147" s="22"/>
      <c r="P2147" s="14"/>
      <c r="Q2147" s="83"/>
      <c r="U2147" s="104" t="str">
        <f>IF(
  AND(
    TRIM(A2147)=TRIM(Enginuity!$A$1),
    TRIM(B2147)=TRIM(Enginuity!$A$17),
    Q2147&lt;&gt;"",
    Q2147&lt;&gt;0,
    OR(
      TRIM(C2147)=TRIM(Enginuity!$A$18),
      AND(UPPER(TRIM(M2147))="STD", TRIM(B2147)=TRIM(Enginuity!$A$17))
    ),
    OR(
      AND(LEFT(P2147,5)="1-Way", Enginuity!$B$13=1),
      AND(LEFT(P2147,5)="2-Way", OR(Enginuity!$B$13=2, Enginuity!$B$13=4)),
      AND(LEFT(P2147,5)="3-Way", OR(Enginuity!$B$13=3, Enginuity!$B$13=6)),
      AND(P2147="Inner Centre Jamb", OR(Enginuity!$B$13=4, Enginuity!$B$13=6)),
      AND(
        LEFT(P2147,5)&lt;&gt;"1-Way",
        LEFT(P2147,5)&lt;&gt;"2-Way",
        LEFT(P2147,5)&lt;&gt;"3-Way",
        P2147&lt;&gt;"Inner Centre Jamb"
      )
    ),
    IF(OR(Enginuity!$A$1="Frameless Glass",Enginuity!$A$1="Metal Work"),
      AND(TRIM(B2147)=TRIM(Enginuity!$A$17),TRIM(C2147)=TRIM(Enginuity!$A$18)),
      TRIM(B2147)=TRIM(Enginuity!$A$17)
    )
  ),
  ROW(),
  ""
)</f>
        <v/>
      </c>
    </row>
    <row r="2148" spans="1:21" x14ac:dyDescent="0.25">
      <c r="A2148" s="10"/>
      <c r="B2148" s="229"/>
      <c r="C2148" s="10"/>
      <c r="D2148" s="14"/>
      <c r="E2148" s="157"/>
      <c r="F2148" s="10"/>
      <c r="G2148" s="17"/>
      <c r="H2148" s="10"/>
      <c r="I2148" s="17"/>
      <c r="J2148" s="83"/>
      <c r="K2148" s="343"/>
      <c r="L2148" s="347"/>
      <c r="M2148" s="89">
        <f t="shared" si="38"/>
        <v>112</v>
      </c>
      <c r="N2148" s="10"/>
      <c r="O2148" s="22"/>
      <c r="P2148" s="14"/>
      <c r="Q2148" s="83"/>
      <c r="U2148" s="104" t="str">
        <f>IF(
  AND(
    TRIM(A2148)=TRIM(Enginuity!$A$1),
    TRIM(B2148)=TRIM(Enginuity!$A$17),
    Q2148&lt;&gt;"",
    Q2148&lt;&gt;0,
    OR(
      TRIM(C2148)=TRIM(Enginuity!$A$18),
      AND(UPPER(TRIM(M2148))="STD", TRIM(B2148)=TRIM(Enginuity!$A$17))
    ),
    OR(
      AND(LEFT(P2148,5)="1-Way", Enginuity!$B$13=1),
      AND(LEFT(P2148,5)="2-Way", OR(Enginuity!$B$13=2, Enginuity!$B$13=4)),
      AND(LEFT(P2148,5)="3-Way", OR(Enginuity!$B$13=3, Enginuity!$B$13=6)),
      AND(P2148="Inner Centre Jamb", OR(Enginuity!$B$13=4, Enginuity!$B$13=6)),
      AND(
        LEFT(P2148,5)&lt;&gt;"1-Way",
        LEFT(P2148,5)&lt;&gt;"2-Way",
        LEFT(P2148,5)&lt;&gt;"3-Way",
        P2148&lt;&gt;"Inner Centre Jamb"
      )
    ),
    IF(OR(Enginuity!$A$1="Frameless Glass",Enginuity!$A$1="Metal Work"),
      AND(TRIM(B2148)=TRIM(Enginuity!$A$17),TRIM(C2148)=TRIM(Enginuity!$A$18)),
      TRIM(B2148)=TRIM(Enginuity!$A$17)
    )
  ),
  ROW(),
  ""
)</f>
        <v/>
      </c>
    </row>
    <row r="2149" spans="1:21" x14ac:dyDescent="0.25">
      <c r="A2149" s="10"/>
      <c r="B2149" s="229"/>
      <c r="C2149" s="10"/>
      <c r="D2149" s="14"/>
      <c r="E2149" s="157"/>
      <c r="F2149" s="10"/>
      <c r="G2149" s="17"/>
      <c r="H2149" s="10"/>
      <c r="I2149" s="17"/>
      <c r="J2149" s="83"/>
      <c r="K2149" s="343"/>
      <c r="L2149" s="347"/>
      <c r="M2149" s="89">
        <f t="shared" si="38"/>
        <v>113</v>
      </c>
      <c r="N2149" s="10"/>
      <c r="O2149" s="22"/>
      <c r="P2149" s="14"/>
      <c r="Q2149" s="83"/>
      <c r="U2149" s="104" t="str">
        <f>IF(
  AND(
    TRIM(A2149)=TRIM(Enginuity!$A$1),
    TRIM(B2149)=TRIM(Enginuity!$A$17),
    Q2149&lt;&gt;"",
    Q2149&lt;&gt;0,
    OR(
      TRIM(C2149)=TRIM(Enginuity!$A$18),
      AND(UPPER(TRIM(M2149))="STD", TRIM(B2149)=TRIM(Enginuity!$A$17))
    ),
    OR(
      AND(LEFT(P2149,5)="1-Way", Enginuity!$B$13=1),
      AND(LEFT(P2149,5)="2-Way", OR(Enginuity!$B$13=2, Enginuity!$B$13=4)),
      AND(LEFT(P2149,5)="3-Way", OR(Enginuity!$B$13=3, Enginuity!$B$13=6)),
      AND(P2149="Inner Centre Jamb", OR(Enginuity!$B$13=4, Enginuity!$B$13=6)),
      AND(
        LEFT(P2149,5)&lt;&gt;"1-Way",
        LEFT(P2149,5)&lt;&gt;"2-Way",
        LEFT(P2149,5)&lt;&gt;"3-Way",
        P2149&lt;&gt;"Inner Centre Jamb"
      )
    ),
    IF(OR(Enginuity!$A$1="Frameless Glass",Enginuity!$A$1="Metal Work"),
      AND(TRIM(B2149)=TRIM(Enginuity!$A$17),TRIM(C2149)=TRIM(Enginuity!$A$18)),
      TRIM(B2149)=TRIM(Enginuity!$A$17)
    )
  ),
  ROW(),
  ""
)</f>
        <v/>
      </c>
    </row>
    <row r="2150" spans="1:21" x14ac:dyDescent="0.25">
      <c r="A2150" s="10"/>
      <c r="B2150" s="229"/>
      <c r="C2150" s="10"/>
      <c r="D2150" s="14"/>
      <c r="E2150" s="157"/>
      <c r="F2150" s="10"/>
      <c r="G2150" s="17"/>
      <c r="H2150" s="10"/>
      <c r="I2150" s="17"/>
      <c r="J2150" s="83"/>
      <c r="K2150" s="343"/>
      <c r="L2150" s="347"/>
      <c r="M2150" s="89">
        <f t="shared" si="38"/>
        <v>114</v>
      </c>
      <c r="N2150" s="88"/>
      <c r="O2150" s="22"/>
      <c r="P2150" s="14"/>
      <c r="Q2150" s="83"/>
      <c r="U2150" s="104" t="str">
        <f>IF(
  AND(
    TRIM(A2150)=TRIM(Enginuity!$A$1),
    TRIM(B2150)=TRIM(Enginuity!$A$17),
    Q2150&lt;&gt;"",
    Q2150&lt;&gt;0,
    OR(
      TRIM(C2150)=TRIM(Enginuity!$A$18),
      AND(UPPER(TRIM(M2150))="STD", TRIM(B2150)=TRIM(Enginuity!$A$17))
    ),
    OR(
      AND(LEFT(P2150,5)="1-Way", Enginuity!$B$13=1),
      AND(LEFT(P2150,5)="2-Way", OR(Enginuity!$B$13=2, Enginuity!$B$13=4)),
      AND(LEFT(P2150,5)="3-Way", OR(Enginuity!$B$13=3, Enginuity!$B$13=6)),
      AND(P2150="Inner Centre Jamb", OR(Enginuity!$B$13=4, Enginuity!$B$13=6)),
      AND(
        LEFT(P2150,5)&lt;&gt;"1-Way",
        LEFT(P2150,5)&lt;&gt;"2-Way",
        LEFT(P2150,5)&lt;&gt;"3-Way",
        P2150&lt;&gt;"Inner Centre Jamb"
      )
    ),
    IF(OR(Enginuity!$A$1="Frameless Glass",Enginuity!$A$1="Metal Work"),
      AND(TRIM(B2150)=TRIM(Enginuity!$A$17),TRIM(C2150)=TRIM(Enginuity!$A$18)),
      TRIM(B2150)=TRIM(Enginuity!$A$17)
    )
  ),
  ROW(),
  ""
)</f>
        <v/>
      </c>
    </row>
    <row r="2151" spans="1:21" x14ac:dyDescent="0.25">
      <c r="A2151" s="10"/>
      <c r="B2151" s="229"/>
      <c r="C2151" s="10"/>
      <c r="D2151" s="14"/>
      <c r="E2151" s="157"/>
      <c r="F2151" s="10"/>
      <c r="G2151" s="17"/>
      <c r="H2151" s="10"/>
      <c r="I2151" s="17"/>
      <c r="J2151" s="83"/>
      <c r="K2151" s="343"/>
      <c r="L2151" s="347"/>
      <c r="M2151" s="89">
        <f t="shared" si="38"/>
        <v>115</v>
      </c>
      <c r="N2151" s="10"/>
      <c r="O2151" s="22"/>
      <c r="P2151" s="14"/>
      <c r="Q2151" s="83"/>
      <c r="U2151" s="104" t="str">
        <f>IF(
  AND(
    TRIM(A2151)=TRIM(Enginuity!$A$1),
    TRIM(B2151)=TRIM(Enginuity!$A$17),
    Q2151&lt;&gt;"",
    Q2151&lt;&gt;0,
    OR(
      TRIM(C2151)=TRIM(Enginuity!$A$18),
      AND(UPPER(TRIM(M2151))="STD", TRIM(B2151)=TRIM(Enginuity!$A$17))
    ),
    OR(
      AND(LEFT(P2151,5)="1-Way", Enginuity!$B$13=1),
      AND(LEFT(P2151,5)="2-Way", OR(Enginuity!$B$13=2, Enginuity!$B$13=4)),
      AND(LEFT(P2151,5)="3-Way", OR(Enginuity!$B$13=3, Enginuity!$B$13=6)),
      AND(P2151="Inner Centre Jamb", OR(Enginuity!$B$13=4, Enginuity!$B$13=6)),
      AND(
        LEFT(P2151,5)&lt;&gt;"1-Way",
        LEFT(P2151,5)&lt;&gt;"2-Way",
        LEFT(P2151,5)&lt;&gt;"3-Way",
        P2151&lt;&gt;"Inner Centre Jamb"
      )
    ),
    IF(OR(Enginuity!$A$1="Frameless Glass",Enginuity!$A$1="Metal Work"),
      AND(TRIM(B2151)=TRIM(Enginuity!$A$17),TRIM(C2151)=TRIM(Enginuity!$A$18)),
      TRIM(B2151)=TRIM(Enginuity!$A$17)
    )
  ),
  ROW(),
  ""
)</f>
        <v/>
      </c>
    </row>
    <row r="2152" spans="1:21" x14ac:dyDescent="0.25">
      <c r="A2152" s="10"/>
      <c r="B2152" s="229"/>
      <c r="C2152" s="10"/>
      <c r="D2152" s="14"/>
      <c r="E2152" s="157"/>
      <c r="F2152" s="10"/>
      <c r="G2152" s="17"/>
      <c r="H2152" s="10"/>
      <c r="I2152" s="17"/>
      <c r="J2152" s="83"/>
      <c r="K2152" s="343"/>
      <c r="L2152" s="347"/>
      <c r="M2152" s="89">
        <f t="shared" si="38"/>
        <v>116</v>
      </c>
      <c r="N2152" s="10"/>
      <c r="O2152" s="22"/>
      <c r="P2152" s="14"/>
      <c r="Q2152" s="83"/>
      <c r="U2152" s="104" t="str">
        <f>IF(
  AND(
    TRIM(A2152)=TRIM(Enginuity!$A$1),
    TRIM(B2152)=TRIM(Enginuity!$A$17),
    Q2152&lt;&gt;"",
    Q2152&lt;&gt;0,
    OR(
      TRIM(C2152)=TRIM(Enginuity!$A$18),
      AND(UPPER(TRIM(M2152))="STD", TRIM(B2152)=TRIM(Enginuity!$A$17))
    ),
    OR(
      AND(LEFT(P2152,5)="1-Way", Enginuity!$B$13=1),
      AND(LEFT(P2152,5)="2-Way", OR(Enginuity!$B$13=2, Enginuity!$B$13=4)),
      AND(LEFT(P2152,5)="3-Way", OR(Enginuity!$B$13=3, Enginuity!$B$13=6)),
      AND(P2152="Inner Centre Jamb", OR(Enginuity!$B$13=4, Enginuity!$B$13=6)),
      AND(
        LEFT(P2152,5)&lt;&gt;"1-Way",
        LEFT(P2152,5)&lt;&gt;"2-Way",
        LEFT(P2152,5)&lt;&gt;"3-Way",
        P2152&lt;&gt;"Inner Centre Jamb"
      )
    ),
    IF(OR(Enginuity!$A$1="Frameless Glass",Enginuity!$A$1="Metal Work"),
      AND(TRIM(B2152)=TRIM(Enginuity!$A$17),TRIM(C2152)=TRIM(Enginuity!$A$18)),
      TRIM(B2152)=TRIM(Enginuity!$A$17)
    )
  ),
  ROW(),
  ""
)</f>
        <v/>
      </c>
    </row>
    <row r="2153" spans="1:21" x14ac:dyDescent="0.25">
      <c r="A2153" s="10"/>
      <c r="B2153" s="229"/>
      <c r="C2153" s="10"/>
      <c r="D2153" s="14"/>
      <c r="E2153" s="157"/>
      <c r="F2153" s="10"/>
      <c r="G2153" s="17"/>
      <c r="H2153" s="10"/>
      <c r="I2153" s="17"/>
      <c r="J2153" s="83"/>
      <c r="K2153" s="343"/>
      <c r="L2153" s="347"/>
      <c r="M2153" s="89">
        <f t="shared" si="38"/>
        <v>117</v>
      </c>
      <c r="N2153" s="10"/>
      <c r="O2153" s="22"/>
      <c r="P2153" s="14"/>
      <c r="Q2153" s="83"/>
      <c r="U2153" s="104" t="str">
        <f>IF(
  AND(
    TRIM(A2153)=TRIM(Enginuity!$A$1),
    TRIM(B2153)=TRIM(Enginuity!$A$17),
    Q2153&lt;&gt;"",
    Q2153&lt;&gt;0,
    OR(
      TRIM(C2153)=TRIM(Enginuity!$A$18),
      AND(UPPER(TRIM(M2153))="STD", TRIM(B2153)=TRIM(Enginuity!$A$17))
    ),
    OR(
      AND(LEFT(P2153,5)="1-Way", Enginuity!$B$13=1),
      AND(LEFT(P2153,5)="2-Way", OR(Enginuity!$B$13=2, Enginuity!$B$13=4)),
      AND(LEFT(P2153,5)="3-Way", OR(Enginuity!$B$13=3, Enginuity!$B$13=6)),
      AND(P2153="Inner Centre Jamb", OR(Enginuity!$B$13=4, Enginuity!$B$13=6)),
      AND(
        LEFT(P2153,5)&lt;&gt;"1-Way",
        LEFT(P2153,5)&lt;&gt;"2-Way",
        LEFT(P2153,5)&lt;&gt;"3-Way",
        P2153&lt;&gt;"Inner Centre Jamb"
      )
    ),
    IF(OR(Enginuity!$A$1="Frameless Glass",Enginuity!$A$1="Metal Work"),
      AND(TRIM(B2153)=TRIM(Enginuity!$A$17),TRIM(C2153)=TRIM(Enginuity!$A$18)),
      TRIM(B2153)=TRIM(Enginuity!$A$17)
    )
  ),
  ROW(),
  ""
)</f>
        <v/>
      </c>
    </row>
    <row r="2154" spans="1:21" x14ac:dyDescent="0.25">
      <c r="A2154" s="10"/>
      <c r="B2154" s="229"/>
      <c r="C2154" s="10"/>
      <c r="D2154" s="14"/>
      <c r="E2154" s="157"/>
      <c r="F2154" s="10"/>
      <c r="G2154" s="17"/>
      <c r="H2154" s="10"/>
      <c r="I2154" s="17"/>
      <c r="J2154" s="83"/>
      <c r="K2154" s="343"/>
      <c r="L2154" s="347"/>
      <c r="M2154" s="89">
        <f t="shared" si="38"/>
        <v>118</v>
      </c>
      <c r="N2154" s="10"/>
      <c r="O2154" s="22"/>
      <c r="P2154" s="14"/>
      <c r="Q2154" s="83"/>
      <c r="U2154" s="104" t="str">
        <f>IF(
  AND(
    TRIM(A2154)=TRIM(Enginuity!$A$1),
    TRIM(B2154)=TRIM(Enginuity!$A$17),
    Q2154&lt;&gt;"",
    Q2154&lt;&gt;0,
    OR(
      TRIM(C2154)=TRIM(Enginuity!$A$18),
      AND(UPPER(TRIM(M2154))="STD", TRIM(B2154)=TRIM(Enginuity!$A$17))
    ),
    OR(
      AND(LEFT(P2154,5)="1-Way", Enginuity!$B$13=1),
      AND(LEFT(P2154,5)="2-Way", OR(Enginuity!$B$13=2, Enginuity!$B$13=4)),
      AND(LEFT(P2154,5)="3-Way", OR(Enginuity!$B$13=3, Enginuity!$B$13=6)),
      AND(P2154="Inner Centre Jamb", OR(Enginuity!$B$13=4, Enginuity!$B$13=6)),
      AND(
        LEFT(P2154,5)&lt;&gt;"1-Way",
        LEFT(P2154,5)&lt;&gt;"2-Way",
        LEFT(P2154,5)&lt;&gt;"3-Way",
        P2154&lt;&gt;"Inner Centre Jamb"
      )
    ),
    IF(OR(Enginuity!$A$1="Frameless Glass",Enginuity!$A$1="Metal Work"),
      AND(TRIM(B2154)=TRIM(Enginuity!$A$17),TRIM(C2154)=TRIM(Enginuity!$A$18)),
      TRIM(B2154)=TRIM(Enginuity!$A$17)
    )
  ),
  ROW(),
  ""
)</f>
        <v/>
      </c>
    </row>
    <row r="2155" spans="1:21" x14ac:dyDescent="0.25">
      <c r="A2155" s="10"/>
      <c r="B2155" s="229"/>
      <c r="C2155" s="10"/>
      <c r="D2155" s="14"/>
      <c r="E2155" s="157"/>
      <c r="F2155" s="10"/>
      <c r="G2155" s="17"/>
      <c r="H2155" s="10"/>
      <c r="I2155" s="17"/>
      <c r="J2155" s="83"/>
      <c r="K2155" s="343"/>
      <c r="L2155" s="347"/>
      <c r="M2155" s="89">
        <f t="shared" si="38"/>
        <v>119</v>
      </c>
      <c r="N2155" s="10"/>
      <c r="O2155" s="22"/>
      <c r="P2155" s="14"/>
      <c r="Q2155" s="83"/>
      <c r="U2155" s="104" t="str">
        <f>IF(
  AND(
    TRIM(A2155)=TRIM(Enginuity!$A$1),
    TRIM(B2155)=TRIM(Enginuity!$A$17),
    Q2155&lt;&gt;"",
    Q2155&lt;&gt;0,
    OR(
      TRIM(C2155)=TRIM(Enginuity!$A$18),
      AND(UPPER(TRIM(M2155))="STD", TRIM(B2155)=TRIM(Enginuity!$A$17))
    ),
    OR(
      AND(LEFT(P2155,5)="1-Way", Enginuity!$B$13=1),
      AND(LEFT(P2155,5)="2-Way", OR(Enginuity!$B$13=2, Enginuity!$B$13=4)),
      AND(LEFT(P2155,5)="3-Way", OR(Enginuity!$B$13=3, Enginuity!$B$13=6)),
      AND(P2155="Inner Centre Jamb", OR(Enginuity!$B$13=4, Enginuity!$B$13=6)),
      AND(
        LEFT(P2155,5)&lt;&gt;"1-Way",
        LEFT(P2155,5)&lt;&gt;"2-Way",
        LEFT(P2155,5)&lt;&gt;"3-Way",
        P2155&lt;&gt;"Inner Centre Jamb"
      )
    ),
    IF(OR(Enginuity!$A$1="Frameless Glass",Enginuity!$A$1="Metal Work"),
      AND(TRIM(B2155)=TRIM(Enginuity!$A$17),TRIM(C2155)=TRIM(Enginuity!$A$18)),
      TRIM(B2155)=TRIM(Enginuity!$A$17)
    )
  ),
  ROW(),
  ""
)</f>
        <v/>
      </c>
    </row>
    <row r="2156" spans="1:21" x14ac:dyDescent="0.25">
      <c r="A2156" s="10"/>
      <c r="B2156" s="229"/>
      <c r="C2156" s="10"/>
      <c r="D2156" s="14"/>
      <c r="E2156" s="157"/>
      <c r="F2156" s="10"/>
      <c r="G2156" s="17"/>
      <c r="H2156" s="10"/>
      <c r="I2156" s="17"/>
      <c r="J2156" s="83"/>
      <c r="K2156" s="343"/>
      <c r="L2156" s="347"/>
      <c r="M2156" s="89">
        <f t="shared" si="38"/>
        <v>120</v>
      </c>
      <c r="N2156" s="10"/>
      <c r="O2156" s="22"/>
      <c r="P2156" s="21"/>
      <c r="Q2156" s="83"/>
      <c r="U2156" s="104" t="str">
        <f>IF(
  AND(
    TRIM(A2156)=TRIM(Enginuity!$A$1),
    TRIM(B2156)=TRIM(Enginuity!$A$17),
    Q2156&lt;&gt;"",
    Q2156&lt;&gt;0,
    OR(
      TRIM(C2156)=TRIM(Enginuity!$A$18),
      AND(UPPER(TRIM(M2156))="STD", TRIM(B2156)=TRIM(Enginuity!$A$17))
    ),
    OR(
      AND(LEFT(P2156,5)="1-Way", Enginuity!$B$13=1),
      AND(LEFT(P2156,5)="2-Way", OR(Enginuity!$B$13=2, Enginuity!$B$13=4)),
      AND(LEFT(P2156,5)="3-Way", OR(Enginuity!$B$13=3, Enginuity!$B$13=6)),
      AND(P2156="Inner Centre Jamb", OR(Enginuity!$B$13=4, Enginuity!$B$13=6)),
      AND(
        LEFT(P2156,5)&lt;&gt;"1-Way",
        LEFT(P2156,5)&lt;&gt;"2-Way",
        LEFT(P2156,5)&lt;&gt;"3-Way",
        P2156&lt;&gt;"Inner Centre Jamb"
      )
    ),
    IF(OR(Enginuity!$A$1="Frameless Glass",Enginuity!$A$1="Metal Work"),
      AND(TRIM(B2156)=TRIM(Enginuity!$A$17),TRIM(C2156)=TRIM(Enginuity!$A$18)),
      TRIM(B2156)=TRIM(Enginuity!$A$17)
    )
  ),
  ROW(),
  ""
)</f>
        <v/>
      </c>
    </row>
    <row r="2157" spans="1:21" x14ac:dyDescent="0.25">
      <c r="A2157" s="10"/>
      <c r="B2157" s="229"/>
      <c r="C2157" s="10"/>
      <c r="D2157" s="14"/>
      <c r="E2157" s="157"/>
      <c r="F2157" s="10"/>
      <c r="G2157" s="17"/>
      <c r="H2157" s="10"/>
      <c r="I2157" s="17"/>
      <c r="J2157" s="83"/>
      <c r="K2157" s="343"/>
      <c r="L2157" s="347"/>
      <c r="M2157" s="89">
        <f t="shared" si="38"/>
        <v>121</v>
      </c>
      <c r="N2157" s="10"/>
      <c r="O2157" s="22"/>
      <c r="P2157" s="21"/>
      <c r="Q2157" s="83"/>
      <c r="U2157" s="104" t="str">
        <f>IF(
  AND(
    TRIM(A2157)=TRIM(Enginuity!$A$1),
    TRIM(B2157)=TRIM(Enginuity!$A$17),
    Q2157&lt;&gt;"",
    Q2157&lt;&gt;0,
    OR(
      TRIM(C2157)=TRIM(Enginuity!$A$18),
      AND(UPPER(TRIM(M2157))="STD", TRIM(B2157)=TRIM(Enginuity!$A$17))
    ),
    OR(
      AND(LEFT(P2157,5)="1-Way", Enginuity!$B$13=1),
      AND(LEFT(P2157,5)="2-Way", OR(Enginuity!$B$13=2, Enginuity!$B$13=4)),
      AND(LEFT(P2157,5)="3-Way", OR(Enginuity!$B$13=3, Enginuity!$B$13=6)),
      AND(P2157="Inner Centre Jamb", OR(Enginuity!$B$13=4, Enginuity!$B$13=6)),
      AND(
        LEFT(P2157,5)&lt;&gt;"1-Way",
        LEFT(P2157,5)&lt;&gt;"2-Way",
        LEFT(P2157,5)&lt;&gt;"3-Way",
        P2157&lt;&gt;"Inner Centre Jamb"
      )
    ),
    IF(OR(Enginuity!$A$1="Frameless Glass",Enginuity!$A$1="Metal Work"),
      AND(TRIM(B2157)=TRIM(Enginuity!$A$17),TRIM(C2157)=TRIM(Enginuity!$A$18)),
      TRIM(B2157)=TRIM(Enginuity!$A$17)
    )
  ),
  ROW(),
  ""
)</f>
        <v/>
      </c>
    </row>
    <row r="2158" spans="1:21" x14ac:dyDescent="0.25">
      <c r="A2158" s="10"/>
      <c r="B2158" s="229"/>
      <c r="C2158" s="10"/>
      <c r="D2158" s="14"/>
      <c r="E2158" s="157"/>
      <c r="F2158" s="10"/>
      <c r="G2158" s="17"/>
      <c r="H2158" s="10"/>
      <c r="I2158" s="17"/>
      <c r="J2158" s="83"/>
      <c r="K2158" s="343"/>
      <c r="L2158" s="347"/>
      <c r="M2158" s="89">
        <f t="shared" si="38"/>
        <v>122</v>
      </c>
      <c r="N2158" s="10"/>
      <c r="O2158" s="22"/>
      <c r="P2158" s="14"/>
      <c r="Q2158" s="83"/>
      <c r="U2158" s="104" t="str">
        <f>IF(
  AND(
    TRIM(A2158)=TRIM(Enginuity!$A$1),
    TRIM(B2158)=TRIM(Enginuity!$A$17),
    Q2158&lt;&gt;"",
    Q2158&lt;&gt;0,
    OR(
      TRIM(C2158)=TRIM(Enginuity!$A$18),
      AND(UPPER(TRIM(M2158))="STD", TRIM(B2158)=TRIM(Enginuity!$A$17))
    ),
    OR(
      AND(LEFT(P2158,5)="1-Way", Enginuity!$B$13=1),
      AND(LEFT(P2158,5)="2-Way", OR(Enginuity!$B$13=2, Enginuity!$B$13=4)),
      AND(LEFT(P2158,5)="3-Way", OR(Enginuity!$B$13=3, Enginuity!$B$13=6)),
      AND(P2158="Inner Centre Jamb", OR(Enginuity!$B$13=4, Enginuity!$B$13=6)),
      AND(
        LEFT(P2158,5)&lt;&gt;"1-Way",
        LEFT(P2158,5)&lt;&gt;"2-Way",
        LEFT(P2158,5)&lt;&gt;"3-Way",
        P2158&lt;&gt;"Inner Centre Jamb"
      )
    ),
    IF(OR(Enginuity!$A$1="Frameless Glass",Enginuity!$A$1="Metal Work"),
      AND(TRIM(B2158)=TRIM(Enginuity!$A$17),TRIM(C2158)=TRIM(Enginuity!$A$18)),
      TRIM(B2158)=TRIM(Enginuity!$A$17)
    )
  ),
  ROW(),
  ""
)</f>
        <v/>
      </c>
    </row>
    <row r="2159" spans="1:21" x14ac:dyDescent="0.25">
      <c r="A2159" s="10"/>
      <c r="B2159" s="229"/>
      <c r="C2159" s="10"/>
      <c r="D2159" s="14"/>
      <c r="E2159" s="157"/>
      <c r="F2159" s="10"/>
      <c r="G2159" s="17"/>
      <c r="H2159" s="10"/>
      <c r="I2159" s="17"/>
      <c r="J2159" s="83"/>
      <c r="K2159" s="343"/>
      <c r="L2159" s="347"/>
      <c r="M2159" s="89">
        <f t="shared" si="38"/>
        <v>123</v>
      </c>
      <c r="N2159" s="10"/>
      <c r="O2159" s="22"/>
      <c r="P2159" s="21"/>
      <c r="Q2159" s="83"/>
      <c r="U2159" s="104" t="str">
        <f>IF(
  AND(
    TRIM(A2159)=TRIM(Enginuity!$A$1),
    TRIM(B2159)=TRIM(Enginuity!$A$17),
    Q2159&lt;&gt;"",
    Q2159&lt;&gt;0,
    OR(
      TRIM(C2159)=TRIM(Enginuity!$A$18),
      AND(UPPER(TRIM(M2159))="STD", TRIM(B2159)=TRIM(Enginuity!$A$17))
    ),
    OR(
      AND(LEFT(P2159,5)="1-Way", Enginuity!$B$13=1),
      AND(LEFT(P2159,5)="2-Way", OR(Enginuity!$B$13=2, Enginuity!$B$13=4)),
      AND(LEFT(P2159,5)="3-Way", OR(Enginuity!$B$13=3, Enginuity!$B$13=6)),
      AND(P2159="Inner Centre Jamb", OR(Enginuity!$B$13=4, Enginuity!$B$13=6)),
      AND(
        LEFT(P2159,5)&lt;&gt;"1-Way",
        LEFT(P2159,5)&lt;&gt;"2-Way",
        LEFT(P2159,5)&lt;&gt;"3-Way",
        P2159&lt;&gt;"Inner Centre Jamb"
      )
    ),
    IF(OR(Enginuity!$A$1="Frameless Glass",Enginuity!$A$1="Metal Work"),
      AND(TRIM(B2159)=TRIM(Enginuity!$A$17),TRIM(C2159)=TRIM(Enginuity!$A$18)),
      TRIM(B2159)=TRIM(Enginuity!$A$17)
    )
  ),
  ROW(),
  ""
)</f>
        <v/>
      </c>
    </row>
    <row r="2160" spans="1:21" x14ac:dyDescent="0.25">
      <c r="A2160" s="10"/>
      <c r="B2160" s="229"/>
      <c r="C2160" s="10"/>
      <c r="D2160" s="14"/>
      <c r="E2160" s="157"/>
      <c r="F2160" s="10"/>
      <c r="G2160" s="17"/>
      <c r="H2160" s="10"/>
      <c r="I2160" s="17"/>
      <c r="J2160" s="83"/>
      <c r="K2160" s="343"/>
      <c r="L2160" s="347"/>
      <c r="M2160" s="89">
        <f t="shared" si="38"/>
        <v>124</v>
      </c>
      <c r="N2160" s="10"/>
      <c r="O2160" s="22"/>
      <c r="P2160" s="14"/>
      <c r="Q2160" s="83"/>
      <c r="U2160" s="104" t="str">
        <f>IF(
  AND(
    TRIM(A2160)=TRIM(Enginuity!$A$1),
    TRIM(B2160)=TRIM(Enginuity!$A$17),
    Q2160&lt;&gt;"",
    Q2160&lt;&gt;0,
    OR(
      TRIM(C2160)=TRIM(Enginuity!$A$18),
      AND(UPPER(TRIM(M2160))="STD", TRIM(B2160)=TRIM(Enginuity!$A$17))
    ),
    OR(
      AND(LEFT(P2160,5)="1-Way", Enginuity!$B$13=1),
      AND(LEFT(P2160,5)="2-Way", OR(Enginuity!$B$13=2, Enginuity!$B$13=4)),
      AND(LEFT(P2160,5)="3-Way", OR(Enginuity!$B$13=3, Enginuity!$B$13=6)),
      AND(P2160="Inner Centre Jamb", OR(Enginuity!$B$13=4, Enginuity!$B$13=6)),
      AND(
        LEFT(P2160,5)&lt;&gt;"1-Way",
        LEFT(P2160,5)&lt;&gt;"2-Way",
        LEFT(P2160,5)&lt;&gt;"3-Way",
        P2160&lt;&gt;"Inner Centre Jamb"
      )
    ),
    IF(OR(Enginuity!$A$1="Frameless Glass",Enginuity!$A$1="Metal Work"),
      AND(TRIM(B2160)=TRIM(Enginuity!$A$17),TRIM(C2160)=TRIM(Enginuity!$A$18)),
      TRIM(B2160)=TRIM(Enginuity!$A$17)
    )
  ),
  ROW(),
  ""
)</f>
        <v/>
      </c>
    </row>
    <row r="2161" spans="1:21" x14ac:dyDescent="0.25">
      <c r="A2161" s="10"/>
      <c r="B2161" s="229"/>
      <c r="C2161" s="10"/>
      <c r="D2161" s="14"/>
      <c r="E2161" s="157"/>
      <c r="F2161" s="10"/>
      <c r="G2161" s="17"/>
      <c r="H2161" s="10"/>
      <c r="I2161" s="17"/>
      <c r="J2161" s="83"/>
      <c r="K2161" s="343"/>
      <c r="L2161" s="347"/>
      <c r="M2161" s="89">
        <f t="shared" si="38"/>
        <v>125</v>
      </c>
      <c r="N2161" s="10"/>
      <c r="O2161" s="22"/>
      <c r="P2161" s="14"/>
      <c r="Q2161" s="83"/>
      <c r="U2161" s="104" t="str">
        <f>IF(
  AND(
    TRIM(A2161)=TRIM(Enginuity!$A$1),
    TRIM(B2161)=TRIM(Enginuity!$A$17),
    Q2161&lt;&gt;"",
    Q2161&lt;&gt;0,
    OR(
      TRIM(C2161)=TRIM(Enginuity!$A$18),
      AND(UPPER(TRIM(M2161))="STD", TRIM(B2161)=TRIM(Enginuity!$A$17))
    ),
    OR(
      AND(LEFT(P2161,5)="1-Way", Enginuity!$B$13=1),
      AND(LEFT(P2161,5)="2-Way", OR(Enginuity!$B$13=2, Enginuity!$B$13=4)),
      AND(LEFT(P2161,5)="3-Way", OR(Enginuity!$B$13=3, Enginuity!$B$13=6)),
      AND(P2161="Inner Centre Jamb", OR(Enginuity!$B$13=4, Enginuity!$B$13=6)),
      AND(
        LEFT(P2161,5)&lt;&gt;"1-Way",
        LEFT(P2161,5)&lt;&gt;"2-Way",
        LEFT(P2161,5)&lt;&gt;"3-Way",
        P2161&lt;&gt;"Inner Centre Jamb"
      )
    ),
    IF(OR(Enginuity!$A$1="Frameless Glass",Enginuity!$A$1="Metal Work"),
      AND(TRIM(B2161)=TRIM(Enginuity!$A$17),TRIM(C2161)=TRIM(Enginuity!$A$18)),
      TRIM(B2161)=TRIM(Enginuity!$A$17)
    )
  ),
  ROW(),
  ""
)</f>
        <v/>
      </c>
    </row>
    <row r="2162" spans="1:21" x14ac:dyDescent="0.25">
      <c r="A2162" s="10"/>
      <c r="B2162" s="229"/>
      <c r="C2162" s="10"/>
      <c r="D2162" s="14"/>
      <c r="E2162" s="157"/>
      <c r="F2162" s="10"/>
      <c r="G2162" s="17"/>
      <c r="H2162" s="10"/>
      <c r="I2162" s="17"/>
      <c r="J2162" s="83"/>
      <c r="K2162" s="343"/>
      <c r="L2162" s="347"/>
      <c r="M2162" s="89">
        <f t="shared" si="38"/>
        <v>126</v>
      </c>
      <c r="N2162" s="10"/>
      <c r="O2162" s="22"/>
      <c r="P2162" s="14"/>
      <c r="Q2162" s="83"/>
      <c r="U2162" s="104" t="str">
        <f>IF(
  AND(
    TRIM(A2162)=TRIM(Enginuity!$A$1),
    TRIM(B2162)=TRIM(Enginuity!$A$17),
    Q2162&lt;&gt;"",
    Q2162&lt;&gt;0,
    OR(
      TRIM(C2162)=TRIM(Enginuity!$A$18),
      AND(UPPER(TRIM(M2162))="STD", TRIM(B2162)=TRIM(Enginuity!$A$17))
    ),
    OR(
      AND(LEFT(P2162,5)="1-Way", Enginuity!$B$13=1),
      AND(LEFT(P2162,5)="2-Way", OR(Enginuity!$B$13=2, Enginuity!$B$13=4)),
      AND(LEFT(P2162,5)="3-Way", OR(Enginuity!$B$13=3, Enginuity!$B$13=6)),
      AND(P2162="Inner Centre Jamb", OR(Enginuity!$B$13=4, Enginuity!$B$13=6)),
      AND(
        LEFT(P2162,5)&lt;&gt;"1-Way",
        LEFT(P2162,5)&lt;&gt;"2-Way",
        LEFT(P2162,5)&lt;&gt;"3-Way",
        P2162&lt;&gt;"Inner Centre Jamb"
      )
    ),
    IF(OR(Enginuity!$A$1="Frameless Glass",Enginuity!$A$1="Metal Work"),
      AND(TRIM(B2162)=TRIM(Enginuity!$A$17),TRIM(C2162)=TRIM(Enginuity!$A$18)),
      TRIM(B2162)=TRIM(Enginuity!$A$17)
    )
  ),
  ROW(),
  ""
)</f>
        <v/>
      </c>
    </row>
    <row r="2163" spans="1:21" x14ac:dyDescent="0.25">
      <c r="A2163" s="10"/>
      <c r="B2163" s="229"/>
      <c r="C2163" s="10"/>
      <c r="D2163" s="14"/>
      <c r="E2163" s="157"/>
      <c r="F2163" s="10"/>
      <c r="G2163" s="17"/>
      <c r="H2163" s="10"/>
      <c r="I2163" s="17"/>
      <c r="J2163" s="83"/>
      <c r="K2163" s="343"/>
      <c r="L2163" s="347"/>
      <c r="M2163" s="89">
        <f t="shared" si="38"/>
        <v>127</v>
      </c>
      <c r="N2163" s="10"/>
      <c r="O2163" s="22"/>
      <c r="P2163" s="14"/>
      <c r="Q2163" s="83"/>
      <c r="U2163" s="104" t="str">
        <f>IF(
  AND(
    TRIM(A2163)=TRIM(Enginuity!$A$1),
    TRIM(B2163)=TRIM(Enginuity!$A$17),
    Q2163&lt;&gt;"",
    Q2163&lt;&gt;0,
    OR(
      TRIM(C2163)=TRIM(Enginuity!$A$18),
      AND(UPPER(TRIM(M2163))="STD", TRIM(B2163)=TRIM(Enginuity!$A$17))
    ),
    OR(
      AND(LEFT(P2163,5)="1-Way", Enginuity!$B$13=1),
      AND(LEFT(P2163,5)="2-Way", OR(Enginuity!$B$13=2, Enginuity!$B$13=4)),
      AND(LEFT(P2163,5)="3-Way", OR(Enginuity!$B$13=3, Enginuity!$B$13=6)),
      AND(P2163="Inner Centre Jamb", OR(Enginuity!$B$13=4, Enginuity!$B$13=6)),
      AND(
        LEFT(P2163,5)&lt;&gt;"1-Way",
        LEFT(P2163,5)&lt;&gt;"2-Way",
        LEFT(P2163,5)&lt;&gt;"3-Way",
        P2163&lt;&gt;"Inner Centre Jamb"
      )
    ),
    IF(OR(Enginuity!$A$1="Frameless Glass",Enginuity!$A$1="Metal Work"),
      AND(TRIM(B2163)=TRIM(Enginuity!$A$17),TRIM(C2163)=TRIM(Enginuity!$A$18)),
      TRIM(B2163)=TRIM(Enginuity!$A$17)
    )
  ),
  ROW(),
  ""
)</f>
        <v/>
      </c>
    </row>
    <row r="2164" spans="1:21" x14ac:dyDescent="0.25">
      <c r="A2164" s="10"/>
      <c r="B2164" s="229"/>
      <c r="C2164" s="10"/>
      <c r="D2164" s="14"/>
      <c r="E2164" s="157"/>
      <c r="F2164" s="10"/>
      <c r="G2164" s="17"/>
      <c r="H2164" s="10"/>
      <c r="I2164" s="17"/>
      <c r="J2164" s="83"/>
      <c r="K2164" s="343"/>
      <c r="L2164" s="347"/>
      <c r="M2164" s="89">
        <f t="shared" si="38"/>
        <v>128</v>
      </c>
      <c r="N2164" s="14"/>
      <c r="O2164" s="22"/>
      <c r="P2164" s="14"/>
      <c r="Q2164" s="83"/>
      <c r="U2164" s="104" t="str">
        <f>IF(
  AND(
    TRIM(A2164)=TRIM(Enginuity!$A$1),
    TRIM(B2164)=TRIM(Enginuity!$A$17),
    Q2164&lt;&gt;"",
    Q2164&lt;&gt;0,
    OR(
      TRIM(C2164)=TRIM(Enginuity!$A$18),
      AND(UPPER(TRIM(M2164))="STD", TRIM(B2164)=TRIM(Enginuity!$A$17))
    ),
    OR(
      AND(LEFT(P2164,5)="1-Way", Enginuity!$B$13=1),
      AND(LEFT(P2164,5)="2-Way", OR(Enginuity!$B$13=2, Enginuity!$B$13=4)),
      AND(LEFT(P2164,5)="3-Way", OR(Enginuity!$B$13=3, Enginuity!$B$13=6)),
      AND(P2164="Inner Centre Jamb", OR(Enginuity!$B$13=4, Enginuity!$B$13=6)),
      AND(
        LEFT(P2164,5)&lt;&gt;"1-Way",
        LEFT(P2164,5)&lt;&gt;"2-Way",
        LEFT(P2164,5)&lt;&gt;"3-Way",
        P2164&lt;&gt;"Inner Centre Jamb"
      )
    ),
    IF(OR(Enginuity!$A$1="Frameless Glass",Enginuity!$A$1="Metal Work"),
      AND(TRIM(B2164)=TRIM(Enginuity!$A$17),TRIM(C2164)=TRIM(Enginuity!$A$18)),
      TRIM(B2164)=TRIM(Enginuity!$A$17)
    )
  ),
  ROW(),
  ""
)</f>
        <v/>
      </c>
    </row>
    <row r="2165" spans="1:21" x14ac:dyDescent="0.25">
      <c r="A2165" s="10"/>
      <c r="B2165" s="229"/>
      <c r="C2165" s="10"/>
      <c r="D2165" s="14"/>
      <c r="E2165" s="157"/>
      <c r="F2165" s="10"/>
      <c r="G2165" s="17"/>
      <c r="H2165" s="10"/>
      <c r="I2165" s="17"/>
      <c r="J2165" s="83"/>
      <c r="K2165" s="343"/>
      <c r="L2165" s="347"/>
      <c r="M2165" s="89">
        <f t="shared" si="38"/>
        <v>129</v>
      </c>
      <c r="N2165" s="21"/>
      <c r="O2165" s="22"/>
      <c r="P2165" s="14"/>
      <c r="Q2165" s="83"/>
      <c r="U2165" s="104" t="str">
        <f>IF(
  AND(
    TRIM(A2165)=TRIM(Enginuity!$A$1),
    TRIM(B2165)=TRIM(Enginuity!$A$17),
    Q2165&lt;&gt;"",
    Q2165&lt;&gt;0,
    OR(
      TRIM(C2165)=TRIM(Enginuity!$A$18),
      AND(UPPER(TRIM(M2165))="STD", TRIM(B2165)=TRIM(Enginuity!$A$17))
    ),
    OR(
      AND(LEFT(P2165,5)="1-Way", Enginuity!$B$13=1),
      AND(LEFT(P2165,5)="2-Way", OR(Enginuity!$B$13=2, Enginuity!$B$13=4)),
      AND(LEFT(P2165,5)="3-Way", OR(Enginuity!$B$13=3, Enginuity!$B$13=6)),
      AND(P2165="Inner Centre Jamb", OR(Enginuity!$B$13=4, Enginuity!$B$13=6)),
      AND(
        LEFT(P2165,5)&lt;&gt;"1-Way",
        LEFT(P2165,5)&lt;&gt;"2-Way",
        LEFT(P2165,5)&lt;&gt;"3-Way",
        P2165&lt;&gt;"Inner Centre Jamb"
      )
    ),
    IF(OR(Enginuity!$A$1="Frameless Glass",Enginuity!$A$1="Metal Work"),
      AND(TRIM(B2165)=TRIM(Enginuity!$A$17),TRIM(C2165)=TRIM(Enginuity!$A$18)),
      TRIM(B2165)=TRIM(Enginuity!$A$17)
    )
  ),
  ROW(),
  ""
)</f>
        <v/>
      </c>
    </row>
    <row r="2166" spans="1:21" x14ac:dyDescent="0.25">
      <c r="A2166" s="10"/>
      <c r="B2166" s="229"/>
      <c r="C2166" s="10"/>
      <c r="D2166" s="14"/>
      <c r="E2166" s="157"/>
      <c r="F2166" s="10"/>
      <c r="G2166" s="17"/>
      <c r="H2166" s="10"/>
      <c r="I2166" s="17"/>
      <c r="J2166" s="83"/>
      <c r="K2166" s="343"/>
      <c r="L2166" s="347"/>
      <c r="M2166" s="89">
        <f t="shared" si="38"/>
        <v>130</v>
      </c>
      <c r="N2166" s="14"/>
      <c r="O2166" s="22"/>
      <c r="P2166" s="14"/>
      <c r="Q2166" s="83"/>
      <c r="U2166" s="104" t="str">
        <f>IF(
  AND(
    TRIM(A2166)=TRIM(Enginuity!$A$1),
    TRIM(B2166)=TRIM(Enginuity!$A$17),
    Q2166&lt;&gt;"",
    Q2166&lt;&gt;0,
    OR(
      TRIM(C2166)=TRIM(Enginuity!$A$18),
      AND(UPPER(TRIM(M2166))="STD", TRIM(B2166)=TRIM(Enginuity!$A$17))
    ),
    OR(
      AND(LEFT(P2166,5)="1-Way", Enginuity!$B$13=1),
      AND(LEFT(P2166,5)="2-Way", OR(Enginuity!$B$13=2, Enginuity!$B$13=4)),
      AND(LEFT(P2166,5)="3-Way", OR(Enginuity!$B$13=3, Enginuity!$B$13=6)),
      AND(P2166="Inner Centre Jamb", OR(Enginuity!$B$13=4, Enginuity!$B$13=6)),
      AND(
        LEFT(P2166,5)&lt;&gt;"1-Way",
        LEFT(P2166,5)&lt;&gt;"2-Way",
        LEFT(P2166,5)&lt;&gt;"3-Way",
        P2166&lt;&gt;"Inner Centre Jamb"
      )
    ),
    IF(OR(Enginuity!$A$1="Frameless Glass",Enginuity!$A$1="Metal Work"),
      AND(TRIM(B2166)=TRIM(Enginuity!$A$17),TRIM(C2166)=TRIM(Enginuity!$A$18)),
      TRIM(B2166)=TRIM(Enginuity!$A$17)
    )
  ),
  ROW(),
  ""
)</f>
        <v/>
      </c>
    </row>
    <row r="2167" spans="1:21" x14ac:dyDescent="0.25">
      <c r="A2167" s="10"/>
      <c r="B2167" s="229"/>
      <c r="C2167" s="10"/>
      <c r="D2167" s="14"/>
      <c r="E2167" s="157"/>
      <c r="F2167" s="10"/>
      <c r="G2167" s="17"/>
      <c r="H2167" s="10"/>
      <c r="I2167" s="17"/>
      <c r="J2167" s="83"/>
      <c r="K2167" s="343"/>
      <c r="L2167" s="347"/>
      <c r="M2167" s="89">
        <f t="shared" ref="M2167:M2192" si="39">1+M2166</f>
        <v>131</v>
      </c>
      <c r="N2167" s="14"/>
      <c r="O2167" s="22"/>
      <c r="P2167" s="14"/>
      <c r="Q2167" s="83"/>
      <c r="U2167" s="104" t="str">
        <f>IF(
  AND(
    TRIM(A2167)=TRIM(Enginuity!$A$1),
    TRIM(B2167)=TRIM(Enginuity!$A$17),
    Q2167&lt;&gt;"",
    Q2167&lt;&gt;0,
    OR(
      TRIM(C2167)=TRIM(Enginuity!$A$18),
      AND(UPPER(TRIM(M2167))="STD", TRIM(B2167)=TRIM(Enginuity!$A$17))
    ),
    OR(
      AND(LEFT(P2167,5)="1-Way", Enginuity!$B$13=1),
      AND(LEFT(P2167,5)="2-Way", OR(Enginuity!$B$13=2, Enginuity!$B$13=4)),
      AND(LEFT(P2167,5)="3-Way", OR(Enginuity!$B$13=3, Enginuity!$B$13=6)),
      AND(P2167="Inner Centre Jamb", OR(Enginuity!$B$13=4, Enginuity!$B$13=6)),
      AND(
        LEFT(P2167,5)&lt;&gt;"1-Way",
        LEFT(P2167,5)&lt;&gt;"2-Way",
        LEFT(P2167,5)&lt;&gt;"3-Way",
        P2167&lt;&gt;"Inner Centre Jamb"
      )
    ),
    IF(OR(Enginuity!$A$1="Frameless Glass",Enginuity!$A$1="Metal Work"),
      AND(TRIM(B2167)=TRIM(Enginuity!$A$17),TRIM(C2167)=TRIM(Enginuity!$A$18)),
      TRIM(B2167)=TRIM(Enginuity!$A$17)
    )
  ),
  ROW(),
  ""
)</f>
        <v/>
      </c>
    </row>
    <row r="2168" spans="1:21" x14ac:dyDescent="0.25">
      <c r="A2168" s="10"/>
      <c r="B2168" s="229"/>
      <c r="C2168" s="10"/>
      <c r="D2168" s="14"/>
      <c r="E2168" s="157"/>
      <c r="F2168" s="10"/>
      <c r="G2168" s="17"/>
      <c r="H2168" s="10"/>
      <c r="I2168" s="17"/>
      <c r="J2168" s="83"/>
      <c r="K2168" s="343"/>
      <c r="L2168" s="347"/>
      <c r="M2168" s="89">
        <f t="shared" si="39"/>
        <v>132</v>
      </c>
      <c r="N2168" s="14"/>
      <c r="O2168" s="22"/>
      <c r="P2168" s="14"/>
      <c r="Q2168" s="83"/>
      <c r="U2168" s="104" t="str">
        <f>IF(
  AND(
    TRIM(A2168)=TRIM(Enginuity!$A$1),
    TRIM(B2168)=TRIM(Enginuity!$A$17),
    Q2168&lt;&gt;"",
    Q2168&lt;&gt;0,
    OR(
      TRIM(C2168)=TRIM(Enginuity!$A$18),
      AND(UPPER(TRIM(M2168))="STD", TRIM(B2168)=TRIM(Enginuity!$A$17))
    ),
    OR(
      AND(LEFT(P2168,5)="1-Way", Enginuity!$B$13=1),
      AND(LEFT(P2168,5)="2-Way", OR(Enginuity!$B$13=2, Enginuity!$B$13=4)),
      AND(LEFT(P2168,5)="3-Way", OR(Enginuity!$B$13=3, Enginuity!$B$13=6)),
      AND(P2168="Inner Centre Jamb", OR(Enginuity!$B$13=4, Enginuity!$B$13=6)),
      AND(
        LEFT(P2168,5)&lt;&gt;"1-Way",
        LEFT(P2168,5)&lt;&gt;"2-Way",
        LEFT(P2168,5)&lt;&gt;"3-Way",
        P2168&lt;&gt;"Inner Centre Jamb"
      )
    ),
    IF(OR(Enginuity!$A$1="Frameless Glass",Enginuity!$A$1="Metal Work"),
      AND(TRIM(B2168)=TRIM(Enginuity!$A$17),TRIM(C2168)=TRIM(Enginuity!$A$18)),
      TRIM(B2168)=TRIM(Enginuity!$A$17)
    )
  ),
  ROW(),
  ""
)</f>
        <v/>
      </c>
    </row>
    <row r="2169" spans="1:21" x14ac:dyDescent="0.25">
      <c r="A2169" s="10"/>
      <c r="B2169" s="229"/>
      <c r="C2169" s="10"/>
      <c r="D2169" s="14"/>
      <c r="E2169" s="157"/>
      <c r="F2169" s="10"/>
      <c r="G2169" s="17"/>
      <c r="H2169" s="10"/>
      <c r="I2169" s="17"/>
      <c r="J2169" s="83"/>
      <c r="K2169" s="343"/>
      <c r="L2169" s="347"/>
      <c r="M2169" s="89">
        <f t="shared" si="39"/>
        <v>133</v>
      </c>
      <c r="N2169" s="14"/>
      <c r="O2169" s="22"/>
      <c r="P2169" s="14"/>
      <c r="Q2169" s="83"/>
      <c r="U2169" s="104" t="str">
        <f>IF(
  AND(
    TRIM(A2169)=TRIM(Enginuity!$A$1),
    TRIM(B2169)=TRIM(Enginuity!$A$17),
    Q2169&lt;&gt;"",
    Q2169&lt;&gt;0,
    OR(
      TRIM(C2169)=TRIM(Enginuity!$A$18),
      AND(UPPER(TRIM(M2169))="STD", TRIM(B2169)=TRIM(Enginuity!$A$17))
    ),
    OR(
      AND(LEFT(P2169,5)="1-Way", Enginuity!$B$13=1),
      AND(LEFT(P2169,5)="2-Way", OR(Enginuity!$B$13=2, Enginuity!$B$13=4)),
      AND(LEFT(P2169,5)="3-Way", OR(Enginuity!$B$13=3, Enginuity!$B$13=6)),
      AND(P2169="Inner Centre Jamb", OR(Enginuity!$B$13=4, Enginuity!$B$13=6)),
      AND(
        LEFT(P2169,5)&lt;&gt;"1-Way",
        LEFT(P2169,5)&lt;&gt;"2-Way",
        LEFT(P2169,5)&lt;&gt;"3-Way",
        P2169&lt;&gt;"Inner Centre Jamb"
      )
    ),
    IF(OR(Enginuity!$A$1="Frameless Glass",Enginuity!$A$1="Metal Work"),
      AND(TRIM(B2169)=TRIM(Enginuity!$A$17),TRIM(C2169)=TRIM(Enginuity!$A$18)),
      TRIM(B2169)=TRIM(Enginuity!$A$17)
    )
  ),
  ROW(),
  ""
)</f>
        <v/>
      </c>
    </row>
    <row r="2170" spans="1:21" x14ac:dyDescent="0.25">
      <c r="A2170" s="10"/>
      <c r="B2170" s="229"/>
      <c r="C2170" s="10"/>
      <c r="D2170" s="14"/>
      <c r="E2170" s="157"/>
      <c r="F2170" s="10"/>
      <c r="G2170" s="17"/>
      <c r="H2170" s="10"/>
      <c r="I2170" s="17"/>
      <c r="J2170" s="83"/>
      <c r="K2170" s="343"/>
      <c r="L2170" s="347"/>
      <c r="M2170" s="89">
        <f t="shared" si="39"/>
        <v>134</v>
      </c>
      <c r="N2170" s="14"/>
      <c r="O2170" s="22"/>
      <c r="P2170" s="14"/>
      <c r="Q2170" s="83"/>
      <c r="U2170" s="104" t="str">
        <f>IF(
  AND(
    TRIM(A2170)=TRIM(Enginuity!$A$1),
    TRIM(B2170)=TRIM(Enginuity!$A$17),
    Q2170&lt;&gt;"",
    Q2170&lt;&gt;0,
    OR(
      TRIM(C2170)=TRIM(Enginuity!$A$18),
      AND(UPPER(TRIM(M2170))="STD", TRIM(B2170)=TRIM(Enginuity!$A$17))
    ),
    OR(
      AND(LEFT(P2170,5)="1-Way", Enginuity!$B$13=1),
      AND(LEFT(P2170,5)="2-Way", OR(Enginuity!$B$13=2, Enginuity!$B$13=4)),
      AND(LEFT(P2170,5)="3-Way", OR(Enginuity!$B$13=3, Enginuity!$B$13=6)),
      AND(P2170="Inner Centre Jamb", OR(Enginuity!$B$13=4, Enginuity!$B$13=6)),
      AND(
        LEFT(P2170,5)&lt;&gt;"1-Way",
        LEFT(P2170,5)&lt;&gt;"2-Way",
        LEFT(P2170,5)&lt;&gt;"3-Way",
        P2170&lt;&gt;"Inner Centre Jamb"
      )
    ),
    IF(OR(Enginuity!$A$1="Frameless Glass",Enginuity!$A$1="Metal Work"),
      AND(TRIM(B2170)=TRIM(Enginuity!$A$17),TRIM(C2170)=TRIM(Enginuity!$A$18)),
      TRIM(B2170)=TRIM(Enginuity!$A$17)
    )
  ),
  ROW(),
  ""
)</f>
        <v/>
      </c>
    </row>
    <row r="2171" spans="1:21" x14ac:dyDescent="0.25">
      <c r="A2171" s="10"/>
      <c r="B2171" s="229"/>
      <c r="C2171" s="10"/>
      <c r="D2171" s="14"/>
      <c r="E2171" s="157"/>
      <c r="F2171" s="10"/>
      <c r="G2171" s="17"/>
      <c r="H2171" s="10"/>
      <c r="I2171" s="17"/>
      <c r="J2171" s="83"/>
      <c r="K2171" s="343"/>
      <c r="L2171" s="347"/>
      <c r="M2171" s="89">
        <f t="shared" si="39"/>
        <v>135</v>
      </c>
      <c r="N2171" s="10"/>
      <c r="O2171" s="22"/>
      <c r="P2171" s="14"/>
      <c r="Q2171" s="83"/>
      <c r="U2171" s="104" t="str">
        <f>IF(
  AND(
    TRIM(A2171)=TRIM(Enginuity!$A$1),
    TRIM(B2171)=TRIM(Enginuity!$A$17),
    Q2171&lt;&gt;"",
    Q2171&lt;&gt;0,
    OR(
      TRIM(C2171)=TRIM(Enginuity!$A$18),
      AND(UPPER(TRIM(M2171))="STD", TRIM(B2171)=TRIM(Enginuity!$A$17))
    ),
    OR(
      AND(LEFT(P2171,5)="1-Way", Enginuity!$B$13=1),
      AND(LEFT(P2171,5)="2-Way", OR(Enginuity!$B$13=2, Enginuity!$B$13=4)),
      AND(LEFT(P2171,5)="3-Way", OR(Enginuity!$B$13=3, Enginuity!$B$13=6)),
      AND(P2171="Inner Centre Jamb", OR(Enginuity!$B$13=4, Enginuity!$B$13=6)),
      AND(
        LEFT(P2171,5)&lt;&gt;"1-Way",
        LEFT(P2171,5)&lt;&gt;"2-Way",
        LEFT(P2171,5)&lt;&gt;"3-Way",
        P2171&lt;&gt;"Inner Centre Jamb"
      )
    ),
    IF(OR(Enginuity!$A$1="Frameless Glass",Enginuity!$A$1="Metal Work"),
      AND(TRIM(B2171)=TRIM(Enginuity!$A$17),TRIM(C2171)=TRIM(Enginuity!$A$18)),
      TRIM(B2171)=TRIM(Enginuity!$A$17)
    )
  ),
  ROW(),
  ""
)</f>
        <v/>
      </c>
    </row>
    <row r="2172" spans="1:21" x14ac:dyDescent="0.25">
      <c r="A2172" s="10"/>
      <c r="B2172" s="229"/>
      <c r="C2172" s="10"/>
      <c r="D2172" s="14"/>
      <c r="E2172" s="157"/>
      <c r="F2172" s="10"/>
      <c r="G2172" s="17"/>
      <c r="H2172" s="10"/>
      <c r="I2172" s="17"/>
      <c r="J2172" s="83"/>
      <c r="K2172" s="343"/>
      <c r="L2172" s="347"/>
      <c r="M2172" s="89">
        <f t="shared" si="39"/>
        <v>136</v>
      </c>
      <c r="N2172" s="10"/>
      <c r="O2172" s="22"/>
      <c r="P2172" s="21"/>
      <c r="Q2172" s="83"/>
      <c r="U2172" s="104" t="str">
        <f>IF(
  AND(
    TRIM(A2172)=TRIM(Enginuity!$A$1),
    TRIM(B2172)=TRIM(Enginuity!$A$17),
    Q2172&lt;&gt;"",
    Q2172&lt;&gt;0,
    OR(
      TRIM(C2172)=TRIM(Enginuity!$A$18),
      AND(UPPER(TRIM(M2172))="STD", TRIM(B2172)=TRIM(Enginuity!$A$17))
    ),
    OR(
      AND(LEFT(P2172,5)="1-Way", Enginuity!$B$13=1),
      AND(LEFT(P2172,5)="2-Way", OR(Enginuity!$B$13=2, Enginuity!$B$13=4)),
      AND(LEFT(P2172,5)="3-Way", OR(Enginuity!$B$13=3, Enginuity!$B$13=6)),
      AND(P2172="Inner Centre Jamb", OR(Enginuity!$B$13=4, Enginuity!$B$13=6)),
      AND(
        LEFT(P2172,5)&lt;&gt;"1-Way",
        LEFT(P2172,5)&lt;&gt;"2-Way",
        LEFT(P2172,5)&lt;&gt;"3-Way",
        P2172&lt;&gt;"Inner Centre Jamb"
      )
    ),
    IF(OR(Enginuity!$A$1="Frameless Glass",Enginuity!$A$1="Metal Work"),
      AND(TRIM(B2172)=TRIM(Enginuity!$A$17),TRIM(C2172)=TRIM(Enginuity!$A$18)),
      TRIM(B2172)=TRIM(Enginuity!$A$17)
    )
  ),
  ROW(),
  ""
)</f>
        <v/>
      </c>
    </row>
    <row r="2173" spans="1:21" x14ac:dyDescent="0.25">
      <c r="A2173" s="10"/>
      <c r="B2173" s="229"/>
      <c r="C2173" s="10"/>
      <c r="D2173" s="14"/>
      <c r="E2173" s="157"/>
      <c r="F2173" s="10"/>
      <c r="G2173" s="17"/>
      <c r="H2173" s="10"/>
      <c r="I2173" s="17"/>
      <c r="J2173" s="83"/>
      <c r="K2173" s="343"/>
      <c r="L2173" s="347"/>
      <c r="M2173" s="89">
        <f t="shared" si="39"/>
        <v>137</v>
      </c>
      <c r="N2173" s="88"/>
      <c r="O2173" s="22"/>
      <c r="P2173" s="36"/>
      <c r="Q2173" s="83"/>
      <c r="U2173" s="104" t="str">
        <f>IF(
  AND(
    TRIM(A2173)=TRIM(Enginuity!$A$1),
    TRIM(B2173)=TRIM(Enginuity!$A$17),
    Q2173&lt;&gt;"",
    Q2173&lt;&gt;0,
    OR(
      TRIM(C2173)=TRIM(Enginuity!$A$18),
      AND(UPPER(TRIM(M2173))="STD", TRIM(B2173)=TRIM(Enginuity!$A$17))
    ),
    OR(
      AND(LEFT(P2173,5)="1-Way", Enginuity!$B$13=1),
      AND(LEFT(P2173,5)="2-Way", OR(Enginuity!$B$13=2, Enginuity!$B$13=4)),
      AND(LEFT(P2173,5)="3-Way", OR(Enginuity!$B$13=3, Enginuity!$B$13=6)),
      AND(P2173="Inner Centre Jamb", OR(Enginuity!$B$13=4, Enginuity!$B$13=6)),
      AND(
        LEFT(P2173,5)&lt;&gt;"1-Way",
        LEFT(P2173,5)&lt;&gt;"2-Way",
        LEFT(P2173,5)&lt;&gt;"3-Way",
        P2173&lt;&gt;"Inner Centre Jamb"
      )
    ),
    IF(OR(Enginuity!$A$1="Frameless Glass",Enginuity!$A$1="Metal Work"),
      AND(TRIM(B2173)=TRIM(Enginuity!$A$17),TRIM(C2173)=TRIM(Enginuity!$A$18)),
      TRIM(B2173)=TRIM(Enginuity!$A$17)
    )
  ),
  ROW(),
  ""
)</f>
        <v/>
      </c>
    </row>
    <row r="2174" spans="1:21" x14ac:dyDescent="0.25">
      <c r="A2174" s="10"/>
      <c r="B2174" s="229"/>
      <c r="C2174" s="10"/>
      <c r="D2174" s="14"/>
      <c r="E2174" s="157"/>
      <c r="F2174" s="10"/>
      <c r="G2174" s="17"/>
      <c r="H2174" s="10"/>
      <c r="I2174" s="17"/>
      <c r="J2174" s="83"/>
      <c r="K2174" s="343"/>
      <c r="L2174" s="347"/>
      <c r="M2174" s="89">
        <f t="shared" si="39"/>
        <v>138</v>
      </c>
      <c r="N2174" s="10"/>
      <c r="O2174" s="22"/>
      <c r="P2174" s="21"/>
      <c r="Q2174" s="83"/>
      <c r="U2174" s="104" t="str">
        <f>IF(
  AND(
    TRIM(A2174)=TRIM(Enginuity!$A$1),
    TRIM(B2174)=TRIM(Enginuity!$A$17),
    Q2174&lt;&gt;"",
    Q2174&lt;&gt;0,
    OR(
      TRIM(C2174)=TRIM(Enginuity!$A$18),
      AND(UPPER(TRIM(M2174))="STD", TRIM(B2174)=TRIM(Enginuity!$A$17))
    ),
    OR(
      AND(LEFT(P2174,5)="1-Way", Enginuity!$B$13=1),
      AND(LEFT(P2174,5)="2-Way", OR(Enginuity!$B$13=2, Enginuity!$B$13=4)),
      AND(LEFT(P2174,5)="3-Way", OR(Enginuity!$B$13=3, Enginuity!$B$13=6)),
      AND(P2174="Inner Centre Jamb", OR(Enginuity!$B$13=4, Enginuity!$B$13=6)),
      AND(
        LEFT(P2174,5)&lt;&gt;"1-Way",
        LEFT(P2174,5)&lt;&gt;"2-Way",
        LEFT(P2174,5)&lt;&gt;"3-Way",
        P2174&lt;&gt;"Inner Centre Jamb"
      )
    ),
    IF(OR(Enginuity!$A$1="Frameless Glass",Enginuity!$A$1="Metal Work"),
      AND(TRIM(B2174)=TRIM(Enginuity!$A$17),TRIM(C2174)=TRIM(Enginuity!$A$18)),
      TRIM(B2174)=TRIM(Enginuity!$A$17)
    )
  ),
  ROW(),
  ""
)</f>
        <v/>
      </c>
    </row>
    <row r="2175" spans="1:21" x14ac:dyDescent="0.25">
      <c r="A2175" s="10"/>
      <c r="B2175" s="229"/>
      <c r="C2175" s="10"/>
      <c r="D2175" s="14"/>
      <c r="E2175" s="157"/>
      <c r="F2175" s="10"/>
      <c r="G2175" s="17"/>
      <c r="H2175" s="10"/>
      <c r="I2175" s="17"/>
      <c r="J2175" s="83"/>
      <c r="K2175" s="343"/>
      <c r="L2175" s="347"/>
      <c r="M2175" s="89">
        <f t="shared" si="39"/>
        <v>139</v>
      </c>
      <c r="N2175" s="10"/>
      <c r="O2175" s="22"/>
      <c r="P2175" s="14"/>
      <c r="Q2175" s="83"/>
      <c r="U2175" s="104" t="str">
        <f>IF(
  AND(
    TRIM(A2175)=TRIM(Enginuity!$A$1),
    TRIM(B2175)=TRIM(Enginuity!$A$17),
    Q2175&lt;&gt;"",
    Q2175&lt;&gt;0,
    OR(
      TRIM(C2175)=TRIM(Enginuity!$A$18),
      AND(UPPER(TRIM(M2175))="STD", TRIM(B2175)=TRIM(Enginuity!$A$17))
    ),
    OR(
      AND(LEFT(P2175,5)="1-Way", Enginuity!$B$13=1),
      AND(LEFT(P2175,5)="2-Way", OR(Enginuity!$B$13=2, Enginuity!$B$13=4)),
      AND(LEFT(P2175,5)="3-Way", OR(Enginuity!$B$13=3, Enginuity!$B$13=6)),
      AND(P2175="Inner Centre Jamb", OR(Enginuity!$B$13=4, Enginuity!$B$13=6)),
      AND(
        LEFT(P2175,5)&lt;&gt;"1-Way",
        LEFT(P2175,5)&lt;&gt;"2-Way",
        LEFT(P2175,5)&lt;&gt;"3-Way",
        P2175&lt;&gt;"Inner Centre Jamb"
      )
    ),
    IF(OR(Enginuity!$A$1="Frameless Glass",Enginuity!$A$1="Metal Work"),
      AND(TRIM(B2175)=TRIM(Enginuity!$A$17),TRIM(C2175)=TRIM(Enginuity!$A$18)),
      TRIM(B2175)=TRIM(Enginuity!$A$17)
    )
  ),
  ROW(),
  ""
)</f>
        <v/>
      </c>
    </row>
    <row r="2176" spans="1:21" x14ac:dyDescent="0.25">
      <c r="A2176" s="10"/>
      <c r="B2176" s="229"/>
      <c r="C2176" s="10"/>
      <c r="D2176" s="14"/>
      <c r="E2176" s="157"/>
      <c r="F2176" s="10"/>
      <c r="G2176" s="17"/>
      <c r="H2176" s="10"/>
      <c r="I2176" s="17"/>
      <c r="J2176" s="83"/>
      <c r="K2176" s="343"/>
      <c r="L2176" s="347"/>
      <c r="M2176" s="89">
        <f t="shared" si="39"/>
        <v>140</v>
      </c>
      <c r="N2176" s="10"/>
      <c r="O2176" s="22"/>
      <c r="P2176" s="14"/>
      <c r="Q2176" s="83"/>
      <c r="U2176" s="104" t="str">
        <f>IF(
  AND(
    TRIM(A2176)=TRIM(Enginuity!$A$1),
    TRIM(B2176)=TRIM(Enginuity!$A$17),
    Q2176&lt;&gt;"",
    Q2176&lt;&gt;0,
    OR(
      TRIM(C2176)=TRIM(Enginuity!$A$18),
      AND(UPPER(TRIM(M2176))="STD", TRIM(B2176)=TRIM(Enginuity!$A$17))
    ),
    OR(
      AND(LEFT(P2176,5)="1-Way", Enginuity!$B$13=1),
      AND(LEFT(P2176,5)="2-Way", OR(Enginuity!$B$13=2, Enginuity!$B$13=4)),
      AND(LEFT(P2176,5)="3-Way", OR(Enginuity!$B$13=3, Enginuity!$B$13=6)),
      AND(P2176="Inner Centre Jamb", OR(Enginuity!$B$13=4, Enginuity!$B$13=6)),
      AND(
        LEFT(P2176,5)&lt;&gt;"1-Way",
        LEFT(P2176,5)&lt;&gt;"2-Way",
        LEFT(P2176,5)&lt;&gt;"3-Way",
        P2176&lt;&gt;"Inner Centre Jamb"
      )
    ),
    IF(OR(Enginuity!$A$1="Frameless Glass",Enginuity!$A$1="Metal Work"),
      AND(TRIM(B2176)=TRIM(Enginuity!$A$17),TRIM(C2176)=TRIM(Enginuity!$A$18)),
      TRIM(B2176)=TRIM(Enginuity!$A$17)
    )
  ),
  ROW(),
  ""
)</f>
        <v/>
      </c>
    </row>
    <row r="2177" spans="1:21" x14ac:dyDescent="0.25">
      <c r="A2177" s="10"/>
      <c r="B2177" s="229"/>
      <c r="C2177" s="10"/>
      <c r="D2177" s="14"/>
      <c r="E2177" s="157"/>
      <c r="F2177" s="10"/>
      <c r="G2177" s="17"/>
      <c r="H2177" s="10"/>
      <c r="I2177" s="17"/>
      <c r="J2177" s="83"/>
      <c r="K2177" s="343"/>
      <c r="L2177" s="347"/>
      <c r="M2177" s="89">
        <f t="shared" si="39"/>
        <v>141</v>
      </c>
      <c r="N2177" s="10"/>
      <c r="O2177" s="22"/>
      <c r="P2177" s="14"/>
      <c r="Q2177" s="83"/>
      <c r="U2177" s="104" t="str">
        <f>IF(
  AND(
    TRIM(A2177)=TRIM(Enginuity!$A$1),
    TRIM(B2177)=TRIM(Enginuity!$A$17),
    Q2177&lt;&gt;"",
    Q2177&lt;&gt;0,
    OR(
      TRIM(C2177)=TRIM(Enginuity!$A$18),
      AND(UPPER(TRIM(M2177))="STD", TRIM(B2177)=TRIM(Enginuity!$A$17))
    ),
    OR(
      AND(LEFT(P2177,5)="1-Way", Enginuity!$B$13=1),
      AND(LEFT(P2177,5)="2-Way", OR(Enginuity!$B$13=2, Enginuity!$B$13=4)),
      AND(LEFT(P2177,5)="3-Way", OR(Enginuity!$B$13=3, Enginuity!$B$13=6)),
      AND(P2177="Inner Centre Jamb", OR(Enginuity!$B$13=4, Enginuity!$B$13=6)),
      AND(
        LEFT(P2177,5)&lt;&gt;"1-Way",
        LEFT(P2177,5)&lt;&gt;"2-Way",
        LEFT(P2177,5)&lt;&gt;"3-Way",
        P2177&lt;&gt;"Inner Centre Jamb"
      )
    ),
    IF(OR(Enginuity!$A$1="Frameless Glass",Enginuity!$A$1="Metal Work"),
      AND(TRIM(B2177)=TRIM(Enginuity!$A$17),TRIM(C2177)=TRIM(Enginuity!$A$18)),
      TRIM(B2177)=TRIM(Enginuity!$A$17)
    )
  ),
  ROW(),
  ""
)</f>
        <v/>
      </c>
    </row>
    <row r="2178" spans="1:21" x14ac:dyDescent="0.25">
      <c r="A2178" s="10"/>
      <c r="B2178" s="229"/>
      <c r="C2178" s="10"/>
      <c r="D2178" s="14"/>
      <c r="E2178" s="157"/>
      <c r="F2178" s="10"/>
      <c r="G2178" s="17"/>
      <c r="H2178" s="10"/>
      <c r="I2178" s="17"/>
      <c r="J2178" s="83"/>
      <c r="K2178" s="343"/>
      <c r="L2178" s="347"/>
      <c r="M2178" s="89">
        <f t="shared" si="39"/>
        <v>142</v>
      </c>
      <c r="N2178" s="10"/>
      <c r="O2178" s="22"/>
      <c r="P2178" s="14"/>
      <c r="Q2178" s="83"/>
      <c r="U2178" s="104" t="str">
        <f>IF(
  AND(
    TRIM(A2178)=TRIM(Enginuity!$A$1),
    TRIM(B2178)=TRIM(Enginuity!$A$17),
    Q2178&lt;&gt;"",
    Q2178&lt;&gt;0,
    OR(
      TRIM(C2178)=TRIM(Enginuity!$A$18),
      AND(UPPER(TRIM(M2178))="STD", TRIM(B2178)=TRIM(Enginuity!$A$17))
    ),
    OR(
      AND(LEFT(P2178,5)="1-Way", Enginuity!$B$13=1),
      AND(LEFT(P2178,5)="2-Way", OR(Enginuity!$B$13=2, Enginuity!$B$13=4)),
      AND(LEFT(P2178,5)="3-Way", OR(Enginuity!$B$13=3, Enginuity!$B$13=6)),
      AND(P2178="Inner Centre Jamb", OR(Enginuity!$B$13=4, Enginuity!$B$13=6)),
      AND(
        LEFT(P2178,5)&lt;&gt;"1-Way",
        LEFT(P2178,5)&lt;&gt;"2-Way",
        LEFT(P2178,5)&lt;&gt;"3-Way",
        P2178&lt;&gt;"Inner Centre Jamb"
      )
    ),
    IF(OR(Enginuity!$A$1="Frameless Glass",Enginuity!$A$1="Metal Work"),
      AND(TRIM(B2178)=TRIM(Enginuity!$A$17),TRIM(C2178)=TRIM(Enginuity!$A$18)),
      TRIM(B2178)=TRIM(Enginuity!$A$17)
    )
  ),
  ROW(),
  ""
)</f>
        <v/>
      </c>
    </row>
    <row r="2179" spans="1:21" x14ac:dyDescent="0.25">
      <c r="A2179" s="10"/>
      <c r="B2179" s="229"/>
      <c r="C2179" s="10"/>
      <c r="D2179" s="14"/>
      <c r="E2179" s="157"/>
      <c r="F2179" s="10"/>
      <c r="G2179" s="17"/>
      <c r="H2179" s="10"/>
      <c r="I2179" s="17"/>
      <c r="J2179" s="83"/>
      <c r="K2179" s="343"/>
      <c r="L2179" s="347"/>
      <c r="M2179" s="89">
        <f t="shared" si="39"/>
        <v>143</v>
      </c>
      <c r="N2179" s="10"/>
      <c r="O2179" s="22"/>
      <c r="P2179" s="14"/>
      <c r="Q2179" s="83"/>
      <c r="U2179" s="104" t="str">
        <f>IF(
  AND(
    TRIM(A2179)=TRIM(Enginuity!$A$1),
    TRIM(B2179)=TRIM(Enginuity!$A$17),
    Q2179&lt;&gt;"",
    Q2179&lt;&gt;0,
    OR(
      TRIM(C2179)=TRIM(Enginuity!$A$18),
      AND(UPPER(TRIM(M2179))="STD", TRIM(B2179)=TRIM(Enginuity!$A$17))
    ),
    OR(
      AND(LEFT(P2179,5)="1-Way", Enginuity!$B$13=1),
      AND(LEFT(P2179,5)="2-Way", OR(Enginuity!$B$13=2, Enginuity!$B$13=4)),
      AND(LEFT(P2179,5)="3-Way", OR(Enginuity!$B$13=3, Enginuity!$B$13=6)),
      AND(P2179="Inner Centre Jamb", OR(Enginuity!$B$13=4, Enginuity!$B$13=6)),
      AND(
        LEFT(P2179,5)&lt;&gt;"1-Way",
        LEFT(P2179,5)&lt;&gt;"2-Way",
        LEFT(P2179,5)&lt;&gt;"3-Way",
        P2179&lt;&gt;"Inner Centre Jamb"
      )
    ),
    IF(OR(Enginuity!$A$1="Frameless Glass",Enginuity!$A$1="Metal Work"),
      AND(TRIM(B2179)=TRIM(Enginuity!$A$17),TRIM(C2179)=TRIM(Enginuity!$A$18)),
      TRIM(B2179)=TRIM(Enginuity!$A$17)
    )
  ),
  ROW(),
  ""
)</f>
        <v/>
      </c>
    </row>
    <row r="2180" spans="1:21" x14ac:dyDescent="0.25">
      <c r="A2180" s="10"/>
      <c r="B2180" s="229"/>
      <c r="C2180" s="10"/>
      <c r="D2180" s="14"/>
      <c r="E2180" s="157"/>
      <c r="F2180" s="10"/>
      <c r="G2180" s="17"/>
      <c r="H2180" s="10"/>
      <c r="I2180" s="17"/>
      <c r="J2180" s="83"/>
      <c r="K2180" s="343"/>
      <c r="L2180" s="347"/>
      <c r="M2180" s="89">
        <f t="shared" si="39"/>
        <v>144</v>
      </c>
      <c r="N2180" s="88"/>
      <c r="O2180" s="22"/>
      <c r="P2180" s="14"/>
      <c r="Q2180" s="83"/>
      <c r="U2180" s="104" t="str">
        <f>IF(
  AND(
    TRIM(A2180)=TRIM(Enginuity!$A$1),
    TRIM(B2180)=TRIM(Enginuity!$A$17),
    Q2180&lt;&gt;"",
    Q2180&lt;&gt;0,
    OR(
      TRIM(C2180)=TRIM(Enginuity!$A$18),
      AND(UPPER(TRIM(M2180))="STD", TRIM(B2180)=TRIM(Enginuity!$A$17))
    ),
    OR(
      AND(LEFT(P2180,5)="1-Way", Enginuity!$B$13=1),
      AND(LEFT(P2180,5)="2-Way", OR(Enginuity!$B$13=2, Enginuity!$B$13=4)),
      AND(LEFT(P2180,5)="3-Way", OR(Enginuity!$B$13=3, Enginuity!$B$13=6)),
      AND(P2180="Inner Centre Jamb", OR(Enginuity!$B$13=4, Enginuity!$B$13=6)),
      AND(
        LEFT(P2180,5)&lt;&gt;"1-Way",
        LEFT(P2180,5)&lt;&gt;"2-Way",
        LEFT(P2180,5)&lt;&gt;"3-Way",
        P2180&lt;&gt;"Inner Centre Jamb"
      )
    ),
    IF(OR(Enginuity!$A$1="Frameless Glass",Enginuity!$A$1="Metal Work"),
      AND(TRIM(B2180)=TRIM(Enginuity!$A$17),TRIM(C2180)=TRIM(Enginuity!$A$18)),
      TRIM(B2180)=TRIM(Enginuity!$A$17)
    )
  ),
  ROW(),
  ""
)</f>
        <v/>
      </c>
    </row>
    <row r="2181" spans="1:21" x14ac:dyDescent="0.25">
      <c r="A2181" s="10"/>
      <c r="B2181" s="229"/>
      <c r="C2181" s="10"/>
      <c r="D2181" s="14"/>
      <c r="E2181" s="157"/>
      <c r="F2181" s="10"/>
      <c r="G2181" s="17"/>
      <c r="H2181" s="10"/>
      <c r="I2181" s="17"/>
      <c r="J2181" s="83"/>
      <c r="K2181" s="343"/>
      <c r="L2181" s="347"/>
      <c r="M2181" s="89">
        <f t="shared" si="39"/>
        <v>145</v>
      </c>
      <c r="N2181" s="10"/>
      <c r="O2181" s="22"/>
      <c r="P2181" s="14"/>
      <c r="Q2181" s="83"/>
      <c r="U2181" s="104" t="str">
        <f>IF(
  AND(
    TRIM(A2181)=TRIM(Enginuity!$A$1),
    TRIM(B2181)=TRIM(Enginuity!$A$17),
    Q2181&lt;&gt;"",
    Q2181&lt;&gt;0,
    OR(
      TRIM(C2181)=TRIM(Enginuity!$A$18),
      AND(UPPER(TRIM(M2181))="STD", TRIM(B2181)=TRIM(Enginuity!$A$17))
    ),
    OR(
      AND(LEFT(P2181,5)="1-Way", Enginuity!$B$13=1),
      AND(LEFT(P2181,5)="2-Way", OR(Enginuity!$B$13=2, Enginuity!$B$13=4)),
      AND(LEFT(P2181,5)="3-Way", OR(Enginuity!$B$13=3, Enginuity!$B$13=6)),
      AND(P2181="Inner Centre Jamb", OR(Enginuity!$B$13=4, Enginuity!$B$13=6)),
      AND(
        LEFT(P2181,5)&lt;&gt;"1-Way",
        LEFT(P2181,5)&lt;&gt;"2-Way",
        LEFT(P2181,5)&lt;&gt;"3-Way",
        P2181&lt;&gt;"Inner Centre Jamb"
      )
    ),
    IF(OR(Enginuity!$A$1="Frameless Glass",Enginuity!$A$1="Metal Work"),
      AND(TRIM(B2181)=TRIM(Enginuity!$A$17),TRIM(C2181)=TRIM(Enginuity!$A$18)),
      TRIM(B2181)=TRIM(Enginuity!$A$17)
    )
  ),
  ROW(),
  ""
)</f>
        <v/>
      </c>
    </row>
    <row r="2182" spans="1:21" x14ac:dyDescent="0.25">
      <c r="A2182" s="10"/>
      <c r="B2182" s="229"/>
      <c r="C2182" s="10"/>
      <c r="D2182" s="14"/>
      <c r="E2182" s="157"/>
      <c r="F2182" s="10"/>
      <c r="G2182" s="17"/>
      <c r="H2182" s="10"/>
      <c r="I2182" s="17"/>
      <c r="J2182" s="83"/>
      <c r="K2182" s="343"/>
      <c r="L2182" s="347"/>
      <c r="M2182" s="89">
        <f t="shared" si="39"/>
        <v>146</v>
      </c>
      <c r="N2182" s="10"/>
      <c r="O2182" s="22"/>
      <c r="P2182" s="14"/>
      <c r="Q2182" s="83"/>
      <c r="U2182" s="104" t="str">
        <f>IF(
  AND(
    TRIM(A2182)=TRIM(Enginuity!$A$1),
    TRIM(B2182)=TRIM(Enginuity!$A$17),
    Q2182&lt;&gt;"",
    Q2182&lt;&gt;0,
    OR(
      TRIM(C2182)=TRIM(Enginuity!$A$18),
      AND(UPPER(TRIM(M2182))="STD", TRIM(B2182)=TRIM(Enginuity!$A$17))
    ),
    OR(
      AND(LEFT(P2182,5)="1-Way", Enginuity!$B$13=1),
      AND(LEFT(P2182,5)="2-Way", OR(Enginuity!$B$13=2, Enginuity!$B$13=4)),
      AND(LEFT(P2182,5)="3-Way", OR(Enginuity!$B$13=3, Enginuity!$B$13=6)),
      AND(P2182="Inner Centre Jamb", OR(Enginuity!$B$13=4, Enginuity!$B$13=6)),
      AND(
        LEFT(P2182,5)&lt;&gt;"1-Way",
        LEFT(P2182,5)&lt;&gt;"2-Way",
        LEFT(P2182,5)&lt;&gt;"3-Way",
        P2182&lt;&gt;"Inner Centre Jamb"
      )
    ),
    IF(OR(Enginuity!$A$1="Frameless Glass",Enginuity!$A$1="Metal Work"),
      AND(TRIM(B2182)=TRIM(Enginuity!$A$17),TRIM(C2182)=TRIM(Enginuity!$A$18)),
      TRIM(B2182)=TRIM(Enginuity!$A$17)
    )
  ),
  ROW(),
  ""
)</f>
        <v/>
      </c>
    </row>
    <row r="2183" spans="1:21" x14ac:dyDescent="0.25">
      <c r="A2183" s="10"/>
      <c r="B2183" s="229"/>
      <c r="C2183" s="10"/>
      <c r="D2183" s="14"/>
      <c r="E2183" s="157"/>
      <c r="F2183" s="10"/>
      <c r="G2183" s="17"/>
      <c r="H2183" s="10"/>
      <c r="I2183" s="17"/>
      <c r="J2183" s="83"/>
      <c r="K2183" s="343"/>
      <c r="L2183" s="347"/>
      <c r="M2183" s="89">
        <f t="shared" si="39"/>
        <v>147</v>
      </c>
      <c r="N2183" s="10"/>
      <c r="O2183" s="22"/>
      <c r="P2183" s="14"/>
      <c r="Q2183" s="83"/>
      <c r="U2183" s="104" t="str">
        <f>IF(
  AND(
    TRIM(A2183)=TRIM(Enginuity!$A$1),
    TRIM(B2183)=TRIM(Enginuity!$A$17),
    Q2183&lt;&gt;"",
    Q2183&lt;&gt;0,
    OR(
      TRIM(C2183)=TRIM(Enginuity!$A$18),
      AND(UPPER(TRIM(M2183))="STD", TRIM(B2183)=TRIM(Enginuity!$A$17))
    ),
    OR(
      AND(LEFT(P2183,5)="1-Way", Enginuity!$B$13=1),
      AND(LEFT(P2183,5)="2-Way", OR(Enginuity!$B$13=2, Enginuity!$B$13=4)),
      AND(LEFT(P2183,5)="3-Way", OR(Enginuity!$B$13=3, Enginuity!$B$13=6)),
      AND(P2183="Inner Centre Jamb", OR(Enginuity!$B$13=4, Enginuity!$B$13=6)),
      AND(
        LEFT(P2183,5)&lt;&gt;"1-Way",
        LEFT(P2183,5)&lt;&gt;"2-Way",
        LEFT(P2183,5)&lt;&gt;"3-Way",
        P2183&lt;&gt;"Inner Centre Jamb"
      )
    ),
    IF(OR(Enginuity!$A$1="Frameless Glass",Enginuity!$A$1="Metal Work"),
      AND(TRIM(B2183)=TRIM(Enginuity!$A$17),TRIM(C2183)=TRIM(Enginuity!$A$18)),
      TRIM(B2183)=TRIM(Enginuity!$A$17)
    )
  ),
  ROW(),
  ""
)</f>
        <v/>
      </c>
    </row>
    <row r="2184" spans="1:21" x14ac:dyDescent="0.25">
      <c r="A2184" s="10"/>
      <c r="B2184" s="229"/>
      <c r="C2184" s="10"/>
      <c r="D2184" s="14"/>
      <c r="E2184" s="157"/>
      <c r="F2184" s="10"/>
      <c r="G2184" s="17"/>
      <c r="H2184" s="10"/>
      <c r="I2184" s="17"/>
      <c r="J2184" s="83"/>
      <c r="K2184" s="343"/>
      <c r="L2184" s="347"/>
      <c r="M2184" s="89">
        <f t="shared" si="39"/>
        <v>148</v>
      </c>
      <c r="N2184" s="10"/>
      <c r="O2184" s="22"/>
      <c r="P2184" s="14"/>
      <c r="Q2184" s="83"/>
      <c r="U2184" s="104" t="str">
        <f>IF(
  AND(
    TRIM(A2184)=TRIM(Enginuity!$A$1),
    TRIM(B2184)=TRIM(Enginuity!$A$17),
    Q2184&lt;&gt;"",
    Q2184&lt;&gt;0,
    OR(
      TRIM(C2184)=TRIM(Enginuity!$A$18),
      AND(UPPER(TRIM(M2184))="STD", TRIM(B2184)=TRIM(Enginuity!$A$17))
    ),
    OR(
      AND(LEFT(P2184,5)="1-Way", Enginuity!$B$13=1),
      AND(LEFT(P2184,5)="2-Way", OR(Enginuity!$B$13=2, Enginuity!$B$13=4)),
      AND(LEFT(P2184,5)="3-Way", OR(Enginuity!$B$13=3, Enginuity!$B$13=6)),
      AND(P2184="Inner Centre Jamb", OR(Enginuity!$B$13=4, Enginuity!$B$13=6)),
      AND(
        LEFT(P2184,5)&lt;&gt;"1-Way",
        LEFT(P2184,5)&lt;&gt;"2-Way",
        LEFT(P2184,5)&lt;&gt;"3-Way",
        P2184&lt;&gt;"Inner Centre Jamb"
      )
    ),
    IF(OR(Enginuity!$A$1="Frameless Glass",Enginuity!$A$1="Metal Work"),
      AND(TRIM(B2184)=TRIM(Enginuity!$A$17),TRIM(C2184)=TRIM(Enginuity!$A$18)),
      TRIM(B2184)=TRIM(Enginuity!$A$17)
    )
  ),
  ROW(),
  ""
)</f>
        <v/>
      </c>
    </row>
    <row r="2185" spans="1:21" x14ac:dyDescent="0.25">
      <c r="A2185" s="10"/>
      <c r="B2185" s="229"/>
      <c r="C2185" s="10"/>
      <c r="D2185" s="14"/>
      <c r="E2185" s="157"/>
      <c r="F2185" s="10"/>
      <c r="G2185" s="17"/>
      <c r="H2185" s="10"/>
      <c r="I2185" s="17"/>
      <c r="J2185" s="83"/>
      <c r="K2185" s="343"/>
      <c r="L2185" s="347"/>
      <c r="M2185" s="89">
        <f t="shared" si="39"/>
        <v>149</v>
      </c>
      <c r="N2185" s="10"/>
      <c r="O2185" s="22"/>
      <c r="P2185" s="14"/>
      <c r="Q2185" s="83"/>
      <c r="U2185" s="104" t="str">
        <f>IF(
  AND(
    TRIM(A2185)=TRIM(Enginuity!$A$1),
    TRIM(B2185)=TRIM(Enginuity!$A$17),
    Q2185&lt;&gt;"",
    Q2185&lt;&gt;0,
    OR(
      TRIM(C2185)=TRIM(Enginuity!$A$18),
      AND(UPPER(TRIM(M2185))="STD", TRIM(B2185)=TRIM(Enginuity!$A$17))
    ),
    OR(
      AND(LEFT(P2185,5)="1-Way", Enginuity!$B$13=1),
      AND(LEFT(P2185,5)="2-Way", OR(Enginuity!$B$13=2, Enginuity!$B$13=4)),
      AND(LEFT(P2185,5)="3-Way", OR(Enginuity!$B$13=3, Enginuity!$B$13=6)),
      AND(P2185="Inner Centre Jamb", OR(Enginuity!$B$13=4, Enginuity!$B$13=6)),
      AND(
        LEFT(P2185,5)&lt;&gt;"1-Way",
        LEFT(P2185,5)&lt;&gt;"2-Way",
        LEFT(P2185,5)&lt;&gt;"3-Way",
        P2185&lt;&gt;"Inner Centre Jamb"
      )
    ),
    IF(OR(Enginuity!$A$1="Frameless Glass",Enginuity!$A$1="Metal Work"),
      AND(TRIM(B2185)=TRIM(Enginuity!$A$17),TRIM(C2185)=TRIM(Enginuity!$A$18)),
      TRIM(B2185)=TRIM(Enginuity!$A$17)
    )
  ),
  ROW(),
  ""
)</f>
        <v/>
      </c>
    </row>
    <row r="2186" spans="1:21" x14ac:dyDescent="0.25">
      <c r="A2186" s="10"/>
      <c r="B2186" s="229"/>
      <c r="C2186" s="10"/>
      <c r="D2186" s="14"/>
      <c r="E2186" s="157"/>
      <c r="F2186" s="10"/>
      <c r="G2186" s="17"/>
      <c r="H2186" s="10"/>
      <c r="I2186" s="17"/>
      <c r="J2186" s="83"/>
      <c r="K2186" s="343"/>
      <c r="L2186" s="347"/>
      <c r="M2186" s="89">
        <f t="shared" si="39"/>
        <v>150</v>
      </c>
      <c r="N2186" s="10"/>
      <c r="O2186" s="22"/>
      <c r="P2186" s="21"/>
      <c r="Q2186" s="83"/>
      <c r="U2186" s="104" t="str">
        <f>IF(
  AND(
    TRIM(A2186)=TRIM(Enginuity!$A$1),
    TRIM(B2186)=TRIM(Enginuity!$A$17),
    Q2186&lt;&gt;"",
    Q2186&lt;&gt;0,
    OR(
      TRIM(C2186)=TRIM(Enginuity!$A$18),
      AND(UPPER(TRIM(M2186))="STD", TRIM(B2186)=TRIM(Enginuity!$A$17))
    ),
    OR(
      AND(LEFT(P2186,5)="1-Way", Enginuity!$B$13=1),
      AND(LEFT(P2186,5)="2-Way", OR(Enginuity!$B$13=2, Enginuity!$B$13=4)),
      AND(LEFT(P2186,5)="3-Way", OR(Enginuity!$B$13=3, Enginuity!$B$13=6)),
      AND(P2186="Inner Centre Jamb", OR(Enginuity!$B$13=4, Enginuity!$B$13=6)),
      AND(
        LEFT(P2186,5)&lt;&gt;"1-Way",
        LEFT(P2186,5)&lt;&gt;"2-Way",
        LEFT(P2186,5)&lt;&gt;"3-Way",
        P2186&lt;&gt;"Inner Centre Jamb"
      )
    ),
    IF(OR(Enginuity!$A$1="Frameless Glass",Enginuity!$A$1="Metal Work"),
      AND(TRIM(B2186)=TRIM(Enginuity!$A$17),TRIM(C2186)=TRIM(Enginuity!$A$18)),
      TRIM(B2186)=TRIM(Enginuity!$A$17)
    )
  ),
  ROW(),
  ""
)</f>
        <v/>
      </c>
    </row>
    <row r="2187" spans="1:21" x14ac:dyDescent="0.25">
      <c r="A2187" s="10"/>
      <c r="B2187" s="229"/>
      <c r="C2187" s="10"/>
      <c r="D2187" s="14"/>
      <c r="E2187" s="157"/>
      <c r="F2187" s="10"/>
      <c r="G2187" s="17"/>
      <c r="H2187" s="10"/>
      <c r="I2187" s="17"/>
      <c r="J2187" s="83"/>
      <c r="K2187" s="343"/>
      <c r="L2187" s="347"/>
      <c r="M2187" s="89">
        <f t="shared" si="39"/>
        <v>151</v>
      </c>
      <c r="N2187" s="10"/>
      <c r="O2187" s="22"/>
      <c r="P2187" s="21"/>
      <c r="Q2187" s="83"/>
      <c r="U2187" s="104" t="str">
        <f>IF(
  AND(
    TRIM(A2187)=TRIM(Enginuity!$A$1),
    TRIM(B2187)=TRIM(Enginuity!$A$17),
    Q2187&lt;&gt;"",
    Q2187&lt;&gt;0,
    OR(
      TRIM(C2187)=TRIM(Enginuity!$A$18),
      AND(UPPER(TRIM(M2187))="STD", TRIM(B2187)=TRIM(Enginuity!$A$17))
    ),
    OR(
      AND(LEFT(P2187,5)="1-Way", Enginuity!$B$13=1),
      AND(LEFT(P2187,5)="2-Way", OR(Enginuity!$B$13=2, Enginuity!$B$13=4)),
      AND(LEFT(P2187,5)="3-Way", OR(Enginuity!$B$13=3, Enginuity!$B$13=6)),
      AND(P2187="Inner Centre Jamb", OR(Enginuity!$B$13=4, Enginuity!$B$13=6)),
      AND(
        LEFT(P2187,5)&lt;&gt;"1-Way",
        LEFT(P2187,5)&lt;&gt;"2-Way",
        LEFT(P2187,5)&lt;&gt;"3-Way",
        P2187&lt;&gt;"Inner Centre Jamb"
      )
    ),
    IF(OR(Enginuity!$A$1="Frameless Glass",Enginuity!$A$1="Metal Work"),
      AND(TRIM(B2187)=TRIM(Enginuity!$A$17),TRIM(C2187)=TRIM(Enginuity!$A$18)),
      TRIM(B2187)=TRIM(Enginuity!$A$17)
    )
  ),
  ROW(),
  ""
)</f>
        <v/>
      </c>
    </row>
    <row r="2188" spans="1:21" x14ac:dyDescent="0.25">
      <c r="A2188" s="10"/>
      <c r="B2188" s="229"/>
      <c r="C2188" s="10"/>
      <c r="D2188" s="14"/>
      <c r="E2188" s="157"/>
      <c r="F2188" s="10"/>
      <c r="G2188" s="17"/>
      <c r="H2188" s="10"/>
      <c r="I2188" s="17"/>
      <c r="J2188" s="83"/>
      <c r="K2188" s="343"/>
      <c r="L2188" s="347"/>
      <c r="M2188" s="89">
        <f t="shared" si="39"/>
        <v>152</v>
      </c>
      <c r="N2188" s="10"/>
      <c r="O2188" s="22"/>
      <c r="P2188" s="14"/>
      <c r="Q2188" s="83"/>
      <c r="U2188" s="104" t="str">
        <f>IF(
  AND(
    TRIM(A2188)=TRIM(Enginuity!$A$1),
    TRIM(B2188)=TRIM(Enginuity!$A$17),
    Q2188&lt;&gt;"",
    Q2188&lt;&gt;0,
    OR(
      TRIM(C2188)=TRIM(Enginuity!$A$18),
      AND(UPPER(TRIM(M2188))="STD", TRIM(B2188)=TRIM(Enginuity!$A$17))
    ),
    OR(
      AND(LEFT(P2188,5)="1-Way", Enginuity!$B$13=1),
      AND(LEFT(P2188,5)="2-Way", OR(Enginuity!$B$13=2, Enginuity!$B$13=4)),
      AND(LEFT(P2188,5)="3-Way", OR(Enginuity!$B$13=3, Enginuity!$B$13=6)),
      AND(P2188="Inner Centre Jamb", OR(Enginuity!$B$13=4, Enginuity!$B$13=6)),
      AND(
        LEFT(P2188,5)&lt;&gt;"1-Way",
        LEFT(P2188,5)&lt;&gt;"2-Way",
        LEFT(P2188,5)&lt;&gt;"3-Way",
        P2188&lt;&gt;"Inner Centre Jamb"
      )
    ),
    IF(OR(Enginuity!$A$1="Frameless Glass",Enginuity!$A$1="Metal Work"),
      AND(TRIM(B2188)=TRIM(Enginuity!$A$17),TRIM(C2188)=TRIM(Enginuity!$A$18)),
      TRIM(B2188)=TRIM(Enginuity!$A$17)
    )
  ),
  ROW(),
  ""
)</f>
        <v/>
      </c>
    </row>
    <row r="2189" spans="1:21" x14ac:dyDescent="0.25">
      <c r="A2189" s="10"/>
      <c r="B2189" s="229"/>
      <c r="C2189" s="10"/>
      <c r="D2189" s="14"/>
      <c r="E2189" s="157"/>
      <c r="F2189" s="10"/>
      <c r="G2189" s="17"/>
      <c r="H2189" s="10"/>
      <c r="I2189" s="17"/>
      <c r="J2189" s="83"/>
      <c r="K2189" s="343"/>
      <c r="L2189" s="347"/>
      <c r="M2189" s="89">
        <f t="shared" si="39"/>
        <v>153</v>
      </c>
      <c r="N2189" s="10"/>
      <c r="O2189" s="22"/>
      <c r="P2189" s="21"/>
      <c r="Q2189" s="83"/>
      <c r="U2189" s="104" t="str">
        <f>IF(
  AND(
    TRIM(A2189)=TRIM(Enginuity!$A$1),
    TRIM(B2189)=TRIM(Enginuity!$A$17),
    Q2189&lt;&gt;"",
    Q2189&lt;&gt;0,
    OR(
      TRIM(C2189)=TRIM(Enginuity!$A$18),
      AND(UPPER(TRIM(M2189))="STD", TRIM(B2189)=TRIM(Enginuity!$A$17))
    ),
    OR(
      AND(LEFT(P2189,5)="1-Way", Enginuity!$B$13=1),
      AND(LEFT(P2189,5)="2-Way", OR(Enginuity!$B$13=2, Enginuity!$B$13=4)),
      AND(LEFT(P2189,5)="3-Way", OR(Enginuity!$B$13=3, Enginuity!$B$13=6)),
      AND(P2189="Inner Centre Jamb", OR(Enginuity!$B$13=4, Enginuity!$B$13=6)),
      AND(
        LEFT(P2189,5)&lt;&gt;"1-Way",
        LEFT(P2189,5)&lt;&gt;"2-Way",
        LEFT(P2189,5)&lt;&gt;"3-Way",
        P2189&lt;&gt;"Inner Centre Jamb"
      )
    ),
    IF(OR(Enginuity!$A$1="Frameless Glass",Enginuity!$A$1="Metal Work"),
      AND(TRIM(B2189)=TRIM(Enginuity!$A$17),TRIM(C2189)=TRIM(Enginuity!$A$18)),
      TRIM(B2189)=TRIM(Enginuity!$A$17)
    )
  ),
  ROW(),
  ""
)</f>
        <v/>
      </c>
    </row>
    <row r="2190" spans="1:21" x14ac:dyDescent="0.25">
      <c r="A2190" s="10"/>
      <c r="B2190" s="229"/>
      <c r="C2190" s="10"/>
      <c r="D2190" s="14"/>
      <c r="E2190" s="157"/>
      <c r="F2190" s="10"/>
      <c r="G2190" s="17"/>
      <c r="H2190" s="10"/>
      <c r="I2190" s="17"/>
      <c r="J2190" s="83"/>
      <c r="K2190" s="343"/>
      <c r="L2190" s="347"/>
      <c r="M2190" s="89">
        <f t="shared" si="39"/>
        <v>154</v>
      </c>
      <c r="N2190" s="10"/>
      <c r="O2190" s="22"/>
      <c r="P2190" s="14"/>
      <c r="Q2190" s="83"/>
      <c r="U2190" s="104" t="str">
        <f>IF(
  AND(
    TRIM(A2190)=TRIM(Enginuity!$A$1),
    TRIM(B2190)=TRIM(Enginuity!$A$17),
    Q2190&lt;&gt;"",
    Q2190&lt;&gt;0,
    OR(
      TRIM(C2190)=TRIM(Enginuity!$A$18),
      AND(UPPER(TRIM(M2190))="STD", TRIM(B2190)=TRIM(Enginuity!$A$17))
    ),
    OR(
      AND(LEFT(P2190,5)="1-Way", Enginuity!$B$13=1),
      AND(LEFT(P2190,5)="2-Way", OR(Enginuity!$B$13=2, Enginuity!$B$13=4)),
      AND(LEFT(P2190,5)="3-Way", OR(Enginuity!$B$13=3, Enginuity!$B$13=6)),
      AND(P2190="Inner Centre Jamb", OR(Enginuity!$B$13=4, Enginuity!$B$13=6)),
      AND(
        LEFT(P2190,5)&lt;&gt;"1-Way",
        LEFT(P2190,5)&lt;&gt;"2-Way",
        LEFT(P2190,5)&lt;&gt;"3-Way",
        P2190&lt;&gt;"Inner Centre Jamb"
      )
    ),
    IF(OR(Enginuity!$A$1="Frameless Glass",Enginuity!$A$1="Metal Work"),
      AND(TRIM(B2190)=TRIM(Enginuity!$A$17),TRIM(C2190)=TRIM(Enginuity!$A$18)),
      TRIM(B2190)=TRIM(Enginuity!$A$17)
    )
  ),
  ROW(),
  ""
)</f>
        <v/>
      </c>
    </row>
    <row r="2191" spans="1:21" x14ac:dyDescent="0.25">
      <c r="A2191" s="10"/>
      <c r="B2191" s="229"/>
      <c r="C2191" s="10"/>
      <c r="D2191" s="14"/>
      <c r="E2191" s="157"/>
      <c r="F2191" s="10"/>
      <c r="G2191" s="17"/>
      <c r="H2191" s="10"/>
      <c r="I2191" s="17"/>
      <c r="J2191" s="83"/>
      <c r="K2191" s="343"/>
      <c r="L2191" s="347"/>
      <c r="M2191" s="89">
        <f t="shared" si="39"/>
        <v>155</v>
      </c>
      <c r="N2191" s="10"/>
      <c r="O2191" s="22"/>
      <c r="P2191" s="14"/>
      <c r="Q2191" s="83"/>
      <c r="U2191" s="104" t="str">
        <f>IF(
  AND(
    TRIM(A2191)=TRIM(Enginuity!$A$1),
    TRIM(B2191)=TRIM(Enginuity!$A$17),
    Q2191&lt;&gt;"",
    Q2191&lt;&gt;0,
    OR(
      TRIM(C2191)=TRIM(Enginuity!$A$18),
      AND(UPPER(TRIM(M2191))="STD", TRIM(B2191)=TRIM(Enginuity!$A$17))
    ),
    OR(
      AND(LEFT(P2191,5)="1-Way", Enginuity!$B$13=1),
      AND(LEFT(P2191,5)="2-Way", OR(Enginuity!$B$13=2, Enginuity!$B$13=4)),
      AND(LEFT(P2191,5)="3-Way", OR(Enginuity!$B$13=3, Enginuity!$B$13=6)),
      AND(P2191="Inner Centre Jamb", OR(Enginuity!$B$13=4, Enginuity!$B$13=6)),
      AND(
        LEFT(P2191,5)&lt;&gt;"1-Way",
        LEFT(P2191,5)&lt;&gt;"2-Way",
        LEFT(P2191,5)&lt;&gt;"3-Way",
        P2191&lt;&gt;"Inner Centre Jamb"
      )
    ),
    IF(OR(Enginuity!$A$1="Frameless Glass",Enginuity!$A$1="Metal Work"),
      AND(TRIM(B2191)=TRIM(Enginuity!$A$17),TRIM(C2191)=TRIM(Enginuity!$A$18)),
      TRIM(B2191)=TRIM(Enginuity!$A$17)
    )
  ),
  ROW(),
  ""
)</f>
        <v/>
      </c>
    </row>
    <row r="2192" spans="1:21" x14ac:dyDescent="0.25">
      <c r="A2192" s="10"/>
      <c r="B2192" s="229"/>
      <c r="C2192" s="10"/>
      <c r="D2192" s="14"/>
      <c r="E2192" s="157"/>
      <c r="F2192" s="10"/>
      <c r="G2192" s="17"/>
      <c r="H2192" s="10"/>
      <c r="I2192" s="17"/>
      <c r="J2192" s="83"/>
      <c r="K2192" s="343"/>
      <c r="L2192" s="347"/>
      <c r="M2192" s="89">
        <f t="shared" si="39"/>
        <v>156</v>
      </c>
      <c r="N2192" s="10"/>
      <c r="O2192" s="22"/>
      <c r="P2192" s="14"/>
      <c r="Q2192" s="83"/>
      <c r="U2192" s="104" t="str">
        <f>IF(
  AND(
    TRIM(A2192)=TRIM(Enginuity!$A$1),
    TRIM(B2192)=TRIM(Enginuity!$A$17),
    Q2192&lt;&gt;"",
    Q2192&lt;&gt;0,
    OR(
      TRIM(C2192)=TRIM(Enginuity!$A$18),
      AND(UPPER(TRIM(M2192))="STD", TRIM(B2192)=TRIM(Enginuity!$A$17))
    ),
    OR(
      AND(LEFT(P2192,5)="1-Way", Enginuity!$B$13=1),
      AND(LEFT(P2192,5)="2-Way", OR(Enginuity!$B$13=2, Enginuity!$B$13=4)),
      AND(LEFT(P2192,5)="3-Way", OR(Enginuity!$B$13=3, Enginuity!$B$13=6)),
      AND(P2192="Inner Centre Jamb", OR(Enginuity!$B$13=4, Enginuity!$B$13=6)),
      AND(
        LEFT(P2192,5)&lt;&gt;"1-Way",
        LEFT(P2192,5)&lt;&gt;"2-Way",
        LEFT(P2192,5)&lt;&gt;"3-Way",
        P2192&lt;&gt;"Inner Centre Jamb"
      )
    ),
    IF(OR(Enginuity!$A$1="Frameless Glass",Enginuity!$A$1="Metal Work"),
      AND(TRIM(B2192)=TRIM(Enginuity!$A$17),TRIM(C2192)=TRIM(Enginuity!$A$18)),
      TRIM(B2192)=TRIM(Enginuity!$A$17)
    )
  ),
  ROW(),
  ""
)</f>
        <v/>
      </c>
    </row>
    <row r="2193" spans="1:21" x14ac:dyDescent="0.25">
      <c r="A2193" s="17" t="s">
        <v>768</v>
      </c>
      <c r="B2193" s="230"/>
      <c r="C2193" s="17"/>
      <c r="D2193" s="18"/>
      <c r="E2193" s="238"/>
      <c r="F2193" s="17"/>
      <c r="G2193" s="17"/>
      <c r="H2193" s="17"/>
      <c r="I2193" s="17"/>
      <c r="J2193" s="84"/>
      <c r="K2193" s="343"/>
      <c r="L2193" s="347"/>
      <c r="M2193" s="90"/>
      <c r="N2193" s="17"/>
      <c r="O2193" s="25"/>
      <c r="P2193" s="92"/>
      <c r="Q2193" s="179"/>
      <c r="U2193" s="104" t="str">
        <f>IF(
  AND(
    TRIM(A2193)=TRIM(Enginuity!$A$1),
    TRIM(B2193)=TRIM(Enginuity!$A$17),
    Q2193&lt;&gt;"",
    Q2193&lt;&gt;0,
    OR(
      TRIM(C2193)=TRIM(Enginuity!$A$18),
      AND(UPPER(TRIM(M2193))="STD", TRIM(B2193)=TRIM(Enginuity!$A$17))
    ),
    OR(
      AND(LEFT(P2193,5)="1-Way", Enginuity!$B$13=1),
      AND(LEFT(P2193,5)="2-Way", OR(Enginuity!$B$13=2, Enginuity!$B$13=4)),
      AND(LEFT(P2193,5)="3-Way", OR(Enginuity!$B$13=3, Enginuity!$B$13=6)),
      AND(P2193="Inner Centre Jamb", OR(Enginuity!$B$13=4, Enginuity!$B$13=6)),
      AND(
        LEFT(P2193,5)&lt;&gt;"1-Way",
        LEFT(P2193,5)&lt;&gt;"2-Way",
        LEFT(P2193,5)&lt;&gt;"3-Way",
        P2193&lt;&gt;"Inner Centre Jamb"
      )
    ),
    IF(OR(Enginuity!$A$1="Frameless Glass",Enginuity!$A$1="Metal Work"),
      AND(TRIM(B2193)=TRIM(Enginuity!$A$17),TRIM(C2193)=TRIM(Enginuity!$A$18)),
      TRIM(B2193)=TRIM(Enginuity!$A$17)
    )
  ),
  ROW(),
  ""
)</f>
        <v/>
      </c>
    </row>
    <row r="2194" spans="1:21" x14ac:dyDescent="0.25">
      <c r="A2194" s="10" t="s">
        <v>254</v>
      </c>
      <c r="B2194" s="229" t="s">
        <v>1513</v>
      </c>
      <c r="C2194" s="10" t="s">
        <v>107</v>
      </c>
      <c r="D2194" s="14" t="str" cm="1">
        <f t="array" ref="D2194:D2203">IFERROR(INDEX(_xlfn._xlws.FILTER(AllMaterialsbak!$BA$2:$BA$30, AllMaterialsbak!$BA$2:$BA$30&lt;&gt;""), _xlfn.SEQUENCE(10)), "")</f>
        <v>Default</v>
      </c>
      <c r="E2194" s="157" t="s">
        <v>257</v>
      </c>
      <c r="F2194" s="14" t="s">
        <v>352</v>
      </c>
      <c r="G2194" s="17" t="s">
        <v>9</v>
      </c>
      <c r="H2194" s="10"/>
      <c r="I2194" s="17"/>
      <c r="J2194" s="83"/>
      <c r="K2194" s="344">
        <v>0.59596199999999999</v>
      </c>
      <c r="L2194" s="347">
        <v>914.4</v>
      </c>
      <c r="M2194" s="89">
        <v>1</v>
      </c>
      <c r="N2194" s="10" t="s">
        <v>103</v>
      </c>
      <c r="O2194" s="22">
        <v>3.9</v>
      </c>
      <c r="P2194" s="14" t="s">
        <v>281</v>
      </c>
      <c r="Q2194" s="98">
        <f>Enginuity!$B$6</f>
        <v>20</v>
      </c>
      <c r="U2194" s="104" t="str">
        <f>IF(
  AND(
    TRIM(A2194)=TRIM(Enginuity!$A$1),
    TRIM(B2194)=TRIM(Enginuity!$A$17),
    Q2194&lt;&gt;"",
    Q2194&lt;&gt;0,
    OR(
      TRIM(C2194)=TRIM(Enginuity!$A$18),
      AND(UPPER(TRIM(M2194))="STD", TRIM(B2194)=TRIM(Enginuity!$A$17))
    ),
    OR(
      AND(LEFT(P2194,5)="1-Way", Enginuity!$B$13=1),
      AND(LEFT(P2194,5)="2-Way", OR(Enginuity!$B$13=2, Enginuity!$B$13=4)),
      AND(LEFT(P2194,5)="3-Way", OR(Enginuity!$B$13=3, Enginuity!$B$13=6)),
      AND(P2194="Inner Centre Jamb", OR(Enginuity!$B$13=4, Enginuity!$B$13=6)),
      AND(
        LEFT(P2194,5)&lt;&gt;"1-Way",
        LEFT(P2194,5)&lt;&gt;"2-Way",
        LEFT(P2194,5)&lt;&gt;"3-Way",
        P2194&lt;&gt;"Inner Centre Jamb"
      )
    ),
    IF(OR(Enginuity!$A$1="Frameless Glass",Enginuity!$A$1="Metal Work"),
      AND(TRIM(B2194)=TRIM(Enginuity!$A$17),TRIM(C2194)=TRIM(Enginuity!$A$18)),
      TRIM(B2194)=TRIM(Enginuity!$A$17)
    )
  ),
  ROW(),
  ""
)</f>
        <v/>
      </c>
    </row>
    <row r="2195" spans="1:21" x14ac:dyDescent="0.25">
      <c r="A2195" s="10" t="s">
        <v>254</v>
      </c>
      <c r="B2195" s="229" t="s">
        <v>1513</v>
      </c>
      <c r="C2195" s="10" t="s">
        <v>107</v>
      </c>
      <c r="D2195" s="14" t="str">
        <v xml:space="preserve">2" Louver Blade N/A </v>
      </c>
      <c r="E2195" s="157" t="s">
        <v>269</v>
      </c>
      <c r="F2195" s="14" t="s">
        <v>356</v>
      </c>
      <c r="G2195" s="17"/>
      <c r="H2195" s="10"/>
      <c r="I2195" s="17"/>
      <c r="J2195" s="83"/>
      <c r="K2195" s="343"/>
      <c r="L2195" s="347"/>
      <c r="M2195" s="89">
        <v>2</v>
      </c>
      <c r="N2195" s="10" t="s">
        <v>103</v>
      </c>
      <c r="O2195" s="22">
        <v>3.4</v>
      </c>
      <c r="P2195" s="14" t="s">
        <v>284</v>
      </c>
      <c r="Q2195" s="98">
        <f>Enginuity!$B$6</f>
        <v>20</v>
      </c>
      <c r="U2195" s="104" t="str">
        <f>IF(
  AND(
    TRIM(A2195)=TRIM(Enginuity!$A$1),
    TRIM(B2195)=TRIM(Enginuity!$A$17),
    Q2195&lt;&gt;"",
    Q2195&lt;&gt;0,
    OR(
      TRIM(C2195)=TRIM(Enginuity!$A$18),
      AND(UPPER(TRIM(M2195))="STD", TRIM(B2195)=TRIM(Enginuity!$A$17))
    ),
    OR(
      AND(LEFT(P2195,5)="1-Way", Enginuity!$B$13=1),
      AND(LEFT(P2195,5)="2-Way", OR(Enginuity!$B$13=2, Enginuity!$B$13=4)),
      AND(LEFT(P2195,5)="3-Way", OR(Enginuity!$B$13=3, Enginuity!$B$13=6)),
      AND(P2195="Inner Centre Jamb", OR(Enginuity!$B$13=4, Enginuity!$B$13=6)),
      AND(
        LEFT(P2195,5)&lt;&gt;"1-Way",
        LEFT(P2195,5)&lt;&gt;"2-Way",
        LEFT(P2195,5)&lt;&gt;"3-Way",
        P2195&lt;&gt;"Inner Centre Jamb"
      )
    ),
    IF(OR(Enginuity!$A$1="Frameless Glass",Enginuity!$A$1="Metal Work"),
      AND(TRIM(B2195)=TRIM(Enginuity!$A$17),TRIM(C2195)=TRIM(Enginuity!$A$18)),
      TRIM(B2195)=TRIM(Enginuity!$A$17)
    )
  ),
  ROW(),
  ""
)</f>
        <v/>
      </c>
    </row>
    <row r="2196" spans="1:21" x14ac:dyDescent="0.25">
      <c r="A2196" s="10" t="s">
        <v>254</v>
      </c>
      <c r="B2196" s="229" t="s">
        <v>1513</v>
      </c>
      <c r="C2196" s="10" t="s">
        <v>107</v>
      </c>
      <c r="D2196" s="14" t="str">
        <v>2" Louver Blade P/C</v>
      </c>
      <c r="E2196" s="157"/>
      <c r="F2196" s="10"/>
      <c r="G2196" s="17"/>
      <c r="H2196" s="10"/>
      <c r="I2196" s="17"/>
      <c r="J2196" s="83"/>
      <c r="K2196" s="343"/>
      <c r="L2196" s="347"/>
      <c r="M2196" s="89">
        <v>3</v>
      </c>
      <c r="N2196" s="10" t="s">
        <v>103</v>
      </c>
      <c r="O2196" s="22">
        <v>3</v>
      </c>
      <c r="P2196" s="14" t="s">
        <v>287</v>
      </c>
      <c r="Q2196" s="83">
        <f>IF(Enginuity!$B$7&gt;0, 2 * Enginuity!$B$7, "")</f>
        <v>26</v>
      </c>
      <c r="U2196" s="104" t="str">
        <f>IF(
  AND(
    TRIM(A2196)=TRIM(Enginuity!$A$1),
    TRIM(B2196)=TRIM(Enginuity!$A$17),
    Q2196&lt;&gt;"",
    Q2196&lt;&gt;0,
    OR(
      TRIM(C2196)=TRIM(Enginuity!$A$18),
      AND(UPPER(TRIM(M2196))="STD", TRIM(B2196)=TRIM(Enginuity!$A$17))
    ),
    OR(
      AND(LEFT(P2196,5)="1-Way", Enginuity!$B$13=1),
      AND(LEFT(P2196,5)="2-Way", OR(Enginuity!$B$13=2, Enginuity!$B$13=4)),
      AND(LEFT(P2196,5)="3-Way", OR(Enginuity!$B$13=3, Enginuity!$B$13=6)),
      AND(P2196="Inner Centre Jamb", OR(Enginuity!$B$13=4, Enginuity!$B$13=6)),
      AND(
        LEFT(P2196,5)&lt;&gt;"1-Way",
        LEFT(P2196,5)&lt;&gt;"2-Way",
        LEFT(P2196,5)&lt;&gt;"3-Way",
        P2196&lt;&gt;"Inner Centre Jamb"
      )
    ),
    IF(OR(Enginuity!$A$1="Frameless Glass",Enginuity!$A$1="Metal Work"),
      AND(TRIM(B2196)=TRIM(Enginuity!$A$17),TRIM(C2196)=TRIM(Enginuity!$A$18)),
      TRIM(B2196)=TRIM(Enginuity!$A$17)
    )
  ),
  ROW(),
  ""
)</f>
        <v/>
      </c>
    </row>
    <row r="2197" spans="1:21" x14ac:dyDescent="0.25">
      <c r="A2197" s="10" t="s">
        <v>254</v>
      </c>
      <c r="B2197" s="229" t="s">
        <v>1513</v>
      </c>
      <c r="C2197" s="10" t="s">
        <v>107</v>
      </c>
      <c r="D2197" s="14" t="str">
        <v xml:space="preserve">5" Louver Blade N/A </v>
      </c>
      <c r="E2197" s="157"/>
      <c r="F2197" s="10"/>
      <c r="G2197" s="17"/>
      <c r="H2197" s="10"/>
      <c r="I2197" s="17"/>
      <c r="J2197" s="83"/>
      <c r="K2197" s="343"/>
      <c r="L2197" s="347"/>
      <c r="M2197" s="89">
        <v>4</v>
      </c>
      <c r="N2197" s="10" t="s">
        <v>103</v>
      </c>
      <c r="O2197" s="22">
        <v>6.4</v>
      </c>
      <c r="P2197" s="14" t="s">
        <v>282</v>
      </c>
      <c r="Q2197" s="83">
        <f>Enginuity!$B$6*2</f>
        <v>40</v>
      </c>
      <c r="U2197" s="104" t="str">
        <f>IF(
  AND(
    TRIM(A2197)=TRIM(Enginuity!$A$1),
    TRIM(B2197)=TRIM(Enginuity!$A$17),
    Q2197&lt;&gt;"",
    Q2197&lt;&gt;0,
    OR(
      TRIM(C2197)=TRIM(Enginuity!$A$18),
      AND(UPPER(TRIM(M2197))="STD", TRIM(B2197)=TRIM(Enginuity!$A$17))
    ),
    OR(
      AND(LEFT(P2197,5)="1-Way", Enginuity!$B$13=1),
      AND(LEFT(P2197,5)="2-Way", OR(Enginuity!$B$13=2, Enginuity!$B$13=4)),
      AND(LEFT(P2197,5)="3-Way", OR(Enginuity!$B$13=3, Enginuity!$B$13=6)),
      AND(P2197="Inner Centre Jamb", OR(Enginuity!$B$13=4, Enginuity!$B$13=6)),
      AND(
        LEFT(P2197,5)&lt;&gt;"1-Way",
        LEFT(P2197,5)&lt;&gt;"2-Way",
        LEFT(P2197,5)&lt;&gt;"3-Way",
        P2197&lt;&gt;"Inner Centre Jamb"
      )
    ),
    IF(OR(Enginuity!$A$1="Frameless Glass",Enginuity!$A$1="Metal Work"),
      AND(TRIM(B2197)=TRIM(Enginuity!$A$17),TRIM(C2197)=TRIM(Enginuity!$A$18)),
      TRIM(B2197)=TRIM(Enginuity!$A$17)
    )
  ),
  ROW(),
  ""
)</f>
        <v/>
      </c>
    </row>
    <row r="2198" spans="1:21" x14ac:dyDescent="0.25">
      <c r="A2198" s="10" t="s">
        <v>254</v>
      </c>
      <c r="B2198" s="229" t="s">
        <v>1513</v>
      </c>
      <c r="C2198" s="10" t="s">
        <v>107</v>
      </c>
      <c r="D2198" s="14" t="str">
        <v>5" Louver Blade P/C</v>
      </c>
      <c r="E2198" s="157"/>
      <c r="F2198" s="10"/>
      <c r="G2198" s="17"/>
      <c r="H2198" s="10"/>
      <c r="I2198" s="17"/>
      <c r="J2198" s="83"/>
      <c r="K2198" s="343"/>
      <c r="L2198" s="347"/>
      <c r="M2198" s="89">
        <v>5</v>
      </c>
      <c r="N2198" s="10" t="s">
        <v>103</v>
      </c>
      <c r="O2198" s="22">
        <v>5.0999999999999996</v>
      </c>
      <c r="P2198" s="14" t="s">
        <v>285</v>
      </c>
      <c r="Q2198" s="83">
        <f>Enginuity!$B$6*2</f>
        <v>40</v>
      </c>
      <c r="U2198" s="104" t="str">
        <f>IF(
  AND(
    TRIM(A2198)=TRIM(Enginuity!$A$1),
    TRIM(B2198)=TRIM(Enginuity!$A$17),
    Q2198&lt;&gt;"",
    Q2198&lt;&gt;0,
    OR(
      TRIM(C2198)=TRIM(Enginuity!$A$18),
      AND(UPPER(TRIM(M2198))="STD", TRIM(B2198)=TRIM(Enginuity!$A$17))
    ),
    OR(
      AND(LEFT(P2198,5)="1-Way", Enginuity!$B$13=1),
      AND(LEFT(P2198,5)="2-Way", OR(Enginuity!$B$13=2, Enginuity!$B$13=4)),
      AND(LEFT(P2198,5)="3-Way", OR(Enginuity!$B$13=3, Enginuity!$B$13=6)),
      AND(P2198="Inner Centre Jamb", OR(Enginuity!$B$13=4, Enginuity!$B$13=6)),
      AND(
        LEFT(P2198,5)&lt;&gt;"1-Way",
        LEFT(P2198,5)&lt;&gt;"2-Way",
        LEFT(P2198,5)&lt;&gt;"3-Way",
        P2198&lt;&gt;"Inner Centre Jamb"
      )
    ),
    IF(OR(Enginuity!$A$1="Frameless Glass",Enginuity!$A$1="Metal Work"),
      AND(TRIM(B2198)=TRIM(Enginuity!$A$17),TRIM(C2198)=TRIM(Enginuity!$A$18)),
      TRIM(B2198)=TRIM(Enginuity!$A$17)
    )
  ),
  ROW(),
  ""
)</f>
        <v/>
      </c>
    </row>
    <row r="2199" spans="1:21" x14ac:dyDescent="0.25">
      <c r="A2199" s="10" t="s">
        <v>254</v>
      </c>
      <c r="B2199" s="229" t="s">
        <v>1513</v>
      </c>
      <c r="C2199" s="10" t="s">
        <v>107</v>
      </c>
      <c r="D2199" s="14" t="str">
        <v/>
      </c>
      <c r="E2199" s="157"/>
      <c r="F2199" s="10"/>
      <c r="G2199" s="17"/>
      <c r="H2199" s="10"/>
      <c r="I2199" s="17"/>
      <c r="J2199" s="83"/>
      <c r="K2199" s="343"/>
      <c r="L2199" s="347"/>
      <c r="M2199" s="89">
        <v>6</v>
      </c>
      <c r="N2199" s="10" t="s">
        <v>103</v>
      </c>
      <c r="O2199" s="22">
        <v>5.3</v>
      </c>
      <c r="P2199" s="14" t="s">
        <v>288</v>
      </c>
      <c r="Q2199" s="83">
        <f>IF(Enginuity!$B$7&gt;0, 2 * Enginuity!$B$7, "")</f>
        <v>26</v>
      </c>
      <c r="U2199" s="104" t="str">
        <f>IF(
  AND(
    TRIM(A2199)=TRIM(Enginuity!$A$1),
    TRIM(B2199)=TRIM(Enginuity!$A$17),
    Q2199&lt;&gt;"",
    Q2199&lt;&gt;0,
    OR(
      TRIM(C2199)=TRIM(Enginuity!$A$18),
      AND(UPPER(TRIM(M2199))="STD", TRIM(B2199)=TRIM(Enginuity!$A$17))
    ),
    OR(
      AND(LEFT(P2199,5)="1-Way", Enginuity!$B$13=1),
      AND(LEFT(P2199,5)="2-Way", OR(Enginuity!$B$13=2, Enginuity!$B$13=4)),
      AND(LEFT(P2199,5)="3-Way", OR(Enginuity!$B$13=3, Enginuity!$B$13=6)),
      AND(P2199="Inner Centre Jamb", OR(Enginuity!$B$13=4, Enginuity!$B$13=6)),
      AND(
        LEFT(P2199,5)&lt;&gt;"1-Way",
        LEFT(P2199,5)&lt;&gt;"2-Way",
        LEFT(P2199,5)&lt;&gt;"3-Way",
        P2199&lt;&gt;"Inner Centre Jamb"
      )
    ),
    IF(OR(Enginuity!$A$1="Frameless Glass",Enginuity!$A$1="Metal Work"),
      AND(TRIM(B2199)=TRIM(Enginuity!$A$17),TRIM(C2199)=TRIM(Enginuity!$A$18)),
      TRIM(B2199)=TRIM(Enginuity!$A$17)
    )
  ),
  ROW(),
  ""
)</f>
        <v/>
      </c>
    </row>
    <row r="2200" spans="1:21" x14ac:dyDescent="0.25">
      <c r="A2200" s="10" t="s">
        <v>254</v>
      </c>
      <c r="B2200" s="229" t="s">
        <v>1513</v>
      </c>
      <c r="C2200" s="10" t="s">
        <v>107</v>
      </c>
      <c r="D2200" s="14" t="str">
        <v/>
      </c>
      <c r="E2200" s="157"/>
      <c r="F2200" s="10"/>
      <c r="G2200" s="17"/>
      <c r="H2200" s="10"/>
      <c r="I2200" s="17"/>
      <c r="J2200" s="83"/>
      <c r="K2200" s="343"/>
      <c r="L2200" s="347"/>
      <c r="M2200" s="89">
        <v>7</v>
      </c>
      <c r="N2200" s="10" t="s">
        <v>103</v>
      </c>
      <c r="O2200" s="22">
        <v>2.2000000000000002</v>
      </c>
      <c r="P2200" s="14" t="s">
        <v>289</v>
      </c>
      <c r="Q2200" s="83">
        <f>IF(Enginuity!$B$6&gt;0, Enginuity!$B$6, "")</f>
        <v>20</v>
      </c>
      <c r="U2200" s="104" t="str">
        <f>IF(
  AND(
    TRIM(A2200)=TRIM(Enginuity!$A$1),
    TRIM(B2200)=TRIM(Enginuity!$A$17),
    Q2200&lt;&gt;"",
    Q2200&lt;&gt;0,
    OR(
      TRIM(C2200)=TRIM(Enginuity!$A$18),
      AND(UPPER(TRIM(M2200))="STD", TRIM(B2200)=TRIM(Enginuity!$A$17))
    ),
    OR(
      AND(LEFT(P2200,5)="1-Way", Enginuity!$B$13=1),
      AND(LEFT(P2200,5)="2-Way", OR(Enginuity!$B$13=2, Enginuity!$B$13=4)),
      AND(LEFT(P2200,5)="3-Way", OR(Enginuity!$B$13=3, Enginuity!$B$13=6)),
      AND(P2200="Inner Centre Jamb", OR(Enginuity!$B$13=4, Enginuity!$B$13=6)),
      AND(
        LEFT(P2200,5)&lt;&gt;"1-Way",
        LEFT(P2200,5)&lt;&gt;"2-Way",
        LEFT(P2200,5)&lt;&gt;"3-Way",
        P2200&lt;&gt;"Inner Centre Jamb"
      )
    ),
    IF(OR(Enginuity!$A$1="Frameless Glass",Enginuity!$A$1="Metal Work"),
      AND(TRIM(B2200)=TRIM(Enginuity!$A$17),TRIM(C2200)=TRIM(Enginuity!$A$18)),
      TRIM(B2200)=TRIM(Enginuity!$A$17)
    )
  ),
  ROW(),
  ""
)</f>
        <v/>
      </c>
    </row>
    <row r="2201" spans="1:21" x14ac:dyDescent="0.25">
      <c r="A2201" s="10" t="s">
        <v>254</v>
      </c>
      <c r="B2201" s="229" t="s">
        <v>1513</v>
      </c>
      <c r="C2201" s="10" t="s">
        <v>107</v>
      </c>
      <c r="D2201" s="14" t="str">
        <v/>
      </c>
      <c r="E2201" s="157"/>
      <c r="F2201" s="10"/>
      <c r="G2201" s="17"/>
      <c r="H2201" s="10"/>
      <c r="I2201" s="17"/>
      <c r="J2201" s="83"/>
      <c r="K2201" s="343"/>
      <c r="L2201" s="347"/>
      <c r="M2201" s="89">
        <v>8</v>
      </c>
      <c r="N2201" s="10" t="s">
        <v>103</v>
      </c>
      <c r="O2201" s="22">
        <v>4.0999999999999996</v>
      </c>
      <c r="P2201" s="14" t="s">
        <v>290</v>
      </c>
      <c r="Q2201" s="83">
        <f>IF(Enginuity!$B$6&gt;0, Enginuity!$B$6, "")</f>
        <v>20</v>
      </c>
      <c r="U2201" s="104" t="str">
        <f>IF(
  AND(
    TRIM(A2201)=TRIM(Enginuity!$A$1),
    TRIM(B2201)=TRIM(Enginuity!$A$17),
    Q2201&lt;&gt;"",
    Q2201&lt;&gt;0,
    OR(
      TRIM(C2201)=TRIM(Enginuity!$A$18),
      AND(UPPER(TRIM(M2201))="STD", TRIM(B2201)=TRIM(Enginuity!$A$17))
    ),
    OR(
      AND(LEFT(P2201,5)="1-Way", Enginuity!$B$13=1),
      AND(LEFT(P2201,5)="2-Way", OR(Enginuity!$B$13=2, Enginuity!$B$13=4)),
      AND(LEFT(P2201,5)="3-Way", OR(Enginuity!$B$13=3, Enginuity!$B$13=6)),
      AND(P2201="Inner Centre Jamb", OR(Enginuity!$B$13=4, Enginuity!$B$13=6)),
      AND(
        LEFT(P2201,5)&lt;&gt;"1-Way",
        LEFT(P2201,5)&lt;&gt;"2-Way",
        LEFT(P2201,5)&lt;&gt;"3-Way",
        P2201&lt;&gt;"Inner Centre Jamb"
      )
    ),
    IF(OR(Enginuity!$A$1="Frameless Glass",Enginuity!$A$1="Metal Work"),
      AND(TRIM(B2201)=TRIM(Enginuity!$A$17),TRIM(C2201)=TRIM(Enginuity!$A$18)),
      TRIM(B2201)=TRIM(Enginuity!$A$17)
    )
  ),
  ROW(),
  ""
)</f>
        <v/>
      </c>
    </row>
    <row r="2202" spans="1:21" x14ac:dyDescent="0.25">
      <c r="A2202" s="10" t="s">
        <v>254</v>
      </c>
      <c r="B2202" s="229" t="s">
        <v>1513</v>
      </c>
      <c r="C2202" s="10" t="s">
        <v>107</v>
      </c>
      <c r="D2202" s="14" t="str">
        <v/>
      </c>
      <c r="E2202" s="157"/>
      <c r="F2202" s="10"/>
      <c r="G2202" s="17"/>
      <c r="H2202" s="10"/>
      <c r="I2202" s="17"/>
      <c r="J2202" s="83"/>
      <c r="K2202" s="343"/>
      <c r="L2202" s="347"/>
      <c r="M2202" s="89">
        <v>9</v>
      </c>
      <c r="N2202" s="10" t="s">
        <v>103</v>
      </c>
      <c r="O2202" s="22">
        <v>3.6</v>
      </c>
      <c r="P2202" s="14" t="s">
        <v>262</v>
      </c>
      <c r="Q2202" s="83">
        <f>IF(AND(Enginuity!$B$7&gt;0, Enginuity!$B$13&gt;0), Enginuity!$B$7 * Enginuity!$B$13, "")</f>
        <v>91</v>
      </c>
      <c r="U2202" s="104" t="str">
        <f>IF(
  AND(
    TRIM(A2202)=TRIM(Enginuity!$A$1),
    TRIM(B2202)=TRIM(Enginuity!$A$17),
    Q2202&lt;&gt;"",
    Q2202&lt;&gt;0,
    OR(
      TRIM(C2202)=TRIM(Enginuity!$A$18),
      AND(UPPER(TRIM(M2202))="STD", TRIM(B2202)=TRIM(Enginuity!$A$17))
    ),
    OR(
      AND(LEFT(P2202,5)="1-Way", Enginuity!$B$13=1),
      AND(LEFT(P2202,5)="2-Way", OR(Enginuity!$B$13=2, Enginuity!$B$13=4)),
      AND(LEFT(P2202,5)="3-Way", OR(Enginuity!$B$13=3, Enginuity!$B$13=6)),
      AND(P2202="Inner Centre Jamb", OR(Enginuity!$B$13=4, Enginuity!$B$13=6)),
      AND(
        LEFT(P2202,5)&lt;&gt;"1-Way",
        LEFT(P2202,5)&lt;&gt;"2-Way",
        LEFT(P2202,5)&lt;&gt;"3-Way",
        P2202&lt;&gt;"Inner Centre Jamb"
      )
    ),
    IF(OR(Enginuity!$A$1="Frameless Glass",Enginuity!$A$1="Metal Work"),
      AND(TRIM(B2202)=TRIM(Enginuity!$A$17),TRIM(C2202)=TRIM(Enginuity!$A$18)),
      TRIM(B2202)=TRIM(Enginuity!$A$17)
    )
  ),
  ROW(),
  ""
)</f>
        <v/>
      </c>
    </row>
    <row r="2203" spans="1:21" x14ac:dyDescent="0.25">
      <c r="A2203" s="10" t="s">
        <v>254</v>
      </c>
      <c r="B2203" s="229" t="s">
        <v>1513</v>
      </c>
      <c r="C2203" s="10" t="s">
        <v>107</v>
      </c>
      <c r="D2203" s="14" t="str">
        <v/>
      </c>
      <c r="E2203" s="157"/>
      <c r="F2203" s="10"/>
      <c r="G2203" s="17"/>
      <c r="H2203" s="10"/>
      <c r="I2203" s="17"/>
      <c r="J2203" s="83"/>
      <c r="K2203" s="343"/>
      <c r="L2203" s="347"/>
      <c r="M2203" s="89">
        <v>10</v>
      </c>
      <c r="N2203" s="10" t="s">
        <v>103</v>
      </c>
      <c r="O2203" s="22">
        <v>3.5</v>
      </c>
      <c r="P2203" s="14" t="s">
        <v>267</v>
      </c>
      <c r="Q2203" s="83">
        <f>IF(AND(Enginuity!$B$7&gt;0, Enginuity!$B$13&gt;0), Enginuity!$B$7 * Enginuity!$B$13, "")</f>
        <v>91</v>
      </c>
      <c r="U2203" s="104" t="str">
        <f>IF(
  AND(
    TRIM(A2203)=TRIM(Enginuity!$A$1),
    TRIM(B2203)=TRIM(Enginuity!$A$17),
    Q2203&lt;&gt;"",
    Q2203&lt;&gt;0,
    OR(
      TRIM(C2203)=TRIM(Enginuity!$A$18),
      AND(UPPER(TRIM(M2203))="STD", TRIM(B2203)=TRIM(Enginuity!$A$17))
    ),
    OR(
      AND(LEFT(P2203,5)="1-Way", Enginuity!$B$13=1),
      AND(LEFT(P2203,5)="2-Way", OR(Enginuity!$B$13=2, Enginuity!$B$13=4)),
      AND(LEFT(P2203,5)="3-Way", OR(Enginuity!$B$13=3, Enginuity!$B$13=6)),
      AND(P2203="Inner Centre Jamb", OR(Enginuity!$B$13=4, Enginuity!$B$13=6)),
      AND(
        LEFT(P2203,5)&lt;&gt;"1-Way",
        LEFT(P2203,5)&lt;&gt;"2-Way",
        LEFT(P2203,5)&lt;&gt;"3-Way",
        P2203&lt;&gt;"Inner Centre Jamb"
      )
    ),
    IF(OR(Enginuity!$A$1="Frameless Glass",Enginuity!$A$1="Metal Work"),
      AND(TRIM(B2203)=TRIM(Enginuity!$A$17),TRIM(C2203)=TRIM(Enginuity!$A$18)),
      TRIM(B2203)=TRIM(Enginuity!$A$17)
    )
  ),
  ROW(),
  ""
)</f>
        <v/>
      </c>
    </row>
    <row r="2204" spans="1:21" x14ac:dyDescent="0.25">
      <c r="A2204" s="10" t="s">
        <v>254</v>
      </c>
      <c r="B2204" s="229" t="s">
        <v>1513</v>
      </c>
      <c r="C2204" s="10" t="s">
        <v>107</v>
      </c>
      <c r="D2204" s="14"/>
      <c r="E2204" s="157"/>
      <c r="F2204" s="10"/>
      <c r="G2204" s="17"/>
      <c r="H2204" s="10"/>
      <c r="I2204" s="17"/>
      <c r="J2204" s="83"/>
      <c r="K2204" s="343"/>
      <c r="L2204" s="347"/>
      <c r="M2204" s="89">
        <v>11</v>
      </c>
      <c r="N2204" s="10" t="s">
        <v>103</v>
      </c>
      <c r="O2204" s="22">
        <v>1.8</v>
      </c>
      <c r="P2204" s="14" t="s">
        <v>109</v>
      </c>
      <c r="Q2204" s="83">
        <f>IF(Enginuity!$B$7&gt;0, Enginuity!$B$7, "")</f>
        <v>13</v>
      </c>
      <c r="U2204" s="104" t="str">
        <f>IF(
  AND(
    TRIM(A2204)=TRIM(Enginuity!$A$1),
    TRIM(B2204)=TRIM(Enginuity!$A$17),
    Q2204&lt;&gt;"",
    Q2204&lt;&gt;0,
    OR(
      TRIM(C2204)=TRIM(Enginuity!$A$18),
      AND(UPPER(TRIM(M2204))="STD", TRIM(B2204)=TRIM(Enginuity!$A$17))
    ),
    OR(
      AND(LEFT(P2204,5)="1-Way", Enginuity!$B$13=1),
      AND(LEFT(P2204,5)="2-Way", OR(Enginuity!$B$13=2, Enginuity!$B$13=4)),
      AND(LEFT(P2204,5)="3-Way", OR(Enginuity!$B$13=3, Enginuity!$B$13=6)),
      AND(P2204="Inner Centre Jamb", OR(Enginuity!$B$13=4, Enginuity!$B$13=6)),
      AND(
        LEFT(P2204,5)&lt;&gt;"1-Way",
        LEFT(P2204,5)&lt;&gt;"2-Way",
        LEFT(P2204,5)&lt;&gt;"3-Way",
        P2204&lt;&gt;"Inner Centre Jamb"
      )
    ),
    IF(OR(Enginuity!$A$1="Frameless Glass",Enginuity!$A$1="Metal Work"),
      AND(TRIM(B2204)=TRIM(Enginuity!$A$17),TRIM(C2204)=TRIM(Enginuity!$A$18)),
      TRIM(B2204)=TRIM(Enginuity!$A$17)
    )
  ),
  ROW(),
  ""
)</f>
        <v/>
      </c>
    </row>
    <row r="2205" spans="1:21" x14ac:dyDescent="0.25">
      <c r="A2205" s="10" t="s">
        <v>254</v>
      </c>
      <c r="B2205" s="229" t="s">
        <v>1513</v>
      </c>
      <c r="C2205" s="10" t="s">
        <v>107</v>
      </c>
      <c r="D2205" s="14"/>
      <c r="E2205" s="157"/>
      <c r="F2205" s="10"/>
      <c r="G2205" s="17"/>
      <c r="H2205" s="10"/>
      <c r="I2205" s="17"/>
      <c r="J2205" s="83"/>
      <c r="K2205" s="343"/>
      <c r="L2205" s="347"/>
      <c r="M2205" s="89">
        <v>12</v>
      </c>
      <c r="N2205" s="10" t="s">
        <v>176</v>
      </c>
      <c r="O2205" s="22" t="str">
        <f>IF(Enginuity!$A$20="", "",
 IF(Enginuity!$A$20="Lattice Design", $F$9,
 IF(Enginuity!$A$20="Lattice Design 12 Box / Panel", $F$10,
 ""))
)</f>
        <v/>
      </c>
      <c r="P2205" s="5" t="str">
        <f>Enginuity!$A$20</f>
        <v>Z-Louvre Blade - 5"</v>
      </c>
      <c r="Q2205" s="22" t="str">
        <f>IF(O2205&lt;&gt;"",1,"")</f>
        <v/>
      </c>
      <c r="U2205" s="104" t="str">
        <f>IF(
  AND(
    TRIM(A2205)=TRIM(Enginuity!$A$1),
    TRIM(B2205)=TRIM(Enginuity!$A$17),
    Q2205&lt;&gt;"",
    Q2205&lt;&gt;0,
    OR(
      TRIM(C2205)=TRIM(Enginuity!$A$18),
      AND(UPPER(TRIM(M2205))="STD", TRIM(B2205)=TRIM(Enginuity!$A$17))
    ),
    OR(
      AND(LEFT(P2205,5)="1-Way", Enginuity!$B$13=1),
      AND(LEFT(P2205,5)="2-Way", OR(Enginuity!$B$13=2, Enginuity!$B$13=4)),
      AND(LEFT(P2205,5)="3-Way", OR(Enginuity!$B$13=3, Enginuity!$B$13=6)),
      AND(P2205="Inner Centre Jamb", OR(Enginuity!$B$13=4, Enginuity!$B$13=6)),
      AND(
        LEFT(P2205,5)&lt;&gt;"1-Way",
        LEFT(P2205,5)&lt;&gt;"2-Way",
        LEFT(P2205,5)&lt;&gt;"3-Way",
        P2205&lt;&gt;"Inner Centre Jamb"
      )
    ),
    IF(OR(Enginuity!$A$1="Frameless Glass",Enginuity!$A$1="Metal Work"),
      AND(TRIM(B2205)=TRIM(Enginuity!$A$17),TRIM(C2205)=TRIM(Enginuity!$A$18)),
      TRIM(B2205)=TRIM(Enginuity!$A$17)
    )
  ),
  ROW(),
  ""
)</f>
        <v/>
      </c>
    </row>
    <row r="2206" spans="1:21" x14ac:dyDescent="0.25">
      <c r="A2206" s="10" t="s">
        <v>254</v>
      </c>
      <c r="B2206" s="229" t="s">
        <v>1513</v>
      </c>
      <c r="C2206" s="10" t="s">
        <v>107</v>
      </c>
      <c r="E2206" s="240"/>
      <c r="F2206" s="10"/>
      <c r="G2206" s="17"/>
      <c r="H2206" s="10"/>
      <c r="I2206" s="17"/>
      <c r="J2206" s="83"/>
      <c r="K2206" s="343"/>
      <c r="L2206" s="347"/>
      <c r="M2206" s="89">
        <v>13</v>
      </c>
      <c r="N2206" s="10" t="s">
        <v>176</v>
      </c>
      <c r="O2206" s="22" t="str">
        <f>IF(Enginuity!$A$21="12""H Top Hung Standard Casement Profile", $F$11,
IF(Enginuity!$A$21="12""H Top / Bottom Fix Standard Casement Profile", $F$12,
""))</f>
        <v/>
      </c>
      <c r="P2206" s="106" t="str">
        <f>Enginuity!$A$21</f>
        <v>SF 4"</v>
      </c>
      <c r="Q2206" s="22" t="str">
        <f>IF(O2206&lt;&gt;"",1,"")</f>
        <v/>
      </c>
      <c r="U2206" s="104" t="str">
        <f>IF(
  AND(
    TRIM(A2206)=TRIM(Enginuity!$A$1),
    TRIM(B2206)=TRIM(Enginuity!$A$17),
    Q2206&lt;&gt;"",
    Q2206&lt;&gt;0,
    OR(
      TRIM(C2206)=TRIM(Enginuity!$A$18),
      AND(UPPER(TRIM(M2206))="STD", TRIM(B2206)=TRIM(Enginuity!$A$17))
    ),
    OR(
      AND(LEFT(P2206,5)="1-Way", Enginuity!$B$13=1),
      AND(LEFT(P2206,5)="2-Way", OR(Enginuity!$B$13=2, Enginuity!$B$13=4)),
      AND(LEFT(P2206,5)="3-Way", OR(Enginuity!$B$13=3, Enginuity!$B$13=6)),
      AND(P2206="Inner Centre Jamb", OR(Enginuity!$B$13=4, Enginuity!$B$13=6)),
      AND(
        LEFT(P2206,5)&lt;&gt;"1-Way",
        LEFT(P2206,5)&lt;&gt;"2-Way",
        LEFT(P2206,5)&lt;&gt;"3-Way",
        P2206&lt;&gt;"Inner Centre Jamb"
      )
    ),
    IF(OR(Enginuity!$A$1="Frameless Glass",Enginuity!$A$1="Metal Work"),
      AND(TRIM(B2206)=TRIM(Enginuity!$A$17),TRIM(C2206)=TRIM(Enginuity!$A$18)),
      TRIM(B2206)=TRIM(Enginuity!$A$17)
    )
  ),
  ROW(),
  ""
)</f>
        <v/>
      </c>
    </row>
    <row r="2207" spans="1:21" x14ac:dyDescent="0.25">
      <c r="A2207" s="10" t="s">
        <v>254</v>
      </c>
      <c r="B2207" s="229" t="s">
        <v>1513</v>
      </c>
      <c r="C2207" s="10" t="s">
        <v>107</v>
      </c>
      <c r="D2207" s="14"/>
      <c r="E2207" s="157"/>
      <c r="F2207" s="10"/>
      <c r="G2207" s="17"/>
      <c r="H2207" s="10"/>
      <c r="I2207" s="17"/>
      <c r="J2207" s="83"/>
      <c r="K2207" s="343"/>
      <c r="L2207" s="347"/>
      <c r="M2207" s="89">
        <v>14</v>
      </c>
      <c r="N2207" s="10" t="s">
        <v>176</v>
      </c>
      <c r="O2207" s="22" t="str">
        <f>IF(Enginuity!$A$22="Subframe 1"" X 2""", $J$2, "")</f>
        <v/>
      </c>
      <c r="P2207" s="106" t="str">
        <f>Enginuity!$A$22</f>
        <v>▼ [Lattice]</v>
      </c>
      <c r="Q2207" s="22" t="str">
        <f>IF(O2207&lt;&gt;"",1,"")</f>
        <v/>
      </c>
      <c r="U2207" s="104" t="str">
        <f>IF(
  AND(
    TRIM(A2207)=TRIM(Enginuity!$A$1),
    TRIM(B2207)=TRIM(Enginuity!$A$17),
    Q2207&lt;&gt;"",
    Q2207&lt;&gt;0,
    OR(
      TRIM(C2207)=TRIM(Enginuity!$A$18),
      AND(UPPER(TRIM(M2207))="STD", TRIM(B2207)=TRIM(Enginuity!$A$17))
    ),
    OR(
      AND(LEFT(P2207,5)="1-Way", Enginuity!$B$13=1),
      AND(LEFT(P2207,5)="2-Way", OR(Enginuity!$B$13=2, Enginuity!$B$13=4)),
      AND(LEFT(P2207,5)="3-Way", OR(Enginuity!$B$13=3, Enginuity!$B$13=6)),
      AND(P2207="Inner Centre Jamb", OR(Enginuity!$B$13=4, Enginuity!$B$13=6)),
      AND(
        LEFT(P2207,5)&lt;&gt;"1-Way",
        LEFT(P2207,5)&lt;&gt;"2-Way",
        LEFT(P2207,5)&lt;&gt;"3-Way",
        P2207&lt;&gt;"Inner Centre Jamb"
      )
    ),
    IF(OR(Enginuity!$A$1="Frameless Glass",Enginuity!$A$1="Metal Work"),
      AND(TRIM(B2207)=TRIM(Enginuity!$A$17),TRIM(C2207)=TRIM(Enginuity!$A$18)),
      TRIM(B2207)=TRIM(Enginuity!$A$17)
    )
  ),
  ROW(),
  ""
)</f>
        <v/>
      </c>
    </row>
    <row r="2208" spans="1:21" x14ac:dyDescent="0.25">
      <c r="A2208" s="10" t="s">
        <v>254</v>
      </c>
      <c r="B2208" s="229" t="s">
        <v>1513</v>
      </c>
      <c r="C2208" s="10" t="s">
        <v>107</v>
      </c>
      <c r="D2208" s="14"/>
      <c r="E2208" s="157"/>
      <c r="F2208" s="10"/>
      <c r="G2208" s="17"/>
      <c r="H2208" s="10"/>
      <c r="I2208" s="17"/>
      <c r="J2208" s="83"/>
      <c r="K2208" s="343"/>
      <c r="L2208" s="347"/>
      <c r="M2208" s="89">
        <v>15</v>
      </c>
      <c r="N2208" s="10"/>
      <c r="O2208" s="22"/>
      <c r="P2208" s="14"/>
      <c r="Q2208" s="83"/>
      <c r="U2208" s="104" t="str">
        <f>IF(
  AND(
    TRIM(A2208)=TRIM(Enginuity!$A$1),
    TRIM(B2208)=TRIM(Enginuity!$A$17),
    Q2208&lt;&gt;"",
    Q2208&lt;&gt;0,
    OR(
      TRIM(C2208)=TRIM(Enginuity!$A$18),
      AND(UPPER(TRIM(M2208))="STD", TRIM(B2208)=TRIM(Enginuity!$A$17))
    ),
    OR(
      AND(LEFT(P2208,5)="1-Way", Enginuity!$B$13=1),
      AND(LEFT(P2208,5)="2-Way", OR(Enginuity!$B$13=2, Enginuity!$B$13=4)),
      AND(LEFT(P2208,5)="3-Way", OR(Enginuity!$B$13=3, Enginuity!$B$13=6)),
      AND(P2208="Inner Centre Jamb", OR(Enginuity!$B$13=4, Enginuity!$B$13=6)),
      AND(
        LEFT(P2208,5)&lt;&gt;"1-Way",
        LEFT(P2208,5)&lt;&gt;"2-Way",
        LEFT(P2208,5)&lt;&gt;"3-Way",
        P2208&lt;&gt;"Inner Centre Jamb"
      )
    ),
    IF(OR(Enginuity!$A$1="Frameless Glass",Enginuity!$A$1="Metal Work"),
      AND(TRIM(B2208)=TRIM(Enginuity!$A$17),TRIM(C2208)=TRIM(Enginuity!$A$18)),
      TRIM(B2208)=TRIM(Enginuity!$A$17)
    )
  ),
  ROW(),
  ""
)</f>
        <v/>
      </c>
    </row>
    <row r="2209" spans="1:21" x14ac:dyDescent="0.25">
      <c r="A2209" s="10" t="s">
        <v>254</v>
      </c>
      <c r="B2209" s="229" t="s">
        <v>1513</v>
      </c>
      <c r="C2209" s="10" t="s">
        <v>107</v>
      </c>
      <c r="D2209" s="14"/>
      <c r="E2209" s="157"/>
      <c r="F2209" s="10"/>
      <c r="G2209" s="17"/>
      <c r="H2209" s="10"/>
      <c r="I2209" s="17"/>
      <c r="J2209" s="83"/>
      <c r="K2209" s="343"/>
      <c r="L2209" s="347"/>
      <c r="M2209" s="89">
        <v>16</v>
      </c>
      <c r="N2209" s="10"/>
      <c r="O2209" s="22"/>
      <c r="P2209" s="14"/>
      <c r="Q2209" s="83"/>
      <c r="U2209" s="104" t="str">
        <f>IF(
  AND(
    TRIM(A2209)=TRIM(Enginuity!$A$1),
    TRIM(B2209)=TRIM(Enginuity!$A$17),
    Q2209&lt;&gt;"",
    Q2209&lt;&gt;0,
    OR(
      TRIM(C2209)=TRIM(Enginuity!$A$18),
      AND(UPPER(TRIM(M2209))="STD", TRIM(B2209)=TRIM(Enginuity!$A$17))
    ),
    OR(
      AND(LEFT(P2209,5)="1-Way", Enginuity!$B$13=1),
      AND(LEFT(P2209,5)="2-Way", OR(Enginuity!$B$13=2, Enginuity!$B$13=4)),
      AND(LEFT(P2209,5)="3-Way", OR(Enginuity!$B$13=3, Enginuity!$B$13=6)),
      AND(P2209="Inner Centre Jamb", OR(Enginuity!$B$13=4, Enginuity!$B$13=6)),
      AND(
        LEFT(P2209,5)&lt;&gt;"1-Way",
        LEFT(P2209,5)&lt;&gt;"2-Way",
        LEFT(P2209,5)&lt;&gt;"3-Way",
        P2209&lt;&gt;"Inner Centre Jamb"
      )
    ),
    IF(OR(Enginuity!$A$1="Frameless Glass",Enginuity!$A$1="Metal Work"),
      AND(TRIM(B2209)=TRIM(Enginuity!$A$17),TRIM(C2209)=TRIM(Enginuity!$A$18)),
      TRIM(B2209)=TRIM(Enginuity!$A$17)
    )
  ),
  ROW(),
  ""
)</f>
        <v/>
      </c>
    </row>
    <row r="2210" spans="1:21" x14ac:dyDescent="0.25">
      <c r="A2210" s="10" t="s">
        <v>254</v>
      </c>
      <c r="B2210" s="229" t="s">
        <v>1513</v>
      </c>
      <c r="C2210" s="10" t="s">
        <v>107</v>
      </c>
      <c r="D2210" s="14"/>
      <c r="E2210" s="157"/>
      <c r="F2210" s="10"/>
      <c r="G2210" s="17"/>
      <c r="H2210" s="10"/>
      <c r="I2210" s="17"/>
      <c r="J2210" s="83"/>
      <c r="K2210" s="343"/>
      <c r="L2210" s="347"/>
      <c r="M2210" s="89">
        <v>17</v>
      </c>
      <c r="N2210" s="10"/>
      <c r="O2210" s="22"/>
      <c r="P2210" s="14"/>
      <c r="Q2210" s="83"/>
      <c r="U2210" s="104" t="str">
        <f>IF(
  AND(
    TRIM(A2210)=TRIM(Enginuity!$A$1),
    TRIM(B2210)=TRIM(Enginuity!$A$17),
    Q2210&lt;&gt;"",
    Q2210&lt;&gt;0,
    OR(
      TRIM(C2210)=TRIM(Enginuity!$A$18),
      AND(UPPER(TRIM(M2210))="STD", TRIM(B2210)=TRIM(Enginuity!$A$17))
    ),
    OR(
      AND(LEFT(P2210,5)="1-Way", Enginuity!$B$13=1),
      AND(LEFT(P2210,5)="2-Way", OR(Enginuity!$B$13=2, Enginuity!$B$13=4)),
      AND(LEFT(P2210,5)="3-Way", OR(Enginuity!$B$13=3, Enginuity!$B$13=6)),
      AND(P2210="Inner Centre Jamb", OR(Enginuity!$B$13=4, Enginuity!$B$13=6)),
      AND(
        LEFT(P2210,5)&lt;&gt;"1-Way",
        LEFT(P2210,5)&lt;&gt;"2-Way",
        LEFT(P2210,5)&lt;&gt;"3-Way",
        P2210&lt;&gt;"Inner Centre Jamb"
      )
    ),
    IF(OR(Enginuity!$A$1="Frameless Glass",Enginuity!$A$1="Metal Work"),
      AND(TRIM(B2210)=TRIM(Enginuity!$A$17),TRIM(C2210)=TRIM(Enginuity!$A$18)),
      TRIM(B2210)=TRIM(Enginuity!$A$17)
    )
  ),
  ROW(),
  ""
)</f>
        <v/>
      </c>
    </row>
    <row r="2211" spans="1:21" x14ac:dyDescent="0.25">
      <c r="A2211" s="10" t="s">
        <v>254</v>
      </c>
      <c r="B2211" s="229" t="s">
        <v>1513</v>
      </c>
      <c r="C2211" s="10"/>
      <c r="D2211" s="14"/>
      <c r="E2211" s="157"/>
      <c r="F2211" s="10"/>
      <c r="G2211" s="17"/>
      <c r="H2211" s="10"/>
      <c r="I2211" s="17"/>
      <c r="J2211" s="83"/>
      <c r="K2211" s="343"/>
      <c r="L2211" s="347"/>
      <c r="M2211" s="89">
        <v>18</v>
      </c>
      <c r="N2211" s="10"/>
      <c r="O2211" s="22"/>
      <c r="P2211" s="14"/>
      <c r="Q2211" s="83"/>
      <c r="U2211" s="104" t="str">
        <f>IF(
  AND(
    TRIM(A2211)=TRIM(Enginuity!$A$1),
    TRIM(B2211)=TRIM(Enginuity!$A$17),
    Q2211&lt;&gt;"",
    Q2211&lt;&gt;0,
    OR(
      TRIM(C2211)=TRIM(Enginuity!$A$18),
      AND(UPPER(TRIM(M2211))="STD", TRIM(B2211)=TRIM(Enginuity!$A$17))
    ),
    OR(
      AND(LEFT(P2211,5)="1-Way", Enginuity!$B$13=1),
      AND(LEFT(P2211,5)="2-Way", OR(Enginuity!$B$13=2, Enginuity!$B$13=4)),
      AND(LEFT(P2211,5)="3-Way", OR(Enginuity!$B$13=3, Enginuity!$B$13=6)),
      AND(P2211="Inner Centre Jamb", OR(Enginuity!$B$13=4, Enginuity!$B$13=6)),
      AND(
        LEFT(P2211,5)&lt;&gt;"1-Way",
        LEFT(P2211,5)&lt;&gt;"2-Way",
        LEFT(P2211,5)&lt;&gt;"3-Way",
        P2211&lt;&gt;"Inner Centre Jamb"
      )
    ),
    IF(OR(Enginuity!$A$1="Frameless Glass",Enginuity!$A$1="Metal Work"),
      AND(TRIM(B2211)=TRIM(Enginuity!$A$17),TRIM(C2211)=TRIM(Enginuity!$A$18)),
      TRIM(B2211)=TRIM(Enginuity!$A$17)
    )
  ),
  ROW(),
  ""
)</f>
        <v/>
      </c>
    </row>
    <row r="2212" spans="1:21" x14ac:dyDescent="0.25">
      <c r="A2212" s="10" t="s">
        <v>254</v>
      </c>
      <c r="B2212" s="229" t="s">
        <v>1513</v>
      </c>
      <c r="C2212" s="10" t="s">
        <v>97</v>
      </c>
      <c r="D2212" s="14"/>
      <c r="E2212" s="157" t="s">
        <v>257</v>
      </c>
      <c r="F2212" s="14" t="s">
        <v>352</v>
      </c>
      <c r="G2212" s="17" t="s">
        <v>9</v>
      </c>
      <c r="H2212" s="10"/>
      <c r="I2212" s="17"/>
      <c r="J2212" s="83"/>
      <c r="K2212" s="344">
        <v>0.59596199999999999</v>
      </c>
      <c r="L2212" s="347">
        <v>914.4</v>
      </c>
      <c r="M2212" s="89">
        <v>19</v>
      </c>
      <c r="N2212" s="10" t="s">
        <v>103</v>
      </c>
      <c r="O2212" s="22">
        <v>5</v>
      </c>
      <c r="P2212" s="14" t="s">
        <v>281</v>
      </c>
      <c r="Q2212" s="98">
        <f>Enginuity!$B$6</f>
        <v>20</v>
      </c>
      <c r="U2212" s="104" t="str">
        <f>IF(
  AND(
    TRIM(A2212)=TRIM(Enginuity!$A$1),
    TRIM(B2212)=TRIM(Enginuity!$A$17),
    Q2212&lt;&gt;"",
    Q2212&lt;&gt;0,
    OR(
      TRIM(C2212)=TRIM(Enginuity!$A$18),
      AND(UPPER(TRIM(M2212))="STD", TRIM(B2212)=TRIM(Enginuity!$A$17))
    ),
    OR(
      AND(LEFT(P2212,5)="1-Way", Enginuity!$B$13=1),
      AND(LEFT(P2212,5)="2-Way", OR(Enginuity!$B$13=2, Enginuity!$B$13=4)),
      AND(LEFT(P2212,5)="3-Way", OR(Enginuity!$B$13=3, Enginuity!$B$13=6)),
      AND(P2212="Inner Centre Jamb", OR(Enginuity!$B$13=4, Enginuity!$B$13=6)),
      AND(
        LEFT(P2212,5)&lt;&gt;"1-Way",
        LEFT(P2212,5)&lt;&gt;"2-Way",
        LEFT(P2212,5)&lt;&gt;"3-Way",
        P2212&lt;&gt;"Inner Centre Jamb"
      )
    ),
    IF(OR(Enginuity!$A$1="Frameless Glass",Enginuity!$A$1="Metal Work"),
      AND(TRIM(B2212)=TRIM(Enginuity!$A$17),TRIM(C2212)=TRIM(Enginuity!$A$18)),
      TRIM(B2212)=TRIM(Enginuity!$A$17)
    )
  ),
  ROW(),
  ""
)</f>
        <v/>
      </c>
    </row>
    <row r="2213" spans="1:21" x14ac:dyDescent="0.25">
      <c r="A2213" s="10" t="s">
        <v>254</v>
      </c>
      <c r="B2213" s="229" t="s">
        <v>1513</v>
      </c>
      <c r="C2213" s="10" t="s">
        <v>97</v>
      </c>
      <c r="D2213" s="14"/>
      <c r="E2213" s="157" t="s">
        <v>269</v>
      </c>
      <c r="F2213" s="14" t="s">
        <v>356</v>
      </c>
      <c r="G2213" s="17"/>
      <c r="H2213" s="10"/>
      <c r="I2213" s="17"/>
      <c r="J2213" s="83"/>
      <c r="K2213" s="343"/>
      <c r="L2213" s="347"/>
      <c r="M2213" s="89">
        <v>20</v>
      </c>
      <c r="N2213" s="10" t="s">
        <v>103</v>
      </c>
      <c r="O2213" s="22">
        <v>4.2</v>
      </c>
      <c r="P2213" s="14" t="s">
        <v>284</v>
      </c>
      <c r="Q2213" s="98">
        <f>Enginuity!$B$6</f>
        <v>20</v>
      </c>
      <c r="U2213" s="104" t="str">
        <f>IF(
  AND(
    TRIM(A2213)=TRIM(Enginuity!$A$1),
    TRIM(B2213)=TRIM(Enginuity!$A$17),
    Q2213&lt;&gt;"",
    Q2213&lt;&gt;0,
    OR(
      TRIM(C2213)=TRIM(Enginuity!$A$18),
      AND(UPPER(TRIM(M2213))="STD", TRIM(B2213)=TRIM(Enginuity!$A$17))
    ),
    OR(
      AND(LEFT(P2213,5)="1-Way", Enginuity!$B$13=1),
      AND(LEFT(P2213,5)="2-Way", OR(Enginuity!$B$13=2, Enginuity!$B$13=4)),
      AND(LEFT(P2213,5)="3-Way", OR(Enginuity!$B$13=3, Enginuity!$B$13=6)),
      AND(P2213="Inner Centre Jamb", OR(Enginuity!$B$13=4, Enginuity!$B$13=6)),
      AND(
        LEFT(P2213,5)&lt;&gt;"1-Way",
        LEFT(P2213,5)&lt;&gt;"2-Way",
        LEFT(P2213,5)&lt;&gt;"3-Way",
        P2213&lt;&gt;"Inner Centre Jamb"
      )
    ),
    IF(OR(Enginuity!$A$1="Frameless Glass",Enginuity!$A$1="Metal Work"),
      AND(TRIM(B2213)=TRIM(Enginuity!$A$17),TRIM(C2213)=TRIM(Enginuity!$A$18)),
      TRIM(B2213)=TRIM(Enginuity!$A$17)
    )
  ),
  ROW(),
  ""
)</f>
        <v/>
      </c>
    </row>
    <row r="2214" spans="1:21" x14ac:dyDescent="0.25">
      <c r="A2214" s="10" t="s">
        <v>254</v>
      </c>
      <c r="B2214" s="229" t="s">
        <v>1513</v>
      </c>
      <c r="C2214" s="10" t="s">
        <v>97</v>
      </c>
      <c r="D2214" s="14"/>
      <c r="E2214" s="157"/>
      <c r="F2214" s="10"/>
      <c r="G2214" s="17"/>
      <c r="H2214" s="10"/>
      <c r="I2214" s="17"/>
      <c r="J2214" s="83"/>
      <c r="K2214" s="343"/>
      <c r="L2214" s="347"/>
      <c r="M2214" s="89">
        <v>21</v>
      </c>
      <c r="N2214" s="10" t="s">
        <v>103</v>
      </c>
      <c r="O2214" s="22">
        <v>5.7</v>
      </c>
      <c r="P2214" s="14" t="s">
        <v>287</v>
      </c>
      <c r="Q2214" s="83">
        <f>IF(Enginuity!$B$7&gt;0, 2 * Enginuity!$B$7, "")</f>
        <v>26</v>
      </c>
      <c r="U2214" s="104" t="str">
        <f>IF(
  AND(
    TRIM(A2214)=TRIM(Enginuity!$A$1),
    TRIM(B2214)=TRIM(Enginuity!$A$17),
    Q2214&lt;&gt;"",
    Q2214&lt;&gt;0,
    OR(
      TRIM(C2214)=TRIM(Enginuity!$A$18),
      AND(UPPER(TRIM(M2214))="STD", TRIM(B2214)=TRIM(Enginuity!$A$17))
    ),
    OR(
      AND(LEFT(P2214,5)="1-Way", Enginuity!$B$13=1),
      AND(LEFT(P2214,5)="2-Way", OR(Enginuity!$B$13=2, Enginuity!$B$13=4)),
      AND(LEFT(P2214,5)="3-Way", OR(Enginuity!$B$13=3, Enginuity!$B$13=6)),
      AND(P2214="Inner Centre Jamb", OR(Enginuity!$B$13=4, Enginuity!$B$13=6)),
      AND(
        LEFT(P2214,5)&lt;&gt;"1-Way",
        LEFT(P2214,5)&lt;&gt;"2-Way",
        LEFT(P2214,5)&lt;&gt;"3-Way",
        P2214&lt;&gt;"Inner Centre Jamb"
      )
    ),
    IF(OR(Enginuity!$A$1="Frameless Glass",Enginuity!$A$1="Metal Work"),
      AND(TRIM(B2214)=TRIM(Enginuity!$A$17),TRIM(C2214)=TRIM(Enginuity!$A$18)),
      TRIM(B2214)=TRIM(Enginuity!$A$17)
    )
  ),
  ROW(),
  ""
)</f>
        <v/>
      </c>
    </row>
    <row r="2215" spans="1:21" x14ac:dyDescent="0.25">
      <c r="A2215" s="10" t="s">
        <v>254</v>
      </c>
      <c r="B2215" s="229" t="s">
        <v>1513</v>
      </c>
      <c r="C2215" s="10" t="s">
        <v>97</v>
      </c>
      <c r="D2215" s="14"/>
      <c r="E2215" s="157"/>
      <c r="F2215" s="10"/>
      <c r="G2215" s="17"/>
      <c r="H2215" s="10"/>
      <c r="I2215" s="17"/>
      <c r="J2215" s="83"/>
      <c r="K2215" s="343"/>
      <c r="L2215" s="347"/>
      <c r="M2215" s="89">
        <v>22</v>
      </c>
      <c r="N2215" s="10" t="s">
        <v>103</v>
      </c>
      <c r="O2215" s="22">
        <v>8.1999999999999993</v>
      </c>
      <c r="P2215" s="14" t="s">
        <v>282</v>
      </c>
      <c r="Q2215" s="83">
        <f>Enginuity!$B$6*2</f>
        <v>40</v>
      </c>
      <c r="U2215" s="104" t="str">
        <f>IF(
  AND(
    TRIM(A2215)=TRIM(Enginuity!$A$1),
    TRIM(B2215)=TRIM(Enginuity!$A$17),
    Q2215&lt;&gt;"",
    Q2215&lt;&gt;0,
    OR(
      TRIM(C2215)=TRIM(Enginuity!$A$18),
      AND(UPPER(TRIM(M2215))="STD", TRIM(B2215)=TRIM(Enginuity!$A$17))
    ),
    OR(
      AND(LEFT(P2215,5)="1-Way", Enginuity!$B$13=1),
      AND(LEFT(P2215,5)="2-Way", OR(Enginuity!$B$13=2, Enginuity!$B$13=4)),
      AND(LEFT(P2215,5)="3-Way", OR(Enginuity!$B$13=3, Enginuity!$B$13=6)),
      AND(P2215="Inner Centre Jamb", OR(Enginuity!$B$13=4, Enginuity!$B$13=6)),
      AND(
        LEFT(P2215,5)&lt;&gt;"1-Way",
        LEFT(P2215,5)&lt;&gt;"2-Way",
        LEFT(P2215,5)&lt;&gt;"3-Way",
        P2215&lt;&gt;"Inner Centre Jamb"
      )
    ),
    IF(OR(Enginuity!$A$1="Frameless Glass",Enginuity!$A$1="Metal Work"),
      AND(TRIM(B2215)=TRIM(Enginuity!$A$17),TRIM(C2215)=TRIM(Enginuity!$A$18)),
      TRIM(B2215)=TRIM(Enginuity!$A$17)
    )
  ),
  ROW(),
  ""
)</f>
        <v/>
      </c>
    </row>
    <row r="2216" spans="1:21" x14ac:dyDescent="0.25">
      <c r="A2216" s="10" t="s">
        <v>254</v>
      </c>
      <c r="B2216" s="229" t="s">
        <v>1513</v>
      </c>
      <c r="C2216" s="10" t="s">
        <v>97</v>
      </c>
      <c r="D2216" s="14"/>
      <c r="E2216" s="157"/>
      <c r="F2216" s="10"/>
      <c r="G2216" s="17"/>
      <c r="H2216" s="10"/>
      <c r="I2216" s="17"/>
      <c r="J2216" s="83"/>
      <c r="K2216" s="343"/>
      <c r="L2216" s="347"/>
      <c r="M2216" s="89">
        <v>23</v>
      </c>
      <c r="N2216" s="10" t="s">
        <v>103</v>
      </c>
      <c r="O2216" s="22">
        <v>6.3</v>
      </c>
      <c r="P2216" s="14" t="s">
        <v>285</v>
      </c>
      <c r="Q2216" s="83">
        <f>Enginuity!$B$6*2</f>
        <v>40</v>
      </c>
      <c r="U2216" s="104" t="str">
        <f>IF(
  AND(
    TRIM(A2216)=TRIM(Enginuity!$A$1),
    TRIM(B2216)=TRIM(Enginuity!$A$17),
    Q2216&lt;&gt;"",
    Q2216&lt;&gt;0,
    OR(
      TRIM(C2216)=TRIM(Enginuity!$A$18),
      AND(UPPER(TRIM(M2216))="STD", TRIM(B2216)=TRIM(Enginuity!$A$17))
    ),
    OR(
      AND(LEFT(P2216,5)="1-Way", Enginuity!$B$13=1),
      AND(LEFT(P2216,5)="2-Way", OR(Enginuity!$B$13=2, Enginuity!$B$13=4)),
      AND(LEFT(P2216,5)="3-Way", OR(Enginuity!$B$13=3, Enginuity!$B$13=6)),
      AND(P2216="Inner Centre Jamb", OR(Enginuity!$B$13=4, Enginuity!$B$13=6)),
      AND(
        LEFT(P2216,5)&lt;&gt;"1-Way",
        LEFT(P2216,5)&lt;&gt;"2-Way",
        LEFT(P2216,5)&lt;&gt;"3-Way",
        P2216&lt;&gt;"Inner Centre Jamb"
      )
    ),
    IF(OR(Enginuity!$A$1="Frameless Glass",Enginuity!$A$1="Metal Work"),
      AND(TRIM(B2216)=TRIM(Enginuity!$A$17),TRIM(C2216)=TRIM(Enginuity!$A$18)),
      TRIM(B2216)=TRIM(Enginuity!$A$17)
    )
  ),
  ROW(),
  ""
)</f>
        <v/>
      </c>
    </row>
    <row r="2217" spans="1:21" x14ac:dyDescent="0.25">
      <c r="A2217" s="10" t="s">
        <v>254</v>
      </c>
      <c r="B2217" s="229" t="s">
        <v>1513</v>
      </c>
      <c r="C2217" s="10" t="s">
        <v>97</v>
      </c>
      <c r="D2217" s="14"/>
      <c r="E2217" s="157"/>
      <c r="F2217" s="10"/>
      <c r="G2217" s="17"/>
      <c r="H2217" s="10"/>
      <c r="I2217" s="17"/>
      <c r="J2217" s="83"/>
      <c r="K2217" s="343"/>
      <c r="L2217" s="347"/>
      <c r="M2217" s="89">
        <v>24</v>
      </c>
      <c r="N2217" s="10" t="s">
        <v>103</v>
      </c>
      <c r="O2217" s="22">
        <v>8.5</v>
      </c>
      <c r="P2217" s="14" t="s">
        <v>288</v>
      </c>
      <c r="Q2217" s="83">
        <f>IF(Enginuity!$B$7&gt;0, 2 * Enginuity!$B$7, "")</f>
        <v>26</v>
      </c>
      <c r="U2217" s="104" t="str">
        <f>IF(
  AND(
    TRIM(A2217)=TRIM(Enginuity!$A$1),
    TRIM(B2217)=TRIM(Enginuity!$A$17),
    Q2217&lt;&gt;"",
    Q2217&lt;&gt;0,
    OR(
      TRIM(C2217)=TRIM(Enginuity!$A$18),
      AND(UPPER(TRIM(M2217))="STD", TRIM(B2217)=TRIM(Enginuity!$A$17))
    ),
    OR(
      AND(LEFT(P2217,5)="1-Way", Enginuity!$B$13=1),
      AND(LEFT(P2217,5)="2-Way", OR(Enginuity!$B$13=2, Enginuity!$B$13=4)),
      AND(LEFT(P2217,5)="3-Way", OR(Enginuity!$B$13=3, Enginuity!$B$13=6)),
      AND(P2217="Inner Centre Jamb", OR(Enginuity!$B$13=4, Enginuity!$B$13=6)),
      AND(
        LEFT(P2217,5)&lt;&gt;"1-Way",
        LEFT(P2217,5)&lt;&gt;"2-Way",
        LEFT(P2217,5)&lt;&gt;"3-Way",
        P2217&lt;&gt;"Inner Centre Jamb"
      )
    ),
    IF(OR(Enginuity!$A$1="Frameless Glass",Enginuity!$A$1="Metal Work"),
      AND(TRIM(B2217)=TRIM(Enginuity!$A$17),TRIM(C2217)=TRIM(Enginuity!$A$18)),
      TRIM(B2217)=TRIM(Enginuity!$A$17)
    )
  ),
  ROW(),
  ""
)</f>
        <v/>
      </c>
    </row>
    <row r="2218" spans="1:21" x14ac:dyDescent="0.25">
      <c r="A2218" s="10" t="s">
        <v>254</v>
      </c>
      <c r="B2218" s="229" t="s">
        <v>1513</v>
      </c>
      <c r="C2218" s="10" t="s">
        <v>97</v>
      </c>
      <c r="D2218" s="14"/>
      <c r="E2218" s="157"/>
      <c r="F2218" s="10"/>
      <c r="G2218" s="17"/>
      <c r="H2218" s="10"/>
      <c r="I2218" s="17"/>
      <c r="J2218" s="83"/>
      <c r="K2218" s="343"/>
      <c r="L2218" s="347"/>
      <c r="M2218" s="89">
        <v>25</v>
      </c>
      <c r="N2218" s="10" t="s">
        <v>103</v>
      </c>
      <c r="O2218" s="22">
        <v>2.8</v>
      </c>
      <c r="P2218" s="14" t="s">
        <v>289</v>
      </c>
      <c r="Q2218" s="83">
        <f>IF(Enginuity!$B$6&gt;0, Enginuity!$B$6, "")</f>
        <v>20</v>
      </c>
      <c r="U2218" s="104" t="str">
        <f>IF(
  AND(
    TRIM(A2218)=TRIM(Enginuity!$A$1),
    TRIM(B2218)=TRIM(Enginuity!$A$17),
    Q2218&lt;&gt;"",
    Q2218&lt;&gt;0,
    OR(
      TRIM(C2218)=TRIM(Enginuity!$A$18),
      AND(UPPER(TRIM(M2218))="STD", TRIM(B2218)=TRIM(Enginuity!$A$17))
    ),
    OR(
      AND(LEFT(P2218,5)="1-Way", Enginuity!$B$13=1),
      AND(LEFT(P2218,5)="2-Way", OR(Enginuity!$B$13=2, Enginuity!$B$13=4)),
      AND(LEFT(P2218,5)="3-Way", OR(Enginuity!$B$13=3, Enginuity!$B$13=6)),
      AND(P2218="Inner Centre Jamb", OR(Enginuity!$B$13=4, Enginuity!$B$13=6)),
      AND(
        LEFT(P2218,5)&lt;&gt;"1-Way",
        LEFT(P2218,5)&lt;&gt;"2-Way",
        LEFT(P2218,5)&lt;&gt;"3-Way",
        P2218&lt;&gt;"Inner Centre Jamb"
      )
    ),
    IF(OR(Enginuity!$A$1="Frameless Glass",Enginuity!$A$1="Metal Work"),
      AND(TRIM(B2218)=TRIM(Enginuity!$A$17),TRIM(C2218)=TRIM(Enginuity!$A$18)),
      TRIM(B2218)=TRIM(Enginuity!$A$17)
    )
  ),
  ROW(),
  ""
)</f>
        <v/>
      </c>
    </row>
    <row r="2219" spans="1:21" x14ac:dyDescent="0.25">
      <c r="A2219" s="10" t="s">
        <v>254</v>
      </c>
      <c r="B2219" s="229" t="s">
        <v>1513</v>
      </c>
      <c r="C2219" s="10" t="s">
        <v>97</v>
      </c>
      <c r="D2219" s="14"/>
      <c r="E2219" s="157"/>
      <c r="F2219" s="10"/>
      <c r="G2219" s="17"/>
      <c r="H2219" s="10"/>
      <c r="I2219" s="17"/>
      <c r="J2219" s="83"/>
      <c r="K2219" s="343"/>
      <c r="L2219" s="347"/>
      <c r="M2219" s="89">
        <v>26</v>
      </c>
      <c r="N2219" s="10" t="s">
        <v>103</v>
      </c>
      <c r="O2219" s="22">
        <v>5.2</v>
      </c>
      <c r="P2219" s="14" t="s">
        <v>290</v>
      </c>
      <c r="Q2219" s="83">
        <f>IF(Enginuity!$B$6&gt;0, Enginuity!$B$6, "")</f>
        <v>20</v>
      </c>
      <c r="U2219" s="104" t="str">
        <f>IF(
  AND(
    TRIM(A2219)=TRIM(Enginuity!$A$1),
    TRIM(B2219)=TRIM(Enginuity!$A$17),
    Q2219&lt;&gt;"",
    Q2219&lt;&gt;0,
    OR(
      TRIM(C2219)=TRIM(Enginuity!$A$18),
      AND(UPPER(TRIM(M2219))="STD", TRIM(B2219)=TRIM(Enginuity!$A$17))
    ),
    OR(
      AND(LEFT(P2219,5)="1-Way", Enginuity!$B$13=1),
      AND(LEFT(P2219,5)="2-Way", OR(Enginuity!$B$13=2, Enginuity!$B$13=4)),
      AND(LEFT(P2219,5)="3-Way", OR(Enginuity!$B$13=3, Enginuity!$B$13=6)),
      AND(P2219="Inner Centre Jamb", OR(Enginuity!$B$13=4, Enginuity!$B$13=6)),
      AND(
        LEFT(P2219,5)&lt;&gt;"1-Way",
        LEFT(P2219,5)&lt;&gt;"2-Way",
        LEFT(P2219,5)&lt;&gt;"3-Way",
        P2219&lt;&gt;"Inner Centre Jamb"
      )
    ),
    IF(OR(Enginuity!$A$1="Frameless Glass",Enginuity!$A$1="Metal Work"),
      AND(TRIM(B2219)=TRIM(Enginuity!$A$17),TRIM(C2219)=TRIM(Enginuity!$A$18)),
      TRIM(B2219)=TRIM(Enginuity!$A$17)
    )
  ),
  ROW(),
  ""
)</f>
        <v/>
      </c>
    </row>
    <row r="2220" spans="1:21" x14ac:dyDescent="0.25">
      <c r="A2220" s="10" t="s">
        <v>254</v>
      </c>
      <c r="B2220" s="229" t="s">
        <v>1513</v>
      </c>
      <c r="C2220" s="10" t="s">
        <v>97</v>
      </c>
      <c r="D2220" s="14"/>
      <c r="E2220" s="157"/>
      <c r="F2220" s="10"/>
      <c r="G2220" s="17"/>
      <c r="H2220" s="10"/>
      <c r="I2220" s="17"/>
      <c r="J2220" s="83"/>
      <c r="K2220" s="343"/>
      <c r="L2220" s="347"/>
      <c r="M2220" s="89">
        <v>27</v>
      </c>
      <c r="N2220" s="10" t="s">
        <v>103</v>
      </c>
      <c r="O2220" s="22">
        <v>4.2</v>
      </c>
      <c r="P2220" s="14" t="s">
        <v>262</v>
      </c>
      <c r="Q2220" s="83">
        <f>IF(AND(Enginuity!$B$7&gt;0, Enginuity!$B$13&gt;0), Enginuity!$B$7 * Enginuity!$B$13, "")</f>
        <v>91</v>
      </c>
      <c r="U2220" s="104" t="str">
        <f>IF(
  AND(
    TRIM(A2220)=TRIM(Enginuity!$A$1),
    TRIM(B2220)=TRIM(Enginuity!$A$17),
    Q2220&lt;&gt;"",
    Q2220&lt;&gt;0,
    OR(
      TRIM(C2220)=TRIM(Enginuity!$A$18),
      AND(UPPER(TRIM(M2220))="STD", TRIM(B2220)=TRIM(Enginuity!$A$17))
    ),
    OR(
      AND(LEFT(P2220,5)="1-Way", Enginuity!$B$13=1),
      AND(LEFT(P2220,5)="2-Way", OR(Enginuity!$B$13=2, Enginuity!$B$13=4)),
      AND(LEFT(P2220,5)="3-Way", OR(Enginuity!$B$13=3, Enginuity!$B$13=6)),
      AND(P2220="Inner Centre Jamb", OR(Enginuity!$B$13=4, Enginuity!$B$13=6)),
      AND(
        LEFT(P2220,5)&lt;&gt;"1-Way",
        LEFT(P2220,5)&lt;&gt;"2-Way",
        LEFT(P2220,5)&lt;&gt;"3-Way",
        P2220&lt;&gt;"Inner Centre Jamb"
      )
    ),
    IF(OR(Enginuity!$A$1="Frameless Glass",Enginuity!$A$1="Metal Work"),
      AND(TRIM(B2220)=TRIM(Enginuity!$A$17),TRIM(C2220)=TRIM(Enginuity!$A$18)),
      TRIM(B2220)=TRIM(Enginuity!$A$17)
    )
  ),
  ROW(),
  ""
)</f>
        <v/>
      </c>
    </row>
    <row r="2221" spans="1:21" x14ac:dyDescent="0.25">
      <c r="A2221" s="10" t="s">
        <v>254</v>
      </c>
      <c r="B2221" s="229" t="s">
        <v>1513</v>
      </c>
      <c r="C2221" s="10" t="s">
        <v>97</v>
      </c>
      <c r="D2221" s="14"/>
      <c r="E2221" s="157"/>
      <c r="F2221" s="10"/>
      <c r="G2221" s="17"/>
      <c r="H2221" s="10"/>
      <c r="I2221" s="17"/>
      <c r="J2221" s="83"/>
      <c r="K2221" s="343"/>
      <c r="L2221" s="347"/>
      <c r="M2221" s="89">
        <v>28</v>
      </c>
      <c r="N2221" s="10" t="s">
        <v>103</v>
      </c>
      <c r="O2221" s="22">
        <v>4</v>
      </c>
      <c r="P2221" s="14" t="s">
        <v>267</v>
      </c>
      <c r="Q2221" s="83">
        <f>IF(AND(Enginuity!$B$7&gt;0, Enginuity!$B$13&gt;0), Enginuity!$B$7 * Enginuity!$B$13, "")</f>
        <v>91</v>
      </c>
      <c r="U2221" s="104" t="str">
        <f>IF(
  AND(
    TRIM(A2221)=TRIM(Enginuity!$A$1),
    TRIM(B2221)=TRIM(Enginuity!$A$17),
    Q2221&lt;&gt;"",
    Q2221&lt;&gt;0,
    OR(
      TRIM(C2221)=TRIM(Enginuity!$A$18),
      AND(UPPER(TRIM(M2221))="STD", TRIM(B2221)=TRIM(Enginuity!$A$17))
    ),
    OR(
      AND(LEFT(P2221,5)="1-Way", Enginuity!$B$13=1),
      AND(LEFT(P2221,5)="2-Way", OR(Enginuity!$B$13=2, Enginuity!$B$13=4)),
      AND(LEFT(P2221,5)="3-Way", OR(Enginuity!$B$13=3, Enginuity!$B$13=6)),
      AND(P2221="Inner Centre Jamb", OR(Enginuity!$B$13=4, Enginuity!$B$13=6)),
      AND(
        LEFT(P2221,5)&lt;&gt;"1-Way",
        LEFT(P2221,5)&lt;&gt;"2-Way",
        LEFT(P2221,5)&lt;&gt;"3-Way",
        P2221&lt;&gt;"Inner Centre Jamb"
      )
    ),
    IF(OR(Enginuity!$A$1="Frameless Glass",Enginuity!$A$1="Metal Work"),
      AND(TRIM(B2221)=TRIM(Enginuity!$A$17),TRIM(C2221)=TRIM(Enginuity!$A$18)),
      TRIM(B2221)=TRIM(Enginuity!$A$17)
    )
  ),
  ROW(),
  ""
)</f>
        <v/>
      </c>
    </row>
    <row r="2222" spans="1:21" x14ac:dyDescent="0.25">
      <c r="A2222" s="10" t="s">
        <v>254</v>
      </c>
      <c r="B2222" s="229" t="s">
        <v>1513</v>
      </c>
      <c r="C2222" s="10" t="s">
        <v>97</v>
      </c>
      <c r="D2222" s="14"/>
      <c r="E2222" s="157"/>
      <c r="F2222" s="10"/>
      <c r="G2222" s="17"/>
      <c r="H2222" s="10"/>
      <c r="I2222" s="17"/>
      <c r="J2222" s="83"/>
      <c r="K2222" s="343"/>
      <c r="L2222" s="347"/>
      <c r="M2222" s="89">
        <v>29</v>
      </c>
      <c r="N2222" s="10" t="s">
        <v>103</v>
      </c>
      <c r="O2222" s="22">
        <v>2.2000000000000002</v>
      </c>
      <c r="P2222" s="14" t="s">
        <v>109</v>
      </c>
      <c r="Q2222" s="83">
        <f>IF(Enginuity!$B$7&gt;0, Enginuity!$B$7, "")</f>
        <v>13</v>
      </c>
      <c r="U2222" s="104" t="str">
        <f>IF(
  AND(
    TRIM(A2222)=TRIM(Enginuity!$A$1),
    TRIM(B2222)=TRIM(Enginuity!$A$17),
    Q2222&lt;&gt;"",
    Q2222&lt;&gt;0,
    OR(
      TRIM(C2222)=TRIM(Enginuity!$A$18),
      AND(UPPER(TRIM(M2222))="STD", TRIM(B2222)=TRIM(Enginuity!$A$17))
    ),
    OR(
      AND(LEFT(P2222,5)="1-Way", Enginuity!$B$13=1),
      AND(LEFT(P2222,5)="2-Way", OR(Enginuity!$B$13=2, Enginuity!$B$13=4)),
      AND(LEFT(P2222,5)="3-Way", OR(Enginuity!$B$13=3, Enginuity!$B$13=6)),
      AND(P2222="Inner Centre Jamb", OR(Enginuity!$B$13=4, Enginuity!$B$13=6)),
      AND(
        LEFT(P2222,5)&lt;&gt;"1-Way",
        LEFT(P2222,5)&lt;&gt;"2-Way",
        LEFT(P2222,5)&lt;&gt;"3-Way",
        P2222&lt;&gt;"Inner Centre Jamb"
      )
    ),
    IF(OR(Enginuity!$A$1="Frameless Glass",Enginuity!$A$1="Metal Work"),
      AND(TRIM(B2222)=TRIM(Enginuity!$A$17),TRIM(C2222)=TRIM(Enginuity!$A$18)),
      TRIM(B2222)=TRIM(Enginuity!$A$17)
    )
  ),
  ROW(),
  ""
)</f>
        <v/>
      </c>
    </row>
    <row r="2223" spans="1:21" x14ac:dyDescent="0.25">
      <c r="A2223" s="10" t="s">
        <v>254</v>
      </c>
      <c r="B2223" s="229" t="s">
        <v>1513</v>
      </c>
      <c r="C2223" s="10" t="s">
        <v>97</v>
      </c>
      <c r="D2223" s="14"/>
      <c r="E2223" s="157"/>
      <c r="F2223" s="10"/>
      <c r="G2223" s="17"/>
      <c r="H2223" s="10"/>
      <c r="I2223" s="17"/>
      <c r="J2223" s="83"/>
      <c r="K2223" s="343"/>
      <c r="L2223" s="347"/>
      <c r="M2223" s="89">
        <v>30</v>
      </c>
      <c r="N2223" s="10" t="s">
        <v>176</v>
      </c>
      <c r="O2223" s="22" t="str">
        <f>IF(Enginuity!$A$20="", "",
 IF(Enginuity!$A$20="Lattice Design", $F$9,
 IF(Enginuity!$A$20="Lattice Design 12 Box / Panel", $F$10,
 ""))
)</f>
        <v/>
      </c>
      <c r="P2223" s="5" t="str">
        <f>Enginuity!$A$20</f>
        <v>Z-Louvre Blade - 5"</v>
      </c>
      <c r="Q2223" s="22" t="str">
        <f>IF(O2223&lt;&gt;"",1,"")</f>
        <v/>
      </c>
      <c r="U2223" s="104" t="str">
        <f>IF(
  AND(
    TRIM(A2223)=TRIM(Enginuity!$A$1),
    TRIM(B2223)=TRIM(Enginuity!$A$17),
    Q2223&lt;&gt;"",
    Q2223&lt;&gt;0,
    OR(
      TRIM(C2223)=TRIM(Enginuity!$A$18),
      AND(UPPER(TRIM(M2223))="STD", TRIM(B2223)=TRIM(Enginuity!$A$17))
    ),
    OR(
      AND(LEFT(P2223,5)="1-Way", Enginuity!$B$13=1),
      AND(LEFT(P2223,5)="2-Way", OR(Enginuity!$B$13=2, Enginuity!$B$13=4)),
      AND(LEFT(P2223,5)="3-Way", OR(Enginuity!$B$13=3, Enginuity!$B$13=6)),
      AND(P2223="Inner Centre Jamb", OR(Enginuity!$B$13=4, Enginuity!$B$13=6)),
      AND(
        LEFT(P2223,5)&lt;&gt;"1-Way",
        LEFT(P2223,5)&lt;&gt;"2-Way",
        LEFT(P2223,5)&lt;&gt;"3-Way",
        P2223&lt;&gt;"Inner Centre Jamb"
      )
    ),
    IF(OR(Enginuity!$A$1="Frameless Glass",Enginuity!$A$1="Metal Work"),
      AND(TRIM(B2223)=TRIM(Enginuity!$A$17),TRIM(C2223)=TRIM(Enginuity!$A$18)),
      TRIM(B2223)=TRIM(Enginuity!$A$17)
    )
  ),
  ROW(),
  ""
)</f>
        <v/>
      </c>
    </row>
    <row r="2224" spans="1:21" x14ac:dyDescent="0.25">
      <c r="A2224" s="10" t="s">
        <v>254</v>
      </c>
      <c r="B2224" s="229" t="s">
        <v>1513</v>
      </c>
      <c r="C2224" s="10" t="s">
        <v>97</v>
      </c>
      <c r="D2224" s="14"/>
      <c r="E2224" s="157"/>
      <c r="F2224" s="10"/>
      <c r="G2224" s="17"/>
      <c r="H2224" s="10"/>
      <c r="I2224" s="17"/>
      <c r="J2224" s="83"/>
      <c r="K2224" s="343"/>
      <c r="L2224" s="347"/>
      <c r="M2224" s="89">
        <v>31</v>
      </c>
      <c r="N2224" s="10"/>
      <c r="O2224" s="22"/>
      <c r="P2224" s="14"/>
      <c r="Q2224" s="83"/>
      <c r="U2224" s="104" t="str">
        <f>IF(
  AND(
    TRIM(A2224)=TRIM(Enginuity!$A$1),
    TRIM(B2224)=TRIM(Enginuity!$A$17),
    Q2224&lt;&gt;"",
    Q2224&lt;&gt;0,
    OR(
      TRIM(C2224)=TRIM(Enginuity!$A$18),
      AND(UPPER(TRIM(M2224))="STD", TRIM(B2224)=TRIM(Enginuity!$A$17))
    ),
    OR(
      AND(LEFT(P2224,5)="1-Way", Enginuity!$B$13=1),
      AND(LEFT(P2224,5)="2-Way", OR(Enginuity!$B$13=2, Enginuity!$B$13=4)),
      AND(LEFT(P2224,5)="3-Way", OR(Enginuity!$B$13=3, Enginuity!$B$13=6)),
      AND(P2224="Inner Centre Jamb", OR(Enginuity!$B$13=4, Enginuity!$B$13=6)),
      AND(
        LEFT(P2224,5)&lt;&gt;"1-Way",
        LEFT(P2224,5)&lt;&gt;"2-Way",
        LEFT(P2224,5)&lt;&gt;"3-Way",
        P2224&lt;&gt;"Inner Centre Jamb"
      )
    ),
    IF(OR(Enginuity!$A$1="Frameless Glass",Enginuity!$A$1="Metal Work"),
      AND(TRIM(B2224)=TRIM(Enginuity!$A$17),TRIM(C2224)=TRIM(Enginuity!$A$18)),
      TRIM(B2224)=TRIM(Enginuity!$A$17)
    )
  ),
  ROW(),
  ""
)</f>
        <v/>
      </c>
    </row>
    <row r="2225" spans="1:21" x14ac:dyDescent="0.25">
      <c r="A2225" s="10" t="s">
        <v>254</v>
      </c>
      <c r="B2225" s="229" t="s">
        <v>1513</v>
      </c>
      <c r="C2225" s="10" t="s">
        <v>97</v>
      </c>
      <c r="D2225" s="14"/>
      <c r="E2225" s="157"/>
      <c r="F2225" s="10"/>
      <c r="G2225" s="17"/>
      <c r="H2225" s="10"/>
      <c r="I2225" s="17"/>
      <c r="J2225" s="83"/>
      <c r="K2225" s="343"/>
      <c r="L2225" s="347"/>
      <c r="M2225" s="89">
        <v>32</v>
      </c>
      <c r="N2225" s="10" t="s">
        <v>176</v>
      </c>
      <c r="O2225" s="22" t="str">
        <f>IF(Enginuity!$A$21="12""H Top Hung Standard Casement Profile", $F$11,
IF(Enginuity!$A$21="12""H Top / Bottom Fix Standard Casement Profile", $F$12,
""))</f>
        <v/>
      </c>
      <c r="P2225" s="106" t="str">
        <f>Enginuity!$A$21</f>
        <v>SF 4"</v>
      </c>
      <c r="Q2225" s="22" t="str">
        <f>IF(O2225&lt;&gt;"",1,"")</f>
        <v/>
      </c>
      <c r="U2225" s="104" t="str">
        <f>IF(
  AND(
    TRIM(A2225)=TRIM(Enginuity!$A$1),
    TRIM(B2225)=TRIM(Enginuity!$A$17),
    Q2225&lt;&gt;"",
    Q2225&lt;&gt;0,
    OR(
      TRIM(C2225)=TRIM(Enginuity!$A$18),
      AND(UPPER(TRIM(M2225))="STD", TRIM(B2225)=TRIM(Enginuity!$A$17))
    ),
    OR(
      AND(LEFT(P2225,5)="1-Way", Enginuity!$B$13=1),
      AND(LEFT(P2225,5)="2-Way", OR(Enginuity!$B$13=2, Enginuity!$B$13=4)),
      AND(LEFT(P2225,5)="3-Way", OR(Enginuity!$B$13=3, Enginuity!$B$13=6)),
      AND(P2225="Inner Centre Jamb", OR(Enginuity!$B$13=4, Enginuity!$B$13=6)),
      AND(
        LEFT(P2225,5)&lt;&gt;"1-Way",
        LEFT(P2225,5)&lt;&gt;"2-Way",
        LEFT(P2225,5)&lt;&gt;"3-Way",
        P2225&lt;&gt;"Inner Centre Jamb"
      )
    ),
    IF(OR(Enginuity!$A$1="Frameless Glass",Enginuity!$A$1="Metal Work"),
      AND(TRIM(B2225)=TRIM(Enginuity!$A$17),TRIM(C2225)=TRIM(Enginuity!$A$18)),
      TRIM(B2225)=TRIM(Enginuity!$A$17)
    )
  ),
  ROW(),
  ""
)</f>
        <v/>
      </c>
    </row>
    <row r="2226" spans="1:21" x14ac:dyDescent="0.25">
      <c r="A2226" s="10" t="s">
        <v>254</v>
      </c>
      <c r="B2226" s="229" t="s">
        <v>1513</v>
      </c>
      <c r="C2226" s="10" t="s">
        <v>97</v>
      </c>
      <c r="D2226" s="14"/>
      <c r="E2226" s="157"/>
      <c r="F2226" s="10"/>
      <c r="G2226" s="17"/>
      <c r="H2226" s="10"/>
      <c r="I2226" s="17"/>
      <c r="J2226" s="83"/>
      <c r="K2226" s="343"/>
      <c r="L2226" s="347"/>
      <c r="M2226" s="89">
        <v>33</v>
      </c>
      <c r="N2226" s="10" t="s">
        <v>176</v>
      </c>
      <c r="O2226" s="22" t="str">
        <f>IF(Enginuity!$A$22="Subframe 1"" X 2""", $J$2, "")</f>
        <v/>
      </c>
      <c r="P2226" s="106" t="str">
        <f>Enginuity!$A$22</f>
        <v>▼ [Lattice]</v>
      </c>
      <c r="Q2226" s="22" t="str">
        <f>IF(O2226&lt;&gt;"",1,"")</f>
        <v/>
      </c>
      <c r="U2226" s="104" t="str">
        <f>IF(
  AND(
    TRIM(A2226)=TRIM(Enginuity!$A$1),
    TRIM(B2226)=TRIM(Enginuity!$A$17),
    Q2226&lt;&gt;"",
    Q2226&lt;&gt;0,
    OR(
      TRIM(C2226)=TRIM(Enginuity!$A$18),
      AND(UPPER(TRIM(M2226))="STD", TRIM(B2226)=TRIM(Enginuity!$A$17))
    ),
    OR(
      AND(LEFT(P2226,5)="1-Way", Enginuity!$B$13=1),
      AND(LEFT(P2226,5)="2-Way", OR(Enginuity!$B$13=2, Enginuity!$B$13=4)),
      AND(LEFT(P2226,5)="3-Way", OR(Enginuity!$B$13=3, Enginuity!$B$13=6)),
      AND(P2226="Inner Centre Jamb", OR(Enginuity!$B$13=4, Enginuity!$B$13=6)),
      AND(
        LEFT(P2226,5)&lt;&gt;"1-Way",
        LEFT(P2226,5)&lt;&gt;"2-Way",
        LEFT(P2226,5)&lt;&gt;"3-Way",
        P2226&lt;&gt;"Inner Centre Jamb"
      )
    ),
    IF(OR(Enginuity!$A$1="Frameless Glass",Enginuity!$A$1="Metal Work"),
      AND(TRIM(B2226)=TRIM(Enginuity!$A$17),TRIM(C2226)=TRIM(Enginuity!$A$18)),
      TRIM(B2226)=TRIM(Enginuity!$A$17)
    )
  ),
  ROW(),
  ""
)</f>
        <v/>
      </c>
    </row>
    <row r="2227" spans="1:21" x14ac:dyDescent="0.25">
      <c r="A2227" s="10" t="s">
        <v>254</v>
      </c>
      <c r="B2227" s="229" t="s">
        <v>1513</v>
      </c>
      <c r="C2227" s="10" t="s">
        <v>97</v>
      </c>
      <c r="D2227" s="14"/>
      <c r="E2227" s="157"/>
      <c r="F2227" s="10"/>
      <c r="G2227" s="17"/>
      <c r="H2227" s="10"/>
      <c r="I2227" s="17"/>
      <c r="J2227" s="83"/>
      <c r="K2227" s="343"/>
      <c r="L2227" s="347"/>
      <c r="M2227" s="89">
        <v>34</v>
      </c>
      <c r="N2227" s="10"/>
      <c r="O2227" s="22"/>
      <c r="P2227" s="14"/>
      <c r="Q2227" s="83"/>
      <c r="U2227" s="104" t="str">
        <f>IF(
  AND(
    TRIM(A2227)=TRIM(Enginuity!$A$1),
    TRIM(B2227)=TRIM(Enginuity!$A$17),
    Q2227&lt;&gt;"",
    Q2227&lt;&gt;0,
    OR(
      TRIM(C2227)=TRIM(Enginuity!$A$18),
      AND(UPPER(TRIM(M2227))="STD", TRIM(B2227)=TRIM(Enginuity!$A$17))
    ),
    OR(
      AND(LEFT(P2227,5)="1-Way", Enginuity!$B$13=1),
      AND(LEFT(P2227,5)="2-Way", OR(Enginuity!$B$13=2, Enginuity!$B$13=4)),
      AND(LEFT(P2227,5)="3-Way", OR(Enginuity!$B$13=3, Enginuity!$B$13=6)),
      AND(P2227="Inner Centre Jamb", OR(Enginuity!$B$13=4, Enginuity!$B$13=6)),
      AND(
        LEFT(P2227,5)&lt;&gt;"1-Way",
        LEFT(P2227,5)&lt;&gt;"2-Way",
        LEFT(P2227,5)&lt;&gt;"3-Way",
        P2227&lt;&gt;"Inner Centre Jamb"
      )
    ),
    IF(OR(Enginuity!$A$1="Frameless Glass",Enginuity!$A$1="Metal Work"),
      AND(TRIM(B2227)=TRIM(Enginuity!$A$17),TRIM(C2227)=TRIM(Enginuity!$A$18)),
      TRIM(B2227)=TRIM(Enginuity!$A$17)
    )
  ),
  ROW(),
  ""
)</f>
        <v/>
      </c>
    </row>
    <row r="2228" spans="1:21" x14ac:dyDescent="0.25">
      <c r="A2228" s="10" t="s">
        <v>254</v>
      </c>
      <c r="B2228" s="229" t="s">
        <v>1513</v>
      </c>
      <c r="C2228" s="10" t="s">
        <v>97</v>
      </c>
      <c r="D2228" s="14"/>
      <c r="E2228" s="157"/>
      <c r="F2228" s="10"/>
      <c r="G2228" s="17"/>
      <c r="H2228" s="10"/>
      <c r="I2228" s="17"/>
      <c r="J2228" s="83"/>
      <c r="K2228" s="343"/>
      <c r="L2228" s="347"/>
      <c r="M2228" s="89">
        <v>35</v>
      </c>
      <c r="N2228" s="10"/>
      <c r="O2228" s="22"/>
      <c r="P2228" s="14"/>
      <c r="Q2228" s="83"/>
      <c r="U2228" s="104" t="str">
        <f>IF(
  AND(
    TRIM(A2228)=TRIM(Enginuity!$A$1),
    TRIM(B2228)=TRIM(Enginuity!$A$17),
    Q2228&lt;&gt;"",
    Q2228&lt;&gt;0,
    OR(
      TRIM(C2228)=TRIM(Enginuity!$A$18),
      AND(UPPER(TRIM(M2228))="STD", TRIM(B2228)=TRIM(Enginuity!$A$17))
    ),
    OR(
      AND(LEFT(P2228,5)="1-Way", Enginuity!$B$13=1),
      AND(LEFT(P2228,5)="2-Way", OR(Enginuity!$B$13=2, Enginuity!$B$13=4)),
      AND(LEFT(P2228,5)="3-Way", OR(Enginuity!$B$13=3, Enginuity!$B$13=6)),
      AND(P2228="Inner Centre Jamb", OR(Enginuity!$B$13=4, Enginuity!$B$13=6)),
      AND(
        LEFT(P2228,5)&lt;&gt;"1-Way",
        LEFT(P2228,5)&lt;&gt;"2-Way",
        LEFT(P2228,5)&lt;&gt;"3-Way",
        P2228&lt;&gt;"Inner Centre Jamb"
      )
    ),
    IF(OR(Enginuity!$A$1="Frameless Glass",Enginuity!$A$1="Metal Work"),
      AND(TRIM(B2228)=TRIM(Enginuity!$A$17),TRIM(C2228)=TRIM(Enginuity!$A$18)),
      TRIM(B2228)=TRIM(Enginuity!$A$17)
    )
  ),
  ROW(),
  ""
)</f>
        <v/>
      </c>
    </row>
    <row r="2229" spans="1:21" x14ac:dyDescent="0.25">
      <c r="A2229" s="10" t="s">
        <v>254</v>
      </c>
      <c r="B2229" s="229" t="s">
        <v>1513</v>
      </c>
      <c r="C2229" s="10"/>
      <c r="D2229" s="14"/>
      <c r="E2229" s="157"/>
      <c r="F2229" s="10"/>
      <c r="G2229" s="17"/>
      <c r="H2229" s="10"/>
      <c r="I2229" s="17"/>
      <c r="J2229" s="83"/>
      <c r="K2229" s="343"/>
      <c r="L2229" s="347"/>
      <c r="M2229" s="89">
        <v>36</v>
      </c>
      <c r="N2229" s="10"/>
      <c r="O2229" s="22"/>
      <c r="P2229" s="14"/>
      <c r="Q2229" s="83"/>
      <c r="U2229" s="104" t="str">
        <f>IF(
  AND(
    TRIM(A2229)=TRIM(Enginuity!$A$1),
    TRIM(B2229)=TRIM(Enginuity!$A$17),
    Q2229&lt;&gt;"",
    Q2229&lt;&gt;0,
    OR(
      TRIM(C2229)=TRIM(Enginuity!$A$18),
      AND(UPPER(TRIM(M2229))="STD", TRIM(B2229)=TRIM(Enginuity!$A$17))
    ),
    OR(
      AND(LEFT(P2229,5)="1-Way", Enginuity!$B$13=1),
      AND(LEFT(P2229,5)="2-Way", OR(Enginuity!$B$13=2, Enginuity!$B$13=4)),
      AND(LEFT(P2229,5)="3-Way", OR(Enginuity!$B$13=3, Enginuity!$B$13=6)),
      AND(P2229="Inner Centre Jamb", OR(Enginuity!$B$13=4, Enginuity!$B$13=6)),
      AND(
        LEFT(P2229,5)&lt;&gt;"1-Way",
        LEFT(P2229,5)&lt;&gt;"2-Way",
        LEFT(P2229,5)&lt;&gt;"3-Way",
        P2229&lt;&gt;"Inner Centre Jamb"
      )
    ),
    IF(OR(Enginuity!$A$1="Frameless Glass",Enginuity!$A$1="Metal Work"),
      AND(TRIM(B2229)=TRIM(Enginuity!$A$17),TRIM(C2229)=TRIM(Enginuity!$A$18)),
      TRIM(B2229)=TRIM(Enginuity!$A$17)
    )
  ),
  ROW(),
  ""
)</f>
        <v/>
      </c>
    </row>
    <row r="2230" spans="1:21" x14ac:dyDescent="0.25">
      <c r="A2230" s="10" t="s">
        <v>254</v>
      </c>
      <c r="B2230" s="229" t="s">
        <v>1513</v>
      </c>
      <c r="C2230" s="10"/>
      <c r="D2230" s="14"/>
      <c r="E2230" s="157"/>
      <c r="F2230" s="10"/>
      <c r="G2230" s="17"/>
      <c r="H2230" s="10"/>
      <c r="I2230" s="17"/>
      <c r="J2230" s="83"/>
      <c r="K2230" s="343"/>
      <c r="L2230" s="347"/>
      <c r="M2230" s="89">
        <v>37</v>
      </c>
      <c r="N2230" s="10"/>
      <c r="O2230" s="22"/>
      <c r="P2230" s="14"/>
      <c r="Q2230" s="98"/>
      <c r="U2230" s="104" t="str">
        <f>IF(
  AND(
    TRIM(A2230)=TRIM(Enginuity!$A$1),
    TRIM(B2230)=TRIM(Enginuity!$A$17),
    Q2230&lt;&gt;"",
    Q2230&lt;&gt;0,
    OR(
      TRIM(C2230)=TRIM(Enginuity!$A$18),
      AND(UPPER(TRIM(M2230))="STD", TRIM(B2230)=TRIM(Enginuity!$A$17))
    ),
    OR(
      AND(LEFT(P2230,5)="1-Way", Enginuity!$B$13=1),
      AND(LEFT(P2230,5)="2-Way", OR(Enginuity!$B$13=2, Enginuity!$B$13=4)),
      AND(LEFT(P2230,5)="3-Way", OR(Enginuity!$B$13=3, Enginuity!$B$13=6)),
      AND(P2230="Inner Centre Jamb", OR(Enginuity!$B$13=4, Enginuity!$B$13=6)),
      AND(
        LEFT(P2230,5)&lt;&gt;"1-Way",
        LEFT(P2230,5)&lt;&gt;"2-Way",
        LEFT(P2230,5)&lt;&gt;"3-Way",
        P2230&lt;&gt;"Inner Centre Jamb"
      )
    ),
    IF(OR(Enginuity!$A$1="Frameless Glass",Enginuity!$A$1="Metal Work"),
      AND(TRIM(B2230)=TRIM(Enginuity!$A$17),TRIM(C2230)=TRIM(Enginuity!$A$18)),
      TRIM(B2230)=TRIM(Enginuity!$A$17)
    )
  ),
  ROW(),
  ""
)</f>
        <v/>
      </c>
    </row>
    <row r="2231" spans="1:21" x14ac:dyDescent="0.25">
      <c r="A2231" s="10" t="s">
        <v>254</v>
      </c>
      <c r="B2231" s="229" t="s">
        <v>1513</v>
      </c>
      <c r="C2231" s="10"/>
      <c r="D2231" s="14"/>
      <c r="E2231" s="157"/>
      <c r="F2231" s="10"/>
      <c r="G2231" s="17"/>
      <c r="H2231" s="10"/>
      <c r="I2231" s="17"/>
      <c r="J2231" s="83"/>
      <c r="K2231" s="343"/>
      <c r="L2231" s="347"/>
      <c r="M2231" s="89">
        <v>38</v>
      </c>
      <c r="N2231" s="10"/>
      <c r="O2231" s="22"/>
      <c r="P2231" s="14"/>
      <c r="Q2231" s="83"/>
      <c r="U2231" s="104" t="str">
        <f>IF(
  AND(
    TRIM(A2231)=TRIM(Enginuity!$A$1),
    TRIM(B2231)=TRIM(Enginuity!$A$17),
    Q2231&lt;&gt;"",
    Q2231&lt;&gt;0,
    OR(
      TRIM(C2231)=TRIM(Enginuity!$A$18),
      AND(UPPER(TRIM(M2231))="STD", TRIM(B2231)=TRIM(Enginuity!$A$17))
    ),
    OR(
      AND(LEFT(P2231,5)="1-Way", Enginuity!$B$13=1),
      AND(LEFT(P2231,5)="2-Way", OR(Enginuity!$B$13=2, Enginuity!$B$13=4)),
      AND(LEFT(P2231,5)="3-Way", OR(Enginuity!$B$13=3, Enginuity!$B$13=6)),
      AND(P2231="Inner Centre Jamb", OR(Enginuity!$B$13=4, Enginuity!$B$13=6)),
      AND(
        LEFT(P2231,5)&lt;&gt;"1-Way",
        LEFT(P2231,5)&lt;&gt;"2-Way",
        LEFT(P2231,5)&lt;&gt;"3-Way",
        P2231&lt;&gt;"Inner Centre Jamb"
      )
    ),
    IF(OR(Enginuity!$A$1="Frameless Glass",Enginuity!$A$1="Metal Work"),
      AND(TRIM(B2231)=TRIM(Enginuity!$A$17),TRIM(C2231)=TRIM(Enginuity!$A$18)),
      TRIM(B2231)=TRIM(Enginuity!$A$17)
    )
  ),
  ROW(),
  ""
)</f>
        <v/>
      </c>
    </row>
    <row r="2232" spans="1:21" x14ac:dyDescent="0.25">
      <c r="A2232" s="10" t="s">
        <v>254</v>
      </c>
      <c r="B2232" s="229" t="s">
        <v>1513</v>
      </c>
      <c r="C2232" s="10"/>
      <c r="D2232" s="14"/>
      <c r="E2232" s="157"/>
      <c r="F2232" s="10"/>
      <c r="G2232" s="17"/>
      <c r="H2232" s="10"/>
      <c r="I2232" s="17"/>
      <c r="J2232" s="83"/>
      <c r="K2232" s="343"/>
      <c r="L2232" s="347"/>
      <c r="M2232" s="89">
        <v>39</v>
      </c>
      <c r="N2232" s="10"/>
      <c r="O2232" s="22"/>
      <c r="P2232" s="14"/>
      <c r="Q2232" s="83"/>
      <c r="U2232" s="104" t="str">
        <f>IF(
  AND(
    TRIM(A2232)=TRIM(Enginuity!$A$1),
    TRIM(B2232)=TRIM(Enginuity!$A$17),
    Q2232&lt;&gt;"",
    Q2232&lt;&gt;0,
    OR(
      TRIM(C2232)=TRIM(Enginuity!$A$18),
      AND(UPPER(TRIM(M2232))="STD", TRIM(B2232)=TRIM(Enginuity!$A$17))
    ),
    OR(
      AND(LEFT(P2232,5)="1-Way", Enginuity!$B$13=1),
      AND(LEFT(P2232,5)="2-Way", OR(Enginuity!$B$13=2, Enginuity!$B$13=4)),
      AND(LEFT(P2232,5)="3-Way", OR(Enginuity!$B$13=3, Enginuity!$B$13=6)),
      AND(P2232="Inner Centre Jamb", OR(Enginuity!$B$13=4, Enginuity!$B$13=6)),
      AND(
        LEFT(P2232,5)&lt;&gt;"1-Way",
        LEFT(P2232,5)&lt;&gt;"2-Way",
        LEFT(P2232,5)&lt;&gt;"3-Way",
        P2232&lt;&gt;"Inner Centre Jamb"
      )
    ),
    IF(OR(Enginuity!$A$1="Frameless Glass",Enginuity!$A$1="Metal Work"),
      AND(TRIM(B2232)=TRIM(Enginuity!$A$17),TRIM(C2232)=TRIM(Enginuity!$A$18)),
      TRIM(B2232)=TRIM(Enginuity!$A$17)
    )
  ),
  ROW(),
  ""
)</f>
        <v/>
      </c>
    </row>
    <row r="2233" spans="1:21" x14ac:dyDescent="0.25">
      <c r="A2233" s="10" t="s">
        <v>254</v>
      </c>
      <c r="B2233" s="229" t="s">
        <v>1513</v>
      </c>
      <c r="C2233" s="10"/>
      <c r="D2233" s="14"/>
      <c r="E2233" s="157"/>
      <c r="F2233" s="10"/>
      <c r="G2233" s="17"/>
      <c r="H2233" s="10"/>
      <c r="I2233" s="17"/>
      <c r="J2233" s="83"/>
      <c r="K2233" s="343"/>
      <c r="L2233" s="347"/>
      <c r="M2233" s="10" t="s">
        <v>117</v>
      </c>
      <c r="N2233" s="10" t="s">
        <v>121</v>
      </c>
      <c r="O2233" s="22" t="str">
        <f>$O$2</f>
        <v/>
      </c>
      <c r="P2233" s="21" t="str">
        <f>Enginuity!$A$19</f>
        <v>W/G</v>
      </c>
      <c r="Q2233" s="83">
        <f>IF(
  OR(Enginuity!$B$6="", Enginuity!$B$7=""),
  "",
  IF(
    Enginuity!$B$8="",
    Enginuity!$B$6 * Enginuity!$B$7,
    Enginuity!$B$6*Enginuity!$B$7 + 2*Enginuity!$B$6*Enginuity!$B$8 + 2*Enginuity!$B$7*Enginuity!$B$8
  )
)</f>
        <v>260</v>
      </c>
      <c r="U2233" s="104" t="str">
        <f>IF(
  AND(
    TRIM(A2233)=TRIM(Enginuity!$A$1),
    TRIM(B2233)=TRIM(Enginuity!$A$17),
    Q2233&lt;&gt;"",
    Q2233&lt;&gt;0,
    OR(
      TRIM(C2233)=TRIM(Enginuity!$A$18),
      AND(UPPER(TRIM(M2233))="STD", TRIM(B2233)=TRIM(Enginuity!$A$17))
    ),
    OR(
      AND(LEFT(P2233,5)="1-Way", Enginuity!$B$13=1),
      AND(LEFT(P2233,5)="2-Way", OR(Enginuity!$B$13=2, Enginuity!$B$13=4)),
      AND(LEFT(P2233,5)="3-Way", OR(Enginuity!$B$13=3, Enginuity!$B$13=6)),
      AND(P2233="Inner Centre Jamb", OR(Enginuity!$B$13=4, Enginuity!$B$13=6)),
      AND(
        LEFT(P2233,5)&lt;&gt;"1-Way",
        LEFT(P2233,5)&lt;&gt;"2-Way",
        LEFT(P2233,5)&lt;&gt;"3-Way",
        P2233&lt;&gt;"Inner Centre Jamb"
      )
    ),
    IF(OR(Enginuity!$A$1="Frameless Glass",Enginuity!$A$1="Metal Work"),
      AND(TRIM(B2233)=TRIM(Enginuity!$A$17),TRIM(C2233)=TRIM(Enginuity!$A$18)),
      TRIM(B2233)=TRIM(Enginuity!$A$17)
    )
  ),
  ROW(),
  ""
)</f>
        <v/>
      </c>
    </row>
    <row r="2234" spans="1:21" x14ac:dyDescent="0.25">
      <c r="A2234" s="10" t="s">
        <v>254</v>
      </c>
      <c r="B2234" s="229" t="s">
        <v>1513</v>
      </c>
      <c r="C2234" s="10"/>
      <c r="D2234" s="14"/>
      <c r="E2234" s="157"/>
      <c r="F2234" s="10"/>
      <c r="G2234" s="17"/>
      <c r="H2234" s="10"/>
      <c r="I2234" s="17"/>
      <c r="J2234" s="83"/>
      <c r="K2234" s="343"/>
      <c r="L2234" s="347"/>
      <c r="M2234" s="10" t="s">
        <v>117</v>
      </c>
      <c r="N2234" s="10" t="s">
        <v>103</v>
      </c>
      <c r="O2234" s="22">
        <v>0.20379744565899399</v>
      </c>
      <c r="P2234" s="14" t="s">
        <v>115</v>
      </c>
      <c r="Q2234" s="83">
        <f>IF(AND(Enginuity!$B$6&gt;0, Enginuity!$B$7&gt;0), ROUND(((Enginuity!$B$6 + Enginuity!$B$7) * 2), 2), "")</f>
        <v>66</v>
      </c>
      <c r="U2234" s="104" t="str">
        <f>IF(
  AND(
    TRIM(A2234)=TRIM(Enginuity!$A$1),
    TRIM(B2234)=TRIM(Enginuity!$A$17),
    Q2234&lt;&gt;"",
    Q2234&lt;&gt;0,
    OR(
      TRIM(C2234)=TRIM(Enginuity!$A$18),
      AND(UPPER(TRIM(M2234))="STD", TRIM(B2234)=TRIM(Enginuity!$A$17))
    ),
    OR(
      AND(LEFT(P2234,5)="1-Way", Enginuity!$B$13=1),
      AND(LEFT(P2234,5)="2-Way", OR(Enginuity!$B$13=2, Enginuity!$B$13=4)),
      AND(LEFT(P2234,5)="3-Way", OR(Enginuity!$B$13=3, Enginuity!$B$13=6)),
      AND(P2234="Inner Centre Jamb", OR(Enginuity!$B$13=4, Enginuity!$B$13=6)),
      AND(
        LEFT(P2234,5)&lt;&gt;"1-Way",
        LEFT(P2234,5)&lt;&gt;"2-Way",
        LEFT(P2234,5)&lt;&gt;"3-Way",
        P2234&lt;&gt;"Inner Centre Jamb"
      )
    ),
    IF(OR(Enginuity!$A$1="Frameless Glass",Enginuity!$A$1="Metal Work"),
      AND(TRIM(B2234)=TRIM(Enginuity!$A$17),TRIM(C2234)=TRIM(Enginuity!$A$18)),
      TRIM(B2234)=TRIM(Enginuity!$A$17)
    )
  ),
  ROW(),
  ""
)</f>
        <v/>
      </c>
    </row>
    <row r="2235" spans="1:21" x14ac:dyDescent="0.25">
      <c r="A2235" s="10" t="s">
        <v>254</v>
      </c>
      <c r="B2235" s="229" t="s">
        <v>1513</v>
      </c>
      <c r="C2235" s="10"/>
      <c r="D2235" s="14"/>
      <c r="E2235" s="157"/>
      <c r="F2235" s="10"/>
      <c r="G2235" s="17"/>
      <c r="H2235" s="10"/>
      <c r="I2235" s="17"/>
      <c r="J2235" s="83"/>
      <c r="K2235" s="343"/>
      <c r="L2235" s="347"/>
      <c r="M2235" s="10" t="s">
        <v>117</v>
      </c>
      <c r="N2235" s="10" t="s">
        <v>103</v>
      </c>
      <c r="O2235" s="22">
        <v>0.20379744565899399</v>
      </c>
      <c r="P2235" s="14" t="s">
        <v>116</v>
      </c>
      <c r="Q2235" s="83">
        <f>IF(AND(Enginuity!$B$6&gt;0, Enginuity!$B$7&gt;0, Enginuity!$B$13&gt;0), (2 * Enginuity!$B$7 * Enginuity!$B$13) + (2 * Enginuity!$B$6), "")</f>
        <v>222</v>
      </c>
      <c r="U2235" s="104" t="str">
        <f>IF(
  AND(
    TRIM(A2235)=TRIM(Enginuity!$A$1),
    TRIM(B2235)=TRIM(Enginuity!$A$17),
    Q2235&lt;&gt;"",
    Q2235&lt;&gt;0,
    OR(
      TRIM(C2235)=TRIM(Enginuity!$A$18),
      AND(UPPER(TRIM(M2235))="STD", TRIM(B2235)=TRIM(Enginuity!$A$17))
    ),
    OR(
      AND(LEFT(P2235,5)="1-Way", Enginuity!$B$13=1),
      AND(LEFT(P2235,5)="2-Way", OR(Enginuity!$B$13=2, Enginuity!$B$13=4)),
      AND(LEFT(P2235,5)="3-Way", OR(Enginuity!$B$13=3, Enginuity!$B$13=6)),
      AND(P2235="Inner Centre Jamb", OR(Enginuity!$B$13=4, Enginuity!$B$13=6)),
      AND(
        LEFT(P2235,5)&lt;&gt;"1-Way",
        LEFT(P2235,5)&lt;&gt;"2-Way",
        LEFT(P2235,5)&lt;&gt;"3-Way",
        P2235&lt;&gt;"Inner Centre Jamb"
      )
    ),
    IF(OR(Enginuity!$A$1="Frameless Glass",Enginuity!$A$1="Metal Work"),
      AND(TRIM(B2235)=TRIM(Enginuity!$A$17),TRIM(C2235)=TRIM(Enginuity!$A$18)),
      TRIM(B2235)=TRIM(Enginuity!$A$17)
    )
  ),
  ROW(),
  ""
)</f>
        <v/>
      </c>
    </row>
    <row r="2236" spans="1:21" x14ac:dyDescent="0.25">
      <c r="A2236" s="10" t="s">
        <v>254</v>
      </c>
      <c r="B2236" s="229" t="s">
        <v>1513</v>
      </c>
      <c r="C2236" s="10"/>
      <c r="D2236" s="14"/>
      <c r="E2236" s="157"/>
      <c r="F2236" s="10"/>
      <c r="G2236" s="17"/>
      <c r="H2236" s="10"/>
      <c r="I2236" s="17"/>
      <c r="J2236" s="83"/>
      <c r="K2236" s="343"/>
      <c r="L2236" s="347"/>
      <c r="M2236" s="10" t="s">
        <v>117</v>
      </c>
      <c r="N2236" s="10" t="s">
        <v>103</v>
      </c>
      <c r="O2236" s="22">
        <v>0.20379744565899399</v>
      </c>
      <c r="P2236" s="14" t="s">
        <v>272</v>
      </c>
      <c r="Q2236" s="83">
        <f>IF(AND(Enginuity!$B$6&gt;0, Enginuity!$B$7&gt;0, Enginuity!$B$13&gt;0), ((2*Enginuity!$B$7*Enginuity!$B$13)+(2*Enginuity!$B$6))*2, "")</f>
        <v>444</v>
      </c>
      <c r="U2236" s="104" t="str">
        <f>IF(
  AND(
    TRIM(A2236)=TRIM(Enginuity!$A$1),
    TRIM(B2236)=TRIM(Enginuity!$A$17),
    Q2236&lt;&gt;"",
    Q2236&lt;&gt;0,
    OR(
      TRIM(C2236)=TRIM(Enginuity!$A$18),
      AND(UPPER(TRIM(M2236))="STD", TRIM(B2236)=TRIM(Enginuity!$A$17))
    ),
    OR(
      AND(LEFT(P2236,5)="1-Way", Enginuity!$B$13=1),
      AND(LEFT(P2236,5)="2-Way", OR(Enginuity!$B$13=2, Enginuity!$B$13=4)),
      AND(LEFT(P2236,5)="3-Way", OR(Enginuity!$B$13=3, Enginuity!$B$13=6)),
      AND(P2236="Inner Centre Jamb", OR(Enginuity!$B$13=4, Enginuity!$B$13=6)),
      AND(
        LEFT(P2236,5)&lt;&gt;"1-Way",
        LEFT(P2236,5)&lt;&gt;"2-Way",
        LEFT(P2236,5)&lt;&gt;"3-Way",
        P2236&lt;&gt;"Inner Centre Jamb"
      )
    ),
    IF(OR(Enginuity!$A$1="Frameless Glass",Enginuity!$A$1="Metal Work"),
      AND(TRIM(B2236)=TRIM(Enginuity!$A$17),TRIM(C2236)=TRIM(Enginuity!$A$18)),
      TRIM(B2236)=TRIM(Enginuity!$A$17)
    )
  ),
  ROW(),
  ""
)</f>
        <v/>
      </c>
    </row>
    <row r="2237" spans="1:21" x14ac:dyDescent="0.25">
      <c r="A2237" s="10" t="s">
        <v>254</v>
      </c>
      <c r="B2237" s="229" t="s">
        <v>1513</v>
      </c>
      <c r="C2237" s="10"/>
      <c r="D2237" s="14"/>
      <c r="E2237" s="157"/>
      <c r="F2237" s="10"/>
      <c r="G2237" s="17"/>
      <c r="H2237" s="10"/>
      <c r="I2237" s="17"/>
      <c r="J2237" s="83"/>
      <c r="K2237" s="343"/>
      <c r="L2237" s="347"/>
      <c r="M2237" s="10" t="s">
        <v>117</v>
      </c>
      <c r="N2237" s="10" t="s">
        <v>103</v>
      </c>
      <c r="O2237" s="22">
        <v>0.12</v>
      </c>
      <c r="P2237" s="14" t="s">
        <v>273</v>
      </c>
      <c r="Q2237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576</v>
      </c>
      <c r="U2237" s="104" t="str">
        <f>IF(
  AND(
    TRIM(A2237)=TRIM(Enginuity!$A$1),
    TRIM(B2237)=TRIM(Enginuity!$A$17),
    Q2237&lt;&gt;"",
    Q2237&lt;&gt;0,
    OR(
      TRIM(C2237)=TRIM(Enginuity!$A$18),
      AND(UPPER(TRIM(M2237))="STD", TRIM(B2237)=TRIM(Enginuity!$A$17))
    ),
    OR(
      AND(LEFT(P2237,5)="1-Way", Enginuity!$B$13=1),
      AND(LEFT(P2237,5)="2-Way", OR(Enginuity!$B$13=2, Enginuity!$B$13=4)),
      AND(LEFT(P2237,5)="3-Way", OR(Enginuity!$B$13=3, Enginuity!$B$13=6)),
      AND(P2237="Inner Centre Jamb", OR(Enginuity!$B$13=4, Enginuity!$B$13=6)),
      AND(
        LEFT(P2237,5)&lt;&gt;"1-Way",
        LEFT(P2237,5)&lt;&gt;"2-Way",
        LEFT(P2237,5)&lt;&gt;"3-Way",
        P2237&lt;&gt;"Inner Centre Jamb"
      )
    ),
    IF(OR(Enginuity!$A$1="Frameless Glass",Enginuity!$A$1="Metal Work"),
      AND(TRIM(B2237)=TRIM(Enginuity!$A$17),TRIM(C2237)=TRIM(Enginuity!$A$18)),
      TRIM(B2237)=TRIM(Enginuity!$A$17)
    )
  ),
  ROW(),
  ""
)</f>
        <v/>
      </c>
    </row>
    <row r="2238" spans="1:21" x14ac:dyDescent="0.25">
      <c r="A2238" s="10" t="s">
        <v>254</v>
      </c>
      <c r="B2238" s="229" t="s">
        <v>1513</v>
      </c>
      <c r="C2238" s="10"/>
      <c r="D2238" s="14"/>
      <c r="E2238" s="157"/>
      <c r="F2238" s="10"/>
      <c r="G2238" s="17"/>
      <c r="H2238" s="10"/>
      <c r="I2238" s="17"/>
      <c r="J2238" s="83"/>
      <c r="K2238" s="343"/>
      <c r="L2238" s="347"/>
      <c r="M2238" s="10" t="s">
        <v>117</v>
      </c>
      <c r="N2238" s="10" t="s">
        <v>112</v>
      </c>
      <c r="O2238" s="22">
        <v>1.4</v>
      </c>
      <c r="P2238" s="14" t="s">
        <v>113</v>
      </c>
      <c r="Q2238" s="83" t="str">
        <f>IF(
  TRIM(Enginuity!$A$21)="1'H X ?'W X Qty Panel Top Hung (Casement Profile)",
  Enginuity!$B$13,
  ""
)</f>
        <v/>
      </c>
      <c r="U2238" s="104" t="str">
        <f>IF(
  AND(
    TRIM(A2238)=TRIM(Enginuity!$A$1),
    TRIM(B2238)=TRIM(Enginuity!$A$17),
    Q2238&lt;&gt;"",
    Q2238&lt;&gt;0,
    OR(
      TRIM(C2238)=TRIM(Enginuity!$A$18),
      AND(UPPER(TRIM(M2238))="STD", TRIM(B2238)=TRIM(Enginuity!$A$17))
    ),
    OR(
      AND(LEFT(P2238,5)="1-Way", Enginuity!$B$13=1),
      AND(LEFT(P2238,5)="2-Way", OR(Enginuity!$B$13=2, Enginuity!$B$13=4)),
      AND(LEFT(P2238,5)="3-Way", OR(Enginuity!$B$13=3, Enginuity!$B$13=6)),
      AND(P2238="Inner Centre Jamb", OR(Enginuity!$B$13=4, Enginuity!$B$13=6)),
      AND(
        LEFT(P2238,5)&lt;&gt;"1-Way",
        LEFT(P2238,5)&lt;&gt;"2-Way",
        LEFT(P2238,5)&lt;&gt;"3-Way",
        P2238&lt;&gt;"Inner Centre Jamb"
      )
    ),
    IF(OR(Enginuity!$A$1="Frameless Glass",Enginuity!$A$1="Metal Work"),
      AND(TRIM(B2238)=TRIM(Enginuity!$A$17),TRIM(C2238)=TRIM(Enginuity!$A$18)),
      TRIM(B2238)=TRIM(Enginuity!$A$17)
    )
  ),
  ROW(),
  ""
)</f>
        <v/>
      </c>
    </row>
    <row r="2239" spans="1:21" x14ac:dyDescent="0.25">
      <c r="A2239" s="10" t="s">
        <v>254</v>
      </c>
      <c r="B2239" s="229" t="s">
        <v>1513</v>
      </c>
      <c r="C2239" s="10"/>
      <c r="D2239" s="14"/>
      <c r="E2239" s="157"/>
      <c r="F2239" s="10"/>
      <c r="G2239" s="17"/>
      <c r="H2239" s="10"/>
      <c r="I2239" s="17"/>
      <c r="J2239" s="83"/>
      <c r="K2239" s="343"/>
      <c r="L2239" s="347"/>
      <c r="M2239" s="10" t="s">
        <v>117</v>
      </c>
      <c r="N2239" s="88" t="s">
        <v>111</v>
      </c>
      <c r="O2239" s="22">
        <v>4.5</v>
      </c>
      <c r="P2239" s="36" t="s">
        <v>124</v>
      </c>
      <c r="Q2239" s="83" t="str">
        <f>IF(
  TRIM(Enginuity!$A$21)="1'H X ?'W X Qty Panel Top Hung (Casement Profile)",
  Enginuity!$B$13,
  ""
)</f>
        <v/>
      </c>
      <c r="U2239" s="104" t="str">
        <f>IF(
  AND(
    TRIM(A2239)=TRIM(Enginuity!$A$1),
    TRIM(B2239)=TRIM(Enginuity!$A$17),
    Q2239&lt;&gt;"",
    Q2239&lt;&gt;0,
    OR(
      TRIM(C2239)=TRIM(Enginuity!$A$18),
      AND(UPPER(TRIM(M2239))="STD", TRIM(B2239)=TRIM(Enginuity!$A$17))
    ),
    OR(
      AND(LEFT(P2239,5)="1-Way", Enginuity!$B$13=1),
      AND(LEFT(P2239,5)="2-Way", OR(Enginuity!$B$13=2, Enginuity!$B$13=4)),
      AND(LEFT(P2239,5)="3-Way", OR(Enginuity!$B$13=3, Enginuity!$B$13=6)),
      AND(P2239="Inner Centre Jamb", OR(Enginuity!$B$13=4, Enginuity!$B$13=6)),
      AND(
        LEFT(P2239,5)&lt;&gt;"1-Way",
        LEFT(P2239,5)&lt;&gt;"2-Way",
        LEFT(P2239,5)&lt;&gt;"3-Way",
        P2239&lt;&gt;"Inner Centre Jamb"
      )
    ),
    IF(OR(Enginuity!$A$1="Frameless Glass",Enginuity!$A$1="Metal Work"),
      AND(TRIM(B2239)=TRIM(Enginuity!$A$17),TRIM(C2239)=TRIM(Enginuity!$A$18)),
      TRIM(B2239)=TRIM(Enginuity!$A$17)
    )
  ),
  ROW(),
  ""
)</f>
        <v/>
      </c>
    </row>
    <row r="2240" spans="1:21" x14ac:dyDescent="0.25">
      <c r="A2240" s="10" t="s">
        <v>254</v>
      </c>
      <c r="B2240" s="229" t="s">
        <v>1513</v>
      </c>
      <c r="C2240" s="10"/>
      <c r="D2240" s="14"/>
      <c r="E2240" s="157"/>
      <c r="F2240" s="10"/>
      <c r="G2240" s="17"/>
      <c r="H2240" s="10"/>
      <c r="I2240" s="17"/>
      <c r="J2240" s="83"/>
      <c r="K2240" s="343"/>
      <c r="L2240" s="347"/>
      <c r="M2240" s="10" t="s">
        <v>117</v>
      </c>
      <c r="N2240" s="10" t="s">
        <v>112</v>
      </c>
      <c r="O2240" s="22">
        <v>12</v>
      </c>
      <c r="P2240" s="14" t="s">
        <v>1514</v>
      </c>
      <c r="Q2240" s="83">
        <f>Enginuity!$B$13</f>
        <v>7</v>
      </c>
      <c r="U2240" s="104" t="str">
        <f>IF(
  AND(
    TRIM(A2240)=TRIM(Enginuity!$A$1),
    TRIM(B2240)=TRIM(Enginuity!$A$17),
    Q2240&lt;&gt;"",
    Q2240&lt;&gt;0,
    OR(
      TRIM(C2240)=TRIM(Enginuity!$A$18),
      AND(UPPER(TRIM(M2240))="STD", TRIM(B2240)=TRIM(Enginuity!$A$17))
    ),
    OR(
      AND(LEFT(P2240,5)="1-Way", Enginuity!$B$13=1),
      AND(LEFT(P2240,5)="2-Way", OR(Enginuity!$B$13=2, Enginuity!$B$13=4)),
      AND(LEFT(P2240,5)="3-Way", OR(Enginuity!$B$13=3, Enginuity!$B$13=6)),
      AND(P2240="Inner Centre Jamb", OR(Enginuity!$B$13=4, Enginuity!$B$13=6)),
      AND(
        LEFT(P2240,5)&lt;&gt;"1-Way",
        LEFT(P2240,5)&lt;&gt;"2-Way",
        LEFT(P2240,5)&lt;&gt;"3-Way",
        P2240&lt;&gt;"Inner Centre Jamb"
      )
    ),
    IF(OR(Enginuity!$A$1="Frameless Glass",Enginuity!$A$1="Metal Work"),
      AND(TRIM(B2240)=TRIM(Enginuity!$A$17),TRIM(C2240)=TRIM(Enginuity!$A$18)),
      TRIM(B2240)=TRIM(Enginuity!$A$17)
    )
  ),
  ROW(),
  ""
)</f>
        <v/>
      </c>
    </row>
    <row r="2241" spans="1:21" x14ac:dyDescent="0.25">
      <c r="A2241" s="10" t="s">
        <v>254</v>
      </c>
      <c r="B2241" s="229" t="s">
        <v>1513</v>
      </c>
      <c r="C2241" s="10"/>
      <c r="D2241" s="14"/>
      <c r="E2241" s="157"/>
      <c r="F2241" s="10"/>
      <c r="G2241" s="17"/>
      <c r="H2241" s="10"/>
      <c r="I2241" s="17"/>
      <c r="J2241" s="83"/>
      <c r="K2241" s="343"/>
      <c r="L2241" s="347"/>
      <c r="M2241" s="10" t="s">
        <v>117</v>
      </c>
      <c r="N2241" s="88" t="s">
        <v>112</v>
      </c>
      <c r="O2241" s="22">
        <v>0.7</v>
      </c>
      <c r="P2241" s="14" t="s">
        <v>122</v>
      </c>
      <c r="Q2241" s="83">
        <f>Enginuity!$B$13*4</f>
        <v>28</v>
      </c>
      <c r="U2241" s="104" t="str">
        <f>IF(
  AND(
    TRIM(A2241)=TRIM(Enginuity!$A$1),
    TRIM(B2241)=TRIM(Enginuity!$A$17),
    Q2241&lt;&gt;"",
    Q2241&lt;&gt;0,
    OR(
      TRIM(C2241)=TRIM(Enginuity!$A$18),
      AND(UPPER(TRIM(M2241))="STD", TRIM(B2241)=TRIM(Enginuity!$A$17))
    ),
    OR(
      AND(LEFT(P2241,5)="1-Way", Enginuity!$B$13=1),
      AND(LEFT(P2241,5)="2-Way", OR(Enginuity!$B$13=2, Enginuity!$B$13=4)),
      AND(LEFT(P2241,5)="3-Way", OR(Enginuity!$B$13=3, Enginuity!$B$13=6)),
      AND(P2241="Inner Centre Jamb", OR(Enginuity!$B$13=4, Enginuity!$B$13=6)),
      AND(
        LEFT(P2241,5)&lt;&gt;"1-Way",
        LEFT(P2241,5)&lt;&gt;"2-Way",
        LEFT(P2241,5)&lt;&gt;"3-Way",
        P2241&lt;&gt;"Inner Centre Jamb"
      )
    ),
    IF(OR(Enginuity!$A$1="Frameless Glass",Enginuity!$A$1="Metal Work"),
      AND(TRIM(B2241)=TRIM(Enginuity!$A$17),TRIM(C2241)=TRIM(Enginuity!$A$18)),
      TRIM(B2241)=TRIM(Enginuity!$A$17)
    )
  ),
  ROW(),
  ""
)</f>
        <v/>
      </c>
    </row>
    <row r="2242" spans="1:21" x14ac:dyDescent="0.25">
      <c r="A2242" s="17" t="s">
        <v>254</v>
      </c>
      <c r="B2242" s="230" t="s">
        <v>1513</v>
      </c>
      <c r="C2242" s="17"/>
      <c r="D2242" s="18"/>
      <c r="E2242" s="238"/>
      <c r="F2242" s="17"/>
      <c r="G2242" s="17"/>
      <c r="H2242" s="10"/>
      <c r="I2242" s="17"/>
      <c r="J2242" s="83"/>
      <c r="K2242" s="343"/>
      <c r="L2242" s="347"/>
      <c r="M2242" s="17" t="s">
        <v>117</v>
      </c>
      <c r="N2242" s="91" t="s">
        <v>112</v>
      </c>
      <c r="O2242" s="25">
        <v>2</v>
      </c>
      <c r="P2242" s="18" t="s">
        <v>140</v>
      </c>
      <c r="Q2242" s="84">
        <f>Enginuity!$B$13*2</f>
        <v>14</v>
      </c>
      <c r="U2242" s="104" t="str">
        <f>IF(
  AND(
    TRIM(A2242)=TRIM(Enginuity!$A$1),
    TRIM(B2242)=TRIM(Enginuity!$A$17),
    Q2242&lt;&gt;"",
    Q2242&lt;&gt;0,
    OR(
      TRIM(C2242)=TRIM(Enginuity!$A$18),
      AND(UPPER(TRIM(M2242))="STD", TRIM(B2242)=TRIM(Enginuity!$A$17))
    ),
    OR(
      AND(LEFT(P2242,5)="1-Way", Enginuity!$B$13=1),
      AND(LEFT(P2242,5)="2-Way", OR(Enginuity!$B$13=2, Enginuity!$B$13=4)),
      AND(LEFT(P2242,5)="3-Way", OR(Enginuity!$B$13=3, Enginuity!$B$13=6)),
      AND(P2242="Inner Centre Jamb", OR(Enginuity!$B$13=4, Enginuity!$B$13=6)),
      AND(
        LEFT(P2242,5)&lt;&gt;"1-Way",
        LEFT(P2242,5)&lt;&gt;"2-Way",
        LEFT(P2242,5)&lt;&gt;"3-Way",
        P2242&lt;&gt;"Inner Centre Jamb"
      )
    ),
    IF(OR(Enginuity!$A$1="Frameless Glass",Enginuity!$A$1="Metal Work"),
      AND(TRIM(B2242)=TRIM(Enginuity!$A$17),TRIM(C2242)=TRIM(Enginuity!$A$18)),
      TRIM(B2242)=TRIM(Enginuity!$A$17)
    )
  ),
  ROW(),
  ""
)</f>
        <v/>
      </c>
    </row>
    <row r="2243" spans="1:21" x14ac:dyDescent="0.25">
      <c r="A2243" s="10" t="s">
        <v>254</v>
      </c>
      <c r="B2243" s="229" t="s">
        <v>1670</v>
      </c>
      <c r="C2243" s="10" t="s">
        <v>107</v>
      </c>
      <c r="D2243" s="14" t="str" cm="1">
        <f t="array" ref="D2243:D2247">IFERROR(INDEX(_xlfn._xlws.FILTER(AllMaterialsbak!$BA$2:$BA$30, AllMaterialsbak!$BA$2:$BA$30&lt;&gt;""), _xlfn.SEQUENCE(5)), "")</f>
        <v>Default</v>
      </c>
      <c r="E2243" s="157" t="s">
        <v>396</v>
      </c>
      <c r="F2243" s="11"/>
      <c r="G2243" s="17"/>
      <c r="H2243" s="10"/>
      <c r="I2243" s="17"/>
      <c r="J2243" s="83"/>
      <c r="K2243" s="344">
        <v>0.521208</v>
      </c>
      <c r="L2243" s="347">
        <v>609.6</v>
      </c>
      <c r="M2243" s="89">
        <v>1</v>
      </c>
      <c r="N2243" s="10" t="s">
        <v>103</v>
      </c>
      <c r="O2243" s="22">
        <v>3.8</v>
      </c>
      <c r="P2243" s="86" t="s">
        <v>1671</v>
      </c>
      <c r="Q2243" s="83">
        <f>$Q$2</f>
        <v>66</v>
      </c>
      <c r="U2243" s="104" t="str">
        <f>IF(
  AND(
    TRIM(A2243)=TRIM(Enginuity!$A$1),
    TRIM(B2243)=TRIM(Enginuity!$A$17),
    Q2243&lt;&gt;"",
    Q2243&lt;&gt;0,
    OR(
      TRIM(C2243)=TRIM(Enginuity!$A$18),
      AND(UPPER(TRIM(M2243))="STD", TRIM(B2243)=TRIM(Enginuity!$A$17))
    ),
    OR(
      AND(LEFT(P2243,5)="1-Way", Enginuity!$B$13=1),
      AND(LEFT(P2243,5)="2-Way", OR(Enginuity!$B$13=2, Enginuity!$B$13=4)),
      AND(LEFT(P2243,5)="3-Way", OR(Enginuity!$B$13=3, Enginuity!$B$13=6)),
      AND(P2243="Inner Centre Jamb", OR(Enginuity!$B$13=4, Enginuity!$B$13=6)),
      AND(
        LEFT(P2243,5)&lt;&gt;"1-Way",
        LEFT(P2243,5)&lt;&gt;"2-Way",
        LEFT(P2243,5)&lt;&gt;"3-Way",
        P2243&lt;&gt;"Inner Centre Jamb"
      )
    ),
    IF(OR(Enginuity!$A$1="Frameless Glass",Enginuity!$A$1="Metal Work"),
      AND(TRIM(B2243)=TRIM(Enginuity!$A$17),TRIM(C2243)=TRIM(Enginuity!$A$18)),
      TRIM(B2243)=TRIM(Enginuity!$A$17)
    )
  ),
  ROW(),
  ""
)</f>
        <v/>
      </c>
    </row>
    <row r="2244" spans="1:21" x14ac:dyDescent="0.25">
      <c r="A2244" s="10" t="s">
        <v>254</v>
      </c>
      <c r="B2244" s="229" t="s">
        <v>1670</v>
      </c>
      <c r="C2244" s="10" t="s">
        <v>107</v>
      </c>
      <c r="D2244" s="14" t="str">
        <v xml:space="preserve">2" Louver Blade N/A </v>
      </c>
      <c r="E2244" s="157" t="s">
        <v>397</v>
      </c>
      <c r="F2244" s="11"/>
      <c r="G2244" s="17"/>
      <c r="H2244" s="10"/>
      <c r="I2244" s="17"/>
      <c r="J2244" s="83"/>
      <c r="K2244" s="343"/>
      <c r="L2244" s="347"/>
      <c r="M2244" s="89">
        <v>2</v>
      </c>
      <c r="N2244" s="10" t="s">
        <v>103</v>
      </c>
      <c r="O2244" s="22">
        <v>3.8</v>
      </c>
      <c r="P2244" s="86" t="s">
        <v>1672</v>
      </c>
      <c r="Q2244" s="83">
        <f>$Q$3</f>
        <v>222</v>
      </c>
      <c r="U2244" s="104" t="str">
        <f>IF(
  AND(
    TRIM(A2244)=TRIM(Enginuity!$A$1),
    TRIM(B2244)=TRIM(Enginuity!$A$17),
    Q2244&lt;&gt;"",
    Q2244&lt;&gt;0,
    OR(
      TRIM(C2244)=TRIM(Enginuity!$A$18),
      AND(UPPER(TRIM(M2244))="STD", TRIM(B2244)=TRIM(Enginuity!$A$17))
    ),
    OR(
      AND(LEFT(P2244,5)="1-Way", Enginuity!$B$13=1),
      AND(LEFT(P2244,5)="2-Way", OR(Enginuity!$B$13=2, Enginuity!$B$13=4)),
      AND(LEFT(P2244,5)="3-Way", OR(Enginuity!$B$13=3, Enginuity!$B$13=6)),
      AND(P2244="Inner Centre Jamb", OR(Enginuity!$B$13=4, Enginuity!$B$13=6)),
      AND(
        LEFT(P2244,5)&lt;&gt;"1-Way",
        LEFT(P2244,5)&lt;&gt;"2-Way",
        LEFT(P2244,5)&lt;&gt;"3-Way",
        P2244&lt;&gt;"Inner Centre Jamb"
      )
    ),
    IF(OR(Enginuity!$A$1="Frameless Glass",Enginuity!$A$1="Metal Work"),
      AND(TRIM(B2244)=TRIM(Enginuity!$A$17),TRIM(C2244)=TRIM(Enginuity!$A$18)),
      TRIM(B2244)=TRIM(Enginuity!$A$17)
    )
  ),
  ROW(),
  ""
)</f>
        <v/>
      </c>
    </row>
    <row r="2245" spans="1:21" x14ac:dyDescent="0.25">
      <c r="A2245" s="10" t="s">
        <v>254</v>
      </c>
      <c r="B2245" s="229" t="s">
        <v>1670</v>
      </c>
      <c r="C2245" s="10" t="s">
        <v>107</v>
      </c>
      <c r="D2245" s="14" t="str">
        <v>2" Louver Blade P/C</v>
      </c>
      <c r="E2245" s="157" t="s">
        <v>398</v>
      </c>
      <c r="F2245" s="10"/>
      <c r="G2245" s="17"/>
      <c r="H2245" s="10"/>
      <c r="I2245" s="17"/>
      <c r="J2245" s="83"/>
      <c r="K2245" s="343"/>
      <c r="L2245" s="347"/>
      <c r="M2245" s="89">
        <v>3</v>
      </c>
      <c r="N2245" s="10" t="s">
        <v>103</v>
      </c>
      <c r="O2245" s="22">
        <v>3.8</v>
      </c>
      <c r="P2245" s="21" t="s">
        <v>1673</v>
      </c>
      <c r="Q2245" s="83" t="str">
        <f>IF(
  OR(
    TRIM(Enginuity!$A$21)="1'H X ?'W X Qty Panel Top Hung (Casement Profile)",
    TRIM(Enginuity!$A$21)="1'H X ?'W X Qty Panel Top Fix (Casement Profile)"
  ),
  Enginuity!$B$6,
  ""
)</f>
        <v/>
      </c>
      <c r="U2245" s="104" t="str">
        <f>IF(
  AND(
    TRIM(A2245)=TRIM(Enginuity!$A$1),
    TRIM(B2245)=TRIM(Enginuity!$A$17),
    Q2245&lt;&gt;"",
    Q2245&lt;&gt;0,
    OR(
      TRIM(C2245)=TRIM(Enginuity!$A$18),
      AND(UPPER(TRIM(M2245))="STD", TRIM(B2245)=TRIM(Enginuity!$A$17))
    ),
    OR(
      AND(LEFT(P2245,5)="1-Way", Enginuity!$B$13=1),
      AND(LEFT(P2245,5)="2-Way", OR(Enginuity!$B$13=2, Enginuity!$B$13=4)),
      AND(LEFT(P2245,5)="3-Way", OR(Enginuity!$B$13=3, Enginuity!$B$13=6)),
      AND(P2245="Inner Centre Jamb", OR(Enginuity!$B$13=4, Enginuity!$B$13=6)),
      AND(
        LEFT(P2245,5)&lt;&gt;"1-Way",
        LEFT(P2245,5)&lt;&gt;"2-Way",
        LEFT(P2245,5)&lt;&gt;"3-Way",
        P2245&lt;&gt;"Inner Centre Jamb"
      )
    ),
    IF(OR(Enginuity!$A$1="Frameless Glass",Enginuity!$A$1="Metal Work"),
      AND(TRIM(B2245)=TRIM(Enginuity!$A$17),TRIM(C2245)=TRIM(Enginuity!$A$18)),
      TRIM(B2245)=TRIM(Enginuity!$A$17)
    )
  ),
  ROW(),
  ""
)</f>
        <v/>
      </c>
    </row>
    <row r="2246" spans="1:21" x14ac:dyDescent="0.25">
      <c r="A2246" s="10" t="s">
        <v>254</v>
      </c>
      <c r="B2246" s="229" t="s">
        <v>1670</v>
      </c>
      <c r="C2246" s="10" t="s">
        <v>107</v>
      </c>
      <c r="D2246" s="14" t="str">
        <v xml:space="preserve">5" Louver Blade N/A </v>
      </c>
      <c r="E2246" s="157" t="s">
        <v>399</v>
      </c>
      <c r="F2246" s="10"/>
      <c r="G2246" s="17"/>
      <c r="H2246" s="10"/>
      <c r="I2246" s="17"/>
      <c r="J2246" s="83"/>
      <c r="K2246" s="343"/>
      <c r="L2246" s="347"/>
      <c r="M2246" s="89">
        <v>4</v>
      </c>
      <c r="N2246" s="10" t="s">
        <v>103</v>
      </c>
      <c r="O2246" s="22">
        <v>3.8</v>
      </c>
      <c r="P2246" s="21" t="s">
        <v>1674</v>
      </c>
      <c r="Q2246" s="83">
        <f>$Q$6</f>
        <v>78</v>
      </c>
      <c r="U2246" s="104" t="str">
        <f>IF(
  AND(
    TRIM(A2246)=TRIM(Enginuity!$A$1),
    TRIM(B2246)=TRIM(Enginuity!$A$17),
    Q2246&lt;&gt;"",
    Q2246&lt;&gt;0,
    OR(
      TRIM(C2246)=TRIM(Enginuity!$A$18),
      AND(UPPER(TRIM(M2246))="STD", TRIM(B2246)=TRIM(Enginuity!$A$17))
    ),
    OR(
      AND(LEFT(P2246,5)="1-Way", Enginuity!$B$13=1),
      AND(LEFT(P2246,5)="2-Way", OR(Enginuity!$B$13=2, Enginuity!$B$13=4)),
      AND(LEFT(P2246,5)="3-Way", OR(Enginuity!$B$13=3, Enginuity!$B$13=6)),
      AND(P2246="Inner Centre Jamb", OR(Enginuity!$B$13=4, Enginuity!$B$13=6)),
      AND(
        LEFT(P2246,5)&lt;&gt;"1-Way",
        LEFT(P2246,5)&lt;&gt;"2-Way",
        LEFT(P2246,5)&lt;&gt;"3-Way",
        P2246&lt;&gt;"Inner Centre Jamb"
      )
    ),
    IF(OR(Enginuity!$A$1="Frameless Glass",Enginuity!$A$1="Metal Work"),
      AND(TRIM(B2246)=TRIM(Enginuity!$A$17),TRIM(C2246)=TRIM(Enginuity!$A$18)),
      TRIM(B2246)=TRIM(Enginuity!$A$17)
    )
  ),
  ROW(),
  ""
)</f>
        <v/>
      </c>
    </row>
    <row r="2247" spans="1:21" x14ac:dyDescent="0.25">
      <c r="A2247" s="10" t="s">
        <v>254</v>
      </c>
      <c r="B2247" s="229" t="s">
        <v>1670</v>
      </c>
      <c r="C2247" s="10" t="s">
        <v>107</v>
      </c>
      <c r="D2247" s="14" t="str">
        <v>5" Louver Blade P/C</v>
      </c>
      <c r="E2247" s="157"/>
      <c r="F2247" s="10"/>
      <c r="G2247" s="17"/>
      <c r="H2247" s="10"/>
      <c r="I2247" s="17"/>
      <c r="J2247" s="83"/>
      <c r="K2247" s="343"/>
      <c r="L2247" s="347"/>
      <c r="M2247" s="89">
        <v>5</v>
      </c>
      <c r="N2247" s="10" t="s">
        <v>111</v>
      </c>
      <c r="O2247" s="22" t="str" cm="1">
        <f t="array" ref="O2247">IFERROR(LOOKUP(2,1/(ISNUMBER(SEARCH({"Aluminium Adjustable","Aluminium Fix","PVC Adjustable","PVC Fix"},Enginuity!$A$20))),{8,2.5,8,2.5}),"")</f>
        <v/>
      </c>
      <c r="P2247" s="5" t="str">
        <f>Enginuity!$A$20</f>
        <v>Z-Louvre Blade - 5"</v>
      </c>
      <c r="Q2247" s="22" t="str" cm="1">
        <f t="array" ref="Q2247">IF(IFERROR(VALUE(INDEX($O:$O,ROW())),0)&gt;0,IF(AND(Enginuity!$B$7&gt;0,Enginuity!$B$13&gt;0),ROUNDUP(Enginuity!$B$7/0.5,0)*Enginuity!$B$13,""),"")</f>
        <v/>
      </c>
      <c r="U2247" s="104" t="str">
        <f>IF(
  AND(
    TRIM(A2247)=TRIM(Enginuity!$A$1),
    TRIM(B2247)=TRIM(Enginuity!$A$17),
    Q2247&lt;&gt;"",
    Q2247&lt;&gt;0,
    OR(
      TRIM(C2247)=TRIM(Enginuity!$A$18),
      AND(UPPER(TRIM(M2247))="STD", TRIM(B2247)=TRIM(Enginuity!$A$17))
    ),
    OR(
      AND(LEFT(P2247,5)="1-Way", Enginuity!$B$13=1),
      AND(LEFT(P2247,5)="2-Way", OR(Enginuity!$B$13=2, Enginuity!$B$13=4)),
      AND(LEFT(P2247,5)="3-Way", OR(Enginuity!$B$13=3, Enginuity!$B$13=6)),
      AND(P2247="Inner Centre Jamb", OR(Enginuity!$B$13=4, Enginuity!$B$13=6)),
      AND(
        LEFT(P2247,5)&lt;&gt;"1-Way",
        LEFT(P2247,5)&lt;&gt;"2-Way",
        LEFT(P2247,5)&lt;&gt;"3-Way",
        P2247&lt;&gt;"Inner Centre Jamb"
      )
    ),
    IF(OR(Enginuity!$A$1="Frameless Glass",Enginuity!$A$1="Metal Work"),
      AND(TRIM(B2247)=TRIM(Enginuity!$A$17),TRIM(C2247)=TRIM(Enginuity!$A$18)),
      TRIM(B2247)=TRIM(Enginuity!$A$17)
    )
  ),
  ROW(),
  ""
)</f>
        <v/>
      </c>
    </row>
    <row r="2248" spans="1:21" x14ac:dyDescent="0.25">
      <c r="A2248" s="10"/>
      <c r="B2248" s="229"/>
      <c r="C2248" s="10"/>
      <c r="D2248" s="14"/>
      <c r="E2248" s="157"/>
      <c r="F2248" s="10"/>
      <c r="G2248" s="17"/>
      <c r="H2248" s="10"/>
      <c r="I2248" s="17"/>
      <c r="J2248" s="83"/>
      <c r="K2248" s="343"/>
      <c r="L2248" s="347"/>
      <c r="M2248" s="89">
        <v>6</v>
      </c>
      <c r="N2248" s="10"/>
      <c r="O2248" s="22"/>
      <c r="P2248" s="14"/>
      <c r="Q2248" s="83"/>
      <c r="U2248" s="104" t="str">
        <f>IF(
  AND(
    TRIM(A2248)=TRIM(Enginuity!$A$1),
    TRIM(B2248)=TRIM(Enginuity!$A$17),
    Q2248&lt;&gt;"",
    Q2248&lt;&gt;0,
    OR(
      TRIM(C2248)=TRIM(Enginuity!$A$18),
      AND(UPPER(TRIM(M2248))="STD", TRIM(B2248)=TRIM(Enginuity!$A$17))
    ),
    OR(
      AND(LEFT(P2248,5)="1-Way", Enginuity!$B$13=1),
      AND(LEFT(P2248,5)="2-Way", OR(Enginuity!$B$13=2, Enginuity!$B$13=4)),
      AND(LEFT(P2248,5)="3-Way", OR(Enginuity!$B$13=3, Enginuity!$B$13=6)),
      AND(P2248="Inner Centre Jamb", OR(Enginuity!$B$13=4, Enginuity!$B$13=6)),
      AND(
        LEFT(P2248,5)&lt;&gt;"1-Way",
        LEFT(P2248,5)&lt;&gt;"2-Way",
        LEFT(P2248,5)&lt;&gt;"3-Way",
        P2248&lt;&gt;"Inner Centre Jamb"
      )
    ),
    IF(OR(Enginuity!$A$1="Frameless Glass",Enginuity!$A$1="Metal Work"),
      AND(TRIM(B2248)=TRIM(Enginuity!$A$17),TRIM(C2248)=TRIM(Enginuity!$A$18)),
      TRIM(B2248)=TRIM(Enginuity!$A$17)
    )
  ),
  ROW(),
  ""
)</f>
        <v/>
      </c>
    </row>
    <row r="2249" spans="1:21" x14ac:dyDescent="0.25">
      <c r="A2249" s="10"/>
      <c r="B2249" s="229"/>
      <c r="C2249" s="10"/>
      <c r="D2249" s="14"/>
      <c r="E2249" s="157"/>
      <c r="F2249" s="10"/>
      <c r="G2249" s="17"/>
      <c r="H2249" s="10"/>
      <c r="I2249" s="17"/>
      <c r="J2249" s="83"/>
      <c r="K2249" s="343"/>
      <c r="L2249" s="347"/>
      <c r="M2249" s="89">
        <v>7</v>
      </c>
      <c r="N2249" s="10"/>
      <c r="O2249" s="22" t="str">
        <f>IF(Enginuity!$A$20="", "",
 IF(Enginuity!$A$20="Lattice Design", F2203,
 IF(Enginuity!$A$20="Lattice Design 12 Box / Panel", F2204,
 ""))
)</f>
        <v/>
      </c>
      <c r="P2249" s="5"/>
      <c r="Q2249" s="22" t="str">
        <f>IF(O2249&lt;&gt;"",1,"")</f>
        <v/>
      </c>
      <c r="U2249" s="104" t="str">
        <f>IF(
  AND(
    TRIM(A2249)=TRIM(Enginuity!$A$1),
    TRIM(B2249)=TRIM(Enginuity!$A$17),
    Q2249&lt;&gt;"",
    Q2249&lt;&gt;0,
    OR(
      TRIM(C2249)=TRIM(Enginuity!$A$18),
      AND(UPPER(TRIM(M2249))="STD", TRIM(B2249)=TRIM(Enginuity!$A$17))
    ),
    OR(
      AND(LEFT(P2249,5)="1-Way", Enginuity!$B$13=1),
      AND(LEFT(P2249,5)="2-Way", OR(Enginuity!$B$13=2, Enginuity!$B$13=4)),
      AND(LEFT(P2249,5)="3-Way", OR(Enginuity!$B$13=3, Enginuity!$B$13=6)),
      AND(P2249="Inner Centre Jamb", OR(Enginuity!$B$13=4, Enginuity!$B$13=6)),
      AND(
        LEFT(P2249,5)&lt;&gt;"1-Way",
        LEFT(P2249,5)&lt;&gt;"2-Way",
        LEFT(P2249,5)&lt;&gt;"3-Way",
        P2249&lt;&gt;"Inner Centre Jamb"
      )
    ),
    IF(OR(Enginuity!$A$1="Frameless Glass",Enginuity!$A$1="Metal Work"),
      AND(TRIM(B2249)=TRIM(Enginuity!$A$17),TRIM(C2249)=TRIM(Enginuity!$A$18)),
      TRIM(B2249)=TRIM(Enginuity!$A$17)
    )
  ),
  ROW(),
  ""
)</f>
        <v/>
      </c>
    </row>
    <row r="2250" spans="1:21" x14ac:dyDescent="0.25">
      <c r="A2250" s="10"/>
      <c r="B2250" s="229"/>
      <c r="C2250" s="10"/>
      <c r="D2250" s="14"/>
      <c r="E2250" s="157"/>
      <c r="F2250" s="10"/>
      <c r="G2250" s="17"/>
      <c r="H2250" s="10"/>
      <c r="I2250" s="17"/>
      <c r="J2250" s="83"/>
      <c r="K2250" s="343"/>
      <c r="L2250" s="347"/>
      <c r="M2250" s="89">
        <v>8</v>
      </c>
      <c r="N2250" s="10"/>
      <c r="O2250" s="22"/>
      <c r="P2250" s="14"/>
      <c r="Q2250" s="83"/>
      <c r="U2250" s="104" t="str">
        <f>IF(
  AND(
    TRIM(A2250)=TRIM(Enginuity!$A$1),
    TRIM(B2250)=TRIM(Enginuity!$A$17),
    Q2250&lt;&gt;"",
    Q2250&lt;&gt;0,
    OR(
      TRIM(C2250)=TRIM(Enginuity!$A$18),
      AND(UPPER(TRIM(M2250))="STD", TRIM(B2250)=TRIM(Enginuity!$A$17))
    ),
    OR(
      AND(LEFT(P2250,5)="1-Way", Enginuity!$B$13=1),
      AND(LEFT(P2250,5)="2-Way", OR(Enginuity!$B$13=2, Enginuity!$B$13=4)),
      AND(LEFT(P2250,5)="3-Way", OR(Enginuity!$B$13=3, Enginuity!$B$13=6)),
      AND(P2250="Inner Centre Jamb", OR(Enginuity!$B$13=4, Enginuity!$B$13=6)),
      AND(
        LEFT(P2250,5)&lt;&gt;"1-Way",
        LEFT(P2250,5)&lt;&gt;"2-Way",
        LEFT(P2250,5)&lt;&gt;"3-Way",
        P2250&lt;&gt;"Inner Centre Jamb"
      )
    ),
    IF(OR(Enginuity!$A$1="Frameless Glass",Enginuity!$A$1="Metal Work"),
      AND(TRIM(B2250)=TRIM(Enginuity!$A$17),TRIM(C2250)=TRIM(Enginuity!$A$18)),
      TRIM(B2250)=TRIM(Enginuity!$A$17)
    )
  ),
  ROW(),
  ""
)</f>
        <v/>
      </c>
    </row>
    <row r="2251" spans="1:21" x14ac:dyDescent="0.25">
      <c r="A2251" s="10" t="s">
        <v>254</v>
      </c>
      <c r="B2251" s="229" t="s">
        <v>1670</v>
      </c>
      <c r="C2251" s="10" t="s">
        <v>97</v>
      </c>
      <c r="D2251" s="14"/>
      <c r="E2251" s="157" t="s">
        <v>396</v>
      </c>
      <c r="F2251" s="10"/>
      <c r="G2251" s="17"/>
      <c r="H2251" s="10"/>
      <c r="I2251" s="17"/>
      <c r="J2251" s="83"/>
      <c r="K2251" s="344">
        <v>0.521208</v>
      </c>
      <c r="L2251" s="347">
        <v>609.6</v>
      </c>
      <c r="M2251" s="89">
        <v>9</v>
      </c>
      <c r="N2251" s="10" t="s">
        <v>103</v>
      </c>
      <c r="O2251" s="22">
        <v>4.4000000000000004</v>
      </c>
      <c r="P2251" s="86" t="s">
        <v>1671</v>
      </c>
      <c r="Q2251" s="83">
        <f>$Q$2</f>
        <v>66</v>
      </c>
      <c r="U2251" s="104" t="str">
        <f>IF(
  AND(
    TRIM(A2251)=TRIM(Enginuity!$A$1),
    TRIM(B2251)=TRIM(Enginuity!$A$17),
    Q2251&lt;&gt;"",
    Q2251&lt;&gt;0,
    OR(
      TRIM(C2251)=TRIM(Enginuity!$A$18),
      AND(UPPER(TRIM(M2251))="STD", TRIM(B2251)=TRIM(Enginuity!$A$17))
    ),
    OR(
      AND(LEFT(P2251,5)="1-Way", Enginuity!$B$13=1),
      AND(LEFT(P2251,5)="2-Way", OR(Enginuity!$B$13=2, Enginuity!$B$13=4)),
      AND(LEFT(P2251,5)="3-Way", OR(Enginuity!$B$13=3, Enginuity!$B$13=6)),
      AND(P2251="Inner Centre Jamb", OR(Enginuity!$B$13=4, Enginuity!$B$13=6)),
      AND(
        LEFT(P2251,5)&lt;&gt;"1-Way",
        LEFT(P2251,5)&lt;&gt;"2-Way",
        LEFT(P2251,5)&lt;&gt;"3-Way",
        P2251&lt;&gt;"Inner Centre Jamb"
      )
    ),
    IF(OR(Enginuity!$A$1="Frameless Glass",Enginuity!$A$1="Metal Work"),
      AND(TRIM(B2251)=TRIM(Enginuity!$A$17),TRIM(C2251)=TRIM(Enginuity!$A$18)),
      TRIM(B2251)=TRIM(Enginuity!$A$17)
    )
  ),
  ROW(),
  ""
)</f>
        <v/>
      </c>
    </row>
    <row r="2252" spans="1:21" x14ac:dyDescent="0.25">
      <c r="A2252" s="10" t="s">
        <v>254</v>
      </c>
      <c r="B2252" s="229" t="s">
        <v>1670</v>
      </c>
      <c r="C2252" s="10" t="s">
        <v>97</v>
      </c>
      <c r="D2252" s="14"/>
      <c r="E2252" s="157" t="s">
        <v>397</v>
      </c>
      <c r="F2252" s="10"/>
      <c r="G2252" s="17"/>
      <c r="H2252" s="10"/>
      <c r="I2252" s="17"/>
      <c r="J2252" s="83"/>
      <c r="K2252" s="343"/>
      <c r="L2252" s="347"/>
      <c r="M2252" s="89">
        <v>10</v>
      </c>
      <c r="N2252" s="10" t="s">
        <v>103</v>
      </c>
      <c r="O2252" s="22">
        <v>4.4000000000000004</v>
      </c>
      <c r="P2252" s="86" t="s">
        <v>1672</v>
      </c>
      <c r="Q2252" s="83">
        <f>$Q$3</f>
        <v>222</v>
      </c>
      <c r="U2252" s="104" t="str">
        <f>IF(
  AND(
    TRIM(A2252)=TRIM(Enginuity!$A$1),
    TRIM(B2252)=TRIM(Enginuity!$A$17),
    Q2252&lt;&gt;"",
    Q2252&lt;&gt;0,
    OR(
      TRIM(C2252)=TRIM(Enginuity!$A$18),
      AND(UPPER(TRIM(M2252))="STD", TRIM(B2252)=TRIM(Enginuity!$A$17))
    ),
    OR(
      AND(LEFT(P2252,5)="1-Way", Enginuity!$B$13=1),
      AND(LEFT(P2252,5)="2-Way", OR(Enginuity!$B$13=2, Enginuity!$B$13=4)),
      AND(LEFT(P2252,5)="3-Way", OR(Enginuity!$B$13=3, Enginuity!$B$13=6)),
      AND(P2252="Inner Centre Jamb", OR(Enginuity!$B$13=4, Enginuity!$B$13=6)),
      AND(
        LEFT(P2252,5)&lt;&gt;"1-Way",
        LEFT(P2252,5)&lt;&gt;"2-Way",
        LEFT(P2252,5)&lt;&gt;"3-Way",
        P2252&lt;&gt;"Inner Centre Jamb"
      )
    ),
    IF(OR(Enginuity!$A$1="Frameless Glass",Enginuity!$A$1="Metal Work"),
      AND(TRIM(B2252)=TRIM(Enginuity!$A$17),TRIM(C2252)=TRIM(Enginuity!$A$18)),
      TRIM(B2252)=TRIM(Enginuity!$A$17)
    )
  ),
  ROW(),
  ""
)</f>
        <v/>
      </c>
    </row>
    <row r="2253" spans="1:21" x14ac:dyDescent="0.25">
      <c r="A2253" s="10" t="s">
        <v>254</v>
      </c>
      <c r="B2253" s="229" t="s">
        <v>1670</v>
      </c>
      <c r="C2253" s="10" t="s">
        <v>97</v>
      </c>
      <c r="D2253" s="14"/>
      <c r="E2253" s="157" t="s">
        <v>398</v>
      </c>
      <c r="F2253" s="10"/>
      <c r="G2253" s="17"/>
      <c r="H2253" s="10"/>
      <c r="I2253" s="17"/>
      <c r="J2253" s="83"/>
      <c r="K2253" s="343"/>
      <c r="L2253" s="347"/>
      <c r="M2253" s="89">
        <v>11</v>
      </c>
      <c r="N2253" s="10" t="s">
        <v>103</v>
      </c>
      <c r="O2253" s="22">
        <v>4.4000000000000004</v>
      </c>
      <c r="P2253" s="21" t="s">
        <v>1673</v>
      </c>
      <c r="Q2253" s="83" t="str">
        <f>IF(
  OR(
    TRIM(Enginuity!$A$21)="1'H X ?'W X Qty Panel Top Hung (Casement Profile)",
    TRIM(Enginuity!$A$21)="1'H X ?'W X Qty Panel Top Fix (Casement Profile)"
  ),
  Enginuity!$B$6,
  ""
)</f>
        <v/>
      </c>
      <c r="U2253" s="104" t="str">
        <f>IF(
  AND(
    TRIM(A2253)=TRIM(Enginuity!$A$1),
    TRIM(B2253)=TRIM(Enginuity!$A$17),
    Q2253&lt;&gt;"",
    Q2253&lt;&gt;0,
    OR(
      TRIM(C2253)=TRIM(Enginuity!$A$18),
      AND(UPPER(TRIM(M2253))="STD", TRIM(B2253)=TRIM(Enginuity!$A$17))
    ),
    OR(
      AND(LEFT(P2253,5)="1-Way", Enginuity!$B$13=1),
      AND(LEFT(P2253,5)="2-Way", OR(Enginuity!$B$13=2, Enginuity!$B$13=4)),
      AND(LEFT(P2253,5)="3-Way", OR(Enginuity!$B$13=3, Enginuity!$B$13=6)),
      AND(P2253="Inner Centre Jamb", OR(Enginuity!$B$13=4, Enginuity!$B$13=6)),
      AND(
        LEFT(P2253,5)&lt;&gt;"1-Way",
        LEFT(P2253,5)&lt;&gt;"2-Way",
        LEFT(P2253,5)&lt;&gt;"3-Way",
        P2253&lt;&gt;"Inner Centre Jamb"
      )
    ),
    IF(OR(Enginuity!$A$1="Frameless Glass",Enginuity!$A$1="Metal Work"),
      AND(TRIM(B2253)=TRIM(Enginuity!$A$17),TRIM(C2253)=TRIM(Enginuity!$A$18)),
      TRIM(B2253)=TRIM(Enginuity!$A$17)
    )
  ),
  ROW(),
  ""
)</f>
        <v/>
      </c>
    </row>
    <row r="2254" spans="1:21" x14ac:dyDescent="0.25">
      <c r="A2254" s="10" t="s">
        <v>254</v>
      </c>
      <c r="B2254" s="229" t="s">
        <v>1670</v>
      </c>
      <c r="C2254" s="10" t="s">
        <v>97</v>
      </c>
      <c r="D2254" s="14"/>
      <c r="E2254" s="157" t="s">
        <v>399</v>
      </c>
      <c r="F2254" s="10"/>
      <c r="G2254" s="17"/>
      <c r="H2254" s="10"/>
      <c r="I2254" s="17"/>
      <c r="J2254" s="83"/>
      <c r="K2254" s="343"/>
      <c r="L2254" s="347"/>
      <c r="M2254" s="89">
        <v>12</v>
      </c>
      <c r="N2254" s="10" t="s">
        <v>103</v>
      </c>
      <c r="O2254" s="22">
        <v>4.4000000000000004</v>
      </c>
      <c r="P2254" s="21" t="s">
        <v>1674</v>
      </c>
      <c r="Q2254" s="83">
        <f>$Q$6</f>
        <v>78</v>
      </c>
      <c r="U2254" s="104" t="str">
        <f>IF(
  AND(
    TRIM(A2254)=TRIM(Enginuity!$A$1),
    TRIM(B2254)=TRIM(Enginuity!$A$17),
    Q2254&lt;&gt;"",
    Q2254&lt;&gt;0,
    OR(
      TRIM(C2254)=TRIM(Enginuity!$A$18),
      AND(UPPER(TRIM(M2254))="STD", TRIM(B2254)=TRIM(Enginuity!$A$17))
    ),
    OR(
      AND(LEFT(P2254,5)="1-Way", Enginuity!$B$13=1),
      AND(LEFT(P2254,5)="2-Way", OR(Enginuity!$B$13=2, Enginuity!$B$13=4)),
      AND(LEFT(P2254,5)="3-Way", OR(Enginuity!$B$13=3, Enginuity!$B$13=6)),
      AND(P2254="Inner Centre Jamb", OR(Enginuity!$B$13=4, Enginuity!$B$13=6)),
      AND(
        LEFT(P2254,5)&lt;&gt;"1-Way",
        LEFT(P2254,5)&lt;&gt;"2-Way",
        LEFT(P2254,5)&lt;&gt;"3-Way",
        P2254&lt;&gt;"Inner Centre Jamb"
      )
    ),
    IF(OR(Enginuity!$A$1="Frameless Glass",Enginuity!$A$1="Metal Work"),
      AND(TRIM(B2254)=TRIM(Enginuity!$A$17),TRIM(C2254)=TRIM(Enginuity!$A$18)),
      TRIM(B2254)=TRIM(Enginuity!$A$17)
    )
  ),
  ROW(),
  ""
)</f>
        <v/>
      </c>
    </row>
    <row r="2255" spans="1:21" x14ac:dyDescent="0.25">
      <c r="A2255" s="10" t="s">
        <v>254</v>
      </c>
      <c r="B2255" s="229" t="s">
        <v>1670</v>
      </c>
      <c r="C2255" s="10" t="s">
        <v>97</v>
      </c>
      <c r="D2255" s="14"/>
      <c r="E2255" s="157"/>
      <c r="F2255" s="10"/>
      <c r="G2255" s="17"/>
      <c r="H2255" s="10"/>
      <c r="I2255" s="17"/>
      <c r="J2255" s="83"/>
      <c r="K2255" s="343"/>
      <c r="L2255" s="347"/>
      <c r="M2255" s="89">
        <v>13</v>
      </c>
      <c r="N2255" s="10" t="s">
        <v>111</v>
      </c>
      <c r="O2255" s="22" t="str" cm="1">
        <f t="array" ref="O2255">IFERROR(LOOKUP(2,1/(ISNUMBER(SEARCH({"Aluminium Adjustable","Aluminium Fix","PVC Adjustable","PVC Fix"},Enginuity!$A$20))),{8,2.5,8,2.5}),"")</f>
        <v/>
      </c>
      <c r="P2255" s="5" t="str">
        <f>Enginuity!$A$20</f>
        <v>Z-Louvre Blade - 5"</v>
      </c>
      <c r="Q2255" s="22" t="str" cm="1">
        <f t="array" ref="Q2255">IF(IFERROR(VALUE(INDEX($O:$O,ROW())),0)&gt;0,IF(AND(Enginuity!$B$7&gt;0,Enginuity!$B$13&gt;0),ROUNDUP(Enginuity!$B$7/0.5,0)*Enginuity!$B$13,""),"")</f>
        <v/>
      </c>
      <c r="U2255" s="104" t="str">
        <f>IF(
  AND(
    TRIM(A2255)=TRIM(Enginuity!$A$1),
    TRIM(B2255)=TRIM(Enginuity!$A$17),
    Q2255&lt;&gt;"",
    Q2255&lt;&gt;0,
    OR(
      TRIM(C2255)=TRIM(Enginuity!$A$18),
      AND(UPPER(TRIM(M2255))="STD", TRIM(B2255)=TRIM(Enginuity!$A$17))
    ),
    OR(
      AND(LEFT(P2255,5)="1-Way", Enginuity!$B$13=1),
      AND(LEFT(P2255,5)="2-Way", OR(Enginuity!$B$13=2, Enginuity!$B$13=4)),
      AND(LEFT(P2255,5)="3-Way", OR(Enginuity!$B$13=3, Enginuity!$B$13=6)),
      AND(P2255="Inner Centre Jamb", OR(Enginuity!$B$13=4, Enginuity!$B$13=6)),
      AND(
        LEFT(P2255,5)&lt;&gt;"1-Way",
        LEFT(P2255,5)&lt;&gt;"2-Way",
        LEFT(P2255,5)&lt;&gt;"3-Way",
        P2255&lt;&gt;"Inner Centre Jamb"
      )
    ),
    IF(OR(Enginuity!$A$1="Frameless Glass",Enginuity!$A$1="Metal Work"),
      AND(TRIM(B2255)=TRIM(Enginuity!$A$17),TRIM(C2255)=TRIM(Enginuity!$A$18)),
      TRIM(B2255)=TRIM(Enginuity!$A$17)
    )
  ),
  ROW(),
  ""
)</f>
        <v/>
      </c>
    </row>
    <row r="2256" spans="1:21" x14ac:dyDescent="0.25">
      <c r="A2256" s="10" t="s">
        <v>254</v>
      </c>
      <c r="B2256" s="229" t="s">
        <v>1670</v>
      </c>
      <c r="C2256" s="10"/>
      <c r="D2256" s="14"/>
      <c r="E2256" s="157"/>
      <c r="F2256" s="10"/>
      <c r="G2256" s="17"/>
      <c r="H2256" s="10"/>
      <c r="I2256" s="17"/>
      <c r="J2256" s="83"/>
      <c r="K2256" s="343"/>
      <c r="L2256" s="347"/>
      <c r="M2256" s="89">
        <v>14</v>
      </c>
      <c r="N2256" s="10"/>
      <c r="O2256" s="22"/>
      <c r="P2256" s="14"/>
      <c r="Q2256" s="83"/>
      <c r="U2256" s="104" t="str">
        <f>IF(
  AND(
    TRIM(A2256)=TRIM(Enginuity!$A$1),
    TRIM(B2256)=TRIM(Enginuity!$A$17),
    Q2256&lt;&gt;"",
    Q2256&lt;&gt;0,
    OR(
      TRIM(C2256)=TRIM(Enginuity!$A$18),
      AND(UPPER(TRIM(M2256))="STD", TRIM(B2256)=TRIM(Enginuity!$A$17))
    ),
    OR(
      AND(LEFT(P2256,5)="1-Way", Enginuity!$B$13=1),
      AND(LEFT(P2256,5)="2-Way", OR(Enginuity!$B$13=2, Enginuity!$B$13=4)),
      AND(LEFT(P2256,5)="3-Way", OR(Enginuity!$B$13=3, Enginuity!$B$13=6)),
      AND(P2256="Inner Centre Jamb", OR(Enginuity!$B$13=4, Enginuity!$B$13=6)),
      AND(
        LEFT(P2256,5)&lt;&gt;"1-Way",
        LEFT(P2256,5)&lt;&gt;"2-Way",
        LEFT(P2256,5)&lt;&gt;"3-Way",
        P2256&lt;&gt;"Inner Centre Jamb"
      )
    ),
    IF(OR(Enginuity!$A$1="Frameless Glass",Enginuity!$A$1="Metal Work"),
      AND(TRIM(B2256)=TRIM(Enginuity!$A$17),TRIM(C2256)=TRIM(Enginuity!$A$18)),
      TRIM(B2256)=TRIM(Enginuity!$A$17)
    )
  ),
  ROW(),
  ""
)</f>
        <v/>
      </c>
    </row>
    <row r="2257" spans="1:21" x14ac:dyDescent="0.25">
      <c r="A2257" s="10" t="s">
        <v>254</v>
      </c>
      <c r="B2257" s="229" t="s">
        <v>1670</v>
      </c>
      <c r="C2257" s="10"/>
      <c r="D2257" s="14"/>
      <c r="E2257" s="157"/>
      <c r="F2257" s="10"/>
      <c r="G2257" s="17"/>
      <c r="H2257" s="10"/>
      <c r="I2257" s="17"/>
      <c r="J2257" s="83"/>
      <c r="K2257" s="343"/>
      <c r="L2257" s="347"/>
      <c r="M2257" s="89">
        <v>15</v>
      </c>
      <c r="N2257" s="10"/>
      <c r="O2257" s="22"/>
      <c r="P2257" s="14"/>
      <c r="Q2257" s="83"/>
      <c r="U2257" s="104" t="str">
        <f>IF(
  AND(
    TRIM(A2257)=TRIM(Enginuity!$A$1),
    TRIM(B2257)=TRIM(Enginuity!$A$17),
    Q2257&lt;&gt;"",
    Q2257&lt;&gt;0,
    OR(
      TRIM(C2257)=TRIM(Enginuity!$A$18),
      AND(UPPER(TRIM(M2257))="STD", TRIM(B2257)=TRIM(Enginuity!$A$17))
    ),
    OR(
      AND(LEFT(P2257,5)="1-Way", Enginuity!$B$13=1),
      AND(LEFT(P2257,5)="2-Way", OR(Enginuity!$B$13=2, Enginuity!$B$13=4)),
      AND(LEFT(P2257,5)="3-Way", OR(Enginuity!$B$13=3, Enginuity!$B$13=6)),
      AND(P2257="Inner Centre Jamb", OR(Enginuity!$B$13=4, Enginuity!$B$13=6)),
      AND(
        LEFT(P2257,5)&lt;&gt;"1-Way",
        LEFT(P2257,5)&lt;&gt;"2-Way",
        LEFT(P2257,5)&lt;&gt;"3-Way",
        P2257&lt;&gt;"Inner Centre Jamb"
      )
    ),
    IF(OR(Enginuity!$A$1="Frameless Glass",Enginuity!$A$1="Metal Work"),
      AND(TRIM(B2257)=TRIM(Enginuity!$A$17),TRIM(C2257)=TRIM(Enginuity!$A$18)),
      TRIM(B2257)=TRIM(Enginuity!$A$17)
    )
  ),
  ROW(),
  ""
)</f>
        <v/>
      </c>
    </row>
    <row r="2258" spans="1:21" x14ac:dyDescent="0.25">
      <c r="A2258" s="10" t="s">
        <v>254</v>
      </c>
      <c r="B2258" s="229" t="s">
        <v>1670</v>
      </c>
      <c r="C2258" s="10"/>
      <c r="D2258" s="14"/>
      <c r="E2258" s="157"/>
      <c r="F2258" s="10"/>
      <c r="G2258" s="17"/>
      <c r="H2258" s="10"/>
      <c r="I2258" s="17"/>
      <c r="J2258" s="83"/>
      <c r="K2258" s="343"/>
      <c r="L2258" s="347"/>
      <c r="M2258" s="89">
        <v>16</v>
      </c>
      <c r="N2258" s="10"/>
      <c r="O2258" s="22"/>
      <c r="P2258" s="14"/>
      <c r="Q2258" s="83"/>
      <c r="U2258" s="104" t="str">
        <f>IF(
  AND(
    TRIM(A2258)=TRIM(Enginuity!$A$1),
    TRIM(B2258)=TRIM(Enginuity!$A$17),
    Q2258&lt;&gt;"",
    Q2258&lt;&gt;0,
    OR(
      TRIM(C2258)=TRIM(Enginuity!$A$18),
      AND(UPPER(TRIM(M2258))="STD", TRIM(B2258)=TRIM(Enginuity!$A$17))
    ),
    OR(
      AND(LEFT(P2258,5)="1-Way", Enginuity!$B$13=1),
      AND(LEFT(P2258,5)="2-Way", OR(Enginuity!$B$13=2, Enginuity!$B$13=4)),
      AND(LEFT(P2258,5)="3-Way", OR(Enginuity!$B$13=3, Enginuity!$B$13=6)),
      AND(P2258="Inner Centre Jamb", OR(Enginuity!$B$13=4, Enginuity!$B$13=6)),
      AND(
        LEFT(P2258,5)&lt;&gt;"1-Way",
        LEFT(P2258,5)&lt;&gt;"2-Way",
        LEFT(P2258,5)&lt;&gt;"3-Way",
        P2258&lt;&gt;"Inner Centre Jamb"
      )
    ),
    IF(OR(Enginuity!$A$1="Frameless Glass",Enginuity!$A$1="Metal Work"),
      AND(TRIM(B2258)=TRIM(Enginuity!$A$17),TRIM(C2258)=TRIM(Enginuity!$A$18)),
      TRIM(B2258)=TRIM(Enginuity!$A$17)
    )
  ),
  ROW(),
  ""
)</f>
        <v/>
      </c>
    </row>
    <row r="2259" spans="1:21" x14ac:dyDescent="0.25">
      <c r="A2259" s="10" t="s">
        <v>254</v>
      </c>
      <c r="B2259" s="229" t="s">
        <v>1670</v>
      </c>
      <c r="C2259" s="10"/>
      <c r="D2259" s="14"/>
      <c r="E2259" s="157"/>
      <c r="F2259" s="10"/>
      <c r="G2259" s="17"/>
      <c r="H2259" s="10"/>
      <c r="I2259" s="17"/>
      <c r="J2259" s="83"/>
      <c r="K2259" s="343"/>
      <c r="L2259" s="347"/>
      <c r="M2259" s="89">
        <v>17</v>
      </c>
      <c r="N2259" s="10"/>
      <c r="O2259" s="22"/>
      <c r="P2259" s="14"/>
      <c r="Q2259" s="83"/>
      <c r="U2259" s="104" t="str">
        <f>IF(
  AND(
    TRIM(A2259)=TRIM(Enginuity!$A$1),
    TRIM(B2259)=TRIM(Enginuity!$A$17),
    Q2259&lt;&gt;"",
    Q2259&lt;&gt;0,
    OR(
      TRIM(C2259)=TRIM(Enginuity!$A$18),
      AND(UPPER(TRIM(M2259))="STD", TRIM(B2259)=TRIM(Enginuity!$A$17))
    ),
    OR(
      AND(LEFT(P2259,5)="1-Way", Enginuity!$B$13=1),
      AND(LEFT(P2259,5)="2-Way", OR(Enginuity!$B$13=2, Enginuity!$B$13=4)),
      AND(LEFT(P2259,5)="3-Way", OR(Enginuity!$B$13=3, Enginuity!$B$13=6)),
      AND(P2259="Inner Centre Jamb", OR(Enginuity!$B$13=4, Enginuity!$B$13=6)),
      AND(
        LEFT(P2259,5)&lt;&gt;"1-Way",
        LEFT(P2259,5)&lt;&gt;"2-Way",
        LEFT(P2259,5)&lt;&gt;"3-Way",
        P2259&lt;&gt;"Inner Centre Jamb"
      )
    ),
    IF(OR(Enginuity!$A$1="Frameless Glass",Enginuity!$A$1="Metal Work"),
      AND(TRIM(B2259)=TRIM(Enginuity!$A$17),TRIM(C2259)=TRIM(Enginuity!$A$18)),
      TRIM(B2259)=TRIM(Enginuity!$A$17)
    )
  ),
  ROW(),
  ""
)</f>
        <v/>
      </c>
    </row>
    <row r="2260" spans="1:21" x14ac:dyDescent="0.25">
      <c r="A2260" s="10" t="s">
        <v>254</v>
      </c>
      <c r="B2260" s="229" t="s">
        <v>1670</v>
      </c>
      <c r="C2260" s="10"/>
      <c r="D2260" s="14"/>
      <c r="E2260" s="157"/>
      <c r="F2260" s="10"/>
      <c r="G2260" s="17"/>
      <c r="H2260" s="10"/>
      <c r="I2260" s="17"/>
      <c r="J2260" s="83"/>
      <c r="K2260" s="343"/>
      <c r="L2260" s="347"/>
      <c r="M2260" s="89">
        <v>18</v>
      </c>
      <c r="N2260" s="10"/>
      <c r="O2260" s="22"/>
      <c r="P2260" s="14"/>
      <c r="Q2260" s="83"/>
      <c r="U2260" s="104" t="str">
        <f>IF(
  AND(
    TRIM(A2260)=TRIM(Enginuity!$A$1),
    TRIM(B2260)=TRIM(Enginuity!$A$17),
    Q2260&lt;&gt;"",
    Q2260&lt;&gt;0,
    OR(
      TRIM(C2260)=TRIM(Enginuity!$A$18),
      AND(UPPER(TRIM(M2260))="STD", TRIM(B2260)=TRIM(Enginuity!$A$17))
    ),
    OR(
      AND(LEFT(P2260,5)="1-Way", Enginuity!$B$13=1),
      AND(LEFT(P2260,5)="2-Way", OR(Enginuity!$B$13=2, Enginuity!$B$13=4)),
      AND(LEFT(P2260,5)="3-Way", OR(Enginuity!$B$13=3, Enginuity!$B$13=6)),
      AND(P2260="Inner Centre Jamb", OR(Enginuity!$B$13=4, Enginuity!$B$13=6)),
      AND(
        LEFT(P2260,5)&lt;&gt;"1-Way",
        LEFT(P2260,5)&lt;&gt;"2-Way",
        LEFT(P2260,5)&lt;&gt;"3-Way",
        P2260&lt;&gt;"Inner Centre Jamb"
      )
    ),
    IF(OR(Enginuity!$A$1="Frameless Glass",Enginuity!$A$1="Metal Work"),
      AND(TRIM(B2260)=TRIM(Enginuity!$A$17),TRIM(C2260)=TRIM(Enginuity!$A$18)),
      TRIM(B2260)=TRIM(Enginuity!$A$17)
    )
  ),
  ROW(),
  ""
)</f>
        <v/>
      </c>
    </row>
    <row r="2261" spans="1:21" x14ac:dyDescent="0.25">
      <c r="A2261" s="10" t="s">
        <v>254</v>
      </c>
      <c r="B2261" s="229" t="s">
        <v>1670</v>
      </c>
      <c r="C2261" s="10"/>
      <c r="D2261" s="14"/>
      <c r="E2261" s="157"/>
      <c r="F2261" s="10"/>
      <c r="G2261" s="17"/>
      <c r="H2261" s="10"/>
      <c r="I2261" s="17"/>
      <c r="J2261" s="83"/>
      <c r="K2261" s="343"/>
      <c r="L2261" s="347"/>
      <c r="M2261" s="89">
        <v>19</v>
      </c>
      <c r="N2261" s="10"/>
      <c r="O2261" s="22"/>
      <c r="P2261" s="14"/>
      <c r="Q2261" s="83"/>
      <c r="U2261" s="104" t="str">
        <f>IF(
  AND(
    TRIM(A2261)=TRIM(Enginuity!$A$1),
    TRIM(B2261)=TRIM(Enginuity!$A$17),
    Q2261&lt;&gt;"",
    Q2261&lt;&gt;0,
    OR(
      TRIM(C2261)=TRIM(Enginuity!$A$18),
      AND(UPPER(TRIM(M2261))="STD", TRIM(B2261)=TRIM(Enginuity!$A$17))
    ),
    OR(
      AND(LEFT(P2261,5)="1-Way", Enginuity!$B$13=1),
      AND(LEFT(P2261,5)="2-Way", OR(Enginuity!$B$13=2, Enginuity!$B$13=4)),
      AND(LEFT(P2261,5)="3-Way", OR(Enginuity!$B$13=3, Enginuity!$B$13=6)),
      AND(P2261="Inner Centre Jamb", OR(Enginuity!$B$13=4, Enginuity!$B$13=6)),
      AND(
        LEFT(P2261,5)&lt;&gt;"1-Way",
        LEFT(P2261,5)&lt;&gt;"2-Way",
        LEFT(P2261,5)&lt;&gt;"3-Way",
        P2261&lt;&gt;"Inner Centre Jamb"
      )
    ),
    IF(OR(Enginuity!$A$1="Frameless Glass",Enginuity!$A$1="Metal Work"),
      AND(TRIM(B2261)=TRIM(Enginuity!$A$17),TRIM(C2261)=TRIM(Enginuity!$A$18)),
      TRIM(B2261)=TRIM(Enginuity!$A$17)
    )
  ),
  ROW(),
  ""
)</f>
        <v/>
      </c>
    </row>
    <row r="2262" spans="1:21" x14ac:dyDescent="0.25">
      <c r="A2262" s="10" t="s">
        <v>254</v>
      </c>
      <c r="B2262" s="229" t="s">
        <v>1670</v>
      </c>
      <c r="C2262" s="10"/>
      <c r="D2262" s="14"/>
      <c r="E2262" s="157"/>
      <c r="F2262" s="10"/>
      <c r="G2262" s="17"/>
      <c r="H2262" s="10"/>
      <c r="I2262" s="17"/>
      <c r="J2262" s="83"/>
      <c r="K2262" s="343"/>
      <c r="L2262" s="347"/>
      <c r="M2262" s="89">
        <v>20</v>
      </c>
      <c r="N2262" s="10"/>
      <c r="O2262" s="22"/>
      <c r="P2262" s="14"/>
      <c r="Q2262" s="83"/>
      <c r="U2262" s="104" t="str">
        <f>IF(
  AND(
    TRIM(A2262)=TRIM(Enginuity!$A$1),
    TRIM(B2262)=TRIM(Enginuity!$A$17),
    Q2262&lt;&gt;"",
    Q2262&lt;&gt;0,
    OR(
      TRIM(C2262)=TRIM(Enginuity!$A$18),
      AND(UPPER(TRIM(M2262))="STD", TRIM(B2262)=TRIM(Enginuity!$A$17))
    ),
    OR(
      AND(LEFT(P2262,5)="1-Way", Enginuity!$B$13=1),
      AND(LEFT(P2262,5)="2-Way", OR(Enginuity!$B$13=2, Enginuity!$B$13=4)),
      AND(LEFT(P2262,5)="3-Way", OR(Enginuity!$B$13=3, Enginuity!$B$13=6)),
      AND(P2262="Inner Centre Jamb", OR(Enginuity!$B$13=4, Enginuity!$B$13=6)),
      AND(
        LEFT(P2262,5)&lt;&gt;"1-Way",
        LEFT(P2262,5)&lt;&gt;"2-Way",
        LEFT(P2262,5)&lt;&gt;"3-Way",
        P2262&lt;&gt;"Inner Centre Jamb"
      )
    ),
    IF(OR(Enginuity!$A$1="Frameless Glass",Enginuity!$A$1="Metal Work"),
      AND(TRIM(B2262)=TRIM(Enginuity!$A$17),TRIM(C2262)=TRIM(Enginuity!$A$18)),
      TRIM(B2262)=TRIM(Enginuity!$A$17)
    )
  ),
  ROW(),
  ""
)</f>
        <v/>
      </c>
    </row>
    <row r="2263" spans="1:21" x14ac:dyDescent="0.25">
      <c r="A2263" s="10" t="s">
        <v>254</v>
      </c>
      <c r="B2263" s="229" t="s">
        <v>1670</v>
      </c>
      <c r="C2263" s="10"/>
      <c r="D2263" s="14"/>
      <c r="E2263" s="157"/>
      <c r="F2263" s="10"/>
      <c r="G2263" s="17"/>
      <c r="H2263" s="10"/>
      <c r="I2263" s="17"/>
      <c r="J2263" s="83"/>
      <c r="K2263" s="343"/>
      <c r="L2263" s="347"/>
      <c r="M2263" s="89">
        <v>21</v>
      </c>
      <c r="N2263" s="10"/>
      <c r="O2263" s="22"/>
      <c r="P2263" s="14"/>
      <c r="Q2263" s="83"/>
      <c r="U2263" s="104" t="str">
        <f>IF(
  AND(
    TRIM(A2263)=TRIM(Enginuity!$A$1),
    TRIM(B2263)=TRIM(Enginuity!$A$17),
    Q2263&lt;&gt;"",
    Q2263&lt;&gt;0,
    OR(
      TRIM(C2263)=TRIM(Enginuity!$A$18),
      AND(UPPER(TRIM(M2263))="STD", TRIM(B2263)=TRIM(Enginuity!$A$17))
    ),
    OR(
      AND(LEFT(P2263,5)="1-Way", Enginuity!$B$13=1),
      AND(LEFT(P2263,5)="2-Way", OR(Enginuity!$B$13=2, Enginuity!$B$13=4)),
      AND(LEFT(P2263,5)="3-Way", OR(Enginuity!$B$13=3, Enginuity!$B$13=6)),
      AND(P2263="Inner Centre Jamb", OR(Enginuity!$B$13=4, Enginuity!$B$13=6)),
      AND(
        LEFT(P2263,5)&lt;&gt;"1-Way",
        LEFT(P2263,5)&lt;&gt;"2-Way",
        LEFT(P2263,5)&lt;&gt;"3-Way",
        P2263&lt;&gt;"Inner Centre Jamb"
      )
    ),
    IF(OR(Enginuity!$A$1="Frameless Glass",Enginuity!$A$1="Metal Work"),
      AND(TRIM(B2263)=TRIM(Enginuity!$A$17),TRIM(C2263)=TRIM(Enginuity!$A$18)),
      TRIM(B2263)=TRIM(Enginuity!$A$17)
    )
  ),
  ROW(),
  ""
)</f>
        <v/>
      </c>
    </row>
    <row r="2264" spans="1:21" x14ac:dyDescent="0.25">
      <c r="A2264" s="10" t="s">
        <v>254</v>
      </c>
      <c r="B2264" s="229" t="s">
        <v>1670</v>
      </c>
      <c r="C2264" s="10"/>
      <c r="D2264" s="14"/>
      <c r="E2264" s="157"/>
      <c r="F2264" s="10"/>
      <c r="G2264" s="17"/>
      <c r="H2264" s="10"/>
      <c r="I2264" s="17"/>
      <c r="J2264" s="83"/>
      <c r="K2264" s="343"/>
      <c r="L2264" s="347"/>
      <c r="M2264" s="89">
        <v>22</v>
      </c>
      <c r="N2264" s="10"/>
      <c r="O2264" s="22"/>
      <c r="P2264" s="14"/>
      <c r="Q2264" s="83"/>
      <c r="U2264" s="104" t="str">
        <f>IF(
  AND(
    TRIM(A2264)=TRIM(Enginuity!$A$1),
    TRIM(B2264)=TRIM(Enginuity!$A$17),
    Q2264&lt;&gt;"",
    Q2264&lt;&gt;0,
    OR(
      TRIM(C2264)=TRIM(Enginuity!$A$18),
      AND(UPPER(TRIM(M2264))="STD", TRIM(B2264)=TRIM(Enginuity!$A$17))
    ),
    OR(
      AND(LEFT(P2264,5)="1-Way", Enginuity!$B$13=1),
      AND(LEFT(P2264,5)="2-Way", OR(Enginuity!$B$13=2, Enginuity!$B$13=4)),
      AND(LEFT(P2264,5)="3-Way", OR(Enginuity!$B$13=3, Enginuity!$B$13=6)),
      AND(P2264="Inner Centre Jamb", OR(Enginuity!$B$13=4, Enginuity!$B$13=6)),
      AND(
        LEFT(P2264,5)&lt;&gt;"1-Way",
        LEFT(P2264,5)&lt;&gt;"2-Way",
        LEFT(P2264,5)&lt;&gt;"3-Way",
        P2264&lt;&gt;"Inner Centre Jamb"
      )
    ),
    IF(OR(Enginuity!$A$1="Frameless Glass",Enginuity!$A$1="Metal Work"),
      AND(TRIM(B2264)=TRIM(Enginuity!$A$17),TRIM(C2264)=TRIM(Enginuity!$A$18)),
      TRIM(B2264)=TRIM(Enginuity!$A$17)
    )
  ),
  ROW(),
  ""
)</f>
        <v/>
      </c>
    </row>
    <row r="2265" spans="1:21" x14ac:dyDescent="0.25">
      <c r="A2265" s="10" t="s">
        <v>254</v>
      </c>
      <c r="B2265" s="229" t="s">
        <v>1670</v>
      </c>
      <c r="C2265" s="10"/>
      <c r="D2265" s="14"/>
      <c r="E2265" s="157"/>
      <c r="F2265" s="10"/>
      <c r="G2265" s="17"/>
      <c r="H2265" s="10"/>
      <c r="I2265" s="17"/>
      <c r="J2265" s="83"/>
      <c r="K2265" s="343"/>
      <c r="L2265" s="347"/>
      <c r="M2265" s="89">
        <v>23</v>
      </c>
      <c r="N2265" s="10"/>
      <c r="O2265" s="22"/>
      <c r="P2265" s="14"/>
      <c r="Q2265" s="83"/>
      <c r="U2265" s="104" t="str">
        <f>IF(
  AND(
    TRIM(A2265)=TRIM(Enginuity!$A$1),
    TRIM(B2265)=TRIM(Enginuity!$A$17),
    Q2265&lt;&gt;"",
    Q2265&lt;&gt;0,
    OR(
      TRIM(C2265)=TRIM(Enginuity!$A$18),
      AND(UPPER(TRIM(M2265))="STD", TRIM(B2265)=TRIM(Enginuity!$A$17))
    ),
    OR(
      AND(LEFT(P2265,5)="1-Way", Enginuity!$B$13=1),
      AND(LEFT(P2265,5)="2-Way", OR(Enginuity!$B$13=2, Enginuity!$B$13=4)),
      AND(LEFT(P2265,5)="3-Way", OR(Enginuity!$B$13=3, Enginuity!$B$13=6)),
      AND(P2265="Inner Centre Jamb", OR(Enginuity!$B$13=4, Enginuity!$B$13=6)),
      AND(
        LEFT(P2265,5)&lt;&gt;"1-Way",
        LEFT(P2265,5)&lt;&gt;"2-Way",
        LEFT(P2265,5)&lt;&gt;"3-Way",
        P2265&lt;&gt;"Inner Centre Jamb"
      )
    ),
    IF(OR(Enginuity!$A$1="Frameless Glass",Enginuity!$A$1="Metal Work"),
      AND(TRIM(B2265)=TRIM(Enginuity!$A$17),TRIM(C2265)=TRIM(Enginuity!$A$18)),
      TRIM(B2265)=TRIM(Enginuity!$A$17)
    )
  ),
  ROW(),
  ""
)</f>
        <v/>
      </c>
    </row>
    <row r="2266" spans="1:21" x14ac:dyDescent="0.25">
      <c r="A2266" s="10" t="s">
        <v>254</v>
      </c>
      <c r="B2266" s="229" t="s">
        <v>1670</v>
      </c>
      <c r="C2266" s="10"/>
      <c r="D2266" s="14"/>
      <c r="E2266" s="157"/>
      <c r="F2266" s="10"/>
      <c r="G2266" s="17"/>
      <c r="H2266" s="10"/>
      <c r="I2266" s="17"/>
      <c r="J2266" s="83"/>
      <c r="K2266" s="343"/>
      <c r="L2266" s="347"/>
      <c r="M2266" s="89">
        <v>24</v>
      </c>
      <c r="N2266" s="10"/>
      <c r="O2266" s="22"/>
      <c r="P2266" s="14"/>
      <c r="Q2266" s="83"/>
      <c r="U2266" s="104" t="str">
        <f>IF(
  AND(
    TRIM(A2266)=TRIM(Enginuity!$A$1),
    TRIM(B2266)=TRIM(Enginuity!$A$17),
    Q2266&lt;&gt;"",
    Q2266&lt;&gt;0,
    OR(
      TRIM(C2266)=TRIM(Enginuity!$A$18),
      AND(UPPER(TRIM(M2266))="STD", TRIM(B2266)=TRIM(Enginuity!$A$17))
    ),
    OR(
      AND(LEFT(P2266,5)="1-Way", Enginuity!$B$13=1),
      AND(LEFT(P2266,5)="2-Way", OR(Enginuity!$B$13=2, Enginuity!$B$13=4)),
      AND(LEFT(P2266,5)="3-Way", OR(Enginuity!$B$13=3, Enginuity!$B$13=6)),
      AND(P2266="Inner Centre Jamb", OR(Enginuity!$B$13=4, Enginuity!$B$13=6)),
      AND(
        LEFT(P2266,5)&lt;&gt;"1-Way",
        LEFT(P2266,5)&lt;&gt;"2-Way",
        LEFT(P2266,5)&lt;&gt;"3-Way",
        P2266&lt;&gt;"Inner Centre Jamb"
      )
    ),
    IF(OR(Enginuity!$A$1="Frameless Glass",Enginuity!$A$1="Metal Work"),
      AND(TRIM(B2266)=TRIM(Enginuity!$A$17),TRIM(C2266)=TRIM(Enginuity!$A$18)),
      TRIM(B2266)=TRIM(Enginuity!$A$17)
    )
  ),
  ROW(),
  ""
)</f>
        <v/>
      </c>
    </row>
    <row r="2267" spans="1:21" x14ac:dyDescent="0.25">
      <c r="A2267" s="10" t="s">
        <v>254</v>
      </c>
      <c r="B2267" s="229" t="s">
        <v>1670</v>
      </c>
      <c r="C2267" s="10"/>
      <c r="D2267" s="14"/>
      <c r="E2267" s="157"/>
      <c r="F2267" s="10"/>
      <c r="G2267" s="17"/>
      <c r="H2267" s="10"/>
      <c r="I2267" s="17"/>
      <c r="J2267" s="83"/>
      <c r="K2267" s="343"/>
      <c r="L2267" s="347"/>
      <c r="M2267" s="89">
        <v>25</v>
      </c>
      <c r="N2267" s="10"/>
      <c r="O2267" s="22"/>
      <c r="P2267" s="14"/>
      <c r="Q2267" s="83"/>
      <c r="U2267" s="104" t="str">
        <f>IF(
  AND(
    TRIM(A2267)=TRIM(Enginuity!$A$1),
    TRIM(B2267)=TRIM(Enginuity!$A$17),
    Q2267&lt;&gt;"",
    Q2267&lt;&gt;0,
    OR(
      TRIM(C2267)=TRIM(Enginuity!$A$18),
      AND(UPPER(TRIM(M2267))="STD", TRIM(B2267)=TRIM(Enginuity!$A$17))
    ),
    OR(
      AND(LEFT(P2267,5)="1-Way", Enginuity!$B$13=1),
      AND(LEFT(P2267,5)="2-Way", OR(Enginuity!$B$13=2, Enginuity!$B$13=4)),
      AND(LEFT(P2267,5)="3-Way", OR(Enginuity!$B$13=3, Enginuity!$B$13=6)),
      AND(P2267="Inner Centre Jamb", OR(Enginuity!$B$13=4, Enginuity!$B$13=6)),
      AND(
        LEFT(P2267,5)&lt;&gt;"1-Way",
        LEFT(P2267,5)&lt;&gt;"2-Way",
        LEFT(P2267,5)&lt;&gt;"3-Way",
        P2267&lt;&gt;"Inner Centre Jamb"
      )
    ),
    IF(OR(Enginuity!$A$1="Frameless Glass",Enginuity!$A$1="Metal Work"),
      AND(TRIM(B2267)=TRIM(Enginuity!$A$17),TRIM(C2267)=TRIM(Enginuity!$A$18)),
      TRIM(B2267)=TRIM(Enginuity!$A$17)
    )
  ),
  ROW(),
  ""
)</f>
        <v/>
      </c>
    </row>
    <row r="2268" spans="1:21" x14ac:dyDescent="0.25">
      <c r="A2268" s="10" t="s">
        <v>254</v>
      </c>
      <c r="B2268" s="229" t="s">
        <v>1670</v>
      </c>
      <c r="C2268" s="10"/>
      <c r="D2268" s="14"/>
      <c r="E2268" s="157"/>
      <c r="F2268" s="10"/>
      <c r="G2268" s="17"/>
      <c r="H2268" s="10"/>
      <c r="I2268" s="17"/>
      <c r="J2268" s="83"/>
      <c r="K2268" s="343"/>
      <c r="L2268" s="347"/>
      <c r="M2268" s="89">
        <v>26</v>
      </c>
      <c r="N2268" s="10"/>
      <c r="O2268" s="22"/>
      <c r="P2268" s="14"/>
      <c r="Q2268" s="83"/>
      <c r="U2268" s="104" t="str">
        <f>IF(
  AND(
    TRIM(A2268)=TRIM(Enginuity!$A$1),
    TRIM(B2268)=TRIM(Enginuity!$A$17),
    Q2268&lt;&gt;"",
    Q2268&lt;&gt;0,
    OR(
      TRIM(C2268)=TRIM(Enginuity!$A$18),
      AND(UPPER(TRIM(M2268))="STD", TRIM(B2268)=TRIM(Enginuity!$A$17))
    ),
    OR(
      AND(LEFT(P2268,5)="1-Way", Enginuity!$B$13=1),
      AND(LEFT(P2268,5)="2-Way", OR(Enginuity!$B$13=2, Enginuity!$B$13=4)),
      AND(LEFT(P2268,5)="3-Way", OR(Enginuity!$B$13=3, Enginuity!$B$13=6)),
      AND(P2268="Inner Centre Jamb", OR(Enginuity!$B$13=4, Enginuity!$B$13=6)),
      AND(
        LEFT(P2268,5)&lt;&gt;"1-Way",
        LEFT(P2268,5)&lt;&gt;"2-Way",
        LEFT(P2268,5)&lt;&gt;"3-Way",
        P2268&lt;&gt;"Inner Centre Jamb"
      )
    ),
    IF(OR(Enginuity!$A$1="Frameless Glass",Enginuity!$A$1="Metal Work"),
      AND(TRIM(B2268)=TRIM(Enginuity!$A$17),TRIM(C2268)=TRIM(Enginuity!$A$18)),
      TRIM(B2268)=TRIM(Enginuity!$A$17)
    )
  ),
  ROW(),
  ""
)</f>
        <v/>
      </c>
    </row>
    <row r="2269" spans="1:21" x14ac:dyDescent="0.25">
      <c r="A2269" s="10" t="s">
        <v>254</v>
      </c>
      <c r="B2269" s="229" t="s">
        <v>1670</v>
      </c>
      <c r="C2269" s="10"/>
      <c r="D2269" s="14"/>
      <c r="E2269" s="157"/>
      <c r="F2269" s="10"/>
      <c r="G2269" s="17"/>
      <c r="H2269" s="10"/>
      <c r="I2269" s="17"/>
      <c r="J2269" s="83"/>
      <c r="K2269" s="343"/>
      <c r="L2269" s="347"/>
      <c r="M2269" s="89">
        <v>27</v>
      </c>
      <c r="N2269" s="10"/>
      <c r="O2269" s="22"/>
      <c r="P2269" s="14"/>
      <c r="Q2269" s="83"/>
      <c r="U2269" s="104" t="str">
        <f>IF(
  AND(
    TRIM(A2269)=TRIM(Enginuity!$A$1),
    TRIM(B2269)=TRIM(Enginuity!$A$17),
    Q2269&lt;&gt;"",
    Q2269&lt;&gt;0,
    OR(
      TRIM(C2269)=TRIM(Enginuity!$A$18),
      AND(UPPER(TRIM(M2269))="STD", TRIM(B2269)=TRIM(Enginuity!$A$17))
    ),
    OR(
      AND(LEFT(P2269,5)="1-Way", Enginuity!$B$13=1),
      AND(LEFT(P2269,5)="2-Way", OR(Enginuity!$B$13=2, Enginuity!$B$13=4)),
      AND(LEFT(P2269,5)="3-Way", OR(Enginuity!$B$13=3, Enginuity!$B$13=6)),
      AND(P2269="Inner Centre Jamb", OR(Enginuity!$B$13=4, Enginuity!$B$13=6)),
      AND(
        LEFT(P2269,5)&lt;&gt;"1-Way",
        LEFT(P2269,5)&lt;&gt;"2-Way",
        LEFT(P2269,5)&lt;&gt;"3-Way",
        P2269&lt;&gt;"Inner Centre Jamb"
      )
    ),
    IF(OR(Enginuity!$A$1="Frameless Glass",Enginuity!$A$1="Metal Work"),
      AND(TRIM(B2269)=TRIM(Enginuity!$A$17),TRIM(C2269)=TRIM(Enginuity!$A$18)),
      TRIM(B2269)=TRIM(Enginuity!$A$17)
    )
  ),
  ROW(),
  ""
)</f>
        <v/>
      </c>
    </row>
    <row r="2270" spans="1:21" x14ac:dyDescent="0.25">
      <c r="A2270" s="10" t="s">
        <v>254</v>
      </c>
      <c r="B2270" s="229" t="s">
        <v>1670</v>
      </c>
      <c r="C2270" s="10"/>
      <c r="D2270" s="14"/>
      <c r="E2270" s="157"/>
      <c r="F2270" s="10"/>
      <c r="G2270" s="17"/>
      <c r="H2270" s="10"/>
      <c r="I2270" s="17"/>
      <c r="J2270" s="83"/>
      <c r="K2270" s="343"/>
      <c r="L2270" s="347"/>
      <c r="M2270" s="89">
        <v>28</v>
      </c>
      <c r="N2270" s="10"/>
      <c r="O2270" s="22"/>
      <c r="P2270" s="21"/>
      <c r="Q2270" s="83"/>
      <c r="U2270" s="104" t="str">
        <f>IF(
  AND(
    TRIM(A2270)=TRIM(Enginuity!$A$1),
    TRIM(B2270)=TRIM(Enginuity!$A$17),
    Q2270&lt;&gt;"",
    Q2270&lt;&gt;0,
    OR(
      TRIM(C2270)=TRIM(Enginuity!$A$18),
      AND(UPPER(TRIM(M2270))="STD", TRIM(B2270)=TRIM(Enginuity!$A$17))
    ),
    OR(
      AND(LEFT(P2270,5)="1-Way", Enginuity!$B$13=1),
      AND(LEFT(P2270,5)="2-Way", OR(Enginuity!$B$13=2, Enginuity!$B$13=4)),
      AND(LEFT(P2270,5)="3-Way", OR(Enginuity!$B$13=3, Enginuity!$B$13=6)),
      AND(P2270="Inner Centre Jamb", OR(Enginuity!$B$13=4, Enginuity!$B$13=6)),
      AND(
        LEFT(P2270,5)&lt;&gt;"1-Way",
        LEFT(P2270,5)&lt;&gt;"2-Way",
        LEFT(P2270,5)&lt;&gt;"3-Way",
        P2270&lt;&gt;"Inner Centre Jamb"
      )
    ),
    IF(OR(Enginuity!$A$1="Frameless Glass",Enginuity!$A$1="Metal Work"),
      AND(TRIM(B2270)=TRIM(Enginuity!$A$17),TRIM(C2270)=TRIM(Enginuity!$A$18)),
      TRIM(B2270)=TRIM(Enginuity!$A$17)
    )
  ),
  ROW(),
  ""
)</f>
        <v/>
      </c>
    </row>
    <row r="2271" spans="1:21" x14ac:dyDescent="0.25">
      <c r="A2271" s="10" t="s">
        <v>254</v>
      </c>
      <c r="B2271" s="229" t="s">
        <v>1670</v>
      </c>
      <c r="C2271" s="10"/>
      <c r="D2271" s="14"/>
      <c r="E2271" s="157"/>
      <c r="F2271" s="10"/>
      <c r="G2271" s="17"/>
      <c r="H2271" s="10"/>
      <c r="I2271" s="17"/>
      <c r="J2271" s="83"/>
      <c r="K2271" s="343"/>
      <c r="L2271" s="347"/>
      <c r="M2271" s="89">
        <v>29</v>
      </c>
      <c r="N2271" s="88"/>
      <c r="O2271" s="22"/>
      <c r="P2271" s="36"/>
      <c r="Q2271" s="83"/>
      <c r="U2271" s="104" t="str">
        <f>IF(
  AND(
    TRIM(A2271)=TRIM(Enginuity!$A$1),
    TRIM(B2271)=TRIM(Enginuity!$A$17),
    Q2271&lt;&gt;"",
    Q2271&lt;&gt;0,
    OR(
      TRIM(C2271)=TRIM(Enginuity!$A$18),
      AND(UPPER(TRIM(M2271))="STD", TRIM(B2271)=TRIM(Enginuity!$A$17))
    ),
    OR(
      AND(LEFT(P2271,5)="1-Way", Enginuity!$B$13=1),
      AND(LEFT(P2271,5)="2-Way", OR(Enginuity!$B$13=2, Enginuity!$B$13=4)),
      AND(LEFT(P2271,5)="3-Way", OR(Enginuity!$B$13=3, Enginuity!$B$13=6)),
      AND(P2271="Inner Centre Jamb", OR(Enginuity!$B$13=4, Enginuity!$B$13=6)),
      AND(
        LEFT(P2271,5)&lt;&gt;"1-Way",
        LEFT(P2271,5)&lt;&gt;"2-Way",
        LEFT(P2271,5)&lt;&gt;"3-Way",
        P2271&lt;&gt;"Inner Centre Jamb"
      )
    ),
    IF(OR(Enginuity!$A$1="Frameless Glass",Enginuity!$A$1="Metal Work"),
      AND(TRIM(B2271)=TRIM(Enginuity!$A$17),TRIM(C2271)=TRIM(Enginuity!$A$18)),
      TRIM(B2271)=TRIM(Enginuity!$A$17)
    )
  ),
  ROW(),
  ""
)</f>
        <v/>
      </c>
    </row>
    <row r="2272" spans="1:21" x14ac:dyDescent="0.25">
      <c r="A2272" s="10" t="s">
        <v>254</v>
      </c>
      <c r="B2272" s="229" t="s">
        <v>1670</v>
      </c>
      <c r="C2272" s="10"/>
      <c r="D2272" s="14"/>
      <c r="E2272" s="157"/>
      <c r="F2272" s="10"/>
      <c r="G2272" s="17"/>
      <c r="H2272" s="10"/>
      <c r="I2272" s="17"/>
      <c r="J2272" s="83"/>
      <c r="K2272" s="343"/>
      <c r="L2272" s="347"/>
      <c r="M2272" s="10" t="s">
        <v>117</v>
      </c>
      <c r="N2272" s="10" t="s">
        <v>121</v>
      </c>
      <c r="O2272" s="22" t="str">
        <f>$O$2</f>
        <v/>
      </c>
      <c r="P2272" s="21" t="str">
        <f>Enginuity!$A$19</f>
        <v>W/G</v>
      </c>
      <c r="Q2272" s="83" t="str" cm="1">
        <f t="array" ref="Q2272">IF(IFERROR(VALUE(INDEX($O:$O,ROW())),0)&gt;0,IF(AND(Enginuity!$B$7&gt;0,Enginuity!$B$13&gt;0),ROUNDUP(Enginuity!$B$7/0.5,0)*Enginuity!$B$13,""),"")</f>
        <v/>
      </c>
      <c r="U2272" s="104" t="str">
        <f>IF(
  AND(
    TRIM(A2272)=TRIM(Enginuity!$A$1),
    TRIM(B2272)=TRIM(Enginuity!$A$17),
    Q2272&lt;&gt;"",
    Q2272&lt;&gt;0,
    OR(
      TRIM(C2272)=TRIM(Enginuity!$A$18),
      AND(UPPER(TRIM(M2272))="STD", TRIM(B2272)=TRIM(Enginuity!$A$17))
    ),
    OR(
      AND(LEFT(P2272,5)="1-Way", Enginuity!$B$13=1),
      AND(LEFT(P2272,5)="2-Way", OR(Enginuity!$B$13=2, Enginuity!$B$13=4)),
      AND(LEFT(P2272,5)="3-Way", OR(Enginuity!$B$13=3, Enginuity!$B$13=6)),
      AND(P2272="Inner Centre Jamb", OR(Enginuity!$B$13=4, Enginuity!$B$13=6)),
      AND(
        LEFT(P2272,5)&lt;&gt;"1-Way",
        LEFT(P2272,5)&lt;&gt;"2-Way",
        LEFT(P2272,5)&lt;&gt;"3-Way",
        P2272&lt;&gt;"Inner Centre Jamb"
      )
    ),
    IF(OR(Enginuity!$A$1="Frameless Glass",Enginuity!$A$1="Metal Work"),
      AND(TRIM(B2272)=TRIM(Enginuity!$A$17),TRIM(C2272)=TRIM(Enginuity!$A$18)),
      TRIM(B2272)=TRIM(Enginuity!$A$17)
    )
  ),
  ROW(),
  ""
)</f>
        <v/>
      </c>
    </row>
    <row r="2273" spans="1:21" x14ac:dyDescent="0.25">
      <c r="A2273" s="10" t="s">
        <v>254</v>
      </c>
      <c r="B2273" s="229" t="s">
        <v>1670</v>
      </c>
      <c r="C2273" s="10"/>
      <c r="D2273" s="14"/>
      <c r="E2273" s="157"/>
      <c r="F2273" s="10"/>
      <c r="G2273" s="17"/>
      <c r="H2273" s="10"/>
      <c r="I2273" s="17"/>
      <c r="J2273" s="83"/>
      <c r="K2273" s="343"/>
      <c r="L2273" s="347"/>
      <c r="M2273" s="10" t="s">
        <v>117</v>
      </c>
      <c r="N2273" s="10" t="s">
        <v>103</v>
      </c>
      <c r="O2273" s="22">
        <v>0.4</v>
      </c>
      <c r="P2273" s="14" t="s">
        <v>226</v>
      </c>
      <c r="Q2273" s="83">
        <f>IF(AND(Enginuity!$B$6&gt;0, Enginuity!$B$7&gt;0, Enginuity!$B$13&gt;0), (2 * Enginuity!$B$7 * Enginuity!$B$13) + (2 * Enginuity!$B$6), "")</f>
        <v>222</v>
      </c>
      <c r="U2273" s="104" t="str">
        <f>IF(
  AND(
    TRIM(A2273)=TRIM(Enginuity!$A$1),
    TRIM(B2273)=TRIM(Enginuity!$A$17),
    Q2273&lt;&gt;"",
    Q2273&lt;&gt;0,
    OR(
      TRIM(C2273)=TRIM(Enginuity!$A$18),
      AND(UPPER(TRIM(M2273))="STD", TRIM(B2273)=TRIM(Enginuity!$A$17))
    ),
    OR(
      AND(LEFT(P2273,5)="1-Way", Enginuity!$B$13=1),
      AND(LEFT(P2273,5)="2-Way", OR(Enginuity!$B$13=2, Enginuity!$B$13=4)),
      AND(LEFT(P2273,5)="3-Way", OR(Enginuity!$B$13=3, Enginuity!$B$13=6)),
      AND(P2273="Inner Centre Jamb", OR(Enginuity!$B$13=4, Enginuity!$B$13=6)),
      AND(
        LEFT(P2273,5)&lt;&gt;"1-Way",
        LEFT(P2273,5)&lt;&gt;"2-Way",
        LEFT(P2273,5)&lt;&gt;"3-Way",
        P2273&lt;&gt;"Inner Centre Jamb"
      )
    ),
    IF(OR(Enginuity!$A$1="Frameless Glass",Enginuity!$A$1="Metal Work"),
      AND(TRIM(B2273)=TRIM(Enginuity!$A$17),TRIM(C2273)=TRIM(Enginuity!$A$18)),
      TRIM(B2273)=TRIM(Enginuity!$A$17)
    )
  ),
  ROW(),
  ""
)</f>
        <v/>
      </c>
    </row>
    <row r="2274" spans="1:21" x14ac:dyDescent="0.25">
      <c r="A2274" s="10" t="s">
        <v>254</v>
      </c>
      <c r="B2274" s="229" t="s">
        <v>1670</v>
      </c>
      <c r="C2274" s="10"/>
      <c r="D2274" s="14"/>
      <c r="E2274" s="157"/>
      <c r="F2274" s="10"/>
      <c r="G2274" s="17"/>
      <c r="H2274" s="10"/>
      <c r="I2274" s="17"/>
      <c r="J2274" s="83"/>
      <c r="K2274" s="343"/>
      <c r="L2274" s="347"/>
      <c r="M2274" s="10" t="s">
        <v>117</v>
      </c>
      <c r="N2274" s="10" t="s">
        <v>103</v>
      </c>
      <c r="O2274" s="22">
        <v>0.12</v>
      </c>
      <c r="P2274" s="14" t="s">
        <v>280</v>
      </c>
      <c r="Q2274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576</v>
      </c>
      <c r="U2274" s="104" t="str">
        <f>IF(
  AND(
    TRIM(A2274)=TRIM(Enginuity!$A$1),
    TRIM(B2274)=TRIM(Enginuity!$A$17),
    Q2274&lt;&gt;"",
    Q2274&lt;&gt;0,
    OR(
      TRIM(C2274)=TRIM(Enginuity!$A$18),
      AND(UPPER(TRIM(M2274))="STD", TRIM(B2274)=TRIM(Enginuity!$A$17))
    ),
    OR(
      AND(LEFT(P2274,5)="1-Way", Enginuity!$B$13=1),
      AND(LEFT(P2274,5)="2-Way", OR(Enginuity!$B$13=2, Enginuity!$B$13=4)),
      AND(LEFT(P2274,5)="3-Way", OR(Enginuity!$B$13=3, Enginuity!$B$13=6)),
      AND(P2274="Inner Centre Jamb", OR(Enginuity!$B$13=4, Enginuity!$B$13=6)),
      AND(
        LEFT(P2274,5)&lt;&gt;"1-Way",
        LEFT(P2274,5)&lt;&gt;"2-Way",
        LEFT(P2274,5)&lt;&gt;"3-Way",
        P2274&lt;&gt;"Inner Centre Jamb"
      )
    ),
    IF(OR(Enginuity!$A$1="Frameless Glass",Enginuity!$A$1="Metal Work"),
      AND(TRIM(B2274)=TRIM(Enginuity!$A$17),TRIM(C2274)=TRIM(Enginuity!$A$18)),
      TRIM(B2274)=TRIM(Enginuity!$A$17)
    )
  ),
  ROW(),
  ""
)</f>
        <v/>
      </c>
    </row>
    <row r="2275" spans="1:21" x14ac:dyDescent="0.25">
      <c r="A2275" s="10" t="s">
        <v>254</v>
      </c>
      <c r="B2275" s="229" t="s">
        <v>1670</v>
      </c>
      <c r="C2275" s="10"/>
      <c r="D2275" s="14"/>
      <c r="E2275" s="157"/>
      <c r="F2275" s="10"/>
      <c r="G2275" s="17"/>
      <c r="H2275" s="10"/>
      <c r="I2275" s="17"/>
      <c r="J2275" s="83"/>
      <c r="K2275" s="343"/>
      <c r="L2275" s="347"/>
      <c r="M2275" s="10" t="s">
        <v>117</v>
      </c>
      <c r="N2275" s="10" t="s">
        <v>112</v>
      </c>
      <c r="O2275" s="22">
        <v>1</v>
      </c>
      <c r="P2275" s="14" t="s">
        <v>395</v>
      </c>
      <c r="Q2275" s="83">
        <f>IF(AND(Enginuity!$B$7&gt;0, Enginuity!$B$13&gt;1), (Enginuity!$B$13 - 1) * 2, "")</f>
        <v>12</v>
      </c>
      <c r="U2275" s="104" t="str">
        <f>IF(
  AND(
    TRIM(A2275)=TRIM(Enginuity!$A$1),
    TRIM(B2275)=TRIM(Enginuity!$A$17),
    Q2275&lt;&gt;"",
    Q2275&lt;&gt;0,
    OR(
      TRIM(C2275)=TRIM(Enginuity!$A$18),
      AND(UPPER(TRIM(M2275))="STD", TRIM(B2275)=TRIM(Enginuity!$A$17))
    ),
    OR(
      AND(LEFT(P2275,5)="1-Way", Enginuity!$B$13=1),
      AND(LEFT(P2275,5)="2-Way", OR(Enginuity!$B$13=2, Enginuity!$B$13=4)),
      AND(LEFT(P2275,5)="3-Way", OR(Enginuity!$B$13=3, Enginuity!$B$13=6)),
      AND(P2275="Inner Centre Jamb", OR(Enginuity!$B$13=4, Enginuity!$B$13=6)),
      AND(
        LEFT(P2275,5)&lt;&gt;"1-Way",
        LEFT(P2275,5)&lt;&gt;"2-Way",
        LEFT(P2275,5)&lt;&gt;"3-Way",
        P2275&lt;&gt;"Inner Centre Jamb"
      )
    ),
    IF(OR(Enginuity!$A$1="Frameless Glass",Enginuity!$A$1="Metal Work"),
      AND(TRIM(B2275)=TRIM(Enginuity!$A$17),TRIM(C2275)=TRIM(Enginuity!$A$18)),
      TRIM(B2275)=TRIM(Enginuity!$A$17)
    )
  ),
  ROW(),
  ""
)</f>
        <v/>
      </c>
    </row>
    <row r="2276" spans="1:21" x14ac:dyDescent="0.25">
      <c r="A2276" s="10" t="s">
        <v>254</v>
      </c>
      <c r="B2276" s="229" t="s">
        <v>1670</v>
      </c>
      <c r="C2276" s="10"/>
      <c r="D2276" s="14"/>
      <c r="E2276" s="157"/>
      <c r="F2276" s="10"/>
      <c r="G2276" s="17"/>
      <c r="H2276" s="10"/>
      <c r="I2276" s="17"/>
      <c r="J2276" s="83"/>
      <c r="K2276" s="343"/>
      <c r="L2276" s="347"/>
      <c r="M2276" s="10" t="s">
        <v>117</v>
      </c>
      <c r="N2276" s="10" t="s">
        <v>112</v>
      </c>
      <c r="O2276" s="22">
        <v>1.1000000000000001</v>
      </c>
      <c r="P2276" s="14" t="s">
        <v>394</v>
      </c>
      <c r="Q2276" s="83">
        <v>4</v>
      </c>
      <c r="U2276" s="104" t="str">
        <f>IF(
  AND(
    TRIM(A2276)=TRIM(Enginuity!$A$1),
    TRIM(B2276)=TRIM(Enginuity!$A$17),
    Q2276&lt;&gt;"",
    Q2276&lt;&gt;0,
    OR(
      TRIM(C2276)=TRIM(Enginuity!$A$18),
      AND(UPPER(TRIM(M2276))="STD", TRIM(B2276)=TRIM(Enginuity!$A$17))
    ),
    OR(
      AND(LEFT(P2276,5)="1-Way", Enginuity!$B$13=1),
      AND(LEFT(P2276,5)="2-Way", OR(Enginuity!$B$13=2, Enginuity!$B$13=4)),
      AND(LEFT(P2276,5)="3-Way", OR(Enginuity!$B$13=3, Enginuity!$B$13=6)),
      AND(P2276="Inner Centre Jamb", OR(Enginuity!$B$13=4, Enginuity!$B$13=6)),
      AND(
        LEFT(P2276,5)&lt;&gt;"1-Way",
        LEFT(P2276,5)&lt;&gt;"2-Way",
        LEFT(P2276,5)&lt;&gt;"3-Way",
        P2276&lt;&gt;"Inner Centre Jamb"
      )
    ),
    IF(OR(Enginuity!$A$1="Frameless Glass",Enginuity!$A$1="Metal Work"),
      AND(TRIM(B2276)=TRIM(Enginuity!$A$17),TRIM(C2276)=TRIM(Enginuity!$A$18)),
      TRIM(B2276)=TRIM(Enginuity!$A$17)
    )
  ),
  ROW(),
  ""
)</f>
        <v/>
      </c>
    </row>
    <row r="2277" spans="1:21" x14ac:dyDescent="0.25">
      <c r="A2277" s="10" t="s">
        <v>254</v>
      </c>
      <c r="B2277" s="229" t="s">
        <v>1670</v>
      </c>
      <c r="C2277" s="10"/>
      <c r="D2277" s="14"/>
      <c r="E2277" s="157"/>
      <c r="F2277" s="10"/>
      <c r="G2277" s="17"/>
      <c r="H2277" s="10"/>
      <c r="I2277" s="17"/>
      <c r="J2277" s="83"/>
      <c r="K2277" s="343"/>
      <c r="L2277" s="347"/>
      <c r="M2277" s="10" t="s">
        <v>117</v>
      </c>
      <c r="N2277" s="10"/>
      <c r="O2277" s="22"/>
      <c r="P2277" s="14"/>
      <c r="Q2277" s="83"/>
      <c r="U2277" s="104" t="str">
        <f>IF(
  AND(
    TRIM(A2277)=TRIM(Enginuity!$A$1),
    TRIM(B2277)=TRIM(Enginuity!$A$17),
    Q2277&lt;&gt;"",
    Q2277&lt;&gt;0,
    OR(
      TRIM(C2277)=TRIM(Enginuity!$A$18),
      AND(UPPER(TRIM(M2277))="STD", TRIM(B2277)=TRIM(Enginuity!$A$17))
    ),
    OR(
      AND(LEFT(P2277,5)="1-Way", Enginuity!$B$13=1),
      AND(LEFT(P2277,5)="2-Way", OR(Enginuity!$B$13=2, Enginuity!$B$13=4)),
      AND(LEFT(P2277,5)="3-Way", OR(Enginuity!$B$13=3, Enginuity!$B$13=6)),
      AND(P2277="Inner Centre Jamb", OR(Enginuity!$B$13=4, Enginuity!$B$13=6)),
      AND(
        LEFT(P2277,5)&lt;&gt;"1-Way",
        LEFT(P2277,5)&lt;&gt;"2-Way",
        LEFT(P2277,5)&lt;&gt;"3-Way",
        P2277&lt;&gt;"Inner Centre Jamb"
      )
    ),
    IF(OR(Enginuity!$A$1="Frameless Glass",Enginuity!$A$1="Metal Work"),
      AND(TRIM(B2277)=TRIM(Enginuity!$A$17),TRIM(C2277)=TRIM(Enginuity!$A$18)),
      TRIM(B2277)=TRIM(Enginuity!$A$17)
    )
  ),
  ROW(),
  ""
)</f>
        <v/>
      </c>
    </row>
    <row r="2278" spans="1:21" x14ac:dyDescent="0.25">
      <c r="A2278" s="10" t="s">
        <v>254</v>
      </c>
      <c r="B2278" s="229" t="s">
        <v>1670</v>
      </c>
      <c r="C2278" s="10"/>
      <c r="D2278" s="14"/>
      <c r="E2278" s="157"/>
      <c r="F2278" s="10"/>
      <c r="G2278" s="17"/>
      <c r="H2278" s="10"/>
      <c r="I2278" s="17"/>
      <c r="J2278" s="83"/>
      <c r="K2278" s="343"/>
      <c r="L2278" s="347"/>
      <c r="M2278" s="10" t="s">
        <v>117</v>
      </c>
      <c r="N2278" s="88"/>
      <c r="O2278" s="22"/>
      <c r="P2278" s="36"/>
      <c r="Q2278" s="83"/>
      <c r="U2278" s="104" t="str">
        <f>IF(
  AND(
    TRIM(A2278)=TRIM(Enginuity!$A$1),
    TRIM(B2278)=TRIM(Enginuity!$A$17),
    Q2278&lt;&gt;"",
    Q2278&lt;&gt;0,
    OR(
      TRIM(C2278)=TRIM(Enginuity!$A$18),
      AND(UPPER(TRIM(M2278))="STD", TRIM(B2278)=TRIM(Enginuity!$A$17))
    ),
    OR(
      AND(LEFT(P2278,5)="1-Way", Enginuity!$B$13=1),
      AND(LEFT(P2278,5)="2-Way", OR(Enginuity!$B$13=2, Enginuity!$B$13=4)),
      AND(LEFT(P2278,5)="3-Way", OR(Enginuity!$B$13=3, Enginuity!$B$13=6)),
      AND(P2278="Inner Centre Jamb", OR(Enginuity!$B$13=4, Enginuity!$B$13=6)),
      AND(
        LEFT(P2278,5)&lt;&gt;"1-Way",
        LEFT(P2278,5)&lt;&gt;"2-Way",
        LEFT(P2278,5)&lt;&gt;"3-Way",
        P2278&lt;&gt;"Inner Centre Jamb"
      )
    ),
    IF(OR(Enginuity!$A$1="Frameless Glass",Enginuity!$A$1="Metal Work"),
      AND(TRIM(B2278)=TRIM(Enginuity!$A$17),TRIM(C2278)=TRIM(Enginuity!$A$18)),
      TRIM(B2278)=TRIM(Enginuity!$A$17)
    )
  ),
  ROW(),
  ""
)</f>
        <v/>
      </c>
    </row>
    <row r="2279" spans="1:21" x14ac:dyDescent="0.25">
      <c r="A2279" s="10" t="s">
        <v>254</v>
      </c>
      <c r="B2279" s="229" t="s">
        <v>1670</v>
      </c>
      <c r="C2279" s="10"/>
      <c r="D2279" s="14"/>
      <c r="E2279" s="157"/>
      <c r="F2279" s="10"/>
      <c r="G2279" s="17"/>
      <c r="H2279" s="10"/>
      <c r="I2279" s="17"/>
      <c r="J2279" s="83"/>
      <c r="K2279" s="343"/>
      <c r="L2279" s="347"/>
      <c r="M2279" s="10" t="s">
        <v>117</v>
      </c>
      <c r="N2279" s="10"/>
      <c r="O2279" s="22"/>
      <c r="P2279" s="14"/>
      <c r="Q2279" s="83"/>
      <c r="U2279" s="104" t="str">
        <f>IF(
  AND(
    TRIM(A2279)=TRIM(Enginuity!$A$1),
    TRIM(B2279)=TRIM(Enginuity!$A$17),
    Q2279&lt;&gt;"",
    Q2279&lt;&gt;0,
    OR(
      TRIM(C2279)=TRIM(Enginuity!$A$18),
      AND(UPPER(TRIM(M2279))="STD", TRIM(B2279)=TRIM(Enginuity!$A$17))
    ),
    OR(
      AND(LEFT(P2279,5)="1-Way", Enginuity!$B$13=1),
      AND(LEFT(P2279,5)="2-Way", OR(Enginuity!$B$13=2, Enginuity!$B$13=4)),
      AND(LEFT(P2279,5)="3-Way", OR(Enginuity!$B$13=3, Enginuity!$B$13=6)),
      AND(P2279="Inner Centre Jamb", OR(Enginuity!$B$13=4, Enginuity!$B$13=6)),
      AND(
        LEFT(P2279,5)&lt;&gt;"1-Way",
        LEFT(P2279,5)&lt;&gt;"2-Way",
        LEFT(P2279,5)&lt;&gt;"3-Way",
        P2279&lt;&gt;"Inner Centre Jamb"
      )
    ),
    IF(OR(Enginuity!$A$1="Frameless Glass",Enginuity!$A$1="Metal Work"),
      AND(TRIM(B2279)=TRIM(Enginuity!$A$17),TRIM(C2279)=TRIM(Enginuity!$A$18)),
      TRIM(B2279)=TRIM(Enginuity!$A$17)
    )
  ),
  ROW(),
  ""
)</f>
        <v/>
      </c>
    </row>
    <row r="2280" spans="1:21" x14ac:dyDescent="0.25">
      <c r="A2280" s="10" t="s">
        <v>254</v>
      </c>
      <c r="B2280" s="229" t="s">
        <v>1670</v>
      </c>
      <c r="C2280" s="10"/>
      <c r="D2280" s="14"/>
      <c r="E2280" s="157"/>
      <c r="F2280" s="10"/>
      <c r="G2280" s="17"/>
      <c r="H2280" s="10"/>
      <c r="I2280" s="17"/>
      <c r="J2280" s="83"/>
      <c r="K2280" s="343"/>
      <c r="L2280" s="347"/>
      <c r="M2280" s="10" t="s">
        <v>117</v>
      </c>
      <c r="N2280" s="10"/>
      <c r="O2280" s="22"/>
      <c r="P2280" s="14"/>
      <c r="Q2280" s="83"/>
      <c r="U2280" s="104" t="str">
        <f>IF(
  AND(
    TRIM(A2280)=TRIM(Enginuity!$A$1),
    TRIM(B2280)=TRIM(Enginuity!$A$17),
    Q2280&lt;&gt;"",
    Q2280&lt;&gt;0,
    OR(
      TRIM(C2280)=TRIM(Enginuity!$A$18),
      AND(UPPER(TRIM(M2280))="STD", TRIM(B2280)=TRIM(Enginuity!$A$17))
    ),
    OR(
      AND(LEFT(P2280,5)="1-Way", Enginuity!$B$13=1),
      AND(LEFT(P2280,5)="2-Way", OR(Enginuity!$B$13=2, Enginuity!$B$13=4)),
      AND(LEFT(P2280,5)="3-Way", OR(Enginuity!$B$13=3, Enginuity!$B$13=6)),
      AND(P2280="Inner Centre Jamb", OR(Enginuity!$B$13=4, Enginuity!$B$13=6)),
      AND(
        LEFT(P2280,5)&lt;&gt;"1-Way",
        LEFT(P2280,5)&lt;&gt;"2-Way",
        LEFT(P2280,5)&lt;&gt;"3-Way",
        P2280&lt;&gt;"Inner Centre Jamb"
      )
    ),
    IF(OR(Enginuity!$A$1="Frameless Glass",Enginuity!$A$1="Metal Work"),
      AND(TRIM(B2280)=TRIM(Enginuity!$A$17),TRIM(C2280)=TRIM(Enginuity!$A$18)),
      TRIM(B2280)=TRIM(Enginuity!$A$17)
    )
  ),
  ROW(),
  ""
)</f>
        <v/>
      </c>
    </row>
    <row r="2281" spans="1:21" x14ac:dyDescent="0.25">
      <c r="A2281" s="10" t="s">
        <v>254</v>
      </c>
      <c r="B2281" s="229" t="s">
        <v>1670</v>
      </c>
      <c r="C2281" s="10"/>
      <c r="D2281" s="14"/>
      <c r="E2281" s="157"/>
      <c r="F2281" s="10"/>
      <c r="G2281" s="17"/>
      <c r="H2281" s="10"/>
      <c r="I2281" s="17"/>
      <c r="J2281" s="83"/>
      <c r="K2281" s="343"/>
      <c r="L2281" s="347"/>
      <c r="M2281" s="10"/>
      <c r="N2281" s="10"/>
      <c r="O2281" s="22"/>
      <c r="P2281" s="14"/>
      <c r="Q2281" s="83"/>
      <c r="U2281" s="104" t="str">
        <f>IF(
  AND(
    TRIM(A2281)=TRIM(Enginuity!$A$1),
    TRIM(B2281)=TRIM(Enginuity!$A$17),
    Q2281&lt;&gt;"",
    Q2281&lt;&gt;0,
    OR(
      TRIM(C2281)=TRIM(Enginuity!$A$18),
      AND(UPPER(TRIM(M2281))="STD", TRIM(B2281)=TRIM(Enginuity!$A$17))
    ),
    OR(
      AND(LEFT(P2281,5)="1-Way", Enginuity!$B$13=1),
      AND(LEFT(P2281,5)="2-Way", OR(Enginuity!$B$13=2, Enginuity!$B$13=4)),
      AND(LEFT(P2281,5)="3-Way", OR(Enginuity!$B$13=3, Enginuity!$B$13=6)),
      AND(P2281="Inner Centre Jamb", OR(Enginuity!$B$13=4, Enginuity!$B$13=6)),
      AND(
        LEFT(P2281,5)&lt;&gt;"1-Way",
        LEFT(P2281,5)&lt;&gt;"2-Way",
        LEFT(P2281,5)&lt;&gt;"3-Way",
        P2281&lt;&gt;"Inner Centre Jamb"
      )
    ),
    IF(OR(Enginuity!$A$1="Frameless Glass",Enginuity!$A$1="Metal Work"),
      AND(TRIM(B2281)=TRIM(Enginuity!$A$17),TRIM(C2281)=TRIM(Enginuity!$A$18)),
      TRIM(B2281)=TRIM(Enginuity!$A$17)
    )
  ),
  ROW(),
  ""
)</f>
        <v/>
      </c>
    </row>
    <row r="2282" spans="1:21" x14ac:dyDescent="0.25">
      <c r="A2282" s="10" t="s">
        <v>254</v>
      </c>
      <c r="B2282" s="229" t="s">
        <v>1670</v>
      </c>
      <c r="C2282" s="10"/>
      <c r="D2282" s="14"/>
      <c r="E2282" s="157"/>
      <c r="F2282" s="10"/>
      <c r="G2282" s="17"/>
      <c r="H2282" s="10"/>
      <c r="I2282" s="17"/>
      <c r="J2282" s="83"/>
      <c r="K2282" s="343"/>
      <c r="L2282" s="347"/>
      <c r="M2282" s="10"/>
      <c r="N2282" s="10"/>
      <c r="O2282" s="22"/>
      <c r="P2282" s="14"/>
      <c r="Q2282" s="83"/>
      <c r="U2282" s="104" t="str">
        <f>IF(
  AND(
    TRIM(A2282)=TRIM(Enginuity!$A$1),
    TRIM(B2282)=TRIM(Enginuity!$A$17),
    Q2282&lt;&gt;"",
    Q2282&lt;&gt;0,
    OR(
      TRIM(C2282)=TRIM(Enginuity!$A$18),
      AND(UPPER(TRIM(M2282))="STD", TRIM(B2282)=TRIM(Enginuity!$A$17))
    ),
    OR(
      AND(LEFT(P2282,5)="1-Way", Enginuity!$B$13=1),
      AND(LEFT(P2282,5)="2-Way", OR(Enginuity!$B$13=2, Enginuity!$B$13=4)),
      AND(LEFT(P2282,5)="3-Way", OR(Enginuity!$B$13=3, Enginuity!$B$13=6)),
      AND(P2282="Inner Centre Jamb", OR(Enginuity!$B$13=4, Enginuity!$B$13=6)),
      AND(
        LEFT(P2282,5)&lt;&gt;"1-Way",
        LEFT(P2282,5)&lt;&gt;"2-Way",
        LEFT(P2282,5)&lt;&gt;"3-Way",
        P2282&lt;&gt;"Inner Centre Jamb"
      )
    ),
    IF(OR(Enginuity!$A$1="Frameless Glass",Enginuity!$A$1="Metal Work"),
      AND(TRIM(B2282)=TRIM(Enginuity!$A$17),TRIM(C2282)=TRIM(Enginuity!$A$18)),
      TRIM(B2282)=TRIM(Enginuity!$A$17)
    )
  ),
  ROW(),
  ""
)</f>
        <v/>
      </c>
    </row>
    <row r="2283" spans="1:21" x14ac:dyDescent="0.25">
      <c r="A2283" s="10" t="s">
        <v>254</v>
      </c>
      <c r="B2283" s="229" t="s">
        <v>1670</v>
      </c>
      <c r="C2283" s="10"/>
      <c r="D2283" s="14"/>
      <c r="E2283" s="157"/>
      <c r="F2283" s="10"/>
      <c r="G2283" s="17"/>
      <c r="H2283" s="10"/>
      <c r="I2283" s="17"/>
      <c r="J2283" s="83"/>
      <c r="K2283" s="343"/>
      <c r="L2283" s="347"/>
      <c r="M2283" s="10"/>
      <c r="N2283" s="10"/>
      <c r="O2283" s="22"/>
      <c r="P2283" s="14"/>
      <c r="Q2283" s="83"/>
      <c r="U2283" s="104" t="str">
        <f>IF(
  AND(
    TRIM(A2283)=TRIM(Enginuity!$A$1),
    TRIM(B2283)=TRIM(Enginuity!$A$17),
    Q2283&lt;&gt;"",
    Q2283&lt;&gt;0,
    OR(
      TRIM(C2283)=TRIM(Enginuity!$A$18),
      AND(UPPER(TRIM(M2283))="STD", TRIM(B2283)=TRIM(Enginuity!$A$17))
    ),
    OR(
      AND(LEFT(P2283,5)="1-Way", Enginuity!$B$13=1),
      AND(LEFT(P2283,5)="2-Way", OR(Enginuity!$B$13=2, Enginuity!$B$13=4)),
      AND(LEFT(P2283,5)="3-Way", OR(Enginuity!$B$13=3, Enginuity!$B$13=6)),
      AND(P2283="Inner Centre Jamb", OR(Enginuity!$B$13=4, Enginuity!$B$13=6)),
      AND(
        LEFT(P2283,5)&lt;&gt;"1-Way",
        LEFT(P2283,5)&lt;&gt;"2-Way",
        LEFT(P2283,5)&lt;&gt;"3-Way",
        P2283&lt;&gt;"Inner Centre Jamb"
      )
    ),
    IF(OR(Enginuity!$A$1="Frameless Glass",Enginuity!$A$1="Metal Work"),
      AND(TRIM(B2283)=TRIM(Enginuity!$A$17),TRIM(C2283)=TRIM(Enginuity!$A$18)),
      TRIM(B2283)=TRIM(Enginuity!$A$17)
    )
  ),
  ROW(),
  ""
)</f>
        <v/>
      </c>
    </row>
    <row r="2284" spans="1:21" x14ac:dyDescent="0.25">
      <c r="A2284" s="10" t="s">
        <v>254</v>
      </c>
      <c r="B2284" s="229" t="s">
        <v>1670</v>
      </c>
      <c r="C2284" s="10"/>
      <c r="D2284" s="14"/>
      <c r="E2284" s="157"/>
      <c r="F2284" s="10"/>
      <c r="G2284" s="17"/>
      <c r="H2284" s="10"/>
      <c r="I2284" s="17"/>
      <c r="J2284" s="83"/>
      <c r="K2284" s="343"/>
      <c r="L2284" s="347"/>
      <c r="M2284" s="10"/>
      <c r="N2284" s="10"/>
      <c r="O2284" s="22"/>
      <c r="P2284" s="14"/>
      <c r="Q2284" s="83"/>
      <c r="U2284" s="104" t="str">
        <f>IF(
  AND(
    TRIM(A2284)=TRIM(Enginuity!$A$1),
    TRIM(B2284)=TRIM(Enginuity!$A$17),
    Q2284&lt;&gt;"",
    Q2284&lt;&gt;0,
    OR(
      TRIM(C2284)=TRIM(Enginuity!$A$18),
      AND(UPPER(TRIM(M2284))="STD", TRIM(B2284)=TRIM(Enginuity!$A$17))
    ),
    OR(
      AND(LEFT(P2284,5)="1-Way", Enginuity!$B$13=1),
      AND(LEFT(P2284,5)="2-Way", OR(Enginuity!$B$13=2, Enginuity!$B$13=4)),
      AND(LEFT(P2284,5)="3-Way", OR(Enginuity!$B$13=3, Enginuity!$B$13=6)),
      AND(P2284="Inner Centre Jamb", OR(Enginuity!$B$13=4, Enginuity!$B$13=6)),
      AND(
        LEFT(P2284,5)&lt;&gt;"1-Way",
        LEFT(P2284,5)&lt;&gt;"2-Way",
        LEFT(P2284,5)&lt;&gt;"3-Way",
        P2284&lt;&gt;"Inner Centre Jamb"
      )
    ),
    IF(OR(Enginuity!$A$1="Frameless Glass",Enginuity!$A$1="Metal Work"),
      AND(TRIM(B2284)=TRIM(Enginuity!$A$17),TRIM(C2284)=TRIM(Enginuity!$A$18)),
      TRIM(B2284)=TRIM(Enginuity!$A$17)
    )
  ),
  ROW(),
  ""
)</f>
        <v/>
      </c>
    </row>
    <row r="2285" spans="1:21" x14ac:dyDescent="0.25">
      <c r="A2285" s="10" t="s">
        <v>254</v>
      </c>
      <c r="B2285" s="229" t="s">
        <v>1670</v>
      </c>
      <c r="C2285" s="10"/>
      <c r="D2285" s="14"/>
      <c r="E2285" s="157"/>
      <c r="F2285" s="10"/>
      <c r="G2285" s="17"/>
      <c r="H2285" s="10"/>
      <c r="I2285" s="17"/>
      <c r="J2285" s="83"/>
      <c r="K2285" s="343"/>
      <c r="L2285" s="347"/>
      <c r="M2285" s="10"/>
      <c r="N2285" s="10"/>
      <c r="O2285" s="22"/>
      <c r="P2285" s="21"/>
      <c r="Q2285" s="83"/>
      <c r="U2285" s="104" t="str">
        <f>IF(
  AND(
    TRIM(A2285)=TRIM(Enginuity!$A$1),
    TRIM(B2285)=TRIM(Enginuity!$A$17),
    Q2285&lt;&gt;"",
    Q2285&lt;&gt;0,
    OR(
      TRIM(C2285)=TRIM(Enginuity!$A$18),
      AND(UPPER(TRIM(M2285))="STD", TRIM(B2285)=TRIM(Enginuity!$A$17))
    ),
    OR(
      AND(LEFT(P2285,5)="1-Way", Enginuity!$B$13=1),
      AND(LEFT(P2285,5)="2-Way", OR(Enginuity!$B$13=2, Enginuity!$B$13=4)),
      AND(LEFT(P2285,5)="3-Way", OR(Enginuity!$B$13=3, Enginuity!$B$13=6)),
      AND(P2285="Inner Centre Jamb", OR(Enginuity!$B$13=4, Enginuity!$B$13=6)),
      AND(
        LEFT(P2285,5)&lt;&gt;"1-Way",
        LEFT(P2285,5)&lt;&gt;"2-Way",
        LEFT(P2285,5)&lt;&gt;"3-Way",
        P2285&lt;&gt;"Inner Centre Jamb"
      )
    ),
    IF(OR(Enginuity!$A$1="Frameless Glass",Enginuity!$A$1="Metal Work"),
      AND(TRIM(B2285)=TRIM(Enginuity!$A$17),TRIM(C2285)=TRIM(Enginuity!$A$18)),
      TRIM(B2285)=TRIM(Enginuity!$A$17)
    )
  ),
  ROW(),
  ""
)</f>
        <v/>
      </c>
    </row>
    <row r="2286" spans="1:21" x14ac:dyDescent="0.25">
      <c r="A2286" s="10" t="s">
        <v>254</v>
      </c>
      <c r="B2286" s="229" t="s">
        <v>1670</v>
      </c>
      <c r="C2286" s="10"/>
      <c r="D2286" s="14"/>
      <c r="E2286" s="157"/>
      <c r="F2286" s="10"/>
      <c r="G2286" s="17"/>
      <c r="H2286" s="10"/>
      <c r="I2286" s="17"/>
      <c r="J2286" s="83"/>
      <c r="K2286" s="343"/>
      <c r="L2286" s="347"/>
      <c r="M2286" s="10"/>
      <c r="N2286" s="10"/>
      <c r="O2286" s="22"/>
      <c r="P2286" s="14"/>
      <c r="Q2286" s="83"/>
      <c r="U2286" s="104" t="str">
        <f>IF(
  AND(
    TRIM(A2286)=TRIM(Enginuity!$A$1),
    TRIM(B2286)=TRIM(Enginuity!$A$17),
    Q2286&lt;&gt;"",
    Q2286&lt;&gt;0,
    OR(
      TRIM(C2286)=TRIM(Enginuity!$A$18),
      AND(UPPER(TRIM(M2286))="STD", TRIM(B2286)=TRIM(Enginuity!$A$17))
    ),
    OR(
      AND(LEFT(P2286,5)="1-Way", Enginuity!$B$13=1),
      AND(LEFT(P2286,5)="2-Way", OR(Enginuity!$B$13=2, Enginuity!$B$13=4)),
      AND(LEFT(P2286,5)="3-Way", OR(Enginuity!$B$13=3, Enginuity!$B$13=6)),
      AND(P2286="Inner Centre Jamb", OR(Enginuity!$B$13=4, Enginuity!$B$13=6)),
      AND(
        LEFT(P2286,5)&lt;&gt;"1-Way",
        LEFT(P2286,5)&lt;&gt;"2-Way",
        LEFT(P2286,5)&lt;&gt;"3-Way",
        P2286&lt;&gt;"Inner Centre Jamb"
      )
    ),
    IF(OR(Enginuity!$A$1="Frameless Glass",Enginuity!$A$1="Metal Work"),
      AND(TRIM(B2286)=TRIM(Enginuity!$A$17),TRIM(C2286)=TRIM(Enginuity!$A$18)),
      TRIM(B2286)=TRIM(Enginuity!$A$17)
    )
  ),
  ROW(),
  ""
)</f>
        <v/>
      </c>
    </row>
    <row r="2287" spans="1:21" x14ac:dyDescent="0.25">
      <c r="A2287" s="10" t="s">
        <v>254</v>
      </c>
      <c r="B2287" s="229" t="s">
        <v>1670</v>
      </c>
      <c r="C2287" s="10"/>
      <c r="D2287" s="14"/>
      <c r="E2287" s="157"/>
      <c r="F2287" s="10"/>
      <c r="G2287" s="17"/>
      <c r="H2287" s="10"/>
      <c r="I2287" s="17"/>
      <c r="J2287" s="83"/>
      <c r="K2287" s="343"/>
      <c r="L2287" s="347"/>
      <c r="M2287" s="10"/>
      <c r="N2287" s="10"/>
      <c r="O2287" s="22"/>
      <c r="P2287" s="21"/>
      <c r="Q2287" s="83"/>
      <c r="U2287" s="104" t="str">
        <f>IF(
  AND(
    TRIM(A2287)=TRIM(Enginuity!$A$1),
    TRIM(B2287)=TRIM(Enginuity!$A$17),
    Q2287&lt;&gt;"",
    Q2287&lt;&gt;0,
    OR(
      TRIM(C2287)=TRIM(Enginuity!$A$18),
      AND(UPPER(TRIM(M2287))="STD", TRIM(B2287)=TRIM(Enginuity!$A$17))
    ),
    OR(
      AND(LEFT(P2287,5)="1-Way", Enginuity!$B$13=1),
      AND(LEFT(P2287,5)="2-Way", OR(Enginuity!$B$13=2, Enginuity!$B$13=4)),
      AND(LEFT(P2287,5)="3-Way", OR(Enginuity!$B$13=3, Enginuity!$B$13=6)),
      AND(P2287="Inner Centre Jamb", OR(Enginuity!$B$13=4, Enginuity!$B$13=6)),
      AND(
        LEFT(P2287,5)&lt;&gt;"1-Way",
        LEFT(P2287,5)&lt;&gt;"2-Way",
        LEFT(P2287,5)&lt;&gt;"3-Way",
        P2287&lt;&gt;"Inner Centre Jamb"
      )
    ),
    IF(OR(Enginuity!$A$1="Frameless Glass",Enginuity!$A$1="Metal Work"),
      AND(TRIM(B2287)=TRIM(Enginuity!$A$17),TRIM(C2287)=TRIM(Enginuity!$A$18)),
      TRIM(B2287)=TRIM(Enginuity!$A$17)
    )
  ),
  ROW(),
  ""
)</f>
        <v/>
      </c>
    </row>
    <row r="2288" spans="1:21" x14ac:dyDescent="0.25">
      <c r="A2288" s="10" t="s">
        <v>254</v>
      </c>
      <c r="B2288" s="229" t="s">
        <v>1670</v>
      </c>
      <c r="C2288" s="10"/>
      <c r="D2288" s="14"/>
      <c r="E2288" s="157"/>
      <c r="F2288" s="10"/>
      <c r="G2288" s="17"/>
      <c r="H2288" s="10"/>
      <c r="I2288" s="17"/>
      <c r="J2288" s="83"/>
      <c r="K2288" s="343"/>
      <c r="L2288" s="347"/>
      <c r="M2288" s="89"/>
      <c r="N2288" s="10"/>
      <c r="O2288" s="22"/>
      <c r="P2288" s="14"/>
      <c r="Q2288" s="83"/>
      <c r="U2288" s="104" t="str">
        <f>IF(
  AND(
    TRIM(A2288)=TRIM(Enginuity!$A$1),
    TRIM(B2288)=TRIM(Enginuity!$A$17),
    Q2288&lt;&gt;"",
    Q2288&lt;&gt;0,
    OR(
      TRIM(C2288)=TRIM(Enginuity!$A$18),
      AND(UPPER(TRIM(M2288))="STD", TRIM(B2288)=TRIM(Enginuity!$A$17))
    ),
    OR(
      AND(LEFT(P2288,5)="1-Way", Enginuity!$B$13=1),
      AND(LEFT(P2288,5)="2-Way", OR(Enginuity!$B$13=2, Enginuity!$B$13=4)),
      AND(LEFT(P2288,5)="3-Way", OR(Enginuity!$B$13=3, Enginuity!$B$13=6)),
      AND(P2288="Inner Centre Jamb", OR(Enginuity!$B$13=4, Enginuity!$B$13=6)),
      AND(
        LEFT(P2288,5)&lt;&gt;"1-Way",
        LEFT(P2288,5)&lt;&gt;"2-Way",
        LEFT(P2288,5)&lt;&gt;"3-Way",
        P2288&lt;&gt;"Inner Centre Jamb"
      )
    ),
    IF(OR(Enginuity!$A$1="Frameless Glass",Enginuity!$A$1="Metal Work"),
      AND(TRIM(B2288)=TRIM(Enginuity!$A$17),TRIM(C2288)=TRIM(Enginuity!$A$18)),
      TRIM(B2288)=TRIM(Enginuity!$A$17)
    )
  ),
  ROW(),
  ""
)</f>
        <v/>
      </c>
    </row>
    <row r="2289" spans="1:21" x14ac:dyDescent="0.25">
      <c r="A2289" s="10" t="s">
        <v>254</v>
      </c>
      <c r="B2289" s="229" t="s">
        <v>1670</v>
      </c>
      <c r="C2289" s="10"/>
      <c r="D2289" s="14"/>
      <c r="E2289" s="157"/>
      <c r="F2289" s="10"/>
      <c r="G2289" s="17"/>
      <c r="H2289" s="10"/>
      <c r="I2289" s="17"/>
      <c r="J2289" s="83"/>
      <c r="K2289" s="343"/>
      <c r="L2289" s="347"/>
      <c r="M2289" s="89">
        <v>47</v>
      </c>
      <c r="N2289" s="10"/>
      <c r="O2289" s="22"/>
      <c r="P2289" s="14"/>
      <c r="Q2289" s="83"/>
      <c r="U2289" s="104" t="str">
        <f>IF(
  AND(
    TRIM(A2289)=TRIM(Enginuity!$A$1),
    TRIM(B2289)=TRIM(Enginuity!$A$17),
    Q2289&lt;&gt;"",
    Q2289&lt;&gt;0,
    OR(
      TRIM(C2289)=TRIM(Enginuity!$A$18),
      AND(UPPER(TRIM(M2289))="STD", TRIM(B2289)=TRIM(Enginuity!$A$17))
    ),
    OR(
      AND(LEFT(P2289,5)="1-Way", Enginuity!$B$13=1),
      AND(LEFT(P2289,5)="2-Way", OR(Enginuity!$B$13=2, Enginuity!$B$13=4)),
      AND(LEFT(P2289,5)="3-Way", OR(Enginuity!$B$13=3, Enginuity!$B$13=6)),
      AND(P2289="Inner Centre Jamb", OR(Enginuity!$B$13=4, Enginuity!$B$13=6)),
      AND(
        LEFT(P2289,5)&lt;&gt;"1-Way",
        LEFT(P2289,5)&lt;&gt;"2-Way",
        LEFT(P2289,5)&lt;&gt;"3-Way",
        P2289&lt;&gt;"Inner Centre Jamb"
      )
    ),
    IF(OR(Enginuity!$A$1="Frameless Glass",Enginuity!$A$1="Metal Work"),
      AND(TRIM(B2289)=TRIM(Enginuity!$A$17),TRIM(C2289)=TRIM(Enginuity!$A$18)),
      TRIM(B2289)=TRIM(Enginuity!$A$17)
    )
  ),
  ROW(),
  ""
)</f>
        <v/>
      </c>
    </row>
    <row r="2290" spans="1:21" x14ac:dyDescent="0.25">
      <c r="A2290" s="10" t="s">
        <v>254</v>
      </c>
      <c r="B2290" s="229" t="s">
        <v>1670</v>
      </c>
      <c r="C2290" s="10"/>
      <c r="D2290" s="14"/>
      <c r="E2290" s="157"/>
      <c r="F2290" s="10"/>
      <c r="G2290" s="17"/>
      <c r="H2290" s="10"/>
      <c r="I2290" s="17"/>
      <c r="J2290" s="83"/>
      <c r="K2290" s="343"/>
      <c r="L2290" s="347"/>
      <c r="M2290" s="89">
        <v>48</v>
      </c>
      <c r="N2290" s="10"/>
      <c r="O2290" s="22"/>
      <c r="P2290" s="14"/>
      <c r="Q2290" s="83"/>
      <c r="U2290" s="104" t="str">
        <f>IF(
  AND(
    TRIM(A2290)=TRIM(Enginuity!$A$1),
    TRIM(B2290)=TRIM(Enginuity!$A$17),
    Q2290&lt;&gt;"",
    Q2290&lt;&gt;0,
    OR(
      TRIM(C2290)=TRIM(Enginuity!$A$18),
      AND(UPPER(TRIM(M2290))="STD", TRIM(B2290)=TRIM(Enginuity!$A$17))
    ),
    OR(
      AND(LEFT(P2290,5)="1-Way", Enginuity!$B$13=1),
      AND(LEFT(P2290,5)="2-Way", OR(Enginuity!$B$13=2, Enginuity!$B$13=4)),
      AND(LEFT(P2290,5)="3-Way", OR(Enginuity!$B$13=3, Enginuity!$B$13=6)),
      AND(P2290="Inner Centre Jamb", OR(Enginuity!$B$13=4, Enginuity!$B$13=6)),
      AND(
        LEFT(P2290,5)&lt;&gt;"1-Way",
        LEFT(P2290,5)&lt;&gt;"2-Way",
        LEFT(P2290,5)&lt;&gt;"3-Way",
        P2290&lt;&gt;"Inner Centre Jamb"
      )
    ),
    IF(OR(Enginuity!$A$1="Frameless Glass",Enginuity!$A$1="Metal Work"),
      AND(TRIM(B2290)=TRIM(Enginuity!$A$17),TRIM(C2290)=TRIM(Enginuity!$A$18)),
      TRIM(B2290)=TRIM(Enginuity!$A$17)
    )
  ),
  ROW(),
  ""
)</f>
        <v/>
      </c>
    </row>
    <row r="2291" spans="1:21" x14ac:dyDescent="0.25">
      <c r="A2291" s="17" t="s">
        <v>254</v>
      </c>
      <c r="B2291" s="340" t="s">
        <v>1670</v>
      </c>
      <c r="C2291" s="17"/>
      <c r="D2291" s="18"/>
      <c r="E2291" s="18"/>
      <c r="F2291" s="17"/>
      <c r="G2291" s="17"/>
      <c r="H2291" s="17"/>
      <c r="I2291" s="17"/>
      <c r="J2291" s="84"/>
      <c r="K2291" s="343"/>
      <c r="L2291" s="347"/>
      <c r="M2291" s="90">
        <v>49</v>
      </c>
      <c r="N2291" s="17"/>
      <c r="O2291" s="25"/>
      <c r="P2291" s="92"/>
      <c r="Q2291" s="84"/>
      <c r="U2291" s="104" t="str">
        <f>IF(
  AND(
    TRIM(A2291)=TRIM(Enginuity!$A$1),
    TRIM(B2291)=TRIM(Enginuity!$A$17),
    Q2291&lt;&gt;"",
    Q2291&lt;&gt;0,
    OR(
      TRIM(C2291)=TRIM(Enginuity!$A$18),
      AND(UPPER(TRIM(M2291))="STD", TRIM(B2291)=TRIM(Enginuity!$A$17))
    ),
    OR(
      AND(LEFT(P2291,5)="1-Way", Enginuity!$B$13=1),
      AND(LEFT(P2291,5)="2-Way", OR(Enginuity!$B$13=2, Enginuity!$B$13=4)),
      AND(LEFT(P2291,5)="3-Way", OR(Enginuity!$B$13=3, Enginuity!$B$13=6)),
      AND(P2291="Inner Centre Jamb", OR(Enginuity!$B$13=4, Enginuity!$B$13=6)),
      AND(
        LEFT(P2291,5)&lt;&gt;"1-Way",
        LEFT(P2291,5)&lt;&gt;"2-Way",
        LEFT(P2291,5)&lt;&gt;"3-Way",
        P2291&lt;&gt;"Inner Centre Jamb"
      )
    ),
    IF(OR(Enginuity!$A$1="Frameless Glass",Enginuity!$A$1="Metal Work"),
      AND(TRIM(B2291)=TRIM(Enginuity!$A$17),TRIM(C2291)=TRIM(Enginuity!$A$18)),
      TRIM(B2291)=TRIM(Enginuity!$A$17)
    )
  ),
  ROW(),
  ""
)</f>
        <v/>
      </c>
    </row>
    <row r="2292" spans="1:21" x14ac:dyDescent="0.25">
      <c r="A2292" s="10" t="s">
        <v>761</v>
      </c>
      <c r="B2292" s="341" t="s">
        <v>324</v>
      </c>
      <c r="C2292" s="10" t="s">
        <v>1689</v>
      </c>
      <c r="D2292" s="112" t="str" cm="1">
        <f t="array" ref="D2292:D2301">IFERROR(INDEX(_xlfn._xlws.FILTER(AllMaterialsbak!$AY$21:$AY$28,AllMaterialsbak!$AY$21:$AY$28&lt;&gt;""),_xlfn.SEQUENCE(10)),"")</f>
        <v>ACP (Normal White, Black)</v>
      </c>
      <c r="E2292" s="112" t="s">
        <v>754</v>
      </c>
      <c r="F2292" s="112" t="s">
        <v>305</v>
      </c>
      <c r="G2292" s="169" t="s">
        <v>1688</v>
      </c>
      <c r="H2292" s="10"/>
      <c r="I2292" s="17"/>
      <c r="J2292" s="83"/>
      <c r="K2292" s="344">
        <v>0.165217</v>
      </c>
      <c r="L2292" s="347">
        <v>1219.2</v>
      </c>
      <c r="M2292" s="12"/>
      <c r="N2292" s="10" t="s">
        <v>176</v>
      </c>
      <c r="O2292" s="22">
        <v>1300</v>
      </c>
      <c r="P2292" s="108" t="str">
        <f>Enginuity!$A$18</f>
        <v>CTW / SF Partition / Z-Louvre</v>
      </c>
      <c r="Q2292" s="22" t="str">
        <f>IFERROR(IF(UPPER(TRIM(P2292))="SECURITY MESH DOOR",1,""),"")</f>
        <v/>
      </c>
      <c r="U2292" s="104" t="str">
        <f>IF(
  AND(
    TRIM(A2292)=TRIM(Enginuity!$A$1),
    TRIM(B2292)=TRIM(Enginuity!$A$17),
    Q2292&lt;&gt;"",
    Q2292&lt;&gt;0,
    OR(
      TRIM(C2292)=TRIM(Enginuity!$A$18),
      AND(UPPER(TRIM(M2292))="STD", TRIM(B2292)=TRIM(Enginuity!$A$17))
    ),
    OR(
      AND(LEFT(P2292,5)="1-Way", Enginuity!$B$13=1),
      AND(LEFT(P2292,5)="2-Way", OR(Enginuity!$B$13=2, Enginuity!$B$13=4)),
      AND(LEFT(P2292,5)="3-Way", OR(Enginuity!$B$13=3, Enginuity!$B$13=6)),
      AND(P2292="Inner Centre Jamb", OR(Enginuity!$B$13=4, Enginuity!$B$13=6)),
      AND(
        LEFT(P2292,5)&lt;&gt;"1-Way",
        LEFT(P2292,5)&lt;&gt;"2-Way",
        LEFT(P2292,5)&lt;&gt;"3-Way",
        P2292&lt;&gt;"Inner Centre Jamb"
      )
    ),
    IF(OR(Enginuity!$A$1="Frameless Glass",Enginuity!$A$1="Metal Work"),
      AND(TRIM(B2292)=TRIM(Enginuity!$A$17),TRIM(C2292)=TRIM(Enginuity!$A$18)),
      TRIM(B2292)=TRIM(Enginuity!$A$17)
    )
  ),
  ROW(),
  ""
)</f>
        <v/>
      </c>
    </row>
    <row r="2293" spans="1:21" x14ac:dyDescent="0.25">
      <c r="A2293" s="10" t="s">
        <v>761</v>
      </c>
      <c r="B2293" s="341" t="s">
        <v>324</v>
      </c>
      <c r="C2293" s="10" t="s">
        <v>1689</v>
      </c>
      <c r="D2293" s="112" t="str">
        <v>5mm Normal Glass</v>
      </c>
      <c r="E2293" s="112"/>
      <c r="F2293" s="112"/>
      <c r="G2293" s="169"/>
      <c r="H2293" s="10"/>
      <c r="I2293" s="23"/>
      <c r="J2293" s="10"/>
      <c r="K2293" s="344"/>
      <c r="L2293" s="347"/>
      <c r="M2293" s="12"/>
      <c r="N2293" s="10"/>
      <c r="O2293" s="22"/>
      <c r="P2293" s="112"/>
      <c r="Q2293" s="22" t="str">
        <f>IF(Enginuity!$A$18="","",IF(UPPER(TRIM(P2293))=UPPER(TRIM(Enginuity!$A$18)),Enginuity!$B$13,""))</f>
        <v/>
      </c>
      <c r="U2293" s="104" t="str">
        <f>IF(
  AND(
    TRIM(A2293)=TRIM(Enginuity!$A$1),
    TRIM(B2293)=TRIM(Enginuity!$A$17),
    Q2293&lt;&gt;"",
    Q2293&lt;&gt;0,
    OR(
      TRIM(C2293)=TRIM(Enginuity!$A$18),
      AND(UPPER(TRIM(M2293))="STD", TRIM(B2293)=TRIM(Enginuity!$A$17))
    ),
    OR(
      AND(LEFT(P2293,5)="1-Way", Enginuity!$B$13=1),
      AND(LEFT(P2293,5)="2-Way", OR(Enginuity!$B$13=2, Enginuity!$B$13=4)),
      AND(LEFT(P2293,5)="3-Way", OR(Enginuity!$B$13=3, Enginuity!$B$13=6)),
      AND(P2293="Inner Centre Jamb", OR(Enginuity!$B$13=4, Enginuity!$B$13=6)),
      AND(
        LEFT(P2293,5)&lt;&gt;"1-Way",
        LEFT(P2293,5)&lt;&gt;"2-Way",
        LEFT(P2293,5)&lt;&gt;"3-Way",
        P2293&lt;&gt;"Inner Centre Jamb"
      )
    ),
    IF(OR(Enginuity!$A$1="Frameless Glass",Enginuity!$A$1="Metal Work"),
      AND(TRIM(B2293)=TRIM(Enginuity!$A$17),TRIM(C2293)=TRIM(Enginuity!$A$18)),
      TRIM(B2293)=TRIM(Enginuity!$A$17)
    )
  ),
  ROW(),
  ""
)</f>
        <v/>
      </c>
    </row>
    <row r="2294" spans="1:21" x14ac:dyDescent="0.25">
      <c r="A2294" s="10" t="s">
        <v>761</v>
      </c>
      <c r="B2294" s="341" t="s">
        <v>324</v>
      </c>
      <c r="C2294" s="10" t="s">
        <v>1689</v>
      </c>
      <c r="D2294" s="112" t="str">
        <v>5mm Dark Grey Glass</v>
      </c>
      <c r="E2294" s="10"/>
      <c r="F2294" s="10"/>
      <c r="G2294" s="17"/>
      <c r="H2294" s="10"/>
      <c r="I2294" s="17"/>
      <c r="J2294" s="83"/>
      <c r="K2294" s="343"/>
      <c r="L2294" s="347"/>
      <c r="M2294" s="89" t="s">
        <v>117</v>
      </c>
      <c r="N2294" s="10" t="s">
        <v>176</v>
      </c>
      <c r="O2294" s="22" t="str">
        <f>IF(Enginuity!$A$19="","",IFERROR(INDEX($AZ$21:$AZ$28,MATCH(Enginuity!$A$19,$AY$21:$AY$28,0)),""))</f>
        <v/>
      </c>
      <c r="P2294" s="111" t="str">
        <f>Enginuity!$A$19</f>
        <v>W/G</v>
      </c>
      <c r="Q2294" s="22" t="str">
        <f>IF(Q2292&lt;&gt;"",IF(O2294&lt;&gt;"",Enginuity!$B$9,""),"")</f>
        <v/>
      </c>
      <c r="U2294" s="104" t="str">
        <f>IF(
  AND(
    TRIM(A2294)=TRIM(Enginuity!$A$1),
    TRIM(B2294)=TRIM(Enginuity!$A$17),
    Q2294&lt;&gt;"",
    Q2294&lt;&gt;0,
    OR(
      TRIM(C2294)=TRIM(Enginuity!$A$18),
      AND(UPPER(TRIM(M2294))="STD", TRIM(B2294)=TRIM(Enginuity!$A$17))
    ),
    OR(
      AND(LEFT(P2294,5)="1-Way", Enginuity!$B$13=1),
      AND(LEFT(P2294,5)="2-Way", OR(Enginuity!$B$13=2, Enginuity!$B$13=4)),
      AND(LEFT(P2294,5)="3-Way", OR(Enginuity!$B$13=3, Enginuity!$B$13=6)),
      AND(P2294="Inner Centre Jamb", OR(Enginuity!$B$13=4, Enginuity!$B$13=6)),
      AND(
        LEFT(P2294,5)&lt;&gt;"1-Way",
        LEFT(P2294,5)&lt;&gt;"2-Way",
        LEFT(P2294,5)&lt;&gt;"3-Way",
        P2294&lt;&gt;"Inner Centre Jamb"
      )
    ),
    IF(OR(Enginuity!$A$1="Frameless Glass",Enginuity!$A$1="Metal Work"),
      AND(TRIM(B2294)=TRIM(Enginuity!$A$17),TRIM(C2294)=TRIM(Enginuity!$A$18)),
      TRIM(B2294)=TRIM(Enginuity!$A$17)
    )
  ),
  ROW(),
  ""
)</f>
        <v/>
      </c>
    </row>
    <row r="2295" spans="1:21" x14ac:dyDescent="0.25">
      <c r="A2295" s="10" t="s">
        <v>761</v>
      </c>
      <c r="B2295" s="341" t="s">
        <v>324</v>
      </c>
      <c r="C2295" s="10" t="s">
        <v>1689</v>
      </c>
      <c r="D2295" s="112" t="str">
        <v>5mm clear Tempered Glass</v>
      </c>
      <c r="E2295" s="14"/>
      <c r="F2295" s="14"/>
      <c r="G2295" s="142"/>
      <c r="H2295" s="10"/>
      <c r="I2295" s="17"/>
      <c r="J2295" s="83"/>
      <c r="K2295" s="343"/>
      <c r="L2295" s="347"/>
      <c r="M2295" s="12" t="s">
        <v>117</v>
      </c>
      <c r="N2295" s="10" t="s">
        <v>176</v>
      </c>
      <c r="O2295" s="22" t="str">
        <f>IF(Enginuity!$A$20="","",IF(Enginuity!$A$20=$AY$2,$AZ$2,""))</f>
        <v/>
      </c>
      <c r="P2295" s="106" t="str">
        <f>Enginuity!$A$20</f>
        <v>Z-Louvre Blade - 5"</v>
      </c>
      <c r="Q2295" s="22" t="str">
        <f>IFERROR(IF(UPPER(TRIM(P2295))="AUXILIARY LOCK",1,""),"")</f>
        <v/>
      </c>
      <c r="U2295" s="104" t="str">
        <f>IF(
  AND(
    TRIM(A2295)=TRIM(Enginuity!$A$1),
    TRIM(B2295)=TRIM(Enginuity!$A$17),
    Q2295&lt;&gt;"",
    Q2295&lt;&gt;0,
    OR(
      TRIM(C2295)=TRIM(Enginuity!$A$18),
      AND(UPPER(TRIM(M2295))="STD", TRIM(B2295)=TRIM(Enginuity!$A$17))
    ),
    OR(
      AND(LEFT(P2295,5)="1-Way", Enginuity!$B$13=1),
      AND(LEFT(P2295,5)="2-Way", OR(Enginuity!$B$13=2, Enginuity!$B$13=4)),
      AND(LEFT(P2295,5)="3-Way", OR(Enginuity!$B$13=3, Enginuity!$B$13=6)),
      AND(P2295="Inner Centre Jamb", OR(Enginuity!$B$13=4, Enginuity!$B$13=6)),
      AND(
        LEFT(P2295,5)&lt;&gt;"1-Way",
        LEFT(P2295,5)&lt;&gt;"2-Way",
        LEFT(P2295,5)&lt;&gt;"3-Way",
        P2295&lt;&gt;"Inner Centre Jamb"
      )
    ),
    IF(OR(Enginuity!$A$1="Frameless Glass",Enginuity!$A$1="Metal Work"),
      AND(TRIM(B2295)=TRIM(Enginuity!$A$17),TRIM(C2295)=TRIM(Enginuity!$A$18)),
      TRIM(B2295)=TRIM(Enginuity!$A$17)
    )
  ),
  ROW(),
  ""
)</f>
        <v/>
      </c>
    </row>
    <row r="2296" spans="1:21" x14ac:dyDescent="0.25">
      <c r="A2296" s="10" t="s">
        <v>761</v>
      </c>
      <c r="B2296" s="341" t="s">
        <v>324</v>
      </c>
      <c r="C2296" s="10" t="s">
        <v>1689</v>
      </c>
      <c r="D2296" s="86" t="str">
        <v>5mm Dark Grey Tempered Glass</v>
      </c>
      <c r="E2296" s="14"/>
      <c r="F2296" s="14"/>
      <c r="G2296" s="18"/>
      <c r="H2296" s="10"/>
      <c r="I2296" s="17"/>
      <c r="J2296" s="83"/>
      <c r="K2296" s="343"/>
      <c r="L2296" s="347"/>
      <c r="M2296" s="12" t="s">
        <v>117</v>
      </c>
      <c r="N2296" s="10" t="s">
        <v>176</v>
      </c>
      <c r="O2296" s="22" t="str">
        <f>IFERROR(
 IF(UPPER(TRIM(Enginuity!$A$21))&lt;&gt;"DOOR FRAME","",
  150 + IF(Enginuity!$B$6*Enginuity!$B$7&lt;=21,0,
    (CEILING(MAX(0,Enginuity!$B$6*12-36),3) + 2*CEILING(MAX(0,Enginuity!$B$7*12-84),3)) * 3.15
  )
 ),
"")</f>
        <v/>
      </c>
      <c r="P2296" s="108" t="str">
        <f>Enginuity!$A$21</f>
        <v>SF 4"</v>
      </c>
      <c r="Q2296" s="22" t="str">
        <f>IFERROR(IF(O2296&lt;&gt;"",1,""),"")</f>
        <v/>
      </c>
      <c r="U2296" s="104" t="str">
        <f>IF(
  AND(
    TRIM(A2296)=TRIM(Enginuity!$A$1),
    TRIM(B2296)=TRIM(Enginuity!$A$17),
    Q2296&lt;&gt;"",
    Q2296&lt;&gt;0,
    OR(
      TRIM(C2296)=TRIM(Enginuity!$A$18),
      AND(UPPER(TRIM(M2296))="STD", TRIM(B2296)=TRIM(Enginuity!$A$17))
    ),
    OR(
      AND(LEFT(P2296,5)="1-Way", Enginuity!$B$13=1),
      AND(LEFT(P2296,5)="2-Way", OR(Enginuity!$B$13=2, Enginuity!$B$13=4)),
      AND(LEFT(P2296,5)="3-Way", OR(Enginuity!$B$13=3, Enginuity!$B$13=6)),
      AND(P2296="Inner Centre Jamb", OR(Enginuity!$B$13=4, Enginuity!$B$13=6)),
      AND(
        LEFT(P2296,5)&lt;&gt;"1-Way",
        LEFT(P2296,5)&lt;&gt;"2-Way",
        LEFT(P2296,5)&lt;&gt;"3-Way",
        P2296&lt;&gt;"Inner Centre Jamb"
      )
    ),
    IF(OR(Enginuity!$A$1="Frameless Glass",Enginuity!$A$1="Metal Work"),
      AND(TRIM(B2296)=TRIM(Enginuity!$A$17),TRIM(C2296)=TRIM(Enginuity!$A$18)),
      TRIM(B2296)=TRIM(Enginuity!$A$17)
    )
  ),
  ROW(),
  ""
)</f>
        <v/>
      </c>
    </row>
    <row r="2297" spans="1:21" x14ac:dyDescent="0.25">
      <c r="A2297" s="10" t="s">
        <v>761</v>
      </c>
      <c r="B2297" s="341" t="s">
        <v>324</v>
      </c>
      <c r="C2297" s="10" t="s">
        <v>1689</v>
      </c>
      <c r="D2297" s="86" t="str">
        <v>5mm normal Moru</v>
      </c>
      <c r="E2297" s="14"/>
      <c r="F2297" s="14"/>
      <c r="G2297" s="17"/>
      <c r="H2297" s="10"/>
      <c r="I2297" s="17"/>
      <c r="J2297" s="83"/>
      <c r="K2297" s="343"/>
      <c r="L2297" s="347"/>
      <c r="M2297" s="12" t="s">
        <v>117</v>
      </c>
      <c r="N2297" s="10" t="s">
        <v>176</v>
      </c>
      <c r="O2297" s="22">
        <v>400</v>
      </c>
      <c r="P2297" s="108" t="str">
        <f>Enginuity!$A$22</f>
        <v>▼ [Lattice]</v>
      </c>
      <c r="Q2297" s="22" t="str">
        <f>IFERROR(IF(Q2292&lt;&gt;"",IF(UPPER(TRIM(P2297))="INSTALLATION",1,""),""),"")</f>
        <v/>
      </c>
      <c r="U2297" s="104" t="str">
        <f>IF(
  AND(
    TRIM(A2297)=TRIM(Enginuity!$A$1),
    TRIM(B2297)=TRIM(Enginuity!$A$17),
    Q2297&lt;&gt;"",
    Q2297&lt;&gt;0,
    OR(
      TRIM(C2297)=TRIM(Enginuity!$A$18),
      AND(UPPER(TRIM(M2297))="STD", TRIM(B2297)=TRIM(Enginuity!$A$17))
    ),
    OR(
      AND(LEFT(P2297,5)="1-Way", Enginuity!$B$13=1),
      AND(LEFT(P2297,5)="2-Way", OR(Enginuity!$B$13=2, Enginuity!$B$13=4)),
      AND(LEFT(P2297,5)="3-Way", OR(Enginuity!$B$13=3, Enginuity!$B$13=6)),
      AND(P2297="Inner Centre Jamb", OR(Enginuity!$B$13=4, Enginuity!$B$13=6)),
      AND(
        LEFT(P2297,5)&lt;&gt;"1-Way",
        LEFT(P2297,5)&lt;&gt;"2-Way",
        LEFT(P2297,5)&lt;&gt;"3-Way",
        P2297&lt;&gt;"Inner Centre Jamb"
      )
    ),
    IF(OR(Enginuity!$A$1="Frameless Glass",Enginuity!$A$1="Metal Work"),
      AND(TRIM(B2297)=TRIM(Enginuity!$A$17),TRIM(C2297)=TRIM(Enginuity!$A$18)),
      TRIM(B2297)=TRIM(Enginuity!$A$17)
    )
  ),
  ROW(),
  ""
)</f>
        <v/>
      </c>
    </row>
    <row r="2298" spans="1:21" x14ac:dyDescent="0.25">
      <c r="A2298" s="10" t="s">
        <v>761</v>
      </c>
      <c r="B2298" s="341" t="s">
        <v>324</v>
      </c>
      <c r="C2298" s="10" t="s">
        <v>1689</v>
      </c>
      <c r="D2298" s="86" t="str">
        <v>5mm Tempered Moru</v>
      </c>
      <c r="E2298" s="14"/>
      <c r="F2298" s="21"/>
      <c r="G2298" s="17"/>
      <c r="H2298" s="10"/>
      <c r="I2298" s="17"/>
      <c r="J2298" s="83"/>
      <c r="K2298" s="343"/>
      <c r="L2298" s="347"/>
      <c r="M2298" s="12" t="s">
        <v>117</v>
      </c>
      <c r="N2298" s="10" t="s">
        <v>121</v>
      </c>
      <c r="O2298" s="22" t="str">
        <f>IF(Enginuity!$A$18="","",IF(Enginuity!$A$18="Grill Door",58,IF(Enginuity!$A$18="SS Mesh Door",71,"")))</f>
        <v/>
      </c>
      <c r="P2298" s="108" t="str">
        <f>$A$10</f>
        <v>Additional Size Complete Set</v>
      </c>
      <c r="Q2298" s="22">
        <f>IF(OR(Enginuity!$B$6="",Enginuity!$B$7=""),"",
 IF(Enginuity!$B$9&gt;32,
    ROUNDUP(Enginuity!$B$9-32,0),
    IF(OR(Enginuity!$B$6&gt;4,Enginuity!$B$7&gt;8),1,"")
 ))</f>
        <v>228</v>
      </c>
      <c r="U2298" s="104" t="str">
        <f>IF(
  AND(
    TRIM(A2298)=TRIM(Enginuity!$A$1),
    TRIM(B2298)=TRIM(Enginuity!$A$17),
    Q2298&lt;&gt;"",
    Q2298&lt;&gt;0,
    OR(
      TRIM(C2298)=TRIM(Enginuity!$A$18),
      AND(UPPER(TRIM(M2298))="STD", TRIM(B2298)=TRIM(Enginuity!$A$17))
    ),
    OR(
      AND(LEFT(P2298,5)="1-Way", Enginuity!$B$13=1),
      AND(LEFT(P2298,5)="2-Way", OR(Enginuity!$B$13=2, Enginuity!$B$13=4)),
      AND(LEFT(P2298,5)="3-Way", OR(Enginuity!$B$13=3, Enginuity!$B$13=6)),
      AND(P2298="Inner Centre Jamb", OR(Enginuity!$B$13=4, Enginuity!$B$13=6)),
      AND(
        LEFT(P2298,5)&lt;&gt;"1-Way",
        LEFT(P2298,5)&lt;&gt;"2-Way",
        LEFT(P2298,5)&lt;&gt;"3-Way",
        P2298&lt;&gt;"Inner Centre Jamb"
      )
    ),
    IF(OR(Enginuity!$A$1="Frameless Glass",Enginuity!$A$1="Metal Work"),
      AND(TRIM(B2298)=TRIM(Enginuity!$A$17),TRIM(C2298)=TRIM(Enginuity!$A$18)),
      TRIM(B2298)=TRIM(Enginuity!$A$17)
    )
  ),
  ROW(),
  ""
)</f>
        <v/>
      </c>
    </row>
    <row r="2299" spans="1:21" x14ac:dyDescent="0.25">
      <c r="A2299" s="10" t="s">
        <v>761</v>
      </c>
      <c r="B2299" s="341" t="s">
        <v>324</v>
      </c>
      <c r="C2299" s="10" t="s">
        <v>1689</v>
      </c>
      <c r="D2299" s="86" t="str">
        <v>Forested sticker (Sandblasting)</v>
      </c>
      <c r="E2299" s="14"/>
      <c r="F2299" s="21"/>
      <c r="G2299" s="17"/>
      <c r="H2299" s="10"/>
      <c r="I2299" s="17"/>
      <c r="J2299" s="83"/>
      <c r="K2299" s="343"/>
      <c r="L2299" s="347"/>
      <c r="M2299" s="12"/>
      <c r="N2299" s="10"/>
      <c r="O2299" s="22"/>
      <c r="P2299" s="106"/>
      <c r="Q2299" s="22"/>
      <c r="U2299" s="104" t="str">
        <f>IF(
  AND(
    TRIM(A2299)=TRIM(Enginuity!$A$1),
    TRIM(B2299)=TRIM(Enginuity!$A$17),
    Q2299&lt;&gt;"",
    Q2299&lt;&gt;0,
    OR(
      TRIM(C2299)=TRIM(Enginuity!$A$18),
      AND(UPPER(TRIM(M2299))="STD", TRIM(B2299)=TRIM(Enginuity!$A$17))
    ),
    OR(
      AND(LEFT(P2299,5)="1-Way", Enginuity!$B$13=1),
      AND(LEFT(P2299,5)="2-Way", OR(Enginuity!$B$13=2, Enginuity!$B$13=4)),
      AND(LEFT(P2299,5)="3-Way", OR(Enginuity!$B$13=3, Enginuity!$B$13=6)),
      AND(P2299="Inner Centre Jamb", OR(Enginuity!$B$13=4, Enginuity!$B$13=6)),
      AND(
        LEFT(P2299,5)&lt;&gt;"1-Way",
        LEFT(P2299,5)&lt;&gt;"2-Way",
        LEFT(P2299,5)&lt;&gt;"3-Way",
        P2299&lt;&gt;"Inner Centre Jamb"
      )
    ),
    IF(OR(Enginuity!$A$1="Frameless Glass",Enginuity!$A$1="Metal Work"),
      AND(TRIM(B2299)=TRIM(Enginuity!$A$17),TRIM(C2299)=TRIM(Enginuity!$A$18)),
      TRIM(B2299)=TRIM(Enginuity!$A$17)
    )
  ),
  ROW(),
  ""
)</f>
        <v/>
      </c>
    </row>
    <row r="2300" spans="1:21" x14ac:dyDescent="0.25">
      <c r="A2300" s="10"/>
      <c r="B2300" s="341"/>
      <c r="C2300" s="10"/>
      <c r="D2300" s="14" t="str">
        <v/>
      </c>
      <c r="E2300" s="14"/>
      <c r="F2300" s="10"/>
      <c r="G2300" s="17"/>
      <c r="H2300" s="10"/>
      <c r="I2300" s="17"/>
      <c r="J2300" s="83"/>
      <c r="K2300" s="343"/>
      <c r="L2300" s="347"/>
      <c r="M2300" s="89"/>
      <c r="N2300" s="10"/>
      <c r="O2300" s="22"/>
      <c r="P2300" s="36"/>
      <c r="Q2300" s="98"/>
      <c r="U2300" s="104" t="str">
        <f>IF(
  AND(
    TRIM(A2300)=TRIM(Enginuity!$A$1),
    TRIM(B2300)=TRIM(Enginuity!$A$17),
    Q2300&lt;&gt;"",
    Q2300&lt;&gt;0,
    OR(
      TRIM(C2300)=TRIM(Enginuity!$A$18),
      AND(UPPER(TRIM(M2300))="STD", TRIM(B2300)=TRIM(Enginuity!$A$17))
    ),
    OR(
      AND(LEFT(P2300,5)="1-Way", Enginuity!$B$13=1),
      AND(LEFT(P2300,5)="2-Way", OR(Enginuity!$B$13=2, Enginuity!$B$13=4)),
      AND(LEFT(P2300,5)="3-Way", OR(Enginuity!$B$13=3, Enginuity!$B$13=6)),
      AND(P2300="Inner Centre Jamb", OR(Enginuity!$B$13=4, Enginuity!$B$13=6)),
      AND(
        LEFT(P2300,5)&lt;&gt;"1-Way",
        LEFT(P2300,5)&lt;&gt;"2-Way",
        LEFT(P2300,5)&lt;&gt;"3-Way",
        P2300&lt;&gt;"Inner Centre Jamb"
      )
    ),
    IF(OR(Enginuity!$A$1="Frameless Glass",Enginuity!$A$1="Metal Work"),
      AND(TRIM(B2300)=TRIM(Enginuity!$A$17),TRIM(C2300)=TRIM(Enginuity!$A$18)),
      TRIM(B2300)=TRIM(Enginuity!$A$17)
    )
  ),
  ROW(),
  ""
)</f>
        <v/>
      </c>
    </row>
    <row r="2301" spans="1:21" x14ac:dyDescent="0.25">
      <c r="A2301" s="10"/>
      <c r="B2301" s="341"/>
      <c r="C2301" s="10"/>
      <c r="D2301" s="14" t="str">
        <v/>
      </c>
      <c r="E2301" s="14"/>
      <c r="F2301" s="10"/>
      <c r="G2301" s="17"/>
      <c r="H2301" s="10"/>
      <c r="I2301" s="17"/>
      <c r="J2301" s="83"/>
      <c r="K2301" s="343"/>
      <c r="L2301" s="347"/>
      <c r="M2301" s="89"/>
      <c r="N2301" s="10"/>
      <c r="O2301" s="22"/>
      <c r="P2301" s="36"/>
      <c r="Q2301" s="98"/>
      <c r="U2301" s="104" t="str">
        <f>IF(
  AND(
    TRIM(A2301)=TRIM(Enginuity!$A$1),
    TRIM(B2301)=TRIM(Enginuity!$A$17),
    Q2301&lt;&gt;"",
    Q2301&lt;&gt;0,
    OR(
      TRIM(C2301)=TRIM(Enginuity!$A$18),
      AND(UPPER(TRIM(M2301))="STD", TRIM(B2301)=TRIM(Enginuity!$A$17))
    ),
    OR(
      AND(LEFT(P2301,5)="1-Way", Enginuity!$B$13=1),
      AND(LEFT(P2301,5)="2-Way", OR(Enginuity!$B$13=2, Enginuity!$B$13=4)),
      AND(LEFT(P2301,5)="3-Way", OR(Enginuity!$B$13=3, Enginuity!$B$13=6)),
      AND(P2301="Inner Centre Jamb", OR(Enginuity!$B$13=4, Enginuity!$B$13=6)),
      AND(
        LEFT(P2301,5)&lt;&gt;"1-Way",
        LEFT(P2301,5)&lt;&gt;"2-Way",
        LEFT(P2301,5)&lt;&gt;"3-Way",
        P2301&lt;&gt;"Inner Centre Jamb"
      )
    ),
    IF(OR(Enginuity!$A$1="Frameless Glass",Enginuity!$A$1="Metal Work"),
      AND(TRIM(B2301)=TRIM(Enginuity!$A$17),TRIM(C2301)=TRIM(Enginuity!$A$18)),
      TRIM(B2301)=TRIM(Enginuity!$A$17)
    )
  ),
  ROW(),
  ""
)</f>
        <v/>
      </c>
    </row>
    <row r="2302" spans="1:21" x14ac:dyDescent="0.25">
      <c r="A2302" s="10"/>
      <c r="B2302" s="341"/>
      <c r="C2302" s="10"/>
      <c r="D2302" s="14"/>
      <c r="E2302" s="14"/>
      <c r="F2302" s="10"/>
      <c r="G2302" s="17"/>
      <c r="H2302" s="10"/>
      <c r="I2302" s="17"/>
      <c r="J2302" s="83"/>
      <c r="K2302" s="343"/>
      <c r="L2302" s="347"/>
      <c r="M2302" s="89"/>
      <c r="N2302" s="10"/>
      <c r="O2302" s="22"/>
      <c r="P2302" s="36"/>
      <c r="Q2302" s="98"/>
      <c r="U2302" s="104" t="str">
        <f>IF(
  AND(
    TRIM(A2302)=TRIM(Enginuity!$A$1),
    TRIM(B2302)=TRIM(Enginuity!$A$17),
    Q2302&lt;&gt;"",
    Q2302&lt;&gt;0,
    OR(
      TRIM(C2302)=TRIM(Enginuity!$A$18),
      AND(UPPER(TRIM(M2302))="STD", TRIM(B2302)=TRIM(Enginuity!$A$17))
    ),
    OR(
      AND(LEFT(P2302,5)="1-Way", Enginuity!$B$13=1),
      AND(LEFT(P2302,5)="2-Way", OR(Enginuity!$B$13=2, Enginuity!$B$13=4)),
      AND(LEFT(P2302,5)="3-Way", OR(Enginuity!$B$13=3, Enginuity!$B$13=6)),
      AND(P2302="Inner Centre Jamb", OR(Enginuity!$B$13=4, Enginuity!$B$13=6)),
      AND(
        LEFT(P2302,5)&lt;&gt;"1-Way",
        LEFT(P2302,5)&lt;&gt;"2-Way",
        LEFT(P2302,5)&lt;&gt;"3-Way",
        P2302&lt;&gt;"Inner Centre Jamb"
      )
    ),
    IF(OR(Enginuity!$A$1="Frameless Glass",Enginuity!$A$1="Metal Work"),
      AND(TRIM(B2302)=TRIM(Enginuity!$A$17),TRIM(C2302)=TRIM(Enginuity!$A$18)),
      TRIM(B2302)=TRIM(Enginuity!$A$17)
    )
  ),
  ROW(),
  ""
)</f>
        <v/>
      </c>
    </row>
    <row r="2303" spans="1:21" x14ac:dyDescent="0.25">
      <c r="A2303" s="10"/>
      <c r="B2303" s="341"/>
      <c r="C2303" s="10"/>
      <c r="D2303" s="14"/>
      <c r="E2303" s="14"/>
      <c r="F2303" s="10"/>
      <c r="G2303" s="17"/>
      <c r="H2303" s="10"/>
      <c r="I2303" s="17"/>
      <c r="J2303" s="83"/>
      <c r="K2303" s="343"/>
      <c r="L2303" s="347"/>
      <c r="M2303" s="89"/>
      <c r="N2303" s="10"/>
      <c r="O2303" s="22"/>
      <c r="P2303" s="36"/>
      <c r="Q2303" s="98"/>
      <c r="U2303" s="104" t="str">
        <f>IF(
  AND(
    TRIM(A2303)=TRIM(Enginuity!$A$1),
    TRIM(B2303)=TRIM(Enginuity!$A$17),
    Q2303&lt;&gt;"",
    Q2303&lt;&gt;0,
    OR(
      TRIM(C2303)=TRIM(Enginuity!$A$18),
      AND(UPPER(TRIM(M2303))="STD", TRIM(B2303)=TRIM(Enginuity!$A$17))
    ),
    OR(
      AND(LEFT(P2303,5)="1-Way", Enginuity!$B$13=1),
      AND(LEFT(P2303,5)="2-Way", OR(Enginuity!$B$13=2, Enginuity!$B$13=4)),
      AND(LEFT(P2303,5)="3-Way", OR(Enginuity!$B$13=3, Enginuity!$B$13=6)),
      AND(P2303="Inner Centre Jamb", OR(Enginuity!$B$13=4, Enginuity!$B$13=6)),
      AND(
        LEFT(P2303,5)&lt;&gt;"1-Way",
        LEFT(P2303,5)&lt;&gt;"2-Way",
        LEFT(P2303,5)&lt;&gt;"3-Way",
        P2303&lt;&gt;"Inner Centre Jamb"
      )
    ),
    IF(OR(Enginuity!$A$1="Frameless Glass",Enginuity!$A$1="Metal Work"),
      AND(TRIM(B2303)=TRIM(Enginuity!$A$17),TRIM(C2303)=TRIM(Enginuity!$A$18)),
      TRIM(B2303)=TRIM(Enginuity!$A$17)
    )
  ),
  ROW(),
  ""
)</f>
        <v/>
      </c>
    </row>
    <row r="2304" spans="1:21" x14ac:dyDescent="0.25">
      <c r="A2304" s="10"/>
      <c r="B2304" s="341"/>
      <c r="C2304" s="10"/>
      <c r="D2304" s="14"/>
      <c r="E2304" s="14"/>
      <c r="F2304" s="10"/>
      <c r="G2304" s="17"/>
      <c r="H2304" s="10"/>
      <c r="I2304" s="17"/>
      <c r="J2304" s="83"/>
      <c r="K2304" s="343"/>
      <c r="L2304" s="347"/>
      <c r="M2304" s="89"/>
      <c r="N2304" s="10"/>
      <c r="O2304" s="22"/>
      <c r="P2304" s="36"/>
      <c r="Q2304" s="98"/>
      <c r="U2304" s="104" t="str">
        <f>IF(
  AND(
    TRIM(A2304)=TRIM(Enginuity!$A$1),
    TRIM(B2304)=TRIM(Enginuity!$A$17),
    Q2304&lt;&gt;"",
    Q2304&lt;&gt;0,
    OR(
      TRIM(C2304)=TRIM(Enginuity!$A$18),
      AND(UPPER(TRIM(M2304))="STD", TRIM(B2304)=TRIM(Enginuity!$A$17))
    ),
    OR(
      AND(LEFT(P2304,5)="1-Way", Enginuity!$B$13=1),
      AND(LEFT(P2304,5)="2-Way", OR(Enginuity!$B$13=2, Enginuity!$B$13=4)),
      AND(LEFT(P2304,5)="3-Way", OR(Enginuity!$B$13=3, Enginuity!$B$13=6)),
      AND(P2304="Inner Centre Jamb", OR(Enginuity!$B$13=4, Enginuity!$B$13=6)),
      AND(
        LEFT(P2304,5)&lt;&gt;"1-Way",
        LEFT(P2304,5)&lt;&gt;"2-Way",
        LEFT(P2304,5)&lt;&gt;"3-Way",
        P2304&lt;&gt;"Inner Centre Jamb"
      )
    ),
    IF(OR(Enginuity!$A$1="Frameless Glass",Enginuity!$A$1="Metal Work"),
      AND(TRIM(B2304)=TRIM(Enginuity!$A$17),TRIM(C2304)=TRIM(Enginuity!$A$18)),
      TRIM(B2304)=TRIM(Enginuity!$A$17)
    )
  ),
  ROW(),
  ""
)</f>
        <v/>
      </c>
    </row>
    <row r="2305" spans="1:21" x14ac:dyDescent="0.25">
      <c r="A2305" s="10"/>
      <c r="B2305" s="341"/>
      <c r="C2305" s="10"/>
      <c r="D2305" s="14"/>
      <c r="E2305" s="14"/>
      <c r="F2305" s="10"/>
      <c r="G2305" s="17"/>
      <c r="H2305" s="10"/>
      <c r="I2305" s="17"/>
      <c r="J2305" s="83"/>
      <c r="K2305" s="343"/>
      <c r="L2305" s="347"/>
      <c r="M2305" s="89"/>
      <c r="N2305" s="10"/>
      <c r="O2305" s="22"/>
      <c r="P2305" s="36"/>
      <c r="Q2305" s="98"/>
      <c r="U2305" s="104" t="str">
        <f>IF(
  AND(
    TRIM(A2305)=TRIM(Enginuity!$A$1),
    TRIM(B2305)=TRIM(Enginuity!$A$17),
    Q2305&lt;&gt;"",
    Q2305&lt;&gt;0,
    OR(
      TRIM(C2305)=TRIM(Enginuity!$A$18),
      AND(UPPER(TRIM(M2305))="STD", TRIM(B2305)=TRIM(Enginuity!$A$17))
    ),
    OR(
      AND(LEFT(P2305,5)="1-Way", Enginuity!$B$13=1),
      AND(LEFT(P2305,5)="2-Way", OR(Enginuity!$B$13=2, Enginuity!$B$13=4)),
      AND(LEFT(P2305,5)="3-Way", OR(Enginuity!$B$13=3, Enginuity!$B$13=6)),
      AND(P2305="Inner Centre Jamb", OR(Enginuity!$B$13=4, Enginuity!$B$13=6)),
      AND(
        LEFT(P2305,5)&lt;&gt;"1-Way",
        LEFT(P2305,5)&lt;&gt;"2-Way",
        LEFT(P2305,5)&lt;&gt;"3-Way",
        P2305&lt;&gt;"Inner Centre Jamb"
      )
    ),
    IF(OR(Enginuity!$A$1="Frameless Glass",Enginuity!$A$1="Metal Work"),
      AND(TRIM(B2305)=TRIM(Enginuity!$A$17),TRIM(C2305)=TRIM(Enginuity!$A$18)),
      TRIM(B2305)=TRIM(Enginuity!$A$17)
    )
  ),
  ROW(),
  ""
)</f>
        <v/>
      </c>
    </row>
    <row r="2306" spans="1:21" x14ac:dyDescent="0.25">
      <c r="A2306" s="17"/>
      <c r="B2306" s="340"/>
      <c r="C2306" s="17"/>
      <c r="D2306" s="18"/>
      <c r="E2306" s="18"/>
      <c r="F2306" s="17"/>
      <c r="G2306" s="17"/>
      <c r="H2306" s="17"/>
      <c r="I2306" s="17"/>
      <c r="J2306" s="84"/>
      <c r="K2306" s="343"/>
      <c r="L2306" s="347"/>
      <c r="M2306" s="90"/>
      <c r="N2306" s="17"/>
      <c r="O2306" s="25"/>
      <c r="P2306" s="92"/>
      <c r="Q2306" s="84"/>
      <c r="U2306" s="104" t="str">
        <f>IF(
  AND(
    TRIM(A2306)=TRIM(Enginuity!$A$1),
    TRIM(B2306)=TRIM(Enginuity!$A$17),
    Q2306&lt;&gt;"",
    Q2306&lt;&gt;0,
    OR(
      TRIM(C2306)=TRIM(Enginuity!$A$18),
      AND(UPPER(TRIM(M2306))="STD", TRIM(B2306)=TRIM(Enginuity!$A$17))
    ),
    OR(
      AND(LEFT(P2306,5)="1-Way", Enginuity!$B$13=1),
      AND(LEFT(P2306,5)="2-Way", OR(Enginuity!$B$13=2, Enginuity!$B$13=4)),
      AND(LEFT(P2306,5)="3-Way", OR(Enginuity!$B$13=3, Enginuity!$B$13=6)),
      AND(P2306="Inner Centre Jamb", OR(Enginuity!$B$13=4, Enginuity!$B$13=6)),
      AND(
        LEFT(P2306,5)&lt;&gt;"1-Way",
        LEFT(P2306,5)&lt;&gt;"2-Way",
        LEFT(P2306,5)&lt;&gt;"3-Way",
        P2306&lt;&gt;"Inner Centre Jamb"
      )
    ),
    IF(OR(Enginuity!$A$1="Frameless Glass",Enginuity!$A$1="Metal Work"),
      AND(TRIM(B2306)=TRIM(Enginuity!$A$17),TRIM(C2306)=TRIM(Enginuity!$A$18)),
      TRIM(B2306)=TRIM(Enginuity!$A$17)
    )
  ),
  ROW(),
  ""
)</f>
        <v/>
      </c>
    </row>
    <row r="2307" spans="1:21" x14ac:dyDescent="0.25">
      <c r="A2307" s="10" t="s">
        <v>761</v>
      </c>
      <c r="B2307" s="229" t="s">
        <v>324</v>
      </c>
      <c r="C2307" s="112" t="s">
        <v>1690</v>
      </c>
      <c r="D2307" s="86" t="str" cm="1">
        <f t="array" ref="D2307:D2316">IFERROR(INDEX(_xlfn._xlws.FILTER(AllMaterialsbak!$AY$21:$AY$28,AllMaterialsbak!$AY$21:$AY$28&lt;&gt;""),_xlfn.SEQUENCE(10)),"")</f>
        <v>ACP (Normal White, Black)</v>
      </c>
      <c r="E2307" s="339" t="s">
        <v>762</v>
      </c>
      <c r="F2307" s="14"/>
      <c r="G2307" s="169" t="s">
        <v>1688</v>
      </c>
      <c r="H2307" s="10"/>
      <c r="I2307" s="17"/>
      <c r="J2307" s="83"/>
      <c r="K2307" s="344">
        <v>0.21724099999999999</v>
      </c>
      <c r="L2307" s="347">
        <v>1219.2</v>
      </c>
      <c r="M2307" s="12" t="s">
        <v>117</v>
      </c>
      <c r="N2307" s="10" t="s">
        <v>176</v>
      </c>
      <c r="O2307" s="22">
        <v>650</v>
      </c>
      <c r="P2307" s="108" t="str">
        <f>Enginuity!$A$18</f>
        <v>CTW / SF Partition / Z-Louvre</v>
      </c>
      <c r="Q2307" s="22" t="str">
        <f>IFERROR(IF(UPPER(TRIM(P2307))="PUSH &amp; SWING",1,""),"")</f>
        <v/>
      </c>
      <c r="U2307" s="104" t="str">
        <f>IF(
  AND(
    TRIM(A2307)=TRIM(Enginuity!$A$1),
    TRIM(B2307)=TRIM(Enginuity!$A$17),
    Q2307&lt;&gt;"",
    Q2307&lt;&gt;0,
    OR(
      TRIM(C2307)=TRIM(Enginuity!$A$18),
      AND(UPPER(TRIM(M2307))="STD", TRIM(B2307)=TRIM(Enginuity!$A$17))
    ),
    OR(
      AND(LEFT(P2307,5)="1-Way", Enginuity!$B$13=1),
      AND(LEFT(P2307,5)="2-Way", OR(Enginuity!$B$13=2, Enginuity!$B$13=4)),
      AND(LEFT(P2307,5)="3-Way", OR(Enginuity!$B$13=3, Enginuity!$B$13=6)),
      AND(P2307="Inner Centre Jamb", OR(Enginuity!$B$13=4, Enginuity!$B$13=6)),
      AND(
        LEFT(P2307,5)&lt;&gt;"1-Way",
        LEFT(P2307,5)&lt;&gt;"2-Way",
        LEFT(P2307,5)&lt;&gt;"3-Way",
        P2307&lt;&gt;"Inner Centre Jamb"
      )
    ),
    IF(OR(Enginuity!$A$1="Frameless Glass",Enginuity!$A$1="Metal Work"),
      AND(TRIM(B2307)=TRIM(Enginuity!$A$17),TRIM(C2307)=TRIM(Enginuity!$A$18)),
      TRIM(B2307)=TRIM(Enginuity!$A$17)
    )
  ),
  ROW(),
  ""
)</f>
        <v/>
      </c>
    </row>
    <row r="2308" spans="1:21" x14ac:dyDescent="0.25">
      <c r="A2308" s="10" t="s">
        <v>761</v>
      </c>
      <c r="B2308" s="229" t="s">
        <v>324</v>
      </c>
      <c r="C2308" s="112" t="s">
        <v>1690</v>
      </c>
      <c r="D2308" s="112" t="str">
        <v>5mm Normal Glass</v>
      </c>
      <c r="E2308" s="160"/>
      <c r="F2308" s="14"/>
      <c r="G2308" s="17"/>
      <c r="H2308" s="10"/>
      <c r="I2308" s="17"/>
      <c r="J2308" s="83"/>
      <c r="K2308" s="343"/>
      <c r="L2308" s="347"/>
      <c r="M2308" s="89" t="s">
        <v>117</v>
      </c>
      <c r="N2308" s="10" t="s">
        <v>176</v>
      </c>
      <c r="O2308" s="22" t="str">
        <f>IF(Enginuity!$A$19="","",IFERROR(INDEX($AZ$21:$AZ$28,MATCH(Enginuity!$A$19,$AY$21:$AY$28,0)),""))</f>
        <v/>
      </c>
      <c r="P2308" s="111" t="str">
        <f>Enginuity!$A$19</f>
        <v>W/G</v>
      </c>
      <c r="Q2308" s="22" t="str">
        <f>IF(Q2307&lt;&gt;"",IF(O2308&lt;&gt;"",Enginuity!$B$9,""),"")</f>
        <v/>
      </c>
      <c r="U2308" s="104" t="str">
        <f>IF(
  AND(
    TRIM(A2308)=TRIM(Enginuity!$A$1),
    TRIM(B2308)=TRIM(Enginuity!$A$17),
    Q2308&lt;&gt;"",
    Q2308&lt;&gt;0,
    OR(
      TRIM(C2308)=TRIM(Enginuity!$A$18),
      AND(UPPER(TRIM(M2308))="STD", TRIM(B2308)=TRIM(Enginuity!$A$17))
    ),
    OR(
      AND(LEFT(P2308,5)="1-Way", Enginuity!$B$13=1),
      AND(LEFT(P2308,5)="2-Way", OR(Enginuity!$B$13=2, Enginuity!$B$13=4)),
      AND(LEFT(P2308,5)="3-Way", OR(Enginuity!$B$13=3, Enginuity!$B$13=6)),
      AND(P2308="Inner Centre Jamb", OR(Enginuity!$B$13=4, Enginuity!$B$13=6)),
      AND(
        LEFT(P2308,5)&lt;&gt;"1-Way",
        LEFT(P2308,5)&lt;&gt;"2-Way",
        LEFT(P2308,5)&lt;&gt;"3-Way",
        P2308&lt;&gt;"Inner Centre Jamb"
      )
    ),
    IF(OR(Enginuity!$A$1="Frameless Glass",Enginuity!$A$1="Metal Work"),
      AND(TRIM(B2308)=TRIM(Enginuity!$A$17),TRIM(C2308)=TRIM(Enginuity!$A$18)),
      TRIM(B2308)=TRIM(Enginuity!$A$17)
    )
  ),
  ROW(),
  ""
)</f>
        <v/>
      </c>
    </row>
    <row r="2309" spans="1:21" x14ac:dyDescent="0.25">
      <c r="A2309" s="10" t="s">
        <v>761</v>
      </c>
      <c r="B2309" s="229" t="s">
        <v>324</v>
      </c>
      <c r="C2309" s="112" t="s">
        <v>1690</v>
      </c>
      <c r="D2309" s="112" t="str">
        <v>5mm Dark Grey Glass</v>
      </c>
      <c r="E2309" s="247"/>
      <c r="F2309" s="10"/>
      <c r="G2309" s="17"/>
      <c r="H2309" s="10"/>
      <c r="I2309" s="17"/>
      <c r="J2309" s="83"/>
      <c r="K2309" s="343"/>
      <c r="L2309" s="347"/>
      <c r="M2309" s="89" t="s">
        <v>117</v>
      </c>
      <c r="N2309" s="10" t="s">
        <v>176</v>
      </c>
      <c r="O2309" s="22">
        <v>300</v>
      </c>
      <c r="P2309" s="108" t="str">
        <f>Enginuity!$A$22</f>
        <v>▼ [Lattice]</v>
      </c>
      <c r="Q2309" s="22" t="str">
        <f>IFERROR(IF(Q2307&lt;&gt;"",IF(UPPER(TRIM(P2309))="INSTALLATION",1,""),""),"")</f>
        <v/>
      </c>
      <c r="U2309" s="104" t="str">
        <f>IF(
  AND(
    TRIM(A2309)=TRIM(Enginuity!$A$1),
    TRIM(B2309)=TRIM(Enginuity!$A$17),
    Q2309&lt;&gt;"",
    Q2309&lt;&gt;0,
    OR(
      TRIM(C2309)=TRIM(Enginuity!$A$18),
      AND(UPPER(TRIM(M2309))="STD", TRIM(B2309)=TRIM(Enginuity!$A$17))
    ),
    OR(
      AND(LEFT(P2309,5)="1-Way", Enginuity!$B$13=1),
      AND(LEFT(P2309,5)="2-Way", OR(Enginuity!$B$13=2, Enginuity!$B$13=4)),
      AND(LEFT(P2309,5)="3-Way", OR(Enginuity!$B$13=3, Enginuity!$B$13=6)),
      AND(P2309="Inner Centre Jamb", OR(Enginuity!$B$13=4, Enginuity!$B$13=6)),
      AND(
        LEFT(P2309,5)&lt;&gt;"1-Way",
        LEFT(P2309,5)&lt;&gt;"2-Way",
        LEFT(P2309,5)&lt;&gt;"3-Way",
        P2309&lt;&gt;"Inner Centre Jamb"
      )
    ),
    IF(OR(Enginuity!$A$1="Frameless Glass",Enginuity!$A$1="Metal Work"),
      AND(TRIM(B2309)=TRIM(Enginuity!$A$17),TRIM(C2309)=TRIM(Enginuity!$A$18)),
      TRIM(B2309)=TRIM(Enginuity!$A$17)
    )
  ),
  ROW(),
  ""
)</f>
        <v/>
      </c>
    </row>
    <row r="2310" spans="1:21" x14ac:dyDescent="0.25">
      <c r="A2310" s="10" t="s">
        <v>761</v>
      </c>
      <c r="B2310" s="229" t="s">
        <v>324</v>
      </c>
      <c r="C2310" s="112" t="s">
        <v>1690</v>
      </c>
      <c r="D2310" s="112" t="str">
        <v>5mm clear Tempered Glass</v>
      </c>
      <c r="E2310" s="157"/>
      <c r="F2310" s="14"/>
      <c r="G2310" s="142"/>
      <c r="H2310" s="10"/>
      <c r="I2310" s="17"/>
      <c r="J2310" s="83"/>
      <c r="K2310" s="343"/>
      <c r="L2310" s="347"/>
      <c r="M2310" s="12" t="s">
        <v>117</v>
      </c>
      <c r="N2310" s="10" t="s">
        <v>121</v>
      </c>
      <c r="O2310" s="22">
        <v>27</v>
      </c>
      <c r="P2310" s="108" t="str">
        <f>$A$10</f>
        <v>Additional Size Complete Set</v>
      </c>
      <c r="Q2310" s="22">
        <f>IF(OR(Enginuity!$B$6="",Enginuity!$B$7=""),"",
 IF(Enginuity!$B$9&gt;32,
    ROUNDUP(Enginuity!$B$9-32,0),
    IF(OR(Enginuity!$B$6&gt;4,Enginuity!$B$7&gt;8),1,"")
 ))</f>
        <v>228</v>
      </c>
      <c r="U2310" s="104" t="str">
        <f>IF(
  AND(
    TRIM(A2310)=TRIM(Enginuity!$A$1),
    TRIM(B2310)=TRIM(Enginuity!$A$17),
    Q2310&lt;&gt;"",
    Q2310&lt;&gt;0,
    OR(
      TRIM(C2310)=TRIM(Enginuity!$A$18),
      AND(UPPER(TRIM(M2310))="STD", TRIM(B2310)=TRIM(Enginuity!$A$17))
    ),
    OR(
      AND(LEFT(P2310,5)="1-Way", Enginuity!$B$13=1),
      AND(LEFT(P2310,5)="2-Way", OR(Enginuity!$B$13=2, Enginuity!$B$13=4)),
      AND(LEFT(P2310,5)="3-Way", OR(Enginuity!$B$13=3, Enginuity!$B$13=6)),
      AND(P2310="Inner Centre Jamb", OR(Enginuity!$B$13=4, Enginuity!$B$13=6)),
      AND(
        LEFT(P2310,5)&lt;&gt;"1-Way",
        LEFT(P2310,5)&lt;&gt;"2-Way",
        LEFT(P2310,5)&lt;&gt;"3-Way",
        P2310&lt;&gt;"Inner Centre Jamb"
      )
    ),
    IF(OR(Enginuity!$A$1="Frameless Glass",Enginuity!$A$1="Metal Work"),
      AND(TRIM(B2310)=TRIM(Enginuity!$A$17),TRIM(C2310)=TRIM(Enginuity!$A$18)),
      TRIM(B2310)=TRIM(Enginuity!$A$17)
    )
  ),
  ROW(),
  ""
)</f>
        <v/>
      </c>
    </row>
    <row r="2311" spans="1:21" x14ac:dyDescent="0.25">
      <c r="A2311" s="10" t="s">
        <v>761</v>
      </c>
      <c r="B2311" s="229" t="s">
        <v>324</v>
      </c>
      <c r="C2311" s="112" t="s">
        <v>1690</v>
      </c>
      <c r="D2311" s="86" t="str">
        <v>5mm Dark Grey Tempered Glass</v>
      </c>
      <c r="E2311" s="157" t="s">
        <v>762</v>
      </c>
      <c r="F2311" s="14"/>
      <c r="G2311" s="18"/>
      <c r="H2311" s="10"/>
      <c r="I2311" s="17"/>
      <c r="J2311" s="83"/>
      <c r="K2311" s="343"/>
      <c r="L2311" s="347"/>
      <c r="M2311" s="12" t="s">
        <v>117</v>
      </c>
      <c r="N2311" s="10" t="s">
        <v>176</v>
      </c>
      <c r="O2311" s="22">
        <f>$B$29</f>
        <v>75</v>
      </c>
      <c r="P2311" s="112" t="s">
        <v>762</v>
      </c>
      <c r="Q2311" s="22" t="str">
        <f>IF(Enginuity!$A$20="","",IF(UPPER(TRIM(P2311))=UPPER(TRIM(Enginuity!$A$20)),Enginuity!$B$13,""))</f>
        <v/>
      </c>
      <c r="U2311" s="104" t="str">
        <f>IF(
  AND(
    TRIM(A2311)=TRIM(Enginuity!$A$1),
    TRIM(B2311)=TRIM(Enginuity!$A$17),
    Q2311&lt;&gt;"",
    Q2311&lt;&gt;0,
    OR(
      TRIM(C2311)=TRIM(Enginuity!$A$18),
      AND(UPPER(TRIM(M2311))="STD", TRIM(B2311)=TRIM(Enginuity!$A$17))
    ),
    OR(
      AND(LEFT(P2311,5)="1-Way", Enginuity!$B$13=1),
      AND(LEFT(P2311,5)="2-Way", OR(Enginuity!$B$13=2, Enginuity!$B$13=4)),
      AND(LEFT(P2311,5)="3-Way", OR(Enginuity!$B$13=3, Enginuity!$B$13=6)),
      AND(P2311="Inner Centre Jamb", OR(Enginuity!$B$13=4, Enginuity!$B$13=6)),
      AND(
        LEFT(P2311,5)&lt;&gt;"1-Way",
        LEFT(P2311,5)&lt;&gt;"2-Way",
        LEFT(P2311,5)&lt;&gt;"3-Way",
        P2311&lt;&gt;"Inner Centre Jamb"
      )
    ),
    IF(OR(Enginuity!$A$1="Frameless Glass",Enginuity!$A$1="Metal Work"),
      AND(TRIM(B2311)=TRIM(Enginuity!$A$17),TRIM(C2311)=TRIM(Enginuity!$A$18)),
      TRIM(B2311)=TRIM(Enginuity!$A$17)
    )
  ),
  ROW(),
  ""
)</f>
        <v/>
      </c>
    </row>
    <row r="2312" spans="1:21" x14ac:dyDescent="0.25">
      <c r="A2312" s="10" t="s">
        <v>761</v>
      </c>
      <c r="B2312" s="229" t="s">
        <v>324</v>
      </c>
      <c r="C2312" s="112" t="s">
        <v>1690</v>
      </c>
      <c r="D2312" s="86" t="str">
        <v>5mm normal Moru</v>
      </c>
      <c r="E2312" s="157"/>
      <c r="F2312" s="14"/>
      <c r="G2312" s="17"/>
      <c r="H2312" s="10"/>
      <c r="I2312" s="17"/>
      <c r="J2312" s="83"/>
      <c r="K2312" s="343"/>
      <c r="L2312" s="347"/>
      <c r="M2312" s="12"/>
      <c r="N2312" s="10"/>
      <c r="O2312" s="22"/>
      <c r="P2312" s="112"/>
      <c r="Q2312" s="22"/>
      <c r="U2312" s="104" t="str">
        <f>IF(
  AND(
    TRIM(A2312)=TRIM(Enginuity!$A$1),
    TRIM(B2312)=TRIM(Enginuity!$A$17),
    Q2312&lt;&gt;"",
    Q2312&lt;&gt;0,
    OR(
      TRIM(C2312)=TRIM(Enginuity!$A$18),
      AND(UPPER(TRIM(M2312))="STD", TRIM(B2312)=TRIM(Enginuity!$A$17))
    ),
    OR(
      AND(LEFT(P2312,5)="1-Way", Enginuity!$B$13=1),
      AND(LEFT(P2312,5)="2-Way", OR(Enginuity!$B$13=2, Enginuity!$B$13=4)),
      AND(LEFT(P2312,5)="3-Way", OR(Enginuity!$B$13=3, Enginuity!$B$13=6)),
      AND(P2312="Inner Centre Jamb", OR(Enginuity!$B$13=4, Enginuity!$B$13=6)),
      AND(
        LEFT(P2312,5)&lt;&gt;"1-Way",
        LEFT(P2312,5)&lt;&gt;"2-Way",
        LEFT(P2312,5)&lt;&gt;"3-Way",
        P2312&lt;&gt;"Inner Centre Jamb"
      )
    ),
    IF(OR(Enginuity!$A$1="Frameless Glass",Enginuity!$A$1="Metal Work"),
      AND(TRIM(B2312)=TRIM(Enginuity!$A$17),TRIM(C2312)=TRIM(Enginuity!$A$18)),
      TRIM(B2312)=TRIM(Enginuity!$A$17)
    )
  ),
  ROW(),
  ""
)</f>
        <v/>
      </c>
    </row>
    <row r="2313" spans="1:21" x14ac:dyDescent="0.25">
      <c r="A2313" s="10" t="s">
        <v>761</v>
      </c>
      <c r="B2313" s="229" t="s">
        <v>324</v>
      </c>
      <c r="C2313" s="112" t="s">
        <v>1690</v>
      </c>
      <c r="D2313" s="86" t="str">
        <v>5mm Tempered Moru</v>
      </c>
      <c r="E2313" s="14"/>
      <c r="F2313" s="21"/>
      <c r="G2313" s="17"/>
      <c r="H2313" s="10"/>
      <c r="I2313" s="17"/>
      <c r="J2313" s="83"/>
      <c r="K2313" s="343"/>
      <c r="L2313" s="347"/>
      <c r="M2313" s="12"/>
      <c r="N2313" s="10"/>
      <c r="O2313" s="22"/>
      <c r="P2313" s="108"/>
      <c r="Q2313" s="22"/>
      <c r="U2313" s="104" t="str">
        <f>IF(
  AND(
    TRIM(A2313)=TRIM(Enginuity!$A$1),
    TRIM(B2313)=TRIM(Enginuity!$A$17),
    Q2313&lt;&gt;"",
    Q2313&lt;&gt;0,
    OR(
      TRIM(C2313)=TRIM(Enginuity!$A$18),
      AND(UPPER(TRIM(M2313))="STD", TRIM(B2313)=TRIM(Enginuity!$A$17))
    ),
    OR(
      AND(LEFT(P2313,5)="1-Way", Enginuity!$B$13=1),
      AND(LEFT(P2313,5)="2-Way", OR(Enginuity!$B$13=2, Enginuity!$B$13=4)),
      AND(LEFT(P2313,5)="3-Way", OR(Enginuity!$B$13=3, Enginuity!$B$13=6)),
      AND(P2313="Inner Centre Jamb", OR(Enginuity!$B$13=4, Enginuity!$B$13=6)),
      AND(
        LEFT(P2313,5)&lt;&gt;"1-Way",
        LEFT(P2313,5)&lt;&gt;"2-Way",
        LEFT(P2313,5)&lt;&gt;"3-Way",
        P2313&lt;&gt;"Inner Centre Jamb"
      )
    ),
    IF(OR(Enginuity!$A$1="Frameless Glass",Enginuity!$A$1="Metal Work"),
      AND(TRIM(B2313)=TRIM(Enginuity!$A$17),TRIM(C2313)=TRIM(Enginuity!$A$18)),
      TRIM(B2313)=TRIM(Enginuity!$A$17)
    )
  ),
  ROW(),
  ""
)</f>
        <v/>
      </c>
    </row>
    <row r="2314" spans="1:21" x14ac:dyDescent="0.25">
      <c r="A2314" s="10" t="s">
        <v>761</v>
      </c>
      <c r="B2314" s="229" t="s">
        <v>324</v>
      </c>
      <c r="C2314" s="112" t="s">
        <v>1690</v>
      </c>
      <c r="D2314" s="86" t="str">
        <v>Forested sticker (Sandblasting)</v>
      </c>
      <c r="E2314" s="14"/>
      <c r="F2314" s="21"/>
      <c r="G2314" s="17"/>
      <c r="H2314" s="10"/>
      <c r="I2314" s="17"/>
      <c r="J2314" s="83"/>
      <c r="K2314" s="343"/>
      <c r="L2314" s="347"/>
      <c r="M2314" s="12"/>
      <c r="N2314" s="10"/>
      <c r="O2314" s="22"/>
      <c r="P2314" s="106"/>
      <c r="Q2314" s="22"/>
      <c r="U2314" s="104" t="str">
        <f>IF(
  AND(
    TRIM(A2314)=TRIM(Enginuity!$A$1),
    TRIM(B2314)=TRIM(Enginuity!$A$17),
    Q2314&lt;&gt;"",
    Q2314&lt;&gt;0,
    OR(
      TRIM(C2314)=TRIM(Enginuity!$A$18),
      AND(UPPER(TRIM(M2314))="STD", TRIM(B2314)=TRIM(Enginuity!$A$17))
    ),
    OR(
      AND(LEFT(P2314,5)="1-Way", Enginuity!$B$13=1),
      AND(LEFT(P2314,5)="2-Way", OR(Enginuity!$B$13=2, Enginuity!$B$13=4)),
      AND(LEFT(P2314,5)="3-Way", OR(Enginuity!$B$13=3, Enginuity!$B$13=6)),
      AND(P2314="Inner Centre Jamb", OR(Enginuity!$B$13=4, Enginuity!$B$13=6)),
      AND(
        LEFT(P2314,5)&lt;&gt;"1-Way",
        LEFT(P2314,5)&lt;&gt;"2-Way",
        LEFT(P2314,5)&lt;&gt;"3-Way",
        P2314&lt;&gt;"Inner Centre Jamb"
      )
    ),
    IF(OR(Enginuity!$A$1="Frameless Glass",Enginuity!$A$1="Metal Work"),
      AND(TRIM(B2314)=TRIM(Enginuity!$A$17),TRIM(C2314)=TRIM(Enginuity!$A$18)),
      TRIM(B2314)=TRIM(Enginuity!$A$17)
    )
  ),
  ROW(),
  ""
)</f>
        <v/>
      </c>
    </row>
    <row r="2315" spans="1:21" x14ac:dyDescent="0.25">
      <c r="A2315" s="10"/>
      <c r="B2315" s="341"/>
      <c r="C2315" s="10"/>
      <c r="D2315" s="14" t="str">
        <v/>
      </c>
      <c r="E2315" s="14"/>
      <c r="F2315" s="10"/>
      <c r="G2315" s="17"/>
      <c r="H2315" s="10"/>
      <c r="I2315" s="17"/>
      <c r="J2315" s="83"/>
      <c r="K2315" s="343"/>
      <c r="L2315" s="347"/>
      <c r="M2315" s="89"/>
      <c r="N2315" s="10"/>
      <c r="O2315" s="22"/>
      <c r="P2315" s="36"/>
      <c r="Q2315" s="98"/>
      <c r="U2315" s="104" t="str">
        <f>IF(
  AND(
    TRIM(A2315)=TRIM(Enginuity!$A$1),
    TRIM(B2315)=TRIM(Enginuity!$A$17),
    Q2315&lt;&gt;"",
    Q2315&lt;&gt;0,
    OR(
      TRIM(C2315)=TRIM(Enginuity!$A$18),
      AND(UPPER(TRIM(M2315))="STD", TRIM(B2315)=TRIM(Enginuity!$A$17))
    ),
    OR(
      AND(LEFT(P2315,5)="1-Way", Enginuity!$B$13=1),
      AND(LEFT(P2315,5)="2-Way", OR(Enginuity!$B$13=2, Enginuity!$B$13=4)),
      AND(LEFT(P2315,5)="3-Way", OR(Enginuity!$B$13=3, Enginuity!$B$13=6)),
      AND(P2315="Inner Centre Jamb", OR(Enginuity!$B$13=4, Enginuity!$B$13=6)),
      AND(
        LEFT(P2315,5)&lt;&gt;"1-Way",
        LEFT(P2315,5)&lt;&gt;"2-Way",
        LEFT(P2315,5)&lt;&gt;"3-Way",
        P2315&lt;&gt;"Inner Centre Jamb"
      )
    ),
    IF(OR(Enginuity!$A$1="Frameless Glass",Enginuity!$A$1="Metal Work"),
      AND(TRIM(B2315)=TRIM(Enginuity!$A$17),TRIM(C2315)=TRIM(Enginuity!$A$18)),
      TRIM(B2315)=TRIM(Enginuity!$A$17)
    )
  ),
  ROW(),
  ""
)</f>
        <v/>
      </c>
    </row>
    <row r="2316" spans="1:21" x14ac:dyDescent="0.25">
      <c r="A2316" s="10"/>
      <c r="B2316" s="341"/>
      <c r="C2316" s="10"/>
      <c r="D2316" s="14" t="str">
        <v/>
      </c>
      <c r="E2316" s="14"/>
      <c r="F2316" s="10"/>
      <c r="G2316" s="17"/>
      <c r="H2316" s="10"/>
      <c r="I2316" s="17"/>
      <c r="J2316" s="83"/>
      <c r="K2316" s="343"/>
      <c r="L2316" s="347"/>
      <c r="M2316" s="89"/>
      <c r="N2316" s="10"/>
      <c r="O2316" s="22"/>
      <c r="P2316" s="36"/>
      <c r="Q2316" s="98"/>
      <c r="U2316" s="104" t="str">
        <f>IF(
  AND(
    TRIM(A2316)=TRIM(Enginuity!$A$1),
    TRIM(B2316)=TRIM(Enginuity!$A$17),
    Q2316&lt;&gt;"",
    Q2316&lt;&gt;0,
    OR(
      TRIM(C2316)=TRIM(Enginuity!$A$18),
      AND(UPPER(TRIM(M2316))="STD", TRIM(B2316)=TRIM(Enginuity!$A$17))
    ),
    OR(
      AND(LEFT(P2316,5)="1-Way", Enginuity!$B$13=1),
      AND(LEFT(P2316,5)="2-Way", OR(Enginuity!$B$13=2, Enginuity!$B$13=4)),
      AND(LEFT(P2316,5)="3-Way", OR(Enginuity!$B$13=3, Enginuity!$B$13=6)),
      AND(P2316="Inner Centre Jamb", OR(Enginuity!$B$13=4, Enginuity!$B$13=6)),
      AND(
        LEFT(P2316,5)&lt;&gt;"1-Way",
        LEFT(P2316,5)&lt;&gt;"2-Way",
        LEFT(P2316,5)&lt;&gt;"3-Way",
        P2316&lt;&gt;"Inner Centre Jamb"
      )
    ),
    IF(OR(Enginuity!$A$1="Frameless Glass",Enginuity!$A$1="Metal Work"),
      AND(TRIM(B2316)=TRIM(Enginuity!$A$17),TRIM(C2316)=TRIM(Enginuity!$A$18)),
      TRIM(B2316)=TRIM(Enginuity!$A$17)
    )
  ),
  ROW(),
  ""
)</f>
        <v/>
      </c>
    </row>
    <row r="2317" spans="1:21" x14ac:dyDescent="0.25">
      <c r="A2317" s="10"/>
      <c r="B2317" s="341"/>
      <c r="C2317" s="10"/>
      <c r="D2317" s="14"/>
      <c r="E2317" s="14"/>
      <c r="F2317" s="10"/>
      <c r="G2317" s="17"/>
      <c r="H2317" s="10"/>
      <c r="I2317" s="17"/>
      <c r="J2317" s="83"/>
      <c r="K2317" s="343"/>
      <c r="L2317" s="347"/>
      <c r="M2317" s="89"/>
      <c r="N2317" s="10"/>
      <c r="O2317" s="22"/>
      <c r="P2317" s="36"/>
      <c r="Q2317" s="98"/>
      <c r="U2317" s="104" t="str">
        <f>IF(
  AND(
    TRIM(A2317)=TRIM(Enginuity!$A$1),
    TRIM(B2317)=TRIM(Enginuity!$A$17),
    Q2317&lt;&gt;"",
    Q2317&lt;&gt;0,
    OR(
      TRIM(C2317)=TRIM(Enginuity!$A$18),
      AND(UPPER(TRIM(M2317))="STD", TRIM(B2317)=TRIM(Enginuity!$A$17))
    ),
    OR(
      AND(LEFT(P2317,5)="1-Way", Enginuity!$B$13=1),
      AND(LEFT(P2317,5)="2-Way", OR(Enginuity!$B$13=2, Enginuity!$B$13=4)),
      AND(LEFT(P2317,5)="3-Way", OR(Enginuity!$B$13=3, Enginuity!$B$13=6)),
      AND(P2317="Inner Centre Jamb", OR(Enginuity!$B$13=4, Enginuity!$B$13=6)),
      AND(
        LEFT(P2317,5)&lt;&gt;"1-Way",
        LEFT(P2317,5)&lt;&gt;"2-Way",
        LEFT(P2317,5)&lt;&gt;"3-Way",
        P2317&lt;&gt;"Inner Centre Jamb"
      )
    ),
    IF(OR(Enginuity!$A$1="Frameless Glass",Enginuity!$A$1="Metal Work"),
      AND(TRIM(B2317)=TRIM(Enginuity!$A$17),TRIM(C2317)=TRIM(Enginuity!$A$18)),
      TRIM(B2317)=TRIM(Enginuity!$A$17)
    )
  ),
  ROW(),
  ""
)</f>
        <v/>
      </c>
    </row>
    <row r="2318" spans="1:21" x14ac:dyDescent="0.25">
      <c r="A2318" s="10"/>
      <c r="B2318" s="341"/>
      <c r="C2318" s="10"/>
      <c r="D2318" s="14"/>
      <c r="E2318" s="14"/>
      <c r="F2318" s="10"/>
      <c r="G2318" s="17"/>
      <c r="H2318" s="10"/>
      <c r="I2318" s="17"/>
      <c r="J2318" s="83"/>
      <c r="K2318" s="343"/>
      <c r="L2318" s="347"/>
      <c r="M2318" s="89"/>
      <c r="N2318" s="10"/>
      <c r="O2318" s="22"/>
      <c r="P2318" s="36"/>
      <c r="Q2318" s="98"/>
      <c r="U2318" s="104" t="str">
        <f>IF(
  AND(
    TRIM(A2318)=TRIM(Enginuity!$A$1),
    TRIM(B2318)=TRIM(Enginuity!$A$17),
    Q2318&lt;&gt;"",
    Q2318&lt;&gt;0,
    OR(
      TRIM(C2318)=TRIM(Enginuity!$A$18),
      AND(UPPER(TRIM(M2318))="STD", TRIM(B2318)=TRIM(Enginuity!$A$17))
    ),
    OR(
      AND(LEFT(P2318,5)="1-Way", Enginuity!$B$13=1),
      AND(LEFT(P2318,5)="2-Way", OR(Enginuity!$B$13=2, Enginuity!$B$13=4)),
      AND(LEFT(P2318,5)="3-Way", OR(Enginuity!$B$13=3, Enginuity!$B$13=6)),
      AND(P2318="Inner Centre Jamb", OR(Enginuity!$B$13=4, Enginuity!$B$13=6)),
      AND(
        LEFT(P2318,5)&lt;&gt;"1-Way",
        LEFT(P2318,5)&lt;&gt;"2-Way",
        LEFT(P2318,5)&lt;&gt;"3-Way",
        P2318&lt;&gt;"Inner Centre Jamb"
      )
    ),
    IF(OR(Enginuity!$A$1="Frameless Glass",Enginuity!$A$1="Metal Work"),
      AND(TRIM(B2318)=TRIM(Enginuity!$A$17),TRIM(C2318)=TRIM(Enginuity!$A$18)),
      TRIM(B2318)=TRIM(Enginuity!$A$17)
    )
  ),
  ROW(),
  ""
)</f>
        <v/>
      </c>
    </row>
    <row r="2319" spans="1:21" x14ac:dyDescent="0.25">
      <c r="A2319" s="10"/>
      <c r="B2319" s="341"/>
      <c r="C2319" s="10"/>
      <c r="D2319" s="14"/>
      <c r="E2319" s="14"/>
      <c r="F2319" s="10"/>
      <c r="G2319" s="17"/>
      <c r="H2319" s="10"/>
      <c r="I2319" s="17"/>
      <c r="J2319" s="83"/>
      <c r="K2319" s="343"/>
      <c r="L2319" s="347"/>
      <c r="M2319" s="89"/>
      <c r="N2319" s="10"/>
      <c r="O2319" s="22"/>
      <c r="P2319" s="36"/>
      <c r="Q2319" s="98"/>
      <c r="U2319" s="104" t="str">
        <f>IF(
  AND(
    TRIM(A2319)=TRIM(Enginuity!$A$1),
    TRIM(B2319)=TRIM(Enginuity!$A$17),
    Q2319&lt;&gt;"",
    Q2319&lt;&gt;0,
    OR(
      TRIM(C2319)=TRIM(Enginuity!$A$18),
      AND(UPPER(TRIM(M2319))="STD", TRIM(B2319)=TRIM(Enginuity!$A$17))
    ),
    OR(
      AND(LEFT(P2319,5)="1-Way", Enginuity!$B$13=1),
      AND(LEFT(P2319,5)="2-Way", OR(Enginuity!$B$13=2, Enginuity!$B$13=4)),
      AND(LEFT(P2319,5)="3-Way", OR(Enginuity!$B$13=3, Enginuity!$B$13=6)),
      AND(P2319="Inner Centre Jamb", OR(Enginuity!$B$13=4, Enginuity!$B$13=6)),
      AND(
        LEFT(P2319,5)&lt;&gt;"1-Way",
        LEFT(P2319,5)&lt;&gt;"2-Way",
        LEFT(P2319,5)&lt;&gt;"3-Way",
        P2319&lt;&gt;"Inner Centre Jamb"
      )
    ),
    IF(OR(Enginuity!$A$1="Frameless Glass",Enginuity!$A$1="Metal Work"),
      AND(TRIM(B2319)=TRIM(Enginuity!$A$17),TRIM(C2319)=TRIM(Enginuity!$A$18)),
      TRIM(B2319)=TRIM(Enginuity!$A$17)
    )
  ),
  ROW(),
  ""
)</f>
        <v/>
      </c>
    </row>
    <row r="2320" spans="1:21" x14ac:dyDescent="0.25">
      <c r="A2320" s="10"/>
      <c r="B2320" s="341"/>
      <c r="C2320" s="10"/>
      <c r="D2320" s="14"/>
      <c r="E2320" s="14"/>
      <c r="F2320" s="10"/>
      <c r="G2320" s="17"/>
      <c r="H2320" s="10"/>
      <c r="I2320" s="17"/>
      <c r="J2320" s="83"/>
      <c r="K2320" s="343"/>
      <c r="L2320" s="347"/>
      <c r="M2320" s="89"/>
      <c r="N2320" s="10"/>
      <c r="O2320" s="22"/>
      <c r="P2320" s="36"/>
      <c r="Q2320" s="98"/>
      <c r="U2320" s="104" t="str">
        <f>IF(
  AND(
    TRIM(A2320)=TRIM(Enginuity!$A$1),
    TRIM(B2320)=TRIM(Enginuity!$A$17),
    Q2320&lt;&gt;"",
    Q2320&lt;&gt;0,
    OR(
      TRIM(C2320)=TRIM(Enginuity!$A$18),
      AND(UPPER(TRIM(M2320))="STD", TRIM(B2320)=TRIM(Enginuity!$A$17))
    ),
    OR(
      AND(LEFT(P2320,5)="1-Way", Enginuity!$B$13=1),
      AND(LEFT(P2320,5)="2-Way", OR(Enginuity!$B$13=2, Enginuity!$B$13=4)),
      AND(LEFT(P2320,5)="3-Way", OR(Enginuity!$B$13=3, Enginuity!$B$13=6)),
      AND(P2320="Inner Centre Jamb", OR(Enginuity!$B$13=4, Enginuity!$B$13=6)),
      AND(
        LEFT(P2320,5)&lt;&gt;"1-Way",
        LEFT(P2320,5)&lt;&gt;"2-Way",
        LEFT(P2320,5)&lt;&gt;"3-Way",
        P2320&lt;&gt;"Inner Centre Jamb"
      )
    ),
    IF(OR(Enginuity!$A$1="Frameless Glass",Enginuity!$A$1="Metal Work"),
      AND(TRIM(B2320)=TRIM(Enginuity!$A$17),TRIM(C2320)=TRIM(Enginuity!$A$18)),
      TRIM(B2320)=TRIM(Enginuity!$A$17)
    )
  ),
  ROW(),
  ""
)</f>
        <v/>
      </c>
    </row>
    <row r="2321" spans="1:21" x14ac:dyDescent="0.25">
      <c r="A2321" s="17"/>
      <c r="B2321" s="340"/>
      <c r="C2321" s="17"/>
      <c r="D2321" s="18"/>
      <c r="E2321" s="18"/>
      <c r="F2321" s="17"/>
      <c r="G2321" s="17"/>
      <c r="H2321" s="17"/>
      <c r="I2321" s="17"/>
      <c r="J2321" s="84"/>
      <c r="K2321" s="343"/>
      <c r="L2321" s="347"/>
      <c r="M2321" s="90"/>
      <c r="N2321" s="17"/>
      <c r="O2321" s="25"/>
      <c r="P2321" s="92"/>
      <c r="Q2321" s="84"/>
      <c r="U2321" s="104" t="str">
        <f>IF(
  AND(
    TRIM(A2321)=TRIM(Enginuity!$A$1),
    TRIM(B2321)=TRIM(Enginuity!$A$17),
    Q2321&lt;&gt;"",
    Q2321&lt;&gt;0,
    OR(
      TRIM(C2321)=TRIM(Enginuity!$A$18),
      AND(UPPER(TRIM(M2321))="STD", TRIM(B2321)=TRIM(Enginuity!$A$17))
    ),
    OR(
      AND(LEFT(P2321,5)="1-Way", Enginuity!$B$13=1),
      AND(LEFT(P2321,5)="2-Way", OR(Enginuity!$B$13=2, Enginuity!$B$13=4)),
      AND(LEFT(P2321,5)="3-Way", OR(Enginuity!$B$13=3, Enginuity!$B$13=6)),
      AND(P2321="Inner Centre Jamb", OR(Enginuity!$B$13=4, Enginuity!$B$13=6)),
      AND(
        LEFT(P2321,5)&lt;&gt;"1-Way",
        LEFT(P2321,5)&lt;&gt;"2-Way",
        LEFT(P2321,5)&lt;&gt;"3-Way",
        P2321&lt;&gt;"Inner Centre Jamb"
      )
    ),
    IF(OR(Enginuity!$A$1="Frameless Glass",Enginuity!$A$1="Metal Work"),
      AND(TRIM(B2321)=TRIM(Enginuity!$A$17),TRIM(C2321)=TRIM(Enginuity!$A$18)),
      TRIM(B2321)=TRIM(Enginuity!$A$17)
    )
  ),
  ROW(),
  ""
)</f>
        <v/>
      </c>
    </row>
    <row r="2322" spans="1:21" x14ac:dyDescent="0.25">
      <c r="A2322" s="10" t="s">
        <v>761</v>
      </c>
      <c r="B2322" s="229" t="s">
        <v>764</v>
      </c>
      <c r="C2322" s="10" t="s">
        <v>766</v>
      </c>
      <c r="D2322" s="86" t="s">
        <v>767</v>
      </c>
      <c r="E2322" s="157"/>
      <c r="F2322" s="21"/>
      <c r="G2322" s="17"/>
      <c r="H2322" s="10"/>
      <c r="I2322" s="17"/>
      <c r="J2322" s="83"/>
      <c r="K2322" s="344">
        <v>0.3</v>
      </c>
      <c r="L2322" s="347">
        <v>3000</v>
      </c>
      <c r="M2322" s="12"/>
      <c r="N2322" s="10" t="s">
        <v>121</v>
      </c>
      <c r="O2322" s="22">
        <v>16</v>
      </c>
      <c r="P2322" s="112" t="s">
        <v>755</v>
      </c>
      <c r="Q2322" s="22" t="str">
        <f>IF(COUNTIF($C$1410:$C$1427,Enginuity!$A$18)=0,"", IF(Enginuity!$B$9&lt;8,8,ROUNDUP(Enginuity!$B$9,0)))</f>
        <v/>
      </c>
      <c r="U2322" s="104" t="str">
        <f>IF(
  AND(
    TRIM(A2322)=TRIM(Enginuity!$A$1),
    TRIM(B2322)=TRIM(Enginuity!$A$17),
    Q2322&lt;&gt;"",
    Q2322&lt;&gt;0,
    OR(
      TRIM(C2322)=TRIM(Enginuity!$A$18),
      AND(UPPER(TRIM(M2322))="STD", TRIM(B2322)=TRIM(Enginuity!$A$17))
    ),
    OR(
      AND(LEFT(P2322,5)="1-Way", Enginuity!$B$13=1),
      AND(LEFT(P2322,5)="2-Way", OR(Enginuity!$B$13=2, Enginuity!$B$13=4)),
      AND(LEFT(P2322,5)="3-Way", OR(Enginuity!$B$13=3, Enginuity!$B$13=6)),
      AND(P2322="Inner Centre Jamb", OR(Enginuity!$B$13=4, Enginuity!$B$13=6)),
      AND(
        LEFT(P2322,5)&lt;&gt;"1-Way",
        LEFT(P2322,5)&lt;&gt;"2-Way",
        LEFT(P2322,5)&lt;&gt;"3-Way",
        P2322&lt;&gt;"Inner Centre Jamb"
      )
    ),
    IF(OR(Enginuity!$A$1="Frameless Glass",Enginuity!$A$1="Metal Work"),
      AND(TRIM(B2322)=TRIM(Enginuity!$A$17),TRIM(C2322)=TRIM(Enginuity!$A$18)),
      TRIM(B2322)=TRIM(Enginuity!$A$17)
    )
  ),
  ROW(),
  ""
)</f>
        <v/>
      </c>
    </row>
    <row r="2323" spans="1:21" x14ac:dyDescent="0.25">
      <c r="A2323" s="10" t="s">
        <v>761</v>
      </c>
      <c r="B2323" s="229" t="s">
        <v>764</v>
      </c>
      <c r="C2323" s="10" t="s">
        <v>765</v>
      </c>
      <c r="D2323" s="86"/>
      <c r="E2323" s="157"/>
      <c r="F2323" s="14"/>
      <c r="G2323" s="17"/>
      <c r="H2323" s="10"/>
      <c r="I2323" s="17"/>
      <c r="J2323" s="83"/>
      <c r="K2323" s="343"/>
      <c r="L2323" s="347"/>
      <c r="M2323" s="12"/>
      <c r="N2323" s="10" t="s">
        <v>121</v>
      </c>
      <c r="O2323" s="22">
        <v>17</v>
      </c>
      <c r="P2323" s="112" t="s">
        <v>756</v>
      </c>
      <c r="Q2323" s="22" t="str">
        <f>IF(COUNTIF($C$1410:$C$1427,Enginuity!$A$18)=0,"", IF(Enginuity!$B$9&lt;8,8,ROUNDUP(Enginuity!$B$9,0)))</f>
        <v/>
      </c>
      <c r="U2323" s="104" t="str">
        <f>IF(
  AND(
    TRIM(A2323)=TRIM(Enginuity!$A$1),
    TRIM(B2323)=TRIM(Enginuity!$A$17),
    Q2323&lt;&gt;"",
    Q2323&lt;&gt;0,
    OR(
      TRIM(C2323)=TRIM(Enginuity!$A$18),
      AND(UPPER(TRIM(M2323))="STD", TRIM(B2323)=TRIM(Enginuity!$A$17))
    ),
    OR(
      AND(LEFT(P2323,5)="1-Way", Enginuity!$B$13=1),
      AND(LEFT(P2323,5)="2-Way", OR(Enginuity!$B$13=2, Enginuity!$B$13=4)),
      AND(LEFT(P2323,5)="3-Way", OR(Enginuity!$B$13=3, Enginuity!$B$13=6)),
      AND(P2323="Inner Centre Jamb", OR(Enginuity!$B$13=4, Enginuity!$B$13=6)),
      AND(
        LEFT(P2323,5)&lt;&gt;"1-Way",
        LEFT(P2323,5)&lt;&gt;"2-Way",
        LEFT(P2323,5)&lt;&gt;"3-Way",
        P2323&lt;&gt;"Inner Centre Jamb"
      )
    ),
    IF(OR(Enginuity!$A$1="Frameless Glass",Enginuity!$A$1="Metal Work"),
      AND(TRIM(B2323)=TRIM(Enginuity!$A$17),TRIM(C2323)=TRIM(Enginuity!$A$18)),
      TRIM(B2323)=TRIM(Enginuity!$A$17)
    )
  ),
  ROW(),
  ""
)</f>
        <v/>
      </c>
    </row>
    <row r="2324" spans="1:21" x14ac:dyDescent="0.25">
      <c r="A2324" s="10" t="s">
        <v>761</v>
      </c>
      <c r="B2324" s="229" t="s">
        <v>764</v>
      </c>
      <c r="C2324" s="10"/>
      <c r="D2324" s="86"/>
      <c r="E2324" s="160"/>
      <c r="F2324" s="14"/>
      <c r="G2324" s="17"/>
      <c r="H2324" s="10"/>
      <c r="I2324" s="17"/>
      <c r="J2324" s="83"/>
      <c r="K2324" s="343"/>
      <c r="L2324" s="347"/>
      <c r="M2324" s="89" t="s">
        <v>117</v>
      </c>
      <c r="N2324" s="10" t="s">
        <v>121</v>
      </c>
      <c r="O2324" s="22">
        <v>5</v>
      </c>
      <c r="P2324" s="112" t="s">
        <v>767</v>
      </c>
      <c r="Q2324" s="22" t="str">
        <f>IF(COUNTIF($D$1410:$D$1427,Enginuity!$A$19)=0,"",IF(Enginuity!$B$9&lt;20,20,ROUNDUP(Enginuity!$B$9,0)))</f>
        <v/>
      </c>
      <c r="U2324" s="104" t="str">
        <f>IF(
  AND(
    TRIM(A2324)=TRIM(Enginuity!$A$1),
    TRIM(B2324)=TRIM(Enginuity!$A$17),
    Q2324&lt;&gt;"",
    Q2324&lt;&gt;0,
    OR(
      TRIM(C2324)=TRIM(Enginuity!$A$18),
      AND(UPPER(TRIM(M2324))="STD", TRIM(B2324)=TRIM(Enginuity!$A$17))
    ),
    OR(
      AND(LEFT(P2324,5)="1-Way", Enginuity!$B$13=1),
      AND(LEFT(P2324,5)="2-Way", OR(Enginuity!$B$13=2, Enginuity!$B$13=4)),
      AND(LEFT(P2324,5)="3-Way", OR(Enginuity!$B$13=3, Enginuity!$B$13=6)),
      AND(P2324="Inner Centre Jamb", OR(Enginuity!$B$13=4, Enginuity!$B$13=6)),
      AND(
        LEFT(P2324,5)&lt;&gt;"1-Way",
        LEFT(P2324,5)&lt;&gt;"2-Way",
        LEFT(P2324,5)&lt;&gt;"3-Way",
        P2324&lt;&gt;"Inner Centre Jamb"
      )
    ),
    IF(OR(Enginuity!$A$1="Frameless Glass",Enginuity!$A$1="Metal Work"),
      AND(TRIM(B2324)=TRIM(Enginuity!$A$17),TRIM(C2324)=TRIM(Enginuity!$A$18)),
      TRIM(B2324)=TRIM(Enginuity!$A$17)
    )
  ),
  ROW(),
  ""
)</f>
        <v/>
      </c>
    </row>
    <row r="2325" spans="1:21" x14ac:dyDescent="0.25">
      <c r="A2325" s="10" t="s">
        <v>761</v>
      </c>
      <c r="B2325" s="229"/>
      <c r="C2325" s="10"/>
      <c r="D2325" s="86"/>
      <c r="E2325" s="160"/>
      <c r="F2325" s="36"/>
      <c r="G2325" s="17"/>
      <c r="H2325" s="10"/>
      <c r="I2325" s="17"/>
      <c r="J2325" s="83"/>
      <c r="K2325" s="343"/>
      <c r="L2325" s="347"/>
      <c r="M2325" s="12"/>
      <c r="N2325" s="10"/>
      <c r="O2325" s="22"/>
      <c r="P2325" s="112"/>
      <c r="Q2325" s="22"/>
      <c r="U2325" s="104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2326" spans="1:21" x14ac:dyDescent="0.25">
      <c r="A2326" s="10"/>
      <c r="B2326" s="229"/>
      <c r="C2326" s="112"/>
      <c r="D2326" s="86"/>
      <c r="E2326" s="339"/>
      <c r="F2326" s="14"/>
      <c r="G2326" s="17"/>
      <c r="H2326" s="10"/>
      <c r="I2326" s="17"/>
      <c r="J2326" s="83"/>
      <c r="K2326" s="344"/>
      <c r="L2326" s="347"/>
      <c r="M2326" s="12"/>
      <c r="N2326" s="10"/>
      <c r="O2326" s="22"/>
      <c r="P2326" s="112"/>
      <c r="Q2326" s="22"/>
      <c r="U2326" s="104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2327" spans="1:21" x14ac:dyDescent="0.25">
      <c r="A2327" s="10"/>
      <c r="B2327" s="229"/>
      <c r="C2327" s="10"/>
      <c r="D2327" s="86"/>
      <c r="E2327" s="157"/>
      <c r="F2327" s="14"/>
      <c r="G2327" s="17"/>
      <c r="H2327" s="10"/>
      <c r="I2327" s="17"/>
      <c r="J2327" s="83"/>
      <c r="K2327" s="343"/>
      <c r="L2327" s="347"/>
      <c r="M2327" s="12"/>
      <c r="N2327" s="10"/>
      <c r="O2327" s="22"/>
      <c r="P2327" s="112"/>
      <c r="Q2327" s="22"/>
      <c r="U2327" s="104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2328" spans="1:21" x14ac:dyDescent="0.25">
      <c r="A2328" s="10"/>
      <c r="B2328" s="341"/>
      <c r="C2328" s="10"/>
      <c r="D2328" s="86"/>
      <c r="E2328" s="14"/>
      <c r="F2328" s="21"/>
      <c r="G2328" s="17"/>
      <c r="H2328" s="10"/>
      <c r="I2328" s="17"/>
      <c r="J2328" s="83"/>
      <c r="K2328" s="343"/>
      <c r="L2328" s="347"/>
      <c r="M2328" s="12"/>
      <c r="N2328" s="10"/>
      <c r="O2328" s="22"/>
      <c r="P2328" s="108"/>
      <c r="Q2328" s="22"/>
      <c r="U2328" s="104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2329" spans="1:21" x14ac:dyDescent="0.25">
      <c r="A2329" s="10"/>
      <c r="B2329" s="341"/>
      <c r="C2329" s="10"/>
      <c r="D2329" s="86"/>
      <c r="E2329" s="14"/>
      <c r="F2329" s="21"/>
      <c r="G2329" s="17"/>
      <c r="H2329" s="10"/>
      <c r="I2329" s="17"/>
      <c r="J2329" s="83"/>
      <c r="K2329" s="343"/>
      <c r="L2329" s="347"/>
      <c r="M2329" s="12"/>
      <c r="N2329" s="10"/>
      <c r="O2329" s="22"/>
      <c r="P2329" s="106"/>
      <c r="Q2329" s="22"/>
      <c r="U2329" s="104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2330" spans="1:21" x14ac:dyDescent="0.25">
      <c r="A2330" s="10"/>
      <c r="B2330" s="341"/>
      <c r="C2330" s="10"/>
      <c r="D2330" s="14"/>
      <c r="E2330" s="14"/>
      <c r="F2330" s="10"/>
      <c r="G2330" s="17"/>
      <c r="H2330" s="10"/>
      <c r="I2330" s="17"/>
      <c r="J2330" s="83"/>
      <c r="K2330" s="343"/>
      <c r="L2330" s="347"/>
      <c r="M2330" s="89"/>
      <c r="N2330" s="10"/>
      <c r="O2330" s="22"/>
      <c r="P2330" s="36"/>
      <c r="Q2330" s="98"/>
      <c r="U2330" s="104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2331" spans="1:21" x14ac:dyDescent="0.25">
      <c r="A2331" s="10"/>
      <c r="B2331" s="341"/>
      <c r="C2331" s="10"/>
      <c r="D2331" s="14"/>
      <c r="E2331" s="14"/>
      <c r="F2331" s="10"/>
      <c r="G2331" s="17"/>
      <c r="H2331" s="10"/>
      <c r="I2331" s="17"/>
      <c r="J2331" s="83"/>
      <c r="K2331" s="343"/>
      <c r="L2331" s="347"/>
      <c r="M2331" s="89"/>
      <c r="N2331" s="10"/>
      <c r="O2331" s="22"/>
      <c r="P2331" s="36"/>
      <c r="Q2331" s="98"/>
      <c r="U2331" s="104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2332" spans="1:21" x14ac:dyDescent="0.25">
      <c r="A2332" s="10"/>
      <c r="B2332" s="341"/>
      <c r="C2332" s="10"/>
      <c r="D2332" s="14"/>
      <c r="E2332" s="14"/>
      <c r="F2332" s="10"/>
      <c r="G2332" s="17"/>
      <c r="H2332" s="10"/>
      <c r="I2332" s="17"/>
      <c r="J2332" s="83"/>
      <c r="K2332" s="343"/>
      <c r="L2332" s="347"/>
      <c r="M2332" s="89"/>
      <c r="N2332" s="10"/>
      <c r="O2332" s="22"/>
      <c r="P2332" s="36"/>
      <c r="Q2332" s="98"/>
      <c r="U2332" s="104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2333" spans="1:21" x14ac:dyDescent="0.25">
      <c r="A2333" s="10"/>
      <c r="B2333" s="341"/>
      <c r="C2333" s="10"/>
      <c r="D2333" s="14"/>
      <c r="E2333" s="14"/>
      <c r="F2333" s="10"/>
      <c r="G2333" s="17"/>
      <c r="H2333" s="10"/>
      <c r="I2333" s="17"/>
      <c r="J2333" s="83"/>
      <c r="K2333" s="343"/>
      <c r="L2333" s="347"/>
      <c r="M2333" s="89"/>
      <c r="N2333" s="10"/>
      <c r="O2333" s="22"/>
      <c r="P2333" s="36"/>
      <c r="Q2333" s="98"/>
      <c r="U2333" s="104" t="str">
        <f>IF(
  AND(
    TRIM(A2333)=TRIM(Enginuity!$A$1),
    TRIM(B2333)=TRIM(Enginuity!$A$17),
    Q2333&lt;&gt;"",
    Q2333&lt;&gt;0,
    OR(
      TRIM(C2333)=TRIM(Enginuity!$A$18),
      AND(UPPER(TRIM(M2333))="STD", TRIM(B2333)=TRIM(Enginuity!$A$17))
    ),
    OR(
      AND(LEFT(P2333,5)="1-Way", Enginuity!$B$13=1),
      AND(LEFT(P2333,5)="2-Way", OR(Enginuity!$B$13=2, Enginuity!$B$13=4)),
      AND(LEFT(P2333,5)="3-Way", OR(Enginuity!$B$13=3, Enginuity!$B$13=6)),
      AND(P2333="Inner Centre Jamb", OR(Enginuity!$B$13=4, Enginuity!$B$13=6)),
      AND(
        LEFT(P2333,5)&lt;&gt;"1-Way",
        LEFT(P2333,5)&lt;&gt;"2-Way",
        LEFT(P2333,5)&lt;&gt;"3-Way",
        P2333&lt;&gt;"Inner Centre Jamb"
      )
    ),
    IF(OR(Enginuity!$A$1="Frameless Glass",Enginuity!$A$1="Metal Work"),
      AND(TRIM(B2333)=TRIM(Enginuity!$A$17),TRIM(C2333)=TRIM(Enginuity!$A$18)),
      TRIM(B2333)=TRIM(Enginuity!$A$17)
    )
  ),
  ROW(),
  ""
)</f>
        <v/>
      </c>
    </row>
    <row r="2334" spans="1:21" x14ac:dyDescent="0.25">
      <c r="A2334" s="10"/>
      <c r="B2334" s="341"/>
      <c r="C2334" s="10"/>
      <c r="D2334" s="14"/>
      <c r="E2334" s="14"/>
      <c r="F2334" s="10"/>
      <c r="G2334" s="17"/>
      <c r="H2334" s="10"/>
      <c r="I2334" s="17"/>
      <c r="J2334" s="83"/>
      <c r="K2334" s="343"/>
      <c r="L2334" s="347"/>
      <c r="M2334" s="89"/>
      <c r="N2334" s="10"/>
      <c r="O2334" s="22"/>
      <c r="P2334" s="36"/>
      <c r="Q2334" s="98"/>
      <c r="U2334" s="104" t="str">
        <f>IF(
  AND(
    TRIM(A2334)=TRIM(Enginuity!$A$1),
    TRIM(B2334)=TRIM(Enginuity!$A$17),
    Q2334&lt;&gt;"",
    Q2334&lt;&gt;0,
    OR(
      TRIM(C2334)=TRIM(Enginuity!$A$18),
      AND(UPPER(TRIM(M2334))="STD", TRIM(B2334)=TRIM(Enginuity!$A$17))
    ),
    OR(
      AND(LEFT(P2334,5)="1-Way", Enginuity!$B$13=1),
      AND(LEFT(P2334,5)="2-Way", OR(Enginuity!$B$13=2, Enginuity!$B$13=4)),
      AND(LEFT(P2334,5)="3-Way", OR(Enginuity!$B$13=3, Enginuity!$B$13=6)),
      AND(P2334="Inner Centre Jamb", OR(Enginuity!$B$13=4, Enginuity!$B$13=6)),
      AND(
        LEFT(P2334,5)&lt;&gt;"1-Way",
        LEFT(P2334,5)&lt;&gt;"2-Way",
        LEFT(P2334,5)&lt;&gt;"3-Way",
        P2334&lt;&gt;"Inner Centre Jamb"
      )
    ),
    IF(OR(Enginuity!$A$1="Frameless Glass",Enginuity!$A$1="Metal Work"),
      AND(TRIM(B2334)=TRIM(Enginuity!$A$17),TRIM(C2334)=TRIM(Enginuity!$A$18)),
      TRIM(B2334)=TRIM(Enginuity!$A$17)
    )
  ),
  ROW(),
  ""
)</f>
        <v/>
      </c>
    </row>
    <row r="2335" spans="1:21" x14ac:dyDescent="0.25">
      <c r="A2335" s="10"/>
      <c r="B2335" s="341"/>
      <c r="C2335" s="10"/>
      <c r="D2335" s="14"/>
      <c r="E2335" s="14"/>
      <c r="F2335" s="10"/>
      <c r="G2335" s="17"/>
      <c r="H2335" s="10"/>
      <c r="I2335" s="17"/>
      <c r="J2335" s="83"/>
      <c r="K2335" s="343"/>
      <c r="L2335" s="347"/>
      <c r="M2335" s="89"/>
      <c r="N2335" s="10"/>
      <c r="O2335" s="22"/>
      <c r="P2335" s="36"/>
      <c r="Q2335" s="98"/>
      <c r="U2335" s="104" t="str">
        <f>IF(
  AND(
    TRIM(A2335)=TRIM(Enginuity!$A$1),
    TRIM(B2335)=TRIM(Enginuity!$A$17),
    Q2335&lt;&gt;"",
    Q2335&lt;&gt;0,
    OR(
      TRIM(C2335)=TRIM(Enginuity!$A$18),
      AND(UPPER(TRIM(M2335))="STD", TRIM(B2335)=TRIM(Enginuity!$A$17))
    ),
    OR(
      AND(LEFT(P2335,5)="1-Way", Enginuity!$B$13=1),
      AND(LEFT(P2335,5)="2-Way", OR(Enginuity!$B$13=2, Enginuity!$B$13=4)),
      AND(LEFT(P2335,5)="3-Way", OR(Enginuity!$B$13=3, Enginuity!$B$13=6)),
      AND(P2335="Inner Centre Jamb", OR(Enginuity!$B$13=4, Enginuity!$B$13=6)),
      AND(
        LEFT(P2335,5)&lt;&gt;"1-Way",
        LEFT(P2335,5)&lt;&gt;"2-Way",
        LEFT(P2335,5)&lt;&gt;"3-Way",
        P2335&lt;&gt;"Inner Centre Jamb"
      )
    ),
    IF(OR(Enginuity!$A$1="Frameless Glass",Enginuity!$A$1="Metal Work"),
      AND(TRIM(B2335)=TRIM(Enginuity!$A$17),TRIM(C2335)=TRIM(Enginuity!$A$18)),
      TRIM(B2335)=TRIM(Enginuity!$A$17)
    )
  ),
  ROW(),
  ""
)</f>
        <v/>
      </c>
    </row>
    <row r="2336" spans="1:21" x14ac:dyDescent="0.25">
      <c r="A2336" s="17"/>
      <c r="B2336" s="340"/>
      <c r="C2336" s="17"/>
      <c r="D2336" s="18"/>
      <c r="E2336" s="18"/>
      <c r="F2336" s="17"/>
      <c r="G2336" s="17"/>
      <c r="H2336" s="17"/>
      <c r="I2336" s="17"/>
      <c r="J2336" s="84"/>
      <c r="K2336" s="343"/>
      <c r="L2336" s="347"/>
      <c r="M2336" s="90"/>
      <c r="N2336" s="17"/>
      <c r="O2336" s="25"/>
      <c r="P2336" s="92"/>
      <c r="Q2336" s="84"/>
      <c r="U2336" s="104" t="str">
        <f>IF(
  AND(
    TRIM(A2336)=TRIM(Enginuity!$A$1),
    TRIM(B2336)=TRIM(Enginuity!$A$17),
    Q2336&lt;&gt;"",
    Q2336&lt;&gt;0,
    OR(
      TRIM(C2336)=TRIM(Enginuity!$A$18),
      AND(UPPER(TRIM(M2336))="STD", TRIM(B2336)=TRIM(Enginuity!$A$17))
    ),
    OR(
      AND(LEFT(P2336,5)="1-Way", Enginuity!$B$13=1),
      AND(LEFT(P2336,5)="2-Way", OR(Enginuity!$B$13=2, Enginuity!$B$13=4)),
      AND(LEFT(P2336,5)="3-Way", OR(Enginuity!$B$13=3, Enginuity!$B$13=6)),
      AND(P2336="Inner Centre Jamb", OR(Enginuity!$B$13=4, Enginuity!$B$13=6)),
      AND(
        LEFT(P2336,5)&lt;&gt;"1-Way",
        LEFT(P2336,5)&lt;&gt;"2-Way",
        LEFT(P2336,5)&lt;&gt;"3-Way",
        P2336&lt;&gt;"Inner Centre Jamb"
      )
    ),
    IF(OR(Enginuity!$A$1="Frameless Glass",Enginuity!$A$1="Metal Work"),
      AND(TRIM(B2336)=TRIM(Enginuity!$A$17),TRIM(C2336)=TRIM(Enginuity!$A$18)),
      TRIM(B2336)=TRIM(Enginuity!$A$17)
    )
  ),
  ROW(),
  ""
)</f>
        <v/>
      </c>
    </row>
    <row r="2337" spans="1:21" x14ac:dyDescent="0.25">
      <c r="A2337" s="10"/>
      <c r="B2337" s="229"/>
      <c r="C2337" s="10"/>
      <c r="D2337" s="86"/>
      <c r="E2337" s="157"/>
      <c r="F2337" s="21"/>
      <c r="G2337" s="17"/>
      <c r="H2337" s="10"/>
      <c r="I2337" s="17"/>
      <c r="J2337" s="83"/>
      <c r="K2337" s="344"/>
      <c r="L2337" s="347"/>
      <c r="M2337" s="12"/>
      <c r="N2337" s="10"/>
      <c r="O2337" s="22"/>
      <c r="P2337" s="112"/>
      <c r="Q2337" s="22"/>
      <c r="U2337" s="104" t="str">
        <f>IF(
  AND(
    TRIM(A2337)=TRIM(Enginuity!$A$1),
    TRIM(B2337)=TRIM(Enginuity!$A$17),
    Q2337&lt;&gt;"",
    Q2337&lt;&gt;0,
    OR(
      TRIM(C2337)=TRIM(Enginuity!$A$18),
      AND(UPPER(TRIM(M2337))="STD", TRIM(B2337)=TRIM(Enginuity!$A$17))
    ),
    OR(
      AND(LEFT(P2337,5)="1-Way", Enginuity!$B$13=1),
      AND(LEFT(P2337,5)="2-Way", OR(Enginuity!$B$13=2, Enginuity!$B$13=4)),
      AND(LEFT(P2337,5)="3-Way", OR(Enginuity!$B$13=3, Enginuity!$B$13=6)),
      AND(P2337="Inner Centre Jamb", OR(Enginuity!$B$13=4, Enginuity!$B$13=6)),
      AND(
        LEFT(P2337,5)&lt;&gt;"1-Way",
        LEFT(P2337,5)&lt;&gt;"2-Way",
        LEFT(P2337,5)&lt;&gt;"3-Way",
        P2337&lt;&gt;"Inner Centre Jamb"
      )
    ),
    IF(OR(Enginuity!$A$1="Frameless Glass",Enginuity!$A$1="Metal Work"),
      AND(TRIM(B2337)=TRIM(Enginuity!$A$17),TRIM(C2337)=TRIM(Enginuity!$A$18)),
      TRIM(B2337)=TRIM(Enginuity!$A$17)
    )
  ),
  ROW(),
  ""
)</f>
        <v/>
      </c>
    </row>
    <row r="2338" spans="1:21" x14ac:dyDescent="0.25">
      <c r="A2338" s="10"/>
      <c r="B2338" s="229"/>
      <c r="C2338" s="10"/>
      <c r="D2338" s="86"/>
      <c r="E2338" s="157"/>
      <c r="F2338" s="14"/>
      <c r="G2338" s="17"/>
      <c r="H2338" s="10"/>
      <c r="I2338" s="17"/>
      <c r="J2338" s="83"/>
      <c r="K2338" s="343"/>
      <c r="L2338" s="347"/>
      <c r="M2338" s="12"/>
      <c r="N2338" s="10"/>
      <c r="O2338" s="22"/>
      <c r="P2338" s="112"/>
      <c r="Q2338" s="22"/>
      <c r="U2338" s="104" t="str">
        <f>IF(
  AND(
    TRIM(A2338)=TRIM(Enginuity!$A$1),
    TRIM(B2338)=TRIM(Enginuity!$A$17),
    Q2338&lt;&gt;"",
    Q2338&lt;&gt;0,
    OR(
      TRIM(C2338)=TRIM(Enginuity!$A$18),
      AND(UPPER(TRIM(M2338))="STD", TRIM(B2338)=TRIM(Enginuity!$A$17))
    ),
    OR(
      AND(LEFT(P2338,5)="1-Way", Enginuity!$B$13=1),
      AND(LEFT(P2338,5)="2-Way", OR(Enginuity!$B$13=2, Enginuity!$B$13=4)),
      AND(LEFT(P2338,5)="3-Way", OR(Enginuity!$B$13=3, Enginuity!$B$13=6)),
      AND(P2338="Inner Centre Jamb", OR(Enginuity!$B$13=4, Enginuity!$B$13=6)),
      AND(
        LEFT(P2338,5)&lt;&gt;"1-Way",
        LEFT(P2338,5)&lt;&gt;"2-Way",
        LEFT(P2338,5)&lt;&gt;"3-Way",
        P2338&lt;&gt;"Inner Centre Jamb"
      )
    ),
    IF(OR(Enginuity!$A$1="Frameless Glass",Enginuity!$A$1="Metal Work"),
      AND(TRIM(B2338)=TRIM(Enginuity!$A$17),TRIM(C2338)=TRIM(Enginuity!$A$18)),
      TRIM(B2338)=TRIM(Enginuity!$A$17)
    )
  ),
  ROW(),
  ""
)</f>
        <v/>
      </c>
    </row>
    <row r="2339" spans="1:21" x14ac:dyDescent="0.25">
      <c r="A2339" s="10"/>
      <c r="B2339" s="229"/>
      <c r="C2339" s="10"/>
      <c r="D2339" s="86"/>
      <c r="E2339" s="160"/>
      <c r="F2339" s="14"/>
      <c r="G2339" s="17"/>
      <c r="H2339" s="10"/>
      <c r="I2339" s="17"/>
      <c r="J2339" s="83"/>
      <c r="K2339" s="343"/>
      <c r="L2339" s="347"/>
      <c r="M2339" s="89"/>
      <c r="N2339" s="10"/>
      <c r="O2339" s="22"/>
      <c r="P2339" s="112"/>
      <c r="Q2339" s="22"/>
      <c r="U2339" s="104" t="str">
        <f>IF(
  AND(
    TRIM(A2339)=TRIM(Enginuity!$A$1),
    TRIM(B2339)=TRIM(Enginuity!$A$17),
    Q2339&lt;&gt;"",
    Q2339&lt;&gt;0,
    OR(
      TRIM(C2339)=TRIM(Enginuity!$A$18),
      AND(UPPER(TRIM(M2339))="STD", TRIM(B2339)=TRIM(Enginuity!$A$17))
    ),
    OR(
      AND(LEFT(P2339,5)="1-Way", Enginuity!$B$13=1),
      AND(LEFT(P2339,5)="2-Way", OR(Enginuity!$B$13=2, Enginuity!$B$13=4)),
      AND(LEFT(P2339,5)="3-Way", OR(Enginuity!$B$13=3, Enginuity!$B$13=6)),
      AND(P2339="Inner Centre Jamb", OR(Enginuity!$B$13=4, Enginuity!$B$13=6)),
      AND(
        LEFT(P2339,5)&lt;&gt;"1-Way",
        LEFT(P2339,5)&lt;&gt;"2-Way",
        LEFT(P2339,5)&lt;&gt;"3-Way",
        P2339&lt;&gt;"Inner Centre Jamb"
      )
    ),
    IF(OR(Enginuity!$A$1="Frameless Glass",Enginuity!$A$1="Metal Work"),
      AND(TRIM(B2339)=TRIM(Enginuity!$A$17),TRIM(C2339)=TRIM(Enginuity!$A$18)),
      TRIM(B2339)=TRIM(Enginuity!$A$17)
    )
  ),
  ROW(),
  ""
)</f>
        <v/>
      </c>
    </row>
    <row r="2340" spans="1:21" x14ac:dyDescent="0.25">
      <c r="A2340" s="10"/>
      <c r="B2340" s="229"/>
      <c r="C2340" s="10"/>
      <c r="D2340" s="86"/>
      <c r="E2340" s="160"/>
      <c r="F2340" s="36"/>
      <c r="G2340" s="17"/>
      <c r="H2340" s="10"/>
      <c r="I2340" s="17"/>
      <c r="J2340" s="83"/>
      <c r="K2340" s="343"/>
      <c r="L2340" s="347"/>
      <c r="M2340" s="12"/>
      <c r="N2340" s="10"/>
      <c r="O2340" s="22"/>
      <c r="P2340" s="112"/>
      <c r="Q2340" s="22"/>
      <c r="U2340" s="104" t="str">
        <f>IF(
  AND(
    TRIM(A2340)=TRIM(Enginuity!$A$1),
    TRIM(B2340)=TRIM(Enginuity!$A$17),
    Q2340&lt;&gt;"",
    Q2340&lt;&gt;0,
    OR(
      TRIM(C2340)=TRIM(Enginuity!$A$18),
      AND(UPPER(TRIM(M2340))="STD", TRIM(B2340)=TRIM(Enginuity!$A$17))
    ),
    OR(
      AND(LEFT(P2340,5)="1-Way", Enginuity!$B$13=1),
      AND(LEFT(P2340,5)="2-Way", OR(Enginuity!$B$13=2, Enginuity!$B$13=4)),
      AND(LEFT(P2340,5)="3-Way", OR(Enginuity!$B$13=3, Enginuity!$B$13=6)),
      AND(P2340="Inner Centre Jamb", OR(Enginuity!$B$13=4, Enginuity!$B$13=6)),
      AND(
        LEFT(P2340,5)&lt;&gt;"1-Way",
        LEFT(P2340,5)&lt;&gt;"2-Way",
        LEFT(P2340,5)&lt;&gt;"3-Way",
        P2340&lt;&gt;"Inner Centre Jamb"
      )
    ),
    IF(OR(Enginuity!$A$1="Frameless Glass",Enginuity!$A$1="Metal Work"),
      AND(TRIM(B2340)=TRIM(Enginuity!$A$17),TRIM(C2340)=TRIM(Enginuity!$A$18)),
      TRIM(B2340)=TRIM(Enginuity!$A$17)
    )
  ),
  ROW(),
  ""
)</f>
        <v/>
      </c>
    </row>
    <row r="2341" spans="1:21" x14ac:dyDescent="0.25">
      <c r="A2341" s="10"/>
      <c r="B2341" s="229"/>
      <c r="C2341" s="112"/>
      <c r="D2341" s="86"/>
      <c r="E2341" s="339"/>
      <c r="F2341" s="14"/>
      <c r="G2341" s="17"/>
      <c r="H2341" s="10"/>
      <c r="I2341" s="17"/>
      <c r="J2341" s="83"/>
      <c r="K2341" s="344"/>
      <c r="L2341" s="347"/>
      <c r="M2341" s="12"/>
      <c r="N2341" s="10"/>
      <c r="O2341" s="22"/>
      <c r="P2341" s="112"/>
      <c r="Q2341" s="22"/>
      <c r="U2341" s="104" t="str">
        <f>IF(
  AND(
    TRIM(A2341)=TRIM(Enginuity!$A$1),
    TRIM(B2341)=TRIM(Enginuity!$A$17),
    Q2341&lt;&gt;"",
    Q2341&lt;&gt;0,
    OR(
      TRIM(C2341)=TRIM(Enginuity!$A$18),
      AND(UPPER(TRIM(M2341))="STD", TRIM(B2341)=TRIM(Enginuity!$A$17))
    ),
    OR(
      AND(LEFT(P2341,5)="1-Way", Enginuity!$B$13=1),
      AND(LEFT(P2341,5)="2-Way", OR(Enginuity!$B$13=2, Enginuity!$B$13=4)),
      AND(LEFT(P2341,5)="3-Way", OR(Enginuity!$B$13=3, Enginuity!$B$13=6)),
      AND(P2341="Inner Centre Jamb", OR(Enginuity!$B$13=4, Enginuity!$B$13=6)),
      AND(
        LEFT(P2341,5)&lt;&gt;"1-Way",
        LEFT(P2341,5)&lt;&gt;"2-Way",
        LEFT(P2341,5)&lt;&gt;"3-Way",
        P2341&lt;&gt;"Inner Centre Jamb"
      )
    ),
    IF(OR(Enginuity!$A$1="Frameless Glass",Enginuity!$A$1="Metal Work"),
      AND(TRIM(B2341)=TRIM(Enginuity!$A$17),TRIM(C2341)=TRIM(Enginuity!$A$18)),
      TRIM(B2341)=TRIM(Enginuity!$A$17)
    )
  ),
  ROW(),
  ""
)</f>
        <v/>
      </c>
    </row>
    <row r="2342" spans="1:21" x14ac:dyDescent="0.25">
      <c r="A2342" s="10"/>
      <c r="B2342" s="229"/>
      <c r="C2342" s="10"/>
      <c r="D2342" s="86"/>
      <c r="E2342" s="157"/>
      <c r="F2342" s="14"/>
      <c r="G2342" s="17"/>
      <c r="H2342" s="10"/>
      <c r="I2342" s="17"/>
      <c r="J2342" s="83"/>
      <c r="K2342" s="343"/>
      <c r="L2342" s="347"/>
      <c r="M2342" s="12"/>
      <c r="N2342" s="10"/>
      <c r="O2342" s="22"/>
      <c r="P2342" s="112"/>
      <c r="Q2342" s="22"/>
      <c r="U2342" s="104" t="str">
        <f>IF(
  AND(
    TRIM(A2342)=TRIM(Enginuity!$A$1),
    TRIM(B2342)=TRIM(Enginuity!$A$17),
    Q2342&lt;&gt;"",
    Q2342&lt;&gt;0,
    OR(
      TRIM(C2342)=TRIM(Enginuity!$A$18),
      AND(UPPER(TRIM(M2342))="STD", TRIM(B2342)=TRIM(Enginuity!$A$17))
    ),
    OR(
      AND(LEFT(P2342,5)="1-Way", Enginuity!$B$13=1),
      AND(LEFT(P2342,5)="2-Way", OR(Enginuity!$B$13=2, Enginuity!$B$13=4)),
      AND(LEFT(P2342,5)="3-Way", OR(Enginuity!$B$13=3, Enginuity!$B$13=6)),
      AND(P2342="Inner Centre Jamb", OR(Enginuity!$B$13=4, Enginuity!$B$13=6)),
      AND(
        LEFT(P2342,5)&lt;&gt;"1-Way",
        LEFT(P2342,5)&lt;&gt;"2-Way",
        LEFT(P2342,5)&lt;&gt;"3-Way",
        P2342&lt;&gt;"Inner Centre Jamb"
      )
    ),
    IF(OR(Enginuity!$A$1="Frameless Glass",Enginuity!$A$1="Metal Work"),
      AND(TRIM(B2342)=TRIM(Enginuity!$A$17),TRIM(C2342)=TRIM(Enginuity!$A$18)),
      TRIM(B2342)=TRIM(Enginuity!$A$17)
    )
  ),
  ROW(),
  ""
)</f>
        <v/>
      </c>
    </row>
    <row r="2343" spans="1:21" x14ac:dyDescent="0.25">
      <c r="A2343" s="10"/>
      <c r="B2343" s="341"/>
      <c r="C2343" s="10"/>
      <c r="D2343" s="86"/>
      <c r="E2343" s="14"/>
      <c r="F2343" s="21"/>
      <c r="G2343" s="17"/>
      <c r="H2343" s="10"/>
      <c r="I2343" s="17"/>
      <c r="J2343" s="83"/>
      <c r="K2343" s="343"/>
      <c r="L2343" s="347"/>
      <c r="M2343" s="12"/>
      <c r="N2343" s="10"/>
      <c r="O2343" s="22"/>
      <c r="P2343" s="108"/>
      <c r="Q2343" s="22"/>
      <c r="U2343" s="104" t="str">
        <f>IF(
  AND(
    TRIM(A2343)=TRIM(Enginuity!$A$1),
    TRIM(B2343)=TRIM(Enginuity!$A$17),
    Q2343&lt;&gt;"",
    Q2343&lt;&gt;0,
    OR(
      TRIM(C2343)=TRIM(Enginuity!$A$18),
      AND(UPPER(TRIM(M2343))="STD", TRIM(B2343)=TRIM(Enginuity!$A$17))
    ),
    OR(
      AND(LEFT(P2343,5)="1-Way", Enginuity!$B$13=1),
      AND(LEFT(P2343,5)="2-Way", OR(Enginuity!$B$13=2, Enginuity!$B$13=4)),
      AND(LEFT(P2343,5)="3-Way", OR(Enginuity!$B$13=3, Enginuity!$B$13=6)),
      AND(P2343="Inner Centre Jamb", OR(Enginuity!$B$13=4, Enginuity!$B$13=6)),
      AND(
        LEFT(P2343,5)&lt;&gt;"1-Way",
        LEFT(P2343,5)&lt;&gt;"2-Way",
        LEFT(P2343,5)&lt;&gt;"3-Way",
        P2343&lt;&gt;"Inner Centre Jamb"
      )
    ),
    IF(OR(Enginuity!$A$1="Frameless Glass",Enginuity!$A$1="Metal Work"),
      AND(TRIM(B2343)=TRIM(Enginuity!$A$17),TRIM(C2343)=TRIM(Enginuity!$A$18)),
      TRIM(B2343)=TRIM(Enginuity!$A$17)
    )
  ),
  ROW(),
  ""
)</f>
        <v/>
      </c>
    </row>
    <row r="2344" spans="1:21" x14ac:dyDescent="0.25">
      <c r="A2344" s="10"/>
      <c r="B2344" s="341"/>
      <c r="C2344" s="10"/>
      <c r="D2344" s="86"/>
      <c r="E2344" s="14"/>
      <c r="F2344" s="21"/>
      <c r="G2344" s="17"/>
      <c r="H2344" s="10"/>
      <c r="I2344" s="17"/>
      <c r="J2344" s="83"/>
      <c r="K2344" s="343"/>
      <c r="L2344" s="347"/>
      <c r="M2344" s="12"/>
      <c r="N2344" s="10"/>
      <c r="O2344" s="22"/>
      <c r="P2344" s="106"/>
      <c r="Q2344" s="22"/>
      <c r="U2344" s="104" t="str">
        <f>IF(
  AND(
    TRIM(A2344)=TRIM(Enginuity!$A$1),
    TRIM(B2344)=TRIM(Enginuity!$A$17),
    Q2344&lt;&gt;"",
    Q2344&lt;&gt;0,
    OR(
      TRIM(C2344)=TRIM(Enginuity!$A$18),
      AND(UPPER(TRIM(M2344))="STD", TRIM(B2344)=TRIM(Enginuity!$A$17))
    ),
    OR(
      AND(LEFT(P2344,5)="1-Way", Enginuity!$B$13=1),
      AND(LEFT(P2344,5)="2-Way", OR(Enginuity!$B$13=2, Enginuity!$B$13=4)),
      AND(LEFT(P2344,5)="3-Way", OR(Enginuity!$B$13=3, Enginuity!$B$13=6)),
      AND(P2344="Inner Centre Jamb", OR(Enginuity!$B$13=4, Enginuity!$B$13=6)),
      AND(
        LEFT(P2344,5)&lt;&gt;"1-Way",
        LEFT(P2344,5)&lt;&gt;"2-Way",
        LEFT(P2344,5)&lt;&gt;"3-Way",
        P2344&lt;&gt;"Inner Centre Jamb"
      )
    ),
    IF(OR(Enginuity!$A$1="Frameless Glass",Enginuity!$A$1="Metal Work"),
      AND(TRIM(B2344)=TRIM(Enginuity!$A$17),TRIM(C2344)=TRIM(Enginuity!$A$18)),
      TRIM(B2344)=TRIM(Enginuity!$A$17)
    )
  ),
  ROW(),
  ""
)</f>
        <v/>
      </c>
    </row>
    <row r="2345" spans="1:21" x14ac:dyDescent="0.25">
      <c r="A2345" s="10"/>
      <c r="B2345" s="341"/>
      <c r="C2345" s="10"/>
      <c r="D2345" s="14"/>
      <c r="E2345" s="14"/>
      <c r="F2345" s="10"/>
      <c r="G2345" s="17"/>
      <c r="H2345" s="10"/>
      <c r="I2345" s="17"/>
      <c r="J2345" s="83"/>
      <c r="K2345" s="343"/>
      <c r="L2345" s="347"/>
      <c r="M2345" s="89"/>
      <c r="N2345" s="10"/>
      <c r="O2345" s="22"/>
      <c r="P2345" s="36"/>
      <c r="Q2345" s="98"/>
      <c r="U2345" s="104" t="str">
        <f>IF(
  AND(
    TRIM(A2345)=TRIM(Enginuity!$A$1),
    TRIM(B2345)=TRIM(Enginuity!$A$17),
    Q2345&lt;&gt;"",
    Q2345&lt;&gt;0,
    OR(
      TRIM(C2345)=TRIM(Enginuity!$A$18),
      AND(UPPER(TRIM(M2345))="STD", TRIM(B2345)=TRIM(Enginuity!$A$17))
    ),
    OR(
      AND(LEFT(P2345,5)="1-Way", Enginuity!$B$13=1),
      AND(LEFT(P2345,5)="2-Way", OR(Enginuity!$B$13=2, Enginuity!$B$13=4)),
      AND(LEFT(P2345,5)="3-Way", OR(Enginuity!$B$13=3, Enginuity!$B$13=6)),
      AND(P2345="Inner Centre Jamb", OR(Enginuity!$B$13=4, Enginuity!$B$13=6)),
      AND(
        LEFT(P2345,5)&lt;&gt;"1-Way",
        LEFT(P2345,5)&lt;&gt;"2-Way",
        LEFT(P2345,5)&lt;&gt;"3-Way",
        P2345&lt;&gt;"Inner Centre Jamb"
      )
    ),
    IF(OR(Enginuity!$A$1="Frameless Glass",Enginuity!$A$1="Metal Work"),
      AND(TRIM(B2345)=TRIM(Enginuity!$A$17),TRIM(C2345)=TRIM(Enginuity!$A$18)),
      TRIM(B2345)=TRIM(Enginuity!$A$17)
    )
  ),
  ROW(),
  ""
)</f>
        <v/>
      </c>
    </row>
    <row r="2346" spans="1:21" x14ac:dyDescent="0.25">
      <c r="A2346" s="10"/>
      <c r="B2346" s="341"/>
      <c r="C2346" s="10"/>
      <c r="D2346" s="14"/>
      <c r="E2346" s="14"/>
      <c r="F2346" s="10"/>
      <c r="G2346" s="17"/>
      <c r="H2346" s="10"/>
      <c r="I2346" s="17"/>
      <c r="J2346" s="83"/>
      <c r="K2346" s="343"/>
      <c r="L2346" s="347"/>
      <c r="M2346" s="89"/>
      <c r="N2346" s="10"/>
      <c r="O2346" s="22"/>
      <c r="P2346" s="36"/>
      <c r="Q2346" s="98"/>
      <c r="U2346" s="104" t="str">
        <f>IF(
  AND(
    TRIM(A2346)=TRIM(Enginuity!$A$1),
    TRIM(B2346)=TRIM(Enginuity!$A$17),
    Q2346&lt;&gt;"",
    Q2346&lt;&gt;0,
    OR(
      TRIM(C2346)=TRIM(Enginuity!$A$18),
      AND(UPPER(TRIM(M2346))="STD", TRIM(B2346)=TRIM(Enginuity!$A$17))
    ),
    OR(
      AND(LEFT(P2346,5)="1-Way", Enginuity!$B$13=1),
      AND(LEFT(P2346,5)="2-Way", OR(Enginuity!$B$13=2, Enginuity!$B$13=4)),
      AND(LEFT(P2346,5)="3-Way", OR(Enginuity!$B$13=3, Enginuity!$B$13=6)),
      AND(P2346="Inner Centre Jamb", OR(Enginuity!$B$13=4, Enginuity!$B$13=6)),
      AND(
        LEFT(P2346,5)&lt;&gt;"1-Way",
        LEFT(P2346,5)&lt;&gt;"2-Way",
        LEFT(P2346,5)&lt;&gt;"3-Way",
        P2346&lt;&gt;"Inner Centre Jamb"
      )
    ),
    IF(OR(Enginuity!$A$1="Frameless Glass",Enginuity!$A$1="Metal Work"),
      AND(TRIM(B2346)=TRIM(Enginuity!$A$17),TRIM(C2346)=TRIM(Enginuity!$A$18)),
      TRIM(B2346)=TRIM(Enginuity!$A$17)
    )
  ),
  ROW(),
  ""
)</f>
        <v/>
      </c>
    </row>
    <row r="2347" spans="1:21" x14ac:dyDescent="0.25">
      <c r="A2347" s="10"/>
      <c r="B2347" s="341"/>
      <c r="C2347" s="10"/>
      <c r="D2347" s="14"/>
      <c r="E2347" s="14"/>
      <c r="F2347" s="10"/>
      <c r="G2347" s="17"/>
      <c r="H2347" s="10"/>
      <c r="I2347" s="17"/>
      <c r="J2347" s="83"/>
      <c r="K2347" s="343"/>
      <c r="L2347" s="347"/>
      <c r="M2347" s="89"/>
      <c r="N2347" s="10"/>
      <c r="O2347" s="22"/>
      <c r="P2347" s="36"/>
      <c r="Q2347" s="98"/>
      <c r="U2347" s="104" t="str">
        <f>IF(
  AND(
    TRIM(A2347)=TRIM(Enginuity!$A$1),
    TRIM(B2347)=TRIM(Enginuity!$A$17),
    Q2347&lt;&gt;"",
    Q2347&lt;&gt;0,
    OR(
      TRIM(C2347)=TRIM(Enginuity!$A$18),
      AND(UPPER(TRIM(M2347))="STD", TRIM(B2347)=TRIM(Enginuity!$A$17))
    ),
    OR(
      AND(LEFT(P2347,5)="1-Way", Enginuity!$B$13=1),
      AND(LEFT(P2347,5)="2-Way", OR(Enginuity!$B$13=2, Enginuity!$B$13=4)),
      AND(LEFT(P2347,5)="3-Way", OR(Enginuity!$B$13=3, Enginuity!$B$13=6)),
      AND(P2347="Inner Centre Jamb", OR(Enginuity!$B$13=4, Enginuity!$B$13=6)),
      AND(
        LEFT(P2347,5)&lt;&gt;"1-Way",
        LEFT(P2347,5)&lt;&gt;"2-Way",
        LEFT(P2347,5)&lt;&gt;"3-Way",
        P2347&lt;&gt;"Inner Centre Jamb"
      )
    ),
    IF(OR(Enginuity!$A$1="Frameless Glass",Enginuity!$A$1="Metal Work"),
      AND(TRIM(B2347)=TRIM(Enginuity!$A$17),TRIM(C2347)=TRIM(Enginuity!$A$18)),
      TRIM(B2347)=TRIM(Enginuity!$A$17)
    )
  ),
  ROW(),
  ""
)</f>
        <v/>
      </c>
    </row>
    <row r="2348" spans="1:21" x14ac:dyDescent="0.25">
      <c r="A2348" s="10"/>
      <c r="B2348" s="341"/>
      <c r="C2348" s="10"/>
      <c r="D2348" s="14"/>
      <c r="E2348" s="14"/>
      <c r="F2348" s="10"/>
      <c r="G2348" s="17"/>
      <c r="H2348" s="10"/>
      <c r="I2348" s="17"/>
      <c r="J2348" s="83"/>
      <c r="K2348" s="343"/>
      <c r="L2348" s="347"/>
      <c r="M2348" s="89"/>
      <c r="N2348" s="10"/>
      <c r="O2348" s="22"/>
      <c r="P2348" s="36"/>
      <c r="Q2348" s="98"/>
      <c r="U2348" s="104" t="str">
        <f>IF(
  AND(
    TRIM(A2348)=TRIM(Enginuity!$A$1),
    TRIM(B2348)=TRIM(Enginuity!$A$17),
    Q2348&lt;&gt;"",
    Q2348&lt;&gt;0,
    OR(
      TRIM(C2348)=TRIM(Enginuity!$A$18),
      AND(UPPER(TRIM(M2348))="STD", TRIM(B2348)=TRIM(Enginuity!$A$17))
    ),
    OR(
      AND(LEFT(P2348,5)="1-Way", Enginuity!$B$13=1),
      AND(LEFT(P2348,5)="2-Way", OR(Enginuity!$B$13=2, Enginuity!$B$13=4)),
      AND(LEFT(P2348,5)="3-Way", OR(Enginuity!$B$13=3, Enginuity!$B$13=6)),
      AND(P2348="Inner Centre Jamb", OR(Enginuity!$B$13=4, Enginuity!$B$13=6)),
      AND(
        LEFT(P2348,5)&lt;&gt;"1-Way",
        LEFT(P2348,5)&lt;&gt;"2-Way",
        LEFT(P2348,5)&lt;&gt;"3-Way",
        P2348&lt;&gt;"Inner Centre Jamb"
      )
    ),
    IF(OR(Enginuity!$A$1="Frameless Glass",Enginuity!$A$1="Metal Work"),
      AND(TRIM(B2348)=TRIM(Enginuity!$A$17),TRIM(C2348)=TRIM(Enginuity!$A$18)),
      TRIM(B2348)=TRIM(Enginuity!$A$17)
    )
  ),
  ROW(),
  ""
)</f>
        <v/>
      </c>
    </row>
    <row r="2349" spans="1:21" x14ac:dyDescent="0.25">
      <c r="A2349" s="10"/>
      <c r="B2349" s="341"/>
      <c r="C2349" s="10"/>
      <c r="D2349" s="14"/>
      <c r="E2349" s="14"/>
      <c r="F2349" s="10"/>
      <c r="G2349" s="17"/>
      <c r="H2349" s="10"/>
      <c r="I2349" s="17"/>
      <c r="J2349" s="83"/>
      <c r="K2349" s="343"/>
      <c r="L2349" s="347"/>
      <c r="M2349" s="89"/>
      <c r="N2349" s="10"/>
      <c r="O2349" s="22"/>
      <c r="P2349" s="36"/>
      <c r="Q2349" s="98"/>
      <c r="U2349" s="104" t="str">
        <f>IF(
  AND(
    TRIM(A2349)=TRIM(Enginuity!$A$1),
    TRIM(B2349)=TRIM(Enginuity!$A$17),
    Q2349&lt;&gt;"",
    Q2349&lt;&gt;0,
    OR(
      TRIM(C2349)=TRIM(Enginuity!$A$18),
      AND(UPPER(TRIM(M2349))="STD", TRIM(B2349)=TRIM(Enginuity!$A$17))
    ),
    OR(
      AND(LEFT(P2349,5)="1-Way", Enginuity!$B$13=1),
      AND(LEFT(P2349,5)="2-Way", OR(Enginuity!$B$13=2, Enginuity!$B$13=4)),
      AND(LEFT(P2349,5)="3-Way", OR(Enginuity!$B$13=3, Enginuity!$B$13=6)),
      AND(P2349="Inner Centre Jamb", OR(Enginuity!$B$13=4, Enginuity!$B$13=6)),
      AND(
        LEFT(P2349,5)&lt;&gt;"1-Way",
        LEFT(P2349,5)&lt;&gt;"2-Way",
        LEFT(P2349,5)&lt;&gt;"3-Way",
        P2349&lt;&gt;"Inner Centre Jamb"
      )
    ),
    IF(OR(Enginuity!$A$1="Frameless Glass",Enginuity!$A$1="Metal Work"),
      AND(TRIM(B2349)=TRIM(Enginuity!$A$17),TRIM(C2349)=TRIM(Enginuity!$A$18)),
      TRIM(B2349)=TRIM(Enginuity!$A$17)
    )
  ),
  ROW(),
  ""
)</f>
        <v/>
      </c>
    </row>
    <row r="2350" spans="1:21" x14ac:dyDescent="0.25">
      <c r="A2350" s="10"/>
      <c r="B2350" s="341"/>
      <c r="C2350" s="10"/>
      <c r="D2350" s="14"/>
      <c r="E2350" s="14"/>
      <c r="F2350" s="10"/>
      <c r="G2350" s="17"/>
      <c r="H2350" s="10"/>
      <c r="I2350" s="17"/>
      <c r="J2350" s="83"/>
      <c r="K2350" s="343"/>
      <c r="L2350" s="347"/>
      <c r="M2350" s="89"/>
      <c r="N2350" s="10"/>
      <c r="O2350" s="22"/>
      <c r="P2350" s="36"/>
      <c r="Q2350" s="98"/>
      <c r="U2350" s="104" t="str">
        <f>IF(
  AND(
    TRIM(A2350)=TRIM(Enginuity!$A$1),
    TRIM(B2350)=TRIM(Enginuity!$A$17),
    Q2350&lt;&gt;"",
    Q2350&lt;&gt;0,
    OR(
      TRIM(C2350)=TRIM(Enginuity!$A$18),
      AND(UPPER(TRIM(M2350))="STD", TRIM(B2350)=TRIM(Enginuity!$A$17))
    ),
    OR(
      AND(LEFT(P2350,5)="1-Way", Enginuity!$B$13=1),
      AND(LEFT(P2350,5)="2-Way", OR(Enginuity!$B$13=2, Enginuity!$B$13=4)),
      AND(LEFT(P2350,5)="3-Way", OR(Enginuity!$B$13=3, Enginuity!$B$13=6)),
      AND(P2350="Inner Centre Jamb", OR(Enginuity!$B$13=4, Enginuity!$B$13=6)),
      AND(
        LEFT(P2350,5)&lt;&gt;"1-Way",
        LEFT(P2350,5)&lt;&gt;"2-Way",
        LEFT(P2350,5)&lt;&gt;"3-Way",
        P2350&lt;&gt;"Inner Centre Jamb"
      )
    ),
    IF(OR(Enginuity!$A$1="Frameless Glass",Enginuity!$A$1="Metal Work"),
      AND(TRIM(B2350)=TRIM(Enginuity!$A$17),TRIM(C2350)=TRIM(Enginuity!$A$18)),
      TRIM(B2350)=TRIM(Enginuity!$A$17)
    )
  ),
  ROW(),
  ""
)</f>
        <v/>
      </c>
    </row>
    <row r="2351" spans="1:21" x14ac:dyDescent="0.25">
      <c r="A2351" s="10"/>
      <c r="B2351" s="229"/>
      <c r="C2351" s="10"/>
      <c r="D2351" s="86"/>
      <c r="E2351" s="157"/>
      <c r="F2351" s="21"/>
      <c r="G2351" s="17"/>
      <c r="H2351" s="10"/>
      <c r="I2351" s="17"/>
      <c r="J2351" s="83"/>
      <c r="K2351" s="344"/>
      <c r="L2351" s="347"/>
      <c r="M2351" s="12"/>
      <c r="N2351" s="10"/>
      <c r="O2351" s="22"/>
      <c r="P2351" s="112"/>
      <c r="Q2351" s="22"/>
      <c r="U2351" s="104" t="str">
        <f>IF(
  AND(
    TRIM(A2351)=TRIM(Enginuity!$A$1),
    TRIM(B2351)=TRIM(Enginuity!$A$17),
    Q2351&lt;&gt;"",
    Q2351&lt;&gt;0,
    OR(
      TRIM(C2351)=TRIM(Enginuity!$A$18),
      AND(UPPER(TRIM(M2351))="STD", TRIM(B2351)=TRIM(Enginuity!$A$17))
    ),
    OR(
      AND(LEFT(P2351,5)="1-Way", Enginuity!$B$13=1),
      AND(LEFT(P2351,5)="2-Way", OR(Enginuity!$B$13=2, Enginuity!$B$13=4)),
      AND(LEFT(P2351,5)="3-Way", OR(Enginuity!$B$13=3, Enginuity!$B$13=6)),
      AND(P2351="Inner Centre Jamb", OR(Enginuity!$B$13=4, Enginuity!$B$13=6)),
      AND(
        LEFT(P2351,5)&lt;&gt;"1-Way",
        LEFT(P2351,5)&lt;&gt;"2-Way",
        LEFT(P2351,5)&lt;&gt;"3-Way",
        P2351&lt;&gt;"Inner Centre Jamb"
      )
    ),
    IF(OR(Enginuity!$A$1="Frameless Glass",Enginuity!$A$1="Metal Work"),
      AND(TRIM(B2351)=TRIM(Enginuity!$A$17),TRIM(C2351)=TRIM(Enginuity!$A$18)),
      TRIM(B2351)=TRIM(Enginuity!$A$17)
    )
  ),
  ROW(),
  ""
)</f>
        <v/>
      </c>
    </row>
    <row r="2352" spans="1:21" x14ac:dyDescent="0.25">
      <c r="A2352" s="10"/>
      <c r="B2352" s="229"/>
      <c r="C2352" s="10"/>
      <c r="D2352" s="86"/>
      <c r="E2352" s="157"/>
      <c r="F2352" s="14"/>
      <c r="G2352" s="17"/>
      <c r="H2352" s="10"/>
      <c r="I2352" s="17"/>
      <c r="J2352" s="83"/>
      <c r="K2352" s="343"/>
      <c r="L2352" s="347"/>
      <c r="M2352" s="12"/>
      <c r="N2352" s="10"/>
      <c r="O2352" s="22"/>
      <c r="P2352" s="112"/>
      <c r="Q2352" s="22"/>
      <c r="U2352" s="104" t="str">
        <f>IF(
  AND(
    TRIM(A2352)=TRIM(Enginuity!$A$1),
    TRIM(B2352)=TRIM(Enginuity!$A$17),
    Q2352&lt;&gt;"",
    Q2352&lt;&gt;0,
    OR(
      TRIM(C2352)=TRIM(Enginuity!$A$18),
      AND(UPPER(TRIM(M2352))="STD", TRIM(B2352)=TRIM(Enginuity!$A$17))
    ),
    OR(
      AND(LEFT(P2352,5)="1-Way", Enginuity!$B$13=1),
      AND(LEFT(P2352,5)="2-Way", OR(Enginuity!$B$13=2, Enginuity!$B$13=4)),
      AND(LEFT(P2352,5)="3-Way", OR(Enginuity!$B$13=3, Enginuity!$B$13=6)),
      AND(P2352="Inner Centre Jamb", OR(Enginuity!$B$13=4, Enginuity!$B$13=6)),
      AND(
        LEFT(P2352,5)&lt;&gt;"1-Way",
        LEFT(P2352,5)&lt;&gt;"2-Way",
        LEFT(P2352,5)&lt;&gt;"3-Way",
        P2352&lt;&gt;"Inner Centre Jamb"
      )
    ),
    IF(OR(Enginuity!$A$1="Frameless Glass",Enginuity!$A$1="Metal Work"),
      AND(TRIM(B2352)=TRIM(Enginuity!$A$17),TRIM(C2352)=TRIM(Enginuity!$A$18)),
      TRIM(B2352)=TRIM(Enginuity!$A$17)
    )
  ),
  ROW(),
  ""
)</f>
        <v/>
      </c>
    </row>
    <row r="2353" spans="1:21" x14ac:dyDescent="0.25">
      <c r="A2353" s="10"/>
      <c r="B2353" s="229"/>
      <c r="C2353" s="10"/>
      <c r="D2353" s="86"/>
      <c r="E2353" s="160"/>
      <c r="F2353" s="14"/>
      <c r="G2353" s="17"/>
      <c r="H2353" s="10"/>
      <c r="I2353" s="17"/>
      <c r="J2353" s="83"/>
      <c r="K2353" s="343"/>
      <c r="L2353" s="347"/>
      <c r="M2353" s="89"/>
      <c r="N2353" s="10"/>
      <c r="O2353" s="22"/>
      <c r="P2353" s="112"/>
      <c r="Q2353" s="22"/>
      <c r="U2353" s="104" t="str">
        <f>IF(
  AND(
    TRIM(A2353)=TRIM(Enginuity!$A$1),
    TRIM(B2353)=TRIM(Enginuity!$A$17),
    Q2353&lt;&gt;"",
    Q2353&lt;&gt;0,
    OR(
      TRIM(C2353)=TRIM(Enginuity!$A$18),
      AND(UPPER(TRIM(M2353))="STD", TRIM(B2353)=TRIM(Enginuity!$A$17))
    ),
    OR(
      AND(LEFT(P2353,5)="1-Way", Enginuity!$B$13=1),
      AND(LEFT(P2353,5)="2-Way", OR(Enginuity!$B$13=2, Enginuity!$B$13=4)),
      AND(LEFT(P2353,5)="3-Way", OR(Enginuity!$B$13=3, Enginuity!$B$13=6)),
      AND(P2353="Inner Centre Jamb", OR(Enginuity!$B$13=4, Enginuity!$B$13=6)),
      AND(
        LEFT(P2353,5)&lt;&gt;"1-Way",
        LEFT(P2353,5)&lt;&gt;"2-Way",
        LEFT(P2353,5)&lt;&gt;"3-Way",
        P2353&lt;&gt;"Inner Centre Jamb"
      )
    ),
    IF(OR(Enginuity!$A$1="Frameless Glass",Enginuity!$A$1="Metal Work"),
      AND(TRIM(B2353)=TRIM(Enginuity!$A$17),TRIM(C2353)=TRIM(Enginuity!$A$18)),
      TRIM(B2353)=TRIM(Enginuity!$A$17)
    )
  ),
  ROW(),
  ""
)</f>
        <v/>
      </c>
    </row>
    <row r="2354" spans="1:21" x14ac:dyDescent="0.25">
      <c r="A2354" s="10"/>
      <c r="B2354" s="229"/>
      <c r="C2354" s="10"/>
      <c r="D2354" s="86"/>
      <c r="E2354" s="160"/>
      <c r="F2354" s="36"/>
      <c r="G2354" s="17"/>
      <c r="H2354" s="10"/>
      <c r="I2354" s="17"/>
      <c r="J2354" s="83"/>
      <c r="K2354" s="343"/>
      <c r="L2354" s="347"/>
      <c r="M2354" s="12"/>
      <c r="N2354" s="10"/>
      <c r="O2354" s="22"/>
      <c r="P2354" s="112"/>
      <c r="Q2354" s="22"/>
      <c r="U2354" s="104" t="str">
        <f>IF(
  AND(
    TRIM(A2354)=TRIM(Enginuity!$A$1),
    TRIM(B2354)=TRIM(Enginuity!$A$17),
    Q2354&lt;&gt;"",
    Q2354&lt;&gt;0,
    OR(
      TRIM(C2354)=TRIM(Enginuity!$A$18),
      AND(UPPER(TRIM(M2354))="STD", TRIM(B2354)=TRIM(Enginuity!$A$17))
    ),
    OR(
      AND(LEFT(P2354,5)="1-Way", Enginuity!$B$13=1),
      AND(LEFT(P2354,5)="2-Way", OR(Enginuity!$B$13=2, Enginuity!$B$13=4)),
      AND(LEFT(P2354,5)="3-Way", OR(Enginuity!$B$13=3, Enginuity!$B$13=6)),
      AND(P2354="Inner Centre Jamb", OR(Enginuity!$B$13=4, Enginuity!$B$13=6)),
      AND(
        LEFT(P2354,5)&lt;&gt;"1-Way",
        LEFT(P2354,5)&lt;&gt;"2-Way",
        LEFT(P2354,5)&lt;&gt;"3-Way",
        P2354&lt;&gt;"Inner Centre Jamb"
      )
    ),
    IF(OR(Enginuity!$A$1="Frameless Glass",Enginuity!$A$1="Metal Work"),
      AND(TRIM(B2354)=TRIM(Enginuity!$A$17),TRIM(C2354)=TRIM(Enginuity!$A$18)),
      TRIM(B2354)=TRIM(Enginuity!$A$17)
    )
  ),
  ROW(),
  ""
)</f>
        <v/>
      </c>
    </row>
    <row r="2355" spans="1:21" x14ac:dyDescent="0.25">
      <c r="A2355" s="10"/>
      <c r="B2355" s="229"/>
      <c r="C2355" s="112"/>
      <c r="D2355" s="86"/>
      <c r="E2355" s="339"/>
      <c r="F2355" s="14"/>
      <c r="G2355" s="17"/>
      <c r="H2355" s="10"/>
      <c r="I2355" s="17"/>
      <c r="J2355" s="83"/>
      <c r="K2355" s="344"/>
      <c r="L2355" s="347"/>
      <c r="M2355" s="12"/>
      <c r="N2355" s="10"/>
      <c r="O2355" s="22"/>
      <c r="P2355" s="112"/>
      <c r="Q2355" s="22"/>
      <c r="U2355" s="104" t="str">
        <f>IF(
  AND(
    TRIM(A2355)=TRIM(Enginuity!$A$1),
    TRIM(B2355)=TRIM(Enginuity!$A$17),
    Q2355&lt;&gt;"",
    Q2355&lt;&gt;0,
    OR(
      TRIM(C2355)=TRIM(Enginuity!$A$18),
      AND(UPPER(TRIM(M2355))="STD", TRIM(B2355)=TRIM(Enginuity!$A$17))
    ),
    OR(
      AND(LEFT(P2355,5)="1-Way", Enginuity!$B$13=1),
      AND(LEFT(P2355,5)="2-Way", OR(Enginuity!$B$13=2, Enginuity!$B$13=4)),
      AND(LEFT(P2355,5)="3-Way", OR(Enginuity!$B$13=3, Enginuity!$B$13=6)),
      AND(P2355="Inner Centre Jamb", OR(Enginuity!$B$13=4, Enginuity!$B$13=6)),
      AND(
        LEFT(P2355,5)&lt;&gt;"1-Way",
        LEFT(P2355,5)&lt;&gt;"2-Way",
        LEFT(P2355,5)&lt;&gt;"3-Way",
        P2355&lt;&gt;"Inner Centre Jamb"
      )
    ),
    IF(OR(Enginuity!$A$1="Frameless Glass",Enginuity!$A$1="Metal Work"),
      AND(TRIM(B2355)=TRIM(Enginuity!$A$17),TRIM(C2355)=TRIM(Enginuity!$A$18)),
      TRIM(B2355)=TRIM(Enginuity!$A$17)
    )
  ),
  ROW(),
  ""
)</f>
        <v/>
      </c>
    </row>
    <row r="2356" spans="1:21" x14ac:dyDescent="0.25">
      <c r="A2356" s="10"/>
      <c r="B2356" s="229"/>
      <c r="C2356" s="10"/>
      <c r="D2356" s="86"/>
      <c r="E2356" s="157"/>
      <c r="F2356" s="14"/>
      <c r="G2356" s="17"/>
      <c r="H2356" s="10"/>
      <c r="I2356" s="17"/>
      <c r="J2356" s="83"/>
      <c r="K2356" s="343"/>
      <c r="L2356" s="347"/>
      <c r="M2356" s="12"/>
      <c r="N2356" s="10"/>
      <c r="O2356" s="22"/>
      <c r="P2356" s="112"/>
      <c r="Q2356" s="22"/>
      <c r="U2356" s="104" t="str">
        <f>IF(
  AND(
    TRIM(A2356)=TRIM(Enginuity!$A$1),
    TRIM(B2356)=TRIM(Enginuity!$A$17),
    Q2356&lt;&gt;"",
    Q2356&lt;&gt;0,
    OR(
      TRIM(C2356)=TRIM(Enginuity!$A$18),
      AND(UPPER(TRIM(M2356))="STD", TRIM(B2356)=TRIM(Enginuity!$A$17))
    ),
    OR(
      AND(LEFT(P2356,5)="1-Way", Enginuity!$B$13=1),
      AND(LEFT(P2356,5)="2-Way", OR(Enginuity!$B$13=2, Enginuity!$B$13=4)),
      AND(LEFT(P2356,5)="3-Way", OR(Enginuity!$B$13=3, Enginuity!$B$13=6)),
      AND(P2356="Inner Centre Jamb", OR(Enginuity!$B$13=4, Enginuity!$B$13=6)),
      AND(
        LEFT(P2356,5)&lt;&gt;"1-Way",
        LEFT(P2356,5)&lt;&gt;"2-Way",
        LEFT(P2356,5)&lt;&gt;"3-Way",
        P2356&lt;&gt;"Inner Centre Jamb"
      )
    ),
    IF(OR(Enginuity!$A$1="Frameless Glass",Enginuity!$A$1="Metal Work"),
      AND(TRIM(B2356)=TRIM(Enginuity!$A$17),TRIM(C2356)=TRIM(Enginuity!$A$18)),
      TRIM(B2356)=TRIM(Enginuity!$A$17)
    )
  ),
  ROW(),
  ""
)</f>
        <v/>
      </c>
    </row>
    <row r="2357" spans="1:21" x14ac:dyDescent="0.25">
      <c r="A2357" s="10"/>
      <c r="B2357" s="341"/>
      <c r="C2357" s="10"/>
      <c r="D2357" s="86"/>
      <c r="E2357" s="14"/>
      <c r="F2357" s="21"/>
      <c r="G2357" s="17"/>
      <c r="H2357" s="10"/>
      <c r="I2357" s="17"/>
      <c r="J2357" s="83"/>
      <c r="K2357" s="343"/>
      <c r="L2357" s="347"/>
      <c r="M2357" s="12"/>
      <c r="N2357" s="10"/>
      <c r="O2357" s="22"/>
      <c r="P2357" s="108"/>
      <c r="Q2357" s="22"/>
      <c r="U2357" s="104" t="str">
        <f>IF(
  AND(
    TRIM(A2357)=TRIM(Enginuity!$A$1),
    TRIM(B2357)=TRIM(Enginuity!$A$17),
    Q2357&lt;&gt;"",
    Q2357&lt;&gt;0,
    OR(
      TRIM(C2357)=TRIM(Enginuity!$A$18),
      AND(UPPER(TRIM(M2357))="STD", TRIM(B2357)=TRIM(Enginuity!$A$17))
    ),
    OR(
      AND(LEFT(P2357,5)="1-Way", Enginuity!$B$13=1),
      AND(LEFT(P2357,5)="2-Way", OR(Enginuity!$B$13=2, Enginuity!$B$13=4)),
      AND(LEFT(P2357,5)="3-Way", OR(Enginuity!$B$13=3, Enginuity!$B$13=6)),
      AND(P2357="Inner Centre Jamb", OR(Enginuity!$B$13=4, Enginuity!$B$13=6)),
      AND(
        LEFT(P2357,5)&lt;&gt;"1-Way",
        LEFT(P2357,5)&lt;&gt;"2-Way",
        LEFT(P2357,5)&lt;&gt;"3-Way",
        P2357&lt;&gt;"Inner Centre Jamb"
      )
    ),
    IF(OR(Enginuity!$A$1="Frameless Glass",Enginuity!$A$1="Metal Work"),
      AND(TRIM(B2357)=TRIM(Enginuity!$A$17),TRIM(C2357)=TRIM(Enginuity!$A$18)),
      TRIM(B2357)=TRIM(Enginuity!$A$17)
    )
  ),
  ROW(),
  ""
)</f>
        <v/>
      </c>
    </row>
    <row r="2358" spans="1:21" x14ac:dyDescent="0.25">
      <c r="A2358" s="10"/>
      <c r="B2358" s="341"/>
      <c r="C2358" s="10"/>
      <c r="D2358" s="86"/>
      <c r="E2358" s="14"/>
      <c r="F2358" s="21"/>
      <c r="G2358" s="17"/>
      <c r="H2358" s="10"/>
      <c r="I2358" s="17"/>
      <c r="J2358" s="83"/>
      <c r="K2358" s="343"/>
      <c r="L2358" s="347"/>
      <c r="M2358" s="12"/>
      <c r="N2358" s="10"/>
      <c r="O2358" s="22"/>
      <c r="P2358" s="106"/>
      <c r="Q2358" s="22"/>
      <c r="U2358" s="104" t="str">
        <f>IF(
  AND(
    TRIM(A2358)=TRIM(Enginuity!$A$1),
    TRIM(B2358)=TRIM(Enginuity!$A$17),
    Q2358&lt;&gt;"",
    Q2358&lt;&gt;0,
    OR(
      TRIM(C2358)=TRIM(Enginuity!$A$18),
      AND(UPPER(TRIM(M2358))="STD", TRIM(B2358)=TRIM(Enginuity!$A$17))
    ),
    OR(
      AND(LEFT(P2358,5)="1-Way", Enginuity!$B$13=1),
      AND(LEFT(P2358,5)="2-Way", OR(Enginuity!$B$13=2, Enginuity!$B$13=4)),
      AND(LEFT(P2358,5)="3-Way", OR(Enginuity!$B$13=3, Enginuity!$B$13=6)),
      AND(P2358="Inner Centre Jamb", OR(Enginuity!$B$13=4, Enginuity!$B$13=6)),
      AND(
        LEFT(P2358,5)&lt;&gt;"1-Way",
        LEFT(P2358,5)&lt;&gt;"2-Way",
        LEFT(P2358,5)&lt;&gt;"3-Way",
        P2358&lt;&gt;"Inner Centre Jamb"
      )
    ),
    IF(OR(Enginuity!$A$1="Frameless Glass",Enginuity!$A$1="Metal Work"),
      AND(TRIM(B2358)=TRIM(Enginuity!$A$17),TRIM(C2358)=TRIM(Enginuity!$A$18)),
      TRIM(B2358)=TRIM(Enginuity!$A$17)
    )
  ),
  ROW(),
  ""
)</f>
        <v/>
      </c>
    </row>
    <row r="2359" spans="1:21" x14ac:dyDescent="0.25">
      <c r="A2359" s="10"/>
      <c r="B2359" s="341"/>
      <c r="C2359" s="10"/>
      <c r="D2359" s="14"/>
      <c r="E2359" s="14"/>
      <c r="F2359" s="10"/>
      <c r="G2359" s="17"/>
      <c r="H2359" s="10"/>
      <c r="I2359" s="17"/>
      <c r="J2359" s="83"/>
      <c r="K2359" s="343"/>
      <c r="L2359" s="347"/>
      <c r="M2359" s="89"/>
      <c r="N2359" s="10"/>
      <c r="O2359" s="22"/>
      <c r="P2359" s="36"/>
      <c r="Q2359" s="98"/>
      <c r="U2359" s="104" t="str">
        <f>IF(
  AND(
    TRIM(A2359)=TRIM(Enginuity!$A$1),
    TRIM(B2359)=TRIM(Enginuity!$A$17),
    Q2359&lt;&gt;"",
    Q2359&lt;&gt;0,
    OR(
      TRIM(C2359)=TRIM(Enginuity!$A$18),
      AND(UPPER(TRIM(M2359))="STD", TRIM(B2359)=TRIM(Enginuity!$A$17))
    ),
    OR(
      AND(LEFT(P2359,5)="1-Way", Enginuity!$B$13=1),
      AND(LEFT(P2359,5)="2-Way", OR(Enginuity!$B$13=2, Enginuity!$B$13=4)),
      AND(LEFT(P2359,5)="3-Way", OR(Enginuity!$B$13=3, Enginuity!$B$13=6)),
      AND(P2359="Inner Centre Jamb", OR(Enginuity!$B$13=4, Enginuity!$B$13=6)),
      AND(
        LEFT(P2359,5)&lt;&gt;"1-Way",
        LEFT(P2359,5)&lt;&gt;"2-Way",
        LEFT(P2359,5)&lt;&gt;"3-Way",
        P2359&lt;&gt;"Inner Centre Jamb"
      )
    ),
    IF(OR(Enginuity!$A$1="Frameless Glass",Enginuity!$A$1="Metal Work"),
      AND(TRIM(B2359)=TRIM(Enginuity!$A$17),TRIM(C2359)=TRIM(Enginuity!$A$18)),
      TRIM(B2359)=TRIM(Enginuity!$A$17)
    )
  ),
  ROW(),
  ""
)</f>
        <v/>
      </c>
    </row>
    <row r="2360" spans="1:21" x14ac:dyDescent="0.25">
      <c r="A2360" s="10"/>
      <c r="B2360" s="341"/>
      <c r="C2360" s="10"/>
      <c r="D2360" s="14"/>
      <c r="E2360" s="14"/>
      <c r="F2360" s="10"/>
      <c r="G2360" s="17"/>
      <c r="H2360" s="10"/>
      <c r="I2360" s="17"/>
      <c r="J2360" s="83"/>
      <c r="K2360" s="343"/>
      <c r="L2360" s="347"/>
      <c r="M2360" s="89"/>
      <c r="N2360" s="10"/>
      <c r="O2360" s="22"/>
      <c r="P2360" s="36"/>
      <c r="Q2360" s="98"/>
      <c r="U2360" s="104" t="str">
        <f>IF(
  AND(
    TRIM(A2360)=TRIM(Enginuity!$A$1),
    TRIM(B2360)=TRIM(Enginuity!$A$17),
    Q2360&lt;&gt;"",
    Q2360&lt;&gt;0,
    OR(
      TRIM(C2360)=TRIM(Enginuity!$A$18),
      AND(UPPER(TRIM(M2360))="STD", TRIM(B2360)=TRIM(Enginuity!$A$17))
    ),
    OR(
      AND(LEFT(P2360,5)="1-Way", Enginuity!$B$13=1),
      AND(LEFT(P2360,5)="2-Way", OR(Enginuity!$B$13=2, Enginuity!$B$13=4)),
      AND(LEFT(P2360,5)="3-Way", OR(Enginuity!$B$13=3, Enginuity!$B$13=6)),
      AND(P2360="Inner Centre Jamb", OR(Enginuity!$B$13=4, Enginuity!$B$13=6)),
      AND(
        LEFT(P2360,5)&lt;&gt;"1-Way",
        LEFT(P2360,5)&lt;&gt;"2-Way",
        LEFT(P2360,5)&lt;&gt;"3-Way",
        P2360&lt;&gt;"Inner Centre Jamb"
      )
    ),
    IF(OR(Enginuity!$A$1="Frameless Glass",Enginuity!$A$1="Metal Work"),
      AND(TRIM(B2360)=TRIM(Enginuity!$A$17),TRIM(C2360)=TRIM(Enginuity!$A$18)),
      TRIM(B2360)=TRIM(Enginuity!$A$17)
    )
  ),
  ROW(),
  ""
)</f>
        <v/>
      </c>
    </row>
    <row r="2361" spans="1:21" x14ac:dyDescent="0.25">
      <c r="A2361" s="10"/>
      <c r="B2361" s="341"/>
      <c r="C2361" s="10"/>
      <c r="D2361" s="14"/>
      <c r="E2361" s="14"/>
      <c r="F2361" s="10"/>
      <c r="G2361" s="17"/>
      <c r="H2361" s="10"/>
      <c r="I2361" s="17"/>
      <c r="J2361" s="83"/>
      <c r="K2361" s="343"/>
      <c r="L2361" s="347"/>
      <c r="M2361" s="89"/>
      <c r="N2361" s="10"/>
      <c r="O2361" s="22"/>
      <c r="P2361" s="36"/>
      <c r="Q2361" s="98"/>
      <c r="U2361" s="104" t="str">
        <f>IF(
  AND(
    TRIM(A2361)=TRIM(Enginuity!$A$1),
    TRIM(B2361)=TRIM(Enginuity!$A$17),
    Q2361&lt;&gt;"",
    Q2361&lt;&gt;0,
    OR(
      TRIM(C2361)=TRIM(Enginuity!$A$18),
      AND(UPPER(TRIM(M2361))="STD", TRIM(B2361)=TRIM(Enginuity!$A$17))
    ),
    OR(
      AND(LEFT(P2361,5)="1-Way", Enginuity!$B$13=1),
      AND(LEFT(P2361,5)="2-Way", OR(Enginuity!$B$13=2, Enginuity!$B$13=4)),
      AND(LEFT(P2361,5)="3-Way", OR(Enginuity!$B$13=3, Enginuity!$B$13=6)),
      AND(P2361="Inner Centre Jamb", OR(Enginuity!$B$13=4, Enginuity!$B$13=6)),
      AND(
        LEFT(P2361,5)&lt;&gt;"1-Way",
        LEFT(P2361,5)&lt;&gt;"2-Way",
        LEFT(P2361,5)&lt;&gt;"3-Way",
        P2361&lt;&gt;"Inner Centre Jamb"
      )
    ),
    IF(OR(Enginuity!$A$1="Frameless Glass",Enginuity!$A$1="Metal Work"),
      AND(TRIM(B2361)=TRIM(Enginuity!$A$17),TRIM(C2361)=TRIM(Enginuity!$A$18)),
      TRIM(B2361)=TRIM(Enginuity!$A$17)
    )
  ),
  ROW(),
  ""
)</f>
        <v/>
      </c>
    </row>
    <row r="2362" spans="1:21" x14ac:dyDescent="0.25">
      <c r="A2362" s="10"/>
      <c r="B2362" s="341"/>
      <c r="C2362" s="10"/>
      <c r="D2362" s="14"/>
      <c r="E2362" s="14"/>
      <c r="F2362" s="10"/>
      <c r="G2362" s="17"/>
      <c r="H2362" s="10"/>
      <c r="I2362" s="17"/>
      <c r="J2362" s="83"/>
      <c r="K2362" s="343"/>
      <c r="L2362" s="347"/>
      <c r="M2362" s="89"/>
      <c r="N2362" s="10"/>
      <c r="O2362" s="22"/>
      <c r="P2362" s="36"/>
      <c r="Q2362" s="98"/>
      <c r="U2362" s="104" t="str">
        <f>IF(
  AND(
    TRIM(A2362)=TRIM(Enginuity!$A$1),
    TRIM(B2362)=TRIM(Enginuity!$A$17),
    Q2362&lt;&gt;"",
    Q2362&lt;&gt;0,
    OR(
      TRIM(C2362)=TRIM(Enginuity!$A$18),
      AND(UPPER(TRIM(M2362))="STD", TRIM(B2362)=TRIM(Enginuity!$A$17))
    ),
    OR(
      AND(LEFT(P2362,5)="1-Way", Enginuity!$B$13=1),
      AND(LEFT(P2362,5)="2-Way", OR(Enginuity!$B$13=2, Enginuity!$B$13=4)),
      AND(LEFT(P2362,5)="3-Way", OR(Enginuity!$B$13=3, Enginuity!$B$13=6)),
      AND(P2362="Inner Centre Jamb", OR(Enginuity!$B$13=4, Enginuity!$B$13=6)),
      AND(
        LEFT(P2362,5)&lt;&gt;"1-Way",
        LEFT(P2362,5)&lt;&gt;"2-Way",
        LEFT(P2362,5)&lt;&gt;"3-Way",
        P2362&lt;&gt;"Inner Centre Jamb"
      )
    ),
    IF(OR(Enginuity!$A$1="Frameless Glass",Enginuity!$A$1="Metal Work"),
      AND(TRIM(B2362)=TRIM(Enginuity!$A$17),TRIM(C2362)=TRIM(Enginuity!$A$18)),
      TRIM(B2362)=TRIM(Enginuity!$A$17)
    )
  ),
  ROW(),
  ""
)</f>
        <v/>
      </c>
    </row>
    <row r="2363" spans="1:21" x14ac:dyDescent="0.25">
      <c r="A2363" s="10"/>
      <c r="B2363" s="341"/>
      <c r="C2363" s="10"/>
      <c r="D2363" s="14"/>
      <c r="E2363" s="14"/>
      <c r="F2363" s="10"/>
      <c r="G2363" s="17"/>
      <c r="H2363" s="10"/>
      <c r="I2363" s="17"/>
      <c r="J2363" s="83"/>
      <c r="K2363" s="343"/>
      <c r="L2363" s="347"/>
      <c r="M2363" s="89"/>
      <c r="N2363" s="10"/>
      <c r="O2363" s="22"/>
      <c r="P2363" s="36"/>
      <c r="Q2363" s="98"/>
      <c r="U2363" s="104" t="str">
        <f>IF(
  AND(
    TRIM(A2363)=TRIM(Enginuity!$A$1),
    TRIM(B2363)=TRIM(Enginuity!$A$17),
    Q2363&lt;&gt;"",
    Q2363&lt;&gt;0,
    OR(
      TRIM(C2363)=TRIM(Enginuity!$A$18),
      AND(UPPER(TRIM(M2363))="STD", TRIM(B2363)=TRIM(Enginuity!$A$17))
    ),
    OR(
      AND(LEFT(P2363,5)="1-Way", Enginuity!$B$13=1),
      AND(LEFT(P2363,5)="2-Way", OR(Enginuity!$B$13=2, Enginuity!$B$13=4)),
      AND(LEFT(P2363,5)="3-Way", OR(Enginuity!$B$13=3, Enginuity!$B$13=6)),
      AND(P2363="Inner Centre Jamb", OR(Enginuity!$B$13=4, Enginuity!$B$13=6)),
      AND(
        LEFT(P2363,5)&lt;&gt;"1-Way",
        LEFT(P2363,5)&lt;&gt;"2-Way",
        LEFT(P2363,5)&lt;&gt;"3-Way",
        P2363&lt;&gt;"Inner Centre Jamb"
      )
    ),
    IF(OR(Enginuity!$A$1="Frameless Glass",Enginuity!$A$1="Metal Work"),
      AND(TRIM(B2363)=TRIM(Enginuity!$A$17),TRIM(C2363)=TRIM(Enginuity!$A$18)),
      TRIM(B2363)=TRIM(Enginuity!$A$17)
    )
  ),
  ROW(),
  ""
)</f>
        <v/>
      </c>
    </row>
    <row r="2364" spans="1:21" x14ac:dyDescent="0.25">
      <c r="A2364" s="10"/>
      <c r="B2364" s="341"/>
      <c r="C2364" s="10"/>
      <c r="D2364" s="14"/>
      <c r="E2364" s="14"/>
      <c r="F2364" s="10"/>
      <c r="G2364" s="17"/>
      <c r="H2364" s="10"/>
      <c r="I2364" s="17"/>
      <c r="J2364" s="83"/>
      <c r="K2364" s="343"/>
      <c r="L2364" s="347"/>
      <c r="M2364" s="89"/>
      <c r="N2364" s="10"/>
      <c r="O2364" s="22"/>
      <c r="P2364" s="36"/>
      <c r="Q2364" s="98"/>
      <c r="U2364" s="104" t="str">
        <f>IF(
  AND(
    TRIM(A2364)=TRIM(Enginuity!$A$1),
    TRIM(B2364)=TRIM(Enginuity!$A$17),
    Q2364&lt;&gt;"",
    Q2364&lt;&gt;0,
    OR(
      TRIM(C2364)=TRIM(Enginuity!$A$18),
      AND(UPPER(TRIM(M2364))="STD", TRIM(B2364)=TRIM(Enginuity!$A$17))
    ),
    OR(
      AND(LEFT(P2364,5)="1-Way", Enginuity!$B$13=1),
      AND(LEFT(P2364,5)="2-Way", OR(Enginuity!$B$13=2, Enginuity!$B$13=4)),
      AND(LEFT(P2364,5)="3-Way", OR(Enginuity!$B$13=3, Enginuity!$B$13=6)),
      AND(P2364="Inner Centre Jamb", OR(Enginuity!$B$13=4, Enginuity!$B$13=6)),
      AND(
        LEFT(P2364,5)&lt;&gt;"1-Way",
        LEFT(P2364,5)&lt;&gt;"2-Way",
        LEFT(P2364,5)&lt;&gt;"3-Way",
        P2364&lt;&gt;"Inner Centre Jamb"
      )
    ),
    IF(OR(Enginuity!$A$1="Frameless Glass",Enginuity!$A$1="Metal Work"),
      AND(TRIM(B2364)=TRIM(Enginuity!$A$17),TRIM(C2364)=TRIM(Enginuity!$A$18)),
      TRIM(B2364)=TRIM(Enginuity!$A$17)
    )
  ),
  ROW(),
  ""
)</f>
        <v/>
      </c>
    </row>
    <row r="2365" spans="1:21" x14ac:dyDescent="0.25">
      <c r="U2365" s="104" t="str">
        <f>IF(
  AND(
    TRIM(A2365)=TRIM(Enginuity!$A$1),
    TRIM(B2365)=TRIM(Enginuity!$A$17),
    Q2365&lt;&gt;"",
    Q2365&lt;&gt;0,
    OR(
      TRIM(C2365)=TRIM(Enginuity!$A$18),
      AND(UPPER(TRIM(M2365))="STD", TRIM(B2365)=TRIM(Enginuity!$A$17))
    ),
    OR(
      AND(LEFT(P2365,5)="1-Way", Enginuity!$B$13=1),
      AND(LEFT(P2365,5)="2-Way", OR(Enginuity!$B$13=2, Enginuity!$B$13=4)),
      AND(LEFT(P2365,5)="3-Way", OR(Enginuity!$B$13=3, Enginuity!$B$13=6)),
      AND(P2365="Inner Centre Jamb", OR(Enginuity!$B$13=4, Enginuity!$B$13=6)),
      AND(
        LEFT(P2365,5)&lt;&gt;"1-Way",
        LEFT(P2365,5)&lt;&gt;"2-Way",
        LEFT(P2365,5)&lt;&gt;"3-Way",
        P2365&lt;&gt;"Inner Centre Jamb"
      )
    ),
    IF(OR(Enginuity!$A$1="Frameless Glass",Enginuity!$A$1="Metal Work"),
      AND(TRIM(B2365)=TRIM(Enginuity!$A$17),TRIM(C2365)=TRIM(Enginuity!$A$18)),
      TRIM(B2365)=TRIM(Enginuity!$A$17)
    )
  ),
  ROW(),
  ""
)</f>
        <v/>
      </c>
    </row>
    <row r="2366" spans="1:21" x14ac:dyDescent="0.25">
      <c r="U2366" s="104" t="str">
        <f>IF(
  AND(
    TRIM(A2366)=TRIM(Enginuity!$A$1),
    TRIM(B2366)=TRIM(Enginuity!$A$17),
    Q2366&lt;&gt;"",
    Q2366&lt;&gt;0,
    OR(
      TRIM(C2366)=TRIM(Enginuity!$A$18),
      AND(UPPER(TRIM(M2366))="STD", TRIM(B2366)=TRIM(Enginuity!$A$17))
    ),
    OR(
      AND(LEFT(P2366,5)="1-Way", Enginuity!$B$13=1),
      AND(LEFT(P2366,5)="2-Way", OR(Enginuity!$B$13=2, Enginuity!$B$13=4)),
      AND(LEFT(P2366,5)="3-Way", OR(Enginuity!$B$13=3, Enginuity!$B$13=6)),
      AND(P2366="Inner Centre Jamb", OR(Enginuity!$B$13=4, Enginuity!$B$13=6)),
      AND(
        LEFT(P2366,5)&lt;&gt;"1-Way",
        LEFT(P2366,5)&lt;&gt;"2-Way",
        LEFT(P2366,5)&lt;&gt;"3-Way",
        P2366&lt;&gt;"Inner Centre Jamb"
      )
    ),
    IF(OR(Enginuity!$A$1="Frameless Glass",Enginuity!$A$1="Metal Work"),
      AND(TRIM(B2366)=TRIM(Enginuity!$A$17),TRIM(C2366)=TRIM(Enginuity!$A$18)),
      TRIM(B2366)=TRIM(Enginuity!$A$17)
    )
  ),
  ROW(),
  ""
)</f>
        <v/>
      </c>
    </row>
    <row r="2367" spans="1:21" x14ac:dyDescent="0.25">
      <c r="U2367" s="104" t="str">
        <f>IF(
  AND(
    TRIM(A2367)=TRIM(Enginuity!$A$1),
    TRIM(B2367)=TRIM(Enginuity!$A$17),
    Q2367&lt;&gt;"",
    Q2367&lt;&gt;0,
    OR(
      TRIM(C2367)=TRIM(Enginuity!$A$18),
      AND(UPPER(TRIM(M2367))="STD", TRIM(B2367)=TRIM(Enginuity!$A$17))
    ),
    OR(
      AND(LEFT(P2367,5)="1-Way", Enginuity!$B$13=1),
      AND(LEFT(P2367,5)="2-Way", OR(Enginuity!$B$13=2, Enginuity!$B$13=4)),
      AND(LEFT(P2367,5)="3-Way", OR(Enginuity!$B$13=3, Enginuity!$B$13=6)),
      AND(P2367="Inner Centre Jamb", OR(Enginuity!$B$13=4, Enginuity!$B$13=6)),
      AND(
        LEFT(P2367,5)&lt;&gt;"1-Way",
        LEFT(P2367,5)&lt;&gt;"2-Way",
        LEFT(P2367,5)&lt;&gt;"3-Way",
        P2367&lt;&gt;"Inner Centre Jamb"
      )
    ),
    IF(OR(Enginuity!$A$1="Frameless Glass",Enginuity!$A$1="Metal Work"),
      AND(TRIM(B2367)=TRIM(Enginuity!$A$17),TRIM(C2367)=TRIM(Enginuity!$A$18)),
      TRIM(B2367)=TRIM(Enginuity!$A$17)
    )
  ),
  ROW(),
  ""
)</f>
        <v/>
      </c>
    </row>
    <row r="2368" spans="1:21" x14ac:dyDescent="0.25">
      <c r="U2368" s="104" t="str">
        <f>IF(
  AND(
    TRIM(A2368)=TRIM(Enginuity!$A$1),
    TRIM(B2368)=TRIM(Enginuity!$A$17),
    Q2368&lt;&gt;"",
    Q2368&lt;&gt;0,
    OR(
      TRIM(C2368)=TRIM(Enginuity!$A$18),
      AND(UPPER(TRIM(M2368))="STD", TRIM(B2368)=TRIM(Enginuity!$A$17))
    ),
    OR(
      AND(LEFT(P2368,5)="1-Way", Enginuity!$B$13=1),
      AND(LEFT(P2368,5)="2-Way", OR(Enginuity!$B$13=2, Enginuity!$B$13=4)),
      AND(LEFT(P2368,5)="3-Way", OR(Enginuity!$B$13=3, Enginuity!$B$13=6)),
      AND(P2368="Inner Centre Jamb", OR(Enginuity!$B$13=4, Enginuity!$B$13=6)),
      AND(
        LEFT(P2368,5)&lt;&gt;"1-Way",
        LEFT(P2368,5)&lt;&gt;"2-Way",
        LEFT(P2368,5)&lt;&gt;"3-Way",
        P2368&lt;&gt;"Inner Centre Jamb"
      )
    ),
    IF(OR(Enginuity!$A$1="Frameless Glass",Enginuity!$A$1="Metal Work"),
      AND(TRIM(B2368)=TRIM(Enginuity!$A$17),TRIM(C2368)=TRIM(Enginuity!$A$18)),
      TRIM(B2368)=TRIM(Enginuity!$A$17)
    )
  ),
  ROW(),
  ""
)</f>
        <v/>
      </c>
    </row>
    <row r="2369" spans="21:21" x14ac:dyDescent="0.25">
      <c r="U2369" s="104" t="str">
        <f>IF(
  AND(
    TRIM(A2369)=TRIM(Enginuity!$A$1),
    TRIM(B2369)=TRIM(Enginuity!$A$17),
    Q2369&lt;&gt;"",
    Q2369&lt;&gt;0,
    OR(
      TRIM(C2369)=TRIM(Enginuity!$A$18),
      AND(UPPER(TRIM(M2369))="STD", TRIM(B2369)=TRIM(Enginuity!$A$17))
    ),
    OR(
      AND(LEFT(P2369,5)="1-Way", Enginuity!$B$13=1),
      AND(LEFT(P2369,5)="2-Way", OR(Enginuity!$B$13=2, Enginuity!$B$13=4)),
      AND(LEFT(P2369,5)="3-Way", OR(Enginuity!$B$13=3, Enginuity!$B$13=6)),
      AND(P2369="Inner Centre Jamb", OR(Enginuity!$B$13=4, Enginuity!$B$13=6)),
      AND(
        LEFT(P2369,5)&lt;&gt;"1-Way",
        LEFT(P2369,5)&lt;&gt;"2-Way",
        LEFT(P2369,5)&lt;&gt;"3-Way",
        P2369&lt;&gt;"Inner Centre Jamb"
      )
    ),
    IF(OR(Enginuity!$A$1="Frameless Glass",Enginuity!$A$1="Metal Work"),
      AND(TRIM(B2369)=TRIM(Enginuity!$A$17),TRIM(C2369)=TRIM(Enginuity!$A$18)),
      TRIM(B2369)=TRIM(Enginuity!$A$17)
    )
  ),
  ROW(),
  ""
)</f>
        <v/>
      </c>
    </row>
    <row r="2370" spans="21:21" x14ac:dyDescent="0.25">
      <c r="U2370" s="104" t="str">
        <f>IF(
  AND(
    TRIM(A2370)=TRIM(Enginuity!$A$1),
    TRIM(B2370)=TRIM(Enginuity!$A$17),
    Q2370&lt;&gt;"",
    Q2370&lt;&gt;0,
    OR(
      TRIM(C2370)=TRIM(Enginuity!$A$18),
      AND(UPPER(TRIM(M2370))="STD", TRIM(B2370)=TRIM(Enginuity!$A$17))
    ),
    OR(
      AND(LEFT(P2370,5)="1-Way", Enginuity!$B$13=1),
      AND(LEFT(P2370,5)="2-Way", OR(Enginuity!$B$13=2, Enginuity!$B$13=4)),
      AND(LEFT(P2370,5)="3-Way", OR(Enginuity!$B$13=3, Enginuity!$B$13=6)),
      AND(P2370="Inner Centre Jamb", OR(Enginuity!$B$13=4, Enginuity!$B$13=6)),
      AND(
        LEFT(P2370,5)&lt;&gt;"1-Way",
        LEFT(P2370,5)&lt;&gt;"2-Way",
        LEFT(P2370,5)&lt;&gt;"3-Way",
        P2370&lt;&gt;"Inner Centre Jamb"
      )
    ),
    IF(OR(Enginuity!$A$1="Frameless Glass",Enginuity!$A$1="Metal Work"),
      AND(TRIM(B2370)=TRIM(Enginuity!$A$17),TRIM(C2370)=TRIM(Enginuity!$A$18)),
      TRIM(B2370)=TRIM(Enginuity!$A$17)
    )
  ),
  ROW(),
  ""
)</f>
        <v/>
      </c>
    </row>
    <row r="2371" spans="21:21" x14ac:dyDescent="0.25">
      <c r="U2371" s="104" t="str">
        <f>IF(
  AND(
    TRIM(A2371)=TRIM(Enginuity!$A$1),
    TRIM(B2371)=TRIM(Enginuity!$A$17),
    Q2371&lt;&gt;"",
    Q2371&lt;&gt;0,
    OR(
      TRIM(C2371)=TRIM(Enginuity!$A$18),
      AND(UPPER(TRIM(M2371))="STD", TRIM(B2371)=TRIM(Enginuity!$A$17))
    ),
    OR(
      AND(LEFT(P2371,5)="1-Way", Enginuity!$B$13=1),
      AND(LEFT(P2371,5)="2-Way", OR(Enginuity!$B$13=2, Enginuity!$B$13=4)),
      AND(LEFT(P2371,5)="3-Way", OR(Enginuity!$B$13=3, Enginuity!$B$13=6)),
      AND(P2371="Inner Centre Jamb", OR(Enginuity!$B$13=4, Enginuity!$B$13=6)),
      AND(
        LEFT(P2371,5)&lt;&gt;"1-Way",
        LEFT(P2371,5)&lt;&gt;"2-Way",
        LEFT(P2371,5)&lt;&gt;"3-Way",
        P2371&lt;&gt;"Inner Centre Jamb"
      )
    ),
    IF(OR(Enginuity!$A$1="Frameless Glass",Enginuity!$A$1="Metal Work"),
      AND(TRIM(B2371)=TRIM(Enginuity!$A$17),TRIM(C2371)=TRIM(Enginuity!$A$18)),
      TRIM(B2371)=TRIM(Enginuity!$A$17)
    )
  ),
  ROW(),
  ""
)</f>
        <v/>
      </c>
    </row>
    <row r="2372" spans="21:21" x14ac:dyDescent="0.25">
      <c r="U2372" s="104" t="str">
        <f>IF(
  AND(
    TRIM(A2372)=TRIM(Enginuity!$A$1),
    TRIM(B2372)=TRIM(Enginuity!$A$17),
    Q2372&lt;&gt;"",
    Q2372&lt;&gt;0,
    OR(
      TRIM(C2372)=TRIM(Enginuity!$A$18),
      AND(UPPER(TRIM(M2372))="STD", TRIM(B2372)=TRIM(Enginuity!$A$17))
    ),
    OR(
      AND(LEFT(P2372,5)="1-Way", Enginuity!$B$13=1),
      AND(LEFT(P2372,5)="2-Way", OR(Enginuity!$B$13=2, Enginuity!$B$13=4)),
      AND(LEFT(P2372,5)="3-Way", OR(Enginuity!$B$13=3, Enginuity!$B$13=6)),
      AND(P2372="Inner Centre Jamb", OR(Enginuity!$B$13=4, Enginuity!$B$13=6)),
      AND(
        LEFT(P2372,5)&lt;&gt;"1-Way",
        LEFT(P2372,5)&lt;&gt;"2-Way",
        LEFT(P2372,5)&lt;&gt;"3-Way",
        P2372&lt;&gt;"Inner Centre Jamb"
      )
    ),
    IF(OR(Enginuity!$A$1="Frameless Glass",Enginuity!$A$1="Metal Work"),
      AND(TRIM(B2372)=TRIM(Enginuity!$A$17),TRIM(C2372)=TRIM(Enginuity!$A$18)),
      TRIM(B2372)=TRIM(Enginuity!$A$17)
    )
  ),
  ROW(),
  ""
)</f>
        <v/>
      </c>
    </row>
    <row r="2373" spans="21:21" x14ac:dyDescent="0.25">
      <c r="U2373" s="104" t="str">
        <f>IF(
  AND(
    TRIM(A2373)=TRIM(Enginuity!$A$1),
    TRIM(B2373)=TRIM(Enginuity!$A$17),
    Q2373&lt;&gt;"",
    Q2373&lt;&gt;0,
    OR(
      TRIM(C2373)=TRIM(Enginuity!$A$18),
      AND(UPPER(TRIM(M2373))="STD", TRIM(B2373)=TRIM(Enginuity!$A$17))
    ),
    OR(
      AND(LEFT(P2373,5)="1-Way", Enginuity!$B$13=1),
      AND(LEFT(P2373,5)="2-Way", OR(Enginuity!$B$13=2, Enginuity!$B$13=4)),
      AND(LEFT(P2373,5)="3-Way", OR(Enginuity!$B$13=3, Enginuity!$B$13=6)),
      AND(P2373="Inner Centre Jamb", OR(Enginuity!$B$13=4, Enginuity!$B$13=6)),
      AND(
        LEFT(P2373,5)&lt;&gt;"1-Way",
        LEFT(P2373,5)&lt;&gt;"2-Way",
        LEFT(P2373,5)&lt;&gt;"3-Way",
        P2373&lt;&gt;"Inner Centre Jamb"
      )
    ),
    IF(OR(Enginuity!$A$1="Frameless Glass",Enginuity!$A$1="Metal Work"),
      AND(TRIM(B2373)=TRIM(Enginuity!$A$17),TRIM(C2373)=TRIM(Enginuity!$A$18)),
      TRIM(B2373)=TRIM(Enginuity!$A$17)
    )
  ),
  ROW(),
  ""
)</f>
        <v/>
      </c>
    </row>
    <row r="2374" spans="21:21" x14ac:dyDescent="0.25">
      <c r="U2374" s="104" t="str">
        <f>IF(
  AND(
    TRIM(A2374)=TRIM(Enginuity!$A$1),
    TRIM(B2374)=TRIM(Enginuity!$A$17),
    Q2374&lt;&gt;"",
    Q2374&lt;&gt;0,
    OR(
      TRIM(C2374)=TRIM(Enginuity!$A$18),
      AND(UPPER(TRIM(M2374))="STD", TRIM(B2374)=TRIM(Enginuity!$A$17))
    ),
    OR(
      AND(LEFT(P2374,5)="1-Way", Enginuity!$B$13=1),
      AND(LEFT(P2374,5)="2-Way", OR(Enginuity!$B$13=2, Enginuity!$B$13=4)),
      AND(LEFT(P2374,5)="3-Way", OR(Enginuity!$B$13=3, Enginuity!$B$13=6)),
      AND(P2374="Inner Centre Jamb", OR(Enginuity!$B$13=4, Enginuity!$B$13=6)),
      AND(
        LEFT(P2374,5)&lt;&gt;"1-Way",
        LEFT(P2374,5)&lt;&gt;"2-Way",
        LEFT(P2374,5)&lt;&gt;"3-Way",
        P2374&lt;&gt;"Inner Centre Jamb"
      )
    ),
    IF(OR(Enginuity!$A$1="Frameless Glass",Enginuity!$A$1="Metal Work"),
      AND(TRIM(B2374)=TRIM(Enginuity!$A$17),TRIM(C2374)=TRIM(Enginuity!$A$18)),
      TRIM(B2374)=TRIM(Enginuity!$A$17)
    )
  ),
  ROW(),
  ""
)</f>
        <v/>
      </c>
    </row>
    <row r="2375" spans="21:21" x14ac:dyDescent="0.25">
      <c r="U2375" s="104" t="str">
        <f>IF(
  AND(
    TRIM(A2375)=TRIM(Enginuity!$A$1),
    TRIM(B2375)=TRIM(Enginuity!$A$17),
    Q2375&lt;&gt;"",
    Q2375&lt;&gt;0,
    OR(
      TRIM(C2375)=TRIM(Enginuity!$A$18),
      AND(UPPER(TRIM(M2375))="STD", TRIM(B2375)=TRIM(Enginuity!$A$17))
    ),
    OR(
      AND(LEFT(P2375,5)="1-Way", Enginuity!$B$13=1),
      AND(LEFT(P2375,5)="2-Way", OR(Enginuity!$B$13=2, Enginuity!$B$13=4)),
      AND(LEFT(P2375,5)="3-Way", OR(Enginuity!$B$13=3, Enginuity!$B$13=6)),
      AND(P2375="Inner Centre Jamb", OR(Enginuity!$B$13=4, Enginuity!$B$13=6)),
      AND(
        LEFT(P2375,5)&lt;&gt;"1-Way",
        LEFT(P2375,5)&lt;&gt;"2-Way",
        LEFT(P2375,5)&lt;&gt;"3-Way",
        P2375&lt;&gt;"Inner Centre Jamb"
      )
    ),
    IF(OR(Enginuity!$A$1="Frameless Glass",Enginuity!$A$1="Metal Work"),
      AND(TRIM(B2375)=TRIM(Enginuity!$A$17),TRIM(C2375)=TRIM(Enginuity!$A$18)),
      TRIM(B2375)=TRIM(Enginuity!$A$17)
    )
  ),
  ROW(),
  ""
)</f>
        <v/>
      </c>
    </row>
    <row r="2376" spans="21:21" x14ac:dyDescent="0.25">
      <c r="U2376" s="104" t="str">
        <f>IF(
  AND(
    TRIM(A2376)=TRIM(Enginuity!$A$1),
    TRIM(B2376)=TRIM(Enginuity!$A$17),
    Q2376&lt;&gt;"",
    Q2376&lt;&gt;0,
    OR(
      TRIM(C2376)=TRIM(Enginuity!$A$18),
      AND(UPPER(TRIM(M2376))="STD", TRIM(B2376)=TRIM(Enginuity!$A$17))
    ),
    OR(
      AND(LEFT(P2376,5)="1-Way", Enginuity!$B$13=1),
      AND(LEFT(P2376,5)="2-Way", OR(Enginuity!$B$13=2, Enginuity!$B$13=4)),
      AND(LEFT(P2376,5)="3-Way", OR(Enginuity!$B$13=3, Enginuity!$B$13=6)),
      AND(P2376="Inner Centre Jamb", OR(Enginuity!$B$13=4, Enginuity!$B$13=6)),
      AND(
        LEFT(P2376,5)&lt;&gt;"1-Way",
        LEFT(P2376,5)&lt;&gt;"2-Way",
        LEFT(P2376,5)&lt;&gt;"3-Way",
        P2376&lt;&gt;"Inner Centre Jamb"
      )
    ),
    IF(OR(Enginuity!$A$1="Frameless Glass",Enginuity!$A$1="Metal Work"),
      AND(TRIM(B2376)=TRIM(Enginuity!$A$17),TRIM(C2376)=TRIM(Enginuity!$A$18)),
      TRIM(B2376)=TRIM(Enginuity!$A$17)
    )
  ),
  ROW(),
  ""
)</f>
        <v/>
      </c>
    </row>
    <row r="2377" spans="21:21" x14ac:dyDescent="0.25">
      <c r="U2377" s="104" t="str">
        <f>IF(
  AND(
    TRIM(A2377)=TRIM(Enginuity!$A$1),
    TRIM(B2377)=TRIM(Enginuity!$A$17),
    Q2377&lt;&gt;"",
    Q2377&lt;&gt;0,
    OR(
      TRIM(C2377)=TRIM(Enginuity!$A$18),
      AND(UPPER(TRIM(M2377))="STD", TRIM(B2377)=TRIM(Enginuity!$A$17))
    ),
    OR(
      AND(LEFT(P2377,5)="1-Way", Enginuity!$B$13=1),
      AND(LEFT(P2377,5)="2-Way", OR(Enginuity!$B$13=2, Enginuity!$B$13=4)),
      AND(LEFT(P2377,5)="3-Way", OR(Enginuity!$B$13=3, Enginuity!$B$13=6)),
      AND(P2377="Inner Centre Jamb", OR(Enginuity!$B$13=4, Enginuity!$B$13=6)),
      AND(
        LEFT(P2377,5)&lt;&gt;"1-Way",
        LEFT(P2377,5)&lt;&gt;"2-Way",
        LEFT(P2377,5)&lt;&gt;"3-Way",
        P2377&lt;&gt;"Inner Centre Jamb"
      )
    ),
    IF(OR(Enginuity!$A$1="Frameless Glass",Enginuity!$A$1="Metal Work"),
      AND(TRIM(B2377)=TRIM(Enginuity!$A$17),TRIM(C2377)=TRIM(Enginuity!$A$18)),
      TRIM(B2377)=TRIM(Enginuity!$A$17)
    )
  ),
  ROW(),
  ""
)</f>
        <v/>
      </c>
    </row>
    <row r="2378" spans="21:21" x14ac:dyDescent="0.25">
      <c r="U2378" s="104" t="str">
        <f>IF(
  AND(
    TRIM(A2378)=TRIM(Enginuity!$A$1),
    TRIM(B2378)=TRIM(Enginuity!$A$17),
    Q2378&lt;&gt;"",
    Q2378&lt;&gt;0,
    OR(
      TRIM(C2378)=TRIM(Enginuity!$A$18),
      AND(UPPER(TRIM(M2378))="STD", TRIM(B2378)=TRIM(Enginuity!$A$17))
    ),
    OR(
      AND(LEFT(P2378,5)="1-Way", Enginuity!$B$13=1),
      AND(LEFT(P2378,5)="2-Way", OR(Enginuity!$B$13=2, Enginuity!$B$13=4)),
      AND(LEFT(P2378,5)="3-Way", OR(Enginuity!$B$13=3, Enginuity!$B$13=6)),
      AND(P2378="Inner Centre Jamb", OR(Enginuity!$B$13=4, Enginuity!$B$13=6)),
      AND(
        LEFT(P2378,5)&lt;&gt;"1-Way",
        LEFT(P2378,5)&lt;&gt;"2-Way",
        LEFT(P2378,5)&lt;&gt;"3-Way",
        P2378&lt;&gt;"Inner Centre Jamb"
      )
    ),
    IF(OR(Enginuity!$A$1="Frameless Glass",Enginuity!$A$1="Metal Work"),
      AND(TRIM(B2378)=TRIM(Enginuity!$A$17),TRIM(C2378)=TRIM(Enginuity!$A$18)),
      TRIM(B2378)=TRIM(Enginuity!$A$17)
    )
  ),
  ROW(),
  ""
)</f>
        <v/>
      </c>
    </row>
    <row r="2379" spans="21:21" x14ac:dyDescent="0.25">
      <c r="U2379" s="104" t="str">
        <f>IF(
  AND(
    TRIM(A2379)=TRIM(Enginuity!$A$1),
    TRIM(B2379)=TRIM(Enginuity!$A$17),
    Q2379&lt;&gt;"",
    Q2379&lt;&gt;0,
    OR(
      TRIM(C2379)=TRIM(Enginuity!$A$18),
      AND(UPPER(TRIM(M2379))="STD", TRIM(B2379)=TRIM(Enginuity!$A$17))
    ),
    OR(
      AND(LEFT(P2379,5)="1-Way", Enginuity!$B$13=1),
      AND(LEFT(P2379,5)="2-Way", OR(Enginuity!$B$13=2, Enginuity!$B$13=4)),
      AND(LEFT(P2379,5)="3-Way", OR(Enginuity!$B$13=3, Enginuity!$B$13=6)),
      AND(P2379="Inner Centre Jamb", OR(Enginuity!$B$13=4, Enginuity!$B$13=6)),
      AND(
        LEFT(P2379,5)&lt;&gt;"1-Way",
        LEFT(P2379,5)&lt;&gt;"2-Way",
        LEFT(P2379,5)&lt;&gt;"3-Way",
        P2379&lt;&gt;"Inner Centre Jamb"
      )
    ),
    IF(OR(Enginuity!$A$1="Frameless Glass",Enginuity!$A$1="Metal Work"),
      AND(TRIM(B2379)=TRIM(Enginuity!$A$17),TRIM(C2379)=TRIM(Enginuity!$A$18)),
      TRIM(B2379)=TRIM(Enginuity!$A$17)
    )
  ),
  ROW(),
  ""
)</f>
        <v/>
      </c>
    </row>
    <row r="2380" spans="21:21" x14ac:dyDescent="0.25">
      <c r="U2380" s="104" t="str">
        <f>IF(
  AND(
    TRIM(A2380)=TRIM(Enginuity!$A$1),
    TRIM(B2380)=TRIM(Enginuity!$A$17),
    Q2380&lt;&gt;"",
    Q2380&lt;&gt;0,
    OR(
      TRIM(C2380)=TRIM(Enginuity!$A$18),
      AND(UPPER(TRIM(M2380))="STD", TRIM(B2380)=TRIM(Enginuity!$A$17))
    ),
    OR(
      AND(LEFT(P2380,5)="1-Way", Enginuity!$B$13=1),
      AND(LEFT(P2380,5)="2-Way", OR(Enginuity!$B$13=2, Enginuity!$B$13=4)),
      AND(LEFT(P2380,5)="3-Way", OR(Enginuity!$B$13=3, Enginuity!$B$13=6)),
      AND(P2380="Inner Centre Jamb", OR(Enginuity!$B$13=4, Enginuity!$B$13=6)),
      AND(
        LEFT(P2380,5)&lt;&gt;"1-Way",
        LEFT(P2380,5)&lt;&gt;"2-Way",
        LEFT(P2380,5)&lt;&gt;"3-Way",
        P2380&lt;&gt;"Inner Centre Jamb"
      )
    ),
    IF(OR(Enginuity!$A$1="Frameless Glass",Enginuity!$A$1="Metal Work"),
      AND(TRIM(B2380)=TRIM(Enginuity!$A$17),TRIM(C2380)=TRIM(Enginuity!$A$18)),
      TRIM(B2380)=TRIM(Enginuity!$A$17)
    )
  ),
  ROW(),
  ""
)</f>
        <v/>
      </c>
    </row>
    <row r="2381" spans="21:21" x14ac:dyDescent="0.25">
      <c r="U2381" s="104" t="str">
        <f>IF(
  AND(
    TRIM(A2381)=TRIM(Enginuity!$A$1),
    TRIM(B2381)=TRIM(Enginuity!$A$17),
    Q2381&lt;&gt;"",
    Q2381&lt;&gt;0,
    OR(
      TRIM(C2381)=TRIM(Enginuity!$A$18),
      AND(UPPER(TRIM(M2381))="STD", TRIM(B2381)=TRIM(Enginuity!$A$17))
    ),
    OR(
      AND(LEFT(P2381,5)="1-Way", Enginuity!$B$13=1),
      AND(LEFT(P2381,5)="2-Way", OR(Enginuity!$B$13=2, Enginuity!$B$13=4)),
      AND(LEFT(P2381,5)="3-Way", OR(Enginuity!$B$13=3, Enginuity!$B$13=6)),
      AND(P2381="Inner Centre Jamb", OR(Enginuity!$B$13=4, Enginuity!$B$13=6)),
      AND(
        LEFT(P2381,5)&lt;&gt;"1-Way",
        LEFT(P2381,5)&lt;&gt;"2-Way",
        LEFT(P2381,5)&lt;&gt;"3-Way",
        P2381&lt;&gt;"Inner Centre Jamb"
      )
    ),
    IF(OR(Enginuity!$A$1="Frameless Glass",Enginuity!$A$1="Metal Work"),
      AND(TRIM(B2381)=TRIM(Enginuity!$A$17),TRIM(C2381)=TRIM(Enginuity!$A$18)),
      TRIM(B2381)=TRIM(Enginuity!$A$17)
    )
  ),
  ROW(),
  ""
)</f>
        <v/>
      </c>
    </row>
    <row r="2382" spans="21:21" x14ac:dyDescent="0.25">
      <c r="U2382" s="104" t="str">
        <f>IF(
  AND(
    TRIM(A2382)=TRIM(Enginuity!$A$1),
    TRIM(B2382)=TRIM(Enginuity!$A$17),
    Q2382&lt;&gt;"",
    Q2382&lt;&gt;0,
    OR(
      TRIM(C2382)=TRIM(Enginuity!$A$18),
      AND(UPPER(TRIM(M2382))="STD", TRIM(B2382)=TRIM(Enginuity!$A$17))
    ),
    OR(
      AND(LEFT(P2382,5)="1-Way", Enginuity!$B$13=1),
      AND(LEFT(P2382,5)="2-Way", OR(Enginuity!$B$13=2, Enginuity!$B$13=4)),
      AND(LEFT(P2382,5)="3-Way", OR(Enginuity!$B$13=3, Enginuity!$B$13=6)),
      AND(P2382="Inner Centre Jamb", OR(Enginuity!$B$13=4, Enginuity!$B$13=6)),
      AND(
        LEFT(P2382,5)&lt;&gt;"1-Way",
        LEFT(P2382,5)&lt;&gt;"2-Way",
        LEFT(P2382,5)&lt;&gt;"3-Way",
        P2382&lt;&gt;"Inner Centre Jamb"
      )
    ),
    IF(OR(Enginuity!$A$1="Frameless Glass",Enginuity!$A$1="Metal Work"),
      AND(TRIM(B2382)=TRIM(Enginuity!$A$17),TRIM(C2382)=TRIM(Enginuity!$A$18)),
      TRIM(B2382)=TRIM(Enginuity!$A$17)
    )
  ),
  ROW(),
  ""
)</f>
        <v/>
      </c>
    </row>
    <row r="2383" spans="21:21" x14ac:dyDescent="0.25">
      <c r="U2383" s="104" t="str">
        <f>IF(
  AND(
    TRIM(A2383)=TRIM(Enginuity!$A$1),
    TRIM(B2383)=TRIM(Enginuity!$A$17),
    Q2383&lt;&gt;"",
    Q2383&lt;&gt;0,
    OR(
      TRIM(C2383)=TRIM(Enginuity!$A$18),
      AND(UPPER(TRIM(M2383))="STD", TRIM(B2383)=TRIM(Enginuity!$A$17))
    ),
    OR(
      AND(LEFT(P2383,5)="1-Way", Enginuity!$B$13=1),
      AND(LEFT(P2383,5)="2-Way", OR(Enginuity!$B$13=2, Enginuity!$B$13=4)),
      AND(LEFT(P2383,5)="3-Way", OR(Enginuity!$B$13=3, Enginuity!$B$13=6)),
      AND(P2383="Inner Centre Jamb", OR(Enginuity!$B$13=4, Enginuity!$B$13=6)),
      AND(
        LEFT(P2383,5)&lt;&gt;"1-Way",
        LEFT(P2383,5)&lt;&gt;"2-Way",
        LEFT(P2383,5)&lt;&gt;"3-Way",
        P2383&lt;&gt;"Inner Centre Jamb"
      )
    ),
    IF(OR(Enginuity!$A$1="Frameless Glass",Enginuity!$A$1="Metal Work"),
      AND(TRIM(B2383)=TRIM(Enginuity!$A$17),TRIM(C2383)=TRIM(Enginuity!$A$18)),
      TRIM(B2383)=TRIM(Enginuity!$A$17)
    )
  ),
  ROW(),
  ""
)</f>
        <v/>
      </c>
    </row>
    <row r="2384" spans="21:21" x14ac:dyDescent="0.25">
      <c r="U2384" s="104" t="str">
        <f>IF(
  AND(
    TRIM(A2384)=TRIM(Enginuity!$A$1),
    TRIM(B2384)=TRIM(Enginuity!$A$17),
    Q2384&lt;&gt;"",
    Q2384&lt;&gt;0,
    OR(
      TRIM(C2384)=TRIM(Enginuity!$A$18),
      AND(UPPER(TRIM(M2384))="STD", TRIM(B2384)=TRIM(Enginuity!$A$17))
    ),
    OR(
      AND(LEFT(P2384,5)="1-Way", Enginuity!$B$13=1),
      AND(LEFT(P2384,5)="2-Way", OR(Enginuity!$B$13=2, Enginuity!$B$13=4)),
      AND(LEFT(P2384,5)="3-Way", OR(Enginuity!$B$13=3, Enginuity!$B$13=6)),
      AND(P2384="Inner Centre Jamb", OR(Enginuity!$B$13=4, Enginuity!$B$13=6)),
      AND(
        LEFT(P2384,5)&lt;&gt;"1-Way",
        LEFT(P2384,5)&lt;&gt;"2-Way",
        LEFT(P2384,5)&lt;&gt;"3-Way",
        P2384&lt;&gt;"Inner Centre Jamb"
      )
    ),
    IF(OR(Enginuity!$A$1="Frameless Glass",Enginuity!$A$1="Metal Work"),
      AND(TRIM(B2384)=TRIM(Enginuity!$A$17),TRIM(C2384)=TRIM(Enginuity!$A$18)),
      TRIM(B2384)=TRIM(Enginuity!$A$17)
    )
  ),
  ROW(),
  ""
)</f>
        <v/>
      </c>
    </row>
    <row r="2385" spans="21:21" x14ac:dyDescent="0.25">
      <c r="U2385" s="104" t="str">
        <f>IF(
  AND(
    TRIM(A2385)=TRIM(Enginuity!$A$1),
    TRIM(B2385)=TRIM(Enginuity!$A$17),
    Q2385&lt;&gt;"",
    Q2385&lt;&gt;0,
    OR(
      TRIM(C2385)=TRIM(Enginuity!$A$18),
      AND(UPPER(TRIM(M2385))="STD", TRIM(B2385)=TRIM(Enginuity!$A$17))
    ),
    OR(
      AND(LEFT(P2385,5)="1-Way", Enginuity!$B$13=1),
      AND(LEFT(P2385,5)="2-Way", OR(Enginuity!$B$13=2, Enginuity!$B$13=4)),
      AND(LEFT(P2385,5)="3-Way", OR(Enginuity!$B$13=3, Enginuity!$B$13=6)),
      AND(P2385="Inner Centre Jamb", OR(Enginuity!$B$13=4, Enginuity!$B$13=6)),
      AND(
        LEFT(P2385,5)&lt;&gt;"1-Way",
        LEFT(P2385,5)&lt;&gt;"2-Way",
        LEFT(P2385,5)&lt;&gt;"3-Way",
        P2385&lt;&gt;"Inner Centre Jamb"
      )
    ),
    IF(OR(Enginuity!$A$1="Frameless Glass",Enginuity!$A$1="Metal Work"),
      AND(TRIM(B2385)=TRIM(Enginuity!$A$17),TRIM(C2385)=TRIM(Enginuity!$A$18)),
      TRIM(B2385)=TRIM(Enginuity!$A$17)
    )
  ),
  ROW(),
  ""
)</f>
        <v/>
      </c>
    </row>
    <row r="2386" spans="21:21" x14ac:dyDescent="0.25">
      <c r="U2386" s="104" t="str">
        <f>IF(
  AND(
    TRIM(A2386)=TRIM(Enginuity!$A$1),
    TRIM(B2386)=TRIM(Enginuity!$A$17),
    Q2386&lt;&gt;"",
    Q2386&lt;&gt;0,
    OR(
      TRIM(C2386)=TRIM(Enginuity!$A$18),
      AND(UPPER(TRIM(M2386))="STD", TRIM(B2386)=TRIM(Enginuity!$A$17))
    ),
    OR(
      AND(LEFT(P2386,5)="1-Way", Enginuity!$B$13=1),
      AND(LEFT(P2386,5)="2-Way", OR(Enginuity!$B$13=2, Enginuity!$B$13=4)),
      AND(LEFT(P2386,5)="3-Way", OR(Enginuity!$B$13=3, Enginuity!$B$13=6)),
      AND(P2386="Inner Centre Jamb", OR(Enginuity!$B$13=4, Enginuity!$B$13=6)),
      AND(
        LEFT(P2386,5)&lt;&gt;"1-Way",
        LEFT(P2386,5)&lt;&gt;"2-Way",
        LEFT(P2386,5)&lt;&gt;"3-Way",
        P2386&lt;&gt;"Inner Centre Jamb"
      )
    ),
    IF(OR(Enginuity!$A$1="Frameless Glass",Enginuity!$A$1="Metal Work"),
      AND(TRIM(B2386)=TRIM(Enginuity!$A$17),TRIM(C2386)=TRIM(Enginuity!$A$18)),
      TRIM(B2386)=TRIM(Enginuity!$A$17)
    )
  ),
  ROW(),
  ""
)</f>
        <v/>
      </c>
    </row>
    <row r="2387" spans="21:21" x14ac:dyDescent="0.25">
      <c r="U2387" s="104" t="str">
        <f>IF(
  AND(
    TRIM(A2387)=TRIM(Enginuity!$A$1),
    TRIM(B2387)=TRIM(Enginuity!$A$17),
    Q2387&lt;&gt;"",
    Q2387&lt;&gt;0,
    OR(
      TRIM(C2387)=TRIM(Enginuity!$A$18),
      AND(UPPER(TRIM(M2387))="STD", TRIM(B2387)=TRIM(Enginuity!$A$17))
    ),
    OR(
      AND(LEFT(P2387,5)="1-Way", Enginuity!$B$13=1),
      AND(LEFT(P2387,5)="2-Way", OR(Enginuity!$B$13=2, Enginuity!$B$13=4)),
      AND(LEFT(P2387,5)="3-Way", OR(Enginuity!$B$13=3, Enginuity!$B$13=6)),
      AND(P2387="Inner Centre Jamb", OR(Enginuity!$B$13=4, Enginuity!$B$13=6)),
      AND(
        LEFT(P2387,5)&lt;&gt;"1-Way",
        LEFT(P2387,5)&lt;&gt;"2-Way",
        LEFT(P2387,5)&lt;&gt;"3-Way",
        P2387&lt;&gt;"Inner Centre Jamb"
      )
    ),
    IF(OR(Enginuity!$A$1="Frameless Glass",Enginuity!$A$1="Metal Work"),
      AND(TRIM(B2387)=TRIM(Enginuity!$A$17),TRIM(C2387)=TRIM(Enginuity!$A$18)),
      TRIM(B2387)=TRIM(Enginuity!$A$17)
    )
  ),
  ROW(),
  ""
)</f>
        <v/>
      </c>
    </row>
    <row r="2388" spans="21:21" x14ac:dyDescent="0.25">
      <c r="U2388" s="104" t="str">
        <f>IF(
  AND(
    TRIM(A2388)=TRIM(Enginuity!$A$1),
    TRIM(B2388)=TRIM(Enginuity!$A$17),
    Q2388&lt;&gt;"",
    Q2388&lt;&gt;0,
    OR(
      TRIM(C2388)=TRIM(Enginuity!$A$18),
      AND(UPPER(TRIM(M2388))="STD", TRIM(B2388)=TRIM(Enginuity!$A$17))
    ),
    OR(
      AND(LEFT(P2388,5)="1-Way", Enginuity!$B$13=1),
      AND(LEFT(P2388,5)="2-Way", OR(Enginuity!$B$13=2, Enginuity!$B$13=4)),
      AND(LEFT(P2388,5)="3-Way", OR(Enginuity!$B$13=3, Enginuity!$B$13=6)),
      AND(P2388="Inner Centre Jamb", OR(Enginuity!$B$13=4, Enginuity!$B$13=6)),
      AND(
        LEFT(P2388,5)&lt;&gt;"1-Way",
        LEFT(P2388,5)&lt;&gt;"2-Way",
        LEFT(P2388,5)&lt;&gt;"3-Way",
        P2388&lt;&gt;"Inner Centre Jamb"
      )
    ),
    IF(OR(Enginuity!$A$1="Frameless Glass",Enginuity!$A$1="Metal Work"),
      AND(TRIM(B2388)=TRIM(Enginuity!$A$17),TRIM(C2388)=TRIM(Enginuity!$A$18)),
      TRIM(B2388)=TRIM(Enginuity!$A$17)
    )
  ),
  ROW(),
  ""
)</f>
        <v/>
      </c>
    </row>
    <row r="2389" spans="21:21" x14ac:dyDescent="0.25">
      <c r="U2389" s="104" t="str">
        <f>IF(
  AND(
    TRIM(A2389)=TRIM(Enginuity!$A$1),
    TRIM(B2389)=TRIM(Enginuity!$A$17),
    Q2389&lt;&gt;"",
    Q2389&lt;&gt;0,
    OR(
      TRIM(C2389)=TRIM(Enginuity!$A$18),
      AND(UPPER(TRIM(M2389))="STD", TRIM(B2389)=TRIM(Enginuity!$A$17))
    ),
    OR(
      AND(LEFT(P2389,5)="1-Way", Enginuity!$B$13=1),
      AND(LEFT(P2389,5)="2-Way", OR(Enginuity!$B$13=2, Enginuity!$B$13=4)),
      AND(LEFT(P2389,5)="3-Way", OR(Enginuity!$B$13=3, Enginuity!$B$13=6)),
      AND(P2389="Inner Centre Jamb", OR(Enginuity!$B$13=4, Enginuity!$B$13=6)),
      AND(
        LEFT(P2389,5)&lt;&gt;"1-Way",
        LEFT(P2389,5)&lt;&gt;"2-Way",
        LEFT(P2389,5)&lt;&gt;"3-Way",
        P2389&lt;&gt;"Inner Centre Jamb"
      )
    ),
    IF(OR(Enginuity!$A$1="Frameless Glass",Enginuity!$A$1="Metal Work"),
      AND(TRIM(B2389)=TRIM(Enginuity!$A$17),TRIM(C2389)=TRIM(Enginuity!$A$18)),
      TRIM(B2389)=TRIM(Enginuity!$A$17)
    )
  ),
  ROW(),
  ""
)</f>
        <v/>
      </c>
    </row>
    <row r="2390" spans="21:21" x14ac:dyDescent="0.25">
      <c r="U2390" s="104" t="str">
        <f>IF(
  AND(
    TRIM(A2390)=TRIM(Enginuity!$A$1),
    TRIM(B2390)=TRIM(Enginuity!$A$17),
    Q2390&lt;&gt;"",
    Q2390&lt;&gt;0,
    OR(
      TRIM(C2390)=TRIM(Enginuity!$A$18),
      AND(UPPER(TRIM(M2390))="STD", TRIM(B2390)=TRIM(Enginuity!$A$17))
    ),
    OR(
      AND(LEFT(P2390,5)="1-Way", Enginuity!$B$13=1),
      AND(LEFT(P2390,5)="2-Way", OR(Enginuity!$B$13=2, Enginuity!$B$13=4)),
      AND(LEFT(P2390,5)="3-Way", OR(Enginuity!$B$13=3, Enginuity!$B$13=6)),
      AND(P2390="Inner Centre Jamb", OR(Enginuity!$B$13=4, Enginuity!$B$13=6)),
      AND(
        LEFT(P2390,5)&lt;&gt;"1-Way",
        LEFT(P2390,5)&lt;&gt;"2-Way",
        LEFT(P2390,5)&lt;&gt;"3-Way",
        P2390&lt;&gt;"Inner Centre Jamb"
      )
    ),
    IF(OR(Enginuity!$A$1="Frameless Glass",Enginuity!$A$1="Metal Work"),
      AND(TRIM(B2390)=TRIM(Enginuity!$A$17),TRIM(C2390)=TRIM(Enginuity!$A$18)),
      TRIM(B2390)=TRIM(Enginuity!$A$17)
    )
  ),
  ROW(),
  ""
)</f>
        <v/>
      </c>
    </row>
    <row r="2391" spans="21:21" x14ac:dyDescent="0.25">
      <c r="U2391" s="104" t="str">
        <f>IF(
  AND(
    TRIM(A2391)=TRIM(Enginuity!$A$1),
    TRIM(B2391)=TRIM(Enginuity!$A$17),
    Q2391&lt;&gt;"",
    Q2391&lt;&gt;0,
    OR(
      TRIM(C2391)=TRIM(Enginuity!$A$18),
      AND(UPPER(TRIM(M2391))="STD", TRIM(B2391)=TRIM(Enginuity!$A$17))
    ),
    OR(
      AND(LEFT(P2391,5)="1-Way", Enginuity!$B$13=1),
      AND(LEFT(P2391,5)="2-Way", OR(Enginuity!$B$13=2, Enginuity!$B$13=4)),
      AND(LEFT(P2391,5)="3-Way", OR(Enginuity!$B$13=3, Enginuity!$B$13=6)),
      AND(P2391="Inner Centre Jamb", OR(Enginuity!$B$13=4, Enginuity!$B$13=6)),
      AND(
        LEFT(P2391,5)&lt;&gt;"1-Way",
        LEFT(P2391,5)&lt;&gt;"2-Way",
        LEFT(P2391,5)&lt;&gt;"3-Way",
        P2391&lt;&gt;"Inner Centre Jamb"
      )
    ),
    IF(OR(Enginuity!$A$1="Frameless Glass",Enginuity!$A$1="Metal Work"),
      AND(TRIM(B2391)=TRIM(Enginuity!$A$17),TRIM(C2391)=TRIM(Enginuity!$A$18)),
      TRIM(B2391)=TRIM(Enginuity!$A$17)
    )
  ),
  ROW(),
  ""
)</f>
        <v/>
      </c>
    </row>
    <row r="2392" spans="21:21" x14ac:dyDescent="0.25">
      <c r="U2392" s="104" t="str">
        <f>IF(
  AND(
    TRIM(A2392)=TRIM(Enginuity!$A$1),
    TRIM(B2392)=TRIM(Enginuity!$A$17),
    Q2392&lt;&gt;"",
    Q2392&lt;&gt;0,
    OR(
      TRIM(C2392)=TRIM(Enginuity!$A$18),
      AND(UPPER(TRIM(M2392))="STD", TRIM(B2392)=TRIM(Enginuity!$A$17))
    ),
    OR(
      AND(LEFT(P2392,5)="1-Way", Enginuity!$B$13=1),
      AND(LEFT(P2392,5)="2-Way", OR(Enginuity!$B$13=2, Enginuity!$B$13=4)),
      AND(LEFT(P2392,5)="3-Way", OR(Enginuity!$B$13=3, Enginuity!$B$13=6)),
      AND(P2392="Inner Centre Jamb", OR(Enginuity!$B$13=4, Enginuity!$B$13=6)),
      AND(
        LEFT(P2392,5)&lt;&gt;"1-Way",
        LEFT(P2392,5)&lt;&gt;"2-Way",
        LEFT(P2392,5)&lt;&gt;"3-Way",
        P2392&lt;&gt;"Inner Centre Jamb"
      )
    ),
    IF(OR(Enginuity!$A$1="Frameless Glass",Enginuity!$A$1="Metal Work"),
      AND(TRIM(B2392)=TRIM(Enginuity!$A$17),TRIM(C2392)=TRIM(Enginuity!$A$18)),
      TRIM(B2392)=TRIM(Enginuity!$A$17)
    )
  ),
  ROW(),
  ""
)</f>
        <v/>
      </c>
    </row>
    <row r="2393" spans="21:21" x14ac:dyDescent="0.25">
      <c r="U2393" s="104" t="str">
        <f>IF(
  AND(
    TRIM(A2393)=TRIM(Enginuity!$A$1),
    TRIM(B2393)=TRIM(Enginuity!$A$17),
    Q2393&lt;&gt;"",
    Q2393&lt;&gt;0,
    OR(
      TRIM(C2393)=TRIM(Enginuity!$A$18),
      AND(UPPER(TRIM(M2393))="STD", TRIM(B2393)=TRIM(Enginuity!$A$17))
    ),
    OR(
      AND(LEFT(P2393,5)="1-Way", Enginuity!$B$13=1),
      AND(LEFT(P2393,5)="2-Way", OR(Enginuity!$B$13=2, Enginuity!$B$13=4)),
      AND(LEFT(P2393,5)="3-Way", OR(Enginuity!$B$13=3, Enginuity!$B$13=6)),
      AND(P2393="Inner Centre Jamb", OR(Enginuity!$B$13=4, Enginuity!$B$13=6)),
      AND(
        LEFT(P2393,5)&lt;&gt;"1-Way",
        LEFT(P2393,5)&lt;&gt;"2-Way",
        LEFT(P2393,5)&lt;&gt;"3-Way",
        P2393&lt;&gt;"Inner Centre Jamb"
      )
    ),
    IF(OR(Enginuity!$A$1="Frameless Glass",Enginuity!$A$1="Metal Work"),
      AND(TRIM(B2393)=TRIM(Enginuity!$A$17),TRIM(C2393)=TRIM(Enginuity!$A$18)),
      TRIM(B2393)=TRIM(Enginuity!$A$17)
    )
  ),
  ROW(),
  ""
)</f>
        <v/>
      </c>
    </row>
    <row r="2394" spans="21:21" x14ac:dyDescent="0.25">
      <c r="U2394" s="104" t="str">
        <f>IF(
  AND(
    TRIM(A2394)=TRIM(Enginuity!$A$1),
    TRIM(B2394)=TRIM(Enginuity!$A$17),
    Q2394&lt;&gt;"",
    Q2394&lt;&gt;0,
    OR(
      TRIM(C2394)=TRIM(Enginuity!$A$18),
      AND(UPPER(TRIM(M2394))="STD", TRIM(B2394)=TRIM(Enginuity!$A$17))
    ),
    OR(
      AND(LEFT(P2394,5)="1-Way", Enginuity!$B$13=1),
      AND(LEFT(P2394,5)="2-Way", OR(Enginuity!$B$13=2, Enginuity!$B$13=4)),
      AND(LEFT(P2394,5)="3-Way", OR(Enginuity!$B$13=3, Enginuity!$B$13=6)),
      AND(P2394="Inner Centre Jamb", OR(Enginuity!$B$13=4, Enginuity!$B$13=6)),
      AND(
        LEFT(P2394,5)&lt;&gt;"1-Way",
        LEFT(P2394,5)&lt;&gt;"2-Way",
        LEFT(P2394,5)&lt;&gt;"3-Way",
        P2394&lt;&gt;"Inner Centre Jamb"
      )
    ),
    IF(OR(Enginuity!$A$1="Frameless Glass",Enginuity!$A$1="Metal Work"),
      AND(TRIM(B2394)=TRIM(Enginuity!$A$17),TRIM(C2394)=TRIM(Enginuity!$A$18)),
      TRIM(B2394)=TRIM(Enginuity!$A$17)
    )
  ),
  ROW(),
  ""
)</f>
        <v/>
      </c>
    </row>
    <row r="2395" spans="21:21" x14ac:dyDescent="0.25">
      <c r="U2395" s="104" t="str">
        <f>IF(
  AND(
    TRIM(A2395)=TRIM(Enginuity!$A$1),
    TRIM(B2395)=TRIM(Enginuity!$A$17),
    Q2395&lt;&gt;"",
    Q2395&lt;&gt;0,
    OR(
      TRIM(C2395)=TRIM(Enginuity!$A$18),
      AND(UPPER(TRIM(M2395))="STD", TRIM(B2395)=TRIM(Enginuity!$A$17))
    ),
    OR(
      AND(LEFT(P2395,5)="1-Way", Enginuity!$B$13=1),
      AND(LEFT(P2395,5)="2-Way", OR(Enginuity!$B$13=2, Enginuity!$B$13=4)),
      AND(LEFT(P2395,5)="3-Way", OR(Enginuity!$B$13=3, Enginuity!$B$13=6)),
      AND(P2395="Inner Centre Jamb", OR(Enginuity!$B$13=4, Enginuity!$B$13=6)),
      AND(
        LEFT(P2395,5)&lt;&gt;"1-Way",
        LEFT(P2395,5)&lt;&gt;"2-Way",
        LEFT(P2395,5)&lt;&gt;"3-Way",
        P2395&lt;&gt;"Inner Centre Jamb"
      )
    ),
    IF(OR(Enginuity!$A$1="Frameless Glass",Enginuity!$A$1="Metal Work"),
      AND(TRIM(B2395)=TRIM(Enginuity!$A$17),TRIM(C2395)=TRIM(Enginuity!$A$18)),
      TRIM(B2395)=TRIM(Enginuity!$A$17)
    )
  ),
  ROW(),
  ""
)</f>
        <v/>
      </c>
    </row>
    <row r="2396" spans="21:21" x14ac:dyDescent="0.25">
      <c r="U2396" s="104" t="str">
        <f>IF(
  AND(
    TRIM(A2396)=TRIM(Enginuity!$A$1),
    TRIM(B2396)=TRIM(Enginuity!$A$17),
    Q2396&lt;&gt;"",
    Q2396&lt;&gt;0,
    OR(
      TRIM(C2396)=TRIM(Enginuity!$A$18),
      AND(UPPER(TRIM(M2396))="STD", TRIM(B2396)=TRIM(Enginuity!$A$17))
    ),
    OR(
      AND(LEFT(P2396,5)="1-Way", Enginuity!$B$13=1),
      AND(LEFT(P2396,5)="2-Way", OR(Enginuity!$B$13=2, Enginuity!$B$13=4)),
      AND(LEFT(P2396,5)="3-Way", OR(Enginuity!$B$13=3, Enginuity!$B$13=6)),
      AND(P2396="Inner Centre Jamb", OR(Enginuity!$B$13=4, Enginuity!$B$13=6)),
      AND(
        LEFT(P2396,5)&lt;&gt;"1-Way",
        LEFT(P2396,5)&lt;&gt;"2-Way",
        LEFT(P2396,5)&lt;&gt;"3-Way",
        P2396&lt;&gt;"Inner Centre Jamb"
      )
    ),
    IF(OR(Enginuity!$A$1="Frameless Glass",Enginuity!$A$1="Metal Work"),
      AND(TRIM(B2396)=TRIM(Enginuity!$A$17),TRIM(C2396)=TRIM(Enginuity!$A$18)),
      TRIM(B2396)=TRIM(Enginuity!$A$17)
    )
  ),
  ROW(),
  ""
)</f>
        <v/>
      </c>
    </row>
    <row r="2397" spans="21:21" x14ac:dyDescent="0.25">
      <c r="U2397" s="104" t="str">
        <f>IF(
  AND(
    TRIM(A2397)=TRIM(Enginuity!$A$1),
    TRIM(B2397)=TRIM(Enginuity!$A$17),
    Q2397&lt;&gt;"",
    Q2397&lt;&gt;0,
    OR(
      TRIM(C2397)=TRIM(Enginuity!$A$18),
      AND(UPPER(TRIM(M2397))="STD", TRIM(B2397)=TRIM(Enginuity!$A$17))
    ),
    OR(
      AND(LEFT(P2397,5)="1-Way", Enginuity!$B$13=1),
      AND(LEFT(P2397,5)="2-Way", OR(Enginuity!$B$13=2, Enginuity!$B$13=4)),
      AND(LEFT(P2397,5)="3-Way", OR(Enginuity!$B$13=3, Enginuity!$B$13=6)),
      AND(P2397="Inner Centre Jamb", OR(Enginuity!$B$13=4, Enginuity!$B$13=6)),
      AND(
        LEFT(P2397,5)&lt;&gt;"1-Way",
        LEFT(P2397,5)&lt;&gt;"2-Way",
        LEFT(P2397,5)&lt;&gt;"3-Way",
        P2397&lt;&gt;"Inner Centre Jamb"
      )
    ),
    IF(OR(Enginuity!$A$1="Frameless Glass",Enginuity!$A$1="Metal Work"),
      AND(TRIM(B2397)=TRIM(Enginuity!$A$17),TRIM(C2397)=TRIM(Enginuity!$A$18)),
      TRIM(B2397)=TRIM(Enginuity!$A$17)
    )
  ),
  ROW(),
  ""
)</f>
        <v/>
      </c>
    </row>
    <row r="2398" spans="21:21" x14ac:dyDescent="0.25">
      <c r="U2398" s="104" t="str">
        <f>IF(
  AND(
    TRIM(A2398)=TRIM(Enginuity!$A$1),
    TRIM(B2398)=TRIM(Enginuity!$A$17),
    Q2398&lt;&gt;"",
    Q2398&lt;&gt;0,
    OR(
      TRIM(C2398)=TRIM(Enginuity!$A$18),
      AND(UPPER(TRIM(M2398))="STD", TRIM(B2398)=TRIM(Enginuity!$A$17))
    ),
    OR(
      AND(LEFT(P2398,5)="1-Way", Enginuity!$B$13=1),
      AND(LEFT(P2398,5)="2-Way", OR(Enginuity!$B$13=2, Enginuity!$B$13=4)),
      AND(LEFT(P2398,5)="3-Way", OR(Enginuity!$B$13=3, Enginuity!$B$13=6)),
      AND(P2398="Inner Centre Jamb", OR(Enginuity!$B$13=4, Enginuity!$B$13=6)),
      AND(
        LEFT(P2398,5)&lt;&gt;"1-Way",
        LEFT(P2398,5)&lt;&gt;"2-Way",
        LEFT(P2398,5)&lt;&gt;"3-Way",
        P2398&lt;&gt;"Inner Centre Jamb"
      )
    ),
    IF(OR(Enginuity!$A$1="Frameless Glass",Enginuity!$A$1="Metal Work"),
      AND(TRIM(B2398)=TRIM(Enginuity!$A$17),TRIM(C2398)=TRIM(Enginuity!$A$18)),
      TRIM(B2398)=TRIM(Enginuity!$A$17)
    )
  ),
  ROW(),
  ""
)</f>
        <v/>
      </c>
    </row>
    <row r="2399" spans="21:21" x14ac:dyDescent="0.25">
      <c r="U2399" s="104" t="str">
        <f>IF(
  AND(
    TRIM(A2399)=TRIM(Enginuity!$A$1),
    TRIM(B2399)=TRIM(Enginuity!$A$17),
    Q2399&lt;&gt;"",
    Q2399&lt;&gt;0,
    OR(
      TRIM(C2399)=TRIM(Enginuity!$A$18),
      AND(UPPER(TRIM(M2399))="STD", TRIM(B2399)=TRIM(Enginuity!$A$17))
    ),
    OR(
      AND(LEFT(P2399,5)="1-Way", Enginuity!$B$13=1),
      AND(LEFT(P2399,5)="2-Way", OR(Enginuity!$B$13=2, Enginuity!$B$13=4)),
      AND(LEFT(P2399,5)="3-Way", OR(Enginuity!$B$13=3, Enginuity!$B$13=6)),
      AND(P2399="Inner Centre Jamb", OR(Enginuity!$B$13=4, Enginuity!$B$13=6)),
      AND(
        LEFT(P2399,5)&lt;&gt;"1-Way",
        LEFT(P2399,5)&lt;&gt;"2-Way",
        LEFT(P2399,5)&lt;&gt;"3-Way",
        P2399&lt;&gt;"Inner Centre Jamb"
      )
    ),
    IF(OR(Enginuity!$A$1="Frameless Glass",Enginuity!$A$1="Metal Work"),
      AND(TRIM(B2399)=TRIM(Enginuity!$A$17),TRIM(C2399)=TRIM(Enginuity!$A$18)),
      TRIM(B2399)=TRIM(Enginuity!$A$17)
    )
  ),
  ROW(),
  ""
)</f>
        <v/>
      </c>
    </row>
    <row r="2400" spans="21:21" x14ac:dyDescent="0.25">
      <c r="U2400" s="104" t="str">
        <f>IF(
  AND(
    TRIM(A2400)=TRIM(Enginuity!$A$1),
    TRIM(B2400)=TRIM(Enginuity!$A$17),
    Q2400&lt;&gt;"",
    Q2400&lt;&gt;0,
    OR(
      TRIM(C2400)=TRIM(Enginuity!$A$18),
      AND(UPPER(TRIM(M2400))="STD", TRIM(B2400)=TRIM(Enginuity!$A$17))
    ),
    OR(
      AND(LEFT(P2400,5)="1-Way", Enginuity!$B$13=1),
      AND(LEFT(P2400,5)="2-Way", OR(Enginuity!$B$13=2, Enginuity!$B$13=4)),
      AND(LEFT(P2400,5)="3-Way", OR(Enginuity!$B$13=3, Enginuity!$B$13=6)),
      AND(P2400="Inner Centre Jamb", OR(Enginuity!$B$13=4, Enginuity!$B$13=6)),
      AND(
        LEFT(P2400,5)&lt;&gt;"1-Way",
        LEFT(P2400,5)&lt;&gt;"2-Way",
        LEFT(P2400,5)&lt;&gt;"3-Way",
        P2400&lt;&gt;"Inner Centre Jamb"
      )
    ),
    IF(OR(Enginuity!$A$1="Frameless Glass",Enginuity!$A$1="Metal Work"),
      AND(TRIM(B2400)=TRIM(Enginuity!$A$17),TRIM(C2400)=TRIM(Enginuity!$A$18)),
      TRIM(B2400)=TRIM(Enginuity!$A$17)
    )
  ),
  ROW(),
  ""
)</f>
        <v/>
      </c>
    </row>
    <row r="2401" spans="21:21" x14ac:dyDescent="0.25">
      <c r="U2401" s="104" t="str">
        <f>IF(
  AND(
    TRIM(A2401)=TRIM(Enginuity!$A$1),
    TRIM(B2401)=TRIM(Enginuity!$A$17),
    Q2401&lt;&gt;"",
    Q2401&lt;&gt;0,
    OR(
      TRIM(C2401)=TRIM(Enginuity!$A$18),
      AND(UPPER(TRIM(M2401))="STD", TRIM(B2401)=TRIM(Enginuity!$A$17))
    ),
    OR(
      AND(LEFT(P2401,5)="1-Way", Enginuity!$B$13=1),
      AND(LEFT(P2401,5)="2-Way", OR(Enginuity!$B$13=2, Enginuity!$B$13=4)),
      AND(LEFT(P2401,5)="3-Way", OR(Enginuity!$B$13=3, Enginuity!$B$13=6)),
      AND(P2401="Inner Centre Jamb", OR(Enginuity!$B$13=4, Enginuity!$B$13=6)),
      AND(
        LEFT(P2401,5)&lt;&gt;"1-Way",
        LEFT(P2401,5)&lt;&gt;"2-Way",
        LEFT(P2401,5)&lt;&gt;"3-Way",
        P2401&lt;&gt;"Inner Centre Jamb"
      )
    ),
    IF(OR(Enginuity!$A$1="Frameless Glass",Enginuity!$A$1="Metal Work"),
      AND(TRIM(B2401)=TRIM(Enginuity!$A$17),TRIM(C2401)=TRIM(Enginuity!$A$18)),
      TRIM(B2401)=TRIM(Enginuity!$A$17)
    )
  ),
  ROW(),
  ""
)</f>
        <v/>
      </c>
    </row>
    <row r="2402" spans="21:21" x14ac:dyDescent="0.25">
      <c r="U2402" s="104" t="str">
        <f>IF(
  AND(
    TRIM(A2402)=TRIM(Enginuity!$A$1),
    TRIM(B2402)=TRIM(Enginuity!$A$17),
    Q2402&lt;&gt;"",
    Q2402&lt;&gt;0,
    OR(
      TRIM(C2402)=TRIM(Enginuity!$A$18),
      AND(UPPER(TRIM(M2402))="STD", TRIM(B2402)=TRIM(Enginuity!$A$17))
    ),
    OR(
      AND(LEFT(P2402,5)="1-Way", Enginuity!$B$13=1),
      AND(LEFT(P2402,5)="2-Way", OR(Enginuity!$B$13=2, Enginuity!$B$13=4)),
      AND(LEFT(P2402,5)="3-Way", OR(Enginuity!$B$13=3, Enginuity!$B$13=6)),
      AND(P2402="Inner Centre Jamb", OR(Enginuity!$B$13=4, Enginuity!$B$13=6)),
      AND(
        LEFT(P2402,5)&lt;&gt;"1-Way",
        LEFT(P2402,5)&lt;&gt;"2-Way",
        LEFT(P2402,5)&lt;&gt;"3-Way",
        P2402&lt;&gt;"Inner Centre Jamb"
      )
    ),
    IF(OR(Enginuity!$A$1="Frameless Glass",Enginuity!$A$1="Metal Work"),
      AND(TRIM(B2402)=TRIM(Enginuity!$A$17),TRIM(C2402)=TRIM(Enginuity!$A$18)),
      TRIM(B2402)=TRIM(Enginuity!$A$17)
    )
  ),
  ROW(),
  ""
)</f>
        <v/>
      </c>
    </row>
    <row r="2403" spans="21:21" x14ac:dyDescent="0.25">
      <c r="U2403" s="104" t="str">
        <f>IF(
  AND(
    TRIM(A2403)=TRIM(Enginuity!$A$1),
    TRIM(B2403)=TRIM(Enginuity!$A$17),
    Q2403&lt;&gt;"",
    Q2403&lt;&gt;0,
    OR(
      TRIM(C2403)=TRIM(Enginuity!$A$18),
      AND(UPPER(TRIM(M2403))="STD", TRIM(B2403)=TRIM(Enginuity!$A$17))
    ),
    OR(
      AND(LEFT(P2403,5)="1-Way", Enginuity!$B$13=1),
      AND(LEFT(P2403,5)="2-Way", OR(Enginuity!$B$13=2, Enginuity!$B$13=4)),
      AND(LEFT(P2403,5)="3-Way", OR(Enginuity!$B$13=3, Enginuity!$B$13=6)),
      AND(P2403="Inner Centre Jamb", OR(Enginuity!$B$13=4, Enginuity!$B$13=6)),
      AND(
        LEFT(P2403,5)&lt;&gt;"1-Way",
        LEFT(P2403,5)&lt;&gt;"2-Way",
        LEFT(P2403,5)&lt;&gt;"3-Way",
        P2403&lt;&gt;"Inner Centre Jamb"
      )
    ),
    IF(OR(Enginuity!$A$1="Frameless Glass",Enginuity!$A$1="Metal Work"),
      AND(TRIM(B2403)=TRIM(Enginuity!$A$17),TRIM(C2403)=TRIM(Enginuity!$A$18)),
      TRIM(B2403)=TRIM(Enginuity!$A$17)
    )
  ),
  ROW(),
  ""
)</f>
        <v/>
      </c>
    </row>
    <row r="2404" spans="21:21" x14ac:dyDescent="0.25">
      <c r="U2404" s="104" t="str">
        <f>IF(
  AND(
    TRIM(A2404)=TRIM(Enginuity!$A$1),
    TRIM(B2404)=TRIM(Enginuity!$A$17),
    Q2404&lt;&gt;"",
    Q2404&lt;&gt;0,
    OR(
      TRIM(C2404)=TRIM(Enginuity!$A$18),
      AND(UPPER(TRIM(M2404))="STD", TRIM(B2404)=TRIM(Enginuity!$A$17))
    ),
    OR(
      AND(LEFT(P2404,5)="1-Way", Enginuity!$B$13=1),
      AND(LEFT(P2404,5)="2-Way", OR(Enginuity!$B$13=2, Enginuity!$B$13=4)),
      AND(LEFT(P2404,5)="3-Way", OR(Enginuity!$B$13=3, Enginuity!$B$13=6)),
      AND(P2404="Inner Centre Jamb", OR(Enginuity!$B$13=4, Enginuity!$B$13=6)),
      AND(
        LEFT(P2404,5)&lt;&gt;"1-Way",
        LEFT(P2404,5)&lt;&gt;"2-Way",
        LEFT(P2404,5)&lt;&gt;"3-Way",
        P2404&lt;&gt;"Inner Centre Jamb"
      )
    ),
    IF(OR(Enginuity!$A$1="Frameless Glass",Enginuity!$A$1="Metal Work"),
      AND(TRIM(B2404)=TRIM(Enginuity!$A$17),TRIM(C2404)=TRIM(Enginuity!$A$18)),
      TRIM(B2404)=TRIM(Enginuity!$A$17)
    )
  ),
  ROW(),
  ""
)</f>
        <v/>
      </c>
    </row>
    <row r="2405" spans="21:21" x14ac:dyDescent="0.25">
      <c r="U2405" s="104" t="str">
        <f>IF(
  AND(
    TRIM(A2405)=TRIM(Enginuity!$A$1),
    TRIM(B2405)=TRIM(Enginuity!$A$17),
    Q2405&lt;&gt;"",
    Q2405&lt;&gt;0,
    OR(
      TRIM(C2405)=TRIM(Enginuity!$A$18),
      AND(UPPER(TRIM(M2405))="STD", TRIM(B2405)=TRIM(Enginuity!$A$17))
    ),
    OR(
      AND(LEFT(P2405,5)="1-Way", Enginuity!$B$13=1),
      AND(LEFT(P2405,5)="2-Way", OR(Enginuity!$B$13=2, Enginuity!$B$13=4)),
      AND(LEFT(P2405,5)="3-Way", OR(Enginuity!$B$13=3, Enginuity!$B$13=6)),
      AND(P2405="Inner Centre Jamb", OR(Enginuity!$B$13=4, Enginuity!$B$13=6)),
      AND(
        LEFT(P2405,5)&lt;&gt;"1-Way",
        LEFT(P2405,5)&lt;&gt;"2-Way",
        LEFT(P2405,5)&lt;&gt;"3-Way",
        P2405&lt;&gt;"Inner Centre Jamb"
      )
    ),
    IF(OR(Enginuity!$A$1="Frameless Glass",Enginuity!$A$1="Metal Work"),
      AND(TRIM(B2405)=TRIM(Enginuity!$A$17),TRIM(C2405)=TRIM(Enginuity!$A$18)),
      TRIM(B2405)=TRIM(Enginuity!$A$17)
    )
  ),
  ROW(),
  ""
)</f>
        <v/>
      </c>
    </row>
    <row r="2406" spans="21:21" x14ac:dyDescent="0.25">
      <c r="U2406" s="104" t="str">
        <f>IF(
  AND(
    TRIM(A2406)=TRIM(Enginuity!$A$1),
    TRIM(B2406)=TRIM(Enginuity!$A$17),
    Q2406&lt;&gt;"",
    Q2406&lt;&gt;0,
    OR(
      TRIM(C2406)=TRIM(Enginuity!$A$18),
      AND(UPPER(TRIM(M2406))="STD", TRIM(B2406)=TRIM(Enginuity!$A$17))
    ),
    OR(
      AND(LEFT(P2406,5)="1-Way", Enginuity!$B$13=1),
      AND(LEFT(P2406,5)="2-Way", OR(Enginuity!$B$13=2, Enginuity!$B$13=4)),
      AND(LEFT(P2406,5)="3-Way", OR(Enginuity!$B$13=3, Enginuity!$B$13=6)),
      AND(P2406="Inner Centre Jamb", OR(Enginuity!$B$13=4, Enginuity!$B$13=6)),
      AND(
        LEFT(P2406,5)&lt;&gt;"1-Way",
        LEFT(P2406,5)&lt;&gt;"2-Way",
        LEFT(P2406,5)&lt;&gt;"3-Way",
        P2406&lt;&gt;"Inner Centre Jamb"
      )
    ),
    IF(OR(Enginuity!$A$1="Frameless Glass",Enginuity!$A$1="Metal Work"),
      AND(TRIM(B2406)=TRIM(Enginuity!$A$17),TRIM(C2406)=TRIM(Enginuity!$A$18)),
      TRIM(B2406)=TRIM(Enginuity!$A$17)
    )
  ),
  ROW(),
  ""
)</f>
        <v/>
      </c>
    </row>
    <row r="2407" spans="21:21" x14ac:dyDescent="0.25">
      <c r="U2407" s="104" t="str">
        <f>IF(
  AND(
    TRIM(A2407)=TRIM(Enginuity!$A$1),
    TRIM(B2407)=TRIM(Enginuity!$A$17),
    Q2407&lt;&gt;"",
    Q2407&lt;&gt;0,
    OR(
      TRIM(C2407)=TRIM(Enginuity!$A$18),
      AND(UPPER(TRIM(M2407))="STD", TRIM(B2407)=TRIM(Enginuity!$A$17))
    ),
    OR(
      AND(LEFT(P2407,5)="1-Way", Enginuity!$B$13=1),
      AND(LEFT(P2407,5)="2-Way", OR(Enginuity!$B$13=2, Enginuity!$B$13=4)),
      AND(LEFT(P2407,5)="3-Way", OR(Enginuity!$B$13=3, Enginuity!$B$13=6)),
      AND(P2407="Inner Centre Jamb", OR(Enginuity!$B$13=4, Enginuity!$B$13=6)),
      AND(
        LEFT(P2407,5)&lt;&gt;"1-Way",
        LEFT(P2407,5)&lt;&gt;"2-Way",
        LEFT(P2407,5)&lt;&gt;"3-Way",
        P2407&lt;&gt;"Inner Centre Jamb"
      )
    ),
    IF(OR(Enginuity!$A$1="Frameless Glass",Enginuity!$A$1="Metal Work"),
      AND(TRIM(B2407)=TRIM(Enginuity!$A$17),TRIM(C2407)=TRIM(Enginuity!$A$18)),
      TRIM(B2407)=TRIM(Enginuity!$A$17)
    )
  ),
  ROW(),
  ""
)</f>
        <v/>
      </c>
    </row>
    <row r="2408" spans="21:21" x14ac:dyDescent="0.25">
      <c r="U2408" s="104" t="str">
        <f>IF(
  AND(
    TRIM(A2408)=TRIM(Enginuity!$A$1),
    TRIM(B2408)=TRIM(Enginuity!$A$17),
    Q2408&lt;&gt;"",
    Q2408&lt;&gt;0,
    OR(
      TRIM(C2408)=TRIM(Enginuity!$A$18),
      AND(UPPER(TRIM(M2408))="STD", TRIM(B2408)=TRIM(Enginuity!$A$17))
    ),
    OR(
      AND(LEFT(P2408,5)="1-Way", Enginuity!$B$13=1),
      AND(LEFT(P2408,5)="2-Way", OR(Enginuity!$B$13=2, Enginuity!$B$13=4)),
      AND(LEFT(P2408,5)="3-Way", OR(Enginuity!$B$13=3, Enginuity!$B$13=6)),
      AND(P2408="Inner Centre Jamb", OR(Enginuity!$B$13=4, Enginuity!$B$13=6)),
      AND(
        LEFT(P2408,5)&lt;&gt;"1-Way",
        LEFT(P2408,5)&lt;&gt;"2-Way",
        LEFT(P2408,5)&lt;&gt;"3-Way",
        P2408&lt;&gt;"Inner Centre Jamb"
      )
    ),
    IF(OR(Enginuity!$A$1="Frameless Glass",Enginuity!$A$1="Metal Work"),
      AND(TRIM(B2408)=TRIM(Enginuity!$A$17),TRIM(C2408)=TRIM(Enginuity!$A$18)),
      TRIM(B2408)=TRIM(Enginuity!$A$17)
    )
  ),
  ROW(),
  ""
)</f>
        <v/>
      </c>
    </row>
    <row r="2409" spans="21:21" x14ac:dyDescent="0.25">
      <c r="U2409" s="104" t="str">
        <f>IF(
  AND(
    TRIM(A2409)=TRIM(Enginuity!$A$1),
    TRIM(B2409)=TRIM(Enginuity!$A$17),
    Q2409&lt;&gt;"",
    Q2409&lt;&gt;0,
    OR(
      TRIM(C2409)=TRIM(Enginuity!$A$18),
      AND(UPPER(TRIM(M2409))="STD", TRIM(B2409)=TRIM(Enginuity!$A$17))
    ),
    OR(
      AND(LEFT(P2409,5)="1-Way", Enginuity!$B$13=1),
      AND(LEFT(P2409,5)="2-Way", OR(Enginuity!$B$13=2, Enginuity!$B$13=4)),
      AND(LEFT(P2409,5)="3-Way", OR(Enginuity!$B$13=3, Enginuity!$B$13=6)),
      AND(P2409="Inner Centre Jamb", OR(Enginuity!$B$13=4, Enginuity!$B$13=6)),
      AND(
        LEFT(P2409,5)&lt;&gt;"1-Way",
        LEFT(P2409,5)&lt;&gt;"2-Way",
        LEFT(P2409,5)&lt;&gt;"3-Way",
        P2409&lt;&gt;"Inner Centre Jamb"
      )
    ),
    IF(OR(Enginuity!$A$1="Frameless Glass",Enginuity!$A$1="Metal Work"),
      AND(TRIM(B2409)=TRIM(Enginuity!$A$17),TRIM(C2409)=TRIM(Enginuity!$A$18)),
      TRIM(B2409)=TRIM(Enginuity!$A$17)
    )
  ),
  ROW(),
  ""
)</f>
        <v/>
      </c>
    </row>
    <row r="2410" spans="21:21" x14ac:dyDescent="0.25">
      <c r="U2410" s="104" t="str">
        <f>IF(
  AND(
    TRIM(A2410)=TRIM(Enginuity!$A$1),
    TRIM(B2410)=TRIM(Enginuity!$A$17),
    Q2410&lt;&gt;"",
    Q2410&lt;&gt;0,
    OR(
      TRIM(C2410)=TRIM(Enginuity!$A$18),
      AND(UPPER(TRIM(M2410))="STD", TRIM(B2410)=TRIM(Enginuity!$A$17))
    ),
    OR(
      AND(LEFT(P2410,5)="1-Way", Enginuity!$B$13=1),
      AND(LEFT(P2410,5)="2-Way", OR(Enginuity!$B$13=2, Enginuity!$B$13=4)),
      AND(LEFT(P2410,5)="3-Way", OR(Enginuity!$B$13=3, Enginuity!$B$13=6)),
      AND(P2410="Inner Centre Jamb", OR(Enginuity!$B$13=4, Enginuity!$B$13=6)),
      AND(
        LEFT(P2410,5)&lt;&gt;"1-Way",
        LEFT(P2410,5)&lt;&gt;"2-Way",
        LEFT(P2410,5)&lt;&gt;"3-Way",
        P2410&lt;&gt;"Inner Centre Jamb"
      )
    ),
    IF(OR(Enginuity!$A$1="Frameless Glass",Enginuity!$A$1="Metal Work"),
      AND(TRIM(B2410)=TRIM(Enginuity!$A$17),TRIM(C2410)=TRIM(Enginuity!$A$18)),
      TRIM(B2410)=TRIM(Enginuity!$A$17)
    )
  ),
  ROW(),
  ""
)</f>
        <v/>
      </c>
    </row>
    <row r="2411" spans="21:21" x14ac:dyDescent="0.25">
      <c r="U2411" s="104" t="str">
        <f>IF(
  AND(
    TRIM(A2411)=TRIM(Enginuity!$A$1),
    TRIM(B2411)=TRIM(Enginuity!$A$17),
    Q2411&lt;&gt;"",
    Q2411&lt;&gt;0,
    OR(
      TRIM(C2411)=TRIM(Enginuity!$A$18),
      AND(UPPER(TRIM(M2411))="STD", TRIM(B2411)=TRIM(Enginuity!$A$17))
    ),
    OR(
      AND(LEFT(P2411,5)="1-Way", Enginuity!$B$13=1),
      AND(LEFT(P2411,5)="2-Way", OR(Enginuity!$B$13=2, Enginuity!$B$13=4)),
      AND(LEFT(P2411,5)="3-Way", OR(Enginuity!$B$13=3, Enginuity!$B$13=6)),
      AND(P2411="Inner Centre Jamb", OR(Enginuity!$B$13=4, Enginuity!$B$13=6)),
      AND(
        LEFT(P2411,5)&lt;&gt;"1-Way",
        LEFT(P2411,5)&lt;&gt;"2-Way",
        LEFT(P2411,5)&lt;&gt;"3-Way",
        P2411&lt;&gt;"Inner Centre Jamb"
      )
    ),
    IF(OR(Enginuity!$A$1="Frameless Glass",Enginuity!$A$1="Metal Work"),
      AND(TRIM(B2411)=TRIM(Enginuity!$A$17),TRIM(C2411)=TRIM(Enginuity!$A$18)),
      TRIM(B2411)=TRIM(Enginuity!$A$17)
    )
  ),
  ROW(),
  ""
)</f>
        <v/>
      </c>
    </row>
    <row r="2412" spans="21:21" x14ac:dyDescent="0.25">
      <c r="U2412" s="104" t="str">
        <f>IF(
  AND(
    TRIM(A2412)=TRIM(Enginuity!$A$1),
    TRIM(B2412)=TRIM(Enginuity!$A$17),
    Q2412&lt;&gt;"",
    Q2412&lt;&gt;0,
    OR(
      TRIM(C2412)=TRIM(Enginuity!$A$18),
      AND(UPPER(TRIM(M2412))="STD", TRIM(B2412)=TRIM(Enginuity!$A$17))
    ),
    OR(
      AND(LEFT(P2412,5)="1-Way", Enginuity!$B$13=1),
      AND(LEFT(P2412,5)="2-Way", OR(Enginuity!$B$13=2, Enginuity!$B$13=4)),
      AND(LEFT(P2412,5)="3-Way", OR(Enginuity!$B$13=3, Enginuity!$B$13=6)),
      AND(P2412="Inner Centre Jamb", OR(Enginuity!$B$13=4, Enginuity!$B$13=6)),
      AND(
        LEFT(P2412,5)&lt;&gt;"1-Way",
        LEFT(P2412,5)&lt;&gt;"2-Way",
        LEFT(P2412,5)&lt;&gt;"3-Way",
        P2412&lt;&gt;"Inner Centre Jamb"
      )
    ),
    IF(OR(Enginuity!$A$1="Frameless Glass",Enginuity!$A$1="Metal Work"),
      AND(TRIM(B2412)=TRIM(Enginuity!$A$17),TRIM(C2412)=TRIM(Enginuity!$A$18)),
      TRIM(B2412)=TRIM(Enginuity!$A$17)
    )
  ),
  ROW(),
  ""
)</f>
        <v/>
      </c>
    </row>
    <row r="2413" spans="21:21" x14ac:dyDescent="0.25">
      <c r="U2413" s="104" t="str">
        <f>IF(
  AND(
    TRIM(A2413)=TRIM(Enginuity!$A$1),
    TRIM(B2413)=TRIM(Enginuity!$A$17),
    Q2413&lt;&gt;"",
    Q2413&lt;&gt;0,
    OR(
      TRIM(C2413)=TRIM(Enginuity!$A$18),
      AND(UPPER(TRIM(M2413))="STD", TRIM(B2413)=TRIM(Enginuity!$A$17))
    ),
    OR(
      AND(LEFT(P2413,5)="1-Way", Enginuity!$B$13=1),
      AND(LEFT(P2413,5)="2-Way", OR(Enginuity!$B$13=2, Enginuity!$B$13=4)),
      AND(LEFT(P2413,5)="3-Way", OR(Enginuity!$B$13=3, Enginuity!$B$13=6)),
      AND(P2413="Inner Centre Jamb", OR(Enginuity!$B$13=4, Enginuity!$B$13=6)),
      AND(
        LEFT(P2413,5)&lt;&gt;"1-Way",
        LEFT(P2413,5)&lt;&gt;"2-Way",
        LEFT(P2413,5)&lt;&gt;"3-Way",
        P2413&lt;&gt;"Inner Centre Jamb"
      )
    ),
    IF(OR(Enginuity!$A$1="Frameless Glass",Enginuity!$A$1="Metal Work"),
      AND(TRIM(B2413)=TRIM(Enginuity!$A$17),TRIM(C2413)=TRIM(Enginuity!$A$18)),
      TRIM(B2413)=TRIM(Enginuity!$A$17)
    )
  ),
  ROW(),
  ""
)</f>
        <v/>
      </c>
    </row>
    <row r="2414" spans="21:21" x14ac:dyDescent="0.25">
      <c r="U2414" s="104" t="str">
        <f>IF(
  AND(
    TRIM(A2414)=TRIM(Enginuity!$A$1),
    TRIM(B2414)=TRIM(Enginuity!$A$17),
    Q2414&lt;&gt;"",
    Q2414&lt;&gt;0,
    OR(
      TRIM(C2414)=TRIM(Enginuity!$A$18),
      AND(UPPER(TRIM(M2414))="STD", TRIM(B2414)=TRIM(Enginuity!$A$17))
    ),
    OR(
      AND(LEFT(P2414,5)="1-Way", Enginuity!$B$13=1),
      AND(LEFT(P2414,5)="2-Way", OR(Enginuity!$B$13=2, Enginuity!$B$13=4)),
      AND(LEFT(P2414,5)="3-Way", OR(Enginuity!$B$13=3, Enginuity!$B$13=6)),
      AND(P2414="Inner Centre Jamb", OR(Enginuity!$B$13=4, Enginuity!$B$13=6)),
      AND(
        LEFT(P2414,5)&lt;&gt;"1-Way",
        LEFT(P2414,5)&lt;&gt;"2-Way",
        LEFT(P2414,5)&lt;&gt;"3-Way",
        P2414&lt;&gt;"Inner Centre Jamb"
      )
    ),
    IF(OR(Enginuity!$A$1="Frameless Glass",Enginuity!$A$1="Metal Work"),
      AND(TRIM(B2414)=TRIM(Enginuity!$A$17),TRIM(C2414)=TRIM(Enginuity!$A$18)),
      TRIM(B2414)=TRIM(Enginuity!$A$17)
    )
  ),
  ROW(),
  ""
)</f>
        <v/>
      </c>
    </row>
    <row r="2415" spans="21:21" x14ac:dyDescent="0.25">
      <c r="U2415" s="104" t="str">
        <f>IF(
  AND(
    TRIM(A2415)=TRIM(Enginuity!$A$1),
    TRIM(B2415)=TRIM(Enginuity!$A$17),
    Q2415&lt;&gt;"",
    Q2415&lt;&gt;0,
    OR(
      TRIM(C2415)=TRIM(Enginuity!$A$18),
      AND(UPPER(TRIM(M2415))="STD", TRIM(B2415)=TRIM(Enginuity!$A$17))
    ),
    OR(
      AND(LEFT(P2415,5)="1-Way", Enginuity!$B$13=1),
      AND(LEFT(P2415,5)="2-Way", OR(Enginuity!$B$13=2, Enginuity!$B$13=4)),
      AND(LEFT(P2415,5)="3-Way", OR(Enginuity!$B$13=3, Enginuity!$B$13=6)),
      AND(P2415="Inner Centre Jamb", OR(Enginuity!$B$13=4, Enginuity!$B$13=6)),
      AND(
        LEFT(P2415,5)&lt;&gt;"1-Way",
        LEFT(P2415,5)&lt;&gt;"2-Way",
        LEFT(P2415,5)&lt;&gt;"3-Way",
        P2415&lt;&gt;"Inner Centre Jamb"
      )
    ),
    IF(OR(Enginuity!$A$1="Frameless Glass",Enginuity!$A$1="Metal Work"),
      AND(TRIM(B2415)=TRIM(Enginuity!$A$17),TRIM(C2415)=TRIM(Enginuity!$A$18)),
      TRIM(B2415)=TRIM(Enginuity!$A$17)
    )
  ),
  ROW(),
  ""
)</f>
        <v/>
      </c>
    </row>
    <row r="2416" spans="21:21" x14ac:dyDescent="0.25">
      <c r="U2416" s="104" t="str">
        <f>IF(
  AND(
    TRIM(A2416)=TRIM(Enginuity!$A$1),
    TRIM(B2416)=TRIM(Enginuity!$A$17),
    Q2416&lt;&gt;"",
    Q2416&lt;&gt;0,
    OR(
      TRIM(C2416)=TRIM(Enginuity!$A$18),
      AND(UPPER(TRIM(M2416))="STD", TRIM(B2416)=TRIM(Enginuity!$A$17))
    ),
    OR(
      AND(LEFT(P2416,5)="1-Way", Enginuity!$B$13=1),
      AND(LEFT(P2416,5)="2-Way", OR(Enginuity!$B$13=2, Enginuity!$B$13=4)),
      AND(LEFT(P2416,5)="3-Way", OR(Enginuity!$B$13=3, Enginuity!$B$13=6)),
      AND(P2416="Inner Centre Jamb", OR(Enginuity!$B$13=4, Enginuity!$B$13=6)),
      AND(
        LEFT(P2416,5)&lt;&gt;"1-Way",
        LEFT(P2416,5)&lt;&gt;"2-Way",
        LEFT(P2416,5)&lt;&gt;"3-Way",
        P2416&lt;&gt;"Inner Centre Jamb"
      )
    ),
    IF(OR(Enginuity!$A$1="Frameless Glass",Enginuity!$A$1="Metal Work"),
      AND(TRIM(B2416)=TRIM(Enginuity!$A$17),TRIM(C2416)=TRIM(Enginuity!$A$18)),
      TRIM(B2416)=TRIM(Enginuity!$A$17)
    )
  ),
  ROW(),
  ""
)</f>
        <v/>
      </c>
    </row>
    <row r="2417" spans="21:21" x14ac:dyDescent="0.25">
      <c r="U2417" s="104" t="str">
        <f>IF(
  AND(
    TRIM(A2417)=TRIM(Enginuity!$A$1),
    TRIM(B2417)=TRIM(Enginuity!$A$17),
    Q2417&lt;&gt;"",
    Q2417&lt;&gt;0,
    OR(
      TRIM(C2417)=TRIM(Enginuity!$A$18),
      AND(UPPER(TRIM(M2417))="STD", TRIM(B2417)=TRIM(Enginuity!$A$17))
    ),
    OR(
      AND(LEFT(P2417,5)="1-Way", Enginuity!$B$13=1),
      AND(LEFT(P2417,5)="2-Way", OR(Enginuity!$B$13=2, Enginuity!$B$13=4)),
      AND(LEFT(P2417,5)="3-Way", OR(Enginuity!$B$13=3, Enginuity!$B$13=6)),
      AND(P2417="Inner Centre Jamb", OR(Enginuity!$B$13=4, Enginuity!$B$13=6)),
      AND(
        LEFT(P2417,5)&lt;&gt;"1-Way",
        LEFT(P2417,5)&lt;&gt;"2-Way",
        LEFT(P2417,5)&lt;&gt;"3-Way",
        P2417&lt;&gt;"Inner Centre Jamb"
      )
    ),
    IF(OR(Enginuity!$A$1="Frameless Glass",Enginuity!$A$1="Metal Work"),
      AND(TRIM(B2417)=TRIM(Enginuity!$A$17),TRIM(C2417)=TRIM(Enginuity!$A$18)),
      TRIM(B2417)=TRIM(Enginuity!$A$17)
    )
  ),
  ROW(),
  ""
)</f>
        <v/>
      </c>
    </row>
    <row r="2418" spans="21:21" x14ac:dyDescent="0.25">
      <c r="U2418" s="104" t="str">
        <f>IF(
  AND(
    TRIM(A2418)=TRIM(Enginuity!$A$1),
    TRIM(B2418)=TRIM(Enginuity!$A$17),
    Q2418&lt;&gt;"",
    Q2418&lt;&gt;0,
    OR(
      TRIM(C2418)=TRIM(Enginuity!$A$18),
      AND(UPPER(TRIM(M2418))="STD", TRIM(B2418)=TRIM(Enginuity!$A$17))
    ),
    OR(
      AND(LEFT(P2418,5)="1-Way", Enginuity!$B$13=1),
      AND(LEFT(P2418,5)="2-Way", OR(Enginuity!$B$13=2, Enginuity!$B$13=4)),
      AND(LEFT(P2418,5)="3-Way", OR(Enginuity!$B$13=3, Enginuity!$B$13=6)),
      AND(P2418="Inner Centre Jamb", OR(Enginuity!$B$13=4, Enginuity!$B$13=6)),
      AND(
        LEFT(P2418,5)&lt;&gt;"1-Way",
        LEFT(P2418,5)&lt;&gt;"2-Way",
        LEFT(P2418,5)&lt;&gt;"3-Way",
        P2418&lt;&gt;"Inner Centre Jamb"
      )
    ),
    IF(OR(Enginuity!$A$1="Frameless Glass",Enginuity!$A$1="Metal Work"),
      AND(TRIM(B2418)=TRIM(Enginuity!$A$17),TRIM(C2418)=TRIM(Enginuity!$A$18)),
      TRIM(B2418)=TRIM(Enginuity!$A$17)
    )
  ),
  ROW(),
  ""
)</f>
        <v/>
      </c>
    </row>
    <row r="2419" spans="21:21" x14ac:dyDescent="0.25">
      <c r="U2419" s="104" t="str">
        <f>IF(
  AND(
    TRIM(A2419)=TRIM(Enginuity!$A$1),
    TRIM(B2419)=TRIM(Enginuity!$A$17),
    Q2419&lt;&gt;"",
    Q2419&lt;&gt;0,
    OR(
      TRIM(C2419)=TRIM(Enginuity!$A$18),
      AND(UPPER(TRIM(M2419))="STD", TRIM(B2419)=TRIM(Enginuity!$A$17))
    ),
    OR(
      AND(LEFT(P2419,5)="1-Way", Enginuity!$B$13=1),
      AND(LEFT(P2419,5)="2-Way", OR(Enginuity!$B$13=2, Enginuity!$B$13=4)),
      AND(LEFT(P2419,5)="3-Way", OR(Enginuity!$B$13=3, Enginuity!$B$13=6)),
      AND(P2419="Inner Centre Jamb", OR(Enginuity!$B$13=4, Enginuity!$B$13=6)),
      AND(
        LEFT(P2419,5)&lt;&gt;"1-Way",
        LEFT(P2419,5)&lt;&gt;"2-Way",
        LEFT(P2419,5)&lt;&gt;"3-Way",
        P2419&lt;&gt;"Inner Centre Jamb"
      )
    ),
    IF(OR(Enginuity!$A$1="Frameless Glass",Enginuity!$A$1="Metal Work"),
      AND(TRIM(B2419)=TRIM(Enginuity!$A$17),TRIM(C2419)=TRIM(Enginuity!$A$18)),
      TRIM(B2419)=TRIM(Enginuity!$A$17)
    )
  ),
  ROW(),
  ""
)</f>
        <v/>
      </c>
    </row>
    <row r="2420" spans="21:21" x14ac:dyDescent="0.25">
      <c r="U2420" s="104" t="str">
        <f>IF(
  AND(
    TRIM(A2420)=TRIM(Enginuity!$A$1),
    TRIM(B2420)=TRIM(Enginuity!$A$17),
    Q2420&lt;&gt;"",
    Q2420&lt;&gt;0,
    OR(
      TRIM(C2420)=TRIM(Enginuity!$A$18),
      AND(UPPER(TRIM(M2420))="STD", TRIM(B2420)=TRIM(Enginuity!$A$17))
    ),
    OR(
      AND(LEFT(P2420,5)="1-Way", Enginuity!$B$13=1),
      AND(LEFT(P2420,5)="2-Way", OR(Enginuity!$B$13=2, Enginuity!$B$13=4)),
      AND(LEFT(P2420,5)="3-Way", OR(Enginuity!$B$13=3, Enginuity!$B$13=6)),
      AND(P2420="Inner Centre Jamb", OR(Enginuity!$B$13=4, Enginuity!$B$13=6)),
      AND(
        LEFT(P2420,5)&lt;&gt;"1-Way",
        LEFT(P2420,5)&lt;&gt;"2-Way",
        LEFT(P2420,5)&lt;&gt;"3-Way",
        P2420&lt;&gt;"Inner Centre Jamb"
      )
    ),
    IF(OR(Enginuity!$A$1="Frameless Glass",Enginuity!$A$1="Metal Work"),
      AND(TRIM(B2420)=TRIM(Enginuity!$A$17),TRIM(C2420)=TRIM(Enginuity!$A$18)),
      TRIM(B2420)=TRIM(Enginuity!$A$17)
    )
  ),
  ROW(),
  ""
)</f>
        <v/>
      </c>
    </row>
    <row r="2421" spans="21:21" x14ac:dyDescent="0.25">
      <c r="U2421" s="104" t="str">
        <f>IF(
  AND(
    TRIM(A2421)=TRIM(Enginuity!$A$1),
    TRIM(B2421)=TRIM(Enginuity!$A$17),
    Q2421&lt;&gt;"",
    Q2421&lt;&gt;0,
    OR(
      TRIM(C2421)=TRIM(Enginuity!$A$18),
      AND(UPPER(TRIM(M2421))="STD", TRIM(B2421)=TRIM(Enginuity!$A$17))
    ),
    OR(
      AND(LEFT(P2421,5)="1-Way", Enginuity!$B$13=1),
      AND(LEFT(P2421,5)="2-Way", OR(Enginuity!$B$13=2, Enginuity!$B$13=4)),
      AND(LEFT(P2421,5)="3-Way", OR(Enginuity!$B$13=3, Enginuity!$B$13=6)),
      AND(P2421="Inner Centre Jamb", OR(Enginuity!$B$13=4, Enginuity!$B$13=6)),
      AND(
        LEFT(P2421,5)&lt;&gt;"1-Way",
        LEFT(P2421,5)&lt;&gt;"2-Way",
        LEFT(P2421,5)&lt;&gt;"3-Way",
        P2421&lt;&gt;"Inner Centre Jamb"
      )
    ),
    IF(OR(Enginuity!$A$1="Frameless Glass",Enginuity!$A$1="Metal Work"),
      AND(TRIM(B2421)=TRIM(Enginuity!$A$17),TRIM(C2421)=TRIM(Enginuity!$A$18)),
      TRIM(B2421)=TRIM(Enginuity!$A$17)
    )
  ),
  ROW(),
  ""
)</f>
        <v/>
      </c>
    </row>
    <row r="2422" spans="21:21" x14ac:dyDescent="0.25">
      <c r="U2422" s="104" t="str">
        <f>IF(
  AND(
    TRIM(A2422)=TRIM(Enginuity!$A$1),
    TRIM(B2422)=TRIM(Enginuity!$A$17),
    Q2422&lt;&gt;"",
    Q2422&lt;&gt;0,
    OR(
      TRIM(C2422)=TRIM(Enginuity!$A$18),
      AND(UPPER(TRIM(M2422))="STD", TRIM(B2422)=TRIM(Enginuity!$A$17))
    ),
    OR(
      AND(LEFT(P2422,5)="1-Way", Enginuity!$B$13=1),
      AND(LEFT(P2422,5)="2-Way", OR(Enginuity!$B$13=2, Enginuity!$B$13=4)),
      AND(LEFT(P2422,5)="3-Way", OR(Enginuity!$B$13=3, Enginuity!$B$13=6)),
      AND(P2422="Inner Centre Jamb", OR(Enginuity!$B$13=4, Enginuity!$B$13=6)),
      AND(
        LEFT(P2422,5)&lt;&gt;"1-Way",
        LEFT(P2422,5)&lt;&gt;"2-Way",
        LEFT(P2422,5)&lt;&gt;"3-Way",
        P2422&lt;&gt;"Inner Centre Jamb"
      )
    ),
    IF(OR(Enginuity!$A$1="Frameless Glass",Enginuity!$A$1="Metal Work"),
      AND(TRIM(B2422)=TRIM(Enginuity!$A$17),TRIM(C2422)=TRIM(Enginuity!$A$18)),
      TRIM(B2422)=TRIM(Enginuity!$A$17)
    )
  ),
  ROW(),
  ""
)</f>
        <v/>
      </c>
    </row>
    <row r="2423" spans="21:21" x14ac:dyDescent="0.25">
      <c r="U2423" s="104" t="str">
        <f>IF(
  AND(
    TRIM(A2423)=TRIM(Enginuity!$A$1),
    TRIM(B2423)=TRIM(Enginuity!$A$17),
    Q2423&lt;&gt;"",
    Q2423&lt;&gt;0,
    OR(
      TRIM(C2423)=TRIM(Enginuity!$A$18),
      AND(UPPER(TRIM(M2423))="STD", TRIM(B2423)=TRIM(Enginuity!$A$17))
    ),
    OR(
      AND(LEFT(P2423,5)="1-Way", Enginuity!$B$13=1),
      AND(LEFT(P2423,5)="2-Way", OR(Enginuity!$B$13=2, Enginuity!$B$13=4)),
      AND(LEFT(P2423,5)="3-Way", OR(Enginuity!$B$13=3, Enginuity!$B$13=6)),
      AND(P2423="Inner Centre Jamb", OR(Enginuity!$B$13=4, Enginuity!$B$13=6)),
      AND(
        LEFT(P2423,5)&lt;&gt;"1-Way",
        LEFT(P2423,5)&lt;&gt;"2-Way",
        LEFT(P2423,5)&lt;&gt;"3-Way",
        P2423&lt;&gt;"Inner Centre Jamb"
      )
    ),
    IF(OR(Enginuity!$A$1="Frameless Glass",Enginuity!$A$1="Metal Work"),
      AND(TRIM(B2423)=TRIM(Enginuity!$A$17),TRIM(C2423)=TRIM(Enginuity!$A$18)),
      TRIM(B2423)=TRIM(Enginuity!$A$17)
    )
  ),
  ROW(),
  ""
)</f>
        <v/>
      </c>
    </row>
    <row r="2424" spans="21:21" x14ac:dyDescent="0.25">
      <c r="U2424" s="104" t="str">
        <f>IF(
  AND(
    TRIM(A2424)=TRIM(Enginuity!$A$1),
    TRIM(B2424)=TRIM(Enginuity!$A$17),
    Q2424&lt;&gt;"",
    Q2424&lt;&gt;0,
    OR(
      TRIM(C2424)=TRIM(Enginuity!$A$18),
      AND(UPPER(TRIM(M2424))="STD", TRIM(B2424)=TRIM(Enginuity!$A$17))
    ),
    OR(
      AND(LEFT(P2424,5)="1-Way", Enginuity!$B$13=1),
      AND(LEFT(P2424,5)="2-Way", OR(Enginuity!$B$13=2, Enginuity!$B$13=4)),
      AND(LEFT(P2424,5)="3-Way", OR(Enginuity!$B$13=3, Enginuity!$B$13=6)),
      AND(P2424="Inner Centre Jamb", OR(Enginuity!$B$13=4, Enginuity!$B$13=6)),
      AND(
        LEFT(P2424,5)&lt;&gt;"1-Way",
        LEFT(P2424,5)&lt;&gt;"2-Way",
        LEFT(P2424,5)&lt;&gt;"3-Way",
        P2424&lt;&gt;"Inner Centre Jamb"
      )
    ),
    IF(OR(Enginuity!$A$1="Frameless Glass",Enginuity!$A$1="Metal Work"),
      AND(TRIM(B2424)=TRIM(Enginuity!$A$17),TRIM(C2424)=TRIM(Enginuity!$A$18)),
      TRIM(B2424)=TRIM(Enginuity!$A$17)
    )
  ),
  ROW(),
  ""
)</f>
        <v/>
      </c>
    </row>
    <row r="2425" spans="21:21" x14ac:dyDescent="0.25">
      <c r="U2425" s="104" t="str">
        <f>IF(
  AND(
    TRIM(A2425)=TRIM(Enginuity!$A$1),
    TRIM(B2425)=TRIM(Enginuity!$A$17),
    Q2425&lt;&gt;"",
    Q2425&lt;&gt;0,
    OR(
      TRIM(C2425)=TRIM(Enginuity!$A$18),
      AND(UPPER(TRIM(M2425))="STD", TRIM(B2425)=TRIM(Enginuity!$A$17))
    ),
    OR(
      AND(LEFT(P2425,5)="1-Way", Enginuity!$B$13=1),
      AND(LEFT(P2425,5)="2-Way", OR(Enginuity!$B$13=2, Enginuity!$B$13=4)),
      AND(LEFT(P2425,5)="3-Way", OR(Enginuity!$B$13=3, Enginuity!$B$13=6)),
      AND(P2425="Inner Centre Jamb", OR(Enginuity!$B$13=4, Enginuity!$B$13=6)),
      AND(
        LEFT(P2425,5)&lt;&gt;"1-Way",
        LEFT(P2425,5)&lt;&gt;"2-Way",
        LEFT(P2425,5)&lt;&gt;"3-Way",
        P2425&lt;&gt;"Inner Centre Jamb"
      )
    ),
    IF(OR(Enginuity!$A$1="Frameless Glass",Enginuity!$A$1="Metal Work"),
      AND(TRIM(B2425)=TRIM(Enginuity!$A$17),TRIM(C2425)=TRIM(Enginuity!$A$18)),
      TRIM(B2425)=TRIM(Enginuity!$A$17)
    )
  ),
  ROW(),
  ""
)</f>
        <v/>
      </c>
    </row>
    <row r="2426" spans="21:21" x14ac:dyDescent="0.25">
      <c r="U2426" s="104" t="str">
        <f>IF(
  AND(
    TRIM(A2426)=TRIM(Enginuity!$A$1),
    TRIM(B2426)=TRIM(Enginuity!$A$17),
    Q2426&lt;&gt;"",
    Q2426&lt;&gt;0,
    OR(
      TRIM(C2426)=TRIM(Enginuity!$A$18),
      AND(UPPER(TRIM(M2426))="STD", TRIM(B2426)=TRIM(Enginuity!$A$17))
    ),
    OR(
      AND(LEFT(P2426,5)="1-Way", Enginuity!$B$13=1),
      AND(LEFT(P2426,5)="2-Way", OR(Enginuity!$B$13=2, Enginuity!$B$13=4)),
      AND(LEFT(P2426,5)="3-Way", OR(Enginuity!$B$13=3, Enginuity!$B$13=6)),
      AND(P2426="Inner Centre Jamb", OR(Enginuity!$B$13=4, Enginuity!$B$13=6)),
      AND(
        LEFT(P2426,5)&lt;&gt;"1-Way",
        LEFT(P2426,5)&lt;&gt;"2-Way",
        LEFT(P2426,5)&lt;&gt;"3-Way",
        P2426&lt;&gt;"Inner Centre Jamb"
      )
    ),
    IF(OR(Enginuity!$A$1="Frameless Glass",Enginuity!$A$1="Metal Work"),
      AND(TRIM(B2426)=TRIM(Enginuity!$A$17),TRIM(C2426)=TRIM(Enginuity!$A$18)),
      TRIM(B2426)=TRIM(Enginuity!$A$17)
    )
  ),
  ROW(),
  ""
)</f>
        <v/>
      </c>
    </row>
    <row r="2427" spans="21:21" x14ac:dyDescent="0.25">
      <c r="U2427" s="104" t="str">
        <f>IF(
  AND(
    TRIM(A2427)=TRIM(Enginuity!$A$1),
    TRIM(B2427)=TRIM(Enginuity!$A$17),
    Q2427&lt;&gt;"",
    Q2427&lt;&gt;0,
    OR(
      TRIM(C2427)=TRIM(Enginuity!$A$18),
      AND(UPPER(TRIM(M2427))="STD", TRIM(B2427)=TRIM(Enginuity!$A$17))
    ),
    OR(
      AND(LEFT(P2427,5)="1-Way", Enginuity!$B$13=1),
      AND(LEFT(P2427,5)="2-Way", OR(Enginuity!$B$13=2, Enginuity!$B$13=4)),
      AND(LEFT(P2427,5)="3-Way", OR(Enginuity!$B$13=3, Enginuity!$B$13=6)),
      AND(P2427="Inner Centre Jamb", OR(Enginuity!$B$13=4, Enginuity!$B$13=6)),
      AND(
        LEFT(P2427,5)&lt;&gt;"1-Way",
        LEFT(P2427,5)&lt;&gt;"2-Way",
        LEFT(P2427,5)&lt;&gt;"3-Way",
        P2427&lt;&gt;"Inner Centre Jamb"
      )
    ),
    IF(OR(Enginuity!$A$1="Frameless Glass",Enginuity!$A$1="Metal Work"),
      AND(TRIM(B2427)=TRIM(Enginuity!$A$17),TRIM(C2427)=TRIM(Enginuity!$A$18)),
      TRIM(B2427)=TRIM(Enginuity!$A$17)
    )
  ),
  ROW(),
  ""
)</f>
        <v/>
      </c>
    </row>
    <row r="2428" spans="21:21" x14ac:dyDescent="0.25">
      <c r="U2428" s="104" t="str">
        <f>IF(
  AND(
    TRIM(A2428)=TRIM(Enginuity!$A$1),
    TRIM(B2428)=TRIM(Enginuity!$A$17),
    Q2428&lt;&gt;"",
    Q2428&lt;&gt;0,
    OR(
      TRIM(C2428)=TRIM(Enginuity!$A$18),
      AND(UPPER(TRIM(M2428))="STD", TRIM(B2428)=TRIM(Enginuity!$A$17))
    ),
    OR(
      AND(LEFT(P2428,5)="1-Way", Enginuity!$B$13=1),
      AND(LEFT(P2428,5)="2-Way", OR(Enginuity!$B$13=2, Enginuity!$B$13=4)),
      AND(LEFT(P2428,5)="3-Way", OR(Enginuity!$B$13=3, Enginuity!$B$13=6)),
      AND(P2428="Inner Centre Jamb", OR(Enginuity!$B$13=4, Enginuity!$B$13=6)),
      AND(
        LEFT(P2428,5)&lt;&gt;"1-Way",
        LEFT(P2428,5)&lt;&gt;"2-Way",
        LEFT(P2428,5)&lt;&gt;"3-Way",
        P2428&lt;&gt;"Inner Centre Jamb"
      )
    ),
    IF(OR(Enginuity!$A$1="Frameless Glass",Enginuity!$A$1="Metal Work"),
      AND(TRIM(B2428)=TRIM(Enginuity!$A$17),TRIM(C2428)=TRIM(Enginuity!$A$18)),
      TRIM(B2428)=TRIM(Enginuity!$A$17)
    )
  ),
  ROW(),
  ""
)</f>
        <v/>
      </c>
    </row>
    <row r="2429" spans="21:21" x14ac:dyDescent="0.25">
      <c r="U2429" s="104" t="str">
        <f>IF(
  AND(
    TRIM(A2429)=TRIM(Enginuity!$A$1),
    TRIM(B2429)=TRIM(Enginuity!$A$17),
    Q2429&lt;&gt;"",
    Q2429&lt;&gt;0,
    OR(
      TRIM(C2429)=TRIM(Enginuity!$A$18),
      AND(UPPER(TRIM(M2429))="STD", TRIM(B2429)=TRIM(Enginuity!$A$17))
    ),
    OR(
      AND(LEFT(P2429,5)="1-Way", Enginuity!$B$13=1),
      AND(LEFT(P2429,5)="2-Way", OR(Enginuity!$B$13=2, Enginuity!$B$13=4)),
      AND(LEFT(P2429,5)="3-Way", OR(Enginuity!$B$13=3, Enginuity!$B$13=6)),
      AND(P2429="Inner Centre Jamb", OR(Enginuity!$B$13=4, Enginuity!$B$13=6)),
      AND(
        LEFT(P2429,5)&lt;&gt;"1-Way",
        LEFT(P2429,5)&lt;&gt;"2-Way",
        LEFT(P2429,5)&lt;&gt;"3-Way",
        P2429&lt;&gt;"Inner Centre Jamb"
      )
    ),
    IF(OR(Enginuity!$A$1="Frameless Glass",Enginuity!$A$1="Metal Work"),
      AND(TRIM(B2429)=TRIM(Enginuity!$A$17),TRIM(C2429)=TRIM(Enginuity!$A$18)),
      TRIM(B2429)=TRIM(Enginuity!$A$17)
    )
  ),
  ROW(),
  ""
)</f>
        <v/>
      </c>
    </row>
    <row r="2430" spans="21:21" x14ac:dyDescent="0.25">
      <c r="U2430" s="104" t="str">
        <f>IF(
  AND(
    TRIM(A2430)=TRIM(Enginuity!$A$1),
    TRIM(B2430)=TRIM(Enginuity!$A$17),
    Q2430&lt;&gt;"",
    Q2430&lt;&gt;0,
    OR(
      TRIM(C2430)=TRIM(Enginuity!$A$18),
      AND(UPPER(TRIM(M2430))="STD", TRIM(B2430)=TRIM(Enginuity!$A$17))
    ),
    OR(
      AND(LEFT(P2430,5)="1-Way", Enginuity!$B$13=1),
      AND(LEFT(P2430,5)="2-Way", OR(Enginuity!$B$13=2, Enginuity!$B$13=4)),
      AND(LEFT(P2430,5)="3-Way", OR(Enginuity!$B$13=3, Enginuity!$B$13=6)),
      AND(P2430="Inner Centre Jamb", OR(Enginuity!$B$13=4, Enginuity!$B$13=6)),
      AND(
        LEFT(P2430,5)&lt;&gt;"1-Way",
        LEFT(P2430,5)&lt;&gt;"2-Way",
        LEFT(P2430,5)&lt;&gt;"3-Way",
        P2430&lt;&gt;"Inner Centre Jamb"
      )
    ),
    IF(OR(Enginuity!$A$1="Frameless Glass",Enginuity!$A$1="Metal Work"),
      AND(TRIM(B2430)=TRIM(Enginuity!$A$17),TRIM(C2430)=TRIM(Enginuity!$A$18)),
      TRIM(B2430)=TRIM(Enginuity!$A$17)
    )
  ),
  ROW(),
  ""
)</f>
        <v/>
      </c>
    </row>
    <row r="2431" spans="21:21" x14ac:dyDescent="0.25">
      <c r="U2431" s="104" t="str">
        <f>IF(
  AND(
    TRIM(A2431)=TRIM(Enginuity!$A$1),
    TRIM(B2431)=TRIM(Enginuity!$A$17),
    Q2431&lt;&gt;"",
    Q2431&lt;&gt;0,
    OR(
      TRIM(C2431)=TRIM(Enginuity!$A$18),
      AND(UPPER(TRIM(M2431))="STD", TRIM(B2431)=TRIM(Enginuity!$A$17))
    ),
    OR(
      AND(LEFT(P2431,5)="1-Way", Enginuity!$B$13=1),
      AND(LEFT(P2431,5)="2-Way", OR(Enginuity!$B$13=2, Enginuity!$B$13=4)),
      AND(LEFT(P2431,5)="3-Way", OR(Enginuity!$B$13=3, Enginuity!$B$13=6)),
      AND(P2431="Inner Centre Jamb", OR(Enginuity!$B$13=4, Enginuity!$B$13=6)),
      AND(
        LEFT(P2431,5)&lt;&gt;"1-Way",
        LEFT(P2431,5)&lt;&gt;"2-Way",
        LEFT(P2431,5)&lt;&gt;"3-Way",
        P2431&lt;&gt;"Inner Centre Jamb"
      )
    ),
    IF(OR(Enginuity!$A$1="Frameless Glass",Enginuity!$A$1="Metal Work"),
      AND(TRIM(B2431)=TRIM(Enginuity!$A$17),TRIM(C2431)=TRIM(Enginuity!$A$18)),
      TRIM(B2431)=TRIM(Enginuity!$A$17)
    )
  ),
  ROW(),
  ""
)</f>
        <v/>
      </c>
    </row>
    <row r="2432" spans="21:21" x14ac:dyDescent="0.25">
      <c r="U2432" s="104" t="str">
        <f>IF(
  AND(
    TRIM(A2432)=TRIM(Enginuity!$A$1),
    TRIM(B2432)=TRIM(Enginuity!$A$17),
    Q2432&lt;&gt;"",
    Q2432&lt;&gt;0,
    OR(
      TRIM(C2432)=TRIM(Enginuity!$A$18),
      AND(UPPER(TRIM(M2432))="STD", TRIM(B2432)=TRIM(Enginuity!$A$17))
    ),
    OR(
      AND(LEFT(P2432,5)="1-Way", Enginuity!$B$13=1),
      AND(LEFT(P2432,5)="2-Way", OR(Enginuity!$B$13=2, Enginuity!$B$13=4)),
      AND(LEFT(P2432,5)="3-Way", OR(Enginuity!$B$13=3, Enginuity!$B$13=6)),
      AND(P2432="Inner Centre Jamb", OR(Enginuity!$B$13=4, Enginuity!$B$13=6)),
      AND(
        LEFT(P2432,5)&lt;&gt;"1-Way",
        LEFT(P2432,5)&lt;&gt;"2-Way",
        LEFT(P2432,5)&lt;&gt;"3-Way",
        P2432&lt;&gt;"Inner Centre Jamb"
      )
    ),
    IF(OR(Enginuity!$A$1="Frameless Glass",Enginuity!$A$1="Metal Work"),
      AND(TRIM(B2432)=TRIM(Enginuity!$A$17),TRIM(C2432)=TRIM(Enginuity!$A$18)),
      TRIM(B2432)=TRIM(Enginuity!$A$17)
    )
  ),
  ROW(),
  ""
)</f>
        <v/>
      </c>
    </row>
    <row r="2433" spans="21:21" x14ac:dyDescent="0.25">
      <c r="U2433" s="104" t="str">
        <f>IF(
  AND(
    TRIM(A2433)=TRIM(Enginuity!$A$1),
    TRIM(B2433)=TRIM(Enginuity!$A$17),
    Q2433&lt;&gt;"",
    Q2433&lt;&gt;0,
    OR(
      TRIM(C2433)=TRIM(Enginuity!$A$18),
      AND(UPPER(TRIM(M2433))="STD", TRIM(B2433)=TRIM(Enginuity!$A$17))
    ),
    OR(
      AND(LEFT(P2433,5)="1-Way", Enginuity!$B$13=1),
      AND(LEFT(P2433,5)="2-Way", OR(Enginuity!$B$13=2, Enginuity!$B$13=4)),
      AND(LEFT(P2433,5)="3-Way", OR(Enginuity!$B$13=3, Enginuity!$B$13=6)),
      AND(P2433="Inner Centre Jamb", OR(Enginuity!$B$13=4, Enginuity!$B$13=6)),
      AND(
        LEFT(P2433,5)&lt;&gt;"1-Way",
        LEFT(P2433,5)&lt;&gt;"2-Way",
        LEFT(P2433,5)&lt;&gt;"3-Way",
        P2433&lt;&gt;"Inner Centre Jamb"
      )
    ),
    IF(OR(Enginuity!$A$1="Frameless Glass",Enginuity!$A$1="Metal Work"),
      AND(TRIM(B2433)=TRIM(Enginuity!$A$17),TRIM(C2433)=TRIM(Enginuity!$A$18)),
      TRIM(B2433)=TRIM(Enginuity!$A$17)
    )
  ),
  ROW(),
  ""
)</f>
        <v/>
      </c>
    </row>
    <row r="2434" spans="21:21" x14ac:dyDescent="0.25">
      <c r="U2434" s="104" t="str">
        <f>IF(
  AND(
    TRIM(A2434)=TRIM(Enginuity!$A$1),
    TRIM(B2434)=TRIM(Enginuity!$A$17),
    Q2434&lt;&gt;"",
    Q2434&lt;&gt;0,
    OR(
      TRIM(C2434)=TRIM(Enginuity!$A$18),
      AND(UPPER(TRIM(M2434))="STD", TRIM(B2434)=TRIM(Enginuity!$A$17))
    ),
    OR(
      AND(LEFT(P2434,5)="1-Way", Enginuity!$B$13=1),
      AND(LEFT(P2434,5)="2-Way", OR(Enginuity!$B$13=2, Enginuity!$B$13=4)),
      AND(LEFT(P2434,5)="3-Way", OR(Enginuity!$B$13=3, Enginuity!$B$13=6)),
      AND(P2434="Inner Centre Jamb", OR(Enginuity!$B$13=4, Enginuity!$B$13=6)),
      AND(
        LEFT(P2434,5)&lt;&gt;"1-Way",
        LEFT(P2434,5)&lt;&gt;"2-Way",
        LEFT(P2434,5)&lt;&gt;"3-Way",
        P2434&lt;&gt;"Inner Centre Jamb"
      )
    ),
    IF(OR(Enginuity!$A$1="Frameless Glass",Enginuity!$A$1="Metal Work"),
      AND(TRIM(B2434)=TRIM(Enginuity!$A$17),TRIM(C2434)=TRIM(Enginuity!$A$18)),
      TRIM(B2434)=TRIM(Enginuity!$A$17)
    )
  ),
  ROW(),
  ""
)</f>
        <v/>
      </c>
    </row>
    <row r="2435" spans="21:21" x14ac:dyDescent="0.25">
      <c r="U2435" s="104" t="str">
        <f>IF(
  AND(
    TRIM(A2435)=TRIM(Enginuity!$A$1),
    TRIM(B2435)=TRIM(Enginuity!$A$17),
    Q2435&lt;&gt;"",
    Q2435&lt;&gt;0,
    OR(
      TRIM(C2435)=TRIM(Enginuity!$A$18),
      AND(UPPER(TRIM(M2435))="STD", TRIM(B2435)=TRIM(Enginuity!$A$17))
    ),
    OR(
      AND(LEFT(P2435,5)="1-Way", Enginuity!$B$13=1),
      AND(LEFT(P2435,5)="2-Way", OR(Enginuity!$B$13=2, Enginuity!$B$13=4)),
      AND(LEFT(P2435,5)="3-Way", OR(Enginuity!$B$13=3, Enginuity!$B$13=6)),
      AND(P2435="Inner Centre Jamb", OR(Enginuity!$B$13=4, Enginuity!$B$13=6)),
      AND(
        LEFT(P2435,5)&lt;&gt;"1-Way",
        LEFT(P2435,5)&lt;&gt;"2-Way",
        LEFT(P2435,5)&lt;&gt;"3-Way",
        P2435&lt;&gt;"Inner Centre Jamb"
      )
    ),
    IF(OR(Enginuity!$A$1="Frameless Glass",Enginuity!$A$1="Metal Work"),
      AND(TRIM(B2435)=TRIM(Enginuity!$A$17),TRIM(C2435)=TRIM(Enginuity!$A$18)),
      TRIM(B2435)=TRIM(Enginuity!$A$17)
    )
  ),
  ROW(),
  ""
)</f>
        <v/>
      </c>
    </row>
    <row r="2436" spans="21:21" x14ac:dyDescent="0.25">
      <c r="U2436" s="104" t="str">
        <f>IF(
  AND(
    TRIM(A2436)=TRIM(Enginuity!$A$1),
    TRIM(B2436)=TRIM(Enginuity!$A$17),
    Q2436&lt;&gt;"",
    Q2436&lt;&gt;0,
    OR(
      TRIM(C2436)=TRIM(Enginuity!$A$18),
      AND(UPPER(TRIM(M2436))="STD", TRIM(B2436)=TRIM(Enginuity!$A$17))
    ),
    OR(
      AND(LEFT(P2436,5)="1-Way", Enginuity!$B$13=1),
      AND(LEFT(P2436,5)="2-Way", OR(Enginuity!$B$13=2, Enginuity!$B$13=4)),
      AND(LEFT(P2436,5)="3-Way", OR(Enginuity!$B$13=3, Enginuity!$B$13=6)),
      AND(P2436="Inner Centre Jamb", OR(Enginuity!$B$13=4, Enginuity!$B$13=6)),
      AND(
        LEFT(P2436,5)&lt;&gt;"1-Way",
        LEFT(P2436,5)&lt;&gt;"2-Way",
        LEFT(P2436,5)&lt;&gt;"3-Way",
        P2436&lt;&gt;"Inner Centre Jamb"
      )
    ),
    IF(OR(Enginuity!$A$1="Frameless Glass",Enginuity!$A$1="Metal Work"),
      AND(TRIM(B2436)=TRIM(Enginuity!$A$17),TRIM(C2436)=TRIM(Enginuity!$A$18)),
      TRIM(B2436)=TRIM(Enginuity!$A$17)
    )
  ),
  ROW(),
  ""
)</f>
        <v/>
      </c>
    </row>
    <row r="2437" spans="21:21" x14ac:dyDescent="0.25">
      <c r="U2437" s="104" t="str">
        <f>IF(
  AND(
    TRIM(A2437)=TRIM(Enginuity!$A$1),
    TRIM(B2437)=TRIM(Enginuity!$A$17),
    Q2437&lt;&gt;"",
    Q2437&lt;&gt;0,
    OR(
      TRIM(C2437)=TRIM(Enginuity!$A$18),
      AND(UPPER(TRIM(M2437))="STD", TRIM(B2437)=TRIM(Enginuity!$A$17))
    ),
    OR(
      AND(LEFT(P2437,5)="1-Way", Enginuity!$B$13=1),
      AND(LEFT(P2437,5)="2-Way", OR(Enginuity!$B$13=2, Enginuity!$B$13=4)),
      AND(LEFT(P2437,5)="3-Way", OR(Enginuity!$B$13=3, Enginuity!$B$13=6)),
      AND(P2437="Inner Centre Jamb", OR(Enginuity!$B$13=4, Enginuity!$B$13=6)),
      AND(
        LEFT(P2437,5)&lt;&gt;"1-Way",
        LEFT(P2437,5)&lt;&gt;"2-Way",
        LEFT(P2437,5)&lt;&gt;"3-Way",
        P2437&lt;&gt;"Inner Centre Jamb"
      )
    ),
    IF(OR(Enginuity!$A$1="Frameless Glass",Enginuity!$A$1="Metal Work"),
      AND(TRIM(B2437)=TRIM(Enginuity!$A$17),TRIM(C2437)=TRIM(Enginuity!$A$18)),
      TRIM(B2437)=TRIM(Enginuity!$A$17)
    )
  ),
  ROW(),
  ""
)</f>
        <v/>
      </c>
    </row>
    <row r="2438" spans="21:21" x14ac:dyDescent="0.25">
      <c r="U2438" s="104" t="str">
        <f>IF(
  AND(
    TRIM(A2438)=TRIM(Enginuity!$A$1),
    TRIM(B2438)=TRIM(Enginuity!$A$17),
    Q2438&lt;&gt;"",
    Q2438&lt;&gt;0,
    OR(
      TRIM(C2438)=TRIM(Enginuity!$A$18),
      AND(UPPER(TRIM(M2438))="STD", TRIM(B2438)=TRIM(Enginuity!$A$17))
    ),
    OR(
      AND(LEFT(P2438,5)="1-Way", Enginuity!$B$13=1),
      AND(LEFT(P2438,5)="2-Way", OR(Enginuity!$B$13=2, Enginuity!$B$13=4)),
      AND(LEFT(P2438,5)="3-Way", OR(Enginuity!$B$13=3, Enginuity!$B$13=6)),
      AND(P2438="Inner Centre Jamb", OR(Enginuity!$B$13=4, Enginuity!$B$13=6)),
      AND(
        LEFT(P2438,5)&lt;&gt;"1-Way",
        LEFT(P2438,5)&lt;&gt;"2-Way",
        LEFT(P2438,5)&lt;&gt;"3-Way",
        P2438&lt;&gt;"Inner Centre Jamb"
      )
    ),
    IF(OR(Enginuity!$A$1="Frameless Glass",Enginuity!$A$1="Metal Work"),
      AND(TRIM(B2438)=TRIM(Enginuity!$A$17),TRIM(C2438)=TRIM(Enginuity!$A$18)),
      TRIM(B2438)=TRIM(Enginuity!$A$17)
    )
  ),
  ROW(),
  ""
)</f>
        <v/>
      </c>
    </row>
    <row r="2439" spans="21:21" x14ac:dyDescent="0.25">
      <c r="U2439" s="104" t="str">
        <f>IF(
  AND(
    TRIM(A2439)=TRIM(Enginuity!$A$1),
    TRIM(B2439)=TRIM(Enginuity!$A$17),
    Q2439&lt;&gt;"",
    Q2439&lt;&gt;0,
    OR(
      TRIM(C2439)=TRIM(Enginuity!$A$18),
      AND(UPPER(TRIM(M2439))="STD", TRIM(B2439)=TRIM(Enginuity!$A$17))
    ),
    OR(
      AND(LEFT(P2439,5)="1-Way", Enginuity!$B$13=1),
      AND(LEFT(P2439,5)="2-Way", OR(Enginuity!$B$13=2, Enginuity!$B$13=4)),
      AND(LEFT(P2439,5)="3-Way", OR(Enginuity!$B$13=3, Enginuity!$B$13=6)),
      AND(P2439="Inner Centre Jamb", OR(Enginuity!$B$13=4, Enginuity!$B$13=6)),
      AND(
        LEFT(P2439,5)&lt;&gt;"1-Way",
        LEFT(P2439,5)&lt;&gt;"2-Way",
        LEFT(P2439,5)&lt;&gt;"3-Way",
        P2439&lt;&gt;"Inner Centre Jamb"
      )
    ),
    IF(OR(Enginuity!$A$1="Frameless Glass",Enginuity!$A$1="Metal Work"),
      AND(TRIM(B2439)=TRIM(Enginuity!$A$17),TRIM(C2439)=TRIM(Enginuity!$A$18)),
      TRIM(B2439)=TRIM(Enginuity!$A$17)
    )
  ),
  ROW(),
  ""
)</f>
        <v/>
      </c>
    </row>
    <row r="2440" spans="21:21" x14ac:dyDescent="0.25">
      <c r="U2440" s="104" t="str">
        <f>IF(
  AND(
    TRIM(A2440)=TRIM(Enginuity!$A$1),
    TRIM(B2440)=TRIM(Enginuity!$A$17),
    Q2440&lt;&gt;"",
    Q2440&lt;&gt;0,
    OR(
      TRIM(C2440)=TRIM(Enginuity!$A$18),
      AND(UPPER(TRIM(M2440))="STD", TRIM(B2440)=TRIM(Enginuity!$A$17))
    ),
    OR(
      AND(LEFT(P2440,5)="1-Way", Enginuity!$B$13=1),
      AND(LEFT(P2440,5)="2-Way", OR(Enginuity!$B$13=2, Enginuity!$B$13=4)),
      AND(LEFT(P2440,5)="3-Way", OR(Enginuity!$B$13=3, Enginuity!$B$13=6)),
      AND(P2440="Inner Centre Jamb", OR(Enginuity!$B$13=4, Enginuity!$B$13=6)),
      AND(
        LEFT(P2440,5)&lt;&gt;"1-Way",
        LEFT(P2440,5)&lt;&gt;"2-Way",
        LEFT(P2440,5)&lt;&gt;"3-Way",
        P2440&lt;&gt;"Inner Centre Jamb"
      )
    ),
    IF(OR(Enginuity!$A$1="Frameless Glass",Enginuity!$A$1="Metal Work"),
      AND(TRIM(B2440)=TRIM(Enginuity!$A$17),TRIM(C2440)=TRIM(Enginuity!$A$18)),
      TRIM(B2440)=TRIM(Enginuity!$A$17)
    )
  ),
  ROW(),
  ""
)</f>
        <v/>
      </c>
    </row>
    <row r="2441" spans="21:21" x14ac:dyDescent="0.25">
      <c r="U2441" s="104" t="str">
        <f>IF(
  AND(
    TRIM(A2441)=TRIM(Enginuity!$A$1),
    TRIM(B2441)=TRIM(Enginuity!$A$17),
    Q2441&lt;&gt;"",
    Q2441&lt;&gt;0,
    OR(
      TRIM(C2441)=TRIM(Enginuity!$A$18),
      AND(UPPER(TRIM(M2441))="STD", TRIM(B2441)=TRIM(Enginuity!$A$17))
    ),
    OR(
      AND(LEFT(P2441,5)="1-Way", Enginuity!$B$13=1),
      AND(LEFT(P2441,5)="2-Way", OR(Enginuity!$B$13=2, Enginuity!$B$13=4)),
      AND(LEFT(P2441,5)="3-Way", OR(Enginuity!$B$13=3, Enginuity!$B$13=6)),
      AND(P2441="Inner Centre Jamb", OR(Enginuity!$B$13=4, Enginuity!$B$13=6)),
      AND(
        LEFT(P2441,5)&lt;&gt;"1-Way",
        LEFT(P2441,5)&lt;&gt;"2-Way",
        LEFT(P2441,5)&lt;&gt;"3-Way",
        P2441&lt;&gt;"Inner Centre Jamb"
      )
    ),
    IF(OR(Enginuity!$A$1="Frameless Glass",Enginuity!$A$1="Metal Work"),
      AND(TRIM(B2441)=TRIM(Enginuity!$A$17),TRIM(C2441)=TRIM(Enginuity!$A$18)),
      TRIM(B2441)=TRIM(Enginuity!$A$17)
    )
  ),
  ROW(),
  ""
)</f>
        <v/>
      </c>
    </row>
    <row r="2442" spans="21:21" x14ac:dyDescent="0.25">
      <c r="U2442" s="104" t="str">
        <f>IF(
  AND(
    TRIM(A2442)=TRIM(Enginuity!$A$1),
    TRIM(B2442)=TRIM(Enginuity!$A$17),
    Q2442&lt;&gt;"",
    Q2442&lt;&gt;0,
    OR(
      TRIM(C2442)=TRIM(Enginuity!$A$18),
      AND(UPPER(TRIM(M2442))="STD", TRIM(B2442)=TRIM(Enginuity!$A$17))
    ),
    OR(
      AND(LEFT(P2442,5)="1-Way", Enginuity!$B$13=1),
      AND(LEFT(P2442,5)="2-Way", OR(Enginuity!$B$13=2, Enginuity!$B$13=4)),
      AND(LEFT(P2442,5)="3-Way", OR(Enginuity!$B$13=3, Enginuity!$B$13=6)),
      AND(P2442="Inner Centre Jamb", OR(Enginuity!$B$13=4, Enginuity!$B$13=6)),
      AND(
        LEFT(P2442,5)&lt;&gt;"1-Way",
        LEFT(P2442,5)&lt;&gt;"2-Way",
        LEFT(P2442,5)&lt;&gt;"3-Way",
        P2442&lt;&gt;"Inner Centre Jamb"
      )
    ),
    IF(OR(Enginuity!$A$1="Frameless Glass",Enginuity!$A$1="Metal Work"),
      AND(TRIM(B2442)=TRIM(Enginuity!$A$17),TRIM(C2442)=TRIM(Enginuity!$A$18)),
      TRIM(B2442)=TRIM(Enginuity!$A$17)
    )
  ),
  ROW(),
  ""
)</f>
        <v/>
      </c>
    </row>
    <row r="2443" spans="21:21" x14ac:dyDescent="0.25">
      <c r="U2443" s="104" t="str">
        <f>IF(
  AND(
    TRIM(A2443)=TRIM(Enginuity!$A$1),
    TRIM(B2443)=TRIM(Enginuity!$A$17),
    Q2443&lt;&gt;"",
    Q2443&lt;&gt;0,
    OR(
      TRIM(C2443)=TRIM(Enginuity!$A$18),
      AND(UPPER(TRIM(M2443))="STD", TRIM(B2443)=TRIM(Enginuity!$A$17))
    ),
    OR(
      AND(LEFT(P2443,5)="1-Way", Enginuity!$B$13=1),
      AND(LEFT(P2443,5)="2-Way", OR(Enginuity!$B$13=2, Enginuity!$B$13=4)),
      AND(LEFT(P2443,5)="3-Way", OR(Enginuity!$B$13=3, Enginuity!$B$13=6)),
      AND(P2443="Inner Centre Jamb", OR(Enginuity!$B$13=4, Enginuity!$B$13=6)),
      AND(
        LEFT(P2443,5)&lt;&gt;"1-Way",
        LEFT(P2443,5)&lt;&gt;"2-Way",
        LEFT(P2443,5)&lt;&gt;"3-Way",
        P2443&lt;&gt;"Inner Centre Jamb"
      )
    ),
    IF(OR(Enginuity!$A$1="Frameless Glass",Enginuity!$A$1="Metal Work"),
      AND(TRIM(B2443)=TRIM(Enginuity!$A$17),TRIM(C2443)=TRIM(Enginuity!$A$18)),
      TRIM(B2443)=TRIM(Enginuity!$A$17)
    )
  ),
  ROW(),
  ""
)</f>
        <v/>
      </c>
    </row>
    <row r="2444" spans="21:21" x14ac:dyDescent="0.25">
      <c r="U2444" s="104" t="str">
        <f>IF(
  AND(
    TRIM(A2444)=TRIM(Enginuity!$A$1),
    TRIM(B2444)=TRIM(Enginuity!$A$17),
    Q2444&lt;&gt;"",
    Q2444&lt;&gt;0,
    OR(
      TRIM(C2444)=TRIM(Enginuity!$A$18),
      AND(UPPER(TRIM(M2444))="STD", TRIM(B2444)=TRIM(Enginuity!$A$17))
    ),
    OR(
      AND(LEFT(P2444,5)="1-Way", Enginuity!$B$13=1),
      AND(LEFT(P2444,5)="2-Way", OR(Enginuity!$B$13=2, Enginuity!$B$13=4)),
      AND(LEFT(P2444,5)="3-Way", OR(Enginuity!$B$13=3, Enginuity!$B$13=6)),
      AND(P2444="Inner Centre Jamb", OR(Enginuity!$B$13=4, Enginuity!$B$13=6)),
      AND(
        LEFT(P2444,5)&lt;&gt;"1-Way",
        LEFT(P2444,5)&lt;&gt;"2-Way",
        LEFT(P2444,5)&lt;&gt;"3-Way",
        P2444&lt;&gt;"Inner Centre Jamb"
      )
    ),
    IF(OR(Enginuity!$A$1="Frameless Glass",Enginuity!$A$1="Metal Work"),
      AND(TRIM(B2444)=TRIM(Enginuity!$A$17),TRIM(C2444)=TRIM(Enginuity!$A$18)),
      TRIM(B2444)=TRIM(Enginuity!$A$17)
    )
  ),
  ROW(),
  ""
)</f>
        <v/>
      </c>
    </row>
    <row r="2445" spans="21:21" x14ac:dyDescent="0.25">
      <c r="U2445" s="104" t="str">
        <f>IF(
  AND(
    TRIM(A2445)=TRIM(Enginuity!$A$1),
    TRIM(B2445)=TRIM(Enginuity!$A$17),
    Q2445&lt;&gt;"",
    Q2445&lt;&gt;0,
    OR(
      TRIM(C2445)=TRIM(Enginuity!$A$18),
      AND(UPPER(TRIM(M2445))="STD", TRIM(B2445)=TRIM(Enginuity!$A$17))
    ),
    OR(
      AND(LEFT(P2445,5)="1-Way", Enginuity!$B$13=1),
      AND(LEFT(P2445,5)="2-Way", OR(Enginuity!$B$13=2, Enginuity!$B$13=4)),
      AND(LEFT(P2445,5)="3-Way", OR(Enginuity!$B$13=3, Enginuity!$B$13=6)),
      AND(P2445="Inner Centre Jamb", OR(Enginuity!$B$13=4, Enginuity!$B$13=6)),
      AND(
        LEFT(P2445,5)&lt;&gt;"1-Way",
        LEFT(P2445,5)&lt;&gt;"2-Way",
        LEFT(P2445,5)&lt;&gt;"3-Way",
        P2445&lt;&gt;"Inner Centre Jamb"
      )
    ),
    IF(OR(Enginuity!$A$1="Frameless Glass",Enginuity!$A$1="Metal Work"),
      AND(TRIM(B2445)=TRIM(Enginuity!$A$17),TRIM(C2445)=TRIM(Enginuity!$A$18)),
      TRIM(B2445)=TRIM(Enginuity!$A$17)
    )
  ),
  ROW(),
  ""
)</f>
        <v/>
      </c>
    </row>
    <row r="2446" spans="21:21" x14ac:dyDescent="0.25">
      <c r="U2446" s="104" t="str">
        <f>IF(
  AND(
    TRIM(A2446)=TRIM(Enginuity!$A$1),
    TRIM(B2446)=TRIM(Enginuity!$A$17),
    Q2446&lt;&gt;"",
    Q2446&lt;&gt;0,
    OR(
      TRIM(C2446)=TRIM(Enginuity!$A$18),
      AND(UPPER(TRIM(M2446))="STD", TRIM(B2446)=TRIM(Enginuity!$A$17))
    ),
    OR(
      AND(LEFT(P2446,5)="1-Way", Enginuity!$B$13=1),
      AND(LEFT(P2446,5)="2-Way", OR(Enginuity!$B$13=2, Enginuity!$B$13=4)),
      AND(LEFT(P2446,5)="3-Way", OR(Enginuity!$B$13=3, Enginuity!$B$13=6)),
      AND(P2446="Inner Centre Jamb", OR(Enginuity!$B$13=4, Enginuity!$B$13=6)),
      AND(
        LEFT(P2446,5)&lt;&gt;"1-Way",
        LEFT(P2446,5)&lt;&gt;"2-Way",
        LEFT(P2446,5)&lt;&gt;"3-Way",
        P2446&lt;&gt;"Inner Centre Jamb"
      )
    ),
    IF(OR(Enginuity!$A$1="Frameless Glass",Enginuity!$A$1="Metal Work"),
      AND(TRIM(B2446)=TRIM(Enginuity!$A$17),TRIM(C2446)=TRIM(Enginuity!$A$18)),
      TRIM(B2446)=TRIM(Enginuity!$A$17)
    )
  ),
  ROW(),
  ""
)</f>
        <v/>
      </c>
    </row>
    <row r="2447" spans="21:21" x14ac:dyDescent="0.25">
      <c r="U2447" s="104" t="str">
        <f>IF(
  AND(
    TRIM(A2447)=TRIM(Enginuity!$A$1),
    TRIM(B2447)=TRIM(Enginuity!$A$17),
    Q2447&lt;&gt;"",
    Q2447&lt;&gt;0,
    OR(
      TRIM(C2447)=TRIM(Enginuity!$A$18),
      AND(UPPER(TRIM(M2447))="STD", TRIM(B2447)=TRIM(Enginuity!$A$17))
    ),
    OR(
      AND(LEFT(P2447,5)="1-Way", Enginuity!$B$13=1),
      AND(LEFT(P2447,5)="2-Way", OR(Enginuity!$B$13=2, Enginuity!$B$13=4)),
      AND(LEFT(P2447,5)="3-Way", OR(Enginuity!$B$13=3, Enginuity!$B$13=6)),
      AND(P2447="Inner Centre Jamb", OR(Enginuity!$B$13=4, Enginuity!$B$13=6)),
      AND(
        LEFT(P2447,5)&lt;&gt;"1-Way",
        LEFT(P2447,5)&lt;&gt;"2-Way",
        LEFT(P2447,5)&lt;&gt;"3-Way",
        P2447&lt;&gt;"Inner Centre Jamb"
      )
    ),
    IF(OR(Enginuity!$A$1="Frameless Glass",Enginuity!$A$1="Metal Work"),
      AND(TRIM(B2447)=TRIM(Enginuity!$A$17),TRIM(C2447)=TRIM(Enginuity!$A$18)),
      TRIM(B2447)=TRIM(Enginuity!$A$17)
    )
  ),
  ROW(),
  ""
)</f>
        <v/>
      </c>
    </row>
    <row r="2448" spans="21:21" x14ac:dyDescent="0.25">
      <c r="U2448" s="104" t="str">
        <f>IF(
  AND(
    TRIM(A2448)=TRIM(Enginuity!$A$1),
    TRIM(B2448)=TRIM(Enginuity!$A$17),
    Q2448&lt;&gt;"",
    Q2448&lt;&gt;0,
    OR(
      TRIM(C2448)=TRIM(Enginuity!$A$18),
      AND(UPPER(TRIM(M2448))="STD", TRIM(B2448)=TRIM(Enginuity!$A$17))
    ),
    OR(
      AND(LEFT(P2448,5)="1-Way", Enginuity!$B$13=1),
      AND(LEFT(P2448,5)="2-Way", OR(Enginuity!$B$13=2, Enginuity!$B$13=4)),
      AND(LEFT(P2448,5)="3-Way", OR(Enginuity!$B$13=3, Enginuity!$B$13=6)),
      AND(P2448="Inner Centre Jamb", OR(Enginuity!$B$13=4, Enginuity!$B$13=6)),
      AND(
        LEFT(P2448,5)&lt;&gt;"1-Way",
        LEFT(P2448,5)&lt;&gt;"2-Way",
        LEFT(P2448,5)&lt;&gt;"3-Way",
        P2448&lt;&gt;"Inner Centre Jamb"
      )
    ),
    IF(OR(Enginuity!$A$1="Frameless Glass",Enginuity!$A$1="Metal Work"),
      AND(TRIM(B2448)=TRIM(Enginuity!$A$17),TRIM(C2448)=TRIM(Enginuity!$A$18)),
      TRIM(B2448)=TRIM(Enginuity!$A$17)
    )
  ),
  ROW(),
  ""
)</f>
        <v/>
      </c>
    </row>
    <row r="2449" spans="21:21" x14ac:dyDescent="0.25">
      <c r="U2449" s="104" t="str">
        <f>IF(
  AND(
    TRIM(A2449)=TRIM(Enginuity!$A$1),
    TRIM(B2449)=TRIM(Enginuity!$A$17),
    Q2449&lt;&gt;"",
    Q2449&lt;&gt;0,
    OR(
      TRIM(C2449)=TRIM(Enginuity!$A$18),
      AND(UPPER(TRIM(M2449))="STD", TRIM(B2449)=TRIM(Enginuity!$A$17))
    ),
    OR(
      AND(LEFT(P2449,5)="1-Way", Enginuity!$B$13=1),
      AND(LEFT(P2449,5)="2-Way", OR(Enginuity!$B$13=2, Enginuity!$B$13=4)),
      AND(LEFT(P2449,5)="3-Way", OR(Enginuity!$B$13=3, Enginuity!$B$13=6)),
      AND(P2449="Inner Centre Jamb", OR(Enginuity!$B$13=4, Enginuity!$B$13=6)),
      AND(
        LEFT(P2449,5)&lt;&gt;"1-Way",
        LEFT(P2449,5)&lt;&gt;"2-Way",
        LEFT(P2449,5)&lt;&gt;"3-Way",
        P2449&lt;&gt;"Inner Centre Jamb"
      )
    ),
    IF(OR(Enginuity!$A$1="Frameless Glass",Enginuity!$A$1="Metal Work"),
      AND(TRIM(B2449)=TRIM(Enginuity!$A$17),TRIM(C2449)=TRIM(Enginuity!$A$18)),
      TRIM(B2449)=TRIM(Enginuity!$A$17)
    )
  ),
  ROW(),
  ""
)</f>
        <v/>
      </c>
    </row>
    <row r="2450" spans="21:21" x14ac:dyDescent="0.25">
      <c r="U2450" s="104" t="str">
        <f>IF(
  AND(
    TRIM(A2450)=TRIM(Enginuity!$A$1),
    TRIM(B2450)=TRIM(Enginuity!$A$17),
    Q2450&lt;&gt;"",
    Q2450&lt;&gt;0,
    OR(
      TRIM(C2450)=TRIM(Enginuity!$A$18),
      AND(UPPER(TRIM(M2450))="STD", TRIM(B2450)=TRIM(Enginuity!$A$17))
    ),
    OR(
      AND(LEFT(P2450,5)="1-Way", Enginuity!$B$13=1),
      AND(LEFT(P2450,5)="2-Way", OR(Enginuity!$B$13=2, Enginuity!$B$13=4)),
      AND(LEFT(P2450,5)="3-Way", OR(Enginuity!$B$13=3, Enginuity!$B$13=6)),
      AND(P2450="Inner Centre Jamb", OR(Enginuity!$B$13=4, Enginuity!$B$13=6)),
      AND(
        LEFT(P2450,5)&lt;&gt;"1-Way",
        LEFT(P2450,5)&lt;&gt;"2-Way",
        LEFT(P2450,5)&lt;&gt;"3-Way",
        P2450&lt;&gt;"Inner Centre Jamb"
      )
    ),
    IF(OR(Enginuity!$A$1="Frameless Glass",Enginuity!$A$1="Metal Work"),
      AND(TRIM(B2450)=TRIM(Enginuity!$A$17),TRIM(C2450)=TRIM(Enginuity!$A$18)),
      TRIM(B2450)=TRIM(Enginuity!$A$17)
    )
  ),
  ROW(),
  ""
)</f>
        <v/>
      </c>
    </row>
    <row r="2451" spans="21:21" x14ac:dyDescent="0.25">
      <c r="U2451" s="104" t="str">
        <f>IF(
  AND(
    TRIM(A2451)=TRIM(Enginuity!$A$1),
    TRIM(B2451)=TRIM(Enginuity!$A$17),
    Q2451&lt;&gt;"",
    Q2451&lt;&gt;0,
    OR(
      TRIM(C2451)=TRIM(Enginuity!$A$18),
      AND(UPPER(TRIM(M2451))="STD", TRIM(B2451)=TRIM(Enginuity!$A$17))
    ),
    OR(
      AND(LEFT(P2451,5)="1-Way", Enginuity!$B$13=1),
      AND(LEFT(P2451,5)="2-Way", OR(Enginuity!$B$13=2, Enginuity!$B$13=4)),
      AND(LEFT(P2451,5)="3-Way", OR(Enginuity!$B$13=3, Enginuity!$B$13=6)),
      AND(P2451="Inner Centre Jamb", OR(Enginuity!$B$13=4, Enginuity!$B$13=6)),
      AND(
        LEFT(P2451,5)&lt;&gt;"1-Way",
        LEFT(P2451,5)&lt;&gt;"2-Way",
        LEFT(P2451,5)&lt;&gt;"3-Way",
        P2451&lt;&gt;"Inner Centre Jamb"
      )
    ),
    IF(OR(Enginuity!$A$1="Frameless Glass",Enginuity!$A$1="Metal Work"),
      AND(TRIM(B2451)=TRIM(Enginuity!$A$17),TRIM(C2451)=TRIM(Enginuity!$A$18)),
      TRIM(B2451)=TRIM(Enginuity!$A$17)
    )
  ),
  ROW(),
  ""
)</f>
        <v/>
      </c>
    </row>
    <row r="2452" spans="21:21" x14ac:dyDescent="0.25">
      <c r="U2452" s="104" t="str">
        <f>IF(
  AND(
    TRIM(A2452)=TRIM(Enginuity!$A$1),
    TRIM(B2452)=TRIM(Enginuity!$A$17),
    Q2452&lt;&gt;"",
    Q2452&lt;&gt;0,
    OR(
      TRIM(C2452)=TRIM(Enginuity!$A$18),
      AND(UPPER(TRIM(M2452))="STD", TRIM(B2452)=TRIM(Enginuity!$A$17))
    ),
    OR(
      AND(LEFT(P2452,5)="1-Way", Enginuity!$B$13=1),
      AND(LEFT(P2452,5)="2-Way", OR(Enginuity!$B$13=2, Enginuity!$B$13=4)),
      AND(LEFT(P2452,5)="3-Way", OR(Enginuity!$B$13=3, Enginuity!$B$13=6)),
      AND(P2452="Inner Centre Jamb", OR(Enginuity!$B$13=4, Enginuity!$B$13=6)),
      AND(
        LEFT(P2452,5)&lt;&gt;"1-Way",
        LEFT(P2452,5)&lt;&gt;"2-Way",
        LEFT(P2452,5)&lt;&gt;"3-Way",
        P2452&lt;&gt;"Inner Centre Jamb"
      )
    ),
    IF(OR(Enginuity!$A$1="Frameless Glass",Enginuity!$A$1="Metal Work"),
      AND(TRIM(B2452)=TRIM(Enginuity!$A$17),TRIM(C2452)=TRIM(Enginuity!$A$18)),
      TRIM(B2452)=TRIM(Enginuity!$A$17)
    )
  ),
  ROW(),
  ""
)</f>
        <v/>
      </c>
    </row>
    <row r="2453" spans="21:21" x14ac:dyDescent="0.25">
      <c r="U2453" s="104" t="str">
        <f>IF(
  AND(
    TRIM(A2453)=TRIM(Enginuity!$A$1),
    TRIM(B2453)=TRIM(Enginuity!$A$17),
    Q2453&lt;&gt;"",
    Q2453&lt;&gt;0,
    OR(
      TRIM(C2453)=TRIM(Enginuity!$A$18),
      AND(UPPER(TRIM(M2453))="STD", TRIM(B2453)=TRIM(Enginuity!$A$17))
    ),
    OR(
      AND(LEFT(P2453,5)="1-Way", Enginuity!$B$13=1),
      AND(LEFT(P2453,5)="2-Way", OR(Enginuity!$B$13=2, Enginuity!$B$13=4)),
      AND(LEFT(P2453,5)="3-Way", OR(Enginuity!$B$13=3, Enginuity!$B$13=6)),
      AND(P2453="Inner Centre Jamb", OR(Enginuity!$B$13=4, Enginuity!$B$13=6)),
      AND(
        LEFT(P2453,5)&lt;&gt;"1-Way",
        LEFT(P2453,5)&lt;&gt;"2-Way",
        LEFT(P2453,5)&lt;&gt;"3-Way",
        P2453&lt;&gt;"Inner Centre Jamb"
      )
    ),
    IF(OR(Enginuity!$A$1="Frameless Glass",Enginuity!$A$1="Metal Work"),
      AND(TRIM(B2453)=TRIM(Enginuity!$A$17),TRIM(C2453)=TRIM(Enginuity!$A$18)),
      TRIM(B2453)=TRIM(Enginuity!$A$17)
    )
  ),
  ROW(),
  ""
)</f>
        <v/>
      </c>
    </row>
    <row r="2454" spans="21:21" x14ac:dyDescent="0.25">
      <c r="U2454" s="104" t="str">
        <f>IF(
  AND(
    TRIM(A2454)=TRIM(Enginuity!$A$1),
    TRIM(B2454)=TRIM(Enginuity!$A$17),
    Q2454&lt;&gt;"",
    Q2454&lt;&gt;0,
    OR(
      TRIM(C2454)=TRIM(Enginuity!$A$18),
      AND(UPPER(TRIM(M2454))="STD", TRIM(B2454)=TRIM(Enginuity!$A$17))
    ),
    OR(
      AND(LEFT(P2454,5)="1-Way", Enginuity!$B$13=1),
      AND(LEFT(P2454,5)="2-Way", OR(Enginuity!$B$13=2, Enginuity!$B$13=4)),
      AND(LEFT(P2454,5)="3-Way", OR(Enginuity!$B$13=3, Enginuity!$B$13=6)),
      AND(P2454="Inner Centre Jamb", OR(Enginuity!$B$13=4, Enginuity!$B$13=6)),
      AND(
        LEFT(P2454,5)&lt;&gt;"1-Way",
        LEFT(P2454,5)&lt;&gt;"2-Way",
        LEFT(P2454,5)&lt;&gt;"3-Way",
        P2454&lt;&gt;"Inner Centre Jamb"
      )
    ),
    IF(OR(Enginuity!$A$1="Frameless Glass",Enginuity!$A$1="Metal Work"),
      AND(TRIM(B2454)=TRIM(Enginuity!$A$17),TRIM(C2454)=TRIM(Enginuity!$A$18)),
      TRIM(B2454)=TRIM(Enginuity!$A$17)
    )
  ),
  ROW(),
  ""
)</f>
        <v/>
      </c>
    </row>
    <row r="2455" spans="21:21" x14ac:dyDescent="0.25">
      <c r="U2455" s="104" t="str">
        <f>IF(
  AND(
    TRIM(A2455)=TRIM(Enginuity!$A$1),
    TRIM(B2455)=TRIM(Enginuity!$A$17),
    Q2455&lt;&gt;"",
    Q2455&lt;&gt;0,
    OR(
      TRIM(C2455)=TRIM(Enginuity!$A$18),
      AND(UPPER(TRIM(M2455))="STD", TRIM(B2455)=TRIM(Enginuity!$A$17))
    ),
    OR(
      AND(LEFT(P2455,5)="1-Way", Enginuity!$B$13=1),
      AND(LEFT(P2455,5)="2-Way", OR(Enginuity!$B$13=2, Enginuity!$B$13=4)),
      AND(LEFT(P2455,5)="3-Way", OR(Enginuity!$B$13=3, Enginuity!$B$13=6)),
      AND(P2455="Inner Centre Jamb", OR(Enginuity!$B$13=4, Enginuity!$B$13=6)),
      AND(
        LEFT(P2455,5)&lt;&gt;"1-Way",
        LEFT(P2455,5)&lt;&gt;"2-Way",
        LEFT(P2455,5)&lt;&gt;"3-Way",
        P2455&lt;&gt;"Inner Centre Jamb"
      )
    ),
    IF(OR(Enginuity!$A$1="Frameless Glass",Enginuity!$A$1="Metal Work"),
      AND(TRIM(B2455)=TRIM(Enginuity!$A$17),TRIM(C2455)=TRIM(Enginuity!$A$18)),
      TRIM(B2455)=TRIM(Enginuity!$A$17)
    )
  ),
  ROW(),
  ""
)</f>
        <v/>
      </c>
    </row>
    <row r="2456" spans="21:21" x14ac:dyDescent="0.25">
      <c r="U2456" s="104" t="str">
        <f>IF(
  AND(
    TRIM(A2456)=TRIM(Enginuity!$A$1),
    TRIM(B2456)=TRIM(Enginuity!$A$17),
    Q2456&lt;&gt;"",
    Q2456&lt;&gt;0,
    OR(
      TRIM(C2456)=TRIM(Enginuity!$A$18),
      AND(UPPER(TRIM(M2456))="STD", TRIM(B2456)=TRIM(Enginuity!$A$17))
    ),
    OR(
      AND(LEFT(P2456,5)="1-Way", Enginuity!$B$13=1),
      AND(LEFT(P2456,5)="2-Way", OR(Enginuity!$B$13=2, Enginuity!$B$13=4)),
      AND(LEFT(P2456,5)="3-Way", OR(Enginuity!$B$13=3, Enginuity!$B$13=6)),
      AND(P2456="Inner Centre Jamb", OR(Enginuity!$B$13=4, Enginuity!$B$13=6)),
      AND(
        LEFT(P2456,5)&lt;&gt;"1-Way",
        LEFT(P2456,5)&lt;&gt;"2-Way",
        LEFT(P2456,5)&lt;&gt;"3-Way",
        P2456&lt;&gt;"Inner Centre Jamb"
      )
    ),
    IF(OR(Enginuity!$A$1="Frameless Glass",Enginuity!$A$1="Metal Work"),
      AND(TRIM(B2456)=TRIM(Enginuity!$A$17),TRIM(C2456)=TRIM(Enginuity!$A$18)),
      TRIM(B2456)=TRIM(Enginuity!$A$17)
    )
  ),
  ROW(),
  ""
)</f>
        <v/>
      </c>
    </row>
    <row r="2457" spans="21:21" x14ac:dyDescent="0.25">
      <c r="U2457" s="104" t="str">
        <f>IF(
  AND(
    TRIM(A2457)=TRIM(Enginuity!$A$1),
    TRIM(B2457)=TRIM(Enginuity!$A$17),
    Q2457&lt;&gt;"",
    Q2457&lt;&gt;0,
    OR(
      TRIM(C2457)=TRIM(Enginuity!$A$18),
      AND(UPPER(TRIM(M2457))="STD", TRIM(B2457)=TRIM(Enginuity!$A$17))
    ),
    OR(
      AND(LEFT(P2457,5)="1-Way", Enginuity!$B$13=1),
      AND(LEFT(P2457,5)="2-Way", OR(Enginuity!$B$13=2, Enginuity!$B$13=4)),
      AND(LEFT(P2457,5)="3-Way", OR(Enginuity!$B$13=3, Enginuity!$B$13=6)),
      AND(P2457="Inner Centre Jamb", OR(Enginuity!$B$13=4, Enginuity!$B$13=6)),
      AND(
        LEFT(P2457,5)&lt;&gt;"1-Way",
        LEFT(P2457,5)&lt;&gt;"2-Way",
        LEFT(P2457,5)&lt;&gt;"3-Way",
        P2457&lt;&gt;"Inner Centre Jamb"
      )
    ),
    IF(OR(Enginuity!$A$1="Frameless Glass",Enginuity!$A$1="Metal Work"),
      AND(TRIM(B2457)=TRIM(Enginuity!$A$17),TRIM(C2457)=TRIM(Enginuity!$A$18)),
      TRIM(B2457)=TRIM(Enginuity!$A$17)
    )
  ),
  ROW(),
  ""
)</f>
        <v/>
      </c>
    </row>
    <row r="2458" spans="21:21" x14ac:dyDescent="0.25">
      <c r="U2458" s="104" t="str">
        <f>IF(
  AND(
    TRIM(A2458)=TRIM(Enginuity!$A$1),
    TRIM(B2458)=TRIM(Enginuity!$A$17),
    Q2458&lt;&gt;"",
    Q2458&lt;&gt;0,
    OR(
      TRIM(C2458)=TRIM(Enginuity!$A$18),
      AND(UPPER(TRIM(M2458))="STD", TRIM(B2458)=TRIM(Enginuity!$A$17))
    ),
    OR(
      AND(LEFT(P2458,5)="1-Way", Enginuity!$B$13=1),
      AND(LEFT(P2458,5)="2-Way", OR(Enginuity!$B$13=2, Enginuity!$B$13=4)),
      AND(LEFT(P2458,5)="3-Way", OR(Enginuity!$B$13=3, Enginuity!$B$13=6)),
      AND(P2458="Inner Centre Jamb", OR(Enginuity!$B$13=4, Enginuity!$B$13=6)),
      AND(
        LEFT(P2458,5)&lt;&gt;"1-Way",
        LEFT(P2458,5)&lt;&gt;"2-Way",
        LEFT(P2458,5)&lt;&gt;"3-Way",
        P2458&lt;&gt;"Inner Centre Jamb"
      )
    ),
    IF(OR(Enginuity!$A$1="Frameless Glass",Enginuity!$A$1="Metal Work"),
      AND(TRIM(B2458)=TRIM(Enginuity!$A$17),TRIM(C2458)=TRIM(Enginuity!$A$18)),
      TRIM(B2458)=TRIM(Enginuity!$A$17)
    )
  ),
  ROW(),
  ""
)</f>
        <v/>
      </c>
    </row>
    <row r="2459" spans="21:21" x14ac:dyDescent="0.25">
      <c r="U2459" s="104" t="str">
        <f>IF(
  AND(
    TRIM(A2459)=TRIM(Enginuity!$A$1),
    TRIM(B2459)=TRIM(Enginuity!$A$17),
    Q2459&lt;&gt;"",
    Q2459&lt;&gt;0,
    OR(
      TRIM(C2459)=TRIM(Enginuity!$A$18),
      AND(UPPER(TRIM(M2459))="STD", TRIM(B2459)=TRIM(Enginuity!$A$17))
    ),
    OR(
      AND(LEFT(P2459,5)="1-Way", Enginuity!$B$13=1),
      AND(LEFT(P2459,5)="2-Way", OR(Enginuity!$B$13=2, Enginuity!$B$13=4)),
      AND(LEFT(P2459,5)="3-Way", OR(Enginuity!$B$13=3, Enginuity!$B$13=6)),
      AND(P2459="Inner Centre Jamb", OR(Enginuity!$B$13=4, Enginuity!$B$13=6)),
      AND(
        LEFT(P2459,5)&lt;&gt;"1-Way",
        LEFT(P2459,5)&lt;&gt;"2-Way",
        LEFT(P2459,5)&lt;&gt;"3-Way",
        P2459&lt;&gt;"Inner Centre Jamb"
      )
    ),
    IF(OR(Enginuity!$A$1="Frameless Glass",Enginuity!$A$1="Metal Work"),
      AND(TRIM(B2459)=TRIM(Enginuity!$A$17),TRIM(C2459)=TRIM(Enginuity!$A$18)),
      TRIM(B2459)=TRIM(Enginuity!$A$17)
    )
  ),
  ROW(),
  ""
)</f>
        <v/>
      </c>
    </row>
    <row r="2460" spans="21:21" x14ac:dyDescent="0.25">
      <c r="U2460" s="104" t="str">
        <f>IF(
  AND(
    TRIM(A2460)=TRIM(Enginuity!$A$1),
    TRIM(B2460)=TRIM(Enginuity!$A$17),
    Q2460&lt;&gt;"",
    Q2460&lt;&gt;0,
    OR(
      TRIM(C2460)=TRIM(Enginuity!$A$18),
      AND(UPPER(TRIM(M2460))="STD", TRIM(B2460)=TRIM(Enginuity!$A$17))
    ),
    OR(
      AND(LEFT(P2460,5)="1-Way", Enginuity!$B$13=1),
      AND(LEFT(P2460,5)="2-Way", OR(Enginuity!$B$13=2, Enginuity!$B$13=4)),
      AND(LEFT(P2460,5)="3-Way", OR(Enginuity!$B$13=3, Enginuity!$B$13=6)),
      AND(P2460="Inner Centre Jamb", OR(Enginuity!$B$13=4, Enginuity!$B$13=6)),
      AND(
        LEFT(P2460,5)&lt;&gt;"1-Way",
        LEFT(P2460,5)&lt;&gt;"2-Way",
        LEFT(P2460,5)&lt;&gt;"3-Way",
        P2460&lt;&gt;"Inner Centre Jamb"
      )
    ),
    IF(OR(Enginuity!$A$1="Frameless Glass",Enginuity!$A$1="Metal Work"),
      AND(TRIM(B2460)=TRIM(Enginuity!$A$17),TRIM(C2460)=TRIM(Enginuity!$A$18)),
      TRIM(B2460)=TRIM(Enginuity!$A$17)
    )
  ),
  ROW(),
  ""
)</f>
        <v/>
      </c>
    </row>
    <row r="2461" spans="21:21" x14ac:dyDescent="0.25">
      <c r="U2461" s="104" t="str">
        <f>IF(
  AND(
    TRIM(A2461)=TRIM(Enginuity!$A$1),
    TRIM(B2461)=TRIM(Enginuity!$A$17),
    Q2461&lt;&gt;"",
    Q2461&lt;&gt;0,
    OR(
      TRIM(C2461)=TRIM(Enginuity!$A$18),
      AND(UPPER(TRIM(M2461))="STD", TRIM(B2461)=TRIM(Enginuity!$A$17))
    ),
    OR(
      AND(LEFT(P2461,5)="1-Way", Enginuity!$B$13=1),
      AND(LEFT(P2461,5)="2-Way", OR(Enginuity!$B$13=2, Enginuity!$B$13=4)),
      AND(LEFT(P2461,5)="3-Way", OR(Enginuity!$B$13=3, Enginuity!$B$13=6)),
      AND(P2461="Inner Centre Jamb", OR(Enginuity!$B$13=4, Enginuity!$B$13=6)),
      AND(
        LEFT(P2461,5)&lt;&gt;"1-Way",
        LEFT(P2461,5)&lt;&gt;"2-Way",
        LEFT(P2461,5)&lt;&gt;"3-Way",
        P2461&lt;&gt;"Inner Centre Jamb"
      )
    ),
    IF(OR(Enginuity!$A$1="Frameless Glass",Enginuity!$A$1="Metal Work"),
      AND(TRIM(B2461)=TRIM(Enginuity!$A$17),TRIM(C2461)=TRIM(Enginuity!$A$18)),
      TRIM(B2461)=TRIM(Enginuity!$A$17)
    )
  ),
  ROW(),
  ""
)</f>
        <v/>
      </c>
    </row>
    <row r="2462" spans="21:21" x14ac:dyDescent="0.25">
      <c r="U2462" s="104" t="str">
        <f>IF(
  AND(
    TRIM(A2462)=TRIM(Enginuity!$A$1),
    TRIM(B2462)=TRIM(Enginuity!$A$17),
    Q2462&lt;&gt;"",
    Q2462&lt;&gt;0,
    OR(
      TRIM(C2462)=TRIM(Enginuity!$A$18),
      AND(UPPER(TRIM(M2462))="STD", TRIM(B2462)=TRIM(Enginuity!$A$17))
    ),
    OR(
      AND(LEFT(P2462,5)="1-Way", Enginuity!$B$13=1),
      AND(LEFT(P2462,5)="2-Way", OR(Enginuity!$B$13=2, Enginuity!$B$13=4)),
      AND(LEFT(P2462,5)="3-Way", OR(Enginuity!$B$13=3, Enginuity!$B$13=6)),
      AND(P2462="Inner Centre Jamb", OR(Enginuity!$B$13=4, Enginuity!$B$13=6)),
      AND(
        LEFT(P2462,5)&lt;&gt;"1-Way",
        LEFT(P2462,5)&lt;&gt;"2-Way",
        LEFT(P2462,5)&lt;&gt;"3-Way",
        P2462&lt;&gt;"Inner Centre Jamb"
      )
    ),
    IF(OR(Enginuity!$A$1="Frameless Glass",Enginuity!$A$1="Metal Work"),
      AND(TRIM(B2462)=TRIM(Enginuity!$A$17),TRIM(C2462)=TRIM(Enginuity!$A$18)),
      TRIM(B2462)=TRIM(Enginuity!$A$17)
    )
  ),
  ROW(),
  ""
)</f>
        <v/>
      </c>
    </row>
    <row r="2463" spans="21:21" x14ac:dyDescent="0.25">
      <c r="U2463" s="104" t="str">
        <f>IF(
  AND(
    TRIM(A2463)=TRIM(Enginuity!$A$1),
    TRIM(B2463)=TRIM(Enginuity!$A$17),
    Q2463&lt;&gt;"",
    Q2463&lt;&gt;0,
    OR(
      TRIM(C2463)=TRIM(Enginuity!$A$18),
      AND(UPPER(TRIM(M2463))="STD", TRIM(B2463)=TRIM(Enginuity!$A$17))
    ),
    OR(
      AND(LEFT(P2463,5)="1-Way", Enginuity!$B$13=1),
      AND(LEFT(P2463,5)="2-Way", OR(Enginuity!$B$13=2, Enginuity!$B$13=4)),
      AND(LEFT(P2463,5)="3-Way", OR(Enginuity!$B$13=3, Enginuity!$B$13=6)),
      AND(P2463="Inner Centre Jamb", OR(Enginuity!$B$13=4, Enginuity!$B$13=6)),
      AND(
        LEFT(P2463,5)&lt;&gt;"1-Way",
        LEFT(P2463,5)&lt;&gt;"2-Way",
        LEFT(P2463,5)&lt;&gt;"3-Way",
        P2463&lt;&gt;"Inner Centre Jamb"
      )
    ),
    IF(OR(Enginuity!$A$1="Frameless Glass",Enginuity!$A$1="Metal Work"),
      AND(TRIM(B2463)=TRIM(Enginuity!$A$17),TRIM(C2463)=TRIM(Enginuity!$A$18)),
      TRIM(B2463)=TRIM(Enginuity!$A$17)
    )
  ),
  ROW(),
  ""
)</f>
        <v/>
      </c>
    </row>
    <row r="2464" spans="21:21" x14ac:dyDescent="0.25">
      <c r="U2464" s="104" t="str">
        <f>IF(
  AND(
    TRIM(A2464)=TRIM(Enginuity!$A$1),
    TRIM(B2464)=TRIM(Enginuity!$A$17),
    Q2464&lt;&gt;"",
    Q2464&lt;&gt;0,
    OR(
      TRIM(C2464)=TRIM(Enginuity!$A$18),
      AND(UPPER(TRIM(M2464))="STD", TRIM(B2464)=TRIM(Enginuity!$A$17))
    ),
    OR(
      AND(LEFT(P2464,5)="1-Way", Enginuity!$B$13=1),
      AND(LEFT(P2464,5)="2-Way", OR(Enginuity!$B$13=2, Enginuity!$B$13=4)),
      AND(LEFT(P2464,5)="3-Way", OR(Enginuity!$B$13=3, Enginuity!$B$13=6)),
      AND(P2464="Inner Centre Jamb", OR(Enginuity!$B$13=4, Enginuity!$B$13=6)),
      AND(
        LEFT(P2464,5)&lt;&gt;"1-Way",
        LEFT(P2464,5)&lt;&gt;"2-Way",
        LEFT(P2464,5)&lt;&gt;"3-Way",
        P2464&lt;&gt;"Inner Centre Jamb"
      )
    ),
    IF(OR(Enginuity!$A$1="Frameless Glass",Enginuity!$A$1="Metal Work"),
      AND(TRIM(B2464)=TRIM(Enginuity!$A$17),TRIM(C2464)=TRIM(Enginuity!$A$18)),
      TRIM(B2464)=TRIM(Enginuity!$A$17)
    )
  ),
  ROW(),
  ""
)</f>
        <v/>
      </c>
    </row>
    <row r="2465" spans="21:21" x14ac:dyDescent="0.25">
      <c r="U2465" s="104" t="str">
        <f>IF(
  AND(
    TRIM(A2465)=TRIM(Enginuity!$A$1),
    TRIM(B2465)=TRIM(Enginuity!$A$17),
    Q2465&lt;&gt;"",
    Q2465&lt;&gt;0,
    OR(
      TRIM(C2465)=TRIM(Enginuity!$A$18),
      AND(UPPER(TRIM(M2465))="STD", TRIM(B2465)=TRIM(Enginuity!$A$17))
    ),
    OR(
      AND(LEFT(P2465,5)="1-Way", Enginuity!$B$13=1),
      AND(LEFT(P2465,5)="2-Way", OR(Enginuity!$B$13=2, Enginuity!$B$13=4)),
      AND(LEFT(P2465,5)="3-Way", OR(Enginuity!$B$13=3, Enginuity!$B$13=6)),
      AND(P2465="Inner Centre Jamb", OR(Enginuity!$B$13=4, Enginuity!$B$13=6)),
      AND(
        LEFT(P2465,5)&lt;&gt;"1-Way",
        LEFT(P2465,5)&lt;&gt;"2-Way",
        LEFT(P2465,5)&lt;&gt;"3-Way",
        P2465&lt;&gt;"Inner Centre Jamb"
      )
    ),
    IF(OR(Enginuity!$A$1="Frameless Glass",Enginuity!$A$1="Metal Work"),
      AND(TRIM(B2465)=TRIM(Enginuity!$A$17),TRIM(C2465)=TRIM(Enginuity!$A$18)),
      TRIM(B2465)=TRIM(Enginuity!$A$17)
    )
  ),
  ROW(),
  ""
)</f>
        <v/>
      </c>
    </row>
    <row r="2466" spans="21:21" x14ac:dyDescent="0.25">
      <c r="U2466" s="104" t="str">
        <f>IF(
  AND(
    TRIM(A2466)=TRIM(Enginuity!$A$1),
    TRIM(B2466)=TRIM(Enginuity!$A$17),
    Q2466&lt;&gt;"",
    Q2466&lt;&gt;0,
    OR(
      TRIM(C2466)=TRIM(Enginuity!$A$18),
      AND(UPPER(TRIM(M2466))="STD", TRIM(B2466)=TRIM(Enginuity!$A$17))
    ),
    OR(
      AND(LEFT(P2466,5)="1-Way", Enginuity!$B$13=1),
      AND(LEFT(P2466,5)="2-Way", OR(Enginuity!$B$13=2, Enginuity!$B$13=4)),
      AND(LEFT(P2466,5)="3-Way", OR(Enginuity!$B$13=3, Enginuity!$B$13=6)),
      AND(P2466="Inner Centre Jamb", OR(Enginuity!$B$13=4, Enginuity!$B$13=6)),
      AND(
        LEFT(P2466,5)&lt;&gt;"1-Way",
        LEFT(P2466,5)&lt;&gt;"2-Way",
        LEFT(P2466,5)&lt;&gt;"3-Way",
        P2466&lt;&gt;"Inner Centre Jamb"
      )
    ),
    IF(OR(Enginuity!$A$1="Frameless Glass",Enginuity!$A$1="Metal Work"),
      AND(TRIM(B2466)=TRIM(Enginuity!$A$17),TRIM(C2466)=TRIM(Enginuity!$A$18)),
      TRIM(B2466)=TRIM(Enginuity!$A$17)
    )
  ),
  ROW(),
  ""
)</f>
        <v/>
      </c>
    </row>
    <row r="2467" spans="21:21" x14ac:dyDescent="0.25">
      <c r="U2467" s="104" t="str">
        <f>IF(
  AND(
    TRIM(A2467)=TRIM(Enginuity!$A$1),
    TRIM(B2467)=TRIM(Enginuity!$A$17),
    Q2467&lt;&gt;"",
    Q2467&lt;&gt;0,
    OR(
      TRIM(C2467)=TRIM(Enginuity!$A$18),
      AND(UPPER(TRIM(M2467))="STD", TRIM(B2467)=TRIM(Enginuity!$A$17))
    ),
    OR(
      AND(LEFT(P2467,5)="1-Way", Enginuity!$B$13=1),
      AND(LEFT(P2467,5)="2-Way", OR(Enginuity!$B$13=2, Enginuity!$B$13=4)),
      AND(LEFT(P2467,5)="3-Way", OR(Enginuity!$B$13=3, Enginuity!$B$13=6)),
      AND(P2467="Inner Centre Jamb", OR(Enginuity!$B$13=4, Enginuity!$B$13=6)),
      AND(
        LEFT(P2467,5)&lt;&gt;"1-Way",
        LEFT(P2467,5)&lt;&gt;"2-Way",
        LEFT(P2467,5)&lt;&gt;"3-Way",
        P2467&lt;&gt;"Inner Centre Jamb"
      )
    ),
    IF(OR(Enginuity!$A$1="Frameless Glass",Enginuity!$A$1="Metal Work"),
      AND(TRIM(B2467)=TRIM(Enginuity!$A$17),TRIM(C2467)=TRIM(Enginuity!$A$18)),
      TRIM(B2467)=TRIM(Enginuity!$A$17)
    )
  ),
  ROW(),
  ""
)</f>
        <v/>
      </c>
    </row>
    <row r="2468" spans="21:21" x14ac:dyDescent="0.25">
      <c r="U2468" s="104" t="str">
        <f>IF(
  AND(
    TRIM(A2468)=TRIM(Enginuity!$A$1),
    TRIM(B2468)=TRIM(Enginuity!$A$17),
    Q2468&lt;&gt;"",
    Q2468&lt;&gt;0,
    OR(
      TRIM(C2468)=TRIM(Enginuity!$A$18),
      AND(UPPER(TRIM(M2468))="STD", TRIM(B2468)=TRIM(Enginuity!$A$17))
    ),
    OR(
      AND(LEFT(P2468,5)="1-Way", Enginuity!$B$13=1),
      AND(LEFT(P2468,5)="2-Way", OR(Enginuity!$B$13=2, Enginuity!$B$13=4)),
      AND(LEFT(P2468,5)="3-Way", OR(Enginuity!$B$13=3, Enginuity!$B$13=6)),
      AND(P2468="Inner Centre Jamb", OR(Enginuity!$B$13=4, Enginuity!$B$13=6)),
      AND(
        LEFT(P2468,5)&lt;&gt;"1-Way",
        LEFT(P2468,5)&lt;&gt;"2-Way",
        LEFT(P2468,5)&lt;&gt;"3-Way",
        P2468&lt;&gt;"Inner Centre Jamb"
      )
    ),
    IF(OR(Enginuity!$A$1="Frameless Glass",Enginuity!$A$1="Metal Work"),
      AND(TRIM(B2468)=TRIM(Enginuity!$A$17),TRIM(C2468)=TRIM(Enginuity!$A$18)),
      TRIM(B2468)=TRIM(Enginuity!$A$17)
    )
  ),
  ROW(),
  ""
)</f>
        <v/>
      </c>
    </row>
    <row r="2469" spans="21:21" x14ac:dyDescent="0.25">
      <c r="U2469" s="104" t="str">
        <f>IF(
  AND(
    TRIM(A2469)=TRIM(Enginuity!$A$1),
    TRIM(B2469)=TRIM(Enginuity!$A$17),
    Q2469&lt;&gt;"",
    Q2469&lt;&gt;0,
    OR(
      TRIM(C2469)=TRIM(Enginuity!$A$18),
      AND(UPPER(TRIM(M2469))="STD", TRIM(B2469)=TRIM(Enginuity!$A$17))
    ),
    OR(
      AND(LEFT(P2469,5)="1-Way", Enginuity!$B$13=1),
      AND(LEFT(P2469,5)="2-Way", OR(Enginuity!$B$13=2, Enginuity!$B$13=4)),
      AND(LEFT(P2469,5)="3-Way", OR(Enginuity!$B$13=3, Enginuity!$B$13=6)),
      AND(P2469="Inner Centre Jamb", OR(Enginuity!$B$13=4, Enginuity!$B$13=6)),
      AND(
        LEFT(P2469,5)&lt;&gt;"1-Way",
        LEFT(P2469,5)&lt;&gt;"2-Way",
        LEFT(P2469,5)&lt;&gt;"3-Way",
        P2469&lt;&gt;"Inner Centre Jamb"
      )
    ),
    IF(OR(Enginuity!$A$1="Frameless Glass",Enginuity!$A$1="Metal Work"),
      AND(TRIM(B2469)=TRIM(Enginuity!$A$17),TRIM(C2469)=TRIM(Enginuity!$A$18)),
      TRIM(B2469)=TRIM(Enginuity!$A$17)
    )
  ),
  ROW(),
  ""
)</f>
        <v/>
      </c>
    </row>
    <row r="2470" spans="21:21" x14ac:dyDescent="0.25">
      <c r="U2470" s="104" t="str">
        <f>IF(
  AND(
    TRIM(A2470)=TRIM(Enginuity!$A$1),
    TRIM(B2470)=TRIM(Enginuity!$A$17),
    Q2470&lt;&gt;"",
    Q2470&lt;&gt;0,
    OR(
      TRIM(C2470)=TRIM(Enginuity!$A$18),
      AND(UPPER(TRIM(M2470))="STD", TRIM(B2470)=TRIM(Enginuity!$A$17))
    ),
    OR(
      AND(LEFT(P2470,5)="1-Way", Enginuity!$B$13=1),
      AND(LEFT(P2470,5)="2-Way", OR(Enginuity!$B$13=2, Enginuity!$B$13=4)),
      AND(LEFT(P2470,5)="3-Way", OR(Enginuity!$B$13=3, Enginuity!$B$13=6)),
      AND(P2470="Inner Centre Jamb", OR(Enginuity!$B$13=4, Enginuity!$B$13=6)),
      AND(
        LEFT(P2470,5)&lt;&gt;"1-Way",
        LEFT(P2470,5)&lt;&gt;"2-Way",
        LEFT(P2470,5)&lt;&gt;"3-Way",
        P2470&lt;&gt;"Inner Centre Jamb"
      )
    ),
    IF(OR(Enginuity!$A$1="Frameless Glass",Enginuity!$A$1="Metal Work"),
      AND(TRIM(B2470)=TRIM(Enginuity!$A$17),TRIM(C2470)=TRIM(Enginuity!$A$18)),
      TRIM(B2470)=TRIM(Enginuity!$A$17)
    )
  ),
  ROW(),
  ""
)</f>
        <v/>
      </c>
    </row>
    <row r="2471" spans="21:21" x14ac:dyDescent="0.25">
      <c r="U2471" s="104" t="str">
        <f>IF(
  AND(
    TRIM(A2471)=TRIM(Enginuity!$A$1),
    TRIM(B2471)=TRIM(Enginuity!$A$17),
    Q2471&lt;&gt;"",
    Q2471&lt;&gt;0,
    OR(
      TRIM(C2471)=TRIM(Enginuity!$A$18),
      AND(UPPER(TRIM(M2471))="STD", TRIM(B2471)=TRIM(Enginuity!$A$17))
    ),
    OR(
      AND(LEFT(P2471,5)="1-Way", Enginuity!$B$13=1),
      AND(LEFT(P2471,5)="2-Way", OR(Enginuity!$B$13=2, Enginuity!$B$13=4)),
      AND(LEFT(P2471,5)="3-Way", OR(Enginuity!$B$13=3, Enginuity!$B$13=6)),
      AND(P2471="Inner Centre Jamb", OR(Enginuity!$B$13=4, Enginuity!$B$13=6)),
      AND(
        LEFT(P2471,5)&lt;&gt;"1-Way",
        LEFT(P2471,5)&lt;&gt;"2-Way",
        LEFT(P2471,5)&lt;&gt;"3-Way",
        P2471&lt;&gt;"Inner Centre Jamb"
      )
    ),
    IF(OR(Enginuity!$A$1="Frameless Glass",Enginuity!$A$1="Metal Work"),
      AND(TRIM(B2471)=TRIM(Enginuity!$A$17),TRIM(C2471)=TRIM(Enginuity!$A$18)),
      TRIM(B2471)=TRIM(Enginuity!$A$17)
    )
  ),
  ROW(),
  ""
)</f>
        <v/>
      </c>
    </row>
    <row r="2472" spans="21:21" x14ac:dyDescent="0.25">
      <c r="U2472" s="104" t="str">
        <f>IF(
  AND(
    TRIM(A2472)=TRIM(Enginuity!$A$1),
    TRIM(B2472)=TRIM(Enginuity!$A$17),
    Q2472&lt;&gt;"",
    Q2472&lt;&gt;0,
    OR(
      TRIM(C2472)=TRIM(Enginuity!$A$18),
      AND(UPPER(TRIM(M2472))="STD", TRIM(B2472)=TRIM(Enginuity!$A$17))
    ),
    OR(
      AND(LEFT(P2472,5)="1-Way", Enginuity!$B$13=1),
      AND(LEFT(P2472,5)="2-Way", OR(Enginuity!$B$13=2, Enginuity!$B$13=4)),
      AND(LEFT(P2472,5)="3-Way", OR(Enginuity!$B$13=3, Enginuity!$B$13=6)),
      AND(P2472="Inner Centre Jamb", OR(Enginuity!$B$13=4, Enginuity!$B$13=6)),
      AND(
        LEFT(P2472,5)&lt;&gt;"1-Way",
        LEFT(P2472,5)&lt;&gt;"2-Way",
        LEFT(P2472,5)&lt;&gt;"3-Way",
        P2472&lt;&gt;"Inner Centre Jamb"
      )
    ),
    IF(OR(Enginuity!$A$1="Frameless Glass",Enginuity!$A$1="Metal Work"),
      AND(TRIM(B2472)=TRIM(Enginuity!$A$17),TRIM(C2472)=TRIM(Enginuity!$A$18)),
      TRIM(B2472)=TRIM(Enginuity!$A$17)
    )
  ),
  ROW(),
  ""
)</f>
        <v/>
      </c>
    </row>
    <row r="2473" spans="21:21" x14ac:dyDescent="0.25">
      <c r="U2473" s="104" t="str">
        <f>IF(
  AND(
    TRIM(A2473)=TRIM(Enginuity!$A$1),
    TRIM(B2473)=TRIM(Enginuity!$A$17),
    Q2473&lt;&gt;"",
    Q2473&lt;&gt;0,
    OR(
      TRIM(C2473)=TRIM(Enginuity!$A$18),
      AND(UPPER(TRIM(M2473))="STD", TRIM(B2473)=TRIM(Enginuity!$A$17))
    ),
    OR(
      AND(LEFT(P2473,5)="1-Way", Enginuity!$B$13=1),
      AND(LEFT(P2473,5)="2-Way", OR(Enginuity!$B$13=2, Enginuity!$B$13=4)),
      AND(LEFT(P2473,5)="3-Way", OR(Enginuity!$B$13=3, Enginuity!$B$13=6)),
      AND(P2473="Inner Centre Jamb", OR(Enginuity!$B$13=4, Enginuity!$B$13=6)),
      AND(
        LEFT(P2473,5)&lt;&gt;"1-Way",
        LEFT(P2473,5)&lt;&gt;"2-Way",
        LEFT(P2473,5)&lt;&gt;"3-Way",
        P2473&lt;&gt;"Inner Centre Jamb"
      )
    ),
    IF(OR(Enginuity!$A$1="Frameless Glass",Enginuity!$A$1="Metal Work"),
      AND(TRIM(B2473)=TRIM(Enginuity!$A$17),TRIM(C2473)=TRIM(Enginuity!$A$18)),
      TRIM(B2473)=TRIM(Enginuity!$A$17)
    )
  ),
  ROW(),
  ""
)</f>
        <v/>
      </c>
    </row>
    <row r="2474" spans="21:21" x14ac:dyDescent="0.25">
      <c r="U2474" s="104" t="str">
        <f>IF(
  AND(
    TRIM(A2474)=TRIM(Enginuity!$A$1),
    TRIM(B2474)=TRIM(Enginuity!$A$17),
    Q2474&lt;&gt;"",
    Q2474&lt;&gt;0,
    OR(
      TRIM(C2474)=TRIM(Enginuity!$A$18),
      AND(UPPER(TRIM(M2474))="STD", TRIM(B2474)=TRIM(Enginuity!$A$17))
    ),
    OR(
      AND(LEFT(P2474,5)="1-Way", Enginuity!$B$13=1),
      AND(LEFT(P2474,5)="2-Way", OR(Enginuity!$B$13=2, Enginuity!$B$13=4)),
      AND(LEFT(P2474,5)="3-Way", OR(Enginuity!$B$13=3, Enginuity!$B$13=6)),
      AND(P2474="Inner Centre Jamb", OR(Enginuity!$B$13=4, Enginuity!$B$13=6)),
      AND(
        LEFT(P2474,5)&lt;&gt;"1-Way",
        LEFT(P2474,5)&lt;&gt;"2-Way",
        LEFT(P2474,5)&lt;&gt;"3-Way",
        P2474&lt;&gt;"Inner Centre Jamb"
      )
    ),
    IF(OR(Enginuity!$A$1="Frameless Glass",Enginuity!$A$1="Metal Work"),
      AND(TRIM(B2474)=TRIM(Enginuity!$A$17),TRIM(C2474)=TRIM(Enginuity!$A$18)),
      TRIM(B2474)=TRIM(Enginuity!$A$17)
    )
  ),
  ROW(),
  ""
)</f>
        <v/>
      </c>
    </row>
    <row r="2475" spans="21:21" x14ac:dyDescent="0.25">
      <c r="U2475" s="104" t="str">
        <f>IF(
  AND(
    TRIM(A2475)=TRIM(Enginuity!$A$1),
    TRIM(B2475)=TRIM(Enginuity!$A$17),
    Q2475&lt;&gt;"",
    Q2475&lt;&gt;0,
    OR(
      TRIM(C2475)=TRIM(Enginuity!$A$18),
      AND(UPPER(TRIM(M2475))="STD", TRIM(B2475)=TRIM(Enginuity!$A$17))
    ),
    OR(
      AND(LEFT(P2475,5)="1-Way", Enginuity!$B$13=1),
      AND(LEFT(P2475,5)="2-Way", OR(Enginuity!$B$13=2, Enginuity!$B$13=4)),
      AND(LEFT(P2475,5)="3-Way", OR(Enginuity!$B$13=3, Enginuity!$B$13=6)),
      AND(P2475="Inner Centre Jamb", OR(Enginuity!$B$13=4, Enginuity!$B$13=6)),
      AND(
        LEFT(P2475,5)&lt;&gt;"1-Way",
        LEFT(P2475,5)&lt;&gt;"2-Way",
        LEFT(P2475,5)&lt;&gt;"3-Way",
        P2475&lt;&gt;"Inner Centre Jamb"
      )
    ),
    IF(OR(Enginuity!$A$1="Frameless Glass",Enginuity!$A$1="Metal Work"),
      AND(TRIM(B2475)=TRIM(Enginuity!$A$17),TRIM(C2475)=TRIM(Enginuity!$A$18)),
      TRIM(B2475)=TRIM(Enginuity!$A$17)
    )
  ),
  ROW(),
  ""
)</f>
        <v/>
      </c>
    </row>
    <row r="2476" spans="21:21" x14ac:dyDescent="0.25">
      <c r="U2476" s="104" t="str">
        <f>IF(
  AND(
    TRIM(A2476)=TRIM(Enginuity!$A$1),
    TRIM(B2476)=TRIM(Enginuity!$A$17),
    Q2476&lt;&gt;"",
    Q2476&lt;&gt;0,
    OR(
      TRIM(C2476)=TRIM(Enginuity!$A$18),
      AND(UPPER(TRIM(M2476))="STD", TRIM(B2476)=TRIM(Enginuity!$A$17))
    ),
    OR(
      AND(LEFT(P2476,5)="1-Way", Enginuity!$B$13=1),
      AND(LEFT(P2476,5)="2-Way", OR(Enginuity!$B$13=2, Enginuity!$B$13=4)),
      AND(LEFT(P2476,5)="3-Way", OR(Enginuity!$B$13=3, Enginuity!$B$13=6)),
      AND(P2476="Inner Centre Jamb", OR(Enginuity!$B$13=4, Enginuity!$B$13=6)),
      AND(
        LEFT(P2476,5)&lt;&gt;"1-Way",
        LEFT(P2476,5)&lt;&gt;"2-Way",
        LEFT(P2476,5)&lt;&gt;"3-Way",
        P2476&lt;&gt;"Inner Centre Jamb"
      )
    ),
    IF(OR(Enginuity!$A$1="Frameless Glass",Enginuity!$A$1="Metal Work"),
      AND(TRIM(B2476)=TRIM(Enginuity!$A$17),TRIM(C2476)=TRIM(Enginuity!$A$18)),
      TRIM(B2476)=TRIM(Enginuity!$A$17)
    )
  ),
  ROW(),
  ""
)</f>
        <v/>
      </c>
    </row>
    <row r="2477" spans="21:21" x14ac:dyDescent="0.25">
      <c r="U2477" s="104" t="str">
        <f>IF(
  AND(
    TRIM(A2477)=TRIM(Enginuity!$A$1),
    TRIM(B2477)=TRIM(Enginuity!$A$17),
    Q2477&lt;&gt;"",
    Q2477&lt;&gt;0,
    OR(
      TRIM(C2477)=TRIM(Enginuity!$A$18),
      AND(UPPER(TRIM(M2477))="STD", TRIM(B2477)=TRIM(Enginuity!$A$17))
    ),
    OR(
      AND(LEFT(P2477,5)="1-Way", Enginuity!$B$13=1),
      AND(LEFT(P2477,5)="2-Way", OR(Enginuity!$B$13=2, Enginuity!$B$13=4)),
      AND(LEFT(P2477,5)="3-Way", OR(Enginuity!$B$13=3, Enginuity!$B$13=6)),
      AND(P2477="Inner Centre Jamb", OR(Enginuity!$B$13=4, Enginuity!$B$13=6)),
      AND(
        LEFT(P2477,5)&lt;&gt;"1-Way",
        LEFT(P2477,5)&lt;&gt;"2-Way",
        LEFT(P2477,5)&lt;&gt;"3-Way",
        P2477&lt;&gt;"Inner Centre Jamb"
      )
    ),
    IF(OR(Enginuity!$A$1="Frameless Glass",Enginuity!$A$1="Metal Work"),
      AND(TRIM(B2477)=TRIM(Enginuity!$A$17),TRIM(C2477)=TRIM(Enginuity!$A$18)),
      TRIM(B2477)=TRIM(Enginuity!$A$17)
    )
  ),
  ROW(),
  ""
)</f>
        <v/>
      </c>
    </row>
    <row r="2478" spans="21:21" x14ac:dyDescent="0.25">
      <c r="U2478" s="104" t="str">
        <f>IF(
  AND(
    TRIM(A2478)=TRIM(Enginuity!$A$1),
    TRIM(B2478)=TRIM(Enginuity!$A$17),
    Q2478&lt;&gt;"",
    Q2478&lt;&gt;0,
    OR(
      TRIM(C2478)=TRIM(Enginuity!$A$18),
      AND(UPPER(TRIM(M2478))="STD", TRIM(B2478)=TRIM(Enginuity!$A$17))
    ),
    OR(
      AND(LEFT(P2478,5)="1-Way", Enginuity!$B$13=1),
      AND(LEFT(P2478,5)="2-Way", OR(Enginuity!$B$13=2, Enginuity!$B$13=4)),
      AND(LEFT(P2478,5)="3-Way", OR(Enginuity!$B$13=3, Enginuity!$B$13=6)),
      AND(P2478="Inner Centre Jamb", OR(Enginuity!$B$13=4, Enginuity!$B$13=6)),
      AND(
        LEFT(P2478,5)&lt;&gt;"1-Way",
        LEFT(P2478,5)&lt;&gt;"2-Way",
        LEFT(P2478,5)&lt;&gt;"3-Way",
        P2478&lt;&gt;"Inner Centre Jamb"
      )
    ),
    IF(OR(Enginuity!$A$1="Frameless Glass",Enginuity!$A$1="Metal Work"),
      AND(TRIM(B2478)=TRIM(Enginuity!$A$17),TRIM(C2478)=TRIM(Enginuity!$A$18)),
      TRIM(B2478)=TRIM(Enginuity!$A$17)
    )
  ),
  ROW(),
  ""
)</f>
        <v/>
      </c>
    </row>
    <row r="2479" spans="21:21" x14ac:dyDescent="0.25">
      <c r="U2479" s="104" t="str">
        <f>IF(
  AND(
    TRIM(A2479)=TRIM(Enginuity!$A$1),
    TRIM(B2479)=TRIM(Enginuity!$A$17),
    Q2479&lt;&gt;"",
    Q2479&lt;&gt;0,
    OR(
      TRIM(C2479)=TRIM(Enginuity!$A$18),
      AND(UPPER(TRIM(M2479))="STD", TRIM(B2479)=TRIM(Enginuity!$A$17))
    ),
    OR(
      AND(LEFT(P2479,5)="1-Way", Enginuity!$B$13=1),
      AND(LEFT(P2479,5)="2-Way", OR(Enginuity!$B$13=2, Enginuity!$B$13=4)),
      AND(LEFT(P2479,5)="3-Way", OR(Enginuity!$B$13=3, Enginuity!$B$13=6)),
      AND(P2479="Inner Centre Jamb", OR(Enginuity!$B$13=4, Enginuity!$B$13=6)),
      AND(
        LEFT(P2479,5)&lt;&gt;"1-Way",
        LEFT(P2479,5)&lt;&gt;"2-Way",
        LEFT(P2479,5)&lt;&gt;"3-Way",
        P2479&lt;&gt;"Inner Centre Jamb"
      )
    ),
    IF(OR(Enginuity!$A$1="Frameless Glass",Enginuity!$A$1="Metal Work"),
      AND(TRIM(B2479)=TRIM(Enginuity!$A$17),TRIM(C2479)=TRIM(Enginuity!$A$18)),
      TRIM(B2479)=TRIM(Enginuity!$A$17)
    )
  ),
  ROW(),
  ""
)</f>
        <v/>
      </c>
    </row>
    <row r="2480" spans="21:21" x14ac:dyDescent="0.25">
      <c r="U2480" s="104" t="str">
        <f>IF(
  AND(
    TRIM(A2480)=TRIM(Enginuity!$A$1),
    TRIM(B2480)=TRIM(Enginuity!$A$17),
    Q2480&lt;&gt;"",
    Q2480&lt;&gt;0,
    OR(
      TRIM(C2480)=TRIM(Enginuity!$A$18),
      AND(UPPER(TRIM(M2480))="STD", TRIM(B2480)=TRIM(Enginuity!$A$17))
    ),
    OR(
      AND(LEFT(P2480,5)="1-Way", Enginuity!$B$13=1),
      AND(LEFT(P2480,5)="2-Way", OR(Enginuity!$B$13=2, Enginuity!$B$13=4)),
      AND(LEFT(P2480,5)="3-Way", OR(Enginuity!$B$13=3, Enginuity!$B$13=6)),
      AND(P2480="Inner Centre Jamb", OR(Enginuity!$B$13=4, Enginuity!$B$13=6)),
      AND(
        LEFT(P2480,5)&lt;&gt;"1-Way",
        LEFT(P2480,5)&lt;&gt;"2-Way",
        LEFT(P2480,5)&lt;&gt;"3-Way",
        P2480&lt;&gt;"Inner Centre Jamb"
      )
    ),
    IF(OR(Enginuity!$A$1="Frameless Glass",Enginuity!$A$1="Metal Work"),
      AND(TRIM(B2480)=TRIM(Enginuity!$A$17),TRIM(C2480)=TRIM(Enginuity!$A$18)),
      TRIM(B2480)=TRIM(Enginuity!$A$17)
    )
  ),
  ROW(),
  ""
)</f>
        <v/>
      </c>
    </row>
    <row r="2481" spans="21:21" x14ac:dyDescent="0.25">
      <c r="U2481" s="104" t="str">
        <f>IF(
  AND(
    TRIM(A2481)=TRIM(Enginuity!$A$1),
    TRIM(B2481)=TRIM(Enginuity!$A$17),
    Q2481&lt;&gt;"",
    Q2481&lt;&gt;0,
    OR(
      TRIM(C2481)=TRIM(Enginuity!$A$18),
      AND(UPPER(TRIM(M2481))="STD", TRIM(B2481)=TRIM(Enginuity!$A$17))
    ),
    OR(
      AND(LEFT(P2481,5)="1-Way", Enginuity!$B$13=1),
      AND(LEFT(P2481,5)="2-Way", OR(Enginuity!$B$13=2, Enginuity!$B$13=4)),
      AND(LEFT(P2481,5)="3-Way", OR(Enginuity!$B$13=3, Enginuity!$B$13=6)),
      AND(P2481="Inner Centre Jamb", OR(Enginuity!$B$13=4, Enginuity!$B$13=6)),
      AND(
        LEFT(P2481,5)&lt;&gt;"1-Way",
        LEFT(P2481,5)&lt;&gt;"2-Way",
        LEFT(P2481,5)&lt;&gt;"3-Way",
        P2481&lt;&gt;"Inner Centre Jamb"
      )
    ),
    IF(OR(Enginuity!$A$1="Frameless Glass",Enginuity!$A$1="Metal Work"),
      AND(TRIM(B2481)=TRIM(Enginuity!$A$17),TRIM(C2481)=TRIM(Enginuity!$A$18)),
      TRIM(B2481)=TRIM(Enginuity!$A$17)
    )
  ),
  ROW(),
  ""
)</f>
        <v/>
      </c>
    </row>
    <row r="2482" spans="21:21" x14ac:dyDescent="0.25">
      <c r="U2482" s="104" t="str">
        <f>IF(
  AND(
    TRIM(A2482)=TRIM(Enginuity!$A$1),
    TRIM(B2482)=TRIM(Enginuity!$A$17),
    Q2482&lt;&gt;"",
    Q2482&lt;&gt;0,
    OR(
      TRIM(C2482)=TRIM(Enginuity!$A$18),
      AND(UPPER(TRIM(M2482))="STD", TRIM(B2482)=TRIM(Enginuity!$A$17))
    ),
    OR(
      AND(LEFT(P2482,5)="1-Way", Enginuity!$B$13=1),
      AND(LEFT(P2482,5)="2-Way", OR(Enginuity!$B$13=2, Enginuity!$B$13=4)),
      AND(LEFT(P2482,5)="3-Way", OR(Enginuity!$B$13=3, Enginuity!$B$13=6)),
      AND(P2482="Inner Centre Jamb", OR(Enginuity!$B$13=4, Enginuity!$B$13=6)),
      AND(
        LEFT(P2482,5)&lt;&gt;"1-Way",
        LEFT(P2482,5)&lt;&gt;"2-Way",
        LEFT(P2482,5)&lt;&gt;"3-Way",
        P2482&lt;&gt;"Inner Centre Jamb"
      )
    ),
    IF(OR(Enginuity!$A$1="Frameless Glass",Enginuity!$A$1="Metal Work"),
      AND(TRIM(B2482)=TRIM(Enginuity!$A$17),TRIM(C2482)=TRIM(Enginuity!$A$18)),
      TRIM(B2482)=TRIM(Enginuity!$A$17)
    )
  ),
  ROW(),
  ""
)</f>
        <v/>
      </c>
    </row>
    <row r="2483" spans="21:21" x14ac:dyDescent="0.25">
      <c r="U2483" s="104" t="str">
        <f>IF(
  AND(
    TRIM(A2483)=TRIM(Enginuity!$A$1),
    TRIM(B2483)=TRIM(Enginuity!$A$17),
    Q2483&lt;&gt;"",
    Q2483&lt;&gt;0,
    OR(
      TRIM(C2483)=TRIM(Enginuity!$A$18),
      AND(UPPER(TRIM(M2483))="STD", TRIM(B2483)=TRIM(Enginuity!$A$17))
    ),
    OR(
      AND(LEFT(P2483,5)="1-Way", Enginuity!$B$13=1),
      AND(LEFT(P2483,5)="2-Way", OR(Enginuity!$B$13=2, Enginuity!$B$13=4)),
      AND(LEFT(P2483,5)="3-Way", OR(Enginuity!$B$13=3, Enginuity!$B$13=6)),
      AND(P2483="Inner Centre Jamb", OR(Enginuity!$B$13=4, Enginuity!$B$13=6)),
      AND(
        LEFT(P2483,5)&lt;&gt;"1-Way",
        LEFT(P2483,5)&lt;&gt;"2-Way",
        LEFT(P2483,5)&lt;&gt;"3-Way",
        P2483&lt;&gt;"Inner Centre Jamb"
      )
    ),
    IF(OR(Enginuity!$A$1="Frameless Glass",Enginuity!$A$1="Metal Work"),
      AND(TRIM(B2483)=TRIM(Enginuity!$A$17),TRIM(C2483)=TRIM(Enginuity!$A$18)),
      TRIM(B2483)=TRIM(Enginuity!$A$17)
    )
  ),
  ROW(),
  ""
)</f>
        <v/>
      </c>
    </row>
    <row r="2484" spans="21:21" x14ac:dyDescent="0.25">
      <c r="U2484" s="104" t="str">
        <f>IF(
  AND(
    TRIM(A2484)=TRIM(Enginuity!$A$1),
    TRIM(B2484)=TRIM(Enginuity!$A$17),
    Q2484&lt;&gt;"",
    Q2484&lt;&gt;0,
    OR(
      TRIM(C2484)=TRIM(Enginuity!$A$18),
      AND(UPPER(TRIM(M2484))="STD", TRIM(B2484)=TRIM(Enginuity!$A$17))
    ),
    OR(
      AND(LEFT(P2484,5)="1-Way", Enginuity!$B$13=1),
      AND(LEFT(P2484,5)="2-Way", OR(Enginuity!$B$13=2, Enginuity!$B$13=4)),
      AND(LEFT(P2484,5)="3-Way", OR(Enginuity!$B$13=3, Enginuity!$B$13=6)),
      AND(P2484="Inner Centre Jamb", OR(Enginuity!$B$13=4, Enginuity!$B$13=6)),
      AND(
        LEFT(P2484,5)&lt;&gt;"1-Way",
        LEFT(P2484,5)&lt;&gt;"2-Way",
        LEFT(P2484,5)&lt;&gt;"3-Way",
        P2484&lt;&gt;"Inner Centre Jamb"
      )
    ),
    IF(OR(Enginuity!$A$1="Frameless Glass",Enginuity!$A$1="Metal Work"),
      AND(TRIM(B2484)=TRIM(Enginuity!$A$17),TRIM(C2484)=TRIM(Enginuity!$A$18)),
      TRIM(B2484)=TRIM(Enginuity!$A$17)
    )
  ),
  ROW(),
  ""
)</f>
        <v/>
      </c>
    </row>
    <row r="2485" spans="21:21" x14ac:dyDescent="0.25">
      <c r="U2485" s="104" t="str">
        <f>IF(
  AND(
    TRIM(A2485)=TRIM(Enginuity!$A$1),
    TRIM(B2485)=TRIM(Enginuity!$A$17),
    Q2485&lt;&gt;"",
    Q2485&lt;&gt;0,
    OR(
      TRIM(C2485)=TRIM(Enginuity!$A$18),
      AND(UPPER(TRIM(M2485))="STD", TRIM(B2485)=TRIM(Enginuity!$A$17))
    ),
    OR(
      AND(LEFT(P2485,5)="1-Way", Enginuity!$B$13=1),
      AND(LEFT(P2485,5)="2-Way", OR(Enginuity!$B$13=2, Enginuity!$B$13=4)),
      AND(LEFT(P2485,5)="3-Way", OR(Enginuity!$B$13=3, Enginuity!$B$13=6)),
      AND(P2485="Inner Centre Jamb", OR(Enginuity!$B$13=4, Enginuity!$B$13=6)),
      AND(
        LEFT(P2485,5)&lt;&gt;"1-Way",
        LEFT(P2485,5)&lt;&gt;"2-Way",
        LEFT(P2485,5)&lt;&gt;"3-Way",
        P2485&lt;&gt;"Inner Centre Jamb"
      )
    ),
    IF(OR(Enginuity!$A$1="Frameless Glass",Enginuity!$A$1="Metal Work"),
      AND(TRIM(B2485)=TRIM(Enginuity!$A$17),TRIM(C2485)=TRIM(Enginuity!$A$18)),
      TRIM(B2485)=TRIM(Enginuity!$A$17)
    )
  ),
  ROW(),
  ""
)</f>
        <v/>
      </c>
    </row>
    <row r="2486" spans="21:21" x14ac:dyDescent="0.25">
      <c r="U2486" s="104" t="str">
        <f>IF(
  AND(
    TRIM(A2486)=TRIM(Enginuity!$A$1),
    TRIM(B2486)=TRIM(Enginuity!$A$17),
    Q2486&lt;&gt;"",
    Q2486&lt;&gt;0,
    OR(
      TRIM(C2486)=TRIM(Enginuity!$A$18),
      AND(UPPER(TRIM(M2486))="STD", TRIM(B2486)=TRIM(Enginuity!$A$17))
    ),
    OR(
      AND(LEFT(P2486,5)="1-Way", Enginuity!$B$13=1),
      AND(LEFT(P2486,5)="2-Way", OR(Enginuity!$B$13=2, Enginuity!$B$13=4)),
      AND(LEFT(P2486,5)="3-Way", OR(Enginuity!$B$13=3, Enginuity!$B$13=6)),
      AND(P2486="Inner Centre Jamb", OR(Enginuity!$B$13=4, Enginuity!$B$13=6)),
      AND(
        LEFT(P2486,5)&lt;&gt;"1-Way",
        LEFT(P2486,5)&lt;&gt;"2-Way",
        LEFT(P2486,5)&lt;&gt;"3-Way",
        P2486&lt;&gt;"Inner Centre Jamb"
      )
    ),
    IF(OR(Enginuity!$A$1="Frameless Glass",Enginuity!$A$1="Metal Work"),
      AND(TRIM(B2486)=TRIM(Enginuity!$A$17),TRIM(C2486)=TRIM(Enginuity!$A$18)),
      TRIM(B2486)=TRIM(Enginuity!$A$17)
    )
  ),
  ROW(),
  ""
)</f>
        <v/>
      </c>
    </row>
    <row r="2487" spans="21:21" x14ac:dyDescent="0.25">
      <c r="U2487" s="104" t="str">
        <f>IF(
  AND(
    TRIM(A2487)=TRIM(Enginuity!$A$1),
    TRIM(B2487)=TRIM(Enginuity!$A$17),
    Q2487&lt;&gt;"",
    Q2487&lt;&gt;0,
    OR(
      TRIM(C2487)=TRIM(Enginuity!$A$18),
      AND(UPPER(TRIM(M2487))="STD", TRIM(B2487)=TRIM(Enginuity!$A$17))
    ),
    OR(
      AND(LEFT(P2487,5)="1-Way", Enginuity!$B$13=1),
      AND(LEFT(P2487,5)="2-Way", OR(Enginuity!$B$13=2, Enginuity!$B$13=4)),
      AND(LEFT(P2487,5)="3-Way", OR(Enginuity!$B$13=3, Enginuity!$B$13=6)),
      AND(P2487="Inner Centre Jamb", OR(Enginuity!$B$13=4, Enginuity!$B$13=6)),
      AND(
        LEFT(P2487,5)&lt;&gt;"1-Way",
        LEFT(P2487,5)&lt;&gt;"2-Way",
        LEFT(P2487,5)&lt;&gt;"3-Way",
        P2487&lt;&gt;"Inner Centre Jamb"
      )
    ),
    IF(OR(Enginuity!$A$1="Frameless Glass",Enginuity!$A$1="Metal Work"),
      AND(TRIM(B2487)=TRIM(Enginuity!$A$17),TRIM(C2487)=TRIM(Enginuity!$A$18)),
      TRIM(B2487)=TRIM(Enginuity!$A$17)
    )
  ),
  ROW(),
  ""
)</f>
        <v/>
      </c>
    </row>
    <row r="2488" spans="21:21" x14ac:dyDescent="0.25">
      <c r="U2488" s="104" t="str">
        <f>IF(
  AND(
    TRIM(A2488)=TRIM(Enginuity!$A$1),
    TRIM(B2488)=TRIM(Enginuity!$A$17),
    Q2488&lt;&gt;"",
    Q2488&lt;&gt;0,
    OR(
      TRIM(C2488)=TRIM(Enginuity!$A$18),
      AND(UPPER(TRIM(M2488))="STD", TRIM(B2488)=TRIM(Enginuity!$A$17))
    ),
    OR(
      AND(LEFT(P2488,5)="1-Way", Enginuity!$B$13=1),
      AND(LEFT(P2488,5)="2-Way", OR(Enginuity!$B$13=2, Enginuity!$B$13=4)),
      AND(LEFT(P2488,5)="3-Way", OR(Enginuity!$B$13=3, Enginuity!$B$13=6)),
      AND(P2488="Inner Centre Jamb", OR(Enginuity!$B$13=4, Enginuity!$B$13=6)),
      AND(
        LEFT(P2488,5)&lt;&gt;"1-Way",
        LEFT(P2488,5)&lt;&gt;"2-Way",
        LEFT(P2488,5)&lt;&gt;"3-Way",
        P2488&lt;&gt;"Inner Centre Jamb"
      )
    ),
    IF(OR(Enginuity!$A$1="Frameless Glass",Enginuity!$A$1="Metal Work"),
      AND(TRIM(B2488)=TRIM(Enginuity!$A$17),TRIM(C2488)=TRIM(Enginuity!$A$18)),
      TRIM(B2488)=TRIM(Enginuity!$A$17)
    )
  ),
  ROW(),
  ""
)</f>
        <v/>
      </c>
    </row>
    <row r="2489" spans="21:21" x14ac:dyDescent="0.25">
      <c r="U2489" s="104" t="str">
        <f>IF(
  AND(
    TRIM(A2489)=TRIM(Enginuity!$A$1),
    TRIM(B2489)=TRIM(Enginuity!$A$17),
    Q2489&lt;&gt;"",
    Q2489&lt;&gt;0,
    OR(
      TRIM(C2489)=TRIM(Enginuity!$A$18),
      AND(UPPER(TRIM(M2489))="STD", TRIM(B2489)=TRIM(Enginuity!$A$17))
    ),
    OR(
      AND(LEFT(P2489,5)="1-Way", Enginuity!$B$13=1),
      AND(LEFT(P2489,5)="2-Way", OR(Enginuity!$B$13=2, Enginuity!$B$13=4)),
      AND(LEFT(P2489,5)="3-Way", OR(Enginuity!$B$13=3, Enginuity!$B$13=6)),
      AND(P2489="Inner Centre Jamb", OR(Enginuity!$B$13=4, Enginuity!$B$13=6)),
      AND(
        LEFT(P2489,5)&lt;&gt;"1-Way",
        LEFT(P2489,5)&lt;&gt;"2-Way",
        LEFT(P2489,5)&lt;&gt;"3-Way",
        P2489&lt;&gt;"Inner Centre Jamb"
      )
    ),
    IF(OR(Enginuity!$A$1="Frameless Glass",Enginuity!$A$1="Metal Work"),
      AND(TRIM(B2489)=TRIM(Enginuity!$A$17),TRIM(C2489)=TRIM(Enginuity!$A$18)),
      TRIM(B2489)=TRIM(Enginuity!$A$17)
    )
  ),
  ROW(),
  ""
)</f>
        <v/>
      </c>
    </row>
    <row r="2490" spans="21:21" x14ac:dyDescent="0.25">
      <c r="U2490" s="104" t="str">
        <f>IF(
  AND(
    TRIM(A2490)=TRIM(Enginuity!$A$1),
    TRIM(B2490)=TRIM(Enginuity!$A$17),
    Q2490&lt;&gt;"",
    Q2490&lt;&gt;0,
    OR(
      TRIM(C2490)=TRIM(Enginuity!$A$18),
      AND(UPPER(TRIM(M2490))="STD", TRIM(B2490)=TRIM(Enginuity!$A$17))
    ),
    OR(
      AND(LEFT(P2490,5)="1-Way", Enginuity!$B$13=1),
      AND(LEFT(P2490,5)="2-Way", OR(Enginuity!$B$13=2, Enginuity!$B$13=4)),
      AND(LEFT(P2490,5)="3-Way", OR(Enginuity!$B$13=3, Enginuity!$B$13=6)),
      AND(P2490="Inner Centre Jamb", OR(Enginuity!$B$13=4, Enginuity!$B$13=6)),
      AND(
        LEFT(P2490,5)&lt;&gt;"1-Way",
        LEFT(P2490,5)&lt;&gt;"2-Way",
        LEFT(P2490,5)&lt;&gt;"3-Way",
        P2490&lt;&gt;"Inner Centre Jamb"
      )
    ),
    IF(OR(Enginuity!$A$1="Frameless Glass",Enginuity!$A$1="Metal Work"),
      AND(TRIM(B2490)=TRIM(Enginuity!$A$17),TRIM(C2490)=TRIM(Enginuity!$A$18)),
      TRIM(B2490)=TRIM(Enginuity!$A$17)
    )
  ),
  ROW(),
  ""
)</f>
        <v/>
      </c>
    </row>
    <row r="2491" spans="21:21" x14ac:dyDescent="0.25">
      <c r="U2491" s="104" t="str">
        <f>IF(
  AND(
    TRIM(A2491)=TRIM(Enginuity!$A$1),
    TRIM(B2491)=TRIM(Enginuity!$A$17),
    Q2491&lt;&gt;"",
    Q2491&lt;&gt;0,
    OR(
      TRIM(C2491)=TRIM(Enginuity!$A$18),
      AND(UPPER(TRIM(M2491))="STD", TRIM(B2491)=TRIM(Enginuity!$A$17))
    ),
    OR(
      AND(LEFT(P2491,5)="1-Way", Enginuity!$B$13=1),
      AND(LEFT(P2491,5)="2-Way", OR(Enginuity!$B$13=2, Enginuity!$B$13=4)),
      AND(LEFT(P2491,5)="3-Way", OR(Enginuity!$B$13=3, Enginuity!$B$13=6)),
      AND(P2491="Inner Centre Jamb", OR(Enginuity!$B$13=4, Enginuity!$B$13=6)),
      AND(
        LEFT(P2491,5)&lt;&gt;"1-Way",
        LEFT(P2491,5)&lt;&gt;"2-Way",
        LEFT(P2491,5)&lt;&gt;"3-Way",
        P2491&lt;&gt;"Inner Centre Jamb"
      )
    ),
    IF(OR(Enginuity!$A$1="Frameless Glass",Enginuity!$A$1="Metal Work"),
      AND(TRIM(B2491)=TRIM(Enginuity!$A$17),TRIM(C2491)=TRIM(Enginuity!$A$18)),
      TRIM(B2491)=TRIM(Enginuity!$A$17)
    )
  ),
  ROW(),
  ""
)</f>
        <v/>
      </c>
    </row>
    <row r="2492" spans="21:21" x14ac:dyDescent="0.25">
      <c r="U2492" s="104" t="str">
        <f>IF(
  AND(
    TRIM(A2492)=TRIM(Enginuity!$A$1),
    TRIM(B2492)=TRIM(Enginuity!$A$17),
    Q2492&lt;&gt;"",
    Q2492&lt;&gt;0,
    OR(
      TRIM(C2492)=TRIM(Enginuity!$A$18),
      AND(UPPER(TRIM(M2492))="STD", TRIM(B2492)=TRIM(Enginuity!$A$17))
    ),
    OR(
      AND(LEFT(P2492,5)="1-Way", Enginuity!$B$13=1),
      AND(LEFT(P2492,5)="2-Way", OR(Enginuity!$B$13=2, Enginuity!$B$13=4)),
      AND(LEFT(P2492,5)="3-Way", OR(Enginuity!$B$13=3, Enginuity!$B$13=6)),
      AND(P2492="Inner Centre Jamb", OR(Enginuity!$B$13=4, Enginuity!$B$13=6)),
      AND(
        LEFT(P2492,5)&lt;&gt;"1-Way",
        LEFT(P2492,5)&lt;&gt;"2-Way",
        LEFT(P2492,5)&lt;&gt;"3-Way",
        P2492&lt;&gt;"Inner Centre Jamb"
      )
    ),
    IF(OR(Enginuity!$A$1="Frameless Glass",Enginuity!$A$1="Metal Work"),
      AND(TRIM(B2492)=TRIM(Enginuity!$A$17),TRIM(C2492)=TRIM(Enginuity!$A$18)),
      TRIM(B2492)=TRIM(Enginuity!$A$17)
    )
  ),
  ROW(),
  ""
)</f>
        <v/>
      </c>
    </row>
    <row r="2493" spans="21:21" x14ac:dyDescent="0.25">
      <c r="U2493" s="104" t="str">
        <f>IF(
  AND(
    TRIM(A2493)=TRIM(Enginuity!$A$1),
    TRIM(B2493)=TRIM(Enginuity!$A$17),
    Q2493&lt;&gt;"",
    Q2493&lt;&gt;0,
    OR(
      TRIM(C2493)=TRIM(Enginuity!$A$18),
      AND(UPPER(TRIM(M2493))="STD", TRIM(B2493)=TRIM(Enginuity!$A$17))
    ),
    OR(
      AND(LEFT(P2493,5)="1-Way", Enginuity!$B$13=1),
      AND(LEFT(P2493,5)="2-Way", OR(Enginuity!$B$13=2, Enginuity!$B$13=4)),
      AND(LEFT(P2493,5)="3-Way", OR(Enginuity!$B$13=3, Enginuity!$B$13=6)),
      AND(P2493="Inner Centre Jamb", OR(Enginuity!$B$13=4, Enginuity!$B$13=6)),
      AND(
        LEFT(P2493,5)&lt;&gt;"1-Way",
        LEFT(P2493,5)&lt;&gt;"2-Way",
        LEFT(P2493,5)&lt;&gt;"3-Way",
        P2493&lt;&gt;"Inner Centre Jamb"
      )
    ),
    IF(OR(Enginuity!$A$1="Frameless Glass",Enginuity!$A$1="Metal Work"),
      AND(TRIM(B2493)=TRIM(Enginuity!$A$17),TRIM(C2493)=TRIM(Enginuity!$A$18)),
      TRIM(B2493)=TRIM(Enginuity!$A$17)
    )
  ),
  ROW(),
  ""
)</f>
        <v/>
      </c>
    </row>
    <row r="2494" spans="21:21" x14ac:dyDescent="0.25">
      <c r="U2494" s="104" t="str">
        <f>IF(
  AND(
    TRIM(A2494)=TRIM(Enginuity!$A$1),
    TRIM(B2494)=TRIM(Enginuity!$A$17),
    Q2494&lt;&gt;"",
    Q2494&lt;&gt;0,
    OR(
      TRIM(C2494)=TRIM(Enginuity!$A$18),
      AND(UPPER(TRIM(M2494))="STD", TRIM(B2494)=TRIM(Enginuity!$A$17))
    ),
    OR(
      AND(LEFT(P2494,5)="1-Way", Enginuity!$B$13=1),
      AND(LEFT(P2494,5)="2-Way", OR(Enginuity!$B$13=2, Enginuity!$B$13=4)),
      AND(LEFT(P2494,5)="3-Way", OR(Enginuity!$B$13=3, Enginuity!$B$13=6)),
      AND(P2494="Inner Centre Jamb", OR(Enginuity!$B$13=4, Enginuity!$B$13=6)),
      AND(
        LEFT(P2494,5)&lt;&gt;"1-Way",
        LEFT(P2494,5)&lt;&gt;"2-Way",
        LEFT(P2494,5)&lt;&gt;"3-Way",
        P2494&lt;&gt;"Inner Centre Jamb"
      )
    ),
    IF(OR(Enginuity!$A$1="Frameless Glass",Enginuity!$A$1="Metal Work"),
      AND(TRIM(B2494)=TRIM(Enginuity!$A$17),TRIM(C2494)=TRIM(Enginuity!$A$18)),
      TRIM(B2494)=TRIM(Enginuity!$A$17)
    )
  ),
  ROW(),
  ""
)</f>
        <v/>
      </c>
    </row>
    <row r="2495" spans="21:21" x14ac:dyDescent="0.25">
      <c r="U2495" s="104" t="str">
        <f>IF(
  AND(
    TRIM(A2495)=TRIM(Enginuity!$A$1),
    TRIM(B2495)=TRIM(Enginuity!$A$17),
    Q2495&lt;&gt;"",
    Q2495&lt;&gt;0,
    OR(
      TRIM(C2495)=TRIM(Enginuity!$A$18),
      AND(UPPER(TRIM(M2495))="STD", TRIM(B2495)=TRIM(Enginuity!$A$17))
    ),
    OR(
      AND(LEFT(P2495,5)="1-Way", Enginuity!$B$13=1),
      AND(LEFT(P2495,5)="2-Way", OR(Enginuity!$B$13=2, Enginuity!$B$13=4)),
      AND(LEFT(P2495,5)="3-Way", OR(Enginuity!$B$13=3, Enginuity!$B$13=6)),
      AND(P2495="Inner Centre Jamb", OR(Enginuity!$B$13=4, Enginuity!$B$13=6)),
      AND(
        LEFT(P2495,5)&lt;&gt;"1-Way",
        LEFT(P2495,5)&lt;&gt;"2-Way",
        LEFT(P2495,5)&lt;&gt;"3-Way",
        P2495&lt;&gt;"Inner Centre Jamb"
      )
    ),
    IF(OR(Enginuity!$A$1="Frameless Glass",Enginuity!$A$1="Metal Work"),
      AND(TRIM(B2495)=TRIM(Enginuity!$A$17),TRIM(C2495)=TRIM(Enginuity!$A$18)),
      TRIM(B2495)=TRIM(Enginuity!$A$17)
    )
  ),
  ROW(),
  ""
)</f>
        <v/>
      </c>
    </row>
    <row r="2496" spans="21:21" x14ac:dyDescent="0.25">
      <c r="U2496" s="104" t="str">
        <f>IF(
  AND(
    TRIM(A2496)=TRIM(Enginuity!$A$1),
    TRIM(B2496)=TRIM(Enginuity!$A$17),
    Q2496&lt;&gt;"",
    Q2496&lt;&gt;0,
    OR(
      TRIM(C2496)=TRIM(Enginuity!$A$18),
      AND(UPPER(TRIM(M2496))="STD", TRIM(B2496)=TRIM(Enginuity!$A$17))
    ),
    OR(
      AND(LEFT(P2496,5)="1-Way", Enginuity!$B$13=1),
      AND(LEFT(P2496,5)="2-Way", OR(Enginuity!$B$13=2, Enginuity!$B$13=4)),
      AND(LEFT(P2496,5)="3-Way", OR(Enginuity!$B$13=3, Enginuity!$B$13=6)),
      AND(P2496="Inner Centre Jamb", OR(Enginuity!$B$13=4, Enginuity!$B$13=6)),
      AND(
        LEFT(P2496,5)&lt;&gt;"1-Way",
        LEFT(P2496,5)&lt;&gt;"2-Way",
        LEFT(P2496,5)&lt;&gt;"3-Way",
        P2496&lt;&gt;"Inner Centre Jamb"
      )
    ),
    IF(OR(Enginuity!$A$1="Frameless Glass",Enginuity!$A$1="Metal Work"),
      AND(TRIM(B2496)=TRIM(Enginuity!$A$17),TRIM(C2496)=TRIM(Enginuity!$A$18)),
      TRIM(B2496)=TRIM(Enginuity!$A$17)
    )
  ),
  ROW(),
  ""
)</f>
        <v/>
      </c>
    </row>
    <row r="2497" spans="21:21" x14ac:dyDescent="0.25">
      <c r="U2497" s="104" t="str">
        <f>IF(
  AND(
    TRIM(A2497)=TRIM(Enginuity!$A$1),
    TRIM(B2497)=TRIM(Enginuity!$A$17),
    Q2497&lt;&gt;"",
    Q2497&lt;&gt;0,
    OR(
      TRIM(C2497)=TRIM(Enginuity!$A$18),
      AND(UPPER(TRIM(M2497))="STD", TRIM(B2497)=TRIM(Enginuity!$A$17))
    ),
    OR(
      AND(LEFT(P2497,5)="1-Way", Enginuity!$B$13=1),
      AND(LEFT(P2497,5)="2-Way", OR(Enginuity!$B$13=2, Enginuity!$B$13=4)),
      AND(LEFT(P2497,5)="3-Way", OR(Enginuity!$B$13=3, Enginuity!$B$13=6)),
      AND(P2497="Inner Centre Jamb", OR(Enginuity!$B$13=4, Enginuity!$B$13=6)),
      AND(
        LEFT(P2497,5)&lt;&gt;"1-Way",
        LEFT(P2497,5)&lt;&gt;"2-Way",
        LEFT(P2497,5)&lt;&gt;"3-Way",
        P2497&lt;&gt;"Inner Centre Jamb"
      )
    ),
    IF(OR(Enginuity!$A$1="Frameless Glass",Enginuity!$A$1="Metal Work"),
      AND(TRIM(B2497)=TRIM(Enginuity!$A$17),TRIM(C2497)=TRIM(Enginuity!$A$18)),
      TRIM(B2497)=TRIM(Enginuity!$A$17)
    )
  ),
  ROW(),
  ""
)</f>
        <v/>
      </c>
    </row>
    <row r="2498" spans="21:21" x14ac:dyDescent="0.25">
      <c r="U2498" s="104" t="str">
        <f>IF(
  AND(
    TRIM(A2498)=TRIM(Enginuity!$A$1),
    TRIM(B2498)=TRIM(Enginuity!$A$17),
    Q2498&lt;&gt;"",
    Q2498&lt;&gt;0,
    OR(
      TRIM(C2498)=TRIM(Enginuity!$A$18),
      AND(UPPER(TRIM(M2498))="STD", TRIM(B2498)=TRIM(Enginuity!$A$17))
    ),
    OR(
      AND(LEFT(P2498,5)="1-Way", Enginuity!$B$13=1),
      AND(LEFT(P2498,5)="2-Way", OR(Enginuity!$B$13=2, Enginuity!$B$13=4)),
      AND(LEFT(P2498,5)="3-Way", OR(Enginuity!$B$13=3, Enginuity!$B$13=6)),
      AND(P2498="Inner Centre Jamb", OR(Enginuity!$B$13=4, Enginuity!$B$13=6)),
      AND(
        LEFT(P2498,5)&lt;&gt;"1-Way",
        LEFT(P2498,5)&lt;&gt;"2-Way",
        LEFT(P2498,5)&lt;&gt;"3-Way",
        P2498&lt;&gt;"Inner Centre Jamb"
      )
    ),
    IF(OR(Enginuity!$A$1="Frameless Glass",Enginuity!$A$1="Metal Work"),
      AND(TRIM(B2498)=TRIM(Enginuity!$A$17),TRIM(C2498)=TRIM(Enginuity!$A$18)),
      TRIM(B2498)=TRIM(Enginuity!$A$17)
    )
  ),
  ROW(),
  ""
)</f>
        <v/>
      </c>
    </row>
    <row r="2499" spans="21:21" x14ac:dyDescent="0.25">
      <c r="U2499" s="104" t="str">
        <f>IF(
  AND(
    TRIM(A2499)=TRIM(Enginuity!$A$1),
    TRIM(B2499)=TRIM(Enginuity!$A$17),
    Q2499&lt;&gt;"",
    Q2499&lt;&gt;0,
    OR(
      TRIM(C2499)=TRIM(Enginuity!$A$18),
      AND(UPPER(TRIM(M2499))="STD", TRIM(B2499)=TRIM(Enginuity!$A$17))
    ),
    OR(
      AND(LEFT(P2499,5)="1-Way", Enginuity!$B$13=1),
      AND(LEFT(P2499,5)="2-Way", OR(Enginuity!$B$13=2, Enginuity!$B$13=4)),
      AND(LEFT(P2499,5)="3-Way", OR(Enginuity!$B$13=3, Enginuity!$B$13=6)),
      AND(P2499="Inner Centre Jamb", OR(Enginuity!$B$13=4, Enginuity!$B$13=6)),
      AND(
        LEFT(P2499,5)&lt;&gt;"1-Way",
        LEFT(P2499,5)&lt;&gt;"2-Way",
        LEFT(P2499,5)&lt;&gt;"3-Way",
        P2499&lt;&gt;"Inner Centre Jamb"
      )
    ),
    IF(OR(Enginuity!$A$1="Frameless Glass",Enginuity!$A$1="Metal Work"),
      AND(TRIM(B2499)=TRIM(Enginuity!$A$17),TRIM(C2499)=TRIM(Enginuity!$A$18)),
      TRIM(B2499)=TRIM(Enginuity!$A$17)
    )
  ),
  ROW(),
  ""
)</f>
        <v/>
      </c>
    </row>
    <row r="2500" spans="21:21" x14ac:dyDescent="0.25">
      <c r="U2500" s="104" t="str">
        <f>IF(
  AND(
    TRIM(A2500)=TRIM(Enginuity!$A$1),
    TRIM(B2500)=TRIM(Enginuity!$A$17),
    Q2500&lt;&gt;"",
    Q2500&lt;&gt;0,
    OR(
      TRIM(C2500)=TRIM(Enginuity!$A$18),
      AND(UPPER(TRIM(M2500))="STD", TRIM(B2500)=TRIM(Enginuity!$A$17))
    ),
    OR(
      AND(LEFT(P2500,5)="1-Way", Enginuity!$B$13=1),
      AND(LEFT(P2500,5)="2-Way", OR(Enginuity!$B$13=2, Enginuity!$B$13=4)),
      AND(LEFT(P2500,5)="3-Way", OR(Enginuity!$B$13=3, Enginuity!$B$13=6)),
      AND(P2500="Inner Centre Jamb", OR(Enginuity!$B$13=4, Enginuity!$B$13=6)),
      AND(
        LEFT(P2500,5)&lt;&gt;"1-Way",
        LEFT(P2500,5)&lt;&gt;"2-Way",
        LEFT(P2500,5)&lt;&gt;"3-Way",
        P2500&lt;&gt;"Inner Centre Jamb"
      )
    ),
    IF(OR(Enginuity!$A$1="Frameless Glass",Enginuity!$A$1="Metal Work"),
      AND(TRIM(B2500)=TRIM(Enginuity!$A$17),TRIM(C2500)=TRIM(Enginuity!$A$18)),
      TRIM(B2500)=TRIM(Enginuity!$A$17)
    )
  ),
  ROW(),
  ""
)</f>
        <v/>
      </c>
    </row>
    <row r="2501" spans="21:21" x14ac:dyDescent="0.25">
      <c r="U2501" s="104" t="str">
        <f>IF(
  AND(
    TRIM(A2501)=TRIM(Enginuity!$A$1),
    TRIM(B2501)=TRIM(Enginuity!$A$17),
    Q2501&lt;&gt;"",
    Q2501&lt;&gt;0,
    OR(
      TRIM(C2501)=TRIM(Enginuity!$A$18),
      AND(UPPER(TRIM(M2501))="STD", TRIM(B2501)=TRIM(Enginuity!$A$17))
    ),
    OR(
      AND(LEFT(P2501,5)="1-Way", Enginuity!$B$13=1),
      AND(LEFT(P2501,5)="2-Way", OR(Enginuity!$B$13=2, Enginuity!$B$13=4)),
      AND(LEFT(P2501,5)="3-Way", OR(Enginuity!$B$13=3, Enginuity!$B$13=6)),
      AND(P2501="Inner Centre Jamb", OR(Enginuity!$B$13=4, Enginuity!$B$13=6)),
      AND(
        LEFT(P2501,5)&lt;&gt;"1-Way",
        LEFT(P2501,5)&lt;&gt;"2-Way",
        LEFT(P2501,5)&lt;&gt;"3-Way",
        P2501&lt;&gt;"Inner Centre Jamb"
      )
    ),
    IF(OR(Enginuity!$A$1="Frameless Glass",Enginuity!$A$1="Metal Work"),
      AND(TRIM(B2501)=TRIM(Enginuity!$A$17),TRIM(C2501)=TRIM(Enginuity!$A$18)),
      TRIM(B2501)=TRIM(Enginuity!$A$17)
    )
  ),
  ROW(),
  ""
)</f>
        <v/>
      </c>
    </row>
    <row r="2502" spans="21:21" x14ac:dyDescent="0.25">
      <c r="U2502" s="104" t="str">
        <f>IF(
  AND(
    TRIM(A2502)=TRIM(Enginuity!$A$1),
    TRIM(B2502)=TRIM(Enginuity!$A$17),
    Q2502&lt;&gt;"",
    Q2502&lt;&gt;0,
    OR(
      TRIM(C2502)=TRIM(Enginuity!$A$18),
      AND(UPPER(TRIM(M2502))="STD", TRIM(B2502)=TRIM(Enginuity!$A$17))
    ),
    OR(
      AND(LEFT(P2502,5)="1-Way", Enginuity!$B$13=1),
      AND(LEFT(P2502,5)="2-Way", OR(Enginuity!$B$13=2, Enginuity!$B$13=4)),
      AND(LEFT(P2502,5)="3-Way", OR(Enginuity!$B$13=3, Enginuity!$B$13=6)),
      AND(P2502="Inner Centre Jamb", OR(Enginuity!$B$13=4, Enginuity!$B$13=6)),
      AND(
        LEFT(P2502,5)&lt;&gt;"1-Way",
        LEFT(P2502,5)&lt;&gt;"2-Way",
        LEFT(P2502,5)&lt;&gt;"3-Way",
        P2502&lt;&gt;"Inner Centre Jamb"
      )
    ),
    IF(OR(Enginuity!$A$1="Frameless Glass",Enginuity!$A$1="Metal Work"),
      AND(TRIM(B2502)=TRIM(Enginuity!$A$17),TRIM(C2502)=TRIM(Enginuity!$A$18)),
      TRIM(B2502)=TRIM(Enginuity!$A$17)
    )
  ),
  ROW(),
  ""
)</f>
        <v/>
      </c>
    </row>
    <row r="2503" spans="21:21" x14ac:dyDescent="0.25">
      <c r="U2503" s="104" t="str">
        <f>IF(
  AND(
    TRIM(A2503)=TRIM(Enginuity!$A$1),
    TRIM(B2503)=TRIM(Enginuity!$A$17),
    Q2503&lt;&gt;"",
    Q2503&lt;&gt;0,
    OR(
      TRIM(C2503)=TRIM(Enginuity!$A$18),
      AND(UPPER(TRIM(M2503))="STD", TRIM(B2503)=TRIM(Enginuity!$A$17))
    ),
    OR(
      AND(LEFT(P2503,5)="1-Way", Enginuity!$B$13=1),
      AND(LEFT(P2503,5)="2-Way", OR(Enginuity!$B$13=2, Enginuity!$B$13=4)),
      AND(LEFT(P2503,5)="3-Way", OR(Enginuity!$B$13=3, Enginuity!$B$13=6)),
      AND(P2503="Inner Centre Jamb", OR(Enginuity!$B$13=4, Enginuity!$B$13=6)),
      AND(
        LEFT(P2503,5)&lt;&gt;"1-Way",
        LEFT(P2503,5)&lt;&gt;"2-Way",
        LEFT(P2503,5)&lt;&gt;"3-Way",
        P2503&lt;&gt;"Inner Centre Jamb"
      )
    ),
    IF(OR(Enginuity!$A$1="Frameless Glass",Enginuity!$A$1="Metal Work"),
      AND(TRIM(B2503)=TRIM(Enginuity!$A$17),TRIM(C2503)=TRIM(Enginuity!$A$18)),
      TRIM(B2503)=TRIM(Enginuity!$A$17)
    )
  ),
  ROW(),
  ""
)</f>
        <v/>
      </c>
    </row>
    <row r="2504" spans="21:21" x14ac:dyDescent="0.25">
      <c r="U2504" s="104" t="str">
        <f>IF(
  AND(
    TRIM(A2504)=TRIM(Enginuity!$A$1),
    TRIM(B2504)=TRIM(Enginuity!$A$17),
    Q2504&lt;&gt;"",
    Q2504&lt;&gt;0,
    OR(
      TRIM(C2504)=TRIM(Enginuity!$A$18),
      AND(UPPER(TRIM(M2504))="STD", TRIM(B2504)=TRIM(Enginuity!$A$17))
    ),
    OR(
      AND(LEFT(P2504,5)="1-Way", Enginuity!$B$13=1),
      AND(LEFT(P2504,5)="2-Way", OR(Enginuity!$B$13=2, Enginuity!$B$13=4)),
      AND(LEFT(P2504,5)="3-Way", OR(Enginuity!$B$13=3, Enginuity!$B$13=6)),
      AND(P2504="Inner Centre Jamb", OR(Enginuity!$B$13=4, Enginuity!$B$13=6)),
      AND(
        LEFT(P2504,5)&lt;&gt;"1-Way",
        LEFT(P2504,5)&lt;&gt;"2-Way",
        LEFT(P2504,5)&lt;&gt;"3-Way",
        P2504&lt;&gt;"Inner Centre Jamb"
      )
    ),
    IF(OR(Enginuity!$A$1="Frameless Glass",Enginuity!$A$1="Metal Work"),
      AND(TRIM(B2504)=TRIM(Enginuity!$A$17),TRIM(C2504)=TRIM(Enginuity!$A$18)),
      TRIM(B2504)=TRIM(Enginuity!$A$17)
    )
  ),
  ROW(),
  ""
)</f>
        <v/>
      </c>
    </row>
    <row r="2505" spans="21:21" x14ac:dyDescent="0.25">
      <c r="U2505" s="104" t="str">
        <f>IF(
  AND(
    TRIM(A2505)=TRIM(Enginuity!$A$1),
    TRIM(B2505)=TRIM(Enginuity!$A$17),
    Q2505&lt;&gt;"",
    Q2505&lt;&gt;0,
    OR(
      TRIM(C2505)=TRIM(Enginuity!$A$18),
      AND(UPPER(TRIM(M2505))="STD", TRIM(B2505)=TRIM(Enginuity!$A$17))
    ),
    OR(
      AND(LEFT(P2505,5)="1-Way", Enginuity!$B$13=1),
      AND(LEFT(P2505,5)="2-Way", OR(Enginuity!$B$13=2, Enginuity!$B$13=4)),
      AND(LEFT(P2505,5)="3-Way", OR(Enginuity!$B$13=3, Enginuity!$B$13=6)),
      AND(P2505="Inner Centre Jamb", OR(Enginuity!$B$13=4, Enginuity!$B$13=6)),
      AND(
        LEFT(P2505,5)&lt;&gt;"1-Way",
        LEFT(P2505,5)&lt;&gt;"2-Way",
        LEFT(P2505,5)&lt;&gt;"3-Way",
        P2505&lt;&gt;"Inner Centre Jamb"
      )
    ),
    IF(OR(Enginuity!$A$1="Frameless Glass",Enginuity!$A$1="Metal Work"),
      AND(TRIM(B2505)=TRIM(Enginuity!$A$17),TRIM(C2505)=TRIM(Enginuity!$A$18)),
      TRIM(B2505)=TRIM(Enginuity!$A$17)
    )
  ),
  ROW(),
  ""
)</f>
        <v/>
      </c>
    </row>
    <row r="2506" spans="21:21" x14ac:dyDescent="0.25">
      <c r="U2506" s="104" t="str">
        <f>IF(
  AND(
    TRIM(A2506)=TRIM(Enginuity!$A$1),
    TRIM(B2506)=TRIM(Enginuity!$A$17),
    Q2506&lt;&gt;"",
    Q2506&lt;&gt;0,
    OR(
      TRIM(C2506)=TRIM(Enginuity!$A$18),
      AND(UPPER(TRIM(M2506))="STD", TRIM(B2506)=TRIM(Enginuity!$A$17))
    ),
    OR(
      AND(LEFT(P2506,5)="1-Way", Enginuity!$B$13=1),
      AND(LEFT(P2506,5)="2-Way", OR(Enginuity!$B$13=2, Enginuity!$B$13=4)),
      AND(LEFT(P2506,5)="3-Way", OR(Enginuity!$B$13=3, Enginuity!$B$13=6)),
      AND(P2506="Inner Centre Jamb", OR(Enginuity!$B$13=4, Enginuity!$B$13=6)),
      AND(
        LEFT(P2506,5)&lt;&gt;"1-Way",
        LEFT(P2506,5)&lt;&gt;"2-Way",
        LEFT(P2506,5)&lt;&gt;"3-Way",
        P2506&lt;&gt;"Inner Centre Jamb"
      )
    ),
    IF(OR(Enginuity!$A$1="Frameless Glass",Enginuity!$A$1="Metal Work"),
      AND(TRIM(B2506)=TRIM(Enginuity!$A$17),TRIM(C2506)=TRIM(Enginuity!$A$18)),
      TRIM(B2506)=TRIM(Enginuity!$A$17)
    )
  ),
  ROW(),
  ""
)</f>
        <v/>
      </c>
    </row>
    <row r="2507" spans="21:21" x14ac:dyDescent="0.25">
      <c r="U2507" s="104" t="str">
        <f>IF(
  AND(
    TRIM(A2507)=TRIM(Enginuity!$A$1),
    TRIM(B2507)=TRIM(Enginuity!$A$17),
    Q2507&lt;&gt;"",
    Q2507&lt;&gt;0,
    OR(
      TRIM(C2507)=TRIM(Enginuity!$A$18),
      AND(UPPER(TRIM(M2507))="STD", TRIM(B2507)=TRIM(Enginuity!$A$17))
    ),
    OR(
      AND(LEFT(P2507,5)="1-Way", Enginuity!$B$13=1),
      AND(LEFT(P2507,5)="2-Way", OR(Enginuity!$B$13=2, Enginuity!$B$13=4)),
      AND(LEFT(P2507,5)="3-Way", OR(Enginuity!$B$13=3, Enginuity!$B$13=6)),
      AND(P2507="Inner Centre Jamb", OR(Enginuity!$B$13=4, Enginuity!$B$13=6)),
      AND(
        LEFT(P2507,5)&lt;&gt;"1-Way",
        LEFT(P2507,5)&lt;&gt;"2-Way",
        LEFT(P2507,5)&lt;&gt;"3-Way",
        P2507&lt;&gt;"Inner Centre Jamb"
      )
    ),
    IF(OR(Enginuity!$A$1="Frameless Glass",Enginuity!$A$1="Metal Work"),
      AND(TRIM(B2507)=TRIM(Enginuity!$A$17),TRIM(C2507)=TRIM(Enginuity!$A$18)),
      TRIM(B2507)=TRIM(Enginuity!$A$17)
    )
  ),
  ROW(),
  ""
)</f>
        <v/>
      </c>
    </row>
    <row r="2508" spans="21:21" x14ac:dyDescent="0.25">
      <c r="U2508" s="104" t="str">
        <f>IF(
  AND(
    TRIM(A2508)=TRIM(Enginuity!$A$1),
    TRIM(B2508)=TRIM(Enginuity!$A$17),
    Q2508&lt;&gt;"",
    Q2508&lt;&gt;0,
    OR(
      TRIM(C2508)=TRIM(Enginuity!$A$18),
      AND(UPPER(TRIM(M2508))="STD", TRIM(B2508)=TRIM(Enginuity!$A$17))
    ),
    OR(
      AND(LEFT(P2508,5)="1-Way", Enginuity!$B$13=1),
      AND(LEFT(P2508,5)="2-Way", OR(Enginuity!$B$13=2, Enginuity!$B$13=4)),
      AND(LEFT(P2508,5)="3-Way", OR(Enginuity!$B$13=3, Enginuity!$B$13=6)),
      AND(P2508="Inner Centre Jamb", OR(Enginuity!$B$13=4, Enginuity!$B$13=6)),
      AND(
        LEFT(P2508,5)&lt;&gt;"1-Way",
        LEFT(P2508,5)&lt;&gt;"2-Way",
        LEFT(P2508,5)&lt;&gt;"3-Way",
        P2508&lt;&gt;"Inner Centre Jamb"
      )
    ),
    IF(OR(Enginuity!$A$1="Frameless Glass",Enginuity!$A$1="Metal Work"),
      AND(TRIM(B2508)=TRIM(Enginuity!$A$17),TRIM(C2508)=TRIM(Enginuity!$A$18)),
      TRIM(B2508)=TRIM(Enginuity!$A$17)
    )
  ),
  ROW(),
  ""
)</f>
        <v/>
      </c>
    </row>
    <row r="2509" spans="21:21" x14ac:dyDescent="0.25">
      <c r="U2509" s="104" t="str">
        <f>IF(
  AND(
    TRIM(A2509)=TRIM(Enginuity!$A$1),
    TRIM(B2509)=TRIM(Enginuity!$A$17),
    Q2509&lt;&gt;"",
    Q2509&lt;&gt;0,
    OR(
      TRIM(C2509)=TRIM(Enginuity!$A$18),
      AND(UPPER(TRIM(M2509))="STD", TRIM(B2509)=TRIM(Enginuity!$A$17))
    ),
    OR(
      AND(LEFT(P2509,5)="1-Way", Enginuity!$B$13=1),
      AND(LEFT(P2509,5)="2-Way", OR(Enginuity!$B$13=2, Enginuity!$B$13=4)),
      AND(LEFT(P2509,5)="3-Way", OR(Enginuity!$B$13=3, Enginuity!$B$13=6)),
      AND(P2509="Inner Centre Jamb", OR(Enginuity!$B$13=4, Enginuity!$B$13=6)),
      AND(
        LEFT(P2509,5)&lt;&gt;"1-Way",
        LEFT(P2509,5)&lt;&gt;"2-Way",
        LEFT(P2509,5)&lt;&gt;"3-Way",
        P2509&lt;&gt;"Inner Centre Jamb"
      )
    ),
    IF(OR(Enginuity!$A$1="Frameless Glass",Enginuity!$A$1="Metal Work"),
      AND(TRIM(B2509)=TRIM(Enginuity!$A$17),TRIM(C2509)=TRIM(Enginuity!$A$18)),
      TRIM(B2509)=TRIM(Enginuity!$A$17)
    )
  ),
  ROW(),
  ""
)</f>
        <v/>
      </c>
    </row>
    <row r="2510" spans="21:21" x14ac:dyDescent="0.25">
      <c r="U2510" s="104" t="str">
        <f>IF(
  AND(
    TRIM(A2510)=TRIM(Enginuity!$A$1),
    TRIM(B2510)=TRIM(Enginuity!$A$17),
    Q2510&lt;&gt;"",
    Q2510&lt;&gt;0,
    OR(
      TRIM(C2510)=TRIM(Enginuity!$A$18),
      AND(UPPER(TRIM(M2510))="STD", TRIM(B2510)=TRIM(Enginuity!$A$17))
    ),
    OR(
      AND(LEFT(P2510,5)="1-Way", Enginuity!$B$13=1),
      AND(LEFT(P2510,5)="2-Way", OR(Enginuity!$B$13=2, Enginuity!$B$13=4)),
      AND(LEFT(P2510,5)="3-Way", OR(Enginuity!$B$13=3, Enginuity!$B$13=6)),
      AND(P2510="Inner Centre Jamb", OR(Enginuity!$B$13=4, Enginuity!$B$13=6)),
      AND(
        LEFT(P2510,5)&lt;&gt;"1-Way",
        LEFT(P2510,5)&lt;&gt;"2-Way",
        LEFT(P2510,5)&lt;&gt;"3-Way",
        P2510&lt;&gt;"Inner Centre Jamb"
      )
    ),
    IF(OR(Enginuity!$A$1="Frameless Glass",Enginuity!$A$1="Metal Work"),
      AND(TRIM(B2510)=TRIM(Enginuity!$A$17),TRIM(C2510)=TRIM(Enginuity!$A$18)),
      TRIM(B2510)=TRIM(Enginuity!$A$17)
    )
  ),
  ROW(),
  ""
)</f>
        <v/>
      </c>
    </row>
    <row r="2511" spans="21:21" x14ac:dyDescent="0.25">
      <c r="U2511" s="104" t="str">
        <f>IF(
  AND(
    TRIM(A2511)=TRIM(Enginuity!$A$1),
    TRIM(B2511)=TRIM(Enginuity!$A$17),
    Q2511&lt;&gt;"",
    Q2511&lt;&gt;0,
    OR(
      TRIM(C2511)=TRIM(Enginuity!$A$18),
      AND(UPPER(TRIM(M2511))="STD", TRIM(B2511)=TRIM(Enginuity!$A$17))
    ),
    OR(
      AND(LEFT(P2511,5)="1-Way", Enginuity!$B$13=1),
      AND(LEFT(P2511,5)="2-Way", OR(Enginuity!$B$13=2, Enginuity!$B$13=4)),
      AND(LEFT(P2511,5)="3-Way", OR(Enginuity!$B$13=3, Enginuity!$B$13=6)),
      AND(P2511="Inner Centre Jamb", OR(Enginuity!$B$13=4, Enginuity!$B$13=6)),
      AND(
        LEFT(P2511,5)&lt;&gt;"1-Way",
        LEFT(P2511,5)&lt;&gt;"2-Way",
        LEFT(P2511,5)&lt;&gt;"3-Way",
        P2511&lt;&gt;"Inner Centre Jamb"
      )
    ),
    IF(OR(Enginuity!$A$1="Frameless Glass",Enginuity!$A$1="Metal Work"),
      AND(TRIM(B2511)=TRIM(Enginuity!$A$17),TRIM(C2511)=TRIM(Enginuity!$A$18)),
      TRIM(B2511)=TRIM(Enginuity!$A$17)
    )
  ),
  ROW(),
  ""
)</f>
        <v/>
      </c>
    </row>
    <row r="2512" spans="21:21" x14ac:dyDescent="0.25">
      <c r="U2512" s="104" t="str">
        <f>IF(
  AND(
    TRIM(A2512)=TRIM(Enginuity!$A$1),
    TRIM(B2512)=TRIM(Enginuity!$A$17),
    Q2512&lt;&gt;"",
    Q2512&lt;&gt;0,
    OR(
      TRIM(C2512)=TRIM(Enginuity!$A$18),
      AND(UPPER(TRIM(M2512))="STD", TRIM(B2512)=TRIM(Enginuity!$A$17))
    ),
    OR(
      AND(LEFT(P2512,5)="1-Way", Enginuity!$B$13=1),
      AND(LEFT(P2512,5)="2-Way", OR(Enginuity!$B$13=2, Enginuity!$B$13=4)),
      AND(LEFT(P2512,5)="3-Way", OR(Enginuity!$B$13=3, Enginuity!$B$13=6)),
      AND(P2512="Inner Centre Jamb", OR(Enginuity!$B$13=4, Enginuity!$B$13=6)),
      AND(
        LEFT(P2512,5)&lt;&gt;"1-Way",
        LEFT(P2512,5)&lt;&gt;"2-Way",
        LEFT(P2512,5)&lt;&gt;"3-Way",
        P2512&lt;&gt;"Inner Centre Jamb"
      )
    ),
    IF(OR(Enginuity!$A$1="Frameless Glass",Enginuity!$A$1="Metal Work"),
      AND(TRIM(B2512)=TRIM(Enginuity!$A$17),TRIM(C2512)=TRIM(Enginuity!$A$18)),
      TRIM(B2512)=TRIM(Enginuity!$A$17)
    )
  ),
  ROW(),
  ""
)</f>
        <v/>
      </c>
    </row>
    <row r="2513" spans="21:21" x14ac:dyDescent="0.25">
      <c r="U2513" s="104" t="str">
        <f>IF(
  AND(
    TRIM(A2513)=TRIM(Enginuity!$A$1),
    TRIM(B2513)=TRIM(Enginuity!$A$17),
    Q2513&lt;&gt;"",
    Q2513&lt;&gt;0,
    OR(
      TRIM(C2513)=TRIM(Enginuity!$A$18),
      AND(UPPER(TRIM(M2513))="STD", TRIM(B2513)=TRIM(Enginuity!$A$17))
    ),
    OR(
      AND(LEFT(P2513,5)="1-Way", Enginuity!$B$13=1),
      AND(LEFT(P2513,5)="2-Way", OR(Enginuity!$B$13=2, Enginuity!$B$13=4)),
      AND(LEFT(P2513,5)="3-Way", OR(Enginuity!$B$13=3, Enginuity!$B$13=6)),
      AND(P2513="Inner Centre Jamb", OR(Enginuity!$B$13=4, Enginuity!$B$13=6)),
      AND(
        LEFT(P2513,5)&lt;&gt;"1-Way",
        LEFT(P2513,5)&lt;&gt;"2-Way",
        LEFT(P2513,5)&lt;&gt;"3-Way",
        P2513&lt;&gt;"Inner Centre Jamb"
      )
    ),
    IF(OR(Enginuity!$A$1="Frameless Glass",Enginuity!$A$1="Metal Work"),
      AND(TRIM(B2513)=TRIM(Enginuity!$A$17),TRIM(C2513)=TRIM(Enginuity!$A$18)),
      TRIM(B2513)=TRIM(Enginuity!$A$17)
    )
  ),
  ROW(),
  ""
)</f>
        <v/>
      </c>
    </row>
    <row r="2514" spans="21:21" x14ac:dyDescent="0.25">
      <c r="U2514" s="104" t="str">
        <f>IF(
  AND(
    TRIM(A2514)=TRIM(Enginuity!$A$1),
    TRIM(B2514)=TRIM(Enginuity!$A$17),
    Q2514&lt;&gt;"",
    Q2514&lt;&gt;0,
    OR(
      TRIM(C2514)=TRIM(Enginuity!$A$18),
      AND(UPPER(TRIM(M2514))="STD", TRIM(B2514)=TRIM(Enginuity!$A$17))
    ),
    OR(
      AND(LEFT(P2514,5)="1-Way", Enginuity!$B$13=1),
      AND(LEFT(P2514,5)="2-Way", OR(Enginuity!$B$13=2, Enginuity!$B$13=4)),
      AND(LEFT(P2514,5)="3-Way", OR(Enginuity!$B$13=3, Enginuity!$B$13=6)),
      AND(P2514="Inner Centre Jamb", OR(Enginuity!$B$13=4, Enginuity!$B$13=6)),
      AND(
        LEFT(P2514,5)&lt;&gt;"1-Way",
        LEFT(P2514,5)&lt;&gt;"2-Way",
        LEFT(P2514,5)&lt;&gt;"3-Way",
        P2514&lt;&gt;"Inner Centre Jamb"
      )
    ),
    IF(OR(Enginuity!$A$1="Frameless Glass",Enginuity!$A$1="Metal Work"),
      AND(TRIM(B2514)=TRIM(Enginuity!$A$17),TRIM(C2514)=TRIM(Enginuity!$A$18)),
      TRIM(B2514)=TRIM(Enginuity!$A$17)
    )
  ),
  ROW(),
  ""
)</f>
        <v/>
      </c>
    </row>
    <row r="2515" spans="21:21" x14ac:dyDescent="0.25">
      <c r="U2515" s="104" t="str">
        <f>IF(
  AND(
    TRIM(A2515)=TRIM(Enginuity!$A$1),
    TRIM(B2515)=TRIM(Enginuity!$A$17),
    Q2515&lt;&gt;"",
    Q2515&lt;&gt;0,
    OR(
      TRIM(C2515)=TRIM(Enginuity!$A$18),
      AND(UPPER(TRIM(M2515))="STD", TRIM(B2515)=TRIM(Enginuity!$A$17))
    ),
    OR(
      AND(LEFT(P2515,5)="1-Way", Enginuity!$B$13=1),
      AND(LEFT(P2515,5)="2-Way", OR(Enginuity!$B$13=2, Enginuity!$B$13=4)),
      AND(LEFT(P2515,5)="3-Way", OR(Enginuity!$B$13=3, Enginuity!$B$13=6)),
      AND(P2515="Inner Centre Jamb", OR(Enginuity!$B$13=4, Enginuity!$B$13=6)),
      AND(
        LEFT(P2515,5)&lt;&gt;"1-Way",
        LEFT(P2515,5)&lt;&gt;"2-Way",
        LEFT(P2515,5)&lt;&gt;"3-Way",
        P2515&lt;&gt;"Inner Centre Jamb"
      )
    ),
    IF(OR(Enginuity!$A$1="Frameless Glass",Enginuity!$A$1="Metal Work"),
      AND(TRIM(B2515)=TRIM(Enginuity!$A$17),TRIM(C2515)=TRIM(Enginuity!$A$18)),
      TRIM(B2515)=TRIM(Enginuity!$A$17)
    )
  ),
  ROW(),
  ""
)</f>
        <v/>
      </c>
    </row>
    <row r="2516" spans="21:21" x14ac:dyDescent="0.25">
      <c r="U2516" s="104" t="str">
        <f>IF(
  AND(
    TRIM(A2516)=TRIM(Enginuity!$A$1),
    TRIM(B2516)=TRIM(Enginuity!$A$17),
    Q2516&lt;&gt;"",
    Q2516&lt;&gt;0,
    OR(
      TRIM(C2516)=TRIM(Enginuity!$A$18),
      AND(UPPER(TRIM(M2516))="STD", TRIM(B2516)=TRIM(Enginuity!$A$17))
    ),
    OR(
      AND(LEFT(P2516,5)="1-Way", Enginuity!$B$13=1),
      AND(LEFT(P2516,5)="2-Way", OR(Enginuity!$B$13=2, Enginuity!$B$13=4)),
      AND(LEFT(P2516,5)="3-Way", OR(Enginuity!$B$13=3, Enginuity!$B$13=6)),
      AND(P2516="Inner Centre Jamb", OR(Enginuity!$B$13=4, Enginuity!$B$13=6)),
      AND(
        LEFT(P2516,5)&lt;&gt;"1-Way",
        LEFT(P2516,5)&lt;&gt;"2-Way",
        LEFT(P2516,5)&lt;&gt;"3-Way",
        P2516&lt;&gt;"Inner Centre Jamb"
      )
    ),
    IF(OR(Enginuity!$A$1="Frameless Glass",Enginuity!$A$1="Metal Work"),
      AND(TRIM(B2516)=TRIM(Enginuity!$A$17),TRIM(C2516)=TRIM(Enginuity!$A$18)),
      TRIM(B2516)=TRIM(Enginuity!$A$17)
    )
  ),
  ROW(),
  ""
)</f>
        <v/>
      </c>
    </row>
    <row r="2517" spans="21:21" x14ac:dyDescent="0.25">
      <c r="U2517" s="104" t="str">
        <f>IF(
  AND(
    TRIM(A2517)=TRIM(Enginuity!$A$1),
    TRIM(B2517)=TRIM(Enginuity!$A$17),
    Q2517&lt;&gt;"",
    Q2517&lt;&gt;0,
    OR(
      TRIM(C2517)=TRIM(Enginuity!$A$18),
      AND(UPPER(TRIM(M2517))="STD", TRIM(B2517)=TRIM(Enginuity!$A$17))
    ),
    OR(
      AND(LEFT(P2517,5)="1-Way", Enginuity!$B$13=1),
      AND(LEFT(P2517,5)="2-Way", OR(Enginuity!$B$13=2, Enginuity!$B$13=4)),
      AND(LEFT(P2517,5)="3-Way", OR(Enginuity!$B$13=3, Enginuity!$B$13=6)),
      AND(P2517="Inner Centre Jamb", OR(Enginuity!$B$13=4, Enginuity!$B$13=6)),
      AND(
        LEFT(P2517,5)&lt;&gt;"1-Way",
        LEFT(P2517,5)&lt;&gt;"2-Way",
        LEFT(P2517,5)&lt;&gt;"3-Way",
        P2517&lt;&gt;"Inner Centre Jamb"
      )
    ),
    IF(OR(Enginuity!$A$1="Frameless Glass",Enginuity!$A$1="Metal Work"),
      AND(TRIM(B2517)=TRIM(Enginuity!$A$17),TRIM(C2517)=TRIM(Enginuity!$A$18)),
      TRIM(B2517)=TRIM(Enginuity!$A$17)
    )
  ),
  ROW(),
  ""
)</f>
        <v/>
      </c>
    </row>
    <row r="2518" spans="21:21" x14ac:dyDescent="0.25">
      <c r="U2518" s="104" t="str">
        <f>IF(
  AND(
    TRIM(A2518)=TRIM(Enginuity!$A$1),
    TRIM(B2518)=TRIM(Enginuity!$A$17),
    Q2518&lt;&gt;"",
    Q2518&lt;&gt;0,
    OR(
      TRIM(C2518)=TRIM(Enginuity!$A$18),
      AND(UPPER(TRIM(M2518))="STD", TRIM(B2518)=TRIM(Enginuity!$A$17))
    ),
    OR(
      AND(LEFT(P2518,5)="1-Way", Enginuity!$B$13=1),
      AND(LEFT(P2518,5)="2-Way", OR(Enginuity!$B$13=2, Enginuity!$B$13=4)),
      AND(LEFT(P2518,5)="3-Way", OR(Enginuity!$B$13=3, Enginuity!$B$13=6)),
      AND(P2518="Inner Centre Jamb", OR(Enginuity!$B$13=4, Enginuity!$B$13=6)),
      AND(
        LEFT(P2518,5)&lt;&gt;"1-Way",
        LEFT(P2518,5)&lt;&gt;"2-Way",
        LEFT(P2518,5)&lt;&gt;"3-Way",
        P2518&lt;&gt;"Inner Centre Jamb"
      )
    ),
    IF(OR(Enginuity!$A$1="Frameless Glass",Enginuity!$A$1="Metal Work"),
      AND(TRIM(B2518)=TRIM(Enginuity!$A$17),TRIM(C2518)=TRIM(Enginuity!$A$18)),
      TRIM(B2518)=TRIM(Enginuity!$A$17)
    )
  ),
  ROW(),
  ""
)</f>
        <v/>
      </c>
    </row>
    <row r="2519" spans="21:21" x14ac:dyDescent="0.25">
      <c r="U2519" s="104" t="str">
        <f>IF(
  AND(
    TRIM(A2519)=TRIM(Enginuity!$A$1),
    TRIM(B2519)=TRIM(Enginuity!$A$17),
    Q2519&lt;&gt;"",
    Q2519&lt;&gt;0,
    OR(
      TRIM(C2519)=TRIM(Enginuity!$A$18),
      AND(UPPER(TRIM(M2519))="STD", TRIM(B2519)=TRIM(Enginuity!$A$17))
    ),
    OR(
      AND(LEFT(P2519,5)="1-Way", Enginuity!$B$13=1),
      AND(LEFT(P2519,5)="2-Way", OR(Enginuity!$B$13=2, Enginuity!$B$13=4)),
      AND(LEFT(P2519,5)="3-Way", OR(Enginuity!$B$13=3, Enginuity!$B$13=6)),
      AND(P2519="Inner Centre Jamb", OR(Enginuity!$B$13=4, Enginuity!$B$13=6)),
      AND(
        LEFT(P2519,5)&lt;&gt;"1-Way",
        LEFT(P2519,5)&lt;&gt;"2-Way",
        LEFT(P2519,5)&lt;&gt;"3-Way",
        P2519&lt;&gt;"Inner Centre Jamb"
      )
    ),
    IF(OR(Enginuity!$A$1="Frameless Glass",Enginuity!$A$1="Metal Work"),
      AND(TRIM(B2519)=TRIM(Enginuity!$A$17),TRIM(C2519)=TRIM(Enginuity!$A$18)),
      TRIM(B2519)=TRIM(Enginuity!$A$17)
    )
  ),
  ROW(),
  ""
)</f>
        <v/>
      </c>
    </row>
    <row r="2520" spans="21:21" x14ac:dyDescent="0.25">
      <c r="U2520" s="104" t="str">
        <f>IF(
  AND(
    TRIM(A2520)=TRIM(Enginuity!$A$1),
    TRIM(B2520)=TRIM(Enginuity!$A$17),
    Q2520&lt;&gt;"",
    Q2520&lt;&gt;0,
    OR(
      TRIM(C2520)=TRIM(Enginuity!$A$18),
      AND(UPPER(TRIM(M2520))="STD", TRIM(B2520)=TRIM(Enginuity!$A$17))
    ),
    OR(
      AND(LEFT(P2520,5)="1-Way", Enginuity!$B$13=1),
      AND(LEFT(P2520,5)="2-Way", OR(Enginuity!$B$13=2, Enginuity!$B$13=4)),
      AND(LEFT(P2520,5)="3-Way", OR(Enginuity!$B$13=3, Enginuity!$B$13=6)),
      AND(P2520="Inner Centre Jamb", OR(Enginuity!$B$13=4, Enginuity!$B$13=6)),
      AND(
        LEFT(P2520,5)&lt;&gt;"1-Way",
        LEFT(P2520,5)&lt;&gt;"2-Way",
        LEFT(P2520,5)&lt;&gt;"3-Way",
        P2520&lt;&gt;"Inner Centre Jamb"
      )
    ),
    IF(OR(Enginuity!$A$1="Frameless Glass",Enginuity!$A$1="Metal Work"),
      AND(TRIM(B2520)=TRIM(Enginuity!$A$17),TRIM(C2520)=TRIM(Enginuity!$A$18)),
      TRIM(B2520)=TRIM(Enginuity!$A$17)
    )
  ),
  ROW(),
  ""
)</f>
        <v/>
      </c>
    </row>
    <row r="2521" spans="21:21" x14ac:dyDescent="0.25">
      <c r="U2521" s="104" t="str">
        <f>IF(
  AND(
    TRIM(A2521)=TRIM(Enginuity!$A$1),
    TRIM(B2521)=TRIM(Enginuity!$A$17),
    Q2521&lt;&gt;"",
    Q2521&lt;&gt;0,
    OR(
      TRIM(C2521)=TRIM(Enginuity!$A$18),
      AND(UPPER(TRIM(M2521))="STD", TRIM(B2521)=TRIM(Enginuity!$A$17))
    ),
    OR(
      AND(LEFT(P2521,5)="1-Way", Enginuity!$B$13=1),
      AND(LEFT(P2521,5)="2-Way", OR(Enginuity!$B$13=2, Enginuity!$B$13=4)),
      AND(LEFT(P2521,5)="3-Way", OR(Enginuity!$B$13=3, Enginuity!$B$13=6)),
      AND(P2521="Inner Centre Jamb", OR(Enginuity!$B$13=4, Enginuity!$B$13=6)),
      AND(
        LEFT(P2521,5)&lt;&gt;"1-Way",
        LEFT(P2521,5)&lt;&gt;"2-Way",
        LEFT(P2521,5)&lt;&gt;"3-Way",
        P2521&lt;&gt;"Inner Centre Jamb"
      )
    ),
    IF(OR(Enginuity!$A$1="Frameless Glass",Enginuity!$A$1="Metal Work"),
      AND(TRIM(B2521)=TRIM(Enginuity!$A$17),TRIM(C2521)=TRIM(Enginuity!$A$18)),
      TRIM(B2521)=TRIM(Enginuity!$A$17)
    )
  ),
  ROW(),
  ""
)</f>
        <v/>
      </c>
    </row>
    <row r="2522" spans="21:21" x14ac:dyDescent="0.25">
      <c r="U2522" s="104" t="str">
        <f>IF(
  AND(
    TRIM(A2522)=TRIM(Enginuity!$A$1),
    TRIM(B2522)=TRIM(Enginuity!$A$17),
    Q2522&lt;&gt;"",
    Q2522&lt;&gt;0,
    OR(
      TRIM(C2522)=TRIM(Enginuity!$A$18),
      AND(UPPER(TRIM(M2522))="STD", TRIM(B2522)=TRIM(Enginuity!$A$17))
    ),
    OR(
      AND(LEFT(P2522,5)="1-Way", Enginuity!$B$13=1),
      AND(LEFT(P2522,5)="2-Way", OR(Enginuity!$B$13=2, Enginuity!$B$13=4)),
      AND(LEFT(P2522,5)="3-Way", OR(Enginuity!$B$13=3, Enginuity!$B$13=6)),
      AND(P2522="Inner Centre Jamb", OR(Enginuity!$B$13=4, Enginuity!$B$13=6)),
      AND(
        LEFT(P2522,5)&lt;&gt;"1-Way",
        LEFT(P2522,5)&lt;&gt;"2-Way",
        LEFT(P2522,5)&lt;&gt;"3-Way",
        P2522&lt;&gt;"Inner Centre Jamb"
      )
    ),
    IF(OR(Enginuity!$A$1="Frameless Glass",Enginuity!$A$1="Metal Work"),
      AND(TRIM(B2522)=TRIM(Enginuity!$A$17),TRIM(C2522)=TRIM(Enginuity!$A$18)),
      TRIM(B2522)=TRIM(Enginuity!$A$17)
    )
  ),
  ROW(),
  ""
)</f>
        <v/>
      </c>
    </row>
    <row r="2523" spans="21:21" x14ac:dyDescent="0.25">
      <c r="U2523" s="104" t="str">
        <f>IF(
  AND(
    TRIM(A2523)=TRIM(Enginuity!$A$1),
    TRIM(B2523)=TRIM(Enginuity!$A$17),
    Q2523&lt;&gt;"",
    Q2523&lt;&gt;0,
    OR(
      TRIM(C2523)=TRIM(Enginuity!$A$18),
      AND(UPPER(TRIM(M2523))="STD", TRIM(B2523)=TRIM(Enginuity!$A$17))
    ),
    OR(
      AND(LEFT(P2523,5)="1-Way", Enginuity!$B$13=1),
      AND(LEFT(P2523,5)="2-Way", OR(Enginuity!$B$13=2, Enginuity!$B$13=4)),
      AND(LEFT(P2523,5)="3-Way", OR(Enginuity!$B$13=3, Enginuity!$B$13=6)),
      AND(P2523="Inner Centre Jamb", OR(Enginuity!$B$13=4, Enginuity!$B$13=6)),
      AND(
        LEFT(P2523,5)&lt;&gt;"1-Way",
        LEFT(P2523,5)&lt;&gt;"2-Way",
        LEFT(P2523,5)&lt;&gt;"3-Way",
        P2523&lt;&gt;"Inner Centre Jamb"
      )
    ),
    IF(OR(Enginuity!$A$1="Frameless Glass",Enginuity!$A$1="Metal Work"),
      AND(TRIM(B2523)=TRIM(Enginuity!$A$17),TRIM(C2523)=TRIM(Enginuity!$A$18)),
      TRIM(B2523)=TRIM(Enginuity!$A$17)
    )
  ),
  ROW(),
  ""
)</f>
        <v/>
      </c>
    </row>
    <row r="2524" spans="21:21" x14ac:dyDescent="0.25">
      <c r="U2524" s="104" t="str">
        <f>IF(
  AND(
    TRIM(A2524)=TRIM(Enginuity!$A$1),
    TRIM(B2524)=TRIM(Enginuity!$A$17),
    Q2524&lt;&gt;"",
    Q2524&lt;&gt;0,
    OR(
      TRIM(C2524)=TRIM(Enginuity!$A$18),
      AND(UPPER(TRIM(M2524))="STD", TRIM(B2524)=TRIM(Enginuity!$A$17))
    ),
    OR(
      AND(LEFT(P2524,5)="1-Way", Enginuity!$B$13=1),
      AND(LEFT(P2524,5)="2-Way", OR(Enginuity!$B$13=2, Enginuity!$B$13=4)),
      AND(LEFT(P2524,5)="3-Way", OR(Enginuity!$B$13=3, Enginuity!$B$13=6)),
      AND(P2524="Inner Centre Jamb", OR(Enginuity!$B$13=4, Enginuity!$B$13=6)),
      AND(
        LEFT(P2524,5)&lt;&gt;"1-Way",
        LEFT(P2524,5)&lt;&gt;"2-Way",
        LEFT(P2524,5)&lt;&gt;"3-Way",
        P2524&lt;&gt;"Inner Centre Jamb"
      )
    ),
    IF(OR(Enginuity!$A$1="Frameless Glass",Enginuity!$A$1="Metal Work"),
      AND(TRIM(B2524)=TRIM(Enginuity!$A$17),TRIM(C2524)=TRIM(Enginuity!$A$18)),
      TRIM(B2524)=TRIM(Enginuity!$A$17)
    )
  ),
  ROW(),
  ""
)</f>
        <v/>
      </c>
    </row>
    <row r="2525" spans="21:21" x14ac:dyDescent="0.25">
      <c r="U2525" s="104" t="str">
        <f>IF(
  AND(
    TRIM(A2525)=TRIM(Enginuity!$A$1),
    TRIM(B2525)=TRIM(Enginuity!$A$17),
    Q2525&lt;&gt;"",
    Q2525&lt;&gt;0,
    OR(
      TRIM(C2525)=TRIM(Enginuity!$A$18),
      AND(UPPER(TRIM(M2525))="STD", TRIM(B2525)=TRIM(Enginuity!$A$17))
    ),
    OR(
      AND(LEFT(P2525,5)="1-Way", Enginuity!$B$13=1),
      AND(LEFT(P2525,5)="2-Way", OR(Enginuity!$B$13=2, Enginuity!$B$13=4)),
      AND(LEFT(P2525,5)="3-Way", OR(Enginuity!$B$13=3, Enginuity!$B$13=6)),
      AND(P2525="Inner Centre Jamb", OR(Enginuity!$B$13=4, Enginuity!$B$13=6)),
      AND(
        LEFT(P2525,5)&lt;&gt;"1-Way",
        LEFT(P2525,5)&lt;&gt;"2-Way",
        LEFT(P2525,5)&lt;&gt;"3-Way",
        P2525&lt;&gt;"Inner Centre Jamb"
      )
    ),
    IF(OR(Enginuity!$A$1="Frameless Glass",Enginuity!$A$1="Metal Work"),
      AND(TRIM(B2525)=TRIM(Enginuity!$A$17),TRIM(C2525)=TRIM(Enginuity!$A$18)),
      TRIM(B2525)=TRIM(Enginuity!$A$17)
    )
  ),
  ROW(),
  ""
)</f>
        <v/>
      </c>
    </row>
    <row r="2526" spans="21:21" x14ac:dyDescent="0.25">
      <c r="U2526" s="104" t="str">
        <f>IF(
  AND(
    TRIM(A2526)=TRIM(Enginuity!$A$1),
    TRIM(B2526)=TRIM(Enginuity!$A$17),
    Q2526&lt;&gt;"",
    Q2526&lt;&gt;0,
    OR(
      TRIM(C2526)=TRIM(Enginuity!$A$18),
      AND(UPPER(TRIM(M2526))="STD", TRIM(B2526)=TRIM(Enginuity!$A$17))
    ),
    OR(
      AND(LEFT(P2526,5)="1-Way", Enginuity!$B$13=1),
      AND(LEFT(P2526,5)="2-Way", OR(Enginuity!$B$13=2, Enginuity!$B$13=4)),
      AND(LEFT(P2526,5)="3-Way", OR(Enginuity!$B$13=3, Enginuity!$B$13=6)),
      AND(P2526="Inner Centre Jamb", OR(Enginuity!$B$13=4, Enginuity!$B$13=6)),
      AND(
        LEFT(P2526,5)&lt;&gt;"1-Way",
        LEFT(P2526,5)&lt;&gt;"2-Way",
        LEFT(P2526,5)&lt;&gt;"3-Way",
        P2526&lt;&gt;"Inner Centre Jamb"
      )
    ),
    IF(OR(Enginuity!$A$1="Frameless Glass",Enginuity!$A$1="Metal Work"),
      AND(TRIM(B2526)=TRIM(Enginuity!$A$17),TRIM(C2526)=TRIM(Enginuity!$A$18)),
      TRIM(B2526)=TRIM(Enginuity!$A$17)
    )
  ),
  ROW(),
  ""
)</f>
        <v/>
      </c>
    </row>
    <row r="2527" spans="21:21" x14ac:dyDescent="0.25">
      <c r="U2527" s="104" t="str">
        <f>IF(
  AND(
    TRIM(A2527)=TRIM(Enginuity!$A$1),
    TRIM(B2527)=TRIM(Enginuity!$A$17),
    Q2527&lt;&gt;"",
    Q2527&lt;&gt;0,
    OR(
      TRIM(C2527)=TRIM(Enginuity!$A$18),
      AND(UPPER(TRIM(M2527))="STD", TRIM(B2527)=TRIM(Enginuity!$A$17))
    ),
    OR(
      AND(LEFT(P2527,5)="1-Way", Enginuity!$B$13=1),
      AND(LEFT(P2527,5)="2-Way", OR(Enginuity!$B$13=2, Enginuity!$B$13=4)),
      AND(LEFT(P2527,5)="3-Way", OR(Enginuity!$B$13=3, Enginuity!$B$13=6)),
      AND(P2527="Inner Centre Jamb", OR(Enginuity!$B$13=4, Enginuity!$B$13=6)),
      AND(
        LEFT(P2527,5)&lt;&gt;"1-Way",
        LEFT(P2527,5)&lt;&gt;"2-Way",
        LEFT(P2527,5)&lt;&gt;"3-Way",
        P2527&lt;&gt;"Inner Centre Jamb"
      )
    ),
    IF(OR(Enginuity!$A$1="Frameless Glass",Enginuity!$A$1="Metal Work"),
      AND(TRIM(B2527)=TRIM(Enginuity!$A$17),TRIM(C2527)=TRIM(Enginuity!$A$18)),
      TRIM(B2527)=TRIM(Enginuity!$A$17)
    )
  ),
  ROW(),
  ""
)</f>
        <v/>
      </c>
    </row>
    <row r="2528" spans="21:21" x14ac:dyDescent="0.25">
      <c r="U2528" s="104" t="str">
        <f>IF(
  AND(
    TRIM(A2528)=TRIM(Enginuity!$A$1),
    TRIM(B2528)=TRIM(Enginuity!$A$17),
    Q2528&lt;&gt;"",
    Q2528&lt;&gt;0,
    OR(
      TRIM(C2528)=TRIM(Enginuity!$A$18),
      AND(UPPER(TRIM(M2528))="STD", TRIM(B2528)=TRIM(Enginuity!$A$17))
    ),
    OR(
      AND(LEFT(P2528,5)="1-Way", Enginuity!$B$13=1),
      AND(LEFT(P2528,5)="2-Way", OR(Enginuity!$B$13=2, Enginuity!$B$13=4)),
      AND(LEFT(P2528,5)="3-Way", OR(Enginuity!$B$13=3, Enginuity!$B$13=6)),
      AND(P2528="Inner Centre Jamb", OR(Enginuity!$B$13=4, Enginuity!$B$13=6)),
      AND(
        LEFT(P2528,5)&lt;&gt;"1-Way",
        LEFT(P2528,5)&lt;&gt;"2-Way",
        LEFT(P2528,5)&lt;&gt;"3-Way",
        P2528&lt;&gt;"Inner Centre Jamb"
      )
    ),
    IF(OR(Enginuity!$A$1="Frameless Glass",Enginuity!$A$1="Metal Work"),
      AND(TRIM(B2528)=TRIM(Enginuity!$A$17),TRIM(C2528)=TRIM(Enginuity!$A$18)),
      TRIM(B2528)=TRIM(Enginuity!$A$17)
    )
  ),
  ROW(),
  ""
)</f>
        <v/>
      </c>
    </row>
    <row r="2529" spans="21:21" x14ac:dyDescent="0.25">
      <c r="U2529" s="104" t="str">
        <f>IF(
  AND(
    TRIM(A2529)=TRIM(Enginuity!$A$1),
    TRIM(B2529)=TRIM(Enginuity!$A$17),
    Q2529&lt;&gt;"",
    Q2529&lt;&gt;0,
    OR(
      TRIM(C2529)=TRIM(Enginuity!$A$18),
      AND(UPPER(TRIM(M2529))="STD", TRIM(B2529)=TRIM(Enginuity!$A$17))
    ),
    OR(
      AND(LEFT(P2529,5)="1-Way", Enginuity!$B$13=1),
      AND(LEFT(P2529,5)="2-Way", OR(Enginuity!$B$13=2, Enginuity!$B$13=4)),
      AND(LEFT(P2529,5)="3-Way", OR(Enginuity!$B$13=3, Enginuity!$B$13=6)),
      AND(P2529="Inner Centre Jamb", OR(Enginuity!$B$13=4, Enginuity!$B$13=6)),
      AND(
        LEFT(P2529,5)&lt;&gt;"1-Way",
        LEFT(P2529,5)&lt;&gt;"2-Way",
        LEFT(P2529,5)&lt;&gt;"3-Way",
        P2529&lt;&gt;"Inner Centre Jamb"
      )
    ),
    IF(OR(Enginuity!$A$1="Frameless Glass",Enginuity!$A$1="Metal Work"),
      AND(TRIM(B2529)=TRIM(Enginuity!$A$17),TRIM(C2529)=TRIM(Enginuity!$A$18)),
      TRIM(B2529)=TRIM(Enginuity!$A$17)
    )
  ),
  ROW(),
  ""
)</f>
        <v/>
      </c>
    </row>
    <row r="2530" spans="21:21" x14ac:dyDescent="0.25">
      <c r="U2530" s="104" t="str">
        <f>IF(
  AND(
    TRIM(A2530)=TRIM(Enginuity!$A$1),
    TRIM(B2530)=TRIM(Enginuity!$A$17),
    Q2530&lt;&gt;"",
    Q2530&lt;&gt;0,
    OR(
      TRIM(C2530)=TRIM(Enginuity!$A$18),
      AND(UPPER(TRIM(M2530))="STD", TRIM(B2530)=TRIM(Enginuity!$A$17))
    ),
    OR(
      AND(LEFT(P2530,5)="1-Way", Enginuity!$B$13=1),
      AND(LEFT(P2530,5)="2-Way", OR(Enginuity!$B$13=2, Enginuity!$B$13=4)),
      AND(LEFT(P2530,5)="3-Way", OR(Enginuity!$B$13=3, Enginuity!$B$13=6)),
      AND(P2530="Inner Centre Jamb", OR(Enginuity!$B$13=4, Enginuity!$B$13=6)),
      AND(
        LEFT(P2530,5)&lt;&gt;"1-Way",
        LEFT(P2530,5)&lt;&gt;"2-Way",
        LEFT(P2530,5)&lt;&gt;"3-Way",
        P2530&lt;&gt;"Inner Centre Jamb"
      )
    ),
    IF(OR(Enginuity!$A$1="Frameless Glass",Enginuity!$A$1="Metal Work"),
      AND(TRIM(B2530)=TRIM(Enginuity!$A$17),TRIM(C2530)=TRIM(Enginuity!$A$18)),
      TRIM(B2530)=TRIM(Enginuity!$A$17)
    )
  ),
  ROW(),
  ""
)</f>
        <v/>
      </c>
    </row>
    <row r="2531" spans="21:21" x14ac:dyDescent="0.25">
      <c r="U2531" s="104" t="str">
        <f>IF(
  AND(
    TRIM(A2531)=TRIM(Enginuity!$A$1),
    TRIM(B2531)=TRIM(Enginuity!$A$17),
    Q2531&lt;&gt;"",
    Q2531&lt;&gt;0,
    OR(
      TRIM(C2531)=TRIM(Enginuity!$A$18),
      AND(UPPER(TRIM(M2531))="STD", TRIM(B2531)=TRIM(Enginuity!$A$17))
    ),
    OR(
      AND(LEFT(P2531,5)="1-Way", Enginuity!$B$13=1),
      AND(LEFT(P2531,5)="2-Way", OR(Enginuity!$B$13=2, Enginuity!$B$13=4)),
      AND(LEFT(P2531,5)="3-Way", OR(Enginuity!$B$13=3, Enginuity!$B$13=6)),
      AND(P2531="Inner Centre Jamb", OR(Enginuity!$B$13=4, Enginuity!$B$13=6)),
      AND(
        LEFT(P2531,5)&lt;&gt;"1-Way",
        LEFT(P2531,5)&lt;&gt;"2-Way",
        LEFT(P2531,5)&lt;&gt;"3-Way",
        P2531&lt;&gt;"Inner Centre Jamb"
      )
    ),
    IF(OR(Enginuity!$A$1="Frameless Glass",Enginuity!$A$1="Metal Work"),
      AND(TRIM(B2531)=TRIM(Enginuity!$A$17),TRIM(C2531)=TRIM(Enginuity!$A$18)),
      TRIM(B2531)=TRIM(Enginuity!$A$17)
    )
  ),
  ROW(),
  ""
)</f>
        <v/>
      </c>
    </row>
    <row r="2532" spans="21:21" x14ac:dyDescent="0.25">
      <c r="U2532" s="104" t="str">
        <f>IF(
  AND(
    TRIM(A2532)=TRIM(Enginuity!$A$1),
    TRIM(B2532)=TRIM(Enginuity!$A$17),
    Q2532&lt;&gt;"",
    Q2532&lt;&gt;0,
    OR(
      TRIM(C2532)=TRIM(Enginuity!$A$18),
      AND(UPPER(TRIM(M2532))="STD", TRIM(B2532)=TRIM(Enginuity!$A$17))
    ),
    OR(
      AND(LEFT(P2532,5)="1-Way", Enginuity!$B$13=1),
      AND(LEFT(P2532,5)="2-Way", OR(Enginuity!$B$13=2, Enginuity!$B$13=4)),
      AND(LEFT(P2532,5)="3-Way", OR(Enginuity!$B$13=3, Enginuity!$B$13=6)),
      AND(P2532="Inner Centre Jamb", OR(Enginuity!$B$13=4, Enginuity!$B$13=6)),
      AND(
        LEFT(P2532,5)&lt;&gt;"1-Way",
        LEFT(P2532,5)&lt;&gt;"2-Way",
        LEFT(P2532,5)&lt;&gt;"3-Way",
        P2532&lt;&gt;"Inner Centre Jamb"
      )
    ),
    IF(OR(Enginuity!$A$1="Frameless Glass",Enginuity!$A$1="Metal Work"),
      AND(TRIM(B2532)=TRIM(Enginuity!$A$17),TRIM(C2532)=TRIM(Enginuity!$A$18)),
      TRIM(B2532)=TRIM(Enginuity!$A$17)
    )
  ),
  ROW(),
  ""
)</f>
        <v/>
      </c>
    </row>
    <row r="2533" spans="21:21" x14ac:dyDescent="0.25">
      <c r="U2533" s="104" t="str">
        <f>IF(
  AND(
    TRIM(A2533)=TRIM(Enginuity!$A$1),
    TRIM(B2533)=TRIM(Enginuity!$A$17),
    Q2533&lt;&gt;"",
    Q2533&lt;&gt;0,
    OR(
      TRIM(C2533)=TRIM(Enginuity!$A$18),
      AND(UPPER(TRIM(M2533))="STD", TRIM(B2533)=TRIM(Enginuity!$A$17))
    ),
    OR(
      AND(LEFT(P2533,5)="1-Way", Enginuity!$B$13=1),
      AND(LEFT(P2533,5)="2-Way", OR(Enginuity!$B$13=2, Enginuity!$B$13=4)),
      AND(LEFT(P2533,5)="3-Way", OR(Enginuity!$B$13=3, Enginuity!$B$13=6)),
      AND(P2533="Inner Centre Jamb", OR(Enginuity!$B$13=4, Enginuity!$B$13=6)),
      AND(
        LEFT(P2533,5)&lt;&gt;"1-Way",
        LEFT(P2533,5)&lt;&gt;"2-Way",
        LEFT(P2533,5)&lt;&gt;"3-Way",
        P2533&lt;&gt;"Inner Centre Jamb"
      )
    ),
    IF(OR(Enginuity!$A$1="Frameless Glass",Enginuity!$A$1="Metal Work"),
      AND(TRIM(B2533)=TRIM(Enginuity!$A$17),TRIM(C2533)=TRIM(Enginuity!$A$18)),
      TRIM(B2533)=TRIM(Enginuity!$A$17)
    )
  ),
  ROW(),
  ""
)</f>
        <v/>
      </c>
    </row>
    <row r="2534" spans="21:21" x14ac:dyDescent="0.25">
      <c r="U2534" s="104" t="str">
        <f>IF(
  AND(
    TRIM(A2534)=TRIM(Enginuity!$A$1),
    TRIM(B2534)=TRIM(Enginuity!$A$17),
    Q2534&lt;&gt;"",
    Q2534&lt;&gt;0,
    OR(
      TRIM(C2534)=TRIM(Enginuity!$A$18),
      AND(UPPER(TRIM(M2534))="STD", TRIM(B2534)=TRIM(Enginuity!$A$17))
    ),
    OR(
      AND(LEFT(P2534,5)="1-Way", Enginuity!$B$13=1),
      AND(LEFT(P2534,5)="2-Way", OR(Enginuity!$B$13=2, Enginuity!$B$13=4)),
      AND(LEFT(P2534,5)="3-Way", OR(Enginuity!$B$13=3, Enginuity!$B$13=6)),
      AND(P2534="Inner Centre Jamb", OR(Enginuity!$B$13=4, Enginuity!$B$13=6)),
      AND(
        LEFT(P2534,5)&lt;&gt;"1-Way",
        LEFT(P2534,5)&lt;&gt;"2-Way",
        LEFT(P2534,5)&lt;&gt;"3-Way",
        P2534&lt;&gt;"Inner Centre Jamb"
      )
    ),
    IF(OR(Enginuity!$A$1="Frameless Glass",Enginuity!$A$1="Metal Work"),
      AND(TRIM(B2534)=TRIM(Enginuity!$A$17),TRIM(C2534)=TRIM(Enginuity!$A$18)),
      TRIM(B2534)=TRIM(Enginuity!$A$17)
    )
  ),
  ROW(),
  ""
)</f>
        <v/>
      </c>
    </row>
    <row r="2535" spans="21:21" x14ac:dyDescent="0.25">
      <c r="U2535" s="104" t="str">
        <f>IF(
  AND(
    TRIM(A2535)=TRIM(Enginuity!$A$1),
    TRIM(B2535)=TRIM(Enginuity!$A$17),
    Q2535&lt;&gt;"",
    Q2535&lt;&gt;0,
    OR(
      TRIM(C2535)=TRIM(Enginuity!$A$18),
      AND(UPPER(TRIM(M2535))="STD", TRIM(B2535)=TRIM(Enginuity!$A$17))
    ),
    OR(
      AND(LEFT(P2535,5)="1-Way", Enginuity!$B$13=1),
      AND(LEFT(P2535,5)="2-Way", OR(Enginuity!$B$13=2, Enginuity!$B$13=4)),
      AND(LEFT(P2535,5)="3-Way", OR(Enginuity!$B$13=3, Enginuity!$B$13=6)),
      AND(P2535="Inner Centre Jamb", OR(Enginuity!$B$13=4, Enginuity!$B$13=6)),
      AND(
        LEFT(P2535,5)&lt;&gt;"1-Way",
        LEFT(P2535,5)&lt;&gt;"2-Way",
        LEFT(P2535,5)&lt;&gt;"3-Way",
        P2535&lt;&gt;"Inner Centre Jamb"
      )
    ),
    IF(OR(Enginuity!$A$1="Frameless Glass",Enginuity!$A$1="Metal Work"),
      AND(TRIM(B2535)=TRIM(Enginuity!$A$17),TRIM(C2535)=TRIM(Enginuity!$A$18)),
      TRIM(B2535)=TRIM(Enginuity!$A$17)
    )
  ),
  ROW(),
  ""
)</f>
        <v/>
      </c>
    </row>
    <row r="2536" spans="21:21" x14ac:dyDescent="0.25">
      <c r="U2536" s="104" t="str">
        <f>IF(
  AND(
    TRIM(A2536)=TRIM(Enginuity!$A$1),
    TRIM(B2536)=TRIM(Enginuity!$A$17),
    Q2536&lt;&gt;"",
    Q2536&lt;&gt;0,
    OR(
      TRIM(C2536)=TRIM(Enginuity!$A$18),
      AND(UPPER(TRIM(M2536))="STD", TRIM(B2536)=TRIM(Enginuity!$A$17))
    ),
    OR(
      AND(LEFT(P2536,5)="1-Way", Enginuity!$B$13=1),
      AND(LEFT(P2536,5)="2-Way", OR(Enginuity!$B$13=2, Enginuity!$B$13=4)),
      AND(LEFT(P2536,5)="3-Way", OR(Enginuity!$B$13=3, Enginuity!$B$13=6)),
      AND(P2536="Inner Centre Jamb", OR(Enginuity!$B$13=4, Enginuity!$B$13=6)),
      AND(
        LEFT(P2536,5)&lt;&gt;"1-Way",
        LEFT(P2536,5)&lt;&gt;"2-Way",
        LEFT(P2536,5)&lt;&gt;"3-Way",
        P2536&lt;&gt;"Inner Centre Jamb"
      )
    ),
    IF(OR(Enginuity!$A$1="Frameless Glass",Enginuity!$A$1="Metal Work"),
      AND(TRIM(B2536)=TRIM(Enginuity!$A$17),TRIM(C2536)=TRIM(Enginuity!$A$18)),
      TRIM(B2536)=TRIM(Enginuity!$A$17)
    )
  ),
  ROW(),
  ""
)</f>
        <v/>
      </c>
    </row>
    <row r="2537" spans="21:21" x14ac:dyDescent="0.25">
      <c r="U2537" s="104" t="str">
        <f>IF(
  AND(
    TRIM(A2537)=TRIM(Enginuity!$A$1),
    TRIM(B2537)=TRIM(Enginuity!$A$17),
    Q2537&lt;&gt;"",
    Q2537&lt;&gt;0,
    OR(
      TRIM(C2537)=TRIM(Enginuity!$A$18),
      AND(UPPER(TRIM(M2537))="STD", TRIM(B2537)=TRIM(Enginuity!$A$17))
    ),
    OR(
      AND(LEFT(P2537,5)="1-Way", Enginuity!$B$13=1),
      AND(LEFT(P2537,5)="2-Way", OR(Enginuity!$B$13=2, Enginuity!$B$13=4)),
      AND(LEFT(P2537,5)="3-Way", OR(Enginuity!$B$13=3, Enginuity!$B$13=6)),
      AND(P2537="Inner Centre Jamb", OR(Enginuity!$B$13=4, Enginuity!$B$13=6)),
      AND(
        LEFT(P2537,5)&lt;&gt;"1-Way",
        LEFT(P2537,5)&lt;&gt;"2-Way",
        LEFT(P2537,5)&lt;&gt;"3-Way",
        P2537&lt;&gt;"Inner Centre Jamb"
      )
    ),
    IF(OR(Enginuity!$A$1="Frameless Glass",Enginuity!$A$1="Metal Work"),
      AND(TRIM(B2537)=TRIM(Enginuity!$A$17),TRIM(C2537)=TRIM(Enginuity!$A$18)),
      TRIM(B2537)=TRIM(Enginuity!$A$17)
    )
  ),
  ROW(),
  ""
)</f>
        <v/>
      </c>
    </row>
    <row r="2538" spans="21:21" x14ac:dyDescent="0.25">
      <c r="U2538" s="104" t="str">
        <f>IF(
  AND(
    TRIM(A2538)=TRIM(Enginuity!$A$1),
    TRIM(B2538)=TRIM(Enginuity!$A$17),
    Q2538&lt;&gt;"",
    Q2538&lt;&gt;0,
    OR(
      TRIM(C2538)=TRIM(Enginuity!$A$18),
      AND(UPPER(TRIM(M2538))="STD", TRIM(B2538)=TRIM(Enginuity!$A$17))
    ),
    OR(
      AND(LEFT(P2538,5)="1-Way", Enginuity!$B$13=1),
      AND(LEFT(P2538,5)="2-Way", OR(Enginuity!$B$13=2, Enginuity!$B$13=4)),
      AND(LEFT(P2538,5)="3-Way", OR(Enginuity!$B$13=3, Enginuity!$B$13=6)),
      AND(P2538="Inner Centre Jamb", OR(Enginuity!$B$13=4, Enginuity!$B$13=6)),
      AND(
        LEFT(P2538,5)&lt;&gt;"1-Way",
        LEFT(P2538,5)&lt;&gt;"2-Way",
        LEFT(P2538,5)&lt;&gt;"3-Way",
        P2538&lt;&gt;"Inner Centre Jamb"
      )
    ),
    IF(OR(Enginuity!$A$1="Frameless Glass",Enginuity!$A$1="Metal Work"),
      AND(TRIM(B2538)=TRIM(Enginuity!$A$17),TRIM(C2538)=TRIM(Enginuity!$A$18)),
      TRIM(B2538)=TRIM(Enginuity!$A$17)
    )
  ),
  ROW(),
  ""
)</f>
        <v/>
      </c>
    </row>
    <row r="2539" spans="21:21" x14ac:dyDescent="0.25">
      <c r="U2539" s="104" t="str">
        <f>IF(
  AND(
    TRIM(A2539)=TRIM(Enginuity!$A$1),
    TRIM(B2539)=TRIM(Enginuity!$A$17),
    Q2539&lt;&gt;"",
    Q2539&lt;&gt;0,
    OR(
      TRIM(C2539)=TRIM(Enginuity!$A$18),
      AND(UPPER(TRIM(M2539))="STD", TRIM(B2539)=TRIM(Enginuity!$A$17))
    ),
    OR(
      AND(LEFT(P2539,5)="1-Way", Enginuity!$B$13=1),
      AND(LEFT(P2539,5)="2-Way", OR(Enginuity!$B$13=2, Enginuity!$B$13=4)),
      AND(LEFT(P2539,5)="3-Way", OR(Enginuity!$B$13=3, Enginuity!$B$13=6)),
      AND(P2539="Inner Centre Jamb", OR(Enginuity!$B$13=4, Enginuity!$B$13=6)),
      AND(
        LEFT(P2539,5)&lt;&gt;"1-Way",
        LEFT(P2539,5)&lt;&gt;"2-Way",
        LEFT(P2539,5)&lt;&gt;"3-Way",
        P2539&lt;&gt;"Inner Centre Jamb"
      )
    ),
    IF(OR(Enginuity!$A$1="Frameless Glass",Enginuity!$A$1="Metal Work"),
      AND(TRIM(B2539)=TRIM(Enginuity!$A$17),TRIM(C2539)=TRIM(Enginuity!$A$18)),
      TRIM(B2539)=TRIM(Enginuity!$A$17)
    )
  ),
  ROW(),
  ""
)</f>
        <v/>
      </c>
    </row>
    <row r="2540" spans="21:21" x14ac:dyDescent="0.25">
      <c r="U2540" s="104" t="str">
        <f>IF(
  AND(
    TRIM(A2540)=TRIM(Enginuity!$A$1),
    TRIM(B2540)=TRIM(Enginuity!$A$17),
    Q2540&lt;&gt;"",
    Q2540&lt;&gt;0,
    OR(
      TRIM(C2540)=TRIM(Enginuity!$A$18),
      AND(UPPER(TRIM(M2540))="STD", TRIM(B2540)=TRIM(Enginuity!$A$17))
    ),
    OR(
      AND(LEFT(P2540,5)="1-Way", Enginuity!$B$13=1),
      AND(LEFT(P2540,5)="2-Way", OR(Enginuity!$B$13=2, Enginuity!$B$13=4)),
      AND(LEFT(P2540,5)="3-Way", OR(Enginuity!$B$13=3, Enginuity!$B$13=6)),
      AND(P2540="Inner Centre Jamb", OR(Enginuity!$B$13=4, Enginuity!$B$13=6)),
      AND(
        LEFT(P2540,5)&lt;&gt;"1-Way",
        LEFT(P2540,5)&lt;&gt;"2-Way",
        LEFT(P2540,5)&lt;&gt;"3-Way",
        P2540&lt;&gt;"Inner Centre Jamb"
      )
    ),
    IF(OR(Enginuity!$A$1="Frameless Glass",Enginuity!$A$1="Metal Work"),
      AND(TRIM(B2540)=TRIM(Enginuity!$A$17),TRIM(C2540)=TRIM(Enginuity!$A$18)),
      TRIM(B2540)=TRIM(Enginuity!$A$17)
    )
  ),
  ROW(),
  ""
)</f>
        <v/>
      </c>
    </row>
    <row r="2541" spans="21:21" x14ac:dyDescent="0.25">
      <c r="U2541" s="104" t="str">
        <f>IF(
  AND(
    TRIM(A2541)=TRIM(Enginuity!$A$1),
    TRIM(B2541)=TRIM(Enginuity!$A$17),
    Q2541&lt;&gt;"",
    Q2541&lt;&gt;0,
    OR(
      TRIM(C2541)=TRIM(Enginuity!$A$18),
      AND(UPPER(TRIM(M2541))="STD", TRIM(B2541)=TRIM(Enginuity!$A$17))
    ),
    OR(
      AND(LEFT(P2541,5)="1-Way", Enginuity!$B$13=1),
      AND(LEFT(P2541,5)="2-Way", OR(Enginuity!$B$13=2, Enginuity!$B$13=4)),
      AND(LEFT(P2541,5)="3-Way", OR(Enginuity!$B$13=3, Enginuity!$B$13=6)),
      AND(P2541="Inner Centre Jamb", OR(Enginuity!$B$13=4, Enginuity!$B$13=6)),
      AND(
        LEFT(P2541,5)&lt;&gt;"1-Way",
        LEFT(P2541,5)&lt;&gt;"2-Way",
        LEFT(P2541,5)&lt;&gt;"3-Way",
        P2541&lt;&gt;"Inner Centre Jamb"
      )
    ),
    IF(OR(Enginuity!$A$1="Frameless Glass",Enginuity!$A$1="Metal Work"),
      AND(TRIM(B2541)=TRIM(Enginuity!$A$17),TRIM(C2541)=TRIM(Enginuity!$A$18)),
      TRIM(B2541)=TRIM(Enginuity!$A$17)
    )
  ),
  ROW(),
  ""
)</f>
        <v/>
      </c>
    </row>
    <row r="2542" spans="21:21" x14ac:dyDescent="0.25">
      <c r="U2542" s="104" t="str">
        <f>IF(
  AND(
    TRIM(A2542)=TRIM(Enginuity!$A$1),
    TRIM(B2542)=TRIM(Enginuity!$A$17),
    Q2542&lt;&gt;"",
    Q2542&lt;&gt;0,
    OR(
      TRIM(C2542)=TRIM(Enginuity!$A$18),
      AND(UPPER(TRIM(M2542))="STD", TRIM(B2542)=TRIM(Enginuity!$A$17))
    ),
    OR(
      AND(LEFT(P2542,5)="1-Way", Enginuity!$B$13=1),
      AND(LEFT(P2542,5)="2-Way", OR(Enginuity!$B$13=2, Enginuity!$B$13=4)),
      AND(LEFT(P2542,5)="3-Way", OR(Enginuity!$B$13=3, Enginuity!$B$13=6)),
      AND(P2542="Inner Centre Jamb", OR(Enginuity!$B$13=4, Enginuity!$B$13=6)),
      AND(
        LEFT(P2542,5)&lt;&gt;"1-Way",
        LEFT(P2542,5)&lt;&gt;"2-Way",
        LEFT(P2542,5)&lt;&gt;"3-Way",
        P2542&lt;&gt;"Inner Centre Jamb"
      )
    ),
    IF(OR(Enginuity!$A$1="Frameless Glass",Enginuity!$A$1="Metal Work"),
      AND(TRIM(B2542)=TRIM(Enginuity!$A$17),TRIM(C2542)=TRIM(Enginuity!$A$18)),
      TRIM(B2542)=TRIM(Enginuity!$A$17)
    )
  ),
  ROW(),
  ""
)</f>
        <v/>
      </c>
    </row>
    <row r="2543" spans="21:21" x14ac:dyDescent="0.25">
      <c r="U2543" s="104" t="str">
        <f>IF(
  AND(
    TRIM(A2543)=TRIM(Enginuity!$A$1),
    TRIM(B2543)=TRIM(Enginuity!$A$17),
    Q2543&lt;&gt;"",
    Q2543&lt;&gt;0,
    OR(
      TRIM(C2543)=TRIM(Enginuity!$A$18),
      AND(UPPER(TRIM(M2543))="STD", TRIM(B2543)=TRIM(Enginuity!$A$17))
    ),
    OR(
      AND(LEFT(P2543,5)="1-Way", Enginuity!$B$13=1),
      AND(LEFT(P2543,5)="2-Way", OR(Enginuity!$B$13=2, Enginuity!$B$13=4)),
      AND(LEFT(P2543,5)="3-Way", OR(Enginuity!$B$13=3, Enginuity!$B$13=6)),
      AND(P2543="Inner Centre Jamb", OR(Enginuity!$B$13=4, Enginuity!$B$13=6)),
      AND(
        LEFT(P2543,5)&lt;&gt;"1-Way",
        LEFT(P2543,5)&lt;&gt;"2-Way",
        LEFT(P2543,5)&lt;&gt;"3-Way",
        P2543&lt;&gt;"Inner Centre Jamb"
      )
    ),
    IF(OR(Enginuity!$A$1="Frameless Glass",Enginuity!$A$1="Metal Work"),
      AND(TRIM(B2543)=TRIM(Enginuity!$A$17),TRIM(C2543)=TRIM(Enginuity!$A$18)),
      TRIM(B2543)=TRIM(Enginuity!$A$17)
    )
  ),
  ROW(),
  ""
)</f>
        <v/>
      </c>
    </row>
    <row r="2544" spans="21:21" x14ac:dyDescent="0.25">
      <c r="U2544" s="104" t="str">
        <f>IF(
  AND(
    TRIM(A2544)=TRIM(Enginuity!$A$1),
    TRIM(B2544)=TRIM(Enginuity!$A$17),
    Q2544&lt;&gt;"",
    Q2544&lt;&gt;0,
    OR(
      TRIM(C2544)=TRIM(Enginuity!$A$18),
      AND(UPPER(TRIM(M2544))="STD", TRIM(B2544)=TRIM(Enginuity!$A$17))
    ),
    OR(
      AND(LEFT(P2544,5)="1-Way", Enginuity!$B$13=1),
      AND(LEFT(P2544,5)="2-Way", OR(Enginuity!$B$13=2, Enginuity!$B$13=4)),
      AND(LEFT(P2544,5)="3-Way", OR(Enginuity!$B$13=3, Enginuity!$B$13=6)),
      AND(P2544="Inner Centre Jamb", OR(Enginuity!$B$13=4, Enginuity!$B$13=6)),
      AND(
        LEFT(P2544,5)&lt;&gt;"1-Way",
        LEFT(P2544,5)&lt;&gt;"2-Way",
        LEFT(P2544,5)&lt;&gt;"3-Way",
        P2544&lt;&gt;"Inner Centre Jamb"
      )
    ),
    IF(OR(Enginuity!$A$1="Frameless Glass",Enginuity!$A$1="Metal Work"),
      AND(TRIM(B2544)=TRIM(Enginuity!$A$17),TRIM(C2544)=TRIM(Enginuity!$A$18)),
      TRIM(B2544)=TRIM(Enginuity!$A$17)
    )
  ),
  ROW(),
  ""
)</f>
        <v/>
      </c>
    </row>
    <row r="2545" spans="21:21" x14ac:dyDescent="0.25">
      <c r="U2545" s="104" t="str">
        <f>IF(
  AND(
    TRIM(A2545)=TRIM(Enginuity!$A$1),
    TRIM(B2545)=TRIM(Enginuity!$A$17),
    Q2545&lt;&gt;"",
    Q2545&lt;&gt;0,
    OR(
      TRIM(C2545)=TRIM(Enginuity!$A$18),
      AND(UPPER(TRIM(M2545))="STD", TRIM(B2545)=TRIM(Enginuity!$A$17))
    ),
    OR(
      AND(LEFT(P2545,5)="1-Way", Enginuity!$B$13=1),
      AND(LEFT(P2545,5)="2-Way", OR(Enginuity!$B$13=2, Enginuity!$B$13=4)),
      AND(LEFT(P2545,5)="3-Way", OR(Enginuity!$B$13=3, Enginuity!$B$13=6)),
      AND(P2545="Inner Centre Jamb", OR(Enginuity!$B$13=4, Enginuity!$B$13=6)),
      AND(
        LEFT(P2545,5)&lt;&gt;"1-Way",
        LEFT(P2545,5)&lt;&gt;"2-Way",
        LEFT(P2545,5)&lt;&gt;"3-Way",
        P2545&lt;&gt;"Inner Centre Jamb"
      )
    ),
    IF(OR(Enginuity!$A$1="Frameless Glass",Enginuity!$A$1="Metal Work"),
      AND(TRIM(B2545)=TRIM(Enginuity!$A$17),TRIM(C2545)=TRIM(Enginuity!$A$18)),
      TRIM(B2545)=TRIM(Enginuity!$A$17)
    )
  ),
  ROW(),
  ""
)</f>
        <v/>
      </c>
    </row>
    <row r="2546" spans="21:21" x14ac:dyDescent="0.25">
      <c r="U2546" s="104" t="str">
        <f>IF(
  AND(
    TRIM(A2546)=TRIM(Enginuity!$A$1),
    TRIM(B2546)=TRIM(Enginuity!$A$17),
    Q2546&lt;&gt;"",
    Q2546&lt;&gt;0,
    OR(
      TRIM(C2546)=TRIM(Enginuity!$A$18),
      AND(UPPER(TRIM(M2546))="STD", TRIM(B2546)=TRIM(Enginuity!$A$17))
    ),
    OR(
      AND(LEFT(P2546,5)="1-Way", Enginuity!$B$13=1),
      AND(LEFT(P2546,5)="2-Way", OR(Enginuity!$B$13=2, Enginuity!$B$13=4)),
      AND(LEFT(P2546,5)="3-Way", OR(Enginuity!$B$13=3, Enginuity!$B$13=6)),
      AND(P2546="Inner Centre Jamb", OR(Enginuity!$B$13=4, Enginuity!$B$13=6)),
      AND(
        LEFT(P2546,5)&lt;&gt;"1-Way",
        LEFT(P2546,5)&lt;&gt;"2-Way",
        LEFT(P2546,5)&lt;&gt;"3-Way",
        P2546&lt;&gt;"Inner Centre Jamb"
      )
    ),
    IF(OR(Enginuity!$A$1="Frameless Glass",Enginuity!$A$1="Metal Work"),
      AND(TRIM(B2546)=TRIM(Enginuity!$A$17),TRIM(C2546)=TRIM(Enginuity!$A$18)),
      TRIM(B2546)=TRIM(Enginuity!$A$17)
    )
  ),
  ROW(),
  ""
)</f>
        <v/>
      </c>
    </row>
    <row r="2547" spans="21:21" x14ac:dyDescent="0.25">
      <c r="U2547" s="104" t="str">
        <f>IF(
  AND(
    TRIM(A2547)=TRIM(Enginuity!$A$1),
    TRIM(B2547)=TRIM(Enginuity!$A$17),
    Q2547&lt;&gt;"",
    Q2547&lt;&gt;0,
    OR(
      TRIM(C2547)=TRIM(Enginuity!$A$18),
      AND(UPPER(TRIM(M2547))="STD", TRIM(B2547)=TRIM(Enginuity!$A$17))
    ),
    OR(
      AND(LEFT(P2547,5)="1-Way", Enginuity!$B$13=1),
      AND(LEFT(P2547,5)="2-Way", OR(Enginuity!$B$13=2, Enginuity!$B$13=4)),
      AND(LEFT(P2547,5)="3-Way", OR(Enginuity!$B$13=3, Enginuity!$B$13=6)),
      AND(P2547="Inner Centre Jamb", OR(Enginuity!$B$13=4, Enginuity!$B$13=6)),
      AND(
        LEFT(P2547,5)&lt;&gt;"1-Way",
        LEFT(P2547,5)&lt;&gt;"2-Way",
        LEFT(P2547,5)&lt;&gt;"3-Way",
        P2547&lt;&gt;"Inner Centre Jamb"
      )
    ),
    IF(OR(Enginuity!$A$1="Frameless Glass",Enginuity!$A$1="Metal Work"),
      AND(TRIM(B2547)=TRIM(Enginuity!$A$17),TRIM(C2547)=TRIM(Enginuity!$A$18)),
      TRIM(B2547)=TRIM(Enginuity!$A$17)
    )
  ),
  ROW(),
  ""
)</f>
        <v/>
      </c>
    </row>
    <row r="2548" spans="21:21" x14ac:dyDescent="0.25">
      <c r="U2548" s="104" t="str">
        <f>IF(
  AND(
    TRIM(A2548)=TRIM(Enginuity!$A$1),
    TRIM(B2548)=TRIM(Enginuity!$A$17),
    Q2548&lt;&gt;"",
    Q2548&lt;&gt;0,
    OR(
      TRIM(C2548)=TRIM(Enginuity!$A$18),
      AND(UPPER(TRIM(M2548))="STD", TRIM(B2548)=TRIM(Enginuity!$A$17))
    ),
    OR(
      AND(LEFT(P2548,5)="1-Way", Enginuity!$B$13=1),
      AND(LEFT(P2548,5)="2-Way", OR(Enginuity!$B$13=2, Enginuity!$B$13=4)),
      AND(LEFT(P2548,5)="3-Way", OR(Enginuity!$B$13=3, Enginuity!$B$13=6)),
      AND(P2548="Inner Centre Jamb", OR(Enginuity!$B$13=4, Enginuity!$B$13=6)),
      AND(
        LEFT(P2548,5)&lt;&gt;"1-Way",
        LEFT(P2548,5)&lt;&gt;"2-Way",
        LEFT(P2548,5)&lt;&gt;"3-Way",
        P2548&lt;&gt;"Inner Centre Jamb"
      )
    ),
    IF(OR(Enginuity!$A$1="Frameless Glass",Enginuity!$A$1="Metal Work"),
      AND(TRIM(B2548)=TRIM(Enginuity!$A$17),TRIM(C2548)=TRIM(Enginuity!$A$18)),
      TRIM(B2548)=TRIM(Enginuity!$A$17)
    )
  ),
  ROW(),
  ""
)</f>
        <v/>
      </c>
    </row>
    <row r="2549" spans="21:21" x14ac:dyDescent="0.25">
      <c r="U2549" s="104" t="str">
        <f>IF(
  AND(
    TRIM(A2549)=TRIM(Enginuity!$A$1),
    TRIM(B2549)=TRIM(Enginuity!$A$17),
    Q2549&lt;&gt;"",
    Q2549&lt;&gt;0,
    OR(
      TRIM(C2549)=TRIM(Enginuity!$A$18),
      AND(UPPER(TRIM(M2549))="STD", TRIM(B2549)=TRIM(Enginuity!$A$17))
    ),
    OR(
      AND(LEFT(P2549,5)="1-Way", Enginuity!$B$13=1),
      AND(LEFT(P2549,5)="2-Way", OR(Enginuity!$B$13=2, Enginuity!$B$13=4)),
      AND(LEFT(P2549,5)="3-Way", OR(Enginuity!$B$13=3, Enginuity!$B$13=6)),
      AND(P2549="Inner Centre Jamb", OR(Enginuity!$B$13=4, Enginuity!$B$13=6)),
      AND(
        LEFT(P2549,5)&lt;&gt;"1-Way",
        LEFT(P2549,5)&lt;&gt;"2-Way",
        LEFT(P2549,5)&lt;&gt;"3-Way",
        P2549&lt;&gt;"Inner Centre Jamb"
      )
    ),
    IF(OR(Enginuity!$A$1="Frameless Glass",Enginuity!$A$1="Metal Work"),
      AND(TRIM(B2549)=TRIM(Enginuity!$A$17),TRIM(C2549)=TRIM(Enginuity!$A$18)),
      TRIM(B2549)=TRIM(Enginuity!$A$17)
    )
  ),
  ROW(),
  ""
)</f>
        <v/>
      </c>
    </row>
    <row r="2550" spans="21:21" x14ac:dyDescent="0.25">
      <c r="U2550" s="104" t="str">
        <f>IF(
  AND(
    TRIM(A2550)=TRIM(Enginuity!$A$1),
    TRIM(B2550)=TRIM(Enginuity!$A$17),
    Q2550&lt;&gt;"",
    Q2550&lt;&gt;0,
    OR(
      TRIM(C2550)=TRIM(Enginuity!$A$18),
      AND(UPPER(TRIM(M2550))="STD", TRIM(B2550)=TRIM(Enginuity!$A$17))
    ),
    OR(
      AND(LEFT(P2550,5)="1-Way", Enginuity!$B$13=1),
      AND(LEFT(P2550,5)="2-Way", OR(Enginuity!$B$13=2, Enginuity!$B$13=4)),
      AND(LEFT(P2550,5)="3-Way", OR(Enginuity!$B$13=3, Enginuity!$B$13=6)),
      AND(P2550="Inner Centre Jamb", OR(Enginuity!$B$13=4, Enginuity!$B$13=6)),
      AND(
        LEFT(P2550,5)&lt;&gt;"1-Way",
        LEFT(P2550,5)&lt;&gt;"2-Way",
        LEFT(P2550,5)&lt;&gt;"3-Way",
        P2550&lt;&gt;"Inner Centre Jamb"
      )
    ),
    IF(OR(Enginuity!$A$1="Frameless Glass",Enginuity!$A$1="Metal Work"),
      AND(TRIM(B2550)=TRIM(Enginuity!$A$17),TRIM(C2550)=TRIM(Enginuity!$A$18)),
      TRIM(B2550)=TRIM(Enginuity!$A$17)
    )
  ),
  ROW(),
  ""
)</f>
        <v/>
      </c>
    </row>
    <row r="2551" spans="21:21" x14ac:dyDescent="0.25">
      <c r="U2551" s="104" t="str">
        <f>IF(
  AND(
    TRIM(A2551)=TRIM(Enginuity!$A$1),
    TRIM(B2551)=TRIM(Enginuity!$A$17),
    Q2551&lt;&gt;"",
    Q2551&lt;&gt;0,
    OR(
      TRIM(C2551)=TRIM(Enginuity!$A$18),
      AND(UPPER(TRIM(M2551))="STD", TRIM(B2551)=TRIM(Enginuity!$A$17))
    ),
    OR(
      AND(LEFT(P2551,5)="1-Way", Enginuity!$B$13=1),
      AND(LEFT(P2551,5)="2-Way", OR(Enginuity!$B$13=2, Enginuity!$B$13=4)),
      AND(LEFT(P2551,5)="3-Way", OR(Enginuity!$B$13=3, Enginuity!$B$13=6)),
      AND(P2551="Inner Centre Jamb", OR(Enginuity!$B$13=4, Enginuity!$B$13=6)),
      AND(
        LEFT(P2551,5)&lt;&gt;"1-Way",
        LEFT(P2551,5)&lt;&gt;"2-Way",
        LEFT(P2551,5)&lt;&gt;"3-Way",
        P2551&lt;&gt;"Inner Centre Jamb"
      )
    ),
    IF(OR(Enginuity!$A$1="Frameless Glass",Enginuity!$A$1="Metal Work"),
      AND(TRIM(B2551)=TRIM(Enginuity!$A$17),TRIM(C2551)=TRIM(Enginuity!$A$18)),
      TRIM(B2551)=TRIM(Enginuity!$A$17)
    )
  ),
  ROW(),
  ""
)</f>
        <v/>
      </c>
    </row>
    <row r="2552" spans="21:21" x14ac:dyDescent="0.25">
      <c r="U2552" s="104" t="str">
        <f>IF(
  AND(
    TRIM(A2552)=TRIM(Enginuity!$A$1),
    TRIM(B2552)=TRIM(Enginuity!$A$17),
    Q2552&lt;&gt;"",
    Q2552&lt;&gt;0,
    OR(
      TRIM(C2552)=TRIM(Enginuity!$A$18),
      AND(UPPER(TRIM(M2552))="STD", TRIM(B2552)=TRIM(Enginuity!$A$17))
    ),
    OR(
      AND(LEFT(P2552,5)="1-Way", Enginuity!$B$13=1),
      AND(LEFT(P2552,5)="2-Way", OR(Enginuity!$B$13=2, Enginuity!$B$13=4)),
      AND(LEFT(P2552,5)="3-Way", OR(Enginuity!$B$13=3, Enginuity!$B$13=6)),
      AND(P2552="Inner Centre Jamb", OR(Enginuity!$B$13=4, Enginuity!$B$13=6)),
      AND(
        LEFT(P2552,5)&lt;&gt;"1-Way",
        LEFT(P2552,5)&lt;&gt;"2-Way",
        LEFT(P2552,5)&lt;&gt;"3-Way",
        P2552&lt;&gt;"Inner Centre Jamb"
      )
    ),
    IF(OR(Enginuity!$A$1="Frameless Glass",Enginuity!$A$1="Metal Work"),
      AND(TRIM(B2552)=TRIM(Enginuity!$A$17),TRIM(C2552)=TRIM(Enginuity!$A$18)),
      TRIM(B2552)=TRIM(Enginuity!$A$17)
    )
  ),
  ROW(),
  ""
)</f>
        <v/>
      </c>
    </row>
    <row r="2553" spans="21:21" x14ac:dyDescent="0.25">
      <c r="U2553" s="104" t="str">
        <f>IF(
  AND(
    TRIM(A2553)=TRIM(Enginuity!$A$1),
    TRIM(B2553)=TRIM(Enginuity!$A$17),
    Q2553&lt;&gt;"",
    Q2553&lt;&gt;0,
    OR(
      TRIM(C2553)=TRIM(Enginuity!$A$18),
      AND(UPPER(TRIM(M2553))="STD", TRIM(B2553)=TRIM(Enginuity!$A$17))
    ),
    OR(
      AND(LEFT(P2553,5)="1-Way", Enginuity!$B$13=1),
      AND(LEFT(P2553,5)="2-Way", OR(Enginuity!$B$13=2, Enginuity!$B$13=4)),
      AND(LEFT(P2553,5)="3-Way", OR(Enginuity!$B$13=3, Enginuity!$B$13=6)),
      AND(P2553="Inner Centre Jamb", OR(Enginuity!$B$13=4, Enginuity!$B$13=6)),
      AND(
        LEFT(P2553,5)&lt;&gt;"1-Way",
        LEFT(P2553,5)&lt;&gt;"2-Way",
        LEFT(P2553,5)&lt;&gt;"3-Way",
        P2553&lt;&gt;"Inner Centre Jamb"
      )
    ),
    IF(OR(Enginuity!$A$1="Frameless Glass",Enginuity!$A$1="Metal Work"),
      AND(TRIM(B2553)=TRIM(Enginuity!$A$17),TRIM(C2553)=TRIM(Enginuity!$A$18)),
      TRIM(B2553)=TRIM(Enginuity!$A$17)
    )
  ),
  ROW(),
  ""
)</f>
        <v/>
      </c>
    </row>
    <row r="2554" spans="21:21" x14ac:dyDescent="0.25">
      <c r="U2554" s="104" t="str">
        <f>IF(
  AND(
    TRIM(A2554)=TRIM(Enginuity!$A$1),
    TRIM(B2554)=TRIM(Enginuity!$A$17),
    Q2554&lt;&gt;"",
    Q2554&lt;&gt;0,
    OR(
      TRIM(C2554)=TRIM(Enginuity!$A$18),
      AND(UPPER(TRIM(M2554))="STD", TRIM(B2554)=TRIM(Enginuity!$A$17))
    ),
    OR(
      AND(LEFT(P2554,5)="1-Way", Enginuity!$B$13=1),
      AND(LEFT(P2554,5)="2-Way", OR(Enginuity!$B$13=2, Enginuity!$B$13=4)),
      AND(LEFT(P2554,5)="3-Way", OR(Enginuity!$B$13=3, Enginuity!$B$13=6)),
      AND(P2554="Inner Centre Jamb", OR(Enginuity!$B$13=4, Enginuity!$B$13=6)),
      AND(
        LEFT(P2554,5)&lt;&gt;"1-Way",
        LEFT(P2554,5)&lt;&gt;"2-Way",
        LEFT(P2554,5)&lt;&gt;"3-Way",
        P2554&lt;&gt;"Inner Centre Jamb"
      )
    ),
    IF(OR(Enginuity!$A$1="Frameless Glass",Enginuity!$A$1="Metal Work"),
      AND(TRIM(B2554)=TRIM(Enginuity!$A$17),TRIM(C2554)=TRIM(Enginuity!$A$18)),
      TRIM(B2554)=TRIM(Enginuity!$A$17)
    )
  ),
  ROW(),
  ""
)</f>
        <v/>
      </c>
    </row>
    <row r="2555" spans="21:21" x14ac:dyDescent="0.25">
      <c r="U2555" s="104" t="str">
        <f>IF(
  AND(
    TRIM(A2555)=TRIM(Enginuity!$A$1),
    TRIM(B2555)=TRIM(Enginuity!$A$17),
    Q2555&lt;&gt;"",
    Q2555&lt;&gt;0,
    OR(
      TRIM(C2555)=TRIM(Enginuity!$A$18),
      AND(UPPER(TRIM(M2555))="STD", TRIM(B2555)=TRIM(Enginuity!$A$17))
    ),
    OR(
      AND(LEFT(P2555,5)="1-Way", Enginuity!$B$13=1),
      AND(LEFT(P2555,5)="2-Way", OR(Enginuity!$B$13=2, Enginuity!$B$13=4)),
      AND(LEFT(P2555,5)="3-Way", OR(Enginuity!$B$13=3, Enginuity!$B$13=6)),
      AND(P2555="Inner Centre Jamb", OR(Enginuity!$B$13=4, Enginuity!$B$13=6)),
      AND(
        LEFT(P2555,5)&lt;&gt;"1-Way",
        LEFT(P2555,5)&lt;&gt;"2-Way",
        LEFT(P2555,5)&lt;&gt;"3-Way",
        P2555&lt;&gt;"Inner Centre Jamb"
      )
    ),
    IF(OR(Enginuity!$A$1="Frameless Glass",Enginuity!$A$1="Metal Work"),
      AND(TRIM(B2555)=TRIM(Enginuity!$A$17),TRIM(C2555)=TRIM(Enginuity!$A$18)),
      TRIM(B2555)=TRIM(Enginuity!$A$17)
    )
  ),
  ROW(),
  ""
)</f>
        <v/>
      </c>
    </row>
    <row r="2556" spans="21:21" x14ac:dyDescent="0.25">
      <c r="U2556" s="104" t="str">
        <f>IF(
  AND(
    TRIM(A2556)=TRIM(Enginuity!$A$1),
    TRIM(B2556)=TRIM(Enginuity!$A$17),
    Q2556&lt;&gt;"",
    Q2556&lt;&gt;0,
    OR(
      TRIM(C2556)=TRIM(Enginuity!$A$18),
      AND(UPPER(TRIM(M2556))="STD", TRIM(B2556)=TRIM(Enginuity!$A$17))
    ),
    OR(
      AND(LEFT(P2556,5)="1-Way", Enginuity!$B$13=1),
      AND(LEFT(P2556,5)="2-Way", OR(Enginuity!$B$13=2, Enginuity!$B$13=4)),
      AND(LEFT(P2556,5)="3-Way", OR(Enginuity!$B$13=3, Enginuity!$B$13=6)),
      AND(P2556="Inner Centre Jamb", OR(Enginuity!$B$13=4, Enginuity!$B$13=6)),
      AND(
        LEFT(P2556,5)&lt;&gt;"1-Way",
        LEFT(P2556,5)&lt;&gt;"2-Way",
        LEFT(P2556,5)&lt;&gt;"3-Way",
        P2556&lt;&gt;"Inner Centre Jamb"
      )
    ),
    IF(OR(Enginuity!$A$1="Frameless Glass",Enginuity!$A$1="Metal Work"),
      AND(TRIM(B2556)=TRIM(Enginuity!$A$17),TRIM(C2556)=TRIM(Enginuity!$A$18)),
      TRIM(B2556)=TRIM(Enginuity!$A$17)
    )
  ),
  ROW(),
  ""
)</f>
        <v/>
      </c>
    </row>
    <row r="2557" spans="21:21" x14ac:dyDescent="0.25">
      <c r="U2557" s="104" t="str">
        <f>IF(
  AND(
    TRIM(A2557)=TRIM(Enginuity!$A$1),
    TRIM(B2557)=TRIM(Enginuity!$A$17),
    Q2557&lt;&gt;"",
    Q2557&lt;&gt;0,
    OR(
      TRIM(C2557)=TRIM(Enginuity!$A$18),
      AND(UPPER(TRIM(M2557))="STD", TRIM(B2557)=TRIM(Enginuity!$A$17))
    ),
    OR(
      AND(LEFT(P2557,5)="1-Way", Enginuity!$B$13=1),
      AND(LEFT(P2557,5)="2-Way", OR(Enginuity!$B$13=2, Enginuity!$B$13=4)),
      AND(LEFT(P2557,5)="3-Way", OR(Enginuity!$B$13=3, Enginuity!$B$13=6)),
      AND(P2557="Inner Centre Jamb", OR(Enginuity!$B$13=4, Enginuity!$B$13=6)),
      AND(
        LEFT(P2557,5)&lt;&gt;"1-Way",
        LEFT(P2557,5)&lt;&gt;"2-Way",
        LEFT(P2557,5)&lt;&gt;"3-Way",
        P2557&lt;&gt;"Inner Centre Jamb"
      )
    ),
    IF(OR(Enginuity!$A$1="Frameless Glass",Enginuity!$A$1="Metal Work"),
      AND(TRIM(B2557)=TRIM(Enginuity!$A$17),TRIM(C2557)=TRIM(Enginuity!$A$18)),
      TRIM(B2557)=TRIM(Enginuity!$A$17)
    )
  ),
  ROW(),
  ""
)</f>
        <v/>
      </c>
    </row>
    <row r="2558" spans="21:21" x14ac:dyDescent="0.25">
      <c r="U2558" s="104" t="str">
        <f>IF(
  AND(
    TRIM(A2558)=TRIM(Enginuity!$A$1),
    TRIM(B2558)=TRIM(Enginuity!$A$17),
    Q2558&lt;&gt;"",
    Q2558&lt;&gt;0,
    OR(
      TRIM(C2558)=TRIM(Enginuity!$A$18),
      AND(UPPER(TRIM(M2558))="STD", TRIM(B2558)=TRIM(Enginuity!$A$17))
    ),
    OR(
      AND(LEFT(P2558,5)="1-Way", Enginuity!$B$13=1),
      AND(LEFT(P2558,5)="2-Way", OR(Enginuity!$B$13=2, Enginuity!$B$13=4)),
      AND(LEFT(P2558,5)="3-Way", OR(Enginuity!$B$13=3, Enginuity!$B$13=6)),
      AND(P2558="Inner Centre Jamb", OR(Enginuity!$B$13=4, Enginuity!$B$13=6)),
      AND(
        LEFT(P2558,5)&lt;&gt;"1-Way",
        LEFT(P2558,5)&lt;&gt;"2-Way",
        LEFT(P2558,5)&lt;&gt;"3-Way",
        P2558&lt;&gt;"Inner Centre Jamb"
      )
    ),
    IF(OR(Enginuity!$A$1="Frameless Glass",Enginuity!$A$1="Metal Work"),
      AND(TRIM(B2558)=TRIM(Enginuity!$A$17),TRIM(C2558)=TRIM(Enginuity!$A$18)),
      TRIM(B2558)=TRIM(Enginuity!$A$17)
    )
  ),
  ROW(),
  ""
)</f>
        <v/>
      </c>
    </row>
    <row r="2559" spans="21:21" x14ac:dyDescent="0.25">
      <c r="U2559" s="104" t="str">
        <f>IF(
  AND(
    TRIM(A2559)=TRIM(Enginuity!$A$1),
    TRIM(B2559)=TRIM(Enginuity!$A$17),
    Q2559&lt;&gt;"",
    Q2559&lt;&gt;0,
    OR(
      TRIM(C2559)=TRIM(Enginuity!$A$18),
      AND(UPPER(TRIM(M2559))="STD", TRIM(B2559)=TRIM(Enginuity!$A$17))
    ),
    OR(
      AND(LEFT(P2559,5)="1-Way", Enginuity!$B$13=1),
      AND(LEFT(P2559,5)="2-Way", OR(Enginuity!$B$13=2, Enginuity!$B$13=4)),
      AND(LEFT(P2559,5)="3-Way", OR(Enginuity!$B$13=3, Enginuity!$B$13=6)),
      AND(P2559="Inner Centre Jamb", OR(Enginuity!$B$13=4, Enginuity!$B$13=6)),
      AND(
        LEFT(P2559,5)&lt;&gt;"1-Way",
        LEFT(P2559,5)&lt;&gt;"2-Way",
        LEFT(P2559,5)&lt;&gt;"3-Way",
        P2559&lt;&gt;"Inner Centre Jamb"
      )
    ),
    IF(OR(Enginuity!$A$1="Frameless Glass",Enginuity!$A$1="Metal Work"),
      AND(TRIM(B2559)=TRIM(Enginuity!$A$17),TRIM(C2559)=TRIM(Enginuity!$A$18)),
      TRIM(B2559)=TRIM(Enginuity!$A$17)
    )
  ),
  ROW(),
  ""
)</f>
        <v/>
      </c>
    </row>
    <row r="2560" spans="21:21" x14ac:dyDescent="0.25">
      <c r="U2560" s="104" t="str">
        <f>IF(
  AND(
    TRIM(A2560)=TRIM(Enginuity!$A$1),
    TRIM(B2560)=TRIM(Enginuity!$A$17),
    Q2560&lt;&gt;"",
    Q2560&lt;&gt;0,
    OR(
      TRIM(C2560)=TRIM(Enginuity!$A$18),
      AND(UPPER(TRIM(M2560))="STD", TRIM(B2560)=TRIM(Enginuity!$A$17))
    ),
    OR(
      AND(LEFT(P2560,5)="1-Way", Enginuity!$B$13=1),
      AND(LEFT(P2560,5)="2-Way", OR(Enginuity!$B$13=2, Enginuity!$B$13=4)),
      AND(LEFT(P2560,5)="3-Way", OR(Enginuity!$B$13=3, Enginuity!$B$13=6)),
      AND(P2560="Inner Centre Jamb", OR(Enginuity!$B$13=4, Enginuity!$B$13=6)),
      AND(
        LEFT(P2560,5)&lt;&gt;"1-Way",
        LEFT(P2560,5)&lt;&gt;"2-Way",
        LEFT(P2560,5)&lt;&gt;"3-Way",
        P2560&lt;&gt;"Inner Centre Jamb"
      )
    ),
    IF(OR(Enginuity!$A$1="Frameless Glass",Enginuity!$A$1="Metal Work"),
      AND(TRIM(B2560)=TRIM(Enginuity!$A$17),TRIM(C2560)=TRIM(Enginuity!$A$18)),
      TRIM(B2560)=TRIM(Enginuity!$A$17)
    )
  ),
  ROW(),
  ""
)</f>
        <v/>
      </c>
    </row>
    <row r="2561" spans="21:21" x14ac:dyDescent="0.25">
      <c r="U2561" s="104" t="str">
        <f>IF(
  AND(
    TRIM(A2561)=TRIM(Enginuity!$A$1),
    TRIM(B2561)=TRIM(Enginuity!$A$17),
    Q2561&lt;&gt;"",
    Q2561&lt;&gt;0,
    OR(
      TRIM(C2561)=TRIM(Enginuity!$A$18),
      AND(UPPER(TRIM(M2561))="STD", TRIM(B2561)=TRIM(Enginuity!$A$17))
    ),
    OR(
      AND(LEFT(P2561,5)="1-Way", Enginuity!$B$13=1),
      AND(LEFT(P2561,5)="2-Way", OR(Enginuity!$B$13=2, Enginuity!$B$13=4)),
      AND(LEFT(P2561,5)="3-Way", OR(Enginuity!$B$13=3, Enginuity!$B$13=6)),
      AND(P2561="Inner Centre Jamb", OR(Enginuity!$B$13=4, Enginuity!$B$13=6)),
      AND(
        LEFT(P2561,5)&lt;&gt;"1-Way",
        LEFT(P2561,5)&lt;&gt;"2-Way",
        LEFT(P2561,5)&lt;&gt;"3-Way",
        P2561&lt;&gt;"Inner Centre Jamb"
      )
    ),
    IF(OR(Enginuity!$A$1="Frameless Glass",Enginuity!$A$1="Metal Work"),
      AND(TRIM(B2561)=TRIM(Enginuity!$A$17),TRIM(C2561)=TRIM(Enginuity!$A$18)),
      TRIM(B2561)=TRIM(Enginuity!$A$17)
    )
  ),
  ROW(),
  ""
)</f>
        <v/>
      </c>
    </row>
    <row r="2562" spans="21:21" x14ac:dyDescent="0.25">
      <c r="U2562" s="104" t="str">
        <f>IF(
  AND(
    TRIM(A2562)=TRIM(Enginuity!$A$1),
    TRIM(B2562)=TRIM(Enginuity!$A$17),
    Q2562&lt;&gt;"",
    Q2562&lt;&gt;0,
    OR(
      TRIM(C2562)=TRIM(Enginuity!$A$18),
      AND(UPPER(TRIM(M2562))="STD", TRIM(B2562)=TRIM(Enginuity!$A$17))
    ),
    OR(
      AND(LEFT(P2562,5)="1-Way", Enginuity!$B$13=1),
      AND(LEFT(P2562,5)="2-Way", OR(Enginuity!$B$13=2, Enginuity!$B$13=4)),
      AND(LEFT(P2562,5)="3-Way", OR(Enginuity!$B$13=3, Enginuity!$B$13=6)),
      AND(P2562="Inner Centre Jamb", OR(Enginuity!$B$13=4, Enginuity!$B$13=6)),
      AND(
        LEFT(P2562,5)&lt;&gt;"1-Way",
        LEFT(P2562,5)&lt;&gt;"2-Way",
        LEFT(P2562,5)&lt;&gt;"3-Way",
        P2562&lt;&gt;"Inner Centre Jamb"
      )
    ),
    IF(OR(Enginuity!$A$1="Frameless Glass",Enginuity!$A$1="Metal Work"),
      AND(TRIM(B2562)=TRIM(Enginuity!$A$17),TRIM(C2562)=TRIM(Enginuity!$A$18)),
      TRIM(B2562)=TRIM(Enginuity!$A$17)
    )
  ),
  ROW(),
  ""
)</f>
        <v/>
      </c>
    </row>
    <row r="2563" spans="21:21" x14ac:dyDescent="0.25">
      <c r="U2563" s="104" t="str">
        <f>IF(
  AND(
    TRIM(A2563)=TRIM(Enginuity!$A$1),
    TRIM(B2563)=TRIM(Enginuity!$A$17),
    Q2563&lt;&gt;"",
    Q2563&lt;&gt;0,
    OR(
      TRIM(C2563)=TRIM(Enginuity!$A$18),
      AND(UPPER(TRIM(M2563))="STD", TRIM(B2563)=TRIM(Enginuity!$A$17))
    ),
    OR(
      AND(LEFT(P2563,5)="1-Way", Enginuity!$B$13=1),
      AND(LEFT(P2563,5)="2-Way", OR(Enginuity!$B$13=2, Enginuity!$B$13=4)),
      AND(LEFT(P2563,5)="3-Way", OR(Enginuity!$B$13=3, Enginuity!$B$13=6)),
      AND(P2563="Inner Centre Jamb", OR(Enginuity!$B$13=4, Enginuity!$B$13=6)),
      AND(
        LEFT(P2563,5)&lt;&gt;"1-Way",
        LEFT(P2563,5)&lt;&gt;"2-Way",
        LEFT(P2563,5)&lt;&gt;"3-Way",
        P2563&lt;&gt;"Inner Centre Jamb"
      )
    ),
    IF(OR(Enginuity!$A$1="Frameless Glass",Enginuity!$A$1="Metal Work"),
      AND(TRIM(B2563)=TRIM(Enginuity!$A$17),TRIM(C2563)=TRIM(Enginuity!$A$18)),
      TRIM(B2563)=TRIM(Enginuity!$A$17)
    )
  ),
  ROW(),
  ""
)</f>
        <v/>
      </c>
    </row>
    <row r="2564" spans="21:21" x14ac:dyDescent="0.25">
      <c r="U2564" s="104" t="str">
        <f>IF(
  AND(
    TRIM(A2564)=TRIM(Enginuity!$A$1),
    TRIM(B2564)=TRIM(Enginuity!$A$17),
    Q2564&lt;&gt;"",
    Q2564&lt;&gt;0,
    OR(
      TRIM(C2564)=TRIM(Enginuity!$A$18),
      AND(UPPER(TRIM(M2564))="STD", TRIM(B2564)=TRIM(Enginuity!$A$17))
    ),
    OR(
      AND(LEFT(P2564,5)="1-Way", Enginuity!$B$13=1),
      AND(LEFT(P2564,5)="2-Way", OR(Enginuity!$B$13=2, Enginuity!$B$13=4)),
      AND(LEFT(P2564,5)="3-Way", OR(Enginuity!$B$13=3, Enginuity!$B$13=6)),
      AND(P2564="Inner Centre Jamb", OR(Enginuity!$B$13=4, Enginuity!$B$13=6)),
      AND(
        LEFT(P2564,5)&lt;&gt;"1-Way",
        LEFT(P2564,5)&lt;&gt;"2-Way",
        LEFT(P2564,5)&lt;&gt;"3-Way",
        P2564&lt;&gt;"Inner Centre Jamb"
      )
    ),
    IF(OR(Enginuity!$A$1="Frameless Glass",Enginuity!$A$1="Metal Work"),
      AND(TRIM(B2564)=TRIM(Enginuity!$A$17),TRIM(C2564)=TRIM(Enginuity!$A$18)),
      TRIM(B2564)=TRIM(Enginuity!$A$17)
    )
  ),
  ROW(),
  ""
)</f>
        <v/>
      </c>
    </row>
    <row r="2565" spans="21:21" x14ac:dyDescent="0.25">
      <c r="U2565" s="104" t="str">
        <f>IF(
  AND(
    TRIM(A2565)=TRIM(Enginuity!$A$1),
    TRIM(B2565)=TRIM(Enginuity!$A$17),
    Q2565&lt;&gt;"",
    Q2565&lt;&gt;0,
    OR(
      TRIM(C2565)=TRIM(Enginuity!$A$18),
      AND(UPPER(TRIM(M2565))="STD", TRIM(B2565)=TRIM(Enginuity!$A$17))
    ),
    OR(
      AND(LEFT(P2565,5)="1-Way", Enginuity!$B$13=1),
      AND(LEFT(P2565,5)="2-Way", OR(Enginuity!$B$13=2, Enginuity!$B$13=4)),
      AND(LEFT(P2565,5)="3-Way", OR(Enginuity!$B$13=3, Enginuity!$B$13=6)),
      AND(P2565="Inner Centre Jamb", OR(Enginuity!$B$13=4, Enginuity!$B$13=6)),
      AND(
        LEFT(P2565,5)&lt;&gt;"1-Way",
        LEFT(P2565,5)&lt;&gt;"2-Way",
        LEFT(P2565,5)&lt;&gt;"3-Way",
        P2565&lt;&gt;"Inner Centre Jamb"
      )
    ),
    IF(OR(Enginuity!$A$1="Frameless Glass",Enginuity!$A$1="Metal Work"),
      AND(TRIM(B2565)=TRIM(Enginuity!$A$17),TRIM(C2565)=TRIM(Enginuity!$A$18)),
      TRIM(B2565)=TRIM(Enginuity!$A$17)
    )
  ),
  ROW(),
  ""
)</f>
        <v/>
      </c>
    </row>
    <row r="2566" spans="21:21" x14ac:dyDescent="0.25">
      <c r="U2566" s="104" t="str">
        <f>IF(
  AND(
    TRIM(A2566)=TRIM(Enginuity!$A$1),
    TRIM(B2566)=TRIM(Enginuity!$A$17),
    Q2566&lt;&gt;"",
    Q2566&lt;&gt;0,
    OR(
      TRIM(C2566)=TRIM(Enginuity!$A$18),
      AND(UPPER(TRIM(M2566))="STD", TRIM(B2566)=TRIM(Enginuity!$A$17))
    ),
    OR(
      AND(LEFT(P2566,5)="1-Way", Enginuity!$B$13=1),
      AND(LEFT(P2566,5)="2-Way", OR(Enginuity!$B$13=2, Enginuity!$B$13=4)),
      AND(LEFT(P2566,5)="3-Way", OR(Enginuity!$B$13=3, Enginuity!$B$13=6)),
      AND(P2566="Inner Centre Jamb", OR(Enginuity!$B$13=4, Enginuity!$B$13=6)),
      AND(
        LEFT(P2566,5)&lt;&gt;"1-Way",
        LEFT(P2566,5)&lt;&gt;"2-Way",
        LEFT(P2566,5)&lt;&gt;"3-Way",
        P2566&lt;&gt;"Inner Centre Jamb"
      )
    ),
    IF(OR(Enginuity!$A$1="Frameless Glass",Enginuity!$A$1="Metal Work"),
      AND(TRIM(B2566)=TRIM(Enginuity!$A$17),TRIM(C2566)=TRIM(Enginuity!$A$18)),
      TRIM(B2566)=TRIM(Enginuity!$A$17)
    )
  ),
  ROW(),
  ""
)</f>
        <v/>
      </c>
    </row>
    <row r="2567" spans="21:21" x14ac:dyDescent="0.25">
      <c r="U2567" s="104" t="str">
        <f>IF(
  AND(
    TRIM(A2567)=TRIM(Enginuity!$A$1),
    TRIM(B2567)=TRIM(Enginuity!$A$17),
    Q2567&lt;&gt;"",
    Q2567&lt;&gt;0,
    OR(
      TRIM(C2567)=TRIM(Enginuity!$A$18),
      AND(UPPER(TRIM(M2567))="STD", TRIM(B2567)=TRIM(Enginuity!$A$17))
    ),
    OR(
      AND(LEFT(P2567,5)="1-Way", Enginuity!$B$13=1),
      AND(LEFT(P2567,5)="2-Way", OR(Enginuity!$B$13=2, Enginuity!$B$13=4)),
      AND(LEFT(P2567,5)="3-Way", OR(Enginuity!$B$13=3, Enginuity!$B$13=6)),
      AND(P2567="Inner Centre Jamb", OR(Enginuity!$B$13=4, Enginuity!$B$13=6)),
      AND(
        LEFT(P2567,5)&lt;&gt;"1-Way",
        LEFT(P2567,5)&lt;&gt;"2-Way",
        LEFT(P2567,5)&lt;&gt;"3-Way",
        P2567&lt;&gt;"Inner Centre Jamb"
      )
    ),
    IF(OR(Enginuity!$A$1="Frameless Glass",Enginuity!$A$1="Metal Work"),
      AND(TRIM(B2567)=TRIM(Enginuity!$A$17),TRIM(C2567)=TRIM(Enginuity!$A$18)),
      TRIM(B2567)=TRIM(Enginuity!$A$17)
    )
  ),
  ROW(),
  ""
)</f>
        <v/>
      </c>
    </row>
    <row r="2568" spans="21:21" x14ac:dyDescent="0.25">
      <c r="U2568" s="104" t="str">
        <f>IF(
  AND(
    TRIM(A2568)=TRIM(Enginuity!$A$1),
    TRIM(B2568)=TRIM(Enginuity!$A$17),
    Q2568&lt;&gt;"",
    Q2568&lt;&gt;0,
    OR(
      TRIM(C2568)=TRIM(Enginuity!$A$18),
      AND(UPPER(TRIM(M2568))="STD", TRIM(B2568)=TRIM(Enginuity!$A$17))
    ),
    OR(
      AND(LEFT(P2568,5)="1-Way", Enginuity!$B$13=1),
      AND(LEFT(P2568,5)="2-Way", OR(Enginuity!$B$13=2, Enginuity!$B$13=4)),
      AND(LEFT(P2568,5)="3-Way", OR(Enginuity!$B$13=3, Enginuity!$B$13=6)),
      AND(P2568="Inner Centre Jamb", OR(Enginuity!$B$13=4, Enginuity!$B$13=6)),
      AND(
        LEFT(P2568,5)&lt;&gt;"1-Way",
        LEFT(P2568,5)&lt;&gt;"2-Way",
        LEFT(P2568,5)&lt;&gt;"3-Way",
        P2568&lt;&gt;"Inner Centre Jamb"
      )
    ),
    IF(OR(Enginuity!$A$1="Frameless Glass",Enginuity!$A$1="Metal Work"),
      AND(TRIM(B2568)=TRIM(Enginuity!$A$17),TRIM(C2568)=TRIM(Enginuity!$A$18)),
      TRIM(B2568)=TRIM(Enginuity!$A$17)
    )
  ),
  ROW(),
  ""
)</f>
        <v/>
      </c>
    </row>
    <row r="2569" spans="21:21" x14ac:dyDescent="0.25">
      <c r="U2569" s="104" t="str">
        <f>IF(
  AND(
    TRIM(A2569)=TRIM(Enginuity!$A$1),
    TRIM(B2569)=TRIM(Enginuity!$A$17),
    Q2569&lt;&gt;"",
    Q2569&lt;&gt;0,
    OR(
      TRIM(C2569)=TRIM(Enginuity!$A$18),
      AND(UPPER(TRIM(M2569))="STD", TRIM(B2569)=TRIM(Enginuity!$A$17))
    ),
    OR(
      AND(LEFT(P2569,5)="1-Way", Enginuity!$B$13=1),
      AND(LEFT(P2569,5)="2-Way", OR(Enginuity!$B$13=2, Enginuity!$B$13=4)),
      AND(LEFT(P2569,5)="3-Way", OR(Enginuity!$B$13=3, Enginuity!$B$13=6)),
      AND(P2569="Inner Centre Jamb", OR(Enginuity!$B$13=4, Enginuity!$B$13=6)),
      AND(
        LEFT(P2569,5)&lt;&gt;"1-Way",
        LEFT(P2569,5)&lt;&gt;"2-Way",
        LEFT(P2569,5)&lt;&gt;"3-Way",
        P2569&lt;&gt;"Inner Centre Jamb"
      )
    ),
    IF(OR(Enginuity!$A$1="Frameless Glass",Enginuity!$A$1="Metal Work"),
      AND(TRIM(B2569)=TRIM(Enginuity!$A$17),TRIM(C2569)=TRIM(Enginuity!$A$18)),
      TRIM(B2569)=TRIM(Enginuity!$A$17)
    )
  ),
  ROW(),
  ""
)</f>
        <v/>
      </c>
    </row>
    <row r="2570" spans="21:21" x14ac:dyDescent="0.25">
      <c r="U2570" s="104" t="str">
        <f>IF(
  AND(
    TRIM(A2570)=TRIM(Enginuity!$A$1),
    TRIM(B2570)=TRIM(Enginuity!$A$17),
    Q2570&lt;&gt;"",
    Q2570&lt;&gt;0,
    OR(
      TRIM(C2570)=TRIM(Enginuity!$A$18),
      AND(UPPER(TRIM(M2570))="STD", TRIM(B2570)=TRIM(Enginuity!$A$17))
    ),
    OR(
      AND(LEFT(P2570,5)="1-Way", Enginuity!$B$13=1),
      AND(LEFT(P2570,5)="2-Way", OR(Enginuity!$B$13=2, Enginuity!$B$13=4)),
      AND(LEFT(P2570,5)="3-Way", OR(Enginuity!$B$13=3, Enginuity!$B$13=6)),
      AND(P2570="Inner Centre Jamb", OR(Enginuity!$B$13=4, Enginuity!$B$13=6)),
      AND(
        LEFT(P2570,5)&lt;&gt;"1-Way",
        LEFT(P2570,5)&lt;&gt;"2-Way",
        LEFT(P2570,5)&lt;&gt;"3-Way",
        P2570&lt;&gt;"Inner Centre Jamb"
      )
    ),
    IF(OR(Enginuity!$A$1="Frameless Glass",Enginuity!$A$1="Metal Work"),
      AND(TRIM(B2570)=TRIM(Enginuity!$A$17),TRIM(C2570)=TRIM(Enginuity!$A$18)),
      TRIM(B2570)=TRIM(Enginuity!$A$17)
    )
  ),
  ROW(),
  ""
)</f>
        <v/>
      </c>
    </row>
    <row r="2571" spans="21:21" x14ac:dyDescent="0.25">
      <c r="U2571" s="104" t="str">
        <f>IF(
  AND(
    TRIM(A2571)=TRIM(Enginuity!$A$1),
    TRIM(B2571)=TRIM(Enginuity!$A$17),
    Q2571&lt;&gt;"",
    Q2571&lt;&gt;0,
    OR(
      TRIM(C2571)=TRIM(Enginuity!$A$18),
      AND(UPPER(TRIM(M2571))="STD", TRIM(B2571)=TRIM(Enginuity!$A$17))
    ),
    OR(
      AND(LEFT(P2571,5)="1-Way", Enginuity!$B$13=1),
      AND(LEFT(P2571,5)="2-Way", OR(Enginuity!$B$13=2, Enginuity!$B$13=4)),
      AND(LEFT(P2571,5)="3-Way", OR(Enginuity!$B$13=3, Enginuity!$B$13=6)),
      AND(P2571="Inner Centre Jamb", OR(Enginuity!$B$13=4, Enginuity!$B$13=6)),
      AND(
        LEFT(P2571,5)&lt;&gt;"1-Way",
        LEFT(P2571,5)&lt;&gt;"2-Way",
        LEFT(P2571,5)&lt;&gt;"3-Way",
        P2571&lt;&gt;"Inner Centre Jamb"
      )
    ),
    IF(OR(Enginuity!$A$1="Frameless Glass",Enginuity!$A$1="Metal Work"),
      AND(TRIM(B2571)=TRIM(Enginuity!$A$17),TRIM(C2571)=TRIM(Enginuity!$A$18)),
      TRIM(B2571)=TRIM(Enginuity!$A$17)
    )
  ),
  ROW(),
  ""
)</f>
        <v/>
      </c>
    </row>
    <row r="2572" spans="21:21" x14ac:dyDescent="0.25">
      <c r="U2572" s="104" t="str">
        <f>IF(
  AND(
    TRIM(A2572)=TRIM(Enginuity!$A$1),
    TRIM(B2572)=TRIM(Enginuity!$A$17),
    Q2572&lt;&gt;"",
    Q2572&lt;&gt;0,
    OR(
      TRIM(C2572)=TRIM(Enginuity!$A$18),
      AND(UPPER(TRIM(M2572))="STD", TRIM(B2572)=TRIM(Enginuity!$A$17))
    ),
    OR(
      AND(LEFT(P2572,5)="1-Way", Enginuity!$B$13=1),
      AND(LEFT(P2572,5)="2-Way", OR(Enginuity!$B$13=2, Enginuity!$B$13=4)),
      AND(LEFT(P2572,5)="3-Way", OR(Enginuity!$B$13=3, Enginuity!$B$13=6)),
      AND(P2572="Inner Centre Jamb", OR(Enginuity!$B$13=4, Enginuity!$B$13=6)),
      AND(
        LEFT(P2572,5)&lt;&gt;"1-Way",
        LEFT(P2572,5)&lt;&gt;"2-Way",
        LEFT(P2572,5)&lt;&gt;"3-Way",
        P2572&lt;&gt;"Inner Centre Jamb"
      )
    ),
    IF(OR(Enginuity!$A$1="Frameless Glass",Enginuity!$A$1="Metal Work"),
      AND(TRIM(B2572)=TRIM(Enginuity!$A$17),TRIM(C2572)=TRIM(Enginuity!$A$18)),
      TRIM(B2572)=TRIM(Enginuity!$A$17)
    )
  ),
  ROW(),
  ""
)</f>
        <v/>
      </c>
    </row>
    <row r="2573" spans="21:21" x14ac:dyDescent="0.25">
      <c r="U2573" s="104" t="str">
        <f>IF(
  AND(
    TRIM(A2573)=TRIM(Enginuity!$A$1),
    TRIM(B2573)=TRIM(Enginuity!$A$17),
    Q2573&lt;&gt;"",
    Q2573&lt;&gt;0,
    OR(
      TRIM(C2573)=TRIM(Enginuity!$A$18),
      AND(UPPER(TRIM(M2573))="STD", TRIM(B2573)=TRIM(Enginuity!$A$17))
    ),
    OR(
      AND(LEFT(P2573,5)="1-Way", Enginuity!$B$13=1),
      AND(LEFT(P2573,5)="2-Way", OR(Enginuity!$B$13=2, Enginuity!$B$13=4)),
      AND(LEFT(P2573,5)="3-Way", OR(Enginuity!$B$13=3, Enginuity!$B$13=6)),
      AND(P2573="Inner Centre Jamb", OR(Enginuity!$B$13=4, Enginuity!$B$13=6)),
      AND(
        LEFT(P2573,5)&lt;&gt;"1-Way",
        LEFT(P2573,5)&lt;&gt;"2-Way",
        LEFT(P2573,5)&lt;&gt;"3-Way",
        P2573&lt;&gt;"Inner Centre Jamb"
      )
    ),
    IF(OR(Enginuity!$A$1="Frameless Glass",Enginuity!$A$1="Metal Work"),
      AND(TRIM(B2573)=TRIM(Enginuity!$A$17),TRIM(C2573)=TRIM(Enginuity!$A$18)),
      TRIM(B2573)=TRIM(Enginuity!$A$17)
    )
  ),
  ROW(),
  ""
)</f>
        <v/>
      </c>
    </row>
    <row r="2574" spans="21:21" x14ac:dyDescent="0.25">
      <c r="U2574" s="104" t="str">
        <f>IF(
  AND(
    TRIM(A2574)=TRIM(Enginuity!$A$1),
    TRIM(B2574)=TRIM(Enginuity!$A$17),
    Q2574&lt;&gt;"",
    Q2574&lt;&gt;0,
    OR(
      TRIM(C2574)=TRIM(Enginuity!$A$18),
      AND(UPPER(TRIM(M2574))="STD", TRIM(B2574)=TRIM(Enginuity!$A$17))
    ),
    OR(
      AND(LEFT(P2574,5)="1-Way", Enginuity!$B$13=1),
      AND(LEFT(P2574,5)="2-Way", OR(Enginuity!$B$13=2, Enginuity!$B$13=4)),
      AND(LEFT(P2574,5)="3-Way", OR(Enginuity!$B$13=3, Enginuity!$B$13=6)),
      AND(P2574="Inner Centre Jamb", OR(Enginuity!$B$13=4, Enginuity!$B$13=6)),
      AND(
        LEFT(P2574,5)&lt;&gt;"1-Way",
        LEFT(P2574,5)&lt;&gt;"2-Way",
        LEFT(P2574,5)&lt;&gt;"3-Way",
        P2574&lt;&gt;"Inner Centre Jamb"
      )
    ),
    IF(OR(Enginuity!$A$1="Frameless Glass",Enginuity!$A$1="Metal Work"),
      AND(TRIM(B2574)=TRIM(Enginuity!$A$17),TRIM(C2574)=TRIM(Enginuity!$A$18)),
      TRIM(B2574)=TRIM(Enginuity!$A$17)
    )
  ),
  ROW(),
  ""
)</f>
        <v/>
      </c>
    </row>
    <row r="2575" spans="21:21" x14ac:dyDescent="0.25">
      <c r="U2575" s="104" t="str">
        <f>IF(
  AND(
    TRIM(A2575)=TRIM(Enginuity!$A$1),
    TRIM(B2575)=TRIM(Enginuity!$A$17),
    Q2575&lt;&gt;"",
    Q2575&lt;&gt;0,
    OR(
      TRIM(C2575)=TRIM(Enginuity!$A$18),
      AND(UPPER(TRIM(M2575))="STD", TRIM(B2575)=TRIM(Enginuity!$A$17))
    ),
    OR(
      AND(LEFT(P2575,5)="1-Way", Enginuity!$B$13=1),
      AND(LEFT(P2575,5)="2-Way", OR(Enginuity!$B$13=2, Enginuity!$B$13=4)),
      AND(LEFT(P2575,5)="3-Way", OR(Enginuity!$B$13=3, Enginuity!$B$13=6)),
      AND(P2575="Inner Centre Jamb", OR(Enginuity!$B$13=4, Enginuity!$B$13=6)),
      AND(
        LEFT(P2575,5)&lt;&gt;"1-Way",
        LEFT(P2575,5)&lt;&gt;"2-Way",
        LEFT(P2575,5)&lt;&gt;"3-Way",
        P2575&lt;&gt;"Inner Centre Jamb"
      )
    ),
    IF(OR(Enginuity!$A$1="Frameless Glass",Enginuity!$A$1="Metal Work"),
      AND(TRIM(B2575)=TRIM(Enginuity!$A$17),TRIM(C2575)=TRIM(Enginuity!$A$18)),
      TRIM(B2575)=TRIM(Enginuity!$A$17)
    )
  ),
  ROW(),
  ""
)</f>
        <v/>
      </c>
    </row>
    <row r="2576" spans="21:21" x14ac:dyDescent="0.25">
      <c r="U2576" s="104" t="str">
        <f>IF(
  AND(
    TRIM(A2576)=TRIM(Enginuity!$A$1),
    TRIM(B2576)=TRIM(Enginuity!$A$17),
    Q2576&lt;&gt;"",
    Q2576&lt;&gt;0,
    OR(
      TRIM(C2576)=TRIM(Enginuity!$A$18),
      AND(UPPER(TRIM(M2576))="STD", TRIM(B2576)=TRIM(Enginuity!$A$17))
    ),
    OR(
      AND(LEFT(P2576,5)="1-Way", Enginuity!$B$13=1),
      AND(LEFT(P2576,5)="2-Way", OR(Enginuity!$B$13=2, Enginuity!$B$13=4)),
      AND(LEFT(P2576,5)="3-Way", OR(Enginuity!$B$13=3, Enginuity!$B$13=6)),
      AND(P2576="Inner Centre Jamb", OR(Enginuity!$B$13=4, Enginuity!$B$13=6)),
      AND(
        LEFT(P2576,5)&lt;&gt;"1-Way",
        LEFT(P2576,5)&lt;&gt;"2-Way",
        LEFT(P2576,5)&lt;&gt;"3-Way",
        P2576&lt;&gt;"Inner Centre Jamb"
      )
    ),
    IF(OR(Enginuity!$A$1="Frameless Glass",Enginuity!$A$1="Metal Work"),
      AND(TRIM(B2576)=TRIM(Enginuity!$A$17),TRIM(C2576)=TRIM(Enginuity!$A$18)),
      TRIM(B2576)=TRIM(Enginuity!$A$17)
    )
  ),
  ROW(),
  ""
)</f>
        <v/>
      </c>
    </row>
    <row r="2577" spans="21:21" x14ac:dyDescent="0.25">
      <c r="U2577" s="104" t="str">
        <f>IF(
  AND(
    TRIM(A2577)=TRIM(Enginuity!$A$1),
    TRIM(B2577)=TRIM(Enginuity!$A$17),
    Q2577&lt;&gt;"",
    Q2577&lt;&gt;0,
    OR(
      TRIM(C2577)=TRIM(Enginuity!$A$18),
      AND(UPPER(TRIM(M2577))="STD", TRIM(B2577)=TRIM(Enginuity!$A$17))
    ),
    OR(
      AND(LEFT(P2577,5)="1-Way", Enginuity!$B$13=1),
      AND(LEFT(P2577,5)="2-Way", OR(Enginuity!$B$13=2, Enginuity!$B$13=4)),
      AND(LEFT(P2577,5)="3-Way", OR(Enginuity!$B$13=3, Enginuity!$B$13=6)),
      AND(P2577="Inner Centre Jamb", OR(Enginuity!$B$13=4, Enginuity!$B$13=6)),
      AND(
        LEFT(P2577,5)&lt;&gt;"1-Way",
        LEFT(P2577,5)&lt;&gt;"2-Way",
        LEFT(P2577,5)&lt;&gt;"3-Way",
        P2577&lt;&gt;"Inner Centre Jamb"
      )
    ),
    IF(OR(Enginuity!$A$1="Frameless Glass",Enginuity!$A$1="Metal Work"),
      AND(TRIM(B2577)=TRIM(Enginuity!$A$17),TRIM(C2577)=TRIM(Enginuity!$A$18)),
      TRIM(B2577)=TRIM(Enginuity!$A$17)
    )
  ),
  ROW(),
  ""
)</f>
        <v/>
      </c>
    </row>
    <row r="2578" spans="21:21" x14ac:dyDescent="0.25">
      <c r="U2578" s="104" t="str">
        <f>IF(
  AND(
    TRIM(A2578)=TRIM(Enginuity!$A$1),
    TRIM(B2578)=TRIM(Enginuity!$A$17),
    Q2578&lt;&gt;"",
    Q2578&lt;&gt;0,
    OR(
      TRIM(C2578)=TRIM(Enginuity!$A$18),
      AND(UPPER(TRIM(M2578))="STD", TRIM(B2578)=TRIM(Enginuity!$A$17))
    ),
    OR(
      AND(LEFT(P2578,5)="1-Way", Enginuity!$B$13=1),
      AND(LEFT(P2578,5)="2-Way", OR(Enginuity!$B$13=2, Enginuity!$B$13=4)),
      AND(LEFT(P2578,5)="3-Way", OR(Enginuity!$B$13=3, Enginuity!$B$13=6)),
      AND(P2578="Inner Centre Jamb", OR(Enginuity!$B$13=4, Enginuity!$B$13=6)),
      AND(
        LEFT(P2578,5)&lt;&gt;"1-Way",
        LEFT(P2578,5)&lt;&gt;"2-Way",
        LEFT(P2578,5)&lt;&gt;"3-Way",
        P2578&lt;&gt;"Inner Centre Jamb"
      )
    ),
    IF(OR(Enginuity!$A$1="Frameless Glass",Enginuity!$A$1="Metal Work"),
      AND(TRIM(B2578)=TRIM(Enginuity!$A$17),TRIM(C2578)=TRIM(Enginuity!$A$18)),
      TRIM(B2578)=TRIM(Enginuity!$A$17)
    )
  ),
  ROW(),
  ""
)</f>
        <v/>
      </c>
    </row>
    <row r="2579" spans="21:21" x14ac:dyDescent="0.25">
      <c r="U2579" s="104" t="str">
        <f>IF(
  AND(
    TRIM(A2579)=TRIM(Enginuity!$A$1),
    TRIM(B2579)=TRIM(Enginuity!$A$17),
    Q2579&lt;&gt;"",
    Q2579&lt;&gt;0,
    OR(
      TRIM(C2579)=TRIM(Enginuity!$A$18),
      AND(UPPER(TRIM(M2579))="STD", TRIM(B2579)=TRIM(Enginuity!$A$17))
    ),
    OR(
      AND(LEFT(P2579,5)="1-Way", Enginuity!$B$13=1),
      AND(LEFT(P2579,5)="2-Way", OR(Enginuity!$B$13=2, Enginuity!$B$13=4)),
      AND(LEFT(P2579,5)="3-Way", OR(Enginuity!$B$13=3, Enginuity!$B$13=6)),
      AND(P2579="Inner Centre Jamb", OR(Enginuity!$B$13=4, Enginuity!$B$13=6)),
      AND(
        LEFT(P2579,5)&lt;&gt;"1-Way",
        LEFT(P2579,5)&lt;&gt;"2-Way",
        LEFT(P2579,5)&lt;&gt;"3-Way",
        P2579&lt;&gt;"Inner Centre Jamb"
      )
    ),
    IF(OR(Enginuity!$A$1="Frameless Glass",Enginuity!$A$1="Metal Work"),
      AND(TRIM(B2579)=TRIM(Enginuity!$A$17),TRIM(C2579)=TRIM(Enginuity!$A$18)),
      TRIM(B2579)=TRIM(Enginuity!$A$17)
    )
  ),
  ROW(),
  ""
)</f>
        <v/>
      </c>
    </row>
    <row r="2580" spans="21:21" x14ac:dyDescent="0.25">
      <c r="U2580" s="104" t="str">
        <f>IF(
  AND(
    TRIM(A2580)=TRIM(Enginuity!$A$1),
    TRIM(B2580)=TRIM(Enginuity!$A$17),
    Q2580&lt;&gt;"",
    Q2580&lt;&gt;0,
    OR(
      TRIM(C2580)=TRIM(Enginuity!$A$18),
      AND(UPPER(TRIM(M2580))="STD", TRIM(B2580)=TRIM(Enginuity!$A$17))
    ),
    OR(
      AND(LEFT(P2580,5)="1-Way", Enginuity!$B$13=1),
      AND(LEFT(P2580,5)="2-Way", OR(Enginuity!$B$13=2, Enginuity!$B$13=4)),
      AND(LEFT(P2580,5)="3-Way", OR(Enginuity!$B$13=3, Enginuity!$B$13=6)),
      AND(P2580="Inner Centre Jamb", OR(Enginuity!$B$13=4, Enginuity!$B$13=6)),
      AND(
        LEFT(P2580,5)&lt;&gt;"1-Way",
        LEFT(P2580,5)&lt;&gt;"2-Way",
        LEFT(P2580,5)&lt;&gt;"3-Way",
        P2580&lt;&gt;"Inner Centre Jamb"
      )
    ),
    IF(OR(Enginuity!$A$1="Frameless Glass",Enginuity!$A$1="Metal Work"),
      AND(TRIM(B2580)=TRIM(Enginuity!$A$17),TRIM(C2580)=TRIM(Enginuity!$A$18)),
      TRIM(B2580)=TRIM(Enginuity!$A$17)
    )
  ),
  ROW(),
  ""
)</f>
        <v/>
      </c>
    </row>
    <row r="2581" spans="21:21" x14ac:dyDescent="0.25">
      <c r="U2581" s="104" t="str">
        <f>IF(
  AND(
    TRIM(A2581)=TRIM(Enginuity!$A$1),
    TRIM(B2581)=TRIM(Enginuity!$A$17),
    Q2581&lt;&gt;"",
    Q2581&lt;&gt;0,
    OR(
      TRIM(C2581)=TRIM(Enginuity!$A$18),
      AND(UPPER(TRIM(M2581))="STD", TRIM(B2581)=TRIM(Enginuity!$A$17))
    ),
    OR(
      AND(LEFT(P2581,5)="1-Way", Enginuity!$B$13=1),
      AND(LEFT(P2581,5)="2-Way", OR(Enginuity!$B$13=2, Enginuity!$B$13=4)),
      AND(LEFT(P2581,5)="3-Way", OR(Enginuity!$B$13=3, Enginuity!$B$13=6)),
      AND(P2581="Inner Centre Jamb", OR(Enginuity!$B$13=4, Enginuity!$B$13=6)),
      AND(
        LEFT(P2581,5)&lt;&gt;"1-Way",
        LEFT(P2581,5)&lt;&gt;"2-Way",
        LEFT(P2581,5)&lt;&gt;"3-Way",
        P2581&lt;&gt;"Inner Centre Jamb"
      )
    ),
    IF(OR(Enginuity!$A$1="Frameless Glass",Enginuity!$A$1="Metal Work"),
      AND(TRIM(B2581)=TRIM(Enginuity!$A$17),TRIM(C2581)=TRIM(Enginuity!$A$18)),
      TRIM(B2581)=TRIM(Enginuity!$A$17)
    )
  ),
  ROW(),
  ""
)</f>
        <v/>
      </c>
    </row>
    <row r="2582" spans="21:21" x14ac:dyDescent="0.25">
      <c r="U2582" s="104" t="str">
        <f>IF(
  AND(
    TRIM(A2582)=TRIM(Enginuity!$A$1),
    TRIM(B2582)=TRIM(Enginuity!$A$17),
    Q2582&lt;&gt;"",
    Q2582&lt;&gt;0,
    OR(
      TRIM(C2582)=TRIM(Enginuity!$A$18),
      AND(UPPER(TRIM(M2582))="STD", TRIM(B2582)=TRIM(Enginuity!$A$17))
    ),
    OR(
      AND(LEFT(P2582,5)="1-Way", Enginuity!$B$13=1),
      AND(LEFT(P2582,5)="2-Way", OR(Enginuity!$B$13=2, Enginuity!$B$13=4)),
      AND(LEFT(P2582,5)="3-Way", OR(Enginuity!$B$13=3, Enginuity!$B$13=6)),
      AND(P2582="Inner Centre Jamb", OR(Enginuity!$B$13=4, Enginuity!$B$13=6)),
      AND(
        LEFT(P2582,5)&lt;&gt;"1-Way",
        LEFT(P2582,5)&lt;&gt;"2-Way",
        LEFT(P2582,5)&lt;&gt;"3-Way",
        P2582&lt;&gt;"Inner Centre Jamb"
      )
    ),
    IF(OR(Enginuity!$A$1="Frameless Glass",Enginuity!$A$1="Metal Work"),
      AND(TRIM(B2582)=TRIM(Enginuity!$A$17),TRIM(C2582)=TRIM(Enginuity!$A$18)),
      TRIM(B2582)=TRIM(Enginuity!$A$17)
    )
  ),
  ROW(),
  ""
)</f>
        <v/>
      </c>
    </row>
    <row r="2583" spans="21:21" x14ac:dyDescent="0.25">
      <c r="U2583" s="104" t="str">
        <f>IF(
  AND(
    TRIM(A2583)=TRIM(Enginuity!$A$1),
    TRIM(B2583)=TRIM(Enginuity!$A$17),
    Q2583&lt;&gt;"",
    Q2583&lt;&gt;0,
    OR(
      TRIM(C2583)=TRIM(Enginuity!$A$18),
      AND(UPPER(TRIM(M2583))="STD", TRIM(B2583)=TRIM(Enginuity!$A$17))
    ),
    OR(
      AND(LEFT(P2583,5)="1-Way", Enginuity!$B$13=1),
      AND(LEFT(P2583,5)="2-Way", OR(Enginuity!$B$13=2, Enginuity!$B$13=4)),
      AND(LEFT(P2583,5)="3-Way", OR(Enginuity!$B$13=3, Enginuity!$B$13=6)),
      AND(P2583="Inner Centre Jamb", OR(Enginuity!$B$13=4, Enginuity!$B$13=6)),
      AND(
        LEFT(P2583,5)&lt;&gt;"1-Way",
        LEFT(P2583,5)&lt;&gt;"2-Way",
        LEFT(P2583,5)&lt;&gt;"3-Way",
        P2583&lt;&gt;"Inner Centre Jamb"
      )
    ),
    IF(OR(Enginuity!$A$1="Frameless Glass",Enginuity!$A$1="Metal Work"),
      AND(TRIM(B2583)=TRIM(Enginuity!$A$17),TRIM(C2583)=TRIM(Enginuity!$A$18)),
      TRIM(B2583)=TRIM(Enginuity!$A$17)
    )
  ),
  ROW(),
  ""
)</f>
        <v/>
      </c>
    </row>
    <row r="2584" spans="21:21" x14ac:dyDescent="0.25">
      <c r="U2584" s="104" t="str">
        <f>IF(
  AND(
    TRIM(A2584)=TRIM(Enginuity!$A$1),
    TRIM(B2584)=TRIM(Enginuity!$A$17),
    Q2584&lt;&gt;"",
    Q2584&lt;&gt;0,
    OR(
      TRIM(C2584)=TRIM(Enginuity!$A$18),
      AND(UPPER(TRIM(M2584))="STD", TRIM(B2584)=TRIM(Enginuity!$A$17))
    ),
    OR(
      AND(LEFT(P2584,5)="1-Way", Enginuity!$B$13=1),
      AND(LEFT(P2584,5)="2-Way", OR(Enginuity!$B$13=2, Enginuity!$B$13=4)),
      AND(LEFT(P2584,5)="3-Way", OR(Enginuity!$B$13=3, Enginuity!$B$13=6)),
      AND(P2584="Inner Centre Jamb", OR(Enginuity!$B$13=4, Enginuity!$B$13=6)),
      AND(
        LEFT(P2584,5)&lt;&gt;"1-Way",
        LEFT(P2584,5)&lt;&gt;"2-Way",
        LEFT(P2584,5)&lt;&gt;"3-Way",
        P2584&lt;&gt;"Inner Centre Jamb"
      )
    ),
    IF(OR(Enginuity!$A$1="Frameless Glass",Enginuity!$A$1="Metal Work"),
      AND(TRIM(B2584)=TRIM(Enginuity!$A$17),TRIM(C2584)=TRIM(Enginuity!$A$18)),
      TRIM(B2584)=TRIM(Enginuity!$A$17)
    )
  ),
  ROW(),
  ""
)</f>
        <v/>
      </c>
    </row>
    <row r="2585" spans="21:21" x14ac:dyDescent="0.25">
      <c r="U2585" s="104" t="str">
        <f>IF(
  AND(
    TRIM(A2585)=TRIM(Enginuity!$A$1),
    TRIM(B2585)=TRIM(Enginuity!$A$17),
    Q2585&lt;&gt;"",
    Q2585&lt;&gt;0,
    OR(
      TRIM(C2585)=TRIM(Enginuity!$A$18),
      AND(UPPER(TRIM(M2585))="STD", TRIM(B2585)=TRIM(Enginuity!$A$17))
    ),
    OR(
      AND(LEFT(P2585,5)="1-Way", Enginuity!$B$13=1),
      AND(LEFT(P2585,5)="2-Way", OR(Enginuity!$B$13=2, Enginuity!$B$13=4)),
      AND(LEFT(P2585,5)="3-Way", OR(Enginuity!$B$13=3, Enginuity!$B$13=6)),
      AND(P2585="Inner Centre Jamb", OR(Enginuity!$B$13=4, Enginuity!$B$13=6)),
      AND(
        LEFT(P2585,5)&lt;&gt;"1-Way",
        LEFT(P2585,5)&lt;&gt;"2-Way",
        LEFT(P2585,5)&lt;&gt;"3-Way",
        P2585&lt;&gt;"Inner Centre Jamb"
      )
    ),
    IF(OR(Enginuity!$A$1="Frameless Glass",Enginuity!$A$1="Metal Work"),
      AND(TRIM(B2585)=TRIM(Enginuity!$A$17),TRIM(C2585)=TRIM(Enginuity!$A$18)),
      TRIM(B2585)=TRIM(Enginuity!$A$17)
    )
  ),
  ROW(),
  ""
)</f>
        <v/>
      </c>
    </row>
    <row r="2586" spans="21:21" x14ac:dyDescent="0.25">
      <c r="U2586" s="104" t="str">
        <f>IF(
  AND(
    TRIM(A2586)=TRIM(Enginuity!$A$1),
    TRIM(B2586)=TRIM(Enginuity!$A$17),
    Q2586&lt;&gt;"",
    Q2586&lt;&gt;0,
    OR(
      TRIM(C2586)=TRIM(Enginuity!$A$18),
      AND(UPPER(TRIM(M2586))="STD", TRIM(B2586)=TRIM(Enginuity!$A$17))
    ),
    OR(
      AND(LEFT(P2586,5)="1-Way", Enginuity!$B$13=1),
      AND(LEFT(P2586,5)="2-Way", OR(Enginuity!$B$13=2, Enginuity!$B$13=4)),
      AND(LEFT(P2586,5)="3-Way", OR(Enginuity!$B$13=3, Enginuity!$B$13=6)),
      AND(P2586="Inner Centre Jamb", OR(Enginuity!$B$13=4, Enginuity!$B$13=6)),
      AND(
        LEFT(P2586,5)&lt;&gt;"1-Way",
        LEFT(P2586,5)&lt;&gt;"2-Way",
        LEFT(P2586,5)&lt;&gt;"3-Way",
        P2586&lt;&gt;"Inner Centre Jamb"
      )
    ),
    IF(OR(Enginuity!$A$1="Frameless Glass",Enginuity!$A$1="Metal Work"),
      AND(TRIM(B2586)=TRIM(Enginuity!$A$17),TRIM(C2586)=TRIM(Enginuity!$A$18)),
      TRIM(B2586)=TRIM(Enginuity!$A$17)
    )
  ),
  ROW(),
  ""
)</f>
        <v/>
      </c>
    </row>
    <row r="2587" spans="21:21" x14ac:dyDescent="0.25">
      <c r="U2587" s="104" t="str">
        <f>IF(
  AND(
    TRIM(A2587)=TRIM(Enginuity!$A$1),
    TRIM(B2587)=TRIM(Enginuity!$A$17),
    Q2587&lt;&gt;"",
    Q2587&lt;&gt;0,
    OR(
      TRIM(C2587)=TRIM(Enginuity!$A$18),
      AND(UPPER(TRIM(M2587))="STD", TRIM(B2587)=TRIM(Enginuity!$A$17))
    ),
    OR(
      AND(LEFT(P2587,5)="1-Way", Enginuity!$B$13=1),
      AND(LEFT(P2587,5)="2-Way", OR(Enginuity!$B$13=2, Enginuity!$B$13=4)),
      AND(LEFT(P2587,5)="3-Way", OR(Enginuity!$B$13=3, Enginuity!$B$13=6)),
      AND(P2587="Inner Centre Jamb", OR(Enginuity!$B$13=4, Enginuity!$B$13=6)),
      AND(
        LEFT(P2587,5)&lt;&gt;"1-Way",
        LEFT(P2587,5)&lt;&gt;"2-Way",
        LEFT(P2587,5)&lt;&gt;"3-Way",
        P2587&lt;&gt;"Inner Centre Jamb"
      )
    ),
    IF(OR(Enginuity!$A$1="Frameless Glass",Enginuity!$A$1="Metal Work"),
      AND(TRIM(B2587)=TRIM(Enginuity!$A$17),TRIM(C2587)=TRIM(Enginuity!$A$18)),
      TRIM(B2587)=TRIM(Enginuity!$A$17)
    )
  ),
  ROW(),
  ""
)</f>
        <v/>
      </c>
    </row>
    <row r="2588" spans="21:21" x14ac:dyDescent="0.25">
      <c r="U2588" s="104" t="str">
        <f>IF(
  AND(
    TRIM(A2588)=TRIM(Enginuity!$A$1),
    TRIM(B2588)=TRIM(Enginuity!$A$17),
    Q2588&lt;&gt;"",
    Q2588&lt;&gt;0,
    OR(
      TRIM(C2588)=TRIM(Enginuity!$A$18),
      AND(UPPER(TRIM(M2588))="STD", TRIM(B2588)=TRIM(Enginuity!$A$17))
    ),
    OR(
      AND(LEFT(P2588,5)="1-Way", Enginuity!$B$13=1),
      AND(LEFT(P2588,5)="2-Way", OR(Enginuity!$B$13=2, Enginuity!$B$13=4)),
      AND(LEFT(P2588,5)="3-Way", OR(Enginuity!$B$13=3, Enginuity!$B$13=6)),
      AND(P2588="Inner Centre Jamb", OR(Enginuity!$B$13=4, Enginuity!$B$13=6)),
      AND(
        LEFT(P2588,5)&lt;&gt;"1-Way",
        LEFT(P2588,5)&lt;&gt;"2-Way",
        LEFT(P2588,5)&lt;&gt;"3-Way",
        P2588&lt;&gt;"Inner Centre Jamb"
      )
    ),
    IF(OR(Enginuity!$A$1="Frameless Glass",Enginuity!$A$1="Metal Work"),
      AND(TRIM(B2588)=TRIM(Enginuity!$A$17),TRIM(C2588)=TRIM(Enginuity!$A$18)),
      TRIM(B2588)=TRIM(Enginuity!$A$17)
    )
  ),
  ROW(),
  ""
)</f>
        <v/>
      </c>
    </row>
    <row r="2589" spans="21:21" x14ac:dyDescent="0.25">
      <c r="U2589" s="104" t="str">
        <f>IF(
  AND(
    TRIM(A2589)=TRIM(Enginuity!$A$1),
    TRIM(B2589)=TRIM(Enginuity!$A$17),
    Q2589&lt;&gt;"",
    Q2589&lt;&gt;0,
    OR(
      TRIM(C2589)=TRIM(Enginuity!$A$18),
      AND(UPPER(TRIM(M2589))="STD", TRIM(B2589)=TRIM(Enginuity!$A$17))
    ),
    OR(
      AND(LEFT(P2589,5)="1-Way", Enginuity!$B$13=1),
      AND(LEFT(P2589,5)="2-Way", OR(Enginuity!$B$13=2, Enginuity!$B$13=4)),
      AND(LEFT(P2589,5)="3-Way", OR(Enginuity!$B$13=3, Enginuity!$B$13=6)),
      AND(P2589="Inner Centre Jamb", OR(Enginuity!$B$13=4, Enginuity!$B$13=6)),
      AND(
        LEFT(P2589,5)&lt;&gt;"1-Way",
        LEFT(P2589,5)&lt;&gt;"2-Way",
        LEFT(P2589,5)&lt;&gt;"3-Way",
        P2589&lt;&gt;"Inner Centre Jamb"
      )
    ),
    IF(OR(Enginuity!$A$1="Frameless Glass",Enginuity!$A$1="Metal Work"),
      AND(TRIM(B2589)=TRIM(Enginuity!$A$17),TRIM(C2589)=TRIM(Enginuity!$A$18)),
      TRIM(B2589)=TRIM(Enginuity!$A$17)
    )
  ),
  ROW(),
  ""
)</f>
        <v/>
      </c>
    </row>
    <row r="2590" spans="21:21" x14ac:dyDescent="0.25">
      <c r="U2590" s="104" t="str">
        <f>IF(
  AND(
    TRIM(A2590)=TRIM(Enginuity!$A$1),
    TRIM(B2590)=TRIM(Enginuity!$A$17),
    Q2590&lt;&gt;"",
    Q2590&lt;&gt;0,
    OR(
      TRIM(C2590)=TRIM(Enginuity!$A$18),
      AND(UPPER(TRIM(M2590))="STD", TRIM(B2590)=TRIM(Enginuity!$A$17))
    ),
    OR(
      AND(LEFT(P2590,5)="1-Way", Enginuity!$B$13=1),
      AND(LEFT(P2590,5)="2-Way", OR(Enginuity!$B$13=2, Enginuity!$B$13=4)),
      AND(LEFT(P2590,5)="3-Way", OR(Enginuity!$B$13=3, Enginuity!$B$13=6)),
      AND(P2590="Inner Centre Jamb", OR(Enginuity!$B$13=4, Enginuity!$B$13=6)),
      AND(
        LEFT(P2590,5)&lt;&gt;"1-Way",
        LEFT(P2590,5)&lt;&gt;"2-Way",
        LEFT(P2590,5)&lt;&gt;"3-Way",
        P2590&lt;&gt;"Inner Centre Jamb"
      )
    ),
    IF(OR(Enginuity!$A$1="Frameless Glass",Enginuity!$A$1="Metal Work"),
      AND(TRIM(B2590)=TRIM(Enginuity!$A$17),TRIM(C2590)=TRIM(Enginuity!$A$18)),
      TRIM(B2590)=TRIM(Enginuity!$A$17)
    )
  ),
  ROW(),
  ""
)</f>
        <v/>
      </c>
    </row>
    <row r="2591" spans="21:21" x14ac:dyDescent="0.25">
      <c r="U2591" s="104" t="str">
        <f>IF(
  AND(
    TRIM(A2591)=TRIM(Enginuity!$A$1),
    TRIM(B2591)=TRIM(Enginuity!$A$17),
    Q2591&lt;&gt;"",
    Q2591&lt;&gt;0,
    OR(
      TRIM(C2591)=TRIM(Enginuity!$A$18),
      AND(UPPER(TRIM(M2591))="STD", TRIM(B2591)=TRIM(Enginuity!$A$17))
    ),
    OR(
      AND(LEFT(P2591,5)="1-Way", Enginuity!$B$13=1),
      AND(LEFT(P2591,5)="2-Way", OR(Enginuity!$B$13=2, Enginuity!$B$13=4)),
      AND(LEFT(P2591,5)="3-Way", OR(Enginuity!$B$13=3, Enginuity!$B$13=6)),
      AND(P2591="Inner Centre Jamb", OR(Enginuity!$B$13=4, Enginuity!$B$13=6)),
      AND(
        LEFT(P2591,5)&lt;&gt;"1-Way",
        LEFT(P2591,5)&lt;&gt;"2-Way",
        LEFT(P2591,5)&lt;&gt;"3-Way",
        P2591&lt;&gt;"Inner Centre Jamb"
      )
    ),
    IF(OR(Enginuity!$A$1="Frameless Glass",Enginuity!$A$1="Metal Work"),
      AND(TRIM(B2591)=TRIM(Enginuity!$A$17),TRIM(C2591)=TRIM(Enginuity!$A$18)),
      TRIM(B2591)=TRIM(Enginuity!$A$17)
    )
  ),
  ROW(),
  ""
)</f>
        <v/>
      </c>
    </row>
    <row r="2592" spans="21:21" x14ac:dyDescent="0.25">
      <c r="U2592" s="104" t="str">
        <f>IF(
  AND(
    TRIM(A2592)=TRIM(Enginuity!$A$1),
    TRIM(B2592)=TRIM(Enginuity!$A$17),
    Q2592&lt;&gt;"",
    Q2592&lt;&gt;0,
    OR(
      TRIM(C2592)=TRIM(Enginuity!$A$18),
      AND(UPPER(TRIM(M2592))="STD", TRIM(B2592)=TRIM(Enginuity!$A$17))
    ),
    OR(
      AND(LEFT(P2592,5)="1-Way", Enginuity!$B$13=1),
      AND(LEFT(P2592,5)="2-Way", OR(Enginuity!$B$13=2, Enginuity!$B$13=4)),
      AND(LEFT(P2592,5)="3-Way", OR(Enginuity!$B$13=3, Enginuity!$B$13=6)),
      AND(P2592="Inner Centre Jamb", OR(Enginuity!$B$13=4, Enginuity!$B$13=6)),
      AND(
        LEFT(P2592,5)&lt;&gt;"1-Way",
        LEFT(P2592,5)&lt;&gt;"2-Way",
        LEFT(P2592,5)&lt;&gt;"3-Way",
        P2592&lt;&gt;"Inner Centre Jamb"
      )
    ),
    IF(OR(Enginuity!$A$1="Frameless Glass",Enginuity!$A$1="Metal Work"),
      AND(TRIM(B2592)=TRIM(Enginuity!$A$17),TRIM(C2592)=TRIM(Enginuity!$A$18)),
      TRIM(B2592)=TRIM(Enginuity!$A$17)
    )
  ),
  ROW(),
  ""
)</f>
        <v/>
      </c>
    </row>
    <row r="2593" spans="21:21" x14ac:dyDescent="0.25">
      <c r="U2593" s="104" t="str">
        <f>IF(
  AND(
    TRIM(A2593)=TRIM(Enginuity!$A$1),
    TRIM(B2593)=TRIM(Enginuity!$A$17),
    Q2593&lt;&gt;"",
    Q2593&lt;&gt;0,
    OR(
      TRIM(C2593)=TRIM(Enginuity!$A$18),
      AND(UPPER(TRIM(M2593))="STD", TRIM(B2593)=TRIM(Enginuity!$A$17))
    ),
    OR(
      AND(LEFT(P2593,5)="1-Way", Enginuity!$B$13=1),
      AND(LEFT(P2593,5)="2-Way", OR(Enginuity!$B$13=2, Enginuity!$B$13=4)),
      AND(LEFT(P2593,5)="3-Way", OR(Enginuity!$B$13=3, Enginuity!$B$13=6)),
      AND(P2593="Inner Centre Jamb", OR(Enginuity!$B$13=4, Enginuity!$B$13=6)),
      AND(
        LEFT(P2593,5)&lt;&gt;"1-Way",
        LEFT(P2593,5)&lt;&gt;"2-Way",
        LEFT(P2593,5)&lt;&gt;"3-Way",
        P2593&lt;&gt;"Inner Centre Jamb"
      )
    ),
    IF(OR(Enginuity!$A$1="Frameless Glass",Enginuity!$A$1="Metal Work"),
      AND(TRIM(B2593)=TRIM(Enginuity!$A$17),TRIM(C2593)=TRIM(Enginuity!$A$18)),
      TRIM(B2593)=TRIM(Enginuity!$A$17)
    )
  ),
  ROW(),
  ""
)</f>
        <v/>
      </c>
    </row>
    <row r="2594" spans="21:21" x14ac:dyDescent="0.25">
      <c r="U2594" s="104" t="str">
        <f>IF(
  AND(
    TRIM(A2594)=TRIM(Enginuity!$A$1),
    TRIM(B2594)=TRIM(Enginuity!$A$17),
    Q2594&lt;&gt;"",
    Q2594&lt;&gt;0,
    OR(
      TRIM(C2594)=TRIM(Enginuity!$A$18),
      AND(UPPER(TRIM(M2594))="STD", TRIM(B2594)=TRIM(Enginuity!$A$17))
    ),
    OR(
      AND(LEFT(P2594,5)="1-Way", Enginuity!$B$13=1),
      AND(LEFT(P2594,5)="2-Way", OR(Enginuity!$B$13=2, Enginuity!$B$13=4)),
      AND(LEFT(P2594,5)="3-Way", OR(Enginuity!$B$13=3, Enginuity!$B$13=6)),
      AND(P2594="Inner Centre Jamb", OR(Enginuity!$B$13=4, Enginuity!$B$13=6)),
      AND(
        LEFT(P2594,5)&lt;&gt;"1-Way",
        LEFT(P2594,5)&lt;&gt;"2-Way",
        LEFT(P2594,5)&lt;&gt;"3-Way",
        P2594&lt;&gt;"Inner Centre Jamb"
      )
    ),
    IF(OR(Enginuity!$A$1="Frameless Glass",Enginuity!$A$1="Metal Work"),
      AND(TRIM(B2594)=TRIM(Enginuity!$A$17),TRIM(C2594)=TRIM(Enginuity!$A$18)),
      TRIM(B2594)=TRIM(Enginuity!$A$17)
    )
  ),
  ROW(),
  ""
)</f>
        <v/>
      </c>
    </row>
    <row r="2595" spans="21:21" x14ac:dyDescent="0.25">
      <c r="U2595" s="104" t="str">
        <f>IF(
  AND(
    TRIM(A2595)=TRIM(Enginuity!$A$1),
    TRIM(B2595)=TRIM(Enginuity!$A$17),
    Q2595&lt;&gt;"",
    Q2595&lt;&gt;0,
    OR(
      TRIM(C2595)=TRIM(Enginuity!$A$18),
      AND(UPPER(TRIM(M2595))="STD", TRIM(B2595)=TRIM(Enginuity!$A$17))
    ),
    OR(
      AND(LEFT(P2595,5)="1-Way", Enginuity!$B$13=1),
      AND(LEFT(P2595,5)="2-Way", OR(Enginuity!$B$13=2, Enginuity!$B$13=4)),
      AND(LEFT(P2595,5)="3-Way", OR(Enginuity!$B$13=3, Enginuity!$B$13=6)),
      AND(P2595="Inner Centre Jamb", OR(Enginuity!$B$13=4, Enginuity!$B$13=6)),
      AND(
        LEFT(P2595,5)&lt;&gt;"1-Way",
        LEFT(P2595,5)&lt;&gt;"2-Way",
        LEFT(P2595,5)&lt;&gt;"3-Way",
        P2595&lt;&gt;"Inner Centre Jamb"
      )
    ),
    IF(OR(Enginuity!$A$1="Frameless Glass",Enginuity!$A$1="Metal Work"),
      AND(TRIM(B2595)=TRIM(Enginuity!$A$17),TRIM(C2595)=TRIM(Enginuity!$A$18)),
      TRIM(B2595)=TRIM(Enginuity!$A$17)
    )
  ),
  ROW(),
  ""
)</f>
        <v/>
      </c>
    </row>
    <row r="2596" spans="21:21" x14ac:dyDescent="0.25">
      <c r="U2596" s="104" t="str">
        <f>IF(
  AND(
    TRIM(A2596)=TRIM(Enginuity!$A$1),
    TRIM(B2596)=TRIM(Enginuity!$A$17),
    Q2596&lt;&gt;"",
    Q2596&lt;&gt;0,
    OR(
      TRIM(C2596)=TRIM(Enginuity!$A$18),
      AND(UPPER(TRIM(M2596))="STD", TRIM(B2596)=TRIM(Enginuity!$A$17))
    ),
    OR(
      AND(LEFT(P2596,5)="1-Way", Enginuity!$B$13=1),
      AND(LEFT(P2596,5)="2-Way", OR(Enginuity!$B$13=2, Enginuity!$B$13=4)),
      AND(LEFT(P2596,5)="3-Way", OR(Enginuity!$B$13=3, Enginuity!$B$13=6)),
      AND(P2596="Inner Centre Jamb", OR(Enginuity!$B$13=4, Enginuity!$B$13=6)),
      AND(
        LEFT(P2596,5)&lt;&gt;"1-Way",
        LEFT(P2596,5)&lt;&gt;"2-Way",
        LEFT(P2596,5)&lt;&gt;"3-Way",
        P2596&lt;&gt;"Inner Centre Jamb"
      )
    ),
    IF(OR(Enginuity!$A$1="Frameless Glass",Enginuity!$A$1="Metal Work"),
      AND(TRIM(B2596)=TRIM(Enginuity!$A$17),TRIM(C2596)=TRIM(Enginuity!$A$18)),
      TRIM(B2596)=TRIM(Enginuity!$A$17)
    )
  ),
  ROW(),
  ""
)</f>
        <v/>
      </c>
    </row>
    <row r="2597" spans="21:21" x14ac:dyDescent="0.25">
      <c r="U2597" s="104" t="str">
        <f>IF(
  AND(
    TRIM(A2597)=TRIM(Enginuity!$A$1),
    TRIM(B2597)=TRIM(Enginuity!$A$17),
    Q2597&lt;&gt;"",
    Q2597&lt;&gt;0,
    OR(
      TRIM(C2597)=TRIM(Enginuity!$A$18),
      AND(UPPER(TRIM(M2597))="STD", TRIM(B2597)=TRIM(Enginuity!$A$17))
    ),
    OR(
      AND(LEFT(P2597,5)="1-Way", Enginuity!$B$13=1),
      AND(LEFT(P2597,5)="2-Way", OR(Enginuity!$B$13=2, Enginuity!$B$13=4)),
      AND(LEFT(P2597,5)="3-Way", OR(Enginuity!$B$13=3, Enginuity!$B$13=6)),
      AND(P2597="Inner Centre Jamb", OR(Enginuity!$B$13=4, Enginuity!$B$13=6)),
      AND(
        LEFT(P2597,5)&lt;&gt;"1-Way",
        LEFT(P2597,5)&lt;&gt;"2-Way",
        LEFT(P2597,5)&lt;&gt;"3-Way",
        P2597&lt;&gt;"Inner Centre Jamb"
      )
    ),
    IF(OR(Enginuity!$A$1="Frameless Glass",Enginuity!$A$1="Metal Work"),
      AND(TRIM(B2597)=TRIM(Enginuity!$A$17),TRIM(C2597)=TRIM(Enginuity!$A$18)),
      TRIM(B2597)=TRIM(Enginuity!$A$17)
    )
  ),
  ROW(),
  ""
)</f>
        <v/>
      </c>
    </row>
    <row r="2598" spans="21:21" x14ac:dyDescent="0.25">
      <c r="U2598" s="104" t="str">
        <f>IF(
  AND(
    TRIM(A2598)=TRIM(Enginuity!$A$1),
    TRIM(B2598)=TRIM(Enginuity!$A$17),
    Q2598&lt;&gt;"",
    Q2598&lt;&gt;0,
    OR(
      TRIM(C2598)=TRIM(Enginuity!$A$18),
      AND(UPPER(TRIM(M2598))="STD", TRIM(B2598)=TRIM(Enginuity!$A$17))
    ),
    OR(
      AND(LEFT(P2598,5)="1-Way", Enginuity!$B$13=1),
      AND(LEFT(P2598,5)="2-Way", OR(Enginuity!$B$13=2, Enginuity!$B$13=4)),
      AND(LEFT(P2598,5)="3-Way", OR(Enginuity!$B$13=3, Enginuity!$B$13=6)),
      AND(P2598="Inner Centre Jamb", OR(Enginuity!$B$13=4, Enginuity!$B$13=6)),
      AND(
        LEFT(P2598,5)&lt;&gt;"1-Way",
        LEFT(P2598,5)&lt;&gt;"2-Way",
        LEFT(P2598,5)&lt;&gt;"3-Way",
        P2598&lt;&gt;"Inner Centre Jamb"
      )
    ),
    IF(OR(Enginuity!$A$1="Frameless Glass",Enginuity!$A$1="Metal Work"),
      AND(TRIM(B2598)=TRIM(Enginuity!$A$17),TRIM(C2598)=TRIM(Enginuity!$A$18)),
      TRIM(B2598)=TRIM(Enginuity!$A$17)
    )
  ),
  ROW(),
  ""
)</f>
        <v/>
      </c>
    </row>
    <row r="2599" spans="21:21" x14ac:dyDescent="0.25">
      <c r="U2599" s="104" t="str">
        <f>IF(
  AND(
    TRIM(A2599)=TRIM(Enginuity!$A$1),
    TRIM(B2599)=TRIM(Enginuity!$A$17),
    Q2599&lt;&gt;"",
    Q2599&lt;&gt;0,
    OR(
      TRIM(C2599)=TRIM(Enginuity!$A$18),
      AND(UPPER(TRIM(M2599))="STD", TRIM(B2599)=TRIM(Enginuity!$A$17))
    ),
    OR(
      AND(LEFT(P2599,5)="1-Way", Enginuity!$B$13=1),
      AND(LEFT(P2599,5)="2-Way", OR(Enginuity!$B$13=2, Enginuity!$B$13=4)),
      AND(LEFT(P2599,5)="3-Way", OR(Enginuity!$B$13=3, Enginuity!$B$13=6)),
      AND(P2599="Inner Centre Jamb", OR(Enginuity!$B$13=4, Enginuity!$B$13=6)),
      AND(
        LEFT(P2599,5)&lt;&gt;"1-Way",
        LEFT(P2599,5)&lt;&gt;"2-Way",
        LEFT(P2599,5)&lt;&gt;"3-Way",
        P2599&lt;&gt;"Inner Centre Jamb"
      )
    ),
    IF(OR(Enginuity!$A$1="Frameless Glass",Enginuity!$A$1="Metal Work"),
      AND(TRIM(B2599)=TRIM(Enginuity!$A$17),TRIM(C2599)=TRIM(Enginuity!$A$18)),
      TRIM(B2599)=TRIM(Enginuity!$A$17)
    )
  ),
  ROW(),
  ""
)</f>
        <v/>
      </c>
    </row>
    <row r="2600" spans="21:21" x14ac:dyDescent="0.25">
      <c r="U2600" s="104" t="str">
        <f>IF(
  AND(
    TRIM(A2600)=TRIM(Enginuity!$A$1),
    TRIM(B2600)=TRIM(Enginuity!$A$17),
    Q2600&lt;&gt;"",
    Q2600&lt;&gt;0,
    OR(
      TRIM(C2600)=TRIM(Enginuity!$A$18),
      AND(UPPER(TRIM(M2600))="STD", TRIM(B2600)=TRIM(Enginuity!$A$17))
    ),
    OR(
      AND(LEFT(P2600,5)="1-Way", Enginuity!$B$13=1),
      AND(LEFT(P2600,5)="2-Way", OR(Enginuity!$B$13=2, Enginuity!$B$13=4)),
      AND(LEFT(P2600,5)="3-Way", OR(Enginuity!$B$13=3, Enginuity!$B$13=6)),
      AND(P2600="Inner Centre Jamb", OR(Enginuity!$B$13=4, Enginuity!$B$13=6)),
      AND(
        LEFT(P2600,5)&lt;&gt;"1-Way",
        LEFT(P2600,5)&lt;&gt;"2-Way",
        LEFT(P2600,5)&lt;&gt;"3-Way",
        P2600&lt;&gt;"Inner Centre Jamb"
      )
    ),
    IF(OR(Enginuity!$A$1="Frameless Glass",Enginuity!$A$1="Metal Work"),
      AND(TRIM(B2600)=TRIM(Enginuity!$A$17),TRIM(C2600)=TRIM(Enginuity!$A$18)),
      TRIM(B2600)=TRIM(Enginuity!$A$17)
    )
  ),
  ROW(),
  ""
)</f>
        <v/>
      </c>
    </row>
    <row r="2601" spans="21:21" x14ac:dyDescent="0.25">
      <c r="U2601" s="104" t="str">
        <f>IF(
  AND(
    TRIM(A2601)=TRIM(Enginuity!$A$1),
    TRIM(B2601)=TRIM(Enginuity!$A$17),
    Q2601&lt;&gt;"",
    Q2601&lt;&gt;0,
    OR(
      TRIM(C2601)=TRIM(Enginuity!$A$18),
      AND(UPPER(TRIM(M2601))="STD", TRIM(B2601)=TRIM(Enginuity!$A$17))
    ),
    OR(
      AND(LEFT(P2601,5)="1-Way", Enginuity!$B$13=1),
      AND(LEFT(P2601,5)="2-Way", OR(Enginuity!$B$13=2, Enginuity!$B$13=4)),
      AND(LEFT(P2601,5)="3-Way", OR(Enginuity!$B$13=3, Enginuity!$B$13=6)),
      AND(P2601="Inner Centre Jamb", OR(Enginuity!$B$13=4, Enginuity!$B$13=6)),
      AND(
        LEFT(P2601,5)&lt;&gt;"1-Way",
        LEFT(P2601,5)&lt;&gt;"2-Way",
        LEFT(P2601,5)&lt;&gt;"3-Way",
        P2601&lt;&gt;"Inner Centre Jamb"
      )
    ),
    IF(OR(Enginuity!$A$1="Frameless Glass",Enginuity!$A$1="Metal Work"),
      AND(TRIM(B2601)=TRIM(Enginuity!$A$17),TRIM(C2601)=TRIM(Enginuity!$A$18)),
      TRIM(B2601)=TRIM(Enginuity!$A$17)
    )
  ),
  ROW(),
  ""
)</f>
        <v/>
      </c>
    </row>
    <row r="2602" spans="21:21" x14ac:dyDescent="0.25">
      <c r="U2602" s="104" t="str">
        <f>IF(
  AND(
    TRIM(A2602)=TRIM(Enginuity!$A$1),
    TRIM(B2602)=TRIM(Enginuity!$A$17),
    Q2602&lt;&gt;"",
    Q2602&lt;&gt;0,
    OR(
      TRIM(C2602)=TRIM(Enginuity!$A$18),
      AND(UPPER(TRIM(M2602))="STD", TRIM(B2602)=TRIM(Enginuity!$A$17))
    ),
    OR(
      AND(LEFT(P2602,5)="1-Way", Enginuity!$B$13=1),
      AND(LEFT(P2602,5)="2-Way", OR(Enginuity!$B$13=2, Enginuity!$B$13=4)),
      AND(LEFT(P2602,5)="3-Way", OR(Enginuity!$B$13=3, Enginuity!$B$13=6)),
      AND(P2602="Inner Centre Jamb", OR(Enginuity!$B$13=4, Enginuity!$B$13=6)),
      AND(
        LEFT(P2602,5)&lt;&gt;"1-Way",
        LEFT(P2602,5)&lt;&gt;"2-Way",
        LEFT(P2602,5)&lt;&gt;"3-Way",
        P2602&lt;&gt;"Inner Centre Jamb"
      )
    ),
    IF(OR(Enginuity!$A$1="Frameless Glass",Enginuity!$A$1="Metal Work"),
      AND(TRIM(B2602)=TRIM(Enginuity!$A$17),TRIM(C2602)=TRIM(Enginuity!$A$18)),
      TRIM(B2602)=TRIM(Enginuity!$A$17)
    )
  ),
  ROW(),
  ""
)</f>
        <v/>
      </c>
    </row>
    <row r="2603" spans="21:21" x14ac:dyDescent="0.25">
      <c r="U2603" s="104" t="str">
        <f>IF(
  AND(
    TRIM(A2603)=TRIM(Enginuity!$A$1),
    TRIM(B2603)=TRIM(Enginuity!$A$17),
    Q2603&lt;&gt;"",
    Q2603&lt;&gt;0,
    OR(
      TRIM(C2603)=TRIM(Enginuity!$A$18),
      AND(UPPER(TRIM(M2603))="STD", TRIM(B2603)=TRIM(Enginuity!$A$17))
    ),
    OR(
      AND(LEFT(P2603,5)="1-Way", Enginuity!$B$13=1),
      AND(LEFT(P2603,5)="2-Way", OR(Enginuity!$B$13=2, Enginuity!$B$13=4)),
      AND(LEFT(P2603,5)="3-Way", OR(Enginuity!$B$13=3, Enginuity!$B$13=6)),
      AND(P2603="Inner Centre Jamb", OR(Enginuity!$B$13=4, Enginuity!$B$13=6)),
      AND(
        LEFT(P2603,5)&lt;&gt;"1-Way",
        LEFT(P2603,5)&lt;&gt;"2-Way",
        LEFT(P2603,5)&lt;&gt;"3-Way",
        P2603&lt;&gt;"Inner Centre Jamb"
      )
    ),
    IF(OR(Enginuity!$A$1="Frameless Glass",Enginuity!$A$1="Metal Work"),
      AND(TRIM(B2603)=TRIM(Enginuity!$A$17),TRIM(C2603)=TRIM(Enginuity!$A$18)),
      TRIM(B2603)=TRIM(Enginuity!$A$17)
    )
  ),
  ROW(),
  ""
)</f>
        <v/>
      </c>
    </row>
    <row r="2604" spans="21:21" x14ac:dyDescent="0.25">
      <c r="U2604" s="104" t="str">
        <f>IF(
  AND(
    TRIM(A2604)=TRIM(Enginuity!$A$1),
    TRIM(B2604)=TRIM(Enginuity!$A$17),
    Q2604&lt;&gt;"",
    Q2604&lt;&gt;0,
    OR(
      TRIM(C2604)=TRIM(Enginuity!$A$18),
      AND(UPPER(TRIM(M2604))="STD", TRIM(B2604)=TRIM(Enginuity!$A$17))
    ),
    OR(
      AND(LEFT(P2604,5)="1-Way", Enginuity!$B$13=1),
      AND(LEFT(P2604,5)="2-Way", OR(Enginuity!$B$13=2, Enginuity!$B$13=4)),
      AND(LEFT(P2604,5)="3-Way", OR(Enginuity!$B$13=3, Enginuity!$B$13=6)),
      AND(P2604="Inner Centre Jamb", OR(Enginuity!$B$13=4, Enginuity!$B$13=6)),
      AND(
        LEFT(P2604,5)&lt;&gt;"1-Way",
        LEFT(P2604,5)&lt;&gt;"2-Way",
        LEFT(P2604,5)&lt;&gt;"3-Way",
        P2604&lt;&gt;"Inner Centre Jamb"
      )
    ),
    IF(OR(Enginuity!$A$1="Frameless Glass",Enginuity!$A$1="Metal Work"),
      AND(TRIM(B2604)=TRIM(Enginuity!$A$17),TRIM(C2604)=TRIM(Enginuity!$A$18)),
      TRIM(B2604)=TRIM(Enginuity!$A$17)
    )
  ),
  ROW(),
  ""
)</f>
        <v/>
      </c>
    </row>
    <row r="2605" spans="21:21" x14ac:dyDescent="0.25">
      <c r="U2605" s="104" t="str">
        <f>IF(
  AND(
    TRIM(A2605)=TRIM(Enginuity!$A$1),
    TRIM(B2605)=TRIM(Enginuity!$A$17),
    Q2605&lt;&gt;"",
    Q2605&lt;&gt;0,
    OR(
      TRIM(C2605)=TRIM(Enginuity!$A$18),
      AND(UPPER(TRIM(M2605))="STD", TRIM(B2605)=TRIM(Enginuity!$A$17))
    ),
    OR(
      AND(LEFT(P2605,5)="1-Way", Enginuity!$B$13=1),
      AND(LEFT(P2605,5)="2-Way", OR(Enginuity!$B$13=2, Enginuity!$B$13=4)),
      AND(LEFT(P2605,5)="3-Way", OR(Enginuity!$B$13=3, Enginuity!$B$13=6)),
      AND(P2605="Inner Centre Jamb", OR(Enginuity!$B$13=4, Enginuity!$B$13=6)),
      AND(
        LEFT(P2605,5)&lt;&gt;"1-Way",
        LEFT(P2605,5)&lt;&gt;"2-Way",
        LEFT(P2605,5)&lt;&gt;"3-Way",
        P2605&lt;&gt;"Inner Centre Jamb"
      )
    ),
    IF(OR(Enginuity!$A$1="Frameless Glass",Enginuity!$A$1="Metal Work"),
      AND(TRIM(B2605)=TRIM(Enginuity!$A$17),TRIM(C2605)=TRIM(Enginuity!$A$18)),
      TRIM(B2605)=TRIM(Enginuity!$A$17)
    )
  ),
  ROW(),
  ""
)</f>
        <v/>
      </c>
    </row>
    <row r="2606" spans="21:21" x14ac:dyDescent="0.25">
      <c r="U2606" s="104" t="str">
        <f>IF(
  AND(
    TRIM(A2606)=TRIM(Enginuity!$A$1),
    TRIM(B2606)=TRIM(Enginuity!$A$17),
    Q2606&lt;&gt;"",
    Q2606&lt;&gt;0,
    OR(
      TRIM(C2606)=TRIM(Enginuity!$A$18),
      AND(UPPER(TRIM(M2606))="STD", TRIM(B2606)=TRIM(Enginuity!$A$17))
    ),
    OR(
      AND(LEFT(P2606,5)="1-Way", Enginuity!$B$13=1),
      AND(LEFT(P2606,5)="2-Way", OR(Enginuity!$B$13=2, Enginuity!$B$13=4)),
      AND(LEFT(P2606,5)="3-Way", OR(Enginuity!$B$13=3, Enginuity!$B$13=6)),
      AND(P2606="Inner Centre Jamb", OR(Enginuity!$B$13=4, Enginuity!$B$13=6)),
      AND(
        LEFT(P2606,5)&lt;&gt;"1-Way",
        LEFT(P2606,5)&lt;&gt;"2-Way",
        LEFT(P2606,5)&lt;&gt;"3-Way",
        P2606&lt;&gt;"Inner Centre Jamb"
      )
    ),
    IF(OR(Enginuity!$A$1="Frameless Glass",Enginuity!$A$1="Metal Work"),
      AND(TRIM(B2606)=TRIM(Enginuity!$A$17),TRIM(C2606)=TRIM(Enginuity!$A$18)),
      TRIM(B2606)=TRIM(Enginuity!$A$17)
    )
  ),
  ROW(),
  ""
)</f>
        <v/>
      </c>
    </row>
    <row r="2607" spans="21:21" x14ac:dyDescent="0.25">
      <c r="U2607" s="104" t="str">
        <f>IF(
  AND(
    TRIM(A2607)=TRIM(Enginuity!$A$1),
    TRIM(B2607)=TRIM(Enginuity!$A$17),
    Q2607&lt;&gt;"",
    Q2607&lt;&gt;0,
    OR(
      TRIM(C2607)=TRIM(Enginuity!$A$18),
      AND(UPPER(TRIM(M2607))="STD", TRIM(B2607)=TRIM(Enginuity!$A$17))
    ),
    OR(
      AND(LEFT(P2607,5)="1-Way", Enginuity!$B$13=1),
      AND(LEFT(P2607,5)="2-Way", OR(Enginuity!$B$13=2, Enginuity!$B$13=4)),
      AND(LEFT(P2607,5)="3-Way", OR(Enginuity!$B$13=3, Enginuity!$B$13=6)),
      AND(P2607="Inner Centre Jamb", OR(Enginuity!$B$13=4, Enginuity!$B$13=6)),
      AND(
        LEFT(P2607,5)&lt;&gt;"1-Way",
        LEFT(P2607,5)&lt;&gt;"2-Way",
        LEFT(P2607,5)&lt;&gt;"3-Way",
        P2607&lt;&gt;"Inner Centre Jamb"
      )
    ),
    IF(OR(Enginuity!$A$1="Frameless Glass",Enginuity!$A$1="Metal Work"),
      AND(TRIM(B2607)=TRIM(Enginuity!$A$17),TRIM(C2607)=TRIM(Enginuity!$A$18)),
      TRIM(B2607)=TRIM(Enginuity!$A$17)
    )
  ),
  ROW(),
  ""
)</f>
        <v/>
      </c>
    </row>
    <row r="2608" spans="21:21" x14ac:dyDescent="0.25">
      <c r="U2608" s="104" t="str">
        <f>IF(
  AND(
    TRIM(A2608)=TRIM(Enginuity!$A$1),
    TRIM(B2608)=TRIM(Enginuity!$A$17),
    Q2608&lt;&gt;"",
    Q2608&lt;&gt;0,
    OR(
      TRIM(C2608)=TRIM(Enginuity!$A$18),
      AND(UPPER(TRIM(M2608))="STD", TRIM(B2608)=TRIM(Enginuity!$A$17))
    ),
    OR(
      AND(LEFT(P2608,5)="1-Way", Enginuity!$B$13=1),
      AND(LEFT(P2608,5)="2-Way", OR(Enginuity!$B$13=2, Enginuity!$B$13=4)),
      AND(LEFT(P2608,5)="3-Way", OR(Enginuity!$B$13=3, Enginuity!$B$13=6)),
      AND(P2608="Inner Centre Jamb", OR(Enginuity!$B$13=4, Enginuity!$B$13=6)),
      AND(
        LEFT(P2608,5)&lt;&gt;"1-Way",
        LEFT(P2608,5)&lt;&gt;"2-Way",
        LEFT(P2608,5)&lt;&gt;"3-Way",
        P2608&lt;&gt;"Inner Centre Jamb"
      )
    ),
    IF(OR(Enginuity!$A$1="Frameless Glass",Enginuity!$A$1="Metal Work"),
      AND(TRIM(B2608)=TRIM(Enginuity!$A$17),TRIM(C2608)=TRIM(Enginuity!$A$18)),
      TRIM(B2608)=TRIM(Enginuity!$A$17)
    )
  ),
  ROW(),
  ""
)</f>
        <v/>
      </c>
    </row>
    <row r="2609" spans="21:21" x14ac:dyDescent="0.25">
      <c r="U2609" s="104" t="str">
        <f>IF(
  AND(
    TRIM(A2609)=TRIM(Enginuity!$A$1),
    TRIM(B2609)=TRIM(Enginuity!$A$17),
    Q2609&lt;&gt;"",
    Q2609&lt;&gt;0,
    OR(
      TRIM(C2609)=TRIM(Enginuity!$A$18),
      AND(UPPER(TRIM(M2609))="STD", TRIM(B2609)=TRIM(Enginuity!$A$17))
    ),
    OR(
      AND(LEFT(P2609,5)="1-Way", Enginuity!$B$13=1),
      AND(LEFT(P2609,5)="2-Way", OR(Enginuity!$B$13=2, Enginuity!$B$13=4)),
      AND(LEFT(P2609,5)="3-Way", OR(Enginuity!$B$13=3, Enginuity!$B$13=6)),
      AND(P2609="Inner Centre Jamb", OR(Enginuity!$B$13=4, Enginuity!$B$13=6)),
      AND(
        LEFT(P2609,5)&lt;&gt;"1-Way",
        LEFT(P2609,5)&lt;&gt;"2-Way",
        LEFT(P2609,5)&lt;&gt;"3-Way",
        P2609&lt;&gt;"Inner Centre Jamb"
      )
    ),
    IF(OR(Enginuity!$A$1="Frameless Glass",Enginuity!$A$1="Metal Work"),
      AND(TRIM(B2609)=TRIM(Enginuity!$A$17),TRIM(C2609)=TRIM(Enginuity!$A$18)),
      TRIM(B2609)=TRIM(Enginuity!$A$17)
    )
  ),
  ROW(),
  ""
)</f>
        <v/>
      </c>
    </row>
    <row r="2610" spans="21:21" x14ac:dyDescent="0.25">
      <c r="U2610" s="104" t="str">
        <f>IF(
  AND(
    TRIM(A2610)=TRIM(Enginuity!$A$1),
    TRIM(B2610)=TRIM(Enginuity!$A$17),
    Q2610&lt;&gt;"",
    Q2610&lt;&gt;0,
    OR(
      TRIM(C2610)=TRIM(Enginuity!$A$18),
      AND(UPPER(TRIM(M2610))="STD", TRIM(B2610)=TRIM(Enginuity!$A$17))
    ),
    OR(
      AND(LEFT(P2610,5)="1-Way", Enginuity!$B$13=1),
      AND(LEFT(P2610,5)="2-Way", OR(Enginuity!$B$13=2, Enginuity!$B$13=4)),
      AND(LEFT(P2610,5)="3-Way", OR(Enginuity!$B$13=3, Enginuity!$B$13=6)),
      AND(P2610="Inner Centre Jamb", OR(Enginuity!$B$13=4, Enginuity!$B$13=6)),
      AND(
        LEFT(P2610,5)&lt;&gt;"1-Way",
        LEFT(P2610,5)&lt;&gt;"2-Way",
        LEFT(P2610,5)&lt;&gt;"3-Way",
        P2610&lt;&gt;"Inner Centre Jamb"
      )
    ),
    IF(OR(Enginuity!$A$1="Frameless Glass",Enginuity!$A$1="Metal Work"),
      AND(TRIM(B2610)=TRIM(Enginuity!$A$17),TRIM(C2610)=TRIM(Enginuity!$A$18)),
      TRIM(B2610)=TRIM(Enginuity!$A$17)
    )
  ),
  ROW(),
  ""
)</f>
        <v/>
      </c>
    </row>
    <row r="2611" spans="21:21" x14ac:dyDescent="0.25">
      <c r="U2611" s="104" t="str">
        <f>IF(
  AND(
    TRIM(A2611)=TRIM(Enginuity!$A$1),
    TRIM(B2611)=TRIM(Enginuity!$A$17),
    Q2611&lt;&gt;"",
    Q2611&lt;&gt;0,
    OR(
      TRIM(C2611)=TRIM(Enginuity!$A$18),
      AND(UPPER(TRIM(M2611))="STD", TRIM(B2611)=TRIM(Enginuity!$A$17))
    ),
    OR(
      AND(LEFT(P2611,5)="1-Way", Enginuity!$B$13=1),
      AND(LEFT(P2611,5)="2-Way", OR(Enginuity!$B$13=2, Enginuity!$B$13=4)),
      AND(LEFT(P2611,5)="3-Way", OR(Enginuity!$B$13=3, Enginuity!$B$13=6)),
      AND(P2611="Inner Centre Jamb", OR(Enginuity!$B$13=4, Enginuity!$B$13=6)),
      AND(
        LEFT(P2611,5)&lt;&gt;"1-Way",
        LEFT(P2611,5)&lt;&gt;"2-Way",
        LEFT(P2611,5)&lt;&gt;"3-Way",
        P2611&lt;&gt;"Inner Centre Jamb"
      )
    ),
    IF(OR(Enginuity!$A$1="Frameless Glass",Enginuity!$A$1="Metal Work"),
      AND(TRIM(B2611)=TRIM(Enginuity!$A$17),TRIM(C2611)=TRIM(Enginuity!$A$18)),
      TRIM(B2611)=TRIM(Enginuity!$A$17)
    )
  ),
  ROW(),
  ""
)</f>
        <v/>
      </c>
    </row>
    <row r="2612" spans="21:21" x14ac:dyDescent="0.25">
      <c r="U2612" s="104" t="str">
        <f>IF(
  AND(
    TRIM(A2612)=TRIM(Enginuity!$A$1),
    TRIM(B2612)=TRIM(Enginuity!$A$17),
    Q2612&lt;&gt;"",
    Q2612&lt;&gt;0,
    OR(
      TRIM(C2612)=TRIM(Enginuity!$A$18),
      AND(UPPER(TRIM(M2612))="STD", TRIM(B2612)=TRIM(Enginuity!$A$17))
    ),
    OR(
      AND(LEFT(P2612,5)="1-Way", Enginuity!$B$13=1),
      AND(LEFT(P2612,5)="2-Way", OR(Enginuity!$B$13=2, Enginuity!$B$13=4)),
      AND(LEFT(P2612,5)="3-Way", OR(Enginuity!$B$13=3, Enginuity!$B$13=6)),
      AND(P2612="Inner Centre Jamb", OR(Enginuity!$B$13=4, Enginuity!$B$13=6)),
      AND(
        LEFT(P2612,5)&lt;&gt;"1-Way",
        LEFT(P2612,5)&lt;&gt;"2-Way",
        LEFT(P2612,5)&lt;&gt;"3-Way",
        P2612&lt;&gt;"Inner Centre Jamb"
      )
    ),
    IF(OR(Enginuity!$A$1="Frameless Glass",Enginuity!$A$1="Metal Work"),
      AND(TRIM(B2612)=TRIM(Enginuity!$A$17),TRIM(C2612)=TRIM(Enginuity!$A$18)),
      TRIM(B2612)=TRIM(Enginuity!$A$17)
    )
  ),
  ROW(),
  ""
)</f>
        <v/>
      </c>
    </row>
    <row r="2613" spans="21:21" x14ac:dyDescent="0.25">
      <c r="U2613" s="104" t="str">
        <f>IF(
  AND(
    TRIM(A2613)=TRIM(Enginuity!$A$1),
    TRIM(B2613)=TRIM(Enginuity!$A$17),
    Q2613&lt;&gt;"",
    Q2613&lt;&gt;0,
    OR(
      TRIM(C2613)=TRIM(Enginuity!$A$18),
      AND(UPPER(TRIM(M2613))="STD", TRIM(B2613)=TRIM(Enginuity!$A$17))
    ),
    OR(
      AND(LEFT(P2613,5)="1-Way", Enginuity!$B$13=1),
      AND(LEFT(P2613,5)="2-Way", OR(Enginuity!$B$13=2, Enginuity!$B$13=4)),
      AND(LEFT(P2613,5)="3-Way", OR(Enginuity!$B$13=3, Enginuity!$B$13=6)),
      AND(P2613="Inner Centre Jamb", OR(Enginuity!$B$13=4, Enginuity!$B$13=6)),
      AND(
        LEFT(P2613,5)&lt;&gt;"1-Way",
        LEFT(P2613,5)&lt;&gt;"2-Way",
        LEFT(P2613,5)&lt;&gt;"3-Way",
        P2613&lt;&gt;"Inner Centre Jamb"
      )
    ),
    IF(OR(Enginuity!$A$1="Frameless Glass",Enginuity!$A$1="Metal Work"),
      AND(TRIM(B2613)=TRIM(Enginuity!$A$17),TRIM(C2613)=TRIM(Enginuity!$A$18)),
      TRIM(B2613)=TRIM(Enginuity!$A$17)
    )
  ),
  ROW(),
  ""
)</f>
        <v/>
      </c>
    </row>
    <row r="2614" spans="21:21" x14ac:dyDescent="0.25">
      <c r="U2614" s="104" t="str">
        <f>IF(
  AND(
    TRIM(A2614)=TRIM(Enginuity!$A$1),
    TRIM(B2614)=TRIM(Enginuity!$A$17),
    Q2614&lt;&gt;"",
    Q2614&lt;&gt;0,
    OR(
      TRIM(C2614)=TRIM(Enginuity!$A$18),
      AND(UPPER(TRIM(M2614))="STD", TRIM(B2614)=TRIM(Enginuity!$A$17))
    ),
    OR(
      AND(LEFT(P2614,5)="1-Way", Enginuity!$B$13=1),
      AND(LEFT(P2614,5)="2-Way", OR(Enginuity!$B$13=2, Enginuity!$B$13=4)),
      AND(LEFT(P2614,5)="3-Way", OR(Enginuity!$B$13=3, Enginuity!$B$13=6)),
      AND(P2614="Inner Centre Jamb", OR(Enginuity!$B$13=4, Enginuity!$B$13=6)),
      AND(
        LEFT(P2614,5)&lt;&gt;"1-Way",
        LEFT(P2614,5)&lt;&gt;"2-Way",
        LEFT(P2614,5)&lt;&gt;"3-Way",
        P2614&lt;&gt;"Inner Centre Jamb"
      )
    ),
    IF(OR(Enginuity!$A$1="Frameless Glass",Enginuity!$A$1="Metal Work"),
      AND(TRIM(B2614)=TRIM(Enginuity!$A$17),TRIM(C2614)=TRIM(Enginuity!$A$18)),
      TRIM(B2614)=TRIM(Enginuity!$A$17)
    )
  ),
  ROW(),
  ""
)</f>
        <v/>
      </c>
    </row>
    <row r="2615" spans="21:21" x14ac:dyDescent="0.25">
      <c r="U2615" s="104" t="str">
        <f>IF(
  AND(
    TRIM(A2615)=TRIM(Enginuity!$A$1),
    TRIM(B2615)=TRIM(Enginuity!$A$17),
    Q2615&lt;&gt;"",
    Q2615&lt;&gt;0,
    OR(
      TRIM(C2615)=TRIM(Enginuity!$A$18),
      AND(UPPER(TRIM(M2615))="STD", TRIM(B2615)=TRIM(Enginuity!$A$17))
    ),
    OR(
      AND(LEFT(P2615,5)="1-Way", Enginuity!$B$13=1),
      AND(LEFT(P2615,5)="2-Way", OR(Enginuity!$B$13=2, Enginuity!$B$13=4)),
      AND(LEFT(P2615,5)="3-Way", OR(Enginuity!$B$13=3, Enginuity!$B$13=6)),
      AND(P2615="Inner Centre Jamb", OR(Enginuity!$B$13=4, Enginuity!$B$13=6)),
      AND(
        LEFT(P2615,5)&lt;&gt;"1-Way",
        LEFT(P2615,5)&lt;&gt;"2-Way",
        LEFT(P2615,5)&lt;&gt;"3-Way",
        P2615&lt;&gt;"Inner Centre Jamb"
      )
    ),
    IF(OR(Enginuity!$A$1="Frameless Glass",Enginuity!$A$1="Metal Work"),
      AND(TRIM(B2615)=TRIM(Enginuity!$A$17),TRIM(C2615)=TRIM(Enginuity!$A$18)),
      TRIM(B2615)=TRIM(Enginuity!$A$17)
    )
  ),
  ROW(),
  ""
)</f>
        <v/>
      </c>
    </row>
    <row r="2616" spans="21:21" x14ac:dyDescent="0.25">
      <c r="U2616" s="104" t="str">
        <f>IF(
  AND(
    TRIM(A2616)=TRIM(Enginuity!$A$1),
    TRIM(B2616)=TRIM(Enginuity!$A$17),
    Q2616&lt;&gt;"",
    Q2616&lt;&gt;0,
    OR(
      TRIM(C2616)=TRIM(Enginuity!$A$18),
      AND(UPPER(TRIM(M2616))="STD", TRIM(B2616)=TRIM(Enginuity!$A$17))
    ),
    OR(
      AND(LEFT(P2616,5)="1-Way", Enginuity!$B$13=1),
      AND(LEFT(P2616,5)="2-Way", OR(Enginuity!$B$13=2, Enginuity!$B$13=4)),
      AND(LEFT(P2616,5)="3-Way", OR(Enginuity!$B$13=3, Enginuity!$B$13=6)),
      AND(P2616="Inner Centre Jamb", OR(Enginuity!$B$13=4, Enginuity!$B$13=6)),
      AND(
        LEFT(P2616,5)&lt;&gt;"1-Way",
        LEFT(P2616,5)&lt;&gt;"2-Way",
        LEFT(P2616,5)&lt;&gt;"3-Way",
        P2616&lt;&gt;"Inner Centre Jamb"
      )
    ),
    IF(OR(Enginuity!$A$1="Frameless Glass",Enginuity!$A$1="Metal Work"),
      AND(TRIM(B2616)=TRIM(Enginuity!$A$17),TRIM(C2616)=TRIM(Enginuity!$A$18)),
      TRIM(B2616)=TRIM(Enginuity!$A$17)
    )
  ),
  ROW(),
  ""
)</f>
        <v/>
      </c>
    </row>
    <row r="2617" spans="21:21" x14ac:dyDescent="0.25">
      <c r="U2617" s="104" t="str">
        <f>IF(
  AND(
    TRIM(A2617)=TRIM(Enginuity!$A$1),
    TRIM(B2617)=TRIM(Enginuity!$A$17),
    Q2617&lt;&gt;"",
    Q2617&lt;&gt;0,
    OR(
      TRIM(C2617)=TRIM(Enginuity!$A$18),
      AND(UPPER(TRIM(M2617))="STD", TRIM(B2617)=TRIM(Enginuity!$A$17))
    ),
    OR(
      AND(LEFT(P2617,5)="1-Way", Enginuity!$B$13=1),
      AND(LEFT(P2617,5)="2-Way", OR(Enginuity!$B$13=2, Enginuity!$B$13=4)),
      AND(LEFT(P2617,5)="3-Way", OR(Enginuity!$B$13=3, Enginuity!$B$13=6)),
      AND(P2617="Inner Centre Jamb", OR(Enginuity!$B$13=4, Enginuity!$B$13=6)),
      AND(
        LEFT(P2617,5)&lt;&gt;"1-Way",
        LEFT(P2617,5)&lt;&gt;"2-Way",
        LEFT(P2617,5)&lt;&gt;"3-Way",
        P2617&lt;&gt;"Inner Centre Jamb"
      )
    ),
    IF(OR(Enginuity!$A$1="Frameless Glass",Enginuity!$A$1="Metal Work"),
      AND(TRIM(B2617)=TRIM(Enginuity!$A$17),TRIM(C2617)=TRIM(Enginuity!$A$18)),
      TRIM(B2617)=TRIM(Enginuity!$A$17)
    )
  ),
  ROW(),
  ""
)</f>
        <v/>
      </c>
    </row>
    <row r="2618" spans="21:21" x14ac:dyDescent="0.25">
      <c r="U2618" s="104" t="str">
        <f>IF(
  AND(
    TRIM(A2618)=TRIM(Enginuity!$A$1),
    TRIM(B2618)=TRIM(Enginuity!$A$17),
    Q2618&lt;&gt;"",
    Q2618&lt;&gt;0,
    OR(
      TRIM(C2618)=TRIM(Enginuity!$A$18),
      AND(UPPER(TRIM(M2618))="STD", TRIM(B2618)=TRIM(Enginuity!$A$17))
    ),
    OR(
      AND(LEFT(P2618,5)="1-Way", Enginuity!$B$13=1),
      AND(LEFT(P2618,5)="2-Way", OR(Enginuity!$B$13=2, Enginuity!$B$13=4)),
      AND(LEFT(P2618,5)="3-Way", OR(Enginuity!$B$13=3, Enginuity!$B$13=6)),
      AND(P2618="Inner Centre Jamb", OR(Enginuity!$B$13=4, Enginuity!$B$13=6)),
      AND(
        LEFT(P2618,5)&lt;&gt;"1-Way",
        LEFT(P2618,5)&lt;&gt;"2-Way",
        LEFT(P2618,5)&lt;&gt;"3-Way",
        P2618&lt;&gt;"Inner Centre Jamb"
      )
    ),
    IF(OR(Enginuity!$A$1="Frameless Glass",Enginuity!$A$1="Metal Work"),
      AND(TRIM(B2618)=TRIM(Enginuity!$A$17),TRIM(C2618)=TRIM(Enginuity!$A$18)),
      TRIM(B2618)=TRIM(Enginuity!$A$17)
    )
  ),
  ROW(),
  ""
)</f>
        <v/>
      </c>
    </row>
    <row r="2619" spans="21:21" x14ac:dyDescent="0.25">
      <c r="U2619" s="104" t="str">
        <f>IF(
  AND(
    TRIM(A2619)=TRIM(Enginuity!$A$1),
    TRIM(B2619)=TRIM(Enginuity!$A$17),
    Q2619&lt;&gt;"",
    Q2619&lt;&gt;0,
    OR(
      TRIM(C2619)=TRIM(Enginuity!$A$18),
      AND(UPPER(TRIM(M2619))="STD", TRIM(B2619)=TRIM(Enginuity!$A$17))
    ),
    OR(
      AND(LEFT(P2619,5)="1-Way", Enginuity!$B$13=1),
      AND(LEFT(P2619,5)="2-Way", OR(Enginuity!$B$13=2, Enginuity!$B$13=4)),
      AND(LEFT(P2619,5)="3-Way", OR(Enginuity!$B$13=3, Enginuity!$B$13=6)),
      AND(P2619="Inner Centre Jamb", OR(Enginuity!$B$13=4, Enginuity!$B$13=6)),
      AND(
        LEFT(P2619,5)&lt;&gt;"1-Way",
        LEFT(P2619,5)&lt;&gt;"2-Way",
        LEFT(P2619,5)&lt;&gt;"3-Way",
        P2619&lt;&gt;"Inner Centre Jamb"
      )
    ),
    IF(OR(Enginuity!$A$1="Frameless Glass",Enginuity!$A$1="Metal Work"),
      AND(TRIM(B2619)=TRIM(Enginuity!$A$17),TRIM(C2619)=TRIM(Enginuity!$A$18)),
      TRIM(B2619)=TRIM(Enginuity!$A$17)
    )
  ),
  ROW(),
  ""
)</f>
        <v/>
      </c>
    </row>
    <row r="2620" spans="21:21" x14ac:dyDescent="0.25">
      <c r="U2620" s="104" t="str">
        <f>IF(
  AND(
    TRIM(A2620)=TRIM(Enginuity!$A$1),
    TRIM(B2620)=TRIM(Enginuity!$A$17),
    Q2620&lt;&gt;"",
    Q2620&lt;&gt;0,
    OR(
      TRIM(C2620)=TRIM(Enginuity!$A$18),
      AND(UPPER(TRIM(M2620))="STD", TRIM(B2620)=TRIM(Enginuity!$A$17))
    ),
    OR(
      AND(LEFT(P2620,5)="1-Way", Enginuity!$B$13=1),
      AND(LEFT(P2620,5)="2-Way", OR(Enginuity!$B$13=2, Enginuity!$B$13=4)),
      AND(LEFT(P2620,5)="3-Way", OR(Enginuity!$B$13=3, Enginuity!$B$13=6)),
      AND(P2620="Inner Centre Jamb", OR(Enginuity!$B$13=4, Enginuity!$B$13=6)),
      AND(
        LEFT(P2620,5)&lt;&gt;"1-Way",
        LEFT(P2620,5)&lt;&gt;"2-Way",
        LEFT(P2620,5)&lt;&gt;"3-Way",
        P2620&lt;&gt;"Inner Centre Jamb"
      )
    ),
    IF(OR(Enginuity!$A$1="Frameless Glass",Enginuity!$A$1="Metal Work"),
      AND(TRIM(B2620)=TRIM(Enginuity!$A$17),TRIM(C2620)=TRIM(Enginuity!$A$18)),
      TRIM(B2620)=TRIM(Enginuity!$A$17)
    )
  ),
  ROW(),
  ""
)</f>
        <v/>
      </c>
    </row>
    <row r="2621" spans="21:21" x14ac:dyDescent="0.25">
      <c r="U2621" s="104" t="str">
        <f>IF(
  AND(
    TRIM(A2621)=TRIM(Enginuity!$A$1),
    TRIM(B2621)=TRIM(Enginuity!$A$17),
    Q2621&lt;&gt;"",
    Q2621&lt;&gt;0,
    OR(
      TRIM(C2621)=TRIM(Enginuity!$A$18),
      AND(UPPER(TRIM(M2621))="STD", TRIM(B2621)=TRIM(Enginuity!$A$17))
    ),
    OR(
      AND(LEFT(P2621,5)="1-Way", Enginuity!$B$13=1),
      AND(LEFT(P2621,5)="2-Way", OR(Enginuity!$B$13=2, Enginuity!$B$13=4)),
      AND(LEFT(P2621,5)="3-Way", OR(Enginuity!$B$13=3, Enginuity!$B$13=6)),
      AND(P2621="Inner Centre Jamb", OR(Enginuity!$B$13=4, Enginuity!$B$13=6)),
      AND(
        LEFT(P2621,5)&lt;&gt;"1-Way",
        LEFT(P2621,5)&lt;&gt;"2-Way",
        LEFT(P2621,5)&lt;&gt;"3-Way",
        P2621&lt;&gt;"Inner Centre Jamb"
      )
    ),
    IF(OR(Enginuity!$A$1="Frameless Glass",Enginuity!$A$1="Metal Work"),
      AND(TRIM(B2621)=TRIM(Enginuity!$A$17),TRIM(C2621)=TRIM(Enginuity!$A$18)),
      TRIM(B2621)=TRIM(Enginuity!$A$17)
    )
  ),
  ROW(),
  ""
)</f>
        <v/>
      </c>
    </row>
    <row r="2622" spans="21:21" x14ac:dyDescent="0.25">
      <c r="U2622" s="104" t="str">
        <f>IF(
  AND(
    TRIM(A2622)=TRIM(Enginuity!$A$1),
    TRIM(B2622)=TRIM(Enginuity!$A$17),
    Q2622&lt;&gt;"",
    Q2622&lt;&gt;0,
    OR(
      TRIM(C2622)=TRIM(Enginuity!$A$18),
      AND(UPPER(TRIM(M2622))="STD", TRIM(B2622)=TRIM(Enginuity!$A$17))
    ),
    OR(
      AND(LEFT(P2622,5)="1-Way", Enginuity!$B$13=1),
      AND(LEFT(P2622,5)="2-Way", OR(Enginuity!$B$13=2, Enginuity!$B$13=4)),
      AND(LEFT(P2622,5)="3-Way", OR(Enginuity!$B$13=3, Enginuity!$B$13=6)),
      AND(P2622="Inner Centre Jamb", OR(Enginuity!$B$13=4, Enginuity!$B$13=6)),
      AND(
        LEFT(P2622,5)&lt;&gt;"1-Way",
        LEFT(P2622,5)&lt;&gt;"2-Way",
        LEFT(P2622,5)&lt;&gt;"3-Way",
        P2622&lt;&gt;"Inner Centre Jamb"
      )
    ),
    IF(OR(Enginuity!$A$1="Frameless Glass",Enginuity!$A$1="Metal Work"),
      AND(TRIM(B2622)=TRIM(Enginuity!$A$17),TRIM(C2622)=TRIM(Enginuity!$A$18)),
      TRIM(B2622)=TRIM(Enginuity!$A$17)
    )
  ),
  ROW(),
  ""
)</f>
        <v/>
      </c>
    </row>
    <row r="2623" spans="21:21" x14ac:dyDescent="0.25">
      <c r="U2623" s="104" t="str">
        <f>IF(
  AND(
    TRIM(A2623)=TRIM(Enginuity!$A$1),
    TRIM(B2623)=TRIM(Enginuity!$A$17),
    Q2623&lt;&gt;"",
    Q2623&lt;&gt;0,
    OR(
      TRIM(C2623)=TRIM(Enginuity!$A$18),
      AND(UPPER(TRIM(M2623))="STD", TRIM(B2623)=TRIM(Enginuity!$A$17))
    ),
    OR(
      AND(LEFT(P2623,5)="1-Way", Enginuity!$B$13=1),
      AND(LEFT(P2623,5)="2-Way", OR(Enginuity!$B$13=2, Enginuity!$B$13=4)),
      AND(LEFT(P2623,5)="3-Way", OR(Enginuity!$B$13=3, Enginuity!$B$13=6)),
      AND(P2623="Inner Centre Jamb", OR(Enginuity!$B$13=4, Enginuity!$B$13=6)),
      AND(
        LEFT(P2623,5)&lt;&gt;"1-Way",
        LEFT(P2623,5)&lt;&gt;"2-Way",
        LEFT(P2623,5)&lt;&gt;"3-Way",
        P2623&lt;&gt;"Inner Centre Jamb"
      )
    ),
    IF(OR(Enginuity!$A$1="Frameless Glass",Enginuity!$A$1="Metal Work"),
      AND(TRIM(B2623)=TRIM(Enginuity!$A$17),TRIM(C2623)=TRIM(Enginuity!$A$18)),
      TRIM(B2623)=TRIM(Enginuity!$A$17)
    )
  ),
  ROW(),
  ""
)</f>
        <v/>
      </c>
    </row>
    <row r="2624" spans="21:21" x14ac:dyDescent="0.25">
      <c r="U2624" s="104" t="str">
        <f>IF(
  AND(
    TRIM(A2624)=TRIM(Enginuity!$A$1),
    TRIM(B2624)=TRIM(Enginuity!$A$17),
    Q2624&lt;&gt;"",
    Q2624&lt;&gt;0,
    OR(
      TRIM(C2624)=TRIM(Enginuity!$A$18),
      AND(UPPER(TRIM(M2624))="STD", TRIM(B2624)=TRIM(Enginuity!$A$17))
    ),
    OR(
      AND(LEFT(P2624,5)="1-Way", Enginuity!$B$13=1),
      AND(LEFT(P2624,5)="2-Way", OR(Enginuity!$B$13=2, Enginuity!$B$13=4)),
      AND(LEFT(P2624,5)="3-Way", OR(Enginuity!$B$13=3, Enginuity!$B$13=6)),
      AND(P2624="Inner Centre Jamb", OR(Enginuity!$B$13=4, Enginuity!$B$13=6)),
      AND(
        LEFT(P2624,5)&lt;&gt;"1-Way",
        LEFT(P2624,5)&lt;&gt;"2-Way",
        LEFT(P2624,5)&lt;&gt;"3-Way",
        P2624&lt;&gt;"Inner Centre Jamb"
      )
    ),
    IF(OR(Enginuity!$A$1="Frameless Glass",Enginuity!$A$1="Metal Work"),
      AND(TRIM(B2624)=TRIM(Enginuity!$A$17),TRIM(C2624)=TRIM(Enginuity!$A$18)),
      TRIM(B2624)=TRIM(Enginuity!$A$17)
    )
  ),
  ROW(),
  ""
)</f>
        <v/>
      </c>
    </row>
    <row r="2625" spans="21:21" x14ac:dyDescent="0.25">
      <c r="U2625" s="104" t="str">
        <f>IF(
  AND(
    TRIM(A2625)=TRIM(Enginuity!$A$1),
    TRIM(B2625)=TRIM(Enginuity!$A$17),
    Q2625&lt;&gt;"",
    Q2625&lt;&gt;0,
    OR(
      TRIM(C2625)=TRIM(Enginuity!$A$18),
      AND(UPPER(TRIM(M2625))="STD", TRIM(B2625)=TRIM(Enginuity!$A$17))
    ),
    OR(
      AND(LEFT(P2625,5)="1-Way", Enginuity!$B$13=1),
      AND(LEFT(P2625,5)="2-Way", OR(Enginuity!$B$13=2, Enginuity!$B$13=4)),
      AND(LEFT(P2625,5)="3-Way", OR(Enginuity!$B$13=3, Enginuity!$B$13=6)),
      AND(P2625="Inner Centre Jamb", OR(Enginuity!$B$13=4, Enginuity!$B$13=6)),
      AND(
        LEFT(P2625,5)&lt;&gt;"1-Way",
        LEFT(P2625,5)&lt;&gt;"2-Way",
        LEFT(P2625,5)&lt;&gt;"3-Way",
        P2625&lt;&gt;"Inner Centre Jamb"
      )
    ),
    IF(OR(Enginuity!$A$1="Frameless Glass",Enginuity!$A$1="Metal Work"),
      AND(TRIM(B2625)=TRIM(Enginuity!$A$17),TRIM(C2625)=TRIM(Enginuity!$A$18)),
      TRIM(B2625)=TRIM(Enginuity!$A$17)
    )
  ),
  ROW(),
  ""
)</f>
        <v/>
      </c>
    </row>
    <row r="2626" spans="21:21" x14ac:dyDescent="0.25">
      <c r="U2626" s="104" t="str">
        <f>IF(
  AND(
    TRIM(A2626)=TRIM(Enginuity!$A$1),
    TRIM(B2626)=TRIM(Enginuity!$A$17),
    Q2626&lt;&gt;"",
    Q2626&lt;&gt;0,
    OR(
      TRIM(C2626)=TRIM(Enginuity!$A$18),
      AND(UPPER(TRIM(M2626))="STD", TRIM(B2626)=TRIM(Enginuity!$A$17))
    ),
    OR(
      AND(LEFT(P2626,5)="1-Way", Enginuity!$B$13=1),
      AND(LEFT(P2626,5)="2-Way", OR(Enginuity!$B$13=2, Enginuity!$B$13=4)),
      AND(LEFT(P2626,5)="3-Way", OR(Enginuity!$B$13=3, Enginuity!$B$13=6)),
      AND(P2626="Inner Centre Jamb", OR(Enginuity!$B$13=4, Enginuity!$B$13=6)),
      AND(
        LEFT(P2626,5)&lt;&gt;"1-Way",
        LEFT(P2626,5)&lt;&gt;"2-Way",
        LEFT(P2626,5)&lt;&gt;"3-Way",
        P2626&lt;&gt;"Inner Centre Jamb"
      )
    ),
    IF(OR(Enginuity!$A$1="Frameless Glass",Enginuity!$A$1="Metal Work"),
      AND(TRIM(B2626)=TRIM(Enginuity!$A$17),TRIM(C2626)=TRIM(Enginuity!$A$18)),
      TRIM(B2626)=TRIM(Enginuity!$A$17)
    )
  ),
  ROW(),
  ""
)</f>
        <v/>
      </c>
    </row>
    <row r="2627" spans="21:21" x14ac:dyDescent="0.25">
      <c r="U2627" s="104" t="str">
        <f>IF(
  AND(
    TRIM(A2627)=TRIM(Enginuity!$A$1),
    TRIM(B2627)=TRIM(Enginuity!$A$17),
    Q2627&lt;&gt;"",
    Q2627&lt;&gt;0,
    OR(
      TRIM(C2627)=TRIM(Enginuity!$A$18),
      AND(UPPER(TRIM(M2627))="STD", TRIM(B2627)=TRIM(Enginuity!$A$17))
    ),
    OR(
      AND(LEFT(P2627,5)="1-Way", Enginuity!$B$13=1),
      AND(LEFT(P2627,5)="2-Way", OR(Enginuity!$B$13=2, Enginuity!$B$13=4)),
      AND(LEFT(P2627,5)="3-Way", OR(Enginuity!$B$13=3, Enginuity!$B$13=6)),
      AND(P2627="Inner Centre Jamb", OR(Enginuity!$B$13=4, Enginuity!$B$13=6)),
      AND(
        LEFT(P2627,5)&lt;&gt;"1-Way",
        LEFT(P2627,5)&lt;&gt;"2-Way",
        LEFT(P2627,5)&lt;&gt;"3-Way",
        P2627&lt;&gt;"Inner Centre Jamb"
      )
    ),
    IF(OR(Enginuity!$A$1="Frameless Glass",Enginuity!$A$1="Metal Work"),
      AND(TRIM(B2627)=TRIM(Enginuity!$A$17),TRIM(C2627)=TRIM(Enginuity!$A$18)),
      TRIM(B2627)=TRIM(Enginuity!$A$17)
    )
  ),
  ROW(),
  ""
)</f>
        <v/>
      </c>
    </row>
    <row r="2628" spans="21:21" x14ac:dyDescent="0.25">
      <c r="U2628" s="104" t="str">
        <f>IF(
  AND(
    TRIM(A2628)=TRIM(Enginuity!$A$1),
    TRIM(B2628)=TRIM(Enginuity!$A$17),
    Q2628&lt;&gt;"",
    Q2628&lt;&gt;0,
    OR(
      TRIM(C2628)=TRIM(Enginuity!$A$18),
      AND(UPPER(TRIM(M2628))="STD", TRIM(B2628)=TRIM(Enginuity!$A$17))
    ),
    OR(
      AND(LEFT(P2628,5)="1-Way", Enginuity!$B$13=1),
      AND(LEFT(P2628,5)="2-Way", OR(Enginuity!$B$13=2, Enginuity!$B$13=4)),
      AND(LEFT(P2628,5)="3-Way", OR(Enginuity!$B$13=3, Enginuity!$B$13=6)),
      AND(P2628="Inner Centre Jamb", OR(Enginuity!$B$13=4, Enginuity!$B$13=6)),
      AND(
        LEFT(P2628,5)&lt;&gt;"1-Way",
        LEFT(P2628,5)&lt;&gt;"2-Way",
        LEFT(P2628,5)&lt;&gt;"3-Way",
        P2628&lt;&gt;"Inner Centre Jamb"
      )
    ),
    IF(OR(Enginuity!$A$1="Frameless Glass",Enginuity!$A$1="Metal Work"),
      AND(TRIM(B2628)=TRIM(Enginuity!$A$17),TRIM(C2628)=TRIM(Enginuity!$A$18)),
      TRIM(B2628)=TRIM(Enginuity!$A$17)
    )
  ),
  ROW(),
  ""
)</f>
        <v/>
      </c>
    </row>
    <row r="2629" spans="21:21" x14ac:dyDescent="0.25">
      <c r="U2629" s="104" t="str">
        <f>IF(
  AND(
    TRIM(A2629)=TRIM(Enginuity!$A$1),
    TRIM(B2629)=TRIM(Enginuity!$A$17),
    Q2629&lt;&gt;"",
    Q2629&lt;&gt;0,
    OR(
      TRIM(C2629)=TRIM(Enginuity!$A$18),
      AND(UPPER(TRIM(M2629))="STD", TRIM(B2629)=TRIM(Enginuity!$A$17))
    ),
    OR(
      AND(LEFT(P2629,5)="1-Way", Enginuity!$B$13=1),
      AND(LEFT(P2629,5)="2-Way", OR(Enginuity!$B$13=2, Enginuity!$B$13=4)),
      AND(LEFT(P2629,5)="3-Way", OR(Enginuity!$B$13=3, Enginuity!$B$13=6)),
      AND(P2629="Inner Centre Jamb", OR(Enginuity!$B$13=4, Enginuity!$B$13=6)),
      AND(
        LEFT(P2629,5)&lt;&gt;"1-Way",
        LEFT(P2629,5)&lt;&gt;"2-Way",
        LEFT(P2629,5)&lt;&gt;"3-Way",
        P2629&lt;&gt;"Inner Centre Jamb"
      )
    ),
    IF(OR(Enginuity!$A$1="Frameless Glass",Enginuity!$A$1="Metal Work"),
      AND(TRIM(B2629)=TRIM(Enginuity!$A$17),TRIM(C2629)=TRIM(Enginuity!$A$18)),
      TRIM(B2629)=TRIM(Enginuity!$A$17)
    )
  ),
  ROW(),
  ""
)</f>
        <v/>
      </c>
    </row>
    <row r="2630" spans="21:21" x14ac:dyDescent="0.25">
      <c r="U2630" s="104" t="str">
        <f>IF(
  AND(
    TRIM(A2630)=TRIM(Enginuity!$A$1),
    TRIM(B2630)=TRIM(Enginuity!$A$17),
    Q2630&lt;&gt;"",
    Q2630&lt;&gt;0,
    OR(
      TRIM(C2630)=TRIM(Enginuity!$A$18),
      AND(UPPER(TRIM(M2630))="STD", TRIM(B2630)=TRIM(Enginuity!$A$17))
    ),
    OR(
      AND(LEFT(P2630,5)="1-Way", Enginuity!$B$13=1),
      AND(LEFT(P2630,5)="2-Way", OR(Enginuity!$B$13=2, Enginuity!$B$13=4)),
      AND(LEFT(P2630,5)="3-Way", OR(Enginuity!$B$13=3, Enginuity!$B$13=6)),
      AND(P2630="Inner Centre Jamb", OR(Enginuity!$B$13=4, Enginuity!$B$13=6)),
      AND(
        LEFT(P2630,5)&lt;&gt;"1-Way",
        LEFT(P2630,5)&lt;&gt;"2-Way",
        LEFT(P2630,5)&lt;&gt;"3-Way",
        P2630&lt;&gt;"Inner Centre Jamb"
      )
    ),
    IF(OR(Enginuity!$A$1="Frameless Glass",Enginuity!$A$1="Metal Work"),
      AND(TRIM(B2630)=TRIM(Enginuity!$A$17),TRIM(C2630)=TRIM(Enginuity!$A$18)),
      TRIM(B2630)=TRIM(Enginuity!$A$17)
    )
  ),
  ROW(),
  ""
)</f>
        <v/>
      </c>
    </row>
    <row r="2631" spans="21:21" x14ac:dyDescent="0.25">
      <c r="U2631" s="104" t="str">
        <f>IF(
  AND(
    TRIM(A2631)=TRIM(Enginuity!$A$1),
    TRIM(B2631)=TRIM(Enginuity!$A$17),
    Q2631&lt;&gt;"",
    Q2631&lt;&gt;0,
    OR(
      TRIM(C2631)=TRIM(Enginuity!$A$18),
      AND(UPPER(TRIM(M2631))="STD", TRIM(B2631)=TRIM(Enginuity!$A$17))
    ),
    OR(
      AND(LEFT(P2631,5)="1-Way", Enginuity!$B$13=1),
      AND(LEFT(P2631,5)="2-Way", OR(Enginuity!$B$13=2, Enginuity!$B$13=4)),
      AND(LEFT(P2631,5)="3-Way", OR(Enginuity!$B$13=3, Enginuity!$B$13=6)),
      AND(P2631="Inner Centre Jamb", OR(Enginuity!$B$13=4, Enginuity!$B$13=6)),
      AND(
        LEFT(P2631,5)&lt;&gt;"1-Way",
        LEFT(P2631,5)&lt;&gt;"2-Way",
        LEFT(P2631,5)&lt;&gt;"3-Way",
        P2631&lt;&gt;"Inner Centre Jamb"
      )
    ),
    IF(OR(Enginuity!$A$1="Frameless Glass",Enginuity!$A$1="Metal Work"),
      AND(TRIM(B2631)=TRIM(Enginuity!$A$17),TRIM(C2631)=TRIM(Enginuity!$A$18)),
      TRIM(B2631)=TRIM(Enginuity!$A$17)
    )
  ),
  ROW(),
  ""
)</f>
        <v/>
      </c>
    </row>
    <row r="2632" spans="21:21" x14ac:dyDescent="0.25">
      <c r="U2632" s="104" t="str">
        <f>IF(
  AND(
    TRIM(A2632)=TRIM(Enginuity!$A$1),
    TRIM(B2632)=TRIM(Enginuity!$A$17),
    Q2632&lt;&gt;"",
    Q2632&lt;&gt;0,
    OR(
      TRIM(C2632)=TRIM(Enginuity!$A$18),
      AND(UPPER(TRIM(M2632))="STD", TRIM(B2632)=TRIM(Enginuity!$A$17))
    ),
    OR(
      AND(LEFT(P2632,5)="1-Way", Enginuity!$B$13=1),
      AND(LEFT(P2632,5)="2-Way", OR(Enginuity!$B$13=2, Enginuity!$B$13=4)),
      AND(LEFT(P2632,5)="3-Way", OR(Enginuity!$B$13=3, Enginuity!$B$13=6)),
      AND(P2632="Inner Centre Jamb", OR(Enginuity!$B$13=4, Enginuity!$B$13=6)),
      AND(
        LEFT(P2632,5)&lt;&gt;"1-Way",
        LEFT(P2632,5)&lt;&gt;"2-Way",
        LEFT(P2632,5)&lt;&gt;"3-Way",
        P2632&lt;&gt;"Inner Centre Jamb"
      )
    ),
    IF(OR(Enginuity!$A$1="Frameless Glass",Enginuity!$A$1="Metal Work"),
      AND(TRIM(B2632)=TRIM(Enginuity!$A$17),TRIM(C2632)=TRIM(Enginuity!$A$18)),
      TRIM(B2632)=TRIM(Enginuity!$A$17)
    )
  ),
  ROW(),
  ""
)</f>
        <v/>
      </c>
    </row>
    <row r="2633" spans="21:21" x14ac:dyDescent="0.25">
      <c r="U2633" s="104" t="str">
        <f>IF(
  AND(
    TRIM(A2633)=TRIM(Enginuity!$A$1),
    TRIM(B2633)=TRIM(Enginuity!$A$17),
    Q2633&lt;&gt;"",
    Q2633&lt;&gt;0,
    OR(
      TRIM(C2633)=TRIM(Enginuity!$A$18),
      AND(UPPER(TRIM(M2633))="STD", TRIM(B2633)=TRIM(Enginuity!$A$17))
    ),
    OR(
      AND(LEFT(P2633,5)="1-Way", Enginuity!$B$13=1),
      AND(LEFT(P2633,5)="2-Way", OR(Enginuity!$B$13=2, Enginuity!$B$13=4)),
      AND(LEFT(P2633,5)="3-Way", OR(Enginuity!$B$13=3, Enginuity!$B$13=6)),
      AND(P2633="Inner Centre Jamb", OR(Enginuity!$B$13=4, Enginuity!$B$13=6)),
      AND(
        LEFT(P2633,5)&lt;&gt;"1-Way",
        LEFT(P2633,5)&lt;&gt;"2-Way",
        LEFT(P2633,5)&lt;&gt;"3-Way",
        P2633&lt;&gt;"Inner Centre Jamb"
      )
    ),
    IF(OR(Enginuity!$A$1="Frameless Glass",Enginuity!$A$1="Metal Work"),
      AND(TRIM(B2633)=TRIM(Enginuity!$A$17),TRIM(C2633)=TRIM(Enginuity!$A$18)),
      TRIM(B2633)=TRIM(Enginuity!$A$17)
    )
  ),
  ROW(),
  ""
)</f>
        <v/>
      </c>
    </row>
    <row r="2634" spans="21:21" x14ac:dyDescent="0.25">
      <c r="U2634" s="104" t="str">
        <f>IF(
  AND(
    TRIM(A2634)=TRIM(Enginuity!$A$1),
    TRIM(B2634)=TRIM(Enginuity!$A$17),
    Q2634&lt;&gt;"",
    Q2634&lt;&gt;0,
    OR(
      TRIM(C2634)=TRIM(Enginuity!$A$18),
      AND(UPPER(TRIM(M2634))="STD", TRIM(B2634)=TRIM(Enginuity!$A$17))
    ),
    OR(
      AND(LEFT(P2634,5)="1-Way", Enginuity!$B$13=1),
      AND(LEFT(P2634,5)="2-Way", OR(Enginuity!$B$13=2, Enginuity!$B$13=4)),
      AND(LEFT(P2634,5)="3-Way", OR(Enginuity!$B$13=3, Enginuity!$B$13=6)),
      AND(P2634="Inner Centre Jamb", OR(Enginuity!$B$13=4, Enginuity!$B$13=6)),
      AND(
        LEFT(P2634,5)&lt;&gt;"1-Way",
        LEFT(P2634,5)&lt;&gt;"2-Way",
        LEFT(P2634,5)&lt;&gt;"3-Way",
        P2634&lt;&gt;"Inner Centre Jamb"
      )
    ),
    IF(OR(Enginuity!$A$1="Frameless Glass",Enginuity!$A$1="Metal Work"),
      AND(TRIM(B2634)=TRIM(Enginuity!$A$17),TRIM(C2634)=TRIM(Enginuity!$A$18)),
      TRIM(B2634)=TRIM(Enginuity!$A$17)
    )
  ),
  ROW(),
  ""
)</f>
        <v/>
      </c>
    </row>
    <row r="2635" spans="21:21" x14ac:dyDescent="0.25">
      <c r="U2635" s="104" t="str">
        <f>IF(
  AND(
    TRIM(A2635)=TRIM(Enginuity!$A$1),
    TRIM(B2635)=TRIM(Enginuity!$A$17),
    Q2635&lt;&gt;"",
    Q2635&lt;&gt;0,
    OR(
      TRIM(C2635)=TRIM(Enginuity!$A$18),
      AND(UPPER(TRIM(M2635))="STD", TRIM(B2635)=TRIM(Enginuity!$A$17))
    ),
    OR(
      AND(LEFT(P2635,5)="1-Way", Enginuity!$B$13=1),
      AND(LEFT(P2635,5)="2-Way", OR(Enginuity!$B$13=2, Enginuity!$B$13=4)),
      AND(LEFT(P2635,5)="3-Way", OR(Enginuity!$B$13=3, Enginuity!$B$13=6)),
      AND(P2635="Inner Centre Jamb", OR(Enginuity!$B$13=4, Enginuity!$B$13=6)),
      AND(
        LEFT(P2635,5)&lt;&gt;"1-Way",
        LEFT(P2635,5)&lt;&gt;"2-Way",
        LEFT(P2635,5)&lt;&gt;"3-Way",
        P2635&lt;&gt;"Inner Centre Jamb"
      )
    ),
    IF(OR(Enginuity!$A$1="Frameless Glass",Enginuity!$A$1="Metal Work"),
      AND(TRIM(B2635)=TRIM(Enginuity!$A$17),TRIM(C2635)=TRIM(Enginuity!$A$18)),
      TRIM(B2635)=TRIM(Enginuity!$A$17)
    )
  ),
  ROW(),
  ""
)</f>
        <v/>
      </c>
    </row>
    <row r="2636" spans="21:21" x14ac:dyDescent="0.25">
      <c r="U2636" s="104" t="str">
        <f>IF(
  AND(
    TRIM(A2636)=TRIM(Enginuity!$A$1),
    TRIM(B2636)=TRIM(Enginuity!$A$17),
    Q2636&lt;&gt;"",
    Q2636&lt;&gt;0,
    OR(
      TRIM(C2636)=TRIM(Enginuity!$A$18),
      AND(UPPER(TRIM(M2636))="STD", TRIM(B2636)=TRIM(Enginuity!$A$17))
    ),
    OR(
      AND(LEFT(P2636,5)="1-Way", Enginuity!$B$13=1),
      AND(LEFT(P2636,5)="2-Way", OR(Enginuity!$B$13=2, Enginuity!$B$13=4)),
      AND(LEFT(P2636,5)="3-Way", OR(Enginuity!$B$13=3, Enginuity!$B$13=6)),
      AND(P2636="Inner Centre Jamb", OR(Enginuity!$B$13=4, Enginuity!$B$13=6)),
      AND(
        LEFT(P2636,5)&lt;&gt;"1-Way",
        LEFT(P2636,5)&lt;&gt;"2-Way",
        LEFT(P2636,5)&lt;&gt;"3-Way",
        P2636&lt;&gt;"Inner Centre Jamb"
      )
    ),
    IF(OR(Enginuity!$A$1="Frameless Glass",Enginuity!$A$1="Metal Work"),
      AND(TRIM(B2636)=TRIM(Enginuity!$A$17),TRIM(C2636)=TRIM(Enginuity!$A$18)),
      TRIM(B2636)=TRIM(Enginuity!$A$17)
    )
  ),
  ROW(),
  ""
)</f>
        <v/>
      </c>
    </row>
    <row r="2637" spans="21:21" x14ac:dyDescent="0.25">
      <c r="U2637" s="104" t="str">
        <f>IF(
  AND(
    TRIM(A2637)=TRIM(Enginuity!$A$1),
    TRIM(B2637)=TRIM(Enginuity!$A$17),
    Q2637&lt;&gt;"",
    Q2637&lt;&gt;0,
    OR(
      TRIM(C2637)=TRIM(Enginuity!$A$18),
      AND(UPPER(TRIM(M2637))="STD", TRIM(B2637)=TRIM(Enginuity!$A$17))
    ),
    OR(
      AND(LEFT(P2637,5)="1-Way", Enginuity!$B$13=1),
      AND(LEFT(P2637,5)="2-Way", OR(Enginuity!$B$13=2, Enginuity!$B$13=4)),
      AND(LEFT(P2637,5)="3-Way", OR(Enginuity!$B$13=3, Enginuity!$B$13=6)),
      AND(P2637="Inner Centre Jamb", OR(Enginuity!$B$13=4, Enginuity!$B$13=6)),
      AND(
        LEFT(P2637,5)&lt;&gt;"1-Way",
        LEFT(P2637,5)&lt;&gt;"2-Way",
        LEFT(P2637,5)&lt;&gt;"3-Way",
        P2637&lt;&gt;"Inner Centre Jamb"
      )
    ),
    IF(OR(Enginuity!$A$1="Frameless Glass",Enginuity!$A$1="Metal Work"),
      AND(TRIM(B2637)=TRIM(Enginuity!$A$17),TRIM(C2637)=TRIM(Enginuity!$A$18)),
      TRIM(B2637)=TRIM(Enginuity!$A$17)
    )
  ),
  ROW(),
  ""
)</f>
        <v/>
      </c>
    </row>
    <row r="2638" spans="21:21" x14ac:dyDescent="0.25">
      <c r="U2638" s="104" t="str">
        <f>IF(
  AND(
    TRIM(A2638)=TRIM(Enginuity!$A$1),
    TRIM(B2638)=TRIM(Enginuity!$A$17),
    Q2638&lt;&gt;"",
    Q2638&lt;&gt;0,
    OR(
      TRIM(C2638)=TRIM(Enginuity!$A$18),
      AND(UPPER(TRIM(M2638))="STD", TRIM(B2638)=TRIM(Enginuity!$A$17))
    ),
    OR(
      AND(LEFT(P2638,5)="1-Way", Enginuity!$B$13=1),
      AND(LEFT(P2638,5)="2-Way", OR(Enginuity!$B$13=2, Enginuity!$B$13=4)),
      AND(LEFT(P2638,5)="3-Way", OR(Enginuity!$B$13=3, Enginuity!$B$13=6)),
      AND(P2638="Inner Centre Jamb", OR(Enginuity!$B$13=4, Enginuity!$B$13=6)),
      AND(
        LEFT(P2638,5)&lt;&gt;"1-Way",
        LEFT(P2638,5)&lt;&gt;"2-Way",
        LEFT(P2638,5)&lt;&gt;"3-Way",
        P2638&lt;&gt;"Inner Centre Jamb"
      )
    ),
    IF(OR(Enginuity!$A$1="Frameless Glass",Enginuity!$A$1="Metal Work"),
      AND(TRIM(B2638)=TRIM(Enginuity!$A$17),TRIM(C2638)=TRIM(Enginuity!$A$18)),
      TRIM(B2638)=TRIM(Enginuity!$A$17)
    )
  ),
  ROW(),
  ""
)</f>
        <v/>
      </c>
    </row>
    <row r="2639" spans="21:21" x14ac:dyDescent="0.25">
      <c r="U2639" s="104" t="str">
        <f>IF(
  AND(
    TRIM(A2639)=TRIM(Enginuity!$A$1),
    TRIM(B2639)=TRIM(Enginuity!$A$17),
    Q2639&lt;&gt;"",
    Q2639&lt;&gt;0,
    OR(
      TRIM(C2639)=TRIM(Enginuity!$A$18),
      AND(UPPER(TRIM(M2639))="STD", TRIM(B2639)=TRIM(Enginuity!$A$17))
    ),
    OR(
      AND(LEFT(P2639,5)="1-Way", Enginuity!$B$13=1),
      AND(LEFT(P2639,5)="2-Way", OR(Enginuity!$B$13=2, Enginuity!$B$13=4)),
      AND(LEFT(P2639,5)="3-Way", OR(Enginuity!$B$13=3, Enginuity!$B$13=6)),
      AND(P2639="Inner Centre Jamb", OR(Enginuity!$B$13=4, Enginuity!$B$13=6)),
      AND(
        LEFT(P2639,5)&lt;&gt;"1-Way",
        LEFT(P2639,5)&lt;&gt;"2-Way",
        LEFT(P2639,5)&lt;&gt;"3-Way",
        P2639&lt;&gt;"Inner Centre Jamb"
      )
    ),
    IF(OR(Enginuity!$A$1="Frameless Glass",Enginuity!$A$1="Metal Work"),
      AND(TRIM(B2639)=TRIM(Enginuity!$A$17),TRIM(C2639)=TRIM(Enginuity!$A$18)),
      TRIM(B2639)=TRIM(Enginuity!$A$17)
    )
  ),
  ROW(),
  ""
)</f>
        <v/>
      </c>
    </row>
    <row r="2640" spans="21:21" x14ac:dyDescent="0.25">
      <c r="U2640" s="104" t="str">
        <f>IF(
  AND(
    TRIM(A2640)=TRIM(Enginuity!$A$1),
    TRIM(B2640)=TRIM(Enginuity!$A$17),
    Q2640&lt;&gt;"",
    Q2640&lt;&gt;0,
    OR(
      TRIM(C2640)=TRIM(Enginuity!$A$18),
      AND(UPPER(TRIM(M2640))="STD", TRIM(B2640)=TRIM(Enginuity!$A$17))
    ),
    OR(
      AND(LEFT(P2640,5)="1-Way", Enginuity!$B$13=1),
      AND(LEFT(P2640,5)="2-Way", OR(Enginuity!$B$13=2, Enginuity!$B$13=4)),
      AND(LEFT(P2640,5)="3-Way", OR(Enginuity!$B$13=3, Enginuity!$B$13=6)),
      AND(P2640="Inner Centre Jamb", OR(Enginuity!$B$13=4, Enginuity!$B$13=6)),
      AND(
        LEFT(P2640,5)&lt;&gt;"1-Way",
        LEFT(P2640,5)&lt;&gt;"2-Way",
        LEFT(P2640,5)&lt;&gt;"3-Way",
        P2640&lt;&gt;"Inner Centre Jamb"
      )
    ),
    IF(OR(Enginuity!$A$1="Frameless Glass",Enginuity!$A$1="Metal Work"),
      AND(TRIM(B2640)=TRIM(Enginuity!$A$17),TRIM(C2640)=TRIM(Enginuity!$A$18)),
      TRIM(B2640)=TRIM(Enginuity!$A$17)
    )
  ),
  ROW(),
  ""
)</f>
        <v/>
      </c>
    </row>
    <row r="2641" spans="21:21" x14ac:dyDescent="0.25">
      <c r="U2641" s="104" t="str">
        <f>IF(
  AND(
    TRIM(A2641)=TRIM(Enginuity!$A$1),
    TRIM(B2641)=TRIM(Enginuity!$A$17),
    Q2641&lt;&gt;"",
    Q2641&lt;&gt;0,
    OR(
      TRIM(C2641)=TRIM(Enginuity!$A$18),
      AND(UPPER(TRIM(M2641))="STD", TRIM(B2641)=TRIM(Enginuity!$A$17))
    ),
    OR(
      AND(LEFT(P2641,5)="1-Way", Enginuity!$B$13=1),
      AND(LEFT(P2641,5)="2-Way", OR(Enginuity!$B$13=2, Enginuity!$B$13=4)),
      AND(LEFT(P2641,5)="3-Way", OR(Enginuity!$B$13=3, Enginuity!$B$13=6)),
      AND(P2641="Inner Centre Jamb", OR(Enginuity!$B$13=4, Enginuity!$B$13=6)),
      AND(
        LEFT(P2641,5)&lt;&gt;"1-Way",
        LEFT(P2641,5)&lt;&gt;"2-Way",
        LEFT(P2641,5)&lt;&gt;"3-Way",
        P2641&lt;&gt;"Inner Centre Jamb"
      )
    ),
    IF(OR(Enginuity!$A$1="Frameless Glass",Enginuity!$A$1="Metal Work"),
      AND(TRIM(B2641)=TRIM(Enginuity!$A$17),TRIM(C2641)=TRIM(Enginuity!$A$18)),
      TRIM(B2641)=TRIM(Enginuity!$A$17)
    )
  ),
  ROW(),
  ""
)</f>
        <v/>
      </c>
    </row>
    <row r="2642" spans="21:21" x14ac:dyDescent="0.25">
      <c r="U2642" s="104" t="str">
        <f>IF(
  AND(
    TRIM(A2642)=TRIM(Enginuity!$A$1),
    TRIM(B2642)=TRIM(Enginuity!$A$17),
    Q2642&lt;&gt;"",
    Q2642&lt;&gt;0,
    OR(
      TRIM(C2642)=TRIM(Enginuity!$A$18),
      AND(UPPER(TRIM(M2642))="STD", TRIM(B2642)=TRIM(Enginuity!$A$17))
    ),
    OR(
      AND(LEFT(P2642,5)="1-Way", Enginuity!$B$13=1),
      AND(LEFT(P2642,5)="2-Way", OR(Enginuity!$B$13=2, Enginuity!$B$13=4)),
      AND(LEFT(P2642,5)="3-Way", OR(Enginuity!$B$13=3, Enginuity!$B$13=6)),
      AND(P2642="Inner Centre Jamb", OR(Enginuity!$B$13=4, Enginuity!$B$13=6)),
      AND(
        LEFT(P2642,5)&lt;&gt;"1-Way",
        LEFT(P2642,5)&lt;&gt;"2-Way",
        LEFT(P2642,5)&lt;&gt;"3-Way",
        P2642&lt;&gt;"Inner Centre Jamb"
      )
    ),
    IF(OR(Enginuity!$A$1="Frameless Glass",Enginuity!$A$1="Metal Work"),
      AND(TRIM(B2642)=TRIM(Enginuity!$A$17),TRIM(C2642)=TRIM(Enginuity!$A$18)),
      TRIM(B2642)=TRIM(Enginuity!$A$17)
    )
  ),
  ROW(),
  ""
)</f>
        <v/>
      </c>
    </row>
    <row r="2643" spans="21:21" x14ac:dyDescent="0.25">
      <c r="U2643" s="104" t="str">
        <f>IF(
  AND(
    TRIM(A2643)=TRIM(Enginuity!$A$1),
    TRIM(B2643)=TRIM(Enginuity!$A$17),
    Q2643&lt;&gt;"",
    Q2643&lt;&gt;0,
    OR(
      TRIM(C2643)=TRIM(Enginuity!$A$18),
      AND(UPPER(TRIM(M2643))="STD", TRIM(B2643)=TRIM(Enginuity!$A$17))
    ),
    OR(
      AND(LEFT(P2643,5)="1-Way", Enginuity!$B$13=1),
      AND(LEFT(P2643,5)="2-Way", OR(Enginuity!$B$13=2, Enginuity!$B$13=4)),
      AND(LEFT(P2643,5)="3-Way", OR(Enginuity!$B$13=3, Enginuity!$B$13=6)),
      AND(P2643="Inner Centre Jamb", OR(Enginuity!$B$13=4, Enginuity!$B$13=6)),
      AND(
        LEFT(P2643,5)&lt;&gt;"1-Way",
        LEFT(P2643,5)&lt;&gt;"2-Way",
        LEFT(P2643,5)&lt;&gt;"3-Way",
        P2643&lt;&gt;"Inner Centre Jamb"
      )
    ),
    IF(OR(Enginuity!$A$1="Frameless Glass",Enginuity!$A$1="Metal Work"),
      AND(TRIM(B2643)=TRIM(Enginuity!$A$17),TRIM(C2643)=TRIM(Enginuity!$A$18)),
      TRIM(B2643)=TRIM(Enginuity!$A$17)
    )
  ),
  ROW(),
  ""
)</f>
        <v/>
      </c>
    </row>
    <row r="2644" spans="21:21" x14ac:dyDescent="0.25">
      <c r="U2644" s="104" t="str">
        <f>IF(
  AND(
    TRIM(A2644)=TRIM(Enginuity!$A$1),
    TRIM(B2644)=TRIM(Enginuity!$A$17),
    Q2644&lt;&gt;"",
    Q2644&lt;&gt;0,
    OR(
      TRIM(C2644)=TRIM(Enginuity!$A$18),
      AND(UPPER(TRIM(M2644))="STD", TRIM(B2644)=TRIM(Enginuity!$A$17))
    ),
    OR(
      AND(LEFT(P2644,5)="1-Way", Enginuity!$B$13=1),
      AND(LEFT(P2644,5)="2-Way", OR(Enginuity!$B$13=2, Enginuity!$B$13=4)),
      AND(LEFT(P2644,5)="3-Way", OR(Enginuity!$B$13=3, Enginuity!$B$13=6)),
      AND(P2644="Inner Centre Jamb", OR(Enginuity!$B$13=4, Enginuity!$B$13=6)),
      AND(
        LEFT(P2644,5)&lt;&gt;"1-Way",
        LEFT(P2644,5)&lt;&gt;"2-Way",
        LEFT(P2644,5)&lt;&gt;"3-Way",
        P2644&lt;&gt;"Inner Centre Jamb"
      )
    ),
    IF(OR(Enginuity!$A$1="Frameless Glass",Enginuity!$A$1="Metal Work"),
      AND(TRIM(B2644)=TRIM(Enginuity!$A$17),TRIM(C2644)=TRIM(Enginuity!$A$18)),
      TRIM(B2644)=TRIM(Enginuity!$A$17)
    )
  ),
  ROW(),
  ""
)</f>
        <v/>
      </c>
    </row>
    <row r="2645" spans="21:21" x14ac:dyDescent="0.25">
      <c r="U2645" s="104" t="str">
        <f>IF(
  AND(
    TRIM(A2645)=TRIM(Enginuity!$A$1),
    TRIM(B2645)=TRIM(Enginuity!$A$17),
    Q2645&lt;&gt;"",
    Q2645&lt;&gt;0,
    OR(
      TRIM(C2645)=TRIM(Enginuity!$A$18),
      AND(UPPER(TRIM(M2645))="STD", TRIM(B2645)=TRIM(Enginuity!$A$17))
    ),
    OR(
      AND(LEFT(P2645,5)="1-Way", Enginuity!$B$13=1),
      AND(LEFT(P2645,5)="2-Way", OR(Enginuity!$B$13=2, Enginuity!$B$13=4)),
      AND(LEFT(P2645,5)="3-Way", OR(Enginuity!$B$13=3, Enginuity!$B$13=6)),
      AND(P2645="Inner Centre Jamb", OR(Enginuity!$B$13=4, Enginuity!$B$13=6)),
      AND(
        LEFT(P2645,5)&lt;&gt;"1-Way",
        LEFT(P2645,5)&lt;&gt;"2-Way",
        LEFT(P2645,5)&lt;&gt;"3-Way",
        P2645&lt;&gt;"Inner Centre Jamb"
      )
    ),
    IF(OR(Enginuity!$A$1="Frameless Glass",Enginuity!$A$1="Metal Work"),
      AND(TRIM(B2645)=TRIM(Enginuity!$A$17),TRIM(C2645)=TRIM(Enginuity!$A$18)),
      TRIM(B2645)=TRIM(Enginuity!$A$17)
    )
  ),
  ROW(),
  ""
)</f>
        <v/>
      </c>
    </row>
    <row r="2646" spans="21:21" x14ac:dyDescent="0.25">
      <c r="U2646" s="104" t="str">
        <f>IF(
  AND(
    TRIM(A2646)=TRIM(Enginuity!$A$1),
    TRIM(B2646)=TRIM(Enginuity!$A$17),
    Q2646&lt;&gt;"",
    Q2646&lt;&gt;0,
    OR(
      TRIM(C2646)=TRIM(Enginuity!$A$18),
      AND(UPPER(TRIM(M2646))="STD", TRIM(B2646)=TRIM(Enginuity!$A$17))
    ),
    OR(
      AND(LEFT(P2646,5)="1-Way", Enginuity!$B$13=1),
      AND(LEFT(P2646,5)="2-Way", OR(Enginuity!$B$13=2, Enginuity!$B$13=4)),
      AND(LEFT(P2646,5)="3-Way", OR(Enginuity!$B$13=3, Enginuity!$B$13=6)),
      AND(P2646="Inner Centre Jamb", OR(Enginuity!$B$13=4, Enginuity!$B$13=6)),
      AND(
        LEFT(P2646,5)&lt;&gt;"1-Way",
        LEFT(P2646,5)&lt;&gt;"2-Way",
        LEFT(P2646,5)&lt;&gt;"3-Way",
        P2646&lt;&gt;"Inner Centre Jamb"
      )
    ),
    IF(OR(Enginuity!$A$1="Frameless Glass",Enginuity!$A$1="Metal Work"),
      AND(TRIM(B2646)=TRIM(Enginuity!$A$17),TRIM(C2646)=TRIM(Enginuity!$A$18)),
      TRIM(B2646)=TRIM(Enginuity!$A$17)
    )
  ),
  ROW(),
  ""
)</f>
        <v/>
      </c>
    </row>
    <row r="2647" spans="21:21" x14ac:dyDescent="0.25">
      <c r="U2647" s="104" t="str">
        <f>IF(
  AND(
    TRIM(A2647)=TRIM(Enginuity!$A$1),
    TRIM(B2647)=TRIM(Enginuity!$A$17),
    Q2647&lt;&gt;"",
    Q2647&lt;&gt;0,
    OR(
      TRIM(C2647)=TRIM(Enginuity!$A$18),
      AND(UPPER(TRIM(M2647))="STD", TRIM(B2647)=TRIM(Enginuity!$A$17))
    ),
    OR(
      AND(LEFT(P2647,5)="1-Way", Enginuity!$B$13=1),
      AND(LEFT(P2647,5)="2-Way", OR(Enginuity!$B$13=2, Enginuity!$B$13=4)),
      AND(LEFT(P2647,5)="3-Way", OR(Enginuity!$B$13=3, Enginuity!$B$13=6)),
      AND(P2647="Inner Centre Jamb", OR(Enginuity!$B$13=4, Enginuity!$B$13=6)),
      AND(
        LEFT(P2647,5)&lt;&gt;"1-Way",
        LEFT(P2647,5)&lt;&gt;"2-Way",
        LEFT(P2647,5)&lt;&gt;"3-Way",
        P2647&lt;&gt;"Inner Centre Jamb"
      )
    ),
    IF(OR(Enginuity!$A$1="Frameless Glass",Enginuity!$A$1="Metal Work"),
      AND(TRIM(B2647)=TRIM(Enginuity!$A$17),TRIM(C2647)=TRIM(Enginuity!$A$18)),
      TRIM(B2647)=TRIM(Enginuity!$A$17)
    )
  ),
  ROW(),
  ""
)</f>
        <v/>
      </c>
    </row>
    <row r="2648" spans="21:21" x14ac:dyDescent="0.25">
      <c r="U2648" s="104" t="str">
        <f>IF(
  AND(
    TRIM(A2648)=TRIM(Enginuity!$A$1),
    TRIM(B2648)=TRIM(Enginuity!$A$17),
    Q2648&lt;&gt;"",
    Q2648&lt;&gt;0,
    OR(
      TRIM(C2648)=TRIM(Enginuity!$A$18),
      AND(UPPER(TRIM(M2648))="STD", TRIM(B2648)=TRIM(Enginuity!$A$17))
    ),
    OR(
      AND(LEFT(P2648,5)="1-Way", Enginuity!$B$13=1),
      AND(LEFT(P2648,5)="2-Way", OR(Enginuity!$B$13=2, Enginuity!$B$13=4)),
      AND(LEFT(P2648,5)="3-Way", OR(Enginuity!$B$13=3, Enginuity!$B$13=6)),
      AND(P2648="Inner Centre Jamb", OR(Enginuity!$B$13=4, Enginuity!$B$13=6)),
      AND(
        LEFT(P2648,5)&lt;&gt;"1-Way",
        LEFT(P2648,5)&lt;&gt;"2-Way",
        LEFT(P2648,5)&lt;&gt;"3-Way",
        P2648&lt;&gt;"Inner Centre Jamb"
      )
    ),
    IF(OR(Enginuity!$A$1="Frameless Glass",Enginuity!$A$1="Metal Work"),
      AND(TRIM(B2648)=TRIM(Enginuity!$A$17),TRIM(C2648)=TRIM(Enginuity!$A$18)),
      TRIM(B2648)=TRIM(Enginuity!$A$17)
    )
  ),
  ROW(),
  ""
)</f>
        <v/>
      </c>
    </row>
    <row r="2649" spans="21:21" x14ac:dyDescent="0.25">
      <c r="U2649" s="104" t="str">
        <f>IF(
  AND(
    TRIM(A2649)=TRIM(Enginuity!$A$1),
    TRIM(B2649)=TRIM(Enginuity!$A$17),
    Q2649&lt;&gt;"",
    Q2649&lt;&gt;0,
    OR(
      TRIM(C2649)=TRIM(Enginuity!$A$18),
      AND(UPPER(TRIM(M2649))="STD", TRIM(B2649)=TRIM(Enginuity!$A$17))
    ),
    OR(
      AND(LEFT(P2649,5)="1-Way", Enginuity!$B$13=1),
      AND(LEFT(P2649,5)="2-Way", OR(Enginuity!$B$13=2, Enginuity!$B$13=4)),
      AND(LEFT(P2649,5)="3-Way", OR(Enginuity!$B$13=3, Enginuity!$B$13=6)),
      AND(P2649="Inner Centre Jamb", OR(Enginuity!$B$13=4, Enginuity!$B$13=6)),
      AND(
        LEFT(P2649,5)&lt;&gt;"1-Way",
        LEFT(P2649,5)&lt;&gt;"2-Way",
        LEFT(P2649,5)&lt;&gt;"3-Way",
        P2649&lt;&gt;"Inner Centre Jamb"
      )
    ),
    IF(OR(Enginuity!$A$1="Frameless Glass",Enginuity!$A$1="Metal Work"),
      AND(TRIM(B2649)=TRIM(Enginuity!$A$17),TRIM(C2649)=TRIM(Enginuity!$A$18)),
      TRIM(B2649)=TRIM(Enginuity!$A$17)
    )
  ),
  ROW(),
  ""
)</f>
        <v/>
      </c>
    </row>
    <row r="2650" spans="21:21" x14ac:dyDescent="0.25">
      <c r="U2650" s="104" t="str">
        <f>IF(
  AND(
    TRIM(A2650)=TRIM(Enginuity!$A$1),
    TRIM(B2650)=TRIM(Enginuity!$A$17),
    Q2650&lt;&gt;"",
    Q2650&lt;&gt;0,
    OR(
      TRIM(C2650)=TRIM(Enginuity!$A$18),
      AND(UPPER(TRIM(M2650))="STD", TRIM(B2650)=TRIM(Enginuity!$A$17))
    ),
    OR(
      AND(LEFT(P2650,5)="1-Way", Enginuity!$B$13=1),
      AND(LEFT(P2650,5)="2-Way", OR(Enginuity!$B$13=2, Enginuity!$B$13=4)),
      AND(LEFT(P2650,5)="3-Way", OR(Enginuity!$B$13=3, Enginuity!$B$13=6)),
      AND(P2650="Inner Centre Jamb", OR(Enginuity!$B$13=4, Enginuity!$B$13=6)),
      AND(
        LEFT(P2650,5)&lt;&gt;"1-Way",
        LEFT(P2650,5)&lt;&gt;"2-Way",
        LEFT(P2650,5)&lt;&gt;"3-Way",
        P2650&lt;&gt;"Inner Centre Jamb"
      )
    ),
    IF(OR(Enginuity!$A$1="Frameless Glass",Enginuity!$A$1="Metal Work"),
      AND(TRIM(B2650)=TRIM(Enginuity!$A$17),TRIM(C2650)=TRIM(Enginuity!$A$18)),
      TRIM(B2650)=TRIM(Enginuity!$A$17)
    )
  ),
  ROW(),
  ""
)</f>
        <v/>
      </c>
    </row>
    <row r="2651" spans="21:21" x14ac:dyDescent="0.25">
      <c r="U2651" s="104" t="str">
        <f>IF(
  AND(
    TRIM(A2651)=TRIM(Enginuity!$A$1),
    TRIM(B2651)=TRIM(Enginuity!$A$17),
    Q2651&lt;&gt;"",
    Q2651&lt;&gt;0,
    OR(
      TRIM(C2651)=TRIM(Enginuity!$A$18),
      AND(UPPER(TRIM(M2651))="STD", TRIM(B2651)=TRIM(Enginuity!$A$17))
    ),
    OR(
      AND(LEFT(P2651,5)="1-Way", Enginuity!$B$13=1),
      AND(LEFT(P2651,5)="2-Way", OR(Enginuity!$B$13=2, Enginuity!$B$13=4)),
      AND(LEFT(P2651,5)="3-Way", OR(Enginuity!$B$13=3, Enginuity!$B$13=6)),
      AND(P2651="Inner Centre Jamb", OR(Enginuity!$B$13=4, Enginuity!$B$13=6)),
      AND(
        LEFT(P2651,5)&lt;&gt;"1-Way",
        LEFT(P2651,5)&lt;&gt;"2-Way",
        LEFT(P2651,5)&lt;&gt;"3-Way",
        P2651&lt;&gt;"Inner Centre Jamb"
      )
    ),
    IF(OR(Enginuity!$A$1="Frameless Glass",Enginuity!$A$1="Metal Work"),
      AND(TRIM(B2651)=TRIM(Enginuity!$A$17),TRIM(C2651)=TRIM(Enginuity!$A$18)),
      TRIM(B2651)=TRIM(Enginuity!$A$17)
    )
  ),
  ROW(),
  ""
)</f>
        <v/>
      </c>
    </row>
    <row r="2652" spans="21:21" x14ac:dyDescent="0.25">
      <c r="U2652" s="104" t="str">
        <f>IF(
  AND(
    TRIM(A2652)=TRIM(Enginuity!$A$1),
    TRIM(B2652)=TRIM(Enginuity!$A$17),
    Q2652&lt;&gt;"",
    Q2652&lt;&gt;0,
    OR(
      TRIM(C2652)=TRIM(Enginuity!$A$18),
      AND(UPPER(TRIM(M2652))="STD", TRIM(B2652)=TRIM(Enginuity!$A$17))
    ),
    OR(
      AND(LEFT(P2652,5)="1-Way", Enginuity!$B$13=1),
      AND(LEFT(P2652,5)="2-Way", OR(Enginuity!$B$13=2, Enginuity!$B$13=4)),
      AND(LEFT(P2652,5)="3-Way", OR(Enginuity!$B$13=3, Enginuity!$B$13=6)),
      AND(P2652="Inner Centre Jamb", OR(Enginuity!$B$13=4, Enginuity!$B$13=6)),
      AND(
        LEFT(P2652,5)&lt;&gt;"1-Way",
        LEFT(P2652,5)&lt;&gt;"2-Way",
        LEFT(P2652,5)&lt;&gt;"3-Way",
        P2652&lt;&gt;"Inner Centre Jamb"
      )
    ),
    IF(OR(Enginuity!$A$1="Frameless Glass",Enginuity!$A$1="Metal Work"),
      AND(TRIM(B2652)=TRIM(Enginuity!$A$17),TRIM(C2652)=TRIM(Enginuity!$A$18)),
      TRIM(B2652)=TRIM(Enginuity!$A$17)
    )
  ),
  ROW(),
  ""
)</f>
        <v/>
      </c>
    </row>
    <row r="2653" spans="21:21" x14ac:dyDescent="0.25">
      <c r="U2653" s="104" t="str">
        <f>IF(
  AND(
    TRIM(A2653)=TRIM(Enginuity!$A$1),
    TRIM(B2653)=TRIM(Enginuity!$A$17),
    Q2653&lt;&gt;"",
    Q2653&lt;&gt;0,
    OR(
      TRIM(C2653)=TRIM(Enginuity!$A$18),
      AND(UPPER(TRIM(M2653))="STD", TRIM(B2653)=TRIM(Enginuity!$A$17))
    ),
    OR(
      AND(LEFT(P2653,5)="1-Way", Enginuity!$B$13=1),
      AND(LEFT(P2653,5)="2-Way", OR(Enginuity!$B$13=2, Enginuity!$B$13=4)),
      AND(LEFT(P2653,5)="3-Way", OR(Enginuity!$B$13=3, Enginuity!$B$13=6)),
      AND(P2653="Inner Centre Jamb", OR(Enginuity!$B$13=4, Enginuity!$B$13=6)),
      AND(
        LEFT(P2653,5)&lt;&gt;"1-Way",
        LEFT(P2653,5)&lt;&gt;"2-Way",
        LEFT(P2653,5)&lt;&gt;"3-Way",
        P2653&lt;&gt;"Inner Centre Jamb"
      )
    ),
    IF(OR(Enginuity!$A$1="Frameless Glass",Enginuity!$A$1="Metal Work"),
      AND(TRIM(B2653)=TRIM(Enginuity!$A$17),TRIM(C2653)=TRIM(Enginuity!$A$18)),
      TRIM(B2653)=TRIM(Enginuity!$A$17)
    )
  ),
  ROW(),
  ""
)</f>
        <v/>
      </c>
    </row>
    <row r="2654" spans="21:21" x14ac:dyDescent="0.25">
      <c r="U2654" s="104" t="str">
        <f>IF(
  AND(
    TRIM(A2654)=TRIM(Enginuity!$A$1),
    TRIM(B2654)=TRIM(Enginuity!$A$17),
    Q2654&lt;&gt;"",
    Q2654&lt;&gt;0,
    OR(
      TRIM(C2654)=TRIM(Enginuity!$A$18),
      AND(UPPER(TRIM(M2654))="STD", TRIM(B2654)=TRIM(Enginuity!$A$17))
    ),
    OR(
      AND(LEFT(P2654,5)="1-Way", Enginuity!$B$13=1),
      AND(LEFT(P2654,5)="2-Way", OR(Enginuity!$B$13=2, Enginuity!$B$13=4)),
      AND(LEFT(P2654,5)="3-Way", OR(Enginuity!$B$13=3, Enginuity!$B$13=6)),
      AND(P2654="Inner Centre Jamb", OR(Enginuity!$B$13=4, Enginuity!$B$13=6)),
      AND(
        LEFT(P2654,5)&lt;&gt;"1-Way",
        LEFT(P2654,5)&lt;&gt;"2-Way",
        LEFT(P2654,5)&lt;&gt;"3-Way",
        P2654&lt;&gt;"Inner Centre Jamb"
      )
    ),
    IF(OR(Enginuity!$A$1="Frameless Glass",Enginuity!$A$1="Metal Work"),
      AND(TRIM(B2654)=TRIM(Enginuity!$A$17),TRIM(C2654)=TRIM(Enginuity!$A$18)),
      TRIM(B2654)=TRIM(Enginuity!$A$17)
    )
  ),
  ROW(),
  ""
)</f>
        <v/>
      </c>
    </row>
    <row r="2655" spans="21:21" x14ac:dyDescent="0.25">
      <c r="U2655" s="104" t="str">
        <f>IF(
  AND(
    TRIM(A2655)=TRIM(Enginuity!$A$1),
    TRIM(B2655)=TRIM(Enginuity!$A$17),
    Q2655&lt;&gt;"",
    Q2655&lt;&gt;0,
    OR(
      TRIM(C2655)=TRIM(Enginuity!$A$18),
      AND(UPPER(TRIM(M2655))="STD", TRIM(B2655)=TRIM(Enginuity!$A$17))
    ),
    OR(
      AND(LEFT(P2655,5)="1-Way", Enginuity!$B$13=1),
      AND(LEFT(P2655,5)="2-Way", OR(Enginuity!$B$13=2, Enginuity!$B$13=4)),
      AND(LEFT(P2655,5)="3-Way", OR(Enginuity!$B$13=3, Enginuity!$B$13=6)),
      AND(P2655="Inner Centre Jamb", OR(Enginuity!$B$13=4, Enginuity!$B$13=6)),
      AND(
        LEFT(P2655,5)&lt;&gt;"1-Way",
        LEFT(P2655,5)&lt;&gt;"2-Way",
        LEFT(P2655,5)&lt;&gt;"3-Way",
        P2655&lt;&gt;"Inner Centre Jamb"
      )
    ),
    IF(OR(Enginuity!$A$1="Frameless Glass",Enginuity!$A$1="Metal Work"),
      AND(TRIM(B2655)=TRIM(Enginuity!$A$17),TRIM(C2655)=TRIM(Enginuity!$A$18)),
      TRIM(B2655)=TRIM(Enginuity!$A$17)
    )
  ),
  ROW(),
  ""
)</f>
        <v/>
      </c>
    </row>
    <row r="2656" spans="21:21" x14ac:dyDescent="0.25">
      <c r="U2656" s="104" t="str">
        <f>IF(
  AND(
    TRIM(A2656)=TRIM(Enginuity!$A$1),
    TRIM(B2656)=TRIM(Enginuity!$A$17),
    Q2656&lt;&gt;"",
    Q2656&lt;&gt;0,
    OR(
      TRIM(C2656)=TRIM(Enginuity!$A$18),
      AND(UPPER(TRIM(M2656))="STD", TRIM(B2656)=TRIM(Enginuity!$A$17))
    ),
    OR(
      AND(LEFT(P2656,5)="1-Way", Enginuity!$B$13=1),
      AND(LEFT(P2656,5)="2-Way", OR(Enginuity!$B$13=2, Enginuity!$B$13=4)),
      AND(LEFT(P2656,5)="3-Way", OR(Enginuity!$B$13=3, Enginuity!$B$13=6)),
      AND(P2656="Inner Centre Jamb", OR(Enginuity!$B$13=4, Enginuity!$B$13=6)),
      AND(
        LEFT(P2656,5)&lt;&gt;"1-Way",
        LEFT(P2656,5)&lt;&gt;"2-Way",
        LEFT(P2656,5)&lt;&gt;"3-Way",
        P2656&lt;&gt;"Inner Centre Jamb"
      )
    ),
    IF(OR(Enginuity!$A$1="Frameless Glass",Enginuity!$A$1="Metal Work"),
      AND(TRIM(B2656)=TRIM(Enginuity!$A$17),TRIM(C2656)=TRIM(Enginuity!$A$18)),
      TRIM(B2656)=TRIM(Enginuity!$A$17)
    )
  ),
  ROW(),
  ""
)</f>
        <v/>
      </c>
    </row>
    <row r="2657" spans="21:21" x14ac:dyDescent="0.25">
      <c r="U2657" s="104" t="str">
        <f>IF(
  AND(
    TRIM(A2657)=TRIM(Enginuity!$A$1),
    TRIM(B2657)=TRIM(Enginuity!$A$17),
    Q2657&lt;&gt;"",
    Q2657&lt;&gt;0,
    OR(
      TRIM(C2657)=TRIM(Enginuity!$A$18),
      AND(UPPER(TRIM(M2657))="STD", TRIM(B2657)=TRIM(Enginuity!$A$17))
    ),
    OR(
      AND(LEFT(P2657,5)="1-Way", Enginuity!$B$13=1),
      AND(LEFT(P2657,5)="2-Way", OR(Enginuity!$B$13=2, Enginuity!$B$13=4)),
      AND(LEFT(P2657,5)="3-Way", OR(Enginuity!$B$13=3, Enginuity!$B$13=6)),
      AND(P2657="Inner Centre Jamb", OR(Enginuity!$B$13=4, Enginuity!$B$13=6)),
      AND(
        LEFT(P2657,5)&lt;&gt;"1-Way",
        LEFT(P2657,5)&lt;&gt;"2-Way",
        LEFT(P2657,5)&lt;&gt;"3-Way",
        P2657&lt;&gt;"Inner Centre Jamb"
      )
    ),
    IF(OR(Enginuity!$A$1="Frameless Glass",Enginuity!$A$1="Metal Work"),
      AND(TRIM(B2657)=TRIM(Enginuity!$A$17),TRIM(C2657)=TRIM(Enginuity!$A$18)),
      TRIM(B2657)=TRIM(Enginuity!$A$17)
    )
  ),
  ROW(),
  ""
)</f>
        <v/>
      </c>
    </row>
    <row r="2658" spans="21:21" x14ac:dyDescent="0.25">
      <c r="U2658" s="104" t="str">
        <f>IF(
  AND(
    TRIM(A2658)=TRIM(Enginuity!$A$1),
    TRIM(B2658)=TRIM(Enginuity!$A$17),
    Q2658&lt;&gt;"",
    Q2658&lt;&gt;0,
    OR(
      TRIM(C2658)=TRIM(Enginuity!$A$18),
      AND(UPPER(TRIM(M2658))="STD", TRIM(B2658)=TRIM(Enginuity!$A$17))
    ),
    OR(
      AND(LEFT(P2658,5)="1-Way", Enginuity!$B$13=1),
      AND(LEFT(P2658,5)="2-Way", OR(Enginuity!$B$13=2, Enginuity!$B$13=4)),
      AND(LEFT(P2658,5)="3-Way", OR(Enginuity!$B$13=3, Enginuity!$B$13=6)),
      AND(P2658="Inner Centre Jamb", OR(Enginuity!$B$13=4, Enginuity!$B$13=6)),
      AND(
        LEFT(P2658,5)&lt;&gt;"1-Way",
        LEFT(P2658,5)&lt;&gt;"2-Way",
        LEFT(P2658,5)&lt;&gt;"3-Way",
        P2658&lt;&gt;"Inner Centre Jamb"
      )
    ),
    IF(OR(Enginuity!$A$1="Frameless Glass",Enginuity!$A$1="Metal Work"),
      AND(TRIM(B2658)=TRIM(Enginuity!$A$17),TRIM(C2658)=TRIM(Enginuity!$A$18)),
      TRIM(B2658)=TRIM(Enginuity!$A$17)
    )
  ),
  ROW(),
  ""
)</f>
        <v/>
      </c>
    </row>
    <row r="2659" spans="21:21" x14ac:dyDescent="0.25">
      <c r="U2659" s="104" t="str">
        <f>IF(
  AND(
    TRIM(A2659)=TRIM(Enginuity!$A$1),
    TRIM(B2659)=TRIM(Enginuity!$A$17),
    Q2659&lt;&gt;"",
    Q2659&lt;&gt;0,
    OR(
      TRIM(C2659)=TRIM(Enginuity!$A$18),
      AND(UPPER(TRIM(M2659))="STD", TRIM(B2659)=TRIM(Enginuity!$A$17))
    ),
    OR(
      AND(LEFT(P2659,5)="1-Way", Enginuity!$B$13=1),
      AND(LEFT(P2659,5)="2-Way", OR(Enginuity!$B$13=2, Enginuity!$B$13=4)),
      AND(LEFT(P2659,5)="3-Way", OR(Enginuity!$B$13=3, Enginuity!$B$13=6)),
      AND(P2659="Inner Centre Jamb", OR(Enginuity!$B$13=4, Enginuity!$B$13=6)),
      AND(
        LEFT(P2659,5)&lt;&gt;"1-Way",
        LEFT(P2659,5)&lt;&gt;"2-Way",
        LEFT(P2659,5)&lt;&gt;"3-Way",
        P2659&lt;&gt;"Inner Centre Jamb"
      )
    ),
    IF(OR(Enginuity!$A$1="Frameless Glass",Enginuity!$A$1="Metal Work"),
      AND(TRIM(B2659)=TRIM(Enginuity!$A$17),TRIM(C2659)=TRIM(Enginuity!$A$18)),
      TRIM(B2659)=TRIM(Enginuity!$A$17)
    )
  ),
  ROW(),
  ""
)</f>
        <v/>
      </c>
    </row>
    <row r="2660" spans="21:21" x14ac:dyDescent="0.25">
      <c r="U2660" s="104" t="str">
        <f>IF(
  AND(
    TRIM(A2660)=TRIM(Enginuity!$A$1),
    TRIM(B2660)=TRIM(Enginuity!$A$17),
    Q2660&lt;&gt;"",
    Q2660&lt;&gt;0,
    OR(
      TRIM(C2660)=TRIM(Enginuity!$A$18),
      AND(UPPER(TRIM(M2660))="STD", TRIM(B2660)=TRIM(Enginuity!$A$17))
    ),
    OR(
      AND(LEFT(P2660,5)="1-Way", Enginuity!$B$13=1),
      AND(LEFT(P2660,5)="2-Way", OR(Enginuity!$B$13=2, Enginuity!$B$13=4)),
      AND(LEFT(P2660,5)="3-Way", OR(Enginuity!$B$13=3, Enginuity!$B$13=6)),
      AND(P2660="Inner Centre Jamb", OR(Enginuity!$B$13=4, Enginuity!$B$13=6)),
      AND(
        LEFT(P2660,5)&lt;&gt;"1-Way",
        LEFT(P2660,5)&lt;&gt;"2-Way",
        LEFT(P2660,5)&lt;&gt;"3-Way",
        P2660&lt;&gt;"Inner Centre Jamb"
      )
    ),
    IF(OR(Enginuity!$A$1="Frameless Glass",Enginuity!$A$1="Metal Work"),
      AND(TRIM(B2660)=TRIM(Enginuity!$A$17),TRIM(C2660)=TRIM(Enginuity!$A$18)),
      TRIM(B2660)=TRIM(Enginuity!$A$17)
    )
  ),
  ROW(),
  ""
)</f>
        <v/>
      </c>
    </row>
    <row r="2661" spans="21:21" x14ac:dyDescent="0.25">
      <c r="U2661" s="104" t="str">
        <f>IF(
  AND(
    TRIM(A2661)=TRIM(Enginuity!$A$1),
    TRIM(B2661)=TRIM(Enginuity!$A$17),
    Q2661&lt;&gt;"",
    Q2661&lt;&gt;0,
    OR(
      TRIM(C2661)=TRIM(Enginuity!$A$18),
      AND(UPPER(TRIM(M2661))="STD", TRIM(B2661)=TRIM(Enginuity!$A$17))
    ),
    OR(
      AND(LEFT(P2661,5)="1-Way", Enginuity!$B$13=1),
      AND(LEFT(P2661,5)="2-Way", OR(Enginuity!$B$13=2, Enginuity!$B$13=4)),
      AND(LEFT(P2661,5)="3-Way", OR(Enginuity!$B$13=3, Enginuity!$B$13=6)),
      AND(P2661="Inner Centre Jamb", OR(Enginuity!$B$13=4, Enginuity!$B$13=6)),
      AND(
        LEFT(P2661,5)&lt;&gt;"1-Way",
        LEFT(P2661,5)&lt;&gt;"2-Way",
        LEFT(P2661,5)&lt;&gt;"3-Way",
        P2661&lt;&gt;"Inner Centre Jamb"
      )
    ),
    IF(OR(Enginuity!$A$1="Frameless Glass",Enginuity!$A$1="Metal Work"),
      AND(TRIM(B2661)=TRIM(Enginuity!$A$17),TRIM(C2661)=TRIM(Enginuity!$A$18)),
      TRIM(B2661)=TRIM(Enginuity!$A$17)
    )
  ),
  ROW(),
  ""
)</f>
        <v/>
      </c>
    </row>
    <row r="2662" spans="21:21" x14ac:dyDescent="0.25">
      <c r="U2662" s="104" t="str">
        <f>IF(
  AND(
    TRIM(A2662)=TRIM(Enginuity!$A$1),
    TRIM(B2662)=TRIM(Enginuity!$A$17),
    Q2662&lt;&gt;"",
    Q2662&lt;&gt;0,
    OR(
      TRIM(C2662)=TRIM(Enginuity!$A$18),
      AND(UPPER(TRIM(M2662))="STD", TRIM(B2662)=TRIM(Enginuity!$A$17))
    ),
    OR(
      AND(LEFT(P2662,5)="1-Way", Enginuity!$B$13=1),
      AND(LEFT(P2662,5)="2-Way", OR(Enginuity!$B$13=2, Enginuity!$B$13=4)),
      AND(LEFT(P2662,5)="3-Way", OR(Enginuity!$B$13=3, Enginuity!$B$13=6)),
      AND(P2662="Inner Centre Jamb", OR(Enginuity!$B$13=4, Enginuity!$B$13=6)),
      AND(
        LEFT(P2662,5)&lt;&gt;"1-Way",
        LEFT(P2662,5)&lt;&gt;"2-Way",
        LEFT(P2662,5)&lt;&gt;"3-Way",
        P2662&lt;&gt;"Inner Centre Jamb"
      )
    ),
    IF(OR(Enginuity!$A$1="Frameless Glass",Enginuity!$A$1="Metal Work"),
      AND(TRIM(B2662)=TRIM(Enginuity!$A$17),TRIM(C2662)=TRIM(Enginuity!$A$18)),
      TRIM(B2662)=TRIM(Enginuity!$A$17)
    )
  ),
  ROW(),
  ""
)</f>
        <v/>
      </c>
    </row>
    <row r="2663" spans="21:21" x14ac:dyDescent="0.25">
      <c r="U2663" s="104" t="str">
        <f>IF(
  AND(
    TRIM(A2663)=TRIM(Enginuity!$A$1),
    TRIM(B2663)=TRIM(Enginuity!$A$17),
    Q2663&lt;&gt;"",
    Q2663&lt;&gt;0,
    OR(
      TRIM(C2663)=TRIM(Enginuity!$A$18),
      AND(UPPER(TRIM(M2663))="STD", TRIM(B2663)=TRIM(Enginuity!$A$17))
    ),
    OR(
      AND(LEFT(P2663,5)="1-Way", Enginuity!$B$13=1),
      AND(LEFT(P2663,5)="2-Way", OR(Enginuity!$B$13=2, Enginuity!$B$13=4)),
      AND(LEFT(P2663,5)="3-Way", OR(Enginuity!$B$13=3, Enginuity!$B$13=6)),
      AND(P2663="Inner Centre Jamb", OR(Enginuity!$B$13=4, Enginuity!$B$13=6)),
      AND(
        LEFT(P2663,5)&lt;&gt;"1-Way",
        LEFT(P2663,5)&lt;&gt;"2-Way",
        LEFT(P2663,5)&lt;&gt;"3-Way",
        P2663&lt;&gt;"Inner Centre Jamb"
      )
    ),
    IF(OR(Enginuity!$A$1="Frameless Glass",Enginuity!$A$1="Metal Work"),
      AND(TRIM(B2663)=TRIM(Enginuity!$A$17),TRIM(C2663)=TRIM(Enginuity!$A$18)),
      TRIM(B2663)=TRIM(Enginuity!$A$17)
    )
  ),
  ROW(),
  ""
)</f>
        <v/>
      </c>
    </row>
    <row r="2664" spans="21:21" x14ac:dyDescent="0.25">
      <c r="U2664" s="104" t="str">
        <f>IF(
  AND(
    TRIM(A2664)=TRIM(Enginuity!$A$1),
    TRIM(B2664)=TRIM(Enginuity!$A$17),
    Q2664&lt;&gt;"",
    Q2664&lt;&gt;0,
    OR(
      TRIM(C2664)=TRIM(Enginuity!$A$18),
      AND(UPPER(TRIM(M2664))="STD", TRIM(B2664)=TRIM(Enginuity!$A$17))
    ),
    OR(
      AND(LEFT(P2664,5)="1-Way", Enginuity!$B$13=1),
      AND(LEFT(P2664,5)="2-Way", OR(Enginuity!$B$13=2, Enginuity!$B$13=4)),
      AND(LEFT(P2664,5)="3-Way", OR(Enginuity!$B$13=3, Enginuity!$B$13=6)),
      AND(P2664="Inner Centre Jamb", OR(Enginuity!$B$13=4, Enginuity!$B$13=6)),
      AND(
        LEFT(P2664,5)&lt;&gt;"1-Way",
        LEFT(P2664,5)&lt;&gt;"2-Way",
        LEFT(P2664,5)&lt;&gt;"3-Way",
        P2664&lt;&gt;"Inner Centre Jamb"
      )
    ),
    IF(OR(Enginuity!$A$1="Frameless Glass",Enginuity!$A$1="Metal Work"),
      AND(TRIM(B2664)=TRIM(Enginuity!$A$17),TRIM(C2664)=TRIM(Enginuity!$A$18)),
      TRIM(B2664)=TRIM(Enginuity!$A$17)
    )
  ),
  ROW(),
  ""
)</f>
        <v/>
      </c>
    </row>
    <row r="2665" spans="21:21" x14ac:dyDescent="0.25">
      <c r="U2665" s="104" t="str">
        <f>IF(
  AND(
    TRIM(A2665)=TRIM(Enginuity!$A$1),
    TRIM(B2665)=TRIM(Enginuity!$A$17),
    Q2665&lt;&gt;"",
    Q2665&lt;&gt;0,
    OR(
      TRIM(C2665)=TRIM(Enginuity!$A$18),
      AND(UPPER(TRIM(M2665))="STD", TRIM(B2665)=TRIM(Enginuity!$A$17))
    ),
    OR(
      AND(LEFT(P2665,5)="1-Way", Enginuity!$B$13=1),
      AND(LEFT(P2665,5)="2-Way", OR(Enginuity!$B$13=2, Enginuity!$B$13=4)),
      AND(LEFT(P2665,5)="3-Way", OR(Enginuity!$B$13=3, Enginuity!$B$13=6)),
      AND(P2665="Inner Centre Jamb", OR(Enginuity!$B$13=4, Enginuity!$B$13=6)),
      AND(
        LEFT(P2665,5)&lt;&gt;"1-Way",
        LEFT(P2665,5)&lt;&gt;"2-Way",
        LEFT(P2665,5)&lt;&gt;"3-Way",
        P2665&lt;&gt;"Inner Centre Jamb"
      )
    ),
    IF(OR(Enginuity!$A$1="Frameless Glass",Enginuity!$A$1="Metal Work"),
      AND(TRIM(B2665)=TRIM(Enginuity!$A$17),TRIM(C2665)=TRIM(Enginuity!$A$18)),
      TRIM(B2665)=TRIM(Enginuity!$A$17)
    )
  ),
  ROW(),
  ""
)</f>
        <v/>
      </c>
    </row>
    <row r="2666" spans="21:21" x14ac:dyDescent="0.25">
      <c r="U2666" s="104" t="str">
        <f>IF(
  AND(
    TRIM(A2666)=TRIM(Enginuity!$A$1),
    TRIM(B2666)=TRIM(Enginuity!$A$17),
    Q2666&lt;&gt;"",
    Q2666&lt;&gt;0,
    OR(
      TRIM(C2666)=TRIM(Enginuity!$A$18),
      AND(UPPER(TRIM(M2666))="STD", TRIM(B2666)=TRIM(Enginuity!$A$17))
    ),
    OR(
      AND(LEFT(P2666,5)="1-Way", Enginuity!$B$13=1),
      AND(LEFT(P2666,5)="2-Way", OR(Enginuity!$B$13=2, Enginuity!$B$13=4)),
      AND(LEFT(P2666,5)="3-Way", OR(Enginuity!$B$13=3, Enginuity!$B$13=6)),
      AND(P2666="Inner Centre Jamb", OR(Enginuity!$B$13=4, Enginuity!$B$13=6)),
      AND(
        LEFT(P2666,5)&lt;&gt;"1-Way",
        LEFT(P2666,5)&lt;&gt;"2-Way",
        LEFT(P2666,5)&lt;&gt;"3-Way",
        P2666&lt;&gt;"Inner Centre Jamb"
      )
    ),
    IF(OR(Enginuity!$A$1="Frameless Glass",Enginuity!$A$1="Metal Work"),
      AND(TRIM(B2666)=TRIM(Enginuity!$A$17),TRIM(C2666)=TRIM(Enginuity!$A$18)),
      TRIM(B2666)=TRIM(Enginuity!$A$17)
    )
  ),
  ROW(),
  ""
)</f>
        <v/>
      </c>
    </row>
    <row r="2667" spans="21:21" x14ac:dyDescent="0.25">
      <c r="U2667" s="104" t="str">
        <f>IF(
  AND(
    TRIM(A2667)=TRIM(Enginuity!$A$1),
    TRIM(B2667)=TRIM(Enginuity!$A$17),
    Q2667&lt;&gt;"",
    Q2667&lt;&gt;0,
    OR(
      TRIM(C2667)=TRIM(Enginuity!$A$18),
      AND(UPPER(TRIM(M2667))="STD", TRIM(B2667)=TRIM(Enginuity!$A$17))
    ),
    OR(
      AND(LEFT(P2667,5)="1-Way", Enginuity!$B$13=1),
      AND(LEFT(P2667,5)="2-Way", OR(Enginuity!$B$13=2, Enginuity!$B$13=4)),
      AND(LEFT(P2667,5)="3-Way", OR(Enginuity!$B$13=3, Enginuity!$B$13=6)),
      AND(P2667="Inner Centre Jamb", OR(Enginuity!$B$13=4, Enginuity!$B$13=6)),
      AND(
        LEFT(P2667,5)&lt;&gt;"1-Way",
        LEFT(P2667,5)&lt;&gt;"2-Way",
        LEFT(P2667,5)&lt;&gt;"3-Way",
        P2667&lt;&gt;"Inner Centre Jamb"
      )
    ),
    IF(OR(Enginuity!$A$1="Frameless Glass",Enginuity!$A$1="Metal Work"),
      AND(TRIM(B2667)=TRIM(Enginuity!$A$17),TRIM(C2667)=TRIM(Enginuity!$A$18)),
      TRIM(B2667)=TRIM(Enginuity!$A$17)
    )
  ),
  ROW(),
  ""
)</f>
        <v/>
      </c>
    </row>
    <row r="2668" spans="21:21" x14ac:dyDescent="0.25">
      <c r="U2668" s="104" t="str">
        <f>IF(
  AND(
    TRIM(A2668)=TRIM(Enginuity!$A$1),
    TRIM(B2668)=TRIM(Enginuity!$A$17),
    Q2668&lt;&gt;"",
    Q2668&lt;&gt;0,
    OR(
      TRIM(C2668)=TRIM(Enginuity!$A$18),
      AND(UPPER(TRIM(M2668))="STD", TRIM(B2668)=TRIM(Enginuity!$A$17))
    ),
    OR(
      AND(LEFT(P2668,5)="1-Way", Enginuity!$B$13=1),
      AND(LEFT(P2668,5)="2-Way", OR(Enginuity!$B$13=2, Enginuity!$B$13=4)),
      AND(LEFT(P2668,5)="3-Way", OR(Enginuity!$B$13=3, Enginuity!$B$13=6)),
      AND(P2668="Inner Centre Jamb", OR(Enginuity!$B$13=4, Enginuity!$B$13=6)),
      AND(
        LEFT(P2668,5)&lt;&gt;"1-Way",
        LEFT(P2668,5)&lt;&gt;"2-Way",
        LEFT(P2668,5)&lt;&gt;"3-Way",
        P2668&lt;&gt;"Inner Centre Jamb"
      )
    ),
    IF(OR(Enginuity!$A$1="Frameless Glass",Enginuity!$A$1="Metal Work"),
      AND(TRIM(B2668)=TRIM(Enginuity!$A$17),TRIM(C2668)=TRIM(Enginuity!$A$18)),
      TRIM(B2668)=TRIM(Enginuity!$A$17)
    )
  ),
  ROW(),
  ""
)</f>
        <v/>
      </c>
    </row>
    <row r="2669" spans="21:21" x14ac:dyDescent="0.25">
      <c r="U2669" s="104" t="str">
        <f>IF(
  AND(
    TRIM(A2669)=TRIM(Enginuity!$A$1),
    TRIM(B2669)=TRIM(Enginuity!$A$17),
    Q2669&lt;&gt;"",
    Q2669&lt;&gt;0,
    OR(
      TRIM(C2669)=TRIM(Enginuity!$A$18),
      AND(UPPER(TRIM(M2669))="STD", TRIM(B2669)=TRIM(Enginuity!$A$17))
    ),
    OR(
      AND(LEFT(P2669,5)="1-Way", Enginuity!$B$13=1),
      AND(LEFT(P2669,5)="2-Way", OR(Enginuity!$B$13=2, Enginuity!$B$13=4)),
      AND(LEFT(P2669,5)="3-Way", OR(Enginuity!$B$13=3, Enginuity!$B$13=6)),
      AND(P2669="Inner Centre Jamb", OR(Enginuity!$B$13=4, Enginuity!$B$13=6)),
      AND(
        LEFT(P2669,5)&lt;&gt;"1-Way",
        LEFT(P2669,5)&lt;&gt;"2-Way",
        LEFT(P2669,5)&lt;&gt;"3-Way",
        P2669&lt;&gt;"Inner Centre Jamb"
      )
    ),
    IF(OR(Enginuity!$A$1="Frameless Glass",Enginuity!$A$1="Metal Work"),
      AND(TRIM(B2669)=TRIM(Enginuity!$A$17),TRIM(C2669)=TRIM(Enginuity!$A$18)),
      TRIM(B2669)=TRIM(Enginuity!$A$17)
    )
  ),
  ROW(),
  ""
)</f>
        <v/>
      </c>
    </row>
    <row r="2670" spans="21:21" x14ac:dyDescent="0.25">
      <c r="U2670" s="104" t="str">
        <f>IF(
  AND(
    TRIM(A2670)=TRIM(Enginuity!$A$1),
    TRIM(B2670)=TRIM(Enginuity!$A$17),
    Q2670&lt;&gt;"",
    Q2670&lt;&gt;0,
    OR(
      TRIM(C2670)=TRIM(Enginuity!$A$18),
      AND(UPPER(TRIM(M2670))="STD", TRIM(B2670)=TRIM(Enginuity!$A$17))
    ),
    OR(
      AND(LEFT(P2670,5)="1-Way", Enginuity!$B$13=1),
      AND(LEFT(P2670,5)="2-Way", OR(Enginuity!$B$13=2, Enginuity!$B$13=4)),
      AND(LEFT(P2670,5)="3-Way", OR(Enginuity!$B$13=3, Enginuity!$B$13=6)),
      AND(P2670="Inner Centre Jamb", OR(Enginuity!$B$13=4, Enginuity!$B$13=6)),
      AND(
        LEFT(P2670,5)&lt;&gt;"1-Way",
        LEFT(P2670,5)&lt;&gt;"2-Way",
        LEFT(P2670,5)&lt;&gt;"3-Way",
        P2670&lt;&gt;"Inner Centre Jamb"
      )
    ),
    IF(OR(Enginuity!$A$1="Frameless Glass",Enginuity!$A$1="Metal Work"),
      AND(TRIM(B2670)=TRIM(Enginuity!$A$17),TRIM(C2670)=TRIM(Enginuity!$A$18)),
      TRIM(B2670)=TRIM(Enginuity!$A$17)
    )
  ),
  ROW(),
  ""
)</f>
        <v/>
      </c>
    </row>
    <row r="2671" spans="21:21" x14ac:dyDescent="0.25">
      <c r="U2671" s="104" t="str">
        <f>IF(
  AND(
    TRIM(A2671)=TRIM(Enginuity!$A$1),
    TRIM(B2671)=TRIM(Enginuity!$A$17),
    Q2671&lt;&gt;"",
    Q2671&lt;&gt;0,
    OR(
      TRIM(C2671)=TRIM(Enginuity!$A$18),
      AND(UPPER(TRIM(M2671))="STD", TRIM(B2671)=TRIM(Enginuity!$A$17))
    ),
    OR(
      AND(LEFT(P2671,5)="1-Way", Enginuity!$B$13=1),
      AND(LEFT(P2671,5)="2-Way", OR(Enginuity!$B$13=2, Enginuity!$B$13=4)),
      AND(LEFT(P2671,5)="3-Way", OR(Enginuity!$B$13=3, Enginuity!$B$13=6)),
      AND(P2671="Inner Centre Jamb", OR(Enginuity!$B$13=4, Enginuity!$B$13=6)),
      AND(
        LEFT(P2671,5)&lt;&gt;"1-Way",
        LEFT(P2671,5)&lt;&gt;"2-Way",
        LEFT(P2671,5)&lt;&gt;"3-Way",
        P2671&lt;&gt;"Inner Centre Jamb"
      )
    ),
    IF(OR(Enginuity!$A$1="Frameless Glass",Enginuity!$A$1="Metal Work"),
      AND(TRIM(B2671)=TRIM(Enginuity!$A$17),TRIM(C2671)=TRIM(Enginuity!$A$18)),
      TRIM(B2671)=TRIM(Enginuity!$A$17)
    )
  ),
  ROW(),
  ""
)</f>
        <v/>
      </c>
    </row>
    <row r="2672" spans="21:21" x14ac:dyDescent="0.25">
      <c r="U2672" s="104" t="str">
        <f>IF(
  AND(
    TRIM(A2672)=TRIM(Enginuity!$A$1),
    TRIM(B2672)=TRIM(Enginuity!$A$17),
    Q2672&lt;&gt;"",
    Q2672&lt;&gt;0,
    OR(
      TRIM(C2672)=TRIM(Enginuity!$A$18),
      AND(UPPER(TRIM(M2672))="STD", TRIM(B2672)=TRIM(Enginuity!$A$17))
    ),
    OR(
      AND(LEFT(P2672,5)="1-Way", Enginuity!$B$13=1),
      AND(LEFT(P2672,5)="2-Way", OR(Enginuity!$B$13=2, Enginuity!$B$13=4)),
      AND(LEFT(P2672,5)="3-Way", OR(Enginuity!$B$13=3, Enginuity!$B$13=6)),
      AND(P2672="Inner Centre Jamb", OR(Enginuity!$B$13=4, Enginuity!$B$13=6)),
      AND(
        LEFT(P2672,5)&lt;&gt;"1-Way",
        LEFT(P2672,5)&lt;&gt;"2-Way",
        LEFT(P2672,5)&lt;&gt;"3-Way",
        P2672&lt;&gt;"Inner Centre Jamb"
      )
    ),
    IF(OR(Enginuity!$A$1="Frameless Glass",Enginuity!$A$1="Metal Work"),
      AND(TRIM(B2672)=TRIM(Enginuity!$A$17),TRIM(C2672)=TRIM(Enginuity!$A$18)),
      TRIM(B2672)=TRIM(Enginuity!$A$17)
    )
  ),
  ROW(),
  ""
)</f>
        <v/>
      </c>
    </row>
    <row r="2673" spans="21:21" x14ac:dyDescent="0.25">
      <c r="U2673" s="104" t="str">
        <f>IF(
  AND(
    TRIM(A2673)=TRIM(Enginuity!$A$1),
    TRIM(B2673)=TRIM(Enginuity!$A$17),
    Q2673&lt;&gt;"",
    Q2673&lt;&gt;0,
    OR(
      TRIM(C2673)=TRIM(Enginuity!$A$18),
      AND(UPPER(TRIM(M2673))="STD", TRIM(B2673)=TRIM(Enginuity!$A$17))
    ),
    OR(
      AND(LEFT(P2673,5)="1-Way", Enginuity!$B$13=1),
      AND(LEFT(P2673,5)="2-Way", OR(Enginuity!$B$13=2, Enginuity!$B$13=4)),
      AND(LEFT(P2673,5)="3-Way", OR(Enginuity!$B$13=3, Enginuity!$B$13=6)),
      AND(P2673="Inner Centre Jamb", OR(Enginuity!$B$13=4, Enginuity!$B$13=6)),
      AND(
        LEFT(P2673,5)&lt;&gt;"1-Way",
        LEFT(P2673,5)&lt;&gt;"2-Way",
        LEFT(P2673,5)&lt;&gt;"3-Way",
        P2673&lt;&gt;"Inner Centre Jamb"
      )
    ),
    IF(OR(Enginuity!$A$1="Frameless Glass",Enginuity!$A$1="Metal Work"),
      AND(TRIM(B2673)=TRIM(Enginuity!$A$17),TRIM(C2673)=TRIM(Enginuity!$A$18)),
      TRIM(B2673)=TRIM(Enginuity!$A$17)
    )
  ),
  ROW(),
  ""
)</f>
        <v/>
      </c>
    </row>
    <row r="2674" spans="21:21" x14ac:dyDescent="0.25">
      <c r="U2674" s="104" t="str">
        <f>IF(
  AND(
    TRIM(A2674)=TRIM(Enginuity!$A$1),
    TRIM(B2674)=TRIM(Enginuity!$A$17),
    Q2674&lt;&gt;"",
    Q2674&lt;&gt;0,
    OR(
      TRIM(C2674)=TRIM(Enginuity!$A$18),
      AND(UPPER(TRIM(M2674))="STD", TRIM(B2674)=TRIM(Enginuity!$A$17))
    ),
    OR(
      AND(LEFT(P2674,5)="1-Way", Enginuity!$B$13=1),
      AND(LEFT(P2674,5)="2-Way", OR(Enginuity!$B$13=2, Enginuity!$B$13=4)),
      AND(LEFT(P2674,5)="3-Way", OR(Enginuity!$B$13=3, Enginuity!$B$13=6)),
      AND(P2674="Inner Centre Jamb", OR(Enginuity!$B$13=4, Enginuity!$B$13=6)),
      AND(
        LEFT(P2674,5)&lt;&gt;"1-Way",
        LEFT(P2674,5)&lt;&gt;"2-Way",
        LEFT(P2674,5)&lt;&gt;"3-Way",
        P2674&lt;&gt;"Inner Centre Jamb"
      )
    ),
    IF(OR(Enginuity!$A$1="Frameless Glass",Enginuity!$A$1="Metal Work"),
      AND(TRIM(B2674)=TRIM(Enginuity!$A$17),TRIM(C2674)=TRIM(Enginuity!$A$18)),
      TRIM(B2674)=TRIM(Enginuity!$A$17)
    )
  ),
  ROW(),
  ""
)</f>
        <v/>
      </c>
    </row>
    <row r="2675" spans="21:21" x14ac:dyDescent="0.25">
      <c r="U2675" s="104" t="str">
        <f>IF(
  AND(
    TRIM(A2675)=TRIM(Enginuity!$A$1),
    TRIM(B2675)=TRIM(Enginuity!$A$17),
    Q2675&lt;&gt;"",
    Q2675&lt;&gt;0,
    OR(
      TRIM(C2675)=TRIM(Enginuity!$A$18),
      AND(UPPER(TRIM(M2675))="STD", TRIM(B2675)=TRIM(Enginuity!$A$17))
    ),
    OR(
      AND(LEFT(P2675,5)="1-Way", Enginuity!$B$13=1),
      AND(LEFT(P2675,5)="2-Way", OR(Enginuity!$B$13=2, Enginuity!$B$13=4)),
      AND(LEFT(P2675,5)="3-Way", OR(Enginuity!$B$13=3, Enginuity!$B$13=6)),
      AND(P2675="Inner Centre Jamb", OR(Enginuity!$B$13=4, Enginuity!$B$13=6)),
      AND(
        LEFT(P2675,5)&lt;&gt;"1-Way",
        LEFT(P2675,5)&lt;&gt;"2-Way",
        LEFT(P2675,5)&lt;&gt;"3-Way",
        P2675&lt;&gt;"Inner Centre Jamb"
      )
    ),
    IF(OR(Enginuity!$A$1="Frameless Glass",Enginuity!$A$1="Metal Work"),
      AND(TRIM(B2675)=TRIM(Enginuity!$A$17),TRIM(C2675)=TRIM(Enginuity!$A$18)),
      TRIM(B2675)=TRIM(Enginuity!$A$17)
    )
  ),
  ROW(),
  ""
)</f>
        <v/>
      </c>
    </row>
    <row r="2676" spans="21:21" x14ac:dyDescent="0.25">
      <c r="U2676" s="104" t="str">
        <f>IF(
  AND(
    TRIM(A2676)=TRIM(Enginuity!$A$1),
    TRIM(B2676)=TRIM(Enginuity!$A$17),
    Q2676&lt;&gt;"",
    Q2676&lt;&gt;0,
    OR(
      TRIM(C2676)=TRIM(Enginuity!$A$18),
      AND(UPPER(TRIM(M2676))="STD", TRIM(B2676)=TRIM(Enginuity!$A$17))
    ),
    OR(
      AND(LEFT(P2676,5)="1-Way", Enginuity!$B$13=1),
      AND(LEFT(P2676,5)="2-Way", OR(Enginuity!$B$13=2, Enginuity!$B$13=4)),
      AND(LEFT(P2676,5)="3-Way", OR(Enginuity!$B$13=3, Enginuity!$B$13=6)),
      AND(P2676="Inner Centre Jamb", OR(Enginuity!$B$13=4, Enginuity!$B$13=6)),
      AND(
        LEFT(P2676,5)&lt;&gt;"1-Way",
        LEFT(P2676,5)&lt;&gt;"2-Way",
        LEFT(P2676,5)&lt;&gt;"3-Way",
        P2676&lt;&gt;"Inner Centre Jamb"
      )
    ),
    IF(OR(Enginuity!$A$1="Frameless Glass",Enginuity!$A$1="Metal Work"),
      AND(TRIM(B2676)=TRIM(Enginuity!$A$17),TRIM(C2676)=TRIM(Enginuity!$A$18)),
      TRIM(B2676)=TRIM(Enginuity!$A$17)
    )
  ),
  ROW(),
  ""
)</f>
        <v/>
      </c>
    </row>
    <row r="2677" spans="21:21" x14ac:dyDescent="0.25">
      <c r="U2677" s="104" t="str">
        <f>IF(
  AND(
    TRIM(A2677)=TRIM(Enginuity!$A$1),
    TRIM(B2677)=TRIM(Enginuity!$A$17),
    Q2677&lt;&gt;"",
    Q2677&lt;&gt;0,
    OR(
      TRIM(C2677)=TRIM(Enginuity!$A$18),
      AND(UPPER(TRIM(M2677))="STD", TRIM(B2677)=TRIM(Enginuity!$A$17))
    ),
    OR(
      AND(LEFT(P2677,5)="1-Way", Enginuity!$B$13=1),
      AND(LEFT(P2677,5)="2-Way", OR(Enginuity!$B$13=2, Enginuity!$B$13=4)),
      AND(LEFT(P2677,5)="3-Way", OR(Enginuity!$B$13=3, Enginuity!$B$13=6)),
      AND(P2677="Inner Centre Jamb", OR(Enginuity!$B$13=4, Enginuity!$B$13=6)),
      AND(
        LEFT(P2677,5)&lt;&gt;"1-Way",
        LEFT(P2677,5)&lt;&gt;"2-Way",
        LEFT(P2677,5)&lt;&gt;"3-Way",
        P2677&lt;&gt;"Inner Centre Jamb"
      )
    ),
    IF(OR(Enginuity!$A$1="Frameless Glass",Enginuity!$A$1="Metal Work"),
      AND(TRIM(B2677)=TRIM(Enginuity!$A$17),TRIM(C2677)=TRIM(Enginuity!$A$18)),
      TRIM(B2677)=TRIM(Enginuity!$A$17)
    )
  ),
  ROW(),
  ""
)</f>
        <v/>
      </c>
    </row>
    <row r="2678" spans="21:21" x14ac:dyDescent="0.25">
      <c r="U2678" s="104" t="str">
        <f>IF(
  AND(
    TRIM(A2678)=TRIM(Enginuity!$A$1),
    TRIM(B2678)=TRIM(Enginuity!$A$17),
    Q2678&lt;&gt;"",
    Q2678&lt;&gt;0,
    OR(
      TRIM(C2678)=TRIM(Enginuity!$A$18),
      AND(UPPER(TRIM(M2678))="STD", TRIM(B2678)=TRIM(Enginuity!$A$17))
    ),
    OR(
      AND(LEFT(P2678,5)="1-Way", Enginuity!$B$13=1),
      AND(LEFT(P2678,5)="2-Way", OR(Enginuity!$B$13=2, Enginuity!$B$13=4)),
      AND(LEFT(P2678,5)="3-Way", OR(Enginuity!$B$13=3, Enginuity!$B$13=6)),
      AND(P2678="Inner Centre Jamb", OR(Enginuity!$B$13=4, Enginuity!$B$13=6)),
      AND(
        LEFT(P2678,5)&lt;&gt;"1-Way",
        LEFT(P2678,5)&lt;&gt;"2-Way",
        LEFT(P2678,5)&lt;&gt;"3-Way",
        P2678&lt;&gt;"Inner Centre Jamb"
      )
    ),
    IF(OR(Enginuity!$A$1="Frameless Glass",Enginuity!$A$1="Metal Work"),
      AND(TRIM(B2678)=TRIM(Enginuity!$A$17),TRIM(C2678)=TRIM(Enginuity!$A$18)),
      TRIM(B2678)=TRIM(Enginuity!$A$17)
    )
  ),
  ROW(),
  ""
)</f>
        <v/>
      </c>
    </row>
    <row r="2679" spans="21:21" x14ac:dyDescent="0.25">
      <c r="U2679" s="104" t="str">
        <f>IF(
  AND(
    TRIM(A2679)=TRIM(Enginuity!$A$1),
    TRIM(B2679)=TRIM(Enginuity!$A$17),
    Q2679&lt;&gt;"",
    Q2679&lt;&gt;0,
    OR(
      TRIM(C2679)=TRIM(Enginuity!$A$18),
      AND(UPPER(TRIM(M2679))="STD", TRIM(B2679)=TRIM(Enginuity!$A$17))
    ),
    OR(
      AND(LEFT(P2679,5)="1-Way", Enginuity!$B$13=1),
      AND(LEFT(P2679,5)="2-Way", OR(Enginuity!$B$13=2, Enginuity!$B$13=4)),
      AND(LEFT(P2679,5)="3-Way", OR(Enginuity!$B$13=3, Enginuity!$B$13=6)),
      AND(P2679="Inner Centre Jamb", OR(Enginuity!$B$13=4, Enginuity!$B$13=6)),
      AND(
        LEFT(P2679,5)&lt;&gt;"1-Way",
        LEFT(P2679,5)&lt;&gt;"2-Way",
        LEFT(P2679,5)&lt;&gt;"3-Way",
        P2679&lt;&gt;"Inner Centre Jamb"
      )
    ),
    IF(OR(Enginuity!$A$1="Frameless Glass",Enginuity!$A$1="Metal Work"),
      AND(TRIM(B2679)=TRIM(Enginuity!$A$17),TRIM(C2679)=TRIM(Enginuity!$A$18)),
      TRIM(B2679)=TRIM(Enginuity!$A$17)
    )
  ),
  ROW(),
  ""
)</f>
        <v/>
      </c>
    </row>
    <row r="2680" spans="21:21" x14ac:dyDescent="0.25">
      <c r="U2680" s="104" t="str">
        <f>IF(
  AND(
    TRIM(A2680)=TRIM(Enginuity!$A$1),
    TRIM(B2680)=TRIM(Enginuity!$A$17),
    Q2680&lt;&gt;"",
    Q2680&lt;&gt;0,
    OR(
      TRIM(C2680)=TRIM(Enginuity!$A$18),
      AND(UPPER(TRIM(M2680))="STD", TRIM(B2680)=TRIM(Enginuity!$A$17))
    ),
    OR(
      AND(LEFT(P2680,5)="1-Way", Enginuity!$B$13=1),
      AND(LEFT(P2680,5)="2-Way", OR(Enginuity!$B$13=2, Enginuity!$B$13=4)),
      AND(LEFT(P2680,5)="3-Way", OR(Enginuity!$B$13=3, Enginuity!$B$13=6)),
      AND(P2680="Inner Centre Jamb", OR(Enginuity!$B$13=4, Enginuity!$B$13=6)),
      AND(
        LEFT(P2680,5)&lt;&gt;"1-Way",
        LEFT(P2680,5)&lt;&gt;"2-Way",
        LEFT(P2680,5)&lt;&gt;"3-Way",
        P2680&lt;&gt;"Inner Centre Jamb"
      )
    ),
    IF(OR(Enginuity!$A$1="Frameless Glass",Enginuity!$A$1="Metal Work"),
      AND(TRIM(B2680)=TRIM(Enginuity!$A$17),TRIM(C2680)=TRIM(Enginuity!$A$18)),
      TRIM(B2680)=TRIM(Enginuity!$A$17)
    )
  ),
  ROW(),
  ""
)</f>
        <v/>
      </c>
    </row>
    <row r="2681" spans="21:21" x14ac:dyDescent="0.25">
      <c r="U2681" s="104" t="str">
        <f>IF(
  AND(
    TRIM(A2681)=TRIM(Enginuity!$A$1),
    TRIM(B2681)=TRIM(Enginuity!$A$17),
    Q2681&lt;&gt;"",
    Q2681&lt;&gt;0,
    OR(
      TRIM(C2681)=TRIM(Enginuity!$A$18),
      AND(UPPER(TRIM(M2681))="STD", TRIM(B2681)=TRIM(Enginuity!$A$17))
    ),
    OR(
      AND(LEFT(P2681,5)="1-Way", Enginuity!$B$13=1),
      AND(LEFT(P2681,5)="2-Way", OR(Enginuity!$B$13=2, Enginuity!$B$13=4)),
      AND(LEFT(P2681,5)="3-Way", OR(Enginuity!$B$13=3, Enginuity!$B$13=6)),
      AND(P2681="Inner Centre Jamb", OR(Enginuity!$B$13=4, Enginuity!$B$13=6)),
      AND(
        LEFT(P2681,5)&lt;&gt;"1-Way",
        LEFT(P2681,5)&lt;&gt;"2-Way",
        LEFT(P2681,5)&lt;&gt;"3-Way",
        P2681&lt;&gt;"Inner Centre Jamb"
      )
    ),
    IF(OR(Enginuity!$A$1="Frameless Glass",Enginuity!$A$1="Metal Work"),
      AND(TRIM(B2681)=TRIM(Enginuity!$A$17),TRIM(C2681)=TRIM(Enginuity!$A$18)),
      TRIM(B2681)=TRIM(Enginuity!$A$17)
    )
  ),
  ROW(),
  ""
)</f>
        <v/>
      </c>
    </row>
    <row r="2682" spans="21:21" x14ac:dyDescent="0.25">
      <c r="U2682" s="104" t="str">
        <f>IF(
  AND(
    TRIM(A2682)=TRIM(Enginuity!$A$1),
    TRIM(B2682)=TRIM(Enginuity!$A$17),
    Q2682&lt;&gt;"",
    Q2682&lt;&gt;0,
    OR(
      TRIM(C2682)=TRIM(Enginuity!$A$18),
      AND(UPPER(TRIM(M2682))="STD", TRIM(B2682)=TRIM(Enginuity!$A$17))
    ),
    OR(
      AND(LEFT(P2682,5)="1-Way", Enginuity!$B$13=1),
      AND(LEFT(P2682,5)="2-Way", OR(Enginuity!$B$13=2, Enginuity!$B$13=4)),
      AND(LEFT(P2682,5)="3-Way", OR(Enginuity!$B$13=3, Enginuity!$B$13=6)),
      AND(P2682="Inner Centre Jamb", OR(Enginuity!$B$13=4, Enginuity!$B$13=6)),
      AND(
        LEFT(P2682,5)&lt;&gt;"1-Way",
        LEFT(P2682,5)&lt;&gt;"2-Way",
        LEFT(P2682,5)&lt;&gt;"3-Way",
        P2682&lt;&gt;"Inner Centre Jamb"
      )
    ),
    IF(OR(Enginuity!$A$1="Frameless Glass",Enginuity!$A$1="Metal Work"),
      AND(TRIM(B2682)=TRIM(Enginuity!$A$17),TRIM(C2682)=TRIM(Enginuity!$A$18)),
      TRIM(B2682)=TRIM(Enginuity!$A$17)
    )
  ),
  ROW(),
  ""
)</f>
        <v/>
      </c>
    </row>
    <row r="2683" spans="21:21" x14ac:dyDescent="0.25">
      <c r="U2683" s="104" t="str">
        <f>IF(
  AND(
    TRIM(A2683)=TRIM(Enginuity!$A$1),
    TRIM(B2683)=TRIM(Enginuity!$A$17),
    Q2683&lt;&gt;"",
    Q2683&lt;&gt;0,
    OR(
      TRIM(C2683)=TRIM(Enginuity!$A$18),
      AND(UPPER(TRIM(M2683))="STD", TRIM(B2683)=TRIM(Enginuity!$A$17))
    ),
    OR(
      AND(LEFT(P2683,5)="1-Way", Enginuity!$B$13=1),
      AND(LEFT(P2683,5)="2-Way", OR(Enginuity!$B$13=2, Enginuity!$B$13=4)),
      AND(LEFT(P2683,5)="3-Way", OR(Enginuity!$B$13=3, Enginuity!$B$13=6)),
      AND(P2683="Inner Centre Jamb", OR(Enginuity!$B$13=4, Enginuity!$B$13=6)),
      AND(
        LEFT(P2683,5)&lt;&gt;"1-Way",
        LEFT(P2683,5)&lt;&gt;"2-Way",
        LEFT(P2683,5)&lt;&gt;"3-Way",
        P2683&lt;&gt;"Inner Centre Jamb"
      )
    ),
    IF(OR(Enginuity!$A$1="Frameless Glass",Enginuity!$A$1="Metal Work"),
      AND(TRIM(B2683)=TRIM(Enginuity!$A$17),TRIM(C2683)=TRIM(Enginuity!$A$18)),
      TRIM(B2683)=TRIM(Enginuity!$A$17)
    )
  ),
  ROW(),
  ""
)</f>
        <v/>
      </c>
    </row>
    <row r="2684" spans="21:21" x14ac:dyDescent="0.25">
      <c r="U2684" s="104" t="str">
        <f>IF(
  AND(
    TRIM(A2684)=TRIM(Enginuity!$A$1),
    TRIM(B2684)=TRIM(Enginuity!$A$17),
    Q2684&lt;&gt;"",
    Q2684&lt;&gt;0,
    OR(
      TRIM(C2684)=TRIM(Enginuity!$A$18),
      AND(UPPER(TRIM(M2684))="STD", TRIM(B2684)=TRIM(Enginuity!$A$17))
    ),
    OR(
      AND(LEFT(P2684,5)="1-Way", Enginuity!$B$13=1),
      AND(LEFT(P2684,5)="2-Way", OR(Enginuity!$B$13=2, Enginuity!$B$13=4)),
      AND(LEFT(P2684,5)="3-Way", OR(Enginuity!$B$13=3, Enginuity!$B$13=6)),
      AND(P2684="Inner Centre Jamb", OR(Enginuity!$B$13=4, Enginuity!$B$13=6)),
      AND(
        LEFT(P2684,5)&lt;&gt;"1-Way",
        LEFT(P2684,5)&lt;&gt;"2-Way",
        LEFT(P2684,5)&lt;&gt;"3-Way",
        P2684&lt;&gt;"Inner Centre Jamb"
      )
    ),
    IF(OR(Enginuity!$A$1="Frameless Glass",Enginuity!$A$1="Metal Work"),
      AND(TRIM(B2684)=TRIM(Enginuity!$A$17),TRIM(C2684)=TRIM(Enginuity!$A$18)),
      TRIM(B2684)=TRIM(Enginuity!$A$17)
    )
  ),
  ROW(),
  ""
)</f>
        <v/>
      </c>
    </row>
    <row r="2685" spans="21:21" x14ac:dyDescent="0.25">
      <c r="U2685" s="104" t="str">
        <f>IF(
  AND(
    TRIM(A2685)=TRIM(Enginuity!$A$1),
    TRIM(B2685)=TRIM(Enginuity!$A$17),
    Q2685&lt;&gt;"",
    Q2685&lt;&gt;0,
    OR(
      TRIM(C2685)=TRIM(Enginuity!$A$18),
      AND(UPPER(TRIM(M2685))="STD", TRIM(B2685)=TRIM(Enginuity!$A$17))
    ),
    OR(
      AND(LEFT(P2685,5)="1-Way", Enginuity!$B$13=1),
      AND(LEFT(P2685,5)="2-Way", OR(Enginuity!$B$13=2, Enginuity!$B$13=4)),
      AND(LEFT(P2685,5)="3-Way", OR(Enginuity!$B$13=3, Enginuity!$B$13=6)),
      AND(P2685="Inner Centre Jamb", OR(Enginuity!$B$13=4, Enginuity!$B$13=6)),
      AND(
        LEFT(P2685,5)&lt;&gt;"1-Way",
        LEFT(P2685,5)&lt;&gt;"2-Way",
        LEFT(P2685,5)&lt;&gt;"3-Way",
        P2685&lt;&gt;"Inner Centre Jamb"
      )
    ),
    IF(OR(Enginuity!$A$1="Frameless Glass",Enginuity!$A$1="Metal Work"),
      AND(TRIM(B2685)=TRIM(Enginuity!$A$17),TRIM(C2685)=TRIM(Enginuity!$A$18)),
      TRIM(B2685)=TRIM(Enginuity!$A$17)
    )
  ),
  ROW(),
  ""
)</f>
        <v/>
      </c>
    </row>
    <row r="2686" spans="21:21" x14ac:dyDescent="0.25">
      <c r="U2686" s="104" t="str">
        <f>IF(
  AND(
    TRIM(A2686)=TRIM(Enginuity!$A$1),
    TRIM(B2686)=TRIM(Enginuity!$A$17),
    Q2686&lt;&gt;"",
    Q2686&lt;&gt;0,
    OR(
      TRIM(C2686)=TRIM(Enginuity!$A$18),
      AND(UPPER(TRIM(M2686))="STD", TRIM(B2686)=TRIM(Enginuity!$A$17))
    ),
    OR(
      AND(LEFT(P2686,5)="1-Way", Enginuity!$B$13=1),
      AND(LEFT(P2686,5)="2-Way", OR(Enginuity!$B$13=2, Enginuity!$B$13=4)),
      AND(LEFT(P2686,5)="3-Way", OR(Enginuity!$B$13=3, Enginuity!$B$13=6)),
      AND(P2686="Inner Centre Jamb", OR(Enginuity!$B$13=4, Enginuity!$B$13=6)),
      AND(
        LEFT(P2686,5)&lt;&gt;"1-Way",
        LEFT(P2686,5)&lt;&gt;"2-Way",
        LEFT(P2686,5)&lt;&gt;"3-Way",
        P2686&lt;&gt;"Inner Centre Jamb"
      )
    ),
    IF(OR(Enginuity!$A$1="Frameless Glass",Enginuity!$A$1="Metal Work"),
      AND(TRIM(B2686)=TRIM(Enginuity!$A$17),TRIM(C2686)=TRIM(Enginuity!$A$18)),
      TRIM(B2686)=TRIM(Enginuity!$A$17)
    )
  ),
  ROW(),
  ""
)</f>
        <v/>
      </c>
    </row>
    <row r="2687" spans="21:21" x14ac:dyDescent="0.25">
      <c r="U2687" s="104" t="str">
        <f>IF(
  AND(
    TRIM(A2687)=TRIM(Enginuity!$A$1),
    TRIM(B2687)=TRIM(Enginuity!$A$17),
    Q2687&lt;&gt;"",
    Q2687&lt;&gt;0,
    OR(
      TRIM(C2687)=TRIM(Enginuity!$A$18),
      AND(UPPER(TRIM(M2687))="STD", TRIM(B2687)=TRIM(Enginuity!$A$17))
    ),
    OR(
      AND(LEFT(P2687,5)="1-Way", Enginuity!$B$13=1),
      AND(LEFT(P2687,5)="2-Way", OR(Enginuity!$B$13=2, Enginuity!$B$13=4)),
      AND(LEFT(P2687,5)="3-Way", OR(Enginuity!$B$13=3, Enginuity!$B$13=6)),
      AND(P2687="Inner Centre Jamb", OR(Enginuity!$B$13=4, Enginuity!$B$13=6)),
      AND(
        LEFT(P2687,5)&lt;&gt;"1-Way",
        LEFT(P2687,5)&lt;&gt;"2-Way",
        LEFT(P2687,5)&lt;&gt;"3-Way",
        P2687&lt;&gt;"Inner Centre Jamb"
      )
    ),
    IF(OR(Enginuity!$A$1="Frameless Glass",Enginuity!$A$1="Metal Work"),
      AND(TRIM(B2687)=TRIM(Enginuity!$A$17),TRIM(C2687)=TRIM(Enginuity!$A$18)),
      TRIM(B2687)=TRIM(Enginuity!$A$17)
    )
  ),
  ROW(),
  ""
)</f>
        <v/>
      </c>
    </row>
    <row r="2688" spans="21:21" x14ac:dyDescent="0.25">
      <c r="U2688" s="104" t="str">
        <f>IF(
  AND(
    TRIM(A2688)=TRIM(Enginuity!$A$1),
    TRIM(B2688)=TRIM(Enginuity!$A$17),
    Q2688&lt;&gt;"",
    Q2688&lt;&gt;0,
    OR(
      TRIM(C2688)=TRIM(Enginuity!$A$18),
      AND(UPPER(TRIM(M2688))="STD", TRIM(B2688)=TRIM(Enginuity!$A$17))
    ),
    OR(
      AND(LEFT(P2688,5)="1-Way", Enginuity!$B$13=1),
      AND(LEFT(P2688,5)="2-Way", OR(Enginuity!$B$13=2, Enginuity!$B$13=4)),
      AND(LEFT(P2688,5)="3-Way", OR(Enginuity!$B$13=3, Enginuity!$B$13=6)),
      AND(P2688="Inner Centre Jamb", OR(Enginuity!$B$13=4, Enginuity!$B$13=6)),
      AND(
        LEFT(P2688,5)&lt;&gt;"1-Way",
        LEFT(P2688,5)&lt;&gt;"2-Way",
        LEFT(P2688,5)&lt;&gt;"3-Way",
        P2688&lt;&gt;"Inner Centre Jamb"
      )
    ),
    IF(OR(Enginuity!$A$1="Frameless Glass",Enginuity!$A$1="Metal Work"),
      AND(TRIM(B2688)=TRIM(Enginuity!$A$17),TRIM(C2688)=TRIM(Enginuity!$A$18)),
      TRIM(B2688)=TRIM(Enginuity!$A$17)
    )
  ),
  ROW(),
  ""
)</f>
        <v/>
      </c>
    </row>
    <row r="2689" spans="21:21" x14ac:dyDescent="0.25">
      <c r="U2689" s="104" t="str">
        <f>IF(
  AND(
    TRIM(A2689)=TRIM(Enginuity!$A$1),
    TRIM(B2689)=TRIM(Enginuity!$A$17),
    Q2689&lt;&gt;"",
    Q2689&lt;&gt;0,
    OR(
      TRIM(C2689)=TRIM(Enginuity!$A$18),
      AND(UPPER(TRIM(M2689))="STD", TRIM(B2689)=TRIM(Enginuity!$A$17))
    ),
    OR(
      AND(LEFT(P2689,5)="1-Way", Enginuity!$B$13=1),
      AND(LEFT(P2689,5)="2-Way", OR(Enginuity!$B$13=2, Enginuity!$B$13=4)),
      AND(LEFT(P2689,5)="3-Way", OR(Enginuity!$B$13=3, Enginuity!$B$13=6)),
      AND(P2689="Inner Centre Jamb", OR(Enginuity!$B$13=4, Enginuity!$B$13=6)),
      AND(
        LEFT(P2689,5)&lt;&gt;"1-Way",
        LEFT(P2689,5)&lt;&gt;"2-Way",
        LEFT(P2689,5)&lt;&gt;"3-Way",
        P2689&lt;&gt;"Inner Centre Jamb"
      )
    ),
    IF(OR(Enginuity!$A$1="Frameless Glass",Enginuity!$A$1="Metal Work"),
      AND(TRIM(B2689)=TRIM(Enginuity!$A$17),TRIM(C2689)=TRIM(Enginuity!$A$18)),
      TRIM(B2689)=TRIM(Enginuity!$A$17)
    )
  ),
  ROW(),
  ""
)</f>
        <v/>
      </c>
    </row>
    <row r="2690" spans="21:21" x14ac:dyDescent="0.25">
      <c r="U2690" s="104" t="str">
        <f>IF(
  AND(
    TRIM(A2690)=TRIM(Enginuity!$A$1),
    TRIM(B2690)=TRIM(Enginuity!$A$17),
    Q2690&lt;&gt;"",
    Q2690&lt;&gt;0,
    OR(
      TRIM(C2690)=TRIM(Enginuity!$A$18),
      AND(UPPER(TRIM(M2690))="STD", TRIM(B2690)=TRIM(Enginuity!$A$17))
    ),
    OR(
      AND(LEFT(P2690,5)="1-Way", Enginuity!$B$13=1),
      AND(LEFT(P2690,5)="2-Way", OR(Enginuity!$B$13=2, Enginuity!$B$13=4)),
      AND(LEFT(P2690,5)="3-Way", OR(Enginuity!$B$13=3, Enginuity!$B$13=6)),
      AND(P2690="Inner Centre Jamb", OR(Enginuity!$B$13=4, Enginuity!$B$13=6)),
      AND(
        LEFT(P2690,5)&lt;&gt;"1-Way",
        LEFT(P2690,5)&lt;&gt;"2-Way",
        LEFT(P2690,5)&lt;&gt;"3-Way",
        P2690&lt;&gt;"Inner Centre Jamb"
      )
    ),
    IF(OR(Enginuity!$A$1="Frameless Glass",Enginuity!$A$1="Metal Work"),
      AND(TRIM(B2690)=TRIM(Enginuity!$A$17),TRIM(C2690)=TRIM(Enginuity!$A$18)),
      TRIM(B2690)=TRIM(Enginuity!$A$17)
    )
  ),
  ROW(),
  ""
)</f>
        <v/>
      </c>
    </row>
    <row r="2691" spans="21:21" x14ac:dyDescent="0.25">
      <c r="U2691" s="104" t="str">
        <f>IF(
  AND(
    TRIM(A2691)=TRIM(Enginuity!$A$1),
    TRIM(B2691)=TRIM(Enginuity!$A$17),
    Q2691&lt;&gt;"",
    Q2691&lt;&gt;0,
    OR(
      TRIM(C2691)=TRIM(Enginuity!$A$18),
      AND(UPPER(TRIM(M2691))="STD", TRIM(B2691)=TRIM(Enginuity!$A$17))
    ),
    OR(
      AND(LEFT(P2691,5)="1-Way", Enginuity!$B$13=1),
      AND(LEFT(P2691,5)="2-Way", OR(Enginuity!$B$13=2, Enginuity!$B$13=4)),
      AND(LEFT(P2691,5)="3-Way", OR(Enginuity!$B$13=3, Enginuity!$B$13=6)),
      AND(P2691="Inner Centre Jamb", OR(Enginuity!$B$13=4, Enginuity!$B$13=6)),
      AND(
        LEFT(P2691,5)&lt;&gt;"1-Way",
        LEFT(P2691,5)&lt;&gt;"2-Way",
        LEFT(P2691,5)&lt;&gt;"3-Way",
        P2691&lt;&gt;"Inner Centre Jamb"
      )
    ),
    IF(OR(Enginuity!$A$1="Frameless Glass",Enginuity!$A$1="Metal Work"),
      AND(TRIM(B2691)=TRIM(Enginuity!$A$17),TRIM(C2691)=TRIM(Enginuity!$A$18)),
      TRIM(B2691)=TRIM(Enginuity!$A$17)
    )
  ),
  ROW(),
  ""
)</f>
        <v/>
      </c>
    </row>
    <row r="2692" spans="21:21" x14ac:dyDescent="0.25">
      <c r="U2692" s="104" t="str">
        <f>IF(
  AND(
    TRIM(A2692)=TRIM(Enginuity!$A$1),
    TRIM(B2692)=TRIM(Enginuity!$A$17),
    Q2692&lt;&gt;"",
    Q2692&lt;&gt;0,
    OR(
      TRIM(C2692)=TRIM(Enginuity!$A$18),
      AND(UPPER(TRIM(M2692))="STD", TRIM(B2692)=TRIM(Enginuity!$A$17))
    ),
    OR(
      AND(LEFT(P2692,5)="1-Way", Enginuity!$B$13=1),
      AND(LEFT(P2692,5)="2-Way", OR(Enginuity!$B$13=2, Enginuity!$B$13=4)),
      AND(LEFT(P2692,5)="3-Way", OR(Enginuity!$B$13=3, Enginuity!$B$13=6)),
      AND(P2692="Inner Centre Jamb", OR(Enginuity!$B$13=4, Enginuity!$B$13=6)),
      AND(
        LEFT(P2692,5)&lt;&gt;"1-Way",
        LEFT(P2692,5)&lt;&gt;"2-Way",
        LEFT(P2692,5)&lt;&gt;"3-Way",
        P2692&lt;&gt;"Inner Centre Jamb"
      )
    ),
    IF(OR(Enginuity!$A$1="Frameless Glass",Enginuity!$A$1="Metal Work"),
      AND(TRIM(B2692)=TRIM(Enginuity!$A$17),TRIM(C2692)=TRIM(Enginuity!$A$18)),
      TRIM(B2692)=TRIM(Enginuity!$A$17)
    )
  ),
  ROW(),
  ""
)</f>
        <v/>
      </c>
    </row>
    <row r="2693" spans="21:21" x14ac:dyDescent="0.25">
      <c r="U2693" s="104" t="str">
        <f>IF(
  AND(
    TRIM(A2693)=TRIM(Enginuity!$A$1),
    TRIM(B2693)=TRIM(Enginuity!$A$17),
    Q2693&lt;&gt;"",
    Q2693&lt;&gt;0,
    OR(
      TRIM(C2693)=TRIM(Enginuity!$A$18),
      AND(UPPER(TRIM(M2693))="STD", TRIM(B2693)=TRIM(Enginuity!$A$17))
    ),
    OR(
      AND(LEFT(P2693,5)="1-Way", Enginuity!$B$13=1),
      AND(LEFT(P2693,5)="2-Way", OR(Enginuity!$B$13=2, Enginuity!$B$13=4)),
      AND(LEFT(P2693,5)="3-Way", OR(Enginuity!$B$13=3, Enginuity!$B$13=6)),
      AND(P2693="Inner Centre Jamb", OR(Enginuity!$B$13=4, Enginuity!$B$13=6)),
      AND(
        LEFT(P2693,5)&lt;&gt;"1-Way",
        LEFT(P2693,5)&lt;&gt;"2-Way",
        LEFT(P2693,5)&lt;&gt;"3-Way",
        P2693&lt;&gt;"Inner Centre Jamb"
      )
    ),
    IF(OR(Enginuity!$A$1="Frameless Glass",Enginuity!$A$1="Metal Work"),
      AND(TRIM(B2693)=TRIM(Enginuity!$A$17),TRIM(C2693)=TRIM(Enginuity!$A$18)),
      TRIM(B2693)=TRIM(Enginuity!$A$17)
    )
  ),
  ROW(),
  ""
)</f>
        <v/>
      </c>
    </row>
    <row r="2694" spans="21:21" x14ac:dyDescent="0.25">
      <c r="U2694" s="104" t="str">
        <f>IF(
  AND(
    TRIM(A2694)=TRIM(Enginuity!$A$1),
    TRIM(B2694)=TRIM(Enginuity!$A$17),
    Q2694&lt;&gt;"",
    Q2694&lt;&gt;0,
    OR(
      TRIM(C2694)=TRIM(Enginuity!$A$18),
      AND(UPPER(TRIM(M2694))="STD", TRIM(B2694)=TRIM(Enginuity!$A$17))
    ),
    OR(
      AND(LEFT(P2694,5)="1-Way", Enginuity!$B$13=1),
      AND(LEFT(P2694,5)="2-Way", OR(Enginuity!$B$13=2, Enginuity!$B$13=4)),
      AND(LEFT(P2694,5)="3-Way", OR(Enginuity!$B$13=3, Enginuity!$B$13=6)),
      AND(P2694="Inner Centre Jamb", OR(Enginuity!$B$13=4, Enginuity!$B$13=6)),
      AND(
        LEFT(P2694,5)&lt;&gt;"1-Way",
        LEFT(P2694,5)&lt;&gt;"2-Way",
        LEFT(P2694,5)&lt;&gt;"3-Way",
        P2694&lt;&gt;"Inner Centre Jamb"
      )
    ),
    IF(OR(Enginuity!$A$1="Frameless Glass",Enginuity!$A$1="Metal Work"),
      AND(TRIM(B2694)=TRIM(Enginuity!$A$17),TRIM(C2694)=TRIM(Enginuity!$A$18)),
      TRIM(B2694)=TRIM(Enginuity!$A$17)
    )
  ),
  ROW(),
  ""
)</f>
        <v/>
      </c>
    </row>
    <row r="2695" spans="21:21" x14ac:dyDescent="0.25">
      <c r="U2695" s="104" t="str">
        <f>IF(
  AND(
    TRIM(A2695)=TRIM(Enginuity!$A$1),
    TRIM(B2695)=TRIM(Enginuity!$A$17),
    Q2695&lt;&gt;"",
    Q2695&lt;&gt;0,
    OR(
      TRIM(C2695)=TRIM(Enginuity!$A$18),
      AND(UPPER(TRIM(M2695))="STD", TRIM(B2695)=TRIM(Enginuity!$A$17))
    ),
    OR(
      AND(LEFT(P2695,5)="1-Way", Enginuity!$B$13=1),
      AND(LEFT(P2695,5)="2-Way", OR(Enginuity!$B$13=2, Enginuity!$B$13=4)),
      AND(LEFT(P2695,5)="3-Way", OR(Enginuity!$B$13=3, Enginuity!$B$13=6)),
      AND(P2695="Inner Centre Jamb", OR(Enginuity!$B$13=4, Enginuity!$B$13=6)),
      AND(
        LEFT(P2695,5)&lt;&gt;"1-Way",
        LEFT(P2695,5)&lt;&gt;"2-Way",
        LEFT(P2695,5)&lt;&gt;"3-Way",
        P2695&lt;&gt;"Inner Centre Jamb"
      )
    ),
    IF(OR(Enginuity!$A$1="Frameless Glass",Enginuity!$A$1="Metal Work"),
      AND(TRIM(B2695)=TRIM(Enginuity!$A$17),TRIM(C2695)=TRIM(Enginuity!$A$18)),
      TRIM(B2695)=TRIM(Enginuity!$A$17)
    )
  ),
  ROW(),
  ""
)</f>
        <v/>
      </c>
    </row>
    <row r="2696" spans="21:21" x14ac:dyDescent="0.25">
      <c r="U2696" s="104" t="str">
        <f>IF(
  AND(
    TRIM(A2696)=TRIM(Enginuity!$A$1),
    TRIM(B2696)=TRIM(Enginuity!$A$17),
    Q2696&lt;&gt;"",
    Q2696&lt;&gt;0,
    OR(
      TRIM(C2696)=TRIM(Enginuity!$A$18),
      AND(UPPER(TRIM(M2696))="STD", TRIM(B2696)=TRIM(Enginuity!$A$17))
    ),
    OR(
      AND(LEFT(P2696,5)="1-Way", Enginuity!$B$13=1),
      AND(LEFT(P2696,5)="2-Way", OR(Enginuity!$B$13=2, Enginuity!$B$13=4)),
      AND(LEFT(P2696,5)="3-Way", OR(Enginuity!$B$13=3, Enginuity!$B$13=6)),
      AND(P2696="Inner Centre Jamb", OR(Enginuity!$B$13=4, Enginuity!$B$13=6)),
      AND(
        LEFT(P2696,5)&lt;&gt;"1-Way",
        LEFT(P2696,5)&lt;&gt;"2-Way",
        LEFT(P2696,5)&lt;&gt;"3-Way",
        P2696&lt;&gt;"Inner Centre Jamb"
      )
    ),
    IF(OR(Enginuity!$A$1="Frameless Glass",Enginuity!$A$1="Metal Work"),
      AND(TRIM(B2696)=TRIM(Enginuity!$A$17),TRIM(C2696)=TRIM(Enginuity!$A$18)),
      TRIM(B2696)=TRIM(Enginuity!$A$17)
    )
  ),
  ROW(),
  ""
)</f>
        <v/>
      </c>
    </row>
    <row r="2697" spans="21:21" x14ac:dyDescent="0.25">
      <c r="U2697" s="104" t="str">
        <f>IF(
  AND(
    TRIM(A2697)=TRIM(Enginuity!$A$1),
    TRIM(B2697)=TRIM(Enginuity!$A$17),
    Q2697&lt;&gt;"",
    Q2697&lt;&gt;0,
    OR(
      TRIM(C2697)=TRIM(Enginuity!$A$18),
      AND(UPPER(TRIM(M2697))="STD", TRIM(B2697)=TRIM(Enginuity!$A$17))
    ),
    OR(
      AND(LEFT(P2697,5)="1-Way", Enginuity!$B$13=1),
      AND(LEFT(P2697,5)="2-Way", OR(Enginuity!$B$13=2, Enginuity!$B$13=4)),
      AND(LEFT(P2697,5)="3-Way", OR(Enginuity!$B$13=3, Enginuity!$B$13=6)),
      AND(P2697="Inner Centre Jamb", OR(Enginuity!$B$13=4, Enginuity!$B$13=6)),
      AND(
        LEFT(P2697,5)&lt;&gt;"1-Way",
        LEFT(P2697,5)&lt;&gt;"2-Way",
        LEFT(P2697,5)&lt;&gt;"3-Way",
        P2697&lt;&gt;"Inner Centre Jamb"
      )
    ),
    IF(OR(Enginuity!$A$1="Frameless Glass",Enginuity!$A$1="Metal Work"),
      AND(TRIM(B2697)=TRIM(Enginuity!$A$17),TRIM(C2697)=TRIM(Enginuity!$A$18)),
      TRIM(B2697)=TRIM(Enginuity!$A$17)
    )
  ),
  ROW(),
  ""
)</f>
        <v/>
      </c>
    </row>
    <row r="2698" spans="21:21" x14ac:dyDescent="0.25">
      <c r="U2698" s="104" t="str">
        <f>IF(
  AND(
    TRIM(A2698)=TRIM(Enginuity!$A$1),
    TRIM(B2698)=TRIM(Enginuity!$A$17),
    Q2698&lt;&gt;"",
    Q2698&lt;&gt;0,
    OR(
      TRIM(C2698)=TRIM(Enginuity!$A$18),
      AND(UPPER(TRIM(M2698))="STD", TRIM(B2698)=TRIM(Enginuity!$A$17))
    ),
    OR(
      AND(LEFT(P2698,5)="1-Way", Enginuity!$B$13=1),
      AND(LEFT(P2698,5)="2-Way", OR(Enginuity!$B$13=2, Enginuity!$B$13=4)),
      AND(LEFT(P2698,5)="3-Way", OR(Enginuity!$B$13=3, Enginuity!$B$13=6)),
      AND(P2698="Inner Centre Jamb", OR(Enginuity!$B$13=4, Enginuity!$B$13=6)),
      AND(
        LEFT(P2698,5)&lt;&gt;"1-Way",
        LEFT(P2698,5)&lt;&gt;"2-Way",
        LEFT(P2698,5)&lt;&gt;"3-Way",
        P2698&lt;&gt;"Inner Centre Jamb"
      )
    ),
    IF(OR(Enginuity!$A$1="Frameless Glass",Enginuity!$A$1="Metal Work"),
      AND(TRIM(B2698)=TRIM(Enginuity!$A$17),TRIM(C2698)=TRIM(Enginuity!$A$18)),
      TRIM(B2698)=TRIM(Enginuity!$A$17)
    )
  ),
  ROW(),
  ""
)</f>
        <v/>
      </c>
    </row>
    <row r="2699" spans="21:21" x14ac:dyDescent="0.25">
      <c r="U2699" s="104" t="str">
        <f>IF(
  AND(
    TRIM(A2699)=TRIM(Enginuity!$A$1),
    TRIM(B2699)=TRIM(Enginuity!$A$17),
    Q2699&lt;&gt;"",
    Q2699&lt;&gt;0,
    OR(
      TRIM(C2699)=TRIM(Enginuity!$A$18),
      AND(UPPER(TRIM(M2699))="STD", TRIM(B2699)=TRIM(Enginuity!$A$17))
    ),
    OR(
      AND(LEFT(P2699,5)="1-Way", Enginuity!$B$13=1),
      AND(LEFT(P2699,5)="2-Way", OR(Enginuity!$B$13=2, Enginuity!$B$13=4)),
      AND(LEFT(P2699,5)="3-Way", OR(Enginuity!$B$13=3, Enginuity!$B$13=6)),
      AND(P2699="Inner Centre Jamb", OR(Enginuity!$B$13=4, Enginuity!$B$13=6)),
      AND(
        LEFT(P2699,5)&lt;&gt;"1-Way",
        LEFT(P2699,5)&lt;&gt;"2-Way",
        LEFT(P2699,5)&lt;&gt;"3-Way",
        P2699&lt;&gt;"Inner Centre Jamb"
      )
    ),
    IF(OR(Enginuity!$A$1="Frameless Glass",Enginuity!$A$1="Metal Work"),
      AND(TRIM(B2699)=TRIM(Enginuity!$A$17),TRIM(C2699)=TRIM(Enginuity!$A$18)),
      TRIM(B2699)=TRIM(Enginuity!$A$17)
    )
  ),
  ROW(),
  ""
)</f>
        <v/>
      </c>
    </row>
    <row r="2700" spans="21:21" x14ac:dyDescent="0.25">
      <c r="U2700" s="104" t="str">
        <f>IF(
  AND(
    TRIM(A2700)=TRIM(Enginuity!$A$1),
    TRIM(B2700)=TRIM(Enginuity!$A$17),
    Q2700&lt;&gt;"",
    Q2700&lt;&gt;0,
    OR(
      TRIM(C2700)=TRIM(Enginuity!$A$18),
      AND(UPPER(TRIM(M2700))="STD", TRIM(B2700)=TRIM(Enginuity!$A$17))
    ),
    OR(
      AND(LEFT(P2700,5)="1-Way", Enginuity!$B$13=1),
      AND(LEFT(P2700,5)="2-Way", OR(Enginuity!$B$13=2, Enginuity!$B$13=4)),
      AND(LEFT(P2700,5)="3-Way", OR(Enginuity!$B$13=3, Enginuity!$B$13=6)),
      AND(P2700="Inner Centre Jamb", OR(Enginuity!$B$13=4, Enginuity!$B$13=6)),
      AND(
        LEFT(P2700,5)&lt;&gt;"1-Way",
        LEFT(P2700,5)&lt;&gt;"2-Way",
        LEFT(P2700,5)&lt;&gt;"3-Way",
        P2700&lt;&gt;"Inner Centre Jamb"
      )
    ),
    IF(OR(Enginuity!$A$1="Frameless Glass",Enginuity!$A$1="Metal Work"),
      AND(TRIM(B2700)=TRIM(Enginuity!$A$17),TRIM(C2700)=TRIM(Enginuity!$A$18)),
      TRIM(B2700)=TRIM(Enginuity!$A$17)
    )
  ),
  ROW(),
  ""
)</f>
        <v/>
      </c>
    </row>
    <row r="2701" spans="21:21" x14ac:dyDescent="0.25">
      <c r="U2701" s="104" t="str">
        <f>IF(
  AND(
    TRIM(A2701)=TRIM(Enginuity!$A$1),
    TRIM(B2701)=TRIM(Enginuity!$A$17),
    Q2701&lt;&gt;"",
    Q2701&lt;&gt;0,
    OR(
      TRIM(C2701)=TRIM(Enginuity!$A$18),
      AND(UPPER(TRIM(M2701))="STD", TRIM(B2701)=TRIM(Enginuity!$A$17))
    ),
    OR(
      AND(LEFT(P2701,5)="1-Way", Enginuity!$B$13=1),
      AND(LEFT(P2701,5)="2-Way", OR(Enginuity!$B$13=2, Enginuity!$B$13=4)),
      AND(LEFT(P2701,5)="3-Way", OR(Enginuity!$B$13=3, Enginuity!$B$13=6)),
      AND(P2701="Inner Centre Jamb", OR(Enginuity!$B$13=4, Enginuity!$B$13=6)),
      AND(
        LEFT(P2701,5)&lt;&gt;"1-Way",
        LEFT(P2701,5)&lt;&gt;"2-Way",
        LEFT(P2701,5)&lt;&gt;"3-Way",
        P2701&lt;&gt;"Inner Centre Jamb"
      )
    ),
    IF(OR(Enginuity!$A$1="Frameless Glass",Enginuity!$A$1="Metal Work"),
      AND(TRIM(B2701)=TRIM(Enginuity!$A$17),TRIM(C2701)=TRIM(Enginuity!$A$18)),
      TRIM(B2701)=TRIM(Enginuity!$A$17)
    )
  ),
  ROW(),
  ""
)</f>
        <v/>
      </c>
    </row>
    <row r="2702" spans="21:21" x14ac:dyDescent="0.25">
      <c r="U2702" s="104" t="str">
        <f>IF(
  AND(
    TRIM(A2702)=TRIM(Enginuity!$A$1),
    TRIM(B2702)=TRIM(Enginuity!$A$17),
    Q2702&lt;&gt;"",
    Q2702&lt;&gt;0,
    OR(
      TRIM(C2702)=TRIM(Enginuity!$A$18),
      AND(UPPER(TRIM(M2702))="STD", TRIM(B2702)=TRIM(Enginuity!$A$17))
    ),
    OR(
      AND(LEFT(P2702,5)="1-Way", Enginuity!$B$13=1),
      AND(LEFT(P2702,5)="2-Way", OR(Enginuity!$B$13=2, Enginuity!$B$13=4)),
      AND(LEFT(P2702,5)="3-Way", OR(Enginuity!$B$13=3, Enginuity!$B$13=6)),
      AND(P2702="Inner Centre Jamb", OR(Enginuity!$B$13=4, Enginuity!$B$13=6)),
      AND(
        LEFT(P2702,5)&lt;&gt;"1-Way",
        LEFT(P2702,5)&lt;&gt;"2-Way",
        LEFT(P2702,5)&lt;&gt;"3-Way",
        P2702&lt;&gt;"Inner Centre Jamb"
      )
    ),
    IF(OR(Enginuity!$A$1="Frameless Glass",Enginuity!$A$1="Metal Work"),
      AND(TRIM(B2702)=TRIM(Enginuity!$A$17),TRIM(C2702)=TRIM(Enginuity!$A$18)),
      TRIM(B2702)=TRIM(Enginuity!$A$17)
    )
  ),
  ROW(),
  ""
)</f>
        <v/>
      </c>
    </row>
    <row r="2703" spans="21:21" x14ac:dyDescent="0.25">
      <c r="U2703" s="104" t="str">
        <f>IF(
  AND(
    TRIM(A2703)=TRIM(Enginuity!$A$1),
    TRIM(B2703)=TRIM(Enginuity!$A$17),
    Q2703&lt;&gt;"",
    Q2703&lt;&gt;0,
    OR(
      TRIM(C2703)=TRIM(Enginuity!$A$18),
      AND(UPPER(TRIM(M2703))="STD", TRIM(B2703)=TRIM(Enginuity!$A$17))
    ),
    OR(
      AND(LEFT(P2703,5)="1-Way", Enginuity!$B$13=1),
      AND(LEFT(P2703,5)="2-Way", OR(Enginuity!$B$13=2, Enginuity!$B$13=4)),
      AND(LEFT(P2703,5)="3-Way", OR(Enginuity!$B$13=3, Enginuity!$B$13=6)),
      AND(P2703="Inner Centre Jamb", OR(Enginuity!$B$13=4, Enginuity!$B$13=6)),
      AND(
        LEFT(P2703,5)&lt;&gt;"1-Way",
        LEFT(P2703,5)&lt;&gt;"2-Way",
        LEFT(P2703,5)&lt;&gt;"3-Way",
        P2703&lt;&gt;"Inner Centre Jamb"
      )
    ),
    IF(OR(Enginuity!$A$1="Frameless Glass",Enginuity!$A$1="Metal Work"),
      AND(TRIM(B2703)=TRIM(Enginuity!$A$17),TRIM(C2703)=TRIM(Enginuity!$A$18)),
      TRIM(B2703)=TRIM(Enginuity!$A$17)
    )
  ),
  ROW(),
  ""
)</f>
        <v/>
      </c>
    </row>
    <row r="2704" spans="21:21" x14ac:dyDescent="0.25">
      <c r="U2704" s="104" t="str">
        <f>IF(
  AND(
    TRIM(A2704)=TRIM(Enginuity!$A$1),
    TRIM(B2704)=TRIM(Enginuity!$A$17),
    Q2704&lt;&gt;"",
    Q2704&lt;&gt;0,
    OR(
      TRIM(C2704)=TRIM(Enginuity!$A$18),
      AND(UPPER(TRIM(M2704))="STD", TRIM(B2704)=TRIM(Enginuity!$A$17))
    ),
    OR(
      AND(LEFT(P2704,5)="1-Way", Enginuity!$B$13=1),
      AND(LEFT(P2704,5)="2-Way", OR(Enginuity!$B$13=2, Enginuity!$B$13=4)),
      AND(LEFT(P2704,5)="3-Way", OR(Enginuity!$B$13=3, Enginuity!$B$13=6)),
      AND(P2704="Inner Centre Jamb", OR(Enginuity!$B$13=4, Enginuity!$B$13=6)),
      AND(
        LEFT(P2704,5)&lt;&gt;"1-Way",
        LEFT(P2704,5)&lt;&gt;"2-Way",
        LEFT(P2704,5)&lt;&gt;"3-Way",
        P2704&lt;&gt;"Inner Centre Jamb"
      )
    ),
    IF(OR(Enginuity!$A$1="Frameless Glass",Enginuity!$A$1="Metal Work"),
      AND(TRIM(B2704)=TRIM(Enginuity!$A$17),TRIM(C2704)=TRIM(Enginuity!$A$18)),
      TRIM(B2704)=TRIM(Enginuity!$A$17)
    )
  ),
  ROW(),
  ""
)</f>
        <v/>
      </c>
    </row>
    <row r="2705" spans="21:21" x14ac:dyDescent="0.25">
      <c r="U2705" s="104" t="str">
        <f>IF(
  AND(
    TRIM(A2705)=TRIM(Enginuity!$A$1),
    TRIM(B2705)=TRIM(Enginuity!$A$17),
    Q2705&lt;&gt;"",
    Q2705&lt;&gt;0,
    OR(
      TRIM(C2705)=TRIM(Enginuity!$A$18),
      AND(UPPER(TRIM(M2705))="STD", TRIM(B2705)=TRIM(Enginuity!$A$17))
    ),
    OR(
      AND(LEFT(P2705,5)="1-Way", Enginuity!$B$13=1),
      AND(LEFT(P2705,5)="2-Way", OR(Enginuity!$B$13=2, Enginuity!$B$13=4)),
      AND(LEFT(P2705,5)="3-Way", OR(Enginuity!$B$13=3, Enginuity!$B$13=6)),
      AND(P2705="Inner Centre Jamb", OR(Enginuity!$B$13=4, Enginuity!$B$13=6)),
      AND(
        LEFT(P2705,5)&lt;&gt;"1-Way",
        LEFT(P2705,5)&lt;&gt;"2-Way",
        LEFT(P2705,5)&lt;&gt;"3-Way",
        P2705&lt;&gt;"Inner Centre Jamb"
      )
    ),
    IF(OR(Enginuity!$A$1="Frameless Glass",Enginuity!$A$1="Metal Work"),
      AND(TRIM(B2705)=TRIM(Enginuity!$A$17),TRIM(C2705)=TRIM(Enginuity!$A$18)),
      TRIM(B2705)=TRIM(Enginuity!$A$17)
    )
  ),
  ROW(),
  ""
)</f>
        <v/>
      </c>
    </row>
    <row r="2706" spans="21:21" x14ac:dyDescent="0.25">
      <c r="U2706" s="104" t="str">
        <f>IF(
  AND(
    TRIM(A2706)=TRIM(Enginuity!$A$1),
    TRIM(B2706)=TRIM(Enginuity!$A$17),
    Q2706&lt;&gt;"",
    Q2706&lt;&gt;0,
    OR(
      TRIM(C2706)=TRIM(Enginuity!$A$18),
      AND(UPPER(TRIM(M2706))="STD", TRIM(B2706)=TRIM(Enginuity!$A$17))
    ),
    OR(
      AND(LEFT(P2706,5)="1-Way", Enginuity!$B$13=1),
      AND(LEFT(P2706,5)="2-Way", OR(Enginuity!$B$13=2, Enginuity!$B$13=4)),
      AND(LEFT(P2706,5)="3-Way", OR(Enginuity!$B$13=3, Enginuity!$B$13=6)),
      AND(P2706="Inner Centre Jamb", OR(Enginuity!$B$13=4, Enginuity!$B$13=6)),
      AND(
        LEFT(P2706,5)&lt;&gt;"1-Way",
        LEFT(P2706,5)&lt;&gt;"2-Way",
        LEFT(P2706,5)&lt;&gt;"3-Way",
        P2706&lt;&gt;"Inner Centre Jamb"
      )
    ),
    IF(OR(Enginuity!$A$1="Frameless Glass",Enginuity!$A$1="Metal Work"),
      AND(TRIM(B2706)=TRIM(Enginuity!$A$17),TRIM(C2706)=TRIM(Enginuity!$A$18)),
      TRIM(B2706)=TRIM(Enginuity!$A$17)
    )
  ),
  ROW(),
  ""
)</f>
        <v/>
      </c>
    </row>
    <row r="2707" spans="21:21" x14ac:dyDescent="0.25">
      <c r="U2707" s="104" t="str">
        <f>IF(
  AND(
    TRIM(A2707)=TRIM(Enginuity!$A$1),
    TRIM(B2707)=TRIM(Enginuity!$A$17),
    Q2707&lt;&gt;"",
    Q2707&lt;&gt;0,
    OR(
      TRIM(C2707)=TRIM(Enginuity!$A$18),
      AND(UPPER(TRIM(M2707))="STD", TRIM(B2707)=TRIM(Enginuity!$A$17))
    ),
    OR(
      AND(LEFT(P2707,5)="1-Way", Enginuity!$B$13=1),
      AND(LEFT(P2707,5)="2-Way", OR(Enginuity!$B$13=2, Enginuity!$B$13=4)),
      AND(LEFT(P2707,5)="3-Way", OR(Enginuity!$B$13=3, Enginuity!$B$13=6)),
      AND(P2707="Inner Centre Jamb", OR(Enginuity!$B$13=4, Enginuity!$B$13=6)),
      AND(
        LEFT(P2707,5)&lt;&gt;"1-Way",
        LEFT(P2707,5)&lt;&gt;"2-Way",
        LEFT(P2707,5)&lt;&gt;"3-Way",
        P2707&lt;&gt;"Inner Centre Jamb"
      )
    ),
    IF(OR(Enginuity!$A$1="Frameless Glass",Enginuity!$A$1="Metal Work"),
      AND(TRIM(B2707)=TRIM(Enginuity!$A$17),TRIM(C2707)=TRIM(Enginuity!$A$18)),
      TRIM(B2707)=TRIM(Enginuity!$A$17)
    )
  ),
  ROW(),
  ""
)</f>
        <v/>
      </c>
    </row>
    <row r="2708" spans="21:21" x14ac:dyDescent="0.25">
      <c r="U2708" s="104" t="str">
        <f>IF(
  AND(
    TRIM(A2708)=TRIM(Enginuity!$A$1),
    TRIM(B2708)=TRIM(Enginuity!$A$17),
    Q2708&lt;&gt;"",
    Q2708&lt;&gt;0,
    OR(
      TRIM(C2708)=TRIM(Enginuity!$A$18),
      AND(UPPER(TRIM(M2708))="STD", TRIM(B2708)=TRIM(Enginuity!$A$17))
    ),
    OR(
      AND(LEFT(P2708,5)="1-Way", Enginuity!$B$13=1),
      AND(LEFT(P2708,5)="2-Way", OR(Enginuity!$B$13=2, Enginuity!$B$13=4)),
      AND(LEFT(P2708,5)="3-Way", OR(Enginuity!$B$13=3, Enginuity!$B$13=6)),
      AND(P2708="Inner Centre Jamb", OR(Enginuity!$B$13=4, Enginuity!$B$13=6)),
      AND(
        LEFT(P2708,5)&lt;&gt;"1-Way",
        LEFT(P2708,5)&lt;&gt;"2-Way",
        LEFT(P2708,5)&lt;&gt;"3-Way",
        P2708&lt;&gt;"Inner Centre Jamb"
      )
    ),
    IF(OR(Enginuity!$A$1="Frameless Glass",Enginuity!$A$1="Metal Work"),
      AND(TRIM(B2708)=TRIM(Enginuity!$A$17),TRIM(C2708)=TRIM(Enginuity!$A$18)),
      TRIM(B2708)=TRIM(Enginuity!$A$17)
    )
  ),
  ROW(),
  ""
)</f>
        <v/>
      </c>
    </row>
    <row r="2709" spans="21:21" x14ac:dyDescent="0.25">
      <c r="U2709" s="104" t="str">
        <f>IF(
  AND(
    TRIM(A2709)=TRIM(Enginuity!$A$1),
    TRIM(B2709)=TRIM(Enginuity!$A$17),
    Q2709&lt;&gt;"",
    Q2709&lt;&gt;0,
    OR(
      TRIM(C2709)=TRIM(Enginuity!$A$18),
      AND(UPPER(TRIM(M2709))="STD", TRIM(B2709)=TRIM(Enginuity!$A$17))
    ),
    OR(
      AND(LEFT(P2709,5)="1-Way", Enginuity!$B$13=1),
      AND(LEFT(P2709,5)="2-Way", OR(Enginuity!$B$13=2, Enginuity!$B$13=4)),
      AND(LEFT(P2709,5)="3-Way", OR(Enginuity!$B$13=3, Enginuity!$B$13=6)),
      AND(P2709="Inner Centre Jamb", OR(Enginuity!$B$13=4, Enginuity!$B$13=6)),
      AND(
        LEFT(P2709,5)&lt;&gt;"1-Way",
        LEFT(P2709,5)&lt;&gt;"2-Way",
        LEFT(P2709,5)&lt;&gt;"3-Way",
        P2709&lt;&gt;"Inner Centre Jamb"
      )
    ),
    IF(OR(Enginuity!$A$1="Frameless Glass",Enginuity!$A$1="Metal Work"),
      AND(TRIM(B2709)=TRIM(Enginuity!$A$17),TRIM(C2709)=TRIM(Enginuity!$A$18)),
      TRIM(B2709)=TRIM(Enginuity!$A$17)
    )
  ),
  ROW(),
  ""
)</f>
        <v/>
      </c>
    </row>
    <row r="2710" spans="21:21" x14ac:dyDescent="0.25">
      <c r="U2710" s="104" t="str">
        <f>IF(
  AND(
    TRIM(A2710)=TRIM(Enginuity!$A$1),
    TRIM(B2710)=TRIM(Enginuity!$A$17),
    Q2710&lt;&gt;"",
    Q2710&lt;&gt;0,
    OR(
      TRIM(C2710)=TRIM(Enginuity!$A$18),
      AND(UPPER(TRIM(M2710))="STD", TRIM(B2710)=TRIM(Enginuity!$A$17))
    ),
    OR(
      AND(LEFT(P2710,5)="1-Way", Enginuity!$B$13=1),
      AND(LEFT(P2710,5)="2-Way", OR(Enginuity!$B$13=2, Enginuity!$B$13=4)),
      AND(LEFT(P2710,5)="3-Way", OR(Enginuity!$B$13=3, Enginuity!$B$13=6)),
      AND(P2710="Inner Centre Jamb", OR(Enginuity!$B$13=4, Enginuity!$B$13=6)),
      AND(
        LEFT(P2710,5)&lt;&gt;"1-Way",
        LEFT(P2710,5)&lt;&gt;"2-Way",
        LEFT(P2710,5)&lt;&gt;"3-Way",
        P2710&lt;&gt;"Inner Centre Jamb"
      )
    ),
    IF(OR(Enginuity!$A$1="Frameless Glass",Enginuity!$A$1="Metal Work"),
      AND(TRIM(B2710)=TRIM(Enginuity!$A$17),TRIM(C2710)=TRIM(Enginuity!$A$18)),
      TRIM(B2710)=TRIM(Enginuity!$A$17)
    )
  ),
  ROW(),
  ""
)</f>
        <v/>
      </c>
    </row>
    <row r="2711" spans="21:21" x14ac:dyDescent="0.25">
      <c r="U2711" s="104" t="str">
        <f>IF(
  AND(
    TRIM(A2711)=TRIM(Enginuity!$A$1),
    TRIM(B2711)=TRIM(Enginuity!$A$17),
    Q2711&lt;&gt;"",
    Q2711&lt;&gt;0,
    OR(
      TRIM(C2711)=TRIM(Enginuity!$A$18),
      AND(UPPER(TRIM(M2711))="STD", TRIM(B2711)=TRIM(Enginuity!$A$17))
    ),
    OR(
      AND(LEFT(P2711,5)="1-Way", Enginuity!$B$13=1),
      AND(LEFT(P2711,5)="2-Way", OR(Enginuity!$B$13=2, Enginuity!$B$13=4)),
      AND(LEFT(P2711,5)="3-Way", OR(Enginuity!$B$13=3, Enginuity!$B$13=6)),
      AND(P2711="Inner Centre Jamb", OR(Enginuity!$B$13=4, Enginuity!$B$13=6)),
      AND(
        LEFT(P2711,5)&lt;&gt;"1-Way",
        LEFT(P2711,5)&lt;&gt;"2-Way",
        LEFT(P2711,5)&lt;&gt;"3-Way",
        P2711&lt;&gt;"Inner Centre Jamb"
      )
    ),
    IF(OR(Enginuity!$A$1="Frameless Glass",Enginuity!$A$1="Metal Work"),
      AND(TRIM(B2711)=TRIM(Enginuity!$A$17),TRIM(C2711)=TRIM(Enginuity!$A$18)),
      TRIM(B2711)=TRIM(Enginuity!$A$17)
    )
  ),
  ROW(),
  ""
)</f>
        <v/>
      </c>
    </row>
    <row r="2712" spans="21:21" x14ac:dyDescent="0.25">
      <c r="U2712" s="104" t="str">
        <f>IF(
  AND(
    TRIM(A2712)=TRIM(Enginuity!$A$1),
    TRIM(B2712)=TRIM(Enginuity!$A$17),
    Q2712&lt;&gt;"",
    Q2712&lt;&gt;0,
    OR(
      TRIM(C2712)=TRIM(Enginuity!$A$18),
      AND(UPPER(TRIM(M2712))="STD", TRIM(B2712)=TRIM(Enginuity!$A$17))
    ),
    OR(
      AND(LEFT(P2712,5)="1-Way", Enginuity!$B$13=1),
      AND(LEFT(P2712,5)="2-Way", OR(Enginuity!$B$13=2, Enginuity!$B$13=4)),
      AND(LEFT(P2712,5)="3-Way", OR(Enginuity!$B$13=3, Enginuity!$B$13=6)),
      AND(P2712="Inner Centre Jamb", OR(Enginuity!$B$13=4, Enginuity!$B$13=6)),
      AND(
        LEFT(P2712,5)&lt;&gt;"1-Way",
        LEFT(P2712,5)&lt;&gt;"2-Way",
        LEFT(P2712,5)&lt;&gt;"3-Way",
        P2712&lt;&gt;"Inner Centre Jamb"
      )
    ),
    IF(OR(Enginuity!$A$1="Frameless Glass",Enginuity!$A$1="Metal Work"),
      AND(TRIM(B2712)=TRIM(Enginuity!$A$17),TRIM(C2712)=TRIM(Enginuity!$A$18)),
      TRIM(B2712)=TRIM(Enginuity!$A$17)
    )
  ),
  ROW(),
  ""
)</f>
        <v/>
      </c>
    </row>
    <row r="2713" spans="21:21" x14ac:dyDescent="0.25">
      <c r="U2713" s="104" t="str">
        <f>IF(
  AND(
    TRIM(A2713)=TRIM(Enginuity!$A$1),
    TRIM(B2713)=TRIM(Enginuity!$A$17),
    Q2713&lt;&gt;"",
    Q2713&lt;&gt;0,
    OR(
      TRIM(C2713)=TRIM(Enginuity!$A$18),
      AND(UPPER(TRIM(M2713))="STD", TRIM(B2713)=TRIM(Enginuity!$A$17))
    ),
    OR(
      AND(LEFT(P2713,5)="1-Way", Enginuity!$B$13=1),
      AND(LEFT(P2713,5)="2-Way", OR(Enginuity!$B$13=2, Enginuity!$B$13=4)),
      AND(LEFT(P2713,5)="3-Way", OR(Enginuity!$B$13=3, Enginuity!$B$13=6)),
      AND(P2713="Inner Centre Jamb", OR(Enginuity!$B$13=4, Enginuity!$B$13=6)),
      AND(
        LEFT(P2713,5)&lt;&gt;"1-Way",
        LEFT(P2713,5)&lt;&gt;"2-Way",
        LEFT(P2713,5)&lt;&gt;"3-Way",
        P2713&lt;&gt;"Inner Centre Jamb"
      )
    ),
    IF(OR(Enginuity!$A$1="Frameless Glass",Enginuity!$A$1="Metal Work"),
      AND(TRIM(B2713)=TRIM(Enginuity!$A$17),TRIM(C2713)=TRIM(Enginuity!$A$18)),
      TRIM(B2713)=TRIM(Enginuity!$A$17)
    )
  ),
  ROW(),
  ""
)</f>
        <v/>
      </c>
    </row>
    <row r="2714" spans="21:21" x14ac:dyDescent="0.25">
      <c r="U2714" s="104" t="str">
        <f>IF(
  AND(
    TRIM(A2714)=TRIM(Enginuity!$A$1),
    TRIM(B2714)=TRIM(Enginuity!$A$17),
    Q2714&lt;&gt;"",
    Q2714&lt;&gt;0,
    OR(
      TRIM(C2714)=TRIM(Enginuity!$A$18),
      AND(UPPER(TRIM(M2714))="STD", TRIM(B2714)=TRIM(Enginuity!$A$17))
    ),
    OR(
      AND(LEFT(P2714,5)="1-Way", Enginuity!$B$13=1),
      AND(LEFT(P2714,5)="2-Way", OR(Enginuity!$B$13=2, Enginuity!$B$13=4)),
      AND(LEFT(P2714,5)="3-Way", OR(Enginuity!$B$13=3, Enginuity!$B$13=6)),
      AND(P2714="Inner Centre Jamb", OR(Enginuity!$B$13=4, Enginuity!$B$13=6)),
      AND(
        LEFT(P2714,5)&lt;&gt;"1-Way",
        LEFT(P2714,5)&lt;&gt;"2-Way",
        LEFT(P2714,5)&lt;&gt;"3-Way",
        P2714&lt;&gt;"Inner Centre Jamb"
      )
    ),
    IF(OR(Enginuity!$A$1="Frameless Glass",Enginuity!$A$1="Metal Work"),
      AND(TRIM(B2714)=TRIM(Enginuity!$A$17),TRIM(C2714)=TRIM(Enginuity!$A$18)),
      TRIM(B2714)=TRIM(Enginuity!$A$17)
    )
  ),
  ROW(),
  ""
)</f>
        <v/>
      </c>
    </row>
    <row r="2715" spans="21:21" x14ac:dyDescent="0.25">
      <c r="U2715" s="104" t="str">
        <f>IF(
  AND(
    TRIM(A2715)=TRIM(Enginuity!$A$1),
    TRIM(B2715)=TRIM(Enginuity!$A$17),
    Q2715&lt;&gt;"",
    Q2715&lt;&gt;0,
    OR(
      TRIM(C2715)=TRIM(Enginuity!$A$18),
      AND(UPPER(TRIM(M2715))="STD", TRIM(B2715)=TRIM(Enginuity!$A$17))
    ),
    OR(
      AND(LEFT(P2715,5)="1-Way", Enginuity!$B$13=1),
      AND(LEFT(P2715,5)="2-Way", OR(Enginuity!$B$13=2, Enginuity!$B$13=4)),
      AND(LEFT(P2715,5)="3-Way", OR(Enginuity!$B$13=3, Enginuity!$B$13=6)),
      AND(P2715="Inner Centre Jamb", OR(Enginuity!$B$13=4, Enginuity!$B$13=6)),
      AND(
        LEFT(P2715,5)&lt;&gt;"1-Way",
        LEFT(P2715,5)&lt;&gt;"2-Way",
        LEFT(P2715,5)&lt;&gt;"3-Way",
        P2715&lt;&gt;"Inner Centre Jamb"
      )
    ),
    IF(OR(Enginuity!$A$1="Frameless Glass",Enginuity!$A$1="Metal Work"),
      AND(TRIM(B2715)=TRIM(Enginuity!$A$17),TRIM(C2715)=TRIM(Enginuity!$A$18)),
      TRIM(B2715)=TRIM(Enginuity!$A$17)
    )
  ),
  ROW(),
  ""
)</f>
        <v/>
      </c>
    </row>
    <row r="2716" spans="21:21" x14ac:dyDescent="0.25">
      <c r="U2716" s="104" t="str">
        <f>IF(
  AND(
    TRIM(A2716)=TRIM(Enginuity!$A$1),
    TRIM(B2716)=TRIM(Enginuity!$A$17),
    Q2716&lt;&gt;"",
    Q2716&lt;&gt;0,
    OR(
      TRIM(C2716)=TRIM(Enginuity!$A$18),
      AND(UPPER(TRIM(M2716))="STD", TRIM(B2716)=TRIM(Enginuity!$A$17))
    ),
    OR(
      AND(LEFT(P2716,5)="1-Way", Enginuity!$B$13=1),
      AND(LEFT(P2716,5)="2-Way", OR(Enginuity!$B$13=2, Enginuity!$B$13=4)),
      AND(LEFT(P2716,5)="3-Way", OR(Enginuity!$B$13=3, Enginuity!$B$13=6)),
      AND(P2716="Inner Centre Jamb", OR(Enginuity!$B$13=4, Enginuity!$B$13=6)),
      AND(
        LEFT(P2716,5)&lt;&gt;"1-Way",
        LEFT(P2716,5)&lt;&gt;"2-Way",
        LEFT(P2716,5)&lt;&gt;"3-Way",
        P2716&lt;&gt;"Inner Centre Jamb"
      )
    ),
    IF(OR(Enginuity!$A$1="Frameless Glass",Enginuity!$A$1="Metal Work"),
      AND(TRIM(B2716)=TRIM(Enginuity!$A$17),TRIM(C2716)=TRIM(Enginuity!$A$18)),
      TRIM(B2716)=TRIM(Enginuity!$A$17)
    )
  ),
  ROW(),
  ""
)</f>
        <v/>
      </c>
    </row>
    <row r="2717" spans="21:21" x14ac:dyDescent="0.25">
      <c r="U2717" s="104" t="str">
        <f>IF(
  AND(
    TRIM(A2717)=TRIM(Enginuity!$A$1),
    TRIM(B2717)=TRIM(Enginuity!$A$17),
    Q2717&lt;&gt;"",
    Q2717&lt;&gt;0,
    OR(
      TRIM(C2717)=TRIM(Enginuity!$A$18),
      AND(UPPER(TRIM(M2717))="STD", TRIM(B2717)=TRIM(Enginuity!$A$17))
    ),
    OR(
      AND(LEFT(P2717,5)="1-Way", Enginuity!$B$13=1),
      AND(LEFT(P2717,5)="2-Way", OR(Enginuity!$B$13=2, Enginuity!$B$13=4)),
      AND(LEFT(P2717,5)="3-Way", OR(Enginuity!$B$13=3, Enginuity!$B$13=6)),
      AND(P2717="Inner Centre Jamb", OR(Enginuity!$B$13=4, Enginuity!$B$13=6)),
      AND(
        LEFT(P2717,5)&lt;&gt;"1-Way",
        LEFT(P2717,5)&lt;&gt;"2-Way",
        LEFT(P2717,5)&lt;&gt;"3-Way",
        P2717&lt;&gt;"Inner Centre Jamb"
      )
    ),
    IF(OR(Enginuity!$A$1="Frameless Glass",Enginuity!$A$1="Metal Work"),
      AND(TRIM(B2717)=TRIM(Enginuity!$A$17),TRIM(C2717)=TRIM(Enginuity!$A$18)),
      TRIM(B2717)=TRIM(Enginuity!$A$17)
    )
  ),
  ROW(),
  ""
)</f>
        <v/>
      </c>
    </row>
    <row r="2718" spans="21:21" x14ac:dyDescent="0.25">
      <c r="U2718" s="104" t="str">
        <f>IF(
  AND(
    TRIM(A2718)=TRIM(Enginuity!$A$1),
    TRIM(B2718)=TRIM(Enginuity!$A$17),
    Q2718&lt;&gt;"",
    Q2718&lt;&gt;0,
    OR(
      TRIM(C2718)=TRIM(Enginuity!$A$18),
      AND(UPPER(TRIM(M2718))="STD", TRIM(B2718)=TRIM(Enginuity!$A$17))
    ),
    OR(
      AND(LEFT(P2718,5)="1-Way", Enginuity!$B$13=1),
      AND(LEFT(P2718,5)="2-Way", OR(Enginuity!$B$13=2, Enginuity!$B$13=4)),
      AND(LEFT(P2718,5)="3-Way", OR(Enginuity!$B$13=3, Enginuity!$B$13=6)),
      AND(P2718="Inner Centre Jamb", OR(Enginuity!$B$13=4, Enginuity!$B$13=6)),
      AND(
        LEFT(P2718,5)&lt;&gt;"1-Way",
        LEFT(P2718,5)&lt;&gt;"2-Way",
        LEFT(P2718,5)&lt;&gt;"3-Way",
        P2718&lt;&gt;"Inner Centre Jamb"
      )
    ),
    IF(OR(Enginuity!$A$1="Frameless Glass",Enginuity!$A$1="Metal Work"),
      AND(TRIM(B2718)=TRIM(Enginuity!$A$17),TRIM(C2718)=TRIM(Enginuity!$A$18)),
      TRIM(B2718)=TRIM(Enginuity!$A$17)
    )
  ),
  ROW(),
  ""
)</f>
        <v/>
      </c>
    </row>
    <row r="2719" spans="21:21" x14ac:dyDescent="0.25">
      <c r="U2719" s="104" t="str">
        <f>IF(
  AND(
    TRIM(A2719)=TRIM(Enginuity!$A$1),
    TRIM(B2719)=TRIM(Enginuity!$A$17),
    Q2719&lt;&gt;"",
    Q2719&lt;&gt;0,
    OR(
      TRIM(C2719)=TRIM(Enginuity!$A$18),
      AND(UPPER(TRIM(M2719))="STD", TRIM(B2719)=TRIM(Enginuity!$A$17))
    ),
    OR(
      AND(LEFT(P2719,5)="1-Way", Enginuity!$B$13=1),
      AND(LEFT(P2719,5)="2-Way", OR(Enginuity!$B$13=2, Enginuity!$B$13=4)),
      AND(LEFT(P2719,5)="3-Way", OR(Enginuity!$B$13=3, Enginuity!$B$13=6)),
      AND(P2719="Inner Centre Jamb", OR(Enginuity!$B$13=4, Enginuity!$B$13=6)),
      AND(
        LEFT(P2719,5)&lt;&gt;"1-Way",
        LEFT(P2719,5)&lt;&gt;"2-Way",
        LEFT(P2719,5)&lt;&gt;"3-Way",
        P2719&lt;&gt;"Inner Centre Jamb"
      )
    ),
    IF(OR(Enginuity!$A$1="Frameless Glass",Enginuity!$A$1="Metal Work"),
      AND(TRIM(B2719)=TRIM(Enginuity!$A$17),TRIM(C2719)=TRIM(Enginuity!$A$18)),
      TRIM(B2719)=TRIM(Enginuity!$A$17)
    )
  ),
  ROW(),
  ""
)</f>
        <v/>
      </c>
    </row>
    <row r="2720" spans="21:21" x14ac:dyDescent="0.25">
      <c r="U2720" s="104" t="str">
        <f>IF(
  AND(
    TRIM(A2720)=TRIM(Enginuity!$A$1),
    TRIM(B2720)=TRIM(Enginuity!$A$17),
    Q2720&lt;&gt;"",
    Q2720&lt;&gt;0,
    OR(
      TRIM(C2720)=TRIM(Enginuity!$A$18),
      AND(UPPER(TRIM(M2720))="STD", TRIM(B2720)=TRIM(Enginuity!$A$17))
    ),
    OR(
      AND(LEFT(P2720,5)="1-Way", Enginuity!$B$13=1),
      AND(LEFT(P2720,5)="2-Way", OR(Enginuity!$B$13=2, Enginuity!$B$13=4)),
      AND(LEFT(P2720,5)="3-Way", OR(Enginuity!$B$13=3, Enginuity!$B$13=6)),
      AND(P2720="Inner Centre Jamb", OR(Enginuity!$B$13=4, Enginuity!$B$13=6)),
      AND(
        LEFT(P2720,5)&lt;&gt;"1-Way",
        LEFT(P2720,5)&lt;&gt;"2-Way",
        LEFT(P2720,5)&lt;&gt;"3-Way",
        P2720&lt;&gt;"Inner Centre Jamb"
      )
    ),
    IF(OR(Enginuity!$A$1="Frameless Glass",Enginuity!$A$1="Metal Work"),
      AND(TRIM(B2720)=TRIM(Enginuity!$A$17),TRIM(C2720)=TRIM(Enginuity!$A$18)),
      TRIM(B2720)=TRIM(Enginuity!$A$17)
    )
  ),
  ROW(),
  ""
)</f>
        <v/>
      </c>
    </row>
    <row r="2721" spans="21:21" x14ac:dyDescent="0.25">
      <c r="U2721" s="104" t="str">
        <f>IF(
  AND(
    TRIM(A2721)=TRIM(Enginuity!$A$1),
    TRIM(B2721)=TRIM(Enginuity!$A$17),
    Q2721&lt;&gt;"",
    Q2721&lt;&gt;0,
    OR(
      TRIM(C2721)=TRIM(Enginuity!$A$18),
      AND(UPPER(TRIM(M2721))="STD", TRIM(B2721)=TRIM(Enginuity!$A$17))
    ),
    OR(
      AND(LEFT(P2721,5)="1-Way", Enginuity!$B$13=1),
      AND(LEFT(P2721,5)="2-Way", OR(Enginuity!$B$13=2, Enginuity!$B$13=4)),
      AND(LEFT(P2721,5)="3-Way", OR(Enginuity!$B$13=3, Enginuity!$B$13=6)),
      AND(P2721="Inner Centre Jamb", OR(Enginuity!$B$13=4, Enginuity!$B$13=6)),
      AND(
        LEFT(P2721,5)&lt;&gt;"1-Way",
        LEFT(P2721,5)&lt;&gt;"2-Way",
        LEFT(P2721,5)&lt;&gt;"3-Way",
        P2721&lt;&gt;"Inner Centre Jamb"
      )
    ),
    IF(OR(Enginuity!$A$1="Frameless Glass",Enginuity!$A$1="Metal Work"),
      AND(TRIM(B2721)=TRIM(Enginuity!$A$17),TRIM(C2721)=TRIM(Enginuity!$A$18)),
      TRIM(B2721)=TRIM(Enginuity!$A$17)
    )
  ),
  ROW(),
  ""
)</f>
        <v/>
      </c>
    </row>
    <row r="2722" spans="21:21" x14ac:dyDescent="0.25">
      <c r="U2722" s="104" t="str">
        <f>IF(
  AND(
    TRIM(A2722)=TRIM(Enginuity!$A$1),
    TRIM(B2722)=TRIM(Enginuity!$A$17),
    Q2722&lt;&gt;"",
    Q2722&lt;&gt;0,
    OR(
      TRIM(C2722)=TRIM(Enginuity!$A$18),
      AND(UPPER(TRIM(M2722))="STD", TRIM(B2722)=TRIM(Enginuity!$A$17))
    ),
    OR(
      AND(LEFT(P2722,5)="1-Way", Enginuity!$B$13=1),
      AND(LEFT(P2722,5)="2-Way", OR(Enginuity!$B$13=2, Enginuity!$B$13=4)),
      AND(LEFT(P2722,5)="3-Way", OR(Enginuity!$B$13=3, Enginuity!$B$13=6)),
      AND(P2722="Inner Centre Jamb", OR(Enginuity!$B$13=4, Enginuity!$B$13=6)),
      AND(
        LEFT(P2722,5)&lt;&gt;"1-Way",
        LEFT(P2722,5)&lt;&gt;"2-Way",
        LEFT(P2722,5)&lt;&gt;"3-Way",
        P2722&lt;&gt;"Inner Centre Jamb"
      )
    ),
    IF(OR(Enginuity!$A$1="Frameless Glass",Enginuity!$A$1="Metal Work"),
      AND(TRIM(B2722)=TRIM(Enginuity!$A$17),TRIM(C2722)=TRIM(Enginuity!$A$18)),
      TRIM(B2722)=TRIM(Enginuity!$A$17)
    )
  ),
  ROW(),
  ""
)</f>
        <v/>
      </c>
    </row>
    <row r="2723" spans="21:21" x14ac:dyDescent="0.25">
      <c r="U2723" s="104" t="str">
        <f>IF(
  AND(
    TRIM(A2723)=TRIM(Enginuity!$A$1),
    TRIM(B2723)=TRIM(Enginuity!$A$17),
    Q2723&lt;&gt;"",
    Q2723&lt;&gt;0,
    OR(
      TRIM(C2723)=TRIM(Enginuity!$A$18),
      AND(UPPER(TRIM(M2723))="STD", TRIM(B2723)=TRIM(Enginuity!$A$17))
    ),
    OR(
      AND(LEFT(P2723,5)="1-Way", Enginuity!$B$13=1),
      AND(LEFT(P2723,5)="2-Way", OR(Enginuity!$B$13=2, Enginuity!$B$13=4)),
      AND(LEFT(P2723,5)="3-Way", OR(Enginuity!$B$13=3, Enginuity!$B$13=6)),
      AND(P2723="Inner Centre Jamb", OR(Enginuity!$B$13=4, Enginuity!$B$13=6)),
      AND(
        LEFT(P2723,5)&lt;&gt;"1-Way",
        LEFT(P2723,5)&lt;&gt;"2-Way",
        LEFT(P2723,5)&lt;&gt;"3-Way",
        P2723&lt;&gt;"Inner Centre Jamb"
      )
    ),
    IF(OR(Enginuity!$A$1="Frameless Glass",Enginuity!$A$1="Metal Work"),
      AND(TRIM(B2723)=TRIM(Enginuity!$A$17),TRIM(C2723)=TRIM(Enginuity!$A$18)),
      TRIM(B2723)=TRIM(Enginuity!$A$17)
    )
  ),
  ROW(),
  ""
)</f>
        <v/>
      </c>
    </row>
    <row r="2724" spans="21:21" x14ac:dyDescent="0.25">
      <c r="U2724" s="104" t="str">
        <f>IF(
  AND(
    TRIM(A2724)=TRIM(Enginuity!$A$1),
    TRIM(B2724)=TRIM(Enginuity!$A$17),
    Q2724&lt;&gt;"",
    Q2724&lt;&gt;0,
    OR(
      TRIM(C2724)=TRIM(Enginuity!$A$18),
      AND(UPPER(TRIM(M2724))="STD", TRIM(B2724)=TRIM(Enginuity!$A$17))
    ),
    OR(
      AND(LEFT(P2724,5)="1-Way", Enginuity!$B$13=1),
      AND(LEFT(P2724,5)="2-Way", OR(Enginuity!$B$13=2, Enginuity!$B$13=4)),
      AND(LEFT(P2724,5)="3-Way", OR(Enginuity!$B$13=3, Enginuity!$B$13=6)),
      AND(P2724="Inner Centre Jamb", OR(Enginuity!$B$13=4, Enginuity!$B$13=6)),
      AND(
        LEFT(P2724,5)&lt;&gt;"1-Way",
        LEFT(P2724,5)&lt;&gt;"2-Way",
        LEFT(P2724,5)&lt;&gt;"3-Way",
        P2724&lt;&gt;"Inner Centre Jamb"
      )
    ),
    IF(OR(Enginuity!$A$1="Frameless Glass",Enginuity!$A$1="Metal Work"),
      AND(TRIM(B2724)=TRIM(Enginuity!$A$17),TRIM(C2724)=TRIM(Enginuity!$A$18)),
      TRIM(B2724)=TRIM(Enginuity!$A$17)
    )
  ),
  ROW(),
  ""
)</f>
        <v/>
      </c>
    </row>
    <row r="2725" spans="21:21" x14ac:dyDescent="0.25">
      <c r="U2725" s="104" t="str">
        <f>IF(
  AND(
    TRIM(A2725)=TRIM(Enginuity!$A$1),
    TRIM(B2725)=TRIM(Enginuity!$A$17),
    Q2725&lt;&gt;"",
    Q2725&lt;&gt;0,
    OR(
      TRIM(C2725)=TRIM(Enginuity!$A$18),
      AND(UPPER(TRIM(M2725))="STD", TRIM(B2725)=TRIM(Enginuity!$A$17))
    ),
    OR(
      AND(LEFT(P2725,5)="1-Way", Enginuity!$B$13=1),
      AND(LEFT(P2725,5)="2-Way", OR(Enginuity!$B$13=2, Enginuity!$B$13=4)),
      AND(LEFT(P2725,5)="3-Way", OR(Enginuity!$B$13=3, Enginuity!$B$13=6)),
      AND(P2725="Inner Centre Jamb", OR(Enginuity!$B$13=4, Enginuity!$B$13=6)),
      AND(
        LEFT(P2725,5)&lt;&gt;"1-Way",
        LEFT(P2725,5)&lt;&gt;"2-Way",
        LEFT(P2725,5)&lt;&gt;"3-Way",
        P2725&lt;&gt;"Inner Centre Jamb"
      )
    ),
    IF(OR(Enginuity!$A$1="Frameless Glass",Enginuity!$A$1="Metal Work"),
      AND(TRIM(B2725)=TRIM(Enginuity!$A$17),TRIM(C2725)=TRIM(Enginuity!$A$18)),
      TRIM(B2725)=TRIM(Enginuity!$A$17)
    )
  ),
  ROW(),
  ""
)</f>
        <v/>
      </c>
    </row>
    <row r="2726" spans="21:21" x14ac:dyDescent="0.25">
      <c r="U2726" s="104" t="str">
        <f>IF(
  AND(
    TRIM(A2726)=TRIM(Enginuity!$A$1),
    TRIM(B2726)=TRIM(Enginuity!$A$17),
    Q2726&lt;&gt;"",
    Q2726&lt;&gt;0,
    OR(
      TRIM(C2726)=TRIM(Enginuity!$A$18),
      AND(UPPER(TRIM(M2726))="STD", TRIM(B2726)=TRIM(Enginuity!$A$17))
    ),
    OR(
      AND(LEFT(P2726,5)="1-Way", Enginuity!$B$13=1),
      AND(LEFT(P2726,5)="2-Way", OR(Enginuity!$B$13=2, Enginuity!$B$13=4)),
      AND(LEFT(P2726,5)="3-Way", OR(Enginuity!$B$13=3, Enginuity!$B$13=6)),
      AND(P2726="Inner Centre Jamb", OR(Enginuity!$B$13=4, Enginuity!$B$13=6)),
      AND(
        LEFT(P2726,5)&lt;&gt;"1-Way",
        LEFT(P2726,5)&lt;&gt;"2-Way",
        LEFT(P2726,5)&lt;&gt;"3-Way",
        P2726&lt;&gt;"Inner Centre Jamb"
      )
    ),
    IF(OR(Enginuity!$A$1="Frameless Glass",Enginuity!$A$1="Metal Work"),
      AND(TRIM(B2726)=TRIM(Enginuity!$A$17),TRIM(C2726)=TRIM(Enginuity!$A$18)),
      TRIM(B2726)=TRIM(Enginuity!$A$17)
    )
  ),
  ROW(),
  ""
)</f>
        <v/>
      </c>
    </row>
    <row r="2727" spans="21:21" x14ac:dyDescent="0.25">
      <c r="U2727" s="104" t="str">
        <f>IF(
  AND(
    TRIM(A2727)=TRIM(Enginuity!$A$1),
    TRIM(B2727)=TRIM(Enginuity!$A$17),
    Q2727&lt;&gt;"",
    Q2727&lt;&gt;0,
    OR(
      TRIM(C2727)=TRIM(Enginuity!$A$18),
      AND(UPPER(TRIM(M2727))="STD", TRIM(B2727)=TRIM(Enginuity!$A$17))
    ),
    OR(
      AND(LEFT(P2727,5)="1-Way", Enginuity!$B$13=1),
      AND(LEFT(P2727,5)="2-Way", OR(Enginuity!$B$13=2, Enginuity!$B$13=4)),
      AND(LEFT(P2727,5)="3-Way", OR(Enginuity!$B$13=3, Enginuity!$B$13=6)),
      AND(P2727="Inner Centre Jamb", OR(Enginuity!$B$13=4, Enginuity!$B$13=6)),
      AND(
        LEFT(P2727,5)&lt;&gt;"1-Way",
        LEFT(P2727,5)&lt;&gt;"2-Way",
        LEFT(P2727,5)&lt;&gt;"3-Way",
        P2727&lt;&gt;"Inner Centre Jamb"
      )
    ),
    IF(OR(Enginuity!$A$1="Frameless Glass",Enginuity!$A$1="Metal Work"),
      AND(TRIM(B2727)=TRIM(Enginuity!$A$17),TRIM(C2727)=TRIM(Enginuity!$A$18)),
      TRIM(B2727)=TRIM(Enginuity!$A$17)
    )
  ),
  ROW(),
  ""
)</f>
        <v/>
      </c>
    </row>
    <row r="2728" spans="21:21" x14ac:dyDescent="0.25">
      <c r="U2728" s="104" t="str">
        <f>IF(
  AND(
    TRIM(A2728)=TRIM(Enginuity!$A$1),
    TRIM(B2728)=TRIM(Enginuity!$A$17),
    Q2728&lt;&gt;"",
    Q2728&lt;&gt;0,
    OR(
      TRIM(C2728)=TRIM(Enginuity!$A$18),
      AND(UPPER(TRIM(M2728))="STD", TRIM(B2728)=TRIM(Enginuity!$A$17))
    ),
    OR(
      AND(LEFT(P2728,5)="1-Way", Enginuity!$B$13=1),
      AND(LEFT(P2728,5)="2-Way", OR(Enginuity!$B$13=2, Enginuity!$B$13=4)),
      AND(LEFT(P2728,5)="3-Way", OR(Enginuity!$B$13=3, Enginuity!$B$13=6)),
      AND(P2728="Inner Centre Jamb", OR(Enginuity!$B$13=4, Enginuity!$B$13=6)),
      AND(
        LEFT(P2728,5)&lt;&gt;"1-Way",
        LEFT(P2728,5)&lt;&gt;"2-Way",
        LEFT(P2728,5)&lt;&gt;"3-Way",
        P2728&lt;&gt;"Inner Centre Jamb"
      )
    ),
    IF(OR(Enginuity!$A$1="Frameless Glass",Enginuity!$A$1="Metal Work"),
      AND(TRIM(B2728)=TRIM(Enginuity!$A$17),TRIM(C2728)=TRIM(Enginuity!$A$18)),
      TRIM(B2728)=TRIM(Enginuity!$A$17)
    )
  ),
  ROW(),
  ""
)</f>
        <v/>
      </c>
    </row>
    <row r="2729" spans="21:21" x14ac:dyDescent="0.25">
      <c r="U2729" s="104" t="str">
        <f>IF(
  AND(
    TRIM(A2729)=TRIM(Enginuity!$A$1),
    TRIM(B2729)=TRIM(Enginuity!$A$17),
    Q2729&lt;&gt;"",
    Q2729&lt;&gt;0,
    OR(
      TRIM(C2729)=TRIM(Enginuity!$A$18),
      AND(UPPER(TRIM(M2729))="STD", TRIM(B2729)=TRIM(Enginuity!$A$17))
    ),
    OR(
      AND(LEFT(P2729,5)="1-Way", Enginuity!$B$13=1),
      AND(LEFT(P2729,5)="2-Way", OR(Enginuity!$B$13=2, Enginuity!$B$13=4)),
      AND(LEFT(P2729,5)="3-Way", OR(Enginuity!$B$13=3, Enginuity!$B$13=6)),
      AND(P2729="Inner Centre Jamb", OR(Enginuity!$B$13=4, Enginuity!$B$13=6)),
      AND(
        LEFT(P2729,5)&lt;&gt;"1-Way",
        LEFT(P2729,5)&lt;&gt;"2-Way",
        LEFT(P2729,5)&lt;&gt;"3-Way",
        P2729&lt;&gt;"Inner Centre Jamb"
      )
    ),
    IF(OR(Enginuity!$A$1="Frameless Glass",Enginuity!$A$1="Metal Work"),
      AND(TRIM(B2729)=TRIM(Enginuity!$A$17),TRIM(C2729)=TRIM(Enginuity!$A$18)),
      TRIM(B2729)=TRIM(Enginuity!$A$17)
    )
  ),
  ROW(),
  ""
)</f>
        <v/>
      </c>
    </row>
    <row r="2730" spans="21:21" x14ac:dyDescent="0.25">
      <c r="U2730" s="104" t="str">
        <f>IF(
  AND(
    TRIM(A2730)=TRIM(Enginuity!$A$1),
    TRIM(B2730)=TRIM(Enginuity!$A$17),
    Q2730&lt;&gt;"",
    Q2730&lt;&gt;0,
    OR(
      TRIM(C2730)=TRIM(Enginuity!$A$18),
      AND(UPPER(TRIM(M2730))="STD", TRIM(B2730)=TRIM(Enginuity!$A$17))
    ),
    OR(
      AND(LEFT(P2730,5)="1-Way", Enginuity!$B$13=1),
      AND(LEFT(P2730,5)="2-Way", OR(Enginuity!$B$13=2, Enginuity!$B$13=4)),
      AND(LEFT(P2730,5)="3-Way", OR(Enginuity!$B$13=3, Enginuity!$B$13=6)),
      AND(P2730="Inner Centre Jamb", OR(Enginuity!$B$13=4, Enginuity!$B$13=6)),
      AND(
        LEFT(P2730,5)&lt;&gt;"1-Way",
        LEFT(P2730,5)&lt;&gt;"2-Way",
        LEFT(P2730,5)&lt;&gt;"3-Way",
        P2730&lt;&gt;"Inner Centre Jamb"
      )
    ),
    IF(OR(Enginuity!$A$1="Frameless Glass",Enginuity!$A$1="Metal Work"),
      AND(TRIM(B2730)=TRIM(Enginuity!$A$17),TRIM(C2730)=TRIM(Enginuity!$A$18)),
      TRIM(B2730)=TRIM(Enginuity!$A$17)
    )
  ),
  ROW(),
  ""
)</f>
        <v/>
      </c>
    </row>
    <row r="2731" spans="21:21" x14ac:dyDescent="0.25">
      <c r="U2731" s="104" t="str">
        <f>IF(
  AND(
    TRIM(A2731)=TRIM(Enginuity!$A$1),
    TRIM(B2731)=TRIM(Enginuity!$A$17),
    Q2731&lt;&gt;"",
    Q2731&lt;&gt;0,
    OR(
      TRIM(C2731)=TRIM(Enginuity!$A$18),
      AND(UPPER(TRIM(M2731))="STD", TRIM(B2731)=TRIM(Enginuity!$A$17))
    ),
    OR(
      AND(LEFT(P2731,5)="1-Way", Enginuity!$B$13=1),
      AND(LEFT(P2731,5)="2-Way", OR(Enginuity!$B$13=2, Enginuity!$B$13=4)),
      AND(LEFT(P2731,5)="3-Way", OR(Enginuity!$B$13=3, Enginuity!$B$13=6)),
      AND(P2731="Inner Centre Jamb", OR(Enginuity!$B$13=4, Enginuity!$B$13=6)),
      AND(
        LEFT(P2731,5)&lt;&gt;"1-Way",
        LEFT(P2731,5)&lt;&gt;"2-Way",
        LEFT(P2731,5)&lt;&gt;"3-Way",
        P2731&lt;&gt;"Inner Centre Jamb"
      )
    ),
    IF(OR(Enginuity!$A$1="Frameless Glass",Enginuity!$A$1="Metal Work"),
      AND(TRIM(B2731)=TRIM(Enginuity!$A$17),TRIM(C2731)=TRIM(Enginuity!$A$18)),
      TRIM(B2731)=TRIM(Enginuity!$A$17)
    )
  ),
  ROW(),
  ""
)</f>
        <v/>
      </c>
    </row>
    <row r="2732" spans="21:21" x14ac:dyDescent="0.25">
      <c r="U2732" s="104" t="str">
        <f>IF(
  AND(
    TRIM(A2732)=TRIM(Enginuity!$A$1),
    TRIM(B2732)=TRIM(Enginuity!$A$17),
    Q2732&lt;&gt;"",
    Q2732&lt;&gt;0,
    OR(
      TRIM(C2732)=TRIM(Enginuity!$A$18),
      AND(UPPER(TRIM(M2732))="STD", TRIM(B2732)=TRIM(Enginuity!$A$17))
    ),
    OR(
      AND(LEFT(P2732,5)="1-Way", Enginuity!$B$13=1),
      AND(LEFT(P2732,5)="2-Way", OR(Enginuity!$B$13=2, Enginuity!$B$13=4)),
      AND(LEFT(P2732,5)="3-Way", OR(Enginuity!$B$13=3, Enginuity!$B$13=6)),
      AND(P2732="Inner Centre Jamb", OR(Enginuity!$B$13=4, Enginuity!$B$13=6)),
      AND(
        LEFT(P2732,5)&lt;&gt;"1-Way",
        LEFT(P2732,5)&lt;&gt;"2-Way",
        LEFT(P2732,5)&lt;&gt;"3-Way",
        P2732&lt;&gt;"Inner Centre Jamb"
      )
    ),
    IF(OR(Enginuity!$A$1="Frameless Glass",Enginuity!$A$1="Metal Work"),
      AND(TRIM(B2732)=TRIM(Enginuity!$A$17),TRIM(C2732)=TRIM(Enginuity!$A$18)),
      TRIM(B2732)=TRIM(Enginuity!$A$17)
    )
  ),
  ROW(),
  ""
)</f>
        <v/>
      </c>
    </row>
    <row r="2733" spans="21:21" x14ac:dyDescent="0.25">
      <c r="U2733" s="104" t="str">
        <f>IF(
  AND(
    TRIM(A2733)=TRIM(Enginuity!$A$1),
    TRIM(B2733)=TRIM(Enginuity!$A$17),
    Q2733&lt;&gt;"",
    Q2733&lt;&gt;0,
    OR(
      TRIM(C2733)=TRIM(Enginuity!$A$18),
      AND(UPPER(TRIM(M2733))="STD", TRIM(B2733)=TRIM(Enginuity!$A$17))
    ),
    OR(
      AND(LEFT(P2733,5)="1-Way", Enginuity!$B$13=1),
      AND(LEFT(P2733,5)="2-Way", OR(Enginuity!$B$13=2, Enginuity!$B$13=4)),
      AND(LEFT(P2733,5)="3-Way", OR(Enginuity!$B$13=3, Enginuity!$B$13=6)),
      AND(P2733="Inner Centre Jamb", OR(Enginuity!$B$13=4, Enginuity!$B$13=6)),
      AND(
        LEFT(P2733,5)&lt;&gt;"1-Way",
        LEFT(P2733,5)&lt;&gt;"2-Way",
        LEFT(P2733,5)&lt;&gt;"3-Way",
        P2733&lt;&gt;"Inner Centre Jamb"
      )
    ),
    IF(OR(Enginuity!$A$1="Frameless Glass",Enginuity!$A$1="Metal Work"),
      AND(TRIM(B2733)=TRIM(Enginuity!$A$17),TRIM(C2733)=TRIM(Enginuity!$A$18)),
      TRIM(B2733)=TRIM(Enginuity!$A$17)
    )
  ),
  ROW(),
  ""
)</f>
        <v/>
      </c>
    </row>
    <row r="2734" spans="21:21" x14ac:dyDescent="0.25">
      <c r="U2734" s="104" t="str">
        <f>IF(
  AND(
    TRIM(A2734)=TRIM(Enginuity!$A$1),
    TRIM(B2734)=TRIM(Enginuity!$A$17),
    Q2734&lt;&gt;"",
    Q2734&lt;&gt;0,
    OR(
      TRIM(C2734)=TRIM(Enginuity!$A$18),
      AND(UPPER(TRIM(M2734))="STD", TRIM(B2734)=TRIM(Enginuity!$A$17))
    ),
    OR(
      AND(LEFT(P2734,5)="1-Way", Enginuity!$B$13=1),
      AND(LEFT(P2734,5)="2-Way", OR(Enginuity!$B$13=2, Enginuity!$B$13=4)),
      AND(LEFT(P2734,5)="3-Way", OR(Enginuity!$B$13=3, Enginuity!$B$13=6)),
      AND(P2734="Inner Centre Jamb", OR(Enginuity!$B$13=4, Enginuity!$B$13=6)),
      AND(
        LEFT(P2734,5)&lt;&gt;"1-Way",
        LEFT(P2734,5)&lt;&gt;"2-Way",
        LEFT(P2734,5)&lt;&gt;"3-Way",
        P2734&lt;&gt;"Inner Centre Jamb"
      )
    ),
    IF(OR(Enginuity!$A$1="Frameless Glass",Enginuity!$A$1="Metal Work"),
      AND(TRIM(B2734)=TRIM(Enginuity!$A$17),TRIM(C2734)=TRIM(Enginuity!$A$18)),
      TRIM(B2734)=TRIM(Enginuity!$A$17)
    )
  ),
  ROW(),
  ""
)</f>
        <v/>
      </c>
    </row>
    <row r="2735" spans="21:21" x14ac:dyDescent="0.25">
      <c r="U2735" s="104" t="str">
        <f>IF(
  AND(
    TRIM(A2735)=TRIM(Enginuity!$A$1),
    TRIM(B2735)=TRIM(Enginuity!$A$17),
    Q2735&lt;&gt;"",
    Q2735&lt;&gt;0,
    OR(
      TRIM(C2735)=TRIM(Enginuity!$A$18),
      AND(UPPER(TRIM(M2735))="STD", TRIM(B2735)=TRIM(Enginuity!$A$17))
    ),
    OR(
      AND(LEFT(P2735,5)="1-Way", Enginuity!$B$13=1),
      AND(LEFT(P2735,5)="2-Way", OR(Enginuity!$B$13=2, Enginuity!$B$13=4)),
      AND(LEFT(P2735,5)="3-Way", OR(Enginuity!$B$13=3, Enginuity!$B$13=6)),
      AND(P2735="Inner Centre Jamb", OR(Enginuity!$B$13=4, Enginuity!$B$13=6)),
      AND(
        LEFT(P2735,5)&lt;&gt;"1-Way",
        LEFT(P2735,5)&lt;&gt;"2-Way",
        LEFT(P2735,5)&lt;&gt;"3-Way",
        P2735&lt;&gt;"Inner Centre Jamb"
      )
    ),
    IF(OR(Enginuity!$A$1="Frameless Glass",Enginuity!$A$1="Metal Work"),
      AND(TRIM(B2735)=TRIM(Enginuity!$A$17),TRIM(C2735)=TRIM(Enginuity!$A$18)),
      TRIM(B2735)=TRIM(Enginuity!$A$17)
    )
  ),
  ROW(),
  ""
)</f>
        <v/>
      </c>
    </row>
    <row r="2736" spans="21:21" x14ac:dyDescent="0.25">
      <c r="U2736" s="104" t="str">
        <f>IF(
  AND(
    TRIM(A2736)=TRIM(Enginuity!$A$1),
    TRIM(B2736)=TRIM(Enginuity!$A$17),
    Q2736&lt;&gt;"",
    Q2736&lt;&gt;0,
    OR(
      TRIM(C2736)=TRIM(Enginuity!$A$18),
      AND(UPPER(TRIM(M2736))="STD", TRIM(B2736)=TRIM(Enginuity!$A$17))
    ),
    OR(
      AND(LEFT(P2736,5)="1-Way", Enginuity!$B$13=1),
      AND(LEFT(P2736,5)="2-Way", OR(Enginuity!$B$13=2, Enginuity!$B$13=4)),
      AND(LEFT(P2736,5)="3-Way", OR(Enginuity!$B$13=3, Enginuity!$B$13=6)),
      AND(P2736="Inner Centre Jamb", OR(Enginuity!$B$13=4, Enginuity!$B$13=6)),
      AND(
        LEFT(P2736,5)&lt;&gt;"1-Way",
        LEFT(P2736,5)&lt;&gt;"2-Way",
        LEFT(P2736,5)&lt;&gt;"3-Way",
        P2736&lt;&gt;"Inner Centre Jamb"
      )
    ),
    IF(OR(Enginuity!$A$1="Frameless Glass",Enginuity!$A$1="Metal Work"),
      AND(TRIM(B2736)=TRIM(Enginuity!$A$17),TRIM(C2736)=TRIM(Enginuity!$A$18)),
      TRIM(B2736)=TRIM(Enginuity!$A$17)
    )
  ),
  ROW(),
  ""
)</f>
        <v/>
      </c>
    </row>
    <row r="2737" spans="21:21" x14ac:dyDescent="0.25">
      <c r="U2737" s="104" t="str">
        <f>IF(
  AND(
    TRIM(A2737)=TRIM(Enginuity!$A$1),
    TRIM(B2737)=TRIM(Enginuity!$A$17),
    Q2737&lt;&gt;"",
    Q2737&lt;&gt;0,
    OR(
      TRIM(C2737)=TRIM(Enginuity!$A$18),
      AND(UPPER(TRIM(M2737))="STD", TRIM(B2737)=TRIM(Enginuity!$A$17))
    ),
    OR(
      AND(LEFT(P2737,5)="1-Way", Enginuity!$B$13=1),
      AND(LEFT(P2737,5)="2-Way", OR(Enginuity!$B$13=2, Enginuity!$B$13=4)),
      AND(LEFT(P2737,5)="3-Way", OR(Enginuity!$B$13=3, Enginuity!$B$13=6)),
      AND(P2737="Inner Centre Jamb", OR(Enginuity!$B$13=4, Enginuity!$B$13=6)),
      AND(
        LEFT(P2737,5)&lt;&gt;"1-Way",
        LEFT(P2737,5)&lt;&gt;"2-Way",
        LEFT(P2737,5)&lt;&gt;"3-Way",
        P2737&lt;&gt;"Inner Centre Jamb"
      )
    ),
    IF(OR(Enginuity!$A$1="Frameless Glass",Enginuity!$A$1="Metal Work"),
      AND(TRIM(B2737)=TRIM(Enginuity!$A$17),TRIM(C2737)=TRIM(Enginuity!$A$18)),
      TRIM(B2737)=TRIM(Enginuity!$A$17)
    )
  ),
  ROW(),
  ""
)</f>
        <v/>
      </c>
    </row>
    <row r="2738" spans="21:21" x14ac:dyDescent="0.25">
      <c r="U2738" s="104" t="str">
        <f>IF(
  AND(
    TRIM(A2738)=TRIM(Enginuity!$A$1),
    TRIM(B2738)=TRIM(Enginuity!$A$17),
    Q2738&lt;&gt;"",
    Q2738&lt;&gt;0,
    OR(
      TRIM(C2738)=TRIM(Enginuity!$A$18),
      AND(UPPER(TRIM(M2738))="STD", TRIM(B2738)=TRIM(Enginuity!$A$17))
    ),
    OR(
      AND(LEFT(P2738,5)="1-Way", Enginuity!$B$13=1),
      AND(LEFT(P2738,5)="2-Way", OR(Enginuity!$B$13=2, Enginuity!$B$13=4)),
      AND(LEFT(P2738,5)="3-Way", OR(Enginuity!$B$13=3, Enginuity!$B$13=6)),
      AND(P2738="Inner Centre Jamb", OR(Enginuity!$B$13=4, Enginuity!$B$13=6)),
      AND(
        LEFT(P2738,5)&lt;&gt;"1-Way",
        LEFT(P2738,5)&lt;&gt;"2-Way",
        LEFT(P2738,5)&lt;&gt;"3-Way",
        P2738&lt;&gt;"Inner Centre Jamb"
      )
    ),
    IF(OR(Enginuity!$A$1="Frameless Glass",Enginuity!$A$1="Metal Work"),
      AND(TRIM(B2738)=TRIM(Enginuity!$A$17),TRIM(C2738)=TRIM(Enginuity!$A$18)),
      TRIM(B2738)=TRIM(Enginuity!$A$17)
    )
  ),
  ROW(),
  ""
)</f>
        <v/>
      </c>
    </row>
    <row r="2739" spans="21:21" x14ac:dyDescent="0.25">
      <c r="U2739" s="104" t="str">
        <f>IF(
  AND(
    TRIM(A2739)=TRIM(Enginuity!$A$1),
    TRIM(B2739)=TRIM(Enginuity!$A$17),
    Q2739&lt;&gt;"",
    Q2739&lt;&gt;0,
    OR(
      TRIM(C2739)=TRIM(Enginuity!$A$18),
      AND(UPPER(TRIM(M2739))="STD", TRIM(B2739)=TRIM(Enginuity!$A$17))
    ),
    OR(
      AND(LEFT(P2739,5)="1-Way", Enginuity!$B$13=1),
      AND(LEFT(P2739,5)="2-Way", OR(Enginuity!$B$13=2, Enginuity!$B$13=4)),
      AND(LEFT(P2739,5)="3-Way", OR(Enginuity!$B$13=3, Enginuity!$B$13=6)),
      AND(P2739="Inner Centre Jamb", OR(Enginuity!$B$13=4, Enginuity!$B$13=6)),
      AND(
        LEFT(P2739,5)&lt;&gt;"1-Way",
        LEFT(P2739,5)&lt;&gt;"2-Way",
        LEFT(P2739,5)&lt;&gt;"3-Way",
        P2739&lt;&gt;"Inner Centre Jamb"
      )
    ),
    IF(OR(Enginuity!$A$1="Frameless Glass",Enginuity!$A$1="Metal Work"),
      AND(TRIM(B2739)=TRIM(Enginuity!$A$17),TRIM(C2739)=TRIM(Enginuity!$A$18)),
      TRIM(B2739)=TRIM(Enginuity!$A$17)
    )
  ),
  ROW(),
  ""
)</f>
        <v/>
      </c>
    </row>
    <row r="2740" spans="21:21" x14ac:dyDescent="0.25">
      <c r="U2740" s="104" t="str">
        <f>IF(
  AND(
    TRIM(A2740)=TRIM(Enginuity!$A$1),
    TRIM(B2740)=TRIM(Enginuity!$A$17),
    Q2740&lt;&gt;"",
    Q2740&lt;&gt;0,
    OR(
      TRIM(C2740)=TRIM(Enginuity!$A$18),
      AND(UPPER(TRIM(M2740))="STD", TRIM(B2740)=TRIM(Enginuity!$A$17))
    ),
    OR(
      AND(LEFT(P2740,5)="1-Way", Enginuity!$B$13=1),
      AND(LEFT(P2740,5)="2-Way", OR(Enginuity!$B$13=2, Enginuity!$B$13=4)),
      AND(LEFT(P2740,5)="3-Way", OR(Enginuity!$B$13=3, Enginuity!$B$13=6)),
      AND(P2740="Inner Centre Jamb", OR(Enginuity!$B$13=4, Enginuity!$B$13=6)),
      AND(
        LEFT(P2740,5)&lt;&gt;"1-Way",
        LEFT(P2740,5)&lt;&gt;"2-Way",
        LEFT(P2740,5)&lt;&gt;"3-Way",
        P2740&lt;&gt;"Inner Centre Jamb"
      )
    ),
    IF(OR(Enginuity!$A$1="Frameless Glass",Enginuity!$A$1="Metal Work"),
      AND(TRIM(B2740)=TRIM(Enginuity!$A$17),TRIM(C2740)=TRIM(Enginuity!$A$18)),
      TRIM(B2740)=TRIM(Enginuity!$A$17)
    )
  ),
  ROW(),
  ""
)</f>
        <v/>
      </c>
    </row>
    <row r="2741" spans="21:21" x14ac:dyDescent="0.25">
      <c r="U2741" s="104" t="str">
        <f>IF(
  AND(
    TRIM(A2741)=TRIM(Enginuity!$A$1),
    TRIM(B2741)=TRIM(Enginuity!$A$17),
    Q2741&lt;&gt;"",
    Q2741&lt;&gt;0,
    OR(
      TRIM(C2741)=TRIM(Enginuity!$A$18),
      AND(UPPER(TRIM(M2741))="STD", TRIM(B2741)=TRIM(Enginuity!$A$17))
    ),
    OR(
      AND(LEFT(P2741,5)="1-Way", Enginuity!$B$13=1),
      AND(LEFT(P2741,5)="2-Way", OR(Enginuity!$B$13=2, Enginuity!$B$13=4)),
      AND(LEFT(P2741,5)="3-Way", OR(Enginuity!$B$13=3, Enginuity!$B$13=6)),
      AND(P2741="Inner Centre Jamb", OR(Enginuity!$B$13=4, Enginuity!$B$13=6)),
      AND(
        LEFT(P2741,5)&lt;&gt;"1-Way",
        LEFT(P2741,5)&lt;&gt;"2-Way",
        LEFT(P2741,5)&lt;&gt;"3-Way",
        P2741&lt;&gt;"Inner Centre Jamb"
      )
    ),
    IF(OR(Enginuity!$A$1="Frameless Glass",Enginuity!$A$1="Metal Work"),
      AND(TRIM(B2741)=TRIM(Enginuity!$A$17),TRIM(C2741)=TRIM(Enginuity!$A$18)),
      TRIM(B2741)=TRIM(Enginuity!$A$17)
    )
  ),
  ROW(),
  ""
)</f>
        <v/>
      </c>
    </row>
    <row r="2742" spans="21:21" x14ac:dyDescent="0.25">
      <c r="U2742" s="104" t="str">
        <f>IF(
  AND(
    TRIM(A2742)=TRIM(Enginuity!$A$1),
    TRIM(B2742)=TRIM(Enginuity!$A$17),
    Q2742&lt;&gt;"",
    Q2742&lt;&gt;0,
    OR(
      TRIM(C2742)=TRIM(Enginuity!$A$18),
      AND(UPPER(TRIM(M2742))="STD", TRIM(B2742)=TRIM(Enginuity!$A$17))
    ),
    OR(
      AND(LEFT(P2742,5)="1-Way", Enginuity!$B$13=1),
      AND(LEFT(P2742,5)="2-Way", OR(Enginuity!$B$13=2, Enginuity!$B$13=4)),
      AND(LEFT(P2742,5)="3-Way", OR(Enginuity!$B$13=3, Enginuity!$B$13=6)),
      AND(P2742="Inner Centre Jamb", OR(Enginuity!$B$13=4, Enginuity!$B$13=6)),
      AND(
        LEFT(P2742,5)&lt;&gt;"1-Way",
        LEFT(P2742,5)&lt;&gt;"2-Way",
        LEFT(P2742,5)&lt;&gt;"3-Way",
        P2742&lt;&gt;"Inner Centre Jamb"
      )
    ),
    IF(OR(Enginuity!$A$1="Frameless Glass",Enginuity!$A$1="Metal Work"),
      AND(TRIM(B2742)=TRIM(Enginuity!$A$17),TRIM(C2742)=TRIM(Enginuity!$A$18)),
      TRIM(B2742)=TRIM(Enginuity!$A$17)
    )
  ),
  ROW(),
  ""
)</f>
        <v/>
      </c>
    </row>
    <row r="2743" spans="21:21" x14ac:dyDescent="0.25">
      <c r="U2743" s="104" t="str">
        <f>IF(
  AND(
    TRIM(A2743)=TRIM(Enginuity!$A$1),
    TRIM(B2743)=TRIM(Enginuity!$A$17),
    Q2743&lt;&gt;"",
    Q2743&lt;&gt;0,
    OR(
      TRIM(C2743)=TRIM(Enginuity!$A$18),
      AND(UPPER(TRIM(M2743))="STD", TRIM(B2743)=TRIM(Enginuity!$A$17))
    ),
    OR(
      AND(LEFT(P2743,5)="1-Way", Enginuity!$B$13=1),
      AND(LEFT(P2743,5)="2-Way", OR(Enginuity!$B$13=2, Enginuity!$B$13=4)),
      AND(LEFT(P2743,5)="3-Way", OR(Enginuity!$B$13=3, Enginuity!$B$13=6)),
      AND(P2743="Inner Centre Jamb", OR(Enginuity!$B$13=4, Enginuity!$B$13=6)),
      AND(
        LEFT(P2743,5)&lt;&gt;"1-Way",
        LEFT(P2743,5)&lt;&gt;"2-Way",
        LEFT(P2743,5)&lt;&gt;"3-Way",
        P2743&lt;&gt;"Inner Centre Jamb"
      )
    ),
    IF(OR(Enginuity!$A$1="Frameless Glass",Enginuity!$A$1="Metal Work"),
      AND(TRIM(B2743)=TRIM(Enginuity!$A$17),TRIM(C2743)=TRIM(Enginuity!$A$18)),
      TRIM(B2743)=TRIM(Enginuity!$A$17)
    )
  ),
  ROW(),
  ""
)</f>
        <v/>
      </c>
    </row>
    <row r="2744" spans="21:21" x14ac:dyDescent="0.25">
      <c r="U2744" s="104" t="str">
        <f>IF(
  AND(
    TRIM(A2744)=TRIM(Enginuity!$A$1),
    TRIM(B2744)=TRIM(Enginuity!$A$17),
    Q2744&lt;&gt;"",
    Q2744&lt;&gt;0,
    OR(
      TRIM(C2744)=TRIM(Enginuity!$A$18),
      AND(UPPER(TRIM(M2744))="STD", TRIM(B2744)=TRIM(Enginuity!$A$17))
    ),
    OR(
      AND(LEFT(P2744,5)="1-Way", Enginuity!$B$13=1),
      AND(LEFT(P2744,5)="2-Way", OR(Enginuity!$B$13=2, Enginuity!$B$13=4)),
      AND(LEFT(P2744,5)="3-Way", OR(Enginuity!$B$13=3, Enginuity!$B$13=6)),
      AND(P2744="Inner Centre Jamb", OR(Enginuity!$B$13=4, Enginuity!$B$13=6)),
      AND(
        LEFT(P2744,5)&lt;&gt;"1-Way",
        LEFT(P2744,5)&lt;&gt;"2-Way",
        LEFT(P2744,5)&lt;&gt;"3-Way",
        P2744&lt;&gt;"Inner Centre Jamb"
      )
    ),
    IF(OR(Enginuity!$A$1="Frameless Glass",Enginuity!$A$1="Metal Work"),
      AND(TRIM(B2744)=TRIM(Enginuity!$A$17),TRIM(C2744)=TRIM(Enginuity!$A$18)),
      TRIM(B2744)=TRIM(Enginuity!$A$17)
    )
  ),
  ROW(),
  ""
)</f>
        <v/>
      </c>
    </row>
    <row r="2745" spans="21:21" x14ac:dyDescent="0.25">
      <c r="U2745" s="104" t="str">
        <f>IF(
  AND(
    TRIM(A2745)=TRIM(Enginuity!$A$1),
    TRIM(B2745)=TRIM(Enginuity!$A$17),
    Q2745&lt;&gt;"",
    Q2745&lt;&gt;0,
    OR(
      TRIM(C2745)=TRIM(Enginuity!$A$18),
      AND(UPPER(TRIM(M2745))="STD", TRIM(B2745)=TRIM(Enginuity!$A$17))
    ),
    OR(
      AND(LEFT(P2745,5)="1-Way", Enginuity!$B$13=1),
      AND(LEFT(P2745,5)="2-Way", OR(Enginuity!$B$13=2, Enginuity!$B$13=4)),
      AND(LEFT(P2745,5)="3-Way", OR(Enginuity!$B$13=3, Enginuity!$B$13=6)),
      AND(P2745="Inner Centre Jamb", OR(Enginuity!$B$13=4, Enginuity!$B$13=6)),
      AND(
        LEFT(P2745,5)&lt;&gt;"1-Way",
        LEFT(P2745,5)&lt;&gt;"2-Way",
        LEFT(P2745,5)&lt;&gt;"3-Way",
        P2745&lt;&gt;"Inner Centre Jamb"
      )
    ),
    IF(OR(Enginuity!$A$1="Frameless Glass",Enginuity!$A$1="Metal Work"),
      AND(TRIM(B2745)=TRIM(Enginuity!$A$17),TRIM(C2745)=TRIM(Enginuity!$A$18)),
      TRIM(B2745)=TRIM(Enginuity!$A$17)
    )
  ),
  ROW(),
  ""
)</f>
        <v/>
      </c>
    </row>
    <row r="2746" spans="21:21" x14ac:dyDescent="0.25">
      <c r="U2746" s="104" t="str">
        <f>IF(
  AND(
    TRIM(A2746)=TRIM(Enginuity!$A$1),
    TRIM(B2746)=TRIM(Enginuity!$A$17),
    Q2746&lt;&gt;"",
    Q2746&lt;&gt;0,
    OR(
      TRIM(C2746)=TRIM(Enginuity!$A$18),
      AND(UPPER(TRIM(M2746))="STD", TRIM(B2746)=TRIM(Enginuity!$A$17))
    ),
    OR(
      AND(LEFT(P2746,5)="1-Way", Enginuity!$B$13=1),
      AND(LEFT(P2746,5)="2-Way", OR(Enginuity!$B$13=2, Enginuity!$B$13=4)),
      AND(LEFT(P2746,5)="3-Way", OR(Enginuity!$B$13=3, Enginuity!$B$13=6)),
      AND(P2746="Inner Centre Jamb", OR(Enginuity!$B$13=4, Enginuity!$B$13=6)),
      AND(
        LEFT(P2746,5)&lt;&gt;"1-Way",
        LEFT(P2746,5)&lt;&gt;"2-Way",
        LEFT(P2746,5)&lt;&gt;"3-Way",
        P2746&lt;&gt;"Inner Centre Jamb"
      )
    ),
    IF(OR(Enginuity!$A$1="Frameless Glass",Enginuity!$A$1="Metal Work"),
      AND(TRIM(B2746)=TRIM(Enginuity!$A$17),TRIM(C2746)=TRIM(Enginuity!$A$18)),
      TRIM(B2746)=TRIM(Enginuity!$A$17)
    )
  ),
  ROW(),
  ""
)</f>
        <v/>
      </c>
    </row>
    <row r="2747" spans="21:21" x14ac:dyDescent="0.25">
      <c r="U2747" s="104" t="str">
        <f>IF(
  AND(
    TRIM(A2747)=TRIM(Enginuity!$A$1),
    TRIM(B2747)=TRIM(Enginuity!$A$17),
    Q2747&lt;&gt;"",
    Q2747&lt;&gt;0,
    OR(
      TRIM(C2747)=TRIM(Enginuity!$A$18),
      AND(UPPER(TRIM(M2747))="STD", TRIM(B2747)=TRIM(Enginuity!$A$17))
    ),
    OR(
      AND(LEFT(P2747,5)="1-Way", Enginuity!$B$13=1),
      AND(LEFT(P2747,5)="2-Way", OR(Enginuity!$B$13=2, Enginuity!$B$13=4)),
      AND(LEFT(P2747,5)="3-Way", OR(Enginuity!$B$13=3, Enginuity!$B$13=6)),
      AND(P2747="Inner Centre Jamb", OR(Enginuity!$B$13=4, Enginuity!$B$13=6)),
      AND(
        LEFT(P2747,5)&lt;&gt;"1-Way",
        LEFT(P2747,5)&lt;&gt;"2-Way",
        LEFT(P2747,5)&lt;&gt;"3-Way",
        P2747&lt;&gt;"Inner Centre Jamb"
      )
    ),
    IF(OR(Enginuity!$A$1="Frameless Glass",Enginuity!$A$1="Metal Work"),
      AND(TRIM(B2747)=TRIM(Enginuity!$A$17),TRIM(C2747)=TRIM(Enginuity!$A$18)),
      TRIM(B2747)=TRIM(Enginuity!$A$17)
    )
  ),
  ROW(),
  ""
)</f>
        <v/>
      </c>
    </row>
    <row r="2748" spans="21:21" x14ac:dyDescent="0.25">
      <c r="U2748" s="104" t="str">
        <f>IF(
  AND(
    TRIM(A2748)=TRIM(Enginuity!$A$1),
    TRIM(B2748)=TRIM(Enginuity!$A$17),
    Q2748&lt;&gt;"",
    Q2748&lt;&gt;0,
    OR(
      TRIM(C2748)=TRIM(Enginuity!$A$18),
      AND(UPPER(TRIM(M2748))="STD", TRIM(B2748)=TRIM(Enginuity!$A$17))
    ),
    OR(
      AND(LEFT(P2748,5)="1-Way", Enginuity!$B$13=1),
      AND(LEFT(P2748,5)="2-Way", OR(Enginuity!$B$13=2, Enginuity!$B$13=4)),
      AND(LEFT(P2748,5)="3-Way", OR(Enginuity!$B$13=3, Enginuity!$B$13=6)),
      AND(P2748="Inner Centre Jamb", OR(Enginuity!$B$13=4, Enginuity!$B$13=6)),
      AND(
        LEFT(P2748,5)&lt;&gt;"1-Way",
        LEFT(P2748,5)&lt;&gt;"2-Way",
        LEFT(P2748,5)&lt;&gt;"3-Way",
        P2748&lt;&gt;"Inner Centre Jamb"
      )
    ),
    IF(OR(Enginuity!$A$1="Frameless Glass",Enginuity!$A$1="Metal Work"),
      AND(TRIM(B2748)=TRIM(Enginuity!$A$17),TRIM(C2748)=TRIM(Enginuity!$A$18)),
      TRIM(B2748)=TRIM(Enginuity!$A$17)
    )
  ),
  ROW(),
  ""
)</f>
        <v/>
      </c>
    </row>
    <row r="2749" spans="21:21" x14ac:dyDescent="0.25">
      <c r="U2749" s="104" t="str">
        <f>IF(
  AND(
    TRIM(A2749)=TRIM(Enginuity!$A$1),
    TRIM(B2749)=TRIM(Enginuity!$A$17),
    Q2749&lt;&gt;"",
    Q2749&lt;&gt;0,
    OR(
      TRIM(C2749)=TRIM(Enginuity!$A$18),
      AND(UPPER(TRIM(M2749))="STD", TRIM(B2749)=TRIM(Enginuity!$A$17))
    ),
    OR(
      AND(LEFT(P2749,5)="1-Way", Enginuity!$B$13=1),
      AND(LEFT(P2749,5)="2-Way", OR(Enginuity!$B$13=2, Enginuity!$B$13=4)),
      AND(LEFT(P2749,5)="3-Way", OR(Enginuity!$B$13=3, Enginuity!$B$13=6)),
      AND(P2749="Inner Centre Jamb", OR(Enginuity!$B$13=4, Enginuity!$B$13=6)),
      AND(
        LEFT(P2749,5)&lt;&gt;"1-Way",
        LEFT(P2749,5)&lt;&gt;"2-Way",
        LEFT(P2749,5)&lt;&gt;"3-Way",
        P2749&lt;&gt;"Inner Centre Jamb"
      )
    ),
    IF(OR(Enginuity!$A$1="Frameless Glass",Enginuity!$A$1="Metal Work"),
      AND(TRIM(B2749)=TRIM(Enginuity!$A$17),TRIM(C2749)=TRIM(Enginuity!$A$18)),
      TRIM(B2749)=TRIM(Enginuity!$A$17)
    )
  ),
  ROW(),
  ""
)</f>
        <v/>
      </c>
    </row>
    <row r="2750" spans="21:21" x14ac:dyDescent="0.25">
      <c r="U2750" s="104" t="str">
        <f>IF(
  AND(
    TRIM(A2750)=TRIM(Enginuity!$A$1),
    TRIM(B2750)=TRIM(Enginuity!$A$17),
    Q2750&lt;&gt;"",
    Q2750&lt;&gt;0,
    OR(
      TRIM(C2750)=TRIM(Enginuity!$A$18),
      AND(UPPER(TRIM(M2750))="STD", TRIM(B2750)=TRIM(Enginuity!$A$17))
    ),
    OR(
      AND(LEFT(P2750,5)="1-Way", Enginuity!$B$13=1),
      AND(LEFT(P2750,5)="2-Way", OR(Enginuity!$B$13=2, Enginuity!$B$13=4)),
      AND(LEFT(P2750,5)="3-Way", OR(Enginuity!$B$13=3, Enginuity!$B$13=6)),
      AND(P2750="Inner Centre Jamb", OR(Enginuity!$B$13=4, Enginuity!$B$13=6)),
      AND(
        LEFT(P2750,5)&lt;&gt;"1-Way",
        LEFT(P2750,5)&lt;&gt;"2-Way",
        LEFT(P2750,5)&lt;&gt;"3-Way",
        P2750&lt;&gt;"Inner Centre Jamb"
      )
    ),
    IF(OR(Enginuity!$A$1="Frameless Glass",Enginuity!$A$1="Metal Work"),
      AND(TRIM(B2750)=TRIM(Enginuity!$A$17),TRIM(C2750)=TRIM(Enginuity!$A$18)),
      TRIM(B2750)=TRIM(Enginuity!$A$17)
    )
  ),
  ROW(),
  ""
)</f>
        <v/>
      </c>
    </row>
    <row r="2751" spans="21:21" x14ac:dyDescent="0.25">
      <c r="U2751" s="104" t="str">
        <f>IF(
  AND(
    TRIM(A2751)=TRIM(Enginuity!$A$1),
    TRIM(B2751)=TRIM(Enginuity!$A$17),
    Q2751&lt;&gt;"",
    Q2751&lt;&gt;0,
    OR(
      TRIM(C2751)=TRIM(Enginuity!$A$18),
      AND(UPPER(TRIM(M2751))="STD", TRIM(B2751)=TRIM(Enginuity!$A$17))
    ),
    OR(
      AND(LEFT(P2751,5)="1-Way", Enginuity!$B$13=1),
      AND(LEFT(P2751,5)="2-Way", OR(Enginuity!$B$13=2, Enginuity!$B$13=4)),
      AND(LEFT(P2751,5)="3-Way", OR(Enginuity!$B$13=3, Enginuity!$B$13=6)),
      AND(P2751="Inner Centre Jamb", OR(Enginuity!$B$13=4, Enginuity!$B$13=6)),
      AND(
        LEFT(P2751,5)&lt;&gt;"1-Way",
        LEFT(P2751,5)&lt;&gt;"2-Way",
        LEFT(P2751,5)&lt;&gt;"3-Way",
        P2751&lt;&gt;"Inner Centre Jamb"
      )
    ),
    IF(OR(Enginuity!$A$1="Frameless Glass",Enginuity!$A$1="Metal Work"),
      AND(TRIM(B2751)=TRIM(Enginuity!$A$17),TRIM(C2751)=TRIM(Enginuity!$A$18)),
      TRIM(B2751)=TRIM(Enginuity!$A$17)
    )
  ),
  ROW(),
  ""
)</f>
        <v/>
      </c>
    </row>
    <row r="2752" spans="21:21" x14ac:dyDescent="0.25">
      <c r="U2752" s="104" t="str">
        <f>IF(
  AND(
    TRIM(A2752)=TRIM(Enginuity!$A$1),
    TRIM(B2752)=TRIM(Enginuity!$A$17),
    Q2752&lt;&gt;"",
    Q2752&lt;&gt;0,
    OR(
      TRIM(C2752)=TRIM(Enginuity!$A$18),
      AND(UPPER(TRIM(M2752))="STD", TRIM(B2752)=TRIM(Enginuity!$A$17))
    ),
    OR(
      AND(LEFT(P2752,5)="1-Way", Enginuity!$B$13=1),
      AND(LEFT(P2752,5)="2-Way", OR(Enginuity!$B$13=2, Enginuity!$B$13=4)),
      AND(LEFT(P2752,5)="3-Way", OR(Enginuity!$B$13=3, Enginuity!$B$13=6)),
      AND(P2752="Inner Centre Jamb", OR(Enginuity!$B$13=4, Enginuity!$B$13=6)),
      AND(
        LEFT(P2752,5)&lt;&gt;"1-Way",
        LEFT(P2752,5)&lt;&gt;"2-Way",
        LEFT(P2752,5)&lt;&gt;"3-Way",
        P2752&lt;&gt;"Inner Centre Jamb"
      )
    ),
    IF(OR(Enginuity!$A$1="Frameless Glass",Enginuity!$A$1="Metal Work"),
      AND(TRIM(B2752)=TRIM(Enginuity!$A$17),TRIM(C2752)=TRIM(Enginuity!$A$18)),
      TRIM(B2752)=TRIM(Enginuity!$A$17)
    )
  ),
  ROW(),
  ""
)</f>
        <v/>
      </c>
    </row>
    <row r="2753" spans="21:21" x14ac:dyDescent="0.25">
      <c r="U2753" s="104" t="str">
        <f>IF(
  AND(
    TRIM(A2753)=TRIM(Enginuity!$A$1),
    TRIM(B2753)=TRIM(Enginuity!$A$17),
    Q2753&lt;&gt;"",
    Q2753&lt;&gt;0,
    OR(
      TRIM(C2753)=TRIM(Enginuity!$A$18),
      AND(UPPER(TRIM(M2753))="STD", TRIM(B2753)=TRIM(Enginuity!$A$17))
    ),
    OR(
      AND(LEFT(P2753,5)="1-Way", Enginuity!$B$13=1),
      AND(LEFT(P2753,5)="2-Way", OR(Enginuity!$B$13=2, Enginuity!$B$13=4)),
      AND(LEFT(P2753,5)="3-Way", OR(Enginuity!$B$13=3, Enginuity!$B$13=6)),
      AND(P2753="Inner Centre Jamb", OR(Enginuity!$B$13=4, Enginuity!$B$13=6)),
      AND(
        LEFT(P2753,5)&lt;&gt;"1-Way",
        LEFT(P2753,5)&lt;&gt;"2-Way",
        LEFT(P2753,5)&lt;&gt;"3-Way",
        P2753&lt;&gt;"Inner Centre Jamb"
      )
    ),
    IF(OR(Enginuity!$A$1="Frameless Glass",Enginuity!$A$1="Metal Work"),
      AND(TRIM(B2753)=TRIM(Enginuity!$A$17),TRIM(C2753)=TRIM(Enginuity!$A$18)),
      TRIM(B2753)=TRIM(Enginuity!$A$17)
    )
  ),
  ROW(),
  ""
)</f>
        <v/>
      </c>
    </row>
    <row r="2754" spans="21:21" x14ac:dyDescent="0.25">
      <c r="U2754" s="104" t="str">
        <f>IF(
  AND(
    TRIM(A2754)=TRIM(Enginuity!$A$1),
    TRIM(B2754)=TRIM(Enginuity!$A$17),
    Q2754&lt;&gt;"",
    Q2754&lt;&gt;0,
    OR(
      TRIM(C2754)=TRIM(Enginuity!$A$18),
      AND(UPPER(TRIM(M2754))="STD", TRIM(B2754)=TRIM(Enginuity!$A$17))
    ),
    OR(
      AND(LEFT(P2754,5)="1-Way", Enginuity!$B$13=1),
      AND(LEFT(P2754,5)="2-Way", OR(Enginuity!$B$13=2, Enginuity!$B$13=4)),
      AND(LEFT(P2754,5)="3-Way", OR(Enginuity!$B$13=3, Enginuity!$B$13=6)),
      AND(P2754="Inner Centre Jamb", OR(Enginuity!$B$13=4, Enginuity!$B$13=6)),
      AND(
        LEFT(P2754,5)&lt;&gt;"1-Way",
        LEFT(P2754,5)&lt;&gt;"2-Way",
        LEFT(P2754,5)&lt;&gt;"3-Way",
        P2754&lt;&gt;"Inner Centre Jamb"
      )
    ),
    IF(OR(Enginuity!$A$1="Frameless Glass",Enginuity!$A$1="Metal Work"),
      AND(TRIM(B2754)=TRIM(Enginuity!$A$17),TRIM(C2754)=TRIM(Enginuity!$A$18)),
      TRIM(B2754)=TRIM(Enginuity!$A$17)
    )
  ),
  ROW(),
  ""
)</f>
        <v/>
      </c>
    </row>
    <row r="2755" spans="21:21" x14ac:dyDescent="0.25">
      <c r="U2755" s="104" t="str">
        <f>IF(
  AND(
    TRIM(A2755)=TRIM(Enginuity!$A$1),
    TRIM(B2755)=TRIM(Enginuity!$A$17),
    Q2755&lt;&gt;"",
    Q2755&lt;&gt;0,
    OR(
      TRIM(C2755)=TRIM(Enginuity!$A$18),
      AND(UPPER(TRIM(M2755))="STD", TRIM(B2755)=TRIM(Enginuity!$A$17))
    ),
    OR(
      AND(LEFT(P2755,5)="1-Way", Enginuity!$B$13=1),
      AND(LEFT(P2755,5)="2-Way", OR(Enginuity!$B$13=2, Enginuity!$B$13=4)),
      AND(LEFT(P2755,5)="3-Way", OR(Enginuity!$B$13=3, Enginuity!$B$13=6)),
      AND(P2755="Inner Centre Jamb", OR(Enginuity!$B$13=4, Enginuity!$B$13=6)),
      AND(
        LEFT(P2755,5)&lt;&gt;"1-Way",
        LEFT(P2755,5)&lt;&gt;"2-Way",
        LEFT(P2755,5)&lt;&gt;"3-Way",
        P2755&lt;&gt;"Inner Centre Jamb"
      )
    ),
    IF(OR(Enginuity!$A$1="Frameless Glass",Enginuity!$A$1="Metal Work"),
      AND(TRIM(B2755)=TRIM(Enginuity!$A$17),TRIM(C2755)=TRIM(Enginuity!$A$18)),
      TRIM(B2755)=TRIM(Enginuity!$A$17)
    )
  ),
  ROW(),
  ""
)</f>
        <v/>
      </c>
    </row>
    <row r="2756" spans="21:21" x14ac:dyDescent="0.25">
      <c r="U2756" s="104" t="str">
        <f>IF(
  AND(
    TRIM(A2756)=TRIM(Enginuity!$A$1),
    TRIM(B2756)=TRIM(Enginuity!$A$17),
    Q2756&lt;&gt;"",
    Q2756&lt;&gt;0,
    OR(
      TRIM(C2756)=TRIM(Enginuity!$A$18),
      AND(UPPER(TRIM(M2756))="STD", TRIM(B2756)=TRIM(Enginuity!$A$17))
    ),
    OR(
      AND(LEFT(P2756,5)="1-Way", Enginuity!$B$13=1),
      AND(LEFT(P2756,5)="2-Way", OR(Enginuity!$B$13=2, Enginuity!$B$13=4)),
      AND(LEFT(P2756,5)="3-Way", OR(Enginuity!$B$13=3, Enginuity!$B$13=6)),
      AND(P2756="Inner Centre Jamb", OR(Enginuity!$B$13=4, Enginuity!$B$13=6)),
      AND(
        LEFT(P2756,5)&lt;&gt;"1-Way",
        LEFT(P2756,5)&lt;&gt;"2-Way",
        LEFT(P2756,5)&lt;&gt;"3-Way",
        P2756&lt;&gt;"Inner Centre Jamb"
      )
    ),
    IF(OR(Enginuity!$A$1="Frameless Glass",Enginuity!$A$1="Metal Work"),
      AND(TRIM(B2756)=TRIM(Enginuity!$A$17),TRIM(C2756)=TRIM(Enginuity!$A$18)),
      TRIM(B2756)=TRIM(Enginuity!$A$17)
    )
  ),
  ROW(),
  ""
)</f>
        <v/>
      </c>
    </row>
    <row r="2757" spans="21:21" x14ac:dyDescent="0.25">
      <c r="U2757" s="104" t="str">
        <f>IF(
  AND(
    TRIM(A2757)=TRIM(Enginuity!$A$1),
    TRIM(B2757)=TRIM(Enginuity!$A$17),
    Q2757&lt;&gt;"",
    Q2757&lt;&gt;0,
    OR(
      TRIM(C2757)=TRIM(Enginuity!$A$18),
      AND(UPPER(TRIM(M2757))="STD", TRIM(B2757)=TRIM(Enginuity!$A$17))
    ),
    OR(
      AND(LEFT(P2757,5)="1-Way", Enginuity!$B$13=1),
      AND(LEFT(P2757,5)="2-Way", OR(Enginuity!$B$13=2, Enginuity!$B$13=4)),
      AND(LEFT(P2757,5)="3-Way", OR(Enginuity!$B$13=3, Enginuity!$B$13=6)),
      AND(P2757="Inner Centre Jamb", OR(Enginuity!$B$13=4, Enginuity!$B$13=6)),
      AND(
        LEFT(P2757,5)&lt;&gt;"1-Way",
        LEFT(P2757,5)&lt;&gt;"2-Way",
        LEFT(P2757,5)&lt;&gt;"3-Way",
        P2757&lt;&gt;"Inner Centre Jamb"
      )
    ),
    IF(OR(Enginuity!$A$1="Frameless Glass",Enginuity!$A$1="Metal Work"),
      AND(TRIM(B2757)=TRIM(Enginuity!$A$17),TRIM(C2757)=TRIM(Enginuity!$A$18)),
      TRIM(B2757)=TRIM(Enginuity!$A$17)
    )
  ),
  ROW(),
  ""
)</f>
        <v/>
      </c>
    </row>
    <row r="2758" spans="21:21" x14ac:dyDescent="0.25">
      <c r="U2758" s="104" t="str">
        <f>IF(
  AND(
    TRIM(A2758)=TRIM(Enginuity!$A$1),
    TRIM(B2758)=TRIM(Enginuity!$A$17),
    Q2758&lt;&gt;"",
    Q2758&lt;&gt;0,
    OR(
      TRIM(C2758)=TRIM(Enginuity!$A$18),
      AND(UPPER(TRIM(M2758))="STD", TRIM(B2758)=TRIM(Enginuity!$A$17))
    ),
    OR(
      AND(LEFT(P2758,5)="1-Way", Enginuity!$B$13=1),
      AND(LEFT(P2758,5)="2-Way", OR(Enginuity!$B$13=2, Enginuity!$B$13=4)),
      AND(LEFT(P2758,5)="3-Way", OR(Enginuity!$B$13=3, Enginuity!$B$13=6)),
      AND(P2758="Inner Centre Jamb", OR(Enginuity!$B$13=4, Enginuity!$B$13=6)),
      AND(
        LEFT(P2758,5)&lt;&gt;"1-Way",
        LEFT(P2758,5)&lt;&gt;"2-Way",
        LEFT(P2758,5)&lt;&gt;"3-Way",
        P2758&lt;&gt;"Inner Centre Jamb"
      )
    ),
    IF(OR(Enginuity!$A$1="Frameless Glass",Enginuity!$A$1="Metal Work"),
      AND(TRIM(B2758)=TRIM(Enginuity!$A$17),TRIM(C2758)=TRIM(Enginuity!$A$18)),
      TRIM(B2758)=TRIM(Enginuity!$A$17)
    )
  ),
  ROW(),
  ""
)</f>
        <v/>
      </c>
    </row>
    <row r="2759" spans="21:21" x14ac:dyDescent="0.25">
      <c r="U2759" s="104" t="str">
        <f>IF(
  AND(
    TRIM(A2759)=TRIM(Enginuity!$A$1),
    TRIM(B2759)=TRIM(Enginuity!$A$17),
    Q2759&lt;&gt;"",
    Q2759&lt;&gt;0,
    OR(
      TRIM(C2759)=TRIM(Enginuity!$A$18),
      AND(UPPER(TRIM(M2759))="STD", TRIM(B2759)=TRIM(Enginuity!$A$17))
    ),
    OR(
      AND(LEFT(P2759,5)="1-Way", Enginuity!$B$13=1),
      AND(LEFT(P2759,5)="2-Way", OR(Enginuity!$B$13=2, Enginuity!$B$13=4)),
      AND(LEFT(P2759,5)="3-Way", OR(Enginuity!$B$13=3, Enginuity!$B$13=6)),
      AND(P2759="Inner Centre Jamb", OR(Enginuity!$B$13=4, Enginuity!$B$13=6)),
      AND(
        LEFT(P2759,5)&lt;&gt;"1-Way",
        LEFT(P2759,5)&lt;&gt;"2-Way",
        LEFT(P2759,5)&lt;&gt;"3-Way",
        P2759&lt;&gt;"Inner Centre Jamb"
      )
    ),
    IF(OR(Enginuity!$A$1="Frameless Glass",Enginuity!$A$1="Metal Work"),
      AND(TRIM(B2759)=TRIM(Enginuity!$A$17),TRIM(C2759)=TRIM(Enginuity!$A$18)),
      TRIM(B2759)=TRIM(Enginuity!$A$17)
    )
  ),
  ROW(),
  ""
)</f>
        <v/>
      </c>
    </row>
    <row r="2760" spans="21:21" x14ac:dyDescent="0.25">
      <c r="U2760" s="104" t="str">
        <f>IF(
  AND(
    TRIM(A2760)=TRIM(Enginuity!$A$1),
    TRIM(B2760)=TRIM(Enginuity!$A$17),
    Q2760&lt;&gt;"",
    Q2760&lt;&gt;0,
    OR(
      TRIM(C2760)=TRIM(Enginuity!$A$18),
      AND(UPPER(TRIM(M2760))="STD", TRIM(B2760)=TRIM(Enginuity!$A$17))
    ),
    OR(
      AND(LEFT(P2760,5)="1-Way", Enginuity!$B$13=1),
      AND(LEFT(P2760,5)="2-Way", OR(Enginuity!$B$13=2, Enginuity!$B$13=4)),
      AND(LEFT(P2760,5)="3-Way", OR(Enginuity!$B$13=3, Enginuity!$B$13=6)),
      AND(P2760="Inner Centre Jamb", OR(Enginuity!$B$13=4, Enginuity!$B$13=6)),
      AND(
        LEFT(P2760,5)&lt;&gt;"1-Way",
        LEFT(P2760,5)&lt;&gt;"2-Way",
        LEFT(P2760,5)&lt;&gt;"3-Way",
        P2760&lt;&gt;"Inner Centre Jamb"
      )
    ),
    IF(OR(Enginuity!$A$1="Frameless Glass",Enginuity!$A$1="Metal Work"),
      AND(TRIM(B2760)=TRIM(Enginuity!$A$17),TRIM(C2760)=TRIM(Enginuity!$A$18)),
      TRIM(B2760)=TRIM(Enginuity!$A$17)
    )
  ),
  ROW(),
  ""
)</f>
        <v/>
      </c>
    </row>
    <row r="2761" spans="21:21" x14ac:dyDescent="0.25">
      <c r="U2761" s="104" t="str">
        <f>IF(
  AND(
    TRIM(A2761)=TRIM(Enginuity!$A$1),
    TRIM(B2761)=TRIM(Enginuity!$A$17),
    Q2761&lt;&gt;"",
    Q2761&lt;&gt;0,
    OR(
      TRIM(C2761)=TRIM(Enginuity!$A$18),
      AND(UPPER(TRIM(M2761))="STD", TRIM(B2761)=TRIM(Enginuity!$A$17))
    ),
    OR(
      AND(LEFT(P2761,5)="1-Way", Enginuity!$B$13=1),
      AND(LEFT(P2761,5)="2-Way", OR(Enginuity!$B$13=2, Enginuity!$B$13=4)),
      AND(LEFT(P2761,5)="3-Way", OR(Enginuity!$B$13=3, Enginuity!$B$13=6)),
      AND(P2761="Inner Centre Jamb", OR(Enginuity!$B$13=4, Enginuity!$B$13=6)),
      AND(
        LEFT(P2761,5)&lt;&gt;"1-Way",
        LEFT(P2761,5)&lt;&gt;"2-Way",
        LEFT(P2761,5)&lt;&gt;"3-Way",
        P2761&lt;&gt;"Inner Centre Jamb"
      )
    ),
    IF(OR(Enginuity!$A$1="Frameless Glass",Enginuity!$A$1="Metal Work"),
      AND(TRIM(B2761)=TRIM(Enginuity!$A$17),TRIM(C2761)=TRIM(Enginuity!$A$18)),
      TRIM(B2761)=TRIM(Enginuity!$A$17)
    )
  ),
  ROW(),
  ""
)</f>
        <v/>
      </c>
    </row>
    <row r="2762" spans="21:21" x14ac:dyDescent="0.25">
      <c r="U2762" s="104" t="str">
        <f>IF(
  AND(
    TRIM(A2762)=TRIM(Enginuity!$A$1),
    TRIM(B2762)=TRIM(Enginuity!$A$17),
    Q2762&lt;&gt;"",
    Q2762&lt;&gt;0,
    OR(
      TRIM(C2762)=TRIM(Enginuity!$A$18),
      AND(UPPER(TRIM(M2762))="STD", TRIM(B2762)=TRIM(Enginuity!$A$17))
    ),
    OR(
      AND(LEFT(P2762,5)="1-Way", Enginuity!$B$13=1),
      AND(LEFT(P2762,5)="2-Way", OR(Enginuity!$B$13=2, Enginuity!$B$13=4)),
      AND(LEFT(P2762,5)="3-Way", OR(Enginuity!$B$13=3, Enginuity!$B$13=6)),
      AND(P2762="Inner Centre Jamb", OR(Enginuity!$B$13=4, Enginuity!$B$13=6)),
      AND(
        LEFT(P2762,5)&lt;&gt;"1-Way",
        LEFT(P2762,5)&lt;&gt;"2-Way",
        LEFT(P2762,5)&lt;&gt;"3-Way",
        P2762&lt;&gt;"Inner Centre Jamb"
      )
    ),
    IF(OR(Enginuity!$A$1="Frameless Glass",Enginuity!$A$1="Metal Work"),
      AND(TRIM(B2762)=TRIM(Enginuity!$A$17),TRIM(C2762)=TRIM(Enginuity!$A$18)),
      TRIM(B2762)=TRIM(Enginuity!$A$17)
    )
  ),
  ROW(),
  ""
)</f>
        <v/>
      </c>
    </row>
    <row r="2763" spans="21:21" x14ac:dyDescent="0.25">
      <c r="U2763" s="104" t="str">
        <f>IF(
  AND(
    TRIM(A2763)=TRIM(Enginuity!$A$1),
    TRIM(B2763)=TRIM(Enginuity!$A$17),
    Q2763&lt;&gt;"",
    Q2763&lt;&gt;0,
    OR(
      TRIM(C2763)=TRIM(Enginuity!$A$18),
      AND(UPPER(TRIM(M2763))="STD", TRIM(B2763)=TRIM(Enginuity!$A$17))
    ),
    OR(
      AND(LEFT(P2763,5)="1-Way", Enginuity!$B$13=1),
      AND(LEFT(P2763,5)="2-Way", OR(Enginuity!$B$13=2, Enginuity!$B$13=4)),
      AND(LEFT(P2763,5)="3-Way", OR(Enginuity!$B$13=3, Enginuity!$B$13=6)),
      AND(P2763="Inner Centre Jamb", OR(Enginuity!$B$13=4, Enginuity!$B$13=6)),
      AND(
        LEFT(P2763,5)&lt;&gt;"1-Way",
        LEFT(P2763,5)&lt;&gt;"2-Way",
        LEFT(P2763,5)&lt;&gt;"3-Way",
        P2763&lt;&gt;"Inner Centre Jamb"
      )
    ),
    IF(OR(Enginuity!$A$1="Frameless Glass",Enginuity!$A$1="Metal Work"),
      AND(TRIM(B2763)=TRIM(Enginuity!$A$17),TRIM(C2763)=TRIM(Enginuity!$A$18)),
      TRIM(B2763)=TRIM(Enginuity!$A$17)
    )
  ),
  ROW(),
  ""
)</f>
        <v/>
      </c>
    </row>
    <row r="2764" spans="21:21" x14ac:dyDescent="0.25">
      <c r="U2764" s="104" t="str">
        <f>IF(
  AND(
    TRIM(A2764)=TRIM(Enginuity!$A$1),
    TRIM(B2764)=TRIM(Enginuity!$A$17),
    Q2764&lt;&gt;"",
    Q2764&lt;&gt;0,
    OR(
      TRIM(C2764)=TRIM(Enginuity!$A$18),
      AND(UPPER(TRIM(M2764))="STD", TRIM(B2764)=TRIM(Enginuity!$A$17))
    ),
    OR(
      AND(LEFT(P2764,5)="1-Way", Enginuity!$B$13=1),
      AND(LEFT(P2764,5)="2-Way", OR(Enginuity!$B$13=2, Enginuity!$B$13=4)),
      AND(LEFT(P2764,5)="3-Way", OR(Enginuity!$B$13=3, Enginuity!$B$13=6)),
      AND(P2764="Inner Centre Jamb", OR(Enginuity!$B$13=4, Enginuity!$B$13=6)),
      AND(
        LEFT(P2764,5)&lt;&gt;"1-Way",
        LEFT(P2764,5)&lt;&gt;"2-Way",
        LEFT(P2764,5)&lt;&gt;"3-Way",
        P2764&lt;&gt;"Inner Centre Jamb"
      )
    ),
    IF(OR(Enginuity!$A$1="Frameless Glass",Enginuity!$A$1="Metal Work"),
      AND(TRIM(B2764)=TRIM(Enginuity!$A$17),TRIM(C2764)=TRIM(Enginuity!$A$18)),
      TRIM(B2764)=TRIM(Enginuity!$A$17)
    )
  ),
  ROW(),
  ""
)</f>
        <v/>
      </c>
    </row>
    <row r="2765" spans="21:21" x14ac:dyDescent="0.25">
      <c r="U2765" s="104" t="str">
        <f>IF(
  AND(
    TRIM(A2765)=TRIM(Enginuity!$A$1),
    TRIM(B2765)=TRIM(Enginuity!$A$17),
    Q2765&lt;&gt;"",
    Q2765&lt;&gt;0,
    OR(
      TRIM(C2765)=TRIM(Enginuity!$A$18),
      AND(UPPER(TRIM(M2765))="STD", TRIM(B2765)=TRIM(Enginuity!$A$17))
    ),
    OR(
      AND(LEFT(P2765,5)="1-Way", Enginuity!$B$13=1),
      AND(LEFT(P2765,5)="2-Way", OR(Enginuity!$B$13=2, Enginuity!$B$13=4)),
      AND(LEFT(P2765,5)="3-Way", OR(Enginuity!$B$13=3, Enginuity!$B$13=6)),
      AND(P2765="Inner Centre Jamb", OR(Enginuity!$B$13=4, Enginuity!$B$13=6)),
      AND(
        LEFT(P2765,5)&lt;&gt;"1-Way",
        LEFT(P2765,5)&lt;&gt;"2-Way",
        LEFT(P2765,5)&lt;&gt;"3-Way",
        P2765&lt;&gt;"Inner Centre Jamb"
      )
    ),
    IF(OR(Enginuity!$A$1="Frameless Glass",Enginuity!$A$1="Metal Work"),
      AND(TRIM(B2765)=TRIM(Enginuity!$A$17),TRIM(C2765)=TRIM(Enginuity!$A$18)),
      TRIM(B2765)=TRIM(Enginuity!$A$17)
    )
  ),
  ROW(),
  ""
)</f>
        <v/>
      </c>
    </row>
    <row r="2766" spans="21:21" x14ac:dyDescent="0.25">
      <c r="U2766" s="104" t="str">
        <f>IF(
  AND(
    TRIM(A2766)=TRIM(Enginuity!$A$1),
    TRIM(B2766)=TRIM(Enginuity!$A$17),
    Q2766&lt;&gt;"",
    Q2766&lt;&gt;0,
    OR(
      TRIM(C2766)=TRIM(Enginuity!$A$18),
      AND(UPPER(TRIM(M2766))="STD", TRIM(B2766)=TRIM(Enginuity!$A$17))
    ),
    OR(
      AND(LEFT(P2766,5)="1-Way", Enginuity!$B$13=1),
      AND(LEFT(P2766,5)="2-Way", OR(Enginuity!$B$13=2, Enginuity!$B$13=4)),
      AND(LEFT(P2766,5)="3-Way", OR(Enginuity!$B$13=3, Enginuity!$B$13=6)),
      AND(P2766="Inner Centre Jamb", OR(Enginuity!$B$13=4, Enginuity!$B$13=6)),
      AND(
        LEFT(P2766,5)&lt;&gt;"1-Way",
        LEFT(P2766,5)&lt;&gt;"2-Way",
        LEFT(P2766,5)&lt;&gt;"3-Way",
        P2766&lt;&gt;"Inner Centre Jamb"
      )
    ),
    IF(OR(Enginuity!$A$1="Frameless Glass",Enginuity!$A$1="Metal Work"),
      AND(TRIM(B2766)=TRIM(Enginuity!$A$17),TRIM(C2766)=TRIM(Enginuity!$A$18)),
      TRIM(B2766)=TRIM(Enginuity!$A$17)
    )
  ),
  ROW(),
  ""
)</f>
        <v/>
      </c>
    </row>
    <row r="2767" spans="21:21" x14ac:dyDescent="0.25">
      <c r="U2767" s="104" t="str">
        <f>IF(
  AND(
    TRIM(A2767)=TRIM(Enginuity!$A$1),
    TRIM(B2767)=TRIM(Enginuity!$A$17),
    Q2767&lt;&gt;"",
    Q2767&lt;&gt;0,
    OR(
      TRIM(C2767)=TRIM(Enginuity!$A$18),
      AND(UPPER(TRIM(M2767))="STD", TRIM(B2767)=TRIM(Enginuity!$A$17))
    ),
    OR(
      AND(LEFT(P2767,5)="1-Way", Enginuity!$B$13=1),
      AND(LEFT(P2767,5)="2-Way", OR(Enginuity!$B$13=2, Enginuity!$B$13=4)),
      AND(LEFT(P2767,5)="3-Way", OR(Enginuity!$B$13=3, Enginuity!$B$13=6)),
      AND(P2767="Inner Centre Jamb", OR(Enginuity!$B$13=4, Enginuity!$B$13=6)),
      AND(
        LEFT(P2767,5)&lt;&gt;"1-Way",
        LEFT(P2767,5)&lt;&gt;"2-Way",
        LEFT(P2767,5)&lt;&gt;"3-Way",
        P2767&lt;&gt;"Inner Centre Jamb"
      )
    ),
    IF(OR(Enginuity!$A$1="Frameless Glass",Enginuity!$A$1="Metal Work"),
      AND(TRIM(B2767)=TRIM(Enginuity!$A$17),TRIM(C2767)=TRIM(Enginuity!$A$18)),
      TRIM(B2767)=TRIM(Enginuity!$A$17)
    )
  ),
  ROW(),
  ""
)</f>
        <v/>
      </c>
    </row>
    <row r="2768" spans="21:21" x14ac:dyDescent="0.25">
      <c r="U2768" s="104" t="str">
        <f>IF(
  AND(
    TRIM(A2768)=TRIM(Enginuity!$A$1),
    TRIM(B2768)=TRIM(Enginuity!$A$17),
    Q2768&lt;&gt;"",
    Q2768&lt;&gt;0,
    OR(
      TRIM(C2768)=TRIM(Enginuity!$A$18),
      AND(UPPER(TRIM(M2768))="STD", TRIM(B2768)=TRIM(Enginuity!$A$17))
    ),
    OR(
      AND(LEFT(P2768,5)="1-Way", Enginuity!$B$13=1),
      AND(LEFT(P2768,5)="2-Way", OR(Enginuity!$B$13=2, Enginuity!$B$13=4)),
      AND(LEFT(P2768,5)="3-Way", OR(Enginuity!$B$13=3, Enginuity!$B$13=6)),
      AND(P2768="Inner Centre Jamb", OR(Enginuity!$B$13=4, Enginuity!$B$13=6)),
      AND(
        LEFT(P2768,5)&lt;&gt;"1-Way",
        LEFT(P2768,5)&lt;&gt;"2-Way",
        LEFT(P2768,5)&lt;&gt;"3-Way",
        P2768&lt;&gt;"Inner Centre Jamb"
      )
    ),
    IF(OR(Enginuity!$A$1="Frameless Glass",Enginuity!$A$1="Metal Work"),
      AND(TRIM(B2768)=TRIM(Enginuity!$A$17),TRIM(C2768)=TRIM(Enginuity!$A$18)),
      TRIM(B2768)=TRIM(Enginuity!$A$17)
    )
  ),
  ROW(),
  ""
)</f>
        <v/>
      </c>
    </row>
    <row r="2769" spans="21:21" x14ac:dyDescent="0.25">
      <c r="U2769" s="104" t="str">
        <f>IF(
  AND(
    TRIM(A2769)=TRIM(Enginuity!$A$1),
    TRIM(B2769)=TRIM(Enginuity!$A$17),
    Q2769&lt;&gt;"",
    Q2769&lt;&gt;0,
    OR(
      TRIM(C2769)=TRIM(Enginuity!$A$18),
      AND(UPPER(TRIM(M2769))="STD", TRIM(B2769)=TRIM(Enginuity!$A$17))
    ),
    OR(
      AND(LEFT(P2769,5)="1-Way", Enginuity!$B$13=1),
      AND(LEFT(P2769,5)="2-Way", OR(Enginuity!$B$13=2, Enginuity!$B$13=4)),
      AND(LEFT(P2769,5)="3-Way", OR(Enginuity!$B$13=3, Enginuity!$B$13=6)),
      AND(P2769="Inner Centre Jamb", OR(Enginuity!$B$13=4, Enginuity!$B$13=6)),
      AND(
        LEFT(P2769,5)&lt;&gt;"1-Way",
        LEFT(P2769,5)&lt;&gt;"2-Way",
        LEFT(P2769,5)&lt;&gt;"3-Way",
        P2769&lt;&gt;"Inner Centre Jamb"
      )
    ),
    IF(OR(Enginuity!$A$1="Frameless Glass",Enginuity!$A$1="Metal Work"),
      AND(TRIM(B2769)=TRIM(Enginuity!$A$17),TRIM(C2769)=TRIM(Enginuity!$A$18)),
      TRIM(B2769)=TRIM(Enginuity!$A$17)
    )
  ),
  ROW(),
  ""
)</f>
        <v/>
      </c>
    </row>
    <row r="2770" spans="21:21" x14ac:dyDescent="0.25">
      <c r="U2770" s="104" t="str">
        <f>IF(
  AND(
    TRIM(A2770)=TRIM(Enginuity!$A$1),
    TRIM(B2770)=TRIM(Enginuity!$A$17),
    Q2770&lt;&gt;"",
    Q2770&lt;&gt;0,
    OR(
      TRIM(C2770)=TRIM(Enginuity!$A$18),
      AND(UPPER(TRIM(M2770))="STD", TRIM(B2770)=TRIM(Enginuity!$A$17))
    ),
    OR(
      AND(LEFT(P2770,5)="1-Way", Enginuity!$B$13=1),
      AND(LEFT(P2770,5)="2-Way", OR(Enginuity!$B$13=2, Enginuity!$B$13=4)),
      AND(LEFT(P2770,5)="3-Way", OR(Enginuity!$B$13=3, Enginuity!$B$13=6)),
      AND(P2770="Inner Centre Jamb", OR(Enginuity!$B$13=4, Enginuity!$B$13=6)),
      AND(
        LEFT(P2770,5)&lt;&gt;"1-Way",
        LEFT(P2770,5)&lt;&gt;"2-Way",
        LEFT(P2770,5)&lt;&gt;"3-Way",
        P2770&lt;&gt;"Inner Centre Jamb"
      )
    ),
    IF(OR(Enginuity!$A$1="Frameless Glass",Enginuity!$A$1="Metal Work"),
      AND(TRIM(B2770)=TRIM(Enginuity!$A$17),TRIM(C2770)=TRIM(Enginuity!$A$18)),
      TRIM(B2770)=TRIM(Enginuity!$A$17)
    )
  ),
  ROW(),
  ""
)</f>
        <v/>
      </c>
    </row>
    <row r="2771" spans="21:21" x14ac:dyDescent="0.25">
      <c r="U2771" s="104" t="str">
        <f>IF(
  AND(
    TRIM(A2771)=TRIM(Enginuity!$A$1),
    TRIM(B2771)=TRIM(Enginuity!$A$17),
    Q2771&lt;&gt;"",
    Q2771&lt;&gt;0,
    OR(
      TRIM(C2771)=TRIM(Enginuity!$A$18),
      AND(UPPER(TRIM(M2771))="STD", TRIM(B2771)=TRIM(Enginuity!$A$17))
    ),
    OR(
      AND(LEFT(P2771,5)="1-Way", Enginuity!$B$13=1),
      AND(LEFT(P2771,5)="2-Way", OR(Enginuity!$B$13=2, Enginuity!$B$13=4)),
      AND(LEFT(P2771,5)="3-Way", OR(Enginuity!$B$13=3, Enginuity!$B$13=6)),
      AND(P2771="Inner Centre Jamb", OR(Enginuity!$B$13=4, Enginuity!$B$13=6)),
      AND(
        LEFT(P2771,5)&lt;&gt;"1-Way",
        LEFT(P2771,5)&lt;&gt;"2-Way",
        LEFT(P2771,5)&lt;&gt;"3-Way",
        P2771&lt;&gt;"Inner Centre Jamb"
      )
    ),
    IF(OR(Enginuity!$A$1="Frameless Glass",Enginuity!$A$1="Metal Work"),
      AND(TRIM(B2771)=TRIM(Enginuity!$A$17),TRIM(C2771)=TRIM(Enginuity!$A$18)),
      TRIM(B2771)=TRIM(Enginuity!$A$17)
    )
  ),
  ROW(),
  ""
)</f>
        <v/>
      </c>
    </row>
    <row r="2772" spans="21:21" x14ac:dyDescent="0.25">
      <c r="U2772" s="104" t="str">
        <f>IF(
  AND(
    TRIM(A2772)=TRIM(Enginuity!$A$1),
    TRIM(B2772)=TRIM(Enginuity!$A$17),
    Q2772&lt;&gt;"",
    Q2772&lt;&gt;0,
    OR(
      TRIM(C2772)=TRIM(Enginuity!$A$18),
      AND(UPPER(TRIM(M2772))="STD", TRIM(B2772)=TRIM(Enginuity!$A$17))
    ),
    OR(
      AND(LEFT(P2772,5)="1-Way", Enginuity!$B$13=1),
      AND(LEFT(P2772,5)="2-Way", OR(Enginuity!$B$13=2, Enginuity!$B$13=4)),
      AND(LEFT(P2772,5)="3-Way", OR(Enginuity!$B$13=3, Enginuity!$B$13=6)),
      AND(P2772="Inner Centre Jamb", OR(Enginuity!$B$13=4, Enginuity!$B$13=6)),
      AND(
        LEFT(P2772,5)&lt;&gt;"1-Way",
        LEFT(P2772,5)&lt;&gt;"2-Way",
        LEFT(P2772,5)&lt;&gt;"3-Way",
        P2772&lt;&gt;"Inner Centre Jamb"
      )
    ),
    IF(OR(Enginuity!$A$1="Frameless Glass",Enginuity!$A$1="Metal Work"),
      AND(TRIM(B2772)=TRIM(Enginuity!$A$17),TRIM(C2772)=TRIM(Enginuity!$A$18)),
      TRIM(B2772)=TRIM(Enginuity!$A$17)
    )
  ),
  ROW(),
  ""
)</f>
        <v/>
      </c>
    </row>
    <row r="2773" spans="21:21" x14ac:dyDescent="0.25">
      <c r="U2773" s="104" t="str">
        <f>IF(
  AND(
    TRIM(A2773)=TRIM(Enginuity!$A$1),
    TRIM(B2773)=TRIM(Enginuity!$A$17),
    Q2773&lt;&gt;"",
    Q2773&lt;&gt;0,
    OR(
      TRIM(C2773)=TRIM(Enginuity!$A$18),
      AND(UPPER(TRIM(M2773))="STD", TRIM(B2773)=TRIM(Enginuity!$A$17))
    ),
    OR(
      AND(LEFT(P2773,5)="1-Way", Enginuity!$B$13=1),
      AND(LEFT(P2773,5)="2-Way", OR(Enginuity!$B$13=2, Enginuity!$B$13=4)),
      AND(LEFT(P2773,5)="3-Way", OR(Enginuity!$B$13=3, Enginuity!$B$13=6)),
      AND(P2773="Inner Centre Jamb", OR(Enginuity!$B$13=4, Enginuity!$B$13=6)),
      AND(
        LEFT(P2773,5)&lt;&gt;"1-Way",
        LEFT(P2773,5)&lt;&gt;"2-Way",
        LEFT(P2773,5)&lt;&gt;"3-Way",
        P2773&lt;&gt;"Inner Centre Jamb"
      )
    ),
    IF(OR(Enginuity!$A$1="Frameless Glass",Enginuity!$A$1="Metal Work"),
      AND(TRIM(B2773)=TRIM(Enginuity!$A$17),TRIM(C2773)=TRIM(Enginuity!$A$18)),
      TRIM(B2773)=TRIM(Enginuity!$A$17)
    )
  ),
  ROW(),
  ""
)</f>
        <v/>
      </c>
    </row>
    <row r="2774" spans="21:21" x14ac:dyDescent="0.25">
      <c r="U2774" s="104" t="str">
        <f>IF(
  AND(
    TRIM(A2774)=TRIM(Enginuity!$A$1),
    TRIM(B2774)=TRIM(Enginuity!$A$17),
    Q2774&lt;&gt;"",
    Q2774&lt;&gt;0,
    OR(
      TRIM(C2774)=TRIM(Enginuity!$A$18),
      AND(UPPER(TRIM(M2774))="STD", TRIM(B2774)=TRIM(Enginuity!$A$17))
    ),
    OR(
      AND(LEFT(P2774,5)="1-Way", Enginuity!$B$13=1),
      AND(LEFT(P2774,5)="2-Way", OR(Enginuity!$B$13=2, Enginuity!$B$13=4)),
      AND(LEFT(P2774,5)="3-Way", OR(Enginuity!$B$13=3, Enginuity!$B$13=6)),
      AND(P2774="Inner Centre Jamb", OR(Enginuity!$B$13=4, Enginuity!$B$13=6)),
      AND(
        LEFT(P2774,5)&lt;&gt;"1-Way",
        LEFT(P2774,5)&lt;&gt;"2-Way",
        LEFT(P2774,5)&lt;&gt;"3-Way",
        P2774&lt;&gt;"Inner Centre Jamb"
      )
    ),
    IF(OR(Enginuity!$A$1="Frameless Glass",Enginuity!$A$1="Metal Work"),
      AND(TRIM(B2774)=TRIM(Enginuity!$A$17),TRIM(C2774)=TRIM(Enginuity!$A$18)),
      TRIM(B2774)=TRIM(Enginuity!$A$17)
    )
  ),
  ROW(),
  ""
)</f>
        <v/>
      </c>
    </row>
    <row r="2775" spans="21:21" x14ac:dyDescent="0.25">
      <c r="U2775" s="104" t="str">
        <f>IF(
  AND(
    TRIM(A2775)=TRIM(Enginuity!$A$1),
    TRIM(B2775)=TRIM(Enginuity!$A$17),
    Q2775&lt;&gt;"",
    Q2775&lt;&gt;0,
    OR(
      TRIM(C2775)=TRIM(Enginuity!$A$18),
      AND(UPPER(TRIM(M2775))="STD", TRIM(B2775)=TRIM(Enginuity!$A$17))
    ),
    OR(
      AND(LEFT(P2775,5)="1-Way", Enginuity!$B$13=1),
      AND(LEFT(P2775,5)="2-Way", OR(Enginuity!$B$13=2, Enginuity!$B$13=4)),
      AND(LEFT(P2775,5)="3-Way", OR(Enginuity!$B$13=3, Enginuity!$B$13=6)),
      AND(P2775="Inner Centre Jamb", OR(Enginuity!$B$13=4, Enginuity!$B$13=6)),
      AND(
        LEFT(P2775,5)&lt;&gt;"1-Way",
        LEFT(P2775,5)&lt;&gt;"2-Way",
        LEFT(P2775,5)&lt;&gt;"3-Way",
        P2775&lt;&gt;"Inner Centre Jamb"
      )
    ),
    IF(OR(Enginuity!$A$1="Frameless Glass",Enginuity!$A$1="Metal Work"),
      AND(TRIM(B2775)=TRIM(Enginuity!$A$17),TRIM(C2775)=TRIM(Enginuity!$A$18)),
      TRIM(B2775)=TRIM(Enginuity!$A$17)
    )
  ),
  ROW(),
  ""
)</f>
        <v/>
      </c>
    </row>
    <row r="2776" spans="21:21" x14ac:dyDescent="0.25">
      <c r="U2776" s="104" t="str">
        <f>IF(
  AND(
    TRIM(A2776)=TRIM(Enginuity!$A$1),
    TRIM(B2776)=TRIM(Enginuity!$A$17),
    Q2776&lt;&gt;"",
    Q2776&lt;&gt;0,
    OR(
      TRIM(C2776)=TRIM(Enginuity!$A$18),
      AND(UPPER(TRIM(M2776))="STD", TRIM(B2776)=TRIM(Enginuity!$A$17))
    ),
    OR(
      AND(LEFT(P2776,5)="1-Way", Enginuity!$B$13=1),
      AND(LEFT(P2776,5)="2-Way", OR(Enginuity!$B$13=2, Enginuity!$B$13=4)),
      AND(LEFT(P2776,5)="3-Way", OR(Enginuity!$B$13=3, Enginuity!$B$13=6)),
      AND(P2776="Inner Centre Jamb", OR(Enginuity!$B$13=4, Enginuity!$B$13=6)),
      AND(
        LEFT(P2776,5)&lt;&gt;"1-Way",
        LEFT(P2776,5)&lt;&gt;"2-Way",
        LEFT(P2776,5)&lt;&gt;"3-Way",
        P2776&lt;&gt;"Inner Centre Jamb"
      )
    ),
    IF(OR(Enginuity!$A$1="Frameless Glass",Enginuity!$A$1="Metal Work"),
      AND(TRIM(B2776)=TRIM(Enginuity!$A$17),TRIM(C2776)=TRIM(Enginuity!$A$18)),
      TRIM(B2776)=TRIM(Enginuity!$A$17)
    )
  ),
  ROW(),
  ""
)</f>
        <v/>
      </c>
    </row>
    <row r="2777" spans="21:21" x14ac:dyDescent="0.25">
      <c r="U2777" s="104" t="str">
        <f>IF(
  AND(
    TRIM(A2777)=TRIM(Enginuity!$A$1),
    TRIM(B2777)=TRIM(Enginuity!$A$17),
    Q2777&lt;&gt;"",
    Q2777&lt;&gt;0,
    OR(
      TRIM(C2777)=TRIM(Enginuity!$A$18),
      AND(UPPER(TRIM(M2777))="STD", TRIM(B2777)=TRIM(Enginuity!$A$17))
    ),
    OR(
      AND(LEFT(P2777,5)="1-Way", Enginuity!$B$13=1),
      AND(LEFT(P2777,5)="2-Way", OR(Enginuity!$B$13=2, Enginuity!$B$13=4)),
      AND(LEFT(P2777,5)="3-Way", OR(Enginuity!$B$13=3, Enginuity!$B$13=6)),
      AND(P2777="Inner Centre Jamb", OR(Enginuity!$B$13=4, Enginuity!$B$13=6)),
      AND(
        LEFT(P2777,5)&lt;&gt;"1-Way",
        LEFT(P2777,5)&lt;&gt;"2-Way",
        LEFT(P2777,5)&lt;&gt;"3-Way",
        P2777&lt;&gt;"Inner Centre Jamb"
      )
    ),
    IF(OR(Enginuity!$A$1="Frameless Glass",Enginuity!$A$1="Metal Work"),
      AND(TRIM(B2777)=TRIM(Enginuity!$A$17),TRIM(C2777)=TRIM(Enginuity!$A$18)),
      TRIM(B2777)=TRIM(Enginuity!$A$17)
    )
  ),
  ROW(),
  ""
)</f>
        <v/>
      </c>
    </row>
    <row r="2778" spans="21:21" x14ac:dyDescent="0.25">
      <c r="U2778" s="104" t="str">
        <f>IF(
  AND(
    TRIM(A2778)=TRIM(Enginuity!$A$1),
    TRIM(B2778)=TRIM(Enginuity!$A$17),
    Q2778&lt;&gt;"",
    Q2778&lt;&gt;0,
    OR(
      TRIM(C2778)=TRIM(Enginuity!$A$18),
      AND(UPPER(TRIM(M2778))="STD", TRIM(B2778)=TRIM(Enginuity!$A$17))
    ),
    OR(
      AND(LEFT(P2778,5)="1-Way", Enginuity!$B$13=1),
      AND(LEFT(P2778,5)="2-Way", OR(Enginuity!$B$13=2, Enginuity!$B$13=4)),
      AND(LEFT(P2778,5)="3-Way", OR(Enginuity!$B$13=3, Enginuity!$B$13=6)),
      AND(P2778="Inner Centre Jamb", OR(Enginuity!$B$13=4, Enginuity!$B$13=6)),
      AND(
        LEFT(P2778,5)&lt;&gt;"1-Way",
        LEFT(P2778,5)&lt;&gt;"2-Way",
        LEFT(P2778,5)&lt;&gt;"3-Way",
        P2778&lt;&gt;"Inner Centre Jamb"
      )
    ),
    IF(OR(Enginuity!$A$1="Frameless Glass",Enginuity!$A$1="Metal Work"),
      AND(TRIM(B2778)=TRIM(Enginuity!$A$17),TRIM(C2778)=TRIM(Enginuity!$A$18)),
      TRIM(B2778)=TRIM(Enginuity!$A$17)
    )
  ),
  ROW(),
  ""
)</f>
        <v/>
      </c>
    </row>
    <row r="2779" spans="21:21" x14ac:dyDescent="0.25">
      <c r="U2779" s="104" t="str">
        <f>IF(
  AND(
    TRIM(A2779)=TRIM(Enginuity!$A$1),
    TRIM(B2779)=TRIM(Enginuity!$A$17),
    Q2779&lt;&gt;"",
    Q2779&lt;&gt;0,
    OR(
      TRIM(C2779)=TRIM(Enginuity!$A$18),
      AND(UPPER(TRIM(M2779))="STD", TRIM(B2779)=TRIM(Enginuity!$A$17))
    ),
    OR(
      AND(LEFT(P2779,5)="1-Way", Enginuity!$B$13=1),
      AND(LEFT(P2779,5)="2-Way", OR(Enginuity!$B$13=2, Enginuity!$B$13=4)),
      AND(LEFT(P2779,5)="3-Way", OR(Enginuity!$B$13=3, Enginuity!$B$13=6)),
      AND(P2779="Inner Centre Jamb", OR(Enginuity!$B$13=4, Enginuity!$B$13=6)),
      AND(
        LEFT(P2779,5)&lt;&gt;"1-Way",
        LEFT(P2779,5)&lt;&gt;"2-Way",
        LEFT(P2779,5)&lt;&gt;"3-Way",
        P2779&lt;&gt;"Inner Centre Jamb"
      )
    ),
    IF(OR(Enginuity!$A$1="Frameless Glass",Enginuity!$A$1="Metal Work"),
      AND(TRIM(B2779)=TRIM(Enginuity!$A$17),TRIM(C2779)=TRIM(Enginuity!$A$18)),
      TRIM(B2779)=TRIM(Enginuity!$A$17)
    )
  ),
  ROW(),
  ""
)</f>
        <v/>
      </c>
    </row>
    <row r="2780" spans="21:21" x14ac:dyDescent="0.25">
      <c r="U2780" s="104" t="str">
        <f>IF(
  AND(
    TRIM(A2780)=TRIM(Enginuity!$A$1),
    TRIM(B2780)=TRIM(Enginuity!$A$17),
    Q2780&lt;&gt;"",
    Q2780&lt;&gt;0,
    OR(
      TRIM(C2780)=TRIM(Enginuity!$A$18),
      AND(UPPER(TRIM(M2780))="STD", TRIM(B2780)=TRIM(Enginuity!$A$17))
    ),
    OR(
      AND(LEFT(P2780,5)="1-Way", Enginuity!$B$13=1),
      AND(LEFT(P2780,5)="2-Way", OR(Enginuity!$B$13=2, Enginuity!$B$13=4)),
      AND(LEFT(P2780,5)="3-Way", OR(Enginuity!$B$13=3, Enginuity!$B$13=6)),
      AND(P2780="Inner Centre Jamb", OR(Enginuity!$B$13=4, Enginuity!$B$13=6)),
      AND(
        LEFT(P2780,5)&lt;&gt;"1-Way",
        LEFT(P2780,5)&lt;&gt;"2-Way",
        LEFT(P2780,5)&lt;&gt;"3-Way",
        P2780&lt;&gt;"Inner Centre Jamb"
      )
    ),
    IF(OR(Enginuity!$A$1="Frameless Glass",Enginuity!$A$1="Metal Work"),
      AND(TRIM(B2780)=TRIM(Enginuity!$A$17),TRIM(C2780)=TRIM(Enginuity!$A$18)),
      TRIM(B2780)=TRIM(Enginuity!$A$17)
    )
  ),
  ROW(),
  ""
)</f>
        <v/>
      </c>
    </row>
    <row r="2781" spans="21:21" x14ac:dyDescent="0.25">
      <c r="U2781" s="104" t="str">
        <f>IF(
  AND(
    TRIM(A2781)=TRIM(Enginuity!$A$1),
    TRIM(B2781)=TRIM(Enginuity!$A$17),
    Q2781&lt;&gt;"",
    Q2781&lt;&gt;0,
    OR(
      TRIM(C2781)=TRIM(Enginuity!$A$18),
      AND(UPPER(TRIM(M2781))="STD", TRIM(B2781)=TRIM(Enginuity!$A$17))
    ),
    OR(
      AND(LEFT(P2781,5)="1-Way", Enginuity!$B$13=1),
      AND(LEFT(P2781,5)="2-Way", OR(Enginuity!$B$13=2, Enginuity!$B$13=4)),
      AND(LEFT(P2781,5)="3-Way", OR(Enginuity!$B$13=3, Enginuity!$B$13=6)),
      AND(P2781="Inner Centre Jamb", OR(Enginuity!$B$13=4, Enginuity!$B$13=6)),
      AND(
        LEFT(P2781,5)&lt;&gt;"1-Way",
        LEFT(P2781,5)&lt;&gt;"2-Way",
        LEFT(P2781,5)&lt;&gt;"3-Way",
        P2781&lt;&gt;"Inner Centre Jamb"
      )
    ),
    IF(OR(Enginuity!$A$1="Frameless Glass",Enginuity!$A$1="Metal Work"),
      AND(TRIM(B2781)=TRIM(Enginuity!$A$17),TRIM(C2781)=TRIM(Enginuity!$A$18)),
      TRIM(B2781)=TRIM(Enginuity!$A$17)
    )
  ),
  ROW(),
  ""
)</f>
        <v/>
      </c>
    </row>
    <row r="2782" spans="21:21" x14ac:dyDescent="0.25">
      <c r="U2782" s="104" t="str">
        <f>IF(
  AND(
    TRIM(A2782)=TRIM(Enginuity!$A$1),
    TRIM(B2782)=TRIM(Enginuity!$A$17),
    Q2782&lt;&gt;"",
    Q2782&lt;&gt;0,
    OR(
      TRIM(C2782)=TRIM(Enginuity!$A$18),
      AND(UPPER(TRIM(M2782))="STD", TRIM(B2782)=TRIM(Enginuity!$A$17))
    ),
    OR(
      AND(LEFT(P2782,5)="1-Way", Enginuity!$B$13=1),
      AND(LEFT(P2782,5)="2-Way", OR(Enginuity!$B$13=2, Enginuity!$B$13=4)),
      AND(LEFT(P2782,5)="3-Way", OR(Enginuity!$B$13=3, Enginuity!$B$13=6)),
      AND(P2782="Inner Centre Jamb", OR(Enginuity!$B$13=4, Enginuity!$B$13=6)),
      AND(
        LEFT(P2782,5)&lt;&gt;"1-Way",
        LEFT(P2782,5)&lt;&gt;"2-Way",
        LEFT(P2782,5)&lt;&gt;"3-Way",
        P2782&lt;&gt;"Inner Centre Jamb"
      )
    ),
    IF(OR(Enginuity!$A$1="Frameless Glass",Enginuity!$A$1="Metal Work"),
      AND(TRIM(B2782)=TRIM(Enginuity!$A$17),TRIM(C2782)=TRIM(Enginuity!$A$18)),
      TRIM(B2782)=TRIM(Enginuity!$A$17)
    )
  ),
  ROW(),
  ""
)</f>
        <v/>
      </c>
    </row>
    <row r="2783" spans="21:21" x14ac:dyDescent="0.25">
      <c r="U2783" s="104" t="str">
        <f>IF(
  AND(
    TRIM(A2783)=TRIM(Enginuity!$A$1),
    TRIM(B2783)=TRIM(Enginuity!$A$17),
    Q2783&lt;&gt;"",
    Q2783&lt;&gt;0,
    OR(
      TRIM(C2783)=TRIM(Enginuity!$A$18),
      AND(UPPER(TRIM(M2783))="STD", TRIM(B2783)=TRIM(Enginuity!$A$17))
    ),
    OR(
      AND(LEFT(P2783,5)="1-Way", Enginuity!$B$13=1),
      AND(LEFT(P2783,5)="2-Way", OR(Enginuity!$B$13=2, Enginuity!$B$13=4)),
      AND(LEFT(P2783,5)="3-Way", OR(Enginuity!$B$13=3, Enginuity!$B$13=6)),
      AND(P2783="Inner Centre Jamb", OR(Enginuity!$B$13=4, Enginuity!$B$13=6)),
      AND(
        LEFT(P2783,5)&lt;&gt;"1-Way",
        LEFT(P2783,5)&lt;&gt;"2-Way",
        LEFT(P2783,5)&lt;&gt;"3-Way",
        P2783&lt;&gt;"Inner Centre Jamb"
      )
    ),
    IF(OR(Enginuity!$A$1="Frameless Glass",Enginuity!$A$1="Metal Work"),
      AND(TRIM(B2783)=TRIM(Enginuity!$A$17),TRIM(C2783)=TRIM(Enginuity!$A$18)),
      TRIM(B2783)=TRIM(Enginuity!$A$17)
    )
  ),
  ROW(),
  ""
)</f>
        <v/>
      </c>
    </row>
    <row r="2784" spans="21:21" x14ac:dyDescent="0.25">
      <c r="U2784" s="104" t="str">
        <f>IF(
  AND(
    TRIM(A2784)=TRIM(Enginuity!$A$1),
    TRIM(B2784)=TRIM(Enginuity!$A$17),
    Q2784&lt;&gt;"",
    Q2784&lt;&gt;0,
    OR(
      TRIM(C2784)=TRIM(Enginuity!$A$18),
      AND(UPPER(TRIM(M2784))="STD", TRIM(B2784)=TRIM(Enginuity!$A$17))
    ),
    OR(
      AND(LEFT(P2784,5)="1-Way", Enginuity!$B$13=1),
      AND(LEFT(P2784,5)="2-Way", OR(Enginuity!$B$13=2, Enginuity!$B$13=4)),
      AND(LEFT(P2784,5)="3-Way", OR(Enginuity!$B$13=3, Enginuity!$B$13=6)),
      AND(P2784="Inner Centre Jamb", OR(Enginuity!$B$13=4, Enginuity!$B$13=6)),
      AND(
        LEFT(P2784,5)&lt;&gt;"1-Way",
        LEFT(P2784,5)&lt;&gt;"2-Way",
        LEFT(P2784,5)&lt;&gt;"3-Way",
        P2784&lt;&gt;"Inner Centre Jamb"
      )
    ),
    IF(OR(Enginuity!$A$1="Frameless Glass",Enginuity!$A$1="Metal Work"),
      AND(TRIM(B2784)=TRIM(Enginuity!$A$17),TRIM(C2784)=TRIM(Enginuity!$A$18)),
      TRIM(B2784)=TRIM(Enginuity!$A$17)
    )
  ),
  ROW(),
  ""
)</f>
        <v/>
      </c>
    </row>
    <row r="2785" spans="21:21" x14ac:dyDescent="0.25">
      <c r="U2785" s="104" t="str">
        <f>IF(
  AND(
    TRIM(A2785)=TRIM(Enginuity!$A$1),
    TRIM(B2785)=TRIM(Enginuity!$A$17),
    Q2785&lt;&gt;"",
    Q2785&lt;&gt;0,
    OR(
      TRIM(C2785)=TRIM(Enginuity!$A$18),
      AND(UPPER(TRIM(M2785))="STD", TRIM(B2785)=TRIM(Enginuity!$A$17))
    ),
    OR(
      AND(LEFT(P2785,5)="1-Way", Enginuity!$B$13=1),
      AND(LEFT(P2785,5)="2-Way", OR(Enginuity!$B$13=2, Enginuity!$B$13=4)),
      AND(LEFT(P2785,5)="3-Way", OR(Enginuity!$B$13=3, Enginuity!$B$13=6)),
      AND(P2785="Inner Centre Jamb", OR(Enginuity!$B$13=4, Enginuity!$B$13=6)),
      AND(
        LEFT(P2785,5)&lt;&gt;"1-Way",
        LEFT(P2785,5)&lt;&gt;"2-Way",
        LEFT(P2785,5)&lt;&gt;"3-Way",
        P2785&lt;&gt;"Inner Centre Jamb"
      )
    ),
    IF(OR(Enginuity!$A$1="Frameless Glass",Enginuity!$A$1="Metal Work"),
      AND(TRIM(B2785)=TRIM(Enginuity!$A$17),TRIM(C2785)=TRIM(Enginuity!$A$18)),
      TRIM(B2785)=TRIM(Enginuity!$A$17)
    )
  ),
  ROW(),
  ""
)</f>
        <v/>
      </c>
    </row>
    <row r="2786" spans="21:21" x14ac:dyDescent="0.25">
      <c r="U2786" s="104" t="str">
        <f>IF(
  AND(
    TRIM(A2786)=TRIM(Enginuity!$A$1),
    TRIM(B2786)=TRIM(Enginuity!$A$17),
    Q2786&lt;&gt;"",
    Q2786&lt;&gt;0,
    OR(
      TRIM(C2786)=TRIM(Enginuity!$A$18),
      AND(UPPER(TRIM(M2786))="STD", TRIM(B2786)=TRIM(Enginuity!$A$17))
    ),
    OR(
      AND(LEFT(P2786,5)="1-Way", Enginuity!$B$13=1),
      AND(LEFT(P2786,5)="2-Way", OR(Enginuity!$B$13=2, Enginuity!$B$13=4)),
      AND(LEFT(P2786,5)="3-Way", OR(Enginuity!$B$13=3, Enginuity!$B$13=6)),
      AND(P2786="Inner Centre Jamb", OR(Enginuity!$B$13=4, Enginuity!$B$13=6)),
      AND(
        LEFT(P2786,5)&lt;&gt;"1-Way",
        LEFT(P2786,5)&lt;&gt;"2-Way",
        LEFT(P2786,5)&lt;&gt;"3-Way",
        P2786&lt;&gt;"Inner Centre Jamb"
      )
    ),
    IF(OR(Enginuity!$A$1="Frameless Glass",Enginuity!$A$1="Metal Work"),
      AND(TRIM(B2786)=TRIM(Enginuity!$A$17),TRIM(C2786)=TRIM(Enginuity!$A$18)),
      TRIM(B2786)=TRIM(Enginuity!$A$17)
    )
  ),
  ROW(),
  ""
)</f>
        <v/>
      </c>
    </row>
    <row r="2787" spans="21:21" x14ac:dyDescent="0.25">
      <c r="U2787" s="104" t="str">
        <f>IF(
  AND(
    TRIM(A2787)=TRIM(Enginuity!$A$1),
    TRIM(B2787)=TRIM(Enginuity!$A$17),
    Q2787&lt;&gt;"",
    Q2787&lt;&gt;0,
    OR(
      TRIM(C2787)=TRIM(Enginuity!$A$18),
      AND(UPPER(TRIM(M2787))="STD", TRIM(B2787)=TRIM(Enginuity!$A$17))
    ),
    OR(
      AND(LEFT(P2787,5)="1-Way", Enginuity!$B$13=1),
      AND(LEFT(P2787,5)="2-Way", OR(Enginuity!$B$13=2, Enginuity!$B$13=4)),
      AND(LEFT(P2787,5)="3-Way", OR(Enginuity!$B$13=3, Enginuity!$B$13=6)),
      AND(P2787="Inner Centre Jamb", OR(Enginuity!$B$13=4, Enginuity!$B$13=6)),
      AND(
        LEFT(P2787,5)&lt;&gt;"1-Way",
        LEFT(P2787,5)&lt;&gt;"2-Way",
        LEFT(P2787,5)&lt;&gt;"3-Way",
        P2787&lt;&gt;"Inner Centre Jamb"
      )
    ),
    IF(OR(Enginuity!$A$1="Frameless Glass",Enginuity!$A$1="Metal Work"),
      AND(TRIM(B2787)=TRIM(Enginuity!$A$17),TRIM(C2787)=TRIM(Enginuity!$A$18)),
      TRIM(B2787)=TRIM(Enginuity!$A$17)
    )
  ),
  ROW(),
  ""
)</f>
        <v/>
      </c>
    </row>
    <row r="2788" spans="21:21" x14ac:dyDescent="0.25">
      <c r="U2788" s="104" t="str">
        <f>IF(
  AND(
    TRIM(A2788)=TRIM(Enginuity!$A$1),
    TRIM(B2788)=TRIM(Enginuity!$A$17),
    Q2788&lt;&gt;"",
    Q2788&lt;&gt;0,
    OR(
      TRIM(C2788)=TRIM(Enginuity!$A$18),
      AND(UPPER(TRIM(M2788))="STD", TRIM(B2788)=TRIM(Enginuity!$A$17))
    ),
    OR(
      AND(LEFT(P2788,5)="1-Way", Enginuity!$B$13=1),
      AND(LEFT(P2788,5)="2-Way", OR(Enginuity!$B$13=2, Enginuity!$B$13=4)),
      AND(LEFT(P2788,5)="3-Way", OR(Enginuity!$B$13=3, Enginuity!$B$13=6)),
      AND(P2788="Inner Centre Jamb", OR(Enginuity!$B$13=4, Enginuity!$B$13=6)),
      AND(
        LEFT(P2788,5)&lt;&gt;"1-Way",
        LEFT(P2788,5)&lt;&gt;"2-Way",
        LEFT(P2788,5)&lt;&gt;"3-Way",
        P2788&lt;&gt;"Inner Centre Jamb"
      )
    ),
    IF(OR(Enginuity!$A$1="Frameless Glass",Enginuity!$A$1="Metal Work"),
      AND(TRIM(B2788)=TRIM(Enginuity!$A$17),TRIM(C2788)=TRIM(Enginuity!$A$18)),
      TRIM(B2788)=TRIM(Enginuity!$A$17)
    )
  ),
  ROW(),
  ""
)</f>
        <v/>
      </c>
    </row>
    <row r="2789" spans="21:21" x14ac:dyDescent="0.25">
      <c r="U2789" s="104" t="str">
        <f>IF(
  AND(
    TRIM(A2789)=TRIM(Enginuity!$A$1),
    TRIM(B2789)=TRIM(Enginuity!$A$17),
    Q2789&lt;&gt;"",
    Q2789&lt;&gt;0,
    OR(
      TRIM(C2789)=TRIM(Enginuity!$A$18),
      AND(UPPER(TRIM(M2789))="STD", TRIM(B2789)=TRIM(Enginuity!$A$17))
    ),
    OR(
      AND(LEFT(P2789,5)="1-Way", Enginuity!$B$13=1),
      AND(LEFT(P2789,5)="2-Way", OR(Enginuity!$B$13=2, Enginuity!$B$13=4)),
      AND(LEFT(P2789,5)="3-Way", OR(Enginuity!$B$13=3, Enginuity!$B$13=6)),
      AND(P2789="Inner Centre Jamb", OR(Enginuity!$B$13=4, Enginuity!$B$13=6)),
      AND(
        LEFT(P2789,5)&lt;&gt;"1-Way",
        LEFT(P2789,5)&lt;&gt;"2-Way",
        LEFT(P2789,5)&lt;&gt;"3-Way",
        P2789&lt;&gt;"Inner Centre Jamb"
      )
    ),
    IF(OR(Enginuity!$A$1="Frameless Glass",Enginuity!$A$1="Metal Work"),
      AND(TRIM(B2789)=TRIM(Enginuity!$A$17),TRIM(C2789)=TRIM(Enginuity!$A$18)),
      TRIM(B2789)=TRIM(Enginuity!$A$17)
    )
  ),
  ROW(),
  ""
)</f>
        <v/>
      </c>
    </row>
    <row r="2790" spans="21:21" x14ac:dyDescent="0.25">
      <c r="U2790" s="104" t="str">
        <f>IF(
  AND(
    TRIM(A2790)=TRIM(Enginuity!$A$1),
    TRIM(B2790)=TRIM(Enginuity!$A$17),
    Q2790&lt;&gt;"",
    Q2790&lt;&gt;0,
    OR(
      TRIM(C2790)=TRIM(Enginuity!$A$18),
      AND(UPPER(TRIM(M2790))="STD", TRIM(B2790)=TRIM(Enginuity!$A$17))
    ),
    OR(
      AND(LEFT(P2790,5)="1-Way", Enginuity!$B$13=1),
      AND(LEFT(P2790,5)="2-Way", OR(Enginuity!$B$13=2, Enginuity!$B$13=4)),
      AND(LEFT(P2790,5)="3-Way", OR(Enginuity!$B$13=3, Enginuity!$B$13=6)),
      AND(P2790="Inner Centre Jamb", OR(Enginuity!$B$13=4, Enginuity!$B$13=6)),
      AND(
        LEFT(P2790,5)&lt;&gt;"1-Way",
        LEFT(P2790,5)&lt;&gt;"2-Way",
        LEFT(P2790,5)&lt;&gt;"3-Way",
        P2790&lt;&gt;"Inner Centre Jamb"
      )
    ),
    IF(OR(Enginuity!$A$1="Frameless Glass",Enginuity!$A$1="Metal Work"),
      AND(TRIM(B2790)=TRIM(Enginuity!$A$17),TRIM(C2790)=TRIM(Enginuity!$A$18)),
      TRIM(B2790)=TRIM(Enginuity!$A$17)
    )
  ),
  ROW(),
  ""
)</f>
        <v/>
      </c>
    </row>
    <row r="2791" spans="21:21" x14ac:dyDescent="0.25">
      <c r="U2791" s="104" t="str">
        <f>IF(
  AND(
    TRIM(A2791)=TRIM(Enginuity!$A$1),
    TRIM(B2791)=TRIM(Enginuity!$A$17),
    Q2791&lt;&gt;"",
    Q2791&lt;&gt;0,
    OR(
      TRIM(C2791)=TRIM(Enginuity!$A$18),
      AND(UPPER(TRIM(M2791))="STD", TRIM(B2791)=TRIM(Enginuity!$A$17))
    ),
    OR(
      AND(LEFT(P2791,5)="1-Way", Enginuity!$B$13=1),
      AND(LEFT(P2791,5)="2-Way", OR(Enginuity!$B$13=2, Enginuity!$B$13=4)),
      AND(LEFT(P2791,5)="3-Way", OR(Enginuity!$B$13=3, Enginuity!$B$13=6)),
      AND(P2791="Inner Centre Jamb", OR(Enginuity!$B$13=4, Enginuity!$B$13=6)),
      AND(
        LEFT(P2791,5)&lt;&gt;"1-Way",
        LEFT(P2791,5)&lt;&gt;"2-Way",
        LEFT(P2791,5)&lt;&gt;"3-Way",
        P2791&lt;&gt;"Inner Centre Jamb"
      )
    ),
    IF(OR(Enginuity!$A$1="Frameless Glass",Enginuity!$A$1="Metal Work"),
      AND(TRIM(B2791)=TRIM(Enginuity!$A$17),TRIM(C2791)=TRIM(Enginuity!$A$18)),
      TRIM(B2791)=TRIM(Enginuity!$A$17)
    )
  ),
  ROW(),
  ""
)</f>
        <v/>
      </c>
    </row>
    <row r="2792" spans="21:21" x14ac:dyDescent="0.25">
      <c r="U2792" s="104" t="str">
        <f>IF(
  AND(
    TRIM(A2792)=TRIM(Enginuity!$A$1),
    TRIM(B2792)=TRIM(Enginuity!$A$17),
    Q2792&lt;&gt;"",
    Q2792&lt;&gt;0,
    OR(
      TRIM(C2792)=TRIM(Enginuity!$A$18),
      AND(UPPER(TRIM(M2792))="STD", TRIM(B2792)=TRIM(Enginuity!$A$17))
    ),
    OR(
      AND(LEFT(P2792,5)="1-Way", Enginuity!$B$13=1),
      AND(LEFT(P2792,5)="2-Way", OR(Enginuity!$B$13=2, Enginuity!$B$13=4)),
      AND(LEFT(P2792,5)="3-Way", OR(Enginuity!$B$13=3, Enginuity!$B$13=6)),
      AND(P2792="Inner Centre Jamb", OR(Enginuity!$B$13=4, Enginuity!$B$13=6)),
      AND(
        LEFT(P2792,5)&lt;&gt;"1-Way",
        LEFT(P2792,5)&lt;&gt;"2-Way",
        LEFT(P2792,5)&lt;&gt;"3-Way",
        P2792&lt;&gt;"Inner Centre Jamb"
      )
    ),
    IF(OR(Enginuity!$A$1="Frameless Glass",Enginuity!$A$1="Metal Work"),
      AND(TRIM(B2792)=TRIM(Enginuity!$A$17),TRIM(C2792)=TRIM(Enginuity!$A$18)),
      TRIM(B2792)=TRIM(Enginuity!$A$17)
    )
  ),
  ROW(),
  ""
)</f>
        <v/>
      </c>
    </row>
    <row r="2793" spans="21:21" x14ac:dyDescent="0.25">
      <c r="U2793" s="104" t="str">
        <f>IF(
  AND(
    TRIM(A2793)=TRIM(Enginuity!$A$1),
    TRIM(B2793)=TRIM(Enginuity!$A$17),
    Q2793&lt;&gt;"",
    Q2793&lt;&gt;0,
    OR(
      TRIM(C2793)=TRIM(Enginuity!$A$18),
      AND(UPPER(TRIM(M2793))="STD", TRIM(B2793)=TRIM(Enginuity!$A$17))
    ),
    OR(
      AND(LEFT(P2793,5)="1-Way", Enginuity!$B$13=1),
      AND(LEFT(P2793,5)="2-Way", OR(Enginuity!$B$13=2, Enginuity!$B$13=4)),
      AND(LEFT(P2793,5)="3-Way", OR(Enginuity!$B$13=3, Enginuity!$B$13=6)),
      AND(P2793="Inner Centre Jamb", OR(Enginuity!$B$13=4, Enginuity!$B$13=6)),
      AND(
        LEFT(P2793,5)&lt;&gt;"1-Way",
        LEFT(P2793,5)&lt;&gt;"2-Way",
        LEFT(P2793,5)&lt;&gt;"3-Way",
        P2793&lt;&gt;"Inner Centre Jamb"
      )
    ),
    IF(OR(Enginuity!$A$1="Frameless Glass",Enginuity!$A$1="Metal Work"),
      AND(TRIM(B2793)=TRIM(Enginuity!$A$17),TRIM(C2793)=TRIM(Enginuity!$A$18)),
      TRIM(B2793)=TRIM(Enginuity!$A$17)
    )
  ),
  ROW(),
  ""
)</f>
        <v/>
      </c>
    </row>
    <row r="2794" spans="21:21" x14ac:dyDescent="0.25">
      <c r="U2794" s="104" t="str">
        <f>IF(
  AND(
    TRIM(A2794)=TRIM(Enginuity!$A$1),
    TRIM(B2794)=TRIM(Enginuity!$A$17),
    Q2794&lt;&gt;"",
    Q2794&lt;&gt;0,
    OR(
      TRIM(C2794)=TRIM(Enginuity!$A$18),
      AND(UPPER(TRIM(M2794))="STD", TRIM(B2794)=TRIM(Enginuity!$A$17))
    ),
    OR(
      AND(LEFT(P2794,5)="1-Way", Enginuity!$B$13=1),
      AND(LEFT(P2794,5)="2-Way", OR(Enginuity!$B$13=2, Enginuity!$B$13=4)),
      AND(LEFT(P2794,5)="3-Way", OR(Enginuity!$B$13=3, Enginuity!$B$13=6)),
      AND(P2794="Inner Centre Jamb", OR(Enginuity!$B$13=4, Enginuity!$B$13=6)),
      AND(
        LEFT(P2794,5)&lt;&gt;"1-Way",
        LEFT(P2794,5)&lt;&gt;"2-Way",
        LEFT(P2794,5)&lt;&gt;"3-Way",
        P2794&lt;&gt;"Inner Centre Jamb"
      )
    ),
    IF(OR(Enginuity!$A$1="Frameless Glass",Enginuity!$A$1="Metal Work"),
      AND(TRIM(B2794)=TRIM(Enginuity!$A$17),TRIM(C2794)=TRIM(Enginuity!$A$18)),
      TRIM(B2794)=TRIM(Enginuity!$A$17)
    )
  ),
  ROW(),
  ""
)</f>
        <v/>
      </c>
    </row>
    <row r="2795" spans="21:21" x14ac:dyDescent="0.25">
      <c r="U2795" s="104" t="str">
        <f>IF(
  AND(
    TRIM(A2795)=TRIM(Enginuity!$A$1),
    TRIM(B2795)=TRIM(Enginuity!$A$17),
    Q2795&lt;&gt;"",
    Q2795&lt;&gt;0,
    OR(
      TRIM(C2795)=TRIM(Enginuity!$A$18),
      AND(UPPER(TRIM(M2795))="STD", TRIM(B2795)=TRIM(Enginuity!$A$17))
    ),
    OR(
      AND(LEFT(P2795,5)="1-Way", Enginuity!$B$13=1),
      AND(LEFT(P2795,5)="2-Way", OR(Enginuity!$B$13=2, Enginuity!$B$13=4)),
      AND(LEFT(P2795,5)="3-Way", OR(Enginuity!$B$13=3, Enginuity!$B$13=6)),
      AND(P2795="Inner Centre Jamb", OR(Enginuity!$B$13=4, Enginuity!$B$13=6)),
      AND(
        LEFT(P2795,5)&lt;&gt;"1-Way",
        LEFT(P2795,5)&lt;&gt;"2-Way",
        LEFT(P2795,5)&lt;&gt;"3-Way",
        P2795&lt;&gt;"Inner Centre Jamb"
      )
    ),
    IF(OR(Enginuity!$A$1="Frameless Glass",Enginuity!$A$1="Metal Work"),
      AND(TRIM(B2795)=TRIM(Enginuity!$A$17),TRIM(C2795)=TRIM(Enginuity!$A$18)),
      TRIM(B2795)=TRIM(Enginuity!$A$17)
    )
  ),
  ROW(),
  ""
)</f>
        <v/>
      </c>
    </row>
    <row r="2796" spans="21:21" x14ac:dyDescent="0.25">
      <c r="U2796" s="104" t="str">
        <f>IF(
  AND(
    TRIM(A2796)=TRIM(Enginuity!$A$1),
    TRIM(B2796)=TRIM(Enginuity!$A$17),
    Q2796&lt;&gt;"",
    Q2796&lt;&gt;0,
    OR(
      TRIM(C2796)=TRIM(Enginuity!$A$18),
      AND(UPPER(TRIM(M2796))="STD", TRIM(B2796)=TRIM(Enginuity!$A$17))
    ),
    OR(
      AND(LEFT(P2796,5)="1-Way", Enginuity!$B$13=1),
      AND(LEFT(P2796,5)="2-Way", OR(Enginuity!$B$13=2, Enginuity!$B$13=4)),
      AND(LEFT(P2796,5)="3-Way", OR(Enginuity!$B$13=3, Enginuity!$B$13=6)),
      AND(P2796="Inner Centre Jamb", OR(Enginuity!$B$13=4, Enginuity!$B$13=6)),
      AND(
        LEFT(P2796,5)&lt;&gt;"1-Way",
        LEFT(P2796,5)&lt;&gt;"2-Way",
        LEFT(P2796,5)&lt;&gt;"3-Way",
        P2796&lt;&gt;"Inner Centre Jamb"
      )
    ),
    IF(OR(Enginuity!$A$1="Frameless Glass",Enginuity!$A$1="Metal Work"),
      AND(TRIM(B2796)=TRIM(Enginuity!$A$17),TRIM(C2796)=TRIM(Enginuity!$A$18)),
      TRIM(B2796)=TRIM(Enginuity!$A$17)
    )
  ),
  ROW(),
  ""
)</f>
        <v/>
      </c>
    </row>
    <row r="2797" spans="21:21" x14ac:dyDescent="0.25">
      <c r="U2797" s="104" t="str">
        <f>IF(
  AND(
    TRIM(A2797)=TRIM(Enginuity!$A$1),
    TRIM(B2797)=TRIM(Enginuity!$A$17),
    Q2797&lt;&gt;"",
    Q2797&lt;&gt;0,
    OR(
      TRIM(C2797)=TRIM(Enginuity!$A$18),
      AND(UPPER(TRIM(M2797))="STD", TRIM(B2797)=TRIM(Enginuity!$A$17))
    ),
    OR(
      AND(LEFT(P2797,5)="1-Way", Enginuity!$B$13=1),
      AND(LEFT(P2797,5)="2-Way", OR(Enginuity!$B$13=2, Enginuity!$B$13=4)),
      AND(LEFT(P2797,5)="3-Way", OR(Enginuity!$B$13=3, Enginuity!$B$13=6)),
      AND(P2797="Inner Centre Jamb", OR(Enginuity!$B$13=4, Enginuity!$B$13=6)),
      AND(
        LEFT(P2797,5)&lt;&gt;"1-Way",
        LEFT(P2797,5)&lt;&gt;"2-Way",
        LEFT(P2797,5)&lt;&gt;"3-Way",
        P2797&lt;&gt;"Inner Centre Jamb"
      )
    ),
    IF(OR(Enginuity!$A$1="Frameless Glass",Enginuity!$A$1="Metal Work"),
      AND(TRIM(B2797)=TRIM(Enginuity!$A$17),TRIM(C2797)=TRIM(Enginuity!$A$18)),
      TRIM(B2797)=TRIM(Enginuity!$A$17)
    )
  ),
  ROW(),
  ""
)</f>
        <v/>
      </c>
    </row>
    <row r="2798" spans="21:21" x14ac:dyDescent="0.25">
      <c r="U2798" s="104" t="str">
        <f>IF(
  AND(
    TRIM(A2798)=TRIM(Enginuity!$A$1),
    TRIM(B2798)=TRIM(Enginuity!$A$17),
    Q2798&lt;&gt;"",
    Q2798&lt;&gt;0,
    OR(
      TRIM(C2798)=TRIM(Enginuity!$A$18),
      AND(UPPER(TRIM(M2798))="STD", TRIM(B2798)=TRIM(Enginuity!$A$17))
    ),
    OR(
      AND(LEFT(P2798,5)="1-Way", Enginuity!$B$13=1),
      AND(LEFT(P2798,5)="2-Way", OR(Enginuity!$B$13=2, Enginuity!$B$13=4)),
      AND(LEFT(P2798,5)="3-Way", OR(Enginuity!$B$13=3, Enginuity!$B$13=6)),
      AND(P2798="Inner Centre Jamb", OR(Enginuity!$B$13=4, Enginuity!$B$13=6)),
      AND(
        LEFT(P2798,5)&lt;&gt;"1-Way",
        LEFT(P2798,5)&lt;&gt;"2-Way",
        LEFT(P2798,5)&lt;&gt;"3-Way",
        P2798&lt;&gt;"Inner Centre Jamb"
      )
    ),
    IF(OR(Enginuity!$A$1="Frameless Glass",Enginuity!$A$1="Metal Work"),
      AND(TRIM(B2798)=TRIM(Enginuity!$A$17),TRIM(C2798)=TRIM(Enginuity!$A$18)),
      TRIM(B2798)=TRIM(Enginuity!$A$17)
    )
  ),
  ROW(),
  ""
)</f>
        <v/>
      </c>
    </row>
    <row r="2799" spans="21:21" x14ac:dyDescent="0.25">
      <c r="U2799" s="104" t="str">
        <f>IF(
  AND(
    TRIM(A2799)=TRIM(Enginuity!$A$1),
    TRIM(B2799)=TRIM(Enginuity!$A$17),
    Q2799&lt;&gt;"",
    Q2799&lt;&gt;0,
    OR(
      TRIM(C2799)=TRIM(Enginuity!$A$18),
      AND(UPPER(TRIM(M2799))="STD", TRIM(B2799)=TRIM(Enginuity!$A$17))
    ),
    OR(
      AND(LEFT(P2799,5)="1-Way", Enginuity!$B$13=1),
      AND(LEFT(P2799,5)="2-Way", OR(Enginuity!$B$13=2, Enginuity!$B$13=4)),
      AND(LEFT(P2799,5)="3-Way", OR(Enginuity!$B$13=3, Enginuity!$B$13=6)),
      AND(P2799="Inner Centre Jamb", OR(Enginuity!$B$13=4, Enginuity!$B$13=6)),
      AND(
        LEFT(P2799,5)&lt;&gt;"1-Way",
        LEFT(P2799,5)&lt;&gt;"2-Way",
        LEFT(P2799,5)&lt;&gt;"3-Way",
        P2799&lt;&gt;"Inner Centre Jamb"
      )
    ),
    IF(OR(Enginuity!$A$1="Frameless Glass",Enginuity!$A$1="Metal Work"),
      AND(TRIM(B2799)=TRIM(Enginuity!$A$17),TRIM(C2799)=TRIM(Enginuity!$A$18)),
      TRIM(B2799)=TRIM(Enginuity!$A$17)
    )
  ),
  ROW(),
  ""
)</f>
        <v/>
      </c>
    </row>
    <row r="2800" spans="21:21" x14ac:dyDescent="0.25">
      <c r="U2800" s="104" t="str">
        <f>IF(
  AND(
    TRIM(A2800)=TRIM(Enginuity!$A$1),
    TRIM(B2800)=TRIM(Enginuity!$A$17),
    Q2800&lt;&gt;"",
    Q2800&lt;&gt;0,
    OR(
      TRIM(C2800)=TRIM(Enginuity!$A$18),
      AND(UPPER(TRIM(M2800))="STD", TRIM(B2800)=TRIM(Enginuity!$A$17))
    ),
    OR(
      AND(LEFT(P2800,5)="1-Way", Enginuity!$B$13=1),
      AND(LEFT(P2800,5)="2-Way", OR(Enginuity!$B$13=2, Enginuity!$B$13=4)),
      AND(LEFT(P2800,5)="3-Way", OR(Enginuity!$B$13=3, Enginuity!$B$13=6)),
      AND(P2800="Inner Centre Jamb", OR(Enginuity!$B$13=4, Enginuity!$B$13=6)),
      AND(
        LEFT(P2800,5)&lt;&gt;"1-Way",
        LEFT(P2800,5)&lt;&gt;"2-Way",
        LEFT(P2800,5)&lt;&gt;"3-Way",
        P2800&lt;&gt;"Inner Centre Jamb"
      )
    ),
    IF(OR(Enginuity!$A$1="Frameless Glass",Enginuity!$A$1="Metal Work"),
      AND(TRIM(B2800)=TRIM(Enginuity!$A$17),TRIM(C2800)=TRIM(Enginuity!$A$18)),
      TRIM(B2800)=TRIM(Enginuity!$A$17)
    )
  ),
  ROW(),
  ""
)</f>
        <v/>
      </c>
    </row>
    <row r="2801" spans="21:21" x14ac:dyDescent="0.25">
      <c r="U2801" s="104" t="str">
        <f>IF(
  AND(
    TRIM(A2801)=TRIM(Enginuity!$A$1),
    TRIM(B2801)=TRIM(Enginuity!$A$17),
    Q2801&lt;&gt;"",
    Q2801&lt;&gt;0,
    OR(
      TRIM(C2801)=TRIM(Enginuity!$A$18),
      AND(UPPER(TRIM(M2801))="STD", TRIM(B2801)=TRIM(Enginuity!$A$17))
    ),
    OR(
      AND(LEFT(P2801,5)="1-Way", Enginuity!$B$13=1),
      AND(LEFT(P2801,5)="2-Way", OR(Enginuity!$B$13=2, Enginuity!$B$13=4)),
      AND(LEFT(P2801,5)="3-Way", OR(Enginuity!$B$13=3, Enginuity!$B$13=6)),
      AND(P2801="Inner Centre Jamb", OR(Enginuity!$B$13=4, Enginuity!$B$13=6)),
      AND(
        LEFT(P2801,5)&lt;&gt;"1-Way",
        LEFT(P2801,5)&lt;&gt;"2-Way",
        LEFT(P2801,5)&lt;&gt;"3-Way",
        P2801&lt;&gt;"Inner Centre Jamb"
      )
    ),
    IF(OR(Enginuity!$A$1="Frameless Glass",Enginuity!$A$1="Metal Work"),
      AND(TRIM(B2801)=TRIM(Enginuity!$A$17),TRIM(C2801)=TRIM(Enginuity!$A$18)),
      TRIM(B2801)=TRIM(Enginuity!$A$17)
    )
  ),
  ROW(),
  ""
)</f>
        <v/>
      </c>
    </row>
    <row r="2802" spans="21:21" x14ac:dyDescent="0.25">
      <c r="U2802" s="104" t="str">
        <f>IF(
  AND(
    TRIM(A2802)=TRIM(Enginuity!$A$1),
    TRIM(B2802)=TRIM(Enginuity!$A$17),
    Q2802&lt;&gt;"",
    Q2802&lt;&gt;0,
    OR(
      TRIM(C2802)=TRIM(Enginuity!$A$18),
      AND(UPPER(TRIM(M2802))="STD", TRIM(B2802)=TRIM(Enginuity!$A$17))
    ),
    OR(
      AND(LEFT(P2802,5)="1-Way", Enginuity!$B$13=1),
      AND(LEFT(P2802,5)="2-Way", OR(Enginuity!$B$13=2, Enginuity!$B$13=4)),
      AND(LEFT(P2802,5)="3-Way", OR(Enginuity!$B$13=3, Enginuity!$B$13=6)),
      AND(P2802="Inner Centre Jamb", OR(Enginuity!$B$13=4, Enginuity!$B$13=6)),
      AND(
        LEFT(P2802,5)&lt;&gt;"1-Way",
        LEFT(P2802,5)&lt;&gt;"2-Way",
        LEFT(P2802,5)&lt;&gt;"3-Way",
        P2802&lt;&gt;"Inner Centre Jamb"
      )
    ),
    IF(OR(Enginuity!$A$1="Frameless Glass",Enginuity!$A$1="Metal Work"),
      AND(TRIM(B2802)=TRIM(Enginuity!$A$17),TRIM(C2802)=TRIM(Enginuity!$A$18)),
      TRIM(B2802)=TRIM(Enginuity!$A$17)
    )
  ),
  ROW(),
  ""
)</f>
        <v/>
      </c>
    </row>
    <row r="2803" spans="21:21" x14ac:dyDescent="0.25">
      <c r="U2803" s="104" t="str">
        <f>IF(
  AND(
    TRIM(A2803)=TRIM(Enginuity!$A$1),
    TRIM(B2803)=TRIM(Enginuity!$A$17),
    Q2803&lt;&gt;"",
    Q2803&lt;&gt;0,
    OR(
      TRIM(C2803)=TRIM(Enginuity!$A$18),
      AND(UPPER(TRIM(M2803))="STD", TRIM(B2803)=TRIM(Enginuity!$A$17))
    ),
    OR(
      AND(LEFT(P2803,5)="1-Way", Enginuity!$B$13=1),
      AND(LEFT(P2803,5)="2-Way", OR(Enginuity!$B$13=2, Enginuity!$B$13=4)),
      AND(LEFT(P2803,5)="3-Way", OR(Enginuity!$B$13=3, Enginuity!$B$13=6)),
      AND(P2803="Inner Centre Jamb", OR(Enginuity!$B$13=4, Enginuity!$B$13=6)),
      AND(
        LEFT(P2803,5)&lt;&gt;"1-Way",
        LEFT(P2803,5)&lt;&gt;"2-Way",
        LEFT(P2803,5)&lt;&gt;"3-Way",
        P2803&lt;&gt;"Inner Centre Jamb"
      )
    ),
    IF(OR(Enginuity!$A$1="Frameless Glass",Enginuity!$A$1="Metal Work"),
      AND(TRIM(B2803)=TRIM(Enginuity!$A$17),TRIM(C2803)=TRIM(Enginuity!$A$18)),
      TRIM(B2803)=TRIM(Enginuity!$A$17)
    )
  ),
  ROW(),
  ""
)</f>
        <v/>
      </c>
    </row>
    <row r="2804" spans="21:21" x14ac:dyDescent="0.25">
      <c r="U2804" s="104" t="str">
        <f>IF(
  AND(
    TRIM(A2804)=TRIM(Enginuity!$A$1),
    TRIM(B2804)=TRIM(Enginuity!$A$17),
    Q2804&lt;&gt;"",
    Q2804&lt;&gt;0,
    OR(
      TRIM(C2804)=TRIM(Enginuity!$A$18),
      AND(UPPER(TRIM(M2804))="STD", TRIM(B2804)=TRIM(Enginuity!$A$17))
    ),
    OR(
      AND(LEFT(P2804,5)="1-Way", Enginuity!$B$13=1),
      AND(LEFT(P2804,5)="2-Way", OR(Enginuity!$B$13=2, Enginuity!$B$13=4)),
      AND(LEFT(P2804,5)="3-Way", OR(Enginuity!$B$13=3, Enginuity!$B$13=6)),
      AND(P2804="Inner Centre Jamb", OR(Enginuity!$B$13=4, Enginuity!$B$13=6)),
      AND(
        LEFT(P2804,5)&lt;&gt;"1-Way",
        LEFT(P2804,5)&lt;&gt;"2-Way",
        LEFT(P2804,5)&lt;&gt;"3-Way",
        P2804&lt;&gt;"Inner Centre Jamb"
      )
    ),
    IF(OR(Enginuity!$A$1="Frameless Glass",Enginuity!$A$1="Metal Work"),
      AND(TRIM(B2804)=TRIM(Enginuity!$A$17),TRIM(C2804)=TRIM(Enginuity!$A$18)),
      TRIM(B2804)=TRIM(Enginuity!$A$17)
    )
  ),
  ROW(),
  ""
)</f>
        <v/>
      </c>
    </row>
    <row r="2805" spans="21:21" x14ac:dyDescent="0.25">
      <c r="U2805" s="104" t="str">
        <f>IF(
  AND(
    TRIM(A2805)=TRIM(Enginuity!$A$1),
    TRIM(B2805)=TRIM(Enginuity!$A$17),
    Q2805&lt;&gt;"",
    Q2805&lt;&gt;0,
    OR(
      TRIM(C2805)=TRIM(Enginuity!$A$18),
      AND(UPPER(TRIM(M2805))="STD", TRIM(B2805)=TRIM(Enginuity!$A$17))
    ),
    OR(
      AND(LEFT(P2805,5)="1-Way", Enginuity!$B$13=1),
      AND(LEFT(P2805,5)="2-Way", OR(Enginuity!$B$13=2, Enginuity!$B$13=4)),
      AND(LEFT(P2805,5)="3-Way", OR(Enginuity!$B$13=3, Enginuity!$B$13=6)),
      AND(P2805="Inner Centre Jamb", OR(Enginuity!$B$13=4, Enginuity!$B$13=6)),
      AND(
        LEFT(P2805,5)&lt;&gt;"1-Way",
        LEFT(P2805,5)&lt;&gt;"2-Way",
        LEFT(P2805,5)&lt;&gt;"3-Way",
        P2805&lt;&gt;"Inner Centre Jamb"
      )
    ),
    IF(OR(Enginuity!$A$1="Frameless Glass",Enginuity!$A$1="Metal Work"),
      AND(TRIM(B2805)=TRIM(Enginuity!$A$17),TRIM(C2805)=TRIM(Enginuity!$A$18)),
      TRIM(B2805)=TRIM(Enginuity!$A$17)
    )
  ),
  ROW(),
  ""
)</f>
        <v/>
      </c>
    </row>
    <row r="2806" spans="21:21" x14ac:dyDescent="0.25">
      <c r="U2806" s="104" t="str">
        <f>IF(
  AND(
    TRIM(A2806)=TRIM(Enginuity!$A$1),
    TRIM(B2806)=TRIM(Enginuity!$A$17),
    Q2806&lt;&gt;"",
    Q2806&lt;&gt;0,
    OR(
      TRIM(C2806)=TRIM(Enginuity!$A$18),
      AND(UPPER(TRIM(M2806))="STD", TRIM(B2806)=TRIM(Enginuity!$A$17))
    ),
    OR(
      AND(LEFT(P2806,5)="1-Way", Enginuity!$B$13=1),
      AND(LEFT(P2806,5)="2-Way", OR(Enginuity!$B$13=2, Enginuity!$B$13=4)),
      AND(LEFT(P2806,5)="3-Way", OR(Enginuity!$B$13=3, Enginuity!$B$13=6)),
      AND(P2806="Inner Centre Jamb", OR(Enginuity!$B$13=4, Enginuity!$B$13=6)),
      AND(
        LEFT(P2806,5)&lt;&gt;"1-Way",
        LEFT(P2806,5)&lt;&gt;"2-Way",
        LEFT(P2806,5)&lt;&gt;"3-Way",
        P2806&lt;&gt;"Inner Centre Jamb"
      )
    ),
    IF(OR(Enginuity!$A$1="Frameless Glass",Enginuity!$A$1="Metal Work"),
      AND(TRIM(B2806)=TRIM(Enginuity!$A$17),TRIM(C2806)=TRIM(Enginuity!$A$18)),
      TRIM(B2806)=TRIM(Enginuity!$A$17)
    )
  ),
  ROW(),
  ""
)</f>
        <v/>
      </c>
    </row>
    <row r="2807" spans="21:21" x14ac:dyDescent="0.25">
      <c r="U2807" s="104" t="str">
        <f>IF(
  AND(
    TRIM(A2807)=TRIM(Enginuity!$A$1),
    TRIM(B2807)=TRIM(Enginuity!$A$17),
    Q2807&lt;&gt;"",
    Q2807&lt;&gt;0,
    OR(
      TRIM(C2807)=TRIM(Enginuity!$A$18),
      AND(UPPER(TRIM(M2807))="STD", TRIM(B2807)=TRIM(Enginuity!$A$17))
    ),
    OR(
      AND(LEFT(P2807,5)="1-Way", Enginuity!$B$13=1),
      AND(LEFT(P2807,5)="2-Way", OR(Enginuity!$B$13=2, Enginuity!$B$13=4)),
      AND(LEFT(P2807,5)="3-Way", OR(Enginuity!$B$13=3, Enginuity!$B$13=6)),
      AND(P2807="Inner Centre Jamb", OR(Enginuity!$B$13=4, Enginuity!$B$13=6)),
      AND(
        LEFT(P2807,5)&lt;&gt;"1-Way",
        LEFT(P2807,5)&lt;&gt;"2-Way",
        LEFT(P2807,5)&lt;&gt;"3-Way",
        P2807&lt;&gt;"Inner Centre Jamb"
      )
    ),
    IF(OR(Enginuity!$A$1="Frameless Glass",Enginuity!$A$1="Metal Work"),
      AND(TRIM(B2807)=TRIM(Enginuity!$A$17),TRIM(C2807)=TRIM(Enginuity!$A$18)),
      TRIM(B2807)=TRIM(Enginuity!$A$17)
    )
  ),
  ROW(),
  ""
)</f>
        <v/>
      </c>
    </row>
    <row r="2808" spans="21:21" x14ac:dyDescent="0.25">
      <c r="U2808" s="104" t="str">
        <f>IF(
  AND(
    TRIM(A2808)=TRIM(Enginuity!$A$1),
    TRIM(B2808)=TRIM(Enginuity!$A$17),
    Q2808&lt;&gt;"",
    Q2808&lt;&gt;0,
    OR(
      TRIM(C2808)=TRIM(Enginuity!$A$18),
      AND(UPPER(TRIM(M2808))="STD", TRIM(B2808)=TRIM(Enginuity!$A$17))
    ),
    OR(
      AND(LEFT(P2808,5)="1-Way", Enginuity!$B$13=1),
      AND(LEFT(P2808,5)="2-Way", OR(Enginuity!$B$13=2, Enginuity!$B$13=4)),
      AND(LEFT(P2808,5)="3-Way", OR(Enginuity!$B$13=3, Enginuity!$B$13=6)),
      AND(P2808="Inner Centre Jamb", OR(Enginuity!$B$13=4, Enginuity!$B$13=6)),
      AND(
        LEFT(P2808,5)&lt;&gt;"1-Way",
        LEFT(P2808,5)&lt;&gt;"2-Way",
        LEFT(P2808,5)&lt;&gt;"3-Way",
        P2808&lt;&gt;"Inner Centre Jamb"
      )
    ),
    IF(OR(Enginuity!$A$1="Frameless Glass",Enginuity!$A$1="Metal Work"),
      AND(TRIM(B2808)=TRIM(Enginuity!$A$17),TRIM(C2808)=TRIM(Enginuity!$A$18)),
      TRIM(B2808)=TRIM(Enginuity!$A$17)
    )
  ),
  ROW(),
  ""
)</f>
        <v/>
      </c>
    </row>
    <row r="2809" spans="21:21" x14ac:dyDescent="0.25">
      <c r="U2809" s="104" t="str">
        <f>IF(
  AND(
    TRIM(A2809)=TRIM(Enginuity!$A$1),
    TRIM(B2809)=TRIM(Enginuity!$A$17),
    Q2809&lt;&gt;"",
    Q2809&lt;&gt;0,
    OR(
      TRIM(C2809)=TRIM(Enginuity!$A$18),
      AND(UPPER(TRIM(M2809))="STD", TRIM(B2809)=TRIM(Enginuity!$A$17))
    ),
    OR(
      AND(LEFT(P2809,5)="1-Way", Enginuity!$B$13=1),
      AND(LEFT(P2809,5)="2-Way", OR(Enginuity!$B$13=2, Enginuity!$B$13=4)),
      AND(LEFT(P2809,5)="3-Way", OR(Enginuity!$B$13=3, Enginuity!$B$13=6)),
      AND(P2809="Inner Centre Jamb", OR(Enginuity!$B$13=4, Enginuity!$B$13=6)),
      AND(
        LEFT(P2809,5)&lt;&gt;"1-Way",
        LEFT(P2809,5)&lt;&gt;"2-Way",
        LEFT(P2809,5)&lt;&gt;"3-Way",
        P2809&lt;&gt;"Inner Centre Jamb"
      )
    ),
    IF(OR(Enginuity!$A$1="Frameless Glass",Enginuity!$A$1="Metal Work"),
      AND(TRIM(B2809)=TRIM(Enginuity!$A$17),TRIM(C2809)=TRIM(Enginuity!$A$18)),
      TRIM(B2809)=TRIM(Enginuity!$A$17)
    )
  ),
  ROW(),
  ""
)</f>
        <v/>
      </c>
    </row>
    <row r="2810" spans="21:21" x14ac:dyDescent="0.25">
      <c r="U2810" s="104" t="str">
        <f>IF(
  AND(
    TRIM(A2810)=TRIM(Enginuity!$A$1),
    TRIM(B2810)=TRIM(Enginuity!$A$17),
    Q2810&lt;&gt;"",
    Q2810&lt;&gt;0,
    OR(
      TRIM(C2810)=TRIM(Enginuity!$A$18),
      AND(UPPER(TRIM(M2810))="STD", TRIM(B2810)=TRIM(Enginuity!$A$17))
    ),
    OR(
      AND(LEFT(P2810,5)="1-Way", Enginuity!$B$13=1),
      AND(LEFT(P2810,5)="2-Way", OR(Enginuity!$B$13=2, Enginuity!$B$13=4)),
      AND(LEFT(P2810,5)="3-Way", OR(Enginuity!$B$13=3, Enginuity!$B$13=6)),
      AND(P2810="Inner Centre Jamb", OR(Enginuity!$B$13=4, Enginuity!$B$13=6)),
      AND(
        LEFT(P2810,5)&lt;&gt;"1-Way",
        LEFT(P2810,5)&lt;&gt;"2-Way",
        LEFT(P2810,5)&lt;&gt;"3-Way",
        P2810&lt;&gt;"Inner Centre Jamb"
      )
    ),
    IF(OR(Enginuity!$A$1="Frameless Glass",Enginuity!$A$1="Metal Work"),
      AND(TRIM(B2810)=TRIM(Enginuity!$A$17),TRIM(C2810)=TRIM(Enginuity!$A$18)),
      TRIM(B2810)=TRIM(Enginuity!$A$17)
    )
  ),
  ROW(),
  ""
)</f>
        <v/>
      </c>
    </row>
    <row r="2811" spans="21:21" x14ac:dyDescent="0.25">
      <c r="U2811" s="104" t="str">
        <f>IF(
  AND(
    TRIM(A2811)=TRIM(Enginuity!$A$1),
    TRIM(B2811)=TRIM(Enginuity!$A$17),
    Q2811&lt;&gt;"",
    Q2811&lt;&gt;0,
    OR(
      TRIM(C2811)=TRIM(Enginuity!$A$18),
      AND(UPPER(TRIM(M2811))="STD", TRIM(B2811)=TRIM(Enginuity!$A$17))
    ),
    OR(
      AND(LEFT(P2811,5)="1-Way", Enginuity!$B$13=1),
      AND(LEFT(P2811,5)="2-Way", OR(Enginuity!$B$13=2, Enginuity!$B$13=4)),
      AND(LEFT(P2811,5)="3-Way", OR(Enginuity!$B$13=3, Enginuity!$B$13=6)),
      AND(P2811="Inner Centre Jamb", OR(Enginuity!$B$13=4, Enginuity!$B$13=6)),
      AND(
        LEFT(P2811,5)&lt;&gt;"1-Way",
        LEFT(P2811,5)&lt;&gt;"2-Way",
        LEFT(P2811,5)&lt;&gt;"3-Way",
        P2811&lt;&gt;"Inner Centre Jamb"
      )
    ),
    IF(OR(Enginuity!$A$1="Frameless Glass",Enginuity!$A$1="Metal Work"),
      AND(TRIM(B2811)=TRIM(Enginuity!$A$17),TRIM(C2811)=TRIM(Enginuity!$A$18)),
      TRIM(B2811)=TRIM(Enginuity!$A$17)
    )
  ),
  ROW(),
  ""
)</f>
        <v/>
      </c>
    </row>
    <row r="2812" spans="21:21" x14ac:dyDescent="0.25">
      <c r="U2812" s="104" t="str">
        <f>IF(
  AND(
    TRIM(A2812)=TRIM(Enginuity!$A$1),
    TRIM(B2812)=TRIM(Enginuity!$A$17),
    Q2812&lt;&gt;"",
    Q2812&lt;&gt;0,
    OR(
      TRIM(C2812)=TRIM(Enginuity!$A$18),
      AND(UPPER(TRIM(M2812))="STD", TRIM(B2812)=TRIM(Enginuity!$A$17))
    ),
    OR(
      AND(LEFT(P2812,5)="1-Way", Enginuity!$B$13=1),
      AND(LEFT(P2812,5)="2-Way", OR(Enginuity!$B$13=2, Enginuity!$B$13=4)),
      AND(LEFT(P2812,5)="3-Way", OR(Enginuity!$B$13=3, Enginuity!$B$13=6)),
      AND(P2812="Inner Centre Jamb", OR(Enginuity!$B$13=4, Enginuity!$B$13=6)),
      AND(
        LEFT(P2812,5)&lt;&gt;"1-Way",
        LEFT(P2812,5)&lt;&gt;"2-Way",
        LEFT(P2812,5)&lt;&gt;"3-Way",
        P2812&lt;&gt;"Inner Centre Jamb"
      )
    ),
    IF(OR(Enginuity!$A$1="Frameless Glass",Enginuity!$A$1="Metal Work"),
      AND(TRIM(B2812)=TRIM(Enginuity!$A$17),TRIM(C2812)=TRIM(Enginuity!$A$18)),
      TRIM(B2812)=TRIM(Enginuity!$A$17)
    )
  ),
  ROW(),
  ""
)</f>
        <v/>
      </c>
    </row>
    <row r="2813" spans="21:21" x14ac:dyDescent="0.25">
      <c r="U2813" s="104" t="str">
        <f>IF(
  AND(
    TRIM(A2813)=TRIM(Enginuity!$A$1),
    TRIM(B2813)=TRIM(Enginuity!$A$17),
    Q2813&lt;&gt;"",
    Q2813&lt;&gt;0,
    OR(
      TRIM(C2813)=TRIM(Enginuity!$A$18),
      AND(UPPER(TRIM(M2813))="STD", TRIM(B2813)=TRIM(Enginuity!$A$17))
    ),
    OR(
      AND(LEFT(P2813,5)="1-Way", Enginuity!$B$13=1),
      AND(LEFT(P2813,5)="2-Way", OR(Enginuity!$B$13=2, Enginuity!$B$13=4)),
      AND(LEFT(P2813,5)="3-Way", OR(Enginuity!$B$13=3, Enginuity!$B$13=6)),
      AND(P2813="Inner Centre Jamb", OR(Enginuity!$B$13=4, Enginuity!$B$13=6)),
      AND(
        LEFT(P2813,5)&lt;&gt;"1-Way",
        LEFT(P2813,5)&lt;&gt;"2-Way",
        LEFT(P2813,5)&lt;&gt;"3-Way",
        P2813&lt;&gt;"Inner Centre Jamb"
      )
    ),
    IF(OR(Enginuity!$A$1="Frameless Glass",Enginuity!$A$1="Metal Work"),
      AND(TRIM(B2813)=TRIM(Enginuity!$A$17),TRIM(C2813)=TRIM(Enginuity!$A$18)),
      TRIM(B2813)=TRIM(Enginuity!$A$17)
    )
  ),
  ROW(),
  ""
)</f>
        <v/>
      </c>
    </row>
    <row r="2814" spans="21:21" x14ac:dyDescent="0.25">
      <c r="U2814" s="104" t="str">
        <f>IF(
  AND(
    TRIM(A2814)=TRIM(Enginuity!$A$1),
    TRIM(B2814)=TRIM(Enginuity!$A$17),
    Q2814&lt;&gt;"",
    Q2814&lt;&gt;0,
    OR(
      TRIM(C2814)=TRIM(Enginuity!$A$18),
      AND(UPPER(TRIM(M2814))="STD", TRIM(B2814)=TRIM(Enginuity!$A$17))
    ),
    OR(
      AND(LEFT(P2814,5)="1-Way", Enginuity!$B$13=1),
      AND(LEFT(P2814,5)="2-Way", OR(Enginuity!$B$13=2, Enginuity!$B$13=4)),
      AND(LEFT(P2814,5)="3-Way", OR(Enginuity!$B$13=3, Enginuity!$B$13=6)),
      AND(P2814="Inner Centre Jamb", OR(Enginuity!$B$13=4, Enginuity!$B$13=6)),
      AND(
        LEFT(P2814,5)&lt;&gt;"1-Way",
        LEFT(P2814,5)&lt;&gt;"2-Way",
        LEFT(P2814,5)&lt;&gt;"3-Way",
        P2814&lt;&gt;"Inner Centre Jamb"
      )
    ),
    IF(OR(Enginuity!$A$1="Frameless Glass",Enginuity!$A$1="Metal Work"),
      AND(TRIM(B2814)=TRIM(Enginuity!$A$17),TRIM(C2814)=TRIM(Enginuity!$A$18)),
      TRIM(B2814)=TRIM(Enginuity!$A$17)
    )
  ),
  ROW(),
  ""
)</f>
        <v/>
      </c>
    </row>
    <row r="2815" spans="21:21" x14ac:dyDescent="0.25">
      <c r="U2815" s="104" t="str">
        <f>IF(
  AND(
    TRIM(A2815)=TRIM(Enginuity!$A$1),
    TRIM(B2815)=TRIM(Enginuity!$A$17),
    Q2815&lt;&gt;"",
    Q2815&lt;&gt;0,
    OR(
      TRIM(C2815)=TRIM(Enginuity!$A$18),
      AND(UPPER(TRIM(M2815))="STD", TRIM(B2815)=TRIM(Enginuity!$A$17))
    ),
    OR(
      AND(LEFT(P2815,5)="1-Way", Enginuity!$B$13=1),
      AND(LEFT(P2815,5)="2-Way", OR(Enginuity!$B$13=2, Enginuity!$B$13=4)),
      AND(LEFT(P2815,5)="3-Way", OR(Enginuity!$B$13=3, Enginuity!$B$13=6)),
      AND(P2815="Inner Centre Jamb", OR(Enginuity!$B$13=4, Enginuity!$B$13=6)),
      AND(
        LEFT(P2815,5)&lt;&gt;"1-Way",
        LEFT(P2815,5)&lt;&gt;"2-Way",
        LEFT(P2815,5)&lt;&gt;"3-Way",
        P2815&lt;&gt;"Inner Centre Jamb"
      )
    ),
    IF(OR(Enginuity!$A$1="Frameless Glass",Enginuity!$A$1="Metal Work"),
      AND(TRIM(B2815)=TRIM(Enginuity!$A$17),TRIM(C2815)=TRIM(Enginuity!$A$18)),
      TRIM(B2815)=TRIM(Enginuity!$A$17)
    )
  ),
  ROW(),
  ""
)</f>
        <v/>
      </c>
    </row>
    <row r="2816" spans="21:21" x14ac:dyDescent="0.25">
      <c r="U2816" s="104" t="str">
        <f>IF(
  AND(
    TRIM(A2816)=TRIM(Enginuity!$A$1),
    TRIM(B2816)=TRIM(Enginuity!$A$17),
    Q2816&lt;&gt;"",
    Q2816&lt;&gt;0,
    OR(
      TRIM(C2816)=TRIM(Enginuity!$A$18),
      AND(UPPER(TRIM(M2816))="STD", TRIM(B2816)=TRIM(Enginuity!$A$17))
    ),
    OR(
      AND(LEFT(P2816,5)="1-Way", Enginuity!$B$13=1),
      AND(LEFT(P2816,5)="2-Way", OR(Enginuity!$B$13=2, Enginuity!$B$13=4)),
      AND(LEFT(P2816,5)="3-Way", OR(Enginuity!$B$13=3, Enginuity!$B$13=6)),
      AND(P2816="Inner Centre Jamb", OR(Enginuity!$B$13=4, Enginuity!$B$13=6)),
      AND(
        LEFT(P2816,5)&lt;&gt;"1-Way",
        LEFT(P2816,5)&lt;&gt;"2-Way",
        LEFT(P2816,5)&lt;&gt;"3-Way",
        P2816&lt;&gt;"Inner Centre Jamb"
      )
    ),
    IF(OR(Enginuity!$A$1="Frameless Glass",Enginuity!$A$1="Metal Work"),
      AND(TRIM(B2816)=TRIM(Enginuity!$A$17),TRIM(C2816)=TRIM(Enginuity!$A$18)),
      TRIM(B2816)=TRIM(Enginuity!$A$17)
    )
  ),
  ROW(),
  ""
)</f>
        <v/>
      </c>
    </row>
    <row r="2817" spans="21:21" x14ac:dyDescent="0.25">
      <c r="U2817" s="104" t="str">
        <f>IF(
  AND(
    TRIM(A2817)=TRIM(Enginuity!$A$1),
    TRIM(B2817)=TRIM(Enginuity!$A$17),
    Q2817&lt;&gt;"",
    Q2817&lt;&gt;0,
    OR(
      TRIM(C2817)=TRIM(Enginuity!$A$18),
      AND(UPPER(TRIM(M2817))="STD", TRIM(B2817)=TRIM(Enginuity!$A$17))
    ),
    OR(
      AND(LEFT(P2817,5)="1-Way", Enginuity!$B$13=1),
      AND(LEFT(P2817,5)="2-Way", OR(Enginuity!$B$13=2, Enginuity!$B$13=4)),
      AND(LEFT(P2817,5)="3-Way", OR(Enginuity!$B$13=3, Enginuity!$B$13=6)),
      AND(P2817="Inner Centre Jamb", OR(Enginuity!$B$13=4, Enginuity!$B$13=6)),
      AND(
        LEFT(P2817,5)&lt;&gt;"1-Way",
        LEFT(P2817,5)&lt;&gt;"2-Way",
        LEFT(P2817,5)&lt;&gt;"3-Way",
        P2817&lt;&gt;"Inner Centre Jamb"
      )
    ),
    IF(OR(Enginuity!$A$1="Frameless Glass",Enginuity!$A$1="Metal Work"),
      AND(TRIM(B2817)=TRIM(Enginuity!$A$17),TRIM(C2817)=TRIM(Enginuity!$A$18)),
      TRIM(B2817)=TRIM(Enginuity!$A$17)
    )
  ),
  ROW(),
  ""
)</f>
        <v/>
      </c>
    </row>
    <row r="2818" spans="21:21" x14ac:dyDescent="0.25">
      <c r="U2818" s="104" t="str">
        <f>IF(
  AND(
    TRIM(A2818)=TRIM(Enginuity!$A$1),
    TRIM(B2818)=TRIM(Enginuity!$A$17),
    Q2818&lt;&gt;"",
    Q2818&lt;&gt;0,
    OR(
      TRIM(C2818)=TRIM(Enginuity!$A$18),
      AND(UPPER(TRIM(M2818))="STD", TRIM(B2818)=TRIM(Enginuity!$A$17))
    ),
    OR(
      AND(LEFT(P2818,5)="1-Way", Enginuity!$B$13=1),
      AND(LEFT(P2818,5)="2-Way", OR(Enginuity!$B$13=2, Enginuity!$B$13=4)),
      AND(LEFT(P2818,5)="3-Way", OR(Enginuity!$B$13=3, Enginuity!$B$13=6)),
      AND(P2818="Inner Centre Jamb", OR(Enginuity!$B$13=4, Enginuity!$B$13=6)),
      AND(
        LEFT(P2818,5)&lt;&gt;"1-Way",
        LEFT(P2818,5)&lt;&gt;"2-Way",
        LEFT(P2818,5)&lt;&gt;"3-Way",
        P2818&lt;&gt;"Inner Centre Jamb"
      )
    ),
    IF(OR(Enginuity!$A$1="Frameless Glass",Enginuity!$A$1="Metal Work"),
      AND(TRIM(B2818)=TRIM(Enginuity!$A$17),TRIM(C2818)=TRIM(Enginuity!$A$18)),
      TRIM(B2818)=TRIM(Enginuity!$A$17)
    )
  ),
  ROW(),
  ""
)</f>
        <v/>
      </c>
    </row>
    <row r="2819" spans="21:21" x14ac:dyDescent="0.25">
      <c r="U2819" s="104" t="str">
        <f>IF(
  AND(
    TRIM(A2819)=TRIM(Enginuity!$A$1),
    TRIM(B2819)=TRIM(Enginuity!$A$17),
    Q2819&lt;&gt;"",
    Q2819&lt;&gt;0,
    OR(
      TRIM(C2819)=TRIM(Enginuity!$A$18),
      AND(UPPER(TRIM(M2819))="STD", TRIM(B2819)=TRIM(Enginuity!$A$17))
    ),
    OR(
      AND(LEFT(P2819,5)="1-Way", Enginuity!$B$13=1),
      AND(LEFT(P2819,5)="2-Way", OR(Enginuity!$B$13=2, Enginuity!$B$13=4)),
      AND(LEFT(P2819,5)="3-Way", OR(Enginuity!$B$13=3, Enginuity!$B$13=6)),
      AND(P2819="Inner Centre Jamb", OR(Enginuity!$B$13=4, Enginuity!$B$13=6)),
      AND(
        LEFT(P2819,5)&lt;&gt;"1-Way",
        LEFT(P2819,5)&lt;&gt;"2-Way",
        LEFT(P2819,5)&lt;&gt;"3-Way",
        P2819&lt;&gt;"Inner Centre Jamb"
      )
    ),
    IF(OR(Enginuity!$A$1="Frameless Glass",Enginuity!$A$1="Metal Work"),
      AND(TRIM(B2819)=TRIM(Enginuity!$A$17),TRIM(C2819)=TRIM(Enginuity!$A$18)),
      TRIM(B2819)=TRIM(Enginuity!$A$17)
    )
  ),
  ROW(),
  ""
)</f>
        <v/>
      </c>
    </row>
    <row r="2820" spans="21:21" x14ac:dyDescent="0.25">
      <c r="U2820" s="104" t="str">
        <f>IF(
  AND(
    TRIM(A2820)=TRIM(Enginuity!$A$1),
    TRIM(B2820)=TRIM(Enginuity!$A$17),
    Q2820&lt;&gt;"",
    Q2820&lt;&gt;0,
    OR(
      TRIM(C2820)=TRIM(Enginuity!$A$18),
      AND(UPPER(TRIM(M2820))="STD", TRIM(B2820)=TRIM(Enginuity!$A$17))
    ),
    OR(
      AND(LEFT(P2820,5)="1-Way", Enginuity!$B$13=1),
      AND(LEFT(P2820,5)="2-Way", OR(Enginuity!$B$13=2, Enginuity!$B$13=4)),
      AND(LEFT(P2820,5)="3-Way", OR(Enginuity!$B$13=3, Enginuity!$B$13=6)),
      AND(P2820="Inner Centre Jamb", OR(Enginuity!$B$13=4, Enginuity!$B$13=6)),
      AND(
        LEFT(P2820,5)&lt;&gt;"1-Way",
        LEFT(P2820,5)&lt;&gt;"2-Way",
        LEFT(P2820,5)&lt;&gt;"3-Way",
        P2820&lt;&gt;"Inner Centre Jamb"
      )
    ),
    IF(OR(Enginuity!$A$1="Frameless Glass",Enginuity!$A$1="Metal Work"),
      AND(TRIM(B2820)=TRIM(Enginuity!$A$17),TRIM(C2820)=TRIM(Enginuity!$A$18)),
      TRIM(B2820)=TRIM(Enginuity!$A$17)
    )
  ),
  ROW(),
  ""
)</f>
        <v/>
      </c>
    </row>
    <row r="2821" spans="21:21" x14ac:dyDescent="0.25">
      <c r="U2821" s="104" t="str">
        <f>IF(
  AND(
    TRIM(A2821)=TRIM(Enginuity!$A$1),
    TRIM(B2821)=TRIM(Enginuity!$A$17),
    Q2821&lt;&gt;"",
    Q2821&lt;&gt;0,
    OR(
      TRIM(C2821)=TRIM(Enginuity!$A$18),
      AND(UPPER(TRIM(M2821))="STD", TRIM(B2821)=TRIM(Enginuity!$A$17))
    ),
    OR(
      AND(LEFT(P2821,5)="1-Way", Enginuity!$B$13=1),
      AND(LEFT(P2821,5)="2-Way", OR(Enginuity!$B$13=2, Enginuity!$B$13=4)),
      AND(LEFT(P2821,5)="3-Way", OR(Enginuity!$B$13=3, Enginuity!$B$13=6)),
      AND(P2821="Inner Centre Jamb", OR(Enginuity!$B$13=4, Enginuity!$B$13=6)),
      AND(
        LEFT(P2821,5)&lt;&gt;"1-Way",
        LEFT(P2821,5)&lt;&gt;"2-Way",
        LEFT(P2821,5)&lt;&gt;"3-Way",
        P2821&lt;&gt;"Inner Centre Jamb"
      )
    ),
    IF(OR(Enginuity!$A$1="Frameless Glass",Enginuity!$A$1="Metal Work"),
      AND(TRIM(B2821)=TRIM(Enginuity!$A$17),TRIM(C2821)=TRIM(Enginuity!$A$18)),
      TRIM(B2821)=TRIM(Enginuity!$A$17)
    )
  ),
  ROW(),
  ""
)</f>
        <v/>
      </c>
    </row>
    <row r="2822" spans="21:21" x14ac:dyDescent="0.25">
      <c r="U2822" s="104" t="str">
        <f>IF(
  AND(
    TRIM(A2822)=TRIM(Enginuity!$A$1),
    TRIM(B2822)=TRIM(Enginuity!$A$17),
    Q2822&lt;&gt;"",
    Q2822&lt;&gt;0,
    OR(
      TRIM(C2822)=TRIM(Enginuity!$A$18),
      AND(UPPER(TRIM(M2822))="STD", TRIM(B2822)=TRIM(Enginuity!$A$17))
    ),
    OR(
      AND(LEFT(P2822,5)="1-Way", Enginuity!$B$13=1),
      AND(LEFT(P2822,5)="2-Way", OR(Enginuity!$B$13=2, Enginuity!$B$13=4)),
      AND(LEFT(P2822,5)="3-Way", OR(Enginuity!$B$13=3, Enginuity!$B$13=6)),
      AND(P2822="Inner Centre Jamb", OR(Enginuity!$B$13=4, Enginuity!$B$13=6)),
      AND(
        LEFT(P2822,5)&lt;&gt;"1-Way",
        LEFT(P2822,5)&lt;&gt;"2-Way",
        LEFT(P2822,5)&lt;&gt;"3-Way",
        P2822&lt;&gt;"Inner Centre Jamb"
      )
    ),
    IF(OR(Enginuity!$A$1="Frameless Glass",Enginuity!$A$1="Metal Work"),
      AND(TRIM(B2822)=TRIM(Enginuity!$A$17),TRIM(C2822)=TRIM(Enginuity!$A$18)),
      TRIM(B2822)=TRIM(Enginuity!$A$17)
    )
  ),
  ROW(),
  ""
)</f>
        <v/>
      </c>
    </row>
    <row r="2823" spans="21:21" x14ac:dyDescent="0.25">
      <c r="U2823" s="104" t="str">
        <f>IF(
  AND(
    TRIM(A2823)=TRIM(Enginuity!$A$1),
    TRIM(B2823)=TRIM(Enginuity!$A$17),
    Q2823&lt;&gt;"",
    Q2823&lt;&gt;0,
    OR(
      TRIM(C2823)=TRIM(Enginuity!$A$18),
      AND(UPPER(TRIM(M2823))="STD", TRIM(B2823)=TRIM(Enginuity!$A$17))
    ),
    OR(
      AND(LEFT(P2823,5)="1-Way", Enginuity!$B$13=1),
      AND(LEFT(P2823,5)="2-Way", OR(Enginuity!$B$13=2, Enginuity!$B$13=4)),
      AND(LEFT(P2823,5)="3-Way", OR(Enginuity!$B$13=3, Enginuity!$B$13=6)),
      AND(P2823="Inner Centre Jamb", OR(Enginuity!$B$13=4, Enginuity!$B$13=6)),
      AND(
        LEFT(P2823,5)&lt;&gt;"1-Way",
        LEFT(P2823,5)&lt;&gt;"2-Way",
        LEFT(P2823,5)&lt;&gt;"3-Way",
        P2823&lt;&gt;"Inner Centre Jamb"
      )
    ),
    IF(OR(Enginuity!$A$1="Frameless Glass",Enginuity!$A$1="Metal Work"),
      AND(TRIM(B2823)=TRIM(Enginuity!$A$17),TRIM(C2823)=TRIM(Enginuity!$A$18)),
      TRIM(B2823)=TRIM(Enginuity!$A$17)
    )
  ),
  ROW(),
  ""
)</f>
        <v/>
      </c>
    </row>
    <row r="2824" spans="21:21" x14ac:dyDescent="0.25">
      <c r="U2824" s="104" t="str">
        <f>IF(
  AND(
    TRIM(A2824)=TRIM(Enginuity!$A$1),
    TRIM(B2824)=TRIM(Enginuity!$A$17),
    Q2824&lt;&gt;"",
    Q2824&lt;&gt;0,
    OR(
      TRIM(C2824)=TRIM(Enginuity!$A$18),
      AND(UPPER(TRIM(M2824))="STD", TRIM(B2824)=TRIM(Enginuity!$A$17))
    ),
    OR(
      AND(LEFT(P2824,5)="1-Way", Enginuity!$B$13=1),
      AND(LEFT(P2824,5)="2-Way", OR(Enginuity!$B$13=2, Enginuity!$B$13=4)),
      AND(LEFT(P2824,5)="3-Way", OR(Enginuity!$B$13=3, Enginuity!$B$13=6)),
      AND(P2824="Inner Centre Jamb", OR(Enginuity!$B$13=4, Enginuity!$B$13=6)),
      AND(
        LEFT(P2824,5)&lt;&gt;"1-Way",
        LEFT(P2824,5)&lt;&gt;"2-Way",
        LEFT(P2824,5)&lt;&gt;"3-Way",
        P2824&lt;&gt;"Inner Centre Jamb"
      )
    ),
    IF(OR(Enginuity!$A$1="Frameless Glass",Enginuity!$A$1="Metal Work"),
      AND(TRIM(B2824)=TRIM(Enginuity!$A$17),TRIM(C2824)=TRIM(Enginuity!$A$18)),
      TRIM(B2824)=TRIM(Enginuity!$A$17)
    )
  ),
  ROW(),
  ""
)</f>
        <v/>
      </c>
    </row>
    <row r="2825" spans="21:21" x14ac:dyDescent="0.25">
      <c r="U2825" s="104" t="str">
        <f>IF(
  AND(
    TRIM(A2825)=TRIM(Enginuity!$A$1),
    TRIM(B2825)=TRIM(Enginuity!$A$17),
    Q2825&lt;&gt;"",
    Q2825&lt;&gt;0,
    OR(
      TRIM(C2825)=TRIM(Enginuity!$A$18),
      AND(UPPER(TRIM(M2825))="STD", TRIM(B2825)=TRIM(Enginuity!$A$17))
    ),
    OR(
      AND(LEFT(P2825,5)="1-Way", Enginuity!$B$13=1),
      AND(LEFT(P2825,5)="2-Way", OR(Enginuity!$B$13=2, Enginuity!$B$13=4)),
      AND(LEFT(P2825,5)="3-Way", OR(Enginuity!$B$13=3, Enginuity!$B$13=6)),
      AND(P2825="Inner Centre Jamb", OR(Enginuity!$B$13=4, Enginuity!$B$13=6)),
      AND(
        LEFT(P2825,5)&lt;&gt;"1-Way",
        LEFT(P2825,5)&lt;&gt;"2-Way",
        LEFT(P2825,5)&lt;&gt;"3-Way",
        P2825&lt;&gt;"Inner Centre Jamb"
      )
    ),
    IF(OR(Enginuity!$A$1="Frameless Glass",Enginuity!$A$1="Metal Work"),
      AND(TRIM(B2825)=TRIM(Enginuity!$A$17),TRIM(C2825)=TRIM(Enginuity!$A$18)),
      TRIM(B2825)=TRIM(Enginuity!$A$17)
    )
  ),
  ROW(),
  ""
)</f>
        <v/>
      </c>
    </row>
    <row r="2826" spans="21:21" x14ac:dyDescent="0.25">
      <c r="U2826" s="104" t="str">
        <f>IF(
  AND(
    TRIM(A2826)=TRIM(Enginuity!$A$1),
    TRIM(B2826)=TRIM(Enginuity!$A$17),
    Q2826&lt;&gt;"",
    Q2826&lt;&gt;0,
    OR(
      TRIM(C2826)=TRIM(Enginuity!$A$18),
      AND(UPPER(TRIM(M2826))="STD", TRIM(B2826)=TRIM(Enginuity!$A$17))
    ),
    OR(
      AND(LEFT(P2826,5)="1-Way", Enginuity!$B$13=1),
      AND(LEFT(P2826,5)="2-Way", OR(Enginuity!$B$13=2, Enginuity!$B$13=4)),
      AND(LEFT(P2826,5)="3-Way", OR(Enginuity!$B$13=3, Enginuity!$B$13=6)),
      AND(P2826="Inner Centre Jamb", OR(Enginuity!$B$13=4, Enginuity!$B$13=6)),
      AND(
        LEFT(P2826,5)&lt;&gt;"1-Way",
        LEFT(P2826,5)&lt;&gt;"2-Way",
        LEFT(P2826,5)&lt;&gt;"3-Way",
        P2826&lt;&gt;"Inner Centre Jamb"
      )
    ),
    IF(OR(Enginuity!$A$1="Frameless Glass",Enginuity!$A$1="Metal Work"),
      AND(TRIM(B2826)=TRIM(Enginuity!$A$17),TRIM(C2826)=TRIM(Enginuity!$A$18)),
      TRIM(B2826)=TRIM(Enginuity!$A$17)
    )
  ),
  ROW(),
  ""
)</f>
        <v/>
      </c>
    </row>
    <row r="2827" spans="21:21" x14ac:dyDescent="0.25">
      <c r="U2827" s="104" t="str">
        <f>IF(
  AND(
    TRIM(A2827)=TRIM(Enginuity!$A$1),
    TRIM(B2827)=TRIM(Enginuity!$A$17),
    Q2827&lt;&gt;"",
    Q2827&lt;&gt;0,
    OR(
      TRIM(C2827)=TRIM(Enginuity!$A$18),
      AND(UPPER(TRIM(M2827))="STD", TRIM(B2827)=TRIM(Enginuity!$A$17))
    ),
    OR(
      AND(LEFT(P2827,5)="1-Way", Enginuity!$B$13=1),
      AND(LEFT(P2827,5)="2-Way", OR(Enginuity!$B$13=2, Enginuity!$B$13=4)),
      AND(LEFT(P2827,5)="3-Way", OR(Enginuity!$B$13=3, Enginuity!$B$13=6)),
      AND(P2827="Inner Centre Jamb", OR(Enginuity!$B$13=4, Enginuity!$B$13=6)),
      AND(
        LEFT(P2827,5)&lt;&gt;"1-Way",
        LEFT(P2827,5)&lt;&gt;"2-Way",
        LEFT(P2827,5)&lt;&gt;"3-Way",
        P2827&lt;&gt;"Inner Centre Jamb"
      )
    ),
    IF(OR(Enginuity!$A$1="Frameless Glass",Enginuity!$A$1="Metal Work"),
      AND(TRIM(B2827)=TRIM(Enginuity!$A$17),TRIM(C2827)=TRIM(Enginuity!$A$18)),
      TRIM(B2827)=TRIM(Enginuity!$A$17)
    )
  ),
  ROW(),
  ""
)</f>
        <v/>
      </c>
    </row>
    <row r="2828" spans="21:21" x14ac:dyDescent="0.25">
      <c r="U2828" s="104" t="str">
        <f>IF(
  AND(
    TRIM(A2828)=TRIM(Enginuity!$A$1),
    TRIM(B2828)=TRIM(Enginuity!$A$17),
    Q2828&lt;&gt;"",
    Q2828&lt;&gt;0,
    OR(
      TRIM(C2828)=TRIM(Enginuity!$A$18),
      AND(UPPER(TRIM(M2828))="STD", TRIM(B2828)=TRIM(Enginuity!$A$17))
    ),
    OR(
      AND(LEFT(P2828,5)="1-Way", Enginuity!$B$13=1),
      AND(LEFT(P2828,5)="2-Way", OR(Enginuity!$B$13=2, Enginuity!$B$13=4)),
      AND(LEFT(P2828,5)="3-Way", OR(Enginuity!$B$13=3, Enginuity!$B$13=6)),
      AND(P2828="Inner Centre Jamb", OR(Enginuity!$B$13=4, Enginuity!$B$13=6)),
      AND(
        LEFT(P2828,5)&lt;&gt;"1-Way",
        LEFT(P2828,5)&lt;&gt;"2-Way",
        LEFT(P2828,5)&lt;&gt;"3-Way",
        P2828&lt;&gt;"Inner Centre Jamb"
      )
    ),
    IF(OR(Enginuity!$A$1="Frameless Glass",Enginuity!$A$1="Metal Work"),
      AND(TRIM(B2828)=TRIM(Enginuity!$A$17),TRIM(C2828)=TRIM(Enginuity!$A$18)),
      TRIM(B2828)=TRIM(Enginuity!$A$17)
    )
  ),
  ROW(),
  ""
)</f>
        <v/>
      </c>
    </row>
    <row r="2829" spans="21:21" x14ac:dyDescent="0.25">
      <c r="U2829" s="104" t="str">
        <f>IF(
  AND(
    TRIM(A2829)=TRIM(Enginuity!$A$1),
    TRIM(B2829)=TRIM(Enginuity!$A$17),
    Q2829&lt;&gt;"",
    Q2829&lt;&gt;0,
    OR(
      TRIM(C2829)=TRIM(Enginuity!$A$18),
      AND(UPPER(TRIM(M2829))="STD", TRIM(B2829)=TRIM(Enginuity!$A$17))
    ),
    OR(
      AND(LEFT(P2829,5)="1-Way", Enginuity!$B$13=1),
      AND(LEFT(P2829,5)="2-Way", OR(Enginuity!$B$13=2, Enginuity!$B$13=4)),
      AND(LEFT(P2829,5)="3-Way", OR(Enginuity!$B$13=3, Enginuity!$B$13=6)),
      AND(P2829="Inner Centre Jamb", OR(Enginuity!$B$13=4, Enginuity!$B$13=6)),
      AND(
        LEFT(P2829,5)&lt;&gt;"1-Way",
        LEFT(P2829,5)&lt;&gt;"2-Way",
        LEFT(P2829,5)&lt;&gt;"3-Way",
        P2829&lt;&gt;"Inner Centre Jamb"
      )
    ),
    IF(OR(Enginuity!$A$1="Frameless Glass",Enginuity!$A$1="Metal Work"),
      AND(TRIM(B2829)=TRIM(Enginuity!$A$17),TRIM(C2829)=TRIM(Enginuity!$A$18)),
      TRIM(B2829)=TRIM(Enginuity!$A$17)
    )
  ),
  ROW(),
  ""
)</f>
        <v/>
      </c>
    </row>
    <row r="2830" spans="21:21" x14ac:dyDescent="0.25">
      <c r="U2830" s="104" t="str">
        <f>IF(
  AND(
    TRIM(A2830)=TRIM(Enginuity!$A$1),
    TRIM(B2830)=TRIM(Enginuity!$A$17),
    Q2830&lt;&gt;"",
    Q2830&lt;&gt;0,
    OR(
      TRIM(C2830)=TRIM(Enginuity!$A$18),
      AND(UPPER(TRIM(M2830))="STD", TRIM(B2830)=TRIM(Enginuity!$A$17))
    ),
    OR(
      AND(LEFT(P2830,5)="1-Way", Enginuity!$B$13=1),
      AND(LEFT(P2830,5)="2-Way", OR(Enginuity!$B$13=2, Enginuity!$B$13=4)),
      AND(LEFT(P2830,5)="3-Way", OR(Enginuity!$B$13=3, Enginuity!$B$13=6)),
      AND(P2830="Inner Centre Jamb", OR(Enginuity!$B$13=4, Enginuity!$B$13=6)),
      AND(
        LEFT(P2830,5)&lt;&gt;"1-Way",
        LEFT(P2830,5)&lt;&gt;"2-Way",
        LEFT(P2830,5)&lt;&gt;"3-Way",
        P2830&lt;&gt;"Inner Centre Jamb"
      )
    ),
    IF(OR(Enginuity!$A$1="Frameless Glass",Enginuity!$A$1="Metal Work"),
      AND(TRIM(B2830)=TRIM(Enginuity!$A$17),TRIM(C2830)=TRIM(Enginuity!$A$18)),
      TRIM(B2830)=TRIM(Enginuity!$A$17)
    )
  ),
  ROW(),
  ""
)</f>
        <v/>
      </c>
    </row>
    <row r="2831" spans="21:21" x14ac:dyDescent="0.25">
      <c r="U2831" s="104" t="str">
        <f>IF(
  AND(
    TRIM(A2831)=TRIM(Enginuity!$A$1),
    TRIM(B2831)=TRIM(Enginuity!$A$17),
    Q2831&lt;&gt;"",
    Q2831&lt;&gt;0,
    OR(
      TRIM(C2831)=TRIM(Enginuity!$A$18),
      AND(UPPER(TRIM(M2831))="STD", TRIM(B2831)=TRIM(Enginuity!$A$17))
    ),
    OR(
      AND(LEFT(P2831,5)="1-Way", Enginuity!$B$13=1),
      AND(LEFT(P2831,5)="2-Way", OR(Enginuity!$B$13=2, Enginuity!$B$13=4)),
      AND(LEFT(P2831,5)="3-Way", OR(Enginuity!$B$13=3, Enginuity!$B$13=6)),
      AND(P2831="Inner Centre Jamb", OR(Enginuity!$B$13=4, Enginuity!$B$13=6)),
      AND(
        LEFT(P2831,5)&lt;&gt;"1-Way",
        LEFT(P2831,5)&lt;&gt;"2-Way",
        LEFT(P2831,5)&lt;&gt;"3-Way",
        P2831&lt;&gt;"Inner Centre Jamb"
      )
    ),
    IF(OR(Enginuity!$A$1="Frameless Glass",Enginuity!$A$1="Metal Work"),
      AND(TRIM(B2831)=TRIM(Enginuity!$A$17),TRIM(C2831)=TRIM(Enginuity!$A$18)),
      TRIM(B2831)=TRIM(Enginuity!$A$17)
    )
  ),
  ROW(),
  ""
)</f>
        <v/>
      </c>
    </row>
    <row r="2832" spans="21:21" x14ac:dyDescent="0.25">
      <c r="U2832" s="104" t="str">
        <f>IF(
  AND(
    TRIM(A2832)=TRIM(Enginuity!$A$1),
    TRIM(B2832)=TRIM(Enginuity!$A$17),
    Q2832&lt;&gt;"",
    Q2832&lt;&gt;0,
    OR(
      TRIM(C2832)=TRIM(Enginuity!$A$18),
      AND(UPPER(TRIM(M2832))="STD", TRIM(B2832)=TRIM(Enginuity!$A$17))
    ),
    OR(
      AND(LEFT(P2832,5)="1-Way", Enginuity!$B$13=1),
      AND(LEFT(P2832,5)="2-Way", OR(Enginuity!$B$13=2, Enginuity!$B$13=4)),
      AND(LEFT(P2832,5)="3-Way", OR(Enginuity!$B$13=3, Enginuity!$B$13=6)),
      AND(P2832="Inner Centre Jamb", OR(Enginuity!$B$13=4, Enginuity!$B$13=6)),
      AND(
        LEFT(P2832,5)&lt;&gt;"1-Way",
        LEFT(P2832,5)&lt;&gt;"2-Way",
        LEFT(P2832,5)&lt;&gt;"3-Way",
        P2832&lt;&gt;"Inner Centre Jamb"
      )
    ),
    IF(OR(Enginuity!$A$1="Frameless Glass",Enginuity!$A$1="Metal Work"),
      AND(TRIM(B2832)=TRIM(Enginuity!$A$17),TRIM(C2832)=TRIM(Enginuity!$A$18)),
      TRIM(B2832)=TRIM(Enginuity!$A$17)
    )
  ),
  ROW(),
  ""
)</f>
        <v/>
      </c>
    </row>
    <row r="2833" spans="21:21" x14ac:dyDescent="0.25">
      <c r="U2833" s="104" t="str">
        <f>IF(
  AND(
    TRIM(A2833)=TRIM(Enginuity!$A$1),
    TRIM(B2833)=TRIM(Enginuity!$A$17),
    Q2833&lt;&gt;"",
    Q2833&lt;&gt;0,
    OR(
      TRIM(C2833)=TRIM(Enginuity!$A$18),
      AND(UPPER(TRIM(M2833))="STD", TRIM(B2833)=TRIM(Enginuity!$A$17))
    ),
    OR(
      AND(LEFT(P2833,5)="1-Way", Enginuity!$B$13=1),
      AND(LEFT(P2833,5)="2-Way", OR(Enginuity!$B$13=2, Enginuity!$B$13=4)),
      AND(LEFT(P2833,5)="3-Way", OR(Enginuity!$B$13=3, Enginuity!$B$13=6)),
      AND(P2833="Inner Centre Jamb", OR(Enginuity!$B$13=4, Enginuity!$B$13=6)),
      AND(
        LEFT(P2833,5)&lt;&gt;"1-Way",
        LEFT(P2833,5)&lt;&gt;"2-Way",
        LEFT(P2833,5)&lt;&gt;"3-Way",
        P2833&lt;&gt;"Inner Centre Jamb"
      )
    ),
    IF(OR(Enginuity!$A$1="Frameless Glass",Enginuity!$A$1="Metal Work"),
      AND(TRIM(B2833)=TRIM(Enginuity!$A$17),TRIM(C2833)=TRIM(Enginuity!$A$18)),
      TRIM(B2833)=TRIM(Enginuity!$A$17)
    )
  ),
  ROW(),
  ""
)</f>
        <v/>
      </c>
    </row>
    <row r="2834" spans="21:21" x14ac:dyDescent="0.25">
      <c r="U2834" s="104" t="str">
        <f>IF(
  AND(
    TRIM(A2834)=TRIM(Enginuity!$A$1),
    TRIM(B2834)=TRIM(Enginuity!$A$17),
    Q2834&lt;&gt;"",
    Q2834&lt;&gt;0,
    OR(
      TRIM(C2834)=TRIM(Enginuity!$A$18),
      AND(UPPER(TRIM(M2834))="STD", TRIM(B2834)=TRIM(Enginuity!$A$17))
    ),
    OR(
      AND(LEFT(P2834,5)="1-Way", Enginuity!$B$13=1),
      AND(LEFT(P2834,5)="2-Way", OR(Enginuity!$B$13=2, Enginuity!$B$13=4)),
      AND(LEFT(P2834,5)="3-Way", OR(Enginuity!$B$13=3, Enginuity!$B$13=6)),
      AND(P2834="Inner Centre Jamb", OR(Enginuity!$B$13=4, Enginuity!$B$13=6)),
      AND(
        LEFT(P2834,5)&lt;&gt;"1-Way",
        LEFT(P2834,5)&lt;&gt;"2-Way",
        LEFT(P2834,5)&lt;&gt;"3-Way",
        P2834&lt;&gt;"Inner Centre Jamb"
      )
    ),
    IF(OR(Enginuity!$A$1="Frameless Glass",Enginuity!$A$1="Metal Work"),
      AND(TRIM(B2834)=TRIM(Enginuity!$A$17),TRIM(C2834)=TRIM(Enginuity!$A$18)),
      TRIM(B2834)=TRIM(Enginuity!$A$17)
    )
  ),
  ROW(),
  ""
)</f>
        <v/>
      </c>
    </row>
    <row r="2835" spans="21:21" x14ac:dyDescent="0.25">
      <c r="U2835" s="104" t="str">
        <f>IF(
  AND(
    TRIM(A2835)=TRIM(Enginuity!$A$1),
    TRIM(B2835)=TRIM(Enginuity!$A$17),
    Q2835&lt;&gt;"",
    Q2835&lt;&gt;0,
    OR(
      TRIM(C2835)=TRIM(Enginuity!$A$18),
      AND(UPPER(TRIM(M2835))="STD", TRIM(B2835)=TRIM(Enginuity!$A$17))
    ),
    OR(
      AND(LEFT(P2835,5)="1-Way", Enginuity!$B$13=1),
      AND(LEFT(P2835,5)="2-Way", OR(Enginuity!$B$13=2, Enginuity!$B$13=4)),
      AND(LEFT(P2835,5)="3-Way", OR(Enginuity!$B$13=3, Enginuity!$B$13=6)),
      AND(P2835="Inner Centre Jamb", OR(Enginuity!$B$13=4, Enginuity!$B$13=6)),
      AND(
        LEFT(P2835,5)&lt;&gt;"1-Way",
        LEFT(P2835,5)&lt;&gt;"2-Way",
        LEFT(P2835,5)&lt;&gt;"3-Way",
        P2835&lt;&gt;"Inner Centre Jamb"
      )
    ),
    IF(OR(Enginuity!$A$1="Frameless Glass",Enginuity!$A$1="Metal Work"),
      AND(TRIM(B2835)=TRIM(Enginuity!$A$17),TRIM(C2835)=TRIM(Enginuity!$A$18)),
      TRIM(B2835)=TRIM(Enginuity!$A$17)
    )
  ),
  ROW(),
  ""
)</f>
        <v/>
      </c>
    </row>
    <row r="2836" spans="21:21" x14ac:dyDescent="0.25">
      <c r="U2836" s="104" t="str">
        <f>IF(
  AND(
    TRIM(A2836)=TRIM(Enginuity!$A$1),
    TRIM(B2836)=TRIM(Enginuity!$A$17),
    Q2836&lt;&gt;"",
    Q2836&lt;&gt;0,
    OR(
      TRIM(C2836)=TRIM(Enginuity!$A$18),
      AND(UPPER(TRIM(M2836))="STD", TRIM(B2836)=TRIM(Enginuity!$A$17))
    ),
    OR(
      AND(LEFT(P2836,5)="1-Way", Enginuity!$B$13=1),
      AND(LEFT(P2836,5)="2-Way", OR(Enginuity!$B$13=2, Enginuity!$B$13=4)),
      AND(LEFT(P2836,5)="3-Way", OR(Enginuity!$B$13=3, Enginuity!$B$13=6)),
      AND(P2836="Inner Centre Jamb", OR(Enginuity!$B$13=4, Enginuity!$B$13=6)),
      AND(
        LEFT(P2836,5)&lt;&gt;"1-Way",
        LEFT(P2836,5)&lt;&gt;"2-Way",
        LEFT(P2836,5)&lt;&gt;"3-Way",
        P2836&lt;&gt;"Inner Centre Jamb"
      )
    ),
    IF(OR(Enginuity!$A$1="Frameless Glass",Enginuity!$A$1="Metal Work"),
      AND(TRIM(B2836)=TRIM(Enginuity!$A$17),TRIM(C2836)=TRIM(Enginuity!$A$18)),
      TRIM(B2836)=TRIM(Enginuity!$A$17)
    )
  ),
  ROW(),
  ""
)</f>
        <v/>
      </c>
    </row>
    <row r="2837" spans="21:21" x14ac:dyDescent="0.25">
      <c r="U2837" s="104" t="str">
        <f>IF(
  AND(
    TRIM(A2837)=TRIM(Enginuity!$A$1),
    TRIM(B2837)=TRIM(Enginuity!$A$17),
    Q2837&lt;&gt;"",
    Q2837&lt;&gt;0,
    OR(
      TRIM(C2837)=TRIM(Enginuity!$A$18),
      AND(UPPER(TRIM(M2837))="STD", TRIM(B2837)=TRIM(Enginuity!$A$17))
    ),
    OR(
      AND(LEFT(P2837,5)="1-Way", Enginuity!$B$13=1),
      AND(LEFT(P2837,5)="2-Way", OR(Enginuity!$B$13=2, Enginuity!$B$13=4)),
      AND(LEFT(P2837,5)="3-Way", OR(Enginuity!$B$13=3, Enginuity!$B$13=6)),
      AND(P2837="Inner Centre Jamb", OR(Enginuity!$B$13=4, Enginuity!$B$13=6)),
      AND(
        LEFT(P2837,5)&lt;&gt;"1-Way",
        LEFT(P2837,5)&lt;&gt;"2-Way",
        LEFT(P2837,5)&lt;&gt;"3-Way",
        P2837&lt;&gt;"Inner Centre Jamb"
      )
    ),
    IF(OR(Enginuity!$A$1="Frameless Glass",Enginuity!$A$1="Metal Work"),
      AND(TRIM(B2837)=TRIM(Enginuity!$A$17),TRIM(C2837)=TRIM(Enginuity!$A$18)),
      TRIM(B2837)=TRIM(Enginuity!$A$17)
    )
  ),
  ROW(),
  ""
)</f>
        <v/>
      </c>
    </row>
    <row r="2838" spans="21:21" x14ac:dyDescent="0.25">
      <c r="U2838" s="104" t="str">
        <f>IF(
  AND(
    TRIM(A2838)=TRIM(Enginuity!$A$1),
    TRIM(B2838)=TRIM(Enginuity!$A$17),
    Q2838&lt;&gt;"",
    Q2838&lt;&gt;0,
    OR(
      TRIM(C2838)=TRIM(Enginuity!$A$18),
      AND(UPPER(TRIM(M2838))="STD", TRIM(B2838)=TRIM(Enginuity!$A$17))
    ),
    OR(
      AND(LEFT(P2838,5)="1-Way", Enginuity!$B$13=1),
      AND(LEFT(P2838,5)="2-Way", OR(Enginuity!$B$13=2, Enginuity!$B$13=4)),
      AND(LEFT(P2838,5)="3-Way", OR(Enginuity!$B$13=3, Enginuity!$B$13=6)),
      AND(P2838="Inner Centre Jamb", OR(Enginuity!$B$13=4, Enginuity!$B$13=6)),
      AND(
        LEFT(P2838,5)&lt;&gt;"1-Way",
        LEFT(P2838,5)&lt;&gt;"2-Way",
        LEFT(P2838,5)&lt;&gt;"3-Way",
        P2838&lt;&gt;"Inner Centre Jamb"
      )
    ),
    IF(OR(Enginuity!$A$1="Frameless Glass",Enginuity!$A$1="Metal Work"),
      AND(TRIM(B2838)=TRIM(Enginuity!$A$17),TRIM(C2838)=TRIM(Enginuity!$A$18)),
      TRIM(B2838)=TRIM(Enginuity!$A$17)
    )
  ),
  ROW(),
  ""
)</f>
        <v/>
      </c>
    </row>
    <row r="2839" spans="21:21" x14ac:dyDescent="0.25">
      <c r="U2839" s="104" t="str">
        <f>IF(
  AND(
    TRIM(A2839)=TRIM(Enginuity!$A$1),
    TRIM(B2839)=TRIM(Enginuity!$A$17),
    Q2839&lt;&gt;"",
    Q2839&lt;&gt;0,
    OR(
      TRIM(C2839)=TRIM(Enginuity!$A$18),
      AND(UPPER(TRIM(M2839))="STD", TRIM(B2839)=TRIM(Enginuity!$A$17))
    ),
    OR(
      AND(LEFT(P2839,5)="1-Way", Enginuity!$B$13=1),
      AND(LEFT(P2839,5)="2-Way", OR(Enginuity!$B$13=2, Enginuity!$B$13=4)),
      AND(LEFT(P2839,5)="3-Way", OR(Enginuity!$B$13=3, Enginuity!$B$13=6)),
      AND(P2839="Inner Centre Jamb", OR(Enginuity!$B$13=4, Enginuity!$B$13=6)),
      AND(
        LEFT(P2839,5)&lt;&gt;"1-Way",
        LEFT(P2839,5)&lt;&gt;"2-Way",
        LEFT(P2839,5)&lt;&gt;"3-Way",
        P2839&lt;&gt;"Inner Centre Jamb"
      )
    ),
    IF(OR(Enginuity!$A$1="Frameless Glass",Enginuity!$A$1="Metal Work"),
      AND(TRIM(B2839)=TRIM(Enginuity!$A$17),TRIM(C2839)=TRIM(Enginuity!$A$18)),
      TRIM(B2839)=TRIM(Enginuity!$A$17)
    )
  ),
  ROW(),
  ""
)</f>
        <v/>
      </c>
    </row>
    <row r="2840" spans="21:21" x14ac:dyDescent="0.25">
      <c r="U2840" s="104" t="str">
        <f>IF(
  AND(
    TRIM(A2840)=TRIM(Enginuity!$A$1),
    TRIM(B2840)=TRIM(Enginuity!$A$17),
    Q2840&lt;&gt;"",
    Q2840&lt;&gt;0,
    OR(
      TRIM(C2840)=TRIM(Enginuity!$A$18),
      AND(UPPER(TRIM(M2840))="STD", TRIM(B2840)=TRIM(Enginuity!$A$17))
    ),
    OR(
      AND(LEFT(P2840,5)="1-Way", Enginuity!$B$13=1),
      AND(LEFT(P2840,5)="2-Way", OR(Enginuity!$B$13=2, Enginuity!$B$13=4)),
      AND(LEFT(P2840,5)="3-Way", OR(Enginuity!$B$13=3, Enginuity!$B$13=6)),
      AND(P2840="Inner Centre Jamb", OR(Enginuity!$B$13=4, Enginuity!$B$13=6)),
      AND(
        LEFT(P2840,5)&lt;&gt;"1-Way",
        LEFT(P2840,5)&lt;&gt;"2-Way",
        LEFT(P2840,5)&lt;&gt;"3-Way",
        P2840&lt;&gt;"Inner Centre Jamb"
      )
    ),
    IF(OR(Enginuity!$A$1="Frameless Glass",Enginuity!$A$1="Metal Work"),
      AND(TRIM(B2840)=TRIM(Enginuity!$A$17),TRIM(C2840)=TRIM(Enginuity!$A$18)),
      TRIM(B2840)=TRIM(Enginuity!$A$17)
    )
  ),
  ROW(),
  ""
)</f>
        <v/>
      </c>
    </row>
    <row r="2841" spans="21:21" x14ac:dyDescent="0.25">
      <c r="U2841" s="104" t="str">
        <f>IF(
  AND(
    TRIM(A2841)=TRIM(Enginuity!$A$1),
    TRIM(B2841)=TRIM(Enginuity!$A$17),
    Q2841&lt;&gt;"",
    Q2841&lt;&gt;0,
    OR(
      TRIM(C2841)=TRIM(Enginuity!$A$18),
      AND(UPPER(TRIM(M2841))="STD", TRIM(B2841)=TRIM(Enginuity!$A$17))
    ),
    OR(
      AND(LEFT(P2841,5)="1-Way", Enginuity!$B$13=1),
      AND(LEFT(P2841,5)="2-Way", OR(Enginuity!$B$13=2, Enginuity!$B$13=4)),
      AND(LEFT(P2841,5)="3-Way", OR(Enginuity!$B$13=3, Enginuity!$B$13=6)),
      AND(P2841="Inner Centre Jamb", OR(Enginuity!$B$13=4, Enginuity!$B$13=6)),
      AND(
        LEFT(P2841,5)&lt;&gt;"1-Way",
        LEFT(P2841,5)&lt;&gt;"2-Way",
        LEFT(P2841,5)&lt;&gt;"3-Way",
        P2841&lt;&gt;"Inner Centre Jamb"
      )
    ),
    IF(OR(Enginuity!$A$1="Frameless Glass",Enginuity!$A$1="Metal Work"),
      AND(TRIM(B2841)=TRIM(Enginuity!$A$17),TRIM(C2841)=TRIM(Enginuity!$A$18)),
      TRIM(B2841)=TRIM(Enginuity!$A$17)
    )
  ),
  ROW(),
  ""
)</f>
        <v/>
      </c>
    </row>
    <row r="2842" spans="21:21" x14ac:dyDescent="0.25">
      <c r="U2842" s="104" t="str">
        <f>IF(
  AND(
    TRIM(A2842)=TRIM(Enginuity!$A$1),
    TRIM(B2842)=TRIM(Enginuity!$A$17),
    Q2842&lt;&gt;"",
    Q2842&lt;&gt;0,
    OR(
      TRIM(C2842)=TRIM(Enginuity!$A$18),
      AND(UPPER(TRIM(M2842))="STD", TRIM(B2842)=TRIM(Enginuity!$A$17))
    ),
    OR(
      AND(LEFT(P2842,5)="1-Way", Enginuity!$B$13=1),
      AND(LEFT(P2842,5)="2-Way", OR(Enginuity!$B$13=2, Enginuity!$B$13=4)),
      AND(LEFT(P2842,5)="3-Way", OR(Enginuity!$B$13=3, Enginuity!$B$13=6)),
      AND(P2842="Inner Centre Jamb", OR(Enginuity!$B$13=4, Enginuity!$B$13=6)),
      AND(
        LEFT(P2842,5)&lt;&gt;"1-Way",
        LEFT(P2842,5)&lt;&gt;"2-Way",
        LEFT(P2842,5)&lt;&gt;"3-Way",
        P2842&lt;&gt;"Inner Centre Jamb"
      )
    ),
    IF(OR(Enginuity!$A$1="Frameless Glass",Enginuity!$A$1="Metal Work"),
      AND(TRIM(B2842)=TRIM(Enginuity!$A$17),TRIM(C2842)=TRIM(Enginuity!$A$18)),
      TRIM(B2842)=TRIM(Enginuity!$A$17)
    )
  ),
  ROW(),
  ""
)</f>
        <v/>
      </c>
    </row>
    <row r="2843" spans="21:21" x14ac:dyDescent="0.25">
      <c r="U2843" s="104" t="str">
        <f>IF(
  AND(
    TRIM(A2843)=TRIM(Enginuity!$A$1),
    TRIM(B2843)=TRIM(Enginuity!$A$17),
    Q2843&lt;&gt;"",
    Q2843&lt;&gt;0,
    OR(
      TRIM(C2843)=TRIM(Enginuity!$A$18),
      AND(UPPER(TRIM(M2843))="STD", TRIM(B2843)=TRIM(Enginuity!$A$17))
    ),
    OR(
      AND(LEFT(P2843,5)="1-Way", Enginuity!$B$13=1),
      AND(LEFT(P2843,5)="2-Way", OR(Enginuity!$B$13=2, Enginuity!$B$13=4)),
      AND(LEFT(P2843,5)="3-Way", OR(Enginuity!$B$13=3, Enginuity!$B$13=6)),
      AND(P2843="Inner Centre Jamb", OR(Enginuity!$B$13=4, Enginuity!$B$13=6)),
      AND(
        LEFT(P2843,5)&lt;&gt;"1-Way",
        LEFT(P2843,5)&lt;&gt;"2-Way",
        LEFT(P2843,5)&lt;&gt;"3-Way",
        P2843&lt;&gt;"Inner Centre Jamb"
      )
    ),
    IF(OR(Enginuity!$A$1="Frameless Glass",Enginuity!$A$1="Metal Work"),
      AND(TRIM(B2843)=TRIM(Enginuity!$A$17),TRIM(C2843)=TRIM(Enginuity!$A$18)),
      TRIM(B2843)=TRIM(Enginuity!$A$17)
    )
  ),
  ROW(),
  ""
)</f>
        <v/>
      </c>
    </row>
    <row r="2844" spans="21:21" x14ac:dyDescent="0.25">
      <c r="U2844" s="104" t="str">
        <f>IF(
  AND(
    TRIM(A2844)=TRIM(Enginuity!$A$1),
    TRIM(B2844)=TRIM(Enginuity!$A$17),
    Q2844&lt;&gt;"",
    Q2844&lt;&gt;0,
    OR(
      TRIM(C2844)=TRIM(Enginuity!$A$18),
      AND(UPPER(TRIM(M2844))="STD", TRIM(B2844)=TRIM(Enginuity!$A$17))
    ),
    OR(
      AND(LEFT(P2844,5)="1-Way", Enginuity!$B$13=1),
      AND(LEFT(P2844,5)="2-Way", OR(Enginuity!$B$13=2, Enginuity!$B$13=4)),
      AND(LEFT(P2844,5)="3-Way", OR(Enginuity!$B$13=3, Enginuity!$B$13=6)),
      AND(P2844="Inner Centre Jamb", OR(Enginuity!$B$13=4, Enginuity!$B$13=6)),
      AND(
        LEFT(P2844,5)&lt;&gt;"1-Way",
        LEFT(P2844,5)&lt;&gt;"2-Way",
        LEFT(P2844,5)&lt;&gt;"3-Way",
        P2844&lt;&gt;"Inner Centre Jamb"
      )
    ),
    IF(OR(Enginuity!$A$1="Frameless Glass",Enginuity!$A$1="Metal Work"),
      AND(TRIM(B2844)=TRIM(Enginuity!$A$17),TRIM(C2844)=TRIM(Enginuity!$A$18)),
      TRIM(B2844)=TRIM(Enginuity!$A$17)
    )
  ),
  ROW(),
  ""
)</f>
        <v/>
      </c>
    </row>
    <row r="2845" spans="21:21" x14ac:dyDescent="0.25">
      <c r="U2845" s="104" t="str">
        <f>IF(
  AND(
    TRIM(A2845)=TRIM(Enginuity!$A$1),
    TRIM(B2845)=TRIM(Enginuity!$A$17),
    Q2845&lt;&gt;"",
    Q2845&lt;&gt;0,
    OR(
      TRIM(C2845)=TRIM(Enginuity!$A$18),
      AND(UPPER(TRIM(M2845))="STD", TRIM(B2845)=TRIM(Enginuity!$A$17))
    ),
    OR(
      AND(LEFT(P2845,5)="1-Way", Enginuity!$B$13=1),
      AND(LEFT(P2845,5)="2-Way", OR(Enginuity!$B$13=2, Enginuity!$B$13=4)),
      AND(LEFT(P2845,5)="3-Way", OR(Enginuity!$B$13=3, Enginuity!$B$13=6)),
      AND(P2845="Inner Centre Jamb", OR(Enginuity!$B$13=4, Enginuity!$B$13=6)),
      AND(
        LEFT(P2845,5)&lt;&gt;"1-Way",
        LEFT(P2845,5)&lt;&gt;"2-Way",
        LEFT(P2845,5)&lt;&gt;"3-Way",
        P2845&lt;&gt;"Inner Centre Jamb"
      )
    ),
    IF(OR(Enginuity!$A$1="Frameless Glass",Enginuity!$A$1="Metal Work"),
      AND(TRIM(B2845)=TRIM(Enginuity!$A$17),TRIM(C2845)=TRIM(Enginuity!$A$18)),
      TRIM(B2845)=TRIM(Enginuity!$A$17)
    )
  ),
  ROW(),
  ""
)</f>
        <v/>
      </c>
    </row>
    <row r="2846" spans="21:21" x14ac:dyDescent="0.25">
      <c r="U2846" s="104" t="str">
        <f>IF(
  AND(
    TRIM(A2846)=TRIM(Enginuity!$A$1),
    TRIM(B2846)=TRIM(Enginuity!$A$17),
    Q2846&lt;&gt;"",
    Q2846&lt;&gt;0,
    OR(
      TRIM(C2846)=TRIM(Enginuity!$A$18),
      AND(UPPER(TRIM(M2846))="STD", TRIM(B2846)=TRIM(Enginuity!$A$17))
    ),
    OR(
      AND(LEFT(P2846,5)="1-Way", Enginuity!$B$13=1),
      AND(LEFT(P2846,5)="2-Way", OR(Enginuity!$B$13=2, Enginuity!$B$13=4)),
      AND(LEFT(P2846,5)="3-Way", OR(Enginuity!$B$13=3, Enginuity!$B$13=6)),
      AND(P2846="Inner Centre Jamb", OR(Enginuity!$B$13=4, Enginuity!$B$13=6)),
      AND(
        LEFT(P2846,5)&lt;&gt;"1-Way",
        LEFT(P2846,5)&lt;&gt;"2-Way",
        LEFT(P2846,5)&lt;&gt;"3-Way",
        P2846&lt;&gt;"Inner Centre Jamb"
      )
    ),
    IF(OR(Enginuity!$A$1="Frameless Glass",Enginuity!$A$1="Metal Work"),
      AND(TRIM(B2846)=TRIM(Enginuity!$A$17),TRIM(C2846)=TRIM(Enginuity!$A$18)),
      TRIM(B2846)=TRIM(Enginuity!$A$17)
    )
  ),
  ROW(),
  ""
)</f>
        <v/>
      </c>
    </row>
    <row r="2847" spans="21:21" x14ac:dyDescent="0.25">
      <c r="U2847" s="104" t="str">
        <f>IF(
  AND(
    TRIM(A2847)=TRIM(Enginuity!$A$1),
    TRIM(B2847)=TRIM(Enginuity!$A$17),
    Q2847&lt;&gt;"",
    Q2847&lt;&gt;0,
    OR(
      TRIM(C2847)=TRIM(Enginuity!$A$18),
      AND(UPPER(TRIM(M2847))="STD", TRIM(B2847)=TRIM(Enginuity!$A$17))
    ),
    OR(
      AND(LEFT(P2847,5)="1-Way", Enginuity!$B$13=1),
      AND(LEFT(P2847,5)="2-Way", OR(Enginuity!$B$13=2, Enginuity!$B$13=4)),
      AND(LEFT(P2847,5)="3-Way", OR(Enginuity!$B$13=3, Enginuity!$B$13=6)),
      AND(P2847="Inner Centre Jamb", OR(Enginuity!$B$13=4, Enginuity!$B$13=6)),
      AND(
        LEFT(P2847,5)&lt;&gt;"1-Way",
        LEFT(P2847,5)&lt;&gt;"2-Way",
        LEFT(P2847,5)&lt;&gt;"3-Way",
        P2847&lt;&gt;"Inner Centre Jamb"
      )
    ),
    IF(OR(Enginuity!$A$1="Frameless Glass",Enginuity!$A$1="Metal Work"),
      AND(TRIM(B2847)=TRIM(Enginuity!$A$17),TRIM(C2847)=TRIM(Enginuity!$A$18)),
      TRIM(B2847)=TRIM(Enginuity!$A$17)
    )
  ),
  ROW(),
  ""
)</f>
        <v/>
      </c>
    </row>
    <row r="2848" spans="21:21" x14ac:dyDescent="0.25">
      <c r="U2848" s="104" t="str">
        <f>IF(
  AND(
    TRIM(A2848)=TRIM(Enginuity!$A$1),
    TRIM(B2848)=TRIM(Enginuity!$A$17),
    Q2848&lt;&gt;"",
    Q2848&lt;&gt;0,
    OR(
      TRIM(C2848)=TRIM(Enginuity!$A$18),
      AND(UPPER(TRIM(M2848))="STD", TRIM(B2848)=TRIM(Enginuity!$A$17))
    ),
    OR(
      AND(LEFT(P2848,5)="1-Way", Enginuity!$B$13=1),
      AND(LEFT(P2848,5)="2-Way", OR(Enginuity!$B$13=2, Enginuity!$B$13=4)),
      AND(LEFT(P2848,5)="3-Way", OR(Enginuity!$B$13=3, Enginuity!$B$13=6)),
      AND(P2848="Inner Centre Jamb", OR(Enginuity!$B$13=4, Enginuity!$B$13=6)),
      AND(
        LEFT(P2848,5)&lt;&gt;"1-Way",
        LEFT(P2848,5)&lt;&gt;"2-Way",
        LEFT(P2848,5)&lt;&gt;"3-Way",
        P2848&lt;&gt;"Inner Centre Jamb"
      )
    ),
    IF(OR(Enginuity!$A$1="Frameless Glass",Enginuity!$A$1="Metal Work"),
      AND(TRIM(B2848)=TRIM(Enginuity!$A$17),TRIM(C2848)=TRIM(Enginuity!$A$18)),
      TRIM(B2848)=TRIM(Enginuity!$A$17)
    )
  ),
  ROW(),
  ""
)</f>
        <v/>
      </c>
    </row>
    <row r="2849" spans="21:21" x14ac:dyDescent="0.25">
      <c r="U2849" s="104" t="str">
        <f>IF(
  AND(
    TRIM(A2849)=TRIM(Enginuity!$A$1),
    TRIM(B2849)=TRIM(Enginuity!$A$17),
    Q2849&lt;&gt;"",
    Q2849&lt;&gt;0,
    OR(
      TRIM(C2849)=TRIM(Enginuity!$A$18),
      AND(UPPER(TRIM(M2849))="STD", TRIM(B2849)=TRIM(Enginuity!$A$17))
    ),
    OR(
      AND(LEFT(P2849,5)="1-Way", Enginuity!$B$13=1),
      AND(LEFT(P2849,5)="2-Way", OR(Enginuity!$B$13=2, Enginuity!$B$13=4)),
      AND(LEFT(P2849,5)="3-Way", OR(Enginuity!$B$13=3, Enginuity!$B$13=6)),
      AND(P2849="Inner Centre Jamb", OR(Enginuity!$B$13=4, Enginuity!$B$13=6)),
      AND(
        LEFT(P2849,5)&lt;&gt;"1-Way",
        LEFT(P2849,5)&lt;&gt;"2-Way",
        LEFT(P2849,5)&lt;&gt;"3-Way",
        P2849&lt;&gt;"Inner Centre Jamb"
      )
    ),
    IF(OR(Enginuity!$A$1="Frameless Glass",Enginuity!$A$1="Metal Work"),
      AND(TRIM(B2849)=TRIM(Enginuity!$A$17),TRIM(C2849)=TRIM(Enginuity!$A$18)),
      TRIM(B2849)=TRIM(Enginuity!$A$17)
    )
  ),
  ROW(),
  ""
)</f>
        <v/>
      </c>
    </row>
    <row r="2850" spans="21:21" x14ac:dyDescent="0.25">
      <c r="U2850" s="104" t="str">
        <f>IF(
  AND(
    TRIM(A2850)=TRIM(Enginuity!$A$1),
    TRIM(B2850)=TRIM(Enginuity!$A$17),
    Q2850&lt;&gt;"",
    Q2850&lt;&gt;0,
    OR(
      TRIM(C2850)=TRIM(Enginuity!$A$18),
      AND(UPPER(TRIM(M2850))="STD", TRIM(B2850)=TRIM(Enginuity!$A$17))
    ),
    OR(
      AND(LEFT(P2850,5)="1-Way", Enginuity!$B$13=1),
      AND(LEFT(P2850,5)="2-Way", OR(Enginuity!$B$13=2, Enginuity!$B$13=4)),
      AND(LEFT(P2850,5)="3-Way", OR(Enginuity!$B$13=3, Enginuity!$B$13=6)),
      AND(P2850="Inner Centre Jamb", OR(Enginuity!$B$13=4, Enginuity!$B$13=6)),
      AND(
        LEFT(P2850,5)&lt;&gt;"1-Way",
        LEFT(P2850,5)&lt;&gt;"2-Way",
        LEFT(P2850,5)&lt;&gt;"3-Way",
        P2850&lt;&gt;"Inner Centre Jamb"
      )
    ),
    IF(OR(Enginuity!$A$1="Frameless Glass",Enginuity!$A$1="Metal Work"),
      AND(TRIM(B2850)=TRIM(Enginuity!$A$17),TRIM(C2850)=TRIM(Enginuity!$A$18)),
      TRIM(B2850)=TRIM(Enginuity!$A$17)
    )
  ),
  ROW(),
  ""
)</f>
        <v/>
      </c>
    </row>
    <row r="2851" spans="21:21" x14ac:dyDescent="0.25">
      <c r="U2851" s="104" t="str">
        <f>IF(
  AND(
    TRIM(A2851)=TRIM(Enginuity!$A$1),
    TRIM(B2851)=TRIM(Enginuity!$A$17),
    Q2851&lt;&gt;"",
    Q2851&lt;&gt;0,
    OR(
      TRIM(C2851)=TRIM(Enginuity!$A$18),
      AND(UPPER(TRIM(M2851))="STD", TRIM(B2851)=TRIM(Enginuity!$A$17))
    ),
    OR(
      AND(LEFT(P2851,5)="1-Way", Enginuity!$B$13=1),
      AND(LEFT(P2851,5)="2-Way", OR(Enginuity!$B$13=2, Enginuity!$B$13=4)),
      AND(LEFT(P2851,5)="3-Way", OR(Enginuity!$B$13=3, Enginuity!$B$13=6)),
      AND(P2851="Inner Centre Jamb", OR(Enginuity!$B$13=4, Enginuity!$B$13=6)),
      AND(
        LEFT(P2851,5)&lt;&gt;"1-Way",
        LEFT(P2851,5)&lt;&gt;"2-Way",
        LEFT(P2851,5)&lt;&gt;"3-Way",
        P2851&lt;&gt;"Inner Centre Jamb"
      )
    ),
    IF(OR(Enginuity!$A$1="Frameless Glass",Enginuity!$A$1="Metal Work"),
      AND(TRIM(B2851)=TRIM(Enginuity!$A$17),TRIM(C2851)=TRIM(Enginuity!$A$18)),
      TRIM(B2851)=TRIM(Enginuity!$A$17)
    )
  ),
  ROW(),
  ""
)</f>
        <v/>
      </c>
    </row>
    <row r="2852" spans="21:21" x14ac:dyDescent="0.25">
      <c r="U2852" s="104" t="str">
        <f>IF(
  AND(
    TRIM(A2852)=TRIM(Enginuity!$A$1),
    TRIM(B2852)=TRIM(Enginuity!$A$17),
    Q2852&lt;&gt;"",
    Q2852&lt;&gt;0,
    OR(
      TRIM(C2852)=TRIM(Enginuity!$A$18),
      AND(UPPER(TRIM(M2852))="STD", TRIM(B2852)=TRIM(Enginuity!$A$17))
    ),
    OR(
      AND(LEFT(P2852,5)="1-Way", Enginuity!$B$13=1),
      AND(LEFT(P2852,5)="2-Way", OR(Enginuity!$B$13=2, Enginuity!$B$13=4)),
      AND(LEFT(P2852,5)="3-Way", OR(Enginuity!$B$13=3, Enginuity!$B$13=6)),
      AND(P2852="Inner Centre Jamb", OR(Enginuity!$B$13=4, Enginuity!$B$13=6)),
      AND(
        LEFT(P2852,5)&lt;&gt;"1-Way",
        LEFT(P2852,5)&lt;&gt;"2-Way",
        LEFT(P2852,5)&lt;&gt;"3-Way",
        P2852&lt;&gt;"Inner Centre Jamb"
      )
    ),
    IF(OR(Enginuity!$A$1="Frameless Glass",Enginuity!$A$1="Metal Work"),
      AND(TRIM(B2852)=TRIM(Enginuity!$A$17),TRIM(C2852)=TRIM(Enginuity!$A$18)),
      TRIM(B2852)=TRIM(Enginuity!$A$17)
    )
  ),
  ROW(),
  ""
)</f>
        <v/>
      </c>
    </row>
    <row r="2853" spans="21:21" x14ac:dyDescent="0.25">
      <c r="U2853" s="104" t="str">
        <f>IF(
  AND(
    TRIM(A2853)=TRIM(Enginuity!$A$1),
    TRIM(B2853)=TRIM(Enginuity!$A$17),
    Q2853&lt;&gt;"",
    Q2853&lt;&gt;0,
    OR(
      TRIM(C2853)=TRIM(Enginuity!$A$18),
      AND(UPPER(TRIM(M2853))="STD", TRIM(B2853)=TRIM(Enginuity!$A$17))
    ),
    OR(
      AND(LEFT(P2853,5)="1-Way", Enginuity!$B$13=1),
      AND(LEFT(P2853,5)="2-Way", OR(Enginuity!$B$13=2, Enginuity!$B$13=4)),
      AND(LEFT(P2853,5)="3-Way", OR(Enginuity!$B$13=3, Enginuity!$B$13=6)),
      AND(P2853="Inner Centre Jamb", OR(Enginuity!$B$13=4, Enginuity!$B$13=6)),
      AND(
        LEFT(P2853,5)&lt;&gt;"1-Way",
        LEFT(P2853,5)&lt;&gt;"2-Way",
        LEFT(P2853,5)&lt;&gt;"3-Way",
        P2853&lt;&gt;"Inner Centre Jamb"
      )
    ),
    IF(OR(Enginuity!$A$1="Frameless Glass",Enginuity!$A$1="Metal Work"),
      AND(TRIM(B2853)=TRIM(Enginuity!$A$17),TRIM(C2853)=TRIM(Enginuity!$A$18)),
      TRIM(B2853)=TRIM(Enginuity!$A$17)
    )
  ),
  ROW(),
  ""
)</f>
        <v/>
      </c>
    </row>
    <row r="2854" spans="21:21" x14ac:dyDescent="0.25">
      <c r="U2854" s="104" t="str">
        <f>IF(
  AND(
    TRIM(A2854)=TRIM(Enginuity!$A$1),
    TRIM(B2854)=TRIM(Enginuity!$A$17),
    Q2854&lt;&gt;"",
    Q2854&lt;&gt;0,
    OR(
      TRIM(C2854)=TRIM(Enginuity!$A$18),
      AND(UPPER(TRIM(M2854))="STD", TRIM(B2854)=TRIM(Enginuity!$A$17))
    ),
    OR(
      AND(LEFT(P2854,5)="1-Way", Enginuity!$B$13=1),
      AND(LEFT(P2854,5)="2-Way", OR(Enginuity!$B$13=2, Enginuity!$B$13=4)),
      AND(LEFT(P2854,5)="3-Way", OR(Enginuity!$B$13=3, Enginuity!$B$13=6)),
      AND(P2854="Inner Centre Jamb", OR(Enginuity!$B$13=4, Enginuity!$B$13=6)),
      AND(
        LEFT(P2854,5)&lt;&gt;"1-Way",
        LEFT(P2854,5)&lt;&gt;"2-Way",
        LEFT(P2854,5)&lt;&gt;"3-Way",
        P2854&lt;&gt;"Inner Centre Jamb"
      )
    ),
    IF(OR(Enginuity!$A$1="Frameless Glass",Enginuity!$A$1="Metal Work"),
      AND(TRIM(B2854)=TRIM(Enginuity!$A$17),TRIM(C2854)=TRIM(Enginuity!$A$18)),
      TRIM(B2854)=TRIM(Enginuity!$A$17)
    )
  ),
  ROW(),
  ""
)</f>
        <v/>
      </c>
    </row>
    <row r="2855" spans="21:21" x14ac:dyDescent="0.25">
      <c r="U2855" s="104" t="str">
        <f>IF(
  AND(
    TRIM(A2855)=TRIM(Enginuity!$A$1),
    TRIM(B2855)=TRIM(Enginuity!$A$17),
    Q2855&lt;&gt;"",
    Q2855&lt;&gt;0,
    OR(
      TRIM(C2855)=TRIM(Enginuity!$A$18),
      AND(UPPER(TRIM(M2855))="STD", TRIM(B2855)=TRIM(Enginuity!$A$17))
    ),
    OR(
      AND(LEFT(P2855,5)="1-Way", Enginuity!$B$13=1),
      AND(LEFT(P2855,5)="2-Way", OR(Enginuity!$B$13=2, Enginuity!$B$13=4)),
      AND(LEFT(P2855,5)="3-Way", OR(Enginuity!$B$13=3, Enginuity!$B$13=6)),
      AND(P2855="Inner Centre Jamb", OR(Enginuity!$B$13=4, Enginuity!$B$13=6)),
      AND(
        LEFT(P2855,5)&lt;&gt;"1-Way",
        LEFT(P2855,5)&lt;&gt;"2-Way",
        LEFT(P2855,5)&lt;&gt;"3-Way",
        P2855&lt;&gt;"Inner Centre Jamb"
      )
    ),
    IF(OR(Enginuity!$A$1="Frameless Glass",Enginuity!$A$1="Metal Work"),
      AND(TRIM(B2855)=TRIM(Enginuity!$A$17),TRIM(C2855)=TRIM(Enginuity!$A$18)),
      TRIM(B2855)=TRIM(Enginuity!$A$17)
    )
  ),
  ROW(),
  ""
)</f>
        <v/>
      </c>
    </row>
    <row r="2856" spans="21:21" x14ac:dyDescent="0.25">
      <c r="U2856" s="104" t="str">
        <f>IF(
  AND(
    TRIM(A2856)=TRIM(Enginuity!$A$1),
    TRIM(B2856)=TRIM(Enginuity!$A$17),
    Q2856&lt;&gt;"",
    Q2856&lt;&gt;0,
    OR(
      TRIM(C2856)=TRIM(Enginuity!$A$18),
      AND(UPPER(TRIM(M2856))="STD", TRIM(B2856)=TRIM(Enginuity!$A$17))
    ),
    OR(
      AND(LEFT(P2856,5)="1-Way", Enginuity!$B$13=1),
      AND(LEFT(P2856,5)="2-Way", OR(Enginuity!$B$13=2, Enginuity!$B$13=4)),
      AND(LEFT(P2856,5)="3-Way", OR(Enginuity!$B$13=3, Enginuity!$B$13=6)),
      AND(P2856="Inner Centre Jamb", OR(Enginuity!$B$13=4, Enginuity!$B$13=6)),
      AND(
        LEFT(P2856,5)&lt;&gt;"1-Way",
        LEFT(P2856,5)&lt;&gt;"2-Way",
        LEFT(P2856,5)&lt;&gt;"3-Way",
        P2856&lt;&gt;"Inner Centre Jamb"
      )
    ),
    IF(OR(Enginuity!$A$1="Frameless Glass",Enginuity!$A$1="Metal Work"),
      AND(TRIM(B2856)=TRIM(Enginuity!$A$17),TRIM(C2856)=TRIM(Enginuity!$A$18)),
      TRIM(B2856)=TRIM(Enginuity!$A$17)
    )
  ),
  ROW(),
  ""
)</f>
        <v/>
      </c>
    </row>
    <row r="2857" spans="21:21" x14ac:dyDescent="0.25">
      <c r="U2857" s="104" t="str">
        <f>IF(
  AND(
    TRIM(A2857)=TRIM(Enginuity!$A$1),
    TRIM(B2857)=TRIM(Enginuity!$A$17),
    Q2857&lt;&gt;"",
    Q2857&lt;&gt;0,
    OR(
      TRIM(C2857)=TRIM(Enginuity!$A$18),
      AND(UPPER(TRIM(M2857))="STD", TRIM(B2857)=TRIM(Enginuity!$A$17))
    ),
    OR(
      AND(LEFT(P2857,5)="1-Way", Enginuity!$B$13=1),
      AND(LEFT(P2857,5)="2-Way", OR(Enginuity!$B$13=2, Enginuity!$B$13=4)),
      AND(LEFT(P2857,5)="3-Way", OR(Enginuity!$B$13=3, Enginuity!$B$13=6)),
      AND(P2857="Inner Centre Jamb", OR(Enginuity!$B$13=4, Enginuity!$B$13=6)),
      AND(
        LEFT(P2857,5)&lt;&gt;"1-Way",
        LEFT(P2857,5)&lt;&gt;"2-Way",
        LEFT(P2857,5)&lt;&gt;"3-Way",
        P2857&lt;&gt;"Inner Centre Jamb"
      )
    ),
    IF(OR(Enginuity!$A$1="Frameless Glass",Enginuity!$A$1="Metal Work"),
      AND(TRIM(B2857)=TRIM(Enginuity!$A$17),TRIM(C2857)=TRIM(Enginuity!$A$18)),
      TRIM(B2857)=TRIM(Enginuity!$A$17)
    )
  ),
  ROW(),
  ""
)</f>
        <v/>
      </c>
    </row>
    <row r="2858" spans="21:21" x14ac:dyDescent="0.25">
      <c r="U2858" s="104" t="str">
        <f>IF(
  AND(
    TRIM(A2858)=TRIM(Enginuity!$A$1),
    TRIM(B2858)=TRIM(Enginuity!$A$17),
    Q2858&lt;&gt;"",
    Q2858&lt;&gt;0,
    OR(
      TRIM(C2858)=TRIM(Enginuity!$A$18),
      AND(UPPER(TRIM(M2858))="STD", TRIM(B2858)=TRIM(Enginuity!$A$17))
    ),
    OR(
      AND(LEFT(P2858,5)="1-Way", Enginuity!$B$13=1),
      AND(LEFT(P2858,5)="2-Way", OR(Enginuity!$B$13=2, Enginuity!$B$13=4)),
      AND(LEFT(P2858,5)="3-Way", OR(Enginuity!$B$13=3, Enginuity!$B$13=6)),
      AND(P2858="Inner Centre Jamb", OR(Enginuity!$B$13=4, Enginuity!$B$13=6)),
      AND(
        LEFT(P2858,5)&lt;&gt;"1-Way",
        LEFT(P2858,5)&lt;&gt;"2-Way",
        LEFT(P2858,5)&lt;&gt;"3-Way",
        P2858&lt;&gt;"Inner Centre Jamb"
      )
    ),
    IF(OR(Enginuity!$A$1="Frameless Glass",Enginuity!$A$1="Metal Work"),
      AND(TRIM(B2858)=TRIM(Enginuity!$A$17),TRIM(C2858)=TRIM(Enginuity!$A$18)),
      TRIM(B2858)=TRIM(Enginuity!$A$17)
    )
  ),
  ROW(),
  ""
)</f>
        <v/>
      </c>
    </row>
    <row r="2859" spans="21:21" x14ac:dyDescent="0.25">
      <c r="U2859" s="104" t="str">
        <f>IF(
  AND(
    TRIM(A2859)=TRIM(Enginuity!$A$1),
    TRIM(B2859)=TRIM(Enginuity!$A$17),
    Q2859&lt;&gt;"",
    Q2859&lt;&gt;0,
    OR(
      TRIM(C2859)=TRIM(Enginuity!$A$18),
      AND(UPPER(TRIM(M2859))="STD", TRIM(B2859)=TRIM(Enginuity!$A$17))
    ),
    OR(
      AND(LEFT(P2859,5)="1-Way", Enginuity!$B$13=1),
      AND(LEFT(P2859,5)="2-Way", OR(Enginuity!$B$13=2, Enginuity!$B$13=4)),
      AND(LEFT(P2859,5)="3-Way", OR(Enginuity!$B$13=3, Enginuity!$B$13=6)),
      AND(P2859="Inner Centre Jamb", OR(Enginuity!$B$13=4, Enginuity!$B$13=6)),
      AND(
        LEFT(P2859,5)&lt;&gt;"1-Way",
        LEFT(P2859,5)&lt;&gt;"2-Way",
        LEFT(P2859,5)&lt;&gt;"3-Way",
        P2859&lt;&gt;"Inner Centre Jamb"
      )
    ),
    IF(OR(Enginuity!$A$1="Frameless Glass",Enginuity!$A$1="Metal Work"),
      AND(TRIM(B2859)=TRIM(Enginuity!$A$17),TRIM(C2859)=TRIM(Enginuity!$A$18)),
      TRIM(B2859)=TRIM(Enginuity!$A$17)
    )
  ),
  ROW(),
  ""
)</f>
        <v/>
      </c>
    </row>
    <row r="2860" spans="21:21" x14ac:dyDescent="0.25">
      <c r="U2860" s="104" t="str">
        <f>IF(
  AND(
    TRIM(A2860)=TRIM(Enginuity!$A$1),
    TRIM(B2860)=TRIM(Enginuity!$A$17),
    Q2860&lt;&gt;"",
    Q2860&lt;&gt;0,
    OR(
      TRIM(C2860)=TRIM(Enginuity!$A$18),
      AND(UPPER(TRIM(M2860))="STD", TRIM(B2860)=TRIM(Enginuity!$A$17))
    ),
    OR(
      AND(LEFT(P2860,5)="1-Way", Enginuity!$B$13=1),
      AND(LEFT(P2860,5)="2-Way", OR(Enginuity!$B$13=2, Enginuity!$B$13=4)),
      AND(LEFT(P2860,5)="3-Way", OR(Enginuity!$B$13=3, Enginuity!$B$13=6)),
      AND(P2860="Inner Centre Jamb", OR(Enginuity!$B$13=4, Enginuity!$B$13=6)),
      AND(
        LEFT(P2860,5)&lt;&gt;"1-Way",
        LEFT(P2860,5)&lt;&gt;"2-Way",
        LEFT(P2860,5)&lt;&gt;"3-Way",
        P2860&lt;&gt;"Inner Centre Jamb"
      )
    ),
    IF(OR(Enginuity!$A$1="Frameless Glass",Enginuity!$A$1="Metal Work"),
      AND(TRIM(B2860)=TRIM(Enginuity!$A$17),TRIM(C2860)=TRIM(Enginuity!$A$18)),
      TRIM(B2860)=TRIM(Enginuity!$A$17)
    )
  ),
  ROW(),
  ""
)</f>
        <v/>
      </c>
    </row>
    <row r="2861" spans="21:21" x14ac:dyDescent="0.25">
      <c r="U2861" s="104" t="str">
        <f>IF(
  AND(
    TRIM(A2861)=TRIM(Enginuity!$A$1),
    TRIM(B2861)=TRIM(Enginuity!$A$17),
    Q2861&lt;&gt;"",
    Q2861&lt;&gt;0,
    OR(
      TRIM(C2861)=TRIM(Enginuity!$A$18),
      AND(UPPER(TRIM(M2861))="STD", TRIM(B2861)=TRIM(Enginuity!$A$17))
    ),
    OR(
      AND(LEFT(P2861,5)="1-Way", Enginuity!$B$13=1),
      AND(LEFT(P2861,5)="2-Way", OR(Enginuity!$B$13=2, Enginuity!$B$13=4)),
      AND(LEFT(P2861,5)="3-Way", OR(Enginuity!$B$13=3, Enginuity!$B$13=6)),
      AND(P2861="Inner Centre Jamb", OR(Enginuity!$B$13=4, Enginuity!$B$13=6)),
      AND(
        LEFT(P2861,5)&lt;&gt;"1-Way",
        LEFT(P2861,5)&lt;&gt;"2-Way",
        LEFT(P2861,5)&lt;&gt;"3-Way",
        P2861&lt;&gt;"Inner Centre Jamb"
      )
    ),
    IF(OR(Enginuity!$A$1="Frameless Glass",Enginuity!$A$1="Metal Work"),
      AND(TRIM(B2861)=TRIM(Enginuity!$A$17),TRIM(C2861)=TRIM(Enginuity!$A$18)),
      TRIM(B2861)=TRIM(Enginuity!$A$17)
    )
  ),
  ROW(),
  ""
)</f>
        <v/>
      </c>
    </row>
    <row r="2862" spans="21:21" x14ac:dyDescent="0.25">
      <c r="U2862" s="104" t="str">
        <f>IF(
  AND(
    TRIM(A2862)=TRIM(Enginuity!$A$1),
    TRIM(B2862)=TRIM(Enginuity!$A$17),
    Q2862&lt;&gt;"",
    Q2862&lt;&gt;0,
    OR(
      TRIM(C2862)=TRIM(Enginuity!$A$18),
      AND(UPPER(TRIM(M2862))="STD", TRIM(B2862)=TRIM(Enginuity!$A$17))
    ),
    OR(
      AND(LEFT(P2862,5)="1-Way", Enginuity!$B$13=1),
      AND(LEFT(P2862,5)="2-Way", OR(Enginuity!$B$13=2, Enginuity!$B$13=4)),
      AND(LEFT(P2862,5)="3-Way", OR(Enginuity!$B$13=3, Enginuity!$B$13=6)),
      AND(P2862="Inner Centre Jamb", OR(Enginuity!$B$13=4, Enginuity!$B$13=6)),
      AND(
        LEFT(P2862,5)&lt;&gt;"1-Way",
        LEFT(P2862,5)&lt;&gt;"2-Way",
        LEFT(P2862,5)&lt;&gt;"3-Way",
        P2862&lt;&gt;"Inner Centre Jamb"
      )
    ),
    IF(OR(Enginuity!$A$1="Frameless Glass",Enginuity!$A$1="Metal Work"),
      AND(TRIM(B2862)=TRIM(Enginuity!$A$17),TRIM(C2862)=TRIM(Enginuity!$A$18)),
      TRIM(B2862)=TRIM(Enginuity!$A$17)
    )
  ),
  ROW(),
  ""
)</f>
        <v/>
      </c>
    </row>
    <row r="2863" spans="21:21" x14ac:dyDescent="0.25">
      <c r="U2863" s="104" t="str">
        <f>IF(
  AND(
    TRIM(A2863)=TRIM(Enginuity!$A$1),
    TRIM(B2863)=TRIM(Enginuity!$A$17),
    Q2863&lt;&gt;"",
    Q2863&lt;&gt;0,
    OR(
      TRIM(C2863)=TRIM(Enginuity!$A$18),
      AND(UPPER(TRIM(M2863))="STD", TRIM(B2863)=TRIM(Enginuity!$A$17))
    ),
    OR(
      AND(LEFT(P2863,5)="1-Way", Enginuity!$B$13=1),
      AND(LEFT(P2863,5)="2-Way", OR(Enginuity!$B$13=2, Enginuity!$B$13=4)),
      AND(LEFT(P2863,5)="3-Way", OR(Enginuity!$B$13=3, Enginuity!$B$13=6)),
      AND(P2863="Inner Centre Jamb", OR(Enginuity!$B$13=4, Enginuity!$B$13=6)),
      AND(
        LEFT(P2863,5)&lt;&gt;"1-Way",
        LEFT(P2863,5)&lt;&gt;"2-Way",
        LEFT(P2863,5)&lt;&gt;"3-Way",
        P2863&lt;&gt;"Inner Centre Jamb"
      )
    ),
    IF(OR(Enginuity!$A$1="Frameless Glass",Enginuity!$A$1="Metal Work"),
      AND(TRIM(B2863)=TRIM(Enginuity!$A$17),TRIM(C2863)=TRIM(Enginuity!$A$18)),
      TRIM(B2863)=TRIM(Enginuity!$A$17)
    )
  ),
  ROW(),
  ""
)</f>
        <v/>
      </c>
    </row>
    <row r="2864" spans="21:21" x14ac:dyDescent="0.25">
      <c r="U2864" s="104" t="str">
        <f>IF(
  AND(
    TRIM(A2864)=TRIM(Enginuity!$A$1),
    TRIM(B2864)=TRIM(Enginuity!$A$17),
    Q2864&lt;&gt;"",
    Q2864&lt;&gt;0,
    OR(
      TRIM(C2864)=TRIM(Enginuity!$A$18),
      AND(UPPER(TRIM(M2864))="STD", TRIM(B2864)=TRIM(Enginuity!$A$17))
    ),
    OR(
      AND(LEFT(P2864,5)="1-Way", Enginuity!$B$13=1),
      AND(LEFT(P2864,5)="2-Way", OR(Enginuity!$B$13=2, Enginuity!$B$13=4)),
      AND(LEFT(P2864,5)="3-Way", OR(Enginuity!$B$13=3, Enginuity!$B$13=6)),
      AND(P2864="Inner Centre Jamb", OR(Enginuity!$B$13=4, Enginuity!$B$13=6)),
      AND(
        LEFT(P2864,5)&lt;&gt;"1-Way",
        LEFT(P2864,5)&lt;&gt;"2-Way",
        LEFT(P2864,5)&lt;&gt;"3-Way",
        P2864&lt;&gt;"Inner Centre Jamb"
      )
    ),
    IF(OR(Enginuity!$A$1="Frameless Glass",Enginuity!$A$1="Metal Work"),
      AND(TRIM(B2864)=TRIM(Enginuity!$A$17),TRIM(C2864)=TRIM(Enginuity!$A$18)),
      TRIM(B2864)=TRIM(Enginuity!$A$17)
    )
  ),
  ROW(),
  ""
)</f>
        <v/>
      </c>
    </row>
    <row r="2865" spans="21:21" x14ac:dyDescent="0.25">
      <c r="U2865" s="104" t="str">
        <f>IF(
  AND(
    TRIM(A2865)=TRIM(Enginuity!$A$1),
    TRIM(B2865)=TRIM(Enginuity!$A$17),
    Q2865&lt;&gt;"",
    Q2865&lt;&gt;0,
    OR(
      TRIM(C2865)=TRIM(Enginuity!$A$18),
      AND(UPPER(TRIM(M2865))="STD", TRIM(B2865)=TRIM(Enginuity!$A$17))
    ),
    OR(
      AND(LEFT(P2865,5)="1-Way", Enginuity!$B$13=1),
      AND(LEFT(P2865,5)="2-Way", OR(Enginuity!$B$13=2, Enginuity!$B$13=4)),
      AND(LEFT(P2865,5)="3-Way", OR(Enginuity!$B$13=3, Enginuity!$B$13=6)),
      AND(P2865="Inner Centre Jamb", OR(Enginuity!$B$13=4, Enginuity!$B$13=6)),
      AND(
        LEFT(P2865,5)&lt;&gt;"1-Way",
        LEFT(P2865,5)&lt;&gt;"2-Way",
        LEFT(P2865,5)&lt;&gt;"3-Way",
        P2865&lt;&gt;"Inner Centre Jamb"
      )
    ),
    IF(OR(Enginuity!$A$1="Frameless Glass",Enginuity!$A$1="Metal Work"),
      AND(TRIM(B2865)=TRIM(Enginuity!$A$17),TRIM(C2865)=TRIM(Enginuity!$A$18)),
      TRIM(B2865)=TRIM(Enginuity!$A$17)
    )
  ),
  ROW(),
  ""
)</f>
        <v/>
      </c>
    </row>
    <row r="2866" spans="21:21" x14ac:dyDescent="0.25">
      <c r="U2866" s="104" t="str">
        <f>IF(
  AND(
    TRIM(A2866)=TRIM(Enginuity!$A$1),
    TRIM(B2866)=TRIM(Enginuity!$A$17),
    Q2866&lt;&gt;"",
    Q2866&lt;&gt;0,
    OR(
      TRIM(C2866)=TRIM(Enginuity!$A$18),
      AND(UPPER(TRIM(M2866))="STD", TRIM(B2866)=TRIM(Enginuity!$A$17))
    ),
    OR(
      AND(LEFT(P2866,5)="1-Way", Enginuity!$B$13=1),
      AND(LEFT(P2866,5)="2-Way", OR(Enginuity!$B$13=2, Enginuity!$B$13=4)),
      AND(LEFT(P2866,5)="3-Way", OR(Enginuity!$B$13=3, Enginuity!$B$13=6)),
      AND(P2866="Inner Centre Jamb", OR(Enginuity!$B$13=4, Enginuity!$B$13=6)),
      AND(
        LEFT(P2866,5)&lt;&gt;"1-Way",
        LEFT(P2866,5)&lt;&gt;"2-Way",
        LEFT(P2866,5)&lt;&gt;"3-Way",
        P2866&lt;&gt;"Inner Centre Jamb"
      )
    ),
    IF(OR(Enginuity!$A$1="Frameless Glass",Enginuity!$A$1="Metal Work"),
      AND(TRIM(B2866)=TRIM(Enginuity!$A$17),TRIM(C2866)=TRIM(Enginuity!$A$18)),
      TRIM(B2866)=TRIM(Enginuity!$A$17)
    )
  ),
  ROW(),
  ""
)</f>
        <v/>
      </c>
    </row>
    <row r="2867" spans="21:21" x14ac:dyDescent="0.25">
      <c r="U2867" s="104" t="str">
        <f>IF(
  AND(
    TRIM(A2867)=TRIM(Enginuity!$A$1),
    TRIM(B2867)=TRIM(Enginuity!$A$17),
    Q2867&lt;&gt;"",
    Q2867&lt;&gt;0,
    OR(
      TRIM(C2867)=TRIM(Enginuity!$A$18),
      AND(UPPER(TRIM(M2867))="STD", TRIM(B2867)=TRIM(Enginuity!$A$17))
    ),
    OR(
      AND(LEFT(P2867,5)="1-Way", Enginuity!$B$13=1),
      AND(LEFT(P2867,5)="2-Way", OR(Enginuity!$B$13=2, Enginuity!$B$13=4)),
      AND(LEFT(P2867,5)="3-Way", OR(Enginuity!$B$13=3, Enginuity!$B$13=6)),
      AND(P2867="Inner Centre Jamb", OR(Enginuity!$B$13=4, Enginuity!$B$13=6)),
      AND(
        LEFT(P2867,5)&lt;&gt;"1-Way",
        LEFT(P2867,5)&lt;&gt;"2-Way",
        LEFT(P2867,5)&lt;&gt;"3-Way",
        P2867&lt;&gt;"Inner Centre Jamb"
      )
    ),
    IF(OR(Enginuity!$A$1="Frameless Glass",Enginuity!$A$1="Metal Work"),
      AND(TRIM(B2867)=TRIM(Enginuity!$A$17),TRIM(C2867)=TRIM(Enginuity!$A$18)),
      TRIM(B2867)=TRIM(Enginuity!$A$17)
    )
  ),
  ROW(),
  ""
)</f>
        <v/>
      </c>
    </row>
    <row r="2868" spans="21:21" x14ac:dyDescent="0.25">
      <c r="U2868" s="104" t="str">
        <f>IF(
  AND(
    TRIM(A2868)=TRIM(Enginuity!$A$1),
    TRIM(B2868)=TRIM(Enginuity!$A$17),
    Q2868&lt;&gt;"",
    Q2868&lt;&gt;0,
    OR(
      TRIM(C2868)=TRIM(Enginuity!$A$18),
      AND(UPPER(TRIM(M2868))="STD", TRIM(B2868)=TRIM(Enginuity!$A$17))
    ),
    OR(
      AND(LEFT(P2868,5)="1-Way", Enginuity!$B$13=1),
      AND(LEFT(P2868,5)="2-Way", OR(Enginuity!$B$13=2, Enginuity!$B$13=4)),
      AND(LEFT(P2868,5)="3-Way", OR(Enginuity!$B$13=3, Enginuity!$B$13=6)),
      AND(P2868="Inner Centre Jamb", OR(Enginuity!$B$13=4, Enginuity!$B$13=6)),
      AND(
        LEFT(P2868,5)&lt;&gt;"1-Way",
        LEFT(P2868,5)&lt;&gt;"2-Way",
        LEFT(P2868,5)&lt;&gt;"3-Way",
        P2868&lt;&gt;"Inner Centre Jamb"
      )
    ),
    IF(OR(Enginuity!$A$1="Frameless Glass",Enginuity!$A$1="Metal Work"),
      AND(TRIM(B2868)=TRIM(Enginuity!$A$17),TRIM(C2868)=TRIM(Enginuity!$A$18)),
      TRIM(B2868)=TRIM(Enginuity!$A$17)
    )
  ),
  ROW(),
  ""
)</f>
        <v/>
      </c>
    </row>
    <row r="2869" spans="21:21" x14ac:dyDescent="0.25">
      <c r="U2869" s="104" t="str">
        <f>IF(
  AND(
    TRIM(A2869)=TRIM(Enginuity!$A$1),
    TRIM(B2869)=TRIM(Enginuity!$A$17),
    Q2869&lt;&gt;"",
    Q2869&lt;&gt;0,
    OR(
      TRIM(C2869)=TRIM(Enginuity!$A$18),
      AND(UPPER(TRIM(M2869))="STD", TRIM(B2869)=TRIM(Enginuity!$A$17))
    ),
    OR(
      AND(LEFT(P2869,5)="1-Way", Enginuity!$B$13=1),
      AND(LEFT(P2869,5)="2-Way", OR(Enginuity!$B$13=2, Enginuity!$B$13=4)),
      AND(LEFT(P2869,5)="3-Way", OR(Enginuity!$B$13=3, Enginuity!$B$13=6)),
      AND(P2869="Inner Centre Jamb", OR(Enginuity!$B$13=4, Enginuity!$B$13=6)),
      AND(
        LEFT(P2869,5)&lt;&gt;"1-Way",
        LEFT(P2869,5)&lt;&gt;"2-Way",
        LEFT(P2869,5)&lt;&gt;"3-Way",
        P2869&lt;&gt;"Inner Centre Jamb"
      )
    ),
    IF(OR(Enginuity!$A$1="Frameless Glass",Enginuity!$A$1="Metal Work"),
      AND(TRIM(B2869)=TRIM(Enginuity!$A$17),TRIM(C2869)=TRIM(Enginuity!$A$18)),
      TRIM(B2869)=TRIM(Enginuity!$A$17)
    )
  ),
  ROW(),
  ""
)</f>
        <v/>
      </c>
    </row>
    <row r="2870" spans="21:21" x14ac:dyDescent="0.25">
      <c r="U2870" s="104" t="str">
        <f>IF(
  AND(
    TRIM(A2870)=TRIM(Enginuity!$A$1),
    TRIM(B2870)=TRIM(Enginuity!$A$17),
    Q2870&lt;&gt;"",
    Q2870&lt;&gt;0,
    OR(
      TRIM(C2870)=TRIM(Enginuity!$A$18),
      AND(UPPER(TRIM(M2870))="STD", TRIM(B2870)=TRIM(Enginuity!$A$17))
    ),
    OR(
      AND(LEFT(P2870,5)="1-Way", Enginuity!$B$13=1),
      AND(LEFT(P2870,5)="2-Way", OR(Enginuity!$B$13=2, Enginuity!$B$13=4)),
      AND(LEFT(P2870,5)="3-Way", OR(Enginuity!$B$13=3, Enginuity!$B$13=6)),
      AND(P2870="Inner Centre Jamb", OR(Enginuity!$B$13=4, Enginuity!$B$13=6)),
      AND(
        LEFT(P2870,5)&lt;&gt;"1-Way",
        LEFT(P2870,5)&lt;&gt;"2-Way",
        LEFT(P2870,5)&lt;&gt;"3-Way",
        P2870&lt;&gt;"Inner Centre Jamb"
      )
    ),
    IF(OR(Enginuity!$A$1="Frameless Glass",Enginuity!$A$1="Metal Work"),
      AND(TRIM(B2870)=TRIM(Enginuity!$A$17),TRIM(C2870)=TRIM(Enginuity!$A$18)),
      TRIM(B2870)=TRIM(Enginuity!$A$17)
    )
  ),
  ROW(),
  ""
)</f>
        <v/>
      </c>
    </row>
    <row r="2871" spans="21:21" x14ac:dyDescent="0.25">
      <c r="U2871" s="104" t="str">
        <f>IF(
  AND(
    TRIM(A2871)=TRIM(Enginuity!$A$1),
    TRIM(B2871)=TRIM(Enginuity!$A$17),
    Q2871&lt;&gt;"",
    Q2871&lt;&gt;0,
    OR(
      TRIM(C2871)=TRIM(Enginuity!$A$18),
      AND(UPPER(TRIM(M2871))="STD", TRIM(B2871)=TRIM(Enginuity!$A$17))
    ),
    OR(
      AND(LEFT(P2871,5)="1-Way", Enginuity!$B$13=1),
      AND(LEFT(P2871,5)="2-Way", OR(Enginuity!$B$13=2, Enginuity!$B$13=4)),
      AND(LEFT(P2871,5)="3-Way", OR(Enginuity!$B$13=3, Enginuity!$B$13=6)),
      AND(P2871="Inner Centre Jamb", OR(Enginuity!$B$13=4, Enginuity!$B$13=6)),
      AND(
        LEFT(P2871,5)&lt;&gt;"1-Way",
        LEFT(P2871,5)&lt;&gt;"2-Way",
        LEFT(P2871,5)&lt;&gt;"3-Way",
        P2871&lt;&gt;"Inner Centre Jamb"
      )
    ),
    IF(OR(Enginuity!$A$1="Frameless Glass",Enginuity!$A$1="Metal Work"),
      AND(TRIM(B2871)=TRIM(Enginuity!$A$17),TRIM(C2871)=TRIM(Enginuity!$A$18)),
      TRIM(B2871)=TRIM(Enginuity!$A$17)
    )
  ),
  ROW(),
  ""
)</f>
        <v/>
      </c>
    </row>
    <row r="2872" spans="21:21" x14ac:dyDescent="0.25">
      <c r="U2872" s="104" t="str">
        <f>IF(
  AND(
    TRIM(A2872)=TRIM(Enginuity!$A$1),
    TRIM(B2872)=TRIM(Enginuity!$A$17),
    Q2872&lt;&gt;"",
    Q2872&lt;&gt;0,
    OR(
      TRIM(C2872)=TRIM(Enginuity!$A$18),
      AND(UPPER(TRIM(M2872))="STD", TRIM(B2872)=TRIM(Enginuity!$A$17))
    ),
    OR(
      AND(LEFT(P2872,5)="1-Way", Enginuity!$B$13=1),
      AND(LEFT(P2872,5)="2-Way", OR(Enginuity!$B$13=2, Enginuity!$B$13=4)),
      AND(LEFT(P2872,5)="3-Way", OR(Enginuity!$B$13=3, Enginuity!$B$13=6)),
      AND(P2872="Inner Centre Jamb", OR(Enginuity!$B$13=4, Enginuity!$B$13=6)),
      AND(
        LEFT(P2872,5)&lt;&gt;"1-Way",
        LEFT(P2872,5)&lt;&gt;"2-Way",
        LEFT(P2872,5)&lt;&gt;"3-Way",
        P2872&lt;&gt;"Inner Centre Jamb"
      )
    ),
    IF(OR(Enginuity!$A$1="Frameless Glass",Enginuity!$A$1="Metal Work"),
      AND(TRIM(B2872)=TRIM(Enginuity!$A$17),TRIM(C2872)=TRIM(Enginuity!$A$18)),
      TRIM(B2872)=TRIM(Enginuity!$A$17)
    )
  ),
  ROW(),
  ""
)</f>
        <v/>
      </c>
    </row>
    <row r="2873" spans="21:21" x14ac:dyDescent="0.25">
      <c r="U2873" s="104" t="str">
        <f>IF(
  AND(
    TRIM(A2873)=TRIM(Enginuity!$A$1),
    TRIM(B2873)=TRIM(Enginuity!$A$17),
    Q2873&lt;&gt;"",
    Q2873&lt;&gt;0,
    OR(
      TRIM(C2873)=TRIM(Enginuity!$A$18),
      AND(UPPER(TRIM(M2873))="STD", TRIM(B2873)=TRIM(Enginuity!$A$17))
    ),
    OR(
      AND(LEFT(P2873,5)="1-Way", Enginuity!$B$13=1),
      AND(LEFT(P2873,5)="2-Way", OR(Enginuity!$B$13=2, Enginuity!$B$13=4)),
      AND(LEFT(P2873,5)="3-Way", OR(Enginuity!$B$13=3, Enginuity!$B$13=6)),
      AND(P2873="Inner Centre Jamb", OR(Enginuity!$B$13=4, Enginuity!$B$13=6)),
      AND(
        LEFT(P2873,5)&lt;&gt;"1-Way",
        LEFT(P2873,5)&lt;&gt;"2-Way",
        LEFT(P2873,5)&lt;&gt;"3-Way",
        P2873&lt;&gt;"Inner Centre Jamb"
      )
    ),
    IF(OR(Enginuity!$A$1="Frameless Glass",Enginuity!$A$1="Metal Work"),
      AND(TRIM(B2873)=TRIM(Enginuity!$A$17),TRIM(C2873)=TRIM(Enginuity!$A$18)),
      TRIM(B2873)=TRIM(Enginuity!$A$17)
    )
  ),
  ROW(),
  ""
)</f>
        <v/>
      </c>
    </row>
    <row r="2874" spans="21:21" x14ac:dyDescent="0.25">
      <c r="U2874" s="104" t="str">
        <f>IF(
  AND(
    TRIM(A2874)=TRIM(Enginuity!$A$1),
    TRIM(B2874)=TRIM(Enginuity!$A$17),
    Q2874&lt;&gt;"",
    Q2874&lt;&gt;0,
    OR(
      TRIM(C2874)=TRIM(Enginuity!$A$18),
      AND(UPPER(TRIM(M2874))="STD", TRIM(B2874)=TRIM(Enginuity!$A$17))
    ),
    OR(
      AND(LEFT(P2874,5)="1-Way", Enginuity!$B$13=1),
      AND(LEFT(P2874,5)="2-Way", OR(Enginuity!$B$13=2, Enginuity!$B$13=4)),
      AND(LEFT(P2874,5)="3-Way", OR(Enginuity!$B$13=3, Enginuity!$B$13=6)),
      AND(P2874="Inner Centre Jamb", OR(Enginuity!$B$13=4, Enginuity!$B$13=6)),
      AND(
        LEFT(P2874,5)&lt;&gt;"1-Way",
        LEFT(P2874,5)&lt;&gt;"2-Way",
        LEFT(P2874,5)&lt;&gt;"3-Way",
        P2874&lt;&gt;"Inner Centre Jamb"
      )
    ),
    IF(OR(Enginuity!$A$1="Frameless Glass",Enginuity!$A$1="Metal Work"),
      AND(TRIM(B2874)=TRIM(Enginuity!$A$17),TRIM(C2874)=TRIM(Enginuity!$A$18)),
      TRIM(B2874)=TRIM(Enginuity!$A$17)
    )
  ),
  ROW(),
  ""
)</f>
        <v/>
      </c>
    </row>
    <row r="2875" spans="21:21" x14ac:dyDescent="0.25">
      <c r="U2875" s="104" t="str">
        <f>IF(
  AND(
    TRIM(A2875)=TRIM(Enginuity!$A$1),
    TRIM(B2875)=TRIM(Enginuity!$A$17),
    Q2875&lt;&gt;"",
    Q2875&lt;&gt;0,
    OR(
      TRIM(C2875)=TRIM(Enginuity!$A$18),
      AND(UPPER(TRIM(M2875))="STD", TRIM(B2875)=TRIM(Enginuity!$A$17))
    ),
    OR(
      AND(LEFT(P2875,5)="1-Way", Enginuity!$B$13=1),
      AND(LEFT(P2875,5)="2-Way", OR(Enginuity!$B$13=2, Enginuity!$B$13=4)),
      AND(LEFT(P2875,5)="3-Way", OR(Enginuity!$B$13=3, Enginuity!$B$13=6)),
      AND(P2875="Inner Centre Jamb", OR(Enginuity!$B$13=4, Enginuity!$B$13=6)),
      AND(
        LEFT(P2875,5)&lt;&gt;"1-Way",
        LEFT(P2875,5)&lt;&gt;"2-Way",
        LEFT(P2875,5)&lt;&gt;"3-Way",
        P2875&lt;&gt;"Inner Centre Jamb"
      )
    ),
    IF(OR(Enginuity!$A$1="Frameless Glass",Enginuity!$A$1="Metal Work"),
      AND(TRIM(B2875)=TRIM(Enginuity!$A$17),TRIM(C2875)=TRIM(Enginuity!$A$18)),
      TRIM(B2875)=TRIM(Enginuity!$A$17)
    )
  ),
  ROW(),
  ""
)</f>
        <v/>
      </c>
    </row>
    <row r="2876" spans="21:21" x14ac:dyDescent="0.25">
      <c r="U2876" s="104" t="str">
        <f>IF(
  AND(
    TRIM(A2876)=TRIM(Enginuity!$A$1),
    TRIM(B2876)=TRIM(Enginuity!$A$17),
    Q2876&lt;&gt;"",
    Q2876&lt;&gt;0,
    OR(
      TRIM(C2876)=TRIM(Enginuity!$A$18),
      AND(UPPER(TRIM(M2876))="STD", TRIM(B2876)=TRIM(Enginuity!$A$17))
    ),
    OR(
      AND(LEFT(P2876,5)="1-Way", Enginuity!$B$13=1),
      AND(LEFT(P2876,5)="2-Way", OR(Enginuity!$B$13=2, Enginuity!$B$13=4)),
      AND(LEFT(P2876,5)="3-Way", OR(Enginuity!$B$13=3, Enginuity!$B$13=6)),
      AND(P2876="Inner Centre Jamb", OR(Enginuity!$B$13=4, Enginuity!$B$13=6)),
      AND(
        LEFT(P2876,5)&lt;&gt;"1-Way",
        LEFT(P2876,5)&lt;&gt;"2-Way",
        LEFT(P2876,5)&lt;&gt;"3-Way",
        P2876&lt;&gt;"Inner Centre Jamb"
      )
    ),
    IF(OR(Enginuity!$A$1="Frameless Glass",Enginuity!$A$1="Metal Work"),
      AND(TRIM(B2876)=TRIM(Enginuity!$A$17),TRIM(C2876)=TRIM(Enginuity!$A$18)),
      TRIM(B2876)=TRIM(Enginuity!$A$17)
    )
  ),
  ROW(),
  ""
)</f>
        <v/>
      </c>
    </row>
    <row r="2877" spans="21:21" x14ac:dyDescent="0.25">
      <c r="U2877" s="104" t="str">
        <f>IF(
  AND(
    TRIM(A2877)=TRIM(Enginuity!$A$1),
    TRIM(B2877)=TRIM(Enginuity!$A$17),
    Q2877&lt;&gt;"",
    Q2877&lt;&gt;0,
    OR(
      TRIM(C2877)=TRIM(Enginuity!$A$18),
      AND(UPPER(TRIM(M2877))="STD", TRIM(B2877)=TRIM(Enginuity!$A$17))
    ),
    OR(
      AND(LEFT(P2877,5)="1-Way", Enginuity!$B$13=1),
      AND(LEFT(P2877,5)="2-Way", OR(Enginuity!$B$13=2, Enginuity!$B$13=4)),
      AND(LEFT(P2877,5)="3-Way", OR(Enginuity!$B$13=3, Enginuity!$B$13=6)),
      AND(P2877="Inner Centre Jamb", OR(Enginuity!$B$13=4, Enginuity!$B$13=6)),
      AND(
        LEFT(P2877,5)&lt;&gt;"1-Way",
        LEFT(P2877,5)&lt;&gt;"2-Way",
        LEFT(P2877,5)&lt;&gt;"3-Way",
        P2877&lt;&gt;"Inner Centre Jamb"
      )
    ),
    IF(OR(Enginuity!$A$1="Frameless Glass",Enginuity!$A$1="Metal Work"),
      AND(TRIM(B2877)=TRIM(Enginuity!$A$17),TRIM(C2877)=TRIM(Enginuity!$A$18)),
      TRIM(B2877)=TRIM(Enginuity!$A$17)
    )
  ),
  ROW(),
  ""
)</f>
        <v/>
      </c>
    </row>
    <row r="2878" spans="21:21" x14ac:dyDescent="0.25">
      <c r="U2878" s="104" t="str">
        <f>IF(
  AND(
    TRIM(A2878)=TRIM(Enginuity!$A$1),
    TRIM(B2878)=TRIM(Enginuity!$A$17),
    Q2878&lt;&gt;"",
    Q2878&lt;&gt;0,
    OR(
      TRIM(C2878)=TRIM(Enginuity!$A$18),
      AND(UPPER(TRIM(M2878))="STD", TRIM(B2878)=TRIM(Enginuity!$A$17))
    ),
    OR(
      AND(LEFT(P2878,5)="1-Way", Enginuity!$B$13=1),
      AND(LEFT(P2878,5)="2-Way", OR(Enginuity!$B$13=2, Enginuity!$B$13=4)),
      AND(LEFT(P2878,5)="3-Way", OR(Enginuity!$B$13=3, Enginuity!$B$13=6)),
      AND(P2878="Inner Centre Jamb", OR(Enginuity!$B$13=4, Enginuity!$B$13=6)),
      AND(
        LEFT(P2878,5)&lt;&gt;"1-Way",
        LEFT(P2878,5)&lt;&gt;"2-Way",
        LEFT(P2878,5)&lt;&gt;"3-Way",
        P2878&lt;&gt;"Inner Centre Jamb"
      )
    ),
    IF(OR(Enginuity!$A$1="Frameless Glass",Enginuity!$A$1="Metal Work"),
      AND(TRIM(B2878)=TRIM(Enginuity!$A$17),TRIM(C2878)=TRIM(Enginuity!$A$18)),
      TRIM(B2878)=TRIM(Enginuity!$A$17)
    )
  ),
  ROW(),
  ""
)</f>
        <v/>
      </c>
    </row>
    <row r="2879" spans="21:21" x14ac:dyDescent="0.25">
      <c r="U2879" s="104" t="str">
        <f>IF(
  AND(
    TRIM(A2879)=TRIM(Enginuity!$A$1),
    TRIM(B2879)=TRIM(Enginuity!$A$17),
    Q2879&lt;&gt;"",
    Q2879&lt;&gt;0,
    OR(
      TRIM(C2879)=TRIM(Enginuity!$A$18),
      AND(UPPER(TRIM(M2879))="STD", TRIM(B2879)=TRIM(Enginuity!$A$17))
    ),
    OR(
      AND(LEFT(P2879,5)="1-Way", Enginuity!$B$13=1),
      AND(LEFT(P2879,5)="2-Way", OR(Enginuity!$B$13=2, Enginuity!$B$13=4)),
      AND(LEFT(P2879,5)="3-Way", OR(Enginuity!$B$13=3, Enginuity!$B$13=6)),
      AND(P2879="Inner Centre Jamb", OR(Enginuity!$B$13=4, Enginuity!$B$13=6)),
      AND(
        LEFT(P2879,5)&lt;&gt;"1-Way",
        LEFT(P2879,5)&lt;&gt;"2-Way",
        LEFT(P2879,5)&lt;&gt;"3-Way",
        P2879&lt;&gt;"Inner Centre Jamb"
      )
    ),
    IF(OR(Enginuity!$A$1="Frameless Glass",Enginuity!$A$1="Metal Work"),
      AND(TRIM(B2879)=TRIM(Enginuity!$A$17),TRIM(C2879)=TRIM(Enginuity!$A$18)),
      TRIM(B2879)=TRIM(Enginuity!$A$17)
    )
  ),
  ROW(),
  ""
)</f>
        <v/>
      </c>
    </row>
    <row r="2880" spans="21:21" x14ac:dyDescent="0.25">
      <c r="U2880" s="104" t="str">
        <f>IF(
  AND(
    TRIM(A2880)=TRIM(Enginuity!$A$1),
    TRIM(B2880)=TRIM(Enginuity!$A$17),
    Q2880&lt;&gt;"",
    Q2880&lt;&gt;0,
    OR(
      TRIM(C2880)=TRIM(Enginuity!$A$18),
      AND(UPPER(TRIM(M2880))="STD", TRIM(B2880)=TRIM(Enginuity!$A$17))
    ),
    OR(
      AND(LEFT(P2880,5)="1-Way", Enginuity!$B$13=1),
      AND(LEFT(P2880,5)="2-Way", OR(Enginuity!$B$13=2, Enginuity!$B$13=4)),
      AND(LEFT(P2880,5)="3-Way", OR(Enginuity!$B$13=3, Enginuity!$B$13=6)),
      AND(P2880="Inner Centre Jamb", OR(Enginuity!$B$13=4, Enginuity!$B$13=6)),
      AND(
        LEFT(P2880,5)&lt;&gt;"1-Way",
        LEFT(P2880,5)&lt;&gt;"2-Way",
        LEFT(P2880,5)&lt;&gt;"3-Way",
        P2880&lt;&gt;"Inner Centre Jamb"
      )
    ),
    IF(OR(Enginuity!$A$1="Frameless Glass",Enginuity!$A$1="Metal Work"),
      AND(TRIM(B2880)=TRIM(Enginuity!$A$17),TRIM(C2880)=TRIM(Enginuity!$A$18)),
      TRIM(B2880)=TRIM(Enginuity!$A$17)
    )
  ),
  ROW(),
  ""
)</f>
        <v/>
      </c>
    </row>
    <row r="2881" spans="21:21" x14ac:dyDescent="0.25">
      <c r="U2881" s="104" t="str">
        <f>IF(
  AND(
    TRIM(A2881)=TRIM(Enginuity!$A$1),
    TRIM(B2881)=TRIM(Enginuity!$A$17),
    Q2881&lt;&gt;"",
    Q2881&lt;&gt;0,
    OR(
      TRIM(C2881)=TRIM(Enginuity!$A$18),
      AND(UPPER(TRIM(M2881))="STD", TRIM(B2881)=TRIM(Enginuity!$A$17))
    ),
    OR(
      AND(LEFT(P2881,5)="1-Way", Enginuity!$B$13=1),
      AND(LEFT(P2881,5)="2-Way", OR(Enginuity!$B$13=2, Enginuity!$B$13=4)),
      AND(LEFT(P2881,5)="3-Way", OR(Enginuity!$B$13=3, Enginuity!$B$13=6)),
      AND(P2881="Inner Centre Jamb", OR(Enginuity!$B$13=4, Enginuity!$B$13=6)),
      AND(
        LEFT(P2881,5)&lt;&gt;"1-Way",
        LEFT(P2881,5)&lt;&gt;"2-Way",
        LEFT(P2881,5)&lt;&gt;"3-Way",
        P2881&lt;&gt;"Inner Centre Jamb"
      )
    ),
    IF(OR(Enginuity!$A$1="Frameless Glass",Enginuity!$A$1="Metal Work"),
      AND(TRIM(B2881)=TRIM(Enginuity!$A$17),TRIM(C2881)=TRIM(Enginuity!$A$18)),
      TRIM(B2881)=TRIM(Enginuity!$A$17)
    )
  ),
  ROW(),
  ""
)</f>
        <v/>
      </c>
    </row>
    <row r="2882" spans="21:21" x14ac:dyDescent="0.25">
      <c r="U2882" s="104" t="str">
        <f>IF(
  AND(
    TRIM(A2882)=TRIM(Enginuity!$A$1),
    TRIM(B2882)=TRIM(Enginuity!$A$17),
    Q2882&lt;&gt;"",
    Q2882&lt;&gt;0,
    OR(
      TRIM(C2882)=TRIM(Enginuity!$A$18),
      AND(UPPER(TRIM(M2882))="STD", TRIM(B2882)=TRIM(Enginuity!$A$17))
    ),
    OR(
      AND(LEFT(P2882,5)="1-Way", Enginuity!$B$13=1),
      AND(LEFT(P2882,5)="2-Way", OR(Enginuity!$B$13=2, Enginuity!$B$13=4)),
      AND(LEFT(P2882,5)="3-Way", OR(Enginuity!$B$13=3, Enginuity!$B$13=6)),
      AND(P2882="Inner Centre Jamb", OR(Enginuity!$B$13=4, Enginuity!$B$13=6)),
      AND(
        LEFT(P2882,5)&lt;&gt;"1-Way",
        LEFT(P2882,5)&lt;&gt;"2-Way",
        LEFT(P2882,5)&lt;&gt;"3-Way",
        P2882&lt;&gt;"Inner Centre Jamb"
      )
    ),
    IF(OR(Enginuity!$A$1="Frameless Glass",Enginuity!$A$1="Metal Work"),
      AND(TRIM(B2882)=TRIM(Enginuity!$A$17),TRIM(C2882)=TRIM(Enginuity!$A$18)),
      TRIM(B2882)=TRIM(Enginuity!$A$17)
    )
  ),
  ROW(),
  ""
)</f>
        <v/>
      </c>
    </row>
    <row r="2883" spans="21:21" x14ac:dyDescent="0.25">
      <c r="U2883" s="104" t="str">
        <f>IF(
  AND(
    TRIM(A2883)=TRIM(Enginuity!$A$1),
    TRIM(B2883)=TRIM(Enginuity!$A$17),
    Q2883&lt;&gt;"",
    Q2883&lt;&gt;0,
    OR(
      TRIM(C2883)=TRIM(Enginuity!$A$18),
      AND(UPPER(TRIM(M2883))="STD", TRIM(B2883)=TRIM(Enginuity!$A$17))
    ),
    OR(
      AND(LEFT(P2883,5)="1-Way", Enginuity!$B$13=1),
      AND(LEFT(P2883,5)="2-Way", OR(Enginuity!$B$13=2, Enginuity!$B$13=4)),
      AND(LEFT(P2883,5)="3-Way", OR(Enginuity!$B$13=3, Enginuity!$B$13=6)),
      AND(P2883="Inner Centre Jamb", OR(Enginuity!$B$13=4, Enginuity!$B$13=6)),
      AND(
        LEFT(P2883,5)&lt;&gt;"1-Way",
        LEFT(P2883,5)&lt;&gt;"2-Way",
        LEFT(P2883,5)&lt;&gt;"3-Way",
        P2883&lt;&gt;"Inner Centre Jamb"
      )
    ),
    IF(OR(Enginuity!$A$1="Frameless Glass",Enginuity!$A$1="Metal Work"),
      AND(TRIM(B2883)=TRIM(Enginuity!$A$17),TRIM(C2883)=TRIM(Enginuity!$A$18)),
      TRIM(B2883)=TRIM(Enginuity!$A$17)
    )
  ),
  ROW(),
  ""
)</f>
        <v/>
      </c>
    </row>
    <row r="2884" spans="21:21" x14ac:dyDescent="0.25">
      <c r="U2884" s="104" t="str">
        <f>IF(
  AND(
    TRIM(A2884)=TRIM(Enginuity!$A$1),
    TRIM(B2884)=TRIM(Enginuity!$A$17),
    Q2884&lt;&gt;"",
    Q2884&lt;&gt;0,
    OR(
      TRIM(C2884)=TRIM(Enginuity!$A$18),
      AND(UPPER(TRIM(M2884))="STD", TRIM(B2884)=TRIM(Enginuity!$A$17))
    ),
    OR(
      AND(LEFT(P2884,5)="1-Way", Enginuity!$B$13=1),
      AND(LEFT(P2884,5)="2-Way", OR(Enginuity!$B$13=2, Enginuity!$B$13=4)),
      AND(LEFT(P2884,5)="3-Way", OR(Enginuity!$B$13=3, Enginuity!$B$13=6)),
      AND(P2884="Inner Centre Jamb", OR(Enginuity!$B$13=4, Enginuity!$B$13=6)),
      AND(
        LEFT(P2884,5)&lt;&gt;"1-Way",
        LEFT(P2884,5)&lt;&gt;"2-Way",
        LEFT(P2884,5)&lt;&gt;"3-Way",
        P2884&lt;&gt;"Inner Centre Jamb"
      )
    ),
    IF(OR(Enginuity!$A$1="Frameless Glass",Enginuity!$A$1="Metal Work"),
      AND(TRIM(B2884)=TRIM(Enginuity!$A$17),TRIM(C2884)=TRIM(Enginuity!$A$18)),
      TRIM(B2884)=TRIM(Enginuity!$A$17)
    )
  ),
  ROW(),
  ""
)</f>
        <v/>
      </c>
    </row>
    <row r="2885" spans="21:21" x14ac:dyDescent="0.25">
      <c r="U2885" s="104" t="str">
        <f>IF(
  AND(
    TRIM(A2885)=TRIM(Enginuity!$A$1),
    TRIM(B2885)=TRIM(Enginuity!$A$17),
    Q2885&lt;&gt;"",
    Q2885&lt;&gt;0,
    OR(
      TRIM(C2885)=TRIM(Enginuity!$A$18),
      AND(UPPER(TRIM(M2885))="STD", TRIM(B2885)=TRIM(Enginuity!$A$17))
    ),
    OR(
      AND(LEFT(P2885,5)="1-Way", Enginuity!$B$13=1),
      AND(LEFT(P2885,5)="2-Way", OR(Enginuity!$B$13=2, Enginuity!$B$13=4)),
      AND(LEFT(P2885,5)="3-Way", OR(Enginuity!$B$13=3, Enginuity!$B$13=6)),
      AND(P2885="Inner Centre Jamb", OR(Enginuity!$B$13=4, Enginuity!$B$13=6)),
      AND(
        LEFT(P2885,5)&lt;&gt;"1-Way",
        LEFT(P2885,5)&lt;&gt;"2-Way",
        LEFT(P2885,5)&lt;&gt;"3-Way",
        P2885&lt;&gt;"Inner Centre Jamb"
      )
    ),
    IF(OR(Enginuity!$A$1="Frameless Glass",Enginuity!$A$1="Metal Work"),
      AND(TRIM(B2885)=TRIM(Enginuity!$A$17),TRIM(C2885)=TRIM(Enginuity!$A$18)),
      TRIM(B2885)=TRIM(Enginuity!$A$17)
    )
  ),
  ROW(),
  ""
)</f>
        <v/>
      </c>
    </row>
    <row r="2886" spans="21:21" x14ac:dyDescent="0.25">
      <c r="U2886" s="104" t="str">
        <f>IF(
  AND(
    TRIM(A2886)=TRIM(Enginuity!$A$1),
    TRIM(B2886)=TRIM(Enginuity!$A$17),
    Q2886&lt;&gt;"",
    Q2886&lt;&gt;0,
    OR(
      TRIM(C2886)=TRIM(Enginuity!$A$18),
      AND(UPPER(TRIM(M2886))="STD", TRIM(B2886)=TRIM(Enginuity!$A$17))
    ),
    OR(
      AND(LEFT(P2886,5)="1-Way", Enginuity!$B$13=1),
      AND(LEFT(P2886,5)="2-Way", OR(Enginuity!$B$13=2, Enginuity!$B$13=4)),
      AND(LEFT(P2886,5)="3-Way", OR(Enginuity!$B$13=3, Enginuity!$B$13=6)),
      AND(P2886="Inner Centre Jamb", OR(Enginuity!$B$13=4, Enginuity!$B$13=6)),
      AND(
        LEFT(P2886,5)&lt;&gt;"1-Way",
        LEFT(P2886,5)&lt;&gt;"2-Way",
        LEFT(P2886,5)&lt;&gt;"3-Way",
        P2886&lt;&gt;"Inner Centre Jamb"
      )
    ),
    IF(OR(Enginuity!$A$1="Frameless Glass",Enginuity!$A$1="Metal Work"),
      AND(TRIM(B2886)=TRIM(Enginuity!$A$17),TRIM(C2886)=TRIM(Enginuity!$A$18)),
      TRIM(B2886)=TRIM(Enginuity!$A$17)
    )
  ),
  ROW(),
  ""
)</f>
        <v/>
      </c>
    </row>
    <row r="2887" spans="21:21" x14ac:dyDescent="0.25">
      <c r="U2887" s="104" t="str">
        <f>IF(
  AND(
    TRIM(A2887)=TRIM(Enginuity!$A$1),
    TRIM(B2887)=TRIM(Enginuity!$A$17),
    Q2887&lt;&gt;"",
    Q2887&lt;&gt;0,
    OR(
      TRIM(C2887)=TRIM(Enginuity!$A$18),
      AND(UPPER(TRIM(M2887))="STD", TRIM(B2887)=TRIM(Enginuity!$A$17))
    ),
    OR(
      AND(LEFT(P2887,5)="1-Way", Enginuity!$B$13=1),
      AND(LEFT(P2887,5)="2-Way", OR(Enginuity!$B$13=2, Enginuity!$B$13=4)),
      AND(LEFT(P2887,5)="3-Way", OR(Enginuity!$B$13=3, Enginuity!$B$13=6)),
      AND(P2887="Inner Centre Jamb", OR(Enginuity!$B$13=4, Enginuity!$B$13=6)),
      AND(
        LEFT(P2887,5)&lt;&gt;"1-Way",
        LEFT(P2887,5)&lt;&gt;"2-Way",
        LEFT(P2887,5)&lt;&gt;"3-Way",
        P2887&lt;&gt;"Inner Centre Jamb"
      )
    ),
    IF(OR(Enginuity!$A$1="Frameless Glass",Enginuity!$A$1="Metal Work"),
      AND(TRIM(B2887)=TRIM(Enginuity!$A$17),TRIM(C2887)=TRIM(Enginuity!$A$18)),
      TRIM(B2887)=TRIM(Enginuity!$A$17)
    )
  ),
  ROW(),
  ""
)</f>
        <v/>
      </c>
    </row>
    <row r="2888" spans="21:21" x14ac:dyDescent="0.25">
      <c r="U2888" s="104" t="str">
        <f>IF(
  AND(
    TRIM(A2888)=TRIM(Enginuity!$A$1),
    TRIM(B2888)=TRIM(Enginuity!$A$17),
    Q2888&lt;&gt;"",
    Q2888&lt;&gt;0,
    OR(
      TRIM(C2888)=TRIM(Enginuity!$A$18),
      AND(UPPER(TRIM(M2888))="STD", TRIM(B2888)=TRIM(Enginuity!$A$17))
    ),
    OR(
      AND(LEFT(P2888,5)="1-Way", Enginuity!$B$13=1),
      AND(LEFT(P2888,5)="2-Way", OR(Enginuity!$B$13=2, Enginuity!$B$13=4)),
      AND(LEFT(P2888,5)="3-Way", OR(Enginuity!$B$13=3, Enginuity!$B$13=6)),
      AND(P2888="Inner Centre Jamb", OR(Enginuity!$B$13=4, Enginuity!$B$13=6)),
      AND(
        LEFT(P2888,5)&lt;&gt;"1-Way",
        LEFT(P2888,5)&lt;&gt;"2-Way",
        LEFT(P2888,5)&lt;&gt;"3-Way",
        P2888&lt;&gt;"Inner Centre Jamb"
      )
    ),
    IF(OR(Enginuity!$A$1="Frameless Glass",Enginuity!$A$1="Metal Work"),
      AND(TRIM(B2888)=TRIM(Enginuity!$A$17),TRIM(C2888)=TRIM(Enginuity!$A$18)),
      TRIM(B2888)=TRIM(Enginuity!$A$17)
    )
  ),
  ROW(),
  ""
)</f>
        <v/>
      </c>
    </row>
    <row r="2889" spans="21:21" x14ac:dyDescent="0.25">
      <c r="U2889" s="104" t="str">
        <f>IF(
  AND(
    TRIM(A2889)=TRIM(Enginuity!$A$1),
    TRIM(B2889)=TRIM(Enginuity!$A$17),
    Q2889&lt;&gt;"",
    Q2889&lt;&gt;0,
    OR(
      TRIM(C2889)=TRIM(Enginuity!$A$18),
      AND(UPPER(TRIM(M2889))="STD", TRIM(B2889)=TRIM(Enginuity!$A$17))
    ),
    OR(
      AND(LEFT(P2889,5)="1-Way", Enginuity!$B$13=1),
      AND(LEFT(P2889,5)="2-Way", OR(Enginuity!$B$13=2, Enginuity!$B$13=4)),
      AND(LEFT(P2889,5)="3-Way", OR(Enginuity!$B$13=3, Enginuity!$B$13=6)),
      AND(P2889="Inner Centre Jamb", OR(Enginuity!$B$13=4, Enginuity!$B$13=6)),
      AND(
        LEFT(P2889,5)&lt;&gt;"1-Way",
        LEFT(P2889,5)&lt;&gt;"2-Way",
        LEFT(P2889,5)&lt;&gt;"3-Way",
        P2889&lt;&gt;"Inner Centre Jamb"
      )
    ),
    IF(OR(Enginuity!$A$1="Frameless Glass",Enginuity!$A$1="Metal Work"),
      AND(TRIM(B2889)=TRIM(Enginuity!$A$17),TRIM(C2889)=TRIM(Enginuity!$A$18)),
      TRIM(B2889)=TRIM(Enginuity!$A$17)
    )
  ),
  ROW(),
  ""
)</f>
        <v/>
      </c>
    </row>
    <row r="2890" spans="21:21" x14ac:dyDescent="0.25">
      <c r="U2890" s="104" t="str">
        <f>IF(
  AND(
    TRIM(A2890)=TRIM(Enginuity!$A$1),
    TRIM(B2890)=TRIM(Enginuity!$A$17),
    Q2890&lt;&gt;"",
    Q2890&lt;&gt;0,
    OR(
      TRIM(C2890)=TRIM(Enginuity!$A$18),
      AND(UPPER(TRIM(M2890))="STD", TRIM(B2890)=TRIM(Enginuity!$A$17))
    ),
    OR(
      AND(LEFT(P2890,5)="1-Way", Enginuity!$B$13=1),
      AND(LEFT(P2890,5)="2-Way", OR(Enginuity!$B$13=2, Enginuity!$B$13=4)),
      AND(LEFT(P2890,5)="3-Way", OR(Enginuity!$B$13=3, Enginuity!$B$13=6)),
      AND(P2890="Inner Centre Jamb", OR(Enginuity!$B$13=4, Enginuity!$B$13=6)),
      AND(
        LEFT(P2890,5)&lt;&gt;"1-Way",
        LEFT(P2890,5)&lt;&gt;"2-Way",
        LEFT(P2890,5)&lt;&gt;"3-Way",
        P2890&lt;&gt;"Inner Centre Jamb"
      )
    ),
    IF(OR(Enginuity!$A$1="Frameless Glass",Enginuity!$A$1="Metal Work"),
      AND(TRIM(B2890)=TRIM(Enginuity!$A$17),TRIM(C2890)=TRIM(Enginuity!$A$18)),
      TRIM(B2890)=TRIM(Enginuity!$A$17)
    )
  ),
  ROW(),
  ""
)</f>
        <v/>
      </c>
    </row>
    <row r="2891" spans="21:21" x14ac:dyDescent="0.25">
      <c r="U2891" s="104" t="str">
        <f>IF(
  AND(
    TRIM(A2891)=TRIM(Enginuity!$A$1),
    TRIM(B2891)=TRIM(Enginuity!$A$17),
    Q2891&lt;&gt;"",
    Q2891&lt;&gt;0,
    OR(
      TRIM(C2891)=TRIM(Enginuity!$A$18),
      AND(UPPER(TRIM(M2891))="STD", TRIM(B2891)=TRIM(Enginuity!$A$17))
    ),
    OR(
      AND(LEFT(P2891,5)="1-Way", Enginuity!$B$13=1),
      AND(LEFT(P2891,5)="2-Way", OR(Enginuity!$B$13=2, Enginuity!$B$13=4)),
      AND(LEFT(P2891,5)="3-Way", OR(Enginuity!$B$13=3, Enginuity!$B$13=6)),
      AND(P2891="Inner Centre Jamb", OR(Enginuity!$B$13=4, Enginuity!$B$13=6)),
      AND(
        LEFT(P2891,5)&lt;&gt;"1-Way",
        LEFT(P2891,5)&lt;&gt;"2-Way",
        LEFT(P2891,5)&lt;&gt;"3-Way",
        P2891&lt;&gt;"Inner Centre Jamb"
      )
    ),
    IF(OR(Enginuity!$A$1="Frameless Glass",Enginuity!$A$1="Metal Work"),
      AND(TRIM(B2891)=TRIM(Enginuity!$A$17),TRIM(C2891)=TRIM(Enginuity!$A$18)),
      TRIM(B2891)=TRIM(Enginuity!$A$17)
    )
  ),
  ROW(),
  ""
)</f>
        <v/>
      </c>
    </row>
    <row r="2892" spans="21:21" x14ac:dyDescent="0.25">
      <c r="U2892" s="104" t="str">
        <f>IF(
  AND(
    TRIM(A2892)=TRIM(Enginuity!$A$1),
    TRIM(B2892)=TRIM(Enginuity!$A$17),
    Q2892&lt;&gt;"",
    Q2892&lt;&gt;0,
    OR(
      TRIM(C2892)=TRIM(Enginuity!$A$18),
      AND(UPPER(TRIM(M2892))="STD", TRIM(B2892)=TRIM(Enginuity!$A$17))
    ),
    OR(
      AND(LEFT(P2892,5)="1-Way", Enginuity!$B$13=1),
      AND(LEFT(P2892,5)="2-Way", OR(Enginuity!$B$13=2, Enginuity!$B$13=4)),
      AND(LEFT(P2892,5)="3-Way", OR(Enginuity!$B$13=3, Enginuity!$B$13=6)),
      AND(P2892="Inner Centre Jamb", OR(Enginuity!$B$13=4, Enginuity!$B$13=6)),
      AND(
        LEFT(P2892,5)&lt;&gt;"1-Way",
        LEFT(P2892,5)&lt;&gt;"2-Way",
        LEFT(P2892,5)&lt;&gt;"3-Way",
        P2892&lt;&gt;"Inner Centre Jamb"
      )
    ),
    IF(OR(Enginuity!$A$1="Frameless Glass",Enginuity!$A$1="Metal Work"),
      AND(TRIM(B2892)=TRIM(Enginuity!$A$17),TRIM(C2892)=TRIM(Enginuity!$A$18)),
      TRIM(B2892)=TRIM(Enginuity!$A$17)
    )
  ),
  ROW(),
  ""
)</f>
        <v/>
      </c>
    </row>
    <row r="2893" spans="21:21" x14ac:dyDescent="0.25">
      <c r="U2893" s="104" t="str">
        <f>IF(
  AND(
    TRIM(A2893)=TRIM(Enginuity!$A$1),
    TRIM(B2893)=TRIM(Enginuity!$A$17),
    Q2893&lt;&gt;"",
    Q2893&lt;&gt;0,
    OR(
      TRIM(C2893)=TRIM(Enginuity!$A$18),
      AND(UPPER(TRIM(M2893))="STD", TRIM(B2893)=TRIM(Enginuity!$A$17))
    ),
    OR(
      AND(LEFT(P2893,5)="1-Way", Enginuity!$B$13=1),
      AND(LEFT(P2893,5)="2-Way", OR(Enginuity!$B$13=2, Enginuity!$B$13=4)),
      AND(LEFT(P2893,5)="3-Way", OR(Enginuity!$B$13=3, Enginuity!$B$13=6)),
      AND(P2893="Inner Centre Jamb", OR(Enginuity!$B$13=4, Enginuity!$B$13=6)),
      AND(
        LEFT(P2893,5)&lt;&gt;"1-Way",
        LEFT(P2893,5)&lt;&gt;"2-Way",
        LEFT(P2893,5)&lt;&gt;"3-Way",
        P2893&lt;&gt;"Inner Centre Jamb"
      )
    ),
    IF(OR(Enginuity!$A$1="Frameless Glass",Enginuity!$A$1="Metal Work"),
      AND(TRIM(B2893)=TRIM(Enginuity!$A$17),TRIM(C2893)=TRIM(Enginuity!$A$18)),
      TRIM(B2893)=TRIM(Enginuity!$A$17)
    )
  ),
  ROW(),
  ""
)</f>
        <v/>
      </c>
    </row>
    <row r="2894" spans="21:21" x14ac:dyDescent="0.25">
      <c r="U2894" s="104" t="str">
        <f>IF(
  AND(
    TRIM(A2894)=TRIM(Enginuity!$A$1),
    TRIM(B2894)=TRIM(Enginuity!$A$17),
    Q2894&lt;&gt;"",
    Q2894&lt;&gt;0,
    OR(
      TRIM(C2894)=TRIM(Enginuity!$A$18),
      AND(UPPER(TRIM(M2894))="STD", TRIM(B2894)=TRIM(Enginuity!$A$17))
    ),
    OR(
      AND(LEFT(P2894,5)="1-Way", Enginuity!$B$13=1),
      AND(LEFT(P2894,5)="2-Way", OR(Enginuity!$B$13=2, Enginuity!$B$13=4)),
      AND(LEFT(P2894,5)="3-Way", OR(Enginuity!$B$13=3, Enginuity!$B$13=6)),
      AND(P2894="Inner Centre Jamb", OR(Enginuity!$B$13=4, Enginuity!$B$13=6)),
      AND(
        LEFT(P2894,5)&lt;&gt;"1-Way",
        LEFT(P2894,5)&lt;&gt;"2-Way",
        LEFT(P2894,5)&lt;&gt;"3-Way",
        P2894&lt;&gt;"Inner Centre Jamb"
      )
    ),
    IF(OR(Enginuity!$A$1="Frameless Glass",Enginuity!$A$1="Metal Work"),
      AND(TRIM(B2894)=TRIM(Enginuity!$A$17),TRIM(C2894)=TRIM(Enginuity!$A$18)),
      TRIM(B2894)=TRIM(Enginuity!$A$17)
    )
  ),
  ROW(),
  ""
)</f>
        <v/>
      </c>
    </row>
    <row r="2895" spans="21:21" x14ac:dyDescent="0.25">
      <c r="U2895" s="104" t="str">
        <f>IF(
  AND(
    TRIM(A2895)=TRIM(Enginuity!$A$1),
    TRIM(B2895)=TRIM(Enginuity!$A$17),
    Q2895&lt;&gt;"",
    Q2895&lt;&gt;0,
    OR(
      TRIM(C2895)=TRIM(Enginuity!$A$18),
      AND(UPPER(TRIM(M2895))="STD", TRIM(B2895)=TRIM(Enginuity!$A$17))
    ),
    OR(
      AND(LEFT(P2895,5)="1-Way", Enginuity!$B$13=1),
      AND(LEFT(P2895,5)="2-Way", OR(Enginuity!$B$13=2, Enginuity!$B$13=4)),
      AND(LEFT(P2895,5)="3-Way", OR(Enginuity!$B$13=3, Enginuity!$B$13=6)),
      AND(P2895="Inner Centre Jamb", OR(Enginuity!$B$13=4, Enginuity!$B$13=6)),
      AND(
        LEFT(P2895,5)&lt;&gt;"1-Way",
        LEFT(P2895,5)&lt;&gt;"2-Way",
        LEFT(P2895,5)&lt;&gt;"3-Way",
        P2895&lt;&gt;"Inner Centre Jamb"
      )
    ),
    IF(OR(Enginuity!$A$1="Frameless Glass",Enginuity!$A$1="Metal Work"),
      AND(TRIM(B2895)=TRIM(Enginuity!$A$17),TRIM(C2895)=TRIM(Enginuity!$A$18)),
      TRIM(B2895)=TRIM(Enginuity!$A$17)
    )
  ),
  ROW(),
  ""
)</f>
        <v/>
      </c>
    </row>
    <row r="2896" spans="21:21" x14ac:dyDescent="0.25">
      <c r="U2896" s="104" t="str">
        <f>IF(
  AND(
    TRIM(A2896)=TRIM(Enginuity!$A$1),
    TRIM(B2896)=TRIM(Enginuity!$A$17),
    Q2896&lt;&gt;"",
    Q2896&lt;&gt;0,
    OR(
      TRIM(C2896)=TRIM(Enginuity!$A$18),
      AND(UPPER(TRIM(M2896))="STD", TRIM(B2896)=TRIM(Enginuity!$A$17))
    ),
    OR(
      AND(LEFT(P2896,5)="1-Way", Enginuity!$B$13=1),
      AND(LEFT(P2896,5)="2-Way", OR(Enginuity!$B$13=2, Enginuity!$B$13=4)),
      AND(LEFT(P2896,5)="3-Way", OR(Enginuity!$B$13=3, Enginuity!$B$13=6)),
      AND(P2896="Inner Centre Jamb", OR(Enginuity!$B$13=4, Enginuity!$B$13=6)),
      AND(
        LEFT(P2896,5)&lt;&gt;"1-Way",
        LEFT(P2896,5)&lt;&gt;"2-Way",
        LEFT(P2896,5)&lt;&gt;"3-Way",
        P2896&lt;&gt;"Inner Centre Jamb"
      )
    ),
    IF(OR(Enginuity!$A$1="Frameless Glass",Enginuity!$A$1="Metal Work"),
      AND(TRIM(B2896)=TRIM(Enginuity!$A$17),TRIM(C2896)=TRIM(Enginuity!$A$18)),
      TRIM(B2896)=TRIM(Enginuity!$A$17)
    )
  ),
  ROW(),
  ""
)</f>
        <v/>
      </c>
    </row>
    <row r="2897" spans="21:21" x14ac:dyDescent="0.25">
      <c r="U2897" s="104" t="str">
        <f>IF(
  AND(
    TRIM(A2897)=TRIM(Enginuity!$A$1),
    TRIM(B2897)=TRIM(Enginuity!$A$17),
    Q2897&lt;&gt;"",
    Q2897&lt;&gt;0,
    OR(
      TRIM(C2897)=TRIM(Enginuity!$A$18),
      AND(UPPER(TRIM(M2897))="STD", TRIM(B2897)=TRIM(Enginuity!$A$17))
    ),
    OR(
      AND(LEFT(P2897,5)="1-Way", Enginuity!$B$13=1),
      AND(LEFT(P2897,5)="2-Way", OR(Enginuity!$B$13=2, Enginuity!$B$13=4)),
      AND(LEFT(P2897,5)="3-Way", OR(Enginuity!$B$13=3, Enginuity!$B$13=6)),
      AND(P2897="Inner Centre Jamb", OR(Enginuity!$B$13=4, Enginuity!$B$13=6)),
      AND(
        LEFT(P2897,5)&lt;&gt;"1-Way",
        LEFT(P2897,5)&lt;&gt;"2-Way",
        LEFT(P2897,5)&lt;&gt;"3-Way",
        P2897&lt;&gt;"Inner Centre Jamb"
      )
    ),
    IF(OR(Enginuity!$A$1="Frameless Glass",Enginuity!$A$1="Metal Work"),
      AND(TRIM(B2897)=TRIM(Enginuity!$A$17),TRIM(C2897)=TRIM(Enginuity!$A$18)),
      TRIM(B2897)=TRIM(Enginuity!$A$17)
    )
  ),
  ROW(),
  ""
)</f>
        <v/>
      </c>
    </row>
    <row r="2898" spans="21:21" x14ac:dyDescent="0.25">
      <c r="U2898" s="104" t="str">
        <f>IF(
  AND(
    TRIM(A2898)=TRIM(Enginuity!$A$1),
    TRIM(B2898)=TRIM(Enginuity!$A$17),
    Q2898&lt;&gt;"",
    Q2898&lt;&gt;0,
    OR(
      TRIM(C2898)=TRIM(Enginuity!$A$18),
      AND(UPPER(TRIM(M2898))="STD", TRIM(B2898)=TRIM(Enginuity!$A$17))
    ),
    OR(
      AND(LEFT(P2898,5)="1-Way", Enginuity!$B$13=1),
      AND(LEFT(P2898,5)="2-Way", OR(Enginuity!$B$13=2, Enginuity!$B$13=4)),
      AND(LEFT(P2898,5)="3-Way", OR(Enginuity!$B$13=3, Enginuity!$B$13=6)),
      AND(P2898="Inner Centre Jamb", OR(Enginuity!$B$13=4, Enginuity!$B$13=6)),
      AND(
        LEFT(P2898,5)&lt;&gt;"1-Way",
        LEFT(P2898,5)&lt;&gt;"2-Way",
        LEFT(P2898,5)&lt;&gt;"3-Way",
        P2898&lt;&gt;"Inner Centre Jamb"
      )
    ),
    IF(OR(Enginuity!$A$1="Frameless Glass",Enginuity!$A$1="Metal Work"),
      AND(TRIM(B2898)=TRIM(Enginuity!$A$17),TRIM(C2898)=TRIM(Enginuity!$A$18)),
      TRIM(B2898)=TRIM(Enginuity!$A$17)
    )
  ),
  ROW(),
  ""
)</f>
        <v/>
      </c>
    </row>
    <row r="2899" spans="21:21" x14ac:dyDescent="0.25">
      <c r="U2899" s="104" t="str">
        <f>IF(
  AND(
    TRIM(A2899)=TRIM(Enginuity!$A$1),
    TRIM(B2899)=TRIM(Enginuity!$A$17),
    Q2899&lt;&gt;"",
    Q2899&lt;&gt;0,
    OR(
      TRIM(C2899)=TRIM(Enginuity!$A$18),
      AND(UPPER(TRIM(M2899))="STD", TRIM(B2899)=TRIM(Enginuity!$A$17))
    ),
    OR(
      AND(LEFT(P2899,5)="1-Way", Enginuity!$B$13=1),
      AND(LEFT(P2899,5)="2-Way", OR(Enginuity!$B$13=2, Enginuity!$B$13=4)),
      AND(LEFT(P2899,5)="3-Way", OR(Enginuity!$B$13=3, Enginuity!$B$13=6)),
      AND(P2899="Inner Centre Jamb", OR(Enginuity!$B$13=4, Enginuity!$B$13=6)),
      AND(
        LEFT(P2899,5)&lt;&gt;"1-Way",
        LEFT(P2899,5)&lt;&gt;"2-Way",
        LEFT(P2899,5)&lt;&gt;"3-Way",
        P2899&lt;&gt;"Inner Centre Jamb"
      )
    ),
    IF(OR(Enginuity!$A$1="Frameless Glass",Enginuity!$A$1="Metal Work"),
      AND(TRIM(B2899)=TRIM(Enginuity!$A$17),TRIM(C2899)=TRIM(Enginuity!$A$18)),
      TRIM(B2899)=TRIM(Enginuity!$A$17)
    )
  ),
  ROW(),
  ""
)</f>
        <v/>
      </c>
    </row>
    <row r="2900" spans="21:21" x14ac:dyDescent="0.25">
      <c r="U2900" s="104" t="str">
        <f>IF(
  AND(
    TRIM(A2900)=TRIM(Enginuity!$A$1),
    TRIM(B2900)=TRIM(Enginuity!$A$17),
    Q2900&lt;&gt;"",
    Q2900&lt;&gt;0,
    OR(
      TRIM(C2900)=TRIM(Enginuity!$A$18),
      AND(UPPER(TRIM(M2900))="STD", TRIM(B2900)=TRIM(Enginuity!$A$17))
    ),
    OR(
      AND(LEFT(P2900,5)="1-Way", Enginuity!$B$13=1),
      AND(LEFT(P2900,5)="2-Way", OR(Enginuity!$B$13=2, Enginuity!$B$13=4)),
      AND(LEFT(P2900,5)="3-Way", OR(Enginuity!$B$13=3, Enginuity!$B$13=6)),
      AND(P2900="Inner Centre Jamb", OR(Enginuity!$B$13=4, Enginuity!$B$13=6)),
      AND(
        LEFT(P2900,5)&lt;&gt;"1-Way",
        LEFT(P2900,5)&lt;&gt;"2-Way",
        LEFT(P2900,5)&lt;&gt;"3-Way",
        P2900&lt;&gt;"Inner Centre Jamb"
      )
    ),
    IF(OR(Enginuity!$A$1="Frameless Glass",Enginuity!$A$1="Metal Work"),
      AND(TRIM(B2900)=TRIM(Enginuity!$A$17),TRIM(C2900)=TRIM(Enginuity!$A$18)),
      TRIM(B2900)=TRIM(Enginuity!$A$17)
    )
  ),
  ROW(),
  ""
)</f>
        <v/>
      </c>
    </row>
    <row r="2901" spans="21:21" x14ac:dyDescent="0.25">
      <c r="U2901" s="104" t="str">
        <f>IF(
  AND(
    TRIM(A2901)=TRIM(Enginuity!$A$1),
    TRIM(B2901)=TRIM(Enginuity!$A$17),
    Q2901&lt;&gt;"",
    Q2901&lt;&gt;0,
    OR(
      TRIM(C2901)=TRIM(Enginuity!$A$18),
      AND(UPPER(TRIM(M2901))="STD", TRIM(B2901)=TRIM(Enginuity!$A$17))
    ),
    OR(
      AND(LEFT(P2901,5)="1-Way", Enginuity!$B$13=1),
      AND(LEFT(P2901,5)="2-Way", OR(Enginuity!$B$13=2, Enginuity!$B$13=4)),
      AND(LEFT(P2901,5)="3-Way", OR(Enginuity!$B$13=3, Enginuity!$B$13=6)),
      AND(P2901="Inner Centre Jamb", OR(Enginuity!$B$13=4, Enginuity!$B$13=6)),
      AND(
        LEFT(P2901,5)&lt;&gt;"1-Way",
        LEFT(P2901,5)&lt;&gt;"2-Way",
        LEFT(P2901,5)&lt;&gt;"3-Way",
        P2901&lt;&gt;"Inner Centre Jamb"
      )
    ),
    IF(OR(Enginuity!$A$1="Frameless Glass",Enginuity!$A$1="Metal Work"),
      AND(TRIM(B2901)=TRIM(Enginuity!$A$17),TRIM(C2901)=TRIM(Enginuity!$A$18)),
      TRIM(B2901)=TRIM(Enginuity!$A$17)
    )
  ),
  ROW(),
  ""
)</f>
        <v/>
      </c>
    </row>
    <row r="2902" spans="21:21" x14ac:dyDescent="0.25">
      <c r="U2902" s="104" t="str">
        <f>IF(
  AND(
    TRIM(A2902)=TRIM(Enginuity!$A$1),
    TRIM(B2902)=TRIM(Enginuity!$A$17),
    Q2902&lt;&gt;"",
    Q2902&lt;&gt;0,
    OR(
      TRIM(C2902)=TRIM(Enginuity!$A$18),
      AND(UPPER(TRIM(M2902))="STD", TRIM(B2902)=TRIM(Enginuity!$A$17))
    ),
    OR(
      AND(LEFT(P2902,5)="1-Way", Enginuity!$B$13=1),
      AND(LEFT(P2902,5)="2-Way", OR(Enginuity!$B$13=2, Enginuity!$B$13=4)),
      AND(LEFT(P2902,5)="3-Way", OR(Enginuity!$B$13=3, Enginuity!$B$13=6)),
      AND(P2902="Inner Centre Jamb", OR(Enginuity!$B$13=4, Enginuity!$B$13=6)),
      AND(
        LEFT(P2902,5)&lt;&gt;"1-Way",
        LEFT(P2902,5)&lt;&gt;"2-Way",
        LEFT(P2902,5)&lt;&gt;"3-Way",
        P2902&lt;&gt;"Inner Centre Jamb"
      )
    ),
    IF(OR(Enginuity!$A$1="Frameless Glass",Enginuity!$A$1="Metal Work"),
      AND(TRIM(B2902)=TRIM(Enginuity!$A$17),TRIM(C2902)=TRIM(Enginuity!$A$18)),
      TRIM(B2902)=TRIM(Enginuity!$A$17)
    )
  ),
  ROW(),
  ""
)</f>
        <v/>
      </c>
    </row>
    <row r="2903" spans="21:21" x14ac:dyDescent="0.25">
      <c r="U2903" s="104" t="str">
        <f>IF(
  AND(
    TRIM(A2903)=TRIM(Enginuity!$A$1),
    TRIM(B2903)=TRIM(Enginuity!$A$17),
    Q2903&lt;&gt;"",
    Q2903&lt;&gt;0,
    OR(
      TRIM(C2903)=TRIM(Enginuity!$A$18),
      AND(UPPER(TRIM(M2903))="STD", TRIM(B2903)=TRIM(Enginuity!$A$17))
    ),
    OR(
      AND(LEFT(P2903,5)="1-Way", Enginuity!$B$13=1),
      AND(LEFT(P2903,5)="2-Way", OR(Enginuity!$B$13=2, Enginuity!$B$13=4)),
      AND(LEFT(P2903,5)="3-Way", OR(Enginuity!$B$13=3, Enginuity!$B$13=6)),
      AND(P2903="Inner Centre Jamb", OR(Enginuity!$B$13=4, Enginuity!$B$13=6)),
      AND(
        LEFT(P2903,5)&lt;&gt;"1-Way",
        LEFT(P2903,5)&lt;&gt;"2-Way",
        LEFT(P2903,5)&lt;&gt;"3-Way",
        P2903&lt;&gt;"Inner Centre Jamb"
      )
    ),
    IF(OR(Enginuity!$A$1="Frameless Glass",Enginuity!$A$1="Metal Work"),
      AND(TRIM(B2903)=TRIM(Enginuity!$A$17),TRIM(C2903)=TRIM(Enginuity!$A$18)),
      TRIM(B2903)=TRIM(Enginuity!$A$17)
    )
  ),
  ROW(),
  ""
)</f>
        <v/>
      </c>
    </row>
    <row r="2904" spans="21:21" x14ac:dyDescent="0.25">
      <c r="U2904" s="104" t="str">
        <f>IF(
  AND(
    TRIM(A2904)=TRIM(Enginuity!$A$1),
    TRIM(B2904)=TRIM(Enginuity!$A$17),
    Q2904&lt;&gt;"",
    Q2904&lt;&gt;0,
    OR(
      TRIM(C2904)=TRIM(Enginuity!$A$18),
      AND(UPPER(TRIM(M2904))="STD", TRIM(B2904)=TRIM(Enginuity!$A$17))
    ),
    OR(
      AND(LEFT(P2904,5)="1-Way", Enginuity!$B$13=1),
      AND(LEFT(P2904,5)="2-Way", OR(Enginuity!$B$13=2, Enginuity!$B$13=4)),
      AND(LEFT(P2904,5)="3-Way", OR(Enginuity!$B$13=3, Enginuity!$B$13=6)),
      AND(P2904="Inner Centre Jamb", OR(Enginuity!$B$13=4, Enginuity!$B$13=6)),
      AND(
        LEFT(P2904,5)&lt;&gt;"1-Way",
        LEFT(P2904,5)&lt;&gt;"2-Way",
        LEFT(P2904,5)&lt;&gt;"3-Way",
        P2904&lt;&gt;"Inner Centre Jamb"
      )
    ),
    IF(OR(Enginuity!$A$1="Frameless Glass",Enginuity!$A$1="Metal Work"),
      AND(TRIM(B2904)=TRIM(Enginuity!$A$17),TRIM(C2904)=TRIM(Enginuity!$A$18)),
      TRIM(B2904)=TRIM(Enginuity!$A$17)
    )
  ),
  ROW(),
  ""
)</f>
        <v/>
      </c>
    </row>
    <row r="2905" spans="21:21" x14ac:dyDescent="0.25">
      <c r="U2905" s="104" t="str">
        <f>IF(
  AND(
    TRIM(A2905)=TRIM(Enginuity!$A$1),
    TRIM(B2905)=TRIM(Enginuity!$A$17),
    Q2905&lt;&gt;"",
    Q2905&lt;&gt;0,
    OR(
      TRIM(C2905)=TRIM(Enginuity!$A$18),
      AND(UPPER(TRIM(M2905))="STD", TRIM(B2905)=TRIM(Enginuity!$A$17))
    ),
    OR(
      AND(LEFT(P2905,5)="1-Way", Enginuity!$B$13=1),
      AND(LEFT(P2905,5)="2-Way", OR(Enginuity!$B$13=2, Enginuity!$B$13=4)),
      AND(LEFT(P2905,5)="3-Way", OR(Enginuity!$B$13=3, Enginuity!$B$13=6)),
      AND(P2905="Inner Centre Jamb", OR(Enginuity!$B$13=4, Enginuity!$B$13=6)),
      AND(
        LEFT(P2905,5)&lt;&gt;"1-Way",
        LEFT(P2905,5)&lt;&gt;"2-Way",
        LEFT(P2905,5)&lt;&gt;"3-Way",
        P2905&lt;&gt;"Inner Centre Jamb"
      )
    ),
    IF(OR(Enginuity!$A$1="Frameless Glass",Enginuity!$A$1="Metal Work"),
      AND(TRIM(B2905)=TRIM(Enginuity!$A$17),TRIM(C2905)=TRIM(Enginuity!$A$18)),
      TRIM(B2905)=TRIM(Enginuity!$A$17)
    )
  ),
  ROW(),
  ""
)</f>
        <v/>
      </c>
    </row>
    <row r="2906" spans="21:21" x14ac:dyDescent="0.25">
      <c r="U2906" s="104" t="str">
        <f>IF(
  AND(
    TRIM(A2906)=TRIM(Enginuity!$A$1),
    TRIM(B2906)=TRIM(Enginuity!$A$17),
    Q2906&lt;&gt;"",
    Q2906&lt;&gt;0,
    OR(
      TRIM(C2906)=TRIM(Enginuity!$A$18),
      AND(UPPER(TRIM(M2906))="STD", TRIM(B2906)=TRIM(Enginuity!$A$17))
    ),
    OR(
      AND(LEFT(P2906,5)="1-Way", Enginuity!$B$13=1),
      AND(LEFT(P2906,5)="2-Way", OR(Enginuity!$B$13=2, Enginuity!$B$13=4)),
      AND(LEFT(P2906,5)="3-Way", OR(Enginuity!$B$13=3, Enginuity!$B$13=6)),
      AND(P2906="Inner Centre Jamb", OR(Enginuity!$B$13=4, Enginuity!$B$13=6)),
      AND(
        LEFT(P2906,5)&lt;&gt;"1-Way",
        LEFT(P2906,5)&lt;&gt;"2-Way",
        LEFT(P2906,5)&lt;&gt;"3-Way",
        P2906&lt;&gt;"Inner Centre Jamb"
      )
    ),
    IF(OR(Enginuity!$A$1="Frameless Glass",Enginuity!$A$1="Metal Work"),
      AND(TRIM(B2906)=TRIM(Enginuity!$A$17),TRIM(C2906)=TRIM(Enginuity!$A$18)),
      TRIM(B2906)=TRIM(Enginuity!$A$17)
    )
  ),
  ROW(),
  ""
)</f>
        <v/>
      </c>
    </row>
    <row r="2907" spans="21:21" x14ac:dyDescent="0.25">
      <c r="U2907" s="104" t="str">
        <f>IF(
  AND(
    TRIM(A2907)=TRIM(Enginuity!$A$1),
    TRIM(B2907)=TRIM(Enginuity!$A$17),
    Q2907&lt;&gt;"",
    Q2907&lt;&gt;0,
    OR(
      TRIM(C2907)=TRIM(Enginuity!$A$18),
      AND(UPPER(TRIM(M2907))="STD", TRIM(B2907)=TRIM(Enginuity!$A$17))
    ),
    OR(
      AND(LEFT(P2907,5)="1-Way", Enginuity!$B$13=1),
      AND(LEFT(P2907,5)="2-Way", OR(Enginuity!$B$13=2, Enginuity!$B$13=4)),
      AND(LEFT(P2907,5)="3-Way", OR(Enginuity!$B$13=3, Enginuity!$B$13=6)),
      AND(P2907="Inner Centre Jamb", OR(Enginuity!$B$13=4, Enginuity!$B$13=6)),
      AND(
        LEFT(P2907,5)&lt;&gt;"1-Way",
        LEFT(P2907,5)&lt;&gt;"2-Way",
        LEFT(P2907,5)&lt;&gt;"3-Way",
        P2907&lt;&gt;"Inner Centre Jamb"
      )
    ),
    IF(OR(Enginuity!$A$1="Frameless Glass",Enginuity!$A$1="Metal Work"),
      AND(TRIM(B2907)=TRIM(Enginuity!$A$17),TRIM(C2907)=TRIM(Enginuity!$A$18)),
      TRIM(B2907)=TRIM(Enginuity!$A$17)
    )
  ),
  ROW(),
  ""
)</f>
        <v/>
      </c>
    </row>
    <row r="2908" spans="21:21" x14ac:dyDescent="0.25">
      <c r="U2908" s="104" t="str">
        <f>IF(
  AND(
    TRIM(A2908)=TRIM(Enginuity!$A$1),
    TRIM(B2908)=TRIM(Enginuity!$A$17),
    Q2908&lt;&gt;"",
    Q2908&lt;&gt;0,
    OR(
      TRIM(C2908)=TRIM(Enginuity!$A$18),
      AND(UPPER(TRIM(M2908))="STD", TRIM(B2908)=TRIM(Enginuity!$A$17))
    ),
    OR(
      AND(LEFT(P2908,5)="1-Way", Enginuity!$B$13=1),
      AND(LEFT(P2908,5)="2-Way", OR(Enginuity!$B$13=2, Enginuity!$B$13=4)),
      AND(LEFT(P2908,5)="3-Way", OR(Enginuity!$B$13=3, Enginuity!$B$13=6)),
      AND(P2908="Inner Centre Jamb", OR(Enginuity!$B$13=4, Enginuity!$B$13=6)),
      AND(
        LEFT(P2908,5)&lt;&gt;"1-Way",
        LEFT(P2908,5)&lt;&gt;"2-Way",
        LEFT(P2908,5)&lt;&gt;"3-Way",
        P2908&lt;&gt;"Inner Centre Jamb"
      )
    ),
    IF(OR(Enginuity!$A$1="Frameless Glass",Enginuity!$A$1="Metal Work"),
      AND(TRIM(B2908)=TRIM(Enginuity!$A$17),TRIM(C2908)=TRIM(Enginuity!$A$18)),
      TRIM(B2908)=TRIM(Enginuity!$A$17)
    )
  ),
  ROW(),
  ""
)</f>
        <v/>
      </c>
    </row>
    <row r="2909" spans="21:21" x14ac:dyDescent="0.25">
      <c r="U2909" s="104" t="str">
        <f>IF(
  AND(
    TRIM(A2909)=TRIM(Enginuity!$A$1),
    TRIM(B2909)=TRIM(Enginuity!$A$17),
    Q2909&lt;&gt;"",
    Q2909&lt;&gt;0,
    OR(
      TRIM(C2909)=TRIM(Enginuity!$A$18),
      AND(UPPER(TRIM(M2909))="STD", TRIM(B2909)=TRIM(Enginuity!$A$17))
    ),
    OR(
      AND(LEFT(P2909,5)="1-Way", Enginuity!$B$13=1),
      AND(LEFT(P2909,5)="2-Way", OR(Enginuity!$B$13=2, Enginuity!$B$13=4)),
      AND(LEFT(P2909,5)="3-Way", OR(Enginuity!$B$13=3, Enginuity!$B$13=6)),
      AND(P2909="Inner Centre Jamb", OR(Enginuity!$B$13=4, Enginuity!$B$13=6)),
      AND(
        LEFT(P2909,5)&lt;&gt;"1-Way",
        LEFT(P2909,5)&lt;&gt;"2-Way",
        LEFT(P2909,5)&lt;&gt;"3-Way",
        P2909&lt;&gt;"Inner Centre Jamb"
      )
    ),
    IF(OR(Enginuity!$A$1="Frameless Glass",Enginuity!$A$1="Metal Work"),
      AND(TRIM(B2909)=TRIM(Enginuity!$A$17),TRIM(C2909)=TRIM(Enginuity!$A$18)),
      TRIM(B2909)=TRIM(Enginuity!$A$17)
    )
  ),
  ROW(),
  ""
)</f>
        <v/>
      </c>
    </row>
    <row r="2910" spans="21:21" x14ac:dyDescent="0.25">
      <c r="U2910" s="104" t="str">
        <f>IF(
  AND(
    TRIM(A2910)=TRIM(Enginuity!$A$1),
    TRIM(B2910)=TRIM(Enginuity!$A$17),
    Q2910&lt;&gt;"",
    Q2910&lt;&gt;0,
    OR(
      TRIM(C2910)=TRIM(Enginuity!$A$18),
      AND(UPPER(TRIM(M2910))="STD", TRIM(B2910)=TRIM(Enginuity!$A$17))
    ),
    OR(
      AND(LEFT(P2910,5)="1-Way", Enginuity!$B$13=1),
      AND(LEFT(P2910,5)="2-Way", OR(Enginuity!$B$13=2, Enginuity!$B$13=4)),
      AND(LEFT(P2910,5)="3-Way", OR(Enginuity!$B$13=3, Enginuity!$B$13=6)),
      AND(P2910="Inner Centre Jamb", OR(Enginuity!$B$13=4, Enginuity!$B$13=6)),
      AND(
        LEFT(P2910,5)&lt;&gt;"1-Way",
        LEFT(P2910,5)&lt;&gt;"2-Way",
        LEFT(P2910,5)&lt;&gt;"3-Way",
        P2910&lt;&gt;"Inner Centre Jamb"
      )
    ),
    IF(OR(Enginuity!$A$1="Frameless Glass",Enginuity!$A$1="Metal Work"),
      AND(TRIM(B2910)=TRIM(Enginuity!$A$17),TRIM(C2910)=TRIM(Enginuity!$A$18)),
      TRIM(B2910)=TRIM(Enginuity!$A$17)
    )
  ),
  ROW(),
  ""
)</f>
        <v/>
      </c>
    </row>
    <row r="2911" spans="21:21" x14ac:dyDescent="0.25">
      <c r="U2911" s="104" t="str">
        <f>IF(
  AND(
    TRIM(A2911)=TRIM(Enginuity!$A$1),
    TRIM(B2911)=TRIM(Enginuity!$A$17),
    Q2911&lt;&gt;"",
    Q2911&lt;&gt;0,
    OR(
      TRIM(C2911)=TRIM(Enginuity!$A$18),
      AND(UPPER(TRIM(M2911))="STD", TRIM(B2911)=TRIM(Enginuity!$A$17))
    ),
    OR(
      AND(LEFT(P2911,5)="1-Way", Enginuity!$B$13=1),
      AND(LEFT(P2911,5)="2-Way", OR(Enginuity!$B$13=2, Enginuity!$B$13=4)),
      AND(LEFT(P2911,5)="3-Way", OR(Enginuity!$B$13=3, Enginuity!$B$13=6)),
      AND(P2911="Inner Centre Jamb", OR(Enginuity!$B$13=4, Enginuity!$B$13=6)),
      AND(
        LEFT(P2911,5)&lt;&gt;"1-Way",
        LEFT(P2911,5)&lt;&gt;"2-Way",
        LEFT(P2911,5)&lt;&gt;"3-Way",
        P2911&lt;&gt;"Inner Centre Jamb"
      )
    ),
    IF(OR(Enginuity!$A$1="Frameless Glass",Enginuity!$A$1="Metal Work"),
      AND(TRIM(B2911)=TRIM(Enginuity!$A$17),TRIM(C2911)=TRIM(Enginuity!$A$18)),
      TRIM(B2911)=TRIM(Enginuity!$A$17)
    )
  ),
  ROW(),
  ""
)</f>
        <v/>
      </c>
    </row>
    <row r="2912" spans="21:21" x14ac:dyDescent="0.25">
      <c r="U2912" s="104" t="str">
        <f>IF(
  AND(
    TRIM(A2912)=TRIM(Enginuity!$A$1),
    TRIM(B2912)=TRIM(Enginuity!$A$17),
    Q2912&lt;&gt;"",
    Q2912&lt;&gt;0,
    OR(
      TRIM(C2912)=TRIM(Enginuity!$A$18),
      AND(UPPER(TRIM(M2912))="STD", TRIM(B2912)=TRIM(Enginuity!$A$17))
    ),
    OR(
      AND(LEFT(P2912,5)="1-Way", Enginuity!$B$13=1),
      AND(LEFT(P2912,5)="2-Way", OR(Enginuity!$B$13=2, Enginuity!$B$13=4)),
      AND(LEFT(P2912,5)="3-Way", OR(Enginuity!$B$13=3, Enginuity!$B$13=6)),
      AND(P2912="Inner Centre Jamb", OR(Enginuity!$B$13=4, Enginuity!$B$13=6)),
      AND(
        LEFT(P2912,5)&lt;&gt;"1-Way",
        LEFT(P2912,5)&lt;&gt;"2-Way",
        LEFT(P2912,5)&lt;&gt;"3-Way",
        P2912&lt;&gt;"Inner Centre Jamb"
      )
    ),
    IF(OR(Enginuity!$A$1="Frameless Glass",Enginuity!$A$1="Metal Work"),
      AND(TRIM(B2912)=TRIM(Enginuity!$A$17),TRIM(C2912)=TRIM(Enginuity!$A$18)),
      TRIM(B2912)=TRIM(Enginuity!$A$17)
    )
  ),
  ROW(),
  ""
)</f>
        <v/>
      </c>
    </row>
    <row r="2913" spans="21:21" x14ac:dyDescent="0.25">
      <c r="U2913" s="104" t="str">
        <f>IF(
  AND(
    TRIM(A2913)=TRIM(Enginuity!$A$1),
    TRIM(B2913)=TRIM(Enginuity!$A$17),
    Q2913&lt;&gt;"",
    Q2913&lt;&gt;0,
    OR(
      TRIM(C2913)=TRIM(Enginuity!$A$18),
      AND(UPPER(TRIM(M2913))="STD", TRIM(B2913)=TRIM(Enginuity!$A$17))
    ),
    OR(
      AND(LEFT(P2913,5)="1-Way", Enginuity!$B$13=1),
      AND(LEFT(P2913,5)="2-Way", OR(Enginuity!$B$13=2, Enginuity!$B$13=4)),
      AND(LEFT(P2913,5)="3-Way", OR(Enginuity!$B$13=3, Enginuity!$B$13=6)),
      AND(P2913="Inner Centre Jamb", OR(Enginuity!$B$13=4, Enginuity!$B$13=6)),
      AND(
        LEFT(P2913,5)&lt;&gt;"1-Way",
        LEFT(P2913,5)&lt;&gt;"2-Way",
        LEFT(P2913,5)&lt;&gt;"3-Way",
        P2913&lt;&gt;"Inner Centre Jamb"
      )
    ),
    IF(OR(Enginuity!$A$1="Frameless Glass",Enginuity!$A$1="Metal Work"),
      AND(TRIM(B2913)=TRIM(Enginuity!$A$17),TRIM(C2913)=TRIM(Enginuity!$A$18)),
      TRIM(B2913)=TRIM(Enginuity!$A$17)
    )
  ),
  ROW(),
  ""
)</f>
        <v/>
      </c>
    </row>
    <row r="2914" spans="21:21" x14ac:dyDescent="0.25">
      <c r="U2914" s="104" t="str">
        <f>IF(
  AND(
    TRIM(A2914)=TRIM(Enginuity!$A$1),
    TRIM(B2914)=TRIM(Enginuity!$A$17),
    Q2914&lt;&gt;"",
    Q2914&lt;&gt;0,
    OR(
      TRIM(C2914)=TRIM(Enginuity!$A$18),
      AND(UPPER(TRIM(M2914))="STD", TRIM(B2914)=TRIM(Enginuity!$A$17))
    ),
    OR(
      AND(LEFT(P2914,5)="1-Way", Enginuity!$B$13=1),
      AND(LEFT(P2914,5)="2-Way", OR(Enginuity!$B$13=2, Enginuity!$B$13=4)),
      AND(LEFT(P2914,5)="3-Way", OR(Enginuity!$B$13=3, Enginuity!$B$13=6)),
      AND(P2914="Inner Centre Jamb", OR(Enginuity!$B$13=4, Enginuity!$B$13=6)),
      AND(
        LEFT(P2914,5)&lt;&gt;"1-Way",
        LEFT(P2914,5)&lt;&gt;"2-Way",
        LEFT(P2914,5)&lt;&gt;"3-Way",
        P2914&lt;&gt;"Inner Centre Jamb"
      )
    ),
    IF(OR(Enginuity!$A$1="Frameless Glass",Enginuity!$A$1="Metal Work"),
      AND(TRIM(B2914)=TRIM(Enginuity!$A$17),TRIM(C2914)=TRIM(Enginuity!$A$18)),
      TRIM(B2914)=TRIM(Enginuity!$A$17)
    )
  ),
  ROW(),
  ""
)</f>
        <v/>
      </c>
    </row>
    <row r="2915" spans="21:21" x14ac:dyDescent="0.25">
      <c r="U2915" s="104" t="str">
        <f>IF(
  AND(
    TRIM(A2915)=TRIM(Enginuity!$A$1),
    TRIM(B2915)=TRIM(Enginuity!$A$17),
    Q2915&lt;&gt;"",
    Q2915&lt;&gt;0,
    OR(
      TRIM(C2915)=TRIM(Enginuity!$A$18),
      AND(UPPER(TRIM(M2915))="STD", TRIM(B2915)=TRIM(Enginuity!$A$17))
    ),
    OR(
      AND(LEFT(P2915,5)="1-Way", Enginuity!$B$13=1),
      AND(LEFT(P2915,5)="2-Way", OR(Enginuity!$B$13=2, Enginuity!$B$13=4)),
      AND(LEFT(P2915,5)="3-Way", OR(Enginuity!$B$13=3, Enginuity!$B$13=6)),
      AND(P2915="Inner Centre Jamb", OR(Enginuity!$B$13=4, Enginuity!$B$13=6)),
      AND(
        LEFT(P2915,5)&lt;&gt;"1-Way",
        LEFT(P2915,5)&lt;&gt;"2-Way",
        LEFT(P2915,5)&lt;&gt;"3-Way",
        P2915&lt;&gt;"Inner Centre Jamb"
      )
    ),
    IF(OR(Enginuity!$A$1="Frameless Glass",Enginuity!$A$1="Metal Work"),
      AND(TRIM(B2915)=TRIM(Enginuity!$A$17),TRIM(C2915)=TRIM(Enginuity!$A$18)),
      TRIM(B2915)=TRIM(Enginuity!$A$17)
    )
  ),
  ROW(),
  ""
)</f>
        <v/>
      </c>
    </row>
    <row r="2916" spans="21:21" x14ac:dyDescent="0.25">
      <c r="U2916" s="104" t="str">
        <f>IF(
  AND(
    TRIM(A2916)=TRIM(Enginuity!$A$1),
    TRIM(B2916)=TRIM(Enginuity!$A$17),
    Q2916&lt;&gt;"",
    Q2916&lt;&gt;0,
    OR(
      TRIM(C2916)=TRIM(Enginuity!$A$18),
      AND(UPPER(TRIM(M2916))="STD", TRIM(B2916)=TRIM(Enginuity!$A$17))
    ),
    OR(
      AND(LEFT(P2916,5)="1-Way", Enginuity!$B$13=1),
      AND(LEFT(P2916,5)="2-Way", OR(Enginuity!$B$13=2, Enginuity!$B$13=4)),
      AND(LEFT(P2916,5)="3-Way", OR(Enginuity!$B$13=3, Enginuity!$B$13=6)),
      AND(P2916="Inner Centre Jamb", OR(Enginuity!$B$13=4, Enginuity!$B$13=6)),
      AND(
        LEFT(P2916,5)&lt;&gt;"1-Way",
        LEFT(P2916,5)&lt;&gt;"2-Way",
        LEFT(P2916,5)&lt;&gt;"3-Way",
        P2916&lt;&gt;"Inner Centre Jamb"
      )
    ),
    IF(OR(Enginuity!$A$1="Frameless Glass",Enginuity!$A$1="Metal Work"),
      AND(TRIM(B2916)=TRIM(Enginuity!$A$17),TRIM(C2916)=TRIM(Enginuity!$A$18)),
      TRIM(B2916)=TRIM(Enginuity!$A$17)
    )
  ),
  ROW(),
  ""
)</f>
        <v/>
      </c>
    </row>
    <row r="2917" spans="21:21" x14ac:dyDescent="0.25">
      <c r="U2917" s="104" t="str">
        <f>IF(
  AND(
    TRIM(A2917)=TRIM(Enginuity!$A$1),
    TRIM(B2917)=TRIM(Enginuity!$A$17),
    Q2917&lt;&gt;"",
    Q2917&lt;&gt;0,
    OR(
      TRIM(C2917)=TRIM(Enginuity!$A$18),
      AND(UPPER(TRIM(M2917))="STD", TRIM(B2917)=TRIM(Enginuity!$A$17))
    ),
    OR(
      AND(LEFT(P2917,5)="1-Way", Enginuity!$B$13=1),
      AND(LEFT(P2917,5)="2-Way", OR(Enginuity!$B$13=2, Enginuity!$B$13=4)),
      AND(LEFT(P2917,5)="3-Way", OR(Enginuity!$B$13=3, Enginuity!$B$13=6)),
      AND(P2917="Inner Centre Jamb", OR(Enginuity!$B$13=4, Enginuity!$B$13=6)),
      AND(
        LEFT(P2917,5)&lt;&gt;"1-Way",
        LEFT(P2917,5)&lt;&gt;"2-Way",
        LEFT(P2917,5)&lt;&gt;"3-Way",
        P2917&lt;&gt;"Inner Centre Jamb"
      )
    ),
    IF(OR(Enginuity!$A$1="Frameless Glass",Enginuity!$A$1="Metal Work"),
      AND(TRIM(B2917)=TRIM(Enginuity!$A$17),TRIM(C2917)=TRIM(Enginuity!$A$18)),
      TRIM(B2917)=TRIM(Enginuity!$A$17)
    )
  ),
  ROW(),
  ""
)</f>
        <v/>
      </c>
    </row>
    <row r="2918" spans="21:21" x14ac:dyDescent="0.25">
      <c r="U2918" s="104" t="str">
        <f>IF(
  AND(
    TRIM(A2918)=TRIM(Enginuity!$A$1),
    TRIM(B2918)=TRIM(Enginuity!$A$17),
    Q2918&lt;&gt;"",
    Q2918&lt;&gt;0,
    OR(
      TRIM(C2918)=TRIM(Enginuity!$A$18),
      AND(UPPER(TRIM(M2918))="STD", TRIM(B2918)=TRIM(Enginuity!$A$17))
    ),
    OR(
      AND(LEFT(P2918,5)="1-Way", Enginuity!$B$13=1),
      AND(LEFT(P2918,5)="2-Way", OR(Enginuity!$B$13=2, Enginuity!$B$13=4)),
      AND(LEFT(P2918,5)="3-Way", OR(Enginuity!$B$13=3, Enginuity!$B$13=6)),
      AND(P2918="Inner Centre Jamb", OR(Enginuity!$B$13=4, Enginuity!$B$13=6)),
      AND(
        LEFT(P2918,5)&lt;&gt;"1-Way",
        LEFT(P2918,5)&lt;&gt;"2-Way",
        LEFT(P2918,5)&lt;&gt;"3-Way",
        P2918&lt;&gt;"Inner Centre Jamb"
      )
    ),
    IF(OR(Enginuity!$A$1="Frameless Glass",Enginuity!$A$1="Metal Work"),
      AND(TRIM(B2918)=TRIM(Enginuity!$A$17),TRIM(C2918)=TRIM(Enginuity!$A$18)),
      TRIM(B2918)=TRIM(Enginuity!$A$17)
    )
  ),
  ROW(),
  ""
)</f>
        <v/>
      </c>
    </row>
    <row r="2919" spans="21:21" x14ac:dyDescent="0.25">
      <c r="U2919" s="104" t="str">
        <f>IF(
  AND(
    TRIM(A2919)=TRIM(Enginuity!$A$1),
    TRIM(B2919)=TRIM(Enginuity!$A$17),
    Q2919&lt;&gt;"",
    Q2919&lt;&gt;0,
    OR(
      TRIM(C2919)=TRIM(Enginuity!$A$18),
      AND(UPPER(TRIM(M2919))="STD", TRIM(B2919)=TRIM(Enginuity!$A$17))
    ),
    OR(
      AND(LEFT(P2919,5)="1-Way", Enginuity!$B$13=1),
      AND(LEFT(P2919,5)="2-Way", OR(Enginuity!$B$13=2, Enginuity!$B$13=4)),
      AND(LEFT(P2919,5)="3-Way", OR(Enginuity!$B$13=3, Enginuity!$B$13=6)),
      AND(P2919="Inner Centre Jamb", OR(Enginuity!$B$13=4, Enginuity!$B$13=6)),
      AND(
        LEFT(P2919,5)&lt;&gt;"1-Way",
        LEFT(P2919,5)&lt;&gt;"2-Way",
        LEFT(P2919,5)&lt;&gt;"3-Way",
        P2919&lt;&gt;"Inner Centre Jamb"
      )
    ),
    IF(OR(Enginuity!$A$1="Frameless Glass",Enginuity!$A$1="Metal Work"),
      AND(TRIM(B2919)=TRIM(Enginuity!$A$17),TRIM(C2919)=TRIM(Enginuity!$A$18)),
      TRIM(B2919)=TRIM(Enginuity!$A$17)
    )
  ),
  ROW(),
  ""
)</f>
        <v/>
      </c>
    </row>
    <row r="2920" spans="21:21" x14ac:dyDescent="0.25">
      <c r="U2920" s="104" t="str">
        <f>IF(
  AND(
    TRIM(A2920)=TRIM(Enginuity!$A$1),
    TRIM(B2920)=TRIM(Enginuity!$A$17),
    Q2920&lt;&gt;"",
    Q2920&lt;&gt;0,
    OR(
      TRIM(C2920)=TRIM(Enginuity!$A$18),
      AND(UPPER(TRIM(M2920))="STD", TRIM(B2920)=TRIM(Enginuity!$A$17))
    ),
    OR(
      AND(LEFT(P2920,5)="1-Way", Enginuity!$B$13=1),
      AND(LEFT(P2920,5)="2-Way", OR(Enginuity!$B$13=2, Enginuity!$B$13=4)),
      AND(LEFT(P2920,5)="3-Way", OR(Enginuity!$B$13=3, Enginuity!$B$13=6)),
      AND(P2920="Inner Centre Jamb", OR(Enginuity!$B$13=4, Enginuity!$B$13=6)),
      AND(
        LEFT(P2920,5)&lt;&gt;"1-Way",
        LEFT(P2920,5)&lt;&gt;"2-Way",
        LEFT(P2920,5)&lt;&gt;"3-Way",
        P2920&lt;&gt;"Inner Centre Jamb"
      )
    ),
    IF(OR(Enginuity!$A$1="Frameless Glass",Enginuity!$A$1="Metal Work"),
      AND(TRIM(B2920)=TRIM(Enginuity!$A$17),TRIM(C2920)=TRIM(Enginuity!$A$18)),
      TRIM(B2920)=TRIM(Enginuity!$A$17)
    )
  ),
  ROW(),
  ""
)</f>
        <v/>
      </c>
    </row>
    <row r="2921" spans="21:21" x14ac:dyDescent="0.25">
      <c r="U2921" s="104" t="str">
        <f>IF(
  AND(
    TRIM(A2921)=TRIM(Enginuity!$A$1),
    TRIM(B2921)=TRIM(Enginuity!$A$17),
    Q2921&lt;&gt;"",
    Q2921&lt;&gt;0,
    OR(
      TRIM(C2921)=TRIM(Enginuity!$A$18),
      AND(UPPER(TRIM(M2921))="STD", TRIM(B2921)=TRIM(Enginuity!$A$17))
    ),
    OR(
      AND(LEFT(P2921,5)="1-Way", Enginuity!$B$13=1),
      AND(LEFT(P2921,5)="2-Way", OR(Enginuity!$B$13=2, Enginuity!$B$13=4)),
      AND(LEFT(P2921,5)="3-Way", OR(Enginuity!$B$13=3, Enginuity!$B$13=6)),
      AND(P2921="Inner Centre Jamb", OR(Enginuity!$B$13=4, Enginuity!$B$13=6)),
      AND(
        LEFT(P2921,5)&lt;&gt;"1-Way",
        LEFT(P2921,5)&lt;&gt;"2-Way",
        LEFT(P2921,5)&lt;&gt;"3-Way",
        P2921&lt;&gt;"Inner Centre Jamb"
      )
    ),
    IF(OR(Enginuity!$A$1="Frameless Glass",Enginuity!$A$1="Metal Work"),
      AND(TRIM(B2921)=TRIM(Enginuity!$A$17),TRIM(C2921)=TRIM(Enginuity!$A$18)),
      TRIM(B2921)=TRIM(Enginuity!$A$17)
    )
  ),
  ROW(),
  ""
)</f>
        <v/>
      </c>
    </row>
    <row r="2922" spans="21:21" x14ac:dyDescent="0.25">
      <c r="U2922" s="104" t="str">
        <f>IF(
  AND(
    TRIM(A2922)=TRIM(Enginuity!$A$1),
    TRIM(B2922)=TRIM(Enginuity!$A$17),
    Q2922&lt;&gt;"",
    Q2922&lt;&gt;0,
    OR(
      TRIM(C2922)=TRIM(Enginuity!$A$18),
      AND(UPPER(TRIM(M2922))="STD", TRIM(B2922)=TRIM(Enginuity!$A$17))
    ),
    OR(
      AND(LEFT(P2922,5)="1-Way", Enginuity!$B$13=1),
      AND(LEFT(P2922,5)="2-Way", OR(Enginuity!$B$13=2, Enginuity!$B$13=4)),
      AND(LEFT(P2922,5)="3-Way", OR(Enginuity!$B$13=3, Enginuity!$B$13=6)),
      AND(P2922="Inner Centre Jamb", OR(Enginuity!$B$13=4, Enginuity!$B$13=6)),
      AND(
        LEFT(P2922,5)&lt;&gt;"1-Way",
        LEFT(P2922,5)&lt;&gt;"2-Way",
        LEFT(P2922,5)&lt;&gt;"3-Way",
        P2922&lt;&gt;"Inner Centre Jamb"
      )
    ),
    IF(OR(Enginuity!$A$1="Frameless Glass",Enginuity!$A$1="Metal Work"),
      AND(TRIM(B2922)=TRIM(Enginuity!$A$17),TRIM(C2922)=TRIM(Enginuity!$A$18)),
      TRIM(B2922)=TRIM(Enginuity!$A$17)
    )
  ),
  ROW(),
  ""
)</f>
        <v/>
      </c>
    </row>
    <row r="2923" spans="21:21" x14ac:dyDescent="0.25">
      <c r="U2923" s="104" t="str">
        <f>IF(
  AND(
    TRIM(A2923)=TRIM(Enginuity!$A$1),
    TRIM(B2923)=TRIM(Enginuity!$A$17),
    Q2923&lt;&gt;"",
    Q2923&lt;&gt;0,
    OR(
      TRIM(C2923)=TRIM(Enginuity!$A$18),
      AND(UPPER(TRIM(M2923))="STD", TRIM(B2923)=TRIM(Enginuity!$A$17))
    ),
    OR(
      AND(LEFT(P2923,5)="1-Way", Enginuity!$B$13=1),
      AND(LEFT(P2923,5)="2-Way", OR(Enginuity!$B$13=2, Enginuity!$B$13=4)),
      AND(LEFT(P2923,5)="3-Way", OR(Enginuity!$B$13=3, Enginuity!$B$13=6)),
      AND(P2923="Inner Centre Jamb", OR(Enginuity!$B$13=4, Enginuity!$B$13=6)),
      AND(
        LEFT(P2923,5)&lt;&gt;"1-Way",
        LEFT(P2923,5)&lt;&gt;"2-Way",
        LEFT(P2923,5)&lt;&gt;"3-Way",
        P2923&lt;&gt;"Inner Centre Jamb"
      )
    ),
    IF(OR(Enginuity!$A$1="Frameless Glass",Enginuity!$A$1="Metal Work"),
      AND(TRIM(B2923)=TRIM(Enginuity!$A$17),TRIM(C2923)=TRIM(Enginuity!$A$18)),
      TRIM(B2923)=TRIM(Enginuity!$A$17)
    )
  ),
  ROW(),
  ""
)</f>
        <v/>
      </c>
    </row>
    <row r="2924" spans="21:21" x14ac:dyDescent="0.25">
      <c r="U2924" s="104" t="str">
        <f>IF(
  AND(
    TRIM(A2924)=TRIM(Enginuity!$A$1),
    TRIM(B2924)=TRIM(Enginuity!$A$17),
    Q2924&lt;&gt;"",
    Q2924&lt;&gt;0,
    OR(
      TRIM(C2924)=TRIM(Enginuity!$A$18),
      AND(UPPER(TRIM(M2924))="STD", TRIM(B2924)=TRIM(Enginuity!$A$17))
    ),
    OR(
      AND(LEFT(P2924,5)="1-Way", Enginuity!$B$13=1),
      AND(LEFT(P2924,5)="2-Way", OR(Enginuity!$B$13=2, Enginuity!$B$13=4)),
      AND(LEFT(P2924,5)="3-Way", OR(Enginuity!$B$13=3, Enginuity!$B$13=6)),
      AND(P2924="Inner Centre Jamb", OR(Enginuity!$B$13=4, Enginuity!$B$13=6)),
      AND(
        LEFT(P2924,5)&lt;&gt;"1-Way",
        LEFT(P2924,5)&lt;&gt;"2-Way",
        LEFT(P2924,5)&lt;&gt;"3-Way",
        P2924&lt;&gt;"Inner Centre Jamb"
      )
    ),
    IF(OR(Enginuity!$A$1="Frameless Glass",Enginuity!$A$1="Metal Work"),
      AND(TRIM(B2924)=TRIM(Enginuity!$A$17),TRIM(C2924)=TRIM(Enginuity!$A$18)),
      TRIM(B2924)=TRIM(Enginuity!$A$17)
    )
  ),
  ROW(),
  ""
)</f>
        <v/>
      </c>
    </row>
    <row r="2925" spans="21:21" x14ac:dyDescent="0.25">
      <c r="U2925" s="104" t="str">
        <f>IF(
  AND(
    TRIM(A2925)=TRIM(Enginuity!$A$1),
    TRIM(B2925)=TRIM(Enginuity!$A$17),
    Q2925&lt;&gt;"",
    Q2925&lt;&gt;0,
    OR(
      TRIM(C2925)=TRIM(Enginuity!$A$18),
      AND(UPPER(TRIM(M2925))="STD", TRIM(B2925)=TRIM(Enginuity!$A$17))
    ),
    OR(
      AND(LEFT(P2925,5)="1-Way", Enginuity!$B$13=1),
      AND(LEFT(P2925,5)="2-Way", OR(Enginuity!$B$13=2, Enginuity!$B$13=4)),
      AND(LEFT(P2925,5)="3-Way", OR(Enginuity!$B$13=3, Enginuity!$B$13=6)),
      AND(P2925="Inner Centre Jamb", OR(Enginuity!$B$13=4, Enginuity!$B$13=6)),
      AND(
        LEFT(P2925,5)&lt;&gt;"1-Way",
        LEFT(P2925,5)&lt;&gt;"2-Way",
        LEFT(P2925,5)&lt;&gt;"3-Way",
        P2925&lt;&gt;"Inner Centre Jamb"
      )
    ),
    IF(OR(Enginuity!$A$1="Frameless Glass",Enginuity!$A$1="Metal Work"),
      AND(TRIM(B2925)=TRIM(Enginuity!$A$17),TRIM(C2925)=TRIM(Enginuity!$A$18)),
      TRIM(B2925)=TRIM(Enginuity!$A$17)
    )
  ),
  ROW(),
  ""
)</f>
        <v/>
      </c>
    </row>
    <row r="2926" spans="21:21" x14ac:dyDescent="0.25">
      <c r="U2926" s="104" t="str">
        <f>IF(
  AND(
    TRIM(A2926)=TRIM(Enginuity!$A$1),
    TRIM(B2926)=TRIM(Enginuity!$A$17),
    Q2926&lt;&gt;"",
    Q2926&lt;&gt;0,
    OR(
      TRIM(C2926)=TRIM(Enginuity!$A$18),
      AND(UPPER(TRIM(M2926))="STD", TRIM(B2926)=TRIM(Enginuity!$A$17))
    ),
    OR(
      AND(LEFT(P2926,5)="1-Way", Enginuity!$B$13=1),
      AND(LEFT(P2926,5)="2-Way", OR(Enginuity!$B$13=2, Enginuity!$B$13=4)),
      AND(LEFT(P2926,5)="3-Way", OR(Enginuity!$B$13=3, Enginuity!$B$13=6)),
      AND(P2926="Inner Centre Jamb", OR(Enginuity!$B$13=4, Enginuity!$B$13=6)),
      AND(
        LEFT(P2926,5)&lt;&gt;"1-Way",
        LEFT(P2926,5)&lt;&gt;"2-Way",
        LEFT(P2926,5)&lt;&gt;"3-Way",
        P2926&lt;&gt;"Inner Centre Jamb"
      )
    ),
    IF(OR(Enginuity!$A$1="Frameless Glass",Enginuity!$A$1="Metal Work"),
      AND(TRIM(B2926)=TRIM(Enginuity!$A$17),TRIM(C2926)=TRIM(Enginuity!$A$18)),
      TRIM(B2926)=TRIM(Enginuity!$A$17)
    )
  ),
  ROW(),
  ""
)</f>
        <v/>
      </c>
    </row>
    <row r="2927" spans="21:21" x14ac:dyDescent="0.25">
      <c r="U2927" s="104" t="str">
        <f>IF(
  AND(
    TRIM(A2927)=TRIM(Enginuity!$A$1),
    TRIM(B2927)=TRIM(Enginuity!$A$17),
    Q2927&lt;&gt;"",
    Q2927&lt;&gt;0,
    OR(
      TRIM(C2927)=TRIM(Enginuity!$A$18),
      AND(UPPER(TRIM(M2927))="STD", TRIM(B2927)=TRIM(Enginuity!$A$17))
    ),
    OR(
      AND(LEFT(P2927,5)="1-Way", Enginuity!$B$13=1),
      AND(LEFT(P2927,5)="2-Way", OR(Enginuity!$B$13=2, Enginuity!$B$13=4)),
      AND(LEFT(P2927,5)="3-Way", OR(Enginuity!$B$13=3, Enginuity!$B$13=6)),
      AND(P2927="Inner Centre Jamb", OR(Enginuity!$B$13=4, Enginuity!$B$13=6)),
      AND(
        LEFT(P2927,5)&lt;&gt;"1-Way",
        LEFT(P2927,5)&lt;&gt;"2-Way",
        LEFT(P2927,5)&lt;&gt;"3-Way",
        P2927&lt;&gt;"Inner Centre Jamb"
      )
    ),
    IF(OR(Enginuity!$A$1="Frameless Glass",Enginuity!$A$1="Metal Work"),
      AND(TRIM(B2927)=TRIM(Enginuity!$A$17),TRIM(C2927)=TRIM(Enginuity!$A$18)),
      TRIM(B2927)=TRIM(Enginuity!$A$17)
    )
  ),
  ROW(),
  ""
)</f>
        <v/>
      </c>
    </row>
    <row r="2928" spans="21:21" x14ac:dyDescent="0.25">
      <c r="U2928" s="104" t="str">
        <f>IF(
  AND(
    TRIM(A2928)=TRIM(Enginuity!$A$1),
    TRIM(B2928)=TRIM(Enginuity!$A$17),
    Q2928&lt;&gt;"",
    Q2928&lt;&gt;0,
    OR(
      TRIM(C2928)=TRIM(Enginuity!$A$18),
      AND(UPPER(TRIM(M2928))="STD", TRIM(B2928)=TRIM(Enginuity!$A$17))
    ),
    OR(
      AND(LEFT(P2928,5)="1-Way", Enginuity!$B$13=1),
      AND(LEFT(P2928,5)="2-Way", OR(Enginuity!$B$13=2, Enginuity!$B$13=4)),
      AND(LEFT(P2928,5)="3-Way", OR(Enginuity!$B$13=3, Enginuity!$B$13=6)),
      AND(P2928="Inner Centre Jamb", OR(Enginuity!$B$13=4, Enginuity!$B$13=6)),
      AND(
        LEFT(P2928,5)&lt;&gt;"1-Way",
        LEFT(P2928,5)&lt;&gt;"2-Way",
        LEFT(P2928,5)&lt;&gt;"3-Way",
        P2928&lt;&gt;"Inner Centre Jamb"
      )
    ),
    IF(OR(Enginuity!$A$1="Frameless Glass",Enginuity!$A$1="Metal Work"),
      AND(TRIM(B2928)=TRIM(Enginuity!$A$17),TRIM(C2928)=TRIM(Enginuity!$A$18)),
      TRIM(B2928)=TRIM(Enginuity!$A$17)
    )
  ),
  ROW(),
  ""
)</f>
        <v/>
      </c>
    </row>
    <row r="2929" spans="21:21" x14ac:dyDescent="0.25">
      <c r="U2929" s="104" t="str">
        <f>IF(
  AND(
    TRIM(A2929)=TRIM(Enginuity!$A$1),
    TRIM(B2929)=TRIM(Enginuity!$A$17),
    Q2929&lt;&gt;"",
    Q2929&lt;&gt;0,
    OR(
      TRIM(C2929)=TRIM(Enginuity!$A$18),
      AND(UPPER(TRIM(M2929))="STD", TRIM(B2929)=TRIM(Enginuity!$A$17))
    ),
    OR(
      AND(LEFT(P2929,5)="1-Way", Enginuity!$B$13=1),
      AND(LEFT(P2929,5)="2-Way", OR(Enginuity!$B$13=2, Enginuity!$B$13=4)),
      AND(LEFT(P2929,5)="3-Way", OR(Enginuity!$B$13=3, Enginuity!$B$13=6)),
      AND(P2929="Inner Centre Jamb", OR(Enginuity!$B$13=4, Enginuity!$B$13=6)),
      AND(
        LEFT(P2929,5)&lt;&gt;"1-Way",
        LEFT(P2929,5)&lt;&gt;"2-Way",
        LEFT(P2929,5)&lt;&gt;"3-Way",
        P2929&lt;&gt;"Inner Centre Jamb"
      )
    ),
    IF(OR(Enginuity!$A$1="Frameless Glass",Enginuity!$A$1="Metal Work"),
      AND(TRIM(B2929)=TRIM(Enginuity!$A$17),TRIM(C2929)=TRIM(Enginuity!$A$18)),
      TRIM(B2929)=TRIM(Enginuity!$A$17)
    )
  ),
  ROW(),
  ""
)</f>
        <v/>
      </c>
    </row>
    <row r="2930" spans="21:21" x14ac:dyDescent="0.25">
      <c r="U2930" s="104" t="str">
        <f>IF(
  AND(
    TRIM(A2930)=TRIM(Enginuity!$A$1),
    TRIM(B2930)=TRIM(Enginuity!$A$17),
    Q2930&lt;&gt;"",
    Q2930&lt;&gt;0,
    OR(
      TRIM(C2930)=TRIM(Enginuity!$A$18),
      AND(UPPER(TRIM(M2930))="STD", TRIM(B2930)=TRIM(Enginuity!$A$17))
    ),
    OR(
      AND(LEFT(P2930,5)="1-Way", Enginuity!$B$13=1),
      AND(LEFT(P2930,5)="2-Way", OR(Enginuity!$B$13=2, Enginuity!$B$13=4)),
      AND(LEFT(P2930,5)="3-Way", OR(Enginuity!$B$13=3, Enginuity!$B$13=6)),
      AND(P2930="Inner Centre Jamb", OR(Enginuity!$B$13=4, Enginuity!$B$13=6)),
      AND(
        LEFT(P2930,5)&lt;&gt;"1-Way",
        LEFT(P2930,5)&lt;&gt;"2-Way",
        LEFT(P2930,5)&lt;&gt;"3-Way",
        P2930&lt;&gt;"Inner Centre Jamb"
      )
    ),
    IF(OR(Enginuity!$A$1="Frameless Glass",Enginuity!$A$1="Metal Work"),
      AND(TRIM(B2930)=TRIM(Enginuity!$A$17),TRIM(C2930)=TRIM(Enginuity!$A$18)),
      TRIM(B2930)=TRIM(Enginuity!$A$17)
    )
  ),
  ROW(),
  ""
)</f>
        <v/>
      </c>
    </row>
    <row r="2931" spans="21:21" x14ac:dyDescent="0.25">
      <c r="U2931" s="104" t="str">
        <f>IF(
  AND(
    TRIM(A2931)=TRIM(Enginuity!$A$1),
    TRIM(B2931)=TRIM(Enginuity!$A$17),
    Q2931&lt;&gt;"",
    Q2931&lt;&gt;0,
    OR(
      TRIM(C2931)=TRIM(Enginuity!$A$18),
      AND(UPPER(TRIM(M2931))="STD", TRIM(B2931)=TRIM(Enginuity!$A$17))
    ),
    OR(
      AND(LEFT(P2931,5)="1-Way", Enginuity!$B$13=1),
      AND(LEFT(P2931,5)="2-Way", OR(Enginuity!$B$13=2, Enginuity!$B$13=4)),
      AND(LEFT(P2931,5)="3-Way", OR(Enginuity!$B$13=3, Enginuity!$B$13=6)),
      AND(P2931="Inner Centre Jamb", OR(Enginuity!$B$13=4, Enginuity!$B$13=6)),
      AND(
        LEFT(P2931,5)&lt;&gt;"1-Way",
        LEFT(P2931,5)&lt;&gt;"2-Way",
        LEFT(P2931,5)&lt;&gt;"3-Way",
        P2931&lt;&gt;"Inner Centre Jamb"
      )
    ),
    IF(OR(Enginuity!$A$1="Frameless Glass",Enginuity!$A$1="Metal Work"),
      AND(TRIM(B2931)=TRIM(Enginuity!$A$17),TRIM(C2931)=TRIM(Enginuity!$A$18)),
      TRIM(B2931)=TRIM(Enginuity!$A$17)
    )
  ),
  ROW(),
  ""
)</f>
        <v/>
      </c>
    </row>
    <row r="2932" spans="21:21" x14ac:dyDescent="0.25">
      <c r="U2932" s="104" t="str">
        <f>IF(
  AND(
    TRIM(A2932)=TRIM(Enginuity!$A$1),
    TRIM(B2932)=TRIM(Enginuity!$A$17),
    Q2932&lt;&gt;"",
    Q2932&lt;&gt;0,
    OR(
      TRIM(C2932)=TRIM(Enginuity!$A$18),
      AND(UPPER(TRIM(M2932))="STD", TRIM(B2932)=TRIM(Enginuity!$A$17))
    ),
    OR(
      AND(LEFT(P2932,5)="1-Way", Enginuity!$B$13=1),
      AND(LEFT(P2932,5)="2-Way", OR(Enginuity!$B$13=2, Enginuity!$B$13=4)),
      AND(LEFT(P2932,5)="3-Way", OR(Enginuity!$B$13=3, Enginuity!$B$13=6)),
      AND(P2932="Inner Centre Jamb", OR(Enginuity!$B$13=4, Enginuity!$B$13=6)),
      AND(
        LEFT(P2932,5)&lt;&gt;"1-Way",
        LEFT(P2932,5)&lt;&gt;"2-Way",
        LEFT(P2932,5)&lt;&gt;"3-Way",
        P2932&lt;&gt;"Inner Centre Jamb"
      )
    ),
    IF(OR(Enginuity!$A$1="Frameless Glass",Enginuity!$A$1="Metal Work"),
      AND(TRIM(B2932)=TRIM(Enginuity!$A$17),TRIM(C2932)=TRIM(Enginuity!$A$18)),
      TRIM(B2932)=TRIM(Enginuity!$A$17)
    )
  ),
  ROW(),
  ""
)</f>
        <v/>
      </c>
    </row>
    <row r="2933" spans="21:21" x14ac:dyDescent="0.25">
      <c r="U2933" s="104" t="str">
        <f>IF(
  AND(
    TRIM(A2933)=TRIM(Enginuity!$A$1),
    TRIM(B2933)=TRIM(Enginuity!$A$17),
    Q2933&lt;&gt;"",
    Q2933&lt;&gt;0,
    OR(
      TRIM(C2933)=TRIM(Enginuity!$A$18),
      AND(UPPER(TRIM(M2933))="STD", TRIM(B2933)=TRIM(Enginuity!$A$17))
    ),
    OR(
      AND(LEFT(P2933,5)="1-Way", Enginuity!$B$13=1),
      AND(LEFT(P2933,5)="2-Way", OR(Enginuity!$B$13=2, Enginuity!$B$13=4)),
      AND(LEFT(P2933,5)="3-Way", OR(Enginuity!$B$13=3, Enginuity!$B$13=6)),
      AND(P2933="Inner Centre Jamb", OR(Enginuity!$B$13=4, Enginuity!$B$13=6)),
      AND(
        LEFT(P2933,5)&lt;&gt;"1-Way",
        LEFT(P2933,5)&lt;&gt;"2-Way",
        LEFT(P2933,5)&lt;&gt;"3-Way",
        P2933&lt;&gt;"Inner Centre Jamb"
      )
    ),
    IF(OR(Enginuity!$A$1="Frameless Glass",Enginuity!$A$1="Metal Work"),
      AND(TRIM(B2933)=TRIM(Enginuity!$A$17),TRIM(C2933)=TRIM(Enginuity!$A$18)),
      TRIM(B2933)=TRIM(Enginuity!$A$17)
    )
  ),
  ROW(),
  ""
)</f>
        <v/>
      </c>
    </row>
    <row r="2934" spans="21:21" x14ac:dyDescent="0.25">
      <c r="U2934" s="104" t="str">
        <f>IF(
  AND(
    TRIM(A2934)=TRIM(Enginuity!$A$1),
    TRIM(B2934)=TRIM(Enginuity!$A$17),
    Q2934&lt;&gt;"",
    Q2934&lt;&gt;0,
    OR(
      TRIM(C2934)=TRIM(Enginuity!$A$18),
      AND(UPPER(TRIM(M2934))="STD", TRIM(B2934)=TRIM(Enginuity!$A$17))
    ),
    OR(
      AND(LEFT(P2934,5)="1-Way", Enginuity!$B$13=1),
      AND(LEFT(P2934,5)="2-Way", OR(Enginuity!$B$13=2, Enginuity!$B$13=4)),
      AND(LEFT(P2934,5)="3-Way", OR(Enginuity!$B$13=3, Enginuity!$B$13=6)),
      AND(P2934="Inner Centre Jamb", OR(Enginuity!$B$13=4, Enginuity!$B$13=6)),
      AND(
        LEFT(P2934,5)&lt;&gt;"1-Way",
        LEFT(P2934,5)&lt;&gt;"2-Way",
        LEFT(P2934,5)&lt;&gt;"3-Way",
        P2934&lt;&gt;"Inner Centre Jamb"
      )
    ),
    IF(OR(Enginuity!$A$1="Frameless Glass",Enginuity!$A$1="Metal Work"),
      AND(TRIM(B2934)=TRIM(Enginuity!$A$17),TRIM(C2934)=TRIM(Enginuity!$A$18)),
      TRIM(B2934)=TRIM(Enginuity!$A$17)
    )
  ),
  ROW(),
  ""
)</f>
        <v/>
      </c>
    </row>
    <row r="2935" spans="21:21" x14ac:dyDescent="0.25">
      <c r="U2935" s="104" t="str">
        <f>IF(
  AND(
    TRIM(A2935)=TRIM(Enginuity!$A$1),
    TRIM(B2935)=TRIM(Enginuity!$A$17),
    Q2935&lt;&gt;"",
    Q2935&lt;&gt;0,
    OR(
      TRIM(C2935)=TRIM(Enginuity!$A$18),
      AND(UPPER(TRIM(M2935))="STD", TRIM(B2935)=TRIM(Enginuity!$A$17))
    ),
    OR(
      AND(LEFT(P2935,5)="1-Way", Enginuity!$B$13=1),
      AND(LEFT(P2935,5)="2-Way", OR(Enginuity!$B$13=2, Enginuity!$B$13=4)),
      AND(LEFT(P2935,5)="3-Way", OR(Enginuity!$B$13=3, Enginuity!$B$13=6)),
      AND(P2935="Inner Centre Jamb", OR(Enginuity!$B$13=4, Enginuity!$B$13=6)),
      AND(
        LEFT(P2935,5)&lt;&gt;"1-Way",
        LEFT(P2935,5)&lt;&gt;"2-Way",
        LEFT(P2935,5)&lt;&gt;"3-Way",
        P2935&lt;&gt;"Inner Centre Jamb"
      )
    ),
    IF(OR(Enginuity!$A$1="Frameless Glass",Enginuity!$A$1="Metal Work"),
      AND(TRIM(B2935)=TRIM(Enginuity!$A$17),TRIM(C2935)=TRIM(Enginuity!$A$18)),
      TRIM(B2935)=TRIM(Enginuity!$A$17)
    )
  ),
  ROW(),
  ""
)</f>
        <v/>
      </c>
    </row>
    <row r="2936" spans="21:21" x14ac:dyDescent="0.25">
      <c r="U2936" s="104" t="str">
        <f>IF(
  AND(
    TRIM(A2936)=TRIM(Enginuity!$A$1),
    TRIM(B2936)=TRIM(Enginuity!$A$17),
    Q2936&lt;&gt;"",
    Q2936&lt;&gt;0,
    OR(
      TRIM(C2936)=TRIM(Enginuity!$A$18),
      AND(UPPER(TRIM(M2936))="STD", TRIM(B2936)=TRIM(Enginuity!$A$17))
    ),
    OR(
      AND(LEFT(P2936,5)="1-Way", Enginuity!$B$13=1),
      AND(LEFT(P2936,5)="2-Way", OR(Enginuity!$B$13=2, Enginuity!$B$13=4)),
      AND(LEFT(P2936,5)="3-Way", OR(Enginuity!$B$13=3, Enginuity!$B$13=6)),
      AND(P2936="Inner Centre Jamb", OR(Enginuity!$B$13=4, Enginuity!$B$13=6)),
      AND(
        LEFT(P2936,5)&lt;&gt;"1-Way",
        LEFT(P2936,5)&lt;&gt;"2-Way",
        LEFT(P2936,5)&lt;&gt;"3-Way",
        P2936&lt;&gt;"Inner Centre Jamb"
      )
    ),
    IF(OR(Enginuity!$A$1="Frameless Glass",Enginuity!$A$1="Metal Work"),
      AND(TRIM(B2936)=TRIM(Enginuity!$A$17),TRIM(C2936)=TRIM(Enginuity!$A$18)),
      TRIM(B2936)=TRIM(Enginuity!$A$17)
    )
  ),
  ROW(),
  ""
)</f>
        <v/>
      </c>
    </row>
    <row r="2937" spans="21:21" x14ac:dyDescent="0.25">
      <c r="U2937" s="104" t="str">
        <f>IF(
  AND(
    TRIM(A2937)=TRIM(Enginuity!$A$1),
    TRIM(B2937)=TRIM(Enginuity!$A$17),
    Q2937&lt;&gt;"",
    Q2937&lt;&gt;0,
    OR(
      TRIM(C2937)=TRIM(Enginuity!$A$18),
      AND(UPPER(TRIM(M2937))="STD", TRIM(B2937)=TRIM(Enginuity!$A$17))
    ),
    OR(
      AND(LEFT(P2937,5)="1-Way", Enginuity!$B$13=1),
      AND(LEFT(P2937,5)="2-Way", OR(Enginuity!$B$13=2, Enginuity!$B$13=4)),
      AND(LEFT(P2937,5)="3-Way", OR(Enginuity!$B$13=3, Enginuity!$B$13=6)),
      AND(P2937="Inner Centre Jamb", OR(Enginuity!$B$13=4, Enginuity!$B$13=6)),
      AND(
        LEFT(P2937,5)&lt;&gt;"1-Way",
        LEFT(P2937,5)&lt;&gt;"2-Way",
        LEFT(P2937,5)&lt;&gt;"3-Way",
        P2937&lt;&gt;"Inner Centre Jamb"
      )
    ),
    IF(OR(Enginuity!$A$1="Frameless Glass",Enginuity!$A$1="Metal Work"),
      AND(TRIM(B2937)=TRIM(Enginuity!$A$17),TRIM(C2937)=TRIM(Enginuity!$A$18)),
      TRIM(B2937)=TRIM(Enginuity!$A$17)
    )
  ),
  ROW(),
  ""
)</f>
        <v/>
      </c>
    </row>
    <row r="2938" spans="21:21" x14ac:dyDescent="0.25">
      <c r="U2938" s="104" t="str">
        <f>IF(
  AND(
    TRIM(A2938)=TRIM(Enginuity!$A$1),
    TRIM(B2938)=TRIM(Enginuity!$A$17),
    Q2938&lt;&gt;"",
    Q2938&lt;&gt;0,
    OR(
      TRIM(C2938)=TRIM(Enginuity!$A$18),
      AND(UPPER(TRIM(M2938))="STD", TRIM(B2938)=TRIM(Enginuity!$A$17))
    ),
    OR(
      AND(LEFT(P2938,5)="1-Way", Enginuity!$B$13=1),
      AND(LEFT(P2938,5)="2-Way", OR(Enginuity!$B$13=2, Enginuity!$B$13=4)),
      AND(LEFT(P2938,5)="3-Way", OR(Enginuity!$B$13=3, Enginuity!$B$13=6)),
      AND(P2938="Inner Centre Jamb", OR(Enginuity!$B$13=4, Enginuity!$B$13=6)),
      AND(
        LEFT(P2938,5)&lt;&gt;"1-Way",
        LEFT(P2938,5)&lt;&gt;"2-Way",
        LEFT(P2938,5)&lt;&gt;"3-Way",
        P2938&lt;&gt;"Inner Centre Jamb"
      )
    ),
    IF(OR(Enginuity!$A$1="Frameless Glass",Enginuity!$A$1="Metal Work"),
      AND(TRIM(B2938)=TRIM(Enginuity!$A$17),TRIM(C2938)=TRIM(Enginuity!$A$18)),
      TRIM(B2938)=TRIM(Enginuity!$A$17)
    )
  ),
  ROW(),
  ""
)</f>
        <v/>
      </c>
    </row>
    <row r="2939" spans="21:21" x14ac:dyDescent="0.25">
      <c r="U2939" s="104" t="str">
        <f>IF(
  AND(
    TRIM(A2939)=TRIM(Enginuity!$A$1),
    TRIM(B2939)=TRIM(Enginuity!$A$17),
    Q2939&lt;&gt;"",
    Q2939&lt;&gt;0,
    OR(
      TRIM(C2939)=TRIM(Enginuity!$A$18),
      AND(UPPER(TRIM(M2939))="STD", TRIM(B2939)=TRIM(Enginuity!$A$17))
    ),
    OR(
      AND(LEFT(P2939,5)="1-Way", Enginuity!$B$13=1),
      AND(LEFT(P2939,5)="2-Way", OR(Enginuity!$B$13=2, Enginuity!$B$13=4)),
      AND(LEFT(P2939,5)="3-Way", OR(Enginuity!$B$13=3, Enginuity!$B$13=6)),
      AND(P2939="Inner Centre Jamb", OR(Enginuity!$B$13=4, Enginuity!$B$13=6)),
      AND(
        LEFT(P2939,5)&lt;&gt;"1-Way",
        LEFT(P2939,5)&lt;&gt;"2-Way",
        LEFT(P2939,5)&lt;&gt;"3-Way",
        P2939&lt;&gt;"Inner Centre Jamb"
      )
    ),
    IF(OR(Enginuity!$A$1="Frameless Glass",Enginuity!$A$1="Metal Work"),
      AND(TRIM(B2939)=TRIM(Enginuity!$A$17),TRIM(C2939)=TRIM(Enginuity!$A$18)),
      TRIM(B2939)=TRIM(Enginuity!$A$17)
    )
  ),
  ROW(),
  ""
)</f>
        <v/>
      </c>
    </row>
    <row r="2940" spans="21:21" x14ac:dyDescent="0.25">
      <c r="U2940" s="104" t="str">
        <f>IF(
  AND(
    TRIM(A2940)=TRIM(Enginuity!$A$1),
    TRIM(B2940)=TRIM(Enginuity!$A$17),
    Q2940&lt;&gt;"",
    Q2940&lt;&gt;0,
    OR(
      TRIM(C2940)=TRIM(Enginuity!$A$18),
      AND(UPPER(TRIM(M2940))="STD", TRIM(B2940)=TRIM(Enginuity!$A$17))
    ),
    OR(
      AND(LEFT(P2940,5)="1-Way", Enginuity!$B$13=1),
      AND(LEFT(P2940,5)="2-Way", OR(Enginuity!$B$13=2, Enginuity!$B$13=4)),
      AND(LEFT(P2940,5)="3-Way", OR(Enginuity!$B$13=3, Enginuity!$B$13=6)),
      AND(P2940="Inner Centre Jamb", OR(Enginuity!$B$13=4, Enginuity!$B$13=6)),
      AND(
        LEFT(P2940,5)&lt;&gt;"1-Way",
        LEFT(P2940,5)&lt;&gt;"2-Way",
        LEFT(P2940,5)&lt;&gt;"3-Way",
        P2940&lt;&gt;"Inner Centre Jamb"
      )
    ),
    IF(OR(Enginuity!$A$1="Frameless Glass",Enginuity!$A$1="Metal Work"),
      AND(TRIM(B2940)=TRIM(Enginuity!$A$17),TRIM(C2940)=TRIM(Enginuity!$A$18)),
      TRIM(B2940)=TRIM(Enginuity!$A$17)
    )
  ),
  ROW(),
  ""
)</f>
        <v/>
      </c>
    </row>
    <row r="2941" spans="21:21" x14ac:dyDescent="0.25">
      <c r="U2941" s="104" t="str">
        <f>IF(
  AND(
    TRIM(A2941)=TRIM(Enginuity!$A$1),
    TRIM(B2941)=TRIM(Enginuity!$A$17),
    Q2941&lt;&gt;"",
    Q2941&lt;&gt;0,
    OR(
      TRIM(C2941)=TRIM(Enginuity!$A$18),
      AND(UPPER(TRIM(M2941))="STD", TRIM(B2941)=TRIM(Enginuity!$A$17))
    ),
    OR(
      AND(LEFT(P2941,5)="1-Way", Enginuity!$B$13=1),
      AND(LEFT(P2941,5)="2-Way", OR(Enginuity!$B$13=2, Enginuity!$B$13=4)),
      AND(LEFT(P2941,5)="3-Way", OR(Enginuity!$B$13=3, Enginuity!$B$13=6)),
      AND(P2941="Inner Centre Jamb", OR(Enginuity!$B$13=4, Enginuity!$B$13=6)),
      AND(
        LEFT(P2941,5)&lt;&gt;"1-Way",
        LEFT(P2941,5)&lt;&gt;"2-Way",
        LEFT(P2941,5)&lt;&gt;"3-Way",
        P2941&lt;&gt;"Inner Centre Jamb"
      )
    ),
    IF(OR(Enginuity!$A$1="Frameless Glass",Enginuity!$A$1="Metal Work"),
      AND(TRIM(B2941)=TRIM(Enginuity!$A$17),TRIM(C2941)=TRIM(Enginuity!$A$18)),
      TRIM(B2941)=TRIM(Enginuity!$A$17)
    )
  ),
  ROW(),
  ""
)</f>
        <v/>
      </c>
    </row>
    <row r="2942" spans="21:21" x14ac:dyDescent="0.25">
      <c r="U2942" s="104" t="str">
        <f>IF(
  AND(
    TRIM(A2942)=TRIM(Enginuity!$A$1),
    TRIM(B2942)=TRIM(Enginuity!$A$17),
    Q2942&lt;&gt;"",
    Q2942&lt;&gt;0,
    OR(
      TRIM(C2942)=TRIM(Enginuity!$A$18),
      AND(UPPER(TRIM(M2942))="STD", TRIM(B2942)=TRIM(Enginuity!$A$17))
    ),
    OR(
      AND(LEFT(P2942,5)="1-Way", Enginuity!$B$13=1),
      AND(LEFT(P2942,5)="2-Way", OR(Enginuity!$B$13=2, Enginuity!$B$13=4)),
      AND(LEFT(P2942,5)="3-Way", OR(Enginuity!$B$13=3, Enginuity!$B$13=6)),
      AND(P2942="Inner Centre Jamb", OR(Enginuity!$B$13=4, Enginuity!$B$13=6)),
      AND(
        LEFT(P2942,5)&lt;&gt;"1-Way",
        LEFT(P2942,5)&lt;&gt;"2-Way",
        LEFT(P2942,5)&lt;&gt;"3-Way",
        P2942&lt;&gt;"Inner Centre Jamb"
      )
    ),
    IF(OR(Enginuity!$A$1="Frameless Glass",Enginuity!$A$1="Metal Work"),
      AND(TRIM(B2942)=TRIM(Enginuity!$A$17),TRIM(C2942)=TRIM(Enginuity!$A$18)),
      TRIM(B2942)=TRIM(Enginuity!$A$17)
    )
  ),
  ROW(),
  ""
)</f>
        <v/>
      </c>
    </row>
    <row r="2943" spans="21:21" x14ac:dyDescent="0.25">
      <c r="U2943" s="104" t="str">
        <f>IF(
  AND(
    TRIM(A2943)=TRIM(Enginuity!$A$1),
    TRIM(B2943)=TRIM(Enginuity!$A$17),
    Q2943&lt;&gt;"",
    Q2943&lt;&gt;0,
    OR(
      TRIM(C2943)=TRIM(Enginuity!$A$18),
      AND(UPPER(TRIM(M2943))="STD", TRIM(B2943)=TRIM(Enginuity!$A$17))
    ),
    OR(
      AND(LEFT(P2943,5)="1-Way", Enginuity!$B$13=1),
      AND(LEFT(P2943,5)="2-Way", OR(Enginuity!$B$13=2, Enginuity!$B$13=4)),
      AND(LEFT(P2943,5)="3-Way", OR(Enginuity!$B$13=3, Enginuity!$B$13=6)),
      AND(P2943="Inner Centre Jamb", OR(Enginuity!$B$13=4, Enginuity!$B$13=6)),
      AND(
        LEFT(P2943,5)&lt;&gt;"1-Way",
        LEFT(P2943,5)&lt;&gt;"2-Way",
        LEFT(P2943,5)&lt;&gt;"3-Way",
        P2943&lt;&gt;"Inner Centre Jamb"
      )
    ),
    IF(OR(Enginuity!$A$1="Frameless Glass",Enginuity!$A$1="Metal Work"),
      AND(TRIM(B2943)=TRIM(Enginuity!$A$17),TRIM(C2943)=TRIM(Enginuity!$A$18)),
      TRIM(B2943)=TRIM(Enginuity!$A$17)
    )
  ),
  ROW(),
  ""
)</f>
        <v/>
      </c>
    </row>
    <row r="2944" spans="21:21" x14ac:dyDescent="0.25">
      <c r="U2944" s="104" t="str">
        <f>IF(
  AND(
    TRIM(A2944)=TRIM(Enginuity!$A$1),
    TRIM(B2944)=TRIM(Enginuity!$A$17),
    Q2944&lt;&gt;"",
    Q2944&lt;&gt;0,
    OR(
      TRIM(C2944)=TRIM(Enginuity!$A$18),
      AND(UPPER(TRIM(M2944))="STD", TRIM(B2944)=TRIM(Enginuity!$A$17))
    ),
    OR(
      AND(LEFT(P2944,5)="1-Way", Enginuity!$B$13=1),
      AND(LEFT(P2944,5)="2-Way", OR(Enginuity!$B$13=2, Enginuity!$B$13=4)),
      AND(LEFT(P2944,5)="3-Way", OR(Enginuity!$B$13=3, Enginuity!$B$13=6)),
      AND(P2944="Inner Centre Jamb", OR(Enginuity!$B$13=4, Enginuity!$B$13=6)),
      AND(
        LEFT(P2944,5)&lt;&gt;"1-Way",
        LEFT(P2944,5)&lt;&gt;"2-Way",
        LEFT(P2944,5)&lt;&gt;"3-Way",
        P2944&lt;&gt;"Inner Centre Jamb"
      )
    ),
    IF(OR(Enginuity!$A$1="Frameless Glass",Enginuity!$A$1="Metal Work"),
      AND(TRIM(B2944)=TRIM(Enginuity!$A$17),TRIM(C2944)=TRIM(Enginuity!$A$18)),
      TRIM(B2944)=TRIM(Enginuity!$A$17)
    )
  ),
  ROW(),
  ""
)</f>
        <v/>
      </c>
    </row>
    <row r="2945" spans="21:21" x14ac:dyDescent="0.25">
      <c r="U2945" s="104" t="str">
        <f>IF(
  AND(
    TRIM(A2945)=TRIM(Enginuity!$A$1),
    TRIM(B2945)=TRIM(Enginuity!$A$17),
    Q2945&lt;&gt;"",
    Q2945&lt;&gt;0,
    OR(
      TRIM(C2945)=TRIM(Enginuity!$A$18),
      AND(UPPER(TRIM(M2945))="STD", TRIM(B2945)=TRIM(Enginuity!$A$17))
    ),
    OR(
      AND(LEFT(P2945,5)="1-Way", Enginuity!$B$13=1),
      AND(LEFT(P2945,5)="2-Way", OR(Enginuity!$B$13=2, Enginuity!$B$13=4)),
      AND(LEFT(P2945,5)="3-Way", OR(Enginuity!$B$13=3, Enginuity!$B$13=6)),
      AND(P2945="Inner Centre Jamb", OR(Enginuity!$B$13=4, Enginuity!$B$13=6)),
      AND(
        LEFT(P2945,5)&lt;&gt;"1-Way",
        LEFT(P2945,5)&lt;&gt;"2-Way",
        LEFT(P2945,5)&lt;&gt;"3-Way",
        P2945&lt;&gt;"Inner Centre Jamb"
      )
    ),
    IF(OR(Enginuity!$A$1="Frameless Glass",Enginuity!$A$1="Metal Work"),
      AND(TRIM(B2945)=TRIM(Enginuity!$A$17),TRIM(C2945)=TRIM(Enginuity!$A$18)),
      TRIM(B2945)=TRIM(Enginuity!$A$17)
    )
  ),
  ROW(),
  ""
)</f>
        <v/>
      </c>
    </row>
    <row r="2946" spans="21:21" x14ac:dyDescent="0.25">
      <c r="U2946" s="104" t="str">
        <f>IF(
  AND(
    TRIM(A2946)=TRIM(Enginuity!$A$1),
    TRIM(B2946)=TRIM(Enginuity!$A$17),
    Q2946&lt;&gt;"",
    Q2946&lt;&gt;0,
    OR(
      TRIM(C2946)=TRIM(Enginuity!$A$18),
      AND(UPPER(TRIM(M2946))="STD", TRIM(B2946)=TRIM(Enginuity!$A$17))
    ),
    OR(
      AND(LEFT(P2946,5)="1-Way", Enginuity!$B$13=1),
      AND(LEFT(P2946,5)="2-Way", OR(Enginuity!$B$13=2, Enginuity!$B$13=4)),
      AND(LEFT(P2946,5)="3-Way", OR(Enginuity!$B$13=3, Enginuity!$B$13=6)),
      AND(P2946="Inner Centre Jamb", OR(Enginuity!$B$13=4, Enginuity!$B$13=6)),
      AND(
        LEFT(P2946,5)&lt;&gt;"1-Way",
        LEFT(P2946,5)&lt;&gt;"2-Way",
        LEFT(P2946,5)&lt;&gt;"3-Way",
        P2946&lt;&gt;"Inner Centre Jamb"
      )
    ),
    IF(OR(Enginuity!$A$1="Frameless Glass",Enginuity!$A$1="Metal Work"),
      AND(TRIM(B2946)=TRIM(Enginuity!$A$17),TRIM(C2946)=TRIM(Enginuity!$A$18)),
      TRIM(B2946)=TRIM(Enginuity!$A$17)
    )
  ),
  ROW(),
  ""
)</f>
        <v/>
      </c>
    </row>
    <row r="2947" spans="21:21" x14ac:dyDescent="0.25">
      <c r="U2947" s="104" t="str">
        <f>IF(
  AND(
    TRIM(A2947)=TRIM(Enginuity!$A$1),
    TRIM(B2947)=TRIM(Enginuity!$A$17),
    Q2947&lt;&gt;"",
    Q2947&lt;&gt;0,
    OR(
      TRIM(C2947)=TRIM(Enginuity!$A$18),
      AND(UPPER(TRIM(M2947))="STD", TRIM(B2947)=TRIM(Enginuity!$A$17))
    ),
    OR(
      AND(LEFT(P2947,5)="1-Way", Enginuity!$B$13=1),
      AND(LEFT(P2947,5)="2-Way", OR(Enginuity!$B$13=2, Enginuity!$B$13=4)),
      AND(LEFT(P2947,5)="3-Way", OR(Enginuity!$B$13=3, Enginuity!$B$13=6)),
      AND(P2947="Inner Centre Jamb", OR(Enginuity!$B$13=4, Enginuity!$B$13=6)),
      AND(
        LEFT(P2947,5)&lt;&gt;"1-Way",
        LEFT(P2947,5)&lt;&gt;"2-Way",
        LEFT(P2947,5)&lt;&gt;"3-Way",
        P2947&lt;&gt;"Inner Centre Jamb"
      )
    ),
    IF(OR(Enginuity!$A$1="Frameless Glass",Enginuity!$A$1="Metal Work"),
      AND(TRIM(B2947)=TRIM(Enginuity!$A$17),TRIM(C2947)=TRIM(Enginuity!$A$18)),
      TRIM(B2947)=TRIM(Enginuity!$A$17)
    )
  ),
  ROW(),
  ""
)</f>
        <v/>
      </c>
    </row>
    <row r="2948" spans="21:21" x14ac:dyDescent="0.25">
      <c r="U2948" s="104" t="str">
        <f>IF(
  AND(
    TRIM(A2948)=TRIM(Enginuity!$A$1),
    TRIM(B2948)=TRIM(Enginuity!$A$17),
    Q2948&lt;&gt;"",
    Q2948&lt;&gt;0,
    OR(
      TRIM(C2948)=TRIM(Enginuity!$A$18),
      AND(UPPER(TRIM(M2948))="STD", TRIM(B2948)=TRIM(Enginuity!$A$17))
    ),
    OR(
      AND(LEFT(P2948,5)="1-Way", Enginuity!$B$13=1),
      AND(LEFT(P2948,5)="2-Way", OR(Enginuity!$B$13=2, Enginuity!$B$13=4)),
      AND(LEFT(P2948,5)="3-Way", OR(Enginuity!$B$13=3, Enginuity!$B$13=6)),
      AND(P2948="Inner Centre Jamb", OR(Enginuity!$B$13=4, Enginuity!$B$13=6)),
      AND(
        LEFT(P2948,5)&lt;&gt;"1-Way",
        LEFT(P2948,5)&lt;&gt;"2-Way",
        LEFT(P2948,5)&lt;&gt;"3-Way",
        P2948&lt;&gt;"Inner Centre Jamb"
      )
    ),
    IF(OR(Enginuity!$A$1="Frameless Glass",Enginuity!$A$1="Metal Work"),
      AND(TRIM(B2948)=TRIM(Enginuity!$A$17),TRIM(C2948)=TRIM(Enginuity!$A$18)),
      TRIM(B2948)=TRIM(Enginuity!$A$17)
    )
  ),
  ROW(),
  ""
)</f>
        <v/>
      </c>
    </row>
    <row r="2949" spans="21:21" x14ac:dyDescent="0.25">
      <c r="U2949" s="104" t="str">
        <f>IF(
  AND(
    TRIM(A2949)=TRIM(Enginuity!$A$1),
    TRIM(B2949)=TRIM(Enginuity!$A$17),
    Q2949&lt;&gt;"",
    Q2949&lt;&gt;0,
    OR(
      TRIM(C2949)=TRIM(Enginuity!$A$18),
      AND(UPPER(TRIM(M2949))="STD", TRIM(B2949)=TRIM(Enginuity!$A$17))
    ),
    OR(
      AND(LEFT(P2949,5)="1-Way", Enginuity!$B$13=1),
      AND(LEFT(P2949,5)="2-Way", OR(Enginuity!$B$13=2, Enginuity!$B$13=4)),
      AND(LEFT(P2949,5)="3-Way", OR(Enginuity!$B$13=3, Enginuity!$B$13=6)),
      AND(P2949="Inner Centre Jamb", OR(Enginuity!$B$13=4, Enginuity!$B$13=6)),
      AND(
        LEFT(P2949,5)&lt;&gt;"1-Way",
        LEFT(P2949,5)&lt;&gt;"2-Way",
        LEFT(P2949,5)&lt;&gt;"3-Way",
        P2949&lt;&gt;"Inner Centre Jamb"
      )
    ),
    IF(OR(Enginuity!$A$1="Frameless Glass",Enginuity!$A$1="Metal Work"),
      AND(TRIM(B2949)=TRIM(Enginuity!$A$17),TRIM(C2949)=TRIM(Enginuity!$A$18)),
      TRIM(B2949)=TRIM(Enginuity!$A$17)
    )
  ),
  ROW(),
  ""
)</f>
        <v/>
      </c>
    </row>
    <row r="2950" spans="21:21" x14ac:dyDescent="0.25">
      <c r="U2950" s="104" t="str">
        <f>IF(
  AND(
    TRIM(A2950)=TRIM(Enginuity!$A$1),
    TRIM(B2950)=TRIM(Enginuity!$A$17),
    Q2950&lt;&gt;"",
    Q2950&lt;&gt;0,
    OR(
      TRIM(C2950)=TRIM(Enginuity!$A$18),
      AND(UPPER(TRIM(M2950))="STD", TRIM(B2950)=TRIM(Enginuity!$A$17))
    ),
    OR(
      AND(LEFT(P2950,5)="1-Way", Enginuity!$B$13=1),
      AND(LEFT(P2950,5)="2-Way", OR(Enginuity!$B$13=2, Enginuity!$B$13=4)),
      AND(LEFT(P2950,5)="3-Way", OR(Enginuity!$B$13=3, Enginuity!$B$13=6)),
      AND(P2950="Inner Centre Jamb", OR(Enginuity!$B$13=4, Enginuity!$B$13=6)),
      AND(
        LEFT(P2950,5)&lt;&gt;"1-Way",
        LEFT(P2950,5)&lt;&gt;"2-Way",
        LEFT(P2950,5)&lt;&gt;"3-Way",
        P2950&lt;&gt;"Inner Centre Jamb"
      )
    ),
    IF(OR(Enginuity!$A$1="Frameless Glass",Enginuity!$A$1="Metal Work"),
      AND(TRIM(B2950)=TRIM(Enginuity!$A$17),TRIM(C2950)=TRIM(Enginuity!$A$18)),
      TRIM(B2950)=TRIM(Enginuity!$A$17)
    )
  ),
  ROW(),
  ""
)</f>
        <v/>
      </c>
    </row>
    <row r="2951" spans="21:21" x14ac:dyDescent="0.25">
      <c r="U2951" s="104" t="str">
        <f>IF(
  AND(
    TRIM(A2951)=TRIM(Enginuity!$A$1),
    TRIM(B2951)=TRIM(Enginuity!$A$17),
    Q2951&lt;&gt;"",
    Q2951&lt;&gt;0,
    OR(
      TRIM(C2951)=TRIM(Enginuity!$A$18),
      AND(UPPER(TRIM(M2951))="STD", TRIM(B2951)=TRIM(Enginuity!$A$17))
    ),
    OR(
      AND(LEFT(P2951,5)="1-Way", Enginuity!$B$13=1),
      AND(LEFT(P2951,5)="2-Way", OR(Enginuity!$B$13=2, Enginuity!$B$13=4)),
      AND(LEFT(P2951,5)="3-Way", OR(Enginuity!$B$13=3, Enginuity!$B$13=6)),
      AND(P2951="Inner Centre Jamb", OR(Enginuity!$B$13=4, Enginuity!$B$13=6)),
      AND(
        LEFT(P2951,5)&lt;&gt;"1-Way",
        LEFT(P2951,5)&lt;&gt;"2-Way",
        LEFT(P2951,5)&lt;&gt;"3-Way",
        P2951&lt;&gt;"Inner Centre Jamb"
      )
    ),
    IF(OR(Enginuity!$A$1="Frameless Glass",Enginuity!$A$1="Metal Work"),
      AND(TRIM(B2951)=TRIM(Enginuity!$A$17),TRIM(C2951)=TRIM(Enginuity!$A$18)),
      TRIM(B2951)=TRIM(Enginuity!$A$17)
    )
  ),
  ROW(),
  ""
)</f>
        <v/>
      </c>
    </row>
    <row r="2952" spans="21:21" x14ac:dyDescent="0.25">
      <c r="U2952" s="104" t="str">
        <f>IF(
  AND(
    TRIM(A2952)=TRIM(Enginuity!$A$1),
    TRIM(B2952)=TRIM(Enginuity!$A$17),
    Q2952&lt;&gt;"",
    Q2952&lt;&gt;0,
    OR(
      TRIM(C2952)=TRIM(Enginuity!$A$18),
      AND(UPPER(TRIM(M2952))="STD", TRIM(B2952)=TRIM(Enginuity!$A$17))
    ),
    OR(
      AND(LEFT(P2952,5)="1-Way", Enginuity!$B$13=1),
      AND(LEFT(P2952,5)="2-Way", OR(Enginuity!$B$13=2, Enginuity!$B$13=4)),
      AND(LEFT(P2952,5)="3-Way", OR(Enginuity!$B$13=3, Enginuity!$B$13=6)),
      AND(P2952="Inner Centre Jamb", OR(Enginuity!$B$13=4, Enginuity!$B$13=6)),
      AND(
        LEFT(P2952,5)&lt;&gt;"1-Way",
        LEFT(P2952,5)&lt;&gt;"2-Way",
        LEFT(P2952,5)&lt;&gt;"3-Way",
        P2952&lt;&gt;"Inner Centre Jamb"
      )
    ),
    IF(OR(Enginuity!$A$1="Frameless Glass",Enginuity!$A$1="Metal Work"),
      AND(TRIM(B2952)=TRIM(Enginuity!$A$17),TRIM(C2952)=TRIM(Enginuity!$A$18)),
      TRIM(B2952)=TRIM(Enginuity!$A$17)
    )
  ),
  ROW(),
  ""
)</f>
        <v/>
      </c>
    </row>
    <row r="2953" spans="21:21" x14ac:dyDescent="0.25">
      <c r="U2953" s="104" t="str">
        <f>IF(
  AND(
    TRIM(A2953)=TRIM(Enginuity!$A$1),
    TRIM(B2953)=TRIM(Enginuity!$A$17),
    Q2953&lt;&gt;"",
    Q2953&lt;&gt;0,
    OR(
      TRIM(C2953)=TRIM(Enginuity!$A$18),
      AND(UPPER(TRIM(M2953))="STD", TRIM(B2953)=TRIM(Enginuity!$A$17))
    ),
    OR(
      AND(LEFT(P2953,5)="1-Way", Enginuity!$B$13=1),
      AND(LEFT(P2953,5)="2-Way", OR(Enginuity!$B$13=2, Enginuity!$B$13=4)),
      AND(LEFT(P2953,5)="3-Way", OR(Enginuity!$B$13=3, Enginuity!$B$13=6)),
      AND(P2953="Inner Centre Jamb", OR(Enginuity!$B$13=4, Enginuity!$B$13=6)),
      AND(
        LEFT(P2953,5)&lt;&gt;"1-Way",
        LEFT(P2953,5)&lt;&gt;"2-Way",
        LEFT(P2953,5)&lt;&gt;"3-Way",
        P2953&lt;&gt;"Inner Centre Jamb"
      )
    ),
    IF(OR(Enginuity!$A$1="Frameless Glass",Enginuity!$A$1="Metal Work"),
      AND(TRIM(B2953)=TRIM(Enginuity!$A$17),TRIM(C2953)=TRIM(Enginuity!$A$18)),
      TRIM(B2953)=TRIM(Enginuity!$A$17)
    )
  ),
  ROW(),
  ""
)</f>
        <v/>
      </c>
    </row>
    <row r="2954" spans="21:21" x14ac:dyDescent="0.25">
      <c r="U2954" s="104" t="str">
        <f>IF(
  AND(
    TRIM(A2954)=TRIM(Enginuity!$A$1),
    TRIM(B2954)=TRIM(Enginuity!$A$17),
    Q2954&lt;&gt;"",
    Q2954&lt;&gt;0,
    OR(
      TRIM(C2954)=TRIM(Enginuity!$A$18),
      AND(UPPER(TRIM(M2954))="STD", TRIM(B2954)=TRIM(Enginuity!$A$17))
    ),
    OR(
      AND(LEFT(P2954,5)="1-Way", Enginuity!$B$13=1),
      AND(LEFT(P2954,5)="2-Way", OR(Enginuity!$B$13=2, Enginuity!$B$13=4)),
      AND(LEFT(P2954,5)="3-Way", OR(Enginuity!$B$13=3, Enginuity!$B$13=6)),
      AND(P2954="Inner Centre Jamb", OR(Enginuity!$B$13=4, Enginuity!$B$13=6)),
      AND(
        LEFT(P2954,5)&lt;&gt;"1-Way",
        LEFT(P2954,5)&lt;&gt;"2-Way",
        LEFT(P2954,5)&lt;&gt;"3-Way",
        P2954&lt;&gt;"Inner Centre Jamb"
      )
    ),
    IF(OR(Enginuity!$A$1="Frameless Glass",Enginuity!$A$1="Metal Work"),
      AND(TRIM(B2954)=TRIM(Enginuity!$A$17),TRIM(C2954)=TRIM(Enginuity!$A$18)),
      TRIM(B2954)=TRIM(Enginuity!$A$17)
    )
  ),
  ROW(),
  ""
)</f>
        <v/>
      </c>
    </row>
    <row r="2955" spans="21:21" x14ac:dyDescent="0.25">
      <c r="U2955" s="104" t="str">
        <f>IF(
  AND(
    TRIM(A2955)=TRIM(Enginuity!$A$1),
    TRIM(B2955)=TRIM(Enginuity!$A$17),
    Q2955&lt;&gt;"",
    Q2955&lt;&gt;0,
    OR(
      TRIM(C2955)=TRIM(Enginuity!$A$18),
      AND(UPPER(TRIM(M2955))="STD", TRIM(B2955)=TRIM(Enginuity!$A$17))
    ),
    OR(
      AND(LEFT(P2955,5)="1-Way", Enginuity!$B$13=1),
      AND(LEFT(P2955,5)="2-Way", OR(Enginuity!$B$13=2, Enginuity!$B$13=4)),
      AND(LEFT(P2955,5)="3-Way", OR(Enginuity!$B$13=3, Enginuity!$B$13=6)),
      AND(P2955="Inner Centre Jamb", OR(Enginuity!$B$13=4, Enginuity!$B$13=6)),
      AND(
        LEFT(P2955,5)&lt;&gt;"1-Way",
        LEFT(P2955,5)&lt;&gt;"2-Way",
        LEFT(P2955,5)&lt;&gt;"3-Way",
        P2955&lt;&gt;"Inner Centre Jamb"
      )
    ),
    IF(OR(Enginuity!$A$1="Frameless Glass",Enginuity!$A$1="Metal Work"),
      AND(TRIM(B2955)=TRIM(Enginuity!$A$17),TRIM(C2955)=TRIM(Enginuity!$A$18)),
      TRIM(B2955)=TRIM(Enginuity!$A$17)
    )
  ),
  ROW(),
  ""
)</f>
        <v/>
      </c>
    </row>
    <row r="2956" spans="21:21" x14ac:dyDescent="0.25">
      <c r="U2956" s="104" t="str">
        <f>IF(
  AND(
    TRIM(A2956)=TRIM(Enginuity!$A$1),
    TRIM(B2956)=TRIM(Enginuity!$A$17),
    Q2956&lt;&gt;"",
    Q2956&lt;&gt;0,
    OR(
      TRIM(C2956)=TRIM(Enginuity!$A$18),
      AND(UPPER(TRIM(M2956))="STD", TRIM(B2956)=TRIM(Enginuity!$A$17))
    ),
    OR(
      AND(LEFT(P2956,5)="1-Way", Enginuity!$B$13=1),
      AND(LEFT(P2956,5)="2-Way", OR(Enginuity!$B$13=2, Enginuity!$B$13=4)),
      AND(LEFT(P2956,5)="3-Way", OR(Enginuity!$B$13=3, Enginuity!$B$13=6)),
      AND(P2956="Inner Centre Jamb", OR(Enginuity!$B$13=4, Enginuity!$B$13=6)),
      AND(
        LEFT(P2956,5)&lt;&gt;"1-Way",
        LEFT(P2956,5)&lt;&gt;"2-Way",
        LEFT(P2956,5)&lt;&gt;"3-Way",
        P2956&lt;&gt;"Inner Centre Jamb"
      )
    ),
    IF(OR(Enginuity!$A$1="Frameless Glass",Enginuity!$A$1="Metal Work"),
      AND(TRIM(B2956)=TRIM(Enginuity!$A$17),TRIM(C2956)=TRIM(Enginuity!$A$18)),
      TRIM(B2956)=TRIM(Enginuity!$A$17)
    )
  ),
  ROW(),
  ""
)</f>
        <v/>
      </c>
    </row>
    <row r="2957" spans="21:21" x14ac:dyDescent="0.25">
      <c r="U2957" s="104" t="str">
        <f>IF(
  AND(
    TRIM(A2957)=TRIM(Enginuity!$A$1),
    TRIM(B2957)=TRIM(Enginuity!$A$17),
    Q2957&lt;&gt;"",
    Q2957&lt;&gt;0,
    OR(
      TRIM(C2957)=TRIM(Enginuity!$A$18),
      AND(UPPER(TRIM(M2957))="STD", TRIM(B2957)=TRIM(Enginuity!$A$17))
    ),
    OR(
      AND(LEFT(P2957,5)="1-Way", Enginuity!$B$13=1),
      AND(LEFT(P2957,5)="2-Way", OR(Enginuity!$B$13=2, Enginuity!$B$13=4)),
      AND(LEFT(P2957,5)="3-Way", OR(Enginuity!$B$13=3, Enginuity!$B$13=6)),
      AND(P2957="Inner Centre Jamb", OR(Enginuity!$B$13=4, Enginuity!$B$13=6)),
      AND(
        LEFT(P2957,5)&lt;&gt;"1-Way",
        LEFT(P2957,5)&lt;&gt;"2-Way",
        LEFT(P2957,5)&lt;&gt;"3-Way",
        P2957&lt;&gt;"Inner Centre Jamb"
      )
    ),
    IF(OR(Enginuity!$A$1="Frameless Glass",Enginuity!$A$1="Metal Work"),
      AND(TRIM(B2957)=TRIM(Enginuity!$A$17),TRIM(C2957)=TRIM(Enginuity!$A$18)),
      TRIM(B2957)=TRIM(Enginuity!$A$17)
    )
  ),
  ROW(),
  ""
)</f>
        <v/>
      </c>
    </row>
    <row r="2958" spans="21:21" x14ac:dyDescent="0.25">
      <c r="U2958" s="104" t="str">
        <f>IF(
  AND(
    TRIM(A2958)=TRIM(Enginuity!$A$1),
    TRIM(B2958)=TRIM(Enginuity!$A$17),
    Q2958&lt;&gt;"",
    Q2958&lt;&gt;0,
    OR(
      TRIM(C2958)=TRIM(Enginuity!$A$18),
      AND(UPPER(TRIM(M2958))="STD", TRIM(B2958)=TRIM(Enginuity!$A$17))
    ),
    OR(
      AND(LEFT(P2958,5)="1-Way", Enginuity!$B$13=1),
      AND(LEFT(P2958,5)="2-Way", OR(Enginuity!$B$13=2, Enginuity!$B$13=4)),
      AND(LEFT(P2958,5)="3-Way", OR(Enginuity!$B$13=3, Enginuity!$B$13=6)),
      AND(P2958="Inner Centre Jamb", OR(Enginuity!$B$13=4, Enginuity!$B$13=6)),
      AND(
        LEFT(P2958,5)&lt;&gt;"1-Way",
        LEFT(P2958,5)&lt;&gt;"2-Way",
        LEFT(P2958,5)&lt;&gt;"3-Way",
        P2958&lt;&gt;"Inner Centre Jamb"
      )
    ),
    IF(OR(Enginuity!$A$1="Frameless Glass",Enginuity!$A$1="Metal Work"),
      AND(TRIM(B2958)=TRIM(Enginuity!$A$17),TRIM(C2958)=TRIM(Enginuity!$A$18)),
      TRIM(B2958)=TRIM(Enginuity!$A$17)
    )
  ),
  ROW(),
  ""
)</f>
        <v/>
      </c>
    </row>
    <row r="2959" spans="21:21" x14ac:dyDescent="0.25">
      <c r="U2959" s="104" t="str">
        <f>IF(
  AND(
    TRIM(A2959)=TRIM(Enginuity!$A$1),
    TRIM(B2959)=TRIM(Enginuity!$A$17),
    Q2959&lt;&gt;"",
    Q2959&lt;&gt;0,
    OR(
      TRIM(C2959)=TRIM(Enginuity!$A$18),
      AND(UPPER(TRIM(M2959))="STD", TRIM(B2959)=TRIM(Enginuity!$A$17))
    ),
    OR(
      AND(LEFT(P2959,5)="1-Way", Enginuity!$B$13=1),
      AND(LEFT(P2959,5)="2-Way", OR(Enginuity!$B$13=2, Enginuity!$B$13=4)),
      AND(LEFT(P2959,5)="3-Way", OR(Enginuity!$B$13=3, Enginuity!$B$13=6)),
      AND(P2959="Inner Centre Jamb", OR(Enginuity!$B$13=4, Enginuity!$B$13=6)),
      AND(
        LEFT(P2959,5)&lt;&gt;"1-Way",
        LEFT(P2959,5)&lt;&gt;"2-Way",
        LEFT(P2959,5)&lt;&gt;"3-Way",
        P2959&lt;&gt;"Inner Centre Jamb"
      )
    ),
    IF(OR(Enginuity!$A$1="Frameless Glass",Enginuity!$A$1="Metal Work"),
      AND(TRIM(B2959)=TRIM(Enginuity!$A$17),TRIM(C2959)=TRIM(Enginuity!$A$18)),
      TRIM(B2959)=TRIM(Enginuity!$A$17)
    )
  ),
  ROW(),
  ""
)</f>
        <v/>
      </c>
    </row>
    <row r="2960" spans="21:21" x14ac:dyDescent="0.25">
      <c r="U2960" s="104" t="str">
        <f>IF(
  AND(
    TRIM(A2960)=TRIM(Enginuity!$A$1),
    TRIM(B2960)=TRIM(Enginuity!$A$17),
    Q2960&lt;&gt;"",
    Q2960&lt;&gt;0,
    OR(
      TRIM(C2960)=TRIM(Enginuity!$A$18),
      AND(UPPER(TRIM(M2960))="STD", TRIM(B2960)=TRIM(Enginuity!$A$17))
    ),
    OR(
      AND(LEFT(P2960,5)="1-Way", Enginuity!$B$13=1),
      AND(LEFT(P2960,5)="2-Way", OR(Enginuity!$B$13=2, Enginuity!$B$13=4)),
      AND(LEFT(P2960,5)="3-Way", OR(Enginuity!$B$13=3, Enginuity!$B$13=6)),
      AND(P2960="Inner Centre Jamb", OR(Enginuity!$B$13=4, Enginuity!$B$13=6)),
      AND(
        LEFT(P2960,5)&lt;&gt;"1-Way",
        LEFT(P2960,5)&lt;&gt;"2-Way",
        LEFT(P2960,5)&lt;&gt;"3-Way",
        P2960&lt;&gt;"Inner Centre Jamb"
      )
    ),
    IF(OR(Enginuity!$A$1="Frameless Glass",Enginuity!$A$1="Metal Work"),
      AND(TRIM(B2960)=TRIM(Enginuity!$A$17),TRIM(C2960)=TRIM(Enginuity!$A$18)),
      TRIM(B2960)=TRIM(Enginuity!$A$17)
    )
  ),
  ROW(),
  ""
)</f>
        <v/>
      </c>
    </row>
    <row r="2961" spans="21:21" x14ac:dyDescent="0.25">
      <c r="U2961" s="104" t="str">
        <f>IF(
  AND(
    TRIM(A2961)=TRIM(Enginuity!$A$1),
    TRIM(B2961)=TRIM(Enginuity!$A$17),
    Q2961&lt;&gt;"",
    Q2961&lt;&gt;0,
    OR(
      TRIM(C2961)=TRIM(Enginuity!$A$18),
      AND(UPPER(TRIM(M2961))="STD", TRIM(B2961)=TRIM(Enginuity!$A$17))
    ),
    OR(
      AND(LEFT(P2961,5)="1-Way", Enginuity!$B$13=1),
      AND(LEFT(P2961,5)="2-Way", OR(Enginuity!$B$13=2, Enginuity!$B$13=4)),
      AND(LEFT(P2961,5)="3-Way", OR(Enginuity!$B$13=3, Enginuity!$B$13=6)),
      AND(P2961="Inner Centre Jamb", OR(Enginuity!$B$13=4, Enginuity!$B$13=6)),
      AND(
        LEFT(P2961,5)&lt;&gt;"1-Way",
        LEFT(P2961,5)&lt;&gt;"2-Way",
        LEFT(P2961,5)&lt;&gt;"3-Way",
        P2961&lt;&gt;"Inner Centre Jamb"
      )
    ),
    IF(OR(Enginuity!$A$1="Frameless Glass",Enginuity!$A$1="Metal Work"),
      AND(TRIM(B2961)=TRIM(Enginuity!$A$17),TRIM(C2961)=TRIM(Enginuity!$A$18)),
      TRIM(B2961)=TRIM(Enginuity!$A$17)
    )
  ),
  ROW(),
  ""
)</f>
        <v/>
      </c>
    </row>
    <row r="2962" spans="21:21" x14ac:dyDescent="0.25">
      <c r="U2962" s="104" t="str">
        <f>IF(
  AND(
    TRIM(A2962)=TRIM(Enginuity!$A$1),
    TRIM(B2962)=TRIM(Enginuity!$A$17),
    Q2962&lt;&gt;"",
    Q2962&lt;&gt;0,
    OR(
      TRIM(C2962)=TRIM(Enginuity!$A$18),
      AND(UPPER(TRIM(M2962))="STD", TRIM(B2962)=TRIM(Enginuity!$A$17))
    ),
    OR(
      AND(LEFT(P2962,5)="1-Way", Enginuity!$B$13=1),
      AND(LEFT(P2962,5)="2-Way", OR(Enginuity!$B$13=2, Enginuity!$B$13=4)),
      AND(LEFT(P2962,5)="3-Way", OR(Enginuity!$B$13=3, Enginuity!$B$13=6)),
      AND(P2962="Inner Centre Jamb", OR(Enginuity!$B$13=4, Enginuity!$B$13=6)),
      AND(
        LEFT(P2962,5)&lt;&gt;"1-Way",
        LEFT(P2962,5)&lt;&gt;"2-Way",
        LEFT(P2962,5)&lt;&gt;"3-Way",
        P2962&lt;&gt;"Inner Centre Jamb"
      )
    ),
    IF(OR(Enginuity!$A$1="Frameless Glass",Enginuity!$A$1="Metal Work"),
      AND(TRIM(B2962)=TRIM(Enginuity!$A$17),TRIM(C2962)=TRIM(Enginuity!$A$18)),
      TRIM(B2962)=TRIM(Enginuity!$A$17)
    )
  ),
  ROW(),
  ""
)</f>
        <v/>
      </c>
    </row>
    <row r="2963" spans="21:21" x14ac:dyDescent="0.25">
      <c r="U2963" s="104" t="str">
        <f>IF(
  AND(
    TRIM(A2963)=TRIM(Enginuity!$A$1),
    TRIM(B2963)=TRIM(Enginuity!$A$17),
    Q2963&lt;&gt;"",
    Q2963&lt;&gt;0,
    OR(
      TRIM(C2963)=TRIM(Enginuity!$A$18),
      AND(UPPER(TRIM(M2963))="STD", TRIM(B2963)=TRIM(Enginuity!$A$17))
    ),
    OR(
      AND(LEFT(P2963,5)="1-Way", Enginuity!$B$13=1),
      AND(LEFT(P2963,5)="2-Way", OR(Enginuity!$B$13=2, Enginuity!$B$13=4)),
      AND(LEFT(P2963,5)="3-Way", OR(Enginuity!$B$13=3, Enginuity!$B$13=6)),
      AND(P2963="Inner Centre Jamb", OR(Enginuity!$B$13=4, Enginuity!$B$13=6)),
      AND(
        LEFT(P2963,5)&lt;&gt;"1-Way",
        LEFT(P2963,5)&lt;&gt;"2-Way",
        LEFT(P2963,5)&lt;&gt;"3-Way",
        P2963&lt;&gt;"Inner Centre Jamb"
      )
    ),
    IF(OR(Enginuity!$A$1="Frameless Glass",Enginuity!$A$1="Metal Work"),
      AND(TRIM(B2963)=TRIM(Enginuity!$A$17),TRIM(C2963)=TRIM(Enginuity!$A$18)),
      TRIM(B2963)=TRIM(Enginuity!$A$17)
    )
  ),
  ROW(),
  ""
)</f>
        <v/>
      </c>
    </row>
    <row r="2964" spans="21:21" x14ac:dyDescent="0.25">
      <c r="U2964" s="104" t="str">
        <f>IF(
  AND(
    TRIM(A2964)=TRIM(Enginuity!$A$1),
    TRIM(B2964)=TRIM(Enginuity!$A$17),
    Q2964&lt;&gt;"",
    Q2964&lt;&gt;0,
    OR(
      TRIM(C2964)=TRIM(Enginuity!$A$18),
      AND(UPPER(TRIM(M2964))="STD", TRIM(B2964)=TRIM(Enginuity!$A$17))
    ),
    OR(
      AND(LEFT(P2964,5)="1-Way", Enginuity!$B$13=1),
      AND(LEFT(P2964,5)="2-Way", OR(Enginuity!$B$13=2, Enginuity!$B$13=4)),
      AND(LEFT(P2964,5)="3-Way", OR(Enginuity!$B$13=3, Enginuity!$B$13=6)),
      AND(P2964="Inner Centre Jamb", OR(Enginuity!$B$13=4, Enginuity!$B$13=6)),
      AND(
        LEFT(P2964,5)&lt;&gt;"1-Way",
        LEFT(P2964,5)&lt;&gt;"2-Way",
        LEFT(P2964,5)&lt;&gt;"3-Way",
        P2964&lt;&gt;"Inner Centre Jamb"
      )
    ),
    IF(OR(Enginuity!$A$1="Frameless Glass",Enginuity!$A$1="Metal Work"),
      AND(TRIM(B2964)=TRIM(Enginuity!$A$17),TRIM(C2964)=TRIM(Enginuity!$A$18)),
      TRIM(B2964)=TRIM(Enginuity!$A$17)
    )
  ),
  ROW(),
  ""
)</f>
        <v/>
      </c>
    </row>
    <row r="2965" spans="21:21" x14ac:dyDescent="0.25">
      <c r="U2965" s="104" t="str">
        <f>IF(
  AND(
    TRIM(A2965)=TRIM(Enginuity!$A$1),
    TRIM(B2965)=TRIM(Enginuity!$A$17),
    Q2965&lt;&gt;"",
    Q2965&lt;&gt;0,
    OR(
      TRIM(C2965)=TRIM(Enginuity!$A$18),
      AND(UPPER(TRIM(M2965))="STD", TRIM(B2965)=TRIM(Enginuity!$A$17))
    ),
    OR(
      AND(LEFT(P2965,5)="1-Way", Enginuity!$B$13=1),
      AND(LEFT(P2965,5)="2-Way", OR(Enginuity!$B$13=2, Enginuity!$B$13=4)),
      AND(LEFT(P2965,5)="3-Way", OR(Enginuity!$B$13=3, Enginuity!$B$13=6)),
      AND(P2965="Inner Centre Jamb", OR(Enginuity!$B$13=4, Enginuity!$B$13=6)),
      AND(
        LEFT(P2965,5)&lt;&gt;"1-Way",
        LEFT(P2965,5)&lt;&gt;"2-Way",
        LEFT(P2965,5)&lt;&gt;"3-Way",
        P2965&lt;&gt;"Inner Centre Jamb"
      )
    ),
    IF(OR(Enginuity!$A$1="Frameless Glass",Enginuity!$A$1="Metal Work"),
      AND(TRIM(B2965)=TRIM(Enginuity!$A$17),TRIM(C2965)=TRIM(Enginuity!$A$18)),
      TRIM(B2965)=TRIM(Enginuity!$A$17)
    )
  ),
  ROW(),
  ""
)</f>
        <v/>
      </c>
    </row>
    <row r="2966" spans="21:21" x14ac:dyDescent="0.25">
      <c r="U2966" s="104" t="str">
        <f>IF(
  AND(
    TRIM(A2966)=TRIM(Enginuity!$A$1),
    TRIM(B2966)=TRIM(Enginuity!$A$17),
    Q2966&lt;&gt;"",
    Q2966&lt;&gt;0,
    OR(
      TRIM(C2966)=TRIM(Enginuity!$A$18),
      AND(UPPER(TRIM(M2966))="STD", TRIM(B2966)=TRIM(Enginuity!$A$17))
    ),
    OR(
      AND(LEFT(P2966,5)="1-Way", Enginuity!$B$13=1),
      AND(LEFT(P2966,5)="2-Way", OR(Enginuity!$B$13=2, Enginuity!$B$13=4)),
      AND(LEFT(P2966,5)="3-Way", OR(Enginuity!$B$13=3, Enginuity!$B$13=6)),
      AND(P2966="Inner Centre Jamb", OR(Enginuity!$B$13=4, Enginuity!$B$13=6)),
      AND(
        LEFT(P2966,5)&lt;&gt;"1-Way",
        LEFT(P2966,5)&lt;&gt;"2-Way",
        LEFT(P2966,5)&lt;&gt;"3-Way",
        P2966&lt;&gt;"Inner Centre Jamb"
      )
    ),
    IF(OR(Enginuity!$A$1="Frameless Glass",Enginuity!$A$1="Metal Work"),
      AND(TRIM(B2966)=TRIM(Enginuity!$A$17),TRIM(C2966)=TRIM(Enginuity!$A$18)),
      TRIM(B2966)=TRIM(Enginuity!$A$17)
    )
  ),
  ROW(),
  ""
)</f>
        <v/>
      </c>
    </row>
    <row r="2967" spans="21:21" x14ac:dyDescent="0.25">
      <c r="U2967" s="104" t="str">
        <f>IF(
  AND(
    TRIM(A2967)=TRIM(Enginuity!$A$1),
    TRIM(B2967)=TRIM(Enginuity!$A$17),
    Q2967&lt;&gt;"",
    Q2967&lt;&gt;0,
    OR(
      TRIM(C2967)=TRIM(Enginuity!$A$18),
      AND(UPPER(TRIM(M2967))="STD", TRIM(B2967)=TRIM(Enginuity!$A$17))
    ),
    OR(
      AND(LEFT(P2967,5)="1-Way", Enginuity!$B$13=1),
      AND(LEFT(P2967,5)="2-Way", OR(Enginuity!$B$13=2, Enginuity!$B$13=4)),
      AND(LEFT(P2967,5)="3-Way", OR(Enginuity!$B$13=3, Enginuity!$B$13=6)),
      AND(P2967="Inner Centre Jamb", OR(Enginuity!$B$13=4, Enginuity!$B$13=6)),
      AND(
        LEFT(P2967,5)&lt;&gt;"1-Way",
        LEFT(P2967,5)&lt;&gt;"2-Way",
        LEFT(P2967,5)&lt;&gt;"3-Way",
        P2967&lt;&gt;"Inner Centre Jamb"
      )
    ),
    IF(OR(Enginuity!$A$1="Frameless Glass",Enginuity!$A$1="Metal Work"),
      AND(TRIM(B2967)=TRIM(Enginuity!$A$17),TRIM(C2967)=TRIM(Enginuity!$A$18)),
      TRIM(B2967)=TRIM(Enginuity!$A$17)
    )
  ),
  ROW(),
  ""
)</f>
        <v/>
      </c>
    </row>
    <row r="2968" spans="21:21" x14ac:dyDescent="0.25">
      <c r="U2968" s="104" t="str">
        <f>IF(
  AND(
    TRIM(A2968)=TRIM(Enginuity!$A$1),
    TRIM(B2968)=TRIM(Enginuity!$A$17),
    Q2968&lt;&gt;"",
    Q2968&lt;&gt;0,
    OR(
      TRIM(C2968)=TRIM(Enginuity!$A$18),
      AND(UPPER(TRIM(M2968))="STD", TRIM(B2968)=TRIM(Enginuity!$A$17))
    ),
    OR(
      AND(LEFT(P2968,5)="1-Way", Enginuity!$B$13=1),
      AND(LEFT(P2968,5)="2-Way", OR(Enginuity!$B$13=2, Enginuity!$B$13=4)),
      AND(LEFT(P2968,5)="3-Way", OR(Enginuity!$B$13=3, Enginuity!$B$13=6)),
      AND(P2968="Inner Centre Jamb", OR(Enginuity!$B$13=4, Enginuity!$B$13=6)),
      AND(
        LEFT(P2968,5)&lt;&gt;"1-Way",
        LEFT(P2968,5)&lt;&gt;"2-Way",
        LEFT(P2968,5)&lt;&gt;"3-Way",
        P2968&lt;&gt;"Inner Centre Jamb"
      )
    ),
    IF(OR(Enginuity!$A$1="Frameless Glass",Enginuity!$A$1="Metal Work"),
      AND(TRIM(B2968)=TRIM(Enginuity!$A$17),TRIM(C2968)=TRIM(Enginuity!$A$18)),
      TRIM(B2968)=TRIM(Enginuity!$A$17)
    )
  ),
  ROW(),
  ""
)</f>
        <v/>
      </c>
    </row>
    <row r="2969" spans="21:21" x14ac:dyDescent="0.25">
      <c r="U2969" s="104" t="str">
        <f>IF(
  AND(
    TRIM(A2969)=TRIM(Enginuity!$A$1),
    TRIM(B2969)=TRIM(Enginuity!$A$17),
    Q2969&lt;&gt;"",
    Q2969&lt;&gt;0,
    OR(
      TRIM(C2969)=TRIM(Enginuity!$A$18),
      AND(UPPER(TRIM(M2969))="STD", TRIM(B2969)=TRIM(Enginuity!$A$17))
    ),
    OR(
      AND(LEFT(P2969,5)="1-Way", Enginuity!$B$13=1),
      AND(LEFT(P2969,5)="2-Way", OR(Enginuity!$B$13=2, Enginuity!$B$13=4)),
      AND(LEFT(P2969,5)="3-Way", OR(Enginuity!$B$13=3, Enginuity!$B$13=6)),
      AND(P2969="Inner Centre Jamb", OR(Enginuity!$B$13=4, Enginuity!$B$13=6)),
      AND(
        LEFT(P2969,5)&lt;&gt;"1-Way",
        LEFT(P2969,5)&lt;&gt;"2-Way",
        LEFT(P2969,5)&lt;&gt;"3-Way",
        P2969&lt;&gt;"Inner Centre Jamb"
      )
    ),
    IF(OR(Enginuity!$A$1="Frameless Glass",Enginuity!$A$1="Metal Work"),
      AND(TRIM(B2969)=TRIM(Enginuity!$A$17),TRIM(C2969)=TRIM(Enginuity!$A$18)),
      TRIM(B2969)=TRIM(Enginuity!$A$17)
    )
  ),
  ROW(),
  ""
)</f>
        <v/>
      </c>
    </row>
    <row r="2970" spans="21:21" x14ac:dyDescent="0.25">
      <c r="U2970" s="104" t="str">
        <f>IF(
  AND(
    TRIM(A2970)=TRIM(Enginuity!$A$1),
    TRIM(B2970)=TRIM(Enginuity!$A$17),
    Q2970&lt;&gt;"",
    Q2970&lt;&gt;0,
    OR(
      TRIM(C2970)=TRIM(Enginuity!$A$18),
      AND(UPPER(TRIM(M2970))="STD", TRIM(B2970)=TRIM(Enginuity!$A$17))
    ),
    OR(
      AND(LEFT(P2970,5)="1-Way", Enginuity!$B$13=1),
      AND(LEFT(P2970,5)="2-Way", OR(Enginuity!$B$13=2, Enginuity!$B$13=4)),
      AND(LEFT(P2970,5)="3-Way", OR(Enginuity!$B$13=3, Enginuity!$B$13=6)),
      AND(P2970="Inner Centre Jamb", OR(Enginuity!$B$13=4, Enginuity!$B$13=6)),
      AND(
        LEFT(P2970,5)&lt;&gt;"1-Way",
        LEFT(P2970,5)&lt;&gt;"2-Way",
        LEFT(P2970,5)&lt;&gt;"3-Way",
        P2970&lt;&gt;"Inner Centre Jamb"
      )
    ),
    IF(OR(Enginuity!$A$1="Frameless Glass",Enginuity!$A$1="Metal Work"),
      AND(TRIM(B2970)=TRIM(Enginuity!$A$17),TRIM(C2970)=TRIM(Enginuity!$A$18)),
      TRIM(B2970)=TRIM(Enginuity!$A$17)
    )
  ),
  ROW(),
  ""
)</f>
        <v/>
      </c>
    </row>
    <row r="2971" spans="21:21" x14ac:dyDescent="0.25">
      <c r="U2971" s="104" t="str">
        <f>IF(
  AND(
    TRIM(A2971)=TRIM(Enginuity!$A$1),
    TRIM(B2971)=TRIM(Enginuity!$A$17),
    Q2971&lt;&gt;"",
    Q2971&lt;&gt;0,
    OR(
      TRIM(C2971)=TRIM(Enginuity!$A$18),
      AND(UPPER(TRIM(M2971))="STD", TRIM(B2971)=TRIM(Enginuity!$A$17))
    ),
    OR(
      AND(LEFT(P2971,5)="1-Way", Enginuity!$B$13=1),
      AND(LEFT(P2971,5)="2-Way", OR(Enginuity!$B$13=2, Enginuity!$B$13=4)),
      AND(LEFT(P2971,5)="3-Way", OR(Enginuity!$B$13=3, Enginuity!$B$13=6)),
      AND(P2971="Inner Centre Jamb", OR(Enginuity!$B$13=4, Enginuity!$B$13=6)),
      AND(
        LEFT(P2971,5)&lt;&gt;"1-Way",
        LEFT(P2971,5)&lt;&gt;"2-Way",
        LEFT(P2971,5)&lt;&gt;"3-Way",
        P2971&lt;&gt;"Inner Centre Jamb"
      )
    ),
    IF(OR(Enginuity!$A$1="Frameless Glass",Enginuity!$A$1="Metal Work"),
      AND(TRIM(B2971)=TRIM(Enginuity!$A$17),TRIM(C2971)=TRIM(Enginuity!$A$18)),
      TRIM(B2971)=TRIM(Enginuity!$A$17)
    )
  ),
  ROW(),
  ""
)</f>
        <v/>
      </c>
    </row>
    <row r="2972" spans="21:21" x14ac:dyDescent="0.25">
      <c r="U2972" s="104" t="str">
        <f>IF(
  AND(
    TRIM(A2972)=TRIM(Enginuity!$A$1),
    TRIM(B2972)=TRIM(Enginuity!$A$17),
    Q2972&lt;&gt;"",
    Q2972&lt;&gt;0,
    OR(
      TRIM(C2972)=TRIM(Enginuity!$A$18),
      AND(UPPER(TRIM(M2972))="STD", TRIM(B2972)=TRIM(Enginuity!$A$17))
    ),
    OR(
      AND(LEFT(P2972,5)="1-Way", Enginuity!$B$13=1),
      AND(LEFT(P2972,5)="2-Way", OR(Enginuity!$B$13=2, Enginuity!$B$13=4)),
      AND(LEFT(P2972,5)="3-Way", OR(Enginuity!$B$13=3, Enginuity!$B$13=6)),
      AND(P2972="Inner Centre Jamb", OR(Enginuity!$B$13=4, Enginuity!$B$13=6)),
      AND(
        LEFT(P2972,5)&lt;&gt;"1-Way",
        LEFT(P2972,5)&lt;&gt;"2-Way",
        LEFT(P2972,5)&lt;&gt;"3-Way",
        P2972&lt;&gt;"Inner Centre Jamb"
      )
    ),
    IF(OR(Enginuity!$A$1="Frameless Glass",Enginuity!$A$1="Metal Work"),
      AND(TRIM(B2972)=TRIM(Enginuity!$A$17),TRIM(C2972)=TRIM(Enginuity!$A$18)),
      TRIM(B2972)=TRIM(Enginuity!$A$17)
    )
  ),
  ROW(),
  ""
)</f>
        <v/>
      </c>
    </row>
    <row r="2973" spans="21:21" x14ac:dyDescent="0.25">
      <c r="U2973" s="104" t="str">
        <f>IF(
  AND(
    TRIM(A2973)=TRIM(Enginuity!$A$1),
    TRIM(B2973)=TRIM(Enginuity!$A$17),
    Q2973&lt;&gt;"",
    Q2973&lt;&gt;0,
    OR(
      TRIM(C2973)=TRIM(Enginuity!$A$18),
      AND(UPPER(TRIM(M2973))="STD", TRIM(B2973)=TRIM(Enginuity!$A$17))
    ),
    OR(
      AND(LEFT(P2973,5)="1-Way", Enginuity!$B$13=1),
      AND(LEFT(P2973,5)="2-Way", OR(Enginuity!$B$13=2, Enginuity!$B$13=4)),
      AND(LEFT(P2973,5)="3-Way", OR(Enginuity!$B$13=3, Enginuity!$B$13=6)),
      AND(P2973="Inner Centre Jamb", OR(Enginuity!$B$13=4, Enginuity!$B$13=6)),
      AND(
        LEFT(P2973,5)&lt;&gt;"1-Way",
        LEFT(P2973,5)&lt;&gt;"2-Way",
        LEFT(P2973,5)&lt;&gt;"3-Way",
        P2973&lt;&gt;"Inner Centre Jamb"
      )
    ),
    IF(OR(Enginuity!$A$1="Frameless Glass",Enginuity!$A$1="Metal Work"),
      AND(TRIM(B2973)=TRIM(Enginuity!$A$17),TRIM(C2973)=TRIM(Enginuity!$A$18)),
      TRIM(B2973)=TRIM(Enginuity!$A$17)
    )
  ),
  ROW(),
  ""
)</f>
        <v/>
      </c>
    </row>
    <row r="2974" spans="21:21" x14ac:dyDescent="0.25">
      <c r="U2974" s="104" t="str">
        <f>IF(
  AND(
    TRIM(A2974)=TRIM(Enginuity!$A$1),
    TRIM(B2974)=TRIM(Enginuity!$A$17),
    Q2974&lt;&gt;"",
    Q2974&lt;&gt;0,
    OR(
      TRIM(C2974)=TRIM(Enginuity!$A$18),
      AND(UPPER(TRIM(M2974))="STD", TRIM(B2974)=TRIM(Enginuity!$A$17))
    ),
    OR(
      AND(LEFT(P2974,5)="1-Way", Enginuity!$B$13=1),
      AND(LEFT(P2974,5)="2-Way", OR(Enginuity!$B$13=2, Enginuity!$B$13=4)),
      AND(LEFT(P2974,5)="3-Way", OR(Enginuity!$B$13=3, Enginuity!$B$13=6)),
      AND(P2974="Inner Centre Jamb", OR(Enginuity!$B$13=4, Enginuity!$B$13=6)),
      AND(
        LEFT(P2974,5)&lt;&gt;"1-Way",
        LEFT(P2974,5)&lt;&gt;"2-Way",
        LEFT(P2974,5)&lt;&gt;"3-Way",
        P2974&lt;&gt;"Inner Centre Jamb"
      )
    ),
    IF(OR(Enginuity!$A$1="Frameless Glass",Enginuity!$A$1="Metal Work"),
      AND(TRIM(B2974)=TRIM(Enginuity!$A$17),TRIM(C2974)=TRIM(Enginuity!$A$18)),
      TRIM(B2974)=TRIM(Enginuity!$A$17)
    )
  ),
  ROW(),
  ""
)</f>
        <v/>
      </c>
    </row>
    <row r="2975" spans="21:21" x14ac:dyDescent="0.25">
      <c r="U2975" s="104" t="str">
        <f>IF(
  AND(
    TRIM(A2975)=TRIM(Enginuity!$A$1),
    TRIM(B2975)=TRIM(Enginuity!$A$17),
    Q2975&lt;&gt;"",
    Q2975&lt;&gt;0,
    OR(
      TRIM(C2975)=TRIM(Enginuity!$A$18),
      AND(UPPER(TRIM(M2975))="STD", TRIM(B2975)=TRIM(Enginuity!$A$17))
    ),
    OR(
      AND(LEFT(P2975,5)="1-Way", Enginuity!$B$13=1),
      AND(LEFT(P2975,5)="2-Way", OR(Enginuity!$B$13=2, Enginuity!$B$13=4)),
      AND(LEFT(P2975,5)="3-Way", OR(Enginuity!$B$13=3, Enginuity!$B$13=6)),
      AND(P2975="Inner Centre Jamb", OR(Enginuity!$B$13=4, Enginuity!$B$13=6)),
      AND(
        LEFT(P2975,5)&lt;&gt;"1-Way",
        LEFT(P2975,5)&lt;&gt;"2-Way",
        LEFT(P2975,5)&lt;&gt;"3-Way",
        P2975&lt;&gt;"Inner Centre Jamb"
      )
    ),
    IF(OR(Enginuity!$A$1="Frameless Glass",Enginuity!$A$1="Metal Work"),
      AND(TRIM(B2975)=TRIM(Enginuity!$A$17),TRIM(C2975)=TRIM(Enginuity!$A$18)),
      TRIM(B2975)=TRIM(Enginuity!$A$17)
    )
  ),
  ROW(),
  ""
)</f>
        <v/>
      </c>
    </row>
    <row r="2976" spans="21:21" x14ac:dyDescent="0.25">
      <c r="U2976" s="104" t="str">
        <f>IF(
  AND(
    TRIM(A2976)=TRIM(Enginuity!$A$1),
    TRIM(B2976)=TRIM(Enginuity!$A$17),
    Q2976&lt;&gt;"",
    Q2976&lt;&gt;0,
    OR(
      TRIM(C2976)=TRIM(Enginuity!$A$18),
      AND(UPPER(TRIM(M2976))="STD", TRIM(B2976)=TRIM(Enginuity!$A$17))
    ),
    OR(
      AND(LEFT(P2976,5)="1-Way", Enginuity!$B$13=1),
      AND(LEFT(P2976,5)="2-Way", OR(Enginuity!$B$13=2, Enginuity!$B$13=4)),
      AND(LEFT(P2976,5)="3-Way", OR(Enginuity!$B$13=3, Enginuity!$B$13=6)),
      AND(P2976="Inner Centre Jamb", OR(Enginuity!$B$13=4, Enginuity!$B$13=6)),
      AND(
        LEFT(P2976,5)&lt;&gt;"1-Way",
        LEFT(P2976,5)&lt;&gt;"2-Way",
        LEFT(P2976,5)&lt;&gt;"3-Way",
        P2976&lt;&gt;"Inner Centre Jamb"
      )
    ),
    IF(OR(Enginuity!$A$1="Frameless Glass",Enginuity!$A$1="Metal Work"),
      AND(TRIM(B2976)=TRIM(Enginuity!$A$17),TRIM(C2976)=TRIM(Enginuity!$A$18)),
      TRIM(B2976)=TRIM(Enginuity!$A$17)
    )
  ),
  ROW(),
  ""
)</f>
        <v/>
      </c>
    </row>
    <row r="2977" spans="21:21" x14ac:dyDescent="0.25">
      <c r="U2977" s="104" t="str">
        <f>IF(
  AND(
    TRIM(A2977)=TRIM(Enginuity!$A$1),
    TRIM(B2977)=TRIM(Enginuity!$A$17),
    Q2977&lt;&gt;"",
    Q2977&lt;&gt;0,
    OR(
      TRIM(C2977)=TRIM(Enginuity!$A$18),
      AND(UPPER(TRIM(M2977))="STD", TRIM(B2977)=TRIM(Enginuity!$A$17))
    ),
    OR(
      AND(LEFT(P2977,5)="1-Way", Enginuity!$B$13=1),
      AND(LEFT(P2977,5)="2-Way", OR(Enginuity!$B$13=2, Enginuity!$B$13=4)),
      AND(LEFT(P2977,5)="3-Way", OR(Enginuity!$B$13=3, Enginuity!$B$13=6)),
      AND(P2977="Inner Centre Jamb", OR(Enginuity!$B$13=4, Enginuity!$B$13=6)),
      AND(
        LEFT(P2977,5)&lt;&gt;"1-Way",
        LEFT(P2977,5)&lt;&gt;"2-Way",
        LEFT(P2977,5)&lt;&gt;"3-Way",
        P2977&lt;&gt;"Inner Centre Jamb"
      )
    ),
    IF(OR(Enginuity!$A$1="Frameless Glass",Enginuity!$A$1="Metal Work"),
      AND(TRIM(B2977)=TRIM(Enginuity!$A$17),TRIM(C2977)=TRIM(Enginuity!$A$18)),
      TRIM(B2977)=TRIM(Enginuity!$A$17)
    )
  ),
  ROW(),
  ""
)</f>
        <v/>
      </c>
    </row>
    <row r="2978" spans="21:21" x14ac:dyDescent="0.25">
      <c r="U2978" s="104" t="str">
        <f>IF(
  AND(
    TRIM(A2978)=TRIM(Enginuity!$A$1),
    TRIM(B2978)=TRIM(Enginuity!$A$17),
    Q2978&lt;&gt;"",
    Q2978&lt;&gt;0,
    OR(
      TRIM(C2978)=TRIM(Enginuity!$A$18),
      AND(UPPER(TRIM(M2978))="STD", TRIM(B2978)=TRIM(Enginuity!$A$17))
    ),
    OR(
      AND(LEFT(P2978,5)="1-Way", Enginuity!$B$13=1),
      AND(LEFT(P2978,5)="2-Way", OR(Enginuity!$B$13=2, Enginuity!$B$13=4)),
      AND(LEFT(P2978,5)="3-Way", OR(Enginuity!$B$13=3, Enginuity!$B$13=6)),
      AND(P2978="Inner Centre Jamb", OR(Enginuity!$B$13=4, Enginuity!$B$13=6)),
      AND(
        LEFT(P2978,5)&lt;&gt;"1-Way",
        LEFT(P2978,5)&lt;&gt;"2-Way",
        LEFT(P2978,5)&lt;&gt;"3-Way",
        P2978&lt;&gt;"Inner Centre Jamb"
      )
    ),
    IF(OR(Enginuity!$A$1="Frameless Glass",Enginuity!$A$1="Metal Work"),
      AND(TRIM(B2978)=TRIM(Enginuity!$A$17),TRIM(C2978)=TRIM(Enginuity!$A$18)),
      TRIM(B2978)=TRIM(Enginuity!$A$17)
    )
  ),
  ROW(),
  ""
)</f>
        <v/>
      </c>
    </row>
    <row r="2979" spans="21:21" x14ac:dyDescent="0.25">
      <c r="U2979" s="104" t="str">
        <f>IF(
  AND(
    TRIM(A2979)=TRIM(Enginuity!$A$1),
    TRIM(B2979)=TRIM(Enginuity!$A$17),
    Q2979&lt;&gt;"",
    Q2979&lt;&gt;0,
    OR(
      TRIM(C2979)=TRIM(Enginuity!$A$18),
      AND(UPPER(TRIM(M2979))="STD", TRIM(B2979)=TRIM(Enginuity!$A$17))
    ),
    OR(
      AND(LEFT(P2979,5)="1-Way", Enginuity!$B$13=1),
      AND(LEFT(P2979,5)="2-Way", OR(Enginuity!$B$13=2, Enginuity!$B$13=4)),
      AND(LEFT(P2979,5)="3-Way", OR(Enginuity!$B$13=3, Enginuity!$B$13=6)),
      AND(P2979="Inner Centre Jamb", OR(Enginuity!$B$13=4, Enginuity!$B$13=6)),
      AND(
        LEFT(P2979,5)&lt;&gt;"1-Way",
        LEFT(P2979,5)&lt;&gt;"2-Way",
        LEFT(P2979,5)&lt;&gt;"3-Way",
        P2979&lt;&gt;"Inner Centre Jamb"
      )
    ),
    IF(OR(Enginuity!$A$1="Frameless Glass",Enginuity!$A$1="Metal Work"),
      AND(TRIM(B2979)=TRIM(Enginuity!$A$17),TRIM(C2979)=TRIM(Enginuity!$A$18)),
      TRIM(B2979)=TRIM(Enginuity!$A$17)
    )
  ),
  ROW(),
  ""
)</f>
        <v/>
      </c>
    </row>
    <row r="2980" spans="21:21" x14ac:dyDescent="0.25">
      <c r="U2980" s="104" t="str">
        <f>IF(
  AND(
    TRIM(A2980)=TRIM(Enginuity!$A$1),
    TRIM(B2980)=TRIM(Enginuity!$A$17),
    Q2980&lt;&gt;"",
    Q2980&lt;&gt;0,
    OR(
      TRIM(C2980)=TRIM(Enginuity!$A$18),
      AND(UPPER(TRIM(M2980))="STD", TRIM(B2980)=TRIM(Enginuity!$A$17))
    ),
    OR(
      AND(LEFT(P2980,5)="1-Way", Enginuity!$B$13=1),
      AND(LEFT(P2980,5)="2-Way", OR(Enginuity!$B$13=2, Enginuity!$B$13=4)),
      AND(LEFT(P2980,5)="3-Way", OR(Enginuity!$B$13=3, Enginuity!$B$13=6)),
      AND(P2980="Inner Centre Jamb", OR(Enginuity!$B$13=4, Enginuity!$B$13=6)),
      AND(
        LEFT(P2980,5)&lt;&gt;"1-Way",
        LEFT(P2980,5)&lt;&gt;"2-Way",
        LEFT(P2980,5)&lt;&gt;"3-Way",
        P2980&lt;&gt;"Inner Centre Jamb"
      )
    ),
    IF(OR(Enginuity!$A$1="Frameless Glass",Enginuity!$A$1="Metal Work"),
      AND(TRIM(B2980)=TRIM(Enginuity!$A$17),TRIM(C2980)=TRIM(Enginuity!$A$18)),
      TRIM(B2980)=TRIM(Enginuity!$A$17)
    )
  ),
  ROW(),
  ""
)</f>
        <v/>
      </c>
    </row>
    <row r="2981" spans="21:21" x14ac:dyDescent="0.25">
      <c r="U2981" s="104" t="str">
        <f>IF(
  AND(
    TRIM(A2981)=TRIM(Enginuity!$A$1),
    TRIM(B2981)=TRIM(Enginuity!$A$17),
    Q2981&lt;&gt;"",
    Q2981&lt;&gt;0,
    OR(
      TRIM(C2981)=TRIM(Enginuity!$A$18),
      AND(UPPER(TRIM(M2981))="STD", TRIM(B2981)=TRIM(Enginuity!$A$17))
    ),
    OR(
      AND(LEFT(P2981,5)="1-Way", Enginuity!$B$13=1),
      AND(LEFT(P2981,5)="2-Way", OR(Enginuity!$B$13=2, Enginuity!$B$13=4)),
      AND(LEFT(P2981,5)="3-Way", OR(Enginuity!$B$13=3, Enginuity!$B$13=6)),
      AND(P2981="Inner Centre Jamb", OR(Enginuity!$B$13=4, Enginuity!$B$13=6)),
      AND(
        LEFT(P2981,5)&lt;&gt;"1-Way",
        LEFT(P2981,5)&lt;&gt;"2-Way",
        LEFT(P2981,5)&lt;&gt;"3-Way",
        P2981&lt;&gt;"Inner Centre Jamb"
      )
    ),
    IF(OR(Enginuity!$A$1="Frameless Glass",Enginuity!$A$1="Metal Work"),
      AND(TRIM(B2981)=TRIM(Enginuity!$A$17),TRIM(C2981)=TRIM(Enginuity!$A$18)),
      TRIM(B2981)=TRIM(Enginuity!$A$17)
    )
  ),
  ROW(),
  ""
)</f>
        <v/>
      </c>
    </row>
    <row r="2982" spans="21:21" x14ac:dyDescent="0.25">
      <c r="U2982" s="104" t="str">
        <f>IF(
  AND(
    TRIM(A2982)=TRIM(Enginuity!$A$1),
    TRIM(B2982)=TRIM(Enginuity!$A$17),
    Q2982&lt;&gt;"",
    Q2982&lt;&gt;0,
    OR(
      TRIM(C2982)=TRIM(Enginuity!$A$18),
      AND(UPPER(TRIM(M2982))="STD", TRIM(B2982)=TRIM(Enginuity!$A$17))
    ),
    OR(
      AND(LEFT(P2982,5)="1-Way", Enginuity!$B$13=1),
      AND(LEFT(P2982,5)="2-Way", OR(Enginuity!$B$13=2, Enginuity!$B$13=4)),
      AND(LEFT(P2982,5)="3-Way", OR(Enginuity!$B$13=3, Enginuity!$B$13=6)),
      AND(P2982="Inner Centre Jamb", OR(Enginuity!$B$13=4, Enginuity!$B$13=6)),
      AND(
        LEFT(P2982,5)&lt;&gt;"1-Way",
        LEFT(P2982,5)&lt;&gt;"2-Way",
        LEFT(P2982,5)&lt;&gt;"3-Way",
        P2982&lt;&gt;"Inner Centre Jamb"
      )
    ),
    IF(OR(Enginuity!$A$1="Frameless Glass",Enginuity!$A$1="Metal Work"),
      AND(TRIM(B2982)=TRIM(Enginuity!$A$17),TRIM(C2982)=TRIM(Enginuity!$A$18)),
      TRIM(B2982)=TRIM(Enginuity!$A$17)
    )
  ),
  ROW(),
  ""
)</f>
        <v/>
      </c>
    </row>
    <row r="2983" spans="21:21" x14ac:dyDescent="0.25">
      <c r="U2983" s="104" t="str">
        <f>IF(
  AND(
    TRIM(A2983)=TRIM(Enginuity!$A$1),
    TRIM(B2983)=TRIM(Enginuity!$A$17),
    Q2983&lt;&gt;"",
    Q2983&lt;&gt;0,
    OR(
      TRIM(C2983)=TRIM(Enginuity!$A$18),
      AND(UPPER(TRIM(M2983))="STD", TRIM(B2983)=TRIM(Enginuity!$A$17))
    ),
    OR(
      AND(LEFT(P2983,5)="1-Way", Enginuity!$B$13=1),
      AND(LEFT(P2983,5)="2-Way", OR(Enginuity!$B$13=2, Enginuity!$B$13=4)),
      AND(LEFT(P2983,5)="3-Way", OR(Enginuity!$B$13=3, Enginuity!$B$13=6)),
      AND(P2983="Inner Centre Jamb", OR(Enginuity!$B$13=4, Enginuity!$B$13=6)),
      AND(
        LEFT(P2983,5)&lt;&gt;"1-Way",
        LEFT(P2983,5)&lt;&gt;"2-Way",
        LEFT(P2983,5)&lt;&gt;"3-Way",
        P2983&lt;&gt;"Inner Centre Jamb"
      )
    ),
    IF(OR(Enginuity!$A$1="Frameless Glass",Enginuity!$A$1="Metal Work"),
      AND(TRIM(B2983)=TRIM(Enginuity!$A$17),TRIM(C2983)=TRIM(Enginuity!$A$18)),
      TRIM(B2983)=TRIM(Enginuity!$A$17)
    )
  ),
  ROW(),
  ""
)</f>
        <v/>
      </c>
    </row>
    <row r="2984" spans="21:21" x14ac:dyDescent="0.25">
      <c r="U2984" s="104" t="str">
        <f>IF(
  AND(
    TRIM(A2984)=TRIM(Enginuity!$A$1),
    TRIM(B2984)=TRIM(Enginuity!$A$17),
    Q2984&lt;&gt;"",
    Q2984&lt;&gt;0,
    OR(
      TRIM(C2984)=TRIM(Enginuity!$A$18),
      AND(UPPER(TRIM(M2984))="STD", TRIM(B2984)=TRIM(Enginuity!$A$17))
    ),
    OR(
      AND(LEFT(P2984,5)="1-Way", Enginuity!$B$13=1),
      AND(LEFT(P2984,5)="2-Way", OR(Enginuity!$B$13=2, Enginuity!$B$13=4)),
      AND(LEFT(P2984,5)="3-Way", OR(Enginuity!$B$13=3, Enginuity!$B$13=6)),
      AND(P2984="Inner Centre Jamb", OR(Enginuity!$B$13=4, Enginuity!$B$13=6)),
      AND(
        LEFT(P2984,5)&lt;&gt;"1-Way",
        LEFT(P2984,5)&lt;&gt;"2-Way",
        LEFT(P2984,5)&lt;&gt;"3-Way",
        P2984&lt;&gt;"Inner Centre Jamb"
      )
    ),
    IF(OR(Enginuity!$A$1="Frameless Glass",Enginuity!$A$1="Metal Work"),
      AND(TRIM(B2984)=TRIM(Enginuity!$A$17),TRIM(C2984)=TRIM(Enginuity!$A$18)),
      TRIM(B2984)=TRIM(Enginuity!$A$17)
    )
  ),
  ROW(),
  ""
)</f>
        <v/>
      </c>
    </row>
    <row r="2985" spans="21:21" x14ac:dyDescent="0.25">
      <c r="U2985" s="104" t="str">
        <f>IF(
  AND(
    TRIM(A2985)=TRIM(Enginuity!$A$1),
    TRIM(B2985)=TRIM(Enginuity!$A$17),
    Q2985&lt;&gt;"",
    Q2985&lt;&gt;0,
    OR(
      TRIM(C2985)=TRIM(Enginuity!$A$18),
      AND(UPPER(TRIM(M2985))="STD", TRIM(B2985)=TRIM(Enginuity!$A$17))
    ),
    OR(
      AND(LEFT(P2985,5)="1-Way", Enginuity!$B$13=1),
      AND(LEFT(P2985,5)="2-Way", OR(Enginuity!$B$13=2, Enginuity!$B$13=4)),
      AND(LEFT(P2985,5)="3-Way", OR(Enginuity!$B$13=3, Enginuity!$B$13=6)),
      AND(P2985="Inner Centre Jamb", OR(Enginuity!$B$13=4, Enginuity!$B$13=6)),
      AND(
        LEFT(P2985,5)&lt;&gt;"1-Way",
        LEFT(P2985,5)&lt;&gt;"2-Way",
        LEFT(P2985,5)&lt;&gt;"3-Way",
        P2985&lt;&gt;"Inner Centre Jamb"
      )
    ),
    IF(OR(Enginuity!$A$1="Frameless Glass",Enginuity!$A$1="Metal Work"),
      AND(TRIM(B2985)=TRIM(Enginuity!$A$17),TRIM(C2985)=TRIM(Enginuity!$A$18)),
      TRIM(B2985)=TRIM(Enginuity!$A$17)
    )
  ),
  ROW(),
  ""
)</f>
        <v/>
      </c>
    </row>
    <row r="2986" spans="21:21" x14ac:dyDescent="0.25">
      <c r="U2986" s="104" t="str">
        <f>IF(
  AND(
    TRIM(A2986)=TRIM(Enginuity!$A$1),
    TRIM(B2986)=TRIM(Enginuity!$A$17),
    Q2986&lt;&gt;"",
    Q2986&lt;&gt;0,
    OR(
      TRIM(C2986)=TRIM(Enginuity!$A$18),
      AND(UPPER(TRIM(M2986))="STD", TRIM(B2986)=TRIM(Enginuity!$A$17))
    ),
    OR(
      AND(LEFT(P2986,5)="1-Way", Enginuity!$B$13=1),
      AND(LEFT(P2986,5)="2-Way", OR(Enginuity!$B$13=2, Enginuity!$B$13=4)),
      AND(LEFT(P2986,5)="3-Way", OR(Enginuity!$B$13=3, Enginuity!$B$13=6)),
      AND(P2986="Inner Centre Jamb", OR(Enginuity!$B$13=4, Enginuity!$B$13=6)),
      AND(
        LEFT(P2986,5)&lt;&gt;"1-Way",
        LEFT(P2986,5)&lt;&gt;"2-Way",
        LEFT(P2986,5)&lt;&gt;"3-Way",
        P2986&lt;&gt;"Inner Centre Jamb"
      )
    ),
    IF(OR(Enginuity!$A$1="Frameless Glass",Enginuity!$A$1="Metal Work"),
      AND(TRIM(B2986)=TRIM(Enginuity!$A$17),TRIM(C2986)=TRIM(Enginuity!$A$18)),
      TRIM(B2986)=TRIM(Enginuity!$A$17)
    )
  ),
  ROW(),
  ""
)</f>
        <v/>
      </c>
    </row>
    <row r="2987" spans="21:21" x14ac:dyDescent="0.25">
      <c r="U2987" s="104" t="str">
        <f>IF(
  AND(
    TRIM(A2987)=TRIM(Enginuity!$A$1),
    TRIM(B2987)=TRIM(Enginuity!$A$17),
    Q2987&lt;&gt;"",
    Q2987&lt;&gt;0,
    OR(
      TRIM(C2987)=TRIM(Enginuity!$A$18),
      AND(UPPER(TRIM(M2987))="STD", TRIM(B2987)=TRIM(Enginuity!$A$17))
    ),
    OR(
      AND(LEFT(P2987,5)="1-Way", Enginuity!$B$13=1),
      AND(LEFT(P2987,5)="2-Way", OR(Enginuity!$B$13=2, Enginuity!$B$13=4)),
      AND(LEFT(P2987,5)="3-Way", OR(Enginuity!$B$13=3, Enginuity!$B$13=6)),
      AND(P2987="Inner Centre Jamb", OR(Enginuity!$B$13=4, Enginuity!$B$13=6)),
      AND(
        LEFT(P2987,5)&lt;&gt;"1-Way",
        LEFT(P2987,5)&lt;&gt;"2-Way",
        LEFT(P2987,5)&lt;&gt;"3-Way",
        P2987&lt;&gt;"Inner Centre Jamb"
      )
    ),
    IF(OR(Enginuity!$A$1="Frameless Glass",Enginuity!$A$1="Metal Work"),
      AND(TRIM(B2987)=TRIM(Enginuity!$A$17),TRIM(C2987)=TRIM(Enginuity!$A$18)),
      TRIM(B2987)=TRIM(Enginuity!$A$17)
    )
  ),
  ROW(),
  ""
)</f>
        <v/>
      </c>
    </row>
    <row r="2988" spans="21:21" x14ac:dyDescent="0.25">
      <c r="U2988" s="104" t="str">
        <f>IF(
  AND(
    TRIM(A2988)=TRIM(Enginuity!$A$1),
    TRIM(B2988)=TRIM(Enginuity!$A$17),
    Q2988&lt;&gt;"",
    Q2988&lt;&gt;0,
    OR(
      TRIM(C2988)=TRIM(Enginuity!$A$18),
      AND(UPPER(TRIM(M2988))="STD", TRIM(B2988)=TRIM(Enginuity!$A$17))
    ),
    OR(
      AND(LEFT(P2988,5)="1-Way", Enginuity!$B$13=1),
      AND(LEFT(P2988,5)="2-Way", OR(Enginuity!$B$13=2, Enginuity!$B$13=4)),
      AND(LEFT(P2988,5)="3-Way", OR(Enginuity!$B$13=3, Enginuity!$B$13=6)),
      AND(P2988="Inner Centre Jamb", OR(Enginuity!$B$13=4, Enginuity!$B$13=6)),
      AND(
        LEFT(P2988,5)&lt;&gt;"1-Way",
        LEFT(P2988,5)&lt;&gt;"2-Way",
        LEFT(P2988,5)&lt;&gt;"3-Way",
        P2988&lt;&gt;"Inner Centre Jamb"
      )
    ),
    IF(OR(Enginuity!$A$1="Frameless Glass",Enginuity!$A$1="Metal Work"),
      AND(TRIM(B2988)=TRIM(Enginuity!$A$17),TRIM(C2988)=TRIM(Enginuity!$A$18)),
      TRIM(B2988)=TRIM(Enginuity!$A$17)
    )
  ),
  ROW(),
  ""
)</f>
        <v/>
      </c>
    </row>
    <row r="2989" spans="21:21" x14ac:dyDescent="0.25">
      <c r="U2989" s="104" t="str">
        <f>IF(
  AND(
    TRIM(A2989)=TRIM(Enginuity!$A$1),
    TRIM(B2989)=TRIM(Enginuity!$A$17),
    Q2989&lt;&gt;"",
    Q2989&lt;&gt;0,
    OR(
      TRIM(C2989)=TRIM(Enginuity!$A$18),
      AND(UPPER(TRIM(M2989))="STD", TRIM(B2989)=TRIM(Enginuity!$A$17))
    ),
    OR(
      AND(LEFT(P2989,5)="1-Way", Enginuity!$B$13=1),
      AND(LEFT(P2989,5)="2-Way", OR(Enginuity!$B$13=2, Enginuity!$B$13=4)),
      AND(LEFT(P2989,5)="3-Way", OR(Enginuity!$B$13=3, Enginuity!$B$13=6)),
      AND(P2989="Inner Centre Jamb", OR(Enginuity!$B$13=4, Enginuity!$B$13=6)),
      AND(
        LEFT(P2989,5)&lt;&gt;"1-Way",
        LEFT(P2989,5)&lt;&gt;"2-Way",
        LEFT(P2989,5)&lt;&gt;"3-Way",
        P2989&lt;&gt;"Inner Centre Jamb"
      )
    ),
    IF(OR(Enginuity!$A$1="Frameless Glass",Enginuity!$A$1="Metal Work"),
      AND(TRIM(B2989)=TRIM(Enginuity!$A$17),TRIM(C2989)=TRIM(Enginuity!$A$18)),
      TRIM(B2989)=TRIM(Enginuity!$A$17)
    )
  ),
  ROW(),
  ""
)</f>
        <v/>
      </c>
    </row>
    <row r="2990" spans="21:21" x14ac:dyDescent="0.25">
      <c r="U2990" s="104" t="str">
        <f>IF(
  AND(
    TRIM(A2990)=TRIM(Enginuity!$A$1),
    TRIM(B2990)=TRIM(Enginuity!$A$17),
    Q2990&lt;&gt;"",
    Q2990&lt;&gt;0,
    OR(
      TRIM(C2990)=TRIM(Enginuity!$A$18),
      AND(UPPER(TRIM(M2990))="STD", TRIM(B2990)=TRIM(Enginuity!$A$17))
    ),
    OR(
      AND(LEFT(P2990,5)="1-Way", Enginuity!$B$13=1),
      AND(LEFT(P2990,5)="2-Way", OR(Enginuity!$B$13=2, Enginuity!$B$13=4)),
      AND(LEFT(P2990,5)="3-Way", OR(Enginuity!$B$13=3, Enginuity!$B$13=6)),
      AND(P2990="Inner Centre Jamb", OR(Enginuity!$B$13=4, Enginuity!$B$13=6)),
      AND(
        LEFT(P2990,5)&lt;&gt;"1-Way",
        LEFT(P2990,5)&lt;&gt;"2-Way",
        LEFT(P2990,5)&lt;&gt;"3-Way",
        P2990&lt;&gt;"Inner Centre Jamb"
      )
    ),
    IF(OR(Enginuity!$A$1="Frameless Glass",Enginuity!$A$1="Metal Work"),
      AND(TRIM(B2990)=TRIM(Enginuity!$A$17),TRIM(C2990)=TRIM(Enginuity!$A$18)),
      TRIM(B2990)=TRIM(Enginuity!$A$17)
    )
  ),
  ROW(),
  ""
)</f>
        <v/>
      </c>
    </row>
    <row r="2991" spans="21:21" x14ac:dyDescent="0.25">
      <c r="U2991" s="104" t="str">
        <f>IF(
  AND(
    TRIM(A2991)=TRIM(Enginuity!$A$1),
    TRIM(B2991)=TRIM(Enginuity!$A$17),
    Q2991&lt;&gt;"",
    Q2991&lt;&gt;0,
    OR(
      TRIM(C2991)=TRIM(Enginuity!$A$18),
      AND(UPPER(TRIM(M2991))="STD", TRIM(B2991)=TRIM(Enginuity!$A$17))
    ),
    OR(
      AND(LEFT(P2991,5)="1-Way", Enginuity!$B$13=1),
      AND(LEFT(P2991,5)="2-Way", OR(Enginuity!$B$13=2, Enginuity!$B$13=4)),
      AND(LEFT(P2991,5)="3-Way", OR(Enginuity!$B$13=3, Enginuity!$B$13=6)),
      AND(P2991="Inner Centre Jamb", OR(Enginuity!$B$13=4, Enginuity!$B$13=6)),
      AND(
        LEFT(P2991,5)&lt;&gt;"1-Way",
        LEFT(P2991,5)&lt;&gt;"2-Way",
        LEFT(P2991,5)&lt;&gt;"3-Way",
        P2991&lt;&gt;"Inner Centre Jamb"
      )
    ),
    IF(OR(Enginuity!$A$1="Frameless Glass",Enginuity!$A$1="Metal Work"),
      AND(TRIM(B2991)=TRIM(Enginuity!$A$17),TRIM(C2991)=TRIM(Enginuity!$A$18)),
      TRIM(B2991)=TRIM(Enginuity!$A$17)
    )
  ),
  ROW(),
  ""
)</f>
        <v/>
      </c>
    </row>
    <row r="2992" spans="21:21" x14ac:dyDescent="0.25">
      <c r="U2992" s="104" t="str">
        <f>IF(
  AND(
    TRIM(A2992)=TRIM(Enginuity!$A$1),
    TRIM(B2992)=TRIM(Enginuity!$A$17),
    Q2992&lt;&gt;"",
    Q2992&lt;&gt;0,
    OR(
      TRIM(C2992)=TRIM(Enginuity!$A$18),
      AND(UPPER(TRIM(M2992))="STD", TRIM(B2992)=TRIM(Enginuity!$A$17))
    ),
    OR(
      AND(LEFT(P2992,5)="1-Way", Enginuity!$B$13=1),
      AND(LEFT(P2992,5)="2-Way", OR(Enginuity!$B$13=2, Enginuity!$B$13=4)),
      AND(LEFT(P2992,5)="3-Way", OR(Enginuity!$B$13=3, Enginuity!$B$13=6)),
      AND(P2992="Inner Centre Jamb", OR(Enginuity!$B$13=4, Enginuity!$B$13=6)),
      AND(
        LEFT(P2992,5)&lt;&gt;"1-Way",
        LEFT(P2992,5)&lt;&gt;"2-Way",
        LEFT(P2992,5)&lt;&gt;"3-Way",
        P2992&lt;&gt;"Inner Centre Jamb"
      )
    ),
    IF(OR(Enginuity!$A$1="Frameless Glass",Enginuity!$A$1="Metal Work"),
      AND(TRIM(B2992)=TRIM(Enginuity!$A$17),TRIM(C2992)=TRIM(Enginuity!$A$18)),
      TRIM(B2992)=TRIM(Enginuity!$A$17)
    )
  ),
  ROW(),
  ""
)</f>
        <v/>
      </c>
    </row>
    <row r="2993" spans="21:21" x14ac:dyDescent="0.25">
      <c r="U2993" s="104" t="str">
        <f>IF(
  AND(
    TRIM(A2993)=TRIM(Enginuity!$A$1),
    TRIM(B2993)=TRIM(Enginuity!$A$17),
    Q2993&lt;&gt;"",
    Q2993&lt;&gt;0,
    OR(
      TRIM(C2993)=TRIM(Enginuity!$A$18),
      AND(UPPER(TRIM(M2993))="STD", TRIM(B2993)=TRIM(Enginuity!$A$17))
    ),
    OR(
      AND(LEFT(P2993,5)="1-Way", Enginuity!$B$13=1),
      AND(LEFT(P2993,5)="2-Way", OR(Enginuity!$B$13=2, Enginuity!$B$13=4)),
      AND(LEFT(P2993,5)="3-Way", OR(Enginuity!$B$13=3, Enginuity!$B$13=6)),
      AND(P2993="Inner Centre Jamb", OR(Enginuity!$B$13=4, Enginuity!$B$13=6)),
      AND(
        LEFT(P2993,5)&lt;&gt;"1-Way",
        LEFT(P2993,5)&lt;&gt;"2-Way",
        LEFT(P2993,5)&lt;&gt;"3-Way",
        P2993&lt;&gt;"Inner Centre Jamb"
      )
    ),
    IF(OR(Enginuity!$A$1="Frameless Glass",Enginuity!$A$1="Metal Work"),
      AND(TRIM(B2993)=TRIM(Enginuity!$A$17),TRIM(C2993)=TRIM(Enginuity!$A$18)),
      TRIM(B2993)=TRIM(Enginuity!$A$17)
    )
  ),
  ROW(),
  ""
)</f>
        <v/>
      </c>
    </row>
    <row r="2994" spans="21:21" x14ac:dyDescent="0.25">
      <c r="U2994" s="104" t="str">
        <f>IF(
  AND(
    TRIM(A2994)=TRIM(Enginuity!$A$1),
    TRIM(B2994)=TRIM(Enginuity!$A$17),
    Q2994&lt;&gt;"",
    Q2994&lt;&gt;0,
    OR(
      TRIM(C2994)=TRIM(Enginuity!$A$18),
      AND(UPPER(TRIM(M2994))="STD", TRIM(B2994)=TRIM(Enginuity!$A$17))
    ),
    OR(
      AND(LEFT(P2994,5)="1-Way", Enginuity!$B$13=1),
      AND(LEFT(P2994,5)="2-Way", OR(Enginuity!$B$13=2, Enginuity!$B$13=4)),
      AND(LEFT(P2994,5)="3-Way", OR(Enginuity!$B$13=3, Enginuity!$B$13=6)),
      AND(P2994="Inner Centre Jamb", OR(Enginuity!$B$13=4, Enginuity!$B$13=6)),
      AND(
        LEFT(P2994,5)&lt;&gt;"1-Way",
        LEFT(P2994,5)&lt;&gt;"2-Way",
        LEFT(P2994,5)&lt;&gt;"3-Way",
        P2994&lt;&gt;"Inner Centre Jamb"
      )
    ),
    IF(OR(Enginuity!$A$1="Frameless Glass",Enginuity!$A$1="Metal Work"),
      AND(TRIM(B2994)=TRIM(Enginuity!$A$17),TRIM(C2994)=TRIM(Enginuity!$A$18)),
      TRIM(B2994)=TRIM(Enginuity!$A$17)
    )
  ),
  ROW(),
  ""
)</f>
        <v/>
      </c>
    </row>
    <row r="2995" spans="21:21" x14ac:dyDescent="0.25">
      <c r="U2995" s="104" t="str">
        <f>IF(
  AND(
    TRIM(A2995)=TRIM(Enginuity!$A$1),
    TRIM(B2995)=TRIM(Enginuity!$A$17),
    Q2995&lt;&gt;"",
    Q2995&lt;&gt;0,
    OR(
      TRIM(C2995)=TRIM(Enginuity!$A$18),
      AND(UPPER(TRIM(M2995))="STD", TRIM(B2995)=TRIM(Enginuity!$A$17))
    ),
    OR(
      AND(LEFT(P2995,5)="1-Way", Enginuity!$B$13=1),
      AND(LEFT(P2995,5)="2-Way", OR(Enginuity!$B$13=2, Enginuity!$B$13=4)),
      AND(LEFT(P2995,5)="3-Way", OR(Enginuity!$B$13=3, Enginuity!$B$13=6)),
      AND(P2995="Inner Centre Jamb", OR(Enginuity!$B$13=4, Enginuity!$B$13=6)),
      AND(
        LEFT(P2995,5)&lt;&gt;"1-Way",
        LEFT(P2995,5)&lt;&gt;"2-Way",
        LEFT(P2995,5)&lt;&gt;"3-Way",
        P2995&lt;&gt;"Inner Centre Jamb"
      )
    ),
    IF(OR(Enginuity!$A$1="Frameless Glass",Enginuity!$A$1="Metal Work"),
      AND(TRIM(B2995)=TRIM(Enginuity!$A$17),TRIM(C2995)=TRIM(Enginuity!$A$18)),
      TRIM(B2995)=TRIM(Enginuity!$A$17)
    )
  ),
  ROW(),
  ""
)</f>
        <v/>
      </c>
    </row>
    <row r="2996" spans="21:21" x14ac:dyDescent="0.25">
      <c r="U2996" s="104" t="str">
        <f>IF(
  AND(
    TRIM(A2996)=TRIM(Enginuity!$A$1),
    TRIM(B2996)=TRIM(Enginuity!$A$17),
    Q2996&lt;&gt;"",
    Q2996&lt;&gt;0,
    OR(
      TRIM(C2996)=TRIM(Enginuity!$A$18),
      AND(UPPER(TRIM(M2996))="STD", TRIM(B2996)=TRIM(Enginuity!$A$17))
    ),
    OR(
      AND(LEFT(P2996,5)="1-Way", Enginuity!$B$13=1),
      AND(LEFT(P2996,5)="2-Way", OR(Enginuity!$B$13=2, Enginuity!$B$13=4)),
      AND(LEFT(P2996,5)="3-Way", OR(Enginuity!$B$13=3, Enginuity!$B$13=6)),
      AND(P2996="Inner Centre Jamb", OR(Enginuity!$B$13=4, Enginuity!$B$13=6)),
      AND(
        LEFT(P2996,5)&lt;&gt;"1-Way",
        LEFT(P2996,5)&lt;&gt;"2-Way",
        LEFT(P2996,5)&lt;&gt;"3-Way",
        P2996&lt;&gt;"Inner Centre Jamb"
      )
    ),
    IF(OR(Enginuity!$A$1="Frameless Glass",Enginuity!$A$1="Metal Work"),
      AND(TRIM(B2996)=TRIM(Enginuity!$A$17),TRIM(C2996)=TRIM(Enginuity!$A$18)),
      TRIM(B2996)=TRIM(Enginuity!$A$17)
    )
  ),
  ROW(),
  ""
)</f>
        <v/>
      </c>
    </row>
    <row r="2997" spans="21:21" x14ac:dyDescent="0.25">
      <c r="U2997" s="104" t="str">
        <f>IF(
  AND(
    TRIM(A2997)=TRIM(Enginuity!$A$1),
    TRIM(B2997)=TRIM(Enginuity!$A$17),
    Q2997&lt;&gt;"",
    Q2997&lt;&gt;0,
    OR(
      TRIM(C2997)=TRIM(Enginuity!$A$18),
      AND(UPPER(TRIM(M2997))="STD", TRIM(B2997)=TRIM(Enginuity!$A$17))
    ),
    OR(
      AND(LEFT(P2997,5)="1-Way", Enginuity!$B$13=1),
      AND(LEFT(P2997,5)="2-Way", OR(Enginuity!$B$13=2, Enginuity!$B$13=4)),
      AND(LEFT(P2997,5)="3-Way", OR(Enginuity!$B$13=3, Enginuity!$B$13=6)),
      AND(P2997="Inner Centre Jamb", OR(Enginuity!$B$13=4, Enginuity!$B$13=6)),
      AND(
        LEFT(P2997,5)&lt;&gt;"1-Way",
        LEFT(P2997,5)&lt;&gt;"2-Way",
        LEFT(P2997,5)&lt;&gt;"3-Way",
        P2997&lt;&gt;"Inner Centre Jamb"
      )
    ),
    IF(OR(Enginuity!$A$1="Frameless Glass",Enginuity!$A$1="Metal Work"),
      AND(TRIM(B2997)=TRIM(Enginuity!$A$17),TRIM(C2997)=TRIM(Enginuity!$A$18)),
      TRIM(B2997)=TRIM(Enginuity!$A$17)
    )
  ),
  ROW(),
  ""
)</f>
        <v/>
      </c>
    </row>
    <row r="2998" spans="21:21" x14ac:dyDescent="0.25">
      <c r="U2998" s="104" t="str">
        <f>IF(
  AND(
    TRIM(A2998)=TRIM(Enginuity!$A$1),
    TRIM(B2998)=TRIM(Enginuity!$A$17),
    Q2998&lt;&gt;"",
    Q2998&lt;&gt;0,
    OR(
      TRIM(C2998)=TRIM(Enginuity!$A$18),
      AND(UPPER(TRIM(M2998))="STD", TRIM(B2998)=TRIM(Enginuity!$A$17))
    ),
    OR(
      AND(LEFT(P2998,5)="1-Way", Enginuity!$B$13=1),
      AND(LEFT(P2998,5)="2-Way", OR(Enginuity!$B$13=2, Enginuity!$B$13=4)),
      AND(LEFT(P2998,5)="3-Way", OR(Enginuity!$B$13=3, Enginuity!$B$13=6)),
      AND(P2998="Inner Centre Jamb", OR(Enginuity!$B$13=4, Enginuity!$B$13=6)),
      AND(
        LEFT(P2998,5)&lt;&gt;"1-Way",
        LEFT(P2998,5)&lt;&gt;"2-Way",
        LEFT(P2998,5)&lt;&gt;"3-Way",
        P2998&lt;&gt;"Inner Centre Jamb"
      )
    ),
    IF(OR(Enginuity!$A$1="Frameless Glass",Enginuity!$A$1="Metal Work"),
      AND(TRIM(B2998)=TRIM(Enginuity!$A$17),TRIM(C2998)=TRIM(Enginuity!$A$18)),
      TRIM(B2998)=TRIM(Enginuity!$A$17)
    )
  ),
  ROW(),
  ""
)</f>
        <v/>
      </c>
    </row>
    <row r="2999" spans="21:21" x14ac:dyDescent="0.25">
      <c r="U2999" s="104" t="str">
        <f>IF(
  AND(
    TRIM(A2999)=TRIM(Enginuity!$A$1),
    TRIM(B2999)=TRIM(Enginuity!$A$17),
    Q2999&lt;&gt;"",
    Q2999&lt;&gt;0,
    OR(
      TRIM(C2999)=TRIM(Enginuity!$A$18),
      AND(UPPER(TRIM(M2999))="STD", TRIM(B2999)=TRIM(Enginuity!$A$17))
    ),
    OR(
      AND(LEFT(P2999,5)="1-Way", Enginuity!$B$13=1),
      AND(LEFT(P2999,5)="2-Way", OR(Enginuity!$B$13=2, Enginuity!$B$13=4)),
      AND(LEFT(P2999,5)="3-Way", OR(Enginuity!$B$13=3, Enginuity!$B$13=6)),
      AND(P2999="Inner Centre Jamb", OR(Enginuity!$B$13=4, Enginuity!$B$13=6)),
      AND(
        LEFT(P2999,5)&lt;&gt;"1-Way",
        LEFT(P2999,5)&lt;&gt;"2-Way",
        LEFT(P2999,5)&lt;&gt;"3-Way",
        P2999&lt;&gt;"Inner Centre Jamb"
      )
    ),
    IF(OR(Enginuity!$A$1="Frameless Glass",Enginuity!$A$1="Metal Work"),
      AND(TRIM(B2999)=TRIM(Enginuity!$A$17),TRIM(C2999)=TRIM(Enginuity!$A$18)),
      TRIM(B2999)=TRIM(Enginuity!$A$17)
    )
  ),
  ROW(),
  ""
)</f>
        <v/>
      </c>
    </row>
    <row r="3000" spans="21:21" x14ac:dyDescent="0.25">
      <c r="U3000" s="104" t="str">
        <f>IF(
  AND(
    TRIM(A3000)=TRIM(Enginuity!$A$1),
    TRIM(B3000)=TRIM(Enginuity!$A$17),
    Q3000&lt;&gt;"",
    Q3000&lt;&gt;0,
    OR(
      TRIM(C3000)=TRIM(Enginuity!$A$18),
      AND(UPPER(TRIM(M3000))="STD", TRIM(B3000)=TRIM(Enginuity!$A$17))
    ),
    OR(
      AND(LEFT(P3000,5)="1-Way", Enginuity!$B$13=1),
      AND(LEFT(P3000,5)="2-Way", OR(Enginuity!$B$13=2, Enginuity!$B$13=4)),
      AND(LEFT(P3000,5)="3-Way", OR(Enginuity!$B$13=3, Enginuity!$B$13=6)),
      AND(P3000="Inner Centre Jamb", OR(Enginuity!$B$13=4, Enginuity!$B$13=6)),
      AND(
        LEFT(P3000,5)&lt;&gt;"1-Way",
        LEFT(P3000,5)&lt;&gt;"2-Way",
        LEFT(P3000,5)&lt;&gt;"3-Way",
        P3000&lt;&gt;"Inner Centre Jamb"
      )
    ),
    IF(OR(Enginuity!$A$1="Frameless Glass",Enginuity!$A$1="Metal Work"),
      AND(TRIM(B3000)=TRIM(Enginuity!$A$17),TRIM(C3000)=TRIM(Enginuity!$A$18)),
      TRIM(B3000)=TRIM(Enginuity!$A$17)
    )
  ),
  ROW(),
  ""
)</f>
        <v/>
      </c>
    </row>
    <row r="3001" spans="21:21" x14ac:dyDescent="0.25">
      <c r="U3001" s="104" t="str">
        <f>IF(
  AND(
    TRIM(A3001)=TRIM(Enginuity!$A$1),
    TRIM(B3001)=TRIM(Enginuity!$A$17),
    Q3001&lt;&gt;"",
    Q3001&lt;&gt;0,
    OR(
      TRIM(C3001)=TRIM(Enginuity!$A$18),
      AND(UPPER(TRIM(M3001))="STD", TRIM(B3001)=TRIM(Enginuity!$A$17))
    ),
    OR(
      AND(LEFT(P3001,5)="1-Way", Enginuity!$B$13=1),
      AND(LEFT(P3001,5)="2-Way", OR(Enginuity!$B$13=2, Enginuity!$B$13=4)),
      AND(LEFT(P3001,5)="3-Way", OR(Enginuity!$B$13=3, Enginuity!$B$13=6)),
      AND(P3001="Inner Centre Jamb", OR(Enginuity!$B$13=4, Enginuity!$B$13=6)),
      AND(
        LEFT(P3001,5)&lt;&gt;"1-Way",
        LEFT(P3001,5)&lt;&gt;"2-Way",
        LEFT(P3001,5)&lt;&gt;"3-Way",
        P3001&lt;&gt;"Inner Centre Jamb"
      )
    ),
    IF(OR(Enginuity!$A$1="Frameless Glass",Enginuity!$A$1="Metal Work"),
      AND(TRIM(B3001)=TRIM(Enginuity!$A$17),TRIM(C3001)=TRIM(Enginuity!$A$18)),
      TRIM(B3001)=TRIM(Enginuity!$A$17)
    )
  ),
  ROW(),
  ""
)</f>
        <v/>
      </c>
    </row>
    <row r="3002" spans="21:21" x14ac:dyDescent="0.25">
      <c r="U3002" s="104" t="str">
        <f>IF(
  AND(
    TRIM(A3002)=TRIM(Enginuity!$A$1),
    TRIM(B3002)=TRIM(Enginuity!$A$17),
    Q3002&lt;&gt;"",
    Q3002&lt;&gt;0,
    OR(
      TRIM(C3002)=TRIM(Enginuity!$A$18),
      AND(UPPER(TRIM(M3002))="STD", TRIM(B3002)=TRIM(Enginuity!$A$17))
    ),
    OR(
      AND(LEFT(P3002,5)="1-Way", Enginuity!$B$13=1),
      AND(LEFT(P3002,5)="2-Way", OR(Enginuity!$B$13=2, Enginuity!$B$13=4)),
      AND(LEFT(P3002,5)="3-Way", OR(Enginuity!$B$13=3, Enginuity!$B$13=6)),
      AND(P3002="Inner Centre Jamb", OR(Enginuity!$B$13=4, Enginuity!$B$13=6)),
      AND(
        LEFT(P3002,5)&lt;&gt;"1-Way",
        LEFT(P3002,5)&lt;&gt;"2-Way",
        LEFT(P3002,5)&lt;&gt;"3-Way",
        P3002&lt;&gt;"Inner Centre Jamb"
      )
    ),
    IF(OR(Enginuity!$A$1="Frameless Glass",Enginuity!$A$1="Metal Work"),
      AND(TRIM(B3002)=TRIM(Enginuity!$A$17),TRIM(C3002)=TRIM(Enginuity!$A$18)),
      TRIM(B3002)=TRIM(Enginuity!$A$17)
    )
  ),
  ROW(),
  ""
)</f>
        <v/>
      </c>
    </row>
    <row r="3003" spans="21:21" x14ac:dyDescent="0.25">
      <c r="U3003" s="104" t="str">
        <f>IF(
  AND(
    TRIM(A3003)=TRIM(Enginuity!$A$1),
    TRIM(B3003)=TRIM(Enginuity!$A$17),
    Q3003&lt;&gt;"",
    Q3003&lt;&gt;0,
    OR(
      TRIM(C3003)=TRIM(Enginuity!$A$18),
      AND(UPPER(TRIM(M3003))="STD", TRIM(B3003)=TRIM(Enginuity!$A$17))
    ),
    OR(
      AND(LEFT(P3003,5)="1-Way", Enginuity!$B$13=1),
      AND(LEFT(P3003,5)="2-Way", OR(Enginuity!$B$13=2, Enginuity!$B$13=4)),
      AND(LEFT(P3003,5)="3-Way", OR(Enginuity!$B$13=3, Enginuity!$B$13=6)),
      AND(P3003="Inner Centre Jamb", OR(Enginuity!$B$13=4, Enginuity!$B$13=6)),
      AND(
        LEFT(P3003,5)&lt;&gt;"1-Way",
        LEFT(P3003,5)&lt;&gt;"2-Way",
        LEFT(P3003,5)&lt;&gt;"3-Way",
        P3003&lt;&gt;"Inner Centre Jamb"
      )
    ),
    IF(OR(Enginuity!$A$1="Frameless Glass",Enginuity!$A$1="Metal Work"),
      AND(TRIM(B3003)=TRIM(Enginuity!$A$17),TRIM(C3003)=TRIM(Enginuity!$A$18)),
      TRIM(B3003)=TRIM(Enginuity!$A$17)
    )
  ),
  ROW(),
  ""
)</f>
        <v/>
      </c>
    </row>
    <row r="3004" spans="21:21" x14ac:dyDescent="0.25">
      <c r="U3004" s="104" t="str">
        <f>IF(
  AND(
    TRIM(A3004)=TRIM(Enginuity!$A$1),
    TRIM(B3004)=TRIM(Enginuity!$A$17),
    Q3004&lt;&gt;"",
    Q3004&lt;&gt;0,
    OR(
      TRIM(C3004)=TRIM(Enginuity!$A$18),
      AND(UPPER(TRIM(M3004))="STD", TRIM(B3004)=TRIM(Enginuity!$A$17))
    ),
    OR(
      AND(LEFT(P3004,5)="1-Way", Enginuity!$B$13=1),
      AND(LEFT(P3004,5)="2-Way", OR(Enginuity!$B$13=2, Enginuity!$B$13=4)),
      AND(LEFT(P3004,5)="3-Way", OR(Enginuity!$B$13=3, Enginuity!$B$13=6)),
      AND(P3004="Inner Centre Jamb", OR(Enginuity!$B$13=4, Enginuity!$B$13=6)),
      AND(
        LEFT(P3004,5)&lt;&gt;"1-Way",
        LEFT(P3004,5)&lt;&gt;"2-Way",
        LEFT(P3004,5)&lt;&gt;"3-Way",
        P3004&lt;&gt;"Inner Centre Jamb"
      )
    ),
    IF(OR(Enginuity!$A$1="Frameless Glass",Enginuity!$A$1="Metal Work"),
      AND(TRIM(B3004)=TRIM(Enginuity!$A$17),TRIM(C3004)=TRIM(Enginuity!$A$18)),
      TRIM(B3004)=TRIM(Enginuity!$A$17)
    )
  ),
  ROW(),
  ""
)</f>
        <v/>
      </c>
    </row>
    <row r="3005" spans="21:21" x14ac:dyDescent="0.25">
      <c r="U3005" s="104" t="str">
        <f>IF(
  AND(
    TRIM(A3005)=TRIM(Enginuity!$A$1),
    TRIM(B3005)=TRIM(Enginuity!$A$17),
    Q3005&lt;&gt;"",
    Q3005&lt;&gt;0,
    OR(
      TRIM(C3005)=TRIM(Enginuity!$A$18),
      AND(UPPER(TRIM(M3005))="STD", TRIM(B3005)=TRIM(Enginuity!$A$17))
    ),
    OR(
      AND(LEFT(P3005,5)="1-Way", Enginuity!$B$13=1),
      AND(LEFT(P3005,5)="2-Way", OR(Enginuity!$B$13=2, Enginuity!$B$13=4)),
      AND(LEFT(P3005,5)="3-Way", OR(Enginuity!$B$13=3, Enginuity!$B$13=6)),
      AND(P3005="Inner Centre Jamb", OR(Enginuity!$B$13=4, Enginuity!$B$13=6)),
      AND(
        LEFT(P3005,5)&lt;&gt;"1-Way",
        LEFT(P3005,5)&lt;&gt;"2-Way",
        LEFT(P3005,5)&lt;&gt;"3-Way",
        P3005&lt;&gt;"Inner Centre Jamb"
      )
    ),
    IF(OR(Enginuity!$A$1="Frameless Glass",Enginuity!$A$1="Metal Work"),
      AND(TRIM(B3005)=TRIM(Enginuity!$A$17),TRIM(C3005)=TRIM(Enginuity!$A$18)),
      TRIM(B3005)=TRIM(Enginuity!$A$17)
    )
  ),
  ROW(),
  ""
)</f>
        <v/>
      </c>
    </row>
    <row r="3006" spans="21:21" x14ac:dyDescent="0.25">
      <c r="U3006" s="104" t="str">
        <f>IF(
  AND(
    TRIM(A3006)=TRIM(Enginuity!$A$1),
    TRIM(B3006)=TRIM(Enginuity!$A$17),
    Q3006&lt;&gt;"",
    Q3006&lt;&gt;0,
    OR(
      TRIM(C3006)=TRIM(Enginuity!$A$18),
      AND(UPPER(TRIM(M3006))="STD", TRIM(B3006)=TRIM(Enginuity!$A$17))
    ),
    OR(
      AND(LEFT(P3006,5)="1-Way", Enginuity!$B$13=1),
      AND(LEFT(P3006,5)="2-Way", OR(Enginuity!$B$13=2, Enginuity!$B$13=4)),
      AND(LEFT(P3006,5)="3-Way", OR(Enginuity!$B$13=3, Enginuity!$B$13=6)),
      AND(P3006="Inner Centre Jamb", OR(Enginuity!$B$13=4, Enginuity!$B$13=6)),
      AND(
        LEFT(P3006,5)&lt;&gt;"1-Way",
        LEFT(P3006,5)&lt;&gt;"2-Way",
        LEFT(P3006,5)&lt;&gt;"3-Way",
        P3006&lt;&gt;"Inner Centre Jamb"
      )
    ),
    IF(OR(Enginuity!$A$1="Frameless Glass",Enginuity!$A$1="Metal Work"),
      AND(TRIM(B3006)=TRIM(Enginuity!$A$17),TRIM(C3006)=TRIM(Enginuity!$A$18)),
      TRIM(B3006)=TRIM(Enginuity!$A$17)
    )
  ),
  ROW(),
  ""
)</f>
        <v/>
      </c>
    </row>
    <row r="3007" spans="21:21" x14ac:dyDescent="0.25">
      <c r="U3007" s="104" t="str">
        <f>IF(
  AND(
    TRIM(A3007)=TRIM(Enginuity!$A$1),
    TRIM(B3007)=TRIM(Enginuity!$A$17),
    Q3007&lt;&gt;"",
    Q3007&lt;&gt;0,
    OR(
      TRIM(C3007)=TRIM(Enginuity!$A$18),
      AND(UPPER(TRIM(M3007))="STD", TRIM(B3007)=TRIM(Enginuity!$A$17))
    ),
    OR(
      AND(LEFT(P3007,5)="1-Way", Enginuity!$B$13=1),
      AND(LEFT(P3007,5)="2-Way", OR(Enginuity!$B$13=2, Enginuity!$B$13=4)),
      AND(LEFT(P3007,5)="3-Way", OR(Enginuity!$B$13=3, Enginuity!$B$13=6)),
      AND(P3007="Inner Centre Jamb", OR(Enginuity!$B$13=4, Enginuity!$B$13=6)),
      AND(
        LEFT(P3007,5)&lt;&gt;"1-Way",
        LEFT(P3007,5)&lt;&gt;"2-Way",
        LEFT(P3007,5)&lt;&gt;"3-Way",
        P3007&lt;&gt;"Inner Centre Jamb"
      )
    ),
    IF(OR(Enginuity!$A$1="Frameless Glass",Enginuity!$A$1="Metal Work"),
      AND(TRIM(B3007)=TRIM(Enginuity!$A$17),TRIM(C3007)=TRIM(Enginuity!$A$18)),
      TRIM(B3007)=TRIM(Enginuity!$A$17)
    )
  ),
  ROW(),
  ""
)</f>
        <v/>
      </c>
    </row>
    <row r="3008" spans="21:21" x14ac:dyDescent="0.25">
      <c r="U3008" s="104" t="str">
        <f>IF(
  AND(
    TRIM(A3008)=TRIM(Enginuity!$A$1),
    TRIM(B3008)=TRIM(Enginuity!$A$17),
    Q3008&lt;&gt;"",
    Q3008&lt;&gt;0,
    OR(
      TRIM(C3008)=TRIM(Enginuity!$A$18),
      AND(UPPER(TRIM(M3008))="STD", TRIM(B3008)=TRIM(Enginuity!$A$17))
    ),
    OR(
      AND(LEFT(P3008,5)="1-Way", Enginuity!$B$13=1),
      AND(LEFT(P3008,5)="2-Way", OR(Enginuity!$B$13=2, Enginuity!$B$13=4)),
      AND(LEFT(P3008,5)="3-Way", OR(Enginuity!$B$13=3, Enginuity!$B$13=6)),
      AND(P3008="Inner Centre Jamb", OR(Enginuity!$B$13=4, Enginuity!$B$13=6)),
      AND(
        LEFT(P3008,5)&lt;&gt;"1-Way",
        LEFT(P3008,5)&lt;&gt;"2-Way",
        LEFT(P3008,5)&lt;&gt;"3-Way",
        P3008&lt;&gt;"Inner Centre Jamb"
      )
    ),
    IF(OR(Enginuity!$A$1="Frameless Glass",Enginuity!$A$1="Metal Work"),
      AND(TRIM(B3008)=TRIM(Enginuity!$A$17),TRIM(C3008)=TRIM(Enginuity!$A$18)),
      TRIM(B3008)=TRIM(Enginuity!$A$17)
    )
  ),
  ROW(),
  ""
)</f>
        <v/>
      </c>
    </row>
    <row r="3009" spans="21:21" x14ac:dyDescent="0.25">
      <c r="U3009" s="104" t="str">
        <f>IF(
  AND(
    TRIM(A3009)=TRIM(Enginuity!$A$1),
    TRIM(B3009)=TRIM(Enginuity!$A$17),
    Q3009&lt;&gt;"",
    Q3009&lt;&gt;0,
    OR(
      TRIM(C3009)=TRIM(Enginuity!$A$18),
      AND(UPPER(TRIM(M3009))="STD", TRIM(B3009)=TRIM(Enginuity!$A$17))
    ),
    OR(
      AND(LEFT(P3009,5)="1-Way", Enginuity!$B$13=1),
      AND(LEFT(P3009,5)="2-Way", OR(Enginuity!$B$13=2, Enginuity!$B$13=4)),
      AND(LEFT(P3009,5)="3-Way", OR(Enginuity!$B$13=3, Enginuity!$B$13=6)),
      AND(P3009="Inner Centre Jamb", OR(Enginuity!$B$13=4, Enginuity!$B$13=6)),
      AND(
        LEFT(P3009,5)&lt;&gt;"1-Way",
        LEFT(P3009,5)&lt;&gt;"2-Way",
        LEFT(P3009,5)&lt;&gt;"3-Way",
        P3009&lt;&gt;"Inner Centre Jamb"
      )
    ),
    IF(OR(Enginuity!$A$1="Frameless Glass",Enginuity!$A$1="Metal Work"),
      AND(TRIM(B3009)=TRIM(Enginuity!$A$17),TRIM(C3009)=TRIM(Enginuity!$A$18)),
      TRIM(B3009)=TRIM(Enginuity!$A$17)
    )
  ),
  ROW(),
  ""
)</f>
        <v/>
      </c>
    </row>
    <row r="3010" spans="21:21" x14ac:dyDescent="0.25">
      <c r="U3010" s="104" t="str">
        <f>IF(
  AND(
    TRIM(A3010)=TRIM(Enginuity!$A$1),
    TRIM(B3010)=TRIM(Enginuity!$A$17),
    Q3010&lt;&gt;"",
    Q3010&lt;&gt;0,
    OR(
      TRIM(C3010)=TRIM(Enginuity!$A$18),
      AND(UPPER(TRIM(M3010))="STD", TRIM(B3010)=TRIM(Enginuity!$A$17))
    ),
    OR(
      AND(LEFT(P3010,5)="1-Way", Enginuity!$B$13=1),
      AND(LEFT(P3010,5)="2-Way", OR(Enginuity!$B$13=2, Enginuity!$B$13=4)),
      AND(LEFT(P3010,5)="3-Way", OR(Enginuity!$B$13=3, Enginuity!$B$13=6)),
      AND(P3010="Inner Centre Jamb", OR(Enginuity!$B$13=4, Enginuity!$B$13=6)),
      AND(
        LEFT(P3010,5)&lt;&gt;"1-Way",
        LEFT(P3010,5)&lt;&gt;"2-Way",
        LEFT(P3010,5)&lt;&gt;"3-Way",
        P3010&lt;&gt;"Inner Centre Jamb"
      )
    ),
    IF(OR(Enginuity!$A$1="Frameless Glass",Enginuity!$A$1="Metal Work"),
      AND(TRIM(B3010)=TRIM(Enginuity!$A$17),TRIM(C3010)=TRIM(Enginuity!$A$18)),
      TRIM(B3010)=TRIM(Enginuity!$A$17)
    )
  ),
  ROW(),
  ""
)</f>
        <v/>
      </c>
    </row>
    <row r="3011" spans="21:21" x14ac:dyDescent="0.25">
      <c r="U3011" s="104" t="str">
        <f>IF(
  AND(
    TRIM(A3011)=TRIM(Enginuity!$A$1),
    TRIM(B3011)=TRIM(Enginuity!$A$17),
    Q3011&lt;&gt;"",
    Q3011&lt;&gt;0,
    OR(
      TRIM(C3011)=TRIM(Enginuity!$A$18),
      AND(UPPER(TRIM(M3011))="STD", TRIM(B3011)=TRIM(Enginuity!$A$17))
    ),
    OR(
      AND(LEFT(P3011,5)="1-Way", Enginuity!$B$13=1),
      AND(LEFT(P3011,5)="2-Way", OR(Enginuity!$B$13=2, Enginuity!$B$13=4)),
      AND(LEFT(P3011,5)="3-Way", OR(Enginuity!$B$13=3, Enginuity!$B$13=6)),
      AND(P3011="Inner Centre Jamb", OR(Enginuity!$B$13=4, Enginuity!$B$13=6)),
      AND(
        LEFT(P3011,5)&lt;&gt;"1-Way",
        LEFT(P3011,5)&lt;&gt;"2-Way",
        LEFT(P3011,5)&lt;&gt;"3-Way",
        P3011&lt;&gt;"Inner Centre Jamb"
      )
    ),
    IF(OR(Enginuity!$A$1="Frameless Glass",Enginuity!$A$1="Metal Work"),
      AND(TRIM(B3011)=TRIM(Enginuity!$A$17),TRIM(C3011)=TRIM(Enginuity!$A$18)),
      TRIM(B3011)=TRIM(Enginuity!$A$17)
    )
  ),
  ROW(),
  ""
)</f>
        <v/>
      </c>
    </row>
    <row r="3012" spans="21:21" x14ac:dyDescent="0.25">
      <c r="U3012" s="104" t="str">
        <f>IF(
  AND(
    TRIM(A3012)=TRIM(Enginuity!$A$1),
    TRIM(B3012)=TRIM(Enginuity!$A$17),
    Q3012&lt;&gt;"",
    Q3012&lt;&gt;0,
    OR(
      TRIM(C3012)=TRIM(Enginuity!$A$18),
      AND(UPPER(TRIM(M3012))="STD", TRIM(B3012)=TRIM(Enginuity!$A$17))
    ),
    OR(
      AND(LEFT(P3012,5)="1-Way", Enginuity!$B$13=1),
      AND(LEFT(P3012,5)="2-Way", OR(Enginuity!$B$13=2, Enginuity!$B$13=4)),
      AND(LEFT(P3012,5)="3-Way", OR(Enginuity!$B$13=3, Enginuity!$B$13=6)),
      AND(P3012="Inner Centre Jamb", OR(Enginuity!$B$13=4, Enginuity!$B$13=6)),
      AND(
        LEFT(P3012,5)&lt;&gt;"1-Way",
        LEFT(P3012,5)&lt;&gt;"2-Way",
        LEFT(P3012,5)&lt;&gt;"3-Way",
        P3012&lt;&gt;"Inner Centre Jamb"
      )
    ),
    IF(OR(Enginuity!$A$1="Frameless Glass",Enginuity!$A$1="Metal Work"),
      AND(TRIM(B3012)=TRIM(Enginuity!$A$17),TRIM(C3012)=TRIM(Enginuity!$A$18)),
      TRIM(B3012)=TRIM(Enginuity!$A$17)
    )
  ),
  ROW(),
  ""
)</f>
        <v/>
      </c>
    </row>
    <row r="3013" spans="21:21" x14ac:dyDescent="0.25">
      <c r="U3013" s="104" t="str">
        <f>IF(
  AND(
    TRIM(A3013)=TRIM(Enginuity!$A$1),
    TRIM(B3013)=TRIM(Enginuity!$A$17),
    Q3013&lt;&gt;"",
    Q3013&lt;&gt;0,
    OR(
      TRIM(C3013)=TRIM(Enginuity!$A$18),
      AND(UPPER(TRIM(M3013))="STD", TRIM(B3013)=TRIM(Enginuity!$A$17))
    ),
    OR(
      AND(LEFT(P3013,5)="1-Way", Enginuity!$B$13=1),
      AND(LEFT(P3013,5)="2-Way", OR(Enginuity!$B$13=2, Enginuity!$B$13=4)),
      AND(LEFT(P3013,5)="3-Way", OR(Enginuity!$B$13=3, Enginuity!$B$13=6)),
      AND(P3013="Inner Centre Jamb", OR(Enginuity!$B$13=4, Enginuity!$B$13=6)),
      AND(
        LEFT(P3013,5)&lt;&gt;"1-Way",
        LEFT(P3013,5)&lt;&gt;"2-Way",
        LEFT(P3013,5)&lt;&gt;"3-Way",
        P3013&lt;&gt;"Inner Centre Jamb"
      )
    ),
    IF(OR(Enginuity!$A$1="Frameless Glass",Enginuity!$A$1="Metal Work"),
      AND(TRIM(B3013)=TRIM(Enginuity!$A$17),TRIM(C3013)=TRIM(Enginuity!$A$18)),
      TRIM(B3013)=TRIM(Enginuity!$A$17)
    )
  ),
  ROW(),
  ""
)</f>
        <v/>
      </c>
    </row>
    <row r="3014" spans="21:21" x14ac:dyDescent="0.25">
      <c r="U3014" s="104" t="str">
        <f>IF(
  AND(
    TRIM(A3014)=TRIM(Enginuity!$A$1),
    TRIM(B3014)=TRIM(Enginuity!$A$17),
    Q3014&lt;&gt;"",
    Q3014&lt;&gt;0,
    OR(
      TRIM(C3014)=TRIM(Enginuity!$A$18),
      AND(UPPER(TRIM(M3014))="STD", TRIM(B3014)=TRIM(Enginuity!$A$17))
    ),
    OR(
      AND(LEFT(P3014,5)="1-Way", Enginuity!$B$13=1),
      AND(LEFT(P3014,5)="2-Way", OR(Enginuity!$B$13=2, Enginuity!$B$13=4)),
      AND(LEFT(P3014,5)="3-Way", OR(Enginuity!$B$13=3, Enginuity!$B$13=6)),
      AND(P3014="Inner Centre Jamb", OR(Enginuity!$B$13=4, Enginuity!$B$13=6)),
      AND(
        LEFT(P3014,5)&lt;&gt;"1-Way",
        LEFT(P3014,5)&lt;&gt;"2-Way",
        LEFT(P3014,5)&lt;&gt;"3-Way",
        P3014&lt;&gt;"Inner Centre Jamb"
      )
    ),
    IF(OR(Enginuity!$A$1="Frameless Glass",Enginuity!$A$1="Metal Work"),
      AND(TRIM(B3014)=TRIM(Enginuity!$A$17),TRIM(C3014)=TRIM(Enginuity!$A$18)),
      TRIM(B3014)=TRIM(Enginuity!$A$17)
    )
  ),
  ROW(),
  ""
)</f>
        <v/>
      </c>
    </row>
    <row r="3015" spans="21:21" x14ac:dyDescent="0.25">
      <c r="U3015" s="104" t="str">
        <f>IF(
  AND(
    TRIM(A3015)=TRIM(Enginuity!$A$1),
    TRIM(B3015)=TRIM(Enginuity!$A$17),
    Q3015&lt;&gt;"",
    Q3015&lt;&gt;0,
    OR(
      TRIM(C3015)=TRIM(Enginuity!$A$18),
      AND(UPPER(TRIM(M3015))="STD", TRIM(B3015)=TRIM(Enginuity!$A$17))
    ),
    OR(
      AND(LEFT(P3015,5)="1-Way", Enginuity!$B$13=1),
      AND(LEFT(P3015,5)="2-Way", OR(Enginuity!$B$13=2, Enginuity!$B$13=4)),
      AND(LEFT(P3015,5)="3-Way", OR(Enginuity!$B$13=3, Enginuity!$B$13=6)),
      AND(P3015="Inner Centre Jamb", OR(Enginuity!$B$13=4, Enginuity!$B$13=6)),
      AND(
        LEFT(P3015,5)&lt;&gt;"1-Way",
        LEFT(P3015,5)&lt;&gt;"2-Way",
        LEFT(P3015,5)&lt;&gt;"3-Way",
        P3015&lt;&gt;"Inner Centre Jamb"
      )
    ),
    IF(OR(Enginuity!$A$1="Frameless Glass",Enginuity!$A$1="Metal Work"),
      AND(TRIM(B3015)=TRIM(Enginuity!$A$17),TRIM(C3015)=TRIM(Enginuity!$A$18)),
      TRIM(B3015)=TRIM(Enginuity!$A$17)
    )
  ),
  ROW(),
  ""
)</f>
        <v/>
      </c>
    </row>
    <row r="3016" spans="21:21" x14ac:dyDescent="0.25">
      <c r="U3016" s="104" t="str">
        <f>IF(
  AND(
    TRIM(A3016)=TRIM(Enginuity!$A$1),
    TRIM(B3016)=TRIM(Enginuity!$A$17),
    Q3016&lt;&gt;"",
    Q3016&lt;&gt;0,
    OR(
      TRIM(C3016)=TRIM(Enginuity!$A$18),
      AND(UPPER(TRIM(M3016))="STD", TRIM(B3016)=TRIM(Enginuity!$A$17))
    ),
    OR(
      AND(LEFT(P3016,5)="1-Way", Enginuity!$B$13=1),
      AND(LEFT(P3016,5)="2-Way", OR(Enginuity!$B$13=2, Enginuity!$B$13=4)),
      AND(LEFT(P3016,5)="3-Way", OR(Enginuity!$B$13=3, Enginuity!$B$13=6)),
      AND(P3016="Inner Centre Jamb", OR(Enginuity!$B$13=4, Enginuity!$B$13=6)),
      AND(
        LEFT(P3016,5)&lt;&gt;"1-Way",
        LEFT(P3016,5)&lt;&gt;"2-Way",
        LEFT(P3016,5)&lt;&gt;"3-Way",
        P3016&lt;&gt;"Inner Centre Jamb"
      )
    ),
    IF(OR(Enginuity!$A$1="Frameless Glass",Enginuity!$A$1="Metal Work"),
      AND(TRIM(B3016)=TRIM(Enginuity!$A$17),TRIM(C3016)=TRIM(Enginuity!$A$18)),
      TRIM(B3016)=TRIM(Enginuity!$A$17)
    )
  ),
  ROW(),
  ""
)</f>
        <v/>
      </c>
    </row>
    <row r="3017" spans="21:21" x14ac:dyDescent="0.25">
      <c r="U3017" s="104" t="str">
        <f>IF(
  AND(
    TRIM(A3017)=TRIM(Enginuity!$A$1),
    TRIM(B3017)=TRIM(Enginuity!$A$17),
    Q3017&lt;&gt;"",
    Q3017&lt;&gt;0,
    OR(
      TRIM(C3017)=TRIM(Enginuity!$A$18),
      AND(UPPER(TRIM(M3017))="STD", TRIM(B3017)=TRIM(Enginuity!$A$17))
    ),
    OR(
      AND(LEFT(P3017,5)="1-Way", Enginuity!$B$13=1),
      AND(LEFT(P3017,5)="2-Way", OR(Enginuity!$B$13=2, Enginuity!$B$13=4)),
      AND(LEFT(P3017,5)="3-Way", OR(Enginuity!$B$13=3, Enginuity!$B$13=6)),
      AND(P3017="Inner Centre Jamb", OR(Enginuity!$B$13=4, Enginuity!$B$13=6)),
      AND(
        LEFT(P3017,5)&lt;&gt;"1-Way",
        LEFT(P3017,5)&lt;&gt;"2-Way",
        LEFT(P3017,5)&lt;&gt;"3-Way",
        P3017&lt;&gt;"Inner Centre Jamb"
      )
    ),
    IF(OR(Enginuity!$A$1="Frameless Glass",Enginuity!$A$1="Metal Work"),
      AND(TRIM(B3017)=TRIM(Enginuity!$A$17),TRIM(C3017)=TRIM(Enginuity!$A$18)),
      TRIM(B3017)=TRIM(Enginuity!$A$17)
    )
  ),
  ROW(),
  ""
)</f>
        <v/>
      </c>
    </row>
    <row r="3018" spans="21:21" x14ac:dyDescent="0.25">
      <c r="U3018" s="104" t="str">
        <f>IF(
  AND(
    TRIM(A3018)=TRIM(Enginuity!$A$1),
    TRIM(B3018)=TRIM(Enginuity!$A$17),
    Q3018&lt;&gt;"",
    Q3018&lt;&gt;0,
    OR(
      TRIM(C3018)=TRIM(Enginuity!$A$18),
      AND(UPPER(TRIM(M3018))="STD", TRIM(B3018)=TRIM(Enginuity!$A$17))
    ),
    OR(
      AND(LEFT(P3018,5)="1-Way", Enginuity!$B$13=1),
      AND(LEFT(P3018,5)="2-Way", OR(Enginuity!$B$13=2, Enginuity!$B$13=4)),
      AND(LEFT(P3018,5)="3-Way", OR(Enginuity!$B$13=3, Enginuity!$B$13=6)),
      AND(P3018="Inner Centre Jamb", OR(Enginuity!$B$13=4, Enginuity!$B$13=6)),
      AND(
        LEFT(P3018,5)&lt;&gt;"1-Way",
        LEFT(P3018,5)&lt;&gt;"2-Way",
        LEFT(P3018,5)&lt;&gt;"3-Way",
        P3018&lt;&gt;"Inner Centre Jamb"
      )
    ),
    IF(OR(Enginuity!$A$1="Frameless Glass",Enginuity!$A$1="Metal Work"),
      AND(TRIM(B3018)=TRIM(Enginuity!$A$17),TRIM(C3018)=TRIM(Enginuity!$A$18)),
      TRIM(B3018)=TRIM(Enginuity!$A$17)
    )
  ),
  ROW(),
  ""
)</f>
        <v/>
      </c>
    </row>
    <row r="3019" spans="21:21" x14ac:dyDescent="0.25">
      <c r="U3019" s="104" t="str">
        <f>IF(
  AND(
    TRIM(A3019)=TRIM(Enginuity!$A$1),
    TRIM(B3019)=TRIM(Enginuity!$A$17),
    Q3019&lt;&gt;"",
    Q3019&lt;&gt;0,
    OR(
      TRIM(C3019)=TRIM(Enginuity!$A$18),
      AND(UPPER(TRIM(M3019))="STD", TRIM(B3019)=TRIM(Enginuity!$A$17))
    ),
    OR(
      AND(LEFT(P3019,5)="1-Way", Enginuity!$B$13=1),
      AND(LEFT(P3019,5)="2-Way", OR(Enginuity!$B$13=2, Enginuity!$B$13=4)),
      AND(LEFT(P3019,5)="3-Way", OR(Enginuity!$B$13=3, Enginuity!$B$13=6)),
      AND(P3019="Inner Centre Jamb", OR(Enginuity!$B$13=4, Enginuity!$B$13=6)),
      AND(
        LEFT(P3019,5)&lt;&gt;"1-Way",
        LEFT(P3019,5)&lt;&gt;"2-Way",
        LEFT(P3019,5)&lt;&gt;"3-Way",
        P3019&lt;&gt;"Inner Centre Jamb"
      )
    ),
    IF(OR(Enginuity!$A$1="Frameless Glass",Enginuity!$A$1="Metal Work"),
      AND(TRIM(B3019)=TRIM(Enginuity!$A$17),TRIM(C3019)=TRIM(Enginuity!$A$18)),
      TRIM(B3019)=TRIM(Enginuity!$A$17)
    )
  ),
  ROW(),
  ""
)</f>
        <v/>
      </c>
    </row>
    <row r="3020" spans="21:21" x14ac:dyDescent="0.25">
      <c r="U3020" s="104" t="str">
        <f>IF(
  AND(
    TRIM(A3020)=TRIM(Enginuity!$A$1),
    TRIM(B3020)=TRIM(Enginuity!$A$17),
    Q3020&lt;&gt;"",
    Q3020&lt;&gt;0,
    OR(
      TRIM(C3020)=TRIM(Enginuity!$A$18),
      AND(UPPER(TRIM(M3020))="STD", TRIM(B3020)=TRIM(Enginuity!$A$17))
    ),
    OR(
      AND(LEFT(P3020,5)="1-Way", Enginuity!$B$13=1),
      AND(LEFT(P3020,5)="2-Way", OR(Enginuity!$B$13=2, Enginuity!$B$13=4)),
      AND(LEFT(P3020,5)="3-Way", OR(Enginuity!$B$13=3, Enginuity!$B$13=6)),
      AND(P3020="Inner Centre Jamb", OR(Enginuity!$B$13=4, Enginuity!$B$13=6)),
      AND(
        LEFT(P3020,5)&lt;&gt;"1-Way",
        LEFT(P3020,5)&lt;&gt;"2-Way",
        LEFT(P3020,5)&lt;&gt;"3-Way",
        P3020&lt;&gt;"Inner Centre Jamb"
      )
    ),
    IF(OR(Enginuity!$A$1="Frameless Glass",Enginuity!$A$1="Metal Work"),
      AND(TRIM(B3020)=TRIM(Enginuity!$A$17),TRIM(C3020)=TRIM(Enginuity!$A$18)),
      TRIM(B3020)=TRIM(Enginuity!$A$17)
    )
  ),
  ROW(),
  ""
)</f>
        <v/>
      </c>
    </row>
    <row r="3021" spans="21:21" x14ac:dyDescent="0.25">
      <c r="U3021" s="104" t="str">
        <f>IF(
  AND(
    TRIM(A3021)=TRIM(Enginuity!$A$1),
    TRIM(B3021)=TRIM(Enginuity!$A$17),
    Q3021&lt;&gt;"",
    Q3021&lt;&gt;0,
    OR(
      TRIM(C3021)=TRIM(Enginuity!$A$18),
      AND(UPPER(TRIM(M3021))="STD", TRIM(B3021)=TRIM(Enginuity!$A$17))
    ),
    OR(
      AND(LEFT(P3021,5)="1-Way", Enginuity!$B$13=1),
      AND(LEFT(P3021,5)="2-Way", OR(Enginuity!$B$13=2, Enginuity!$B$13=4)),
      AND(LEFT(P3021,5)="3-Way", OR(Enginuity!$B$13=3, Enginuity!$B$13=6)),
      AND(P3021="Inner Centre Jamb", OR(Enginuity!$B$13=4, Enginuity!$B$13=6)),
      AND(
        LEFT(P3021,5)&lt;&gt;"1-Way",
        LEFT(P3021,5)&lt;&gt;"2-Way",
        LEFT(P3021,5)&lt;&gt;"3-Way",
        P3021&lt;&gt;"Inner Centre Jamb"
      )
    ),
    IF(OR(Enginuity!$A$1="Frameless Glass",Enginuity!$A$1="Metal Work"),
      AND(TRIM(B3021)=TRIM(Enginuity!$A$17),TRIM(C3021)=TRIM(Enginuity!$A$18)),
      TRIM(B3021)=TRIM(Enginuity!$A$17)
    )
  ),
  ROW(),
  ""
)</f>
        <v/>
      </c>
    </row>
    <row r="3022" spans="21:21" x14ac:dyDescent="0.25">
      <c r="U3022" s="104" t="str">
        <f>IF(
  AND(
    TRIM(A3022)=TRIM(Enginuity!$A$1),
    TRIM(B3022)=TRIM(Enginuity!$A$17),
    Q3022&lt;&gt;"",
    Q3022&lt;&gt;0,
    OR(
      TRIM(C3022)=TRIM(Enginuity!$A$18),
      AND(UPPER(TRIM(M3022))="STD", TRIM(B3022)=TRIM(Enginuity!$A$17))
    ),
    OR(
      AND(LEFT(P3022,5)="1-Way", Enginuity!$B$13=1),
      AND(LEFT(P3022,5)="2-Way", OR(Enginuity!$B$13=2, Enginuity!$B$13=4)),
      AND(LEFT(P3022,5)="3-Way", OR(Enginuity!$B$13=3, Enginuity!$B$13=6)),
      AND(P3022="Inner Centre Jamb", OR(Enginuity!$B$13=4, Enginuity!$B$13=6)),
      AND(
        LEFT(P3022,5)&lt;&gt;"1-Way",
        LEFT(P3022,5)&lt;&gt;"2-Way",
        LEFT(P3022,5)&lt;&gt;"3-Way",
        P3022&lt;&gt;"Inner Centre Jamb"
      )
    ),
    IF(OR(Enginuity!$A$1="Frameless Glass",Enginuity!$A$1="Metal Work"),
      AND(TRIM(B3022)=TRIM(Enginuity!$A$17),TRIM(C3022)=TRIM(Enginuity!$A$18)),
      TRIM(B3022)=TRIM(Enginuity!$A$17)
    )
  ),
  ROW(),
  ""
)</f>
        <v/>
      </c>
    </row>
    <row r="3023" spans="21:21" x14ac:dyDescent="0.25">
      <c r="U3023" s="104" t="str">
        <f>IF(
  AND(
    TRIM(A3023)=TRIM(Enginuity!$A$1),
    TRIM(B3023)=TRIM(Enginuity!$A$17),
    Q3023&lt;&gt;"",
    Q3023&lt;&gt;0,
    OR(
      TRIM(C3023)=TRIM(Enginuity!$A$18),
      AND(UPPER(TRIM(M3023))="STD", TRIM(B3023)=TRIM(Enginuity!$A$17))
    ),
    OR(
      AND(LEFT(P3023,5)="1-Way", Enginuity!$B$13=1),
      AND(LEFT(P3023,5)="2-Way", OR(Enginuity!$B$13=2, Enginuity!$B$13=4)),
      AND(LEFT(P3023,5)="3-Way", OR(Enginuity!$B$13=3, Enginuity!$B$13=6)),
      AND(P3023="Inner Centre Jamb", OR(Enginuity!$B$13=4, Enginuity!$B$13=6)),
      AND(
        LEFT(P3023,5)&lt;&gt;"1-Way",
        LEFT(P3023,5)&lt;&gt;"2-Way",
        LEFT(P3023,5)&lt;&gt;"3-Way",
        P3023&lt;&gt;"Inner Centre Jamb"
      )
    ),
    IF(OR(Enginuity!$A$1="Frameless Glass",Enginuity!$A$1="Metal Work"),
      AND(TRIM(B3023)=TRIM(Enginuity!$A$17),TRIM(C3023)=TRIM(Enginuity!$A$18)),
      TRIM(B3023)=TRIM(Enginuity!$A$17)
    )
  ),
  ROW(),
  ""
)</f>
        <v/>
      </c>
    </row>
    <row r="3024" spans="21:21" x14ac:dyDescent="0.25">
      <c r="U3024" s="104" t="str">
        <f>IF(
  AND(
    TRIM(A3024)=TRIM(Enginuity!$A$1),
    TRIM(B3024)=TRIM(Enginuity!$A$17),
    Q3024&lt;&gt;"",
    Q3024&lt;&gt;0,
    OR(
      TRIM(C3024)=TRIM(Enginuity!$A$18),
      AND(UPPER(TRIM(M3024))="STD", TRIM(B3024)=TRIM(Enginuity!$A$17))
    ),
    OR(
      AND(LEFT(P3024,5)="1-Way", Enginuity!$B$13=1),
      AND(LEFT(P3024,5)="2-Way", OR(Enginuity!$B$13=2, Enginuity!$B$13=4)),
      AND(LEFT(P3024,5)="3-Way", OR(Enginuity!$B$13=3, Enginuity!$B$13=6)),
      AND(P3024="Inner Centre Jamb", OR(Enginuity!$B$13=4, Enginuity!$B$13=6)),
      AND(
        LEFT(P3024,5)&lt;&gt;"1-Way",
        LEFT(P3024,5)&lt;&gt;"2-Way",
        LEFT(P3024,5)&lt;&gt;"3-Way",
        P3024&lt;&gt;"Inner Centre Jamb"
      )
    ),
    IF(OR(Enginuity!$A$1="Frameless Glass",Enginuity!$A$1="Metal Work"),
      AND(TRIM(B3024)=TRIM(Enginuity!$A$17),TRIM(C3024)=TRIM(Enginuity!$A$18)),
      TRIM(B3024)=TRIM(Enginuity!$A$17)
    )
  ),
  ROW(),
  ""
)</f>
        <v/>
      </c>
    </row>
    <row r="3025" spans="21:21" x14ac:dyDescent="0.25">
      <c r="U3025" s="104" t="str">
        <f>IF(
  AND(
    TRIM(A3025)=TRIM(Enginuity!$A$1),
    TRIM(B3025)=TRIM(Enginuity!$A$17),
    Q3025&lt;&gt;"",
    Q3025&lt;&gt;0,
    OR(
      TRIM(C3025)=TRIM(Enginuity!$A$18),
      AND(UPPER(TRIM(M3025))="STD", TRIM(B3025)=TRIM(Enginuity!$A$17))
    ),
    OR(
      AND(LEFT(P3025,5)="1-Way", Enginuity!$B$13=1),
      AND(LEFT(P3025,5)="2-Way", OR(Enginuity!$B$13=2, Enginuity!$B$13=4)),
      AND(LEFT(P3025,5)="3-Way", OR(Enginuity!$B$13=3, Enginuity!$B$13=6)),
      AND(P3025="Inner Centre Jamb", OR(Enginuity!$B$13=4, Enginuity!$B$13=6)),
      AND(
        LEFT(P3025,5)&lt;&gt;"1-Way",
        LEFT(P3025,5)&lt;&gt;"2-Way",
        LEFT(P3025,5)&lt;&gt;"3-Way",
        P3025&lt;&gt;"Inner Centre Jamb"
      )
    ),
    IF(OR(Enginuity!$A$1="Frameless Glass",Enginuity!$A$1="Metal Work"),
      AND(TRIM(B3025)=TRIM(Enginuity!$A$17),TRIM(C3025)=TRIM(Enginuity!$A$18)),
      TRIM(B3025)=TRIM(Enginuity!$A$17)
    )
  ),
  ROW(),
  ""
)</f>
        <v/>
      </c>
    </row>
    <row r="3026" spans="21:21" x14ac:dyDescent="0.25">
      <c r="U3026" s="104" t="str">
        <f>IF(
  AND(
    TRIM(A3026)=TRIM(Enginuity!$A$1),
    TRIM(B3026)=TRIM(Enginuity!$A$17),
    Q3026&lt;&gt;"",
    Q3026&lt;&gt;0,
    OR(
      TRIM(C3026)=TRIM(Enginuity!$A$18),
      AND(UPPER(TRIM(M3026))="STD", TRIM(B3026)=TRIM(Enginuity!$A$17))
    ),
    OR(
      AND(LEFT(P3026,5)="1-Way", Enginuity!$B$13=1),
      AND(LEFT(P3026,5)="2-Way", OR(Enginuity!$B$13=2, Enginuity!$B$13=4)),
      AND(LEFT(P3026,5)="3-Way", OR(Enginuity!$B$13=3, Enginuity!$B$13=6)),
      AND(P3026="Inner Centre Jamb", OR(Enginuity!$B$13=4, Enginuity!$B$13=6)),
      AND(
        LEFT(P3026,5)&lt;&gt;"1-Way",
        LEFT(P3026,5)&lt;&gt;"2-Way",
        LEFT(P3026,5)&lt;&gt;"3-Way",
        P3026&lt;&gt;"Inner Centre Jamb"
      )
    ),
    IF(OR(Enginuity!$A$1="Frameless Glass",Enginuity!$A$1="Metal Work"),
      AND(TRIM(B3026)=TRIM(Enginuity!$A$17),TRIM(C3026)=TRIM(Enginuity!$A$18)),
      TRIM(B3026)=TRIM(Enginuity!$A$17)
    )
  ),
  ROW(),
  ""
)</f>
        <v/>
      </c>
    </row>
    <row r="3027" spans="21:21" x14ac:dyDescent="0.25">
      <c r="U3027" s="104" t="str">
        <f>IF(
  AND(
    TRIM(A3027)=TRIM(Enginuity!$A$1),
    TRIM(B3027)=TRIM(Enginuity!$A$17),
    Q3027&lt;&gt;"",
    Q3027&lt;&gt;0,
    OR(
      TRIM(C3027)=TRIM(Enginuity!$A$18),
      AND(UPPER(TRIM(M3027))="STD", TRIM(B3027)=TRIM(Enginuity!$A$17))
    ),
    OR(
      AND(LEFT(P3027,5)="1-Way", Enginuity!$B$13=1),
      AND(LEFT(P3027,5)="2-Way", OR(Enginuity!$B$13=2, Enginuity!$B$13=4)),
      AND(LEFT(P3027,5)="3-Way", OR(Enginuity!$B$13=3, Enginuity!$B$13=6)),
      AND(P3027="Inner Centre Jamb", OR(Enginuity!$B$13=4, Enginuity!$B$13=6)),
      AND(
        LEFT(P3027,5)&lt;&gt;"1-Way",
        LEFT(P3027,5)&lt;&gt;"2-Way",
        LEFT(P3027,5)&lt;&gt;"3-Way",
        P3027&lt;&gt;"Inner Centre Jamb"
      )
    ),
    IF(OR(Enginuity!$A$1="Frameless Glass",Enginuity!$A$1="Metal Work"),
      AND(TRIM(B3027)=TRIM(Enginuity!$A$17),TRIM(C3027)=TRIM(Enginuity!$A$18)),
      TRIM(B3027)=TRIM(Enginuity!$A$17)
    )
  ),
  ROW(),
  ""
)</f>
        <v/>
      </c>
    </row>
    <row r="3028" spans="21:21" x14ac:dyDescent="0.25">
      <c r="U3028" s="104" t="str">
        <f>IF(
  AND(
    TRIM(A3028)=TRIM(Enginuity!$A$1),
    TRIM(B3028)=TRIM(Enginuity!$A$17),
    Q3028&lt;&gt;"",
    Q3028&lt;&gt;0,
    OR(
      TRIM(C3028)=TRIM(Enginuity!$A$18),
      AND(UPPER(TRIM(M3028))="STD", TRIM(B3028)=TRIM(Enginuity!$A$17))
    ),
    OR(
      AND(LEFT(P3028,5)="1-Way", Enginuity!$B$13=1),
      AND(LEFT(P3028,5)="2-Way", OR(Enginuity!$B$13=2, Enginuity!$B$13=4)),
      AND(LEFT(P3028,5)="3-Way", OR(Enginuity!$B$13=3, Enginuity!$B$13=6)),
      AND(P3028="Inner Centre Jamb", OR(Enginuity!$B$13=4, Enginuity!$B$13=6)),
      AND(
        LEFT(P3028,5)&lt;&gt;"1-Way",
        LEFT(P3028,5)&lt;&gt;"2-Way",
        LEFT(P3028,5)&lt;&gt;"3-Way",
        P3028&lt;&gt;"Inner Centre Jamb"
      )
    ),
    IF(OR(Enginuity!$A$1="Frameless Glass",Enginuity!$A$1="Metal Work"),
      AND(TRIM(B3028)=TRIM(Enginuity!$A$17),TRIM(C3028)=TRIM(Enginuity!$A$18)),
      TRIM(B3028)=TRIM(Enginuity!$A$17)
    )
  ),
  ROW(),
  ""
)</f>
        <v/>
      </c>
    </row>
    <row r="3029" spans="21:21" x14ac:dyDescent="0.25">
      <c r="U3029" s="104" t="str">
        <f>IF(
  AND(
    TRIM(A3029)=TRIM(Enginuity!$A$1),
    TRIM(B3029)=TRIM(Enginuity!$A$17),
    Q3029&lt;&gt;"",
    Q3029&lt;&gt;0,
    OR(
      TRIM(C3029)=TRIM(Enginuity!$A$18),
      AND(UPPER(TRIM(M3029))="STD", TRIM(B3029)=TRIM(Enginuity!$A$17))
    ),
    OR(
      AND(LEFT(P3029,5)="1-Way", Enginuity!$B$13=1),
      AND(LEFT(P3029,5)="2-Way", OR(Enginuity!$B$13=2, Enginuity!$B$13=4)),
      AND(LEFT(P3029,5)="3-Way", OR(Enginuity!$B$13=3, Enginuity!$B$13=6)),
      AND(P3029="Inner Centre Jamb", OR(Enginuity!$B$13=4, Enginuity!$B$13=6)),
      AND(
        LEFT(P3029,5)&lt;&gt;"1-Way",
        LEFT(P3029,5)&lt;&gt;"2-Way",
        LEFT(P3029,5)&lt;&gt;"3-Way",
        P3029&lt;&gt;"Inner Centre Jamb"
      )
    ),
    IF(OR(Enginuity!$A$1="Frameless Glass",Enginuity!$A$1="Metal Work"),
      AND(TRIM(B3029)=TRIM(Enginuity!$A$17),TRIM(C3029)=TRIM(Enginuity!$A$18)),
      TRIM(B3029)=TRIM(Enginuity!$A$17)
    )
  ),
  ROW(),
  ""
)</f>
        <v/>
      </c>
    </row>
    <row r="3030" spans="21:21" x14ac:dyDescent="0.25">
      <c r="U3030" s="104" t="str">
        <f>IF(
  AND(
    TRIM(A3030)=TRIM(Enginuity!$A$1),
    TRIM(B3030)=TRIM(Enginuity!$A$17),
    Q3030&lt;&gt;"",
    Q3030&lt;&gt;0,
    OR(
      TRIM(C3030)=TRIM(Enginuity!$A$18),
      AND(UPPER(TRIM(M3030))="STD", TRIM(B3030)=TRIM(Enginuity!$A$17))
    ),
    OR(
      AND(LEFT(P3030,5)="1-Way", Enginuity!$B$13=1),
      AND(LEFT(P3030,5)="2-Way", OR(Enginuity!$B$13=2, Enginuity!$B$13=4)),
      AND(LEFT(P3030,5)="3-Way", OR(Enginuity!$B$13=3, Enginuity!$B$13=6)),
      AND(P3030="Inner Centre Jamb", OR(Enginuity!$B$13=4, Enginuity!$B$13=6)),
      AND(
        LEFT(P3030,5)&lt;&gt;"1-Way",
        LEFT(P3030,5)&lt;&gt;"2-Way",
        LEFT(P3030,5)&lt;&gt;"3-Way",
        P3030&lt;&gt;"Inner Centre Jamb"
      )
    ),
    IF(OR(Enginuity!$A$1="Frameless Glass",Enginuity!$A$1="Metal Work"),
      AND(TRIM(B3030)=TRIM(Enginuity!$A$17),TRIM(C3030)=TRIM(Enginuity!$A$18)),
      TRIM(B3030)=TRIM(Enginuity!$A$17)
    )
  ),
  ROW(),
  ""
)</f>
        <v/>
      </c>
    </row>
    <row r="3031" spans="21:21" x14ac:dyDescent="0.25">
      <c r="U3031" s="104" t="str">
        <f>IF(
  AND(
    TRIM(A3031)=TRIM(Enginuity!$A$1),
    TRIM(B3031)=TRIM(Enginuity!$A$17),
    Q3031&lt;&gt;"",
    Q3031&lt;&gt;0,
    OR(
      TRIM(C3031)=TRIM(Enginuity!$A$18),
      AND(UPPER(TRIM(M3031))="STD", TRIM(B3031)=TRIM(Enginuity!$A$17))
    ),
    OR(
      AND(LEFT(P3031,5)="1-Way", Enginuity!$B$13=1),
      AND(LEFT(P3031,5)="2-Way", OR(Enginuity!$B$13=2, Enginuity!$B$13=4)),
      AND(LEFT(P3031,5)="3-Way", OR(Enginuity!$B$13=3, Enginuity!$B$13=6)),
      AND(P3031="Inner Centre Jamb", OR(Enginuity!$B$13=4, Enginuity!$B$13=6)),
      AND(
        LEFT(P3031,5)&lt;&gt;"1-Way",
        LEFT(P3031,5)&lt;&gt;"2-Way",
        LEFT(P3031,5)&lt;&gt;"3-Way",
        P3031&lt;&gt;"Inner Centre Jamb"
      )
    ),
    IF(OR(Enginuity!$A$1="Frameless Glass",Enginuity!$A$1="Metal Work"),
      AND(TRIM(B3031)=TRIM(Enginuity!$A$17),TRIM(C3031)=TRIM(Enginuity!$A$18)),
      TRIM(B3031)=TRIM(Enginuity!$A$17)
    )
  ),
  ROW(),
  ""
)</f>
        <v/>
      </c>
    </row>
    <row r="3032" spans="21:21" x14ac:dyDescent="0.25">
      <c r="U3032" s="104" t="str">
        <f>IF(
  AND(
    TRIM(A3032)=TRIM(Enginuity!$A$1),
    TRIM(B3032)=TRIM(Enginuity!$A$17),
    Q3032&lt;&gt;"",
    Q3032&lt;&gt;0,
    OR(
      TRIM(C3032)=TRIM(Enginuity!$A$18),
      AND(UPPER(TRIM(M3032))="STD", TRIM(B3032)=TRIM(Enginuity!$A$17))
    ),
    OR(
      AND(LEFT(P3032,5)="1-Way", Enginuity!$B$13=1),
      AND(LEFT(P3032,5)="2-Way", OR(Enginuity!$B$13=2, Enginuity!$B$13=4)),
      AND(LEFT(P3032,5)="3-Way", OR(Enginuity!$B$13=3, Enginuity!$B$13=6)),
      AND(P3032="Inner Centre Jamb", OR(Enginuity!$B$13=4, Enginuity!$B$13=6)),
      AND(
        LEFT(P3032,5)&lt;&gt;"1-Way",
        LEFT(P3032,5)&lt;&gt;"2-Way",
        LEFT(P3032,5)&lt;&gt;"3-Way",
        P3032&lt;&gt;"Inner Centre Jamb"
      )
    ),
    IF(OR(Enginuity!$A$1="Frameless Glass",Enginuity!$A$1="Metal Work"),
      AND(TRIM(B3032)=TRIM(Enginuity!$A$17),TRIM(C3032)=TRIM(Enginuity!$A$18)),
      TRIM(B3032)=TRIM(Enginuity!$A$17)
    )
  ),
  ROW(),
  ""
)</f>
        <v/>
      </c>
    </row>
    <row r="3033" spans="21:21" x14ac:dyDescent="0.25">
      <c r="U3033" s="104" t="str">
        <f>IF(
  AND(
    TRIM(A3033)=TRIM(Enginuity!$A$1),
    TRIM(B3033)=TRIM(Enginuity!$A$17),
    Q3033&lt;&gt;"",
    Q3033&lt;&gt;0,
    OR(
      TRIM(C3033)=TRIM(Enginuity!$A$18),
      AND(UPPER(TRIM(M3033))="STD", TRIM(B3033)=TRIM(Enginuity!$A$17))
    ),
    OR(
      AND(LEFT(P3033,5)="1-Way", Enginuity!$B$13=1),
      AND(LEFT(P3033,5)="2-Way", OR(Enginuity!$B$13=2, Enginuity!$B$13=4)),
      AND(LEFT(P3033,5)="3-Way", OR(Enginuity!$B$13=3, Enginuity!$B$13=6)),
      AND(P3033="Inner Centre Jamb", OR(Enginuity!$B$13=4, Enginuity!$B$13=6)),
      AND(
        LEFT(P3033,5)&lt;&gt;"1-Way",
        LEFT(P3033,5)&lt;&gt;"2-Way",
        LEFT(P3033,5)&lt;&gt;"3-Way",
        P3033&lt;&gt;"Inner Centre Jamb"
      )
    ),
    IF(OR(Enginuity!$A$1="Frameless Glass",Enginuity!$A$1="Metal Work"),
      AND(TRIM(B3033)=TRIM(Enginuity!$A$17),TRIM(C3033)=TRIM(Enginuity!$A$18)),
      TRIM(B3033)=TRIM(Enginuity!$A$17)
    )
  ),
  ROW(),
  ""
)</f>
        <v/>
      </c>
    </row>
    <row r="3034" spans="21:21" x14ac:dyDescent="0.25">
      <c r="U3034" s="104" t="str">
        <f>IF(
  AND(
    TRIM(A3034)=TRIM(Enginuity!$A$1),
    TRIM(B3034)=TRIM(Enginuity!$A$17),
    Q3034&lt;&gt;"",
    Q3034&lt;&gt;0,
    OR(
      TRIM(C3034)=TRIM(Enginuity!$A$18),
      AND(UPPER(TRIM(M3034))="STD", TRIM(B3034)=TRIM(Enginuity!$A$17))
    ),
    OR(
      AND(LEFT(P3034,5)="1-Way", Enginuity!$B$13=1),
      AND(LEFT(P3034,5)="2-Way", OR(Enginuity!$B$13=2, Enginuity!$B$13=4)),
      AND(LEFT(P3034,5)="3-Way", OR(Enginuity!$B$13=3, Enginuity!$B$13=6)),
      AND(P3034="Inner Centre Jamb", OR(Enginuity!$B$13=4, Enginuity!$B$13=6)),
      AND(
        LEFT(P3034,5)&lt;&gt;"1-Way",
        LEFT(P3034,5)&lt;&gt;"2-Way",
        LEFT(P3034,5)&lt;&gt;"3-Way",
        P3034&lt;&gt;"Inner Centre Jamb"
      )
    ),
    IF(OR(Enginuity!$A$1="Frameless Glass",Enginuity!$A$1="Metal Work"),
      AND(TRIM(B3034)=TRIM(Enginuity!$A$17),TRIM(C3034)=TRIM(Enginuity!$A$18)),
      TRIM(B3034)=TRIM(Enginuity!$A$17)
    )
  ),
  ROW(),
  ""
)</f>
        <v/>
      </c>
    </row>
    <row r="3035" spans="21:21" x14ac:dyDescent="0.25">
      <c r="U3035" s="104" t="str">
        <f>IF(
  AND(
    TRIM(A3035)=TRIM(Enginuity!$A$1),
    TRIM(B3035)=TRIM(Enginuity!$A$17),
    Q3035&lt;&gt;"",
    Q3035&lt;&gt;0,
    OR(
      TRIM(C3035)=TRIM(Enginuity!$A$18),
      AND(UPPER(TRIM(M3035))="STD", TRIM(B3035)=TRIM(Enginuity!$A$17))
    ),
    OR(
      AND(LEFT(P3035,5)="1-Way", Enginuity!$B$13=1),
      AND(LEFT(P3035,5)="2-Way", OR(Enginuity!$B$13=2, Enginuity!$B$13=4)),
      AND(LEFT(P3035,5)="3-Way", OR(Enginuity!$B$13=3, Enginuity!$B$13=6)),
      AND(P3035="Inner Centre Jamb", OR(Enginuity!$B$13=4, Enginuity!$B$13=6)),
      AND(
        LEFT(P3035,5)&lt;&gt;"1-Way",
        LEFT(P3035,5)&lt;&gt;"2-Way",
        LEFT(P3035,5)&lt;&gt;"3-Way",
        P3035&lt;&gt;"Inner Centre Jamb"
      )
    ),
    IF(OR(Enginuity!$A$1="Frameless Glass",Enginuity!$A$1="Metal Work"),
      AND(TRIM(B3035)=TRIM(Enginuity!$A$17),TRIM(C3035)=TRIM(Enginuity!$A$18)),
      TRIM(B3035)=TRIM(Enginuity!$A$17)
    )
  ),
  ROW(),
  ""
)</f>
        <v/>
      </c>
    </row>
    <row r="3036" spans="21:21" x14ac:dyDescent="0.25">
      <c r="U3036" s="104" t="str">
        <f>IF(
  AND(
    TRIM(A3036)=TRIM(Enginuity!$A$1),
    TRIM(B3036)=TRIM(Enginuity!$A$17),
    Q3036&lt;&gt;"",
    Q3036&lt;&gt;0,
    OR(
      TRIM(C3036)=TRIM(Enginuity!$A$18),
      AND(UPPER(TRIM(M3036))="STD", TRIM(B3036)=TRIM(Enginuity!$A$17))
    ),
    OR(
      AND(LEFT(P3036,5)="1-Way", Enginuity!$B$13=1),
      AND(LEFT(P3036,5)="2-Way", OR(Enginuity!$B$13=2, Enginuity!$B$13=4)),
      AND(LEFT(P3036,5)="3-Way", OR(Enginuity!$B$13=3, Enginuity!$B$13=6)),
      AND(P3036="Inner Centre Jamb", OR(Enginuity!$B$13=4, Enginuity!$B$13=6)),
      AND(
        LEFT(P3036,5)&lt;&gt;"1-Way",
        LEFT(P3036,5)&lt;&gt;"2-Way",
        LEFT(P3036,5)&lt;&gt;"3-Way",
        P3036&lt;&gt;"Inner Centre Jamb"
      )
    ),
    IF(OR(Enginuity!$A$1="Frameless Glass",Enginuity!$A$1="Metal Work"),
      AND(TRIM(B3036)=TRIM(Enginuity!$A$17),TRIM(C3036)=TRIM(Enginuity!$A$18)),
      TRIM(B3036)=TRIM(Enginuity!$A$17)
    )
  ),
  ROW(),
  ""
)</f>
        <v/>
      </c>
    </row>
    <row r="3037" spans="21:21" x14ac:dyDescent="0.25">
      <c r="U3037" s="104" t="str">
        <f>IF(
  AND(
    TRIM(A3037)=TRIM(Enginuity!$A$1),
    TRIM(B3037)=TRIM(Enginuity!$A$17),
    Q3037&lt;&gt;"",
    Q3037&lt;&gt;0,
    OR(
      TRIM(C3037)=TRIM(Enginuity!$A$18),
      AND(UPPER(TRIM(M3037))="STD", TRIM(B3037)=TRIM(Enginuity!$A$17))
    ),
    OR(
      AND(LEFT(P3037,5)="1-Way", Enginuity!$B$13=1),
      AND(LEFT(P3037,5)="2-Way", OR(Enginuity!$B$13=2, Enginuity!$B$13=4)),
      AND(LEFT(P3037,5)="3-Way", OR(Enginuity!$B$13=3, Enginuity!$B$13=6)),
      AND(P3037="Inner Centre Jamb", OR(Enginuity!$B$13=4, Enginuity!$B$13=6)),
      AND(
        LEFT(P3037,5)&lt;&gt;"1-Way",
        LEFT(P3037,5)&lt;&gt;"2-Way",
        LEFT(P3037,5)&lt;&gt;"3-Way",
        P3037&lt;&gt;"Inner Centre Jamb"
      )
    ),
    IF(OR(Enginuity!$A$1="Frameless Glass",Enginuity!$A$1="Metal Work"),
      AND(TRIM(B3037)=TRIM(Enginuity!$A$17),TRIM(C3037)=TRIM(Enginuity!$A$18)),
      TRIM(B3037)=TRIM(Enginuity!$A$17)
    )
  ),
  ROW(),
  ""
)</f>
        <v/>
      </c>
    </row>
    <row r="3038" spans="21:21" x14ac:dyDescent="0.25">
      <c r="U3038" s="104" t="str">
        <f>IF(
  AND(
    TRIM(A3038)=TRIM(Enginuity!$A$1),
    TRIM(B3038)=TRIM(Enginuity!$A$17),
    Q3038&lt;&gt;"",
    Q3038&lt;&gt;0,
    OR(
      TRIM(C3038)=TRIM(Enginuity!$A$18),
      AND(UPPER(TRIM(M3038))="STD", TRIM(B3038)=TRIM(Enginuity!$A$17))
    ),
    OR(
      AND(LEFT(P3038,5)="1-Way", Enginuity!$B$13=1),
      AND(LEFT(P3038,5)="2-Way", OR(Enginuity!$B$13=2, Enginuity!$B$13=4)),
      AND(LEFT(P3038,5)="3-Way", OR(Enginuity!$B$13=3, Enginuity!$B$13=6)),
      AND(P3038="Inner Centre Jamb", OR(Enginuity!$B$13=4, Enginuity!$B$13=6)),
      AND(
        LEFT(P3038,5)&lt;&gt;"1-Way",
        LEFT(P3038,5)&lt;&gt;"2-Way",
        LEFT(P3038,5)&lt;&gt;"3-Way",
        P3038&lt;&gt;"Inner Centre Jamb"
      )
    ),
    IF(OR(Enginuity!$A$1="Frameless Glass",Enginuity!$A$1="Metal Work"),
      AND(TRIM(B3038)=TRIM(Enginuity!$A$17),TRIM(C3038)=TRIM(Enginuity!$A$18)),
      TRIM(B3038)=TRIM(Enginuity!$A$17)
    )
  ),
  ROW(),
  ""
)</f>
        <v/>
      </c>
    </row>
    <row r="3039" spans="21:21" x14ac:dyDescent="0.25">
      <c r="U3039" s="104" t="str">
        <f>IF(
  AND(
    TRIM(A3039)=TRIM(Enginuity!$A$1),
    TRIM(B3039)=TRIM(Enginuity!$A$17),
    Q3039&lt;&gt;"",
    Q3039&lt;&gt;0,
    OR(
      TRIM(C3039)=TRIM(Enginuity!$A$18),
      AND(UPPER(TRIM(M3039))="STD", TRIM(B3039)=TRIM(Enginuity!$A$17))
    ),
    OR(
      AND(LEFT(P3039,5)="1-Way", Enginuity!$B$13=1),
      AND(LEFT(P3039,5)="2-Way", OR(Enginuity!$B$13=2, Enginuity!$B$13=4)),
      AND(LEFT(P3039,5)="3-Way", OR(Enginuity!$B$13=3, Enginuity!$B$13=6)),
      AND(P3039="Inner Centre Jamb", OR(Enginuity!$B$13=4, Enginuity!$B$13=6)),
      AND(
        LEFT(P3039,5)&lt;&gt;"1-Way",
        LEFT(P3039,5)&lt;&gt;"2-Way",
        LEFT(P3039,5)&lt;&gt;"3-Way",
        P3039&lt;&gt;"Inner Centre Jamb"
      )
    ),
    IF(OR(Enginuity!$A$1="Frameless Glass",Enginuity!$A$1="Metal Work"),
      AND(TRIM(B3039)=TRIM(Enginuity!$A$17),TRIM(C3039)=TRIM(Enginuity!$A$18)),
      TRIM(B3039)=TRIM(Enginuity!$A$17)
    )
  ),
  ROW(),
  ""
)</f>
        <v/>
      </c>
    </row>
    <row r="3040" spans="21:21" x14ac:dyDescent="0.25">
      <c r="U3040" s="104" t="str">
        <f>IF(
  AND(
    TRIM(A3040)=TRIM(Enginuity!$A$1),
    TRIM(B3040)=TRIM(Enginuity!$A$17),
    Q3040&lt;&gt;"",
    Q3040&lt;&gt;0,
    OR(
      TRIM(C3040)=TRIM(Enginuity!$A$18),
      AND(UPPER(TRIM(M3040))="STD", TRIM(B3040)=TRIM(Enginuity!$A$17))
    ),
    OR(
      AND(LEFT(P3040,5)="1-Way", Enginuity!$B$13=1),
      AND(LEFT(P3040,5)="2-Way", OR(Enginuity!$B$13=2, Enginuity!$B$13=4)),
      AND(LEFT(P3040,5)="3-Way", OR(Enginuity!$B$13=3, Enginuity!$B$13=6)),
      AND(P3040="Inner Centre Jamb", OR(Enginuity!$B$13=4, Enginuity!$B$13=6)),
      AND(
        LEFT(P3040,5)&lt;&gt;"1-Way",
        LEFT(P3040,5)&lt;&gt;"2-Way",
        LEFT(P3040,5)&lt;&gt;"3-Way",
        P3040&lt;&gt;"Inner Centre Jamb"
      )
    ),
    IF(OR(Enginuity!$A$1="Frameless Glass",Enginuity!$A$1="Metal Work"),
      AND(TRIM(B3040)=TRIM(Enginuity!$A$17),TRIM(C3040)=TRIM(Enginuity!$A$18)),
      TRIM(B3040)=TRIM(Enginuity!$A$17)
    )
  ),
  ROW(),
  ""
)</f>
        <v/>
      </c>
    </row>
    <row r="3041" spans="21:21" x14ac:dyDescent="0.25">
      <c r="U3041" s="104" t="str">
        <f>IF(
  AND(
    TRIM(A3041)=TRIM(Enginuity!$A$1),
    TRIM(B3041)=TRIM(Enginuity!$A$17),
    Q3041&lt;&gt;"",
    Q3041&lt;&gt;0,
    OR(
      TRIM(C3041)=TRIM(Enginuity!$A$18),
      AND(UPPER(TRIM(M3041))="STD", TRIM(B3041)=TRIM(Enginuity!$A$17))
    ),
    OR(
      AND(LEFT(P3041,5)="1-Way", Enginuity!$B$13=1),
      AND(LEFT(P3041,5)="2-Way", OR(Enginuity!$B$13=2, Enginuity!$B$13=4)),
      AND(LEFT(P3041,5)="3-Way", OR(Enginuity!$B$13=3, Enginuity!$B$13=6)),
      AND(P3041="Inner Centre Jamb", OR(Enginuity!$B$13=4, Enginuity!$B$13=6)),
      AND(
        LEFT(P3041,5)&lt;&gt;"1-Way",
        LEFT(P3041,5)&lt;&gt;"2-Way",
        LEFT(P3041,5)&lt;&gt;"3-Way",
        P3041&lt;&gt;"Inner Centre Jamb"
      )
    ),
    IF(OR(Enginuity!$A$1="Frameless Glass",Enginuity!$A$1="Metal Work"),
      AND(TRIM(B3041)=TRIM(Enginuity!$A$17),TRIM(C3041)=TRIM(Enginuity!$A$18)),
      TRIM(B3041)=TRIM(Enginuity!$A$17)
    )
  ),
  ROW(),
  ""
)</f>
        <v/>
      </c>
    </row>
    <row r="3042" spans="21:21" x14ac:dyDescent="0.25">
      <c r="U3042" s="104" t="str">
        <f>IF(
  AND(
    TRIM(A3042)=TRIM(Enginuity!$A$1),
    TRIM(B3042)=TRIM(Enginuity!$A$17),
    Q3042&lt;&gt;"",
    Q3042&lt;&gt;0,
    OR(
      TRIM(C3042)=TRIM(Enginuity!$A$18),
      AND(UPPER(TRIM(M3042))="STD", TRIM(B3042)=TRIM(Enginuity!$A$17))
    ),
    OR(
      AND(LEFT(P3042,5)="1-Way", Enginuity!$B$13=1),
      AND(LEFT(P3042,5)="2-Way", OR(Enginuity!$B$13=2, Enginuity!$B$13=4)),
      AND(LEFT(P3042,5)="3-Way", OR(Enginuity!$B$13=3, Enginuity!$B$13=6)),
      AND(P3042="Inner Centre Jamb", OR(Enginuity!$B$13=4, Enginuity!$B$13=6)),
      AND(
        LEFT(P3042,5)&lt;&gt;"1-Way",
        LEFT(P3042,5)&lt;&gt;"2-Way",
        LEFT(P3042,5)&lt;&gt;"3-Way",
        P3042&lt;&gt;"Inner Centre Jamb"
      )
    ),
    IF(OR(Enginuity!$A$1="Frameless Glass",Enginuity!$A$1="Metal Work"),
      AND(TRIM(B3042)=TRIM(Enginuity!$A$17),TRIM(C3042)=TRIM(Enginuity!$A$18)),
      TRIM(B3042)=TRIM(Enginuity!$A$17)
    )
  ),
  ROW(),
  ""
)</f>
        <v/>
      </c>
    </row>
    <row r="3043" spans="21:21" x14ac:dyDescent="0.25">
      <c r="U3043" s="104" t="str">
        <f>IF(
  AND(
    TRIM(A3043)=TRIM(Enginuity!$A$1),
    TRIM(B3043)=TRIM(Enginuity!$A$17),
    Q3043&lt;&gt;"",
    Q3043&lt;&gt;0,
    OR(
      TRIM(C3043)=TRIM(Enginuity!$A$18),
      AND(UPPER(TRIM(M3043))="STD", TRIM(B3043)=TRIM(Enginuity!$A$17))
    ),
    OR(
      AND(LEFT(P3043,5)="1-Way", Enginuity!$B$13=1),
      AND(LEFT(P3043,5)="2-Way", OR(Enginuity!$B$13=2, Enginuity!$B$13=4)),
      AND(LEFT(P3043,5)="3-Way", OR(Enginuity!$B$13=3, Enginuity!$B$13=6)),
      AND(P3043="Inner Centre Jamb", OR(Enginuity!$B$13=4, Enginuity!$B$13=6)),
      AND(
        LEFT(P3043,5)&lt;&gt;"1-Way",
        LEFT(P3043,5)&lt;&gt;"2-Way",
        LEFT(P3043,5)&lt;&gt;"3-Way",
        P3043&lt;&gt;"Inner Centre Jamb"
      )
    ),
    IF(OR(Enginuity!$A$1="Frameless Glass",Enginuity!$A$1="Metal Work"),
      AND(TRIM(B3043)=TRIM(Enginuity!$A$17),TRIM(C3043)=TRIM(Enginuity!$A$18)),
      TRIM(B3043)=TRIM(Enginuity!$A$17)
    )
  ),
  ROW(),
  ""
)</f>
        <v/>
      </c>
    </row>
    <row r="3044" spans="21:21" x14ac:dyDescent="0.25">
      <c r="U3044" s="104" t="str">
        <f>IF(
  AND(
    TRIM(A3044)=TRIM(Enginuity!$A$1),
    TRIM(B3044)=TRIM(Enginuity!$A$17),
    Q3044&lt;&gt;"",
    Q3044&lt;&gt;0,
    OR(
      TRIM(C3044)=TRIM(Enginuity!$A$18),
      AND(UPPER(TRIM(M3044))="STD", TRIM(B3044)=TRIM(Enginuity!$A$17))
    ),
    OR(
      AND(LEFT(P3044,5)="1-Way", Enginuity!$B$13=1),
      AND(LEFT(P3044,5)="2-Way", OR(Enginuity!$B$13=2, Enginuity!$B$13=4)),
      AND(LEFT(P3044,5)="3-Way", OR(Enginuity!$B$13=3, Enginuity!$B$13=6)),
      AND(P3044="Inner Centre Jamb", OR(Enginuity!$B$13=4, Enginuity!$B$13=6)),
      AND(
        LEFT(P3044,5)&lt;&gt;"1-Way",
        LEFT(P3044,5)&lt;&gt;"2-Way",
        LEFT(P3044,5)&lt;&gt;"3-Way",
        P3044&lt;&gt;"Inner Centre Jamb"
      )
    ),
    IF(OR(Enginuity!$A$1="Frameless Glass",Enginuity!$A$1="Metal Work"),
      AND(TRIM(B3044)=TRIM(Enginuity!$A$17),TRIM(C3044)=TRIM(Enginuity!$A$18)),
      TRIM(B3044)=TRIM(Enginuity!$A$17)
    )
  ),
  ROW(),
  ""
)</f>
        <v/>
      </c>
    </row>
    <row r="3045" spans="21:21" x14ac:dyDescent="0.25">
      <c r="U3045" s="104" t="str">
        <f>IF(
  AND(
    TRIM(A3045)=TRIM(Enginuity!$A$1),
    TRIM(B3045)=TRIM(Enginuity!$A$17),
    Q3045&lt;&gt;"",
    Q3045&lt;&gt;0,
    OR(
      TRIM(C3045)=TRIM(Enginuity!$A$18),
      AND(UPPER(TRIM(M3045))="STD", TRIM(B3045)=TRIM(Enginuity!$A$17))
    ),
    OR(
      AND(LEFT(P3045,5)="1-Way", Enginuity!$B$13=1),
      AND(LEFT(P3045,5)="2-Way", OR(Enginuity!$B$13=2, Enginuity!$B$13=4)),
      AND(LEFT(P3045,5)="3-Way", OR(Enginuity!$B$13=3, Enginuity!$B$13=6)),
      AND(P3045="Inner Centre Jamb", OR(Enginuity!$B$13=4, Enginuity!$B$13=6)),
      AND(
        LEFT(P3045,5)&lt;&gt;"1-Way",
        LEFT(P3045,5)&lt;&gt;"2-Way",
        LEFT(P3045,5)&lt;&gt;"3-Way",
        P3045&lt;&gt;"Inner Centre Jamb"
      )
    ),
    IF(OR(Enginuity!$A$1="Frameless Glass",Enginuity!$A$1="Metal Work"),
      AND(TRIM(B3045)=TRIM(Enginuity!$A$17),TRIM(C3045)=TRIM(Enginuity!$A$18)),
      TRIM(B3045)=TRIM(Enginuity!$A$17)
    )
  ),
  ROW(),
  ""
)</f>
        <v/>
      </c>
    </row>
    <row r="3046" spans="21:21" x14ac:dyDescent="0.25">
      <c r="U3046" s="104" t="str">
        <f>IF(
  AND(
    TRIM(A3046)=TRIM(Enginuity!$A$1),
    TRIM(B3046)=TRIM(Enginuity!$A$17),
    Q3046&lt;&gt;"",
    Q3046&lt;&gt;0,
    OR(
      TRIM(C3046)=TRIM(Enginuity!$A$18),
      AND(UPPER(TRIM(M3046))="STD", TRIM(B3046)=TRIM(Enginuity!$A$17))
    ),
    OR(
      AND(LEFT(P3046,5)="1-Way", Enginuity!$B$13=1),
      AND(LEFT(P3046,5)="2-Way", OR(Enginuity!$B$13=2, Enginuity!$B$13=4)),
      AND(LEFT(P3046,5)="3-Way", OR(Enginuity!$B$13=3, Enginuity!$B$13=6)),
      AND(P3046="Inner Centre Jamb", OR(Enginuity!$B$13=4, Enginuity!$B$13=6)),
      AND(
        LEFT(P3046,5)&lt;&gt;"1-Way",
        LEFT(P3046,5)&lt;&gt;"2-Way",
        LEFT(P3046,5)&lt;&gt;"3-Way",
        P3046&lt;&gt;"Inner Centre Jamb"
      )
    ),
    IF(OR(Enginuity!$A$1="Frameless Glass",Enginuity!$A$1="Metal Work"),
      AND(TRIM(B3046)=TRIM(Enginuity!$A$17),TRIM(C3046)=TRIM(Enginuity!$A$18)),
      TRIM(B3046)=TRIM(Enginuity!$A$17)
    )
  ),
  ROW(),
  ""
)</f>
        <v/>
      </c>
    </row>
    <row r="3047" spans="21:21" x14ac:dyDescent="0.25">
      <c r="U3047" s="104" t="str">
        <f>IF(
  AND(
    TRIM(A3047)=TRIM(Enginuity!$A$1),
    TRIM(B3047)=TRIM(Enginuity!$A$17),
    Q3047&lt;&gt;"",
    Q3047&lt;&gt;0,
    OR(
      TRIM(C3047)=TRIM(Enginuity!$A$18),
      AND(UPPER(TRIM(M3047))="STD", TRIM(B3047)=TRIM(Enginuity!$A$17))
    ),
    OR(
      AND(LEFT(P3047,5)="1-Way", Enginuity!$B$13=1),
      AND(LEFT(P3047,5)="2-Way", OR(Enginuity!$B$13=2, Enginuity!$B$13=4)),
      AND(LEFT(P3047,5)="3-Way", OR(Enginuity!$B$13=3, Enginuity!$B$13=6)),
      AND(P3047="Inner Centre Jamb", OR(Enginuity!$B$13=4, Enginuity!$B$13=6)),
      AND(
        LEFT(P3047,5)&lt;&gt;"1-Way",
        LEFT(P3047,5)&lt;&gt;"2-Way",
        LEFT(P3047,5)&lt;&gt;"3-Way",
        P3047&lt;&gt;"Inner Centre Jamb"
      )
    ),
    IF(OR(Enginuity!$A$1="Frameless Glass",Enginuity!$A$1="Metal Work"),
      AND(TRIM(B3047)=TRIM(Enginuity!$A$17),TRIM(C3047)=TRIM(Enginuity!$A$18)),
      TRIM(B3047)=TRIM(Enginuity!$A$17)
    )
  ),
  ROW(),
  ""
)</f>
        <v/>
      </c>
    </row>
    <row r="3048" spans="21:21" x14ac:dyDescent="0.25">
      <c r="U3048" s="104" t="str">
        <f>IF(
  AND(
    TRIM(A3048)=TRIM(Enginuity!$A$1),
    TRIM(B3048)=TRIM(Enginuity!$A$17),
    Q3048&lt;&gt;"",
    Q3048&lt;&gt;0,
    OR(
      TRIM(C3048)=TRIM(Enginuity!$A$18),
      AND(UPPER(TRIM(M3048))="STD", TRIM(B3048)=TRIM(Enginuity!$A$17))
    ),
    OR(
      AND(LEFT(P3048,5)="1-Way", Enginuity!$B$13=1),
      AND(LEFT(P3048,5)="2-Way", OR(Enginuity!$B$13=2, Enginuity!$B$13=4)),
      AND(LEFT(P3048,5)="3-Way", OR(Enginuity!$B$13=3, Enginuity!$B$13=6)),
      AND(P3048="Inner Centre Jamb", OR(Enginuity!$B$13=4, Enginuity!$B$13=6)),
      AND(
        LEFT(P3048,5)&lt;&gt;"1-Way",
        LEFT(P3048,5)&lt;&gt;"2-Way",
        LEFT(P3048,5)&lt;&gt;"3-Way",
        P3048&lt;&gt;"Inner Centre Jamb"
      )
    ),
    IF(OR(Enginuity!$A$1="Frameless Glass",Enginuity!$A$1="Metal Work"),
      AND(TRIM(B3048)=TRIM(Enginuity!$A$17),TRIM(C3048)=TRIM(Enginuity!$A$18)),
      TRIM(B3048)=TRIM(Enginuity!$A$17)
    )
  ),
  ROW(),
  ""
)</f>
        <v/>
      </c>
    </row>
    <row r="3049" spans="21:21" x14ac:dyDescent="0.25">
      <c r="U3049" s="104" t="str">
        <f>IF(
  AND(
    TRIM(A3049)=TRIM(Enginuity!$A$1),
    TRIM(B3049)=TRIM(Enginuity!$A$17),
    Q3049&lt;&gt;"",
    Q3049&lt;&gt;0,
    OR(
      TRIM(C3049)=TRIM(Enginuity!$A$18),
      AND(UPPER(TRIM(M3049))="STD", TRIM(B3049)=TRIM(Enginuity!$A$17))
    ),
    OR(
      AND(LEFT(P3049,5)="1-Way", Enginuity!$B$13=1),
      AND(LEFT(P3049,5)="2-Way", OR(Enginuity!$B$13=2, Enginuity!$B$13=4)),
      AND(LEFT(P3049,5)="3-Way", OR(Enginuity!$B$13=3, Enginuity!$B$13=6)),
      AND(P3049="Inner Centre Jamb", OR(Enginuity!$B$13=4, Enginuity!$B$13=6)),
      AND(
        LEFT(P3049,5)&lt;&gt;"1-Way",
        LEFT(P3049,5)&lt;&gt;"2-Way",
        LEFT(P3049,5)&lt;&gt;"3-Way",
        P3049&lt;&gt;"Inner Centre Jamb"
      )
    ),
    IF(OR(Enginuity!$A$1="Frameless Glass",Enginuity!$A$1="Metal Work"),
      AND(TRIM(B3049)=TRIM(Enginuity!$A$17),TRIM(C3049)=TRIM(Enginuity!$A$18)),
      TRIM(B3049)=TRIM(Enginuity!$A$17)
    )
  ),
  ROW(),
  ""
)</f>
        <v/>
      </c>
    </row>
    <row r="3050" spans="21:21" x14ac:dyDescent="0.25">
      <c r="U3050" s="104" t="str">
        <f>IF(
  AND(
    TRIM(A3050)=TRIM(Enginuity!$A$1),
    TRIM(B3050)=TRIM(Enginuity!$A$17),
    Q3050&lt;&gt;"",
    Q3050&lt;&gt;0,
    OR(
      TRIM(C3050)=TRIM(Enginuity!$A$18),
      AND(UPPER(TRIM(M3050))="STD", TRIM(B3050)=TRIM(Enginuity!$A$17))
    ),
    OR(
      AND(LEFT(P3050,5)="1-Way", Enginuity!$B$13=1),
      AND(LEFT(P3050,5)="2-Way", OR(Enginuity!$B$13=2, Enginuity!$B$13=4)),
      AND(LEFT(P3050,5)="3-Way", OR(Enginuity!$B$13=3, Enginuity!$B$13=6)),
      AND(P3050="Inner Centre Jamb", OR(Enginuity!$B$13=4, Enginuity!$B$13=6)),
      AND(
        LEFT(P3050,5)&lt;&gt;"1-Way",
        LEFT(P3050,5)&lt;&gt;"2-Way",
        LEFT(P3050,5)&lt;&gt;"3-Way",
        P3050&lt;&gt;"Inner Centre Jamb"
      )
    ),
    IF(OR(Enginuity!$A$1="Frameless Glass",Enginuity!$A$1="Metal Work"),
      AND(TRIM(B3050)=TRIM(Enginuity!$A$17),TRIM(C3050)=TRIM(Enginuity!$A$18)),
      TRIM(B3050)=TRIM(Enginuity!$A$17)
    )
  ),
  ROW(),
  ""
)</f>
        <v/>
      </c>
    </row>
    <row r="3051" spans="21:21" x14ac:dyDescent="0.25">
      <c r="U3051" s="104" t="str">
        <f>IF(
  AND(
    TRIM(A3051)=TRIM(Enginuity!$A$1),
    TRIM(B3051)=TRIM(Enginuity!$A$17),
    Q3051&lt;&gt;"",
    Q3051&lt;&gt;0,
    OR(
      TRIM(C3051)=TRIM(Enginuity!$A$18),
      AND(UPPER(TRIM(M3051))="STD", TRIM(B3051)=TRIM(Enginuity!$A$17))
    ),
    OR(
      AND(LEFT(P3051,5)="1-Way", Enginuity!$B$13=1),
      AND(LEFT(P3051,5)="2-Way", OR(Enginuity!$B$13=2, Enginuity!$B$13=4)),
      AND(LEFT(P3051,5)="3-Way", OR(Enginuity!$B$13=3, Enginuity!$B$13=6)),
      AND(P3051="Inner Centre Jamb", OR(Enginuity!$B$13=4, Enginuity!$B$13=6)),
      AND(
        LEFT(P3051,5)&lt;&gt;"1-Way",
        LEFT(P3051,5)&lt;&gt;"2-Way",
        LEFT(P3051,5)&lt;&gt;"3-Way",
        P3051&lt;&gt;"Inner Centre Jamb"
      )
    ),
    IF(OR(Enginuity!$A$1="Frameless Glass",Enginuity!$A$1="Metal Work"),
      AND(TRIM(B3051)=TRIM(Enginuity!$A$17),TRIM(C3051)=TRIM(Enginuity!$A$18)),
      TRIM(B3051)=TRIM(Enginuity!$A$17)
    )
  ),
  ROW(),
  ""
)</f>
        <v/>
      </c>
    </row>
    <row r="3052" spans="21:21" x14ac:dyDescent="0.25">
      <c r="U3052" s="104" t="str">
        <f>IF(
  AND(
    TRIM(A3052)=TRIM(Enginuity!$A$1),
    TRIM(B3052)=TRIM(Enginuity!$A$17),
    Q3052&lt;&gt;"",
    Q3052&lt;&gt;0,
    OR(
      TRIM(C3052)=TRIM(Enginuity!$A$18),
      AND(UPPER(TRIM(M3052))="STD", TRIM(B3052)=TRIM(Enginuity!$A$17))
    ),
    OR(
      AND(LEFT(P3052,5)="1-Way", Enginuity!$B$13=1),
      AND(LEFT(P3052,5)="2-Way", OR(Enginuity!$B$13=2, Enginuity!$B$13=4)),
      AND(LEFT(P3052,5)="3-Way", OR(Enginuity!$B$13=3, Enginuity!$B$13=6)),
      AND(P3052="Inner Centre Jamb", OR(Enginuity!$B$13=4, Enginuity!$B$13=6)),
      AND(
        LEFT(P3052,5)&lt;&gt;"1-Way",
        LEFT(P3052,5)&lt;&gt;"2-Way",
        LEFT(P3052,5)&lt;&gt;"3-Way",
        P3052&lt;&gt;"Inner Centre Jamb"
      )
    ),
    IF(OR(Enginuity!$A$1="Frameless Glass",Enginuity!$A$1="Metal Work"),
      AND(TRIM(B3052)=TRIM(Enginuity!$A$17),TRIM(C3052)=TRIM(Enginuity!$A$18)),
      TRIM(B3052)=TRIM(Enginuity!$A$17)
    )
  ),
  ROW(),
  ""
)</f>
        <v/>
      </c>
    </row>
    <row r="3053" spans="21:21" x14ac:dyDescent="0.25">
      <c r="U3053" s="104" t="str">
        <f>IF(
  AND(
    TRIM(A3053)=TRIM(Enginuity!$A$1),
    TRIM(B3053)=TRIM(Enginuity!$A$17),
    Q3053&lt;&gt;"",
    Q3053&lt;&gt;0,
    OR(
      TRIM(C3053)=TRIM(Enginuity!$A$18),
      AND(UPPER(TRIM(M3053))="STD", TRIM(B3053)=TRIM(Enginuity!$A$17))
    ),
    OR(
      AND(LEFT(P3053,5)="1-Way", Enginuity!$B$13=1),
      AND(LEFT(P3053,5)="2-Way", OR(Enginuity!$B$13=2, Enginuity!$B$13=4)),
      AND(LEFT(P3053,5)="3-Way", OR(Enginuity!$B$13=3, Enginuity!$B$13=6)),
      AND(P3053="Inner Centre Jamb", OR(Enginuity!$B$13=4, Enginuity!$B$13=6)),
      AND(
        LEFT(P3053,5)&lt;&gt;"1-Way",
        LEFT(P3053,5)&lt;&gt;"2-Way",
        LEFT(P3053,5)&lt;&gt;"3-Way",
        P3053&lt;&gt;"Inner Centre Jamb"
      )
    ),
    IF(OR(Enginuity!$A$1="Frameless Glass",Enginuity!$A$1="Metal Work"),
      AND(TRIM(B3053)=TRIM(Enginuity!$A$17),TRIM(C3053)=TRIM(Enginuity!$A$18)),
      TRIM(B3053)=TRIM(Enginuity!$A$17)
    )
  ),
  ROW(),
  ""
)</f>
        <v/>
      </c>
    </row>
    <row r="3054" spans="21:21" x14ac:dyDescent="0.25">
      <c r="U3054" s="104" t="str">
        <f>IF(
  AND(
    TRIM(A3054)=TRIM(Enginuity!$A$1),
    TRIM(B3054)=TRIM(Enginuity!$A$17),
    Q3054&lt;&gt;"",
    Q3054&lt;&gt;0,
    OR(
      TRIM(C3054)=TRIM(Enginuity!$A$18),
      AND(UPPER(TRIM(M3054))="STD", TRIM(B3054)=TRIM(Enginuity!$A$17))
    ),
    OR(
      AND(LEFT(P3054,5)="1-Way", Enginuity!$B$13=1),
      AND(LEFT(P3054,5)="2-Way", OR(Enginuity!$B$13=2, Enginuity!$B$13=4)),
      AND(LEFT(P3054,5)="3-Way", OR(Enginuity!$B$13=3, Enginuity!$B$13=6)),
      AND(P3054="Inner Centre Jamb", OR(Enginuity!$B$13=4, Enginuity!$B$13=6)),
      AND(
        LEFT(P3054,5)&lt;&gt;"1-Way",
        LEFT(P3054,5)&lt;&gt;"2-Way",
        LEFT(P3054,5)&lt;&gt;"3-Way",
        P3054&lt;&gt;"Inner Centre Jamb"
      )
    ),
    IF(OR(Enginuity!$A$1="Frameless Glass",Enginuity!$A$1="Metal Work"),
      AND(TRIM(B3054)=TRIM(Enginuity!$A$17),TRIM(C3054)=TRIM(Enginuity!$A$18)),
      TRIM(B3054)=TRIM(Enginuity!$A$17)
    )
  ),
  ROW(),
  ""
)</f>
        <v/>
      </c>
    </row>
    <row r="3055" spans="21:21" x14ac:dyDescent="0.25">
      <c r="U3055" s="104" t="str">
        <f>IF(
  AND(
    TRIM(A3055)=TRIM(Enginuity!$A$1),
    TRIM(B3055)=TRIM(Enginuity!$A$17),
    Q3055&lt;&gt;"",
    Q3055&lt;&gt;0,
    OR(
      TRIM(C3055)=TRIM(Enginuity!$A$18),
      AND(UPPER(TRIM(M3055))="STD", TRIM(B3055)=TRIM(Enginuity!$A$17))
    ),
    OR(
      AND(LEFT(P3055,5)="1-Way", Enginuity!$B$13=1),
      AND(LEFT(P3055,5)="2-Way", OR(Enginuity!$B$13=2, Enginuity!$B$13=4)),
      AND(LEFT(P3055,5)="3-Way", OR(Enginuity!$B$13=3, Enginuity!$B$13=6)),
      AND(P3055="Inner Centre Jamb", OR(Enginuity!$B$13=4, Enginuity!$B$13=6)),
      AND(
        LEFT(P3055,5)&lt;&gt;"1-Way",
        LEFT(P3055,5)&lt;&gt;"2-Way",
        LEFT(P3055,5)&lt;&gt;"3-Way",
        P3055&lt;&gt;"Inner Centre Jamb"
      )
    ),
    IF(OR(Enginuity!$A$1="Frameless Glass",Enginuity!$A$1="Metal Work"),
      AND(TRIM(B3055)=TRIM(Enginuity!$A$17),TRIM(C3055)=TRIM(Enginuity!$A$18)),
      TRIM(B3055)=TRIM(Enginuity!$A$17)
    )
  ),
  ROW(),
  ""
)</f>
        <v/>
      </c>
    </row>
    <row r="3056" spans="21:21" x14ac:dyDescent="0.25">
      <c r="U3056" s="104" t="str">
        <f>IF(
  AND(
    TRIM(A3056)=TRIM(Enginuity!$A$1),
    TRIM(B3056)=TRIM(Enginuity!$A$17),
    Q3056&lt;&gt;"",
    Q3056&lt;&gt;0,
    OR(
      TRIM(C3056)=TRIM(Enginuity!$A$18),
      AND(UPPER(TRIM(M3056))="STD", TRIM(B3056)=TRIM(Enginuity!$A$17))
    ),
    OR(
      AND(LEFT(P3056,5)="1-Way", Enginuity!$B$13=1),
      AND(LEFT(P3056,5)="2-Way", OR(Enginuity!$B$13=2, Enginuity!$B$13=4)),
      AND(LEFT(P3056,5)="3-Way", OR(Enginuity!$B$13=3, Enginuity!$B$13=6)),
      AND(P3056="Inner Centre Jamb", OR(Enginuity!$B$13=4, Enginuity!$B$13=6)),
      AND(
        LEFT(P3056,5)&lt;&gt;"1-Way",
        LEFT(P3056,5)&lt;&gt;"2-Way",
        LEFT(P3056,5)&lt;&gt;"3-Way",
        P3056&lt;&gt;"Inner Centre Jamb"
      )
    ),
    IF(OR(Enginuity!$A$1="Frameless Glass",Enginuity!$A$1="Metal Work"),
      AND(TRIM(B3056)=TRIM(Enginuity!$A$17),TRIM(C3056)=TRIM(Enginuity!$A$18)),
      TRIM(B3056)=TRIM(Enginuity!$A$17)
    )
  ),
  ROW(),
  ""
)</f>
        <v/>
      </c>
    </row>
    <row r="3057" spans="21:21" x14ac:dyDescent="0.25">
      <c r="U3057" s="104" t="str">
        <f>IF(
  AND(
    TRIM(A3057)=TRIM(Enginuity!$A$1),
    TRIM(B3057)=TRIM(Enginuity!$A$17),
    Q3057&lt;&gt;"",
    Q3057&lt;&gt;0,
    OR(
      TRIM(C3057)=TRIM(Enginuity!$A$18),
      AND(UPPER(TRIM(M3057))="STD", TRIM(B3057)=TRIM(Enginuity!$A$17))
    ),
    OR(
      AND(LEFT(P3057,5)="1-Way", Enginuity!$B$13=1),
      AND(LEFT(P3057,5)="2-Way", OR(Enginuity!$B$13=2, Enginuity!$B$13=4)),
      AND(LEFT(P3057,5)="3-Way", OR(Enginuity!$B$13=3, Enginuity!$B$13=6)),
      AND(P3057="Inner Centre Jamb", OR(Enginuity!$B$13=4, Enginuity!$B$13=6)),
      AND(
        LEFT(P3057,5)&lt;&gt;"1-Way",
        LEFT(P3057,5)&lt;&gt;"2-Way",
        LEFT(P3057,5)&lt;&gt;"3-Way",
        P3057&lt;&gt;"Inner Centre Jamb"
      )
    ),
    IF(OR(Enginuity!$A$1="Frameless Glass",Enginuity!$A$1="Metal Work"),
      AND(TRIM(B3057)=TRIM(Enginuity!$A$17),TRIM(C3057)=TRIM(Enginuity!$A$18)),
      TRIM(B3057)=TRIM(Enginuity!$A$17)
    )
  ),
  ROW(),
  ""
)</f>
        <v/>
      </c>
    </row>
    <row r="3058" spans="21:21" x14ac:dyDescent="0.25">
      <c r="U3058" s="104" t="str">
        <f>IF(
  AND(
    TRIM(A3058)=TRIM(Enginuity!$A$1),
    TRIM(B3058)=TRIM(Enginuity!$A$17),
    Q3058&lt;&gt;"",
    Q3058&lt;&gt;0,
    OR(
      TRIM(C3058)=TRIM(Enginuity!$A$18),
      AND(UPPER(TRIM(M3058))="STD", TRIM(B3058)=TRIM(Enginuity!$A$17))
    ),
    OR(
      AND(LEFT(P3058,5)="1-Way", Enginuity!$B$13=1),
      AND(LEFT(P3058,5)="2-Way", OR(Enginuity!$B$13=2, Enginuity!$B$13=4)),
      AND(LEFT(P3058,5)="3-Way", OR(Enginuity!$B$13=3, Enginuity!$B$13=6)),
      AND(P3058="Inner Centre Jamb", OR(Enginuity!$B$13=4, Enginuity!$B$13=6)),
      AND(
        LEFT(P3058,5)&lt;&gt;"1-Way",
        LEFT(P3058,5)&lt;&gt;"2-Way",
        LEFT(P3058,5)&lt;&gt;"3-Way",
        P3058&lt;&gt;"Inner Centre Jamb"
      )
    ),
    IF(OR(Enginuity!$A$1="Frameless Glass",Enginuity!$A$1="Metal Work"),
      AND(TRIM(B3058)=TRIM(Enginuity!$A$17),TRIM(C3058)=TRIM(Enginuity!$A$18)),
      TRIM(B3058)=TRIM(Enginuity!$A$17)
    )
  ),
  ROW(),
  ""
)</f>
        <v/>
      </c>
    </row>
    <row r="3059" spans="21:21" x14ac:dyDescent="0.25">
      <c r="U3059" s="104" t="str">
        <f>IF(
  AND(
    TRIM(A3059)=TRIM(Enginuity!$A$1),
    TRIM(B3059)=TRIM(Enginuity!$A$17),
    Q3059&lt;&gt;"",
    Q3059&lt;&gt;0,
    OR(
      TRIM(C3059)=TRIM(Enginuity!$A$18),
      AND(UPPER(TRIM(M3059))="STD", TRIM(B3059)=TRIM(Enginuity!$A$17))
    ),
    OR(
      AND(LEFT(P3059,5)="1-Way", Enginuity!$B$13=1),
      AND(LEFT(P3059,5)="2-Way", OR(Enginuity!$B$13=2, Enginuity!$B$13=4)),
      AND(LEFT(P3059,5)="3-Way", OR(Enginuity!$B$13=3, Enginuity!$B$13=6)),
      AND(P3059="Inner Centre Jamb", OR(Enginuity!$B$13=4, Enginuity!$B$13=6)),
      AND(
        LEFT(P3059,5)&lt;&gt;"1-Way",
        LEFT(P3059,5)&lt;&gt;"2-Way",
        LEFT(P3059,5)&lt;&gt;"3-Way",
        P3059&lt;&gt;"Inner Centre Jamb"
      )
    ),
    IF(OR(Enginuity!$A$1="Frameless Glass",Enginuity!$A$1="Metal Work"),
      AND(TRIM(B3059)=TRIM(Enginuity!$A$17),TRIM(C3059)=TRIM(Enginuity!$A$18)),
      TRIM(B3059)=TRIM(Enginuity!$A$17)
    )
  ),
  ROW(),
  ""
)</f>
        <v/>
      </c>
    </row>
    <row r="3060" spans="21:21" x14ac:dyDescent="0.25">
      <c r="U3060" s="104" t="str">
        <f>IF(
  AND(
    TRIM(A3060)=TRIM(Enginuity!$A$1),
    TRIM(B3060)=TRIM(Enginuity!$A$17),
    Q3060&lt;&gt;"",
    Q3060&lt;&gt;0,
    OR(
      TRIM(C3060)=TRIM(Enginuity!$A$18),
      AND(UPPER(TRIM(M3060))="STD", TRIM(B3060)=TRIM(Enginuity!$A$17))
    ),
    OR(
      AND(LEFT(P3060,5)="1-Way", Enginuity!$B$13=1),
      AND(LEFT(P3060,5)="2-Way", OR(Enginuity!$B$13=2, Enginuity!$B$13=4)),
      AND(LEFT(P3060,5)="3-Way", OR(Enginuity!$B$13=3, Enginuity!$B$13=6)),
      AND(P3060="Inner Centre Jamb", OR(Enginuity!$B$13=4, Enginuity!$B$13=6)),
      AND(
        LEFT(P3060,5)&lt;&gt;"1-Way",
        LEFT(P3060,5)&lt;&gt;"2-Way",
        LEFT(P3060,5)&lt;&gt;"3-Way",
        P3060&lt;&gt;"Inner Centre Jamb"
      )
    ),
    IF(OR(Enginuity!$A$1="Frameless Glass",Enginuity!$A$1="Metal Work"),
      AND(TRIM(B3060)=TRIM(Enginuity!$A$17),TRIM(C3060)=TRIM(Enginuity!$A$18)),
      TRIM(B3060)=TRIM(Enginuity!$A$17)
    )
  ),
  ROW(),
  ""
)</f>
        <v/>
      </c>
    </row>
    <row r="3061" spans="21:21" x14ac:dyDescent="0.25">
      <c r="U3061" s="104" t="str">
        <f>IF(
  AND(
    TRIM(A3061)=TRIM(Enginuity!$A$1),
    TRIM(B3061)=TRIM(Enginuity!$A$17),
    Q3061&lt;&gt;"",
    Q3061&lt;&gt;0,
    OR(
      TRIM(C3061)=TRIM(Enginuity!$A$18),
      AND(UPPER(TRIM(M3061))="STD", TRIM(B3061)=TRIM(Enginuity!$A$17))
    ),
    OR(
      AND(LEFT(P3061,5)="1-Way", Enginuity!$B$13=1),
      AND(LEFT(P3061,5)="2-Way", OR(Enginuity!$B$13=2, Enginuity!$B$13=4)),
      AND(LEFT(P3061,5)="3-Way", OR(Enginuity!$B$13=3, Enginuity!$B$13=6)),
      AND(P3061="Inner Centre Jamb", OR(Enginuity!$B$13=4, Enginuity!$B$13=6)),
      AND(
        LEFT(P3061,5)&lt;&gt;"1-Way",
        LEFT(P3061,5)&lt;&gt;"2-Way",
        LEFT(P3061,5)&lt;&gt;"3-Way",
        P3061&lt;&gt;"Inner Centre Jamb"
      )
    ),
    IF(OR(Enginuity!$A$1="Frameless Glass",Enginuity!$A$1="Metal Work"),
      AND(TRIM(B3061)=TRIM(Enginuity!$A$17),TRIM(C3061)=TRIM(Enginuity!$A$18)),
      TRIM(B3061)=TRIM(Enginuity!$A$17)
    )
  ),
  ROW(),
  ""
)</f>
        <v/>
      </c>
    </row>
    <row r="3062" spans="21:21" x14ac:dyDescent="0.25">
      <c r="U3062" s="104" t="str">
        <f>IF(
  AND(
    TRIM(A3062)=TRIM(Enginuity!$A$1),
    TRIM(B3062)=TRIM(Enginuity!$A$17),
    Q3062&lt;&gt;"",
    Q3062&lt;&gt;0,
    OR(
      TRIM(C3062)=TRIM(Enginuity!$A$18),
      AND(UPPER(TRIM(M3062))="STD", TRIM(B3062)=TRIM(Enginuity!$A$17))
    ),
    OR(
      AND(LEFT(P3062,5)="1-Way", Enginuity!$B$13=1),
      AND(LEFT(P3062,5)="2-Way", OR(Enginuity!$B$13=2, Enginuity!$B$13=4)),
      AND(LEFT(P3062,5)="3-Way", OR(Enginuity!$B$13=3, Enginuity!$B$13=6)),
      AND(P3062="Inner Centre Jamb", OR(Enginuity!$B$13=4, Enginuity!$B$13=6)),
      AND(
        LEFT(P3062,5)&lt;&gt;"1-Way",
        LEFT(P3062,5)&lt;&gt;"2-Way",
        LEFT(P3062,5)&lt;&gt;"3-Way",
        P3062&lt;&gt;"Inner Centre Jamb"
      )
    ),
    IF(OR(Enginuity!$A$1="Frameless Glass",Enginuity!$A$1="Metal Work"),
      AND(TRIM(B3062)=TRIM(Enginuity!$A$17),TRIM(C3062)=TRIM(Enginuity!$A$18)),
      TRIM(B3062)=TRIM(Enginuity!$A$17)
    )
  ),
  ROW(),
  ""
)</f>
        <v/>
      </c>
    </row>
    <row r="3063" spans="21:21" x14ac:dyDescent="0.25">
      <c r="U3063" s="104" t="str">
        <f>IF(
  AND(
    TRIM(A3063)=TRIM(Enginuity!$A$1),
    TRIM(B3063)=TRIM(Enginuity!$A$17),
    Q3063&lt;&gt;"",
    Q3063&lt;&gt;0,
    OR(
      TRIM(C3063)=TRIM(Enginuity!$A$18),
      AND(UPPER(TRIM(M3063))="STD", TRIM(B3063)=TRIM(Enginuity!$A$17))
    ),
    OR(
      AND(LEFT(P3063,5)="1-Way", Enginuity!$B$13=1),
      AND(LEFT(P3063,5)="2-Way", OR(Enginuity!$B$13=2, Enginuity!$B$13=4)),
      AND(LEFT(P3063,5)="3-Way", OR(Enginuity!$B$13=3, Enginuity!$B$13=6)),
      AND(P3063="Inner Centre Jamb", OR(Enginuity!$B$13=4, Enginuity!$B$13=6)),
      AND(
        LEFT(P3063,5)&lt;&gt;"1-Way",
        LEFT(P3063,5)&lt;&gt;"2-Way",
        LEFT(P3063,5)&lt;&gt;"3-Way",
        P3063&lt;&gt;"Inner Centre Jamb"
      )
    ),
    IF(OR(Enginuity!$A$1="Frameless Glass",Enginuity!$A$1="Metal Work"),
      AND(TRIM(B3063)=TRIM(Enginuity!$A$17),TRIM(C3063)=TRIM(Enginuity!$A$18)),
      TRIM(B3063)=TRIM(Enginuity!$A$17)
    )
  ),
  ROW(),
  ""
)</f>
        <v/>
      </c>
    </row>
    <row r="3064" spans="21:21" x14ac:dyDescent="0.25">
      <c r="U3064" s="104" t="str">
        <f>IF(
  AND(
    TRIM(A3064)=TRIM(Enginuity!$A$1),
    TRIM(B3064)=TRIM(Enginuity!$A$17),
    Q3064&lt;&gt;"",
    Q3064&lt;&gt;0,
    OR(
      TRIM(C3064)=TRIM(Enginuity!$A$18),
      AND(UPPER(TRIM(M3064))="STD", TRIM(B3064)=TRIM(Enginuity!$A$17))
    ),
    OR(
      AND(LEFT(P3064,5)="1-Way", Enginuity!$B$13=1),
      AND(LEFT(P3064,5)="2-Way", OR(Enginuity!$B$13=2, Enginuity!$B$13=4)),
      AND(LEFT(P3064,5)="3-Way", OR(Enginuity!$B$13=3, Enginuity!$B$13=6)),
      AND(P3064="Inner Centre Jamb", OR(Enginuity!$B$13=4, Enginuity!$B$13=6)),
      AND(
        LEFT(P3064,5)&lt;&gt;"1-Way",
        LEFT(P3064,5)&lt;&gt;"2-Way",
        LEFT(P3064,5)&lt;&gt;"3-Way",
        P3064&lt;&gt;"Inner Centre Jamb"
      )
    ),
    IF(OR(Enginuity!$A$1="Frameless Glass",Enginuity!$A$1="Metal Work"),
      AND(TRIM(B3064)=TRIM(Enginuity!$A$17),TRIM(C3064)=TRIM(Enginuity!$A$18)),
      TRIM(B3064)=TRIM(Enginuity!$A$17)
    )
  ),
  ROW(),
  ""
)</f>
        <v/>
      </c>
    </row>
    <row r="3065" spans="21:21" x14ac:dyDescent="0.25">
      <c r="U3065" s="104" t="str">
        <f>IF(
  AND(
    TRIM(A3065)=TRIM(Enginuity!$A$1),
    TRIM(B3065)=TRIM(Enginuity!$A$17),
    Q3065&lt;&gt;"",
    Q3065&lt;&gt;0,
    OR(
      TRIM(C3065)=TRIM(Enginuity!$A$18),
      AND(UPPER(TRIM(M3065))="STD", TRIM(B3065)=TRIM(Enginuity!$A$17))
    ),
    OR(
      AND(LEFT(P3065,5)="1-Way", Enginuity!$B$13=1),
      AND(LEFT(P3065,5)="2-Way", OR(Enginuity!$B$13=2, Enginuity!$B$13=4)),
      AND(LEFT(P3065,5)="3-Way", OR(Enginuity!$B$13=3, Enginuity!$B$13=6)),
      AND(P3065="Inner Centre Jamb", OR(Enginuity!$B$13=4, Enginuity!$B$13=6)),
      AND(
        LEFT(P3065,5)&lt;&gt;"1-Way",
        LEFT(P3065,5)&lt;&gt;"2-Way",
        LEFT(P3065,5)&lt;&gt;"3-Way",
        P3065&lt;&gt;"Inner Centre Jamb"
      )
    ),
    IF(OR(Enginuity!$A$1="Frameless Glass",Enginuity!$A$1="Metal Work"),
      AND(TRIM(B3065)=TRIM(Enginuity!$A$17),TRIM(C3065)=TRIM(Enginuity!$A$18)),
      TRIM(B3065)=TRIM(Enginuity!$A$17)
    )
  ),
  ROW(),
  ""
)</f>
        <v/>
      </c>
    </row>
    <row r="3066" spans="21:21" x14ac:dyDescent="0.25">
      <c r="U3066" s="104" t="str">
        <f>IF(
  AND(
    TRIM(A3066)=TRIM(Enginuity!$A$1),
    TRIM(B3066)=TRIM(Enginuity!$A$17),
    Q3066&lt;&gt;"",
    Q3066&lt;&gt;0,
    OR(
      TRIM(C3066)=TRIM(Enginuity!$A$18),
      AND(UPPER(TRIM(M3066))="STD", TRIM(B3066)=TRIM(Enginuity!$A$17))
    ),
    OR(
      AND(LEFT(P3066,5)="1-Way", Enginuity!$B$13=1),
      AND(LEFT(P3066,5)="2-Way", OR(Enginuity!$B$13=2, Enginuity!$B$13=4)),
      AND(LEFT(P3066,5)="3-Way", OR(Enginuity!$B$13=3, Enginuity!$B$13=6)),
      AND(P3066="Inner Centre Jamb", OR(Enginuity!$B$13=4, Enginuity!$B$13=6)),
      AND(
        LEFT(P3066,5)&lt;&gt;"1-Way",
        LEFT(P3066,5)&lt;&gt;"2-Way",
        LEFT(P3066,5)&lt;&gt;"3-Way",
        P3066&lt;&gt;"Inner Centre Jamb"
      )
    ),
    IF(OR(Enginuity!$A$1="Frameless Glass",Enginuity!$A$1="Metal Work"),
      AND(TRIM(B3066)=TRIM(Enginuity!$A$17),TRIM(C3066)=TRIM(Enginuity!$A$18)),
      TRIM(B3066)=TRIM(Enginuity!$A$17)
    )
  ),
  ROW(),
  ""
)</f>
        <v/>
      </c>
    </row>
    <row r="3067" spans="21:21" x14ac:dyDescent="0.25">
      <c r="U3067" s="104" t="str">
        <f>IF(
  AND(
    TRIM(A3067)=TRIM(Enginuity!$A$1),
    TRIM(B3067)=TRIM(Enginuity!$A$17),
    Q3067&lt;&gt;"",
    Q3067&lt;&gt;0,
    OR(
      TRIM(C3067)=TRIM(Enginuity!$A$18),
      AND(UPPER(TRIM(M3067))="STD", TRIM(B3067)=TRIM(Enginuity!$A$17))
    ),
    OR(
      AND(LEFT(P3067,5)="1-Way", Enginuity!$B$13=1),
      AND(LEFT(P3067,5)="2-Way", OR(Enginuity!$B$13=2, Enginuity!$B$13=4)),
      AND(LEFT(P3067,5)="3-Way", OR(Enginuity!$B$13=3, Enginuity!$B$13=6)),
      AND(P3067="Inner Centre Jamb", OR(Enginuity!$B$13=4, Enginuity!$B$13=6)),
      AND(
        LEFT(P3067,5)&lt;&gt;"1-Way",
        LEFT(P3067,5)&lt;&gt;"2-Way",
        LEFT(P3067,5)&lt;&gt;"3-Way",
        P3067&lt;&gt;"Inner Centre Jamb"
      )
    ),
    IF(OR(Enginuity!$A$1="Frameless Glass",Enginuity!$A$1="Metal Work"),
      AND(TRIM(B3067)=TRIM(Enginuity!$A$17),TRIM(C3067)=TRIM(Enginuity!$A$18)),
      TRIM(B3067)=TRIM(Enginuity!$A$17)
    )
  ),
  ROW(),
  ""
)</f>
        <v/>
      </c>
    </row>
    <row r="3068" spans="21:21" x14ac:dyDescent="0.25">
      <c r="U3068" s="104" t="str">
        <f>IF(
  AND(
    TRIM(A3068)=TRIM(Enginuity!$A$1),
    TRIM(B3068)=TRIM(Enginuity!$A$17),
    Q3068&lt;&gt;"",
    Q3068&lt;&gt;0,
    OR(
      TRIM(C3068)=TRIM(Enginuity!$A$18),
      AND(UPPER(TRIM(M3068))="STD", TRIM(B3068)=TRIM(Enginuity!$A$17))
    ),
    OR(
      AND(LEFT(P3068,5)="1-Way", Enginuity!$B$13=1),
      AND(LEFT(P3068,5)="2-Way", OR(Enginuity!$B$13=2, Enginuity!$B$13=4)),
      AND(LEFT(P3068,5)="3-Way", OR(Enginuity!$B$13=3, Enginuity!$B$13=6)),
      AND(P3068="Inner Centre Jamb", OR(Enginuity!$B$13=4, Enginuity!$B$13=6)),
      AND(
        LEFT(P3068,5)&lt;&gt;"1-Way",
        LEFT(P3068,5)&lt;&gt;"2-Way",
        LEFT(P3068,5)&lt;&gt;"3-Way",
        P3068&lt;&gt;"Inner Centre Jamb"
      )
    ),
    IF(OR(Enginuity!$A$1="Frameless Glass",Enginuity!$A$1="Metal Work"),
      AND(TRIM(B3068)=TRIM(Enginuity!$A$17),TRIM(C3068)=TRIM(Enginuity!$A$18)),
      TRIM(B3068)=TRIM(Enginuity!$A$17)
    )
  ),
  ROW(),
  ""
)</f>
        <v/>
      </c>
    </row>
    <row r="3069" spans="21:21" x14ac:dyDescent="0.25">
      <c r="U3069" s="104" t="str">
        <f>IF(
  AND(
    TRIM(A3069)=TRIM(Enginuity!$A$1),
    TRIM(B3069)=TRIM(Enginuity!$A$17),
    Q3069&lt;&gt;"",
    Q3069&lt;&gt;0,
    OR(
      TRIM(C3069)=TRIM(Enginuity!$A$18),
      AND(UPPER(TRIM(M3069))="STD", TRIM(B3069)=TRIM(Enginuity!$A$17))
    ),
    OR(
      AND(LEFT(P3069,5)="1-Way", Enginuity!$B$13=1),
      AND(LEFT(P3069,5)="2-Way", OR(Enginuity!$B$13=2, Enginuity!$B$13=4)),
      AND(LEFT(P3069,5)="3-Way", OR(Enginuity!$B$13=3, Enginuity!$B$13=6)),
      AND(P3069="Inner Centre Jamb", OR(Enginuity!$B$13=4, Enginuity!$B$13=6)),
      AND(
        LEFT(P3069,5)&lt;&gt;"1-Way",
        LEFT(P3069,5)&lt;&gt;"2-Way",
        LEFT(P3069,5)&lt;&gt;"3-Way",
        P3069&lt;&gt;"Inner Centre Jamb"
      )
    ),
    IF(OR(Enginuity!$A$1="Frameless Glass",Enginuity!$A$1="Metal Work"),
      AND(TRIM(B3069)=TRIM(Enginuity!$A$17),TRIM(C3069)=TRIM(Enginuity!$A$18)),
      TRIM(B3069)=TRIM(Enginuity!$A$17)
    )
  ),
  ROW(),
  ""
)</f>
        <v/>
      </c>
    </row>
    <row r="3070" spans="21:21" x14ac:dyDescent="0.25">
      <c r="U3070" s="104" t="str">
        <f>IF(
  AND(
    TRIM(A3070)=TRIM(Enginuity!$A$1),
    TRIM(B3070)=TRIM(Enginuity!$A$17),
    Q3070&lt;&gt;"",
    Q3070&lt;&gt;0,
    OR(
      TRIM(C3070)=TRIM(Enginuity!$A$18),
      AND(UPPER(TRIM(M3070))="STD", TRIM(B3070)=TRIM(Enginuity!$A$17))
    ),
    OR(
      AND(LEFT(P3070,5)="1-Way", Enginuity!$B$13=1),
      AND(LEFT(P3070,5)="2-Way", OR(Enginuity!$B$13=2, Enginuity!$B$13=4)),
      AND(LEFT(P3070,5)="3-Way", OR(Enginuity!$B$13=3, Enginuity!$B$13=6)),
      AND(P3070="Inner Centre Jamb", OR(Enginuity!$B$13=4, Enginuity!$B$13=6)),
      AND(
        LEFT(P3070,5)&lt;&gt;"1-Way",
        LEFT(P3070,5)&lt;&gt;"2-Way",
        LEFT(P3070,5)&lt;&gt;"3-Way",
        P3070&lt;&gt;"Inner Centre Jamb"
      )
    ),
    IF(OR(Enginuity!$A$1="Frameless Glass",Enginuity!$A$1="Metal Work"),
      AND(TRIM(B3070)=TRIM(Enginuity!$A$17),TRIM(C3070)=TRIM(Enginuity!$A$18)),
      TRIM(B3070)=TRIM(Enginuity!$A$17)
    )
  ),
  ROW(),
  ""
)</f>
        <v/>
      </c>
    </row>
    <row r="3071" spans="21:21" x14ac:dyDescent="0.25">
      <c r="U3071" s="104" t="str">
        <f>IF(
  AND(
    TRIM(A3071)=TRIM(Enginuity!$A$1),
    TRIM(B3071)=TRIM(Enginuity!$A$17),
    Q3071&lt;&gt;"",
    Q3071&lt;&gt;0,
    OR(
      TRIM(C3071)=TRIM(Enginuity!$A$18),
      AND(UPPER(TRIM(M3071))="STD", TRIM(B3071)=TRIM(Enginuity!$A$17))
    ),
    OR(
      AND(LEFT(P3071,5)="1-Way", Enginuity!$B$13=1),
      AND(LEFT(P3071,5)="2-Way", OR(Enginuity!$B$13=2, Enginuity!$B$13=4)),
      AND(LEFT(P3071,5)="3-Way", OR(Enginuity!$B$13=3, Enginuity!$B$13=6)),
      AND(P3071="Inner Centre Jamb", OR(Enginuity!$B$13=4, Enginuity!$B$13=6)),
      AND(
        LEFT(P3071,5)&lt;&gt;"1-Way",
        LEFT(P3071,5)&lt;&gt;"2-Way",
        LEFT(P3071,5)&lt;&gt;"3-Way",
        P3071&lt;&gt;"Inner Centre Jamb"
      )
    ),
    IF(OR(Enginuity!$A$1="Frameless Glass",Enginuity!$A$1="Metal Work"),
      AND(TRIM(B3071)=TRIM(Enginuity!$A$17),TRIM(C3071)=TRIM(Enginuity!$A$18)),
      TRIM(B3071)=TRIM(Enginuity!$A$17)
    )
  ),
  ROW(),
  ""
)</f>
        <v/>
      </c>
    </row>
    <row r="3072" spans="21:21" x14ac:dyDescent="0.25">
      <c r="U3072" s="104" t="str">
        <f>IF(
  AND(
    TRIM(A3072)=TRIM(Enginuity!$A$1),
    TRIM(B3072)=TRIM(Enginuity!$A$17),
    Q3072&lt;&gt;"",
    Q3072&lt;&gt;0,
    OR(
      TRIM(C3072)=TRIM(Enginuity!$A$18),
      AND(UPPER(TRIM(M3072))="STD", TRIM(B3072)=TRIM(Enginuity!$A$17))
    ),
    OR(
      AND(LEFT(P3072,5)="1-Way", Enginuity!$B$13=1),
      AND(LEFT(P3072,5)="2-Way", OR(Enginuity!$B$13=2, Enginuity!$B$13=4)),
      AND(LEFT(P3072,5)="3-Way", OR(Enginuity!$B$13=3, Enginuity!$B$13=6)),
      AND(P3072="Inner Centre Jamb", OR(Enginuity!$B$13=4, Enginuity!$B$13=6)),
      AND(
        LEFT(P3072,5)&lt;&gt;"1-Way",
        LEFT(P3072,5)&lt;&gt;"2-Way",
        LEFT(P3072,5)&lt;&gt;"3-Way",
        P3072&lt;&gt;"Inner Centre Jamb"
      )
    ),
    IF(OR(Enginuity!$A$1="Frameless Glass",Enginuity!$A$1="Metal Work"),
      AND(TRIM(B3072)=TRIM(Enginuity!$A$17),TRIM(C3072)=TRIM(Enginuity!$A$18)),
      TRIM(B3072)=TRIM(Enginuity!$A$17)
    )
  ),
  ROW(),
  ""
)</f>
        <v/>
      </c>
    </row>
    <row r="3073" spans="21:21" x14ac:dyDescent="0.25">
      <c r="U3073" s="104" t="str">
        <f>IF(
  AND(
    TRIM(A3073)=TRIM(Enginuity!$A$1),
    TRIM(B3073)=TRIM(Enginuity!$A$17),
    Q3073&lt;&gt;"",
    Q3073&lt;&gt;0,
    OR(
      TRIM(C3073)=TRIM(Enginuity!$A$18),
      AND(UPPER(TRIM(M3073))="STD", TRIM(B3073)=TRIM(Enginuity!$A$17))
    ),
    OR(
      AND(LEFT(P3073,5)="1-Way", Enginuity!$B$13=1),
      AND(LEFT(P3073,5)="2-Way", OR(Enginuity!$B$13=2, Enginuity!$B$13=4)),
      AND(LEFT(P3073,5)="3-Way", OR(Enginuity!$B$13=3, Enginuity!$B$13=6)),
      AND(P3073="Inner Centre Jamb", OR(Enginuity!$B$13=4, Enginuity!$B$13=6)),
      AND(
        LEFT(P3073,5)&lt;&gt;"1-Way",
        LEFT(P3073,5)&lt;&gt;"2-Way",
        LEFT(P3073,5)&lt;&gt;"3-Way",
        P3073&lt;&gt;"Inner Centre Jamb"
      )
    ),
    IF(OR(Enginuity!$A$1="Frameless Glass",Enginuity!$A$1="Metal Work"),
      AND(TRIM(B3073)=TRIM(Enginuity!$A$17),TRIM(C3073)=TRIM(Enginuity!$A$18)),
      TRIM(B3073)=TRIM(Enginuity!$A$17)
    )
  ),
  ROW(),
  ""
)</f>
        <v/>
      </c>
    </row>
    <row r="3074" spans="21:21" x14ac:dyDescent="0.25">
      <c r="U3074" s="104" t="str">
        <f>IF(
  AND(
    TRIM(A3074)=TRIM(Enginuity!$A$1),
    TRIM(B3074)=TRIM(Enginuity!$A$17),
    Q3074&lt;&gt;"",
    Q3074&lt;&gt;0,
    OR(
      TRIM(C3074)=TRIM(Enginuity!$A$18),
      AND(UPPER(TRIM(M3074))="STD", TRIM(B3074)=TRIM(Enginuity!$A$17))
    ),
    OR(
      AND(LEFT(P3074,5)="1-Way", Enginuity!$B$13=1),
      AND(LEFT(P3074,5)="2-Way", OR(Enginuity!$B$13=2, Enginuity!$B$13=4)),
      AND(LEFT(P3074,5)="3-Way", OR(Enginuity!$B$13=3, Enginuity!$B$13=6)),
      AND(P3074="Inner Centre Jamb", OR(Enginuity!$B$13=4, Enginuity!$B$13=6)),
      AND(
        LEFT(P3074,5)&lt;&gt;"1-Way",
        LEFT(P3074,5)&lt;&gt;"2-Way",
        LEFT(P3074,5)&lt;&gt;"3-Way",
        P3074&lt;&gt;"Inner Centre Jamb"
      )
    ),
    IF(OR(Enginuity!$A$1="Frameless Glass",Enginuity!$A$1="Metal Work"),
      AND(TRIM(B3074)=TRIM(Enginuity!$A$17),TRIM(C3074)=TRIM(Enginuity!$A$18)),
      TRIM(B3074)=TRIM(Enginuity!$A$17)
    )
  ),
  ROW(),
  ""
)</f>
        <v/>
      </c>
    </row>
    <row r="3075" spans="21:21" x14ac:dyDescent="0.25">
      <c r="U3075" s="104" t="str">
        <f>IF(
  AND(
    TRIM(A3075)=TRIM(Enginuity!$A$1),
    TRIM(B3075)=TRIM(Enginuity!$A$17),
    Q3075&lt;&gt;"",
    Q3075&lt;&gt;0,
    OR(
      TRIM(C3075)=TRIM(Enginuity!$A$18),
      AND(UPPER(TRIM(M3075))="STD", TRIM(B3075)=TRIM(Enginuity!$A$17))
    ),
    OR(
      AND(LEFT(P3075,5)="1-Way", Enginuity!$B$13=1),
      AND(LEFT(P3075,5)="2-Way", OR(Enginuity!$B$13=2, Enginuity!$B$13=4)),
      AND(LEFT(P3075,5)="3-Way", OR(Enginuity!$B$13=3, Enginuity!$B$13=6)),
      AND(P3075="Inner Centre Jamb", OR(Enginuity!$B$13=4, Enginuity!$B$13=6)),
      AND(
        LEFT(P3075,5)&lt;&gt;"1-Way",
        LEFT(P3075,5)&lt;&gt;"2-Way",
        LEFT(P3075,5)&lt;&gt;"3-Way",
        P3075&lt;&gt;"Inner Centre Jamb"
      )
    ),
    IF(OR(Enginuity!$A$1="Frameless Glass",Enginuity!$A$1="Metal Work"),
      AND(TRIM(B3075)=TRIM(Enginuity!$A$17),TRIM(C3075)=TRIM(Enginuity!$A$18)),
      TRIM(B3075)=TRIM(Enginuity!$A$17)
    )
  ),
  ROW(),
  ""
)</f>
        <v/>
      </c>
    </row>
    <row r="3076" spans="21:21" x14ac:dyDescent="0.25">
      <c r="U3076" s="104" t="str">
        <f>IF(
  AND(
    TRIM(A3076)=TRIM(Enginuity!$A$1),
    TRIM(B3076)=TRIM(Enginuity!$A$17),
    Q3076&lt;&gt;"",
    Q3076&lt;&gt;0,
    OR(
      TRIM(C3076)=TRIM(Enginuity!$A$18),
      AND(UPPER(TRIM(M3076))="STD", TRIM(B3076)=TRIM(Enginuity!$A$17))
    ),
    OR(
      AND(LEFT(P3076,5)="1-Way", Enginuity!$B$13=1),
      AND(LEFT(P3076,5)="2-Way", OR(Enginuity!$B$13=2, Enginuity!$B$13=4)),
      AND(LEFT(P3076,5)="3-Way", OR(Enginuity!$B$13=3, Enginuity!$B$13=6)),
      AND(P3076="Inner Centre Jamb", OR(Enginuity!$B$13=4, Enginuity!$B$13=6)),
      AND(
        LEFT(P3076,5)&lt;&gt;"1-Way",
        LEFT(P3076,5)&lt;&gt;"2-Way",
        LEFT(P3076,5)&lt;&gt;"3-Way",
        P3076&lt;&gt;"Inner Centre Jamb"
      )
    ),
    IF(OR(Enginuity!$A$1="Frameless Glass",Enginuity!$A$1="Metal Work"),
      AND(TRIM(B3076)=TRIM(Enginuity!$A$17),TRIM(C3076)=TRIM(Enginuity!$A$18)),
      TRIM(B3076)=TRIM(Enginuity!$A$17)
    )
  ),
  ROW(),
  ""
)</f>
        <v/>
      </c>
    </row>
    <row r="3077" spans="21:21" x14ac:dyDescent="0.25">
      <c r="U3077" s="104" t="str">
        <f>IF(
  AND(
    TRIM(A3077)=TRIM(Enginuity!$A$1),
    TRIM(B3077)=TRIM(Enginuity!$A$17),
    Q3077&lt;&gt;"",
    Q3077&lt;&gt;0,
    OR(
      TRIM(C3077)=TRIM(Enginuity!$A$18),
      AND(UPPER(TRIM(M3077))="STD", TRIM(B3077)=TRIM(Enginuity!$A$17))
    ),
    OR(
      AND(LEFT(P3077,5)="1-Way", Enginuity!$B$13=1),
      AND(LEFT(P3077,5)="2-Way", OR(Enginuity!$B$13=2, Enginuity!$B$13=4)),
      AND(LEFT(P3077,5)="3-Way", OR(Enginuity!$B$13=3, Enginuity!$B$13=6)),
      AND(P3077="Inner Centre Jamb", OR(Enginuity!$B$13=4, Enginuity!$B$13=6)),
      AND(
        LEFT(P3077,5)&lt;&gt;"1-Way",
        LEFT(P3077,5)&lt;&gt;"2-Way",
        LEFT(P3077,5)&lt;&gt;"3-Way",
        P3077&lt;&gt;"Inner Centre Jamb"
      )
    ),
    IF(OR(Enginuity!$A$1="Frameless Glass",Enginuity!$A$1="Metal Work"),
      AND(TRIM(B3077)=TRIM(Enginuity!$A$17),TRIM(C3077)=TRIM(Enginuity!$A$18)),
      TRIM(B3077)=TRIM(Enginuity!$A$17)
    )
  ),
  ROW(),
  ""
)</f>
        <v/>
      </c>
    </row>
    <row r="3078" spans="21:21" x14ac:dyDescent="0.25">
      <c r="U3078" s="104" t="str">
        <f>IF(
  AND(
    TRIM(A3078)=TRIM(Enginuity!$A$1),
    TRIM(B3078)=TRIM(Enginuity!$A$17),
    Q3078&lt;&gt;"",
    Q3078&lt;&gt;0,
    OR(
      TRIM(C3078)=TRIM(Enginuity!$A$18),
      AND(UPPER(TRIM(M3078))="STD", TRIM(B3078)=TRIM(Enginuity!$A$17))
    ),
    OR(
      AND(LEFT(P3078,5)="1-Way", Enginuity!$B$13=1),
      AND(LEFT(P3078,5)="2-Way", OR(Enginuity!$B$13=2, Enginuity!$B$13=4)),
      AND(LEFT(P3078,5)="3-Way", OR(Enginuity!$B$13=3, Enginuity!$B$13=6)),
      AND(P3078="Inner Centre Jamb", OR(Enginuity!$B$13=4, Enginuity!$B$13=6)),
      AND(
        LEFT(P3078,5)&lt;&gt;"1-Way",
        LEFT(P3078,5)&lt;&gt;"2-Way",
        LEFT(P3078,5)&lt;&gt;"3-Way",
        P3078&lt;&gt;"Inner Centre Jamb"
      )
    ),
    IF(OR(Enginuity!$A$1="Frameless Glass",Enginuity!$A$1="Metal Work"),
      AND(TRIM(B3078)=TRIM(Enginuity!$A$17),TRIM(C3078)=TRIM(Enginuity!$A$18)),
      TRIM(B3078)=TRIM(Enginuity!$A$17)
    )
  ),
  ROW(),
  ""
)</f>
        <v/>
      </c>
    </row>
    <row r="3079" spans="21:21" x14ac:dyDescent="0.25">
      <c r="U3079" s="104" t="str">
        <f>IF(
  AND(
    TRIM(A3079)=TRIM(Enginuity!$A$1),
    TRIM(B3079)=TRIM(Enginuity!$A$17),
    Q3079&lt;&gt;"",
    Q3079&lt;&gt;0,
    OR(
      TRIM(C3079)=TRIM(Enginuity!$A$18),
      AND(UPPER(TRIM(M3079))="STD", TRIM(B3079)=TRIM(Enginuity!$A$17))
    ),
    OR(
      AND(LEFT(P3079,5)="1-Way", Enginuity!$B$13=1),
      AND(LEFT(P3079,5)="2-Way", OR(Enginuity!$B$13=2, Enginuity!$B$13=4)),
      AND(LEFT(P3079,5)="3-Way", OR(Enginuity!$B$13=3, Enginuity!$B$13=6)),
      AND(P3079="Inner Centre Jamb", OR(Enginuity!$B$13=4, Enginuity!$B$13=6)),
      AND(
        LEFT(P3079,5)&lt;&gt;"1-Way",
        LEFT(P3079,5)&lt;&gt;"2-Way",
        LEFT(P3079,5)&lt;&gt;"3-Way",
        P3079&lt;&gt;"Inner Centre Jamb"
      )
    ),
    IF(OR(Enginuity!$A$1="Frameless Glass",Enginuity!$A$1="Metal Work"),
      AND(TRIM(B3079)=TRIM(Enginuity!$A$17),TRIM(C3079)=TRIM(Enginuity!$A$18)),
      TRIM(B3079)=TRIM(Enginuity!$A$17)
    )
  ),
  ROW(),
  ""
)</f>
        <v/>
      </c>
    </row>
    <row r="3080" spans="21:21" x14ac:dyDescent="0.25">
      <c r="U3080" s="104" t="str">
        <f>IF(
  AND(
    TRIM(A3080)=TRIM(Enginuity!$A$1),
    TRIM(B3080)=TRIM(Enginuity!$A$17),
    Q3080&lt;&gt;"",
    Q3080&lt;&gt;0,
    OR(
      TRIM(C3080)=TRIM(Enginuity!$A$18),
      AND(UPPER(TRIM(M3080))="STD", TRIM(B3080)=TRIM(Enginuity!$A$17))
    ),
    OR(
      AND(LEFT(P3080,5)="1-Way", Enginuity!$B$13=1),
      AND(LEFT(P3080,5)="2-Way", OR(Enginuity!$B$13=2, Enginuity!$B$13=4)),
      AND(LEFT(P3080,5)="3-Way", OR(Enginuity!$B$13=3, Enginuity!$B$13=6)),
      AND(P3080="Inner Centre Jamb", OR(Enginuity!$B$13=4, Enginuity!$B$13=6)),
      AND(
        LEFT(P3080,5)&lt;&gt;"1-Way",
        LEFT(P3080,5)&lt;&gt;"2-Way",
        LEFT(P3080,5)&lt;&gt;"3-Way",
        P3080&lt;&gt;"Inner Centre Jamb"
      )
    ),
    IF(OR(Enginuity!$A$1="Frameless Glass",Enginuity!$A$1="Metal Work"),
      AND(TRIM(B3080)=TRIM(Enginuity!$A$17),TRIM(C3080)=TRIM(Enginuity!$A$18)),
      TRIM(B3080)=TRIM(Enginuity!$A$17)
    )
  ),
  ROW(),
  ""
)</f>
        <v/>
      </c>
    </row>
    <row r="3081" spans="21:21" x14ac:dyDescent="0.25">
      <c r="U3081" s="104" t="str">
        <f>IF(
  AND(
    TRIM(A3081)=TRIM(Enginuity!$A$1),
    TRIM(B3081)=TRIM(Enginuity!$A$17),
    Q3081&lt;&gt;"",
    Q3081&lt;&gt;0,
    OR(
      TRIM(C3081)=TRIM(Enginuity!$A$18),
      AND(UPPER(TRIM(M3081))="STD", TRIM(B3081)=TRIM(Enginuity!$A$17))
    ),
    OR(
      AND(LEFT(P3081,5)="1-Way", Enginuity!$B$13=1),
      AND(LEFT(P3081,5)="2-Way", OR(Enginuity!$B$13=2, Enginuity!$B$13=4)),
      AND(LEFT(P3081,5)="3-Way", OR(Enginuity!$B$13=3, Enginuity!$B$13=6)),
      AND(P3081="Inner Centre Jamb", OR(Enginuity!$B$13=4, Enginuity!$B$13=6)),
      AND(
        LEFT(P3081,5)&lt;&gt;"1-Way",
        LEFT(P3081,5)&lt;&gt;"2-Way",
        LEFT(P3081,5)&lt;&gt;"3-Way",
        P3081&lt;&gt;"Inner Centre Jamb"
      )
    ),
    IF(OR(Enginuity!$A$1="Frameless Glass",Enginuity!$A$1="Metal Work"),
      AND(TRIM(B3081)=TRIM(Enginuity!$A$17),TRIM(C3081)=TRIM(Enginuity!$A$18)),
      TRIM(B3081)=TRIM(Enginuity!$A$17)
    )
  ),
  ROW(),
  ""
)</f>
        <v/>
      </c>
    </row>
    <row r="3082" spans="21:21" x14ac:dyDescent="0.25">
      <c r="U3082" s="104" t="str">
        <f>IF(
  AND(
    TRIM(A3082)=TRIM(Enginuity!$A$1),
    TRIM(B3082)=TRIM(Enginuity!$A$17),
    Q3082&lt;&gt;"",
    Q3082&lt;&gt;0,
    OR(
      TRIM(C3082)=TRIM(Enginuity!$A$18),
      AND(UPPER(TRIM(M3082))="STD", TRIM(B3082)=TRIM(Enginuity!$A$17))
    ),
    OR(
      AND(LEFT(P3082,5)="1-Way", Enginuity!$B$13=1),
      AND(LEFT(P3082,5)="2-Way", OR(Enginuity!$B$13=2, Enginuity!$B$13=4)),
      AND(LEFT(P3082,5)="3-Way", OR(Enginuity!$B$13=3, Enginuity!$B$13=6)),
      AND(P3082="Inner Centre Jamb", OR(Enginuity!$B$13=4, Enginuity!$B$13=6)),
      AND(
        LEFT(P3082,5)&lt;&gt;"1-Way",
        LEFT(P3082,5)&lt;&gt;"2-Way",
        LEFT(P3082,5)&lt;&gt;"3-Way",
        P3082&lt;&gt;"Inner Centre Jamb"
      )
    ),
    IF(OR(Enginuity!$A$1="Frameless Glass",Enginuity!$A$1="Metal Work"),
      AND(TRIM(B3082)=TRIM(Enginuity!$A$17),TRIM(C3082)=TRIM(Enginuity!$A$18)),
      TRIM(B3082)=TRIM(Enginuity!$A$17)
    )
  ),
  ROW(),
  ""
)</f>
        <v/>
      </c>
    </row>
    <row r="3083" spans="21:21" x14ac:dyDescent="0.25">
      <c r="U3083" s="104" t="str">
        <f>IF(
  AND(
    TRIM(A3083)=TRIM(Enginuity!$A$1),
    TRIM(B3083)=TRIM(Enginuity!$A$17),
    Q3083&lt;&gt;"",
    Q3083&lt;&gt;0,
    OR(
      TRIM(C3083)=TRIM(Enginuity!$A$18),
      AND(UPPER(TRIM(M3083))="STD", TRIM(B3083)=TRIM(Enginuity!$A$17))
    ),
    OR(
      AND(LEFT(P3083,5)="1-Way", Enginuity!$B$13=1),
      AND(LEFT(P3083,5)="2-Way", OR(Enginuity!$B$13=2, Enginuity!$B$13=4)),
      AND(LEFT(P3083,5)="3-Way", OR(Enginuity!$B$13=3, Enginuity!$B$13=6)),
      AND(P3083="Inner Centre Jamb", OR(Enginuity!$B$13=4, Enginuity!$B$13=6)),
      AND(
        LEFT(P3083,5)&lt;&gt;"1-Way",
        LEFT(P3083,5)&lt;&gt;"2-Way",
        LEFT(P3083,5)&lt;&gt;"3-Way",
        P3083&lt;&gt;"Inner Centre Jamb"
      )
    ),
    IF(OR(Enginuity!$A$1="Frameless Glass",Enginuity!$A$1="Metal Work"),
      AND(TRIM(B3083)=TRIM(Enginuity!$A$17),TRIM(C3083)=TRIM(Enginuity!$A$18)),
      TRIM(B3083)=TRIM(Enginuity!$A$17)
    )
  ),
  ROW(),
  ""
)</f>
        <v/>
      </c>
    </row>
    <row r="3084" spans="21:21" x14ac:dyDescent="0.25">
      <c r="U3084" s="104" t="str">
        <f>IF(
  AND(
    TRIM(A3084)=TRIM(Enginuity!$A$1),
    TRIM(B3084)=TRIM(Enginuity!$A$17),
    Q3084&lt;&gt;"",
    Q3084&lt;&gt;0,
    OR(
      TRIM(C3084)=TRIM(Enginuity!$A$18),
      AND(UPPER(TRIM(M3084))="STD", TRIM(B3084)=TRIM(Enginuity!$A$17))
    ),
    OR(
      AND(LEFT(P3084,5)="1-Way", Enginuity!$B$13=1),
      AND(LEFT(P3084,5)="2-Way", OR(Enginuity!$B$13=2, Enginuity!$B$13=4)),
      AND(LEFT(P3084,5)="3-Way", OR(Enginuity!$B$13=3, Enginuity!$B$13=6)),
      AND(P3084="Inner Centre Jamb", OR(Enginuity!$B$13=4, Enginuity!$B$13=6)),
      AND(
        LEFT(P3084,5)&lt;&gt;"1-Way",
        LEFT(P3084,5)&lt;&gt;"2-Way",
        LEFT(P3084,5)&lt;&gt;"3-Way",
        P3084&lt;&gt;"Inner Centre Jamb"
      )
    ),
    IF(OR(Enginuity!$A$1="Frameless Glass",Enginuity!$A$1="Metal Work"),
      AND(TRIM(B3084)=TRIM(Enginuity!$A$17),TRIM(C3084)=TRIM(Enginuity!$A$18)),
      TRIM(B3084)=TRIM(Enginuity!$A$17)
    )
  ),
  ROW(),
  ""
)</f>
        <v/>
      </c>
    </row>
    <row r="3085" spans="21:21" x14ac:dyDescent="0.25">
      <c r="U3085" s="104" t="str">
        <f>IF(
  AND(
    TRIM(A3085)=TRIM(Enginuity!$A$1),
    TRIM(B3085)=TRIM(Enginuity!$A$17),
    Q3085&lt;&gt;"",
    Q3085&lt;&gt;0,
    OR(
      TRIM(C3085)=TRIM(Enginuity!$A$18),
      AND(UPPER(TRIM(M3085))="STD", TRIM(B3085)=TRIM(Enginuity!$A$17))
    ),
    OR(
      AND(LEFT(P3085,5)="1-Way", Enginuity!$B$13=1),
      AND(LEFT(P3085,5)="2-Way", OR(Enginuity!$B$13=2, Enginuity!$B$13=4)),
      AND(LEFT(P3085,5)="3-Way", OR(Enginuity!$B$13=3, Enginuity!$B$13=6)),
      AND(P3085="Inner Centre Jamb", OR(Enginuity!$B$13=4, Enginuity!$B$13=6)),
      AND(
        LEFT(P3085,5)&lt;&gt;"1-Way",
        LEFT(P3085,5)&lt;&gt;"2-Way",
        LEFT(P3085,5)&lt;&gt;"3-Way",
        P3085&lt;&gt;"Inner Centre Jamb"
      )
    ),
    IF(OR(Enginuity!$A$1="Frameless Glass",Enginuity!$A$1="Metal Work"),
      AND(TRIM(B3085)=TRIM(Enginuity!$A$17),TRIM(C3085)=TRIM(Enginuity!$A$18)),
      TRIM(B3085)=TRIM(Enginuity!$A$17)
    )
  ),
  ROW(),
  ""
)</f>
        <v/>
      </c>
    </row>
    <row r="3086" spans="21:21" x14ac:dyDescent="0.25">
      <c r="U3086" s="104" t="str">
        <f>IF(
  AND(
    TRIM(A3086)=TRIM(Enginuity!$A$1),
    TRIM(B3086)=TRIM(Enginuity!$A$17),
    Q3086&lt;&gt;"",
    Q3086&lt;&gt;0,
    OR(
      TRIM(C3086)=TRIM(Enginuity!$A$18),
      AND(UPPER(TRIM(M3086))="STD", TRIM(B3086)=TRIM(Enginuity!$A$17))
    ),
    OR(
      AND(LEFT(P3086,5)="1-Way", Enginuity!$B$13=1),
      AND(LEFT(P3086,5)="2-Way", OR(Enginuity!$B$13=2, Enginuity!$B$13=4)),
      AND(LEFT(P3086,5)="3-Way", OR(Enginuity!$B$13=3, Enginuity!$B$13=6)),
      AND(P3086="Inner Centre Jamb", OR(Enginuity!$B$13=4, Enginuity!$B$13=6)),
      AND(
        LEFT(P3086,5)&lt;&gt;"1-Way",
        LEFT(P3086,5)&lt;&gt;"2-Way",
        LEFT(P3086,5)&lt;&gt;"3-Way",
        P3086&lt;&gt;"Inner Centre Jamb"
      )
    ),
    IF(OR(Enginuity!$A$1="Frameless Glass",Enginuity!$A$1="Metal Work"),
      AND(TRIM(B3086)=TRIM(Enginuity!$A$17),TRIM(C3086)=TRIM(Enginuity!$A$18)),
      TRIM(B3086)=TRIM(Enginuity!$A$17)
    )
  ),
  ROW(),
  ""
)</f>
        <v/>
      </c>
    </row>
    <row r="3087" spans="21:21" x14ac:dyDescent="0.25">
      <c r="U3087" s="104" t="str">
        <f>IF(
  AND(
    TRIM(A3087)=TRIM(Enginuity!$A$1),
    TRIM(B3087)=TRIM(Enginuity!$A$17),
    Q3087&lt;&gt;"",
    Q3087&lt;&gt;0,
    OR(
      TRIM(C3087)=TRIM(Enginuity!$A$18),
      AND(UPPER(TRIM(M3087))="STD", TRIM(B3087)=TRIM(Enginuity!$A$17))
    ),
    OR(
      AND(LEFT(P3087,5)="1-Way", Enginuity!$B$13=1),
      AND(LEFT(P3087,5)="2-Way", OR(Enginuity!$B$13=2, Enginuity!$B$13=4)),
      AND(LEFT(P3087,5)="3-Way", OR(Enginuity!$B$13=3, Enginuity!$B$13=6)),
      AND(P3087="Inner Centre Jamb", OR(Enginuity!$B$13=4, Enginuity!$B$13=6)),
      AND(
        LEFT(P3087,5)&lt;&gt;"1-Way",
        LEFT(P3087,5)&lt;&gt;"2-Way",
        LEFT(P3087,5)&lt;&gt;"3-Way",
        P3087&lt;&gt;"Inner Centre Jamb"
      )
    ),
    IF(OR(Enginuity!$A$1="Frameless Glass",Enginuity!$A$1="Metal Work"),
      AND(TRIM(B3087)=TRIM(Enginuity!$A$17),TRIM(C3087)=TRIM(Enginuity!$A$18)),
      TRIM(B3087)=TRIM(Enginuity!$A$17)
    )
  ),
  ROW(),
  ""
)</f>
        <v/>
      </c>
    </row>
    <row r="3088" spans="21:21" x14ac:dyDescent="0.25">
      <c r="U3088" s="104" t="str">
        <f>IF(
  AND(
    TRIM(A3088)=TRIM(Enginuity!$A$1),
    TRIM(B3088)=TRIM(Enginuity!$A$17),
    Q3088&lt;&gt;"",
    Q3088&lt;&gt;0,
    OR(
      TRIM(C3088)=TRIM(Enginuity!$A$18),
      AND(UPPER(TRIM(M3088))="STD", TRIM(B3088)=TRIM(Enginuity!$A$17))
    ),
    OR(
      AND(LEFT(P3088,5)="1-Way", Enginuity!$B$13=1),
      AND(LEFT(P3088,5)="2-Way", OR(Enginuity!$B$13=2, Enginuity!$B$13=4)),
      AND(LEFT(P3088,5)="3-Way", OR(Enginuity!$B$13=3, Enginuity!$B$13=6)),
      AND(P3088="Inner Centre Jamb", OR(Enginuity!$B$13=4, Enginuity!$B$13=6)),
      AND(
        LEFT(P3088,5)&lt;&gt;"1-Way",
        LEFT(P3088,5)&lt;&gt;"2-Way",
        LEFT(P3088,5)&lt;&gt;"3-Way",
        P3088&lt;&gt;"Inner Centre Jamb"
      )
    ),
    IF(OR(Enginuity!$A$1="Frameless Glass",Enginuity!$A$1="Metal Work"),
      AND(TRIM(B3088)=TRIM(Enginuity!$A$17),TRIM(C3088)=TRIM(Enginuity!$A$18)),
      TRIM(B3088)=TRIM(Enginuity!$A$17)
    )
  ),
  ROW(),
  ""
)</f>
        <v/>
      </c>
    </row>
    <row r="3089" spans="21:21" x14ac:dyDescent="0.25">
      <c r="U3089" s="104" t="str">
        <f>IF(
  AND(
    TRIM(A3089)=TRIM(Enginuity!$A$1),
    TRIM(B3089)=TRIM(Enginuity!$A$17),
    Q3089&lt;&gt;"",
    Q3089&lt;&gt;0,
    OR(
      TRIM(C3089)=TRIM(Enginuity!$A$18),
      AND(UPPER(TRIM(M3089))="STD", TRIM(B3089)=TRIM(Enginuity!$A$17))
    ),
    OR(
      AND(LEFT(P3089,5)="1-Way", Enginuity!$B$13=1),
      AND(LEFT(P3089,5)="2-Way", OR(Enginuity!$B$13=2, Enginuity!$B$13=4)),
      AND(LEFT(P3089,5)="3-Way", OR(Enginuity!$B$13=3, Enginuity!$B$13=6)),
      AND(P3089="Inner Centre Jamb", OR(Enginuity!$B$13=4, Enginuity!$B$13=6)),
      AND(
        LEFT(P3089,5)&lt;&gt;"1-Way",
        LEFT(P3089,5)&lt;&gt;"2-Way",
        LEFT(P3089,5)&lt;&gt;"3-Way",
        P3089&lt;&gt;"Inner Centre Jamb"
      )
    ),
    IF(OR(Enginuity!$A$1="Frameless Glass",Enginuity!$A$1="Metal Work"),
      AND(TRIM(B3089)=TRIM(Enginuity!$A$17),TRIM(C3089)=TRIM(Enginuity!$A$18)),
      TRIM(B3089)=TRIM(Enginuity!$A$17)
    )
  ),
  ROW(),
  ""
)</f>
        <v/>
      </c>
    </row>
    <row r="3090" spans="21:21" x14ac:dyDescent="0.25">
      <c r="U3090" s="104" t="str">
        <f>IF(
  AND(
    TRIM(A3090)=TRIM(Enginuity!$A$1),
    TRIM(B3090)=TRIM(Enginuity!$A$17),
    Q3090&lt;&gt;"",
    Q3090&lt;&gt;0,
    OR(
      TRIM(C3090)=TRIM(Enginuity!$A$18),
      AND(UPPER(TRIM(M3090))="STD", TRIM(B3090)=TRIM(Enginuity!$A$17))
    ),
    OR(
      AND(LEFT(P3090,5)="1-Way", Enginuity!$B$13=1),
      AND(LEFT(P3090,5)="2-Way", OR(Enginuity!$B$13=2, Enginuity!$B$13=4)),
      AND(LEFT(P3090,5)="3-Way", OR(Enginuity!$B$13=3, Enginuity!$B$13=6)),
      AND(P3090="Inner Centre Jamb", OR(Enginuity!$B$13=4, Enginuity!$B$13=6)),
      AND(
        LEFT(P3090,5)&lt;&gt;"1-Way",
        LEFT(P3090,5)&lt;&gt;"2-Way",
        LEFT(P3090,5)&lt;&gt;"3-Way",
        P3090&lt;&gt;"Inner Centre Jamb"
      )
    ),
    IF(OR(Enginuity!$A$1="Frameless Glass",Enginuity!$A$1="Metal Work"),
      AND(TRIM(B3090)=TRIM(Enginuity!$A$17),TRIM(C3090)=TRIM(Enginuity!$A$18)),
      TRIM(B3090)=TRIM(Enginuity!$A$17)
    )
  ),
  ROW(),
  ""
)</f>
        <v/>
      </c>
    </row>
    <row r="3091" spans="21:21" x14ac:dyDescent="0.25">
      <c r="U3091" s="104" t="str">
        <f>IF(
  AND(
    TRIM(A3091)=TRIM(Enginuity!$A$1),
    TRIM(B3091)=TRIM(Enginuity!$A$17),
    Q3091&lt;&gt;"",
    Q3091&lt;&gt;0,
    OR(
      TRIM(C3091)=TRIM(Enginuity!$A$18),
      AND(UPPER(TRIM(M3091))="STD", TRIM(B3091)=TRIM(Enginuity!$A$17))
    ),
    OR(
      AND(LEFT(P3091,5)="1-Way", Enginuity!$B$13=1),
      AND(LEFT(P3091,5)="2-Way", OR(Enginuity!$B$13=2, Enginuity!$B$13=4)),
      AND(LEFT(P3091,5)="3-Way", OR(Enginuity!$B$13=3, Enginuity!$B$13=6)),
      AND(P3091="Inner Centre Jamb", OR(Enginuity!$B$13=4, Enginuity!$B$13=6)),
      AND(
        LEFT(P3091,5)&lt;&gt;"1-Way",
        LEFT(P3091,5)&lt;&gt;"2-Way",
        LEFT(P3091,5)&lt;&gt;"3-Way",
        P3091&lt;&gt;"Inner Centre Jamb"
      )
    ),
    IF(OR(Enginuity!$A$1="Frameless Glass",Enginuity!$A$1="Metal Work"),
      AND(TRIM(B3091)=TRIM(Enginuity!$A$17),TRIM(C3091)=TRIM(Enginuity!$A$18)),
      TRIM(B3091)=TRIM(Enginuity!$A$17)
    )
  ),
  ROW(),
  ""
)</f>
        <v/>
      </c>
    </row>
    <row r="3092" spans="21:21" x14ac:dyDescent="0.25">
      <c r="U3092" s="104" t="str">
        <f>IF(
  AND(
    TRIM(A3092)=TRIM(Enginuity!$A$1),
    TRIM(B3092)=TRIM(Enginuity!$A$17),
    Q3092&lt;&gt;"",
    Q3092&lt;&gt;0,
    OR(
      TRIM(C3092)=TRIM(Enginuity!$A$18),
      AND(UPPER(TRIM(M3092))="STD", TRIM(B3092)=TRIM(Enginuity!$A$17))
    ),
    OR(
      AND(LEFT(P3092,5)="1-Way", Enginuity!$B$13=1),
      AND(LEFT(P3092,5)="2-Way", OR(Enginuity!$B$13=2, Enginuity!$B$13=4)),
      AND(LEFT(P3092,5)="3-Way", OR(Enginuity!$B$13=3, Enginuity!$B$13=6)),
      AND(P3092="Inner Centre Jamb", OR(Enginuity!$B$13=4, Enginuity!$B$13=6)),
      AND(
        LEFT(P3092,5)&lt;&gt;"1-Way",
        LEFT(P3092,5)&lt;&gt;"2-Way",
        LEFT(P3092,5)&lt;&gt;"3-Way",
        P3092&lt;&gt;"Inner Centre Jamb"
      )
    ),
    IF(OR(Enginuity!$A$1="Frameless Glass",Enginuity!$A$1="Metal Work"),
      AND(TRIM(B3092)=TRIM(Enginuity!$A$17),TRIM(C3092)=TRIM(Enginuity!$A$18)),
      TRIM(B3092)=TRIM(Enginuity!$A$17)
    )
  ),
  ROW(),
  ""
)</f>
        <v/>
      </c>
    </row>
    <row r="3093" spans="21:21" x14ac:dyDescent="0.25">
      <c r="U3093" s="104" t="str">
        <f>IF(
  AND(
    TRIM(A3093)=TRIM(Enginuity!$A$1),
    TRIM(B3093)=TRIM(Enginuity!$A$17),
    Q3093&lt;&gt;"",
    Q3093&lt;&gt;0,
    OR(
      TRIM(C3093)=TRIM(Enginuity!$A$18),
      AND(UPPER(TRIM(M3093))="STD", TRIM(B3093)=TRIM(Enginuity!$A$17))
    ),
    OR(
      AND(LEFT(P3093,5)="1-Way", Enginuity!$B$13=1),
      AND(LEFT(P3093,5)="2-Way", OR(Enginuity!$B$13=2, Enginuity!$B$13=4)),
      AND(LEFT(P3093,5)="3-Way", OR(Enginuity!$B$13=3, Enginuity!$B$13=6)),
      AND(P3093="Inner Centre Jamb", OR(Enginuity!$B$13=4, Enginuity!$B$13=6)),
      AND(
        LEFT(P3093,5)&lt;&gt;"1-Way",
        LEFT(P3093,5)&lt;&gt;"2-Way",
        LEFT(P3093,5)&lt;&gt;"3-Way",
        P3093&lt;&gt;"Inner Centre Jamb"
      )
    ),
    IF(OR(Enginuity!$A$1="Frameless Glass",Enginuity!$A$1="Metal Work"),
      AND(TRIM(B3093)=TRIM(Enginuity!$A$17),TRIM(C3093)=TRIM(Enginuity!$A$18)),
      TRIM(B3093)=TRIM(Enginuity!$A$17)
    )
  ),
  ROW(),
  ""
)</f>
        <v/>
      </c>
    </row>
    <row r="3094" spans="21:21" x14ac:dyDescent="0.25">
      <c r="U3094" s="104" t="str">
        <f>IF(
  AND(
    TRIM(A3094)=TRIM(Enginuity!$A$1),
    TRIM(B3094)=TRIM(Enginuity!$A$17),
    Q3094&lt;&gt;"",
    Q3094&lt;&gt;0,
    OR(
      TRIM(C3094)=TRIM(Enginuity!$A$18),
      AND(UPPER(TRIM(M3094))="STD", TRIM(B3094)=TRIM(Enginuity!$A$17))
    ),
    OR(
      AND(LEFT(P3094,5)="1-Way", Enginuity!$B$13=1),
      AND(LEFT(P3094,5)="2-Way", OR(Enginuity!$B$13=2, Enginuity!$B$13=4)),
      AND(LEFT(P3094,5)="3-Way", OR(Enginuity!$B$13=3, Enginuity!$B$13=6)),
      AND(P3094="Inner Centre Jamb", OR(Enginuity!$B$13=4, Enginuity!$B$13=6)),
      AND(
        LEFT(P3094,5)&lt;&gt;"1-Way",
        LEFT(P3094,5)&lt;&gt;"2-Way",
        LEFT(P3094,5)&lt;&gt;"3-Way",
        P3094&lt;&gt;"Inner Centre Jamb"
      )
    ),
    IF(OR(Enginuity!$A$1="Frameless Glass",Enginuity!$A$1="Metal Work"),
      AND(TRIM(B3094)=TRIM(Enginuity!$A$17),TRIM(C3094)=TRIM(Enginuity!$A$18)),
      TRIM(B3094)=TRIM(Enginuity!$A$17)
    )
  ),
  ROW(),
  ""
)</f>
        <v/>
      </c>
    </row>
    <row r="3095" spans="21:21" x14ac:dyDescent="0.25">
      <c r="U3095" s="104" t="str">
        <f>IF(
  AND(
    TRIM(A3095)=TRIM(Enginuity!$A$1),
    TRIM(B3095)=TRIM(Enginuity!$A$17),
    Q3095&lt;&gt;"",
    Q3095&lt;&gt;0,
    OR(
      TRIM(C3095)=TRIM(Enginuity!$A$18),
      AND(UPPER(TRIM(M3095))="STD", TRIM(B3095)=TRIM(Enginuity!$A$17))
    ),
    OR(
      AND(LEFT(P3095,5)="1-Way", Enginuity!$B$13=1),
      AND(LEFT(P3095,5)="2-Way", OR(Enginuity!$B$13=2, Enginuity!$B$13=4)),
      AND(LEFT(P3095,5)="3-Way", OR(Enginuity!$B$13=3, Enginuity!$B$13=6)),
      AND(P3095="Inner Centre Jamb", OR(Enginuity!$B$13=4, Enginuity!$B$13=6)),
      AND(
        LEFT(P3095,5)&lt;&gt;"1-Way",
        LEFT(P3095,5)&lt;&gt;"2-Way",
        LEFT(P3095,5)&lt;&gt;"3-Way",
        P3095&lt;&gt;"Inner Centre Jamb"
      )
    ),
    IF(OR(Enginuity!$A$1="Frameless Glass",Enginuity!$A$1="Metal Work"),
      AND(TRIM(B3095)=TRIM(Enginuity!$A$17),TRIM(C3095)=TRIM(Enginuity!$A$18)),
      TRIM(B3095)=TRIM(Enginuity!$A$17)
    )
  ),
  ROW(),
  ""
)</f>
        <v/>
      </c>
    </row>
    <row r="3096" spans="21:21" x14ac:dyDescent="0.25">
      <c r="U3096" s="104" t="str">
        <f>IF(
  AND(
    TRIM(A3096)=TRIM(Enginuity!$A$1),
    TRIM(B3096)=TRIM(Enginuity!$A$17),
    Q3096&lt;&gt;"",
    Q3096&lt;&gt;0,
    OR(
      TRIM(C3096)=TRIM(Enginuity!$A$18),
      AND(UPPER(TRIM(M3096))="STD", TRIM(B3096)=TRIM(Enginuity!$A$17))
    ),
    OR(
      AND(LEFT(P3096,5)="1-Way", Enginuity!$B$13=1),
      AND(LEFT(P3096,5)="2-Way", OR(Enginuity!$B$13=2, Enginuity!$B$13=4)),
      AND(LEFT(P3096,5)="3-Way", OR(Enginuity!$B$13=3, Enginuity!$B$13=6)),
      AND(P3096="Inner Centre Jamb", OR(Enginuity!$B$13=4, Enginuity!$B$13=6)),
      AND(
        LEFT(P3096,5)&lt;&gt;"1-Way",
        LEFT(P3096,5)&lt;&gt;"2-Way",
        LEFT(P3096,5)&lt;&gt;"3-Way",
        P3096&lt;&gt;"Inner Centre Jamb"
      )
    ),
    IF(OR(Enginuity!$A$1="Frameless Glass",Enginuity!$A$1="Metal Work"),
      AND(TRIM(B3096)=TRIM(Enginuity!$A$17),TRIM(C3096)=TRIM(Enginuity!$A$18)),
      TRIM(B3096)=TRIM(Enginuity!$A$17)
    )
  ),
  ROW(),
  ""
)</f>
        <v/>
      </c>
    </row>
    <row r="3097" spans="21:21" x14ac:dyDescent="0.25">
      <c r="U3097" s="104" t="str">
        <f>IF(
  AND(
    TRIM(A3097)=TRIM(Enginuity!$A$1),
    TRIM(B3097)=TRIM(Enginuity!$A$17),
    Q3097&lt;&gt;"",
    Q3097&lt;&gt;0,
    OR(
      TRIM(C3097)=TRIM(Enginuity!$A$18),
      AND(UPPER(TRIM(M3097))="STD", TRIM(B3097)=TRIM(Enginuity!$A$17))
    ),
    OR(
      AND(LEFT(P3097,5)="1-Way", Enginuity!$B$13=1),
      AND(LEFT(P3097,5)="2-Way", OR(Enginuity!$B$13=2, Enginuity!$B$13=4)),
      AND(LEFT(P3097,5)="3-Way", OR(Enginuity!$B$13=3, Enginuity!$B$13=6)),
      AND(P3097="Inner Centre Jamb", OR(Enginuity!$B$13=4, Enginuity!$B$13=6)),
      AND(
        LEFT(P3097,5)&lt;&gt;"1-Way",
        LEFT(P3097,5)&lt;&gt;"2-Way",
        LEFT(P3097,5)&lt;&gt;"3-Way",
        P3097&lt;&gt;"Inner Centre Jamb"
      )
    ),
    IF(OR(Enginuity!$A$1="Frameless Glass",Enginuity!$A$1="Metal Work"),
      AND(TRIM(B3097)=TRIM(Enginuity!$A$17),TRIM(C3097)=TRIM(Enginuity!$A$18)),
      TRIM(B3097)=TRIM(Enginuity!$A$17)
    )
  ),
  ROW(),
  ""
)</f>
        <v/>
      </c>
    </row>
    <row r="3098" spans="21:21" x14ac:dyDescent="0.25">
      <c r="U3098" s="104" t="str">
        <f>IF(
  AND(
    TRIM(A3098)=TRIM(Enginuity!$A$1),
    TRIM(B3098)=TRIM(Enginuity!$A$17),
    Q3098&lt;&gt;"",
    Q3098&lt;&gt;0,
    OR(
      TRIM(C3098)=TRIM(Enginuity!$A$18),
      AND(UPPER(TRIM(M3098))="STD", TRIM(B3098)=TRIM(Enginuity!$A$17))
    ),
    OR(
      AND(LEFT(P3098,5)="1-Way", Enginuity!$B$13=1),
      AND(LEFT(P3098,5)="2-Way", OR(Enginuity!$B$13=2, Enginuity!$B$13=4)),
      AND(LEFT(P3098,5)="3-Way", OR(Enginuity!$B$13=3, Enginuity!$B$13=6)),
      AND(P3098="Inner Centre Jamb", OR(Enginuity!$B$13=4, Enginuity!$B$13=6)),
      AND(
        LEFT(P3098,5)&lt;&gt;"1-Way",
        LEFT(P3098,5)&lt;&gt;"2-Way",
        LEFT(P3098,5)&lt;&gt;"3-Way",
        P3098&lt;&gt;"Inner Centre Jamb"
      )
    ),
    IF(OR(Enginuity!$A$1="Frameless Glass",Enginuity!$A$1="Metal Work"),
      AND(TRIM(B3098)=TRIM(Enginuity!$A$17),TRIM(C3098)=TRIM(Enginuity!$A$18)),
      TRIM(B3098)=TRIM(Enginuity!$A$17)
    )
  ),
  ROW(),
  ""
)</f>
        <v/>
      </c>
    </row>
    <row r="3099" spans="21:21" x14ac:dyDescent="0.25">
      <c r="U3099" s="104" t="str">
        <f>IF(
  AND(
    TRIM(A3099)=TRIM(Enginuity!$A$1),
    TRIM(B3099)=TRIM(Enginuity!$A$17),
    Q3099&lt;&gt;"",
    Q3099&lt;&gt;0,
    OR(
      TRIM(C3099)=TRIM(Enginuity!$A$18),
      AND(UPPER(TRIM(M3099))="STD", TRIM(B3099)=TRIM(Enginuity!$A$17))
    ),
    OR(
      AND(LEFT(P3099,5)="1-Way", Enginuity!$B$13=1),
      AND(LEFT(P3099,5)="2-Way", OR(Enginuity!$B$13=2, Enginuity!$B$13=4)),
      AND(LEFT(P3099,5)="3-Way", OR(Enginuity!$B$13=3, Enginuity!$B$13=6)),
      AND(P3099="Inner Centre Jamb", OR(Enginuity!$B$13=4, Enginuity!$B$13=6)),
      AND(
        LEFT(P3099,5)&lt;&gt;"1-Way",
        LEFT(P3099,5)&lt;&gt;"2-Way",
        LEFT(P3099,5)&lt;&gt;"3-Way",
        P3099&lt;&gt;"Inner Centre Jamb"
      )
    ),
    IF(OR(Enginuity!$A$1="Frameless Glass",Enginuity!$A$1="Metal Work"),
      AND(TRIM(B3099)=TRIM(Enginuity!$A$17),TRIM(C3099)=TRIM(Enginuity!$A$18)),
      TRIM(B3099)=TRIM(Enginuity!$A$17)
    )
  ),
  ROW(),
  ""
)</f>
        <v/>
      </c>
    </row>
    <row r="3100" spans="21:21" x14ac:dyDescent="0.25">
      <c r="U3100" s="104" t="str">
        <f>IF(
  AND(
    TRIM(A3100)=TRIM(Enginuity!$A$1),
    TRIM(B3100)=TRIM(Enginuity!$A$17),
    Q3100&lt;&gt;"",
    Q3100&lt;&gt;0,
    OR(
      TRIM(C3100)=TRIM(Enginuity!$A$18),
      AND(UPPER(TRIM(M3100))="STD", TRIM(B3100)=TRIM(Enginuity!$A$17))
    ),
    OR(
      AND(LEFT(P3100,5)="1-Way", Enginuity!$B$13=1),
      AND(LEFT(P3100,5)="2-Way", OR(Enginuity!$B$13=2, Enginuity!$B$13=4)),
      AND(LEFT(P3100,5)="3-Way", OR(Enginuity!$B$13=3, Enginuity!$B$13=6)),
      AND(P3100="Inner Centre Jamb", OR(Enginuity!$B$13=4, Enginuity!$B$13=6)),
      AND(
        LEFT(P3100,5)&lt;&gt;"1-Way",
        LEFT(P3100,5)&lt;&gt;"2-Way",
        LEFT(P3100,5)&lt;&gt;"3-Way",
        P3100&lt;&gt;"Inner Centre Jamb"
      )
    ),
    IF(OR(Enginuity!$A$1="Frameless Glass",Enginuity!$A$1="Metal Work"),
      AND(TRIM(B3100)=TRIM(Enginuity!$A$17),TRIM(C3100)=TRIM(Enginuity!$A$18)),
      TRIM(B3100)=TRIM(Enginuity!$A$17)
    )
  ),
  ROW(),
  ""
)</f>
        <v/>
      </c>
    </row>
    <row r="3101" spans="21:21" x14ac:dyDescent="0.25">
      <c r="U3101" s="104" t="str">
        <f>IF(
  AND(
    TRIM(A3101)=TRIM(Enginuity!$A$1),
    TRIM(B3101)=TRIM(Enginuity!$A$17),
    Q3101&lt;&gt;"",
    Q3101&lt;&gt;0,
    OR(
      TRIM(C3101)=TRIM(Enginuity!$A$18),
      AND(UPPER(TRIM(M3101))="STD", TRIM(B3101)=TRIM(Enginuity!$A$17))
    ),
    OR(
      AND(LEFT(P3101,5)="1-Way", Enginuity!$B$13=1),
      AND(LEFT(P3101,5)="2-Way", OR(Enginuity!$B$13=2, Enginuity!$B$13=4)),
      AND(LEFT(P3101,5)="3-Way", OR(Enginuity!$B$13=3, Enginuity!$B$13=6)),
      AND(P3101="Inner Centre Jamb", OR(Enginuity!$B$13=4, Enginuity!$B$13=6)),
      AND(
        LEFT(P3101,5)&lt;&gt;"1-Way",
        LEFT(P3101,5)&lt;&gt;"2-Way",
        LEFT(P3101,5)&lt;&gt;"3-Way",
        P3101&lt;&gt;"Inner Centre Jamb"
      )
    ),
    IF(OR(Enginuity!$A$1="Frameless Glass",Enginuity!$A$1="Metal Work"),
      AND(TRIM(B3101)=TRIM(Enginuity!$A$17),TRIM(C3101)=TRIM(Enginuity!$A$18)),
      TRIM(B3101)=TRIM(Enginuity!$A$17)
    )
  ),
  ROW(),
  ""
)</f>
        <v/>
      </c>
    </row>
    <row r="3102" spans="21:21" x14ac:dyDescent="0.25">
      <c r="U3102" s="104" t="str">
        <f>IF(
  AND(
    TRIM(A3102)=TRIM(Enginuity!$A$1),
    TRIM(B3102)=TRIM(Enginuity!$A$17),
    Q3102&lt;&gt;"",
    Q3102&lt;&gt;0,
    OR(
      TRIM(C3102)=TRIM(Enginuity!$A$18),
      AND(UPPER(TRIM(M3102))="STD", TRIM(B3102)=TRIM(Enginuity!$A$17))
    ),
    OR(
      AND(LEFT(P3102,5)="1-Way", Enginuity!$B$13=1),
      AND(LEFT(P3102,5)="2-Way", OR(Enginuity!$B$13=2, Enginuity!$B$13=4)),
      AND(LEFT(P3102,5)="3-Way", OR(Enginuity!$B$13=3, Enginuity!$B$13=6)),
      AND(P3102="Inner Centre Jamb", OR(Enginuity!$B$13=4, Enginuity!$B$13=6)),
      AND(
        LEFT(P3102,5)&lt;&gt;"1-Way",
        LEFT(P3102,5)&lt;&gt;"2-Way",
        LEFT(P3102,5)&lt;&gt;"3-Way",
        P3102&lt;&gt;"Inner Centre Jamb"
      )
    ),
    IF(OR(Enginuity!$A$1="Frameless Glass",Enginuity!$A$1="Metal Work"),
      AND(TRIM(B3102)=TRIM(Enginuity!$A$17),TRIM(C3102)=TRIM(Enginuity!$A$18)),
      TRIM(B3102)=TRIM(Enginuity!$A$17)
    )
  ),
  ROW(),
  ""
)</f>
        <v/>
      </c>
    </row>
    <row r="3103" spans="21:21" x14ac:dyDescent="0.25">
      <c r="U3103" s="104" t="str">
        <f>IF(
  AND(
    TRIM(A3103)=TRIM(Enginuity!$A$1),
    TRIM(B3103)=TRIM(Enginuity!$A$17),
    Q3103&lt;&gt;"",
    Q3103&lt;&gt;0,
    OR(
      TRIM(C3103)=TRIM(Enginuity!$A$18),
      AND(UPPER(TRIM(M3103))="STD", TRIM(B3103)=TRIM(Enginuity!$A$17))
    ),
    OR(
      AND(LEFT(P3103,5)="1-Way", Enginuity!$B$13=1),
      AND(LEFT(P3103,5)="2-Way", OR(Enginuity!$B$13=2, Enginuity!$B$13=4)),
      AND(LEFT(P3103,5)="3-Way", OR(Enginuity!$B$13=3, Enginuity!$B$13=6)),
      AND(P3103="Inner Centre Jamb", OR(Enginuity!$B$13=4, Enginuity!$B$13=6)),
      AND(
        LEFT(P3103,5)&lt;&gt;"1-Way",
        LEFT(P3103,5)&lt;&gt;"2-Way",
        LEFT(P3103,5)&lt;&gt;"3-Way",
        P3103&lt;&gt;"Inner Centre Jamb"
      )
    ),
    IF(OR(Enginuity!$A$1="Frameless Glass",Enginuity!$A$1="Metal Work"),
      AND(TRIM(B3103)=TRIM(Enginuity!$A$17),TRIM(C3103)=TRIM(Enginuity!$A$18)),
      TRIM(B3103)=TRIM(Enginuity!$A$17)
    )
  ),
  ROW(),
  ""
)</f>
        <v/>
      </c>
    </row>
    <row r="3104" spans="21:21" x14ac:dyDescent="0.25">
      <c r="U3104" s="104" t="str">
        <f>IF(
  AND(
    TRIM(A3104)=TRIM(Enginuity!$A$1),
    TRIM(B3104)=TRIM(Enginuity!$A$17),
    Q3104&lt;&gt;"",
    Q3104&lt;&gt;0,
    OR(
      TRIM(C3104)=TRIM(Enginuity!$A$18),
      AND(UPPER(TRIM(M3104))="STD", TRIM(B3104)=TRIM(Enginuity!$A$17))
    ),
    OR(
      AND(LEFT(P3104,5)="1-Way", Enginuity!$B$13=1),
      AND(LEFT(P3104,5)="2-Way", OR(Enginuity!$B$13=2, Enginuity!$B$13=4)),
      AND(LEFT(P3104,5)="3-Way", OR(Enginuity!$B$13=3, Enginuity!$B$13=6)),
      AND(P3104="Inner Centre Jamb", OR(Enginuity!$B$13=4, Enginuity!$B$13=6)),
      AND(
        LEFT(P3104,5)&lt;&gt;"1-Way",
        LEFT(P3104,5)&lt;&gt;"2-Way",
        LEFT(P3104,5)&lt;&gt;"3-Way",
        P3104&lt;&gt;"Inner Centre Jamb"
      )
    ),
    IF(OR(Enginuity!$A$1="Frameless Glass",Enginuity!$A$1="Metal Work"),
      AND(TRIM(B3104)=TRIM(Enginuity!$A$17),TRIM(C3104)=TRIM(Enginuity!$A$18)),
      TRIM(B3104)=TRIM(Enginuity!$A$17)
    )
  ),
  ROW(),
  ""
)</f>
        <v/>
      </c>
    </row>
    <row r="3105" spans="21:21" x14ac:dyDescent="0.25">
      <c r="U3105" s="104" t="str">
        <f>IF(
  AND(
    TRIM(A3105)=TRIM(Enginuity!$A$1),
    TRIM(B3105)=TRIM(Enginuity!$A$17),
    Q3105&lt;&gt;"",
    Q3105&lt;&gt;0,
    OR(
      TRIM(C3105)=TRIM(Enginuity!$A$18),
      AND(UPPER(TRIM(M3105))="STD", TRIM(B3105)=TRIM(Enginuity!$A$17))
    ),
    OR(
      AND(LEFT(P3105,5)="1-Way", Enginuity!$B$13=1),
      AND(LEFT(P3105,5)="2-Way", OR(Enginuity!$B$13=2, Enginuity!$B$13=4)),
      AND(LEFT(P3105,5)="3-Way", OR(Enginuity!$B$13=3, Enginuity!$B$13=6)),
      AND(P3105="Inner Centre Jamb", OR(Enginuity!$B$13=4, Enginuity!$B$13=6)),
      AND(
        LEFT(P3105,5)&lt;&gt;"1-Way",
        LEFT(P3105,5)&lt;&gt;"2-Way",
        LEFT(P3105,5)&lt;&gt;"3-Way",
        P3105&lt;&gt;"Inner Centre Jamb"
      )
    ),
    IF(OR(Enginuity!$A$1="Frameless Glass",Enginuity!$A$1="Metal Work"),
      AND(TRIM(B3105)=TRIM(Enginuity!$A$17),TRIM(C3105)=TRIM(Enginuity!$A$18)),
      TRIM(B3105)=TRIM(Enginuity!$A$17)
    )
  ),
  ROW(),
  ""
)</f>
        <v/>
      </c>
    </row>
    <row r="3106" spans="21:21" x14ac:dyDescent="0.25">
      <c r="U3106" s="104" t="str">
        <f>IF(
  AND(
    TRIM(A3106)=TRIM(Enginuity!$A$1),
    TRIM(B3106)=TRIM(Enginuity!$A$17),
    Q3106&lt;&gt;"",
    Q3106&lt;&gt;0,
    OR(
      TRIM(C3106)=TRIM(Enginuity!$A$18),
      AND(UPPER(TRIM(M3106))="STD", TRIM(B3106)=TRIM(Enginuity!$A$17))
    ),
    OR(
      AND(LEFT(P3106,5)="1-Way", Enginuity!$B$13=1),
      AND(LEFT(P3106,5)="2-Way", OR(Enginuity!$B$13=2, Enginuity!$B$13=4)),
      AND(LEFT(P3106,5)="3-Way", OR(Enginuity!$B$13=3, Enginuity!$B$13=6)),
      AND(P3106="Inner Centre Jamb", OR(Enginuity!$B$13=4, Enginuity!$B$13=6)),
      AND(
        LEFT(P3106,5)&lt;&gt;"1-Way",
        LEFT(P3106,5)&lt;&gt;"2-Way",
        LEFT(P3106,5)&lt;&gt;"3-Way",
        P3106&lt;&gt;"Inner Centre Jamb"
      )
    ),
    IF(OR(Enginuity!$A$1="Frameless Glass",Enginuity!$A$1="Metal Work"),
      AND(TRIM(B3106)=TRIM(Enginuity!$A$17),TRIM(C3106)=TRIM(Enginuity!$A$18)),
      TRIM(B3106)=TRIM(Enginuity!$A$17)
    )
  ),
  ROW(),
  ""
)</f>
        <v/>
      </c>
    </row>
    <row r="3107" spans="21:21" x14ac:dyDescent="0.25">
      <c r="U3107" s="104" t="str">
        <f>IF(
  AND(
    TRIM(A3107)=TRIM(Enginuity!$A$1),
    TRIM(B3107)=TRIM(Enginuity!$A$17),
    Q3107&lt;&gt;"",
    Q3107&lt;&gt;0,
    OR(
      TRIM(C3107)=TRIM(Enginuity!$A$18),
      AND(UPPER(TRIM(M3107))="STD", TRIM(B3107)=TRIM(Enginuity!$A$17))
    ),
    OR(
      AND(LEFT(P3107,5)="1-Way", Enginuity!$B$13=1),
      AND(LEFT(P3107,5)="2-Way", OR(Enginuity!$B$13=2, Enginuity!$B$13=4)),
      AND(LEFT(P3107,5)="3-Way", OR(Enginuity!$B$13=3, Enginuity!$B$13=6)),
      AND(P3107="Inner Centre Jamb", OR(Enginuity!$B$13=4, Enginuity!$B$13=6)),
      AND(
        LEFT(P3107,5)&lt;&gt;"1-Way",
        LEFT(P3107,5)&lt;&gt;"2-Way",
        LEFT(P3107,5)&lt;&gt;"3-Way",
        P3107&lt;&gt;"Inner Centre Jamb"
      )
    ),
    IF(OR(Enginuity!$A$1="Frameless Glass",Enginuity!$A$1="Metal Work"),
      AND(TRIM(B3107)=TRIM(Enginuity!$A$17),TRIM(C3107)=TRIM(Enginuity!$A$18)),
      TRIM(B3107)=TRIM(Enginuity!$A$17)
    )
  ),
  ROW(),
  ""
)</f>
        <v/>
      </c>
    </row>
    <row r="3108" spans="21:21" x14ac:dyDescent="0.25">
      <c r="U3108" s="104" t="str">
        <f>IF(
  AND(
    TRIM(A3108)=TRIM(Enginuity!$A$1),
    TRIM(B3108)=TRIM(Enginuity!$A$17),
    Q3108&lt;&gt;"",
    Q3108&lt;&gt;0,
    OR(
      TRIM(C3108)=TRIM(Enginuity!$A$18),
      AND(UPPER(TRIM(M3108))="STD", TRIM(B3108)=TRIM(Enginuity!$A$17))
    ),
    OR(
      AND(LEFT(P3108,5)="1-Way", Enginuity!$B$13=1),
      AND(LEFT(P3108,5)="2-Way", OR(Enginuity!$B$13=2, Enginuity!$B$13=4)),
      AND(LEFT(P3108,5)="3-Way", OR(Enginuity!$B$13=3, Enginuity!$B$13=6)),
      AND(P3108="Inner Centre Jamb", OR(Enginuity!$B$13=4, Enginuity!$B$13=6)),
      AND(
        LEFT(P3108,5)&lt;&gt;"1-Way",
        LEFT(P3108,5)&lt;&gt;"2-Way",
        LEFT(P3108,5)&lt;&gt;"3-Way",
        P3108&lt;&gt;"Inner Centre Jamb"
      )
    ),
    IF(OR(Enginuity!$A$1="Frameless Glass",Enginuity!$A$1="Metal Work"),
      AND(TRIM(B3108)=TRIM(Enginuity!$A$17),TRIM(C3108)=TRIM(Enginuity!$A$18)),
      TRIM(B3108)=TRIM(Enginuity!$A$17)
    )
  ),
  ROW(),
  ""
)</f>
        <v/>
      </c>
    </row>
    <row r="3109" spans="21:21" x14ac:dyDescent="0.25">
      <c r="U3109" s="104" t="str">
        <f>IF(
  AND(
    TRIM(A3109)=TRIM(Enginuity!$A$1),
    TRIM(B3109)=TRIM(Enginuity!$A$17),
    Q3109&lt;&gt;"",
    Q3109&lt;&gt;0,
    OR(
      TRIM(C3109)=TRIM(Enginuity!$A$18),
      AND(UPPER(TRIM(M3109))="STD", TRIM(B3109)=TRIM(Enginuity!$A$17))
    ),
    OR(
      AND(LEFT(P3109,5)="1-Way", Enginuity!$B$13=1),
      AND(LEFT(P3109,5)="2-Way", OR(Enginuity!$B$13=2, Enginuity!$B$13=4)),
      AND(LEFT(P3109,5)="3-Way", OR(Enginuity!$B$13=3, Enginuity!$B$13=6)),
      AND(P3109="Inner Centre Jamb", OR(Enginuity!$B$13=4, Enginuity!$B$13=6)),
      AND(
        LEFT(P3109,5)&lt;&gt;"1-Way",
        LEFT(P3109,5)&lt;&gt;"2-Way",
        LEFT(P3109,5)&lt;&gt;"3-Way",
        P3109&lt;&gt;"Inner Centre Jamb"
      )
    ),
    IF(OR(Enginuity!$A$1="Frameless Glass",Enginuity!$A$1="Metal Work"),
      AND(TRIM(B3109)=TRIM(Enginuity!$A$17),TRIM(C3109)=TRIM(Enginuity!$A$18)),
      TRIM(B3109)=TRIM(Enginuity!$A$17)
    )
  ),
  ROW(),
  ""
)</f>
        <v/>
      </c>
    </row>
    <row r="3110" spans="21:21" x14ac:dyDescent="0.25">
      <c r="U3110" s="104" t="str">
        <f>IF(
  AND(
    TRIM(A3110)=TRIM(Enginuity!$A$1),
    TRIM(B3110)=TRIM(Enginuity!$A$17),
    Q3110&lt;&gt;"",
    Q3110&lt;&gt;0,
    OR(
      TRIM(C3110)=TRIM(Enginuity!$A$18),
      AND(UPPER(TRIM(M3110))="STD", TRIM(B3110)=TRIM(Enginuity!$A$17))
    ),
    OR(
      AND(LEFT(P3110,5)="1-Way", Enginuity!$B$13=1),
      AND(LEFT(P3110,5)="2-Way", OR(Enginuity!$B$13=2, Enginuity!$B$13=4)),
      AND(LEFT(P3110,5)="3-Way", OR(Enginuity!$B$13=3, Enginuity!$B$13=6)),
      AND(P3110="Inner Centre Jamb", OR(Enginuity!$B$13=4, Enginuity!$B$13=6)),
      AND(
        LEFT(P3110,5)&lt;&gt;"1-Way",
        LEFT(P3110,5)&lt;&gt;"2-Way",
        LEFT(P3110,5)&lt;&gt;"3-Way",
        P3110&lt;&gt;"Inner Centre Jamb"
      )
    ),
    IF(OR(Enginuity!$A$1="Frameless Glass",Enginuity!$A$1="Metal Work"),
      AND(TRIM(B3110)=TRIM(Enginuity!$A$17),TRIM(C3110)=TRIM(Enginuity!$A$18)),
      TRIM(B3110)=TRIM(Enginuity!$A$17)
    )
  ),
  ROW(),
  ""
)</f>
        <v/>
      </c>
    </row>
    <row r="3111" spans="21:21" x14ac:dyDescent="0.25">
      <c r="U3111" s="104" t="str">
        <f>IF(
  AND(
    TRIM(A3111)=TRIM(Enginuity!$A$1),
    TRIM(B3111)=TRIM(Enginuity!$A$17),
    Q3111&lt;&gt;"",
    Q3111&lt;&gt;0,
    OR(
      TRIM(C3111)=TRIM(Enginuity!$A$18),
      AND(UPPER(TRIM(M3111))="STD", TRIM(B3111)=TRIM(Enginuity!$A$17))
    ),
    OR(
      AND(LEFT(P3111,5)="1-Way", Enginuity!$B$13=1),
      AND(LEFT(P3111,5)="2-Way", OR(Enginuity!$B$13=2, Enginuity!$B$13=4)),
      AND(LEFT(P3111,5)="3-Way", OR(Enginuity!$B$13=3, Enginuity!$B$13=6)),
      AND(P3111="Inner Centre Jamb", OR(Enginuity!$B$13=4, Enginuity!$B$13=6)),
      AND(
        LEFT(P3111,5)&lt;&gt;"1-Way",
        LEFT(P3111,5)&lt;&gt;"2-Way",
        LEFT(P3111,5)&lt;&gt;"3-Way",
        P3111&lt;&gt;"Inner Centre Jamb"
      )
    ),
    IF(OR(Enginuity!$A$1="Frameless Glass",Enginuity!$A$1="Metal Work"),
      AND(TRIM(B3111)=TRIM(Enginuity!$A$17),TRIM(C3111)=TRIM(Enginuity!$A$18)),
      TRIM(B3111)=TRIM(Enginuity!$A$17)
    )
  ),
  ROW(),
  ""
)</f>
        <v/>
      </c>
    </row>
    <row r="3112" spans="21:21" x14ac:dyDescent="0.25">
      <c r="U3112" s="104" t="str">
        <f>IF(
  AND(
    TRIM(A3112)=TRIM(Enginuity!$A$1),
    TRIM(B3112)=TRIM(Enginuity!$A$17),
    Q3112&lt;&gt;"",
    Q3112&lt;&gt;0,
    OR(
      TRIM(C3112)=TRIM(Enginuity!$A$18),
      AND(UPPER(TRIM(M3112))="STD", TRIM(B3112)=TRIM(Enginuity!$A$17))
    ),
    OR(
      AND(LEFT(P3112,5)="1-Way", Enginuity!$B$13=1),
      AND(LEFT(P3112,5)="2-Way", OR(Enginuity!$B$13=2, Enginuity!$B$13=4)),
      AND(LEFT(P3112,5)="3-Way", OR(Enginuity!$B$13=3, Enginuity!$B$13=6)),
      AND(P3112="Inner Centre Jamb", OR(Enginuity!$B$13=4, Enginuity!$B$13=6)),
      AND(
        LEFT(P3112,5)&lt;&gt;"1-Way",
        LEFT(P3112,5)&lt;&gt;"2-Way",
        LEFT(P3112,5)&lt;&gt;"3-Way",
        P3112&lt;&gt;"Inner Centre Jamb"
      )
    ),
    IF(OR(Enginuity!$A$1="Frameless Glass",Enginuity!$A$1="Metal Work"),
      AND(TRIM(B3112)=TRIM(Enginuity!$A$17),TRIM(C3112)=TRIM(Enginuity!$A$18)),
      TRIM(B3112)=TRIM(Enginuity!$A$17)
    )
  ),
  ROW(),
  ""
)</f>
        <v/>
      </c>
    </row>
    <row r="3113" spans="21:21" x14ac:dyDescent="0.25">
      <c r="U3113" s="104" t="str">
        <f>IF(
  AND(
    TRIM(A3113)=TRIM(Enginuity!$A$1),
    TRIM(B3113)=TRIM(Enginuity!$A$17),
    Q3113&lt;&gt;"",
    Q3113&lt;&gt;0,
    OR(
      TRIM(C3113)=TRIM(Enginuity!$A$18),
      AND(UPPER(TRIM(M3113))="STD", TRIM(B3113)=TRIM(Enginuity!$A$17))
    ),
    OR(
      AND(LEFT(P3113,5)="1-Way", Enginuity!$B$13=1),
      AND(LEFT(P3113,5)="2-Way", OR(Enginuity!$B$13=2, Enginuity!$B$13=4)),
      AND(LEFT(P3113,5)="3-Way", OR(Enginuity!$B$13=3, Enginuity!$B$13=6)),
      AND(P3113="Inner Centre Jamb", OR(Enginuity!$B$13=4, Enginuity!$B$13=6)),
      AND(
        LEFT(P3113,5)&lt;&gt;"1-Way",
        LEFT(P3113,5)&lt;&gt;"2-Way",
        LEFT(P3113,5)&lt;&gt;"3-Way",
        P3113&lt;&gt;"Inner Centre Jamb"
      )
    ),
    IF(OR(Enginuity!$A$1="Frameless Glass",Enginuity!$A$1="Metal Work"),
      AND(TRIM(B3113)=TRIM(Enginuity!$A$17),TRIM(C3113)=TRIM(Enginuity!$A$18)),
      TRIM(B3113)=TRIM(Enginuity!$A$17)
    )
  ),
  ROW(),
  ""
)</f>
        <v/>
      </c>
    </row>
    <row r="3114" spans="21:21" x14ac:dyDescent="0.25">
      <c r="U3114" s="104" t="str">
        <f>IF(
  AND(
    TRIM(A3114)=TRIM(Enginuity!$A$1),
    TRIM(B3114)=TRIM(Enginuity!$A$17),
    Q3114&lt;&gt;"",
    Q3114&lt;&gt;0,
    OR(
      TRIM(C3114)=TRIM(Enginuity!$A$18),
      AND(UPPER(TRIM(M3114))="STD", TRIM(B3114)=TRIM(Enginuity!$A$17))
    ),
    OR(
      AND(LEFT(P3114,5)="1-Way", Enginuity!$B$13=1),
      AND(LEFT(P3114,5)="2-Way", OR(Enginuity!$B$13=2, Enginuity!$B$13=4)),
      AND(LEFT(P3114,5)="3-Way", OR(Enginuity!$B$13=3, Enginuity!$B$13=6)),
      AND(P3114="Inner Centre Jamb", OR(Enginuity!$B$13=4, Enginuity!$B$13=6)),
      AND(
        LEFT(P3114,5)&lt;&gt;"1-Way",
        LEFT(P3114,5)&lt;&gt;"2-Way",
        LEFT(P3114,5)&lt;&gt;"3-Way",
        P3114&lt;&gt;"Inner Centre Jamb"
      )
    ),
    IF(OR(Enginuity!$A$1="Frameless Glass",Enginuity!$A$1="Metal Work"),
      AND(TRIM(B3114)=TRIM(Enginuity!$A$17),TRIM(C3114)=TRIM(Enginuity!$A$18)),
      TRIM(B3114)=TRIM(Enginuity!$A$17)
    )
  ),
  ROW(),
  ""
)</f>
        <v/>
      </c>
    </row>
    <row r="3115" spans="21:21" x14ac:dyDescent="0.25">
      <c r="U3115" s="104" t="str">
        <f>IF(
  AND(
    TRIM(A3115)=TRIM(Enginuity!$A$1),
    TRIM(B3115)=TRIM(Enginuity!$A$17),
    Q3115&lt;&gt;"",
    Q3115&lt;&gt;0,
    OR(
      TRIM(C3115)=TRIM(Enginuity!$A$18),
      AND(UPPER(TRIM(M3115))="STD", TRIM(B3115)=TRIM(Enginuity!$A$17))
    ),
    OR(
      AND(LEFT(P3115,5)="1-Way", Enginuity!$B$13=1),
      AND(LEFT(P3115,5)="2-Way", OR(Enginuity!$B$13=2, Enginuity!$B$13=4)),
      AND(LEFT(P3115,5)="3-Way", OR(Enginuity!$B$13=3, Enginuity!$B$13=6)),
      AND(P3115="Inner Centre Jamb", OR(Enginuity!$B$13=4, Enginuity!$B$13=6)),
      AND(
        LEFT(P3115,5)&lt;&gt;"1-Way",
        LEFT(P3115,5)&lt;&gt;"2-Way",
        LEFT(P3115,5)&lt;&gt;"3-Way",
        P3115&lt;&gt;"Inner Centre Jamb"
      )
    ),
    IF(OR(Enginuity!$A$1="Frameless Glass",Enginuity!$A$1="Metal Work"),
      AND(TRIM(B3115)=TRIM(Enginuity!$A$17),TRIM(C3115)=TRIM(Enginuity!$A$18)),
      TRIM(B3115)=TRIM(Enginuity!$A$17)
    )
  ),
  ROW(),
  ""
)</f>
        <v/>
      </c>
    </row>
    <row r="3116" spans="21:21" x14ac:dyDescent="0.25">
      <c r="U3116" s="104" t="str">
        <f>IF(
  AND(
    TRIM(A3116)=TRIM(Enginuity!$A$1),
    TRIM(B3116)=TRIM(Enginuity!$A$17),
    Q3116&lt;&gt;"",
    Q3116&lt;&gt;0,
    OR(
      TRIM(C3116)=TRIM(Enginuity!$A$18),
      AND(UPPER(TRIM(M3116))="STD", TRIM(B3116)=TRIM(Enginuity!$A$17))
    ),
    OR(
      AND(LEFT(P3116,5)="1-Way", Enginuity!$B$13=1),
      AND(LEFT(P3116,5)="2-Way", OR(Enginuity!$B$13=2, Enginuity!$B$13=4)),
      AND(LEFT(P3116,5)="3-Way", OR(Enginuity!$B$13=3, Enginuity!$B$13=6)),
      AND(P3116="Inner Centre Jamb", OR(Enginuity!$B$13=4, Enginuity!$B$13=6)),
      AND(
        LEFT(P3116,5)&lt;&gt;"1-Way",
        LEFT(P3116,5)&lt;&gt;"2-Way",
        LEFT(P3116,5)&lt;&gt;"3-Way",
        P3116&lt;&gt;"Inner Centre Jamb"
      )
    ),
    IF(OR(Enginuity!$A$1="Frameless Glass",Enginuity!$A$1="Metal Work"),
      AND(TRIM(B3116)=TRIM(Enginuity!$A$17),TRIM(C3116)=TRIM(Enginuity!$A$18)),
      TRIM(B3116)=TRIM(Enginuity!$A$17)
    )
  ),
  ROW(),
  ""
)</f>
        <v/>
      </c>
    </row>
    <row r="3117" spans="21:21" x14ac:dyDescent="0.25">
      <c r="U3117" s="104" t="str">
        <f>IF(
  AND(
    TRIM(A3117)=TRIM(Enginuity!$A$1),
    TRIM(B3117)=TRIM(Enginuity!$A$17),
    Q3117&lt;&gt;"",
    Q3117&lt;&gt;0,
    OR(
      TRIM(C3117)=TRIM(Enginuity!$A$18),
      AND(UPPER(TRIM(M3117))="STD", TRIM(B3117)=TRIM(Enginuity!$A$17))
    ),
    OR(
      AND(LEFT(P3117,5)="1-Way", Enginuity!$B$13=1),
      AND(LEFT(P3117,5)="2-Way", OR(Enginuity!$B$13=2, Enginuity!$B$13=4)),
      AND(LEFT(P3117,5)="3-Way", OR(Enginuity!$B$13=3, Enginuity!$B$13=6)),
      AND(P3117="Inner Centre Jamb", OR(Enginuity!$B$13=4, Enginuity!$B$13=6)),
      AND(
        LEFT(P3117,5)&lt;&gt;"1-Way",
        LEFT(P3117,5)&lt;&gt;"2-Way",
        LEFT(P3117,5)&lt;&gt;"3-Way",
        P3117&lt;&gt;"Inner Centre Jamb"
      )
    ),
    IF(OR(Enginuity!$A$1="Frameless Glass",Enginuity!$A$1="Metal Work"),
      AND(TRIM(B3117)=TRIM(Enginuity!$A$17),TRIM(C3117)=TRIM(Enginuity!$A$18)),
      TRIM(B3117)=TRIM(Enginuity!$A$17)
    )
  ),
  ROW(),
  ""
)</f>
        <v/>
      </c>
    </row>
    <row r="3118" spans="21:21" x14ac:dyDescent="0.25">
      <c r="U3118" s="104" t="str">
        <f>IF(
  AND(
    TRIM(A3118)=TRIM(Enginuity!$A$1),
    TRIM(B3118)=TRIM(Enginuity!$A$17),
    Q3118&lt;&gt;"",
    Q3118&lt;&gt;0,
    OR(
      TRIM(C3118)=TRIM(Enginuity!$A$18),
      AND(UPPER(TRIM(M3118))="STD", TRIM(B3118)=TRIM(Enginuity!$A$17))
    ),
    OR(
      AND(LEFT(P3118,5)="1-Way", Enginuity!$B$13=1),
      AND(LEFT(P3118,5)="2-Way", OR(Enginuity!$B$13=2, Enginuity!$B$13=4)),
      AND(LEFT(P3118,5)="3-Way", OR(Enginuity!$B$13=3, Enginuity!$B$13=6)),
      AND(P3118="Inner Centre Jamb", OR(Enginuity!$B$13=4, Enginuity!$B$13=6)),
      AND(
        LEFT(P3118,5)&lt;&gt;"1-Way",
        LEFT(P3118,5)&lt;&gt;"2-Way",
        LEFT(P3118,5)&lt;&gt;"3-Way",
        P3118&lt;&gt;"Inner Centre Jamb"
      )
    ),
    IF(OR(Enginuity!$A$1="Frameless Glass",Enginuity!$A$1="Metal Work"),
      AND(TRIM(B3118)=TRIM(Enginuity!$A$17),TRIM(C3118)=TRIM(Enginuity!$A$18)),
      TRIM(B3118)=TRIM(Enginuity!$A$17)
    )
  ),
  ROW(),
  ""
)</f>
        <v/>
      </c>
    </row>
    <row r="3119" spans="21:21" x14ac:dyDescent="0.25">
      <c r="U3119" s="104" t="str">
        <f>IF(
  AND(
    TRIM(A3119)=TRIM(Enginuity!$A$1),
    TRIM(B3119)=TRIM(Enginuity!$A$17),
    Q3119&lt;&gt;"",
    Q3119&lt;&gt;0,
    OR(
      TRIM(C3119)=TRIM(Enginuity!$A$18),
      AND(UPPER(TRIM(M3119))="STD", TRIM(B3119)=TRIM(Enginuity!$A$17))
    ),
    OR(
      AND(LEFT(P3119,5)="1-Way", Enginuity!$B$13=1),
      AND(LEFT(P3119,5)="2-Way", OR(Enginuity!$B$13=2, Enginuity!$B$13=4)),
      AND(LEFT(P3119,5)="3-Way", OR(Enginuity!$B$13=3, Enginuity!$B$13=6)),
      AND(P3119="Inner Centre Jamb", OR(Enginuity!$B$13=4, Enginuity!$B$13=6)),
      AND(
        LEFT(P3119,5)&lt;&gt;"1-Way",
        LEFT(P3119,5)&lt;&gt;"2-Way",
        LEFT(P3119,5)&lt;&gt;"3-Way",
        P3119&lt;&gt;"Inner Centre Jamb"
      )
    ),
    IF(OR(Enginuity!$A$1="Frameless Glass",Enginuity!$A$1="Metal Work"),
      AND(TRIM(B3119)=TRIM(Enginuity!$A$17),TRIM(C3119)=TRIM(Enginuity!$A$18)),
      TRIM(B3119)=TRIM(Enginuity!$A$17)
    )
  ),
  ROW(),
  ""
)</f>
        <v/>
      </c>
    </row>
    <row r="3120" spans="21:21" x14ac:dyDescent="0.25">
      <c r="U3120" s="104" t="str">
        <f>IF(
  AND(
    TRIM(A3120)=TRIM(Enginuity!$A$1),
    TRIM(B3120)=TRIM(Enginuity!$A$17),
    Q3120&lt;&gt;"",
    Q3120&lt;&gt;0,
    OR(
      TRIM(C3120)=TRIM(Enginuity!$A$18),
      AND(UPPER(TRIM(M3120))="STD", TRIM(B3120)=TRIM(Enginuity!$A$17))
    ),
    OR(
      AND(LEFT(P3120,5)="1-Way", Enginuity!$B$13=1),
      AND(LEFT(P3120,5)="2-Way", OR(Enginuity!$B$13=2, Enginuity!$B$13=4)),
      AND(LEFT(P3120,5)="3-Way", OR(Enginuity!$B$13=3, Enginuity!$B$13=6)),
      AND(P3120="Inner Centre Jamb", OR(Enginuity!$B$13=4, Enginuity!$B$13=6)),
      AND(
        LEFT(P3120,5)&lt;&gt;"1-Way",
        LEFT(P3120,5)&lt;&gt;"2-Way",
        LEFT(P3120,5)&lt;&gt;"3-Way",
        P3120&lt;&gt;"Inner Centre Jamb"
      )
    ),
    IF(OR(Enginuity!$A$1="Frameless Glass",Enginuity!$A$1="Metal Work"),
      AND(TRIM(B3120)=TRIM(Enginuity!$A$17),TRIM(C3120)=TRIM(Enginuity!$A$18)),
      TRIM(B3120)=TRIM(Enginuity!$A$17)
    )
  ),
  ROW(),
  ""
)</f>
        <v/>
      </c>
    </row>
    <row r="3121" spans="21:21" x14ac:dyDescent="0.25">
      <c r="U3121" s="104" t="str">
        <f>IF(
  AND(
    TRIM(A3121)=TRIM(Enginuity!$A$1),
    TRIM(B3121)=TRIM(Enginuity!$A$17),
    Q3121&lt;&gt;"",
    Q3121&lt;&gt;0,
    OR(
      TRIM(C3121)=TRIM(Enginuity!$A$18),
      AND(UPPER(TRIM(M3121))="STD", TRIM(B3121)=TRIM(Enginuity!$A$17))
    ),
    OR(
      AND(LEFT(P3121,5)="1-Way", Enginuity!$B$13=1),
      AND(LEFT(P3121,5)="2-Way", OR(Enginuity!$B$13=2, Enginuity!$B$13=4)),
      AND(LEFT(P3121,5)="3-Way", OR(Enginuity!$B$13=3, Enginuity!$B$13=6)),
      AND(P3121="Inner Centre Jamb", OR(Enginuity!$B$13=4, Enginuity!$B$13=6)),
      AND(
        LEFT(P3121,5)&lt;&gt;"1-Way",
        LEFT(P3121,5)&lt;&gt;"2-Way",
        LEFT(P3121,5)&lt;&gt;"3-Way",
        P3121&lt;&gt;"Inner Centre Jamb"
      )
    ),
    IF(OR(Enginuity!$A$1="Frameless Glass",Enginuity!$A$1="Metal Work"),
      AND(TRIM(B3121)=TRIM(Enginuity!$A$17),TRIM(C3121)=TRIM(Enginuity!$A$18)),
      TRIM(B3121)=TRIM(Enginuity!$A$17)
    )
  ),
  ROW(),
  ""
)</f>
        <v/>
      </c>
    </row>
    <row r="3122" spans="21:21" x14ac:dyDescent="0.25">
      <c r="U3122" s="104" t="str">
        <f>IF(
  AND(
    TRIM(A3122)=TRIM(Enginuity!$A$1),
    TRIM(B3122)=TRIM(Enginuity!$A$17),
    Q3122&lt;&gt;"",
    Q3122&lt;&gt;0,
    OR(
      TRIM(C3122)=TRIM(Enginuity!$A$18),
      AND(UPPER(TRIM(M3122))="STD", TRIM(B3122)=TRIM(Enginuity!$A$17))
    ),
    OR(
      AND(LEFT(P3122,5)="1-Way", Enginuity!$B$13=1),
      AND(LEFT(P3122,5)="2-Way", OR(Enginuity!$B$13=2, Enginuity!$B$13=4)),
      AND(LEFT(P3122,5)="3-Way", OR(Enginuity!$B$13=3, Enginuity!$B$13=6)),
      AND(P3122="Inner Centre Jamb", OR(Enginuity!$B$13=4, Enginuity!$B$13=6)),
      AND(
        LEFT(P3122,5)&lt;&gt;"1-Way",
        LEFT(P3122,5)&lt;&gt;"2-Way",
        LEFT(P3122,5)&lt;&gt;"3-Way",
        P3122&lt;&gt;"Inner Centre Jamb"
      )
    ),
    IF(OR(Enginuity!$A$1="Frameless Glass",Enginuity!$A$1="Metal Work"),
      AND(TRIM(B3122)=TRIM(Enginuity!$A$17),TRIM(C3122)=TRIM(Enginuity!$A$18)),
      TRIM(B3122)=TRIM(Enginuity!$A$17)
    )
  ),
  ROW(),
  ""
)</f>
        <v/>
      </c>
    </row>
    <row r="3123" spans="21:21" x14ac:dyDescent="0.25">
      <c r="U3123" s="104" t="str">
        <f>IF(
  AND(
    TRIM(A3123)=TRIM(Enginuity!$A$1),
    TRIM(B3123)=TRIM(Enginuity!$A$17),
    Q3123&lt;&gt;"",
    Q3123&lt;&gt;0,
    OR(
      TRIM(C3123)=TRIM(Enginuity!$A$18),
      AND(UPPER(TRIM(M3123))="STD", TRIM(B3123)=TRIM(Enginuity!$A$17))
    ),
    OR(
      AND(LEFT(P3123,5)="1-Way", Enginuity!$B$13=1),
      AND(LEFT(P3123,5)="2-Way", OR(Enginuity!$B$13=2, Enginuity!$B$13=4)),
      AND(LEFT(P3123,5)="3-Way", OR(Enginuity!$B$13=3, Enginuity!$B$13=6)),
      AND(P3123="Inner Centre Jamb", OR(Enginuity!$B$13=4, Enginuity!$B$13=6)),
      AND(
        LEFT(P3123,5)&lt;&gt;"1-Way",
        LEFT(P3123,5)&lt;&gt;"2-Way",
        LEFT(P3123,5)&lt;&gt;"3-Way",
        P3123&lt;&gt;"Inner Centre Jamb"
      )
    ),
    IF(OR(Enginuity!$A$1="Frameless Glass",Enginuity!$A$1="Metal Work"),
      AND(TRIM(B3123)=TRIM(Enginuity!$A$17),TRIM(C3123)=TRIM(Enginuity!$A$18)),
      TRIM(B3123)=TRIM(Enginuity!$A$17)
    )
  ),
  ROW(),
  ""
)</f>
        <v/>
      </c>
    </row>
    <row r="3124" spans="21:21" x14ac:dyDescent="0.25">
      <c r="U3124" s="104" t="str">
        <f>IF(
  AND(
    TRIM(A3124)=TRIM(Enginuity!$A$1),
    TRIM(B3124)=TRIM(Enginuity!$A$17),
    Q3124&lt;&gt;"",
    Q3124&lt;&gt;0,
    OR(
      TRIM(C3124)=TRIM(Enginuity!$A$18),
      AND(UPPER(TRIM(M3124))="STD", TRIM(B3124)=TRIM(Enginuity!$A$17))
    ),
    OR(
      AND(LEFT(P3124,5)="1-Way", Enginuity!$B$13=1),
      AND(LEFT(P3124,5)="2-Way", OR(Enginuity!$B$13=2, Enginuity!$B$13=4)),
      AND(LEFT(P3124,5)="3-Way", OR(Enginuity!$B$13=3, Enginuity!$B$13=6)),
      AND(P3124="Inner Centre Jamb", OR(Enginuity!$B$13=4, Enginuity!$B$13=6)),
      AND(
        LEFT(P3124,5)&lt;&gt;"1-Way",
        LEFT(P3124,5)&lt;&gt;"2-Way",
        LEFT(P3124,5)&lt;&gt;"3-Way",
        P3124&lt;&gt;"Inner Centre Jamb"
      )
    ),
    IF(OR(Enginuity!$A$1="Frameless Glass",Enginuity!$A$1="Metal Work"),
      AND(TRIM(B3124)=TRIM(Enginuity!$A$17),TRIM(C3124)=TRIM(Enginuity!$A$18)),
      TRIM(B3124)=TRIM(Enginuity!$A$17)
    )
  ),
  ROW(),
  ""
)</f>
        <v/>
      </c>
    </row>
    <row r="3125" spans="21:21" x14ac:dyDescent="0.25">
      <c r="U3125" s="104" t="str">
        <f>IF(
  AND(
    TRIM(A3125)=TRIM(Enginuity!$A$1),
    TRIM(B3125)=TRIM(Enginuity!$A$17),
    Q3125&lt;&gt;"",
    Q3125&lt;&gt;0,
    OR(
      TRIM(C3125)=TRIM(Enginuity!$A$18),
      AND(UPPER(TRIM(M3125))="STD", TRIM(B3125)=TRIM(Enginuity!$A$17))
    ),
    OR(
      AND(LEFT(P3125,5)="1-Way", Enginuity!$B$13=1),
      AND(LEFT(P3125,5)="2-Way", OR(Enginuity!$B$13=2, Enginuity!$B$13=4)),
      AND(LEFT(P3125,5)="3-Way", OR(Enginuity!$B$13=3, Enginuity!$B$13=6)),
      AND(P3125="Inner Centre Jamb", OR(Enginuity!$B$13=4, Enginuity!$B$13=6)),
      AND(
        LEFT(P3125,5)&lt;&gt;"1-Way",
        LEFT(P3125,5)&lt;&gt;"2-Way",
        LEFT(P3125,5)&lt;&gt;"3-Way",
        P3125&lt;&gt;"Inner Centre Jamb"
      )
    ),
    IF(OR(Enginuity!$A$1="Frameless Glass",Enginuity!$A$1="Metal Work"),
      AND(TRIM(B3125)=TRIM(Enginuity!$A$17),TRIM(C3125)=TRIM(Enginuity!$A$18)),
      TRIM(B3125)=TRIM(Enginuity!$A$17)
    )
  ),
  ROW(),
  ""
)</f>
        <v/>
      </c>
    </row>
    <row r="3126" spans="21:21" x14ac:dyDescent="0.25">
      <c r="U3126" s="104" t="str">
        <f>IF(
  AND(
    TRIM(A3126)=TRIM(Enginuity!$A$1),
    TRIM(B3126)=TRIM(Enginuity!$A$17),
    Q3126&lt;&gt;"",
    Q3126&lt;&gt;0,
    OR(
      TRIM(C3126)=TRIM(Enginuity!$A$18),
      AND(UPPER(TRIM(M3126))="STD", TRIM(B3126)=TRIM(Enginuity!$A$17))
    ),
    OR(
      AND(LEFT(P3126,5)="1-Way", Enginuity!$B$13=1),
      AND(LEFT(P3126,5)="2-Way", OR(Enginuity!$B$13=2, Enginuity!$B$13=4)),
      AND(LEFT(P3126,5)="3-Way", OR(Enginuity!$B$13=3, Enginuity!$B$13=6)),
      AND(P3126="Inner Centre Jamb", OR(Enginuity!$B$13=4, Enginuity!$B$13=6)),
      AND(
        LEFT(P3126,5)&lt;&gt;"1-Way",
        LEFT(P3126,5)&lt;&gt;"2-Way",
        LEFT(P3126,5)&lt;&gt;"3-Way",
        P3126&lt;&gt;"Inner Centre Jamb"
      )
    ),
    IF(OR(Enginuity!$A$1="Frameless Glass",Enginuity!$A$1="Metal Work"),
      AND(TRIM(B3126)=TRIM(Enginuity!$A$17),TRIM(C3126)=TRIM(Enginuity!$A$18)),
      TRIM(B3126)=TRIM(Enginuity!$A$17)
    )
  ),
  ROW(),
  ""
)</f>
        <v/>
      </c>
    </row>
    <row r="3127" spans="21:21" x14ac:dyDescent="0.25">
      <c r="U3127" s="104" t="str">
        <f>IF(
  AND(
    TRIM(A3127)=TRIM(Enginuity!$A$1),
    TRIM(B3127)=TRIM(Enginuity!$A$17),
    Q3127&lt;&gt;"",
    Q3127&lt;&gt;0,
    OR(
      TRIM(C3127)=TRIM(Enginuity!$A$18),
      AND(UPPER(TRIM(M3127))="STD", TRIM(B3127)=TRIM(Enginuity!$A$17))
    ),
    OR(
      AND(LEFT(P3127,5)="1-Way", Enginuity!$B$13=1),
      AND(LEFT(P3127,5)="2-Way", OR(Enginuity!$B$13=2, Enginuity!$B$13=4)),
      AND(LEFT(P3127,5)="3-Way", OR(Enginuity!$B$13=3, Enginuity!$B$13=6)),
      AND(P3127="Inner Centre Jamb", OR(Enginuity!$B$13=4, Enginuity!$B$13=6)),
      AND(
        LEFT(P3127,5)&lt;&gt;"1-Way",
        LEFT(P3127,5)&lt;&gt;"2-Way",
        LEFT(P3127,5)&lt;&gt;"3-Way",
        P3127&lt;&gt;"Inner Centre Jamb"
      )
    ),
    IF(OR(Enginuity!$A$1="Frameless Glass",Enginuity!$A$1="Metal Work"),
      AND(TRIM(B3127)=TRIM(Enginuity!$A$17),TRIM(C3127)=TRIM(Enginuity!$A$18)),
      TRIM(B3127)=TRIM(Enginuity!$A$17)
    )
  ),
  ROW(),
  ""
)</f>
        <v/>
      </c>
    </row>
    <row r="3128" spans="21:21" x14ac:dyDescent="0.25">
      <c r="U3128" s="104" t="str">
        <f>IF(
  AND(
    TRIM(A3128)=TRIM(Enginuity!$A$1),
    TRIM(B3128)=TRIM(Enginuity!$A$17),
    Q3128&lt;&gt;"",
    Q3128&lt;&gt;0,
    OR(
      TRIM(C3128)=TRIM(Enginuity!$A$18),
      AND(UPPER(TRIM(M3128))="STD", TRIM(B3128)=TRIM(Enginuity!$A$17))
    ),
    OR(
      AND(LEFT(P3128,5)="1-Way", Enginuity!$B$13=1),
      AND(LEFT(P3128,5)="2-Way", OR(Enginuity!$B$13=2, Enginuity!$B$13=4)),
      AND(LEFT(P3128,5)="3-Way", OR(Enginuity!$B$13=3, Enginuity!$B$13=6)),
      AND(P3128="Inner Centre Jamb", OR(Enginuity!$B$13=4, Enginuity!$B$13=6)),
      AND(
        LEFT(P3128,5)&lt;&gt;"1-Way",
        LEFT(P3128,5)&lt;&gt;"2-Way",
        LEFT(P3128,5)&lt;&gt;"3-Way",
        P3128&lt;&gt;"Inner Centre Jamb"
      )
    ),
    IF(OR(Enginuity!$A$1="Frameless Glass",Enginuity!$A$1="Metal Work"),
      AND(TRIM(B3128)=TRIM(Enginuity!$A$17),TRIM(C3128)=TRIM(Enginuity!$A$18)),
      TRIM(B3128)=TRIM(Enginuity!$A$17)
    )
  ),
  ROW(),
  ""
)</f>
        <v/>
      </c>
    </row>
    <row r="3129" spans="21:21" x14ac:dyDescent="0.25">
      <c r="U3129" s="104" t="str">
        <f>IF(
  AND(
    TRIM(A3129)=TRIM(Enginuity!$A$1),
    TRIM(B3129)=TRIM(Enginuity!$A$17),
    Q3129&lt;&gt;"",
    Q3129&lt;&gt;0,
    OR(
      TRIM(C3129)=TRIM(Enginuity!$A$18),
      AND(UPPER(TRIM(M3129))="STD", TRIM(B3129)=TRIM(Enginuity!$A$17))
    ),
    OR(
      AND(LEFT(P3129,5)="1-Way", Enginuity!$B$13=1),
      AND(LEFT(P3129,5)="2-Way", OR(Enginuity!$B$13=2, Enginuity!$B$13=4)),
      AND(LEFT(P3129,5)="3-Way", OR(Enginuity!$B$13=3, Enginuity!$B$13=6)),
      AND(P3129="Inner Centre Jamb", OR(Enginuity!$B$13=4, Enginuity!$B$13=6)),
      AND(
        LEFT(P3129,5)&lt;&gt;"1-Way",
        LEFT(P3129,5)&lt;&gt;"2-Way",
        LEFT(P3129,5)&lt;&gt;"3-Way",
        P3129&lt;&gt;"Inner Centre Jamb"
      )
    ),
    IF(OR(Enginuity!$A$1="Frameless Glass",Enginuity!$A$1="Metal Work"),
      AND(TRIM(B3129)=TRIM(Enginuity!$A$17),TRIM(C3129)=TRIM(Enginuity!$A$18)),
      TRIM(B3129)=TRIM(Enginuity!$A$17)
    )
  ),
  ROW(),
  ""
)</f>
        <v/>
      </c>
    </row>
    <row r="3130" spans="21:21" x14ac:dyDescent="0.25">
      <c r="U3130" s="104" t="str">
        <f>IF(
  AND(
    TRIM(A3130)=TRIM(Enginuity!$A$1),
    TRIM(B3130)=TRIM(Enginuity!$A$17),
    Q3130&lt;&gt;"",
    Q3130&lt;&gt;0,
    OR(
      TRIM(C3130)=TRIM(Enginuity!$A$18),
      AND(UPPER(TRIM(M3130))="STD", TRIM(B3130)=TRIM(Enginuity!$A$17))
    ),
    OR(
      AND(LEFT(P3130,5)="1-Way", Enginuity!$B$13=1),
      AND(LEFT(P3130,5)="2-Way", OR(Enginuity!$B$13=2, Enginuity!$B$13=4)),
      AND(LEFT(P3130,5)="3-Way", OR(Enginuity!$B$13=3, Enginuity!$B$13=6)),
      AND(P3130="Inner Centre Jamb", OR(Enginuity!$B$13=4, Enginuity!$B$13=6)),
      AND(
        LEFT(P3130,5)&lt;&gt;"1-Way",
        LEFT(P3130,5)&lt;&gt;"2-Way",
        LEFT(P3130,5)&lt;&gt;"3-Way",
        P3130&lt;&gt;"Inner Centre Jamb"
      )
    ),
    IF(OR(Enginuity!$A$1="Frameless Glass",Enginuity!$A$1="Metal Work"),
      AND(TRIM(B3130)=TRIM(Enginuity!$A$17),TRIM(C3130)=TRIM(Enginuity!$A$18)),
      TRIM(B3130)=TRIM(Enginuity!$A$17)
    )
  ),
  ROW(),
  ""
)</f>
        <v/>
      </c>
    </row>
    <row r="3131" spans="21:21" x14ac:dyDescent="0.25">
      <c r="U3131" s="104" t="str">
        <f>IF(
  AND(
    TRIM(A3131)=TRIM(Enginuity!$A$1),
    TRIM(B3131)=TRIM(Enginuity!$A$17),
    Q3131&lt;&gt;"",
    Q3131&lt;&gt;0,
    OR(
      TRIM(C3131)=TRIM(Enginuity!$A$18),
      AND(UPPER(TRIM(M3131))="STD", TRIM(B3131)=TRIM(Enginuity!$A$17))
    ),
    OR(
      AND(LEFT(P3131,5)="1-Way", Enginuity!$B$13=1),
      AND(LEFT(P3131,5)="2-Way", OR(Enginuity!$B$13=2, Enginuity!$B$13=4)),
      AND(LEFT(P3131,5)="3-Way", OR(Enginuity!$B$13=3, Enginuity!$B$13=6)),
      AND(P3131="Inner Centre Jamb", OR(Enginuity!$B$13=4, Enginuity!$B$13=6)),
      AND(
        LEFT(P3131,5)&lt;&gt;"1-Way",
        LEFT(P3131,5)&lt;&gt;"2-Way",
        LEFT(P3131,5)&lt;&gt;"3-Way",
        P3131&lt;&gt;"Inner Centre Jamb"
      )
    ),
    IF(OR(Enginuity!$A$1="Frameless Glass",Enginuity!$A$1="Metal Work"),
      AND(TRIM(B3131)=TRIM(Enginuity!$A$17),TRIM(C3131)=TRIM(Enginuity!$A$18)),
      TRIM(B3131)=TRIM(Enginuity!$A$17)
    )
  ),
  ROW(),
  ""
)</f>
        <v/>
      </c>
    </row>
    <row r="3132" spans="21:21" x14ac:dyDescent="0.25">
      <c r="U3132" s="104" t="str">
        <f>IF(
  AND(
    TRIM(A3132)=TRIM(Enginuity!$A$1),
    TRIM(B3132)=TRIM(Enginuity!$A$17),
    Q3132&lt;&gt;"",
    Q3132&lt;&gt;0,
    OR(
      TRIM(C3132)=TRIM(Enginuity!$A$18),
      AND(UPPER(TRIM(M3132))="STD", TRIM(B3132)=TRIM(Enginuity!$A$17))
    ),
    OR(
      AND(LEFT(P3132,5)="1-Way", Enginuity!$B$13=1),
      AND(LEFT(P3132,5)="2-Way", OR(Enginuity!$B$13=2, Enginuity!$B$13=4)),
      AND(LEFT(P3132,5)="3-Way", OR(Enginuity!$B$13=3, Enginuity!$B$13=6)),
      AND(P3132="Inner Centre Jamb", OR(Enginuity!$B$13=4, Enginuity!$B$13=6)),
      AND(
        LEFT(P3132,5)&lt;&gt;"1-Way",
        LEFT(P3132,5)&lt;&gt;"2-Way",
        LEFT(P3132,5)&lt;&gt;"3-Way",
        P3132&lt;&gt;"Inner Centre Jamb"
      )
    ),
    IF(OR(Enginuity!$A$1="Frameless Glass",Enginuity!$A$1="Metal Work"),
      AND(TRIM(B3132)=TRIM(Enginuity!$A$17),TRIM(C3132)=TRIM(Enginuity!$A$18)),
      TRIM(B3132)=TRIM(Enginuity!$A$17)
    )
  ),
  ROW(),
  ""
)</f>
        <v/>
      </c>
    </row>
    <row r="3133" spans="21:21" x14ac:dyDescent="0.25">
      <c r="U3133" s="104" t="str">
        <f>IF(
  AND(
    TRIM(A3133)=TRIM(Enginuity!$A$1),
    TRIM(B3133)=TRIM(Enginuity!$A$17),
    Q3133&lt;&gt;"",
    Q3133&lt;&gt;0,
    OR(
      TRIM(C3133)=TRIM(Enginuity!$A$18),
      AND(UPPER(TRIM(M3133))="STD", TRIM(B3133)=TRIM(Enginuity!$A$17))
    ),
    OR(
      AND(LEFT(P3133,5)="1-Way", Enginuity!$B$13=1),
      AND(LEFT(P3133,5)="2-Way", OR(Enginuity!$B$13=2, Enginuity!$B$13=4)),
      AND(LEFT(P3133,5)="3-Way", OR(Enginuity!$B$13=3, Enginuity!$B$13=6)),
      AND(P3133="Inner Centre Jamb", OR(Enginuity!$B$13=4, Enginuity!$B$13=6)),
      AND(
        LEFT(P3133,5)&lt;&gt;"1-Way",
        LEFT(P3133,5)&lt;&gt;"2-Way",
        LEFT(P3133,5)&lt;&gt;"3-Way",
        P3133&lt;&gt;"Inner Centre Jamb"
      )
    ),
    IF(OR(Enginuity!$A$1="Frameless Glass",Enginuity!$A$1="Metal Work"),
      AND(TRIM(B3133)=TRIM(Enginuity!$A$17),TRIM(C3133)=TRIM(Enginuity!$A$18)),
      TRIM(B3133)=TRIM(Enginuity!$A$17)
    )
  ),
  ROW(),
  ""
)</f>
        <v/>
      </c>
    </row>
    <row r="3134" spans="21:21" x14ac:dyDescent="0.25">
      <c r="U3134" s="104" t="str">
        <f>IF(
  AND(
    TRIM(A3134)=TRIM(Enginuity!$A$1),
    TRIM(B3134)=TRIM(Enginuity!$A$17),
    Q3134&lt;&gt;"",
    Q3134&lt;&gt;0,
    OR(
      TRIM(C3134)=TRIM(Enginuity!$A$18),
      AND(UPPER(TRIM(M3134))="STD", TRIM(B3134)=TRIM(Enginuity!$A$17))
    ),
    OR(
      AND(LEFT(P3134,5)="1-Way", Enginuity!$B$13=1),
      AND(LEFT(P3134,5)="2-Way", OR(Enginuity!$B$13=2, Enginuity!$B$13=4)),
      AND(LEFT(P3134,5)="3-Way", OR(Enginuity!$B$13=3, Enginuity!$B$13=6)),
      AND(P3134="Inner Centre Jamb", OR(Enginuity!$B$13=4, Enginuity!$B$13=6)),
      AND(
        LEFT(P3134,5)&lt;&gt;"1-Way",
        LEFT(P3134,5)&lt;&gt;"2-Way",
        LEFT(P3134,5)&lt;&gt;"3-Way",
        P3134&lt;&gt;"Inner Centre Jamb"
      )
    ),
    IF(OR(Enginuity!$A$1="Frameless Glass",Enginuity!$A$1="Metal Work"),
      AND(TRIM(B3134)=TRIM(Enginuity!$A$17),TRIM(C3134)=TRIM(Enginuity!$A$18)),
      TRIM(B3134)=TRIM(Enginuity!$A$17)
    )
  ),
  ROW(),
  ""
)</f>
        <v/>
      </c>
    </row>
    <row r="3135" spans="21:21" x14ac:dyDescent="0.25">
      <c r="U3135" s="104" t="str">
        <f>IF(
  AND(
    TRIM(A3135)=TRIM(Enginuity!$A$1),
    TRIM(B3135)=TRIM(Enginuity!$A$17),
    Q3135&lt;&gt;"",
    Q3135&lt;&gt;0,
    OR(
      TRIM(C3135)=TRIM(Enginuity!$A$18),
      AND(UPPER(TRIM(M3135))="STD", TRIM(B3135)=TRIM(Enginuity!$A$17))
    ),
    OR(
      AND(LEFT(P3135,5)="1-Way", Enginuity!$B$13=1),
      AND(LEFT(P3135,5)="2-Way", OR(Enginuity!$B$13=2, Enginuity!$B$13=4)),
      AND(LEFT(P3135,5)="3-Way", OR(Enginuity!$B$13=3, Enginuity!$B$13=6)),
      AND(P3135="Inner Centre Jamb", OR(Enginuity!$B$13=4, Enginuity!$B$13=6)),
      AND(
        LEFT(P3135,5)&lt;&gt;"1-Way",
        LEFT(P3135,5)&lt;&gt;"2-Way",
        LEFT(P3135,5)&lt;&gt;"3-Way",
        P3135&lt;&gt;"Inner Centre Jamb"
      )
    ),
    IF(OR(Enginuity!$A$1="Frameless Glass",Enginuity!$A$1="Metal Work"),
      AND(TRIM(B3135)=TRIM(Enginuity!$A$17),TRIM(C3135)=TRIM(Enginuity!$A$18)),
      TRIM(B3135)=TRIM(Enginuity!$A$17)
    )
  ),
  ROW(),
  ""
)</f>
        <v/>
      </c>
    </row>
    <row r="3136" spans="21:21" x14ac:dyDescent="0.25">
      <c r="U3136" s="104" t="str">
        <f>IF(
  AND(
    TRIM(A3136)=TRIM(Enginuity!$A$1),
    TRIM(B3136)=TRIM(Enginuity!$A$17),
    Q3136&lt;&gt;"",
    Q3136&lt;&gt;0,
    OR(
      TRIM(C3136)=TRIM(Enginuity!$A$18),
      AND(UPPER(TRIM(M3136))="STD", TRIM(B3136)=TRIM(Enginuity!$A$17))
    ),
    OR(
      AND(LEFT(P3136,5)="1-Way", Enginuity!$B$13=1),
      AND(LEFT(P3136,5)="2-Way", OR(Enginuity!$B$13=2, Enginuity!$B$13=4)),
      AND(LEFT(P3136,5)="3-Way", OR(Enginuity!$B$13=3, Enginuity!$B$13=6)),
      AND(P3136="Inner Centre Jamb", OR(Enginuity!$B$13=4, Enginuity!$B$13=6)),
      AND(
        LEFT(P3136,5)&lt;&gt;"1-Way",
        LEFT(P3136,5)&lt;&gt;"2-Way",
        LEFT(P3136,5)&lt;&gt;"3-Way",
        P3136&lt;&gt;"Inner Centre Jamb"
      )
    ),
    IF(OR(Enginuity!$A$1="Frameless Glass",Enginuity!$A$1="Metal Work"),
      AND(TRIM(B3136)=TRIM(Enginuity!$A$17),TRIM(C3136)=TRIM(Enginuity!$A$18)),
      TRIM(B3136)=TRIM(Enginuity!$A$17)
    )
  ),
  ROW(),
  ""
)</f>
        <v/>
      </c>
    </row>
    <row r="3137" spans="21:21" x14ac:dyDescent="0.25">
      <c r="U3137" s="104" t="str">
        <f>IF(
  AND(
    TRIM(A3137)=TRIM(Enginuity!$A$1),
    TRIM(B3137)=TRIM(Enginuity!$A$17),
    Q3137&lt;&gt;"",
    Q3137&lt;&gt;0,
    OR(
      TRIM(C3137)=TRIM(Enginuity!$A$18),
      AND(UPPER(TRIM(M3137))="STD", TRIM(B3137)=TRIM(Enginuity!$A$17))
    ),
    OR(
      AND(LEFT(P3137,5)="1-Way", Enginuity!$B$13=1),
      AND(LEFT(P3137,5)="2-Way", OR(Enginuity!$B$13=2, Enginuity!$B$13=4)),
      AND(LEFT(P3137,5)="3-Way", OR(Enginuity!$B$13=3, Enginuity!$B$13=6)),
      AND(P3137="Inner Centre Jamb", OR(Enginuity!$B$13=4, Enginuity!$B$13=6)),
      AND(
        LEFT(P3137,5)&lt;&gt;"1-Way",
        LEFT(P3137,5)&lt;&gt;"2-Way",
        LEFT(P3137,5)&lt;&gt;"3-Way",
        P3137&lt;&gt;"Inner Centre Jamb"
      )
    ),
    IF(OR(Enginuity!$A$1="Frameless Glass",Enginuity!$A$1="Metal Work"),
      AND(TRIM(B3137)=TRIM(Enginuity!$A$17),TRIM(C3137)=TRIM(Enginuity!$A$18)),
      TRIM(B3137)=TRIM(Enginuity!$A$17)
    )
  ),
  ROW(),
  ""
)</f>
        <v/>
      </c>
    </row>
    <row r="3138" spans="21:21" x14ac:dyDescent="0.25">
      <c r="U3138" s="104" t="str">
        <f>IF(
  AND(
    TRIM(A3138)=TRIM(Enginuity!$A$1),
    TRIM(B3138)=TRIM(Enginuity!$A$17),
    Q3138&lt;&gt;"",
    Q3138&lt;&gt;0,
    OR(
      TRIM(C3138)=TRIM(Enginuity!$A$18),
      AND(UPPER(TRIM(M3138))="STD", TRIM(B3138)=TRIM(Enginuity!$A$17))
    ),
    OR(
      AND(LEFT(P3138,5)="1-Way", Enginuity!$B$13=1),
      AND(LEFT(P3138,5)="2-Way", OR(Enginuity!$B$13=2, Enginuity!$B$13=4)),
      AND(LEFT(P3138,5)="3-Way", OR(Enginuity!$B$13=3, Enginuity!$B$13=6)),
      AND(P3138="Inner Centre Jamb", OR(Enginuity!$B$13=4, Enginuity!$B$13=6)),
      AND(
        LEFT(P3138,5)&lt;&gt;"1-Way",
        LEFT(P3138,5)&lt;&gt;"2-Way",
        LEFT(P3138,5)&lt;&gt;"3-Way",
        P3138&lt;&gt;"Inner Centre Jamb"
      )
    ),
    IF(OR(Enginuity!$A$1="Frameless Glass",Enginuity!$A$1="Metal Work"),
      AND(TRIM(B3138)=TRIM(Enginuity!$A$17),TRIM(C3138)=TRIM(Enginuity!$A$18)),
      TRIM(B3138)=TRIM(Enginuity!$A$17)
    )
  ),
  ROW(),
  ""
)</f>
        <v/>
      </c>
    </row>
    <row r="3139" spans="21:21" x14ac:dyDescent="0.25">
      <c r="U3139" s="104" t="str">
        <f>IF(
  AND(
    TRIM(A3139)=TRIM(Enginuity!$A$1),
    TRIM(B3139)=TRIM(Enginuity!$A$17),
    Q3139&lt;&gt;"",
    Q3139&lt;&gt;0,
    OR(
      TRIM(C3139)=TRIM(Enginuity!$A$18),
      AND(UPPER(TRIM(M3139))="STD", TRIM(B3139)=TRIM(Enginuity!$A$17))
    ),
    OR(
      AND(LEFT(P3139,5)="1-Way", Enginuity!$B$13=1),
      AND(LEFT(P3139,5)="2-Way", OR(Enginuity!$B$13=2, Enginuity!$B$13=4)),
      AND(LEFT(P3139,5)="3-Way", OR(Enginuity!$B$13=3, Enginuity!$B$13=6)),
      AND(P3139="Inner Centre Jamb", OR(Enginuity!$B$13=4, Enginuity!$B$13=6)),
      AND(
        LEFT(P3139,5)&lt;&gt;"1-Way",
        LEFT(P3139,5)&lt;&gt;"2-Way",
        LEFT(P3139,5)&lt;&gt;"3-Way",
        P3139&lt;&gt;"Inner Centre Jamb"
      )
    ),
    IF(OR(Enginuity!$A$1="Frameless Glass",Enginuity!$A$1="Metal Work"),
      AND(TRIM(B3139)=TRIM(Enginuity!$A$17),TRIM(C3139)=TRIM(Enginuity!$A$18)),
      TRIM(B3139)=TRIM(Enginuity!$A$17)
    )
  ),
  ROW(),
  ""
)</f>
        <v/>
      </c>
    </row>
    <row r="3140" spans="21:21" x14ac:dyDescent="0.25">
      <c r="U3140" s="104" t="str">
        <f>IF(
  AND(
    TRIM(A3140)=TRIM(Enginuity!$A$1),
    TRIM(B3140)=TRIM(Enginuity!$A$17),
    Q3140&lt;&gt;"",
    Q3140&lt;&gt;0,
    OR(
      TRIM(C3140)=TRIM(Enginuity!$A$18),
      AND(UPPER(TRIM(M3140))="STD", TRIM(B3140)=TRIM(Enginuity!$A$17))
    ),
    OR(
      AND(LEFT(P3140,5)="1-Way", Enginuity!$B$13=1),
      AND(LEFT(P3140,5)="2-Way", OR(Enginuity!$B$13=2, Enginuity!$B$13=4)),
      AND(LEFT(P3140,5)="3-Way", OR(Enginuity!$B$13=3, Enginuity!$B$13=6)),
      AND(P3140="Inner Centre Jamb", OR(Enginuity!$B$13=4, Enginuity!$B$13=6)),
      AND(
        LEFT(P3140,5)&lt;&gt;"1-Way",
        LEFT(P3140,5)&lt;&gt;"2-Way",
        LEFT(P3140,5)&lt;&gt;"3-Way",
        P3140&lt;&gt;"Inner Centre Jamb"
      )
    ),
    IF(OR(Enginuity!$A$1="Frameless Glass",Enginuity!$A$1="Metal Work"),
      AND(TRIM(B3140)=TRIM(Enginuity!$A$17),TRIM(C3140)=TRIM(Enginuity!$A$18)),
      TRIM(B3140)=TRIM(Enginuity!$A$17)
    )
  ),
  ROW(),
  ""
)</f>
        <v/>
      </c>
    </row>
    <row r="3141" spans="21:21" x14ac:dyDescent="0.25">
      <c r="U3141" s="104" t="str">
        <f>IF(
  AND(
    TRIM(A3141)=TRIM(Enginuity!$A$1),
    TRIM(B3141)=TRIM(Enginuity!$A$17),
    Q3141&lt;&gt;"",
    Q3141&lt;&gt;0,
    OR(
      TRIM(C3141)=TRIM(Enginuity!$A$18),
      AND(UPPER(TRIM(M3141))="STD", TRIM(B3141)=TRIM(Enginuity!$A$17))
    ),
    OR(
      AND(LEFT(P3141,5)="1-Way", Enginuity!$B$13=1),
      AND(LEFT(P3141,5)="2-Way", OR(Enginuity!$B$13=2, Enginuity!$B$13=4)),
      AND(LEFT(P3141,5)="3-Way", OR(Enginuity!$B$13=3, Enginuity!$B$13=6)),
      AND(P3141="Inner Centre Jamb", OR(Enginuity!$B$13=4, Enginuity!$B$13=6)),
      AND(
        LEFT(P3141,5)&lt;&gt;"1-Way",
        LEFT(P3141,5)&lt;&gt;"2-Way",
        LEFT(P3141,5)&lt;&gt;"3-Way",
        P3141&lt;&gt;"Inner Centre Jamb"
      )
    ),
    IF(OR(Enginuity!$A$1="Frameless Glass",Enginuity!$A$1="Metal Work"),
      AND(TRIM(B3141)=TRIM(Enginuity!$A$17),TRIM(C3141)=TRIM(Enginuity!$A$18)),
      TRIM(B3141)=TRIM(Enginuity!$A$17)
    )
  ),
  ROW(),
  ""
)</f>
        <v/>
      </c>
    </row>
    <row r="3142" spans="21:21" x14ac:dyDescent="0.25">
      <c r="U3142" s="104" t="str">
        <f>IF(
  AND(
    TRIM(A3142)=TRIM(Enginuity!$A$1),
    TRIM(B3142)=TRIM(Enginuity!$A$17),
    Q3142&lt;&gt;"",
    Q3142&lt;&gt;0,
    OR(
      TRIM(C3142)=TRIM(Enginuity!$A$18),
      AND(UPPER(TRIM(M3142))="STD", TRIM(B3142)=TRIM(Enginuity!$A$17))
    ),
    OR(
      AND(LEFT(P3142,5)="1-Way", Enginuity!$B$13=1),
      AND(LEFT(P3142,5)="2-Way", OR(Enginuity!$B$13=2, Enginuity!$B$13=4)),
      AND(LEFT(P3142,5)="3-Way", OR(Enginuity!$B$13=3, Enginuity!$B$13=6)),
      AND(P3142="Inner Centre Jamb", OR(Enginuity!$B$13=4, Enginuity!$B$13=6)),
      AND(
        LEFT(P3142,5)&lt;&gt;"1-Way",
        LEFT(P3142,5)&lt;&gt;"2-Way",
        LEFT(P3142,5)&lt;&gt;"3-Way",
        P3142&lt;&gt;"Inner Centre Jamb"
      )
    ),
    IF(OR(Enginuity!$A$1="Frameless Glass",Enginuity!$A$1="Metal Work"),
      AND(TRIM(B3142)=TRIM(Enginuity!$A$17),TRIM(C3142)=TRIM(Enginuity!$A$18)),
      TRIM(B3142)=TRIM(Enginuity!$A$17)
    )
  ),
  ROW(),
  ""
)</f>
        <v/>
      </c>
    </row>
    <row r="3143" spans="21:21" x14ac:dyDescent="0.25">
      <c r="U3143" s="104" t="str">
        <f>IF(
  AND(
    TRIM(A3143)=TRIM(Enginuity!$A$1),
    TRIM(B3143)=TRIM(Enginuity!$A$17),
    Q3143&lt;&gt;"",
    Q3143&lt;&gt;0,
    OR(
      TRIM(C3143)=TRIM(Enginuity!$A$18),
      AND(UPPER(TRIM(M3143))="STD", TRIM(B3143)=TRIM(Enginuity!$A$17))
    ),
    OR(
      AND(LEFT(P3143,5)="1-Way", Enginuity!$B$13=1),
      AND(LEFT(P3143,5)="2-Way", OR(Enginuity!$B$13=2, Enginuity!$B$13=4)),
      AND(LEFT(P3143,5)="3-Way", OR(Enginuity!$B$13=3, Enginuity!$B$13=6)),
      AND(P3143="Inner Centre Jamb", OR(Enginuity!$B$13=4, Enginuity!$B$13=6)),
      AND(
        LEFT(P3143,5)&lt;&gt;"1-Way",
        LEFT(P3143,5)&lt;&gt;"2-Way",
        LEFT(P3143,5)&lt;&gt;"3-Way",
        P3143&lt;&gt;"Inner Centre Jamb"
      )
    ),
    IF(OR(Enginuity!$A$1="Frameless Glass",Enginuity!$A$1="Metal Work"),
      AND(TRIM(B3143)=TRIM(Enginuity!$A$17),TRIM(C3143)=TRIM(Enginuity!$A$18)),
      TRIM(B3143)=TRIM(Enginuity!$A$17)
    )
  ),
  ROW(),
  ""
)</f>
        <v/>
      </c>
    </row>
    <row r="3144" spans="21:21" x14ac:dyDescent="0.25">
      <c r="U3144" s="104" t="str">
        <f>IF(
  AND(
    TRIM(A3144)=TRIM(Enginuity!$A$1),
    TRIM(B3144)=TRIM(Enginuity!$A$17),
    Q3144&lt;&gt;"",
    Q3144&lt;&gt;0,
    OR(
      TRIM(C3144)=TRIM(Enginuity!$A$18),
      AND(UPPER(TRIM(M3144))="STD", TRIM(B3144)=TRIM(Enginuity!$A$17))
    ),
    OR(
      AND(LEFT(P3144,5)="1-Way", Enginuity!$B$13=1),
      AND(LEFT(P3144,5)="2-Way", OR(Enginuity!$B$13=2, Enginuity!$B$13=4)),
      AND(LEFT(P3144,5)="3-Way", OR(Enginuity!$B$13=3, Enginuity!$B$13=6)),
      AND(P3144="Inner Centre Jamb", OR(Enginuity!$B$13=4, Enginuity!$B$13=6)),
      AND(
        LEFT(P3144,5)&lt;&gt;"1-Way",
        LEFT(P3144,5)&lt;&gt;"2-Way",
        LEFT(P3144,5)&lt;&gt;"3-Way",
        P3144&lt;&gt;"Inner Centre Jamb"
      )
    ),
    IF(OR(Enginuity!$A$1="Frameless Glass",Enginuity!$A$1="Metal Work"),
      AND(TRIM(B3144)=TRIM(Enginuity!$A$17),TRIM(C3144)=TRIM(Enginuity!$A$18)),
      TRIM(B3144)=TRIM(Enginuity!$A$17)
    )
  ),
  ROW(),
  ""
)</f>
        <v/>
      </c>
    </row>
    <row r="3145" spans="21:21" x14ac:dyDescent="0.25">
      <c r="U3145" s="104" t="str">
        <f>IF(
  AND(
    TRIM(A3145)=TRIM(Enginuity!$A$1),
    TRIM(B3145)=TRIM(Enginuity!$A$17),
    Q3145&lt;&gt;"",
    Q3145&lt;&gt;0,
    OR(
      TRIM(C3145)=TRIM(Enginuity!$A$18),
      AND(UPPER(TRIM(M3145))="STD", TRIM(B3145)=TRIM(Enginuity!$A$17))
    ),
    OR(
      AND(LEFT(P3145,5)="1-Way", Enginuity!$B$13=1),
      AND(LEFT(P3145,5)="2-Way", OR(Enginuity!$B$13=2, Enginuity!$B$13=4)),
      AND(LEFT(P3145,5)="3-Way", OR(Enginuity!$B$13=3, Enginuity!$B$13=6)),
      AND(P3145="Inner Centre Jamb", OR(Enginuity!$B$13=4, Enginuity!$B$13=6)),
      AND(
        LEFT(P3145,5)&lt;&gt;"1-Way",
        LEFT(P3145,5)&lt;&gt;"2-Way",
        LEFT(P3145,5)&lt;&gt;"3-Way",
        P3145&lt;&gt;"Inner Centre Jamb"
      )
    ),
    IF(OR(Enginuity!$A$1="Frameless Glass",Enginuity!$A$1="Metal Work"),
      AND(TRIM(B3145)=TRIM(Enginuity!$A$17),TRIM(C3145)=TRIM(Enginuity!$A$18)),
      TRIM(B3145)=TRIM(Enginuity!$A$17)
    )
  ),
  ROW(),
  ""
)</f>
        <v/>
      </c>
    </row>
    <row r="3146" spans="21:21" x14ac:dyDescent="0.25">
      <c r="U3146" s="104" t="str">
        <f>IF(
  AND(
    TRIM(A3146)=TRIM(Enginuity!$A$1),
    TRIM(B3146)=TRIM(Enginuity!$A$17),
    Q3146&lt;&gt;"",
    Q3146&lt;&gt;0,
    OR(
      TRIM(C3146)=TRIM(Enginuity!$A$18),
      AND(UPPER(TRIM(M3146))="STD", TRIM(B3146)=TRIM(Enginuity!$A$17))
    ),
    OR(
      AND(LEFT(P3146,5)="1-Way", Enginuity!$B$13=1),
      AND(LEFT(P3146,5)="2-Way", OR(Enginuity!$B$13=2, Enginuity!$B$13=4)),
      AND(LEFT(P3146,5)="3-Way", OR(Enginuity!$B$13=3, Enginuity!$B$13=6)),
      AND(P3146="Inner Centre Jamb", OR(Enginuity!$B$13=4, Enginuity!$B$13=6)),
      AND(
        LEFT(P3146,5)&lt;&gt;"1-Way",
        LEFT(P3146,5)&lt;&gt;"2-Way",
        LEFT(P3146,5)&lt;&gt;"3-Way",
        P3146&lt;&gt;"Inner Centre Jamb"
      )
    ),
    IF(OR(Enginuity!$A$1="Frameless Glass",Enginuity!$A$1="Metal Work"),
      AND(TRIM(B3146)=TRIM(Enginuity!$A$17),TRIM(C3146)=TRIM(Enginuity!$A$18)),
      TRIM(B3146)=TRIM(Enginuity!$A$17)
    )
  ),
  ROW(),
  ""
)</f>
        <v/>
      </c>
    </row>
    <row r="3147" spans="21:21" x14ac:dyDescent="0.25">
      <c r="U3147" s="104" t="str">
        <f>IF(
  AND(
    TRIM(A3147)=TRIM(Enginuity!$A$1),
    TRIM(B3147)=TRIM(Enginuity!$A$17),
    Q3147&lt;&gt;"",
    Q3147&lt;&gt;0,
    OR(
      TRIM(C3147)=TRIM(Enginuity!$A$18),
      AND(UPPER(TRIM(M3147))="STD", TRIM(B3147)=TRIM(Enginuity!$A$17))
    ),
    OR(
      AND(LEFT(P3147,5)="1-Way", Enginuity!$B$13=1),
      AND(LEFT(P3147,5)="2-Way", OR(Enginuity!$B$13=2, Enginuity!$B$13=4)),
      AND(LEFT(P3147,5)="3-Way", OR(Enginuity!$B$13=3, Enginuity!$B$13=6)),
      AND(P3147="Inner Centre Jamb", OR(Enginuity!$B$13=4, Enginuity!$B$13=6)),
      AND(
        LEFT(P3147,5)&lt;&gt;"1-Way",
        LEFT(P3147,5)&lt;&gt;"2-Way",
        LEFT(P3147,5)&lt;&gt;"3-Way",
        P3147&lt;&gt;"Inner Centre Jamb"
      )
    ),
    IF(OR(Enginuity!$A$1="Frameless Glass",Enginuity!$A$1="Metal Work"),
      AND(TRIM(B3147)=TRIM(Enginuity!$A$17),TRIM(C3147)=TRIM(Enginuity!$A$18)),
      TRIM(B3147)=TRIM(Enginuity!$A$17)
    )
  ),
  ROW(),
  ""
)</f>
        <v/>
      </c>
    </row>
    <row r="3148" spans="21:21" x14ac:dyDescent="0.25">
      <c r="U3148" s="104" t="str">
        <f>IF(
  AND(
    TRIM(A3148)=TRIM(Enginuity!$A$1),
    TRIM(B3148)=TRIM(Enginuity!$A$17),
    Q3148&lt;&gt;"",
    Q3148&lt;&gt;0,
    OR(
      TRIM(C3148)=TRIM(Enginuity!$A$18),
      AND(UPPER(TRIM(M3148))="STD", TRIM(B3148)=TRIM(Enginuity!$A$17))
    ),
    OR(
      AND(LEFT(P3148,5)="1-Way", Enginuity!$B$13=1),
      AND(LEFT(P3148,5)="2-Way", OR(Enginuity!$B$13=2, Enginuity!$B$13=4)),
      AND(LEFT(P3148,5)="3-Way", OR(Enginuity!$B$13=3, Enginuity!$B$13=6)),
      AND(P3148="Inner Centre Jamb", OR(Enginuity!$B$13=4, Enginuity!$B$13=6)),
      AND(
        LEFT(P3148,5)&lt;&gt;"1-Way",
        LEFT(P3148,5)&lt;&gt;"2-Way",
        LEFT(P3148,5)&lt;&gt;"3-Way",
        P3148&lt;&gt;"Inner Centre Jamb"
      )
    ),
    IF(OR(Enginuity!$A$1="Frameless Glass",Enginuity!$A$1="Metal Work"),
      AND(TRIM(B3148)=TRIM(Enginuity!$A$17),TRIM(C3148)=TRIM(Enginuity!$A$18)),
      TRIM(B3148)=TRIM(Enginuity!$A$17)
    )
  ),
  ROW(),
  ""
)</f>
        <v/>
      </c>
    </row>
    <row r="3149" spans="21:21" x14ac:dyDescent="0.25">
      <c r="U3149" s="104" t="str">
        <f>IF(
  AND(
    TRIM(A3149)=TRIM(Enginuity!$A$1),
    TRIM(B3149)=TRIM(Enginuity!$A$17),
    Q3149&lt;&gt;"",
    Q3149&lt;&gt;0,
    OR(
      TRIM(C3149)=TRIM(Enginuity!$A$18),
      AND(UPPER(TRIM(M3149))="STD", TRIM(B3149)=TRIM(Enginuity!$A$17))
    ),
    OR(
      AND(LEFT(P3149,5)="1-Way", Enginuity!$B$13=1),
      AND(LEFT(P3149,5)="2-Way", OR(Enginuity!$B$13=2, Enginuity!$B$13=4)),
      AND(LEFT(P3149,5)="3-Way", OR(Enginuity!$B$13=3, Enginuity!$B$13=6)),
      AND(P3149="Inner Centre Jamb", OR(Enginuity!$B$13=4, Enginuity!$B$13=6)),
      AND(
        LEFT(P3149,5)&lt;&gt;"1-Way",
        LEFT(P3149,5)&lt;&gt;"2-Way",
        LEFT(P3149,5)&lt;&gt;"3-Way",
        P3149&lt;&gt;"Inner Centre Jamb"
      )
    ),
    IF(OR(Enginuity!$A$1="Frameless Glass",Enginuity!$A$1="Metal Work"),
      AND(TRIM(B3149)=TRIM(Enginuity!$A$17),TRIM(C3149)=TRIM(Enginuity!$A$18)),
      TRIM(B3149)=TRIM(Enginuity!$A$17)
    )
  ),
  ROW(),
  ""
)</f>
        <v/>
      </c>
    </row>
    <row r="3150" spans="21:21" x14ac:dyDescent="0.25">
      <c r="U3150" s="104" t="str">
        <f>IF(
  AND(
    TRIM(A3150)=TRIM(Enginuity!$A$1),
    TRIM(B3150)=TRIM(Enginuity!$A$17),
    Q3150&lt;&gt;"",
    Q3150&lt;&gt;0,
    OR(
      TRIM(C3150)=TRIM(Enginuity!$A$18),
      AND(UPPER(TRIM(M3150))="STD", TRIM(B3150)=TRIM(Enginuity!$A$17))
    ),
    OR(
      AND(LEFT(P3150,5)="1-Way", Enginuity!$B$13=1),
      AND(LEFT(P3150,5)="2-Way", OR(Enginuity!$B$13=2, Enginuity!$B$13=4)),
      AND(LEFT(P3150,5)="3-Way", OR(Enginuity!$B$13=3, Enginuity!$B$13=6)),
      AND(P3150="Inner Centre Jamb", OR(Enginuity!$B$13=4, Enginuity!$B$13=6)),
      AND(
        LEFT(P3150,5)&lt;&gt;"1-Way",
        LEFT(P3150,5)&lt;&gt;"2-Way",
        LEFT(P3150,5)&lt;&gt;"3-Way",
        P3150&lt;&gt;"Inner Centre Jamb"
      )
    ),
    IF(OR(Enginuity!$A$1="Frameless Glass",Enginuity!$A$1="Metal Work"),
      AND(TRIM(B3150)=TRIM(Enginuity!$A$17),TRIM(C3150)=TRIM(Enginuity!$A$18)),
      TRIM(B3150)=TRIM(Enginuity!$A$17)
    )
  ),
  ROW(),
  ""
)</f>
        <v/>
      </c>
    </row>
    <row r="3151" spans="21:21" x14ac:dyDescent="0.25">
      <c r="U3151" s="104" t="str">
        <f>IF(
  AND(
    TRIM(A3151)=TRIM(Enginuity!$A$1),
    TRIM(B3151)=TRIM(Enginuity!$A$17),
    Q3151&lt;&gt;"",
    Q3151&lt;&gt;0,
    OR(
      TRIM(C3151)=TRIM(Enginuity!$A$18),
      AND(UPPER(TRIM(M3151))="STD", TRIM(B3151)=TRIM(Enginuity!$A$17))
    ),
    OR(
      AND(LEFT(P3151,5)="1-Way", Enginuity!$B$13=1),
      AND(LEFT(P3151,5)="2-Way", OR(Enginuity!$B$13=2, Enginuity!$B$13=4)),
      AND(LEFT(P3151,5)="3-Way", OR(Enginuity!$B$13=3, Enginuity!$B$13=6)),
      AND(P3151="Inner Centre Jamb", OR(Enginuity!$B$13=4, Enginuity!$B$13=6)),
      AND(
        LEFT(P3151,5)&lt;&gt;"1-Way",
        LEFT(P3151,5)&lt;&gt;"2-Way",
        LEFT(P3151,5)&lt;&gt;"3-Way",
        P3151&lt;&gt;"Inner Centre Jamb"
      )
    ),
    IF(OR(Enginuity!$A$1="Frameless Glass",Enginuity!$A$1="Metal Work"),
      AND(TRIM(B3151)=TRIM(Enginuity!$A$17),TRIM(C3151)=TRIM(Enginuity!$A$18)),
      TRIM(B3151)=TRIM(Enginuity!$A$17)
    )
  ),
  ROW(),
  ""
)</f>
        <v/>
      </c>
    </row>
    <row r="3152" spans="21:21" x14ac:dyDescent="0.25">
      <c r="U3152" s="104" t="str">
        <f>IF(
  AND(
    TRIM(A3152)=TRIM(Enginuity!$A$1),
    TRIM(B3152)=TRIM(Enginuity!$A$17),
    Q3152&lt;&gt;"",
    Q3152&lt;&gt;0,
    OR(
      TRIM(C3152)=TRIM(Enginuity!$A$18),
      AND(UPPER(TRIM(M3152))="STD", TRIM(B3152)=TRIM(Enginuity!$A$17))
    ),
    OR(
      AND(LEFT(P3152,5)="1-Way", Enginuity!$B$13=1),
      AND(LEFT(P3152,5)="2-Way", OR(Enginuity!$B$13=2, Enginuity!$B$13=4)),
      AND(LEFT(P3152,5)="3-Way", OR(Enginuity!$B$13=3, Enginuity!$B$13=6)),
      AND(P3152="Inner Centre Jamb", OR(Enginuity!$B$13=4, Enginuity!$B$13=6)),
      AND(
        LEFT(P3152,5)&lt;&gt;"1-Way",
        LEFT(P3152,5)&lt;&gt;"2-Way",
        LEFT(P3152,5)&lt;&gt;"3-Way",
        P3152&lt;&gt;"Inner Centre Jamb"
      )
    ),
    IF(OR(Enginuity!$A$1="Frameless Glass",Enginuity!$A$1="Metal Work"),
      AND(TRIM(B3152)=TRIM(Enginuity!$A$17),TRIM(C3152)=TRIM(Enginuity!$A$18)),
      TRIM(B3152)=TRIM(Enginuity!$A$17)
    )
  ),
  ROW(),
  ""
)</f>
        <v/>
      </c>
    </row>
    <row r="3153" spans="21:21" x14ac:dyDescent="0.25">
      <c r="U3153" s="104" t="str">
        <f>IF(
  AND(
    TRIM(A3153)=TRIM(Enginuity!$A$1),
    TRIM(B3153)=TRIM(Enginuity!$A$17),
    Q3153&lt;&gt;"",
    Q3153&lt;&gt;0,
    OR(
      TRIM(C3153)=TRIM(Enginuity!$A$18),
      AND(UPPER(TRIM(M3153))="STD", TRIM(B3153)=TRIM(Enginuity!$A$17))
    ),
    OR(
      AND(LEFT(P3153,5)="1-Way", Enginuity!$B$13=1),
      AND(LEFT(P3153,5)="2-Way", OR(Enginuity!$B$13=2, Enginuity!$B$13=4)),
      AND(LEFT(P3153,5)="3-Way", OR(Enginuity!$B$13=3, Enginuity!$B$13=6)),
      AND(P3153="Inner Centre Jamb", OR(Enginuity!$B$13=4, Enginuity!$B$13=6)),
      AND(
        LEFT(P3153,5)&lt;&gt;"1-Way",
        LEFT(P3153,5)&lt;&gt;"2-Way",
        LEFT(P3153,5)&lt;&gt;"3-Way",
        P3153&lt;&gt;"Inner Centre Jamb"
      )
    ),
    IF(OR(Enginuity!$A$1="Frameless Glass",Enginuity!$A$1="Metal Work"),
      AND(TRIM(B3153)=TRIM(Enginuity!$A$17),TRIM(C3153)=TRIM(Enginuity!$A$18)),
      TRIM(B3153)=TRIM(Enginuity!$A$17)
    )
  ),
  ROW(),
  ""
)</f>
        <v/>
      </c>
    </row>
    <row r="3154" spans="21:21" x14ac:dyDescent="0.25">
      <c r="U3154" s="104" t="str">
        <f>IF(
  AND(
    TRIM(A3154)=TRIM(Enginuity!$A$1),
    TRIM(B3154)=TRIM(Enginuity!$A$17),
    Q3154&lt;&gt;"",
    Q3154&lt;&gt;0,
    OR(
      TRIM(C3154)=TRIM(Enginuity!$A$18),
      AND(UPPER(TRIM(M3154))="STD", TRIM(B3154)=TRIM(Enginuity!$A$17))
    ),
    OR(
      AND(LEFT(P3154,5)="1-Way", Enginuity!$B$13=1),
      AND(LEFT(P3154,5)="2-Way", OR(Enginuity!$B$13=2, Enginuity!$B$13=4)),
      AND(LEFT(P3154,5)="3-Way", OR(Enginuity!$B$13=3, Enginuity!$B$13=6)),
      AND(P3154="Inner Centre Jamb", OR(Enginuity!$B$13=4, Enginuity!$B$13=6)),
      AND(
        LEFT(P3154,5)&lt;&gt;"1-Way",
        LEFT(P3154,5)&lt;&gt;"2-Way",
        LEFT(P3154,5)&lt;&gt;"3-Way",
        P3154&lt;&gt;"Inner Centre Jamb"
      )
    ),
    IF(OR(Enginuity!$A$1="Frameless Glass",Enginuity!$A$1="Metal Work"),
      AND(TRIM(B3154)=TRIM(Enginuity!$A$17),TRIM(C3154)=TRIM(Enginuity!$A$18)),
      TRIM(B3154)=TRIM(Enginuity!$A$17)
    )
  ),
  ROW(),
  ""
)</f>
        <v/>
      </c>
    </row>
    <row r="3155" spans="21:21" x14ac:dyDescent="0.25">
      <c r="U3155" s="104" t="str">
        <f>IF(
  AND(
    TRIM(A3155)=TRIM(Enginuity!$A$1),
    TRIM(B3155)=TRIM(Enginuity!$A$17),
    Q3155&lt;&gt;"",
    Q3155&lt;&gt;0,
    OR(
      TRIM(C3155)=TRIM(Enginuity!$A$18),
      AND(UPPER(TRIM(M3155))="STD", TRIM(B3155)=TRIM(Enginuity!$A$17))
    ),
    OR(
      AND(LEFT(P3155,5)="1-Way", Enginuity!$B$13=1),
      AND(LEFT(P3155,5)="2-Way", OR(Enginuity!$B$13=2, Enginuity!$B$13=4)),
      AND(LEFT(P3155,5)="3-Way", OR(Enginuity!$B$13=3, Enginuity!$B$13=6)),
      AND(P3155="Inner Centre Jamb", OR(Enginuity!$B$13=4, Enginuity!$B$13=6)),
      AND(
        LEFT(P3155,5)&lt;&gt;"1-Way",
        LEFT(P3155,5)&lt;&gt;"2-Way",
        LEFT(P3155,5)&lt;&gt;"3-Way",
        P3155&lt;&gt;"Inner Centre Jamb"
      )
    ),
    IF(OR(Enginuity!$A$1="Frameless Glass",Enginuity!$A$1="Metal Work"),
      AND(TRIM(B3155)=TRIM(Enginuity!$A$17),TRIM(C3155)=TRIM(Enginuity!$A$18)),
      TRIM(B3155)=TRIM(Enginuity!$A$17)
    )
  ),
  ROW(),
  ""
)</f>
        <v/>
      </c>
    </row>
    <row r="3156" spans="21:21" x14ac:dyDescent="0.25">
      <c r="U3156" s="104" t="str">
        <f>IF(
  AND(
    TRIM(A3156)=TRIM(Enginuity!$A$1),
    TRIM(B3156)=TRIM(Enginuity!$A$17),
    Q3156&lt;&gt;"",
    Q3156&lt;&gt;0,
    OR(
      TRIM(C3156)=TRIM(Enginuity!$A$18),
      AND(UPPER(TRIM(M3156))="STD", TRIM(B3156)=TRIM(Enginuity!$A$17))
    ),
    OR(
      AND(LEFT(P3156,5)="1-Way", Enginuity!$B$13=1),
      AND(LEFT(P3156,5)="2-Way", OR(Enginuity!$B$13=2, Enginuity!$B$13=4)),
      AND(LEFT(P3156,5)="3-Way", OR(Enginuity!$B$13=3, Enginuity!$B$13=6)),
      AND(P3156="Inner Centre Jamb", OR(Enginuity!$B$13=4, Enginuity!$B$13=6)),
      AND(
        LEFT(P3156,5)&lt;&gt;"1-Way",
        LEFT(P3156,5)&lt;&gt;"2-Way",
        LEFT(P3156,5)&lt;&gt;"3-Way",
        P3156&lt;&gt;"Inner Centre Jamb"
      )
    ),
    IF(OR(Enginuity!$A$1="Frameless Glass",Enginuity!$A$1="Metal Work"),
      AND(TRIM(B3156)=TRIM(Enginuity!$A$17),TRIM(C3156)=TRIM(Enginuity!$A$18)),
      TRIM(B3156)=TRIM(Enginuity!$A$17)
    )
  ),
  ROW(),
  ""
)</f>
        <v/>
      </c>
    </row>
    <row r="3157" spans="21:21" x14ac:dyDescent="0.25">
      <c r="U3157" s="104" t="str">
        <f>IF(
  AND(
    TRIM(A3157)=TRIM(Enginuity!$A$1),
    TRIM(B3157)=TRIM(Enginuity!$A$17),
    Q3157&lt;&gt;"",
    Q3157&lt;&gt;0,
    OR(
      TRIM(C3157)=TRIM(Enginuity!$A$18),
      AND(UPPER(TRIM(M3157))="STD", TRIM(B3157)=TRIM(Enginuity!$A$17))
    ),
    OR(
      AND(LEFT(P3157,5)="1-Way", Enginuity!$B$13=1),
      AND(LEFT(P3157,5)="2-Way", OR(Enginuity!$B$13=2, Enginuity!$B$13=4)),
      AND(LEFT(P3157,5)="3-Way", OR(Enginuity!$B$13=3, Enginuity!$B$13=6)),
      AND(P3157="Inner Centre Jamb", OR(Enginuity!$B$13=4, Enginuity!$B$13=6)),
      AND(
        LEFT(P3157,5)&lt;&gt;"1-Way",
        LEFT(P3157,5)&lt;&gt;"2-Way",
        LEFT(P3157,5)&lt;&gt;"3-Way",
        P3157&lt;&gt;"Inner Centre Jamb"
      )
    ),
    IF(OR(Enginuity!$A$1="Frameless Glass",Enginuity!$A$1="Metal Work"),
      AND(TRIM(B3157)=TRIM(Enginuity!$A$17),TRIM(C3157)=TRIM(Enginuity!$A$18)),
      TRIM(B3157)=TRIM(Enginuity!$A$17)
    )
  ),
  ROW(),
  ""
)</f>
        <v/>
      </c>
    </row>
    <row r="3158" spans="21:21" x14ac:dyDescent="0.25">
      <c r="U3158" s="104" t="str">
        <f>IF(
  AND(
    TRIM(A3158)=TRIM(Enginuity!$A$1),
    TRIM(B3158)=TRIM(Enginuity!$A$17),
    Q3158&lt;&gt;"",
    Q3158&lt;&gt;0,
    OR(
      TRIM(C3158)=TRIM(Enginuity!$A$18),
      AND(UPPER(TRIM(M3158))="STD", TRIM(B3158)=TRIM(Enginuity!$A$17))
    ),
    OR(
      AND(LEFT(P3158,5)="1-Way", Enginuity!$B$13=1),
      AND(LEFT(P3158,5)="2-Way", OR(Enginuity!$B$13=2, Enginuity!$B$13=4)),
      AND(LEFT(P3158,5)="3-Way", OR(Enginuity!$B$13=3, Enginuity!$B$13=6)),
      AND(P3158="Inner Centre Jamb", OR(Enginuity!$B$13=4, Enginuity!$B$13=6)),
      AND(
        LEFT(P3158,5)&lt;&gt;"1-Way",
        LEFT(P3158,5)&lt;&gt;"2-Way",
        LEFT(P3158,5)&lt;&gt;"3-Way",
        P3158&lt;&gt;"Inner Centre Jamb"
      )
    ),
    IF(OR(Enginuity!$A$1="Frameless Glass",Enginuity!$A$1="Metal Work"),
      AND(TRIM(B3158)=TRIM(Enginuity!$A$17),TRIM(C3158)=TRIM(Enginuity!$A$18)),
      TRIM(B3158)=TRIM(Enginuity!$A$17)
    )
  ),
  ROW(),
  ""
)</f>
        <v/>
      </c>
    </row>
    <row r="3159" spans="21:21" x14ac:dyDescent="0.25">
      <c r="U3159" s="104" t="str">
        <f>IF(
  AND(
    TRIM(A3159)=TRIM(Enginuity!$A$1),
    TRIM(B3159)=TRIM(Enginuity!$A$17),
    Q3159&lt;&gt;"",
    Q3159&lt;&gt;0,
    OR(
      TRIM(C3159)=TRIM(Enginuity!$A$18),
      AND(UPPER(TRIM(M3159))="STD", TRIM(B3159)=TRIM(Enginuity!$A$17))
    ),
    OR(
      AND(LEFT(P3159,5)="1-Way", Enginuity!$B$13=1),
      AND(LEFT(P3159,5)="2-Way", OR(Enginuity!$B$13=2, Enginuity!$B$13=4)),
      AND(LEFT(P3159,5)="3-Way", OR(Enginuity!$B$13=3, Enginuity!$B$13=6)),
      AND(P3159="Inner Centre Jamb", OR(Enginuity!$B$13=4, Enginuity!$B$13=6)),
      AND(
        LEFT(P3159,5)&lt;&gt;"1-Way",
        LEFT(P3159,5)&lt;&gt;"2-Way",
        LEFT(P3159,5)&lt;&gt;"3-Way",
        P3159&lt;&gt;"Inner Centre Jamb"
      )
    ),
    IF(OR(Enginuity!$A$1="Frameless Glass",Enginuity!$A$1="Metal Work"),
      AND(TRIM(B3159)=TRIM(Enginuity!$A$17),TRIM(C3159)=TRIM(Enginuity!$A$18)),
      TRIM(B3159)=TRIM(Enginuity!$A$17)
    )
  ),
  ROW(),
  ""
)</f>
        <v/>
      </c>
    </row>
    <row r="3160" spans="21:21" x14ac:dyDescent="0.25">
      <c r="U3160" s="104" t="str">
        <f>IF(
  AND(
    TRIM(A3160)=TRIM(Enginuity!$A$1),
    TRIM(B3160)=TRIM(Enginuity!$A$17),
    Q3160&lt;&gt;"",
    Q3160&lt;&gt;0,
    OR(
      TRIM(C3160)=TRIM(Enginuity!$A$18),
      AND(UPPER(TRIM(M3160))="STD", TRIM(B3160)=TRIM(Enginuity!$A$17))
    ),
    OR(
      AND(LEFT(P3160,5)="1-Way", Enginuity!$B$13=1),
      AND(LEFT(P3160,5)="2-Way", OR(Enginuity!$B$13=2, Enginuity!$B$13=4)),
      AND(LEFT(P3160,5)="3-Way", OR(Enginuity!$B$13=3, Enginuity!$B$13=6)),
      AND(P3160="Inner Centre Jamb", OR(Enginuity!$B$13=4, Enginuity!$B$13=6)),
      AND(
        LEFT(P3160,5)&lt;&gt;"1-Way",
        LEFT(P3160,5)&lt;&gt;"2-Way",
        LEFT(P3160,5)&lt;&gt;"3-Way",
        P3160&lt;&gt;"Inner Centre Jamb"
      )
    ),
    IF(OR(Enginuity!$A$1="Frameless Glass",Enginuity!$A$1="Metal Work"),
      AND(TRIM(B3160)=TRIM(Enginuity!$A$17),TRIM(C3160)=TRIM(Enginuity!$A$18)),
      TRIM(B3160)=TRIM(Enginuity!$A$17)
    )
  ),
  ROW(),
  ""
)</f>
        <v/>
      </c>
    </row>
    <row r="3161" spans="21:21" x14ac:dyDescent="0.25">
      <c r="U3161" s="104" t="str">
        <f>IF(
  AND(
    TRIM(A3161)=TRIM(Enginuity!$A$1),
    TRIM(B3161)=TRIM(Enginuity!$A$17),
    Q3161&lt;&gt;"",
    Q3161&lt;&gt;0,
    OR(
      TRIM(C3161)=TRIM(Enginuity!$A$18),
      AND(UPPER(TRIM(M3161))="STD", TRIM(B3161)=TRIM(Enginuity!$A$17))
    ),
    OR(
      AND(LEFT(P3161,5)="1-Way", Enginuity!$B$13=1),
      AND(LEFT(P3161,5)="2-Way", OR(Enginuity!$B$13=2, Enginuity!$B$13=4)),
      AND(LEFT(P3161,5)="3-Way", OR(Enginuity!$B$13=3, Enginuity!$B$13=6)),
      AND(P3161="Inner Centre Jamb", OR(Enginuity!$B$13=4, Enginuity!$B$13=6)),
      AND(
        LEFT(P3161,5)&lt;&gt;"1-Way",
        LEFT(P3161,5)&lt;&gt;"2-Way",
        LEFT(P3161,5)&lt;&gt;"3-Way",
        P3161&lt;&gt;"Inner Centre Jamb"
      )
    ),
    IF(OR(Enginuity!$A$1="Frameless Glass",Enginuity!$A$1="Metal Work"),
      AND(TRIM(B3161)=TRIM(Enginuity!$A$17),TRIM(C3161)=TRIM(Enginuity!$A$18)),
      TRIM(B3161)=TRIM(Enginuity!$A$17)
    )
  ),
  ROW(),
  ""
)</f>
        <v/>
      </c>
    </row>
    <row r="3162" spans="21:21" x14ac:dyDescent="0.25">
      <c r="U3162" s="104" t="str">
        <f>IF(
  AND(
    TRIM(A3162)=TRIM(Enginuity!$A$1),
    TRIM(B3162)=TRIM(Enginuity!$A$17),
    Q3162&lt;&gt;"",
    Q3162&lt;&gt;0,
    OR(
      TRIM(C3162)=TRIM(Enginuity!$A$18),
      AND(UPPER(TRIM(M3162))="STD", TRIM(B3162)=TRIM(Enginuity!$A$17))
    ),
    OR(
      AND(LEFT(P3162,5)="1-Way", Enginuity!$B$13=1),
      AND(LEFT(P3162,5)="2-Way", OR(Enginuity!$B$13=2, Enginuity!$B$13=4)),
      AND(LEFT(P3162,5)="3-Way", OR(Enginuity!$B$13=3, Enginuity!$B$13=6)),
      AND(P3162="Inner Centre Jamb", OR(Enginuity!$B$13=4, Enginuity!$B$13=6)),
      AND(
        LEFT(P3162,5)&lt;&gt;"1-Way",
        LEFT(P3162,5)&lt;&gt;"2-Way",
        LEFT(P3162,5)&lt;&gt;"3-Way",
        P3162&lt;&gt;"Inner Centre Jamb"
      )
    ),
    IF(OR(Enginuity!$A$1="Frameless Glass",Enginuity!$A$1="Metal Work"),
      AND(TRIM(B3162)=TRIM(Enginuity!$A$17),TRIM(C3162)=TRIM(Enginuity!$A$18)),
      TRIM(B3162)=TRIM(Enginuity!$A$17)
    )
  ),
  ROW(),
  ""
)</f>
        <v/>
      </c>
    </row>
    <row r="3163" spans="21:21" x14ac:dyDescent="0.25">
      <c r="U3163" s="104" t="str">
        <f>IF(
  AND(
    TRIM(A3163)=TRIM(Enginuity!$A$1),
    TRIM(B3163)=TRIM(Enginuity!$A$17),
    Q3163&lt;&gt;"",
    Q3163&lt;&gt;0,
    OR(
      TRIM(C3163)=TRIM(Enginuity!$A$18),
      AND(UPPER(TRIM(M3163))="STD", TRIM(B3163)=TRIM(Enginuity!$A$17))
    ),
    OR(
      AND(LEFT(P3163,5)="1-Way", Enginuity!$B$13=1),
      AND(LEFT(P3163,5)="2-Way", OR(Enginuity!$B$13=2, Enginuity!$B$13=4)),
      AND(LEFT(P3163,5)="3-Way", OR(Enginuity!$B$13=3, Enginuity!$B$13=6)),
      AND(P3163="Inner Centre Jamb", OR(Enginuity!$B$13=4, Enginuity!$B$13=6)),
      AND(
        LEFT(P3163,5)&lt;&gt;"1-Way",
        LEFT(P3163,5)&lt;&gt;"2-Way",
        LEFT(P3163,5)&lt;&gt;"3-Way",
        P3163&lt;&gt;"Inner Centre Jamb"
      )
    ),
    IF(OR(Enginuity!$A$1="Frameless Glass",Enginuity!$A$1="Metal Work"),
      AND(TRIM(B3163)=TRIM(Enginuity!$A$17),TRIM(C3163)=TRIM(Enginuity!$A$18)),
      TRIM(B3163)=TRIM(Enginuity!$A$17)
    )
  ),
  ROW(),
  ""
)</f>
        <v/>
      </c>
    </row>
    <row r="3164" spans="21:21" x14ac:dyDescent="0.25">
      <c r="U3164" s="104" t="str">
        <f>IF(
  AND(
    TRIM(A3164)=TRIM(Enginuity!$A$1),
    TRIM(B3164)=TRIM(Enginuity!$A$17),
    Q3164&lt;&gt;"",
    Q3164&lt;&gt;0,
    OR(
      TRIM(C3164)=TRIM(Enginuity!$A$18),
      AND(UPPER(TRIM(M3164))="STD", TRIM(B3164)=TRIM(Enginuity!$A$17))
    ),
    OR(
      AND(LEFT(P3164,5)="1-Way", Enginuity!$B$13=1),
      AND(LEFT(P3164,5)="2-Way", OR(Enginuity!$B$13=2, Enginuity!$B$13=4)),
      AND(LEFT(P3164,5)="3-Way", OR(Enginuity!$B$13=3, Enginuity!$B$13=6)),
      AND(P3164="Inner Centre Jamb", OR(Enginuity!$B$13=4, Enginuity!$B$13=6)),
      AND(
        LEFT(P3164,5)&lt;&gt;"1-Way",
        LEFT(P3164,5)&lt;&gt;"2-Way",
        LEFT(P3164,5)&lt;&gt;"3-Way",
        P3164&lt;&gt;"Inner Centre Jamb"
      )
    ),
    IF(OR(Enginuity!$A$1="Frameless Glass",Enginuity!$A$1="Metal Work"),
      AND(TRIM(B3164)=TRIM(Enginuity!$A$17),TRIM(C3164)=TRIM(Enginuity!$A$18)),
      TRIM(B3164)=TRIM(Enginuity!$A$17)
    )
  ),
  ROW(),
  ""
)</f>
        <v/>
      </c>
    </row>
    <row r="3165" spans="21:21" x14ac:dyDescent="0.25">
      <c r="U3165" s="104" t="str">
        <f>IF(
  AND(
    TRIM(A3165)=TRIM(Enginuity!$A$1),
    TRIM(B3165)=TRIM(Enginuity!$A$17),
    Q3165&lt;&gt;"",
    Q3165&lt;&gt;0,
    OR(
      TRIM(C3165)=TRIM(Enginuity!$A$18),
      AND(UPPER(TRIM(M3165))="STD", TRIM(B3165)=TRIM(Enginuity!$A$17))
    ),
    OR(
      AND(LEFT(P3165,5)="1-Way", Enginuity!$B$13=1),
      AND(LEFT(P3165,5)="2-Way", OR(Enginuity!$B$13=2, Enginuity!$B$13=4)),
      AND(LEFT(P3165,5)="3-Way", OR(Enginuity!$B$13=3, Enginuity!$B$13=6)),
      AND(P3165="Inner Centre Jamb", OR(Enginuity!$B$13=4, Enginuity!$B$13=6)),
      AND(
        LEFT(P3165,5)&lt;&gt;"1-Way",
        LEFT(P3165,5)&lt;&gt;"2-Way",
        LEFT(P3165,5)&lt;&gt;"3-Way",
        P3165&lt;&gt;"Inner Centre Jamb"
      )
    ),
    IF(OR(Enginuity!$A$1="Frameless Glass",Enginuity!$A$1="Metal Work"),
      AND(TRIM(B3165)=TRIM(Enginuity!$A$17),TRIM(C3165)=TRIM(Enginuity!$A$18)),
      TRIM(B3165)=TRIM(Enginuity!$A$17)
    )
  ),
  ROW(),
  ""
)</f>
        <v/>
      </c>
    </row>
    <row r="3166" spans="21:21" x14ac:dyDescent="0.25">
      <c r="U3166" s="104" t="str">
        <f>IF(
  AND(
    TRIM(A3166)=TRIM(Enginuity!$A$1),
    TRIM(B3166)=TRIM(Enginuity!$A$17),
    Q3166&lt;&gt;"",
    Q3166&lt;&gt;0,
    OR(
      TRIM(C3166)=TRIM(Enginuity!$A$18),
      AND(UPPER(TRIM(M3166))="STD", TRIM(B3166)=TRIM(Enginuity!$A$17))
    ),
    OR(
      AND(LEFT(P3166,5)="1-Way", Enginuity!$B$13=1),
      AND(LEFT(P3166,5)="2-Way", OR(Enginuity!$B$13=2, Enginuity!$B$13=4)),
      AND(LEFT(P3166,5)="3-Way", OR(Enginuity!$B$13=3, Enginuity!$B$13=6)),
      AND(P3166="Inner Centre Jamb", OR(Enginuity!$B$13=4, Enginuity!$B$13=6)),
      AND(
        LEFT(P3166,5)&lt;&gt;"1-Way",
        LEFT(P3166,5)&lt;&gt;"2-Way",
        LEFT(P3166,5)&lt;&gt;"3-Way",
        P3166&lt;&gt;"Inner Centre Jamb"
      )
    ),
    IF(OR(Enginuity!$A$1="Frameless Glass",Enginuity!$A$1="Metal Work"),
      AND(TRIM(B3166)=TRIM(Enginuity!$A$17),TRIM(C3166)=TRIM(Enginuity!$A$18)),
      TRIM(B3166)=TRIM(Enginuity!$A$17)
    )
  ),
  ROW(),
  ""
)</f>
        <v/>
      </c>
    </row>
    <row r="3167" spans="21:21" x14ac:dyDescent="0.25">
      <c r="U3167" s="104" t="str">
        <f>IF(
  AND(
    TRIM(A3167)=TRIM(Enginuity!$A$1),
    TRIM(B3167)=TRIM(Enginuity!$A$17),
    Q3167&lt;&gt;"",
    Q3167&lt;&gt;0,
    OR(
      TRIM(C3167)=TRIM(Enginuity!$A$18),
      AND(UPPER(TRIM(M3167))="STD", TRIM(B3167)=TRIM(Enginuity!$A$17))
    ),
    OR(
      AND(LEFT(P3167,5)="1-Way", Enginuity!$B$13=1),
      AND(LEFT(P3167,5)="2-Way", OR(Enginuity!$B$13=2, Enginuity!$B$13=4)),
      AND(LEFT(P3167,5)="3-Way", OR(Enginuity!$B$13=3, Enginuity!$B$13=6)),
      AND(P3167="Inner Centre Jamb", OR(Enginuity!$B$13=4, Enginuity!$B$13=6)),
      AND(
        LEFT(P3167,5)&lt;&gt;"1-Way",
        LEFT(P3167,5)&lt;&gt;"2-Way",
        LEFT(P3167,5)&lt;&gt;"3-Way",
        P3167&lt;&gt;"Inner Centre Jamb"
      )
    ),
    IF(OR(Enginuity!$A$1="Frameless Glass",Enginuity!$A$1="Metal Work"),
      AND(TRIM(B3167)=TRIM(Enginuity!$A$17),TRIM(C3167)=TRIM(Enginuity!$A$18)),
      TRIM(B3167)=TRIM(Enginuity!$A$17)
    )
  ),
  ROW(),
  ""
)</f>
        <v/>
      </c>
    </row>
    <row r="3168" spans="21:21" x14ac:dyDescent="0.25">
      <c r="U3168" s="104" t="str">
        <f>IF(
  AND(
    TRIM(A3168)=TRIM(Enginuity!$A$1),
    TRIM(B3168)=TRIM(Enginuity!$A$17),
    Q3168&lt;&gt;"",
    Q3168&lt;&gt;0,
    OR(
      TRIM(C3168)=TRIM(Enginuity!$A$18),
      AND(UPPER(TRIM(M3168))="STD", TRIM(B3168)=TRIM(Enginuity!$A$17))
    ),
    OR(
      AND(LEFT(P3168,5)="1-Way", Enginuity!$B$13=1),
      AND(LEFT(P3168,5)="2-Way", OR(Enginuity!$B$13=2, Enginuity!$B$13=4)),
      AND(LEFT(P3168,5)="3-Way", OR(Enginuity!$B$13=3, Enginuity!$B$13=6)),
      AND(P3168="Inner Centre Jamb", OR(Enginuity!$B$13=4, Enginuity!$B$13=6)),
      AND(
        LEFT(P3168,5)&lt;&gt;"1-Way",
        LEFT(P3168,5)&lt;&gt;"2-Way",
        LEFT(P3168,5)&lt;&gt;"3-Way",
        P3168&lt;&gt;"Inner Centre Jamb"
      )
    ),
    IF(OR(Enginuity!$A$1="Frameless Glass",Enginuity!$A$1="Metal Work"),
      AND(TRIM(B3168)=TRIM(Enginuity!$A$17),TRIM(C3168)=TRIM(Enginuity!$A$18)),
      TRIM(B3168)=TRIM(Enginuity!$A$17)
    )
  ),
  ROW(),
  ""
)</f>
        <v/>
      </c>
    </row>
    <row r="3169" spans="21:21" x14ac:dyDescent="0.25">
      <c r="U3169" s="104" t="str">
        <f>IF(
  AND(
    TRIM(A3169)=TRIM(Enginuity!$A$1),
    TRIM(B3169)=TRIM(Enginuity!$A$17),
    Q3169&lt;&gt;"",
    Q3169&lt;&gt;0,
    OR(
      TRIM(C3169)=TRIM(Enginuity!$A$18),
      AND(UPPER(TRIM(M3169))="STD", TRIM(B3169)=TRIM(Enginuity!$A$17))
    ),
    OR(
      AND(LEFT(P3169,5)="1-Way", Enginuity!$B$13=1),
      AND(LEFT(P3169,5)="2-Way", OR(Enginuity!$B$13=2, Enginuity!$B$13=4)),
      AND(LEFT(P3169,5)="3-Way", OR(Enginuity!$B$13=3, Enginuity!$B$13=6)),
      AND(P3169="Inner Centre Jamb", OR(Enginuity!$B$13=4, Enginuity!$B$13=6)),
      AND(
        LEFT(P3169,5)&lt;&gt;"1-Way",
        LEFT(P3169,5)&lt;&gt;"2-Way",
        LEFT(P3169,5)&lt;&gt;"3-Way",
        P3169&lt;&gt;"Inner Centre Jamb"
      )
    ),
    IF(OR(Enginuity!$A$1="Frameless Glass",Enginuity!$A$1="Metal Work"),
      AND(TRIM(B3169)=TRIM(Enginuity!$A$17),TRIM(C3169)=TRIM(Enginuity!$A$18)),
      TRIM(B3169)=TRIM(Enginuity!$A$17)
    )
  ),
  ROW(),
  ""
)</f>
        <v/>
      </c>
    </row>
    <row r="3170" spans="21:21" x14ac:dyDescent="0.25">
      <c r="U3170" s="104" t="str">
        <f>IF(
  AND(
    TRIM(A3170)=TRIM(Enginuity!$A$1),
    TRIM(B3170)=TRIM(Enginuity!$A$17),
    Q3170&lt;&gt;"",
    Q3170&lt;&gt;0,
    OR(
      TRIM(C3170)=TRIM(Enginuity!$A$18),
      AND(UPPER(TRIM(M3170))="STD", TRIM(B3170)=TRIM(Enginuity!$A$17))
    ),
    OR(
      AND(LEFT(P3170,5)="1-Way", Enginuity!$B$13=1),
      AND(LEFT(P3170,5)="2-Way", OR(Enginuity!$B$13=2, Enginuity!$B$13=4)),
      AND(LEFT(P3170,5)="3-Way", OR(Enginuity!$B$13=3, Enginuity!$B$13=6)),
      AND(P3170="Inner Centre Jamb", OR(Enginuity!$B$13=4, Enginuity!$B$13=6)),
      AND(
        LEFT(P3170,5)&lt;&gt;"1-Way",
        LEFT(P3170,5)&lt;&gt;"2-Way",
        LEFT(P3170,5)&lt;&gt;"3-Way",
        P3170&lt;&gt;"Inner Centre Jamb"
      )
    ),
    IF(OR(Enginuity!$A$1="Frameless Glass",Enginuity!$A$1="Metal Work"),
      AND(TRIM(B3170)=TRIM(Enginuity!$A$17),TRIM(C3170)=TRIM(Enginuity!$A$18)),
      TRIM(B3170)=TRIM(Enginuity!$A$17)
    )
  ),
  ROW(),
  ""
)</f>
        <v/>
      </c>
    </row>
    <row r="3171" spans="21:21" x14ac:dyDescent="0.25">
      <c r="U3171" s="104" t="str">
        <f>IF(
  AND(
    TRIM(A3171)=TRIM(Enginuity!$A$1),
    TRIM(B3171)=TRIM(Enginuity!$A$17),
    Q3171&lt;&gt;"",
    Q3171&lt;&gt;0,
    OR(
      TRIM(C3171)=TRIM(Enginuity!$A$18),
      AND(UPPER(TRIM(M3171))="STD", TRIM(B3171)=TRIM(Enginuity!$A$17))
    ),
    OR(
      AND(LEFT(P3171,5)="1-Way", Enginuity!$B$13=1),
      AND(LEFT(P3171,5)="2-Way", OR(Enginuity!$B$13=2, Enginuity!$B$13=4)),
      AND(LEFT(P3171,5)="3-Way", OR(Enginuity!$B$13=3, Enginuity!$B$13=6)),
      AND(P3171="Inner Centre Jamb", OR(Enginuity!$B$13=4, Enginuity!$B$13=6)),
      AND(
        LEFT(P3171,5)&lt;&gt;"1-Way",
        LEFT(P3171,5)&lt;&gt;"2-Way",
        LEFT(P3171,5)&lt;&gt;"3-Way",
        P3171&lt;&gt;"Inner Centre Jamb"
      )
    ),
    IF(OR(Enginuity!$A$1="Frameless Glass",Enginuity!$A$1="Metal Work"),
      AND(TRIM(B3171)=TRIM(Enginuity!$A$17),TRIM(C3171)=TRIM(Enginuity!$A$18)),
      TRIM(B3171)=TRIM(Enginuity!$A$17)
    )
  ),
  ROW(),
  ""
)</f>
        <v/>
      </c>
    </row>
    <row r="3172" spans="21:21" x14ac:dyDescent="0.25">
      <c r="U3172" s="104" t="str">
        <f>IF(
  AND(
    TRIM(A3172)=TRIM(Enginuity!$A$1),
    TRIM(B3172)=TRIM(Enginuity!$A$17),
    Q3172&lt;&gt;"",
    Q3172&lt;&gt;0,
    OR(
      TRIM(C3172)=TRIM(Enginuity!$A$18),
      AND(UPPER(TRIM(M3172))="STD", TRIM(B3172)=TRIM(Enginuity!$A$17))
    ),
    OR(
      AND(LEFT(P3172,5)="1-Way", Enginuity!$B$13=1),
      AND(LEFT(P3172,5)="2-Way", OR(Enginuity!$B$13=2, Enginuity!$B$13=4)),
      AND(LEFT(P3172,5)="3-Way", OR(Enginuity!$B$13=3, Enginuity!$B$13=6)),
      AND(P3172="Inner Centre Jamb", OR(Enginuity!$B$13=4, Enginuity!$B$13=6)),
      AND(
        LEFT(P3172,5)&lt;&gt;"1-Way",
        LEFT(P3172,5)&lt;&gt;"2-Way",
        LEFT(P3172,5)&lt;&gt;"3-Way",
        P3172&lt;&gt;"Inner Centre Jamb"
      )
    ),
    IF(OR(Enginuity!$A$1="Frameless Glass",Enginuity!$A$1="Metal Work"),
      AND(TRIM(B3172)=TRIM(Enginuity!$A$17),TRIM(C3172)=TRIM(Enginuity!$A$18)),
      TRIM(B3172)=TRIM(Enginuity!$A$17)
    )
  ),
  ROW(),
  ""
)</f>
        <v/>
      </c>
    </row>
    <row r="3173" spans="21:21" x14ac:dyDescent="0.25">
      <c r="U3173" s="104" t="str">
        <f>IF(
  AND(
    TRIM(A3173)=TRIM(Enginuity!$A$1),
    TRIM(B3173)=TRIM(Enginuity!$A$17),
    Q3173&lt;&gt;"",
    Q3173&lt;&gt;0,
    OR(
      TRIM(C3173)=TRIM(Enginuity!$A$18),
      AND(UPPER(TRIM(M3173))="STD", TRIM(B3173)=TRIM(Enginuity!$A$17))
    ),
    OR(
      AND(LEFT(P3173,5)="1-Way", Enginuity!$B$13=1),
      AND(LEFT(P3173,5)="2-Way", OR(Enginuity!$B$13=2, Enginuity!$B$13=4)),
      AND(LEFT(P3173,5)="3-Way", OR(Enginuity!$B$13=3, Enginuity!$B$13=6)),
      AND(P3173="Inner Centre Jamb", OR(Enginuity!$B$13=4, Enginuity!$B$13=6)),
      AND(
        LEFT(P3173,5)&lt;&gt;"1-Way",
        LEFT(P3173,5)&lt;&gt;"2-Way",
        LEFT(P3173,5)&lt;&gt;"3-Way",
        P3173&lt;&gt;"Inner Centre Jamb"
      )
    ),
    IF(OR(Enginuity!$A$1="Frameless Glass",Enginuity!$A$1="Metal Work"),
      AND(TRIM(B3173)=TRIM(Enginuity!$A$17),TRIM(C3173)=TRIM(Enginuity!$A$18)),
      TRIM(B3173)=TRIM(Enginuity!$A$17)
    )
  ),
  ROW(),
  ""
)</f>
        <v/>
      </c>
    </row>
    <row r="3174" spans="21:21" x14ac:dyDescent="0.25">
      <c r="U3174" s="104" t="str">
        <f>IF(
  AND(
    TRIM(A3174)=TRIM(Enginuity!$A$1),
    TRIM(B3174)=TRIM(Enginuity!$A$17),
    Q3174&lt;&gt;"",
    Q3174&lt;&gt;0,
    OR(
      TRIM(C3174)=TRIM(Enginuity!$A$18),
      AND(UPPER(TRIM(M3174))="STD", TRIM(B3174)=TRIM(Enginuity!$A$17))
    ),
    OR(
      AND(LEFT(P3174,5)="1-Way", Enginuity!$B$13=1),
      AND(LEFT(P3174,5)="2-Way", OR(Enginuity!$B$13=2, Enginuity!$B$13=4)),
      AND(LEFT(P3174,5)="3-Way", OR(Enginuity!$B$13=3, Enginuity!$B$13=6)),
      AND(P3174="Inner Centre Jamb", OR(Enginuity!$B$13=4, Enginuity!$B$13=6)),
      AND(
        LEFT(P3174,5)&lt;&gt;"1-Way",
        LEFT(P3174,5)&lt;&gt;"2-Way",
        LEFT(P3174,5)&lt;&gt;"3-Way",
        P3174&lt;&gt;"Inner Centre Jamb"
      )
    ),
    IF(OR(Enginuity!$A$1="Frameless Glass",Enginuity!$A$1="Metal Work"),
      AND(TRIM(B3174)=TRIM(Enginuity!$A$17),TRIM(C3174)=TRIM(Enginuity!$A$18)),
      TRIM(B3174)=TRIM(Enginuity!$A$17)
    )
  ),
  ROW(),
  ""
)</f>
        <v/>
      </c>
    </row>
    <row r="3175" spans="21:21" x14ac:dyDescent="0.25">
      <c r="U3175" s="104" t="str">
        <f>IF(
  AND(
    TRIM(A3175)=TRIM(Enginuity!$A$1),
    TRIM(B3175)=TRIM(Enginuity!$A$17),
    Q3175&lt;&gt;"",
    Q3175&lt;&gt;0,
    OR(
      TRIM(C3175)=TRIM(Enginuity!$A$18),
      AND(UPPER(TRIM(M3175))="STD", TRIM(B3175)=TRIM(Enginuity!$A$17))
    ),
    OR(
      AND(LEFT(P3175,5)="1-Way", Enginuity!$B$13=1),
      AND(LEFT(P3175,5)="2-Way", OR(Enginuity!$B$13=2, Enginuity!$B$13=4)),
      AND(LEFT(P3175,5)="3-Way", OR(Enginuity!$B$13=3, Enginuity!$B$13=6)),
      AND(P3175="Inner Centre Jamb", OR(Enginuity!$B$13=4, Enginuity!$B$13=6)),
      AND(
        LEFT(P3175,5)&lt;&gt;"1-Way",
        LEFT(P3175,5)&lt;&gt;"2-Way",
        LEFT(P3175,5)&lt;&gt;"3-Way",
        P3175&lt;&gt;"Inner Centre Jamb"
      )
    ),
    IF(OR(Enginuity!$A$1="Frameless Glass",Enginuity!$A$1="Metal Work"),
      AND(TRIM(B3175)=TRIM(Enginuity!$A$17),TRIM(C3175)=TRIM(Enginuity!$A$18)),
      TRIM(B3175)=TRIM(Enginuity!$A$17)
    )
  ),
  ROW(),
  ""
)</f>
        <v/>
      </c>
    </row>
    <row r="3176" spans="21:21" x14ac:dyDescent="0.25">
      <c r="U3176" s="104" t="str">
        <f>IF(
  AND(
    TRIM(A3176)=TRIM(Enginuity!$A$1),
    TRIM(B3176)=TRIM(Enginuity!$A$17),
    Q3176&lt;&gt;"",
    Q3176&lt;&gt;0,
    OR(
      TRIM(C3176)=TRIM(Enginuity!$A$18),
      AND(UPPER(TRIM(M3176))="STD", TRIM(B3176)=TRIM(Enginuity!$A$17))
    ),
    OR(
      AND(LEFT(P3176,5)="1-Way", Enginuity!$B$13=1),
      AND(LEFT(P3176,5)="2-Way", OR(Enginuity!$B$13=2, Enginuity!$B$13=4)),
      AND(LEFT(P3176,5)="3-Way", OR(Enginuity!$B$13=3, Enginuity!$B$13=6)),
      AND(P3176="Inner Centre Jamb", OR(Enginuity!$B$13=4, Enginuity!$B$13=6)),
      AND(
        LEFT(P3176,5)&lt;&gt;"1-Way",
        LEFT(P3176,5)&lt;&gt;"2-Way",
        LEFT(P3176,5)&lt;&gt;"3-Way",
        P3176&lt;&gt;"Inner Centre Jamb"
      )
    ),
    IF(OR(Enginuity!$A$1="Frameless Glass",Enginuity!$A$1="Metal Work"),
      AND(TRIM(B3176)=TRIM(Enginuity!$A$17),TRIM(C3176)=TRIM(Enginuity!$A$18)),
      TRIM(B3176)=TRIM(Enginuity!$A$17)
    )
  ),
  ROW(),
  ""
)</f>
        <v/>
      </c>
    </row>
    <row r="3177" spans="21:21" x14ac:dyDescent="0.25">
      <c r="U3177" s="104" t="str">
        <f>IF(
  AND(
    TRIM(A3177)=TRIM(Enginuity!$A$1),
    TRIM(B3177)=TRIM(Enginuity!$A$17),
    Q3177&lt;&gt;"",
    Q3177&lt;&gt;0,
    OR(
      TRIM(C3177)=TRIM(Enginuity!$A$18),
      AND(UPPER(TRIM(M3177))="STD", TRIM(B3177)=TRIM(Enginuity!$A$17))
    ),
    OR(
      AND(LEFT(P3177,5)="1-Way", Enginuity!$B$13=1),
      AND(LEFT(P3177,5)="2-Way", OR(Enginuity!$B$13=2, Enginuity!$B$13=4)),
      AND(LEFT(P3177,5)="3-Way", OR(Enginuity!$B$13=3, Enginuity!$B$13=6)),
      AND(P3177="Inner Centre Jamb", OR(Enginuity!$B$13=4, Enginuity!$B$13=6)),
      AND(
        LEFT(P3177,5)&lt;&gt;"1-Way",
        LEFT(P3177,5)&lt;&gt;"2-Way",
        LEFT(P3177,5)&lt;&gt;"3-Way",
        P3177&lt;&gt;"Inner Centre Jamb"
      )
    ),
    IF(OR(Enginuity!$A$1="Frameless Glass",Enginuity!$A$1="Metal Work"),
      AND(TRIM(B3177)=TRIM(Enginuity!$A$17),TRIM(C3177)=TRIM(Enginuity!$A$18)),
      TRIM(B3177)=TRIM(Enginuity!$A$17)
    )
  ),
  ROW(),
  ""
)</f>
        <v/>
      </c>
    </row>
    <row r="3178" spans="21:21" x14ac:dyDescent="0.25">
      <c r="U3178" s="104" t="str">
        <f>IF(
  AND(
    TRIM(A3178)=TRIM(Enginuity!$A$1),
    TRIM(B3178)=TRIM(Enginuity!$A$17),
    Q3178&lt;&gt;"",
    Q3178&lt;&gt;0,
    OR(
      TRIM(C3178)=TRIM(Enginuity!$A$18),
      AND(UPPER(TRIM(M3178))="STD", TRIM(B3178)=TRIM(Enginuity!$A$17))
    ),
    OR(
      AND(LEFT(P3178,5)="1-Way", Enginuity!$B$13=1),
      AND(LEFT(P3178,5)="2-Way", OR(Enginuity!$B$13=2, Enginuity!$B$13=4)),
      AND(LEFT(P3178,5)="3-Way", OR(Enginuity!$B$13=3, Enginuity!$B$13=6)),
      AND(P3178="Inner Centre Jamb", OR(Enginuity!$B$13=4, Enginuity!$B$13=6)),
      AND(
        LEFT(P3178,5)&lt;&gt;"1-Way",
        LEFT(P3178,5)&lt;&gt;"2-Way",
        LEFT(P3178,5)&lt;&gt;"3-Way",
        P3178&lt;&gt;"Inner Centre Jamb"
      )
    ),
    IF(OR(Enginuity!$A$1="Frameless Glass",Enginuity!$A$1="Metal Work"),
      AND(TRIM(B3178)=TRIM(Enginuity!$A$17),TRIM(C3178)=TRIM(Enginuity!$A$18)),
      TRIM(B3178)=TRIM(Enginuity!$A$17)
    )
  ),
  ROW(),
  ""
)</f>
        <v/>
      </c>
    </row>
    <row r="3179" spans="21:21" x14ac:dyDescent="0.25">
      <c r="U3179" s="104" t="str">
        <f>IF(
  AND(
    TRIM(A3179)=TRIM(Enginuity!$A$1),
    TRIM(B3179)=TRIM(Enginuity!$A$17),
    Q3179&lt;&gt;"",
    Q3179&lt;&gt;0,
    OR(
      TRIM(C3179)=TRIM(Enginuity!$A$18),
      AND(UPPER(TRIM(M3179))="STD", TRIM(B3179)=TRIM(Enginuity!$A$17))
    ),
    OR(
      AND(LEFT(P3179,5)="1-Way", Enginuity!$B$13=1),
      AND(LEFT(P3179,5)="2-Way", OR(Enginuity!$B$13=2, Enginuity!$B$13=4)),
      AND(LEFT(P3179,5)="3-Way", OR(Enginuity!$B$13=3, Enginuity!$B$13=6)),
      AND(P3179="Inner Centre Jamb", OR(Enginuity!$B$13=4, Enginuity!$B$13=6)),
      AND(
        LEFT(P3179,5)&lt;&gt;"1-Way",
        LEFT(P3179,5)&lt;&gt;"2-Way",
        LEFT(P3179,5)&lt;&gt;"3-Way",
        P3179&lt;&gt;"Inner Centre Jamb"
      )
    ),
    IF(OR(Enginuity!$A$1="Frameless Glass",Enginuity!$A$1="Metal Work"),
      AND(TRIM(B3179)=TRIM(Enginuity!$A$17),TRIM(C3179)=TRIM(Enginuity!$A$18)),
      TRIM(B3179)=TRIM(Enginuity!$A$17)
    )
  ),
  ROW(),
  ""
)</f>
        <v/>
      </c>
    </row>
    <row r="3180" spans="21:21" x14ac:dyDescent="0.25">
      <c r="U3180" s="104" t="str">
        <f>IF(
  AND(
    TRIM(A3180)=TRIM(Enginuity!$A$1),
    TRIM(B3180)=TRIM(Enginuity!$A$17),
    Q3180&lt;&gt;"",
    Q3180&lt;&gt;0,
    OR(
      TRIM(C3180)=TRIM(Enginuity!$A$18),
      AND(UPPER(TRIM(M3180))="STD", TRIM(B3180)=TRIM(Enginuity!$A$17))
    ),
    OR(
      AND(LEFT(P3180,5)="1-Way", Enginuity!$B$13=1),
      AND(LEFT(P3180,5)="2-Way", OR(Enginuity!$B$13=2, Enginuity!$B$13=4)),
      AND(LEFT(P3180,5)="3-Way", OR(Enginuity!$B$13=3, Enginuity!$B$13=6)),
      AND(P3180="Inner Centre Jamb", OR(Enginuity!$B$13=4, Enginuity!$B$13=6)),
      AND(
        LEFT(P3180,5)&lt;&gt;"1-Way",
        LEFT(P3180,5)&lt;&gt;"2-Way",
        LEFT(P3180,5)&lt;&gt;"3-Way",
        P3180&lt;&gt;"Inner Centre Jamb"
      )
    ),
    IF(OR(Enginuity!$A$1="Frameless Glass",Enginuity!$A$1="Metal Work"),
      AND(TRIM(B3180)=TRIM(Enginuity!$A$17),TRIM(C3180)=TRIM(Enginuity!$A$18)),
      TRIM(B3180)=TRIM(Enginuity!$A$17)
    )
  ),
  ROW(),
  ""
)</f>
        <v/>
      </c>
    </row>
    <row r="3181" spans="21:21" x14ac:dyDescent="0.25">
      <c r="U3181" s="104" t="str">
        <f>IF(
  AND(
    TRIM(A3181)=TRIM(Enginuity!$A$1),
    TRIM(B3181)=TRIM(Enginuity!$A$17),
    Q3181&lt;&gt;"",
    Q3181&lt;&gt;0,
    OR(
      TRIM(C3181)=TRIM(Enginuity!$A$18),
      AND(UPPER(TRIM(M3181))="STD", TRIM(B3181)=TRIM(Enginuity!$A$17))
    ),
    OR(
      AND(LEFT(P3181,5)="1-Way", Enginuity!$B$13=1),
      AND(LEFT(P3181,5)="2-Way", OR(Enginuity!$B$13=2, Enginuity!$B$13=4)),
      AND(LEFT(P3181,5)="3-Way", OR(Enginuity!$B$13=3, Enginuity!$B$13=6)),
      AND(P3181="Inner Centre Jamb", OR(Enginuity!$B$13=4, Enginuity!$B$13=6)),
      AND(
        LEFT(P3181,5)&lt;&gt;"1-Way",
        LEFT(P3181,5)&lt;&gt;"2-Way",
        LEFT(P3181,5)&lt;&gt;"3-Way",
        P3181&lt;&gt;"Inner Centre Jamb"
      )
    ),
    IF(OR(Enginuity!$A$1="Frameless Glass",Enginuity!$A$1="Metal Work"),
      AND(TRIM(B3181)=TRIM(Enginuity!$A$17),TRIM(C3181)=TRIM(Enginuity!$A$18)),
      TRIM(B3181)=TRIM(Enginuity!$A$17)
    )
  ),
  ROW(),
  ""
)</f>
        <v/>
      </c>
    </row>
    <row r="3182" spans="21:21" x14ac:dyDescent="0.25">
      <c r="U3182" s="104" t="str">
        <f>IF(
  AND(
    TRIM(A3182)=TRIM(Enginuity!$A$1),
    TRIM(B3182)=TRIM(Enginuity!$A$17),
    Q3182&lt;&gt;"",
    Q3182&lt;&gt;0,
    OR(
      TRIM(C3182)=TRIM(Enginuity!$A$18),
      AND(UPPER(TRIM(M3182))="STD", TRIM(B3182)=TRIM(Enginuity!$A$17))
    ),
    OR(
      AND(LEFT(P3182,5)="1-Way", Enginuity!$B$13=1),
      AND(LEFT(P3182,5)="2-Way", OR(Enginuity!$B$13=2, Enginuity!$B$13=4)),
      AND(LEFT(P3182,5)="3-Way", OR(Enginuity!$B$13=3, Enginuity!$B$13=6)),
      AND(P3182="Inner Centre Jamb", OR(Enginuity!$B$13=4, Enginuity!$B$13=6)),
      AND(
        LEFT(P3182,5)&lt;&gt;"1-Way",
        LEFT(P3182,5)&lt;&gt;"2-Way",
        LEFT(P3182,5)&lt;&gt;"3-Way",
        P3182&lt;&gt;"Inner Centre Jamb"
      )
    ),
    IF(OR(Enginuity!$A$1="Frameless Glass",Enginuity!$A$1="Metal Work"),
      AND(TRIM(B3182)=TRIM(Enginuity!$A$17),TRIM(C3182)=TRIM(Enginuity!$A$18)),
      TRIM(B3182)=TRIM(Enginuity!$A$17)
    )
  ),
  ROW(),
  ""
)</f>
        <v/>
      </c>
    </row>
    <row r="3183" spans="21:21" x14ac:dyDescent="0.25">
      <c r="U3183" s="104" t="str">
        <f>IF(
  AND(
    TRIM(A3183)=TRIM(Enginuity!$A$1),
    TRIM(B3183)=TRIM(Enginuity!$A$17),
    Q3183&lt;&gt;"",
    Q3183&lt;&gt;0,
    OR(
      TRIM(C3183)=TRIM(Enginuity!$A$18),
      AND(UPPER(TRIM(M3183))="STD", TRIM(B3183)=TRIM(Enginuity!$A$17))
    ),
    OR(
      AND(LEFT(P3183,5)="1-Way", Enginuity!$B$13=1),
      AND(LEFT(P3183,5)="2-Way", OR(Enginuity!$B$13=2, Enginuity!$B$13=4)),
      AND(LEFT(P3183,5)="3-Way", OR(Enginuity!$B$13=3, Enginuity!$B$13=6)),
      AND(P3183="Inner Centre Jamb", OR(Enginuity!$B$13=4, Enginuity!$B$13=6)),
      AND(
        LEFT(P3183,5)&lt;&gt;"1-Way",
        LEFT(P3183,5)&lt;&gt;"2-Way",
        LEFT(P3183,5)&lt;&gt;"3-Way",
        P3183&lt;&gt;"Inner Centre Jamb"
      )
    ),
    IF(OR(Enginuity!$A$1="Frameless Glass",Enginuity!$A$1="Metal Work"),
      AND(TRIM(B3183)=TRIM(Enginuity!$A$17),TRIM(C3183)=TRIM(Enginuity!$A$18)),
      TRIM(B3183)=TRIM(Enginuity!$A$17)
    )
  ),
  ROW(),
  ""
)</f>
        <v/>
      </c>
    </row>
    <row r="3184" spans="21:21" x14ac:dyDescent="0.25">
      <c r="U3184" s="104" t="str">
        <f>IF(
  AND(
    TRIM(A3184)=TRIM(Enginuity!$A$1),
    TRIM(B3184)=TRIM(Enginuity!$A$17),
    Q3184&lt;&gt;"",
    Q3184&lt;&gt;0,
    OR(
      TRIM(C3184)=TRIM(Enginuity!$A$18),
      AND(UPPER(TRIM(M3184))="STD", TRIM(B3184)=TRIM(Enginuity!$A$17))
    ),
    OR(
      AND(LEFT(P3184,5)="1-Way", Enginuity!$B$13=1),
      AND(LEFT(P3184,5)="2-Way", OR(Enginuity!$B$13=2, Enginuity!$B$13=4)),
      AND(LEFT(P3184,5)="3-Way", OR(Enginuity!$B$13=3, Enginuity!$B$13=6)),
      AND(P3184="Inner Centre Jamb", OR(Enginuity!$B$13=4, Enginuity!$B$13=6)),
      AND(
        LEFT(P3184,5)&lt;&gt;"1-Way",
        LEFT(P3184,5)&lt;&gt;"2-Way",
        LEFT(P3184,5)&lt;&gt;"3-Way",
        P3184&lt;&gt;"Inner Centre Jamb"
      )
    ),
    IF(OR(Enginuity!$A$1="Frameless Glass",Enginuity!$A$1="Metal Work"),
      AND(TRIM(B3184)=TRIM(Enginuity!$A$17),TRIM(C3184)=TRIM(Enginuity!$A$18)),
      TRIM(B3184)=TRIM(Enginuity!$A$17)
    )
  ),
  ROW(),
  ""
)</f>
        <v/>
      </c>
    </row>
    <row r="3185" spans="21:21" x14ac:dyDescent="0.25">
      <c r="U3185" s="104" t="str">
        <f>IF(
  AND(
    TRIM(A3185)=TRIM(Enginuity!$A$1),
    TRIM(B3185)=TRIM(Enginuity!$A$17),
    Q3185&lt;&gt;"",
    Q3185&lt;&gt;0,
    OR(
      TRIM(C3185)=TRIM(Enginuity!$A$18),
      AND(UPPER(TRIM(M3185))="STD", TRIM(B3185)=TRIM(Enginuity!$A$17))
    ),
    OR(
      AND(LEFT(P3185,5)="1-Way", Enginuity!$B$13=1),
      AND(LEFT(P3185,5)="2-Way", OR(Enginuity!$B$13=2, Enginuity!$B$13=4)),
      AND(LEFT(P3185,5)="3-Way", OR(Enginuity!$B$13=3, Enginuity!$B$13=6)),
      AND(P3185="Inner Centre Jamb", OR(Enginuity!$B$13=4, Enginuity!$B$13=6)),
      AND(
        LEFT(P3185,5)&lt;&gt;"1-Way",
        LEFT(P3185,5)&lt;&gt;"2-Way",
        LEFT(P3185,5)&lt;&gt;"3-Way",
        P3185&lt;&gt;"Inner Centre Jamb"
      )
    ),
    IF(OR(Enginuity!$A$1="Frameless Glass",Enginuity!$A$1="Metal Work"),
      AND(TRIM(B3185)=TRIM(Enginuity!$A$17),TRIM(C3185)=TRIM(Enginuity!$A$18)),
      TRIM(B3185)=TRIM(Enginuity!$A$17)
    )
  ),
  ROW(),
  ""
)</f>
        <v/>
      </c>
    </row>
    <row r="3186" spans="21:21" x14ac:dyDescent="0.25">
      <c r="U3186" s="104" t="str">
        <f>IF(
  AND(
    TRIM(A3186)=TRIM(Enginuity!$A$1),
    TRIM(B3186)=TRIM(Enginuity!$A$17),
    Q3186&lt;&gt;"",
    Q3186&lt;&gt;0,
    OR(
      TRIM(C3186)=TRIM(Enginuity!$A$18),
      AND(UPPER(TRIM(M3186))="STD", TRIM(B3186)=TRIM(Enginuity!$A$17))
    ),
    OR(
      AND(LEFT(P3186,5)="1-Way", Enginuity!$B$13=1),
      AND(LEFT(P3186,5)="2-Way", OR(Enginuity!$B$13=2, Enginuity!$B$13=4)),
      AND(LEFT(P3186,5)="3-Way", OR(Enginuity!$B$13=3, Enginuity!$B$13=6)),
      AND(P3186="Inner Centre Jamb", OR(Enginuity!$B$13=4, Enginuity!$B$13=6)),
      AND(
        LEFT(P3186,5)&lt;&gt;"1-Way",
        LEFT(P3186,5)&lt;&gt;"2-Way",
        LEFT(P3186,5)&lt;&gt;"3-Way",
        P3186&lt;&gt;"Inner Centre Jamb"
      )
    ),
    IF(OR(Enginuity!$A$1="Frameless Glass",Enginuity!$A$1="Metal Work"),
      AND(TRIM(B3186)=TRIM(Enginuity!$A$17),TRIM(C3186)=TRIM(Enginuity!$A$18)),
      TRIM(B3186)=TRIM(Enginuity!$A$17)
    )
  ),
  ROW(),
  ""
)</f>
        <v/>
      </c>
    </row>
    <row r="3187" spans="21:21" x14ac:dyDescent="0.25">
      <c r="U3187" s="104" t="str">
        <f>IF(
  AND(
    TRIM(A3187)=TRIM(Enginuity!$A$1),
    TRIM(B3187)=TRIM(Enginuity!$A$17),
    Q3187&lt;&gt;"",
    Q3187&lt;&gt;0,
    OR(
      TRIM(C3187)=TRIM(Enginuity!$A$18),
      AND(UPPER(TRIM(M3187))="STD", TRIM(B3187)=TRIM(Enginuity!$A$17))
    ),
    OR(
      AND(LEFT(P3187,5)="1-Way", Enginuity!$B$13=1),
      AND(LEFT(P3187,5)="2-Way", OR(Enginuity!$B$13=2, Enginuity!$B$13=4)),
      AND(LEFT(P3187,5)="3-Way", OR(Enginuity!$B$13=3, Enginuity!$B$13=6)),
      AND(P3187="Inner Centre Jamb", OR(Enginuity!$B$13=4, Enginuity!$B$13=6)),
      AND(
        LEFT(P3187,5)&lt;&gt;"1-Way",
        LEFT(P3187,5)&lt;&gt;"2-Way",
        LEFT(P3187,5)&lt;&gt;"3-Way",
        P3187&lt;&gt;"Inner Centre Jamb"
      )
    ),
    IF(OR(Enginuity!$A$1="Frameless Glass",Enginuity!$A$1="Metal Work"),
      AND(TRIM(B3187)=TRIM(Enginuity!$A$17),TRIM(C3187)=TRIM(Enginuity!$A$18)),
      TRIM(B3187)=TRIM(Enginuity!$A$17)
    )
  ),
  ROW(),
  ""
)</f>
        <v/>
      </c>
    </row>
    <row r="3188" spans="21:21" x14ac:dyDescent="0.25">
      <c r="U3188" s="104" t="str">
        <f>IF(
  AND(
    TRIM(A3188)=TRIM(Enginuity!$A$1),
    TRIM(B3188)=TRIM(Enginuity!$A$17),
    Q3188&lt;&gt;"",
    Q3188&lt;&gt;0,
    OR(
      TRIM(C3188)=TRIM(Enginuity!$A$18),
      AND(UPPER(TRIM(M3188))="STD", TRIM(B3188)=TRIM(Enginuity!$A$17))
    ),
    OR(
      AND(LEFT(P3188,5)="1-Way", Enginuity!$B$13=1),
      AND(LEFT(P3188,5)="2-Way", OR(Enginuity!$B$13=2, Enginuity!$B$13=4)),
      AND(LEFT(P3188,5)="3-Way", OR(Enginuity!$B$13=3, Enginuity!$B$13=6)),
      AND(P3188="Inner Centre Jamb", OR(Enginuity!$B$13=4, Enginuity!$B$13=6)),
      AND(
        LEFT(P3188,5)&lt;&gt;"1-Way",
        LEFT(P3188,5)&lt;&gt;"2-Way",
        LEFT(P3188,5)&lt;&gt;"3-Way",
        P3188&lt;&gt;"Inner Centre Jamb"
      )
    ),
    IF(OR(Enginuity!$A$1="Frameless Glass",Enginuity!$A$1="Metal Work"),
      AND(TRIM(B3188)=TRIM(Enginuity!$A$17),TRIM(C3188)=TRIM(Enginuity!$A$18)),
      TRIM(B3188)=TRIM(Enginuity!$A$17)
    )
  ),
  ROW(),
  ""
)</f>
        <v/>
      </c>
    </row>
    <row r="3189" spans="21:21" x14ac:dyDescent="0.25">
      <c r="U3189" s="104" t="str">
        <f>IF(
  AND(
    TRIM(A3189)=TRIM(Enginuity!$A$1),
    TRIM(B3189)=TRIM(Enginuity!$A$17),
    Q3189&lt;&gt;"",
    Q3189&lt;&gt;0,
    OR(
      TRIM(C3189)=TRIM(Enginuity!$A$18),
      AND(UPPER(TRIM(M3189))="STD", TRIM(B3189)=TRIM(Enginuity!$A$17))
    ),
    OR(
      AND(LEFT(P3189,5)="1-Way", Enginuity!$B$13=1),
      AND(LEFT(P3189,5)="2-Way", OR(Enginuity!$B$13=2, Enginuity!$B$13=4)),
      AND(LEFT(P3189,5)="3-Way", OR(Enginuity!$B$13=3, Enginuity!$B$13=6)),
      AND(P3189="Inner Centre Jamb", OR(Enginuity!$B$13=4, Enginuity!$B$13=6)),
      AND(
        LEFT(P3189,5)&lt;&gt;"1-Way",
        LEFT(P3189,5)&lt;&gt;"2-Way",
        LEFT(P3189,5)&lt;&gt;"3-Way",
        P3189&lt;&gt;"Inner Centre Jamb"
      )
    ),
    IF(OR(Enginuity!$A$1="Frameless Glass",Enginuity!$A$1="Metal Work"),
      AND(TRIM(B3189)=TRIM(Enginuity!$A$17),TRIM(C3189)=TRIM(Enginuity!$A$18)),
      TRIM(B3189)=TRIM(Enginuity!$A$17)
    )
  ),
  ROW(),
  ""
)</f>
        <v/>
      </c>
    </row>
    <row r="3190" spans="21:21" x14ac:dyDescent="0.25">
      <c r="U3190" s="104" t="str">
        <f>IF(
  AND(
    TRIM(A3190)=TRIM(Enginuity!$A$1),
    TRIM(B3190)=TRIM(Enginuity!$A$17),
    Q3190&lt;&gt;"",
    Q3190&lt;&gt;0,
    OR(
      TRIM(C3190)=TRIM(Enginuity!$A$18),
      AND(UPPER(TRIM(M3190))="STD", TRIM(B3190)=TRIM(Enginuity!$A$17))
    ),
    OR(
      AND(LEFT(P3190,5)="1-Way", Enginuity!$B$13=1),
      AND(LEFT(P3190,5)="2-Way", OR(Enginuity!$B$13=2, Enginuity!$B$13=4)),
      AND(LEFT(P3190,5)="3-Way", OR(Enginuity!$B$13=3, Enginuity!$B$13=6)),
      AND(P3190="Inner Centre Jamb", OR(Enginuity!$B$13=4, Enginuity!$B$13=6)),
      AND(
        LEFT(P3190,5)&lt;&gt;"1-Way",
        LEFT(P3190,5)&lt;&gt;"2-Way",
        LEFT(P3190,5)&lt;&gt;"3-Way",
        P3190&lt;&gt;"Inner Centre Jamb"
      )
    ),
    IF(OR(Enginuity!$A$1="Frameless Glass",Enginuity!$A$1="Metal Work"),
      AND(TRIM(B3190)=TRIM(Enginuity!$A$17),TRIM(C3190)=TRIM(Enginuity!$A$18)),
      TRIM(B3190)=TRIM(Enginuity!$A$17)
    )
  ),
  ROW(),
  ""
)</f>
        <v/>
      </c>
    </row>
    <row r="3191" spans="21:21" x14ac:dyDescent="0.25">
      <c r="U3191" s="104" t="str">
        <f>IF(
  AND(
    TRIM(A3191)=TRIM(Enginuity!$A$1),
    TRIM(B3191)=TRIM(Enginuity!$A$17),
    Q3191&lt;&gt;"",
    Q3191&lt;&gt;0,
    OR(
      TRIM(C3191)=TRIM(Enginuity!$A$18),
      AND(UPPER(TRIM(M3191))="STD", TRIM(B3191)=TRIM(Enginuity!$A$17))
    ),
    OR(
      AND(LEFT(P3191,5)="1-Way", Enginuity!$B$13=1),
      AND(LEFT(P3191,5)="2-Way", OR(Enginuity!$B$13=2, Enginuity!$B$13=4)),
      AND(LEFT(P3191,5)="3-Way", OR(Enginuity!$B$13=3, Enginuity!$B$13=6)),
      AND(P3191="Inner Centre Jamb", OR(Enginuity!$B$13=4, Enginuity!$B$13=6)),
      AND(
        LEFT(P3191,5)&lt;&gt;"1-Way",
        LEFT(P3191,5)&lt;&gt;"2-Way",
        LEFT(P3191,5)&lt;&gt;"3-Way",
        P3191&lt;&gt;"Inner Centre Jamb"
      )
    ),
    IF(OR(Enginuity!$A$1="Frameless Glass",Enginuity!$A$1="Metal Work"),
      AND(TRIM(B3191)=TRIM(Enginuity!$A$17),TRIM(C3191)=TRIM(Enginuity!$A$18)),
      TRIM(B3191)=TRIM(Enginuity!$A$17)
    )
  ),
  ROW(),
  ""
)</f>
        <v/>
      </c>
    </row>
    <row r="3192" spans="21:21" x14ac:dyDescent="0.25">
      <c r="U3192" s="104" t="str">
        <f>IF(
  AND(
    TRIM(A3192)=TRIM(Enginuity!$A$1),
    TRIM(B3192)=TRIM(Enginuity!$A$17),
    Q3192&lt;&gt;"",
    Q3192&lt;&gt;0,
    OR(
      TRIM(C3192)=TRIM(Enginuity!$A$18),
      AND(UPPER(TRIM(M3192))="STD", TRIM(B3192)=TRIM(Enginuity!$A$17))
    ),
    OR(
      AND(LEFT(P3192,5)="1-Way", Enginuity!$B$13=1),
      AND(LEFT(P3192,5)="2-Way", OR(Enginuity!$B$13=2, Enginuity!$B$13=4)),
      AND(LEFT(P3192,5)="3-Way", OR(Enginuity!$B$13=3, Enginuity!$B$13=6)),
      AND(P3192="Inner Centre Jamb", OR(Enginuity!$B$13=4, Enginuity!$B$13=6)),
      AND(
        LEFT(P3192,5)&lt;&gt;"1-Way",
        LEFT(P3192,5)&lt;&gt;"2-Way",
        LEFT(P3192,5)&lt;&gt;"3-Way",
        P3192&lt;&gt;"Inner Centre Jamb"
      )
    ),
    IF(OR(Enginuity!$A$1="Frameless Glass",Enginuity!$A$1="Metal Work"),
      AND(TRIM(B3192)=TRIM(Enginuity!$A$17),TRIM(C3192)=TRIM(Enginuity!$A$18)),
      TRIM(B3192)=TRIM(Enginuity!$A$17)
    )
  ),
  ROW(),
  ""
)</f>
        <v/>
      </c>
    </row>
    <row r="3193" spans="21:21" x14ac:dyDescent="0.25">
      <c r="U3193" s="104" t="str">
        <f>IF(
  AND(
    TRIM(A3193)=TRIM(Enginuity!$A$1),
    TRIM(B3193)=TRIM(Enginuity!$A$17),
    Q3193&lt;&gt;"",
    Q3193&lt;&gt;0,
    OR(
      TRIM(C3193)=TRIM(Enginuity!$A$18),
      AND(UPPER(TRIM(M3193))="STD", TRIM(B3193)=TRIM(Enginuity!$A$17))
    ),
    OR(
      AND(LEFT(P3193,5)="1-Way", Enginuity!$B$13=1),
      AND(LEFT(P3193,5)="2-Way", OR(Enginuity!$B$13=2, Enginuity!$B$13=4)),
      AND(LEFT(P3193,5)="3-Way", OR(Enginuity!$B$13=3, Enginuity!$B$13=6)),
      AND(P3193="Inner Centre Jamb", OR(Enginuity!$B$13=4, Enginuity!$B$13=6)),
      AND(
        LEFT(P3193,5)&lt;&gt;"1-Way",
        LEFT(P3193,5)&lt;&gt;"2-Way",
        LEFT(P3193,5)&lt;&gt;"3-Way",
        P3193&lt;&gt;"Inner Centre Jamb"
      )
    ),
    IF(OR(Enginuity!$A$1="Frameless Glass",Enginuity!$A$1="Metal Work"),
      AND(TRIM(B3193)=TRIM(Enginuity!$A$17),TRIM(C3193)=TRIM(Enginuity!$A$18)),
      TRIM(B3193)=TRIM(Enginuity!$A$17)
    )
  ),
  ROW(),
  ""
)</f>
        <v/>
      </c>
    </row>
    <row r="3194" spans="21:21" x14ac:dyDescent="0.25">
      <c r="U3194" s="104" t="str">
        <f>IF(
  AND(
    TRIM(A3194)=TRIM(Enginuity!$A$1),
    TRIM(B3194)=TRIM(Enginuity!$A$17),
    Q3194&lt;&gt;"",
    Q3194&lt;&gt;0,
    OR(
      TRIM(C3194)=TRIM(Enginuity!$A$18),
      AND(UPPER(TRIM(M3194))="STD", TRIM(B3194)=TRIM(Enginuity!$A$17))
    ),
    OR(
      AND(LEFT(P3194,5)="1-Way", Enginuity!$B$13=1),
      AND(LEFT(P3194,5)="2-Way", OR(Enginuity!$B$13=2, Enginuity!$B$13=4)),
      AND(LEFT(P3194,5)="3-Way", OR(Enginuity!$B$13=3, Enginuity!$B$13=6)),
      AND(P3194="Inner Centre Jamb", OR(Enginuity!$B$13=4, Enginuity!$B$13=6)),
      AND(
        LEFT(P3194,5)&lt;&gt;"1-Way",
        LEFT(P3194,5)&lt;&gt;"2-Way",
        LEFT(P3194,5)&lt;&gt;"3-Way",
        P3194&lt;&gt;"Inner Centre Jamb"
      )
    ),
    IF(OR(Enginuity!$A$1="Frameless Glass",Enginuity!$A$1="Metal Work"),
      AND(TRIM(B3194)=TRIM(Enginuity!$A$17),TRIM(C3194)=TRIM(Enginuity!$A$18)),
      TRIM(B3194)=TRIM(Enginuity!$A$17)
    )
  ),
  ROW(),
  ""
)</f>
        <v/>
      </c>
    </row>
    <row r="3195" spans="21:21" x14ac:dyDescent="0.25">
      <c r="U3195" s="104" t="str">
        <f>IF(
  AND(
    TRIM(A3195)=TRIM(Enginuity!$A$1),
    TRIM(B3195)=TRIM(Enginuity!$A$17),
    Q3195&lt;&gt;"",
    Q3195&lt;&gt;0,
    OR(
      TRIM(C3195)=TRIM(Enginuity!$A$18),
      AND(UPPER(TRIM(M3195))="STD", TRIM(B3195)=TRIM(Enginuity!$A$17))
    ),
    OR(
      AND(LEFT(P3195,5)="1-Way", Enginuity!$B$13=1),
      AND(LEFT(P3195,5)="2-Way", OR(Enginuity!$B$13=2, Enginuity!$B$13=4)),
      AND(LEFT(P3195,5)="3-Way", OR(Enginuity!$B$13=3, Enginuity!$B$13=6)),
      AND(P3195="Inner Centre Jamb", OR(Enginuity!$B$13=4, Enginuity!$B$13=6)),
      AND(
        LEFT(P3195,5)&lt;&gt;"1-Way",
        LEFT(P3195,5)&lt;&gt;"2-Way",
        LEFT(P3195,5)&lt;&gt;"3-Way",
        P3195&lt;&gt;"Inner Centre Jamb"
      )
    ),
    IF(OR(Enginuity!$A$1="Frameless Glass",Enginuity!$A$1="Metal Work"),
      AND(TRIM(B3195)=TRIM(Enginuity!$A$17),TRIM(C3195)=TRIM(Enginuity!$A$18)),
      TRIM(B3195)=TRIM(Enginuity!$A$17)
    )
  ),
  ROW(),
  ""
)</f>
        <v/>
      </c>
    </row>
    <row r="3196" spans="21:21" x14ac:dyDescent="0.25">
      <c r="U3196" s="104" t="str">
        <f>IF(
  AND(
    TRIM(A3196)=TRIM(Enginuity!$A$1),
    TRIM(B3196)=TRIM(Enginuity!$A$17),
    Q3196&lt;&gt;"",
    Q3196&lt;&gt;0,
    OR(
      TRIM(C3196)=TRIM(Enginuity!$A$18),
      AND(UPPER(TRIM(M3196))="STD", TRIM(B3196)=TRIM(Enginuity!$A$17))
    ),
    OR(
      AND(LEFT(P3196,5)="1-Way", Enginuity!$B$13=1),
      AND(LEFT(P3196,5)="2-Way", OR(Enginuity!$B$13=2, Enginuity!$B$13=4)),
      AND(LEFT(P3196,5)="3-Way", OR(Enginuity!$B$13=3, Enginuity!$B$13=6)),
      AND(P3196="Inner Centre Jamb", OR(Enginuity!$B$13=4, Enginuity!$B$13=6)),
      AND(
        LEFT(P3196,5)&lt;&gt;"1-Way",
        LEFT(P3196,5)&lt;&gt;"2-Way",
        LEFT(P3196,5)&lt;&gt;"3-Way",
        P3196&lt;&gt;"Inner Centre Jamb"
      )
    ),
    IF(OR(Enginuity!$A$1="Frameless Glass",Enginuity!$A$1="Metal Work"),
      AND(TRIM(B3196)=TRIM(Enginuity!$A$17),TRIM(C3196)=TRIM(Enginuity!$A$18)),
      TRIM(B3196)=TRIM(Enginuity!$A$17)
    )
  ),
  ROW(),
  ""
)</f>
        <v/>
      </c>
    </row>
    <row r="3197" spans="21:21" x14ac:dyDescent="0.25">
      <c r="U3197" s="104" t="str">
        <f>IF(
  AND(
    TRIM(A3197)=TRIM(Enginuity!$A$1),
    TRIM(B3197)=TRIM(Enginuity!$A$17),
    Q3197&lt;&gt;"",
    Q3197&lt;&gt;0,
    OR(
      TRIM(C3197)=TRIM(Enginuity!$A$18),
      AND(UPPER(TRIM(M3197))="STD", TRIM(B3197)=TRIM(Enginuity!$A$17))
    ),
    OR(
      AND(LEFT(P3197,5)="1-Way", Enginuity!$B$13=1),
      AND(LEFT(P3197,5)="2-Way", OR(Enginuity!$B$13=2, Enginuity!$B$13=4)),
      AND(LEFT(P3197,5)="3-Way", OR(Enginuity!$B$13=3, Enginuity!$B$13=6)),
      AND(P3197="Inner Centre Jamb", OR(Enginuity!$B$13=4, Enginuity!$B$13=6)),
      AND(
        LEFT(P3197,5)&lt;&gt;"1-Way",
        LEFT(P3197,5)&lt;&gt;"2-Way",
        LEFT(P3197,5)&lt;&gt;"3-Way",
        P3197&lt;&gt;"Inner Centre Jamb"
      )
    ),
    IF(OR(Enginuity!$A$1="Frameless Glass",Enginuity!$A$1="Metal Work"),
      AND(TRIM(B3197)=TRIM(Enginuity!$A$17),TRIM(C3197)=TRIM(Enginuity!$A$18)),
      TRIM(B3197)=TRIM(Enginuity!$A$17)
    )
  ),
  ROW(),
  ""
)</f>
        <v/>
      </c>
    </row>
    <row r="3198" spans="21:21" x14ac:dyDescent="0.25">
      <c r="U3198" s="104" t="str">
        <f>IF(
  AND(
    TRIM(A3198)=TRIM(Enginuity!$A$1),
    TRIM(B3198)=TRIM(Enginuity!$A$17),
    Q3198&lt;&gt;"",
    Q3198&lt;&gt;0,
    OR(
      TRIM(C3198)=TRIM(Enginuity!$A$18),
      AND(UPPER(TRIM(M3198))="STD", TRIM(B3198)=TRIM(Enginuity!$A$17))
    ),
    OR(
      AND(LEFT(P3198,5)="1-Way", Enginuity!$B$13=1),
      AND(LEFT(P3198,5)="2-Way", OR(Enginuity!$B$13=2, Enginuity!$B$13=4)),
      AND(LEFT(P3198,5)="3-Way", OR(Enginuity!$B$13=3, Enginuity!$B$13=6)),
      AND(P3198="Inner Centre Jamb", OR(Enginuity!$B$13=4, Enginuity!$B$13=6)),
      AND(
        LEFT(P3198,5)&lt;&gt;"1-Way",
        LEFT(P3198,5)&lt;&gt;"2-Way",
        LEFT(P3198,5)&lt;&gt;"3-Way",
        P3198&lt;&gt;"Inner Centre Jamb"
      )
    ),
    IF(OR(Enginuity!$A$1="Frameless Glass",Enginuity!$A$1="Metal Work"),
      AND(TRIM(B3198)=TRIM(Enginuity!$A$17),TRIM(C3198)=TRIM(Enginuity!$A$18)),
      TRIM(B3198)=TRIM(Enginuity!$A$17)
    )
  ),
  ROW(),
  ""
)</f>
        <v/>
      </c>
    </row>
    <row r="3199" spans="21:21" x14ac:dyDescent="0.25">
      <c r="U3199" s="104" t="str">
        <f>IF(
  AND(
    TRIM(A3199)=TRIM(Enginuity!$A$1),
    TRIM(B3199)=TRIM(Enginuity!$A$17),
    Q3199&lt;&gt;"",
    Q3199&lt;&gt;0,
    OR(
      TRIM(C3199)=TRIM(Enginuity!$A$18),
      AND(UPPER(TRIM(M3199))="STD", TRIM(B3199)=TRIM(Enginuity!$A$17))
    ),
    OR(
      AND(LEFT(P3199,5)="1-Way", Enginuity!$B$13=1),
      AND(LEFT(P3199,5)="2-Way", OR(Enginuity!$B$13=2, Enginuity!$B$13=4)),
      AND(LEFT(P3199,5)="3-Way", OR(Enginuity!$B$13=3, Enginuity!$B$13=6)),
      AND(P3199="Inner Centre Jamb", OR(Enginuity!$B$13=4, Enginuity!$B$13=6)),
      AND(
        LEFT(P3199,5)&lt;&gt;"1-Way",
        LEFT(P3199,5)&lt;&gt;"2-Way",
        LEFT(P3199,5)&lt;&gt;"3-Way",
        P3199&lt;&gt;"Inner Centre Jamb"
      )
    ),
    IF(OR(Enginuity!$A$1="Frameless Glass",Enginuity!$A$1="Metal Work"),
      AND(TRIM(B3199)=TRIM(Enginuity!$A$17),TRIM(C3199)=TRIM(Enginuity!$A$18)),
      TRIM(B3199)=TRIM(Enginuity!$A$17)
    )
  ),
  ROW(),
  ""
)</f>
        <v/>
      </c>
    </row>
    <row r="3200" spans="21:21" x14ac:dyDescent="0.25">
      <c r="U3200" s="104" t="str">
        <f>IF(
  AND(
    TRIM(A3200)=TRIM(Enginuity!$A$1),
    TRIM(B3200)=TRIM(Enginuity!$A$17),
    Q3200&lt;&gt;"",
    Q3200&lt;&gt;0,
    OR(
      TRIM(C3200)=TRIM(Enginuity!$A$18),
      AND(UPPER(TRIM(M3200))="STD", TRIM(B3200)=TRIM(Enginuity!$A$17))
    ),
    OR(
      AND(LEFT(P3200,5)="1-Way", Enginuity!$B$13=1),
      AND(LEFT(P3200,5)="2-Way", OR(Enginuity!$B$13=2, Enginuity!$B$13=4)),
      AND(LEFT(P3200,5)="3-Way", OR(Enginuity!$B$13=3, Enginuity!$B$13=6)),
      AND(P3200="Inner Centre Jamb", OR(Enginuity!$B$13=4, Enginuity!$B$13=6)),
      AND(
        LEFT(P3200,5)&lt;&gt;"1-Way",
        LEFT(P3200,5)&lt;&gt;"2-Way",
        LEFT(P3200,5)&lt;&gt;"3-Way",
        P3200&lt;&gt;"Inner Centre Jamb"
      )
    ),
    IF(OR(Enginuity!$A$1="Frameless Glass",Enginuity!$A$1="Metal Work"),
      AND(TRIM(B3200)=TRIM(Enginuity!$A$17),TRIM(C3200)=TRIM(Enginuity!$A$18)),
      TRIM(B3200)=TRIM(Enginuity!$A$17)
    )
  ),
  ROW(),
  ""
)</f>
        <v/>
      </c>
    </row>
    <row r="3201" spans="21:21" x14ac:dyDescent="0.25">
      <c r="U3201" s="104" t="str">
        <f>IF(
  AND(
    TRIM(A3201)=TRIM(Enginuity!$A$1),
    TRIM(B3201)=TRIM(Enginuity!$A$17),
    Q3201&lt;&gt;"",
    Q3201&lt;&gt;0,
    OR(
      TRIM(C3201)=TRIM(Enginuity!$A$18),
      AND(UPPER(TRIM(M3201))="STD", TRIM(B3201)=TRIM(Enginuity!$A$17))
    ),
    OR(
      AND(LEFT(P3201,5)="1-Way", Enginuity!$B$13=1),
      AND(LEFT(P3201,5)="2-Way", OR(Enginuity!$B$13=2, Enginuity!$B$13=4)),
      AND(LEFT(P3201,5)="3-Way", OR(Enginuity!$B$13=3, Enginuity!$B$13=6)),
      AND(P3201="Inner Centre Jamb", OR(Enginuity!$B$13=4, Enginuity!$B$13=6)),
      AND(
        LEFT(P3201,5)&lt;&gt;"1-Way",
        LEFT(P3201,5)&lt;&gt;"2-Way",
        LEFT(P3201,5)&lt;&gt;"3-Way",
        P3201&lt;&gt;"Inner Centre Jamb"
      )
    ),
    IF(OR(Enginuity!$A$1="Frameless Glass",Enginuity!$A$1="Metal Work"),
      AND(TRIM(B3201)=TRIM(Enginuity!$A$17),TRIM(C3201)=TRIM(Enginuity!$A$18)),
      TRIM(B3201)=TRIM(Enginuity!$A$17)
    )
  ),
  ROW(),
  ""
)</f>
        <v/>
      </c>
    </row>
    <row r="3202" spans="21:21" x14ac:dyDescent="0.25">
      <c r="U3202" s="104" t="str">
        <f>IF(
  AND(
    TRIM(A3202)=TRIM(Enginuity!$A$1),
    TRIM(B3202)=TRIM(Enginuity!$A$17),
    Q3202&lt;&gt;"",
    Q3202&lt;&gt;0,
    OR(
      TRIM(C3202)=TRIM(Enginuity!$A$18),
      AND(UPPER(TRIM(M3202))="STD", TRIM(B3202)=TRIM(Enginuity!$A$17))
    ),
    OR(
      AND(LEFT(P3202,5)="1-Way", Enginuity!$B$13=1),
      AND(LEFT(P3202,5)="2-Way", OR(Enginuity!$B$13=2, Enginuity!$B$13=4)),
      AND(LEFT(P3202,5)="3-Way", OR(Enginuity!$B$13=3, Enginuity!$B$13=6)),
      AND(P3202="Inner Centre Jamb", OR(Enginuity!$B$13=4, Enginuity!$B$13=6)),
      AND(
        LEFT(P3202,5)&lt;&gt;"1-Way",
        LEFT(P3202,5)&lt;&gt;"2-Way",
        LEFT(P3202,5)&lt;&gt;"3-Way",
        P3202&lt;&gt;"Inner Centre Jamb"
      )
    ),
    IF(OR(Enginuity!$A$1="Frameless Glass",Enginuity!$A$1="Metal Work"),
      AND(TRIM(B3202)=TRIM(Enginuity!$A$17),TRIM(C3202)=TRIM(Enginuity!$A$18)),
      TRIM(B3202)=TRIM(Enginuity!$A$17)
    )
  ),
  ROW(),
  ""
)</f>
        <v/>
      </c>
    </row>
    <row r="3203" spans="21:21" x14ac:dyDescent="0.25">
      <c r="U3203" s="104" t="str">
        <f>IF(
  AND(
    TRIM(A3203)=TRIM(Enginuity!$A$1),
    TRIM(B3203)=TRIM(Enginuity!$A$17),
    Q3203&lt;&gt;"",
    Q3203&lt;&gt;0,
    OR(
      TRIM(C3203)=TRIM(Enginuity!$A$18),
      AND(UPPER(TRIM(M3203))="STD", TRIM(B3203)=TRIM(Enginuity!$A$17))
    ),
    OR(
      AND(LEFT(P3203,5)="1-Way", Enginuity!$B$13=1),
      AND(LEFT(P3203,5)="2-Way", OR(Enginuity!$B$13=2, Enginuity!$B$13=4)),
      AND(LEFT(P3203,5)="3-Way", OR(Enginuity!$B$13=3, Enginuity!$B$13=6)),
      AND(P3203="Inner Centre Jamb", OR(Enginuity!$B$13=4, Enginuity!$B$13=6)),
      AND(
        LEFT(P3203,5)&lt;&gt;"1-Way",
        LEFT(P3203,5)&lt;&gt;"2-Way",
        LEFT(P3203,5)&lt;&gt;"3-Way",
        P3203&lt;&gt;"Inner Centre Jamb"
      )
    ),
    IF(OR(Enginuity!$A$1="Frameless Glass",Enginuity!$A$1="Metal Work"),
      AND(TRIM(B3203)=TRIM(Enginuity!$A$17),TRIM(C3203)=TRIM(Enginuity!$A$18)),
      TRIM(B3203)=TRIM(Enginuity!$A$17)
    )
  ),
  ROW(),
  ""
)</f>
        <v/>
      </c>
    </row>
    <row r="3204" spans="21:21" x14ac:dyDescent="0.25">
      <c r="U3204" s="104" t="str">
        <f>IF(
  AND(
    TRIM(A3204)=TRIM(Enginuity!$A$1),
    TRIM(B3204)=TRIM(Enginuity!$A$17),
    Q3204&lt;&gt;"",
    Q3204&lt;&gt;0,
    OR(
      TRIM(C3204)=TRIM(Enginuity!$A$18),
      AND(UPPER(TRIM(M3204))="STD", TRIM(B3204)=TRIM(Enginuity!$A$17))
    ),
    OR(
      AND(LEFT(P3204,5)="1-Way", Enginuity!$B$13=1),
      AND(LEFT(P3204,5)="2-Way", OR(Enginuity!$B$13=2, Enginuity!$B$13=4)),
      AND(LEFT(P3204,5)="3-Way", OR(Enginuity!$B$13=3, Enginuity!$B$13=6)),
      AND(P3204="Inner Centre Jamb", OR(Enginuity!$B$13=4, Enginuity!$B$13=6)),
      AND(
        LEFT(P3204,5)&lt;&gt;"1-Way",
        LEFT(P3204,5)&lt;&gt;"2-Way",
        LEFT(P3204,5)&lt;&gt;"3-Way",
        P3204&lt;&gt;"Inner Centre Jamb"
      )
    ),
    IF(OR(Enginuity!$A$1="Frameless Glass",Enginuity!$A$1="Metal Work"),
      AND(TRIM(B3204)=TRIM(Enginuity!$A$17),TRIM(C3204)=TRIM(Enginuity!$A$18)),
      TRIM(B3204)=TRIM(Enginuity!$A$17)
    )
  ),
  ROW(),
  ""
)</f>
        <v/>
      </c>
    </row>
    <row r="3205" spans="21:21" x14ac:dyDescent="0.25">
      <c r="U3205" s="104" t="str">
        <f>IF(
  AND(
    TRIM(A3205)=TRIM(Enginuity!$A$1),
    TRIM(B3205)=TRIM(Enginuity!$A$17),
    Q3205&lt;&gt;"",
    Q3205&lt;&gt;0,
    OR(
      TRIM(C3205)=TRIM(Enginuity!$A$18),
      AND(UPPER(TRIM(M3205))="STD", TRIM(B3205)=TRIM(Enginuity!$A$17))
    ),
    OR(
      AND(LEFT(P3205,5)="1-Way", Enginuity!$B$13=1),
      AND(LEFT(P3205,5)="2-Way", OR(Enginuity!$B$13=2, Enginuity!$B$13=4)),
      AND(LEFT(P3205,5)="3-Way", OR(Enginuity!$B$13=3, Enginuity!$B$13=6)),
      AND(P3205="Inner Centre Jamb", OR(Enginuity!$B$13=4, Enginuity!$B$13=6)),
      AND(
        LEFT(P3205,5)&lt;&gt;"1-Way",
        LEFT(P3205,5)&lt;&gt;"2-Way",
        LEFT(P3205,5)&lt;&gt;"3-Way",
        P3205&lt;&gt;"Inner Centre Jamb"
      )
    ),
    IF(OR(Enginuity!$A$1="Frameless Glass",Enginuity!$A$1="Metal Work"),
      AND(TRIM(B3205)=TRIM(Enginuity!$A$17),TRIM(C3205)=TRIM(Enginuity!$A$18)),
      TRIM(B3205)=TRIM(Enginuity!$A$17)
    )
  ),
  ROW(),
  ""
)</f>
        <v/>
      </c>
    </row>
    <row r="3206" spans="21:21" x14ac:dyDescent="0.25">
      <c r="U3206" s="104" t="str">
        <f>IF(
  AND(
    TRIM(A3206)=TRIM(Enginuity!$A$1),
    TRIM(B3206)=TRIM(Enginuity!$A$17),
    Q3206&lt;&gt;"",
    Q3206&lt;&gt;0,
    OR(
      TRIM(C3206)=TRIM(Enginuity!$A$18),
      AND(UPPER(TRIM(M3206))="STD", TRIM(B3206)=TRIM(Enginuity!$A$17))
    ),
    OR(
      AND(LEFT(P3206,5)="1-Way", Enginuity!$B$13=1),
      AND(LEFT(P3206,5)="2-Way", OR(Enginuity!$B$13=2, Enginuity!$B$13=4)),
      AND(LEFT(P3206,5)="3-Way", OR(Enginuity!$B$13=3, Enginuity!$B$13=6)),
      AND(P3206="Inner Centre Jamb", OR(Enginuity!$B$13=4, Enginuity!$B$13=6)),
      AND(
        LEFT(P3206,5)&lt;&gt;"1-Way",
        LEFT(P3206,5)&lt;&gt;"2-Way",
        LEFT(P3206,5)&lt;&gt;"3-Way",
        P3206&lt;&gt;"Inner Centre Jamb"
      )
    ),
    IF(OR(Enginuity!$A$1="Frameless Glass",Enginuity!$A$1="Metal Work"),
      AND(TRIM(B3206)=TRIM(Enginuity!$A$17),TRIM(C3206)=TRIM(Enginuity!$A$18)),
      TRIM(B3206)=TRIM(Enginuity!$A$17)
    )
  ),
  ROW(),
  ""
)</f>
        <v/>
      </c>
    </row>
    <row r="3207" spans="21:21" x14ac:dyDescent="0.25">
      <c r="U3207" s="104" t="str">
        <f>IF(
  AND(
    TRIM(A3207)=TRIM(Enginuity!$A$1),
    TRIM(B3207)=TRIM(Enginuity!$A$17),
    Q3207&lt;&gt;"",
    Q3207&lt;&gt;0,
    OR(
      TRIM(C3207)=TRIM(Enginuity!$A$18),
      AND(UPPER(TRIM(M3207))="STD", TRIM(B3207)=TRIM(Enginuity!$A$17))
    ),
    OR(
      AND(LEFT(P3207,5)="1-Way", Enginuity!$B$13=1),
      AND(LEFT(P3207,5)="2-Way", OR(Enginuity!$B$13=2, Enginuity!$B$13=4)),
      AND(LEFT(P3207,5)="3-Way", OR(Enginuity!$B$13=3, Enginuity!$B$13=6)),
      AND(P3207="Inner Centre Jamb", OR(Enginuity!$B$13=4, Enginuity!$B$13=6)),
      AND(
        LEFT(P3207,5)&lt;&gt;"1-Way",
        LEFT(P3207,5)&lt;&gt;"2-Way",
        LEFT(P3207,5)&lt;&gt;"3-Way",
        P3207&lt;&gt;"Inner Centre Jamb"
      )
    ),
    IF(OR(Enginuity!$A$1="Frameless Glass",Enginuity!$A$1="Metal Work"),
      AND(TRIM(B3207)=TRIM(Enginuity!$A$17),TRIM(C3207)=TRIM(Enginuity!$A$18)),
      TRIM(B3207)=TRIM(Enginuity!$A$17)
    )
  ),
  ROW(),
  ""
)</f>
        <v/>
      </c>
    </row>
    <row r="3208" spans="21:21" x14ac:dyDescent="0.25">
      <c r="U3208" s="104" t="str">
        <f>IF(
  AND(
    TRIM(A3208)=TRIM(Enginuity!$A$1),
    TRIM(B3208)=TRIM(Enginuity!$A$17),
    Q3208&lt;&gt;"",
    Q3208&lt;&gt;0,
    OR(
      TRIM(C3208)=TRIM(Enginuity!$A$18),
      AND(UPPER(TRIM(M3208))="STD", TRIM(B3208)=TRIM(Enginuity!$A$17))
    ),
    OR(
      AND(LEFT(P3208,5)="1-Way", Enginuity!$B$13=1),
      AND(LEFT(P3208,5)="2-Way", OR(Enginuity!$B$13=2, Enginuity!$B$13=4)),
      AND(LEFT(P3208,5)="3-Way", OR(Enginuity!$B$13=3, Enginuity!$B$13=6)),
      AND(P3208="Inner Centre Jamb", OR(Enginuity!$B$13=4, Enginuity!$B$13=6)),
      AND(
        LEFT(P3208,5)&lt;&gt;"1-Way",
        LEFT(P3208,5)&lt;&gt;"2-Way",
        LEFT(P3208,5)&lt;&gt;"3-Way",
        P3208&lt;&gt;"Inner Centre Jamb"
      )
    ),
    IF(OR(Enginuity!$A$1="Frameless Glass",Enginuity!$A$1="Metal Work"),
      AND(TRIM(B3208)=TRIM(Enginuity!$A$17),TRIM(C3208)=TRIM(Enginuity!$A$18)),
      TRIM(B3208)=TRIM(Enginuity!$A$17)
    )
  ),
  ROW(),
  ""
)</f>
        <v/>
      </c>
    </row>
    <row r="3209" spans="21:21" x14ac:dyDescent="0.25">
      <c r="U3209" s="104" t="str">
        <f>IF(
  AND(
    TRIM(A3209)=TRIM(Enginuity!$A$1),
    TRIM(B3209)=TRIM(Enginuity!$A$17),
    Q3209&lt;&gt;"",
    Q3209&lt;&gt;0,
    OR(
      TRIM(C3209)=TRIM(Enginuity!$A$18),
      AND(UPPER(TRIM(M3209))="STD", TRIM(B3209)=TRIM(Enginuity!$A$17))
    ),
    OR(
      AND(LEFT(P3209,5)="1-Way", Enginuity!$B$13=1),
      AND(LEFT(P3209,5)="2-Way", OR(Enginuity!$B$13=2, Enginuity!$B$13=4)),
      AND(LEFT(P3209,5)="3-Way", OR(Enginuity!$B$13=3, Enginuity!$B$13=6)),
      AND(P3209="Inner Centre Jamb", OR(Enginuity!$B$13=4, Enginuity!$B$13=6)),
      AND(
        LEFT(P3209,5)&lt;&gt;"1-Way",
        LEFT(P3209,5)&lt;&gt;"2-Way",
        LEFT(P3209,5)&lt;&gt;"3-Way",
        P3209&lt;&gt;"Inner Centre Jamb"
      )
    ),
    IF(OR(Enginuity!$A$1="Frameless Glass",Enginuity!$A$1="Metal Work"),
      AND(TRIM(B3209)=TRIM(Enginuity!$A$17),TRIM(C3209)=TRIM(Enginuity!$A$18)),
      TRIM(B3209)=TRIM(Enginuity!$A$17)
    )
  ),
  ROW(),
  ""
)</f>
        <v/>
      </c>
    </row>
    <row r="3210" spans="21:21" x14ac:dyDescent="0.25">
      <c r="U3210" s="104" t="str">
        <f>IF(
  AND(
    TRIM(A3210)=TRIM(Enginuity!$A$1),
    TRIM(B3210)=TRIM(Enginuity!$A$17),
    Q3210&lt;&gt;"",
    Q3210&lt;&gt;0,
    OR(
      TRIM(C3210)=TRIM(Enginuity!$A$18),
      AND(UPPER(TRIM(M3210))="STD", TRIM(B3210)=TRIM(Enginuity!$A$17))
    ),
    OR(
      AND(LEFT(P3210,5)="1-Way", Enginuity!$B$13=1),
      AND(LEFT(P3210,5)="2-Way", OR(Enginuity!$B$13=2, Enginuity!$B$13=4)),
      AND(LEFT(P3210,5)="3-Way", OR(Enginuity!$B$13=3, Enginuity!$B$13=6)),
      AND(P3210="Inner Centre Jamb", OR(Enginuity!$B$13=4, Enginuity!$B$13=6)),
      AND(
        LEFT(P3210,5)&lt;&gt;"1-Way",
        LEFT(P3210,5)&lt;&gt;"2-Way",
        LEFT(P3210,5)&lt;&gt;"3-Way",
        P3210&lt;&gt;"Inner Centre Jamb"
      )
    ),
    IF(OR(Enginuity!$A$1="Frameless Glass",Enginuity!$A$1="Metal Work"),
      AND(TRIM(B3210)=TRIM(Enginuity!$A$17),TRIM(C3210)=TRIM(Enginuity!$A$18)),
      TRIM(B3210)=TRIM(Enginuity!$A$17)
    )
  ),
  ROW(),
  ""
)</f>
        <v/>
      </c>
    </row>
    <row r="3211" spans="21:21" x14ac:dyDescent="0.25">
      <c r="U3211" s="104" t="str">
        <f>IF(
  AND(
    TRIM(A3211)=TRIM(Enginuity!$A$1),
    TRIM(B3211)=TRIM(Enginuity!$A$17),
    Q3211&lt;&gt;"",
    Q3211&lt;&gt;0,
    OR(
      TRIM(C3211)=TRIM(Enginuity!$A$18),
      AND(UPPER(TRIM(M3211))="STD", TRIM(B3211)=TRIM(Enginuity!$A$17))
    ),
    OR(
      AND(LEFT(P3211,5)="1-Way", Enginuity!$B$13=1),
      AND(LEFT(P3211,5)="2-Way", OR(Enginuity!$B$13=2, Enginuity!$B$13=4)),
      AND(LEFT(P3211,5)="3-Way", OR(Enginuity!$B$13=3, Enginuity!$B$13=6)),
      AND(P3211="Inner Centre Jamb", OR(Enginuity!$B$13=4, Enginuity!$B$13=6)),
      AND(
        LEFT(P3211,5)&lt;&gt;"1-Way",
        LEFT(P3211,5)&lt;&gt;"2-Way",
        LEFT(P3211,5)&lt;&gt;"3-Way",
        P3211&lt;&gt;"Inner Centre Jamb"
      )
    ),
    IF(OR(Enginuity!$A$1="Frameless Glass",Enginuity!$A$1="Metal Work"),
      AND(TRIM(B3211)=TRIM(Enginuity!$A$17),TRIM(C3211)=TRIM(Enginuity!$A$18)),
      TRIM(B3211)=TRIM(Enginuity!$A$17)
    )
  ),
  ROW(),
  ""
)</f>
        <v/>
      </c>
    </row>
    <row r="3212" spans="21:21" x14ac:dyDescent="0.25">
      <c r="U3212" s="104" t="str">
        <f>IF(
  AND(
    TRIM(A3212)=TRIM(Enginuity!$A$1),
    TRIM(B3212)=TRIM(Enginuity!$A$17),
    Q3212&lt;&gt;"",
    Q3212&lt;&gt;0,
    OR(
      TRIM(C3212)=TRIM(Enginuity!$A$18),
      AND(UPPER(TRIM(M3212))="STD", TRIM(B3212)=TRIM(Enginuity!$A$17))
    ),
    OR(
      AND(LEFT(P3212,5)="1-Way", Enginuity!$B$13=1),
      AND(LEFT(P3212,5)="2-Way", OR(Enginuity!$B$13=2, Enginuity!$B$13=4)),
      AND(LEFT(P3212,5)="3-Way", OR(Enginuity!$B$13=3, Enginuity!$B$13=6)),
      AND(P3212="Inner Centre Jamb", OR(Enginuity!$B$13=4, Enginuity!$B$13=6)),
      AND(
        LEFT(P3212,5)&lt;&gt;"1-Way",
        LEFT(P3212,5)&lt;&gt;"2-Way",
        LEFT(P3212,5)&lt;&gt;"3-Way",
        P3212&lt;&gt;"Inner Centre Jamb"
      )
    ),
    IF(OR(Enginuity!$A$1="Frameless Glass",Enginuity!$A$1="Metal Work"),
      AND(TRIM(B3212)=TRIM(Enginuity!$A$17),TRIM(C3212)=TRIM(Enginuity!$A$18)),
      TRIM(B3212)=TRIM(Enginuity!$A$17)
    )
  ),
  ROW(),
  ""
)</f>
        <v/>
      </c>
    </row>
    <row r="3213" spans="21:21" x14ac:dyDescent="0.25">
      <c r="U3213" s="104" t="str">
        <f>IF(
  AND(
    TRIM(A3213)=TRIM(Enginuity!$A$1),
    TRIM(B3213)=TRIM(Enginuity!$A$17),
    Q3213&lt;&gt;"",
    Q3213&lt;&gt;0,
    OR(
      TRIM(C3213)=TRIM(Enginuity!$A$18),
      AND(UPPER(TRIM(M3213))="STD", TRIM(B3213)=TRIM(Enginuity!$A$17))
    ),
    OR(
      AND(LEFT(P3213,5)="1-Way", Enginuity!$B$13=1),
      AND(LEFT(P3213,5)="2-Way", OR(Enginuity!$B$13=2, Enginuity!$B$13=4)),
      AND(LEFT(P3213,5)="3-Way", OR(Enginuity!$B$13=3, Enginuity!$B$13=6)),
      AND(P3213="Inner Centre Jamb", OR(Enginuity!$B$13=4, Enginuity!$B$13=6)),
      AND(
        LEFT(P3213,5)&lt;&gt;"1-Way",
        LEFT(P3213,5)&lt;&gt;"2-Way",
        LEFT(P3213,5)&lt;&gt;"3-Way",
        P3213&lt;&gt;"Inner Centre Jamb"
      )
    ),
    IF(OR(Enginuity!$A$1="Frameless Glass",Enginuity!$A$1="Metal Work"),
      AND(TRIM(B3213)=TRIM(Enginuity!$A$17),TRIM(C3213)=TRIM(Enginuity!$A$18)),
      TRIM(B3213)=TRIM(Enginuity!$A$17)
    )
  ),
  ROW(),
  ""
)</f>
        <v/>
      </c>
    </row>
    <row r="3214" spans="21:21" x14ac:dyDescent="0.25">
      <c r="U3214" s="104" t="str">
        <f>IF(
  AND(
    TRIM(A3214)=TRIM(Enginuity!$A$1),
    TRIM(B3214)=TRIM(Enginuity!$A$17),
    Q3214&lt;&gt;"",
    Q3214&lt;&gt;0,
    OR(
      TRIM(C3214)=TRIM(Enginuity!$A$18),
      AND(UPPER(TRIM(M3214))="STD", TRIM(B3214)=TRIM(Enginuity!$A$17))
    ),
    OR(
      AND(LEFT(P3214,5)="1-Way", Enginuity!$B$13=1),
      AND(LEFT(P3214,5)="2-Way", OR(Enginuity!$B$13=2, Enginuity!$B$13=4)),
      AND(LEFT(P3214,5)="3-Way", OR(Enginuity!$B$13=3, Enginuity!$B$13=6)),
      AND(P3214="Inner Centre Jamb", OR(Enginuity!$B$13=4, Enginuity!$B$13=6)),
      AND(
        LEFT(P3214,5)&lt;&gt;"1-Way",
        LEFT(P3214,5)&lt;&gt;"2-Way",
        LEFT(P3214,5)&lt;&gt;"3-Way",
        P3214&lt;&gt;"Inner Centre Jamb"
      )
    ),
    IF(OR(Enginuity!$A$1="Frameless Glass",Enginuity!$A$1="Metal Work"),
      AND(TRIM(B3214)=TRIM(Enginuity!$A$17),TRIM(C3214)=TRIM(Enginuity!$A$18)),
      TRIM(B3214)=TRIM(Enginuity!$A$17)
    )
  ),
  ROW(),
  ""
)</f>
        <v/>
      </c>
    </row>
    <row r="3215" spans="21:21" x14ac:dyDescent="0.25">
      <c r="U3215" s="104" t="str">
        <f>IF(
  AND(
    TRIM(A3215)=TRIM(Enginuity!$A$1),
    TRIM(B3215)=TRIM(Enginuity!$A$17),
    Q3215&lt;&gt;"",
    Q3215&lt;&gt;0,
    OR(
      TRIM(C3215)=TRIM(Enginuity!$A$18),
      AND(UPPER(TRIM(M3215))="STD", TRIM(B3215)=TRIM(Enginuity!$A$17))
    ),
    OR(
      AND(LEFT(P3215,5)="1-Way", Enginuity!$B$13=1),
      AND(LEFT(P3215,5)="2-Way", OR(Enginuity!$B$13=2, Enginuity!$B$13=4)),
      AND(LEFT(P3215,5)="3-Way", OR(Enginuity!$B$13=3, Enginuity!$B$13=6)),
      AND(P3215="Inner Centre Jamb", OR(Enginuity!$B$13=4, Enginuity!$B$13=6)),
      AND(
        LEFT(P3215,5)&lt;&gt;"1-Way",
        LEFT(P3215,5)&lt;&gt;"2-Way",
        LEFT(P3215,5)&lt;&gt;"3-Way",
        P3215&lt;&gt;"Inner Centre Jamb"
      )
    ),
    IF(OR(Enginuity!$A$1="Frameless Glass",Enginuity!$A$1="Metal Work"),
      AND(TRIM(B3215)=TRIM(Enginuity!$A$17),TRIM(C3215)=TRIM(Enginuity!$A$18)),
      TRIM(B3215)=TRIM(Enginuity!$A$17)
    )
  ),
  ROW(),
  ""
)</f>
        <v/>
      </c>
    </row>
    <row r="3216" spans="21:21" x14ac:dyDescent="0.25">
      <c r="U3216" s="104" t="str">
        <f>IF(
  AND(
    TRIM(A3216)=TRIM(Enginuity!$A$1),
    TRIM(B3216)=TRIM(Enginuity!$A$17),
    Q3216&lt;&gt;"",
    Q3216&lt;&gt;0,
    OR(
      TRIM(C3216)=TRIM(Enginuity!$A$18),
      AND(UPPER(TRIM(M3216))="STD", TRIM(B3216)=TRIM(Enginuity!$A$17))
    ),
    OR(
      AND(LEFT(P3216,5)="1-Way", Enginuity!$B$13=1),
      AND(LEFT(P3216,5)="2-Way", OR(Enginuity!$B$13=2, Enginuity!$B$13=4)),
      AND(LEFT(P3216,5)="3-Way", OR(Enginuity!$B$13=3, Enginuity!$B$13=6)),
      AND(P3216="Inner Centre Jamb", OR(Enginuity!$B$13=4, Enginuity!$B$13=6)),
      AND(
        LEFT(P3216,5)&lt;&gt;"1-Way",
        LEFT(P3216,5)&lt;&gt;"2-Way",
        LEFT(P3216,5)&lt;&gt;"3-Way",
        P3216&lt;&gt;"Inner Centre Jamb"
      )
    ),
    IF(OR(Enginuity!$A$1="Frameless Glass",Enginuity!$A$1="Metal Work"),
      AND(TRIM(B3216)=TRIM(Enginuity!$A$17),TRIM(C3216)=TRIM(Enginuity!$A$18)),
      TRIM(B3216)=TRIM(Enginuity!$A$17)
    )
  ),
  ROW(),
  ""
)</f>
        <v/>
      </c>
    </row>
    <row r="3217" spans="21:21" x14ac:dyDescent="0.25">
      <c r="U3217" s="104" t="str">
        <f>IF(
  AND(
    TRIM(A3217)=TRIM(Enginuity!$A$1),
    TRIM(B3217)=TRIM(Enginuity!$A$17),
    Q3217&lt;&gt;"",
    Q3217&lt;&gt;0,
    OR(
      TRIM(C3217)=TRIM(Enginuity!$A$18),
      AND(UPPER(TRIM(M3217))="STD", TRIM(B3217)=TRIM(Enginuity!$A$17))
    ),
    OR(
      AND(LEFT(P3217,5)="1-Way", Enginuity!$B$13=1),
      AND(LEFT(P3217,5)="2-Way", OR(Enginuity!$B$13=2, Enginuity!$B$13=4)),
      AND(LEFT(P3217,5)="3-Way", OR(Enginuity!$B$13=3, Enginuity!$B$13=6)),
      AND(P3217="Inner Centre Jamb", OR(Enginuity!$B$13=4, Enginuity!$B$13=6)),
      AND(
        LEFT(P3217,5)&lt;&gt;"1-Way",
        LEFT(P3217,5)&lt;&gt;"2-Way",
        LEFT(P3217,5)&lt;&gt;"3-Way",
        P3217&lt;&gt;"Inner Centre Jamb"
      )
    ),
    IF(OR(Enginuity!$A$1="Frameless Glass",Enginuity!$A$1="Metal Work"),
      AND(TRIM(B3217)=TRIM(Enginuity!$A$17),TRIM(C3217)=TRIM(Enginuity!$A$18)),
      TRIM(B3217)=TRIM(Enginuity!$A$17)
    )
  ),
  ROW(),
  ""
)</f>
        <v/>
      </c>
    </row>
    <row r="3218" spans="21:21" x14ac:dyDescent="0.25">
      <c r="U3218" s="104" t="str">
        <f>IF(
  AND(
    TRIM(A3218)=TRIM(Enginuity!$A$1),
    TRIM(B3218)=TRIM(Enginuity!$A$17),
    Q3218&lt;&gt;"",
    Q3218&lt;&gt;0,
    OR(
      TRIM(C3218)=TRIM(Enginuity!$A$18),
      AND(UPPER(TRIM(M3218))="STD", TRIM(B3218)=TRIM(Enginuity!$A$17))
    ),
    OR(
      AND(LEFT(P3218,5)="1-Way", Enginuity!$B$13=1),
      AND(LEFT(P3218,5)="2-Way", OR(Enginuity!$B$13=2, Enginuity!$B$13=4)),
      AND(LEFT(P3218,5)="3-Way", OR(Enginuity!$B$13=3, Enginuity!$B$13=6)),
      AND(P3218="Inner Centre Jamb", OR(Enginuity!$B$13=4, Enginuity!$B$13=6)),
      AND(
        LEFT(P3218,5)&lt;&gt;"1-Way",
        LEFT(P3218,5)&lt;&gt;"2-Way",
        LEFT(P3218,5)&lt;&gt;"3-Way",
        P3218&lt;&gt;"Inner Centre Jamb"
      )
    ),
    IF(OR(Enginuity!$A$1="Frameless Glass",Enginuity!$A$1="Metal Work"),
      AND(TRIM(B3218)=TRIM(Enginuity!$A$17),TRIM(C3218)=TRIM(Enginuity!$A$18)),
      TRIM(B3218)=TRIM(Enginuity!$A$17)
    )
  ),
  ROW(),
  ""
)</f>
        <v/>
      </c>
    </row>
    <row r="3219" spans="21:21" x14ac:dyDescent="0.25">
      <c r="U3219" s="104" t="str">
        <f>IF(
  AND(
    TRIM(A3219)=TRIM(Enginuity!$A$1),
    TRIM(B3219)=TRIM(Enginuity!$A$17),
    Q3219&lt;&gt;"",
    Q3219&lt;&gt;0,
    OR(
      TRIM(C3219)=TRIM(Enginuity!$A$18),
      AND(UPPER(TRIM(M3219))="STD", TRIM(B3219)=TRIM(Enginuity!$A$17))
    ),
    OR(
      AND(LEFT(P3219,5)="1-Way", Enginuity!$B$13=1),
      AND(LEFT(P3219,5)="2-Way", OR(Enginuity!$B$13=2, Enginuity!$B$13=4)),
      AND(LEFT(P3219,5)="3-Way", OR(Enginuity!$B$13=3, Enginuity!$B$13=6)),
      AND(P3219="Inner Centre Jamb", OR(Enginuity!$B$13=4, Enginuity!$B$13=6)),
      AND(
        LEFT(P3219,5)&lt;&gt;"1-Way",
        LEFT(P3219,5)&lt;&gt;"2-Way",
        LEFT(P3219,5)&lt;&gt;"3-Way",
        P3219&lt;&gt;"Inner Centre Jamb"
      )
    ),
    IF(OR(Enginuity!$A$1="Frameless Glass",Enginuity!$A$1="Metal Work"),
      AND(TRIM(B3219)=TRIM(Enginuity!$A$17),TRIM(C3219)=TRIM(Enginuity!$A$18)),
      TRIM(B3219)=TRIM(Enginuity!$A$17)
    )
  ),
  ROW(),
  ""
)</f>
        <v/>
      </c>
    </row>
    <row r="3220" spans="21:21" x14ac:dyDescent="0.25">
      <c r="U3220" s="104" t="str">
        <f>IF(
  AND(
    TRIM(A3220)=TRIM(Enginuity!$A$1),
    TRIM(B3220)=TRIM(Enginuity!$A$17),
    Q3220&lt;&gt;"",
    Q3220&lt;&gt;0,
    OR(
      TRIM(C3220)=TRIM(Enginuity!$A$18),
      AND(UPPER(TRIM(M3220))="STD", TRIM(B3220)=TRIM(Enginuity!$A$17))
    ),
    OR(
      AND(LEFT(P3220,5)="1-Way", Enginuity!$B$13=1),
      AND(LEFT(P3220,5)="2-Way", OR(Enginuity!$B$13=2, Enginuity!$B$13=4)),
      AND(LEFT(P3220,5)="3-Way", OR(Enginuity!$B$13=3, Enginuity!$B$13=6)),
      AND(P3220="Inner Centre Jamb", OR(Enginuity!$B$13=4, Enginuity!$B$13=6)),
      AND(
        LEFT(P3220,5)&lt;&gt;"1-Way",
        LEFT(P3220,5)&lt;&gt;"2-Way",
        LEFT(P3220,5)&lt;&gt;"3-Way",
        P3220&lt;&gt;"Inner Centre Jamb"
      )
    ),
    IF(OR(Enginuity!$A$1="Frameless Glass",Enginuity!$A$1="Metal Work"),
      AND(TRIM(B3220)=TRIM(Enginuity!$A$17),TRIM(C3220)=TRIM(Enginuity!$A$18)),
      TRIM(B3220)=TRIM(Enginuity!$A$17)
    )
  ),
  ROW(),
  ""
)</f>
        <v/>
      </c>
    </row>
    <row r="3221" spans="21:21" x14ac:dyDescent="0.25">
      <c r="U3221" s="104" t="str">
        <f>IF(
  AND(
    TRIM(A3221)=TRIM(Enginuity!$A$1),
    TRIM(B3221)=TRIM(Enginuity!$A$17),
    Q3221&lt;&gt;"",
    Q3221&lt;&gt;0,
    OR(
      TRIM(C3221)=TRIM(Enginuity!$A$18),
      AND(UPPER(TRIM(M3221))="STD", TRIM(B3221)=TRIM(Enginuity!$A$17))
    ),
    OR(
      AND(LEFT(P3221,5)="1-Way", Enginuity!$B$13=1),
      AND(LEFT(P3221,5)="2-Way", OR(Enginuity!$B$13=2, Enginuity!$B$13=4)),
      AND(LEFT(P3221,5)="3-Way", OR(Enginuity!$B$13=3, Enginuity!$B$13=6)),
      AND(P3221="Inner Centre Jamb", OR(Enginuity!$B$13=4, Enginuity!$B$13=6)),
      AND(
        LEFT(P3221,5)&lt;&gt;"1-Way",
        LEFT(P3221,5)&lt;&gt;"2-Way",
        LEFT(P3221,5)&lt;&gt;"3-Way",
        P3221&lt;&gt;"Inner Centre Jamb"
      )
    ),
    IF(OR(Enginuity!$A$1="Frameless Glass",Enginuity!$A$1="Metal Work"),
      AND(TRIM(B3221)=TRIM(Enginuity!$A$17),TRIM(C3221)=TRIM(Enginuity!$A$18)),
      TRIM(B3221)=TRIM(Enginuity!$A$17)
    )
  ),
  ROW(),
  ""
)</f>
        <v/>
      </c>
    </row>
    <row r="3222" spans="21:21" x14ac:dyDescent="0.25">
      <c r="U3222" s="104" t="str">
        <f>IF(
  AND(
    TRIM(A3222)=TRIM(Enginuity!$A$1),
    TRIM(B3222)=TRIM(Enginuity!$A$17),
    Q3222&lt;&gt;"",
    Q3222&lt;&gt;0,
    OR(
      TRIM(C3222)=TRIM(Enginuity!$A$18),
      AND(UPPER(TRIM(M3222))="STD", TRIM(B3222)=TRIM(Enginuity!$A$17))
    ),
    OR(
      AND(LEFT(P3222,5)="1-Way", Enginuity!$B$13=1),
      AND(LEFT(P3222,5)="2-Way", OR(Enginuity!$B$13=2, Enginuity!$B$13=4)),
      AND(LEFT(P3222,5)="3-Way", OR(Enginuity!$B$13=3, Enginuity!$B$13=6)),
      AND(P3222="Inner Centre Jamb", OR(Enginuity!$B$13=4, Enginuity!$B$13=6)),
      AND(
        LEFT(P3222,5)&lt;&gt;"1-Way",
        LEFT(P3222,5)&lt;&gt;"2-Way",
        LEFT(P3222,5)&lt;&gt;"3-Way",
        P3222&lt;&gt;"Inner Centre Jamb"
      )
    ),
    IF(OR(Enginuity!$A$1="Frameless Glass",Enginuity!$A$1="Metal Work"),
      AND(TRIM(B3222)=TRIM(Enginuity!$A$17),TRIM(C3222)=TRIM(Enginuity!$A$18)),
      TRIM(B3222)=TRIM(Enginuity!$A$17)
    )
  ),
  ROW(),
  ""
)</f>
        <v/>
      </c>
    </row>
    <row r="3223" spans="21:21" x14ac:dyDescent="0.25">
      <c r="U3223" s="104" t="str">
        <f>IF(
  AND(
    TRIM(A3223)=TRIM(Enginuity!$A$1),
    TRIM(B3223)=TRIM(Enginuity!$A$17),
    Q3223&lt;&gt;"",
    Q3223&lt;&gt;0,
    OR(
      TRIM(C3223)=TRIM(Enginuity!$A$18),
      AND(UPPER(TRIM(M3223))="STD", TRIM(B3223)=TRIM(Enginuity!$A$17))
    ),
    OR(
      AND(LEFT(P3223,5)="1-Way", Enginuity!$B$13=1),
      AND(LEFT(P3223,5)="2-Way", OR(Enginuity!$B$13=2, Enginuity!$B$13=4)),
      AND(LEFT(P3223,5)="3-Way", OR(Enginuity!$B$13=3, Enginuity!$B$13=6)),
      AND(P3223="Inner Centre Jamb", OR(Enginuity!$B$13=4, Enginuity!$B$13=6)),
      AND(
        LEFT(P3223,5)&lt;&gt;"1-Way",
        LEFT(P3223,5)&lt;&gt;"2-Way",
        LEFT(P3223,5)&lt;&gt;"3-Way",
        P3223&lt;&gt;"Inner Centre Jamb"
      )
    ),
    IF(OR(Enginuity!$A$1="Frameless Glass",Enginuity!$A$1="Metal Work"),
      AND(TRIM(B3223)=TRIM(Enginuity!$A$17),TRIM(C3223)=TRIM(Enginuity!$A$18)),
      TRIM(B3223)=TRIM(Enginuity!$A$17)
    )
  ),
  ROW(),
  ""
)</f>
        <v/>
      </c>
    </row>
    <row r="3224" spans="21:21" x14ac:dyDescent="0.25">
      <c r="U3224" s="104" t="str">
        <f>IF(
  AND(
    TRIM(A3224)=TRIM(Enginuity!$A$1),
    TRIM(B3224)=TRIM(Enginuity!$A$17),
    Q3224&lt;&gt;"",
    Q3224&lt;&gt;0,
    OR(
      TRIM(C3224)=TRIM(Enginuity!$A$18),
      AND(UPPER(TRIM(M3224))="STD", TRIM(B3224)=TRIM(Enginuity!$A$17))
    ),
    OR(
      AND(LEFT(P3224,5)="1-Way", Enginuity!$B$13=1),
      AND(LEFT(P3224,5)="2-Way", OR(Enginuity!$B$13=2, Enginuity!$B$13=4)),
      AND(LEFT(P3224,5)="3-Way", OR(Enginuity!$B$13=3, Enginuity!$B$13=6)),
      AND(P3224="Inner Centre Jamb", OR(Enginuity!$B$13=4, Enginuity!$B$13=6)),
      AND(
        LEFT(P3224,5)&lt;&gt;"1-Way",
        LEFT(P3224,5)&lt;&gt;"2-Way",
        LEFT(P3224,5)&lt;&gt;"3-Way",
        P3224&lt;&gt;"Inner Centre Jamb"
      )
    ),
    IF(OR(Enginuity!$A$1="Frameless Glass",Enginuity!$A$1="Metal Work"),
      AND(TRIM(B3224)=TRIM(Enginuity!$A$17),TRIM(C3224)=TRIM(Enginuity!$A$18)),
      TRIM(B3224)=TRIM(Enginuity!$A$17)
    )
  ),
  ROW(),
  ""
)</f>
        <v/>
      </c>
    </row>
    <row r="3225" spans="21:21" x14ac:dyDescent="0.25">
      <c r="U3225" s="104" t="str">
        <f>IF(
  AND(
    TRIM(A3225)=TRIM(Enginuity!$A$1),
    TRIM(B3225)=TRIM(Enginuity!$A$17),
    Q3225&lt;&gt;"",
    Q3225&lt;&gt;0,
    OR(
      TRIM(C3225)=TRIM(Enginuity!$A$18),
      AND(UPPER(TRIM(M3225))="STD", TRIM(B3225)=TRIM(Enginuity!$A$17))
    ),
    OR(
      AND(LEFT(P3225,5)="1-Way", Enginuity!$B$13=1),
      AND(LEFT(P3225,5)="2-Way", OR(Enginuity!$B$13=2, Enginuity!$B$13=4)),
      AND(LEFT(P3225,5)="3-Way", OR(Enginuity!$B$13=3, Enginuity!$B$13=6)),
      AND(P3225="Inner Centre Jamb", OR(Enginuity!$B$13=4, Enginuity!$B$13=6)),
      AND(
        LEFT(P3225,5)&lt;&gt;"1-Way",
        LEFT(P3225,5)&lt;&gt;"2-Way",
        LEFT(P3225,5)&lt;&gt;"3-Way",
        P3225&lt;&gt;"Inner Centre Jamb"
      )
    ),
    IF(OR(Enginuity!$A$1="Frameless Glass",Enginuity!$A$1="Metal Work"),
      AND(TRIM(B3225)=TRIM(Enginuity!$A$17),TRIM(C3225)=TRIM(Enginuity!$A$18)),
      TRIM(B3225)=TRIM(Enginuity!$A$17)
    )
  ),
  ROW(),
  ""
)</f>
        <v/>
      </c>
    </row>
    <row r="3226" spans="21:21" x14ac:dyDescent="0.25">
      <c r="U3226" s="104" t="str">
        <f>IF(
  AND(
    TRIM(A3226)=TRIM(Enginuity!$A$1),
    TRIM(B3226)=TRIM(Enginuity!$A$17),
    Q3226&lt;&gt;"",
    Q3226&lt;&gt;0,
    OR(
      TRIM(C3226)=TRIM(Enginuity!$A$18),
      AND(UPPER(TRIM(M3226))="STD", TRIM(B3226)=TRIM(Enginuity!$A$17))
    ),
    OR(
      AND(LEFT(P3226,5)="1-Way", Enginuity!$B$13=1),
      AND(LEFT(P3226,5)="2-Way", OR(Enginuity!$B$13=2, Enginuity!$B$13=4)),
      AND(LEFT(P3226,5)="3-Way", OR(Enginuity!$B$13=3, Enginuity!$B$13=6)),
      AND(P3226="Inner Centre Jamb", OR(Enginuity!$B$13=4, Enginuity!$B$13=6)),
      AND(
        LEFT(P3226,5)&lt;&gt;"1-Way",
        LEFT(P3226,5)&lt;&gt;"2-Way",
        LEFT(P3226,5)&lt;&gt;"3-Way",
        P3226&lt;&gt;"Inner Centre Jamb"
      )
    ),
    IF(OR(Enginuity!$A$1="Frameless Glass",Enginuity!$A$1="Metal Work"),
      AND(TRIM(B3226)=TRIM(Enginuity!$A$17),TRIM(C3226)=TRIM(Enginuity!$A$18)),
      TRIM(B3226)=TRIM(Enginuity!$A$17)
    )
  ),
  ROW(),
  ""
)</f>
        <v/>
      </c>
    </row>
    <row r="3227" spans="21:21" x14ac:dyDescent="0.25">
      <c r="U3227" s="104" t="str">
        <f>IF(
  AND(
    TRIM(A3227)=TRIM(Enginuity!$A$1),
    TRIM(B3227)=TRIM(Enginuity!$A$17),
    Q3227&lt;&gt;"",
    Q3227&lt;&gt;0,
    OR(
      TRIM(C3227)=TRIM(Enginuity!$A$18),
      AND(UPPER(TRIM(M3227))="STD", TRIM(B3227)=TRIM(Enginuity!$A$17))
    ),
    OR(
      AND(LEFT(P3227,5)="1-Way", Enginuity!$B$13=1),
      AND(LEFT(P3227,5)="2-Way", OR(Enginuity!$B$13=2, Enginuity!$B$13=4)),
      AND(LEFT(P3227,5)="3-Way", OR(Enginuity!$B$13=3, Enginuity!$B$13=6)),
      AND(P3227="Inner Centre Jamb", OR(Enginuity!$B$13=4, Enginuity!$B$13=6)),
      AND(
        LEFT(P3227,5)&lt;&gt;"1-Way",
        LEFT(P3227,5)&lt;&gt;"2-Way",
        LEFT(P3227,5)&lt;&gt;"3-Way",
        P3227&lt;&gt;"Inner Centre Jamb"
      )
    ),
    IF(OR(Enginuity!$A$1="Frameless Glass",Enginuity!$A$1="Metal Work"),
      AND(TRIM(B3227)=TRIM(Enginuity!$A$17),TRIM(C3227)=TRIM(Enginuity!$A$18)),
      TRIM(B3227)=TRIM(Enginuity!$A$17)
    )
  ),
  ROW(),
  ""
)</f>
        <v/>
      </c>
    </row>
    <row r="3228" spans="21:21" x14ac:dyDescent="0.25">
      <c r="U3228" s="104" t="str">
        <f>IF(
  AND(
    TRIM(A3228)=TRIM(Enginuity!$A$1),
    TRIM(B3228)=TRIM(Enginuity!$A$17),
    Q3228&lt;&gt;"",
    Q3228&lt;&gt;0,
    OR(
      TRIM(C3228)=TRIM(Enginuity!$A$18),
      AND(UPPER(TRIM(M3228))="STD", TRIM(B3228)=TRIM(Enginuity!$A$17))
    ),
    OR(
      AND(LEFT(P3228,5)="1-Way", Enginuity!$B$13=1),
      AND(LEFT(P3228,5)="2-Way", OR(Enginuity!$B$13=2, Enginuity!$B$13=4)),
      AND(LEFT(P3228,5)="3-Way", OR(Enginuity!$B$13=3, Enginuity!$B$13=6)),
      AND(P3228="Inner Centre Jamb", OR(Enginuity!$B$13=4, Enginuity!$B$13=6)),
      AND(
        LEFT(P3228,5)&lt;&gt;"1-Way",
        LEFT(P3228,5)&lt;&gt;"2-Way",
        LEFT(P3228,5)&lt;&gt;"3-Way",
        P3228&lt;&gt;"Inner Centre Jamb"
      )
    ),
    IF(OR(Enginuity!$A$1="Frameless Glass",Enginuity!$A$1="Metal Work"),
      AND(TRIM(B3228)=TRIM(Enginuity!$A$17),TRIM(C3228)=TRIM(Enginuity!$A$18)),
      TRIM(B3228)=TRIM(Enginuity!$A$17)
    )
  ),
  ROW(),
  ""
)</f>
        <v/>
      </c>
    </row>
    <row r="3229" spans="21:21" x14ac:dyDescent="0.25">
      <c r="U3229" s="104" t="str">
        <f>IF(
  AND(
    TRIM(A3229)=TRIM(Enginuity!$A$1),
    TRIM(B3229)=TRIM(Enginuity!$A$17),
    Q3229&lt;&gt;"",
    Q3229&lt;&gt;0,
    OR(
      TRIM(C3229)=TRIM(Enginuity!$A$18),
      AND(UPPER(TRIM(M3229))="STD", TRIM(B3229)=TRIM(Enginuity!$A$17))
    ),
    OR(
      AND(LEFT(P3229,5)="1-Way", Enginuity!$B$13=1),
      AND(LEFT(P3229,5)="2-Way", OR(Enginuity!$B$13=2, Enginuity!$B$13=4)),
      AND(LEFT(P3229,5)="3-Way", OR(Enginuity!$B$13=3, Enginuity!$B$13=6)),
      AND(P3229="Inner Centre Jamb", OR(Enginuity!$B$13=4, Enginuity!$B$13=6)),
      AND(
        LEFT(P3229,5)&lt;&gt;"1-Way",
        LEFT(P3229,5)&lt;&gt;"2-Way",
        LEFT(P3229,5)&lt;&gt;"3-Way",
        P3229&lt;&gt;"Inner Centre Jamb"
      )
    ),
    IF(OR(Enginuity!$A$1="Frameless Glass",Enginuity!$A$1="Metal Work"),
      AND(TRIM(B3229)=TRIM(Enginuity!$A$17),TRIM(C3229)=TRIM(Enginuity!$A$18)),
      TRIM(B3229)=TRIM(Enginuity!$A$17)
    )
  ),
  ROW(),
  ""
)</f>
        <v/>
      </c>
    </row>
    <row r="3230" spans="21:21" x14ac:dyDescent="0.25">
      <c r="U3230" s="104" t="str">
        <f>IF(
  AND(
    TRIM(A3230)=TRIM(Enginuity!$A$1),
    TRIM(B3230)=TRIM(Enginuity!$A$17),
    Q3230&lt;&gt;"",
    Q3230&lt;&gt;0,
    OR(
      TRIM(C3230)=TRIM(Enginuity!$A$18),
      AND(UPPER(TRIM(M3230))="STD", TRIM(B3230)=TRIM(Enginuity!$A$17))
    ),
    OR(
      AND(LEFT(P3230,5)="1-Way", Enginuity!$B$13=1),
      AND(LEFT(P3230,5)="2-Way", OR(Enginuity!$B$13=2, Enginuity!$B$13=4)),
      AND(LEFT(P3230,5)="3-Way", OR(Enginuity!$B$13=3, Enginuity!$B$13=6)),
      AND(P3230="Inner Centre Jamb", OR(Enginuity!$B$13=4, Enginuity!$B$13=6)),
      AND(
        LEFT(P3230,5)&lt;&gt;"1-Way",
        LEFT(P3230,5)&lt;&gt;"2-Way",
        LEFT(P3230,5)&lt;&gt;"3-Way",
        P3230&lt;&gt;"Inner Centre Jamb"
      )
    ),
    IF(OR(Enginuity!$A$1="Frameless Glass",Enginuity!$A$1="Metal Work"),
      AND(TRIM(B3230)=TRIM(Enginuity!$A$17),TRIM(C3230)=TRIM(Enginuity!$A$18)),
      TRIM(B3230)=TRIM(Enginuity!$A$17)
    )
  ),
  ROW(),
  ""
)</f>
        <v/>
      </c>
    </row>
    <row r="3231" spans="21:21" x14ac:dyDescent="0.25">
      <c r="U3231" s="104" t="str">
        <f>IF(
  AND(
    TRIM(A3231)=TRIM(Enginuity!$A$1),
    TRIM(B3231)=TRIM(Enginuity!$A$17),
    Q3231&lt;&gt;"",
    Q3231&lt;&gt;0,
    OR(
      TRIM(C3231)=TRIM(Enginuity!$A$18),
      AND(UPPER(TRIM(M3231))="STD", TRIM(B3231)=TRIM(Enginuity!$A$17))
    ),
    OR(
      AND(LEFT(P3231,5)="1-Way", Enginuity!$B$13=1),
      AND(LEFT(P3231,5)="2-Way", OR(Enginuity!$B$13=2, Enginuity!$B$13=4)),
      AND(LEFT(P3231,5)="3-Way", OR(Enginuity!$B$13=3, Enginuity!$B$13=6)),
      AND(P3231="Inner Centre Jamb", OR(Enginuity!$B$13=4, Enginuity!$B$13=6)),
      AND(
        LEFT(P3231,5)&lt;&gt;"1-Way",
        LEFT(P3231,5)&lt;&gt;"2-Way",
        LEFT(P3231,5)&lt;&gt;"3-Way",
        P3231&lt;&gt;"Inner Centre Jamb"
      )
    ),
    IF(OR(Enginuity!$A$1="Frameless Glass",Enginuity!$A$1="Metal Work"),
      AND(TRIM(B3231)=TRIM(Enginuity!$A$17),TRIM(C3231)=TRIM(Enginuity!$A$18)),
      TRIM(B3231)=TRIM(Enginuity!$A$17)
    )
  ),
  ROW(),
  ""
)</f>
        <v/>
      </c>
    </row>
    <row r="3232" spans="21:21" x14ac:dyDescent="0.25">
      <c r="U3232" s="104" t="str">
        <f>IF(
  AND(
    TRIM(A3232)=TRIM(Enginuity!$A$1),
    TRIM(B3232)=TRIM(Enginuity!$A$17),
    Q3232&lt;&gt;"",
    Q3232&lt;&gt;0,
    OR(
      TRIM(C3232)=TRIM(Enginuity!$A$18),
      AND(UPPER(TRIM(M3232))="STD", TRIM(B3232)=TRIM(Enginuity!$A$17))
    ),
    OR(
      AND(LEFT(P3232,5)="1-Way", Enginuity!$B$13=1),
      AND(LEFT(P3232,5)="2-Way", OR(Enginuity!$B$13=2, Enginuity!$B$13=4)),
      AND(LEFT(P3232,5)="3-Way", OR(Enginuity!$B$13=3, Enginuity!$B$13=6)),
      AND(P3232="Inner Centre Jamb", OR(Enginuity!$B$13=4, Enginuity!$B$13=6)),
      AND(
        LEFT(P3232,5)&lt;&gt;"1-Way",
        LEFT(P3232,5)&lt;&gt;"2-Way",
        LEFT(P3232,5)&lt;&gt;"3-Way",
        P3232&lt;&gt;"Inner Centre Jamb"
      )
    ),
    IF(OR(Enginuity!$A$1="Frameless Glass",Enginuity!$A$1="Metal Work"),
      AND(TRIM(B3232)=TRIM(Enginuity!$A$17),TRIM(C3232)=TRIM(Enginuity!$A$18)),
      TRIM(B3232)=TRIM(Enginuity!$A$17)
    )
  ),
  ROW(),
  ""
)</f>
        <v/>
      </c>
    </row>
    <row r="3233" spans="21:21" x14ac:dyDescent="0.25">
      <c r="U3233" s="104" t="str">
        <f>IF(
  AND(
    TRIM(A3233)=TRIM(Enginuity!$A$1),
    TRIM(B3233)=TRIM(Enginuity!$A$17),
    Q3233&lt;&gt;"",
    Q3233&lt;&gt;0,
    OR(
      TRIM(C3233)=TRIM(Enginuity!$A$18),
      AND(UPPER(TRIM(M3233))="STD", TRIM(B3233)=TRIM(Enginuity!$A$17))
    ),
    OR(
      AND(LEFT(P3233,5)="1-Way", Enginuity!$B$13=1),
      AND(LEFT(P3233,5)="2-Way", OR(Enginuity!$B$13=2, Enginuity!$B$13=4)),
      AND(LEFT(P3233,5)="3-Way", OR(Enginuity!$B$13=3, Enginuity!$B$13=6)),
      AND(P3233="Inner Centre Jamb", OR(Enginuity!$B$13=4, Enginuity!$B$13=6)),
      AND(
        LEFT(P3233,5)&lt;&gt;"1-Way",
        LEFT(P3233,5)&lt;&gt;"2-Way",
        LEFT(P3233,5)&lt;&gt;"3-Way",
        P3233&lt;&gt;"Inner Centre Jamb"
      )
    ),
    IF(OR(Enginuity!$A$1="Frameless Glass",Enginuity!$A$1="Metal Work"),
      AND(TRIM(B3233)=TRIM(Enginuity!$A$17),TRIM(C3233)=TRIM(Enginuity!$A$18)),
      TRIM(B3233)=TRIM(Enginuity!$A$17)
    )
  ),
  ROW(),
  ""
)</f>
        <v/>
      </c>
    </row>
    <row r="3234" spans="21:21" x14ac:dyDescent="0.25">
      <c r="U3234" s="104" t="str">
        <f>IF(
  AND(
    TRIM(A3234)=TRIM(Enginuity!$A$1),
    TRIM(B3234)=TRIM(Enginuity!$A$17),
    Q3234&lt;&gt;"",
    Q3234&lt;&gt;0,
    OR(
      TRIM(C3234)=TRIM(Enginuity!$A$18),
      AND(UPPER(TRIM(M3234))="STD", TRIM(B3234)=TRIM(Enginuity!$A$17))
    ),
    OR(
      AND(LEFT(P3234,5)="1-Way", Enginuity!$B$13=1),
      AND(LEFT(P3234,5)="2-Way", OR(Enginuity!$B$13=2, Enginuity!$B$13=4)),
      AND(LEFT(P3234,5)="3-Way", OR(Enginuity!$B$13=3, Enginuity!$B$13=6)),
      AND(P3234="Inner Centre Jamb", OR(Enginuity!$B$13=4, Enginuity!$B$13=6)),
      AND(
        LEFT(P3234,5)&lt;&gt;"1-Way",
        LEFT(P3234,5)&lt;&gt;"2-Way",
        LEFT(P3234,5)&lt;&gt;"3-Way",
        P3234&lt;&gt;"Inner Centre Jamb"
      )
    ),
    IF(OR(Enginuity!$A$1="Frameless Glass",Enginuity!$A$1="Metal Work"),
      AND(TRIM(B3234)=TRIM(Enginuity!$A$17),TRIM(C3234)=TRIM(Enginuity!$A$18)),
      TRIM(B3234)=TRIM(Enginuity!$A$17)
    )
  ),
  ROW(),
  ""
)</f>
        <v/>
      </c>
    </row>
    <row r="3235" spans="21:21" x14ac:dyDescent="0.25">
      <c r="U3235" s="104" t="str">
        <f>IF(
  AND(
    TRIM(A3235)=TRIM(Enginuity!$A$1),
    TRIM(B3235)=TRIM(Enginuity!$A$17),
    Q3235&lt;&gt;"",
    Q3235&lt;&gt;0,
    OR(
      TRIM(C3235)=TRIM(Enginuity!$A$18),
      AND(UPPER(TRIM(M3235))="STD", TRIM(B3235)=TRIM(Enginuity!$A$17))
    ),
    OR(
      AND(LEFT(P3235,5)="1-Way", Enginuity!$B$13=1),
      AND(LEFT(P3235,5)="2-Way", OR(Enginuity!$B$13=2, Enginuity!$B$13=4)),
      AND(LEFT(P3235,5)="3-Way", OR(Enginuity!$B$13=3, Enginuity!$B$13=6)),
      AND(P3235="Inner Centre Jamb", OR(Enginuity!$B$13=4, Enginuity!$B$13=6)),
      AND(
        LEFT(P3235,5)&lt;&gt;"1-Way",
        LEFT(P3235,5)&lt;&gt;"2-Way",
        LEFT(P3235,5)&lt;&gt;"3-Way",
        P3235&lt;&gt;"Inner Centre Jamb"
      )
    ),
    IF(OR(Enginuity!$A$1="Frameless Glass",Enginuity!$A$1="Metal Work"),
      AND(TRIM(B3235)=TRIM(Enginuity!$A$17),TRIM(C3235)=TRIM(Enginuity!$A$18)),
      TRIM(B3235)=TRIM(Enginuity!$A$17)
    )
  ),
  ROW(),
  ""
)</f>
        <v/>
      </c>
    </row>
    <row r="3236" spans="21:21" x14ac:dyDescent="0.25">
      <c r="U3236" s="104" t="str">
        <f>IF(
  AND(
    TRIM(A3236)=TRIM(Enginuity!$A$1),
    TRIM(B3236)=TRIM(Enginuity!$A$17),
    Q3236&lt;&gt;"",
    Q3236&lt;&gt;0,
    OR(
      TRIM(C3236)=TRIM(Enginuity!$A$18),
      AND(UPPER(TRIM(M3236))="STD", TRIM(B3236)=TRIM(Enginuity!$A$17))
    ),
    OR(
      AND(LEFT(P3236,5)="1-Way", Enginuity!$B$13=1),
      AND(LEFT(P3236,5)="2-Way", OR(Enginuity!$B$13=2, Enginuity!$B$13=4)),
      AND(LEFT(P3236,5)="3-Way", OR(Enginuity!$B$13=3, Enginuity!$B$13=6)),
      AND(P3236="Inner Centre Jamb", OR(Enginuity!$B$13=4, Enginuity!$B$13=6)),
      AND(
        LEFT(P3236,5)&lt;&gt;"1-Way",
        LEFT(P3236,5)&lt;&gt;"2-Way",
        LEFT(P3236,5)&lt;&gt;"3-Way",
        P3236&lt;&gt;"Inner Centre Jamb"
      )
    ),
    IF(OR(Enginuity!$A$1="Frameless Glass",Enginuity!$A$1="Metal Work"),
      AND(TRIM(B3236)=TRIM(Enginuity!$A$17),TRIM(C3236)=TRIM(Enginuity!$A$18)),
      TRIM(B3236)=TRIM(Enginuity!$A$17)
    )
  ),
  ROW(),
  ""
)</f>
        <v/>
      </c>
    </row>
    <row r="3237" spans="21:21" x14ac:dyDescent="0.25">
      <c r="U3237" s="104" t="str">
        <f>IF(
  AND(
    TRIM(A3237)=TRIM(Enginuity!$A$1),
    TRIM(B3237)=TRIM(Enginuity!$A$17),
    Q3237&lt;&gt;"",
    Q3237&lt;&gt;0,
    OR(
      TRIM(C3237)=TRIM(Enginuity!$A$18),
      AND(UPPER(TRIM(M3237))="STD", TRIM(B3237)=TRIM(Enginuity!$A$17))
    ),
    OR(
      AND(LEFT(P3237,5)="1-Way", Enginuity!$B$13=1),
      AND(LEFT(P3237,5)="2-Way", OR(Enginuity!$B$13=2, Enginuity!$B$13=4)),
      AND(LEFT(P3237,5)="3-Way", OR(Enginuity!$B$13=3, Enginuity!$B$13=6)),
      AND(P3237="Inner Centre Jamb", OR(Enginuity!$B$13=4, Enginuity!$B$13=6)),
      AND(
        LEFT(P3237,5)&lt;&gt;"1-Way",
        LEFT(P3237,5)&lt;&gt;"2-Way",
        LEFT(P3237,5)&lt;&gt;"3-Way",
        P3237&lt;&gt;"Inner Centre Jamb"
      )
    ),
    IF(OR(Enginuity!$A$1="Frameless Glass",Enginuity!$A$1="Metal Work"),
      AND(TRIM(B3237)=TRIM(Enginuity!$A$17),TRIM(C3237)=TRIM(Enginuity!$A$18)),
      TRIM(B3237)=TRIM(Enginuity!$A$17)
    )
  ),
  ROW(),
  ""
)</f>
        <v/>
      </c>
    </row>
    <row r="3238" spans="21:21" x14ac:dyDescent="0.25">
      <c r="U3238" s="104" t="str">
        <f>IF(
  AND(
    TRIM(A3238)=TRIM(Enginuity!$A$1),
    TRIM(B3238)=TRIM(Enginuity!$A$17),
    Q3238&lt;&gt;"",
    Q3238&lt;&gt;0,
    OR(
      TRIM(C3238)=TRIM(Enginuity!$A$18),
      AND(UPPER(TRIM(M3238))="STD", TRIM(B3238)=TRIM(Enginuity!$A$17))
    ),
    OR(
      AND(LEFT(P3238,5)="1-Way", Enginuity!$B$13=1),
      AND(LEFT(P3238,5)="2-Way", OR(Enginuity!$B$13=2, Enginuity!$B$13=4)),
      AND(LEFT(P3238,5)="3-Way", OR(Enginuity!$B$13=3, Enginuity!$B$13=6)),
      AND(P3238="Inner Centre Jamb", OR(Enginuity!$B$13=4, Enginuity!$B$13=6)),
      AND(
        LEFT(P3238,5)&lt;&gt;"1-Way",
        LEFT(P3238,5)&lt;&gt;"2-Way",
        LEFT(P3238,5)&lt;&gt;"3-Way",
        P3238&lt;&gt;"Inner Centre Jamb"
      )
    ),
    IF(OR(Enginuity!$A$1="Frameless Glass",Enginuity!$A$1="Metal Work"),
      AND(TRIM(B3238)=TRIM(Enginuity!$A$17),TRIM(C3238)=TRIM(Enginuity!$A$18)),
      TRIM(B3238)=TRIM(Enginuity!$A$17)
    )
  ),
  ROW(),
  ""
)</f>
        <v/>
      </c>
    </row>
    <row r="3239" spans="21:21" x14ac:dyDescent="0.25">
      <c r="U3239" s="104" t="str">
        <f>IF(
  AND(
    TRIM(A3239)=TRIM(Enginuity!$A$1),
    TRIM(B3239)=TRIM(Enginuity!$A$17),
    Q3239&lt;&gt;"",
    Q3239&lt;&gt;0,
    OR(
      TRIM(C3239)=TRIM(Enginuity!$A$18),
      AND(UPPER(TRIM(M3239))="STD", TRIM(B3239)=TRIM(Enginuity!$A$17))
    ),
    OR(
      AND(LEFT(P3239,5)="1-Way", Enginuity!$B$13=1),
      AND(LEFT(P3239,5)="2-Way", OR(Enginuity!$B$13=2, Enginuity!$B$13=4)),
      AND(LEFT(P3239,5)="3-Way", OR(Enginuity!$B$13=3, Enginuity!$B$13=6)),
      AND(P3239="Inner Centre Jamb", OR(Enginuity!$B$13=4, Enginuity!$B$13=6)),
      AND(
        LEFT(P3239,5)&lt;&gt;"1-Way",
        LEFT(P3239,5)&lt;&gt;"2-Way",
        LEFT(P3239,5)&lt;&gt;"3-Way",
        P3239&lt;&gt;"Inner Centre Jamb"
      )
    ),
    IF(OR(Enginuity!$A$1="Frameless Glass",Enginuity!$A$1="Metal Work"),
      AND(TRIM(B3239)=TRIM(Enginuity!$A$17),TRIM(C3239)=TRIM(Enginuity!$A$18)),
      TRIM(B3239)=TRIM(Enginuity!$A$17)
    )
  ),
  ROW(),
  ""
)</f>
        <v/>
      </c>
    </row>
    <row r="3240" spans="21:21" x14ac:dyDescent="0.25">
      <c r="U3240" s="104" t="str">
        <f>IF(
  AND(
    TRIM(A3240)=TRIM(Enginuity!$A$1),
    TRIM(B3240)=TRIM(Enginuity!$A$17),
    Q3240&lt;&gt;"",
    Q3240&lt;&gt;0,
    OR(
      TRIM(C3240)=TRIM(Enginuity!$A$18),
      AND(UPPER(TRIM(M3240))="STD", TRIM(B3240)=TRIM(Enginuity!$A$17))
    ),
    OR(
      AND(LEFT(P3240,5)="1-Way", Enginuity!$B$13=1),
      AND(LEFT(P3240,5)="2-Way", OR(Enginuity!$B$13=2, Enginuity!$B$13=4)),
      AND(LEFT(P3240,5)="3-Way", OR(Enginuity!$B$13=3, Enginuity!$B$13=6)),
      AND(P3240="Inner Centre Jamb", OR(Enginuity!$B$13=4, Enginuity!$B$13=6)),
      AND(
        LEFT(P3240,5)&lt;&gt;"1-Way",
        LEFT(P3240,5)&lt;&gt;"2-Way",
        LEFT(P3240,5)&lt;&gt;"3-Way",
        P3240&lt;&gt;"Inner Centre Jamb"
      )
    ),
    IF(OR(Enginuity!$A$1="Frameless Glass",Enginuity!$A$1="Metal Work"),
      AND(TRIM(B3240)=TRIM(Enginuity!$A$17),TRIM(C3240)=TRIM(Enginuity!$A$18)),
      TRIM(B3240)=TRIM(Enginuity!$A$17)
    )
  ),
  ROW(),
  ""
)</f>
        <v/>
      </c>
    </row>
    <row r="3241" spans="21:21" x14ac:dyDescent="0.25">
      <c r="U3241" s="104" t="str">
        <f>IF(
  AND(
    TRIM(A3241)=TRIM(Enginuity!$A$1),
    TRIM(B3241)=TRIM(Enginuity!$A$17),
    Q3241&lt;&gt;"",
    Q3241&lt;&gt;0,
    OR(
      TRIM(C3241)=TRIM(Enginuity!$A$18),
      AND(UPPER(TRIM(M3241))="STD", TRIM(B3241)=TRIM(Enginuity!$A$17))
    ),
    OR(
      AND(LEFT(P3241,5)="1-Way", Enginuity!$B$13=1),
      AND(LEFT(P3241,5)="2-Way", OR(Enginuity!$B$13=2, Enginuity!$B$13=4)),
      AND(LEFT(P3241,5)="3-Way", OR(Enginuity!$B$13=3, Enginuity!$B$13=6)),
      AND(P3241="Inner Centre Jamb", OR(Enginuity!$B$13=4, Enginuity!$B$13=6)),
      AND(
        LEFT(P3241,5)&lt;&gt;"1-Way",
        LEFT(P3241,5)&lt;&gt;"2-Way",
        LEFT(P3241,5)&lt;&gt;"3-Way",
        P3241&lt;&gt;"Inner Centre Jamb"
      )
    ),
    IF(OR(Enginuity!$A$1="Frameless Glass",Enginuity!$A$1="Metal Work"),
      AND(TRIM(B3241)=TRIM(Enginuity!$A$17),TRIM(C3241)=TRIM(Enginuity!$A$18)),
      TRIM(B3241)=TRIM(Enginuity!$A$17)
    )
  ),
  ROW(),
  ""
)</f>
        <v/>
      </c>
    </row>
    <row r="3242" spans="21:21" x14ac:dyDescent="0.25">
      <c r="U3242" s="104" t="str">
        <f>IF(
  AND(
    TRIM(A3242)=TRIM(Enginuity!$A$1),
    TRIM(B3242)=TRIM(Enginuity!$A$17),
    Q3242&lt;&gt;"",
    Q3242&lt;&gt;0,
    OR(
      TRIM(C3242)=TRIM(Enginuity!$A$18),
      AND(UPPER(TRIM(M3242))="STD", TRIM(B3242)=TRIM(Enginuity!$A$17))
    ),
    OR(
      AND(LEFT(P3242,5)="1-Way", Enginuity!$B$13=1),
      AND(LEFT(P3242,5)="2-Way", OR(Enginuity!$B$13=2, Enginuity!$B$13=4)),
      AND(LEFT(P3242,5)="3-Way", OR(Enginuity!$B$13=3, Enginuity!$B$13=6)),
      AND(P3242="Inner Centre Jamb", OR(Enginuity!$B$13=4, Enginuity!$B$13=6)),
      AND(
        LEFT(P3242,5)&lt;&gt;"1-Way",
        LEFT(P3242,5)&lt;&gt;"2-Way",
        LEFT(P3242,5)&lt;&gt;"3-Way",
        P3242&lt;&gt;"Inner Centre Jamb"
      )
    ),
    IF(OR(Enginuity!$A$1="Frameless Glass",Enginuity!$A$1="Metal Work"),
      AND(TRIM(B3242)=TRIM(Enginuity!$A$17),TRIM(C3242)=TRIM(Enginuity!$A$18)),
      TRIM(B3242)=TRIM(Enginuity!$A$17)
    )
  ),
  ROW(),
  ""
)</f>
        <v/>
      </c>
    </row>
    <row r="3243" spans="21:21" x14ac:dyDescent="0.25">
      <c r="U3243" s="104" t="str">
        <f>IF(
  AND(
    TRIM(A3243)=TRIM(Enginuity!$A$1),
    TRIM(B3243)=TRIM(Enginuity!$A$17),
    Q3243&lt;&gt;"",
    Q3243&lt;&gt;0,
    OR(
      TRIM(C3243)=TRIM(Enginuity!$A$18),
      AND(UPPER(TRIM(M3243))="STD", TRIM(B3243)=TRIM(Enginuity!$A$17))
    ),
    OR(
      AND(LEFT(P3243,5)="1-Way", Enginuity!$B$13=1),
      AND(LEFT(P3243,5)="2-Way", OR(Enginuity!$B$13=2, Enginuity!$B$13=4)),
      AND(LEFT(P3243,5)="3-Way", OR(Enginuity!$B$13=3, Enginuity!$B$13=6)),
      AND(P3243="Inner Centre Jamb", OR(Enginuity!$B$13=4, Enginuity!$B$13=6)),
      AND(
        LEFT(P3243,5)&lt;&gt;"1-Way",
        LEFT(P3243,5)&lt;&gt;"2-Way",
        LEFT(P3243,5)&lt;&gt;"3-Way",
        P3243&lt;&gt;"Inner Centre Jamb"
      )
    ),
    IF(OR(Enginuity!$A$1="Frameless Glass",Enginuity!$A$1="Metal Work"),
      AND(TRIM(B3243)=TRIM(Enginuity!$A$17),TRIM(C3243)=TRIM(Enginuity!$A$18)),
      TRIM(B3243)=TRIM(Enginuity!$A$17)
    )
  ),
  ROW(),
  ""
)</f>
        <v/>
      </c>
    </row>
    <row r="3244" spans="21:21" x14ac:dyDescent="0.25">
      <c r="U3244" s="104" t="str">
        <f>IF(
  AND(
    TRIM(A3244)=TRIM(Enginuity!$A$1),
    TRIM(B3244)=TRIM(Enginuity!$A$17),
    Q3244&lt;&gt;"",
    Q3244&lt;&gt;0,
    OR(
      TRIM(C3244)=TRIM(Enginuity!$A$18),
      AND(UPPER(TRIM(M3244))="STD", TRIM(B3244)=TRIM(Enginuity!$A$17))
    ),
    OR(
      AND(LEFT(P3244,5)="1-Way", Enginuity!$B$13=1),
      AND(LEFT(P3244,5)="2-Way", OR(Enginuity!$B$13=2, Enginuity!$B$13=4)),
      AND(LEFT(P3244,5)="3-Way", OR(Enginuity!$B$13=3, Enginuity!$B$13=6)),
      AND(P3244="Inner Centre Jamb", OR(Enginuity!$B$13=4, Enginuity!$B$13=6)),
      AND(
        LEFT(P3244,5)&lt;&gt;"1-Way",
        LEFT(P3244,5)&lt;&gt;"2-Way",
        LEFT(P3244,5)&lt;&gt;"3-Way",
        P3244&lt;&gt;"Inner Centre Jamb"
      )
    ),
    IF(OR(Enginuity!$A$1="Frameless Glass",Enginuity!$A$1="Metal Work"),
      AND(TRIM(B3244)=TRIM(Enginuity!$A$17),TRIM(C3244)=TRIM(Enginuity!$A$18)),
      TRIM(B3244)=TRIM(Enginuity!$A$17)
    )
  ),
  ROW(),
  ""
)</f>
        <v/>
      </c>
    </row>
    <row r="3245" spans="21:21" x14ac:dyDescent="0.25">
      <c r="U3245" s="104" t="str">
        <f>IF(
  AND(
    TRIM(A3245)=TRIM(Enginuity!$A$1),
    TRIM(B3245)=TRIM(Enginuity!$A$17),
    Q3245&lt;&gt;"",
    Q3245&lt;&gt;0,
    OR(
      TRIM(C3245)=TRIM(Enginuity!$A$18),
      AND(UPPER(TRIM(M3245))="STD", TRIM(B3245)=TRIM(Enginuity!$A$17))
    ),
    OR(
      AND(LEFT(P3245,5)="1-Way", Enginuity!$B$13=1),
      AND(LEFT(P3245,5)="2-Way", OR(Enginuity!$B$13=2, Enginuity!$B$13=4)),
      AND(LEFT(P3245,5)="3-Way", OR(Enginuity!$B$13=3, Enginuity!$B$13=6)),
      AND(P3245="Inner Centre Jamb", OR(Enginuity!$B$13=4, Enginuity!$B$13=6)),
      AND(
        LEFT(P3245,5)&lt;&gt;"1-Way",
        LEFT(P3245,5)&lt;&gt;"2-Way",
        LEFT(P3245,5)&lt;&gt;"3-Way",
        P3245&lt;&gt;"Inner Centre Jamb"
      )
    ),
    IF(OR(Enginuity!$A$1="Frameless Glass",Enginuity!$A$1="Metal Work"),
      AND(TRIM(B3245)=TRIM(Enginuity!$A$17),TRIM(C3245)=TRIM(Enginuity!$A$18)),
      TRIM(B3245)=TRIM(Enginuity!$A$17)
    )
  ),
  ROW(),
  ""
)</f>
        <v/>
      </c>
    </row>
    <row r="3246" spans="21:21" x14ac:dyDescent="0.25">
      <c r="U3246" s="104" t="str">
        <f>IF(
  AND(
    TRIM(A3246)=TRIM(Enginuity!$A$1),
    TRIM(B3246)=TRIM(Enginuity!$A$17),
    Q3246&lt;&gt;"",
    Q3246&lt;&gt;0,
    OR(
      TRIM(C3246)=TRIM(Enginuity!$A$18),
      AND(UPPER(TRIM(M3246))="STD", TRIM(B3246)=TRIM(Enginuity!$A$17))
    ),
    OR(
      AND(LEFT(P3246,5)="1-Way", Enginuity!$B$13=1),
      AND(LEFT(P3246,5)="2-Way", OR(Enginuity!$B$13=2, Enginuity!$B$13=4)),
      AND(LEFT(P3246,5)="3-Way", OR(Enginuity!$B$13=3, Enginuity!$B$13=6)),
      AND(P3246="Inner Centre Jamb", OR(Enginuity!$B$13=4, Enginuity!$B$13=6)),
      AND(
        LEFT(P3246,5)&lt;&gt;"1-Way",
        LEFT(P3246,5)&lt;&gt;"2-Way",
        LEFT(P3246,5)&lt;&gt;"3-Way",
        P3246&lt;&gt;"Inner Centre Jamb"
      )
    ),
    IF(OR(Enginuity!$A$1="Frameless Glass",Enginuity!$A$1="Metal Work"),
      AND(TRIM(B3246)=TRIM(Enginuity!$A$17),TRIM(C3246)=TRIM(Enginuity!$A$18)),
      TRIM(B3246)=TRIM(Enginuity!$A$17)
    )
  ),
  ROW(),
  ""
)</f>
        <v/>
      </c>
    </row>
    <row r="3247" spans="21:21" x14ac:dyDescent="0.25">
      <c r="U3247" s="104" t="str">
        <f>IF(
  AND(
    TRIM(A3247)=TRIM(Enginuity!$A$1),
    TRIM(B3247)=TRIM(Enginuity!$A$17),
    Q3247&lt;&gt;"",
    Q3247&lt;&gt;0,
    OR(
      TRIM(C3247)=TRIM(Enginuity!$A$18),
      AND(UPPER(TRIM(M3247))="STD", TRIM(B3247)=TRIM(Enginuity!$A$17))
    ),
    OR(
      AND(LEFT(P3247,5)="1-Way", Enginuity!$B$13=1),
      AND(LEFT(P3247,5)="2-Way", OR(Enginuity!$B$13=2, Enginuity!$B$13=4)),
      AND(LEFT(P3247,5)="3-Way", OR(Enginuity!$B$13=3, Enginuity!$B$13=6)),
      AND(P3247="Inner Centre Jamb", OR(Enginuity!$B$13=4, Enginuity!$B$13=6)),
      AND(
        LEFT(P3247,5)&lt;&gt;"1-Way",
        LEFT(P3247,5)&lt;&gt;"2-Way",
        LEFT(P3247,5)&lt;&gt;"3-Way",
        P3247&lt;&gt;"Inner Centre Jamb"
      )
    ),
    IF(OR(Enginuity!$A$1="Frameless Glass",Enginuity!$A$1="Metal Work"),
      AND(TRIM(B3247)=TRIM(Enginuity!$A$17),TRIM(C3247)=TRIM(Enginuity!$A$18)),
      TRIM(B3247)=TRIM(Enginuity!$A$17)
    )
  ),
  ROW(),
  ""
)</f>
        <v/>
      </c>
    </row>
    <row r="3248" spans="21:21" x14ac:dyDescent="0.25">
      <c r="U3248" s="104" t="str">
        <f>IF(
  AND(
    TRIM(A3248)=TRIM(Enginuity!$A$1),
    TRIM(B3248)=TRIM(Enginuity!$A$17),
    Q3248&lt;&gt;"",
    Q3248&lt;&gt;0,
    OR(
      TRIM(C3248)=TRIM(Enginuity!$A$18),
      AND(UPPER(TRIM(M3248))="STD", TRIM(B3248)=TRIM(Enginuity!$A$17))
    ),
    OR(
      AND(LEFT(P3248,5)="1-Way", Enginuity!$B$13=1),
      AND(LEFT(P3248,5)="2-Way", OR(Enginuity!$B$13=2, Enginuity!$B$13=4)),
      AND(LEFT(P3248,5)="3-Way", OR(Enginuity!$B$13=3, Enginuity!$B$13=6)),
      AND(P3248="Inner Centre Jamb", OR(Enginuity!$B$13=4, Enginuity!$B$13=6)),
      AND(
        LEFT(P3248,5)&lt;&gt;"1-Way",
        LEFT(P3248,5)&lt;&gt;"2-Way",
        LEFT(P3248,5)&lt;&gt;"3-Way",
        P3248&lt;&gt;"Inner Centre Jamb"
      )
    ),
    IF(OR(Enginuity!$A$1="Frameless Glass",Enginuity!$A$1="Metal Work"),
      AND(TRIM(B3248)=TRIM(Enginuity!$A$17),TRIM(C3248)=TRIM(Enginuity!$A$18)),
      TRIM(B3248)=TRIM(Enginuity!$A$17)
    )
  ),
  ROW(),
  ""
)</f>
        <v/>
      </c>
    </row>
    <row r="3249" spans="21:21" x14ac:dyDescent="0.25">
      <c r="U3249" s="104" t="str">
        <f>IF(
  AND(
    TRIM(A3249)=TRIM(Enginuity!$A$1),
    TRIM(B3249)=TRIM(Enginuity!$A$17),
    Q3249&lt;&gt;"",
    Q3249&lt;&gt;0,
    OR(
      TRIM(C3249)=TRIM(Enginuity!$A$18),
      AND(UPPER(TRIM(M3249))="STD", TRIM(B3249)=TRIM(Enginuity!$A$17))
    ),
    OR(
      AND(LEFT(P3249,5)="1-Way", Enginuity!$B$13=1),
      AND(LEFT(P3249,5)="2-Way", OR(Enginuity!$B$13=2, Enginuity!$B$13=4)),
      AND(LEFT(P3249,5)="3-Way", OR(Enginuity!$B$13=3, Enginuity!$B$13=6)),
      AND(P3249="Inner Centre Jamb", OR(Enginuity!$B$13=4, Enginuity!$B$13=6)),
      AND(
        LEFT(P3249,5)&lt;&gt;"1-Way",
        LEFT(P3249,5)&lt;&gt;"2-Way",
        LEFT(P3249,5)&lt;&gt;"3-Way",
        P3249&lt;&gt;"Inner Centre Jamb"
      )
    ),
    IF(OR(Enginuity!$A$1="Frameless Glass",Enginuity!$A$1="Metal Work"),
      AND(TRIM(B3249)=TRIM(Enginuity!$A$17),TRIM(C3249)=TRIM(Enginuity!$A$18)),
      TRIM(B3249)=TRIM(Enginuity!$A$17)
    )
  ),
  ROW(),
  ""
)</f>
        <v/>
      </c>
    </row>
    <row r="3250" spans="21:21" x14ac:dyDescent="0.25">
      <c r="U3250" s="104" t="str">
        <f>IF(
  AND(
    TRIM(A3250)=TRIM(Enginuity!$A$1),
    TRIM(B3250)=TRIM(Enginuity!$A$17),
    Q3250&lt;&gt;"",
    Q3250&lt;&gt;0,
    OR(
      TRIM(C3250)=TRIM(Enginuity!$A$18),
      AND(UPPER(TRIM(M3250))="STD", TRIM(B3250)=TRIM(Enginuity!$A$17))
    ),
    OR(
      AND(LEFT(P3250,5)="1-Way", Enginuity!$B$13=1),
      AND(LEFT(P3250,5)="2-Way", OR(Enginuity!$B$13=2, Enginuity!$B$13=4)),
      AND(LEFT(P3250,5)="3-Way", OR(Enginuity!$B$13=3, Enginuity!$B$13=6)),
      AND(P3250="Inner Centre Jamb", OR(Enginuity!$B$13=4, Enginuity!$B$13=6)),
      AND(
        LEFT(P3250,5)&lt;&gt;"1-Way",
        LEFT(P3250,5)&lt;&gt;"2-Way",
        LEFT(P3250,5)&lt;&gt;"3-Way",
        P3250&lt;&gt;"Inner Centre Jamb"
      )
    ),
    IF(OR(Enginuity!$A$1="Frameless Glass",Enginuity!$A$1="Metal Work"),
      AND(TRIM(B3250)=TRIM(Enginuity!$A$17),TRIM(C3250)=TRIM(Enginuity!$A$18)),
      TRIM(B3250)=TRIM(Enginuity!$A$17)
    )
  ),
  ROW(),
  ""
)</f>
        <v/>
      </c>
    </row>
    <row r="3251" spans="21:21" x14ac:dyDescent="0.25">
      <c r="U3251" s="104" t="str">
        <f>IF(
  AND(
    TRIM(A3251)=TRIM(Enginuity!$A$1),
    TRIM(B3251)=TRIM(Enginuity!$A$17),
    Q3251&lt;&gt;"",
    Q3251&lt;&gt;0,
    OR(
      TRIM(C3251)=TRIM(Enginuity!$A$18),
      AND(UPPER(TRIM(M3251))="STD", TRIM(B3251)=TRIM(Enginuity!$A$17))
    ),
    OR(
      AND(LEFT(P3251,5)="1-Way", Enginuity!$B$13=1),
      AND(LEFT(P3251,5)="2-Way", OR(Enginuity!$B$13=2, Enginuity!$B$13=4)),
      AND(LEFT(P3251,5)="3-Way", OR(Enginuity!$B$13=3, Enginuity!$B$13=6)),
      AND(P3251="Inner Centre Jamb", OR(Enginuity!$B$13=4, Enginuity!$B$13=6)),
      AND(
        LEFT(P3251,5)&lt;&gt;"1-Way",
        LEFT(P3251,5)&lt;&gt;"2-Way",
        LEFT(P3251,5)&lt;&gt;"3-Way",
        P3251&lt;&gt;"Inner Centre Jamb"
      )
    ),
    IF(OR(Enginuity!$A$1="Frameless Glass",Enginuity!$A$1="Metal Work"),
      AND(TRIM(B3251)=TRIM(Enginuity!$A$17),TRIM(C3251)=TRIM(Enginuity!$A$18)),
      TRIM(B3251)=TRIM(Enginuity!$A$17)
    )
  ),
  ROW(),
  ""
)</f>
        <v/>
      </c>
    </row>
    <row r="3252" spans="21:21" x14ac:dyDescent="0.25">
      <c r="U3252" s="104" t="str">
        <f>IF(
  AND(
    TRIM(A3252)=TRIM(Enginuity!$A$1),
    TRIM(B3252)=TRIM(Enginuity!$A$17),
    Q3252&lt;&gt;"",
    Q3252&lt;&gt;0,
    OR(
      TRIM(C3252)=TRIM(Enginuity!$A$18),
      AND(UPPER(TRIM(M3252))="STD", TRIM(B3252)=TRIM(Enginuity!$A$17))
    ),
    OR(
      AND(LEFT(P3252,5)="1-Way", Enginuity!$B$13=1),
      AND(LEFT(P3252,5)="2-Way", OR(Enginuity!$B$13=2, Enginuity!$B$13=4)),
      AND(LEFT(P3252,5)="3-Way", OR(Enginuity!$B$13=3, Enginuity!$B$13=6)),
      AND(P3252="Inner Centre Jamb", OR(Enginuity!$B$13=4, Enginuity!$B$13=6)),
      AND(
        LEFT(P3252,5)&lt;&gt;"1-Way",
        LEFT(P3252,5)&lt;&gt;"2-Way",
        LEFT(P3252,5)&lt;&gt;"3-Way",
        P3252&lt;&gt;"Inner Centre Jamb"
      )
    ),
    IF(OR(Enginuity!$A$1="Frameless Glass",Enginuity!$A$1="Metal Work"),
      AND(TRIM(B3252)=TRIM(Enginuity!$A$17),TRIM(C3252)=TRIM(Enginuity!$A$18)),
      TRIM(B3252)=TRIM(Enginuity!$A$17)
    )
  ),
  ROW(),
  ""
)</f>
        <v/>
      </c>
    </row>
    <row r="3253" spans="21:21" x14ac:dyDescent="0.25">
      <c r="U3253" s="104" t="str">
        <f>IF(
  AND(
    TRIM(A3253)=TRIM(Enginuity!$A$1),
    TRIM(B3253)=TRIM(Enginuity!$A$17),
    Q3253&lt;&gt;"",
    Q3253&lt;&gt;0,
    OR(
      TRIM(C3253)=TRIM(Enginuity!$A$18),
      AND(UPPER(TRIM(M3253))="STD", TRIM(B3253)=TRIM(Enginuity!$A$17))
    ),
    OR(
      AND(LEFT(P3253,5)="1-Way", Enginuity!$B$13=1),
      AND(LEFT(P3253,5)="2-Way", OR(Enginuity!$B$13=2, Enginuity!$B$13=4)),
      AND(LEFT(P3253,5)="3-Way", OR(Enginuity!$B$13=3, Enginuity!$B$13=6)),
      AND(P3253="Inner Centre Jamb", OR(Enginuity!$B$13=4, Enginuity!$B$13=6)),
      AND(
        LEFT(P3253,5)&lt;&gt;"1-Way",
        LEFT(P3253,5)&lt;&gt;"2-Way",
        LEFT(P3253,5)&lt;&gt;"3-Way",
        P3253&lt;&gt;"Inner Centre Jamb"
      )
    ),
    IF(OR(Enginuity!$A$1="Frameless Glass",Enginuity!$A$1="Metal Work"),
      AND(TRIM(B3253)=TRIM(Enginuity!$A$17),TRIM(C3253)=TRIM(Enginuity!$A$18)),
      TRIM(B3253)=TRIM(Enginuity!$A$17)
    )
  ),
  ROW(),
  ""
)</f>
        <v/>
      </c>
    </row>
    <row r="3254" spans="21:21" x14ac:dyDescent="0.25">
      <c r="U3254" s="104" t="str">
        <f>IF(
  AND(
    TRIM(A3254)=TRIM(Enginuity!$A$1),
    TRIM(B3254)=TRIM(Enginuity!$A$17),
    Q3254&lt;&gt;"",
    Q3254&lt;&gt;0,
    OR(
      TRIM(C3254)=TRIM(Enginuity!$A$18),
      AND(UPPER(TRIM(M3254))="STD", TRIM(B3254)=TRIM(Enginuity!$A$17))
    ),
    OR(
      AND(LEFT(P3254,5)="1-Way", Enginuity!$B$13=1),
      AND(LEFT(P3254,5)="2-Way", OR(Enginuity!$B$13=2, Enginuity!$B$13=4)),
      AND(LEFT(P3254,5)="3-Way", OR(Enginuity!$B$13=3, Enginuity!$B$13=6)),
      AND(P3254="Inner Centre Jamb", OR(Enginuity!$B$13=4, Enginuity!$B$13=6)),
      AND(
        LEFT(P3254,5)&lt;&gt;"1-Way",
        LEFT(P3254,5)&lt;&gt;"2-Way",
        LEFT(P3254,5)&lt;&gt;"3-Way",
        P3254&lt;&gt;"Inner Centre Jamb"
      )
    ),
    IF(OR(Enginuity!$A$1="Frameless Glass",Enginuity!$A$1="Metal Work"),
      AND(TRIM(B3254)=TRIM(Enginuity!$A$17),TRIM(C3254)=TRIM(Enginuity!$A$18)),
      TRIM(B3254)=TRIM(Enginuity!$A$17)
    )
  ),
  ROW(),
  ""
)</f>
        <v/>
      </c>
    </row>
    <row r="3255" spans="21:21" x14ac:dyDescent="0.25">
      <c r="U3255" s="104" t="str">
        <f>IF(
  AND(
    TRIM(A3255)=TRIM(Enginuity!$A$1),
    TRIM(B3255)=TRIM(Enginuity!$A$17),
    Q3255&lt;&gt;"",
    Q3255&lt;&gt;0,
    OR(
      TRIM(C3255)=TRIM(Enginuity!$A$18),
      AND(UPPER(TRIM(M3255))="STD", TRIM(B3255)=TRIM(Enginuity!$A$17))
    ),
    OR(
      AND(LEFT(P3255,5)="1-Way", Enginuity!$B$13=1),
      AND(LEFT(P3255,5)="2-Way", OR(Enginuity!$B$13=2, Enginuity!$B$13=4)),
      AND(LEFT(P3255,5)="3-Way", OR(Enginuity!$B$13=3, Enginuity!$B$13=6)),
      AND(P3255="Inner Centre Jamb", OR(Enginuity!$B$13=4, Enginuity!$B$13=6)),
      AND(
        LEFT(P3255,5)&lt;&gt;"1-Way",
        LEFT(P3255,5)&lt;&gt;"2-Way",
        LEFT(P3255,5)&lt;&gt;"3-Way",
        P3255&lt;&gt;"Inner Centre Jamb"
      )
    ),
    IF(OR(Enginuity!$A$1="Frameless Glass",Enginuity!$A$1="Metal Work"),
      AND(TRIM(B3255)=TRIM(Enginuity!$A$17),TRIM(C3255)=TRIM(Enginuity!$A$18)),
      TRIM(B3255)=TRIM(Enginuity!$A$17)
    )
  ),
  ROW(),
  ""
)</f>
        <v/>
      </c>
    </row>
    <row r="3256" spans="21:21" x14ac:dyDescent="0.25">
      <c r="U3256" s="104" t="str">
        <f>IF(
  AND(
    TRIM(A3256)=TRIM(Enginuity!$A$1),
    TRIM(B3256)=TRIM(Enginuity!$A$17),
    Q3256&lt;&gt;"",
    Q3256&lt;&gt;0,
    OR(
      TRIM(C3256)=TRIM(Enginuity!$A$18),
      AND(UPPER(TRIM(M3256))="STD", TRIM(B3256)=TRIM(Enginuity!$A$17))
    ),
    OR(
      AND(LEFT(P3256,5)="1-Way", Enginuity!$B$13=1),
      AND(LEFT(P3256,5)="2-Way", OR(Enginuity!$B$13=2, Enginuity!$B$13=4)),
      AND(LEFT(P3256,5)="3-Way", OR(Enginuity!$B$13=3, Enginuity!$B$13=6)),
      AND(P3256="Inner Centre Jamb", OR(Enginuity!$B$13=4, Enginuity!$B$13=6)),
      AND(
        LEFT(P3256,5)&lt;&gt;"1-Way",
        LEFT(P3256,5)&lt;&gt;"2-Way",
        LEFT(P3256,5)&lt;&gt;"3-Way",
        P3256&lt;&gt;"Inner Centre Jamb"
      )
    ),
    IF(OR(Enginuity!$A$1="Frameless Glass",Enginuity!$A$1="Metal Work"),
      AND(TRIM(B3256)=TRIM(Enginuity!$A$17),TRIM(C3256)=TRIM(Enginuity!$A$18)),
      TRIM(B3256)=TRIM(Enginuity!$A$17)
    )
  ),
  ROW(),
  ""
)</f>
        <v/>
      </c>
    </row>
    <row r="3257" spans="21:21" x14ac:dyDescent="0.25">
      <c r="U3257" s="104" t="str">
        <f>IF(
  AND(
    TRIM(A3257)=TRIM(Enginuity!$A$1),
    TRIM(B3257)=TRIM(Enginuity!$A$17),
    Q3257&lt;&gt;"",
    Q3257&lt;&gt;0,
    OR(
      TRIM(C3257)=TRIM(Enginuity!$A$18),
      AND(UPPER(TRIM(M3257))="STD", TRIM(B3257)=TRIM(Enginuity!$A$17))
    ),
    OR(
      AND(LEFT(P3257,5)="1-Way", Enginuity!$B$13=1),
      AND(LEFT(P3257,5)="2-Way", OR(Enginuity!$B$13=2, Enginuity!$B$13=4)),
      AND(LEFT(P3257,5)="3-Way", OR(Enginuity!$B$13=3, Enginuity!$B$13=6)),
      AND(P3257="Inner Centre Jamb", OR(Enginuity!$B$13=4, Enginuity!$B$13=6)),
      AND(
        LEFT(P3257,5)&lt;&gt;"1-Way",
        LEFT(P3257,5)&lt;&gt;"2-Way",
        LEFT(P3257,5)&lt;&gt;"3-Way",
        P3257&lt;&gt;"Inner Centre Jamb"
      )
    ),
    IF(OR(Enginuity!$A$1="Frameless Glass",Enginuity!$A$1="Metal Work"),
      AND(TRIM(B3257)=TRIM(Enginuity!$A$17),TRIM(C3257)=TRIM(Enginuity!$A$18)),
      TRIM(B3257)=TRIM(Enginuity!$A$17)
    )
  ),
  ROW(),
  ""
)</f>
        <v/>
      </c>
    </row>
    <row r="3258" spans="21:21" x14ac:dyDescent="0.25">
      <c r="U3258" s="104" t="str">
        <f>IF(
  AND(
    TRIM(A3258)=TRIM(Enginuity!$A$1),
    TRIM(B3258)=TRIM(Enginuity!$A$17),
    Q3258&lt;&gt;"",
    Q3258&lt;&gt;0,
    OR(
      TRIM(C3258)=TRIM(Enginuity!$A$18),
      AND(UPPER(TRIM(M3258))="STD", TRIM(B3258)=TRIM(Enginuity!$A$17))
    ),
    OR(
      AND(LEFT(P3258,5)="1-Way", Enginuity!$B$13=1),
      AND(LEFT(P3258,5)="2-Way", OR(Enginuity!$B$13=2, Enginuity!$B$13=4)),
      AND(LEFT(P3258,5)="3-Way", OR(Enginuity!$B$13=3, Enginuity!$B$13=6)),
      AND(P3258="Inner Centre Jamb", OR(Enginuity!$B$13=4, Enginuity!$B$13=6)),
      AND(
        LEFT(P3258,5)&lt;&gt;"1-Way",
        LEFT(P3258,5)&lt;&gt;"2-Way",
        LEFT(P3258,5)&lt;&gt;"3-Way",
        P3258&lt;&gt;"Inner Centre Jamb"
      )
    ),
    IF(OR(Enginuity!$A$1="Frameless Glass",Enginuity!$A$1="Metal Work"),
      AND(TRIM(B3258)=TRIM(Enginuity!$A$17),TRIM(C3258)=TRIM(Enginuity!$A$18)),
      TRIM(B3258)=TRIM(Enginuity!$A$17)
    )
  ),
  ROW(),
  ""
)</f>
        <v/>
      </c>
    </row>
    <row r="3259" spans="21:21" x14ac:dyDescent="0.25">
      <c r="U3259" s="104" t="str">
        <f>IF(
  AND(
    TRIM(A3259)=TRIM(Enginuity!$A$1),
    TRIM(B3259)=TRIM(Enginuity!$A$17),
    Q3259&lt;&gt;"",
    Q3259&lt;&gt;0,
    OR(
      TRIM(C3259)=TRIM(Enginuity!$A$18),
      AND(UPPER(TRIM(M3259))="STD", TRIM(B3259)=TRIM(Enginuity!$A$17))
    ),
    OR(
      AND(LEFT(P3259,5)="1-Way", Enginuity!$B$13=1),
      AND(LEFT(P3259,5)="2-Way", OR(Enginuity!$B$13=2, Enginuity!$B$13=4)),
      AND(LEFT(P3259,5)="3-Way", OR(Enginuity!$B$13=3, Enginuity!$B$13=6)),
      AND(P3259="Inner Centre Jamb", OR(Enginuity!$B$13=4, Enginuity!$B$13=6)),
      AND(
        LEFT(P3259,5)&lt;&gt;"1-Way",
        LEFT(P3259,5)&lt;&gt;"2-Way",
        LEFT(P3259,5)&lt;&gt;"3-Way",
        P3259&lt;&gt;"Inner Centre Jamb"
      )
    ),
    IF(OR(Enginuity!$A$1="Frameless Glass",Enginuity!$A$1="Metal Work"),
      AND(TRIM(B3259)=TRIM(Enginuity!$A$17),TRIM(C3259)=TRIM(Enginuity!$A$18)),
      TRIM(B3259)=TRIM(Enginuity!$A$17)
    )
  ),
  ROW(),
  ""
)</f>
        <v/>
      </c>
    </row>
    <row r="3260" spans="21:21" x14ac:dyDescent="0.25">
      <c r="U3260" s="104" t="str">
        <f>IF(
  AND(
    TRIM(A3260)=TRIM(Enginuity!$A$1),
    TRIM(B3260)=TRIM(Enginuity!$A$17),
    Q3260&lt;&gt;"",
    Q3260&lt;&gt;0,
    OR(
      TRIM(C3260)=TRIM(Enginuity!$A$18),
      AND(UPPER(TRIM(M3260))="STD", TRIM(B3260)=TRIM(Enginuity!$A$17))
    ),
    OR(
      AND(LEFT(P3260,5)="1-Way", Enginuity!$B$13=1),
      AND(LEFT(P3260,5)="2-Way", OR(Enginuity!$B$13=2, Enginuity!$B$13=4)),
      AND(LEFT(P3260,5)="3-Way", OR(Enginuity!$B$13=3, Enginuity!$B$13=6)),
      AND(P3260="Inner Centre Jamb", OR(Enginuity!$B$13=4, Enginuity!$B$13=6)),
      AND(
        LEFT(P3260,5)&lt;&gt;"1-Way",
        LEFT(P3260,5)&lt;&gt;"2-Way",
        LEFT(P3260,5)&lt;&gt;"3-Way",
        P3260&lt;&gt;"Inner Centre Jamb"
      )
    ),
    IF(OR(Enginuity!$A$1="Frameless Glass",Enginuity!$A$1="Metal Work"),
      AND(TRIM(B3260)=TRIM(Enginuity!$A$17),TRIM(C3260)=TRIM(Enginuity!$A$18)),
      TRIM(B3260)=TRIM(Enginuity!$A$17)
    )
  ),
  ROW(),
  ""
)</f>
        <v/>
      </c>
    </row>
    <row r="3261" spans="21:21" x14ac:dyDescent="0.25">
      <c r="U3261" s="104" t="str">
        <f>IF(
  AND(
    TRIM(A3261)=TRIM(Enginuity!$A$1),
    TRIM(B3261)=TRIM(Enginuity!$A$17),
    Q3261&lt;&gt;"",
    Q3261&lt;&gt;0,
    OR(
      TRIM(C3261)=TRIM(Enginuity!$A$18),
      AND(UPPER(TRIM(M3261))="STD", TRIM(B3261)=TRIM(Enginuity!$A$17))
    ),
    OR(
      AND(LEFT(P3261,5)="1-Way", Enginuity!$B$13=1),
      AND(LEFT(P3261,5)="2-Way", OR(Enginuity!$B$13=2, Enginuity!$B$13=4)),
      AND(LEFT(P3261,5)="3-Way", OR(Enginuity!$B$13=3, Enginuity!$B$13=6)),
      AND(P3261="Inner Centre Jamb", OR(Enginuity!$B$13=4, Enginuity!$B$13=6)),
      AND(
        LEFT(P3261,5)&lt;&gt;"1-Way",
        LEFT(P3261,5)&lt;&gt;"2-Way",
        LEFT(P3261,5)&lt;&gt;"3-Way",
        P3261&lt;&gt;"Inner Centre Jamb"
      )
    ),
    IF(OR(Enginuity!$A$1="Frameless Glass",Enginuity!$A$1="Metal Work"),
      AND(TRIM(B3261)=TRIM(Enginuity!$A$17),TRIM(C3261)=TRIM(Enginuity!$A$18)),
      TRIM(B3261)=TRIM(Enginuity!$A$17)
    )
  ),
  ROW(),
  ""
)</f>
        <v/>
      </c>
    </row>
    <row r="3262" spans="21:21" x14ac:dyDescent="0.25">
      <c r="U3262" s="104" t="str">
        <f>IF(
  AND(
    TRIM(A3262)=TRIM(Enginuity!$A$1),
    TRIM(B3262)=TRIM(Enginuity!$A$17),
    Q3262&lt;&gt;"",
    Q3262&lt;&gt;0,
    OR(
      TRIM(C3262)=TRIM(Enginuity!$A$18),
      AND(UPPER(TRIM(M3262))="STD", TRIM(B3262)=TRIM(Enginuity!$A$17))
    ),
    OR(
      AND(LEFT(P3262,5)="1-Way", Enginuity!$B$13=1),
      AND(LEFT(P3262,5)="2-Way", OR(Enginuity!$B$13=2, Enginuity!$B$13=4)),
      AND(LEFT(P3262,5)="3-Way", OR(Enginuity!$B$13=3, Enginuity!$B$13=6)),
      AND(P3262="Inner Centre Jamb", OR(Enginuity!$B$13=4, Enginuity!$B$13=6)),
      AND(
        LEFT(P3262,5)&lt;&gt;"1-Way",
        LEFT(P3262,5)&lt;&gt;"2-Way",
        LEFT(P3262,5)&lt;&gt;"3-Way",
        P3262&lt;&gt;"Inner Centre Jamb"
      )
    ),
    IF(OR(Enginuity!$A$1="Frameless Glass",Enginuity!$A$1="Metal Work"),
      AND(TRIM(B3262)=TRIM(Enginuity!$A$17),TRIM(C3262)=TRIM(Enginuity!$A$18)),
      TRIM(B3262)=TRIM(Enginuity!$A$17)
    )
  ),
  ROW(),
  ""
)</f>
        <v/>
      </c>
    </row>
    <row r="3263" spans="21:21" x14ac:dyDescent="0.25">
      <c r="U3263" s="104" t="str">
        <f>IF(
  AND(
    TRIM(A3263)=TRIM(Enginuity!$A$1),
    TRIM(B3263)=TRIM(Enginuity!$A$17),
    Q3263&lt;&gt;"",
    Q3263&lt;&gt;0,
    OR(
      TRIM(C3263)=TRIM(Enginuity!$A$18),
      AND(UPPER(TRIM(M3263))="STD", TRIM(B3263)=TRIM(Enginuity!$A$17))
    ),
    OR(
      AND(LEFT(P3263,5)="1-Way", Enginuity!$B$13=1),
      AND(LEFT(P3263,5)="2-Way", OR(Enginuity!$B$13=2, Enginuity!$B$13=4)),
      AND(LEFT(P3263,5)="3-Way", OR(Enginuity!$B$13=3, Enginuity!$B$13=6)),
      AND(P3263="Inner Centre Jamb", OR(Enginuity!$B$13=4, Enginuity!$B$13=6)),
      AND(
        LEFT(P3263,5)&lt;&gt;"1-Way",
        LEFT(P3263,5)&lt;&gt;"2-Way",
        LEFT(P3263,5)&lt;&gt;"3-Way",
        P3263&lt;&gt;"Inner Centre Jamb"
      )
    ),
    IF(OR(Enginuity!$A$1="Frameless Glass",Enginuity!$A$1="Metal Work"),
      AND(TRIM(B3263)=TRIM(Enginuity!$A$17),TRIM(C3263)=TRIM(Enginuity!$A$18)),
      TRIM(B3263)=TRIM(Enginuity!$A$17)
    )
  ),
  ROW(),
  ""
)</f>
        <v/>
      </c>
    </row>
    <row r="3264" spans="21:21" x14ac:dyDescent="0.25">
      <c r="U3264" s="104" t="str">
        <f>IF(
  AND(
    TRIM(A3264)=TRIM(Enginuity!$A$1),
    TRIM(B3264)=TRIM(Enginuity!$A$17),
    Q3264&lt;&gt;"",
    Q3264&lt;&gt;0,
    OR(
      TRIM(C3264)=TRIM(Enginuity!$A$18),
      AND(UPPER(TRIM(M3264))="STD", TRIM(B3264)=TRIM(Enginuity!$A$17))
    ),
    OR(
      AND(LEFT(P3264,5)="1-Way", Enginuity!$B$13=1),
      AND(LEFT(P3264,5)="2-Way", OR(Enginuity!$B$13=2, Enginuity!$B$13=4)),
      AND(LEFT(P3264,5)="3-Way", OR(Enginuity!$B$13=3, Enginuity!$B$13=6)),
      AND(P3264="Inner Centre Jamb", OR(Enginuity!$B$13=4, Enginuity!$B$13=6)),
      AND(
        LEFT(P3264,5)&lt;&gt;"1-Way",
        LEFT(P3264,5)&lt;&gt;"2-Way",
        LEFT(P3264,5)&lt;&gt;"3-Way",
        P3264&lt;&gt;"Inner Centre Jamb"
      )
    ),
    IF(OR(Enginuity!$A$1="Frameless Glass",Enginuity!$A$1="Metal Work"),
      AND(TRIM(B3264)=TRIM(Enginuity!$A$17),TRIM(C3264)=TRIM(Enginuity!$A$18)),
      TRIM(B3264)=TRIM(Enginuity!$A$17)
    )
  ),
  ROW(),
  ""
)</f>
        <v/>
      </c>
    </row>
    <row r="3265" spans="21:21" x14ac:dyDescent="0.25">
      <c r="U3265" s="104" t="str">
        <f>IF(
  AND(
    TRIM(A3265)=TRIM(Enginuity!$A$1),
    TRIM(B3265)=TRIM(Enginuity!$A$17),
    Q3265&lt;&gt;"",
    Q3265&lt;&gt;0,
    OR(
      TRIM(C3265)=TRIM(Enginuity!$A$18),
      AND(UPPER(TRIM(M3265))="STD", TRIM(B3265)=TRIM(Enginuity!$A$17))
    ),
    OR(
      AND(LEFT(P3265,5)="1-Way", Enginuity!$B$13=1),
      AND(LEFT(P3265,5)="2-Way", OR(Enginuity!$B$13=2, Enginuity!$B$13=4)),
      AND(LEFT(P3265,5)="3-Way", OR(Enginuity!$B$13=3, Enginuity!$B$13=6)),
      AND(P3265="Inner Centre Jamb", OR(Enginuity!$B$13=4, Enginuity!$B$13=6)),
      AND(
        LEFT(P3265,5)&lt;&gt;"1-Way",
        LEFT(P3265,5)&lt;&gt;"2-Way",
        LEFT(P3265,5)&lt;&gt;"3-Way",
        P3265&lt;&gt;"Inner Centre Jamb"
      )
    ),
    IF(OR(Enginuity!$A$1="Frameless Glass",Enginuity!$A$1="Metal Work"),
      AND(TRIM(B3265)=TRIM(Enginuity!$A$17),TRIM(C3265)=TRIM(Enginuity!$A$18)),
      TRIM(B3265)=TRIM(Enginuity!$A$17)
    )
  ),
  ROW(),
  ""
)</f>
        <v/>
      </c>
    </row>
    <row r="3266" spans="21:21" x14ac:dyDescent="0.25">
      <c r="U3266" s="104" t="str">
        <f>IF(
  AND(
    TRIM(A3266)=TRIM(Enginuity!$A$1),
    TRIM(B3266)=TRIM(Enginuity!$A$17),
    Q3266&lt;&gt;"",
    Q3266&lt;&gt;0,
    OR(
      TRIM(C3266)=TRIM(Enginuity!$A$18),
      AND(UPPER(TRIM(M3266))="STD", TRIM(B3266)=TRIM(Enginuity!$A$17))
    ),
    OR(
      AND(LEFT(P3266,5)="1-Way", Enginuity!$B$13=1),
      AND(LEFT(P3266,5)="2-Way", OR(Enginuity!$B$13=2, Enginuity!$B$13=4)),
      AND(LEFT(P3266,5)="3-Way", OR(Enginuity!$B$13=3, Enginuity!$B$13=6)),
      AND(P3266="Inner Centre Jamb", OR(Enginuity!$B$13=4, Enginuity!$B$13=6)),
      AND(
        LEFT(P3266,5)&lt;&gt;"1-Way",
        LEFT(P3266,5)&lt;&gt;"2-Way",
        LEFT(P3266,5)&lt;&gt;"3-Way",
        P3266&lt;&gt;"Inner Centre Jamb"
      )
    ),
    IF(OR(Enginuity!$A$1="Frameless Glass",Enginuity!$A$1="Metal Work"),
      AND(TRIM(B3266)=TRIM(Enginuity!$A$17),TRIM(C3266)=TRIM(Enginuity!$A$18)),
      TRIM(B3266)=TRIM(Enginuity!$A$17)
    )
  ),
  ROW(),
  ""
)</f>
        <v/>
      </c>
    </row>
    <row r="3267" spans="21:21" x14ac:dyDescent="0.25">
      <c r="U3267" s="104" t="str">
        <f>IF(
  AND(
    TRIM(A3267)=TRIM(Enginuity!$A$1),
    TRIM(B3267)=TRIM(Enginuity!$A$17),
    Q3267&lt;&gt;"",
    Q3267&lt;&gt;0,
    OR(
      TRIM(C3267)=TRIM(Enginuity!$A$18),
      AND(UPPER(TRIM(M3267))="STD", TRIM(B3267)=TRIM(Enginuity!$A$17))
    ),
    OR(
      AND(LEFT(P3267,5)="1-Way", Enginuity!$B$13=1),
      AND(LEFT(P3267,5)="2-Way", OR(Enginuity!$B$13=2, Enginuity!$B$13=4)),
      AND(LEFT(P3267,5)="3-Way", OR(Enginuity!$B$13=3, Enginuity!$B$13=6)),
      AND(P3267="Inner Centre Jamb", OR(Enginuity!$B$13=4, Enginuity!$B$13=6)),
      AND(
        LEFT(P3267,5)&lt;&gt;"1-Way",
        LEFT(P3267,5)&lt;&gt;"2-Way",
        LEFT(P3267,5)&lt;&gt;"3-Way",
        P3267&lt;&gt;"Inner Centre Jamb"
      )
    ),
    IF(OR(Enginuity!$A$1="Frameless Glass",Enginuity!$A$1="Metal Work"),
      AND(TRIM(B3267)=TRIM(Enginuity!$A$17),TRIM(C3267)=TRIM(Enginuity!$A$18)),
      TRIM(B3267)=TRIM(Enginuity!$A$17)
    )
  ),
  ROW(),
  ""
)</f>
        <v/>
      </c>
    </row>
    <row r="3268" spans="21:21" x14ac:dyDescent="0.25">
      <c r="U3268" s="104" t="str">
        <f>IF(
  AND(
    TRIM(A3268)=TRIM(Enginuity!$A$1),
    TRIM(B3268)=TRIM(Enginuity!$A$17),
    Q3268&lt;&gt;"",
    Q3268&lt;&gt;0,
    OR(
      TRIM(C3268)=TRIM(Enginuity!$A$18),
      AND(UPPER(TRIM(M3268))="STD", TRIM(B3268)=TRIM(Enginuity!$A$17))
    ),
    OR(
      AND(LEFT(P3268,5)="1-Way", Enginuity!$B$13=1),
      AND(LEFT(P3268,5)="2-Way", OR(Enginuity!$B$13=2, Enginuity!$B$13=4)),
      AND(LEFT(P3268,5)="3-Way", OR(Enginuity!$B$13=3, Enginuity!$B$13=6)),
      AND(P3268="Inner Centre Jamb", OR(Enginuity!$B$13=4, Enginuity!$B$13=6)),
      AND(
        LEFT(P3268,5)&lt;&gt;"1-Way",
        LEFT(P3268,5)&lt;&gt;"2-Way",
        LEFT(P3268,5)&lt;&gt;"3-Way",
        P3268&lt;&gt;"Inner Centre Jamb"
      )
    ),
    IF(OR(Enginuity!$A$1="Frameless Glass",Enginuity!$A$1="Metal Work"),
      AND(TRIM(B3268)=TRIM(Enginuity!$A$17),TRIM(C3268)=TRIM(Enginuity!$A$18)),
      TRIM(B3268)=TRIM(Enginuity!$A$17)
    )
  ),
  ROW(),
  ""
)</f>
        <v/>
      </c>
    </row>
    <row r="3269" spans="21:21" x14ac:dyDescent="0.25">
      <c r="U3269" s="104" t="str">
        <f>IF(
  AND(
    TRIM(A3269)=TRIM(Enginuity!$A$1),
    TRIM(B3269)=TRIM(Enginuity!$A$17),
    Q3269&lt;&gt;"",
    Q3269&lt;&gt;0,
    OR(
      TRIM(C3269)=TRIM(Enginuity!$A$18),
      AND(UPPER(TRIM(M3269))="STD", TRIM(B3269)=TRIM(Enginuity!$A$17))
    ),
    OR(
      AND(LEFT(P3269,5)="1-Way", Enginuity!$B$13=1),
      AND(LEFT(P3269,5)="2-Way", OR(Enginuity!$B$13=2, Enginuity!$B$13=4)),
      AND(LEFT(P3269,5)="3-Way", OR(Enginuity!$B$13=3, Enginuity!$B$13=6)),
      AND(P3269="Inner Centre Jamb", OR(Enginuity!$B$13=4, Enginuity!$B$13=6)),
      AND(
        LEFT(P3269,5)&lt;&gt;"1-Way",
        LEFT(P3269,5)&lt;&gt;"2-Way",
        LEFT(P3269,5)&lt;&gt;"3-Way",
        P3269&lt;&gt;"Inner Centre Jamb"
      )
    ),
    IF(OR(Enginuity!$A$1="Frameless Glass",Enginuity!$A$1="Metal Work"),
      AND(TRIM(B3269)=TRIM(Enginuity!$A$17),TRIM(C3269)=TRIM(Enginuity!$A$18)),
      TRIM(B3269)=TRIM(Enginuity!$A$17)
    )
  ),
  ROW(),
  ""
)</f>
        <v/>
      </c>
    </row>
    <row r="3270" spans="21:21" x14ac:dyDescent="0.25">
      <c r="U3270" s="104" t="str">
        <f>IF(
  AND(
    TRIM(A3270)=TRIM(Enginuity!$A$1),
    TRIM(B3270)=TRIM(Enginuity!$A$17),
    Q3270&lt;&gt;"",
    Q3270&lt;&gt;0,
    OR(
      TRIM(C3270)=TRIM(Enginuity!$A$18),
      AND(UPPER(TRIM(M3270))="STD", TRIM(B3270)=TRIM(Enginuity!$A$17))
    ),
    OR(
      AND(LEFT(P3270,5)="1-Way", Enginuity!$B$13=1),
      AND(LEFT(P3270,5)="2-Way", OR(Enginuity!$B$13=2, Enginuity!$B$13=4)),
      AND(LEFT(P3270,5)="3-Way", OR(Enginuity!$B$13=3, Enginuity!$B$13=6)),
      AND(P3270="Inner Centre Jamb", OR(Enginuity!$B$13=4, Enginuity!$B$13=6)),
      AND(
        LEFT(P3270,5)&lt;&gt;"1-Way",
        LEFT(P3270,5)&lt;&gt;"2-Way",
        LEFT(P3270,5)&lt;&gt;"3-Way",
        P3270&lt;&gt;"Inner Centre Jamb"
      )
    ),
    IF(OR(Enginuity!$A$1="Frameless Glass",Enginuity!$A$1="Metal Work"),
      AND(TRIM(B3270)=TRIM(Enginuity!$A$17),TRIM(C3270)=TRIM(Enginuity!$A$18)),
      TRIM(B3270)=TRIM(Enginuity!$A$17)
    )
  ),
  ROW(),
  ""
)</f>
        <v/>
      </c>
    </row>
    <row r="3271" spans="21:21" x14ac:dyDescent="0.25">
      <c r="U3271" s="104" t="str">
        <f>IF(
  AND(
    TRIM(A3271)=TRIM(Enginuity!$A$1),
    TRIM(B3271)=TRIM(Enginuity!$A$17),
    Q3271&lt;&gt;"",
    Q3271&lt;&gt;0,
    OR(
      TRIM(C3271)=TRIM(Enginuity!$A$18),
      AND(UPPER(TRIM(M3271))="STD", TRIM(B3271)=TRIM(Enginuity!$A$17))
    ),
    OR(
      AND(LEFT(P3271,5)="1-Way", Enginuity!$B$13=1),
      AND(LEFT(P3271,5)="2-Way", OR(Enginuity!$B$13=2, Enginuity!$B$13=4)),
      AND(LEFT(P3271,5)="3-Way", OR(Enginuity!$B$13=3, Enginuity!$B$13=6)),
      AND(P3271="Inner Centre Jamb", OR(Enginuity!$B$13=4, Enginuity!$B$13=6)),
      AND(
        LEFT(P3271,5)&lt;&gt;"1-Way",
        LEFT(P3271,5)&lt;&gt;"2-Way",
        LEFT(P3271,5)&lt;&gt;"3-Way",
        P3271&lt;&gt;"Inner Centre Jamb"
      )
    ),
    IF(OR(Enginuity!$A$1="Frameless Glass",Enginuity!$A$1="Metal Work"),
      AND(TRIM(B3271)=TRIM(Enginuity!$A$17),TRIM(C3271)=TRIM(Enginuity!$A$18)),
      TRIM(B3271)=TRIM(Enginuity!$A$17)
    )
  ),
  ROW(),
  ""
)</f>
        <v/>
      </c>
    </row>
    <row r="3272" spans="21:21" x14ac:dyDescent="0.25">
      <c r="U3272" s="104" t="str">
        <f>IF(
  AND(
    TRIM(A3272)=TRIM(Enginuity!$A$1),
    TRIM(B3272)=TRIM(Enginuity!$A$17),
    Q3272&lt;&gt;"",
    Q3272&lt;&gt;0,
    OR(
      TRIM(C3272)=TRIM(Enginuity!$A$18),
      AND(UPPER(TRIM(M3272))="STD", TRIM(B3272)=TRIM(Enginuity!$A$17))
    ),
    OR(
      AND(LEFT(P3272,5)="1-Way", Enginuity!$B$13=1),
      AND(LEFT(P3272,5)="2-Way", OR(Enginuity!$B$13=2, Enginuity!$B$13=4)),
      AND(LEFT(P3272,5)="3-Way", OR(Enginuity!$B$13=3, Enginuity!$B$13=6)),
      AND(P3272="Inner Centre Jamb", OR(Enginuity!$B$13=4, Enginuity!$B$13=6)),
      AND(
        LEFT(P3272,5)&lt;&gt;"1-Way",
        LEFT(P3272,5)&lt;&gt;"2-Way",
        LEFT(P3272,5)&lt;&gt;"3-Way",
        P3272&lt;&gt;"Inner Centre Jamb"
      )
    ),
    IF(OR(Enginuity!$A$1="Frameless Glass",Enginuity!$A$1="Metal Work"),
      AND(TRIM(B3272)=TRIM(Enginuity!$A$17),TRIM(C3272)=TRIM(Enginuity!$A$18)),
      TRIM(B3272)=TRIM(Enginuity!$A$17)
    )
  ),
  ROW(),
  ""
)</f>
        <v/>
      </c>
    </row>
    <row r="3273" spans="21:21" x14ac:dyDescent="0.25">
      <c r="U3273" s="104" t="str">
        <f>IF(
  AND(
    TRIM(A3273)=TRIM(Enginuity!$A$1),
    TRIM(B3273)=TRIM(Enginuity!$A$17),
    Q3273&lt;&gt;"",
    Q3273&lt;&gt;0,
    OR(
      TRIM(C3273)=TRIM(Enginuity!$A$18),
      AND(UPPER(TRIM(M3273))="STD", TRIM(B3273)=TRIM(Enginuity!$A$17))
    ),
    OR(
      AND(LEFT(P3273,5)="1-Way", Enginuity!$B$13=1),
      AND(LEFT(P3273,5)="2-Way", OR(Enginuity!$B$13=2, Enginuity!$B$13=4)),
      AND(LEFT(P3273,5)="3-Way", OR(Enginuity!$B$13=3, Enginuity!$B$13=6)),
      AND(P3273="Inner Centre Jamb", OR(Enginuity!$B$13=4, Enginuity!$B$13=6)),
      AND(
        LEFT(P3273,5)&lt;&gt;"1-Way",
        LEFT(P3273,5)&lt;&gt;"2-Way",
        LEFT(P3273,5)&lt;&gt;"3-Way",
        P3273&lt;&gt;"Inner Centre Jamb"
      )
    ),
    IF(OR(Enginuity!$A$1="Frameless Glass",Enginuity!$A$1="Metal Work"),
      AND(TRIM(B3273)=TRIM(Enginuity!$A$17),TRIM(C3273)=TRIM(Enginuity!$A$18)),
      TRIM(B3273)=TRIM(Enginuity!$A$17)
    )
  ),
  ROW(),
  ""
)</f>
        <v/>
      </c>
    </row>
    <row r="3274" spans="21:21" x14ac:dyDescent="0.25">
      <c r="U3274" s="104" t="str">
        <f>IF(
  AND(
    TRIM(A3274)=TRIM(Enginuity!$A$1),
    TRIM(B3274)=TRIM(Enginuity!$A$17),
    Q3274&lt;&gt;"",
    Q3274&lt;&gt;0,
    OR(
      TRIM(C3274)=TRIM(Enginuity!$A$18),
      AND(UPPER(TRIM(M3274))="STD", TRIM(B3274)=TRIM(Enginuity!$A$17))
    ),
    OR(
      AND(LEFT(P3274,5)="1-Way", Enginuity!$B$13=1),
      AND(LEFT(P3274,5)="2-Way", OR(Enginuity!$B$13=2, Enginuity!$B$13=4)),
      AND(LEFT(P3274,5)="3-Way", OR(Enginuity!$B$13=3, Enginuity!$B$13=6)),
      AND(P3274="Inner Centre Jamb", OR(Enginuity!$B$13=4, Enginuity!$B$13=6)),
      AND(
        LEFT(P3274,5)&lt;&gt;"1-Way",
        LEFT(P3274,5)&lt;&gt;"2-Way",
        LEFT(P3274,5)&lt;&gt;"3-Way",
        P3274&lt;&gt;"Inner Centre Jamb"
      )
    ),
    IF(OR(Enginuity!$A$1="Frameless Glass",Enginuity!$A$1="Metal Work"),
      AND(TRIM(B3274)=TRIM(Enginuity!$A$17),TRIM(C3274)=TRIM(Enginuity!$A$18)),
      TRIM(B3274)=TRIM(Enginuity!$A$17)
    )
  ),
  ROW(),
  ""
)</f>
        <v/>
      </c>
    </row>
    <row r="3275" spans="21:21" x14ac:dyDescent="0.25">
      <c r="U3275" s="104" t="str">
        <f>IF(
  AND(
    TRIM(A3275)=TRIM(Enginuity!$A$1),
    TRIM(B3275)=TRIM(Enginuity!$A$17),
    Q3275&lt;&gt;"",
    Q3275&lt;&gt;0,
    OR(
      TRIM(C3275)=TRIM(Enginuity!$A$18),
      AND(UPPER(TRIM(M3275))="STD", TRIM(B3275)=TRIM(Enginuity!$A$17))
    ),
    OR(
      AND(LEFT(P3275,5)="1-Way", Enginuity!$B$13=1),
      AND(LEFT(P3275,5)="2-Way", OR(Enginuity!$B$13=2, Enginuity!$B$13=4)),
      AND(LEFT(P3275,5)="3-Way", OR(Enginuity!$B$13=3, Enginuity!$B$13=6)),
      AND(P3275="Inner Centre Jamb", OR(Enginuity!$B$13=4, Enginuity!$B$13=6)),
      AND(
        LEFT(P3275,5)&lt;&gt;"1-Way",
        LEFT(P3275,5)&lt;&gt;"2-Way",
        LEFT(P3275,5)&lt;&gt;"3-Way",
        P3275&lt;&gt;"Inner Centre Jamb"
      )
    ),
    IF(OR(Enginuity!$A$1="Frameless Glass",Enginuity!$A$1="Metal Work"),
      AND(TRIM(B3275)=TRIM(Enginuity!$A$17),TRIM(C3275)=TRIM(Enginuity!$A$18)),
      TRIM(B3275)=TRIM(Enginuity!$A$17)
    )
  ),
  ROW(),
  ""
)</f>
        <v/>
      </c>
    </row>
    <row r="3276" spans="21:21" x14ac:dyDescent="0.25">
      <c r="U3276" s="104" t="str">
        <f>IF(
  AND(
    TRIM(A3276)=TRIM(Enginuity!$A$1),
    TRIM(B3276)=TRIM(Enginuity!$A$17),
    Q3276&lt;&gt;"",
    Q3276&lt;&gt;0,
    OR(
      TRIM(C3276)=TRIM(Enginuity!$A$18),
      AND(UPPER(TRIM(M3276))="STD", TRIM(B3276)=TRIM(Enginuity!$A$17))
    ),
    OR(
      AND(LEFT(P3276,5)="1-Way", Enginuity!$B$13=1),
      AND(LEFT(P3276,5)="2-Way", OR(Enginuity!$B$13=2, Enginuity!$B$13=4)),
      AND(LEFT(P3276,5)="3-Way", OR(Enginuity!$B$13=3, Enginuity!$B$13=6)),
      AND(P3276="Inner Centre Jamb", OR(Enginuity!$B$13=4, Enginuity!$B$13=6)),
      AND(
        LEFT(P3276,5)&lt;&gt;"1-Way",
        LEFT(P3276,5)&lt;&gt;"2-Way",
        LEFT(P3276,5)&lt;&gt;"3-Way",
        P3276&lt;&gt;"Inner Centre Jamb"
      )
    ),
    IF(OR(Enginuity!$A$1="Frameless Glass",Enginuity!$A$1="Metal Work"),
      AND(TRIM(B3276)=TRIM(Enginuity!$A$17),TRIM(C3276)=TRIM(Enginuity!$A$18)),
      TRIM(B3276)=TRIM(Enginuity!$A$17)
    )
  ),
  ROW(),
  ""
)</f>
        <v/>
      </c>
    </row>
    <row r="3277" spans="21:21" x14ac:dyDescent="0.25">
      <c r="U3277" s="104" t="str">
        <f>IF(
  AND(
    TRIM(A3277)=TRIM(Enginuity!$A$1),
    TRIM(B3277)=TRIM(Enginuity!$A$17),
    Q3277&lt;&gt;"",
    Q3277&lt;&gt;0,
    OR(
      TRIM(C3277)=TRIM(Enginuity!$A$18),
      AND(UPPER(TRIM(M3277))="STD", TRIM(B3277)=TRIM(Enginuity!$A$17))
    ),
    OR(
      AND(LEFT(P3277,5)="1-Way", Enginuity!$B$13=1),
      AND(LEFT(P3277,5)="2-Way", OR(Enginuity!$B$13=2, Enginuity!$B$13=4)),
      AND(LEFT(P3277,5)="3-Way", OR(Enginuity!$B$13=3, Enginuity!$B$13=6)),
      AND(P3277="Inner Centre Jamb", OR(Enginuity!$B$13=4, Enginuity!$B$13=6)),
      AND(
        LEFT(P3277,5)&lt;&gt;"1-Way",
        LEFT(P3277,5)&lt;&gt;"2-Way",
        LEFT(P3277,5)&lt;&gt;"3-Way",
        P3277&lt;&gt;"Inner Centre Jamb"
      )
    ),
    IF(OR(Enginuity!$A$1="Frameless Glass",Enginuity!$A$1="Metal Work"),
      AND(TRIM(B3277)=TRIM(Enginuity!$A$17),TRIM(C3277)=TRIM(Enginuity!$A$18)),
      TRIM(B3277)=TRIM(Enginuity!$A$17)
    )
  ),
  ROW(),
  ""
)</f>
        <v/>
      </c>
    </row>
    <row r="3278" spans="21:21" x14ac:dyDescent="0.25">
      <c r="U3278" s="104" t="str">
        <f>IF(
  AND(
    TRIM(A3278)=TRIM(Enginuity!$A$1),
    TRIM(B3278)=TRIM(Enginuity!$A$17),
    Q3278&lt;&gt;"",
    Q3278&lt;&gt;0,
    OR(
      TRIM(C3278)=TRIM(Enginuity!$A$18),
      AND(UPPER(TRIM(M3278))="STD", TRIM(B3278)=TRIM(Enginuity!$A$17))
    ),
    OR(
      AND(LEFT(P3278,5)="1-Way", Enginuity!$B$13=1),
      AND(LEFT(P3278,5)="2-Way", OR(Enginuity!$B$13=2, Enginuity!$B$13=4)),
      AND(LEFT(P3278,5)="3-Way", OR(Enginuity!$B$13=3, Enginuity!$B$13=6)),
      AND(P3278="Inner Centre Jamb", OR(Enginuity!$B$13=4, Enginuity!$B$13=6)),
      AND(
        LEFT(P3278,5)&lt;&gt;"1-Way",
        LEFT(P3278,5)&lt;&gt;"2-Way",
        LEFT(P3278,5)&lt;&gt;"3-Way",
        P3278&lt;&gt;"Inner Centre Jamb"
      )
    ),
    IF(OR(Enginuity!$A$1="Frameless Glass",Enginuity!$A$1="Metal Work"),
      AND(TRIM(B3278)=TRIM(Enginuity!$A$17),TRIM(C3278)=TRIM(Enginuity!$A$18)),
      TRIM(B3278)=TRIM(Enginuity!$A$17)
    )
  ),
  ROW(),
  ""
)</f>
        <v/>
      </c>
    </row>
    <row r="3279" spans="21:21" x14ac:dyDescent="0.25">
      <c r="U3279" s="104" t="str">
        <f>IF(
  AND(
    TRIM(A3279)=TRIM(Enginuity!$A$1),
    TRIM(B3279)=TRIM(Enginuity!$A$17),
    Q3279&lt;&gt;"",
    Q3279&lt;&gt;0,
    OR(
      TRIM(C3279)=TRIM(Enginuity!$A$18),
      AND(UPPER(TRIM(M3279))="STD", TRIM(B3279)=TRIM(Enginuity!$A$17))
    ),
    OR(
      AND(LEFT(P3279,5)="1-Way", Enginuity!$B$13=1),
      AND(LEFT(P3279,5)="2-Way", OR(Enginuity!$B$13=2, Enginuity!$B$13=4)),
      AND(LEFT(P3279,5)="3-Way", OR(Enginuity!$B$13=3, Enginuity!$B$13=6)),
      AND(P3279="Inner Centre Jamb", OR(Enginuity!$B$13=4, Enginuity!$B$13=6)),
      AND(
        LEFT(P3279,5)&lt;&gt;"1-Way",
        LEFT(P3279,5)&lt;&gt;"2-Way",
        LEFT(P3279,5)&lt;&gt;"3-Way",
        P3279&lt;&gt;"Inner Centre Jamb"
      )
    ),
    IF(OR(Enginuity!$A$1="Frameless Glass",Enginuity!$A$1="Metal Work"),
      AND(TRIM(B3279)=TRIM(Enginuity!$A$17),TRIM(C3279)=TRIM(Enginuity!$A$18)),
      TRIM(B3279)=TRIM(Enginuity!$A$17)
    )
  ),
  ROW(),
  ""
)</f>
        <v/>
      </c>
    </row>
    <row r="3280" spans="21:21" x14ac:dyDescent="0.25">
      <c r="U3280" s="104" t="str">
        <f>IF(
  AND(
    TRIM(A3280)=TRIM(Enginuity!$A$1),
    TRIM(B3280)=TRIM(Enginuity!$A$17),
    Q3280&lt;&gt;"",
    Q3280&lt;&gt;0,
    OR(
      TRIM(C3280)=TRIM(Enginuity!$A$18),
      AND(UPPER(TRIM(M3280))="STD", TRIM(B3280)=TRIM(Enginuity!$A$17))
    ),
    OR(
      AND(LEFT(P3280,5)="1-Way", Enginuity!$B$13=1),
      AND(LEFT(P3280,5)="2-Way", OR(Enginuity!$B$13=2, Enginuity!$B$13=4)),
      AND(LEFT(P3280,5)="3-Way", OR(Enginuity!$B$13=3, Enginuity!$B$13=6)),
      AND(P3280="Inner Centre Jamb", OR(Enginuity!$B$13=4, Enginuity!$B$13=6)),
      AND(
        LEFT(P3280,5)&lt;&gt;"1-Way",
        LEFT(P3280,5)&lt;&gt;"2-Way",
        LEFT(P3280,5)&lt;&gt;"3-Way",
        P3280&lt;&gt;"Inner Centre Jamb"
      )
    ),
    IF(OR(Enginuity!$A$1="Frameless Glass",Enginuity!$A$1="Metal Work"),
      AND(TRIM(B3280)=TRIM(Enginuity!$A$17),TRIM(C3280)=TRIM(Enginuity!$A$18)),
      TRIM(B3280)=TRIM(Enginuity!$A$17)
    )
  ),
  ROW(),
  ""
)</f>
        <v/>
      </c>
    </row>
    <row r="3281" spans="21:21" x14ac:dyDescent="0.25">
      <c r="U3281" s="104" t="str">
        <f>IF(
  AND(
    TRIM(A3281)=TRIM(Enginuity!$A$1),
    TRIM(B3281)=TRIM(Enginuity!$A$17),
    Q3281&lt;&gt;"",
    Q3281&lt;&gt;0,
    OR(
      TRIM(C3281)=TRIM(Enginuity!$A$18),
      AND(UPPER(TRIM(M3281))="STD", TRIM(B3281)=TRIM(Enginuity!$A$17))
    ),
    OR(
      AND(LEFT(P3281,5)="1-Way", Enginuity!$B$13=1),
      AND(LEFT(P3281,5)="2-Way", OR(Enginuity!$B$13=2, Enginuity!$B$13=4)),
      AND(LEFT(P3281,5)="3-Way", OR(Enginuity!$B$13=3, Enginuity!$B$13=6)),
      AND(P3281="Inner Centre Jamb", OR(Enginuity!$B$13=4, Enginuity!$B$13=6)),
      AND(
        LEFT(P3281,5)&lt;&gt;"1-Way",
        LEFT(P3281,5)&lt;&gt;"2-Way",
        LEFT(P3281,5)&lt;&gt;"3-Way",
        P3281&lt;&gt;"Inner Centre Jamb"
      )
    ),
    IF(OR(Enginuity!$A$1="Frameless Glass",Enginuity!$A$1="Metal Work"),
      AND(TRIM(B3281)=TRIM(Enginuity!$A$17),TRIM(C3281)=TRIM(Enginuity!$A$18)),
      TRIM(B3281)=TRIM(Enginuity!$A$17)
    )
  ),
  ROW(),
  ""
)</f>
        <v/>
      </c>
    </row>
    <row r="3282" spans="21:21" x14ac:dyDescent="0.25">
      <c r="U3282" s="104" t="str">
        <f>IF(
  AND(
    TRIM(A3282)=TRIM(Enginuity!$A$1),
    TRIM(B3282)=TRIM(Enginuity!$A$17),
    Q3282&lt;&gt;"",
    Q3282&lt;&gt;0,
    OR(
      TRIM(C3282)=TRIM(Enginuity!$A$18),
      AND(UPPER(TRIM(M3282))="STD", TRIM(B3282)=TRIM(Enginuity!$A$17))
    ),
    OR(
      AND(LEFT(P3282,5)="1-Way", Enginuity!$B$13=1),
      AND(LEFT(P3282,5)="2-Way", OR(Enginuity!$B$13=2, Enginuity!$B$13=4)),
      AND(LEFT(P3282,5)="3-Way", OR(Enginuity!$B$13=3, Enginuity!$B$13=6)),
      AND(P3282="Inner Centre Jamb", OR(Enginuity!$B$13=4, Enginuity!$B$13=6)),
      AND(
        LEFT(P3282,5)&lt;&gt;"1-Way",
        LEFT(P3282,5)&lt;&gt;"2-Way",
        LEFT(P3282,5)&lt;&gt;"3-Way",
        P3282&lt;&gt;"Inner Centre Jamb"
      )
    ),
    IF(OR(Enginuity!$A$1="Frameless Glass",Enginuity!$A$1="Metal Work"),
      AND(TRIM(B3282)=TRIM(Enginuity!$A$17),TRIM(C3282)=TRIM(Enginuity!$A$18)),
      TRIM(B3282)=TRIM(Enginuity!$A$17)
    )
  ),
  ROW(),
  ""
)</f>
        <v/>
      </c>
    </row>
    <row r="3283" spans="21:21" x14ac:dyDescent="0.25">
      <c r="U3283" s="104" t="str">
        <f>IF(
  AND(
    TRIM(A3283)=TRIM(Enginuity!$A$1),
    TRIM(B3283)=TRIM(Enginuity!$A$17),
    Q3283&lt;&gt;"",
    Q3283&lt;&gt;0,
    OR(
      TRIM(C3283)=TRIM(Enginuity!$A$18),
      AND(UPPER(TRIM(M3283))="STD", TRIM(B3283)=TRIM(Enginuity!$A$17))
    ),
    OR(
      AND(LEFT(P3283,5)="1-Way", Enginuity!$B$13=1),
      AND(LEFT(P3283,5)="2-Way", OR(Enginuity!$B$13=2, Enginuity!$B$13=4)),
      AND(LEFT(P3283,5)="3-Way", OR(Enginuity!$B$13=3, Enginuity!$B$13=6)),
      AND(P3283="Inner Centre Jamb", OR(Enginuity!$B$13=4, Enginuity!$B$13=6)),
      AND(
        LEFT(P3283,5)&lt;&gt;"1-Way",
        LEFT(P3283,5)&lt;&gt;"2-Way",
        LEFT(P3283,5)&lt;&gt;"3-Way",
        P3283&lt;&gt;"Inner Centre Jamb"
      )
    ),
    IF(OR(Enginuity!$A$1="Frameless Glass",Enginuity!$A$1="Metal Work"),
      AND(TRIM(B3283)=TRIM(Enginuity!$A$17),TRIM(C3283)=TRIM(Enginuity!$A$18)),
      TRIM(B3283)=TRIM(Enginuity!$A$17)
    )
  ),
  ROW(),
  ""
)</f>
        <v/>
      </c>
    </row>
    <row r="3284" spans="21:21" x14ac:dyDescent="0.25">
      <c r="U3284" s="104" t="str">
        <f>IF(
  AND(
    TRIM(A3284)=TRIM(Enginuity!$A$1),
    TRIM(B3284)=TRIM(Enginuity!$A$17),
    Q3284&lt;&gt;"",
    Q3284&lt;&gt;0,
    OR(
      TRIM(C3284)=TRIM(Enginuity!$A$18),
      AND(UPPER(TRIM(M3284))="STD", TRIM(B3284)=TRIM(Enginuity!$A$17))
    ),
    OR(
      AND(LEFT(P3284,5)="1-Way", Enginuity!$B$13=1),
      AND(LEFT(P3284,5)="2-Way", OR(Enginuity!$B$13=2, Enginuity!$B$13=4)),
      AND(LEFT(P3284,5)="3-Way", OR(Enginuity!$B$13=3, Enginuity!$B$13=6)),
      AND(P3284="Inner Centre Jamb", OR(Enginuity!$B$13=4, Enginuity!$B$13=6)),
      AND(
        LEFT(P3284,5)&lt;&gt;"1-Way",
        LEFT(P3284,5)&lt;&gt;"2-Way",
        LEFT(P3284,5)&lt;&gt;"3-Way",
        P3284&lt;&gt;"Inner Centre Jamb"
      )
    ),
    IF(OR(Enginuity!$A$1="Frameless Glass",Enginuity!$A$1="Metal Work"),
      AND(TRIM(B3284)=TRIM(Enginuity!$A$17),TRIM(C3284)=TRIM(Enginuity!$A$18)),
      TRIM(B3284)=TRIM(Enginuity!$A$17)
    )
  ),
  ROW(),
  ""
)</f>
        <v/>
      </c>
    </row>
    <row r="3285" spans="21:21" x14ac:dyDescent="0.25">
      <c r="U3285" s="104" t="str">
        <f>IF(
  AND(
    TRIM(A3285)=TRIM(Enginuity!$A$1),
    TRIM(B3285)=TRIM(Enginuity!$A$17),
    Q3285&lt;&gt;"",
    Q3285&lt;&gt;0,
    OR(
      TRIM(C3285)=TRIM(Enginuity!$A$18),
      AND(UPPER(TRIM(M3285))="STD", TRIM(B3285)=TRIM(Enginuity!$A$17))
    ),
    OR(
      AND(LEFT(P3285,5)="1-Way", Enginuity!$B$13=1),
      AND(LEFT(P3285,5)="2-Way", OR(Enginuity!$B$13=2, Enginuity!$B$13=4)),
      AND(LEFT(P3285,5)="3-Way", OR(Enginuity!$B$13=3, Enginuity!$B$13=6)),
      AND(P3285="Inner Centre Jamb", OR(Enginuity!$B$13=4, Enginuity!$B$13=6)),
      AND(
        LEFT(P3285,5)&lt;&gt;"1-Way",
        LEFT(P3285,5)&lt;&gt;"2-Way",
        LEFT(P3285,5)&lt;&gt;"3-Way",
        P3285&lt;&gt;"Inner Centre Jamb"
      )
    ),
    IF(OR(Enginuity!$A$1="Frameless Glass",Enginuity!$A$1="Metal Work"),
      AND(TRIM(B3285)=TRIM(Enginuity!$A$17),TRIM(C3285)=TRIM(Enginuity!$A$18)),
      TRIM(B3285)=TRIM(Enginuity!$A$17)
    )
  ),
  ROW(),
  ""
)</f>
        <v/>
      </c>
    </row>
    <row r="3286" spans="21:21" x14ac:dyDescent="0.25">
      <c r="U3286" s="104" t="str">
        <f>IF(
  AND(
    TRIM(A3286)=TRIM(Enginuity!$A$1),
    TRIM(B3286)=TRIM(Enginuity!$A$17),
    Q3286&lt;&gt;"",
    Q3286&lt;&gt;0,
    OR(
      TRIM(C3286)=TRIM(Enginuity!$A$18),
      AND(UPPER(TRIM(M3286))="STD", TRIM(B3286)=TRIM(Enginuity!$A$17))
    ),
    OR(
      AND(LEFT(P3286,5)="1-Way", Enginuity!$B$13=1),
      AND(LEFT(P3286,5)="2-Way", OR(Enginuity!$B$13=2, Enginuity!$B$13=4)),
      AND(LEFT(P3286,5)="3-Way", OR(Enginuity!$B$13=3, Enginuity!$B$13=6)),
      AND(P3286="Inner Centre Jamb", OR(Enginuity!$B$13=4, Enginuity!$B$13=6)),
      AND(
        LEFT(P3286,5)&lt;&gt;"1-Way",
        LEFT(P3286,5)&lt;&gt;"2-Way",
        LEFT(P3286,5)&lt;&gt;"3-Way",
        P3286&lt;&gt;"Inner Centre Jamb"
      )
    ),
    IF(OR(Enginuity!$A$1="Frameless Glass",Enginuity!$A$1="Metal Work"),
      AND(TRIM(B3286)=TRIM(Enginuity!$A$17),TRIM(C3286)=TRIM(Enginuity!$A$18)),
      TRIM(B3286)=TRIM(Enginuity!$A$17)
    )
  ),
  ROW(),
  ""
)</f>
        <v/>
      </c>
    </row>
    <row r="3287" spans="21:21" x14ac:dyDescent="0.25">
      <c r="U3287" s="104" t="str">
        <f>IF(
  AND(
    TRIM(A3287)=TRIM(Enginuity!$A$1),
    TRIM(B3287)=TRIM(Enginuity!$A$17),
    Q3287&lt;&gt;"",
    Q3287&lt;&gt;0,
    OR(
      TRIM(C3287)=TRIM(Enginuity!$A$18),
      AND(UPPER(TRIM(M3287))="STD", TRIM(B3287)=TRIM(Enginuity!$A$17))
    ),
    OR(
      AND(LEFT(P3287,5)="1-Way", Enginuity!$B$13=1),
      AND(LEFT(P3287,5)="2-Way", OR(Enginuity!$B$13=2, Enginuity!$B$13=4)),
      AND(LEFT(P3287,5)="3-Way", OR(Enginuity!$B$13=3, Enginuity!$B$13=6)),
      AND(P3287="Inner Centre Jamb", OR(Enginuity!$B$13=4, Enginuity!$B$13=6)),
      AND(
        LEFT(P3287,5)&lt;&gt;"1-Way",
        LEFT(P3287,5)&lt;&gt;"2-Way",
        LEFT(P3287,5)&lt;&gt;"3-Way",
        P3287&lt;&gt;"Inner Centre Jamb"
      )
    ),
    IF(OR(Enginuity!$A$1="Frameless Glass",Enginuity!$A$1="Metal Work"),
      AND(TRIM(B3287)=TRIM(Enginuity!$A$17),TRIM(C3287)=TRIM(Enginuity!$A$18)),
      TRIM(B3287)=TRIM(Enginuity!$A$17)
    )
  ),
  ROW(),
  ""
)</f>
        <v/>
      </c>
    </row>
    <row r="3288" spans="21:21" x14ac:dyDescent="0.25">
      <c r="U3288" s="104" t="str">
        <f>IF(
  AND(
    TRIM(A3288)=TRIM(Enginuity!$A$1),
    TRIM(B3288)=TRIM(Enginuity!$A$17),
    Q3288&lt;&gt;"",
    Q3288&lt;&gt;0,
    OR(
      TRIM(C3288)=TRIM(Enginuity!$A$18),
      AND(UPPER(TRIM(M3288))="STD", TRIM(B3288)=TRIM(Enginuity!$A$17))
    ),
    OR(
      AND(LEFT(P3288,5)="1-Way", Enginuity!$B$13=1),
      AND(LEFT(P3288,5)="2-Way", OR(Enginuity!$B$13=2, Enginuity!$B$13=4)),
      AND(LEFT(P3288,5)="3-Way", OR(Enginuity!$B$13=3, Enginuity!$B$13=6)),
      AND(P3288="Inner Centre Jamb", OR(Enginuity!$B$13=4, Enginuity!$B$13=6)),
      AND(
        LEFT(P3288,5)&lt;&gt;"1-Way",
        LEFT(P3288,5)&lt;&gt;"2-Way",
        LEFT(P3288,5)&lt;&gt;"3-Way",
        P3288&lt;&gt;"Inner Centre Jamb"
      )
    ),
    IF(OR(Enginuity!$A$1="Frameless Glass",Enginuity!$A$1="Metal Work"),
      AND(TRIM(B3288)=TRIM(Enginuity!$A$17),TRIM(C3288)=TRIM(Enginuity!$A$18)),
      TRIM(B3288)=TRIM(Enginuity!$A$17)
    )
  ),
  ROW(),
  ""
)</f>
        <v/>
      </c>
    </row>
    <row r="3289" spans="21:21" x14ac:dyDescent="0.25">
      <c r="U3289" s="104" t="str">
        <f>IF(
  AND(
    TRIM(A3289)=TRIM(Enginuity!$A$1),
    TRIM(B3289)=TRIM(Enginuity!$A$17),
    Q3289&lt;&gt;"",
    Q3289&lt;&gt;0,
    OR(
      TRIM(C3289)=TRIM(Enginuity!$A$18),
      AND(UPPER(TRIM(M3289))="STD", TRIM(B3289)=TRIM(Enginuity!$A$17))
    ),
    OR(
      AND(LEFT(P3289,5)="1-Way", Enginuity!$B$13=1),
      AND(LEFT(P3289,5)="2-Way", OR(Enginuity!$B$13=2, Enginuity!$B$13=4)),
      AND(LEFT(P3289,5)="3-Way", OR(Enginuity!$B$13=3, Enginuity!$B$13=6)),
      AND(P3289="Inner Centre Jamb", OR(Enginuity!$B$13=4, Enginuity!$B$13=6)),
      AND(
        LEFT(P3289,5)&lt;&gt;"1-Way",
        LEFT(P3289,5)&lt;&gt;"2-Way",
        LEFT(P3289,5)&lt;&gt;"3-Way",
        P3289&lt;&gt;"Inner Centre Jamb"
      )
    ),
    IF(OR(Enginuity!$A$1="Frameless Glass",Enginuity!$A$1="Metal Work"),
      AND(TRIM(B3289)=TRIM(Enginuity!$A$17),TRIM(C3289)=TRIM(Enginuity!$A$18)),
      TRIM(B3289)=TRIM(Enginuity!$A$17)
    )
  ),
  ROW(),
  ""
)</f>
        <v/>
      </c>
    </row>
    <row r="3290" spans="21:21" x14ac:dyDescent="0.25">
      <c r="U3290" s="104" t="str">
        <f>IF(
  AND(
    TRIM(A3290)=TRIM(Enginuity!$A$1),
    TRIM(B3290)=TRIM(Enginuity!$A$17),
    Q3290&lt;&gt;"",
    Q3290&lt;&gt;0,
    OR(
      TRIM(C3290)=TRIM(Enginuity!$A$18),
      AND(UPPER(TRIM(M3290))="STD", TRIM(B3290)=TRIM(Enginuity!$A$17))
    ),
    OR(
      AND(LEFT(P3290,5)="1-Way", Enginuity!$B$13=1),
      AND(LEFT(P3290,5)="2-Way", OR(Enginuity!$B$13=2, Enginuity!$B$13=4)),
      AND(LEFT(P3290,5)="3-Way", OR(Enginuity!$B$13=3, Enginuity!$B$13=6)),
      AND(P3290="Inner Centre Jamb", OR(Enginuity!$B$13=4, Enginuity!$B$13=6)),
      AND(
        LEFT(P3290,5)&lt;&gt;"1-Way",
        LEFT(P3290,5)&lt;&gt;"2-Way",
        LEFT(P3290,5)&lt;&gt;"3-Way",
        P3290&lt;&gt;"Inner Centre Jamb"
      )
    ),
    IF(OR(Enginuity!$A$1="Frameless Glass",Enginuity!$A$1="Metal Work"),
      AND(TRIM(B3290)=TRIM(Enginuity!$A$17),TRIM(C3290)=TRIM(Enginuity!$A$18)),
      TRIM(B3290)=TRIM(Enginuity!$A$17)
    )
  ),
  ROW(),
  ""
)</f>
        <v/>
      </c>
    </row>
    <row r="3291" spans="21:21" x14ac:dyDescent="0.25">
      <c r="U3291" s="104" t="str">
        <f>IF(
  AND(
    TRIM(A3291)=TRIM(Enginuity!$A$1),
    TRIM(B3291)=TRIM(Enginuity!$A$17),
    Q3291&lt;&gt;"",
    Q3291&lt;&gt;0,
    OR(
      TRIM(C3291)=TRIM(Enginuity!$A$18),
      AND(UPPER(TRIM(M3291))="STD", TRIM(B3291)=TRIM(Enginuity!$A$17))
    ),
    OR(
      AND(LEFT(P3291,5)="1-Way", Enginuity!$B$13=1),
      AND(LEFT(P3291,5)="2-Way", OR(Enginuity!$B$13=2, Enginuity!$B$13=4)),
      AND(LEFT(P3291,5)="3-Way", OR(Enginuity!$B$13=3, Enginuity!$B$13=6)),
      AND(P3291="Inner Centre Jamb", OR(Enginuity!$B$13=4, Enginuity!$B$13=6)),
      AND(
        LEFT(P3291,5)&lt;&gt;"1-Way",
        LEFT(P3291,5)&lt;&gt;"2-Way",
        LEFT(P3291,5)&lt;&gt;"3-Way",
        P3291&lt;&gt;"Inner Centre Jamb"
      )
    ),
    IF(OR(Enginuity!$A$1="Frameless Glass",Enginuity!$A$1="Metal Work"),
      AND(TRIM(B3291)=TRIM(Enginuity!$A$17),TRIM(C3291)=TRIM(Enginuity!$A$18)),
      TRIM(B3291)=TRIM(Enginuity!$A$17)
    )
  ),
  ROW(),
  ""
)</f>
        <v/>
      </c>
    </row>
    <row r="3292" spans="21:21" x14ac:dyDescent="0.25">
      <c r="U3292" s="104" t="str">
        <f>IF(
  AND(
    TRIM(A3292)=TRIM(Enginuity!$A$1),
    TRIM(B3292)=TRIM(Enginuity!$A$17),
    Q3292&lt;&gt;"",
    Q3292&lt;&gt;0,
    OR(
      TRIM(C3292)=TRIM(Enginuity!$A$18),
      AND(UPPER(TRIM(M3292))="STD", TRIM(B3292)=TRIM(Enginuity!$A$17))
    ),
    OR(
      AND(LEFT(P3292,5)="1-Way", Enginuity!$B$13=1),
      AND(LEFT(P3292,5)="2-Way", OR(Enginuity!$B$13=2, Enginuity!$B$13=4)),
      AND(LEFT(P3292,5)="3-Way", OR(Enginuity!$B$13=3, Enginuity!$B$13=6)),
      AND(P3292="Inner Centre Jamb", OR(Enginuity!$B$13=4, Enginuity!$B$13=6)),
      AND(
        LEFT(P3292,5)&lt;&gt;"1-Way",
        LEFT(P3292,5)&lt;&gt;"2-Way",
        LEFT(P3292,5)&lt;&gt;"3-Way",
        P3292&lt;&gt;"Inner Centre Jamb"
      )
    ),
    IF(OR(Enginuity!$A$1="Frameless Glass",Enginuity!$A$1="Metal Work"),
      AND(TRIM(B3292)=TRIM(Enginuity!$A$17),TRIM(C3292)=TRIM(Enginuity!$A$18)),
      TRIM(B3292)=TRIM(Enginuity!$A$17)
    )
  ),
  ROW(),
  ""
)</f>
        <v/>
      </c>
    </row>
    <row r="3293" spans="21:21" x14ac:dyDescent="0.25">
      <c r="U3293" s="104" t="str">
        <f>IF(
  AND(
    TRIM(A3293)=TRIM(Enginuity!$A$1),
    TRIM(B3293)=TRIM(Enginuity!$A$17),
    Q3293&lt;&gt;"",
    Q3293&lt;&gt;0,
    OR(
      TRIM(C3293)=TRIM(Enginuity!$A$18),
      AND(UPPER(TRIM(M3293))="STD", TRIM(B3293)=TRIM(Enginuity!$A$17))
    ),
    OR(
      AND(LEFT(P3293,5)="1-Way", Enginuity!$B$13=1),
      AND(LEFT(P3293,5)="2-Way", OR(Enginuity!$B$13=2, Enginuity!$B$13=4)),
      AND(LEFT(P3293,5)="3-Way", OR(Enginuity!$B$13=3, Enginuity!$B$13=6)),
      AND(P3293="Inner Centre Jamb", OR(Enginuity!$B$13=4, Enginuity!$B$13=6)),
      AND(
        LEFT(P3293,5)&lt;&gt;"1-Way",
        LEFT(P3293,5)&lt;&gt;"2-Way",
        LEFT(P3293,5)&lt;&gt;"3-Way",
        P3293&lt;&gt;"Inner Centre Jamb"
      )
    ),
    IF(OR(Enginuity!$A$1="Frameless Glass",Enginuity!$A$1="Metal Work"),
      AND(TRIM(B3293)=TRIM(Enginuity!$A$17),TRIM(C3293)=TRIM(Enginuity!$A$18)),
      TRIM(B3293)=TRIM(Enginuity!$A$17)
    )
  ),
  ROW(),
  ""
)</f>
        <v/>
      </c>
    </row>
    <row r="3294" spans="21:21" x14ac:dyDescent="0.25">
      <c r="U3294" s="104" t="str">
        <f>IF(
  AND(
    TRIM(A3294)=TRIM(Enginuity!$A$1),
    TRIM(B3294)=TRIM(Enginuity!$A$17),
    Q3294&lt;&gt;"",
    Q3294&lt;&gt;0,
    OR(
      TRIM(C3294)=TRIM(Enginuity!$A$18),
      AND(UPPER(TRIM(M3294))="STD", TRIM(B3294)=TRIM(Enginuity!$A$17))
    ),
    OR(
      AND(LEFT(P3294,5)="1-Way", Enginuity!$B$13=1),
      AND(LEFT(P3294,5)="2-Way", OR(Enginuity!$B$13=2, Enginuity!$B$13=4)),
      AND(LEFT(P3294,5)="3-Way", OR(Enginuity!$B$13=3, Enginuity!$B$13=6)),
      AND(P3294="Inner Centre Jamb", OR(Enginuity!$B$13=4, Enginuity!$B$13=6)),
      AND(
        LEFT(P3294,5)&lt;&gt;"1-Way",
        LEFT(P3294,5)&lt;&gt;"2-Way",
        LEFT(P3294,5)&lt;&gt;"3-Way",
        P3294&lt;&gt;"Inner Centre Jamb"
      )
    ),
    IF(OR(Enginuity!$A$1="Frameless Glass",Enginuity!$A$1="Metal Work"),
      AND(TRIM(B3294)=TRIM(Enginuity!$A$17),TRIM(C3294)=TRIM(Enginuity!$A$18)),
      TRIM(B3294)=TRIM(Enginuity!$A$17)
    )
  ),
  ROW(),
  ""
)</f>
        <v/>
      </c>
    </row>
    <row r="3295" spans="21:21" x14ac:dyDescent="0.25">
      <c r="U3295" s="104" t="str">
        <f>IF(
  AND(
    TRIM(A3295)=TRIM(Enginuity!$A$1),
    TRIM(B3295)=TRIM(Enginuity!$A$17),
    Q3295&lt;&gt;"",
    Q3295&lt;&gt;0,
    OR(
      TRIM(C3295)=TRIM(Enginuity!$A$18),
      AND(UPPER(TRIM(M3295))="STD", TRIM(B3295)=TRIM(Enginuity!$A$17))
    ),
    OR(
      AND(LEFT(P3295,5)="1-Way", Enginuity!$B$13=1),
      AND(LEFT(P3295,5)="2-Way", OR(Enginuity!$B$13=2, Enginuity!$B$13=4)),
      AND(LEFT(P3295,5)="3-Way", OR(Enginuity!$B$13=3, Enginuity!$B$13=6)),
      AND(P3295="Inner Centre Jamb", OR(Enginuity!$B$13=4, Enginuity!$B$13=6)),
      AND(
        LEFT(P3295,5)&lt;&gt;"1-Way",
        LEFT(P3295,5)&lt;&gt;"2-Way",
        LEFT(P3295,5)&lt;&gt;"3-Way",
        P3295&lt;&gt;"Inner Centre Jamb"
      )
    ),
    IF(OR(Enginuity!$A$1="Frameless Glass",Enginuity!$A$1="Metal Work"),
      AND(TRIM(B3295)=TRIM(Enginuity!$A$17),TRIM(C3295)=TRIM(Enginuity!$A$18)),
      TRIM(B3295)=TRIM(Enginuity!$A$17)
    )
  ),
  ROW(),
  ""
)</f>
        <v/>
      </c>
    </row>
    <row r="3296" spans="21:21" x14ac:dyDescent="0.25">
      <c r="U3296" s="104" t="str">
        <f>IF(
  AND(
    TRIM(A3296)=TRIM(Enginuity!$A$1),
    TRIM(B3296)=TRIM(Enginuity!$A$17),
    Q3296&lt;&gt;"",
    Q3296&lt;&gt;0,
    OR(
      TRIM(C3296)=TRIM(Enginuity!$A$18),
      AND(UPPER(TRIM(M3296))="STD", TRIM(B3296)=TRIM(Enginuity!$A$17))
    ),
    OR(
      AND(LEFT(P3296,5)="1-Way", Enginuity!$B$13=1),
      AND(LEFT(P3296,5)="2-Way", OR(Enginuity!$B$13=2, Enginuity!$B$13=4)),
      AND(LEFT(P3296,5)="3-Way", OR(Enginuity!$B$13=3, Enginuity!$B$13=6)),
      AND(P3296="Inner Centre Jamb", OR(Enginuity!$B$13=4, Enginuity!$B$13=6)),
      AND(
        LEFT(P3296,5)&lt;&gt;"1-Way",
        LEFT(P3296,5)&lt;&gt;"2-Way",
        LEFT(P3296,5)&lt;&gt;"3-Way",
        P3296&lt;&gt;"Inner Centre Jamb"
      )
    ),
    IF(OR(Enginuity!$A$1="Frameless Glass",Enginuity!$A$1="Metal Work"),
      AND(TRIM(B3296)=TRIM(Enginuity!$A$17),TRIM(C3296)=TRIM(Enginuity!$A$18)),
      TRIM(B3296)=TRIM(Enginuity!$A$17)
    )
  ),
  ROW(),
  ""
)</f>
        <v/>
      </c>
    </row>
    <row r="3297" spans="21:21" x14ac:dyDescent="0.25">
      <c r="U3297" s="104" t="str">
        <f>IF(
  AND(
    TRIM(A3297)=TRIM(Enginuity!$A$1),
    TRIM(B3297)=TRIM(Enginuity!$A$17),
    Q3297&lt;&gt;"",
    Q3297&lt;&gt;0,
    OR(
      TRIM(C3297)=TRIM(Enginuity!$A$18),
      AND(UPPER(TRIM(M3297))="STD", TRIM(B3297)=TRIM(Enginuity!$A$17))
    ),
    OR(
      AND(LEFT(P3297,5)="1-Way", Enginuity!$B$13=1),
      AND(LEFT(P3297,5)="2-Way", OR(Enginuity!$B$13=2, Enginuity!$B$13=4)),
      AND(LEFT(P3297,5)="3-Way", OR(Enginuity!$B$13=3, Enginuity!$B$13=6)),
      AND(P3297="Inner Centre Jamb", OR(Enginuity!$B$13=4, Enginuity!$B$13=6)),
      AND(
        LEFT(P3297,5)&lt;&gt;"1-Way",
        LEFT(P3297,5)&lt;&gt;"2-Way",
        LEFT(P3297,5)&lt;&gt;"3-Way",
        P3297&lt;&gt;"Inner Centre Jamb"
      )
    ),
    IF(OR(Enginuity!$A$1="Frameless Glass",Enginuity!$A$1="Metal Work"),
      AND(TRIM(B3297)=TRIM(Enginuity!$A$17),TRIM(C3297)=TRIM(Enginuity!$A$18)),
      TRIM(B3297)=TRIM(Enginuity!$A$17)
    )
  ),
  ROW(),
  ""
)</f>
        <v/>
      </c>
    </row>
    <row r="3298" spans="21:21" x14ac:dyDescent="0.25">
      <c r="U3298" s="104" t="str">
        <f>IF(
  AND(
    TRIM(A3298)=TRIM(Enginuity!$A$1),
    TRIM(B3298)=TRIM(Enginuity!$A$17),
    Q3298&lt;&gt;"",
    Q3298&lt;&gt;0,
    OR(
      TRIM(C3298)=TRIM(Enginuity!$A$18),
      AND(UPPER(TRIM(M3298))="STD", TRIM(B3298)=TRIM(Enginuity!$A$17))
    ),
    OR(
      AND(LEFT(P3298,5)="1-Way", Enginuity!$B$13=1),
      AND(LEFT(P3298,5)="2-Way", OR(Enginuity!$B$13=2, Enginuity!$B$13=4)),
      AND(LEFT(P3298,5)="3-Way", OR(Enginuity!$B$13=3, Enginuity!$B$13=6)),
      AND(P3298="Inner Centre Jamb", OR(Enginuity!$B$13=4, Enginuity!$B$13=6)),
      AND(
        LEFT(P3298,5)&lt;&gt;"1-Way",
        LEFT(P3298,5)&lt;&gt;"2-Way",
        LEFT(P3298,5)&lt;&gt;"3-Way",
        P3298&lt;&gt;"Inner Centre Jamb"
      )
    ),
    IF(OR(Enginuity!$A$1="Frameless Glass",Enginuity!$A$1="Metal Work"),
      AND(TRIM(B3298)=TRIM(Enginuity!$A$17),TRIM(C3298)=TRIM(Enginuity!$A$18)),
      TRIM(B3298)=TRIM(Enginuity!$A$17)
    )
  ),
  ROW(),
  ""
)</f>
        <v/>
      </c>
    </row>
    <row r="3299" spans="21:21" x14ac:dyDescent="0.25">
      <c r="U3299" s="104" t="str">
        <f>IF(
  AND(
    TRIM(A3299)=TRIM(Enginuity!$A$1),
    TRIM(B3299)=TRIM(Enginuity!$A$17),
    Q3299&lt;&gt;"",
    Q3299&lt;&gt;0,
    OR(
      TRIM(C3299)=TRIM(Enginuity!$A$18),
      AND(UPPER(TRIM(M3299))="STD", TRIM(B3299)=TRIM(Enginuity!$A$17))
    ),
    OR(
      AND(LEFT(P3299,5)="1-Way", Enginuity!$B$13=1),
      AND(LEFT(P3299,5)="2-Way", OR(Enginuity!$B$13=2, Enginuity!$B$13=4)),
      AND(LEFT(P3299,5)="3-Way", OR(Enginuity!$B$13=3, Enginuity!$B$13=6)),
      AND(P3299="Inner Centre Jamb", OR(Enginuity!$B$13=4, Enginuity!$B$13=6)),
      AND(
        LEFT(P3299,5)&lt;&gt;"1-Way",
        LEFT(P3299,5)&lt;&gt;"2-Way",
        LEFT(P3299,5)&lt;&gt;"3-Way",
        P3299&lt;&gt;"Inner Centre Jamb"
      )
    ),
    IF(OR(Enginuity!$A$1="Frameless Glass",Enginuity!$A$1="Metal Work"),
      AND(TRIM(B3299)=TRIM(Enginuity!$A$17),TRIM(C3299)=TRIM(Enginuity!$A$18)),
      TRIM(B3299)=TRIM(Enginuity!$A$17)
    )
  ),
  ROW(),
  ""
)</f>
        <v/>
      </c>
    </row>
    <row r="3300" spans="21:21" x14ac:dyDescent="0.25">
      <c r="U3300" s="104" t="str">
        <f>IF(
  AND(
    TRIM(A3300)=TRIM(Enginuity!$A$1),
    TRIM(B3300)=TRIM(Enginuity!$A$17),
    Q3300&lt;&gt;"",
    Q3300&lt;&gt;0,
    OR(
      TRIM(C3300)=TRIM(Enginuity!$A$18),
      AND(UPPER(TRIM(M3300))="STD", TRIM(B3300)=TRIM(Enginuity!$A$17))
    ),
    OR(
      AND(LEFT(P3300,5)="1-Way", Enginuity!$B$13=1),
      AND(LEFT(P3300,5)="2-Way", OR(Enginuity!$B$13=2, Enginuity!$B$13=4)),
      AND(LEFT(P3300,5)="3-Way", OR(Enginuity!$B$13=3, Enginuity!$B$13=6)),
      AND(P3300="Inner Centre Jamb", OR(Enginuity!$B$13=4, Enginuity!$B$13=6)),
      AND(
        LEFT(P3300,5)&lt;&gt;"1-Way",
        LEFT(P3300,5)&lt;&gt;"2-Way",
        LEFT(P3300,5)&lt;&gt;"3-Way",
        P3300&lt;&gt;"Inner Centre Jamb"
      )
    ),
    IF(OR(Enginuity!$A$1="Frameless Glass",Enginuity!$A$1="Metal Work"),
      AND(TRIM(B3300)=TRIM(Enginuity!$A$17),TRIM(C3300)=TRIM(Enginuity!$A$18)),
      TRIM(B3300)=TRIM(Enginuity!$A$17)
    )
  ),
  ROW(),
  ""
)</f>
        <v/>
      </c>
    </row>
    <row r="3301" spans="21:21" x14ac:dyDescent="0.25">
      <c r="U3301" s="104" t="str">
        <f>IF(
  AND(
    TRIM(A3301)=TRIM(Enginuity!$A$1),
    TRIM(B3301)=TRIM(Enginuity!$A$17),
    Q3301&lt;&gt;"",
    Q3301&lt;&gt;0,
    OR(
      TRIM(C3301)=TRIM(Enginuity!$A$18),
      AND(UPPER(TRIM(M3301))="STD", TRIM(B3301)=TRIM(Enginuity!$A$17))
    ),
    OR(
      AND(LEFT(P3301,5)="1-Way", Enginuity!$B$13=1),
      AND(LEFT(P3301,5)="2-Way", OR(Enginuity!$B$13=2, Enginuity!$B$13=4)),
      AND(LEFT(P3301,5)="3-Way", OR(Enginuity!$B$13=3, Enginuity!$B$13=6)),
      AND(P3301="Inner Centre Jamb", OR(Enginuity!$B$13=4, Enginuity!$B$13=6)),
      AND(
        LEFT(P3301,5)&lt;&gt;"1-Way",
        LEFT(P3301,5)&lt;&gt;"2-Way",
        LEFT(P3301,5)&lt;&gt;"3-Way",
        P3301&lt;&gt;"Inner Centre Jamb"
      )
    ),
    IF(OR(Enginuity!$A$1="Frameless Glass",Enginuity!$A$1="Metal Work"),
      AND(TRIM(B3301)=TRIM(Enginuity!$A$17),TRIM(C3301)=TRIM(Enginuity!$A$18)),
      TRIM(B3301)=TRIM(Enginuity!$A$17)
    )
  ),
  ROW(),
  ""
)</f>
        <v/>
      </c>
    </row>
    <row r="3302" spans="21:21" x14ac:dyDescent="0.25">
      <c r="U3302" s="104" t="str">
        <f>IF(
  AND(
    TRIM(A3302)=TRIM(Enginuity!$A$1),
    TRIM(B3302)=TRIM(Enginuity!$A$17),
    Q3302&lt;&gt;"",
    Q3302&lt;&gt;0,
    OR(
      TRIM(C3302)=TRIM(Enginuity!$A$18),
      AND(UPPER(TRIM(M3302))="STD", TRIM(B3302)=TRIM(Enginuity!$A$17))
    ),
    OR(
      AND(LEFT(P3302,5)="1-Way", Enginuity!$B$13=1),
      AND(LEFT(P3302,5)="2-Way", OR(Enginuity!$B$13=2, Enginuity!$B$13=4)),
      AND(LEFT(P3302,5)="3-Way", OR(Enginuity!$B$13=3, Enginuity!$B$13=6)),
      AND(P3302="Inner Centre Jamb", OR(Enginuity!$B$13=4, Enginuity!$B$13=6)),
      AND(
        LEFT(P3302,5)&lt;&gt;"1-Way",
        LEFT(P3302,5)&lt;&gt;"2-Way",
        LEFT(P3302,5)&lt;&gt;"3-Way",
        P3302&lt;&gt;"Inner Centre Jamb"
      )
    ),
    IF(OR(Enginuity!$A$1="Frameless Glass",Enginuity!$A$1="Metal Work"),
      AND(TRIM(B3302)=TRIM(Enginuity!$A$17),TRIM(C3302)=TRIM(Enginuity!$A$18)),
      TRIM(B3302)=TRIM(Enginuity!$A$17)
    )
  ),
  ROW(),
  ""
)</f>
        <v/>
      </c>
    </row>
    <row r="3303" spans="21:21" x14ac:dyDescent="0.25">
      <c r="U3303" s="104" t="str">
        <f>IF(
  AND(
    TRIM(A3303)=TRIM(Enginuity!$A$1),
    TRIM(B3303)=TRIM(Enginuity!$A$17),
    Q3303&lt;&gt;"",
    Q3303&lt;&gt;0,
    OR(
      TRIM(C3303)=TRIM(Enginuity!$A$18),
      AND(UPPER(TRIM(M3303))="STD", TRIM(B3303)=TRIM(Enginuity!$A$17))
    ),
    OR(
      AND(LEFT(P3303,5)="1-Way", Enginuity!$B$13=1),
      AND(LEFT(P3303,5)="2-Way", OR(Enginuity!$B$13=2, Enginuity!$B$13=4)),
      AND(LEFT(P3303,5)="3-Way", OR(Enginuity!$B$13=3, Enginuity!$B$13=6)),
      AND(P3303="Inner Centre Jamb", OR(Enginuity!$B$13=4, Enginuity!$B$13=6)),
      AND(
        LEFT(P3303,5)&lt;&gt;"1-Way",
        LEFT(P3303,5)&lt;&gt;"2-Way",
        LEFT(P3303,5)&lt;&gt;"3-Way",
        P3303&lt;&gt;"Inner Centre Jamb"
      )
    ),
    IF(OR(Enginuity!$A$1="Frameless Glass",Enginuity!$A$1="Metal Work"),
      AND(TRIM(B3303)=TRIM(Enginuity!$A$17),TRIM(C3303)=TRIM(Enginuity!$A$18)),
      TRIM(B3303)=TRIM(Enginuity!$A$17)
    )
  ),
  ROW(),
  ""
)</f>
        <v/>
      </c>
    </row>
    <row r="3304" spans="21:21" x14ac:dyDescent="0.25">
      <c r="U3304" s="104" t="str">
        <f>IF(
  AND(
    TRIM(A3304)=TRIM(Enginuity!$A$1),
    TRIM(B3304)=TRIM(Enginuity!$A$17),
    Q3304&lt;&gt;"",
    Q3304&lt;&gt;0,
    OR(
      TRIM(C3304)=TRIM(Enginuity!$A$18),
      AND(UPPER(TRIM(M3304))="STD", TRIM(B3304)=TRIM(Enginuity!$A$17))
    ),
    OR(
      AND(LEFT(P3304,5)="1-Way", Enginuity!$B$13=1),
      AND(LEFT(P3304,5)="2-Way", OR(Enginuity!$B$13=2, Enginuity!$B$13=4)),
      AND(LEFT(P3304,5)="3-Way", OR(Enginuity!$B$13=3, Enginuity!$B$13=6)),
      AND(P3304="Inner Centre Jamb", OR(Enginuity!$B$13=4, Enginuity!$B$13=6)),
      AND(
        LEFT(P3304,5)&lt;&gt;"1-Way",
        LEFT(P3304,5)&lt;&gt;"2-Way",
        LEFT(P3304,5)&lt;&gt;"3-Way",
        P3304&lt;&gt;"Inner Centre Jamb"
      )
    ),
    IF(OR(Enginuity!$A$1="Frameless Glass",Enginuity!$A$1="Metal Work"),
      AND(TRIM(B3304)=TRIM(Enginuity!$A$17),TRIM(C3304)=TRIM(Enginuity!$A$18)),
      TRIM(B3304)=TRIM(Enginuity!$A$17)
    )
  ),
  ROW(),
  ""
)</f>
        <v/>
      </c>
    </row>
    <row r="3305" spans="21:21" x14ac:dyDescent="0.25">
      <c r="U3305" s="104" t="str">
        <f>IF(
  AND(
    TRIM(A3305)=TRIM(Enginuity!$A$1),
    TRIM(B3305)=TRIM(Enginuity!$A$17),
    Q3305&lt;&gt;"",
    Q3305&lt;&gt;0,
    OR(
      TRIM(C3305)=TRIM(Enginuity!$A$18),
      AND(UPPER(TRIM(M3305))="STD", TRIM(B3305)=TRIM(Enginuity!$A$17))
    ),
    OR(
      AND(LEFT(P3305,5)="1-Way", Enginuity!$B$13=1),
      AND(LEFT(P3305,5)="2-Way", OR(Enginuity!$B$13=2, Enginuity!$B$13=4)),
      AND(LEFT(P3305,5)="3-Way", OR(Enginuity!$B$13=3, Enginuity!$B$13=6)),
      AND(P3305="Inner Centre Jamb", OR(Enginuity!$B$13=4, Enginuity!$B$13=6)),
      AND(
        LEFT(P3305,5)&lt;&gt;"1-Way",
        LEFT(P3305,5)&lt;&gt;"2-Way",
        LEFT(P3305,5)&lt;&gt;"3-Way",
        P3305&lt;&gt;"Inner Centre Jamb"
      )
    ),
    IF(OR(Enginuity!$A$1="Frameless Glass",Enginuity!$A$1="Metal Work"),
      AND(TRIM(B3305)=TRIM(Enginuity!$A$17),TRIM(C3305)=TRIM(Enginuity!$A$18)),
      TRIM(B3305)=TRIM(Enginuity!$A$17)
    )
  ),
  ROW(),
  ""
)</f>
        <v/>
      </c>
    </row>
    <row r="3306" spans="21:21" x14ac:dyDescent="0.25">
      <c r="U3306" s="104" t="str">
        <f>IF(
  AND(
    TRIM(A3306)=TRIM(Enginuity!$A$1),
    TRIM(B3306)=TRIM(Enginuity!$A$17),
    Q3306&lt;&gt;"",
    Q3306&lt;&gt;0,
    OR(
      TRIM(C3306)=TRIM(Enginuity!$A$18),
      AND(UPPER(TRIM(M3306))="STD", TRIM(B3306)=TRIM(Enginuity!$A$17))
    ),
    OR(
      AND(LEFT(P3306,5)="1-Way", Enginuity!$B$13=1),
      AND(LEFT(P3306,5)="2-Way", OR(Enginuity!$B$13=2, Enginuity!$B$13=4)),
      AND(LEFT(P3306,5)="3-Way", OR(Enginuity!$B$13=3, Enginuity!$B$13=6)),
      AND(P3306="Inner Centre Jamb", OR(Enginuity!$B$13=4, Enginuity!$B$13=6)),
      AND(
        LEFT(P3306,5)&lt;&gt;"1-Way",
        LEFT(P3306,5)&lt;&gt;"2-Way",
        LEFT(P3306,5)&lt;&gt;"3-Way",
        P3306&lt;&gt;"Inner Centre Jamb"
      )
    ),
    IF(OR(Enginuity!$A$1="Frameless Glass",Enginuity!$A$1="Metal Work"),
      AND(TRIM(B3306)=TRIM(Enginuity!$A$17),TRIM(C3306)=TRIM(Enginuity!$A$18)),
      TRIM(B3306)=TRIM(Enginuity!$A$17)
    )
  ),
  ROW(),
  ""
)</f>
        <v/>
      </c>
    </row>
    <row r="3307" spans="21:21" x14ac:dyDescent="0.25">
      <c r="U3307" s="104" t="str">
        <f>IF(
  AND(
    TRIM(A3307)=TRIM(Enginuity!$A$1),
    TRIM(B3307)=TRIM(Enginuity!$A$17),
    Q3307&lt;&gt;"",
    Q3307&lt;&gt;0,
    OR(
      TRIM(C3307)=TRIM(Enginuity!$A$18),
      AND(UPPER(TRIM(M3307))="STD", TRIM(B3307)=TRIM(Enginuity!$A$17))
    ),
    OR(
      AND(LEFT(P3307,5)="1-Way", Enginuity!$B$13=1),
      AND(LEFT(P3307,5)="2-Way", OR(Enginuity!$B$13=2, Enginuity!$B$13=4)),
      AND(LEFT(P3307,5)="3-Way", OR(Enginuity!$B$13=3, Enginuity!$B$13=6)),
      AND(P3307="Inner Centre Jamb", OR(Enginuity!$B$13=4, Enginuity!$B$13=6)),
      AND(
        LEFT(P3307,5)&lt;&gt;"1-Way",
        LEFT(P3307,5)&lt;&gt;"2-Way",
        LEFT(P3307,5)&lt;&gt;"3-Way",
        P3307&lt;&gt;"Inner Centre Jamb"
      )
    ),
    IF(OR(Enginuity!$A$1="Frameless Glass",Enginuity!$A$1="Metal Work"),
      AND(TRIM(B3307)=TRIM(Enginuity!$A$17),TRIM(C3307)=TRIM(Enginuity!$A$18)),
      TRIM(B3307)=TRIM(Enginuity!$A$17)
    )
  ),
  ROW(),
  ""
)</f>
        <v/>
      </c>
    </row>
    <row r="3308" spans="21:21" x14ac:dyDescent="0.25">
      <c r="U3308" s="104" t="str">
        <f>IF(
  AND(
    TRIM(A3308)=TRIM(Enginuity!$A$1),
    TRIM(B3308)=TRIM(Enginuity!$A$17),
    Q3308&lt;&gt;"",
    Q3308&lt;&gt;0,
    OR(
      TRIM(C3308)=TRIM(Enginuity!$A$18),
      AND(UPPER(TRIM(M3308))="STD", TRIM(B3308)=TRIM(Enginuity!$A$17))
    ),
    OR(
      AND(LEFT(P3308,5)="1-Way", Enginuity!$B$13=1),
      AND(LEFT(P3308,5)="2-Way", OR(Enginuity!$B$13=2, Enginuity!$B$13=4)),
      AND(LEFT(P3308,5)="3-Way", OR(Enginuity!$B$13=3, Enginuity!$B$13=6)),
      AND(P3308="Inner Centre Jamb", OR(Enginuity!$B$13=4, Enginuity!$B$13=6)),
      AND(
        LEFT(P3308,5)&lt;&gt;"1-Way",
        LEFT(P3308,5)&lt;&gt;"2-Way",
        LEFT(P3308,5)&lt;&gt;"3-Way",
        P3308&lt;&gt;"Inner Centre Jamb"
      )
    ),
    IF(OR(Enginuity!$A$1="Frameless Glass",Enginuity!$A$1="Metal Work"),
      AND(TRIM(B3308)=TRIM(Enginuity!$A$17),TRIM(C3308)=TRIM(Enginuity!$A$18)),
      TRIM(B3308)=TRIM(Enginuity!$A$17)
    )
  ),
  ROW(),
  ""
)</f>
        <v/>
      </c>
    </row>
    <row r="3309" spans="21:21" x14ac:dyDescent="0.25">
      <c r="U3309" s="104" t="str">
        <f>IF(
  AND(
    TRIM(A3309)=TRIM(Enginuity!$A$1),
    TRIM(B3309)=TRIM(Enginuity!$A$17),
    Q3309&lt;&gt;"",
    Q3309&lt;&gt;0,
    OR(
      TRIM(C3309)=TRIM(Enginuity!$A$18),
      AND(UPPER(TRIM(M3309))="STD", TRIM(B3309)=TRIM(Enginuity!$A$17))
    ),
    OR(
      AND(LEFT(P3309,5)="1-Way", Enginuity!$B$13=1),
      AND(LEFT(P3309,5)="2-Way", OR(Enginuity!$B$13=2, Enginuity!$B$13=4)),
      AND(LEFT(P3309,5)="3-Way", OR(Enginuity!$B$13=3, Enginuity!$B$13=6)),
      AND(P3309="Inner Centre Jamb", OR(Enginuity!$B$13=4, Enginuity!$B$13=6)),
      AND(
        LEFT(P3309,5)&lt;&gt;"1-Way",
        LEFT(P3309,5)&lt;&gt;"2-Way",
        LEFT(P3309,5)&lt;&gt;"3-Way",
        P3309&lt;&gt;"Inner Centre Jamb"
      )
    ),
    IF(OR(Enginuity!$A$1="Frameless Glass",Enginuity!$A$1="Metal Work"),
      AND(TRIM(B3309)=TRIM(Enginuity!$A$17),TRIM(C3309)=TRIM(Enginuity!$A$18)),
      TRIM(B3309)=TRIM(Enginuity!$A$17)
    )
  ),
  ROW(),
  ""
)</f>
        <v/>
      </c>
    </row>
    <row r="3310" spans="21:21" x14ac:dyDescent="0.25">
      <c r="U3310" s="104" t="str">
        <f>IF(
  AND(
    TRIM(A3310)=TRIM(Enginuity!$A$1),
    TRIM(B3310)=TRIM(Enginuity!$A$17),
    Q3310&lt;&gt;"",
    Q3310&lt;&gt;0,
    OR(
      TRIM(C3310)=TRIM(Enginuity!$A$18),
      AND(UPPER(TRIM(M3310))="STD", TRIM(B3310)=TRIM(Enginuity!$A$17))
    ),
    OR(
      AND(LEFT(P3310,5)="1-Way", Enginuity!$B$13=1),
      AND(LEFT(P3310,5)="2-Way", OR(Enginuity!$B$13=2, Enginuity!$B$13=4)),
      AND(LEFT(P3310,5)="3-Way", OR(Enginuity!$B$13=3, Enginuity!$B$13=6)),
      AND(P3310="Inner Centre Jamb", OR(Enginuity!$B$13=4, Enginuity!$B$13=6)),
      AND(
        LEFT(P3310,5)&lt;&gt;"1-Way",
        LEFT(P3310,5)&lt;&gt;"2-Way",
        LEFT(P3310,5)&lt;&gt;"3-Way",
        P3310&lt;&gt;"Inner Centre Jamb"
      )
    ),
    IF(OR(Enginuity!$A$1="Frameless Glass",Enginuity!$A$1="Metal Work"),
      AND(TRIM(B3310)=TRIM(Enginuity!$A$17),TRIM(C3310)=TRIM(Enginuity!$A$18)),
      TRIM(B3310)=TRIM(Enginuity!$A$17)
    )
  ),
  ROW(),
  ""
)</f>
        <v/>
      </c>
    </row>
    <row r="3311" spans="21:21" x14ac:dyDescent="0.25">
      <c r="U3311" s="104" t="str">
        <f>IF(
  AND(
    TRIM(A3311)=TRIM(Enginuity!$A$1),
    TRIM(B3311)=TRIM(Enginuity!$A$17),
    Q3311&lt;&gt;"",
    Q3311&lt;&gt;0,
    OR(
      TRIM(C3311)=TRIM(Enginuity!$A$18),
      AND(UPPER(TRIM(M3311))="STD", TRIM(B3311)=TRIM(Enginuity!$A$17))
    ),
    OR(
      AND(LEFT(P3311,5)="1-Way", Enginuity!$B$13=1),
      AND(LEFT(P3311,5)="2-Way", OR(Enginuity!$B$13=2, Enginuity!$B$13=4)),
      AND(LEFT(P3311,5)="3-Way", OR(Enginuity!$B$13=3, Enginuity!$B$13=6)),
      AND(P3311="Inner Centre Jamb", OR(Enginuity!$B$13=4, Enginuity!$B$13=6)),
      AND(
        LEFT(P3311,5)&lt;&gt;"1-Way",
        LEFT(P3311,5)&lt;&gt;"2-Way",
        LEFT(P3311,5)&lt;&gt;"3-Way",
        P3311&lt;&gt;"Inner Centre Jamb"
      )
    ),
    IF(OR(Enginuity!$A$1="Frameless Glass",Enginuity!$A$1="Metal Work"),
      AND(TRIM(B3311)=TRIM(Enginuity!$A$17),TRIM(C3311)=TRIM(Enginuity!$A$18)),
      TRIM(B3311)=TRIM(Enginuity!$A$17)
    )
  ),
  ROW(),
  ""
)</f>
        <v/>
      </c>
    </row>
    <row r="3312" spans="21:21" x14ac:dyDescent="0.25">
      <c r="U3312" s="104" t="str">
        <f>IF(
  AND(
    TRIM(A3312)=TRIM(Enginuity!$A$1),
    TRIM(B3312)=TRIM(Enginuity!$A$17),
    Q3312&lt;&gt;"",
    Q3312&lt;&gt;0,
    OR(
      TRIM(C3312)=TRIM(Enginuity!$A$18),
      AND(UPPER(TRIM(M3312))="STD", TRIM(B3312)=TRIM(Enginuity!$A$17))
    ),
    OR(
      AND(LEFT(P3312,5)="1-Way", Enginuity!$B$13=1),
      AND(LEFT(P3312,5)="2-Way", OR(Enginuity!$B$13=2, Enginuity!$B$13=4)),
      AND(LEFT(P3312,5)="3-Way", OR(Enginuity!$B$13=3, Enginuity!$B$13=6)),
      AND(P3312="Inner Centre Jamb", OR(Enginuity!$B$13=4, Enginuity!$B$13=6)),
      AND(
        LEFT(P3312,5)&lt;&gt;"1-Way",
        LEFT(P3312,5)&lt;&gt;"2-Way",
        LEFT(P3312,5)&lt;&gt;"3-Way",
        P3312&lt;&gt;"Inner Centre Jamb"
      )
    ),
    IF(OR(Enginuity!$A$1="Frameless Glass",Enginuity!$A$1="Metal Work"),
      AND(TRIM(B3312)=TRIM(Enginuity!$A$17),TRIM(C3312)=TRIM(Enginuity!$A$18)),
      TRIM(B3312)=TRIM(Enginuity!$A$17)
    )
  ),
  ROW(),
  ""
)</f>
        <v/>
      </c>
    </row>
    <row r="3313" spans="21:21" x14ac:dyDescent="0.25">
      <c r="U3313" s="104" t="str">
        <f>IF(
  AND(
    TRIM(A3313)=TRIM(Enginuity!$A$1),
    TRIM(B3313)=TRIM(Enginuity!$A$17),
    Q3313&lt;&gt;"",
    Q3313&lt;&gt;0,
    OR(
      TRIM(C3313)=TRIM(Enginuity!$A$18),
      AND(UPPER(TRIM(M3313))="STD", TRIM(B3313)=TRIM(Enginuity!$A$17))
    ),
    OR(
      AND(LEFT(P3313,5)="1-Way", Enginuity!$B$13=1),
      AND(LEFT(P3313,5)="2-Way", OR(Enginuity!$B$13=2, Enginuity!$B$13=4)),
      AND(LEFT(P3313,5)="3-Way", OR(Enginuity!$B$13=3, Enginuity!$B$13=6)),
      AND(P3313="Inner Centre Jamb", OR(Enginuity!$B$13=4, Enginuity!$B$13=6)),
      AND(
        LEFT(P3313,5)&lt;&gt;"1-Way",
        LEFT(P3313,5)&lt;&gt;"2-Way",
        LEFT(P3313,5)&lt;&gt;"3-Way",
        P3313&lt;&gt;"Inner Centre Jamb"
      )
    ),
    IF(OR(Enginuity!$A$1="Frameless Glass",Enginuity!$A$1="Metal Work"),
      AND(TRIM(B3313)=TRIM(Enginuity!$A$17),TRIM(C3313)=TRIM(Enginuity!$A$18)),
      TRIM(B3313)=TRIM(Enginuity!$A$17)
    )
  ),
  ROW(),
  ""
)</f>
        <v/>
      </c>
    </row>
    <row r="3314" spans="21:21" x14ac:dyDescent="0.25">
      <c r="U3314" s="104" t="str">
        <f>IF(
  AND(
    TRIM(A3314)=TRIM(Enginuity!$A$1),
    TRIM(B3314)=TRIM(Enginuity!$A$17),
    Q3314&lt;&gt;"",
    Q3314&lt;&gt;0,
    OR(
      TRIM(C3314)=TRIM(Enginuity!$A$18),
      AND(UPPER(TRIM(M3314))="STD", TRIM(B3314)=TRIM(Enginuity!$A$17))
    ),
    OR(
      AND(LEFT(P3314,5)="1-Way", Enginuity!$B$13=1),
      AND(LEFT(P3314,5)="2-Way", OR(Enginuity!$B$13=2, Enginuity!$B$13=4)),
      AND(LEFT(P3314,5)="3-Way", OR(Enginuity!$B$13=3, Enginuity!$B$13=6)),
      AND(P3314="Inner Centre Jamb", OR(Enginuity!$B$13=4, Enginuity!$B$13=6)),
      AND(
        LEFT(P3314,5)&lt;&gt;"1-Way",
        LEFT(P3314,5)&lt;&gt;"2-Way",
        LEFT(P3314,5)&lt;&gt;"3-Way",
        P3314&lt;&gt;"Inner Centre Jamb"
      )
    ),
    IF(OR(Enginuity!$A$1="Frameless Glass",Enginuity!$A$1="Metal Work"),
      AND(TRIM(B3314)=TRIM(Enginuity!$A$17),TRIM(C3314)=TRIM(Enginuity!$A$18)),
      TRIM(B3314)=TRIM(Enginuity!$A$17)
    )
  ),
  ROW(),
  ""
)</f>
        <v/>
      </c>
    </row>
    <row r="3315" spans="21:21" x14ac:dyDescent="0.25">
      <c r="U3315" s="104" t="str">
        <f>IF(
  AND(
    TRIM(A3315)=TRIM(Enginuity!$A$1),
    TRIM(B3315)=TRIM(Enginuity!$A$17),
    Q3315&lt;&gt;"",
    Q3315&lt;&gt;0,
    OR(
      TRIM(C3315)=TRIM(Enginuity!$A$18),
      AND(UPPER(TRIM(M3315))="STD", TRIM(B3315)=TRIM(Enginuity!$A$17))
    ),
    OR(
      AND(LEFT(P3315,5)="1-Way", Enginuity!$B$13=1),
      AND(LEFT(P3315,5)="2-Way", OR(Enginuity!$B$13=2, Enginuity!$B$13=4)),
      AND(LEFT(P3315,5)="3-Way", OR(Enginuity!$B$13=3, Enginuity!$B$13=6)),
      AND(P3315="Inner Centre Jamb", OR(Enginuity!$B$13=4, Enginuity!$B$13=6)),
      AND(
        LEFT(P3315,5)&lt;&gt;"1-Way",
        LEFT(P3315,5)&lt;&gt;"2-Way",
        LEFT(P3315,5)&lt;&gt;"3-Way",
        P3315&lt;&gt;"Inner Centre Jamb"
      )
    ),
    IF(OR(Enginuity!$A$1="Frameless Glass",Enginuity!$A$1="Metal Work"),
      AND(TRIM(B3315)=TRIM(Enginuity!$A$17),TRIM(C3315)=TRIM(Enginuity!$A$18)),
      TRIM(B3315)=TRIM(Enginuity!$A$17)
    )
  ),
  ROW(),
  ""
)</f>
        <v/>
      </c>
    </row>
    <row r="3316" spans="21:21" x14ac:dyDescent="0.25">
      <c r="U3316" s="104" t="str">
        <f>IF(
  AND(
    TRIM(A3316)=TRIM(Enginuity!$A$1),
    TRIM(B3316)=TRIM(Enginuity!$A$17),
    Q3316&lt;&gt;"",
    Q3316&lt;&gt;0,
    OR(
      TRIM(C3316)=TRIM(Enginuity!$A$18),
      AND(UPPER(TRIM(M3316))="STD", TRIM(B3316)=TRIM(Enginuity!$A$17))
    ),
    OR(
      AND(LEFT(P3316,5)="1-Way", Enginuity!$B$13=1),
      AND(LEFT(P3316,5)="2-Way", OR(Enginuity!$B$13=2, Enginuity!$B$13=4)),
      AND(LEFT(P3316,5)="3-Way", OR(Enginuity!$B$13=3, Enginuity!$B$13=6)),
      AND(P3316="Inner Centre Jamb", OR(Enginuity!$B$13=4, Enginuity!$B$13=6)),
      AND(
        LEFT(P3316,5)&lt;&gt;"1-Way",
        LEFT(P3316,5)&lt;&gt;"2-Way",
        LEFT(P3316,5)&lt;&gt;"3-Way",
        P3316&lt;&gt;"Inner Centre Jamb"
      )
    ),
    IF(OR(Enginuity!$A$1="Frameless Glass",Enginuity!$A$1="Metal Work"),
      AND(TRIM(B3316)=TRIM(Enginuity!$A$17),TRIM(C3316)=TRIM(Enginuity!$A$18)),
      TRIM(B3316)=TRIM(Enginuity!$A$17)
    )
  ),
  ROW(),
  ""
)</f>
        <v/>
      </c>
    </row>
    <row r="3317" spans="21:21" x14ac:dyDescent="0.25">
      <c r="U3317" s="104" t="str">
        <f>IF(
  AND(
    TRIM(A3317)=TRIM(Enginuity!$A$1),
    TRIM(B3317)=TRIM(Enginuity!$A$17),
    Q3317&lt;&gt;"",
    Q3317&lt;&gt;0,
    OR(
      TRIM(C3317)=TRIM(Enginuity!$A$18),
      AND(UPPER(TRIM(M3317))="STD", TRIM(B3317)=TRIM(Enginuity!$A$17))
    ),
    OR(
      AND(LEFT(P3317,5)="1-Way", Enginuity!$B$13=1),
      AND(LEFT(P3317,5)="2-Way", OR(Enginuity!$B$13=2, Enginuity!$B$13=4)),
      AND(LEFT(P3317,5)="3-Way", OR(Enginuity!$B$13=3, Enginuity!$B$13=6)),
      AND(P3317="Inner Centre Jamb", OR(Enginuity!$B$13=4, Enginuity!$B$13=6)),
      AND(
        LEFT(P3317,5)&lt;&gt;"1-Way",
        LEFT(P3317,5)&lt;&gt;"2-Way",
        LEFT(P3317,5)&lt;&gt;"3-Way",
        P3317&lt;&gt;"Inner Centre Jamb"
      )
    ),
    IF(OR(Enginuity!$A$1="Frameless Glass",Enginuity!$A$1="Metal Work"),
      AND(TRIM(B3317)=TRIM(Enginuity!$A$17),TRIM(C3317)=TRIM(Enginuity!$A$18)),
      TRIM(B3317)=TRIM(Enginuity!$A$17)
    )
  ),
  ROW(),
  ""
)</f>
        <v/>
      </c>
    </row>
    <row r="3318" spans="21:21" x14ac:dyDescent="0.25">
      <c r="U3318" s="104" t="str">
        <f>IF(
  AND(
    TRIM(A3318)=TRIM(Enginuity!$A$1),
    TRIM(B3318)=TRIM(Enginuity!$A$17),
    Q3318&lt;&gt;"",
    Q3318&lt;&gt;0,
    OR(
      TRIM(C3318)=TRIM(Enginuity!$A$18),
      AND(UPPER(TRIM(M3318))="STD", TRIM(B3318)=TRIM(Enginuity!$A$17))
    ),
    OR(
      AND(LEFT(P3318,5)="1-Way", Enginuity!$B$13=1),
      AND(LEFT(P3318,5)="2-Way", OR(Enginuity!$B$13=2, Enginuity!$B$13=4)),
      AND(LEFT(P3318,5)="3-Way", OR(Enginuity!$B$13=3, Enginuity!$B$13=6)),
      AND(P3318="Inner Centre Jamb", OR(Enginuity!$B$13=4, Enginuity!$B$13=6)),
      AND(
        LEFT(P3318,5)&lt;&gt;"1-Way",
        LEFT(P3318,5)&lt;&gt;"2-Way",
        LEFT(P3318,5)&lt;&gt;"3-Way",
        P3318&lt;&gt;"Inner Centre Jamb"
      )
    ),
    IF(OR(Enginuity!$A$1="Frameless Glass",Enginuity!$A$1="Metal Work"),
      AND(TRIM(B3318)=TRIM(Enginuity!$A$17),TRIM(C3318)=TRIM(Enginuity!$A$18)),
      TRIM(B3318)=TRIM(Enginuity!$A$17)
    )
  ),
  ROW(),
  ""
)</f>
        <v/>
      </c>
    </row>
    <row r="3319" spans="21:21" x14ac:dyDescent="0.25">
      <c r="U3319" s="104" t="str">
        <f>IF(
  AND(
    TRIM(A3319)=TRIM(Enginuity!$A$1),
    TRIM(B3319)=TRIM(Enginuity!$A$17),
    Q3319&lt;&gt;"",
    Q3319&lt;&gt;0,
    OR(
      TRIM(C3319)=TRIM(Enginuity!$A$18),
      AND(UPPER(TRIM(M3319))="STD", TRIM(B3319)=TRIM(Enginuity!$A$17))
    ),
    OR(
      AND(LEFT(P3319,5)="1-Way", Enginuity!$B$13=1),
      AND(LEFT(P3319,5)="2-Way", OR(Enginuity!$B$13=2, Enginuity!$B$13=4)),
      AND(LEFT(P3319,5)="3-Way", OR(Enginuity!$B$13=3, Enginuity!$B$13=6)),
      AND(P3319="Inner Centre Jamb", OR(Enginuity!$B$13=4, Enginuity!$B$13=6)),
      AND(
        LEFT(P3319,5)&lt;&gt;"1-Way",
        LEFT(P3319,5)&lt;&gt;"2-Way",
        LEFT(P3319,5)&lt;&gt;"3-Way",
        P3319&lt;&gt;"Inner Centre Jamb"
      )
    ),
    IF(OR(Enginuity!$A$1="Frameless Glass",Enginuity!$A$1="Metal Work"),
      AND(TRIM(B3319)=TRIM(Enginuity!$A$17),TRIM(C3319)=TRIM(Enginuity!$A$18)),
      TRIM(B3319)=TRIM(Enginuity!$A$17)
    )
  ),
  ROW(),
  ""
)</f>
        <v/>
      </c>
    </row>
    <row r="3320" spans="21:21" x14ac:dyDescent="0.25">
      <c r="U3320" s="104" t="str">
        <f>IF(
  AND(
    TRIM(A3320)=TRIM(Enginuity!$A$1),
    TRIM(B3320)=TRIM(Enginuity!$A$17),
    Q3320&lt;&gt;"",
    Q3320&lt;&gt;0,
    OR(
      TRIM(C3320)=TRIM(Enginuity!$A$18),
      AND(UPPER(TRIM(M3320))="STD", TRIM(B3320)=TRIM(Enginuity!$A$17))
    ),
    OR(
      AND(LEFT(P3320,5)="1-Way", Enginuity!$B$13=1),
      AND(LEFT(P3320,5)="2-Way", OR(Enginuity!$B$13=2, Enginuity!$B$13=4)),
      AND(LEFT(P3320,5)="3-Way", OR(Enginuity!$B$13=3, Enginuity!$B$13=6)),
      AND(P3320="Inner Centre Jamb", OR(Enginuity!$B$13=4, Enginuity!$B$13=6)),
      AND(
        LEFT(P3320,5)&lt;&gt;"1-Way",
        LEFT(P3320,5)&lt;&gt;"2-Way",
        LEFT(P3320,5)&lt;&gt;"3-Way",
        P3320&lt;&gt;"Inner Centre Jamb"
      )
    ),
    IF(OR(Enginuity!$A$1="Frameless Glass",Enginuity!$A$1="Metal Work"),
      AND(TRIM(B3320)=TRIM(Enginuity!$A$17),TRIM(C3320)=TRIM(Enginuity!$A$18)),
      TRIM(B3320)=TRIM(Enginuity!$A$17)
    )
  ),
  ROW(),
  ""
)</f>
        <v/>
      </c>
    </row>
    <row r="3321" spans="21:21" x14ac:dyDescent="0.25">
      <c r="U3321" s="104" t="str">
        <f>IF(
  AND(
    TRIM(A3321)=TRIM(Enginuity!$A$1),
    TRIM(B3321)=TRIM(Enginuity!$A$17),
    Q3321&lt;&gt;"",
    Q3321&lt;&gt;0,
    OR(
      TRIM(C3321)=TRIM(Enginuity!$A$18),
      AND(UPPER(TRIM(M3321))="STD", TRIM(B3321)=TRIM(Enginuity!$A$17))
    ),
    OR(
      AND(LEFT(P3321,5)="1-Way", Enginuity!$B$13=1),
      AND(LEFT(P3321,5)="2-Way", OR(Enginuity!$B$13=2, Enginuity!$B$13=4)),
      AND(LEFT(P3321,5)="3-Way", OR(Enginuity!$B$13=3, Enginuity!$B$13=6)),
      AND(P3321="Inner Centre Jamb", OR(Enginuity!$B$13=4, Enginuity!$B$13=6)),
      AND(
        LEFT(P3321,5)&lt;&gt;"1-Way",
        LEFT(P3321,5)&lt;&gt;"2-Way",
        LEFT(P3321,5)&lt;&gt;"3-Way",
        P3321&lt;&gt;"Inner Centre Jamb"
      )
    ),
    IF(OR(Enginuity!$A$1="Frameless Glass",Enginuity!$A$1="Metal Work"),
      AND(TRIM(B3321)=TRIM(Enginuity!$A$17),TRIM(C3321)=TRIM(Enginuity!$A$18)),
      TRIM(B3321)=TRIM(Enginuity!$A$17)
    )
  ),
  ROW(),
  ""
)</f>
        <v/>
      </c>
    </row>
    <row r="3322" spans="21:21" x14ac:dyDescent="0.25">
      <c r="U3322" s="104" t="str">
        <f>IF(
  AND(
    TRIM(A3322)=TRIM(Enginuity!$A$1),
    TRIM(B3322)=TRIM(Enginuity!$A$17),
    Q3322&lt;&gt;"",
    Q3322&lt;&gt;0,
    OR(
      TRIM(C3322)=TRIM(Enginuity!$A$18),
      AND(UPPER(TRIM(M3322))="STD", TRIM(B3322)=TRIM(Enginuity!$A$17))
    ),
    OR(
      AND(LEFT(P3322,5)="1-Way", Enginuity!$B$13=1),
      AND(LEFT(P3322,5)="2-Way", OR(Enginuity!$B$13=2, Enginuity!$B$13=4)),
      AND(LEFT(P3322,5)="3-Way", OR(Enginuity!$B$13=3, Enginuity!$B$13=6)),
      AND(P3322="Inner Centre Jamb", OR(Enginuity!$B$13=4, Enginuity!$B$13=6)),
      AND(
        LEFT(P3322,5)&lt;&gt;"1-Way",
        LEFT(P3322,5)&lt;&gt;"2-Way",
        LEFT(P3322,5)&lt;&gt;"3-Way",
        P3322&lt;&gt;"Inner Centre Jamb"
      )
    ),
    IF(OR(Enginuity!$A$1="Frameless Glass",Enginuity!$A$1="Metal Work"),
      AND(TRIM(B3322)=TRIM(Enginuity!$A$17),TRIM(C3322)=TRIM(Enginuity!$A$18)),
      TRIM(B3322)=TRIM(Enginuity!$A$17)
    )
  ),
  ROW(),
  ""
)</f>
        <v/>
      </c>
    </row>
    <row r="3323" spans="21:21" x14ac:dyDescent="0.25">
      <c r="U3323" s="104" t="str">
        <f>IF(
  AND(
    TRIM(A3323)=TRIM(Enginuity!$A$1),
    TRIM(B3323)=TRIM(Enginuity!$A$17),
    Q3323&lt;&gt;"",
    Q3323&lt;&gt;0,
    OR(
      TRIM(C3323)=TRIM(Enginuity!$A$18),
      AND(UPPER(TRIM(M3323))="STD", TRIM(B3323)=TRIM(Enginuity!$A$17))
    ),
    OR(
      AND(LEFT(P3323,5)="1-Way", Enginuity!$B$13=1),
      AND(LEFT(P3323,5)="2-Way", OR(Enginuity!$B$13=2, Enginuity!$B$13=4)),
      AND(LEFT(P3323,5)="3-Way", OR(Enginuity!$B$13=3, Enginuity!$B$13=6)),
      AND(P3323="Inner Centre Jamb", OR(Enginuity!$B$13=4, Enginuity!$B$13=6)),
      AND(
        LEFT(P3323,5)&lt;&gt;"1-Way",
        LEFT(P3323,5)&lt;&gt;"2-Way",
        LEFT(P3323,5)&lt;&gt;"3-Way",
        P3323&lt;&gt;"Inner Centre Jamb"
      )
    ),
    IF(OR(Enginuity!$A$1="Frameless Glass",Enginuity!$A$1="Metal Work"),
      AND(TRIM(B3323)=TRIM(Enginuity!$A$17),TRIM(C3323)=TRIM(Enginuity!$A$18)),
      TRIM(B3323)=TRIM(Enginuity!$A$17)
    )
  ),
  ROW(),
  ""
)</f>
        <v/>
      </c>
    </row>
    <row r="3324" spans="21:21" x14ac:dyDescent="0.25">
      <c r="U3324" s="104" t="str">
        <f>IF(
  AND(
    TRIM(A3324)=TRIM(Enginuity!$A$1),
    TRIM(B3324)=TRIM(Enginuity!$A$17),
    Q3324&lt;&gt;"",
    Q3324&lt;&gt;0,
    OR(
      TRIM(C3324)=TRIM(Enginuity!$A$18),
      AND(UPPER(TRIM(M3324))="STD", TRIM(B3324)=TRIM(Enginuity!$A$17))
    ),
    OR(
      AND(LEFT(P3324,5)="1-Way", Enginuity!$B$13=1),
      AND(LEFT(P3324,5)="2-Way", OR(Enginuity!$B$13=2, Enginuity!$B$13=4)),
      AND(LEFT(P3324,5)="3-Way", OR(Enginuity!$B$13=3, Enginuity!$B$13=6)),
      AND(P3324="Inner Centre Jamb", OR(Enginuity!$B$13=4, Enginuity!$B$13=6)),
      AND(
        LEFT(P3324,5)&lt;&gt;"1-Way",
        LEFT(P3324,5)&lt;&gt;"2-Way",
        LEFT(P3324,5)&lt;&gt;"3-Way",
        P3324&lt;&gt;"Inner Centre Jamb"
      )
    ),
    IF(OR(Enginuity!$A$1="Frameless Glass",Enginuity!$A$1="Metal Work"),
      AND(TRIM(B3324)=TRIM(Enginuity!$A$17),TRIM(C3324)=TRIM(Enginuity!$A$18)),
      TRIM(B3324)=TRIM(Enginuity!$A$17)
    )
  ),
  ROW(),
  ""
)</f>
        <v/>
      </c>
    </row>
    <row r="3325" spans="21:21" x14ac:dyDescent="0.25">
      <c r="U3325" s="104" t="str">
        <f>IF(
  AND(
    TRIM(A3325)=TRIM(Enginuity!$A$1),
    TRIM(B3325)=TRIM(Enginuity!$A$17),
    Q3325&lt;&gt;"",
    Q3325&lt;&gt;0,
    OR(
      TRIM(C3325)=TRIM(Enginuity!$A$18),
      AND(UPPER(TRIM(M3325))="STD", TRIM(B3325)=TRIM(Enginuity!$A$17))
    ),
    OR(
      AND(LEFT(P3325,5)="1-Way", Enginuity!$B$13=1),
      AND(LEFT(P3325,5)="2-Way", OR(Enginuity!$B$13=2, Enginuity!$B$13=4)),
      AND(LEFT(P3325,5)="3-Way", OR(Enginuity!$B$13=3, Enginuity!$B$13=6)),
      AND(P3325="Inner Centre Jamb", OR(Enginuity!$B$13=4, Enginuity!$B$13=6)),
      AND(
        LEFT(P3325,5)&lt;&gt;"1-Way",
        LEFT(P3325,5)&lt;&gt;"2-Way",
        LEFT(P3325,5)&lt;&gt;"3-Way",
        P3325&lt;&gt;"Inner Centre Jamb"
      )
    ),
    IF(OR(Enginuity!$A$1="Frameless Glass",Enginuity!$A$1="Metal Work"),
      AND(TRIM(B3325)=TRIM(Enginuity!$A$17),TRIM(C3325)=TRIM(Enginuity!$A$18)),
      TRIM(B3325)=TRIM(Enginuity!$A$17)
    )
  ),
  ROW(),
  ""
)</f>
        <v/>
      </c>
    </row>
    <row r="3326" spans="21:21" x14ac:dyDescent="0.25">
      <c r="U3326" s="104" t="str">
        <f>IF(
  AND(
    TRIM(A3326)=TRIM(Enginuity!$A$1),
    TRIM(B3326)=TRIM(Enginuity!$A$17),
    Q3326&lt;&gt;"",
    Q3326&lt;&gt;0,
    OR(
      TRIM(C3326)=TRIM(Enginuity!$A$18),
      AND(UPPER(TRIM(M3326))="STD", TRIM(B3326)=TRIM(Enginuity!$A$17))
    ),
    OR(
      AND(LEFT(P3326,5)="1-Way", Enginuity!$B$13=1),
      AND(LEFT(P3326,5)="2-Way", OR(Enginuity!$B$13=2, Enginuity!$B$13=4)),
      AND(LEFT(P3326,5)="3-Way", OR(Enginuity!$B$13=3, Enginuity!$B$13=6)),
      AND(P3326="Inner Centre Jamb", OR(Enginuity!$B$13=4, Enginuity!$B$13=6)),
      AND(
        LEFT(P3326,5)&lt;&gt;"1-Way",
        LEFT(P3326,5)&lt;&gt;"2-Way",
        LEFT(P3326,5)&lt;&gt;"3-Way",
        P3326&lt;&gt;"Inner Centre Jamb"
      )
    ),
    IF(OR(Enginuity!$A$1="Frameless Glass",Enginuity!$A$1="Metal Work"),
      AND(TRIM(B3326)=TRIM(Enginuity!$A$17),TRIM(C3326)=TRIM(Enginuity!$A$18)),
      TRIM(B3326)=TRIM(Enginuity!$A$17)
    )
  ),
  ROW(),
  ""
)</f>
        <v/>
      </c>
    </row>
    <row r="3327" spans="21:21" x14ac:dyDescent="0.25">
      <c r="U3327" s="104" t="str">
        <f>IF(
  AND(
    TRIM(A3327)=TRIM(Enginuity!$A$1),
    TRIM(B3327)=TRIM(Enginuity!$A$17),
    Q3327&lt;&gt;"",
    Q3327&lt;&gt;0,
    OR(
      TRIM(C3327)=TRIM(Enginuity!$A$18),
      AND(UPPER(TRIM(M3327))="STD", TRIM(B3327)=TRIM(Enginuity!$A$17))
    ),
    OR(
      AND(LEFT(P3327,5)="1-Way", Enginuity!$B$13=1),
      AND(LEFT(P3327,5)="2-Way", OR(Enginuity!$B$13=2, Enginuity!$B$13=4)),
      AND(LEFT(P3327,5)="3-Way", OR(Enginuity!$B$13=3, Enginuity!$B$13=6)),
      AND(P3327="Inner Centre Jamb", OR(Enginuity!$B$13=4, Enginuity!$B$13=6)),
      AND(
        LEFT(P3327,5)&lt;&gt;"1-Way",
        LEFT(P3327,5)&lt;&gt;"2-Way",
        LEFT(P3327,5)&lt;&gt;"3-Way",
        P3327&lt;&gt;"Inner Centre Jamb"
      )
    ),
    IF(OR(Enginuity!$A$1="Frameless Glass",Enginuity!$A$1="Metal Work"),
      AND(TRIM(B3327)=TRIM(Enginuity!$A$17),TRIM(C3327)=TRIM(Enginuity!$A$18)),
      TRIM(B3327)=TRIM(Enginuity!$A$17)
    )
  ),
  ROW(),
  ""
)</f>
        <v/>
      </c>
    </row>
    <row r="3328" spans="21:21" x14ac:dyDescent="0.25">
      <c r="U3328" s="104" t="str">
        <f>IF(
  AND(
    TRIM(A3328)=TRIM(Enginuity!$A$1),
    TRIM(B3328)=TRIM(Enginuity!$A$17),
    Q3328&lt;&gt;"",
    Q3328&lt;&gt;0,
    OR(
      TRIM(C3328)=TRIM(Enginuity!$A$18),
      AND(UPPER(TRIM(M3328))="STD", TRIM(B3328)=TRIM(Enginuity!$A$17))
    ),
    OR(
      AND(LEFT(P3328,5)="1-Way", Enginuity!$B$13=1),
      AND(LEFT(P3328,5)="2-Way", OR(Enginuity!$B$13=2, Enginuity!$B$13=4)),
      AND(LEFT(P3328,5)="3-Way", OR(Enginuity!$B$13=3, Enginuity!$B$13=6)),
      AND(P3328="Inner Centre Jamb", OR(Enginuity!$B$13=4, Enginuity!$B$13=6)),
      AND(
        LEFT(P3328,5)&lt;&gt;"1-Way",
        LEFT(P3328,5)&lt;&gt;"2-Way",
        LEFT(P3328,5)&lt;&gt;"3-Way",
        P3328&lt;&gt;"Inner Centre Jamb"
      )
    ),
    IF(OR(Enginuity!$A$1="Frameless Glass",Enginuity!$A$1="Metal Work"),
      AND(TRIM(B3328)=TRIM(Enginuity!$A$17),TRIM(C3328)=TRIM(Enginuity!$A$18)),
      TRIM(B3328)=TRIM(Enginuity!$A$17)
    )
  ),
  ROW(),
  ""
)</f>
        <v/>
      </c>
    </row>
    <row r="3329" spans="21:21" x14ac:dyDescent="0.25">
      <c r="U3329" s="104" t="str">
        <f>IF(
  AND(
    TRIM(A3329)=TRIM(Enginuity!$A$1),
    TRIM(B3329)=TRIM(Enginuity!$A$17),
    Q3329&lt;&gt;"",
    Q3329&lt;&gt;0,
    OR(
      TRIM(C3329)=TRIM(Enginuity!$A$18),
      AND(UPPER(TRIM(M3329))="STD", TRIM(B3329)=TRIM(Enginuity!$A$17))
    ),
    OR(
      AND(LEFT(P3329,5)="1-Way", Enginuity!$B$13=1),
      AND(LEFT(P3329,5)="2-Way", OR(Enginuity!$B$13=2, Enginuity!$B$13=4)),
      AND(LEFT(P3329,5)="3-Way", OR(Enginuity!$B$13=3, Enginuity!$B$13=6)),
      AND(P3329="Inner Centre Jamb", OR(Enginuity!$B$13=4, Enginuity!$B$13=6)),
      AND(
        LEFT(P3329,5)&lt;&gt;"1-Way",
        LEFT(P3329,5)&lt;&gt;"2-Way",
        LEFT(P3329,5)&lt;&gt;"3-Way",
        P3329&lt;&gt;"Inner Centre Jamb"
      )
    ),
    IF(OR(Enginuity!$A$1="Frameless Glass",Enginuity!$A$1="Metal Work"),
      AND(TRIM(B3329)=TRIM(Enginuity!$A$17),TRIM(C3329)=TRIM(Enginuity!$A$18)),
      TRIM(B3329)=TRIM(Enginuity!$A$17)
    )
  ),
  ROW(),
  ""
)</f>
        <v/>
      </c>
    </row>
    <row r="3330" spans="21:21" x14ac:dyDescent="0.25">
      <c r="U3330" s="104" t="str">
        <f>IF(
  AND(
    TRIM(A3330)=TRIM(Enginuity!$A$1),
    TRIM(B3330)=TRIM(Enginuity!$A$17),
    Q3330&lt;&gt;"",
    Q3330&lt;&gt;0,
    OR(
      TRIM(C3330)=TRIM(Enginuity!$A$18),
      AND(UPPER(TRIM(M3330))="STD", TRIM(B3330)=TRIM(Enginuity!$A$17))
    ),
    OR(
      AND(LEFT(P3330,5)="1-Way", Enginuity!$B$13=1),
      AND(LEFT(P3330,5)="2-Way", OR(Enginuity!$B$13=2, Enginuity!$B$13=4)),
      AND(LEFT(P3330,5)="3-Way", OR(Enginuity!$B$13=3, Enginuity!$B$13=6)),
      AND(P3330="Inner Centre Jamb", OR(Enginuity!$B$13=4, Enginuity!$B$13=6)),
      AND(
        LEFT(P3330,5)&lt;&gt;"1-Way",
        LEFT(P3330,5)&lt;&gt;"2-Way",
        LEFT(P3330,5)&lt;&gt;"3-Way",
        P3330&lt;&gt;"Inner Centre Jamb"
      )
    ),
    IF(OR(Enginuity!$A$1="Frameless Glass",Enginuity!$A$1="Metal Work"),
      AND(TRIM(B3330)=TRIM(Enginuity!$A$17),TRIM(C3330)=TRIM(Enginuity!$A$18)),
      TRIM(B3330)=TRIM(Enginuity!$A$17)
    )
  ),
  ROW(),
  ""
)</f>
        <v/>
      </c>
    </row>
    <row r="3331" spans="21:21" x14ac:dyDescent="0.25">
      <c r="U3331" s="104" t="str">
        <f>IF(
  AND(
    TRIM(A3331)=TRIM(Enginuity!$A$1),
    TRIM(B3331)=TRIM(Enginuity!$A$17),
    Q3331&lt;&gt;"",
    Q3331&lt;&gt;0,
    OR(
      TRIM(C3331)=TRIM(Enginuity!$A$18),
      AND(UPPER(TRIM(M3331))="STD", TRIM(B3331)=TRIM(Enginuity!$A$17))
    ),
    OR(
      AND(LEFT(P3331,5)="1-Way", Enginuity!$B$13=1),
      AND(LEFT(P3331,5)="2-Way", OR(Enginuity!$B$13=2, Enginuity!$B$13=4)),
      AND(LEFT(P3331,5)="3-Way", OR(Enginuity!$B$13=3, Enginuity!$B$13=6)),
      AND(P3331="Inner Centre Jamb", OR(Enginuity!$B$13=4, Enginuity!$B$13=6)),
      AND(
        LEFT(P3331,5)&lt;&gt;"1-Way",
        LEFT(P3331,5)&lt;&gt;"2-Way",
        LEFT(P3331,5)&lt;&gt;"3-Way",
        P3331&lt;&gt;"Inner Centre Jamb"
      )
    ),
    IF(OR(Enginuity!$A$1="Frameless Glass",Enginuity!$A$1="Metal Work"),
      AND(TRIM(B3331)=TRIM(Enginuity!$A$17),TRIM(C3331)=TRIM(Enginuity!$A$18)),
      TRIM(B3331)=TRIM(Enginuity!$A$17)
    )
  ),
  ROW(),
  ""
)</f>
        <v/>
      </c>
    </row>
    <row r="3332" spans="21:21" x14ac:dyDescent="0.25">
      <c r="U3332" s="104" t="str">
        <f>IF(
  AND(
    TRIM(A3332)=TRIM(Enginuity!$A$1),
    TRIM(B3332)=TRIM(Enginuity!$A$17),
    Q3332&lt;&gt;"",
    Q3332&lt;&gt;0,
    OR(
      TRIM(C3332)=TRIM(Enginuity!$A$18),
      AND(UPPER(TRIM(M3332))="STD", TRIM(B3332)=TRIM(Enginuity!$A$17))
    ),
    OR(
      AND(LEFT(P3332,5)="1-Way", Enginuity!$B$13=1),
      AND(LEFT(P3332,5)="2-Way", OR(Enginuity!$B$13=2, Enginuity!$B$13=4)),
      AND(LEFT(P3332,5)="3-Way", OR(Enginuity!$B$13=3, Enginuity!$B$13=6)),
      AND(P3332="Inner Centre Jamb", OR(Enginuity!$B$13=4, Enginuity!$B$13=6)),
      AND(
        LEFT(P3332,5)&lt;&gt;"1-Way",
        LEFT(P3332,5)&lt;&gt;"2-Way",
        LEFT(P3332,5)&lt;&gt;"3-Way",
        P3332&lt;&gt;"Inner Centre Jamb"
      )
    ),
    IF(OR(Enginuity!$A$1="Frameless Glass",Enginuity!$A$1="Metal Work"),
      AND(TRIM(B3332)=TRIM(Enginuity!$A$17),TRIM(C3332)=TRIM(Enginuity!$A$18)),
      TRIM(B3332)=TRIM(Enginuity!$A$17)
    )
  ),
  ROW(),
  ""
)</f>
        <v/>
      </c>
    </row>
    <row r="3333" spans="21:21" x14ac:dyDescent="0.25">
      <c r="U3333" s="104" t="str">
        <f>IF(
  AND(
    TRIM(A3333)=TRIM(Enginuity!$A$1),
    TRIM(B3333)=TRIM(Enginuity!$A$17),
    Q3333&lt;&gt;"",
    Q3333&lt;&gt;0,
    OR(
      TRIM(C3333)=TRIM(Enginuity!$A$18),
      AND(UPPER(TRIM(M3333))="STD", TRIM(B3333)=TRIM(Enginuity!$A$17))
    ),
    OR(
      AND(LEFT(P3333,5)="1-Way", Enginuity!$B$13=1),
      AND(LEFT(P3333,5)="2-Way", OR(Enginuity!$B$13=2, Enginuity!$B$13=4)),
      AND(LEFT(P3333,5)="3-Way", OR(Enginuity!$B$13=3, Enginuity!$B$13=6)),
      AND(P3333="Inner Centre Jamb", OR(Enginuity!$B$13=4, Enginuity!$B$13=6)),
      AND(
        LEFT(P3333,5)&lt;&gt;"1-Way",
        LEFT(P3333,5)&lt;&gt;"2-Way",
        LEFT(P3333,5)&lt;&gt;"3-Way",
        P3333&lt;&gt;"Inner Centre Jamb"
      )
    ),
    IF(OR(Enginuity!$A$1="Frameless Glass",Enginuity!$A$1="Metal Work"),
      AND(TRIM(B3333)=TRIM(Enginuity!$A$17),TRIM(C3333)=TRIM(Enginuity!$A$18)),
      TRIM(B3333)=TRIM(Enginuity!$A$17)
    )
  ),
  ROW(),
  ""
)</f>
        <v/>
      </c>
    </row>
    <row r="3334" spans="21:21" x14ac:dyDescent="0.25">
      <c r="U3334" s="104" t="str">
        <f>IF(
  AND(
    TRIM(A3334)=TRIM(Enginuity!$A$1),
    TRIM(B3334)=TRIM(Enginuity!$A$17),
    Q3334&lt;&gt;"",
    Q3334&lt;&gt;0,
    OR(
      TRIM(C3334)=TRIM(Enginuity!$A$18),
      AND(UPPER(TRIM(M3334))="STD", TRIM(B3334)=TRIM(Enginuity!$A$17))
    ),
    OR(
      AND(LEFT(P3334,5)="1-Way", Enginuity!$B$13=1),
      AND(LEFT(P3334,5)="2-Way", OR(Enginuity!$B$13=2, Enginuity!$B$13=4)),
      AND(LEFT(P3334,5)="3-Way", OR(Enginuity!$B$13=3, Enginuity!$B$13=6)),
      AND(P3334="Inner Centre Jamb", OR(Enginuity!$B$13=4, Enginuity!$B$13=6)),
      AND(
        LEFT(P3334,5)&lt;&gt;"1-Way",
        LEFT(P3334,5)&lt;&gt;"2-Way",
        LEFT(P3334,5)&lt;&gt;"3-Way",
        P3334&lt;&gt;"Inner Centre Jamb"
      )
    ),
    IF(OR(Enginuity!$A$1="Frameless Glass",Enginuity!$A$1="Metal Work"),
      AND(TRIM(B3334)=TRIM(Enginuity!$A$17),TRIM(C3334)=TRIM(Enginuity!$A$18)),
      TRIM(B3334)=TRIM(Enginuity!$A$17)
    )
  ),
  ROW(),
  ""
)</f>
        <v/>
      </c>
    </row>
    <row r="3335" spans="21:21" x14ac:dyDescent="0.25">
      <c r="U3335" s="104" t="str">
        <f>IF(
  AND(
    TRIM(A3335)=TRIM(Enginuity!$A$1),
    TRIM(B3335)=TRIM(Enginuity!$A$17),
    Q3335&lt;&gt;"",
    Q3335&lt;&gt;0,
    OR(
      TRIM(C3335)=TRIM(Enginuity!$A$18),
      AND(UPPER(TRIM(M3335))="STD", TRIM(B3335)=TRIM(Enginuity!$A$17))
    ),
    OR(
      AND(LEFT(P3335,5)="1-Way", Enginuity!$B$13=1),
      AND(LEFT(P3335,5)="2-Way", OR(Enginuity!$B$13=2, Enginuity!$B$13=4)),
      AND(LEFT(P3335,5)="3-Way", OR(Enginuity!$B$13=3, Enginuity!$B$13=6)),
      AND(P3335="Inner Centre Jamb", OR(Enginuity!$B$13=4, Enginuity!$B$13=6)),
      AND(
        LEFT(P3335,5)&lt;&gt;"1-Way",
        LEFT(P3335,5)&lt;&gt;"2-Way",
        LEFT(P3335,5)&lt;&gt;"3-Way",
        P3335&lt;&gt;"Inner Centre Jamb"
      )
    ),
    IF(OR(Enginuity!$A$1="Frameless Glass",Enginuity!$A$1="Metal Work"),
      AND(TRIM(B3335)=TRIM(Enginuity!$A$17),TRIM(C3335)=TRIM(Enginuity!$A$18)),
      TRIM(B3335)=TRIM(Enginuity!$A$17)
    )
  ),
  ROW(),
  ""
)</f>
        <v/>
      </c>
    </row>
    <row r="3336" spans="21:21" x14ac:dyDescent="0.25">
      <c r="U3336" s="104" t="str">
        <f>IF(
  AND(
    TRIM(A3336)=TRIM(Enginuity!$A$1),
    TRIM(B3336)=TRIM(Enginuity!$A$17),
    Q3336&lt;&gt;"",
    Q3336&lt;&gt;0,
    OR(
      TRIM(C3336)=TRIM(Enginuity!$A$18),
      AND(UPPER(TRIM(M3336))="STD", TRIM(B3336)=TRIM(Enginuity!$A$17))
    ),
    OR(
      AND(LEFT(P3336,5)="1-Way", Enginuity!$B$13=1),
      AND(LEFT(P3336,5)="2-Way", OR(Enginuity!$B$13=2, Enginuity!$B$13=4)),
      AND(LEFT(P3336,5)="3-Way", OR(Enginuity!$B$13=3, Enginuity!$B$13=6)),
      AND(P3336="Inner Centre Jamb", OR(Enginuity!$B$13=4, Enginuity!$B$13=6)),
      AND(
        LEFT(P3336,5)&lt;&gt;"1-Way",
        LEFT(P3336,5)&lt;&gt;"2-Way",
        LEFT(P3336,5)&lt;&gt;"3-Way",
        P3336&lt;&gt;"Inner Centre Jamb"
      )
    ),
    IF(OR(Enginuity!$A$1="Frameless Glass",Enginuity!$A$1="Metal Work"),
      AND(TRIM(B3336)=TRIM(Enginuity!$A$17),TRIM(C3336)=TRIM(Enginuity!$A$18)),
      TRIM(B3336)=TRIM(Enginuity!$A$17)
    )
  ),
  ROW(),
  ""
)</f>
        <v/>
      </c>
    </row>
    <row r="3337" spans="21:21" x14ac:dyDescent="0.25">
      <c r="U3337" s="104" t="str">
        <f>IF(
  AND(
    TRIM(A3337)=TRIM(Enginuity!$A$1),
    TRIM(B3337)=TRIM(Enginuity!$A$17),
    Q3337&lt;&gt;"",
    Q3337&lt;&gt;0,
    OR(
      TRIM(C3337)=TRIM(Enginuity!$A$18),
      AND(UPPER(TRIM(M3337))="STD", TRIM(B3337)=TRIM(Enginuity!$A$17))
    ),
    OR(
      AND(LEFT(P3337,5)="1-Way", Enginuity!$B$13=1),
      AND(LEFT(P3337,5)="2-Way", OR(Enginuity!$B$13=2, Enginuity!$B$13=4)),
      AND(LEFT(P3337,5)="3-Way", OR(Enginuity!$B$13=3, Enginuity!$B$13=6)),
      AND(P3337="Inner Centre Jamb", OR(Enginuity!$B$13=4, Enginuity!$B$13=6)),
      AND(
        LEFT(P3337,5)&lt;&gt;"1-Way",
        LEFT(P3337,5)&lt;&gt;"2-Way",
        LEFT(P3337,5)&lt;&gt;"3-Way",
        P3337&lt;&gt;"Inner Centre Jamb"
      )
    ),
    IF(OR(Enginuity!$A$1="Frameless Glass",Enginuity!$A$1="Metal Work"),
      AND(TRIM(B3337)=TRIM(Enginuity!$A$17),TRIM(C3337)=TRIM(Enginuity!$A$18)),
      TRIM(B3337)=TRIM(Enginuity!$A$17)
    )
  ),
  ROW(),
  ""
)</f>
        <v/>
      </c>
    </row>
    <row r="3338" spans="21:21" x14ac:dyDescent="0.25">
      <c r="U3338" s="104" t="str">
        <f>IF(
  AND(
    TRIM(A3338)=TRIM(Enginuity!$A$1),
    TRIM(B3338)=TRIM(Enginuity!$A$17),
    Q3338&lt;&gt;"",
    Q3338&lt;&gt;0,
    OR(
      TRIM(C3338)=TRIM(Enginuity!$A$18),
      AND(UPPER(TRIM(M3338))="STD", TRIM(B3338)=TRIM(Enginuity!$A$17))
    ),
    OR(
      AND(LEFT(P3338,5)="1-Way", Enginuity!$B$13=1),
      AND(LEFT(P3338,5)="2-Way", OR(Enginuity!$B$13=2, Enginuity!$B$13=4)),
      AND(LEFT(P3338,5)="3-Way", OR(Enginuity!$B$13=3, Enginuity!$B$13=6)),
      AND(P3338="Inner Centre Jamb", OR(Enginuity!$B$13=4, Enginuity!$B$13=6)),
      AND(
        LEFT(P3338,5)&lt;&gt;"1-Way",
        LEFT(P3338,5)&lt;&gt;"2-Way",
        LEFT(P3338,5)&lt;&gt;"3-Way",
        P3338&lt;&gt;"Inner Centre Jamb"
      )
    ),
    IF(OR(Enginuity!$A$1="Frameless Glass",Enginuity!$A$1="Metal Work"),
      AND(TRIM(B3338)=TRIM(Enginuity!$A$17),TRIM(C3338)=TRIM(Enginuity!$A$18)),
      TRIM(B3338)=TRIM(Enginuity!$A$17)
    )
  ),
  ROW(),
  ""
)</f>
        <v/>
      </c>
    </row>
    <row r="3339" spans="21:21" x14ac:dyDescent="0.25">
      <c r="U3339" s="104" t="str">
        <f>IF(
  AND(
    TRIM(A3339)=TRIM(Enginuity!$A$1),
    TRIM(B3339)=TRIM(Enginuity!$A$17),
    Q3339&lt;&gt;"",
    Q3339&lt;&gt;0,
    OR(
      TRIM(C3339)=TRIM(Enginuity!$A$18),
      AND(UPPER(TRIM(M3339))="STD", TRIM(B3339)=TRIM(Enginuity!$A$17))
    ),
    OR(
      AND(LEFT(P3339,5)="1-Way", Enginuity!$B$13=1),
      AND(LEFT(P3339,5)="2-Way", OR(Enginuity!$B$13=2, Enginuity!$B$13=4)),
      AND(LEFT(P3339,5)="3-Way", OR(Enginuity!$B$13=3, Enginuity!$B$13=6)),
      AND(P3339="Inner Centre Jamb", OR(Enginuity!$B$13=4, Enginuity!$B$13=6)),
      AND(
        LEFT(P3339,5)&lt;&gt;"1-Way",
        LEFT(P3339,5)&lt;&gt;"2-Way",
        LEFT(P3339,5)&lt;&gt;"3-Way",
        P3339&lt;&gt;"Inner Centre Jamb"
      )
    ),
    IF(OR(Enginuity!$A$1="Frameless Glass",Enginuity!$A$1="Metal Work"),
      AND(TRIM(B3339)=TRIM(Enginuity!$A$17),TRIM(C3339)=TRIM(Enginuity!$A$18)),
      TRIM(B3339)=TRIM(Enginuity!$A$17)
    )
  ),
  ROW(),
  ""
)</f>
        <v/>
      </c>
    </row>
    <row r="3340" spans="21:21" x14ac:dyDescent="0.25">
      <c r="U3340" s="104" t="str">
        <f>IF(
  AND(
    TRIM(A3340)=TRIM(Enginuity!$A$1),
    TRIM(B3340)=TRIM(Enginuity!$A$17),
    Q3340&lt;&gt;"",
    Q3340&lt;&gt;0,
    OR(
      TRIM(C3340)=TRIM(Enginuity!$A$18),
      AND(UPPER(TRIM(M3340))="STD", TRIM(B3340)=TRIM(Enginuity!$A$17))
    ),
    OR(
      AND(LEFT(P3340,5)="1-Way", Enginuity!$B$13=1),
      AND(LEFT(P3340,5)="2-Way", OR(Enginuity!$B$13=2, Enginuity!$B$13=4)),
      AND(LEFT(P3340,5)="3-Way", OR(Enginuity!$B$13=3, Enginuity!$B$13=6)),
      AND(P3340="Inner Centre Jamb", OR(Enginuity!$B$13=4, Enginuity!$B$13=6)),
      AND(
        LEFT(P3340,5)&lt;&gt;"1-Way",
        LEFT(P3340,5)&lt;&gt;"2-Way",
        LEFT(P3340,5)&lt;&gt;"3-Way",
        P3340&lt;&gt;"Inner Centre Jamb"
      )
    ),
    IF(OR(Enginuity!$A$1="Frameless Glass",Enginuity!$A$1="Metal Work"),
      AND(TRIM(B3340)=TRIM(Enginuity!$A$17),TRIM(C3340)=TRIM(Enginuity!$A$18)),
      TRIM(B3340)=TRIM(Enginuity!$A$17)
    )
  ),
  ROW(),
  ""
)</f>
        <v/>
      </c>
    </row>
    <row r="3341" spans="21:21" x14ac:dyDescent="0.25">
      <c r="U3341" s="104" t="str">
        <f>IF(
  AND(
    TRIM(A3341)=TRIM(Enginuity!$A$1),
    TRIM(B3341)=TRIM(Enginuity!$A$17),
    Q3341&lt;&gt;"",
    Q3341&lt;&gt;0,
    OR(
      TRIM(C3341)=TRIM(Enginuity!$A$18),
      AND(UPPER(TRIM(M3341))="STD", TRIM(B3341)=TRIM(Enginuity!$A$17))
    ),
    OR(
      AND(LEFT(P3341,5)="1-Way", Enginuity!$B$13=1),
      AND(LEFT(P3341,5)="2-Way", OR(Enginuity!$B$13=2, Enginuity!$B$13=4)),
      AND(LEFT(P3341,5)="3-Way", OR(Enginuity!$B$13=3, Enginuity!$B$13=6)),
      AND(P3341="Inner Centre Jamb", OR(Enginuity!$B$13=4, Enginuity!$B$13=6)),
      AND(
        LEFT(P3341,5)&lt;&gt;"1-Way",
        LEFT(P3341,5)&lt;&gt;"2-Way",
        LEFT(P3341,5)&lt;&gt;"3-Way",
        P3341&lt;&gt;"Inner Centre Jamb"
      )
    ),
    IF(OR(Enginuity!$A$1="Frameless Glass",Enginuity!$A$1="Metal Work"),
      AND(TRIM(B3341)=TRIM(Enginuity!$A$17),TRIM(C3341)=TRIM(Enginuity!$A$18)),
      TRIM(B3341)=TRIM(Enginuity!$A$17)
    )
  ),
  ROW(),
  ""
)</f>
        <v/>
      </c>
    </row>
    <row r="3342" spans="21:21" x14ac:dyDescent="0.25">
      <c r="U3342" s="104" t="str">
        <f>IF(
  AND(
    TRIM(A3342)=TRIM(Enginuity!$A$1),
    TRIM(B3342)=TRIM(Enginuity!$A$17),
    Q3342&lt;&gt;"",
    Q3342&lt;&gt;0,
    OR(
      TRIM(C3342)=TRIM(Enginuity!$A$18),
      AND(UPPER(TRIM(M3342))="STD", TRIM(B3342)=TRIM(Enginuity!$A$17))
    ),
    OR(
      AND(LEFT(P3342,5)="1-Way", Enginuity!$B$13=1),
      AND(LEFT(P3342,5)="2-Way", OR(Enginuity!$B$13=2, Enginuity!$B$13=4)),
      AND(LEFT(P3342,5)="3-Way", OR(Enginuity!$B$13=3, Enginuity!$B$13=6)),
      AND(P3342="Inner Centre Jamb", OR(Enginuity!$B$13=4, Enginuity!$B$13=6)),
      AND(
        LEFT(P3342,5)&lt;&gt;"1-Way",
        LEFT(P3342,5)&lt;&gt;"2-Way",
        LEFT(P3342,5)&lt;&gt;"3-Way",
        P3342&lt;&gt;"Inner Centre Jamb"
      )
    ),
    IF(OR(Enginuity!$A$1="Frameless Glass",Enginuity!$A$1="Metal Work"),
      AND(TRIM(B3342)=TRIM(Enginuity!$A$17),TRIM(C3342)=TRIM(Enginuity!$A$18)),
      TRIM(B3342)=TRIM(Enginuity!$A$17)
    )
  ),
  ROW(),
  ""
)</f>
        <v/>
      </c>
    </row>
    <row r="3343" spans="21:21" x14ac:dyDescent="0.25">
      <c r="U3343" s="104" t="str">
        <f>IF(
  AND(
    TRIM(A3343)=TRIM(Enginuity!$A$1),
    TRIM(B3343)=TRIM(Enginuity!$A$17),
    Q3343&lt;&gt;"",
    Q3343&lt;&gt;0,
    OR(
      TRIM(C3343)=TRIM(Enginuity!$A$18),
      AND(UPPER(TRIM(M3343))="STD", TRIM(B3343)=TRIM(Enginuity!$A$17))
    ),
    OR(
      AND(LEFT(P3343,5)="1-Way", Enginuity!$B$13=1),
      AND(LEFT(P3343,5)="2-Way", OR(Enginuity!$B$13=2, Enginuity!$B$13=4)),
      AND(LEFT(P3343,5)="3-Way", OR(Enginuity!$B$13=3, Enginuity!$B$13=6)),
      AND(P3343="Inner Centre Jamb", OR(Enginuity!$B$13=4, Enginuity!$B$13=6)),
      AND(
        LEFT(P3343,5)&lt;&gt;"1-Way",
        LEFT(P3343,5)&lt;&gt;"2-Way",
        LEFT(P3343,5)&lt;&gt;"3-Way",
        P3343&lt;&gt;"Inner Centre Jamb"
      )
    ),
    IF(OR(Enginuity!$A$1="Frameless Glass",Enginuity!$A$1="Metal Work"),
      AND(TRIM(B3343)=TRIM(Enginuity!$A$17),TRIM(C3343)=TRIM(Enginuity!$A$18)),
      TRIM(B3343)=TRIM(Enginuity!$A$17)
    )
  ),
  ROW(),
  ""
)</f>
        <v/>
      </c>
    </row>
    <row r="3344" spans="21:21" x14ac:dyDescent="0.25">
      <c r="U3344" s="104" t="str">
        <f>IF(
  AND(
    TRIM(A3344)=TRIM(Enginuity!$A$1),
    TRIM(B3344)=TRIM(Enginuity!$A$17),
    Q3344&lt;&gt;"",
    Q3344&lt;&gt;0,
    OR(
      TRIM(C3344)=TRIM(Enginuity!$A$18),
      AND(UPPER(TRIM(M3344))="STD", TRIM(B3344)=TRIM(Enginuity!$A$17))
    ),
    OR(
      AND(LEFT(P3344,5)="1-Way", Enginuity!$B$13=1),
      AND(LEFT(P3344,5)="2-Way", OR(Enginuity!$B$13=2, Enginuity!$B$13=4)),
      AND(LEFT(P3344,5)="3-Way", OR(Enginuity!$B$13=3, Enginuity!$B$13=6)),
      AND(P3344="Inner Centre Jamb", OR(Enginuity!$B$13=4, Enginuity!$B$13=6)),
      AND(
        LEFT(P3344,5)&lt;&gt;"1-Way",
        LEFT(P3344,5)&lt;&gt;"2-Way",
        LEFT(P3344,5)&lt;&gt;"3-Way",
        P3344&lt;&gt;"Inner Centre Jamb"
      )
    ),
    IF(OR(Enginuity!$A$1="Frameless Glass",Enginuity!$A$1="Metal Work"),
      AND(TRIM(B3344)=TRIM(Enginuity!$A$17),TRIM(C3344)=TRIM(Enginuity!$A$18)),
      TRIM(B3344)=TRIM(Enginuity!$A$17)
    )
  ),
  ROW(),
  ""
)</f>
        <v/>
      </c>
    </row>
    <row r="3345" spans="21:21" x14ac:dyDescent="0.25">
      <c r="U3345" s="104" t="str">
        <f>IF(
  AND(
    TRIM(A3345)=TRIM(Enginuity!$A$1),
    TRIM(B3345)=TRIM(Enginuity!$A$17),
    Q3345&lt;&gt;"",
    Q3345&lt;&gt;0,
    OR(
      TRIM(C3345)=TRIM(Enginuity!$A$18),
      AND(UPPER(TRIM(M3345))="STD", TRIM(B3345)=TRIM(Enginuity!$A$17))
    ),
    OR(
      AND(LEFT(P3345,5)="1-Way", Enginuity!$B$13=1),
      AND(LEFT(P3345,5)="2-Way", OR(Enginuity!$B$13=2, Enginuity!$B$13=4)),
      AND(LEFT(P3345,5)="3-Way", OR(Enginuity!$B$13=3, Enginuity!$B$13=6)),
      AND(P3345="Inner Centre Jamb", OR(Enginuity!$B$13=4, Enginuity!$B$13=6)),
      AND(
        LEFT(P3345,5)&lt;&gt;"1-Way",
        LEFT(P3345,5)&lt;&gt;"2-Way",
        LEFT(P3345,5)&lt;&gt;"3-Way",
        P3345&lt;&gt;"Inner Centre Jamb"
      )
    ),
    IF(OR(Enginuity!$A$1="Frameless Glass",Enginuity!$A$1="Metal Work"),
      AND(TRIM(B3345)=TRIM(Enginuity!$A$17),TRIM(C3345)=TRIM(Enginuity!$A$18)),
      TRIM(B3345)=TRIM(Enginuity!$A$17)
    )
  ),
  ROW(),
  ""
)</f>
        <v/>
      </c>
    </row>
    <row r="3346" spans="21:21" x14ac:dyDescent="0.25">
      <c r="U3346" s="104" t="str">
        <f>IF(
  AND(
    TRIM(A3346)=TRIM(Enginuity!$A$1),
    TRIM(B3346)=TRIM(Enginuity!$A$17),
    Q3346&lt;&gt;"",
    Q3346&lt;&gt;0,
    OR(
      TRIM(C3346)=TRIM(Enginuity!$A$18),
      AND(UPPER(TRIM(M3346))="STD", TRIM(B3346)=TRIM(Enginuity!$A$17))
    ),
    OR(
      AND(LEFT(P3346,5)="1-Way", Enginuity!$B$13=1),
      AND(LEFT(P3346,5)="2-Way", OR(Enginuity!$B$13=2, Enginuity!$B$13=4)),
      AND(LEFT(P3346,5)="3-Way", OR(Enginuity!$B$13=3, Enginuity!$B$13=6)),
      AND(P3346="Inner Centre Jamb", OR(Enginuity!$B$13=4, Enginuity!$B$13=6)),
      AND(
        LEFT(P3346,5)&lt;&gt;"1-Way",
        LEFT(P3346,5)&lt;&gt;"2-Way",
        LEFT(P3346,5)&lt;&gt;"3-Way",
        P3346&lt;&gt;"Inner Centre Jamb"
      )
    ),
    IF(OR(Enginuity!$A$1="Frameless Glass",Enginuity!$A$1="Metal Work"),
      AND(TRIM(B3346)=TRIM(Enginuity!$A$17),TRIM(C3346)=TRIM(Enginuity!$A$18)),
      TRIM(B3346)=TRIM(Enginuity!$A$17)
    )
  ),
  ROW(),
  ""
)</f>
        <v/>
      </c>
    </row>
    <row r="3347" spans="21:21" x14ac:dyDescent="0.25">
      <c r="U3347" s="104" t="str">
        <f>IF(
  AND(
    TRIM(A3347)=TRIM(Enginuity!$A$1),
    TRIM(B3347)=TRIM(Enginuity!$A$17),
    Q3347&lt;&gt;"",
    Q3347&lt;&gt;0,
    OR(
      TRIM(C3347)=TRIM(Enginuity!$A$18),
      AND(UPPER(TRIM(M3347))="STD", TRIM(B3347)=TRIM(Enginuity!$A$17))
    ),
    OR(
      AND(LEFT(P3347,5)="1-Way", Enginuity!$B$13=1),
      AND(LEFT(P3347,5)="2-Way", OR(Enginuity!$B$13=2, Enginuity!$B$13=4)),
      AND(LEFT(P3347,5)="3-Way", OR(Enginuity!$B$13=3, Enginuity!$B$13=6)),
      AND(P3347="Inner Centre Jamb", OR(Enginuity!$B$13=4, Enginuity!$B$13=6)),
      AND(
        LEFT(P3347,5)&lt;&gt;"1-Way",
        LEFT(P3347,5)&lt;&gt;"2-Way",
        LEFT(P3347,5)&lt;&gt;"3-Way",
        P3347&lt;&gt;"Inner Centre Jamb"
      )
    ),
    IF(OR(Enginuity!$A$1="Frameless Glass",Enginuity!$A$1="Metal Work"),
      AND(TRIM(B3347)=TRIM(Enginuity!$A$17),TRIM(C3347)=TRIM(Enginuity!$A$18)),
      TRIM(B3347)=TRIM(Enginuity!$A$17)
    )
  ),
  ROW(),
  ""
)</f>
        <v/>
      </c>
    </row>
    <row r="3348" spans="21:21" x14ac:dyDescent="0.25">
      <c r="U3348" s="104" t="str">
        <f>IF(
  AND(
    TRIM(A3348)=TRIM(Enginuity!$A$1),
    TRIM(B3348)=TRIM(Enginuity!$A$17),
    Q3348&lt;&gt;"",
    Q3348&lt;&gt;0,
    OR(
      TRIM(C3348)=TRIM(Enginuity!$A$18),
      AND(UPPER(TRIM(M3348))="STD", TRIM(B3348)=TRIM(Enginuity!$A$17))
    ),
    OR(
      AND(LEFT(P3348,5)="1-Way", Enginuity!$B$13=1),
      AND(LEFT(P3348,5)="2-Way", OR(Enginuity!$B$13=2, Enginuity!$B$13=4)),
      AND(LEFT(P3348,5)="3-Way", OR(Enginuity!$B$13=3, Enginuity!$B$13=6)),
      AND(P3348="Inner Centre Jamb", OR(Enginuity!$B$13=4, Enginuity!$B$13=6)),
      AND(
        LEFT(P3348,5)&lt;&gt;"1-Way",
        LEFT(P3348,5)&lt;&gt;"2-Way",
        LEFT(P3348,5)&lt;&gt;"3-Way",
        P3348&lt;&gt;"Inner Centre Jamb"
      )
    ),
    IF(OR(Enginuity!$A$1="Frameless Glass",Enginuity!$A$1="Metal Work"),
      AND(TRIM(B3348)=TRIM(Enginuity!$A$17),TRIM(C3348)=TRIM(Enginuity!$A$18)),
      TRIM(B3348)=TRIM(Enginuity!$A$17)
    )
  ),
  ROW(),
  ""
)</f>
        <v/>
      </c>
    </row>
    <row r="3349" spans="21:21" x14ac:dyDescent="0.25">
      <c r="U3349" s="104" t="str">
        <f>IF(
  AND(
    TRIM(A3349)=TRIM(Enginuity!$A$1),
    TRIM(B3349)=TRIM(Enginuity!$A$17),
    Q3349&lt;&gt;"",
    Q3349&lt;&gt;0,
    OR(
      TRIM(C3349)=TRIM(Enginuity!$A$18),
      AND(UPPER(TRIM(M3349))="STD", TRIM(B3349)=TRIM(Enginuity!$A$17))
    ),
    OR(
      AND(LEFT(P3349,5)="1-Way", Enginuity!$B$13=1),
      AND(LEFT(P3349,5)="2-Way", OR(Enginuity!$B$13=2, Enginuity!$B$13=4)),
      AND(LEFT(P3349,5)="3-Way", OR(Enginuity!$B$13=3, Enginuity!$B$13=6)),
      AND(P3349="Inner Centre Jamb", OR(Enginuity!$B$13=4, Enginuity!$B$13=6)),
      AND(
        LEFT(P3349,5)&lt;&gt;"1-Way",
        LEFT(P3349,5)&lt;&gt;"2-Way",
        LEFT(P3349,5)&lt;&gt;"3-Way",
        P3349&lt;&gt;"Inner Centre Jamb"
      )
    ),
    IF(OR(Enginuity!$A$1="Frameless Glass",Enginuity!$A$1="Metal Work"),
      AND(TRIM(B3349)=TRIM(Enginuity!$A$17),TRIM(C3349)=TRIM(Enginuity!$A$18)),
      TRIM(B3349)=TRIM(Enginuity!$A$17)
    )
  ),
  ROW(),
  ""
)</f>
        <v/>
      </c>
    </row>
    <row r="3350" spans="21:21" x14ac:dyDescent="0.25">
      <c r="U3350" s="104" t="str">
        <f>IF(
  AND(
    TRIM(A3350)=TRIM(Enginuity!$A$1),
    TRIM(B3350)=TRIM(Enginuity!$A$17),
    Q3350&lt;&gt;"",
    Q3350&lt;&gt;0,
    OR(
      TRIM(C3350)=TRIM(Enginuity!$A$18),
      AND(UPPER(TRIM(M3350))="STD", TRIM(B3350)=TRIM(Enginuity!$A$17))
    ),
    OR(
      AND(LEFT(P3350,5)="1-Way", Enginuity!$B$13=1),
      AND(LEFT(P3350,5)="2-Way", OR(Enginuity!$B$13=2, Enginuity!$B$13=4)),
      AND(LEFT(P3350,5)="3-Way", OR(Enginuity!$B$13=3, Enginuity!$B$13=6)),
      AND(P3350="Inner Centre Jamb", OR(Enginuity!$B$13=4, Enginuity!$B$13=6)),
      AND(
        LEFT(P3350,5)&lt;&gt;"1-Way",
        LEFT(P3350,5)&lt;&gt;"2-Way",
        LEFT(P3350,5)&lt;&gt;"3-Way",
        P3350&lt;&gt;"Inner Centre Jamb"
      )
    ),
    IF(OR(Enginuity!$A$1="Frameless Glass",Enginuity!$A$1="Metal Work"),
      AND(TRIM(B3350)=TRIM(Enginuity!$A$17),TRIM(C3350)=TRIM(Enginuity!$A$18)),
      TRIM(B3350)=TRIM(Enginuity!$A$17)
    )
  ),
  ROW(),
  ""
)</f>
        <v/>
      </c>
    </row>
    <row r="3351" spans="21:21" x14ac:dyDescent="0.25">
      <c r="U3351" s="104" t="str">
        <f>IF(
  AND(
    TRIM(A3351)=TRIM(Enginuity!$A$1),
    TRIM(B3351)=TRIM(Enginuity!$A$17),
    Q3351&lt;&gt;"",
    Q3351&lt;&gt;0,
    OR(
      TRIM(C3351)=TRIM(Enginuity!$A$18),
      AND(UPPER(TRIM(M3351))="STD", TRIM(B3351)=TRIM(Enginuity!$A$17))
    ),
    OR(
      AND(LEFT(P3351,5)="1-Way", Enginuity!$B$13=1),
      AND(LEFT(P3351,5)="2-Way", OR(Enginuity!$B$13=2, Enginuity!$B$13=4)),
      AND(LEFT(P3351,5)="3-Way", OR(Enginuity!$B$13=3, Enginuity!$B$13=6)),
      AND(P3351="Inner Centre Jamb", OR(Enginuity!$B$13=4, Enginuity!$B$13=6)),
      AND(
        LEFT(P3351,5)&lt;&gt;"1-Way",
        LEFT(P3351,5)&lt;&gt;"2-Way",
        LEFT(P3351,5)&lt;&gt;"3-Way",
        P3351&lt;&gt;"Inner Centre Jamb"
      )
    ),
    IF(OR(Enginuity!$A$1="Frameless Glass",Enginuity!$A$1="Metal Work"),
      AND(TRIM(B3351)=TRIM(Enginuity!$A$17),TRIM(C3351)=TRIM(Enginuity!$A$18)),
      TRIM(B3351)=TRIM(Enginuity!$A$17)
    )
  ),
  ROW(),
  ""
)</f>
        <v/>
      </c>
    </row>
    <row r="3352" spans="21:21" x14ac:dyDescent="0.25">
      <c r="U3352" s="104" t="str">
        <f>IF(
  AND(
    TRIM(A3352)=TRIM(Enginuity!$A$1),
    TRIM(B3352)=TRIM(Enginuity!$A$17),
    Q3352&lt;&gt;"",
    Q3352&lt;&gt;0,
    OR(
      TRIM(C3352)=TRIM(Enginuity!$A$18),
      AND(UPPER(TRIM(M3352))="STD", TRIM(B3352)=TRIM(Enginuity!$A$17))
    ),
    OR(
      AND(LEFT(P3352,5)="1-Way", Enginuity!$B$13=1),
      AND(LEFT(P3352,5)="2-Way", OR(Enginuity!$B$13=2, Enginuity!$B$13=4)),
      AND(LEFT(P3352,5)="3-Way", OR(Enginuity!$B$13=3, Enginuity!$B$13=6)),
      AND(P3352="Inner Centre Jamb", OR(Enginuity!$B$13=4, Enginuity!$B$13=6)),
      AND(
        LEFT(P3352,5)&lt;&gt;"1-Way",
        LEFT(P3352,5)&lt;&gt;"2-Way",
        LEFT(P3352,5)&lt;&gt;"3-Way",
        P3352&lt;&gt;"Inner Centre Jamb"
      )
    ),
    IF(OR(Enginuity!$A$1="Frameless Glass",Enginuity!$A$1="Metal Work"),
      AND(TRIM(B3352)=TRIM(Enginuity!$A$17),TRIM(C3352)=TRIM(Enginuity!$A$18)),
      TRIM(B3352)=TRIM(Enginuity!$A$17)
    )
  ),
  ROW(),
  ""
)</f>
        <v/>
      </c>
    </row>
    <row r="3353" spans="21:21" x14ac:dyDescent="0.25">
      <c r="U3353" s="104" t="str">
        <f>IF(
  AND(
    TRIM(A3353)=TRIM(Enginuity!$A$1),
    TRIM(B3353)=TRIM(Enginuity!$A$17),
    Q3353&lt;&gt;"",
    Q3353&lt;&gt;0,
    OR(
      TRIM(C3353)=TRIM(Enginuity!$A$18),
      AND(UPPER(TRIM(M3353))="STD", TRIM(B3353)=TRIM(Enginuity!$A$17))
    ),
    OR(
      AND(LEFT(P3353,5)="1-Way", Enginuity!$B$13=1),
      AND(LEFT(P3353,5)="2-Way", OR(Enginuity!$B$13=2, Enginuity!$B$13=4)),
      AND(LEFT(P3353,5)="3-Way", OR(Enginuity!$B$13=3, Enginuity!$B$13=6)),
      AND(P3353="Inner Centre Jamb", OR(Enginuity!$B$13=4, Enginuity!$B$13=6)),
      AND(
        LEFT(P3353,5)&lt;&gt;"1-Way",
        LEFT(P3353,5)&lt;&gt;"2-Way",
        LEFT(P3353,5)&lt;&gt;"3-Way",
        P3353&lt;&gt;"Inner Centre Jamb"
      )
    ),
    IF(OR(Enginuity!$A$1="Frameless Glass",Enginuity!$A$1="Metal Work"),
      AND(TRIM(B3353)=TRIM(Enginuity!$A$17),TRIM(C3353)=TRIM(Enginuity!$A$18)),
      TRIM(B3353)=TRIM(Enginuity!$A$17)
    )
  ),
  ROW(),
  ""
)</f>
        <v/>
      </c>
    </row>
    <row r="3354" spans="21:21" x14ac:dyDescent="0.25">
      <c r="U3354" s="104" t="str">
        <f>IF(
  AND(
    TRIM(A3354)=TRIM(Enginuity!$A$1),
    TRIM(B3354)=TRIM(Enginuity!$A$17),
    Q3354&lt;&gt;"",
    Q3354&lt;&gt;0,
    OR(
      TRIM(C3354)=TRIM(Enginuity!$A$18),
      AND(UPPER(TRIM(M3354))="STD", TRIM(B3354)=TRIM(Enginuity!$A$17))
    ),
    OR(
      AND(LEFT(P3354,5)="1-Way", Enginuity!$B$13=1),
      AND(LEFT(P3354,5)="2-Way", OR(Enginuity!$B$13=2, Enginuity!$B$13=4)),
      AND(LEFT(P3354,5)="3-Way", OR(Enginuity!$B$13=3, Enginuity!$B$13=6)),
      AND(P3354="Inner Centre Jamb", OR(Enginuity!$B$13=4, Enginuity!$B$13=6)),
      AND(
        LEFT(P3354,5)&lt;&gt;"1-Way",
        LEFT(P3354,5)&lt;&gt;"2-Way",
        LEFT(P3354,5)&lt;&gt;"3-Way",
        P3354&lt;&gt;"Inner Centre Jamb"
      )
    ),
    IF(OR(Enginuity!$A$1="Frameless Glass",Enginuity!$A$1="Metal Work"),
      AND(TRIM(B3354)=TRIM(Enginuity!$A$17),TRIM(C3354)=TRIM(Enginuity!$A$18)),
      TRIM(B3354)=TRIM(Enginuity!$A$17)
    )
  ),
  ROW(),
  ""
)</f>
        <v/>
      </c>
    </row>
    <row r="3355" spans="21:21" x14ac:dyDescent="0.25">
      <c r="U3355" s="104" t="str">
        <f>IF(
  AND(
    TRIM(A3355)=TRIM(Enginuity!$A$1),
    TRIM(B3355)=TRIM(Enginuity!$A$17),
    Q3355&lt;&gt;"",
    Q3355&lt;&gt;0,
    OR(
      TRIM(C3355)=TRIM(Enginuity!$A$18),
      AND(UPPER(TRIM(M3355))="STD", TRIM(B3355)=TRIM(Enginuity!$A$17))
    ),
    OR(
      AND(LEFT(P3355,5)="1-Way", Enginuity!$B$13=1),
      AND(LEFT(P3355,5)="2-Way", OR(Enginuity!$B$13=2, Enginuity!$B$13=4)),
      AND(LEFT(P3355,5)="3-Way", OR(Enginuity!$B$13=3, Enginuity!$B$13=6)),
      AND(P3355="Inner Centre Jamb", OR(Enginuity!$B$13=4, Enginuity!$B$13=6)),
      AND(
        LEFT(P3355,5)&lt;&gt;"1-Way",
        LEFT(P3355,5)&lt;&gt;"2-Way",
        LEFT(P3355,5)&lt;&gt;"3-Way",
        P3355&lt;&gt;"Inner Centre Jamb"
      )
    ),
    IF(OR(Enginuity!$A$1="Frameless Glass",Enginuity!$A$1="Metal Work"),
      AND(TRIM(B3355)=TRIM(Enginuity!$A$17),TRIM(C3355)=TRIM(Enginuity!$A$18)),
      TRIM(B3355)=TRIM(Enginuity!$A$17)
    )
  ),
  ROW(),
  ""
)</f>
        <v/>
      </c>
    </row>
    <row r="3356" spans="21:21" x14ac:dyDescent="0.25">
      <c r="U3356" s="104" t="str">
        <f>IF(
  AND(
    TRIM(A3356)=TRIM(Enginuity!$A$1),
    TRIM(B3356)=TRIM(Enginuity!$A$17),
    Q3356&lt;&gt;"",
    Q3356&lt;&gt;0,
    OR(
      TRIM(C3356)=TRIM(Enginuity!$A$18),
      AND(UPPER(TRIM(M3356))="STD", TRIM(B3356)=TRIM(Enginuity!$A$17))
    ),
    OR(
      AND(LEFT(P3356,5)="1-Way", Enginuity!$B$13=1),
      AND(LEFT(P3356,5)="2-Way", OR(Enginuity!$B$13=2, Enginuity!$B$13=4)),
      AND(LEFT(P3356,5)="3-Way", OR(Enginuity!$B$13=3, Enginuity!$B$13=6)),
      AND(P3356="Inner Centre Jamb", OR(Enginuity!$B$13=4, Enginuity!$B$13=6)),
      AND(
        LEFT(P3356,5)&lt;&gt;"1-Way",
        LEFT(P3356,5)&lt;&gt;"2-Way",
        LEFT(P3356,5)&lt;&gt;"3-Way",
        P3356&lt;&gt;"Inner Centre Jamb"
      )
    ),
    IF(OR(Enginuity!$A$1="Frameless Glass",Enginuity!$A$1="Metal Work"),
      AND(TRIM(B3356)=TRIM(Enginuity!$A$17),TRIM(C3356)=TRIM(Enginuity!$A$18)),
      TRIM(B3356)=TRIM(Enginuity!$A$17)
    )
  ),
  ROW(),
  ""
)</f>
        <v/>
      </c>
    </row>
    <row r="3357" spans="21:21" x14ac:dyDescent="0.25">
      <c r="U3357" s="104" t="str">
        <f>IF(
  AND(
    TRIM(A3357)=TRIM(Enginuity!$A$1),
    TRIM(B3357)=TRIM(Enginuity!$A$17),
    Q3357&lt;&gt;"",
    Q3357&lt;&gt;0,
    OR(
      TRIM(C3357)=TRIM(Enginuity!$A$18),
      AND(UPPER(TRIM(M3357))="STD", TRIM(B3357)=TRIM(Enginuity!$A$17))
    ),
    OR(
      AND(LEFT(P3357,5)="1-Way", Enginuity!$B$13=1),
      AND(LEFT(P3357,5)="2-Way", OR(Enginuity!$B$13=2, Enginuity!$B$13=4)),
      AND(LEFT(P3357,5)="3-Way", OR(Enginuity!$B$13=3, Enginuity!$B$13=6)),
      AND(P3357="Inner Centre Jamb", OR(Enginuity!$B$13=4, Enginuity!$B$13=6)),
      AND(
        LEFT(P3357,5)&lt;&gt;"1-Way",
        LEFT(P3357,5)&lt;&gt;"2-Way",
        LEFT(P3357,5)&lt;&gt;"3-Way",
        P3357&lt;&gt;"Inner Centre Jamb"
      )
    ),
    IF(OR(Enginuity!$A$1="Frameless Glass",Enginuity!$A$1="Metal Work"),
      AND(TRIM(B3357)=TRIM(Enginuity!$A$17),TRIM(C3357)=TRIM(Enginuity!$A$18)),
      TRIM(B3357)=TRIM(Enginuity!$A$17)
    )
  ),
  ROW(),
  ""
)</f>
        <v/>
      </c>
    </row>
    <row r="3358" spans="21:21" x14ac:dyDescent="0.25">
      <c r="U3358" s="104" t="str">
        <f>IF(
  AND(
    TRIM(A3358)=TRIM(Enginuity!$A$1),
    TRIM(B3358)=TRIM(Enginuity!$A$17),
    Q3358&lt;&gt;"",
    Q3358&lt;&gt;0,
    OR(
      TRIM(C3358)=TRIM(Enginuity!$A$18),
      AND(UPPER(TRIM(M3358))="STD", TRIM(B3358)=TRIM(Enginuity!$A$17))
    ),
    OR(
      AND(LEFT(P3358,5)="1-Way", Enginuity!$B$13=1),
      AND(LEFT(P3358,5)="2-Way", OR(Enginuity!$B$13=2, Enginuity!$B$13=4)),
      AND(LEFT(P3358,5)="3-Way", OR(Enginuity!$B$13=3, Enginuity!$B$13=6)),
      AND(P3358="Inner Centre Jamb", OR(Enginuity!$B$13=4, Enginuity!$B$13=6)),
      AND(
        LEFT(P3358,5)&lt;&gt;"1-Way",
        LEFT(P3358,5)&lt;&gt;"2-Way",
        LEFT(P3358,5)&lt;&gt;"3-Way",
        P3358&lt;&gt;"Inner Centre Jamb"
      )
    ),
    IF(OR(Enginuity!$A$1="Frameless Glass",Enginuity!$A$1="Metal Work"),
      AND(TRIM(B3358)=TRIM(Enginuity!$A$17),TRIM(C3358)=TRIM(Enginuity!$A$18)),
      TRIM(B3358)=TRIM(Enginuity!$A$17)
    )
  ),
  ROW(),
  ""
)</f>
        <v/>
      </c>
    </row>
    <row r="3359" spans="21:21" x14ac:dyDescent="0.25">
      <c r="U3359" s="104" t="str">
        <f>IF(
  AND(
    TRIM(A3359)=TRIM(Enginuity!$A$1),
    TRIM(B3359)=TRIM(Enginuity!$A$17),
    Q3359&lt;&gt;"",
    Q3359&lt;&gt;0,
    OR(
      TRIM(C3359)=TRIM(Enginuity!$A$18),
      AND(UPPER(TRIM(M3359))="STD", TRIM(B3359)=TRIM(Enginuity!$A$17))
    ),
    OR(
      AND(LEFT(P3359,5)="1-Way", Enginuity!$B$13=1),
      AND(LEFT(P3359,5)="2-Way", OR(Enginuity!$B$13=2, Enginuity!$B$13=4)),
      AND(LEFT(P3359,5)="3-Way", OR(Enginuity!$B$13=3, Enginuity!$B$13=6)),
      AND(P3359="Inner Centre Jamb", OR(Enginuity!$B$13=4, Enginuity!$B$13=6)),
      AND(
        LEFT(P3359,5)&lt;&gt;"1-Way",
        LEFT(P3359,5)&lt;&gt;"2-Way",
        LEFT(P3359,5)&lt;&gt;"3-Way",
        P3359&lt;&gt;"Inner Centre Jamb"
      )
    ),
    IF(OR(Enginuity!$A$1="Frameless Glass",Enginuity!$A$1="Metal Work"),
      AND(TRIM(B3359)=TRIM(Enginuity!$A$17),TRIM(C3359)=TRIM(Enginuity!$A$18)),
      TRIM(B3359)=TRIM(Enginuity!$A$17)
    )
  ),
  ROW(),
  ""
)</f>
        <v/>
      </c>
    </row>
    <row r="3360" spans="21:21" x14ac:dyDescent="0.25">
      <c r="U3360" s="104" t="str">
        <f>IF(
  AND(
    TRIM(A3360)=TRIM(Enginuity!$A$1),
    TRIM(B3360)=TRIM(Enginuity!$A$17),
    Q3360&lt;&gt;"",
    Q3360&lt;&gt;0,
    OR(
      TRIM(C3360)=TRIM(Enginuity!$A$18),
      AND(UPPER(TRIM(M3360))="STD", TRIM(B3360)=TRIM(Enginuity!$A$17))
    ),
    OR(
      AND(LEFT(P3360,5)="1-Way", Enginuity!$B$13=1),
      AND(LEFT(P3360,5)="2-Way", OR(Enginuity!$B$13=2, Enginuity!$B$13=4)),
      AND(LEFT(P3360,5)="3-Way", OR(Enginuity!$B$13=3, Enginuity!$B$13=6)),
      AND(P3360="Inner Centre Jamb", OR(Enginuity!$B$13=4, Enginuity!$B$13=6)),
      AND(
        LEFT(P3360,5)&lt;&gt;"1-Way",
        LEFT(P3360,5)&lt;&gt;"2-Way",
        LEFT(P3360,5)&lt;&gt;"3-Way",
        P3360&lt;&gt;"Inner Centre Jamb"
      )
    ),
    IF(OR(Enginuity!$A$1="Frameless Glass",Enginuity!$A$1="Metal Work"),
      AND(TRIM(B3360)=TRIM(Enginuity!$A$17),TRIM(C3360)=TRIM(Enginuity!$A$18)),
      TRIM(B3360)=TRIM(Enginuity!$A$17)
    )
  ),
  ROW(),
  ""
)</f>
        <v/>
      </c>
    </row>
    <row r="3361" spans="21:21" x14ac:dyDescent="0.25">
      <c r="U3361" s="104" t="str">
        <f>IF(
  AND(
    TRIM(A3361)=TRIM(Enginuity!$A$1),
    TRIM(B3361)=TRIM(Enginuity!$A$17),
    Q3361&lt;&gt;"",
    Q3361&lt;&gt;0,
    OR(
      TRIM(C3361)=TRIM(Enginuity!$A$18),
      AND(UPPER(TRIM(M3361))="STD", TRIM(B3361)=TRIM(Enginuity!$A$17))
    ),
    OR(
      AND(LEFT(P3361,5)="1-Way", Enginuity!$B$13=1),
      AND(LEFT(P3361,5)="2-Way", OR(Enginuity!$B$13=2, Enginuity!$B$13=4)),
      AND(LEFT(P3361,5)="3-Way", OR(Enginuity!$B$13=3, Enginuity!$B$13=6)),
      AND(P3361="Inner Centre Jamb", OR(Enginuity!$B$13=4, Enginuity!$B$13=6)),
      AND(
        LEFT(P3361,5)&lt;&gt;"1-Way",
        LEFT(P3361,5)&lt;&gt;"2-Way",
        LEFT(P3361,5)&lt;&gt;"3-Way",
        P3361&lt;&gt;"Inner Centre Jamb"
      )
    ),
    IF(OR(Enginuity!$A$1="Frameless Glass",Enginuity!$A$1="Metal Work"),
      AND(TRIM(B3361)=TRIM(Enginuity!$A$17),TRIM(C3361)=TRIM(Enginuity!$A$18)),
      TRIM(B3361)=TRIM(Enginuity!$A$17)
    )
  ),
  ROW(),
  ""
)</f>
        <v/>
      </c>
    </row>
    <row r="3362" spans="21:21" x14ac:dyDescent="0.25">
      <c r="U3362" s="104" t="str">
        <f>IF(
  AND(
    TRIM(A3362)=TRIM(Enginuity!$A$1),
    TRIM(B3362)=TRIM(Enginuity!$A$17),
    Q3362&lt;&gt;"",
    Q3362&lt;&gt;0,
    OR(
      TRIM(C3362)=TRIM(Enginuity!$A$18),
      AND(UPPER(TRIM(M3362))="STD", TRIM(B3362)=TRIM(Enginuity!$A$17))
    ),
    OR(
      AND(LEFT(P3362,5)="1-Way", Enginuity!$B$13=1),
      AND(LEFT(P3362,5)="2-Way", OR(Enginuity!$B$13=2, Enginuity!$B$13=4)),
      AND(LEFT(P3362,5)="3-Way", OR(Enginuity!$B$13=3, Enginuity!$B$13=6)),
      AND(P3362="Inner Centre Jamb", OR(Enginuity!$B$13=4, Enginuity!$B$13=6)),
      AND(
        LEFT(P3362,5)&lt;&gt;"1-Way",
        LEFT(P3362,5)&lt;&gt;"2-Way",
        LEFT(P3362,5)&lt;&gt;"3-Way",
        P3362&lt;&gt;"Inner Centre Jamb"
      )
    ),
    IF(OR(Enginuity!$A$1="Frameless Glass",Enginuity!$A$1="Metal Work"),
      AND(TRIM(B3362)=TRIM(Enginuity!$A$17),TRIM(C3362)=TRIM(Enginuity!$A$18)),
      TRIM(B3362)=TRIM(Enginuity!$A$17)
    )
  ),
  ROW(),
  ""
)</f>
        <v/>
      </c>
    </row>
    <row r="3363" spans="21:21" x14ac:dyDescent="0.25">
      <c r="U3363" s="104" t="str">
        <f>IF(
  AND(
    TRIM(A3363)=TRIM(Enginuity!$A$1),
    TRIM(B3363)=TRIM(Enginuity!$A$17),
    Q3363&lt;&gt;"",
    Q3363&lt;&gt;0,
    OR(
      TRIM(C3363)=TRIM(Enginuity!$A$18),
      AND(UPPER(TRIM(M3363))="STD", TRIM(B3363)=TRIM(Enginuity!$A$17))
    ),
    OR(
      AND(LEFT(P3363,5)="1-Way", Enginuity!$B$13=1),
      AND(LEFT(P3363,5)="2-Way", OR(Enginuity!$B$13=2, Enginuity!$B$13=4)),
      AND(LEFT(P3363,5)="3-Way", OR(Enginuity!$B$13=3, Enginuity!$B$13=6)),
      AND(P3363="Inner Centre Jamb", OR(Enginuity!$B$13=4, Enginuity!$B$13=6)),
      AND(
        LEFT(P3363,5)&lt;&gt;"1-Way",
        LEFT(P3363,5)&lt;&gt;"2-Way",
        LEFT(P3363,5)&lt;&gt;"3-Way",
        P3363&lt;&gt;"Inner Centre Jamb"
      )
    ),
    IF(OR(Enginuity!$A$1="Frameless Glass",Enginuity!$A$1="Metal Work"),
      AND(TRIM(B3363)=TRIM(Enginuity!$A$17),TRIM(C3363)=TRIM(Enginuity!$A$18)),
      TRIM(B3363)=TRIM(Enginuity!$A$17)
    )
  ),
  ROW(),
  ""
)</f>
        <v/>
      </c>
    </row>
    <row r="3364" spans="21:21" x14ac:dyDescent="0.25">
      <c r="U3364" s="104" t="str">
        <f>IF(
  AND(
    TRIM(A3364)=TRIM(Enginuity!$A$1),
    TRIM(B3364)=TRIM(Enginuity!$A$17),
    Q3364&lt;&gt;"",
    Q3364&lt;&gt;0,
    OR(
      TRIM(C3364)=TRIM(Enginuity!$A$18),
      AND(UPPER(TRIM(M3364))="STD", TRIM(B3364)=TRIM(Enginuity!$A$17))
    ),
    OR(
      AND(LEFT(P3364,5)="1-Way", Enginuity!$B$13=1),
      AND(LEFT(P3364,5)="2-Way", OR(Enginuity!$B$13=2, Enginuity!$B$13=4)),
      AND(LEFT(P3364,5)="3-Way", OR(Enginuity!$B$13=3, Enginuity!$B$13=6)),
      AND(P3364="Inner Centre Jamb", OR(Enginuity!$B$13=4, Enginuity!$B$13=6)),
      AND(
        LEFT(P3364,5)&lt;&gt;"1-Way",
        LEFT(P3364,5)&lt;&gt;"2-Way",
        LEFT(P3364,5)&lt;&gt;"3-Way",
        P3364&lt;&gt;"Inner Centre Jamb"
      )
    ),
    IF(OR(Enginuity!$A$1="Frameless Glass",Enginuity!$A$1="Metal Work"),
      AND(TRIM(B3364)=TRIM(Enginuity!$A$17),TRIM(C3364)=TRIM(Enginuity!$A$18)),
      TRIM(B3364)=TRIM(Enginuity!$A$17)
    )
  ),
  ROW(),
  ""
)</f>
        <v/>
      </c>
    </row>
    <row r="3365" spans="21:21" x14ac:dyDescent="0.25">
      <c r="U3365" s="104" t="str">
        <f>IF(
  AND(
    TRIM(A3365)=TRIM(Enginuity!$A$1),
    TRIM(B3365)=TRIM(Enginuity!$A$17),
    Q3365&lt;&gt;"",
    Q3365&lt;&gt;0,
    OR(
      TRIM(C3365)=TRIM(Enginuity!$A$18),
      AND(UPPER(TRIM(M3365))="STD", TRIM(B3365)=TRIM(Enginuity!$A$17))
    ),
    OR(
      AND(LEFT(P3365,5)="1-Way", Enginuity!$B$13=1),
      AND(LEFT(P3365,5)="2-Way", OR(Enginuity!$B$13=2, Enginuity!$B$13=4)),
      AND(LEFT(P3365,5)="3-Way", OR(Enginuity!$B$13=3, Enginuity!$B$13=6)),
      AND(P3365="Inner Centre Jamb", OR(Enginuity!$B$13=4, Enginuity!$B$13=6)),
      AND(
        LEFT(P3365,5)&lt;&gt;"1-Way",
        LEFT(P3365,5)&lt;&gt;"2-Way",
        LEFT(P3365,5)&lt;&gt;"3-Way",
        P3365&lt;&gt;"Inner Centre Jamb"
      )
    ),
    IF(OR(Enginuity!$A$1="Frameless Glass",Enginuity!$A$1="Metal Work"),
      AND(TRIM(B3365)=TRIM(Enginuity!$A$17),TRIM(C3365)=TRIM(Enginuity!$A$18)),
      TRIM(B3365)=TRIM(Enginuity!$A$17)
    )
  ),
  ROW(),
  ""
)</f>
        <v/>
      </c>
    </row>
    <row r="3366" spans="21:21" x14ac:dyDescent="0.25">
      <c r="U3366" s="104" t="str">
        <f>IF(
  AND(
    TRIM(A3366)=TRIM(Enginuity!$A$1),
    TRIM(B3366)=TRIM(Enginuity!$A$17),
    Q3366&lt;&gt;"",
    Q3366&lt;&gt;0,
    OR(
      TRIM(C3366)=TRIM(Enginuity!$A$18),
      AND(UPPER(TRIM(M3366))="STD", TRIM(B3366)=TRIM(Enginuity!$A$17))
    ),
    OR(
      AND(LEFT(P3366,5)="1-Way", Enginuity!$B$13=1),
      AND(LEFT(P3366,5)="2-Way", OR(Enginuity!$B$13=2, Enginuity!$B$13=4)),
      AND(LEFT(P3366,5)="3-Way", OR(Enginuity!$B$13=3, Enginuity!$B$13=6)),
      AND(P3366="Inner Centre Jamb", OR(Enginuity!$B$13=4, Enginuity!$B$13=6)),
      AND(
        LEFT(P3366,5)&lt;&gt;"1-Way",
        LEFT(P3366,5)&lt;&gt;"2-Way",
        LEFT(P3366,5)&lt;&gt;"3-Way",
        P3366&lt;&gt;"Inner Centre Jamb"
      )
    ),
    IF(OR(Enginuity!$A$1="Frameless Glass",Enginuity!$A$1="Metal Work"),
      AND(TRIM(B3366)=TRIM(Enginuity!$A$17),TRIM(C3366)=TRIM(Enginuity!$A$18)),
      TRIM(B3366)=TRIM(Enginuity!$A$17)
    )
  ),
  ROW(),
  ""
)</f>
        <v/>
      </c>
    </row>
    <row r="3367" spans="21:21" x14ac:dyDescent="0.25">
      <c r="U3367" s="104" t="str">
        <f>IF(
  AND(
    TRIM(A3367)=TRIM(Enginuity!$A$1),
    TRIM(B3367)=TRIM(Enginuity!$A$17),
    Q3367&lt;&gt;"",
    Q3367&lt;&gt;0,
    OR(
      TRIM(C3367)=TRIM(Enginuity!$A$18),
      AND(UPPER(TRIM(M3367))="STD", TRIM(B3367)=TRIM(Enginuity!$A$17))
    ),
    OR(
      AND(LEFT(P3367,5)="1-Way", Enginuity!$B$13=1),
      AND(LEFT(P3367,5)="2-Way", OR(Enginuity!$B$13=2, Enginuity!$B$13=4)),
      AND(LEFT(P3367,5)="3-Way", OR(Enginuity!$B$13=3, Enginuity!$B$13=6)),
      AND(P3367="Inner Centre Jamb", OR(Enginuity!$B$13=4, Enginuity!$B$13=6)),
      AND(
        LEFT(P3367,5)&lt;&gt;"1-Way",
        LEFT(P3367,5)&lt;&gt;"2-Way",
        LEFT(P3367,5)&lt;&gt;"3-Way",
        P3367&lt;&gt;"Inner Centre Jamb"
      )
    ),
    IF(OR(Enginuity!$A$1="Frameless Glass",Enginuity!$A$1="Metal Work"),
      AND(TRIM(B3367)=TRIM(Enginuity!$A$17),TRIM(C3367)=TRIM(Enginuity!$A$18)),
      TRIM(B3367)=TRIM(Enginuity!$A$17)
    )
  ),
  ROW(),
  ""
)</f>
        <v/>
      </c>
    </row>
    <row r="3368" spans="21:21" x14ac:dyDescent="0.25">
      <c r="U3368" s="104" t="str">
        <f>IF(
  AND(
    TRIM(A3368)=TRIM(Enginuity!$A$1),
    TRIM(B3368)=TRIM(Enginuity!$A$17),
    Q3368&lt;&gt;"",
    Q3368&lt;&gt;0,
    OR(
      TRIM(C3368)=TRIM(Enginuity!$A$18),
      AND(UPPER(TRIM(M3368))="STD", TRIM(B3368)=TRIM(Enginuity!$A$17))
    ),
    OR(
      AND(LEFT(P3368,5)="1-Way", Enginuity!$B$13=1),
      AND(LEFT(P3368,5)="2-Way", OR(Enginuity!$B$13=2, Enginuity!$B$13=4)),
      AND(LEFT(P3368,5)="3-Way", OR(Enginuity!$B$13=3, Enginuity!$B$13=6)),
      AND(P3368="Inner Centre Jamb", OR(Enginuity!$B$13=4, Enginuity!$B$13=6)),
      AND(
        LEFT(P3368,5)&lt;&gt;"1-Way",
        LEFT(P3368,5)&lt;&gt;"2-Way",
        LEFT(P3368,5)&lt;&gt;"3-Way",
        P3368&lt;&gt;"Inner Centre Jamb"
      )
    ),
    IF(OR(Enginuity!$A$1="Frameless Glass",Enginuity!$A$1="Metal Work"),
      AND(TRIM(B3368)=TRIM(Enginuity!$A$17),TRIM(C3368)=TRIM(Enginuity!$A$18)),
      TRIM(B3368)=TRIM(Enginuity!$A$17)
    )
  ),
  ROW(),
  ""
)</f>
        <v/>
      </c>
    </row>
    <row r="3369" spans="21:21" x14ac:dyDescent="0.25">
      <c r="U3369" s="104" t="str">
        <f>IF(
  AND(
    TRIM(A3369)=TRIM(Enginuity!$A$1),
    TRIM(B3369)=TRIM(Enginuity!$A$17),
    Q3369&lt;&gt;"",
    Q3369&lt;&gt;0,
    OR(
      TRIM(C3369)=TRIM(Enginuity!$A$18),
      AND(UPPER(TRIM(M3369))="STD", TRIM(B3369)=TRIM(Enginuity!$A$17))
    ),
    OR(
      AND(LEFT(P3369,5)="1-Way", Enginuity!$B$13=1),
      AND(LEFT(P3369,5)="2-Way", OR(Enginuity!$B$13=2, Enginuity!$B$13=4)),
      AND(LEFT(P3369,5)="3-Way", OR(Enginuity!$B$13=3, Enginuity!$B$13=6)),
      AND(P3369="Inner Centre Jamb", OR(Enginuity!$B$13=4, Enginuity!$B$13=6)),
      AND(
        LEFT(P3369,5)&lt;&gt;"1-Way",
        LEFT(P3369,5)&lt;&gt;"2-Way",
        LEFT(P3369,5)&lt;&gt;"3-Way",
        P3369&lt;&gt;"Inner Centre Jamb"
      )
    ),
    IF(OR(Enginuity!$A$1="Frameless Glass",Enginuity!$A$1="Metal Work"),
      AND(TRIM(B3369)=TRIM(Enginuity!$A$17),TRIM(C3369)=TRIM(Enginuity!$A$18)),
      TRIM(B3369)=TRIM(Enginuity!$A$17)
    )
  ),
  ROW(),
  ""
)</f>
        <v/>
      </c>
    </row>
    <row r="3370" spans="21:21" x14ac:dyDescent="0.25">
      <c r="U3370" s="104" t="str">
        <f>IF(
  AND(
    TRIM(A3370)=TRIM(Enginuity!$A$1),
    TRIM(B3370)=TRIM(Enginuity!$A$17),
    Q3370&lt;&gt;"",
    Q3370&lt;&gt;0,
    OR(
      TRIM(C3370)=TRIM(Enginuity!$A$18),
      AND(UPPER(TRIM(M3370))="STD", TRIM(B3370)=TRIM(Enginuity!$A$17))
    ),
    OR(
      AND(LEFT(P3370,5)="1-Way", Enginuity!$B$13=1),
      AND(LEFT(P3370,5)="2-Way", OR(Enginuity!$B$13=2, Enginuity!$B$13=4)),
      AND(LEFT(P3370,5)="3-Way", OR(Enginuity!$B$13=3, Enginuity!$B$13=6)),
      AND(P3370="Inner Centre Jamb", OR(Enginuity!$B$13=4, Enginuity!$B$13=6)),
      AND(
        LEFT(P3370,5)&lt;&gt;"1-Way",
        LEFT(P3370,5)&lt;&gt;"2-Way",
        LEFT(P3370,5)&lt;&gt;"3-Way",
        P3370&lt;&gt;"Inner Centre Jamb"
      )
    ),
    IF(OR(Enginuity!$A$1="Frameless Glass",Enginuity!$A$1="Metal Work"),
      AND(TRIM(B3370)=TRIM(Enginuity!$A$17),TRIM(C3370)=TRIM(Enginuity!$A$18)),
      TRIM(B3370)=TRIM(Enginuity!$A$17)
    )
  ),
  ROW(),
  ""
)</f>
        <v/>
      </c>
    </row>
    <row r="3371" spans="21:21" x14ac:dyDescent="0.25">
      <c r="U3371" s="104" t="str">
        <f>IF(
  AND(
    TRIM(A3371)=TRIM(Enginuity!$A$1),
    TRIM(B3371)=TRIM(Enginuity!$A$17),
    Q3371&lt;&gt;"",
    Q3371&lt;&gt;0,
    OR(
      TRIM(C3371)=TRIM(Enginuity!$A$18),
      AND(UPPER(TRIM(M3371))="STD", TRIM(B3371)=TRIM(Enginuity!$A$17))
    ),
    OR(
      AND(LEFT(P3371,5)="1-Way", Enginuity!$B$13=1),
      AND(LEFT(P3371,5)="2-Way", OR(Enginuity!$B$13=2, Enginuity!$B$13=4)),
      AND(LEFT(P3371,5)="3-Way", OR(Enginuity!$B$13=3, Enginuity!$B$13=6)),
      AND(P3371="Inner Centre Jamb", OR(Enginuity!$B$13=4, Enginuity!$B$13=6)),
      AND(
        LEFT(P3371,5)&lt;&gt;"1-Way",
        LEFT(P3371,5)&lt;&gt;"2-Way",
        LEFT(P3371,5)&lt;&gt;"3-Way",
        P3371&lt;&gt;"Inner Centre Jamb"
      )
    ),
    IF(OR(Enginuity!$A$1="Frameless Glass",Enginuity!$A$1="Metal Work"),
      AND(TRIM(B3371)=TRIM(Enginuity!$A$17),TRIM(C3371)=TRIM(Enginuity!$A$18)),
      TRIM(B3371)=TRIM(Enginuity!$A$17)
    )
  ),
  ROW(),
  ""
)</f>
        <v/>
      </c>
    </row>
    <row r="3372" spans="21:21" x14ac:dyDescent="0.25">
      <c r="U3372" s="104" t="str">
        <f>IF(
  AND(
    TRIM(A3372)=TRIM(Enginuity!$A$1),
    TRIM(B3372)=TRIM(Enginuity!$A$17),
    Q3372&lt;&gt;"",
    Q3372&lt;&gt;0,
    OR(
      TRIM(C3372)=TRIM(Enginuity!$A$18),
      AND(UPPER(TRIM(M3372))="STD", TRIM(B3372)=TRIM(Enginuity!$A$17))
    ),
    OR(
      AND(LEFT(P3372,5)="1-Way", Enginuity!$B$13=1),
      AND(LEFT(P3372,5)="2-Way", OR(Enginuity!$B$13=2, Enginuity!$B$13=4)),
      AND(LEFT(P3372,5)="3-Way", OR(Enginuity!$B$13=3, Enginuity!$B$13=6)),
      AND(P3372="Inner Centre Jamb", OR(Enginuity!$B$13=4, Enginuity!$B$13=6)),
      AND(
        LEFT(P3372,5)&lt;&gt;"1-Way",
        LEFT(P3372,5)&lt;&gt;"2-Way",
        LEFT(P3372,5)&lt;&gt;"3-Way",
        P3372&lt;&gt;"Inner Centre Jamb"
      )
    ),
    IF(OR(Enginuity!$A$1="Frameless Glass",Enginuity!$A$1="Metal Work"),
      AND(TRIM(B3372)=TRIM(Enginuity!$A$17),TRIM(C3372)=TRIM(Enginuity!$A$18)),
      TRIM(B3372)=TRIM(Enginuity!$A$17)
    )
  ),
  ROW(),
  ""
)</f>
        <v/>
      </c>
    </row>
    <row r="3373" spans="21:21" x14ac:dyDescent="0.25">
      <c r="U3373" s="104" t="str">
        <f>IF(
  AND(
    TRIM(A3373)=TRIM(Enginuity!$A$1),
    TRIM(B3373)=TRIM(Enginuity!$A$17),
    Q3373&lt;&gt;"",
    Q3373&lt;&gt;0,
    OR(
      TRIM(C3373)=TRIM(Enginuity!$A$18),
      AND(UPPER(TRIM(M3373))="STD", TRIM(B3373)=TRIM(Enginuity!$A$17))
    ),
    OR(
      AND(LEFT(P3373,5)="1-Way", Enginuity!$B$13=1),
      AND(LEFT(P3373,5)="2-Way", OR(Enginuity!$B$13=2, Enginuity!$B$13=4)),
      AND(LEFT(P3373,5)="3-Way", OR(Enginuity!$B$13=3, Enginuity!$B$13=6)),
      AND(P3373="Inner Centre Jamb", OR(Enginuity!$B$13=4, Enginuity!$B$13=6)),
      AND(
        LEFT(P3373,5)&lt;&gt;"1-Way",
        LEFT(P3373,5)&lt;&gt;"2-Way",
        LEFT(P3373,5)&lt;&gt;"3-Way",
        P3373&lt;&gt;"Inner Centre Jamb"
      )
    ),
    IF(OR(Enginuity!$A$1="Frameless Glass",Enginuity!$A$1="Metal Work"),
      AND(TRIM(B3373)=TRIM(Enginuity!$A$17),TRIM(C3373)=TRIM(Enginuity!$A$18)),
      TRIM(B3373)=TRIM(Enginuity!$A$17)
    )
  ),
  ROW(),
  ""
)</f>
        <v/>
      </c>
    </row>
    <row r="3374" spans="21:21" x14ac:dyDescent="0.25">
      <c r="U3374" s="104" t="str">
        <f>IF(
  AND(
    TRIM(A3374)=TRIM(Enginuity!$A$1),
    TRIM(B3374)=TRIM(Enginuity!$A$17),
    Q3374&lt;&gt;"",
    Q3374&lt;&gt;0,
    OR(
      TRIM(C3374)=TRIM(Enginuity!$A$18),
      AND(UPPER(TRIM(M3374))="STD", TRIM(B3374)=TRIM(Enginuity!$A$17))
    ),
    OR(
      AND(LEFT(P3374,5)="1-Way", Enginuity!$B$13=1),
      AND(LEFT(P3374,5)="2-Way", OR(Enginuity!$B$13=2, Enginuity!$B$13=4)),
      AND(LEFT(P3374,5)="3-Way", OR(Enginuity!$B$13=3, Enginuity!$B$13=6)),
      AND(P3374="Inner Centre Jamb", OR(Enginuity!$B$13=4, Enginuity!$B$13=6)),
      AND(
        LEFT(P3374,5)&lt;&gt;"1-Way",
        LEFT(P3374,5)&lt;&gt;"2-Way",
        LEFT(P3374,5)&lt;&gt;"3-Way",
        P3374&lt;&gt;"Inner Centre Jamb"
      )
    ),
    IF(OR(Enginuity!$A$1="Frameless Glass",Enginuity!$A$1="Metal Work"),
      AND(TRIM(B3374)=TRIM(Enginuity!$A$17),TRIM(C3374)=TRIM(Enginuity!$A$18)),
      TRIM(B3374)=TRIM(Enginuity!$A$17)
    )
  ),
  ROW(),
  ""
)</f>
        <v/>
      </c>
    </row>
    <row r="3375" spans="21:21" x14ac:dyDescent="0.25">
      <c r="U3375" s="104" t="str">
        <f>IF(
  AND(
    TRIM(A3375)=TRIM(Enginuity!$A$1),
    TRIM(B3375)=TRIM(Enginuity!$A$17),
    Q3375&lt;&gt;"",
    Q3375&lt;&gt;0,
    OR(
      TRIM(C3375)=TRIM(Enginuity!$A$18),
      AND(UPPER(TRIM(M3375))="STD", TRIM(B3375)=TRIM(Enginuity!$A$17))
    ),
    OR(
      AND(LEFT(P3375,5)="1-Way", Enginuity!$B$13=1),
      AND(LEFT(P3375,5)="2-Way", OR(Enginuity!$B$13=2, Enginuity!$B$13=4)),
      AND(LEFT(P3375,5)="3-Way", OR(Enginuity!$B$13=3, Enginuity!$B$13=6)),
      AND(P3375="Inner Centre Jamb", OR(Enginuity!$B$13=4, Enginuity!$B$13=6)),
      AND(
        LEFT(P3375,5)&lt;&gt;"1-Way",
        LEFT(P3375,5)&lt;&gt;"2-Way",
        LEFT(P3375,5)&lt;&gt;"3-Way",
        P3375&lt;&gt;"Inner Centre Jamb"
      )
    ),
    IF(OR(Enginuity!$A$1="Frameless Glass",Enginuity!$A$1="Metal Work"),
      AND(TRIM(B3375)=TRIM(Enginuity!$A$17),TRIM(C3375)=TRIM(Enginuity!$A$18)),
      TRIM(B3375)=TRIM(Enginuity!$A$17)
    )
  ),
  ROW(),
  ""
)</f>
        <v/>
      </c>
    </row>
    <row r="3376" spans="21:21" x14ac:dyDescent="0.25">
      <c r="U3376" s="104" t="str">
        <f>IF(
  AND(
    TRIM(A3376)=TRIM(Enginuity!$A$1),
    TRIM(B3376)=TRIM(Enginuity!$A$17),
    Q3376&lt;&gt;"",
    Q3376&lt;&gt;0,
    OR(
      TRIM(C3376)=TRIM(Enginuity!$A$18),
      AND(UPPER(TRIM(M3376))="STD", TRIM(B3376)=TRIM(Enginuity!$A$17))
    ),
    OR(
      AND(LEFT(P3376,5)="1-Way", Enginuity!$B$13=1),
      AND(LEFT(P3376,5)="2-Way", OR(Enginuity!$B$13=2, Enginuity!$B$13=4)),
      AND(LEFT(P3376,5)="3-Way", OR(Enginuity!$B$13=3, Enginuity!$B$13=6)),
      AND(P3376="Inner Centre Jamb", OR(Enginuity!$B$13=4, Enginuity!$B$13=6)),
      AND(
        LEFT(P3376,5)&lt;&gt;"1-Way",
        LEFT(P3376,5)&lt;&gt;"2-Way",
        LEFT(P3376,5)&lt;&gt;"3-Way",
        P3376&lt;&gt;"Inner Centre Jamb"
      )
    ),
    IF(OR(Enginuity!$A$1="Frameless Glass",Enginuity!$A$1="Metal Work"),
      AND(TRIM(B3376)=TRIM(Enginuity!$A$17),TRIM(C3376)=TRIM(Enginuity!$A$18)),
      TRIM(B3376)=TRIM(Enginuity!$A$17)
    )
  ),
  ROW(),
  ""
)</f>
        <v/>
      </c>
    </row>
    <row r="3377" spans="21:21" x14ac:dyDescent="0.25">
      <c r="U3377" s="104" t="str">
        <f>IF(
  AND(
    TRIM(A3377)=TRIM(Enginuity!$A$1),
    TRIM(B3377)=TRIM(Enginuity!$A$17),
    Q3377&lt;&gt;"",
    Q3377&lt;&gt;0,
    OR(
      TRIM(C3377)=TRIM(Enginuity!$A$18),
      AND(UPPER(TRIM(M3377))="STD", TRIM(B3377)=TRIM(Enginuity!$A$17))
    ),
    OR(
      AND(LEFT(P3377,5)="1-Way", Enginuity!$B$13=1),
      AND(LEFT(P3377,5)="2-Way", OR(Enginuity!$B$13=2, Enginuity!$B$13=4)),
      AND(LEFT(P3377,5)="3-Way", OR(Enginuity!$B$13=3, Enginuity!$B$13=6)),
      AND(P3377="Inner Centre Jamb", OR(Enginuity!$B$13=4, Enginuity!$B$13=6)),
      AND(
        LEFT(P3377,5)&lt;&gt;"1-Way",
        LEFT(P3377,5)&lt;&gt;"2-Way",
        LEFT(P3377,5)&lt;&gt;"3-Way",
        P3377&lt;&gt;"Inner Centre Jamb"
      )
    ),
    IF(OR(Enginuity!$A$1="Frameless Glass",Enginuity!$A$1="Metal Work"),
      AND(TRIM(B3377)=TRIM(Enginuity!$A$17),TRIM(C3377)=TRIM(Enginuity!$A$18)),
      TRIM(B3377)=TRIM(Enginuity!$A$17)
    )
  ),
  ROW(),
  ""
)</f>
        <v/>
      </c>
    </row>
    <row r="3378" spans="21:21" x14ac:dyDescent="0.25">
      <c r="U3378" s="104" t="str">
        <f>IF(
  AND(
    TRIM(A3378)=TRIM(Enginuity!$A$1),
    TRIM(B3378)=TRIM(Enginuity!$A$17),
    Q3378&lt;&gt;"",
    Q3378&lt;&gt;0,
    OR(
      TRIM(C3378)=TRIM(Enginuity!$A$18),
      AND(UPPER(TRIM(M3378))="STD", TRIM(B3378)=TRIM(Enginuity!$A$17))
    ),
    OR(
      AND(LEFT(P3378,5)="1-Way", Enginuity!$B$13=1),
      AND(LEFT(P3378,5)="2-Way", OR(Enginuity!$B$13=2, Enginuity!$B$13=4)),
      AND(LEFT(P3378,5)="3-Way", OR(Enginuity!$B$13=3, Enginuity!$B$13=6)),
      AND(P3378="Inner Centre Jamb", OR(Enginuity!$B$13=4, Enginuity!$B$13=6)),
      AND(
        LEFT(P3378,5)&lt;&gt;"1-Way",
        LEFT(P3378,5)&lt;&gt;"2-Way",
        LEFT(P3378,5)&lt;&gt;"3-Way",
        P3378&lt;&gt;"Inner Centre Jamb"
      )
    ),
    IF(OR(Enginuity!$A$1="Frameless Glass",Enginuity!$A$1="Metal Work"),
      AND(TRIM(B3378)=TRIM(Enginuity!$A$17),TRIM(C3378)=TRIM(Enginuity!$A$18)),
      TRIM(B3378)=TRIM(Enginuity!$A$17)
    )
  ),
  ROW(),
  ""
)</f>
        <v/>
      </c>
    </row>
    <row r="3379" spans="21:21" x14ac:dyDescent="0.25">
      <c r="U3379" s="104" t="str">
        <f>IF(
  AND(
    TRIM(A3379)=TRIM(Enginuity!$A$1),
    TRIM(B3379)=TRIM(Enginuity!$A$17),
    Q3379&lt;&gt;"",
    Q3379&lt;&gt;0,
    OR(
      TRIM(C3379)=TRIM(Enginuity!$A$18),
      AND(UPPER(TRIM(M3379))="STD", TRIM(B3379)=TRIM(Enginuity!$A$17))
    ),
    OR(
      AND(LEFT(P3379,5)="1-Way", Enginuity!$B$13=1),
      AND(LEFT(P3379,5)="2-Way", OR(Enginuity!$B$13=2, Enginuity!$B$13=4)),
      AND(LEFT(P3379,5)="3-Way", OR(Enginuity!$B$13=3, Enginuity!$B$13=6)),
      AND(P3379="Inner Centre Jamb", OR(Enginuity!$B$13=4, Enginuity!$B$13=6)),
      AND(
        LEFT(P3379,5)&lt;&gt;"1-Way",
        LEFT(P3379,5)&lt;&gt;"2-Way",
        LEFT(P3379,5)&lt;&gt;"3-Way",
        P3379&lt;&gt;"Inner Centre Jamb"
      )
    ),
    IF(OR(Enginuity!$A$1="Frameless Glass",Enginuity!$A$1="Metal Work"),
      AND(TRIM(B3379)=TRIM(Enginuity!$A$17),TRIM(C3379)=TRIM(Enginuity!$A$18)),
      TRIM(B3379)=TRIM(Enginuity!$A$17)
    )
  ),
  ROW(),
  ""
)</f>
        <v/>
      </c>
    </row>
    <row r="3380" spans="21:21" x14ac:dyDescent="0.25">
      <c r="U3380" s="104" t="str">
        <f>IF(
  AND(
    TRIM(A3380)=TRIM(Enginuity!$A$1),
    TRIM(B3380)=TRIM(Enginuity!$A$17),
    Q3380&lt;&gt;"",
    Q3380&lt;&gt;0,
    OR(
      TRIM(C3380)=TRIM(Enginuity!$A$18),
      AND(UPPER(TRIM(M3380))="STD", TRIM(B3380)=TRIM(Enginuity!$A$17))
    ),
    OR(
      AND(LEFT(P3380,5)="1-Way", Enginuity!$B$13=1),
      AND(LEFT(P3380,5)="2-Way", OR(Enginuity!$B$13=2, Enginuity!$B$13=4)),
      AND(LEFT(P3380,5)="3-Way", OR(Enginuity!$B$13=3, Enginuity!$B$13=6)),
      AND(P3380="Inner Centre Jamb", OR(Enginuity!$B$13=4, Enginuity!$B$13=6)),
      AND(
        LEFT(P3380,5)&lt;&gt;"1-Way",
        LEFT(P3380,5)&lt;&gt;"2-Way",
        LEFT(P3380,5)&lt;&gt;"3-Way",
        P3380&lt;&gt;"Inner Centre Jamb"
      )
    ),
    IF(OR(Enginuity!$A$1="Frameless Glass",Enginuity!$A$1="Metal Work"),
      AND(TRIM(B3380)=TRIM(Enginuity!$A$17),TRIM(C3380)=TRIM(Enginuity!$A$18)),
      TRIM(B3380)=TRIM(Enginuity!$A$17)
    )
  ),
  ROW(),
  ""
)</f>
        <v/>
      </c>
    </row>
    <row r="3381" spans="21:21" x14ac:dyDescent="0.25">
      <c r="U3381" s="104" t="str">
        <f>IF(
  AND(
    TRIM(A3381)=TRIM(Enginuity!$A$1),
    TRIM(B3381)=TRIM(Enginuity!$A$17),
    Q3381&lt;&gt;"",
    Q3381&lt;&gt;0,
    OR(
      TRIM(C3381)=TRIM(Enginuity!$A$18),
      AND(UPPER(TRIM(M3381))="STD", TRIM(B3381)=TRIM(Enginuity!$A$17))
    ),
    OR(
      AND(LEFT(P3381,5)="1-Way", Enginuity!$B$13=1),
      AND(LEFT(P3381,5)="2-Way", OR(Enginuity!$B$13=2, Enginuity!$B$13=4)),
      AND(LEFT(P3381,5)="3-Way", OR(Enginuity!$B$13=3, Enginuity!$B$13=6)),
      AND(P3381="Inner Centre Jamb", OR(Enginuity!$B$13=4, Enginuity!$B$13=6)),
      AND(
        LEFT(P3381,5)&lt;&gt;"1-Way",
        LEFT(P3381,5)&lt;&gt;"2-Way",
        LEFT(P3381,5)&lt;&gt;"3-Way",
        P3381&lt;&gt;"Inner Centre Jamb"
      )
    ),
    IF(OR(Enginuity!$A$1="Frameless Glass",Enginuity!$A$1="Metal Work"),
      AND(TRIM(B3381)=TRIM(Enginuity!$A$17),TRIM(C3381)=TRIM(Enginuity!$A$18)),
      TRIM(B3381)=TRIM(Enginuity!$A$17)
    )
  ),
  ROW(),
  ""
)</f>
        <v/>
      </c>
    </row>
    <row r="3382" spans="21:21" x14ac:dyDescent="0.25">
      <c r="U3382" s="104" t="str">
        <f>IF(
  AND(
    TRIM(A3382)=TRIM(Enginuity!$A$1),
    TRIM(B3382)=TRIM(Enginuity!$A$17),
    Q3382&lt;&gt;"",
    Q3382&lt;&gt;0,
    OR(
      TRIM(C3382)=TRIM(Enginuity!$A$18),
      AND(UPPER(TRIM(M3382))="STD", TRIM(B3382)=TRIM(Enginuity!$A$17))
    ),
    OR(
      AND(LEFT(P3382,5)="1-Way", Enginuity!$B$13=1),
      AND(LEFT(P3382,5)="2-Way", OR(Enginuity!$B$13=2, Enginuity!$B$13=4)),
      AND(LEFT(P3382,5)="3-Way", OR(Enginuity!$B$13=3, Enginuity!$B$13=6)),
      AND(P3382="Inner Centre Jamb", OR(Enginuity!$B$13=4, Enginuity!$B$13=6)),
      AND(
        LEFT(P3382,5)&lt;&gt;"1-Way",
        LEFT(P3382,5)&lt;&gt;"2-Way",
        LEFT(P3382,5)&lt;&gt;"3-Way",
        P3382&lt;&gt;"Inner Centre Jamb"
      )
    ),
    IF(OR(Enginuity!$A$1="Frameless Glass",Enginuity!$A$1="Metal Work"),
      AND(TRIM(B3382)=TRIM(Enginuity!$A$17),TRIM(C3382)=TRIM(Enginuity!$A$18)),
      TRIM(B3382)=TRIM(Enginuity!$A$17)
    )
  ),
  ROW(),
  ""
)</f>
        <v/>
      </c>
    </row>
    <row r="3383" spans="21:21" x14ac:dyDescent="0.25">
      <c r="U3383" s="104" t="str">
        <f>IF(
  AND(
    TRIM(A3383)=TRIM(Enginuity!$A$1),
    TRIM(B3383)=TRIM(Enginuity!$A$17),
    Q3383&lt;&gt;"",
    Q3383&lt;&gt;0,
    OR(
      TRIM(C3383)=TRIM(Enginuity!$A$18),
      AND(UPPER(TRIM(M3383))="STD", TRIM(B3383)=TRIM(Enginuity!$A$17))
    ),
    OR(
      AND(LEFT(P3383,5)="1-Way", Enginuity!$B$13=1),
      AND(LEFT(P3383,5)="2-Way", OR(Enginuity!$B$13=2, Enginuity!$B$13=4)),
      AND(LEFT(P3383,5)="3-Way", OR(Enginuity!$B$13=3, Enginuity!$B$13=6)),
      AND(P3383="Inner Centre Jamb", OR(Enginuity!$B$13=4, Enginuity!$B$13=6)),
      AND(
        LEFT(P3383,5)&lt;&gt;"1-Way",
        LEFT(P3383,5)&lt;&gt;"2-Way",
        LEFT(P3383,5)&lt;&gt;"3-Way",
        P3383&lt;&gt;"Inner Centre Jamb"
      )
    ),
    IF(OR(Enginuity!$A$1="Frameless Glass",Enginuity!$A$1="Metal Work"),
      AND(TRIM(B3383)=TRIM(Enginuity!$A$17),TRIM(C3383)=TRIM(Enginuity!$A$18)),
      TRIM(B3383)=TRIM(Enginuity!$A$17)
    )
  ),
  ROW(),
  ""
)</f>
        <v/>
      </c>
    </row>
    <row r="3384" spans="21:21" x14ac:dyDescent="0.25">
      <c r="U3384" s="104" t="str">
        <f>IF(
  AND(
    TRIM(A3384)=TRIM(Enginuity!$A$1),
    TRIM(B3384)=TRIM(Enginuity!$A$17),
    Q3384&lt;&gt;"",
    Q3384&lt;&gt;0,
    OR(
      TRIM(C3384)=TRIM(Enginuity!$A$18),
      AND(UPPER(TRIM(M3384))="STD", TRIM(B3384)=TRIM(Enginuity!$A$17))
    ),
    OR(
      AND(LEFT(P3384,5)="1-Way", Enginuity!$B$13=1),
      AND(LEFT(P3384,5)="2-Way", OR(Enginuity!$B$13=2, Enginuity!$B$13=4)),
      AND(LEFT(P3384,5)="3-Way", OR(Enginuity!$B$13=3, Enginuity!$B$13=6)),
      AND(P3384="Inner Centre Jamb", OR(Enginuity!$B$13=4, Enginuity!$B$13=6)),
      AND(
        LEFT(P3384,5)&lt;&gt;"1-Way",
        LEFT(P3384,5)&lt;&gt;"2-Way",
        LEFT(P3384,5)&lt;&gt;"3-Way",
        P3384&lt;&gt;"Inner Centre Jamb"
      )
    ),
    IF(OR(Enginuity!$A$1="Frameless Glass",Enginuity!$A$1="Metal Work"),
      AND(TRIM(B3384)=TRIM(Enginuity!$A$17),TRIM(C3384)=TRIM(Enginuity!$A$18)),
      TRIM(B3384)=TRIM(Enginuity!$A$17)
    )
  ),
  ROW(),
  ""
)</f>
        <v/>
      </c>
    </row>
    <row r="3385" spans="21:21" x14ac:dyDescent="0.25">
      <c r="U3385" s="104" t="str">
        <f>IF(
  AND(
    TRIM(A3385)=TRIM(Enginuity!$A$1),
    TRIM(B3385)=TRIM(Enginuity!$A$17),
    Q3385&lt;&gt;"",
    Q3385&lt;&gt;0,
    OR(
      TRIM(C3385)=TRIM(Enginuity!$A$18),
      AND(UPPER(TRIM(M3385))="STD", TRIM(B3385)=TRIM(Enginuity!$A$17))
    ),
    OR(
      AND(LEFT(P3385,5)="1-Way", Enginuity!$B$13=1),
      AND(LEFT(P3385,5)="2-Way", OR(Enginuity!$B$13=2, Enginuity!$B$13=4)),
      AND(LEFT(P3385,5)="3-Way", OR(Enginuity!$B$13=3, Enginuity!$B$13=6)),
      AND(P3385="Inner Centre Jamb", OR(Enginuity!$B$13=4, Enginuity!$B$13=6)),
      AND(
        LEFT(P3385,5)&lt;&gt;"1-Way",
        LEFT(P3385,5)&lt;&gt;"2-Way",
        LEFT(P3385,5)&lt;&gt;"3-Way",
        P3385&lt;&gt;"Inner Centre Jamb"
      )
    ),
    IF(OR(Enginuity!$A$1="Frameless Glass",Enginuity!$A$1="Metal Work"),
      AND(TRIM(B3385)=TRIM(Enginuity!$A$17),TRIM(C3385)=TRIM(Enginuity!$A$18)),
      TRIM(B3385)=TRIM(Enginuity!$A$17)
    )
  ),
  ROW(),
  ""
)</f>
        <v/>
      </c>
    </row>
    <row r="3386" spans="21:21" x14ac:dyDescent="0.25">
      <c r="U3386" s="104" t="str">
        <f>IF(
  AND(
    TRIM(A3386)=TRIM(Enginuity!$A$1),
    TRIM(B3386)=TRIM(Enginuity!$A$17),
    Q3386&lt;&gt;"",
    Q3386&lt;&gt;0,
    OR(
      TRIM(C3386)=TRIM(Enginuity!$A$18),
      AND(UPPER(TRIM(M3386))="STD", TRIM(B3386)=TRIM(Enginuity!$A$17))
    ),
    OR(
      AND(LEFT(P3386,5)="1-Way", Enginuity!$B$13=1),
      AND(LEFT(P3386,5)="2-Way", OR(Enginuity!$B$13=2, Enginuity!$B$13=4)),
      AND(LEFT(P3386,5)="3-Way", OR(Enginuity!$B$13=3, Enginuity!$B$13=6)),
      AND(P3386="Inner Centre Jamb", OR(Enginuity!$B$13=4, Enginuity!$B$13=6)),
      AND(
        LEFT(P3386,5)&lt;&gt;"1-Way",
        LEFT(P3386,5)&lt;&gt;"2-Way",
        LEFT(P3386,5)&lt;&gt;"3-Way",
        P3386&lt;&gt;"Inner Centre Jamb"
      )
    ),
    IF(OR(Enginuity!$A$1="Frameless Glass",Enginuity!$A$1="Metal Work"),
      AND(TRIM(B3386)=TRIM(Enginuity!$A$17),TRIM(C3386)=TRIM(Enginuity!$A$18)),
      TRIM(B3386)=TRIM(Enginuity!$A$17)
    )
  ),
  ROW(),
  ""
)</f>
        <v/>
      </c>
    </row>
    <row r="3387" spans="21:21" x14ac:dyDescent="0.25">
      <c r="U3387" s="104" t="str">
        <f>IF(
  AND(
    TRIM(A3387)=TRIM(Enginuity!$A$1),
    TRIM(B3387)=TRIM(Enginuity!$A$17),
    Q3387&lt;&gt;"",
    Q3387&lt;&gt;0,
    OR(
      TRIM(C3387)=TRIM(Enginuity!$A$18),
      AND(UPPER(TRIM(M3387))="STD", TRIM(B3387)=TRIM(Enginuity!$A$17))
    ),
    OR(
      AND(LEFT(P3387,5)="1-Way", Enginuity!$B$13=1),
      AND(LEFT(P3387,5)="2-Way", OR(Enginuity!$B$13=2, Enginuity!$B$13=4)),
      AND(LEFT(P3387,5)="3-Way", OR(Enginuity!$B$13=3, Enginuity!$B$13=6)),
      AND(P3387="Inner Centre Jamb", OR(Enginuity!$B$13=4, Enginuity!$B$13=6)),
      AND(
        LEFT(P3387,5)&lt;&gt;"1-Way",
        LEFT(P3387,5)&lt;&gt;"2-Way",
        LEFT(P3387,5)&lt;&gt;"3-Way",
        P3387&lt;&gt;"Inner Centre Jamb"
      )
    ),
    IF(OR(Enginuity!$A$1="Frameless Glass",Enginuity!$A$1="Metal Work"),
      AND(TRIM(B3387)=TRIM(Enginuity!$A$17),TRIM(C3387)=TRIM(Enginuity!$A$18)),
      TRIM(B3387)=TRIM(Enginuity!$A$17)
    )
  ),
  ROW(),
  ""
)</f>
        <v/>
      </c>
    </row>
    <row r="3388" spans="21:21" x14ac:dyDescent="0.25">
      <c r="U3388" s="104" t="str">
        <f>IF(
  AND(
    TRIM(A3388)=TRIM(Enginuity!$A$1),
    TRIM(B3388)=TRIM(Enginuity!$A$17),
    Q3388&lt;&gt;"",
    Q3388&lt;&gt;0,
    OR(
      TRIM(C3388)=TRIM(Enginuity!$A$18),
      AND(UPPER(TRIM(M3388))="STD", TRIM(B3388)=TRIM(Enginuity!$A$17))
    ),
    OR(
      AND(LEFT(P3388,5)="1-Way", Enginuity!$B$13=1),
      AND(LEFT(P3388,5)="2-Way", OR(Enginuity!$B$13=2, Enginuity!$B$13=4)),
      AND(LEFT(P3388,5)="3-Way", OR(Enginuity!$B$13=3, Enginuity!$B$13=6)),
      AND(P3388="Inner Centre Jamb", OR(Enginuity!$B$13=4, Enginuity!$B$13=6)),
      AND(
        LEFT(P3388,5)&lt;&gt;"1-Way",
        LEFT(P3388,5)&lt;&gt;"2-Way",
        LEFT(P3388,5)&lt;&gt;"3-Way",
        P3388&lt;&gt;"Inner Centre Jamb"
      )
    ),
    IF(OR(Enginuity!$A$1="Frameless Glass",Enginuity!$A$1="Metal Work"),
      AND(TRIM(B3388)=TRIM(Enginuity!$A$17),TRIM(C3388)=TRIM(Enginuity!$A$18)),
      TRIM(B3388)=TRIM(Enginuity!$A$17)
    )
  ),
  ROW(),
  ""
)</f>
        <v/>
      </c>
    </row>
    <row r="3389" spans="21:21" x14ac:dyDescent="0.25">
      <c r="U3389" s="104" t="str">
        <f>IF(
  AND(
    TRIM(A3389)=TRIM(Enginuity!$A$1),
    TRIM(B3389)=TRIM(Enginuity!$A$17),
    Q3389&lt;&gt;"",
    Q3389&lt;&gt;0,
    OR(
      TRIM(C3389)=TRIM(Enginuity!$A$18),
      AND(UPPER(TRIM(M3389))="STD", TRIM(B3389)=TRIM(Enginuity!$A$17))
    ),
    OR(
      AND(LEFT(P3389,5)="1-Way", Enginuity!$B$13=1),
      AND(LEFT(P3389,5)="2-Way", OR(Enginuity!$B$13=2, Enginuity!$B$13=4)),
      AND(LEFT(P3389,5)="3-Way", OR(Enginuity!$B$13=3, Enginuity!$B$13=6)),
      AND(P3389="Inner Centre Jamb", OR(Enginuity!$B$13=4, Enginuity!$B$13=6)),
      AND(
        LEFT(P3389,5)&lt;&gt;"1-Way",
        LEFT(P3389,5)&lt;&gt;"2-Way",
        LEFT(P3389,5)&lt;&gt;"3-Way",
        P3389&lt;&gt;"Inner Centre Jamb"
      )
    ),
    IF(OR(Enginuity!$A$1="Frameless Glass",Enginuity!$A$1="Metal Work"),
      AND(TRIM(B3389)=TRIM(Enginuity!$A$17),TRIM(C3389)=TRIM(Enginuity!$A$18)),
      TRIM(B3389)=TRIM(Enginuity!$A$17)
    )
  ),
  ROW(),
  ""
)</f>
        <v/>
      </c>
    </row>
    <row r="3390" spans="21:21" x14ac:dyDescent="0.25">
      <c r="U3390" s="104" t="str">
        <f>IF(
  AND(
    TRIM(A3390)=TRIM(Enginuity!$A$1),
    TRIM(B3390)=TRIM(Enginuity!$A$17),
    Q3390&lt;&gt;"",
    Q3390&lt;&gt;0,
    OR(
      TRIM(C3390)=TRIM(Enginuity!$A$18),
      AND(UPPER(TRIM(M3390))="STD", TRIM(B3390)=TRIM(Enginuity!$A$17))
    ),
    OR(
      AND(LEFT(P3390,5)="1-Way", Enginuity!$B$13=1),
      AND(LEFT(P3390,5)="2-Way", OR(Enginuity!$B$13=2, Enginuity!$B$13=4)),
      AND(LEFT(P3390,5)="3-Way", OR(Enginuity!$B$13=3, Enginuity!$B$13=6)),
      AND(P3390="Inner Centre Jamb", OR(Enginuity!$B$13=4, Enginuity!$B$13=6)),
      AND(
        LEFT(P3390,5)&lt;&gt;"1-Way",
        LEFT(P3390,5)&lt;&gt;"2-Way",
        LEFT(P3390,5)&lt;&gt;"3-Way",
        P3390&lt;&gt;"Inner Centre Jamb"
      )
    ),
    IF(OR(Enginuity!$A$1="Frameless Glass",Enginuity!$A$1="Metal Work"),
      AND(TRIM(B3390)=TRIM(Enginuity!$A$17),TRIM(C3390)=TRIM(Enginuity!$A$18)),
      TRIM(B3390)=TRIM(Enginuity!$A$17)
    )
  ),
  ROW(),
  ""
)</f>
        <v/>
      </c>
    </row>
    <row r="3391" spans="21:21" x14ac:dyDescent="0.25">
      <c r="U3391" s="104" t="str">
        <f>IF(
  AND(
    TRIM(A3391)=TRIM(Enginuity!$A$1),
    TRIM(B3391)=TRIM(Enginuity!$A$17),
    Q3391&lt;&gt;"",
    Q3391&lt;&gt;0,
    OR(
      TRIM(C3391)=TRIM(Enginuity!$A$18),
      AND(UPPER(TRIM(M3391))="STD", TRIM(B3391)=TRIM(Enginuity!$A$17))
    ),
    OR(
      AND(LEFT(P3391,5)="1-Way", Enginuity!$B$13=1),
      AND(LEFT(P3391,5)="2-Way", OR(Enginuity!$B$13=2, Enginuity!$B$13=4)),
      AND(LEFT(P3391,5)="3-Way", OR(Enginuity!$B$13=3, Enginuity!$B$13=6)),
      AND(P3391="Inner Centre Jamb", OR(Enginuity!$B$13=4, Enginuity!$B$13=6)),
      AND(
        LEFT(P3391,5)&lt;&gt;"1-Way",
        LEFT(P3391,5)&lt;&gt;"2-Way",
        LEFT(P3391,5)&lt;&gt;"3-Way",
        P3391&lt;&gt;"Inner Centre Jamb"
      )
    ),
    IF(OR(Enginuity!$A$1="Frameless Glass",Enginuity!$A$1="Metal Work"),
      AND(TRIM(B3391)=TRIM(Enginuity!$A$17),TRIM(C3391)=TRIM(Enginuity!$A$18)),
      TRIM(B3391)=TRIM(Enginuity!$A$17)
    )
  ),
  ROW(),
  ""
)</f>
        <v/>
      </c>
    </row>
    <row r="3392" spans="21:21" x14ac:dyDescent="0.25">
      <c r="U3392" s="104" t="str">
        <f>IF(
  AND(
    TRIM(A3392)=TRIM(Enginuity!$A$1),
    TRIM(B3392)=TRIM(Enginuity!$A$17),
    Q3392&lt;&gt;"",
    Q3392&lt;&gt;0,
    OR(
      TRIM(C3392)=TRIM(Enginuity!$A$18),
      AND(UPPER(TRIM(M3392))="STD", TRIM(B3392)=TRIM(Enginuity!$A$17))
    ),
    OR(
      AND(LEFT(P3392,5)="1-Way", Enginuity!$B$13=1),
      AND(LEFT(P3392,5)="2-Way", OR(Enginuity!$B$13=2, Enginuity!$B$13=4)),
      AND(LEFT(P3392,5)="3-Way", OR(Enginuity!$B$13=3, Enginuity!$B$13=6)),
      AND(P3392="Inner Centre Jamb", OR(Enginuity!$B$13=4, Enginuity!$B$13=6)),
      AND(
        LEFT(P3392,5)&lt;&gt;"1-Way",
        LEFT(P3392,5)&lt;&gt;"2-Way",
        LEFT(P3392,5)&lt;&gt;"3-Way",
        P3392&lt;&gt;"Inner Centre Jamb"
      )
    ),
    IF(OR(Enginuity!$A$1="Frameless Glass",Enginuity!$A$1="Metal Work"),
      AND(TRIM(B3392)=TRIM(Enginuity!$A$17),TRIM(C3392)=TRIM(Enginuity!$A$18)),
      TRIM(B3392)=TRIM(Enginuity!$A$17)
    )
  ),
  ROW(),
  ""
)</f>
        <v/>
      </c>
    </row>
    <row r="3393" spans="21:21" x14ac:dyDescent="0.25">
      <c r="U3393" s="104" t="str">
        <f>IF(
  AND(
    TRIM(A3393)=TRIM(Enginuity!$A$1),
    TRIM(B3393)=TRIM(Enginuity!$A$17),
    Q3393&lt;&gt;"",
    Q3393&lt;&gt;0,
    OR(
      TRIM(C3393)=TRIM(Enginuity!$A$18),
      AND(UPPER(TRIM(M3393))="STD", TRIM(B3393)=TRIM(Enginuity!$A$17))
    ),
    OR(
      AND(LEFT(P3393,5)="1-Way", Enginuity!$B$13=1),
      AND(LEFT(P3393,5)="2-Way", OR(Enginuity!$B$13=2, Enginuity!$B$13=4)),
      AND(LEFT(P3393,5)="3-Way", OR(Enginuity!$B$13=3, Enginuity!$B$13=6)),
      AND(P3393="Inner Centre Jamb", OR(Enginuity!$B$13=4, Enginuity!$B$13=6)),
      AND(
        LEFT(P3393,5)&lt;&gt;"1-Way",
        LEFT(P3393,5)&lt;&gt;"2-Way",
        LEFT(P3393,5)&lt;&gt;"3-Way",
        P3393&lt;&gt;"Inner Centre Jamb"
      )
    ),
    IF(OR(Enginuity!$A$1="Frameless Glass",Enginuity!$A$1="Metal Work"),
      AND(TRIM(B3393)=TRIM(Enginuity!$A$17),TRIM(C3393)=TRIM(Enginuity!$A$18)),
      TRIM(B3393)=TRIM(Enginuity!$A$17)
    )
  ),
  ROW(),
  ""
)</f>
        <v/>
      </c>
    </row>
    <row r="3394" spans="21:21" x14ac:dyDescent="0.25">
      <c r="U3394" s="104" t="str">
        <f>IF(
  AND(
    TRIM(A3394)=TRIM(Enginuity!$A$1),
    TRIM(B3394)=TRIM(Enginuity!$A$17),
    Q3394&lt;&gt;"",
    Q3394&lt;&gt;0,
    OR(
      TRIM(C3394)=TRIM(Enginuity!$A$18),
      AND(UPPER(TRIM(M3394))="STD", TRIM(B3394)=TRIM(Enginuity!$A$17))
    ),
    OR(
      AND(LEFT(P3394,5)="1-Way", Enginuity!$B$13=1),
      AND(LEFT(P3394,5)="2-Way", OR(Enginuity!$B$13=2, Enginuity!$B$13=4)),
      AND(LEFT(P3394,5)="3-Way", OR(Enginuity!$B$13=3, Enginuity!$B$13=6)),
      AND(P3394="Inner Centre Jamb", OR(Enginuity!$B$13=4, Enginuity!$B$13=6)),
      AND(
        LEFT(P3394,5)&lt;&gt;"1-Way",
        LEFT(P3394,5)&lt;&gt;"2-Way",
        LEFT(P3394,5)&lt;&gt;"3-Way",
        P3394&lt;&gt;"Inner Centre Jamb"
      )
    ),
    IF(OR(Enginuity!$A$1="Frameless Glass",Enginuity!$A$1="Metal Work"),
      AND(TRIM(B3394)=TRIM(Enginuity!$A$17),TRIM(C3394)=TRIM(Enginuity!$A$18)),
      TRIM(B3394)=TRIM(Enginuity!$A$17)
    )
  ),
  ROW(),
  ""
)</f>
        <v/>
      </c>
    </row>
    <row r="3395" spans="21:21" x14ac:dyDescent="0.25">
      <c r="U3395" s="104" t="str">
        <f>IF(
  AND(
    TRIM(A3395)=TRIM(Enginuity!$A$1),
    TRIM(B3395)=TRIM(Enginuity!$A$17),
    Q3395&lt;&gt;"",
    Q3395&lt;&gt;0,
    OR(
      TRIM(C3395)=TRIM(Enginuity!$A$18),
      AND(UPPER(TRIM(M3395))="STD", TRIM(B3395)=TRIM(Enginuity!$A$17))
    ),
    OR(
      AND(LEFT(P3395,5)="1-Way", Enginuity!$B$13=1),
      AND(LEFT(P3395,5)="2-Way", OR(Enginuity!$B$13=2, Enginuity!$B$13=4)),
      AND(LEFT(P3395,5)="3-Way", OR(Enginuity!$B$13=3, Enginuity!$B$13=6)),
      AND(P3395="Inner Centre Jamb", OR(Enginuity!$B$13=4, Enginuity!$B$13=6)),
      AND(
        LEFT(P3395,5)&lt;&gt;"1-Way",
        LEFT(P3395,5)&lt;&gt;"2-Way",
        LEFT(P3395,5)&lt;&gt;"3-Way",
        P3395&lt;&gt;"Inner Centre Jamb"
      )
    ),
    IF(OR(Enginuity!$A$1="Frameless Glass",Enginuity!$A$1="Metal Work"),
      AND(TRIM(B3395)=TRIM(Enginuity!$A$17),TRIM(C3395)=TRIM(Enginuity!$A$18)),
      TRIM(B3395)=TRIM(Enginuity!$A$17)
    )
  ),
  ROW(),
  ""
)</f>
        <v/>
      </c>
    </row>
    <row r="3396" spans="21:21" x14ac:dyDescent="0.25">
      <c r="U3396" s="104" t="str">
        <f>IF(
  AND(
    TRIM(A3396)=TRIM(Enginuity!$A$1),
    TRIM(B3396)=TRIM(Enginuity!$A$17),
    Q3396&lt;&gt;"",
    Q3396&lt;&gt;0,
    OR(
      TRIM(C3396)=TRIM(Enginuity!$A$18),
      AND(UPPER(TRIM(M3396))="STD", TRIM(B3396)=TRIM(Enginuity!$A$17))
    ),
    OR(
      AND(LEFT(P3396,5)="1-Way", Enginuity!$B$13=1),
      AND(LEFT(P3396,5)="2-Way", OR(Enginuity!$B$13=2, Enginuity!$B$13=4)),
      AND(LEFT(P3396,5)="3-Way", OR(Enginuity!$B$13=3, Enginuity!$B$13=6)),
      AND(P3396="Inner Centre Jamb", OR(Enginuity!$B$13=4, Enginuity!$B$13=6)),
      AND(
        LEFT(P3396,5)&lt;&gt;"1-Way",
        LEFT(P3396,5)&lt;&gt;"2-Way",
        LEFT(P3396,5)&lt;&gt;"3-Way",
        P3396&lt;&gt;"Inner Centre Jamb"
      )
    ),
    IF(OR(Enginuity!$A$1="Frameless Glass",Enginuity!$A$1="Metal Work"),
      AND(TRIM(B3396)=TRIM(Enginuity!$A$17),TRIM(C3396)=TRIM(Enginuity!$A$18)),
      TRIM(B3396)=TRIM(Enginuity!$A$17)
    )
  ),
  ROW(),
  ""
)</f>
        <v/>
      </c>
    </row>
    <row r="3397" spans="21:21" x14ac:dyDescent="0.25">
      <c r="U3397" s="104" t="str">
        <f>IF(
  AND(
    TRIM(A3397)=TRIM(Enginuity!$A$1),
    TRIM(B3397)=TRIM(Enginuity!$A$17),
    Q3397&lt;&gt;"",
    Q3397&lt;&gt;0,
    OR(
      TRIM(C3397)=TRIM(Enginuity!$A$18),
      AND(UPPER(TRIM(M3397))="STD", TRIM(B3397)=TRIM(Enginuity!$A$17))
    ),
    OR(
      AND(LEFT(P3397,5)="1-Way", Enginuity!$B$13=1),
      AND(LEFT(P3397,5)="2-Way", OR(Enginuity!$B$13=2, Enginuity!$B$13=4)),
      AND(LEFT(P3397,5)="3-Way", OR(Enginuity!$B$13=3, Enginuity!$B$13=6)),
      AND(P3397="Inner Centre Jamb", OR(Enginuity!$B$13=4, Enginuity!$B$13=6)),
      AND(
        LEFT(P3397,5)&lt;&gt;"1-Way",
        LEFT(P3397,5)&lt;&gt;"2-Way",
        LEFT(P3397,5)&lt;&gt;"3-Way",
        P3397&lt;&gt;"Inner Centre Jamb"
      )
    ),
    IF(OR(Enginuity!$A$1="Frameless Glass",Enginuity!$A$1="Metal Work"),
      AND(TRIM(B3397)=TRIM(Enginuity!$A$17),TRIM(C3397)=TRIM(Enginuity!$A$18)),
      TRIM(B3397)=TRIM(Enginuity!$A$17)
    )
  ),
  ROW(),
  ""
)</f>
        <v/>
      </c>
    </row>
    <row r="3398" spans="21:21" x14ac:dyDescent="0.25">
      <c r="U3398" s="104" t="str">
        <f>IF(
  AND(
    TRIM(A3398)=TRIM(Enginuity!$A$1),
    TRIM(B3398)=TRIM(Enginuity!$A$17),
    Q3398&lt;&gt;"",
    Q3398&lt;&gt;0,
    OR(
      TRIM(C3398)=TRIM(Enginuity!$A$18),
      AND(UPPER(TRIM(M3398))="STD", TRIM(B3398)=TRIM(Enginuity!$A$17))
    ),
    OR(
      AND(LEFT(P3398,5)="1-Way", Enginuity!$B$13=1),
      AND(LEFT(P3398,5)="2-Way", OR(Enginuity!$B$13=2, Enginuity!$B$13=4)),
      AND(LEFT(P3398,5)="3-Way", OR(Enginuity!$B$13=3, Enginuity!$B$13=6)),
      AND(P3398="Inner Centre Jamb", OR(Enginuity!$B$13=4, Enginuity!$B$13=6)),
      AND(
        LEFT(P3398,5)&lt;&gt;"1-Way",
        LEFT(P3398,5)&lt;&gt;"2-Way",
        LEFT(P3398,5)&lt;&gt;"3-Way",
        P3398&lt;&gt;"Inner Centre Jamb"
      )
    ),
    IF(OR(Enginuity!$A$1="Frameless Glass",Enginuity!$A$1="Metal Work"),
      AND(TRIM(B3398)=TRIM(Enginuity!$A$17),TRIM(C3398)=TRIM(Enginuity!$A$18)),
      TRIM(B3398)=TRIM(Enginuity!$A$17)
    )
  ),
  ROW(),
  ""
)</f>
        <v/>
      </c>
    </row>
    <row r="3399" spans="21:21" x14ac:dyDescent="0.25">
      <c r="U3399" s="104" t="str">
        <f>IF(
  AND(
    TRIM(A3399)=TRIM(Enginuity!$A$1),
    TRIM(B3399)=TRIM(Enginuity!$A$17),
    Q3399&lt;&gt;"",
    Q3399&lt;&gt;0,
    OR(
      TRIM(C3399)=TRIM(Enginuity!$A$18),
      AND(UPPER(TRIM(M3399))="STD", TRIM(B3399)=TRIM(Enginuity!$A$17))
    ),
    OR(
      AND(LEFT(P3399,5)="1-Way", Enginuity!$B$13=1),
      AND(LEFT(P3399,5)="2-Way", OR(Enginuity!$B$13=2, Enginuity!$B$13=4)),
      AND(LEFT(P3399,5)="3-Way", OR(Enginuity!$B$13=3, Enginuity!$B$13=6)),
      AND(P3399="Inner Centre Jamb", OR(Enginuity!$B$13=4, Enginuity!$B$13=6)),
      AND(
        LEFT(P3399,5)&lt;&gt;"1-Way",
        LEFT(P3399,5)&lt;&gt;"2-Way",
        LEFT(P3399,5)&lt;&gt;"3-Way",
        P3399&lt;&gt;"Inner Centre Jamb"
      )
    ),
    IF(OR(Enginuity!$A$1="Frameless Glass",Enginuity!$A$1="Metal Work"),
      AND(TRIM(B3399)=TRIM(Enginuity!$A$17),TRIM(C3399)=TRIM(Enginuity!$A$18)),
      TRIM(B3399)=TRIM(Enginuity!$A$17)
    )
  ),
  ROW(),
  ""
)</f>
        <v/>
      </c>
    </row>
    <row r="3400" spans="21:21" x14ac:dyDescent="0.25">
      <c r="U3400" s="104" t="str">
        <f>IF(
  AND(
    TRIM(A3400)=TRIM(Enginuity!$A$1),
    TRIM(B3400)=TRIM(Enginuity!$A$17),
    Q3400&lt;&gt;"",
    Q3400&lt;&gt;0,
    OR(
      TRIM(C3400)=TRIM(Enginuity!$A$18),
      AND(UPPER(TRIM(M3400))="STD", TRIM(B3400)=TRIM(Enginuity!$A$17))
    ),
    OR(
      AND(LEFT(P3400,5)="1-Way", Enginuity!$B$13=1),
      AND(LEFT(P3400,5)="2-Way", OR(Enginuity!$B$13=2, Enginuity!$B$13=4)),
      AND(LEFT(P3400,5)="3-Way", OR(Enginuity!$B$13=3, Enginuity!$B$13=6)),
      AND(P3400="Inner Centre Jamb", OR(Enginuity!$B$13=4, Enginuity!$B$13=6)),
      AND(
        LEFT(P3400,5)&lt;&gt;"1-Way",
        LEFT(P3400,5)&lt;&gt;"2-Way",
        LEFT(P3400,5)&lt;&gt;"3-Way",
        P3400&lt;&gt;"Inner Centre Jamb"
      )
    ),
    IF(OR(Enginuity!$A$1="Frameless Glass",Enginuity!$A$1="Metal Work"),
      AND(TRIM(B3400)=TRIM(Enginuity!$A$17),TRIM(C3400)=TRIM(Enginuity!$A$18)),
      TRIM(B3400)=TRIM(Enginuity!$A$17)
    )
  ),
  ROW(),
  ""
)</f>
        <v/>
      </c>
    </row>
    <row r="3401" spans="21:21" x14ac:dyDescent="0.25">
      <c r="U3401" s="104" t="str">
        <f>IF(
  AND(
    TRIM(A3401)=TRIM(Enginuity!$A$1),
    TRIM(B3401)=TRIM(Enginuity!$A$17),
    Q3401&lt;&gt;"",
    Q3401&lt;&gt;0,
    OR(
      TRIM(C3401)=TRIM(Enginuity!$A$18),
      AND(UPPER(TRIM(M3401))="STD", TRIM(B3401)=TRIM(Enginuity!$A$17))
    ),
    OR(
      AND(LEFT(P3401,5)="1-Way", Enginuity!$B$13=1),
      AND(LEFT(P3401,5)="2-Way", OR(Enginuity!$B$13=2, Enginuity!$B$13=4)),
      AND(LEFT(P3401,5)="3-Way", OR(Enginuity!$B$13=3, Enginuity!$B$13=6)),
      AND(P3401="Inner Centre Jamb", OR(Enginuity!$B$13=4, Enginuity!$B$13=6)),
      AND(
        LEFT(P3401,5)&lt;&gt;"1-Way",
        LEFT(P3401,5)&lt;&gt;"2-Way",
        LEFT(P3401,5)&lt;&gt;"3-Way",
        P3401&lt;&gt;"Inner Centre Jamb"
      )
    ),
    IF(OR(Enginuity!$A$1="Frameless Glass",Enginuity!$A$1="Metal Work"),
      AND(TRIM(B3401)=TRIM(Enginuity!$A$17),TRIM(C3401)=TRIM(Enginuity!$A$18)),
      TRIM(B3401)=TRIM(Enginuity!$A$17)
    )
  ),
  ROW(),
  ""
)</f>
        <v/>
      </c>
    </row>
    <row r="3402" spans="21:21" x14ac:dyDescent="0.25">
      <c r="U3402" s="104" t="str">
        <f>IF(
  AND(
    TRIM(A3402)=TRIM(Enginuity!$A$1),
    TRIM(B3402)=TRIM(Enginuity!$A$17),
    Q3402&lt;&gt;"",
    Q3402&lt;&gt;0,
    OR(
      TRIM(C3402)=TRIM(Enginuity!$A$18),
      AND(UPPER(TRIM(M3402))="STD", TRIM(B3402)=TRIM(Enginuity!$A$17))
    ),
    OR(
      AND(LEFT(P3402,5)="1-Way", Enginuity!$B$13=1),
      AND(LEFT(P3402,5)="2-Way", OR(Enginuity!$B$13=2, Enginuity!$B$13=4)),
      AND(LEFT(P3402,5)="3-Way", OR(Enginuity!$B$13=3, Enginuity!$B$13=6)),
      AND(P3402="Inner Centre Jamb", OR(Enginuity!$B$13=4, Enginuity!$B$13=6)),
      AND(
        LEFT(P3402,5)&lt;&gt;"1-Way",
        LEFT(P3402,5)&lt;&gt;"2-Way",
        LEFT(P3402,5)&lt;&gt;"3-Way",
        P3402&lt;&gt;"Inner Centre Jamb"
      )
    ),
    IF(OR(Enginuity!$A$1="Frameless Glass",Enginuity!$A$1="Metal Work"),
      AND(TRIM(B3402)=TRIM(Enginuity!$A$17),TRIM(C3402)=TRIM(Enginuity!$A$18)),
      TRIM(B3402)=TRIM(Enginuity!$A$17)
    )
  ),
  ROW(),
  ""
)</f>
        <v/>
      </c>
    </row>
    <row r="3403" spans="21:21" x14ac:dyDescent="0.25">
      <c r="U3403" s="104" t="str">
        <f>IF(
  AND(
    TRIM(A3403)=TRIM(Enginuity!$A$1),
    TRIM(B3403)=TRIM(Enginuity!$A$17),
    Q3403&lt;&gt;"",
    Q3403&lt;&gt;0,
    OR(
      TRIM(C3403)=TRIM(Enginuity!$A$18),
      AND(UPPER(TRIM(M3403))="STD", TRIM(B3403)=TRIM(Enginuity!$A$17))
    ),
    OR(
      AND(LEFT(P3403,5)="1-Way", Enginuity!$B$13=1),
      AND(LEFT(P3403,5)="2-Way", OR(Enginuity!$B$13=2, Enginuity!$B$13=4)),
      AND(LEFT(P3403,5)="3-Way", OR(Enginuity!$B$13=3, Enginuity!$B$13=6)),
      AND(P3403="Inner Centre Jamb", OR(Enginuity!$B$13=4, Enginuity!$B$13=6)),
      AND(
        LEFT(P3403,5)&lt;&gt;"1-Way",
        LEFT(P3403,5)&lt;&gt;"2-Way",
        LEFT(P3403,5)&lt;&gt;"3-Way",
        P3403&lt;&gt;"Inner Centre Jamb"
      )
    ),
    IF(OR(Enginuity!$A$1="Frameless Glass",Enginuity!$A$1="Metal Work"),
      AND(TRIM(B3403)=TRIM(Enginuity!$A$17),TRIM(C3403)=TRIM(Enginuity!$A$18)),
      TRIM(B3403)=TRIM(Enginuity!$A$17)
    )
  ),
  ROW(),
  ""
)</f>
        <v/>
      </c>
    </row>
    <row r="3404" spans="21:21" x14ac:dyDescent="0.25">
      <c r="U3404" s="104" t="str">
        <f>IF(
  AND(
    TRIM(A3404)=TRIM(Enginuity!$A$1),
    TRIM(B3404)=TRIM(Enginuity!$A$17),
    Q3404&lt;&gt;"",
    Q3404&lt;&gt;0,
    OR(
      TRIM(C3404)=TRIM(Enginuity!$A$18),
      AND(UPPER(TRIM(M3404))="STD", TRIM(B3404)=TRIM(Enginuity!$A$17))
    ),
    OR(
      AND(LEFT(P3404,5)="1-Way", Enginuity!$B$13=1),
      AND(LEFT(P3404,5)="2-Way", OR(Enginuity!$B$13=2, Enginuity!$B$13=4)),
      AND(LEFT(P3404,5)="3-Way", OR(Enginuity!$B$13=3, Enginuity!$B$13=6)),
      AND(P3404="Inner Centre Jamb", OR(Enginuity!$B$13=4, Enginuity!$B$13=6)),
      AND(
        LEFT(P3404,5)&lt;&gt;"1-Way",
        LEFT(P3404,5)&lt;&gt;"2-Way",
        LEFT(P3404,5)&lt;&gt;"3-Way",
        P3404&lt;&gt;"Inner Centre Jamb"
      )
    ),
    IF(OR(Enginuity!$A$1="Frameless Glass",Enginuity!$A$1="Metal Work"),
      AND(TRIM(B3404)=TRIM(Enginuity!$A$17),TRIM(C3404)=TRIM(Enginuity!$A$18)),
      TRIM(B3404)=TRIM(Enginuity!$A$17)
    )
  ),
  ROW(),
  ""
)</f>
        <v/>
      </c>
    </row>
    <row r="3405" spans="21:21" x14ac:dyDescent="0.25">
      <c r="U3405" s="104" t="str">
        <f>IF(
  AND(
    TRIM(A3405)=TRIM(Enginuity!$A$1),
    TRIM(B3405)=TRIM(Enginuity!$A$17),
    Q3405&lt;&gt;"",
    Q3405&lt;&gt;0,
    OR(
      TRIM(C3405)=TRIM(Enginuity!$A$18),
      AND(UPPER(TRIM(M3405))="STD", TRIM(B3405)=TRIM(Enginuity!$A$17))
    ),
    OR(
      AND(LEFT(P3405,5)="1-Way", Enginuity!$B$13=1),
      AND(LEFT(P3405,5)="2-Way", OR(Enginuity!$B$13=2, Enginuity!$B$13=4)),
      AND(LEFT(P3405,5)="3-Way", OR(Enginuity!$B$13=3, Enginuity!$B$13=6)),
      AND(P3405="Inner Centre Jamb", OR(Enginuity!$B$13=4, Enginuity!$B$13=6)),
      AND(
        LEFT(P3405,5)&lt;&gt;"1-Way",
        LEFT(P3405,5)&lt;&gt;"2-Way",
        LEFT(P3405,5)&lt;&gt;"3-Way",
        P3405&lt;&gt;"Inner Centre Jamb"
      )
    ),
    IF(OR(Enginuity!$A$1="Frameless Glass",Enginuity!$A$1="Metal Work"),
      AND(TRIM(B3405)=TRIM(Enginuity!$A$17),TRIM(C3405)=TRIM(Enginuity!$A$18)),
      TRIM(B3405)=TRIM(Enginuity!$A$17)
    )
  ),
  ROW(),
  ""
)</f>
        <v/>
      </c>
    </row>
    <row r="3406" spans="21:21" x14ac:dyDescent="0.25">
      <c r="U3406" s="104" t="str">
        <f>IF(
  AND(
    TRIM(A3406)=TRIM(Enginuity!$A$1),
    TRIM(B3406)=TRIM(Enginuity!$A$17),
    Q3406&lt;&gt;"",
    Q3406&lt;&gt;0,
    OR(
      TRIM(C3406)=TRIM(Enginuity!$A$18),
      AND(UPPER(TRIM(M3406))="STD", TRIM(B3406)=TRIM(Enginuity!$A$17))
    ),
    OR(
      AND(LEFT(P3406,5)="1-Way", Enginuity!$B$13=1),
      AND(LEFT(P3406,5)="2-Way", OR(Enginuity!$B$13=2, Enginuity!$B$13=4)),
      AND(LEFT(P3406,5)="3-Way", OR(Enginuity!$B$13=3, Enginuity!$B$13=6)),
      AND(P3406="Inner Centre Jamb", OR(Enginuity!$B$13=4, Enginuity!$B$13=6)),
      AND(
        LEFT(P3406,5)&lt;&gt;"1-Way",
        LEFT(P3406,5)&lt;&gt;"2-Way",
        LEFT(P3406,5)&lt;&gt;"3-Way",
        P3406&lt;&gt;"Inner Centre Jamb"
      )
    ),
    IF(OR(Enginuity!$A$1="Frameless Glass",Enginuity!$A$1="Metal Work"),
      AND(TRIM(B3406)=TRIM(Enginuity!$A$17),TRIM(C3406)=TRIM(Enginuity!$A$18)),
      TRIM(B3406)=TRIM(Enginuity!$A$17)
    )
  ),
  ROW(),
  ""
)</f>
        <v/>
      </c>
    </row>
    <row r="3407" spans="21:21" x14ac:dyDescent="0.25">
      <c r="U3407" s="104" t="str">
        <f>IF(
  AND(
    TRIM(A3407)=TRIM(Enginuity!$A$1),
    TRIM(B3407)=TRIM(Enginuity!$A$17),
    Q3407&lt;&gt;"",
    Q3407&lt;&gt;0,
    OR(
      TRIM(C3407)=TRIM(Enginuity!$A$18),
      AND(UPPER(TRIM(M3407))="STD", TRIM(B3407)=TRIM(Enginuity!$A$17))
    ),
    OR(
      AND(LEFT(P3407,5)="1-Way", Enginuity!$B$13=1),
      AND(LEFT(P3407,5)="2-Way", OR(Enginuity!$B$13=2, Enginuity!$B$13=4)),
      AND(LEFT(P3407,5)="3-Way", OR(Enginuity!$B$13=3, Enginuity!$B$13=6)),
      AND(P3407="Inner Centre Jamb", OR(Enginuity!$B$13=4, Enginuity!$B$13=6)),
      AND(
        LEFT(P3407,5)&lt;&gt;"1-Way",
        LEFT(P3407,5)&lt;&gt;"2-Way",
        LEFT(P3407,5)&lt;&gt;"3-Way",
        P3407&lt;&gt;"Inner Centre Jamb"
      )
    ),
    IF(OR(Enginuity!$A$1="Frameless Glass",Enginuity!$A$1="Metal Work"),
      AND(TRIM(B3407)=TRIM(Enginuity!$A$17),TRIM(C3407)=TRIM(Enginuity!$A$18)),
      TRIM(B3407)=TRIM(Enginuity!$A$17)
    )
  ),
  ROW(),
  ""
)</f>
        <v/>
      </c>
    </row>
    <row r="3408" spans="21:21" x14ac:dyDescent="0.25">
      <c r="U3408" s="104" t="str">
        <f>IF(
  AND(
    TRIM(A3408)=TRIM(Enginuity!$A$1),
    TRIM(B3408)=TRIM(Enginuity!$A$17),
    Q3408&lt;&gt;"",
    Q3408&lt;&gt;0,
    OR(
      TRIM(C3408)=TRIM(Enginuity!$A$18),
      AND(UPPER(TRIM(M3408))="STD", TRIM(B3408)=TRIM(Enginuity!$A$17))
    ),
    OR(
      AND(LEFT(P3408,5)="1-Way", Enginuity!$B$13=1),
      AND(LEFT(P3408,5)="2-Way", OR(Enginuity!$B$13=2, Enginuity!$B$13=4)),
      AND(LEFT(P3408,5)="3-Way", OR(Enginuity!$B$13=3, Enginuity!$B$13=6)),
      AND(P3408="Inner Centre Jamb", OR(Enginuity!$B$13=4, Enginuity!$B$13=6)),
      AND(
        LEFT(P3408,5)&lt;&gt;"1-Way",
        LEFT(P3408,5)&lt;&gt;"2-Way",
        LEFT(P3408,5)&lt;&gt;"3-Way",
        P3408&lt;&gt;"Inner Centre Jamb"
      )
    ),
    IF(OR(Enginuity!$A$1="Frameless Glass",Enginuity!$A$1="Metal Work"),
      AND(TRIM(B3408)=TRIM(Enginuity!$A$17),TRIM(C3408)=TRIM(Enginuity!$A$18)),
      TRIM(B3408)=TRIM(Enginuity!$A$17)
    )
  ),
  ROW(),
  ""
)</f>
        <v/>
      </c>
    </row>
    <row r="3409" spans="21:21" x14ac:dyDescent="0.25">
      <c r="U3409" s="104" t="str">
        <f>IF(
  AND(
    TRIM(A3409)=TRIM(Enginuity!$A$1),
    TRIM(B3409)=TRIM(Enginuity!$A$17),
    Q3409&lt;&gt;"",
    Q3409&lt;&gt;0,
    OR(
      TRIM(C3409)=TRIM(Enginuity!$A$18),
      AND(UPPER(TRIM(M3409))="STD", TRIM(B3409)=TRIM(Enginuity!$A$17))
    ),
    OR(
      AND(LEFT(P3409,5)="1-Way", Enginuity!$B$13=1),
      AND(LEFT(P3409,5)="2-Way", OR(Enginuity!$B$13=2, Enginuity!$B$13=4)),
      AND(LEFT(P3409,5)="3-Way", OR(Enginuity!$B$13=3, Enginuity!$B$13=6)),
      AND(P3409="Inner Centre Jamb", OR(Enginuity!$B$13=4, Enginuity!$B$13=6)),
      AND(
        LEFT(P3409,5)&lt;&gt;"1-Way",
        LEFT(P3409,5)&lt;&gt;"2-Way",
        LEFT(P3409,5)&lt;&gt;"3-Way",
        P3409&lt;&gt;"Inner Centre Jamb"
      )
    ),
    IF(OR(Enginuity!$A$1="Frameless Glass",Enginuity!$A$1="Metal Work"),
      AND(TRIM(B3409)=TRIM(Enginuity!$A$17),TRIM(C3409)=TRIM(Enginuity!$A$18)),
      TRIM(B3409)=TRIM(Enginuity!$A$17)
    )
  ),
  ROW(),
  ""
)</f>
        <v/>
      </c>
    </row>
    <row r="3410" spans="21:21" x14ac:dyDescent="0.25">
      <c r="U3410" s="104" t="str">
        <f>IF(
  AND(
    TRIM(A3410)=TRIM(Enginuity!$A$1),
    TRIM(B3410)=TRIM(Enginuity!$A$17),
    Q3410&lt;&gt;"",
    Q3410&lt;&gt;0,
    OR(
      TRIM(C3410)=TRIM(Enginuity!$A$18),
      AND(UPPER(TRIM(M3410))="STD", TRIM(B3410)=TRIM(Enginuity!$A$17))
    ),
    OR(
      AND(LEFT(P3410,5)="1-Way", Enginuity!$B$13=1),
      AND(LEFT(P3410,5)="2-Way", OR(Enginuity!$B$13=2, Enginuity!$B$13=4)),
      AND(LEFT(P3410,5)="3-Way", OR(Enginuity!$B$13=3, Enginuity!$B$13=6)),
      AND(P3410="Inner Centre Jamb", OR(Enginuity!$B$13=4, Enginuity!$B$13=6)),
      AND(
        LEFT(P3410,5)&lt;&gt;"1-Way",
        LEFT(P3410,5)&lt;&gt;"2-Way",
        LEFT(P3410,5)&lt;&gt;"3-Way",
        P3410&lt;&gt;"Inner Centre Jamb"
      )
    ),
    IF(OR(Enginuity!$A$1="Frameless Glass",Enginuity!$A$1="Metal Work"),
      AND(TRIM(B3410)=TRIM(Enginuity!$A$17),TRIM(C3410)=TRIM(Enginuity!$A$18)),
      TRIM(B3410)=TRIM(Enginuity!$A$17)
    )
  ),
  ROW(),
  ""
)</f>
        <v/>
      </c>
    </row>
    <row r="3411" spans="21:21" x14ac:dyDescent="0.25">
      <c r="U3411" s="104" t="str">
        <f>IF(
  AND(
    TRIM(A3411)=TRIM(Enginuity!$A$1),
    TRIM(B3411)=TRIM(Enginuity!$A$17),
    Q3411&lt;&gt;"",
    Q3411&lt;&gt;0,
    OR(
      TRIM(C3411)=TRIM(Enginuity!$A$18),
      AND(UPPER(TRIM(M3411))="STD", TRIM(B3411)=TRIM(Enginuity!$A$17))
    ),
    OR(
      AND(LEFT(P3411,5)="1-Way", Enginuity!$B$13=1),
      AND(LEFT(P3411,5)="2-Way", OR(Enginuity!$B$13=2, Enginuity!$B$13=4)),
      AND(LEFT(P3411,5)="3-Way", OR(Enginuity!$B$13=3, Enginuity!$B$13=6)),
      AND(P3411="Inner Centre Jamb", OR(Enginuity!$B$13=4, Enginuity!$B$13=6)),
      AND(
        LEFT(P3411,5)&lt;&gt;"1-Way",
        LEFT(P3411,5)&lt;&gt;"2-Way",
        LEFT(P3411,5)&lt;&gt;"3-Way",
        P3411&lt;&gt;"Inner Centre Jamb"
      )
    ),
    IF(OR(Enginuity!$A$1="Frameless Glass",Enginuity!$A$1="Metal Work"),
      AND(TRIM(B3411)=TRIM(Enginuity!$A$17),TRIM(C3411)=TRIM(Enginuity!$A$18)),
      TRIM(B3411)=TRIM(Enginuity!$A$17)
    )
  ),
  ROW(),
  ""
)</f>
        <v/>
      </c>
    </row>
    <row r="3412" spans="21:21" x14ac:dyDescent="0.25">
      <c r="U3412" s="104" t="str">
        <f>IF(
  AND(
    TRIM(A3412)=TRIM(Enginuity!$A$1),
    TRIM(B3412)=TRIM(Enginuity!$A$17),
    Q3412&lt;&gt;"",
    Q3412&lt;&gt;0,
    OR(
      TRIM(C3412)=TRIM(Enginuity!$A$18),
      AND(UPPER(TRIM(M3412))="STD", TRIM(B3412)=TRIM(Enginuity!$A$17))
    ),
    OR(
      AND(LEFT(P3412,5)="1-Way", Enginuity!$B$13=1),
      AND(LEFT(P3412,5)="2-Way", OR(Enginuity!$B$13=2, Enginuity!$B$13=4)),
      AND(LEFT(P3412,5)="3-Way", OR(Enginuity!$B$13=3, Enginuity!$B$13=6)),
      AND(P3412="Inner Centre Jamb", OR(Enginuity!$B$13=4, Enginuity!$B$13=6)),
      AND(
        LEFT(P3412,5)&lt;&gt;"1-Way",
        LEFT(P3412,5)&lt;&gt;"2-Way",
        LEFT(P3412,5)&lt;&gt;"3-Way",
        P3412&lt;&gt;"Inner Centre Jamb"
      )
    ),
    IF(OR(Enginuity!$A$1="Frameless Glass",Enginuity!$A$1="Metal Work"),
      AND(TRIM(B3412)=TRIM(Enginuity!$A$17),TRIM(C3412)=TRIM(Enginuity!$A$18)),
      TRIM(B3412)=TRIM(Enginuity!$A$17)
    )
  ),
  ROW(),
  ""
)</f>
        <v/>
      </c>
    </row>
    <row r="3413" spans="21:21" x14ac:dyDescent="0.25">
      <c r="U3413" s="104" t="str">
        <f>IF(
  AND(
    TRIM(A3413)=TRIM(Enginuity!$A$1),
    TRIM(B3413)=TRIM(Enginuity!$A$17),
    Q3413&lt;&gt;"",
    Q3413&lt;&gt;0,
    OR(
      TRIM(C3413)=TRIM(Enginuity!$A$18),
      AND(UPPER(TRIM(M3413))="STD", TRIM(B3413)=TRIM(Enginuity!$A$17))
    ),
    OR(
      AND(LEFT(P3413,5)="1-Way", Enginuity!$B$13=1),
      AND(LEFT(P3413,5)="2-Way", OR(Enginuity!$B$13=2, Enginuity!$B$13=4)),
      AND(LEFT(P3413,5)="3-Way", OR(Enginuity!$B$13=3, Enginuity!$B$13=6)),
      AND(P3413="Inner Centre Jamb", OR(Enginuity!$B$13=4, Enginuity!$B$13=6)),
      AND(
        LEFT(P3413,5)&lt;&gt;"1-Way",
        LEFT(P3413,5)&lt;&gt;"2-Way",
        LEFT(P3413,5)&lt;&gt;"3-Way",
        P3413&lt;&gt;"Inner Centre Jamb"
      )
    ),
    IF(OR(Enginuity!$A$1="Frameless Glass",Enginuity!$A$1="Metal Work"),
      AND(TRIM(B3413)=TRIM(Enginuity!$A$17),TRIM(C3413)=TRIM(Enginuity!$A$18)),
      TRIM(B3413)=TRIM(Enginuity!$A$17)
    )
  ),
  ROW(),
  ""
)</f>
        <v/>
      </c>
    </row>
    <row r="3414" spans="21:21" x14ac:dyDescent="0.25">
      <c r="U3414" s="104" t="str">
        <f>IF(
  AND(
    TRIM(A3414)=TRIM(Enginuity!$A$1),
    TRIM(B3414)=TRIM(Enginuity!$A$17),
    Q3414&lt;&gt;"",
    Q3414&lt;&gt;0,
    OR(
      TRIM(C3414)=TRIM(Enginuity!$A$18),
      AND(UPPER(TRIM(M3414))="STD", TRIM(B3414)=TRIM(Enginuity!$A$17))
    ),
    OR(
      AND(LEFT(P3414,5)="1-Way", Enginuity!$B$13=1),
      AND(LEFT(P3414,5)="2-Way", OR(Enginuity!$B$13=2, Enginuity!$B$13=4)),
      AND(LEFT(P3414,5)="3-Way", OR(Enginuity!$B$13=3, Enginuity!$B$13=6)),
      AND(P3414="Inner Centre Jamb", OR(Enginuity!$B$13=4, Enginuity!$B$13=6)),
      AND(
        LEFT(P3414,5)&lt;&gt;"1-Way",
        LEFT(P3414,5)&lt;&gt;"2-Way",
        LEFT(P3414,5)&lt;&gt;"3-Way",
        P3414&lt;&gt;"Inner Centre Jamb"
      )
    ),
    IF(OR(Enginuity!$A$1="Frameless Glass",Enginuity!$A$1="Metal Work"),
      AND(TRIM(B3414)=TRIM(Enginuity!$A$17),TRIM(C3414)=TRIM(Enginuity!$A$18)),
      TRIM(B3414)=TRIM(Enginuity!$A$17)
    )
  ),
  ROW(),
  ""
)</f>
        <v/>
      </c>
    </row>
    <row r="3415" spans="21:21" x14ac:dyDescent="0.25">
      <c r="U3415" s="104" t="str">
        <f>IF(
  AND(
    TRIM(A3415)=TRIM(Enginuity!$A$1),
    TRIM(B3415)=TRIM(Enginuity!$A$17),
    Q3415&lt;&gt;"",
    Q3415&lt;&gt;0,
    OR(
      TRIM(C3415)=TRIM(Enginuity!$A$18),
      AND(UPPER(TRIM(M3415))="STD", TRIM(B3415)=TRIM(Enginuity!$A$17))
    ),
    OR(
      AND(LEFT(P3415,5)="1-Way", Enginuity!$B$13=1),
      AND(LEFT(P3415,5)="2-Way", OR(Enginuity!$B$13=2, Enginuity!$B$13=4)),
      AND(LEFT(P3415,5)="3-Way", OR(Enginuity!$B$13=3, Enginuity!$B$13=6)),
      AND(P3415="Inner Centre Jamb", OR(Enginuity!$B$13=4, Enginuity!$B$13=6)),
      AND(
        LEFT(P3415,5)&lt;&gt;"1-Way",
        LEFT(P3415,5)&lt;&gt;"2-Way",
        LEFT(P3415,5)&lt;&gt;"3-Way",
        P3415&lt;&gt;"Inner Centre Jamb"
      )
    ),
    IF(OR(Enginuity!$A$1="Frameless Glass",Enginuity!$A$1="Metal Work"),
      AND(TRIM(B3415)=TRIM(Enginuity!$A$17),TRIM(C3415)=TRIM(Enginuity!$A$18)),
      TRIM(B3415)=TRIM(Enginuity!$A$17)
    )
  ),
  ROW(),
  ""
)</f>
        <v/>
      </c>
    </row>
    <row r="3416" spans="21:21" x14ac:dyDescent="0.25">
      <c r="U3416" s="104" t="str">
        <f>IF(
  AND(
    TRIM(A3416)=TRIM(Enginuity!$A$1),
    TRIM(B3416)=TRIM(Enginuity!$A$17),
    Q3416&lt;&gt;"",
    Q3416&lt;&gt;0,
    OR(
      TRIM(C3416)=TRIM(Enginuity!$A$18),
      AND(UPPER(TRIM(M3416))="STD", TRIM(B3416)=TRIM(Enginuity!$A$17))
    ),
    OR(
      AND(LEFT(P3416,5)="1-Way", Enginuity!$B$13=1),
      AND(LEFT(P3416,5)="2-Way", OR(Enginuity!$B$13=2, Enginuity!$B$13=4)),
      AND(LEFT(P3416,5)="3-Way", OR(Enginuity!$B$13=3, Enginuity!$B$13=6)),
      AND(P3416="Inner Centre Jamb", OR(Enginuity!$B$13=4, Enginuity!$B$13=6)),
      AND(
        LEFT(P3416,5)&lt;&gt;"1-Way",
        LEFT(P3416,5)&lt;&gt;"2-Way",
        LEFT(P3416,5)&lt;&gt;"3-Way",
        P3416&lt;&gt;"Inner Centre Jamb"
      )
    ),
    IF(OR(Enginuity!$A$1="Frameless Glass",Enginuity!$A$1="Metal Work"),
      AND(TRIM(B3416)=TRIM(Enginuity!$A$17),TRIM(C3416)=TRIM(Enginuity!$A$18)),
      TRIM(B3416)=TRIM(Enginuity!$A$17)
    )
  ),
  ROW(),
  ""
)</f>
        <v/>
      </c>
    </row>
    <row r="3417" spans="21:21" x14ac:dyDescent="0.25">
      <c r="U3417" s="104" t="str">
        <f>IF(
  AND(
    TRIM(A3417)=TRIM(Enginuity!$A$1),
    TRIM(B3417)=TRIM(Enginuity!$A$17),
    Q3417&lt;&gt;"",
    Q3417&lt;&gt;0,
    OR(
      TRIM(C3417)=TRIM(Enginuity!$A$18),
      AND(UPPER(TRIM(M3417))="STD", TRIM(B3417)=TRIM(Enginuity!$A$17))
    ),
    OR(
      AND(LEFT(P3417,5)="1-Way", Enginuity!$B$13=1),
      AND(LEFT(P3417,5)="2-Way", OR(Enginuity!$B$13=2, Enginuity!$B$13=4)),
      AND(LEFT(P3417,5)="3-Way", OR(Enginuity!$B$13=3, Enginuity!$B$13=6)),
      AND(P3417="Inner Centre Jamb", OR(Enginuity!$B$13=4, Enginuity!$B$13=6)),
      AND(
        LEFT(P3417,5)&lt;&gt;"1-Way",
        LEFT(P3417,5)&lt;&gt;"2-Way",
        LEFT(P3417,5)&lt;&gt;"3-Way",
        P3417&lt;&gt;"Inner Centre Jamb"
      )
    ),
    IF(OR(Enginuity!$A$1="Frameless Glass",Enginuity!$A$1="Metal Work"),
      AND(TRIM(B3417)=TRIM(Enginuity!$A$17),TRIM(C3417)=TRIM(Enginuity!$A$18)),
      TRIM(B3417)=TRIM(Enginuity!$A$17)
    )
  ),
  ROW(),
  ""
)</f>
        <v/>
      </c>
    </row>
    <row r="3418" spans="21:21" x14ac:dyDescent="0.25">
      <c r="U3418" s="104" t="str">
        <f>IF(
  AND(
    TRIM(A3418)=TRIM(Enginuity!$A$1),
    TRIM(B3418)=TRIM(Enginuity!$A$17),
    Q3418&lt;&gt;"",
    Q3418&lt;&gt;0,
    OR(
      TRIM(C3418)=TRIM(Enginuity!$A$18),
      AND(UPPER(TRIM(M3418))="STD", TRIM(B3418)=TRIM(Enginuity!$A$17))
    ),
    OR(
      AND(LEFT(P3418,5)="1-Way", Enginuity!$B$13=1),
      AND(LEFT(P3418,5)="2-Way", OR(Enginuity!$B$13=2, Enginuity!$B$13=4)),
      AND(LEFT(P3418,5)="3-Way", OR(Enginuity!$B$13=3, Enginuity!$B$13=6)),
      AND(P3418="Inner Centre Jamb", OR(Enginuity!$B$13=4, Enginuity!$B$13=6)),
      AND(
        LEFT(P3418,5)&lt;&gt;"1-Way",
        LEFT(P3418,5)&lt;&gt;"2-Way",
        LEFT(P3418,5)&lt;&gt;"3-Way",
        P3418&lt;&gt;"Inner Centre Jamb"
      )
    ),
    IF(OR(Enginuity!$A$1="Frameless Glass",Enginuity!$A$1="Metal Work"),
      AND(TRIM(B3418)=TRIM(Enginuity!$A$17),TRIM(C3418)=TRIM(Enginuity!$A$18)),
      TRIM(B3418)=TRIM(Enginuity!$A$17)
    )
  ),
  ROW(),
  ""
)</f>
        <v/>
      </c>
    </row>
    <row r="3419" spans="21:21" x14ac:dyDescent="0.25">
      <c r="U3419" s="104" t="str">
        <f>IF(
  AND(
    TRIM(A3419)=TRIM(Enginuity!$A$1),
    TRIM(B3419)=TRIM(Enginuity!$A$17),
    Q3419&lt;&gt;"",
    Q3419&lt;&gt;0,
    OR(
      TRIM(C3419)=TRIM(Enginuity!$A$18),
      AND(UPPER(TRIM(M3419))="STD", TRIM(B3419)=TRIM(Enginuity!$A$17))
    ),
    OR(
      AND(LEFT(P3419,5)="1-Way", Enginuity!$B$13=1),
      AND(LEFT(P3419,5)="2-Way", OR(Enginuity!$B$13=2, Enginuity!$B$13=4)),
      AND(LEFT(P3419,5)="3-Way", OR(Enginuity!$B$13=3, Enginuity!$B$13=6)),
      AND(P3419="Inner Centre Jamb", OR(Enginuity!$B$13=4, Enginuity!$B$13=6)),
      AND(
        LEFT(P3419,5)&lt;&gt;"1-Way",
        LEFT(P3419,5)&lt;&gt;"2-Way",
        LEFT(P3419,5)&lt;&gt;"3-Way",
        P3419&lt;&gt;"Inner Centre Jamb"
      )
    ),
    IF(OR(Enginuity!$A$1="Frameless Glass",Enginuity!$A$1="Metal Work"),
      AND(TRIM(B3419)=TRIM(Enginuity!$A$17),TRIM(C3419)=TRIM(Enginuity!$A$18)),
      TRIM(B3419)=TRIM(Enginuity!$A$17)
    )
  ),
  ROW(),
  ""
)</f>
        <v/>
      </c>
    </row>
    <row r="3420" spans="21:21" x14ac:dyDescent="0.25">
      <c r="U3420" s="104" t="str">
        <f>IF(
  AND(
    TRIM(A3420)=TRIM(Enginuity!$A$1),
    TRIM(B3420)=TRIM(Enginuity!$A$17),
    Q3420&lt;&gt;"",
    Q3420&lt;&gt;0,
    OR(
      TRIM(C3420)=TRIM(Enginuity!$A$18),
      AND(UPPER(TRIM(M3420))="STD", TRIM(B3420)=TRIM(Enginuity!$A$17))
    ),
    OR(
      AND(LEFT(P3420,5)="1-Way", Enginuity!$B$13=1),
      AND(LEFT(P3420,5)="2-Way", OR(Enginuity!$B$13=2, Enginuity!$B$13=4)),
      AND(LEFT(P3420,5)="3-Way", OR(Enginuity!$B$13=3, Enginuity!$B$13=6)),
      AND(P3420="Inner Centre Jamb", OR(Enginuity!$B$13=4, Enginuity!$B$13=6)),
      AND(
        LEFT(P3420,5)&lt;&gt;"1-Way",
        LEFT(P3420,5)&lt;&gt;"2-Way",
        LEFT(P3420,5)&lt;&gt;"3-Way",
        P3420&lt;&gt;"Inner Centre Jamb"
      )
    ),
    IF(OR(Enginuity!$A$1="Frameless Glass",Enginuity!$A$1="Metal Work"),
      AND(TRIM(B3420)=TRIM(Enginuity!$A$17),TRIM(C3420)=TRIM(Enginuity!$A$18)),
      TRIM(B3420)=TRIM(Enginuity!$A$17)
    )
  ),
  ROW(),
  ""
)</f>
        <v/>
      </c>
    </row>
    <row r="3421" spans="21:21" x14ac:dyDescent="0.25">
      <c r="U3421" s="104" t="str">
        <f>IF(
  AND(
    TRIM(A3421)=TRIM(Enginuity!$A$1),
    TRIM(B3421)=TRIM(Enginuity!$A$17),
    Q3421&lt;&gt;"",
    Q3421&lt;&gt;0,
    OR(
      TRIM(C3421)=TRIM(Enginuity!$A$18),
      AND(UPPER(TRIM(M3421))="STD", TRIM(B3421)=TRIM(Enginuity!$A$17))
    ),
    OR(
      AND(LEFT(P3421,5)="1-Way", Enginuity!$B$13=1),
      AND(LEFT(P3421,5)="2-Way", OR(Enginuity!$B$13=2, Enginuity!$B$13=4)),
      AND(LEFT(P3421,5)="3-Way", OR(Enginuity!$B$13=3, Enginuity!$B$13=6)),
      AND(P3421="Inner Centre Jamb", OR(Enginuity!$B$13=4, Enginuity!$B$13=6)),
      AND(
        LEFT(P3421,5)&lt;&gt;"1-Way",
        LEFT(P3421,5)&lt;&gt;"2-Way",
        LEFT(P3421,5)&lt;&gt;"3-Way",
        P3421&lt;&gt;"Inner Centre Jamb"
      )
    ),
    IF(OR(Enginuity!$A$1="Frameless Glass",Enginuity!$A$1="Metal Work"),
      AND(TRIM(B3421)=TRIM(Enginuity!$A$17),TRIM(C3421)=TRIM(Enginuity!$A$18)),
      TRIM(B3421)=TRIM(Enginuity!$A$17)
    )
  ),
  ROW(),
  ""
)</f>
        <v/>
      </c>
    </row>
    <row r="3422" spans="21:21" x14ac:dyDescent="0.25">
      <c r="U3422" s="104" t="str">
        <f>IF(
  AND(
    TRIM(A3422)=TRIM(Enginuity!$A$1),
    TRIM(B3422)=TRIM(Enginuity!$A$17),
    Q3422&lt;&gt;"",
    Q3422&lt;&gt;0,
    OR(
      TRIM(C3422)=TRIM(Enginuity!$A$18),
      AND(UPPER(TRIM(M3422))="STD", TRIM(B3422)=TRIM(Enginuity!$A$17))
    ),
    OR(
      AND(LEFT(P3422,5)="1-Way", Enginuity!$B$13=1),
      AND(LEFT(P3422,5)="2-Way", OR(Enginuity!$B$13=2, Enginuity!$B$13=4)),
      AND(LEFT(P3422,5)="3-Way", OR(Enginuity!$B$13=3, Enginuity!$B$13=6)),
      AND(P3422="Inner Centre Jamb", OR(Enginuity!$B$13=4, Enginuity!$B$13=6)),
      AND(
        LEFT(P3422,5)&lt;&gt;"1-Way",
        LEFT(P3422,5)&lt;&gt;"2-Way",
        LEFT(P3422,5)&lt;&gt;"3-Way",
        P3422&lt;&gt;"Inner Centre Jamb"
      )
    ),
    IF(OR(Enginuity!$A$1="Frameless Glass",Enginuity!$A$1="Metal Work"),
      AND(TRIM(B3422)=TRIM(Enginuity!$A$17),TRIM(C3422)=TRIM(Enginuity!$A$18)),
      TRIM(B3422)=TRIM(Enginuity!$A$17)
    )
  ),
  ROW(),
  ""
)</f>
        <v/>
      </c>
    </row>
    <row r="3423" spans="21:21" x14ac:dyDescent="0.25">
      <c r="U3423" s="104" t="str">
        <f>IF(
  AND(
    TRIM(A3423)=TRIM(Enginuity!$A$1),
    TRIM(B3423)=TRIM(Enginuity!$A$17),
    Q3423&lt;&gt;"",
    Q3423&lt;&gt;0,
    OR(
      TRIM(C3423)=TRIM(Enginuity!$A$18),
      AND(UPPER(TRIM(M3423))="STD", TRIM(B3423)=TRIM(Enginuity!$A$17))
    ),
    OR(
      AND(LEFT(P3423,5)="1-Way", Enginuity!$B$13=1),
      AND(LEFT(P3423,5)="2-Way", OR(Enginuity!$B$13=2, Enginuity!$B$13=4)),
      AND(LEFT(P3423,5)="3-Way", OR(Enginuity!$B$13=3, Enginuity!$B$13=6)),
      AND(P3423="Inner Centre Jamb", OR(Enginuity!$B$13=4, Enginuity!$B$13=6)),
      AND(
        LEFT(P3423,5)&lt;&gt;"1-Way",
        LEFT(P3423,5)&lt;&gt;"2-Way",
        LEFT(P3423,5)&lt;&gt;"3-Way",
        P3423&lt;&gt;"Inner Centre Jamb"
      )
    ),
    IF(OR(Enginuity!$A$1="Frameless Glass",Enginuity!$A$1="Metal Work"),
      AND(TRIM(B3423)=TRIM(Enginuity!$A$17),TRIM(C3423)=TRIM(Enginuity!$A$18)),
      TRIM(B3423)=TRIM(Enginuity!$A$17)
    )
  ),
  ROW(),
  ""
)</f>
        <v/>
      </c>
    </row>
    <row r="3424" spans="21:21" x14ac:dyDescent="0.25">
      <c r="U3424" s="104" t="str">
        <f>IF(
  AND(
    TRIM(A3424)=TRIM(Enginuity!$A$1),
    TRIM(B3424)=TRIM(Enginuity!$A$17),
    Q3424&lt;&gt;"",
    Q3424&lt;&gt;0,
    OR(
      TRIM(C3424)=TRIM(Enginuity!$A$18),
      AND(UPPER(TRIM(M3424))="STD", TRIM(B3424)=TRIM(Enginuity!$A$17))
    ),
    OR(
      AND(LEFT(P3424,5)="1-Way", Enginuity!$B$13=1),
      AND(LEFT(P3424,5)="2-Way", OR(Enginuity!$B$13=2, Enginuity!$B$13=4)),
      AND(LEFT(P3424,5)="3-Way", OR(Enginuity!$B$13=3, Enginuity!$B$13=6)),
      AND(P3424="Inner Centre Jamb", OR(Enginuity!$B$13=4, Enginuity!$B$13=6)),
      AND(
        LEFT(P3424,5)&lt;&gt;"1-Way",
        LEFT(P3424,5)&lt;&gt;"2-Way",
        LEFT(P3424,5)&lt;&gt;"3-Way",
        P3424&lt;&gt;"Inner Centre Jamb"
      )
    ),
    IF(OR(Enginuity!$A$1="Frameless Glass",Enginuity!$A$1="Metal Work"),
      AND(TRIM(B3424)=TRIM(Enginuity!$A$17),TRIM(C3424)=TRIM(Enginuity!$A$18)),
      TRIM(B3424)=TRIM(Enginuity!$A$17)
    )
  ),
  ROW(),
  ""
)</f>
        <v/>
      </c>
    </row>
    <row r="3425" spans="21:21" x14ac:dyDescent="0.25">
      <c r="U3425" s="104" t="str">
        <f>IF(
  AND(
    TRIM(A3425)=TRIM(Enginuity!$A$1),
    TRIM(B3425)=TRIM(Enginuity!$A$17),
    Q3425&lt;&gt;"",
    Q3425&lt;&gt;0,
    OR(
      TRIM(C3425)=TRIM(Enginuity!$A$18),
      AND(UPPER(TRIM(M3425))="STD", TRIM(B3425)=TRIM(Enginuity!$A$17))
    ),
    OR(
      AND(LEFT(P3425,5)="1-Way", Enginuity!$B$13=1),
      AND(LEFT(P3425,5)="2-Way", OR(Enginuity!$B$13=2, Enginuity!$B$13=4)),
      AND(LEFT(P3425,5)="3-Way", OR(Enginuity!$B$13=3, Enginuity!$B$13=6)),
      AND(P3425="Inner Centre Jamb", OR(Enginuity!$B$13=4, Enginuity!$B$13=6)),
      AND(
        LEFT(P3425,5)&lt;&gt;"1-Way",
        LEFT(P3425,5)&lt;&gt;"2-Way",
        LEFT(P3425,5)&lt;&gt;"3-Way",
        P3425&lt;&gt;"Inner Centre Jamb"
      )
    ),
    IF(OR(Enginuity!$A$1="Frameless Glass",Enginuity!$A$1="Metal Work"),
      AND(TRIM(B3425)=TRIM(Enginuity!$A$17),TRIM(C3425)=TRIM(Enginuity!$A$18)),
      TRIM(B3425)=TRIM(Enginuity!$A$17)
    )
  ),
  ROW(),
  ""
)</f>
        <v/>
      </c>
    </row>
    <row r="3426" spans="21:21" x14ac:dyDescent="0.25">
      <c r="U3426" s="104" t="str">
        <f>IF(
  AND(
    TRIM(A3426)=TRIM(Enginuity!$A$1),
    TRIM(B3426)=TRIM(Enginuity!$A$17),
    Q3426&lt;&gt;"",
    Q3426&lt;&gt;0,
    OR(
      TRIM(C3426)=TRIM(Enginuity!$A$18),
      AND(UPPER(TRIM(M3426))="STD", TRIM(B3426)=TRIM(Enginuity!$A$17))
    ),
    OR(
      AND(LEFT(P3426,5)="1-Way", Enginuity!$B$13=1),
      AND(LEFT(P3426,5)="2-Way", OR(Enginuity!$B$13=2, Enginuity!$B$13=4)),
      AND(LEFT(P3426,5)="3-Way", OR(Enginuity!$B$13=3, Enginuity!$B$13=6)),
      AND(P3426="Inner Centre Jamb", OR(Enginuity!$B$13=4, Enginuity!$B$13=6)),
      AND(
        LEFT(P3426,5)&lt;&gt;"1-Way",
        LEFT(P3426,5)&lt;&gt;"2-Way",
        LEFT(P3426,5)&lt;&gt;"3-Way",
        P3426&lt;&gt;"Inner Centre Jamb"
      )
    ),
    IF(OR(Enginuity!$A$1="Frameless Glass",Enginuity!$A$1="Metal Work"),
      AND(TRIM(B3426)=TRIM(Enginuity!$A$17),TRIM(C3426)=TRIM(Enginuity!$A$18)),
      TRIM(B3426)=TRIM(Enginuity!$A$17)
    )
  ),
  ROW(),
  ""
)</f>
        <v/>
      </c>
    </row>
    <row r="3427" spans="21:21" x14ac:dyDescent="0.25">
      <c r="U3427" s="104" t="str">
        <f>IF(
  AND(
    TRIM(A3427)=TRIM(Enginuity!$A$1),
    TRIM(B3427)=TRIM(Enginuity!$A$17),
    Q3427&lt;&gt;"",
    Q3427&lt;&gt;0,
    OR(
      TRIM(C3427)=TRIM(Enginuity!$A$18),
      AND(UPPER(TRIM(M3427))="STD", TRIM(B3427)=TRIM(Enginuity!$A$17))
    ),
    OR(
      AND(LEFT(P3427,5)="1-Way", Enginuity!$B$13=1),
      AND(LEFT(P3427,5)="2-Way", OR(Enginuity!$B$13=2, Enginuity!$B$13=4)),
      AND(LEFT(P3427,5)="3-Way", OR(Enginuity!$B$13=3, Enginuity!$B$13=6)),
      AND(P3427="Inner Centre Jamb", OR(Enginuity!$B$13=4, Enginuity!$B$13=6)),
      AND(
        LEFT(P3427,5)&lt;&gt;"1-Way",
        LEFT(P3427,5)&lt;&gt;"2-Way",
        LEFT(P3427,5)&lt;&gt;"3-Way",
        P3427&lt;&gt;"Inner Centre Jamb"
      )
    ),
    IF(OR(Enginuity!$A$1="Frameless Glass",Enginuity!$A$1="Metal Work"),
      AND(TRIM(B3427)=TRIM(Enginuity!$A$17),TRIM(C3427)=TRIM(Enginuity!$A$18)),
      TRIM(B3427)=TRIM(Enginuity!$A$17)
    )
  ),
  ROW(),
  ""
)</f>
        <v/>
      </c>
    </row>
    <row r="3428" spans="21:21" x14ac:dyDescent="0.25">
      <c r="U3428" s="104" t="str">
        <f>IF(
  AND(
    TRIM(A3428)=TRIM(Enginuity!$A$1),
    TRIM(B3428)=TRIM(Enginuity!$A$17),
    Q3428&lt;&gt;"",
    Q3428&lt;&gt;0,
    OR(
      TRIM(C3428)=TRIM(Enginuity!$A$18),
      AND(UPPER(TRIM(M3428))="STD", TRIM(B3428)=TRIM(Enginuity!$A$17))
    ),
    OR(
      AND(LEFT(P3428,5)="1-Way", Enginuity!$B$13=1),
      AND(LEFT(P3428,5)="2-Way", OR(Enginuity!$B$13=2, Enginuity!$B$13=4)),
      AND(LEFT(P3428,5)="3-Way", OR(Enginuity!$B$13=3, Enginuity!$B$13=6)),
      AND(P3428="Inner Centre Jamb", OR(Enginuity!$B$13=4, Enginuity!$B$13=6)),
      AND(
        LEFT(P3428,5)&lt;&gt;"1-Way",
        LEFT(P3428,5)&lt;&gt;"2-Way",
        LEFT(P3428,5)&lt;&gt;"3-Way",
        P3428&lt;&gt;"Inner Centre Jamb"
      )
    ),
    IF(OR(Enginuity!$A$1="Frameless Glass",Enginuity!$A$1="Metal Work"),
      AND(TRIM(B3428)=TRIM(Enginuity!$A$17),TRIM(C3428)=TRIM(Enginuity!$A$18)),
      TRIM(B3428)=TRIM(Enginuity!$A$17)
    )
  ),
  ROW(),
  ""
)</f>
        <v/>
      </c>
    </row>
    <row r="3429" spans="21:21" x14ac:dyDescent="0.25">
      <c r="U3429" s="104" t="str">
        <f>IF(
  AND(
    TRIM(A3429)=TRIM(Enginuity!$A$1),
    TRIM(B3429)=TRIM(Enginuity!$A$17),
    Q3429&lt;&gt;"",
    Q3429&lt;&gt;0,
    OR(
      TRIM(C3429)=TRIM(Enginuity!$A$18),
      AND(UPPER(TRIM(M3429))="STD", TRIM(B3429)=TRIM(Enginuity!$A$17))
    ),
    OR(
      AND(LEFT(P3429,5)="1-Way", Enginuity!$B$13=1),
      AND(LEFT(P3429,5)="2-Way", OR(Enginuity!$B$13=2, Enginuity!$B$13=4)),
      AND(LEFT(P3429,5)="3-Way", OR(Enginuity!$B$13=3, Enginuity!$B$13=6)),
      AND(P3429="Inner Centre Jamb", OR(Enginuity!$B$13=4, Enginuity!$B$13=6)),
      AND(
        LEFT(P3429,5)&lt;&gt;"1-Way",
        LEFT(P3429,5)&lt;&gt;"2-Way",
        LEFT(P3429,5)&lt;&gt;"3-Way",
        P3429&lt;&gt;"Inner Centre Jamb"
      )
    ),
    IF(OR(Enginuity!$A$1="Frameless Glass",Enginuity!$A$1="Metal Work"),
      AND(TRIM(B3429)=TRIM(Enginuity!$A$17),TRIM(C3429)=TRIM(Enginuity!$A$18)),
      TRIM(B3429)=TRIM(Enginuity!$A$17)
    )
  ),
  ROW(),
  ""
)</f>
        <v/>
      </c>
    </row>
    <row r="3430" spans="21:21" x14ac:dyDescent="0.25">
      <c r="U3430" s="104" t="str">
        <f>IF(
  AND(
    TRIM(A3430)=TRIM(Enginuity!$A$1),
    TRIM(B3430)=TRIM(Enginuity!$A$17),
    Q3430&lt;&gt;"",
    Q3430&lt;&gt;0,
    OR(
      TRIM(C3430)=TRIM(Enginuity!$A$18),
      AND(UPPER(TRIM(M3430))="STD", TRIM(B3430)=TRIM(Enginuity!$A$17))
    ),
    OR(
      AND(LEFT(P3430,5)="1-Way", Enginuity!$B$13=1),
      AND(LEFT(P3430,5)="2-Way", OR(Enginuity!$B$13=2, Enginuity!$B$13=4)),
      AND(LEFT(P3430,5)="3-Way", OR(Enginuity!$B$13=3, Enginuity!$B$13=6)),
      AND(P3430="Inner Centre Jamb", OR(Enginuity!$B$13=4, Enginuity!$B$13=6)),
      AND(
        LEFT(P3430,5)&lt;&gt;"1-Way",
        LEFT(P3430,5)&lt;&gt;"2-Way",
        LEFT(P3430,5)&lt;&gt;"3-Way",
        P3430&lt;&gt;"Inner Centre Jamb"
      )
    ),
    IF(OR(Enginuity!$A$1="Frameless Glass",Enginuity!$A$1="Metal Work"),
      AND(TRIM(B3430)=TRIM(Enginuity!$A$17),TRIM(C3430)=TRIM(Enginuity!$A$18)),
      TRIM(B3430)=TRIM(Enginuity!$A$17)
    )
  ),
  ROW(),
  ""
)</f>
        <v/>
      </c>
    </row>
    <row r="3431" spans="21:21" x14ac:dyDescent="0.25">
      <c r="U3431" s="104" t="str">
        <f>IF(
  AND(
    TRIM(A3431)=TRIM(Enginuity!$A$1),
    TRIM(B3431)=TRIM(Enginuity!$A$17),
    Q3431&lt;&gt;"",
    Q3431&lt;&gt;0,
    OR(
      TRIM(C3431)=TRIM(Enginuity!$A$18),
      AND(UPPER(TRIM(M3431))="STD", TRIM(B3431)=TRIM(Enginuity!$A$17))
    ),
    OR(
      AND(LEFT(P3431,5)="1-Way", Enginuity!$B$13=1),
      AND(LEFT(P3431,5)="2-Way", OR(Enginuity!$B$13=2, Enginuity!$B$13=4)),
      AND(LEFT(P3431,5)="3-Way", OR(Enginuity!$B$13=3, Enginuity!$B$13=6)),
      AND(P3431="Inner Centre Jamb", OR(Enginuity!$B$13=4, Enginuity!$B$13=6)),
      AND(
        LEFT(P3431,5)&lt;&gt;"1-Way",
        LEFT(P3431,5)&lt;&gt;"2-Way",
        LEFT(P3431,5)&lt;&gt;"3-Way",
        P3431&lt;&gt;"Inner Centre Jamb"
      )
    ),
    IF(OR(Enginuity!$A$1="Frameless Glass",Enginuity!$A$1="Metal Work"),
      AND(TRIM(B3431)=TRIM(Enginuity!$A$17),TRIM(C3431)=TRIM(Enginuity!$A$18)),
      TRIM(B3431)=TRIM(Enginuity!$A$17)
    )
  ),
  ROW(),
  ""
)</f>
        <v/>
      </c>
    </row>
    <row r="3432" spans="21:21" x14ac:dyDescent="0.25">
      <c r="U3432" s="104" t="str">
        <f>IF(
  AND(
    TRIM(A3432)=TRIM(Enginuity!$A$1),
    TRIM(B3432)=TRIM(Enginuity!$A$17),
    Q3432&lt;&gt;"",
    Q3432&lt;&gt;0,
    OR(
      TRIM(C3432)=TRIM(Enginuity!$A$18),
      AND(UPPER(TRIM(M3432))="STD", TRIM(B3432)=TRIM(Enginuity!$A$17))
    ),
    OR(
      AND(LEFT(P3432,5)="1-Way", Enginuity!$B$13=1),
      AND(LEFT(P3432,5)="2-Way", OR(Enginuity!$B$13=2, Enginuity!$B$13=4)),
      AND(LEFT(P3432,5)="3-Way", OR(Enginuity!$B$13=3, Enginuity!$B$13=6)),
      AND(P3432="Inner Centre Jamb", OR(Enginuity!$B$13=4, Enginuity!$B$13=6)),
      AND(
        LEFT(P3432,5)&lt;&gt;"1-Way",
        LEFT(P3432,5)&lt;&gt;"2-Way",
        LEFT(P3432,5)&lt;&gt;"3-Way",
        P3432&lt;&gt;"Inner Centre Jamb"
      )
    ),
    IF(OR(Enginuity!$A$1="Frameless Glass",Enginuity!$A$1="Metal Work"),
      AND(TRIM(B3432)=TRIM(Enginuity!$A$17),TRIM(C3432)=TRIM(Enginuity!$A$18)),
      TRIM(B3432)=TRIM(Enginuity!$A$17)
    )
  ),
  ROW(),
  ""
)</f>
        <v/>
      </c>
    </row>
    <row r="3433" spans="21:21" x14ac:dyDescent="0.25">
      <c r="U3433" s="104" t="str">
        <f>IF(
  AND(
    TRIM(A3433)=TRIM(Enginuity!$A$1),
    TRIM(B3433)=TRIM(Enginuity!$A$17),
    Q3433&lt;&gt;"",
    Q3433&lt;&gt;0,
    OR(
      TRIM(C3433)=TRIM(Enginuity!$A$18),
      AND(UPPER(TRIM(M3433))="STD", TRIM(B3433)=TRIM(Enginuity!$A$17))
    ),
    OR(
      AND(LEFT(P3433,5)="1-Way", Enginuity!$B$13=1),
      AND(LEFT(P3433,5)="2-Way", OR(Enginuity!$B$13=2, Enginuity!$B$13=4)),
      AND(LEFT(P3433,5)="3-Way", OR(Enginuity!$B$13=3, Enginuity!$B$13=6)),
      AND(P3433="Inner Centre Jamb", OR(Enginuity!$B$13=4, Enginuity!$B$13=6)),
      AND(
        LEFT(P3433,5)&lt;&gt;"1-Way",
        LEFT(P3433,5)&lt;&gt;"2-Way",
        LEFT(P3433,5)&lt;&gt;"3-Way",
        P3433&lt;&gt;"Inner Centre Jamb"
      )
    ),
    IF(OR(Enginuity!$A$1="Frameless Glass",Enginuity!$A$1="Metal Work"),
      AND(TRIM(B3433)=TRIM(Enginuity!$A$17),TRIM(C3433)=TRIM(Enginuity!$A$18)),
      TRIM(B3433)=TRIM(Enginuity!$A$17)
    )
  ),
  ROW(),
  ""
)</f>
        <v/>
      </c>
    </row>
    <row r="3434" spans="21:21" x14ac:dyDescent="0.25">
      <c r="U3434" s="104" t="str">
        <f>IF(
  AND(
    TRIM(A3434)=TRIM(Enginuity!$A$1),
    TRIM(B3434)=TRIM(Enginuity!$A$17),
    Q3434&lt;&gt;"",
    Q3434&lt;&gt;0,
    OR(
      TRIM(C3434)=TRIM(Enginuity!$A$18),
      AND(UPPER(TRIM(M3434))="STD", TRIM(B3434)=TRIM(Enginuity!$A$17))
    ),
    OR(
      AND(LEFT(P3434,5)="1-Way", Enginuity!$B$13=1),
      AND(LEFT(P3434,5)="2-Way", OR(Enginuity!$B$13=2, Enginuity!$B$13=4)),
      AND(LEFT(P3434,5)="3-Way", OR(Enginuity!$B$13=3, Enginuity!$B$13=6)),
      AND(P3434="Inner Centre Jamb", OR(Enginuity!$B$13=4, Enginuity!$B$13=6)),
      AND(
        LEFT(P3434,5)&lt;&gt;"1-Way",
        LEFT(P3434,5)&lt;&gt;"2-Way",
        LEFT(P3434,5)&lt;&gt;"3-Way",
        P3434&lt;&gt;"Inner Centre Jamb"
      )
    ),
    IF(OR(Enginuity!$A$1="Frameless Glass",Enginuity!$A$1="Metal Work"),
      AND(TRIM(B3434)=TRIM(Enginuity!$A$17),TRIM(C3434)=TRIM(Enginuity!$A$18)),
      TRIM(B3434)=TRIM(Enginuity!$A$17)
    )
  ),
  ROW(),
  ""
)</f>
        <v/>
      </c>
    </row>
    <row r="3435" spans="21:21" x14ac:dyDescent="0.25">
      <c r="U3435" s="104" t="str">
        <f>IF(
  AND(
    TRIM(A3435)=TRIM(Enginuity!$A$1),
    TRIM(B3435)=TRIM(Enginuity!$A$17),
    Q3435&lt;&gt;"",
    Q3435&lt;&gt;0,
    OR(
      TRIM(C3435)=TRIM(Enginuity!$A$18),
      AND(UPPER(TRIM(M3435))="STD", TRIM(B3435)=TRIM(Enginuity!$A$17))
    ),
    OR(
      AND(LEFT(P3435,5)="1-Way", Enginuity!$B$13=1),
      AND(LEFT(P3435,5)="2-Way", OR(Enginuity!$B$13=2, Enginuity!$B$13=4)),
      AND(LEFT(P3435,5)="3-Way", OR(Enginuity!$B$13=3, Enginuity!$B$13=6)),
      AND(P3435="Inner Centre Jamb", OR(Enginuity!$B$13=4, Enginuity!$B$13=6)),
      AND(
        LEFT(P3435,5)&lt;&gt;"1-Way",
        LEFT(P3435,5)&lt;&gt;"2-Way",
        LEFT(P3435,5)&lt;&gt;"3-Way",
        P3435&lt;&gt;"Inner Centre Jamb"
      )
    ),
    IF(OR(Enginuity!$A$1="Frameless Glass",Enginuity!$A$1="Metal Work"),
      AND(TRIM(B3435)=TRIM(Enginuity!$A$17),TRIM(C3435)=TRIM(Enginuity!$A$18)),
      TRIM(B3435)=TRIM(Enginuity!$A$17)
    )
  ),
  ROW(),
  ""
)</f>
        <v/>
      </c>
    </row>
    <row r="3436" spans="21:21" x14ac:dyDescent="0.25">
      <c r="U3436" s="104" t="str">
        <f>IF(
  AND(
    TRIM(A3436)=TRIM(Enginuity!$A$1),
    TRIM(B3436)=TRIM(Enginuity!$A$17),
    Q3436&lt;&gt;"",
    Q3436&lt;&gt;0,
    OR(
      TRIM(C3436)=TRIM(Enginuity!$A$18),
      AND(UPPER(TRIM(M3436))="STD", TRIM(B3436)=TRIM(Enginuity!$A$17))
    ),
    OR(
      AND(LEFT(P3436,5)="1-Way", Enginuity!$B$13=1),
      AND(LEFT(P3436,5)="2-Way", OR(Enginuity!$B$13=2, Enginuity!$B$13=4)),
      AND(LEFT(P3436,5)="3-Way", OR(Enginuity!$B$13=3, Enginuity!$B$13=6)),
      AND(P3436="Inner Centre Jamb", OR(Enginuity!$B$13=4, Enginuity!$B$13=6)),
      AND(
        LEFT(P3436,5)&lt;&gt;"1-Way",
        LEFT(P3436,5)&lt;&gt;"2-Way",
        LEFT(P3436,5)&lt;&gt;"3-Way",
        P3436&lt;&gt;"Inner Centre Jamb"
      )
    ),
    IF(OR(Enginuity!$A$1="Frameless Glass",Enginuity!$A$1="Metal Work"),
      AND(TRIM(B3436)=TRIM(Enginuity!$A$17),TRIM(C3436)=TRIM(Enginuity!$A$18)),
      TRIM(B3436)=TRIM(Enginuity!$A$17)
    )
  ),
  ROW(),
  ""
)</f>
        <v/>
      </c>
    </row>
    <row r="3437" spans="21:21" x14ac:dyDescent="0.25">
      <c r="U3437" s="104" t="str">
        <f>IF(
  AND(
    TRIM(A3437)=TRIM(Enginuity!$A$1),
    TRIM(B3437)=TRIM(Enginuity!$A$17),
    Q3437&lt;&gt;"",
    Q3437&lt;&gt;0,
    OR(
      TRIM(C3437)=TRIM(Enginuity!$A$18),
      AND(UPPER(TRIM(M3437))="STD", TRIM(B3437)=TRIM(Enginuity!$A$17))
    ),
    OR(
      AND(LEFT(P3437,5)="1-Way", Enginuity!$B$13=1),
      AND(LEFT(P3437,5)="2-Way", OR(Enginuity!$B$13=2, Enginuity!$B$13=4)),
      AND(LEFT(P3437,5)="3-Way", OR(Enginuity!$B$13=3, Enginuity!$B$13=6)),
      AND(P3437="Inner Centre Jamb", OR(Enginuity!$B$13=4, Enginuity!$B$13=6)),
      AND(
        LEFT(P3437,5)&lt;&gt;"1-Way",
        LEFT(P3437,5)&lt;&gt;"2-Way",
        LEFT(P3437,5)&lt;&gt;"3-Way",
        P3437&lt;&gt;"Inner Centre Jamb"
      )
    ),
    IF(OR(Enginuity!$A$1="Frameless Glass",Enginuity!$A$1="Metal Work"),
      AND(TRIM(B3437)=TRIM(Enginuity!$A$17),TRIM(C3437)=TRIM(Enginuity!$A$18)),
      TRIM(B3437)=TRIM(Enginuity!$A$17)
    )
  ),
  ROW(),
  ""
)</f>
        <v/>
      </c>
    </row>
    <row r="3438" spans="21:21" x14ac:dyDescent="0.25">
      <c r="U3438" s="104" t="str">
        <f>IF(
  AND(
    TRIM(A3438)=TRIM(Enginuity!$A$1),
    TRIM(B3438)=TRIM(Enginuity!$A$17),
    Q3438&lt;&gt;"",
    Q3438&lt;&gt;0,
    OR(
      TRIM(C3438)=TRIM(Enginuity!$A$18),
      AND(UPPER(TRIM(M3438))="STD", TRIM(B3438)=TRIM(Enginuity!$A$17))
    ),
    OR(
      AND(LEFT(P3438,5)="1-Way", Enginuity!$B$13=1),
      AND(LEFT(P3438,5)="2-Way", OR(Enginuity!$B$13=2, Enginuity!$B$13=4)),
      AND(LEFT(P3438,5)="3-Way", OR(Enginuity!$B$13=3, Enginuity!$B$13=6)),
      AND(P3438="Inner Centre Jamb", OR(Enginuity!$B$13=4, Enginuity!$B$13=6)),
      AND(
        LEFT(P3438,5)&lt;&gt;"1-Way",
        LEFT(P3438,5)&lt;&gt;"2-Way",
        LEFT(P3438,5)&lt;&gt;"3-Way",
        P3438&lt;&gt;"Inner Centre Jamb"
      )
    ),
    IF(OR(Enginuity!$A$1="Frameless Glass",Enginuity!$A$1="Metal Work"),
      AND(TRIM(B3438)=TRIM(Enginuity!$A$17),TRIM(C3438)=TRIM(Enginuity!$A$18)),
      TRIM(B3438)=TRIM(Enginuity!$A$17)
    )
  ),
  ROW(),
  ""
)</f>
        <v/>
      </c>
    </row>
    <row r="3439" spans="21:21" x14ac:dyDescent="0.25">
      <c r="U3439" s="104" t="str">
        <f>IF(
  AND(
    TRIM(A3439)=TRIM(Enginuity!$A$1),
    TRIM(B3439)=TRIM(Enginuity!$A$17),
    Q3439&lt;&gt;"",
    Q3439&lt;&gt;0,
    OR(
      TRIM(C3439)=TRIM(Enginuity!$A$18),
      AND(UPPER(TRIM(M3439))="STD", TRIM(B3439)=TRIM(Enginuity!$A$17))
    ),
    OR(
      AND(LEFT(P3439,5)="1-Way", Enginuity!$B$13=1),
      AND(LEFT(P3439,5)="2-Way", OR(Enginuity!$B$13=2, Enginuity!$B$13=4)),
      AND(LEFT(P3439,5)="3-Way", OR(Enginuity!$B$13=3, Enginuity!$B$13=6)),
      AND(P3439="Inner Centre Jamb", OR(Enginuity!$B$13=4, Enginuity!$B$13=6)),
      AND(
        LEFT(P3439,5)&lt;&gt;"1-Way",
        LEFT(P3439,5)&lt;&gt;"2-Way",
        LEFT(P3439,5)&lt;&gt;"3-Way",
        P3439&lt;&gt;"Inner Centre Jamb"
      )
    ),
    IF(OR(Enginuity!$A$1="Frameless Glass",Enginuity!$A$1="Metal Work"),
      AND(TRIM(B3439)=TRIM(Enginuity!$A$17),TRIM(C3439)=TRIM(Enginuity!$A$18)),
      TRIM(B3439)=TRIM(Enginuity!$A$17)
    )
  ),
  ROW(),
  ""
)</f>
        <v/>
      </c>
    </row>
    <row r="3440" spans="21:21" x14ac:dyDescent="0.25">
      <c r="U3440" s="104" t="str">
        <f>IF(
  AND(
    TRIM(A3440)=TRIM(Enginuity!$A$1),
    TRIM(B3440)=TRIM(Enginuity!$A$17),
    Q3440&lt;&gt;"",
    Q3440&lt;&gt;0,
    OR(
      TRIM(C3440)=TRIM(Enginuity!$A$18),
      AND(UPPER(TRIM(M3440))="STD", TRIM(B3440)=TRIM(Enginuity!$A$17))
    ),
    OR(
      AND(LEFT(P3440,5)="1-Way", Enginuity!$B$13=1),
      AND(LEFT(P3440,5)="2-Way", OR(Enginuity!$B$13=2, Enginuity!$B$13=4)),
      AND(LEFT(P3440,5)="3-Way", OR(Enginuity!$B$13=3, Enginuity!$B$13=6)),
      AND(P3440="Inner Centre Jamb", OR(Enginuity!$B$13=4, Enginuity!$B$13=6)),
      AND(
        LEFT(P3440,5)&lt;&gt;"1-Way",
        LEFT(P3440,5)&lt;&gt;"2-Way",
        LEFT(P3440,5)&lt;&gt;"3-Way",
        P3440&lt;&gt;"Inner Centre Jamb"
      )
    ),
    IF(OR(Enginuity!$A$1="Frameless Glass",Enginuity!$A$1="Metal Work"),
      AND(TRIM(B3440)=TRIM(Enginuity!$A$17),TRIM(C3440)=TRIM(Enginuity!$A$18)),
      TRIM(B3440)=TRIM(Enginuity!$A$17)
    )
  ),
  ROW(),
  ""
)</f>
        <v/>
      </c>
    </row>
    <row r="3441" spans="21:21" x14ac:dyDescent="0.25">
      <c r="U3441" s="104" t="str">
        <f>IF(
  AND(
    TRIM(A3441)=TRIM(Enginuity!$A$1),
    TRIM(B3441)=TRIM(Enginuity!$A$17),
    Q3441&lt;&gt;"",
    Q3441&lt;&gt;0,
    OR(
      TRIM(C3441)=TRIM(Enginuity!$A$18),
      AND(UPPER(TRIM(M3441))="STD", TRIM(B3441)=TRIM(Enginuity!$A$17))
    ),
    OR(
      AND(LEFT(P3441,5)="1-Way", Enginuity!$B$13=1),
      AND(LEFT(P3441,5)="2-Way", OR(Enginuity!$B$13=2, Enginuity!$B$13=4)),
      AND(LEFT(P3441,5)="3-Way", OR(Enginuity!$B$13=3, Enginuity!$B$13=6)),
      AND(P3441="Inner Centre Jamb", OR(Enginuity!$B$13=4, Enginuity!$B$13=6)),
      AND(
        LEFT(P3441,5)&lt;&gt;"1-Way",
        LEFT(P3441,5)&lt;&gt;"2-Way",
        LEFT(P3441,5)&lt;&gt;"3-Way",
        P3441&lt;&gt;"Inner Centre Jamb"
      )
    ),
    IF(OR(Enginuity!$A$1="Frameless Glass",Enginuity!$A$1="Metal Work"),
      AND(TRIM(B3441)=TRIM(Enginuity!$A$17),TRIM(C3441)=TRIM(Enginuity!$A$18)),
      TRIM(B3441)=TRIM(Enginuity!$A$17)
    )
  ),
  ROW(),
  ""
)</f>
        <v/>
      </c>
    </row>
    <row r="3442" spans="21:21" x14ac:dyDescent="0.25">
      <c r="U3442" s="104" t="str">
        <f>IF(
  AND(
    TRIM(A3442)=TRIM(Enginuity!$A$1),
    TRIM(B3442)=TRIM(Enginuity!$A$17),
    Q3442&lt;&gt;"",
    Q3442&lt;&gt;0,
    OR(
      TRIM(C3442)=TRIM(Enginuity!$A$18),
      AND(UPPER(TRIM(M3442))="STD", TRIM(B3442)=TRIM(Enginuity!$A$17))
    ),
    OR(
      AND(LEFT(P3442,5)="1-Way", Enginuity!$B$13=1),
      AND(LEFT(P3442,5)="2-Way", OR(Enginuity!$B$13=2, Enginuity!$B$13=4)),
      AND(LEFT(P3442,5)="3-Way", OR(Enginuity!$B$13=3, Enginuity!$B$13=6)),
      AND(P3442="Inner Centre Jamb", OR(Enginuity!$B$13=4, Enginuity!$B$13=6)),
      AND(
        LEFT(P3442,5)&lt;&gt;"1-Way",
        LEFT(P3442,5)&lt;&gt;"2-Way",
        LEFT(P3442,5)&lt;&gt;"3-Way",
        P3442&lt;&gt;"Inner Centre Jamb"
      )
    ),
    IF(OR(Enginuity!$A$1="Frameless Glass",Enginuity!$A$1="Metal Work"),
      AND(TRIM(B3442)=TRIM(Enginuity!$A$17),TRIM(C3442)=TRIM(Enginuity!$A$18)),
      TRIM(B3442)=TRIM(Enginuity!$A$17)
    )
  ),
  ROW(),
  ""
)</f>
        <v/>
      </c>
    </row>
    <row r="3443" spans="21:21" x14ac:dyDescent="0.25">
      <c r="U3443" s="104" t="str">
        <f>IF(
  AND(
    TRIM(A3443)=TRIM(Enginuity!$A$1),
    TRIM(B3443)=TRIM(Enginuity!$A$17),
    Q3443&lt;&gt;"",
    Q3443&lt;&gt;0,
    OR(
      TRIM(C3443)=TRIM(Enginuity!$A$18),
      AND(UPPER(TRIM(M3443))="STD", TRIM(B3443)=TRIM(Enginuity!$A$17))
    ),
    OR(
      AND(LEFT(P3443,5)="1-Way", Enginuity!$B$13=1),
      AND(LEFT(P3443,5)="2-Way", OR(Enginuity!$B$13=2, Enginuity!$B$13=4)),
      AND(LEFT(P3443,5)="3-Way", OR(Enginuity!$B$13=3, Enginuity!$B$13=6)),
      AND(P3443="Inner Centre Jamb", OR(Enginuity!$B$13=4, Enginuity!$B$13=6)),
      AND(
        LEFT(P3443,5)&lt;&gt;"1-Way",
        LEFT(P3443,5)&lt;&gt;"2-Way",
        LEFT(P3443,5)&lt;&gt;"3-Way",
        P3443&lt;&gt;"Inner Centre Jamb"
      )
    ),
    IF(OR(Enginuity!$A$1="Frameless Glass",Enginuity!$A$1="Metal Work"),
      AND(TRIM(B3443)=TRIM(Enginuity!$A$17),TRIM(C3443)=TRIM(Enginuity!$A$18)),
      TRIM(B3443)=TRIM(Enginuity!$A$17)
    )
  ),
  ROW(),
  ""
)</f>
        <v/>
      </c>
    </row>
    <row r="3444" spans="21:21" x14ac:dyDescent="0.25">
      <c r="U3444" s="104" t="str">
        <f>IF(
  AND(
    TRIM(A3444)=TRIM(Enginuity!$A$1),
    TRIM(B3444)=TRIM(Enginuity!$A$17),
    Q3444&lt;&gt;"",
    Q3444&lt;&gt;0,
    OR(
      TRIM(C3444)=TRIM(Enginuity!$A$18),
      AND(UPPER(TRIM(M3444))="STD", TRIM(B3444)=TRIM(Enginuity!$A$17))
    ),
    OR(
      AND(LEFT(P3444,5)="1-Way", Enginuity!$B$13=1),
      AND(LEFT(P3444,5)="2-Way", OR(Enginuity!$B$13=2, Enginuity!$B$13=4)),
      AND(LEFT(P3444,5)="3-Way", OR(Enginuity!$B$13=3, Enginuity!$B$13=6)),
      AND(P3444="Inner Centre Jamb", OR(Enginuity!$B$13=4, Enginuity!$B$13=6)),
      AND(
        LEFT(P3444,5)&lt;&gt;"1-Way",
        LEFT(P3444,5)&lt;&gt;"2-Way",
        LEFT(P3444,5)&lt;&gt;"3-Way",
        P3444&lt;&gt;"Inner Centre Jamb"
      )
    ),
    IF(OR(Enginuity!$A$1="Frameless Glass",Enginuity!$A$1="Metal Work"),
      AND(TRIM(B3444)=TRIM(Enginuity!$A$17),TRIM(C3444)=TRIM(Enginuity!$A$18)),
      TRIM(B3444)=TRIM(Enginuity!$A$17)
    )
  ),
  ROW(),
  ""
)</f>
        <v/>
      </c>
    </row>
    <row r="3445" spans="21:21" x14ac:dyDescent="0.25">
      <c r="U3445" s="104" t="str">
        <f>IF(
  AND(
    TRIM(A3445)=TRIM(Enginuity!$A$1),
    TRIM(B3445)=TRIM(Enginuity!$A$17),
    Q3445&lt;&gt;"",
    Q3445&lt;&gt;0,
    OR(
      TRIM(C3445)=TRIM(Enginuity!$A$18),
      AND(UPPER(TRIM(M3445))="STD", TRIM(B3445)=TRIM(Enginuity!$A$17))
    ),
    OR(
      AND(LEFT(P3445,5)="1-Way", Enginuity!$B$13=1),
      AND(LEFT(P3445,5)="2-Way", OR(Enginuity!$B$13=2, Enginuity!$B$13=4)),
      AND(LEFT(P3445,5)="3-Way", OR(Enginuity!$B$13=3, Enginuity!$B$13=6)),
      AND(P3445="Inner Centre Jamb", OR(Enginuity!$B$13=4, Enginuity!$B$13=6)),
      AND(
        LEFT(P3445,5)&lt;&gt;"1-Way",
        LEFT(P3445,5)&lt;&gt;"2-Way",
        LEFT(P3445,5)&lt;&gt;"3-Way",
        P3445&lt;&gt;"Inner Centre Jamb"
      )
    ),
    IF(OR(Enginuity!$A$1="Frameless Glass",Enginuity!$A$1="Metal Work"),
      AND(TRIM(B3445)=TRIM(Enginuity!$A$17),TRIM(C3445)=TRIM(Enginuity!$A$18)),
      TRIM(B3445)=TRIM(Enginuity!$A$17)
    )
  ),
  ROW(),
  ""
)</f>
        <v/>
      </c>
    </row>
    <row r="3446" spans="21:21" x14ac:dyDescent="0.25">
      <c r="U3446" s="104" t="str">
        <f>IF(
  AND(
    TRIM(A3446)=TRIM(Enginuity!$A$1),
    TRIM(B3446)=TRIM(Enginuity!$A$17),
    Q3446&lt;&gt;"",
    Q3446&lt;&gt;0,
    OR(
      TRIM(C3446)=TRIM(Enginuity!$A$18),
      AND(UPPER(TRIM(M3446))="STD", TRIM(B3446)=TRIM(Enginuity!$A$17))
    ),
    OR(
      AND(LEFT(P3446,5)="1-Way", Enginuity!$B$13=1),
      AND(LEFT(P3446,5)="2-Way", OR(Enginuity!$B$13=2, Enginuity!$B$13=4)),
      AND(LEFT(P3446,5)="3-Way", OR(Enginuity!$B$13=3, Enginuity!$B$13=6)),
      AND(P3446="Inner Centre Jamb", OR(Enginuity!$B$13=4, Enginuity!$B$13=6)),
      AND(
        LEFT(P3446,5)&lt;&gt;"1-Way",
        LEFT(P3446,5)&lt;&gt;"2-Way",
        LEFT(P3446,5)&lt;&gt;"3-Way",
        P3446&lt;&gt;"Inner Centre Jamb"
      )
    ),
    IF(OR(Enginuity!$A$1="Frameless Glass",Enginuity!$A$1="Metal Work"),
      AND(TRIM(B3446)=TRIM(Enginuity!$A$17),TRIM(C3446)=TRIM(Enginuity!$A$18)),
      TRIM(B3446)=TRIM(Enginuity!$A$17)
    )
  ),
  ROW(),
  ""
)</f>
        <v/>
      </c>
    </row>
    <row r="3447" spans="21:21" x14ac:dyDescent="0.25">
      <c r="U3447" s="104" t="str">
        <f>IF(
  AND(
    TRIM(A3447)=TRIM(Enginuity!$A$1),
    TRIM(B3447)=TRIM(Enginuity!$A$17),
    Q3447&lt;&gt;"",
    Q3447&lt;&gt;0,
    OR(
      TRIM(C3447)=TRIM(Enginuity!$A$18),
      AND(UPPER(TRIM(M3447))="STD", TRIM(B3447)=TRIM(Enginuity!$A$17))
    ),
    OR(
      AND(LEFT(P3447,5)="1-Way", Enginuity!$B$13=1),
      AND(LEFT(P3447,5)="2-Way", OR(Enginuity!$B$13=2, Enginuity!$B$13=4)),
      AND(LEFT(P3447,5)="3-Way", OR(Enginuity!$B$13=3, Enginuity!$B$13=6)),
      AND(P3447="Inner Centre Jamb", OR(Enginuity!$B$13=4, Enginuity!$B$13=6)),
      AND(
        LEFT(P3447,5)&lt;&gt;"1-Way",
        LEFT(P3447,5)&lt;&gt;"2-Way",
        LEFT(P3447,5)&lt;&gt;"3-Way",
        P3447&lt;&gt;"Inner Centre Jamb"
      )
    ),
    IF(OR(Enginuity!$A$1="Frameless Glass",Enginuity!$A$1="Metal Work"),
      AND(TRIM(B3447)=TRIM(Enginuity!$A$17),TRIM(C3447)=TRIM(Enginuity!$A$18)),
      TRIM(B3447)=TRIM(Enginuity!$A$17)
    )
  ),
  ROW(),
  ""
)</f>
        <v/>
      </c>
    </row>
    <row r="3448" spans="21:21" x14ac:dyDescent="0.25">
      <c r="U3448" s="104" t="str">
        <f>IF(
  AND(
    TRIM(A3448)=TRIM(Enginuity!$A$1),
    TRIM(B3448)=TRIM(Enginuity!$A$17),
    Q3448&lt;&gt;"",
    Q3448&lt;&gt;0,
    OR(
      TRIM(C3448)=TRIM(Enginuity!$A$18),
      AND(UPPER(TRIM(M3448))="STD", TRIM(B3448)=TRIM(Enginuity!$A$17))
    ),
    OR(
      AND(LEFT(P3448,5)="1-Way", Enginuity!$B$13=1),
      AND(LEFT(P3448,5)="2-Way", OR(Enginuity!$B$13=2, Enginuity!$B$13=4)),
      AND(LEFT(P3448,5)="3-Way", OR(Enginuity!$B$13=3, Enginuity!$B$13=6)),
      AND(P3448="Inner Centre Jamb", OR(Enginuity!$B$13=4, Enginuity!$B$13=6)),
      AND(
        LEFT(P3448,5)&lt;&gt;"1-Way",
        LEFT(P3448,5)&lt;&gt;"2-Way",
        LEFT(P3448,5)&lt;&gt;"3-Way",
        P3448&lt;&gt;"Inner Centre Jamb"
      )
    ),
    IF(OR(Enginuity!$A$1="Frameless Glass",Enginuity!$A$1="Metal Work"),
      AND(TRIM(B3448)=TRIM(Enginuity!$A$17),TRIM(C3448)=TRIM(Enginuity!$A$18)),
      TRIM(B3448)=TRIM(Enginuity!$A$17)
    )
  ),
  ROW(),
  ""
)</f>
        <v/>
      </c>
    </row>
    <row r="3449" spans="21:21" x14ac:dyDescent="0.25">
      <c r="U3449" s="104" t="str">
        <f>IF(
  AND(
    TRIM(A3449)=TRIM(Enginuity!$A$1),
    TRIM(B3449)=TRIM(Enginuity!$A$17),
    Q3449&lt;&gt;"",
    Q3449&lt;&gt;0,
    OR(
      TRIM(C3449)=TRIM(Enginuity!$A$18),
      AND(UPPER(TRIM(M3449))="STD", TRIM(B3449)=TRIM(Enginuity!$A$17))
    ),
    OR(
      AND(LEFT(P3449,5)="1-Way", Enginuity!$B$13=1),
      AND(LEFT(P3449,5)="2-Way", OR(Enginuity!$B$13=2, Enginuity!$B$13=4)),
      AND(LEFT(P3449,5)="3-Way", OR(Enginuity!$B$13=3, Enginuity!$B$13=6)),
      AND(P3449="Inner Centre Jamb", OR(Enginuity!$B$13=4, Enginuity!$B$13=6)),
      AND(
        LEFT(P3449,5)&lt;&gt;"1-Way",
        LEFT(P3449,5)&lt;&gt;"2-Way",
        LEFT(P3449,5)&lt;&gt;"3-Way",
        P3449&lt;&gt;"Inner Centre Jamb"
      )
    ),
    IF(OR(Enginuity!$A$1="Frameless Glass",Enginuity!$A$1="Metal Work"),
      AND(TRIM(B3449)=TRIM(Enginuity!$A$17),TRIM(C3449)=TRIM(Enginuity!$A$18)),
      TRIM(B3449)=TRIM(Enginuity!$A$17)
    )
  ),
  ROW(),
  ""
)</f>
        <v/>
      </c>
    </row>
    <row r="3450" spans="21:21" x14ac:dyDescent="0.25">
      <c r="U3450" s="104" t="str">
        <f>IF(
  AND(
    TRIM(A3450)=TRIM(Enginuity!$A$1),
    TRIM(B3450)=TRIM(Enginuity!$A$17),
    Q3450&lt;&gt;"",
    Q3450&lt;&gt;0,
    OR(
      TRIM(C3450)=TRIM(Enginuity!$A$18),
      AND(UPPER(TRIM(M3450))="STD", TRIM(B3450)=TRIM(Enginuity!$A$17))
    ),
    OR(
      AND(LEFT(P3450,5)="1-Way", Enginuity!$B$13=1),
      AND(LEFT(P3450,5)="2-Way", OR(Enginuity!$B$13=2, Enginuity!$B$13=4)),
      AND(LEFT(P3450,5)="3-Way", OR(Enginuity!$B$13=3, Enginuity!$B$13=6)),
      AND(P3450="Inner Centre Jamb", OR(Enginuity!$B$13=4, Enginuity!$B$13=6)),
      AND(
        LEFT(P3450,5)&lt;&gt;"1-Way",
        LEFT(P3450,5)&lt;&gt;"2-Way",
        LEFT(P3450,5)&lt;&gt;"3-Way",
        P3450&lt;&gt;"Inner Centre Jamb"
      )
    ),
    IF(OR(Enginuity!$A$1="Frameless Glass",Enginuity!$A$1="Metal Work"),
      AND(TRIM(B3450)=TRIM(Enginuity!$A$17),TRIM(C3450)=TRIM(Enginuity!$A$18)),
      TRIM(B3450)=TRIM(Enginuity!$A$17)
    )
  ),
  ROW(),
  ""
)</f>
        <v/>
      </c>
    </row>
    <row r="3451" spans="21:21" x14ac:dyDescent="0.25">
      <c r="U3451" s="104" t="str">
        <f>IF(
  AND(
    TRIM(A3451)=TRIM(Enginuity!$A$1),
    TRIM(B3451)=TRIM(Enginuity!$A$17),
    Q3451&lt;&gt;"",
    Q3451&lt;&gt;0,
    OR(
      TRIM(C3451)=TRIM(Enginuity!$A$18),
      AND(UPPER(TRIM(M3451))="STD", TRIM(B3451)=TRIM(Enginuity!$A$17))
    ),
    OR(
      AND(LEFT(P3451,5)="1-Way", Enginuity!$B$13=1),
      AND(LEFT(P3451,5)="2-Way", OR(Enginuity!$B$13=2, Enginuity!$B$13=4)),
      AND(LEFT(P3451,5)="3-Way", OR(Enginuity!$B$13=3, Enginuity!$B$13=6)),
      AND(P3451="Inner Centre Jamb", OR(Enginuity!$B$13=4, Enginuity!$B$13=6)),
      AND(
        LEFT(P3451,5)&lt;&gt;"1-Way",
        LEFT(P3451,5)&lt;&gt;"2-Way",
        LEFT(P3451,5)&lt;&gt;"3-Way",
        P3451&lt;&gt;"Inner Centre Jamb"
      )
    ),
    IF(OR(Enginuity!$A$1="Frameless Glass",Enginuity!$A$1="Metal Work"),
      AND(TRIM(B3451)=TRIM(Enginuity!$A$17),TRIM(C3451)=TRIM(Enginuity!$A$18)),
      TRIM(B3451)=TRIM(Enginuity!$A$17)
    )
  ),
  ROW(),
  ""
)</f>
        <v/>
      </c>
    </row>
    <row r="3452" spans="21:21" x14ac:dyDescent="0.25">
      <c r="U3452" s="104" t="str">
        <f>IF(
  AND(
    TRIM(A3452)=TRIM(Enginuity!$A$1),
    TRIM(B3452)=TRIM(Enginuity!$A$17),
    Q3452&lt;&gt;"",
    Q3452&lt;&gt;0,
    OR(
      TRIM(C3452)=TRIM(Enginuity!$A$18),
      AND(UPPER(TRIM(M3452))="STD", TRIM(B3452)=TRIM(Enginuity!$A$17))
    ),
    OR(
      AND(LEFT(P3452,5)="1-Way", Enginuity!$B$13=1),
      AND(LEFT(P3452,5)="2-Way", OR(Enginuity!$B$13=2, Enginuity!$B$13=4)),
      AND(LEFT(P3452,5)="3-Way", OR(Enginuity!$B$13=3, Enginuity!$B$13=6)),
      AND(P3452="Inner Centre Jamb", OR(Enginuity!$B$13=4, Enginuity!$B$13=6)),
      AND(
        LEFT(P3452,5)&lt;&gt;"1-Way",
        LEFT(P3452,5)&lt;&gt;"2-Way",
        LEFT(P3452,5)&lt;&gt;"3-Way",
        P3452&lt;&gt;"Inner Centre Jamb"
      )
    ),
    IF(OR(Enginuity!$A$1="Frameless Glass",Enginuity!$A$1="Metal Work"),
      AND(TRIM(B3452)=TRIM(Enginuity!$A$17),TRIM(C3452)=TRIM(Enginuity!$A$18)),
      TRIM(B3452)=TRIM(Enginuity!$A$17)
    )
  ),
  ROW(),
  ""
)</f>
        <v/>
      </c>
    </row>
    <row r="3453" spans="21:21" x14ac:dyDescent="0.25">
      <c r="U3453" s="104" t="str">
        <f>IF(
  AND(
    TRIM(A3453)=TRIM(Enginuity!$A$1),
    TRIM(B3453)=TRIM(Enginuity!$A$17),
    Q3453&lt;&gt;"",
    Q3453&lt;&gt;0,
    OR(
      TRIM(C3453)=TRIM(Enginuity!$A$18),
      AND(UPPER(TRIM(M3453))="STD", TRIM(B3453)=TRIM(Enginuity!$A$17))
    ),
    OR(
      AND(LEFT(P3453,5)="1-Way", Enginuity!$B$13=1),
      AND(LEFT(P3453,5)="2-Way", OR(Enginuity!$B$13=2, Enginuity!$B$13=4)),
      AND(LEFT(P3453,5)="3-Way", OR(Enginuity!$B$13=3, Enginuity!$B$13=6)),
      AND(P3453="Inner Centre Jamb", OR(Enginuity!$B$13=4, Enginuity!$B$13=6)),
      AND(
        LEFT(P3453,5)&lt;&gt;"1-Way",
        LEFT(P3453,5)&lt;&gt;"2-Way",
        LEFT(P3453,5)&lt;&gt;"3-Way",
        P3453&lt;&gt;"Inner Centre Jamb"
      )
    ),
    IF(OR(Enginuity!$A$1="Frameless Glass",Enginuity!$A$1="Metal Work"),
      AND(TRIM(B3453)=TRIM(Enginuity!$A$17),TRIM(C3453)=TRIM(Enginuity!$A$18)),
      TRIM(B3453)=TRIM(Enginuity!$A$17)
    )
  ),
  ROW(),
  ""
)</f>
        <v/>
      </c>
    </row>
    <row r="3454" spans="21:21" x14ac:dyDescent="0.25">
      <c r="U3454" s="104" t="str">
        <f>IF(
  AND(
    TRIM(A3454)=TRIM(Enginuity!$A$1),
    TRIM(B3454)=TRIM(Enginuity!$A$17),
    Q3454&lt;&gt;"",
    Q3454&lt;&gt;0,
    OR(
      TRIM(C3454)=TRIM(Enginuity!$A$18),
      AND(UPPER(TRIM(M3454))="STD", TRIM(B3454)=TRIM(Enginuity!$A$17))
    ),
    OR(
      AND(LEFT(P3454,5)="1-Way", Enginuity!$B$13=1),
      AND(LEFT(P3454,5)="2-Way", OR(Enginuity!$B$13=2, Enginuity!$B$13=4)),
      AND(LEFT(P3454,5)="3-Way", OR(Enginuity!$B$13=3, Enginuity!$B$13=6)),
      AND(P3454="Inner Centre Jamb", OR(Enginuity!$B$13=4, Enginuity!$B$13=6)),
      AND(
        LEFT(P3454,5)&lt;&gt;"1-Way",
        LEFT(P3454,5)&lt;&gt;"2-Way",
        LEFT(P3454,5)&lt;&gt;"3-Way",
        P3454&lt;&gt;"Inner Centre Jamb"
      )
    ),
    IF(OR(Enginuity!$A$1="Frameless Glass",Enginuity!$A$1="Metal Work"),
      AND(TRIM(B3454)=TRIM(Enginuity!$A$17),TRIM(C3454)=TRIM(Enginuity!$A$18)),
      TRIM(B3454)=TRIM(Enginuity!$A$17)
    )
  ),
  ROW(),
  ""
)</f>
        <v/>
      </c>
    </row>
    <row r="3455" spans="21:21" x14ac:dyDescent="0.25">
      <c r="U3455" s="104" t="str">
        <f>IF(
  AND(
    TRIM(A3455)=TRIM(Enginuity!$A$1),
    TRIM(B3455)=TRIM(Enginuity!$A$17),
    Q3455&lt;&gt;"",
    Q3455&lt;&gt;0,
    OR(
      TRIM(C3455)=TRIM(Enginuity!$A$18),
      AND(UPPER(TRIM(M3455))="STD", TRIM(B3455)=TRIM(Enginuity!$A$17))
    ),
    OR(
      AND(LEFT(P3455,5)="1-Way", Enginuity!$B$13=1),
      AND(LEFT(P3455,5)="2-Way", OR(Enginuity!$B$13=2, Enginuity!$B$13=4)),
      AND(LEFT(P3455,5)="3-Way", OR(Enginuity!$B$13=3, Enginuity!$B$13=6)),
      AND(P3455="Inner Centre Jamb", OR(Enginuity!$B$13=4, Enginuity!$B$13=6)),
      AND(
        LEFT(P3455,5)&lt;&gt;"1-Way",
        LEFT(P3455,5)&lt;&gt;"2-Way",
        LEFT(P3455,5)&lt;&gt;"3-Way",
        P3455&lt;&gt;"Inner Centre Jamb"
      )
    ),
    IF(OR(Enginuity!$A$1="Frameless Glass",Enginuity!$A$1="Metal Work"),
      AND(TRIM(B3455)=TRIM(Enginuity!$A$17),TRIM(C3455)=TRIM(Enginuity!$A$18)),
      TRIM(B3455)=TRIM(Enginuity!$A$17)
    )
  ),
  ROW(),
  ""
)</f>
        <v/>
      </c>
    </row>
    <row r="3456" spans="21:21" x14ac:dyDescent="0.25">
      <c r="U3456" s="104" t="str">
        <f>IF(
  AND(
    TRIM(A3456)=TRIM(Enginuity!$A$1),
    TRIM(B3456)=TRIM(Enginuity!$A$17),
    Q3456&lt;&gt;"",
    Q3456&lt;&gt;0,
    OR(
      TRIM(C3456)=TRIM(Enginuity!$A$18),
      AND(UPPER(TRIM(M3456))="STD", TRIM(B3456)=TRIM(Enginuity!$A$17))
    ),
    OR(
      AND(LEFT(P3456,5)="1-Way", Enginuity!$B$13=1),
      AND(LEFT(P3456,5)="2-Way", OR(Enginuity!$B$13=2, Enginuity!$B$13=4)),
      AND(LEFT(P3456,5)="3-Way", OR(Enginuity!$B$13=3, Enginuity!$B$13=6)),
      AND(P3456="Inner Centre Jamb", OR(Enginuity!$B$13=4, Enginuity!$B$13=6)),
      AND(
        LEFT(P3456,5)&lt;&gt;"1-Way",
        LEFT(P3456,5)&lt;&gt;"2-Way",
        LEFT(P3456,5)&lt;&gt;"3-Way",
        P3456&lt;&gt;"Inner Centre Jamb"
      )
    ),
    IF(OR(Enginuity!$A$1="Frameless Glass",Enginuity!$A$1="Metal Work"),
      AND(TRIM(B3456)=TRIM(Enginuity!$A$17),TRIM(C3456)=TRIM(Enginuity!$A$18)),
      TRIM(B3456)=TRIM(Enginuity!$A$17)
    )
  ),
  ROW(),
  ""
)</f>
        <v/>
      </c>
    </row>
    <row r="3457" spans="21:21" x14ac:dyDescent="0.25">
      <c r="U3457" s="104" t="str">
        <f>IF(
  AND(
    TRIM(A3457)=TRIM(Enginuity!$A$1),
    TRIM(B3457)=TRIM(Enginuity!$A$17),
    Q3457&lt;&gt;"",
    Q3457&lt;&gt;0,
    OR(
      TRIM(C3457)=TRIM(Enginuity!$A$18),
      AND(UPPER(TRIM(M3457))="STD", TRIM(B3457)=TRIM(Enginuity!$A$17))
    ),
    OR(
      AND(LEFT(P3457,5)="1-Way", Enginuity!$B$13=1),
      AND(LEFT(P3457,5)="2-Way", OR(Enginuity!$B$13=2, Enginuity!$B$13=4)),
      AND(LEFT(P3457,5)="3-Way", OR(Enginuity!$B$13=3, Enginuity!$B$13=6)),
      AND(P3457="Inner Centre Jamb", OR(Enginuity!$B$13=4, Enginuity!$B$13=6)),
      AND(
        LEFT(P3457,5)&lt;&gt;"1-Way",
        LEFT(P3457,5)&lt;&gt;"2-Way",
        LEFT(P3457,5)&lt;&gt;"3-Way",
        P3457&lt;&gt;"Inner Centre Jamb"
      )
    ),
    IF(OR(Enginuity!$A$1="Frameless Glass",Enginuity!$A$1="Metal Work"),
      AND(TRIM(B3457)=TRIM(Enginuity!$A$17),TRIM(C3457)=TRIM(Enginuity!$A$18)),
      TRIM(B3457)=TRIM(Enginuity!$A$17)
    )
  ),
  ROW(),
  ""
)</f>
        <v/>
      </c>
    </row>
    <row r="3458" spans="21:21" x14ac:dyDescent="0.25">
      <c r="U3458" s="104" t="str">
        <f>IF(
  AND(
    TRIM(A3458)=TRIM(Enginuity!$A$1),
    TRIM(B3458)=TRIM(Enginuity!$A$17),
    Q3458&lt;&gt;"",
    Q3458&lt;&gt;0,
    OR(
      TRIM(C3458)=TRIM(Enginuity!$A$18),
      AND(UPPER(TRIM(M3458))="STD", TRIM(B3458)=TRIM(Enginuity!$A$17))
    ),
    OR(
      AND(LEFT(P3458,5)="1-Way", Enginuity!$B$13=1),
      AND(LEFT(P3458,5)="2-Way", OR(Enginuity!$B$13=2, Enginuity!$B$13=4)),
      AND(LEFT(P3458,5)="3-Way", OR(Enginuity!$B$13=3, Enginuity!$B$13=6)),
      AND(P3458="Inner Centre Jamb", OR(Enginuity!$B$13=4, Enginuity!$B$13=6)),
      AND(
        LEFT(P3458,5)&lt;&gt;"1-Way",
        LEFT(P3458,5)&lt;&gt;"2-Way",
        LEFT(P3458,5)&lt;&gt;"3-Way",
        P3458&lt;&gt;"Inner Centre Jamb"
      )
    ),
    IF(OR(Enginuity!$A$1="Frameless Glass",Enginuity!$A$1="Metal Work"),
      AND(TRIM(B3458)=TRIM(Enginuity!$A$17),TRIM(C3458)=TRIM(Enginuity!$A$18)),
      TRIM(B3458)=TRIM(Enginuity!$A$17)
    )
  ),
  ROW(),
  ""
)</f>
        <v/>
      </c>
    </row>
    <row r="3459" spans="21:21" x14ac:dyDescent="0.25">
      <c r="U3459" s="104" t="str">
        <f>IF(
  AND(
    TRIM(A3459)=TRIM(Enginuity!$A$1),
    TRIM(B3459)=TRIM(Enginuity!$A$17),
    Q3459&lt;&gt;"",
    Q3459&lt;&gt;0,
    OR(
      TRIM(C3459)=TRIM(Enginuity!$A$18),
      AND(UPPER(TRIM(M3459))="STD", TRIM(B3459)=TRIM(Enginuity!$A$17))
    ),
    OR(
      AND(LEFT(P3459,5)="1-Way", Enginuity!$B$13=1),
      AND(LEFT(P3459,5)="2-Way", OR(Enginuity!$B$13=2, Enginuity!$B$13=4)),
      AND(LEFT(P3459,5)="3-Way", OR(Enginuity!$B$13=3, Enginuity!$B$13=6)),
      AND(P3459="Inner Centre Jamb", OR(Enginuity!$B$13=4, Enginuity!$B$13=6)),
      AND(
        LEFT(P3459,5)&lt;&gt;"1-Way",
        LEFT(P3459,5)&lt;&gt;"2-Way",
        LEFT(P3459,5)&lt;&gt;"3-Way",
        P3459&lt;&gt;"Inner Centre Jamb"
      )
    ),
    IF(OR(Enginuity!$A$1="Frameless Glass",Enginuity!$A$1="Metal Work"),
      AND(TRIM(B3459)=TRIM(Enginuity!$A$17),TRIM(C3459)=TRIM(Enginuity!$A$18)),
      TRIM(B3459)=TRIM(Enginuity!$A$17)
    )
  ),
  ROW(),
  ""
)</f>
        <v/>
      </c>
    </row>
    <row r="3460" spans="21:21" x14ac:dyDescent="0.25">
      <c r="U3460" s="104" t="str">
        <f>IF(
  AND(
    TRIM(A3460)=TRIM(Enginuity!$A$1),
    TRIM(B3460)=TRIM(Enginuity!$A$17),
    Q3460&lt;&gt;"",
    Q3460&lt;&gt;0,
    OR(
      TRIM(C3460)=TRIM(Enginuity!$A$18),
      AND(UPPER(TRIM(M3460))="STD", TRIM(B3460)=TRIM(Enginuity!$A$17))
    ),
    OR(
      AND(LEFT(P3460,5)="1-Way", Enginuity!$B$13=1),
      AND(LEFT(P3460,5)="2-Way", OR(Enginuity!$B$13=2, Enginuity!$B$13=4)),
      AND(LEFT(P3460,5)="3-Way", OR(Enginuity!$B$13=3, Enginuity!$B$13=6)),
      AND(P3460="Inner Centre Jamb", OR(Enginuity!$B$13=4, Enginuity!$B$13=6)),
      AND(
        LEFT(P3460,5)&lt;&gt;"1-Way",
        LEFT(P3460,5)&lt;&gt;"2-Way",
        LEFT(P3460,5)&lt;&gt;"3-Way",
        P3460&lt;&gt;"Inner Centre Jamb"
      )
    ),
    IF(OR(Enginuity!$A$1="Frameless Glass",Enginuity!$A$1="Metal Work"),
      AND(TRIM(B3460)=TRIM(Enginuity!$A$17),TRIM(C3460)=TRIM(Enginuity!$A$18)),
      TRIM(B3460)=TRIM(Enginuity!$A$17)
    )
  ),
  ROW(),
  ""
)</f>
        <v/>
      </c>
    </row>
    <row r="3461" spans="21:21" x14ac:dyDescent="0.25">
      <c r="U3461" s="104" t="str">
        <f>IF(
  AND(
    TRIM(A3461)=TRIM(Enginuity!$A$1),
    TRIM(B3461)=TRIM(Enginuity!$A$17),
    Q3461&lt;&gt;"",
    Q3461&lt;&gt;0,
    OR(
      TRIM(C3461)=TRIM(Enginuity!$A$18),
      AND(UPPER(TRIM(M3461))="STD", TRIM(B3461)=TRIM(Enginuity!$A$17))
    ),
    OR(
      AND(LEFT(P3461,5)="1-Way", Enginuity!$B$13=1),
      AND(LEFT(P3461,5)="2-Way", OR(Enginuity!$B$13=2, Enginuity!$B$13=4)),
      AND(LEFT(P3461,5)="3-Way", OR(Enginuity!$B$13=3, Enginuity!$B$13=6)),
      AND(P3461="Inner Centre Jamb", OR(Enginuity!$B$13=4, Enginuity!$B$13=6)),
      AND(
        LEFT(P3461,5)&lt;&gt;"1-Way",
        LEFT(P3461,5)&lt;&gt;"2-Way",
        LEFT(P3461,5)&lt;&gt;"3-Way",
        P3461&lt;&gt;"Inner Centre Jamb"
      )
    ),
    IF(OR(Enginuity!$A$1="Frameless Glass",Enginuity!$A$1="Metal Work"),
      AND(TRIM(B3461)=TRIM(Enginuity!$A$17),TRIM(C3461)=TRIM(Enginuity!$A$18)),
      TRIM(B3461)=TRIM(Enginuity!$A$17)
    )
  ),
  ROW(),
  ""
)</f>
        <v/>
      </c>
    </row>
    <row r="3462" spans="21:21" x14ac:dyDescent="0.25">
      <c r="U3462" s="104" t="str">
        <f>IF(
  AND(
    TRIM(A3462)=TRIM(Enginuity!$A$1),
    TRIM(B3462)=TRIM(Enginuity!$A$17),
    Q3462&lt;&gt;"",
    Q3462&lt;&gt;0,
    OR(
      TRIM(C3462)=TRIM(Enginuity!$A$18),
      AND(UPPER(TRIM(M3462))="STD", TRIM(B3462)=TRIM(Enginuity!$A$17))
    ),
    OR(
      AND(LEFT(P3462,5)="1-Way", Enginuity!$B$13=1),
      AND(LEFT(P3462,5)="2-Way", OR(Enginuity!$B$13=2, Enginuity!$B$13=4)),
      AND(LEFT(P3462,5)="3-Way", OR(Enginuity!$B$13=3, Enginuity!$B$13=6)),
      AND(P3462="Inner Centre Jamb", OR(Enginuity!$B$13=4, Enginuity!$B$13=6)),
      AND(
        LEFT(P3462,5)&lt;&gt;"1-Way",
        LEFT(P3462,5)&lt;&gt;"2-Way",
        LEFT(P3462,5)&lt;&gt;"3-Way",
        P3462&lt;&gt;"Inner Centre Jamb"
      )
    ),
    IF(OR(Enginuity!$A$1="Frameless Glass",Enginuity!$A$1="Metal Work"),
      AND(TRIM(B3462)=TRIM(Enginuity!$A$17),TRIM(C3462)=TRIM(Enginuity!$A$18)),
      TRIM(B3462)=TRIM(Enginuity!$A$17)
    )
  ),
  ROW(),
  ""
)</f>
        <v/>
      </c>
    </row>
    <row r="3463" spans="21:21" x14ac:dyDescent="0.25">
      <c r="U3463" s="104" t="str">
        <f>IF(
  AND(
    TRIM(A3463)=TRIM(Enginuity!$A$1),
    TRIM(B3463)=TRIM(Enginuity!$A$17),
    Q3463&lt;&gt;"",
    Q3463&lt;&gt;0,
    OR(
      TRIM(C3463)=TRIM(Enginuity!$A$18),
      AND(UPPER(TRIM(M3463))="STD", TRIM(B3463)=TRIM(Enginuity!$A$17))
    ),
    OR(
      AND(LEFT(P3463,5)="1-Way", Enginuity!$B$13=1),
      AND(LEFT(P3463,5)="2-Way", OR(Enginuity!$B$13=2, Enginuity!$B$13=4)),
      AND(LEFT(P3463,5)="3-Way", OR(Enginuity!$B$13=3, Enginuity!$B$13=6)),
      AND(P3463="Inner Centre Jamb", OR(Enginuity!$B$13=4, Enginuity!$B$13=6)),
      AND(
        LEFT(P3463,5)&lt;&gt;"1-Way",
        LEFT(P3463,5)&lt;&gt;"2-Way",
        LEFT(P3463,5)&lt;&gt;"3-Way",
        P3463&lt;&gt;"Inner Centre Jamb"
      )
    ),
    IF(OR(Enginuity!$A$1="Frameless Glass",Enginuity!$A$1="Metal Work"),
      AND(TRIM(B3463)=TRIM(Enginuity!$A$17),TRIM(C3463)=TRIM(Enginuity!$A$18)),
      TRIM(B3463)=TRIM(Enginuity!$A$17)
    )
  ),
  ROW(),
  ""
)</f>
        <v/>
      </c>
    </row>
    <row r="3464" spans="21:21" x14ac:dyDescent="0.25">
      <c r="U3464" s="104" t="str">
        <f>IF(
  AND(
    TRIM(A3464)=TRIM(Enginuity!$A$1),
    TRIM(B3464)=TRIM(Enginuity!$A$17),
    Q3464&lt;&gt;"",
    Q3464&lt;&gt;0,
    OR(
      TRIM(C3464)=TRIM(Enginuity!$A$18),
      AND(UPPER(TRIM(M3464))="STD", TRIM(B3464)=TRIM(Enginuity!$A$17))
    ),
    OR(
      AND(LEFT(P3464,5)="1-Way", Enginuity!$B$13=1),
      AND(LEFT(P3464,5)="2-Way", OR(Enginuity!$B$13=2, Enginuity!$B$13=4)),
      AND(LEFT(P3464,5)="3-Way", OR(Enginuity!$B$13=3, Enginuity!$B$13=6)),
      AND(P3464="Inner Centre Jamb", OR(Enginuity!$B$13=4, Enginuity!$B$13=6)),
      AND(
        LEFT(P3464,5)&lt;&gt;"1-Way",
        LEFT(P3464,5)&lt;&gt;"2-Way",
        LEFT(P3464,5)&lt;&gt;"3-Way",
        P3464&lt;&gt;"Inner Centre Jamb"
      )
    ),
    IF(OR(Enginuity!$A$1="Frameless Glass",Enginuity!$A$1="Metal Work"),
      AND(TRIM(B3464)=TRIM(Enginuity!$A$17),TRIM(C3464)=TRIM(Enginuity!$A$18)),
      TRIM(B3464)=TRIM(Enginuity!$A$17)
    )
  ),
  ROW(),
  ""
)</f>
        <v/>
      </c>
    </row>
    <row r="3465" spans="21:21" x14ac:dyDescent="0.25">
      <c r="U3465" s="104" t="str">
        <f>IF(
  AND(
    TRIM(A3465)=TRIM(Enginuity!$A$1),
    TRIM(B3465)=TRIM(Enginuity!$A$17),
    Q3465&lt;&gt;"",
    Q3465&lt;&gt;0,
    OR(
      TRIM(C3465)=TRIM(Enginuity!$A$18),
      AND(UPPER(TRIM(M3465))="STD", TRIM(B3465)=TRIM(Enginuity!$A$17))
    ),
    OR(
      AND(LEFT(P3465,5)="1-Way", Enginuity!$B$13=1),
      AND(LEFT(P3465,5)="2-Way", OR(Enginuity!$B$13=2, Enginuity!$B$13=4)),
      AND(LEFT(P3465,5)="3-Way", OR(Enginuity!$B$13=3, Enginuity!$B$13=6)),
      AND(P3465="Inner Centre Jamb", OR(Enginuity!$B$13=4, Enginuity!$B$13=6)),
      AND(
        LEFT(P3465,5)&lt;&gt;"1-Way",
        LEFT(P3465,5)&lt;&gt;"2-Way",
        LEFT(P3465,5)&lt;&gt;"3-Way",
        P3465&lt;&gt;"Inner Centre Jamb"
      )
    ),
    IF(OR(Enginuity!$A$1="Frameless Glass",Enginuity!$A$1="Metal Work"),
      AND(TRIM(B3465)=TRIM(Enginuity!$A$17),TRIM(C3465)=TRIM(Enginuity!$A$18)),
      TRIM(B3465)=TRIM(Enginuity!$A$17)
    )
  ),
  ROW(),
  ""
)</f>
        <v/>
      </c>
    </row>
    <row r="3466" spans="21:21" x14ac:dyDescent="0.25">
      <c r="U3466" s="104" t="str">
        <f>IF(
  AND(
    TRIM(A3466)=TRIM(Enginuity!$A$1),
    TRIM(B3466)=TRIM(Enginuity!$A$17),
    Q3466&lt;&gt;"",
    Q3466&lt;&gt;0,
    OR(
      TRIM(C3466)=TRIM(Enginuity!$A$18),
      AND(UPPER(TRIM(M3466))="STD", TRIM(B3466)=TRIM(Enginuity!$A$17))
    ),
    OR(
      AND(LEFT(P3466,5)="1-Way", Enginuity!$B$13=1),
      AND(LEFT(P3466,5)="2-Way", OR(Enginuity!$B$13=2, Enginuity!$B$13=4)),
      AND(LEFT(P3466,5)="3-Way", OR(Enginuity!$B$13=3, Enginuity!$B$13=6)),
      AND(P3466="Inner Centre Jamb", OR(Enginuity!$B$13=4, Enginuity!$B$13=6)),
      AND(
        LEFT(P3466,5)&lt;&gt;"1-Way",
        LEFT(P3466,5)&lt;&gt;"2-Way",
        LEFT(P3466,5)&lt;&gt;"3-Way",
        P3466&lt;&gt;"Inner Centre Jamb"
      )
    ),
    IF(OR(Enginuity!$A$1="Frameless Glass",Enginuity!$A$1="Metal Work"),
      AND(TRIM(B3466)=TRIM(Enginuity!$A$17),TRIM(C3466)=TRIM(Enginuity!$A$18)),
      TRIM(B3466)=TRIM(Enginuity!$A$17)
    )
  ),
  ROW(),
  ""
)</f>
        <v/>
      </c>
    </row>
    <row r="3467" spans="21:21" x14ac:dyDescent="0.25">
      <c r="U3467" s="104" t="str">
        <f>IF(
  AND(
    TRIM(A3467)=TRIM(Enginuity!$A$1),
    TRIM(B3467)=TRIM(Enginuity!$A$17),
    Q3467&lt;&gt;"",
    Q3467&lt;&gt;0,
    OR(
      TRIM(C3467)=TRIM(Enginuity!$A$18),
      AND(UPPER(TRIM(M3467))="STD", TRIM(B3467)=TRIM(Enginuity!$A$17))
    ),
    OR(
      AND(LEFT(P3467,5)="1-Way", Enginuity!$B$13=1),
      AND(LEFT(P3467,5)="2-Way", OR(Enginuity!$B$13=2, Enginuity!$B$13=4)),
      AND(LEFT(P3467,5)="3-Way", OR(Enginuity!$B$13=3, Enginuity!$B$13=6)),
      AND(P3467="Inner Centre Jamb", OR(Enginuity!$B$13=4, Enginuity!$B$13=6)),
      AND(
        LEFT(P3467,5)&lt;&gt;"1-Way",
        LEFT(P3467,5)&lt;&gt;"2-Way",
        LEFT(P3467,5)&lt;&gt;"3-Way",
        P3467&lt;&gt;"Inner Centre Jamb"
      )
    ),
    IF(OR(Enginuity!$A$1="Frameless Glass",Enginuity!$A$1="Metal Work"),
      AND(TRIM(B3467)=TRIM(Enginuity!$A$17),TRIM(C3467)=TRIM(Enginuity!$A$18)),
      TRIM(B3467)=TRIM(Enginuity!$A$17)
    )
  ),
  ROW(),
  ""
)</f>
        <v/>
      </c>
    </row>
    <row r="3468" spans="21:21" x14ac:dyDescent="0.25">
      <c r="U3468" s="104" t="str">
        <f>IF(
  AND(
    TRIM(A3468)=TRIM(Enginuity!$A$1),
    TRIM(B3468)=TRIM(Enginuity!$A$17),
    Q3468&lt;&gt;"",
    Q3468&lt;&gt;0,
    OR(
      TRIM(C3468)=TRIM(Enginuity!$A$18),
      AND(UPPER(TRIM(M3468))="STD", TRIM(B3468)=TRIM(Enginuity!$A$17))
    ),
    OR(
      AND(LEFT(P3468,5)="1-Way", Enginuity!$B$13=1),
      AND(LEFT(P3468,5)="2-Way", OR(Enginuity!$B$13=2, Enginuity!$B$13=4)),
      AND(LEFT(P3468,5)="3-Way", OR(Enginuity!$B$13=3, Enginuity!$B$13=6)),
      AND(P3468="Inner Centre Jamb", OR(Enginuity!$B$13=4, Enginuity!$B$13=6)),
      AND(
        LEFT(P3468,5)&lt;&gt;"1-Way",
        LEFT(P3468,5)&lt;&gt;"2-Way",
        LEFT(P3468,5)&lt;&gt;"3-Way",
        P3468&lt;&gt;"Inner Centre Jamb"
      )
    ),
    IF(OR(Enginuity!$A$1="Frameless Glass",Enginuity!$A$1="Metal Work"),
      AND(TRIM(B3468)=TRIM(Enginuity!$A$17),TRIM(C3468)=TRIM(Enginuity!$A$18)),
      TRIM(B3468)=TRIM(Enginuity!$A$17)
    )
  ),
  ROW(),
  ""
)</f>
        <v/>
      </c>
    </row>
    <row r="3469" spans="21:21" x14ac:dyDescent="0.25">
      <c r="U3469" s="104" t="str">
        <f>IF(
  AND(
    TRIM(A3469)=TRIM(Enginuity!$A$1),
    TRIM(B3469)=TRIM(Enginuity!$A$17),
    Q3469&lt;&gt;"",
    Q3469&lt;&gt;0,
    OR(
      TRIM(C3469)=TRIM(Enginuity!$A$18),
      AND(UPPER(TRIM(M3469))="STD", TRIM(B3469)=TRIM(Enginuity!$A$17))
    ),
    OR(
      AND(LEFT(P3469,5)="1-Way", Enginuity!$B$13=1),
      AND(LEFT(P3469,5)="2-Way", OR(Enginuity!$B$13=2, Enginuity!$B$13=4)),
      AND(LEFT(P3469,5)="3-Way", OR(Enginuity!$B$13=3, Enginuity!$B$13=6)),
      AND(P3469="Inner Centre Jamb", OR(Enginuity!$B$13=4, Enginuity!$B$13=6)),
      AND(
        LEFT(P3469,5)&lt;&gt;"1-Way",
        LEFT(P3469,5)&lt;&gt;"2-Way",
        LEFT(P3469,5)&lt;&gt;"3-Way",
        P3469&lt;&gt;"Inner Centre Jamb"
      )
    ),
    IF(OR(Enginuity!$A$1="Frameless Glass",Enginuity!$A$1="Metal Work"),
      AND(TRIM(B3469)=TRIM(Enginuity!$A$17),TRIM(C3469)=TRIM(Enginuity!$A$18)),
      TRIM(B3469)=TRIM(Enginuity!$A$17)
    )
  ),
  ROW(),
  ""
)</f>
        <v/>
      </c>
    </row>
    <row r="3470" spans="21:21" x14ac:dyDescent="0.25">
      <c r="U3470" s="104" t="str">
        <f>IF(
  AND(
    TRIM(A3470)=TRIM(Enginuity!$A$1),
    TRIM(B3470)=TRIM(Enginuity!$A$17),
    Q3470&lt;&gt;"",
    Q3470&lt;&gt;0,
    OR(
      TRIM(C3470)=TRIM(Enginuity!$A$18),
      AND(UPPER(TRIM(M3470))="STD", TRIM(B3470)=TRIM(Enginuity!$A$17))
    ),
    OR(
      AND(LEFT(P3470,5)="1-Way", Enginuity!$B$13=1),
      AND(LEFT(P3470,5)="2-Way", OR(Enginuity!$B$13=2, Enginuity!$B$13=4)),
      AND(LEFT(P3470,5)="3-Way", OR(Enginuity!$B$13=3, Enginuity!$B$13=6)),
      AND(P3470="Inner Centre Jamb", OR(Enginuity!$B$13=4, Enginuity!$B$13=6)),
      AND(
        LEFT(P3470,5)&lt;&gt;"1-Way",
        LEFT(P3470,5)&lt;&gt;"2-Way",
        LEFT(P3470,5)&lt;&gt;"3-Way",
        P3470&lt;&gt;"Inner Centre Jamb"
      )
    ),
    IF(OR(Enginuity!$A$1="Frameless Glass",Enginuity!$A$1="Metal Work"),
      AND(TRIM(B3470)=TRIM(Enginuity!$A$17),TRIM(C3470)=TRIM(Enginuity!$A$18)),
      TRIM(B3470)=TRIM(Enginuity!$A$17)
    )
  ),
  ROW(),
  ""
)</f>
        <v/>
      </c>
    </row>
    <row r="3471" spans="21:21" x14ac:dyDescent="0.25">
      <c r="U3471" s="104" t="str">
        <f>IF(
  AND(
    TRIM(A3471)=TRIM(Enginuity!$A$1),
    TRIM(B3471)=TRIM(Enginuity!$A$17),
    Q3471&lt;&gt;"",
    Q3471&lt;&gt;0,
    OR(
      TRIM(C3471)=TRIM(Enginuity!$A$18),
      AND(UPPER(TRIM(M3471))="STD", TRIM(B3471)=TRIM(Enginuity!$A$17))
    ),
    OR(
      AND(LEFT(P3471,5)="1-Way", Enginuity!$B$13=1),
      AND(LEFT(P3471,5)="2-Way", OR(Enginuity!$B$13=2, Enginuity!$B$13=4)),
      AND(LEFT(P3471,5)="3-Way", OR(Enginuity!$B$13=3, Enginuity!$B$13=6)),
      AND(P3471="Inner Centre Jamb", OR(Enginuity!$B$13=4, Enginuity!$B$13=6)),
      AND(
        LEFT(P3471,5)&lt;&gt;"1-Way",
        LEFT(P3471,5)&lt;&gt;"2-Way",
        LEFT(P3471,5)&lt;&gt;"3-Way",
        P3471&lt;&gt;"Inner Centre Jamb"
      )
    ),
    IF(OR(Enginuity!$A$1="Frameless Glass",Enginuity!$A$1="Metal Work"),
      AND(TRIM(B3471)=TRIM(Enginuity!$A$17),TRIM(C3471)=TRIM(Enginuity!$A$18)),
      TRIM(B3471)=TRIM(Enginuity!$A$17)
    )
  ),
  ROW(),
  ""
)</f>
        <v/>
      </c>
    </row>
    <row r="3472" spans="21:21" x14ac:dyDescent="0.25">
      <c r="U3472" s="104" t="str">
        <f>IF(
  AND(
    TRIM(A3472)=TRIM(Enginuity!$A$1),
    TRIM(B3472)=TRIM(Enginuity!$A$17),
    Q3472&lt;&gt;"",
    Q3472&lt;&gt;0,
    OR(
      TRIM(C3472)=TRIM(Enginuity!$A$18),
      AND(UPPER(TRIM(M3472))="STD", TRIM(B3472)=TRIM(Enginuity!$A$17))
    ),
    OR(
      AND(LEFT(P3472,5)="1-Way", Enginuity!$B$13=1),
      AND(LEFT(P3472,5)="2-Way", OR(Enginuity!$B$13=2, Enginuity!$B$13=4)),
      AND(LEFT(P3472,5)="3-Way", OR(Enginuity!$B$13=3, Enginuity!$B$13=6)),
      AND(P3472="Inner Centre Jamb", OR(Enginuity!$B$13=4, Enginuity!$B$13=6)),
      AND(
        LEFT(P3472,5)&lt;&gt;"1-Way",
        LEFT(P3472,5)&lt;&gt;"2-Way",
        LEFT(P3472,5)&lt;&gt;"3-Way",
        P3472&lt;&gt;"Inner Centre Jamb"
      )
    ),
    IF(OR(Enginuity!$A$1="Frameless Glass",Enginuity!$A$1="Metal Work"),
      AND(TRIM(B3472)=TRIM(Enginuity!$A$17),TRIM(C3472)=TRIM(Enginuity!$A$18)),
      TRIM(B3472)=TRIM(Enginuity!$A$17)
    )
  ),
  ROW(),
  ""
)</f>
        <v/>
      </c>
    </row>
    <row r="3473" spans="21:21" x14ac:dyDescent="0.25">
      <c r="U3473" s="104" t="str">
        <f>IF(
  AND(
    TRIM(A3473)=TRIM(Enginuity!$A$1),
    TRIM(B3473)=TRIM(Enginuity!$A$17),
    Q3473&lt;&gt;"",
    Q3473&lt;&gt;0,
    OR(
      TRIM(C3473)=TRIM(Enginuity!$A$18),
      AND(UPPER(TRIM(M3473))="STD", TRIM(B3473)=TRIM(Enginuity!$A$17))
    ),
    OR(
      AND(LEFT(P3473,5)="1-Way", Enginuity!$B$13=1),
      AND(LEFT(P3473,5)="2-Way", OR(Enginuity!$B$13=2, Enginuity!$B$13=4)),
      AND(LEFT(P3473,5)="3-Way", OR(Enginuity!$B$13=3, Enginuity!$B$13=6)),
      AND(P3473="Inner Centre Jamb", OR(Enginuity!$B$13=4, Enginuity!$B$13=6)),
      AND(
        LEFT(P3473,5)&lt;&gt;"1-Way",
        LEFT(P3473,5)&lt;&gt;"2-Way",
        LEFT(P3473,5)&lt;&gt;"3-Way",
        P3473&lt;&gt;"Inner Centre Jamb"
      )
    ),
    IF(OR(Enginuity!$A$1="Frameless Glass",Enginuity!$A$1="Metal Work"),
      AND(TRIM(B3473)=TRIM(Enginuity!$A$17),TRIM(C3473)=TRIM(Enginuity!$A$18)),
      TRIM(B3473)=TRIM(Enginuity!$A$17)
    )
  ),
  ROW(),
  ""
)</f>
        <v/>
      </c>
    </row>
    <row r="3474" spans="21:21" x14ac:dyDescent="0.25">
      <c r="U3474" s="104" t="str">
        <f>IF(
  AND(
    TRIM(A3474)=TRIM(Enginuity!$A$1),
    TRIM(B3474)=TRIM(Enginuity!$A$17),
    Q3474&lt;&gt;"",
    Q3474&lt;&gt;0,
    OR(
      TRIM(C3474)=TRIM(Enginuity!$A$18),
      AND(UPPER(TRIM(M3474))="STD", TRIM(B3474)=TRIM(Enginuity!$A$17))
    ),
    OR(
      AND(LEFT(P3474,5)="1-Way", Enginuity!$B$13=1),
      AND(LEFT(P3474,5)="2-Way", OR(Enginuity!$B$13=2, Enginuity!$B$13=4)),
      AND(LEFT(P3474,5)="3-Way", OR(Enginuity!$B$13=3, Enginuity!$B$13=6)),
      AND(P3474="Inner Centre Jamb", OR(Enginuity!$B$13=4, Enginuity!$B$13=6)),
      AND(
        LEFT(P3474,5)&lt;&gt;"1-Way",
        LEFT(P3474,5)&lt;&gt;"2-Way",
        LEFT(P3474,5)&lt;&gt;"3-Way",
        P3474&lt;&gt;"Inner Centre Jamb"
      )
    ),
    IF(OR(Enginuity!$A$1="Frameless Glass",Enginuity!$A$1="Metal Work"),
      AND(TRIM(B3474)=TRIM(Enginuity!$A$17),TRIM(C3474)=TRIM(Enginuity!$A$18)),
      TRIM(B3474)=TRIM(Enginuity!$A$17)
    )
  ),
  ROW(),
  ""
)</f>
        <v/>
      </c>
    </row>
    <row r="3475" spans="21:21" x14ac:dyDescent="0.25">
      <c r="U3475" s="104" t="str">
        <f>IF(
  AND(
    TRIM(A3475)=TRIM(Enginuity!$A$1),
    TRIM(B3475)=TRIM(Enginuity!$A$17),
    Q3475&lt;&gt;"",
    Q3475&lt;&gt;0,
    OR(
      TRIM(C3475)=TRIM(Enginuity!$A$18),
      AND(UPPER(TRIM(M3475))="STD", TRIM(B3475)=TRIM(Enginuity!$A$17))
    ),
    OR(
      AND(LEFT(P3475,5)="1-Way", Enginuity!$B$13=1),
      AND(LEFT(P3475,5)="2-Way", OR(Enginuity!$B$13=2, Enginuity!$B$13=4)),
      AND(LEFT(P3475,5)="3-Way", OR(Enginuity!$B$13=3, Enginuity!$B$13=6)),
      AND(P3475="Inner Centre Jamb", OR(Enginuity!$B$13=4, Enginuity!$B$13=6)),
      AND(
        LEFT(P3475,5)&lt;&gt;"1-Way",
        LEFT(P3475,5)&lt;&gt;"2-Way",
        LEFT(P3475,5)&lt;&gt;"3-Way",
        P3475&lt;&gt;"Inner Centre Jamb"
      )
    ),
    IF(OR(Enginuity!$A$1="Frameless Glass",Enginuity!$A$1="Metal Work"),
      AND(TRIM(B3475)=TRIM(Enginuity!$A$17),TRIM(C3475)=TRIM(Enginuity!$A$18)),
      TRIM(B3475)=TRIM(Enginuity!$A$17)
    )
  ),
  ROW(),
  ""
)</f>
        <v/>
      </c>
    </row>
    <row r="3476" spans="21:21" x14ac:dyDescent="0.25">
      <c r="U3476" s="104" t="str">
        <f>IF(
  AND(
    TRIM(A3476)=TRIM(Enginuity!$A$1),
    TRIM(B3476)=TRIM(Enginuity!$A$17),
    Q3476&lt;&gt;"",
    Q3476&lt;&gt;0,
    OR(
      TRIM(C3476)=TRIM(Enginuity!$A$18),
      AND(UPPER(TRIM(M3476))="STD", TRIM(B3476)=TRIM(Enginuity!$A$17))
    ),
    OR(
      AND(LEFT(P3476,5)="1-Way", Enginuity!$B$13=1),
      AND(LEFT(P3476,5)="2-Way", OR(Enginuity!$B$13=2, Enginuity!$B$13=4)),
      AND(LEFT(P3476,5)="3-Way", OR(Enginuity!$B$13=3, Enginuity!$B$13=6)),
      AND(P3476="Inner Centre Jamb", OR(Enginuity!$B$13=4, Enginuity!$B$13=6)),
      AND(
        LEFT(P3476,5)&lt;&gt;"1-Way",
        LEFT(P3476,5)&lt;&gt;"2-Way",
        LEFT(P3476,5)&lt;&gt;"3-Way",
        P3476&lt;&gt;"Inner Centre Jamb"
      )
    ),
    IF(OR(Enginuity!$A$1="Frameless Glass",Enginuity!$A$1="Metal Work"),
      AND(TRIM(B3476)=TRIM(Enginuity!$A$17),TRIM(C3476)=TRIM(Enginuity!$A$18)),
      TRIM(B3476)=TRIM(Enginuity!$A$17)
    )
  ),
  ROW(),
  ""
)</f>
        <v/>
      </c>
    </row>
    <row r="3477" spans="21:21" x14ac:dyDescent="0.25">
      <c r="U3477" s="104" t="str">
        <f>IF(
  AND(
    TRIM(A3477)=TRIM(Enginuity!$A$1),
    TRIM(B3477)=TRIM(Enginuity!$A$17),
    Q3477&lt;&gt;"",
    Q3477&lt;&gt;0,
    OR(
      TRIM(C3477)=TRIM(Enginuity!$A$18),
      AND(UPPER(TRIM(M3477))="STD", TRIM(B3477)=TRIM(Enginuity!$A$17))
    ),
    OR(
      AND(LEFT(P3477,5)="1-Way", Enginuity!$B$13=1),
      AND(LEFT(P3477,5)="2-Way", OR(Enginuity!$B$13=2, Enginuity!$B$13=4)),
      AND(LEFT(P3477,5)="3-Way", OR(Enginuity!$B$13=3, Enginuity!$B$13=6)),
      AND(P3477="Inner Centre Jamb", OR(Enginuity!$B$13=4, Enginuity!$B$13=6)),
      AND(
        LEFT(P3477,5)&lt;&gt;"1-Way",
        LEFT(P3477,5)&lt;&gt;"2-Way",
        LEFT(P3477,5)&lt;&gt;"3-Way",
        P3477&lt;&gt;"Inner Centre Jamb"
      )
    ),
    IF(OR(Enginuity!$A$1="Frameless Glass",Enginuity!$A$1="Metal Work"),
      AND(TRIM(B3477)=TRIM(Enginuity!$A$17),TRIM(C3477)=TRIM(Enginuity!$A$18)),
      TRIM(B3477)=TRIM(Enginuity!$A$17)
    )
  ),
  ROW(),
  ""
)</f>
        <v/>
      </c>
    </row>
    <row r="3478" spans="21:21" x14ac:dyDescent="0.25">
      <c r="U3478" s="104" t="str">
        <f>IF(
  AND(
    TRIM(A3478)=TRIM(Enginuity!$A$1),
    TRIM(B3478)=TRIM(Enginuity!$A$17),
    Q3478&lt;&gt;"",
    Q3478&lt;&gt;0,
    OR(
      TRIM(C3478)=TRIM(Enginuity!$A$18),
      AND(UPPER(TRIM(M3478))="STD", TRIM(B3478)=TRIM(Enginuity!$A$17))
    ),
    OR(
      AND(LEFT(P3478,5)="1-Way", Enginuity!$B$13=1),
      AND(LEFT(P3478,5)="2-Way", OR(Enginuity!$B$13=2, Enginuity!$B$13=4)),
      AND(LEFT(P3478,5)="3-Way", OR(Enginuity!$B$13=3, Enginuity!$B$13=6)),
      AND(P3478="Inner Centre Jamb", OR(Enginuity!$B$13=4, Enginuity!$B$13=6)),
      AND(
        LEFT(P3478,5)&lt;&gt;"1-Way",
        LEFT(P3478,5)&lt;&gt;"2-Way",
        LEFT(P3478,5)&lt;&gt;"3-Way",
        P3478&lt;&gt;"Inner Centre Jamb"
      )
    ),
    IF(OR(Enginuity!$A$1="Frameless Glass",Enginuity!$A$1="Metal Work"),
      AND(TRIM(B3478)=TRIM(Enginuity!$A$17),TRIM(C3478)=TRIM(Enginuity!$A$18)),
      TRIM(B3478)=TRIM(Enginuity!$A$17)
    )
  ),
  ROW(),
  ""
)</f>
        <v/>
      </c>
    </row>
    <row r="3479" spans="21:21" x14ac:dyDescent="0.25">
      <c r="U3479" s="104" t="str">
        <f>IF(
  AND(
    TRIM(A3479)=TRIM(Enginuity!$A$1),
    TRIM(B3479)=TRIM(Enginuity!$A$17),
    Q3479&lt;&gt;"",
    Q3479&lt;&gt;0,
    OR(
      TRIM(C3479)=TRIM(Enginuity!$A$18),
      AND(UPPER(TRIM(M3479))="STD", TRIM(B3479)=TRIM(Enginuity!$A$17))
    ),
    OR(
      AND(LEFT(P3479,5)="1-Way", Enginuity!$B$13=1),
      AND(LEFT(P3479,5)="2-Way", OR(Enginuity!$B$13=2, Enginuity!$B$13=4)),
      AND(LEFT(P3479,5)="3-Way", OR(Enginuity!$B$13=3, Enginuity!$B$13=6)),
      AND(P3479="Inner Centre Jamb", OR(Enginuity!$B$13=4, Enginuity!$B$13=6)),
      AND(
        LEFT(P3479,5)&lt;&gt;"1-Way",
        LEFT(P3479,5)&lt;&gt;"2-Way",
        LEFT(P3479,5)&lt;&gt;"3-Way",
        P3479&lt;&gt;"Inner Centre Jamb"
      )
    ),
    IF(OR(Enginuity!$A$1="Frameless Glass",Enginuity!$A$1="Metal Work"),
      AND(TRIM(B3479)=TRIM(Enginuity!$A$17),TRIM(C3479)=TRIM(Enginuity!$A$18)),
      TRIM(B3479)=TRIM(Enginuity!$A$17)
    )
  ),
  ROW(),
  ""
)</f>
        <v/>
      </c>
    </row>
    <row r="3480" spans="21:21" x14ac:dyDescent="0.25">
      <c r="U3480" s="104" t="str">
        <f>IF(
  AND(
    TRIM(A3480)=TRIM(Enginuity!$A$1),
    TRIM(B3480)=TRIM(Enginuity!$A$17),
    Q3480&lt;&gt;"",
    Q3480&lt;&gt;0,
    OR(
      TRIM(C3480)=TRIM(Enginuity!$A$18),
      AND(UPPER(TRIM(M3480))="STD", TRIM(B3480)=TRIM(Enginuity!$A$17))
    ),
    OR(
      AND(LEFT(P3480,5)="1-Way", Enginuity!$B$13=1),
      AND(LEFT(P3480,5)="2-Way", OR(Enginuity!$B$13=2, Enginuity!$B$13=4)),
      AND(LEFT(P3480,5)="3-Way", OR(Enginuity!$B$13=3, Enginuity!$B$13=6)),
      AND(P3480="Inner Centre Jamb", OR(Enginuity!$B$13=4, Enginuity!$B$13=6)),
      AND(
        LEFT(P3480,5)&lt;&gt;"1-Way",
        LEFT(P3480,5)&lt;&gt;"2-Way",
        LEFT(P3480,5)&lt;&gt;"3-Way",
        P3480&lt;&gt;"Inner Centre Jamb"
      )
    ),
    IF(OR(Enginuity!$A$1="Frameless Glass",Enginuity!$A$1="Metal Work"),
      AND(TRIM(B3480)=TRIM(Enginuity!$A$17),TRIM(C3480)=TRIM(Enginuity!$A$18)),
      TRIM(B3480)=TRIM(Enginuity!$A$17)
    )
  ),
  ROW(),
  ""
)</f>
        <v/>
      </c>
    </row>
    <row r="3481" spans="21:21" x14ac:dyDescent="0.25">
      <c r="U3481" s="104" t="str">
        <f>IF(
  AND(
    TRIM(A3481)=TRIM(Enginuity!$A$1),
    TRIM(B3481)=TRIM(Enginuity!$A$17),
    Q3481&lt;&gt;"",
    Q3481&lt;&gt;0,
    OR(
      TRIM(C3481)=TRIM(Enginuity!$A$18),
      AND(UPPER(TRIM(M3481))="STD", TRIM(B3481)=TRIM(Enginuity!$A$17))
    ),
    OR(
      AND(LEFT(P3481,5)="1-Way", Enginuity!$B$13=1),
      AND(LEFT(P3481,5)="2-Way", OR(Enginuity!$B$13=2, Enginuity!$B$13=4)),
      AND(LEFT(P3481,5)="3-Way", OR(Enginuity!$B$13=3, Enginuity!$B$13=6)),
      AND(P3481="Inner Centre Jamb", OR(Enginuity!$B$13=4, Enginuity!$B$13=6)),
      AND(
        LEFT(P3481,5)&lt;&gt;"1-Way",
        LEFT(P3481,5)&lt;&gt;"2-Way",
        LEFT(P3481,5)&lt;&gt;"3-Way",
        P3481&lt;&gt;"Inner Centre Jamb"
      )
    ),
    IF(OR(Enginuity!$A$1="Frameless Glass",Enginuity!$A$1="Metal Work"),
      AND(TRIM(B3481)=TRIM(Enginuity!$A$17),TRIM(C3481)=TRIM(Enginuity!$A$18)),
      TRIM(B3481)=TRIM(Enginuity!$A$17)
    )
  ),
  ROW(),
  ""
)</f>
        <v/>
      </c>
    </row>
    <row r="3482" spans="21:21" x14ac:dyDescent="0.25">
      <c r="U3482" s="104" t="str">
        <f>IF(
  AND(
    TRIM(A3482)=TRIM(Enginuity!$A$1),
    TRIM(B3482)=TRIM(Enginuity!$A$17),
    Q3482&lt;&gt;"",
    Q3482&lt;&gt;0,
    OR(
      TRIM(C3482)=TRIM(Enginuity!$A$18),
      AND(UPPER(TRIM(M3482))="STD", TRIM(B3482)=TRIM(Enginuity!$A$17))
    ),
    OR(
      AND(LEFT(P3482,5)="1-Way", Enginuity!$B$13=1),
      AND(LEFT(P3482,5)="2-Way", OR(Enginuity!$B$13=2, Enginuity!$B$13=4)),
      AND(LEFT(P3482,5)="3-Way", OR(Enginuity!$B$13=3, Enginuity!$B$13=6)),
      AND(P3482="Inner Centre Jamb", OR(Enginuity!$B$13=4, Enginuity!$B$13=6)),
      AND(
        LEFT(P3482,5)&lt;&gt;"1-Way",
        LEFT(P3482,5)&lt;&gt;"2-Way",
        LEFT(P3482,5)&lt;&gt;"3-Way",
        P3482&lt;&gt;"Inner Centre Jamb"
      )
    ),
    IF(OR(Enginuity!$A$1="Frameless Glass",Enginuity!$A$1="Metal Work"),
      AND(TRIM(B3482)=TRIM(Enginuity!$A$17),TRIM(C3482)=TRIM(Enginuity!$A$18)),
      TRIM(B3482)=TRIM(Enginuity!$A$17)
    )
  ),
  ROW(),
  ""
)</f>
        <v/>
      </c>
    </row>
    <row r="3483" spans="21:21" x14ac:dyDescent="0.25">
      <c r="U3483" s="104" t="str">
        <f>IF(
  AND(
    TRIM(A3483)=TRIM(Enginuity!$A$1),
    TRIM(B3483)=TRIM(Enginuity!$A$17),
    Q3483&lt;&gt;"",
    Q3483&lt;&gt;0,
    OR(
      TRIM(C3483)=TRIM(Enginuity!$A$18),
      AND(UPPER(TRIM(M3483))="STD", TRIM(B3483)=TRIM(Enginuity!$A$17))
    ),
    OR(
      AND(LEFT(P3483,5)="1-Way", Enginuity!$B$13=1),
      AND(LEFT(P3483,5)="2-Way", OR(Enginuity!$B$13=2, Enginuity!$B$13=4)),
      AND(LEFT(P3483,5)="3-Way", OR(Enginuity!$B$13=3, Enginuity!$B$13=6)),
      AND(P3483="Inner Centre Jamb", OR(Enginuity!$B$13=4, Enginuity!$B$13=6)),
      AND(
        LEFT(P3483,5)&lt;&gt;"1-Way",
        LEFT(P3483,5)&lt;&gt;"2-Way",
        LEFT(P3483,5)&lt;&gt;"3-Way",
        P3483&lt;&gt;"Inner Centre Jamb"
      )
    ),
    IF(OR(Enginuity!$A$1="Frameless Glass",Enginuity!$A$1="Metal Work"),
      AND(TRIM(B3483)=TRIM(Enginuity!$A$17),TRIM(C3483)=TRIM(Enginuity!$A$18)),
      TRIM(B3483)=TRIM(Enginuity!$A$17)
    )
  ),
  ROW(),
  ""
)</f>
        <v/>
      </c>
    </row>
    <row r="3484" spans="21:21" x14ac:dyDescent="0.25">
      <c r="U3484" s="104" t="str">
        <f>IF(
  AND(
    TRIM(A3484)=TRIM(Enginuity!$A$1),
    TRIM(B3484)=TRIM(Enginuity!$A$17),
    Q3484&lt;&gt;"",
    Q3484&lt;&gt;0,
    OR(
      TRIM(C3484)=TRIM(Enginuity!$A$18),
      AND(UPPER(TRIM(M3484))="STD", TRIM(B3484)=TRIM(Enginuity!$A$17))
    ),
    OR(
      AND(LEFT(P3484,5)="1-Way", Enginuity!$B$13=1),
      AND(LEFT(P3484,5)="2-Way", OR(Enginuity!$B$13=2, Enginuity!$B$13=4)),
      AND(LEFT(P3484,5)="3-Way", OR(Enginuity!$B$13=3, Enginuity!$B$13=6)),
      AND(P3484="Inner Centre Jamb", OR(Enginuity!$B$13=4, Enginuity!$B$13=6)),
      AND(
        LEFT(P3484,5)&lt;&gt;"1-Way",
        LEFT(P3484,5)&lt;&gt;"2-Way",
        LEFT(P3484,5)&lt;&gt;"3-Way",
        P3484&lt;&gt;"Inner Centre Jamb"
      )
    ),
    IF(OR(Enginuity!$A$1="Frameless Glass",Enginuity!$A$1="Metal Work"),
      AND(TRIM(B3484)=TRIM(Enginuity!$A$17),TRIM(C3484)=TRIM(Enginuity!$A$18)),
      TRIM(B3484)=TRIM(Enginuity!$A$17)
    )
  ),
  ROW(),
  ""
)</f>
        <v/>
      </c>
    </row>
    <row r="3485" spans="21:21" x14ac:dyDescent="0.25">
      <c r="U3485" s="104" t="str">
        <f>IF(
  AND(
    TRIM(A3485)=TRIM(Enginuity!$A$1),
    TRIM(B3485)=TRIM(Enginuity!$A$17),
    Q3485&lt;&gt;"",
    Q3485&lt;&gt;0,
    OR(
      TRIM(C3485)=TRIM(Enginuity!$A$18),
      AND(UPPER(TRIM(M3485))="STD", TRIM(B3485)=TRIM(Enginuity!$A$17))
    ),
    OR(
      AND(LEFT(P3485,5)="1-Way", Enginuity!$B$13=1),
      AND(LEFT(P3485,5)="2-Way", OR(Enginuity!$B$13=2, Enginuity!$B$13=4)),
      AND(LEFT(P3485,5)="3-Way", OR(Enginuity!$B$13=3, Enginuity!$B$13=6)),
      AND(P3485="Inner Centre Jamb", OR(Enginuity!$B$13=4, Enginuity!$B$13=6)),
      AND(
        LEFT(P3485,5)&lt;&gt;"1-Way",
        LEFT(P3485,5)&lt;&gt;"2-Way",
        LEFT(P3485,5)&lt;&gt;"3-Way",
        P3485&lt;&gt;"Inner Centre Jamb"
      )
    ),
    IF(OR(Enginuity!$A$1="Frameless Glass",Enginuity!$A$1="Metal Work"),
      AND(TRIM(B3485)=TRIM(Enginuity!$A$17),TRIM(C3485)=TRIM(Enginuity!$A$18)),
      TRIM(B3485)=TRIM(Enginuity!$A$17)
    )
  ),
  ROW(),
  ""
)</f>
        <v/>
      </c>
    </row>
    <row r="3486" spans="21:21" x14ac:dyDescent="0.25">
      <c r="U3486" s="104" t="str">
        <f>IF(
  AND(
    TRIM(A3486)=TRIM(Enginuity!$A$1),
    TRIM(B3486)=TRIM(Enginuity!$A$17),
    Q3486&lt;&gt;"",
    Q3486&lt;&gt;0,
    OR(
      TRIM(C3486)=TRIM(Enginuity!$A$18),
      AND(UPPER(TRIM(M3486))="STD", TRIM(B3486)=TRIM(Enginuity!$A$17))
    ),
    OR(
      AND(LEFT(P3486,5)="1-Way", Enginuity!$B$13=1),
      AND(LEFT(P3486,5)="2-Way", OR(Enginuity!$B$13=2, Enginuity!$B$13=4)),
      AND(LEFT(P3486,5)="3-Way", OR(Enginuity!$B$13=3, Enginuity!$B$13=6)),
      AND(P3486="Inner Centre Jamb", OR(Enginuity!$B$13=4, Enginuity!$B$13=6)),
      AND(
        LEFT(P3486,5)&lt;&gt;"1-Way",
        LEFT(P3486,5)&lt;&gt;"2-Way",
        LEFT(P3486,5)&lt;&gt;"3-Way",
        P3486&lt;&gt;"Inner Centre Jamb"
      )
    ),
    IF(OR(Enginuity!$A$1="Frameless Glass",Enginuity!$A$1="Metal Work"),
      AND(TRIM(B3486)=TRIM(Enginuity!$A$17),TRIM(C3486)=TRIM(Enginuity!$A$18)),
      TRIM(B3486)=TRIM(Enginuity!$A$17)
    )
  ),
  ROW(),
  ""
)</f>
        <v/>
      </c>
    </row>
    <row r="3487" spans="21:21" x14ac:dyDescent="0.25">
      <c r="U3487" s="104" t="str">
        <f>IF(
  AND(
    TRIM(A3487)=TRIM(Enginuity!$A$1),
    TRIM(B3487)=TRIM(Enginuity!$A$17),
    Q3487&lt;&gt;"",
    Q3487&lt;&gt;0,
    OR(
      TRIM(C3487)=TRIM(Enginuity!$A$18),
      AND(UPPER(TRIM(M3487))="STD", TRIM(B3487)=TRIM(Enginuity!$A$17))
    ),
    OR(
      AND(LEFT(P3487,5)="1-Way", Enginuity!$B$13=1),
      AND(LEFT(P3487,5)="2-Way", OR(Enginuity!$B$13=2, Enginuity!$B$13=4)),
      AND(LEFT(P3487,5)="3-Way", OR(Enginuity!$B$13=3, Enginuity!$B$13=6)),
      AND(P3487="Inner Centre Jamb", OR(Enginuity!$B$13=4, Enginuity!$B$13=6)),
      AND(
        LEFT(P3487,5)&lt;&gt;"1-Way",
        LEFT(P3487,5)&lt;&gt;"2-Way",
        LEFT(P3487,5)&lt;&gt;"3-Way",
        P3487&lt;&gt;"Inner Centre Jamb"
      )
    ),
    IF(OR(Enginuity!$A$1="Frameless Glass",Enginuity!$A$1="Metal Work"),
      AND(TRIM(B3487)=TRIM(Enginuity!$A$17),TRIM(C3487)=TRIM(Enginuity!$A$18)),
      TRIM(B3487)=TRIM(Enginuity!$A$17)
    )
  ),
  ROW(),
  ""
)</f>
        <v/>
      </c>
    </row>
    <row r="3488" spans="21:21" x14ac:dyDescent="0.25">
      <c r="U3488" s="104" t="str">
        <f>IF(
  AND(
    TRIM(A3488)=TRIM(Enginuity!$A$1),
    TRIM(B3488)=TRIM(Enginuity!$A$17),
    Q3488&lt;&gt;"",
    Q3488&lt;&gt;0,
    OR(
      TRIM(C3488)=TRIM(Enginuity!$A$18),
      AND(UPPER(TRIM(M3488))="STD", TRIM(B3488)=TRIM(Enginuity!$A$17))
    ),
    OR(
      AND(LEFT(P3488,5)="1-Way", Enginuity!$B$13=1),
      AND(LEFT(P3488,5)="2-Way", OR(Enginuity!$B$13=2, Enginuity!$B$13=4)),
      AND(LEFT(P3488,5)="3-Way", OR(Enginuity!$B$13=3, Enginuity!$B$13=6)),
      AND(P3488="Inner Centre Jamb", OR(Enginuity!$B$13=4, Enginuity!$B$13=6)),
      AND(
        LEFT(P3488,5)&lt;&gt;"1-Way",
        LEFT(P3488,5)&lt;&gt;"2-Way",
        LEFT(P3488,5)&lt;&gt;"3-Way",
        P3488&lt;&gt;"Inner Centre Jamb"
      )
    ),
    IF(OR(Enginuity!$A$1="Frameless Glass",Enginuity!$A$1="Metal Work"),
      AND(TRIM(B3488)=TRIM(Enginuity!$A$17),TRIM(C3488)=TRIM(Enginuity!$A$18)),
      TRIM(B3488)=TRIM(Enginuity!$A$17)
    )
  ),
  ROW(),
  ""
)</f>
        <v/>
      </c>
    </row>
    <row r="3489" spans="21:21" x14ac:dyDescent="0.25">
      <c r="U3489" s="104" t="str">
        <f>IF(
  AND(
    TRIM(A3489)=TRIM(Enginuity!$A$1),
    TRIM(B3489)=TRIM(Enginuity!$A$17),
    Q3489&lt;&gt;"",
    Q3489&lt;&gt;0,
    OR(
      TRIM(C3489)=TRIM(Enginuity!$A$18),
      AND(UPPER(TRIM(M3489))="STD", TRIM(B3489)=TRIM(Enginuity!$A$17))
    ),
    OR(
      AND(LEFT(P3489,5)="1-Way", Enginuity!$B$13=1),
      AND(LEFT(P3489,5)="2-Way", OR(Enginuity!$B$13=2, Enginuity!$B$13=4)),
      AND(LEFT(P3489,5)="3-Way", OR(Enginuity!$B$13=3, Enginuity!$B$13=6)),
      AND(P3489="Inner Centre Jamb", OR(Enginuity!$B$13=4, Enginuity!$B$13=6)),
      AND(
        LEFT(P3489,5)&lt;&gt;"1-Way",
        LEFT(P3489,5)&lt;&gt;"2-Way",
        LEFT(P3489,5)&lt;&gt;"3-Way",
        P3489&lt;&gt;"Inner Centre Jamb"
      )
    ),
    IF(OR(Enginuity!$A$1="Frameless Glass",Enginuity!$A$1="Metal Work"),
      AND(TRIM(B3489)=TRIM(Enginuity!$A$17),TRIM(C3489)=TRIM(Enginuity!$A$18)),
      TRIM(B3489)=TRIM(Enginuity!$A$17)
    )
  ),
  ROW(),
  ""
)</f>
        <v/>
      </c>
    </row>
    <row r="3490" spans="21:21" x14ac:dyDescent="0.25">
      <c r="U3490" s="104" t="str">
        <f>IF(
  AND(
    TRIM(A3490)=TRIM(Enginuity!$A$1),
    TRIM(B3490)=TRIM(Enginuity!$A$17),
    Q3490&lt;&gt;"",
    Q3490&lt;&gt;0,
    OR(
      TRIM(C3490)=TRIM(Enginuity!$A$18),
      AND(UPPER(TRIM(M3490))="STD", TRIM(B3490)=TRIM(Enginuity!$A$17))
    ),
    OR(
      AND(LEFT(P3490,5)="1-Way", Enginuity!$B$13=1),
      AND(LEFT(P3490,5)="2-Way", OR(Enginuity!$B$13=2, Enginuity!$B$13=4)),
      AND(LEFT(P3490,5)="3-Way", OR(Enginuity!$B$13=3, Enginuity!$B$13=6)),
      AND(P3490="Inner Centre Jamb", OR(Enginuity!$B$13=4, Enginuity!$B$13=6)),
      AND(
        LEFT(P3490,5)&lt;&gt;"1-Way",
        LEFT(P3490,5)&lt;&gt;"2-Way",
        LEFT(P3490,5)&lt;&gt;"3-Way",
        P3490&lt;&gt;"Inner Centre Jamb"
      )
    ),
    IF(OR(Enginuity!$A$1="Frameless Glass",Enginuity!$A$1="Metal Work"),
      AND(TRIM(B3490)=TRIM(Enginuity!$A$17),TRIM(C3490)=TRIM(Enginuity!$A$18)),
      TRIM(B3490)=TRIM(Enginuity!$A$17)
    )
  ),
  ROW(),
  ""
)</f>
        <v/>
      </c>
    </row>
    <row r="3491" spans="21:21" x14ac:dyDescent="0.25">
      <c r="U3491" s="104" t="str">
        <f>IF(
  AND(
    TRIM(A3491)=TRIM(Enginuity!$A$1),
    TRIM(B3491)=TRIM(Enginuity!$A$17),
    Q3491&lt;&gt;"",
    Q3491&lt;&gt;0,
    OR(
      TRIM(C3491)=TRIM(Enginuity!$A$18),
      AND(UPPER(TRIM(M3491))="STD", TRIM(B3491)=TRIM(Enginuity!$A$17))
    ),
    OR(
      AND(LEFT(P3491,5)="1-Way", Enginuity!$B$13=1),
      AND(LEFT(P3491,5)="2-Way", OR(Enginuity!$B$13=2, Enginuity!$B$13=4)),
      AND(LEFT(P3491,5)="3-Way", OR(Enginuity!$B$13=3, Enginuity!$B$13=6)),
      AND(P3491="Inner Centre Jamb", OR(Enginuity!$B$13=4, Enginuity!$B$13=6)),
      AND(
        LEFT(P3491,5)&lt;&gt;"1-Way",
        LEFT(P3491,5)&lt;&gt;"2-Way",
        LEFT(P3491,5)&lt;&gt;"3-Way",
        P3491&lt;&gt;"Inner Centre Jamb"
      )
    ),
    IF(OR(Enginuity!$A$1="Frameless Glass",Enginuity!$A$1="Metal Work"),
      AND(TRIM(B3491)=TRIM(Enginuity!$A$17),TRIM(C3491)=TRIM(Enginuity!$A$18)),
      TRIM(B3491)=TRIM(Enginuity!$A$17)
    )
  ),
  ROW(),
  ""
)</f>
        <v/>
      </c>
    </row>
    <row r="3492" spans="21:21" x14ac:dyDescent="0.25">
      <c r="U3492" s="104" t="str">
        <f>IF(
  AND(
    TRIM(A3492)=TRIM(Enginuity!$A$1),
    TRIM(B3492)=TRIM(Enginuity!$A$17),
    Q3492&lt;&gt;"",
    Q3492&lt;&gt;0,
    OR(
      TRIM(C3492)=TRIM(Enginuity!$A$18),
      AND(UPPER(TRIM(M3492))="STD", TRIM(B3492)=TRIM(Enginuity!$A$17))
    ),
    OR(
      AND(LEFT(P3492,5)="1-Way", Enginuity!$B$13=1),
      AND(LEFT(P3492,5)="2-Way", OR(Enginuity!$B$13=2, Enginuity!$B$13=4)),
      AND(LEFT(P3492,5)="3-Way", OR(Enginuity!$B$13=3, Enginuity!$B$13=6)),
      AND(P3492="Inner Centre Jamb", OR(Enginuity!$B$13=4, Enginuity!$B$13=6)),
      AND(
        LEFT(P3492,5)&lt;&gt;"1-Way",
        LEFT(P3492,5)&lt;&gt;"2-Way",
        LEFT(P3492,5)&lt;&gt;"3-Way",
        P3492&lt;&gt;"Inner Centre Jamb"
      )
    ),
    IF(OR(Enginuity!$A$1="Frameless Glass",Enginuity!$A$1="Metal Work"),
      AND(TRIM(B3492)=TRIM(Enginuity!$A$17),TRIM(C3492)=TRIM(Enginuity!$A$18)),
      TRIM(B3492)=TRIM(Enginuity!$A$17)
    )
  ),
  ROW(),
  ""
)</f>
        <v/>
      </c>
    </row>
    <row r="3493" spans="21:21" x14ac:dyDescent="0.25">
      <c r="U3493" s="104" t="str">
        <f>IF(
  AND(
    TRIM(A3493)=TRIM(Enginuity!$A$1),
    TRIM(B3493)=TRIM(Enginuity!$A$17),
    Q3493&lt;&gt;"",
    Q3493&lt;&gt;0,
    OR(
      TRIM(C3493)=TRIM(Enginuity!$A$18),
      AND(UPPER(TRIM(M3493))="STD", TRIM(B3493)=TRIM(Enginuity!$A$17))
    ),
    OR(
      AND(LEFT(P3493,5)="1-Way", Enginuity!$B$13=1),
      AND(LEFT(P3493,5)="2-Way", OR(Enginuity!$B$13=2, Enginuity!$B$13=4)),
      AND(LEFT(P3493,5)="3-Way", OR(Enginuity!$B$13=3, Enginuity!$B$13=6)),
      AND(P3493="Inner Centre Jamb", OR(Enginuity!$B$13=4, Enginuity!$B$13=6)),
      AND(
        LEFT(P3493,5)&lt;&gt;"1-Way",
        LEFT(P3493,5)&lt;&gt;"2-Way",
        LEFT(P3493,5)&lt;&gt;"3-Way",
        P3493&lt;&gt;"Inner Centre Jamb"
      )
    ),
    IF(OR(Enginuity!$A$1="Frameless Glass",Enginuity!$A$1="Metal Work"),
      AND(TRIM(B3493)=TRIM(Enginuity!$A$17),TRIM(C3493)=TRIM(Enginuity!$A$18)),
      TRIM(B3493)=TRIM(Enginuity!$A$17)
    )
  ),
  ROW(),
  ""
)</f>
        <v/>
      </c>
    </row>
    <row r="3494" spans="21:21" x14ac:dyDescent="0.25">
      <c r="U3494" s="104" t="str">
        <f>IF(
  AND(
    TRIM(A3494)=TRIM(Enginuity!$A$1),
    TRIM(B3494)=TRIM(Enginuity!$A$17),
    Q3494&lt;&gt;"",
    Q3494&lt;&gt;0,
    OR(
      TRIM(C3494)=TRIM(Enginuity!$A$18),
      AND(UPPER(TRIM(M3494))="STD", TRIM(B3494)=TRIM(Enginuity!$A$17))
    ),
    OR(
      AND(LEFT(P3494,5)="1-Way", Enginuity!$B$13=1),
      AND(LEFT(P3494,5)="2-Way", OR(Enginuity!$B$13=2, Enginuity!$B$13=4)),
      AND(LEFT(P3494,5)="3-Way", OR(Enginuity!$B$13=3, Enginuity!$B$13=6)),
      AND(P3494="Inner Centre Jamb", OR(Enginuity!$B$13=4, Enginuity!$B$13=6)),
      AND(
        LEFT(P3494,5)&lt;&gt;"1-Way",
        LEFT(P3494,5)&lt;&gt;"2-Way",
        LEFT(P3494,5)&lt;&gt;"3-Way",
        P3494&lt;&gt;"Inner Centre Jamb"
      )
    ),
    IF(OR(Enginuity!$A$1="Frameless Glass",Enginuity!$A$1="Metal Work"),
      AND(TRIM(B3494)=TRIM(Enginuity!$A$17),TRIM(C3494)=TRIM(Enginuity!$A$18)),
      TRIM(B3494)=TRIM(Enginuity!$A$17)
    )
  ),
  ROW(),
  ""
)</f>
        <v/>
      </c>
    </row>
    <row r="3495" spans="21:21" x14ac:dyDescent="0.25">
      <c r="U3495" s="104" t="str">
        <f>IF(
  AND(
    TRIM(A3495)=TRIM(Enginuity!$A$1),
    TRIM(B3495)=TRIM(Enginuity!$A$17),
    Q3495&lt;&gt;"",
    Q3495&lt;&gt;0,
    OR(
      TRIM(C3495)=TRIM(Enginuity!$A$18),
      AND(UPPER(TRIM(M3495))="STD", TRIM(B3495)=TRIM(Enginuity!$A$17))
    ),
    OR(
      AND(LEFT(P3495,5)="1-Way", Enginuity!$B$13=1),
      AND(LEFT(P3495,5)="2-Way", OR(Enginuity!$B$13=2, Enginuity!$B$13=4)),
      AND(LEFT(P3495,5)="3-Way", OR(Enginuity!$B$13=3, Enginuity!$B$13=6)),
      AND(P3495="Inner Centre Jamb", OR(Enginuity!$B$13=4, Enginuity!$B$13=6)),
      AND(
        LEFT(P3495,5)&lt;&gt;"1-Way",
        LEFT(P3495,5)&lt;&gt;"2-Way",
        LEFT(P3495,5)&lt;&gt;"3-Way",
        P3495&lt;&gt;"Inner Centre Jamb"
      )
    ),
    IF(OR(Enginuity!$A$1="Frameless Glass",Enginuity!$A$1="Metal Work"),
      AND(TRIM(B3495)=TRIM(Enginuity!$A$17),TRIM(C3495)=TRIM(Enginuity!$A$18)),
      TRIM(B3495)=TRIM(Enginuity!$A$17)
    )
  ),
  ROW(),
  ""
)</f>
        <v/>
      </c>
    </row>
    <row r="3496" spans="21:21" x14ac:dyDescent="0.25">
      <c r="U3496" s="104" t="str">
        <f>IF(
  AND(
    TRIM(A3496)=TRIM(Enginuity!$A$1),
    TRIM(B3496)=TRIM(Enginuity!$A$17),
    Q3496&lt;&gt;"",
    Q3496&lt;&gt;0,
    OR(
      TRIM(C3496)=TRIM(Enginuity!$A$18),
      AND(UPPER(TRIM(M3496))="STD", TRIM(B3496)=TRIM(Enginuity!$A$17))
    ),
    OR(
      AND(LEFT(P3496,5)="1-Way", Enginuity!$B$13=1),
      AND(LEFT(P3496,5)="2-Way", OR(Enginuity!$B$13=2, Enginuity!$B$13=4)),
      AND(LEFT(P3496,5)="3-Way", OR(Enginuity!$B$13=3, Enginuity!$B$13=6)),
      AND(P3496="Inner Centre Jamb", OR(Enginuity!$B$13=4, Enginuity!$B$13=6)),
      AND(
        LEFT(P3496,5)&lt;&gt;"1-Way",
        LEFT(P3496,5)&lt;&gt;"2-Way",
        LEFT(P3496,5)&lt;&gt;"3-Way",
        P3496&lt;&gt;"Inner Centre Jamb"
      )
    ),
    IF(OR(Enginuity!$A$1="Frameless Glass",Enginuity!$A$1="Metal Work"),
      AND(TRIM(B3496)=TRIM(Enginuity!$A$17),TRIM(C3496)=TRIM(Enginuity!$A$18)),
      TRIM(B3496)=TRIM(Enginuity!$A$17)
    )
  ),
  ROW(),
  ""
)</f>
        <v/>
      </c>
    </row>
    <row r="3497" spans="21:21" x14ac:dyDescent="0.25">
      <c r="U3497" s="104" t="str">
        <f>IF(
  AND(
    TRIM(A3497)=TRIM(Enginuity!$A$1),
    TRIM(B3497)=TRIM(Enginuity!$A$17),
    Q3497&lt;&gt;"",
    Q3497&lt;&gt;0,
    OR(
      TRIM(C3497)=TRIM(Enginuity!$A$18),
      AND(UPPER(TRIM(M3497))="STD", TRIM(B3497)=TRIM(Enginuity!$A$17))
    ),
    OR(
      AND(LEFT(P3497,5)="1-Way", Enginuity!$B$13=1),
      AND(LEFT(P3497,5)="2-Way", OR(Enginuity!$B$13=2, Enginuity!$B$13=4)),
      AND(LEFT(P3497,5)="3-Way", OR(Enginuity!$B$13=3, Enginuity!$B$13=6)),
      AND(P3497="Inner Centre Jamb", OR(Enginuity!$B$13=4, Enginuity!$B$13=6)),
      AND(
        LEFT(P3497,5)&lt;&gt;"1-Way",
        LEFT(P3497,5)&lt;&gt;"2-Way",
        LEFT(P3497,5)&lt;&gt;"3-Way",
        P3497&lt;&gt;"Inner Centre Jamb"
      )
    ),
    IF(OR(Enginuity!$A$1="Frameless Glass",Enginuity!$A$1="Metal Work"),
      AND(TRIM(B3497)=TRIM(Enginuity!$A$17),TRIM(C3497)=TRIM(Enginuity!$A$18)),
      TRIM(B3497)=TRIM(Enginuity!$A$17)
    )
  ),
  ROW(),
  ""
)</f>
        <v/>
      </c>
    </row>
    <row r="3498" spans="21:21" x14ac:dyDescent="0.25">
      <c r="U3498" s="104" t="str">
        <f>IF(
  AND(
    TRIM(A3498)=TRIM(Enginuity!$A$1),
    TRIM(B3498)=TRIM(Enginuity!$A$17),
    Q3498&lt;&gt;"",
    Q3498&lt;&gt;0,
    OR(
      TRIM(C3498)=TRIM(Enginuity!$A$18),
      AND(UPPER(TRIM(M3498))="STD", TRIM(B3498)=TRIM(Enginuity!$A$17))
    ),
    OR(
      AND(LEFT(P3498,5)="1-Way", Enginuity!$B$13=1),
      AND(LEFT(P3498,5)="2-Way", OR(Enginuity!$B$13=2, Enginuity!$B$13=4)),
      AND(LEFT(P3498,5)="3-Way", OR(Enginuity!$B$13=3, Enginuity!$B$13=6)),
      AND(P3498="Inner Centre Jamb", OR(Enginuity!$B$13=4, Enginuity!$B$13=6)),
      AND(
        LEFT(P3498,5)&lt;&gt;"1-Way",
        LEFT(P3498,5)&lt;&gt;"2-Way",
        LEFT(P3498,5)&lt;&gt;"3-Way",
        P3498&lt;&gt;"Inner Centre Jamb"
      )
    ),
    IF(OR(Enginuity!$A$1="Frameless Glass",Enginuity!$A$1="Metal Work"),
      AND(TRIM(B3498)=TRIM(Enginuity!$A$17),TRIM(C3498)=TRIM(Enginuity!$A$18)),
      TRIM(B3498)=TRIM(Enginuity!$A$17)
    )
  ),
  ROW(),
  ""
)</f>
        <v/>
      </c>
    </row>
    <row r="3499" spans="21:21" x14ac:dyDescent="0.25">
      <c r="U3499" s="104" t="str">
        <f>IF(
  AND(
    TRIM(A3499)=TRIM(Enginuity!$A$1),
    TRIM(B3499)=TRIM(Enginuity!$A$17),
    Q3499&lt;&gt;"",
    Q3499&lt;&gt;0,
    OR(
      TRIM(C3499)=TRIM(Enginuity!$A$18),
      AND(UPPER(TRIM(M3499))="STD", TRIM(B3499)=TRIM(Enginuity!$A$17))
    ),
    OR(
      AND(LEFT(P3499,5)="1-Way", Enginuity!$B$13=1),
      AND(LEFT(P3499,5)="2-Way", OR(Enginuity!$B$13=2, Enginuity!$B$13=4)),
      AND(LEFT(P3499,5)="3-Way", OR(Enginuity!$B$13=3, Enginuity!$B$13=6)),
      AND(P3499="Inner Centre Jamb", OR(Enginuity!$B$13=4, Enginuity!$B$13=6)),
      AND(
        LEFT(P3499,5)&lt;&gt;"1-Way",
        LEFT(P3499,5)&lt;&gt;"2-Way",
        LEFT(P3499,5)&lt;&gt;"3-Way",
        P3499&lt;&gt;"Inner Centre Jamb"
      )
    ),
    IF(OR(Enginuity!$A$1="Frameless Glass",Enginuity!$A$1="Metal Work"),
      AND(TRIM(B3499)=TRIM(Enginuity!$A$17),TRIM(C3499)=TRIM(Enginuity!$A$18)),
      TRIM(B3499)=TRIM(Enginuity!$A$17)
    )
  ),
  ROW(),
  ""
)</f>
        <v/>
      </c>
    </row>
    <row r="3500" spans="21:21" x14ac:dyDescent="0.25">
      <c r="U3500" s="104" t="str">
        <f>IF(
  AND(
    TRIM(A3500)=TRIM(Enginuity!$A$1),
    TRIM(B3500)=TRIM(Enginuity!$A$17),
    Q3500&lt;&gt;"",
    Q3500&lt;&gt;0,
    OR(
      TRIM(C3500)=TRIM(Enginuity!$A$18),
      AND(UPPER(TRIM(M3500))="STD", TRIM(B3500)=TRIM(Enginuity!$A$17))
    ),
    OR(
      AND(LEFT(P3500,5)="1-Way", Enginuity!$B$13=1),
      AND(LEFT(P3500,5)="2-Way", OR(Enginuity!$B$13=2, Enginuity!$B$13=4)),
      AND(LEFT(P3500,5)="3-Way", OR(Enginuity!$B$13=3, Enginuity!$B$13=6)),
      AND(P3500="Inner Centre Jamb", OR(Enginuity!$B$13=4, Enginuity!$B$13=6)),
      AND(
        LEFT(P3500,5)&lt;&gt;"1-Way",
        LEFT(P3500,5)&lt;&gt;"2-Way",
        LEFT(P3500,5)&lt;&gt;"3-Way",
        P3500&lt;&gt;"Inner Centre Jamb"
      )
    ),
    IF(OR(Enginuity!$A$1="Frameless Glass",Enginuity!$A$1="Metal Work"),
      AND(TRIM(B3500)=TRIM(Enginuity!$A$17),TRIM(C3500)=TRIM(Enginuity!$A$18)),
      TRIM(B3500)=TRIM(Enginuity!$A$17)
    )
  ),
  ROW(),
  ""
)</f>
        <v/>
      </c>
    </row>
    <row r="3501" spans="21:21" x14ac:dyDescent="0.25">
      <c r="U3501" s="104" t="str">
        <f>IF(
  AND(
    TRIM(A3501)=TRIM(Enginuity!$A$1),
    TRIM(B3501)=TRIM(Enginuity!$A$17),
    Q3501&lt;&gt;"",
    Q3501&lt;&gt;0,
    OR(
      TRIM(C3501)=TRIM(Enginuity!$A$18),
      AND(UPPER(TRIM(M3501))="STD", TRIM(B3501)=TRIM(Enginuity!$A$17))
    ),
    OR(
      AND(LEFT(P3501,5)="1-Way", Enginuity!$B$13=1),
      AND(LEFT(P3501,5)="2-Way", OR(Enginuity!$B$13=2, Enginuity!$B$13=4)),
      AND(LEFT(P3501,5)="3-Way", OR(Enginuity!$B$13=3, Enginuity!$B$13=6)),
      AND(P3501="Inner Centre Jamb", OR(Enginuity!$B$13=4, Enginuity!$B$13=6)),
      AND(
        LEFT(P3501,5)&lt;&gt;"1-Way",
        LEFT(P3501,5)&lt;&gt;"2-Way",
        LEFT(P3501,5)&lt;&gt;"3-Way",
        P3501&lt;&gt;"Inner Centre Jamb"
      )
    ),
    IF(OR(Enginuity!$A$1="Frameless Glass",Enginuity!$A$1="Metal Work"),
      AND(TRIM(B3501)=TRIM(Enginuity!$A$17),TRIM(C3501)=TRIM(Enginuity!$A$18)),
      TRIM(B3501)=TRIM(Enginuity!$A$17)
    )
  ),
  ROW(),
  ""
)</f>
        <v/>
      </c>
    </row>
    <row r="3502" spans="21:21" x14ac:dyDescent="0.25">
      <c r="U3502" s="104" t="str">
        <f>IF(
  AND(
    TRIM(A3502)=TRIM(Enginuity!$A$1),
    TRIM(B3502)=TRIM(Enginuity!$A$17),
    Q3502&lt;&gt;"",
    Q3502&lt;&gt;0,
    OR(
      TRIM(C3502)=TRIM(Enginuity!$A$18),
      AND(UPPER(TRIM(M3502))="STD", TRIM(B3502)=TRIM(Enginuity!$A$17))
    ),
    OR(
      AND(LEFT(P3502,5)="1-Way", Enginuity!$B$13=1),
      AND(LEFT(P3502,5)="2-Way", OR(Enginuity!$B$13=2, Enginuity!$B$13=4)),
      AND(LEFT(P3502,5)="3-Way", OR(Enginuity!$B$13=3, Enginuity!$B$13=6)),
      AND(P3502="Inner Centre Jamb", OR(Enginuity!$B$13=4, Enginuity!$B$13=6)),
      AND(
        LEFT(P3502,5)&lt;&gt;"1-Way",
        LEFT(P3502,5)&lt;&gt;"2-Way",
        LEFT(P3502,5)&lt;&gt;"3-Way",
        P3502&lt;&gt;"Inner Centre Jamb"
      )
    ),
    IF(OR(Enginuity!$A$1="Frameless Glass",Enginuity!$A$1="Metal Work"),
      AND(TRIM(B3502)=TRIM(Enginuity!$A$17),TRIM(C3502)=TRIM(Enginuity!$A$18)),
      TRIM(B3502)=TRIM(Enginuity!$A$17)
    )
  ),
  ROW(),
  ""
)</f>
        <v/>
      </c>
    </row>
    <row r="3503" spans="21:21" x14ac:dyDescent="0.25">
      <c r="U3503" s="104" t="str">
        <f>IF(
  AND(
    TRIM(A3503)=TRIM(Enginuity!$A$1),
    TRIM(B3503)=TRIM(Enginuity!$A$17),
    Q3503&lt;&gt;"",
    Q3503&lt;&gt;0,
    OR(
      TRIM(C3503)=TRIM(Enginuity!$A$18),
      AND(UPPER(TRIM(M3503))="STD", TRIM(B3503)=TRIM(Enginuity!$A$17))
    ),
    OR(
      AND(LEFT(P3503,5)="1-Way", Enginuity!$B$13=1),
      AND(LEFT(P3503,5)="2-Way", OR(Enginuity!$B$13=2, Enginuity!$B$13=4)),
      AND(LEFT(P3503,5)="3-Way", OR(Enginuity!$B$13=3, Enginuity!$B$13=6)),
      AND(P3503="Inner Centre Jamb", OR(Enginuity!$B$13=4, Enginuity!$B$13=6)),
      AND(
        LEFT(P3503,5)&lt;&gt;"1-Way",
        LEFT(P3503,5)&lt;&gt;"2-Way",
        LEFT(P3503,5)&lt;&gt;"3-Way",
        P3503&lt;&gt;"Inner Centre Jamb"
      )
    ),
    IF(OR(Enginuity!$A$1="Frameless Glass",Enginuity!$A$1="Metal Work"),
      AND(TRIM(B3503)=TRIM(Enginuity!$A$17),TRIM(C3503)=TRIM(Enginuity!$A$18)),
      TRIM(B3503)=TRIM(Enginuity!$A$17)
    )
  ),
  ROW(),
  ""
)</f>
        <v/>
      </c>
    </row>
    <row r="3504" spans="21:21" x14ac:dyDescent="0.25">
      <c r="U3504" s="104" t="str">
        <f>IF(
  AND(
    TRIM(A3504)=TRIM(Enginuity!$A$1),
    TRIM(B3504)=TRIM(Enginuity!$A$17),
    Q3504&lt;&gt;"",
    Q3504&lt;&gt;0,
    OR(
      TRIM(C3504)=TRIM(Enginuity!$A$18),
      AND(UPPER(TRIM(M3504))="STD", TRIM(B3504)=TRIM(Enginuity!$A$17))
    ),
    OR(
      AND(LEFT(P3504,5)="1-Way", Enginuity!$B$13=1),
      AND(LEFT(P3504,5)="2-Way", OR(Enginuity!$B$13=2, Enginuity!$B$13=4)),
      AND(LEFT(P3504,5)="3-Way", OR(Enginuity!$B$13=3, Enginuity!$B$13=6)),
      AND(P3504="Inner Centre Jamb", OR(Enginuity!$B$13=4, Enginuity!$B$13=6)),
      AND(
        LEFT(P3504,5)&lt;&gt;"1-Way",
        LEFT(P3504,5)&lt;&gt;"2-Way",
        LEFT(P3504,5)&lt;&gt;"3-Way",
        P3504&lt;&gt;"Inner Centre Jamb"
      )
    ),
    IF(OR(Enginuity!$A$1="Frameless Glass",Enginuity!$A$1="Metal Work"),
      AND(TRIM(B3504)=TRIM(Enginuity!$A$17),TRIM(C3504)=TRIM(Enginuity!$A$18)),
      TRIM(B3504)=TRIM(Enginuity!$A$17)
    )
  ),
  ROW(),
  ""
)</f>
        <v/>
      </c>
    </row>
    <row r="3505" spans="21:21" x14ac:dyDescent="0.25">
      <c r="U3505" s="104" t="str">
        <f>IF(
  AND(
    TRIM(A3505)=TRIM(Enginuity!$A$1),
    TRIM(B3505)=TRIM(Enginuity!$A$17),
    Q3505&lt;&gt;"",
    Q3505&lt;&gt;0,
    OR(
      TRIM(C3505)=TRIM(Enginuity!$A$18),
      AND(UPPER(TRIM(M3505))="STD", TRIM(B3505)=TRIM(Enginuity!$A$17))
    ),
    OR(
      AND(LEFT(P3505,5)="1-Way", Enginuity!$B$13=1),
      AND(LEFT(P3505,5)="2-Way", OR(Enginuity!$B$13=2, Enginuity!$B$13=4)),
      AND(LEFT(P3505,5)="3-Way", OR(Enginuity!$B$13=3, Enginuity!$B$13=6)),
      AND(P3505="Inner Centre Jamb", OR(Enginuity!$B$13=4, Enginuity!$B$13=6)),
      AND(
        LEFT(P3505,5)&lt;&gt;"1-Way",
        LEFT(P3505,5)&lt;&gt;"2-Way",
        LEFT(P3505,5)&lt;&gt;"3-Way",
        P3505&lt;&gt;"Inner Centre Jamb"
      )
    ),
    IF(OR(Enginuity!$A$1="Frameless Glass",Enginuity!$A$1="Metal Work"),
      AND(TRIM(B3505)=TRIM(Enginuity!$A$17),TRIM(C3505)=TRIM(Enginuity!$A$18)),
      TRIM(B3505)=TRIM(Enginuity!$A$17)
    )
  ),
  ROW(),
  ""
)</f>
        <v/>
      </c>
    </row>
    <row r="3506" spans="21:21" x14ac:dyDescent="0.25">
      <c r="U3506" s="104" t="str">
        <f>IF(
  AND(
    TRIM(A3506)=TRIM(Enginuity!$A$1),
    TRIM(B3506)=TRIM(Enginuity!$A$17),
    Q3506&lt;&gt;"",
    Q3506&lt;&gt;0,
    OR(
      TRIM(C3506)=TRIM(Enginuity!$A$18),
      AND(UPPER(TRIM(M3506))="STD", TRIM(B3506)=TRIM(Enginuity!$A$17))
    ),
    OR(
      AND(LEFT(P3506,5)="1-Way", Enginuity!$B$13=1),
      AND(LEFT(P3506,5)="2-Way", OR(Enginuity!$B$13=2, Enginuity!$B$13=4)),
      AND(LEFT(P3506,5)="3-Way", OR(Enginuity!$B$13=3, Enginuity!$B$13=6)),
      AND(P3506="Inner Centre Jamb", OR(Enginuity!$B$13=4, Enginuity!$B$13=6)),
      AND(
        LEFT(P3506,5)&lt;&gt;"1-Way",
        LEFT(P3506,5)&lt;&gt;"2-Way",
        LEFT(P3506,5)&lt;&gt;"3-Way",
        P3506&lt;&gt;"Inner Centre Jamb"
      )
    ),
    IF(OR(Enginuity!$A$1="Frameless Glass",Enginuity!$A$1="Metal Work"),
      AND(TRIM(B3506)=TRIM(Enginuity!$A$17),TRIM(C3506)=TRIM(Enginuity!$A$18)),
      TRIM(B3506)=TRIM(Enginuity!$A$17)
    )
  ),
  ROW(),
  ""
)</f>
        <v/>
      </c>
    </row>
    <row r="3507" spans="21:21" x14ac:dyDescent="0.25">
      <c r="U3507" s="104" t="str">
        <f>IF(
  AND(
    TRIM(A3507)=TRIM(Enginuity!$A$1),
    TRIM(B3507)=TRIM(Enginuity!$A$17),
    Q3507&lt;&gt;"",
    Q3507&lt;&gt;0,
    OR(
      TRIM(C3507)=TRIM(Enginuity!$A$18),
      AND(UPPER(TRIM(M3507))="STD", TRIM(B3507)=TRIM(Enginuity!$A$17))
    ),
    OR(
      AND(LEFT(P3507,5)="1-Way", Enginuity!$B$13=1),
      AND(LEFT(P3507,5)="2-Way", OR(Enginuity!$B$13=2, Enginuity!$B$13=4)),
      AND(LEFT(P3507,5)="3-Way", OR(Enginuity!$B$13=3, Enginuity!$B$13=6)),
      AND(P3507="Inner Centre Jamb", OR(Enginuity!$B$13=4, Enginuity!$B$13=6)),
      AND(
        LEFT(P3507,5)&lt;&gt;"1-Way",
        LEFT(P3507,5)&lt;&gt;"2-Way",
        LEFT(P3507,5)&lt;&gt;"3-Way",
        P3507&lt;&gt;"Inner Centre Jamb"
      )
    ),
    IF(OR(Enginuity!$A$1="Frameless Glass",Enginuity!$A$1="Metal Work"),
      AND(TRIM(B3507)=TRIM(Enginuity!$A$17),TRIM(C3507)=TRIM(Enginuity!$A$18)),
      TRIM(B3507)=TRIM(Enginuity!$A$17)
    )
  ),
  ROW(),
  ""
)</f>
        <v/>
      </c>
    </row>
    <row r="3508" spans="21:21" x14ac:dyDescent="0.25">
      <c r="U3508" s="104" t="str">
        <f>IF(
  AND(
    TRIM(A3508)=TRIM(Enginuity!$A$1),
    TRIM(B3508)=TRIM(Enginuity!$A$17),
    Q3508&lt;&gt;"",
    Q3508&lt;&gt;0,
    OR(
      TRIM(C3508)=TRIM(Enginuity!$A$18),
      AND(UPPER(TRIM(M3508))="STD", TRIM(B3508)=TRIM(Enginuity!$A$17))
    ),
    OR(
      AND(LEFT(P3508,5)="1-Way", Enginuity!$B$13=1),
      AND(LEFT(P3508,5)="2-Way", OR(Enginuity!$B$13=2, Enginuity!$B$13=4)),
      AND(LEFT(P3508,5)="3-Way", OR(Enginuity!$B$13=3, Enginuity!$B$13=6)),
      AND(P3508="Inner Centre Jamb", OR(Enginuity!$B$13=4, Enginuity!$B$13=6)),
      AND(
        LEFT(P3508,5)&lt;&gt;"1-Way",
        LEFT(P3508,5)&lt;&gt;"2-Way",
        LEFT(P3508,5)&lt;&gt;"3-Way",
        P3508&lt;&gt;"Inner Centre Jamb"
      )
    ),
    IF(OR(Enginuity!$A$1="Frameless Glass",Enginuity!$A$1="Metal Work"),
      AND(TRIM(B3508)=TRIM(Enginuity!$A$17),TRIM(C3508)=TRIM(Enginuity!$A$18)),
      TRIM(B3508)=TRIM(Enginuity!$A$17)
    )
  ),
  ROW(),
  ""
)</f>
        <v/>
      </c>
    </row>
    <row r="3509" spans="21:21" x14ac:dyDescent="0.25">
      <c r="U3509" s="104" t="str">
        <f>IF(
  AND(
    TRIM(A3509)=TRIM(Enginuity!$A$1),
    TRIM(B3509)=TRIM(Enginuity!$A$17),
    Q3509&lt;&gt;"",
    Q3509&lt;&gt;0,
    OR(
      TRIM(C3509)=TRIM(Enginuity!$A$18),
      AND(UPPER(TRIM(M3509))="STD", TRIM(B3509)=TRIM(Enginuity!$A$17))
    ),
    OR(
      AND(LEFT(P3509,5)="1-Way", Enginuity!$B$13=1),
      AND(LEFT(P3509,5)="2-Way", OR(Enginuity!$B$13=2, Enginuity!$B$13=4)),
      AND(LEFT(P3509,5)="3-Way", OR(Enginuity!$B$13=3, Enginuity!$B$13=6)),
      AND(P3509="Inner Centre Jamb", OR(Enginuity!$B$13=4, Enginuity!$B$13=6)),
      AND(
        LEFT(P3509,5)&lt;&gt;"1-Way",
        LEFT(P3509,5)&lt;&gt;"2-Way",
        LEFT(P3509,5)&lt;&gt;"3-Way",
        P3509&lt;&gt;"Inner Centre Jamb"
      )
    ),
    IF(OR(Enginuity!$A$1="Frameless Glass",Enginuity!$A$1="Metal Work"),
      AND(TRIM(B3509)=TRIM(Enginuity!$A$17),TRIM(C3509)=TRIM(Enginuity!$A$18)),
      TRIM(B3509)=TRIM(Enginuity!$A$17)
    )
  ),
  ROW(),
  ""
)</f>
        <v/>
      </c>
    </row>
    <row r="3510" spans="21:21" x14ac:dyDescent="0.25">
      <c r="U3510" s="104" t="str">
        <f>IF(
  AND(
    TRIM(A3510)=TRIM(Enginuity!$A$1),
    TRIM(B3510)=TRIM(Enginuity!$A$17),
    Q3510&lt;&gt;"",
    Q3510&lt;&gt;0,
    OR(
      TRIM(C3510)=TRIM(Enginuity!$A$18),
      AND(UPPER(TRIM(M3510))="STD", TRIM(B3510)=TRIM(Enginuity!$A$17))
    ),
    OR(
      AND(LEFT(P3510,5)="1-Way", Enginuity!$B$13=1),
      AND(LEFT(P3510,5)="2-Way", OR(Enginuity!$B$13=2, Enginuity!$B$13=4)),
      AND(LEFT(P3510,5)="3-Way", OR(Enginuity!$B$13=3, Enginuity!$B$13=6)),
      AND(P3510="Inner Centre Jamb", OR(Enginuity!$B$13=4, Enginuity!$B$13=6)),
      AND(
        LEFT(P3510,5)&lt;&gt;"1-Way",
        LEFT(P3510,5)&lt;&gt;"2-Way",
        LEFT(P3510,5)&lt;&gt;"3-Way",
        P3510&lt;&gt;"Inner Centre Jamb"
      )
    ),
    IF(OR(Enginuity!$A$1="Frameless Glass",Enginuity!$A$1="Metal Work"),
      AND(TRIM(B3510)=TRIM(Enginuity!$A$17),TRIM(C3510)=TRIM(Enginuity!$A$18)),
      TRIM(B3510)=TRIM(Enginuity!$A$17)
    )
  ),
  ROW(),
  ""
)</f>
        <v/>
      </c>
    </row>
    <row r="3511" spans="21:21" x14ac:dyDescent="0.25">
      <c r="U3511" s="104" t="str">
        <f>IF(
  AND(
    TRIM(A3511)=TRIM(Enginuity!$A$1),
    TRIM(B3511)=TRIM(Enginuity!$A$17),
    Q3511&lt;&gt;"",
    Q3511&lt;&gt;0,
    OR(
      TRIM(C3511)=TRIM(Enginuity!$A$18),
      AND(UPPER(TRIM(M3511))="STD", TRIM(B3511)=TRIM(Enginuity!$A$17))
    ),
    OR(
      AND(LEFT(P3511,5)="1-Way", Enginuity!$B$13=1),
      AND(LEFT(P3511,5)="2-Way", OR(Enginuity!$B$13=2, Enginuity!$B$13=4)),
      AND(LEFT(P3511,5)="3-Way", OR(Enginuity!$B$13=3, Enginuity!$B$13=6)),
      AND(P3511="Inner Centre Jamb", OR(Enginuity!$B$13=4, Enginuity!$B$13=6)),
      AND(
        LEFT(P3511,5)&lt;&gt;"1-Way",
        LEFT(P3511,5)&lt;&gt;"2-Way",
        LEFT(P3511,5)&lt;&gt;"3-Way",
        P3511&lt;&gt;"Inner Centre Jamb"
      )
    ),
    IF(OR(Enginuity!$A$1="Frameless Glass",Enginuity!$A$1="Metal Work"),
      AND(TRIM(B3511)=TRIM(Enginuity!$A$17),TRIM(C3511)=TRIM(Enginuity!$A$18)),
      TRIM(B3511)=TRIM(Enginuity!$A$17)
    )
  ),
  ROW(),
  ""
)</f>
        <v/>
      </c>
    </row>
    <row r="3512" spans="21:21" x14ac:dyDescent="0.25">
      <c r="U3512" s="104" t="str">
        <f>IF(
  AND(
    TRIM(A3512)=TRIM(Enginuity!$A$1),
    TRIM(B3512)=TRIM(Enginuity!$A$17),
    Q3512&lt;&gt;"",
    Q3512&lt;&gt;0,
    OR(
      TRIM(C3512)=TRIM(Enginuity!$A$18),
      AND(UPPER(TRIM(M3512))="STD", TRIM(B3512)=TRIM(Enginuity!$A$17))
    ),
    OR(
      AND(LEFT(P3512,5)="1-Way", Enginuity!$B$13=1),
      AND(LEFT(P3512,5)="2-Way", OR(Enginuity!$B$13=2, Enginuity!$B$13=4)),
      AND(LEFT(P3512,5)="3-Way", OR(Enginuity!$B$13=3, Enginuity!$B$13=6)),
      AND(P3512="Inner Centre Jamb", OR(Enginuity!$B$13=4, Enginuity!$B$13=6)),
      AND(
        LEFT(P3512,5)&lt;&gt;"1-Way",
        LEFT(P3512,5)&lt;&gt;"2-Way",
        LEFT(P3512,5)&lt;&gt;"3-Way",
        P3512&lt;&gt;"Inner Centre Jamb"
      )
    ),
    IF(OR(Enginuity!$A$1="Frameless Glass",Enginuity!$A$1="Metal Work"),
      AND(TRIM(B3512)=TRIM(Enginuity!$A$17),TRIM(C3512)=TRIM(Enginuity!$A$18)),
      TRIM(B3512)=TRIM(Enginuity!$A$17)
    )
  ),
  ROW(),
  ""
)</f>
        <v/>
      </c>
    </row>
    <row r="3513" spans="21:21" x14ac:dyDescent="0.25">
      <c r="U3513" s="104" t="str">
        <f>IF(
  AND(
    TRIM(A3513)=TRIM(Enginuity!$A$1),
    TRIM(B3513)=TRIM(Enginuity!$A$17),
    Q3513&lt;&gt;"",
    Q3513&lt;&gt;0,
    OR(
      TRIM(C3513)=TRIM(Enginuity!$A$18),
      AND(UPPER(TRIM(M3513))="STD", TRIM(B3513)=TRIM(Enginuity!$A$17))
    ),
    OR(
      AND(LEFT(P3513,5)="1-Way", Enginuity!$B$13=1),
      AND(LEFT(P3513,5)="2-Way", OR(Enginuity!$B$13=2, Enginuity!$B$13=4)),
      AND(LEFT(P3513,5)="3-Way", OR(Enginuity!$B$13=3, Enginuity!$B$13=6)),
      AND(P3513="Inner Centre Jamb", OR(Enginuity!$B$13=4, Enginuity!$B$13=6)),
      AND(
        LEFT(P3513,5)&lt;&gt;"1-Way",
        LEFT(P3513,5)&lt;&gt;"2-Way",
        LEFT(P3513,5)&lt;&gt;"3-Way",
        P3513&lt;&gt;"Inner Centre Jamb"
      )
    ),
    IF(OR(Enginuity!$A$1="Frameless Glass",Enginuity!$A$1="Metal Work"),
      AND(TRIM(B3513)=TRIM(Enginuity!$A$17),TRIM(C3513)=TRIM(Enginuity!$A$18)),
      TRIM(B3513)=TRIM(Enginuity!$A$17)
    )
  ),
  ROW(),
  ""
)</f>
        <v/>
      </c>
    </row>
    <row r="3514" spans="21:21" x14ac:dyDescent="0.25">
      <c r="U3514" s="104" t="str">
        <f>IF(
  AND(
    TRIM(A3514)=TRIM(Enginuity!$A$1),
    TRIM(B3514)=TRIM(Enginuity!$A$17),
    Q3514&lt;&gt;"",
    Q3514&lt;&gt;0,
    OR(
      TRIM(C3514)=TRIM(Enginuity!$A$18),
      AND(UPPER(TRIM(M3514))="STD", TRIM(B3514)=TRIM(Enginuity!$A$17))
    ),
    OR(
      AND(LEFT(P3514,5)="1-Way", Enginuity!$B$13=1),
      AND(LEFT(P3514,5)="2-Way", OR(Enginuity!$B$13=2, Enginuity!$B$13=4)),
      AND(LEFT(P3514,5)="3-Way", OR(Enginuity!$B$13=3, Enginuity!$B$13=6)),
      AND(P3514="Inner Centre Jamb", OR(Enginuity!$B$13=4, Enginuity!$B$13=6)),
      AND(
        LEFT(P3514,5)&lt;&gt;"1-Way",
        LEFT(P3514,5)&lt;&gt;"2-Way",
        LEFT(P3514,5)&lt;&gt;"3-Way",
        P3514&lt;&gt;"Inner Centre Jamb"
      )
    ),
    IF(OR(Enginuity!$A$1="Frameless Glass",Enginuity!$A$1="Metal Work"),
      AND(TRIM(B3514)=TRIM(Enginuity!$A$17),TRIM(C3514)=TRIM(Enginuity!$A$18)),
      TRIM(B3514)=TRIM(Enginuity!$A$17)
    )
  ),
  ROW(),
  ""
)</f>
        <v/>
      </c>
    </row>
    <row r="3515" spans="21:21" x14ac:dyDescent="0.25">
      <c r="U3515" s="104" t="str">
        <f>IF(
  AND(
    TRIM(A3515)=TRIM(Enginuity!$A$1),
    TRIM(B3515)=TRIM(Enginuity!$A$17),
    Q3515&lt;&gt;"",
    Q3515&lt;&gt;0,
    OR(
      TRIM(C3515)=TRIM(Enginuity!$A$18),
      AND(UPPER(TRIM(M3515))="STD", TRIM(B3515)=TRIM(Enginuity!$A$17))
    ),
    OR(
      AND(LEFT(P3515,5)="1-Way", Enginuity!$B$13=1),
      AND(LEFT(P3515,5)="2-Way", OR(Enginuity!$B$13=2, Enginuity!$B$13=4)),
      AND(LEFT(P3515,5)="3-Way", OR(Enginuity!$B$13=3, Enginuity!$B$13=6)),
      AND(P3515="Inner Centre Jamb", OR(Enginuity!$B$13=4, Enginuity!$B$13=6)),
      AND(
        LEFT(P3515,5)&lt;&gt;"1-Way",
        LEFT(P3515,5)&lt;&gt;"2-Way",
        LEFT(P3515,5)&lt;&gt;"3-Way",
        P3515&lt;&gt;"Inner Centre Jamb"
      )
    ),
    IF(OR(Enginuity!$A$1="Frameless Glass",Enginuity!$A$1="Metal Work"),
      AND(TRIM(B3515)=TRIM(Enginuity!$A$17),TRIM(C3515)=TRIM(Enginuity!$A$18)),
      TRIM(B3515)=TRIM(Enginuity!$A$17)
    )
  ),
  ROW(),
  ""
)</f>
        <v/>
      </c>
    </row>
    <row r="3516" spans="21:21" x14ac:dyDescent="0.25">
      <c r="U3516" s="104" t="str">
        <f>IF(
  AND(
    TRIM(A3516)=TRIM(Enginuity!$A$1),
    TRIM(B3516)=TRIM(Enginuity!$A$17),
    Q3516&lt;&gt;"",
    Q3516&lt;&gt;0,
    OR(
      TRIM(C3516)=TRIM(Enginuity!$A$18),
      AND(UPPER(TRIM(M3516))="STD", TRIM(B3516)=TRIM(Enginuity!$A$17))
    ),
    OR(
      AND(LEFT(P3516,5)="1-Way", Enginuity!$B$13=1),
      AND(LEFT(P3516,5)="2-Way", OR(Enginuity!$B$13=2, Enginuity!$B$13=4)),
      AND(LEFT(P3516,5)="3-Way", OR(Enginuity!$B$13=3, Enginuity!$B$13=6)),
      AND(P3516="Inner Centre Jamb", OR(Enginuity!$B$13=4, Enginuity!$B$13=6)),
      AND(
        LEFT(P3516,5)&lt;&gt;"1-Way",
        LEFT(P3516,5)&lt;&gt;"2-Way",
        LEFT(P3516,5)&lt;&gt;"3-Way",
        P3516&lt;&gt;"Inner Centre Jamb"
      )
    ),
    IF(OR(Enginuity!$A$1="Frameless Glass",Enginuity!$A$1="Metal Work"),
      AND(TRIM(B3516)=TRIM(Enginuity!$A$17),TRIM(C3516)=TRIM(Enginuity!$A$18)),
      TRIM(B3516)=TRIM(Enginuity!$A$17)
    )
  ),
  ROW(),
  ""
)</f>
        <v/>
      </c>
    </row>
    <row r="3517" spans="21:21" x14ac:dyDescent="0.25">
      <c r="U3517" s="104" t="str">
        <f>IF(
  AND(
    TRIM(A3517)=TRIM(Enginuity!$A$1),
    TRIM(B3517)=TRIM(Enginuity!$A$17),
    Q3517&lt;&gt;"",
    Q3517&lt;&gt;0,
    OR(
      TRIM(C3517)=TRIM(Enginuity!$A$18),
      AND(UPPER(TRIM(M3517))="STD", TRIM(B3517)=TRIM(Enginuity!$A$17))
    ),
    OR(
      AND(LEFT(P3517,5)="1-Way", Enginuity!$B$13=1),
      AND(LEFT(P3517,5)="2-Way", OR(Enginuity!$B$13=2, Enginuity!$B$13=4)),
      AND(LEFT(P3517,5)="3-Way", OR(Enginuity!$B$13=3, Enginuity!$B$13=6)),
      AND(P3517="Inner Centre Jamb", OR(Enginuity!$B$13=4, Enginuity!$B$13=6)),
      AND(
        LEFT(P3517,5)&lt;&gt;"1-Way",
        LEFT(P3517,5)&lt;&gt;"2-Way",
        LEFT(P3517,5)&lt;&gt;"3-Way",
        P3517&lt;&gt;"Inner Centre Jamb"
      )
    ),
    IF(OR(Enginuity!$A$1="Frameless Glass",Enginuity!$A$1="Metal Work"),
      AND(TRIM(B3517)=TRIM(Enginuity!$A$17),TRIM(C3517)=TRIM(Enginuity!$A$18)),
      TRIM(B3517)=TRIM(Enginuity!$A$17)
    )
  ),
  ROW(),
  ""
)</f>
        <v/>
      </c>
    </row>
    <row r="3518" spans="21:21" x14ac:dyDescent="0.25">
      <c r="U3518" s="104" t="str">
        <f>IF(
  AND(
    TRIM(A3518)=TRIM(Enginuity!$A$1),
    TRIM(B3518)=TRIM(Enginuity!$A$17),
    Q3518&lt;&gt;"",
    Q3518&lt;&gt;0,
    OR(
      TRIM(C3518)=TRIM(Enginuity!$A$18),
      AND(UPPER(TRIM(M3518))="STD", TRIM(B3518)=TRIM(Enginuity!$A$17))
    ),
    OR(
      AND(LEFT(P3518,5)="1-Way", Enginuity!$B$13=1),
      AND(LEFT(P3518,5)="2-Way", OR(Enginuity!$B$13=2, Enginuity!$B$13=4)),
      AND(LEFT(P3518,5)="3-Way", OR(Enginuity!$B$13=3, Enginuity!$B$13=6)),
      AND(P3518="Inner Centre Jamb", OR(Enginuity!$B$13=4, Enginuity!$B$13=6)),
      AND(
        LEFT(P3518,5)&lt;&gt;"1-Way",
        LEFT(P3518,5)&lt;&gt;"2-Way",
        LEFT(P3518,5)&lt;&gt;"3-Way",
        P3518&lt;&gt;"Inner Centre Jamb"
      )
    ),
    IF(OR(Enginuity!$A$1="Frameless Glass",Enginuity!$A$1="Metal Work"),
      AND(TRIM(B3518)=TRIM(Enginuity!$A$17),TRIM(C3518)=TRIM(Enginuity!$A$18)),
      TRIM(B3518)=TRIM(Enginuity!$A$17)
    )
  ),
  ROW(),
  ""
)</f>
        <v/>
      </c>
    </row>
    <row r="3519" spans="21:21" x14ac:dyDescent="0.25">
      <c r="U3519" s="104" t="str">
        <f>IF(
  AND(
    TRIM(A3519)=TRIM(Enginuity!$A$1),
    TRIM(B3519)=TRIM(Enginuity!$A$17),
    Q3519&lt;&gt;"",
    Q3519&lt;&gt;0,
    OR(
      TRIM(C3519)=TRIM(Enginuity!$A$18),
      AND(UPPER(TRIM(M3519))="STD", TRIM(B3519)=TRIM(Enginuity!$A$17))
    ),
    OR(
      AND(LEFT(P3519,5)="1-Way", Enginuity!$B$13=1),
      AND(LEFT(P3519,5)="2-Way", OR(Enginuity!$B$13=2, Enginuity!$B$13=4)),
      AND(LEFT(P3519,5)="3-Way", OR(Enginuity!$B$13=3, Enginuity!$B$13=6)),
      AND(P3519="Inner Centre Jamb", OR(Enginuity!$B$13=4, Enginuity!$B$13=6)),
      AND(
        LEFT(P3519,5)&lt;&gt;"1-Way",
        LEFT(P3519,5)&lt;&gt;"2-Way",
        LEFT(P3519,5)&lt;&gt;"3-Way",
        P3519&lt;&gt;"Inner Centre Jamb"
      )
    ),
    IF(OR(Enginuity!$A$1="Frameless Glass",Enginuity!$A$1="Metal Work"),
      AND(TRIM(B3519)=TRIM(Enginuity!$A$17),TRIM(C3519)=TRIM(Enginuity!$A$18)),
      TRIM(B3519)=TRIM(Enginuity!$A$17)
    )
  ),
  ROW(),
  ""
)</f>
        <v/>
      </c>
    </row>
    <row r="3520" spans="21:21" x14ac:dyDescent="0.25">
      <c r="U3520" s="104" t="str">
        <f>IF(
  AND(
    TRIM(A3520)=TRIM(Enginuity!$A$1),
    TRIM(B3520)=TRIM(Enginuity!$A$17),
    Q3520&lt;&gt;"",
    Q3520&lt;&gt;0,
    OR(
      TRIM(C3520)=TRIM(Enginuity!$A$18),
      AND(UPPER(TRIM(M3520))="STD", TRIM(B3520)=TRIM(Enginuity!$A$17))
    ),
    OR(
      AND(LEFT(P3520,5)="1-Way", Enginuity!$B$13=1),
      AND(LEFT(P3520,5)="2-Way", OR(Enginuity!$B$13=2, Enginuity!$B$13=4)),
      AND(LEFT(P3520,5)="3-Way", OR(Enginuity!$B$13=3, Enginuity!$B$13=6)),
      AND(P3520="Inner Centre Jamb", OR(Enginuity!$B$13=4, Enginuity!$B$13=6)),
      AND(
        LEFT(P3520,5)&lt;&gt;"1-Way",
        LEFT(P3520,5)&lt;&gt;"2-Way",
        LEFT(P3520,5)&lt;&gt;"3-Way",
        P3520&lt;&gt;"Inner Centre Jamb"
      )
    ),
    IF(OR(Enginuity!$A$1="Frameless Glass",Enginuity!$A$1="Metal Work"),
      AND(TRIM(B3520)=TRIM(Enginuity!$A$17),TRIM(C3520)=TRIM(Enginuity!$A$18)),
      TRIM(B3520)=TRIM(Enginuity!$A$17)
    )
  ),
  ROW(),
  ""
)</f>
        <v/>
      </c>
    </row>
    <row r="3521" spans="21:21" x14ac:dyDescent="0.25">
      <c r="U3521" s="104" t="str">
        <f>IF(
  AND(
    TRIM(A3521)=TRIM(Enginuity!$A$1),
    TRIM(B3521)=TRIM(Enginuity!$A$17),
    Q3521&lt;&gt;"",
    Q3521&lt;&gt;0,
    OR(
      TRIM(C3521)=TRIM(Enginuity!$A$18),
      AND(UPPER(TRIM(M3521))="STD", TRIM(B3521)=TRIM(Enginuity!$A$17))
    ),
    OR(
      AND(LEFT(P3521,5)="1-Way", Enginuity!$B$13=1),
      AND(LEFT(P3521,5)="2-Way", OR(Enginuity!$B$13=2, Enginuity!$B$13=4)),
      AND(LEFT(P3521,5)="3-Way", OR(Enginuity!$B$13=3, Enginuity!$B$13=6)),
      AND(P3521="Inner Centre Jamb", OR(Enginuity!$B$13=4, Enginuity!$B$13=6)),
      AND(
        LEFT(P3521,5)&lt;&gt;"1-Way",
        LEFT(P3521,5)&lt;&gt;"2-Way",
        LEFT(P3521,5)&lt;&gt;"3-Way",
        P3521&lt;&gt;"Inner Centre Jamb"
      )
    ),
    IF(OR(Enginuity!$A$1="Frameless Glass",Enginuity!$A$1="Metal Work"),
      AND(TRIM(B3521)=TRIM(Enginuity!$A$17),TRIM(C3521)=TRIM(Enginuity!$A$18)),
      TRIM(B3521)=TRIM(Enginuity!$A$17)
    )
  ),
  ROW(),
  ""
)</f>
        <v/>
      </c>
    </row>
    <row r="3522" spans="21:21" x14ac:dyDescent="0.25">
      <c r="U3522" s="104" t="str">
        <f>IF(
  AND(
    TRIM(A3522)=TRIM(Enginuity!$A$1),
    TRIM(B3522)=TRIM(Enginuity!$A$17),
    Q3522&lt;&gt;"",
    Q3522&lt;&gt;0,
    OR(
      TRIM(C3522)=TRIM(Enginuity!$A$18),
      AND(UPPER(TRIM(M3522))="STD", TRIM(B3522)=TRIM(Enginuity!$A$17))
    ),
    OR(
      AND(LEFT(P3522,5)="1-Way", Enginuity!$B$13=1),
      AND(LEFT(P3522,5)="2-Way", OR(Enginuity!$B$13=2, Enginuity!$B$13=4)),
      AND(LEFT(P3522,5)="3-Way", OR(Enginuity!$B$13=3, Enginuity!$B$13=6)),
      AND(P3522="Inner Centre Jamb", OR(Enginuity!$B$13=4, Enginuity!$B$13=6)),
      AND(
        LEFT(P3522,5)&lt;&gt;"1-Way",
        LEFT(P3522,5)&lt;&gt;"2-Way",
        LEFT(P3522,5)&lt;&gt;"3-Way",
        P3522&lt;&gt;"Inner Centre Jamb"
      )
    ),
    IF(OR(Enginuity!$A$1="Frameless Glass",Enginuity!$A$1="Metal Work"),
      AND(TRIM(B3522)=TRIM(Enginuity!$A$17),TRIM(C3522)=TRIM(Enginuity!$A$18)),
      TRIM(B3522)=TRIM(Enginuity!$A$17)
    )
  ),
  ROW(),
  ""
)</f>
        <v/>
      </c>
    </row>
    <row r="3523" spans="21:21" x14ac:dyDescent="0.25">
      <c r="U3523" s="104" t="str">
        <f>IF(
  AND(
    TRIM(A3523)=TRIM(Enginuity!$A$1),
    TRIM(B3523)=TRIM(Enginuity!$A$17),
    Q3523&lt;&gt;"",
    Q3523&lt;&gt;0,
    OR(
      TRIM(C3523)=TRIM(Enginuity!$A$18),
      AND(UPPER(TRIM(M3523))="STD", TRIM(B3523)=TRIM(Enginuity!$A$17))
    ),
    OR(
      AND(LEFT(P3523,5)="1-Way", Enginuity!$B$13=1),
      AND(LEFT(P3523,5)="2-Way", OR(Enginuity!$B$13=2, Enginuity!$B$13=4)),
      AND(LEFT(P3523,5)="3-Way", OR(Enginuity!$B$13=3, Enginuity!$B$13=6)),
      AND(P3523="Inner Centre Jamb", OR(Enginuity!$B$13=4, Enginuity!$B$13=6)),
      AND(
        LEFT(P3523,5)&lt;&gt;"1-Way",
        LEFT(P3523,5)&lt;&gt;"2-Way",
        LEFT(P3523,5)&lt;&gt;"3-Way",
        P3523&lt;&gt;"Inner Centre Jamb"
      )
    ),
    IF(OR(Enginuity!$A$1="Frameless Glass",Enginuity!$A$1="Metal Work"),
      AND(TRIM(B3523)=TRIM(Enginuity!$A$17),TRIM(C3523)=TRIM(Enginuity!$A$18)),
      TRIM(B3523)=TRIM(Enginuity!$A$17)
    )
  ),
  ROW(),
  ""
)</f>
        <v/>
      </c>
    </row>
    <row r="3524" spans="21:21" x14ac:dyDescent="0.25">
      <c r="U3524" s="104" t="str">
        <f>IF(
  AND(
    TRIM(A3524)=TRIM(Enginuity!$A$1),
    TRIM(B3524)=TRIM(Enginuity!$A$17),
    Q3524&lt;&gt;"",
    Q3524&lt;&gt;0,
    OR(
      TRIM(C3524)=TRIM(Enginuity!$A$18),
      AND(UPPER(TRIM(M3524))="STD", TRIM(B3524)=TRIM(Enginuity!$A$17))
    ),
    OR(
      AND(LEFT(P3524,5)="1-Way", Enginuity!$B$13=1),
      AND(LEFT(P3524,5)="2-Way", OR(Enginuity!$B$13=2, Enginuity!$B$13=4)),
      AND(LEFT(P3524,5)="3-Way", OR(Enginuity!$B$13=3, Enginuity!$B$13=6)),
      AND(P3524="Inner Centre Jamb", OR(Enginuity!$B$13=4, Enginuity!$B$13=6)),
      AND(
        LEFT(P3524,5)&lt;&gt;"1-Way",
        LEFT(P3524,5)&lt;&gt;"2-Way",
        LEFT(P3524,5)&lt;&gt;"3-Way",
        P3524&lt;&gt;"Inner Centre Jamb"
      )
    ),
    IF(OR(Enginuity!$A$1="Frameless Glass",Enginuity!$A$1="Metal Work"),
      AND(TRIM(B3524)=TRIM(Enginuity!$A$17),TRIM(C3524)=TRIM(Enginuity!$A$18)),
      TRIM(B3524)=TRIM(Enginuity!$A$17)
    )
  ),
  ROW(),
  ""
)</f>
        <v/>
      </c>
    </row>
    <row r="3525" spans="21:21" x14ac:dyDescent="0.25">
      <c r="U3525" s="104" t="str">
        <f>IF(
  AND(
    TRIM(A3525)=TRIM(Enginuity!$A$1),
    TRIM(B3525)=TRIM(Enginuity!$A$17),
    Q3525&lt;&gt;"",
    Q3525&lt;&gt;0,
    OR(
      TRIM(C3525)=TRIM(Enginuity!$A$18),
      AND(UPPER(TRIM(M3525))="STD", TRIM(B3525)=TRIM(Enginuity!$A$17))
    ),
    OR(
      AND(LEFT(P3525,5)="1-Way", Enginuity!$B$13=1),
      AND(LEFT(P3525,5)="2-Way", OR(Enginuity!$B$13=2, Enginuity!$B$13=4)),
      AND(LEFT(P3525,5)="3-Way", OR(Enginuity!$B$13=3, Enginuity!$B$13=6)),
      AND(P3525="Inner Centre Jamb", OR(Enginuity!$B$13=4, Enginuity!$B$13=6)),
      AND(
        LEFT(P3525,5)&lt;&gt;"1-Way",
        LEFT(P3525,5)&lt;&gt;"2-Way",
        LEFT(P3525,5)&lt;&gt;"3-Way",
        P3525&lt;&gt;"Inner Centre Jamb"
      )
    ),
    IF(OR(Enginuity!$A$1="Frameless Glass",Enginuity!$A$1="Metal Work"),
      AND(TRIM(B3525)=TRIM(Enginuity!$A$17),TRIM(C3525)=TRIM(Enginuity!$A$18)),
      TRIM(B3525)=TRIM(Enginuity!$A$17)
    )
  ),
  ROW(),
  ""
)</f>
        <v/>
      </c>
    </row>
    <row r="3526" spans="21:21" x14ac:dyDescent="0.25">
      <c r="U3526" s="104" t="str">
        <f>IF(
  AND(
    TRIM(A3526)=TRIM(Enginuity!$A$1),
    TRIM(B3526)=TRIM(Enginuity!$A$17),
    Q3526&lt;&gt;"",
    Q3526&lt;&gt;0,
    OR(
      TRIM(C3526)=TRIM(Enginuity!$A$18),
      AND(UPPER(TRIM(M3526))="STD", TRIM(B3526)=TRIM(Enginuity!$A$17))
    ),
    OR(
      AND(LEFT(P3526,5)="1-Way", Enginuity!$B$13=1),
      AND(LEFT(P3526,5)="2-Way", OR(Enginuity!$B$13=2, Enginuity!$B$13=4)),
      AND(LEFT(P3526,5)="3-Way", OR(Enginuity!$B$13=3, Enginuity!$B$13=6)),
      AND(P3526="Inner Centre Jamb", OR(Enginuity!$B$13=4, Enginuity!$B$13=6)),
      AND(
        LEFT(P3526,5)&lt;&gt;"1-Way",
        LEFT(P3526,5)&lt;&gt;"2-Way",
        LEFT(P3526,5)&lt;&gt;"3-Way",
        P3526&lt;&gt;"Inner Centre Jamb"
      )
    ),
    IF(OR(Enginuity!$A$1="Frameless Glass",Enginuity!$A$1="Metal Work"),
      AND(TRIM(B3526)=TRIM(Enginuity!$A$17),TRIM(C3526)=TRIM(Enginuity!$A$18)),
      TRIM(B3526)=TRIM(Enginuity!$A$17)
    )
  ),
  ROW(),
  ""
)</f>
        <v/>
      </c>
    </row>
    <row r="3527" spans="21:21" x14ac:dyDescent="0.25">
      <c r="U3527" s="104" t="str">
        <f>IF(
  AND(
    TRIM(A3527)=TRIM(Enginuity!$A$1),
    TRIM(B3527)=TRIM(Enginuity!$A$17),
    Q3527&lt;&gt;"",
    Q3527&lt;&gt;0,
    OR(
      TRIM(C3527)=TRIM(Enginuity!$A$18),
      AND(UPPER(TRIM(M3527))="STD", TRIM(B3527)=TRIM(Enginuity!$A$17))
    ),
    OR(
      AND(LEFT(P3527,5)="1-Way", Enginuity!$B$13=1),
      AND(LEFT(P3527,5)="2-Way", OR(Enginuity!$B$13=2, Enginuity!$B$13=4)),
      AND(LEFT(P3527,5)="3-Way", OR(Enginuity!$B$13=3, Enginuity!$B$13=6)),
      AND(P3527="Inner Centre Jamb", OR(Enginuity!$B$13=4, Enginuity!$B$13=6)),
      AND(
        LEFT(P3527,5)&lt;&gt;"1-Way",
        LEFT(P3527,5)&lt;&gt;"2-Way",
        LEFT(P3527,5)&lt;&gt;"3-Way",
        P3527&lt;&gt;"Inner Centre Jamb"
      )
    ),
    IF(OR(Enginuity!$A$1="Frameless Glass",Enginuity!$A$1="Metal Work"),
      AND(TRIM(B3527)=TRIM(Enginuity!$A$17),TRIM(C3527)=TRIM(Enginuity!$A$18)),
      TRIM(B3527)=TRIM(Enginuity!$A$17)
    )
  ),
  ROW(),
  ""
)</f>
        <v/>
      </c>
    </row>
    <row r="3528" spans="21:21" x14ac:dyDescent="0.25">
      <c r="U3528" s="104" t="str">
        <f>IF(
  AND(
    TRIM(A3528)=TRIM(Enginuity!$A$1),
    TRIM(B3528)=TRIM(Enginuity!$A$17),
    Q3528&lt;&gt;"",
    Q3528&lt;&gt;0,
    OR(
      TRIM(C3528)=TRIM(Enginuity!$A$18),
      AND(UPPER(TRIM(M3528))="STD", TRIM(B3528)=TRIM(Enginuity!$A$17))
    ),
    OR(
      AND(LEFT(P3528,5)="1-Way", Enginuity!$B$13=1),
      AND(LEFT(P3528,5)="2-Way", OR(Enginuity!$B$13=2, Enginuity!$B$13=4)),
      AND(LEFT(P3528,5)="3-Way", OR(Enginuity!$B$13=3, Enginuity!$B$13=6)),
      AND(P3528="Inner Centre Jamb", OR(Enginuity!$B$13=4, Enginuity!$B$13=6)),
      AND(
        LEFT(P3528,5)&lt;&gt;"1-Way",
        LEFT(P3528,5)&lt;&gt;"2-Way",
        LEFT(P3528,5)&lt;&gt;"3-Way",
        P3528&lt;&gt;"Inner Centre Jamb"
      )
    ),
    IF(OR(Enginuity!$A$1="Frameless Glass",Enginuity!$A$1="Metal Work"),
      AND(TRIM(B3528)=TRIM(Enginuity!$A$17),TRIM(C3528)=TRIM(Enginuity!$A$18)),
      TRIM(B3528)=TRIM(Enginuity!$A$17)
    )
  ),
  ROW(),
  ""
)</f>
        <v/>
      </c>
    </row>
    <row r="3529" spans="21:21" x14ac:dyDescent="0.25">
      <c r="U3529" s="104" t="str">
        <f>IF(
  AND(
    TRIM(A3529)=TRIM(Enginuity!$A$1),
    TRIM(B3529)=TRIM(Enginuity!$A$17),
    Q3529&lt;&gt;"",
    Q3529&lt;&gt;0,
    OR(
      TRIM(C3529)=TRIM(Enginuity!$A$18),
      AND(UPPER(TRIM(M3529))="STD", TRIM(B3529)=TRIM(Enginuity!$A$17))
    ),
    OR(
      AND(LEFT(P3529,5)="1-Way", Enginuity!$B$13=1),
      AND(LEFT(P3529,5)="2-Way", OR(Enginuity!$B$13=2, Enginuity!$B$13=4)),
      AND(LEFT(P3529,5)="3-Way", OR(Enginuity!$B$13=3, Enginuity!$B$13=6)),
      AND(P3529="Inner Centre Jamb", OR(Enginuity!$B$13=4, Enginuity!$B$13=6)),
      AND(
        LEFT(P3529,5)&lt;&gt;"1-Way",
        LEFT(P3529,5)&lt;&gt;"2-Way",
        LEFT(P3529,5)&lt;&gt;"3-Way",
        P3529&lt;&gt;"Inner Centre Jamb"
      )
    ),
    IF(OR(Enginuity!$A$1="Frameless Glass",Enginuity!$A$1="Metal Work"),
      AND(TRIM(B3529)=TRIM(Enginuity!$A$17),TRIM(C3529)=TRIM(Enginuity!$A$18)),
      TRIM(B3529)=TRIM(Enginuity!$A$17)
    )
  ),
  ROW(),
  ""
)</f>
        <v/>
      </c>
    </row>
    <row r="3530" spans="21:21" x14ac:dyDescent="0.25">
      <c r="U3530" s="104" t="str">
        <f>IF(
  AND(
    TRIM(A3530)=TRIM(Enginuity!$A$1),
    TRIM(B3530)=TRIM(Enginuity!$A$17),
    Q3530&lt;&gt;"",
    Q3530&lt;&gt;0,
    OR(
      TRIM(C3530)=TRIM(Enginuity!$A$18),
      AND(UPPER(TRIM(M3530))="STD", TRIM(B3530)=TRIM(Enginuity!$A$17))
    ),
    OR(
      AND(LEFT(P3530,5)="1-Way", Enginuity!$B$13=1),
      AND(LEFT(P3530,5)="2-Way", OR(Enginuity!$B$13=2, Enginuity!$B$13=4)),
      AND(LEFT(P3530,5)="3-Way", OR(Enginuity!$B$13=3, Enginuity!$B$13=6)),
      AND(P3530="Inner Centre Jamb", OR(Enginuity!$B$13=4, Enginuity!$B$13=6)),
      AND(
        LEFT(P3530,5)&lt;&gt;"1-Way",
        LEFT(P3530,5)&lt;&gt;"2-Way",
        LEFT(P3530,5)&lt;&gt;"3-Way",
        P3530&lt;&gt;"Inner Centre Jamb"
      )
    ),
    IF(OR(Enginuity!$A$1="Frameless Glass",Enginuity!$A$1="Metal Work"),
      AND(TRIM(B3530)=TRIM(Enginuity!$A$17),TRIM(C3530)=TRIM(Enginuity!$A$18)),
      TRIM(B3530)=TRIM(Enginuity!$A$17)
    )
  ),
  ROW(),
  ""
)</f>
        <v/>
      </c>
    </row>
    <row r="3531" spans="21:21" x14ac:dyDescent="0.25">
      <c r="U3531" s="104" t="str">
        <f>IF(
  AND(
    TRIM(A3531)=TRIM(Enginuity!$A$1),
    TRIM(B3531)=TRIM(Enginuity!$A$17),
    Q3531&lt;&gt;"",
    Q3531&lt;&gt;0,
    OR(
      TRIM(C3531)=TRIM(Enginuity!$A$18),
      AND(UPPER(TRIM(M3531))="STD", TRIM(B3531)=TRIM(Enginuity!$A$17))
    ),
    OR(
      AND(LEFT(P3531,5)="1-Way", Enginuity!$B$13=1),
      AND(LEFT(P3531,5)="2-Way", OR(Enginuity!$B$13=2, Enginuity!$B$13=4)),
      AND(LEFT(P3531,5)="3-Way", OR(Enginuity!$B$13=3, Enginuity!$B$13=6)),
      AND(P3531="Inner Centre Jamb", OR(Enginuity!$B$13=4, Enginuity!$B$13=6)),
      AND(
        LEFT(P3531,5)&lt;&gt;"1-Way",
        LEFT(P3531,5)&lt;&gt;"2-Way",
        LEFT(P3531,5)&lt;&gt;"3-Way",
        P3531&lt;&gt;"Inner Centre Jamb"
      )
    ),
    IF(OR(Enginuity!$A$1="Frameless Glass",Enginuity!$A$1="Metal Work"),
      AND(TRIM(B3531)=TRIM(Enginuity!$A$17),TRIM(C3531)=TRIM(Enginuity!$A$18)),
      TRIM(B3531)=TRIM(Enginuity!$A$17)
    )
  ),
  ROW(),
  ""
)</f>
        <v/>
      </c>
    </row>
    <row r="3532" spans="21:21" x14ac:dyDescent="0.25">
      <c r="U3532" s="104" t="str">
        <f>IF(
  AND(
    TRIM(A3532)=TRIM(Enginuity!$A$1),
    TRIM(B3532)=TRIM(Enginuity!$A$17),
    Q3532&lt;&gt;"",
    Q3532&lt;&gt;0,
    OR(
      TRIM(C3532)=TRIM(Enginuity!$A$18),
      AND(UPPER(TRIM(M3532))="STD", TRIM(B3532)=TRIM(Enginuity!$A$17))
    ),
    OR(
      AND(LEFT(P3532,5)="1-Way", Enginuity!$B$13=1),
      AND(LEFT(P3532,5)="2-Way", OR(Enginuity!$B$13=2, Enginuity!$B$13=4)),
      AND(LEFT(P3532,5)="3-Way", OR(Enginuity!$B$13=3, Enginuity!$B$13=6)),
      AND(P3532="Inner Centre Jamb", OR(Enginuity!$B$13=4, Enginuity!$B$13=6)),
      AND(
        LEFT(P3532,5)&lt;&gt;"1-Way",
        LEFT(P3532,5)&lt;&gt;"2-Way",
        LEFT(P3532,5)&lt;&gt;"3-Way",
        P3532&lt;&gt;"Inner Centre Jamb"
      )
    ),
    IF(OR(Enginuity!$A$1="Frameless Glass",Enginuity!$A$1="Metal Work"),
      AND(TRIM(B3532)=TRIM(Enginuity!$A$17),TRIM(C3532)=TRIM(Enginuity!$A$18)),
      TRIM(B3532)=TRIM(Enginuity!$A$17)
    )
  ),
  ROW(),
  ""
)</f>
        <v/>
      </c>
    </row>
    <row r="3533" spans="21:21" x14ac:dyDescent="0.25">
      <c r="U3533" s="104" t="str">
        <f>IF(
  AND(
    TRIM(A3533)=TRIM(Enginuity!$A$1),
    TRIM(B3533)=TRIM(Enginuity!$A$17),
    Q3533&lt;&gt;"",
    Q3533&lt;&gt;0,
    OR(
      TRIM(C3533)=TRIM(Enginuity!$A$18),
      AND(UPPER(TRIM(M3533))="STD", TRIM(B3533)=TRIM(Enginuity!$A$17))
    ),
    OR(
      AND(LEFT(P3533,5)="1-Way", Enginuity!$B$13=1),
      AND(LEFT(P3533,5)="2-Way", OR(Enginuity!$B$13=2, Enginuity!$B$13=4)),
      AND(LEFT(P3533,5)="3-Way", OR(Enginuity!$B$13=3, Enginuity!$B$13=6)),
      AND(P3533="Inner Centre Jamb", OR(Enginuity!$B$13=4, Enginuity!$B$13=6)),
      AND(
        LEFT(P3533,5)&lt;&gt;"1-Way",
        LEFT(P3533,5)&lt;&gt;"2-Way",
        LEFT(P3533,5)&lt;&gt;"3-Way",
        P3533&lt;&gt;"Inner Centre Jamb"
      )
    ),
    IF(OR(Enginuity!$A$1="Frameless Glass",Enginuity!$A$1="Metal Work"),
      AND(TRIM(B3533)=TRIM(Enginuity!$A$17),TRIM(C3533)=TRIM(Enginuity!$A$18)),
      TRIM(B3533)=TRIM(Enginuity!$A$17)
    )
  ),
  ROW(),
  ""
)</f>
        <v/>
      </c>
    </row>
    <row r="3534" spans="21:21" x14ac:dyDescent="0.25">
      <c r="U3534" s="104" t="str">
        <f>IF(
  AND(
    TRIM(A3534)=TRIM(Enginuity!$A$1),
    TRIM(B3534)=TRIM(Enginuity!$A$17),
    Q3534&lt;&gt;"",
    Q3534&lt;&gt;0,
    OR(
      TRIM(C3534)=TRIM(Enginuity!$A$18),
      AND(UPPER(TRIM(M3534))="STD", TRIM(B3534)=TRIM(Enginuity!$A$17))
    ),
    OR(
      AND(LEFT(P3534,5)="1-Way", Enginuity!$B$13=1),
      AND(LEFT(P3534,5)="2-Way", OR(Enginuity!$B$13=2, Enginuity!$B$13=4)),
      AND(LEFT(P3534,5)="3-Way", OR(Enginuity!$B$13=3, Enginuity!$B$13=6)),
      AND(P3534="Inner Centre Jamb", OR(Enginuity!$B$13=4, Enginuity!$B$13=6)),
      AND(
        LEFT(P3534,5)&lt;&gt;"1-Way",
        LEFT(P3534,5)&lt;&gt;"2-Way",
        LEFT(P3534,5)&lt;&gt;"3-Way",
        P3534&lt;&gt;"Inner Centre Jamb"
      )
    ),
    IF(OR(Enginuity!$A$1="Frameless Glass",Enginuity!$A$1="Metal Work"),
      AND(TRIM(B3534)=TRIM(Enginuity!$A$17),TRIM(C3534)=TRIM(Enginuity!$A$18)),
      TRIM(B3534)=TRIM(Enginuity!$A$17)
    )
  ),
  ROW(),
  ""
)</f>
        <v/>
      </c>
    </row>
    <row r="3535" spans="21:21" x14ac:dyDescent="0.25">
      <c r="U3535" s="104" t="str">
        <f>IF(
  AND(
    TRIM(A3535)=TRIM(Enginuity!$A$1),
    TRIM(B3535)=TRIM(Enginuity!$A$17),
    Q3535&lt;&gt;"",
    Q3535&lt;&gt;0,
    OR(
      TRIM(C3535)=TRIM(Enginuity!$A$18),
      AND(UPPER(TRIM(M3535))="STD", TRIM(B3535)=TRIM(Enginuity!$A$17))
    ),
    OR(
      AND(LEFT(P3535,5)="1-Way", Enginuity!$B$13=1),
      AND(LEFT(P3535,5)="2-Way", OR(Enginuity!$B$13=2, Enginuity!$B$13=4)),
      AND(LEFT(P3535,5)="3-Way", OR(Enginuity!$B$13=3, Enginuity!$B$13=6)),
      AND(P3535="Inner Centre Jamb", OR(Enginuity!$B$13=4, Enginuity!$B$13=6)),
      AND(
        LEFT(P3535,5)&lt;&gt;"1-Way",
        LEFT(P3535,5)&lt;&gt;"2-Way",
        LEFT(P3535,5)&lt;&gt;"3-Way",
        P3535&lt;&gt;"Inner Centre Jamb"
      )
    ),
    IF(OR(Enginuity!$A$1="Frameless Glass",Enginuity!$A$1="Metal Work"),
      AND(TRIM(B3535)=TRIM(Enginuity!$A$17),TRIM(C3535)=TRIM(Enginuity!$A$18)),
      TRIM(B3535)=TRIM(Enginuity!$A$17)
    )
  ),
  ROW(),
  ""
)</f>
        <v/>
      </c>
    </row>
    <row r="3536" spans="21:21" x14ac:dyDescent="0.25">
      <c r="U3536" s="104" t="str">
        <f>IF(
  AND(
    TRIM(A3536)=TRIM(Enginuity!$A$1),
    TRIM(B3536)=TRIM(Enginuity!$A$17),
    Q3536&lt;&gt;"",
    Q3536&lt;&gt;0,
    OR(
      TRIM(C3536)=TRIM(Enginuity!$A$18),
      AND(UPPER(TRIM(M3536))="STD", TRIM(B3536)=TRIM(Enginuity!$A$17))
    ),
    OR(
      AND(LEFT(P3536,5)="1-Way", Enginuity!$B$13=1),
      AND(LEFT(P3536,5)="2-Way", OR(Enginuity!$B$13=2, Enginuity!$B$13=4)),
      AND(LEFT(P3536,5)="3-Way", OR(Enginuity!$B$13=3, Enginuity!$B$13=6)),
      AND(P3536="Inner Centre Jamb", OR(Enginuity!$B$13=4, Enginuity!$B$13=6)),
      AND(
        LEFT(P3536,5)&lt;&gt;"1-Way",
        LEFT(P3536,5)&lt;&gt;"2-Way",
        LEFT(P3536,5)&lt;&gt;"3-Way",
        P3536&lt;&gt;"Inner Centre Jamb"
      )
    ),
    IF(OR(Enginuity!$A$1="Frameless Glass",Enginuity!$A$1="Metal Work"),
      AND(TRIM(B3536)=TRIM(Enginuity!$A$17),TRIM(C3536)=TRIM(Enginuity!$A$18)),
      TRIM(B3536)=TRIM(Enginuity!$A$17)
    )
  ),
  ROW(),
  ""
)</f>
        <v/>
      </c>
    </row>
    <row r="3537" spans="21:21" x14ac:dyDescent="0.25">
      <c r="U3537" s="104" t="str">
        <f>IF(
  AND(
    TRIM(A3537)=TRIM(Enginuity!$A$1),
    TRIM(B3537)=TRIM(Enginuity!$A$17),
    Q3537&lt;&gt;"",
    Q3537&lt;&gt;0,
    OR(
      TRIM(C3537)=TRIM(Enginuity!$A$18),
      AND(UPPER(TRIM(M3537))="STD", TRIM(B3537)=TRIM(Enginuity!$A$17))
    ),
    OR(
      AND(LEFT(P3537,5)="1-Way", Enginuity!$B$13=1),
      AND(LEFT(P3537,5)="2-Way", OR(Enginuity!$B$13=2, Enginuity!$B$13=4)),
      AND(LEFT(P3537,5)="3-Way", OR(Enginuity!$B$13=3, Enginuity!$B$13=6)),
      AND(P3537="Inner Centre Jamb", OR(Enginuity!$B$13=4, Enginuity!$B$13=6)),
      AND(
        LEFT(P3537,5)&lt;&gt;"1-Way",
        LEFT(P3537,5)&lt;&gt;"2-Way",
        LEFT(P3537,5)&lt;&gt;"3-Way",
        P3537&lt;&gt;"Inner Centre Jamb"
      )
    ),
    IF(OR(Enginuity!$A$1="Frameless Glass",Enginuity!$A$1="Metal Work"),
      AND(TRIM(B3537)=TRIM(Enginuity!$A$17),TRIM(C3537)=TRIM(Enginuity!$A$18)),
      TRIM(B3537)=TRIM(Enginuity!$A$17)
    )
  ),
  ROW(),
  ""
)</f>
        <v/>
      </c>
    </row>
    <row r="3538" spans="21:21" x14ac:dyDescent="0.25">
      <c r="U3538" s="104" t="str">
        <f>IF(
  AND(
    TRIM(A3538)=TRIM(Enginuity!$A$1),
    TRIM(B3538)=TRIM(Enginuity!$A$17),
    Q3538&lt;&gt;"",
    Q3538&lt;&gt;0,
    OR(
      TRIM(C3538)=TRIM(Enginuity!$A$18),
      AND(UPPER(TRIM(M3538))="STD", TRIM(B3538)=TRIM(Enginuity!$A$17))
    ),
    OR(
      AND(LEFT(P3538,5)="1-Way", Enginuity!$B$13=1),
      AND(LEFT(P3538,5)="2-Way", OR(Enginuity!$B$13=2, Enginuity!$B$13=4)),
      AND(LEFT(P3538,5)="3-Way", OR(Enginuity!$B$13=3, Enginuity!$B$13=6)),
      AND(P3538="Inner Centre Jamb", OR(Enginuity!$B$13=4, Enginuity!$B$13=6)),
      AND(
        LEFT(P3538,5)&lt;&gt;"1-Way",
        LEFT(P3538,5)&lt;&gt;"2-Way",
        LEFT(P3538,5)&lt;&gt;"3-Way",
        P3538&lt;&gt;"Inner Centre Jamb"
      )
    ),
    IF(OR(Enginuity!$A$1="Frameless Glass",Enginuity!$A$1="Metal Work"),
      AND(TRIM(B3538)=TRIM(Enginuity!$A$17),TRIM(C3538)=TRIM(Enginuity!$A$18)),
      TRIM(B3538)=TRIM(Enginuity!$A$17)
    )
  ),
  ROW(),
  ""
)</f>
        <v/>
      </c>
    </row>
    <row r="3539" spans="21:21" x14ac:dyDescent="0.25">
      <c r="U3539" s="104" t="str">
        <f>IF(
  AND(
    TRIM(A3539)=TRIM(Enginuity!$A$1),
    TRIM(B3539)=TRIM(Enginuity!$A$17),
    Q3539&lt;&gt;"",
    Q3539&lt;&gt;0,
    OR(
      TRIM(C3539)=TRIM(Enginuity!$A$18),
      AND(UPPER(TRIM(M3539))="STD", TRIM(B3539)=TRIM(Enginuity!$A$17))
    ),
    OR(
      AND(LEFT(P3539,5)="1-Way", Enginuity!$B$13=1),
      AND(LEFT(P3539,5)="2-Way", OR(Enginuity!$B$13=2, Enginuity!$B$13=4)),
      AND(LEFT(P3539,5)="3-Way", OR(Enginuity!$B$13=3, Enginuity!$B$13=6)),
      AND(P3539="Inner Centre Jamb", OR(Enginuity!$B$13=4, Enginuity!$B$13=6)),
      AND(
        LEFT(P3539,5)&lt;&gt;"1-Way",
        LEFT(P3539,5)&lt;&gt;"2-Way",
        LEFT(P3539,5)&lt;&gt;"3-Way",
        P3539&lt;&gt;"Inner Centre Jamb"
      )
    ),
    IF(OR(Enginuity!$A$1="Frameless Glass",Enginuity!$A$1="Metal Work"),
      AND(TRIM(B3539)=TRIM(Enginuity!$A$17),TRIM(C3539)=TRIM(Enginuity!$A$18)),
      TRIM(B3539)=TRIM(Enginuity!$A$17)
    )
  ),
  ROW(),
  ""
)</f>
        <v/>
      </c>
    </row>
    <row r="3540" spans="21:21" x14ac:dyDescent="0.25">
      <c r="U3540" s="104" t="str">
        <f>IF(
  AND(
    TRIM(A3540)=TRIM(Enginuity!$A$1),
    TRIM(B3540)=TRIM(Enginuity!$A$17),
    Q3540&lt;&gt;"",
    Q3540&lt;&gt;0,
    OR(
      TRIM(C3540)=TRIM(Enginuity!$A$18),
      AND(UPPER(TRIM(M3540))="STD", TRIM(B3540)=TRIM(Enginuity!$A$17))
    ),
    OR(
      AND(LEFT(P3540,5)="1-Way", Enginuity!$B$13=1),
      AND(LEFT(P3540,5)="2-Way", OR(Enginuity!$B$13=2, Enginuity!$B$13=4)),
      AND(LEFT(P3540,5)="3-Way", OR(Enginuity!$B$13=3, Enginuity!$B$13=6)),
      AND(P3540="Inner Centre Jamb", OR(Enginuity!$B$13=4, Enginuity!$B$13=6)),
      AND(
        LEFT(P3540,5)&lt;&gt;"1-Way",
        LEFT(P3540,5)&lt;&gt;"2-Way",
        LEFT(P3540,5)&lt;&gt;"3-Way",
        P3540&lt;&gt;"Inner Centre Jamb"
      )
    ),
    IF(OR(Enginuity!$A$1="Frameless Glass",Enginuity!$A$1="Metal Work"),
      AND(TRIM(B3540)=TRIM(Enginuity!$A$17),TRIM(C3540)=TRIM(Enginuity!$A$18)),
      TRIM(B3540)=TRIM(Enginuity!$A$17)
    )
  ),
  ROW(),
  ""
)</f>
        <v/>
      </c>
    </row>
    <row r="3541" spans="21:21" x14ac:dyDescent="0.25">
      <c r="U3541" s="104" t="str">
        <f>IF(
  AND(
    TRIM(A3541)=TRIM(Enginuity!$A$1),
    TRIM(B3541)=TRIM(Enginuity!$A$17),
    Q3541&lt;&gt;"",
    Q3541&lt;&gt;0,
    OR(
      TRIM(C3541)=TRIM(Enginuity!$A$18),
      AND(UPPER(TRIM(M3541))="STD", TRIM(B3541)=TRIM(Enginuity!$A$17))
    ),
    OR(
      AND(LEFT(P3541,5)="1-Way", Enginuity!$B$13=1),
      AND(LEFT(P3541,5)="2-Way", OR(Enginuity!$B$13=2, Enginuity!$B$13=4)),
      AND(LEFT(P3541,5)="3-Way", OR(Enginuity!$B$13=3, Enginuity!$B$13=6)),
      AND(P3541="Inner Centre Jamb", OR(Enginuity!$B$13=4, Enginuity!$B$13=6)),
      AND(
        LEFT(P3541,5)&lt;&gt;"1-Way",
        LEFT(P3541,5)&lt;&gt;"2-Way",
        LEFT(P3541,5)&lt;&gt;"3-Way",
        P3541&lt;&gt;"Inner Centre Jamb"
      )
    ),
    IF(OR(Enginuity!$A$1="Frameless Glass",Enginuity!$A$1="Metal Work"),
      AND(TRIM(B3541)=TRIM(Enginuity!$A$17),TRIM(C3541)=TRIM(Enginuity!$A$18)),
      TRIM(B3541)=TRIM(Enginuity!$A$17)
    )
  ),
  ROW(),
  ""
)</f>
        <v/>
      </c>
    </row>
    <row r="3542" spans="21:21" x14ac:dyDescent="0.25">
      <c r="U3542" s="104" t="str">
        <f>IF(
  AND(
    TRIM(A3542)=TRIM(Enginuity!$A$1),
    TRIM(B3542)=TRIM(Enginuity!$A$17),
    Q3542&lt;&gt;"",
    Q3542&lt;&gt;0,
    OR(
      TRIM(C3542)=TRIM(Enginuity!$A$18),
      AND(UPPER(TRIM(M3542))="STD", TRIM(B3542)=TRIM(Enginuity!$A$17))
    ),
    OR(
      AND(LEFT(P3542,5)="1-Way", Enginuity!$B$13=1),
      AND(LEFT(P3542,5)="2-Way", OR(Enginuity!$B$13=2, Enginuity!$B$13=4)),
      AND(LEFT(P3542,5)="3-Way", OR(Enginuity!$B$13=3, Enginuity!$B$13=6)),
      AND(P3542="Inner Centre Jamb", OR(Enginuity!$B$13=4, Enginuity!$B$13=6)),
      AND(
        LEFT(P3542,5)&lt;&gt;"1-Way",
        LEFT(P3542,5)&lt;&gt;"2-Way",
        LEFT(P3542,5)&lt;&gt;"3-Way",
        P3542&lt;&gt;"Inner Centre Jamb"
      )
    ),
    IF(OR(Enginuity!$A$1="Frameless Glass",Enginuity!$A$1="Metal Work"),
      AND(TRIM(B3542)=TRIM(Enginuity!$A$17),TRIM(C3542)=TRIM(Enginuity!$A$18)),
      TRIM(B3542)=TRIM(Enginuity!$A$17)
    )
  ),
  ROW(),
  ""
)</f>
        <v/>
      </c>
    </row>
    <row r="3543" spans="21:21" x14ac:dyDescent="0.25">
      <c r="U3543" s="104" t="str">
        <f>IF(
  AND(
    TRIM(A3543)=TRIM(Enginuity!$A$1),
    TRIM(B3543)=TRIM(Enginuity!$A$17),
    Q3543&lt;&gt;"",
    Q3543&lt;&gt;0,
    OR(
      TRIM(C3543)=TRIM(Enginuity!$A$18),
      AND(UPPER(TRIM(M3543))="STD", TRIM(B3543)=TRIM(Enginuity!$A$17))
    ),
    OR(
      AND(LEFT(P3543,5)="1-Way", Enginuity!$B$13=1),
      AND(LEFT(P3543,5)="2-Way", OR(Enginuity!$B$13=2, Enginuity!$B$13=4)),
      AND(LEFT(P3543,5)="3-Way", OR(Enginuity!$B$13=3, Enginuity!$B$13=6)),
      AND(P3543="Inner Centre Jamb", OR(Enginuity!$B$13=4, Enginuity!$B$13=6)),
      AND(
        LEFT(P3543,5)&lt;&gt;"1-Way",
        LEFT(P3543,5)&lt;&gt;"2-Way",
        LEFT(P3543,5)&lt;&gt;"3-Way",
        P3543&lt;&gt;"Inner Centre Jamb"
      )
    ),
    IF(OR(Enginuity!$A$1="Frameless Glass",Enginuity!$A$1="Metal Work"),
      AND(TRIM(B3543)=TRIM(Enginuity!$A$17),TRIM(C3543)=TRIM(Enginuity!$A$18)),
      TRIM(B3543)=TRIM(Enginuity!$A$17)
    )
  ),
  ROW(),
  ""
)</f>
        <v/>
      </c>
    </row>
    <row r="3544" spans="21:21" x14ac:dyDescent="0.25">
      <c r="U3544" s="104" t="str">
        <f>IF(
  AND(
    TRIM(A3544)=TRIM(Enginuity!$A$1),
    TRIM(B3544)=TRIM(Enginuity!$A$17),
    Q3544&lt;&gt;"",
    Q3544&lt;&gt;0,
    OR(
      TRIM(C3544)=TRIM(Enginuity!$A$18),
      AND(UPPER(TRIM(M3544))="STD", TRIM(B3544)=TRIM(Enginuity!$A$17))
    ),
    OR(
      AND(LEFT(P3544,5)="1-Way", Enginuity!$B$13=1),
      AND(LEFT(P3544,5)="2-Way", OR(Enginuity!$B$13=2, Enginuity!$B$13=4)),
      AND(LEFT(P3544,5)="3-Way", OR(Enginuity!$B$13=3, Enginuity!$B$13=6)),
      AND(P3544="Inner Centre Jamb", OR(Enginuity!$B$13=4, Enginuity!$B$13=6)),
      AND(
        LEFT(P3544,5)&lt;&gt;"1-Way",
        LEFT(P3544,5)&lt;&gt;"2-Way",
        LEFT(P3544,5)&lt;&gt;"3-Way",
        P3544&lt;&gt;"Inner Centre Jamb"
      )
    ),
    IF(OR(Enginuity!$A$1="Frameless Glass",Enginuity!$A$1="Metal Work"),
      AND(TRIM(B3544)=TRIM(Enginuity!$A$17),TRIM(C3544)=TRIM(Enginuity!$A$18)),
      TRIM(B3544)=TRIM(Enginuity!$A$17)
    )
  ),
  ROW(),
  ""
)</f>
        <v/>
      </c>
    </row>
    <row r="3545" spans="21:21" x14ac:dyDescent="0.25">
      <c r="U3545" s="104" t="str">
        <f>IF(
  AND(
    TRIM(A3545)=TRIM(Enginuity!$A$1),
    TRIM(B3545)=TRIM(Enginuity!$A$17),
    Q3545&lt;&gt;"",
    Q3545&lt;&gt;0,
    OR(
      TRIM(C3545)=TRIM(Enginuity!$A$18),
      AND(UPPER(TRIM(M3545))="STD", TRIM(B3545)=TRIM(Enginuity!$A$17))
    ),
    OR(
      AND(LEFT(P3545,5)="1-Way", Enginuity!$B$13=1),
      AND(LEFT(P3545,5)="2-Way", OR(Enginuity!$B$13=2, Enginuity!$B$13=4)),
      AND(LEFT(P3545,5)="3-Way", OR(Enginuity!$B$13=3, Enginuity!$B$13=6)),
      AND(P3545="Inner Centre Jamb", OR(Enginuity!$B$13=4, Enginuity!$B$13=6)),
      AND(
        LEFT(P3545,5)&lt;&gt;"1-Way",
        LEFT(P3545,5)&lt;&gt;"2-Way",
        LEFT(P3545,5)&lt;&gt;"3-Way",
        P3545&lt;&gt;"Inner Centre Jamb"
      )
    ),
    IF(OR(Enginuity!$A$1="Frameless Glass",Enginuity!$A$1="Metal Work"),
      AND(TRIM(B3545)=TRIM(Enginuity!$A$17),TRIM(C3545)=TRIM(Enginuity!$A$18)),
      TRIM(B3545)=TRIM(Enginuity!$A$17)
    )
  ),
  ROW(),
  ""
)</f>
        <v/>
      </c>
    </row>
    <row r="3546" spans="21:21" x14ac:dyDescent="0.25">
      <c r="U3546" s="104" t="str">
        <f>IF(
  AND(
    TRIM(A3546)=TRIM(Enginuity!$A$1),
    TRIM(B3546)=TRIM(Enginuity!$A$17),
    Q3546&lt;&gt;"",
    Q3546&lt;&gt;0,
    OR(
      TRIM(C3546)=TRIM(Enginuity!$A$18),
      AND(UPPER(TRIM(M3546))="STD", TRIM(B3546)=TRIM(Enginuity!$A$17))
    ),
    OR(
      AND(LEFT(P3546,5)="1-Way", Enginuity!$B$13=1),
      AND(LEFT(P3546,5)="2-Way", OR(Enginuity!$B$13=2, Enginuity!$B$13=4)),
      AND(LEFT(P3546,5)="3-Way", OR(Enginuity!$B$13=3, Enginuity!$B$13=6)),
      AND(P3546="Inner Centre Jamb", OR(Enginuity!$B$13=4, Enginuity!$B$13=6)),
      AND(
        LEFT(P3546,5)&lt;&gt;"1-Way",
        LEFT(P3546,5)&lt;&gt;"2-Way",
        LEFT(P3546,5)&lt;&gt;"3-Way",
        P3546&lt;&gt;"Inner Centre Jamb"
      )
    ),
    IF(OR(Enginuity!$A$1="Frameless Glass",Enginuity!$A$1="Metal Work"),
      AND(TRIM(B3546)=TRIM(Enginuity!$A$17),TRIM(C3546)=TRIM(Enginuity!$A$18)),
      TRIM(B3546)=TRIM(Enginuity!$A$17)
    )
  ),
  ROW(),
  ""
)</f>
        <v/>
      </c>
    </row>
    <row r="3547" spans="21:21" x14ac:dyDescent="0.25">
      <c r="U3547" s="104" t="str">
        <f>IF(
  AND(
    TRIM(A3547)=TRIM(Enginuity!$A$1),
    TRIM(B3547)=TRIM(Enginuity!$A$17),
    Q3547&lt;&gt;"",
    Q3547&lt;&gt;0,
    OR(
      TRIM(C3547)=TRIM(Enginuity!$A$18),
      AND(UPPER(TRIM(M3547))="STD", TRIM(B3547)=TRIM(Enginuity!$A$17))
    ),
    OR(
      AND(LEFT(P3547,5)="1-Way", Enginuity!$B$13=1),
      AND(LEFT(P3547,5)="2-Way", OR(Enginuity!$B$13=2, Enginuity!$B$13=4)),
      AND(LEFT(P3547,5)="3-Way", OR(Enginuity!$B$13=3, Enginuity!$B$13=6)),
      AND(P3547="Inner Centre Jamb", OR(Enginuity!$B$13=4, Enginuity!$B$13=6)),
      AND(
        LEFT(P3547,5)&lt;&gt;"1-Way",
        LEFT(P3547,5)&lt;&gt;"2-Way",
        LEFT(P3547,5)&lt;&gt;"3-Way",
        P3547&lt;&gt;"Inner Centre Jamb"
      )
    ),
    IF(OR(Enginuity!$A$1="Frameless Glass",Enginuity!$A$1="Metal Work"),
      AND(TRIM(B3547)=TRIM(Enginuity!$A$17),TRIM(C3547)=TRIM(Enginuity!$A$18)),
      TRIM(B3547)=TRIM(Enginuity!$A$17)
    )
  ),
  ROW(),
  ""
)</f>
        <v/>
      </c>
    </row>
    <row r="3548" spans="21:21" x14ac:dyDescent="0.25">
      <c r="U3548" s="104" t="str">
        <f>IF(
  AND(
    TRIM(A3548)=TRIM(Enginuity!$A$1),
    TRIM(B3548)=TRIM(Enginuity!$A$17),
    Q3548&lt;&gt;"",
    Q3548&lt;&gt;0,
    OR(
      TRIM(C3548)=TRIM(Enginuity!$A$18),
      AND(UPPER(TRIM(M3548))="STD", TRIM(B3548)=TRIM(Enginuity!$A$17))
    ),
    OR(
      AND(LEFT(P3548,5)="1-Way", Enginuity!$B$13=1),
      AND(LEFT(P3548,5)="2-Way", OR(Enginuity!$B$13=2, Enginuity!$B$13=4)),
      AND(LEFT(P3548,5)="3-Way", OR(Enginuity!$B$13=3, Enginuity!$B$13=6)),
      AND(P3548="Inner Centre Jamb", OR(Enginuity!$B$13=4, Enginuity!$B$13=6)),
      AND(
        LEFT(P3548,5)&lt;&gt;"1-Way",
        LEFT(P3548,5)&lt;&gt;"2-Way",
        LEFT(P3548,5)&lt;&gt;"3-Way",
        P3548&lt;&gt;"Inner Centre Jamb"
      )
    ),
    IF(OR(Enginuity!$A$1="Frameless Glass",Enginuity!$A$1="Metal Work"),
      AND(TRIM(B3548)=TRIM(Enginuity!$A$17),TRIM(C3548)=TRIM(Enginuity!$A$18)),
      TRIM(B3548)=TRIM(Enginuity!$A$17)
    )
  ),
  ROW(),
  ""
)</f>
        <v/>
      </c>
    </row>
    <row r="3549" spans="21:21" x14ac:dyDescent="0.25">
      <c r="U3549" s="104" t="str">
        <f>IF(
  AND(
    TRIM(A3549)=TRIM(Enginuity!$A$1),
    TRIM(B3549)=TRIM(Enginuity!$A$17),
    Q3549&lt;&gt;"",
    Q3549&lt;&gt;0,
    OR(
      TRIM(C3549)=TRIM(Enginuity!$A$18),
      AND(UPPER(TRIM(M3549))="STD", TRIM(B3549)=TRIM(Enginuity!$A$17))
    ),
    OR(
      AND(LEFT(P3549,5)="1-Way", Enginuity!$B$13=1),
      AND(LEFT(P3549,5)="2-Way", OR(Enginuity!$B$13=2, Enginuity!$B$13=4)),
      AND(LEFT(P3549,5)="3-Way", OR(Enginuity!$B$13=3, Enginuity!$B$13=6)),
      AND(P3549="Inner Centre Jamb", OR(Enginuity!$B$13=4, Enginuity!$B$13=6)),
      AND(
        LEFT(P3549,5)&lt;&gt;"1-Way",
        LEFT(P3549,5)&lt;&gt;"2-Way",
        LEFT(P3549,5)&lt;&gt;"3-Way",
        P3549&lt;&gt;"Inner Centre Jamb"
      )
    ),
    IF(OR(Enginuity!$A$1="Frameless Glass",Enginuity!$A$1="Metal Work"),
      AND(TRIM(B3549)=TRIM(Enginuity!$A$17),TRIM(C3549)=TRIM(Enginuity!$A$18)),
      TRIM(B3549)=TRIM(Enginuity!$A$17)
    )
  ),
  ROW(),
  ""
)</f>
        <v/>
      </c>
    </row>
    <row r="3550" spans="21:21" x14ac:dyDescent="0.25">
      <c r="U3550" s="104" t="str">
        <f>IF(
  AND(
    TRIM(A3550)=TRIM(Enginuity!$A$1),
    TRIM(B3550)=TRIM(Enginuity!$A$17),
    Q3550&lt;&gt;"",
    Q3550&lt;&gt;0,
    OR(
      TRIM(C3550)=TRIM(Enginuity!$A$18),
      AND(UPPER(TRIM(M3550))="STD", TRIM(B3550)=TRIM(Enginuity!$A$17))
    ),
    OR(
      AND(LEFT(P3550,5)="1-Way", Enginuity!$B$13=1),
      AND(LEFT(P3550,5)="2-Way", OR(Enginuity!$B$13=2, Enginuity!$B$13=4)),
      AND(LEFT(P3550,5)="3-Way", OR(Enginuity!$B$13=3, Enginuity!$B$13=6)),
      AND(P3550="Inner Centre Jamb", OR(Enginuity!$B$13=4, Enginuity!$B$13=6)),
      AND(
        LEFT(P3550,5)&lt;&gt;"1-Way",
        LEFT(P3550,5)&lt;&gt;"2-Way",
        LEFT(P3550,5)&lt;&gt;"3-Way",
        P3550&lt;&gt;"Inner Centre Jamb"
      )
    ),
    IF(OR(Enginuity!$A$1="Frameless Glass",Enginuity!$A$1="Metal Work"),
      AND(TRIM(B3550)=TRIM(Enginuity!$A$17),TRIM(C3550)=TRIM(Enginuity!$A$18)),
      TRIM(B3550)=TRIM(Enginuity!$A$17)
    )
  ),
  ROW(),
  ""
)</f>
        <v/>
      </c>
    </row>
    <row r="3551" spans="21:21" x14ac:dyDescent="0.25">
      <c r="U3551" s="104" t="str">
        <f>IF(
  AND(
    TRIM(A3551)=TRIM(Enginuity!$A$1),
    TRIM(B3551)=TRIM(Enginuity!$A$17),
    Q3551&lt;&gt;"",
    Q3551&lt;&gt;0,
    OR(
      TRIM(C3551)=TRIM(Enginuity!$A$18),
      AND(UPPER(TRIM(M3551))="STD", TRIM(B3551)=TRIM(Enginuity!$A$17))
    ),
    OR(
      AND(LEFT(P3551,5)="1-Way", Enginuity!$B$13=1),
      AND(LEFT(P3551,5)="2-Way", OR(Enginuity!$B$13=2, Enginuity!$B$13=4)),
      AND(LEFT(P3551,5)="3-Way", OR(Enginuity!$B$13=3, Enginuity!$B$13=6)),
      AND(P3551="Inner Centre Jamb", OR(Enginuity!$B$13=4, Enginuity!$B$13=6)),
      AND(
        LEFT(P3551,5)&lt;&gt;"1-Way",
        LEFT(P3551,5)&lt;&gt;"2-Way",
        LEFT(P3551,5)&lt;&gt;"3-Way",
        P3551&lt;&gt;"Inner Centre Jamb"
      )
    ),
    IF(OR(Enginuity!$A$1="Frameless Glass",Enginuity!$A$1="Metal Work"),
      AND(TRIM(B3551)=TRIM(Enginuity!$A$17),TRIM(C3551)=TRIM(Enginuity!$A$18)),
      TRIM(B3551)=TRIM(Enginuity!$A$17)
    )
  ),
  ROW(),
  ""
)</f>
        <v/>
      </c>
    </row>
    <row r="3552" spans="21:21" x14ac:dyDescent="0.25">
      <c r="U3552" s="104" t="str">
        <f>IF(
  AND(
    TRIM(A3552)=TRIM(Enginuity!$A$1),
    TRIM(B3552)=TRIM(Enginuity!$A$17),
    Q3552&lt;&gt;"",
    Q3552&lt;&gt;0,
    OR(
      TRIM(C3552)=TRIM(Enginuity!$A$18),
      AND(UPPER(TRIM(M3552))="STD", TRIM(B3552)=TRIM(Enginuity!$A$17))
    ),
    OR(
      AND(LEFT(P3552,5)="1-Way", Enginuity!$B$13=1),
      AND(LEFT(P3552,5)="2-Way", OR(Enginuity!$B$13=2, Enginuity!$B$13=4)),
      AND(LEFT(P3552,5)="3-Way", OR(Enginuity!$B$13=3, Enginuity!$B$13=6)),
      AND(P3552="Inner Centre Jamb", OR(Enginuity!$B$13=4, Enginuity!$B$13=6)),
      AND(
        LEFT(P3552,5)&lt;&gt;"1-Way",
        LEFT(P3552,5)&lt;&gt;"2-Way",
        LEFT(P3552,5)&lt;&gt;"3-Way",
        P3552&lt;&gt;"Inner Centre Jamb"
      )
    ),
    IF(OR(Enginuity!$A$1="Frameless Glass",Enginuity!$A$1="Metal Work"),
      AND(TRIM(B3552)=TRIM(Enginuity!$A$17),TRIM(C3552)=TRIM(Enginuity!$A$18)),
      TRIM(B3552)=TRIM(Enginuity!$A$17)
    )
  ),
  ROW(),
  ""
)</f>
        <v/>
      </c>
    </row>
    <row r="3553" spans="21:21" x14ac:dyDescent="0.25">
      <c r="U3553" s="104" t="str">
        <f>IF(
  AND(
    TRIM(A3553)=TRIM(Enginuity!$A$1),
    TRIM(B3553)=TRIM(Enginuity!$A$17),
    Q3553&lt;&gt;"",
    Q3553&lt;&gt;0,
    OR(
      TRIM(C3553)=TRIM(Enginuity!$A$18),
      AND(UPPER(TRIM(M3553))="STD", TRIM(B3553)=TRIM(Enginuity!$A$17))
    ),
    OR(
      AND(LEFT(P3553,5)="1-Way", Enginuity!$B$13=1),
      AND(LEFT(P3553,5)="2-Way", OR(Enginuity!$B$13=2, Enginuity!$B$13=4)),
      AND(LEFT(P3553,5)="3-Way", OR(Enginuity!$B$13=3, Enginuity!$B$13=6)),
      AND(P3553="Inner Centre Jamb", OR(Enginuity!$B$13=4, Enginuity!$B$13=6)),
      AND(
        LEFT(P3553,5)&lt;&gt;"1-Way",
        LEFT(P3553,5)&lt;&gt;"2-Way",
        LEFT(P3553,5)&lt;&gt;"3-Way",
        P3553&lt;&gt;"Inner Centre Jamb"
      )
    ),
    IF(OR(Enginuity!$A$1="Frameless Glass",Enginuity!$A$1="Metal Work"),
      AND(TRIM(B3553)=TRIM(Enginuity!$A$17),TRIM(C3553)=TRIM(Enginuity!$A$18)),
      TRIM(B3553)=TRIM(Enginuity!$A$17)
    )
  ),
  ROW(),
  ""
)</f>
        <v/>
      </c>
    </row>
    <row r="3554" spans="21:21" x14ac:dyDescent="0.25">
      <c r="U3554" s="104" t="str">
        <f>IF(
  AND(
    TRIM(A3554)=TRIM(Enginuity!$A$1),
    TRIM(B3554)=TRIM(Enginuity!$A$17),
    Q3554&lt;&gt;"",
    Q3554&lt;&gt;0,
    OR(
      TRIM(C3554)=TRIM(Enginuity!$A$18),
      AND(UPPER(TRIM(M3554))="STD", TRIM(B3554)=TRIM(Enginuity!$A$17))
    ),
    OR(
      AND(LEFT(P3554,5)="1-Way", Enginuity!$B$13=1),
      AND(LEFT(P3554,5)="2-Way", OR(Enginuity!$B$13=2, Enginuity!$B$13=4)),
      AND(LEFT(P3554,5)="3-Way", OR(Enginuity!$B$13=3, Enginuity!$B$13=6)),
      AND(P3554="Inner Centre Jamb", OR(Enginuity!$B$13=4, Enginuity!$B$13=6)),
      AND(
        LEFT(P3554,5)&lt;&gt;"1-Way",
        LEFT(P3554,5)&lt;&gt;"2-Way",
        LEFT(P3554,5)&lt;&gt;"3-Way",
        P3554&lt;&gt;"Inner Centre Jamb"
      )
    ),
    IF(OR(Enginuity!$A$1="Frameless Glass",Enginuity!$A$1="Metal Work"),
      AND(TRIM(B3554)=TRIM(Enginuity!$A$17),TRIM(C3554)=TRIM(Enginuity!$A$18)),
      TRIM(B3554)=TRIM(Enginuity!$A$17)
    )
  ),
  ROW(),
  ""
)</f>
        <v/>
      </c>
    </row>
    <row r="3555" spans="21:21" x14ac:dyDescent="0.25">
      <c r="U3555" s="104" t="str">
        <f>IF(
  AND(
    TRIM(A3555)=TRIM(Enginuity!$A$1),
    TRIM(B3555)=TRIM(Enginuity!$A$17),
    Q3555&lt;&gt;"",
    Q3555&lt;&gt;0,
    OR(
      TRIM(C3555)=TRIM(Enginuity!$A$18),
      AND(UPPER(TRIM(M3555))="STD", TRIM(B3555)=TRIM(Enginuity!$A$17))
    ),
    OR(
      AND(LEFT(P3555,5)="1-Way", Enginuity!$B$13=1),
      AND(LEFT(P3555,5)="2-Way", OR(Enginuity!$B$13=2, Enginuity!$B$13=4)),
      AND(LEFT(P3555,5)="3-Way", OR(Enginuity!$B$13=3, Enginuity!$B$13=6)),
      AND(P3555="Inner Centre Jamb", OR(Enginuity!$B$13=4, Enginuity!$B$13=6)),
      AND(
        LEFT(P3555,5)&lt;&gt;"1-Way",
        LEFT(P3555,5)&lt;&gt;"2-Way",
        LEFT(P3555,5)&lt;&gt;"3-Way",
        P3555&lt;&gt;"Inner Centre Jamb"
      )
    ),
    IF(OR(Enginuity!$A$1="Frameless Glass",Enginuity!$A$1="Metal Work"),
      AND(TRIM(B3555)=TRIM(Enginuity!$A$17),TRIM(C3555)=TRIM(Enginuity!$A$18)),
      TRIM(B3555)=TRIM(Enginuity!$A$17)
    )
  ),
  ROW(),
  ""
)</f>
        <v/>
      </c>
    </row>
    <row r="3556" spans="21:21" x14ac:dyDescent="0.25">
      <c r="U3556" s="104" t="str">
        <f>IF(
  AND(
    TRIM(A3556)=TRIM(Enginuity!$A$1),
    TRIM(B3556)=TRIM(Enginuity!$A$17),
    Q3556&lt;&gt;"",
    Q3556&lt;&gt;0,
    OR(
      TRIM(C3556)=TRIM(Enginuity!$A$18),
      AND(UPPER(TRIM(M3556))="STD", TRIM(B3556)=TRIM(Enginuity!$A$17))
    ),
    OR(
      AND(LEFT(P3556,5)="1-Way", Enginuity!$B$13=1),
      AND(LEFT(P3556,5)="2-Way", OR(Enginuity!$B$13=2, Enginuity!$B$13=4)),
      AND(LEFT(P3556,5)="3-Way", OR(Enginuity!$B$13=3, Enginuity!$B$13=6)),
      AND(P3556="Inner Centre Jamb", OR(Enginuity!$B$13=4, Enginuity!$B$13=6)),
      AND(
        LEFT(P3556,5)&lt;&gt;"1-Way",
        LEFT(P3556,5)&lt;&gt;"2-Way",
        LEFT(P3556,5)&lt;&gt;"3-Way",
        P3556&lt;&gt;"Inner Centre Jamb"
      )
    ),
    IF(OR(Enginuity!$A$1="Frameless Glass",Enginuity!$A$1="Metal Work"),
      AND(TRIM(B3556)=TRIM(Enginuity!$A$17),TRIM(C3556)=TRIM(Enginuity!$A$18)),
      TRIM(B3556)=TRIM(Enginuity!$A$17)
    )
  ),
  ROW(),
  ""
)</f>
        <v/>
      </c>
    </row>
    <row r="3557" spans="21:21" x14ac:dyDescent="0.25">
      <c r="U3557" s="104" t="str">
        <f>IF(
  AND(
    TRIM(A3557)=TRIM(Enginuity!$A$1),
    TRIM(B3557)=TRIM(Enginuity!$A$17),
    Q3557&lt;&gt;"",
    Q3557&lt;&gt;0,
    OR(
      TRIM(C3557)=TRIM(Enginuity!$A$18),
      AND(UPPER(TRIM(M3557))="STD", TRIM(B3557)=TRIM(Enginuity!$A$17))
    ),
    OR(
      AND(LEFT(P3557,5)="1-Way", Enginuity!$B$13=1),
      AND(LEFT(P3557,5)="2-Way", OR(Enginuity!$B$13=2, Enginuity!$B$13=4)),
      AND(LEFT(P3557,5)="3-Way", OR(Enginuity!$B$13=3, Enginuity!$B$13=6)),
      AND(P3557="Inner Centre Jamb", OR(Enginuity!$B$13=4, Enginuity!$B$13=6)),
      AND(
        LEFT(P3557,5)&lt;&gt;"1-Way",
        LEFT(P3557,5)&lt;&gt;"2-Way",
        LEFT(P3557,5)&lt;&gt;"3-Way",
        P3557&lt;&gt;"Inner Centre Jamb"
      )
    ),
    IF(OR(Enginuity!$A$1="Frameless Glass",Enginuity!$A$1="Metal Work"),
      AND(TRIM(B3557)=TRIM(Enginuity!$A$17),TRIM(C3557)=TRIM(Enginuity!$A$18)),
      TRIM(B3557)=TRIM(Enginuity!$A$17)
    )
  ),
  ROW(),
  ""
)</f>
        <v/>
      </c>
    </row>
    <row r="3558" spans="21:21" x14ac:dyDescent="0.25">
      <c r="U3558" s="104" t="str">
        <f>IF(
  AND(
    TRIM(A3558)=TRIM(Enginuity!$A$1),
    TRIM(B3558)=TRIM(Enginuity!$A$17),
    Q3558&lt;&gt;"",
    Q3558&lt;&gt;0,
    OR(
      TRIM(C3558)=TRIM(Enginuity!$A$18),
      AND(UPPER(TRIM(M3558))="STD", TRIM(B3558)=TRIM(Enginuity!$A$17))
    ),
    OR(
      AND(LEFT(P3558,5)="1-Way", Enginuity!$B$13=1),
      AND(LEFT(P3558,5)="2-Way", OR(Enginuity!$B$13=2, Enginuity!$B$13=4)),
      AND(LEFT(P3558,5)="3-Way", OR(Enginuity!$B$13=3, Enginuity!$B$13=6)),
      AND(P3558="Inner Centre Jamb", OR(Enginuity!$B$13=4, Enginuity!$B$13=6)),
      AND(
        LEFT(P3558,5)&lt;&gt;"1-Way",
        LEFT(P3558,5)&lt;&gt;"2-Way",
        LEFT(P3558,5)&lt;&gt;"3-Way",
        P3558&lt;&gt;"Inner Centre Jamb"
      )
    ),
    IF(OR(Enginuity!$A$1="Frameless Glass",Enginuity!$A$1="Metal Work"),
      AND(TRIM(B3558)=TRIM(Enginuity!$A$17),TRIM(C3558)=TRIM(Enginuity!$A$18)),
      TRIM(B3558)=TRIM(Enginuity!$A$17)
    )
  ),
  ROW(),
  ""
)</f>
        <v/>
      </c>
    </row>
    <row r="3559" spans="21:21" x14ac:dyDescent="0.25">
      <c r="U3559" s="104" t="str">
        <f>IF(
  AND(
    TRIM(A3559)=TRIM(Enginuity!$A$1),
    TRIM(B3559)=TRIM(Enginuity!$A$17),
    Q3559&lt;&gt;"",
    Q3559&lt;&gt;0,
    OR(
      TRIM(C3559)=TRIM(Enginuity!$A$18),
      AND(UPPER(TRIM(M3559))="STD", TRIM(B3559)=TRIM(Enginuity!$A$17))
    ),
    OR(
      AND(LEFT(P3559,5)="1-Way", Enginuity!$B$13=1),
      AND(LEFT(P3559,5)="2-Way", OR(Enginuity!$B$13=2, Enginuity!$B$13=4)),
      AND(LEFT(P3559,5)="3-Way", OR(Enginuity!$B$13=3, Enginuity!$B$13=6)),
      AND(P3559="Inner Centre Jamb", OR(Enginuity!$B$13=4, Enginuity!$B$13=6)),
      AND(
        LEFT(P3559,5)&lt;&gt;"1-Way",
        LEFT(P3559,5)&lt;&gt;"2-Way",
        LEFT(P3559,5)&lt;&gt;"3-Way",
        P3559&lt;&gt;"Inner Centre Jamb"
      )
    ),
    IF(OR(Enginuity!$A$1="Frameless Glass",Enginuity!$A$1="Metal Work"),
      AND(TRIM(B3559)=TRIM(Enginuity!$A$17),TRIM(C3559)=TRIM(Enginuity!$A$18)),
      TRIM(B3559)=TRIM(Enginuity!$A$17)
    )
  ),
  ROW(),
  ""
)</f>
        <v/>
      </c>
    </row>
    <row r="3560" spans="21:21" x14ac:dyDescent="0.25">
      <c r="U3560" s="104" t="str">
        <f>IF(
  AND(
    TRIM(A3560)=TRIM(Enginuity!$A$1),
    TRIM(B3560)=TRIM(Enginuity!$A$17),
    Q3560&lt;&gt;"",
    Q3560&lt;&gt;0,
    OR(
      TRIM(C3560)=TRIM(Enginuity!$A$18),
      AND(UPPER(TRIM(M3560))="STD", TRIM(B3560)=TRIM(Enginuity!$A$17))
    ),
    OR(
      AND(LEFT(P3560,5)="1-Way", Enginuity!$B$13=1),
      AND(LEFT(P3560,5)="2-Way", OR(Enginuity!$B$13=2, Enginuity!$B$13=4)),
      AND(LEFT(P3560,5)="3-Way", OR(Enginuity!$B$13=3, Enginuity!$B$13=6)),
      AND(P3560="Inner Centre Jamb", OR(Enginuity!$B$13=4, Enginuity!$B$13=6)),
      AND(
        LEFT(P3560,5)&lt;&gt;"1-Way",
        LEFT(P3560,5)&lt;&gt;"2-Way",
        LEFT(P3560,5)&lt;&gt;"3-Way",
        P3560&lt;&gt;"Inner Centre Jamb"
      )
    ),
    IF(OR(Enginuity!$A$1="Frameless Glass",Enginuity!$A$1="Metal Work"),
      AND(TRIM(B3560)=TRIM(Enginuity!$A$17),TRIM(C3560)=TRIM(Enginuity!$A$18)),
      TRIM(B3560)=TRIM(Enginuity!$A$17)
    )
  ),
  ROW(),
  ""
)</f>
        <v/>
      </c>
    </row>
    <row r="3561" spans="21:21" x14ac:dyDescent="0.25">
      <c r="U3561" s="104" t="str">
        <f>IF(
  AND(
    TRIM(A3561)=TRIM(Enginuity!$A$1),
    TRIM(B3561)=TRIM(Enginuity!$A$17),
    Q3561&lt;&gt;"",
    Q3561&lt;&gt;0,
    OR(
      TRIM(C3561)=TRIM(Enginuity!$A$18),
      AND(UPPER(TRIM(M3561))="STD", TRIM(B3561)=TRIM(Enginuity!$A$17))
    ),
    OR(
      AND(LEFT(P3561,5)="1-Way", Enginuity!$B$13=1),
      AND(LEFT(P3561,5)="2-Way", OR(Enginuity!$B$13=2, Enginuity!$B$13=4)),
      AND(LEFT(P3561,5)="3-Way", OR(Enginuity!$B$13=3, Enginuity!$B$13=6)),
      AND(P3561="Inner Centre Jamb", OR(Enginuity!$B$13=4, Enginuity!$B$13=6)),
      AND(
        LEFT(P3561,5)&lt;&gt;"1-Way",
        LEFT(P3561,5)&lt;&gt;"2-Way",
        LEFT(P3561,5)&lt;&gt;"3-Way",
        P3561&lt;&gt;"Inner Centre Jamb"
      )
    ),
    IF(OR(Enginuity!$A$1="Frameless Glass",Enginuity!$A$1="Metal Work"),
      AND(TRIM(B3561)=TRIM(Enginuity!$A$17),TRIM(C3561)=TRIM(Enginuity!$A$18)),
      TRIM(B3561)=TRIM(Enginuity!$A$17)
    )
  ),
  ROW(),
  ""
)</f>
        <v/>
      </c>
    </row>
    <row r="3562" spans="21:21" x14ac:dyDescent="0.25">
      <c r="U3562" s="104" t="str">
        <f>IF(
  AND(
    TRIM(A3562)=TRIM(Enginuity!$A$1),
    TRIM(B3562)=TRIM(Enginuity!$A$17),
    Q3562&lt;&gt;"",
    Q3562&lt;&gt;0,
    OR(
      TRIM(C3562)=TRIM(Enginuity!$A$18),
      AND(UPPER(TRIM(M3562))="STD", TRIM(B3562)=TRIM(Enginuity!$A$17))
    ),
    OR(
      AND(LEFT(P3562,5)="1-Way", Enginuity!$B$13=1),
      AND(LEFT(P3562,5)="2-Way", OR(Enginuity!$B$13=2, Enginuity!$B$13=4)),
      AND(LEFT(P3562,5)="3-Way", OR(Enginuity!$B$13=3, Enginuity!$B$13=6)),
      AND(P3562="Inner Centre Jamb", OR(Enginuity!$B$13=4, Enginuity!$B$13=6)),
      AND(
        LEFT(P3562,5)&lt;&gt;"1-Way",
        LEFT(P3562,5)&lt;&gt;"2-Way",
        LEFT(P3562,5)&lt;&gt;"3-Way",
        P3562&lt;&gt;"Inner Centre Jamb"
      )
    ),
    IF(OR(Enginuity!$A$1="Frameless Glass",Enginuity!$A$1="Metal Work"),
      AND(TRIM(B3562)=TRIM(Enginuity!$A$17),TRIM(C3562)=TRIM(Enginuity!$A$18)),
      TRIM(B3562)=TRIM(Enginuity!$A$17)
    )
  ),
  ROW(),
  ""
)</f>
        <v/>
      </c>
    </row>
    <row r="3563" spans="21:21" x14ac:dyDescent="0.25">
      <c r="U3563" s="104" t="str">
        <f>IF(
  AND(
    TRIM(A3563)=TRIM(Enginuity!$A$1),
    TRIM(B3563)=TRIM(Enginuity!$A$17),
    Q3563&lt;&gt;"",
    Q3563&lt;&gt;0,
    OR(
      TRIM(C3563)=TRIM(Enginuity!$A$18),
      AND(UPPER(TRIM(M3563))="STD", TRIM(B3563)=TRIM(Enginuity!$A$17))
    ),
    OR(
      AND(LEFT(P3563,5)="1-Way", Enginuity!$B$13=1),
      AND(LEFT(P3563,5)="2-Way", OR(Enginuity!$B$13=2, Enginuity!$B$13=4)),
      AND(LEFT(P3563,5)="3-Way", OR(Enginuity!$B$13=3, Enginuity!$B$13=6)),
      AND(P3563="Inner Centre Jamb", OR(Enginuity!$B$13=4, Enginuity!$B$13=6)),
      AND(
        LEFT(P3563,5)&lt;&gt;"1-Way",
        LEFT(P3563,5)&lt;&gt;"2-Way",
        LEFT(P3563,5)&lt;&gt;"3-Way",
        P3563&lt;&gt;"Inner Centre Jamb"
      )
    ),
    IF(OR(Enginuity!$A$1="Frameless Glass",Enginuity!$A$1="Metal Work"),
      AND(TRIM(B3563)=TRIM(Enginuity!$A$17),TRIM(C3563)=TRIM(Enginuity!$A$18)),
      TRIM(B3563)=TRIM(Enginuity!$A$17)
    )
  ),
  ROW(),
  ""
)</f>
        <v/>
      </c>
    </row>
    <row r="3564" spans="21:21" x14ac:dyDescent="0.25">
      <c r="U3564" s="104" t="str">
        <f>IF(
  AND(
    TRIM(A3564)=TRIM(Enginuity!$A$1),
    TRIM(B3564)=TRIM(Enginuity!$A$17),
    Q3564&lt;&gt;"",
    Q3564&lt;&gt;0,
    OR(
      TRIM(C3564)=TRIM(Enginuity!$A$18),
      AND(UPPER(TRIM(M3564))="STD", TRIM(B3564)=TRIM(Enginuity!$A$17))
    ),
    OR(
      AND(LEFT(P3564,5)="1-Way", Enginuity!$B$13=1),
      AND(LEFT(P3564,5)="2-Way", OR(Enginuity!$B$13=2, Enginuity!$B$13=4)),
      AND(LEFT(P3564,5)="3-Way", OR(Enginuity!$B$13=3, Enginuity!$B$13=6)),
      AND(P3564="Inner Centre Jamb", OR(Enginuity!$B$13=4, Enginuity!$B$13=6)),
      AND(
        LEFT(P3564,5)&lt;&gt;"1-Way",
        LEFT(P3564,5)&lt;&gt;"2-Way",
        LEFT(P3564,5)&lt;&gt;"3-Way",
        P3564&lt;&gt;"Inner Centre Jamb"
      )
    ),
    IF(OR(Enginuity!$A$1="Frameless Glass",Enginuity!$A$1="Metal Work"),
      AND(TRIM(B3564)=TRIM(Enginuity!$A$17),TRIM(C3564)=TRIM(Enginuity!$A$18)),
      TRIM(B3564)=TRIM(Enginuity!$A$17)
    )
  ),
  ROW(),
  ""
)</f>
        <v/>
      </c>
    </row>
    <row r="3565" spans="21:21" x14ac:dyDescent="0.25">
      <c r="U3565" s="104" t="str">
        <f>IF(
  AND(
    TRIM(A3565)=TRIM(Enginuity!$A$1),
    TRIM(B3565)=TRIM(Enginuity!$A$17),
    Q3565&lt;&gt;"",
    Q3565&lt;&gt;0,
    OR(
      TRIM(C3565)=TRIM(Enginuity!$A$18),
      AND(UPPER(TRIM(M3565))="STD", TRIM(B3565)=TRIM(Enginuity!$A$17))
    ),
    OR(
      AND(LEFT(P3565,5)="1-Way", Enginuity!$B$13=1),
      AND(LEFT(P3565,5)="2-Way", OR(Enginuity!$B$13=2, Enginuity!$B$13=4)),
      AND(LEFT(P3565,5)="3-Way", OR(Enginuity!$B$13=3, Enginuity!$B$13=6)),
      AND(P3565="Inner Centre Jamb", OR(Enginuity!$B$13=4, Enginuity!$B$13=6)),
      AND(
        LEFT(P3565,5)&lt;&gt;"1-Way",
        LEFT(P3565,5)&lt;&gt;"2-Way",
        LEFT(P3565,5)&lt;&gt;"3-Way",
        P3565&lt;&gt;"Inner Centre Jamb"
      )
    ),
    IF(OR(Enginuity!$A$1="Frameless Glass",Enginuity!$A$1="Metal Work"),
      AND(TRIM(B3565)=TRIM(Enginuity!$A$17),TRIM(C3565)=TRIM(Enginuity!$A$18)),
      TRIM(B3565)=TRIM(Enginuity!$A$17)
    )
  ),
  ROW(),
  ""
)</f>
        <v/>
      </c>
    </row>
    <row r="3566" spans="21:21" x14ac:dyDescent="0.25">
      <c r="U3566" s="104" t="str">
        <f>IF(
  AND(
    TRIM(A3566)=TRIM(Enginuity!$A$1),
    TRIM(B3566)=TRIM(Enginuity!$A$17),
    Q3566&lt;&gt;"",
    Q3566&lt;&gt;0,
    OR(
      TRIM(C3566)=TRIM(Enginuity!$A$18),
      AND(UPPER(TRIM(M3566))="STD", TRIM(B3566)=TRIM(Enginuity!$A$17))
    ),
    OR(
      AND(LEFT(P3566,5)="1-Way", Enginuity!$B$13=1),
      AND(LEFT(P3566,5)="2-Way", OR(Enginuity!$B$13=2, Enginuity!$B$13=4)),
      AND(LEFT(P3566,5)="3-Way", OR(Enginuity!$B$13=3, Enginuity!$B$13=6)),
      AND(P3566="Inner Centre Jamb", OR(Enginuity!$B$13=4, Enginuity!$B$13=6)),
      AND(
        LEFT(P3566,5)&lt;&gt;"1-Way",
        LEFT(P3566,5)&lt;&gt;"2-Way",
        LEFT(P3566,5)&lt;&gt;"3-Way",
        P3566&lt;&gt;"Inner Centre Jamb"
      )
    ),
    IF(OR(Enginuity!$A$1="Frameless Glass",Enginuity!$A$1="Metal Work"),
      AND(TRIM(B3566)=TRIM(Enginuity!$A$17),TRIM(C3566)=TRIM(Enginuity!$A$18)),
      TRIM(B3566)=TRIM(Enginuity!$A$17)
    )
  ),
  ROW(),
  ""
)</f>
        <v/>
      </c>
    </row>
    <row r="3567" spans="21:21" x14ac:dyDescent="0.25">
      <c r="U3567" s="104" t="str">
        <f>IF(
  AND(
    TRIM(A3567)=TRIM(Enginuity!$A$1),
    TRIM(B3567)=TRIM(Enginuity!$A$17),
    Q3567&lt;&gt;"",
    Q3567&lt;&gt;0,
    OR(
      TRIM(C3567)=TRIM(Enginuity!$A$18),
      AND(UPPER(TRIM(M3567))="STD", TRIM(B3567)=TRIM(Enginuity!$A$17))
    ),
    OR(
      AND(LEFT(P3567,5)="1-Way", Enginuity!$B$13=1),
      AND(LEFT(P3567,5)="2-Way", OR(Enginuity!$B$13=2, Enginuity!$B$13=4)),
      AND(LEFT(P3567,5)="3-Way", OR(Enginuity!$B$13=3, Enginuity!$B$13=6)),
      AND(P3567="Inner Centre Jamb", OR(Enginuity!$B$13=4, Enginuity!$B$13=6)),
      AND(
        LEFT(P3567,5)&lt;&gt;"1-Way",
        LEFT(P3567,5)&lt;&gt;"2-Way",
        LEFT(P3567,5)&lt;&gt;"3-Way",
        P3567&lt;&gt;"Inner Centre Jamb"
      )
    ),
    IF(OR(Enginuity!$A$1="Frameless Glass",Enginuity!$A$1="Metal Work"),
      AND(TRIM(B3567)=TRIM(Enginuity!$A$17),TRIM(C3567)=TRIM(Enginuity!$A$18)),
      TRIM(B3567)=TRIM(Enginuity!$A$17)
    )
  ),
  ROW(),
  ""
)</f>
        <v/>
      </c>
    </row>
    <row r="3568" spans="21:21" x14ac:dyDescent="0.25">
      <c r="U3568" s="104" t="str">
        <f>IF(
  AND(
    TRIM(A3568)=TRIM(Enginuity!$A$1),
    TRIM(B3568)=TRIM(Enginuity!$A$17),
    Q3568&lt;&gt;"",
    Q3568&lt;&gt;0,
    OR(
      TRIM(C3568)=TRIM(Enginuity!$A$18),
      AND(UPPER(TRIM(M3568))="STD", TRIM(B3568)=TRIM(Enginuity!$A$17))
    ),
    OR(
      AND(LEFT(P3568,5)="1-Way", Enginuity!$B$13=1),
      AND(LEFT(P3568,5)="2-Way", OR(Enginuity!$B$13=2, Enginuity!$B$13=4)),
      AND(LEFT(P3568,5)="3-Way", OR(Enginuity!$B$13=3, Enginuity!$B$13=6)),
      AND(P3568="Inner Centre Jamb", OR(Enginuity!$B$13=4, Enginuity!$B$13=6)),
      AND(
        LEFT(P3568,5)&lt;&gt;"1-Way",
        LEFT(P3568,5)&lt;&gt;"2-Way",
        LEFT(P3568,5)&lt;&gt;"3-Way",
        P3568&lt;&gt;"Inner Centre Jamb"
      )
    ),
    IF(OR(Enginuity!$A$1="Frameless Glass",Enginuity!$A$1="Metal Work"),
      AND(TRIM(B3568)=TRIM(Enginuity!$A$17),TRIM(C3568)=TRIM(Enginuity!$A$18)),
      TRIM(B3568)=TRIM(Enginuity!$A$17)
    )
  ),
  ROW(),
  ""
)</f>
        <v/>
      </c>
    </row>
    <row r="3569" spans="21:21" x14ac:dyDescent="0.25">
      <c r="U3569" s="104" t="str">
        <f>IF(
  AND(
    TRIM(A3569)=TRIM(Enginuity!$A$1),
    TRIM(B3569)=TRIM(Enginuity!$A$17),
    Q3569&lt;&gt;"",
    Q3569&lt;&gt;0,
    OR(
      TRIM(C3569)=TRIM(Enginuity!$A$18),
      AND(UPPER(TRIM(M3569))="STD", TRIM(B3569)=TRIM(Enginuity!$A$17))
    ),
    OR(
      AND(LEFT(P3569,5)="1-Way", Enginuity!$B$13=1),
      AND(LEFT(P3569,5)="2-Way", OR(Enginuity!$B$13=2, Enginuity!$B$13=4)),
      AND(LEFT(P3569,5)="3-Way", OR(Enginuity!$B$13=3, Enginuity!$B$13=6)),
      AND(P3569="Inner Centre Jamb", OR(Enginuity!$B$13=4, Enginuity!$B$13=6)),
      AND(
        LEFT(P3569,5)&lt;&gt;"1-Way",
        LEFT(P3569,5)&lt;&gt;"2-Way",
        LEFT(P3569,5)&lt;&gt;"3-Way",
        P3569&lt;&gt;"Inner Centre Jamb"
      )
    ),
    IF(OR(Enginuity!$A$1="Frameless Glass",Enginuity!$A$1="Metal Work"),
      AND(TRIM(B3569)=TRIM(Enginuity!$A$17),TRIM(C3569)=TRIM(Enginuity!$A$18)),
      TRIM(B3569)=TRIM(Enginuity!$A$17)
    )
  ),
  ROW(),
  ""
)</f>
        <v/>
      </c>
    </row>
    <row r="3570" spans="21:21" x14ac:dyDescent="0.25">
      <c r="U3570" s="104" t="str">
        <f>IF(
  AND(
    TRIM(A3570)=TRIM(Enginuity!$A$1),
    TRIM(B3570)=TRIM(Enginuity!$A$17),
    Q3570&lt;&gt;"",
    Q3570&lt;&gt;0,
    OR(
      TRIM(C3570)=TRIM(Enginuity!$A$18),
      AND(UPPER(TRIM(M3570))="STD", TRIM(B3570)=TRIM(Enginuity!$A$17))
    ),
    OR(
      AND(LEFT(P3570,5)="1-Way", Enginuity!$B$13=1),
      AND(LEFT(P3570,5)="2-Way", OR(Enginuity!$B$13=2, Enginuity!$B$13=4)),
      AND(LEFT(P3570,5)="3-Way", OR(Enginuity!$B$13=3, Enginuity!$B$13=6)),
      AND(P3570="Inner Centre Jamb", OR(Enginuity!$B$13=4, Enginuity!$B$13=6)),
      AND(
        LEFT(P3570,5)&lt;&gt;"1-Way",
        LEFT(P3570,5)&lt;&gt;"2-Way",
        LEFT(P3570,5)&lt;&gt;"3-Way",
        P3570&lt;&gt;"Inner Centre Jamb"
      )
    ),
    IF(OR(Enginuity!$A$1="Frameless Glass",Enginuity!$A$1="Metal Work"),
      AND(TRIM(B3570)=TRIM(Enginuity!$A$17),TRIM(C3570)=TRIM(Enginuity!$A$18)),
      TRIM(B3570)=TRIM(Enginuity!$A$17)
    )
  ),
  ROW(),
  ""
)</f>
        <v/>
      </c>
    </row>
    <row r="3571" spans="21:21" x14ac:dyDescent="0.25">
      <c r="U3571" s="104" t="str">
        <f>IF(
  AND(
    TRIM(A3571)=TRIM(Enginuity!$A$1),
    TRIM(B3571)=TRIM(Enginuity!$A$17),
    Q3571&lt;&gt;"",
    Q3571&lt;&gt;0,
    OR(
      TRIM(C3571)=TRIM(Enginuity!$A$18),
      AND(UPPER(TRIM(M3571))="STD", TRIM(B3571)=TRIM(Enginuity!$A$17))
    ),
    OR(
      AND(LEFT(P3571,5)="1-Way", Enginuity!$B$13=1),
      AND(LEFT(P3571,5)="2-Way", OR(Enginuity!$B$13=2, Enginuity!$B$13=4)),
      AND(LEFT(P3571,5)="3-Way", OR(Enginuity!$B$13=3, Enginuity!$B$13=6)),
      AND(P3571="Inner Centre Jamb", OR(Enginuity!$B$13=4, Enginuity!$B$13=6)),
      AND(
        LEFT(P3571,5)&lt;&gt;"1-Way",
        LEFT(P3571,5)&lt;&gt;"2-Way",
        LEFT(P3571,5)&lt;&gt;"3-Way",
        P3571&lt;&gt;"Inner Centre Jamb"
      )
    ),
    IF(OR(Enginuity!$A$1="Frameless Glass",Enginuity!$A$1="Metal Work"),
      AND(TRIM(B3571)=TRIM(Enginuity!$A$17),TRIM(C3571)=TRIM(Enginuity!$A$18)),
      TRIM(B3571)=TRIM(Enginuity!$A$17)
    )
  ),
  ROW(),
  ""
)</f>
        <v/>
      </c>
    </row>
    <row r="3572" spans="21:21" x14ac:dyDescent="0.25">
      <c r="U3572" s="104" t="str">
        <f>IF(
  AND(
    TRIM(A3572)=TRIM(Enginuity!$A$1),
    TRIM(B3572)=TRIM(Enginuity!$A$17),
    Q3572&lt;&gt;"",
    Q3572&lt;&gt;0,
    OR(
      TRIM(C3572)=TRIM(Enginuity!$A$18),
      AND(UPPER(TRIM(M3572))="STD", TRIM(B3572)=TRIM(Enginuity!$A$17))
    ),
    OR(
      AND(LEFT(P3572,5)="1-Way", Enginuity!$B$13=1),
      AND(LEFT(P3572,5)="2-Way", OR(Enginuity!$B$13=2, Enginuity!$B$13=4)),
      AND(LEFT(P3572,5)="3-Way", OR(Enginuity!$B$13=3, Enginuity!$B$13=6)),
      AND(P3572="Inner Centre Jamb", OR(Enginuity!$B$13=4, Enginuity!$B$13=6)),
      AND(
        LEFT(P3572,5)&lt;&gt;"1-Way",
        LEFT(P3572,5)&lt;&gt;"2-Way",
        LEFT(P3572,5)&lt;&gt;"3-Way",
        P3572&lt;&gt;"Inner Centre Jamb"
      )
    ),
    IF(OR(Enginuity!$A$1="Frameless Glass",Enginuity!$A$1="Metal Work"),
      AND(TRIM(B3572)=TRIM(Enginuity!$A$17),TRIM(C3572)=TRIM(Enginuity!$A$18)),
      TRIM(B3572)=TRIM(Enginuity!$A$17)
    )
  ),
  ROW(),
  ""
)</f>
        <v/>
      </c>
    </row>
    <row r="3573" spans="21:21" x14ac:dyDescent="0.25">
      <c r="U3573" s="104" t="str">
        <f>IF(
  AND(
    TRIM(A3573)=TRIM(Enginuity!$A$1),
    TRIM(B3573)=TRIM(Enginuity!$A$17),
    Q3573&lt;&gt;"",
    Q3573&lt;&gt;0,
    OR(
      TRIM(C3573)=TRIM(Enginuity!$A$18),
      AND(UPPER(TRIM(M3573))="STD", TRIM(B3573)=TRIM(Enginuity!$A$17))
    ),
    OR(
      AND(LEFT(P3573,5)="1-Way", Enginuity!$B$13=1),
      AND(LEFT(P3573,5)="2-Way", OR(Enginuity!$B$13=2, Enginuity!$B$13=4)),
      AND(LEFT(P3573,5)="3-Way", OR(Enginuity!$B$13=3, Enginuity!$B$13=6)),
      AND(P3573="Inner Centre Jamb", OR(Enginuity!$B$13=4, Enginuity!$B$13=6)),
      AND(
        LEFT(P3573,5)&lt;&gt;"1-Way",
        LEFT(P3573,5)&lt;&gt;"2-Way",
        LEFT(P3573,5)&lt;&gt;"3-Way",
        P3573&lt;&gt;"Inner Centre Jamb"
      )
    ),
    IF(OR(Enginuity!$A$1="Frameless Glass",Enginuity!$A$1="Metal Work"),
      AND(TRIM(B3573)=TRIM(Enginuity!$A$17),TRIM(C3573)=TRIM(Enginuity!$A$18)),
      TRIM(B3573)=TRIM(Enginuity!$A$17)
    )
  ),
  ROW(),
  ""
)</f>
        <v/>
      </c>
    </row>
    <row r="3574" spans="21:21" x14ac:dyDescent="0.25">
      <c r="U3574" s="104" t="str">
        <f>IF(
  AND(
    TRIM(A3574)=TRIM(Enginuity!$A$1),
    TRIM(B3574)=TRIM(Enginuity!$A$17),
    Q3574&lt;&gt;"",
    Q3574&lt;&gt;0,
    OR(
      TRIM(C3574)=TRIM(Enginuity!$A$18),
      AND(UPPER(TRIM(M3574))="STD", TRIM(B3574)=TRIM(Enginuity!$A$17))
    ),
    OR(
      AND(LEFT(P3574,5)="1-Way", Enginuity!$B$13=1),
      AND(LEFT(P3574,5)="2-Way", OR(Enginuity!$B$13=2, Enginuity!$B$13=4)),
      AND(LEFT(P3574,5)="3-Way", OR(Enginuity!$B$13=3, Enginuity!$B$13=6)),
      AND(P3574="Inner Centre Jamb", OR(Enginuity!$B$13=4, Enginuity!$B$13=6)),
      AND(
        LEFT(P3574,5)&lt;&gt;"1-Way",
        LEFT(P3574,5)&lt;&gt;"2-Way",
        LEFT(P3574,5)&lt;&gt;"3-Way",
        P3574&lt;&gt;"Inner Centre Jamb"
      )
    ),
    IF(OR(Enginuity!$A$1="Frameless Glass",Enginuity!$A$1="Metal Work"),
      AND(TRIM(B3574)=TRIM(Enginuity!$A$17),TRIM(C3574)=TRIM(Enginuity!$A$18)),
      TRIM(B3574)=TRIM(Enginuity!$A$17)
    )
  ),
  ROW(),
  ""
)</f>
        <v/>
      </c>
    </row>
    <row r="3575" spans="21:21" x14ac:dyDescent="0.25">
      <c r="U3575" s="104" t="str">
        <f>IF(
  AND(
    TRIM(A3575)=TRIM(Enginuity!$A$1),
    TRIM(B3575)=TRIM(Enginuity!$A$17),
    Q3575&lt;&gt;"",
    Q3575&lt;&gt;0,
    OR(
      TRIM(C3575)=TRIM(Enginuity!$A$18),
      AND(UPPER(TRIM(M3575))="STD", TRIM(B3575)=TRIM(Enginuity!$A$17))
    ),
    OR(
      AND(LEFT(P3575,5)="1-Way", Enginuity!$B$13=1),
      AND(LEFT(P3575,5)="2-Way", OR(Enginuity!$B$13=2, Enginuity!$B$13=4)),
      AND(LEFT(P3575,5)="3-Way", OR(Enginuity!$B$13=3, Enginuity!$B$13=6)),
      AND(P3575="Inner Centre Jamb", OR(Enginuity!$B$13=4, Enginuity!$B$13=6)),
      AND(
        LEFT(P3575,5)&lt;&gt;"1-Way",
        LEFT(P3575,5)&lt;&gt;"2-Way",
        LEFT(P3575,5)&lt;&gt;"3-Way",
        P3575&lt;&gt;"Inner Centre Jamb"
      )
    ),
    IF(OR(Enginuity!$A$1="Frameless Glass",Enginuity!$A$1="Metal Work"),
      AND(TRIM(B3575)=TRIM(Enginuity!$A$17),TRIM(C3575)=TRIM(Enginuity!$A$18)),
      TRIM(B3575)=TRIM(Enginuity!$A$17)
    )
  ),
  ROW(),
  ""
)</f>
        <v/>
      </c>
    </row>
    <row r="3576" spans="21:21" x14ac:dyDescent="0.25">
      <c r="U3576" s="104" t="str">
        <f>IF(
  AND(
    TRIM(A3576)=TRIM(Enginuity!$A$1),
    TRIM(B3576)=TRIM(Enginuity!$A$17),
    Q3576&lt;&gt;"",
    Q3576&lt;&gt;0,
    OR(
      TRIM(C3576)=TRIM(Enginuity!$A$18),
      AND(UPPER(TRIM(M3576))="STD", TRIM(B3576)=TRIM(Enginuity!$A$17))
    ),
    OR(
      AND(LEFT(P3576,5)="1-Way", Enginuity!$B$13=1),
      AND(LEFT(P3576,5)="2-Way", OR(Enginuity!$B$13=2, Enginuity!$B$13=4)),
      AND(LEFT(P3576,5)="3-Way", OR(Enginuity!$B$13=3, Enginuity!$B$13=6)),
      AND(P3576="Inner Centre Jamb", OR(Enginuity!$B$13=4, Enginuity!$B$13=6)),
      AND(
        LEFT(P3576,5)&lt;&gt;"1-Way",
        LEFT(P3576,5)&lt;&gt;"2-Way",
        LEFT(P3576,5)&lt;&gt;"3-Way",
        P3576&lt;&gt;"Inner Centre Jamb"
      )
    ),
    IF(OR(Enginuity!$A$1="Frameless Glass",Enginuity!$A$1="Metal Work"),
      AND(TRIM(B3576)=TRIM(Enginuity!$A$17),TRIM(C3576)=TRIM(Enginuity!$A$18)),
      TRIM(B3576)=TRIM(Enginuity!$A$17)
    )
  ),
  ROW(),
  ""
)</f>
        <v/>
      </c>
    </row>
    <row r="3577" spans="21:21" x14ac:dyDescent="0.25">
      <c r="U3577" s="104" t="str">
        <f>IF(
  AND(
    TRIM(A3577)=TRIM(Enginuity!$A$1),
    TRIM(B3577)=TRIM(Enginuity!$A$17),
    Q3577&lt;&gt;"",
    Q3577&lt;&gt;0,
    OR(
      TRIM(C3577)=TRIM(Enginuity!$A$18),
      AND(UPPER(TRIM(M3577))="STD", TRIM(B3577)=TRIM(Enginuity!$A$17))
    ),
    OR(
      AND(LEFT(P3577,5)="1-Way", Enginuity!$B$13=1),
      AND(LEFT(P3577,5)="2-Way", OR(Enginuity!$B$13=2, Enginuity!$B$13=4)),
      AND(LEFT(P3577,5)="3-Way", OR(Enginuity!$B$13=3, Enginuity!$B$13=6)),
      AND(P3577="Inner Centre Jamb", OR(Enginuity!$B$13=4, Enginuity!$B$13=6)),
      AND(
        LEFT(P3577,5)&lt;&gt;"1-Way",
        LEFT(P3577,5)&lt;&gt;"2-Way",
        LEFT(P3577,5)&lt;&gt;"3-Way",
        P3577&lt;&gt;"Inner Centre Jamb"
      )
    ),
    IF(OR(Enginuity!$A$1="Frameless Glass",Enginuity!$A$1="Metal Work"),
      AND(TRIM(B3577)=TRIM(Enginuity!$A$17),TRIM(C3577)=TRIM(Enginuity!$A$18)),
      TRIM(B3577)=TRIM(Enginuity!$A$17)
    )
  ),
  ROW(),
  ""
)</f>
        <v/>
      </c>
    </row>
    <row r="3578" spans="21:21" x14ac:dyDescent="0.25">
      <c r="U3578" s="104" t="str">
        <f>IF(
  AND(
    TRIM(A3578)=TRIM(Enginuity!$A$1),
    TRIM(B3578)=TRIM(Enginuity!$A$17),
    Q3578&lt;&gt;"",
    Q3578&lt;&gt;0,
    OR(
      TRIM(C3578)=TRIM(Enginuity!$A$18),
      AND(UPPER(TRIM(M3578))="STD", TRIM(B3578)=TRIM(Enginuity!$A$17))
    ),
    OR(
      AND(LEFT(P3578,5)="1-Way", Enginuity!$B$13=1),
      AND(LEFT(P3578,5)="2-Way", OR(Enginuity!$B$13=2, Enginuity!$B$13=4)),
      AND(LEFT(P3578,5)="3-Way", OR(Enginuity!$B$13=3, Enginuity!$B$13=6)),
      AND(P3578="Inner Centre Jamb", OR(Enginuity!$B$13=4, Enginuity!$B$13=6)),
      AND(
        LEFT(P3578,5)&lt;&gt;"1-Way",
        LEFT(P3578,5)&lt;&gt;"2-Way",
        LEFT(P3578,5)&lt;&gt;"3-Way",
        P3578&lt;&gt;"Inner Centre Jamb"
      )
    ),
    IF(OR(Enginuity!$A$1="Frameless Glass",Enginuity!$A$1="Metal Work"),
      AND(TRIM(B3578)=TRIM(Enginuity!$A$17),TRIM(C3578)=TRIM(Enginuity!$A$18)),
      TRIM(B3578)=TRIM(Enginuity!$A$17)
    )
  ),
  ROW(),
  ""
)</f>
        <v/>
      </c>
    </row>
    <row r="3579" spans="21:21" x14ac:dyDescent="0.25">
      <c r="U3579" s="104" t="str">
        <f>IF(
  AND(
    TRIM(A3579)=TRIM(Enginuity!$A$1),
    TRIM(B3579)=TRIM(Enginuity!$A$17),
    Q3579&lt;&gt;"",
    Q3579&lt;&gt;0,
    OR(
      TRIM(C3579)=TRIM(Enginuity!$A$18),
      AND(UPPER(TRIM(M3579))="STD", TRIM(B3579)=TRIM(Enginuity!$A$17))
    ),
    OR(
      AND(LEFT(P3579,5)="1-Way", Enginuity!$B$13=1),
      AND(LEFT(P3579,5)="2-Way", OR(Enginuity!$B$13=2, Enginuity!$B$13=4)),
      AND(LEFT(P3579,5)="3-Way", OR(Enginuity!$B$13=3, Enginuity!$B$13=6)),
      AND(P3579="Inner Centre Jamb", OR(Enginuity!$B$13=4, Enginuity!$B$13=6)),
      AND(
        LEFT(P3579,5)&lt;&gt;"1-Way",
        LEFT(P3579,5)&lt;&gt;"2-Way",
        LEFT(P3579,5)&lt;&gt;"3-Way",
        P3579&lt;&gt;"Inner Centre Jamb"
      )
    ),
    IF(OR(Enginuity!$A$1="Frameless Glass",Enginuity!$A$1="Metal Work"),
      AND(TRIM(B3579)=TRIM(Enginuity!$A$17),TRIM(C3579)=TRIM(Enginuity!$A$18)),
      TRIM(B3579)=TRIM(Enginuity!$A$17)
    )
  ),
  ROW(),
  ""
)</f>
        <v/>
      </c>
    </row>
    <row r="3580" spans="21:21" x14ac:dyDescent="0.25">
      <c r="U3580" s="104" t="str">
        <f>IF(
  AND(
    TRIM(A3580)=TRIM(Enginuity!$A$1),
    TRIM(B3580)=TRIM(Enginuity!$A$17),
    Q3580&lt;&gt;"",
    Q3580&lt;&gt;0,
    OR(
      TRIM(C3580)=TRIM(Enginuity!$A$18),
      AND(UPPER(TRIM(M3580))="STD", TRIM(B3580)=TRIM(Enginuity!$A$17))
    ),
    OR(
      AND(LEFT(P3580,5)="1-Way", Enginuity!$B$13=1),
      AND(LEFT(P3580,5)="2-Way", OR(Enginuity!$B$13=2, Enginuity!$B$13=4)),
      AND(LEFT(P3580,5)="3-Way", OR(Enginuity!$B$13=3, Enginuity!$B$13=6)),
      AND(P3580="Inner Centre Jamb", OR(Enginuity!$B$13=4, Enginuity!$B$13=6)),
      AND(
        LEFT(P3580,5)&lt;&gt;"1-Way",
        LEFT(P3580,5)&lt;&gt;"2-Way",
        LEFT(P3580,5)&lt;&gt;"3-Way",
        P3580&lt;&gt;"Inner Centre Jamb"
      )
    ),
    IF(OR(Enginuity!$A$1="Frameless Glass",Enginuity!$A$1="Metal Work"),
      AND(TRIM(B3580)=TRIM(Enginuity!$A$17),TRIM(C3580)=TRIM(Enginuity!$A$18)),
      TRIM(B3580)=TRIM(Enginuity!$A$17)
    )
  ),
  ROW(),
  ""
)</f>
        <v/>
      </c>
    </row>
    <row r="3581" spans="21:21" x14ac:dyDescent="0.25">
      <c r="U3581" s="104" t="str">
        <f>IF(
  AND(
    TRIM(A3581)=TRIM(Enginuity!$A$1),
    TRIM(B3581)=TRIM(Enginuity!$A$17),
    Q3581&lt;&gt;"",
    Q3581&lt;&gt;0,
    OR(
      TRIM(C3581)=TRIM(Enginuity!$A$18),
      AND(UPPER(TRIM(M3581))="STD", TRIM(B3581)=TRIM(Enginuity!$A$17))
    ),
    OR(
      AND(LEFT(P3581,5)="1-Way", Enginuity!$B$13=1),
      AND(LEFT(P3581,5)="2-Way", OR(Enginuity!$B$13=2, Enginuity!$B$13=4)),
      AND(LEFT(P3581,5)="3-Way", OR(Enginuity!$B$13=3, Enginuity!$B$13=6)),
      AND(P3581="Inner Centre Jamb", OR(Enginuity!$B$13=4, Enginuity!$B$13=6)),
      AND(
        LEFT(P3581,5)&lt;&gt;"1-Way",
        LEFT(P3581,5)&lt;&gt;"2-Way",
        LEFT(P3581,5)&lt;&gt;"3-Way",
        P3581&lt;&gt;"Inner Centre Jamb"
      )
    ),
    IF(OR(Enginuity!$A$1="Frameless Glass",Enginuity!$A$1="Metal Work"),
      AND(TRIM(B3581)=TRIM(Enginuity!$A$17),TRIM(C3581)=TRIM(Enginuity!$A$18)),
      TRIM(B3581)=TRIM(Enginuity!$A$17)
    )
  ),
  ROW(),
  ""
)</f>
        <v/>
      </c>
    </row>
    <row r="3582" spans="21:21" x14ac:dyDescent="0.25">
      <c r="U3582" s="104" t="str">
        <f>IF(
  AND(
    TRIM(A3582)=TRIM(Enginuity!$A$1),
    TRIM(B3582)=TRIM(Enginuity!$A$17),
    Q3582&lt;&gt;"",
    Q3582&lt;&gt;0,
    OR(
      TRIM(C3582)=TRIM(Enginuity!$A$18),
      AND(UPPER(TRIM(M3582))="STD", TRIM(B3582)=TRIM(Enginuity!$A$17))
    ),
    OR(
      AND(LEFT(P3582,5)="1-Way", Enginuity!$B$13=1),
      AND(LEFT(P3582,5)="2-Way", OR(Enginuity!$B$13=2, Enginuity!$B$13=4)),
      AND(LEFT(P3582,5)="3-Way", OR(Enginuity!$B$13=3, Enginuity!$B$13=6)),
      AND(P3582="Inner Centre Jamb", OR(Enginuity!$B$13=4, Enginuity!$B$13=6)),
      AND(
        LEFT(P3582,5)&lt;&gt;"1-Way",
        LEFT(P3582,5)&lt;&gt;"2-Way",
        LEFT(P3582,5)&lt;&gt;"3-Way",
        P3582&lt;&gt;"Inner Centre Jamb"
      )
    ),
    IF(OR(Enginuity!$A$1="Frameless Glass",Enginuity!$A$1="Metal Work"),
      AND(TRIM(B3582)=TRIM(Enginuity!$A$17),TRIM(C3582)=TRIM(Enginuity!$A$18)),
      TRIM(B3582)=TRIM(Enginuity!$A$17)
    )
  ),
  ROW(),
  ""
)</f>
        <v/>
      </c>
    </row>
    <row r="3583" spans="21:21" x14ac:dyDescent="0.25">
      <c r="U3583" s="104" t="str">
        <f>IF(
  AND(
    TRIM(A3583)=TRIM(Enginuity!$A$1),
    TRIM(B3583)=TRIM(Enginuity!$A$17),
    Q3583&lt;&gt;"",
    Q3583&lt;&gt;0,
    OR(
      TRIM(C3583)=TRIM(Enginuity!$A$18),
      AND(UPPER(TRIM(M3583))="STD", TRIM(B3583)=TRIM(Enginuity!$A$17))
    ),
    OR(
      AND(LEFT(P3583,5)="1-Way", Enginuity!$B$13=1),
      AND(LEFT(P3583,5)="2-Way", OR(Enginuity!$B$13=2, Enginuity!$B$13=4)),
      AND(LEFT(P3583,5)="3-Way", OR(Enginuity!$B$13=3, Enginuity!$B$13=6)),
      AND(P3583="Inner Centre Jamb", OR(Enginuity!$B$13=4, Enginuity!$B$13=6)),
      AND(
        LEFT(P3583,5)&lt;&gt;"1-Way",
        LEFT(P3583,5)&lt;&gt;"2-Way",
        LEFT(P3583,5)&lt;&gt;"3-Way",
        P3583&lt;&gt;"Inner Centre Jamb"
      )
    ),
    IF(OR(Enginuity!$A$1="Frameless Glass",Enginuity!$A$1="Metal Work"),
      AND(TRIM(B3583)=TRIM(Enginuity!$A$17),TRIM(C3583)=TRIM(Enginuity!$A$18)),
      TRIM(B3583)=TRIM(Enginuity!$A$17)
    )
  ),
  ROW(),
  ""
)</f>
        <v/>
      </c>
    </row>
    <row r="3584" spans="21:21" x14ac:dyDescent="0.25">
      <c r="U3584" s="104" t="str">
        <f>IF(
  AND(
    TRIM(A3584)=TRIM(Enginuity!$A$1),
    TRIM(B3584)=TRIM(Enginuity!$A$17),
    Q3584&lt;&gt;"",
    Q3584&lt;&gt;0,
    OR(
      TRIM(C3584)=TRIM(Enginuity!$A$18),
      AND(UPPER(TRIM(M3584))="STD", TRIM(B3584)=TRIM(Enginuity!$A$17))
    ),
    OR(
      AND(LEFT(P3584,5)="1-Way", Enginuity!$B$13=1),
      AND(LEFT(P3584,5)="2-Way", OR(Enginuity!$B$13=2, Enginuity!$B$13=4)),
      AND(LEFT(P3584,5)="3-Way", OR(Enginuity!$B$13=3, Enginuity!$B$13=6)),
      AND(P3584="Inner Centre Jamb", OR(Enginuity!$B$13=4, Enginuity!$B$13=6)),
      AND(
        LEFT(P3584,5)&lt;&gt;"1-Way",
        LEFT(P3584,5)&lt;&gt;"2-Way",
        LEFT(P3584,5)&lt;&gt;"3-Way",
        P3584&lt;&gt;"Inner Centre Jamb"
      )
    ),
    IF(OR(Enginuity!$A$1="Frameless Glass",Enginuity!$A$1="Metal Work"),
      AND(TRIM(B3584)=TRIM(Enginuity!$A$17),TRIM(C3584)=TRIM(Enginuity!$A$18)),
      TRIM(B3584)=TRIM(Enginuity!$A$17)
    )
  ),
  ROW(),
  ""
)</f>
        <v/>
      </c>
    </row>
    <row r="3585" spans="21:21" x14ac:dyDescent="0.25">
      <c r="U3585" s="104" t="str">
        <f>IF(
  AND(
    TRIM(A3585)=TRIM(Enginuity!$A$1),
    TRIM(B3585)=TRIM(Enginuity!$A$17),
    Q3585&lt;&gt;"",
    Q3585&lt;&gt;0,
    OR(
      TRIM(C3585)=TRIM(Enginuity!$A$18),
      AND(UPPER(TRIM(M3585))="STD", TRIM(B3585)=TRIM(Enginuity!$A$17))
    ),
    OR(
      AND(LEFT(P3585,5)="1-Way", Enginuity!$B$13=1),
      AND(LEFT(P3585,5)="2-Way", OR(Enginuity!$B$13=2, Enginuity!$B$13=4)),
      AND(LEFT(P3585,5)="3-Way", OR(Enginuity!$B$13=3, Enginuity!$B$13=6)),
      AND(P3585="Inner Centre Jamb", OR(Enginuity!$B$13=4, Enginuity!$B$13=6)),
      AND(
        LEFT(P3585,5)&lt;&gt;"1-Way",
        LEFT(P3585,5)&lt;&gt;"2-Way",
        LEFT(P3585,5)&lt;&gt;"3-Way",
        P3585&lt;&gt;"Inner Centre Jamb"
      )
    ),
    IF(OR(Enginuity!$A$1="Frameless Glass",Enginuity!$A$1="Metal Work"),
      AND(TRIM(B3585)=TRIM(Enginuity!$A$17),TRIM(C3585)=TRIM(Enginuity!$A$18)),
      TRIM(B3585)=TRIM(Enginuity!$A$17)
    )
  ),
  ROW(),
  ""
)</f>
        <v/>
      </c>
    </row>
    <row r="3586" spans="21:21" x14ac:dyDescent="0.25">
      <c r="U3586" s="104" t="str">
        <f>IF(
  AND(
    TRIM(A3586)=TRIM(Enginuity!$A$1),
    TRIM(B3586)=TRIM(Enginuity!$A$17),
    Q3586&lt;&gt;"",
    Q3586&lt;&gt;0,
    OR(
      TRIM(C3586)=TRIM(Enginuity!$A$18),
      AND(UPPER(TRIM(M3586))="STD", TRIM(B3586)=TRIM(Enginuity!$A$17))
    ),
    OR(
      AND(LEFT(P3586,5)="1-Way", Enginuity!$B$13=1),
      AND(LEFT(P3586,5)="2-Way", OR(Enginuity!$B$13=2, Enginuity!$B$13=4)),
      AND(LEFT(P3586,5)="3-Way", OR(Enginuity!$B$13=3, Enginuity!$B$13=6)),
      AND(P3586="Inner Centre Jamb", OR(Enginuity!$B$13=4, Enginuity!$B$13=6)),
      AND(
        LEFT(P3586,5)&lt;&gt;"1-Way",
        LEFT(P3586,5)&lt;&gt;"2-Way",
        LEFT(P3586,5)&lt;&gt;"3-Way",
        P3586&lt;&gt;"Inner Centre Jamb"
      )
    ),
    IF(OR(Enginuity!$A$1="Frameless Glass",Enginuity!$A$1="Metal Work"),
      AND(TRIM(B3586)=TRIM(Enginuity!$A$17),TRIM(C3586)=TRIM(Enginuity!$A$18)),
      TRIM(B3586)=TRIM(Enginuity!$A$17)
    )
  ),
  ROW(),
  ""
)</f>
        <v/>
      </c>
    </row>
    <row r="3587" spans="21:21" x14ac:dyDescent="0.25">
      <c r="U3587" s="104" t="str">
        <f>IF(
  AND(
    TRIM(A3587)=TRIM(Enginuity!$A$1),
    TRIM(B3587)=TRIM(Enginuity!$A$17),
    Q3587&lt;&gt;"",
    Q3587&lt;&gt;0,
    OR(
      TRIM(C3587)=TRIM(Enginuity!$A$18),
      AND(UPPER(TRIM(M3587))="STD", TRIM(B3587)=TRIM(Enginuity!$A$17))
    ),
    OR(
      AND(LEFT(P3587,5)="1-Way", Enginuity!$B$13=1),
      AND(LEFT(P3587,5)="2-Way", OR(Enginuity!$B$13=2, Enginuity!$B$13=4)),
      AND(LEFT(P3587,5)="3-Way", OR(Enginuity!$B$13=3, Enginuity!$B$13=6)),
      AND(P3587="Inner Centre Jamb", OR(Enginuity!$B$13=4, Enginuity!$B$13=6)),
      AND(
        LEFT(P3587,5)&lt;&gt;"1-Way",
        LEFT(P3587,5)&lt;&gt;"2-Way",
        LEFT(P3587,5)&lt;&gt;"3-Way",
        P3587&lt;&gt;"Inner Centre Jamb"
      )
    ),
    IF(OR(Enginuity!$A$1="Frameless Glass",Enginuity!$A$1="Metal Work"),
      AND(TRIM(B3587)=TRIM(Enginuity!$A$17),TRIM(C3587)=TRIM(Enginuity!$A$18)),
      TRIM(B3587)=TRIM(Enginuity!$A$17)
    )
  ),
  ROW(),
  ""
)</f>
        <v/>
      </c>
    </row>
    <row r="3588" spans="21:21" x14ac:dyDescent="0.25">
      <c r="U3588" s="104" t="str">
        <f>IF(
  AND(
    TRIM(A3588)=TRIM(Enginuity!$A$1),
    TRIM(B3588)=TRIM(Enginuity!$A$17),
    Q3588&lt;&gt;"",
    Q3588&lt;&gt;0,
    OR(
      TRIM(C3588)=TRIM(Enginuity!$A$18),
      AND(UPPER(TRIM(M3588))="STD", TRIM(B3588)=TRIM(Enginuity!$A$17))
    ),
    OR(
      AND(LEFT(P3588,5)="1-Way", Enginuity!$B$13=1),
      AND(LEFT(P3588,5)="2-Way", OR(Enginuity!$B$13=2, Enginuity!$B$13=4)),
      AND(LEFT(P3588,5)="3-Way", OR(Enginuity!$B$13=3, Enginuity!$B$13=6)),
      AND(P3588="Inner Centre Jamb", OR(Enginuity!$B$13=4, Enginuity!$B$13=6)),
      AND(
        LEFT(P3588,5)&lt;&gt;"1-Way",
        LEFT(P3588,5)&lt;&gt;"2-Way",
        LEFT(P3588,5)&lt;&gt;"3-Way",
        P3588&lt;&gt;"Inner Centre Jamb"
      )
    ),
    IF(OR(Enginuity!$A$1="Frameless Glass",Enginuity!$A$1="Metal Work"),
      AND(TRIM(B3588)=TRIM(Enginuity!$A$17),TRIM(C3588)=TRIM(Enginuity!$A$18)),
      TRIM(B3588)=TRIM(Enginuity!$A$17)
    )
  ),
  ROW(),
  ""
)</f>
        <v/>
      </c>
    </row>
    <row r="3589" spans="21:21" x14ac:dyDescent="0.25">
      <c r="U3589" s="104" t="str">
        <f>IF(
  AND(
    TRIM(A3589)=TRIM(Enginuity!$A$1),
    TRIM(B3589)=TRIM(Enginuity!$A$17),
    Q3589&lt;&gt;"",
    Q3589&lt;&gt;0,
    OR(
      TRIM(C3589)=TRIM(Enginuity!$A$18),
      AND(UPPER(TRIM(M3589))="STD", TRIM(B3589)=TRIM(Enginuity!$A$17))
    ),
    OR(
      AND(LEFT(P3589,5)="1-Way", Enginuity!$B$13=1),
      AND(LEFT(P3589,5)="2-Way", OR(Enginuity!$B$13=2, Enginuity!$B$13=4)),
      AND(LEFT(P3589,5)="3-Way", OR(Enginuity!$B$13=3, Enginuity!$B$13=6)),
      AND(P3589="Inner Centre Jamb", OR(Enginuity!$B$13=4, Enginuity!$B$13=6)),
      AND(
        LEFT(P3589,5)&lt;&gt;"1-Way",
        LEFT(P3589,5)&lt;&gt;"2-Way",
        LEFT(P3589,5)&lt;&gt;"3-Way",
        P3589&lt;&gt;"Inner Centre Jamb"
      )
    ),
    IF(OR(Enginuity!$A$1="Frameless Glass",Enginuity!$A$1="Metal Work"),
      AND(TRIM(B3589)=TRIM(Enginuity!$A$17),TRIM(C3589)=TRIM(Enginuity!$A$18)),
      TRIM(B3589)=TRIM(Enginuity!$A$17)
    )
  ),
  ROW(),
  ""
)</f>
        <v/>
      </c>
    </row>
    <row r="3590" spans="21:21" x14ac:dyDescent="0.25">
      <c r="U3590" s="104" t="str">
        <f>IF(
  AND(
    TRIM(A3590)=TRIM(Enginuity!$A$1),
    TRIM(B3590)=TRIM(Enginuity!$A$17),
    Q3590&lt;&gt;"",
    Q3590&lt;&gt;0,
    OR(
      TRIM(C3590)=TRIM(Enginuity!$A$18),
      AND(UPPER(TRIM(M3590))="STD", TRIM(B3590)=TRIM(Enginuity!$A$17))
    ),
    OR(
      AND(LEFT(P3590,5)="1-Way", Enginuity!$B$13=1),
      AND(LEFT(P3590,5)="2-Way", OR(Enginuity!$B$13=2, Enginuity!$B$13=4)),
      AND(LEFT(P3590,5)="3-Way", OR(Enginuity!$B$13=3, Enginuity!$B$13=6)),
      AND(P3590="Inner Centre Jamb", OR(Enginuity!$B$13=4, Enginuity!$B$13=6)),
      AND(
        LEFT(P3590,5)&lt;&gt;"1-Way",
        LEFT(P3590,5)&lt;&gt;"2-Way",
        LEFT(P3590,5)&lt;&gt;"3-Way",
        P3590&lt;&gt;"Inner Centre Jamb"
      )
    ),
    IF(OR(Enginuity!$A$1="Frameless Glass",Enginuity!$A$1="Metal Work"),
      AND(TRIM(B3590)=TRIM(Enginuity!$A$17),TRIM(C3590)=TRIM(Enginuity!$A$18)),
      TRIM(B3590)=TRIM(Enginuity!$A$17)
    )
  ),
  ROW(),
  ""
)</f>
        <v/>
      </c>
    </row>
    <row r="3591" spans="21:21" x14ac:dyDescent="0.25">
      <c r="U3591" s="104" t="str">
        <f>IF(
  AND(
    TRIM(A3591)=TRIM(Enginuity!$A$1),
    TRIM(B3591)=TRIM(Enginuity!$A$17),
    Q3591&lt;&gt;"",
    Q3591&lt;&gt;0,
    OR(
      TRIM(C3591)=TRIM(Enginuity!$A$18),
      AND(UPPER(TRIM(M3591))="STD", TRIM(B3591)=TRIM(Enginuity!$A$17))
    ),
    OR(
      AND(LEFT(P3591,5)="1-Way", Enginuity!$B$13=1),
      AND(LEFT(P3591,5)="2-Way", OR(Enginuity!$B$13=2, Enginuity!$B$13=4)),
      AND(LEFT(P3591,5)="3-Way", OR(Enginuity!$B$13=3, Enginuity!$B$13=6)),
      AND(P3591="Inner Centre Jamb", OR(Enginuity!$B$13=4, Enginuity!$B$13=6)),
      AND(
        LEFT(P3591,5)&lt;&gt;"1-Way",
        LEFT(P3591,5)&lt;&gt;"2-Way",
        LEFT(P3591,5)&lt;&gt;"3-Way",
        P3591&lt;&gt;"Inner Centre Jamb"
      )
    ),
    IF(OR(Enginuity!$A$1="Frameless Glass",Enginuity!$A$1="Metal Work"),
      AND(TRIM(B3591)=TRIM(Enginuity!$A$17),TRIM(C3591)=TRIM(Enginuity!$A$18)),
      TRIM(B3591)=TRIM(Enginuity!$A$17)
    )
  ),
  ROW(),
  ""
)</f>
        <v/>
      </c>
    </row>
    <row r="3592" spans="21:21" x14ac:dyDescent="0.25">
      <c r="U3592" s="104" t="str">
        <f>IF(
  AND(
    TRIM(A3592)=TRIM(Enginuity!$A$1),
    TRIM(B3592)=TRIM(Enginuity!$A$17),
    Q3592&lt;&gt;"",
    Q3592&lt;&gt;0,
    OR(
      TRIM(C3592)=TRIM(Enginuity!$A$18),
      AND(UPPER(TRIM(M3592))="STD", TRIM(B3592)=TRIM(Enginuity!$A$17))
    ),
    OR(
      AND(LEFT(P3592,5)="1-Way", Enginuity!$B$13=1),
      AND(LEFT(P3592,5)="2-Way", OR(Enginuity!$B$13=2, Enginuity!$B$13=4)),
      AND(LEFT(P3592,5)="3-Way", OR(Enginuity!$B$13=3, Enginuity!$B$13=6)),
      AND(P3592="Inner Centre Jamb", OR(Enginuity!$B$13=4, Enginuity!$B$13=6)),
      AND(
        LEFT(P3592,5)&lt;&gt;"1-Way",
        LEFT(P3592,5)&lt;&gt;"2-Way",
        LEFT(P3592,5)&lt;&gt;"3-Way",
        P3592&lt;&gt;"Inner Centre Jamb"
      )
    ),
    IF(OR(Enginuity!$A$1="Frameless Glass",Enginuity!$A$1="Metal Work"),
      AND(TRIM(B3592)=TRIM(Enginuity!$A$17),TRIM(C3592)=TRIM(Enginuity!$A$18)),
      TRIM(B3592)=TRIM(Enginuity!$A$17)
    )
  ),
  ROW(),
  ""
)</f>
        <v/>
      </c>
    </row>
    <row r="3593" spans="21:21" x14ac:dyDescent="0.25">
      <c r="U3593" s="104" t="str">
        <f>IF(
  AND(
    TRIM(A3593)=TRIM(Enginuity!$A$1),
    TRIM(B3593)=TRIM(Enginuity!$A$17),
    Q3593&lt;&gt;"",
    Q3593&lt;&gt;0,
    OR(
      TRIM(C3593)=TRIM(Enginuity!$A$18),
      AND(UPPER(TRIM(M3593))="STD", TRIM(B3593)=TRIM(Enginuity!$A$17))
    ),
    OR(
      AND(LEFT(P3593,5)="1-Way", Enginuity!$B$13=1),
      AND(LEFT(P3593,5)="2-Way", OR(Enginuity!$B$13=2, Enginuity!$B$13=4)),
      AND(LEFT(P3593,5)="3-Way", OR(Enginuity!$B$13=3, Enginuity!$B$13=6)),
      AND(P3593="Inner Centre Jamb", OR(Enginuity!$B$13=4, Enginuity!$B$13=6)),
      AND(
        LEFT(P3593,5)&lt;&gt;"1-Way",
        LEFT(P3593,5)&lt;&gt;"2-Way",
        LEFT(P3593,5)&lt;&gt;"3-Way",
        P3593&lt;&gt;"Inner Centre Jamb"
      )
    ),
    IF(OR(Enginuity!$A$1="Frameless Glass",Enginuity!$A$1="Metal Work"),
      AND(TRIM(B3593)=TRIM(Enginuity!$A$17),TRIM(C3593)=TRIM(Enginuity!$A$18)),
      TRIM(B3593)=TRIM(Enginuity!$A$17)
    )
  ),
  ROW(),
  ""
)</f>
        <v/>
      </c>
    </row>
    <row r="3594" spans="21:21" x14ac:dyDescent="0.25">
      <c r="U3594" s="104" t="str">
        <f>IF(
  AND(
    TRIM(A3594)=TRIM(Enginuity!$A$1),
    TRIM(B3594)=TRIM(Enginuity!$A$17),
    Q3594&lt;&gt;"",
    Q3594&lt;&gt;0,
    OR(
      TRIM(C3594)=TRIM(Enginuity!$A$18),
      AND(UPPER(TRIM(M3594))="STD", TRIM(B3594)=TRIM(Enginuity!$A$17))
    ),
    OR(
      AND(LEFT(P3594,5)="1-Way", Enginuity!$B$13=1),
      AND(LEFT(P3594,5)="2-Way", OR(Enginuity!$B$13=2, Enginuity!$B$13=4)),
      AND(LEFT(P3594,5)="3-Way", OR(Enginuity!$B$13=3, Enginuity!$B$13=6)),
      AND(P3594="Inner Centre Jamb", OR(Enginuity!$B$13=4, Enginuity!$B$13=6)),
      AND(
        LEFT(P3594,5)&lt;&gt;"1-Way",
        LEFT(P3594,5)&lt;&gt;"2-Way",
        LEFT(P3594,5)&lt;&gt;"3-Way",
        P3594&lt;&gt;"Inner Centre Jamb"
      )
    ),
    IF(OR(Enginuity!$A$1="Frameless Glass",Enginuity!$A$1="Metal Work"),
      AND(TRIM(B3594)=TRIM(Enginuity!$A$17),TRIM(C3594)=TRIM(Enginuity!$A$18)),
      TRIM(B3594)=TRIM(Enginuity!$A$17)
    )
  ),
  ROW(),
  ""
)</f>
        <v/>
      </c>
    </row>
    <row r="3595" spans="21:21" x14ac:dyDescent="0.25">
      <c r="U3595" s="104" t="str">
        <f>IF(
  AND(
    TRIM(A3595)=TRIM(Enginuity!$A$1),
    TRIM(B3595)=TRIM(Enginuity!$A$17),
    Q3595&lt;&gt;"",
    Q3595&lt;&gt;0,
    OR(
      TRIM(C3595)=TRIM(Enginuity!$A$18),
      AND(UPPER(TRIM(M3595))="STD", TRIM(B3595)=TRIM(Enginuity!$A$17))
    ),
    OR(
      AND(LEFT(P3595,5)="1-Way", Enginuity!$B$13=1),
      AND(LEFT(P3595,5)="2-Way", OR(Enginuity!$B$13=2, Enginuity!$B$13=4)),
      AND(LEFT(P3595,5)="3-Way", OR(Enginuity!$B$13=3, Enginuity!$B$13=6)),
      AND(P3595="Inner Centre Jamb", OR(Enginuity!$B$13=4, Enginuity!$B$13=6)),
      AND(
        LEFT(P3595,5)&lt;&gt;"1-Way",
        LEFT(P3595,5)&lt;&gt;"2-Way",
        LEFT(P3595,5)&lt;&gt;"3-Way",
        P3595&lt;&gt;"Inner Centre Jamb"
      )
    ),
    IF(OR(Enginuity!$A$1="Frameless Glass",Enginuity!$A$1="Metal Work"),
      AND(TRIM(B3595)=TRIM(Enginuity!$A$17),TRIM(C3595)=TRIM(Enginuity!$A$18)),
      TRIM(B3595)=TRIM(Enginuity!$A$17)
    )
  ),
  ROW(),
  ""
)</f>
        <v/>
      </c>
    </row>
    <row r="3596" spans="21:21" x14ac:dyDescent="0.25">
      <c r="U3596" s="104" t="str">
        <f>IF(
  AND(
    TRIM(A3596)=TRIM(Enginuity!$A$1),
    TRIM(B3596)=TRIM(Enginuity!$A$17),
    Q3596&lt;&gt;"",
    Q3596&lt;&gt;0,
    OR(
      TRIM(C3596)=TRIM(Enginuity!$A$18),
      AND(UPPER(TRIM(M3596))="STD", TRIM(B3596)=TRIM(Enginuity!$A$17))
    ),
    OR(
      AND(LEFT(P3596,5)="1-Way", Enginuity!$B$13=1),
      AND(LEFT(P3596,5)="2-Way", OR(Enginuity!$B$13=2, Enginuity!$B$13=4)),
      AND(LEFT(P3596,5)="3-Way", OR(Enginuity!$B$13=3, Enginuity!$B$13=6)),
      AND(P3596="Inner Centre Jamb", OR(Enginuity!$B$13=4, Enginuity!$B$13=6)),
      AND(
        LEFT(P3596,5)&lt;&gt;"1-Way",
        LEFT(P3596,5)&lt;&gt;"2-Way",
        LEFT(P3596,5)&lt;&gt;"3-Way",
        P3596&lt;&gt;"Inner Centre Jamb"
      )
    ),
    IF(OR(Enginuity!$A$1="Frameless Glass",Enginuity!$A$1="Metal Work"),
      AND(TRIM(B3596)=TRIM(Enginuity!$A$17),TRIM(C3596)=TRIM(Enginuity!$A$18)),
      TRIM(B3596)=TRIM(Enginuity!$A$17)
    )
  ),
  ROW(),
  ""
)</f>
        <v/>
      </c>
    </row>
    <row r="3597" spans="21:21" x14ac:dyDescent="0.25">
      <c r="U3597" s="104" t="str">
        <f>IF(
  AND(
    TRIM(A3597)=TRIM(Enginuity!$A$1),
    TRIM(B3597)=TRIM(Enginuity!$A$17),
    Q3597&lt;&gt;"",
    Q3597&lt;&gt;0,
    OR(
      TRIM(C3597)=TRIM(Enginuity!$A$18),
      AND(UPPER(TRIM(M3597))="STD", TRIM(B3597)=TRIM(Enginuity!$A$17))
    ),
    OR(
      AND(LEFT(P3597,5)="1-Way", Enginuity!$B$13=1),
      AND(LEFT(P3597,5)="2-Way", OR(Enginuity!$B$13=2, Enginuity!$B$13=4)),
      AND(LEFT(P3597,5)="3-Way", OR(Enginuity!$B$13=3, Enginuity!$B$13=6)),
      AND(P3597="Inner Centre Jamb", OR(Enginuity!$B$13=4, Enginuity!$B$13=6)),
      AND(
        LEFT(P3597,5)&lt;&gt;"1-Way",
        LEFT(P3597,5)&lt;&gt;"2-Way",
        LEFT(P3597,5)&lt;&gt;"3-Way",
        P3597&lt;&gt;"Inner Centre Jamb"
      )
    ),
    IF(OR(Enginuity!$A$1="Frameless Glass",Enginuity!$A$1="Metal Work"),
      AND(TRIM(B3597)=TRIM(Enginuity!$A$17),TRIM(C3597)=TRIM(Enginuity!$A$18)),
      TRIM(B3597)=TRIM(Enginuity!$A$17)
    )
  ),
  ROW(),
  ""
)</f>
        <v/>
      </c>
    </row>
    <row r="3598" spans="21:21" x14ac:dyDescent="0.25">
      <c r="U3598" s="104" t="str">
        <f>IF(
  AND(
    TRIM(A3598)=TRIM(Enginuity!$A$1),
    TRIM(B3598)=TRIM(Enginuity!$A$17),
    Q3598&lt;&gt;"",
    Q3598&lt;&gt;0,
    OR(
      TRIM(C3598)=TRIM(Enginuity!$A$18),
      AND(UPPER(TRIM(M3598))="STD", TRIM(B3598)=TRIM(Enginuity!$A$17))
    ),
    OR(
      AND(LEFT(P3598,5)="1-Way", Enginuity!$B$13=1),
      AND(LEFT(P3598,5)="2-Way", OR(Enginuity!$B$13=2, Enginuity!$B$13=4)),
      AND(LEFT(P3598,5)="3-Way", OR(Enginuity!$B$13=3, Enginuity!$B$13=6)),
      AND(P3598="Inner Centre Jamb", OR(Enginuity!$B$13=4, Enginuity!$B$13=6)),
      AND(
        LEFT(P3598,5)&lt;&gt;"1-Way",
        LEFT(P3598,5)&lt;&gt;"2-Way",
        LEFT(P3598,5)&lt;&gt;"3-Way",
        P3598&lt;&gt;"Inner Centre Jamb"
      )
    ),
    IF(OR(Enginuity!$A$1="Frameless Glass",Enginuity!$A$1="Metal Work"),
      AND(TRIM(B3598)=TRIM(Enginuity!$A$17),TRIM(C3598)=TRIM(Enginuity!$A$18)),
      TRIM(B3598)=TRIM(Enginuity!$A$17)
    )
  ),
  ROW(),
  ""
)</f>
        <v/>
      </c>
    </row>
    <row r="3599" spans="21:21" x14ac:dyDescent="0.25">
      <c r="U3599" s="104" t="str">
        <f>IF(
  AND(
    TRIM(A3599)=TRIM(Enginuity!$A$1),
    TRIM(B3599)=TRIM(Enginuity!$A$17),
    Q3599&lt;&gt;"",
    Q3599&lt;&gt;0,
    OR(
      TRIM(C3599)=TRIM(Enginuity!$A$18),
      AND(UPPER(TRIM(M3599))="STD", TRIM(B3599)=TRIM(Enginuity!$A$17))
    ),
    OR(
      AND(LEFT(P3599,5)="1-Way", Enginuity!$B$13=1),
      AND(LEFT(P3599,5)="2-Way", OR(Enginuity!$B$13=2, Enginuity!$B$13=4)),
      AND(LEFT(P3599,5)="3-Way", OR(Enginuity!$B$13=3, Enginuity!$B$13=6)),
      AND(P3599="Inner Centre Jamb", OR(Enginuity!$B$13=4, Enginuity!$B$13=6)),
      AND(
        LEFT(P3599,5)&lt;&gt;"1-Way",
        LEFT(P3599,5)&lt;&gt;"2-Way",
        LEFT(P3599,5)&lt;&gt;"3-Way",
        P3599&lt;&gt;"Inner Centre Jamb"
      )
    ),
    IF(OR(Enginuity!$A$1="Frameless Glass",Enginuity!$A$1="Metal Work"),
      AND(TRIM(B3599)=TRIM(Enginuity!$A$17),TRIM(C3599)=TRIM(Enginuity!$A$18)),
      TRIM(B3599)=TRIM(Enginuity!$A$17)
    )
  ),
  ROW(),
  ""
)</f>
        <v/>
      </c>
    </row>
    <row r="3600" spans="21:21" x14ac:dyDescent="0.25">
      <c r="U3600" s="104" t="str">
        <f>IF(
  AND(
    TRIM(A3600)=TRIM(Enginuity!$A$1),
    TRIM(B3600)=TRIM(Enginuity!$A$17),
    Q3600&lt;&gt;"",
    Q3600&lt;&gt;0,
    OR(
      TRIM(C3600)=TRIM(Enginuity!$A$18),
      AND(UPPER(TRIM(M3600))="STD", TRIM(B3600)=TRIM(Enginuity!$A$17))
    ),
    OR(
      AND(LEFT(P3600,5)="1-Way", Enginuity!$B$13=1),
      AND(LEFT(P3600,5)="2-Way", OR(Enginuity!$B$13=2, Enginuity!$B$13=4)),
      AND(LEFT(P3600,5)="3-Way", OR(Enginuity!$B$13=3, Enginuity!$B$13=6)),
      AND(P3600="Inner Centre Jamb", OR(Enginuity!$B$13=4, Enginuity!$B$13=6)),
      AND(
        LEFT(P3600,5)&lt;&gt;"1-Way",
        LEFT(P3600,5)&lt;&gt;"2-Way",
        LEFT(P3600,5)&lt;&gt;"3-Way",
        P3600&lt;&gt;"Inner Centre Jamb"
      )
    ),
    IF(OR(Enginuity!$A$1="Frameless Glass",Enginuity!$A$1="Metal Work"),
      AND(TRIM(B3600)=TRIM(Enginuity!$A$17),TRIM(C3600)=TRIM(Enginuity!$A$18)),
      TRIM(B3600)=TRIM(Enginuity!$A$17)
    )
  ),
  ROW(),
  ""
)</f>
        <v/>
      </c>
    </row>
    <row r="3601" spans="21:21" x14ac:dyDescent="0.25">
      <c r="U3601" s="104" t="str">
        <f>IF(
  AND(
    TRIM(A3601)=TRIM(Enginuity!$A$1),
    TRIM(B3601)=TRIM(Enginuity!$A$17),
    Q3601&lt;&gt;"",
    Q3601&lt;&gt;0,
    OR(
      TRIM(C3601)=TRIM(Enginuity!$A$18),
      AND(UPPER(TRIM(M3601))="STD", TRIM(B3601)=TRIM(Enginuity!$A$17))
    ),
    OR(
      AND(LEFT(P3601,5)="1-Way", Enginuity!$B$13=1),
      AND(LEFT(P3601,5)="2-Way", OR(Enginuity!$B$13=2, Enginuity!$B$13=4)),
      AND(LEFT(P3601,5)="3-Way", OR(Enginuity!$B$13=3, Enginuity!$B$13=6)),
      AND(P3601="Inner Centre Jamb", OR(Enginuity!$B$13=4, Enginuity!$B$13=6)),
      AND(
        LEFT(P3601,5)&lt;&gt;"1-Way",
        LEFT(P3601,5)&lt;&gt;"2-Way",
        LEFT(P3601,5)&lt;&gt;"3-Way",
        P3601&lt;&gt;"Inner Centre Jamb"
      )
    ),
    IF(OR(Enginuity!$A$1="Frameless Glass",Enginuity!$A$1="Metal Work"),
      AND(TRIM(B3601)=TRIM(Enginuity!$A$17),TRIM(C3601)=TRIM(Enginuity!$A$18)),
      TRIM(B3601)=TRIM(Enginuity!$A$17)
    )
  ),
  ROW(),
  ""
)</f>
        <v/>
      </c>
    </row>
    <row r="3602" spans="21:21" x14ac:dyDescent="0.25">
      <c r="U3602" s="104" t="str">
        <f>IF(
  AND(
    TRIM(A3602)=TRIM(Enginuity!$A$1),
    TRIM(B3602)=TRIM(Enginuity!$A$17),
    Q3602&lt;&gt;"",
    Q3602&lt;&gt;0,
    OR(
      TRIM(C3602)=TRIM(Enginuity!$A$18),
      AND(UPPER(TRIM(M3602))="STD", TRIM(B3602)=TRIM(Enginuity!$A$17))
    ),
    OR(
      AND(LEFT(P3602,5)="1-Way", Enginuity!$B$13=1),
      AND(LEFT(P3602,5)="2-Way", OR(Enginuity!$B$13=2, Enginuity!$B$13=4)),
      AND(LEFT(P3602,5)="3-Way", OR(Enginuity!$B$13=3, Enginuity!$B$13=6)),
      AND(P3602="Inner Centre Jamb", OR(Enginuity!$B$13=4, Enginuity!$B$13=6)),
      AND(
        LEFT(P3602,5)&lt;&gt;"1-Way",
        LEFT(P3602,5)&lt;&gt;"2-Way",
        LEFT(P3602,5)&lt;&gt;"3-Way",
        P3602&lt;&gt;"Inner Centre Jamb"
      )
    ),
    IF(OR(Enginuity!$A$1="Frameless Glass",Enginuity!$A$1="Metal Work"),
      AND(TRIM(B3602)=TRIM(Enginuity!$A$17),TRIM(C3602)=TRIM(Enginuity!$A$18)),
      TRIM(B3602)=TRIM(Enginuity!$A$17)
    )
  ),
  ROW(),
  ""
)</f>
        <v/>
      </c>
    </row>
    <row r="3603" spans="21:21" x14ac:dyDescent="0.25">
      <c r="U3603" s="104" t="str">
        <f>IF(
  AND(
    TRIM(A3603)=TRIM(Enginuity!$A$1),
    TRIM(B3603)=TRIM(Enginuity!$A$17),
    Q3603&lt;&gt;"",
    Q3603&lt;&gt;0,
    OR(
      TRIM(C3603)=TRIM(Enginuity!$A$18),
      AND(UPPER(TRIM(M3603))="STD", TRIM(B3603)=TRIM(Enginuity!$A$17))
    ),
    OR(
      AND(LEFT(P3603,5)="1-Way", Enginuity!$B$13=1),
      AND(LEFT(P3603,5)="2-Way", OR(Enginuity!$B$13=2, Enginuity!$B$13=4)),
      AND(LEFT(P3603,5)="3-Way", OR(Enginuity!$B$13=3, Enginuity!$B$13=6)),
      AND(P3603="Inner Centre Jamb", OR(Enginuity!$B$13=4, Enginuity!$B$13=6)),
      AND(
        LEFT(P3603,5)&lt;&gt;"1-Way",
        LEFT(P3603,5)&lt;&gt;"2-Way",
        LEFT(P3603,5)&lt;&gt;"3-Way",
        P3603&lt;&gt;"Inner Centre Jamb"
      )
    ),
    IF(OR(Enginuity!$A$1="Frameless Glass",Enginuity!$A$1="Metal Work"),
      AND(TRIM(B3603)=TRIM(Enginuity!$A$17),TRIM(C3603)=TRIM(Enginuity!$A$18)),
      TRIM(B3603)=TRIM(Enginuity!$A$17)
    )
  ),
  ROW(),
  ""
)</f>
        <v/>
      </c>
    </row>
    <row r="3604" spans="21:21" x14ac:dyDescent="0.25">
      <c r="U3604" s="104" t="str">
        <f>IF(
  AND(
    TRIM(A3604)=TRIM(Enginuity!$A$1),
    TRIM(B3604)=TRIM(Enginuity!$A$17),
    Q3604&lt;&gt;"",
    Q3604&lt;&gt;0,
    OR(
      TRIM(C3604)=TRIM(Enginuity!$A$18),
      AND(UPPER(TRIM(M3604))="STD", TRIM(B3604)=TRIM(Enginuity!$A$17))
    ),
    OR(
      AND(LEFT(P3604,5)="1-Way", Enginuity!$B$13=1),
      AND(LEFT(P3604,5)="2-Way", OR(Enginuity!$B$13=2, Enginuity!$B$13=4)),
      AND(LEFT(P3604,5)="3-Way", OR(Enginuity!$B$13=3, Enginuity!$B$13=6)),
      AND(P3604="Inner Centre Jamb", OR(Enginuity!$B$13=4, Enginuity!$B$13=6)),
      AND(
        LEFT(P3604,5)&lt;&gt;"1-Way",
        LEFT(P3604,5)&lt;&gt;"2-Way",
        LEFT(P3604,5)&lt;&gt;"3-Way",
        P3604&lt;&gt;"Inner Centre Jamb"
      )
    ),
    IF(OR(Enginuity!$A$1="Frameless Glass",Enginuity!$A$1="Metal Work"),
      AND(TRIM(B3604)=TRIM(Enginuity!$A$17),TRIM(C3604)=TRIM(Enginuity!$A$18)),
      TRIM(B3604)=TRIM(Enginuity!$A$17)
    )
  ),
  ROW(),
  ""
)</f>
        <v/>
      </c>
    </row>
    <row r="3605" spans="21:21" x14ac:dyDescent="0.25">
      <c r="U3605" s="104" t="str">
        <f>IF(
  AND(
    TRIM(A3605)=TRIM(Enginuity!$A$1),
    TRIM(B3605)=TRIM(Enginuity!$A$17),
    Q3605&lt;&gt;"",
    Q3605&lt;&gt;0,
    OR(
      TRIM(C3605)=TRIM(Enginuity!$A$18),
      AND(UPPER(TRIM(M3605))="STD", TRIM(B3605)=TRIM(Enginuity!$A$17))
    ),
    OR(
      AND(LEFT(P3605,5)="1-Way", Enginuity!$B$13=1),
      AND(LEFT(P3605,5)="2-Way", OR(Enginuity!$B$13=2, Enginuity!$B$13=4)),
      AND(LEFT(P3605,5)="3-Way", OR(Enginuity!$B$13=3, Enginuity!$B$13=6)),
      AND(P3605="Inner Centre Jamb", OR(Enginuity!$B$13=4, Enginuity!$B$13=6)),
      AND(
        LEFT(P3605,5)&lt;&gt;"1-Way",
        LEFT(P3605,5)&lt;&gt;"2-Way",
        LEFT(P3605,5)&lt;&gt;"3-Way",
        P3605&lt;&gt;"Inner Centre Jamb"
      )
    ),
    IF(OR(Enginuity!$A$1="Frameless Glass",Enginuity!$A$1="Metal Work"),
      AND(TRIM(B3605)=TRIM(Enginuity!$A$17),TRIM(C3605)=TRIM(Enginuity!$A$18)),
      TRIM(B3605)=TRIM(Enginuity!$A$17)
    )
  ),
  ROW(),
  ""
)</f>
        <v/>
      </c>
    </row>
    <row r="3606" spans="21:21" x14ac:dyDescent="0.25">
      <c r="U3606" s="104" t="str">
        <f>IF(
  AND(
    TRIM(A3606)=TRIM(Enginuity!$A$1),
    TRIM(B3606)=TRIM(Enginuity!$A$17),
    Q3606&lt;&gt;"",
    Q3606&lt;&gt;0,
    OR(
      TRIM(C3606)=TRIM(Enginuity!$A$18),
      AND(UPPER(TRIM(M3606))="STD", TRIM(B3606)=TRIM(Enginuity!$A$17))
    ),
    OR(
      AND(LEFT(P3606,5)="1-Way", Enginuity!$B$13=1),
      AND(LEFT(P3606,5)="2-Way", OR(Enginuity!$B$13=2, Enginuity!$B$13=4)),
      AND(LEFT(P3606,5)="3-Way", OR(Enginuity!$B$13=3, Enginuity!$B$13=6)),
      AND(P3606="Inner Centre Jamb", OR(Enginuity!$B$13=4, Enginuity!$B$13=6)),
      AND(
        LEFT(P3606,5)&lt;&gt;"1-Way",
        LEFT(P3606,5)&lt;&gt;"2-Way",
        LEFT(P3606,5)&lt;&gt;"3-Way",
        P3606&lt;&gt;"Inner Centre Jamb"
      )
    ),
    IF(OR(Enginuity!$A$1="Frameless Glass",Enginuity!$A$1="Metal Work"),
      AND(TRIM(B3606)=TRIM(Enginuity!$A$17),TRIM(C3606)=TRIM(Enginuity!$A$18)),
      TRIM(B3606)=TRIM(Enginuity!$A$17)
    )
  ),
  ROW(),
  ""
)</f>
        <v/>
      </c>
    </row>
    <row r="3607" spans="21:21" x14ac:dyDescent="0.25">
      <c r="U3607" s="104" t="str">
        <f>IF(
  AND(
    TRIM(A3607)=TRIM(Enginuity!$A$1),
    TRIM(B3607)=TRIM(Enginuity!$A$17),
    Q3607&lt;&gt;"",
    Q3607&lt;&gt;0,
    OR(
      TRIM(C3607)=TRIM(Enginuity!$A$18),
      AND(UPPER(TRIM(M3607))="STD", TRIM(B3607)=TRIM(Enginuity!$A$17))
    ),
    OR(
      AND(LEFT(P3607,5)="1-Way", Enginuity!$B$13=1),
      AND(LEFT(P3607,5)="2-Way", OR(Enginuity!$B$13=2, Enginuity!$B$13=4)),
      AND(LEFT(P3607,5)="3-Way", OR(Enginuity!$B$13=3, Enginuity!$B$13=6)),
      AND(P3607="Inner Centre Jamb", OR(Enginuity!$B$13=4, Enginuity!$B$13=6)),
      AND(
        LEFT(P3607,5)&lt;&gt;"1-Way",
        LEFT(P3607,5)&lt;&gt;"2-Way",
        LEFT(P3607,5)&lt;&gt;"3-Way",
        P3607&lt;&gt;"Inner Centre Jamb"
      )
    ),
    IF(OR(Enginuity!$A$1="Frameless Glass",Enginuity!$A$1="Metal Work"),
      AND(TRIM(B3607)=TRIM(Enginuity!$A$17),TRIM(C3607)=TRIM(Enginuity!$A$18)),
      TRIM(B3607)=TRIM(Enginuity!$A$17)
    )
  ),
  ROW(),
  ""
)</f>
        <v/>
      </c>
    </row>
    <row r="3608" spans="21:21" x14ac:dyDescent="0.25">
      <c r="U3608" s="104" t="str">
        <f>IF(
  AND(
    TRIM(A3608)=TRIM(Enginuity!$A$1),
    TRIM(B3608)=TRIM(Enginuity!$A$17),
    Q3608&lt;&gt;"",
    Q3608&lt;&gt;0,
    OR(
      TRIM(C3608)=TRIM(Enginuity!$A$18),
      AND(UPPER(TRIM(M3608))="STD", TRIM(B3608)=TRIM(Enginuity!$A$17))
    ),
    OR(
      AND(LEFT(P3608,5)="1-Way", Enginuity!$B$13=1),
      AND(LEFT(P3608,5)="2-Way", OR(Enginuity!$B$13=2, Enginuity!$B$13=4)),
      AND(LEFT(P3608,5)="3-Way", OR(Enginuity!$B$13=3, Enginuity!$B$13=6)),
      AND(P3608="Inner Centre Jamb", OR(Enginuity!$B$13=4, Enginuity!$B$13=6)),
      AND(
        LEFT(P3608,5)&lt;&gt;"1-Way",
        LEFT(P3608,5)&lt;&gt;"2-Way",
        LEFT(P3608,5)&lt;&gt;"3-Way",
        P3608&lt;&gt;"Inner Centre Jamb"
      )
    ),
    IF(OR(Enginuity!$A$1="Frameless Glass",Enginuity!$A$1="Metal Work"),
      AND(TRIM(B3608)=TRIM(Enginuity!$A$17),TRIM(C3608)=TRIM(Enginuity!$A$18)),
      TRIM(B3608)=TRIM(Enginuity!$A$17)
    )
  ),
  ROW(),
  ""
)</f>
        <v/>
      </c>
    </row>
    <row r="3609" spans="21:21" x14ac:dyDescent="0.25">
      <c r="U3609" s="104" t="str">
        <f>IF(
  AND(
    TRIM(A3609)=TRIM(Enginuity!$A$1),
    TRIM(B3609)=TRIM(Enginuity!$A$17),
    Q3609&lt;&gt;"",
    Q3609&lt;&gt;0,
    OR(
      TRIM(C3609)=TRIM(Enginuity!$A$18),
      AND(UPPER(TRIM(M3609))="STD", TRIM(B3609)=TRIM(Enginuity!$A$17))
    ),
    OR(
      AND(LEFT(P3609,5)="1-Way", Enginuity!$B$13=1),
      AND(LEFT(P3609,5)="2-Way", OR(Enginuity!$B$13=2, Enginuity!$B$13=4)),
      AND(LEFT(P3609,5)="3-Way", OR(Enginuity!$B$13=3, Enginuity!$B$13=6)),
      AND(P3609="Inner Centre Jamb", OR(Enginuity!$B$13=4, Enginuity!$B$13=6)),
      AND(
        LEFT(P3609,5)&lt;&gt;"1-Way",
        LEFT(P3609,5)&lt;&gt;"2-Way",
        LEFT(P3609,5)&lt;&gt;"3-Way",
        P3609&lt;&gt;"Inner Centre Jamb"
      )
    ),
    IF(OR(Enginuity!$A$1="Frameless Glass",Enginuity!$A$1="Metal Work"),
      AND(TRIM(B3609)=TRIM(Enginuity!$A$17),TRIM(C3609)=TRIM(Enginuity!$A$18)),
      TRIM(B3609)=TRIM(Enginuity!$A$17)
    )
  ),
  ROW(),
  ""
)</f>
        <v/>
      </c>
    </row>
    <row r="3610" spans="21:21" x14ac:dyDescent="0.25">
      <c r="U3610" s="104" t="str">
        <f>IF(
  AND(
    TRIM(A3610)=TRIM(Enginuity!$A$1),
    TRIM(B3610)=TRIM(Enginuity!$A$17),
    Q3610&lt;&gt;"",
    Q3610&lt;&gt;0,
    OR(
      TRIM(C3610)=TRIM(Enginuity!$A$18),
      AND(UPPER(TRIM(M3610))="STD", TRIM(B3610)=TRIM(Enginuity!$A$17))
    ),
    OR(
      AND(LEFT(P3610,5)="1-Way", Enginuity!$B$13=1),
      AND(LEFT(P3610,5)="2-Way", OR(Enginuity!$B$13=2, Enginuity!$B$13=4)),
      AND(LEFT(P3610,5)="3-Way", OR(Enginuity!$B$13=3, Enginuity!$B$13=6)),
      AND(P3610="Inner Centre Jamb", OR(Enginuity!$B$13=4, Enginuity!$B$13=6)),
      AND(
        LEFT(P3610,5)&lt;&gt;"1-Way",
        LEFT(P3610,5)&lt;&gt;"2-Way",
        LEFT(P3610,5)&lt;&gt;"3-Way",
        P3610&lt;&gt;"Inner Centre Jamb"
      )
    ),
    IF(OR(Enginuity!$A$1="Frameless Glass",Enginuity!$A$1="Metal Work"),
      AND(TRIM(B3610)=TRIM(Enginuity!$A$17),TRIM(C3610)=TRIM(Enginuity!$A$18)),
      TRIM(B3610)=TRIM(Enginuity!$A$17)
    )
  ),
  ROW(),
  ""
)</f>
        <v/>
      </c>
    </row>
    <row r="3611" spans="21:21" x14ac:dyDescent="0.25">
      <c r="U3611" s="104" t="str">
        <f>IF(
  AND(
    TRIM(A3611)=TRIM(Enginuity!$A$1),
    TRIM(B3611)=TRIM(Enginuity!$A$17),
    Q3611&lt;&gt;"",
    Q3611&lt;&gt;0,
    OR(
      TRIM(C3611)=TRIM(Enginuity!$A$18),
      AND(UPPER(TRIM(M3611))="STD", TRIM(B3611)=TRIM(Enginuity!$A$17))
    ),
    OR(
      AND(LEFT(P3611,5)="1-Way", Enginuity!$B$13=1),
      AND(LEFT(P3611,5)="2-Way", OR(Enginuity!$B$13=2, Enginuity!$B$13=4)),
      AND(LEFT(P3611,5)="3-Way", OR(Enginuity!$B$13=3, Enginuity!$B$13=6)),
      AND(P3611="Inner Centre Jamb", OR(Enginuity!$B$13=4, Enginuity!$B$13=6)),
      AND(
        LEFT(P3611,5)&lt;&gt;"1-Way",
        LEFT(P3611,5)&lt;&gt;"2-Way",
        LEFT(P3611,5)&lt;&gt;"3-Way",
        P3611&lt;&gt;"Inner Centre Jamb"
      )
    ),
    IF(OR(Enginuity!$A$1="Frameless Glass",Enginuity!$A$1="Metal Work"),
      AND(TRIM(B3611)=TRIM(Enginuity!$A$17),TRIM(C3611)=TRIM(Enginuity!$A$18)),
      TRIM(B3611)=TRIM(Enginuity!$A$17)
    )
  ),
  ROW(),
  ""
)</f>
        <v/>
      </c>
    </row>
    <row r="3612" spans="21:21" x14ac:dyDescent="0.25">
      <c r="U3612" s="104" t="str">
        <f>IF(
  AND(
    TRIM(A3612)=TRIM(Enginuity!$A$1),
    TRIM(B3612)=TRIM(Enginuity!$A$17),
    Q3612&lt;&gt;"",
    Q3612&lt;&gt;0,
    OR(
      TRIM(C3612)=TRIM(Enginuity!$A$18),
      AND(UPPER(TRIM(M3612))="STD", TRIM(B3612)=TRIM(Enginuity!$A$17))
    ),
    OR(
      AND(LEFT(P3612,5)="1-Way", Enginuity!$B$13=1),
      AND(LEFT(P3612,5)="2-Way", OR(Enginuity!$B$13=2, Enginuity!$B$13=4)),
      AND(LEFT(P3612,5)="3-Way", OR(Enginuity!$B$13=3, Enginuity!$B$13=6)),
      AND(P3612="Inner Centre Jamb", OR(Enginuity!$B$13=4, Enginuity!$B$13=6)),
      AND(
        LEFT(P3612,5)&lt;&gt;"1-Way",
        LEFT(P3612,5)&lt;&gt;"2-Way",
        LEFT(P3612,5)&lt;&gt;"3-Way",
        P3612&lt;&gt;"Inner Centre Jamb"
      )
    ),
    IF(OR(Enginuity!$A$1="Frameless Glass",Enginuity!$A$1="Metal Work"),
      AND(TRIM(B3612)=TRIM(Enginuity!$A$17),TRIM(C3612)=TRIM(Enginuity!$A$18)),
      TRIM(B3612)=TRIM(Enginuity!$A$17)
    )
  ),
  ROW(),
  ""
)</f>
        <v/>
      </c>
    </row>
    <row r="3613" spans="21:21" x14ac:dyDescent="0.25">
      <c r="U3613" s="104" t="str">
        <f>IF(
  AND(
    TRIM(A3613)=TRIM(Enginuity!$A$1),
    TRIM(B3613)=TRIM(Enginuity!$A$17),
    Q3613&lt;&gt;"",
    Q3613&lt;&gt;0,
    OR(
      TRIM(C3613)=TRIM(Enginuity!$A$18),
      AND(UPPER(TRIM(M3613))="STD", TRIM(B3613)=TRIM(Enginuity!$A$17))
    ),
    OR(
      AND(LEFT(P3613,5)="1-Way", Enginuity!$B$13=1),
      AND(LEFT(P3613,5)="2-Way", OR(Enginuity!$B$13=2, Enginuity!$B$13=4)),
      AND(LEFT(P3613,5)="3-Way", OR(Enginuity!$B$13=3, Enginuity!$B$13=6)),
      AND(P3613="Inner Centre Jamb", OR(Enginuity!$B$13=4, Enginuity!$B$13=6)),
      AND(
        LEFT(P3613,5)&lt;&gt;"1-Way",
        LEFT(P3613,5)&lt;&gt;"2-Way",
        LEFT(P3613,5)&lt;&gt;"3-Way",
        P3613&lt;&gt;"Inner Centre Jamb"
      )
    ),
    IF(OR(Enginuity!$A$1="Frameless Glass",Enginuity!$A$1="Metal Work"),
      AND(TRIM(B3613)=TRIM(Enginuity!$A$17),TRIM(C3613)=TRIM(Enginuity!$A$18)),
      TRIM(B3613)=TRIM(Enginuity!$A$17)
    )
  ),
  ROW(),
  ""
)</f>
        <v/>
      </c>
    </row>
    <row r="3614" spans="21:21" x14ac:dyDescent="0.25">
      <c r="U3614" s="104" t="str">
        <f>IF(
  AND(
    TRIM(A3614)=TRIM(Enginuity!$A$1),
    TRIM(B3614)=TRIM(Enginuity!$A$17),
    Q3614&lt;&gt;"",
    Q3614&lt;&gt;0,
    OR(
      TRIM(C3614)=TRIM(Enginuity!$A$18),
      AND(UPPER(TRIM(M3614))="STD", TRIM(B3614)=TRIM(Enginuity!$A$17))
    ),
    OR(
      AND(LEFT(P3614,5)="1-Way", Enginuity!$B$13=1),
      AND(LEFT(P3614,5)="2-Way", OR(Enginuity!$B$13=2, Enginuity!$B$13=4)),
      AND(LEFT(P3614,5)="3-Way", OR(Enginuity!$B$13=3, Enginuity!$B$13=6)),
      AND(P3614="Inner Centre Jamb", OR(Enginuity!$B$13=4, Enginuity!$B$13=6)),
      AND(
        LEFT(P3614,5)&lt;&gt;"1-Way",
        LEFT(P3614,5)&lt;&gt;"2-Way",
        LEFT(P3614,5)&lt;&gt;"3-Way",
        P3614&lt;&gt;"Inner Centre Jamb"
      )
    ),
    IF(OR(Enginuity!$A$1="Frameless Glass",Enginuity!$A$1="Metal Work"),
      AND(TRIM(B3614)=TRIM(Enginuity!$A$17),TRIM(C3614)=TRIM(Enginuity!$A$18)),
      TRIM(B3614)=TRIM(Enginuity!$A$17)
    )
  ),
  ROW(),
  ""
)</f>
        <v/>
      </c>
    </row>
    <row r="3615" spans="21:21" x14ac:dyDescent="0.25">
      <c r="U3615" s="104" t="str">
        <f>IF(
  AND(
    TRIM(A3615)=TRIM(Enginuity!$A$1),
    TRIM(B3615)=TRIM(Enginuity!$A$17),
    Q3615&lt;&gt;"",
    Q3615&lt;&gt;0,
    OR(
      TRIM(C3615)=TRIM(Enginuity!$A$18),
      AND(UPPER(TRIM(M3615))="STD", TRIM(B3615)=TRIM(Enginuity!$A$17))
    ),
    OR(
      AND(LEFT(P3615,5)="1-Way", Enginuity!$B$13=1),
      AND(LEFT(P3615,5)="2-Way", OR(Enginuity!$B$13=2, Enginuity!$B$13=4)),
      AND(LEFT(P3615,5)="3-Way", OR(Enginuity!$B$13=3, Enginuity!$B$13=6)),
      AND(P3615="Inner Centre Jamb", OR(Enginuity!$B$13=4, Enginuity!$B$13=6)),
      AND(
        LEFT(P3615,5)&lt;&gt;"1-Way",
        LEFT(P3615,5)&lt;&gt;"2-Way",
        LEFT(P3615,5)&lt;&gt;"3-Way",
        P3615&lt;&gt;"Inner Centre Jamb"
      )
    ),
    IF(OR(Enginuity!$A$1="Frameless Glass",Enginuity!$A$1="Metal Work"),
      AND(TRIM(B3615)=TRIM(Enginuity!$A$17),TRIM(C3615)=TRIM(Enginuity!$A$18)),
      TRIM(B3615)=TRIM(Enginuity!$A$17)
    )
  ),
  ROW(),
  ""
)</f>
        <v/>
      </c>
    </row>
    <row r="3616" spans="21:21" x14ac:dyDescent="0.25">
      <c r="U3616" s="104" t="str">
        <f>IF(
  AND(
    TRIM(A3616)=TRIM(Enginuity!$A$1),
    TRIM(B3616)=TRIM(Enginuity!$A$17),
    Q3616&lt;&gt;"",
    Q3616&lt;&gt;0,
    OR(
      TRIM(C3616)=TRIM(Enginuity!$A$18),
      AND(UPPER(TRIM(M3616))="STD", TRIM(B3616)=TRIM(Enginuity!$A$17))
    ),
    OR(
      AND(LEFT(P3616,5)="1-Way", Enginuity!$B$13=1),
      AND(LEFT(P3616,5)="2-Way", OR(Enginuity!$B$13=2, Enginuity!$B$13=4)),
      AND(LEFT(P3616,5)="3-Way", OR(Enginuity!$B$13=3, Enginuity!$B$13=6)),
      AND(P3616="Inner Centre Jamb", OR(Enginuity!$B$13=4, Enginuity!$B$13=6)),
      AND(
        LEFT(P3616,5)&lt;&gt;"1-Way",
        LEFT(P3616,5)&lt;&gt;"2-Way",
        LEFT(P3616,5)&lt;&gt;"3-Way",
        P3616&lt;&gt;"Inner Centre Jamb"
      )
    ),
    IF(OR(Enginuity!$A$1="Frameless Glass",Enginuity!$A$1="Metal Work"),
      AND(TRIM(B3616)=TRIM(Enginuity!$A$17),TRIM(C3616)=TRIM(Enginuity!$A$18)),
      TRIM(B3616)=TRIM(Enginuity!$A$17)
    )
  ),
  ROW(),
  ""
)</f>
        <v/>
      </c>
    </row>
    <row r="3617" spans="21:21" x14ac:dyDescent="0.25">
      <c r="U3617" s="104" t="str">
        <f>IF(
  AND(
    TRIM(A3617)=TRIM(Enginuity!$A$1),
    TRIM(B3617)=TRIM(Enginuity!$A$17),
    Q3617&lt;&gt;"",
    Q3617&lt;&gt;0,
    OR(
      TRIM(C3617)=TRIM(Enginuity!$A$18),
      AND(UPPER(TRIM(M3617))="STD", TRIM(B3617)=TRIM(Enginuity!$A$17))
    ),
    OR(
      AND(LEFT(P3617,5)="1-Way", Enginuity!$B$13=1),
      AND(LEFT(P3617,5)="2-Way", OR(Enginuity!$B$13=2, Enginuity!$B$13=4)),
      AND(LEFT(P3617,5)="3-Way", OR(Enginuity!$B$13=3, Enginuity!$B$13=6)),
      AND(P3617="Inner Centre Jamb", OR(Enginuity!$B$13=4, Enginuity!$B$13=6)),
      AND(
        LEFT(P3617,5)&lt;&gt;"1-Way",
        LEFT(P3617,5)&lt;&gt;"2-Way",
        LEFT(P3617,5)&lt;&gt;"3-Way",
        P3617&lt;&gt;"Inner Centre Jamb"
      )
    ),
    IF(OR(Enginuity!$A$1="Frameless Glass",Enginuity!$A$1="Metal Work"),
      AND(TRIM(B3617)=TRIM(Enginuity!$A$17),TRIM(C3617)=TRIM(Enginuity!$A$18)),
      TRIM(B3617)=TRIM(Enginuity!$A$17)
    )
  ),
  ROW(),
  ""
)</f>
        <v/>
      </c>
    </row>
    <row r="3618" spans="21:21" x14ac:dyDescent="0.25">
      <c r="U3618" s="104" t="str">
        <f>IF(
  AND(
    TRIM(A3618)=TRIM(Enginuity!$A$1),
    TRIM(B3618)=TRIM(Enginuity!$A$17),
    Q3618&lt;&gt;"",
    Q3618&lt;&gt;0,
    OR(
      TRIM(C3618)=TRIM(Enginuity!$A$18),
      AND(UPPER(TRIM(M3618))="STD", TRIM(B3618)=TRIM(Enginuity!$A$17))
    ),
    OR(
      AND(LEFT(P3618,5)="1-Way", Enginuity!$B$13=1),
      AND(LEFT(P3618,5)="2-Way", OR(Enginuity!$B$13=2, Enginuity!$B$13=4)),
      AND(LEFT(P3618,5)="3-Way", OR(Enginuity!$B$13=3, Enginuity!$B$13=6)),
      AND(P3618="Inner Centre Jamb", OR(Enginuity!$B$13=4, Enginuity!$B$13=6)),
      AND(
        LEFT(P3618,5)&lt;&gt;"1-Way",
        LEFT(P3618,5)&lt;&gt;"2-Way",
        LEFT(P3618,5)&lt;&gt;"3-Way",
        P3618&lt;&gt;"Inner Centre Jamb"
      )
    ),
    IF(OR(Enginuity!$A$1="Frameless Glass",Enginuity!$A$1="Metal Work"),
      AND(TRIM(B3618)=TRIM(Enginuity!$A$17),TRIM(C3618)=TRIM(Enginuity!$A$18)),
      TRIM(B3618)=TRIM(Enginuity!$A$17)
    )
  ),
  ROW(),
  ""
)</f>
        <v/>
      </c>
    </row>
    <row r="3619" spans="21:21" x14ac:dyDescent="0.25">
      <c r="U3619" s="104" t="str">
        <f>IF(
  AND(
    TRIM(A3619)=TRIM(Enginuity!$A$1),
    TRIM(B3619)=TRIM(Enginuity!$A$17),
    Q3619&lt;&gt;"",
    Q3619&lt;&gt;0,
    OR(
      TRIM(C3619)=TRIM(Enginuity!$A$18),
      AND(UPPER(TRIM(M3619))="STD", TRIM(B3619)=TRIM(Enginuity!$A$17))
    ),
    OR(
      AND(LEFT(P3619,5)="1-Way", Enginuity!$B$13=1),
      AND(LEFT(P3619,5)="2-Way", OR(Enginuity!$B$13=2, Enginuity!$B$13=4)),
      AND(LEFT(P3619,5)="3-Way", OR(Enginuity!$B$13=3, Enginuity!$B$13=6)),
      AND(P3619="Inner Centre Jamb", OR(Enginuity!$B$13=4, Enginuity!$B$13=6)),
      AND(
        LEFT(P3619,5)&lt;&gt;"1-Way",
        LEFT(P3619,5)&lt;&gt;"2-Way",
        LEFT(P3619,5)&lt;&gt;"3-Way",
        P3619&lt;&gt;"Inner Centre Jamb"
      )
    ),
    IF(OR(Enginuity!$A$1="Frameless Glass",Enginuity!$A$1="Metal Work"),
      AND(TRIM(B3619)=TRIM(Enginuity!$A$17),TRIM(C3619)=TRIM(Enginuity!$A$18)),
      TRIM(B3619)=TRIM(Enginuity!$A$17)
    )
  ),
  ROW(),
  ""
)</f>
        <v/>
      </c>
    </row>
    <row r="3620" spans="21:21" x14ac:dyDescent="0.25">
      <c r="U3620" s="104" t="str">
        <f>IF(
  AND(
    TRIM(A3620)=TRIM(Enginuity!$A$1),
    TRIM(B3620)=TRIM(Enginuity!$A$17),
    Q3620&lt;&gt;"",
    Q3620&lt;&gt;0,
    OR(
      TRIM(C3620)=TRIM(Enginuity!$A$18),
      AND(UPPER(TRIM(M3620))="STD", TRIM(B3620)=TRIM(Enginuity!$A$17))
    ),
    OR(
      AND(LEFT(P3620,5)="1-Way", Enginuity!$B$13=1),
      AND(LEFT(P3620,5)="2-Way", OR(Enginuity!$B$13=2, Enginuity!$B$13=4)),
      AND(LEFT(P3620,5)="3-Way", OR(Enginuity!$B$13=3, Enginuity!$B$13=6)),
      AND(P3620="Inner Centre Jamb", OR(Enginuity!$B$13=4, Enginuity!$B$13=6)),
      AND(
        LEFT(P3620,5)&lt;&gt;"1-Way",
        LEFT(P3620,5)&lt;&gt;"2-Way",
        LEFT(P3620,5)&lt;&gt;"3-Way",
        P3620&lt;&gt;"Inner Centre Jamb"
      )
    ),
    IF(OR(Enginuity!$A$1="Frameless Glass",Enginuity!$A$1="Metal Work"),
      AND(TRIM(B3620)=TRIM(Enginuity!$A$17),TRIM(C3620)=TRIM(Enginuity!$A$18)),
      TRIM(B3620)=TRIM(Enginuity!$A$17)
    )
  ),
  ROW(),
  ""
)</f>
        <v/>
      </c>
    </row>
    <row r="3621" spans="21:21" x14ac:dyDescent="0.25">
      <c r="U3621" s="104" t="str">
        <f>IF(
  AND(
    TRIM(A3621)=TRIM(Enginuity!$A$1),
    TRIM(B3621)=TRIM(Enginuity!$A$17),
    Q3621&lt;&gt;"",
    Q3621&lt;&gt;0,
    OR(
      TRIM(C3621)=TRIM(Enginuity!$A$18),
      AND(UPPER(TRIM(M3621))="STD", TRIM(B3621)=TRIM(Enginuity!$A$17))
    ),
    OR(
      AND(LEFT(P3621,5)="1-Way", Enginuity!$B$13=1),
      AND(LEFT(P3621,5)="2-Way", OR(Enginuity!$B$13=2, Enginuity!$B$13=4)),
      AND(LEFT(P3621,5)="3-Way", OR(Enginuity!$B$13=3, Enginuity!$B$13=6)),
      AND(P3621="Inner Centre Jamb", OR(Enginuity!$B$13=4, Enginuity!$B$13=6)),
      AND(
        LEFT(P3621,5)&lt;&gt;"1-Way",
        LEFT(P3621,5)&lt;&gt;"2-Way",
        LEFT(P3621,5)&lt;&gt;"3-Way",
        P3621&lt;&gt;"Inner Centre Jamb"
      )
    ),
    IF(OR(Enginuity!$A$1="Frameless Glass",Enginuity!$A$1="Metal Work"),
      AND(TRIM(B3621)=TRIM(Enginuity!$A$17),TRIM(C3621)=TRIM(Enginuity!$A$18)),
      TRIM(B3621)=TRIM(Enginuity!$A$17)
    )
  ),
  ROW(),
  ""
)</f>
        <v/>
      </c>
    </row>
    <row r="3622" spans="21:21" x14ac:dyDescent="0.25">
      <c r="U3622" s="104" t="str">
        <f>IF(
  AND(
    TRIM(A3622)=TRIM(Enginuity!$A$1),
    TRIM(B3622)=TRIM(Enginuity!$A$17),
    Q3622&lt;&gt;"",
    Q3622&lt;&gt;0,
    OR(
      TRIM(C3622)=TRIM(Enginuity!$A$18),
      AND(UPPER(TRIM(M3622))="STD", TRIM(B3622)=TRIM(Enginuity!$A$17))
    ),
    OR(
      AND(LEFT(P3622,5)="1-Way", Enginuity!$B$13=1),
      AND(LEFT(P3622,5)="2-Way", OR(Enginuity!$B$13=2, Enginuity!$B$13=4)),
      AND(LEFT(P3622,5)="3-Way", OR(Enginuity!$B$13=3, Enginuity!$B$13=6)),
      AND(P3622="Inner Centre Jamb", OR(Enginuity!$B$13=4, Enginuity!$B$13=6)),
      AND(
        LEFT(P3622,5)&lt;&gt;"1-Way",
        LEFT(P3622,5)&lt;&gt;"2-Way",
        LEFT(P3622,5)&lt;&gt;"3-Way",
        P3622&lt;&gt;"Inner Centre Jamb"
      )
    ),
    IF(OR(Enginuity!$A$1="Frameless Glass",Enginuity!$A$1="Metal Work"),
      AND(TRIM(B3622)=TRIM(Enginuity!$A$17),TRIM(C3622)=TRIM(Enginuity!$A$18)),
      TRIM(B3622)=TRIM(Enginuity!$A$17)
    )
  ),
  ROW(),
  ""
)</f>
        <v/>
      </c>
    </row>
    <row r="3623" spans="21:21" x14ac:dyDescent="0.25">
      <c r="U3623" s="104" t="str">
        <f>IF(
  AND(
    TRIM(A3623)=TRIM(Enginuity!$A$1),
    TRIM(B3623)=TRIM(Enginuity!$A$17),
    Q3623&lt;&gt;"",
    Q3623&lt;&gt;0,
    OR(
      TRIM(C3623)=TRIM(Enginuity!$A$18),
      AND(UPPER(TRIM(M3623))="STD", TRIM(B3623)=TRIM(Enginuity!$A$17))
    ),
    OR(
      AND(LEFT(P3623,5)="1-Way", Enginuity!$B$13=1),
      AND(LEFT(P3623,5)="2-Way", OR(Enginuity!$B$13=2, Enginuity!$B$13=4)),
      AND(LEFT(P3623,5)="3-Way", OR(Enginuity!$B$13=3, Enginuity!$B$13=6)),
      AND(P3623="Inner Centre Jamb", OR(Enginuity!$B$13=4, Enginuity!$B$13=6)),
      AND(
        LEFT(P3623,5)&lt;&gt;"1-Way",
        LEFT(P3623,5)&lt;&gt;"2-Way",
        LEFT(P3623,5)&lt;&gt;"3-Way",
        P3623&lt;&gt;"Inner Centre Jamb"
      )
    ),
    IF(OR(Enginuity!$A$1="Frameless Glass",Enginuity!$A$1="Metal Work"),
      AND(TRIM(B3623)=TRIM(Enginuity!$A$17),TRIM(C3623)=TRIM(Enginuity!$A$18)),
      TRIM(B3623)=TRIM(Enginuity!$A$17)
    )
  ),
  ROW(),
  ""
)</f>
        <v/>
      </c>
    </row>
    <row r="3624" spans="21:21" x14ac:dyDescent="0.25">
      <c r="U3624" s="104" t="str">
        <f>IF(
  AND(
    TRIM(A3624)=TRIM(Enginuity!$A$1),
    TRIM(B3624)=TRIM(Enginuity!$A$17),
    Q3624&lt;&gt;"",
    Q3624&lt;&gt;0,
    OR(
      TRIM(C3624)=TRIM(Enginuity!$A$18),
      AND(UPPER(TRIM(M3624))="STD", TRIM(B3624)=TRIM(Enginuity!$A$17))
    ),
    OR(
      AND(LEFT(P3624,5)="1-Way", Enginuity!$B$13=1),
      AND(LEFT(P3624,5)="2-Way", OR(Enginuity!$B$13=2, Enginuity!$B$13=4)),
      AND(LEFT(P3624,5)="3-Way", OR(Enginuity!$B$13=3, Enginuity!$B$13=6)),
      AND(P3624="Inner Centre Jamb", OR(Enginuity!$B$13=4, Enginuity!$B$13=6)),
      AND(
        LEFT(P3624,5)&lt;&gt;"1-Way",
        LEFT(P3624,5)&lt;&gt;"2-Way",
        LEFT(P3624,5)&lt;&gt;"3-Way",
        P3624&lt;&gt;"Inner Centre Jamb"
      )
    ),
    IF(OR(Enginuity!$A$1="Frameless Glass",Enginuity!$A$1="Metal Work"),
      AND(TRIM(B3624)=TRIM(Enginuity!$A$17),TRIM(C3624)=TRIM(Enginuity!$A$18)),
      TRIM(B3624)=TRIM(Enginuity!$A$17)
    )
  ),
  ROW(),
  ""
)</f>
        <v/>
      </c>
    </row>
    <row r="3625" spans="21:21" x14ac:dyDescent="0.25">
      <c r="U3625" s="104" t="str">
        <f>IF(
  AND(
    TRIM(A3625)=TRIM(Enginuity!$A$1),
    TRIM(B3625)=TRIM(Enginuity!$A$17),
    Q3625&lt;&gt;"",
    Q3625&lt;&gt;0,
    OR(
      TRIM(C3625)=TRIM(Enginuity!$A$18),
      AND(UPPER(TRIM(M3625))="STD", TRIM(B3625)=TRIM(Enginuity!$A$17))
    ),
    OR(
      AND(LEFT(P3625,5)="1-Way", Enginuity!$B$13=1),
      AND(LEFT(P3625,5)="2-Way", OR(Enginuity!$B$13=2, Enginuity!$B$13=4)),
      AND(LEFT(P3625,5)="3-Way", OR(Enginuity!$B$13=3, Enginuity!$B$13=6)),
      AND(P3625="Inner Centre Jamb", OR(Enginuity!$B$13=4, Enginuity!$B$13=6)),
      AND(
        LEFT(P3625,5)&lt;&gt;"1-Way",
        LEFT(P3625,5)&lt;&gt;"2-Way",
        LEFT(P3625,5)&lt;&gt;"3-Way",
        P3625&lt;&gt;"Inner Centre Jamb"
      )
    ),
    IF(OR(Enginuity!$A$1="Frameless Glass",Enginuity!$A$1="Metal Work"),
      AND(TRIM(B3625)=TRIM(Enginuity!$A$17),TRIM(C3625)=TRIM(Enginuity!$A$18)),
      TRIM(B3625)=TRIM(Enginuity!$A$17)
    )
  ),
  ROW(),
  ""
)</f>
        <v/>
      </c>
    </row>
    <row r="3626" spans="21:21" x14ac:dyDescent="0.25">
      <c r="U3626" s="104" t="str">
        <f>IF(
  AND(
    TRIM(A3626)=TRIM(Enginuity!$A$1),
    TRIM(B3626)=TRIM(Enginuity!$A$17),
    Q3626&lt;&gt;"",
    Q3626&lt;&gt;0,
    OR(
      TRIM(C3626)=TRIM(Enginuity!$A$18),
      AND(UPPER(TRIM(M3626))="STD", TRIM(B3626)=TRIM(Enginuity!$A$17))
    ),
    OR(
      AND(LEFT(P3626,5)="1-Way", Enginuity!$B$13=1),
      AND(LEFT(P3626,5)="2-Way", OR(Enginuity!$B$13=2, Enginuity!$B$13=4)),
      AND(LEFT(P3626,5)="3-Way", OR(Enginuity!$B$13=3, Enginuity!$B$13=6)),
      AND(P3626="Inner Centre Jamb", OR(Enginuity!$B$13=4, Enginuity!$B$13=6)),
      AND(
        LEFT(P3626,5)&lt;&gt;"1-Way",
        LEFT(P3626,5)&lt;&gt;"2-Way",
        LEFT(P3626,5)&lt;&gt;"3-Way",
        P3626&lt;&gt;"Inner Centre Jamb"
      )
    ),
    IF(OR(Enginuity!$A$1="Frameless Glass",Enginuity!$A$1="Metal Work"),
      AND(TRIM(B3626)=TRIM(Enginuity!$A$17),TRIM(C3626)=TRIM(Enginuity!$A$18)),
      TRIM(B3626)=TRIM(Enginuity!$A$17)
    )
  ),
  ROW(),
  ""
)</f>
        <v/>
      </c>
    </row>
    <row r="3627" spans="21:21" x14ac:dyDescent="0.25">
      <c r="U3627" s="104" t="str">
        <f>IF(
  AND(
    TRIM(A3627)=TRIM(Enginuity!$A$1),
    TRIM(B3627)=TRIM(Enginuity!$A$17),
    Q3627&lt;&gt;"",
    Q3627&lt;&gt;0,
    OR(
      TRIM(C3627)=TRIM(Enginuity!$A$18),
      AND(UPPER(TRIM(M3627))="STD", TRIM(B3627)=TRIM(Enginuity!$A$17))
    ),
    OR(
      AND(LEFT(P3627,5)="1-Way", Enginuity!$B$13=1),
      AND(LEFT(P3627,5)="2-Way", OR(Enginuity!$B$13=2, Enginuity!$B$13=4)),
      AND(LEFT(P3627,5)="3-Way", OR(Enginuity!$B$13=3, Enginuity!$B$13=6)),
      AND(P3627="Inner Centre Jamb", OR(Enginuity!$B$13=4, Enginuity!$B$13=6)),
      AND(
        LEFT(P3627,5)&lt;&gt;"1-Way",
        LEFT(P3627,5)&lt;&gt;"2-Way",
        LEFT(P3627,5)&lt;&gt;"3-Way",
        P3627&lt;&gt;"Inner Centre Jamb"
      )
    ),
    IF(OR(Enginuity!$A$1="Frameless Glass",Enginuity!$A$1="Metal Work"),
      AND(TRIM(B3627)=TRIM(Enginuity!$A$17),TRIM(C3627)=TRIM(Enginuity!$A$18)),
      TRIM(B3627)=TRIM(Enginuity!$A$17)
    )
  ),
  ROW(),
  ""
)</f>
        <v/>
      </c>
    </row>
    <row r="3628" spans="21:21" x14ac:dyDescent="0.25">
      <c r="U3628" s="104" t="str">
        <f>IF(
  AND(
    TRIM(A3628)=TRIM(Enginuity!$A$1),
    TRIM(B3628)=TRIM(Enginuity!$A$17),
    Q3628&lt;&gt;"",
    Q3628&lt;&gt;0,
    OR(
      TRIM(C3628)=TRIM(Enginuity!$A$18),
      AND(UPPER(TRIM(M3628))="STD", TRIM(B3628)=TRIM(Enginuity!$A$17))
    ),
    OR(
      AND(LEFT(P3628,5)="1-Way", Enginuity!$B$13=1),
      AND(LEFT(P3628,5)="2-Way", OR(Enginuity!$B$13=2, Enginuity!$B$13=4)),
      AND(LEFT(P3628,5)="3-Way", OR(Enginuity!$B$13=3, Enginuity!$B$13=6)),
      AND(P3628="Inner Centre Jamb", OR(Enginuity!$B$13=4, Enginuity!$B$13=6)),
      AND(
        LEFT(P3628,5)&lt;&gt;"1-Way",
        LEFT(P3628,5)&lt;&gt;"2-Way",
        LEFT(P3628,5)&lt;&gt;"3-Way",
        P3628&lt;&gt;"Inner Centre Jamb"
      )
    ),
    IF(OR(Enginuity!$A$1="Frameless Glass",Enginuity!$A$1="Metal Work"),
      AND(TRIM(B3628)=TRIM(Enginuity!$A$17),TRIM(C3628)=TRIM(Enginuity!$A$18)),
      TRIM(B3628)=TRIM(Enginuity!$A$17)
    )
  ),
  ROW(),
  ""
)</f>
        <v/>
      </c>
    </row>
    <row r="3629" spans="21:21" x14ac:dyDescent="0.25">
      <c r="U3629" s="104" t="str">
        <f>IF(
  AND(
    TRIM(A3629)=TRIM(Enginuity!$A$1),
    TRIM(B3629)=TRIM(Enginuity!$A$17),
    Q3629&lt;&gt;"",
    Q3629&lt;&gt;0,
    OR(
      TRIM(C3629)=TRIM(Enginuity!$A$18),
      AND(UPPER(TRIM(M3629))="STD", TRIM(B3629)=TRIM(Enginuity!$A$17))
    ),
    OR(
      AND(LEFT(P3629,5)="1-Way", Enginuity!$B$13=1),
      AND(LEFT(P3629,5)="2-Way", OR(Enginuity!$B$13=2, Enginuity!$B$13=4)),
      AND(LEFT(P3629,5)="3-Way", OR(Enginuity!$B$13=3, Enginuity!$B$13=6)),
      AND(P3629="Inner Centre Jamb", OR(Enginuity!$B$13=4, Enginuity!$B$13=6)),
      AND(
        LEFT(P3629,5)&lt;&gt;"1-Way",
        LEFT(P3629,5)&lt;&gt;"2-Way",
        LEFT(P3629,5)&lt;&gt;"3-Way",
        P3629&lt;&gt;"Inner Centre Jamb"
      )
    ),
    IF(OR(Enginuity!$A$1="Frameless Glass",Enginuity!$A$1="Metal Work"),
      AND(TRIM(B3629)=TRIM(Enginuity!$A$17),TRIM(C3629)=TRIM(Enginuity!$A$18)),
      TRIM(B3629)=TRIM(Enginuity!$A$17)
    )
  ),
  ROW(),
  ""
)</f>
        <v/>
      </c>
    </row>
    <row r="3630" spans="21:21" x14ac:dyDescent="0.25">
      <c r="U3630" s="104" t="str">
        <f>IF(
  AND(
    TRIM(A3630)=TRIM(Enginuity!$A$1),
    TRIM(B3630)=TRIM(Enginuity!$A$17),
    Q3630&lt;&gt;"",
    Q3630&lt;&gt;0,
    OR(
      TRIM(C3630)=TRIM(Enginuity!$A$18),
      AND(UPPER(TRIM(M3630))="STD", TRIM(B3630)=TRIM(Enginuity!$A$17))
    ),
    OR(
      AND(LEFT(P3630,5)="1-Way", Enginuity!$B$13=1),
      AND(LEFT(P3630,5)="2-Way", OR(Enginuity!$B$13=2, Enginuity!$B$13=4)),
      AND(LEFT(P3630,5)="3-Way", OR(Enginuity!$B$13=3, Enginuity!$B$13=6)),
      AND(P3630="Inner Centre Jamb", OR(Enginuity!$B$13=4, Enginuity!$B$13=6)),
      AND(
        LEFT(P3630,5)&lt;&gt;"1-Way",
        LEFT(P3630,5)&lt;&gt;"2-Way",
        LEFT(P3630,5)&lt;&gt;"3-Way",
        P3630&lt;&gt;"Inner Centre Jamb"
      )
    ),
    IF(OR(Enginuity!$A$1="Frameless Glass",Enginuity!$A$1="Metal Work"),
      AND(TRIM(B3630)=TRIM(Enginuity!$A$17),TRIM(C3630)=TRIM(Enginuity!$A$18)),
      TRIM(B3630)=TRIM(Enginuity!$A$17)
    )
  ),
  ROW(),
  ""
)</f>
        <v/>
      </c>
    </row>
    <row r="3631" spans="21:21" x14ac:dyDescent="0.25">
      <c r="U3631" s="104" t="str">
        <f>IF(
  AND(
    TRIM(A3631)=TRIM(Enginuity!$A$1),
    TRIM(B3631)=TRIM(Enginuity!$A$17),
    Q3631&lt;&gt;"",
    Q3631&lt;&gt;0,
    OR(
      TRIM(C3631)=TRIM(Enginuity!$A$18),
      AND(UPPER(TRIM(M3631))="STD", TRIM(B3631)=TRIM(Enginuity!$A$17))
    ),
    OR(
      AND(LEFT(P3631,5)="1-Way", Enginuity!$B$13=1),
      AND(LEFT(P3631,5)="2-Way", OR(Enginuity!$B$13=2, Enginuity!$B$13=4)),
      AND(LEFT(P3631,5)="3-Way", OR(Enginuity!$B$13=3, Enginuity!$B$13=6)),
      AND(P3631="Inner Centre Jamb", OR(Enginuity!$B$13=4, Enginuity!$B$13=6)),
      AND(
        LEFT(P3631,5)&lt;&gt;"1-Way",
        LEFT(P3631,5)&lt;&gt;"2-Way",
        LEFT(P3631,5)&lt;&gt;"3-Way",
        P3631&lt;&gt;"Inner Centre Jamb"
      )
    ),
    IF(OR(Enginuity!$A$1="Frameless Glass",Enginuity!$A$1="Metal Work"),
      AND(TRIM(B3631)=TRIM(Enginuity!$A$17),TRIM(C3631)=TRIM(Enginuity!$A$18)),
      TRIM(B3631)=TRIM(Enginuity!$A$17)
    )
  ),
  ROW(),
  ""
)</f>
        <v/>
      </c>
    </row>
    <row r="3632" spans="21:21" x14ac:dyDescent="0.25">
      <c r="U3632" s="104" t="str">
        <f>IF(
  AND(
    TRIM(A3632)=TRIM(Enginuity!$A$1),
    TRIM(B3632)=TRIM(Enginuity!$A$17),
    Q3632&lt;&gt;"",
    Q3632&lt;&gt;0,
    OR(
      TRIM(C3632)=TRIM(Enginuity!$A$18),
      AND(UPPER(TRIM(M3632))="STD", TRIM(B3632)=TRIM(Enginuity!$A$17))
    ),
    OR(
      AND(LEFT(P3632,5)="1-Way", Enginuity!$B$13=1),
      AND(LEFT(P3632,5)="2-Way", OR(Enginuity!$B$13=2, Enginuity!$B$13=4)),
      AND(LEFT(P3632,5)="3-Way", OR(Enginuity!$B$13=3, Enginuity!$B$13=6)),
      AND(P3632="Inner Centre Jamb", OR(Enginuity!$B$13=4, Enginuity!$B$13=6)),
      AND(
        LEFT(P3632,5)&lt;&gt;"1-Way",
        LEFT(P3632,5)&lt;&gt;"2-Way",
        LEFT(P3632,5)&lt;&gt;"3-Way",
        P3632&lt;&gt;"Inner Centre Jamb"
      )
    ),
    IF(OR(Enginuity!$A$1="Frameless Glass",Enginuity!$A$1="Metal Work"),
      AND(TRIM(B3632)=TRIM(Enginuity!$A$17),TRIM(C3632)=TRIM(Enginuity!$A$18)),
      TRIM(B3632)=TRIM(Enginuity!$A$17)
    )
  ),
  ROW(),
  ""
)</f>
        <v/>
      </c>
    </row>
    <row r="3633" spans="21:21" x14ac:dyDescent="0.25">
      <c r="U3633" s="104" t="str">
        <f>IF(
  AND(
    TRIM(A3633)=TRIM(Enginuity!$A$1),
    TRIM(B3633)=TRIM(Enginuity!$A$17),
    Q3633&lt;&gt;"",
    Q3633&lt;&gt;0,
    OR(
      TRIM(C3633)=TRIM(Enginuity!$A$18),
      AND(UPPER(TRIM(M3633))="STD", TRIM(B3633)=TRIM(Enginuity!$A$17))
    ),
    OR(
      AND(LEFT(P3633,5)="1-Way", Enginuity!$B$13=1),
      AND(LEFT(P3633,5)="2-Way", OR(Enginuity!$B$13=2, Enginuity!$B$13=4)),
      AND(LEFT(P3633,5)="3-Way", OR(Enginuity!$B$13=3, Enginuity!$B$13=6)),
      AND(P3633="Inner Centre Jamb", OR(Enginuity!$B$13=4, Enginuity!$B$13=6)),
      AND(
        LEFT(P3633,5)&lt;&gt;"1-Way",
        LEFT(P3633,5)&lt;&gt;"2-Way",
        LEFT(P3633,5)&lt;&gt;"3-Way",
        P3633&lt;&gt;"Inner Centre Jamb"
      )
    ),
    IF(OR(Enginuity!$A$1="Frameless Glass",Enginuity!$A$1="Metal Work"),
      AND(TRIM(B3633)=TRIM(Enginuity!$A$17),TRIM(C3633)=TRIM(Enginuity!$A$18)),
      TRIM(B3633)=TRIM(Enginuity!$A$17)
    )
  ),
  ROW(),
  ""
)</f>
        <v/>
      </c>
    </row>
    <row r="3634" spans="21:21" x14ac:dyDescent="0.25">
      <c r="U3634" s="104" t="str">
        <f>IF(
  AND(
    TRIM(A3634)=TRIM(Enginuity!$A$1),
    TRIM(B3634)=TRIM(Enginuity!$A$17),
    Q3634&lt;&gt;"",
    Q3634&lt;&gt;0,
    OR(
      TRIM(C3634)=TRIM(Enginuity!$A$18),
      AND(UPPER(TRIM(M3634))="STD", TRIM(B3634)=TRIM(Enginuity!$A$17))
    ),
    OR(
      AND(LEFT(P3634,5)="1-Way", Enginuity!$B$13=1),
      AND(LEFT(P3634,5)="2-Way", OR(Enginuity!$B$13=2, Enginuity!$B$13=4)),
      AND(LEFT(P3634,5)="3-Way", OR(Enginuity!$B$13=3, Enginuity!$B$13=6)),
      AND(P3634="Inner Centre Jamb", OR(Enginuity!$B$13=4, Enginuity!$B$13=6)),
      AND(
        LEFT(P3634,5)&lt;&gt;"1-Way",
        LEFT(P3634,5)&lt;&gt;"2-Way",
        LEFT(P3634,5)&lt;&gt;"3-Way",
        P3634&lt;&gt;"Inner Centre Jamb"
      )
    ),
    IF(OR(Enginuity!$A$1="Frameless Glass",Enginuity!$A$1="Metal Work"),
      AND(TRIM(B3634)=TRIM(Enginuity!$A$17),TRIM(C3634)=TRIM(Enginuity!$A$18)),
      TRIM(B3634)=TRIM(Enginuity!$A$17)
    )
  ),
  ROW(),
  ""
)</f>
        <v/>
      </c>
    </row>
    <row r="3635" spans="21:21" x14ac:dyDescent="0.25">
      <c r="U3635" s="104" t="str">
        <f>IF(
  AND(
    TRIM(A3635)=TRIM(Enginuity!$A$1),
    TRIM(B3635)=TRIM(Enginuity!$A$17),
    Q3635&lt;&gt;"",
    Q3635&lt;&gt;0,
    OR(
      TRIM(C3635)=TRIM(Enginuity!$A$18),
      AND(UPPER(TRIM(M3635))="STD", TRIM(B3635)=TRIM(Enginuity!$A$17))
    ),
    OR(
      AND(LEFT(P3635,5)="1-Way", Enginuity!$B$13=1),
      AND(LEFT(P3635,5)="2-Way", OR(Enginuity!$B$13=2, Enginuity!$B$13=4)),
      AND(LEFT(P3635,5)="3-Way", OR(Enginuity!$B$13=3, Enginuity!$B$13=6)),
      AND(P3635="Inner Centre Jamb", OR(Enginuity!$B$13=4, Enginuity!$B$13=6)),
      AND(
        LEFT(P3635,5)&lt;&gt;"1-Way",
        LEFT(P3635,5)&lt;&gt;"2-Way",
        LEFT(P3635,5)&lt;&gt;"3-Way",
        P3635&lt;&gt;"Inner Centre Jamb"
      )
    ),
    IF(OR(Enginuity!$A$1="Frameless Glass",Enginuity!$A$1="Metal Work"),
      AND(TRIM(B3635)=TRIM(Enginuity!$A$17),TRIM(C3635)=TRIM(Enginuity!$A$18)),
      TRIM(B3635)=TRIM(Enginuity!$A$17)
    )
  ),
  ROW(),
  ""
)</f>
        <v/>
      </c>
    </row>
    <row r="3636" spans="21:21" x14ac:dyDescent="0.25">
      <c r="U3636" s="104" t="str">
        <f>IF(
  AND(
    TRIM(A3636)=TRIM(Enginuity!$A$1),
    TRIM(B3636)=TRIM(Enginuity!$A$17),
    Q3636&lt;&gt;"",
    Q3636&lt;&gt;0,
    OR(
      TRIM(C3636)=TRIM(Enginuity!$A$18),
      AND(UPPER(TRIM(M3636))="STD", TRIM(B3636)=TRIM(Enginuity!$A$17))
    ),
    OR(
      AND(LEFT(P3636,5)="1-Way", Enginuity!$B$13=1),
      AND(LEFT(P3636,5)="2-Way", OR(Enginuity!$B$13=2, Enginuity!$B$13=4)),
      AND(LEFT(P3636,5)="3-Way", OR(Enginuity!$B$13=3, Enginuity!$B$13=6)),
      AND(P3636="Inner Centre Jamb", OR(Enginuity!$B$13=4, Enginuity!$B$13=6)),
      AND(
        LEFT(P3636,5)&lt;&gt;"1-Way",
        LEFT(P3636,5)&lt;&gt;"2-Way",
        LEFT(P3636,5)&lt;&gt;"3-Way",
        P3636&lt;&gt;"Inner Centre Jamb"
      )
    ),
    IF(OR(Enginuity!$A$1="Frameless Glass",Enginuity!$A$1="Metal Work"),
      AND(TRIM(B3636)=TRIM(Enginuity!$A$17),TRIM(C3636)=TRIM(Enginuity!$A$18)),
      TRIM(B3636)=TRIM(Enginuity!$A$17)
    )
  ),
  ROW(),
  ""
)</f>
        <v/>
      </c>
    </row>
    <row r="3637" spans="21:21" x14ac:dyDescent="0.25">
      <c r="U3637" s="104" t="str">
        <f>IF(
  AND(
    TRIM(A3637)=TRIM(Enginuity!$A$1),
    TRIM(B3637)=TRIM(Enginuity!$A$17),
    Q3637&lt;&gt;"",
    Q3637&lt;&gt;0,
    OR(
      TRIM(C3637)=TRIM(Enginuity!$A$18),
      AND(UPPER(TRIM(M3637))="STD", TRIM(B3637)=TRIM(Enginuity!$A$17))
    ),
    OR(
      AND(LEFT(P3637,5)="1-Way", Enginuity!$B$13=1),
      AND(LEFT(P3637,5)="2-Way", OR(Enginuity!$B$13=2, Enginuity!$B$13=4)),
      AND(LEFT(P3637,5)="3-Way", OR(Enginuity!$B$13=3, Enginuity!$B$13=6)),
      AND(P3637="Inner Centre Jamb", OR(Enginuity!$B$13=4, Enginuity!$B$13=6)),
      AND(
        LEFT(P3637,5)&lt;&gt;"1-Way",
        LEFT(P3637,5)&lt;&gt;"2-Way",
        LEFT(P3637,5)&lt;&gt;"3-Way",
        P3637&lt;&gt;"Inner Centre Jamb"
      )
    ),
    IF(OR(Enginuity!$A$1="Frameless Glass",Enginuity!$A$1="Metal Work"),
      AND(TRIM(B3637)=TRIM(Enginuity!$A$17),TRIM(C3637)=TRIM(Enginuity!$A$18)),
      TRIM(B3637)=TRIM(Enginuity!$A$17)
    )
  ),
  ROW(),
  ""
)</f>
        <v/>
      </c>
    </row>
    <row r="3638" spans="21:21" x14ac:dyDescent="0.25">
      <c r="U3638" s="104" t="str">
        <f>IF(
  AND(
    TRIM(A3638)=TRIM(Enginuity!$A$1),
    TRIM(B3638)=TRIM(Enginuity!$A$17),
    Q3638&lt;&gt;"",
    Q3638&lt;&gt;0,
    OR(
      TRIM(C3638)=TRIM(Enginuity!$A$18),
      AND(UPPER(TRIM(M3638))="STD", TRIM(B3638)=TRIM(Enginuity!$A$17))
    ),
    OR(
      AND(LEFT(P3638,5)="1-Way", Enginuity!$B$13=1),
      AND(LEFT(P3638,5)="2-Way", OR(Enginuity!$B$13=2, Enginuity!$B$13=4)),
      AND(LEFT(P3638,5)="3-Way", OR(Enginuity!$B$13=3, Enginuity!$B$13=6)),
      AND(P3638="Inner Centre Jamb", OR(Enginuity!$B$13=4, Enginuity!$B$13=6)),
      AND(
        LEFT(P3638,5)&lt;&gt;"1-Way",
        LEFT(P3638,5)&lt;&gt;"2-Way",
        LEFT(P3638,5)&lt;&gt;"3-Way",
        P3638&lt;&gt;"Inner Centre Jamb"
      )
    ),
    IF(OR(Enginuity!$A$1="Frameless Glass",Enginuity!$A$1="Metal Work"),
      AND(TRIM(B3638)=TRIM(Enginuity!$A$17),TRIM(C3638)=TRIM(Enginuity!$A$18)),
      TRIM(B3638)=TRIM(Enginuity!$A$17)
    )
  ),
  ROW(),
  ""
)</f>
        <v/>
      </c>
    </row>
    <row r="3639" spans="21:21" x14ac:dyDescent="0.25">
      <c r="U3639" s="104" t="str">
        <f>IF(
  AND(
    TRIM(A3639)=TRIM(Enginuity!$A$1),
    TRIM(B3639)=TRIM(Enginuity!$A$17),
    Q3639&lt;&gt;"",
    Q3639&lt;&gt;0,
    OR(
      TRIM(C3639)=TRIM(Enginuity!$A$18),
      AND(UPPER(TRIM(M3639))="STD", TRIM(B3639)=TRIM(Enginuity!$A$17))
    ),
    OR(
      AND(LEFT(P3639,5)="1-Way", Enginuity!$B$13=1),
      AND(LEFT(P3639,5)="2-Way", OR(Enginuity!$B$13=2, Enginuity!$B$13=4)),
      AND(LEFT(P3639,5)="3-Way", OR(Enginuity!$B$13=3, Enginuity!$B$13=6)),
      AND(P3639="Inner Centre Jamb", OR(Enginuity!$B$13=4, Enginuity!$B$13=6)),
      AND(
        LEFT(P3639,5)&lt;&gt;"1-Way",
        LEFT(P3639,5)&lt;&gt;"2-Way",
        LEFT(P3639,5)&lt;&gt;"3-Way",
        P3639&lt;&gt;"Inner Centre Jamb"
      )
    ),
    IF(OR(Enginuity!$A$1="Frameless Glass",Enginuity!$A$1="Metal Work"),
      AND(TRIM(B3639)=TRIM(Enginuity!$A$17),TRIM(C3639)=TRIM(Enginuity!$A$18)),
      TRIM(B3639)=TRIM(Enginuity!$A$17)
    )
  ),
  ROW(),
  ""
)</f>
        <v/>
      </c>
    </row>
    <row r="3640" spans="21:21" x14ac:dyDescent="0.25">
      <c r="U3640" s="104" t="str">
        <f>IF(
  AND(
    TRIM(A3640)=TRIM(Enginuity!$A$1),
    TRIM(B3640)=TRIM(Enginuity!$A$17),
    Q3640&lt;&gt;"",
    Q3640&lt;&gt;0,
    OR(
      TRIM(C3640)=TRIM(Enginuity!$A$18),
      AND(UPPER(TRIM(M3640))="STD", TRIM(B3640)=TRIM(Enginuity!$A$17))
    ),
    OR(
      AND(LEFT(P3640,5)="1-Way", Enginuity!$B$13=1),
      AND(LEFT(P3640,5)="2-Way", OR(Enginuity!$B$13=2, Enginuity!$B$13=4)),
      AND(LEFT(P3640,5)="3-Way", OR(Enginuity!$B$13=3, Enginuity!$B$13=6)),
      AND(P3640="Inner Centre Jamb", OR(Enginuity!$B$13=4, Enginuity!$B$13=6)),
      AND(
        LEFT(P3640,5)&lt;&gt;"1-Way",
        LEFT(P3640,5)&lt;&gt;"2-Way",
        LEFT(P3640,5)&lt;&gt;"3-Way",
        P3640&lt;&gt;"Inner Centre Jamb"
      )
    ),
    IF(OR(Enginuity!$A$1="Frameless Glass",Enginuity!$A$1="Metal Work"),
      AND(TRIM(B3640)=TRIM(Enginuity!$A$17),TRIM(C3640)=TRIM(Enginuity!$A$18)),
      TRIM(B3640)=TRIM(Enginuity!$A$17)
    )
  ),
  ROW(),
  ""
)</f>
        <v/>
      </c>
    </row>
    <row r="3641" spans="21:21" x14ac:dyDescent="0.25">
      <c r="U3641" s="104" t="str">
        <f>IF(
  AND(
    TRIM(A3641)=TRIM(Enginuity!$A$1),
    TRIM(B3641)=TRIM(Enginuity!$A$17),
    Q3641&lt;&gt;"",
    Q3641&lt;&gt;0,
    OR(
      TRIM(C3641)=TRIM(Enginuity!$A$18),
      AND(UPPER(TRIM(M3641))="STD", TRIM(B3641)=TRIM(Enginuity!$A$17))
    ),
    OR(
      AND(LEFT(P3641,5)="1-Way", Enginuity!$B$13=1),
      AND(LEFT(P3641,5)="2-Way", OR(Enginuity!$B$13=2, Enginuity!$B$13=4)),
      AND(LEFT(P3641,5)="3-Way", OR(Enginuity!$B$13=3, Enginuity!$B$13=6)),
      AND(P3641="Inner Centre Jamb", OR(Enginuity!$B$13=4, Enginuity!$B$13=6)),
      AND(
        LEFT(P3641,5)&lt;&gt;"1-Way",
        LEFT(P3641,5)&lt;&gt;"2-Way",
        LEFT(P3641,5)&lt;&gt;"3-Way",
        P3641&lt;&gt;"Inner Centre Jamb"
      )
    ),
    IF(OR(Enginuity!$A$1="Frameless Glass",Enginuity!$A$1="Metal Work"),
      AND(TRIM(B3641)=TRIM(Enginuity!$A$17),TRIM(C3641)=TRIM(Enginuity!$A$18)),
      TRIM(B3641)=TRIM(Enginuity!$A$17)
    )
  ),
  ROW(),
  ""
)</f>
        <v/>
      </c>
    </row>
    <row r="3642" spans="21:21" x14ac:dyDescent="0.25">
      <c r="U3642" s="104" t="str">
        <f>IF(
  AND(
    TRIM(A3642)=TRIM(Enginuity!$A$1),
    TRIM(B3642)=TRIM(Enginuity!$A$17),
    Q3642&lt;&gt;"",
    Q3642&lt;&gt;0,
    OR(
      TRIM(C3642)=TRIM(Enginuity!$A$18),
      AND(UPPER(TRIM(M3642))="STD", TRIM(B3642)=TRIM(Enginuity!$A$17))
    ),
    OR(
      AND(LEFT(P3642,5)="1-Way", Enginuity!$B$13=1),
      AND(LEFT(P3642,5)="2-Way", OR(Enginuity!$B$13=2, Enginuity!$B$13=4)),
      AND(LEFT(P3642,5)="3-Way", OR(Enginuity!$B$13=3, Enginuity!$B$13=6)),
      AND(P3642="Inner Centre Jamb", OR(Enginuity!$B$13=4, Enginuity!$B$13=6)),
      AND(
        LEFT(P3642,5)&lt;&gt;"1-Way",
        LEFT(P3642,5)&lt;&gt;"2-Way",
        LEFT(P3642,5)&lt;&gt;"3-Way",
        P3642&lt;&gt;"Inner Centre Jamb"
      )
    ),
    IF(OR(Enginuity!$A$1="Frameless Glass",Enginuity!$A$1="Metal Work"),
      AND(TRIM(B3642)=TRIM(Enginuity!$A$17),TRIM(C3642)=TRIM(Enginuity!$A$18)),
      TRIM(B3642)=TRIM(Enginuity!$A$17)
    )
  ),
  ROW(),
  ""
)</f>
        <v/>
      </c>
    </row>
    <row r="3643" spans="21:21" x14ac:dyDescent="0.25">
      <c r="U3643" s="104" t="str">
        <f>IF(
  AND(
    TRIM(A3643)=TRIM(Enginuity!$A$1),
    TRIM(B3643)=TRIM(Enginuity!$A$17),
    Q3643&lt;&gt;"",
    Q3643&lt;&gt;0,
    OR(
      TRIM(C3643)=TRIM(Enginuity!$A$18),
      AND(UPPER(TRIM(M3643))="STD", TRIM(B3643)=TRIM(Enginuity!$A$17))
    ),
    OR(
      AND(LEFT(P3643,5)="1-Way", Enginuity!$B$13=1),
      AND(LEFT(P3643,5)="2-Way", OR(Enginuity!$B$13=2, Enginuity!$B$13=4)),
      AND(LEFT(P3643,5)="3-Way", OR(Enginuity!$B$13=3, Enginuity!$B$13=6)),
      AND(P3643="Inner Centre Jamb", OR(Enginuity!$B$13=4, Enginuity!$B$13=6)),
      AND(
        LEFT(P3643,5)&lt;&gt;"1-Way",
        LEFT(P3643,5)&lt;&gt;"2-Way",
        LEFT(P3643,5)&lt;&gt;"3-Way",
        P3643&lt;&gt;"Inner Centre Jamb"
      )
    ),
    IF(OR(Enginuity!$A$1="Frameless Glass",Enginuity!$A$1="Metal Work"),
      AND(TRIM(B3643)=TRIM(Enginuity!$A$17),TRIM(C3643)=TRIM(Enginuity!$A$18)),
      TRIM(B3643)=TRIM(Enginuity!$A$17)
    )
  ),
  ROW(),
  ""
)</f>
        <v/>
      </c>
    </row>
    <row r="3644" spans="21:21" x14ac:dyDescent="0.25">
      <c r="U3644" s="104" t="str">
        <f>IF(
  AND(
    TRIM(A3644)=TRIM(Enginuity!$A$1),
    TRIM(B3644)=TRIM(Enginuity!$A$17),
    Q3644&lt;&gt;"",
    Q3644&lt;&gt;0,
    OR(
      TRIM(C3644)=TRIM(Enginuity!$A$18),
      AND(UPPER(TRIM(M3644))="STD", TRIM(B3644)=TRIM(Enginuity!$A$17))
    ),
    OR(
      AND(LEFT(P3644,5)="1-Way", Enginuity!$B$13=1),
      AND(LEFT(P3644,5)="2-Way", OR(Enginuity!$B$13=2, Enginuity!$B$13=4)),
      AND(LEFT(P3644,5)="3-Way", OR(Enginuity!$B$13=3, Enginuity!$B$13=6)),
      AND(P3644="Inner Centre Jamb", OR(Enginuity!$B$13=4, Enginuity!$B$13=6)),
      AND(
        LEFT(P3644,5)&lt;&gt;"1-Way",
        LEFT(P3644,5)&lt;&gt;"2-Way",
        LEFT(P3644,5)&lt;&gt;"3-Way",
        P3644&lt;&gt;"Inner Centre Jamb"
      )
    ),
    IF(OR(Enginuity!$A$1="Frameless Glass",Enginuity!$A$1="Metal Work"),
      AND(TRIM(B3644)=TRIM(Enginuity!$A$17),TRIM(C3644)=TRIM(Enginuity!$A$18)),
      TRIM(B3644)=TRIM(Enginuity!$A$17)
    )
  ),
  ROW(),
  ""
)</f>
        <v/>
      </c>
    </row>
    <row r="3645" spans="21:21" x14ac:dyDescent="0.25">
      <c r="U3645" s="104" t="str">
        <f>IF(
  AND(
    TRIM(A3645)=TRIM(Enginuity!$A$1),
    TRIM(B3645)=TRIM(Enginuity!$A$17),
    Q3645&lt;&gt;"",
    Q3645&lt;&gt;0,
    OR(
      TRIM(C3645)=TRIM(Enginuity!$A$18),
      AND(UPPER(TRIM(M3645))="STD", TRIM(B3645)=TRIM(Enginuity!$A$17))
    ),
    OR(
      AND(LEFT(P3645,5)="1-Way", Enginuity!$B$13=1),
      AND(LEFT(P3645,5)="2-Way", OR(Enginuity!$B$13=2, Enginuity!$B$13=4)),
      AND(LEFT(P3645,5)="3-Way", OR(Enginuity!$B$13=3, Enginuity!$B$13=6)),
      AND(P3645="Inner Centre Jamb", OR(Enginuity!$B$13=4, Enginuity!$B$13=6)),
      AND(
        LEFT(P3645,5)&lt;&gt;"1-Way",
        LEFT(P3645,5)&lt;&gt;"2-Way",
        LEFT(P3645,5)&lt;&gt;"3-Way",
        P3645&lt;&gt;"Inner Centre Jamb"
      )
    ),
    IF(OR(Enginuity!$A$1="Frameless Glass",Enginuity!$A$1="Metal Work"),
      AND(TRIM(B3645)=TRIM(Enginuity!$A$17),TRIM(C3645)=TRIM(Enginuity!$A$18)),
      TRIM(B3645)=TRIM(Enginuity!$A$17)
    )
  ),
  ROW(),
  ""
)</f>
        <v/>
      </c>
    </row>
    <row r="3646" spans="21:21" x14ac:dyDescent="0.25">
      <c r="U3646" s="104" t="str">
        <f>IF(
  AND(
    TRIM(A3646)=TRIM(Enginuity!$A$1),
    TRIM(B3646)=TRIM(Enginuity!$A$17),
    Q3646&lt;&gt;"",
    Q3646&lt;&gt;0,
    OR(
      TRIM(C3646)=TRIM(Enginuity!$A$18),
      AND(UPPER(TRIM(M3646))="STD", TRIM(B3646)=TRIM(Enginuity!$A$17))
    ),
    OR(
      AND(LEFT(P3646,5)="1-Way", Enginuity!$B$13=1),
      AND(LEFT(P3646,5)="2-Way", OR(Enginuity!$B$13=2, Enginuity!$B$13=4)),
      AND(LEFT(P3646,5)="3-Way", OR(Enginuity!$B$13=3, Enginuity!$B$13=6)),
      AND(P3646="Inner Centre Jamb", OR(Enginuity!$B$13=4, Enginuity!$B$13=6)),
      AND(
        LEFT(P3646,5)&lt;&gt;"1-Way",
        LEFT(P3646,5)&lt;&gt;"2-Way",
        LEFT(P3646,5)&lt;&gt;"3-Way",
        P3646&lt;&gt;"Inner Centre Jamb"
      )
    ),
    IF(OR(Enginuity!$A$1="Frameless Glass",Enginuity!$A$1="Metal Work"),
      AND(TRIM(B3646)=TRIM(Enginuity!$A$17),TRIM(C3646)=TRIM(Enginuity!$A$18)),
      TRIM(B3646)=TRIM(Enginuity!$A$17)
    )
  ),
  ROW(),
  ""
)</f>
        <v/>
      </c>
    </row>
    <row r="3647" spans="21:21" x14ac:dyDescent="0.25">
      <c r="U3647" s="104" t="str">
        <f>IF(
  AND(
    TRIM(A3647)=TRIM(Enginuity!$A$1),
    TRIM(B3647)=TRIM(Enginuity!$A$17),
    Q3647&lt;&gt;"",
    Q3647&lt;&gt;0,
    OR(
      TRIM(C3647)=TRIM(Enginuity!$A$18),
      AND(UPPER(TRIM(M3647))="STD", TRIM(B3647)=TRIM(Enginuity!$A$17))
    ),
    OR(
      AND(LEFT(P3647,5)="1-Way", Enginuity!$B$13=1),
      AND(LEFT(P3647,5)="2-Way", OR(Enginuity!$B$13=2, Enginuity!$B$13=4)),
      AND(LEFT(P3647,5)="3-Way", OR(Enginuity!$B$13=3, Enginuity!$B$13=6)),
      AND(P3647="Inner Centre Jamb", OR(Enginuity!$B$13=4, Enginuity!$B$13=6)),
      AND(
        LEFT(P3647,5)&lt;&gt;"1-Way",
        LEFT(P3647,5)&lt;&gt;"2-Way",
        LEFT(P3647,5)&lt;&gt;"3-Way",
        P3647&lt;&gt;"Inner Centre Jamb"
      )
    ),
    IF(OR(Enginuity!$A$1="Frameless Glass",Enginuity!$A$1="Metal Work"),
      AND(TRIM(B3647)=TRIM(Enginuity!$A$17),TRIM(C3647)=TRIM(Enginuity!$A$18)),
      TRIM(B3647)=TRIM(Enginuity!$A$17)
    )
  ),
  ROW(),
  ""
)</f>
        <v/>
      </c>
    </row>
    <row r="3648" spans="21:21" x14ac:dyDescent="0.25">
      <c r="U3648" s="104" t="str">
        <f>IF(
  AND(
    TRIM(A3648)=TRIM(Enginuity!$A$1),
    TRIM(B3648)=TRIM(Enginuity!$A$17),
    Q3648&lt;&gt;"",
    Q3648&lt;&gt;0,
    OR(
      TRIM(C3648)=TRIM(Enginuity!$A$18),
      AND(UPPER(TRIM(M3648))="STD", TRIM(B3648)=TRIM(Enginuity!$A$17))
    ),
    OR(
      AND(LEFT(P3648,5)="1-Way", Enginuity!$B$13=1),
      AND(LEFT(P3648,5)="2-Way", OR(Enginuity!$B$13=2, Enginuity!$B$13=4)),
      AND(LEFT(P3648,5)="3-Way", OR(Enginuity!$B$13=3, Enginuity!$B$13=6)),
      AND(P3648="Inner Centre Jamb", OR(Enginuity!$B$13=4, Enginuity!$B$13=6)),
      AND(
        LEFT(P3648,5)&lt;&gt;"1-Way",
        LEFT(P3648,5)&lt;&gt;"2-Way",
        LEFT(P3648,5)&lt;&gt;"3-Way",
        P3648&lt;&gt;"Inner Centre Jamb"
      )
    ),
    IF(OR(Enginuity!$A$1="Frameless Glass",Enginuity!$A$1="Metal Work"),
      AND(TRIM(B3648)=TRIM(Enginuity!$A$17),TRIM(C3648)=TRIM(Enginuity!$A$18)),
      TRIM(B3648)=TRIM(Enginuity!$A$17)
    )
  ),
  ROW(),
  ""
)</f>
        <v/>
      </c>
    </row>
    <row r="3649" spans="21:21" x14ac:dyDescent="0.25">
      <c r="U3649" s="104" t="str">
        <f>IF(
  AND(
    TRIM(A3649)=TRIM(Enginuity!$A$1),
    TRIM(B3649)=TRIM(Enginuity!$A$17),
    Q3649&lt;&gt;"",
    Q3649&lt;&gt;0,
    OR(
      TRIM(C3649)=TRIM(Enginuity!$A$18),
      AND(UPPER(TRIM(M3649))="STD", TRIM(B3649)=TRIM(Enginuity!$A$17))
    ),
    OR(
      AND(LEFT(P3649,5)="1-Way", Enginuity!$B$13=1),
      AND(LEFT(P3649,5)="2-Way", OR(Enginuity!$B$13=2, Enginuity!$B$13=4)),
      AND(LEFT(P3649,5)="3-Way", OR(Enginuity!$B$13=3, Enginuity!$B$13=6)),
      AND(P3649="Inner Centre Jamb", OR(Enginuity!$B$13=4, Enginuity!$B$13=6)),
      AND(
        LEFT(P3649,5)&lt;&gt;"1-Way",
        LEFT(P3649,5)&lt;&gt;"2-Way",
        LEFT(P3649,5)&lt;&gt;"3-Way",
        P3649&lt;&gt;"Inner Centre Jamb"
      )
    ),
    IF(OR(Enginuity!$A$1="Frameless Glass",Enginuity!$A$1="Metal Work"),
      AND(TRIM(B3649)=TRIM(Enginuity!$A$17),TRIM(C3649)=TRIM(Enginuity!$A$18)),
      TRIM(B3649)=TRIM(Enginuity!$A$17)
    )
  ),
  ROW(),
  ""
)</f>
        <v/>
      </c>
    </row>
    <row r="3650" spans="21:21" x14ac:dyDescent="0.25">
      <c r="U3650" s="104" t="str">
        <f>IF(
  AND(
    TRIM(A3650)=TRIM(Enginuity!$A$1),
    TRIM(B3650)=TRIM(Enginuity!$A$17),
    Q3650&lt;&gt;"",
    Q3650&lt;&gt;0,
    OR(
      TRIM(C3650)=TRIM(Enginuity!$A$18),
      AND(UPPER(TRIM(M3650))="STD", TRIM(B3650)=TRIM(Enginuity!$A$17))
    ),
    OR(
      AND(LEFT(P3650,5)="1-Way", Enginuity!$B$13=1),
      AND(LEFT(P3650,5)="2-Way", OR(Enginuity!$B$13=2, Enginuity!$B$13=4)),
      AND(LEFT(P3650,5)="3-Way", OR(Enginuity!$B$13=3, Enginuity!$B$13=6)),
      AND(P3650="Inner Centre Jamb", OR(Enginuity!$B$13=4, Enginuity!$B$13=6)),
      AND(
        LEFT(P3650,5)&lt;&gt;"1-Way",
        LEFT(P3650,5)&lt;&gt;"2-Way",
        LEFT(P3650,5)&lt;&gt;"3-Way",
        P3650&lt;&gt;"Inner Centre Jamb"
      )
    ),
    IF(OR(Enginuity!$A$1="Frameless Glass",Enginuity!$A$1="Metal Work"),
      AND(TRIM(B3650)=TRIM(Enginuity!$A$17),TRIM(C3650)=TRIM(Enginuity!$A$18)),
      TRIM(B3650)=TRIM(Enginuity!$A$17)
    )
  ),
  ROW(),
  ""
)</f>
        <v/>
      </c>
    </row>
    <row r="3651" spans="21:21" x14ac:dyDescent="0.25">
      <c r="U3651" s="104" t="str">
        <f>IF(
  AND(
    TRIM(A3651)=TRIM(Enginuity!$A$1),
    TRIM(B3651)=TRIM(Enginuity!$A$17),
    Q3651&lt;&gt;"",
    Q3651&lt;&gt;0,
    OR(
      TRIM(C3651)=TRIM(Enginuity!$A$18),
      AND(UPPER(TRIM(M3651))="STD", TRIM(B3651)=TRIM(Enginuity!$A$17))
    ),
    OR(
      AND(LEFT(P3651,5)="1-Way", Enginuity!$B$13=1),
      AND(LEFT(P3651,5)="2-Way", OR(Enginuity!$B$13=2, Enginuity!$B$13=4)),
      AND(LEFT(P3651,5)="3-Way", OR(Enginuity!$B$13=3, Enginuity!$B$13=6)),
      AND(P3651="Inner Centre Jamb", OR(Enginuity!$B$13=4, Enginuity!$B$13=6)),
      AND(
        LEFT(P3651,5)&lt;&gt;"1-Way",
        LEFT(P3651,5)&lt;&gt;"2-Way",
        LEFT(P3651,5)&lt;&gt;"3-Way",
        P3651&lt;&gt;"Inner Centre Jamb"
      )
    ),
    IF(OR(Enginuity!$A$1="Frameless Glass",Enginuity!$A$1="Metal Work"),
      AND(TRIM(B3651)=TRIM(Enginuity!$A$17),TRIM(C3651)=TRIM(Enginuity!$A$18)),
      TRIM(B3651)=TRIM(Enginuity!$A$17)
    )
  ),
  ROW(),
  ""
)</f>
        <v/>
      </c>
    </row>
    <row r="3652" spans="21:21" x14ac:dyDescent="0.25">
      <c r="U3652" s="104" t="str">
        <f>IF(
  AND(
    TRIM(A3652)=TRIM(Enginuity!$A$1),
    TRIM(B3652)=TRIM(Enginuity!$A$17),
    Q3652&lt;&gt;"",
    Q3652&lt;&gt;0,
    OR(
      TRIM(C3652)=TRIM(Enginuity!$A$18),
      AND(UPPER(TRIM(M3652))="STD", TRIM(B3652)=TRIM(Enginuity!$A$17))
    ),
    OR(
      AND(LEFT(P3652,5)="1-Way", Enginuity!$B$13=1),
      AND(LEFT(P3652,5)="2-Way", OR(Enginuity!$B$13=2, Enginuity!$B$13=4)),
      AND(LEFT(P3652,5)="3-Way", OR(Enginuity!$B$13=3, Enginuity!$B$13=6)),
      AND(P3652="Inner Centre Jamb", OR(Enginuity!$B$13=4, Enginuity!$B$13=6)),
      AND(
        LEFT(P3652,5)&lt;&gt;"1-Way",
        LEFT(P3652,5)&lt;&gt;"2-Way",
        LEFT(P3652,5)&lt;&gt;"3-Way",
        P3652&lt;&gt;"Inner Centre Jamb"
      )
    ),
    IF(OR(Enginuity!$A$1="Frameless Glass",Enginuity!$A$1="Metal Work"),
      AND(TRIM(B3652)=TRIM(Enginuity!$A$17),TRIM(C3652)=TRIM(Enginuity!$A$18)),
      TRIM(B3652)=TRIM(Enginuity!$A$17)
    )
  ),
  ROW(),
  ""
)</f>
        <v/>
      </c>
    </row>
    <row r="3653" spans="21:21" x14ac:dyDescent="0.25">
      <c r="U3653" s="104" t="str">
        <f>IF(
  AND(
    TRIM(A3653)=TRIM(Enginuity!$A$1),
    TRIM(B3653)=TRIM(Enginuity!$A$17),
    Q3653&lt;&gt;"",
    Q3653&lt;&gt;0,
    OR(
      TRIM(C3653)=TRIM(Enginuity!$A$18),
      AND(UPPER(TRIM(M3653))="STD", TRIM(B3653)=TRIM(Enginuity!$A$17))
    ),
    OR(
      AND(LEFT(P3653,5)="1-Way", Enginuity!$B$13=1),
      AND(LEFT(P3653,5)="2-Way", OR(Enginuity!$B$13=2, Enginuity!$B$13=4)),
      AND(LEFT(P3653,5)="3-Way", OR(Enginuity!$B$13=3, Enginuity!$B$13=6)),
      AND(P3653="Inner Centre Jamb", OR(Enginuity!$B$13=4, Enginuity!$B$13=6)),
      AND(
        LEFT(P3653,5)&lt;&gt;"1-Way",
        LEFT(P3653,5)&lt;&gt;"2-Way",
        LEFT(P3653,5)&lt;&gt;"3-Way",
        P3653&lt;&gt;"Inner Centre Jamb"
      )
    ),
    IF(OR(Enginuity!$A$1="Frameless Glass",Enginuity!$A$1="Metal Work"),
      AND(TRIM(B3653)=TRIM(Enginuity!$A$17),TRIM(C3653)=TRIM(Enginuity!$A$18)),
      TRIM(B3653)=TRIM(Enginuity!$A$17)
    )
  ),
  ROW(),
  ""
)</f>
        <v/>
      </c>
    </row>
    <row r="3654" spans="21:21" x14ac:dyDescent="0.25">
      <c r="U3654" s="104" t="str">
        <f>IF(
  AND(
    TRIM(A3654)=TRIM(Enginuity!$A$1),
    TRIM(B3654)=TRIM(Enginuity!$A$17),
    Q3654&lt;&gt;"",
    Q3654&lt;&gt;0,
    OR(
      TRIM(C3654)=TRIM(Enginuity!$A$18),
      AND(UPPER(TRIM(M3654))="STD", TRIM(B3654)=TRIM(Enginuity!$A$17))
    ),
    OR(
      AND(LEFT(P3654,5)="1-Way", Enginuity!$B$13=1),
      AND(LEFT(P3654,5)="2-Way", OR(Enginuity!$B$13=2, Enginuity!$B$13=4)),
      AND(LEFT(P3654,5)="3-Way", OR(Enginuity!$B$13=3, Enginuity!$B$13=6)),
      AND(P3654="Inner Centre Jamb", OR(Enginuity!$B$13=4, Enginuity!$B$13=6)),
      AND(
        LEFT(P3654,5)&lt;&gt;"1-Way",
        LEFT(P3654,5)&lt;&gt;"2-Way",
        LEFT(P3654,5)&lt;&gt;"3-Way",
        P3654&lt;&gt;"Inner Centre Jamb"
      )
    ),
    IF(OR(Enginuity!$A$1="Frameless Glass",Enginuity!$A$1="Metal Work"),
      AND(TRIM(B3654)=TRIM(Enginuity!$A$17),TRIM(C3654)=TRIM(Enginuity!$A$18)),
      TRIM(B3654)=TRIM(Enginuity!$A$17)
    )
  ),
  ROW(),
  ""
)</f>
        <v/>
      </c>
    </row>
    <row r="3655" spans="21:21" x14ac:dyDescent="0.25">
      <c r="U3655" s="104" t="str">
        <f>IF(
  AND(
    TRIM(A3655)=TRIM(Enginuity!$A$1),
    TRIM(B3655)=TRIM(Enginuity!$A$17),
    Q3655&lt;&gt;"",
    Q3655&lt;&gt;0,
    OR(
      TRIM(C3655)=TRIM(Enginuity!$A$18),
      AND(UPPER(TRIM(M3655))="STD", TRIM(B3655)=TRIM(Enginuity!$A$17))
    ),
    OR(
      AND(LEFT(P3655,5)="1-Way", Enginuity!$B$13=1),
      AND(LEFT(P3655,5)="2-Way", OR(Enginuity!$B$13=2, Enginuity!$B$13=4)),
      AND(LEFT(P3655,5)="3-Way", OR(Enginuity!$B$13=3, Enginuity!$B$13=6)),
      AND(P3655="Inner Centre Jamb", OR(Enginuity!$B$13=4, Enginuity!$B$13=6)),
      AND(
        LEFT(P3655,5)&lt;&gt;"1-Way",
        LEFT(P3655,5)&lt;&gt;"2-Way",
        LEFT(P3655,5)&lt;&gt;"3-Way",
        P3655&lt;&gt;"Inner Centre Jamb"
      )
    ),
    IF(OR(Enginuity!$A$1="Frameless Glass",Enginuity!$A$1="Metal Work"),
      AND(TRIM(B3655)=TRIM(Enginuity!$A$17),TRIM(C3655)=TRIM(Enginuity!$A$18)),
      TRIM(B3655)=TRIM(Enginuity!$A$17)
    )
  ),
  ROW(),
  ""
)</f>
        <v/>
      </c>
    </row>
    <row r="3656" spans="21:21" x14ac:dyDescent="0.25">
      <c r="U3656" s="104" t="str">
        <f>IF(
  AND(
    TRIM(A3656)=TRIM(Enginuity!$A$1),
    TRIM(B3656)=TRIM(Enginuity!$A$17),
    Q3656&lt;&gt;"",
    Q3656&lt;&gt;0,
    OR(
      TRIM(C3656)=TRIM(Enginuity!$A$18),
      AND(UPPER(TRIM(M3656))="STD", TRIM(B3656)=TRIM(Enginuity!$A$17))
    ),
    OR(
      AND(LEFT(P3656,5)="1-Way", Enginuity!$B$13=1),
      AND(LEFT(P3656,5)="2-Way", OR(Enginuity!$B$13=2, Enginuity!$B$13=4)),
      AND(LEFT(P3656,5)="3-Way", OR(Enginuity!$B$13=3, Enginuity!$B$13=6)),
      AND(P3656="Inner Centre Jamb", OR(Enginuity!$B$13=4, Enginuity!$B$13=6)),
      AND(
        LEFT(P3656,5)&lt;&gt;"1-Way",
        LEFT(P3656,5)&lt;&gt;"2-Way",
        LEFT(P3656,5)&lt;&gt;"3-Way",
        P3656&lt;&gt;"Inner Centre Jamb"
      )
    ),
    IF(OR(Enginuity!$A$1="Frameless Glass",Enginuity!$A$1="Metal Work"),
      AND(TRIM(B3656)=TRIM(Enginuity!$A$17),TRIM(C3656)=TRIM(Enginuity!$A$18)),
      TRIM(B3656)=TRIM(Enginuity!$A$17)
    )
  ),
  ROW(),
  ""
)</f>
        <v/>
      </c>
    </row>
    <row r="3657" spans="21:21" x14ac:dyDescent="0.25">
      <c r="U3657" s="104" t="str">
        <f>IF(
  AND(
    TRIM(A3657)=TRIM(Enginuity!$A$1),
    TRIM(B3657)=TRIM(Enginuity!$A$17),
    Q3657&lt;&gt;"",
    Q3657&lt;&gt;0,
    OR(
      TRIM(C3657)=TRIM(Enginuity!$A$18),
      AND(UPPER(TRIM(M3657))="STD", TRIM(B3657)=TRIM(Enginuity!$A$17))
    ),
    OR(
      AND(LEFT(P3657,5)="1-Way", Enginuity!$B$13=1),
      AND(LEFT(P3657,5)="2-Way", OR(Enginuity!$B$13=2, Enginuity!$B$13=4)),
      AND(LEFT(P3657,5)="3-Way", OR(Enginuity!$B$13=3, Enginuity!$B$13=6)),
      AND(P3657="Inner Centre Jamb", OR(Enginuity!$B$13=4, Enginuity!$B$13=6)),
      AND(
        LEFT(P3657,5)&lt;&gt;"1-Way",
        LEFT(P3657,5)&lt;&gt;"2-Way",
        LEFT(P3657,5)&lt;&gt;"3-Way",
        P3657&lt;&gt;"Inner Centre Jamb"
      )
    ),
    IF(OR(Enginuity!$A$1="Frameless Glass",Enginuity!$A$1="Metal Work"),
      AND(TRIM(B3657)=TRIM(Enginuity!$A$17),TRIM(C3657)=TRIM(Enginuity!$A$18)),
      TRIM(B3657)=TRIM(Enginuity!$A$17)
    )
  ),
  ROW(),
  ""
)</f>
        <v/>
      </c>
    </row>
    <row r="3658" spans="21:21" x14ac:dyDescent="0.25">
      <c r="U3658" s="104" t="str">
        <f>IF(
  AND(
    TRIM(A3658)=TRIM(Enginuity!$A$1),
    TRIM(B3658)=TRIM(Enginuity!$A$17),
    Q3658&lt;&gt;"",
    Q3658&lt;&gt;0,
    OR(
      TRIM(C3658)=TRIM(Enginuity!$A$18),
      AND(UPPER(TRIM(M3658))="STD", TRIM(B3658)=TRIM(Enginuity!$A$17))
    ),
    OR(
      AND(LEFT(P3658,5)="1-Way", Enginuity!$B$13=1),
      AND(LEFT(P3658,5)="2-Way", OR(Enginuity!$B$13=2, Enginuity!$B$13=4)),
      AND(LEFT(P3658,5)="3-Way", OR(Enginuity!$B$13=3, Enginuity!$B$13=6)),
      AND(P3658="Inner Centre Jamb", OR(Enginuity!$B$13=4, Enginuity!$B$13=6)),
      AND(
        LEFT(P3658,5)&lt;&gt;"1-Way",
        LEFT(P3658,5)&lt;&gt;"2-Way",
        LEFT(P3658,5)&lt;&gt;"3-Way",
        P3658&lt;&gt;"Inner Centre Jamb"
      )
    ),
    IF(OR(Enginuity!$A$1="Frameless Glass",Enginuity!$A$1="Metal Work"),
      AND(TRIM(B3658)=TRIM(Enginuity!$A$17),TRIM(C3658)=TRIM(Enginuity!$A$18)),
      TRIM(B3658)=TRIM(Enginuity!$A$17)
    )
  ),
  ROW(),
  ""
)</f>
        <v/>
      </c>
    </row>
    <row r="3659" spans="21:21" x14ac:dyDescent="0.25">
      <c r="U3659" s="104" t="str">
        <f>IF(
  AND(
    TRIM(A3659)=TRIM(Enginuity!$A$1),
    TRIM(B3659)=TRIM(Enginuity!$A$17),
    Q3659&lt;&gt;"",
    Q3659&lt;&gt;0,
    OR(
      TRIM(C3659)=TRIM(Enginuity!$A$18),
      AND(UPPER(TRIM(M3659))="STD", TRIM(B3659)=TRIM(Enginuity!$A$17))
    ),
    OR(
      AND(LEFT(P3659,5)="1-Way", Enginuity!$B$13=1),
      AND(LEFT(P3659,5)="2-Way", OR(Enginuity!$B$13=2, Enginuity!$B$13=4)),
      AND(LEFT(P3659,5)="3-Way", OR(Enginuity!$B$13=3, Enginuity!$B$13=6)),
      AND(P3659="Inner Centre Jamb", OR(Enginuity!$B$13=4, Enginuity!$B$13=6)),
      AND(
        LEFT(P3659,5)&lt;&gt;"1-Way",
        LEFT(P3659,5)&lt;&gt;"2-Way",
        LEFT(P3659,5)&lt;&gt;"3-Way",
        P3659&lt;&gt;"Inner Centre Jamb"
      )
    ),
    IF(OR(Enginuity!$A$1="Frameless Glass",Enginuity!$A$1="Metal Work"),
      AND(TRIM(B3659)=TRIM(Enginuity!$A$17),TRIM(C3659)=TRIM(Enginuity!$A$18)),
      TRIM(B3659)=TRIM(Enginuity!$A$17)
    )
  ),
  ROW(),
  ""
)</f>
        <v/>
      </c>
    </row>
    <row r="3660" spans="21:21" x14ac:dyDescent="0.25">
      <c r="U3660" s="104" t="str">
        <f>IF(
  AND(
    TRIM(A3660)=TRIM(Enginuity!$A$1),
    TRIM(B3660)=TRIM(Enginuity!$A$17),
    Q3660&lt;&gt;"",
    Q3660&lt;&gt;0,
    OR(
      TRIM(C3660)=TRIM(Enginuity!$A$18),
      AND(UPPER(TRIM(M3660))="STD", TRIM(B3660)=TRIM(Enginuity!$A$17))
    ),
    OR(
      AND(LEFT(P3660,5)="1-Way", Enginuity!$B$13=1),
      AND(LEFT(P3660,5)="2-Way", OR(Enginuity!$B$13=2, Enginuity!$B$13=4)),
      AND(LEFT(P3660,5)="3-Way", OR(Enginuity!$B$13=3, Enginuity!$B$13=6)),
      AND(P3660="Inner Centre Jamb", OR(Enginuity!$B$13=4, Enginuity!$B$13=6)),
      AND(
        LEFT(P3660,5)&lt;&gt;"1-Way",
        LEFT(P3660,5)&lt;&gt;"2-Way",
        LEFT(P3660,5)&lt;&gt;"3-Way",
        P3660&lt;&gt;"Inner Centre Jamb"
      )
    ),
    IF(OR(Enginuity!$A$1="Frameless Glass",Enginuity!$A$1="Metal Work"),
      AND(TRIM(B3660)=TRIM(Enginuity!$A$17),TRIM(C3660)=TRIM(Enginuity!$A$18)),
      TRIM(B3660)=TRIM(Enginuity!$A$17)
    )
  ),
  ROW(),
  ""
)</f>
        <v/>
      </c>
    </row>
    <row r="3661" spans="21:21" x14ac:dyDescent="0.25">
      <c r="U3661" s="104" t="str">
        <f>IF(
  AND(
    TRIM(A3661)=TRIM(Enginuity!$A$1),
    TRIM(B3661)=TRIM(Enginuity!$A$17),
    Q3661&lt;&gt;"",
    Q3661&lt;&gt;0,
    OR(
      TRIM(C3661)=TRIM(Enginuity!$A$18),
      AND(UPPER(TRIM(M3661))="STD", TRIM(B3661)=TRIM(Enginuity!$A$17))
    ),
    OR(
      AND(LEFT(P3661,5)="1-Way", Enginuity!$B$13=1),
      AND(LEFT(P3661,5)="2-Way", OR(Enginuity!$B$13=2, Enginuity!$B$13=4)),
      AND(LEFT(P3661,5)="3-Way", OR(Enginuity!$B$13=3, Enginuity!$B$13=6)),
      AND(P3661="Inner Centre Jamb", OR(Enginuity!$B$13=4, Enginuity!$B$13=6)),
      AND(
        LEFT(P3661,5)&lt;&gt;"1-Way",
        LEFT(P3661,5)&lt;&gt;"2-Way",
        LEFT(P3661,5)&lt;&gt;"3-Way",
        P3661&lt;&gt;"Inner Centre Jamb"
      )
    ),
    IF(OR(Enginuity!$A$1="Frameless Glass",Enginuity!$A$1="Metal Work"),
      AND(TRIM(B3661)=TRIM(Enginuity!$A$17),TRIM(C3661)=TRIM(Enginuity!$A$18)),
      TRIM(B3661)=TRIM(Enginuity!$A$17)
    )
  ),
  ROW(),
  ""
)</f>
        <v/>
      </c>
    </row>
    <row r="3662" spans="21:21" x14ac:dyDescent="0.25">
      <c r="U3662" s="104" t="str">
        <f>IF(
  AND(
    TRIM(A3662)=TRIM(Enginuity!$A$1),
    TRIM(B3662)=TRIM(Enginuity!$A$17),
    Q3662&lt;&gt;"",
    Q3662&lt;&gt;0,
    OR(
      TRIM(C3662)=TRIM(Enginuity!$A$18),
      AND(UPPER(TRIM(M3662))="STD", TRIM(B3662)=TRIM(Enginuity!$A$17))
    ),
    OR(
      AND(LEFT(P3662,5)="1-Way", Enginuity!$B$13=1),
      AND(LEFT(P3662,5)="2-Way", OR(Enginuity!$B$13=2, Enginuity!$B$13=4)),
      AND(LEFT(P3662,5)="3-Way", OR(Enginuity!$B$13=3, Enginuity!$B$13=6)),
      AND(P3662="Inner Centre Jamb", OR(Enginuity!$B$13=4, Enginuity!$B$13=6)),
      AND(
        LEFT(P3662,5)&lt;&gt;"1-Way",
        LEFT(P3662,5)&lt;&gt;"2-Way",
        LEFT(P3662,5)&lt;&gt;"3-Way",
        P3662&lt;&gt;"Inner Centre Jamb"
      )
    ),
    IF(OR(Enginuity!$A$1="Frameless Glass",Enginuity!$A$1="Metal Work"),
      AND(TRIM(B3662)=TRIM(Enginuity!$A$17),TRIM(C3662)=TRIM(Enginuity!$A$18)),
      TRIM(B3662)=TRIM(Enginuity!$A$17)
    )
  ),
  ROW(),
  ""
)</f>
        <v/>
      </c>
    </row>
    <row r="3663" spans="21:21" x14ac:dyDescent="0.25">
      <c r="U3663" s="104" t="str">
        <f>IF(
  AND(
    TRIM(A3663)=TRIM(Enginuity!$A$1),
    TRIM(B3663)=TRIM(Enginuity!$A$17),
    Q3663&lt;&gt;"",
    Q3663&lt;&gt;0,
    OR(
      TRIM(C3663)=TRIM(Enginuity!$A$18),
      AND(UPPER(TRIM(M3663))="STD", TRIM(B3663)=TRIM(Enginuity!$A$17))
    ),
    OR(
      AND(LEFT(P3663,5)="1-Way", Enginuity!$B$13=1),
      AND(LEFT(P3663,5)="2-Way", OR(Enginuity!$B$13=2, Enginuity!$B$13=4)),
      AND(LEFT(P3663,5)="3-Way", OR(Enginuity!$B$13=3, Enginuity!$B$13=6)),
      AND(P3663="Inner Centre Jamb", OR(Enginuity!$B$13=4, Enginuity!$B$13=6)),
      AND(
        LEFT(P3663,5)&lt;&gt;"1-Way",
        LEFT(P3663,5)&lt;&gt;"2-Way",
        LEFT(P3663,5)&lt;&gt;"3-Way",
        P3663&lt;&gt;"Inner Centre Jamb"
      )
    ),
    IF(OR(Enginuity!$A$1="Frameless Glass",Enginuity!$A$1="Metal Work"),
      AND(TRIM(B3663)=TRIM(Enginuity!$A$17),TRIM(C3663)=TRIM(Enginuity!$A$18)),
      TRIM(B3663)=TRIM(Enginuity!$A$17)
    )
  ),
  ROW(),
  ""
)</f>
        <v/>
      </c>
    </row>
    <row r="3664" spans="21:21" x14ac:dyDescent="0.25">
      <c r="U3664" s="104" t="str">
        <f>IF(
  AND(
    TRIM(A3664)=TRIM(Enginuity!$A$1),
    TRIM(B3664)=TRIM(Enginuity!$A$17),
    Q3664&lt;&gt;"",
    Q3664&lt;&gt;0,
    OR(
      TRIM(C3664)=TRIM(Enginuity!$A$18),
      AND(UPPER(TRIM(M3664))="STD", TRIM(B3664)=TRIM(Enginuity!$A$17))
    ),
    OR(
      AND(LEFT(P3664,5)="1-Way", Enginuity!$B$13=1),
      AND(LEFT(P3664,5)="2-Way", OR(Enginuity!$B$13=2, Enginuity!$B$13=4)),
      AND(LEFT(P3664,5)="3-Way", OR(Enginuity!$B$13=3, Enginuity!$B$13=6)),
      AND(P3664="Inner Centre Jamb", OR(Enginuity!$B$13=4, Enginuity!$B$13=6)),
      AND(
        LEFT(P3664,5)&lt;&gt;"1-Way",
        LEFT(P3664,5)&lt;&gt;"2-Way",
        LEFT(P3664,5)&lt;&gt;"3-Way",
        P3664&lt;&gt;"Inner Centre Jamb"
      )
    ),
    IF(OR(Enginuity!$A$1="Frameless Glass",Enginuity!$A$1="Metal Work"),
      AND(TRIM(B3664)=TRIM(Enginuity!$A$17),TRIM(C3664)=TRIM(Enginuity!$A$18)),
      TRIM(B3664)=TRIM(Enginuity!$A$17)
    )
  ),
  ROW(),
  ""
)</f>
        <v/>
      </c>
    </row>
    <row r="3665" spans="21:21" x14ac:dyDescent="0.25">
      <c r="U3665" s="104" t="str">
        <f>IF(
  AND(
    TRIM(A3665)=TRIM(Enginuity!$A$1),
    TRIM(B3665)=TRIM(Enginuity!$A$17),
    Q3665&lt;&gt;"",
    Q3665&lt;&gt;0,
    OR(
      TRIM(C3665)=TRIM(Enginuity!$A$18),
      AND(UPPER(TRIM(M3665))="STD", TRIM(B3665)=TRIM(Enginuity!$A$17))
    ),
    OR(
      AND(LEFT(P3665,5)="1-Way", Enginuity!$B$13=1),
      AND(LEFT(P3665,5)="2-Way", OR(Enginuity!$B$13=2, Enginuity!$B$13=4)),
      AND(LEFT(P3665,5)="3-Way", OR(Enginuity!$B$13=3, Enginuity!$B$13=6)),
      AND(P3665="Inner Centre Jamb", OR(Enginuity!$B$13=4, Enginuity!$B$13=6)),
      AND(
        LEFT(P3665,5)&lt;&gt;"1-Way",
        LEFT(P3665,5)&lt;&gt;"2-Way",
        LEFT(P3665,5)&lt;&gt;"3-Way",
        P3665&lt;&gt;"Inner Centre Jamb"
      )
    ),
    IF(OR(Enginuity!$A$1="Frameless Glass",Enginuity!$A$1="Metal Work"),
      AND(TRIM(B3665)=TRIM(Enginuity!$A$17),TRIM(C3665)=TRIM(Enginuity!$A$18)),
      TRIM(B3665)=TRIM(Enginuity!$A$17)
    )
  ),
  ROW(),
  ""
)</f>
        <v/>
      </c>
    </row>
    <row r="3666" spans="21:21" x14ac:dyDescent="0.25">
      <c r="U3666" s="104" t="str">
        <f>IF(
  AND(
    TRIM(A3666)=TRIM(Enginuity!$A$1),
    TRIM(B3666)=TRIM(Enginuity!$A$17),
    Q3666&lt;&gt;"",
    Q3666&lt;&gt;0,
    OR(
      TRIM(C3666)=TRIM(Enginuity!$A$18),
      AND(UPPER(TRIM(M3666))="STD", TRIM(B3666)=TRIM(Enginuity!$A$17))
    ),
    OR(
      AND(LEFT(P3666,5)="1-Way", Enginuity!$B$13=1),
      AND(LEFT(P3666,5)="2-Way", OR(Enginuity!$B$13=2, Enginuity!$B$13=4)),
      AND(LEFT(P3666,5)="3-Way", OR(Enginuity!$B$13=3, Enginuity!$B$13=6)),
      AND(P3666="Inner Centre Jamb", OR(Enginuity!$B$13=4, Enginuity!$B$13=6)),
      AND(
        LEFT(P3666,5)&lt;&gt;"1-Way",
        LEFT(P3666,5)&lt;&gt;"2-Way",
        LEFT(P3666,5)&lt;&gt;"3-Way",
        P3666&lt;&gt;"Inner Centre Jamb"
      )
    ),
    IF(OR(Enginuity!$A$1="Frameless Glass",Enginuity!$A$1="Metal Work"),
      AND(TRIM(B3666)=TRIM(Enginuity!$A$17),TRIM(C3666)=TRIM(Enginuity!$A$18)),
      TRIM(B3666)=TRIM(Enginuity!$A$17)
    )
  ),
  ROW(),
  ""
)</f>
        <v/>
      </c>
    </row>
    <row r="3667" spans="21:21" x14ac:dyDescent="0.25">
      <c r="U3667" s="104" t="str">
        <f>IF(
  AND(
    TRIM(A3667)=TRIM(Enginuity!$A$1),
    TRIM(B3667)=TRIM(Enginuity!$A$17),
    Q3667&lt;&gt;"",
    Q3667&lt;&gt;0,
    OR(
      TRIM(C3667)=TRIM(Enginuity!$A$18),
      AND(UPPER(TRIM(M3667))="STD", TRIM(B3667)=TRIM(Enginuity!$A$17))
    ),
    OR(
      AND(LEFT(P3667,5)="1-Way", Enginuity!$B$13=1),
      AND(LEFT(P3667,5)="2-Way", OR(Enginuity!$B$13=2, Enginuity!$B$13=4)),
      AND(LEFT(P3667,5)="3-Way", OR(Enginuity!$B$13=3, Enginuity!$B$13=6)),
      AND(P3667="Inner Centre Jamb", OR(Enginuity!$B$13=4, Enginuity!$B$13=6)),
      AND(
        LEFT(P3667,5)&lt;&gt;"1-Way",
        LEFT(P3667,5)&lt;&gt;"2-Way",
        LEFT(P3667,5)&lt;&gt;"3-Way",
        P3667&lt;&gt;"Inner Centre Jamb"
      )
    ),
    IF(OR(Enginuity!$A$1="Frameless Glass",Enginuity!$A$1="Metal Work"),
      AND(TRIM(B3667)=TRIM(Enginuity!$A$17),TRIM(C3667)=TRIM(Enginuity!$A$18)),
      TRIM(B3667)=TRIM(Enginuity!$A$17)
    )
  ),
  ROW(),
  ""
)</f>
        <v/>
      </c>
    </row>
    <row r="3668" spans="21:21" x14ac:dyDescent="0.25">
      <c r="U3668" s="104" t="str">
        <f>IF(
  AND(
    TRIM(A3668)=TRIM(Enginuity!$A$1),
    TRIM(B3668)=TRIM(Enginuity!$A$17),
    Q3668&lt;&gt;"",
    Q3668&lt;&gt;0,
    OR(
      TRIM(C3668)=TRIM(Enginuity!$A$18),
      AND(UPPER(TRIM(M3668))="STD", TRIM(B3668)=TRIM(Enginuity!$A$17))
    ),
    OR(
      AND(LEFT(P3668,5)="1-Way", Enginuity!$B$13=1),
      AND(LEFT(P3668,5)="2-Way", OR(Enginuity!$B$13=2, Enginuity!$B$13=4)),
      AND(LEFT(P3668,5)="3-Way", OR(Enginuity!$B$13=3, Enginuity!$B$13=6)),
      AND(P3668="Inner Centre Jamb", OR(Enginuity!$B$13=4, Enginuity!$B$13=6)),
      AND(
        LEFT(P3668,5)&lt;&gt;"1-Way",
        LEFT(P3668,5)&lt;&gt;"2-Way",
        LEFT(P3668,5)&lt;&gt;"3-Way",
        P3668&lt;&gt;"Inner Centre Jamb"
      )
    ),
    IF(OR(Enginuity!$A$1="Frameless Glass",Enginuity!$A$1="Metal Work"),
      AND(TRIM(B3668)=TRIM(Enginuity!$A$17),TRIM(C3668)=TRIM(Enginuity!$A$18)),
      TRIM(B3668)=TRIM(Enginuity!$A$17)
    )
  ),
  ROW(),
  ""
)</f>
        <v/>
      </c>
    </row>
    <row r="3669" spans="21:21" x14ac:dyDescent="0.25">
      <c r="U3669" s="104" t="str">
        <f>IF(
  AND(
    TRIM(A3669)=TRIM(Enginuity!$A$1),
    TRIM(B3669)=TRIM(Enginuity!$A$17),
    Q3669&lt;&gt;"",
    Q3669&lt;&gt;0,
    OR(
      TRIM(C3669)=TRIM(Enginuity!$A$18),
      AND(UPPER(TRIM(M3669))="STD", TRIM(B3669)=TRIM(Enginuity!$A$17))
    ),
    OR(
      AND(LEFT(P3669,5)="1-Way", Enginuity!$B$13=1),
      AND(LEFT(P3669,5)="2-Way", OR(Enginuity!$B$13=2, Enginuity!$B$13=4)),
      AND(LEFT(P3669,5)="3-Way", OR(Enginuity!$B$13=3, Enginuity!$B$13=6)),
      AND(P3669="Inner Centre Jamb", OR(Enginuity!$B$13=4, Enginuity!$B$13=6)),
      AND(
        LEFT(P3669,5)&lt;&gt;"1-Way",
        LEFT(P3669,5)&lt;&gt;"2-Way",
        LEFT(P3669,5)&lt;&gt;"3-Way",
        P3669&lt;&gt;"Inner Centre Jamb"
      )
    ),
    IF(OR(Enginuity!$A$1="Frameless Glass",Enginuity!$A$1="Metal Work"),
      AND(TRIM(B3669)=TRIM(Enginuity!$A$17),TRIM(C3669)=TRIM(Enginuity!$A$18)),
      TRIM(B3669)=TRIM(Enginuity!$A$17)
    )
  ),
  ROW(),
  ""
)</f>
        <v/>
      </c>
    </row>
    <row r="3670" spans="21:21" x14ac:dyDescent="0.25">
      <c r="U3670" s="104" t="str">
        <f>IF(
  AND(
    TRIM(A3670)=TRIM(Enginuity!$A$1),
    TRIM(B3670)=TRIM(Enginuity!$A$17),
    Q3670&lt;&gt;"",
    Q3670&lt;&gt;0,
    OR(
      TRIM(C3670)=TRIM(Enginuity!$A$18),
      AND(UPPER(TRIM(M3670))="STD", TRIM(B3670)=TRIM(Enginuity!$A$17))
    ),
    OR(
      AND(LEFT(P3670,5)="1-Way", Enginuity!$B$13=1),
      AND(LEFT(P3670,5)="2-Way", OR(Enginuity!$B$13=2, Enginuity!$B$13=4)),
      AND(LEFT(P3670,5)="3-Way", OR(Enginuity!$B$13=3, Enginuity!$B$13=6)),
      AND(P3670="Inner Centre Jamb", OR(Enginuity!$B$13=4, Enginuity!$B$13=6)),
      AND(
        LEFT(P3670,5)&lt;&gt;"1-Way",
        LEFT(P3670,5)&lt;&gt;"2-Way",
        LEFT(P3670,5)&lt;&gt;"3-Way",
        P3670&lt;&gt;"Inner Centre Jamb"
      )
    ),
    IF(OR(Enginuity!$A$1="Frameless Glass",Enginuity!$A$1="Metal Work"),
      AND(TRIM(B3670)=TRIM(Enginuity!$A$17),TRIM(C3670)=TRIM(Enginuity!$A$18)),
      TRIM(B3670)=TRIM(Enginuity!$A$17)
    )
  ),
  ROW(),
  ""
)</f>
        <v/>
      </c>
    </row>
    <row r="3671" spans="21:21" x14ac:dyDescent="0.25">
      <c r="U3671" s="104" t="str">
        <f>IF(
  AND(
    TRIM(A3671)=TRIM(Enginuity!$A$1),
    TRIM(B3671)=TRIM(Enginuity!$A$17),
    Q3671&lt;&gt;"",
    Q3671&lt;&gt;0,
    OR(
      TRIM(C3671)=TRIM(Enginuity!$A$18),
      AND(UPPER(TRIM(M3671))="STD", TRIM(B3671)=TRIM(Enginuity!$A$17))
    ),
    OR(
      AND(LEFT(P3671,5)="1-Way", Enginuity!$B$13=1),
      AND(LEFT(P3671,5)="2-Way", OR(Enginuity!$B$13=2, Enginuity!$B$13=4)),
      AND(LEFT(P3671,5)="3-Way", OR(Enginuity!$B$13=3, Enginuity!$B$13=6)),
      AND(P3671="Inner Centre Jamb", OR(Enginuity!$B$13=4, Enginuity!$B$13=6)),
      AND(
        LEFT(P3671,5)&lt;&gt;"1-Way",
        LEFT(P3671,5)&lt;&gt;"2-Way",
        LEFT(P3671,5)&lt;&gt;"3-Way",
        P3671&lt;&gt;"Inner Centre Jamb"
      )
    ),
    IF(OR(Enginuity!$A$1="Frameless Glass",Enginuity!$A$1="Metal Work"),
      AND(TRIM(B3671)=TRIM(Enginuity!$A$17),TRIM(C3671)=TRIM(Enginuity!$A$18)),
      TRIM(B3671)=TRIM(Enginuity!$A$17)
    )
  ),
  ROW(),
  ""
)</f>
        <v/>
      </c>
    </row>
    <row r="3672" spans="21:21" x14ac:dyDescent="0.25">
      <c r="U3672" s="104" t="str">
        <f>IF(
  AND(
    TRIM(A3672)=TRIM(Enginuity!$A$1),
    TRIM(B3672)=TRIM(Enginuity!$A$17),
    Q3672&lt;&gt;"",
    Q3672&lt;&gt;0,
    OR(
      TRIM(C3672)=TRIM(Enginuity!$A$18),
      AND(UPPER(TRIM(M3672))="STD", TRIM(B3672)=TRIM(Enginuity!$A$17))
    ),
    OR(
      AND(LEFT(P3672,5)="1-Way", Enginuity!$B$13=1),
      AND(LEFT(P3672,5)="2-Way", OR(Enginuity!$B$13=2, Enginuity!$B$13=4)),
      AND(LEFT(P3672,5)="3-Way", OR(Enginuity!$B$13=3, Enginuity!$B$13=6)),
      AND(P3672="Inner Centre Jamb", OR(Enginuity!$B$13=4, Enginuity!$B$13=6)),
      AND(
        LEFT(P3672,5)&lt;&gt;"1-Way",
        LEFT(P3672,5)&lt;&gt;"2-Way",
        LEFT(P3672,5)&lt;&gt;"3-Way",
        P3672&lt;&gt;"Inner Centre Jamb"
      )
    ),
    IF(OR(Enginuity!$A$1="Frameless Glass",Enginuity!$A$1="Metal Work"),
      AND(TRIM(B3672)=TRIM(Enginuity!$A$17),TRIM(C3672)=TRIM(Enginuity!$A$18)),
      TRIM(B3672)=TRIM(Enginuity!$A$17)
    )
  ),
  ROW(),
  ""
)</f>
        <v/>
      </c>
    </row>
    <row r="3673" spans="21:21" x14ac:dyDescent="0.25">
      <c r="U3673" s="104" t="str">
        <f>IF(
  AND(
    TRIM(A3673)=TRIM(Enginuity!$A$1),
    TRIM(B3673)=TRIM(Enginuity!$A$17),
    Q3673&lt;&gt;"",
    Q3673&lt;&gt;0,
    OR(
      TRIM(C3673)=TRIM(Enginuity!$A$18),
      AND(UPPER(TRIM(M3673))="STD", TRIM(B3673)=TRIM(Enginuity!$A$17))
    ),
    OR(
      AND(LEFT(P3673,5)="1-Way", Enginuity!$B$13=1),
      AND(LEFT(P3673,5)="2-Way", OR(Enginuity!$B$13=2, Enginuity!$B$13=4)),
      AND(LEFT(P3673,5)="3-Way", OR(Enginuity!$B$13=3, Enginuity!$B$13=6)),
      AND(P3673="Inner Centre Jamb", OR(Enginuity!$B$13=4, Enginuity!$B$13=6)),
      AND(
        LEFT(P3673,5)&lt;&gt;"1-Way",
        LEFT(P3673,5)&lt;&gt;"2-Way",
        LEFT(P3673,5)&lt;&gt;"3-Way",
        P3673&lt;&gt;"Inner Centre Jamb"
      )
    ),
    IF(OR(Enginuity!$A$1="Frameless Glass",Enginuity!$A$1="Metal Work"),
      AND(TRIM(B3673)=TRIM(Enginuity!$A$17),TRIM(C3673)=TRIM(Enginuity!$A$18)),
      TRIM(B3673)=TRIM(Enginuity!$A$17)
    )
  ),
  ROW(),
  ""
)</f>
        <v/>
      </c>
    </row>
    <row r="3674" spans="21:21" x14ac:dyDescent="0.25">
      <c r="U3674" s="104" t="str">
        <f>IF(
  AND(
    TRIM(A3674)=TRIM(Enginuity!$A$1),
    TRIM(B3674)=TRIM(Enginuity!$A$17),
    Q3674&lt;&gt;"",
    Q3674&lt;&gt;0,
    OR(
      TRIM(C3674)=TRIM(Enginuity!$A$18),
      AND(UPPER(TRIM(M3674))="STD", TRIM(B3674)=TRIM(Enginuity!$A$17))
    ),
    OR(
      AND(LEFT(P3674,5)="1-Way", Enginuity!$B$13=1),
      AND(LEFT(P3674,5)="2-Way", OR(Enginuity!$B$13=2, Enginuity!$B$13=4)),
      AND(LEFT(P3674,5)="3-Way", OR(Enginuity!$B$13=3, Enginuity!$B$13=6)),
      AND(P3674="Inner Centre Jamb", OR(Enginuity!$B$13=4, Enginuity!$B$13=6)),
      AND(
        LEFT(P3674,5)&lt;&gt;"1-Way",
        LEFT(P3674,5)&lt;&gt;"2-Way",
        LEFT(P3674,5)&lt;&gt;"3-Way",
        P3674&lt;&gt;"Inner Centre Jamb"
      )
    ),
    IF(OR(Enginuity!$A$1="Frameless Glass",Enginuity!$A$1="Metal Work"),
      AND(TRIM(B3674)=TRIM(Enginuity!$A$17),TRIM(C3674)=TRIM(Enginuity!$A$18)),
      TRIM(B3674)=TRIM(Enginuity!$A$17)
    )
  ),
  ROW(),
  ""
)</f>
        <v/>
      </c>
    </row>
    <row r="3675" spans="21:21" x14ac:dyDescent="0.25">
      <c r="U3675" s="104" t="str">
        <f>IF(
  AND(
    TRIM(A3675)=TRIM(Enginuity!$A$1),
    TRIM(B3675)=TRIM(Enginuity!$A$17),
    Q3675&lt;&gt;"",
    Q3675&lt;&gt;0,
    OR(
      TRIM(C3675)=TRIM(Enginuity!$A$18),
      AND(UPPER(TRIM(M3675))="STD", TRIM(B3675)=TRIM(Enginuity!$A$17))
    ),
    OR(
      AND(LEFT(P3675,5)="1-Way", Enginuity!$B$13=1),
      AND(LEFT(P3675,5)="2-Way", OR(Enginuity!$B$13=2, Enginuity!$B$13=4)),
      AND(LEFT(P3675,5)="3-Way", OR(Enginuity!$B$13=3, Enginuity!$B$13=6)),
      AND(P3675="Inner Centre Jamb", OR(Enginuity!$B$13=4, Enginuity!$B$13=6)),
      AND(
        LEFT(P3675,5)&lt;&gt;"1-Way",
        LEFT(P3675,5)&lt;&gt;"2-Way",
        LEFT(P3675,5)&lt;&gt;"3-Way",
        P3675&lt;&gt;"Inner Centre Jamb"
      )
    ),
    IF(OR(Enginuity!$A$1="Frameless Glass",Enginuity!$A$1="Metal Work"),
      AND(TRIM(B3675)=TRIM(Enginuity!$A$17),TRIM(C3675)=TRIM(Enginuity!$A$18)),
      TRIM(B3675)=TRIM(Enginuity!$A$17)
    )
  ),
  ROW(),
  ""
)</f>
        <v/>
      </c>
    </row>
    <row r="3676" spans="21:21" x14ac:dyDescent="0.25">
      <c r="U3676" s="104" t="str">
        <f>IF(
  AND(
    TRIM(A3676)=TRIM(Enginuity!$A$1),
    TRIM(B3676)=TRIM(Enginuity!$A$17),
    Q3676&lt;&gt;"",
    Q3676&lt;&gt;0,
    OR(
      TRIM(C3676)=TRIM(Enginuity!$A$18),
      AND(UPPER(TRIM(M3676))="STD", TRIM(B3676)=TRIM(Enginuity!$A$17))
    ),
    OR(
      AND(LEFT(P3676,5)="1-Way", Enginuity!$B$13=1),
      AND(LEFT(P3676,5)="2-Way", OR(Enginuity!$B$13=2, Enginuity!$B$13=4)),
      AND(LEFT(P3676,5)="3-Way", OR(Enginuity!$B$13=3, Enginuity!$B$13=6)),
      AND(P3676="Inner Centre Jamb", OR(Enginuity!$B$13=4, Enginuity!$B$13=6)),
      AND(
        LEFT(P3676,5)&lt;&gt;"1-Way",
        LEFT(P3676,5)&lt;&gt;"2-Way",
        LEFT(P3676,5)&lt;&gt;"3-Way",
        P3676&lt;&gt;"Inner Centre Jamb"
      )
    ),
    IF(OR(Enginuity!$A$1="Frameless Glass",Enginuity!$A$1="Metal Work"),
      AND(TRIM(B3676)=TRIM(Enginuity!$A$17),TRIM(C3676)=TRIM(Enginuity!$A$18)),
      TRIM(B3676)=TRIM(Enginuity!$A$17)
    )
  ),
  ROW(),
  ""
)</f>
        <v/>
      </c>
    </row>
    <row r="3677" spans="21:21" x14ac:dyDescent="0.25">
      <c r="U3677" s="104" t="str">
        <f>IF(
  AND(
    TRIM(A3677)=TRIM(Enginuity!$A$1),
    TRIM(B3677)=TRIM(Enginuity!$A$17),
    Q3677&lt;&gt;"",
    Q3677&lt;&gt;0,
    OR(
      TRIM(C3677)=TRIM(Enginuity!$A$18),
      AND(UPPER(TRIM(M3677))="STD", TRIM(B3677)=TRIM(Enginuity!$A$17))
    ),
    OR(
      AND(LEFT(P3677,5)="1-Way", Enginuity!$B$13=1),
      AND(LEFT(P3677,5)="2-Way", OR(Enginuity!$B$13=2, Enginuity!$B$13=4)),
      AND(LEFT(P3677,5)="3-Way", OR(Enginuity!$B$13=3, Enginuity!$B$13=6)),
      AND(P3677="Inner Centre Jamb", OR(Enginuity!$B$13=4, Enginuity!$B$13=6)),
      AND(
        LEFT(P3677,5)&lt;&gt;"1-Way",
        LEFT(P3677,5)&lt;&gt;"2-Way",
        LEFT(P3677,5)&lt;&gt;"3-Way",
        P3677&lt;&gt;"Inner Centre Jamb"
      )
    ),
    IF(OR(Enginuity!$A$1="Frameless Glass",Enginuity!$A$1="Metal Work"),
      AND(TRIM(B3677)=TRIM(Enginuity!$A$17),TRIM(C3677)=TRIM(Enginuity!$A$18)),
      TRIM(B3677)=TRIM(Enginuity!$A$17)
    )
  ),
  ROW(),
  ""
)</f>
        <v/>
      </c>
    </row>
    <row r="3678" spans="21:21" x14ac:dyDescent="0.25">
      <c r="U3678" s="104" t="str">
        <f>IF(
  AND(
    TRIM(A3678)=TRIM(Enginuity!$A$1),
    TRIM(B3678)=TRIM(Enginuity!$A$17),
    Q3678&lt;&gt;"",
    Q3678&lt;&gt;0,
    OR(
      TRIM(C3678)=TRIM(Enginuity!$A$18),
      AND(UPPER(TRIM(M3678))="STD", TRIM(B3678)=TRIM(Enginuity!$A$17))
    ),
    OR(
      AND(LEFT(P3678,5)="1-Way", Enginuity!$B$13=1),
      AND(LEFT(P3678,5)="2-Way", OR(Enginuity!$B$13=2, Enginuity!$B$13=4)),
      AND(LEFT(P3678,5)="3-Way", OR(Enginuity!$B$13=3, Enginuity!$B$13=6)),
      AND(P3678="Inner Centre Jamb", OR(Enginuity!$B$13=4, Enginuity!$B$13=6)),
      AND(
        LEFT(P3678,5)&lt;&gt;"1-Way",
        LEFT(P3678,5)&lt;&gt;"2-Way",
        LEFT(P3678,5)&lt;&gt;"3-Way",
        P3678&lt;&gt;"Inner Centre Jamb"
      )
    ),
    IF(OR(Enginuity!$A$1="Frameless Glass",Enginuity!$A$1="Metal Work"),
      AND(TRIM(B3678)=TRIM(Enginuity!$A$17),TRIM(C3678)=TRIM(Enginuity!$A$18)),
      TRIM(B3678)=TRIM(Enginuity!$A$17)
    )
  ),
  ROW(),
  ""
)</f>
        <v/>
      </c>
    </row>
    <row r="3679" spans="21:21" x14ac:dyDescent="0.25">
      <c r="U3679" s="104" t="str">
        <f>IF(
  AND(
    TRIM(A3679)=TRIM(Enginuity!$A$1),
    TRIM(B3679)=TRIM(Enginuity!$A$17),
    Q3679&lt;&gt;"",
    Q3679&lt;&gt;0,
    OR(
      TRIM(C3679)=TRIM(Enginuity!$A$18),
      AND(UPPER(TRIM(M3679))="STD", TRIM(B3679)=TRIM(Enginuity!$A$17))
    ),
    OR(
      AND(LEFT(P3679,5)="1-Way", Enginuity!$B$13=1),
      AND(LEFT(P3679,5)="2-Way", OR(Enginuity!$B$13=2, Enginuity!$B$13=4)),
      AND(LEFT(P3679,5)="3-Way", OR(Enginuity!$B$13=3, Enginuity!$B$13=6)),
      AND(P3679="Inner Centre Jamb", OR(Enginuity!$B$13=4, Enginuity!$B$13=6)),
      AND(
        LEFT(P3679,5)&lt;&gt;"1-Way",
        LEFT(P3679,5)&lt;&gt;"2-Way",
        LEFT(P3679,5)&lt;&gt;"3-Way",
        P3679&lt;&gt;"Inner Centre Jamb"
      )
    ),
    IF(OR(Enginuity!$A$1="Frameless Glass",Enginuity!$A$1="Metal Work"),
      AND(TRIM(B3679)=TRIM(Enginuity!$A$17),TRIM(C3679)=TRIM(Enginuity!$A$18)),
      TRIM(B3679)=TRIM(Enginuity!$A$17)
    )
  ),
  ROW(),
  ""
)</f>
        <v/>
      </c>
    </row>
    <row r="3680" spans="21:21" x14ac:dyDescent="0.25">
      <c r="U3680" s="104" t="str">
        <f>IF(
  AND(
    TRIM(A3680)=TRIM(Enginuity!$A$1),
    TRIM(B3680)=TRIM(Enginuity!$A$17),
    Q3680&lt;&gt;"",
    Q3680&lt;&gt;0,
    OR(
      TRIM(C3680)=TRIM(Enginuity!$A$18),
      AND(UPPER(TRIM(M3680))="STD", TRIM(B3680)=TRIM(Enginuity!$A$17))
    ),
    OR(
      AND(LEFT(P3680,5)="1-Way", Enginuity!$B$13=1),
      AND(LEFT(P3680,5)="2-Way", OR(Enginuity!$B$13=2, Enginuity!$B$13=4)),
      AND(LEFT(P3680,5)="3-Way", OR(Enginuity!$B$13=3, Enginuity!$B$13=6)),
      AND(P3680="Inner Centre Jamb", OR(Enginuity!$B$13=4, Enginuity!$B$13=6)),
      AND(
        LEFT(P3680,5)&lt;&gt;"1-Way",
        LEFT(P3680,5)&lt;&gt;"2-Way",
        LEFT(P3680,5)&lt;&gt;"3-Way",
        P3680&lt;&gt;"Inner Centre Jamb"
      )
    ),
    IF(OR(Enginuity!$A$1="Frameless Glass",Enginuity!$A$1="Metal Work"),
      AND(TRIM(B3680)=TRIM(Enginuity!$A$17),TRIM(C3680)=TRIM(Enginuity!$A$18)),
      TRIM(B3680)=TRIM(Enginuity!$A$17)
    )
  ),
  ROW(),
  ""
)</f>
        <v/>
      </c>
    </row>
    <row r="3681" spans="21:21" x14ac:dyDescent="0.25">
      <c r="U3681" s="104" t="str">
        <f>IF(
  AND(
    TRIM(A3681)=TRIM(Enginuity!$A$1),
    TRIM(B3681)=TRIM(Enginuity!$A$17),
    Q3681&lt;&gt;"",
    Q3681&lt;&gt;0,
    OR(
      TRIM(C3681)=TRIM(Enginuity!$A$18),
      AND(UPPER(TRIM(M3681))="STD", TRIM(B3681)=TRIM(Enginuity!$A$17))
    ),
    OR(
      AND(LEFT(P3681,5)="1-Way", Enginuity!$B$13=1),
      AND(LEFT(P3681,5)="2-Way", OR(Enginuity!$B$13=2, Enginuity!$B$13=4)),
      AND(LEFT(P3681,5)="3-Way", OR(Enginuity!$B$13=3, Enginuity!$B$13=6)),
      AND(P3681="Inner Centre Jamb", OR(Enginuity!$B$13=4, Enginuity!$B$13=6)),
      AND(
        LEFT(P3681,5)&lt;&gt;"1-Way",
        LEFT(P3681,5)&lt;&gt;"2-Way",
        LEFT(P3681,5)&lt;&gt;"3-Way",
        P3681&lt;&gt;"Inner Centre Jamb"
      )
    ),
    IF(OR(Enginuity!$A$1="Frameless Glass",Enginuity!$A$1="Metal Work"),
      AND(TRIM(B3681)=TRIM(Enginuity!$A$17),TRIM(C3681)=TRIM(Enginuity!$A$18)),
      TRIM(B3681)=TRIM(Enginuity!$A$17)
    )
  ),
  ROW(),
  ""
)</f>
        <v/>
      </c>
    </row>
    <row r="3682" spans="21:21" x14ac:dyDescent="0.25">
      <c r="U3682" s="104" t="str">
        <f>IF(
  AND(
    TRIM(A3682)=TRIM(Enginuity!$A$1),
    TRIM(B3682)=TRIM(Enginuity!$A$17),
    Q3682&lt;&gt;"",
    Q3682&lt;&gt;0,
    OR(
      TRIM(C3682)=TRIM(Enginuity!$A$18),
      AND(UPPER(TRIM(M3682))="STD", TRIM(B3682)=TRIM(Enginuity!$A$17))
    ),
    OR(
      AND(LEFT(P3682,5)="1-Way", Enginuity!$B$13=1),
      AND(LEFT(P3682,5)="2-Way", OR(Enginuity!$B$13=2, Enginuity!$B$13=4)),
      AND(LEFT(P3682,5)="3-Way", OR(Enginuity!$B$13=3, Enginuity!$B$13=6)),
      AND(P3682="Inner Centre Jamb", OR(Enginuity!$B$13=4, Enginuity!$B$13=6)),
      AND(
        LEFT(P3682,5)&lt;&gt;"1-Way",
        LEFT(P3682,5)&lt;&gt;"2-Way",
        LEFT(P3682,5)&lt;&gt;"3-Way",
        P3682&lt;&gt;"Inner Centre Jamb"
      )
    ),
    IF(OR(Enginuity!$A$1="Frameless Glass",Enginuity!$A$1="Metal Work"),
      AND(TRIM(B3682)=TRIM(Enginuity!$A$17),TRIM(C3682)=TRIM(Enginuity!$A$18)),
      TRIM(B3682)=TRIM(Enginuity!$A$17)
    )
  ),
  ROW(),
  ""
)</f>
        <v/>
      </c>
    </row>
    <row r="3683" spans="21:21" x14ac:dyDescent="0.25">
      <c r="U3683" s="104" t="str">
        <f>IF(
  AND(
    TRIM(A3683)=TRIM(Enginuity!$A$1),
    TRIM(B3683)=TRIM(Enginuity!$A$17),
    Q3683&lt;&gt;"",
    Q3683&lt;&gt;0,
    OR(
      TRIM(C3683)=TRIM(Enginuity!$A$18),
      AND(UPPER(TRIM(M3683))="STD", TRIM(B3683)=TRIM(Enginuity!$A$17))
    ),
    OR(
      AND(LEFT(P3683,5)="1-Way", Enginuity!$B$13=1),
      AND(LEFT(P3683,5)="2-Way", OR(Enginuity!$B$13=2, Enginuity!$B$13=4)),
      AND(LEFT(P3683,5)="3-Way", OR(Enginuity!$B$13=3, Enginuity!$B$13=6)),
      AND(P3683="Inner Centre Jamb", OR(Enginuity!$B$13=4, Enginuity!$B$13=6)),
      AND(
        LEFT(P3683,5)&lt;&gt;"1-Way",
        LEFT(P3683,5)&lt;&gt;"2-Way",
        LEFT(P3683,5)&lt;&gt;"3-Way",
        P3683&lt;&gt;"Inner Centre Jamb"
      )
    ),
    IF(OR(Enginuity!$A$1="Frameless Glass",Enginuity!$A$1="Metal Work"),
      AND(TRIM(B3683)=TRIM(Enginuity!$A$17),TRIM(C3683)=TRIM(Enginuity!$A$18)),
      TRIM(B3683)=TRIM(Enginuity!$A$17)
    )
  ),
  ROW(),
  ""
)</f>
        <v/>
      </c>
    </row>
    <row r="3684" spans="21:21" x14ac:dyDescent="0.25">
      <c r="U3684" s="104" t="str">
        <f>IF(
  AND(
    TRIM(A3684)=TRIM(Enginuity!$A$1),
    TRIM(B3684)=TRIM(Enginuity!$A$17),
    Q3684&lt;&gt;"",
    Q3684&lt;&gt;0,
    OR(
      TRIM(C3684)=TRIM(Enginuity!$A$18),
      AND(UPPER(TRIM(M3684))="STD", TRIM(B3684)=TRIM(Enginuity!$A$17))
    ),
    OR(
      AND(LEFT(P3684,5)="1-Way", Enginuity!$B$13=1),
      AND(LEFT(P3684,5)="2-Way", OR(Enginuity!$B$13=2, Enginuity!$B$13=4)),
      AND(LEFT(P3684,5)="3-Way", OR(Enginuity!$B$13=3, Enginuity!$B$13=6)),
      AND(P3684="Inner Centre Jamb", OR(Enginuity!$B$13=4, Enginuity!$B$13=6)),
      AND(
        LEFT(P3684,5)&lt;&gt;"1-Way",
        LEFT(P3684,5)&lt;&gt;"2-Way",
        LEFT(P3684,5)&lt;&gt;"3-Way",
        P3684&lt;&gt;"Inner Centre Jamb"
      )
    ),
    IF(OR(Enginuity!$A$1="Frameless Glass",Enginuity!$A$1="Metal Work"),
      AND(TRIM(B3684)=TRIM(Enginuity!$A$17),TRIM(C3684)=TRIM(Enginuity!$A$18)),
      TRIM(B3684)=TRIM(Enginuity!$A$17)
    )
  ),
  ROW(),
  ""
)</f>
        <v/>
      </c>
    </row>
    <row r="3685" spans="21:21" x14ac:dyDescent="0.25">
      <c r="U3685" s="104" t="str">
        <f>IF(
  AND(
    TRIM(A3685)=TRIM(Enginuity!$A$1),
    TRIM(B3685)=TRIM(Enginuity!$A$17),
    Q3685&lt;&gt;"",
    Q3685&lt;&gt;0,
    OR(
      TRIM(C3685)=TRIM(Enginuity!$A$18),
      AND(UPPER(TRIM(M3685))="STD", TRIM(B3685)=TRIM(Enginuity!$A$17))
    ),
    OR(
      AND(LEFT(P3685,5)="1-Way", Enginuity!$B$13=1),
      AND(LEFT(P3685,5)="2-Way", OR(Enginuity!$B$13=2, Enginuity!$B$13=4)),
      AND(LEFT(P3685,5)="3-Way", OR(Enginuity!$B$13=3, Enginuity!$B$13=6)),
      AND(P3685="Inner Centre Jamb", OR(Enginuity!$B$13=4, Enginuity!$B$13=6)),
      AND(
        LEFT(P3685,5)&lt;&gt;"1-Way",
        LEFT(P3685,5)&lt;&gt;"2-Way",
        LEFT(P3685,5)&lt;&gt;"3-Way",
        P3685&lt;&gt;"Inner Centre Jamb"
      )
    ),
    IF(OR(Enginuity!$A$1="Frameless Glass",Enginuity!$A$1="Metal Work"),
      AND(TRIM(B3685)=TRIM(Enginuity!$A$17),TRIM(C3685)=TRIM(Enginuity!$A$18)),
      TRIM(B3685)=TRIM(Enginuity!$A$17)
    )
  ),
  ROW(),
  ""
)</f>
        <v/>
      </c>
    </row>
    <row r="3686" spans="21:21" x14ac:dyDescent="0.25">
      <c r="U3686" s="104" t="str">
        <f>IF(
  AND(
    TRIM(A3686)=TRIM(Enginuity!$A$1),
    TRIM(B3686)=TRIM(Enginuity!$A$17),
    Q3686&lt;&gt;"",
    Q3686&lt;&gt;0,
    OR(
      TRIM(C3686)=TRIM(Enginuity!$A$18),
      AND(UPPER(TRIM(M3686))="STD", TRIM(B3686)=TRIM(Enginuity!$A$17))
    ),
    OR(
      AND(LEFT(P3686,5)="1-Way", Enginuity!$B$13=1),
      AND(LEFT(P3686,5)="2-Way", OR(Enginuity!$B$13=2, Enginuity!$B$13=4)),
      AND(LEFT(P3686,5)="3-Way", OR(Enginuity!$B$13=3, Enginuity!$B$13=6)),
      AND(P3686="Inner Centre Jamb", OR(Enginuity!$B$13=4, Enginuity!$B$13=6)),
      AND(
        LEFT(P3686,5)&lt;&gt;"1-Way",
        LEFT(P3686,5)&lt;&gt;"2-Way",
        LEFT(P3686,5)&lt;&gt;"3-Way",
        P3686&lt;&gt;"Inner Centre Jamb"
      )
    ),
    IF(OR(Enginuity!$A$1="Frameless Glass",Enginuity!$A$1="Metal Work"),
      AND(TRIM(B3686)=TRIM(Enginuity!$A$17),TRIM(C3686)=TRIM(Enginuity!$A$18)),
      TRIM(B3686)=TRIM(Enginuity!$A$17)
    )
  ),
  ROW(),
  ""
)</f>
        <v/>
      </c>
    </row>
    <row r="3687" spans="21:21" x14ac:dyDescent="0.25">
      <c r="U3687" s="104" t="str">
        <f>IF(
  AND(
    TRIM(A3687)=TRIM(Enginuity!$A$1),
    TRIM(B3687)=TRIM(Enginuity!$A$17),
    Q3687&lt;&gt;"",
    Q3687&lt;&gt;0,
    OR(
      TRIM(C3687)=TRIM(Enginuity!$A$18),
      AND(UPPER(TRIM(M3687))="STD", TRIM(B3687)=TRIM(Enginuity!$A$17))
    ),
    OR(
      AND(LEFT(P3687,5)="1-Way", Enginuity!$B$13=1),
      AND(LEFT(P3687,5)="2-Way", OR(Enginuity!$B$13=2, Enginuity!$B$13=4)),
      AND(LEFT(P3687,5)="3-Way", OR(Enginuity!$B$13=3, Enginuity!$B$13=6)),
      AND(P3687="Inner Centre Jamb", OR(Enginuity!$B$13=4, Enginuity!$B$13=6)),
      AND(
        LEFT(P3687,5)&lt;&gt;"1-Way",
        LEFT(P3687,5)&lt;&gt;"2-Way",
        LEFT(P3687,5)&lt;&gt;"3-Way",
        P3687&lt;&gt;"Inner Centre Jamb"
      )
    ),
    IF(OR(Enginuity!$A$1="Frameless Glass",Enginuity!$A$1="Metal Work"),
      AND(TRIM(B3687)=TRIM(Enginuity!$A$17),TRIM(C3687)=TRIM(Enginuity!$A$18)),
      TRIM(B3687)=TRIM(Enginuity!$A$17)
    )
  ),
  ROW(),
  ""
)</f>
        <v/>
      </c>
    </row>
    <row r="3688" spans="21:21" x14ac:dyDescent="0.25">
      <c r="U3688" s="104" t="str">
        <f>IF(
  AND(
    TRIM(A3688)=TRIM(Enginuity!$A$1),
    TRIM(B3688)=TRIM(Enginuity!$A$17),
    Q3688&lt;&gt;"",
    Q3688&lt;&gt;0,
    OR(
      TRIM(C3688)=TRIM(Enginuity!$A$18),
      AND(UPPER(TRIM(M3688))="STD", TRIM(B3688)=TRIM(Enginuity!$A$17))
    ),
    OR(
      AND(LEFT(P3688,5)="1-Way", Enginuity!$B$13=1),
      AND(LEFT(P3688,5)="2-Way", OR(Enginuity!$B$13=2, Enginuity!$B$13=4)),
      AND(LEFT(P3688,5)="3-Way", OR(Enginuity!$B$13=3, Enginuity!$B$13=6)),
      AND(P3688="Inner Centre Jamb", OR(Enginuity!$B$13=4, Enginuity!$B$13=6)),
      AND(
        LEFT(P3688,5)&lt;&gt;"1-Way",
        LEFT(P3688,5)&lt;&gt;"2-Way",
        LEFT(P3688,5)&lt;&gt;"3-Way",
        P3688&lt;&gt;"Inner Centre Jamb"
      )
    ),
    IF(OR(Enginuity!$A$1="Frameless Glass",Enginuity!$A$1="Metal Work"),
      AND(TRIM(B3688)=TRIM(Enginuity!$A$17),TRIM(C3688)=TRIM(Enginuity!$A$18)),
      TRIM(B3688)=TRIM(Enginuity!$A$17)
    )
  ),
  ROW(),
  ""
)</f>
        <v/>
      </c>
    </row>
    <row r="3689" spans="21:21" x14ac:dyDescent="0.25">
      <c r="U3689" s="104" t="str">
        <f>IF(
  AND(
    TRIM(A3689)=TRIM(Enginuity!$A$1),
    TRIM(B3689)=TRIM(Enginuity!$A$17),
    Q3689&lt;&gt;"",
    Q3689&lt;&gt;0,
    OR(
      TRIM(C3689)=TRIM(Enginuity!$A$18),
      AND(UPPER(TRIM(M3689))="STD", TRIM(B3689)=TRIM(Enginuity!$A$17))
    ),
    OR(
      AND(LEFT(P3689,5)="1-Way", Enginuity!$B$13=1),
      AND(LEFT(P3689,5)="2-Way", OR(Enginuity!$B$13=2, Enginuity!$B$13=4)),
      AND(LEFT(P3689,5)="3-Way", OR(Enginuity!$B$13=3, Enginuity!$B$13=6)),
      AND(P3689="Inner Centre Jamb", OR(Enginuity!$B$13=4, Enginuity!$B$13=6)),
      AND(
        LEFT(P3689,5)&lt;&gt;"1-Way",
        LEFT(P3689,5)&lt;&gt;"2-Way",
        LEFT(P3689,5)&lt;&gt;"3-Way",
        P3689&lt;&gt;"Inner Centre Jamb"
      )
    ),
    IF(OR(Enginuity!$A$1="Frameless Glass",Enginuity!$A$1="Metal Work"),
      AND(TRIM(B3689)=TRIM(Enginuity!$A$17),TRIM(C3689)=TRIM(Enginuity!$A$18)),
      TRIM(B3689)=TRIM(Enginuity!$A$17)
    )
  ),
  ROW(),
  ""
)</f>
        <v/>
      </c>
    </row>
    <row r="3690" spans="21:21" x14ac:dyDescent="0.25">
      <c r="U3690" s="104" t="str">
        <f>IF(
  AND(
    TRIM(A3690)=TRIM(Enginuity!$A$1),
    TRIM(B3690)=TRIM(Enginuity!$A$17),
    Q3690&lt;&gt;"",
    Q3690&lt;&gt;0,
    OR(
      TRIM(C3690)=TRIM(Enginuity!$A$18),
      AND(UPPER(TRIM(M3690))="STD", TRIM(B3690)=TRIM(Enginuity!$A$17))
    ),
    OR(
      AND(LEFT(P3690,5)="1-Way", Enginuity!$B$13=1),
      AND(LEFT(P3690,5)="2-Way", OR(Enginuity!$B$13=2, Enginuity!$B$13=4)),
      AND(LEFT(P3690,5)="3-Way", OR(Enginuity!$B$13=3, Enginuity!$B$13=6)),
      AND(P3690="Inner Centre Jamb", OR(Enginuity!$B$13=4, Enginuity!$B$13=6)),
      AND(
        LEFT(P3690,5)&lt;&gt;"1-Way",
        LEFT(P3690,5)&lt;&gt;"2-Way",
        LEFT(P3690,5)&lt;&gt;"3-Way",
        P3690&lt;&gt;"Inner Centre Jamb"
      )
    ),
    IF(OR(Enginuity!$A$1="Frameless Glass",Enginuity!$A$1="Metal Work"),
      AND(TRIM(B3690)=TRIM(Enginuity!$A$17),TRIM(C3690)=TRIM(Enginuity!$A$18)),
      TRIM(B3690)=TRIM(Enginuity!$A$17)
    )
  ),
  ROW(),
  ""
)</f>
        <v/>
      </c>
    </row>
    <row r="3691" spans="21:21" x14ac:dyDescent="0.25">
      <c r="U3691" s="104" t="str">
        <f>IF(
  AND(
    TRIM(A3691)=TRIM(Enginuity!$A$1),
    TRIM(B3691)=TRIM(Enginuity!$A$17),
    Q3691&lt;&gt;"",
    Q3691&lt;&gt;0,
    OR(
      TRIM(C3691)=TRIM(Enginuity!$A$18),
      AND(UPPER(TRIM(M3691))="STD", TRIM(B3691)=TRIM(Enginuity!$A$17))
    ),
    OR(
      AND(LEFT(P3691,5)="1-Way", Enginuity!$B$13=1),
      AND(LEFT(P3691,5)="2-Way", OR(Enginuity!$B$13=2, Enginuity!$B$13=4)),
      AND(LEFT(P3691,5)="3-Way", OR(Enginuity!$B$13=3, Enginuity!$B$13=6)),
      AND(P3691="Inner Centre Jamb", OR(Enginuity!$B$13=4, Enginuity!$B$13=6)),
      AND(
        LEFT(P3691,5)&lt;&gt;"1-Way",
        LEFT(P3691,5)&lt;&gt;"2-Way",
        LEFT(P3691,5)&lt;&gt;"3-Way",
        P3691&lt;&gt;"Inner Centre Jamb"
      )
    ),
    IF(OR(Enginuity!$A$1="Frameless Glass",Enginuity!$A$1="Metal Work"),
      AND(TRIM(B3691)=TRIM(Enginuity!$A$17),TRIM(C3691)=TRIM(Enginuity!$A$18)),
      TRIM(B3691)=TRIM(Enginuity!$A$17)
    )
  ),
  ROW(),
  ""
)</f>
        <v/>
      </c>
    </row>
    <row r="3692" spans="21:21" x14ac:dyDescent="0.25">
      <c r="U3692" s="104" t="str">
        <f>IF(
  AND(
    TRIM(A3692)=TRIM(Enginuity!$A$1),
    TRIM(B3692)=TRIM(Enginuity!$A$17),
    Q3692&lt;&gt;"",
    Q3692&lt;&gt;0,
    OR(
      TRIM(C3692)=TRIM(Enginuity!$A$18),
      AND(UPPER(TRIM(M3692))="STD", TRIM(B3692)=TRIM(Enginuity!$A$17))
    ),
    OR(
      AND(LEFT(P3692,5)="1-Way", Enginuity!$B$13=1),
      AND(LEFT(P3692,5)="2-Way", OR(Enginuity!$B$13=2, Enginuity!$B$13=4)),
      AND(LEFT(P3692,5)="3-Way", OR(Enginuity!$B$13=3, Enginuity!$B$13=6)),
      AND(P3692="Inner Centre Jamb", OR(Enginuity!$B$13=4, Enginuity!$B$13=6)),
      AND(
        LEFT(P3692,5)&lt;&gt;"1-Way",
        LEFT(P3692,5)&lt;&gt;"2-Way",
        LEFT(P3692,5)&lt;&gt;"3-Way",
        P3692&lt;&gt;"Inner Centre Jamb"
      )
    ),
    IF(OR(Enginuity!$A$1="Frameless Glass",Enginuity!$A$1="Metal Work"),
      AND(TRIM(B3692)=TRIM(Enginuity!$A$17),TRIM(C3692)=TRIM(Enginuity!$A$18)),
      TRIM(B3692)=TRIM(Enginuity!$A$17)
    )
  ),
  ROW(),
  ""
)</f>
        <v/>
      </c>
    </row>
    <row r="3693" spans="21:21" x14ac:dyDescent="0.25">
      <c r="U3693" s="104" t="str">
        <f>IF(
  AND(
    TRIM(A3693)=TRIM(Enginuity!$A$1),
    TRIM(B3693)=TRIM(Enginuity!$A$17),
    Q3693&lt;&gt;"",
    Q3693&lt;&gt;0,
    OR(
      TRIM(C3693)=TRIM(Enginuity!$A$18),
      AND(UPPER(TRIM(M3693))="STD", TRIM(B3693)=TRIM(Enginuity!$A$17))
    ),
    OR(
      AND(LEFT(P3693,5)="1-Way", Enginuity!$B$13=1),
      AND(LEFT(P3693,5)="2-Way", OR(Enginuity!$B$13=2, Enginuity!$B$13=4)),
      AND(LEFT(P3693,5)="3-Way", OR(Enginuity!$B$13=3, Enginuity!$B$13=6)),
      AND(P3693="Inner Centre Jamb", OR(Enginuity!$B$13=4, Enginuity!$B$13=6)),
      AND(
        LEFT(P3693,5)&lt;&gt;"1-Way",
        LEFT(P3693,5)&lt;&gt;"2-Way",
        LEFT(P3693,5)&lt;&gt;"3-Way",
        P3693&lt;&gt;"Inner Centre Jamb"
      )
    ),
    IF(OR(Enginuity!$A$1="Frameless Glass",Enginuity!$A$1="Metal Work"),
      AND(TRIM(B3693)=TRIM(Enginuity!$A$17),TRIM(C3693)=TRIM(Enginuity!$A$18)),
      TRIM(B3693)=TRIM(Enginuity!$A$17)
    )
  ),
  ROW(),
  ""
)</f>
        <v/>
      </c>
    </row>
    <row r="3694" spans="21:21" x14ac:dyDescent="0.25">
      <c r="U3694" s="104" t="str">
        <f>IF(
  AND(
    TRIM(A3694)=TRIM(Enginuity!$A$1),
    TRIM(B3694)=TRIM(Enginuity!$A$17),
    Q3694&lt;&gt;"",
    Q3694&lt;&gt;0,
    OR(
      TRIM(C3694)=TRIM(Enginuity!$A$18),
      AND(UPPER(TRIM(M3694))="STD", TRIM(B3694)=TRIM(Enginuity!$A$17))
    ),
    OR(
      AND(LEFT(P3694,5)="1-Way", Enginuity!$B$13=1),
      AND(LEFT(P3694,5)="2-Way", OR(Enginuity!$B$13=2, Enginuity!$B$13=4)),
      AND(LEFT(P3694,5)="3-Way", OR(Enginuity!$B$13=3, Enginuity!$B$13=6)),
      AND(P3694="Inner Centre Jamb", OR(Enginuity!$B$13=4, Enginuity!$B$13=6)),
      AND(
        LEFT(P3694,5)&lt;&gt;"1-Way",
        LEFT(P3694,5)&lt;&gt;"2-Way",
        LEFT(P3694,5)&lt;&gt;"3-Way",
        P3694&lt;&gt;"Inner Centre Jamb"
      )
    ),
    IF(OR(Enginuity!$A$1="Frameless Glass",Enginuity!$A$1="Metal Work"),
      AND(TRIM(B3694)=TRIM(Enginuity!$A$17),TRIM(C3694)=TRIM(Enginuity!$A$18)),
      TRIM(B3694)=TRIM(Enginuity!$A$17)
    )
  ),
  ROW(),
  ""
)</f>
        <v/>
      </c>
    </row>
    <row r="3695" spans="21:21" x14ac:dyDescent="0.25">
      <c r="U3695" s="104" t="str">
        <f>IF(
  AND(
    TRIM(A3695)=TRIM(Enginuity!$A$1),
    TRIM(B3695)=TRIM(Enginuity!$A$17),
    Q3695&lt;&gt;"",
    Q3695&lt;&gt;0,
    OR(
      TRIM(C3695)=TRIM(Enginuity!$A$18),
      AND(UPPER(TRIM(M3695))="STD", TRIM(B3695)=TRIM(Enginuity!$A$17))
    ),
    OR(
      AND(LEFT(P3695,5)="1-Way", Enginuity!$B$13=1),
      AND(LEFT(P3695,5)="2-Way", OR(Enginuity!$B$13=2, Enginuity!$B$13=4)),
      AND(LEFT(P3695,5)="3-Way", OR(Enginuity!$B$13=3, Enginuity!$B$13=6)),
      AND(P3695="Inner Centre Jamb", OR(Enginuity!$B$13=4, Enginuity!$B$13=6)),
      AND(
        LEFT(P3695,5)&lt;&gt;"1-Way",
        LEFT(P3695,5)&lt;&gt;"2-Way",
        LEFT(P3695,5)&lt;&gt;"3-Way",
        P3695&lt;&gt;"Inner Centre Jamb"
      )
    ),
    IF(OR(Enginuity!$A$1="Frameless Glass",Enginuity!$A$1="Metal Work"),
      AND(TRIM(B3695)=TRIM(Enginuity!$A$17),TRIM(C3695)=TRIM(Enginuity!$A$18)),
      TRIM(B3695)=TRIM(Enginuity!$A$17)
    )
  ),
  ROW(),
  ""
)</f>
        <v/>
      </c>
    </row>
    <row r="3696" spans="21:21" x14ac:dyDescent="0.25">
      <c r="U3696" s="104" t="str">
        <f>IF(
  AND(
    TRIM(A3696)=TRIM(Enginuity!$A$1),
    TRIM(B3696)=TRIM(Enginuity!$A$17),
    Q3696&lt;&gt;"",
    Q3696&lt;&gt;0,
    OR(
      TRIM(C3696)=TRIM(Enginuity!$A$18),
      AND(UPPER(TRIM(M3696))="STD", TRIM(B3696)=TRIM(Enginuity!$A$17))
    ),
    OR(
      AND(LEFT(P3696,5)="1-Way", Enginuity!$B$13=1),
      AND(LEFT(P3696,5)="2-Way", OR(Enginuity!$B$13=2, Enginuity!$B$13=4)),
      AND(LEFT(P3696,5)="3-Way", OR(Enginuity!$B$13=3, Enginuity!$B$13=6)),
      AND(P3696="Inner Centre Jamb", OR(Enginuity!$B$13=4, Enginuity!$B$13=6)),
      AND(
        LEFT(P3696,5)&lt;&gt;"1-Way",
        LEFT(P3696,5)&lt;&gt;"2-Way",
        LEFT(P3696,5)&lt;&gt;"3-Way",
        P3696&lt;&gt;"Inner Centre Jamb"
      )
    ),
    IF(OR(Enginuity!$A$1="Frameless Glass",Enginuity!$A$1="Metal Work"),
      AND(TRIM(B3696)=TRIM(Enginuity!$A$17),TRIM(C3696)=TRIM(Enginuity!$A$18)),
      TRIM(B3696)=TRIM(Enginuity!$A$17)
    )
  ),
  ROW(),
  ""
)</f>
        <v/>
      </c>
    </row>
    <row r="3697" spans="21:21" x14ac:dyDescent="0.25">
      <c r="U3697" s="104" t="str">
        <f>IF(
  AND(
    TRIM(A3697)=TRIM(Enginuity!$A$1),
    TRIM(B3697)=TRIM(Enginuity!$A$17),
    Q3697&lt;&gt;"",
    Q3697&lt;&gt;0,
    OR(
      TRIM(C3697)=TRIM(Enginuity!$A$18),
      AND(UPPER(TRIM(M3697))="STD", TRIM(B3697)=TRIM(Enginuity!$A$17))
    ),
    OR(
      AND(LEFT(P3697,5)="1-Way", Enginuity!$B$13=1),
      AND(LEFT(P3697,5)="2-Way", OR(Enginuity!$B$13=2, Enginuity!$B$13=4)),
      AND(LEFT(P3697,5)="3-Way", OR(Enginuity!$B$13=3, Enginuity!$B$13=6)),
      AND(P3697="Inner Centre Jamb", OR(Enginuity!$B$13=4, Enginuity!$B$13=6)),
      AND(
        LEFT(P3697,5)&lt;&gt;"1-Way",
        LEFT(P3697,5)&lt;&gt;"2-Way",
        LEFT(P3697,5)&lt;&gt;"3-Way",
        P3697&lt;&gt;"Inner Centre Jamb"
      )
    ),
    IF(OR(Enginuity!$A$1="Frameless Glass",Enginuity!$A$1="Metal Work"),
      AND(TRIM(B3697)=TRIM(Enginuity!$A$17),TRIM(C3697)=TRIM(Enginuity!$A$18)),
      TRIM(B3697)=TRIM(Enginuity!$A$17)
    )
  ),
  ROW(),
  ""
)</f>
        <v/>
      </c>
    </row>
    <row r="3698" spans="21:21" x14ac:dyDescent="0.25">
      <c r="U3698" s="104" t="str">
        <f>IF(
  AND(
    TRIM(A3698)=TRIM(Enginuity!$A$1),
    TRIM(B3698)=TRIM(Enginuity!$A$17),
    Q3698&lt;&gt;"",
    Q3698&lt;&gt;0,
    OR(
      TRIM(C3698)=TRIM(Enginuity!$A$18),
      AND(UPPER(TRIM(M3698))="STD", TRIM(B3698)=TRIM(Enginuity!$A$17))
    ),
    OR(
      AND(LEFT(P3698,5)="1-Way", Enginuity!$B$13=1),
      AND(LEFT(P3698,5)="2-Way", OR(Enginuity!$B$13=2, Enginuity!$B$13=4)),
      AND(LEFT(P3698,5)="3-Way", OR(Enginuity!$B$13=3, Enginuity!$B$13=6)),
      AND(P3698="Inner Centre Jamb", OR(Enginuity!$B$13=4, Enginuity!$B$13=6)),
      AND(
        LEFT(P3698,5)&lt;&gt;"1-Way",
        LEFT(P3698,5)&lt;&gt;"2-Way",
        LEFT(P3698,5)&lt;&gt;"3-Way",
        P3698&lt;&gt;"Inner Centre Jamb"
      )
    ),
    IF(OR(Enginuity!$A$1="Frameless Glass",Enginuity!$A$1="Metal Work"),
      AND(TRIM(B3698)=TRIM(Enginuity!$A$17),TRIM(C3698)=TRIM(Enginuity!$A$18)),
      TRIM(B3698)=TRIM(Enginuity!$A$17)
    )
  ),
  ROW(),
  ""
)</f>
        <v/>
      </c>
    </row>
    <row r="3699" spans="21:21" x14ac:dyDescent="0.25">
      <c r="U3699" s="104" t="str">
        <f>IF(
  AND(
    TRIM(A3699)=TRIM(Enginuity!$A$1),
    TRIM(B3699)=TRIM(Enginuity!$A$17),
    Q3699&lt;&gt;"",
    Q3699&lt;&gt;0,
    OR(
      TRIM(C3699)=TRIM(Enginuity!$A$18),
      AND(UPPER(TRIM(M3699))="STD", TRIM(B3699)=TRIM(Enginuity!$A$17))
    ),
    OR(
      AND(LEFT(P3699,5)="1-Way", Enginuity!$B$13=1),
      AND(LEFT(P3699,5)="2-Way", OR(Enginuity!$B$13=2, Enginuity!$B$13=4)),
      AND(LEFT(P3699,5)="3-Way", OR(Enginuity!$B$13=3, Enginuity!$B$13=6)),
      AND(P3699="Inner Centre Jamb", OR(Enginuity!$B$13=4, Enginuity!$B$13=6)),
      AND(
        LEFT(P3699,5)&lt;&gt;"1-Way",
        LEFT(P3699,5)&lt;&gt;"2-Way",
        LEFT(P3699,5)&lt;&gt;"3-Way",
        P3699&lt;&gt;"Inner Centre Jamb"
      )
    ),
    IF(OR(Enginuity!$A$1="Frameless Glass",Enginuity!$A$1="Metal Work"),
      AND(TRIM(B3699)=TRIM(Enginuity!$A$17),TRIM(C3699)=TRIM(Enginuity!$A$18)),
      TRIM(B3699)=TRIM(Enginuity!$A$17)
    )
  ),
  ROW(),
  ""
)</f>
        <v/>
      </c>
    </row>
    <row r="3700" spans="21:21" x14ac:dyDescent="0.25">
      <c r="U3700" s="104" t="str">
        <f>IF(
  AND(
    TRIM(A3700)=TRIM(Enginuity!$A$1),
    TRIM(B3700)=TRIM(Enginuity!$A$17),
    Q3700&lt;&gt;"",
    Q3700&lt;&gt;0,
    OR(
      TRIM(C3700)=TRIM(Enginuity!$A$18),
      AND(UPPER(TRIM(M3700))="STD", TRIM(B3700)=TRIM(Enginuity!$A$17))
    ),
    OR(
      AND(LEFT(P3700,5)="1-Way", Enginuity!$B$13=1),
      AND(LEFT(P3700,5)="2-Way", OR(Enginuity!$B$13=2, Enginuity!$B$13=4)),
      AND(LEFT(P3700,5)="3-Way", OR(Enginuity!$B$13=3, Enginuity!$B$13=6)),
      AND(P3700="Inner Centre Jamb", OR(Enginuity!$B$13=4, Enginuity!$B$13=6)),
      AND(
        LEFT(P3700,5)&lt;&gt;"1-Way",
        LEFT(P3700,5)&lt;&gt;"2-Way",
        LEFT(P3700,5)&lt;&gt;"3-Way",
        P3700&lt;&gt;"Inner Centre Jamb"
      )
    ),
    IF(OR(Enginuity!$A$1="Frameless Glass",Enginuity!$A$1="Metal Work"),
      AND(TRIM(B3700)=TRIM(Enginuity!$A$17),TRIM(C3700)=TRIM(Enginuity!$A$18)),
      TRIM(B3700)=TRIM(Enginuity!$A$17)
    )
  ),
  ROW(),
  ""
)</f>
        <v/>
      </c>
    </row>
    <row r="3701" spans="21:21" x14ac:dyDescent="0.25">
      <c r="U3701" s="104" t="str">
        <f>IF(
  AND(
    TRIM(A3701)=TRIM(Enginuity!$A$1),
    TRIM(B3701)=TRIM(Enginuity!$A$17),
    Q3701&lt;&gt;"",
    Q3701&lt;&gt;0,
    OR(
      TRIM(C3701)=TRIM(Enginuity!$A$18),
      AND(UPPER(TRIM(M3701))="STD", TRIM(B3701)=TRIM(Enginuity!$A$17))
    ),
    OR(
      AND(LEFT(P3701,5)="1-Way", Enginuity!$B$13=1),
      AND(LEFT(P3701,5)="2-Way", OR(Enginuity!$B$13=2, Enginuity!$B$13=4)),
      AND(LEFT(P3701,5)="3-Way", OR(Enginuity!$B$13=3, Enginuity!$B$13=6)),
      AND(P3701="Inner Centre Jamb", OR(Enginuity!$B$13=4, Enginuity!$B$13=6)),
      AND(
        LEFT(P3701,5)&lt;&gt;"1-Way",
        LEFT(P3701,5)&lt;&gt;"2-Way",
        LEFT(P3701,5)&lt;&gt;"3-Way",
        P3701&lt;&gt;"Inner Centre Jamb"
      )
    ),
    IF(OR(Enginuity!$A$1="Frameless Glass",Enginuity!$A$1="Metal Work"),
      AND(TRIM(B3701)=TRIM(Enginuity!$A$17),TRIM(C3701)=TRIM(Enginuity!$A$18)),
      TRIM(B3701)=TRIM(Enginuity!$A$17)
    )
  ),
  ROW(),
  ""
)</f>
        <v/>
      </c>
    </row>
    <row r="3702" spans="21:21" x14ac:dyDescent="0.25">
      <c r="U3702" s="104" t="str">
        <f>IF(
  AND(
    TRIM(A3702)=TRIM(Enginuity!$A$1),
    TRIM(B3702)=TRIM(Enginuity!$A$17),
    Q3702&lt;&gt;"",
    Q3702&lt;&gt;0,
    OR(
      TRIM(C3702)=TRIM(Enginuity!$A$18),
      AND(UPPER(TRIM(M3702))="STD", TRIM(B3702)=TRIM(Enginuity!$A$17))
    ),
    OR(
      AND(LEFT(P3702,5)="1-Way", Enginuity!$B$13=1),
      AND(LEFT(P3702,5)="2-Way", OR(Enginuity!$B$13=2, Enginuity!$B$13=4)),
      AND(LEFT(P3702,5)="3-Way", OR(Enginuity!$B$13=3, Enginuity!$B$13=6)),
      AND(P3702="Inner Centre Jamb", OR(Enginuity!$B$13=4, Enginuity!$B$13=6)),
      AND(
        LEFT(P3702,5)&lt;&gt;"1-Way",
        LEFT(P3702,5)&lt;&gt;"2-Way",
        LEFT(P3702,5)&lt;&gt;"3-Way",
        P3702&lt;&gt;"Inner Centre Jamb"
      )
    ),
    IF(OR(Enginuity!$A$1="Frameless Glass",Enginuity!$A$1="Metal Work"),
      AND(TRIM(B3702)=TRIM(Enginuity!$A$17),TRIM(C3702)=TRIM(Enginuity!$A$18)),
      TRIM(B3702)=TRIM(Enginuity!$A$17)
    )
  ),
  ROW(),
  ""
)</f>
        <v/>
      </c>
    </row>
    <row r="3703" spans="21:21" x14ac:dyDescent="0.25">
      <c r="U3703" s="104" t="str">
        <f>IF(
  AND(
    TRIM(A3703)=TRIM(Enginuity!$A$1),
    TRIM(B3703)=TRIM(Enginuity!$A$17),
    Q3703&lt;&gt;"",
    Q3703&lt;&gt;0,
    OR(
      TRIM(C3703)=TRIM(Enginuity!$A$18),
      AND(UPPER(TRIM(M3703))="STD", TRIM(B3703)=TRIM(Enginuity!$A$17))
    ),
    OR(
      AND(LEFT(P3703,5)="1-Way", Enginuity!$B$13=1),
      AND(LEFT(P3703,5)="2-Way", OR(Enginuity!$B$13=2, Enginuity!$B$13=4)),
      AND(LEFT(P3703,5)="3-Way", OR(Enginuity!$B$13=3, Enginuity!$B$13=6)),
      AND(P3703="Inner Centre Jamb", OR(Enginuity!$B$13=4, Enginuity!$B$13=6)),
      AND(
        LEFT(P3703,5)&lt;&gt;"1-Way",
        LEFT(P3703,5)&lt;&gt;"2-Way",
        LEFT(P3703,5)&lt;&gt;"3-Way",
        P3703&lt;&gt;"Inner Centre Jamb"
      )
    ),
    IF(OR(Enginuity!$A$1="Frameless Glass",Enginuity!$A$1="Metal Work"),
      AND(TRIM(B3703)=TRIM(Enginuity!$A$17),TRIM(C3703)=TRIM(Enginuity!$A$18)),
      TRIM(B3703)=TRIM(Enginuity!$A$17)
    )
  ),
  ROW(),
  ""
)</f>
        <v/>
      </c>
    </row>
    <row r="3704" spans="21:21" x14ac:dyDescent="0.25">
      <c r="U3704" s="104" t="str">
        <f>IF(
  AND(
    TRIM(A3704)=TRIM(Enginuity!$A$1),
    TRIM(B3704)=TRIM(Enginuity!$A$17),
    Q3704&lt;&gt;"",
    Q3704&lt;&gt;0,
    OR(
      TRIM(C3704)=TRIM(Enginuity!$A$18),
      AND(UPPER(TRIM(M3704))="STD", TRIM(B3704)=TRIM(Enginuity!$A$17))
    ),
    OR(
      AND(LEFT(P3704,5)="1-Way", Enginuity!$B$13=1),
      AND(LEFT(P3704,5)="2-Way", OR(Enginuity!$B$13=2, Enginuity!$B$13=4)),
      AND(LEFT(P3704,5)="3-Way", OR(Enginuity!$B$13=3, Enginuity!$B$13=6)),
      AND(P3704="Inner Centre Jamb", OR(Enginuity!$B$13=4, Enginuity!$B$13=6)),
      AND(
        LEFT(P3704,5)&lt;&gt;"1-Way",
        LEFT(P3704,5)&lt;&gt;"2-Way",
        LEFT(P3704,5)&lt;&gt;"3-Way",
        P3704&lt;&gt;"Inner Centre Jamb"
      )
    ),
    IF(OR(Enginuity!$A$1="Frameless Glass",Enginuity!$A$1="Metal Work"),
      AND(TRIM(B3704)=TRIM(Enginuity!$A$17),TRIM(C3704)=TRIM(Enginuity!$A$18)),
      TRIM(B3704)=TRIM(Enginuity!$A$17)
    )
  ),
  ROW(),
  ""
)</f>
        <v/>
      </c>
    </row>
    <row r="3705" spans="21:21" x14ac:dyDescent="0.25">
      <c r="U3705" s="104" t="str">
        <f>IF(
  AND(
    TRIM(A3705)=TRIM(Enginuity!$A$1),
    TRIM(B3705)=TRIM(Enginuity!$A$17),
    Q3705&lt;&gt;"",
    Q3705&lt;&gt;0,
    OR(
      TRIM(C3705)=TRIM(Enginuity!$A$18),
      AND(UPPER(TRIM(M3705))="STD", TRIM(B3705)=TRIM(Enginuity!$A$17))
    ),
    OR(
      AND(LEFT(P3705,5)="1-Way", Enginuity!$B$13=1),
      AND(LEFT(P3705,5)="2-Way", OR(Enginuity!$B$13=2, Enginuity!$B$13=4)),
      AND(LEFT(P3705,5)="3-Way", OR(Enginuity!$B$13=3, Enginuity!$B$13=6)),
      AND(P3705="Inner Centre Jamb", OR(Enginuity!$B$13=4, Enginuity!$B$13=6)),
      AND(
        LEFT(P3705,5)&lt;&gt;"1-Way",
        LEFT(P3705,5)&lt;&gt;"2-Way",
        LEFT(P3705,5)&lt;&gt;"3-Way",
        P3705&lt;&gt;"Inner Centre Jamb"
      )
    ),
    IF(OR(Enginuity!$A$1="Frameless Glass",Enginuity!$A$1="Metal Work"),
      AND(TRIM(B3705)=TRIM(Enginuity!$A$17),TRIM(C3705)=TRIM(Enginuity!$A$18)),
      TRIM(B3705)=TRIM(Enginuity!$A$17)
    )
  ),
  ROW(),
  ""
)</f>
        <v/>
      </c>
    </row>
    <row r="3706" spans="21:21" x14ac:dyDescent="0.25">
      <c r="U3706" s="104" t="str">
        <f>IF(
  AND(
    TRIM(A3706)=TRIM(Enginuity!$A$1),
    TRIM(B3706)=TRIM(Enginuity!$A$17),
    Q3706&lt;&gt;"",
    Q3706&lt;&gt;0,
    OR(
      TRIM(C3706)=TRIM(Enginuity!$A$18),
      AND(UPPER(TRIM(M3706))="STD", TRIM(B3706)=TRIM(Enginuity!$A$17))
    ),
    OR(
      AND(LEFT(P3706,5)="1-Way", Enginuity!$B$13=1),
      AND(LEFT(P3706,5)="2-Way", OR(Enginuity!$B$13=2, Enginuity!$B$13=4)),
      AND(LEFT(P3706,5)="3-Way", OR(Enginuity!$B$13=3, Enginuity!$B$13=6)),
      AND(P3706="Inner Centre Jamb", OR(Enginuity!$B$13=4, Enginuity!$B$13=6)),
      AND(
        LEFT(P3706,5)&lt;&gt;"1-Way",
        LEFT(P3706,5)&lt;&gt;"2-Way",
        LEFT(P3706,5)&lt;&gt;"3-Way",
        P3706&lt;&gt;"Inner Centre Jamb"
      )
    ),
    IF(OR(Enginuity!$A$1="Frameless Glass",Enginuity!$A$1="Metal Work"),
      AND(TRIM(B3706)=TRIM(Enginuity!$A$17),TRIM(C3706)=TRIM(Enginuity!$A$18)),
      TRIM(B3706)=TRIM(Enginuity!$A$17)
    )
  ),
  ROW(),
  ""
)</f>
        <v/>
      </c>
    </row>
    <row r="3707" spans="21:21" x14ac:dyDescent="0.25">
      <c r="U3707" s="104" t="str">
        <f>IF(
  AND(
    TRIM(A3707)=TRIM(Enginuity!$A$1),
    TRIM(B3707)=TRIM(Enginuity!$A$17),
    Q3707&lt;&gt;"",
    Q3707&lt;&gt;0,
    OR(
      TRIM(C3707)=TRIM(Enginuity!$A$18),
      AND(UPPER(TRIM(M3707))="STD", TRIM(B3707)=TRIM(Enginuity!$A$17))
    ),
    OR(
      AND(LEFT(P3707,5)="1-Way", Enginuity!$B$13=1),
      AND(LEFT(P3707,5)="2-Way", OR(Enginuity!$B$13=2, Enginuity!$B$13=4)),
      AND(LEFT(P3707,5)="3-Way", OR(Enginuity!$B$13=3, Enginuity!$B$13=6)),
      AND(P3707="Inner Centre Jamb", OR(Enginuity!$B$13=4, Enginuity!$B$13=6)),
      AND(
        LEFT(P3707,5)&lt;&gt;"1-Way",
        LEFT(P3707,5)&lt;&gt;"2-Way",
        LEFT(P3707,5)&lt;&gt;"3-Way",
        P3707&lt;&gt;"Inner Centre Jamb"
      )
    ),
    IF(OR(Enginuity!$A$1="Frameless Glass",Enginuity!$A$1="Metal Work"),
      AND(TRIM(B3707)=TRIM(Enginuity!$A$17),TRIM(C3707)=TRIM(Enginuity!$A$18)),
      TRIM(B3707)=TRIM(Enginuity!$A$17)
    )
  ),
  ROW(),
  ""
)</f>
        <v/>
      </c>
    </row>
    <row r="3708" spans="21:21" x14ac:dyDescent="0.25">
      <c r="U3708" s="104" t="str">
        <f>IF(
  AND(
    TRIM(A3708)=TRIM(Enginuity!$A$1),
    TRIM(B3708)=TRIM(Enginuity!$A$17),
    Q3708&lt;&gt;"",
    Q3708&lt;&gt;0,
    OR(
      TRIM(C3708)=TRIM(Enginuity!$A$18),
      AND(UPPER(TRIM(M3708))="STD", TRIM(B3708)=TRIM(Enginuity!$A$17))
    ),
    OR(
      AND(LEFT(P3708,5)="1-Way", Enginuity!$B$13=1),
      AND(LEFT(P3708,5)="2-Way", OR(Enginuity!$B$13=2, Enginuity!$B$13=4)),
      AND(LEFT(P3708,5)="3-Way", OR(Enginuity!$B$13=3, Enginuity!$B$13=6)),
      AND(P3708="Inner Centre Jamb", OR(Enginuity!$B$13=4, Enginuity!$B$13=6)),
      AND(
        LEFT(P3708,5)&lt;&gt;"1-Way",
        LEFT(P3708,5)&lt;&gt;"2-Way",
        LEFT(P3708,5)&lt;&gt;"3-Way",
        P3708&lt;&gt;"Inner Centre Jamb"
      )
    ),
    IF(OR(Enginuity!$A$1="Frameless Glass",Enginuity!$A$1="Metal Work"),
      AND(TRIM(B3708)=TRIM(Enginuity!$A$17),TRIM(C3708)=TRIM(Enginuity!$A$18)),
      TRIM(B3708)=TRIM(Enginuity!$A$17)
    )
  ),
  ROW(),
  ""
)</f>
        <v/>
      </c>
    </row>
    <row r="3709" spans="21:21" x14ac:dyDescent="0.25">
      <c r="U3709" s="104" t="str">
        <f>IF(
  AND(
    TRIM(A3709)=TRIM(Enginuity!$A$1),
    TRIM(B3709)=TRIM(Enginuity!$A$17),
    Q3709&lt;&gt;"",
    Q3709&lt;&gt;0,
    OR(
      TRIM(C3709)=TRIM(Enginuity!$A$18),
      AND(UPPER(TRIM(M3709))="STD", TRIM(B3709)=TRIM(Enginuity!$A$17))
    ),
    OR(
      AND(LEFT(P3709,5)="1-Way", Enginuity!$B$13=1),
      AND(LEFT(P3709,5)="2-Way", OR(Enginuity!$B$13=2, Enginuity!$B$13=4)),
      AND(LEFT(P3709,5)="3-Way", OR(Enginuity!$B$13=3, Enginuity!$B$13=6)),
      AND(P3709="Inner Centre Jamb", OR(Enginuity!$B$13=4, Enginuity!$B$13=6)),
      AND(
        LEFT(P3709,5)&lt;&gt;"1-Way",
        LEFT(P3709,5)&lt;&gt;"2-Way",
        LEFT(P3709,5)&lt;&gt;"3-Way",
        P3709&lt;&gt;"Inner Centre Jamb"
      )
    ),
    IF(OR(Enginuity!$A$1="Frameless Glass",Enginuity!$A$1="Metal Work"),
      AND(TRIM(B3709)=TRIM(Enginuity!$A$17),TRIM(C3709)=TRIM(Enginuity!$A$18)),
      TRIM(B3709)=TRIM(Enginuity!$A$17)
    )
  ),
  ROW(),
  ""
)</f>
        <v/>
      </c>
    </row>
    <row r="3710" spans="21:21" x14ac:dyDescent="0.25">
      <c r="U3710" s="104" t="str">
        <f>IF(
  AND(
    TRIM(A3710)=TRIM(Enginuity!$A$1),
    TRIM(B3710)=TRIM(Enginuity!$A$17),
    Q3710&lt;&gt;"",
    Q3710&lt;&gt;0,
    OR(
      TRIM(C3710)=TRIM(Enginuity!$A$18),
      AND(UPPER(TRIM(M3710))="STD", TRIM(B3710)=TRIM(Enginuity!$A$17))
    ),
    OR(
      AND(LEFT(P3710,5)="1-Way", Enginuity!$B$13=1),
      AND(LEFT(P3710,5)="2-Way", OR(Enginuity!$B$13=2, Enginuity!$B$13=4)),
      AND(LEFT(P3710,5)="3-Way", OR(Enginuity!$B$13=3, Enginuity!$B$13=6)),
      AND(P3710="Inner Centre Jamb", OR(Enginuity!$B$13=4, Enginuity!$B$13=6)),
      AND(
        LEFT(P3710,5)&lt;&gt;"1-Way",
        LEFT(P3710,5)&lt;&gt;"2-Way",
        LEFT(P3710,5)&lt;&gt;"3-Way",
        P3710&lt;&gt;"Inner Centre Jamb"
      )
    ),
    IF(OR(Enginuity!$A$1="Frameless Glass",Enginuity!$A$1="Metal Work"),
      AND(TRIM(B3710)=TRIM(Enginuity!$A$17),TRIM(C3710)=TRIM(Enginuity!$A$18)),
      TRIM(B3710)=TRIM(Enginuity!$A$17)
    )
  ),
  ROW(),
  ""
)</f>
        <v/>
      </c>
    </row>
    <row r="3711" spans="21:21" x14ac:dyDescent="0.25">
      <c r="U3711" s="104" t="str">
        <f>IF(
  AND(
    TRIM(A3711)=TRIM(Enginuity!$A$1),
    TRIM(B3711)=TRIM(Enginuity!$A$17),
    Q3711&lt;&gt;"",
    Q3711&lt;&gt;0,
    OR(
      TRIM(C3711)=TRIM(Enginuity!$A$18),
      AND(UPPER(TRIM(M3711))="STD", TRIM(B3711)=TRIM(Enginuity!$A$17))
    ),
    OR(
      AND(LEFT(P3711,5)="1-Way", Enginuity!$B$13=1),
      AND(LEFT(P3711,5)="2-Way", OR(Enginuity!$B$13=2, Enginuity!$B$13=4)),
      AND(LEFT(P3711,5)="3-Way", OR(Enginuity!$B$13=3, Enginuity!$B$13=6)),
      AND(P3711="Inner Centre Jamb", OR(Enginuity!$B$13=4, Enginuity!$B$13=6)),
      AND(
        LEFT(P3711,5)&lt;&gt;"1-Way",
        LEFT(P3711,5)&lt;&gt;"2-Way",
        LEFT(P3711,5)&lt;&gt;"3-Way",
        P3711&lt;&gt;"Inner Centre Jamb"
      )
    ),
    IF(OR(Enginuity!$A$1="Frameless Glass",Enginuity!$A$1="Metal Work"),
      AND(TRIM(B3711)=TRIM(Enginuity!$A$17),TRIM(C3711)=TRIM(Enginuity!$A$18)),
      TRIM(B3711)=TRIM(Enginuity!$A$17)
    )
  ),
  ROW(),
  ""
)</f>
        <v/>
      </c>
    </row>
    <row r="3712" spans="21:21" x14ac:dyDescent="0.25">
      <c r="U3712" s="104" t="str">
        <f>IF(
  AND(
    TRIM(A3712)=TRIM(Enginuity!$A$1),
    TRIM(B3712)=TRIM(Enginuity!$A$17),
    Q3712&lt;&gt;"",
    Q3712&lt;&gt;0,
    OR(
      TRIM(C3712)=TRIM(Enginuity!$A$18),
      AND(UPPER(TRIM(M3712))="STD", TRIM(B3712)=TRIM(Enginuity!$A$17))
    ),
    OR(
      AND(LEFT(P3712,5)="1-Way", Enginuity!$B$13=1),
      AND(LEFT(P3712,5)="2-Way", OR(Enginuity!$B$13=2, Enginuity!$B$13=4)),
      AND(LEFT(P3712,5)="3-Way", OR(Enginuity!$B$13=3, Enginuity!$B$13=6)),
      AND(P3712="Inner Centre Jamb", OR(Enginuity!$B$13=4, Enginuity!$B$13=6)),
      AND(
        LEFT(P3712,5)&lt;&gt;"1-Way",
        LEFT(P3712,5)&lt;&gt;"2-Way",
        LEFT(P3712,5)&lt;&gt;"3-Way",
        P3712&lt;&gt;"Inner Centre Jamb"
      )
    ),
    IF(OR(Enginuity!$A$1="Frameless Glass",Enginuity!$A$1="Metal Work"),
      AND(TRIM(B3712)=TRIM(Enginuity!$A$17),TRIM(C3712)=TRIM(Enginuity!$A$18)),
      TRIM(B3712)=TRIM(Enginuity!$A$17)
    )
  ),
  ROW(),
  ""
)</f>
        <v/>
      </c>
    </row>
    <row r="3713" spans="21:21" x14ac:dyDescent="0.25">
      <c r="U3713" s="104" t="str">
        <f>IF(
  AND(
    TRIM(A3713)=TRIM(Enginuity!$A$1),
    TRIM(B3713)=TRIM(Enginuity!$A$17),
    Q3713&lt;&gt;"",
    Q3713&lt;&gt;0,
    OR(
      TRIM(C3713)=TRIM(Enginuity!$A$18),
      AND(UPPER(TRIM(M3713))="STD", TRIM(B3713)=TRIM(Enginuity!$A$17))
    ),
    OR(
      AND(LEFT(P3713,5)="1-Way", Enginuity!$B$13=1),
      AND(LEFT(P3713,5)="2-Way", OR(Enginuity!$B$13=2, Enginuity!$B$13=4)),
      AND(LEFT(P3713,5)="3-Way", OR(Enginuity!$B$13=3, Enginuity!$B$13=6)),
      AND(P3713="Inner Centre Jamb", OR(Enginuity!$B$13=4, Enginuity!$B$13=6)),
      AND(
        LEFT(P3713,5)&lt;&gt;"1-Way",
        LEFT(P3713,5)&lt;&gt;"2-Way",
        LEFT(P3713,5)&lt;&gt;"3-Way",
        P3713&lt;&gt;"Inner Centre Jamb"
      )
    ),
    IF(OR(Enginuity!$A$1="Frameless Glass",Enginuity!$A$1="Metal Work"),
      AND(TRIM(B3713)=TRIM(Enginuity!$A$17),TRIM(C3713)=TRIM(Enginuity!$A$18)),
      TRIM(B3713)=TRIM(Enginuity!$A$17)
    )
  ),
  ROW(),
  ""
)</f>
        <v/>
      </c>
    </row>
    <row r="3714" spans="21:21" x14ac:dyDescent="0.25">
      <c r="U3714" s="104" t="str">
        <f>IF(
  AND(
    TRIM(A3714)=TRIM(Enginuity!$A$1),
    TRIM(B3714)=TRIM(Enginuity!$A$17),
    Q3714&lt;&gt;"",
    Q3714&lt;&gt;0,
    OR(
      TRIM(C3714)=TRIM(Enginuity!$A$18),
      AND(UPPER(TRIM(M3714))="STD", TRIM(B3714)=TRIM(Enginuity!$A$17))
    ),
    OR(
      AND(LEFT(P3714,5)="1-Way", Enginuity!$B$13=1),
      AND(LEFT(P3714,5)="2-Way", OR(Enginuity!$B$13=2, Enginuity!$B$13=4)),
      AND(LEFT(P3714,5)="3-Way", OR(Enginuity!$B$13=3, Enginuity!$B$13=6)),
      AND(P3714="Inner Centre Jamb", OR(Enginuity!$B$13=4, Enginuity!$B$13=6)),
      AND(
        LEFT(P3714,5)&lt;&gt;"1-Way",
        LEFT(P3714,5)&lt;&gt;"2-Way",
        LEFT(P3714,5)&lt;&gt;"3-Way",
        P3714&lt;&gt;"Inner Centre Jamb"
      )
    ),
    IF(OR(Enginuity!$A$1="Frameless Glass",Enginuity!$A$1="Metal Work"),
      AND(TRIM(B3714)=TRIM(Enginuity!$A$17),TRIM(C3714)=TRIM(Enginuity!$A$18)),
      TRIM(B3714)=TRIM(Enginuity!$A$17)
    )
  ),
  ROW(),
  ""
)</f>
        <v/>
      </c>
    </row>
    <row r="3715" spans="21:21" x14ac:dyDescent="0.25">
      <c r="U3715" s="104" t="str">
        <f>IF(
  AND(
    TRIM(A3715)=TRIM(Enginuity!$A$1),
    TRIM(B3715)=TRIM(Enginuity!$A$17),
    Q3715&lt;&gt;"",
    Q3715&lt;&gt;0,
    OR(
      TRIM(C3715)=TRIM(Enginuity!$A$18),
      AND(UPPER(TRIM(M3715))="STD", TRIM(B3715)=TRIM(Enginuity!$A$17))
    ),
    OR(
      AND(LEFT(P3715,5)="1-Way", Enginuity!$B$13=1),
      AND(LEFT(P3715,5)="2-Way", OR(Enginuity!$B$13=2, Enginuity!$B$13=4)),
      AND(LEFT(P3715,5)="3-Way", OR(Enginuity!$B$13=3, Enginuity!$B$13=6)),
      AND(P3715="Inner Centre Jamb", OR(Enginuity!$B$13=4, Enginuity!$B$13=6)),
      AND(
        LEFT(P3715,5)&lt;&gt;"1-Way",
        LEFT(P3715,5)&lt;&gt;"2-Way",
        LEFT(P3715,5)&lt;&gt;"3-Way",
        P3715&lt;&gt;"Inner Centre Jamb"
      )
    ),
    IF(OR(Enginuity!$A$1="Frameless Glass",Enginuity!$A$1="Metal Work"),
      AND(TRIM(B3715)=TRIM(Enginuity!$A$17),TRIM(C3715)=TRIM(Enginuity!$A$18)),
      TRIM(B3715)=TRIM(Enginuity!$A$17)
    )
  ),
  ROW(),
  ""
)</f>
        <v/>
      </c>
    </row>
    <row r="3716" spans="21:21" x14ac:dyDescent="0.25">
      <c r="U3716" s="104" t="str">
        <f>IF(
  AND(
    TRIM(A3716)=TRIM(Enginuity!$A$1),
    TRIM(B3716)=TRIM(Enginuity!$A$17),
    Q3716&lt;&gt;"",
    Q3716&lt;&gt;0,
    OR(
      TRIM(C3716)=TRIM(Enginuity!$A$18),
      AND(UPPER(TRIM(M3716))="STD", TRIM(B3716)=TRIM(Enginuity!$A$17))
    ),
    OR(
      AND(LEFT(P3716,5)="1-Way", Enginuity!$B$13=1),
      AND(LEFT(P3716,5)="2-Way", OR(Enginuity!$B$13=2, Enginuity!$B$13=4)),
      AND(LEFT(P3716,5)="3-Way", OR(Enginuity!$B$13=3, Enginuity!$B$13=6)),
      AND(P3716="Inner Centre Jamb", OR(Enginuity!$B$13=4, Enginuity!$B$13=6)),
      AND(
        LEFT(P3716,5)&lt;&gt;"1-Way",
        LEFT(P3716,5)&lt;&gt;"2-Way",
        LEFT(P3716,5)&lt;&gt;"3-Way",
        P3716&lt;&gt;"Inner Centre Jamb"
      )
    ),
    IF(OR(Enginuity!$A$1="Frameless Glass",Enginuity!$A$1="Metal Work"),
      AND(TRIM(B3716)=TRIM(Enginuity!$A$17),TRIM(C3716)=TRIM(Enginuity!$A$18)),
      TRIM(B3716)=TRIM(Enginuity!$A$17)
    )
  ),
  ROW(),
  ""
)</f>
        <v/>
      </c>
    </row>
    <row r="3717" spans="21:21" x14ac:dyDescent="0.25">
      <c r="U3717" s="104" t="str">
        <f>IF(
  AND(
    TRIM(A3717)=TRIM(Enginuity!$A$1),
    TRIM(B3717)=TRIM(Enginuity!$A$17),
    Q3717&lt;&gt;"",
    Q3717&lt;&gt;0,
    OR(
      TRIM(C3717)=TRIM(Enginuity!$A$18),
      AND(UPPER(TRIM(M3717))="STD", TRIM(B3717)=TRIM(Enginuity!$A$17))
    ),
    OR(
      AND(LEFT(P3717,5)="1-Way", Enginuity!$B$13=1),
      AND(LEFT(P3717,5)="2-Way", OR(Enginuity!$B$13=2, Enginuity!$B$13=4)),
      AND(LEFT(P3717,5)="3-Way", OR(Enginuity!$B$13=3, Enginuity!$B$13=6)),
      AND(P3717="Inner Centre Jamb", OR(Enginuity!$B$13=4, Enginuity!$B$13=6)),
      AND(
        LEFT(P3717,5)&lt;&gt;"1-Way",
        LEFT(P3717,5)&lt;&gt;"2-Way",
        LEFT(P3717,5)&lt;&gt;"3-Way",
        P3717&lt;&gt;"Inner Centre Jamb"
      )
    ),
    IF(OR(Enginuity!$A$1="Frameless Glass",Enginuity!$A$1="Metal Work"),
      AND(TRIM(B3717)=TRIM(Enginuity!$A$17),TRIM(C3717)=TRIM(Enginuity!$A$18)),
      TRIM(B3717)=TRIM(Enginuity!$A$17)
    )
  ),
  ROW(),
  ""
)</f>
        <v/>
      </c>
    </row>
    <row r="3718" spans="21:21" x14ac:dyDescent="0.25">
      <c r="U3718" s="104" t="str">
        <f>IF(
  AND(
    TRIM(A3718)=TRIM(Enginuity!$A$1),
    TRIM(B3718)=TRIM(Enginuity!$A$17),
    Q3718&lt;&gt;"",
    Q3718&lt;&gt;0,
    OR(
      TRIM(C3718)=TRIM(Enginuity!$A$18),
      AND(UPPER(TRIM(M3718))="STD", TRIM(B3718)=TRIM(Enginuity!$A$17))
    ),
    OR(
      AND(LEFT(P3718,5)="1-Way", Enginuity!$B$13=1),
      AND(LEFT(P3718,5)="2-Way", OR(Enginuity!$B$13=2, Enginuity!$B$13=4)),
      AND(LEFT(P3718,5)="3-Way", OR(Enginuity!$B$13=3, Enginuity!$B$13=6)),
      AND(P3718="Inner Centre Jamb", OR(Enginuity!$B$13=4, Enginuity!$B$13=6)),
      AND(
        LEFT(P3718,5)&lt;&gt;"1-Way",
        LEFT(P3718,5)&lt;&gt;"2-Way",
        LEFT(P3718,5)&lt;&gt;"3-Way",
        P3718&lt;&gt;"Inner Centre Jamb"
      )
    ),
    IF(OR(Enginuity!$A$1="Frameless Glass",Enginuity!$A$1="Metal Work"),
      AND(TRIM(B3718)=TRIM(Enginuity!$A$17),TRIM(C3718)=TRIM(Enginuity!$A$18)),
      TRIM(B3718)=TRIM(Enginuity!$A$17)
    )
  ),
  ROW(),
  ""
)</f>
        <v/>
      </c>
    </row>
    <row r="3719" spans="21:21" x14ac:dyDescent="0.25">
      <c r="U3719" s="104" t="str">
        <f>IF(
  AND(
    TRIM(A3719)=TRIM(Enginuity!$A$1),
    TRIM(B3719)=TRIM(Enginuity!$A$17),
    Q3719&lt;&gt;"",
    Q3719&lt;&gt;0,
    OR(
      TRIM(C3719)=TRIM(Enginuity!$A$18),
      AND(UPPER(TRIM(M3719))="STD", TRIM(B3719)=TRIM(Enginuity!$A$17))
    ),
    OR(
      AND(LEFT(P3719,5)="1-Way", Enginuity!$B$13=1),
      AND(LEFT(P3719,5)="2-Way", OR(Enginuity!$B$13=2, Enginuity!$B$13=4)),
      AND(LEFT(P3719,5)="3-Way", OR(Enginuity!$B$13=3, Enginuity!$B$13=6)),
      AND(P3719="Inner Centre Jamb", OR(Enginuity!$B$13=4, Enginuity!$B$13=6)),
      AND(
        LEFT(P3719,5)&lt;&gt;"1-Way",
        LEFT(P3719,5)&lt;&gt;"2-Way",
        LEFT(P3719,5)&lt;&gt;"3-Way",
        P3719&lt;&gt;"Inner Centre Jamb"
      )
    ),
    IF(OR(Enginuity!$A$1="Frameless Glass",Enginuity!$A$1="Metal Work"),
      AND(TRIM(B3719)=TRIM(Enginuity!$A$17),TRIM(C3719)=TRIM(Enginuity!$A$18)),
      TRIM(B3719)=TRIM(Enginuity!$A$17)
    )
  ),
  ROW(),
  ""
)</f>
        <v/>
      </c>
    </row>
    <row r="3720" spans="21:21" x14ac:dyDescent="0.25">
      <c r="U3720" s="104" t="str">
        <f>IF(
  AND(
    TRIM(A3720)=TRIM(Enginuity!$A$1),
    TRIM(B3720)=TRIM(Enginuity!$A$17),
    Q3720&lt;&gt;"",
    Q3720&lt;&gt;0,
    OR(
      TRIM(C3720)=TRIM(Enginuity!$A$18),
      AND(UPPER(TRIM(M3720))="STD", TRIM(B3720)=TRIM(Enginuity!$A$17))
    ),
    OR(
      AND(LEFT(P3720,5)="1-Way", Enginuity!$B$13=1),
      AND(LEFT(P3720,5)="2-Way", OR(Enginuity!$B$13=2, Enginuity!$B$13=4)),
      AND(LEFT(P3720,5)="3-Way", OR(Enginuity!$B$13=3, Enginuity!$B$13=6)),
      AND(P3720="Inner Centre Jamb", OR(Enginuity!$B$13=4, Enginuity!$B$13=6)),
      AND(
        LEFT(P3720,5)&lt;&gt;"1-Way",
        LEFT(P3720,5)&lt;&gt;"2-Way",
        LEFT(P3720,5)&lt;&gt;"3-Way",
        P3720&lt;&gt;"Inner Centre Jamb"
      )
    ),
    IF(OR(Enginuity!$A$1="Frameless Glass",Enginuity!$A$1="Metal Work"),
      AND(TRIM(B3720)=TRIM(Enginuity!$A$17),TRIM(C3720)=TRIM(Enginuity!$A$18)),
      TRIM(B3720)=TRIM(Enginuity!$A$17)
    )
  ),
  ROW(),
  ""
)</f>
        <v/>
      </c>
    </row>
    <row r="3721" spans="21:21" x14ac:dyDescent="0.25">
      <c r="U3721" s="104" t="str">
        <f>IF(
  AND(
    TRIM(A3721)=TRIM(Enginuity!$A$1),
    TRIM(B3721)=TRIM(Enginuity!$A$17),
    Q3721&lt;&gt;"",
    Q3721&lt;&gt;0,
    OR(
      TRIM(C3721)=TRIM(Enginuity!$A$18),
      AND(UPPER(TRIM(M3721))="STD", TRIM(B3721)=TRIM(Enginuity!$A$17))
    ),
    OR(
      AND(LEFT(P3721,5)="1-Way", Enginuity!$B$13=1),
      AND(LEFT(P3721,5)="2-Way", OR(Enginuity!$B$13=2, Enginuity!$B$13=4)),
      AND(LEFT(P3721,5)="3-Way", OR(Enginuity!$B$13=3, Enginuity!$B$13=6)),
      AND(P3721="Inner Centre Jamb", OR(Enginuity!$B$13=4, Enginuity!$B$13=6)),
      AND(
        LEFT(P3721,5)&lt;&gt;"1-Way",
        LEFT(P3721,5)&lt;&gt;"2-Way",
        LEFT(P3721,5)&lt;&gt;"3-Way",
        P3721&lt;&gt;"Inner Centre Jamb"
      )
    ),
    IF(OR(Enginuity!$A$1="Frameless Glass",Enginuity!$A$1="Metal Work"),
      AND(TRIM(B3721)=TRIM(Enginuity!$A$17),TRIM(C3721)=TRIM(Enginuity!$A$18)),
      TRIM(B3721)=TRIM(Enginuity!$A$17)
    )
  ),
  ROW(),
  ""
)</f>
        <v/>
      </c>
    </row>
    <row r="3722" spans="21:21" x14ac:dyDescent="0.25">
      <c r="U3722" s="104" t="str">
        <f>IF(
  AND(
    TRIM(A3722)=TRIM(Enginuity!$A$1),
    TRIM(B3722)=TRIM(Enginuity!$A$17),
    Q3722&lt;&gt;"",
    Q3722&lt;&gt;0,
    OR(
      TRIM(C3722)=TRIM(Enginuity!$A$18),
      AND(UPPER(TRIM(M3722))="STD", TRIM(B3722)=TRIM(Enginuity!$A$17))
    ),
    OR(
      AND(LEFT(P3722,5)="1-Way", Enginuity!$B$13=1),
      AND(LEFT(P3722,5)="2-Way", OR(Enginuity!$B$13=2, Enginuity!$B$13=4)),
      AND(LEFT(P3722,5)="3-Way", OR(Enginuity!$B$13=3, Enginuity!$B$13=6)),
      AND(P3722="Inner Centre Jamb", OR(Enginuity!$B$13=4, Enginuity!$B$13=6)),
      AND(
        LEFT(P3722,5)&lt;&gt;"1-Way",
        LEFT(P3722,5)&lt;&gt;"2-Way",
        LEFT(P3722,5)&lt;&gt;"3-Way",
        P3722&lt;&gt;"Inner Centre Jamb"
      )
    ),
    IF(OR(Enginuity!$A$1="Frameless Glass",Enginuity!$A$1="Metal Work"),
      AND(TRIM(B3722)=TRIM(Enginuity!$A$17),TRIM(C3722)=TRIM(Enginuity!$A$18)),
      TRIM(B3722)=TRIM(Enginuity!$A$17)
    )
  ),
  ROW(),
  ""
)</f>
        <v/>
      </c>
    </row>
    <row r="3723" spans="21:21" x14ac:dyDescent="0.25">
      <c r="U3723" s="104" t="str">
        <f>IF(
  AND(
    TRIM(A3723)=TRIM(Enginuity!$A$1),
    TRIM(B3723)=TRIM(Enginuity!$A$17),
    Q3723&lt;&gt;"",
    Q3723&lt;&gt;0,
    OR(
      TRIM(C3723)=TRIM(Enginuity!$A$18),
      AND(UPPER(TRIM(M3723))="STD", TRIM(B3723)=TRIM(Enginuity!$A$17))
    ),
    OR(
      AND(LEFT(P3723,5)="1-Way", Enginuity!$B$13=1),
      AND(LEFT(P3723,5)="2-Way", OR(Enginuity!$B$13=2, Enginuity!$B$13=4)),
      AND(LEFT(P3723,5)="3-Way", OR(Enginuity!$B$13=3, Enginuity!$B$13=6)),
      AND(P3723="Inner Centre Jamb", OR(Enginuity!$B$13=4, Enginuity!$B$13=6)),
      AND(
        LEFT(P3723,5)&lt;&gt;"1-Way",
        LEFT(P3723,5)&lt;&gt;"2-Way",
        LEFT(P3723,5)&lt;&gt;"3-Way",
        P3723&lt;&gt;"Inner Centre Jamb"
      )
    ),
    IF(OR(Enginuity!$A$1="Frameless Glass",Enginuity!$A$1="Metal Work"),
      AND(TRIM(B3723)=TRIM(Enginuity!$A$17),TRIM(C3723)=TRIM(Enginuity!$A$18)),
      TRIM(B3723)=TRIM(Enginuity!$A$17)
    )
  ),
  ROW(),
  ""
)</f>
        <v/>
      </c>
    </row>
    <row r="3724" spans="21:21" x14ac:dyDescent="0.25">
      <c r="U3724" s="104" t="str">
        <f>IF(
  AND(
    TRIM(A3724)=TRIM(Enginuity!$A$1),
    TRIM(B3724)=TRIM(Enginuity!$A$17),
    Q3724&lt;&gt;"",
    Q3724&lt;&gt;0,
    OR(
      TRIM(C3724)=TRIM(Enginuity!$A$18),
      AND(UPPER(TRIM(M3724))="STD", TRIM(B3724)=TRIM(Enginuity!$A$17))
    ),
    OR(
      AND(LEFT(P3724,5)="1-Way", Enginuity!$B$13=1),
      AND(LEFT(P3724,5)="2-Way", OR(Enginuity!$B$13=2, Enginuity!$B$13=4)),
      AND(LEFT(P3724,5)="3-Way", OR(Enginuity!$B$13=3, Enginuity!$B$13=6)),
      AND(P3724="Inner Centre Jamb", OR(Enginuity!$B$13=4, Enginuity!$B$13=6)),
      AND(
        LEFT(P3724,5)&lt;&gt;"1-Way",
        LEFT(P3724,5)&lt;&gt;"2-Way",
        LEFT(P3724,5)&lt;&gt;"3-Way",
        P3724&lt;&gt;"Inner Centre Jamb"
      )
    ),
    IF(OR(Enginuity!$A$1="Frameless Glass",Enginuity!$A$1="Metal Work"),
      AND(TRIM(B3724)=TRIM(Enginuity!$A$17),TRIM(C3724)=TRIM(Enginuity!$A$18)),
      TRIM(B3724)=TRIM(Enginuity!$A$17)
    )
  ),
  ROW(),
  ""
)</f>
        <v/>
      </c>
    </row>
    <row r="3725" spans="21:21" x14ac:dyDescent="0.25">
      <c r="U3725" s="104" t="str">
        <f>IF(
  AND(
    TRIM(A3725)=TRIM(Enginuity!$A$1),
    TRIM(B3725)=TRIM(Enginuity!$A$17),
    Q3725&lt;&gt;"",
    Q3725&lt;&gt;0,
    OR(
      TRIM(C3725)=TRIM(Enginuity!$A$18),
      AND(UPPER(TRIM(M3725))="STD", TRIM(B3725)=TRIM(Enginuity!$A$17))
    ),
    OR(
      AND(LEFT(P3725,5)="1-Way", Enginuity!$B$13=1),
      AND(LEFT(P3725,5)="2-Way", OR(Enginuity!$B$13=2, Enginuity!$B$13=4)),
      AND(LEFT(P3725,5)="3-Way", OR(Enginuity!$B$13=3, Enginuity!$B$13=6)),
      AND(P3725="Inner Centre Jamb", OR(Enginuity!$B$13=4, Enginuity!$B$13=6)),
      AND(
        LEFT(P3725,5)&lt;&gt;"1-Way",
        LEFT(P3725,5)&lt;&gt;"2-Way",
        LEFT(P3725,5)&lt;&gt;"3-Way",
        P3725&lt;&gt;"Inner Centre Jamb"
      )
    ),
    IF(OR(Enginuity!$A$1="Frameless Glass",Enginuity!$A$1="Metal Work"),
      AND(TRIM(B3725)=TRIM(Enginuity!$A$17),TRIM(C3725)=TRIM(Enginuity!$A$18)),
      TRIM(B3725)=TRIM(Enginuity!$A$17)
    )
  ),
  ROW(),
  ""
)</f>
        <v/>
      </c>
    </row>
    <row r="3726" spans="21:21" x14ac:dyDescent="0.25">
      <c r="U3726" s="104" t="str">
        <f>IF(
  AND(
    TRIM(A3726)=TRIM(Enginuity!$A$1),
    TRIM(B3726)=TRIM(Enginuity!$A$17),
    Q3726&lt;&gt;"",
    Q3726&lt;&gt;0,
    OR(
      TRIM(C3726)=TRIM(Enginuity!$A$18),
      AND(UPPER(TRIM(M3726))="STD", TRIM(B3726)=TRIM(Enginuity!$A$17))
    ),
    OR(
      AND(LEFT(P3726,5)="1-Way", Enginuity!$B$13=1),
      AND(LEFT(P3726,5)="2-Way", OR(Enginuity!$B$13=2, Enginuity!$B$13=4)),
      AND(LEFT(P3726,5)="3-Way", OR(Enginuity!$B$13=3, Enginuity!$B$13=6)),
      AND(P3726="Inner Centre Jamb", OR(Enginuity!$B$13=4, Enginuity!$B$13=6)),
      AND(
        LEFT(P3726,5)&lt;&gt;"1-Way",
        LEFT(P3726,5)&lt;&gt;"2-Way",
        LEFT(P3726,5)&lt;&gt;"3-Way",
        P3726&lt;&gt;"Inner Centre Jamb"
      )
    ),
    IF(OR(Enginuity!$A$1="Frameless Glass",Enginuity!$A$1="Metal Work"),
      AND(TRIM(B3726)=TRIM(Enginuity!$A$17),TRIM(C3726)=TRIM(Enginuity!$A$18)),
      TRIM(B3726)=TRIM(Enginuity!$A$17)
    )
  ),
  ROW(),
  ""
)</f>
        <v/>
      </c>
    </row>
    <row r="3727" spans="21:21" x14ac:dyDescent="0.25">
      <c r="U3727" s="104" t="str">
        <f>IF(
  AND(
    TRIM(A3727)=TRIM(Enginuity!$A$1),
    TRIM(B3727)=TRIM(Enginuity!$A$17),
    Q3727&lt;&gt;"",
    Q3727&lt;&gt;0,
    OR(
      TRIM(C3727)=TRIM(Enginuity!$A$18),
      AND(UPPER(TRIM(M3727))="STD", TRIM(B3727)=TRIM(Enginuity!$A$17))
    ),
    OR(
      AND(LEFT(P3727,5)="1-Way", Enginuity!$B$13=1),
      AND(LEFT(P3727,5)="2-Way", OR(Enginuity!$B$13=2, Enginuity!$B$13=4)),
      AND(LEFT(P3727,5)="3-Way", OR(Enginuity!$B$13=3, Enginuity!$B$13=6)),
      AND(P3727="Inner Centre Jamb", OR(Enginuity!$B$13=4, Enginuity!$B$13=6)),
      AND(
        LEFT(P3727,5)&lt;&gt;"1-Way",
        LEFT(P3727,5)&lt;&gt;"2-Way",
        LEFT(P3727,5)&lt;&gt;"3-Way",
        P3727&lt;&gt;"Inner Centre Jamb"
      )
    ),
    IF(OR(Enginuity!$A$1="Frameless Glass",Enginuity!$A$1="Metal Work"),
      AND(TRIM(B3727)=TRIM(Enginuity!$A$17),TRIM(C3727)=TRIM(Enginuity!$A$18)),
      TRIM(B3727)=TRIM(Enginuity!$A$17)
    )
  ),
  ROW(),
  ""
)</f>
        <v/>
      </c>
    </row>
    <row r="3728" spans="21:21" x14ac:dyDescent="0.25">
      <c r="U3728" s="104" t="str">
        <f>IF(
  AND(
    TRIM(A3728)=TRIM(Enginuity!$A$1),
    TRIM(B3728)=TRIM(Enginuity!$A$17),
    Q3728&lt;&gt;"",
    Q3728&lt;&gt;0,
    OR(
      TRIM(C3728)=TRIM(Enginuity!$A$18),
      AND(UPPER(TRIM(M3728))="STD", TRIM(B3728)=TRIM(Enginuity!$A$17))
    ),
    OR(
      AND(LEFT(P3728,5)="1-Way", Enginuity!$B$13=1),
      AND(LEFT(P3728,5)="2-Way", OR(Enginuity!$B$13=2, Enginuity!$B$13=4)),
      AND(LEFT(P3728,5)="3-Way", OR(Enginuity!$B$13=3, Enginuity!$B$13=6)),
      AND(P3728="Inner Centre Jamb", OR(Enginuity!$B$13=4, Enginuity!$B$13=6)),
      AND(
        LEFT(P3728,5)&lt;&gt;"1-Way",
        LEFT(P3728,5)&lt;&gt;"2-Way",
        LEFT(P3728,5)&lt;&gt;"3-Way",
        P3728&lt;&gt;"Inner Centre Jamb"
      )
    ),
    IF(OR(Enginuity!$A$1="Frameless Glass",Enginuity!$A$1="Metal Work"),
      AND(TRIM(B3728)=TRIM(Enginuity!$A$17),TRIM(C3728)=TRIM(Enginuity!$A$18)),
      TRIM(B3728)=TRIM(Enginuity!$A$17)
    )
  ),
  ROW(),
  ""
)</f>
        <v/>
      </c>
    </row>
    <row r="3729" spans="21:21" x14ac:dyDescent="0.25">
      <c r="U3729" s="104" t="str">
        <f>IF(
  AND(
    TRIM(A3729)=TRIM(Enginuity!$A$1),
    TRIM(B3729)=TRIM(Enginuity!$A$17),
    Q3729&lt;&gt;"",
    Q3729&lt;&gt;0,
    OR(
      TRIM(C3729)=TRIM(Enginuity!$A$18),
      AND(UPPER(TRIM(M3729))="STD", TRIM(B3729)=TRIM(Enginuity!$A$17))
    ),
    OR(
      AND(LEFT(P3729,5)="1-Way", Enginuity!$B$13=1),
      AND(LEFT(P3729,5)="2-Way", OR(Enginuity!$B$13=2, Enginuity!$B$13=4)),
      AND(LEFT(P3729,5)="3-Way", OR(Enginuity!$B$13=3, Enginuity!$B$13=6)),
      AND(P3729="Inner Centre Jamb", OR(Enginuity!$B$13=4, Enginuity!$B$13=6)),
      AND(
        LEFT(P3729,5)&lt;&gt;"1-Way",
        LEFT(P3729,5)&lt;&gt;"2-Way",
        LEFT(P3729,5)&lt;&gt;"3-Way",
        P3729&lt;&gt;"Inner Centre Jamb"
      )
    ),
    IF(OR(Enginuity!$A$1="Frameless Glass",Enginuity!$A$1="Metal Work"),
      AND(TRIM(B3729)=TRIM(Enginuity!$A$17),TRIM(C3729)=TRIM(Enginuity!$A$18)),
      TRIM(B3729)=TRIM(Enginuity!$A$17)
    )
  ),
  ROW(),
  ""
)</f>
        <v/>
      </c>
    </row>
    <row r="3730" spans="21:21" x14ac:dyDescent="0.25">
      <c r="U3730" s="104" t="str">
        <f>IF(
  AND(
    TRIM(A3730)=TRIM(Enginuity!$A$1),
    TRIM(B3730)=TRIM(Enginuity!$A$17),
    Q3730&lt;&gt;"",
    Q3730&lt;&gt;0,
    OR(
      TRIM(C3730)=TRIM(Enginuity!$A$18),
      AND(UPPER(TRIM(M3730))="STD", TRIM(B3730)=TRIM(Enginuity!$A$17))
    ),
    OR(
      AND(LEFT(P3730,5)="1-Way", Enginuity!$B$13=1),
      AND(LEFT(P3730,5)="2-Way", OR(Enginuity!$B$13=2, Enginuity!$B$13=4)),
      AND(LEFT(P3730,5)="3-Way", OR(Enginuity!$B$13=3, Enginuity!$B$13=6)),
      AND(P3730="Inner Centre Jamb", OR(Enginuity!$B$13=4, Enginuity!$B$13=6)),
      AND(
        LEFT(P3730,5)&lt;&gt;"1-Way",
        LEFT(P3730,5)&lt;&gt;"2-Way",
        LEFT(P3730,5)&lt;&gt;"3-Way",
        P3730&lt;&gt;"Inner Centre Jamb"
      )
    ),
    IF(OR(Enginuity!$A$1="Frameless Glass",Enginuity!$A$1="Metal Work"),
      AND(TRIM(B3730)=TRIM(Enginuity!$A$17),TRIM(C3730)=TRIM(Enginuity!$A$18)),
      TRIM(B3730)=TRIM(Enginuity!$A$17)
    )
  ),
  ROW(),
  ""
)</f>
        <v/>
      </c>
    </row>
    <row r="3731" spans="21:21" x14ac:dyDescent="0.25">
      <c r="U3731" s="104" t="str">
        <f>IF(
  AND(
    TRIM(A3731)=TRIM(Enginuity!$A$1),
    TRIM(B3731)=TRIM(Enginuity!$A$17),
    Q3731&lt;&gt;"",
    Q3731&lt;&gt;0,
    OR(
      TRIM(C3731)=TRIM(Enginuity!$A$18),
      AND(UPPER(TRIM(M3731))="STD", TRIM(B3731)=TRIM(Enginuity!$A$17))
    ),
    OR(
      AND(LEFT(P3731,5)="1-Way", Enginuity!$B$13=1),
      AND(LEFT(P3731,5)="2-Way", OR(Enginuity!$B$13=2, Enginuity!$B$13=4)),
      AND(LEFT(P3731,5)="3-Way", OR(Enginuity!$B$13=3, Enginuity!$B$13=6)),
      AND(P3731="Inner Centre Jamb", OR(Enginuity!$B$13=4, Enginuity!$B$13=6)),
      AND(
        LEFT(P3731,5)&lt;&gt;"1-Way",
        LEFT(P3731,5)&lt;&gt;"2-Way",
        LEFT(P3731,5)&lt;&gt;"3-Way",
        P3731&lt;&gt;"Inner Centre Jamb"
      )
    ),
    IF(OR(Enginuity!$A$1="Frameless Glass",Enginuity!$A$1="Metal Work"),
      AND(TRIM(B3731)=TRIM(Enginuity!$A$17),TRIM(C3731)=TRIM(Enginuity!$A$18)),
      TRIM(B3731)=TRIM(Enginuity!$A$17)
    )
  ),
  ROW(),
  ""
)</f>
        <v/>
      </c>
    </row>
    <row r="3732" spans="21:21" x14ac:dyDescent="0.25">
      <c r="U3732" s="104" t="str">
        <f>IF(
  AND(
    TRIM(A3732)=TRIM(Enginuity!$A$1),
    TRIM(B3732)=TRIM(Enginuity!$A$17),
    Q3732&lt;&gt;"",
    Q3732&lt;&gt;0,
    OR(
      TRIM(C3732)=TRIM(Enginuity!$A$18),
      AND(UPPER(TRIM(M3732))="STD", TRIM(B3732)=TRIM(Enginuity!$A$17))
    ),
    OR(
      AND(LEFT(P3732,5)="1-Way", Enginuity!$B$13=1),
      AND(LEFT(P3732,5)="2-Way", OR(Enginuity!$B$13=2, Enginuity!$B$13=4)),
      AND(LEFT(P3732,5)="3-Way", OR(Enginuity!$B$13=3, Enginuity!$B$13=6)),
      AND(P3732="Inner Centre Jamb", OR(Enginuity!$B$13=4, Enginuity!$B$13=6)),
      AND(
        LEFT(P3732,5)&lt;&gt;"1-Way",
        LEFT(P3732,5)&lt;&gt;"2-Way",
        LEFT(P3732,5)&lt;&gt;"3-Way",
        P3732&lt;&gt;"Inner Centre Jamb"
      )
    ),
    IF(OR(Enginuity!$A$1="Frameless Glass",Enginuity!$A$1="Metal Work"),
      AND(TRIM(B3732)=TRIM(Enginuity!$A$17),TRIM(C3732)=TRIM(Enginuity!$A$18)),
      TRIM(B3732)=TRIM(Enginuity!$A$17)
    )
  ),
  ROW(),
  ""
)</f>
        <v/>
      </c>
    </row>
    <row r="3733" spans="21:21" x14ac:dyDescent="0.25">
      <c r="U3733" s="104" t="str">
        <f>IF(
  AND(
    TRIM(A3733)=TRIM(Enginuity!$A$1),
    TRIM(B3733)=TRIM(Enginuity!$A$17),
    Q3733&lt;&gt;"",
    Q3733&lt;&gt;0,
    OR(
      TRIM(C3733)=TRIM(Enginuity!$A$18),
      AND(UPPER(TRIM(M3733))="STD", TRIM(B3733)=TRIM(Enginuity!$A$17))
    ),
    OR(
      AND(LEFT(P3733,5)="1-Way", Enginuity!$B$13=1),
      AND(LEFT(P3733,5)="2-Way", OR(Enginuity!$B$13=2, Enginuity!$B$13=4)),
      AND(LEFT(P3733,5)="3-Way", OR(Enginuity!$B$13=3, Enginuity!$B$13=6)),
      AND(P3733="Inner Centre Jamb", OR(Enginuity!$B$13=4, Enginuity!$B$13=6)),
      AND(
        LEFT(P3733,5)&lt;&gt;"1-Way",
        LEFT(P3733,5)&lt;&gt;"2-Way",
        LEFT(P3733,5)&lt;&gt;"3-Way",
        P3733&lt;&gt;"Inner Centre Jamb"
      )
    ),
    IF(OR(Enginuity!$A$1="Frameless Glass",Enginuity!$A$1="Metal Work"),
      AND(TRIM(B3733)=TRIM(Enginuity!$A$17),TRIM(C3733)=TRIM(Enginuity!$A$18)),
      TRIM(B3733)=TRIM(Enginuity!$A$17)
    )
  ),
  ROW(),
  ""
)</f>
        <v/>
      </c>
    </row>
    <row r="3734" spans="21:21" x14ac:dyDescent="0.25">
      <c r="U3734" s="104" t="str">
        <f>IF(
  AND(
    TRIM(A3734)=TRIM(Enginuity!$A$1),
    TRIM(B3734)=TRIM(Enginuity!$A$17),
    Q3734&lt;&gt;"",
    Q3734&lt;&gt;0,
    OR(
      TRIM(C3734)=TRIM(Enginuity!$A$18),
      AND(UPPER(TRIM(M3734))="STD", TRIM(B3734)=TRIM(Enginuity!$A$17))
    ),
    OR(
      AND(LEFT(P3734,5)="1-Way", Enginuity!$B$13=1),
      AND(LEFT(P3734,5)="2-Way", OR(Enginuity!$B$13=2, Enginuity!$B$13=4)),
      AND(LEFT(P3734,5)="3-Way", OR(Enginuity!$B$13=3, Enginuity!$B$13=6)),
      AND(P3734="Inner Centre Jamb", OR(Enginuity!$B$13=4, Enginuity!$B$13=6)),
      AND(
        LEFT(P3734,5)&lt;&gt;"1-Way",
        LEFT(P3734,5)&lt;&gt;"2-Way",
        LEFT(P3734,5)&lt;&gt;"3-Way",
        P3734&lt;&gt;"Inner Centre Jamb"
      )
    ),
    IF(OR(Enginuity!$A$1="Frameless Glass",Enginuity!$A$1="Metal Work"),
      AND(TRIM(B3734)=TRIM(Enginuity!$A$17),TRIM(C3734)=TRIM(Enginuity!$A$18)),
      TRIM(B3734)=TRIM(Enginuity!$A$17)
    )
  ),
  ROW(),
  ""
)</f>
        <v/>
      </c>
    </row>
    <row r="3735" spans="21:21" x14ac:dyDescent="0.25">
      <c r="U3735" s="104" t="str">
        <f>IF(
  AND(
    TRIM(A3735)=TRIM(Enginuity!$A$1),
    TRIM(B3735)=TRIM(Enginuity!$A$17),
    Q3735&lt;&gt;"",
    Q3735&lt;&gt;0,
    OR(
      TRIM(C3735)=TRIM(Enginuity!$A$18),
      AND(UPPER(TRIM(M3735))="STD", TRIM(B3735)=TRIM(Enginuity!$A$17))
    ),
    OR(
      AND(LEFT(P3735,5)="1-Way", Enginuity!$B$13=1),
      AND(LEFT(P3735,5)="2-Way", OR(Enginuity!$B$13=2, Enginuity!$B$13=4)),
      AND(LEFT(P3735,5)="3-Way", OR(Enginuity!$B$13=3, Enginuity!$B$13=6)),
      AND(P3735="Inner Centre Jamb", OR(Enginuity!$B$13=4, Enginuity!$B$13=6)),
      AND(
        LEFT(P3735,5)&lt;&gt;"1-Way",
        LEFT(P3735,5)&lt;&gt;"2-Way",
        LEFT(P3735,5)&lt;&gt;"3-Way",
        P3735&lt;&gt;"Inner Centre Jamb"
      )
    ),
    IF(OR(Enginuity!$A$1="Frameless Glass",Enginuity!$A$1="Metal Work"),
      AND(TRIM(B3735)=TRIM(Enginuity!$A$17),TRIM(C3735)=TRIM(Enginuity!$A$18)),
      TRIM(B3735)=TRIM(Enginuity!$A$17)
    )
  ),
  ROW(),
  ""
)</f>
        <v/>
      </c>
    </row>
    <row r="3736" spans="21:21" x14ac:dyDescent="0.25">
      <c r="U3736" s="104" t="str">
        <f>IF(
  AND(
    TRIM(A3736)=TRIM(Enginuity!$A$1),
    TRIM(B3736)=TRIM(Enginuity!$A$17),
    Q3736&lt;&gt;"",
    Q3736&lt;&gt;0,
    OR(
      TRIM(C3736)=TRIM(Enginuity!$A$18),
      AND(UPPER(TRIM(M3736))="STD", TRIM(B3736)=TRIM(Enginuity!$A$17))
    ),
    OR(
      AND(LEFT(P3736,5)="1-Way", Enginuity!$B$13=1),
      AND(LEFT(P3736,5)="2-Way", OR(Enginuity!$B$13=2, Enginuity!$B$13=4)),
      AND(LEFT(P3736,5)="3-Way", OR(Enginuity!$B$13=3, Enginuity!$B$13=6)),
      AND(P3736="Inner Centre Jamb", OR(Enginuity!$B$13=4, Enginuity!$B$13=6)),
      AND(
        LEFT(P3736,5)&lt;&gt;"1-Way",
        LEFT(P3736,5)&lt;&gt;"2-Way",
        LEFT(P3736,5)&lt;&gt;"3-Way",
        P3736&lt;&gt;"Inner Centre Jamb"
      )
    ),
    IF(OR(Enginuity!$A$1="Frameless Glass",Enginuity!$A$1="Metal Work"),
      AND(TRIM(B3736)=TRIM(Enginuity!$A$17),TRIM(C3736)=TRIM(Enginuity!$A$18)),
      TRIM(B3736)=TRIM(Enginuity!$A$17)
    )
  ),
  ROW(),
  ""
)</f>
        <v/>
      </c>
    </row>
    <row r="3737" spans="21:21" x14ac:dyDescent="0.25">
      <c r="U3737" s="104" t="str">
        <f>IF(
  AND(
    TRIM(A3737)=TRIM(Enginuity!$A$1),
    TRIM(B3737)=TRIM(Enginuity!$A$17),
    Q3737&lt;&gt;"",
    Q3737&lt;&gt;0,
    OR(
      TRIM(C3737)=TRIM(Enginuity!$A$18),
      AND(UPPER(TRIM(M3737))="STD", TRIM(B3737)=TRIM(Enginuity!$A$17))
    ),
    OR(
      AND(LEFT(P3737,5)="1-Way", Enginuity!$B$13=1),
      AND(LEFT(P3737,5)="2-Way", OR(Enginuity!$B$13=2, Enginuity!$B$13=4)),
      AND(LEFT(P3737,5)="3-Way", OR(Enginuity!$B$13=3, Enginuity!$B$13=6)),
      AND(P3737="Inner Centre Jamb", OR(Enginuity!$B$13=4, Enginuity!$B$13=6)),
      AND(
        LEFT(P3737,5)&lt;&gt;"1-Way",
        LEFT(P3737,5)&lt;&gt;"2-Way",
        LEFT(P3737,5)&lt;&gt;"3-Way",
        P3737&lt;&gt;"Inner Centre Jamb"
      )
    ),
    IF(OR(Enginuity!$A$1="Frameless Glass",Enginuity!$A$1="Metal Work"),
      AND(TRIM(B3737)=TRIM(Enginuity!$A$17),TRIM(C3737)=TRIM(Enginuity!$A$18)),
      TRIM(B3737)=TRIM(Enginuity!$A$17)
    )
  ),
  ROW(),
  ""
)</f>
        <v/>
      </c>
    </row>
    <row r="3738" spans="21:21" x14ac:dyDescent="0.25">
      <c r="U3738" s="104" t="str">
        <f>IF(
  AND(
    TRIM(A3738)=TRIM(Enginuity!$A$1),
    TRIM(B3738)=TRIM(Enginuity!$A$17),
    Q3738&lt;&gt;"",
    Q3738&lt;&gt;0,
    OR(
      TRIM(C3738)=TRIM(Enginuity!$A$18),
      AND(UPPER(TRIM(M3738))="STD", TRIM(B3738)=TRIM(Enginuity!$A$17))
    ),
    OR(
      AND(LEFT(P3738,5)="1-Way", Enginuity!$B$13=1),
      AND(LEFT(P3738,5)="2-Way", OR(Enginuity!$B$13=2, Enginuity!$B$13=4)),
      AND(LEFT(P3738,5)="3-Way", OR(Enginuity!$B$13=3, Enginuity!$B$13=6)),
      AND(P3738="Inner Centre Jamb", OR(Enginuity!$B$13=4, Enginuity!$B$13=6)),
      AND(
        LEFT(P3738,5)&lt;&gt;"1-Way",
        LEFT(P3738,5)&lt;&gt;"2-Way",
        LEFT(P3738,5)&lt;&gt;"3-Way",
        P3738&lt;&gt;"Inner Centre Jamb"
      )
    ),
    IF(OR(Enginuity!$A$1="Frameless Glass",Enginuity!$A$1="Metal Work"),
      AND(TRIM(B3738)=TRIM(Enginuity!$A$17),TRIM(C3738)=TRIM(Enginuity!$A$18)),
      TRIM(B3738)=TRIM(Enginuity!$A$17)
    )
  ),
  ROW(),
  ""
)</f>
        <v/>
      </c>
    </row>
    <row r="3739" spans="21:21" x14ac:dyDescent="0.25">
      <c r="U3739" s="104" t="str">
        <f>IF(
  AND(
    TRIM(A3739)=TRIM(Enginuity!$A$1),
    TRIM(B3739)=TRIM(Enginuity!$A$17),
    Q3739&lt;&gt;"",
    Q3739&lt;&gt;0,
    OR(
      TRIM(C3739)=TRIM(Enginuity!$A$18),
      AND(UPPER(TRIM(M3739))="STD", TRIM(B3739)=TRIM(Enginuity!$A$17))
    ),
    OR(
      AND(LEFT(P3739,5)="1-Way", Enginuity!$B$13=1),
      AND(LEFT(P3739,5)="2-Way", OR(Enginuity!$B$13=2, Enginuity!$B$13=4)),
      AND(LEFT(P3739,5)="3-Way", OR(Enginuity!$B$13=3, Enginuity!$B$13=6)),
      AND(P3739="Inner Centre Jamb", OR(Enginuity!$B$13=4, Enginuity!$B$13=6)),
      AND(
        LEFT(P3739,5)&lt;&gt;"1-Way",
        LEFT(P3739,5)&lt;&gt;"2-Way",
        LEFT(P3739,5)&lt;&gt;"3-Way",
        P3739&lt;&gt;"Inner Centre Jamb"
      )
    ),
    IF(OR(Enginuity!$A$1="Frameless Glass",Enginuity!$A$1="Metal Work"),
      AND(TRIM(B3739)=TRIM(Enginuity!$A$17),TRIM(C3739)=TRIM(Enginuity!$A$18)),
      TRIM(B3739)=TRIM(Enginuity!$A$17)
    )
  ),
  ROW(),
  ""
)</f>
        <v/>
      </c>
    </row>
    <row r="3740" spans="21:21" x14ac:dyDescent="0.25">
      <c r="U3740" s="104" t="str">
        <f>IF(
  AND(
    TRIM(A3740)=TRIM(Enginuity!$A$1),
    TRIM(B3740)=TRIM(Enginuity!$A$17),
    Q3740&lt;&gt;"",
    Q3740&lt;&gt;0,
    OR(
      TRIM(C3740)=TRIM(Enginuity!$A$18),
      AND(UPPER(TRIM(M3740))="STD", TRIM(B3740)=TRIM(Enginuity!$A$17))
    ),
    OR(
      AND(LEFT(P3740,5)="1-Way", Enginuity!$B$13=1),
      AND(LEFT(P3740,5)="2-Way", OR(Enginuity!$B$13=2, Enginuity!$B$13=4)),
      AND(LEFT(P3740,5)="3-Way", OR(Enginuity!$B$13=3, Enginuity!$B$13=6)),
      AND(P3740="Inner Centre Jamb", OR(Enginuity!$B$13=4, Enginuity!$B$13=6)),
      AND(
        LEFT(P3740,5)&lt;&gt;"1-Way",
        LEFT(P3740,5)&lt;&gt;"2-Way",
        LEFT(P3740,5)&lt;&gt;"3-Way",
        P3740&lt;&gt;"Inner Centre Jamb"
      )
    ),
    IF(OR(Enginuity!$A$1="Frameless Glass",Enginuity!$A$1="Metal Work"),
      AND(TRIM(B3740)=TRIM(Enginuity!$A$17),TRIM(C3740)=TRIM(Enginuity!$A$18)),
      TRIM(B3740)=TRIM(Enginuity!$A$17)
    )
  ),
  ROW(),
  ""
)</f>
        <v/>
      </c>
    </row>
    <row r="3741" spans="21:21" x14ac:dyDescent="0.25">
      <c r="U3741" s="104" t="str">
        <f>IF(
  AND(
    TRIM(A3741)=TRIM(Enginuity!$A$1),
    TRIM(B3741)=TRIM(Enginuity!$A$17),
    Q3741&lt;&gt;"",
    Q3741&lt;&gt;0,
    OR(
      TRIM(C3741)=TRIM(Enginuity!$A$18),
      AND(UPPER(TRIM(M3741))="STD", TRIM(B3741)=TRIM(Enginuity!$A$17))
    ),
    OR(
      AND(LEFT(P3741,5)="1-Way", Enginuity!$B$13=1),
      AND(LEFT(P3741,5)="2-Way", OR(Enginuity!$B$13=2, Enginuity!$B$13=4)),
      AND(LEFT(P3741,5)="3-Way", OR(Enginuity!$B$13=3, Enginuity!$B$13=6)),
      AND(P3741="Inner Centre Jamb", OR(Enginuity!$B$13=4, Enginuity!$B$13=6)),
      AND(
        LEFT(P3741,5)&lt;&gt;"1-Way",
        LEFT(P3741,5)&lt;&gt;"2-Way",
        LEFT(P3741,5)&lt;&gt;"3-Way",
        P3741&lt;&gt;"Inner Centre Jamb"
      )
    ),
    IF(OR(Enginuity!$A$1="Frameless Glass",Enginuity!$A$1="Metal Work"),
      AND(TRIM(B3741)=TRIM(Enginuity!$A$17),TRIM(C3741)=TRIM(Enginuity!$A$18)),
      TRIM(B3741)=TRIM(Enginuity!$A$17)
    )
  ),
  ROW(),
  ""
)</f>
        <v/>
      </c>
    </row>
    <row r="3742" spans="21:21" x14ac:dyDescent="0.25">
      <c r="U3742" s="104" t="str">
        <f>IF(
  AND(
    TRIM(A3742)=TRIM(Enginuity!$A$1),
    TRIM(B3742)=TRIM(Enginuity!$A$17),
    Q3742&lt;&gt;"",
    Q3742&lt;&gt;0,
    OR(
      TRIM(C3742)=TRIM(Enginuity!$A$18),
      AND(UPPER(TRIM(M3742))="STD", TRIM(B3742)=TRIM(Enginuity!$A$17))
    ),
    OR(
      AND(LEFT(P3742,5)="1-Way", Enginuity!$B$13=1),
      AND(LEFT(P3742,5)="2-Way", OR(Enginuity!$B$13=2, Enginuity!$B$13=4)),
      AND(LEFT(P3742,5)="3-Way", OR(Enginuity!$B$13=3, Enginuity!$B$13=6)),
      AND(P3742="Inner Centre Jamb", OR(Enginuity!$B$13=4, Enginuity!$B$13=6)),
      AND(
        LEFT(P3742,5)&lt;&gt;"1-Way",
        LEFT(P3742,5)&lt;&gt;"2-Way",
        LEFT(P3742,5)&lt;&gt;"3-Way",
        P3742&lt;&gt;"Inner Centre Jamb"
      )
    ),
    IF(OR(Enginuity!$A$1="Frameless Glass",Enginuity!$A$1="Metal Work"),
      AND(TRIM(B3742)=TRIM(Enginuity!$A$17),TRIM(C3742)=TRIM(Enginuity!$A$18)),
      TRIM(B3742)=TRIM(Enginuity!$A$17)
    )
  ),
  ROW(),
  ""
)</f>
        <v/>
      </c>
    </row>
    <row r="3743" spans="21:21" x14ac:dyDescent="0.25">
      <c r="U3743" s="104" t="str">
        <f>IF(
  AND(
    TRIM(A3743)=TRIM(Enginuity!$A$1),
    TRIM(B3743)=TRIM(Enginuity!$A$17),
    Q3743&lt;&gt;"",
    Q3743&lt;&gt;0,
    OR(
      TRIM(C3743)=TRIM(Enginuity!$A$18),
      AND(UPPER(TRIM(M3743))="STD", TRIM(B3743)=TRIM(Enginuity!$A$17))
    ),
    OR(
      AND(LEFT(P3743,5)="1-Way", Enginuity!$B$13=1),
      AND(LEFT(P3743,5)="2-Way", OR(Enginuity!$B$13=2, Enginuity!$B$13=4)),
      AND(LEFT(P3743,5)="3-Way", OR(Enginuity!$B$13=3, Enginuity!$B$13=6)),
      AND(P3743="Inner Centre Jamb", OR(Enginuity!$B$13=4, Enginuity!$B$13=6)),
      AND(
        LEFT(P3743,5)&lt;&gt;"1-Way",
        LEFT(P3743,5)&lt;&gt;"2-Way",
        LEFT(P3743,5)&lt;&gt;"3-Way",
        P3743&lt;&gt;"Inner Centre Jamb"
      )
    ),
    IF(OR(Enginuity!$A$1="Frameless Glass",Enginuity!$A$1="Metal Work"),
      AND(TRIM(B3743)=TRIM(Enginuity!$A$17),TRIM(C3743)=TRIM(Enginuity!$A$18)),
      TRIM(B3743)=TRIM(Enginuity!$A$17)
    )
  ),
  ROW(),
  ""
)</f>
        <v/>
      </c>
    </row>
    <row r="3744" spans="21:21" x14ac:dyDescent="0.25">
      <c r="U3744" s="104" t="str">
        <f>IF(
  AND(
    TRIM(A3744)=TRIM(Enginuity!$A$1),
    TRIM(B3744)=TRIM(Enginuity!$A$17),
    Q3744&lt;&gt;"",
    Q3744&lt;&gt;0,
    OR(
      TRIM(C3744)=TRIM(Enginuity!$A$18),
      AND(UPPER(TRIM(M3744))="STD", TRIM(B3744)=TRIM(Enginuity!$A$17))
    ),
    OR(
      AND(LEFT(P3744,5)="1-Way", Enginuity!$B$13=1),
      AND(LEFT(P3744,5)="2-Way", OR(Enginuity!$B$13=2, Enginuity!$B$13=4)),
      AND(LEFT(P3744,5)="3-Way", OR(Enginuity!$B$13=3, Enginuity!$B$13=6)),
      AND(P3744="Inner Centre Jamb", OR(Enginuity!$B$13=4, Enginuity!$B$13=6)),
      AND(
        LEFT(P3744,5)&lt;&gt;"1-Way",
        LEFT(P3744,5)&lt;&gt;"2-Way",
        LEFT(P3744,5)&lt;&gt;"3-Way",
        P3744&lt;&gt;"Inner Centre Jamb"
      )
    ),
    IF(OR(Enginuity!$A$1="Frameless Glass",Enginuity!$A$1="Metal Work"),
      AND(TRIM(B3744)=TRIM(Enginuity!$A$17),TRIM(C3744)=TRIM(Enginuity!$A$18)),
      TRIM(B3744)=TRIM(Enginuity!$A$17)
    )
  ),
  ROW(),
  ""
)</f>
        <v/>
      </c>
    </row>
    <row r="3745" spans="21:21" x14ac:dyDescent="0.25">
      <c r="U3745" s="104" t="str">
        <f>IF(
  AND(
    TRIM(A3745)=TRIM(Enginuity!$A$1),
    TRIM(B3745)=TRIM(Enginuity!$A$17),
    Q3745&lt;&gt;"",
    Q3745&lt;&gt;0,
    OR(
      TRIM(C3745)=TRIM(Enginuity!$A$18),
      AND(UPPER(TRIM(M3745))="STD", TRIM(B3745)=TRIM(Enginuity!$A$17))
    ),
    OR(
      AND(LEFT(P3745,5)="1-Way", Enginuity!$B$13=1),
      AND(LEFT(P3745,5)="2-Way", OR(Enginuity!$B$13=2, Enginuity!$B$13=4)),
      AND(LEFT(P3745,5)="3-Way", OR(Enginuity!$B$13=3, Enginuity!$B$13=6)),
      AND(P3745="Inner Centre Jamb", OR(Enginuity!$B$13=4, Enginuity!$B$13=6)),
      AND(
        LEFT(P3745,5)&lt;&gt;"1-Way",
        LEFT(P3745,5)&lt;&gt;"2-Way",
        LEFT(P3745,5)&lt;&gt;"3-Way",
        P3745&lt;&gt;"Inner Centre Jamb"
      )
    ),
    IF(OR(Enginuity!$A$1="Frameless Glass",Enginuity!$A$1="Metal Work"),
      AND(TRIM(B3745)=TRIM(Enginuity!$A$17),TRIM(C3745)=TRIM(Enginuity!$A$18)),
      TRIM(B3745)=TRIM(Enginuity!$A$17)
    )
  ),
  ROW(),
  ""
)</f>
        <v/>
      </c>
    </row>
    <row r="3746" spans="21:21" x14ac:dyDescent="0.25">
      <c r="U3746" s="104" t="str">
        <f>IF(
  AND(
    TRIM(A3746)=TRIM(Enginuity!$A$1),
    TRIM(B3746)=TRIM(Enginuity!$A$17),
    Q3746&lt;&gt;"",
    Q3746&lt;&gt;0,
    OR(
      TRIM(C3746)=TRIM(Enginuity!$A$18),
      AND(UPPER(TRIM(M3746))="STD", TRIM(B3746)=TRIM(Enginuity!$A$17))
    ),
    OR(
      AND(LEFT(P3746,5)="1-Way", Enginuity!$B$13=1),
      AND(LEFT(P3746,5)="2-Way", OR(Enginuity!$B$13=2, Enginuity!$B$13=4)),
      AND(LEFT(P3746,5)="3-Way", OR(Enginuity!$B$13=3, Enginuity!$B$13=6)),
      AND(P3746="Inner Centre Jamb", OR(Enginuity!$B$13=4, Enginuity!$B$13=6)),
      AND(
        LEFT(P3746,5)&lt;&gt;"1-Way",
        LEFT(P3746,5)&lt;&gt;"2-Way",
        LEFT(P3746,5)&lt;&gt;"3-Way",
        P3746&lt;&gt;"Inner Centre Jamb"
      )
    ),
    IF(OR(Enginuity!$A$1="Frameless Glass",Enginuity!$A$1="Metal Work"),
      AND(TRIM(B3746)=TRIM(Enginuity!$A$17),TRIM(C3746)=TRIM(Enginuity!$A$18)),
      TRIM(B3746)=TRIM(Enginuity!$A$17)
    )
  ),
  ROW(),
  ""
)</f>
        <v/>
      </c>
    </row>
    <row r="3747" spans="21:21" x14ac:dyDescent="0.25">
      <c r="U3747" s="104" t="str">
        <f>IF(
  AND(
    TRIM(A3747)=TRIM(Enginuity!$A$1),
    TRIM(B3747)=TRIM(Enginuity!$A$17),
    Q3747&lt;&gt;"",
    Q3747&lt;&gt;0,
    OR(
      TRIM(C3747)=TRIM(Enginuity!$A$18),
      AND(UPPER(TRIM(M3747))="STD", TRIM(B3747)=TRIM(Enginuity!$A$17))
    ),
    OR(
      AND(LEFT(P3747,5)="1-Way", Enginuity!$B$13=1),
      AND(LEFT(P3747,5)="2-Way", OR(Enginuity!$B$13=2, Enginuity!$B$13=4)),
      AND(LEFT(P3747,5)="3-Way", OR(Enginuity!$B$13=3, Enginuity!$B$13=6)),
      AND(P3747="Inner Centre Jamb", OR(Enginuity!$B$13=4, Enginuity!$B$13=6)),
      AND(
        LEFT(P3747,5)&lt;&gt;"1-Way",
        LEFT(P3747,5)&lt;&gt;"2-Way",
        LEFT(P3747,5)&lt;&gt;"3-Way",
        P3747&lt;&gt;"Inner Centre Jamb"
      )
    ),
    IF(OR(Enginuity!$A$1="Frameless Glass",Enginuity!$A$1="Metal Work"),
      AND(TRIM(B3747)=TRIM(Enginuity!$A$17),TRIM(C3747)=TRIM(Enginuity!$A$18)),
      TRIM(B3747)=TRIM(Enginuity!$A$17)
    )
  ),
  ROW(),
  ""
)</f>
        <v/>
      </c>
    </row>
    <row r="3748" spans="21:21" x14ac:dyDescent="0.25">
      <c r="U3748" s="104" t="str">
        <f>IF(
  AND(
    TRIM(A3748)=TRIM(Enginuity!$A$1),
    TRIM(B3748)=TRIM(Enginuity!$A$17),
    Q3748&lt;&gt;"",
    Q3748&lt;&gt;0,
    OR(
      TRIM(C3748)=TRIM(Enginuity!$A$18),
      AND(UPPER(TRIM(M3748))="STD", TRIM(B3748)=TRIM(Enginuity!$A$17))
    ),
    OR(
      AND(LEFT(P3748,5)="1-Way", Enginuity!$B$13=1),
      AND(LEFT(P3748,5)="2-Way", OR(Enginuity!$B$13=2, Enginuity!$B$13=4)),
      AND(LEFT(P3748,5)="3-Way", OR(Enginuity!$B$13=3, Enginuity!$B$13=6)),
      AND(P3748="Inner Centre Jamb", OR(Enginuity!$B$13=4, Enginuity!$B$13=6)),
      AND(
        LEFT(P3748,5)&lt;&gt;"1-Way",
        LEFT(P3748,5)&lt;&gt;"2-Way",
        LEFT(P3748,5)&lt;&gt;"3-Way",
        P3748&lt;&gt;"Inner Centre Jamb"
      )
    ),
    IF(OR(Enginuity!$A$1="Frameless Glass",Enginuity!$A$1="Metal Work"),
      AND(TRIM(B3748)=TRIM(Enginuity!$A$17),TRIM(C3748)=TRIM(Enginuity!$A$18)),
      TRIM(B3748)=TRIM(Enginuity!$A$17)
    )
  ),
  ROW(),
  ""
)</f>
        <v/>
      </c>
    </row>
    <row r="3749" spans="21:21" x14ac:dyDescent="0.25">
      <c r="U3749" s="104" t="str">
        <f>IF(
  AND(
    TRIM(A3749)=TRIM(Enginuity!$A$1),
    TRIM(B3749)=TRIM(Enginuity!$A$17),
    Q3749&lt;&gt;"",
    Q3749&lt;&gt;0,
    OR(
      TRIM(C3749)=TRIM(Enginuity!$A$18),
      AND(UPPER(TRIM(M3749))="STD", TRIM(B3749)=TRIM(Enginuity!$A$17))
    ),
    OR(
      AND(LEFT(P3749,5)="1-Way", Enginuity!$B$13=1),
      AND(LEFT(P3749,5)="2-Way", OR(Enginuity!$B$13=2, Enginuity!$B$13=4)),
      AND(LEFT(P3749,5)="3-Way", OR(Enginuity!$B$13=3, Enginuity!$B$13=6)),
      AND(P3749="Inner Centre Jamb", OR(Enginuity!$B$13=4, Enginuity!$B$13=6)),
      AND(
        LEFT(P3749,5)&lt;&gt;"1-Way",
        LEFT(P3749,5)&lt;&gt;"2-Way",
        LEFT(P3749,5)&lt;&gt;"3-Way",
        P3749&lt;&gt;"Inner Centre Jamb"
      )
    ),
    IF(OR(Enginuity!$A$1="Frameless Glass",Enginuity!$A$1="Metal Work"),
      AND(TRIM(B3749)=TRIM(Enginuity!$A$17),TRIM(C3749)=TRIM(Enginuity!$A$18)),
      TRIM(B3749)=TRIM(Enginuity!$A$17)
    )
  ),
  ROW(),
  ""
)</f>
        <v/>
      </c>
    </row>
    <row r="3750" spans="21:21" x14ac:dyDescent="0.25">
      <c r="U3750" s="104" t="str">
        <f>IF(
  AND(
    TRIM(A3750)=TRIM(Enginuity!$A$1),
    TRIM(B3750)=TRIM(Enginuity!$A$17),
    Q3750&lt;&gt;"",
    Q3750&lt;&gt;0,
    OR(
      TRIM(C3750)=TRIM(Enginuity!$A$18),
      AND(UPPER(TRIM(M3750))="STD", TRIM(B3750)=TRIM(Enginuity!$A$17))
    ),
    OR(
      AND(LEFT(P3750,5)="1-Way", Enginuity!$B$13=1),
      AND(LEFT(P3750,5)="2-Way", OR(Enginuity!$B$13=2, Enginuity!$B$13=4)),
      AND(LEFT(P3750,5)="3-Way", OR(Enginuity!$B$13=3, Enginuity!$B$13=6)),
      AND(P3750="Inner Centre Jamb", OR(Enginuity!$B$13=4, Enginuity!$B$13=6)),
      AND(
        LEFT(P3750,5)&lt;&gt;"1-Way",
        LEFT(P3750,5)&lt;&gt;"2-Way",
        LEFT(P3750,5)&lt;&gt;"3-Way",
        P3750&lt;&gt;"Inner Centre Jamb"
      )
    ),
    IF(OR(Enginuity!$A$1="Frameless Glass",Enginuity!$A$1="Metal Work"),
      AND(TRIM(B3750)=TRIM(Enginuity!$A$17),TRIM(C3750)=TRIM(Enginuity!$A$18)),
      TRIM(B3750)=TRIM(Enginuity!$A$17)
    )
  ),
  ROW(),
  ""
)</f>
        <v/>
      </c>
    </row>
    <row r="3751" spans="21:21" x14ac:dyDescent="0.25">
      <c r="U3751" s="104" t="str">
        <f>IF(
  AND(
    TRIM(A3751)=TRIM(Enginuity!$A$1),
    TRIM(B3751)=TRIM(Enginuity!$A$17),
    Q3751&lt;&gt;"",
    Q3751&lt;&gt;0,
    OR(
      TRIM(C3751)=TRIM(Enginuity!$A$18),
      AND(UPPER(TRIM(M3751))="STD", TRIM(B3751)=TRIM(Enginuity!$A$17))
    ),
    OR(
      AND(LEFT(P3751,5)="1-Way", Enginuity!$B$13=1),
      AND(LEFT(P3751,5)="2-Way", OR(Enginuity!$B$13=2, Enginuity!$B$13=4)),
      AND(LEFT(P3751,5)="3-Way", OR(Enginuity!$B$13=3, Enginuity!$B$13=6)),
      AND(P3751="Inner Centre Jamb", OR(Enginuity!$B$13=4, Enginuity!$B$13=6)),
      AND(
        LEFT(P3751,5)&lt;&gt;"1-Way",
        LEFT(P3751,5)&lt;&gt;"2-Way",
        LEFT(P3751,5)&lt;&gt;"3-Way",
        P3751&lt;&gt;"Inner Centre Jamb"
      )
    ),
    IF(OR(Enginuity!$A$1="Frameless Glass",Enginuity!$A$1="Metal Work"),
      AND(TRIM(B3751)=TRIM(Enginuity!$A$17),TRIM(C3751)=TRIM(Enginuity!$A$18)),
      TRIM(B3751)=TRIM(Enginuity!$A$17)
    )
  ),
  ROW(),
  ""
)</f>
        <v/>
      </c>
    </row>
    <row r="3752" spans="21:21" x14ac:dyDescent="0.25">
      <c r="U3752" s="104" t="str">
        <f>IF(
  AND(
    TRIM(A3752)=TRIM(Enginuity!$A$1),
    TRIM(B3752)=TRIM(Enginuity!$A$17),
    Q3752&lt;&gt;"",
    Q3752&lt;&gt;0,
    OR(
      TRIM(C3752)=TRIM(Enginuity!$A$18),
      AND(UPPER(TRIM(M3752))="STD", TRIM(B3752)=TRIM(Enginuity!$A$17))
    ),
    OR(
      AND(LEFT(P3752,5)="1-Way", Enginuity!$B$13=1),
      AND(LEFT(P3752,5)="2-Way", OR(Enginuity!$B$13=2, Enginuity!$B$13=4)),
      AND(LEFT(P3752,5)="3-Way", OR(Enginuity!$B$13=3, Enginuity!$B$13=6)),
      AND(P3752="Inner Centre Jamb", OR(Enginuity!$B$13=4, Enginuity!$B$13=6)),
      AND(
        LEFT(P3752,5)&lt;&gt;"1-Way",
        LEFT(P3752,5)&lt;&gt;"2-Way",
        LEFT(P3752,5)&lt;&gt;"3-Way",
        P3752&lt;&gt;"Inner Centre Jamb"
      )
    ),
    IF(OR(Enginuity!$A$1="Frameless Glass",Enginuity!$A$1="Metal Work"),
      AND(TRIM(B3752)=TRIM(Enginuity!$A$17),TRIM(C3752)=TRIM(Enginuity!$A$18)),
      TRIM(B3752)=TRIM(Enginuity!$A$17)
    )
  ),
  ROW(),
  ""
)</f>
        <v/>
      </c>
    </row>
    <row r="3753" spans="21:21" x14ac:dyDescent="0.25">
      <c r="U3753" s="104" t="str">
        <f>IF(
  AND(
    TRIM(A3753)=TRIM(Enginuity!$A$1),
    TRIM(B3753)=TRIM(Enginuity!$A$17),
    Q3753&lt;&gt;"",
    Q3753&lt;&gt;0,
    OR(
      TRIM(C3753)=TRIM(Enginuity!$A$18),
      AND(UPPER(TRIM(M3753))="STD", TRIM(B3753)=TRIM(Enginuity!$A$17))
    ),
    OR(
      AND(LEFT(P3753,5)="1-Way", Enginuity!$B$13=1),
      AND(LEFT(P3753,5)="2-Way", OR(Enginuity!$B$13=2, Enginuity!$B$13=4)),
      AND(LEFT(P3753,5)="3-Way", OR(Enginuity!$B$13=3, Enginuity!$B$13=6)),
      AND(P3753="Inner Centre Jamb", OR(Enginuity!$B$13=4, Enginuity!$B$13=6)),
      AND(
        LEFT(P3753,5)&lt;&gt;"1-Way",
        LEFT(P3753,5)&lt;&gt;"2-Way",
        LEFT(P3753,5)&lt;&gt;"3-Way",
        P3753&lt;&gt;"Inner Centre Jamb"
      )
    ),
    IF(OR(Enginuity!$A$1="Frameless Glass",Enginuity!$A$1="Metal Work"),
      AND(TRIM(B3753)=TRIM(Enginuity!$A$17),TRIM(C3753)=TRIM(Enginuity!$A$18)),
      TRIM(B3753)=TRIM(Enginuity!$A$17)
    )
  ),
  ROW(),
  ""
)</f>
        <v/>
      </c>
    </row>
    <row r="3754" spans="21:21" x14ac:dyDescent="0.25">
      <c r="U3754" s="104" t="str">
        <f>IF(
  AND(
    TRIM(A3754)=TRIM(Enginuity!$A$1),
    TRIM(B3754)=TRIM(Enginuity!$A$17),
    Q3754&lt;&gt;"",
    Q3754&lt;&gt;0,
    OR(
      TRIM(C3754)=TRIM(Enginuity!$A$18),
      AND(UPPER(TRIM(M3754))="STD", TRIM(B3754)=TRIM(Enginuity!$A$17))
    ),
    OR(
      AND(LEFT(P3754,5)="1-Way", Enginuity!$B$13=1),
      AND(LEFT(P3754,5)="2-Way", OR(Enginuity!$B$13=2, Enginuity!$B$13=4)),
      AND(LEFT(P3754,5)="3-Way", OR(Enginuity!$B$13=3, Enginuity!$B$13=6)),
      AND(P3754="Inner Centre Jamb", OR(Enginuity!$B$13=4, Enginuity!$B$13=6)),
      AND(
        LEFT(P3754,5)&lt;&gt;"1-Way",
        LEFT(P3754,5)&lt;&gt;"2-Way",
        LEFT(P3754,5)&lt;&gt;"3-Way",
        P3754&lt;&gt;"Inner Centre Jamb"
      )
    ),
    IF(OR(Enginuity!$A$1="Frameless Glass",Enginuity!$A$1="Metal Work"),
      AND(TRIM(B3754)=TRIM(Enginuity!$A$17),TRIM(C3754)=TRIM(Enginuity!$A$18)),
      TRIM(B3754)=TRIM(Enginuity!$A$17)
    )
  ),
  ROW(),
  ""
)</f>
        <v/>
      </c>
    </row>
    <row r="3755" spans="21:21" x14ac:dyDescent="0.25">
      <c r="U3755" s="104" t="str">
        <f>IF(
  AND(
    TRIM(A3755)=TRIM(Enginuity!$A$1),
    TRIM(B3755)=TRIM(Enginuity!$A$17),
    Q3755&lt;&gt;"",
    Q3755&lt;&gt;0,
    OR(
      TRIM(C3755)=TRIM(Enginuity!$A$18),
      AND(UPPER(TRIM(M3755))="STD", TRIM(B3755)=TRIM(Enginuity!$A$17))
    ),
    OR(
      AND(LEFT(P3755,5)="1-Way", Enginuity!$B$13=1),
      AND(LEFT(P3755,5)="2-Way", OR(Enginuity!$B$13=2, Enginuity!$B$13=4)),
      AND(LEFT(P3755,5)="3-Way", OR(Enginuity!$B$13=3, Enginuity!$B$13=6)),
      AND(P3755="Inner Centre Jamb", OR(Enginuity!$B$13=4, Enginuity!$B$13=6)),
      AND(
        LEFT(P3755,5)&lt;&gt;"1-Way",
        LEFT(P3755,5)&lt;&gt;"2-Way",
        LEFT(P3755,5)&lt;&gt;"3-Way",
        P3755&lt;&gt;"Inner Centre Jamb"
      )
    ),
    IF(OR(Enginuity!$A$1="Frameless Glass",Enginuity!$A$1="Metal Work"),
      AND(TRIM(B3755)=TRIM(Enginuity!$A$17),TRIM(C3755)=TRIM(Enginuity!$A$18)),
      TRIM(B3755)=TRIM(Enginuity!$A$17)
    )
  ),
  ROW(),
  ""
)</f>
        <v/>
      </c>
    </row>
    <row r="3756" spans="21:21" x14ac:dyDescent="0.25">
      <c r="U3756" s="104" t="str">
        <f>IF(
  AND(
    TRIM(A3756)=TRIM(Enginuity!$A$1),
    TRIM(B3756)=TRIM(Enginuity!$A$17),
    Q3756&lt;&gt;"",
    Q3756&lt;&gt;0,
    OR(
      TRIM(C3756)=TRIM(Enginuity!$A$18),
      AND(UPPER(TRIM(M3756))="STD", TRIM(B3756)=TRIM(Enginuity!$A$17))
    ),
    OR(
      AND(LEFT(P3756,5)="1-Way", Enginuity!$B$13=1),
      AND(LEFT(P3756,5)="2-Way", OR(Enginuity!$B$13=2, Enginuity!$B$13=4)),
      AND(LEFT(P3756,5)="3-Way", OR(Enginuity!$B$13=3, Enginuity!$B$13=6)),
      AND(P3756="Inner Centre Jamb", OR(Enginuity!$B$13=4, Enginuity!$B$13=6)),
      AND(
        LEFT(P3756,5)&lt;&gt;"1-Way",
        LEFT(P3756,5)&lt;&gt;"2-Way",
        LEFT(P3756,5)&lt;&gt;"3-Way",
        P3756&lt;&gt;"Inner Centre Jamb"
      )
    ),
    IF(OR(Enginuity!$A$1="Frameless Glass",Enginuity!$A$1="Metal Work"),
      AND(TRIM(B3756)=TRIM(Enginuity!$A$17),TRIM(C3756)=TRIM(Enginuity!$A$18)),
      TRIM(B3756)=TRIM(Enginuity!$A$17)
    )
  ),
  ROW(),
  ""
)</f>
        <v/>
      </c>
    </row>
    <row r="3757" spans="21:21" x14ac:dyDescent="0.25">
      <c r="U3757" s="104" t="str">
        <f>IF(
  AND(
    TRIM(A3757)=TRIM(Enginuity!$A$1),
    TRIM(B3757)=TRIM(Enginuity!$A$17),
    Q3757&lt;&gt;"",
    Q3757&lt;&gt;0,
    OR(
      TRIM(C3757)=TRIM(Enginuity!$A$18),
      AND(UPPER(TRIM(M3757))="STD", TRIM(B3757)=TRIM(Enginuity!$A$17))
    ),
    OR(
      AND(LEFT(P3757,5)="1-Way", Enginuity!$B$13=1),
      AND(LEFT(P3757,5)="2-Way", OR(Enginuity!$B$13=2, Enginuity!$B$13=4)),
      AND(LEFT(P3757,5)="3-Way", OR(Enginuity!$B$13=3, Enginuity!$B$13=6)),
      AND(P3757="Inner Centre Jamb", OR(Enginuity!$B$13=4, Enginuity!$B$13=6)),
      AND(
        LEFT(P3757,5)&lt;&gt;"1-Way",
        LEFT(P3757,5)&lt;&gt;"2-Way",
        LEFT(P3757,5)&lt;&gt;"3-Way",
        P3757&lt;&gt;"Inner Centre Jamb"
      )
    ),
    IF(OR(Enginuity!$A$1="Frameless Glass",Enginuity!$A$1="Metal Work"),
      AND(TRIM(B3757)=TRIM(Enginuity!$A$17),TRIM(C3757)=TRIM(Enginuity!$A$18)),
      TRIM(B3757)=TRIM(Enginuity!$A$17)
    )
  ),
  ROW(),
  ""
)</f>
        <v/>
      </c>
    </row>
    <row r="3758" spans="21:21" x14ac:dyDescent="0.25">
      <c r="U3758" s="104" t="str">
        <f>IF(
  AND(
    TRIM(A3758)=TRIM(Enginuity!$A$1),
    TRIM(B3758)=TRIM(Enginuity!$A$17),
    Q3758&lt;&gt;"",
    Q3758&lt;&gt;0,
    OR(
      TRIM(C3758)=TRIM(Enginuity!$A$18),
      AND(UPPER(TRIM(M3758))="STD", TRIM(B3758)=TRIM(Enginuity!$A$17))
    ),
    OR(
      AND(LEFT(P3758,5)="1-Way", Enginuity!$B$13=1),
      AND(LEFT(P3758,5)="2-Way", OR(Enginuity!$B$13=2, Enginuity!$B$13=4)),
      AND(LEFT(P3758,5)="3-Way", OR(Enginuity!$B$13=3, Enginuity!$B$13=6)),
      AND(P3758="Inner Centre Jamb", OR(Enginuity!$B$13=4, Enginuity!$B$13=6)),
      AND(
        LEFT(P3758,5)&lt;&gt;"1-Way",
        LEFT(P3758,5)&lt;&gt;"2-Way",
        LEFT(P3758,5)&lt;&gt;"3-Way",
        P3758&lt;&gt;"Inner Centre Jamb"
      )
    ),
    IF(OR(Enginuity!$A$1="Frameless Glass",Enginuity!$A$1="Metal Work"),
      AND(TRIM(B3758)=TRIM(Enginuity!$A$17),TRIM(C3758)=TRIM(Enginuity!$A$18)),
      TRIM(B3758)=TRIM(Enginuity!$A$17)
    )
  ),
  ROW(),
  ""
)</f>
        <v/>
      </c>
    </row>
    <row r="3759" spans="21:21" x14ac:dyDescent="0.25">
      <c r="U3759" s="104" t="str">
        <f>IF(
  AND(
    TRIM(A3759)=TRIM(Enginuity!$A$1),
    TRIM(B3759)=TRIM(Enginuity!$A$17),
    Q3759&lt;&gt;"",
    Q3759&lt;&gt;0,
    OR(
      TRIM(C3759)=TRIM(Enginuity!$A$18),
      AND(UPPER(TRIM(M3759))="STD", TRIM(B3759)=TRIM(Enginuity!$A$17))
    ),
    OR(
      AND(LEFT(P3759,5)="1-Way", Enginuity!$B$13=1),
      AND(LEFT(P3759,5)="2-Way", OR(Enginuity!$B$13=2, Enginuity!$B$13=4)),
      AND(LEFT(P3759,5)="3-Way", OR(Enginuity!$B$13=3, Enginuity!$B$13=6)),
      AND(P3759="Inner Centre Jamb", OR(Enginuity!$B$13=4, Enginuity!$B$13=6)),
      AND(
        LEFT(P3759,5)&lt;&gt;"1-Way",
        LEFT(P3759,5)&lt;&gt;"2-Way",
        LEFT(P3759,5)&lt;&gt;"3-Way",
        P3759&lt;&gt;"Inner Centre Jamb"
      )
    ),
    IF(OR(Enginuity!$A$1="Frameless Glass",Enginuity!$A$1="Metal Work"),
      AND(TRIM(B3759)=TRIM(Enginuity!$A$17),TRIM(C3759)=TRIM(Enginuity!$A$18)),
      TRIM(B3759)=TRIM(Enginuity!$A$17)
    )
  ),
  ROW(),
  ""
)</f>
        <v/>
      </c>
    </row>
    <row r="3760" spans="21:21" x14ac:dyDescent="0.25">
      <c r="U3760" s="104" t="str">
        <f>IF(
  AND(
    TRIM(A3760)=TRIM(Enginuity!$A$1),
    TRIM(B3760)=TRIM(Enginuity!$A$17),
    Q3760&lt;&gt;"",
    Q3760&lt;&gt;0,
    OR(
      TRIM(C3760)=TRIM(Enginuity!$A$18),
      AND(UPPER(TRIM(M3760))="STD", TRIM(B3760)=TRIM(Enginuity!$A$17))
    ),
    OR(
      AND(LEFT(P3760,5)="1-Way", Enginuity!$B$13=1),
      AND(LEFT(P3760,5)="2-Way", OR(Enginuity!$B$13=2, Enginuity!$B$13=4)),
      AND(LEFT(P3760,5)="3-Way", OR(Enginuity!$B$13=3, Enginuity!$B$13=6)),
      AND(P3760="Inner Centre Jamb", OR(Enginuity!$B$13=4, Enginuity!$B$13=6)),
      AND(
        LEFT(P3760,5)&lt;&gt;"1-Way",
        LEFT(P3760,5)&lt;&gt;"2-Way",
        LEFT(P3760,5)&lt;&gt;"3-Way",
        P3760&lt;&gt;"Inner Centre Jamb"
      )
    ),
    IF(OR(Enginuity!$A$1="Frameless Glass",Enginuity!$A$1="Metal Work"),
      AND(TRIM(B3760)=TRIM(Enginuity!$A$17),TRIM(C3760)=TRIM(Enginuity!$A$18)),
      TRIM(B3760)=TRIM(Enginuity!$A$17)
    )
  ),
  ROW(),
  ""
)</f>
        <v/>
      </c>
    </row>
    <row r="3761" spans="21:21" x14ac:dyDescent="0.25">
      <c r="U3761" s="104" t="str">
        <f>IF(
  AND(
    TRIM(A3761)=TRIM(Enginuity!$A$1),
    TRIM(B3761)=TRIM(Enginuity!$A$17),
    Q3761&lt;&gt;"",
    Q3761&lt;&gt;0,
    OR(
      TRIM(C3761)=TRIM(Enginuity!$A$18),
      AND(UPPER(TRIM(M3761))="STD", TRIM(B3761)=TRIM(Enginuity!$A$17))
    ),
    OR(
      AND(LEFT(P3761,5)="1-Way", Enginuity!$B$13=1),
      AND(LEFT(P3761,5)="2-Way", OR(Enginuity!$B$13=2, Enginuity!$B$13=4)),
      AND(LEFT(P3761,5)="3-Way", OR(Enginuity!$B$13=3, Enginuity!$B$13=6)),
      AND(P3761="Inner Centre Jamb", OR(Enginuity!$B$13=4, Enginuity!$B$13=6)),
      AND(
        LEFT(P3761,5)&lt;&gt;"1-Way",
        LEFT(P3761,5)&lt;&gt;"2-Way",
        LEFT(P3761,5)&lt;&gt;"3-Way",
        P3761&lt;&gt;"Inner Centre Jamb"
      )
    ),
    IF(OR(Enginuity!$A$1="Frameless Glass",Enginuity!$A$1="Metal Work"),
      AND(TRIM(B3761)=TRIM(Enginuity!$A$17),TRIM(C3761)=TRIM(Enginuity!$A$18)),
      TRIM(B3761)=TRIM(Enginuity!$A$17)
    )
  ),
  ROW(),
  ""
)</f>
        <v/>
      </c>
    </row>
    <row r="3762" spans="21:21" x14ac:dyDescent="0.25">
      <c r="U3762" s="104" t="str">
        <f>IF(
  AND(
    TRIM(A3762)=TRIM(Enginuity!$A$1),
    TRIM(B3762)=TRIM(Enginuity!$A$17),
    Q3762&lt;&gt;"",
    Q3762&lt;&gt;0,
    OR(
      TRIM(C3762)=TRIM(Enginuity!$A$18),
      AND(UPPER(TRIM(M3762))="STD", TRIM(B3762)=TRIM(Enginuity!$A$17))
    ),
    OR(
      AND(LEFT(P3762,5)="1-Way", Enginuity!$B$13=1),
      AND(LEFT(P3762,5)="2-Way", OR(Enginuity!$B$13=2, Enginuity!$B$13=4)),
      AND(LEFT(P3762,5)="3-Way", OR(Enginuity!$B$13=3, Enginuity!$B$13=6)),
      AND(P3762="Inner Centre Jamb", OR(Enginuity!$B$13=4, Enginuity!$B$13=6)),
      AND(
        LEFT(P3762,5)&lt;&gt;"1-Way",
        LEFT(P3762,5)&lt;&gt;"2-Way",
        LEFT(P3762,5)&lt;&gt;"3-Way",
        P3762&lt;&gt;"Inner Centre Jamb"
      )
    ),
    IF(OR(Enginuity!$A$1="Frameless Glass",Enginuity!$A$1="Metal Work"),
      AND(TRIM(B3762)=TRIM(Enginuity!$A$17),TRIM(C3762)=TRIM(Enginuity!$A$18)),
      TRIM(B3762)=TRIM(Enginuity!$A$17)
    )
  ),
  ROW(),
  ""
)</f>
        <v/>
      </c>
    </row>
    <row r="3763" spans="21:21" x14ac:dyDescent="0.25">
      <c r="U3763" s="104" t="str">
        <f>IF(
  AND(
    TRIM(A3763)=TRIM(Enginuity!$A$1),
    TRIM(B3763)=TRIM(Enginuity!$A$17),
    Q3763&lt;&gt;"",
    Q3763&lt;&gt;0,
    OR(
      TRIM(C3763)=TRIM(Enginuity!$A$18),
      AND(UPPER(TRIM(M3763))="STD", TRIM(B3763)=TRIM(Enginuity!$A$17))
    ),
    OR(
      AND(LEFT(P3763,5)="1-Way", Enginuity!$B$13=1),
      AND(LEFT(P3763,5)="2-Way", OR(Enginuity!$B$13=2, Enginuity!$B$13=4)),
      AND(LEFT(P3763,5)="3-Way", OR(Enginuity!$B$13=3, Enginuity!$B$13=6)),
      AND(P3763="Inner Centre Jamb", OR(Enginuity!$B$13=4, Enginuity!$B$13=6)),
      AND(
        LEFT(P3763,5)&lt;&gt;"1-Way",
        LEFT(P3763,5)&lt;&gt;"2-Way",
        LEFT(P3763,5)&lt;&gt;"3-Way",
        P3763&lt;&gt;"Inner Centre Jamb"
      )
    ),
    IF(OR(Enginuity!$A$1="Frameless Glass",Enginuity!$A$1="Metal Work"),
      AND(TRIM(B3763)=TRIM(Enginuity!$A$17),TRIM(C3763)=TRIM(Enginuity!$A$18)),
      TRIM(B3763)=TRIM(Enginuity!$A$17)
    )
  ),
  ROW(),
  ""
)</f>
        <v/>
      </c>
    </row>
    <row r="3764" spans="21:21" x14ac:dyDescent="0.25">
      <c r="U3764" s="104" t="str">
        <f>IF(
  AND(
    TRIM(A3764)=TRIM(Enginuity!$A$1),
    TRIM(B3764)=TRIM(Enginuity!$A$17),
    Q3764&lt;&gt;"",
    Q3764&lt;&gt;0,
    OR(
      TRIM(C3764)=TRIM(Enginuity!$A$18),
      AND(UPPER(TRIM(M3764))="STD", TRIM(B3764)=TRIM(Enginuity!$A$17))
    ),
    OR(
      AND(LEFT(P3764,5)="1-Way", Enginuity!$B$13=1),
      AND(LEFT(P3764,5)="2-Way", OR(Enginuity!$B$13=2, Enginuity!$B$13=4)),
      AND(LEFT(P3764,5)="3-Way", OR(Enginuity!$B$13=3, Enginuity!$B$13=6)),
      AND(P3764="Inner Centre Jamb", OR(Enginuity!$B$13=4, Enginuity!$B$13=6)),
      AND(
        LEFT(P3764,5)&lt;&gt;"1-Way",
        LEFT(P3764,5)&lt;&gt;"2-Way",
        LEFT(P3764,5)&lt;&gt;"3-Way",
        P3764&lt;&gt;"Inner Centre Jamb"
      )
    ),
    IF(OR(Enginuity!$A$1="Frameless Glass",Enginuity!$A$1="Metal Work"),
      AND(TRIM(B3764)=TRIM(Enginuity!$A$17),TRIM(C3764)=TRIM(Enginuity!$A$18)),
      TRIM(B3764)=TRIM(Enginuity!$A$17)
    )
  ),
  ROW(),
  ""
)</f>
        <v/>
      </c>
    </row>
    <row r="3765" spans="21:21" x14ac:dyDescent="0.25">
      <c r="U3765" s="104" t="str">
        <f>IF(
  AND(
    TRIM(A3765)=TRIM(Enginuity!$A$1),
    TRIM(B3765)=TRIM(Enginuity!$A$17),
    Q3765&lt;&gt;"",
    Q3765&lt;&gt;0,
    OR(
      TRIM(C3765)=TRIM(Enginuity!$A$18),
      AND(UPPER(TRIM(M3765))="STD", TRIM(B3765)=TRIM(Enginuity!$A$17))
    ),
    OR(
      AND(LEFT(P3765,5)="1-Way", Enginuity!$B$13=1),
      AND(LEFT(P3765,5)="2-Way", OR(Enginuity!$B$13=2, Enginuity!$B$13=4)),
      AND(LEFT(P3765,5)="3-Way", OR(Enginuity!$B$13=3, Enginuity!$B$13=6)),
      AND(P3765="Inner Centre Jamb", OR(Enginuity!$B$13=4, Enginuity!$B$13=6)),
      AND(
        LEFT(P3765,5)&lt;&gt;"1-Way",
        LEFT(P3765,5)&lt;&gt;"2-Way",
        LEFT(P3765,5)&lt;&gt;"3-Way",
        P3765&lt;&gt;"Inner Centre Jamb"
      )
    ),
    IF(OR(Enginuity!$A$1="Frameless Glass",Enginuity!$A$1="Metal Work"),
      AND(TRIM(B3765)=TRIM(Enginuity!$A$17),TRIM(C3765)=TRIM(Enginuity!$A$18)),
      TRIM(B3765)=TRIM(Enginuity!$A$17)
    )
  ),
  ROW(),
  ""
)</f>
        <v/>
      </c>
    </row>
    <row r="3766" spans="21:21" x14ac:dyDescent="0.25">
      <c r="U3766" s="104" t="str">
        <f>IF(
  AND(
    TRIM(A3766)=TRIM(Enginuity!$A$1),
    TRIM(B3766)=TRIM(Enginuity!$A$17),
    Q3766&lt;&gt;"",
    Q3766&lt;&gt;0,
    OR(
      TRIM(C3766)=TRIM(Enginuity!$A$18),
      AND(UPPER(TRIM(M3766))="STD", TRIM(B3766)=TRIM(Enginuity!$A$17))
    ),
    OR(
      AND(LEFT(P3766,5)="1-Way", Enginuity!$B$13=1),
      AND(LEFT(P3766,5)="2-Way", OR(Enginuity!$B$13=2, Enginuity!$B$13=4)),
      AND(LEFT(P3766,5)="3-Way", OR(Enginuity!$B$13=3, Enginuity!$B$13=6)),
      AND(P3766="Inner Centre Jamb", OR(Enginuity!$B$13=4, Enginuity!$B$13=6)),
      AND(
        LEFT(P3766,5)&lt;&gt;"1-Way",
        LEFT(P3766,5)&lt;&gt;"2-Way",
        LEFT(P3766,5)&lt;&gt;"3-Way",
        P3766&lt;&gt;"Inner Centre Jamb"
      )
    ),
    IF(OR(Enginuity!$A$1="Frameless Glass",Enginuity!$A$1="Metal Work"),
      AND(TRIM(B3766)=TRIM(Enginuity!$A$17),TRIM(C3766)=TRIM(Enginuity!$A$18)),
      TRIM(B3766)=TRIM(Enginuity!$A$17)
    )
  ),
  ROW(),
  ""
)</f>
        <v/>
      </c>
    </row>
    <row r="3767" spans="21:21" x14ac:dyDescent="0.25">
      <c r="U3767" s="104" t="str">
        <f>IF(
  AND(
    TRIM(A3767)=TRIM(Enginuity!$A$1),
    TRIM(B3767)=TRIM(Enginuity!$A$17),
    Q3767&lt;&gt;"",
    Q3767&lt;&gt;0,
    OR(
      TRIM(C3767)=TRIM(Enginuity!$A$18),
      AND(UPPER(TRIM(M3767))="STD", TRIM(B3767)=TRIM(Enginuity!$A$17))
    ),
    OR(
      AND(LEFT(P3767,5)="1-Way", Enginuity!$B$13=1),
      AND(LEFT(P3767,5)="2-Way", OR(Enginuity!$B$13=2, Enginuity!$B$13=4)),
      AND(LEFT(P3767,5)="3-Way", OR(Enginuity!$B$13=3, Enginuity!$B$13=6)),
      AND(P3767="Inner Centre Jamb", OR(Enginuity!$B$13=4, Enginuity!$B$13=6)),
      AND(
        LEFT(P3767,5)&lt;&gt;"1-Way",
        LEFT(P3767,5)&lt;&gt;"2-Way",
        LEFT(P3767,5)&lt;&gt;"3-Way",
        P3767&lt;&gt;"Inner Centre Jamb"
      )
    ),
    IF(OR(Enginuity!$A$1="Frameless Glass",Enginuity!$A$1="Metal Work"),
      AND(TRIM(B3767)=TRIM(Enginuity!$A$17),TRIM(C3767)=TRIM(Enginuity!$A$18)),
      TRIM(B3767)=TRIM(Enginuity!$A$17)
    )
  ),
  ROW(),
  ""
)</f>
        <v/>
      </c>
    </row>
    <row r="3768" spans="21:21" x14ac:dyDescent="0.25">
      <c r="U3768" s="104" t="str">
        <f>IF(
  AND(
    TRIM(A3768)=TRIM(Enginuity!$A$1),
    TRIM(B3768)=TRIM(Enginuity!$A$17),
    Q3768&lt;&gt;"",
    Q3768&lt;&gt;0,
    OR(
      TRIM(C3768)=TRIM(Enginuity!$A$18),
      AND(UPPER(TRIM(M3768))="STD", TRIM(B3768)=TRIM(Enginuity!$A$17))
    ),
    OR(
      AND(LEFT(P3768,5)="1-Way", Enginuity!$B$13=1),
      AND(LEFT(P3768,5)="2-Way", OR(Enginuity!$B$13=2, Enginuity!$B$13=4)),
      AND(LEFT(P3768,5)="3-Way", OR(Enginuity!$B$13=3, Enginuity!$B$13=6)),
      AND(P3768="Inner Centre Jamb", OR(Enginuity!$B$13=4, Enginuity!$B$13=6)),
      AND(
        LEFT(P3768,5)&lt;&gt;"1-Way",
        LEFT(P3768,5)&lt;&gt;"2-Way",
        LEFT(P3768,5)&lt;&gt;"3-Way",
        P3768&lt;&gt;"Inner Centre Jamb"
      )
    ),
    IF(OR(Enginuity!$A$1="Frameless Glass",Enginuity!$A$1="Metal Work"),
      AND(TRIM(B3768)=TRIM(Enginuity!$A$17),TRIM(C3768)=TRIM(Enginuity!$A$18)),
      TRIM(B3768)=TRIM(Enginuity!$A$17)
    )
  ),
  ROW(),
  ""
)</f>
        <v/>
      </c>
    </row>
    <row r="3769" spans="21:21" x14ac:dyDescent="0.25">
      <c r="U3769" s="104" t="str">
        <f>IF(
  AND(
    TRIM(A3769)=TRIM(Enginuity!$A$1),
    TRIM(B3769)=TRIM(Enginuity!$A$17),
    Q3769&lt;&gt;"",
    Q3769&lt;&gt;0,
    OR(
      TRIM(C3769)=TRIM(Enginuity!$A$18),
      AND(UPPER(TRIM(M3769))="STD", TRIM(B3769)=TRIM(Enginuity!$A$17))
    ),
    OR(
      AND(LEFT(P3769,5)="1-Way", Enginuity!$B$13=1),
      AND(LEFT(P3769,5)="2-Way", OR(Enginuity!$B$13=2, Enginuity!$B$13=4)),
      AND(LEFT(P3769,5)="3-Way", OR(Enginuity!$B$13=3, Enginuity!$B$13=6)),
      AND(P3769="Inner Centre Jamb", OR(Enginuity!$B$13=4, Enginuity!$B$13=6)),
      AND(
        LEFT(P3769,5)&lt;&gt;"1-Way",
        LEFT(P3769,5)&lt;&gt;"2-Way",
        LEFT(P3769,5)&lt;&gt;"3-Way",
        P3769&lt;&gt;"Inner Centre Jamb"
      )
    ),
    IF(OR(Enginuity!$A$1="Frameless Glass",Enginuity!$A$1="Metal Work"),
      AND(TRIM(B3769)=TRIM(Enginuity!$A$17),TRIM(C3769)=TRIM(Enginuity!$A$18)),
      TRIM(B3769)=TRIM(Enginuity!$A$17)
    )
  ),
  ROW(),
  ""
)</f>
        <v/>
      </c>
    </row>
    <row r="3770" spans="21:21" x14ac:dyDescent="0.25">
      <c r="U3770" s="104" t="str">
        <f>IF(
  AND(
    TRIM(A3770)=TRIM(Enginuity!$A$1),
    TRIM(B3770)=TRIM(Enginuity!$A$17),
    Q3770&lt;&gt;"",
    Q3770&lt;&gt;0,
    OR(
      TRIM(C3770)=TRIM(Enginuity!$A$18),
      AND(UPPER(TRIM(M3770))="STD", TRIM(B3770)=TRIM(Enginuity!$A$17))
    ),
    OR(
      AND(LEFT(P3770,5)="1-Way", Enginuity!$B$13=1),
      AND(LEFT(P3770,5)="2-Way", OR(Enginuity!$B$13=2, Enginuity!$B$13=4)),
      AND(LEFT(P3770,5)="3-Way", OR(Enginuity!$B$13=3, Enginuity!$B$13=6)),
      AND(P3770="Inner Centre Jamb", OR(Enginuity!$B$13=4, Enginuity!$B$13=6)),
      AND(
        LEFT(P3770,5)&lt;&gt;"1-Way",
        LEFT(P3770,5)&lt;&gt;"2-Way",
        LEFT(P3770,5)&lt;&gt;"3-Way",
        P3770&lt;&gt;"Inner Centre Jamb"
      )
    ),
    IF(OR(Enginuity!$A$1="Frameless Glass",Enginuity!$A$1="Metal Work"),
      AND(TRIM(B3770)=TRIM(Enginuity!$A$17),TRIM(C3770)=TRIM(Enginuity!$A$18)),
      TRIM(B3770)=TRIM(Enginuity!$A$17)
    )
  ),
  ROW(),
  ""
)</f>
        <v/>
      </c>
    </row>
    <row r="3771" spans="21:21" x14ac:dyDescent="0.25">
      <c r="U3771" s="104" t="str">
        <f>IF(
  AND(
    TRIM(A3771)=TRIM(Enginuity!$A$1),
    TRIM(B3771)=TRIM(Enginuity!$A$17),
    Q3771&lt;&gt;"",
    Q3771&lt;&gt;0,
    OR(
      TRIM(C3771)=TRIM(Enginuity!$A$18),
      AND(UPPER(TRIM(M3771))="STD", TRIM(B3771)=TRIM(Enginuity!$A$17))
    ),
    OR(
      AND(LEFT(P3771,5)="1-Way", Enginuity!$B$13=1),
      AND(LEFT(P3771,5)="2-Way", OR(Enginuity!$B$13=2, Enginuity!$B$13=4)),
      AND(LEFT(P3771,5)="3-Way", OR(Enginuity!$B$13=3, Enginuity!$B$13=6)),
      AND(P3771="Inner Centre Jamb", OR(Enginuity!$B$13=4, Enginuity!$B$13=6)),
      AND(
        LEFT(P3771,5)&lt;&gt;"1-Way",
        LEFT(P3771,5)&lt;&gt;"2-Way",
        LEFT(P3771,5)&lt;&gt;"3-Way",
        P3771&lt;&gt;"Inner Centre Jamb"
      )
    ),
    IF(OR(Enginuity!$A$1="Frameless Glass",Enginuity!$A$1="Metal Work"),
      AND(TRIM(B3771)=TRIM(Enginuity!$A$17),TRIM(C3771)=TRIM(Enginuity!$A$18)),
      TRIM(B3771)=TRIM(Enginuity!$A$17)
    )
  ),
  ROW(),
  ""
)</f>
        <v/>
      </c>
    </row>
    <row r="3772" spans="21:21" x14ac:dyDescent="0.25">
      <c r="U3772" s="104" t="str">
        <f>IF(
  AND(
    TRIM(A3772)=TRIM(Enginuity!$A$1),
    TRIM(B3772)=TRIM(Enginuity!$A$17),
    Q3772&lt;&gt;"",
    Q3772&lt;&gt;0,
    OR(
      TRIM(C3772)=TRIM(Enginuity!$A$18),
      AND(UPPER(TRIM(M3772))="STD", TRIM(B3772)=TRIM(Enginuity!$A$17))
    ),
    OR(
      AND(LEFT(P3772,5)="1-Way", Enginuity!$B$13=1),
      AND(LEFT(P3772,5)="2-Way", OR(Enginuity!$B$13=2, Enginuity!$B$13=4)),
      AND(LEFT(P3772,5)="3-Way", OR(Enginuity!$B$13=3, Enginuity!$B$13=6)),
      AND(P3772="Inner Centre Jamb", OR(Enginuity!$B$13=4, Enginuity!$B$13=6)),
      AND(
        LEFT(P3772,5)&lt;&gt;"1-Way",
        LEFT(P3772,5)&lt;&gt;"2-Way",
        LEFT(P3772,5)&lt;&gt;"3-Way",
        P3772&lt;&gt;"Inner Centre Jamb"
      )
    ),
    IF(OR(Enginuity!$A$1="Frameless Glass",Enginuity!$A$1="Metal Work"),
      AND(TRIM(B3772)=TRIM(Enginuity!$A$17),TRIM(C3772)=TRIM(Enginuity!$A$18)),
      TRIM(B3772)=TRIM(Enginuity!$A$17)
    )
  ),
  ROW(),
  ""
)</f>
        <v/>
      </c>
    </row>
    <row r="3773" spans="21:21" x14ac:dyDescent="0.25">
      <c r="U3773" s="104" t="str">
        <f>IF(
  AND(
    TRIM(A3773)=TRIM(Enginuity!$A$1),
    TRIM(B3773)=TRIM(Enginuity!$A$17),
    Q3773&lt;&gt;"",
    Q3773&lt;&gt;0,
    OR(
      TRIM(C3773)=TRIM(Enginuity!$A$18),
      AND(UPPER(TRIM(M3773))="STD", TRIM(B3773)=TRIM(Enginuity!$A$17))
    ),
    OR(
      AND(LEFT(P3773,5)="1-Way", Enginuity!$B$13=1),
      AND(LEFT(P3773,5)="2-Way", OR(Enginuity!$B$13=2, Enginuity!$B$13=4)),
      AND(LEFT(P3773,5)="3-Way", OR(Enginuity!$B$13=3, Enginuity!$B$13=6)),
      AND(P3773="Inner Centre Jamb", OR(Enginuity!$B$13=4, Enginuity!$B$13=6)),
      AND(
        LEFT(P3773,5)&lt;&gt;"1-Way",
        LEFT(P3773,5)&lt;&gt;"2-Way",
        LEFT(P3773,5)&lt;&gt;"3-Way",
        P3773&lt;&gt;"Inner Centre Jamb"
      )
    ),
    IF(OR(Enginuity!$A$1="Frameless Glass",Enginuity!$A$1="Metal Work"),
      AND(TRIM(B3773)=TRIM(Enginuity!$A$17),TRIM(C3773)=TRIM(Enginuity!$A$18)),
      TRIM(B3773)=TRIM(Enginuity!$A$17)
    )
  ),
  ROW(),
  ""
)</f>
        <v/>
      </c>
    </row>
    <row r="3774" spans="21:21" x14ac:dyDescent="0.25">
      <c r="U3774" s="104" t="str">
        <f>IF(
  AND(
    TRIM(A3774)=TRIM(Enginuity!$A$1),
    TRIM(B3774)=TRIM(Enginuity!$A$17),
    Q3774&lt;&gt;"",
    Q3774&lt;&gt;0,
    OR(
      TRIM(C3774)=TRIM(Enginuity!$A$18),
      AND(UPPER(TRIM(M3774))="STD", TRIM(B3774)=TRIM(Enginuity!$A$17))
    ),
    OR(
      AND(LEFT(P3774,5)="1-Way", Enginuity!$B$13=1),
      AND(LEFT(P3774,5)="2-Way", OR(Enginuity!$B$13=2, Enginuity!$B$13=4)),
      AND(LEFT(P3774,5)="3-Way", OR(Enginuity!$B$13=3, Enginuity!$B$13=6)),
      AND(P3774="Inner Centre Jamb", OR(Enginuity!$B$13=4, Enginuity!$B$13=6)),
      AND(
        LEFT(P3774,5)&lt;&gt;"1-Way",
        LEFT(P3774,5)&lt;&gt;"2-Way",
        LEFT(P3774,5)&lt;&gt;"3-Way",
        P3774&lt;&gt;"Inner Centre Jamb"
      )
    ),
    IF(OR(Enginuity!$A$1="Frameless Glass",Enginuity!$A$1="Metal Work"),
      AND(TRIM(B3774)=TRIM(Enginuity!$A$17),TRIM(C3774)=TRIM(Enginuity!$A$18)),
      TRIM(B3774)=TRIM(Enginuity!$A$17)
    )
  ),
  ROW(),
  ""
)</f>
        <v/>
      </c>
    </row>
    <row r="3775" spans="21:21" x14ac:dyDescent="0.25">
      <c r="U3775" s="104" t="str">
        <f>IF(
  AND(
    TRIM(A3775)=TRIM(Enginuity!$A$1),
    TRIM(B3775)=TRIM(Enginuity!$A$17),
    Q3775&lt;&gt;"",
    Q3775&lt;&gt;0,
    OR(
      TRIM(C3775)=TRIM(Enginuity!$A$18),
      AND(UPPER(TRIM(M3775))="STD", TRIM(B3775)=TRIM(Enginuity!$A$17))
    ),
    OR(
      AND(LEFT(P3775,5)="1-Way", Enginuity!$B$13=1),
      AND(LEFT(P3775,5)="2-Way", OR(Enginuity!$B$13=2, Enginuity!$B$13=4)),
      AND(LEFT(P3775,5)="3-Way", OR(Enginuity!$B$13=3, Enginuity!$B$13=6)),
      AND(P3775="Inner Centre Jamb", OR(Enginuity!$B$13=4, Enginuity!$B$13=6)),
      AND(
        LEFT(P3775,5)&lt;&gt;"1-Way",
        LEFT(P3775,5)&lt;&gt;"2-Way",
        LEFT(P3775,5)&lt;&gt;"3-Way",
        P3775&lt;&gt;"Inner Centre Jamb"
      )
    ),
    IF(OR(Enginuity!$A$1="Frameless Glass",Enginuity!$A$1="Metal Work"),
      AND(TRIM(B3775)=TRIM(Enginuity!$A$17),TRIM(C3775)=TRIM(Enginuity!$A$18)),
      TRIM(B3775)=TRIM(Enginuity!$A$17)
    )
  ),
  ROW(),
  ""
)</f>
        <v/>
      </c>
    </row>
    <row r="3776" spans="21:21" x14ac:dyDescent="0.25">
      <c r="U3776" s="104" t="str">
        <f>IF(
  AND(
    TRIM(A3776)=TRIM(Enginuity!$A$1),
    TRIM(B3776)=TRIM(Enginuity!$A$17),
    Q3776&lt;&gt;"",
    Q3776&lt;&gt;0,
    OR(
      TRIM(C3776)=TRIM(Enginuity!$A$18),
      AND(UPPER(TRIM(M3776))="STD", TRIM(B3776)=TRIM(Enginuity!$A$17))
    ),
    OR(
      AND(LEFT(P3776,5)="1-Way", Enginuity!$B$13=1),
      AND(LEFT(P3776,5)="2-Way", OR(Enginuity!$B$13=2, Enginuity!$B$13=4)),
      AND(LEFT(P3776,5)="3-Way", OR(Enginuity!$B$13=3, Enginuity!$B$13=6)),
      AND(P3776="Inner Centre Jamb", OR(Enginuity!$B$13=4, Enginuity!$B$13=6)),
      AND(
        LEFT(P3776,5)&lt;&gt;"1-Way",
        LEFT(P3776,5)&lt;&gt;"2-Way",
        LEFT(P3776,5)&lt;&gt;"3-Way",
        P3776&lt;&gt;"Inner Centre Jamb"
      )
    ),
    IF(OR(Enginuity!$A$1="Frameless Glass",Enginuity!$A$1="Metal Work"),
      AND(TRIM(B3776)=TRIM(Enginuity!$A$17),TRIM(C3776)=TRIM(Enginuity!$A$18)),
      TRIM(B3776)=TRIM(Enginuity!$A$17)
    )
  ),
  ROW(),
  ""
)</f>
        <v/>
      </c>
    </row>
    <row r="3777" spans="21:21" x14ac:dyDescent="0.25">
      <c r="U3777" s="104" t="str">
        <f>IF(
  AND(
    TRIM(A3777)=TRIM(Enginuity!$A$1),
    TRIM(B3777)=TRIM(Enginuity!$A$17),
    Q3777&lt;&gt;"",
    Q3777&lt;&gt;0,
    OR(
      TRIM(C3777)=TRIM(Enginuity!$A$18),
      AND(UPPER(TRIM(M3777))="STD", TRIM(B3777)=TRIM(Enginuity!$A$17))
    ),
    OR(
      AND(LEFT(P3777,5)="1-Way", Enginuity!$B$13=1),
      AND(LEFT(P3777,5)="2-Way", OR(Enginuity!$B$13=2, Enginuity!$B$13=4)),
      AND(LEFT(P3777,5)="3-Way", OR(Enginuity!$B$13=3, Enginuity!$B$13=6)),
      AND(P3777="Inner Centre Jamb", OR(Enginuity!$B$13=4, Enginuity!$B$13=6)),
      AND(
        LEFT(P3777,5)&lt;&gt;"1-Way",
        LEFT(P3777,5)&lt;&gt;"2-Way",
        LEFT(P3777,5)&lt;&gt;"3-Way",
        P3777&lt;&gt;"Inner Centre Jamb"
      )
    ),
    IF(OR(Enginuity!$A$1="Frameless Glass",Enginuity!$A$1="Metal Work"),
      AND(TRIM(B3777)=TRIM(Enginuity!$A$17),TRIM(C3777)=TRIM(Enginuity!$A$18)),
      TRIM(B3777)=TRIM(Enginuity!$A$17)
    )
  ),
  ROW(),
  ""
)</f>
        <v/>
      </c>
    </row>
    <row r="3778" spans="21:21" x14ac:dyDescent="0.25">
      <c r="U3778" s="104" t="str">
        <f>IF(
  AND(
    TRIM(A3778)=TRIM(Enginuity!$A$1),
    TRIM(B3778)=TRIM(Enginuity!$A$17),
    Q3778&lt;&gt;"",
    Q3778&lt;&gt;0,
    OR(
      TRIM(C3778)=TRIM(Enginuity!$A$18),
      AND(UPPER(TRIM(M3778))="STD", TRIM(B3778)=TRIM(Enginuity!$A$17))
    ),
    OR(
      AND(LEFT(P3778,5)="1-Way", Enginuity!$B$13=1),
      AND(LEFT(P3778,5)="2-Way", OR(Enginuity!$B$13=2, Enginuity!$B$13=4)),
      AND(LEFT(P3778,5)="3-Way", OR(Enginuity!$B$13=3, Enginuity!$B$13=6)),
      AND(P3778="Inner Centre Jamb", OR(Enginuity!$B$13=4, Enginuity!$B$13=6)),
      AND(
        LEFT(P3778,5)&lt;&gt;"1-Way",
        LEFT(P3778,5)&lt;&gt;"2-Way",
        LEFT(P3778,5)&lt;&gt;"3-Way",
        P3778&lt;&gt;"Inner Centre Jamb"
      )
    ),
    IF(OR(Enginuity!$A$1="Frameless Glass",Enginuity!$A$1="Metal Work"),
      AND(TRIM(B3778)=TRIM(Enginuity!$A$17),TRIM(C3778)=TRIM(Enginuity!$A$18)),
      TRIM(B3778)=TRIM(Enginuity!$A$17)
    )
  ),
  ROW(),
  ""
)</f>
        <v/>
      </c>
    </row>
    <row r="3779" spans="21:21" x14ac:dyDescent="0.25">
      <c r="U3779" s="104" t="str">
        <f>IF(
  AND(
    TRIM(A3779)=TRIM(Enginuity!$A$1),
    TRIM(B3779)=TRIM(Enginuity!$A$17),
    Q3779&lt;&gt;"",
    Q3779&lt;&gt;0,
    OR(
      TRIM(C3779)=TRIM(Enginuity!$A$18),
      AND(UPPER(TRIM(M3779))="STD", TRIM(B3779)=TRIM(Enginuity!$A$17))
    ),
    OR(
      AND(LEFT(P3779,5)="1-Way", Enginuity!$B$13=1),
      AND(LEFT(P3779,5)="2-Way", OR(Enginuity!$B$13=2, Enginuity!$B$13=4)),
      AND(LEFT(P3779,5)="3-Way", OR(Enginuity!$B$13=3, Enginuity!$B$13=6)),
      AND(P3779="Inner Centre Jamb", OR(Enginuity!$B$13=4, Enginuity!$B$13=6)),
      AND(
        LEFT(P3779,5)&lt;&gt;"1-Way",
        LEFT(P3779,5)&lt;&gt;"2-Way",
        LEFT(P3779,5)&lt;&gt;"3-Way",
        P3779&lt;&gt;"Inner Centre Jamb"
      )
    ),
    IF(OR(Enginuity!$A$1="Frameless Glass",Enginuity!$A$1="Metal Work"),
      AND(TRIM(B3779)=TRIM(Enginuity!$A$17),TRIM(C3779)=TRIM(Enginuity!$A$18)),
      TRIM(B3779)=TRIM(Enginuity!$A$17)
    )
  ),
  ROW(),
  ""
)</f>
        <v/>
      </c>
    </row>
    <row r="3780" spans="21:21" x14ac:dyDescent="0.25">
      <c r="U3780" s="104" t="str">
        <f>IF(
  AND(
    TRIM(A3780)=TRIM(Enginuity!$A$1),
    TRIM(B3780)=TRIM(Enginuity!$A$17),
    Q3780&lt;&gt;"",
    Q3780&lt;&gt;0,
    OR(
      TRIM(C3780)=TRIM(Enginuity!$A$18),
      AND(UPPER(TRIM(M3780))="STD", TRIM(B3780)=TRIM(Enginuity!$A$17))
    ),
    OR(
      AND(LEFT(P3780,5)="1-Way", Enginuity!$B$13=1),
      AND(LEFT(P3780,5)="2-Way", OR(Enginuity!$B$13=2, Enginuity!$B$13=4)),
      AND(LEFT(P3780,5)="3-Way", OR(Enginuity!$B$13=3, Enginuity!$B$13=6)),
      AND(P3780="Inner Centre Jamb", OR(Enginuity!$B$13=4, Enginuity!$B$13=6)),
      AND(
        LEFT(P3780,5)&lt;&gt;"1-Way",
        LEFT(P3780,5)&lt;&gt;"2-Way",
        LEFT(P3780,5)&lt;&gt;"3-Way",
        P3780&lt;&gt;"Inner Centre Jamb"
      )
    ),
    IF(OR(Enginuity!$A$1="Frameless Glass",Enginuity!$A$1="Metal Work"),
      AND(TRIM(B3780)=TRIM(Enginuity!$A$17),TRIM(C3780)=TRIM(Enginuity!$A$18)),
      TRIM(B3780)=TRIM(Enginuity!$A$17)
    )
  ),
  ROW(),
  ""
)</f>
        <v/>
      </c>
    </row>
    <row r="3781" spans="21:21" x14ac:dyDescent="0.25">
      <c r="U3781" s="104" t="str">
        <f>IF(
  AND(
    TRIM(A3781)=TRIM(Enginuity!$A$1),
    TRIM(B3781)=TRIM(Enginuity!$A$17),
    Q3781&lt;&gt;"",
    Q3781&lt;&gt;0,
    OR(
      TRIM(C3781)=TRIM(Enginuity!$A$18),
      AND(UPPER(TRIM(M3781))="STD", TRIM(B3781)=TRIM(Enginuity!$A$17))
    ),
    OR(
      AND(LEFT(P3781,5)="1-Way", Enginuity!$B$13=1),
      AND(LEFT(P3781,5)="2-Way", OR(Enginuity!$B$13=2, Enginuity!$B$13=4)),
      AND(LEFT(P3781,5)="3-Way", OR(Enginuity!$B$13=3, Enginuity!$B$13=6)),
      AND(P3781="Inner Centre Jamb", OR(Enginuity!$B$13=4, Enginuity!$B$13=6)),
      AND(
        LEFT(P3781,5)&lt;&gt;"1-Way",
        LEFT(P3781,5)&lt;&gt;"2-Way",
        LEFT(P3781,5)&lt;&gt;"3-Way",
        P3781&lt;&gt;"Inner Centre Jamb"
      )
    ),
    IF(OR(Enginuity!$A$1="Frameless Glass",Enginuity!$A$1="Metal Work"),
      AND(TRIM(B3781)=TRIM(Enginuity!$A$17),TRIM(C3781)=TRIM(Enginuity!$A$18)),
      TRIM(B3781)=TRIM(Enginuity!$A$17)
    )
  ),
  ROW(),
  ""
)</f>
        <v/>
      </c>
    </row>
    <row r="3782" spans="21:21" x14ac:dyDescent="0.25">
      <c r="U3782" s="104" t="str">
        <f>IF(
  AND(
    TRIM(A3782)=TRIM(Enginuity!$A$1),
    TRIM(B3782)=TRIM(Enginuity!$A$17),
    Q3782&lt;&gt;"",
    Q3782&lt;&gt;0,
    OR(
      TRIM(C3782)=TRIM(Enginuity!$A$18),
      AND(UPPER(TRIM(M3782))="STD", TRIM(B3782)=TRIM(Enginuity!$A$17))
    ),
    OR(
      AND(LEFT(P3782,5)="1-Way", Enginuity!$B$13=1),
      AND(LEFT(P3782,5)="2-Way", OR(Enginuity!$B$13=2, Enginuity!$B$13=4)),
      AND(LEFT(P3782,5)="3-Way", OR(Enginuity!$B$13=3, Enginuity!$B$13=6)),
      AND(P3782="Inner Centre Jamb", OR(Enginuity!$B$13=4, Enginuity!$B$13=6)),
      AND(
        LEFT(P3782,5)&lt;&gt;"1-Way",
        LEFT(P3782,5)&lt;&gt;"2-Way",
        LEFT(P3782,5)&lt;&gt;"3-Way",
        P3782&lt;&gt;"Inner Centre Jamb"
      )
    ),
    IF(OR(Enginuity!$A$1="Frameless Glass",Enginuity!$A$1="Metal Work"),
      AND(TRIM(B3782)=TRIM(Enginuity!$A$17),TRIM(C3782)=TRIM(Enginuity!$A$18)),
      TRIM(B3782)=TRIM(Enginuity!$A$17)
    )
  ),
  ROW(),
  ""
)</f>
        <v/>
      </c>
    </row>
    <row r="3783" spans="21:21" x14ac:dyDescent="0.25">
      <c r="U3783" s="104" t="str">
        <f>IF(
  AND(
    TRIM(A3783)=TRIM(Enginuity!$A$1),
    TRIM(B3783)=TRIM(Enginuity!$A$17),
    Q3783&lt;&gt;"",
    Q3783&lt;&gt;0,
    OR(
      TRIM(C3783)=TRIM(Enginuity!$A$18),
      AND(UPPER(TRIM(M3783))="STD", TRIM(B3783)=TRIM(Enginuity!$A$17))
    ),
    OR(
      AND(LEFT(P3783,5)="1-Way", Enginuity!$B$13=1),
      AND(LEFT(P3783,5)="2-Way", OR(Enginuity!$B$13=2, Enginuity!$B$13=4)),
      AND(LEFT(P3783,5)="3-Way", OR(Enginuity!$B$13=3, Enginuity!$B$13=6)),
      AND(P3783="Inner Centre Jamb", OR(Enginuity!$B$13=4, Enginuity!$B$13=6)),
      AND(
        LEFT(P3783,5)&lt;&gt;"1-Way",
        LEFT(P3783,5)&lt;&gt;"2-Way",
        LEFT(P3783,5)&lt;&gt;"3-Way",
        P3783&lt;&gt;"Inner Centre Jamb"
      )
    ),
    IF(OR(Enginuity!$A$1="Frameless Glass",Enginuity!$A$1="Metal Work"),
      AND(TRIM(B3783)=TRIM(Enginuity!$A$17),TRIM(C3783)=TRIM(Enginuity!$A$18)),
      TRIM(B3783)=TRIM(Enginuity!$A$17)
    )
  ),
  ROW(),
  ""
)</f>
        <v/>
      </c>
    </row>
    <row r="3784" spans="21:21" x14ac:dyDescent="0.25">
      <c r="U3784" s="104" t="str">
        <f>IF(
  AND(
    TRIM(A3784)=TRIM(Enginuity!$A$1),
    TRIM(B3784)=TRIM(Enginuity!$A$17),
    Q3784&lt;&gt;"",
    Q3784&lt;&gt;0,
    OR(
      TRIM(C3784)=TRIM(Enginuity!$A$18),
      AND(UPPER(TRIM(M3784))="STD", TRIM(B3784)=TRIM(Enginuity!$A$17))
    ),
    OR(
      AND(LEFT(P3784,5)="1-Way", Enginuity!$B$13=1),
      AND(LEFT(P3784,5)="2-Way", OR(Enginuity!$B$13=2, Enginuity!$B$13=4)),
      AND(LEFT(P3784,5)="3-Way", OR(Enginuity!$B$13=3, Enginuity!$B$13=6)),
      AND(P3784="Inner Centre Jamb", OR(Enginuity!$B$13=4, Enginuity!$B$13=6)),
      AND(
        LEFT(P3784,5)&lt;&gt;"1-Way",
        LEFT(P3784,5)&lt;&gt;"2-Way",
        LEFT(P3784,5)&lt;&gt;"3-Way",
        P3784&lt;&gt;"Inner Centre Jamb"
      )
    ),
    IF(OR(Enginuity!$A$1="Frameless Glass",Enginuity!$A$1="Metal Work"),
      AND(TRIM(B3784)=TRIM(Enginuity!$A$17),TRIM(C3784)=TRIM(Enginuity!$A$18)),
      TRIM(B3784)=TRIM(Enginuity!$A$17)
    )
  ),
  ROW(),
  ""
)</f>
        <v/>
      </c>
    </row>
    <row r="3785" spans="21:21" x14ac:dyDescent="0.25">
      <c r="U3785" s="104" t="str">
        <f>IF(
  AND(
    TRIM(A3785)=TRIM(Enginuity!$A$1),
    TRIM(B3785)=TRIM(Enginuity!$A$17),
    Q3785&lt;&gt;"",
    Q3785&lt;&gt;0,
    OR(
      TRIM(C3785)=TRIM(Enginuity!$A$18),
      AND(UPPER(TRIM(M3785))="STD", TRIM(B3785)=TRIM(Enginuity!$A$17))
    ),
    OR(
      AND(LEFT(P3785,5)="1-Way", Enginuity!$B$13=1),
      AND(LEFT(P3785,5)="2-Way", OR(Enginuity!$B$13=2, Enginuity!$B$13=4)),
      AND(LEFT(P3785,5)="3-Way", OR(Enginuity!$B$13=3, Enginuity!$B$13=6)),
      AND(P3785="Inner Centre Jamb", OR(Enginuity!$B$13=4, Enginuity!$B$13=6)),
      AND(
        LEFT(P3785,5)&lt;&gt;"1-Way",
        LEFT(P3785,5)&lt;&gt;"2-Way",
        LEFT(P3785,5)&lt;&gt;"3-Way",
        P3785&lt;&gt;"Inner Centre Jamb"
      )
    ),
    IF(OR(Enginuity!$A$1="Frameless Glass",Enginuity!$A$1="Metal Work"),
      AND(TRIM(B3785)=TRIM(Enginuity!$A$17),TRIM(C3785)=TRIM(Enginuity!$A$18)),
      TRIM(B3785)=TRIM(Enginuity!$A$17)
    )
  ),
  ROW(),
  ""
)</f>
        <v/>
      </c>
    </row>
    <row r="3786" spans="21:21" x14ac:dyDescent="0.25">
      <c r="U3786" s="104" t="str">
        <f>IF(
  AND(
    TRIM(A3786)=TRIM(Enginuity!$A$1),
    TRIM(B3786)=TRIM(Enginuity!$A$17),
    Q3786&lt;&gt;"",
    Q3786&lt;&gt;0,
    OR(
      TRIM(C3786)=TRIM(Enginuity!$A$18),
      AND(UPPER(TRIM(M3786))="STD", TRIM(B3786)=TRIM(Enginuity!$A$17))
    ),
    OR(
      AND(LEFT(P3786,5)="1-Way", Enginuity!$B$13=1),
      AND(LEFT(P3786,5)="2-Way", OR(Enginuity!$B$13=2, Enginuity!$B$13=4)),
      AND(LEFT(P3786,5)="3-Way", OR(Enginuity!$B$13=3, Enginuity!$B$13=6)),
      AND(P3786="Inner Centre Jamb", OR(Enginuity!$B$13=4, Enginuity!$B$13=6)),
      AND(
        LEFT(P3786,5)&lt;&gt;"1-Way",
        LEFT(P3786,5)&lt;&gt;"2-Way",
        LEFT(P3786,5)&lt;&gt;"3-Way",
        P3786&lt;&gt;"Inner Centre Jamb"
      )
    ),
    IF(OR(Enginuity!$A$1="Frameless Glass",Enginuity!$A$1="Metal Work"),
      AND(TRIM(B3786)=TRIM(Enginuity!$A$17),TRIM(C3786)=TRIM(Enginuity!$A$18)),
      TRIM(B3786)=TRIM(Enginuity!$A$17)
    )
  ),
  ROW(),
  ""
)</f>
        <v/>
      </c>
    </row>
    <row r="3787" spans="21:21" x14ac:dyDescent="0.25">
      <c r="U3787" s="104" t="str">
        <f>IF(
  AND(
    TRIM(A3787)=TRIM(Enginuity!$A$1),
    TRIM(B3787)=TRIM(Enginuity!$A$17),
    Q3787&lt;&gt;"",
    Q3787&lt;&gt;0,
    OR(
      TRIM(C3787)=TRIM(Enginuity!$A$18),
      AND(UPPER(TRIM(M3787))="STD", TRIM(B3787)=TRIM(Enginuity!$A$17))
    ),
    OR(
      AND(LEFT(P3787,5)="1-Way", Enginuity!$B$13=1),
      AND(LEFT(P3787,5)="2-Way", OR(Enginuity!$B$13=2, Enginuity!$B$13=4)),
      AND(LEFT(P3787,5)="3-Way", OR(Enginuity!$B$13=3, Enginuity!$B$13=6)),
      AND(P3787="Inner Centre Jamb", OR(Enginuity!$B$13=4, Enginuity!$B$13=6)),
      AND(
        LEFT(P3787,5)&lt;&gt;"1-Way",
        LEFT(P3787,5)&lt;&gt;"2-Way",
        LEFT(P3787,5)&lt;&gt;"3-Way",
        P3787&lt;&gt;"Inner Centre Jamb"
      )
    ),
    IF(OR(Enginuity!$A$1="Frameless Glass",Enginuity!$A$1="Metal Work"),
      AND(TRIM(B3787)=TRIM(Enginuity!$A$17),TRIM(C3787)=TRIM(Enginuity!$A$18)),
      TRIM(B3787)=TRIM(Enginuity!$A$17)
    )
  ),
  ROW(),
  ""
)</f>
        <v/>
      </c>
    </row>
    <row r="3788" spans="21:21" x14ac:dyDescent="0.25">
      <c r="U3788" s="104" t="str">
        <f>IF(
  AND(
    TRIM(A3788)=TRIM(Enginuity!$A$1),
    TRIM(B3788)=TRIM(Enginuity!$A$17),
    Q3788&lt;&gt;"",
    Q3788&lt;&gt;0,
    OR(
      TRIM(C3788)=TRIM(Enginuity!$A$18),
      AND(UPPER(TRIM(M3788))="STD", TRIM(B3788)=TRIM(Enginuity!$A$17))
    ),
    OR(
      AND(LEFT(P3788,5)="1-Way", Enginuity!$B$13=1),
      AND(LEFT(P3788,5)="2-Way", OR(Enginuity!$B$13=2, Enginuity!$B$13=4)),
      AND(LEFT(P3788,5)="3-Way", OR(Enginuity!$B$13=3, Enginuity!$B$13=6)),
      AND(P3788="Inner Centre Jamb", OR(Enginuity!$B$13=4, Enginuity!$B$13=6)),
      AND(
        LEFT(P3788,5)&lt;&gt;"1-Way",
        LEFT(P3788,5)&lt;&gt;"2-Way",
        LEFT(P3788,5)&lt;&gt;"3-Way",
        P3788&lt;&gt;"Inner Centre Jamb"
      )
    ),
    IF(OR(Enginuity!$A$1="Frameless Glass",Enginuity!$A$1="Metal Work"),
      AND(TRIM(B3788)=TRIM(Enginuity!$A$17),TRIM(C3788)=TRIM(Enginuity!$A$18)),
      TRIM(B3788)=TRIM(Enginuity!$A$17)
    )
  ),
  ROW(),
  ""
)</f>
        <v/>
      </c>
    </row>
    <row r="3789" spans="21:21" x14ac:dyDescent="0.25">
      <c r="U3789" s="104" t="str">
        <f>IF(
  AND(
    TRIM(A3789)=TRIM(Enginuity!$A$1),
    TRIM(B3789)=TRIM(Enginuity!$A$17),
    Q3789&lt;&gt;"",
    Q3789&lt;&gt;0,
    OR(
      TRIM(C3789)=TRIM(Enginuity!$A$18),
      AND(UPPER(TRIM(M3789))="STD", TRIM(B3789)=TRIM(Enginuity!$A$17))
    ),
    OR(
      AND(LEFT(P3789,5)="1-Way", Enginuity!$B$13=1),
      AND(LEFT(P3789,5)="2-Way", OR(Enginuity!$B$13=2, Enginuity!$B$13=4)),
      AND(LEFT(P3789,5)="3-Way", OR(Enginuity!$B$13=3, Enginuity!$B$13=6)),
      AND(P3789="Inner Centre Jamb", OR(Enginuity!$B$13=4, Enginuity!$B$13=6)),
      AND(
        LEFT(P3789,5)&lt;&gt;"1-Way",
        LEFT(P3789,5)&lt;&gt;"2-Way",
        LEFT(P3789,5)&lt;&gt;"3-Way",
        P3789&lt;&gt;"Inner Centre Jamb"
      )
    ),
    IF(OR(Enginuity!$A$1="Frameless Glass",Enginuity!$A$1="Metal Work"),
      AND(TRIM(B3789)=TRIM(Enginuity!$A$17),TRIM(C3789)=TRIM(Enginuity!$A$18)),
      TRIM(B3789)=TRIM(Enginuity!$A$17)
    )
  ),
  ROW(),
  ""
)</f>
        <v/>
      </c>
    </row>
    <row r="3790" spans="21:21" x14ac:dyDescent="0.25">
      <c r="U3790" s="104" t="str">
        <f>IF(
  AND(
    TRIM(A3790)=TRIM(Enginuity!$A$1),
    TRIM(B3790)=TRIM(Enginuity!$A$17),
    Q3790&lt;&gt;"",
    Q3790&lt;&gt;0,
    OR(
      TRIM(C3790)=TRIM(Enginuity!$A$18),
      AND(UPPER(TRIM(M3790))="STD", TRIM(B3790)=TRIM(Enginuity!$A$17))
    ),
    OR(
      AND(LEFT(P3790,5)="1-Way", Enginuity!$B$13=1),
      AND(LEFT(P3790,5)="2-Way", OR(Enginuity!$B$13=2, Enginuity!$B$13=4)),
      AND(LEFT(P3790,5)="3-Way", OR(Enginuity!$B$13=3, Enginuity!$B$13=6)),
      AND(P3790="Inner Centre Jamb", OR(Enginuity!$B$13=4, Enginuity!$B$13=6)),
      AND(
        LEFT(P3790,5)&lt;&gt;"1-Way",
        LEFT(P3790,5)&lt;&gt;"2-Way",
        LEFT(P3790,5)&lt;&gt;"3-Way",
        P3790&lt;&gt;"Inner Centre Jamb"
      )
    ),
    IF(OR(Enginuity!$A$1="Frameless Glass",Enginuity!$A$1="Metal Work"),
      AND(TRIM(B3790)=TRIM(Enginuity!$A$17),TRIM(C3790)=TRIM(Enginuity!$A$18)),
      TRIM(B3790)=TRIM(Enginuity!$A$17)
    )
  ),
  ROW(),
  ""
)</f>
        <v/>
      </c>
    </row>
    <row r="3791" spans="21:21" x14ac:dyDescent="0.25">
      <c r="U3791" s="104" t="str">
        <f>IF(
  AND(
    TRIM(A3791)=TRIM(Enginuity!$A$1),
    TRIM(B3791)=TRIM(Enginuity!$A$17),
    Q3791&lt;&gt;"",
    Q3791&lt;&gt;0,
    OR(
      TRIM(C3791)=TRIM(Enginuity!$A$18),
      AND(UPPER(TRIM(M3791))="STD", TRIM(B3791)=TRIM(Enginuity!$A$17))
    ),
    OR(
      AND(LEFT(P3791,5)="1-Way", Enginuity!$B$13=1),
      AND(LEFT(P3791,5)="2-Way", OR(Enginuity!$B$13=2, Enginuity!$B$13=4)),
      AND(LEFT(P3791,5)="3-Way", OR(Enginuity!$B$13=3, Enginuity!$B$13=6)),
      AND(P3791="Inner Centre Jamb", OR(Enginuity!$B$13=4, Enginuity!$B$13=6)),
      AND(
        LEFT(P3791,5)&lt;&gt;"1-Way",
        LEFT(P3791,5)&lt;&gt;"2-Way",
        LEFT(P3791,5)&lt;&gt;"3-Way",
        P3791&lt;&gt;"Inner Centre Jamb"
      )
    ),
    IF(OR(Enginuity!$A$1="Frameless Glass",Enginuity!$A$1="Metal Work"),
      AND(TRIM(B3791)=TRIM(Enginuity!$A$17),TRIM(C3791)=TRIM(Enginuity!$A$18)),
      TRIM(B3791)=TRIM(Enginuity!$A$17)
    )
  ),
  ROW(),
  ""
)</f>
        <v/>
      </c>
    </row>
    <row r="3792" spans="21:21" x14ac:dyDescent="0.25">
      <c r="U3792" s="104" t="str">
        <f>IF(
  AND(
    TRIM(A3792)=TRIM(Enginuity!$A$1),
    TRIM(B3792)=TRIM(Enginuity!$A$17),
    Q3792&lt;&gt;"",
    Q3792&lt;&gt;0,
    OR(
      TRIM(C3792)=TRIM(Enginuity!$A$18),
      AND(UPPER(TRIM(M3792))="STD", TRIM(B3792)=TRIM(Enginuity!$A$17))
    ),
    OR(
      AND(LEFT(P3792,5)="1-Way", Enginuity!$B$13=1),
      AND(LEFT(P3792,5)="2-Way", OR(Enginuity!$B$13=2, Enginuity!$B$13=4)),
      AND(LEFT(P3792,5)="3-Way", OR(Enginuity!$B$13=3, Enginuity!$B$13=6)),
      AND(P3792="Inner Centre Jamb", OR(Enginuity!$B$13=4, Enginuity!$B$13=6)),
      AND(
        LEFT(P3792,5)&lt;&gt;"1-Way",
        LEFT(P3792,5)&lt;&gt;"2-Way",
        LEFT(P3792,5)&lt;&gt;"3-Way",
        P3792&lt;&gt;"Inner Centre Jamb"
      )
    ),
    IF(OR(Enginuity!$A$1="Frameless Glass",Enginuity!$A$1="Metal Work"),
      AND(TRIM(B3792)=TRIM(Enginuity!$A$17),TRIM(C3792)=TRIM(Enginuity!$A$18)),
      TRIM(B3792)=TRIM(Enginuity!$A$17)
    )
  ),
  ROW(),
  ""
)</f>
        <v/>
      </c>
    </row>
    <row r="3793" spans="21:21" x14ac:dyDescent="0.25">
      <c r="U3793" s="104" t="str">
        <f>IF(
  AND(
    TRIM(A3793)=TRIM(Enginuity!$A$1),
    TRIM(B3793)=TRIM(Enginuity!$A$17),
    Q3793&lt;&gt;"",
    Q3793&lt;&gt;0,
    OR(
      TRIM(C3793)=TRIM(Enginuity!$A$18),
      AND(UPPER(TRIM(M3793))="STD", TRIM(B3793)=TRIM(Enginuity!$A$17))
    ),
    OR(
      AND(LEFT(P3793,5)="1-Way", Enginuity!$B$13=1),
      AND(LEFT(P3793,5)="2-Way", OR(Enginuity!$B$13=2, Enginuity!$B$13=4)),
      AND(LEFT(P3793,5)="3-Way", OR(Enginuity!$B$13=3, Enginuity!$B$13=6)),
      AND(P3793="Inner Centre Jamb", OR(Enginuity!$B$13=4, Enginuity!$B$13=6)),
      AND(
        LEFT(P3793,5)&lt;&gt;"1-Way",
        LEFT(P3793,5)&lt;&gt;"2-Way",
        LEFT(P3793,5)&lt;&gt;"3-Way",
        P3793&lt;&gt;"Inner Centre Jamb"
      )
    ),
    IF(OR(Enginuity!$A$1="Frameless Glass",Enginuity!$A$1="Metal Work"),
      AND(TRIM(B3793)=TRIM(Enginuity!$A$17),TRIM(C3793)=TRIM(Enginuity!$A$18)),
      TRIM(B3793)=TRIM(Enginuity!$A$17)
    )
  ),
  ROW(),
  ""
)</f>
        <v/>
      </c>
    </row>
    <row r="3794" spans="21:21" x14ac:dyDescent="0.25">
      <c r="U3794" s="104" t="str">
        <f>IF(
  AND(
    TRIM(A3794)=TRIM(Enginuity!$A$1),
    TRIM(B3794)=TRIM(Enginuity!$A$17),
    Q3794&lt;&gt;"",
    Q3794&lt;&gt;0,
    OR(
      TRIM(C3794)=TRIM(Enginuity!$A$18),
      AND(UPPER(TRIM(M3794))="STD", TRIM(B3794)=TRIM(Enginuity!$A$17))
    ),
    OR(
      AND(LEFT(P3794,5)="1-Way", Enginuity!$B$13=1),
      AND(LEFT(P3794,5)="2-Way", OR(Enginuity!$B$13=2, Enginuity!$B$13=4)),
      AND(LEFT(P3794,5)="3-Way", OR(Enginuity!$B$13=3, Enginuity!$B$13=6)),
      AND(P3794="Inner Centre Jamb", OR(Enginuity!$B$13=4, Enginuity!$B$13=6)),
      AND(
        LEFT(P3794,5)&lt;&gt;"1-Way",
        LEFT(P3794,5)&lt;&gt;"2-Way",
        LEFT(P3794,5)&lt;&gt;"3-Way",
        P3794&lt;&gt;"Inner Centre Jamb"
      )
    ),
    IF(OR(Enginuity!$A$1="Frameless Glass",Enginuity!$A$1="Metal Work"),
      AND(TRIM(B3794)=TRIM(Enginuity!$A$17),TRIM(C3794)=TRIM(Enginuity!$A$18)),
      TRIM(B3794)=TRIM(Enginuity!$A$17)
    )
  ),
  ROW(),
  ""
)</f>
        <v/>
      </c>
    </row>
    <row r="3795" spans="21:21" x14ac:dyDescent="0.25">
      <c r="U3795" s="104" t="str">
        <f>IF(
  AND(
    TRIM(A3795)=TRIM(Enginuity!$A$1),
    TRIM(B3795)=TRIM(Enginuity!$A$17),
    Q3795&lt;&gt;"",
    Q3795&lt;&gt;0,
    OR(
      TRIM(C3795)=TRIM(Enginuity!$A$18),
      AND(UPPER(TRIM(M3795))="STD", TRIM(B3795)=TRIM(Enginuity!$A$17))
    ),
    OR(
      AND(LEFT(P3795,5)="1-Way", Enginuity!$B$13=1),
      AND(LEFT(P3795,5)="2-Way", OR(Enginuity!$B$13=2, Enginuity!$B$13=4)),
      AND(LEFT(P3795,5)="3-Way", OR(Enginuity!$B$13=3, Enginuity!$B$13=6)),
      AND(P3795="Inner Centre Jamb", OR(Enginuity!$B$13=4, Enginuity!$B$13=6)),
      AND(
        LEFT(P3795,5)&lt;&gt;"1-Way",
        LEFT(P3795,5)&lt;&gt;"2-Way",
        LEFT(P3795,5)&lt;&gt;"3-Way",
        P3795&lt;&gt;"Inner Centre Jamb"
      )
    ),
    IF(OR(Enginuity!$A$1="Frameless Glass",Enginuity!$A$1="Metal Work"),
      AND(TRIM(B3795)=TRIM(Enginuity!$A$17),TRIM(C3795)=TRIM(Enginuity!$A$18)),
      TRIM(B3795)=TRIM(Enginuity!$A$17)
    )
  ),
  ROW(),
  ""
)</f>
        <v/>
      </c>
    </row>
    <row r="3796" spans="21:21" x14ac:dyDescent="0.25">
      <c r="U3796" s="104" t="str">
        <f>IF(
  AND(
    TRIM(A3796)=TRIM(Enginuity!$A$1),
    TRIM(B3796)=TRIM(Enginuity!$A$17),
    Q3796&lt;&gt;"",
    Q3796&lt;&gt;0,
    OR(
      TRIM(C3796)=TRIM(Enginuity!$A$18),
      AND(UPPER(TRIM(M3796))="STD", TRIM(B3796)=TRIM(Enginuity!$A$17))
    ),
    OR(
      AND(LEFT(P3796,5)="1-Way", Enginuity!$B$13=1),
      AND(LEFT(P3796,5)="2-Way", OR(Enginuity!$B$13=2, Enginuity!$B$13=4)),
      AND(LEFT(P3796,5)="3-Way", OR(Enginuity!$B$13=3, Enginuity!$B$13=6)),
      AND(P3796="Inner Centre Jamb", OR(Enginuity!$B$13=4, Enginuity!$B$13=6)),
      AND(
        LEFT(P3796,5)&lt;&gt;"1-Way",
        LEFT(P3796,5)&lt;&gt;"2-Way",
        LEFT(P3796,5)&lt;&gt;"3-Way",
        P3796&lt;&gt;"Inner Centre Jamb"
      )
    ),
    IF(OR(Enginuity!$A$1="Frameless Glass",Enginuity!$A$1="Metal Work"),
      AND(TRIM(B3796)=TRIM(Enginuity!$A$17),TRIM(C3796)=TRIM(Enginuity!$A$18)),
      TRIM(B3796)=TRIM(Enginuity!$A$17)
    )
  ),
  ROW(),
  ""
)</f>
        <v/>
      </c>
    </row>
    <row r="3797" spans="21:21" x14ac:dyDescent="0.25">
      <c r="U3797" s="104" t="str">
        <f>IF(
  AND(
    TRIM(A3797)=TRIM(Enginuity!$A$1),
    TRIM(B3797)=TRIM(Enginuity!$A$17),
    Q3797&lt;&gt;"",
    Q3797&lt;&gt;0,
    OR(
      TRIM(C3797)=TRIM(Enginuity!$A$18),
      AND(UPPER(TRIM(M3797))="STD", TRIM(B3797)=TRIM(Enginuity!$A$17))
    ),
    OR(
      AND(LEFT(P3797,5)="1-Way", Enginuity!$B$13=1),
      AND(LEFT(P3797,5)="2-Way", OR(Enginuity!$B$13=2, Enginuity!$B$13=4)),
      AND(LEFT(P3797,5)="3-Way", OR(Enginuity!$B$13=3, Enginuity!$B$13=6)),
      AND(P3797="Inner Centre Jamb", OR(Enginuity!$B$13=4, Enginuity!$B$13=6)),
      AND(
        LEFT(P3797,5)&lt;&gt;"1-Way",
        LEFT(P3797,5)&lt;&gt;"2-Way",
        LEFT(P3797,5)&lt;&gt;"3-Way",
        P3797&lt;&gt;"Inner Centre Jamb"
      )
    ),
    IF(OR(Enginuity!$A$1="Frameless Glass",Enginuity!$A$1="Metal Work"),
      AND(TRIM(B3797)=TRIM(Enginuity!$A$17),TRIM(C3797)=TRIM(Enginuity!$A$18)),
      TRIM(B3797)=TRIM(Enginuity!$A$17)
    )
  ),
  ROW(),
  ""
)</f>
        <v/>
      </c>
    </row>
    <row r="3798" spans="21:21" x14ac:dyDescent="0.25">
      <c r="U3798" s="104" t="str">
        <f>IF(
  AND(
    TRIM(A3798)=TRIM(Enginuity!$A$1),
    TRIM(B3798)=TRIM(Enginuity!$A$17),
    Q3798&lt;&gt;"",
    Q3798&lt;&gt;0,
    OR(
      TRIM(C3798)=TRIM(Enginuity!$A$18),
      AND(UPPER(TRIM(M3798))="STD", TRIM(B3798)=TRIM(Enginuity!$A$17))
    ),
    OR(
      AND(LEFT(P3798,5)="1-Way", Enginuity!$B$13=1),
      AND(LEFT(P3798,5)="2-Way", OR(Enginuity!$B$13=2, Enginuity!$B$13=4)),
      AND(LEFT(P3798,5)="3-Way", OR(Enginuity!$B$13=3, Enginuity!$B$13=6)),
      AND(P3798="Inner Centre Jamb", OR(Enginuity!$B$13=4, Enginuity!$B$13=6)),
      AND(
        LEFT(P3798,5)&lt;&gt;"1-Way",
        LEFT(P3798,5)&lt;&gt;"2-Way",
        LEFT(P3798,5)&lt;&gt;"3-Way",
        P3798&lt;&gt;"Inner Centre Jamb"
      )
    ),
    IF(OR(Enginuity!$A$1="Frameless Glass",Enginuity!$A$1="Metal Work"),
      AND(TRIM(B3798)=TRIM(Enginuity!$A$17),TRIM(C3798)=TRIM(Enginuity!$A$18)),
      TRIM(B3798)=TRIM(Enginuity!$A$17)
    )
  ),
  ROW(),
  ""
)</f>
        <v/>
      </c>
    </row>
    <row r="3799" spans="21:21" x14ac:dyDescent="0.25">
      <c r="U3799" s="104" t="str">
        <f>IF(
  AND(
    TRIM(A3799)=TRIM(Enginuity!$A$1),
    TRIM(B3799)=TRIM(Enginuity!$A$17),
    Q3799&lt;&gt;"",
    Q3799&lt;&gt;0,
    OR(
      TRIM(C3799)=TRIM(Enginuity!$A$18),
      AND(UPPER(TRIM(M3799))="STD", TRIM(B3799)=TRIM(Enginuity!$A$17))
    ),
    OR(
      AND(LEFT(P3799,5)="1-Way", Enginuity!$B$13=1),
      AND(LEFT(P3799,5)="2-Way", OR(Enginuity!$B$13=2, Enginuity!$B$13=4)),
      AND(LEFT(P3799,5)="3-Way", OR(Enginuity!$B$13=3, Enginuity!$B$13=6)),
      AND(P3799="Inner Centre Jamb", OR(Enginuity!$B$13=4, Enginuity!$B$13=6)),
      AND(
        LEFT(P3799,5)&lt;&gt;"1-Way",
        LEFT(P3799,5)&lt;&gt;"2-Way",
        LEFT(P3799,5)&lt;&gt;"3-Way",
        P3799&lt;&gt;"Inner Centre Jamb"
      )
    ),
    IF(OR(Enginuity!$A$1="Frameless Glass",Enginuity!$A$1="Metal Work"),
      AND(TRIM(B3799)=TRIM(Enginuity!$A$17),TRIM(C3799)=TRIM(Enginuity!$A$18)),
      TRIM(B3799)=TRIM(Enginuity!$A$17)
    )
  ),
  ROW(),
  ""
)</f>
        <v/>
      </c>
    </row>
    <row r="3800" spans="21:21" x14ac:dyDescent="0.25">
      <c r="U3800" s="104" t="str">
        <f>IF(
  AND(
    TRIM(A3800)=TRIM(Enginuity!$A$1),
    TRIM(B3800)=TRIM(Enginuity!$A$17),
    Q3800&lt;&gt;"",
    Q3800&lt;&gt;0,
    OR(
      TRIM(C3800)=TRIM(Enginuity!$A$18),
      AND(UPPER(TRIM(M3800))="STD", TRIM(B3800)=TRIM(Enginuity!$A$17))
    ),
    OR(
      AND(LEFT(P3800,5)="1-Way", Enginuity!$B$13=1),
      AND(LEFT(P3800,5)="2-Way", OR(Enginuity!$B$13=2, Enginuity!$B$13=4)),
      AND(LEFT(P3800,5)="3-Way", OR(Enginuity!$B$13=3, Enginuity!$B$13=6)),
      AND(P3800="Inner Centre Jamb", OR(Enginuity!$B$13=4, Enginuity!$B$13=6)),
      AND(
        LEFT(P3800,5)&lt;&gt;"1-Way",
        LEFT(P3800,5)&lt;&gt;"2-Way",
        LEFT(P3800,5)&lt;&gt;"3-Way",
        P3800&lt;&gt;"Inner Centre Jamb"
      )
    ),
    IF(OR(Enginuity!$A$1="Frameless Glass",Enginuity!$A$1="Metal Work"),
      AND(TRIM(B3800)=TRIM(Enginuity!$A$17),TRIM(C3800)=TRIM(Enginuity!$A$18)),
      TRIM(B3800)=TRIM(Enginuity!$A$17)
    )
  ),
  ROW(),
  ""
)</f>
        <v/>
      </c>
    </row>
    <row r="3801" spans="21:21" x14ac:dyDescent="0.25">
      <c r="U3801" s="104" t="str">
        <f>IF(
  AND(
    TRIM(A3801)=TRIM(Enginuity!$A$1),
    TRIM(B3801)=TRIM(Enginuity!$A$17),
    Q3801&lt;&gt;"",
    Q3801&lt;&gt;0,
    OR(
      TRIM(C3801)=TRIM(Enginuity!$A$18),
      AND(UPPER(TRIM(M3801))="STD", TRIM(B3801)=TRIM(Enginuity!$A$17))
    ),
    OR(
      AND(LEFT(P3801,5)="1-Way", Enginuity!$B$13=1),
      AND(LEFT(P3801,5)="2-Way", OR(Enginuity!$B$13=2, Enginuity!$B$13=4)),
      AND(LEFT(P3801,5)="3-Way", OR(Enginuity!$B$13=3, Enginuity!$B$13=6)),
      AND(P3801="Inner Centre Jamb", OR(Enginuity!$B$13=4, Enginuity!$B$13=6)),
      AND(
        LEFT(P3801,5)&lt;&gt;"1-Way",
        LEFT(P3801,5)&lt;&gt;"2-Way",
        LEFT(P3801,5)&lt;&gt;"3-Way",
        P3801&lt;&gt;"Inner Centre Jamb"
      )
    ),
    IF(OR(Enginuity!$A$1="Frameless Glass",Enginuity!$A$1="Metal Work"),
      AND(TRIM(B3801)=TRIM(Enginuity!$A$17),TRIM(C3801)=TRIM(Enginuity!$A$18)),
      TRIM(B3801)=TRIM(Enginuity!$A$17)
    )
  ),
  ROW(),
  ""
)</f>
        <v/>
      </c>
    </row>
    <row r="3802" spans="21:21" x14ac:dyDescent="0.25">
      <c r="U3802" s="104" t="str">
        <f>IF(
  AND(
    TRIM(A3802)=TRIM(Enginuity!$A$1),
    TRIM(B3802)=TRIM(Enginuity!$A$17),
    Q3802&lt;&gt;"",
    Q3802&lt;&gt;0,
    OR(
      TRIM(C3802)=TRIM(Enginuity!$A$18),
      AND(UPPER(TRIM(M3802))="STD", TRIM(B3802)=TRIM(Enginuity!$A$17))
    ),
    OR(
      AND(LEFT(P3802,5)="1-Way", Enginuity!$B$13=1),
      AND(LEFT(P3802,5)="2-Way", OR(Enginuity!$B$13=2, Enginuity!$B$13=4)),
      AND(LEFT(P3802,5)="3-Way", OR(Enginuity!$B$13=3, Enginuity!$B$13=6)),
      AND(P3802="Inner Centre Jamb", OR(Enginuity!$B$13=4, Enginuity!$B$13=6)),
      AND(
        LEFT(P3802,5)&lt;&gt;"1-Way",
        LEFT(P3802,5)&lt;&gt;"2-Way",
        LEFT(P3802,5)&lt;&gt;"3-Way",
        P3802&lt;&gt;"Inner Centre Jamb"
      )
    ),
    IF(OR(Enginuity!$A$1="Frameless Glass",Enginuity!$A$1="Metal Work"),
      AND(TRIM(B3802)=TRIM(Enginuity!$A$17),TRIM(C3802)=TRIM(Enginuity!$A$18)),
      TRIM(B3802)=TRIM(Enginuity!$A$17)
    )
  ),
  ROW(),
  ""
)</f>
        <v/>
      </c>
    </row>
    <row r="3803" spans="21:21" x14ac:dyDescent="0.25">
      <c r="U3803" s="104" t="str">
        <f>IF(
  AND(
    TRIM(A3803)=TRIM(Enginuity!$A$1),
    TRIM(B3803)=TRIM(Enginuity!$A$17),
    Q3803&lt;&gt;"",
    Q3803&lt;&gt;0,
    OR(
      TRIM(C3803)=TRIM(Enginuity!$A$18),
      AND(UPPER(TRIM(M3803))="STD", TRIM(B3803)=TRIM(Enginuity!$A$17))
    ),
    OR(
      AND(LEFT(P3803,5)="1-Way", Enginuity!$B$13=1),
      AND(LEFT(P3803,5)="2-Way", OR(Enginuity!$B$13=2, Enginuity!$B$13=4)),
      AND(LEFT(P3803,5)="3-Way", OR(Enginuity!$B$13=3, Enginuity!$B$13=6)),
      AND(P3803="Inner Centre Jamb", OR(Enginuity!$B$13=4, Enginuity!$B$13=6)),
      AND(
        LEFT(P3803,5)&lt;&gt;"1-Way",
        LEFT(P3803,5)&lt;&gt;"2-Way",
        LEFT(P3803,5)&lt;&gt;"3-Way",
        P3803&lt;&gt;"Inner Centre Jamb"
      )
    ),
    IF(OR(Enginuity!$A$1="Frameless Glass",Enginuity!$A$1="Metal Work"),
      AND(TRIM(B3803)=TRIM(Enginuity!$A$17),TRIM(C3803)=TRIM(Enginuity!$A$18)),
      TRIM(B3803)=TRIM(Enginuity!$A$17)
    )
  ),
  ROW(),
  ""
)</f>
        <v/>
      </c>
    </row>
    <row r="3804" spans="21:21" x14ac:dyDescent="0.25">
      <c r="U3804" s="104" t="str">
        <f>IF(
  AND(
    TRIM(A3804)=TRIM(Enginuity!$A$1),
    TRIM(B3804)=TRIM(Enginuity!$A$17),
    Q3804&lt;&gt;"",
    Q3804&lt;&gt;0,
    OR(
      TRIM(C3804)=TRIM(Enginuity!$A$18),
      AND(UPPER(TRIM(M3804))="STD", TRIM(B3804)=TRIM(Enginuity!$A$17))
    ),
    OR(
      AND(LEFT(P3804,5)="1-Way", Enginuity!$B$13=1),
      AND(LEFT(P3804,5)="2-Way", OR(Enginuity!$B$13=2, Enginuity!$B$13=4)),
      AND(LEFT(P3804,5)="3-Way", OR(Enginuity!$B$13=3, Enginuity!$B$13=6)),
      AND(P3804="Inner Centre Jamb", OR(Enginuity!$B$13=4, Enginuity!$B$13=6)),
      AND(
        LEFT(P3804,5)&lt;&gt;"1-Way",
        LEFT(P3804,5)&lt;&gt;"2-Way",
        LEFT(P3804,5)&lt;&gt;"3-Way",
        P3804&lt;&gt;"Inner Centre Jamb"
      )
    ),
    IF(OR(Enginuity!$A$1="Frameless Glass",Enginuity!$A$1="Metal Work"),
      AND(TRIM(B3804)=TRIM(Enginuity!$A$17),TRIM(C3804)=TRIM(Enginuity!$A$18)),
      TRIM(B3804)=TRIM(Enginuity!$A$17)
    )
  ),
  ROW(),
  ""
)</f>
        <v/>
      </c>
    </row>
    <row r="3805" spans="21:21" x14ac:dyDescent="0.25">
      <c r="U3805" s="104" t="str">
        <f>IF(
  AND(
    TRIM(A3805)=TRIM(Enginuity!$A$1),
    TRIM(B3805)=TRIM(Enginuity!$A$17),
    Q3805&lt;&gt;"",
    Q3805&lt;&gt;0,
    OR(
      TRIM(C3805)=TRIM(Enginuity!$A$18),
      AND(UPPER(TRIM(M3805))="STD", TRIM(B3805)=TRIM(Enginuity!$A$17))
    ),
    OR(
      AND(LEFT(P3805,5)="1-Way", Enginuity!$B$13=1),
      AND(LEFT(P3805,5)="2-Way", OR(Enginuity!$B$13=2, Enginuity!$B$13=4)),
      AND(LEFT(P3805,5)="3-Way", OR(Enginuity!$B$13=3, Enginuity!$B$13=6)),
      AND(P3805="Inner Centre Jamb", OR(Enginuity!$B$13=4, Enginuity!$B$13=6)),
      AND(
        LEFT(P3805,5)&lt;&gt;"1-Way",
        LEFT(P3805,5)&lt;&gt;"2-Way",
        LEFT(P3805,5)&lt;&gt;"3-Way",
        P3805&lt;&gt;"Inner Centre Jamb"
      )
    ),
    IF(OR(Enginuity!$A$1="Frameless Glass",Enginuity!$A$1="Metal Work"),
      AND(TRIM(B3805)=TRIM(Enginuity!$A$17),TRIM(C3805)=TRIM(Enginuity!$A$18)),
      TRIM(B3805)=TRIM(Enginuity!$A$17)
    )
  ),
  ROW(),
  ""
)</f>
        <v/>
      </c>
    </row>
    <row r="3806" spans="21:21" x14ac:dyDescent="0.25">
      <c r="U3806" s="104" t="str">
        <f>IF(
  AND(
    TRIM(A3806)=TRIM(Enginuity!$A$1),
    TRIM(B3806)=TRIM(Enginuity!$A$17),
    Q3806&lt;&gt;"",
    Q3806&lt;&gt;0,
    OR(
      TRIM(C3806)=TRIM(Enginuity!$A$18),
      AND(UPPER(TRIM(M3806))="STD", TRIM(B3806)=TRIM(Enginuity!$A$17))
    ),
    OR(
      AND(LEFT(P3806,5)="1-Way", Enginuity!$B$13=1),
      AND(LEFT(P3806,5)="2-Way", OR(Enginuity!$B$13=2, Enginuity!$B$13=4)),
      AND(LEFT(P3806,5)="3-Way", OR(Enginuity!$B$13=3, Enginuity!$B$13=6)),
      AND(P3806="Inner Centre Jamb", OR(Enginuity!$B$13=4, Enginuity!$B$13=6)),
      AND(
        LEFT(P3806,5)&lt;&gt;"1-Way",
        LEFT(P3806,5)&lt;&gt;"2-Way",
        LEFT(P3806,5)&lt;&gt;"3-Way",
        P3806&lt;&gt;"Inner Centre Jamb"
      )
    ),
    IF(OR(Enginuity!$A$1="Frameless Glass",Enginuity!$A$1="Metal Work"),
      AND(TRIM(B3806)=TRIM(Enginuity!$A$17),TRIM(C3806)=TRIM(Enginuity!$A$18)),
      TRIM(B3806)=TRIM(Enginuity!$A$17)
    )
  ),
  ROW(),
  ""
)</f>
        <v/>
      </c>
    </row>
    <row r="3807" spans="21:21" x14ac:dyDescent="0.25">
      <c r="U3807" s="104" t="str">
        <f>IF(
  AND(
    TRIM(A3807)=TRIM(Enginuity!$A$1),
    TRIM(B3807)=TRIM(Enginuity!$A$17),
    Q3807&lt;&gt;"",
    Q3807&lt;&gt;0,
    OR(
      TRIM(C3807)=TRIM(Enginuity!$A$18),
      AND(UPPER(TRIM(M3807))="STD", TRIM(B3807)=TRIM(Enginuity!$A$17))
    ),
    OR(
      AND(LEFT(P3807,5)="1-Way", Enginuity!$B$13=1),
      AND(LEFT(P3807,5)="2-Way", OR(Enginuity!$B$13=2, Enginuity!$B$13=4)),
      AND(LEFT(P3807,5)="3-Way", OR(Enginuity!$B$13=3, Enginuity!$B$13=6)),
      AND(P3807="Inner Centre Jamb", OR(Enginuity!$B$13=4, Enginuity!$B$13=6)),
      AND(
        LEFT(P3807,5)&lt;&gt;"1-Way",
        LEFT(P3807,5)&lt;&gt;"2-Way",
        LEFT(P3807,5)&lt;&gt;"3-Way",
        P3807&lt;&gt;"Inner Centre Jamb"
      )
    ),
    IF(OR(Enginuity!$A$1="Frameless Glass",Enginuity!$A$1="Metal Work"),
      AND(TRIM(B3807)=TRIM(Enginuity!$A$17),TRIM(C3807)=TRIM(Enginuity!$A$18)),
      TRIM(B3807)=TRIM(Enginuity!$A$17)
    )
  ),
  ROW(),
  ""
)</f>
        <v/>
      </c>
    </row>
    <row r="3808" spans="21:21" x14ac:dyDescent="0.25">
      <c r="U3808" s="104" t="str">
        <f>IF(
  AND(
    TRIM(A3808)=TRIM(Enginuity!$A$1),
    TRIM(B3808)=TRIM(Enginuity!$A$17),
    Q3808&lt;&gt;"",
    Q3808&lt;&gt;0,
    OR(
      TRIM(C3808)=TRIM(Enginuity!$A$18),
      AND(UPPER(TRIM(M3808))="STD", TRIM(B3808)=TRIM(Enginuity!$A$17))
    ),
    OR(
      AND(LEFT(P3808,5)="1-Way", Enginuity!$B$13=1),
      AND(LEFT(P3808,5)="2-Way", OR(Enginuity!$B$13=2, Enginuity!$B$13=4)),
      AND(LEFT(P3808,5)="3-Way", OR(Enginuity!$B$13=3, Enginuity!$B$13=6)),
      AND(P3808="Inner Centre Jamb", OR(Enginuity!$B$13=4, Enginuity!$B$13=6)),
      AND(
        LEFT(P3808,5)&lt;&gt;"1-Way",
        LEFT(P3808,5)&lt;&gt;"2-Way",
        LEFT(P3808,5)&lt;&gt;"3-Way",
        P3808&lt;&gt;"Inner Centre Jamb"
      )
    ),
    IF(OR(Enginuity!$A$1="Frameless Glass",Enginuity!$A$1="Metal Work"),
      AND(TRIM(B3808)=TRIM(Enginuity!$A$17),TRIM(C3808)=TRIM(Enginuity!$A$18)),
      TRIM(B3808)=TRIM(Enginuity!$A$17)
    )
  ),
  ROW(),
  ""
)</f>
        <v/>
      </c>
    </row>
    <row r="3809" spans="21:21" x14ac:dyDescent="0.25">
      <c r="U3809" s="104" t="str">
        <f>IF(
  AND(
    TRIM(A3809)=TRIM(Enginuity!$A$1),
    TRIM(B3809)=TRIM(Enginuity!$A$17),
    Q3809&lt;&gt;"",
    Q3809&lt;&gt;0,
    OR(
      TRIM(C3809)=TRIM(Enginuity!$A$18),
      AND(UPPER(TRIM(M3809))="STD", TRIM(B3809)=TRIM(Enginuity!$A$17))
    ),
    OR(
      AND(LEFT(P3809,5)="1-Way", Enginuity!$B$13=1),
      AND(LEFT(P3809,5)="2-Way", OR(Enginuity!$B$13=2, Enginuity!$B$13=4)),
      AND(LEFT(P3809,5)="3-Way", OR(Enginuity!$B$13=3, Enginuity!$B$13=6)),
      AND(P3809="Inner Centre Jamb", OR(Enginuity!$B$13=4, Enginuity!$B$13=6)),
      AND(
        LEFT(P3809,5)&lt;&gt;"1-Way",
        LEFT(P3809,5)&lt;&gt;"2-Way",
        LEFT(P3809,5)&lt;&gt;"3-Way",
        P3809&lt;&gt;"Inner Centre Jamb"
      )
    ),
    IF(OR(Enginuity!$A$1="Frameless Glass",Enginuity!$A$1="Metal Work"),
      AND(TRIM(B3809)=TRIM(Enginuity!$A$17),TRIM(C3809)=TRIM(Enginuity!$A$18)),
      TRIM(B3809)=TRIM(Enginuity!$A$17)
    )
  ),
  ROW(),
  ""
)</f>
        <v/>
      </c>
    </row>
    <row r="3810" spans="21:21" x14ac:dyDescent="0.25">
      <c r="U3810" s="104" t="str">
        <f>IF(
  AND(
    TRIM(A3810)=TRIM(Enginuity!$A$1),
    TRIM(B3810)=TRIM(Enginuity!$A$17),
    Q3810&lt;&gt;"",
    Q3810&lt;&gt;0,
    OR(
      TRIM(C3810)=TRIM(Enginuity!$A$18),
      AND(UPPER(TRIM(M3810))="STD", TRIM(B3810)=TRIM(Enginuity!$A$17))
    ),
    OR(
      AND(LEFT(P3810,5)="1-Way", Enginuity!$B$13=1),
      AND(LEFT(P3810,5)="2-Way", OR(Enginuity!$B$13=2, Enginuity!$B$13=4)),
      AND(LEFT(P3810,5)="3-Way", OR(Enginuity!$B$13=3, Enginuity!$B$13=6)),
      AND(P3810="Inner Centre Jamb", OR(Enginuity!$B$13=4, Enginuity!$B$13=6)),
      AND(
        LEFT(P3810,5)&lt;&gt;"1-Way",
        LEFT(P3810,5)&lt;&gt;"2-Way",
        LEFT(P3810,5)&lt;&gt;"3-Way",
        P3810&lt;&gt;"Inner Centre Jamb"
      )
    ),
    IF(OR(Enginuity!$A$1="Frameless Glass",Enginuity!$A$1="Metal Work"),
      AND(TRIM(B3810)=TRIM(Enginuity!$A$17),TRIM(C3810)=TRIM(Enginuity!$A$18)),
      TRIM(B3810)=TRIM(Enginuity!$A$17)
    )
  ),
  ROW(),
  ""
)</f>
        <v/>
      </c>
    </row>
    <row r="3811" spans="21:21" x14ac:dyDescent="0.25">
      <c r="U3811" s="104" t="str">
        <f>IF(
  AND(
    TRIM(A3811)=TRIM(Enginuity!$A$1),
    TRIM(B3811)=TRIM(Enginuity!$A$17),
    Q3811&lt;&gt;"",
    Q3811&lt;&gt;0,
    OR(
      TRIM(C3811)=TRIM(Enginuity!$A$18),
      AND(UPPER(TRIM(M3811))="STD", TRIM(B3811)=TRIM(Enginuity!$A$17))
    ),
    OR(
      AND(LEFT(P3811,5)="1-Way", Enginuity!$B$13=1),
      AND(LEFT(P3811,5)="2-Way", OR(Enginuity!$B$13=2, Enginuity!$B$13=4)),
      AND(LEFT(P3811,5)="3-Way", OR(Enginuity!$B$13=3, Enginuity!$B$13=6)),
      AND(P3811="Inner Centre Jamb", OR(Enginuity!$B$13=4, Enginuity!$B$13=6)),
      AND(
        LEFT(P3811,5)&lt;&gt;"1-Way",
        LEFT(P3811,5)&lt;&gt;"2-Way",
        LEFT(P3811,5)&lt;&gt;"3-Way",
        P3811&lt;&gt;"Inner Centre Jamb"
      )
    ),
    IF(OR(Enginuity!$A$1="Frameless Glass",Enginuity!$A$1="Metal Work"),
      AND(TRIM(B3811)=TRIM(Enginuity!$A$17),TRIM(C3811)=TRIM(Enginuity!$A$18)),
      TRIM(B3811)=TRIM(Enginuity!$A$17)
    )
  ),
  ROW(),
  ""
)</f>
        <v/>
      </c>
    </row>
    <row r="3812" spans="21:21" x14ac:dyDescent="0.25">
      <c r="U3812" s="104" t="str">
        <f>IF(
  AND(
    TRIM(A3812)=TRIM(Enginuity!$A$1),
    TRIM(B3812)=TRIM(Enginuity!$A$17),
    Q3812&lt;&gt;"",
    Q3812&lt;&gt;0,
    OR(
      TRIM(C3812)=TRIM(Enginuity!$A$18),
      AND(UPPER(TRIM(M3812))="STD", TRIM(B3812)=TRIM(Enginuity!$A$17))
    ),
    OR(
      AND(LEFT(P3812,5)="1-Way", Enginuity!$B$13=1),
      AND(LEFT(P3812,5)="2-Way", OR(Enginuity!$B$13=2, Enginuity!$B$13=4)),
      AND(LEFT(P3812,5)="3-Way", OR(Enginuity!$B$13=3, Enginuity!$B$13=6)),
      AND(P3812="Inner Centre Jamb", OR(Enginuity!$B$13=4, Enginuity!$B$13=6)),
      AND(
        LEFT(P3812,5)&lt;&gt;"1-Way",
        LEFT(P3812,5)&lt;&gt;"2-Way",
        LEFT(P3812,5)&lt;&gt;"3-Way",
        P3812&lt;&gt;"Inner Centre Jamb"
      )
    ),
    IF(OR(Enginuity!$A$1="Frameless Glass",Enginuity!$A$1="Metal Work"),
      AND(TRIM(B3812)=TRIM(Enginuity!$A$17),TRIM(C3812)=TRIM(Enginuity!$A$18)),
      TRIM(B3812)=TRIM(Enginuity!$A$17)
    )
  ),
  ROW(),
  ""
)</f>
        <v/>
      </c>
    </row>
    <row r="3813" spans="21:21" x14ac:dyDescent="0.25">
      <c r="U3813" s="104" t="str">
        <f>IF(
  AND(
    TRIM(A3813)=TRIM(Enginuity!$A$1),
    TRIM(B3813)=TRIM(Enginuity!$A$17),
    Q3813&lt;&gt;"",
    Q3813&lt;&gt;0,
    OR(
      TRIM(C3813)=TRIM(Enginuity!$A$18),
      AND(UPPER(TRIM(M3813))="STD", TRIM(B3813)=TRIM(Enginuity!$A$17))
    ),
    OR(
      AND(LEFT(P3813,5)="1-Way", Enginuity!$B$13=1),
      AND(LEFT(P3813,5)="2-Way", OR(Enginuity!$B$13=2, Enginuity!$B$13=4)),
      AND(LEFT(P3813,5)="3-Way", OR(Enginuity!$B$13=3, Enginuity!$B$13=6)),
      AND(P3813="Inner Centre Jamb", OR(Enginuity!$B$13=4, Enginuity!$B$13=6)),
      AND(
        LEFT(P3813,5)&lt;&gt;"1-Way",
        LEFT(P3813,5)&lt;&gt;"2-Way",
        LEFT(P3813,5)&lt;&gt;"3-Way",
        P3813&lt;&gt;"Inner Centre Jamb"
      )
    ),
    IF(OR(Enginuity!$A$1="Frameless Glass",Enginuity!$A$1="Metal Work"),
      AND(TRIM(B3813)=TRIM(Enginuity!$A$17),TRIM(C3813)=TRIM(Enginuity!$A$18)),
      TRIM(B3813)=TRIM(Enginuity!$A$17)
    )
  ),
  ROW(),
  ""
)</f>
        <v/>
      </c>
    </row>
    <row r="3814" spans="21:21" x14ac:dyDescent="0.25">
      <c r="U3814" s="104" t="str">
        <f>IF(
  AND(
    TRIM(A3814)=TRIM(Enginuity!$A$1),
    TRIM(B3814)=TRIM(Enginuity!$A$17),
    Q3814&lt;&gt;"",
    Q3814&lt;&gt;0,
    OR(
      TRIM(C3814)=TRIM(Enginuity!$A$18),
      AND(UPPER(TRIM(M3814))="STD", TRIM(B3814)=TRIM(Enginuity!$A$17))
    ),
    OR(
      AND(LEFT(P3814,5)="1-Way", Enginuity!$B$13=1),
      AND(LEFT(P3814,5)="2-Way", OR(Enginuity!$B$13=2, Enginuity!$B$13=4)),
      AND(LEFT(P3814,5)="3-Way", OR(Enginuity!$B$13=3, Enginuity!$B$13=6)),
      AND(P3814="Inner Centre Jamb", OR(Enginuity!$B$13=4, Enginuity!$B$13=6)),
      AND(
        LEFT(P3814,5)&lt;&gt;"1-Way",
        LEFT(P3814,5)&lt;&gt;"2-Way",
        LEFT(P3814,5)&lt;&gt;"3-Way",
        P3814&lt;&gt;"Inner Centre Jamb"
      )
    ),
    IF(OR(Enginuity!$A$1="Frameless Glass",Enginuity!$A$1="Metal Work"),
      AND(TRIM(B3814)=TRIM(Enginuity!$A$17),TRIM(C3814)=TRIM(Enginuity!$A$18)),
      TRIM(B3814)=TRIM(Enginuity!$A$17)
    )
  ),
  ROW(),
  ""
)</f>
        <v/>
      </c>
    </row>
    <row r="3815" spans="21:21" x14ac:dyDescent="0.25">
      <c r="U3815" s="104" t="str">
        <f>IF(
  AND(
    TRIM(A3815)=TRIM(Enginuity!$A$1),
    TRIM(B3815)=TRIM(Enginuity!$A$17),
    Q3815&lt;&gt;"",
    Q3815&lt;&gt;0,
    OR(
      TRIM(C3815)=TRIM(Enginuity!$A$18),
      AND(UPPER(TRIM(M3815))="STD", TRIM(B3815)=TRIM(Enginuity!$A$17))
    ),
    OR(
      AND(LEFT(P3815,5)="1-Way", Enginuity!$B$13=1),
      AND(LEFT(P3815,5)="2-Way", OR(Enginuity!$B$13=2, Enginuity!$B$13=4)),
      AND(LEFT(P3815,5)="3-Way", OR(Enginuity!$B$13=3, Enginuity!$B$13=6)),
      AND(P3815="Inner Centre Jamb", OR(Enginuity!$B$13=4, Enginuity!$B$13=6)),
      AND(
        LEFT(P3815,5)&lt;&gt;"1-Way",
        LEFT(P3815,5)&lt;&gt;"2-Way",
        LEFT(P3815,5)&lt;&gt;"3-Way",
        P3815&lt;&gt;"Inner Centre Jamb"
      )
    ),
    IF(OR(Enginuity!$A$1="Frameless Glass",Enginuity!$A$1="Metal Work"),
      AND(TRIM(B3815)=TRIM(Enginuity!$A$17),TRIM(C3815)=TRIM(Enginuity!$A$18)),
      TRIM(B3815)=TRIM(Enginuity!$A$17)
    )
  ),
  ROW(),
  ""
)</f>
        <v/>
      </c>
    </row>
    <row r="3816" spans="21:21" x14ac:dyDescent="0.25">
      <c r="U3816" s="104" t="str">
        <f>IF(
  AND(
    TRIM(A3816)=TRIM(Enginuity!$A$1),
    TRIM(B3816)=TRIM(Enginuity!$A$17),
    Q3816&lt;&gt;"",
    Q3816&lt;&gt;0,
    OR(
      TRIM(C3816)=TRIM(Enginuity!$A$18),
      AND(UPPER(TRIM(M3816))="STD", TRIM(B3816)=TRIM(Enginuity!$A$17))
    ),
    OR(
      AND(LEFT(P3816,5)="1-Way", Enginuity!$B$13=1),
      AND(LEFT(P3816,5)="2-Way", OR(Enginuity!$B$13=2, Enginuity!$B$13=4)),
      AND(LEFT(P3816,5)="3-Way", OR(Enginuity!$B$13=3, Enginuity!$B$13=6)),
      AND(P3816="Inner Centre Jamb", OR(Enginuity!$B$13=4, Enginuity!$B$13=6)),
      AND(
        LEFT(P3816,5)&lt;&gt;"1-Way",
        LEFT(P3816,5)&lt;&gt;"2-Way",
        LEFT(P3816,5)&lt;&gt;"3-Way",
        P3816&lt;&gt;"Inner Centre Jamb"
      )
    ),
    IF(OR(Enginuity!$A$1="Frameless Glass",Enginuity!$A$1="Metal Work"),
      AND(TRIM(B3816)=TRIM(Enginuity!$A$17),TRIM(C3816)=TRIM(Enginuity!$A$18)),
      TRIM(B3816)=TRIM(Enginuity!$A$17)
    )
  ),
  ROW(),
  ""
)</f>
        <v/>
      </c>
    </row>
    <row r="3817" spans="21:21" x14ac:dyDescent="0.25">
      <c r="U3817" s="104" t="str">
        <f>IF(
  AND(
    TRIM(A3817)=TRIM(Enginuity!$A$1),
    TRIM(B3817)=TRIM(Enginuity!$A$17),
    Q3817&lt;&gt;"",
    Q3817&lt;&gt;0,
    OR(
      TRIM(C3817)=TRIM(Enginuity!$A$18),
      AND(UPPER(TRIM(M3817))="STD", TRIM(B3817)=TRIM(Enginuity!$A$17))
    ),
    OR(
      AND(LEFT(P3817,5)="1-Way", Enginuity!$B$13=1),
      AND(LEFT(P3817,5)="2-Way", OR(Enginuity!$B$13=2, Enginuity!$B$13=4)),
      AND(LEFT(P3817,5)="3-Way", OR(Enginuity!$B$13=3, Enginuity!$B$13=6)),
      AND(P3817="Inner Centre Jamb", OR(Enginuity!$B$13=4, Enginuity!$B$13=6)),
      AND(
        LEFT(P3817,5)&lt;&gt;"1-Way",
        LEFT(P3817,5)&lt;&gt;"2-Way",
        LEFT(P3817,5)&lt;&gt;"3-Way",
        P3817&lt;&gt;"Inner Centre Jamb"
      )
    ),
    IF(OR(Enginuity!$A$1="Frameless Glass",Enginuity!$A$1="Metal Work"),
      AND(TRIM(B3817)=TRIM(Enginuity!$A$17),TRIM(C3817)=TRIM(Enginuity!$A$18)),
      TRIM(B3817)=TRIM(Enginuity!$A$17)
    )
  ),
  ROW(),
  ""
)</f>
        <v/>
      </c>
    </row>
    <row r="3818" spans="21:21" x14ac:dyDescent="0.25">
      <c r="U3818" s="104" t="str">
        <f>IF(
  AND(
    TRIM(A3818)=TRIM(Enginuity!$A$1),
    TRIM(B3818)=TRIM(Enginuity!$A$17),
    Q3818&lt;&gt;"",
    Q3818&lt;&gt;0,
    OR(
      TRIM(C3818)=TRIM(Enginuity!$A$18),
      AND(UPPER(TRIM(M3818))="STD", TRIM(B3818)=TRIM(Enginuity!$A$17))
    ),
    OR(
      AND(LEFT(P3818,5)="1-Way", Enginuity!$B$13=1),
      AND(LEFT(P3818,5)="2-Way", OR(Enginuity!$B$13=2, Enginuity!$B$13=4)),
      AND(LEFT(P3818,5)="3-Way", OR(Enginuity!$B$13=3, Enginuity!$B$13=6)),
      AND(P3818="Inner Centre Jamb", OR(Enginuity!$B$13=4, Enginuity!$B$13=6)),
      AND(
        LEFT(P3818,5)&lt;&gt;"1-Way",
        LEFT(P3818,5)&lt;&gt;"2-Way",
        LEFT(P3818,5)&lt;&gt;"3-Way",
        P3818&lt;&gt;"Inner Centre Jamb"
      )
    ),
    IF(OR(Enginuity!$A$1="Frameless Glass",Enginuity!$A$1="Metal Work"),
      AND(TRIM(B3818)=TRIM(Enginuity!$A$17),TRIM(C3818)=TRIM(Enginuity!$A$18)),
      TRIM(B3818)=TRIM(Enginuity!$A$17)
    )
  ),
  ROW(),
  ""
)</f>
        <v/>
      </c>
    </row>
    <row r="3819" spans="21:21" x14ac:dyDescent="0.25">
      <c r="U3819" s="104" t="str">
        <f>IF(
  AND(
    TRIM(A3819)=TRIM(Enginuity!$A$1),
    TRIM(B3819)=TRIM(Enginuity!$A$17),
    Q3819&lt;&gt;"",
    Q3819&lt;&gt;0,
    OR(
      TRIM(C3819)=TRIM(Enginuity!$A$18),
      AND(UPPER(TRIM(M3819))="STD", TRIM(B3819)=TRIM(Enginuity!$A$17))
    ),
    OR(
      AND(LEFT(P3819,5)="1-Way", Enginuity!$B$13=1),
      AND(LEFT(P3819,5)="2-Way", OR(Enginuity!$B$13=2, Enginuity!$B$13=4)),
      AND(LEFT(P3819,5)="3-Way", OR(Enginuity!$B$13=3, Enginuity!$B$13=6)),
      AND(P3819="Inner Centre Jamb", OR(Enginuity!$B$13=4, Enginuity!$B$13=6)),
      AND(
        LEFT(P3819,5)&lt;&gt;"1-Way",
        LEFT(P3819,5)&lt;&gt;"2-Way",
        LEFT(P3819,5)&lt;&gt;"3-Way",
        P3819&lt;&gt;"Inner Centre Jamb"
      )
    ),
    IF(OR(Enginuity!$A$1="Frameless Glass",Enginuity!$A$1="Metal Work"),
      AND(TRIM(B3819)=TRIM(Enginuity!$A$17),TRIM(C3819)=TRIM(Enginuity!$A$18)),
      TRIM(B3819)=TRIM(Enginuity!$A$17)
    )
  ),
  ROW(),
  ""
)</f>
        <v/>
      </c>
    </row>
    <row r="3820" spans="21:21" x14ac:dyDescent="0.25">
      <c r="U3820" s="104" t="str">
        <f>IF(
  AND(
    TRIM(A3820)=TRIM(Enginuity!$A$1),
    TRIM(B3820)=TRIM(Enginuity!$A$17),
    Q3820&lt;&gt;"",
    Q3820&lt;&gt;0,
    OR(
      TRIM(C3820)=TRIM(Enginuity!$A$18),
      AND(UPPER(TRIM(M3820))="STD", TRIM(B3820)=TRIM(Enginuity!$A$17))
    ),
    OR(
      AND(LEFT(P3820,5)="1-Way", Enginuity!$B$13=1),
      AND(LEFT(P3820,5)="2-Way", OR(Enginuity!$B$13=2, Enginuity!$B$13=4)),
      AND(LEFT(P3820,5)="3-Way", OR(Enginuity!$B$13=3, Enginuity!$B$13=6)),
      AND(P3820="Inner Centre Jamb", OR(Enginuity!$B$13=4, Enginuity!$B$13=6)),
      AND(
        LEFT(P3820,5)&lt;&gt;"1-Way",
        LEFT(P3820,5)&lt;&gt;"2-Way",
        LEFT(P3820,5)&lt;&gt;"3-Way",
        P3820&lt;&gt;"Inner Centre Jamb"
      )
    ),
    IF(OR(Enginuity!$A$1="Frameless Glass",Enginuity!$A$1="Metal Work"),
      AND(TRIM(B3820)=TRIM(Enginuity!$A$17),TRIM(C3820)=TRIM(Enginuity!$A$18)),
      TRIM(B3820)=TRIM(Enginuity!$A$17)
    )
  ),
  ROW(),
  ""
)</f>
        <v/>
      </c>
    </row>
    <row r="3821" spans="21:21" x14ac:dyDescent="0.25">
      <c r="U3821" s="104" t="str">
        <f>IF(
  AND(
    TRIM(A3821)=TRIM(Enginuity!$A$1),
    TRIM(B3821)=TRIM(Enginuity!$A$17),
    Q3821&lt;&gt;"",
    Q3821&lt;&gt;0,
    OR(
      TRIM(C3821)=TRIM(Enginuity!$A$18),
      AND(UPPER(TRIM(M3821))="STD", TRIM(B3821)=TRIM(Enginuity!$A$17))
    ),
    OR(
      AND(LEFT(P3821,5)="1-Way", Enginuity!$B$13=1),
      AND(LEFT(P3821,5)="2-Way", OR(Enginuity!$B$13=2, Enginuity!$B$13=4)),
      AND(LEFT(P3821,5)="3-Way", OR(Enginuity!$B$13=3, Enginuity!$B$13=6)),
      AND(P3821="Inner Centre Jamb", OR(Enginuity!$B$13=4, Enginuity!$B$13=6)),
      AND(
        LEFT(P3821,5)&lt;&gt;"1-Way",
        LEFT(P3821,5)&lt;&gt;"2-Way",
        LEFT(P3821,5)&lt;&gt;"3-Way",
        P3821&lt;&gt;"Inner Centre Jamb"
      )
    ),
    IF(OR(Enginuity!$A$1="Frameless Glass",Enginuity!$A$1="Metal Work"),
      AND(TRIM(B3821)=TRIM(Enginuity!$A$17),TRIM(C3821)=TRIM(Enginuity!$A$18)),
      TRIM(B3821)=TRIM(Enginuity!$A$17)
    )
  ),
  ROW(),
  ""
)</f>
        <v/>
      </c>
    </row>
    <row r="3822" spans="21:21" x14ac:dyDescent="0.25">
      <c r="U3822" s="104" t="str">
        <f>IF(
  AND(
    TRIM(A3822)=TRIM(Enginuity!$A$1),
    TRIM(B3822)=TRIM(Enginuity!$A$17),
    Q3822&lt;&gt;"",
    Q3822&lt;&gt;0,
    OR(
      TRIM(C3822)=TRIM(Enginuity!$A$18),
      AND(UPPER(TRIM(M3822))="STD", TRIM(B3822)=TRIM(Enginuity!$A$17))
    ),
    OR(
      AND(LEFT(P3822,5)="1-Way", Enginuity!$B$13=1),
      AND(LEFT(P3822,5)="2-Way", OR(Enginuity!$B$13=2, Enginuity!$B$13=4)),
      AND(LEFT(P3822,5)="3-Way", OR(Enginuity!$B$13=3, Enginuity!$B$13=6)),
      AND(P3822="Inner Centre Jamb", OR(Enginuity!$B$13=4, Enginuity!$B$13=6)),
      AND(
        LEFT(P3822,5)&lt;&gt;"1-Way",
        LEFT(P3822,5)&lt;&gt;"2-Way",
        LEFT(P3822,5)&lt;&gt;"3-Way",
        P3822&lt;&gt;"Inner Centre Jamb"
      )
    ),
    IF(OR(Enginuity!$A$1="Frameless Glass",Enginuity!$A$1="Metal Work"),
      AND(TRIM(B3822)=TRIM(Enginuity!$A$17),TRIM(C3822)=TRIM(Enginuity!$A$18)),
      TRIM(B3822)=TRIM(Enginuity!$A$17)
    )
  ),
  ROW(),
  ""
)</f>
        <v/>
      </c>
    </row>
    <row r="3823" spans="21:21" x14ac:dyDescent="0.25">
      <c r="U3823" s="104" t="str">
        <f>IF(
  AND(
    TRIM(A3823)=TRIM(Enginuity!$A$1),
    TRIM(B3823)=TRIM(Enginuity!$A$17),
    Q3823&lt;&gt;"",
    Q3823&lt;&gt;0,
    OR(
      TRIM(C3823)=TRIM(Enginuity!$A$18),
      AND(UPPER(TRIM(M3823))="STD", TRIM(B3823)=TRIM(Enginuity!$A$17))
    ),
    OR(
      AND(LEFT(P3823,5)="1-Way", Enginuity!$B$13=1),
      AND(LEFT(P3823,5)="2-Way", OR(Enginuity!$B$13=2, Enginuity!$B$13=4)),
      AND(LEFT(P3823,5)="3-Way", OR(Enginuity!$B$13=3, Enginuity!$B$13=6)),
      AND(P3823="Inner Centre Jamb", OR(Enginuity!$B$13=4, Enginuity!$B$13=6)),
      AND(
        LEFT(P3823,5)&lt;&gt;"1-Way",
        LEFT(P3823,5)&lt;&gt;"2-Way",
        LEFT(P3823,5)&lt;&gt;"3-Way",
        P3823&lt;&gt;"Inner Centre Jamb"
      )
    ),
    IF(OR(Enginuity!$A$1="Frameless Glass",Enginuity!$A$1="Metal Work"),
      AND(TRIM(B3823)=TRIM(Enginuity!$A$17),TRIM(C3823)=TRIM(Enginuity!$A$18)),
      TRIM(B3823)=TRIM(Enginuity!$A$17)
    )
  ),
  ROW(),
  ""
)</f>
        <v/>
      </c>
    </row>
    <row r="3824" spans="21:21" x14ac:dyDescent="0.25">
      <c r="U3824" s="104" t="str">
        <f>IF(
  AND(
    TRIM(A3824)=TRIM(Enginuity!$A$1),
    TRIM(B3824)=TRIM(Enginuity!$A$17),
    Q3824&lt;&gt;"",
    Q3824&lt;&gt;0,
    OR(
      TRIM(C3824)=TRIM(Enginuity!$A$18),
      AND(UPPER(TRIM(M3824))="STD", TRIM(B3824)=TRIM(Enginuity!$A$17))
    ),
    OR(
      AND(LEFT(P3824,5)="1-Way", Enginuity!$B$13=1),
      AND(LEFT(P3824,5)="2-Way", OR(Enginuity!$B$13=2, Enginuity!$B$13=4)),
      AND(LEFT(P3824,5)="3-Way", OR(Enginuity!$B$13=3, Enginuity!$B$13=6)),
      AND(P3824="Inner Centre Jamb", OR(Enginuity!$B$13=4, Enginuity!$B$13=6)),
      AND(
        LEFT(P3824,5)&lt;&gt;"1-Way",
        LEFT(P3824,5)&lt;&gt;"2-Way",
        LEFT(P3824,5)&lt;&gt;"3-Way",
        P3824&lt;&gt;"Inner Centre Jamb"
      )
    ),
    IF(OR(Enginuity!$A$1="Frameless Glass",Enginuity!$A$1="Metal Work"),
      AND(TRIM(B3824)=TRIM(Enginuity!$A$17),TRIM(C3824)=TRIM(Enginuity!$A$18)),
      TRIM(B3824)=TRIM(Enginuity!$A$17)
    )
  ),
  ROW(),
  ""
)</f>
        <v/>
      </c>
    </row>
    <row r="3825" spans="21:21" x14ac:dyDescent="0.25">
      <c r="U3825" s="104" t="str">
        <f>IF(
  AND(
    TRIM(A3825)=TRIM(Enginuity!$A$1),
    TRIM(B3825)=TRIM(Enginuity!$A$17),
    Q3825&lt;&gt;"",
    Q3825&lt;&gt;0,
    OR(
      TRIM(C3825)=TRIM(Enginuity!$A$18),
      AND(UPPER(TRIM(M3825))="STD", TRIM(B3825)=TRIM(Enginuity!$A$17))
    ),
    OR(
      AND(LEFT(P3825,5)="1-Way", Enginuity!$B$13=1),
      AND(LEFT(P3825,5)="2-Way", OR(Enginuity!$B$13=2, Enginuity!$B$13=4)),
      AND(LEFT(P3825,5)="3-Way", OR(Enginuity!$B$13=3, Enginuity!$B$13=6)),
      AND(P3825="Inner Centre Jamb", OR(Enginuity!$B$13=4, Enginuity!$B$13=6)),
      AND(
        LEFT(P3825,5)&lt;&gt;"1-Way",
        LEFT(P3825,5)&lt;&gt;"2-Way",
        LEFT(P3825,5)&lt;&gt;"3-Way",
        P3825&lt;&gt;"Inner Centre Jamb"
      )
    ),
    IF(OR(Enginuity!$A$1="Frameless Glass",Enginuity!$A$1="Metal Work"),
      AND(TRIM(B3825)=TRIM(Enginuity!$A$17),TRIM(C3825)=TRIM(Enginuity!$A$18)),
      TRIM(B3825)=TRIM(Enginuity!$A$17)
    )
  ),
  ROW(),
  ""
)</f>
        <v/>
      </c>
    </row>
    <row r="3826" spans="21:21" x14ac:dyDescent="0.25">
      <c r="U3826" s="104" t="str">
        <f>IF(
  AND(
    TRIM(A3826)=TRIM(Enginuity!$A$1),
    TRIM(B3826)=TRIM(Enginuity!$A$17),
    Q3826&lt;&gt;"",
    Q3826&lt;&gt;0,
    OR(
      TRIM(C3826)=TRIM(Enginuity!$A$18),
      AND(UPPER(TRIM(M3826))="STD", TRIM(B3826)=TRIM(Enginuity!$A$17))
    ),
    OR(
      AND(LEFT(P3826,5)="1-Way", Enginuity!$B$13=1),
      AND(LEFT(P3826,5)="2-Way", OR(Enginuity!$B$13=2, Enginuity!$B$13=4)),
      AND(LEFT(P3826,5)="3-Way", OR(Enginuity!$B$13=3, Enginuity!$B$13=6)),
      AND(P3826="Inner Centre Jamb", OR(Enginuity!$B$13=4, Enginuity!$B$13=6)),
      AND(
        LEFT(P3826,5)&lt;&gt;"1-Way",
        LEFT(P3826,5)&lt;&gt;"2-Way",
        LEFT(P3826,5)&lt;&gt;"3-Way",
        P3826&lt;&gt;"Inner Centre Jamb"
      )
    ),
    IF(OR(Enginuity!$A$1="Frameless Glass",Enginuity!$A$1="Metal Work"),
      AND(TRIM(B3826)=TRIM(Enginuity!$A$17),TRIM(C3826)=TRIM(Enginuity!$A$18)),
      TRIM(B3826)=TRIM(Enginuity!$A$17)
    )
  ),
  ROW(),
  ""
)</f>
        <v/>
      </c>
    </row>
    <row r="3827" spans="21:21" x14ac:dyDescent="0.25">
      <c r="U3827" s="104" t="str">
        <f>IF(
  AND(
    TRIM(A3827)=TRIM(Enginuity!$A$1),
    TRIM(B3827)=TRIM(Enginuity!$A$17),
    Q3827&lt;&gt;"",
    Q3827&lt;&gt;0,
    OR(
      TRIM(C3827)=TRIM(Enginuity!$A$18),
      AND(UPPER(TRIM(M3827))="STD", TRIM(B3827)=TRIM(Enginuity!$A$17))
    ),
    OR(
      AND(LEFT(P3827,5)="1-Way", Enginuity!$B$13=1),
      AND(LEFT(P3827,5)="2-Way", OR(Enginuity!$B$13=2, Enginuity!$B$13=4)),
      AND(LEFT(P3827,5)="3-Way", OR(Enginuity!$B$13=3, Enginuity!$B$13=6)),
      AND(P3827="Inner Centre Jamb", OR(Enginuity!$B$13=4, Enginuity!$B$13=6)),
      AND(
        LEFT(P3827,5)&lt;&gt;"1-Way",
        LEFT(P3827,5)&lt;&gt;"2-Way",
        LEFT(P3827,5)&lt;&gt;"3-Way",
        P3827&lt;&gt;"Inner Centre Jamb"
      )
    ),
    IF(OR(Enginuity!$A$1="Frameless Glass",Enginuity!$A$1="Metal Work"),
      AND(TRIM(B3827)=TRIM(Enginuity!$A$17),TRIM(C3827)=TRIM(Enginuity!$A$18)),
      TRIM(B3827)=TRIM(Enginuity!$A$17)
    )
  ),
  ROW(),
  ""
)</f>
        <v/>
      </c>
    </row>
    <row r="3828" spans="21:21" x14ac:dyDescent="0.25">
      <c r="U3828" s="104" t="str">
        <f>IF(
  AND(
    TRIM(A3828)=TRIM(Enginuity!$A$1),
    TRIM(B3828)=TRIM(Enginuity!$A$17),
    Q3828&lt;&gt;"",
    Q3828&lt;&gt;0,
    OR(
      TRIM(C3828)=TRIM(Enginuity!$A$18),
      AND(UPPER(TRIM(M3828))="STD", TRIM(B3828)=TRIM(Enginuity!$A$17))
    ),
    OR(
      AND(LEFT(P3828,5)="1-Way", Enginuity!$B$13=1),
      AND(LEFT(P3828,5)="2-Way", OR(Enginuity!$B$13=2, Enginuity!$B$13=4)),
      AND(LEFT(P3828,5)="3-Way", OR(Enginuity!$B$13=3, Enginuity!$B$13=6)),
      AND(P3828="Inner Centre Jamb", OR(Enginuity!$B$13=4, Enginuity!$B$13=6)),
      AND(
        LEFT(P3828,5)&lt;&gt;"1-Way",
        LEFT(P3828,5)&lt;&gt;"2-Way",
        LEFT(P3828,5)&lt;&gt;"3-Way",
        P3828&lt;&gt;"Inner Centre Jamb"
      )
    ),
    IF(OR(Enginuity!$A$1="Frameless Glass",Enginuity!$A$1="Metal Work"),
      AND(TRIM(B3828)=TRIM(Enginuity!$A$17),TRIM(C3828)=TRIM(Enginuity!$A$18)),
      TRIM(B3828)=TRIM(Enginuity!$A$17)
    )
  ),
  ROW(),
  ""
)</f>
        <v/>
      </c>
    </row>
    <row r="3829" spans="21:21" x14ac:dyDescent="0.25">
      <c r="U3829" s="104" t="str">
        <f>IF(
  AND(
    TRIM(A3829)=TRIM(Enginuity!$A$1),
    TRIM(B3829)=TRIM(Enginuity!$A$17),
    Q3829&lt;&gt;"",
    Q3829&lt;&gt;0,
    OR(
      TRIM(C3829)=TRIM(Enginuity!$A$18),
      AND(UPPER(TRIM(M3829))="STD", TRIM(B3829)=TRIM(Enginuity!$A$17))
    ),
    OR(
      AND(LEFT(P3829,5)="1-Way", Enginuity!$B$13=1),
      AND(LEFT(P3829,5)="2-Way", OR(Enginuity!$B$13=2, Enginuity!$B$13=4)),
      AND(LEFT(P3829,5)="3-Way", OR(Enginuity!$B$13=3, Enginuity!$B$13=6)),
      AND(P3829="Inner Centre Jamb", OR(Enginuity!$B$13=4, Enginuity!$B$13=6)),
      AND(
        LEFT(P3829,5)&lt;&gt;"1-Way",
        LEFT(P3829,5)&lt;&gt;"2-Way",
        LEFT(P3829,5)&lt;&gt;"3-Way",
        P3829&lt;&gt;"Inner Centre Jamb"
      )
    ),
    IF(OR(Enginuity!$A$1="Frameless Glass",Enginuity!$A$1="Metal Work"),
      AND(TRIM(B3829)=TRIM(Enginuity!$A$17),TRIM(C3829)=TRIM(Enginuity!$A$18)),
      TRIM(B3829)=TRIM(Enginuity!$A$17)
    )
  ),
  ROW(),
  ""
)</f>
        <v/>
      </c>
    </row>
    <row r="3830" spans="21:21" x14ac:dyDescent="0.25">
      <c r="U3830" s="104" t="str">
        <f>IF(
  AND(
    TRIM(A3830)=TRIM(Enginuity!$A$1),
    TRIM(B3830)=TRIM(Enginuity!$A$17),
    Q3830&lt;&gt;"",
    Q3830&lt;&gt;0,
    OR(
      TRIM(C3830)=TRIM(Enginuity!$A$18),
      AND(UPPER(TRIM(M3830))="STD", TRIM(B3830)=TRIM(Enginuity!$A$17))
    ),
    OR(
      AND(LEFT(P3830,5)="1-Way", Enginuity!$B$13=1),
      AND(LEFT(P3830,5)="2-Way", OR(Enginuity!$B$13=2, Enginuity!$B$13=4)),
      AND(LEFT(P3830,5)="3-Way", OR(Enginuity!$B$13=3, Enginuity!$B$13=6)),
      AND(P3830="Inner Centre Jamb", OR(Enginuity!$B$13=4, Enginuity!$B$13=6)),
      AND(
        LEFT(P3830,5)&lt;&gt;"1-Way",
        LEFT(P3830,5)&lt;&gt;"2-Way",
        LEFT(P3830,5)&lt;&gt;"3-Way",
        P3830&lt;&gt;"Inner Centre Jamb"
      )
    ),
    IF(OR(Enginuity!$A$1="Frameless Glass",Enginuity!$A$1="Metal Work"),
      AND(TRIM(B3830)=TRIM(Enginuity!$A$17),TRIM(C3830)=TRIM(Enginuity!$A$18)),
      TRIM(B3830)=TRIM(Enginuity!$A$17)
    )
  ),
  ROW(),
  ""
)</f>
        <v/>
      </c>
    </row>
    <row r="3831" spans="21:21" x14ac:dyDescent="0.25">
      <c r="U3831" s="104" t="str">
        <f>IF(
  AND(
    TRIM(A3831)=TRIM(Enginuity!$A$1),
    TRIM(B3831)=TRIM(Enginuity!$A$17),
    Q3831&lt;&gt;"",
    Q3831&lt;&gt;0,
    OR(
      TRIM(C3831)=TRIM(Enginuity!$A$18),
      AND(UPPER(TRIM(M3831))="STD", TRIM(B3831)=TRIM(Enginuity!$A$17))
    ),
    OR(
      AND(LEFT(P3831,5)="1-Way", Enginuity!$B$13=1),
      AND(LEFT(P3831,5)="2-Way", OR(Enginuity!$B$13=2, Enginuity!$B$13=4)),
      AND(LEFT(P3831,5)="3-Way", OR(Enginuity!$B$13=3, Enginuity!$B$13=6)),
      AND(P3831="Inner Centre Jamb", OR(Enginuity!$B$13=4, Enginuity!$B$13=6)),
      AND(
        LEFT(P3831,5)&lt;&gt;"1-Way",
        LEFT(P3831,5)&lt;&gt;"2-Way",
        LEFT(P3831,5)&lt;&gt;"3-Way",
        P3831&lt;&gt;"Inner Centre Jamb"
      )
    ),
    IF(OR(Enginuity!$A$1="Frameless Glass",Enginuity!$A$1="Metal Work"),
      AND(TRIM(B3831)=TRIM(Enginuity!$A$17),TRIM(C3831)=TRIM(Enginuity!$A$18)),
      TRIM(B3831)=TRIM(Enginuity!$A$17)
    )
  ),
  ROW(),
  ""
)</f>
        <v/>
      </c>
    </row>
    <row r="3832" spans="21:21" x14ac:dyDescent="0.25">
      <c r="U3832" s="104" t="str">
        <f>IF(
  AND(
    TRIM(A3832)=TRIM(Enginuity!$A$1),
    TRIM(B3832)=TRIM(Enginuity!$A$17),
    Q3832&lt;&gt;"",
    Q3832&lt;&gt;0,
    OR(
      TRIM(C3832)=TRIM(Enginuity!$A$18),
      AND(UPPER(TRIM(M3832))="STD", TRIM(B3832)=TRIM(Enginuity!$A$17))
    ),
    OR(
      AND(LEFT(P3832,5)="1-Way", Enginuity!$B$13=1),
      AND(LEFT(P3832,5)="2-Way", OR(Enginuity!$B$13=2, Enginuity!$B$13=4)),
      AND(LEFT(P3832,5)="3-Way", OR(Enginuity!$B$13=3, Enginuity!$B$13=6)),
      AND(P3832="Inner Centre Jamb", OR(Enginuity!$B$13=4, Enginuity!$B$13=6)),
      AND(
        LEFT(P3832,5)&lt;&gt;"1-Way",
        LEFT(P3832,5)&lt;&gt;"2-Way",
        LEFT(P3832,5)&lt;&gt;"3-Way",
        P3832&lt;&gt;"Inner Centre Jamb"
      )
    ),
    IF(OR(Enginuity!$A$1="Frameless Glass",Enginuity!$A$1="Metal Work"),
      AND(TRIM(B3832)=TRIM(Enginuity!$A$17),TRIM(C3832)=TRIM(Enginuity!$A$18)),
      TRIM(B3832)=TRIM(Enginuity!$A$17)
    )
  ),
  ROW(),
  ""
)</f>
        <v/>
      </c>
    </row>
    <row r="3833" spans="21:21" x14ac:dyDescent="0.25">
      <c r="U3833" s="104" t="str">
        <f>IF(
  AND(
    TRIM(A3833)=TRIM(Enginuity!$A$1),
    TRIM(B3833)=TRIM(Enginuity!$A$17),
    Q3833&lt;&gt;"",
    Q3833&lt;&gt;0,
    OR(
      TRIM(C3833)=TRIM(Enginuity!$A$18),
      AND(UPPER(TRIM(M3833))="STD", TRIM(B3833)=TRIM(Enginuity!$A$17))
    ),
    OR(
      AND(LEFT(P3833,5)="1-Way", Enginuity!$B$13=1),
      AND(LEFT(P3833,5)="2-Way", OR(Enginuity!$B$13=2, Enginuity!$B$13=4)),
      AND(LEFT(P3833,5)="3-Way", OR(Enginuity!$B$13=3, Enginuity!$B$13=6)),
      AND(P3833="Inner Centre Jamb", OR(Enginuity!$B$13=4, Enginuity!$B$13=6)),
      AND(
        LEFT(P3833,5)&lt;&gt;"1-Way",
        LEFT(P3833,5)&lt;&gt;"2-Way",
        LEFT(P3833,5)&lt;&gt;"3-Way",
        P3833&lt;&gt;"Inner Centre Jamb"
      )
    ),
    IF(OR(Enginuity!$A$1="Frameless Glass",Enginuity!$A$1="Metal Work"),
      AND(TRIM(B3833)=TRIM(Enginuity!$A$17),TRIM(C3833)=TRIM(Enginuity!$A$18)),
      TRIM(B3833)=TRIM(Enginuity!$A$17)
    )
  ),
  ROW(),
  ""
)</f>
        <v/>
      </c>
    </row>
    <row r="3834" spans="21:21" x14ac:dyDescent="0.25">
      <c r="U3834" s="104" t="str">
        <f>IF(
  AND(
    TRIM(A3834)=TRIM(Enginuity!$A$1),
    TRIM(B3834)=TRIM(Enginuity!$A$17),
    Q3834&lt;&gt;"",
    Q3834&lt;&gt;0,
    OR(
      TRIM(C3834)=TRIM(Enginuity!$A$18),
      AND(UPPER(TRIM(M3834))="STD", TRIM(B3834)=TRIM(Enginuity!$A$17))
    ),
    OR(
      AND(LEFT(P3834,5)="1-Way", Enginuity!$B$13=1),
      AND(LEFT(P3834,5)="2-Way", OR(Enginuity!$B$13=2, Enginuity!$B$13=4)),
      AND(LEFT(P3834,5)="3-Way", OR(Enginuity!$B$13=3, Enginuity!$B$13=6)),
      AND(P3834="Inner Centre Jamb", OR(Enginuity!$B$13=4, Enginuity!$B$13=6)),
      AND(
        LEFT(P3834,5)&lt;&gt;"1-Way",
        LEFT(P3834,5)&lt;&gt;"2-Way",
        LEFT(P3834,5)&lt;&gt;"3-Way",
        P3834&lt;&gt;"Inner Centre Jamb"
      )
    ),
    IF(OR(Enginuity!$A$1="Frameless Glass",Enginuity!$A$1="Metal Work"),
      AND(TRIM(B3834)=TRIM(Enginuity!$A$17),TRIM(C3834)=TRIM(Enginuity!$A$18)),
      TRIM(B3834)=TRIM(Enginuity!$A$17)
    )
  ),
  ROW(),
  ""
)</f>
        <v/>
      </c>
    </row>
    <row r="3835" spans="21:21" x14ac:dyDescent="0.25">
      <c r="U3835" s="104" t="str">
        <f>IF(
  AND(
    TRIM(A3835)=TRIM(Enginuity!$A$1),
    TRIM(B3835)=TRIM(Enginuity!$A$17),
    Q3835&lt;&gt;"",
    Q3835&lt;&gt;0,
    OR(
      TRIM(C3835)=TRIM(Enginuity!$A$18),
      AND(UPPER(TRIM(M3835))="STD", TRIM(B3835)=TRIM(Enginuity!$A$17))
    ),
    OR(
      AND(LEFT(P3835,5)="1-Way", Enginuity!$B$13=1),
      AND(LEFT(P3835,5)="2-Way", OR(Enginuity!$B$13=2, Enginuity!$B$13=4)),
      AND(LEFT(P3835,5)="3-Way", OR(Enginuity!$B$13=3, Enginuity!$B$13=6)),
      AND(P3835="Inner Centre Jamb", OR(Enginuity!$B$13=4, Enginuity!$B$13=6)),
      AND(
        LEFT(P3835,5)&lt;&gt;"1-Way",
        LEFT(P3835,5)&lt;&gt;"2-Way",
        LEFT(P3835,5)&lt;&gt;"3-Way",
        P3835&lt;&gt;"Inner Centre Jamb"
      )
    ),
    IF(OR(Enginuity!$A$1="Frameless Glass",Enginuity!$A$1="Metal Work"),
      AND(TRIM(B3835)=TRIM(Enginuity!$A$17),TRIM(C3835)=TRIM(Enginuity!$A$18)),
      TRIM(B3835)=TRIM(Enginuity!$A$17)
    )
  ),
  ROW(),
  ""
)</f>
        <v/>
      </c>
    </row>
    <row r="3836" spans="21:21" x14ac:dyDescent="0.25">
      <c r="U3836" s="104" t="str">
        <f>IF(
  AND(
    TRIM(A3836)=TRIM(Enginuity!$A$1),
    TRIM(B3836)=TRIM(Enginuity!$A$17),
    Q3836&lt;&gt;"",
    Q3836&lt;&gt;0,
    OR(
      TRIM(C3836)=TRIM(Enginuity!$A$18),
      AND(UPPER(TRIM(M3836))="STD", TRIM(B3836)=TRIM(Enginuity!$A$17))
    ),
    OR(
      AND(LEFT(P3836,5)="1-Way", Enginuity!$B$13=1),
      AND(LEFT(P3836,5)="2-Way", OR(Enginuity!$B$13=2, Enginuity!$B$13=4)),
      AND(LEFT(P3836,5)="3-Way", OR(Enginuity!$B$13=3, Enginuity!$B$13=6)),
      AND(P3836="Inner Centre Jamb", OR(Enginuity!$B$13=4, Enginuity!$B$13=6)),
      AND(
        LEFT(P3836,5)&lt;&gt;"1-Way",
        LEFT(P3836,5)&lt;&gt;"2-Way",
        LEFT(P3836,5)&lt;&gt;"3-Way",
        P3836&lt;&gt;"Inner Centre Jamb"
      )
    ),
    IF(OR(Enginuity!$A$1="Frameless Glass",Enginuity!$A$1="Metal Work"),
      AND(TRIM(B3836)=TRIM(Enginuity!$A$17),TRIM(C3836)=TRIM(Enginuity!$A$18)),
      TRIM(B3836)=TRIM(Enginuity!$A$17)
    )
  ),
  ROW(),
  ""
)</f>
        <v/>
      </c>
    </row>
    <row r="3837" spans="21:21" x14ac:dyDescent="0.25">
      <c r="U3837" s="104" t="str">
        <f>IF(
  AND(
    TRIM(A3837)=TRIM(Enginuity!$A$1),
    TRIM(B3837)=TRIM(Enginuity!$A$17),
    Q3837&lt;&gt;"",
    Q3837&lt;&gt;0,
    OR(
      TRIM(C3837)=TRIM(Enginuity!$A$18),
      AND(UPPER(TRIM(M3837))="STD", TRIM(B3837)=TRIM(Enginuity!$A$17))
    ),
    OR(
      AND(LEFT(P3837,5)="1-Way", Enginuity!$B$13=1),
      AND(LEFT(P3837,5)="2-Way", OR(Enginuity!$B$13=2, Enginuity!$B$13=4)),
      AND(LEFT(P3837,5)="3-Way", OR(Enginuity!$B$13=3, Enginuity!$B$13=6)),
      AND(P3837="Inner Centre Jamb", OR(Enginuity!$B$13=4, Enginuity!$B$13=6)),
      AND(
        LEFT(P3837,5)&lt;&gt;"1-Way",
        LEFT(P3837,5)&lt;&gt;"2-Way",
        LEFT(P3837,5)&lt;&gt;"3-Way",
        P3837&lt;&gt;"Inner Centre Jamb"
      )
    ),
    IF(OR(Enginuity!$A$1="Frameless Glass",Enginuity!$A$1="Metal Work"),
      AND(TRIM(B3837)=TRIM(Enginuity!$A$17),TRIM(C3837)=TRIM(Enginuity!$A$18)),
      TRIM(B3837)=TRIM(Enginuity!$A$17)
    )
  ),
  ROW(),
  ""
)</f>
        <v/>
      </c>
    </row>
    <row r="3838" spans="21:21" x14ac:dyDescent="0.25">
      <c r="U3838" s="104" t="str">
        <f>IF(
  AND(
    TRIM(A3838)=TRIM(Enginuity!$A$1),
    TRIM(B3838)=TRIM(Enginuity!$A$17),
    Q3838&lt;&gt;"",
    Q3838&lt;&gt;0,
    OR(
      TRIM(C3838)=TRIM(Enginuity!$A$18),
      AND(UPPER(TRIM(M3838))="STD", TRIM(B3838)=TRIM(Enginuity!$A$17))
    ),
    OR(
      AND(LEFT(P3838,5)="1-Way", Enginuity!$B$13=1),
      AND(LEFT(P3838,5)="2-Way", OR(Enginuity!$B$13=2, Enginuity!$B$13=4)),
      AND(LEFT(P3838,5)="3-Way", OR(Enginuity!$B$13=3, Enginuity!$B$13=6)),
      AND(P3838="Inner Centre Jamb", OR(Enginuity!$B$13=4, Enginuity!$B$13=6)),
      AND(
        LEFT(P3838,5)&lt;&gt;"1-Way",
        LEFT(P3838,5)&lt;&gt;"2-Way",
        LEFT(P3838,5)&lt;&gt;"3-Way",
        P3838&lt;&gt;"Inner Centre Jamb"
      )
    ),
    IF(OR(Enginuity!$A$1="Frameless Glass",Enginuity!$A$1="Metal Work"),
      AND(TRIM(B3838)=TRIM(Enginuity!$A$17),TRIM(C3838)=TRIM(Enginuity!$A$18)),
      TRIM(B3838)=TRIM(Enginuity!$A$17)
    )
  ),
  ROW(),
  ""
)</f>
        <v/>
      </c>
    </row>
    <row r="3839" spans="21:21" x14ac:dyDescent="0.25">
      <c r="U3839" s="104" t="str">
        <f>IF(
  AND(
    TRIM(A3839)=TRIM(Enginuity!$A$1),
    TRIM(B3839)=TRIM(Enginuity!$A$17),
    Q3839&lt;&gt;"",
    Q3839&lt;&gt;0,
    OR(
      TRIM(C3839)=TRIM(Enginuity!$A$18),
      AND(UPPER(TRIM(M3839))="STD", TRIM(B3839)=TRIM(Enginuity!$A$17))
    ),
    OR(
      AND(LEFT(P3839,5)="1-Way", Enginuity!$B$13=1),
      AND(LEFT(P3839,5)="2-Way", OR(Enginuity!$B$13=2, Enginuity!$B$13=4)),
      AND(LEFT(P3839,5)="3-Way", OR(Enginuity!$B$13=3, Enginuity!$B$13=6)),
      AND(P3839="Inner Centre Jamb", OR(Enginuity!$B$13=4, Enginuity!$B$13=6)),
      AND(
        LEFT(P3839,5)&lt;&gt;"1-Way",
        LEFT(P3839,5)&lt;&gt;"2-Way",
        LEFT(P3839,5)&lt;&gt;"3-Way",
        P3839&lt;&gt;"Inner Centre Jamb"
      )
    ),
    IF(OR(Enginuity!$A$1="Frameless Glass",Enginuity!$A$1="Metal Work"),
      AND(TRIM(B3839)=TRIM(Enginuity!$A$17),TRIM(C3839)=TRIM(Enginuity!$A$18)),
      TRIM(B3839)=TRIM(Enginuity!$A$17)
    )
  ),
  ROW(),
  ""
)</f>
        <v/>
      </c>
    </row>
    <row r="3840" spans="21:21" x14ac:dyDescent="0.25">
      <c r="U3840" s="104" t="str">
        <f>IF(
  AND(
    TRIM(A3840)=TRIM(Enginuity!$A$1),
    TRIM(B3840)=TRIM(Enginuity!$A$17),
    Q3840&lt;&gt;"",
    Q3840&lt;&gt;0,
    OR(
      TRIM(C3840)=TRIM(Enginuity!$A$18),
      AND(UPPER(TRIM(M3840))="STD", TRIM(B3840)=TRIM(Enginuity!$A$17))
    ),
    OR(
      AND(LEFT(P3840,5)="1-Way", Enginuity!$B$13=1),
      AND(LEFT(P3840,5)="2-Way", OR(Enginuity!$B$13=2, Enginuity!$B$13=4)),
      AND(LEFT(P3840,5)="3-Way", OR(Enginuity!$B$13=3, Enginuity!$B$13=6)),
      AND(P3840="Inner Centre Jamb", OR(Enginuity!$B$13=4, Enginuity!$B$13=6)),
      AND(
        LEFT(P3840,5)&lt;&gt;"1-Way",
        LEFT(P3840,5)&lt;&gt;"2-Way",
        LEFT(P3840,5)&lt;&gt;"3-Way",
        P3840&lt;&gt;"Inner Centre Jamb"
      )
    ),
    IF(OR(Enginuity!$A$1="Frameless Glass",Enginuity!$A$1="Metal Work"),
      AND(TRIM(B3840)=TRIM(Enginuity!$A$17),TRIM(C3840)=TRIM(Enginuity!$A$18)),
      TRIM(B3840)=TRIM(Enginuity!$A$17)
    )
  ),
  ROW(),
  ""
)</f>
        <v/>
      </c>
    </row>
    <row r="3841" spans="21:21" x14ac:dyDescent="0.25">
      <c r="U3841" s="104" t="str">
        <f>IF(
  AND(
    TRIM(A3841)=TRIM(Enginuity!$A$1),
    TRIM(B3841)=TRIM(Enginuity!$A$17),
    Q3841&lt;&gt;"",
    Q3841&lt;&gt;0,
    OR(
      TRIM(C3841)=TRIM(Enginuity!$A$18),
      AND(UPPER(TRIM(M3841))="STD", TRIM(B3841)=TRIM(Enginuity!$A$17))
    ),
    OR(
      AND(LEFT(P3841,5)="1-Way", Enginuity!$B$13=1),
      AND(LEFT(P3841,5)="2-Way", OR(Enginuity!$B$13=2, Enginuity!$B$13=4)),
      AND(LEFT(P3841,5)="3-Way", OR(Enginuity!$B$13=3, Enginuity!$B$13=6)),
      AND(P3841="Inner Centre Jamb", OR(Enginuity!$B$13=4, Enginuity!$B$13=6)),
      AND(
        LEFT(P3841,5)&lt;&gt;"1-Way",
        LEFT(P3841,5)&lt;&gt;"2-Way",
        LEFT(P3841,5)&lt;&gt;"3-Way",
        P3841&lt;&gt;"Inner Centre Jamb"
      )
    ),
    IF(OR(Enginuity!$A$1="Frameless Glass",Enginuity!$A$1="Metal Work"),
      AND(TRIM(B3841)=TRIM(Enginuity!$A$17),TRIM(C3841)=TRIM(Enginuity!$A$18)),
      TRIM(B3841)=TRIM(Enginuity!$A$17)
    )
  ),
  ROW(),
  ""
)</f>
        <v/>
      </c>
    </row>
    <row r="3842" spans="21:21" x14ac:dyDescent="0.25">
      <c r="U3842" s="104" t="str">
        <f>IF(
  AND(
    TRIM(A3842)=TRIM(Enginuity!$A$1),
    TRIM(B3842)=TRIM(Enginuity!$A$17),
    Q3842&lt;&gt;"",
    Q3842&lt;&gt;0,
    OR(
      TRIM(C3842)=TRIM(Enginuity!$A$18),
      AND(UPPER(TRIM(M3842))="STD", TRIM(B3842)=TRIM(Enginuity!$A$17))
    ),
    OR(
      AND(LEFT(P3842,5)="1-Way", Enginuity!$B$13=1),
      AND(LEFT(P3842,5)="2-Way", OR(Enginuity!$B$13=2, Enginuity!$B$13=4)),
      AND(LEFT(P3842,5)="3-Way", OR(Enginuity!$B$13=3, Enginuity!$B$13=6)),
      AND(P3842="Inner Centre Jamb", OR(Enginuity!$B$13=4, Enginuity!$B$13=6)),
      AND(
        LEFT(P3842,5)&lt;&gt;"1-Way",
        LEFT(P3842,5)&lt;&gt;"2-Way",
        LEFT(P3842,5)&lt;&gt;"3-Way",
        P3842&lt;&gt;"Inner Centre Jamb"
      )
    ),
    IF(OR(Enginuity!$A$1="Frameless Glass",Enginuity!$A$1="Metal Work"),
      AND(TRIM(B3842)=TRIM(Enginuity!$A$17),TRIM(C3842)=TRIM(Enginuity!$A$18)),
      TRIM(B3842)=TRIM(Enginuity!$A$17)
    )
  ),
  ROW(),
  ""
)</f>
        <v/>
      </c>
    </row>
    <row r="3843" spans="21:21" x14ac:dyDescent="0.25">
      <c r="U3843" s="104" t="str">
        <f>IF(
  AND(
    TRIM(A3843)=TRIM(Enginuity!$A$1),
    TRIM(B3843)=TRIM(Enginuity!$A$17),
    Q3843&lt;&gt;"",
    Q3843&lt;&gt;0,
    OR(
      TRIM(C3843)=TRIM(Enginuity!$A$18),
      AND(UPPER(TRIM(M3843))="STD", TRIM(B3843)=TRIM(Enginuity!$A$17))
    ),
    OR(
      AND(LEFT(P3843,5)="1-Way", Enginuity!$B$13=1),
      AND(LEFT(P3843,5)="2-Way", OR(Enginuity!$B$13=2, Enginuity!$B$13=4)),
      AND(LEFT(P3843,5)="3-Way", OR(Enginuity!$B$13=3, Enginuity!$B$13=6)),
      AND(P3843="Inner Centre Jamb", OR(Enginuity!$B$13=4, Enginuity!$B$13=6)),
      AND(
        LEFT(P3843,5)&lt;&gt;"1-Way",
        LEFT(P3843,5)&lt;&gt;"2-Way",
        LEFT(P3843,5)&lt;&gt;"3-Way",
        P3843&lt;&gt;"Inner Centre Jamb"
      )
    ),
    IF(OR(Enginuity!$A$1="Frameless Glass",Enginuity!$A$1="Metal Work"),
      AND(TRIM(B3843)=TRIM(Enginuity!$A$17),TRIM(C3843)=TRIM(Enginuity!$A$18)),
      TRIM(B3843)=TRIM(Enginuity!$A$17)
    )
  ),
  ROW(),
  ""
)</f>
        <v/>
      </c>
    </row>
    <row r="3844" spans="21:21" x14ac:dyDescent="0.25">
      <c r="U3844" s="104" t="str">
        <f>IF(
  AND(
    TRIM(A3844)=TRIM(Enginuity!$A$1),
    TRIM(B3844)=TRIM(Enginuity!$A$17),
    Q3844&lt;&gt;"",
    Q3844&lt;&gt;0,
    OR(
      TRIM(C3844)=TRIM(Enginuity!$A$18),
      AND(UPPER(TRIM(M3844))="STD", TRIM(B3844)=TRIM(Enginuity!$A$17))
    ),
    OR(
      AND(LEFT(P3844,5)="1-Way", Enginuity!$B$13=1),
      AND(LEFT(P3844,5)="2-Way", OR(Enginuity!$B$13=2, Enginuity!$B$13=4)),
      AND(LEFT(P3844,5)="3-Way", OR(Enginuity!$B$13=3, Enginuity!$B$13=6)),
      AND(P3844="Inner Centre Jamb", OR(Enginuity!$B$13=4, Enginuity!$B$13=6)),
      AND(
        LEFT(P3844,5)&lt;&gt;"1-Way",
        LEFT(P3844,5)&lt;&gt;"2-Way",
        LEFT(P3844,5)&lt;&gt;"3-Way",
        P3844&lt;&gt;"Inner Centre Jamb"
      )
    ),
    IF(OR(Enginuity!$A$1="Frameless Glass",Enginuity!$A$1="Metal Work"),
      AND(TRIM(B3844)=TRIM(Enginuity!$A$17),TRIM(C3844)=TRIM(Enginuity!$A$18)),
      TRIM(B3844)=TRIM(Enginuity!$A$17)
    )
  ),
  ROW(),
  ""
)</f>
        <v/>
      </c>
    </row>
    <row r="3845" spans="21:21" x14ac:dyDescent="0.25">
      <c r="U3845" s="104" t="str">
        <f>IF(
  AND(
    TRIM(A3845)=TRIM(Enginuity!$A$1),
    TRIM(B3845)=TRIM(Enginuity!$A$17),
    Q3845&lt;&gt;"",
    Q3845&lt;&gt;0,
    OR(
      TRIM(C3845)=TRIM(Enginuity!$A$18),
      AND(UPPER(TRIM(M3845))="STD", TRIM(B3845)=TRIM(Enginuity!$A$17))
    ),
    OR(
      AND(LEFT(P3845,5)="1-Way", Enginuity!$B$13=1),
      AND(LEFT(P3845,5)="2-Way", OR(Enginuity!$B$13=2, Enginuity!$B$13=4)),
      AND(LEFT(P3845,5)="3-Way", OR(Enginuity!$B$13=3, Enginuity!$B$13=6)),
      AND(P3845="Inner Centre Jamb", OR(Enginuity!$B$13=4, Enginuity!$B$13=6)),
      AND(
        LEFT(P3845,5)&lt;&gt;"1-Way",
        LEFT(P3845,5)&lt;&gt;"2-Way",
        LEFT(P3845,5)&lt;&gt;"3-Way",
        P3845&lt;&gt;"Inner Centre Jamb"
      )
    ),
    IF(OR(Enginuity!$A$1="Frameless Glass",Enginuity!$A$1="Metal Work"),
      AND(TRIM(B3845)=TRIM(Enginuity!$A$17),TRIM(C3845)=TRIM(Enginuity!$A$18)),
      TRIM(B3845)=TRIM(Enginuity!$A$17)
    )
  ),
  ROW(),
  ""
)</f>
        <v/>
      </c>
    </row>
    <row r="3846" spans="21:21" x14ac:dyDescent="0.25">
      <c r="U3846" s="104" t="str">
        <f>IF(
  AND(
    TRIM(A3846)=TRIM(Enginuity!$A$1),
    TRIM(B3846)=TRIM(Enginuity!$A$17),
    Q3846&lt;&gt;"",
    Q3846&lt;&gt;0,
    OR(
      TRIM(C3846)=TRIM(Enginuity!$A$18),
      AND(UPPER(TRIM(M3846))="STD", TRIM(B3846)=TRIM(Enginuity!$A$17))
    ),
    OR(
      AND(LEFT(P3846,5)="1-Way", Enginuity!$B$13=1),
      AND(LEFT(P3846,5)="2-Way", OR(Enginuity!$B$13=2, Enginuity!$B$13=4)),
      AND(LEFT(P3846,5)="3-Way", OR(Enginuity!$B$13=3, Enginuity!$B$13=6)),
      AND(P3846="Inner Centre Jamb", OR(Enginuity!$B$13=4, Enginuity!$B$13=6)),
      AND(
        LEFT(P3846,5)&lt;&gt;"1-Way",
        LEFT(P3846,5)&lt;&gt;"2-Way",
        LEFT(P3846,5)&lt;&gt;"3-Way",
        P3846&lt;&gt;"Inner Centre Jamb"
      )
    ),
    IF(OR(Enginuity!$A$1="Frameless Glass",Enginuity!$A$1="Metal Work"),
      AND(TRIM(B3846)=TRIM(Enginuity!$A$17),TRIM(C3846)=TRIM(Enginuity!$A$18)),
      TRIM(B3846)=TRIM(Enginuity!$A$17)
    )
  ),
  ROW(),
  ""
)</f>
        <v/>
      </c>
    </row>
    <row r="3847" spans="21:21" x14ac:dyDescent="0.25">
      <c r="U3847" s="104" t="str">
        <f>IF(
  AND(
    TRIM(A3847)=TRIM(Enginuity!$A$1),
    TRIM(B3847)=TRIM(Enginuity!$A$17),
    Q3847&lt;&gt;"",
    Q3847&lt;&gt;0,
    OR(
      TRIM(C3847)=TRIM(Enginuity!$A$18),
      AND(UPPER(TRIM(M3847))="STD", TRIM(B3847)=TRIM(Enginuity!$A$17))
    ),
    OR(
      AND(LEFT(P3847,5)="1-Way", Enginuity!$B$13=1),
      AND(LEFT(P3847,5)="2-Way", OR(Enginuity!$B$13=2, Enginuity!$B$13=4)),
      AND(LEFT(P3847,5)="3-Way", OR(Enginuity!$B$13=3, Enginuity!$B$13=6)),
      AND(P3847="Inner Centre Jamb", OR(Enginuity!$B$13=4, Enginuity!$B$13=6)),
      AND(
        LEFT(P3847,5)&lt;&gt;"1-Way",
        LEFT(P3847,5)&lt;&gt;"2-Way",
        LEFT(P3847,5)&lt;&gt;"3-Way",
        P3847&lt;&gt;"Inner Centre Jamb"
      )
    ),
    IF(OR(Enginuity!$A$1="Frameless Glass",Enginuity!$A$1="Metal Work"),
      AND(TRIM(B3847)=TRIM(Enginuity!$A$17),TRIM(C3847)=TRIM(Enginuity!$A$18)),
      TRIM(B3847)=TRIM(Enginuity!$A$17)
    )
  ),
  ROW(),
  ""
)</f>
        <v/>
      </c>
    </row>
    <row r="3848" spans="21:21" x14ac:dyDescent="0.25">
      <c r="U3848" s="104" t="str">
        <f>IF(
  AND(
    TRIM(A3848)=TRIM(Enginuity!$A$1),
    TRIM(B3848)=TRIM(Enginuity!$A$17),
    Q3848&lt;&gt;"",
    Q3848&lt;&gt;0,
    OR(
      TRIM(C3848)=TRIM(Enginuity!$A$18),
      AND(UPPER(TRIM(M3848))="STD", TRIM(B3848)=TRIM(Enginuity!$A$17))
    ),
    OR(
      AND(LEFT(P3848,5)="1-Way", Enginuity!$B$13=1),
      AND(LEFT(P3848,5)="2-Way", OR(Enginuity!$B$13=2, Enginuity!$B$13=4)),
      AND(LEFT(P3848,5)="3-Way", OR(Enginuity!$B$13=3, Enginuity!$B$13=6)),
      AND(P3848="Inner Centre Jamb", OR(Enginuity!$B$13=4, Enginuity!$B$13=6)),
      AND(
        LEFT(P3848,5)&lt;&gt;"1-Way",
        LEFT(P3848,5)&lt;&gt;"2-Way",
        LEFT(P3848,5)&lt;&gt;"3-Way",
        P3848&lt;&gt;"Inner Centre Jamb"
      )
    ),
    IF(OR(Enginuity!$A$1="Frameless Glass",Enginuity!$A$1="Metal Work"),
      AND(TRIM(B3848)=TRIM(Enginuity!$A$17),TRIM(C3848)=TRIM(Enginuity!$A$18)),
      TRIM(B3848)=TRIM(Enginuity!$A$17)
    )
  ),
  ROW(),
  ""
)</f>
        <v/>
      </c>
    </row>
    <row r="3849" spans="21:21" x14ac:dyDescent="0.25">
      <c r="U3849" s="104" t="str">
        <f>IF(
  AND(
    TRIM(A3849)=TRIM(Enginuity!$A$1),
    TRIM(B3849)=TRIM(Enginuity!$A$17),
    Q3849&lt;&gt;"",
    Q3849&lt;&gt;0,
    OR(
      TRIM(C3849)=TRIM(Enginuity!$A$18),
      AND(UPPER(TRIM(M3849))="STD", TRIM(B3849)=TRIM(Enginuity!$A$17))
    ),
    OR(
      AND(LEFT(P3849,5)="1-Way", Enginuity!$B$13=1),
      AND(LEFT(P3849,5)="2-Way", OR(Enginuity!$B$13=2, Enginuity!$B$13=4)),
      AND(LEFT(P3849,5)="3-Way", OR(Enginuity!$B$13=3, Enginuity!$B$13=6)),
      AND(P3849="Inner Centre Jamb", OR(Enginuity!$B$13=4, Enginuity!$B$13=6)),
      AND(
        LEFT(P3849,5)&lt;&gt;"1-Way",
        LEFT(P3849,5)&lt;&gt;"2-Way",
        LEFT(P3849,5)&lt;&gt;"3-Way",
        P3849&lt;&gt;"Inner Centre Jamb"
      )
    ),
    IF(OR(Enginuity!$A$1="Frameless Glass",Enginuity!$A$1="Metal Work"),
      AND(TRIM(B3849)=TRIM(Enginuity!$A$17),TRIM(C3849)=TRIM(Enginuity!$A$18)),
      TRIM(B3849)=TRIM(Enginuity!$A$17)
    )
  ),
  ROW(),
  ""
)</f>
        <v/>
      </c>
    </row>
    <row r="3850" spans="21:21" x14ac:dyDescent="0.25">
      <c r="U3850" s="104" t="str">
        <f>IF(
  AND(
    TRIM(A3850)=TRIM(Enginuity!$A$1),
    TRIM(B3850)=TRIM(Enginuity!$A$17),
    Q3850&lt;&gt;"",
    Q3850&lt;&gt;0,
    OR(
      TRIM(C3850)=TRIM(Enginuity!$A$18),
      AND(UPPER(TRIM(M3850))="STD", TRIM(B3850)=TRIM(Enginuity!$A$17))
    ),
    OR(
      AND(LEFT(P3850,5)="1-Way", Enginuity!$B$13=1),
      AND(LEFT(P3850,5)="2-Way", OR(Enginuity!$B$13=2, Enginuity!$B$13=4)),
      AND(LEFT(P3850,5)="3-Way", OR(Enginuity!$B$13=3, Enginuity!$B$13=6)),
      AND(P3850="Inner Centre Jamb", OR(Enginuity!$B$13=4, Enginuity!$B$13=6)),
      AND(
        LEFT(P3850,5)&lt;&gt;"1-Way",
        LEFT(P3850,5)&lt;&gt;"2-Way",
        LEFT(P3850,5)&lt;&gt;"3-Way",
        P3850&lt;&gt;"Inner Centre Jamb"
      )
    ),
    IF(OR(Enginuity!$A$1="Frameless Glass",Enginuity!$A$1="Metal Work"),
      AND(TRIM(B3850)=TRIM(Enginuity!$A$17),TRIM(C3850)=TRIM(Enginuity!$A$18)),
      TRIM(B3850)=TRIM(Enginuity!$A$17)
    )
  ),
  ROW(),
  ""
)</f>
        <v/>
      </c>
    </row>
    <row r="3851" spans="21:21" x14ac:dyDescent="0.25">
      <c r="U3851" s="104" t="str">
        <f>IF(
  AND(
    TRIM(A3851)=TRIM(Enginuity!$A$1),
    TRIM(B3851)=TRIM(Enginuity!$A$17),
    Q3851&lt;&gt;"",
    Q3851&lt;&gt;0,
    OR(
      TRIM(C3851)=TRIM(Enginuity!$A$18),
      AND(UPPER(TRIM(M3851))="STD", TRIM(B3851)=TRIM(Enginuity!$A$17))
    ),
    OR(
      AND(LEFT(P3851,5)="1-Way", Enginuity!$B$13=1),
      AND(LEFT(P3851,5)="2-Way", OR(Enginuity!$B$13=2, Enginuity!$B$13=4)),
      AND(LEFT(P3851,5)="3-Way", OR(Enginuity!$B$13=3, Enginuity!$B$13=6)),
      AND(P3851="Inner Centre Jamb", OR(Enginuity!$B$13=4, Enginuity!$B$13=6)),
      AND(
        LEFT(P3851,5)&lt;&gt;"1-Way",
        LEFT(P3851,5)&lt;&gt;"2-Way",
        LEFT(P3851,5)&lt;&gt;"3-Way",
        P3851&lt;&gt;"Inner Centre Jamb"
      )
    ),
    IF(OR(Enginuity!$A$1="Frameless Glass",Enginuity!$A$1="Metal Work"),
      AND(TRIM(B3851)=TRIM(Enginuity!$A$17),TRIM(C3851)=TRIM(Enginuity!$A$18)),
      TRIM(B3851)=TRIM(Enginuity!$A$17)
    )
  ),
  ROW(),
  ""
)</f>
        <v/>
      </c>
    </row>
    <row r="3852" spans="21:21" x14ac:dyDescent="0.25">
      <c r="U3852" s="104" t="str">
        <f>IF(
  AND(
    TRIM(A3852)=TRIM(Enginuity!$A$1),
    TRIM(B3852)=TRIM(Enginuity!$A$17),
    Q3852&lt;&gt;"",
    Q3852&lt;&gt;0,
    OR(
      TRIM(C3852)=TRIM(Enginuity!$A$18),
      AND(UPPER(TRIM(M3852))="STD", TRIM(B3852)=TRIM(Enginuity!$A$17))
    ),
    OR(
      AND(LEFT(P3852,5)="1-Way", Enginuity!$B$13=1),
      AND(LEFT(P3852,5)="2-Way", OR(Enginuity!$B$13=2, Enginuity!$B$13=4)),
      AND(LEFT(P3852,5)="3-Way", OR(Enginuity!$B$13=3, Enginuity!$B$13=6)),
      AND(P3852="Inner Centre Jamb", OR(Enginuity!$B$13=4, Enginuity!$B$13=6)),
      AND(
        LEFT(P3852,5)&lt;&gt;"1-Way",
        LEFT(P3852,5)&lt;&gt;"2-Way",
        LEFT(P3852,5)&lt;&gt;"3-Way",
        P3852&lt;&gt;"Inner Centre Jamb"
      )
    ),
    IF(OR(Enginuity!$A$1="Frameless Glass",Enginuity!$A$1="Metal Work"),
      AND(TRIM(B3852)=TRIM(Enginuity!$A$17),TRIM(C3852)=TRIM(Enginuity!$A$18)),
      TRIM(B3852)=TRIM(Enginuity!$A$17)
    )
  ),
  ROW(),
  ""
)</f>
        <v/>
      </c>
    </row>
    <row r="3853" spans="21:21" x14ac:dyDescent="0.25">
      <c r="U3853" s="104" t="str">
        <f>IF(
  AND(
    TRIM(A3853)=TRIM(Enginuity!$A$1),
    TRIM(B3853)=TRIM(Enginuity!$A$17),
    Q3853&lt;&gt;"",
    Q3853&lt;&gt;0,
    OR(
      TRIM(C3853)=TRIM(Enginuity!$A$18),
      AND(UPPER(TRIM(M3853))="STD", TRIM(B3853)=TRIM(Enginuity!$A$17))
    ),
    OR(
      AND(LEFT(P3853,5)="1-Way", Enginuity!$B$13=1),
      AND(LEFT(P3853,5)="2-Way", OR(Enginuity!$B$13=2, Enginuity!$B$13=4)),
      AND(LEFT(P3853,5)="3-Way", OR(Enginuity!$B$13=3, Enginuity!$B$13=6)),
      AND(P3853="Inner Centre Jamb", OR(Enginuity!$B$13=4, Enginuity!$B$13=6)),
      AND(
        LEFT(P3853,5)&lt;&gt;"1-Way",
        LEFT(P3853,5)&lt;&gt;"2-Way",
        LEFT(P3853,5)&lt;&gt;"3-Way",
        P3853&lt;&gt;"Inner Centre Jamb"
      )
    ),
    IF(OR(Enginuity!$A$1="Frameless Glass",Enginuity!$A$1="Metal Work"),
      AND(TRIM(B3853)=TRIM(Enginuity!$A$17),TRIM(C3853)=TRIM(Enginuity!$A$18)),
      TRIM(B3853)=TRIM(Enginuity!$A$17)
    )
  ),
  ROW(),
  ""
)</f>
        <v/>
      </c>
    </row>
    <row r="3854" spans="21:21" x14ac:dyDescent="0.25">
      <c r="U3854" s="104" t="str">
        <f>IF(
  AND(
    TRIM(A3854)=TRIM(Enginuity!$A$1),
    TRIM(B3854)=TRIM(Enginuity!$A$17),
    Q3854&lt;&gt;"",
    Q3854&lt;&gt;0,
    OR(
      TRIM(C3854)=TRIM(Enginuity!$A$18),
      AND(UPPER(TRIM(M3854))="STD", TRIM(B3854)=TRIM(Enginuity!$A$17))
    ),
    OR(
      AND(LEFT(P3854,5)="1-Way", Enginuity!$B$13=1),
      AND(LEFT(P3854,5)="2-Way", OR(Enginuity!$B$13=2, Enginuity!$B$13=4)),
      AND(LEFT(P3854,5)="3-Way", OR(Enginuity!$B$13=3, Enginuity!$B$13=6)),
      AND(P3854="Inner Centre Jamb", OR(Enginuity!$B$13=4, Enginuity!$B$13=6)),
      AND(
        LEFT(P3854,5)&lt;&gt;"1-Way",
        LEFT(P3854,5)&lt;&gt;"2-Way",
        LEFT(P3854,5)&lt;&gt;"3-Way",
        P3854&lt;&gt;"Inner Centre Jamb"
      )
    ),
    IF(OR(Enginuity!$A$1="Frameless Glass",Enginuity!$A$1="Metal Work"),
      AND(TRIM(B3854)=TRIM(Enginuity!$A$17),TRIM(C3854)=TRIM(Enginuity!$A$18)),
      TRIM(B3854)=TRIM(Enginuity!$A$17)
    )
  ),
  ROW(),
  ""
)</f>
        <v/>
      </c>
    </row>
    <row r="3855" spans="21:21" x14ac:dyDescent="0.25">
      <c r="U3855" s="104" t="str">
        <f>IF(
  AND(
    TRIM(A3855)=TRIM(Enginuity!$A$1),
    TRIM(B3855)=TRIM(Enginuity!$A$17),
    Q3855&lt;&gt;"",
    Q3855&lt;&gt;0,
    OR(
      TRIM(C3855)=TRIM(Enginuity!$A$18),
      AND(UPPER(TRIM(M3855))="STD", TRIM(B3855)=TRIM(Enginuity!$A$17))
    ),
    OR(
      AND(LEFT(P3855,5)="1-Way", Enginuity!$B$13=1),
      AND(LEFT(P3855,5)="2-Way", OR(Enginuity!$B$13=2, Enginuity!$B$13=4)),
      AND(LEFT(P3855,5)="3-Way", OR(Enginuity!$B$13=3, Enginuity!$B$13=6)),
      AND(P3855="Inner Centre Jamb", OR(Enginuity!$B$13=4, Enginuity!$B$13=6)),
      AND(
        LEFT(P3855,5)&lt;&gt;"1-Way",
        LEFT(P3855,5)&lt;&gt;"2-Way",
        LEFT(P3855,5)&lt;&gt;"3-Way",
        P3855&lt;&gt;"Inner Centre Jamb"
      )
    ),
    IF(OR(Enginuity!$A$1="Frameless Glass",Enginuity!$A$1="Metal Work"),
      AND(TRIM(B3855)=TRIM(Enginuity!$A$17),TRIM(C3855)=TRIM(Enginuity!$A$18)),
      TRIM(B3855)=TRIM(Enginuity!$A$17)
    )
  ),
  ROW(),
  ""
)</f>
        <v/>
      </c>
    </row>
    <row r="3856" spans="21:21" x14ac:dyDescent="0.25">
      <c r="U3856" s="104" t="str">
        <f>IF(
  AND(
    TRIM(A3856)=TRIM(Enginuity!$A$1),
    TRIM(B3856)=TRIM(Enginuity!$A$17),
    Q3856&lt;&gt;"",
    Q3856&lt;&gt;0,
    OR(
      TRIM(C3856)=TRIM(Enginuity!$A$18),
      AND(UPPER(TRIM(M3856))="STD", TRIM(B3856)=TRIM(Enginuity!$A$17))
    ),
    OR(
      AND(LEFT(P3856,5)="1-Way", Enginuity!$B$13=1),
      AND(LEFT(P3856,5)="2-Way", OR(Enginuity!$B$13=2, Enginuity!$B$13=4)),
      AND(LEFT(P3856,5)="3-Way", OR(Enginuity!$B$13=3, Enginuity!$B$13=6)),
      AND(P3856="Inner Centre Jamb", OR(Enginuity!$B$13=4, Enginuity!$B$13=6)),
      AND(
        LEFT(P3856,5)&lt;&gt;"1-Way",
        LEFT(P3856,5)&lt;&gt;"2-Way",
        LEFT(P3856,5)&lt;&gt;"3-Way",
        P3856&lt;&gt;"Inner Centre Jamb"
      )
    ),
    IF(OR(Enginuity!$A$1="Frameless Glass",Enginuity!$A$1="Metal Work"),
      AND(TRIM(B3856)=TRIM(Enginuity!$A$17),TRIM(C3856)=TRIM(Enginuity!$A$18)),
      TRIM(B3856)=TRIM(Enginuity!$A$17)
    )
  ),
  ROW(),
  ""
)</f>
        <v/>
      </c>
    </row>
    <row r="3857" spans="21:21" x14ac:dyDescent="0.25">
      <c r="U3857" s="104" t="str">
        <f>IF(
  AND(
    TRIM(A3857)=TRIM(Enginuity!$A$1),
    TRIM(B3857)=TRIM(Enginuity!$A$17),
    Q3857&lt;&gt;"",
    Q3857&lt;&gt;0,
    OR(
      TRIM(C3857)=TRIM(Enginuity!$A$18),
      AND(UPPER(TRIM(M3857))="STD", TRIM(B3857)=TRIM(Enginuity!$A$17))
    ),
    OR(
      AND(LEFT(P3857,5)="1-Way", Enginuity!$B$13=1),
      AND(LEFT(P3857,5)="2-Way", OR(Enginuity!$B$13=2, Enginuity!$B$13=4)),
      AND(LEFT(P3857,5)="3-Way", OR(Enginuity!$B$13=3, Enginuity!$B$13=6)),
      AND(P3857="Inner Centre Jamb", OR(Enginuity!$B$13=4, Enginuity!$B$13=6)),
      AND(
        LEFT(P3857,5)&lt;&gt;"1-Way",
        LEFT(P3857,5)&lt;&gt;"2-Way",
        LEFT(P3857,5)&lt;&gt;"3-Way",
        P3857&lt;&gt;"Inner Centre Jamb"
      )
    ),
    IF(OR(Enginuity!$A$1="Frameless Glass",Enginuity!$A$1="Metal Work"),
      AND(TRIM(B3857)=TRIM(Enginuity!$A$17),TRIM(C3857)=TRIM(Enginuity!$A$18)),
      TRIM(B3857)=TRIM(Enginuity!$A$17)
    )
  ),
  ROW(),
  ""
)</f>
        <v/>
      </c>
    </row>
    <row r="3858" spans="21:21" x14ac:dyDescent="0.25">
      <c r="U3858" s="104" t="str">
        <f>IF(
  AND(
    TRIM(A3858)=TRIM(Enginuity!$A$1),
    TRIM(B3858)=TRIM(Enginuity!$A$17),
    Q3858&lt;&gt;"",
    Q3858&lt;&gt;0,
    OR(
      TRIM(C3858)=TRIM(Enginuity!$A$18),
      AND(UPPER(TRIM(M3858))="STD", TRIM(B3858)=TRIM(Enginuity!$A$17))
    ),
    OR(
      AND(LEFT(P3858,5)="1-Way", Enginuity!$B$13=1),
      AND(LEFT(P3858,5)="2-Way", OR(Enginuity!$B$13=2, Enginuity!$B$13=4)),
      AND(LEFT(P3858,5)="3-Way", OR(Enginuity!$B$13=3, Enginuity!$B$13=6)),
      AND(P3858="Inner Centre Jamb", OR(Enginuity!$B$13=4, Enginuity!$B$13=6)),
      AND(
        LEFT(P3858,5)&lt;&gt;"1-Way",
        LEFT(P3858,5)&lt;&gt;"2-Way",
        LEFT(P3858,5)&lt;&gt;"3-Way",
        P3858&lt;&gt;"Inner Centre Jamb"
      )
    ),
    IF(OR(Enginuity!$A$1="Frameless Glass",Enginuity!$A$1="Metal Work"),
      AND(TRIM(B3858)=TRIM(Enginuity!$A$17),TRIM(C3858)=TRIM(Enginuity!$A$18)),
      TRIM(B3858)=TRIM(Enginuity!$A$17)
    )
  ),
  ROW(),
  ""
)</f>
        <v/>
      </c>
    </row>
    <row r="3859" spans="21:21" x14ac:dyDescent="0.25">
      <c r="U3859" s="104" t="str">
        <f>IF(
  AND(
    TRIM(A3859)=TRIM(Enginuity!$A$1),
    TRIM(B3859)=TRIM(Enginuity!$A$17),
    Q3859&lt;&gt;"",
    Q3859&lt;&gt;0,
    OR(
      TRIM(C3859)=TRIM(Enginuity!$A$18),
      AND(UPPER(TRIM(M3859))="STD", TRIM(B3859)=TRIM(Enginuity!$A$17))
    ),
    OR(
      AND(LEFT(P3859,5)="1-Way", Enginuity!$B$13=1),
      AND(LEFT(P3859,5)="2-Way", OR(Enginuity!$B$13=2, Enginuity!$B$13=4)),
      AND(LEFT(P3859,5)="3-Way", OR(Enginuity!$B$13=3, Enginuity!$B$13=6)),
      AND(P3859="Inner Centre Jamb", OR(Enginuity!$B$13=4, Enginuity!$B$13=6)),
      AND(
        LEFT(P3859,5)&lt;&gt;"1-Way",
        LEFT(P3859,5)&lt;&gt;"2-Way",
        LEFT(P3859,5)&lt;&gt;"3-Way",
        P3859&lt;&gt;"Inner Centre Jamb"
      )
    ),
    IF(OR(Enginuity!$A$1="Frameless Glass",Enginuity!$A$1="Metal Work"),
      AND(TRIM(B3859)=TRIM(Enginuity!$A$17),TRIM(C3859)=TRIM(Enginuity!$A$18)),
      TRIM(B3859)=TRIM(Enginuity!$A$17)
    )
  ),
  ROW(),
  ""
)</f>
        <v/>
      </c>
    </row>
    <row r="3860" spans="21:21" x14ac:dyDescent="0.25">
      <c r="U3860" s="104" t="str">
        <f>IF(
  AND(
    TRIM(A3860)=TRIM(Enginuity!$A$1),
    TRIM(B3860)=TRIM(Enginuity!$A$17),
    Q3860&lt;&gt;"",
    Q3860&lt;&gt;0,
    OR(
      TRIM(C3860)=TRIM(Enginuity!$A$18),
      AND(UPPER(TRIM(M3860))="STD", TRIM(B3860)=TRIM(Enginuity!$A$17))
    ),
    OR(
      AND(LEFT(P3860,5)="1-Way", Enginuity!$B$13=1),
      AND(LEFT(P3860,5)="2-Way", OR(Enginuity!$B$13=2, Enginuity!$B$13=4)),
      AND(LEFT(P3860,5)="3-Way", OR(Enginuity!$B$13=3, Enginuity!$B$13=6)),
      AND(P3860="Inner Centre Jamb", OR(Enginuity!$B$13=4, Enginuity!$B$13=6)),
      AND(
        LEFT(P3860,5)&lt;&gt;"1-Way",
        LEFT(P3860,5)&lt;&gt;"2-Way",
        LEFT(P3860,5)&lt;&gt;"3-Way",
        P3860&lt;&gt;"Inner Centre Jamb"
      )
    ),
    IF(OR(Enginuity!$A$1="Frameless Glass",Enginuity!$A$1="Metal Work"),
      AND(TRIM(B3860)=TRIM(Enginuity!$A$17),TRIM(C3860)=TRIM(Enginuity!$A$18)),
      TRIM(B3860)=TRIM(Enginuity!$A$17)
    )
  ),
  ROW(),
  ""
)</f>
        <v/>
      </c>
    </row>
    <row r="3861" spans="21:21" x14ac:dyDescent="0.25">
      <c r="U3861" s="104" t="str">
        <f>IF(
  AND(
    TRIM(A3861)=TRIM(Enginuity!$A$1),
    TRIM(B3861)=TRIM(Enginuity!$A$17),
    Q3861&lt;&gt;"",
    Q3861&lt;&gt;0,
    OR(
      TRIM(C3861)=TRIM(Enginuity!$A$18),
      AND(UPPER(TRIM(M3861))="STD", TRIM(B3861)=TRIM(Enginuity!$A$17))
    ),
    OR(
      AND(LEFT(P3861,5)="1-Way", Enginuity!$B$13=1),
      AND(LEFT(P3861,5)="2-Way", OR(Enginuity!$B$13=2, Enginuity!$B$13=4)),
      AND(LEFT(P3861,5)="3-Way", OR(Enginuity!$B$13=3, Enginuity!$B$13=6)),
      AND(P3861="Inner Centre Jamb", OR(Enginuity!$B$13=4, Enginuity!$B$13=6)),
      AND(
        LEFT(P3861,5)&lt;&gt;"1-Way",
        LEFT(P3861,5)&lt;&gt;"2-Way",
        LEFT(P3861,5)&lt;&gt;"3-Way",
        P3861&lt;&gt;"Inner Centre Jamb"
      )
    ),
    IF(OR(Enginuity!$A$1="Frameless Glass",Enginuity!$A$1="Metal Work"),
      AND(TRIM(B3861)=TRIM(Enginuity!$A$17),TRIM(C3861)=TRIM(Enginuity!$A$18)),
      TRIM(B3861)=TRIM(Enginuity!$A$17)
    )
  ),
  ROW(),
  ""
)</f>
        <v/>
      </c>
    </row>
    <row r="3862" spans="21:21" x14ac:dyDescent="0.25">
      <c r="U3862" s="104" t="str">
        <f>IF(
  AND(
    TRIM(A3862)=TRIM(Enginuity!$A$1),
    TRIM(B3862)=TRIM(Enginuity!$A$17),
    Q3862&lt;&gt;"",
    Q3862&lt;&gt;0,
    OR(
      TRIM(C3862)=TRIM(Enginuity!$A$18),
      AND(UPPER(TRIM(M3862))="STD", TRIM(B3862)=TRIM(Enginuity!$A$17))
    ),
    OR(
      AND(LEFT(P3862,5)="1-Way", Enginuity!$B$13=1),
      AND(LEFT(P3862,5)="2-Way", OR(Enginuity!$B$13=2, Enginuity!$B$13=4)),
      AND(LEFT(P3862,5)="3-Way", OR(Enginuity!$B$13=3, Enginuity!$B$13=6)),
      AND(P3862="Inner Centre Jamb", OR(Enginuity!$B$13=4, Enginuity!$B$13=6)),
      AND(
        LEFT(P3862,5)&lt;&gt;"1-Way",
        LEFT(P3862,5)&lt;&gt;"2-Way",
        LEFT(P3862,5)&lt;&gt;"3-Way",
        P3862&lt;&gt;"Inner Centre Jamb"
      )
    ),
    IF(OR(Enginuity!$A$1="Frameless Glass",Enginuity!$A$1="Metal Work"),
      AND(TRIM(B3862)=TRIM(Enginuity!$A$17),TRIM(C3862)=TRIM(Enginuity!$A$18)),
      TRIM(B3862)=TRIM(Enginuity!$A$17)
    )
  ),
  ROW(),
  ""
)</f>
        <v/>
      </c>
    </row>
    <row r="3863" spans="21:21" x14ac:dyDescent="0.25">
      <c r="U3863" s="104" t="str">
        <f>IF(
  AND(
    TRIM(A3863)=TRIM(Enginuity!$A$1),
    TRIM(B3863)=TRIM(Enginuity!$A$17),
    Q3863&lt;&gt;"",
    Q3863&lt;&gt;0,
    OR(
      TRIM(C3863)=TRIM(Enginuity!$A$18),
      AND(UPPER(TRIM(M3863))="STD", TRIM(B3863)=TRIM(Enginuity!$A$17))
    ),
    OR(
      AND(LEFT(P3863,5)="1-Way", Enginuity!$B$13=1),
      AND(LEFT(P3863,5)="2-Way", OR(Enginuity!$B$13=2, Enginuity!$B$13=4)),
      AND(LEFT(P3863,5)="3-Way", OR(Enginuity!$B$13=3, Enginuity!$B$13=6)),
      AND(P3863="Inner Centre Jamb", OR(Enginuity!$B$13=4, Enginuity!$B$13=6)),
      AND(
        LEFT(P3863,5)&lt;&gt;"1-Way",
        LEFT(P3863,5)&lt;&gt;"2-Way",
        LEFT(P3863,5)&lt;&gt;"3-Way",
        P3863&lt;&gt;"Inner Centre Jamb"
      )
    ),
    IF(OR(Enginuity!$A$1="Frameless Glass",Enginuity!$A$1="Metal Work"),
      AND(TRIM(B3863)=TRIM(Enginuity!$A$17),TRIM(C3863)=TRIM(Enginuity!$A$18)),
      TRIM(B3863)=TRIM(Enginuity!$A$17)
    )
  ),
  ROW(),
  ""
)</f>
        <v/>
      </c>
    </row>
    <row r="3864" spans="21:21" x14ac:dyDescent="0.25">
      <c r="U3864" s="104" t="str">
        <f>IF(
  AND(
    TRIM(A3864)=TRIM(Enginuity!$A$1),
    TRIM(B3864)=TRIM(Enginuity!$A$17),
    Q3864&lt;&gt;"",
    Q3864&lt;&gt;0,
    OR(
      TRIM(C3864)=TRIM(Enginuity!$A$18),
      AND(UPPER(TRIM(M3864))="STD", TRIM(B3864)=TRIM(Enginuity!$A$17))
    ),
    OR(
      AND(LEFT(P3864,5)="1-Way", Enginuity!$B$13=1),
      AND(LEFT(P3864,5)="2-Way", OR(Enginuity!$B$13=2, Enginuity!$B$13=4)),
      AND(LEFT(P3864,5)="3-Way", OR(Enginuity!$B$13=3, Enginuity!$B$13=6)),
      AND(P3864="Inner Centre Jamb", OR(Enginuity!$B$13=4, Enginuity!$B$13=6)),
      AND(
        LEFT(P3864,5)&lt;&gt;"1-Way",
        LEFT(P3864,5)&lt;&gt;"2-Way",
        LEFT(P3864,5)&lt;&gt;"3-Way",
        P3864&lt;&gt;"Inner Centre Jamb"
      )
    ),
    IF(OR(Enginuity!$A$1="Frameless Glass",Enginuity!$A$1="Metal Work"),
      AND(TRIM(B3864)=TRIM(Enginuity!$A$17),TRIM(C3864)=TRIM(Enginuity!$A$18)),
      TRIM(B3864)=TRIM(Enginuity!$A$17)
    )
  ),
  ROW(),
  ""
)</f>
        <v/>
      </c>
    </row>
    <row r="3865" spans="21:21" x14ac:dyDescent="0.25">
      <c r="U3865" s="104" t="str">
        <f>IF(
  AND(
    TRIM(A3865)=TRIM(Enginuity!$A$1),
    TRIM(B3865)=TRIM(Enginuity!$A$17),
    Q3865&lt;&gt;"",
    Q3865&lt;&gt;0,
    OR(
      TRIM(C3865)=TRIM(Enginuity!$A$18),
      AND(UPPER(TRIM(M3865))="STD", TRIM(B3865)=TRIM(Enginuity!$A$17))
    ),
    OR(
      AND(LEFT(P3865,5)="1-Way", Enginuity!$B$13=1),
      AND(LEFT(P3865,5)="2-Way", OR(Enginuity!$B$13=2, Enginuity!$B$13=4)),
      AND(LEFT(P3865,5)="3-Way", OR(Enginuity!$B$13=3, Enginuity!$B$13=6)),
      AND(P3865="Inner Centre Jamb", OR(Enginuity!$B$13=4, Enginuity!$B$13=6)),
      AND(
        LEFT(P3865,5)&lt;&gt;"1-Way",
        LEFT(P3865,5)&lt;&gt;"2-Way",
        LEFT(P3865,5)&lt;&gt;"3-Way",
        P3865&lt;&gt;"Inner Centre Jamb"
      )
    ),
    IF(OR(Enginuity!$A$1="Frameless Glass",Enginuity!$A$1="Metal Work"),
      AND(TRIM(B3865)=TRIM(Enginuity!$A$17),TRIM(C3865)=TRIM(Enginuity!$A$18)),
      TRIM(B3865)=TRIM(Enginuity!$A$17)
    )
  ),
  ROW(),
  ""
)</f>
        <v/>
      </c>
    </row>
    <row r="3866" spans="21:21" x14ac:dyDescent="0.25">
      <c r="U3866" s="104" t="str">
        <f>IF(
  AND(
    TRIM(A3866)=TRIM(Enginuity!$A$1),
    TRIM(B3866)=TRIM(Enginuity!$A$17),
    Q3866&lt;&gt;"",
    Q3866&lt;&gt;0,
    OR(
      TRIM(C3866)=TRIM(Enginuity!$A$18),
      AND(UPPER(TRIM(M3866))="STD", TRIM(B3866)=TRIM(Enginuity!$A$17))
    ),
    OR(
      AND(LEFT(P3866,5)="1-Way", Enginuity!$B$13=1),
      AND(LEFT(P3866,5)="2-Way", OR(Enginuity!$B$13=2, Enginuity!$B$13=4)),
      AND(LEFT(P3866,5)="3-Way", OR(Enginuity!$B$13=3, Enginuity!$B$13=6)),
      AND(P3866="Inner Centre Jamb", OR(Enginuity!$B$13=4, Enginuity!$B$13=6)),
      AND(
        LEFT(P3866,5)&lt;&gt;"1-Way",
        LEFT(P3866,5)&lt;&gt;"2-Way",
        LEFT(P3866,5)&lt;&gt;"3-Way",
        P3866&lt;&gt;"Inner Centre Jamb"
      )
    ),
    IF(OR(Enginuity!$A$1="Frameless Glass",Enginuity!$A$1="Metal Work"),
      AND(TRIM(B3866)=TRIM(Enginuity!$A$17),TRIM(C3866)=TRIM(Enginuity!$A$18)),
      TRIM(B3866)=TRIM(Enginuity!$A$17)
    )
  ),
  ROW(),
  ""
)</f>
        <v/>
      </c>
    </row>
    <row r="3867" spans="21:21" x14ac:dyDescent="0.25">
      <c r="U3867" s="104" t="str">
        <f>IF(
  AND(
    TRIM(A3867)=TRIM(Enginuity!$A$1),
    TRIM(B3867)=TRIM(Enginuity!$A$17),
    Q3867&lt;&gt;"",
    Q3867&lt;&gt;0,
    OR(
      TRIM(C3867)=TRIM(Enginuity!$A$18),
      AND(UPPER(TRIM(M3867))="STD", TRIM(B3867)=TRIM(Enginuity!$A$17))
    ),
    OR(
      AND(LEFT(P3867,5)="1-Way", Enginuity!$B$13=1),
      AND(LEFT(P3867,5)="2-Way", OR(Enginuity!$B$13=2, Enginuity!$B$13=4)),
      AND(LEFT(P3867,5)="3-Way", OR(Enginuity!$B$13=3, Enginuity!$B$13=6)),
      AND(P3867="Inner Centre Jamb", OR(Enginuity!$B$13=4, Enginuity!$B$13=6)),
      AND(
        LEFT(P3867,5)&lt;&gt;"1-Way",
        LEFT(P3867,5)&lt;&gt;"2-Way",
        LEFT(P3867,5)&lt;&gt;"3-Way",
        P3867&lt;&gt;"Inner Centre Jamb"
      )
    ),
    IF(OR(Enginuity!$A$1="Frameless Glass",Enginuity!$A$1="Metal Work"),
      AND(TRIM(B3867)=TRIM(Enginuity!$A$17),TRIM(C3867)=TRIM(Enginuity!$A$18)),
      TRIM(B3867)=TRIM(Enginuity!$A$17)
    )
  ),
  ROW(),
  ""
)</f>
        <v/>
      </c>
    </row>
    <row r="3868" spans="21:21" x14ac:dyDescent="0.25">
      <c r="U3868" s="104" t="str">
        <f>IF(
  AND(
    TRIM(A3868)=TRIM(Enginuity!$A$1),
    TRIM(B3868)=TRIM(Enginuity!$A$17),
    Q3868&lt;&gt;"",
    Q3868&lt;&gt;0,
    OR(
      TRIM(C3868)=TRIM(Enginuity!$A$18),
      AND(UPPER(TRIM(M3868))="STD", TRIM(B3868)=TRIM(Enginuity!$A$17))
    ),
    OR(
      AND(LEFT(P3868,5)="1-Way", Enginuity!$B$13=1),
      AND(LEFT(P3868,5)="2-Way", OR(Enginuity!$B$13=2, Enginuity!$B$13=4)),
      AND(LEFT(P3868,5)="3-Way", OR(Enginuity!$B$13=3, Enginuity!$B$13=6)),
      AND(P3868="Inner Centre Jamb", OR(Enginuity!$B$13=4, Enginuity!$B$13=6)),
      AND(
        LEFT(P3868,5)&lt;&gt;"1-Way",
        LEFT(P3868,5)&lt;&gt;"2-Way",
        LEFT(P3868,5)&lt;&gt;"3-Way",
        P3868&lt;&gt;"Inner Centre Jamb"
      )
    ),
    IF(OR(Enginuity!$A$1="Frameless Glass",Enginuity!$A$1="Metal Work"),
      AND(TRIM(B3868)=TRIM(Enginuity!$A$17),TRIM(C3868)=TRIM(Enginuity!$A$18)),
      TRIM(B3868)=TRIM(Enginuity!$A$17)
    )
  ),
  ROW(),
  ""
)</f>
        <v/>
      </c>
    </row>
    <row r="3869" spans="21:21" x14ac:dyDescent="0.25">
      <c r="U3869" s="104" t="str">
        <f>IF(
  AND(
    TRIM(A3869)=TRIM(Enginuity!$A$1),
    TRIM(B3869)=TRIM(Enginuity!$A$17),
    Q3869&lt;&gt;"",
    Q3869&lt;&gt;0,
    OR(
      TRIM(C3869)=TRIM(Enginuity!$A$18),
      AND(UPPER(TRIM(M3869))="STD", TRIM(B3869)=TRIM(Enginuity!$A$17))
    ),
    OR(
      AND(LEFT(P3869,5)="1-Way", Enginuity!$B$13=1),
      AND(LEFT(P3869,5)="2-Way", OR(Enginuity!$B$13=2, Enginuity!$B$13=4)),
      AND(LEFT(P3869,5)="3-Way", OR(Enginuity!$B$13=3, Enginuity!$B$13=6)),
      AND(P3869="Inner Centre Jamb", OR(Enginuity!$B$13=4, Enginuity!$B$13=6)),
      AND(
        LEFT(P3869,5)&lt;&gt;"1-Way",
        LEFT(P3869,5)&lt;&gt;"2-Way",
        LEFT(P3869,5)&lt;&gt;"3-Way",
        P3869&lt;&gt;"Inner Centre Jamb"
      )
    ),
    IF(OR(Enginuity!$A$1="Frameless Glass",Enginuity!$A$1="Metal Work"),
      AND(TRIM(B3869)=TRIM(Enginuity!$A$17),TRIM(C3869)=TRIM(Enginuity!$A$18)),
      TRIM(B3869)=TRIM(Enginuity!$A$17)
    )
  ),
  ROW(),
  ""
)</f>
        <v/>
      </c>
    </row>
    <row r="3870" spans="21:21" x14ac:dyDescent="0.25">
      <c r="U3870" s="104" t="str">
        <f>IF(
  AND(
    TRIM(A3870)=TRIM(Enginuity!$A$1),
    TRIM(B3870)=TRIM(Enginuity!$A$17),
    Q3870&lt;&gt;"",
    Q3870&lt;&gt;0,
    OR(
      TRIM(C3870)=TRIM(Enginuity!$A$18),
      AND(UPPER(TRIM(M3870))="STD", TRIM(B3870)=TRIM(Enginuity!$A$17))
    ),
    OR(
      AND(LEFT(P3870,5)="1-Way", Enginuity!$B$13=1),
      AND(LEFT(P3870,5)="2-Way", OR(Enginuity!$B$13=2, Enginuity!$B$13=4)),
      AND(LEFT(P3870,5)="3-Way", OR(Enginuity!$B$13=3, Enginuity!$B$13=6)),
      AND(P3870="Inner Centre Jamb", OR(Enginuity!$B$13=4, Enginuity!$B$13=6)),
      AND(
        LEFT(P3870,5)&lt;&gt;"1-Way",
        LEFT(P3870,5)&lt;&gt;"2-Way",
        LEFT(P3870,5)&lt;&gt;"3-Way",
        P3870&lt;&gt;"Inner Centre Jamb"
      )
    ),
    IF(OR(Enginuity!$A$1="Frameless Glass",Enginuity!$A$1="Metal Work"),
      AND(TRIM(B3870)=TRIM(Enginuity!$A$17),TRIM(C3870)=TRIM(Enginuity!$A$18)),
      TRIM(B3870)=TRIM(Enginuity!$A$17)
    )
  ),
  ROW(),
  ""
)</f>
        <v/>
      </c>
    </row>
    <row r="3871" spans="21:21" x14ac:dyDescent="0.25">
      <c r="U3871" s="104" t="str">
        <f>IF(
  AND(
    TRIM(A3871)=TRIM(Enginuity!$A$1),
    TRIM(B3871)=TRIM(Enginuity!$A$17),
    Q3871&lt;&gt;"",
    Q3871&lt;&gt;0,
    OR(
      TRIM(C3871)=TRIM(Enginuity!$A$18),
      AND(UPPER(TRIM(M3871))="STD", TRIM(B3871)=TRIM(Enginuity!$A$17))
    ),
    OR(
      AND(LEFT(P3871,5)="1-Way", Enginuity!$B$13=1),
      AND(LEFT(P3871,5)="2-Way", OR(Enginuity!$B$13=2, Enginuity!$B$13=4)),
      AND(LEFT(P3871,5)="3-Way", OR(Enginuity!$B$13=3, Enginuity!$B$13=6)),
      AND(P3871="Inner Centre Jamb", OR(Enginuity!$B$13=4, Enginuity!$B$13=6)),
      AND(
        LEFT(P3871,5)&lt;&gt;"1-Way",
        LEFT(P3871,5)&lt;&gt;"2-Way",
        LEFT(P3871,5)&lt;&gt;"3-Way",
        P3871&lt;&gt;"Inner Centre Jamb"
      )
    ),
    IF(OR(Enginuity!$A$1="Frameless Glass",Enginuity!$A$1="Metal Work"),
      AND(TRIM(B3871)=TRIM(Enginuity!$A$17),TRIM(C3871)=TRIM(Enginuity!$A$18)),
      TRIM(B3871)=TRIM(Enginuity!$A$17)
    )
  ),
  ROW(),
  ""
)</f>
        <v/>
      </c>
    </row>
    <row r="3872" spans="21:21" x14ac:dyDescent="0.25">
      <c r="U3872" s="104" t="str">
        <f>IF(
  AND(
    TRIM(A3872)=TRIM(Enginuity!$A$1),
    TRIM(B3872)=TRIM(Enginuity!$A$17),
    Q3872&lt;&gt;"",
    Q3872&lt;&gt;0,
    OR(
      TRIM(C3872)=TRIM(Enginuity!$A$18),
      AND(UPPER(TRIM(M3872))="STD", TRIM(B3872)=TRIM(Enginuity!$A$17))
    ),
    OR(
      AND(LEFT(P3872,5)="1-Way", Enginuity!$B$13=1),
      AND(LEFT(P3872,5)="2-Way", OR(Enginuity!$B$13=2, Enginuity!$B$13=4)),
      AND(LEFT(P3872,5)="3-Way", OR(Enginuity!$B$13=3, Enginuity!$B$13=6)),
      AND(P3872="Inner Centre Jamb", OR(Enginuity!$B$13=4, Enginuity!$B$13=6)),
      AND(
        LEFT(P3872,5)&lt;&gt;"1-Way",
        LEFT(P3872,5)&lt;&gt;"2-Way",
        LEFT(P3872,5)&lt;&gt;"3-Way",
        P3872&lt;&gt;"Inner Centre Jamb"
      )
    ),
    IF(OR(Enginuity!$A$1="Frameless Glass",Enginuity!$A$1="Metal Work"),
      AND(TRIM(B3872)=TRIM(Enginuity!$A$17),TRIM(C3872)=TRIM(Enginuity!$A$18)),
      TRIM(B3872)=TRIM(Enginuity!$A$17)
    )
  ),
  ROW(),
  ""
)</f>
        <v/>
      </c>
    </row>
    <row r="3873" spans="21:21" x14ac:dyDescent="0.25">
      <c r="U3873" s="104" t="str">
        <f>IF(
  AND(
    TRIM(A3873)=TRIM(Enginuity!$A$1),
    TRIM(B3873)=TRIM(Enginuity!$A$17),
    Q3873&lt;&gt;"",
    Q3873&lt;&gt;0,
    OR(
      TRIM(C3873)=TRIM(Enginuity!$A$18),
      AND(UPPER(TRIM(M3873))="STD", TRIM(B3873)=TRIM(Enginuity!$A$17))
    ),
    OR(
      AND(LEFT(P3873,5)="1-Way", Enginuity!$B$13=1),
      AND(LEFT(P3873,5)="2-Way", OR(Enginuity!$B$13=2, Enginuity!$B$13=4)),
      AND(LEFT(P3873,5)="3-Way", OR(Enginuity!$B$13=3, Enginuity!$B$13=6)),
      AND(P3873="Inner Centre Jamb", OR(Enginuity!$B$13=4, Enginuity!$B$13=6)),
      AND(
        LEFT(P3873,5)&lt;&gt;"1-Way",
        LEFT(P3873,5)&lt;&gt;"2-Way",
        LEFT(P3873,5)&lt;&gt;"3-Way",
        P3873&lt;&gt;"Inner Centre Jamb"
      )
    ),
    IF(OR(Enginuity!$A$1="Frameless Glass",Enginuity!$A$1="Metal Work"),
      AND(TRIM(B3873)=TRIM(Enginuity!$A$17),TRIM(C3873)=TRIM(Enginuity!$A$18)),
      TRIM(B3873)=TRIM(Enginuity!$A$17)
    )
  ),
  ROW(),
  ""
)</f>
        <v/>
      </c>
    </row>
    <row r="3874" spans="21:21" x14ac:dyDescent="0.25">
      <c r="U3874" s="104" t="str">
        <f>IF(
  AND(
    TRIM(A3874)=TRIM(Enginuity!$A$1),
    TRIM(B3874)=TRIM(Enginuity!$A$17),
    Q3874&lt;&gt;"",
    Q3874&lt;&gt;0,
    OR(
      TRIM(C3874)=TRIM(Enginuity!$A$18),
      AND(UPPER(TRIM(M3874))="STD", TRIM(B3874)=TRIM(Enginuity!$A$17))
    ),
    OR(
      AND(LEFT(P3874,5)="1-Way", Enginuity!$B$13=1),
      AND(LEFT(P3874,5)="2-Way", OR(Enginuity!$B$13=2, Enginuity!$B$13=4)),
      AND(LEFT(P3874,5)="3-Way", OR(Enginuity!$B$13=3, Enginuity!$B$13=6)),
      AND(P3874="Inner Centre Jamb", OR(Enginuity!$B$13=4, Enginuity!$B$13=6)),
      AND(
        LEFT(P3874,5)&lt;&gt;"1-Way",
        LEFT(P3874,5)&lt;&gt;"2-Way",
        LEFT(P3874,5)&lt;&gt;"3-Way",
        P3874&lt;&gt;"Inner Centre Jamb"
      )
    ),
    IF(OR(Enginuity!$A$1="Frameless Glass",Enginuity!$A$1="Metal Work"),
      AND(TRIM(B3874)=TRIM(Enginuity!$A$17),TRIM(C3874)=TRIM(Enginuity!$A$18)),
      TRIM(B3874)=TRIM(Enginuity!$A$17)
    )
  ),
  ROW(),
  ""
)</f>
        <v/>
      </c>
    </row>
    <row r="3875" spans="21:21" x14ac:dyDescent="0.25">
      <c r="U3875" s="104" t="str">
        <f>IF(
  AND(
    TRIM(A3875)=TRIM(Enginuity!$A$1),
    TRIM(B3875)=TRIM(Enginuity!$A$17),
    Q3875&lt;&gt;"",
    Q3875&lt;&gt;0,
    OR(
      TRIM(C3875)=TRIM(Enginuity!$A$18),
      AND(UPPER(TRIM(M3875))="STD", TRIM(B3875)=TRIM(Enginuity!$A$17))
    ),
    OR(
      AND(LEFT(P3875,5)="1-Way", Enginuity!$B$13=1),
      AND(LEFT(P3875,5)="2-Way", OR(Enginuity!$B$13=2, Enginuity!$B$13=4)),
      AND(LEFT(P3875,5)="3-Way", OR(Enginuity!$B$13=3, Enginuity!$B$13=6)),
      AND(P3875="Inner Centre Jamb", OR(Enginuity!$B$13=4, Enginuity!$B$13=6)),
      AND(
        LEFT(P3875,5)&lt;&gt;"1-Way",
        LEFT(P3875,5)&lt;&gt;"2-Way",
        LEFT(P3875,5)&lt;&gt;"3-Way",
        P3875&lt;&gt;"Inner Centre Jamb"
      )
    ),
    IF(OR(Enginuity!$A$1="Frameless Glass",Enginuity!$A$1="Metal Work"),
      AND(TRIM(B3875)=TRIM(Enginuity!$A$17),TRIM(C3875)=TRIM(Enginuity!$A$18)),
      TRIM(B3875)=TRIM(Enginuity!$A$17)
    )
  ),
  ROW(),
  ""
)</f>
        <v/>
      </c>
    </row>
    <row r="3876" spans="21:21" x14ac:dyDescent="0.25">
      <c r="U3876" s="104" t="str">
        <f>IF(
  AND(
    TRIM(A3876)=TRIM(Enginuity!$A$1),
    TRIM(B3876)=TRIM(Enginuity!$A$17),
    Q3876&lt;&gt;"",
    Q3876&lt;&gt;0,
    OR(
      TRIM(C3876)=TRIM(Enginuity!$A$18),
      AND(UPPER(TRIM(M3876))="STD", TRIM(B3876)=TRIM(Enginuity!$A$17))
    ),
    OR(
      AND(LEFT(P3876,5)="1-Way", Enginuity!$B$13=1),
      AND(LEFT(P3876,5)="2-Way", OR(Enginuity!$B$13=2, Enginuity!$B$13=4)),
      AND(LEFT(P3876,5)="3-Way", OR(Enginuity!$B$13=3, Enginuity!$B$13=6)),
      AND(P3876="Inner Centre Jamb", OR(Enginuity!$B$13=4, Enginuity!$B$13=6)),
      AND(
        LEFT(P3876,5)&lt;&gt;"1-Way",
        LEFT(P3876,5)&lt;&gt;"2-Way",
        LEFT(P3876,5)&lt;&gt;"3-Way",
        P3876&lt;&gt;"Inner Centre Jamb"
      )
    ),
    IF(OR(Enginuity!$A$1="Frameless Glass",Enginuity!$A$1="Metal Work"),
      AND(TRIM(B3876)=TRIM(Enginuity!$A$17),TRIM(C3876)=TRIM(Enginuity!$A$18)),
      TRIM(B3876)=TRIM(Enginuity!$A$17)
    )
  ),
  ROW(),
  ""
)</f>
        <v/>
      </c>
    </row>
    <row r="3877" spans="21:21" x14ac:dyDescent="0.25">
      <c r="U3877" s="104" t="str">
        <f>IF(
  AND(
    TRIM(A3877)=TRIM(Enginuity!$A$1),
    TRIM(B3877)=TRIM(Enginuity!$A$17),
    Q3877&lt;&gt;"",
    Q3877&lt;&gt;0,
    OR(
      TRIM(C3877)=TRIM(Enginuity!$A$18),
      AND(UPPER(TRIM(M3877))="STD", TRIM(B3877)=TRIM(Enginuity!$A$17))
    ),
    OR(
      AND(LEFT(P3877,5)="1-Way", Enginuity!$B$13=1),
      AND(LEFT(P3877,5)="2-Way", OR(Enginuity!$B$13=2, Enginuity!$B$13=4)),
      AND(LEFT(P3877,5)="3-Way", OR(Enginuity!$B$13=3, Enginuity!$B$13=6)),
      AND(P3877="Inner Centre Jamb", OR(Enginuity!$B$13=4, Enginuity!$B$13=6)),
      AND(
        LEFT(P3877,5)&lt;&gt;"1-Way",
        LEFT(P3877,5)&lt;&gt;"2-Way",
        LEFT(P3877,5)&lt;&gt;"3-Way",
        P3877&lt;&gt;"Inner Centre Jamb"
      )
    ),
    IF(OR(Enginuity!$A$1="Frameless Glass",Enginuity!$A$1="Metal Work"),
      AND(TRIM(B3877)=TRIM(Enginuity!$A$17),TRIM(C3877)=TRIM(Enginuity!$A$18)),
      TRIM(B3877)=TRIM(Enginuity!$A$17)
    )
  ),
  ROW(),
  ""
)</f>
        <v/>
      </c>
    </row>
    <row r="3878" spans="21:21" x14ac:dyDescent="0.25">
      <c r="U3878" s="104" t="str">
        <f>IF(
  AND(
    TRIM(A3878)=TRIM(Enginuity!$A$1),
    TRIM(B3878)=TRIM(Enginuity!$A$17),
    Q3878&lt;&gt;"",
    Q3878&lt;&gt;0,
    OR(
      TRIM(C3878)=TRIM(Enginuity!$A$18),
      AND(UPPER(TRIM(M3878))="STD", TRIM(B3878)=TRIM(Enginuity!$A$17))
    ),
    OR(
      AND(LEFT(P3878,5)="1-Way", Enginuity!$B$13=1),
      AND(LEFT(P3878,5)="2-Way", OR(Enginuity!$B$13=2, Enginuity!$B$13=4)),
      AND(LEFT(P3878,5)="3-Way", OR(Enginuity!$B$13=3, Enginuity!$B$13=6)),
      AND(P3878="Inner Centre Jamb", OR(Enginuity!$B$13=4, Enginuity!$B$13=6)),
      AND(
        LEFT(P3878,5)&lt;&gt;"1-Way",
        LEFT(P3878,5)&lt;&gt;"2-Way",
        LEFT(P3878,5)&lt;&gt;"3-Way",
        P3878&lt;&gt;"Inner Centre Jamb"
      )
    ),
    IF(OR(Enginuity!$A$1="Frameless Glass",Enginuity!$A$1="Metal Work"),
      AND(TRIM(B3878)=TRIM(Enginuity!$A$17),TRIM(C3878)=TRIM(Enginuity!$A$18)),
      TRIM(B3878)=TRIM(Enginuity!$A$17)
    )
  ),
  ROW(),
  ""
)</f>
        <v/>
      </c>
    </row>
    <row r="3879" spans="21:21" x14ac:dyDescent="0.25">
      <c r="U3879" s="104" t="str">
        <f>IF(
  AND(
    TRIM(A3879)=TRIM(Enginuity!$A$1),
    TRIM(B3879)=TRIM(Enginuity!$A$17),
    Q3879&lt;&gt;"",
    Q3879&lt;&gt;0,
    OR(
      TRIM(C3879)=TRIM(Enginuity!$A$18),
      AND(UPPER(TRIM(M3879))="STD", TRIM(B3879)=TRIM(Enginuity!$A$17))
    ),
    OR(
      AND(LEFT(P3879,5)="1-Way", Enginuity!$B$13=1),
      AND(LEFT(P3879,5)="2-Way", OR(Enginuity!$B$13=2, Enginuity!$B$13=4)),
      AND(LEFT(P3879,5)="3-Way", OR(Enginuity!$B$13=3, Enginuity!$B$13=6)),
      AND(P3879="Inner Centre Jamb", OR(Enginuity!$B$13=4, Enginuity!$B$13=6)),
      AND(
        LEFT(P3879,5)&lt;&gt;"1-Way",
        LEFT(P3879,5)&lt;&gt;"2-Way",
        LEFT(P3879,5)&lt;&gt;"3-Way",
        P3879&lt;&gt;"Inner Centre Jamb"
      )
    ),
    IF(OR(Enginuity!$A$1="Frameless Glass",Enginuity!$A$1="Metal Work"),
      AND(TRIM(B3879)=TRIM(Enginuity!$A$17),TRIM(C3879)=TRIM(Enginuity!$A$18)),
      TRIM(B3879)=TRIM(Enginuity!$A$17)
    )
  ),
  ROW(),
  ""
)</f>
        <v/>
      </c>
    </row>
    <row r="3880" spans="21:21" x14ac:dyDescent="0.25">
      <c r="U3880" s="104" t="str">
        <f>IF(
  AND(
    TRIM(A3880)=TRIM(Enginuity!$A$1),
    TRIM(B3880)=TRIM(Enginuity!$A$17),
    Q3880&lt;&gt;"",
    Q3880&lt;&gt;0,
    OR(
      TRIM(C3880)=TRIM(Enginuity!$A$18),
      AND(UPPER(TRIM(M3880))="STD", TRIM(B3880)=TRIM(Enginuity!$A$17))
    ),
    OR(
      AND(LEFT(P3880,5)="1-Way", Enginuity!$B$13=1),
      AND(LEFT(P3880,5)="2-Way", OR(Enginuity!$B$13=2, Enginuity!$B$13=4)),
      AND(LEFT(P3880,5)="3-Way", OR(Enginuity!$B$13=3, Enginuity!$B$13=6)),
      AND(P3880="Inner Centre Jamb", OR(Enginuity!$B$13=4, Enginuity!$B$13=6)),
      AND(
        LEFT(P3880,5)&lt;&gt;"1-Way",
        LEFT(P3880,5)&lt;&gt;"2-Way",
        LEFT(P3880,5)&lt;&gt;"3-Way",
        P3880&lt;&gt;"Inner Centre Jamb"
      )
    ),
    IF(OR(Enginuity!$A$1="Frameless Glass",Enginuity!$A$1="Metal Work"),
      AND(TRIM(B3880)=TRIM(Enginuity!$A$17),TRIM(C3880)=TRIM(Enginuity!$A$18)),
      TRIM(B3880)=TRIM(Enginuity!$A$17)
    )
  ),
  ROW(),
  ""
)</f>
        <v/>
      </c>
    </row>
    <row r="3881" spans="21:21" x14ac:dyDescent="0.25">
      <c r="U3881" s="104" t="str">
        <f>IF(
  AND(
    TRIM(A3881)=TRIM(Enginuity!$A$1),
    TRIM(B3881)=TRIM(Enginuity!$A$17),
    Q3881&lt;&gt;"",
    Q3881&lt;&gt;0,
    OR(
      TRIM(C3881)=TRIM(Enginuity!$A$18),
      AND(UPPER(TRIM(M3881))="STD", TRIM(B3881)=TRIM(Enginuity!$A$17))
    ),
    OR(
      AND(LEFT(P3881,5)="1-Way", Enginuity!$B$13=1),
      AND(LEFT(P3881,5)="2-Way", OR(Enginuity!$B$13=2, Enginuity!$B$13=4)),
      AND(LEFT(P3881,5)="3-Way", OR(Enginuity!$B$13=3, Enginuity!$B$13=6)),
      AND(P3881="Inner Centre Jamb", OR(Enginuity!$B$13=4, Enginuity!$B$13=6)),
      AND(
        LEFT(P3881,5)&lt;&gt;"1-Way",
        LEFT(P3881,5)&lt;&gt;"2-Way",
        LEFT(P3881,5)&lt;&gt;"3-Way",
        P3881&lt;&gt;"Inner Centre Jamb"
      )
    ),
    IF(OR(Enginuity!$A$1="Frameless Glass",Enginuity!$A$1="Metal Work"),
      AND(TRIM(B3881)=TRIM(Enginuity!$A$17),TRIM(C3881)=TRIM(Enginuity!$A$18)),
      TRIM(B3881)=TRIM(Enginuity!$A$17)
    )
  ),
  ROW(),
  ""
)</f>
        <v/>
      </c>
    </row>
    <row r="3882" spans="21:21" x14ac:dyDescent="0.25">
      <c r="U3882" s="104" t="str">
        <f>IF(
  AND(
    TRIM(A3882)=TRIM(Enginuity!$A$1),
    TRIM(B3882)=TRIM(Enginuity!$A$17),
    Q3882&lt;&gt;"",
    Q3882&lt;&gt;0,
    OR(
      TRIM(C3882)=TRIM(Enginuity!$A$18),
      AND(UPPER(TRIM(M3882))="STD", TRIM(B3882)=TRIM(Enginuity!$A$17))
    ),
    OR(
      AND(LEFT(P3882,5)="1-Way", Enginuity!$B$13=1),
      AND(LEFT(P3882,5)="2-Way", OR(Enginuity!$B$13=2, Enginuity!$B$13=4)),
      AND(LEFT(P3882,5)="3-Way", OR(Enginuity!$B$13=3, Enginuity!$B$13=6)),
      AND(P3882="Inner Centre Jamb", OR(Enginuity!$B$13=4, Enginuity!$B$13=6)),
      AND(
        LEFT(P3882,5)&lt;&gt;"1-Way",
        LEFT(P3882,5)&lt;&gt;"2-Way",
        LEFT(P3882,5)&lt;&gt;"3-Way",
        P3882&lt;&gt;"Inner Centre Jamb"
      )
    ),
    IF(OR(Enginuity!$A$1="Frameless Glass",Enginuity!$A$1="Metal Work"),
      AND(TRIM(B3882)=TRIM(Enginuity!$A$17),TRIM(C3882)=TRIM(Enginuity!$A$18)),
      TRIM(B3882)=TRIM(Enginuity!$A$17)
    )
  ),
  ROW(),
  ""
)</f>
        <v/>
      </c>
    </row>
    <row r="3883" spans="21:21" x14ac:dyDescent="0.25">
      <c r="U3883" s="104" t="str">
        <f>IF(
  AND(
    TRIM(A3883)=TRIM(Enginuity!$A$1),
    TRIM(B3883)=TRIM(Enginuity!$A$17),
    Q3883&lt;&gt;"",
    Q3883&lt;&gt;0,
    OR(
      TRIM(C3883)=TRIM(Enginuity!$A$18),
      AND(UPPER(TRIM(M3883))="STD", TRIM(B3883)=TRIM(Enginuity!$A$17))
    ),
    OR(
      AND(LEFT(P3883,5)="1-Way", Enginuity!$B$13=1),
      AND(LEFT(P3883,5)="2-Way", OR(Enginuity!$B$13=2, Enginuity!$B$13=4)),
      AND(LEFT(P3883,5)="3-Way", OR(Enginuity!$B$13=3, Enginuity!$B$13=6)),
      AND(P3883="Inner Centre Jamb", OR(Enginuity!$B$13=4, Enginuity!$B$13=6)),
      AND(
        LEFT(P3883,5)&lt;&gt;"1-Way",
        LEFT(P3883,5)&lt;&gt;"2-Way",
        LEFT(P3883,5)&lt;&gt;"3-Way",
        P3883&lt;&gt;"Inner Centre Jamb"
      )
    ),
    IF(OR(Enginuity!$A$1="Frameless Glass",Enginuity!$A$1="Metal Work"),
      AND(TRIM(B3883)=TRIM(Enginuity!$A$17),TRIM(C3883)=TRIM(Enginuity!$A$18)),
      TRIM(B3883)=TRIM(Enginuity!$A$17)
    )
  ),
  ROW(),
  ""
)</f>
        <v/>
      </c>
    </row>
    <row r="3884" spans="21:21" x14ac:dyDescent="0.25">
      <c r="U3884" s="104" t="str">
        <f>IF(
  AND(
    TRIM(A3884)=TRIM(Enginuity!$A$1),
    TRIM(B3884)=TRIM(Enginuity!$A$17),
    Q3884&lt;&gt;"",
    Q3884&lt;&gt;0,
    OR(
      TRIM(C3884)=TRIM(Enginuity!$A$18),
      AND(UPPER(TRIM(M3884))="STD", TRIM(B3884)=TRIM(Enginuity!$A$17))
    ),
    OR(
      AND(LEFT(P3884,5)="1-Way", Enginuity!$B$13=1),
      AND(LEFT(P3884,5)="2-Way", OR(Enginuity!$B$13=2, Enginuity!$B$13=4)),
      AND(LEFT(P3884,5)="3-Way", OR(Enginuity!$B$13=3, Enginuity!$B$13=6)),
      AND(P3884="Inner Centre Jamb", OR(Enginuity!$B$13=4, Enginuity!$B$13=6)),
      AND(
        LEFT(P3884,5)&lt;&gt;"1-Way",
        LEFT(P3884,5)&lt;&gt;"2-Way",
        LEFT(P3884,5)&lt;&gt;"3-Way",
        P3884&lt;&gt;"Inner Centre Jamb"
      )
    ),
    IF(OR(Enginuity!$A$1="Frameless Glass",Enginuity!$A$1="Metal Work"),
      AND(TRIM(B3884)=TRIM(Enginuity!$A$17),TRIM(C3884)=TRIM(Enginuity!$A$18)),
      TRIM(B3884)=TRIM(Enginuity!$A$17)
    )
  ),
  ROW(),
  ""
)</f>
        <v/>
      </c>
    </row>
    <row r="3885" spans="21:21" x14ac:dyDescent="0.25">
      <c r="U3885" s="104" t="str">
        <f>IF(
  AND(
    TRIM(A3885)=TRIM(Enginuity!$A$1),
    TRIM(B3885)=TRIM(Enginuity!$A$17),
    Q3885&lt;&gt;"",
    Q3885&lt;&gt;0,
    OR(
      TRIM(C3885)=TRIM(Enginuity!$A$18),
      AND(UPPER(TRIM(M3885))="STD", TRIM(B3885)=TRIM(Enginuity!$A$17))
    ),
    OR(
      AND(LEFT(P3885,5)="1-Way", Enginuity!$B$13=1),
      AND(LEFT(P3885,5)="2-Way", OR(Enginuity!$B$13=2, Enginuity!$B$13=4)),
      AND(LEFT(P3885,5)="3-Way", OR(Enginuity!$B$13=3, Enginuity!$B$13=6)),
      AND(P3885="Inner Centre Jamb", OR(Enginuity!$B$13=4, Enginuity!$B$13=6)),
      AND(
        LEFT(P3885,5)&lt;&gt;"1-Way",
        LEFT(P3885,5)&lt;&gt;"2-Way",
        LEFT(P3885,5)&lt;&gt;"3-Way",
        P3885&lt;&gt;"Inner Centre Jamb"
      )
    ),
    IF(OR(Enginuity!$A$1="Frameless Glass",Enginuity!$A$1="Metal Work"),
      AND(TRIM(B3885)=TRIM(Enginuity!$A$17),TRIM(C3885)=TRIM(Enginuity!$A$18)),
      TRIM(B3885)=TRIM(Enginuity!$A$17)
    )
  ),
  ROW(),
  ""
)</f>
        <v/>
      </c>
    </row>
    <row r="3886" spans="21:21" x14ac:dyDescent="0.25">
      <c r="U3886" s="104" t="str">
        <f>IF(
  AND(
    TRIM(A3886)=TRIM(Enginuity!$A$1),
    TRIM(B3886)=TRIM(Enginuity!$A$17),
    Q3886&lt;&gt;"",
    Q3886&lt;&gt;0,
    OR(
      TRIM(C3886)=TRIM(Enginuity!$A$18),
      AND(UPPER(TRIM(M3886))="STD", TRIM(B3886)=TRIM(Enginuity!$A$17))
    ),
    OR(
      AND(LEFT(P3886,5)="1-Way", Enginuity!$B$13=1),
      AND(LEFT(P3886,5)="2-Way", OR(Enginuity!$B$13=2, Enginuity!$B$13=4)),
      AND(LEFT(P3886,5)="3-Way", OR(Enginuity!$B$13=3, Enginuity!$B$13=6)),
      AND(P3886="Inner Centre Jamb", OR(Enginuity!$B$13=4, Enginuity!$B$13=6)),
      AND(
        LEFT(P3886,5)&lt;&gt;"1-Way",
        LEFT(P3886,5)&lt;&gt;"2-Way",
        LEFT(P3886,5)&lt;&gt;"3-Way",
        P3886&lt;&gt;"Inner Centre Jamb"
      )
    ),
    IF(OR(Enginuity!$A$1="Frameless Glass",Enginuity!$A$1="Metal Work"),
      AND(TRIM(B3886)=TRIM(Enginuity!$A$17),TRIM(C3886)=TRIM(Enginuity!$A$18)),
      TRIM(B3886)=TRIM(Enginuity!$A$17)
    )
  ),
  ROW(),
  ""
)</f>
        <v/>
      </c>
    </row>
    <row r="3887" spans="21:21" x14ac:dyDescent="0.25">
      <c r="U3887" s="104" t="str">
        <f>IF(
  AND(
    TRIM(A3887)=TRIM(Enginuity!$A$1),
    TRIM(B3887)=TRIM(Enginuity!$A$17),
    Q3887&lt;&gt;"",
    Q3887&lt;&gt;0,
    OR(
      TRIM(C3887)=TRIM(Enginuity!$A$18),
      AND(UPPER(TRIM(M3887))="STD", TRIM(B3887)=TRIM(Enginuity!$A$17))
    ),
    OR(
      AND(LEFT(P3887,5)="1-Way", Enginuity!$B$13=1),
      AND(LEFT(P3887,5)="2-Way", OR(Enginuity!$B$13=2, Enginuity!$B$13=4)),
      AND(LEFT(P3887,5)="3-Way", OR(Enginuity!$B$13=3, Enginuity!$B$13=6)),
      AND(P3887="Inner Centre Jamb", OR(Enginuity!$B$13=4, Enginuity!$B$13=6)),
      AND(
        LEFT(P3887,5)&lt;&gt;"1-Way",
        LEFT(P3887,5)&lt;&gt;"2-Way",
        LEFT(P3887,5)&lt;&gt;"3-Way",
        P3887&lt;&gt;"Inner Centre Jamb"
      )
    ),
    IF(OR(Enginuity!$A$1="Frameless Glass",Enginuity!$A$1="Metal Work"),
      AND(TRIM(B3887)=TRIM(Enginuity!$A$17),TRIM(C3887)=TRIM(Enginuity!$A$18)),
      TRIM(B3887)=TRIM(Enginuity!$A$17)
    )
  ),
  ROW(),
  ""
)</f>
        <v/>
      </c>
    </row>
    <row r="3888" spans="21:21" x14ac:dyDescent="0.25">
      <c r="U3888" s="104" t="str">
        <f>IF(
  AND(
    TRIM(A3888)=TRIM(Enginuity!$A$1),
    TRIM(B3888)=TRIM(Enginuity!$A$17),
    Q3888&lt;&gt;"",
    Q3888&lt;&gt;0,
    OR(
      TRIM(C3888)=TRIM(Enginuity!$A$18),
      AND(UPPER(TRIM(M3888))="STD", TRIM(B3888)=TRIM(Enginuity!$A$17))
    ),
    OR(
      AND(LEFT(P3888,5)="1-Way", Enginuity!$B$13=1),
      AND(LEFT(P3888,5)="2-Way", OR(Enginuity!$B$13=2, Enginuity!$B$13=4)),
      AND(LEFT(P3888,5)="3-Way", OR(Enginuity!$B$13=3, Enginuity!$B$13=6)),
      AND(P3888="Inner Centre Jamb", OR(Enginuity!$B$13=4, Enginuity!$B$13=6)),
      AND(
        LEFT(P3888,5)&lt;&gt;"1-Way",
        LEFT(P3888,5)&lt;&gt;"2-Way",
        LEFT(P3888,5)&lt;&gt;"3-Way",
        P3888&lt;&gt;"Inner Centre Jamb"
      )
    ),
    IF(OR(Enginuity!$A$1="Frameless Glass",Enginuity!$A$1="Metal Work"),
      AND(TRIM(B3888)=TRIM(Enginuity!$A$17),TRIM(C3888)=TRIM(Enginuity!$A$18)),
      TRIM(B3888)=TRIM(Enginuity!$A$17)
    )
  ),
  ROW(),
  ""
)</f>
        <v/>
      </c>
    </row>
    <row r="3889" spans="21:21" x14ac:dyDescent="0.25">
      <c r="U3889" s="104" t="str">
        <f>IF(
  AND(
    TRIM(A3889)=TRIM(Enginuity!$A$1),
    TRIM(B3889)=TRIM(Enginuity!$A$17),
    Q3889&lt;&gt;"",
    Q3889&lt;&gt;0,
    OR(
      TRIM(C3889)=TRIM(Enginuity!$A$18),
      AND(UPPER(TRIM(M3889))="STD", TRIM(B3889)=TRIM(Enginuity!$A$17))
    ),
    OR(
      AND(LEFT(P3889,5)="1-Way", Enginuity!$B$13=1),
      AND(LEFT(P3889,5)="2-Way", OR(Enginuity!$B$13=2, Enginuity!$B$13=4)),
      AND(LEFT(P3889,5)="3-Way", OR(Enginuity!$B$13=3, Enginuity!$B$13=6)),
      AND(P3889="Inner Centre Jamb", OR(Enginuity!$B$13=4, Enginuity!$B$13=6)),
      AND(
        LEFT(P3889,5)&lt;&gt;"1-Way",
        LEFT(P3889,5)&lt;&gt;"2-Way",
        LEFT(P3889,5)&lt;&gt;"3-Way",
        P3889&lt;&gt;"Inner Centre Jamb"
      )
    ),
    IF(OR(Enginuity!$A$1="Frameless Glass",Enginuity!$A$1="Metal Work"),
      AND(TRIM(B3889)=TRIM(Enginuity!$A$17),TRIM(C3889)=TRIM(Enginuity!$A$18)),
      TRIM(B3889)=TRIM(Enginuity!$A$17)
    )
  ),
  ROW(),
  ""
)</f>
        <v/>
      </c>
    </row>
    <row r="3890" spans="21:21" x14ac:dyDescent="0.25">
      <c r="U3890" s="104" t="str">
        <f>IF(
  AND(
    TRIM(A3890)=TRIM(Enginuity!$A$1),
    TRIM(B3890)=TRIM(Enginuity!$A$17),
    Q3890&lt;&gt;"",
    Q3890&lt;&gt;0,
    OR(
      TRIM(C3890)=TRIM(Enginuity!$A$18),
      AND(UPPER(TRIM(M3890))="STD", TRIM(B3890)=TRIM(Enginuity!$A$17))
    ),
    OR(
      AND(LEFT(P3890,5)="1-Way", Enginuity!$B$13=1),
      AND(LEFT(P3890,5)="2-Way", OR(Enginuity!$B$13=2, Enginuity!$B$13=4)),
      AND(LEFT(P3890,5)="3-Way", OR(Enginuity!$B$13=3, Enginuity!$B$13=6)),
      AND(P3890="Inner Centre Jamb", OR(Enginuity!$B$13=4, Enginuity!$B$13=6)),
      AND(
        LEFT(P3890,5)&lt;&gt;"1-Way",
        LEFT(P3890,5)&lt;&gt;"2-Way",
        LEFT(P3890,5)&lt;&gt;"3-Way",
        P3890&lt;&gt;"Inner Centre Jamb"
      )
    ),
    IF(OR(Enginuity!$A$1="Frameless Glass",Enginuity!$A$1="Metal Work"),
      AND(TRIM(B3890)=TRIM(Enginuity!$A$17),TRIM(C3890)=TRIM(Enginuity!$A$18)),
      TRIM(B3890)=TRIM(Enginuity!$A$17)
    )
  ),
  ROW(),
  ""
)</f>
        <v/>
      </c>
    </row>
    <row r="3891" spans="21:21" x14ac:dyDescent="0.25">
      <c r="U3891" s="104" t="str">
        <f>IF(
  AND(
    TRIM(A3891)=TRIM(Enginuity!$A$1),
    TRIM(B3891)=TRIM(Enginuity!$A$17),
    Q3891&lt;&gt;"",
    Q3891&lt;&gt;0,
    OR(
      TRIM(C3891)=TRIM(Enginuity!$A$18),
      AND(UPPER(TRIM(M3891))="STD", TRIM(B3891)=TRIM(Enginuity!$A$17))
    ),
    OR(
      AND(LEFT(P3891,5)="1-Way", Enginuity!$B$13=1),
      AND(LEFT(P3891,5)="2-Way", OR(Enginuity!$B$13=2, Enginuity!$B$13=4)),
      AND(LEFT(P3891,5)="3-Way", OR(Enginuity!$B$13=3, Enginuity!$B$13=6)),
      AND(P3891="Inner Centre Jamb", OR(Enginuity!$B$13=4, Enginuity!$B$13=6)),
      AND(
        LEFT(P3891,5)&lt;&gt;"1-Way",
        LEFT(P3891,5)&lt;&gt;"2-Way",
        LEFT(P3891,5)&lt;&gt;"3-Way",
        P3891&lt;&gt;"Inner Centre Jamb"
      )
    ),
    IF(OR(Enginuity!$A$1="Frameless Glass",Enginuity!$A$1="Metal Work"),
      AND(TRIM(B3891)=TRIM(Enginuity!$A$17),TRIM(C3891)=TRIM(Enginuity!$A$18)),
      TRIM(B3891)=TRIM(Enginuity!$A$17)
    )
  ),
  ROW(),
  ""
)</f>
        <v/>
      </c>
    </row>
    <row r="3892" spans="21:21" x14ac:dyDescent="0.25">
      <c r="U3892" s="104" t="str">
        <f>IF(
  AND(
    TRIM(A3892)=TRIM(Enginuity!$A$1),
    TRIM(B3892)=TRIM(Enginuity!$A$17),
    Q3892&lt;&gt;"",
    Q3892&lt;&gt;0,
    OR(
      TRIM(C3892)=TRIM(Enginuity!$A$18),
      AND(UPPER(TRIM(M3892))="STD", TRIM(B3892)=TRIM(Enginuity!$A$17))
    ),
    OR(
      AND(LEFT(P3892,5)="1-Way", Enginuity!$B$13=1),
      AND(LEFT(P3892,5)="2-Way", OR(Enginuity!$B$13=2, Enginuity!$B$13=4)),
      AND(LEFT(P3892,5)="3-Way", OR(Enginuity!$B$13=3, Enginuity!$B$13=6)),
      AND(P3892="Inner Centre Jamb", OR(Enginuity!$B$13=4, Enginuity!$B$13=6)),
      AND(
        LEFT(P3892,5)&lt;&gt;"1-Way",
        LEFT(P3892,5)&lt;&gt;"2-Way",
        LEFT(P3892,5)&lt;&gt;"3-Way",
        P3892&lt;&gt;"Inner Centre Jamb"
      )
    ),
    IF(OR(Enginuity!$A$1="Frameless Glass",Enginuity!$A$1="Metal Work"),
      AND(TRIM(B3892)=TRIM(Enginuity!$A$17),TRIM(C3892)=TRIM(Enginuity!$A$18)),
      TRIM(B3892)=TRIM(Enginuity!$A$17)
    )
  ),
  ROW(),
  ""
)</f>
        <v/>
      </c>
    </row>
    <row r="3893" spans="21:21" x14ac:dyDescent="0.25">
      <c r="U3893" s="104" t="str">
        <f>IF(
  AND(
    TRIM(A3893)=TRIM(Enginuity!$A$1),
    TRIM(B3893)=TRIM(Enginuity!$A$17),
    Q3893&lt;&gt;"",
    Q3893&lt;&gt;0,
    OR(
      TRIM(C3893)=TRIM(Enginuity!$A$18),
      AND(UPPER(TRIM(M3893))="STD", TRIM(B3893)=TRIM(Enginuity!$A$17))
    ),
    OR(
      AND(LEFT(P3893,5)="1-Way", Enginuity!$B$13=1),
      AND(LEFT(P3893,5)="2-Way", OR(Enginuity!$B$13=2, Enginuity!$B$13=4)),
      AND(LEFT(P3893,5)="3-Way", OR(Enginuity!$B$13=3, Enginuity!$B$13=6)),
      AND(P3893="Inner Centre Jamb", OR(Enginuity!$B$13=4, Enginuity!$B$13=6)),
      AND(
        LEFT(P3893,5)&lt;&gt;"1-Way",
        LEFT(P3893,5)&lt;&gt;"2-Way",
        LEFT(P3893,5)&lt;&gt;"3-Way",
        P3893&lt;&gt;"Inner Centre Jamb"
      )
    ),
    IF(OR(Enginuity!$A$1="Frameless Glass",Enginuity!$A$1="Metal Work"),
      AND(TRIM(B3893)=TRIM(Enginuity!$A$17),TRIM(C3893)=TRIM(Enginuity!$A$18)),
      TRIM(B3893)=TRIM(Enginuity!$A$17)
    )
  ),
  ROW(),
  ""
)</f>
        <v/>
      </c>
    </row>
    <row r="3894" spans="21:21" x14ac:dyDescent="0.25">
      <c r="U3894" s="104" t="str">
        <f>IF(
  AND(
    TRIM(A3894)=TRIM(Enginuity!$A$1),
    TRIM(B3894)=TRIM(Enginuity!$A$17),
    Q3894&lt;&gt;"",
    Q3894&lt;&gt;0,
    OR(
      TRIM(C3894)=TRIM(Enginuity!$A$18),
      AND(UPPER(TRIM(M3894))="STD", TRIM(B3894)=TRIM(Enginuity!$A$17))
    ),
    OR(
      AND(LEFT(P3894,5)="1-Way", Enginuity!$B$13=1),
      AND(LEFT(P3894,5)="2-Way", OR(Enginuity!$B$13=2, Enginuity!$B$13=4)),
      AND(LEFT(P3894,5)="3-Way", OR(Enginuity!$B$13=3, Enginuity!$B$13=6)),
      AND(P3894="Inner Centre Jamb", OR(Enginuity!$B$13=4, Enginuity!$B$13=6)),
      AND(
        LEFT(P3894,5)&lt;&gt;"1-Way",
        LEFT(P3894,5)&lt;&gt;"2-Way",
        LEFT(P3894,5)&lt;&gt;"3-Way",
        P3894&lt;&gt;"Inner Centre Jamb"
      )
    ),
    IF(OR(Enginuity!$A$1="Frameless Glass",Enginuity!$A$1="Metal Work"),
      AND(TRIM(B3894)=TRIM(Enginuity!$A$17),TRIM(C3894)=TRIM(Enginuity!$A$18)),
      TRIM(B3894)=TRIM(Enginuity!$A$17)
    )
  ),
  ROW(),
  ""
)</f>
        <v/>
      </c>
    </row>
    <row r="3895" spans="21:21" x14ac:dyDescent="0.25">
      <c r="U3895" s="104" t="str">
        <f>IF(
  AND(
    TRIM(A3895)=TRIM(Enginuity!$A$1),
    TRIM(B3895)=TRIM(Enginuity!$A$17),
    Q3895&lt;&gt;"",
    Q3895&lt;&gt;0,
    OR(
      TRIM(C3895)=TRIM(Enginuity!$A$18),
      AND(UPPER(TRIM(M3895))="STD", TRIM(B3895)=TRIM(Enginuity!$A$17))
    ),
    OR(
      AND(LEFT(P3895,5)="1-Way", Enginuity!$B$13=1),
      AND(LEFT(P3895,5)="2-Way", OR(Enginuity!$B$13=2, Enginuity!$B$13=4)),
      AND(LEFT(P3895,5)="3-Way", OR(Enginuity!$B$13=3, Enginuity!$B$13=6)),
      AND(P3895="Inner Centre Jamb", OR(Enginuity!$B$13=4, Enginuity!$B$13=6)),
      AND(
        LEFT(P3895,5)&lt;&gt;"1-Way",
        LEFT(P3895,5)&lt;&gt;"2-Way",
        LEFT(P3895,5)&lt;&gt;"3-Way",
        P3895&lt;&gt;"Inner Centre Jamb"
      )
    ),
    IF(OR(Enginuity!$A$1="Frameless Glass",Enginuity!$A$1="Metal Work"),
      AND(TRIM(B3895)=TRIM(Enginuity!$A$17),TRIM(C3895)=TRIM(Enginuity!$A$18)),
      TRIM(B3895)=TRIM(Enginuity!$A$17)
    )
  ),
  ROW(),
  ""
)</f>
        <v/>
      </c>
    </row>
    <row r="3896" spans="21:21" x14ac:dyDescent="0.25">
      <c r="U3896" s="104" t="str">
        <f>IF(
  AND(
    TRIM(A3896)=TRIM(Enginuity!$A$1),
    TRIM(B3896)=TRIM(Enginuity!$A$17),
    Q3896&lt;&gt;"",
    Q3896&lt;&gt;0,
    OR(
      TRIM(C3896)=TRIM(Enginuity!$A$18),
      AND(UPPER(TRIM(M3896))="STD", TRIM(B3896)=TRIM(Enginuity!$A$17))
    ),
    OR(
      AND(LEFT(P3896,5)="1-Way", Enginuity!$B$13=1),
      AND(LEFT(P3896,5)="2-Way", OR(Enginuity!$B$13=2, Enginuity!$B$13=4)),
      AND(LEFT(P3896,5)="3-Way", OR(Enginuity!$B$13=3, Enginuity!$B$13=6)),
      AND(P3896="Inner Centre Jamb", OR(Enginuity!$B$13=4, Enginuity!$B$13=6)),
      AND(
        LEFT(P3896,5)&lt;&gt;"1-Way",
        LEFT(P3896,5)&lt;&gt;"2-Way",
        LEFT(P3896,5)&lt;&gt;"3-Way",
        P3896&lt;&gt;"Inner Centre Jamb"
      )
    ),
    IF(OR(Enginuity!$A$1="Frameless Glass",Enginuity!$A$1="Metal Work"),
      AND(TRIM(B3896)=TRIM(Enginuity!$A$17),TRIM(C3896)=TRIM(Enginuity!$A$18)),
      TRIM(B3896)=TRIM(Enginuity!$A$17)
    )
  ),
  ROW(),
  ""
)</f>
        <v/>
      </c>
    </row>
    <row r="3897" spans="21:21" x14ac:dyDescent="0.25">
      <c r="U3897" s="104" t="str">
        <f>IF(
  AND(
    TRIM(A3897)=TRIM(Enginuity!$A$1),
    TRIM(B3897)=TRIM(Enginuity!$A$17),
    Q3897&lt;&gt;"",
    Q3897&lt;&gt;0,
    OR(
      TRIM(C3897)=TRIM(Enginuity!$A$18),
      AND(UPPER(TRIM(M3897))="STD", TRIM(B3897)=TRIM(Enginuity!$A$17))
    ),
    OR(
      AND(LEFT(P3897,5)="1-Way", Enginuity!$B$13=1),
      AND(LEFT(P3897,5)="2-Way", OR(Enginuity!$B$13=2, Enginuity!$B$13=4)),
      AND(LEFT(P3897,5)="3-Way", OR(Enginuity!$B$13=3, Enginuity!$B$13=6)),
      AND(P3897="Inner Centre Jamb", OR(Enginuity!$B$13=4, Enginuity!$B$13=6)),
      AND(
        LEFT(P3897,5)&lt;&gt;"1-Way",
        LEFT(P3897,5)&lt;&gt;"2-Way",
        LEFT(P3897,5)&lt;&gt;"3-Way",
        P3897&lt;&gt;"Inner Centre Jamb"
      )
    ),
    IF(OR(Enginuity!$A$1="Frameless Glass",Enginuity!$A$1="Metal Work"),
      AND(TRIM(B3897)=TRIM(Enginuity!$A$17),TRIM(C3897)=TRIM(Enginuity!$A$18)),
      TRIM(B3897)=TRIM(Enginuity!$A$17)
    )
  ),
  ROW(),
  ""
)</f>
        <v/>
      </c>
    </row>
    <row r="3898" spans="21:21" x14ac:dyDescent="0.25">
      <c r="U3898" s="104" t="str">
        <f>IF(
  AND(
    TRIM(A3898)=TRIM(Enginuity!$A$1),
    TRIM(B3898)=TRIM(Enginuity!$A$17),
    Q3898&lt;&gt;"",
    Q3898&lt;&gt;0,
    OR(
      TRIM(C3898)=TRIM(Enginuity!$A$18),
      AND(UPPER(TRIM(M3898))="STD", TRIM(B3898)=TRIM(Enginuity!$A$17))
    ),
    OR(
      AND(LEFT(P3898,5)="1-Way", Enginuity!$B$13=1),
      AND(LEFT(P3898,5)="2-Way", OR(Enginuity!$B$13=2, Enginuity!$B$13=4)),
      AND(LEFT(P3898,5)="3-Way", OR(Enginuity!$B$13=3, Enginuity!$B$13=6)),
      AND(P3898="Inner Centre Jamb", OR(Enginuity!$B$13=4, Enginuity!$B$13=6)),
      AND(
        LEFT(P3898,5)&lt;&gt;"1-Way",
        LEFT(P3898,5)&lt;&gt;"2-Way",
        LEFT(P3898,5)&lt;&gt;"3-Way",
        P3898&lt;&gt;"Inner Centre Jamb"
      )
    ),
    IF(OR(Enginuity!$A$1="Frameless Glass",Enginuity!$A$1="Metal Work"),
      AND(TRIM(B3898)=TRIM(Enginuity!$A$17),TRIM(C3898)=TRIM(Enginuity!$A$18)),
      TRIM(B3898)=TRIM(Enginuity!$A$17)
    )
  ),
  ROW(),
  ""
)</f>
        <v/>
      </c>
    </row>
    <row r="3899" spans="21:21" x14ac:dyDescent="0.25">
      <c r="U3899" s="104" t="str">
        <f>IF(
  AND(
    TRIM(A3899)=TRIM(Enginuity!$A$1),
    TRIM(B3899)=TRIM(Enginuity!$A$17),
    Q3899&lt;&gt;"",
    Q3899&lt;&gt;0,
    OR(
      TRIM(C3899)=TRIM(Enginuity!$A$18),
      AND(UPPER(TRIM(M3899))="STD", TRIM(B3899)=TRIM(Enginuity!$A$17))
    ),
    OR(
      AND(LEFT(P3899,5)="1-Way", Enginuity!$B$13=1),
      AND(LEFT(P3899,5)="2-Way", OR(Enginuity!$B$13=2, Enginuity!$B$13=4)),
      AND(LEFT(P3899,5)="3-Way", OR(Enginuity!$B$13=3, Enginuity!$B$13=6)),
      AND(P3899="Inner Centre Jamb", OR(Enginuity!$B$13=4, Enginuity!$B$13=6)),
      AND(
        LEFT(P3899,5)&lt;&gt;"1-Way",
        LEFT(P3899,5)&lt;&gt;"2-Way",
        LEFT(P3899,5)&lt;&gt;"3-Way",
        P3899&lt;&gt;"Inner Centre Jamb"
      )
    ),
    IF(OR(Enginuity!$A$1="Frameless Glass",Enginuity!$A$1="Metal Work"),
      AND(TRIM(B3899)=TRIM(Enginuity!$A$17),TRIM(C3899)=TRIM(Enginuity!$A$18)),
      TRIM(B3899)=TRIM(Enginuity!$A$17)
    )
  ),
  ROW(),
  ""
)</f>
        <v/>
      </c>
    </row>
    <row r="3900" spans="21:21" x14ac:dyDescent="0.25">
      <c r="U3900" s="104" t="str">
        <f>IF(
  AND(
    TRIM(A3900)=TRIM(Enginuity!$A$1),
    TRIM(B3900)=TRIM(Enginuity!$A$17),
    Q3900&lt;&gt;"",
    Q3900&lt;&gt;0,
    OR(
      TRIM(C3900)=TRIM(Enginuity!$A$18),
      AND(UPPER(TRIM(M3900))="STD", TRIM(B3900)=TRIM(Enginuity!$A$17))
    ),
    OR(
      AND(LEFT(P3900,5)="1-Way", Enginuity!$B$13=1),
      AND(LEFT(P3900,5)="2-Way", OR(Enginuity!$B$13=2, Enginuity!$B$13=4)),
      AND(LEFT(P3900,5)="3-Way", OR(Enginuity!$B$13=3, Enginuity!$B$13=6)),
      AND(P3900="Inner Centre Jamb", OR(Enginuity!$B$13=4, Enginuity!$B$13=6)),
      AND(
        LEFT(P3900,5)&lt;&gt;"1-Way",
        LEFT(P3900,5)&lt;&gt;"2-Way",
        LEFT(P3900,5)&lt;&gt;"3-Way",
        P3900&lt;&gt;"Inner Centre Jamb"
      )
    ),
    IF(OR(Enginuity!$A$1="Frameless Glass",Enginuity!$A$1="Metal Work"),
      AND(TRIM(B3900)=TRIM(Enginuity!$A$17),TRIM(C3900)=TRIM(Enginuity!$A$18)),
      TRIM(B3900)=TRIM(Enginuity!$A$17)
    )
  ),
  ROW(),
  ""
)</f>
        <v/>
      </c>
    </row>
    <row r="3901" spans="21:21" x14ac:dyDescent="0.25">
      <c r="U3901" s="104" t="str">
        <f>IF(
  AND(
    TRIM(A3901)=TRIM(Enginuity!$A$1),
    TRIM(B3901)=TRIM(Enginuity!$A$17),
    Q3901&lt;&gt;"",
    Q3901&lt;&gt;0,
    OR(
      TRIM(C3901)=TRIM(Enginuity!$A$18),
      AND(UPPER(TRIM(M3901))="STD", TRIM(B3901)=TRIM(Enginuity!$A$17))
    ),
    OR(
      AND(LEFT(P3901,5)="1-Way", Enginuity!$B$13=1),
      AND(LEFT(P3901,5)="2-Way", OR(Enginuity!$B$13=2, Enginuity!$B$13=4)),
      AND(LEFT(P3901,5)="3-Way", OR(Enginuity!$B$13=3, Enginuity!$B$13=6)),
      AND(P3901="Inner Centre Jamb", OR(Enginuity!$B$13=4, Enginuity!$B$13=6)),
      AND(
        LEFT(P3901,5)&lt;&gt;"1-Way",
        LEFT(P3901,5)&lt;&gt;"2-Way",
        LEFT(P3901,5)&lt;&gt;"3-Way",
        P3901&lt;&gt;"Inner Centre Jamb"
      )
    ),
    IF(OR(Enginuity!$A$1="Frameless Glass",Enginuity!$A$1="Metal Work"),
      AND(TRIM(B3901)=TRIM(Enginuity!$A$17),TRIM(C3901)=TRIM(Enginuity!$A$18)),
      TRIM(B3901)=TRIM(Enginuity!$A$17)
    )
  ),
  ROW(),
  ""
)</f>
        <v/>
      </c>
    </row>
    <row r="3902" spans="21:21" x14ac:dyDescent="0.25">
      <c r="U3902" s="104" t="str">
        <f>IF(
  AND(
    TRIM(A3902)=TRIM(Enginuity!$A$1),
    TRIM(B3902)=TRIM(Enginuity!$A$17),
    Q3902&lt;&gt;"",
    Q3902&lt;&gt;0,
    OR(
      TRIM(C3902)=TRIM(Enginuity!$A$18),
      AND(UPPER(TRIM(M3902))="STD", TRIM(B3902)=TRIM(Enginuity!$A$17))
    ),
    OR(
      AND(LEFT(P3902,5)="1-Way", Enginuity!$B$13=1),
      AND(LEFT(P3902,5)="2-Way", OR(Enginuity!$B$13=2, Enginuity!$B$13=4)),
      AND(LEFT(P3902,5)="3-Way", OR(Enginuity!$B$13=3, Enginuity!$B$13=6)),
      AND(P3902="Inner Centre Jamb", OR(Enginuity!$B$13=4, Enginuity!$B$13=6)),
      AND(
        LEFT(P3902,5)&lt;&gt;"1-Way",
        LEFT(P3902,5)&lt;&gt;"2-Way",
        LEFT(P3902,5)&lt;&gt;"3-Way",
        P3902&lt;&gt;"Inner Centre Jamb"
      )
    ),
    IF(OR(Enginuity!$A$1="Frameless Glass",Enginuity!$A$1="Metal Work"),
      AND(TRIM(B3902)=TRIM(Enginuity!$A$17),TRIM(C3902)=TRIM(Enginuity!$A$18)),
      TRIM(B3902)=TRIM(Enginuity!$A$17)
    )
  ),
  ROW(),
  ""
)</f>
        <v/>
      </c>
    </row>
    <row r="3903" spans="21:21" x14ac:dyDescent="0.25">
      <c r="U3903" s="104" t="str">
        <f>IF(
  AND(
    TRIM(A3903)=TRIM(Enginuity!$A$1),
    TRIM(B3903)=TRIM(Enginuity!$A$17),
    Q3903&lt;&gt;"",
    Q3903&lt;&gt;0,
    OR(
      TRIM(C3903)=TRIM(Enginuity!$A$18),
      AND(UPPER(TRIM(M3903))="STD", TRIM(B3903)=TRIM(Enginuity!$A$17))
    ),
    OR(
      AND(LEFT(P3903,5)="1-Way", Enginuity!$B$13=1),
      AND(LEFT(P3903,5)="2-Way", OR(Enginuity!$B$13=2, Enginuity!$B$13=4)),
      AND(LEFT(P3903,5)="3-Way", OR(Enginuity!$B$13=3, Enginuity!$B$13=6)),
      AND(P3903="Inner Centre Jamb", OR(Enginuity!$B$13=4, Enginuity!$B$13=6)),
      AND(
        LEFT(P3903,5)&lt;&gt;"1-Way",
        LEFT(P3903,5)&lt;&gt;"2-Way",
        LEFT(P3903,5)&lt;&gt;"3-Way",
        P3903&lt;&gt;"Inner Centre Jamb"
      )
    ),
    IF(OR(Enginuity!$A$1="Frameless Glass",Enginuity!$A$1="Metal Work"),
      AND(TRIM(B3903)=TRIM(Enginuity!$A$17),TRIM(C3903)=TRIM(Enginuity!$A$18)),
      TRIM(B3903)=TRIM(Enginuity!$A$17)
    )
  ),
  ROW(),
  ""
)</f>
        <v/>
      </c>
    </row>
    <row r="3904" spans="21:21" x14ac:dyDescent="0.25">
      <c r="U3904" s="104" t="str">
        <f>IF(
  AND(
    TRIM(A3904)=TRIM(Enginuity!$A$1),
    TRIM(B3904)=TRIM(Enginuity!$A$17),
    Q3904&lt;&gt;"",
    Q3904&lt;&gt;0,
    OR(
      TRIM(C3904)=TRIM(Enginuity!$A$18),
      AND(UPPER(TRIM(M3904))="STD", TRIM(B3904)=TRIM(Enginuity!$A$17))
    ),
    OR(
      AND(LEFT(P3904,5)="1-Way", Enginuity!$B$13=1),
      AND(LEFT(P3904,5)="2-Way", OR(Enginuity!$B$13=2, Enginuity!$B$13=4)),
      AND(LEFT(P3904,5)="3-Way", OR(Enginuity!$B$13=3, Enginuity!$B$13=6)),
      AND(P3904="Inner Centre Jamb", OR(Enginuity!$B$13=4, Enginuity!$B$13=6)),
      AND(
        LEFT(P3904,5)&lt;&gt;"1-Way",
        LEFT(P3904,5)&lt;&gt;"2-Way",
        LEFT(P3904,5)&lt;&gt;"3-Way",
        P3904&lt;&gt;"Inner Centre Jamb"
      )
    ),
    IF(OR(Enginuity!$A$1="Frameless Glass",Enginuity!$A$1="Metal Work"),
      AND(TRIM(B3904)=TRIM(Enginuity!$A$17),TRIM(C3904)=TRIM(Enginuity!$A$18)),
      TRIM(B3904)=TRIM(Enginuity!$A$17)
    )
  ),
  ROW(),
  ""
)</f>
        <v/>
      </c>
    </row>
    <row r="3905" spans="21:21" x14ac:dyDescent="0.25">
      <c r="U3905" s="104" t="str">
        <f>IF(
  AND(
    TRIM(A3905)=TRIM(Enginuity!$A$1),
    TRIM(B3905)=TRIM(Enginuity!$A$17),
    Q3905&lt;&gt;"",
    Q3905&lt;&gt;0,
    OR(
      TRIM(C3905)=TRIM(Enginuity!$A$18),
      AND(UPPER(TRIM(M3905))="STD", TRIM(B3905)=TRIM(Enginuity!$A$17))
    ),
    OR(
      AND(LEFT(P3905,5)="1-Way", Enginuity!$B$13=1),
      AND(LEFT(P3905,5)="2-Way", OR(Enginuity!$B$13=2, Enginuity!$B$13=4)),
      AND(LEFT(P3905,5)="3-Way", OR(Enginuity!$B$13=3, Enginuity!$B$13=6)),
      AND(P3905="Inner Centre Jamb", OR(Enginuity!$B$13=4, Enginuity!$B$13=6)),
      AND(
        LEFT(P3905,5)&lt;&gt;"1-Way",
        LEFT(P3905,5)&lt;&gt;"2-Way",
        LEFT(P3905,5)&lt;&gt;"3-Way",
        P3905&lt;&gt;"Inner Centre Jamb"
      )
    ),
    IF(OR(Enginuity!$A$1="Frameless Glass",Enginuity!$A$1="Metal Work"),
      AND(TRIM(B3905)=TRIM(Enginuity!$A$17),TRIM(C3905)=TRIM(Enginuity!$A$18)),
      TRIM(B3905)=TRIM(Enginuity!$A$17)
    )
  ),
  ROW(),
  ""
)</f>
        <v/>
      </c>
    </row>
    <row r="3906" spans="21:21" x14ac:dyDescent="0.25">
      <c r="U3906" s="104" t="str">
        <f>IF(
  AND(
    TRIM(A3906)=TRIM(Enginuity!$A$1),
    TRIM(B3906)=TRIM(Enginuity!$A$17),
    Q3906&lt;&gt;"",
    Q3906&lt;&gt;0,
    OR(
      TRIM(C3906)=TRIM(Enginuity!$A$18),
      AND(UPPER(TRIM(M3906))="STD", TRIM(B3906)=TRIM(Enginuity!$A$17))
    ),
    OR(
      AND(LEFT(P3906,5)="1-Way", Enginuity!$B$13=1),
      AND(LEFT(P3906,5)="2-Way", OR(Enginuity!$B$13=2, Enginuity!$B$13=4)),
      AND(LEFT(P3906,5)="3-Way", OR(Enginuity!$B$13=3, Enginuity!$B$13=6)),
      AND(P3906="Inner Centre Jamb", OR(Enginuity!$B$13=4, Enginuity!$B$13=6)),
      AND(
        LEFT(P3906,5)&lt;&gt;"1-Way",
        LEFT(P3906,5)&lt;&gt;"2-Way",
        LEFT(P3906,5)&lt;&gt;"3-Way",
        P3906&lt;&gt;"Inner Centre Jamb"
      )
    ),
    IF(OR(Enginuity!$A$1="Frameless Glass",Enginuity!$A$1="Metal Work"),
      AND(TRIM(B3906)=TRIM(Enginuity!$A$17),TRIM(C3906)=TRIM(Enginuity!$A$18)),
      TRIM(B3906)=TRIM(Enginuity!$A$17)
    )
  ),
  ROW(),
  ""
)</f>
        <v/>
      </c>
    </row>
    <row r="3907" spans="21:21" x14ac:dyDescent="0.25">
      <c r="U3907" s="104" t="str">
        <f>IF(
  AND(
    TRIM(A3907)=TRIM(Enginuity!$A$1),
    TRIM(B3907)=TRIM(Enginuity!$A$17),
    Q3907&lt;&gt;"",
    Q3907&lt;&gt;0,
    OR(
      TRIM(C3907)=TRIM(Enginuity!$A$18),
      AND(UPPER(TRIM(M3907))="STD", TRIM(B3907)=TRIM(Enginuity!$A$17))
    ),
    OR(
      AND(LEFT(P3907,5)="1-Way", Enginuity!$B$13=1),
      AND(LEFT(P3907,5)="2-Way", OR(Enginuity!$B$13=2, Enginuity!$B$13=4)),
      AND(LEFT(P3907,5)="3-Way", OR(Enginuity!$B$13=3, Enginuity!$B$13=6)),
      AND(P3907="Inner Centre Jamb", OR(Enginuity!$B$13=4, Enginuity!$B$13=6)),
      AND(
        LEFT(P3907,5)&lt;&gt;"1-Way",
        LEFT(P3907,5)&lt;&gt;"2-Way",
        LEFT(P3907,5)&lt;&gt;"3-Way",
        P3907&lt;&gt;"Inner Centre Jamb"
      )
    ),
    IF(OR(Enginuity!$A$1="Frameless Glass",Enginuity!$A$1="Metal Work"),
      AND(TRIM(B3907)=TRIM(Enginuity!$A$17),TRIM(C3907)=TRIM(Enginuity!$A$18)),
      TRIM(B3907)=TRIM(Enginuity!$A$17)
    )
  ),
  ROW(),
  ""
)</f>
        <v/>
      </c>
    </row>
    <row r="3908" spans="21:21" x14ac:dyDescent="0.25">
      <c r="U3908" s="104" t="str">
        <f>IF(
  AND(
    TRIM(A3908)=TRIM(Enginuity!$A$1),
    TRIM(B3908)=TRIM(Enginuity!$A$17),
    Q3908&lt;&gt;"",
    Q3908&lt;&gt;0,
    OR(
      TRIM(C3908)=TRIM(Enginuity!$A$18),
      AND(UPPER(TRIM(M3908))="STD", TRIM(B3908)=TRIM(Enginuity!$A$17))
    ),
    OR(
      AND(LEFT(P3908,5)="1-Way", Enginuity!$B$13=1),
      AND(LEFT(P3908,5)="2-Way", OR(Enginuity!$B$13=2, Enginuity!$B$13=4)),
      AND(LEFT(P3908,5)="3-Way", OR(Enginuity!$B$13=3, Enginuity!$B$13=6)),
      AND(P3908="Inner Centre Jamb", OR(Enginuity!$B$13=4, Enginuity!$B$13=6)),
      AND(
        LEFT(P3908,5)&lt;&gt;"1-Way",
        LEFT(P3908,5)&lt;&gt;"2-Way",
        LEFT(P3908,5)&lt;&gt;"3-Way",
        P3908&lt;&gt;"Inner Centre Jamb"
      )
    ),
    IF(OR(Enginuity!$A$1="Frameless Glass",Enginuity!$A$1="Metal Work"),
      AND(TRIM(B3908)=TRIM(Enginuity!$A$17),TRIM(C3908)=TRIM(Enginuity!$A$18)),
      TRIM(B3908)=TRIM(Enginuity!$A$17)
    )
  ),
  ROW(),
  ""
)</f>
        <v/>
      </c>
    </row>
    <row r="3909" spans="21:21" x14ac:dyDescent="0.25">
      <c r="U3909" s="104" t="str">
        <f>IF(
  AND(
    TRIM(A3909)=TRIM(Enginuity!$A$1),
    TRIM(B3909)=TRIM(Enginuity!$A$17),
    Q3909&lt;&gt;"",
    Q3909&lt;&gt;0,
    OR(
      TRIM(C3909)=TRIM(Enginuity!$A$18),
      AND(UPPER(TRIM(M3909))="STD", TRIM(B3909)=TRIM(Enginuity!$A$17))
    ),
    OR(
      AND(LEFT(P3909,5)="1-Way", Enginuity!$B$13=1),
      AND(LEFT(P3909,5)="2-Way", OR(Enginuity!$B$13=2, Enginuity!$B$13=4)),
      AND(LEFT(P3909,5)="3-Way", OR(Enginuity!$B$13=3, Enginuity!$B$13=6)),
      AND(P3909="Inner Centre Jamb", OR(Enginuity!$B$13=4, Enginuity!$B$13=6)),
      AND(
        LEFT(P3909,5)&lt;&gt;"1-Way",
        LEFT(P3909,5)&lt;&gt;"2-Way",
        LEFT(P3909,5)&lt;&gt;"3-Way",
        P3909&lt;&gt;"Inner Centre Jamb"
      )
    ),
    IF(OR(Enginuity!$A$1="Frameless Glass",Enginuity!$A$1="Metal Work"),
      AND(TRIM(B3909)=TRIM(Enginuity!$A$17),TRIM(C3909)=TRIM(Enginuity!$A$18)),
      TRIM(B3909)=TRIM(Enginuity!$A$17)
    )
  ),
  ROW(),
  ""
)</f>
        <v/>
      </c>
    </row>
    <row r="3910" spans="21:21" x14ac:dyDescent="0.25">
      <c r="U3910" s="104" t="str">
        <f>IF(
  AND(
    TRIM(A3910)=TRIM(Enginuity!$A$1),
    TRIM(B3910)=TRIM(Enginuity!$A$17),
    Q3910&lt;&gt;"",
    Q3910&lt;&gt;0,
    OR(
      TRIM(C3910)=TRIM(Enginuity!$A$18),
      AND(UPPER(TRIM(M3910))="STD", TRIM(B3910)=TRIM(Enginuity!$A$17))
    ),
    OR(
      AND(LEFT(P3910,5)="1-Way", Enginuity!$B$13=1),
      AND(LEFT(P3910,5)="2-Way", OR(Enginuity!$B$13=2, Enginuity!$B$13=4)),
      AND(LEFT(P3910,5)="3-Way", OR(Enginuity!$B$13=3, Enginuity!$B$13=6)),
      AND(P3910="Inner Centre Jamb", OR(Enginuity!$B$13=4, Enginuity!$B$13=6)),
      AND(
        LEFT(P3910,5)&lt;&gt;"1-Way",
        LEFT(P3910,5)&lt;&gt;"2-Way",
        LEFT(P3910,5)&lt;&gt;"3-Way",
        P3910&lt;&gt;"Inner Centre Jamb"
      )
    ),
    IF(OR(Enginuity!$A$1="Frameless Glass",Enginuity!$A$1="Metal Work"),
      AND(TRIM(B3910)=TRIM(Enginuity!$A$17),TRIM(C3910)=TRIM(Enginuity!$A$18)),
      TRIM(B3910)=TRIM(Enginuity!$A$17)
    )
  ),
  ROW(),
  ""
)</f>
        <v/>
      </c>
    </row>
    <row r="3911" spans="21:21" x14ac:dyDescent="0.25">
      <c r="U3911" s="104" t="str">
        <f>IF(
  AND(
    TRIM(A3911)=TRIM(Enginuity!$A$1),
    TRIM(B3911)=TRIM(Enginuity!$A$17),
    Q3911&lt;&gt;"",
    Q3911&lt;&gt;0,
    OR(
      TRIM(C3911)=TRIM(Enginuity!$A$18),
      AND(UPPER(TRIM(M3911))="STD", TRIM(B3911)=TRIM(Enginuity!$A$17))
    ),
    OR(
      AND(LEFT(P3911,5)="1-Way", Enginuity!$B$13=1),
      AND(LEFT(P3911,5)="2-Way", OR(Enginuity!$B$13=2, Enginuity!$B$13=4)),
      AND(LEFT(P3911,5)="3-Way", OR(Enginuity!$B$13=3, Enginuity!$B$13=6)),
      AND(P3911="Inner Centre Jamb", OR(Enginuity!$B$13=4, Enginuity!$B$13=6)),
      AND(
        LEFT(P3911,5)&lt;&gt;"1-Way",
        LEFT(P3911,5)&lt;&gt;"2-Way",
        LEFT(P3911,5)&lt;&gt;"3-Way",
        P3911&lt;&gt;"Inner Centre Jamb"
      )
    ),
    IF(OR(Enginuity!$A$1="Frameless Glass",Enginuity!$A$1="Metal Work"),
      AND(TRIM(B3911)=TRIM(Enginuity!$A$17),TRIM(C3911)=TRIM(Enginuity!$A$18)),
      TRIM(B3911)=TRIM(Enginuity!$A$17)
    )
  ),
  ROW(),
  ""
)</f>
        <v/>
      </c>
    </row>
    <row r="3912" spans="21:21" x14ac:dyDescent="0.25">
      <c r="U3912" s="104" t="str">
        <f>IF(
  AND(
    TRIM(A3912)=TRIM(Enginuity!$A$1),
    TRIM(B3912)=TRIM(Enginuity!$A$17),
    Q3912&lt;&gt;"",
    Q3912&lt;&gt;0,
    OR(
      TRIM(C3912)=TRIM(Enginuity!$A$18),
      AND(UPPER(TRIM(M3912))="STD", TRIM(B3912)=TRIM(Enginuity!$A$17))
    ),
    OR(
      AND(LEFT(P3912,5)="1-Way", Enginuity!$B$13=1),
      AND(LEFT(P3912,5)="2-Way", OR(Enginuity!$B$13=2, Enginuity!$B$13=4)),
      AND(LEFT(P3912,5)="3-Way", OR(Enginuity!$B$13=3, Enginuity!$B$13=6)),
      AND(P3912="Inner Centre Jamb", OR(Enginuity!$B$13=4, Enginuity!$B$13=6)),
      AND(
        LEFT(P3912,5)&lt;&gt;"1-Way",
        LEFT(P3912,5)&lt;&gt;"2-Way",
        LEFT(P3912,5)&lt;&gt;"3-Way",
        P3912&lt;&gt;"Inner Centre Jamb"
      )
    ),
    IF(OR(Enginuity!$A$1="Frameless Glass",Enginuity!$A$1="Metal Work"),
      AND(TRIM(B3912)=TRIM(Enginuity!$A$17),TRIM(C3912)=TRIM(Enginuity!$A$18)),
      TRIM(B3912)=TRIM(Enginuity!$A$17)
    )
  ),
  ROW(),
  ""
)</f>
        <v/>
      </c>
    </row>
    <row r="3913" spans="21:21" x14ac:dyDescent="0.25">
      <c r="U3913" s="104" t="str">
        <f>IF(
  AND(
    TRIM(A3913)=TRIM(Enginuity!$A$1),
    TRIM(B3913)=TRIM(Enginuity!$A$17),
    Q3913&lt;&gt;"",
    Q3913&lt;&gt;0,
    OR(
      TRIM(C3913)=TRIM(Enginuity!$A$18),
      AND(UPPER(TRIM(M3913))="STD", TRIM(B3913)=TRIM(Enginuity!$A$17))
    ),
    OR(
      AND(LEFT(P3913,5)="1-Way", Enginuity!$B$13=1),
      AND(LEFT(P3913,5)="2-Way", OR(Enginuity!$B$13=2, Enginuity!$B$13=4)),
      AND(LEFT(P3913,5)="3-Way", OR(Enginuity!$B$13=3, Enginuity!$B$13=6)),
      AND(P3913="Inner Centre Jamb", OR(Enginuity!$B$13=4, Enginuity!$B$13=6)),
      AND(
        LEFT(P3913,5)&lt;&gt;"1-Way",
        LEFT(P3913,5)&lt;&gt;"2-Way",
        LEFT(P3913,5)&lt;&gt;"3-Way",
        P3913&lt;&gt;"Inner Centre Jamb"
      )
    ),
    IF(OR(Enginuity!$A$1="Frameless Glass",Enginuity!$A$1="Metal Work"),
      AND(TRIM(B3913)=TRIM(Enginuity!$A$17),TRIM(C3913)=TRIM(Enginuity!$A$18)),
      TRIM(B3913)=TRIM(Enginuity!$A$17)
    )
  ),
  ROW(),
  ""
)</f>
        <v/>
      </c>
    </row>
    <row r="3914" spans="21:21" x14ac:dyDescent="0.25">
      <c r="U3914" s="104" t="str">
        <f>IF(
  AND(
    TRIM(A3914)=TRIM(Enginuity!$A$1),
    TRIM(B3914)=TRIM(Enginuity!$A$17),
    Q3914&lt;&gt;"",
    Q3914&lt;&gt;0,
    OR(
      TRIM(C3914)=TRIM(Enginuity!$A$18),
      AND(UPPER(TRIM(M3914))="STD", TRIM(B3914)=TRIM(Enginuity!$A$17))
    ),
    OR(
      AND(LEFT(P3914,5)="1-Way", Enginuity!$B$13=1),
      AND(LEFT(P3914,5)="2-Way", OR(Enginuity!$B$13=2, Enginuity!$B$13=4)),
      AND(LEFT(P3914,5)="3-Way", OR(Enginuity!$B$13=3, Enginuity!$B$13=6)),
      AND(P3914="Inner Centre Jamb", OR(Enginuity!$B$13=4, Enginuity!$B$13=6)),
      AND(
        LEFT(P3914,5)&lt;&gt;"1-Way",
        LEFT(P3914,5)&lt;&gt;"2-Way",
        LEFT(P3914,5)&lt;&gt;"3-Way",
        P3914&lt;&gt;"Inner Centre Jamb"
      )
    ),
    IF(OR(Enginuity!$A$1="Frameless Glass",Enginuity!$A$1="Metal Work"),
      AND(TRIM(B3914)=TRIM(Enginuity!$A$17),TRIM(C3914)=TRIM(Enginuity!$A$18)),
      TRIM(B3914)=TRIM(Enginuity!$A$17)
    )
  ),
  ROW(),
  ""
)</f>
        <v/>
      </c>
    </row>
    <row r="3915" spans="21:21" x14ac:dyDescent="0.25">
      <c r="U3915" s="104" t="str">
        <f>IF(
  AND(
    TRIM(A3915)=TRIM(Enginuity!$A$1),
    TRIM(B3915)=TRIM(Enginuity!$A$17),
    Q3915&lt;&gt;"",
    Q3915&lt;&gt;0,
    OR(
      TRIM(C3915)=TRIM(Enginuity!$A$18),
      AND(UPPER(TRIM(M3915))="STD", TRIM(B3915)=TRIM(Enginuity!$A$17))
    ),
    OR(
      AND(LEFT(P3915,5)="1-Way", Enginuity!$B$13=1),
      AND(LEFT(P3915,5)="2-Way", OR(Enginuity!$B$13=2, Enginuity!$B$13=4)),
      AND(LEFT(P3915,5)="3-Way", OR(Enginuity!$B$13=3, Enginuity!$B$13=6)),
      AND(P3915="Inner Centre Jamb", OR(Enginuity!$B$13=4, Enginuity!$B$13=6)),
      AND(
        LEFT(P3915,5)&lt;&gt;"1-Way",
        LEFT(P3915,5)&lt;&gt;"2-Way",
        LEFT(P3915,5)&lt;&gt;"3-Way",
        P3915&lt;&gt;"Inner Centre Jamb"
      )
    ),
    IF(OR(Enginuity!$A$1="Frameless Glass",Enginuity!$A$1="Metal Work"),
      AND(TRIM(B3915)=TRIM(Enginuity!$A$17),TRIM(C3915)=TRIM(Enginuity!$A$18)),
      TRIM(B3915)=TRIM(Enginuity!$A$17)
    )
  ),
  ROW(),
  ""
)</f>
        <v/>
      </c>
    </row>
    <row r="3916" spans="21:21" x14ac:dyDescent="0.25">
      <c r="U3916" s="104" t="str">
        <f>IF(
  AND(
    TRIM(A3916)=TRIM(Enginuity!$A$1),
    TRIM(B3916)=TRIM(Enginuity!$A$17),
    Q3916&lt;&gt;"",
    Q3916&lt;&gt;0,
    OR(
      TRIM(C3916)=TRIM(Enginuity!$A$18),
      AND(UPPER(TRIM(M3916))="STD", TRIM(B3916)=TRIM(Enginuity!$A$17))
    ),
    OR(
      AND(LEFT(P3916,5)="1-Way", Enginuity!$B$13=1),
      AND(LEFT(P3916,5)="2-Way", OR(Enginuity!$B$13=2, Enginuity!$B$13=4)),
      AND(LEFT(P3916,5)="3-Way", OR(Enginuity!$B$13=3, Enginuity!$B$13=6)),
      AND(P3916="Inner Centre Jamb", OR(Enginuity!$B$13=4, Enginuity!$B$13=6)),
      AND(
        LEFT(P3916,5)&lt;&gt;"1-Way",
        LEFT(P3916,5)&lt;&gt;"2-Way",
        LEFT(P3916,5)&lt;&gt;"3-Way",
        P3916&lt;&gt;"Inner Centre Jamb"
      )
    ),
    IF(OR(Enginuity!$A$1="Frameless Glass",Enginuity!$A$1="Metal Work"),
      AND(TRIM(B3916)=TRIM(Enginuity!$A$17),TRIM(C3916)=TRIM(Enginuity!$A$18)),
      TRIM(B3916)=TRIM(Enginuity!$A$17)
    )
  ),
  ROW(),
  ""
)</f>
        <v/>
      </c>
    </row>
    <row r="3917" spans="21:21" x14ac:dyDescent="0.25">
      <c r="U3917" s="104" t="str">
        <f>IF(
  AND(
    TRIM(A3917)=TRIM(Enginuity!$A$1),
    TRIM(B3917)=TRIM(Enginuity!$A$17),
    Q3917&lt;&gt;"",
    Q3917&lt;&gt;0,
    OR(
      TRIM(C3917)=TRIM(Enginuity!$A$18),
      AND(UPPER(TRIM(M3917))="STD", TRIM(B3917)=TRIM(Enginuity!$A$17))
    ),
    OR(
      AND(LEFT(P3917,5)="1-Way", Enginuity!$B$13=1),
      AND(LEFT(P3917,5)="2-Way", OR(Enginuity!$B$13=2, Enginuity!$B$13=4)),
      AND(LEFT(P3917,5)="3-Way", OR(Enginuity!$B$13=3, Enginuity!$B$13=6)),
      AND(P3917="Inner Centre Jamb", OR(Enginuity!$B$13=4, Enginuity!$B$13=6)),
      AND(
        LEFT(P3917,5)&lt;&gt;"1-Way",
        LEFT(P3917,5)&lt;&gt;"2-Way",
        LEFT(P3917,5)&lt;&gt;"3-Way",
        P3917&lt;&gt;"Inner Centre Jamb"
      )
    ),
    IF(OR(Enginuity!$A$1="Frameless Glass",Enginuity!$A$1="Metal Work"),
      AND(TRIM(B3917)=TRIM(Enginuity!$A$17),TRIM(C3917)=TRIM(Enginuity!$A$18)),
      TRIM(B3917)=TRIM(Enginuity!$A$17)
    )
  ),
  ROW(),
  ""
)</f>
        <v/>
      </c>
    </row>
    <row r="3918" spans="21:21" x14ac:dyDescent="0.25">
      <c r="U3918" s="104" t="str">
        <f>IF(
  AND(
    TRIM(A3918)=TRIM(Enginuity!$A$1),
    TRIM(B3918)=TRIM(Enginuity!$A$17),
    Q3918&lt;&gt;"",
    Q3918&lt;&gt;0,
    OR(
      TRIM(C3918)=TRIM(Enginuity!$A$18),
      AND(UPPER(TRIM(M3918))="STD", TRIM(B3918)=TRIM(Enginuity!$A$17))
    ),
    OR(
      AND(LEFT(P3918,5)="1-Way", Enginuity!$B$13=1),
      AND(LEFT(P3918,5)="2-Way", OR(Enginuity!$B$13=2, Enginuity!$B$13=4)),
      AND(LEFT(P3918,5)="3-Way", OR(Enginuity!$B$13=3, Enginuity!$B$13=6)),
      AND(P3918="Inner Centre Jamb", OR(Enginuity!$B$13=4, Enginuity!$B$13=6)),
      AND(
        LEFT(P3918,5)&lt;&gt;"1-Way",
        LEFT(P3918,5)&lt;&gt;"2-Way",
        LEFT(P3918,5)&lt;&gt;"3-Way",
        P3918&lt;&gt;"Inner Centre Jamb"
      )
    ),
    IF(OR(Enginuity!$A$1="Frameless Glass",Enginuity!$A$1="Metal Work"),
      AND(TRIM(B3918)=TRIM(Enginuity!$A$17),TRIM(C3918)=TRIM(Enginuity!$A$18)),
      TRIM(B3918)=TRIM(Enginuity!$A$17)
    )
  ),
  ROW(),
  ""
)</f>
        <v/>
      </c>
    </row>
    <row r="3919" spans="21:21" x14ac:dyDescent="0.25">
      <c r="U3919" s="104" t="str">
        <f>IF(
  AND(
    TRIM(A3919)=TRIM(Enginuity!$A$1),
    TRIM(B3919)=TRIM(Enginuity!$A$17),
    Q3919&lt;&gt;"",
    Q3919&lt;&gt;0,
    OR(
      TRIM(C3919)=TRIM(Enginuity!$A$18),
      AND(UPPER(TRIM(M3919))="STD", TRIM(B3919)=TRIM(Enginuity!$A$17))
    ),
    OR(
      AND(LEFT(P3919,5)="1-Way", Enginuity!$B$13=1),
      AND(LEFT(P3919,5)="2-Way", OR(Enginuity!$B$13=2, Enginuity!$B$13=4)),
      AND(LEFT(P3919,5)="3-Way", OR(Enginuity!$B$13=3, Enginuity!$B$13=6)),
      AND(P3919="Inner Centre Jamb", OR(Enginuity!$B$13=4, Enginuity!$B$13=6)),
      AND(
        LEFT(P3919,5)&lt;&gt;"1-Way",
        LEFT(P3919,5)&lt;&gt;"2-Way",
        LEFT(P3919,5)&lt;&gt;"3-Way",
        P3919&lt;&gt;"Inner Centre Jamb"
      )
    ),
    IF(OR(Enginuity!$A$1="Frameless Glass",Enginuity!$A$1="Metal Work"),
      AND(TRIM(B3919)=TRIM(Enginuity!$A$17),TRIM(C3919)=TRIM(Enginuity!$A$18)),
      TRIM(B3919)=TRIM(Enginuity!$A$17)
    )
  ),
  ROW(),
  ""
)</f>
        <v/>
      </c>
    </row>
    <row r="3920" spans="21:21" x14ac:dyDescent="0.25">
      <c r="U3920" s="104" t="str">
        <f>IF(
  AND(
    TRIM(A3920)=TRIM(Enginuity!$A$1),
    TRIM(B3920)=TRIM(Enginuity!$A$17),
    Q3920&lt;&gt;"",
    Q3920&lt;&gt;0,
    OR(
      TRIM(C3920)=TRIM(Enginuity!$A$18),
      AND(UPPER(TRIM(M3920))="STD", TRIM(B3920)=TRIM(Enginuity!$A$17))
    ),
    OR(
      AND(LEFT(P3920,5)="1-Way", Enginuity!$B$13=1),
      AND(LEFT(P3920,5)="2-Way", OR(Enginuity!$B$13=2, Enginuity!$B$13=4)),
      AND(LEFT(P3920,5)="3-Way", OR(Enginuity!$B$13=3, Enginuity!$B$13=6)),
      AND(P3920="Inner Centre Jamb", OR(Enginuity!$B$13=4, Enginuity!$B$13=6)),
      AND(
        LEFT(P3920,5)&lt;&gt;"1-Way",
        LEFT(P3920,5)&lt;&gt;"2-Way",
        LEFT(P3920,5)&lt;&gt;"3-Way",
        P3920&lt;&gt;"Inner Centre Jamb"
      )
    ),
    IF(OR(Enginuity!$A$1="Frameless Glass",Enginuity!$A$1="Metal Work"),
      AND(TRIM(B3920)=TRIM(Enginuity!$A$17),TRIM(C3920)=TRIM(Enginuity!$A$18)),
      TRIM(B3920)=TRIM(Enginuity!$A$17)
    )
  ),
  ROW(),
  ""
)</f>
        <v/>
      </c>
    </row>
    <row r="3921" spans="21:21" x14ac:dyDescent="0.25">
      <c r="U3921" s="104" t="str">
        <f>IF(
  AND(
    TRIM(A3921)=TRIM(Enginuity!$A$1),
    TRIM(B3921)=TRIM(Enginuity!$A$17),
    Q3921&lt;&gt;"",
    Q3921&lt;&gt;0,
    OR(
      TRIM(C3921)=TRIM(Enginuity!$A$18),
      AND(UPPER(TRIM(M3921))="STD", TRIM(B3921)=TRIM(Enginuity!$A$17))
    ),
    OR(
      AND(LEFT(P3921,5)="1-Way", Enginuity!$B$13=1),
      AND(LEFT(P3921,5)="2-Way", OR(Enginuity!$B$13=2, Enginuity!$B$13=4)),
      AND(LEFT(P3921,5)="3-Way", OR(Enginuity!$B$13=3, Enginuity!$B$13=6)),
      AND(P3921="Inner Centre Jamb", OR(Enginuity!$B$13=4, Enginuity!$B$13=6)),
      AND(
        LEFT(P3921,5)&lt;&gt;"1-Way",
        LEFT(P3921,5)&lt;&gt;"2-Way",
        LEFT(P3921,5)&lt;&gt;"3-Way",
        P3921&lt;&gt;"Inner Centre Jamb"
      )
    ),
    IF(OR(Enginuity!$A$1="Frameless Glass",Enginuity!$A$1="Metal Work"),
      AND(TRIM(B3921)=TRIM(Enginuity!$A$17),TRIM(C3921)=TRIM(Enginuity!$A$18)),
      TRIM(B3921)=TRIM(Enginuity!$A$17)
    )
  ),
  ROW(),
  ""
)</f>
        <v/>
      </c>
    </row>
    <row r="3922" spans="21:21" x14ac:dyDescent="0.25">
      <c r="U3922" s="104" t="str">
        <f>IF(
  AND(
    TRIM(A3922)=TRIM(Enginuity!$A$1),
    TRIM(B3922)=TRIM(Enginuity!$A$17),
    Q3922&lt;&gt;"",
    Q3922&lt;&gt;0,
    OR(
      TRIM(C3922)=TRIM(Enginuity!$A$18),
      AND(UPPER(TRIM(M3922))="STD", TRIM(B3922)=TRIM(Enginuity!$A$17))
    ),
    OR(
      AND(LEFT(P3922,5)="1-Way", Enginuity!$B$13=1),
      AND(LEFT(P3922,5)="2-Way", OR(Enginuity!$B$13=2, Enginuity!$B$13=4)),
      AND(LEFT(P3922,5)="3-Way", OR(Enginuity!$B$13=3, Enginuity!$B$13=6)),
      AND(P3922="Inner Centre Jamb", OR(Enginuity!$B$13=4, Enginuity!$B$13=6)),
      AND(
        LEFT(P3922,5)&lt;&gt;"1-Way",
        LEFT(P3922,5)&lt;&gt;"2-Way",
        LEFT(P3922,5)&lt;&gt;"3-Way",
        P3922&lt;&gt;"Inner Centre Jamb"
      )
    ),
    IF(OR(Enginuity!$A$1="Frameless Glass",Enginuity!$A$1="Metal Work"),
      AND(TRIM(B3922)=TRIM(Enginuity!$A$17),TRIM(C3922)=TRIM(Enginuity!$A$18)),
      TRIM(B3922)=TRIM(Enginuity!$A$17)
    )
  ),
  ROW(),
  ""
)</f>
        <v/>
      </c>
    </row>
    <row r="3923" spans="21:21" x14ac:dyDescent="0.25">
      <c r="U3923" s="104" t="str">
        <f>IF(
  AND(
    TRIM(A3923)=TRIM(Enginuity!$A$1),
    TRIM(B3923)=TRIM(Enginuity!$A$17),
    Q3923&lt;&gt;"",
    Q3923&lt;&gt;0,
    OR(
      TRIM(C3923)=TRIM(Enginuity!$A$18),
      AND(UPPER(TRIM(M3923))="STD", TRIM(B3923)=TRIM(Enginuity!$A$17))
    ),
    OR(
      AND(LEFT(P3923,5)="1-Way", Enginuity!$B$13=1),
      AND(LEFT(P3923,5)="2-Way", OR(Enginuity!$B$13=2, Enginuity!$B$13=4)),
      AND(LEFT(P3923,5)="3-Way", OR(Enginuity!$B$13=3, Enginuity!$B$13=6)),
      AND(P3923="Inner Centre Jamb", OR(Enginuity!$B$13=4, Enginuity!$B$13=6)),
      AND(
        LEFT(P3923,5)&lt;&gt;"1-Way",
        LEFT(P3923,5)&lt;&gt;"2-Way",
        LEFT(P3923,5)&lt;&gt;"3-Way",
        P3923&lt;&gt;"Inner Centre Jamb"
      )
    ),
    IF(OR(Enginuity!$A$1="Frameless Glass",Enginuity!$A$1="Metal Work"),
      AND(TRIM(B3923)=TRIM(Enginuity!$A$17),TRIM(C3923)=TRIM(Enginuity!$A$18)),
      TRIM(B3923)=TRIM(Enginuity!$A$17)
    )
  ),
  ROW(),
  ""
)</f>
        <v/>
      </c>
    </row>
    <row r="3924" spans="21:21" x14ac:dyDescent="0.25">
      <c r="U3924" s="104" t="str">
        <f>IF(
  AND(
    TRIM(A3924)=TRIM(Enginuity!$A$1),
    TRIM(B3924)=TRIM(Enginuity!$A$17),
    Q3924&lt;&gt;"",
    Q3924&lt;&gt;0,
    OR(
      TRIM(C3924)=TRIM(Enginuity!$A$18),
      AND(UPPER(TRIM(M3924))="STD", TRIM(B3924)=TRIM(Enginuity!$A$17))
    ),
    OR(
      AND(LEFT(P3924,5)="1-Way", Enginuity!$B$13=1),
      AND(LEFT(P3924,5)="2-Way", OR(Enginuity!$B$13=2, Enginuity!$B$13=4)),
      AND(LEFT(P3924,5)="3-Way", OR(Enginuity!$B$13=3, Enginuity!$B$13=6)),
      AND(P3924="Inner Centre Jamb", OR(Enginuity!$B$13=4, Enginuity!$B$13=6)),
      AND(
        LEFT(P3924,5)&lt;&gt;"1-Way",
        LEFT(P3924,5)&lt;&gt;"2-Way",
        LEFT(P3924,5)&lt;&gt;"3-Way",
        P3924&lt;&gt;"Inner Centre Jamb"
      )
    ),
    IF(OR(Enginuity!$A$1="Frameless Glass",Enginuity!$A$1="Metal Work"),
      AND(TRIM(B3924)=TRIM(Enginuity!$A$17),TRIM(C3924)=TRIM(Enginuity!$A$18)),
      TRIM(B3924)=TRIM(Enginuity!$A$17)
    )
  ),
  ROW(),
  ""
)</f>
        <v/>
      </c>
    </row>
    <row r="3925" spans="21:21" x14ac:dyDescent="0.25">
      <c r="U3925" s="104" t="str">
        <f>IF(
  AND(
    TRIM(A3925)=TRIM(Enginuity!$A$1),
    TRIM(B3925)=TRIM(Enginuity!$A$17),
    Q3925&lt;&gt;"",
    Q3925&lt;&gt;0,
    OR(
      TRIM(C3925)=TRIM(Enginuity!$A$18),
      AND(UPPER(TRIM(M3925))="STD", TRIM(B3925)=TRIM(Enginuity!$A$17))
    ),
    OR(
      AND(LEFT(P3925,5)="1-Way", Enginuity!$B$13=1),
      AND(LEFT(P3925,5)="2-Way", OR(Enginuity!$B$13=2, Enginuity!$B$13=4)),
      AND(LEFT(P3925,5)="3-Way", OR(Enginuity!$B$13=3, Enginuity!$B$13=6)),
      AND(P3925="Inner Centre Jamb", OR(Enginuity!$B$13=4, Enginuity!$B$13=6)),
      AND(
        LEFT(P3925,5)&lt;&gt;"1-Way",
        LEFT(P3925,5)&lt;&gt;"2-Way",
        LEFT(P3925,5)&lt;&gt;"3-Way",
        P3925&lt;&gt;"Inner Centre Jamb"
      )
    ),
    IF(OR(Enginuity!$A$1="Frameless Glass",Enginuity!$A$1="Metal Work"),
      AND(TRIM(B3925)=TRIM(Enginuity!$A$17),TRIM(C3925)=TRIM(Enginuity!$A$18)),
      TRIM(B3925)=TRIM(Enginuity!$A$17)
    )
  ),
  ROW(),
  ""
)</f>
        <v/>
      </c>
    </row>
    <row r="3926" spans="21:21" x14ac:dyDescent="0.25">
      <c r="U3926" s="104" t="str">
        <f>IF(
  AND(
    TRIM(A3926)=TRIM(Enginuity!$A$1),
    TRIM(B3926)=TRIM(Enginuity!$A$17),
    Q3926&lt;&gt;"",
    Q3926&lt;&gt;0,
    OR(
      TRIM(C3926)=TRIM(Enginuity!$A$18),
      AND(UPPER(TRIM(M3926))="STD", TRIM(B3926)=TRIM(Enginuity!$A$17))
    ),
    OR(
      AND(LEFT(P3926,5)="1-Way", Enginuity!$B$13=1),
      AND(LEFT(P3926,5)="2-Way", OR(Enginuity!$B$13=2, Enginuity!$B$13=4)),
      AND(LEFT(P3926,5)="3-Way", OR(Enginuity!$B$13=3, Enginuity!$B$13=6)),
      AND(P3926="Inner Centre Jamb", OR(Enginuity!$B$13=4, Enginuity!$B$13=6)),
      AND(
        LEFT(P3926,5)&lt;&gt;"1-Way",
        LEFT(P3926,5)&lt;&gt;"2-Way",
        LEFT(P3926,5)&lt;&gt;"3-Way",
        P3926&lt;&gt;"Inner Centre Jamb"
      )
    ),
    IF(OR(Enginuity!$A$1="Frameless Glass",Enginuity!$A$1="Metal Work"),
      AND(TRIM(B3926)=TRIM(Enginuity!$A$17),TRIM(C3926)=TRIM(Enginuity!$A$18)),
      TRIM(B3926)=TRIM(Enginuity!$A$17)
    )
  ),
  ROW(),
  ""
)</f>
        <v/>
      </c>
    </row>
    <row r="3927" spans="21:21" x14ac:dyDescent="0.25">
      <c r="U3927" s="104" t="str">
        <f>IF(
  AND(
    TRIM(A3927)=TRIM(Enginuity!$A$1),
    TRIM(B3927)=TRIM(Enginuity!$A$17),
    Q3927&lt;&gt;"",
    Q3927&lt;&gt;0,
    OR(
      TRIM(C3927)=TRIM(Enginuity!$A$18),
      AND(UPPER(TRIM(M3927))="STD", TRIM(B3927)=TRIM(Enginuity!$A$17))
    ),
    OR(
      AND(LEFT(P3927,5)="1-Way", Enginuity!$B$13=1),
      AND(LEFT(P3927,5)="2-Way", OR(Enginuity!$B$13=2, Enginuity!$B$13=4)),
      AND(LEFT(P3927,5)="3-Way", OR(Enginuity!$B$13=3, Enginuity!$B$13=6)),
      AND(P3927="Inner Centre Jamb", OR(Enginuity!$B$13=4, Enginuity!$B$13=6)),
      AND(
        LEFT(P3927,5)&lt;&gt;"1-Way",
        LEFT(P3927,5)&lt;&gt;"2-Way",
        LEFT(P3927,5)&lt;&gt;"3-Way",
        P3927&lt;&gt;"Inner Centre Jamb"
      )
    ),
    IF(OR(Enginuity!$A$1="Frameless Glass",Enginuity!$A$1="Metal Work"),
      AND(TRIM(B3927)=TRIM(Enginuity!$A$17),TRIM(C3927)=TRIM(Enginuity!$A$18)),
      TRIM(B3927)=TRIM(Enginuity!$A$17)
    )
  ),
  ROW(),
  ""
)</f>
        <v/>
      </c>
    </row>
    <row r="3928" spans="21:21" x14ac:dyDescent="0.25">
      <c r="U3928" s="104" t="str">
        <f>IF(
  AND(
    TRIM(A3928)=TRIM(Enginuity!$A$1),
    TRIM(B3928)=TRIM(Enginuity!$A$17),
    Q3928&lt;&gt;"",
    Q3928&lt;&gt;0,
    OR(
      TRIM(C3928)=TRIM(Enginuity!$A$18),
      AND(UPPER(TRIM(M3928))="STD", TRIM(B3928)=TRIM(Enginuity!$A$17))
    ),
    OR(
      AND(LEFT(P3928,5)="1-Way", Enginuity!$B$13=1),
      AND(LEFT(P3928,5)="2-Way", OR(Enginuity!$B$13=2, Enginuity!$B$13=4)),
      AND(LEFT(P3928,5)="3-Way", OR(Enginuity!$B$13=3, Enginuity!$B$13=6)),
      AND(P3928="Inner Centre Jamb", OR(Enginuity!$B$13=4, Enginuity!$B$13=6)),
      AND(
        LEFT(P3928,5)&lt;&gt;"1-Way",
        LEFT(P3928,5)&lt;&gt;"2-Way",
        LEFT(P3928,5)&lt;&gt;"3-Way",
        P3928&lt;&gt;"Inner Centre Jamb"
      )
    ),
    IF(OR(Enginuity!$A$1="Frameless Glass",Enginuity!$A$1="Metal Work"),
      AND(TRIM(B3928)=TRIM(Enginuity!$A$17),TRIM(C3928)=TRIM(Enginuity!$A$18)),
      TRIM(B3928)=TRIM(Enginuity!$A$17)
    )
  ),
  ROW(),
  ""
)</f>
        <v/>
      </c>
    </row>
    <row r="3929" spans="21:21" x14ac:dyDescent="0.25">
      <c r="U3929" s="104" t="str">
        <f>IF(
  AND(
    TRIM(A3929)=TRIM(Enginuity!$A$1),
    TRIM(B3929)=TRIM(Enginuity!$A$17),
    Q3929&lt;&gt;"",
    Q3929&lt;&gt;0,
    OR(
      TRIM(C3929)=TRIM(Enginuity!$A$18),
      AND(UPPER(TRIM(M3929))="STD", TRIM(B3929)=TRIM(Enginuity!$A$17))
    ),
    OR(
      AND(LEFT(P3929,5)="1-Way", Enginuity!$B$13=1),
      AND(LEFT(P3929,5)="2-Way", OR(Enginuity!$B$13=2, Enginuity!$B$13=4)),
      AND(LEFT(P3929,5)="3-Way", OR(Enginuity!$B$13=3, Enginuity!$B$13=6)),
      AND(P3929="Inner Centre Jamb", OR(Enginuity!$B$13=4, Enginuity!$B$13=6)),
      AND(
        LEFT(P3929,5)&lt;&gt;"1-Way",
        LEFT(P3929,5)&lt;&gt;"2-Way",
        LEFT(P3929,5)&lt;&gt;"3-Way",
        P3929&lt;&gt;"Inner Centre Jamb"
      )
    ),
    IF(OR(Enginuity!$A$1="Frameless Glass",Enginuity!$A$1="Metal Work"),
      AND(TRIM(B3929)=TRIM(Enginuity!$A$17),TRIM(C3929)=TRIM(Enginuity!$A$18)),
      TRIM(B3929)=TRIM(Enginuity!$A$17)
    )
  ),
  ROW(),
  ""
)</f>
        <v/>
      </c>
    </row>
    <row r="3930" spans="21:21" x14ac:dyDescent="0.25">
      <c r="U3930" s="104" t="str">
        <f>IF(
  AND(
    TRIM(A3930)=TRIM(Enginuity!$A$1),
    TRIM(B3930)=TRIM(Enginuity!$A$17),
    Q3930&lt;&gt;"",
    Q3930&lt;&gt;0,
    OR(
      TRIM(C3930)=TRIM(Enginuity!$A$18),
      AND(UPPER(TRIM(M3930))="STD", TRIM(B3930)=TRIM(Enginuity!$A$17))
    ),
    OR(
      AND(LEFT(P3930,5)="1-Way", Enginuity!$B$13=1),
      AND(LEFT(P3930,5)="2-Way", OR(Enginuity!$B$13=2, Enginuity!$B$13=4)),
      AND(LEFT(P3930,5)="3-Way", OR(Enginuity!$B$13=3, Enginuity!$B$13=6)),
      AND(P3930="Inner Centre Jamb", OR(Enginuity!$B$13=4, Enginuity!$B$13=6)),
      AND(
        LEFT(P3930,5)&lt;&gt;"1-Way",
        LEFT(P3930,5)&lt;&gt;"2-Way",
        LEFT(P3930,5)&lt;&gt;"3-Way",
        P3930&lt;&gt;"Inner Centre Jamb"
      )
    ),
    IF(OR(Enginuity!$A$1="Frameless Glass",Enginuity!$A$1="Metal Work"),
      AND(TRIM(B3930)=TRIM(Enginuity!$A$17),TRIM(C3930)=TRIM(Enginuity!$A$18)),
      TRIM(B3930)=TRIM(Enginuity!$A$17)
    )
  ),
  ROW(),
  ""
)</f>
        <v/>
      </c>
    </row>
    <row r="3931" spans="21:21" x14ac:dyDescent="0.25">
      <c r="U3931" s="104" t="str">
        <f>IF(
  AND(
    TRIM(A3931)=TRIM(Enginuity!$A$1),
    TRIM(B3931)=TRIM(Enginuity!$A$17),
    Q3931&lt;&gt;"",
    Q3931&lt;&gt;0,
    OR(
      TRIM(C3931)=TRIM(Enginuity!$A$18),
      AND(UPPER(TRIM(M3931))="STD", TRIM(B3931)=TRIM(Enginuity!$A$17))
    ),
    OR(
      AND(LEFT(P3931,5)="1-Way", Enginuity!$B$13=1),
      AND(LEFT(P3931,5)="2-Way", OR(Enginuity!$B$13=2, Enginuity!$B$13=4)),
      AND(LEFT(P3931,5)="3-Way", OR(Enginuity!$B$13=3, Enginuity!$B$13=6)),
      AND(P3931="Inner Centre Jamb", OR(Enginuity!$B$13=4, Enginuity!$B$13=6)),
      AND(
        LEFT(P3931,5)&lt;&gt;"1-Way",
        LEFT(P3931,5)&lt;&gt;"2-Way",
        LEFT(P3931,5)&lt;&gt;"3-Way",
        P3931&lt;&gt;"Inner Centre Jamb"
      )
    ),
    IF(OR(Enginuity!$A$1="Frameless Glass",Enginuity!$A$1="Metal Work"),
      AND(TRIM(B3931)=TRIM(Enginuity!$A$17),TRIM(C3931)=TRIM(Enginuity!$A$18)),
      TRIM(B3931)=TRIM(Enginuity!$A$17)
    )
  ),
  ROW(),
  ""
)</f>
        <v/>
      </c>
    </row>
    <row r="3932" spans="21:21" x14ac:dyDescent="0.25">
      <c r="U3932" s="104" t="str">
        <f>IF(
  AND(
    TRIM(A3932)=TRIM(Enginuity!$A$1),
    TRIM(B3932)=TRIM(Enginuity!$A$17),
    Q3932&lt;&gt;"",
    Q3932&lt;&gt;0,
    OR(
      TRIM(C3932)=TRIM(Enginuity!$A$18),
      AND(UPPER(TRIM(M3932))="STD", TRIM(B3932)=TRIM(Enginuity!$A$17))
    ),
    OR(
      AND(LEFT(P3932,5)="1-Way", Enginuity!$B$13=1),
      AND(LEFT(P3932,5)="2-Way", OR(Enginuity!$B$13=2, Enginuity!$B$13=4)),
      AND(LEFT(P3932,5)="3-Way", OR(Enginuity!$B$13=3, Enginuity!$B$13=6)),
      AND(P3932="Inner Centre Jamb", OR(Enginuity!$B$13=4, Enginuity!$B$13=6)),
      AND(
        LEFT(P3932,5)&lt;&gt;"1-Way",
        LEFT(P3932,5)&lt;&gt;"2-Way",
        LEFT(P3932,5)&lt;&gt;"3-Way",
        P3932&lt;&gt;"Inner Centre Jamb"
      )
    ),
    IF(OR(Enginuity!$A$1="Frameless Glass",Enginuity!$A$1="Metal Work"),
      AND(TRIM(B3932)=TRIM(Enginuity!$A$17),TRIM(C3932)=TRIM(Enginuity!$A$18)),
      TRIM(B3932)=TRIM(Enginuity!$A$17)
    )
  ),
  ROW(),
  ""
)</f>
        <v/>
      </c>
    </row>
    <row r="3933" spans="21:21" x14ac:dyDescent="0.25">
      <c r="U3933" s="104" t="str">
        <f>IF(
  AND(
    TRIM(A3933)=TRIM(Enginuity!$A$1),
    TRIM(B3933)=TRIM(Enginuity!$A$17),
    Q3933&lt;&gt;"",
    Q3933&lt;&gt;0,
    OR(
      TRIM(C3933)=TRIM(Enginuity!$A$18),
      AND(UPPER(TRIM(M3933))="STD", TRIM(B3933)=TRIM(Enginuity!$A$17))
    ),
    OR(
      AND(LEFT(P3933,5)="1-Way", Enginuity!$B$13=1),
      AND(LEFT(P3933,5)="2-Way", OR(Enginuity!$B$13=2, Enginuity!$B$13=4)),
      AND(LEFT(P3933,5)="3-Way", OR(Enginuity!$B$13=3, Enginuity!$B$13=6)),
      AND(P3933="Inner Centre Jamb", OR(Enginuity!$B$13=4, Enginuity!$B$13=6)),
      AND(
        LEFT(P3933,5)&lt;&gt;"1-Way",
        LEFT(P3933,5)&lt;&gt;"2-Way",
        LEFT(P3933,5)&lt;&gt;"3-Way",
        P3933&lt;&gt;"Inner Centre Jamb"
      )
    ),
    IF(OR(Enginuity!$A$1="Frameless Glass",Enginuity!$A$1="Metal Work"),
      AND(TRIM(B3933)=TRIM(Enginuity!$A$17),TRIM(C3933)=TRIM(Enginuity!$A$18)),
      TRIM(B3933)=TRIM(Enginuity!$A$17)
    )
  ),
  ROW(),
  ""
)</f>
        <v/>
      </c>
    </row>
    <row r="3934" spans="21:21" x14ac:dyDescent="0.25">
      <c r="U3934" s="104" t="str">
        <f>IF(
  AND(
    TRIM(A3934)=TRIM(Enginuity!$A$1),
    TRIM(B3934)=TRIM(Enginuity!$A$17),
    Q3934&lt;&gt;"",
    Q3934&lt;&gt;0,
    OR(
      TRIM(C3934)=TRIM(Enginuity!$A$18),
      AND(UPPER(TRIM(M3934))="STD", TRIM(B3934)=TRIM(Enginuity!$A$17))
    ),
    OR(
      AND(LEFT(P3934,5)="1-Way", Enginuity!$B$13=1),
      AND(LEFT(P3934,5)="2-Way", OR(Enginuity!$B$13=2, Enginuity!$B$13=4)),
      AND(LEFT(P3934,5)="3-Way", OR(Enginuity!$B$13=3, Enginuity!$B$13=6)),
      AND(P3934="Inner Centre Jamb", OR(Enginuity!$B$13=4, Enginuity!$B$13=6)),
      AND(
        LEFT(P3934,5)&lt;&gt;"1-Way",
        LEFT(P3934,5)&lt;&gt;"2-Way",
        LEFT(P3934,5)&lt;&gt;"3-Way",
        P3934&lt;&gt;"Inner Centre Jamb"
      )
    ),
    IF(OR(Enginuity!$A$1="Frameless Glass",Enginuity!$A$1="Metal Work"),
      AND(TRIM(B3934)=TRIM(Enginuity!$A$17),TRIM(C3934)=TRIM(Enginuity!$A$18)),
      TRIM(B3934)=TRIM(Enginuity!$A$17)
    )
  ),
  ROW(),
  ""
)</f>
        <v/>
      </c>
    </row>
    <row r="3935" spans="21:21" x14ac:dyDescent="0.25">
      <c r="U3935" s="104" t="str">
        <f>IF(
  AND(
    TRIM(A3935)=TRIM(Enginuity!$A$1),
    TRIM(B3935)=TRIM(Enginuity!$A$17),
    Q3935&lt;&gt;"",
    Q3935&lt;&gt;0,
    OR(
      TRIM(C3935)=TRIM(Enginuity!$A$18),
      AND(UPPER(TRIM(M3935))="STD", TRIM(B3935)=TRIM(Enginuity!$A$17))
    ),
    OR(
      AND(LEFT(P3935,5)="1-Way", Enginuity!$B$13=1),
      AND(LEFT(P3935,5)="2-Way", OR(Enginuity!$B$13=2, Enginuity!$B$13=4)),
      AND(LEFT(P3935,5)="3-Way", OR(Enginuity!$B$13=3, Enginuity!$B$13=6)),
      AND(P3935="Inner Centre Jamb", OR(Enginuity!$B$13=4, Enginuity!$B$13=6)),
      AND(
        LEFT(P3935,5)&lt;&gt;"1-Way",
        LEFT(P3935,5)&lt;&gt;"2-Way",
        LEFT(P3935,5)&lt;&gt;"3-Way",
        P3935&lt;&gt;"Inner Centre Jamb"
      )
    ),
    IF(OR(Enginuity!$A$1="Frameless Glass",Enginuity!$A$1="Metal Work"),
      AND(TRIM(B3935)=TRIM(Enginuity!$A$17),TRIM(C3935)=TRIM(Enginuity!$A$18)),
      TRIM(B3935)=TRIM(Enginuity!$A$17)
    )
  ),
  ROW(),
  ""
)</f>
        <v/>
      </c>
    </row>
    <row r="3936" spans="21:21" x14ac:dyDescent="0.25">
      <c r="U3936" s="104" t="str">
        <f>IF(
  AND(
    TRIM(A3936)=TRIM(Enginuity!$A$1),
    TRIM(B3936)=TRIM(Enginuity!$A$17),
    Q3936&lt;&gt;"",
    Q3936&lt;&gt;0,
    OR(
      TRIM(C3936)=TRIM(Enginuity!$A$18),
      AND(UPPER(TRIM(M3936))="STD", TRIM(B3936)=TRIM(Enginuity!$A$17))
    ),
    OR(
      AND(LEFT(P3936,5)="1-Way", Enginuity!$B$13=1),
      AND(LEFT(P3936,5)="2-Way", OR(Enginuity!$B$13=2, Enginuity!$B$13=4)),
      AND(LEFT(P3936,5)="3-Way", OR(Enginuity!$B$13=3, Enginuity!$B$13=6)),
      AND(P3936="Inner Centre Jamb", OR(Enginuity!$B$13=4, Enginuity!$B$13=6)),
      AND(
        LEFT(P3936,5)&lt;&gt;"1-Way",
        LEFT(P3936,5)&lt;&gt;"2-Way",
        LEFT(P3936,5)&lt;&gt;"3-Way",
        P3936&lt;&gt;"Inner Centre Jamb"
      )
    ),
    IF(OR(Enginuity!$A$1="Frameless Glass",Enginuity!$A$1="Metal Work"),
      AND(TRIM(B3936)=TRIM(Enginuity!$A$17),TRIM(C3936)=TRIM(Enginuity!$A$18)),
      TRIM(B3936)=TRIM(Enginuity!$A$17)
    )
  ),
  ROW(),
  ""
)</f>
        <v/>
      </c>
    </row>
    <row r="3937" spans="21:21" x14ac:dyDescent="0.25">
      <c r="U3937" s="104" t="str">
        <f>IF(
  AND(
    TRIM(A3937)=TRIM(Enginuity!$A$1),
    TRIM(B3937)=TRIM(Enginuity!$A$17),
    Q3937&lt;&gt;"",
    Q3937&lt;&gt;0,
    OR(
      TRIM(C3937)=TRIM(Enginuity!$A$18),
      AND(UPPER(TRIM(M3937))="STD", TRIM(B3937)=TRIM(Enginuity!$A$17))
    ),
    OR(
      AND(LEFT(P3937,5)="1-Way", Enginuity!$B$13=1),
      AND(LEFT(P3937,5)="2-Way", OR(Enginuity!$B$13=2, Enginuity!$B$13=4)),
      AND(LEFT(P3937,5)="3-Way", OR(Enginuity!$B$13=3, Enginuity!$B$13=6)),
      AND(P3937="Inner Centre Jamb", OR(Enginuity!$B$13=4, Enginuity!$B$13=6)),
      AND(
        LEFT(P3937,5)&lt;&gt;"1-Way",
        LEFT(P3937,5)&lt;&gt;"2-Way",
        LEFT(P3937,5)&lt;&gt;"3-Way",
        P3937&lt;&gt;"Inner Centre Jamb"
      )
    ),
    IF(OR(Enginuity!$A$1="Frameless Glass",Enginuity!$A$1="Metal Work"),
      AND(TRIM(B3937)=TRIM(Enginuity!$A$17),TRIM(C3937)=TRIM(Enginuity!$A$18)),
      TRIM(B3937)=TRIM(Enginuity!$A$17)
    )
  ),
  ROW(),
  ""
)</f>
        <v/>
      </c>
    </row>
    <row r="3938" spans="21:21" x14ac:dyDescent="0.25">
      <c r="U3938" s="104" t="str">
        <f>IF(
  AND(
    TRIM(A3938)=TRIM(Enginuity!$A$1),
    TRIM(B3938)=TRIM(Enginuity!$A$17),
    Q3938&lt;&gt;"",
    Q3938&lt;&gt;0,
    OR(
      TRIM(C3938)=TRIM(Enginuity!$A$18),
      AND(UPPER(TRIM(M3938))="STD", TRIM(B3938)=TRIM(Enginuity!$A$17))
    ),
    OR(
      AND(LEFT(P3938,5)="1-Way", Enginuity!$B$13=1),
      AND(LEFT(P3938,5)="2-Way", OR(Enginuity!$B$13=2, Enginuity!$B$13=4)),
      AND(LEFT(P3938,5)="3-Way", OR(Enginuity!$B$13=3, Enginuity!$B$13=6)),
      AND(P3938="Inner Centre Jamb", OR(Enginuity!$B$13=4, Enginuity!$B$13=6)),
      AND(
        LEFT(P3938,5)&lt;&gt;"1-Way",
        LEFT(P3938,5)&lt;&gt;"2-Way",
        LEFT(P3938,5)&lt;&gt;"3-Way",
        P3938&lt;&gt;"Inner Centre Jamb"
      )
    ),
    IF(OR(Enginuity!$A$1="Frameless Glass",Enginuity!$A$1="Metal Work"),
      AND(TRIM(B3938)=TRIM(Enginuity!$A$17),TRIM(C3938)=TRIM(Enginuity!$A$18)),
      TRIM(B3938)=TRIM(Enginuity!$A$17)
    )
  ),
  ROW(),
  ""
)</f>
        <v/>
      </c>
    </row>
    <row r="3939" spans="21:21" x14ac:dyDescent="0.25">
      <c r="U3939" s="104" t="str">
        <f>IF(
  AND(
    TRIM(A3939)=TRIM(Enginuity!$A$1),
    TRIM(B3939)=TRIM(Enginuity!$A$17),
    Q3939&lt;&gt;"",
    Q3939&lt;&gt;0,
    OR(
      TRIM(C3939)=TRIM(Enginuity!$A$18),
      AND(UPPER(TRIM(M3939))="STD", TRIM(B3939)=TRIM(Enginuity!$A$17))
    ),
    OR(
      AND(LEFT(P3939,5)="1-Way", Enginuity!$B$13=1),
      AND(LEFT(P3939,5)="2-Way", OR(Enginuity!$B$13=2, Enginuity!$B$13=4)),
      AND(LEFT(P3939,5)="3-Way", OR(Enginuity!$B$13=3, Enginuity!$B$13=6)),
      AND(P3939="Inner Centre Jamb", OR(Enginuity!$B$13=4, Enginuity!$B$13=6)),
      AND(
        LEFT(P3939,5)&lt;&gt;"1-Way",
        LEFT(P3939,5)&lt;&gt;"2-Way",
        LEFT(P3939,5)&lt;&gt;"3-Way",
        P3939&lt;&gt;"Inner Centre Jamb"
      )
    ),
    IF(OR(Enginuity!$A$1="Frameless Glass",Enginuity!$A$1="Metal Work"),
      AND(TRIM(B3939)=TRIM(Enginuity!$A$17),TRIM(C3939)=TRIM(Enginuity!$A$18)),
      TRIM(B3939)=TRIM(Enginuity!$A$17)
    )
  ),
  ROW(),
  ""
)</f>
        <v/>
      </c>
    </row>
    <row r="3940" spans="21:21" x14ac:dyDescent="0.25">
      <c r="U3940" s="104" t="str">
        <f>IF(
  AND(
    TRIM(A3940)=TRIM(Enginuity!$A$1),
    TRIM(B3940)=TRIM(Enginuity!$A$17),
    Q3940&lt;&gt;"",
    Q3940&lt;&gt;0,
    OR(
      TRIM(C3940)=TRIM(Enginuity!$A$18),
      AND(UPPER(TRIM(M3940))="STD", TRIM(B3940)=TRIM(Enginuity!$A$17))
    ),
    OR(
      AND(LEFT(P3940,5)="1-Way", Enginuity!$B$13=1),
      AND(LEFT(P3940,5)="2-Way", OR(Enginuity!$B$13=2, Enginuity!$B$13=4)),
      AND(LEFT(P3940,5)="3-Way", OR(Enginuity!$B$13=3, Enginuity!$B$13=6)),
      AND(P3940="Inner Centre Jamb", OR(Enginuity!$B$13=4, Enginuity!$B$13=6)),
      AND(
        LEFT(P3940,5)&lt;&gt;"1-Way",
        LEFT(P3940,5)&lt;&gt;"2-Way",
        LEFT(P3940,5)&lt;&gt;"3-Way",
        P3940&lt;&gt;"Inner Centre Jamb"
      )
    ),
    IF(OR(Enginuity!$A$1="Frameless Glass",Enginuity!$A$1="Metal Work"),
      AND(TRIM(B3940)=TRIM(Enginuity!$A$17),TRIM(C3940)=TRIM(Enginuity!$A$18)),
      TRIM(B3940)=TRIM(Enginuity!$A$17)
    )
  ),
  ROW(),
  ""
)</f>
        <v/>
      </c>
    </row>
    <row r="3941" spans="21:21" x14ac:dyDescent="0.25">
      <c r="U3941" s="104" t="str">
        <f>IF(
  AND(
    TRIM(A3941)=TRIM(Enginuity!$A$1),
    TRIM(B3941)=TRIM(Enginuity!$A$17),
    Q3941&lt;&gt;"",
    Q3941&lt;&gt;0,
    OR(
      TRIM(C3941)=TRIM(Enginuity!$A$18),
      AND(UPPER(TRIM(M3941))="STD", TRIM(B3941)=TRIM(Enginuity!$A$17))
    ),
    OR(
      AND(LEFT(P3941,5)="1-Way", Enginuity!$B$13=1),
      AND(LEFT(P3941,5)="2-Way", OR(Enginuity!$B$13=2, Enginuity!$B$13=4)),
      AND(LEFT(P3941,5)="3-Way", OR(Enginuity!$B$13=3, Enginuity!$B$13=6)),
      AND(P3941="Inner Centre Jamb", OR(Enginuity!$B$13=4, Enginuity!$B$13=6)),
      AND(
        LEFT(P3941,5)&lt;&gt;"1-Way",
        LEFT(P3941,5)&lt;&gt;"2-Way",
        LEFT(P3941,5)&lt;&gt;"3-Way",
        P3941&lt;&gt;"Inner Centre Jamb"
      )
    ),
    IF(OR(Enginuity!$A$1="Frameless Glass",Enginuity!$A$1="Metal Work"),
      AND(TRIM(B3941)=TRIM(Enginuity!$A$17),TRIM(C3941)=TRIM(Enginuity!$A$18)),
      TRIM(B3941)=TRIM(Enginuity!$A$17)
    )
  ),
  ROW(),
  ""
)</f>
        <v/>
      </c>
    </row>
    <row r="3942" spans="21:21" x14ac:dyDescent="0.25">
      <c r="U3942" s="104" t="str">
        <f>IF(
  AND(
    TRIM(A3942)=TRIM(Enginuity!$A$1),
    TRIM(B3942)=TRIM(Enginuity!$A$17),
    Q3942&lt;&gt;"",
    Q3942&lt;&gt;0,
    OR(
      TRIM(C3942)=TRIM(Enginuity!$A$18),
      AND(UPPER(TRIM(M3942))="STD", TRIM(B3942)=TRIM(Enginuity!$A$17))
    ),
    OR(
      AND(LEFT(P3942,5)="1-Way", Enginuity!$B$13=1),
      AND(LEFT(P3942,5)="2-Way", OR(Enginuity!$B$13=2, Enginuity!$B$13=4)),
      AND(LEFT(P3942,5)="3-Way", OR(Enginuity!$B$13=3, Enginuity!$B$13=6)),
      AND(P3942="Inner Centre Jamb", OR(Enginuity!$B$13=4, Enginuity!$B$13=6)),
      AND(
        LEFT(P3942,5)&lt;&gt;"1-Way",
        LEFT(P3942,5)&lt;&gt;"2-Way",
        LEFT(P3942,5)&lt;&gt;"3-Way",
        P3942&lt;&gt;"Inner Centre Jamb"
      )
    ),
    IF(OR(Enginuity!$A$1="Frameless Glass",Enginuity!$A$1="Metal Work"),
      AND(TRIM(B3942)=TRIM(Enginuity!$A$17),TRIM(C3942)=TRIM(Enginuity!$A$18)),
      TRIM(B3942)=TRIM(Enginuity!$A$17)
    )
  ),
  ROW(),
  ""
)</f>
        <v/>
      </c>
    </row>
    <row r="3943" spans="21:21" x14ac:dyDescent="0.25">
      <c r="U3943" s="104" t="str">
        <f>IF(
  AND(
    TRIM(A3943)=TRIM(Enginuity!$A$1),
    TRIM(B3943)=TRIM(Enginuity!$A$17),
    Q3943&lt;&gt;"",
    Q3943&lt;&gt;0,
    OR(
      TRIM(C3943)=TRIM(Enginuity!$A$18),
      AND(UPPER(TRIM(M3943))="STD", TRIM(B3943)=TRIM(Enginuity!$A$17))
    ),
    OR(
      AND(LEFT(P3943,5)="1-Way", Enginuity!$B$13=1),
      AND(LEFT(P3943,5)="2-Way", OR(Enginuity!$B$13=2, Enginuity!$B$13=4)),
      AND(LEFT(P3943,5)="3-Way", OR(Enginuity!$B$13=3, Enginuity!$B$13=6)),
      AND(P3943="Inner Centre Jamb", OR(Enginuity!$B$13=4, Enginuity!$B$13=6)),
      AND(
        LEFT(P3943,5)&lt;&gt;"1-Way",
        LEFT(P3943,5)&lt;&gt;"2-Way",
        LEFT(P3943,5)&lt;&gt;"3-Way",
        P3943&lt;&gt;"Inner Centre Jamb"
      )
    ),
    IF(OR(Enginuity!$A$1="Frameless Glass",Enginuity!$A$1="Metal Work"),
      AND(TRIM(B3943)=TRIM(Enginuity!$A$17),TRIM(C3943)=TRIM(Enginuity!$A$18)),
      TRIM(B3943)=TRIM(Enginuity!$A$17)
    )
  ),
  ROW(),
  ""
)</f>
        <v/>
      </c>
    </row>
    <row r="3944" spans="21:21" x14ac:dyDescent="0.25">
      <c r="U3944" s="104" t="str">
        <f>IF(
  AND(
    TRIM(A3944)=TRIM(Enginuity!$A$1),
    TRIM(B3944)=TRIM(Enginuity!$A$17),
    Q3944&lt;&gt;"",
    Q3944&lt;&gt;0,
    OR(
      TRIM(C3944)=TRIM(Enginuity!$A$18),
      AND(UPPER(TRIM(M3944))="STD", TRIM(B3944)=TRIM(Enginuity!$A$17))
    ),
    OR(
      AND(LEFT(P3944,5)="1-Way", Enginuity!$B$13=1),
      AND(LEFT(P3944,5)="2-Way", OR(Enginuity!$B$13=2, Enginuity!$B$13=4)),
      AND(LEFT(P3944,5)="3-Way", OR(Enginuity!$B$13=3, Enginuity!$B$13=6)),
      AND(P3944="Inner Centre Jamb", OR(Enginuity!$B$13=4, Enginuity!$B$13=6)),
      AND(
        LEFT(P3944,5)&lt;&gt;"1-Way",
        LEFT(P3944,5)&lt;&gt;"2-Way",
        LEFT(P3944,5)&lt;&gt;"3-Way",
        P3944&lt;&gt;"Inner Centre Jamb"
      )
    ),
    IF(OR(Enginuity!$A$1="Frameless Glass",Enginuity!$A$1="Metal Work"),
      AND(TRIM(B3944)=TRIM(Enginuity!$A$17),TRIM(C3944)=TRIM(Enginuity!$A$18)),
      TRIM(B3944)=TRIM(Enginuity!$A$17)
    )
  ),
  ROW(),
  ""
)</f>
        <v/>
      </c>
    </row>
    <row r="3945" spans="21:21" x14ac:dyDescent="0.25">
      <c r="U3945" s="104" t="str">
        <f>IF(
  AND(
    TRIM(A3945)=TRIM(Enginuity!$A$1),
    TRIM(B3945)=TRIM(Enginuity!$A$17),
    Q3945&lt;&gt;"",
    Q3945&lt;&gt;0,
    OR(
      TRIM(C3945)=TRIM(Enginuity!$A$18),
      AND(UPPER(TRIM(M3945))="STD", TRIM(B3945)=TRIM(Enginuity!$A$17))
    ),
    OR(
      AND(LEFT(P3945,5)="1-Way", Enginuity!$B$13=1),
      AND(LEFT(P3945,5)="2-Way", OR(Enginuity!$B$13=2, Enginuity!$B$13=4)),
      AND(LEFT(P3945,5)="3-Way", OR(Enginuity!$B$13=3, Enginuity!$B$13=6)),
      AND(P3945="Inner Centre Jamb", OR(Enginuity!$B$13=4, Enginuity!$B$13=6)),
      AND(
        LEFT(P3945,5)&lt;&gt;"1-Way",
        LEFT(P3945,5)&lt;&gt;"2-Way",
        LEFT(P3945,5)&lt;&gt;"3-Way",
        P3945&lt;&gt;"Inner Centre Jamb"
      )
    ),
    IF(OR(Enginuity!$A$1="Frameless Glass",Enginuity!$A$1="Metal Work"),
      AND(TRIM(B3945)=TRIM(Enginuity!$A$17),TRIM(C3945)=TRIM(Enginuity!$A$18)),
      TRIM(B3945)=TRIM(Enginuity!$A$17)
    )
  ),
  ROW(),
  ""
)</f>
        <v/>
      </c>
    </row>
    <row r="3946" spans="21:21" x14ac:dyDescent="0.25">
      <c r="U3946" s="104" t="str">
        <f>IF(
  AND(
    TRIM(A3946)=TRIM(Enginuity!$A$1),
    TRIM(B3946)=TRIM(Enginuity!$A$17),
    Q3946&lt;&gt;"",
    Q3946&lt;&gt;0,
    OR(
      TRIM(C3946)=TRIM(Enginuity!$A$18),
      AND(UPPER(TRIM(M3946))="STD", TRIM(B3946)=TRIM(Enginuity!$A$17))
    ),
    OR(
      AND(LEFT(P3946,5)="1-Way", Enginuity!$B$13=1),
      AND(LEFT(P3946,5)="2-Way", OR(Enginuity!$B$13=2, Enginuity!$B$13=4)),
      AND(LEFT(P3946,5)="3-Way", OR(Enginuity!$B$13=3, Enginuity!$B$13=6)),
      AND(P3946="Inner Centre Jamb", OR(Enginuity!$B$13=4, Enginuity!$B$13=6)),
      AND(
        LEFT(P3946,5)&lt;&gt;"1-Way",
        LEFT(P3946,5)&lt;&gt;"2-Way",
        LEFT(P3946,5)&lt;&gt;"3-Way",
        P3946&lt;&gt;"Inner Centre Jamb"
      )
    ),
    IF(OR(Enginuity!$A$1="Frameless Glass",Enginuity!$A$1="Metal Work"),
      AND(TRIM(B3946)=TRIM(Enginuity!$A$17),TRIM(C3946)=TRIM(Enginuity!$A$18)),
      TRIM(B3946)=TRIM(Enginuity!$A$17)
    )
  ),
  ROW(),
  ""
)</f>
        <v/>
      </c>
    </row>
    <row r="3947" spans="21:21" x14ac:dyDescent="0.25">
      <c r="U3947" s="104" t="str">
        <f>IF(
  AND(
    TRIM(A3947)=TRIM(Enginuity!$A$1),
    TRIM(B3947)=TRIM(Enginuity!$A$17),
    Q3947&lt;&gt;"",
    Q3947&lt;&gt;0,
    OR(
      TRIM(C3947)=TRIM(Enginuity!$A$18),
      AND(UPPER(TRIM(M3947))="STD", TRIM(B3947)=TRIM(Enginuity!$A$17))
    ),
    OR(
      AND(LEFT(P3947,5)="1-Way", Enginuity!$B$13=1),
      AND(LEFT(P3947,5)="2-Way", OR(Enginuity!$B$13=2, Enginuity!$B$13=4)),
      AND(LEFT(P3947,5)="3-Way", OR(Enginuity!$B$13=3, Enginuity!$B$13=6)),
      AND(P3947="Inner Centre Jamb", OR(Enginuity!$B$13=4, Enginuity!$B$13=6)),
      AND(
        LEFT(P3947,5)&lt;&gt;"1-Way",
        LEFT(P3947,5)&lt;&gt;"2-Way",
        LEFT(P3947,5)&lt;&gt;"3-Way",
        P3947&lt;&gt;"Inner Centre Jamb"
      )
    ),
    IF(OR(Enginuity!$A$1="Frameless Glass",Enginuity!$A$1="Metal Work"),
      AND(TRIM(B3947)=TRIM(Enginuity!$A$17),TRIM(C3947)=TRIM(Enginuity!$A$18)),
      TRIM(B3947)=TRIM(Enginuity!$A$17)
    )
  ),
  ROW(),
  ""
)</f>
        <v/>
      </c>
    </row>
    <row r="3948" spans="21:21" x14ac:dyDescent="0.25">
      <c r="U3948" s="104" t="str">
        <f>IF(
  AND(
    TRIM(A3948)=TRIM(Enginuity!$A$1),
    TRIM(B3948)=TRIM(Enginuity!$A$17),
    Q3948&lt;&gt;"",
    Q3948&lt;&gt;0,
    OR(
      TRIM(C3948)=TRIM(Enginuity!$A$18),
      AND(UPPER(TRIM(M3948))="STD", TRIM(B3948)=TRIM(Enginuity!$A$17))
    ),
    OR(
      AND(LEFT(P3948,5)="1-Way", Enginuity!$B$13=1),
      AND(LEFT(P3948,5)="2-Way", OR(Enginuity!$B$13=2, Enginuity!$B$13=4)),
      AND(LEFT(P3948,5)="3-Way", OR(Enginuity!$B$13=3, Enginuity!$B$13=6)),
      AND(P3948="Inner Centre Jamb", OR(Enginuity!$B$13=4, Enginuity!$B$13=6)),
      AND(
        LEFT(P3948,5)&lt;&gt;"1-Way",
        LEFT(P3948,5)&lt;&gt;"2-Way",
        LEFT(P3948,5)&lt;&gt;"3-Way",
        P3948&lt;&gt;"Inner Centre Jamb"
      )
    ),
    IF(OR(Enginuity!$A$1="Frameless Glass",Enginuity!$A$1="Metal Work"),
      AND(TRIM(B3948)=TRIM(Enginuity!$A$17),TRIM(C3948)=TRIM(Enginuity!$A$18)),
      TRIM(B3948)=TRIM(Enginuity!$A$17)
    )
  ),
  ROW(),
  ""
)</f>
        <v/>
      </c>
    </row>
    <row r="3949" spans="21:21" x14ac:dyDescent="0.25">
      <c r="U3949" s="104" t="str">
        <f>IF(
  AND(
    TRIM(A3949)=TRIM(Enginuity!$A$1),
    TRIM(B3949)=TRIM(Enginuity!$A$17),
    Q3949&lt;&gt;"",
    Q3949&lt;&gt;0,
    OR(
      TRIM(C3949)=TRIM(Enginuity!$A$18),
      AND(UPPER(TRIM(M3949))="STD", TRIM(B3949)=TRIM(Enginuity!$A$17))
    ),
    OR(
      AND(LEFT(P3949,5)="1-Way", Enginuity!$B$13=1),
      AND(LEFT(P3949,5)="2-Way", OR(Enginuity!$B$13=2, Enginuity!$B$13=4)),
      AND(LEFT(P3949,5)="3-Way", OR(Enginuity!$B$13=3, Enginuity!$B$13=6)),
      AND(P3949="Inner Centre Jamb", OR(Enginuity!$B$13=4, Enginuity!$B$13=6)),
      AND(
        LEFT(P3949,5)&lt;&gt;"1-Way",
        LEFT(P3949,5)&lt;&gt;"2-Way",
        LEFT(P3949,5)&lt;&gt;"3-Way",
        P3949&lt;&gt;"Inner Centre Jamb"
      )
    ),
    IF(OR(Enginuity!$A$1="Frameless Glass",Enginuity!$A$1="Metal Work"),
      AND(TRIM(B3949)=TRIM(Enginuity!$A$17),TRIM(C3949)=TRIM(Enginuity!$A$18)),
      TRIM(B3949)=TRIM(Enginuity!$A$17)
    )
  ),
  ROW(),
  ""
)</f>
        <v/>
      </c>
    </row>
    <row r="3950" spans="21:21" x14ac:dyDescent="0.25">
      <c r="U3950" s="104" t="str">
        <f>IF(
  AND(
    TRIM(A3950)=TRIM(Enginuity!$A$1),
    TRIM(B3950)=TRIM(Enginuity!$A$17),
    Q3950&lt;&gt;"",
    Q3950&lt;&gt;0,
    OR(
      TRIM(C3950)=TRIM(Enginuity!$A$18),
      AND(UPPER(TRIM(M3950))="STD", TRIM(B3950)=TRIM(Enginuity!$A$17))
    ),
    OR(
      AND(LEFT(P3950,5)="1-Way", Enginuity!$B$13=1),
      AND(LEFT(P3950,5)="2-Way", OR(Enginuity!$B$13=2, Enginuity!$B$13=4)),
      AND(LEFT(P3950,5)="3-Way", OR(Enginuity!$B$13=3, Enginuity!$B$13=6)),
      AND(P3950="Inner Centre Jamb", OR(Enginuity!$B$13=4, Enginuity!$B$13=6)),
      AND(
        LEFT(P3950,5)&lt;&gt;"1-Way",
        LEFT(P3950,5)&lt;&gt;"2-Way",
        LEFT(P3950,5)&lt;&gt;"3-Way",
        P3950&lt;&gt;"Inner Centre Jamb"
      )
    ),
    IF(OR(Enginuity!$A$1="Frameless Glass",Enginuity!$A$1="Metal Work"),
      AND(TRIM(B3950)=TRIM(Enginuity!$A$17),TRIM(C3950)=TRIM(Enginuity!$A$18)),
      TRIM(B3950)=TRIM(Enginuity!$A$17)
    )
  ),
  ROW(),
  ""
)</f>
        <v/>
      </c>
    </row>
    <row r="3951" spans="21:21" x14ac:dyDescent="0.25">
      <c r="U3951" s="104" t="str">
        <f>IF(
  AND(
    TRIM(A3951)=TRIM(Enginuity!$A$1),
    TRIM(B3951)=TRIM(Enginuity!$A$17),
    Q3951&lt;&gt;"",
    Q3951&lt;&gt;0,
    OR(
      TRIM(C3951)=TRIM(Enginuity!$A$18),
      AND(UPPER(TRIM(M3951))="STD", TRIM(B3951)=TRIM(Enginuity!$A$17))
    ),
    OR(
      AND(LEFT(P3951,5)="1-Way", Enginuity!$B$13=1),
      AND(LEFT(P3951,5)="2-Way", OR(Enginuity!$B$13=2, Enginuity!$B$13=4)),
      AND(LEFT(P3951,5)="3-Way", OR(Enginuity!$B$13=3, Enginuity!$B$13=6)),
      AND(P3951="Inner Centre Jamb", OR(Enginuity!$B$13=4, Enginuity!$B$13=6)),
      AND(
        LEFT(P3951,5)&lt;&gt;"1-Way",
        LEFT(P3951,5)&lt;&gt;"2-Way",
        LEFT(P3951,5)&lt;&gt;"3-Way",
        P3951&lt;&gt;"Inner Centre Jamb"
      )
    ),
    IF(OR(Enginuity!$A$1="Frameless Glass",Enginuity!$A$1="Metal Work"),
      AND(TRIM(B3951)=TRIM(Enginuity!$A$17),TRIM(C3951)=TRIM(Enginuity!$A$18)),
      TRIM(B3951)=TRIM(Enginuity!$A$17)
    )
  ),
  ROW(),
  ""
)</f>
        <v/>
      </c>
    </row>
    <row r="3952" spans="21:21" x14ac:dyDescent="0.25">
      <c r="U3952" s="104" t="str">
        <f>IF(
  AND(
    TRIM(A3952)=TRIM(Enginuity!$A$1),
    TRIM(B3952)=TRIM(Enginuity!$A$17),
    Q3952&lt;&gt;"",
    Q3952&lt;&gt;0,
    OR(
      TRIM(C3952)=TRIM(Enginuity!$A$18),
      AND(UPPER(TRIM(M3952))="STD", TRIM(B3952)=TRIM(Enginuity!$A$17))
    ),
    OR(
      AND(LEFT(P3952,5)="1-Way", Enginuity!$B$13=1),
      AND(LEFT(P3952,5)="2-Way", OR(Enginuity!$B$13=2, Enginuity!$B$13=4)),
      AND(LEFT(P3952,5)="3-Way", OR(Enginuity!$B$13=3, Enginuity!$B$13=6)),
      AND(P3952="Inner Centre Jamb", OR(Enginuity!$B$13=4, Enginuity!$B$13=6)),
      AND(
        LEFT(P3952,5)&lt;&gt;"1-Way",
        LEFT(P3952,5)&lt;&gt;"2-Way",
        LEFT(P3952,5)&lt;&gt;"3-Way",
        P3952&lt;&gt;"Inner Centre Jamb"
      )
    ),
    IF(OR(Enginuity!$A$1="Frameless Glass",Enginuity!$A$1="Metal Work"),
      AND(TRIM(B3952)=TRIM(Enginuity!$A$17),TRIM(C3952)=TRIM(Enginuity!$A$18)),
      TRIM(B3952)=TRIM(Enginuity!$A$17)
    )
  ),
  ROW(),
  ""
)</f>
        <v/>
      </c>
    </row>
    <row r="3953" spans="21:21" x14ac:dyDescent="0.25">
      <c r="U3953" s="104" t="str">
        <f>IF(
  AND(
    TRIM(A3953)=TRIM(Enginuity!$A$1),
    TRIM(B3953)=TRIM(Enginuity!$A$17),
    Q3953&lt;&gt;"",
    Q3953&lt;&gt;0,
    OR(
      TRIM(C3953)=TRIM(Enginuity!$A$18),
      AND(UPPER(TRIM(M3953))="STD", TRIM(B3953)=TRIM(Enginuity!$A$17))
    ),
    OR(
      AND(LEFT(P3953,5)="1-Way", Enginuity!$B$13=1),
      AND(LEFT(P3953,5)="2-Way", OR(Enginuity!$B$13=2, Enginuity!$B$13=4)),
      AND(LEFT(P3953,5)="3-Way", OR(Enginuity!$B$13=3, Enginuity!$B$13=6)),
      AND(P3953="Inner Centre Jamb", OR(Enginuity!$B$13=4, Enginuity!$B$13=6)),
      AND(
        LEFT(P3953,5)&lt;&gt;"1-Way",
        LEFT(P3953,5)&lt;&gt;"2-Way",
        LEFT(P3953,5)&lt;&gt;"3-Way",
        P3953&lt;&gt;"Inner Centre Jamb"
      )
    ),
    IF(OR(Enginuity!$A$1="Frameless Glass",Enginuity!$A$1="Metal Work"),
      AND(TRIM(B3953)=TRIM(Enginuity!$A$17),TRIM(C3953)=TRIM(Enginuity!$A$18)),
      TRIM(B3953)=TRIM(Enginuity!$A$17)
    )
  ),
  ROW(),
  ""
)</f>
        <v/>
      </c>
    </row>
    <row r="3954" spans="21:21" x14ac:dyDescent="0.25">
      <c r="U3954" s="104" t="str">
        <f>IF(
  AND(
    TRIM(A3954)=TRIM(Enginuity!$A$1),
    TRIM(B3954)=TRIM(Enginuity!$A$17),
    Q3954&lt;&gt;"",
    Q3954&lt;&gt;0,
    OR(
      TRIM(C3954)=TRIM(Enginuity!$A$18),
      AND(UPPER(TRIM(M3954))="STD", TRIM(B3954)=TRIM(Enginuity!$A$17))
    ),
    OR(
      AND(LEFT(P3954,5)="1-Way", Enginuity!$B$13=1),
      AND(LEFT(P3954,5)="2-Way", OR(Enginuity!$B$13=2, Enginuity!$B$13=4)),
      AND(LEFT(P3954,5)="3-Way", OR(Enginuity!$B$13=3, Enginuity!$B$13=6)),
      AND(P3954="Inner Centre Jamb", OR(Enginuity!$B$13=4, Enginuity!$B$13=6)),
      AND(
        LEFT(P3954,5)&lt;&gt;"1-Way",
        LEFT(P3954,5)&lt;&gt;"2-Way",
        LEFT(P3954,5)&lt;&gt;"3-Way",
        P3954&lt;&gt;"Inner Centre Jamb"
      )
    ),
    IF(OR(Enginuity!$A$1="Frameless Glass",Enginuity!$A$1="Metal Work"),
      AND(TRIM(B3954)=TRIM(Enginuity!$A$17),TRIM(C3954)=TRIM(Enginuity!$A$18)),
      TRIM(B3954)=TRIM(Enginuity!$A$17)
    )
  ),
  ROW(),
  ""
)</f>
        <v/>
      </c>
    </row>
    <row r="3955" spans="21:21" x14ac:dyDescent="0.25">
      <c r="U3955" s="104" t="str">
        <f>IF(
  AND(
    TRIM(A3955)=TRIM(Enginuity!$A$1),
    TRIM(B3955)=TRIM(Enginuity!$A$17),
    Q3955&lt;&gt;"",
    Q3955&lt;&gt;0,
    OR(
      TRIM(C3955)=TRIM(Enginuity!$A$18),
      AND(UPPER(TRIM(M3955))="STD", TRIM(B3955)=TRIM(Enginuity!$A$17))
    ),
    OR(
      AND(LEFT(P3955,5)="1-Way", Enginuity!$B$13=1),
      AND(LEFT(P3955,5)="2-Way", OR(Enginuity!$B$13=2, Enginuity!$B$13=4)),
      AND(LEFT(P3955,5)="3-Way", OR(Enginuity!$B$13=3, Enginuity!$B$13=6)),
      AND(P3955="Inner Centre Jamb", OR(Enginuity!$B$13=4, Enginuity!$B$13=6)),
      AND(
        LEFT(P3955,5)&lt;&gt;"1-Way",
        LEFT(P3955,5)&lt;&gt;"2-Way",
        LEFT(P3955,5)&lt;&gt;"3-Way",
        P3955&lt;&gt;"Inner Centre Jamb"
      )
    ),
    IF(OR(Enginuity!$A$1="Frameless Glass",Enginuity!$A$1="Metal Work"),
      AND(TRIM(B3955)=TRIM(Enginuity!$A$17),TRIM(C3955)=TRIM(Enginuity!$A$18)),
      TRIM(B3955)=TRIM(Enginuity!$A$17)
    )
  ),
  ROW(),
  ""
)</f>
        <v/>
      </c>
    </row>
    <row r="3956" spans="21:21" x14ac:dyDescent="0.25">
      <c r="U3956" s="104" t="str">
        <f>IF(
  AND(
    TRIM(A3956)=TRIM(Enginuity!$A$1),
    TRIM(B3956)=TRIM(Enginuity!$A$17),
    Q3956&lt;&gt;"",
    Q3956&lt;&gt;0,
    OR(
      TRIM(C3956)=TRIM(Enginuity!$A$18),
      AND(UPPER(TRIM(M3956))="STD", TRIM(B3956)=TRIM(Enginuity!$A$17))
    ),
    OR(
      AND(LEFT(P3956,5)="1-Way", Enginuity!$B$13=1),
      AND(LEFT(P3956,5)="2-Way", OR(Enginuity!$B$13=2, Enginuity!$B$13=4)),
      AND(LEFT(P3956,5)="3-Way", OR(Enginuity!$B$13=3, Enginuity!$B$13=6)),
      AND(P3956="Inner Centre Jamb", OR(Enginuity!$B$13=4, Enginuity!$B$13=6)),
      AND(
        LEFT(P3956,5)&lt;&gt;"1-Way",
        LEFT(P3956,5)&lt;&gt;"2-Way",
        LEFT(P3956,5)&lt;&gt;"3-Way",
        P3956&lt;&gt;"Inner Centre Jamb"
      )
    ),
    IF(OR(Enginuity!$A$1="Frameless Glass",Enginuity!$A$1="Metal Work"),
      AND(TRIM(B3956)=TRIM(Enginuity!$A$17),TRIM(C3956)=TRIM(Enginuity!$A$18)),
      TRIM(B3956)=TRIM(Enginuity!$A$17)
    )
  ),
  ROW(),
  ""
)</f>
        <v/>
      </c>
    </row>
    <row r="3957" spans="21:21" x14ac:dyDescent="0.25">
      <c r="U3957" s="104" t="str">
        <f>IF(
  AND(
    TRIM(A3957)=TRIM(Enginuity!$A$1),
    TRIM(B3957)=TRIM(Enginuity!$A$17),
    Q3957&lt;&gt;"",
    Q3957&lt;&gt;0,
    OR(
      TRIM(C3957)=TRIM(Enginuity!$A$18),
      AND(UPPER(TRIM(M3957))="STD", TRIM(B3957)=TRIM(Enginuity!$A$17))
    ),
    OR(
      AND(LEFT(P3957,5)="1-Way", Enginuity!$B$13=1),
      AND(LEFT(P3957,5)="2-Way", OR(Enginuity!$B$13=2, Enginuity!$B$13=4)),
      AND(LEFT(P3957,5)="3-Way", OR(Enginuity!$B$13=3, Enginuity!$B$13=6)),
      AND(P3957="Inner Centre Jamb", OR(Enginuity!$B$13=4, Enginuity!$B$13=6)),
      AND(
        LEFT(P3957,5)&lt;&gt;"1-Way",
        LEFT(P3957,5)&lt;&gt;"2-Way",
        LEFT(P3957,5)&lt;&gt;"3-Way",
        P3957&lt;&gt;"Inner Centre Jamb"
      )
    ),
    IF(OR(Enginuity!$A$1="Frameless Glass",Enginuity!$A$1="Metal Work"),
      AND(TRIM(B3957)=TRIM(Enginuity!$A$17),TRIM(C3957)=TRIM(Enginuity!$A$18)),
      TRIM(B3957)=TRIM(Enginuity!$A$17)
    )
  ),
  ROW(),
  ""
)</f>
        <v/>
      </c>
    </row>
    <row r="3958" spans="21:21" x14ac:dyDescent="0.25">
      <c r="U3958" s="104" t="str">
        <f>IF(
  AND(
    TRIM(A3958)=TRIM(Enginuity!$A$1),
    TRIM(B3958)=TRIM(Enginuity!$A$17),
    Q3958&lt;&gt;"",
    Q3958&lt;&gt;0,
    OR(
      TRIM(C3958)=TRIM(Enginuity!$A$18),
      AND(UPPER(TRIM(M3958))="STD", TRIM(B3958)=TRIM(Enginuity!$A$17))
    ),
    OR(
      AND(LEFT(P3958,5)="1-Way", Enginuity!$B$13=1),
      AND(LEFT(P3958,5)="2-Way", OR(Enginuity!$B$13=2, Enginuity!$B$13=4)),
      AND(LEFT(P3958,5)="3-Way", OR(Enginuity!$B$13=3, Enginuity!$B$13=6)),
      AND(P3958="Inner Centre Jamb", OR(Enginuity!$B$13=4, Enginuity!$B$13=6)),
      AND(
        LEFT(P3958,5)&lt;&gt;"1-Way",
        LEFT(P3958,5)&lt;&gt;"2-Way",
        LEFT(P3958,5)&lt;&gt;"3-Way",
        P3958&lt;&gt;"Inner Centre Jamb"
      )
    ),
    IF(OR(Enginuity!$A$1="Frameless Glass",Enginuity!$A$1="Metal Work"),
      AND(TRIM(B3958)=TRIM(Enginuity!$A$17),TRIM(C3958)=TRIM(Enginuity!$A$18)),
      TRIM(B3958)=TRIM(Enginuity!$A$17)
    )
  ),
  ROW(),
  ""
)</f>
        <v/>
      </c>
    </row>
    <row r="3959" spans="21:21" x14ac:dyDescent="0.25">
      <c r="U3959" s="104" t="str">
        <f>IF(
  AND(
    TRIM(A3959)=TRIM(Enginuity!$A$1),
    TRIM(B3959)=TRIM(Enginuity!$A$17),
    Q3959&lt;&gt;"",
    Q3959&lt;&gt;0,
    OR(
      TRIM(C3959)=TRIM(Enginuity!$A$18),
      AND(UPPER(TRIM(M3959))="STD", TRIM(B3959)=TRIM(Enginuity!$A$17))
    ),
    OR(
      AND(LEFT(P3959,5)="1-Way", Enginuity!$B$13=1),
      AND(LEFT(P3959,5)="2-Way", OR(Enginuity!$B$13=2, Enginuity!$B$13=4)),
      AND(LEFT(P3959,5)="3-Way", OR(Enginuity!$B$13=3, Enginuity!$B$13=6)),
      AND(P3959="Inner Centre Jamb", OR(Enginuity!$B$13=4, Enginuity!$B$13=6)),
      AND(
        LEFT(P3959,5)&lt;&gt;"1-Way",
        LEFT(P3959,5)&lt;&gt;"2-Way",
        LEFT(P3959,5)&lt;&gt;"3-Way",
        P3959&lt;&gt;"Inner Centre Jamb"
      )
    ),
    IF(OR(Enginuity!$A$1="Frameless Glass",Enginuity!$A$1="Metal Work"),
      AND(TRIM(B3959)=TRIM(Enginuity!$A$17),TRIM(C3959)=TRIM(Enginuity!$A$18)),
      TRIM(B3959)=TRIM(Enginuity!$A$17)
    )
  ),
  ROW(),
  ""
)</f>
        <v/>
      </c>
    </row>
    <row r="3960" spans="21:21" x14ac:dyDescent="0.25">
      <c r="U3960" s="104" t="str">
        <f>IF(
  AND(
    TRIM(A3960)=TRIM(Enginuity!$A$1),
    TRIM(B3960)=TRIM(Enginuity!$A$17),
    Q3960&lt;&gt;"",
    Q3960&lt;&gt;0,
    OR(
      TRIM(C3960)=TRIM(Enginuity!$A$18),
      AND(UPPER(TRIM(M3960))="STD", TRIM(B3960)=TRIM(Enginuity!$A$17))
    ),
    OR(
      AND(LEFT(P3960,5)="1-Way", Enginuity!$B$13=1),
      AND(LEFT(P3960,5)="2-Way", OR(Enginuity!$B$13=2, Enginuity!$B$13=4)),
      AND(LEFT(P3960,5)="3-Way", OR(Enginuity!$B$13=3, Enginuity!$B$13=6)),
      AND(P3960="Inner Centre Jamb", OR(Enginuity!$B$13=4, Enginuity!$B$13=6)),
      AND(
        LEFT(P3960,5)&lt;&gt;"1-Way",
        LEFT(P3960,5)&lt;&gt;"2-Way",
        LEFT(P3960,5)&lt;&gt;"3-Way",
        P3960&lt;&gt;"Inner Centre Jamb"
      )
    ),
    IF(OR(Enginuity!$A$1="Frameless Glass",Enginuity!$A$1="Metal Work"),
      AND(TRIM(B3960)=TRIM(Enginuity!$A$17),TRIM(C3960)=TRIM(Enginuity!$A$18)),
      TRIM(B3960)=TRIM(Enginuity!$A$17)
    )
  ),
  ROW(),
  ""
)</f>
        <v/>
      </c>
    </row>
    <row r="3961" spans="21:21" x14ac:dyDescent="0.25">
      <c r="U3961" s="104" t="str">
        <f>IF(
  AND(
    TRIM(A3961)=TRIM(Enginuity!$A$1),
    TRIM(B3961)=TRIM(Enginuity!$A$17),
    Q3961&lt;&gt;"",
    Q3961&lt;&gt;0,
    OR(
      TRIM(C3961)=TRIM(Enginuity!$A$18),
      AND(UPPER(TRIM(M3961))="STD", TRIM(B3961)=TRIM(Enginuity!$A$17))
    ),
    OR(
      AND(LEFT(P3961,5)="1-Way", Enginuity!$B$13=1),
      AND(LEFT(P3961,5)="2-Way", OR(Enginuity!$B$13=2, Enginuity!$B$13=4)),
      AND(LEFT(P3961,5)="3-Way", OR(Enginuity!$B$13=3, Enginuity!$B$13=6)),
      AND(P3961="Inner Centre Jamb", OR(Enginuity!$B$13=4, Enginuity!$B$13=6)),
      AND(
        LEFT(P3961,5)&lt;&gt;"1-Way",
        LEFT(P3961,5)&lt;&gt;"2-Way",
        LEFT(P3961,5)&lt;&gt;"3-Way",
        P3961&lt;&gt;"Inner Centre Jamb"
      )
    ),
    IF(OR(Enginuity!$A$1="Frameless Glass",Enginuity!$A$1="Metal Work"),
      AND(TRIM(B3961)=TRIM(Enginuity!$A$17),TRIM(C3961)=TRIM(Enginuity!$A$18)),
      TRIM(B3961)=TRIM(Enginuity!$A$17)
    )
  ),
  ROW(),
  ""
)</f>
        <v/>
      </c>
    </row>
    <row r="3962" spans="21:21" x14ac:dyDescent="0.25">
      <c r="U3962" s="104" t="str">
        <f>IF(
  AND(
    TRIM(A3962)=TRIM(Enginuity!$A$1),
    TRIM(B3962)=TRIM(Enginuity!$A$17),
    Q3962&lt;&gt;"",
    Q3962&lt;&gt;0,
    OR(
      TRIM(C3962)=TRIM(Enginuity!$A$18),
      AND(UPPER(TRIM(M3962))="STD", TRIM(B3962)=TRIM(Enginuity!$A$17))
    ),
    OR(
      AND(LEFT(P3962,5)="1-Way", Enginuity!$B$13=1),
      AND(LEFT(P3962,5)="2-Way", OR(Enginuity!$B$13=2, Enginuity!$B$13=4)),
      AND(LEFT(P3962,5)="3-Way", OR(Enginuity!$B$13=3, Enginuity!$B$13=6)),
      AND(P3962="Inner Centre Jamb", OR(Enginuity!$B$13=4, Enginuity!$B$13=6)),
      AND(
        LEFT(P3962,5)&lt;&gt;"1-Way",
        LEFT(P3962,5)&lt;&gt;"2-Way",
        LEFT(P3962,5)&lt;&gt;"3-Way",
        P3962&lt;&gt;"Inner Centre Jamb"
      )
    ),
    IF(OR(Enginuity!$A$1="Frameless Glass",Enginuity!$A$1="Metal Work"),
      AND(TRIM(B3962)=TRIM(Enginuity!$A$17),TRIM(C3962)=TRIM(Enginuity!$A$18)),
      TRIM(B3962)=TRIM(Enginuity!$A$17)
    )
  ),
  ROW(),
  ""
)</f>
        <v/>
      </c>
    </row>
    <row r="3963" spans="21:21" x14ac:dyDescent="0.25">
      <c r="U3963" s="104" t="str">
        <f>IF(
  AND(
    TRIM(A3963)=TRIM(Enginuity!$A$1),
    TRIM(B3963)=TRIM(Enginuity!$A$17),
    Q3963&lt;&gt;"",
    Q3963&lt;&gt;0,
    OR(
      TRIM(C3963)=TRIM(Enginuity!$A$18),
      AND(UPPER(TRIM(M3963))="STD", TRIM(B3963)=TRIM(Enginuity!$A$17))
    ),
    OR(
      AND(LEFT(P3963,5)="1-Way", Enginuity!$B$13=1),
      AND(LEFT(P3963,5)="2-Way", OR(Enginuity!$B$13=2, Enginuity!$B$13=4)),
      AND(LEFT(P3963,5)="3-Way", OR(Enginuity!$B$13=3, Enginuity!$B$13=6)),
      AND(P3963="Inner Centre Jamb", OR(Enginuity!$B$13=4, Enginuity!$B$13=6)),
      AND(
        LEFT(P3963,5)&lt;&gt;"1-Way",
        LEFT(P3963,5)&lt;&gt;"2-Way",
        LEFT(P3963,5)&lt;&gt;"3-Way",
        P3963&lt;&gt;"Inner Centre Jamb"
      )
    ),
    IF(OR(Enginuity!$A$1="Frameless Glass",Enginuity!$A$1="Metal Work"),
      AND(TRIM(B3963)=TRIM(Enginuity!$A$17),TRIM(C3963)=TRIM(Enginuity!$A$18)),
      TRIM(B3963)=TRIM(Enginuity!$A$17)
    )
  ),
  ROW(),
  ""
)</f>
        <v/>
      </c>
    </row>
    <row r="3964" spans="21:21" x14ac:dyDescent="0.25">
      <c r="U3964" s="104" t="str">
        <f>IF(
  AND(
    TRIM(A3964)=TRIM(Enginuity!$A$1),
    TRIM(B3964)=TRIM(Enginuity!$A$17),
    Q3964&lt;&gt;"",
    Q3964&lt;&gt;0,
    OR(
      TRIM(C3964)=TRIM(Enginuity!$A$18),
      AND(UPPER(TRIM(M3964))="STD", TRIM(B3964)=TRIM(Enginuity!$A$17))
    ),
    OR(
      AND(LEFT(P3964,5)="1-Way", Enginuity!$B$13=1),
      AND(LEFT(P3964,5)="2-Way", OR(Enginuity!$B$13=2, Enginuity!$B$13=4)),
      AND(LEFT(P3964,5)="3-Way", OR(Enginuity!$B$13=3, Enginuity!$B$13=6)),
      AND(P3964="Inner Centre Jamb", OR(Enginuity!$B$13=4, Enginuity!$B$13=6)),
      AND(
        LEFT(P3964,5)&lt;&gt;"1-Way",
        LEFT(P3964,5)&lt;&gt;"2-Way",
        LEFT(P3964,5)&lt;&gt;"3-Way",
        P3964&lt;&gt;"Inner Centre Jamb"
      )
    ),
    IF(OR(Enginuity!$A$1="Frameless Glass",Enginuity!$A$1="Metal Work"),
      AND(TRIM(B3964)=TRIM(Enginuity!$A$17),TRIM(C3964)=TRIM(Enginuity!$A$18)),
      TRIM(B3964)=TRIM(Enginuity!$A$17)
    )
  ),
  ROW(),
  ""
)</f>
        <v/>
      </c>
    </row>
    <row r="3965" spans="21:21" x14ac:dyDescent="0.25">
      <c r="U3965" s="104" t="str">
        <f>IF(
  AND(
    TRIM(A3965)=TRIM(Enginuity!$A$1),
    TRIM(B3965)=TRIM(Enginuity!$A$17),
    Q3965&lt;&gt;"",
    Q3965&lt;&gt;0,
    OR(
      TRIM(C3965)=TRIM(Enginuity!$A$18),
      AND(UPPER(TRIM(M3965))="STD", TRIM(B3965)=TRIM(Enginuity!$A$17))
    ),
    OR(
      AND(LEFT(P3965,5)="1-Way", Enginuity!$B$13=1),
      AND(LEFT(P3965,5)="2-Way", OR(Enginuity!$B$13=2, Enginuity!$B$13=4)),
      AND(LEFT(P3965,5)="3-Way", OR(Enginuity!$B$13=3, Enginuity!$B$13=6)),
      AND(P3965="Inner Centre Jamb", OR(Enginuity!$B$13=4, Enginuity!$B$13=6)),
      AND(
        LEFT(P3965,5)&lt;&gt;"1-Way",
        LEFT(P3965,5)&lt;&gt;"2-Way",
        LEFT(P3965,5)&lt;&gt;"3-Way",
        P3965&lt;&gt;"Inner Centre Jamb"
      )
    ),
    IF(OR(Enginuity!$A$1="Frameless Glass",Enginuity!$A$1="Metal Work"),
      AND(TRIM(B3965)=TRIM(Enginuity!$A$17),TRIM(C3965)=TRIM(Enginuity!$A$18)),
      TRIM(B3965)=TRIM(Enginuity!$A$17)
    )
  ),
  ROW(),
  ""
)</f>
        <v/>
      </c>
    </row>
    <row r="3966" spans="21:21" x14ac:dyDescent="0.25">
      <c r="U3966" s="104" t="str">
        <f>IF(
  AND(
    TRIM(A3966)=TRIM(Enginuity!$A$1),
    TRIM(B3966)=TRIM(Enginuity!$A$17),
    Q3966&lt;&gt;"",
    Q3966&lt;&gt;0,
    OR(
      TRIM(C3966)=TRIM(Enginuity!$A$18),
      AND(UPPER(TRIM(M3966))="STD", TRIM(B3966)=TRIM(Enginuity!$A$17))
    ),
    OR(
      AND(LEFT(P3966,5)="1-Way", Enginuity!$B$13=1),
      AND(LEFT(P3966,5)="2-Way", OR(Enginuity!$B$13=2, Enginuity!$B$13=4)),
      AND(LEFT(P3966,5)="3-Way", OR(Enginuity!$B$13=3, Enginuity!$B$13=6)),
      AND(P3966="Inner Centre Jamb", OR(Enginuity!$B$13=4, Enginuity!$B$13=6)),
      AND(
        LEFT(P3966,5)&lt;&gt;"1-Way",
        LEFT(P3966,5)&lt;&gt;"2-Way",
        LEFT(P3966,5)&lt;&gt;"3-Way",
        P3966&lt;&gt;"Inner Centre Jamb"
      )
    ),
    IF(OR(Enginuity!$A$1="Frameless Glass",Enginuity!$A$1="Metal Work"),
      AND(TRIM(B3966)=TRIM(Enginuity!$A$17),TRIM(C3966)=TRIM(Enginuity!$A$18)),
      TRIM(B3966)=TRIM(Enginuity!$A$17)
    )
  ),
  ROW(),
  ""
)</f>
        <v/>
      </c>
    </row>
    <row r="3967" spans="21:21" x14ac:dyDescent="0.25">
      <c r="U3967" s="104" t="str">
        <f>IF(
  AND(
    TRIM(A3967)=TRIM(Enginuity!$A$1),
    TRIM(B3967)=TRIM(Enginuity!$A$17),
    Q3967&lt;&gt;"",
    Q3967&lt;&gt;0,
    OR(
      TRIM(C3967)=TRIM(Enginuity!$A$18),
      AND(UPPER(TRIM(M3967))="STD", TRIM(B3967)=TRIM(Enginuity!$A$17))
    ),
    OR(
      AND(LEFT(P3967,5)="1-Way", Enginuity!$B$13=1),
      AND(LEFT(P3967,5)="2-Way", OR(Enginuity!$B$13=2, Enginuity!$B$13=4)),
      AND(LEFT(P3967,5)="3-Way", OR(Enginuity!$B$13=3, Enginuity!$B$13=6)),
      AND(P3967="Inner Centre Jamb", OR(Enginuity!$B$13=4, Enginuity!$B$13=6)),
      AND(
        LEFT(P3967,5)&lt;&gt;"1-Way",
        LEFT(P3967,5)&lt;&gt;"2-Way",
        LEFT(P3967,5)&lt;&gt;"3-Way",
        P3967&lt;&gt;"Inner Centre Jamb"
      )
    ),
    IF(OR(Enginuity!$A$1="Frameless Glass",Enginuity!$A$1="Metal Work"),
      AND(TRIM(B3967)=TRIM(Enginuity!$A$17),TRIM(C3967)=TRIM(Enginuity!$A$18)),
      TRIM(B3967)=TRIM(Enginuity!$A$17)
    )
  ),
  ROW(),
  ""
)</f>
        <v/>
      </c>
    </row>
    <row r="3968" spans="21:21" x14ac:dyDescent="0.25">
      <c r="U3968" s="104" t="str">
        <f>IF(
  AND(
    TRIM(A3968)=TRIM(Enginuity!$A$1),
    TRIM(B3968)=TRIM(Enginuity!$A$17),
    Q3968&lt;&gt;"",
    Q3968&lt;&gt;0,
    OR(
      TRIM(C3968)=TRIM(Enginuity!$A$18),
      AND(UPPER(TRIM(M3968))="STD", TRIM(B3968)=TRIM(Enginuity!$A$17))
    ),
    OR(
      AND(LEFT(P3968,5)="1-Way", Enginuity!$B$13=1),
      AND(LEFT(P3968,5)="2-Way", OR(Enginuity!$B$13=2, Enginuity!$B$13=4)),
      AND(LEFT(P3968,5)="3-Way", OR(Enginuity!$B$13=3, Enginuity!$B$13=6)),
      AND(P3968="Inner Centre Jamb", OR(Enginuity!$B$13=4, Enginuity!$B$13=6)),
      AND(
        LEFT(P3968,5)&lt;&gt;"1-Way",
        LEFT(P3968,5)&lt;&gt;"2-Way",
        LEFT(P3968,5)&lt;&gt;"3-Way",
        P3968&lt;&gt;"Inner Centre Jamb"
      )
    ),
    IF(OR(Enginuity!$A$1="Frameless Glass",Enginuity!$A$1="Metal Work"),
      AND(TRIM(B3968)=TRIM(Enginuity!$A$17),TRIM(C3968)=TRIM(Enginuity!$A$18)),
      TRIM(B3968)=TRIM(Enginuity!$A$17)
    )
  ),
  ROW(),
  ""
)</f>
        <v/>
      </c>
    </row>
    <row r="3969" spans="21:21" x14ac:dyDescent="0.25">
      <c r="U3969" s="104" t="str">
        <f>IF(
  AND(
    TRIM(A3969)=TRIM(Enginuity!$A$1),
    TRIM(B3969)=TRIM(Enginuity!$A$17),
    Q3969&lt;&gt;"",
    Q3969&lt;&gt;0,
    OR(
      TRIM(C3969)=TRIM(Enginuity!$A$18),
      AND(UPPER(TRIM(M3969))="STD", TRIM(B3969)=TRIM(Enginuity!$A$17))
    ),
    OR(
      AND(LEFT(P3969,5)="1-Way", Enginuity!$B$13=1),
      AND(LEFT(P3969,5)="2-Way", OR(Enginuity!$B$13=2, Enginuity!$B$13=4)),
      AND(LEFT(P3969,5)="3-Way", OR(Enginuity!$B$13=3, Enginuity!$B$13=6)),
      AND(P3969="Inner Centre Jamb", OR(Enginuity!$B$13=4, Enginuity!$B$13=6)),
      AND(
        LEFT(P3969,5)&lt;&gt;"1-Way",
        LEFT(P3969,5)&lt;&gt;"2-Way",
        LEFT(P3969,5)&lt;&gt;"3-Way",
        P3969&lt;&gt;"Inner Centre Jamb"
      )
    ),
    IF(OR(Enginuity!$A$1="Frameless Glass",Enginuity!$A$1="Metal Work"),
      AND(TRIM(B3969)=TRIM(Enginuity!$A$17),TRIM(C3969)=TRIM(Enginuity!$A$18)),
      TRIM(B3969)=TRIM(Enginuity!$A$17)
    )
  ),
  ROW(),
  ""
)</f>
        <v/>
      </c>
    </row>
    <row r="3970" spans="21:21" x14ac:dyDescent="0.25">
      <c r="U3970" s="104" t="str">
        <f>IF(
  AND(
    TRIM(A3970)=TRIM(Enginuity!$A$1),
    TRIM(B3970)=TRIM(Enginuity!$A$17),
    Q3970&lt;&gt;"",
    Q3970&lt;&gt;0,
    OR(
      TRIM(C3970)=TRIM(Enginuity!$A$18),
      AND(UPPER(TRIM(M3970))="STD", TRIM(B3970)=TRIM(Enginuity!$A$17))
    ),
    OR(
      AND(LEFT(P3970,5)="1-Way", Enginuity!$B$13=1),
      AND(LEFT(P3970,5)="2-Way", OR(Enginuity!$B$13=2, Enginuity!$B$13=4)),
      AND(LEFT(P3970,5)="3-Way", OR(Enginuity!$B$13=3, Enginuity!$B$13=6)),
      AND(P3970="Inner Centre Jamb", OR(Enginuity!$B$13=4, Enginuity!$B$13=6)),
      AND(
        LEFT(P3970,5)&lt;&gt;"1-Way",
        LEFT(P3970,5)&lt;&gt;"2-Way",
        LEFT(P3970,5)&lt;&gt;"3-Way",
        P3970&lt;&gt;"Inner Centre Jamb"
      )
    ),
    IF(OR(Enginuity!$A$1="Frameless Glass",Enginuity!$A$1="Metal Work"),
      AND(TRIM(B3970)=TRIM(Enginuity!$A$17),TRIM(C3970)=TRIM(Enginuity!$A$18)),
      TRIM(B3970)=TRIM(Enginuity!$A$17)
    )
  ),
  ROW(),
  ""
)</f>
        <v/>
      </c>
    </row>
    <row r="3971" spans="21:21" x14ac:dyDescent="0.25">
      <c r="U3971" s="104" t="str">
        <f>IF(
  AND(
    TRIM(A3971)=TRIM(Enginuity!$A$1),
    TRIM(B3971)=TRIM(Enginuity!$A$17),
    Q3971&lt;&gt;"",
    Q3971&lt;&gt;0,
    OR(
      TRIM(C3971)=TRIM(Enginuity!$A$18),
      AND(UPPER(TRIM(M3971))="STD", TRIM(B3971)=TRIM(Enginuity!$A$17))
    ),
    OR(
      AND(LEFT(P3971,5)="1-Way", Enginuity!$B$13=1),
      AND(LEFT(P3971,5)="2-Way", OR(Enginuity!$B$13=2, Enginuity!$B$13=4)),
      AND(LEFT(P3971,5)="3-Way", OR(Enginuity!$B$13=3, Enginuity!$B$13=6)),
      AND(P3971="Inner Centre Jamb", OR(Enginuity!$B$13=4, Enginuity!$B$13=6)),
      AND(
        LEFT(P3971,5)&lt;&gt;"1-Way",
        LEFT(P3971,5)&lt;&gt;"2-Way",
        LEFT(P3971,5)&lt;&gt;"3-Way",
        P3971&lt;&gt;"Inner Centre Jamb"
      )
    ),
    IF(OR(Enginuity!$A$1="Frameless Glass",Enginuity!$A$1="Metal Work"),
      AND(TRIM(B3971)=TRIM(Enginuity!$A$17),TRIM(C3971)=TRIM(Enginuity!$A$18)),
      TRIM(B3971)=TRIM(Enginuity!$A$17)
    )
  ),
  ROW(),
  ""
)</f>
        <v/>
      </c>
    </row>
    <row r="3972" spans="21:21" x14ac:dyDescent="0.25">
      <c r="U3972" s="104" t="str">
        <f>IF(
  AND(
    TRIM(A3972)=TRIM(Enginuity!$A$1),
    TRIM(B3972)=TRIM(Enginuity!$A$17),
    Q3972&lt;&gt;"",
    Q3972&lt;&gt;0,
    OR(
      TRIM(C3972)=TRIM(Enginuity!$A$18),
      AND(UPPER(TRIM(M3972))="STD", TRIM(B3972)=TRIM(Enginuity!$A$17))
    ),
    OR(
      AND(LEFT(P3972,5)="1-Way", Enginuity!$B$13=1),
      AND(LEFT(P3972,5)="2-Way", OR(Enginuity!$B$13=2, Enginuity!$B$13=4)),
      AND(LEFT(P3972,5)="3-Way", OR(Enginuity!$B$13=3, Enginuity!$B$13=6)),
      AND(P3972="Inner Centre Jamb", OR(Enginuity!$B$13=4, Enginuity!$B$13=6)),
      AND(
        LEFT(P3972,5)&lt;&gt;"1-Way",
        LEFT(P3972,5)&lt;&gt;"2-Way",
        LEFT(P3972,5)&lt;&gt;"3-Way",
        P3972&lt;&gt;"Inner Centre Jamb"
      )
    ),
    IF(OR(Enginuity!$A$1="Frameless Glass",Enginuity!$A$1="Metal Work"),
      AND(TRIM(B3972)=TRIM(Enginuity!$A$17),TRIM(C3972)=TRIM(Enginuity!$A$18)),
      TRIM(B3972)=TRIM(Enginuity!$A$17)
    )
  ),
  ROW(),
  ""
)</f>
        <v/>
      </c>
    </row>
    <row r="3973" spans="21:21" x14ac:dyDescent="0.25">
      <c r="U3973" s="104" t="str">
        <f>IF(
  AND(
    TRIM(A3973)=TRIM(Enginuity!$A$1),
    TRIM(B3973)=TRIM(Enginuity!$A$17),
    Q3973&lt;&gt;"",
    Q3973&lt;&gt;0,
    OR(
      TRIM(C3973)=TRIM(Enginuity!$A$18),
      AND(UPPER(TRIM(M3973))="STD", TRIM(B3973)=TRIM(Enginuity!$A$17))
    ),
    OR(
      AND(LEFT(P3973,5)="1-Way", Enginuity!$B$13=1),
      AND(LEFT(P3973,5)="2-Way", OR(Enginuity!$B$13=2, Enginuity!$B$13=4)),
      AND(LEFT(P3973,5)="3-Way", OR(Enginuity!$B$13=3, Enginuity!$B$13=6)),
      AND(P3973="Inner Centre Jamb", OR(Enginuity!$B$13=4, Enginuity!$B$13=6)),
      AND(
        LEFT(P3973,5)&lt;&gt;"1-Way",
        LEFT(P3973,5)&lt;&gt;"2-Way",
        LEFT(P3973,5)&lt;&gt;"3-Way",
        P3973&lt;&gt;"Inner Centre Jamb"
      )
    ),
    IF(OR(Enginuity!$A$1="Frameless Glass",Enginuity!$A$1="Metal Work"),
      AND(TRIM(B3973)=TRIM(Enginuity!$A$17),TRIM(C3973)=TRIM(Enginuity!$A$18)),
      TRIM(B3973)=TRIM(Enginuity!$A$17)
    )
  ),
  ROW(),
  ""
)</f>
        <v/>
      </c>
    </row>
    <row r="3974" spans="21:21" x14ac:dyDescent="0.25">
      <c r="U3974" s="104" t="str">
        <f>IF(
  AND(
    TRIM(A3974)=TRIM(Enginuity!$A$1),
    TRIM(B3974)=TRIM(Enginuity!$A$17),
    Q3974&lt;&gt;"",
    Q3974&lt;&gt;0,
    OR(
      TRIM(C3974)=TRIM(Enginuity!$A$18),
      AND(UPPER(TRIM(M3974))="STD", TRIM(B3974)=TRIM(Enginuity!$A$17))
    ),
    OR(
      AND(LEFT(P3974,5)="1-Way", Enginuity!$B$13=1),
      AND(LEFT(P3974,5)="2-Way", OR(Enginuity!$B$13=2, Enginuity!$B$13=4)),
      AND(LEFT(P3974,5)="3-Way", OR(Enginuity!$B$13=3, Enginuity!$B$13=6)),
      AND(P3974="Inner Centre Jamb", OR(Enginuity!$B$13=4, Enginuity!$B$13=6)),
      AND(
        LEFT(P3974,5)&lt;&gt;"1-Way",
        LEFT(P3974,5)&lt;&gt;"2-Way",
        LEFT(P3974,5)&lt;&gt;"3-Way",
        P3974&lt;&gt;"Inner Centre Jamb"
      )
    ),
    IF(OR(Enginuity!$A$1="Frameless Glass",Enginuity!$A$1="Metal Work"),
      AND(TRIM(B3974)=TRIM(Enginuity!$A$17),TRIM(C3974)=TRIM(Enginuity!$A$18)),
      TRIM(B3974)=TRIM(Enginuity!$A$17)
    )
  ),
  ROW(),
  ""
)</f>
        <v/>
      </c>
    </row>
    <row r="3975" spans="21:21" x14ac:dyDescent="0.25">
      <c r="U3975" s="104" t="str">
        <f>IF(
  AND(
    TRIM(A3975)=TRIM(Enginuity!$A$1),
    TRIM(B3975)=TRIM(Enginuity!$A$17),
    Q3975&lt;&gt;"",
    Q3975&lt;&gt;0,
    OR(
      TRIM(C3975)=TRIM(Enginuity!$A$18),
      AND(UPPER(TRIM(M3975))="STD", TRIM(B3975)=TRIM(Enginuity!$A$17))
    ),
    OR(
      AND(LEFT(P3975,5)="1-Way", Enginuity!$B$13=1),
      AND(LEFT(P3975,5)="2-Way", OR(Enginuity!$B$13=2, Enginuity!$B$13=4)),
      AND(LEFT(P3975,5)="3-Way", OR(Enginuity!$B$13=3, Enginuity!$B$13=6)),
      AND(P3975="Inner Centre Jamb", OR(Enginuity!$B$13=4, Enginuity!$B$13=6)),
      AND(
        LEFT(P3975,5)&lt;&gt;"1-Way",
        LEFT(P3975,5)&lt;&gt;"2-Way",
        LEFT(P3975,5)&lt;&gt;"3-Way",
        P3975&lt;&gt;"Inner Centre Jamb"
      )
    ),
    IF(OR(Enginuity!$A$1="Frameless Glass",Enginuity!$A$1="Metal Work"),
      AND(TRIM(B3975)=TRIM(Enginuity!$A$17),TRIM(C3975)=TRIM(Enginuity!$A$18)),
      TRIM(B3975)=TRIM(Enginuity!$A$17)
    )
  ),
  ROW(),
  ""
)</f>
        <v/>
      </c>
    </row>
    <row r="3976" spans="21:21" x14ac:dyDescent="0.25">
      <c r="U3976" s="104" t="str">
        <f>IF(
  AND(
    TRIM(A3976)=TRIM(Enginuity!$A$1),
    TRIM(B3976)=TRIM(Enginuity!$A$17),
    Q3976&lt;&gt;"",
    Q3976&lt;&gt;0,
    OR(
      TRIM(C3976)=TRIM(Enginuity!$A$18),
      AND(UPPER(TRIM(M3976))="STD", TRIM(B3976)=TRIM(Enginuity!$A$17))
    ),
    OR(
      AND(LEFT(P3976,5)="1-Way", Enginuity!$B$13=1),
      AND(LEFT(P3976,5)="2-Way", OR(Enginuity!$B$13=2, Enginuity!$B$13=4)),
      AND(LEFT(P3976,5)="3-Way", OR(Enginuity!$B$13=3, Enginuity!$B$13=6)),
      AND(P3976="Inner Centre Jamb", OR(Enginuity!$B$13=4, Enginuity!$B$13=6)),
      AND(
        LEFT(P3976,5)&lt;&gt;"1-Way",
        LEFT(P3976,5)&lt;&gt;"2-Way",
        LEFT(P3976,5)&lt;&gt;"3-Way",
        P3976&lt;&gt;"Inner Centre Jamb"
      )
    ),
    IF(OR(Enginuity!$A$1="Frameless Glass",Enginuity!$A$1="Metal Work"),
      AND(TRIM(B3976)=TRIM(Enginuity!$A$17),TRIM(C3976)=TRIM(Enginuity!$A$18)),
      TRIM(B3976)=TRIM(Enginuity!$A$17)
    )
  ),
  ROW(),
  ""
)</f>
        <v/>
      </c>
    </row>
    <row r="3977" spans="21:21" x14ac:dyDescent="0.25">
      <c r="U3977" s="104" t="str">
        <f>IF(
  AND(
    TRIM(A3977)=TRIM(Enginuity!$A$1),
    TRIM(B3977)=TRIM(Enginuity!$A$17),
    Q3977&lt;&gt;"",
    Q3977&lt;&gt;0,
    OR(
      TRIM(C3977)=TRIM(Enginuity!$A$18),
      AND(UPPER(TRIM(M3977))="STD", TRIM(B3977)=TRIM(Enginuity!$A$17))
    ),
    OR(
      AND(LEFT(P3977,5)="1-Way", Enginuity!$B$13=1),
      AND(LEFT(P3977,5)="2-Way", OR(Enginuity!$B$13=2, Enginuity!$B$13=4)),
      AND(LEFT(P3977,5)="3-Way", OR(Enginuity!$B$13=3, Enginuity!$B$13=6)),
      AND(P3977="Inner Centre Jamb", OR(Enginuity!$B$13=4, Enginuity!$B$13=6)),
      AND(
        LEFT(P3977,5)&lt;&gt;"1-Way",
        LEFT(P3977,5)&lt;&gt;"2-Way",
        LEFT(P3977,5)&lt;&gt;"3-Way",
        P3977&lt;&gt;"Inner Centre Jamb"
      )
    ),
    IF(OR(Enginuity!$A$1="Frameless Glass",Enginuity!$A$1="Metal Work"),
      AND(TRIM(B3977)=TRIM(Enginuity!$A$17),TRIM(C3977)=TRIM(Enginuity!$A$18)),
      TRIM(B3977)=TRIM(Enginuity!$A$17)
    )
  ),
  ROW(),
  ""
)</f>
        <v/>
      </c>
    </row>
    <row r="3978" spans="21:21" x14ac:dyDescent="0.25">
      <c r="U3978" s="104" t="str">
        <f>IF(
  AND(
    TRIM(A3978)=TRIM(Enginuity!$A$1),
    TRIM(B3978)=TRIM(Enginuity!$A$17),
    Q3978&lt;&gt;"",
    Q3978&lt;&gt;0,
    OR(
      TRIM(C3978)=TRIM(Enginuity!$A$18),
      AND(UPPER(TRIM(M3978))="STD", TRIM(B3978)=TRIM(Enginuity!$A$17))
    ),
    OR(
      AND(LEFT(P3978,5)="1-Way", Enginuity!$B$13=1),
      AND(LEFT(P3978,5)="2-Way", OR(Enginuity!$B$13=2, Enginuity!$B$13=4)),
      AND(LEFT(P3978,5)="3-Way", OR(Enginuity!$B$13=3, Enginuity!$B$13=6)),
      AND(P3978="Inner Centre Jamb", OR(Enginuity!$B$13=4, Enginuity!$B$13=6)),
      AND(
        LEFT(P3978,5)&lt;&gt;"1-Way",
        LEFT(P3978,5)&lt;&gt;"2-Way",
        LEFT(P3978,5)&lt;&gt;"3-Way",
        P3978&lt;&gt;"Inner Centre Jamb"
      )
    ),
    IF(OR(Enginuity!$A$1="Frameless Glass",Enginuity!$A$1="Metal Work"),
      AND(TRIM(B3978)=TRIM(Enginuity!$A$17),TRIM(C3978)=TRIM(Enginuity!$A$18)),
      TRIM(B3978)=TRIM(Enginuity!$A$17)
    )
  ),
  ROW(),
  ""
)</f>
        <v/>
      </c>
    </row>
    <row r="3979" spans="21:21" x14ac:dyDescent="0.25">
      <c r="U3979" s="104" t="str">
        <f>IF(
  AND(
    TRIM(A3979)=TRIM(Enginuity!$A$1),
    TRIM(B3979)=TRIM(Enginuity!$A$17),
    Q3979&lt;&gt;"",
    Q3979&lt;&gt;0,
    OR(
      TRIM(C3979)=TRIM(Enginuity!$A$18),
      AND(UPPER(TRIM(M3979))="STD", TRIM(B3979)=TRIM(Enginuity!$A$17))
    ),
    OR(
      AND(LEFT(P3979,5)="1-Way", Enginuity!$B$13=1),
      AND(LEFT(P3979,5)="2-Way", OR(Enginuity!$B$13=2, Enginuity!$B$13=4)),
      AND(LEFT(P3979,5)="3-Way", OR(Enginuity!$B$13=3, Enginuity!$B$13=6)),
      AND(P3979="Inner Centre Jamb", OR(Enginuity!$B$13=4, Enginuity!$B$13=6)),
      AND(
        LEFT(P3979,5)&lt;&gt;"1-Way",
        LEFT(P3979,5)&lt;&gt;"2-Way",
        LEFT(P3979,5)&lt;&gt;"3-Way",
        P3979&lt;&gt;"Inner Centre Jamb"
      )
    ),
    IF(OR(Enginuity!$A$1="Frameless Glass",Enginuity!$A$1="Metal Work"),
      AND(TRIM(B3979)=TRIM(Enginuity!$A$17),TRIM(C3979)=TRIM(Enginuity!$A$18)),
      TRIM(B3979)=TRIM(Enginuity!$A$17)
    )
  ),
  ROW(),
  ""
)</f>
        <v/>
      </c>
    </row>
    <row r="3980" spans="21:21" x14ac:dyDescent="0.25">
      <c r="U3980" s="104" t="str">
        <f>IF(
  AND(
    TRIM(A3980)=TRIM(Enginuity!$A$1),
    TRIM(B3980)=TRIM(Enginuity!$A$17),
    Q3980&lt;&gt;"",
    Q3980&lt;&gt;0,
    OR(
      TRIM(C3980)=TRIM(Enginuity!$A$18),
      AND(UPPER(TRIM(M3980))="STD", TRIM(B3980)=TRIM(Enginuity!$A$17))
    ),
    OR(
      AND(LEFT(P3980,5)="1-Way", Enginuity!$B$13=1),
      AND(LEFT(P3980,5)="2-Way", OR(Enginuity!$B$13=2, Enginuity!$B$13=4)),
      AND(LEFT(P3980,5)="3-Way", OR(Enginuity!$B$13=3, Enginuity!$B$13=6)),
      AND(P3980="Inner Centre Jamb", OR(Enginuity!$B$13=4, Enginuity!$B$13=6)),
      AND(
        LEFT(P3980,5)&lt;&gt;"1-Way",
        LEFT(P3980,5)&lt;&gt;"2-Way",
        LEFT(P3980,5)&lt;&gt;"3-Way",
        P3980&lt;&gt;"Inner Centre Jamb"
      )
    ),
    IF(OR(Enginuity!$A$1="Frameless Glass",Enginuity!$A$1="Metal Work"),
      AND(TRIM(B3980)=TRIM(Enginuity!$A$17),TRIM(C3980)=TRIM(Enginuity!$A$18)),
      TRIM(B3980)=TRIM(Enginuity!$A$17)
    )
  ),
  ROW(),
  ""
)</f>
        <v/>
      </c>
    </row>
    <row r="3981" spans="21:21" x14ac:dyDescent="0.25">
      <c r="U3981" s="104" t="str">
        <f>IF(
  AND(
    TRIM(A3981)=TRIM(Enginuity!$A$1),
    TRIM(B3981)=TRIM(Enginuity!$A$17),
    Q3981&lt;&gt;"",
    Q3981&lt;&gt;0,
    OR(
      TRIM(C3981)=TRIM(Enginuity!$A$18),
      AND(UPPER(TRIM(M3981))="STD", TRIM(B3981)=TRIM(Enginuity!$A$17))
    ),
    OR(
      AND(LEFT(P3981,5)="1-Way", Enginuity!$B$13=1),
      AND(LEFT(P3981,5)="2-Way", OR(Enginuity!$B$13=2, Enginuity!$B$13=4)),
      AND(LEFT(P3981,5)="3-Way", OR(Enginuity!$B$13=3, Enginuity!$B$13=6)),
      AND(P3981="Inner Centre Jamb", OR(Enginuity!$B$13=4, Enginuity!$B$13=6)),
      AND(
        LEFT(P3981,5)&lt;&gt;"1-Way",
        LEFT(P3981,5)&lt;&gt;"2-Way",
        LEFT(P3981,5)&lt;&gt;"3-Way",
        P3981&lt;&gt;"Inner Centre Jamb"
      )
    ),
    IF(OR(Enginuity!$A$1="Frameless Glass",Enginuity!$A$1="Metal Work"),
      AND(TRIM(B3981)=TRIM(Enginuity!$A$17),TRIM(C3981)=TRIM(Enginuity!$A$18)),
      TRIM(B3981)=TRIM(Enginuity!$A$17)
    )
  ),
  ROW(),
  ""
)</f>
        <v/>
      </c>
    </row>
    <row r="3982" spans="21:21" x14ac:dyDescent="0.25">
      <c r="U3982" s="104" t="str">
        <f>IF(
  AND(
    TRIM(A3982)=TRIM(Enginuity!$A$1),
    TRIM(B3982)=TRIM(Enginuity!$A$17),
    Q3982&lt;&gt;"",
    Q3982&lt;&gt;0,
    OR(
      TRIM(C3982)=TRIM(Enginuity!$A$18),
      AND(UPPER(TRIM(M3982))="STD", TRIM(B3982)=TRIM(Enginuity!$A$17))
    ),
    OR(
      AND(LEFT(P3982,5)="1-Way", Enginuity!$B$13=1),
      AND(LEFT(P3982,5)="2-Way", OR(Enginuity!$B$13=2, Enginuity!$B$13=4)),
      AND(LEFT(P3982,5)="3-Way", OR(Enginuity!$B$13=3, Enginuity!$B$13=6)),
      AND(P3982="Inner Centre Jamb", OR(Enginuity!$B$13=4, Enginuity!$B$13=6)),
      AND(
        LEFT(P3982,5)&lt;&gt;"1-Way",
        LEFT(P3982,5)&lt;&gt;"2-Way",
        LEFT(P3982,5)&lt;&gt;"3-Way",
        P3982&lt;&gt;"Inner Centre Jamb"
      )
    ),
    IF(OR(Enginuity!$A$1="Frameless Glass",Enginuity!$A$1="Metal Work"),
      AND(TRIM(B3982)=TRIM(Enginuity!$A$17),TRIM(C3982)=TRIM(Enginuity!$A$18)),
      TRIM(B3982)=TRIM(Enginuity!$A$17)
    )
  ),
  ROW(),
  ""
)</f>
        <v/>
      </c>
    </row>
    <row r="3983" spans="21:21" x14ac:dyDescent="0.25">
      <c r="U3983" s="104" t="str">
        <f>IF(
  AND(
    TRIM(A3983)=TRIM(Enginuity!$A$1),
    TRIM(B3983)=TRIM(Enginuity!$A$17),
    Q3983&lt;&gt;"",
    Q3983&lt;&gt;0,
    OR(
      TRIM(C3983)=TRIM(Enginuity!$A$18),
      AND(UPPER(TRIM(M3983))="STD", TRIM(B3983)=TRIM(Enginuity!$A$17))
    ),
    OR(
      AND(LEFT(P3983,5)="1-Way", Enginuity!$B$13=1),
      AND(LEFT(P3983,5)="2-Way", OR(Enginuity!$B$13=2, Enginuity!$B$13=4)),
      AND(LEFT(P3983,5)="3-Way", OR(Enginuity!$B$13=3, Enginuity!$B$13=6)),
      AND(P3983="Inner Centre Jamb", OR(Enginuity!$B$13=4, Enginuity!$B$13=6)),
      AND(
        LEFT(P3983,5)&lt;&gt;"1-Way",
        LEFT(P3983,5)&lt;&gt;"2-Way",
        LEFT(P3983,5)&lt;&gt;"3-Way",
        P3983&lt;&gt;"Inner Centre Jamb"
      )
    ),
    IF(OR(Enginuity!$A$1="Frameless Glass",Enginuity!$A$1="Metal Work"),
      AND(TRIM(B3983)=TRIM(Enginuity!$A$17),TRIM(C3983)=TRIM(Enginuity!$A$18)),
      TRIM(B3983)=TRIM(Enginuity!$A$17)
    )
  ),
  ROW(),
  ""
)</f>
        <v/>
      </c>
    </row>
    <row r="3984" spans="21:21" x14ac:dyDescent="0.25">
      <c r="U3984" s="104" t="str">
        <f>IF(
  AND(
    TRIM(A3984)=TRIM(Enginuity!$A$1),
    TRIM(B3984)=TRIM(Enginuity!$A$17),
    Q3984&lt;&gt;"",
    Q3984&lt;&gt;0,
    OR(
      TRIM(C3984)=TRIM(Enginuity!$A$18),
      AND(UPPER(TRIM(M3984))="STD", TRIM(B3984)=TRIM(Enginuity!$A$17))
    ),
    OR(
      AND(LEFT(P3984,5)="1-Way", Enginuity!$B$13=1),
      AND(LEFT(P3984,5)="2-Way", OR(Enginuity!$B$13=2, Enginuity!$B$13=4)),
      AND(LEFT(P3984,5)="3-Way", OR(Enginuity!$B$13=3, Enginuity!$B$13=6)),
      AND(P3984="Inner Centre Jamb", OR(Enginuity!$B$13=4, Enginuity!$B$13=6)),
      AND(
        LEFT(P3984,5)&lt;&gt;"1-Way",
        LEFT(P3984,5)&lt;&gt;"2-Way",
        LEFT(P3984,5)&lt;&gt;"3-Way",
        P3984&lt;&gt;"Inner Centre Jamb"
      )
    ),
    IF(OR(Enginuity!$A$1="Frameless Glass",Enginuity!$A$1="Metal Work"),
      AND(TRIM(B3984)=TRIM(Enginuity!$A$17),TRIM(C3984)=TRIM(Enginuity!$A$18)),
      TRIM(B3984)=TRIM(Enginuity!$A$17)
    )
  ),
  ROW(),
  ""
)</f>
        <v/>
      </c>
    </row>
    <row r="3985" spans="21:21" x14ac:dyDescent="0.25">
      <c r="U3985" s="104" t="str">
        <f>IF(
  AND(
    TRIM(A3985)=TRIM(Enginuity!$A$1),
    TRIM(B3985)=TRIM(Enginuity!$A$17),
    Q3985&lt;&gt;"",
    Q3985&lt;&gt;0,
    OR(
      TRIM(C3985)=TRIM(Enginuity!$A$18),
      AND(UPPER(TRIM(M3985))="STD", TRIM(B3985)=TRIM(Enginuity!$A$17))
    ),
    OR(
      AND(LEFT(P3985,5)="1-Way", Enginuity!$B$13=1),
      AND(LEFT(P3985,5)="2-Way", OR(Enginuity!$B$13=2, Enginuity!$B$13=4)),
      AND(LEFT(P3985,5)="3-Way", OR(Enginuity!$B$13=3, Enginuity!$B$13=6)),
      AND(P3985="Inner Centre Jamb", OR(Enginuity!$B$13=4, Enginuity!$B$13=6)),
      AND(
        LEFT(P3985,5)&lt;&gt;"1-Way",
        LEFT(P3985,5)&lt;&gt;"2-Way",
        LEFT(P3985,5)&lt;&gt;"3-Way",
        P3985&lt;&gt;"Inner Centre Jamb"
      )
    ),
    IF(OR(Enginuity!$A$1="Frameless Glass",Enginuity!$A$1="Metal Work"),
      AND(TRIM(B3985)=TRIM(Enginuity!$A$17),TRIM(C3985)=TRIM(Enginuity!$A$18)),
      TRIM(B3985)=TRIM(Enginuity!$A$17)
    )
  ),
  ROW(),
  ""
)</f>
        <v/>
      </c>
    </row>
    <row r="3986" spans="21:21" x14ac:dyDescent="0.25">
      <c r="U3986" s="104" t="str">
        <f>IF(
  AND(
    TRIM(A3986)=TRIM(Enginuity!$A$1),
    TRIM(B3986)=TRIM(Enginuity!$A$17),
    Q3986&lt;&gt;"",
    Q3986&lt;&gt;0,
    OR(
      TRIM(C3986)=TRIM(Enginuity!$A$18),
      AND(UPPER(TRIM(M3986))="STD", TRIM(B3986)=TRIM(Enginuity!$A$17))
    ),
    OR(
      AND(LEFT(P3986,5)="1-Way", Enginuity!$B$13=1),
      AND(LEFT(P3986,5)="2-Way", OR(Enginuity!$B$13=2, Enginuity!$B$13=4)),
      AND(LEFT(P3986,5)="3-Way", OR(Enginuity!$B$13=3, Enginuity!$B$13=6)),
      AND(P3986="Inner Centre Jamb", OR(Enginuity!$B$13=4, Enginuity!$B$13=6)),
      AND(
        LEFT(P3986,5)&lt;&gt;"1-Way",
        LEFT(P3986,5)&lt;&gt;"2-Way",
        LEFT(P3986,5)&lt;&gt;"3-Way",
        P3986&lt;&gt;"Inner Centre Jamb"
      )
    ),
    IF(OR(Enginuity!$A$1="Frameless Glass",Enginuity!$A$1="Metal Work"),
      AND(TRIM(B3986)=TRIM(Enginuity!$A$17),TRIM(C3986)=TRIM(Enginuity!$A$18)),
      TRIM(B3986)=TRIM(Enginuity!$A$17)
    )
  ),
  ROW(),
  ""
)</f>
        <v/>
      </c>
    </row>
    <row r="3987" spans="21:21" x14ac:dyDescent="0.25">
      <c r="U3987" s="104" t="str">
        <f>IF(
  AND(
    TRIM(A3987)=TRIM(Enginuity!$A$1),
    TRIM(B3987)=TRIM(Enginuity!$A$17),
    Q3987&lt;&gt;"",
    Q3987&lt;&gt;0,
    OR(
      TRIM(C3987)=TRIM(Enginuity!$A$18),
      AND(UPPER(TRIM(M3987))="STD", TRIM(B3987)=TRIM(Enginuity!$A$17))
    ),
    OR(
      AND(LEFT(P3987,5)="1-Way", Enginuity!$B$13=1),
      AND(LEFT(P3987,5)="2-Way", OR(Enginuity!$B$13=2, Enginuity!$B$13=4)),
      AND(LEFT(P3987,5)="3-Way", OR(Enginuity!$B$13=3, Enginuity!$B$13=6)),
      AND(P3987="Inner Centre Jamb", OR(Enginuity!$B$13=4, Enginuity!$B$13=6)),
      AND(
        LEFT(P3987,5)&lt;&gt;"1-Way",
        LEFT(P3987,5)&lt;&gt;"2-Way",
        LEFT(P3987,5)&lt;&gt;"3-Way",
        P3987&lt;&gt;"Inner Centre Jamb"
      )
    ),
    IF(OR(Enginuity!$A$1="Frameless Glass",Enginuity!$A$1="Metal Work"),
      AND(TRIM(B3987)=TRIM(Enginuity!$A$17),TRIM(C3987)=TRIM(Enginuity!$A$18)),
      TRIM(B3987)=TRIM(Enginuity!$A$17)
    )
  ),
  ROW(),
  ""
)</f>
        <v/>
      </c>
    </row>
    <row r="3988" spans="21:21" x14ac:dyDescent="0.25">
      <c r="U3988" s="104" t="str">
        <f>IF(
  AND(
    TRIM(A3988)=TRIM(Enginuity!$A$1),
    TRIM(B3988)=TRIM(Enginuity!$A$17),
    Q3988&lt;&gt;"",
    Q3988&lt;&gt;0,
    OR(
      TRIM(C3988)=TRIM(Enginuity!$A$18),
      AND(UPPER(TRIM(M3988))="STD", TRIM(B3988)=TRIM(Enginuity!$A$17))
    ),
    OR(
      AND(LEFT(P3988,5)="1-Way", Enginuity!$B$13=1),
      AND(LEFT(P3988,5)="2-Way", OR(Enginuity!$B$13=2, Enginuity!$B$13=4)),
      AND(LEFT(P3988,5)="3-Way", OR(Enginuity!$B$13=3, Enginuity!$B$13=6)),
      AND(P3988="Inner Centre Jamb", OR(Enginuity!$B$13=4, Enginuity!$B$13=6)),
      AND(
        LEFT(P3988,5)&lt;&gt;"1-Way",
        LEFT(P3988,5)&lt;&gt;"2-Way",
        LEFT(P3988,5)&lt;&gt;"3-Way",
        P3988&lt;&gt;"Inner Centre Jamb"
      )
    ),
    IF(OR(Enginuity!$A$1="Frameless Glass",Enginuity!$A$1="Metal Work"),
      AND(TRIM(B3988)=TRIM(Enginuity!$A$17),TRIM(C3988)=TRIM(Enginuity!$A$18)),
      TRIM(B3988)=TRIM(Enginuity!$A$17)
    )
  ),
  ROW(),
  ""
)</f>
        <v/>
      </c>
    </row>
    <row r="3989" spans="21:21" x14ac:dyDescent="0.25">
      <c r="U3989" s="104" t="str">
        <f>IF(
  AND(
    TRIM(A3989)=TRIM(Enginuity!$A$1),
    TRIM(B3989)=TRIM(Enginuity!$A$17),
    Q3989&lt;&gt;"",
    Q3989&lt;&gt;0,
    OR(
      TRIM(C3989)=TRIM(Enginuity!$A$18),
      AND(UPPER(TRIM(M3989))="STD", TRIM(B3989)=TRIM(Enginuity!$A$17))
    ),
    OR(
      AND(LEFT(P3989,5)="1-Way", Enginuity!$B$13=1),
      AND(LEFT(P3989,5)="2-Way", OR(Enginuity!$B$13=2, Enginuity!$B$13=4)),
      AND(LEFT(P3989,5)="3-Way", OR(Enginuity!$B$13=3, Enginuity!$B$13=6)),
      AND(P3989="Inner Centre Jamb", OR(Enginuity!$B$13=4, Enginuity!$B$13=6)),
      AND(
        LEFT(P3989,5)&lt;&gt;"1-Way",
        LEFT(P3989,5)&lt;&gt;"2-Way",
        LEFT(P3989,5)&lt;&gt;"3-Way",
        P3989&lt;&gt;"Inner Centre Jamb"
      )
    ),
    IF(OR(Enginuity!$A$1="Frameless Glass",Enginuity!$A$1="Metal Work"),
      AND(TRIM(B3989)=TRIM(Enginuity!$A$17),TRIM(C3989)=TRIM(Enginuity!$A$18)),
      TRIM(B3989)=TRIM(Enginuity!$A$17)
    )
  ),
  ROW(),
  ""
)</f>
        <v/>
      </c>
    </row>
    <row r="3990" spans="21:21" x14ac:dyDescent="0.25">
      <c r="U3990" s="104" t="str">
        <f>IF(
  AND(
    TRIM(A3990)=TRIM(Enginuity!$A$1),
    TRIM(B3990)=TRIM(Enginuity!$A$17),
    Q3990&lt;&gt;"",
    Q3990&lt;&gt;0,
    OR(
      TRIM(C3990)=TRIM(Enginuity!$A$18),
      AND(UPPER(TRIM(M3990))="STD", TRIM(B3990)=TRIM(Enginuity!$A$17))
    ),
    OR(
      AND(LEFT(P3990,5)="1-Way", Enginuity!$B$13=1),
      AND(LEFT(P3990,5)="2-Way", OR(Enginuity!$B$13=2, Enginuity!$B$13=4)),
      AND(LEFT(P3990,5)="3-Way", OR(Enginuity!$B$13=3, Enginuity!$B$13=6)),
      AND(P3990="Inner Centre Jamb", OR(Enginuity!$B$13=4, Enginuity!$B$13=6)),
      AND(
        LEFT(P3990,5)&lt;&gt;"1-Way",
        LEFT(P3990,5)&lt;&gt;"2-Way",
        LEFT(P3990,5)&lt;&gt;"3-Way",
        P3990&lt;&gt;"Inner Centre Jamb"
      )
    ),
    IF(OR(Enginuity!$A$1="Frameless Glass",Enginuity!$A$1="Metal Work"),
      AND(TRIM(B3990)=TRIM(Enginuity!$A$17),TRIM(C3990)=TRIM(Enginuity!$A$18)),
      TRIM(B3990)=TRIM(Enginuity!$A$17)
    )
  ),
  ROW(),
  ""
)</f>
        <v/>
      </c>
    </row>
    <row r="3991" spans="21:21" x14ac:dyDescent="0.25">
      <c r="U3991" s="104" t="str">
        <f>IF(
  AND(
    TRIM(A3991)=TRIM(Enginuity!$A$1),
    TRIM(B3991)=TRIM(Enginuity!$A$17),
    Q3991&lt;&gt;"",
    Q3991&lt;&gt;0,
    OR(
      TRIM(C3991)=TRIM(Enginuity!$A$18),
      AND(UPPER(TRIM(M3991))="STD", TRIM(B3991)=TRIM(Enginuity!$A$17))
    ),
    OR(
      AND(LEFT(P3991,5)="1-Way", Enginuity!$B$13=1),
      AND(LEFT(P3991,5)="2-Way", OR(Enginuity!$B$13=2, Enginuity!$B$13=4)),
      AND(LEFT(P3991,5)="3-Way", OR(Enginuity!$B$13=3, Enginuity!$B$13=6)),
      AND(P3991="Inner Centre Jamb", OR(Enginuity!$B$13=4, Enginuity!$B$13=6)),
      AND(
        LEFT(P3991,5)&lt;&gt;"1-Way",
        LEFT(P3991,5)&lt;&gt;"2-Way",
        LEFT(P3991,5)&lt;&gt;"3-Way",
        P3991&lt;&gt;"Inner Centre Jamb"
      )
    ),
    IF(OR(Enginuity!$A$1="Frameless Glass",Enginuity!$A$1="Metal Work"),
      AND(TRIM(B3991)=TRIM(Enginuity!$A$17),TRIM(C3991)=TRIM(Enginuity!$A$18)),
      TRIM(B3991)=TRIM(Enginuity!$A$17)
    )
  ),
  ROW(),
  ""
)</f>
        <v/>
      </c>
    </row>
    <row r="3992" spans="21:21" x14ac:dyDescent="0.25">
      <c r="U3992" s="104" t="str">
        <f>IF(
  AND(
    TRIM(A3992)=TRIM(Enginuity!$A$1),
    TRIM(B3992)=TRIM(Enginuity!$A$17),
    Q3992&lt;&gt;"",
    Q3992&lt;&gt;0,
    OR(
      TRIM(C3992)=TRIM(Enginuity!$A$18),
      AND(UPPER(TRIM(M3992))="STD", TRIM(B3992)=TRIM(Enginuity!$A$17))
    ),
    OR(
      AND(LEFT(P3992,5)="1-Way", Enginuity!$B$13=1),
      AND(LEFT(P3992,5)="2-Way", OR(Enginuity!$B$13=2, Enginuity!$B$13=4)),
      AND(LEFT(P3992,5)="3-Way", OR(Enginuity!$B$13=3, Enginuity!$B$13=6)),
      AND(P3992="Inner Centre Jamb", OR(Enginuity!$B$13=4, Enginuity!$B$13=6)),
      AND(
        LEFT(P3992,5)&lt;&gt;"1-Way",
        LEFT(P3992,5)&lt;&gt;"2-Way",
        LEFT(P3992,5)&lt;&gt;"3-Way",
        P3992&lt;&gt;"Inner Centre Jamb"
      )
    ),
    IF(OR(Enginuity!$A$1="Frameless Glass",Enginuity!$A$1="Metal Work"),
      AND(TRIM(B3992)=TRIM(Enginuity!$A$17),TRIM(C3992)=TRIM(Enginuity!$A$18)),
      TRIM(B3992)=TRIM(Enginuity!$A$17)
    )
  ),
  ROW(),
  ""
)</f>
        <v/>
      </c>
    </row>
    <row r="3993" spans="21:21" x14ac:dyDescent="0.25">
      <c r="U3993" s="104" t="str">
        <f>IF(
  AND(
    TRIM(A3993)=TRIM(Enginuity!$A$1),
    TRIM(B3993)=TRIM(Enginuity!$A$17),
    Q3993&lt;&gt;"",
    Q3993&lt;&gt;0,
    OR(
      TRIM(C3993)=TRIM(Enginuity!$A$18),
      AND(UPPER(TRIM(M3993))="STD", TRIM(B3993)=TRIM(Enginuity!$A$17))
    ),
    OR(
      AND(LEFT(P3993,5)="1-Way", Enginuity!$B$13=1),
      AND(LEFT(P3993,5)="2-Way", OR(Enginuity!$B$13=2, Enginuity!$B$13=4)),
      AND(LEFT(P3993,5)="3-Way", OR(Enginuity!$B$13=3, Enginuity!$B$13=6)),
      AND(P3993="Inner Centre Jamb", OR(Enginuity!$B$13=4, Enginuity!$B$13=6)),
      AND(
        LEFT(P3993,5)&lt;&gt;"1-Way",
        LEFT(P3993,5)&lt;&gt;"2-Way",
        LEFT(P3993,5)&lt;&gt;"3-Way",
        P3993&lt;&gt;"Inner Centre Jamb"
      )
    ),
    IF(OR(Enginuity!$A$1="Frameless Glass",Enginuity!$A$1="Metal Work"),
      AND(TRIM(B3993)=TRIM(Enginuity!$A$17),TRIM(C3993)=TRIM(Enginuity!$A$18)),
      TRIM(B3993)=TRIM(Enginuity!$A$17)
    )
  ),
  ROW(),
  ""
)</f>
        <v/>
      </c>
    </row>
    <row r="3994" spans="21:21" x14ac:dyDescent="0.25">
      <c r="U3994" s="104" t="str">
        <f>IF(
  AND(
    TRIM(A3994)=TRIM(Enginuity!$A$1),
    TRIM(B3994)=TRIM(Enginuity!$A$17),
    Q3994&lt;&gt;"",
    Q3994&lt;&gt;0,
    OR(
      TRIM(C3994)=TRIM(Enginuity!$A$18),
      AND(UPPER(TRIM(M3994))="STD", TRIM(B3994)=TRIM(Enginuity!$A$17))
    ),
    OR(
      AND(LEFT(P3994,5)="1-Way", Enginuity!$B$13=1),
      AND(LEFT(P3994,5)="2-Way", OR(Enginuity!$B$13=2, Enginuity!$B$13=4)),
      AND(LEFT(P3994,5)="3-Way", OR(Enginuity!$B$13=3, Enginuity!$B$13=6)),
      AND(P3994="Inner Centre Jamb", OR(Enginuity!$B$13=4, Enginuity!$B$13=6)),
      AND(
        LEFT(P3994,5)&lt;&gt;"1-Way",
        LEFT(P3994,5)&lt;&gt;"2-Way",
        LEFT(P3994,5)&lt;&gt;"3-Way",
        P3994&lt;&gt;"Inner Centre Jamb"
      )
    ),
    IF(OR(Enginuity!$A$1="Frameless Glass",Enginuity!$A$1="Metal Work"),
      AND(TRIM(B3994)=TRIM(Enginuity!$A$17),TRIM(C3994)=TRIM(Enginuity!$A$18)),
      TRIM(B3994)=TRIM(Enginuity!$A$17)
    )
  ),
  ROW(),
  ""
)</f>
        <v/>
      </c>
    </row>
    <row r="3995" spans="21:21" x14ac:dyDescent="0.25">
      <c r="U3995" s="104" t="str">
        <f>IF(
  AND(
    TRIM(A3995)=TRIM(Enginuity!$A$1),
    TRIM(B3995)=TRIM(Enginuity!$A$17),
    Q3995&lt;&gt;"",
    Q3995&lt;&gt;0,
    OR(
      TRIM(C3995)=TRIM(Enginuity!$A$18),
      AND(UPPER(TRIM(M3995))="STD", TRIM(B3995)=TRIM(Enginuity!$A$17))
    ),
    OR(
      AND(LEFT(P3995,5)="1-Way", Enginuity!$B$13=1),
      AND(LEFT(P3995,5)="2-Way", OR(Enginuity!$B$13=2, Enginuity!$B$13=4)),
      AND(LEFT(P3995,5)="3-Way", OR(Enginuity!$B$13=3, Enginuity!$B$13=6)),
      AND(P3995="Inner Centre Jamb", OR(Enginuity!$B$13=4, Enginuity!$B$13=6)),
      AND(
        LEFT(P3995,5)&lt;&gt;"1-Way",
        LEFT(P3995,5)&lt;&gt;"2-Way",
        LEFT(P3995,5)&lt;&gt;"3-Way",
        P3995&lt;&gt;"Inner Centre Jamb"
      )
    ),
    IF(OR(Enginuity!$A$1="Frameless Glass",Enginuity!$A$1="Metal Work"),
      AND(TRIM(B3995)=TRIM(Enginuity!$A$17),TRIM(C3995)=TRIM(Enginuity!$A$18)),
      TRIM(B3995)=TRIM(Enginuity!$A$17)
    )
  ),
  ROW(),
  ""
)</f>
        <v/>
      </c>
    </row>
    <row r="3996" spans="21:21" x14ac:dyDescent="0.25">
      <c r="U3996" s="104" t="str">
        <f>IF(
  AND(
    TRIM(A3996)=TRIM(Enginuity!$A$1),
    TRIM(B3996)=TRIM(Enginuity!$A$17),
    Q3996&lt;&gt;"",
    Q3996&lt;&gt;0,
    OR(
      TRIM(C3996)=TRIM(Enginuity!$A$18),
      AND(UPPER(TRIM(M3996))="STD", TRIM(B3996)=TRIM(Enginuity!$A$17))
    ),
    OR(
      AND(LEFT(P3996,5)="1-Way", Enginuity!$B$13=1),
      AND(LEFT(P3996,5)="2-Way", OR(Enginuity!$B$13=2, Enginuity!$B$13=4)),
      AND(LEFT(P3996,5)="3-Way", OR(Enginuity!$B$13=3, Enginuity!$B$13=6)),
      AND(P3996="Inner Centre Jamb", OR(Enginuity!$B$13=4, Enginuity!$B$13=6)),
      AND(
        LEFT(P3996,5)&lt;&gt;"1-Way",
        LEFT(P3996,5)&lt;&gt;"2-Way",
        LEFT(P3996,5)&lt;&gt;"3-Way",
        P3996&lt;&gt;"Inner Centre Jamb"
      )
    ),
    IF(OR(Enginuity!$A$1="Frameless Glass",Enginuity!$A$1="Metal Work"),
      AND(TRIM(B3996)=TRIM(Enginuity!$A$17),TRIM(C3996)=TRIM(Enginuity!$A$18)),
      TRIM(B3996)=TRIM(Enginuity!$A$17)
    )
  ),
  ROW(),
  ""
)</f>
        <v/>
      </c>
    </row>
    <row r="3997" spans="21:21" x14ac:dyDescent="0.25">
      <c r="U3997" s="104" t="str">
        <f>IF(
  AND(
    TRIM(A3997)=TRIM(Enginuity!$A$1),
    TRIM(B3997)=TRIM(Enginuity!$A$17),
    Q3997&lt;&gt;"",
    Q3997&lt;&gt;0,
    OR(
      TRIM(C3997)=TRIM(Enginuity!$A$18),
      AND(UPPER(TRIM(M3997))="STD", TRIM(B3997)=TRIM(Enginuity!$A$17))
    ),
    OR(
      AND(LEFT(P3997,5)="1-Way", Enginuity!$B$13=1),
      AND(LEFT(P3997,5)="2-Way", OR(Enginuity!$B$13=2, Enginuity!$B$13=4)),
      AND(LEFT(P3997,5)="3-Way", OR(Enginuity!$B$13=3, Enginuity!$B$13=6)),
      AND(P3997="Inner Centre Jamb", OR(Enginuity!$B$13=4, Enginuity!$B$13=6)),
      AND(
        LEFT(P3997,5)&lt;&gt;"1-Way",
        LEFT(P3997,5)&lt;&gt;"2-Way",
        LEFT(P3997,5)&lt;&gt;"3-Way",
        P3997&lt;&gt;"Inner Centre Jamb"
      )
    ),
    IF(OR(Enginuity!$A$1="Frameless Glass",Enginuity!$A$1="Metal Work"),
      AND(TRIM(B3997)=TRIM(Enginuity!$A$17),TRIM(C3997)=TRIM(Enginuity!$A$18)),
      TRIM(B3997)=TRIM(Enginuity!$A$17)
    )
  ),
  ROW(),
  ""
)</f>
        <v/>
      </c>
    </row>
    <row r="3998" spans="21:21" x14ac:dyDescent="0.25">
      <c r="U3998" s="104" t="str">
        <f>IF(
  AND(
    TRIM(A3998)=TRIM(Enginuity!$A$1),
    TRIM(B3998)=TRIM(Enginuity!$A$17),
    Q3998&lt;&gt;"",
    Q3998&lt;&gt;0,
    OR(
      TRIM(C3998)=TRIM(Enginuity!$A$18),
      AND(UPPER(TRIM(M3998))="STD", TRIM(B3998)=TRIM(Enginuity!$A$17))
    ),
    OR(
      AND(LEFT(P3998,5)="1-Way", Enginuity!$B$13=1),
      AND(LEFT(P3998,5)="2-Way", OR(Enginuity!$B$13=2, Enginuity!$B$13=4)),
      AND(LEFT(P3998,5)="3-Way", OR(Enginuity!$B$13=3, Enginuity!$B$13=6)),
      AND(P3998="Inner Centre Jamb", OR(Enginuity!$B$13=4, Enginuity!$B$13=6)),
      AND(
        LEFT(P3998,5)&lt;&gt;"1-Way",
        LEFT(P3998,5)&lt;&gt;"2-Way",
        LEFT(P3998,5)&lt;&gt;"3-Way",
        P3998&lt;&gt;"Inner Centre Jamb"
      )
    ),
    IF(OR(Enginuity!$A$1="Frameless Glass",Enginuity!$A$1="Metal Work"),
      AND(TRIM(B3998)=TRIM(Enginuity!$A$17),TRIM(C3998)=TRIM(Enginuity!$A$18)),
      TRIM(B3998)=TRIM(Enginuity!$A$17)
    )
  ),
  ROW(),
  ""
)</f>
        <v/>
      </c>
    </row>
    <row r="3999" spans="21:21" x14ac:dyDescent="0.25">
      <c r="U3999" s="104" t="str">
        <f>IF(
  AND(
    TRIM(A3999)=TRIM(Enginuity!$A$1),
    TRIM(B3999)=TRIM(Enginuity!$A$17),
    Q3999&lt;&gt;"",
    Q3999&lt;&gt;0,
    OR(
      TRIM(C3999)=TRIM(Enginuity!$A$18),
      AND(UPPER(TRIM(M3999))="STD", TRIM(B3999)=TRIM(Enginuity!$A$17))
    ),
    OR(
      AND(LEFT(P3999,5)="1-Way", Enginuity!$B$13=1),
      AND(LEFT(P3999,5)="2-Way", OR(Enginuity!$B$13=2, Enginuity!$B$13=4)),
      AND(LEFT(P3999,5)="3-Way", OR(Enginuity!$B$13=3, Enginuity!$B$13=6)),
      AND(P3999="Inner Centre Jamb", OR(Enginuity!$B$13=4, Enginuity!$B$13=6)),
      AND(
        LEFT(P3999,5)&lt;&gt;"1-Way",
        LEFT(P3999,5)&lt;&gt;"2-Way",
        LEFT(P3999,5)&lt;&gt;"3-Way",
        P3999&lt;&gt;"Inner Centre Jamb"
      )
    ),
    IF(OR(Enginuity!$A$1="Frameless Glass",Enginuity!$A$1="Metal Work"),
      AND(TRIM(B3999)=TRIM(Enginuity!$A$17),TRIM(C3999)=TRIM(Enginuity!$A$18)),
      TRIM(B3999)=TRIM(Enginuity!$A$17)
    )
  ),
  ROW(),
  ""
)</f>
        <v/>
      </c>
    </row>
    <row r="4000" spans="21:21" x14ac:dyDescent="0.25">
      <c r="U4000" s="104" t="str">
        <f>IF(
  AND(
    TRIM(A4000)=TRIM(Enginuity!$A$1),
    TRIM(B4000)=TRIM(Enginuity!$A$17),
    Q4000&lt;&gt;"",
    Q4000&lt;&gt;0,
    OR(
      TRIM(C4000)=TRIM(Enginuity!$A$18),
      AND(UPPER(TRIM(M4000))="STD", TRIM(B4000)=TRIM(Enginuity!$A$17))
    ),
    OR(
      AND(LEFT(P4000,5)="1-Way", Enginuity!$B$13=1),
      AND(LEFT(P4000,5)="2-Way", OR(Enginuity!$B$13=2, Enginuity!$B$13=4)),
      AND(LEFT(P4000,5)="3-Way", OR(Enginuity!$B$13=3, Enginuity!$B$13=6)),
      AND(P4000="Inner Centre Jamb", OR(Enginuity!$B$13=4, Enginuity!$B$13=6)),
      AND(
        LEFT(P4000,5)&lt;&gt;"1-Way",
        LEFT(P4000,5)&lt;&gt;"2-Way",
        LEFT(P4000,5)&lt;&gt;"3-Way",
        P4000&lt;&gt;"Inner Centre Jamb"
      )
    ),
    IF(OR(Enginuity!$A$1="Frameless Glass",Enginuity!$A$1="Metal Work"),
      AND(TRIM(B4000)=TRIM(Enginuity!$A$17),TRIM(C4000)=TRIM(Enginuity!$A$18)),
      TRIM(B4000)=TRIM(Enginuity!$A$17)
    )
  ),
  ROW(),
  ""
)</f>
        <v/>
      </c>
    </row>
    <row r="4001" spans="21:21" x14ac:dyDescent="0.25">
      <c r="U4001" s="104" t="str">
        <f>IF(
  AND(
    TRIM(A4001)=TRIM(Enginuity!$A$1),
    TRIM(B4001)=TRIM(Enginuity!$A$17),
    Q4001&lt;&gt;"",
    Q4001&lt;&gt;0,
    OR(
      TRIM(C4001)=TRIM(Enginuity!$A$18),
      AND(UPPER(TRIM(M4001))="STD", TRIM(B4001)=TRIM(Enginuity!$A$17))
    ),
    OR(
      AND(LEFT(P4001,5)="1-Way", Enginuity!$B$13=1),
      AND(LEFT(P4001,5)="2-Way", OR(Enginuity!$B$13=2, Enginuity!$B$13=4)),
      AND(LEFT(P4001,5)="3-Way", OR(Enginuity!$B$13=3, Enginuity!$B$13=6)),
      AND(P4001="Inner Centre Jamb", OR(Enginuity!$B$13=4, Enginuity!$B$13=6)),
      AND(
        LEFT(P4001,5)&lt;&gt;"1-Way",
        LEFT(P4001,5)&lt;&gt;"2-Way",
        LEFT(P4001,5)&lt;&gt;"3-Way",
        P4001&lt;&gt;"Inner Centre Jamb"
      )
    ),
    IF(OR(Enginuity!$A$1="Frameless Glass",Enginuity!$A$1="Metal Work"),
      AND(TRIM(B4001)=TRIM(Enginuity!$A$17),TRIM(C4001)=TRIM(Enginuity!$A$18)),
      TRIM(B4001)=TRIM(Enginuity!$A$17)
    )
  ),
  ROW(),
  ""
)</f>
        <v/>
      </c>
    </row>
    <row r="4002" spans="21:21" x14ac:dyDescent="0.25">
      <c r="U4002" s="104" t="str">
        <f>IF(
  AND(
    TRIM(A4002)=TRIM(Enginuity!$A$1),
    TRIM(B4002)=TRIM(Enginuity!$A$17),
    Q4002&lt;&gt;"",
    Q4002&lt;&gt;0,
    OR(
      TRIM(C4002)=TRIM(Enginuity!$A$18),
      AND(UPPER(TRIM(M4002))="STD", TRIM(B4002)=TRIM(Enginuity!$A$17))
    ),
    OR(
      AND(LEFT(P4002,5)="1-Way", Enginuity!$B$13=1),
      AND(LEFT(P4002,5)="2-Way", OR(Enginuity!$B$13=2, Enginuity!$B$13=4)),
      AND(LEFT(P4002,5)="3-Way", OR(Enginuity!$B$13=3, Enginuity!$B$13=6)),
      AND(P4002="Inner Centre Jamb", OR(Enginuity!$B$13=4, Enginuity!$B$13=6)),
      AND(
        LEFT(P4002,5)&lt;&gt;"1-Way",
        LEFT(P4002,5)&lt;&gt;"2-Way",
        LEFT(P4002,5)&lt;&gt;"3-Way",
        P4002&lt;&gt;"Inner Centre Jamb"
      )
    ),
    IF(OR(Enginuity!$A$1="Frameless Glass",Enginuity!$A$1="Metal Work"),
      AND(TRIM(B4002)=TRIM(Enginuity!$A$17),TRIM(C4002)=TRIM(Enginuity!$A$18)),
      TRIM(B4002)=TRIM(Enginuity!$A$17)
    )
  ),
  ROW(),
  ""
)</f>
        <v/>
      </c>
    </row>
    <row r="4003" spans="21:21" x14ac:dyDescent="0.25">
      <c r="U4003" s="104" t="str">
        <f>IF(
  AND(
    TRIM(A4003)=TRIM(Enginuity!$A$1),
    TRIM(B4003)=TRIM(Enginuity!$A$17),
    Q4003&lt;&gt;"",
    Q4003&lt;&gt;0,
    OR(
      TRIM(C4003)=TRIM(Enginuity!$A$18),
      AND(UPPER(TRIM(M4003))="STD", TRIM(B4003)=TRIM(Enginuity!$A$17))
    ),
    OR(
      AND(LEFT(P4003,5)="1-Way", Enginuity!$B$13=1),
      AND(LEFT(P4003,5)="2-Way", OR(Enginuity!$B$13=2, Enginuity!$B$13=4)),
      AND(LEFT(P4003,5)="3-Way", OR(Enginuity!$B$13=3, Enginuity!$B$13=6)),
      AND(P4003="Inner Centre Jamb", OR(Enginuity!$B$13=4, Enginuity!$B$13=6)),
      AND(
        LEFT(P4003,5)&lt;&gt;"1-Way",
        LEFT(P4003,5)&lt;&gt;"2-Way",
        LEFT(P4003,5)&lt;&gt;"3-Way",
        P4003&lt;&gt;"Inner Centre Jamb"
      )
    ),
    IF(OR(Enginuity!$A$1="Frameless Glass",Enginuity!$A$1="Metal Work"),
      AND(TRIM(B4003)=TRIM(Enginuity!$A$17),TRIM(C4003)=TRIM(Enginuity!$A$18)),
      TRIM(B4003)=TRIM(Enginuity!$A$17)
    )
  ),
  ROW(),
  ""
)</f>
        <v/>
      </c>
    </row>
    <row r="4004" spans="21:21" x14ac:dyDescent="0.25">
      <c r="U4004" s="104" t="str">
        <f>IF(
  AND(
    TRIM(A4004)=TRIM(Enginuity!$A$1),
    TRIM(B4004)=TRIM(Enginuity!$A$17),
    Q4004&lt;&gt;"",
    Q4004&lt;&gt;0,
    OR(
      TRIM(C4004)=TRIM(Enginuity!$A$18),
      AND(UPPER(TRIM(M4004))="STD", TRIM(B4004)=TRIM(Enginuity!$A$17))
    ),
    OR(
      AND(LEFT(P4004,5)="1-Way", Enginuity!$B$13=1),
      AND(LEFT(P4004,5)="2-Way", OR(Enginuity!$B$13=2, Enginuity!$B$13=4)),
      AND(LEFT(P4004,5)="3-Way", OR(Enginuity!$B$13=3, Enginuity!$B$13=6)),
      AND(P4004="Inner Centre Jamb", OR(Enginuity!$B$13=4, Enginuity!$B$13=6)),
      AND(
        LEFT(P4004,5)&lt;&gt;"1-Way",
        LEFT(P4004,5)&lt;&gt;"2-Way",
        LEFT(P4004,5)&lt;&gt;"3-Way",
        P4004&lt;&gt;"Inner Centre Jamb"
      )
    ),
    IF(OR(Enginuity!$A$1="Frameless Glass",Enginuity!$A$1="Metal Work"),
      AND(TRIM(B4004)=TRIM(Enginuity!$A$17),TRIM(C4004)=TRIM(Enginuity!$A$18)),
      TRIM(B4004)=TRIM(Enginuity!$A$17)
    )
  ),
  ROW(),
  ""
)</f>
        <v/>
      </c>
    </row>
    <row r="4005" spans="21:21" x14ac:dyDescent="0.25">
      <c r="U4005" s="104" t="str">
        <f>IF(
  AND(
    TRIM(A4005)=TRIM(Enginuity!$A$1),
    TRIM(B4005)=TRIM(Enginuity!$A$17),
    Q4005&lt;&gt;"",
    Q4005&lt;&gt;0,
    OR(
      TRIM(C4005)=TRIM(Enginuity!$A$18),
      AND(UPPER(TRIM(M4005))="STD", TRIM(B4005)=TRIM(Enginuity!$A$17))
    ),
    OR(
      AND(LEFT(P4005,5)="1-Way", Enginuity!$B$13=1),
      AND(LEFT(P4005,5)="2-Way", OR(Enginuity!$B$13=2, Enginuity!$B$13=4)),
      AND(LEFT(P4005,5)="3-Way", OR(Enginuity!$B$13=3, Enginuity!$B$13=6)),
      AND(P4005="Inner Centre Jamb", OR(Enginuity!$B$13=4, Enginuity!$B$13=6)),
      AND(
        LEFT(P4005,5)&lt;&gt;"1-Way",
        LEFT(P4005,5)&lt;&gt;"2-Way",
        LEFT(P4005,5)&lt;&gt;"3-Way",
        P4005&lt;&gt;"Inner Centre Jamb"
      )
    ),
    IF(OR(Enginuity!$A$1="Frameless Glass",Enginuity!$A$1="Metal Work"),
      AND(TRIM(B4005)=TRIM(Enginuity!$A$17),TRIM(C4005)=TRIM(Enginuity!$A$18)),
      TRIM(B4005)=TRIM(Enginuity!$A$17)
    )
  ),
  ROW(),
  ""
)</f>
        <v/>
      </c>
    </row>
    <row r="4006" spans="21:21" x14ac:dyDescent="0.25">
      <c r="U4006" s="104" t="str">
        <f>IF(
  AND(
    TRIM(A4006)=TRIM(Enginuity!$A$1),
    TRIM(B4006)=TRIM(Enginuity!$A$17),
    Q4006&lt;&gt;"",
    Q4006&lt;&gt;0,
    OR(
      TRIM(C4006)=TRIM(Enginuity!$A$18),
      AND(UPPER(TRIM(M4006))="STD", TRIM(B4006)=TRIM(Enginuity!$A$17))
    ),
    OR(
      AND(LEFT(P4006,5)="1-Way", Enginuity!$B$13=1),
      AND(LEFT(P4006,5)="2-Way", OR(Enginuity!$B$13=2, Enginuity!$B$13=4)),
      AND(LEFT(P4006,5)="3-Way", OR(Enginuity!$B$13=3, Enginuity!$B$13=6)),
      AND(P4006="Inner Centre Jamb", OR(Enginuity!$B$13=4, Enginuity!$B$13=6)),
      AND(
        LEFT(P4006,5)&lt;&gt;"1-Way",
        LEFT(P4006,5)&lt;&gt;"2-Way",
        LEFT(P4006,5)&lt;&gt;"3-Way",
        P4006&lt;&gt;"Inner Centre Jamb"
      )
    ),
    IF(OR(Enginuity!$A$1="Frameless Glass",Enginuity!$A$1="Metal Work"),
      AND(TRIM(B4006)=TRIM(Enginuity!$A$17),TRIM(C4006)=TRIM(Enginuity!$A$18)),
      TRIM(B4006)=TRIM(Enginuity!$A$17)
    )
  ),
  ROW(),
  ""
)</f>
        <v/>
      </c>
    </row>
    <row r="4007" spans="21:21" x14ac:dyDescent="0.25">
      <c r="U4007" s="104" t="str">
        <f>IF(
  AND(
    TRIM(A4007)=TRIM(Enginuity!$A$1),
    TRIM(B4007)=TRIM(Enginuity!$A$17),
    Q4007&lt;&gt;"",
    Q4007&lt;&gt;0,
    OR(
      TRIM(C4007)=TRIM(Enginuity!$A$18),
      AND(UPPER(TRIM(M4007))="STD", TRIM(B4007)=TRIM(Enginuity!$A$17))
    ),
    OR(
      AND(LEFT(P4007,5)="1-Way", Enginuity!$B$13=1),
      AND(LEFT(P4007,5)="2-Way", OR(Enginuity!$B$13=2, Enginuity!$B$13=4)),
      AND(LEFT(P4007,5)="3-Way", OR(Enginuity!$B$13=3, Enginuity!$B$13=6)),
      AND(P4007="Inner Centre Jamb", OR(Enginuity!$B$13=4, Enginuity!$B$13=6)),
      AND(
        LEFT(P4007,5)&lt;&gt;"1-Way",
        LEFT(P4007,5)&lt;&gt;"2-Way",
        LEFT(P4007,5)&lt;&gt;"3-Way",
        P4007&lt;&gt;"Inner Centre Jamb"
      )
    ),
    IF(OR(Enginuity!$A$1="Frameless Glass",Enginuity!$A$1="Metal Work"),
      AND(TRIM(B4007)=TRIM(Enginuity!$A$17),TRIM(C4007)=TRIM(Enginuity!$A$18)),
      TRIM(B4007)=TRIM(Enginuity!$A$17)
    )
  ),
  ROW(),
  ""
)</f>
        <v/>
      </c>
    </row>
    <row r="4008" spans="21:21" x14ac:dyDescent="0.25">
      <c r="U4008" s="104" t="str">
        <f>IF(
  AND(
    TRIM(A4008)=TRIM(Enginuity!$A$1),
    TRIM(B4008)=TRIM(Enginuity!$A$17),
    Q4008&lt;&gt;"",
    Q4008&lt;&gt;0,
    OR(
      TRIM(C4008)=TRIM(Enginuity!$A$18),
      AND(UPPER(TRIM(M4008))="STD", TRIM(B4008)=TRIM(Enginuity!$A$17))
    ),
    OR(
      AND(LEFT(P4008,5)="1-Way", Enginuity!$B$13=1),
      AND(LEFT(P4008,5)="2-Way", OR(Enginuity!$B$13=2, Enginuity!$B$13=4)),
      AND(LEFT(P4008,5)="3-Way", OR(Enginuity!$B$13=3, Enginuity!$B$13=6)),
      AND(P4008="Inner Centre Jamb", OR(Enginuity!$B$13=4, Enginuity!$B$13=6)),
      AND(
        LEFT(P4008,5)&lt;&gt;"1-Way",
        LEFT(P4008,5)&lt;&gt;"2-Way",
        LEFT(P4008,5)&lt;&gt;"3-Way",
        P4008&lt;&gt;"Inner Centre Jamb"
      )
    ),
    IF(OR(Enginuity!$A$1="Frameless Glass",Enginuity!$A$1="Metal Work"),
      AND(TRIM(B4008)=TRIM(Enginuity!$A$17),TRIM(C4008)=TRIM(Enginuity!$A$18)),
      TRIM(B4008)=TRIM(Enginuity!$A$17)
    )
  ),
  ROW(),
  ""
)</f>
        <v/>
      </c>
    </row>
    <row r="4009" spans="21:21" x14ac:dyDescent="0.25">
      <c r="U4009" s="104" t="str">
        <f>IF(
  AND(
    TRIM(A4009)=TRIM(Enginuity!$A$1),
    TRIM(B4009)=TRIM(Enginuity!$A$17),
    Q4009&lt;&gt;"",
    Q4009&lt;&gt;0,
    OR(
      TRIM(C4009)=TRIM(Enginuity!$A$18),
      AND(UPPER(TRIM(M4009))="STD", TRIM(B4009)=TRIM(Enginuity!$A$17))
    ),
    OR(
      AND(LEFT(P4009,5)="1-Way", Enginuity!$B$13=1),
      AND(LEFT(P4009,5)="2-Way", OR(Enginuity!$B$13=2, Enginuity!$B$13=4)),
      AND(LEFT(P4009,5)="3-Way", OR(Enginuity!$B$13=3, Enginuity!$B$13=6)),
      AND(P4009="Inner Centre Jamb", OR(Enginuity!$B$13=4, Enginuity!$B$13=6)),
      AND(
        LEFT(P4009,5)&lt;&gt;"1-Way",
        LEFT(P4009,5)&lt;&gt;"2-Way",
        LEFT(P4009,5)&lt;&gt;"3-Way",
        P4009&lt;&gt;"Inner Centre Jamb"
      )
    ),
    IF(OR(Enginuity!$A$1="Frameless Glass",Enginuity!$A$1="Metal Work"),
      AND(TRIM(B4009)=TRIM(Enginuity!$A$17),TRIM(C4009)=TRIM(Enginuity!$A$18)),
      TRIM(B4009)=TRIM(Enginuity!$A$17)
    )
  ),
  ROW(),
  ""
)</f>
        <v/>
      </c>
    </row>
    <row r="4010" spans="21:21" x14ac:dyDescent="0.25">
      <c r="U4010" s="104" t="str">
        <f>IF(
  AND(
    TRIM(A4010)=TRIM(Enginuity!$A$1),
    TRIM(B4010)=TRIM(Enginuity!$A$17),
    Q4010&lt;&gt;"",
    Q4010&lt;&gt;0,
    OR(
      TRIM(C4010)=TRIM(Enginuity!$A$18),
      AND(UPPER(TRIM(M4010))="STD", TRIM(B4010)=TRIM(Enginuity!$A$17))
    ),
    OR(
      AND(LEFT(P4010,5)="1-Way", Enginuity!$B$13=1),
      AND(LEFT(P4010,5)="2-Way", OR(Enginuity!$B$13=2, Enginuity!$B$13=4)),
      AND(LEFT(P4010,5)="3-Way", OR(Enginuity!$B$13=3, Enginuity!$B$13=6)),
      AND(P4010="Inner Centre Jamb", OR(Enginuity!$B$13=4, Enginuity!$B$13=6)),
      AND(
        LEFT(P4010,5)&lt;&gt;"1-Way",
        LEFT(P4010,5)&lt;&gt;"2-Way",
        LEFT(P4010,5)&lt;&gt;"3-Way",
        P4010&lt;&gt;"Inner Centre Jamb"
      )
    ),
    IF(OR(Enginuity!$A$1="Frameless Glass",Enginuity!$A$1="Metal Work"),
      AND(TRIM(B4010)=TRIM(Enginuity!$A$17),TRIM(C4010)=TRIM(Enginuity!$A$18)),
      TRIM(B4010)=TRIM(Enginuity!$A$17)
    )
  ),
  ROW(),
  ""
)</f>
        <v/>
      </c>
    </row>
    <row r="4011" spans="21:21" x14ac:dyDescent="0.25">
      <c r="U4011" s="104" t="str">
        <f>IF(
  AND(
    TRIM(A4011)=TRIM(Enginuity!$A$1),
    TRIM(B4011)=TRIM(Enginuity!$A$17),
    Q4011&lt;&gt;"",
    Q4011&lt;&gt;0,
    OR(
      TRIM(C4011)=TRIM(Enginuity!$A$18),
      AND(UPPER(TRIM(M4011))="STD", TRIM(B4011)=TRIM(Enginuity!$A$17))
    ),
    OR(
      AND(LEFT(P4011,5)="1-Way", Enginuity!$B$13=1),
      AND(LEFT(P4011,5)="2-Way", OR(Enginuity!$B$13=2, Enginuity!$B$13=4)),
      AND(LEFT(P4011,5)="3-Way", OR(Enginuity!$B$13=3, Enginuity!$B$13=6)),
      AND(P4011="Inner Centre Jamb", OR(Enginuity!$B$13=4, Enginuity!$B$13=6)),
      AND(
        LEFT(P4011,5)&lt;&gt;"1-Way",
        LEFT(P4011,5)&lt;&gt;"2-Way",
        LEFT(P4011,5)&lt;&gt;"3-Way",
        P4011&lt;&gt;"Inner Centre Jamb"
      )
    ),
    IF(OR(Enginuity!$A$1="Frameless Glass",Enginuity!$A$1="Metal Work"),
      AND(TRIM(B4011)=TRIM(Enginuity!$A$17),TRIM(C4011)=TRIM(Enginuity!$A$18)),
      TRIM(B4011)=TRIM(Enginuity!$A$17)
    )
  ),
  ROW(),
  ""
)</f>
        <v/>
      </c>
    </row>
    <row r="4012" spans="21:21" x14ac:dyDescent="0.25">
      <c r="U4012" s="104" t="str">
        <f>IF(
  AND(
    TRIM(A4012)=TRIM(Enginuity!$A$1),
    TRIM(B4012)=TRIM(Enginuity!$A$17),
    Q4012&lt;&gt;"",
    Q4012&lt;&gt;0,
    OR(
      TRIM(C4012)=TRIM(Enginuity!$A$18),
      AND(UPPER(TRIM(M4012))="STD", TRIM(B4012)=TRIM(Enginuity!$A$17))
    ),
    OR(
      AND(LEFT(P4012,5)="1-Way", Enginuity!$B$13=1),
      AND(LEFT(P4012,5)="2-Way", OR(Enginuity!$B$13=2, Enginuity!$B$13=4)),
      AND(LEFT(P4012,5)="3-Way", OR(Enginuity!$B$13=3, Enginuity!$B$13=6)),
      AND(P4012="Inner Centre Jamb", OR(Enginuity!$B$13=4, Enginuity!$B$13=6)),
      AND(
        LEFT(P4012,5)&lt;&gt;"1-Way",
        LEFT(P4012,5)&lt;&gt;"2-Way",
        LEFT(P4012,5)&lt;&gt;"3-Way",
        P4012&lt;&gt;"Inner Centre Jamb"
      )
    ),
    IF(OR(Enginuity!$A$1="Frameless Glass",Enginuity!$A$1="Metal Work"),
      AND(TRIM(B4012)=TRIM(Enginuity!$A$17),TRIM(C4012)=TRIM(Enginuity!$A$18)),
      TRIM(B4012)=TRIM(Enginuity!$A$17)
    )
  ),
  ROW(),
  ""
)</f>
        <v/>
      </c>
    </row>
    <row r="4013" spans="21:21" x14ac:dyDescent="0.25">
      <c r="U4013" s="104" t="str">
        <f>IF(
  AND(
    TRIM(A4013)=TRIM(Enginuity!$A$1),
    TRIM(B4013)=TRIM(Enginuity!$A$17),
    Q4013&lt;&gt;"",
    Q4013&lt;&gt;0,
    OR(
      TRIM(C4013)=TRIM(Enginuity!$A$18),
      AND(UPPER(TRIM(M4013))="STD", TRIM(B4013)=TRIM(Enginuity!$A$17))
    ),
    OR(
      AND(LEFT(P4013,5)="1-Way", Enginuity!$B$13=1),
      AND(LEFT(P4013,5)="2-Way", OR(Enginuity!$B$13=2, Enginuity!$B$13=4)),
      AND(LEFT(P4013,5)="3-Way", OR(Enginuity!$B$13=3, Enginuity!$B$13=6)),
      AND(P4013="Inner Centre Jamb", OR(Enginuity!$B$13=4, Enginuity!$B$13=6)),
      AND(
        LEFT(P4013,5)&lt;&gt;"1-Way",
        LEFT(P4013,5)&lt;&gt;"2-Way",
        LEFT(P4013,5)&lt;&gt;"3-Way",
        P4013&lt;&gt;"Inner Centre Jamb"
      )
    ),
    IF(OR(Enginuity!$A$1="Frameless Glass",Enginuity!$A$1="Metal Work"),
      AND(TRIM(B4013)=TRIM(Enginuity!$A$17),TRIM(C4013)=TRIM(Enginuity!$A$18)),
      TRIM(B4013)=TRIM(Enginuity!$A$17)
    )
  ),
  ROW(),
  ""
)</f>
        <v/>
      </c>
    </row>
    <row r="4014" spans="21:21" x14ac:dyDescent="0.25">
      <c r="U4014" s="104" t="str">
        <f>IF(
  AND(
    TRIM(A4014)=TRIM(Enginuity!$A$1),
    TRIM(B4014)=TRIM(Enginuity!$A$17),
    Q4014&lt;&gt;"",
    Q4014&lt;&gt;0,
    OR(
      TRIM(C4014)=TRIM(Enginuity!$A$18),
      AND(UPPER(TRIM(M4014))="STD", TRIM(B4014)=TRIM(Enginuity!$A$17))
    ),
    OR(
      AND(LEFT(P4014,5)="1-Way", Enginuity!$B$13=1),
      AND(LEFT(P4014,5)="2-Way", OR(Enginuity!$B$13=2, Enginuity!$B$13=4)),
      AND(LEFT(P4014,5)="3-Way", OR(Enginuity!$B$13=3, Enginuity!$B$13=6)),
      AND(P4014="Inner Centre Jamb", OR(Enginuity!$B$13=4, Enginuity!$B$13=6)),
      AND(
        LEFT(P4014,5)&lt;&gt;"1-Way",
        LEFT(P4014,5)&lt;&gt;"2-Way",
        LEFT(P4014,5)&lt;&gt;"3-Way",
        P4014&lt;&gt;"Inner Centre Jamb"
      )
    ),
    IF(OR(Enginuity!$A$1="Frameless Glass",Enginuity!$A$1="Metal Work"),
      AND(TRIM(B4014)=TRIM(Enginuity!$A$17),TRIM(C4014)=TRIM(Enginuity!$A$18)),
      TRIM(B4014)=TRIM(Enginuity!$A$17)
    )
  ),
  ROW(),
  ""
)</f>
        <v/>
      </c>
    </row>
    <row r="4015" spans="21:21" x14ac:dyDescent="0.25">
      <c r="U4015" s="104" t="str">
        <f>IF(
  AND(
    TRIM(A4015)=TRIM(Enginuity!$A$1),
    TRIM(B4015)=TRIM(Enginuity!$A$17),
    Q4015&lt;&gt;"",
    Q4015&lt;&gt;0,
    OR(
      TRIM(C4015)=TRIM(Enginuity!$A$18),
      AND(UPPER(TRIM(M4015))="STD", TRIM(B4015)=TRIM(Enginuity!$A$17))
    ),
    OR(
      AND(LEFT(P4015,5)="1-Way", Enginuity!$B$13=1),
      AND(LEFT(P4015,5)="2-Way", OR(Enginuity!$B$13=2, Enginuity!$B$13=4)),
      AND(LEFT(P4015,5)="3-Way", OR(Enginuity!$B$13=3, Enginuity!$B$13=6)),
      AND(P4015="Inner Centre Jamb", OR(Enginuity!$B$13=4, Enginuity!$B$13=6)),
      AND(
        LEFT(P4015,5)&lt;&gt;"1-Way",
        LEFT(P4015,5)&lt;&gt;"2-Way",
        LEFT(P4015,5)&lt;&gt;"3-Way",
        P4015&lt;&gt;"Inner Centre Jamb"
      )
    ),
    IF(OR(Enginuity!$A$1="Frameless Glass",Enginuity!$A$1="Metal Work"),
      AND(TRIM(B4015)=TRIM(Enginuity!$A$17),TRIM(C4015)=TRIM(Enginuity!$A$18)),
      TRIM(B4015)=TRIM(Enginuity!$A$17)
    )
  ),
  ROW(),
  ""
)</f>
        <v/>
      </c>
    </row>
    <row r="4016" spans="21:21" x14ac:dyDescent="0.25">
      <c r="U4016" s="104" t="str">
        <f>IF(
  AND(
    TRIM(A4016)=TRIM(Enginuity!$A$1),
    TRIM(B4016)=TRIM(Enginuity!$A$17),
    Q4016&lt;&gt;"",
    Q4016&lt;&gt;0,
    OR(
      TRIM(C4016)=TRIM(Enginuity!$A$18),
      AND(UPPER(TRIM(M4016))="STD", TRIM(B4016)=TRIM(Enginuity!$A$17))
    ),
    OR(
      AND(LEFT(P4016,5)="1-Way", Enginuity!$B$13=1),
      AND(LEFT(P4016,5)="2-Way", OR(Enginuity!$B$13=2, Enginuity!$B$13=4)),
      AND(LEFT(P4016,5)="3-Way", OR(Enginuity!$B$13=3, Enginuity!$B$13=6)),
      AND(P4016="Inner Centre Jamb", OR(Enginuity!$B$13=4, Enginuity!$B$13=6)),
      AND(
        LEFT(P4016,5)&lt;&gt;"1-Way",
        LEFT(P4016,5)&lt;&gt;"2-Way",
        LEFT(P4016,5)&lt;&gt;"3-Way",
        P4016&lt;&gt;"Inner Centre Jamb"
      )
    ),
    IF(OR(Enginuity!$A$1="Frameless Glass",Enginuity!$A$1="Metal Work"),
      AND(TRIM(B4016)=TRIM(Enginuity!$A$17),TRIM(C4016)=TRIM(Enginuity!$A$18)),
      TRIM(B4016)=TRIM(Enginuity!$A$17)
    )
  ),
  ROW(),
  ""
)</f>
        <v/>
      </c>
    </row>
    <row r="4017" spans="21:21" x14ac:dyDescent="0.25">
      <c r="U4017" s="104" t="str">
        <f>IF(
  AND(
    TRIM(A4017)=TRIM(Enginuity!$A$1),
    TRIM(B4017)=TRIM(Enginuity!$A$17),
    Q4017&lt;&gt;"",
    Q4017&lt;&gt;0,
    OR(
      TRIM(C4017)=TRIM(Enginuity!$A$18),
      AND(UPPER(TRIM(M4017))="STD", TRIM(B4017)=TRIM(Enginuity!$A$17))
    ),
    OR(
      AND(LEFT(P4017,5)="1-Way", Enginuity!$B$13=1),
      AND(LEFT(P4017,5)="2-Way", OR(Enginuity!$B$13=2, Enginuity!$B$13=4)),
      AND(LEFT(P4017,5)="3-Way", OR(Enginuity!$B$13=3, Enginuity!$B$13=6)),
      AND(P4017="Inner Centre Jamb", OR(Enginuity!$B$13=4, Enginuity!$B$13=6)),
      AND(
        LEFT(P4017,5)&lt;&gt;"1-Way",
        LEFT(P4017,5)&lt;&gt;"2-Way",
        LEFT(P4017,5)&lt;&gt;"3-Way",
        P4017&lt;&gt;"Inner Centre Jamb"
      )
    ),
    IF(OR(Enginuity!$A$1="Frameless Glass",Enginuity!$A$1="Metal Work"),
      AND(TRIM(B4017)=TRIM(Enginuity!$A$17),TRIM(C4017)=TRIM(Enginuity!$A$18)),
      TRIM(B4017)=TRIM(Enginuity!$A$17)
    )
  ),
  ROW(),
  ""
)</f>
        <v/>
      </c>
    </row>
    <row r="4018" spans="21:21" x14ac:dyDescent="0.25">
      <c r="U4018" s="104" t="str">
        <f>IF(
  AND(
    TRIM(A4018)=TRIM(Enginuity!$A$1),
    TRIM(B4018)=TRIM(Enginuity!$A$17),
    Q4018&lt;&gt;"",
    Q4018&lt;&gt;0,
    OR(
      TRIM(C4018)=TRIM(Enginuity!$A$18),
      AND(UPPER(TRIM(M4018))="STD", TRIM(B4018)=TRIM(Enginuity!$A$17))
    ),
    OR(
      AND(LEFT(P4018,5)="1-Way", Enginuity!$B$13=1),
      AND(LEFT(P4018,5)="2-Way", OR(Enginuity!$B$13=2, Enginuity!$B$13=4)),
      AND(LEFT(P4018,5)="3-Way", OR(Enginuity!$B$13=3, Enginuity!$B$13=6)),
      AND(P4018="Inner Centre Jamb", OR(Enginuity!$B$13=4, Enginuity!$B$13=6)),
      AND(
        LEFT(P4018,5)&lt;&gt;"1-Way",
        LEFT(P4018,5)&lt;&gt;"2-Way",
        LEFT(P4018,5)&lt;&gt;"3-Way",
        P4018&lt;&gt;"Inner Centre Jamb"
      )
    ),
    IF(OR(Enginuity!$A$1="Frameless Glass",Enginuity!$A$1="Metal Work"),
      AND(TRIM(B4018)=TRIM(Enginuity!$A$17),TRIM(C4018)=TRIM(Enginuity!$A$18)),
      TRIM(B4018)=TRIM(Enginuity!$A$17)
    )
  ),
  ROW(),
  ""
)</f>
        <v/>
      </c>
    </row>
    <row r="4019" spans="21:21" x14ac:dyDescent="0.25">
      <c r="U4019" s="104" t="str">
        <f>IF(
  AND(
    TRIM(A4019)=TRIM(Enginuity!$A$1),
    TRIM(B4019)=TRIM(Enginuity!$A$17),
    Q4019&lt;&gt;"",
    Q4019&lt;&gt;0,
    OR(
      TRIM(C4019)=TRIM(Enginuity!$A$18),
      AND(UPPER(TRIM(M4019))="STD", TRIM(B4019)=TRIM(Enginuity!$A$17))
    ),
    OR(
      AND(LEFT(P4019,5)="1-Way", Enginuity!$B$13=1),
      AND(LEFT(P4019,5)="2-Way", OR(Enginuity!$B$13=2, Enginuity!$B$13=4)),
      AND(LEFT(P4019,5)="3-Way", OR(Enginuity!$B$13=3, Enginuity!$B$13=6)),
      AND(P4019="Inner Centre Jamb", OR(Enginuity!$B$13=4, Enginuity!$B$13=6)),
      AND(
        LEFT(P4019,5)&lt;&gt;"1-Way",
        LEFT(P4019,5)&lt;&gt;"2-Way",
        LEFT(P4019,5)&lt;&gt;"3-Way",
        P4019&lt;&gt;"Inner Centre Jamb"
      )
    ),
    IF(OR(Enginuity!$A$1="Frameless Glass",Enginuity!$A$1="Metal Work"),
      AND(TRIM(B4019)=TRIM(Enginuity!$A$17),TRIM(C4019)=TRIM(Enginuity!$A$18)),
      TRIM(B4019)=TRIM(Enginuity!$A$17)
    )
  ),
  ROW(),
  ""
)</f>
        <v/>
      </c>
    </row>
    <row r="4020" spans="21:21" x14ac:dyDescent="0.25">
      <c r="U4020" s="104" t="str">
        <f>IF(
  AND(
    TRIM(A4020)=TRIM(Enginuity!$A$1),
    TRIM(B4020)=TRIM(Enginuity!$A$17),
    Q4020&lt;&gt;"",
    Q4020&lt;&gt;0,
    OR(
      TRIM(C4020)=TRIM(Enginuity!$A$18),
      AND(UPPER(TRIM(M4020))="STD", TRIM(B4020)=TRIM(Enginuity!$A$17))
    ),
    OR(
      AND(LEFT(P4020,5)="1-Way", Enginuity!$B$13=1),
      AND(LEFT(P4020,5)="2-Way", OR(Enginuity!$B$13=2, Enginuity!$B$13=4)),
      AND(LEFT(P4020,5)="3-Way", OR(Enginuity!$B$13=3, Enginuity!$B$13=6)),
      AND(P4020="Inner Centre Jamb", OR(Enginuity!$B$13=4, Enginuity!$B$13=6)),
      AND(
        LEFT(P4020,5)&lt;&gt;"1-Way",
        LEFT(P4020,5)&lt;&gt;"2-Way",
        LEFT(P4020,5)&lt;&gt;"3-Way",
        P4020&lt;&gt;"Inner Centre Jamb"
      )
    ),
    IF(OR(Enginuity!$A$1="Frameless Glass",Enginuity!$A$1="Metal Work"),
      AND(TRIM(B4020)=TRIM(Enginuity!$A$17),TRIM(C4020)=TRIM(Enginuity!$A$18)),
      TRIM(B4020)=TRIM(Enginuity!$A$17)
    )
  ),
  ROW(),
  ""
)</f>
        <v/>
      </c>
    </row>
    <row r="4021" spans="21:21" x14ac:dyDescent="0.25">
      <c r="U4021" s="104" t="str">
        <f>IF(
  AND(
    TRIM(A4021)=TRIM(Enginuity!$A$1),
    TRIM(B4021)=TRIM(Enginuity!$A$17),
    Q4021&lt;&gt;"",
    Q4021&lt;&gt;0,
    OR(
      TRIM(C4021)=TRIM(Enginuity!$A$18),
      AND(UPPER(TRIM(M4021))="STD", TRIM(B4021)=TRIM(Enginuity!$A$17))
    ),
    OR(
      AND(LEFT(P4021,5)="1-Way", Enginuity!$B$13=1),
      AND(LEFT(P4021,5)="2-Way", OR(Enginuity!$B$13=2, Enginuity!$B$13=4)),
      AND(LEFT(P4021,5)="3-Way", OR(Enginuity!$B$13=3, Enginuity!$B$13=6)),
      AND(P4021="Inner Centre Jamb", OR(Enginuity!$B$13=4, Enginuity!$B$13=6)),
      AND(
        LEFT(P4021,5)&lt;&gt;"1-Way",
        LEFT(P4021,5)&lt;&gt;"2-Way",
        LEFT(P4021,5)&lt;&gt;"3-Way",
        P4021&lt;&gt;"Inner Centre Jamb"
      )
    ),
    IF(OR(Enginuity!$A$1="Frameless Glass",Enginuity!$A$1="Metal Work"),
      AND(TRIM(B4021)=TRIM(Enginuity!$A$17),TRIM(C4021)=TRIM(Enginuity!$A$18)),
      TRIM(B4021)=TRIM(Enginuity!$A$17)
    )
  ),
  ROW(),
  ""
)</f>
        <v/>
      </c>
    </row>
    <row r="4022" spans="21:21" x14ac:dyDescent="0.25">
      <c r="U4022" s="104" t="str">
        <f>IF(
  AND(
    TRIM(A4022)=TRIM(Enginuity!$A$1),
    TRIM(B4022)=TRIM(Enginuity!$A$17),
    Q4022&lt;&gt;"",
    Q4022&lt;&gt;0,
    OR(
      TRIM(C4022)=TRIM(Enginuity!$A$18),
      AND(UPPER(TRIM(M4022))="STD", TRIM(B4022)=TRIM(Enginuity!$A$17))
    ),
    OR(
      AND(LEFT(P4022,5)="1-Way", Enginuity!$B$13=1),
      AND(LEFT(P4022,5)="2-Way", OR(Enginuity!$B$13=2, Enginuity!$B$13=4)),
      AND(LEFT(P4022,5)="3-Way", OR(Enginuity!$B$13=3, Enginuity!$B$13=6)),
      AND(P4022="Inner Centre Jamb", OR(Enginuity!$B$13=4, Enginuity!$B$13=6)),
      AND(
        LEFT(P4022,5)&lt;&gt;"1-Way",
        LEFT(P4022,5)&lt;&gt;"2-Way",
        LEFT(P4022,5)&lt;&gt;"3-Way",
        P4022&lt;&gt;"Inner Centre Jamb"
      )
    ),
    IF(OR(Enginuity!$A$1="Frameless Glass",Enginuity!$A$1="Metal Work"),
      AND(TRIM(B4022)=TRIM(Enginuity!$A$17),TRIM(C4022)=TRIM(Enginuity!$A$18)),
      TRIM(B4022)=TRIM(Enginuity!$A$17)
    )
  ),
  ROW(),
  ""
)</f>
        <v/>
      </c>
    </row>
    <row r="4023" spans="21:21" x14ac:dyDescent="0.25">
      <c r="U4023" s="104" t="str">
        <f>IF(
  AND(
    TRIM(A4023)=TRIM(Enginuity!$A$1),
    TRIM(B4023)=TRIM(Enginuity!$A$17),
    Q4023&lt;&gt;"",
    Q4023&lt;&gt;0,
    OR(
      TRIM(C4023)=TRIM(Enginuity!$A$18),
      AND(UPPER(TRIM(M4023))="STD", TRIM(B4023)=TRIM(Enginuity!$A$17))
    ),
    OR(
      AND(LEFT(P4023,5)="1-Way", Enginuity!$B$13=1),
      AND(LEFT(P4023,5)="2-Way", OR(Enginuity!$B$13=2, Enginuity!$B$13=4)),
      AND(LEFT(P4023,5)="3-Way", OR(Enginuity!$B$13=3, Enginuity!$B$13=6)),
      AND(P4023="Inner Centre Jamb", OR(Enginuity!$B$13=4, Enginuity!$B$13=6)),
      AND(
        LEFT(P4023,5)&lt;&gt;"1-Way",
        LEFT(P4023,5)&lt;&gt;"2-Way",
        LEFT(P4023,5)&lt;&gt;"3-Way",
        P4023&lt;&gt;"Inner Centre Jamb"
      )
    ),
    IF(OR(Enginuity!$A$1="Frameless Glass",Enginuity!$A$1="Metal Work"),
      AND(TRIM(B4023)=TRIM(Enginuity!$A$17),TRIM(C4023)=TRIM(Enginuity!$A$18)),
      TRIM(B4023)=TRIM(Enginuity!$A$17)
    )
  ),
  ROW(),
  ""
)</f>
        <v/>
      </c>
    </row>
    <row r="4024" spans="21:21" x14ac:dyDescent="0.25">
      <c r="U4024" s="104" t="str">
        <f>IF(
  AND(
    TRIM(A4024)=TRIM(Enginuity!$A$1),
    TRIM(B4024)=TRIM(Enginuity!$A$17),
    Q4024&lt;&gt;"",
    Q4024&lt;&gt;0,
    OR(
      TRIM(C4024)=TRIM(Enginuity!$A$18),
      AND(UPPER(TRIM(M4024))="STD", TRIM(B4024)=TRIM(Enginuity!$A$17))
    ),
    OR(
      AND(LEFT(P4024,5)="1-Way", Enginuity!$B$13=1),
      AND(LEFT(P4024,5)="2-Way", OR(Enginuity!$B$13=2, Enginuity!$B$13=4)),
      AND(LEFT(P4024,5)="3-Way", OR(Enginuity!$B$13=3, Enginuity!$B$13=6)),
      AND(P4024="Inner Centre Jamb", OR(Enginuity!$B$13=4, Enginuity!$B$13=6)),
      AND(
        LEFT(P4024,5)&lt;&gt;"1-Way",
        LEFT(P4024,5)&lt;&gt;"2-Way",
        LEFT(P4024,5)&lt;&gt;"3-Way",
        P4024&lt;&gt;"Inner Centre Jamb"
      )
    ),
    IF(OR(Enginuity!$A$1="Frameless Glass",Enginuity!$A$1="Metal Work"),
      AND(TRIM(B4024)=TRIM(Enginuity!$A$17),TRIM(C4024)=TRIM(Enginuity!$A$18)),
      TRIM(B4024)=TRIM(Enginuity!$A$17)
    )
  ),
  ROW(),
  ""
)</f>
        <v/>
      </c>
    </row>
    <row r="4025" spans="21:21" x14ac:dyDescent="0.25">
      <c r="U4025" s="104" t="str">
        <f>IF(
  AND(
    TRIM(A4025)=TRIM(Enginuity!$A$1),
    TRIM(B4025)=TRIM(Enginuity!$A$17),
    Q4025&lt;&gt;"",
    Q4025&lt;&gt;0,
    OR(
      TRIM(C4025)=TRIM(Enginuity!$A$18),
      AND(UPPER(TRIM(M4025))="STD", TRIM(B4025)=TRIM(Enginuity!$A$17))
    ),
    OR(
      AND(LEFT(P4025,5)="1-Way", Enginuity!$B$13=1),
      AND(LEFT(P4025,5)="2-Way", OR(Enginuity!$B$13=2, Enginuity!$B$13=4)),
      AND(LEFT(P4025,5)="3-Way", OR(Enginuity!$B$13=3, Enginuity!$B$13=6)),
      AND(P4025="Inner Centre Jamb", OR(Enginuity!$B$13=4, Enginuity!$B$13=6)),
      AND(
        LEFT(P4025,5)&lt;&gt;"1-Way",
        LEFT(P4025,5)&lt;&gt;"2-Way",
        LEFT(P4025,5)&lt;&gt;"3-Way",
        P4025&lt;&gt;"Inner Centre Jamb"
      )
    ),
    IF(OR(Enginuity!$A$1="Frameless Glass",Enginuity!$A$1="Metal Work"),
      AND(TRIM(B4025)=TRIM(Enginuity!$A$17),TRIM(C4025)=TRIM(Enginuity!$A$18)),
      TRIM(B4025)=TRIM(Enginuity!$A$17)
    )
  ),
  ROW(),
  ""
)</f>
        <v/>
      </c>
    </row>
    <row r="4026" spans="21:21" x14ac:dyDescent="0.25">
      <c r="U4026" s="104" t="str">
        <f>IF(
  AND(
    TRIM(A4026)=TRIM(Enginuity!$A$1),
    TRIM(B4026)=TRIM(Enginuity!$A$17),
    Q4026&lt;&gt;"",
    Q4026&lt;&gt;0,
    OR(
      TRIM(C4026)=TRIM(Enginuity!$A$18),
      AND(UPPER(TRIM(M4026))="STD", TRIM(B4026)=TRIM(Enginuity!$A$17))
    ),
    OR(
      AND(LEFT(P4026,5)="1-Way", Enginuity!$B$13=1),
      AND(LEFT(P4026,5)="2-Way", OR(Enginuity!$B$13=2, Enginuity!$B$13=4)),
      AND(LEFT(P4026,5)="3-Way", OR(Enginuity!$B$13=3, Enginuity!$B$13=6)),
      AND(P4026="Inner Centre Jamb", OR(Enginuity!$B$13=4, Enginuity!$B$13=6)),
      AND(
        LEFT(P4026,5)&lt;&gt;"1-Way",
        LEFT(P4026,5)&lt;&gt;"2-Way",
        LEFT(P4026,5)&lt;&gt;"3-Way",
        P4026&lt;&gt;"Inner Centre Jamb"
      )
    ),
    IF(OR(Enginuity!$A$1="Frameless Glass",Enginuity!$A$1="Metal Work"),
      AND(TRIM(B4026)=TRIM(Enginuity!$A$17),TRIM(C4026)=TRIM(Enginuity!$A$18)),
      TRIM(B4026)=TRIM(Enginuity!$A$17)
    )
  ),
  ROW(),
  ""
)</f>
        <v/>
      </c>
    </row>
    <row r="4027" spans="21:21" x14ac:dyDescent="0.25">
      <c r="U4027" s="104" t="str">
        <f>IF(
  AND(
    TRIM(A4027)=TRIM(Enginuity!$A$1),
    TRIM(B4027)=TRIM(Enginuity!$A$17),
    Q4027&lt;&gt;"",
    Q4027&lt;&gt;0,
    OR(
      TRIM(C4027)=TRIM(Enginuity!$A$18),
      AND(UPPER(TRIM(M4027))="STD", TRIM(B4027)=TRIM(Enginuity!$A$17))
    ),
    OR(
      AND(LEFT(P4027,5)="1-Way", Enginuity!$B$13=1),
      AND(LEFT(P4027,5)="2-Way", OR(Enginuity!$B$13=2, Enginuity!$B$13=4)),
      AND(LEFT(P4027,5)="3-Way", OR(Enginuity!$B$13=3, Enginuity!$B$13=6)),
      AND(P4027="Inner Centre Jamb", OR(Enginuity!$B$13=4, Enginuity!$B$13=6)),
      AND(
        LEFT(P4027,5)&lt;&gt;"1-Way",
        LEFT(P4027,5)&lt;&gt;"2-Way",
        LEFT(P4027,5)&lt;&gt;"3-Way",
        P4027&lt;&gt;"Inner Centre Jamb"
      )
    ),
    IF(OR(Enginuity!$A$1="Frameless Glass",Enginuity!$A$1="Metal Work"),
      AND(TRIM(B4027)=TRIM(Enginuity!$A$17),TRIM(C4027)=TRIM(Enginuity!$A$18)),
      TRIM(B4027)=TRIM(Enginuity!$A$17)
    )
  ),
  ROW(),
  ""
)</f>
        <v/>
      </c>
    </row>
    <row r="4028" spans="21:21" x14ac:dyDescent="0.25">
      <c r="U4028" s="104" t="str">
        <f>IF(
  AND(
    TRIM(A4028)=TRIM(Enginuity!$A$1),
    TRIM(B4028)=TRIM(Enginuity!$A$17),
    Q4028&lt;&gt;"",
    Q4028&lt;&gt;0,
    OR(
      TRIM(C4028)=TRIM(Enginuity!$A$18),
      AND(UPPER(TRIM(M4028))="STD", TRIM(B4028)=TRIM(Enginuity!$A$17))
    ),
    OR(
      AND(LEFT(P4028,5)="1-Way", Enginuity!$B$13=1),
      AND(LEFT(P4028,5)="2-Way", OR(Enginuity!$B$13=2, Enginuity!$B$13=4)),
      AND(LEFT(P4028,5)="3-Way", OR(Enginuity!$B$13=3, Enginuity!$B$13=6)),
      AND(P4028="Inner Centre Jamb", OR(Enginuity!$B$13=4, Enginuity!$B$13=6)),
      AND(
        LEFT(P4028,5)&lt;&gt;"1-Way",
        LEFT(P4028,5)&lt;&gt;"2-Way",
        LEFT(P4028,5)&lt;&gt;"3-Way",
        P4028&lt;&gt;"Inner Centre Jamb"
      )
    ),
    IF(OR(Enginuity!$A$1="Frameless Glass",Enginuity!$A$1="Metal Work"),
      AND(TRIM(B4028)=TRIM(Enginuity!$A$17),TRIM(C4028)=TRIM(Enginuity!$A$18)),
      TRIM(B4028)=TRIM(Enginuity!$A$17)
    )
  ),
  ROW(),
  ""
)</f>
        <v/>
      </c>
    </row>
    <row r="4029" spans="21:21" x14ac:dyDescent="0.25">
      <c r="U4029" s="104" t="str">
        <f>IF(
  AND(
    TRIM(A4029)=TRIM(Enginuity!$A$1),
    TRIM(B4029)=TRIM(Enginuity!$A$17),
    Q4029&lt;&gt;"",
    Q4029&lt;&gt;0,
    OR(
      TRIM(C4029)=TRIM(Enginuity!$A$18),
      AND(UPPER(TRIM(M4029))="STD", TRIM(B4029)=TRIM(Enginuity!$A$17))
    ),
    OR(
      AND(LEFT(P4029,5)="1-Way", Enginuity!$B$13=1),
      AND(LEFT(P4029,5)="2-Way", OR(Enginuity!$B$13=2, Enginuity!$B$13=4)),
      AND(LEFT(P4029,5)="3-Way", OR(Enginuity!$B$13=3, Enginuity!$B$13=6)),
      AND(P4029="Inner Centre Jamb", OR(Enginuity!$B$13=4, Enginuity!$B$13=6)),
      AND(
        LEFT(P4029,5)&lt;&gt;"1-Way",
        LEFT(P4029,5)&lt;&gt;"2-Way",
        LEFT(P4029,5)&lt;&gt;"3-Way",
        P4029&lt;&gt;"Inner Centre Jamb"
      )
    ),
    IF(OR(Enginuity!$A$1="Frameless Glass",Enginuity!$A$1="Metal Work"),
      AND(TRIM(B4029)=TRIM(Enginuity!$A$17),TRIM(C4029)=TRIM(Enginuity!$A$18)),
      TRIM(B4029)=TRIM(Enginuity!$A$17)
    )
  ),
  ROW(),
  ""
)</f>
        <v/>
      </c>
    </row>
    <row r="4030" spans="21:21" x14ac:dyDescent="0.25">
      <c r="U4030" s="104" t="str">
        <f>IF(
  AND(
    TRIM(A4030)=TRIM(Enginuity!$A$1),
    TRIM(B4030)=TRIM(Enginuity!$A$17),
    Q4030&lt;&gt;"",
    Q4030&lt;&gt;0,
    OR(
      TRIM(C4030)=TRIM(Enginuity!$A$18),
      AND(UPPER(TRIM(M4030))="STD", TRIM(B4030)=TRIM(Enginuity!$A$17))
    ),
    OR(
      AND(LEFT(P4030,5)="1-Way", Enginuity!$B$13=1),
      AND(LEFT(P4030,5)="2-Way", OR(Enginuity!$B$13=2, Enginuity!$B$13=4)),
      AND(LEFT(P4030,5)="3-Way", OR(Enginuity!$B$13=3, Enginuity!$B$13=6)),
      AND(P4030="Inner Centre Jamb", OR(Enginuity!$B$13=4, Enginuity!$B$13=6)),
      AND(
        LEFT(P4030,5)&lt;&gt;"1-Way",
        LEFT(P4030,5)&lt;&gt;"2-Way",
        LEFT(P4030,5)&lt;&gt;"3-Way",
        P4030&lt;&gt;"Inner Centre Jamb"
      )
    ),
    IF(OR(Enginuity!$A$1="Frameless Glass",Enginuity!$A$1="Metal Work"),
      AND(TRIM(B4030)=TRIM(Enginuity!$A$17),TRIM(C4030)=TRIM(Enginuity!$A$18)),
      TRIM(B4030)=TRIM(Enginuity!$A$17)
    )
  ),
  ROW(),
  ""
)</f>
        <v/>
      </c>
    </row>
    <row r="4031" spans="21:21" x14ac:dyDescent="0.25">
      <c r="U4031" s="104" t="str">
        <f>IF(
  AND(
    TRIM(A4031)=TRIM(Enginuity!$A$1),
    TRIM(B4031)=TRIM(Enginuity!$A$17),
    Q4031&lt;&gt;"",
    Q4031&lt;&gt;0,
    OR(
      TRIM(C4031)=TRIM(Enginuity!$A$18),
      AND(UPPER(TRIM(M4031))="STD", TRIM(B4031)=TRIM(Enginuity!$A$17))
    ),
    OR(
      AND(LEFT(P4031,5)="1-Way", Enginuity!$B$13=1),
      AND(LEFT(P4031,5)="2-Way", OR(Enginuity!$B$13=2, Enginuity!$B$13=4)),
      AND(LEFT(P4031,5)="3-Way", OR(Enginuity!$B$13=3, Enginuity!$B$13=6)),
      AND(P4031="Inner Centre Jamb", OR(Enginuity!$B$13=4, Enginuity!$B$13=6)),
      AND(
        LEFT(P4031,5)&lt;&gt;"1-Way",
        LEFT(P4031,5)&lt;&gt;"2-Way",
        LEFT(P4031,5)&lt;&gt;"3-Way",
        P4031&lt;&gt;"Inner Centre Jamb"
      )
    ),
    IF(OR(Enginuity!$A$1="Frameless Glass",Enginuity!$A$1="Metal Work"),
      AND(TRIM(B4031)=TRIM(Enginuity!$A$17),TRIM(C4031)=TRIM(Enginuity!$A$18)),
      TRIM(B4031)=TRIM(Enginuity!$A$17)
    )
  ),
  ROW(),
  ""
)</f>
        <v/>
      </c>
    </row>
    <row r="4032" spans="21:21" x14ac:dyDescent="0.25">
      <c r="U4032" s="104" t="str">
        <f>IF(
  AND(
    TRIM(A4032)=TRIM(Enginuity!$A$1),
    TRIM(B4032)=TRIM(Enginuity!$A$17),
    Q4032&lt;&gt;"",
    Q4032&lt;&gt;0,
    OR(
      TRIM(C4032)=TRIM(Enginuity!$A$18),
      AND(UPPER(TRIM(M4032))="STD", TRIM(B4032)=TRIM(Enginuity!$A$17))
    ),
    OR(
      AND(LEFT(P4032,5)="1-Way", Enginuity!$B$13=1),
      AND(LEFT(P4032,5)="2-Way", OR(Enginuity!$B$13=2, Enginuity!$B$13=4)),
      AND(LEFT(P4032,5)="3-Way", OR(Enginuity!$B$13=3, Enginuity!$B$13=6)),
      AND(P4032="Inner Centre Jamb", OR(Enginuity!$B$13=4, Enginuity!$B$13=6)),
      AND(
        LEFT(P4032,5)&lt;&gt;"1-Way",
        LEFT(P4032,5)&lt;&gt;"2-Way",
        LEFT(P4032,5)&lt;&gt;"3-Way",
        P4032&lt;&gt;"Inner Centre Jamb"
      )
    ),
    IF(OR(Enginuity!$A$1="Frameless Glass",Enginuity!$A$1="Metal Work"),
      AND(TRIM(B4032)=TRIM(Enginuity!$A$17),TRIM(C4032)=TRIM(Enginuity!$A$18)),
      TRIM(B4032)=TRIM(Enginuity!$A$17)
    )
  ),
  ROW(),
  ""
)</f>
        <v/>
      </c>
    </row>
    <row r="4033" spans="21:21" x14ac:dyDescent="0.25">
      <c r="U4033" s="104" t="str">
        <f>IF(
  AND(
    TRIM(A4033)=TRIM(Enginuity!$A$1),
    TRIM(B4033)=TRIM(Enginuity!$A$17),
    Q4033&lt;&gt;"",
    Q4033&lt;&gt;0,
    OR(
      TRIM(C4033)=TRIM(Enginuity!$A$18),
      AND(UPPER(TRIM(M4033))="STD", TRIM(B4033)=TRIM(Enginuity!$A$17))
    ),
    OR(
      AND(LEFT(P4033,5)="1-Way", Enginuity!$B$13=1),
      AND(LEFT(P4033,5)="2-Way", OR(Enginuity!$B$13=2, Enginuity!$B$13=4)),
      AND(LEFT(P4033,5)="3-Way", OR(Enginuity!$B$13=3, Enginuity!$B$13=6)),
      AND(P4033="Inner Centre Jamb", OR(Enginuity!$B$13=4, Enginuity!$B$13=6)),
      AND(
        LEFT(P4033,5)&lt;&gt;"1-Way",
        LEFT(P4033,5)&lt;&gt;"2-Way",
        LEFT(P4033,5)&lt;&gt;"3-Way",
        P4033&lt;&gt;"Inner Centre Jamb"
      )
    ),
    IF(OR(Enginuity!$A$1="Frameless Glass",Enginuity!$A$1="Metal Work"),
      AND(TRIM(B4033)=TRIM(Enginuity!$A$17),TRIM(C4033)=TRIM(Enginuity!$A$18)),
      TRIM(B4033)=TRIM(Enginuity!$A$17)
    )
  ),
  ROW(),
  ""
)</f>
        <v/>
      </c>
    </row>
    <row r="4034" spans="21:21" x14ac:dyDescent="0.25">
      <c r="U4034" s="104" t="str">
        <f>IF(
  AND(
    TRIM(A4034)=TRIM(Enginuity!$A$1),
    TRIM(B4034)=TRIM(Enginuity!$A$17),
    Q4034&lt;&gt;"",
    Q4034&lt;&gt;0,
    OR(
      TRIM(C4034)=TRIM(Enginuity!$A$18),
      AND(UPPER(TRIM(M4034))="STD", TRIM(B4034)=TRIM(Enginuity!$A$17))
    ),
    OR(
      AND(LEFT(P4034,5)="1-Way", Enginuity!$B$13=1),
      AND(LEFT(P4034,5)="2-Way", OR(Enginuity!$B$13=2, Enginuity!$B$13=4)),
      AND(LEFT(P4034,5)="3-Way", OR(Enginuity!$B$13=3, Enginuity!$B$13=6)),
      AND(P4034="Inner Centre Jamb", OR(Enginuity!$B$13=4, Enginuity!$B$13=6)),
      AND(
        LEFT(P4034,5)&lt;&gt;"1-Way",
        LEFT(P4034,5)&lt;&gt;"2-Way",
        LEFT(P4034,5)&lt;&gt;"3-Way",
        P4034&lt;&gt;"Inner Centre Jamb"
      )
    ),
    IF(OR(Enginuity!$A$1="Frameless Glass",Enginuity!$A$1="Metal Work"),
      AND(TRIM(B4034)=TRIM(Enginuity!$A$17),TRIM(C4034)=TRIM(Enginuity!$A$18)),
      TRIM(B4034)=TRIM(Enginuity!$A$17)
    )
  ),
  ROW(),
  ""
)</f>
        <v/>
      </c>
    </row>
    <row r="4035" spans="21:21" x14ac:dyDescent="0.25">
      <c r="U4035" s="104" t="str">
        <f>IF(
  AND(
    TRIM(A4035)=TRIM(Enginuity!$A$1),
    TRIM(B4035)=TRIM(Enginuity!$A$17),
    Q4035&lt;&gt;"",
    Q4035&lt;&gt;0,
    OR(
      TRIM(C4035)=TRIM(Enginuity!$A$18),
      AND(UPPER(TRIM(M4035))="STD", TRIM(B4035)=TRIM(Enginuity!$A$17))
    ),
    OR(
      AND(LEFT(P4035,5)="1-Way", Enginuity!$B$13=1),
      AND(LEFT(P4035,5)="2-Way", OR(Enginuity!$B$13=2, Enginuity!$B$13=4)),
      AND(LEFT(P4035,5)="3-Way", OR(Enginuity!$B$13=3, Enginuity!$B$13=6)),
      AND(P4035="Inner Centre Jamb", OR(Enginuity!$B$13=4, Enginuity!$B$13=6)),
      AND(
        LEFT(P4035,5)&lt;&gt;"1-Way",
        LEFT(P4035,5)&lt;&gt;"2-Way",
        LEFT(P4035,5)&lt;&gt;"3-Way",
        P4035&lt;&gt;"Inner Centre Jamb"
      )
    ),
    IF(OR(Enginuity!$A$1="Frameless Glass",Enginuity!$A$1="Metal Work"),
      AND(TRIM(B4035)=TRIM(Enginuity!$A$17),TRIM(C4035)=TRIM(Enginuity!$A$18)),
      TRIM(B4035)=TRIM(Enginuity!$A$17)
    )
  ),
  ROW(),
  ""
)</f>
        <v/>
      </c>
    </row>
    <row r="4036" spans="21:21" x14ac:dyDescent="0.25">
      <c r="U4036" s="104" t="str">
        <f>IF(
  AND(
    TRIM(A4036)=TRIM(Enginuity!$A$1),
    TRIM(B4036)=TRIM(Enginuity!$A$17),
    Q4036&lt;&gt;"",
    Q4036&lt;&gt;0,
    OR(
      TRIM(C4036)=TRIM(Enginuity!$A$18),
      AND(UPPER(TRIM(M4036))="STD", TRIM(B4036)=TRIM(Enginuity!$A$17))
    ),
    OR(
      AND(LEFT(P4036,5)="1-Way", Enginuity!$B$13=1),
      AND(LEFT(P4036,5)="2-Way", OR(Enginuity!$B$13=2, Enginuity!$B$13=4)),
      AND(LEFT(P4036,5)="3-Way", OR(Enginuity!$B$13=3, Enginuity!$B$13=6)),
      AND(P4036="Inner Centre Jamb", OR(Enginuity!$B$13=4, Enginuity!$B$13=6)),
      AND(
        LEFT(P4036,5)&lt;&gt;"1-Way",
        LEFT(P4036,5)&lt;&gt;"2-Way",
        LEFT(P4036,5)&lt;&gt;"3-Way",
        P4036&lt;&gt;"Inner Centre Jamb"
      )
    ),
    IF(OR(Enginuity!$A$1="Frameless Glass",Enginuity!$A$1="Metal Work"),
      AND(TRIM(B4036)=TRIM(Enginuity!$A$17),TRIM(C4036)=TRIM(Enginuity!$A$18)),
      TRIM(B4036)=TRIM(Enginuity!$A$17)
    )
  ),
  ROW(),
  ""
)</f>
        <v/>
      </c>
    </row>
    <row r="4037" spans="21:21" x14ac:dyDescent="0.25">
      <c r="U4037" s="104" t="str">
        <f>IF(
  AND(
    TRIM(A4037)=TRIM(Enginuity!$A$1),
    TRIM(B4037)=TRIM(Enginuity!$A$17),
    Q4037&lt;&gt;"",
    Q4037&lt;&gt;0,
    OR(
      TRIM(C4037)=TRIM(Enginuity!$A$18),
      AND(UPPER(TRIM(M4037))="STD", TRIM(B4037)=TRIM(Enginuity!$A$17))
    ),
    OR(
      AND(LEFT(P4037,5)="1-Way", Enginuity!$B$13=1),
      AND(LEFT(P4037,5)="2-Way", OR(Enginuity!$B$13=2, Enginuity!$B$13=4)),
      AND(LEFT(P4037,5)="3-Way", OR(Enginuity!$B$13=3, Enginuity!$B$13=6)),
      AND(P4037="Inner Centre Jamb", OR(Enginuity!$B$13=4, Enginuity!$B$13=6)),
      AND(
        LEFT(P4037,5)&lt;&gt;"1-Way",
        LEFT(P4037,5)&lt;&gt;"2-Way",
        LEFT(P4037,5)&lt;&gt;"3-Way",
        P4037&lt;&gt;"Inner Centre Jamb"
      )
    ),
    IF(OR(Enginuity!$A$1="Frameless Glass",Enginuity!$A$1="Metal Work"),
      AND(TRIM(B4037)=TRIM(Enginuity!$A$17),TRIM(C4037)=TRIM(Enginuity!$A$18)),
      TRIM(B4037)=TRIM(Enginuity!$A$17)
    )
  ),
  ROW(),
  ""
)</f>
        <v/>
      </c>
    </row>
    <row r="4038" spans="21:21" x14ac:dyDescent="0.25">
      <c r="U4038" s="104" t="str">
        <f>IF(
  AND(
    TRIM(A4038)=TRIM(Enginuity!$A$1),
    TRIM(B4038)=TRIM(Enginuity!$A$17),
    Q4038&lt;&gt;"",
    Q4038&lt;&gt;0,
    OR(
      TRIM(C4038)=TRIM(Enginuity!$A$18),
      AND(UPPER(TRIM(M4038))="STD", TRIM(B4038)=TRIM(Enginuity!$A$17))
    ),
    OR(
      AND(LEFT(P4038,5)="1-Way", Enginuity!$B$13=1),
      AND(LEFT(P4038,5)="2-Way", OR(Enginuity!$B$13=2, Enginuity!$B$13=4)),
      AND(LEFT(P4038,5)="3-Way", OR(Enginuity!$B$13=3, Enginuity!$B$13=6)),
      AND(P4038="Inner Centre Jamb", OR(Enginuity!$B$13=4, Enginuity!$B$13=6)),
      AND(
        LEFT(P4038,5)&lt;&gt;"1-Way",
        LEFT(P4038,5)&lt;&gt;"2-Way",
        LEFT(P4038,5)&lt;&gt;"3-Way",
        P4038&lt;&gt;"Inner Centre Jamb"
      )
    ),
    IF(OR(Enginuity!$A$1="Frameless Glass",Enginuity!$A$1="Metal Work"),
      AND(TRIM(B4038)=TRIM(Enginuity!$A$17),TRIM(C4038)=TRIM(Enginuity!$A$18)),
      TRIM(B4038)=TRIM(Enginuity!$A$17)
    )
  ),
  ROW(),
  ""
)</f>
        <v/>
      </c>
    </row>
    <row r="4039" spans="21:21" x14ac:dyDescent="0.25">
      <c r="U4039" s="104" t="str">
        <f>IF(
  AND(
    TRIM(A4039)=TRIM(Enginuity!$A$1),
    TRIM(B4039)=TRIM(Enginuity!$A$17),
    Q4039&lt;&gt;"",
    Q4039&lt;&gt;0,
    OR(
      TRIM(C4039)=TRIM(Enginuity!$A$18),
      AND(UPPER(TRIM(M4039))="STD", TRIM(B4039)=TRIM(Enginuity!$A$17))
    ),
    OR(
      AND(LEFT(P4039,5)="1-Way", Enginuity!$B$13=1),
      AND(LEFT(P4039,5)="2-Way", OR(Enginuity!$B$13=2, Enginuity!$B$13=4)),
      AND(LEFT(P4039,5)="3-Way", OR(Enginuity!$B$13=3, Enginuity!$B$13=6)),
      AND(P4039="Inner Centre Jamb", OR(Enginuity!$B$13=4, Enginuity!$B$13=6)),
      AND(
        LEFT(P4039,5)&lt;&gt;"1-Way",
        LEFT(P4039,5)&lt;&gt;"2-Way",
        LEFT(P4039,5)&lt;&gt;"3-Way",
        P4039&lt;&gt;"Inner Centre Jamb"
      )
    ),
    IF(OR(Enginuity!$A$1="Frameless Glass",Enginuity!$A$1="Metal Work"),
      AND(TRIM(B4039)=TRIM(Enginuity!$A$17),TRIM(C4039)=TRIM(Enginuity!$A$18)),
      TRIM(B4039)=TRIM(Enginuity!$A$17)
    )
  ),
  ROW(),
  ""
)</f>
        <v/>
      </c>
    </row>
    <row r="4040" spans="21:21" x14ac:dyDescent="0.25">
      <c r="U4040" s="104" t="str">
        <f>IF(
  AND(
    TRIM(A4040)=TRIM(Enginuity!$A$1),
    TRIM(B4040)=TRIM(Enginuity!$A$17),
    Q4040&lt;&gt;"",
    Q4040&lt;&gt;0,
    OR(
      TRIM(C4040)=TRIM(Enginuity!$A$18),
      AND(UPPER(TRIM(M4040))="STD", TRIM(B4040)=TRIM(Enginuity!$A$17))
    ),
    OR(
      AND(LEFT(P4040,5)="1-Way", Enginuity!$B$13=1),
      AND(LEFT(P4040,5)="2-Way", OR(Enginuity!$B$13=2, Enginuity!$B$13=4)),
      AND(LEFT(P4040,5)="3-Way", OR(Enginuity!$B$13=3, Enginuity!$B$13=6)),
      AND(P4040="Inner Centre Jamb", OR(Enginuity!$B$13=4, Enginuity!$B$13=6)),
      AND(
        LEFT(P4040,5)&lt;&gt;"1-Way",
        LEFT(P4040,5)&lt;&gt;"2-Way",
        LEFT(P4040,5)&lt;&gt;"3-Way",
        P4040&lt;&gt;"Inner Centre Jamb"
      )
    ),
    IF(OR(Enginuity!$A$1="Frameless Glass",Enginuity!$A$1="Metal Work"),
      AND(TRIM(B4040)=TRIM(Enginuity!$A$17),TRIM(C4040)=TRIM(Enginuity!$A$18)),
      TRIM(B4040)=TRIM(Enginuity!$A$17)
    )
  ),
  ROW(),
  ""
)</f>
        <v/>
      </c>
    </row>
    <row r="4041" spans="21:21" x14ac:dyDescent="0.25">
      <c r="U4041" s="104" t="str">
        <f>IF(
  AND(
    TRIM(A4041)=TRIM(Enginuity!$A$1),
    TRIM(B4041)=TRIM(Enginuity!$A$17),
    Q4041&lt;&gt;"",
    Q4041&lt;&gt;0,
    OR(
      TRIM(C4041)=TRIM(Enginuity!$A$18),
      AND(UPPER(TRIM(M4041))="STD", TRIM(B4041)=TRIM(Enginuity!$A$17))
    ),
    OR(
      AND(LEFT(P4041,5)="1-Way", Enginuity!$B$13=1),
      AND(LEFT(P4041,5)="2-Way", OR(Enginuity!$B$13=2, Enginuity!$B$13=4)),
      AND(LEFT(P4041,5)="3-Way", OR(Enginuity!$B$13=3, Enginuity!$B$13=6)),
      AND(P4041="Inner Centre Jamb", OR(Enginuity!$B$13=4, Enginuity!$B$13=6)),
      AND(
        LEFT(P4041,5)&lt;&gt;"1-Way",
        LEFT(P4041,5)&lt;&gt;"2-Way",
        LEFT(P4041,5)&lt;&gt;"3-Way",
        P4041&lt;&gt;"Inner Centre Jamb"
      )
    ),
    IF(OR(Enginuity!$A$1="Frameless Glass",Enginuity!$A$1="Metal Work"),
      AND(TRIM(B4041)=TRIM(Enginuity!$A$17),TRIM(C4041)=TRIM(Enginuity!$A$18)),
      TRIM(B4041)=TRIM(Enginuity!$A$17)
    )
  ),
  ROW(),
  ""
)</f>
        <v/>
      </c>
    </row>
    <row r="4042" spans="21:21" x14ac:dyDescent="0.25">
      <c r="U4042" s="104" t="str">
        <f>IF(
  AND(
    TRIM(A4042)=TRIM(Enginuity!$A$1),
    TRIM(B4042)=TRIM(Enginuity!$A$17),
    Q4042&lt;&gt;"",
    Q4042&lt;&gt;0,
    OR(
      TRIM(C4042)=TRIM(Enginuity!$A$18),
      AND(UPPER(TRIM(M4042))="STD", TRIM(B4042)=TRIM(Enginuity!$A$17))
    ),
    OR(
      AND(LEFT(P4042,5)="1-Way", Enginuity!$B$13=1),
      AND(LEFT(P4042,5)="2-Way", OR(Enginuity!$B$13=2, Enginuity!$B$13=4)),
      AND(LEFT(P4042,5)="3-Way", OR(Enginuity!$B$13=3, Enginuity!$B$13=6)),
      AND(P4042="Inner Centre Jamb", OR(Enginuity!$B$13=4, Enginuity!$B$13=6)),
      AND(
        LEFT(P4042,5)&lt;&gt;"1-Way",
        LEFT(P4042,5)&lt;&gt;"2-Way",
        LEFT(P4042,5)&lt;&gt;"3-Way",
        P4042&lt;&gt;"Inner Centre Jamb"
      )
    ),
    IF(OR(Enginuity!$A$1="Frameless Glass",Enginuity!$A$1="Metal Work"),
      AND(TRIM(B4042)=TRIM(Enginuity!$A$17),TRIM(C4042)=TRIM(Enginuity!$A$18)),
      TRIM(B4042)=TRIM(Enginuity!$A$17)
    )
  ),
  ROW(),
  ""
)</f>
        <v/>
      </c>
    </row>
    <row r="4043" spans="21:21" x14ac:dyDescent="0.25">
      <c r="U4043" s="104" t="str">
        <f>IF(
  AND(
    TRIM(A4043)=TRIM(Enginuity!$A$1),
    TRIM(B4043)=TRIM(Enginuity!$A$17),
    Q4043&lt;&gt;"",
    Q4043&lt;&gt;0,
    OR(
      TRIM(C4043)=TRIM(Enginuity!$A$18),
      AND(UPPER(TRIM(M4043))="STD", TRIM(B4043)=TRIM(Enginuity!$A$17))
    ),
    OR(
      AND(LEFT(P4043,5)="1-Way", Enginuity!$B$13=1),
      AND(LEFT(P4043,5)="2-Way", OR(Enginuity!$B$13=2, Enginuity!$B$13=4)),
      AND(LEFT(P4043,5)="3-Way", OR(Enginuity!$B$13=3, Enginuity!$B$13=6)),
      AND(P4043="Inner Centre Jamb", OR(Enginuity!$B$13=4, Enginuity!$B$13=6)),
      AND(
        LEFT(P4043,5)&lt;&gt;"1-Way",
        LEFT(P4043,5)&lt;&gt;"2-Way",
        LEFT(P4043,5)&lt;&gt;"3-Way",
        P4043&lt;&gt;"Inner Centre Jamb"
      )
    ),
    IF(OR(Enginuity!$A$1="Frameless Glass",Enginuity!$A$1="Metal Work"),
      AND(TRIM(B4043)=TRIM(Enginuity!$A$17),TRIM(C4043)=TRIM(Enginuity!$A$18)),
      TRIM(B4043)=TRIM(Enginuity!$A$17)
    )
  ),
  ROW(),
  ""
)</f>
        <v/>
      </c>
    </row>
    <row r="4044" spans="21:21" x14ac:dyDescent="0.25">
      <c r="U4044" s="104" t="str">
        <f>IF(
  AND(
    TRIM(A4044)=TRIM(Enginuity!$A$1),
    TRIM(B4044)=TRIM(Enginuity!$A$17),
    Q4044&lt;&gt;"",
    Q4044&lt;&gt;0,
    OR(
      TRIM(C4044)=TRIM(Enginuity!$A$18),
      AND(UPPER(TRIM(M4044))="STD", TRIM(B4044)=TRIM(Enginuity!$A$17))
    ),
    OR(
      AND(LEFT(P4044,5)="1-Way", Enginuity!$B$13=1),
      AND(LEFT(P4044,5)="2-Way", OR(Enginuity!$B$13=2, Enginuity!$B$13=4)),
      AND(LEFT(P4044,5)="3-Way", OR(Enginuity!$B$13=3, Enginuity!$B$13=6)),
      AND(P4044="Inner Centre Jamb", OR(Enginuity!$B$13=4, Enginuity!$B$13=6)),
      AND(
        LEFT(P4044,5)&lt;&gt;"1-Way",
        LEFT(P4044,5)&lt;&gt;"2-Way",
        LEFT(P4044,5)&lt;&gt;"3-Way",
        P4044&lt;&gt;"Inner Centre Jamb"
      )
    ),
    IF(OR(Enginuity!$A$1="Frameless Glass",Enginuity!$A$1="Metal Work"),
      AND(TRIM(B4044)=TRIM(Enginuity!$A$17),TRIM(C4044)=TRIM(Enginuity!$A$18)),
      TRIM(B4044)=TRIM(Enginuity!$A$17)
    )
  ),
  ROW(),
  ""
)</f>
        <v/>
      </c>
    </row>
    <row r="4045" spans="21:21" x14ac:dyDescent="0.25">
      <c r="U4045" s="104" t="str">
        <f>IF(
  AND(
    TRIM(A4045)=TRIM(Enginuity!$A$1),
    TRIM(B4045)=TRIM(Enginuity!$A$17),
    Q4045&lt;&gt;"",
    Q4045&lt;&gt;0,
    OR(
      TRIM(C4045)=TRIM(Enginuity!$A$18),
      AND(UPPER(TRIM(M4045))="STD", TRIM(B4045)=TRIM(Enginuity!$A$17))
    ),
    OR(
      AND(LEFT(P4045,5)="1-Way", Enginuity!$B$13=1),
      AND(LEFT(P4045,5)="2-Way", OR(Enginuity!$B$13=2, Enginuity!$B$13=4)),
      AND(LEFT(P4045,5)="3-Way", OR(Enginuity!$B$13=3, Enginuity!$B$13=6)),
      AND(P4045="Inner Centre Jamb", OR(Enginuity!$B$13=4, Enginuity!$B$13=6)),
      AND(
        LEFT(P4045,5)&lt;&gt;"1-Way",
        LEFT(P4045,5)&lt;&gt;"2-Way",
        LEFT(P4045,5)&lt;&gt;"3-Way",
        P4045&lt;&gt;"Inner Centre Jamb"
      )
    ),
    IF(OR(Enginuity!$A$1="Frameless Glass",Enginuity!$A$1="Metal Work"),
      AND(TRIM(B4045)=TRIM(Enginuity!$A$17),TRIM(C4045)=TRIM(Enginuity!$A$18)),
      TRIM(B4045)=TRIM(Enginuity!$A$17)
    )
  ),
  ROW(),
  ""
)</f>
        <v/>
      </c>
    </row>
    <row r="4046" spans="21:21" x14ac:dyDescent="0.25">
      <c r="U4046" s="104" t="str">
        <f>IF(
  AND(
    TRIM(A4046)=TRIM(Enginuity!$A$1),
    TRIM(B4046)=TRIM(Enginuity!$A$17),
    Q4046&lt;&gt;"",
    Q4046&lt;&gt;0,
    OR(
      TRIM(C4046)=TRIM(Enginuity!$A$18),
      AND(UPPER(TRIM(M4046))="STD", TRIM(B4046)=TRIM(Enginuity!$A$17))
    ),
    OR(
      AND(LEFT(P4046,5)="1-Way", Enginuity!$B$13=1),
      AND(LEFT(P4046,5)="2-Way", OR(Enginuity!$B$13=2, Enginuity!$B$13=4)),
      AND(LEFT(P4046,5)="3-Way", OR(Enginuity!$B$13=3, Enginuity!$B$13=6)),
      AND(P4046="Inner Centre Jamb", OR(Enginuity!$B$13=4, Enginuity!$B$13=6)),
      AND(
        LEFT(P4046,5)&lt;&gt;"1-Way",
        LEFT(P4046,5)&lt;&gt;"2-Way",
        LEFT(P4046,5)&lt;&gt;"3-Way",
        P4046&lt;&gt;"Inner Centre Jamb"
      )
    ),
    IF(OR(Enginuity!$A$1="Frameless Glass",Enginuity!$A$1="Metal Work"),
      AND(TRIM(B4046)=TRIM(Enginuity!$A$17),TRIM(C4046)=TRIM(Enginuity!$A$18)),
      TRIM(B4046)=TRIM(Enginuity!$A$17)
    )
  ),
  ROW(),
  ""
)</f>
        <v/>
      </c>
    </row>
    <row r="4047" spans="21:21" x14ac:dyDescent="0.25">
      <c r="U4047" s="104" t="str">
        <f>IF(
  AND(
    TRIM(A4047)=TRIM(Enginuity!$A$1),
    TRIM(B4047)=TRIM(Enginuity!$A$17),
    Q4047&lt;&gt;"",
    Q4047&lt;&gt;0,
    OR(
      TRIM(C4047)=TRIM(Enginuity!$A$18),
      AND(UPPER(TRIM(M4047))="STD", TRIM(B4047)=TRIM(Enginuity!$A$17))
    ),
    OR(
      AND(LEFT(P4047,5)="1-Way", Enginuity!$B$13=1),
      AND(LEFT(P4047,5)="2-Way", OR(Enginuity!$B$13=2, Enginuity!$B$13=4)),
      AND(LEFT(P4047,5)="3-Way", OR(Enginuity!$B$13=3, Enginuity!$B$13=6)),
      AND(P4047="Inner Centre Jamb", OR(Enginuity!$B$13=4, Enginuity!$B$13=6)),
      AND(
        LEFT(P4047,5)&lt;&gt;"1-Way",
        LEFT(P4047,5)&lt;&gt;"2-Way",
        LEFT(P4047,5)&lt;&gt;"3-Way",
        P4047&lt;&gt;"Inner Centre Jamb"
      )
    ),
    IF(OR(Enginuity!$A$1="Frameless Glass",Enginuity!$A$1="Metal Work"),
      AND(TRIM(B4047)=TRIM(Enginuity!$A$17),TRIM(C4047)=TRIM(Enginuity!$A$18)),
      TRIM(B4047)=TRIM(Enginuity!$A$17)
    )
  ),
  ROW(),
  ""
)</f>
        <v/>
      </c>
    </row>
    <row r="4048" spans="21:21" x14ac:dyDescent="0.25">
      <c r="U4048" s="104" t="str">
        <f>IF(
  AND(
    TRIM(A4048)=TRIM(Enginuity!$A$1),
    TRIM(B4048)=TRIM(Enginuity!$A$17),
    Q4048&lt;&gt;"",
    Q4048&lt;&gt;0,
    OR(
      TRIM(C4048)=TRIM(Enginuity!$A$18),
      AND(UPPER(TRIM(M4048))="STD", TRIM(B4048)=TRIM(Enginuity!$A$17))
    ),
    OR(
      AND(LEFT(P4048,5)="1-Way", Enginuity!$B$13=1),
      AND(LEFT(P4048,5)="2-Way", OR(Enginuity!$B$13=2, Enginuity!$B$13=4)),
      AND(LEFT(P4048,5)="3-Way", OR(Enginuity!$B$13=3, Enginuity!$B$13=6)),
      AND(P4048="Inner Centre Jamb", OR(Enginuity!$B$13=4, Enginuity!$B$13=6)),
      AND(
        LEFT(P4048,5)&lt;&gt;"1-Way",
        LEFT(P4048,5)&lt;&gt;"2-Way",
        LEFT(P4048,5)&lt;&gt;"3-Way",
        P4048&lt;&gt;"Inner Centre Jamb"
      )
    ),
    IF(OR(Enginuity!$A$1="Frameless Glass",Enginuity!$A$1="Metal Work"),
      AND(TRIM(B4048)=TRIM(Enginuity!$A$17),TRIM(C4048)=TRIM(Enginuity!$A$18)),
      TRIM(B4048)=TRIM(Enginuity!$A$17)
    )
  ),
  ROW(),
  ""
)</f>
        <v/>
      </c>
    </row>
    <row r="4049" spans="21:21" x14ac:dyDescent="0.25">
      <c r="U4049" s="104" t="str">
        <f>IF(
  AND(
    TRIM(A4049)=TRIM(Enginuity!$A$1),
    TRIM(B4049)=TRIM(Enginuity!$A$17),
    Q4049&lt;&gt;"",
    Q4049&lt;&gt;0,
    OR(
      TRIM(C4049)=TRIM(Enginuity!$A$18),
      AND(UPPER(TRIM(M4049))="STD", TRIM(B4049)=TRIM(Enginuity!$A$17))
    ),
    OR(
      AND(LEFT(P4049,5)="1-Way", Enginuity!$B$13=1),
      AND(LEFT(P4049,5)="2-Way", OR(Enginuity!$B$13=2, Enginuity!$B$13=4)),
      AND(LEFT(P4049,5)="3-Way", OR(Enginuity!$B$13=3, Enginuity!$B$13=6)),
      AND(P4049="Inner Centre Jamb", OR(Enginuity!$B$13=4, Enginuity!$B$13=6)),
      AND(
        LEFT(P4049,5)&lt;&gt;"1-Way",
        LEFT(P4049,5)&lt;&gt;"2-Way",
        LEFT(P4049,5)&lt;&gt;"3-Way",
        P4049&lt;&gt;"Inner Centre Jamb"
      )
    ),
    IF(OR(Enginuity!$A$1="Frameless Glass",Enginuity!$A$1="Metal Work"),
      AND(TRIM(B4049)=TRIM(Enginuity!$A$17),TRIM(C4049)=TRIM(Enginuity!$A$18)),
      TRIM(B4049)=TRIM(Enginuity!$A$17)
    )
  ),
  ROW(),
  ""
)</f>
        <v/>
      </c>
    </row>
    <row r="4050" spans="21:21" x14ac:dyDescent="0.25">
      <c r="U4050" s="104" t="str">
        <f>IF(
  AND(
    TRIM(A4050)=TRIM(Enginuity!$A$1),
    TRIM(B4050)=TRIM(Enginuity!$A$17),
    Q4050&lt;&gt;"",
    Q4050&lt;&gt;0,
    OR(
      TRIM(C4050)=TRIM(Enginuity!$A$18),
      AND(UPPER(TRIM(M4050))="STD", TRIM(B4050)=TRIM(Enginuity!$A$17))
    ),
    OR(
      AND(LEFT(P4050,5)="1-Way", Enginuity!$B$13=1),
      AND(LEFT(P4050,5)="2-Way", OR(Enginuity!$B$13=2, Enginuity!$B$13=4)),
      AND(LEFT(P4050,5)="3-Way", OR(Enginuity!$B$13=3, Enginuity!$B$13=6)),
      AND(P4050="Inner Centre Jamb", OR(Enginuity!$B$13=4, Enginuity!$B$13=6)),
      AND(
        LEFT(P4050,5)&lt;&gt;"1-Way",
        LEFT(P4050,5)&lt;&gt;"2-Way",
        LEFT(P4050,5)&lt;&gt;"3-Way",
        P4050&lt;&gt;"Inner Centre Jamb"
      )
    ),
    IF(OR(Enginuity!$A$1="Frameless Glass",Enginuity!$A$1="Metal Work"),
      AND(TRIM(B4050)=TRIM(Enginuity!$A$17),TRIM(C4050)=TRIM(Enginuity!$A$18)),
      TRIM(B4050)=TRIM(Enginuity!$A$17)
    )
  ),
  ROW(),
  ""
)</f>
        <v/>
      </c>
    </row>
    <row r="4051" spans="21:21" x14ac:dyDescent="0.25">
      <c r="U4051" s="104" t="str">
        <f>IF(
  AND(
    TRIM(A4051)=TRIM(Enginuity!$A$1),
    TRIM(B4051)=TRIM(Enginuity!$A$17),
    Q4051&lt;&gt;"",
    Q4051&lt;&gt;0,
    OR(
      TRIM(C4051)=TRIM(Enginuity!$A$18),
      AND(UPPER(TRIM(M4051))="STD", TRIM(B4051)=TRIM(Enginuity!$A$17))
    ),
    OR(
      AND(LEFT(P4051,5)="1-Way", Enginuity!$B$13=1),
      AND(LEFT(P4051,5)="2-Way", OR(Enginuity!$B$13=2, Enginuity!$B$13=4)),
      AND(LEFT(P4051,5)="3-Way", OR(Enginuity!$B$13=3, Enginuity!$B$13=6)),
      AND(P4051="Inner Centre Jamb", OR(Enginuity!$B$13=4, Enginuity!$B$13=6)),
      AND(
        LEFT(P4051,5)&lt;&gt;"1-Way",
        LEFT(P4051,5)&lt;&gt;"2-Way",
        LEFT(P4051,5)&lt;&gt;"3-Way",
        P4051&lt;&gt;"Inner Centre Jamb"
      )
    ),
    IF(OR(Enginuity!$A$1="Frameless Glass",Enginuity!$A$1="Metal Work"),
      AND(TRIM(B4051)=TRIM(Enginuity!$A$17),TRIM(C4051)=TRIM(Enginuity!$A$18)),
      TRIM(B4051)=TRIM(Enginuity!$A$17)
    )
  ),
  ROW(),
  ""
)</f>
        <v/>
      </c>
    </row>
    <row r="4052" spans="21:21" x14ac:dyDescent="0.25">
      <c r="U4052" s="104" t="str">
        <f>IF(
  AND(
    TRIM(A4052)=TRIM(Enginuity!$A$1),
    TRIM(B4052)=TRIM(Enginuity!$A$17),
    Q4052&lt;&gt;"",
    Q4052&lt;&gt;0,
    OR(
      TRIM(C4052)=TRIM(Enginuity!$A$18),
      AND(UPPER(TRIM(M4052))="STD", TRIM(B4052)=TRIM(Enginuity!$A$17))
    ),
    OR(
      AND(LEFT(P4052,5)="1-Way", Enginuity!$B$13=1),
      AND(LEFT(P4052,5)="2-Way", OR(Enginuity!$B$13=2, Enginuity!$B$13=4)),
      AND(LEFT(P4052,5)="3-Way", OR(Enginuity!$B$13=3, Enginuity!$B$13=6)),
      AND(P4052="Inner Centre Jamb", OR(Enginuity!$B$13=4, Enginuity!$B$13=6)),
      AND(
        LEFT(P4052,5)&lt;&gt;"1-Way",
        LEFT(P4052,5)&lt;&gt;"2-Way",
        LEFT(P4052,5)&lt;&gt;"3-Way",
        P4052&lt;&gt;"Inner Centre Jamb"
      )
    ),
    IF(OR(Enginuity!$A$1="Frameless Glass",Enginuity!$A$1="Metal Work"),
      AND(TRIM(B4052)=TRIM(Enginuity!$A$17),TRIM(C4052)=TRIM(Enginuity!$A$18)),
      TRIM(B4052)=TRIM(Enginuity!$A$17)
    )
  ),
  ROW(),
  ""
)</f>
        <v/>
      </c>
    </row>
    <row r="4053" spans="21:21" x14ac:dyDescent="0.25">
      <c r="U4053" s="104" t="str">
        <f>IF(
  AND(
    TRIM(A4053)=TRIM(Enginuity!$A$1),
    TRIM(B4053)=TRIM(Enginuity!$A$17),
    Q4053&lt;&gt;"",
    Q4053&lt;&gt;0,
    OR(
      TRIM(C4053)=TRIM(Enginuity!$A$18),
      AND(UPPER(TRIM(M4053))="STD", TRIM(B4053)=TRIM(Enginuity!$A$17))
    ),
    OR(
      AND(LEFT(P4053,5)="1-Way", Enginuity!$B$13=1),
      AND(LEFT(P4053,5)="2-Way", OR(Enginuity!$B$13=2, Enginuity!$B$13=4)),
      AND(LEFT(P4053,5)="3-Way", OR(Enginuity!$B$13=3, Enginuity!$B$13=6)),
      AND(P4053="Inner Centre Jamb", OR(Enginuity!$B$13=4, Enginuity!$B$13=6)),
      AND(
        LEFT(P4053,5)&lt;&gt;"1-Way",
        LEFT(P4053,5)&lt;&gt;"2-Way",
        LEFT(P4053,5)&lt;&gt;"3-Way",
        P4053&lt;&gt;"Inner Centre Jamb"
      )
    ),
    IF(OR(Enginuity!$A$1="Frameless Glass",Enginuity!$A$1="Metal Work"),
      AND(TRIM(B4053)=TRIM(Enginuity!$A$17),TRIM(C4053)=TRIM(Enginuity!$A$18)),
      TRIM(B4053)=TRIM(Enginuity!$A$17)
    )
  ),
  ROW(),
  ""
)</f>
        <v/>
      </c>
    </row>
    <row r="4054" spans="21:21" x14ac:dyDescent="0.25">
      <c r="U4054" s="104" t="str">
        <f>IF(
  AND(
    TRIM(A4054)=TRIM(Enginuity!$A$1),
    TRIM(B4054)=TRIM(Enginuity!$A$17),
    Q4054&lt;&gt;"",
    Q4054&lt;&gt;0,
    OR(
      TRIM(C4054)=TRIM(Enginuity!$A$18),
      AND(UPPER(TRIM(M4054))="STD", TRIM(B4054)=TRIM(Enginuity!$A$17))
    ),
    OR(
      AND(LEFT(P4054,5)="1-Way", Enginuity!$B$13=1),
      AND(LEFT(P4054,5)="2-Way", OR(Enginuity!$B$13=2, Enginuity!$B$13=4)),
      AND(LEFT(P4054,5)="3-Way", OR(Enginuity!$B$13=3, Enginuity!$B$13=6)),
      AND(P4054="Inner Centre Jamb", OR(Enginuity!$B$13=4, Enginuity!$B$13=6)),
      AND(
        LEFT(P4054,5)&lt;&gt;"1-Way",
        LEFT(P4054,5)&lt;&gt;"2-Way",
        LEFT(P4054,5)&lt;&gt;"3-Way",
        P4054&lt;&gt;"Inner Centre Jamb"
      )
    ),
    IF(OR(Enginuity!$A$1="Frameless Glass",Enginuity!$A$1="Metal Work"),
      AND(TRIM(B4054)=TRIM(Enginuity!$A$17),TRIM(C4054)=TRIM(Enginuity!$A$18)),
      TRIM(B4054)=TRIM(Enginuity!$A$17)
    )
  ),
  ROW(),
  ""
)</f>
        <v/>
      </c>
    </row>
    <row r="4055" spans="21:21" x14ac:dyDescent="0.25">
      <c r="U4055" s="104" t="str">
        <f>IF(
  AND(
    TRIM(A4055)=TRIM(Enginuity!$A$1),
    TRIM(B4055)=TRIM(Enginuity!$A$17),
    Q4055&lt;&gt;"",
    Q4055&lt;&gt;0,
    OR(
      TRIM(C4055)=TRIM(Enginuity!$A$18),
      AND(UPPER(TRIM(M4055))="STD", TRIM(B4055)=TRIM(Enginuity!$A$17))
    ),
    OR(
      AND(LEFT(P4055,5)="1-Way", Enginuity!$B$13=1),
      AND(LEFT(P4055,5)="2-Way", OR(Enginuity!$B$13=2, Enginuity!$B$13=4)),
      AND(LEFT(P4055,5)="3-Way", OR(Enginuity!$B$13=3, Enginuity!$B$13=6)),
      AND(P4055="Inner Centre Jamb", OR(Enginuity!$B$13=4, Enginuity!$B$13=6)),
      AND(
        LEFT(P4055,5)&lt;&gt;"1-Way",
        LEFT(P4055,5)&lt;&gt;"2-Way",
        LEFT(P4055,5)&lt;&gt;"3-Way",
        P4055&lt;&gt;"Inner Centre Jamb"
      )
    ),
    IF(OR(Enginuity!$A$1="Frameless Glass",Enginuity!$A$1="Metal Work"),
      AND(TRIM(B4055)=TRIM(Enginuity!$A$17),TRIM(C4055)=TRIM(Enginuity!$A$18)),
      TRIM(B4055)=TRIM(Enginuity!$A$17)
    )
  ),
  ROW(),
  ""
)</f>
        <v/>
      </c>
    </row>
    <row r="4056" spans="21:21" x14ac:dyDescent="0.25">
      <c r="U4056" s="104" t="str">
        <f>IF(
  AND(
    TRIM(A4056)=TRIM(Enginuity!$A$1),
    TRIM(B4056)=TRIM(Enginuity!$A$17),
    Q4056&lt;&gt;"",
    Q4056&lt;&gt;0,
    OR(
      TRIM(C4056)=TRIM(Enginuity!$A$18),
      AND(UPPER(TRIM(M4056))="STD", TRIM(B4056)=TRIM(Enginuity!$A$17))
    ),
    OR(
      AND(LEFT(P4056,5)="1-Way", Enginuity!$B$13=1),
      AND(LEFT(P4056,5)="2-Way", OR(Enginuity!$B$13=2, Enginuity!$B$13=4)),
      AND(LEFT(P4056,5)="3-Way", OR(Enginuity!$B$13=3, Enginuity!$B$13=6)),
      AND(P4056="Inner Centre Jamb", OR(Enginuity!$B$13=4, Enginuity!$B$13=6)),
      AND(
        LEFT(P4056,5)&lt;&gt;"1-Way",
        LEFT(P4056,5)&lt;&gt;"2-Way",
        LEFT(P4056,5)&lt;&gt;"3-Way",
        P4056&lt;&gt;"Inner Centre Jamb"
      )
    ),
    IF(OR(Enginuity!$A$1="Frameless Glass",Enginuity!$A$1="Metal Work"),
      AND(TRIM(B4056)=TRIM(Enginuity!$A$17),TRIM(C4056)=TRIM(Enginuity!$A$18)),
      TRIM(B4056)=TRIM(Enginuity!$A$17)
    )
  ),
  ROW(),
  ""
)</f>
        <v/>
      </c>
    </row>
    <row r="4057" spans="21:21" x14ac:dyDescent="0.25">
      <c r="U4057" s="104" t="str">
        <f>IF(
  AND(
    TRIM(A4057)=TRIM(Enginuity!$A$1),
    TRIM(B4057)=TRIM(Enginuity!$A$17),
    Q4057&lt;&gt;"",
    Q4057&lt;&gt;0,
    OR(
      TRIM(C4057)=TRIM(Enginuity!$A$18),
      AND(UPPER(TRIM(M4057))="STD", TRIM(B4057)=TRIM(Enginuity!$A$17))
    ),
    OR(
      AND(LEFT(P4057,5)="1-Way", Enginuity!$B$13=1),
      AND(LEFT(P4057,5)="2-Way", OR(Enginuity!$B$13=2, Enginuity!$B$13=4)),
      AND(LEFT(P4057,5)="3-Way", OR(Enginuity!$B$13=3, Enginuity!$B$13=6)),
      AND(P4057="Inner Centre Jamb", OR(Enginuity!$B$13=4, Enginuity!$B$13=6)),
      AND(
        LEFT(P4057,5)&lt;&gt;"1-Way",
        LEFT(P4057,5)&lt;&gt;"2-Way",
        LEFT(P4057,5)&lt;&gt;"3-Way",
        P4057&lt;&gt;"Inner Centre Jamb"
      )
    ),
    IF(OR(Enginuity!$A$1="Frameless Glass",Enginuity!$A$1="Metal Work"),
      AND(TRIM(B4057)=TRIM(Enginuity!$A$17),TRIM(C4057)=TRIM(Enginuity!$A$18)),
      TRIM(B4057)=TRIM(Enginuity!$A$17)
    )
  ),
  ROW(),
  ""
)</f>
        <v/>
      </c>
    </row>
    <row r="4058" spans="21:21" x14ac:dyDescent="0.25">
      <c r="U4058" s="104" t="str">
        <f>IF(
  AND(
    TRIM(A4058)=TRIM(Enginuity!$A$1),
    TRIM(B4058)=TRIM(Enginuity!$A$17),
    Q4058&lt;&gt;"",
    Q4058&lt;&gt;0,
    OR(
      TRIM(C4058)=TRIM(Enginuity!$A$18),
      AND(UPPER(TRIM(M4058))="STD", TRIM(B4058)=TRIM(Enginuity!$A$17))
    ),
    OR(
      AND(LEFT(P4058,5)="1-Way", Enginuity!$B$13=1),
      AND(LEFT(P4058,5)="2-Way", OR(Enginuity!$B$13=2, Enginuity!$B$13=4)),
      AND(LEFT(P4058,5)="3-Way", OR(Enginuity!$B$13=3, Enginuity!$B$13=6)),
      AND(P4058="Inner Centre Jamb", OR(Enginuity!$B$13=4, Enginuity!$B$13=6)),
      AND(
        LEFT(P4058,5)&lt;&gt;"1-Way",
        LEFT(P4058,5)&lt;&gt;"2-Way",
        LEFT(P4058,5)&lt;&gt;"3-Way",
        P4058&lt;&gt;"Inner Centre Jamb"
      )
    ),
    IF(OR(Enginuity!$A$1="Frameless Glass",Enginuity!$A$1="Metal Work"),
      AND(TRIM(B4058)=TRIM(Enginuity!$A$17),TRIM(C4058)=TRIM(Enginuity!$A$18)),
      TRIM(B4058)=TRIM(Enginuity!$A$17)
    )
  ),
  ROW(),
  ""
)</f>
        <v/>
      </c>
    </row>
    <row r="4059" spans="21:21" x14ac:dyDescent="0.25">
      <c r="U4059" s="104" t="str">
        <f>IF(
  AND(
    TRIM(A4059)=TRIM(Enginuity!$A$1),
    TRIM(B4059)=TRIM(Enginuity!$A$17),
    Q4059&lt;&gt;"",
    Q4059&lt;&gt;0,
    OR(
      TRIM(C4059)=TRIM(Enginuity!$A$18),
      AND(UPPER(TRIM(M4059))="STD", TRIM(B4059)=TRIM(Enginuity!$A$17))
    ),
    OR(
      AND(LEFT(P4059,5)="1-Way", Enginuity!$B$13=1),
      AND(LEFT(P4059,5)="2-Way", OR(Enginuity!$B$13=2, Enginuity!$B$13=4)),
      AND(LEFT(P4059,5)="3-Way", OR(Enginuity!$B$13=3, Enginuity!$B$13=6)),
      AND(P4059="Inner Centre Jamb", OR(Enginuity!$B$13=4, Enginuity!$B$13=6)),
      AND(
        LEFT(P4059,5)&lt;&gt;"1-Way",
        LEFT(P4059,5)&lt;&gt;"2-Way",
        LEFT(P4059,5)&lt;&gt;"3-Way",
        P4059&lt;&gt;"Inner Centre Jamb"
      )
    ),
    IF(OR(Enginuity!$A$1="Frameless Glass",Enginuity!$A$1="Metal Work"),
      AND(TRIM(B4059)=TRIM(Enginuity!$A$17),TRIM(C4059)=TRIM(Enginuity!$A$18)),
      TRIM(B4059)=TRIM(Enginuity!$A$17)
    )
  ),
  ROW(),
  ""
)</f>
        <v/>
      </c>
    </row>
    <row r="4060" spans="21:21" x14ac:dyDescent="0.25">
      <c r="U4060" s="104" t="str">
        <f>IF(
  AND(
    TRIM(A4060)=TRIM(Enginuity!$A$1),
    TRIM(B4060)=TRIM(Enginuity!$A$17),
    Q4060&lt;&gt;"",
    Q4060&lt;&gt;0,
    OR(
      TRIM(C4060)=TRIM(Enginuity!$A$18),
      AND(UPPER(TRIM(M4060))="STD", TRIM(B4060)=TRIM(Enginuity!$A$17))
    ),
    OR(
      AND(LEFT(P4060,5)="1-Way", Enginuity!$B$13=1),
      AND(LEFT(P4060,5)="2-Way", OR(Enginuity!$B$13=2, Enginuity!$B$13=4)),
      AND(LEFT(P4060,5)="3-Way", OR(Enginuity!$B$13=3, Enginuity!$B$13=6)),
      AND(P4060="Inner Centre Jamb", OR(Enginuity!$B$13=4, Enginuity!$B$13=6)),
      AND(
        LEFT(P4060,5)&lt;&gt;"1-Way",
        LEFT(P4060,5)&lt;&gt;"2-Way",
        LEFT(P4060,5)&lt;&gt;"3-Way",
        P4060&lt;&gt;"Inner Centre Jamb"
      )
    ),
    IF(OR(Enginuity!$A$1="Frameless Glass",Enginuity!$A$1="Metal Work"),
      AND(TRIM(B4060)=TRIM(Enginuity!$A$17),TRIM(C4060)=TRIM(Enginuity!$A$18)),
      TRIM(B4060)=TRIM(Enginuity!$A$17)
    )
  ),
  ROW(),
  ""
)</f>
        <v/>
      </c>
    </row>
    <row r="4061" spans="21:21" x14ac:dyDescent="0.25">
      <c r="U4061" s="104" t="str">
        <f>IF(
  AND(
    TRIM(A4061)=TRIM(Enginuity!$A$1),
    TRIM(B4061)=TRIM(Enginuity!$A$17),
    Q4061&lt;&gt;"",
    Q4061&lt;&gt;0,
    OR(
      TRIM(C4061)=TRIM(Enginuity!$A$18),
      AND(UPPER(TRIM(M4061))="STD", TRIM(B4061)=TRIM(Enginuity!$A$17))
    ),
    OR(
      AND(LEFT(P4061,5)="1-Way", Enginuity!$B$13=1),
      AND(LEFT(P4061,5)="2-Way", OR(Enginuity!$B$13=2, Enginuity!$B$13=4)),
      AND(LEFT(P4061,5)="3-Way", OR(Enginuity!$B$13=3, Enginuity!$B$13=6)),
      AND(P4061="Inner Centre Jamb", OR(Enginuity!$B$13=4, Enginuity!$B$13=6)),
      AND(
        LEFT(P4061,5)&lt;&gt;"1-Way",
        LEFT(P4061,5)&lt;&gt;"2-Way",
        LEFT(P4061,5)&lt;&gt;"3-Way",
        P4061&lt;&gt;"Inner Centre Jamb"
      )
    ),
    IF(OR(Enginuity!$A$1="Frameless Glass",Enginuity!$A$1="Metal Work"),
      AND(TRIM(B4061)=TRIM(Enginuity!$A$17),TRIM(C4061)=TRIM(Enginuity!$A$18)),
      TRIM(B4061)=TRIM(Enginuity!$A$17)
    )
  ),
  ROW(),
  ""
)</f>
        <v/>
      </c>
    </row>
    <row r="4062" spans="21:21" x14ac:dyDescent="0.25">
      <c r="U4062" s="104" t="str">
        <f>IF(
  AND(
    TRIM(A4062)=TRIM(Enginuity!$A$1),
    TRIM(B4062)=TRIM(Enginuity!$A$17),
    Q4062&lt;&gt;"",
    Q4062&lt;&gt;0,
    OR(
      TRIM(C4062)=TRIM(Enginuity!$A$18),
      AND(UPPER(TRIM(M4062))="STD", TRIM(B4062)=TRIM(Enginuity!$A$17))
    ),
    OR(
      AND(LEFT(P4062,5)="1-Way", Enginuity!$B$13=1),
      AND(LEFT(P4062,5)="2-Way", OR(Enginuity!$B$13=2, Enginuity!$B$13=4)),
      AND(LEFT(P4062,5)="3-Way", OR(Enginuity!$B$13=3, Enginuity!$B$13=6)),
      AND(P4062="Inner Centre Jamb", OR(Enginuity!$B$13=4, Enginuity!$B$13=6)),
      AND(
        LEFT(P4062,5)&lt;&gt;"1-Way",
        LEFT(P4062,5)&lt;&gt;"2-Way",
        LEFT(P4062,5)&lt;&gt;"3-Way",
        P4062&lt;&gt;"Inner Centre Jamb"
      )
    ),
    IF(OR(Enginuity!$A$1="Frameless Glass",Enginuity!$A$1="Metal Work"),
      AND(TRIM(B4062)=TRIM(Enginuity!$A$17),TRIM(C4062)=TRIM(Enginuity!$A$18)),
      TRIM(B4062)=TRIM(Enginuity!$A$17)
    )
  ),
  ROW(),
  ""
)</f>
        <v/>
      </c>
    </row>
    <row r="4063" spans="21:21" x14ac:dyDescent="0.25">
      <c r="U4063" s="104" t="str">
        <f>IF(
  AND(
    TRIM(A4063)=TRIM(Enginuity!$A$1),
    TRIM(B4063)=TRIM(Enginuity!$A$17),
    Q4063&lt;&gt;"",
    Q4063&lt;&gt;0,
    OR(
      TRIM(C4063)=TRIM(Enginuity!$A$18),
      AND(UPPER(TRIM(M4063))="STD", TRIM(B4063)=TRIM(Enginuity!$A$17))
    ),
    OR(
      AND(LEFT(P4063,5)="1-Way", Enginuity!$B$13=1),
      AND(LEFT(P4063,5)="2-Way", OR(Enginuity!$B$13=2, Enginuity!$B$13=4)),
      AND(LEFT(P4063,5)="3-Way", OR(Enginuity!$B$13=3, Enginuity!$B$13=6)),
      AND(P4063="Inner Centre Jamb", OR(Enginuity!$B$13=4, Enginuity!$B$13=6)),
      AND(
        LEFT(P4063,5)&lt;&gt;"1-Way",
        LEFT(P4063,5)&lt;&gt;"2-Way",
        LEFT(P4063,5)&lt;&gt;"3-Way",
        P4063&lt;&gt;"Inner Centre Jamb"
      )
    ),
    IF(OR(Enginuity!$A$1="Frameless Glass",Enginuity!$A$1="Metal Work"),
      AND(TRIM(B4063)=TRIM(Enginuity!$A$17),TRIM(C4063)=TRIM(Enginuity!$A$18)),
      TRIM(B4063)=TRIM(Enginuity!$A$17)
    )
  ),
  ROW(),
  ""
)</f>
        <v/>
      </c>
    </row>
    <row r="4064" spans="21:21" x14ac:dyDescent="0.25">
      <c r="U4064" s="104" t="str">
        <f>IF(
  AND(
    TRIM(A4064)=TRIM(Enginuity!$A$1),
    TRIM(B4064)=TRIM(Enginuity!$A$17),
    Q4064&lt;&gt;"",
    Q4064&lt;&gt;0,
    OR(
      TRIM(C4064)=TRIM(Enginuity!$A$18),
      AND(UPPER(TRIM(M4064))="STD", TRIM(B4064)=TRIM(Enginuity!$A$17))
    ),
    OR(
      AND(LEFT(P4064,5)="1-Way", Enginuity!$B$13=1),
      AND(LEFT(P4064,5)="2-Way", OR(Enginuity!$B$13=2, Enginuity!$B$13=4)),
      AND(LEFT(P4064,5)="3-Way", OR(Enginuity!$B$13=3, Enginuity!$B$13=6)),
      AND(P4064="Inner Centre Jamb", OR(Enginuity!$B$13=4, Enginuity!$B$13=6)),
      AND(
        LEFT(P4064,5)&lt;&gt;"1-Way",
        LEFT(P4064,5)&lt;&gt;"2-Way",
        LEFT(P4064,5)&lt;&gt;"3-Way",
        P4064&lt;&gt;"Inner Centre Jamb"
      )
    ),
    IF(OR(Enginuity!$A$1="Frameless Glass",Enginuity!$A$1="Metal Work"),
      AND(TRIM(B4064)=TRIM(Enginuity!$A$17),TRIM(C4064)=TRIM(Enginuity!$A$18)),
      TRIM(B4064)=TRIM(Enginuity!$A$17)
    )
  ),
  ROW(),
  ""
)</f>
        <v/>
      </c>
    </row>
    <row r="4065" spans="21:21" x14ac:dyDescent="0.25">
      <c r="U4065" s="104" t="str">
        <f>IF(
  AND(
    TRIM(A4065)=TRIM(Enginuity!$A$1),
    TRIM(B4065)=TRIM(Enginuity!$A$17),
    Q4065&lt;&gt;"",
    Q4065&lt;&gt;0,
    OR(
      TRIM(C4065)=TRIM(Enginuity!$A$18),
      AND(UPPER(TRIM(M4065))="STD", TRIM(B4065)=TRIM(Enginuity!$A$17))
    ),
    OR(
      AND(LEFT(P4065,5)="1-Way", Enginuity!$B$13=1),
      AND(LEFT(P4065,5)="2-Way", OR(Enginuity!$B$13=2, Enginuity!$B$13=4)),
      AND(LEFT(P4065,5)="3-Way", OR(Enginuity!$B$13=3, Enginuity!$B$13=6)),
      AND(P4065="Inner Centre Jamb", OR(Enginuity!$B$13=4, Enginuity!$B$13=6)),
      AND(
        LEFT(P4065,5)&lt;&gt;"1-Way",
        LEFT(P4065,5)&lt;&gt;"2-Way",
        LEFT(P4065,5)&lt;&gt;"3-Way",
        P4065&lt;&gt;"Inner Centre Jamb"
      )
    ),
    IF(OR(Enginuity!$A$1="Frameless Glass",Enginuity!$A$1="Metal Work"),
      AND(TRIM(B4065)=TRIM(Enginuity!$A$17),TRIM(C4065)=TRIM(Enginuity!$A$18)),
      TRIM(B4065)=TRIM(Enginuity!$A$17)
    )
  ),
  ROW(),
  ""
)</f>
        <v/>
      </c>
    </row>
    <row r="4066" spans="21:21" x14ac:dyDescent="0.25">
      <c r="U4066" s="104" t="str">
        <f>IF(
  AND(
    TRIM(A4066)=TRIM(Enginuity!$A$1),
    TRIM(B4066)=TRIM(Enginuity!$A$17),
    Q4066&lt;&gt;"",
    Q4066&lt;&gt;0,
    OR(
      TRIM(C4066)=TRIM(Enginuity!$A$18),
      AND(UPPER(TRIM(M4066))="STD", TRIM(B4066)=TRIM(Enginuity!$A$17))
    ),
    OR(
      AND(LEFT(P4066,5)="1-Way", Enginuity!$B$13=1),
      AND(LEFT(P4066,5)="2-Way", OR(Enginuity!$B$13=2, Enginuity!$B$13=4)),
      AND(LEFT(P4066,5)="3-Way", OR(Enginuity!$B$13=3, Enginuity!$B$13=6)),
      AND(P4066="Inner Centre Jamb", OR(Enginuity!$B$13=4, Enginuity!$B$13=6)),
      AND(
        LEFT(P4066,5)&lt;&gt;"1-Way",
        LEFT(P4066,5)&lt;&gt;"2-Way",
        LEFT(P4066,5)&lt;&gt;"3-Way",
        P4066&lt;&gt;"Inner Centre Jamb"
      )
    ),
    IF(OR(Enginuity!$A$1="Frameless Glass",Enginuity!$A$1="Metal Work"),
      AND(TRIM(B4066)=TRIM(Enginuity!$A$17),TRIM(C4066)=TRIM(Enginuity!$A$18)),
      TRIM(B4066)=TRIM(Enginuity!$A$17)
    )
  ),
  ROW(),
  ""
)</f>
        <v/>
      </c>
    </row>
    <row r="4067" spans="21:21" x14ac:dyDescent="0.25">
      <c r="U4067" s="104" t="str">
        <f>IF(
  AND(
    TRIM(A4067)=TRIM(Enginuity!$A$1),
    TRIM(B4067)=TRIM(Enginuity!$A$17),
    Q4067&lt;&gt;"",
    Q4067&lt;&gt;0,
    OR(
      TRIM(C4067)=TRIM(Enginuity!$A$18),
      AND(UPPER(TRIM(M4067))="STD", TRIM(B4067)=TRIM(Enginuity!$A$17))
    ),
    OR(
      AND(LEFT(P4067,5)="1-Way", Enginuity!$B$13=1),
      AND(LEFT(P4067,5)="2-Way", OR(Enginuity!$B$13=2, Enginuity!$B$13=4)),
      AND(LEFT(P4067,5)="3-Way", OR(Enginuity!$B$13=3, Enginuity!$B$13=6)),
      AND(P4067="Inner Centre Jamb", OR(Enginuity!$B$13=4, Enginuity!$B$13=6)),
      AND(
        LEFT(P4067,5)&lt;&gt;"1-Way",
        LEFT(P4067,5)&lt;&gt;"2-Way",
        LEFT(P4067,5)&lt;&gt;"3-Way",
        P4067&lt;&gt;"Inner Centre Jamb"
      )
    ),
    IF(OR(Enginuity!$A$1="Frameless Glass",Enginuity!$A$1="Metal Work"),
      AND(TRIM(B4067)=TRIM(Enginuity!$A$17),TRIM(C4067)=TRIM(Enginuity!$A$18)),
      TRIM(B4067)=TRIM(Enginuity!$A$17)
    )
  ),
  ROW(),
  ""
)</f>
        <v/>
      </c>
    </row>
    <row r="4068" spans="21:21" x14ac:dyDescent="0.25">
      <c r="U4068" s="104" t="str">
        <f>IF(
  AND(
    TRIM(A4068)=TRIM(Enginuity!$A$1),
    TRIM(B4068)=TRIM(Enginuity!$A$17),
    Q4068&lt;&gt;"",
    Q4068&lt;&gt;0,
    OR(
      TRIM(C4068)=TRIM(Enginuity!$A$18),
      AND(UPPER(TRIM(M4068))="STD", TRIM(B4068)=TRIM(Enginuity!$A$17))
    ),
    OR(
      AND(LEFT(P4068,5)="1-Way", Enginuity!$B$13=1),
      AND(LEFT(P4068,5)="2-Way", OR(Enginuity!$B$13=2, Enginuity!$B$13=4)),
      AND(LEFT(P4068,5)="3-Way", OR(Enginuity!$B$13=3, Enginuity!$B$13=6)),
      AND(P4068="Inner Centre Jamb", OR(Enginuity!$B$13=4, Enginuity!$B$13=6)),
      AND(
        LEFT(P4068,5)&lt;&gt;"1-Way",
        LEFT(P4068,5)&lt;&gt;"2-Way",
        LEFT(P4068,5)&lt;&gt;"3-Way",
        P4068&lt;&gt;"Inner Centre Jamb"
      )
    ),
    IF(OR(Enginuity!$A$1="Frameless Glass",Enginuity!$A$1="Metal Work"),
      AND(TRIM(B4068)=TRIM(Enginuity!$A$17),TRIM(C4068)=TRIM(Enginuity!$A$18)),
      TRIM(B4068)=TRIM(Enginuity!$A$17)
    )
  ),
  ROW(),
  ""
)</f>
        <v/>
      </c>
    </row>
    <row r="4069" spans="21:21" x14ac:dyDescent="0.25">
      <c r="U4069" s="104" t="str">
        <f>IF(
  AND(
    TRIM(A4069)=TRIM(Enginuity!$A$1),
    TRIM(B4069)=TRIM(Enginuity!$A$17),
    Q4069&lt;&gt;"",
    Q4069&lt;&gt;0,
    OR(
      TRIM(C4069)=TRIM(Enginuity!$A$18),
      AND(UPPER(TRIM(M4069))="STD", TRIM(B4069)=TRIM(Enginuity!$A$17))
    ),
    OR(
      AND(LEFT(P4069,5)="1-Way", Enginuity!$B$13=1),
      AND(LEFT(P4069,5)="2-Way", OR(Enginuity!$B$13=2, Enginuity!$B$13=4)),
      AND(LEFT(P4069,5)="3-Way", OR(Enginuity!$B$13=3, Enginuity!$B$13=6)),
      AND(P4069="Inner Centre Jamb", OR(Enginuity!$B$13=4, Enginuity!$B$13=6)),
      AND(
        LEFT(P4069,5)&lt;&gt;"1-Way",
        LEFT(P4069,5)&lt;&gt;"2-Way",
        LEFT(P4069,5)&lt;&gt;"3-Way",
        P4069&lt;&gt;"Inner Centre Jamb"
      )
    ),
    IF(OR(Enginuity!$A$1="Frameless Glass",Enginuity!$A$1="Metal Work"),
      AND(TRIM(B4069)=TRIM(Enginuity!$A$17),TRIM(C4069)=TRIM(Enginuity!$A$18)),
      TRIM(B4069)=TRIM(Enginuity!$A$17)
    )
  ),
  ROW(),
  ""
)</f>
        <v/>
      </c>
    </row>
    <row r="4070" spans="21:21" x14ac:dyDescent="0.25">
      <c r="U4070" s="104" t="str">
        <f>IF(
  AND(
    TRIM(A4070)=TRIM(Enginuity!$A$1),
    TRIM(B4070)=TRIM(Enginuity!$A$17),
    Q4070&lt;&gt;"",
    Q4070&lt;&gt;0,
    OR(
      TRIM(C4070)=TRIM(Enginuity!$A$18),
      AND(UPPER(TRIM(M4070))="STD", TRIM(B4070)=TRIM(Enginuity!$A$17))
    ),
    OR(
      AND(LEFT(P4070,5)="1-Way", Enginuity!$B$13=1),
      AND(LEFT(P4070,5)="2-Way", OR(Enginuity!$B$13=2, Enginuity!$B$13=4)),
      AND(LEFT(P4070,5)="3-Way", OR(Enginuity!$B$13=3, Enginuity!$B$13=6)),
      AND(P4070="Inner Centre Jamb", OR(Enginuity!$B$13=4, Enginuity!$B$13=6)),
      AND(
        LEFT(P4070,5)&lt;&gt;"1-Way",
        LEFT(P4070,5)&lt;&gt;"2-Way",
        LEFT(P4070,5)&lt;&gt;"3-Way",
        P4070&lt;&gt;"Inner Centre Jamb"
      )
    ),
    IF(OR(Enginuity!$A$1="Frameless Glass",Enginuity!$A$1="Metal Work"),
      AND(TRIM(B4070)=TRIM(Enginuity!$A$17),TRIM(C4070)=TRIM(Enginuity!$A$18)),
      TRIM(B4070)=TRIM(Enginuity!$A$17)
    )
  ),
  ROW(),
  ""
)</f>
        <v/>
      </c>
    </row>
    <row r="4071" spans="21:21" x14ac:dyDescent="0.25">
      <c r="U4071" s="104" t="str">
        <f>IF(
  AND(
    TRIM(A4071)=TRIM(Enginuity!$A$1),
    TRIM(B4071)=TRIM(Enginuity!$A$17),
    Q4071&lt;&gt;"",
    Q4071&lt;&gt;0,
    OR(
      TRIM(C4071)=TRIM(Enginuity!$A$18),
      AND(UPPER(TRIM(M4071))="STD", TRIM(B4071)=TRIM(Enginuity!$A$17))
    ),
    OR(
      AND(LEFT(P4071,5)="1-Way", Enginuity!$B$13=1),
      AND(LEFT(P4071,5)="2-Way", OR(Enginuity!$B$13=2, Enginuity!$B$13=4)),
      AND(LEFT(P4071,5)="3-Way", OR(Enginuity!$B$13=3, Enginuity!$B$13=6)),
      AND(P4071="Inner Centre Jamb", OR(Enginuity!$B$13=4, Enginuity!$B$13=6)),
      AND(
        LEFT(P4071,5)&lt;&gt;"1-Way",
        LEFT(P4071,5)&lt;&gt;"2-Way",
        LEFT(P4071,5)&lt;&gt;"3-Way",
        P4071&lt;&gt;"Inner Centre Jamb"
      )
    ),
    IF(OR(Enginuity!$A$1="Frameless Glass",Enginuity!$A$1="Metal Work"),
      AND(TRIM(B4071)=TRIM(Enginuity!$A$17),TRIM(C4071)=TRIM(Enginuity!$A$18)),
      TRIM(B4071)=TRIM(Enginuity!$A$17)
    )
  ),
  ROW(),
  ""
)</f>
        <v/>
      </c>
    </row>
    <row r="4072" spans="21:21" x14ac:dyDescent="0.25">
      <c r="U4072" s="104" t="str">
        <f>IF(
  AND(
    TRIM(A4072)=TRIM(Enginuity!$A$1),
    TRIM(B4072)=TRIM(Enginuity!$A$17),
    Q4072&lt;&gt;"",
    Q4072&lt;&gt;0,
    OR(
      TRIM(C4072)=TRIM(Enginuity!$A$18),
      AND(UPPER(TRIM(M4072))="STD", TRIM(B4072)=TRIM(Enginuity!$A$17))
    ),
    OR(
      AND(LEFT(P4072,5)="1-Way", Enginuity!$B$13=1),
      AND(LEFT(P4072,5)="2-Way", OR(Enginuity!$B$13=2, Enginuity!$B$13=4)),
      AND(LEFT(P4072,5)="3-Way", OR(Enginuity!$B$13=3, Enginuity!$B$13=6)),
      AND(P4072="Inner Centre Jamb", OR(Enginuity!$B$13=4, Enginuity!$B$13=6)),
      AND(
        LEFT(P4072,5)&lt;&gt;"1-Way",
        LEFT(P4072,5)&lt;&gt;"2-Way",
        LEFT(P4072,5)&lt;&gt;"3-Way",
        P4072&lt;&gt;"Inner Centre Jamb"
      )
    ),
    IF(OR(Enginuity!$A$1="Frameless Glass",Enginuity!$A$1="Metal Work"),
      AND(TRIM(B4072)=TRIM(Enginuity!$A$17),TRIM(C4072)=TRIM(Enginuity!$A$18)),
      TRIM(B4072)=TRIM(Enginuity!$A$17)
    )
  ),
  ROW(),
  ""
)</f>
        <v/>
      </c>
    </row>
    <row r="4073" spans="21:21" x14ac:dyDescent="0.25">
      <c r="U4073" s="104" t="str">
        <f>IF(
  AND(
    TRIM(A4073)=TRIM(Enginuity!$A$1),
    TRIM(B4073)=TRIM(Enginuity!$A$17),
    Q4073&lt;&gt;"",
    Q4073&lt;&gt;0,
    OR(
      TRIM(C4073)=TRIM(Enginuity!$A$18),
      AND(UPPER(TRIM(M4073))="STD", TRIM(B4073)=TRIM(Enginuity!$A$17))
    ),
    OR(
      AND(LEFT(P4073,5)="1-Way", Enginuity!$B$13=1),
      AND(LEFT(P4073,5)="2-Way", OR(Enginuity!$B$13=2, Enginuity!$B$13=4)),
      AND(LEFT(P4073,5)="3-Way", OR(Enginuity!$B$13=3, Enginuity!$B$13=6)),
      AND(P4073="Inner Centre Jamb", OR(Enginuity!$B$13=4, Enginuity!$B$13=6)),
      AND(
        LEFT(P4073,5)&lt;&gt;"1-Way",
        LEFT(P4073,5)&lt;&gt;"2-Way",
        LEFT(P4073,5)&lt;&gt;"3-Way",
        P4073&lt;&gt;"Inner Centre Jamb"
      )
    ),
    IF(OR(Enginuity!$A$1="Frameless Glass",Enginuity!$A$1="Metal Work"),
      AND(TRIM(B4073)=TRIM(Enginuity!$A$17),TRIM(C4073)=TRIM(Enginuity!$A$18)),
      TRIM(B4073)=TRIM(Enginuity!$A$17)
    )
  ),
  ROW(),
  ""
)</f>
        <v/>
      </c>
    </row>
    <row r="4074" spans="21:21" x14ac:dyDescent="0.25">
      <c r="U4074" s="104" t="str">
        <f>IF(
  AND(
    TRIM(A4074)=TRIM(Enginuity!$A$1),
    TRIM(B4074)=TRIM(Enginuity!$A$17),
    Q4074&lt;&gt;"",
    Q4074&lt;&gt;0,
    OR(
      TRIM(C4074)=TRIM(Enginuity!$A$18),
      AND(UPPER(TRIM(M4074))="STD", TRIM(B4074)=TRIM(Enginuity!$A$17))
    ),
    OR(
      AND(LEFT(P4074,5)="1-Way", Enginuity!$B$13=1),
      AND(LEFT(P4074,5)="2-Way", OR(Enginuity!$B$13=2, Enginuity!$B$13=4)),
      AND(LEFT(P4074,5)="3-Way", OR(Enginuity!$B$13=3, Enginuity!$B$13=6)),
      AND(P4074="Inner Centre Jamb", OR(Enginuity!$B$13=4, Enginuity!$B$13=6)),
      AND(
        LEFT(P4074,5)&lt;&gt;"1-Way",
        LEFT(P4074,5)&lt;&gt;"2-Way",
        LEFT(P4074,5)&lt;&gt;"3-Way",
        P4074&lt;&gt;"Inner Centre Jamb"
      )
    ),
    IF(OR(Enginuity!$A$1="Frameless Glass",Enginuity!$A$1="Metal Work"),
      AND(TRIM(B4074)=TRIM(Enginuity!$A$17),TRIM(C4074)=TRIM(Enginuity!$A$18)),
      TRIM(B4074)=TRIM(Enginuity!$A$17)
    )
  ),
  ROW(),
  ""
)</f>
        <v/>
      </c>
    </row>
    <row r="4075" spans="21:21" x14ac:dyDescent="0.25">
      <c r="U4075" s="104" t="str">
        <f>IF(
  AND(
    TRIM(A4075)=TRIM(Enginuity!$A$1),
    TRIM(B4075)=TRIM(Enginuity!$A$17),
    Q4075&lt;&gt;"",
    Q4075&lt;&gt;0,
    OR(
      TRIM(C4075)=TRIM(Enginuity!$A$18),
      AND(UPPER(TRIM(M4075))="STD", TRIM(B4075)=TRIM(Enginuity!$A$17))
    ),
    OR(
      AND(LEFT(P4075,5)="1-Way", Enginuity!$B$13=1),
      AND(LEFT(P4075,5)="2-Way", OR(Enginuity!$B$13=2, Enginuity!$B$13=4)),
      AND(LEFT(P4075,5)="3-Way", OR(Enginuity!$B$13=3, Enginuity!$B$13=6)),
      AND(P4075="Inner Centre Jamb", OR(Enginuity!$B$13=4, Enginuity!$B$13=6)),
      AND(
        LEFT(P4075,5)&lt;&gt;"1-Way",
        LEFT(P4075,5)&lt;&gt;"2-Way",
        LEFT(P4075,5)&lt;&gt;"3-Way",
        P4075&lt;&gt;"Inner Centre Jamb"
      )
    ),
    IF(OR(Enginuity!$A$1="Frameless Glass",Enginuity!$A$1="Metal Work"),
      AND(TRIM(B4075)=TRIM(Enginuity!$A$17),TRIM(C4075)=TRIM(Enginuity!$A$18)),
      TRIM(B4075)=TRIM(Enginuity!$A$17)
    )
  ),
  ROW(),
  ""
)</f>
        <v/>
      </c>
    </row>
    <row r="4076" spans="21:21" x14ac:dyDescent="0.25">
      <c r="U4076" s="104" t="str">
        <f>IF(
  AND(
    TRIM(A4076)=TRIM(Enginuity!$A$1),
    TRIM(B4076)=TRIM(Enginuity!$A$17),
    Q4076&lt;&gt;"",
    Q4076&lt;&gt;0,
    OR(
      TRIM(C4076)=TRIM(Enginuity!$A$18),
      AND(UPPER(TRIM(M4076))="STD", TRIM(B4076)=TRIM(Enginuity!$A$17))
    ),
    OR(
      AND(LEFT(P4076,5)="1-Way", Enginuity!$B$13=1),
      AND(LEFT(P4076,5)="2-Way", OR(Enginuity!$B$13=2, Enginuity!$B$13=4)),
      AND(LEFT(P4076,5)="3-Way", OR(Enginuity!$B$13=3, Enginuity!$B$13=6)),
      AND(P4076="Inner Centre Jamb", OR(Enginuity!$B$13=4, Enginuity!$B$13=6)),
      AND(
        LEFT(P4076,5)&lt;&gt;"1-Way",
        LEFT(P4076,5)&lt;&gt;"2-Way",
        LEFT(P4076,5)&lt;&gt;"3-Way",
        P4076&lt;&gt;"Inner Centre Jamb"
      )
    ),
    IF(OR(Enginuity!$A$1="Frameless Glass",Enginuity!$A$1="Metal Work"),
      AND(TRIM(B4076)=TRIM(Enginuity!$A$17),TRIM(C4076)=TRIM(Enginuity!$A$18)),
      TRIM(B4076)=TRIM(Enginuity!$A$17)
    )
  ),
  ROW(),
  ""
)</f>
        <v/>
      </c>
    </row>
    <row r="4077" spans="21:21" x14ac:dyDescent="0.25">
      <c r="U4077" s="104" t="str">
        <f>IF(
  AND(
    TRIM(A4077)=TRIM(Enginuity!$A$1),
    TRIM(B4077)=TRIM(Enginuity!$A$17),
    Q4077&lt;&gt;"",
    Q4077&lt;&gt;0,
    OR(
      TRIM(C4077)=TRIM(Enginuity!$A$18),
      AND(UPPER(TRIM(M4077))="STD", TRIM(B4077)=TRIM(Enginuity!$A$17))
    ),
    OR(
      AND(LEFT(P4077,5)="1-Way", Enginuity!$B$13=1),
      AND(LEFT(P4077,5)="2-Way", OR(Enginuity!$B$13=2, Enginuity!$B$13=4)),
      AND(LEFT(P4077,5)="3-Way", OR(Enginuity!$B$13=3, Enginuity!$B$13=6)),
      AND(P4077="Inner Centre Jamb", OR(Enginuity!$B$13=4, Enginuity!$B$13=6)),
      AND(
        LEFT(P4077,5)&lt;&gt;"1-Way",
        LEFT(P4077,5)&lt;&gt;"2-Way",
        LEFT(P4077,5)&lt;&gt;"3-Way",
        P4077&lt;&gt;"Inner Centre Jamb"
      )
    ),
    IF(OR(Enginuity!$A$1="Frameless Glass",Enginuity!$A$1="Metal Work"),
      AND(TRIM(B4077)=TRIM(Enginuity!$A$17),TRIM(C4077)=TRIM(Enginuity!$A$18)),
      TRIM(B4077)=TRIM(Enginuity!$A$17)
    )
  ),
  ROW(),
  ""
)</f>
        <v/>
      </c>
    </row>
    <row r="4078" spans="21:21" x14ac:dyDescent="0.25">
      <c r="U4078" s="104" t="str">
        <f>IF(
  AND(
    TRIM(A4078)=TRIM(Enginuity!$A$1),
    TRIM(B4078)=TRIM(Enginuity!$A$17),
    Q4078&lt;&gt;"",
    Q4078&lt;&gt;0,
    OR(
      TRIM(C4078)=TRIM(Enginuity!$A$18),
      AND(UPPER(TRIM(M4078))="STD", TRIM(B4078)=TRIM(Enginuity!$A$17))
    ),
    OR(
      AND(LEFT(P4078,5)="1-Way", Enginuity!$B$13=1),
      AND(LEFT(P4078,5)="2-Way", OR(Enginuity!$B$13=2, Enginuity!$B$13=4)),
      AND(LEFT(P4078,5)="3-Way", OR(Enginuity!$B$13=3, Enginuity!$B$13=6)),
      AND(P4078="Inner Centre Jamb", OR(Enginuity!$B$13=4, Enginuity!$B$13=6)),
      AND(
        LEFT(P4078,5)&lt;&gt;"1-Way",
        LEFT(P4078,5)&lt;&gt;"2-Way",
        LEFT(P4078,5)&lt;&gt;"3-Way",
        P4078&lt;&gt;"Inner Centre Jamb"
      )
    ),
    IF(OR(Enginuity!$A$1="Frameless Glass",Enginuity!$A$1="Metal Work"),
      AND(TRIM(B4078)=TRIM(Enginuity!$A$17),TRIM(C4078)=TRIM(Enginuity!$A$18)),
      TRIM(B4078)=TRIM(Enginuity!$A$17)
    )
  ),
  ROW(),
  ""
)</f>
        <v/>
      </c>
    </row>
    <row r="4079" spans="21:21" x14ac:dyDescent="0.25">
      <c r="U4079" s="104" t="str">
        <f>IF(
  AND(
    TRIM(A4079)=TRIM(Enginuity!$A$1),
    TRIM(B4079)=TRIM(Enginuity!$A$17),
    Q4079&lt;&gt;"",
    Q4079&lt;&gt;0,
    OR(
      TRIM(C4079)=TRIM(Enginuity!$A$18),
      AND(UPPER(TRIM(M4079))="STD", TRIM(B4079)=TRIM(Enginuity!$A$17))
    ),
    OR(
      AND(LEFT(P4079,5)="1-Way", Enginuity!$B$13=1),
      AND(LEFT(P4079,5)="2-Way", OR(Enginuity!$B$13=2, Enginuity!$B$13=4)),
      AND(LEFT(P4079,5)="3-Way", OR(Enginuity!$B$13=3, Enginuity!$B$13=6)),
      AND(P4079="Inner Centre Jamb", OR(Enginuity!$B$13=4, Enginuity!$B$13=6)),
      AND(
        LEFT(P4079,5)&lt;&gt;"1-Way",
        LEFT(P4079,5)&lt;&gt;"2-Way",
        LEFT(P4079,5)&lt;&gt;"3-Way",
        P4079&lt;&gt;"Inner Centre Jamb"
      )
    ),
    IF(OR(Enginuity!$A$1="Frameless Glass",Enginuity!$A$1="Metal Work"),
      AND(TRIM(B4079)=TRIM(Enginuity!$A$17),TRIM(C4079)=TRIM(Enginuity!$A$18)),
      TRIM(B4079)=TRIM(Enginuity!$A$17)
    )
  ),
  ROW(),
  ""
)</f>
        <v/>
      </c>
    </row>
    <row r="4080" spans="21:21" x14ac:dyDescent="0.25">
      <c r="U4080" s="104" t="str">
        <f>IF(
  AND(
    TRIM(A4080)=TRIM(Enginuity!$A$1),
    TRIM(B4080)=TRIM(Enginuity!$A$17),
    Q4080&lt;&gt;"",
    Q4080&lt;&gt;0,
    OR(
      TRIM(C4080)=TRIM(Enginuity!$A$18),
      AND(UPPER(TRIM(M4080))="STD", TRIM(B4080)=TRIM(Enginuity!$A$17))
    ),
    OR(
      AND(LEFT(P4080,5)="1-Way", Enginuity!$B$13=1),
      AND(LEFT(P4080,5)="2-Way", OR(Enginuity!$B$13=2, Enginuity!$B$13=4)),
      AND(LEFT(P4080,5)="3-Way", OR(Enginuity!$B$13=3, Enginuity!$B$13=6)),
      AND(P4080="Inner Centre Jamb", OR(Enginuity!$B$13=4, Enginuity!$B$13=6)),
      AND(
        LEFT(P4080,5)&lt;&gt;"1-Way",
        LEFT(P4080,5)&lt;&gt;"2-Way",
        LEFT(P4080,5)&lt;&gt;"3-Way",
        P4080&lt;&gt;"Inner Centre Jamb"
      )
    ),
    IF(OR(Enginuity!$A$1="Frameless Glass",Enginuity!$A$1="Metal Work"),
      AND(TRIM(B4080)=TRIM(Enginuity!$A$17),TRIM(C4080)=TRIM(Enginuity!$A$18)),
      TRIM(B4080)=TRIM(Enginuity!$A$17)
    )
  ),
  ROW(),
  ""
)</f>
        <v/>
      </c>
    </row>
    <row r="4081" spans="21:21" x14ac:dyDescent="0.25">
      <c r="U4081" s="104" t="str">
        <f>IF(
  AND(
    TRIM(A4081)=TRIM(Enginuity!$A$1),
    TRIM(B4081)=TRIM(Enginuity!$A$17),
    Q4081&lt;&gt;"",
    Q4081&lt;&gt;0,
    OR(
      TRIM(C4081)=TRIM(Enginuity!$A$18),
      AND(UPPER(TRIM(M4081))="STD", TRIM(B4081)=TRIM(Enginuity!$A$17))
    ),
    OR(
      AND(LEFT(P4081,5)="1-Way", Enginuity!$B$13=1),
      AND(LEFT(P4081,5)="2-Way", OR(Enginuity!$B$13=2, Enginuity!$B$13=4)),
      AND(LEFT(P4081,5)="3-Way", OR(Enginuity!$B$13=3, Enginuity!$B$13=6)),
      AND(P4081="Inner Centre Jamb", OR(Enginuity!$B$13=4, Enginuity!$B$13=6)),
      AND(
        LEFT(P4081,5)&lt;&gt;"1-Way",
        LEFT(P4081,5)&lt;&gt;"2-Way",
        LEFT(P4081,5)&lt;&gt;"3-Way",
        P4081&lt;&gt;"Inner Centre Jamb"
      )
    ),
    IF(OR(Enginuity!$A$1="Frameless Glass",Enginuity!$A$1="Metal Work"),
      AND(TRIM(B4081)=TRIM(Enginuity!$A$17),TRIM(C4081)=TRIM(Enginuity!$A$18)),
      TRIM(B4081)=TRIM(Enginuity!$A$17)
    )
  ),
  ROW(),
  ""
)</f>
        <v/>
      </c>
    </row>
    <row r="4082" spans="21:21" x14ac:dyDescent="0.25">
      <c r="U4082" s="104" t="str">
        <f>IF(
  AND(
    TRIM(A4082)=TRIM(Enginuity!$A$1),
    TRIM(B4082)=TRIM(Enginuity!$A$17),
    Q4082&lt;&gt;"",
    Q4082&lt;&gt;0,
    OR(
      TRIM(C4082)=TRIM(Enginuity!$A$18),
      AND(UPPER(TRIM(M4082))="STD", TRIM(B4082)=TRIM(Enginuity!$A$17))
    ),
    OR(
      AND(LEFT(P4082,5)="1-Way", Enginuity!$B$13=1),
      AND(LEFT(P4082,5)="2-Way", OR(Enginuity!$B$13=2, Enginuity!$B$13=4)),
      AND(LEFT(P4082,5)="3-Way", OR(Enginuity!$B$13=3, Enginuity!$B$13=6)),
      AND(P4082="Inner Centre Jamb", OR(Enginuity!$B$13=4, Enginuity!$B$13=6)),
      AND(
        LEFT(P4082,5)&lt;&gt;"1-Way",
        LEFT(P4082,5)&lt;&gt;"2-Way",
        LEFT(P4082,5)&lt;&gt;"3-Way",
        P4082&lt;&gt;"Inner Centre Jamb"
      )
    ),
    IF(OR(Enginuity!$A$1="Frameless Glass",Enginuity!$A$1="Metal Work"),
      AND(TRIM(B4082)=TRIM(Enginuity!$A$17),TRIM(C4082)=TRIM(Enginuity!$A$18)),
      TRIM(B4082)=TRIM(Enginuity!$A$17)
    )
  ),
  ROW(),
  ""
)</f>
        <v/>
      </c>
    </row>
    <row r="4083" spans="21:21" x14ac:dyDescent="0.25">
      <c r="U4083" s="104" t="str">
        <f>IF(
  AND(
    TRIM(A4083)=TRIM(Enginuity!$A$1),
    TRIM(B4083)=TRIM(Enginuity!$A$17),
    Q4083&lt;&gt;"",
    Q4083&lt;&gt;0,
    OR(
      TRIM(C4083)=TRIM(Enginuity!$A$18),
      AND(UPPER(TRIM(M4083))="STD", TRIM(B4083)=TRIM(Enginuity!$A$17))
    ),
    OR(
      AND(LEFT(P4083,5)="1-Way", Enginuity!$B$13=1),
      AND(LEFT(P4083,5)="2-Way", OR(Enginuity!$B$13=2, Enginuity!$B$13=4)),
      AND(LEFT(P4083,5)="3-Way", OR(Enginuity!$B$13=3, Enginuity!$B$13=6)),
      AND(P4083="Inner Centre Jamb", OR(Enginuity!$B$13=4, Enginuity!$B$13=6)),
      AND(
        LEFT(P4083,5)&lt;&gt;"1-Way",
        LEFT(P4083,5)&lt;&gt;"2-Way",
        LEFT(P4083,5)&lt;&gt;"3-Way",
        P4083&lt;&gt;"Inner Centre Jamb"
      )
    ),
    IF(OR(Enginuity!$A$1="Frameless Glass",Enginuity!$A$1="Metal Work"),
      AND(TRIM(B4083)=TRIM(Enginuity!$A$17),TRIM(C4083)=TRIM(Enginuity!$A$18)),
      TRIM(B4083)=TRIM(Enginuity!$A$17)
    )
  ),
  ROW(),
  ""
)</f>
        <v/>
      </c>
    </row>
    <row r="4084" spans="21:21" x14ac:dyDescent="0.25">
      <c r="U4084" s="104" t="str">
        <f>IF(
  AND(
    TRIM(A4084)=TRIM(Enginuity!$A$1),
    TRIM(B4084)=TRIM(Enginuity!$A$17),
    Q4084&lt;&gt;"",
    Q4084&lt;&gt;0,
    OR(
      TRIM(C4084)=TRIM(Enginuity!$A$18),
      AND(UPPER(TRIM(M4084))="STD", TRIM(B4084)=TRIM(Enginuity!$A$17))
    ),
    OR(
      AND(LEFT(P4084,5)="1-Way", Enginuity!$B$13=1),
      AND(LEFT(P4084,5)="2-Way", OR(Enginuity!$B$13=2, Enginuity!$B$13=4)),
      AND(LEFT(P4084,5)="3-Way", OR(Enginuity!$B$13=3, Enginuity!$B$13=6)),
      AND(P4084="Inner Centre Jamb", OR(Enginuity!$B$13=4, Enginuity!$B$13=6)),
      AND(
        LEFT(P4084,5)&lt;&gt;"1-Way",
        LEFT(P4084,5)&lt;&gt;"2-Way",
        LEFT(P4084,5)&lt;&gt;"3-Way",
        P4084&lt;&gt;"Inner Centre Jamb"
      )
    ),
    IF(OR(Enginuity!$A$1="Frameless Glass",Enginuity!$A$1="Metal Work"),
      AND(TRIM(B4084)=TRIM(Enginuity!$A$17),TRIM(C4084)=TRIM(Enginuity!$A$18)),
      TRIM(B4084)=TRIM(Enginuity!$A$17)
    )
  ),
  ROW(),
  ""
)</f>
        <v/>
      </c>
    </row>
    <row r="4085" spans="21:21" x14ac:dyDescent="0.25">
      <c r="U4085" s="104" t="str">
        <f>IF(
  AND(
    TRIM(A4085)=TRIM(Enginuity!$A$1),
    TRIM(B4085)=TRIM(Enginuity!$A$17),
    Q4085&lt;&gt;"",
    Q4085&lt;&gt;0,
    OR(
      TRIM(C4085)=TRIM(Enginuity!$A$18),
      AND(UPPER(TRIM(M4085))="STD", TRIM(B4085)=TRIM(Enginuity!$A$17))
    ),
    OR(
      AND(LEFT(P4085,5)="1-Way", Enginuity!$B$13=1),
      AND(LEFT(P4085,5)="2-Way", OR(Enginuity!$B$13=2, Enginuity!$B$13=4)),
      AND(LEFT(P4085,5)="3-Way", OR(Enginuity!$B$13=3, Enginuity!$B$13=6)),
      AND(P4085="Inner Centre Jamb", OR(Enginuity!$B$13=4, Enginuity!$B$13=6)),
      AND(
        LEFT(P4085,5)&lt;&gt;"1-Way",
        LEFT(P4085,5)&lt;&gt;"2-Way",
        LEFT(P4085,5)&lt;&gt;"3-Way",
        P4085&lt;&gt;"Inner Centre Jamb"
      )
    ),
    IF(OR(Enginuity!$A$1="Frameless Glass",Enginuity!$A$1="Metal Work"),
      AND(TRIM(B4085)=TRIM(Enginuity!$A$17),TRIM(C4085)=TRIM(Enginuity!$A$18)),
      TRIM(B4085)=TRIM(Enginuity!$A$17)
    )
  ),
  ROW(),
  ""
)</f>
        <v/>
      </c>
    </row>
    <row r="4086" spans="21:21" x14ac:dyDescent="0.25">
      <c r="U4086" s="104" t="str">
        <f>IF(
  AND(
    TRIM(A4086)=TRIM(Enginuity!$A$1),
    TRIM(B4086)=TRIM(Enginuity!$A$17),
    Q4086&lt;&gt;"",
    Q4086&lt;&gt;0,
    OR(
      TRIM(C4086)=TRIM(Enginuity!$A$18),
      AND(UPPER(TRIM(M4086))="STD", TRIM(B4086)=TRIM(Enginuity!$A$17))
    ),
    OR(
      AND(LEFT(P4086,5)="1-Way", Enginuity!$B$13=1),
      AND(LEFT(P4086,5)="2-Way", OR(Enginuity!$B$13=2, Enginuity!$B$13=4)),
      AND(LEFT(P4086,5)="3-Way", OR(Enginuity!$B$13=3, Enginuity!$B$13=6)),
      AND(P4086="Inner Centre Jamb", OR(Enginuity!$B$13=4, Enginuity!$B$13=6)),
      AND(
        LEFT(P4086,5)&lt;&gt;"1-Way",
        LEFT(P4086,5)&lt;&gt;"2-Way",
        LEFT(P4086,5)&lt;&gt;"3-Way",
        P4086&lt;&gt;"Inner Centre Jamb"
      )
    ),
    IF(OR(Enginuity!$A$1="Frameless Glass",Enginuity!$A$1="Metal Work"),
      AND(TRIM(B4086)=TRIM(Enginuity!$A$17),TRIM(C4086)=TRIM(Enginuity!$A$18)),
      TRIM(B4086)=TRIM(Enginuity!$A$17)
    )
  ),
  ROW(),
  ""
)</f>
        <v/>
      </c>
    </row>
    <row r="4087" spans="21:21" x14ac:dyDescent="0.25">
      <c r="U4087" s="104" t="str">
        <f>IF(
  AND(
    TRIM(A4087)=TRIM(Enginuity!$A$1),
    TRIM(B4087)=TRIM(Enginuity!$A$17),
    Q4087&lt;&gt;"",
    Q4087&lt;&gt;0,
    OR(
      TRIM(C4087)=TRIM(Enginuity!$A$18),
      AND(UPPER(TRIM(M4087))="STD", TRIM(B4087)=TRIM(Enginuity!$A$17))
    ),
    OR(
      AND(LEFT(P4087,5)="1-Way", Enginuity!$B$13=1),
      AND(LEFT(P4087,5)="2-Way", OR(Enginuity!$B$13=2, Enginuity!$B$13=4)),
      AND(LEFT(P4087,5)="3-Way", OR(Enginuity!$B$13=3, Enginuity!$B$13=6)),
      AND(P4087="Inner Centre Jamb", OR(Enginuity!$B$13=4, Enginuity!$B$13=6)),
      AND(
        LEFT(P4087,5)&lt;&gt;"1-Way",
        LEFT(P4087,5)&lt;&gt;"2-Way",
        LEFT(P4087,5)&lt;&gt;"3-Way",
        P4087&lt;&gt;"Inner Centre Jamb"
      )
    ),
    IF(OR(Enginuity!$A$1="Frameless Glass",Enginuity!$A$1="Metal Work"),
      AND(TRIM(B4087)=TRIM(Enginuity!$A$17),TRIM(C4087)=TRIM(Enginuity!$A$18)),
      TRIM(B4087)=TRIM(Enginuity!$A$17)
    )
  ),
  ROW(),
  ""
)</f>
        <v/>
      </c>
    </row>
    <row r="4088" spans="21:21" x14ac:dyDescent="0.25">
      <c r="U4088" s="104" t="str">
        <f>IF(
  AND(
    TRIM(A4088)=TRIM(Enginuity!$A$1),
    TRIM(B4088)=TRIM(Enginuity!$A$17),
    Q4088&lt;&gt;"",
    Q4088&lt;&gt;0,
    OR(
      TRIM(C4088)=TRIM(Enginuity!$A$18),
      AND(UPPER(TRIM(M4088))="STD", TRIM(B4088)=TRIM(Enginuity!$A$17))
    ),
    OR(
      AND(LEFT(P4088,5)="1-Way", Enginuity!$B$13=1),
      AND(LEFT(P4088,5)="2-Way", OR(Enginuity!$B$13=2, Enginuity!$B$13=4)),
      AND(LEFT(P4088,5)="3-Way", OR(Enginuity!$B$13=3, Enginuity!$B$13=6)),
      AND(P4088="Inner Centre Jamb", OR(Enginuity!$B$13=4, Enginuity!$B$13=6)),
      AND(
        LEFT(P4088,5)&lt;&gt;"1-Way",
        LEFT(P4088,5)&lt;&gt;"2-Way",
        LEFT(P4088,5)&lt;&gt;"3-Way",
        P4088&lt;&gt;"Inner Centre Jamb"
      )
    ),
    IF(OR(Enginuity!$A$1="Frameless Glass",Enginuity!$A$1="Metal Work"),
      AND(TRIM(B4088)=TRIM(Enginuity!$A$17),TRIM(C4088)=TRIM(Enginuity!$A$18)),
      TRIM(B4088)=TRIM(Enginuity!$A$17)
    )
  ),
  ROW(),
  ""
)</f>
        <v/>
      </c>
    </row>
    <row r="4089" spans="21:21" x14ac:dyDescent="0.25">
      <c r="U4089" s="104" t="str">
        <f>IF(
  AND(
    TRIM(A4089)=TRIM(Enginuity!$A$1),
    TRIM(B4089)=TRIM(Enginuity!$A$17),
    Q4089&lt;&gt;"",
    Q4089&lt;&gt;0,
    OR(
      TRIM(C4089)=TRIM(Enginuity!$A$18),
      AND(UPPER(TRIM(M4089))="STD", TRIM(B4089)=TRIM(Enginuity!$A$17))
    ),
    OR(
      AND(LEFT(P4089,5)="1-Way", Enginuity!$B$13=1),
      AND(LEFT(P4089,5)="2-Way", OR(Enginuity!$B$13=2, Enginuity!$B$13=4)),
      AND(LEFT(P4089,5)="3-Way", OR(Enginuity!$B$13=3, Enginuity!$B$13=6)),
      AND(P4089="Inner Centre Jamb", OR(Enginuity!$B$13=4, Enginuity!$B$13=6)),
      AND(
        LEFT(P4089,5)&lt;&gt;"1-Way",
        LEFT(P4089,5)&lt;&gt;"2-Way",
        LEFT(P4089,5)&lt;&gt;"3-Way",
        P4089&lt;&gt;"Inner Centre Jamb"
      )
    ),
    IF(OR(Enginuity!$A$1="Frameless Glass",Enginuity!$A$1="Metal Work"),
      AND(TRIM(B4089)=TRIM(Enginuity!$A$17),TRIM(C4089)=TRIM(Enginuity!$A$18)),
      TRIM(B4089)=TRIM(Enginuity!$A$17)
    )
  ),
  ROW(),
  ""
)</f>
        <v/>
      </c>
    </row>
    <row r="4090" spans="21:21" x14ac:dyDescent="0.25">
      <c r="U4090" s="104" t="str">
        <f>IF(
  AND(
    TRIM(A4090)=TRIM(Enginuity!$A$1),
    TRIM(B4090)=TRIM(Enginuity!$A$17),
    Q4090&lt;&gt;"",
    Q4090&lt;&gt;0,
    OR(
      TRIM(C4090)=TRIM(Enginuity!$A$18),
      AND(UPPER(TRIM(M4090))="STD", TRIM(B4090)=TRIM(Enginuity!$A$17))
    ),
    OR(
      AND(LEFT(P4090,5)="1-Way", Enginuity!$B$13=1),
      AND(LEFT(P4090,5)="2-Way", OR(Enginuity!$B$13=2, Enginuity!$B$13=4)),
      AND(LEFT(P4090,5)="3-Way", OR(Enginuity!$B$13=3, Enginuity!$B$13=6)),
      AND(P4090="Inner Centre Jamb", OR(Enginuity!$B$13=4, Enginuity!$B$13=6)),
      AND(
        LEFT(P4090,5)&lt;&gt;"1-Way",
        LEFT(P4090,5)&lt;&gt;"2-Way",
        LEFT(P4090,5)&lt;&gt;"3-Way",
        P4090&lt;&gt;"Inner Centre Jamb"
      )
    ),
    IF(OR(Enginuity!$A$1="Frameless Glass",Enginuity!$A$1="Metal Work"),
      AND(TRIM(B4090)=TRIM(Enginuity!$A$17),TRIM(C4090)=TRIM(Enginuity!$A$18)),
      TRIM(B4090)=TRIM(Enginuity!$A$17)
    )
  ),
  ROW(),
  ""
)</f>
        <v/>
      </c>
    </row>
    <row r="4091" spans="21:21" x14ac:dyDescent="0.25">
      <c r="U4091" s="104" t="str">
        <f>IF(
  AND(
    TRIM(A4091)=TRIM(Enginuity!$A$1),
    TRIM(B4091)=TRIM(Enginuity!$A$17),
    Q4091&lt;&gt;"",
    Q4091&lt;&gt;0,
    OR(
      TRIM(C4091)=TRIM(Enginuity!$A$18),
      AND(UPPER(TRIM(M4091))="STD", TRIM(B4091)=TRIM(Enginuity!$A$17))
    ),
    OR(
      AND(LEFT(P4091,5)="1-Way", Enginuity!$B$13=1),
      AND(LEFT(P4091,5)="2-Way", OR(Enginuity!$B$13=2, Enginuity!$B$13=4)),
      AND(LEFT(P4091,5)="3-Way", OR(Enginuity!$B$13=3, Enginuity!$B$13=6)),
      AND(P4091="Inner Centre Jamb", OR(Enginuity!$B$13=4, Enginuity!$B$13=6)),
      AND(
        LEFT(P4091,5)&lt;&gt;"1-Way",
        LEFT(P4091,5)&lt;&gt;"2-Way",
        LEFT(P4091,5)&lt;&gt;"3-Way",
        P4091&lt;&gt;"Inner Centre Jamb"
      )
    ),
    IF(OR(Enginuity!$A$1="Frameless Glass",Enginuity!$A$1="Metal Work"),
      AND(TRIM(B4091)=TRIM(Enginuity!$A$17),TRIM(C4091)=TRIM(Enginuity!$A$18)),
      TRIM(B4091)=TRIM(Enginuity!$A$17)
    )
  ),
  ROW(),
  ""
)</f>
        <v/>
      </c>
    </row>
    <row r="4092" spans="21:21" x14ac:dyDescent="0.25">
      <c r="U4092" s="104" t="str">
        <f>IF(
  AND(
    TRIM(A4092)=TRIM(Enginuity!$A$1),
    TRIM(B4092)=TRIM(Enginuity!$A$17),
    Q4092&lt;&gt;"",
    Q4092&lt;&gt;0,
    OR(
      TRIM(C4092)=TRIM(Enginuity!$A$18),
      AND(UPPER(TRIM(M4092))="STD", TRIM(B4092)=TRIM(Enginuity!$A$17))
    ),
    OR(
      AND(LEFT(P4092,5)="1-Way", Enginuity!$B$13=1),
      AND(LEFT(P4092,5)="2-Way", OR(Enginuity!$B$13=2, Enginuity!$B$13=4)),
      AND(LEFT(P4092,5)="3-Way", OR(Enginuity!$B$13=3, Enginuity!$B$13=6)),
      AND(P4092="Inner Centre Jamb", OR(Enginuity!$B$13=4, Enginuity!$B$13=6)),
      AND(
        LEFT(P4092,5)&lt;&gt;"1-Way",
        LEFT(P4092,5)&lt;&gt;"2-Way",
        LEFT(P4092,5)&lt;&gt;"3-Way",
        P4092&lt;&gt;"Inner Centre Jamb"
      )
    ),
    IF(OR(Enginuity!$A$1="Frameless Glass",Enginuity!$A$1="Metal Work"),
      AND(TRIM(B4092)=TRIM(Enginuity!$A$17),TRIM(C4092)=TRIM(Enginuity!$A$18)),
      TRIM(B4092)=TRIM(Enginuity!$A$17)
    )
  ),
  ROW(),
  ""
)</f>
        <v/>
      </c>
    </row>
    <row r="4093" spans="21:21" x14ac:dyDescent="0.25">
      <c r="U4093" s="104" t="str">
        <f>IF(
  AND(
    TRIM(A4093)=TRIM(Enginuity!$A$1),
    TRIM(B4093)=TRIM(Enginuity!$A$17),
    Q4093&lt;&gt;"",
    Q4093&lt;&gt;0,
    OR(
      TRIM(C4093)=TRIM(Enginuity!$A$18),
      AND(UPPER(TRIM(M4093))="STD", TRIM(B4093)=TRIM(Enginuity!$A$17))
    ),
    OR(
      AND(LEFT(P4093,5)="1-Way", Enginuity!$B$13=1),
      AND(LEFT(P4093,5)="2-Way", OR(Enginuity!$B$13=2, Enginuity!$B$13=4)),
      AND(LEFT(P4093,5)="3-Way", OR(Enginuity!$B$13=3, Enginuity!$B$13=6)),
      AND(P4093="Inner Centre Jamb", OR(Enginuity!$B$13=4, Enginuity!$B$13=6)),
      AND(
        LEFT(P4093,5)&lt;&gt;"1-Way",
        LEFT(P4093,5)&lt;&gt;"2-Way",
        LEFT(P4093,5)&lt;&gt;"3-Way",
        P4093&lt;&gt;"Inner Centre Jamb"
      )
    ),
    IF(OR(Enginuity!$A$1="Frameless Glass",Enginuity!$A$1="Metal Work"),
      AND(TRIM(B4093)=TRIM(Enginuity!$A$17),TRIM(C4093)=TRIM(Enginuity!$A$18)),
      TRIM(B4093)=TRIM(Enginuity!$A$17)
    )
  ),
  ROW(),
  ""
)</f>
        <v/>
      </c>
    </row>
    <row r="4094" spans="21:21" x14ac:dyDescent="0.25">
      <c r="U4094" s="104" t="str">
        <f>IF(
  AND(
    TRIM(A4094)=TRIM(Enginuity!$A$1),
    TRIM(B4094)=TRIM(Enginuity!$A$17),
    Q4094&lt;&gt;"",
    Q4094&lt;&gt;0,
    OR(
      TRIM(C4094)=TRIM(Enginuity!$A$18),
      AND(UPPER(TRIM(M4094))="STD", TRIM(B4094)=TRIM(Enginuity!$A$17))
    ),
    OR(
      AND(LEFT(P4094,5)="1-Way", Enginuity!$B$13=1),
      AND(LEFT(P4094,5)="2-Way", OR(Enginuity!$B$13=2, Enginuity!$B$13=4)),
      AND(LEFT(P4094,5)="3-Way", OR(Enginuity!$B$13=3, Enginuity!$B$13=6)),
      AND(P4094="Inner Centre Jamb", OR(Enginuity!$B$13=4, Enginuity!$B$13=6)),
      AND(
        LEFT(P4094,5)&lt;&gt;"1-Way",
        LEFT(P4094,5)&lt;&gt;"2-Way",
        LEFT(P4094,5)&lt;&gt;"3-Way",
        P4094&lt;&gt;"Inner Centre Jamb"
      )
    ),
    IF(OR(Enginuity!$A$1="Frameless Glass",Enginuity!$A$1="Metal Work"),
      AND(TRIM(B4094)=TRIM(Enginuity!$A$17),TRIM(C4094)=TRIM(Enginuity!$A$18)),
      TRIM(B4094)=TRIM(Enginuity!$A$17)
    )
  ),
  ROW(),
  ""
)</f>
        <v/>
      </c>
    </row>
    <row r="4095" spans="21:21" x14ac:dyDescent="0.25">
      <c r="U4095" s="104" t="str">
        <f>IF(
  AND(
    TRIM(A4095)=TRIM(Enginuity!$A$1),
    TRIM(B4095)=TRIM(Enginuity!$A$17),
    Q4095&lt;&gt;"",
    Q4095&lt;&gt;0,
    OR(
      TRIM(C4095)=TRIM(Enginuity!$A$18),
      AND(UPPER(TRIM(M4095))="STD", TRIM(B4095)=TRIM(Enginuity!$A$17))
    ),
    OR(
      AND(LEFT(P4095,5)="1-Way", Enginuity!$B$13=1),
      AND(LEFT(P4095,5)="2-Way", OR(Enginuity!$B$13=2, Enginuity!$B$13=4)),
      AND(LEFT(P4095,5)="3-Way", OR(Enginuity!$B$13=3, Enginuity!$B$13=6)),
      AND(P4095="Inner Centre Jamb", OR(Enginuity!$B$13=4, Enginuity!$B$13=6)),
      AND(
        LEFT(P4095,5)&lt;&gt;"1-Way",
        LEFT(P4095,5)&lt;&gt;"2-Way",
        LEFT(P4095,5)&lt;&gt;"3-Way",
        P4095&lt;&gt;"Inner Centre Jamb"
      )
    ),
    IF(OR(Enginuity!$A$1="Frameless Glass",Enginuity!$A$1="Metal Work"),
      AND(TRIM(B4095)=TRIM(Enginuity!$A$17),TRIM(C4095)=TRIM(Enginuity!$A$18)),
      TRIM(B4095)=TRIM(Enginuity!$A$17)
    )
  ),
  ROW(),
  ""
)</f>
        <v/>
      </c>
    </row>
    <row r="4096" spans="21:21" x14ac:dyDescent="0.25">
      <c r="U4096" s="104" t="str">
        <f>IF(
  AND(
    TRIM(A4096)=TRIM(Enginuity!$A$1),
    TRIM(B4096)=TRIM(Enginuity!$A$17),
    Q4096&lt;&gt;"",
    Q4096&lt;&gt;0,
    OR(
      TRIM(C4096)=TRIM(Enginuity!$A$18),
      AND(UPPER(TRIM(M4096))="STD", TRIM(B4096)=TRIM(Enginuity!$A$17))
    ),
    OR(
      AND(LEFT(P4096,5)="1-Way", Enginuity!$B$13=1),
      AND(LEFT(P4096,5)="2-Way", OR(Enginuity!$B$13=2, Enginuity!$B$13=4)),
      AND(LEFT(P4096,5)="3-Way", OR(Enginuity!$B$13=3, Enginuity!$B$13=6)),
      AND(P4096="Inner Centre Jamb", OR(Enginuity!$B$13=4, Enginuity!$B$13=6)),
      AND(
        LEFT(P4096,5)&lt;&gt;"1-Way",
        LEFT(P4096,5)&lt;&gt;"2-Way",
        LEFT(P4096,5)&lt;&gt;"3-Way",
        P4096&lt;&gt;"Inner Centre Jamb"
      )
    ),
    IF(OR(Enginuity!$A$1="Frameless Glass",Enginuity!$A$1="Metal Work"),
      AND(TRIM(B4096)=TRIM(Enginuity!$A$17),TRIM(C4096)=TRIM(Enginuity!$A$18)),
      TRIM(B4096)=TRIM(Enginuity!$A$17)
    )
  ),
  ROW(),
  ""
)</f>
        <v/>
      </c>
    </row>
    <row r="4097" spans="21:21" x14ac:dyDescent="0.25">
      <c r="U4097" s="104" t="str">
        <f>IF(
  AND(
    TRIM(A4097)=TRIM(Enginuity!$A$1),
    TRIM(B4097)=TRIM(Enginuity!$A$17),
    Q4097&lt;&gt;"",
    Q4097&lt;&gt;0,
    OR(
      TRIM(C4097)=TRIM(Enginuity!$A$18),
      AND(UPPER(TRIM(M4097))="STD", TRIM(B4097)=TRIM(Enginuity!$A$17))
    ),
    OR(
      AND(LEFT(P4097,5)="1-Way", Enginuity!$B$13=1),
      AND(LEFT(P4097,5)="2-Way", OR(Enginuity!$B$13=2, Enginuity!$B$13=4)),
      AND(LEFT(P4097,5)="3-Way", OR(Enginuity!$B$13=3, Enginuity!$B$13=6)),
      AND(P4097="Inner Centre Jamb", OR(Enginuity!$B$13=4, Enginuity!$B$13=6)),
      AND(
        LEFT(P4097,5)&lt;&gt;"1-Way",
        LEFT(P4097,5)&lt;&gt;"2-Way",
        LEFT(P4097,5)&lt;&gt;"3-Way",
        P4097&lt;&gt;"Inner Centre Jamb"
      )
    ),
    IF(OR(Enginuity!$A$1="Frameless Glass",Enginuity!$A$1="Metal Work"),
      AND(TRIM(B4097)=TRIM(Enginuity!$A$17),TRIM(C4097)=TRIM(Enginuity!$A$18)),
      TRIM(B4097)=TRIM(Enginuity!$A$17)
    )
  ),
  ROW(),
  ""
)</f>
        <v/>
      </c>
    </row>
    <row r="4098" spans="21:21" x14ac:dyDescent="0.25">
      <c r="U4098" s="104" t="str">
        <f>IF(
  AND(
    TRIM(A4098)=TRIM(Enginuity!$A$1),
    TRIM(B4098)=TRIM(Enginuity!$A$17),
    Q4098&lt;&gt;"",
    Q4098&lt;&gt;0,
    OR(
      TRIM(C4098)=TRIM(Enginuity!$A$18),
      AND(UPPER(TRIM(M4098))="STD", TRIM(B4098)=TRIM(Enginuity!$A$17))
    ),
    OR(
      AND(LEFT(P4098,5)="1-Way", Enginuity!$B$13=1),
      AND(LEFT(P4098,5)="2-Way", OR(Enginuity!$B$13=2, Enginuity!$B$13=4)),
      AND(LEFT(P4098,5)="3-Way", OR(Enginuity!$B$13=3, Enginuity!$B$13=6)),
      AND(P4098="Inner Centre Jamb", OR(Enginuity!$B$13=4, Enginuity!$B$13=6)),
      AND(
        LEFT(P4098,5)&lt;&gt;"1-Way",
        LEFT(P4098,5)&lt;&gt;"2-Way",
        LEFT(P4098,5)&lt;&gt;"3-Way",
        P4098&lt;&gt;"Inner Centre Jamb"
      )
    ),
    IF(OR(Enginuity!$A$1="Frameless Glass",Enginuity!$A$1="Metal Work"),
      AND(TRIM(B4098)=TRIM(Enginuity!$A$17),TRIM(C4098)=TRIM(Enginuity!$A$18)),
      TRIM(B4098)=TRIM(Enginuity!$A$17)
    )
  ),
  ROW(),
  ""
)</f>
        <v/>
      </c>
    </row>
    <row r="4099" spans="21:21" x14ac:dyDescent="0.25">
      <c r="U4099" s="104" t="str">
        <f>IF(
  AND(
    TRIM(A4099)=TRIM(Enginuity!$A$1),
    TRIM(B4099)=TRIM(Enginuity!$A$17),
    Q4099&lt;&gt;"",
    Q4099&lt;&gt;0,
    OR(
      TRIM(C4099)=TRIM(Enginuity!$A$18),
      AND(UPPER(TRIM(M4099))="STD", TRIM(B4099)=TRIM(Enginuity!$A$17))
    ),
    OR(
      AND(LEFT(P4099,5)="1-Way", Enginuity!$B$13=1),
      AND(LEFT(P4099,5)="2-Way", OR(Enginuity!$B$13=2, Enginuity!$B$13=4)),
      AND(LEFT(P4099,5)="3-Way", OR(Enginuity!$B$13=3, Enginuity!$B$13=6)),
      AND(P4099="Inner Centre Jamb", OR(Enginuity!$B$13=4, Enginuity!$B$13=6)),
      AND(
        LEFT(P4099,5)&lt;&gt;"1-Way",
        LEFT(P4099,5)&lt;&gt;"2-Way",
        LEFT(P4099,5)&lt;&gt;"3-Way",
        P4099&lt;&gt;"Inner Centre Jamb"
      )
    ),
    IF(OR(Enginuity!$A$1="Frameless Glass",Enginuity!$A$1="Metal Work"),
      AND(TRIM(B4099)=TRIM(Enginuity!$A$17),TRIM(C4099)=TRIM(Enginuity!$A$18)),
      TRIM(B4099)=TRIM(Enginuity!$A$17)
    )
  ),
  ROW(),
  ""
)</f>
        <v/>
      </c>
    </row>
    <row r="4100" spans="21:21" x14ac:dyDescent="0.25">
      <c r="U4100" s="104" t="str">
        <f>IF(
  AND(
    TRIM(A4100)=TRIM(Enginuity!$A$1),
    TRIM(B4100)=TRIM(Enginuity!$A$17),
    Q4100&lt;&gt;"",
    Q4100&lt;&gt;0,
    OR(
      TRIM(C4100)=TRIM(Enginuity!$A$18),
      AND(UPPER(TRIM(M4100))="STD", TRIM(B4100)=TRIM(Enginuity!$A$17))
    ),
    OR(
      AND(LEFT(P4100,5)="1-Way", Enginuity!$B$13=1),
      AND(LEFT(P4100,5)="2-Way", OR(Enginuity!$B$13=2, Enginuity!$B$13=4)),
      AND(LEFT(P4100,5)="3-Way", OR(Enginuity!$B$13=3, Enginuity!$B$13=6)),
      AND(P4100="Inner Centre Jamb", OR(Enginuity!$B$13=4, Enginuity!$B$13=6)),
      AND(
        LEFT(P4100,5)&lt;&gt;"1-Way",
        LEFT(P4100,5)&lt;&gt;"2-Way",
        LEFT(P4100,5)&lt;&gt;"3-Way",
        P4100&lt;&gt;"Inner Centre Jamb"
      )
    ),
    IF(OR(Enginuity!$A$1="Frameless Glass",Enginuity!$A$1="Metal Work"),
      AND(TRIM(B4100)=TRIM(Enginuity!$A$17),TRIM(C4100)=TRIM(Enginuity!$A$18)),
      TRIM(B4100)=TRIM(Enginuity!$A$17)
    )
  ),
  ROW(),
  ""
)</f>
        <v/>
      </c>
    </row>
    <row r="4101" spans="21:21" x14ac:dyDescent="0.25">
      <c r="U4101" s="104" t="str">
        <f>IF(
  AND(
    TRIM(A4101)=TRIM(Enginuity!$A$1),
    TRIM(B4101)=TRIM(Enginuity!$A$17),
    Q4101&lt;&gt;"",
    Q4101&lt;&gt;0,
    OR(
      TRIM(C4101)=TRIM(Enginuity!$A$18),
      AND(UPPER(TRIM(M4101))="STD", TRIM(B4101)=TRIM(Enginuity!$A$17))
    ),
    OR(
      AND(LEFT(P4101,5)="1-Way", Enginuity!$B$13=1),
      AND(LEFT(P4101,5)="2-Way", OR(Enginuity!$B$13=2, Enginuity!$B$13=4)),
      AND(LEFT(P4101,5)="3-Way", OR(Enginuity!$B$13=3, Enginuity!$B$13=6)),
      AND(P4101="Inner Centre Jamb", OR(Enginuity!$B$13=4, Enginuity!$B$13=6)),
      AND(
        LEFT(P4101,5)&lt;&gt;"1-Way",
        LEFT(P4101,5)&lt;&gt;"2-Way",
        LEFT(P4101,5)&lt;&gt;"3-Way",
        P4101&lt;&gt;"Inner Centre Jamb"
      )
    ),
    IF(OR(Enginuity!$A$1="Frameless Glass",Enginuity!$A$1="Metal Work"),
      AND(TRIM(B4101)=TRIM(Enginuity!$A$17),TRIM(C4101)=TRIM(Enginuity!$A$18)),
      TRIM(B4101)=TRIM(Enginuity!$A$17)
    )
  ),
  ROW(),
  ""
)</f>
        <v/>
      </c>
    </row>
    <row r="4102" spans="21:21" x14ac:dyDescent="0.25">
      <c r="U4102" s="104" t="str">
        <f>IF(
  AND(
    TRIM(A4102)=TRIM(Enginuity!$A$1),
    TRIM(B4102)=TRIM(Enginuity!$A$17),
    Q4102&lt;&gt;"",
    Q4102&lt;&gt;0,
    OR(
      TRIM(C4102)=TRIM(Enginuity!$A$18),
      AND(UPPER(TRIM(M4102))="STD", TRIM(B4102)=TRIM(Enginuity!$A$17))
    ),
    OR(
      AND(LEFT(P4102,5)="1-Way", Enginuity!$B$13=1),
      AND(LEFT(P4102,5)="2-Way", OR(Enginuity!$B$13=2, Enginuity!$B$13=4)),
      AND(LEFT(P4102,5)="3-Way", OR(Enginuity!$B$13=3, Enginuity!$B$13=6)),
      AND(P4102="Inner Centre Jamb", OR(Enginuity!$B$13=4, Enginuity!$B$13=6)),
      AND(
        LEFT(P4102,5)&lt;&gt;"1-Way",
        LEFT(P4102,5)&lt;&gt;"2-Way",
        LEFT(P4102,5)&lt;&gt;"3-Way",
        P4102&lt;&gt;"Inner Centre Jamb"
      )
    ),
    IF(OR(Enginuity!$A$1="Frameless Glass",Enginuity!$A$1="Metal Work"),
      AND(TRIM(B4102)=TRIM(Enginuity!$A$17),TRIM(C4102)=TRIM(Enginuity!$A$18)),
      TRIM(B4102)=TRIM(Enginuity!$A$17)
    )
  ),
  ROW(),
  ""
)</f>
        <v/>
      </c>
    </row>
    <row r="4103" spans="21:21" x14ac:dyDescent="0.25">
      <c r="U4103" s="104" t="str">
        <f>IF(
  AND(
    TRIM(A4103)=TRIM(Enginuity!$A$1),
    TRIM(B4103)=TRIM(Enginuity!$A$17),
    Q4103&lt;&gt;"",
    Q4103&lt;&gt;0,
    OR(
      TRIM(C4103)=TRIM(Enginuity!$A$18),
      AND(UPPER(TRIM(M4103))="STD", TRIM(B4103)=TRIM(Enginuity!$A$17))
    ),
    OR(
      AND(LEFT(P4103,5)="1-Way", Enginuity!$B$13=1),
      AND(LEFT(P4103,5)="2-Way", OR(Enginuity!$B$13=2, Enginuity!$B$13=4)),
      AND(LEFT(P4103,5)="3-Way", OR(Enginuity!$B$13=3, Enginuity!$B$13=6)),
      AND(P4103="Inner Centre Jamb", OR(Enginuity!$B$13=4, Enginuity!$B$13=6)),
      AND(
        LEFT(P4103,5)&lt;&gt;"1-Way",
        LEFT(P4103,5)&lt;&gt;"2-Way",
        LEFT(P4103,5)&lt;&gt;"3-Way",
        P4103&lt;&gt;"Inner Centre Jamb"
      )
    ),
    IF(OR(Enginuity!$A$1="Frameless Glass",Enginuity!$A$1="Metal Work"),
      AND(TRIM(B4103)=TRIM(Enginuity!$A$17),TRIM(C4103)=TRIM(Enginuity!$A$18)),
      TRIM(B4103)=TRIM(Enginuity!$A$17)
    )
  ),
  ROW(),
  ""
)</f>
        <v/>
      </c>
    </row>
    <row r="4104" spans="21:21" x14ac:dyDescent="0.25">
      <c r="U4104" s="104" t="str">
        <f>IF(
  AND(
    TRIM(A4104)=TRIM(Enginuity!$A$1),
    TRIM(B4104)=TRIM(Enginuity!$A$17),
    Q4104&lt;&gt;"",
    Q4104&lt;&gt;0,
    OR(
      TRIM(C4104)=TRIM(Enginuity!$A$18),
      AND(UPPER(TRIM(M4104))="STD", TRIM(B4104)=TRIM(Enginuity!$A$17))
    ),
    OR(
      AND(LEFT(P4104,5)="1-Way", Enginuity!$B$13=1),
      AND(LEFT(P4104,5)="2-Way", OR(Enginuity!$B$13=2, Enginuity!$B$13=4)),
      AND(LEFT(P4104,5)="3-Way", OR(Enginuity!$B$13=3, Enginuity!$B$13=6)),
      AND(P4104="Inner Centre Jamb", OR(Enginuity!$B$13=4, Enginuity!$B$13=6)),
      AND(
        LEFT(P4104,5)&lt;&gt;"1-Way",
        LEFT(P4104,5)&lt;&gt;"2-Way",
        LEFT(P4104,5)&lt;&gt;"3-Way",
        P4104&lt;&gt;"Inner Centre Jamb"
      )
    ),
    IF(OR(Enginuity!$A$1="Frameless Glass",Enginuity!$A$1="Metal Work"),
      AND(TRIM(B4104)=TRIM(Enginuity!$A$17),TRIM(C4104)=TRIM(Enginuity!$A$18)),
      TRIM(B4104)=TRIM(Enginuity!$A$17)
    )
  ),
  ROW(),
  ""
)</f>
        <v/>
      </c>
    </row>
    <row r="4105" spans="21:21" x14ac:dyDescent="0.25">
      <c r="U4105" s="104" t="str">
        <f>IF(
  AND(
    TRIM(A4105)=TRIM(Enginuity!$A$1),
    TRIM(B4105)=TRIM(Enginuity!$A$17),
    Q4105&lt;&gt;"",
    Q4105&lt;&gt;0,
    OR(
      TRIM(C4105)=TRIM(Enginuity!$A$18),
      AND(UPPER(TRIM(M4105))="STD", TRIM(B4105)=TRIM(Enginuity!$A$17))
    ),
    OR(
      AND(LEFT(P4105,5)="1-Way", Enginuity!$B$13=1),
      AND(LEFT(P4105,5)="2-Way", OR(Enginuity!$B$13=2, Enginuity!$B$13=4)),
      AND(LEFT(P4105,5)="3-Way", OR(Enginuity!$B$13=3, Enginuity!$B$13=6)),
      AND(P4105="Inner Centre Jamb", OR(Enginuity!$B$13=4, Enginuity!$B$13=6)),
      AND(
        LEFT(P4105,5)&lt;&gt;"1-Way",
        LEFT(P4105,5)&lt;&gt;"2-Way",
        LEFT(P4105,5)&lt;&gt;"3-Way",
        P4105&lt;&gt;"Inner Centre Jamb"
      )
    ),
    IF(OR(Enginuity!$A$1="Frameless Glass",Enginuity!$A$1="Metal Work"),
      AND(TRIM(B4105)=TRIM(Enginuity!$A$17),TRIM(C4105)=TRIM(Enginuity!$A$18)),
      TRIM(B4105)=TRIM(Enginuity!$A$17)
    )
  ),
  ROW(),
  ""
)</f>
        <v/>
      </c>
    </row>
    <row r="4106" spans="21:21" x14ac:dyDescent="0.25">
      <c r="U4106" s="104" t="str">
        <f>IF(
  AND(
    TRIM(A4106)=TRIM(Enginuity!$A$1),
    TRIM(B4106)=TRIM(Enginuity!$A$17),
    Q4106&lt;&gt;"",
    Q4106&lt;&gt;0,
    OR(
      TRIM(C4106)=TRIM(Enginuity!$A$18),
      AND(UPPER(TRIM(M4106))="STD", TRIM(B4106)=TRIM(Enginuity!$A$17))
    ),
    OR(
      AND(LEFT(P4106,5)="1-Way", Enginuity!$B$13=1),
      AND(LEFT(P4106,5)="2-Way", OR(Enginuity!$B$13=2, Enginuity!$B$13=4)),
      AND(LEFT(P4106,5)="3-Way", OR(Enginuity!$B$13=3, Enginuity!$B$13=6)),
      AND(P4106="Inner Centre Jamb", OR(Enginuity!$B$13=4, Enginuity!$B$13=6)),
      AND(
        LEFT(P4106,5)&lt;&gt;"1-Way",
        LEFT(P4106,5)&lt;&gt;"2-Way",
        LEFT(P4106,5)&lt;&gt;"3-Way",
        P4106&lt;&gt;"Inner Centre Jamb"
      )
    ),
    IF(OR(Enginuity!$A$1="Frameless Glass",Enginuity!$A$1="Metal Work"),
      AND(TRIM(B4106)=TRIM(Enginuity!$A$17),TRIM(C4106)=TRIM(Enginuity!$A$18)),
      TRIM(B4106)=TRIM(Enginuity!$A$17)
    )
  ),
  ROW(),
  ""
)</f>
        <v/>
      </c>
    </row>
    <row r="4107" spans="21:21" x14ac:dyDescent="0.25">
      <c r="U4107" s="104" t="str">
        <f>IF(
  AND(
    TRIM(A4107)=TRIM(Enginuity!$A$1),
    TRIM(B4107)=TRIM(Enginuity!$A$17),
    Q4107&lt;&gt;"",
    Q4107&lt;&gt;0,
    OR(
      TRIM(C4107)=TRIM(Enginuity!$A$18),
      AND(UPPER(TRIM(M4107))="STD", TRIM(B4107)=TRIM(Enginuity!$A$17))
    ),
    OR(
      AND(LEFT(P4107,5)="1-Way", Enginuity!$B$13=1),
      AND(LEFT(P4107,5)="2-Way", OR(Enginuity!$B$13=2, Enginuity!$B$13=4)),
      AND(LEFT(P4107,5)="3-Way", OR(Enginuity!$B$13=3, Enginuity!$B$13=6)),
      AND(P4107="Inner Centre Jamb", OR(Enginuity!$B$13=4, Enginuity!$B$13=6)),
      AND(
        LEFT(P4107,5)&lt;&gt;"1-Way",
        LEFT(P4107,5)&lt;&gt;"2-Way",
        LEFT(P4107,5)&lt;&gt;"3-Way",
        P4107&lt;&gt;"Inner Centre Jamb"
      )
    ),
    IF(OR(Enginuity!$A$1="Frameless Glass",Enginuity!$A$1="Metal Work"),
      AND(TRIM(B4107)=TRIM(Enginuity!$A$17),TRIM(C4107)=TRIM(Enginuity!$A$18)),
      TRIM(B4107)=TRIM(Enginuity!$A$17)
    )
  ),
  ROW(),
  ""
)</f>
        <v/>
      </c>
    </row>
    <row r="4108" spans="21:21" x14ac:dyDescent="0.25">
      <c r="U4108" s="104" t="str">
        <f>IF(
  AND(
    TRIM(A4108)=TRIM(Enginuity!$A$1),
    TRIM(B4108)=TRIM(Enginuity!$A$17),
    Q4108&lt;&gt;"",
    Q4108&lt;&gt;0,
    OR(
      TRIM(C4108)=TRIM(Enginuity!$A$18),
      AND(UPPER(TRIM(M4108))="STD", TRIM(B4108)=TRIM(Enginuity!$A$17))
    ),
    OR(
      AND(LEFT(P4108,5)="1-Way", Enginuity!$B$13=1),
      AND(LEFT(P4108,5)="2-Way", OR(Enginuity!$B$13=2, Enginuity!$B$13=4)),
      AND(LEFT(P4108,5)="3-Way", OR(Enginuity!$B$13=3, Enginuity!$B$13=6)),
      AND(P4108="Inner Centre Jamb", OR(Enginuity!$B$13=4, Enginuity!$B$13=6)),
      AND(
        LEFT(P4108,5)&lt;&gt;"1-Way",
        LEFT(P4108,5)&lt;&gt;"2-Way",
        LEFT(P4108,5)&lt;&gt;"3-Way",
        P4108&lt;&gt;"Inner Centre Jamb"
      )
    ),
    IF(OR(Enginuity!$A$1="Frameless Glass",Enginuity!$A$1="Metal Work"),
      AND(TRIM(B4108)=TRIM(Enginuity!$A$17),TRIM(C4108)=TRIM(Enginuity!$A$18)),
      TRIM(B4108)=TRIM(Enginuity!$A$17)
    )
  ),
  ROW(),
  ""
)</f>
        <v/>
      </c>
    </row>
    <row r="4109" spans="21:21" x14ac:dyDescent="0.25">
      <c r="U4109" s="104" t="str">
        <f>IF(
  AND(
    TRIM(A4109)=TRIM(Enginuity!$A$1),
    TRIM(B4109)=TRIM(Enginuity!$A$17),
    Q4109&lt;&gt;"",
    Q4109&lt;&gt;0,
    OR(
      TRIM(C4109)=TRIM(Enginuity!$A$18),
      AND(UPPER(TRIM(M4109))="STD", TRIM(B4109)=TRIM(Enginuity!$A$17))
    ),
    OR(
      AND(LEFT(P4109,5)="1-Way", Enginuity!$B$13=1),
      AND(LEFT(P4109,5)="2-Way", OR(Enginuity!$B$13=2, Enginuity!$B$13=4)),
      AND(LEFT(P4109,5)="3-Way", OR(Enginuity!$B$13=3, Enginuity!$B$13=6)),
      AND(P4109="Inner Centre Jamb", OR(Enginuity!$B$13=4, Enginuity!$B$13=6)),
      AND(
        LEFT(P4109,5)&lt;&gt;"1-Way",
        LEFT(P4109,5)&lt;&gt;"2-Way",
        LEFT(P4109,5)&lt;&gt;"3-Way",
        P4109&lt;&gt;"Inner Centre Jamb"
      )
    ),
    IF(OR(Enginuity!$A$1="Frameless Glass",Enginuity!$A$1="Metal Work"),
      AND(TRIM(B4109)=TRIM(Enginuity!$A$17),TRIM(C4109)=TRIM(Enginuity!$A$18)),
      TRIM(B4109)=TRIM(Enginuity!$A$17)
    )
  ),
  ROW(),
  ""
)</f>
        <v/>
      </c>
    </row>
    <row r="4110" spans="21:21" x14ac:dyDescent="0.25">
      <c r="U4110" s="104" t="str">
        <f>IF(
  AND(
    TRIM(A4110)=TRIM(Enginuity!$A$1),
    TRIM(B4110)=TRIM(Enginuity!$A$17),
    Q4110&lt;&gt;"",
    Q4110&lt;&gt;0,
    OR(
      TRIM(C4110)=TRIM(Enginuity!$A$18),
      AND(UPPER(TRIM(M4110))="STD", TRIM(B4110)=TRIM(Enginuity!$A$17))
    ),
    OR(
      AND(LEFT(P4110,5)="1-Way", Enginuity!$B$13=1),
      AND(LEFT(P4110,5)="2-Way", OR(Enginuity!$B$13=2, Enginuity!$B$13=4)),
      AND(LEFT(P4110,5)="3-Way", OR(Enginuity!$B$13=3, Enginuity!$B$13=6)),
      AND(P4110="Inner Centre Jamb", OR(Enginuity!$B$13=4, Enginuity!$B$13=6)),
      AND(
        LEFT(P4110,5)&lt;&gt;"1-Way",
        LEFT(P4110,5)&lt;&gt;"2-Way",
        LEFT(P4110,5)&lt;&gt;"3-Way",
        P4110&lt;&gt;"Inner Centre Jamb"
      )
    ),
    IF(OR(Enginuity!$A$1="Frameless Glass",Enginuity!$A$1="Metal Work"),
      AND(TRIM(B4110)=TRIM(Enginuity!$A$17),TRIM(C4110)=TRIM(Enginuity!$A$18)),
      TRIM(B4110)=TRIM(Enginuity!$A$17)
    )
  ),
  ROW(),
  ""
)</f>
        <v/>
      </c>
    </row>
    <row r="4111" spans="21:21" x14ac:dyDescent="0.25">
      <c r="U4111" s="104" t="str">
        <f>IF(
  AND(
    TRIM(A4111)=TRIM(Enginuity!$A$1),
    TRIM(B4111)=TRIM(Enginuity!$A$17),
    Q4111&lt;&gt;"",
    Q4111&lt;&gt;0,
    OR(
      TRIM(C4111)=TRIM(Enginuity!$A$18),
      AND(UPPER(TRIM(M4111))="STD", TRIM(B4111)=TRIM(Enginuity!$A$17))
    ),
    OR(
      AND(LEFT(P4111,5)="1-Way", Enginuity!$B$13=1),
      AND(LEFT(P4111,5)="2-Way", OR(Enginuity!$B$13=2, Enginuity!$B$13=4)),
      AND(LEFT(P4111,5)="3-Way", OR(Enginuity!$B$13=3, Enginuity!$B$13=6)),
      AND(P4111="Inner Centre Jamb", OR(Enginuity!$B$13=4, Enginuity!$B$13=6)),
      AND(
        LEFT(P4111,5)&lt;&gt;"1-Way",
        LEFT(P4111,5)&lt;&gt;"2-Way",
        LEFT(P4111,5)&lt;&gt;"3-Way",
        P4111&lt;&gt;"Inner Centre Jamb"
      )
    ),
    IF(OR(Enginuity!$A$1="Frameless Glass",Enginuity!$A$1="Metal Work"),
      AND(TRIM(B4111)=TRIM(Enginuity!$A$17),TRIM(C4111)=TRIM(Enginuity!$A$18)),
      TRIM(B4111)=TRIM(Enginuity!$A$17)
    )
  ),
  ROW(),
  ""
)</f>
        <v/>
      </c>
    </row>
    <row r="4112" spans="21:21" x14ac:dyDescent="0.25">
      <c r="U4112" s="104" t="str">
        <f>IF(
  AND(
    TRIM(A4112)=TRIM(Enginuity!$A$1),
    TRIM(B4112)=TRIM(Enginuity!$A$17),
    Q4112&lt;&gt;"",
    Q4112&lt;&gt;0,
    OR(
      TRIM(C4112)=TRIM(Enginuity!$A$18),
      AND(UPPER(TRIM(M4112))="STD", TRIM(B4112)=TRIM(Enginuity!$A$17))
    ),
    OR(
      AND(LEFT(P4112,5)="1-Way", Enginuity!$B$13=1),
      AND(LEFT(P4112,5)="2-Way", OR(Enginuity!$B$13=2, Enginuity!$B$13=4)),
      AND(LEFT(P4112,5)="3-Way", OR(Enginuity!$B$13=3, Enginuity!$B$13=6)),
      AND(P4112="Inner Centre Jamb", OR(Enginuity!$B$13=4, Enginuity!$B$13=6)),
      AND(
        LEFT(P4112,5)&lt;&gt;"1-Way",
        LEFT(P4112,5)&lt;&gt;"2-Way",
        LEFT(P4112,5)&lt;&gt;"3-Way",
        P4112&lt;&gt;"Inner Centre Jamb"
      )
    ),
    IF(OR(Enginuity!$A$1="Frameless Glass",Enginuity!$A$1="Metal Work"),
      AND(TRIM(B4112)=TRIM(Enginuity!$A$17),TRIM(C4112)=TRIM(Enginuity!$A$18)),
      TRIM(B4112)=TRIM(Enginuity!$A$17)
    )
  ),
  ROW(),
  ""
)</f>
        <v/>
      </c>
    </row>
    <row r="4113" spans="21:21" x14ac:dyDescent="0.25">
      <c r="U4113" s="104" t="str">
        <f>IF(
  AND(
    TRIM(A4113)=TRIM(Enginuity!$A$1),
    TRIM(B4113)=TRIM(Enginuity!$A$17),
    Q4113&lt;&gt;"",
    Q4113&lt;&gt;0,
    OR(
      TRIM(C4113)=TRIM(Enginuity!$A$18),
      AND(UPPER(TRIM(M4113))="STD", TRIM(B4113)=TRIM(Enginuity!$A$17))
    ),
    OR(
      AND(LEFT(P4113,5)="1-Way", Enginuity!$B$13=1),
      AND(LEFT(P4113,5)="2-Way", OR(Enginuity!$B$13=2, Enginuity!$B$13=4)),
      AND(LEFT(P4113,5)="3-Way", OR(Enginuity!$B$13=3, Enginuity!$B$13=6)),
      AND(P4113="Inner Centre Jamb", OR(Enginuity!$B$13=4, Enginuity!$B$13=6)),
      AND(
        LEFT(P4113,5)&lt;&gt;"1-Way",
        LEFT(P4113,5)&lt;&gt;"2-Way",
        LEFT(P4113,5)&lt;&gt;"3-Way",
        P4113&lt;&gt;"Inner Centre Jamb"
      )
    ),
    IF(OR(Enginuity!$A$1="Frameless Glass",Enginuity!$A$1="Metal Work"),
      AND(TRIM(B4113)=TRIM(Enginuity!$A$17),TRIM(C4113)=TRIM(Enginuity!$A$18)),
      TRIM(B4113)=TRIM(Enginuity!$A$17)
    )
  ),
  ROW(),
  ""
)</f>
        <v/>
      </c>
    </row>
    <row r="4114" spans="21:21" x14ac:dyDescent="0.25">
      <c r="U4114" s="104" t="str">
        <f>IF(
  AND(
    TRIM(A4114)=TRIM(Enginuity!$A$1),
    TRIM(B4114)=TRIM(Enginuity!$A$17),
    Q4114&lt;&gt;"",
    Q4114&lt;&gt;0,
    OR(
      TRIM(C4114)=TRIM(Enginuity!$A$18),
      AND(UPPER(TRIM(M4114))="STD", TRIM(B4114)=TRIM(Enginuity!$A$17))
    ),
    OR(
      AND(LEFT(P4114,5)="1-Way", Enginuity!$B$13=1),
      AND(LEFT(P4114,5)="2-Way", OR(Enginuity!$B$13=2, Enginuity!$B$13=4)),
      AND(LEFT(P4114,5)="3-Way", OR(Enginuity!$B$13=3, Enginuity!$B$13=6)),
      AND(P4114="Inner Centre Jamb", OR(Enginuity!$B$13=4, Enginuity!$B$13=6)),
      AND(
        LEFT(P4114,5)&lt;&gt;"1-Way",
        LEFT(P4114,5)&lt;&gt;"2-Way",
        LEFT(P4114,5)&lt;&gt;"3-Way",
        P4114&lt;&gt;"Inner Centre Jamb"
      )
    ),
    IF(OR(Enginuity!$A$1="Frameless Glass",Enginuity!$A$1="Metal Work"),
      AND(TRIM(B4114)=TRIM(Enginuity!$A$17),TRIM(C4114)=TRIM(Enginuity!$A$18)),
      TRIM(B4114)=TRIM(Enginuity!$A$17)
    )
  ),
  ROW(),
  ""
)</f>
        <v/>
      </c>
    </row>
    <row r="4115" spans="21:21" x14ac:dyDescent="0.25">
      <c r="U4115" s="104" t="str">
        <f>IF(
  AND(
    TRIM(A4115)=TRIM(Enginuity!$A$1),
    TRIM(B4115)=TRIM(Enginuity!$A$17),
    Q4115&lt;&gt;"",
    Q4115&lt;&gt;0,
    OR(
      TRIM(C4115)=TRIM(Enginuity!$A$18),
      AND(UPPER(TRIM(M4115))="STD", TRIM(B4115)=TRIM(Enginuity!$A$17))
    ),
    OR(
      AND(LEFT(P4115,5)="1-Way", Enginuity!$B$13=1),
      AND(LEFT(P4115,5)="2-Way", OR(Enginuity!$B$13=2, Enginuity!$B$13=4)),
      AND(LEFT(P4115,5)="3-Way", OR(Enginuity!$B$13=3, Enginuity!$B$13=6)),
      AND(P4115="Inner Centre Jamb", OR(Enginuity!$B$13=4, Enginuity!$B$13=6)),
      AND(
        LEFT(P4115,5)&lt;&gt;"1-Way",
        LEFT(P4115,5)&lt;&gt;"2-Way",
        LEFT(P4115,5)&lt;&gt;"3-Way",
        P4115&lt;&gt;"Inner Centre Jamb"
      )
    ),
    IF(OR(Enginuity!$A$1="Frameless Glass",Enginuity!$A$1="Metal Work"),
      AND(TRIM(B4115)=TRIM(Enginuity!$A$17),TRIM(C4115)=TRIM(Enginuity!$A$18)),
      TRIM(B4115)=TRIM(Enginuity!$A$17)
    )
  ),
  ROW(),
  ""
)</f>
        <v/>
      </c>
    </row>
    <row r="4116" spans="21:21" x14ac:dyDescent="0.25">
      <c r="U4116" s="104" t="str">
        <f>IF(
  AND(
    TRIM(A4116)=TRIM(Enginuity!$A$1),
    TRIM(B4116)=TRIM(Enginuity!$A$17),
    Q4116&lt;&gt;"",
    Q4116&lt;&gt;0,
    OR(
      TRIM(C4116)=TRIM(Enginuity!$A$18),
      AND(UPPER(TRIM(M4116))="STD", TRIM(B4116)=TRIM(Enginuity!$A$17))
    ),
    OR(
      AND(LEFT(P4116,5)="1-Way", Enginuity!$B$13=1),
      AND(LEFT(P4116,5)="2-Way", OR(Enginuity!$B$13=2, Enginuity!$B$13=4)),
      AND(LEFT(P4116,5)="3-Way", OR(Enginuity!$B$13=3, Enginuity!$B$13=6)),
      AND(P4116="Inner Centre Jamb", OR(Enginuity!$B$13=4, Enginuity!$B$13=6)),
      AND(
        LEFT(P4116,5)&lt;&gt;"1-Way",
        LEFT(P4116,5)&lt;&gt;"2-Way",
        LEFT(P4116,5)&lt;&gt;"3-Way",
        P4116&lt;&gt;"Inner Centre Jamb"
      )
    ),
    IF(OR(Enginuity!$A$1="Frameless Glass",Enginuity!$A$1="Metal Work"),
      AND(TRIM(B4116)=TRIM(Enginuity!$A$17),TRIM(C4116)=TRIM(Enginuity!$A$18)),
      TRIM(B4116)=TRIM(Enginuity!$A$17)
    )
  ),
  ROW(),
  ""
)</f>
        <v/>
      </c>
    </row>
    <row r="4117" spans="21:21" x14ac:dyDescent="0.25">
      <c r="U4117" s="104" t="str">
        <f>IF(
  AND(
    TRIM(A4117)=TRIM(Enginuity!$A$1),
    TRIM(B4117)=TRIM(Enginuity!$A$17),
    Q4117&lt;&gt;"",
    Q4117&lt;&gt;0,
    OR(
      TRIM(C4117)=TRIM(Enginuity!$A$18),
      AND(UPPER(TRIM(M4117))="STD", TRIM(B4117)=TRIM(Enginuity!$A$17))
    ),
    OR(
      AND(LEFT(P4117,5)="1-Way", Enginuity!$B$13=1),
      AND(LEFT(P4117,5)="2-Way", OR(Enginuity!$B$13=2, Enginuity!$B$13=4)),
      AND(LEFT(P4117,5)="3-Way", OR(Enginuity!$B$13=3, Enginuity!$B$13=6)),
      AND(P4117="Inner Centre Jamb", OR(Enginuity!$B$13=4, Enginuity!$B$13=6)),
      AND(
        LEFT(P4117,5)&lt;&gt;"1-Way",
        LEFT(P4117,5)&lt;&gt;"2-Way",
        LEFT(P4117,5)&lt;&gt;"3-Way",
        P4117&lt;&gt;"Inner Centre Jamb"
      )
    ),
    IF(OR(Enginuity!$A$1="Frameless Glass",Enginuity!$A$1="Metal Work"),
      AND(TRIM(B4117)=TRIM(Enginuity!$A$17),TRIM(C4117)=TRIM(Enginuity!$A$18)),
      TRIM(B4117)=TRIM(Enginuity!$A$17)
    )
  ),
  ROW(),
  ""
)</f>
        <v/>
      </c>
    </row>
    <row r="4118" spans="21:21" x14ac:dyDescent="0.25">
      <c r="U4118" s="104" t="str">
        <f>IF(
  AND(
    TRIM(A4118)=TRIM(Enginuity!$A$1),
    TRIM(B4118)=TRIM(Enginuity!$A$17),
    Q4118&lt;&gt;"",
    Q4118&lt;&gt;0,
    OR(
      TRIM(C4118)=TRIM(Enginuity!$A$18),
      AND(UPPER(TRIM(M4118))="STD", TRIM(B4118)=TRIM(Enginuity!$A$17))
    ),
    OR(
      AND(LEFT(P4118,5)="1-Way", Enginuity!$B$13=1),
      AND(LEFT(P4118,5)="2-Way", OR(Enginuity!$B$13=2, Enginuity!$B$13=4)),
      AND(LEFT(P4118,5)="3-Way", OR(Enginuity!$B$13=3, Enginuity!$B$13=6)),
      AND(P4118="Inner Centre Jamb", OR(Enginuity!$B$13=4, Enginuity!$B$13=6)),
      AND(
        LEFT(P4118,5)&lt;&gt;"1-Way",
        LEFT(P4118,5)&lt;&gt;"2-Way",
        LEFT(P4118,5)&lt;&gt;"3-Way",
        P4118&lt;&gt;"Inner Centre Jamb"
      )
    ),
    IF(OR(Enginuity!$A$1="Frameless Glass",Enginuity!$A$1="Metal Work"),
      AND(TRIM(B4118)=TRIM(Enginuity!$A$17),TRIM(C4118)=TRIM(Enginuity!$A$18)),
      TRIM(B4118)=TRIM(Enginuity!$A$17)
    )
  ),
  ROW(),
  ""
)</f>
        <v/>
      </c>
    </row>
    <row r="4119" spans="21:21" x14ac:dyDescent="0.25">
      <c r="U4119" s="104" t="str">
        <f>IF(
  AND(
    TRIM(A4119)=TRIM(Enginuity!$A$1),
    TRIM(B4119)=TRIM(Enginuity!$A$17),
    Q4119&lt;&gt;"",
    Q4119&lt;&gt;0,
    OR(
      TRIM(C4119)=TRIM(Enginuity!$A$18),
      AND(UPPER(TRIM(M4119))="STD", TRIM(B4119)=TRIM(Enginuity!$A$17))
    ),
    OR(
      AND(LEFT(P4119,5)="1-Way", Enginuity!$B$13=1),
      AND(LEFT(P4119,5)="2-Way", OR(Enginuity!$B$13=2, Enginuity!$B$13=4)),
      AND(LEFT(P4119,5)="3-Way", OR(Enginuity!$B$13=3, Enginuity!$B$13=6)),
      AND(P4119="Inner Centre Jamb", OR(Enginuity!$B$13=4, Enginuity!$B$13=6)),
      AND(
        LEFT(P4119,5)&lt;&gt;"1-Way",
        LEFT(P4119,5)&lt;&gt;"2-Way",
        LEFT(P4119,5)&lt;&gt;"3-Way",
        P4119&lt;&gt;"Inner Centre Jamb"
      )
    ),
    IF(OR(Enginuity!$A$1="Frameless Glass",Enginuity!$A$1="Metal Work"),
      AND(TRIM(B4119)=TRIM(Enginuity!$A$17),TRIM(C4119)=TRIM(Enginuity!$A$18)),
      TRIM(B4119)=TRIM(Enginuity!$A$17)
    )
  ),
  ROW(),
  ""
)</f>
        <v/>
      </c>
    </row>
    <row r="4120" spans="21:21" x14ac:dyDescent="0.25">
      <c r="U4120" s="104" t="str">
        <f>IF(
  AND(
    TRIM(A4120)=TRIM(Enginuity!$A$1),
    TRIM(B4120)=TRIM(Enginuity!$A$17),
    Q4120&lt;&gt;"",
    Q4120&lt;&gt;0,
    OR(
      TRIM(C4120)=TRIM(Enginuity!$A$18),
      AND(UPPER(TRIM(M4120))="STD", TRIM(B4120)=TRIM(Enginuity!$A$17))
    ),
    OR(
      AND(LEFT(P4120,5)="1-Way", Enginuity!$B$13=1),
      AND(LEFT(P4120,5)="2-Way", OR(Enginuity!$B$13=2, Enginuity!$B$13=4)),
      AND(LEFT(P4120,5)="3-Way", OR(Enginuity!$B$13=3, Enginuity!$B$13=6)),
      AND(P4120="Inner Centre Jamb", OR(Enginuity!$B$13=4, Enginuity!$B$13=6)),
      AND(
        LEFT(P4120,5)&lt;&gt;"1-Way",
        LEFT(P4120,5)&lt;&gt;"2-Way",
        LEFT(P4120,5)&lt;&gt;"3-Way",
        P4120&lt;&gt;"Inner Centre Jamb"
      )
    ),
    IF(OR(Enginuity!$A$1="Frameless Glass",Enginuity!$A$1="Metal Work"),
      AND(TRIM(B4120)=TRIM(Enginuity!$A$17),TRIM(C4120)=TRIM(Enginuity!$A$18)),
      TRIM(B4120)=TRIM(Enginuity!$A$17)
    )
  ),
  ROW(),
  ""
)</f>
        <v/>
      </c>
    </row>
    <row r="4121" spans="21:21" x14ac:dyDescent="0.25">
      <c r="U4121" s="104" t="str">
        <f>IF(
  AND(
    TRIM(A4121)=TRIM(Enginuity!$A$1),
    TRIM(B4121)=TRIM(Enginuity!$A$17),
    Q4121&lt;&gt;"",
    Q4121&lt;&gt;0,
    OR(
      TRIM(C4121)=TRIM(Enginuity!$A$18),
      AND(UPPER(TRIM(M4121))="STD", TRIM(B4121)=TRIM(Enginuity!$A$17))
    ),
    OR(
      AND(LEFT(P4121,5)="1-Way", Enginuity!$B$13=1),
      AND(LEFT(P4121,5)="2-Way", OR(Enginuity!$B$13=2, Enginuity!$B$13=4)),
      AND(LEFT(P4121,5)="3-Way", OR(Enginuity!$B$13=3, Enginuity!$B$13=6)),
      AND(P4121="Inner Centre Jamb", OR(Enginuity!$B$13=4, Enginuity!$B$13=6)),
      AND(
        LEFT(P4121,5)&lt;&gt;"1-Way",
        LEFT(P4121,5)&lt;&gt;"2-Way",
        LEFT(P4121,5)&lt;&gt;"3-Way",
        P4121&lt;&gt;"Inner Centre Jamb"
      )
    ),
    IF(OR(Enginuity!$A$1="Frameless Glass",Enginuity!$A$1="Metal Work"),
      AND(TRIM(B4121)=TRIM(Enginuity!$A$17),TRIM(C4121)=TRIM(Enginuity!$A$18)),
      TRIM(B4121)=TRIM(Enginuity!$A$17)
    )
  ),
  ROW(),
  ""
)</f>
        <v/>
      </c>
    </row>
    <row r="4122" spans="21:21" x14ac:dyDescent="0.25">
      <c r="U4122" s="104" t="str">
        <f>IF(
  AND(
    TRIM(A4122)=TRIM(Enginuity!$A$1),
    TRIM(B4122)=TRIM(Enginuity!$A$17),
    Q4122&lt;&gt;"",
    Q4122&lt;&gt;0,
    OR(
      TRIM(C4122)=TRIM(Enginuity!$A$18),
      AND(UPPER(TRIM(M4122))="STD", TRIM(B4122)=TRIM(Enginuity!$A$17))
    ),
    OR(
      AND(LEFT(P4122,5)="1-Way", Enginuity!$B$13=1),
      AND(LEFT(P4122,5)="2-Way", OR(Enginuity!$B$13=2, Enginuity!$B$13=4)),
      AND(LEFT(P4122,5)="3-Way", OR(Enginuity!$B$13=3, Enginuity!$B$13=6)),
      AND(P4122="Inner Centre Jamb", OR(Enginuity!$B$13=4, Enginuity!$B$13=6)),
      AND(
        LEFT(P4122,5)&lt;&gt;"1-Way",
        LEFT(P4122,5)&lt;&gt;"2-Way",
        LEFT(P4122,5)&lt;&gt;"3-Way",
        P4122&lt;&gt;"Inner Centre Jamb"
      )
    ),
    IF(OR(Enginuity!$A$1="Frameless Glass",Enginuity!$A$1="Metal Work"),
      AND(TRIM(B4122)=TRIM(Enginuity!$A$17),TRIM(C4122)=TRIM(Enginuity!$A$18)),
      TRIM(B4122)=TRIM(Enginuity!$A$17)
    )
  ),
  ROW(),
  ""
)</f>
        <v/>
      </c>
    </row>
    <row r="4123" spans="21:21" x14ac:dyDescent="0.25">
      <c r="U4123" s="104" t="str">
        <f>IF(
  AND(
    TRIM(A4123)=TRIM(Enginuity!$A$1),
    TRIM(B4123)=TRIM(Enginuity!$A$17),
    Q4123&lt;&gt;"",
    Q4123&lt;&gt;0,
    OR(
      TRIM(C4123)=TRIM(Enginuity!$A$18),
      AND(UPPER(TRIM(M4123))="STD", TRIM(B4123)=TRIM(Enginuity!$A$17))
    ),
    OR(
      AND(LEFT(P4123,5)="1-Way", Enginuity!$B$13=1),
      AND(LEFT(P4123,5)="2-Way", OR(Enginuity!$B$13=2, Enginuity!$B$13=4)),
      AND(LEFT(P4123,5)="3-Way", OR(Enginuity!$B$13=3, Enginuity!$B$13=6)),
      AND(P4123="Inner Centre Jamb", OR(Enginuity!$B$13=4, Enginuity!$B$13=6)),
      AND(
        LEFT(P4123,5)&lt;&gt;"1-Way",
        LEFT(P4123,5)&lt;&gt;"2-Way",
        LEFT(P4123,5)&lt;&gt;"3-Way",
        P4123&lt;&gt;"Inner Centre Jamb"
      )
    ),
    IF(OR(Enginuity!$A$1="Frameless Glass",Enginuity!$A$1="Metal Work"),
      AND(TRIM(B4123)=TRIM(Enginuity!$A$17),TRIM(C4123)=TRIM(Enginuity!$A$18)),
      TRIM(B4123)=TRIM(Enginuity!$A$17)
    )
  ),
  ROW(),
  ""
)</f>
        <v/>
      </c>
    </row>
    <row r="4124" spans="21:21" x14ac:dyDescent="0.25">
      <c r="U4124" s="104" t="str">
        <f>IF(
  AND(
    TRIM(A4124)=TRIM(Enginuity!$A$1),
    TRIM(B4124)=TRIM(Enginuity!$A$17),
    Q4124&lt;&gt;"",
    Q4124&lt;&gt;0,
    OR(
      TRIM(C4124)=TRIM(Enginuity!$A$18),
      AND(UPPER(TRIM(M4124))="STD", TRIM(B4124)=TRIM(Enginuity!$A$17))
    ),
    OR(
      AND(LEFT(P4124,5)="1-Way", Enginuity!$B$13=1),
      AND(LEFT(P4124,5)="2-Way", OR(Enginuity!$B$13=2, Enginuity!$B$13=4)),
      AND(LEFT(P4124,5)="3-Way", OR(Enginuity!$B$13=3, Enginuity!$B$13=6)),
      AND(P4124="Inner Centre Jamb", OR(Enginuity!$B$13=4, Enginuity!$B$13=6)),
      AND(
        LEFT(P4124,5)&lt;&gt;"1-Way",
        LEFT(P4124,5)&lt;&gt;"2-Way",
        LEFT(P4124,5)&lt;&gt;"3-Way",
        P4124&lt;&gt;"Inner Centre Jamb"
      )
    ),
    IF(OR(Enginuity!$A$1="Frameless Glass",Enginuity!$A$1="Metal Work"),
      AND(TRIM(B4124)=TRIM(Enginuity!$A$17),TRIM(C4124)=TRIM(Enginuity!$A$18)),
      TRIM(B4124)=TRIM(Enginuity!$A$17)
    )
  ),
  ROW(),
  ""
)</f>
        <v/>
      </c>
    </row>
    <row r="4125" spans="21:21" x14ac:dyDescent="0.25">
      <c r="U4125" s="104" t="str">
        <f>IF(
  AND(
    TRIM(A4125)=TRIM(Enginuity!$A$1),
    TRIM(B4125)=TRIM(Enginuity!$A$17),
    Q4125&lt;&gt;"",
    Q4125&lt;&gt;0,
    OR(
      TRIM(C4125)=TRIM(Enginuity!$A$18),
      AND(UPPER(TRIM(M4125))="STD", TRIM(B4125)=TRIM(Enginuity!$A$17))
    ),
    OR(
      AND(LEFT(P4125,5)="1-Way", Enginuity!$B$13=1),
      AND(LEFT(P4125,5)="2-Way", OR(Enginuity!$B$13=2, Enginuity!$B$13=4)),
      AND(LEFT(P4125,5)="3-Way", OR(Enginuity!$B$13=3, Enginuity!$B$13=6)),
      AND(P4125="Inner Centre Jamb", OR(Enginuity!$B$13=4, Enginuity!$B$13=6)),
      AND(
        LEFT(P4125,5)&lt;&gt;"1-Way",
        LEFT(P4125,5)&lt;&gt;"2-Way",
        LEFT(P4125,5)&lt;&gt;"3-Way",
        P4125&lt;&gt;"Inner Centre Jamb"
      )
    ),
    IF(OR(Enginuity!$A$1="Frameless Glass",Enginuity!$A$1="Metal Work"),
      AND(TRIM(B4125)=TRIM(Enginuity!$A$17),TRIM(C4125)=TRIM(Enginuity!$A$18)),
      TRIM(B4125)=TRIM(Enginuity!$A$17)
    )
  ),
  ROW(),
  ""
)</f>
        <v/>
      </c>
    </row>
    <row r="4126" spans="21:21" x14ac:dyDescent="0.25">
      <c r="U4126" s="104" t="str">
        <f>IF(
  AND(
    TRIM(A4126)=TRIM(Enginuity!$A$1),
    TRIM(B4126)=TRIM(Enginuity!$A$17),
    Q4126&lt;&gt;"",
    Q4126&lt;&gt;0,
    OR(
      TRIM(C4126)=TRIM(Enginuity!$A$18),
      AND(UPPER(TRIM(M4126))="STD", TRIM(B4126)=TRIM(Enginuity!$A$17))
    ),
    OR(
      AND(LEFT(P4126,5)="1-Way", Enginuity!$B$13=1),
      AND(LEFT(P4126,5)="2-Way", OR(Enginuity!$B$13=2, Enginuity!$B$13=4)),
      AND(LEFT(P4126,5)="3-Way", OR(Enginuity!$B$13=3, Enginuity!$B$13=6)),
      AND(P4126="Inner Centre Jamb", OR(Enginuity!$B$13=4, Enginuity!$B$13=6)),
      AND(
        LEFT(P4126,5)&lt;&gt;"1-Way",
        LEFT(P4126,5)&lt;&gt;"2-Way",
        LEFT(P4126,5)&lt;&gt;"3-Way",
        P4126&lt;&gt;"Inner Centre Jamb"
      )
    ),
    IF(OR(Enginuity!$A$1="Frameless Glass",Enginuity!$A$1="Metal Work"),
      AND(TRIM(B4126)=TRIM(Enginuity!$A$17),TRIM(C4126)=TRIM(Enginuity!$A$18)),
      TRIM(B4126)=TRIM(Enginuity!$A$17)
    )
  ),
  ROW(),
  ""
)</f>
        <v/>
      </c>
    </row>
    <row r="4127" spans="21:21" x14ac:dyDescent="0.25">
      <c r="U4127" s="104" t="str">
        <f>IF(
  AND(
    TRIM(A4127)=TRIM(Enginuity!$A$1),
    TRIM(B4127)=TRIM(Enginuity!$A$17),
    Q4127&lt;&gt;"",
    Q4127&lt;&gt;0,
    OR(
      TRIM(C4127)=TRIM(Enginuity!$A$18),
      AND(UPPER(TRIM(M4127))="STD", TRIM(B4127)=TRIM(Enginuity!$A$17))
    ),
    OR(
      AND(LEFT(P4127,5)="1-Way", Enginuity!$B$13=1),
      AND(LEFT(P4127,5)="2-Way", OR(Enginuity!$B$13=2, Enginuity!$B$13=4)),
      AND(LEFT(P4127,5)="3-Way", OR(Enginuity!$B$13=3, Enginuity!$B$13=6)),
      AND(P4127="Inner Centre Jamb", OR(Enginuity!$B$13=4, Enginuity!$B$13=6)),
      AND(
        LEFT(P4127,5)&lt;&gt;"1-Way",
        LEFT(P4127,5)&lt;&gt;"2-Way",
        LEFT(P4127,5)&lt;&gt;"3-Way",
        P4127&lt;&gt;"Inner Centre Jamb"
      )
    ),
    IF(OR(Enginuity!$A$1="Frameless Glass",Enginuity!$A$1="Metal Work"),
      AND(TRIM(B4127)=TRIM(Enginuity!$A$17),TRIM(C4127)=TRIM(Enginuity!$A$18)),
      TRIM(B4127)=TRIM(Enginuity!$A$17)
    )
  ),
  ROW(),
  ""
)</f>
        <v/>
      </c>
    </row>
    <row r="4128" spans="21:21" x14ac:dyDescent="0.25">
      <c r="U4128" s="104" t="str">
        <f>IF(
  AND(
    TRIM(A4128)=TRIM(Enginuity!$A$1),
    TRIM(B4128)=TRIM(Enginuity!$A$17),
    Q4128&lt;&gt;"",
    Q4128&lt;&gt;0,
    OR(
      TRIM(C4128)=TRIM(Enginuity!$A$18),
      AND(UPPER(TRIM(M4128))="STD", TRIM(B4128)=TRIM(Enginuity!$A$17))
    ),
    OR(
      AND(LEFT(P4128,5)="1-Way", Enginuity!$B$13=1),
      AND(LEFT(P4128,5)="2-Way", OR(Enginuity!$B$13=2, Enginuity!$B$13=4)),
      AND(LEFT(P4128,5)="3-Way", OR(Enginuity!$B$13=3, Enginuity!$B$13=6)),
      AND(P4128="Inner Centre Jamb", OR(Enginuity!$B$13=4, Enginuity!$B$13=6)),
      AND(
        LEFT(P4128,5)&lt;&gt;"1-Way",
        LEFT(P4128,5)&lt;&gt;"2-Way",
        LEFT(P4128,5)&lt;&gt;"3-Way",
        P4128&lt;&gt;"Inner Centre Jamb"
      )
    ),
    IF(OR(Enginuity!$A$1="Frameless Glass",Enginuity!$A$1="Metal Work"),
      AND(TRIM(B4128)=TRIM(Enginuity!$A$17),TRIM(C4128)=TRIM(Enginuity!$A$18)),
      TRIM(B4128)=TRIM(Enginuity!$A$17)
    )
  ),
  ROW(),
  ""
)</f>
        <v/>
      </c>
    </row>
    <row r="4129" spans="21:21" x14ac:dyDescent="0.25">
      <c r="U4129" s="104" t="str">
        <f>IF(
  AND(
    TRIM(A4129)=TRIM(Enginuity!$A$1),
    TRIM(B4129)=TRIM(Enginuity!$A$17),
    Q4129&lt;&gt;"",
    Q4129&lt;&gt;0,
    OR(
      TRIM(C4129)=TRIM(Enginuity!$A$18),
      AND(UPPER(TRIM(M4129))="STD", TRIM(B4129)=TRIM(Enginuity!$A$17))
    ),
    OR(
      AND(LEFT(P4129,5)="1-Way", Enginuity!$B$13=1),
      AND(LEFT(P4129,5)="2-Way", OR(Enginuity!$B$13=2, Enginuity!$B$13=4)),
      AND(LEFT(P4129,5)="3-Way", OR(Enginuity!$B$13=3, Enginuity!$B$13=6)),
      AND(P4129="Inner Centre Jamb", OR(Enginuity!$B$13=4, Enginuity!$B$13=6)),
      AND(
        LEFT(P4129,5)&lt;&gt;"1-Way",
        LEFT(P4129,5)&lt;&gt;"2-Way",
        LEFT(P4129,5)&lt;&gt;"3-Way",
        P4129&lt;&gt;"Inner Centre Jamb"
      )
    ),
    IF(OR(Enginuity!$A$1="Frameless Glass",Enginuity!$A$1="Metal Work"),
      AND(TRIM(B4129)=TRIM(Enginuity!$A$17),TRIM(C4129)=TRIM(Enginuity!$A$18)),
      TRIM(B4129)=TRIM(Enginuity!$A$17)
    )
  ),
  ROW(),
  ""
)</f>
        <v/>
      </c>
    </row>
    <row r="4130" spans="21:21" x14ac:dyDescent="0.25">
      <c r="U4130" s="104" t="str">
        <f>IF(
  AND(
    TRIM(A4130)=TRIM(Enginuity!$A$1),
    TRIM(B4130)=TRIM(Enginuity!$A$17),
    Q4130&lt;&gt;"",
    Q4130&lt;&gt;0,
    OR(
      TRIM(C4130)=TRIM(Enginuity!$A$18),
      AND(UPPER(TRIM(M4130))="STD", TRIM(B4130)=TRIM(Enginuity!$A$17))
    ),
    OR(
      AND(LEFT(P4130,5)="1-Way", Enginuity!$B$13=1),
      AND(LEFT(P4130,5)="2-Way", OR(Enginuity!$B$13=2, Enginuity!$B$13=4)),
      AND(LEFT(P4130,5)="3-Way", OR(Enginuity!$B$13=3, Enginuity!$B$13=6)),
      AND(P4130="Inner Centre Jamb", OR(Enginuity!$B$13=4, Enginuity!$B$13=6)),
      AND(
        LEFT(P4130,5)&lt;&gt;"1-Way",
        LEFT(P4130,5)&lt;&gt;"2-Way",
        LEFT(P4130,5)&lt;&gt;"3-Way",
        P4130&lt;&gt;"Inner Centre Jamb"
      )
    ),
    IF(OR(Enginuity!$A$1="Frameless Glass",Enginuity!$A$1="Metal Work"),
      AND(TRIM(B4130)=TRIM(Enginuity!$A$17),TRIM(C4130)=TRIM(Enginuity!$A$18)),
      TRIM(B4130)=TRIM(Enginuity!$A$17)
    )
  ),
  ROW(),
  ""
)</f>
        <v/>
      </c>
    </row>
    <row r="4131" spans="21:21" x14ac:dyDescent="0.25">
      <c r="U4131" s="104" t="str">
        <f>IF(
  AND(
    TRIM(A4131)=TRIM(Enginuity!$A$1),
    TRIM(B4131)=TRIM(Enginuity!$A$17),
    Q4131&lt;&gt;"",
    Q4131&lt;&gt;0,
    OR(
      TRIM(C4131)=TRIM(Enginuity!$A$18),
      AND(UPPER(TRIM(M4131))="STD", TRIM(B4131)=TRIM(Enginuity!$A$17))
    ),
    OR(
      AND(LEFT(P4131,5)="1-Way", Enginuity!$B$13=1),
      AND(LEFT(P4131,5)="2-Way", OR(Enginuity!$B$13=2, Enginuity!$B$13=4)),
      AND(LEFT(P4131,5)="3-Way", OR(Enginuity!$B$13=3, Enginuity!$B$13=6)),
      AND(P4131="Inner Centre Jamb", OR(Enginuity!$B$13=4, Enginuity!$B$13=6)),
      AND(
        LEFT(P4131,5)&lt;&gt;"1-Way",
        LEFT(P4131,5)&lt;&gt;"2-Way",
        LEFT(P4131,5)&lt;&gt;"3-Way",
        P4131&lt;&gt;"Inner Centre Jamb"
      )
    ),
    IF(OR(Enginuity!$A$1="Frameless Glass",Enginuity!$A$1="Metal Work"),
      AND(TRIM(B4131)=TRIM(Enginuity!$A$17),TRIM(C4131)=TRIM(Enginuity!$A$18)),
      TRIM(B4131)=TRIM(Enginuity!$A$17)
    )
  ),
  ROW(),
  ""
)</f>
        <v/>
      </c>
    </row>
    <row r="4132" spans="21:21" x14ac:dyDescent="0.25">
      <c r="U4132" s="104" t="str">
        <f>IF(
  AND(
    TRIM(A4132)=TRIM(Enginuity!$A$1),
    TRIM(B4132)=TRIM(Enginuity!$A$17),
    Q4132&lt;&gt;"",
    Q4132&lt;&gt;0,
    OR(
      TRIM(C4132)=TRIM(Enginuity!$A$18),
      AND(UPPER(TRIM(M4132))="STD", TRIM(B4132)=TRIM(Enginuity!$A$17))
    ),
    OR(
      AND(LEFT(P4132,5)="1-Way", Enginuity!$B$13=1),
      AND(LEFT(P4132,5)="2-Way", OR(Enginuity!$B$13=2, Enginuity!$B$13=4)),
      AND(LEFT(P4132,5)="3-Way", OR(Enginuity!$B$13=3, Enginuity!$B$13=6)),
      AND(P4132="Inner Centre Jamb", OR(Enginuity!$B$13=4, Enginuity!$B$13=6)),
      AND(
        LEFT(P4132,5)&lt;&gt;"1-Way",
        LEFT(P4132,5)&lt;&gt;"2-Way",
        LEFT(P4132,5)&lt;&gt;"3-Way",
        P4132&lt;&gt;"Inner Centre Jamb"
      )
    ),
    IF(OR(Enginuity!$A$1="Frameless Glass",Enginuity!$A$1="Metal Work"),
      AND(TRIM(B4132)=TRIM(Enginuity!$A$17),TRIM(C4132)=TRIM(Enginuity!$A$18)),
      TRIM(B4132)=TRIM(Enginuity!$A$17)
    )
  ),
  ROW(),
  ""
)</f>
        <v/>
      </c>
    </row>
    <row r="4133" spans="21:21" x14ac:dyDescent="0.25">
      <c r="U4133" s="104" t="str">
        <f>IF(
  AND(
    TRIM(A4133)=TRIM(Enginuity!$A$1),
    TRIM(B4133)=TRIM(Enginuity!$A$17),
    Q4133&lt;&gt;"",
    Q4133&lt;&gt;0,
    OR(
      TRIM(C4133)=TRIM(Enginuity!$A$18),
      AND(UPPER(TRIM(M4133))="STD", TRIM(B4133)=TRIM(Enginuity!$A$17))
    ),
    OR(
      AND(LEFT(P4133,5)="1-Way", Enginuity!$B$13=1),
      AND(LEFT(P4133,5)="2-Way", OR(Enginuity!$B$13=2, Enginuity!$B$13=4)),
      AND(LEFT(P4133,5)="3-Way", OR(Enginuity!$B$13=3, Enginuity!$B$13=6)),
      AND(P4133="Inner Centre Jamb", OR(Enginuity!$B$13=4, Enginuity!$B$13=6)),
      AND(
        LEFT(P4133,5)&lt;&gt;"1-Way",
        LEFT(P4133,5)&lt;&gt;"2-Way",
        LEFT(P4133,5)&lt;&gt;"3-Way",
        P4133&lt;&gt;"Inner Centre Jamb"
      )
    ),
    IF(OR(Enginuity!$A$1="Frameless Glass",Enginuity!$A$1="Metal Work"),
      AND(TRIM(B4133)=TRIM(Enginuity!$A$17),TRIM(C4133)=TRIM(Enginuity!$A$18)),
      TRIM(B4133)=TRIM(Enginuity!$A$17)
    )
  ),
  ROW(),
  ""
)</f>
        <v/>
      </c>
    </row>
    <row r="4134" spans="21:21" x14ac:dyDescent="0.25">
      <c r="U4134" s="104" t="str">
        <f>IF(
  AND(
    TRIM(A4134)=TRIM(Enginuity!$A$1),
    TRIM(B4134)=TRIM(Enginuity!$A$17),
    Q4134&lt;&gt;"",
    Q4134&lt;&gt;0,
    OR(
      TRIM(C4134)=TRIM(Enginuity!$A$18),
      AND(UPPER(TRIM(M4134))="STD", TRIM(B4134)=TRIM(Enginuity!$A$17))
    ),
    OR(
      AND(LEFT(P4134,5)="1-Way", Enginuity!$B$13=1),
      AND(LEFT(P4134,5)="2-Way", OR(Enginuity!$B$13=2, Enginuity!$B$13=4)),
      AND(LEFT(P4134,5)="3-Way", OR(Enginuity!$B$13=3, Enginuity!$B$13=6)),
      AND(P4134="Inner Centre Jamb", OR(Enginuity!$B$13=4, Enginuity!$B$13=6)),
      AND(
        LEFT(P4134,5)&lt;&gt;"1-Way",
        LEFT(P4134,5)&lt;&gt;"2-Way",
        LEFT(P4134,5)&lt;&gt;"3-Way",
        P4134&lt;&gt;"Inner Centre Jamb"
      )
    ),
    IF(OR(Enginuity!$A$1="Frameless Glass",Enginuity!$A$1="Metal Work"),
      AND(TRIM(B4134)=TRIM(Enginuity!$A$17),TRIM(C4134)=TRIM(Enginuity!$A$18)),
      TRIM(B4134)=TRIM(Enginuity!$A$17)
    )
  ),
  ROW(),
  ""
)</f>
        <v/>
      </c>
    </row>
    <row r="4135" spans="21:21" x14ac:dyDescent="0.25">
      <c r="U4135" s="104" t="str">
        <f>IF(
  AND(
    TRIM(A4135)=TRIM(Enginuity!$A$1),
    TRIM(B4135)=TRIM(Enginuity!$A$17),
    Q4135&lt;&gt;"",
    Q4135&lt;&gt;0,
    OR(
      TRIM(C4135)=TRIM(Enginuity!$A$18),
      AND(UPPER(TRIM(M4135))="STD", TRIM(B4135)=TRIM(Enginuity!$A$17))
    ),
    OR(
      AND(LEFT(P4135,5)="1-Way", Enginuity!$B$13=1),
      AND(LEFT(P4135,5)="2-Way", OR(Enginuity!$B$13=2, Enginuity!$B$13=4)),
      AND(LEFT(P4135,5)="3-Way", OR(Enginuity!$B$13=3, Enginuity!$B$13=6)),
      AND(P4135="Inner Centre Jamb", OR(Enginuity!$B$13=4, Enginuity!$B$13=6)),
      AND(
        LEFT(P4135,5)&lt;&gt;"1-Way",
        LEFT(P4135,5)&lt;&gt;"2-Way",
        LEFT(P4135,5)&lt;&gt;"3-Way",
        P4135&lt;&gt;"Inner Centre Jamb"
      )
    ),
    IF(OR(Enginuity!$A$1="Frameless Glass",Enginuity!$A$1="Metal Work"),
      AND(TRIM(B4135)=TRIM(Enginuity!$A$17),TRIM(C4135)=TRIM(Enginuity!$A$18)),
      TRIM(B4135)=TRIM(Enginuity!$A$17)
    )
  ),
  ROW(),
  ""
)</f>
        <v/>
      </c>
    </row>
    <row r="4136" spans="21:21" x14ac:dyDescent="0.25">
      <c r="U4136" s="104" t="str">
        <f>IF(
  AND(
    TRIM(A4136)=TRIM(Enginuity!$A$1),
    TRIM(B4136)=TRIM(Enginuity!$A$17),
    Q4136&lt;&gt;"",
    Q4136&lt;&gt;0,
    OR(
      TRIM(C4136)=TRIM(Enginuity!$A$18),
      AND(UPPER(TRIM(M4136))="STD", TRIM(B4136)=TRIM(Enginuity!$A$17))
    ),
    OR(
      AND(LEFT(P4136,5)="1-Way", Enginuity!$B$13=1),
      AND(LEFT(P4136,5)="2-Way", OR(Enginuity!$B$13=2, Enginuity!$B$13=4)),
      AND(LEFT(P4136,5)="3-Way", OR(Enginuity!$B$13=3, Enginuity!$B$13=6)),
      AND(P4136="Inner Centre Jamb", OR(Enginuity!$B$13=4, Enginuity!$B$13=6)),
      AND(
        LEFT(P4136,5)&lt;&gt;"1-Way",
        LEFT(P4136,5)&lt;&gt;"2-Way",
        LEFT(P4136,5)&lt;&gt;"3-Way",
        P4136&lt;&gt;"Inner Centre Jamb"
      )
    ),
    IF(OR(Enginuity!$A$1="Frameless Glass",Enginuity!$A$1="Metal Work"),
      AND(TRIM(B4136)=TRIM(Enginuity!$A$17),TRIM(C4136)=TRIM(Enginuity!$A$18)),
      TRIM(B4136)=TRIM(Enginuity!$A$17)
    )
  ),
  ROW(),
  ""
)</f>
        <v/>
      </c>
    </row>
    <row r="4137" spans="21:21" x14ac:dyDescent="0.25">
      <c r="U4137" s="104" t="str">
        <f>IF(
  AND(
    TRIM(A4137)=TRIM(Enginuity!$A$1),
    TRIM(B4137)=TRIM(Enginuity!$A$17),
    Q4137&lt;&gt;"",
    Q4137&lt;&gt;0,
    OR(
      TRIM(C4137)=TRIM(Enginuity!$A$18),
      AND(UPPER(TRIM(M4137))="STD", TRIM(B4137)=TRIM(Enginuity!$A$17))
    ),
    OR(
      AND(LEFT(P4137,5)="1-Way", Enginuity!$B$13=1),
      AND(LEFT(P4137,5)="2-Way", OR(Enginuity!$B$13=2, Enginuity!$B$13=4)),
      AND(LEFT(P4137,5)="3-Way", OR(Enginuity!$B$13=3, Enginuity!$B$13=6)),
      AND(P4137="Inner Centre Jamb", OR(Enginuity!$B$13=4, Enginuity!$B$13=6)),
      AND(
        LEFT(P4137,5)&lt;&gt;"1-Way",
        LEFT(P4137,5)&lt;&gt;"2-Way",
        LEFT(P4137,5)&lt;&gt;"3-Way",
        P4137&lt;&gt;"Inner Centre Jamb"
      )
    ),
    IF(OR(Enginuity!$A$1="Frameless Glass",Enginuity!$A$1="Metal Work"),
      AND(TRIM(B4137)=TRIM(Enginuity!$A$17),TRIM(C4137)=TRIM(Enginuity!$A$18)),
      TRIM(B4137)=TRIM(Enginuity!$A$17)
    )
  ),
  ROW(),
  ""
)</f>
        <v/>
      </c>
    </row>
    <row r="4138" spans="21:21" x14ac:dyDescent="0.25">
      <c r="U4138" s="104" t="str">
        <f>IF(
  AND(
    TRIM(A4138)=TRIM(Enginuity!$A$1),
    TRIM(B4138)=TRIM(Enginuity!$A$17),
    Q4138&lt;&gt;"",
    Q4138&lt;&gt;0,
    OR(
      TRIM(C4138)=TRIM(Enginuity!$A$18),
      AND(UPPER(TRIM(M4138))="STD", TRIM(B4138)=TRIM(Enginuity!$A$17))
    ),
    OR(
      AND(LEFT(P4138,5)="1-Way", Enginuity!$B$13=1),
      AND(LEFT(P4138,5)="2-Way", OR(Enginuity!$B$13=2, Enginuity!$B$13=4)),
      AND(LEFT(P4138,5)="3-Way", OR(Enginuity!$B$13=3, Enginuity!$B$13=6)),
      AND(P4138="Inner Centre Jamb", OR(Enginuity!$B$13=4, Enginuity!$B$13=6)),
      AND(
        LEFT(P4138,5)&lt;&gt;"1-Way",
        LEFT(P4138,5)&lt;&gt;"2-Way",
        LEFT(P4138,5)&lt;&gt;"3-Way",
        P4138&lt;&gt;"Inner Centre Jamb"
      )
    ),
    IF(OR(Enginuity!$A$1="Frameless Glass",Enginuity!$A$1="Metal Work"),
      AND(TRIM(B4138)=TRIM(Enginuity!$A$17),TRIM(C4138)=TRIM(Enginuity!$A$18)),
      TRIM(B4138)=TRIM(Enginuity!$A$17)
    )
  ),
  ROW(),
  ""
)</f>
        <v/>
      </c>
    </row>
    <row r="4139" spans="21:21" x14ac:dyDescent="0.25">
      <c r="U4139" s="104" t="str">
        <f>IF(
  AND(
    TRIM(A4139)=TRIM(Enginuity!$A$1),
    TRIM(B4139)=TRIM(Enginuity!$A$17),
    Q4139&lt;&gt;"",
    Q4139&lt;&gt;0,
    OR(
      TRIM(C4139)=TRIM(Enginuity!$A$18),
      AND(UPPER(TRIM(M4139))="STD", TRIM(B4139)=TRIM(Enginuity!$A$17))
    ),
    OR(
      AND(LEFT(P4139,5)="1-Way", Enginuity!$B$13=1),
      AND(LEFT(P4139,5)="2-Way", OR(Enginuity!$B$13=2, Enginuity!$B$13=4)),
      AND(LEFT(P4139,5)="3-Way", OR(Enginuity!$B$13=3, Enginuity!$B$13=6)),
      AND(P4139="Inner Centre Jamb", OR(Enginuity!$B$13=4, Enginuity!$B$13=6)),
      AND(
        LEFT(P4139,5)&lt;&gt;"1-Way",
        LEFT(P4139,5)&lt;&gt;"2-Way",
        LEFT(P4139,5)&lt;&gt;"3-Way",
        P4139&lt;&gt;"Inner Centre Jamb"
      )
    ),
    IF(OR(Enginuity!$A$1="Frameless Glass",Enginuity!$A$1="Metal Work"),
      AND(TRIM(B4139)=TRIM(Enginuity!$A$17),TRIM(C4139)=TRIM(Enginuity!$A$18)),
      TRIM(B4139)=TRIM(Enginuity!$A$17)
    )
  ),
  ROW(),
  ""
)</f>
        <v/>
      </c>
    </row>
    <row r="4140" spans="21:21" x14ac:dyDescent="0.25">
      <c r="U4140" s="104" t="str">
        <f>IF(
  AND(
    TRIM(A4140)=TRIM(Enginuity!$A$1),
    TRIM(B4140)=TRIM(Enginuity!$A$17),
    Q4140&lt;&gt;"",
    Q4140&lt;&gt;0,
    OR(
      TRIM(C4140)=TRIM(Enginuity!$A$18),
      AND(UPPER(TRIM(M4140))="STD", TRIM(B4140)=TRIM(Enginuity!$A$17))
    ),
    OR(
      AND(LEFT(P4140,5)="1-Way", Enginuity!$B$13=1),
      AND(LEFT(P4140,5)="2-Way", OR(Enginuity!$B$13=2, Enginuity!$B$13=4)),
      AND(LEFT(P4140,5)="3-Way", OR(Enginuity!$B$13=3, Enginuity!$B$13=6)),
      AND(P4140="Inner Centre Jamb", OR(Enginuity!$B$13=4, Enginuity!$B$13=6)),
      AND(
        LEFT(P4140,5)&lt;&gt;"1-Way",
        LEFT(P4140,5)&lt;&gt;"2-Way",
        LEFT(P4140,5)&lt;&gt;"3-Way",
        P4140&lt;&gt;"Inner Centre Jamb"
      )
    ),
    IF(OR(Enginuity!$A$1="Frameless Glass",Enginuity!$A$1="Metal Work"),
      AND(TRIM(B4140)=TRIM(Enginuity!$A$17),TRIM(C4140)=TRIM(Enginuity!$A$18)),
      TRIM(B4140)=TRIM(Enginuity!$A$17)
    )
  ),
  ROW(),
  ""
)</f>
        <v/>
      </c>
    </row>
    <row r="4141" spans="21:21" x14ac:dyDescent="0.25">
      <c r="U4141" s="104" t="str">
        <f>IF(
  AND(
    TRIM(A4141)=TRIM(Enginuity!$A$1),
    TRIM(B4141)=TRIM(Enginuity!$A$17),
    Q4141&lt;&gt;"",
    Q4141&lt;&gt;0,
    OR(
      TRIM(C4141)=TRIM(Enginuity!$A$18),
      AND(UPPER(TRIM(M4141))="STD", TRIM(B4141)=TRIM(Enginuity!$A$17))
    ),
    OR(
      AND(LEFT(P4141,5)="1-Way", Enginuity!$B$13=1),
      AND(LEFT(P4141,5)="2-Way", OR(Enginuity!$B$13=2, Enginuity!$B$13=4)),
      AND(LEFT(P4141,5)="3-Way", OR(Enginuity!$B$13=3, Enginuity!$B$13=6)),
      AND(P4141="Inner Centre Jamb", OR(Enginuity!$B$13=4, Enginuity!$B$13=6)),
      AND(
        LEFT(P4141,5)&lt;&gt;"1-Way",
        LEFT(P4141,5)&lt;&gt;"2-Way",
        LEFT(P4141,5)&lt;&gt;"3-Way",
        P4141&lt;&gt;"Inner Centre Jamb"
      )
    ),
    IF(OR(Enginuity!$A$1="Frameless Glass",Enginuity!$A$1="Metal Work"),
      AND(TRIM(B4141)=TRIM(Enginuity!$A$17),TRIM(C4141)=TRIM(Enginuity!$A$18)),
      TRIM(B4141)=TRIM(Enginuity!$A$17)
    )
  ),
  ROW(),
  ""
)</f>
        <v/>
      </c>
    </row>
    <row r="4142" spans="21:21" x14ac:dyDescent="0.25">
      <c r="U4142" s="104" t="str">
        <f>IF(
  AND(
    TRIM(A4142)=TRIM(Enginuity!$A$1),
    TRIM(B4142)=TRIM(Enginuity!$A$17),
    Q4142&lt;&gt;"",
    Q4142&lt;&gt;0,
    OR(
      TRIM(C4142)=TRIM(Enginuity!$A$18),
      AND(UPPER(TRIM(M4142))="STD", TRIM(B4142)=TRIM(Enginuity!$A$17))
    ),
    OR(
      AND(LEFT(P4142,5)="1-Way", Enginuity!$B$13=1),
      AND(LEFT(P4142,5)="2-Way", OR(Enginuity!$B$13=2, Enginuity!$B$13=4)),
      AND(LEFT(P4142,5)="3-Way", OR(Enginuity!$B$13=3, Enginuity!$B$13=6)),
      AND(P4142="Inner Centre Jamb", OR(Enginuity!$B$13=4, Enginuity!$B$13=6)),
      AND(
        LEFT(P4142,5)&lt;&gt;"1-Way",
        LEFT(P4142,5)&lt;&gt;"2-Way",
        LEFT(P4142,5)&lt;&gt;"3-Way",
        P4142&lt;&gt;"Inner Centre Jamb"
      )
    ),
    IF(OR(Enginuity!$A$1="Frameless Glass",Enginuity!$A$1="Metal Work"),
      AND(TRIM(B4142)=TRIM(Enginuity!$A$17),TRIM(C4142)=TRIM(Enginuity!$A$18)),
      TRIM(B4142)=TRIM(Enginuity!$A$17)
    )
  ),
  ROW(),
  ""
)</f>
        <v/>
      </c>
    </row>
    <row r="4143" spans="21:21" x14ac:dyDescent="0.25">
      <c r="U4143" s="104" t="str">
        <f>IF(
  AND(
    TRIM(A4143)=TRIM(Enginuity!$A$1),
    TRIM(B4143)=TRIM(Enginuity!$A$17),
    Q4143&lt;&gt;"",
    Q4143&lt;&gt;0,
    OR(
      TRIM(C4143)=TRIM(Enginuity!$A$18),
      AND(UPPER(TRIM(M4143))="STD", TRIM(B4143)=TRIM(Enginuity!$A$17))
    ),
    OR(
      AND(LEFT(P4143,5)="1-Way", Enginuity!$B$13=1),
      AND(LEFT(P4143,5)="2-Way", OR(Enginuity!$B$13=2, Enginuity!$B$13=4)),
      AND(LEFT(P4143,5)="3-Way", OR(Enginuity!$B$13=3, Enginuity!$B$13=6)),
      AND(P4143="Inner Centre Jamb", OR(Enginuity!$B$13=4, Enginuity!$B$13=6)),
      AND(
        LEFT(P4143,5)&lt;&gt;"1-Way",
        LEFT(P4143,5)&lt;&gt;"2-Way",
        LEFT(P4143,5)&lt;&gt;"3-Way",
        P4143&lt;&gt;"Inner Centre Jamb"
      )
    ),
    IF(OR(Enginuity!$A$1="Frameless Glass",Enginuity!$A$1="Metal Work"),
      AND(TRIM(B4143)=TRIM(Enginuity!$A$17),TRIM(C4143)=TRIM(Enginuity!$A$18)),
      TRIM(B4143)=TRIM(Enginuity!$A$17)
    )
  ),
  ROW(),
  ""
)</f>
        <v/>
      </c>
    </row>
    <row r="4144" spans="21:21" x14ac:dyDescent="0.25">
      <c r="U4144" s="104" t="str">
        <f>IF(
  AND(
    TRIM(A4144)=TRIM(Enginuity!$A$1),
    TRIM(B4144)=TRIM(Enginuity!$A$17),
    Q4144&lt;&gt;"",
    Q4144&lt;&gt;0,
    OR(
      TRIM(C4144)=TRIM(Enginuity!$A$18),
      AND(UPPER(TRIM(M4144))="STD", TRIM(B4144)=TRIM(Enginuity!$A$17))
    ),
    OR(
      AND(LEFT(P4144,5)="1-Way", Enginuity!$B$13=1),
      AND(LEFT(P4144,5)="2-Way", OR(Enginuity!$B$13=2, Enginuity!$B$13=4)),
      AND(LEFT(P4144,5)="3-Way", OR(Enginuity!$B$13=3, Enginuity!$B$13=6)),
      AND(P4144="Inner Centre Jamb", OR(Enginuity!$B$13=4, Enginuity!$B$13=6)),
      AND(
        LEFT(P4144,5)&lt;&gt;"1-Way",
        LEFT(P4144,5)&lt;&gt;"2-Way",
        LEFT(P4144,5)&lt;&gt;"3-Way",
        P4144&lt;&gt;"Inner Centre Jamb"
      )
    ),
    IF(OR(Enginuity!$A$1="Frameless Glass",Enginuity!$A$1="Metal Work"),
      AND(TRIM(B4144)=TRIM(Enginuity!$A$17),TRIM(C4144)=TRIM(Enginuity!$A$18)),
      TRIM(B4144)=TRIM(Enginuity!$A$17)
    )
  ),
  ROW(),
  ""
)</f>
        <v/>
      </c>
    </row>
    <row r="4145" spans="21:21" x14ac:dyDescent="0.25">
      <c r="U4145" s="104" t="str">
        <f>IF(
  AND(
    TRIM(A4145)=TRIM(Enginuity!$A$1),
    TRIM(B4145)=TRIM(Enginuity!$A$17),
    Q4145&lt;&gt;"",
    Q4145&lt;&gt;0,
    OR(
      TRIM(C4145)=TRIM(Enginuity!$A$18),
      AND(UPPER(TRIM(M4145))="STD", TRIM(B4145)=TRIM(Enginuity!$A$17))
    ),
    OR(
      AND(LEFT(P4145,5)="1-Way", Enginuity!$B$13=1),
      AND(LEFT(P4145,5)="2-Way", OR(Enginuity!$B$13=2, Enginuity!$B$13=4)),
      AND(LEFT(P4145,5)="3-Way", OR(Enginuity!$B$13=3, Enginuity!$B$13=6)),
      AND(P4145="Inner Centre Jamb", OR(Enginuity!$B$13=4, Enginuity!$B$13=6)),
      AND(
        LEFT(P4145,5)&lt;&gt;"1-Way",
        LEFT(P4145,5)&lt;&gt;"2-Way",
        LEFT(P4145,5)&lt;&gt;"3-Way",
        P4145&lt;&gt;"Inner Centre Jamb"
      )
    ),
    IF(OR(Enginuity!$A$1="Frameless Glass",Enginuity!$A$1="Metal Work"),
      AND(TRIM(B4145)=TRIM(Enginuity!$A$17),TRIM(C4145)=TRIM(Enginuity!$A$18)),
      TRIM(B4145)=TRIM(Enginuity!$A$17)
    )
  ),
  ROW(),
  ""
)</f>
        <v/>
      </c>
    </row>
    <row r="4146" spans="21:21" x14ac:dyDescent="0.25">
      <c r="U4146" s="104" t="str">
        <f>IF(
  AND(
    TRIM(A4146)=TRIM(Enginuity!$A$1),
    TRIM(B4146)=TRIM(Enginuity!$A$17),
    Q4146&lt;&gt;"",
    Q4146&lt;&gt;0,
    OR(
      TRIM(C4146)=TRIM(Enginuity!$A$18),
      AND(UPPER(TRIM(M4146))="STD", TRIM(B4146)=TRIM(Enginuity!$A$17))
    ),
    OR(
      AND(LEFT(P4146,5)="1-Way", Enginuity!$B$13=1),
      AND(LEFT(P4146,5)="2-Way", OR(Enginuity!$B$13=2, Enginuity!$B$13=4)),
      AND(LEFT(P4146,5)="3-Way", OR(Enginuity!$B$13=3, Enginuity!$B$13=6)),
      AND(P4146="Inner Centre Jamb", OR(Enginuity!$B$13=4, Enginuity!$B$13=6)),
      AND(
        LEFT(P4146,5)&lt;&gt;"1-Way",
        LEFT(P4146,5)&lt;&gt;"2-Way",
        LEFT(P4146,5)&lt;&gt;"3-Way",
        P4146&lt;&gt;"Inner Centre Jamb"
      )
    ),
    IF(OR(Enginuity!$A$1="Frameless Glass",Enginuity!$A$1="Metal Work"),
      AND(TRIM(B4146)=TRIM(Enginuity!$A$17),TRIM(C4146)=TRIM(Enginuity!$A$18)),
      TRIM(B4146)=TRIM(Enginuity!$A$17)
    )
  ),
  ROW(),
  ""
)</f>
        <v/>
      </c>
    </row>
    <row r="4147" spans="21:21" x14ac:dyDescent="0.25">
      <c r="U4147" s="104" t="str">
        <f>IF(
  AND(
    TRIM(A4147)=TRIM(Enginuity!$A$1),
    TRIM(B4147)=TRIM(Enginuity!$A$17),
    Q4147&lt;&gt;"",
    Q4147&lt;&gt;0,
    OR(
      TRIM(C4147)=TRIM(Enginuity!$A$18),
      AND(UPPER(TRIM(M4147))="STD", TRIM(B4147)=TRIM(Enginuity!$A$17))
    ),
    OR(
      AND(LEFT(P4147,5)="1-Way", Enginuity!$B$13=1),
      AND(LEFT(P4147,5)="2-Way", OR(Enginuity!$B$13=2, Enginuity!$B$13=4)),
      AND(LEFT(P4147,5)="3-Way", OR(Enginuity!$B$13=3, Enginuity!$B$13=6)),
      AND(P4147="Inner Centre Jamb", OR(Enginuity!$B$13=4, Enginuity!$B$13=6)),
      AND(
        LEFT(P4147,5)&lt;&gt;"1-Way",
        LEFT(P4147,5)&lt;&gt;"2-Way",
        LEFT(P4147,5)&lt;&gt;"3-Way",
        P4147&lt;&gt;"Inner Centre Jamb"
      )
    ),
    IF(OR(Enginuity!$A$1="Frameless Glass",Enginuity!$A$1="Metal Work"),
      AND(TRIM(B4147)=TRIM(Enginuity!$A$17),TRIM(C4147)=TRIM(Enginuity!$A$18)),
      TRIM(B4147)=TRIM(Enginuity!$A$17)
    )
  ),
  ROW(),
  ""
)</f>
        <v/>
      </c>
    </row>
    <row r="4148" spans="21:21" x14ac:dyDescent="0.25">
      <c r="U4148" s="104" t="str">
        <f>IF(
  AND(
    TRIM(A4148)=TRIM(Enginuity!$A$1),
    TRIM(B4148)=TRIM(Enginuity!$A$17),
    Q4148&lt;&gt;"",
    Q4148&lt;&gt;0,
    OR(
      TRIM(C4148)=TRIM(Enginuity!$A$18),
      AND(UPPER(TRIM(M4148))="STD", TRIM(B4148)=TRIM(Enginuity!$A$17))
    ),
    OR(
      AND(LEFT(P4148,5)="1-Way", Enginuity!$B$13=1),
      AND(LEFT(P4148,5)="2-Way", OR(Enginuity!$B$13=2, Enginuity!$B$13=4)),
      AND(LEFT(P4148,5)="3-Way", OR(Enginuity!$B$13=3, Enginuity!$B$13=6)),
      AND(P4148="Inner Centre Jamb", OR(Enginuity!$B$13=4, Enginuity!$B$13=6)),
      AND(
        LEFT(P4148,5)&lt;&gt;"1-Way",
        LEFT(P4148,5)&lt;&gt;"2-Way",
        LEFT(P4148,5)&lt;&gt;"3-Way",
        P4148&lt;&gt;"Inner Centre Jamb"
      )
    ),
    IF(OR(Enginuity!$A$1="Frameless Glass",Enginuity!$A$1="Metal Work"),
      AND(TRIM(B4148)=TRIM(Enginuity!$A$17),TRIM(C4148)=TRIM(Enginuity!$A$18)),
      TRIM(B4148)=TRIM(Enginuity!$A$17)
    )
  ),
  ROW(),
  ""
)</f>
        <v/>
      </c>
    </row>
    <row r="4149" spans="21:21" x14ac:dyDescent="0.25">
      <c r="U4149" s="104" t="str">
        <f>IF(
  AND(
    TRIM(A4149)=TRIM(Enginuity!$A$1),
    TRIM(B4149)=TRIM(Enginuity!$A$17),
    Q4149&lt;&gt;"",
    Q4149&lt;&gt;0,
    OR(
      TRIM(C4149)=TRIM(Enginuity!$A$18),
      AND(UPPER(TRIM(M4149))="STD", TRIM(B4149)=TRIM(Enginuity!$A$17))
    ),
    OR(
      AND(LEFT(P4149,5)="1-Way", Enginuity!$B$13=1),
      AND(LEFT(P4149,5)="2-Way", OR(Enginuity!$B$13=2, Enginuity!$B$13=4)),
      AND(LEFT(P4149,5)="3-Way", OR(Enginuity!$B$13=3, Enginuity!$B$13=6)),
      AND(P4149="Inner Centre Jamb", OR(Enginuity!$B$13=4, Enginuity!$B$13=6)),
      AND(
        LEFT(P4149,5)&lt;&gt;"1-Way",
        LEFT(P4149,5)&lt;&gt;"2-Way",
        LEFT(P4149,5)&lt;&gt;"3-Way",
        P4149&lt;&gt;"Inner Centre Jamb"
      )
    ),
    IF(OR(Enginuity!$A$1="Frameless Glass",Enginuity!$A$1="Metal Work"),
      AND(TRIM(B4149)=TRIM(Enginuity!$A$17),TRIM(C4149)=TRIM(Enginuity!$A$18)),
      TRIM(B4149)=TRIM(Enginuity!$A$17)
    )
  ),
  ROW(),
  ""
)</f>
        <v/>
      </c>
    </row>
    <row r="4150" spans="21:21" x14ac:dyDescent="0.25">
      <c r="U4150" s="104" t="str">
        <f>IF(
  AND(
    TRIM(A4150)=TRIM(Enginuity!$A$1),
    TRIM(B4150)=TRIM(Enginuity!$A$17),
    Q4150&lt;&gt;"",
    Q4150&lt;&gt;0,
    OR(
      TRIM(C4150)=TRIM(Enginuity!$A$18),
      AND(UPPER(TRIM(M4150))="STD", TRIM(B4150)=TRIM(Enginuity!$A$17))
    ),
    OR(
      AND(LEFT(P4150,5)="1-Way", Enginuity!$B$13=1),
      AND(LEFT(P4150,5)="2-Way", OR(Enginuity!$B$13=2, Enginuity!$B$13=4)),
      AND(LEFT(P4150,5)="3-Way", OR(Enginuity!$B$13=3, Enginuity!$B$13=6)),
      AND(P4150="Inner Centre Jamb", OR(Enginuity!$B$13=4, Enginuity!$B$13=6)),
      AND(
        LEFT(P4150,5)&lt;&gt;"1-Way",
        LEFT(P4150,5)&lt;&gt;"2-Way",
        LEFT(P4150,5)&lt;&gt;"3-Way",
        P4150&lt;&gt;"Inner Centre Jamb"
      )
    ),
    IF(OR(Enginuity!$A$1="Frameless Glass",Enginuity!$A$1="Metal Work"),
      AND(TRIM(B4150)=TRIM(Enginuity!$A$17),TRIM(C4150)=TRIM(Enginuity!$A$18)),
      TRIM(B4150)=TRIM(Enginuity!$A$17)
    )
  ),
  ROW(),
  ""
)</f>
        <v/>
      </c>
    </row>
    <row r="4151" spans="21:21" x14ac:dyDescent="0.25">
      <c r="U4151" s="104" t="str">
        <f>IF(
  AND(
    TRIM(A4151)=TRIM(Enginuity!$A$1),
    TRIM(B4151)=TRIM(Enginuity!$A$17),
    Q4151&lt;&gt;"",
    Q4151&lt;&gt;0,
    OR(
      TRIM(C4151)=TRIM(Enginuity!$A$18),
      AND(UPPER(TRIM(M4151))="STD", TRIM(B4151)=TRIM(Enginuity!$A$17))
    ),
    OR(
      AND(LEFT(P4151,5)="1-Way", Enginuity!$B$13=1),
      AND(LEFT(P4151,5)="2-Way", OR(Enginuity!$B$13=2, Enginuity!$B$13=4)),
      AND(LEFT(P4151,5)="3-Way", OR(Enginuity!$B$13=3, Enginuity!$B$13=6)),
      AND(P4151="Inner Centre Jamb", OR(Enginuity!$B$13=4, Enginuity!$B$13=6)),
      AND(
        LEFT(P4151,5)&lt;&gt;"1-Way",
        LEFT(P4151,5)&lt;&gt;"2-Way",
        LEFT(P4151,5)&lt;&gt;"3-Way",
        P4151&lt;&gt;"Inner Centre Jamb"
      )
    ),
    IF(OR(Enginuity!$A$1="Frameless Glass",Enginuity!$A$1="Metal Work"),
      AND(TRIM(B4151)=TRIM(Enginuity!$A$17),TRIM(C4151)=TRIM(Enginuity!$A$18)),
      TRIM(B4151)=TRIM(Enginuity!$A$17)
    )
  ),
  ROW(),
  ""
)</f>
        <v/>
      </c>
    </row>
    <row r="4152" spans="21:21" x14ac:dyDescent="0.25">
      <c r="U4152" s="104" t="str">
        <f>IF(
  AND(
    TRIM(A4152)=TRIM(Enginuity!$A$1),
    TRIM(B4152)=TRIM(Enginuity!$A$17),
    Q4152&lt;&gt;"",
    Q4152&lt;&gt;0,
    OR(
      TRIM(C4152)=TRIM(Enginuity!$A$18),
      AND(UPPER(TRIM(M4152))="STD", TRIM(B4152)=TRIM(Enginuity!$A$17))
    ),
    OR(
      AND(LEFT(P4152,5)="1-Way", Enginuity!$B$13=1),
      AND(LEFT(P4152,5)="2-Way", OR(Enginuity!$B$13=2, Enginuity!$B$13=4)),
      AND(LEFT(P4152,5)="3-Way", OR(Enginuity!$B$13=3, Enginuity!$B$13=6)),
      AND(P4152="Inner Centre Jamb", OR(Enginuity!$B$13=4, Enginuity!$B$13=6)),
      AND(
        LEFT(P4152,5)&lt;&gt;"1-Way",
        LEFT(P4152,5)&lt;&gt;"2-Way",
        LEFT(P4152,5)&lt;&gt;"3-Way",
        P4152&lt;&gt;"Inner Centre Jamb"
      )
    ),
    IF(OR(Enginuity!$A$1="Frameless Glass",Enginuity!$A$1="Metal Work"),
      AND(TRIM(B4152)=TRIM(Enginuity!$A$17),TRIM(C4152)=TRIM(Enginuity!$A$18)),
      TRIM(B4152)=TRIM(Enginuity!$A$17)
    )
  ),
  ROW(),
  ""
)</f>
        <v/>
      </c>
    </row>
    <row r="4153" spans="21:21" x14ac:dyDescent="0.25">
      <c r="U4153" s="104" t="str">
        <f>IF(
  AND(
    TRIM(A4153)=TRIM(Enginuity!$A$1),
    TRIM(B4153)=TRIM(Enginuity!$A$17),
    Q4153&lt;&gt;"",
    Q4153&lt;&gt;0,
    OR(
      TRIM(C4153)=TRIM(Enginuity!$A$18),
      AND(UPPER(TRIM(M4153))="STD", TRIM(B4153)=TRIM(Enginuity!$A$17))
    ),
    OR(
      AND(LEFT(P4153,5)="1-Way", Enginuity!$B$13=1),
      AND(LEFT(P4153,5)="2-Way", OR(Enginuity!$B$13=2, Enginuity!$B$13=4)),
      AND(LEFT(P4153,5)="3-Way", OR(Enginuity!$B$13=3, Enginuity!$B$13=6)),
      AND(P4153="Inner Centre Jamb", OR(Enginuity!$B$13=4, Enginuity!$B$13=6)),
      AND(
        LEFT(P4153,5)&lt;&gt;"1-Way",
        LEFT(P4153,5)&lt;&gt;"2-Way",
        LEFT(P4153,5)&lt;&gt;"3-Way",
        P4153&lt;&gt;"Inner Centre Jamb"
      )
    ),
    IF(OR(Enginuity!$A$1="Frameless Glass",Enginuity!$A$1="Metal Work"),
      AND(TRIM(B4153)=TRIM(Enginuity!$A$17),TRIM(C4153)=TRIM(Enginuity!$A$18)),
      TRIM(B4153)=TRIM(Enginuity!$A$17)
    )
  ),
  ROW(),
  ""
)</f>
        <v/>
      </c>
    </row>
    <row r="4154" spans="21:21" x14ac:dyDescent="0.25">
      <c r="U4154" s="104" t="str">
        <f>IF(
  AND(
    TRIM(A4154)=TRIM(Enginuity!$A$1),
    TRIM(B4154)=TRIM(Enginuity!$A$17),
    Q4154&lt;&gt;"",
    Q4154&lt;&gt;0,
    OR(
      TRIM(C4154)=TRIM(Enginuity!$A$18),
      AND(UPPER(TRIM(M4154))="STD", TRIM(B4154)=TRIM(Enginuity!$A$17))
    ),
    OR(
      AND(LEFT(P4154,5)="1-Way", Enginuity!$B$13=1),
      AND(LEFT(P4154,5)="2-Way", OR(Enginuity!$B$13=2, Enginuity!$B$13=4)),
      AND(LEFT(P4154,5)="3-Way", OR(Enginuity!$B$13=3, Enginuity!$B$13=6)),
      AND(P4154="Inner Centre Jamb", OR(Enginuity!$B$13=4, Enginuity!$B$13=6)),
      AND(
        LEFT(P4154,5)&lt;&gt;"1-Way",
        LEFT(P4154,5)&lt;&gt;"2-Way",
        LEFT(P4154,5)&lt;&gt;"3-Way",
        P4154&lt;&gt;"Inner Centre Jamb"
      )
    ),
    IF(OR(Enginuity!$A$1="Frameless Glass",Enginuity!$A$1="Metal Work"),
      AND(TRIM(B4154)=TRIM(Enginuity!$A$17),TRIM(C4154)=TRIM(Enginuity!$A$18)),
      TRIM(B4154)=TRIM(Enginuity!$A$17)
    )
  ),
  ROW(),
  ""
)</f>
        <v/>
      </c>
    </row>
    <row r="4155" spans="21:21" x14ac:dyDescent="0.25">
      <c r="U4155" s="104" t="str">
        <f>IF(
  AND(
    TRIM(A4155)=TRIM(Enginuity!$A$1),
    TRIM(B4155)=TRIM(Enginuity!$A$17),
    Q4155&lt;&gt;"",
    Q4155&lt;&gt;0,
    OR(
      TRIM(C4155)=TRIM(Enginuity!$A$18),
      AND(UPPER(TRIM(M4155))="STD", TRIM(B4155)=TRIM(Enginuity!$A$17))
    ),
    OR(
      AND(LEFT(P4155,5)="1-Way", Enginuity!$B$13=1),
      AND(LEFT(P4155,5)="2-Way", OR(Enginuity!$B$13=2, Enginuity!$B$13=4)),
      AND(LEFT(P4155,5)="3-Way", OR(Enginuity!$B$13=3, Enginuity!$B$13=6)),
      AND(P4155="Inner Centre Jamb", OR(Enginuity!$B$13=4, Enginuity!$B$13=6)),
      AND(
        LEFT(P4155,5)&lt;&gt;"1-Way",
        LEFT(P4155,5)&lt;&gt;"2-Way",
        LEFT(P4155,5)&lt;&gt;"3-Way",
        P4155&lt;&gt;"Inner Centre Jamb"
      )
    ),
    IF(OR(Enginuity!$A$1="Frameless Glass",Enginuity!$A$1="Metal Work"),
      AND(TRIM(B4155)=TRIM(Enginuity!$A$17),TRIM(C4155)=TRIM(Enginuity!$A$18)),
      TRIM(B4155)=TRIM(Enginuity!$A$17)
    )
  ),
  ROW(),
  ""
)</f>
        <v/>
      </c>
    </row>
    <row r="4156" spans="21:21" x14ac:dyDescent="0.25">
      <c r="U4156" s="104" t="str">
        <f>IF(
  AND(
    TRIM(A4156)=TRIM(Enginuity!$A$1),
    TRIM(B4156)=TRIM(Enginuity!$A$17),
    Q4156&lt;&gt;"",
    Q4156&lt;&gt;0,
    OR(
      TRIM(C4156)=TRIM(Enginuity!$A$18),
      AND(UPPER(TRIM(M4156))="STD", TRIM(B4156)=TRIM(Enginuity!$A$17))
    ),
    OR(
      AND(LEFT(P4156,5)="1-Way", Enginuity!$B$13=1),
      AND(LEFT(P4156,5)="2-Way", OR(Enginuity!$B$13=2, Enginuity!$B$13=4)),
      AND(LEFT(P4156,5)="3-Way", OR(Enginuity!$B$13=3, Enginuity!$B$13=6)),
      AND(P4156="Inner Centre Jamb", OR(Enginuity!$B$13=4, Enginuity!$B$13=6)),
      AND(
        LEFT(P4156,5)&lt;&gt;"1-Way",
        LEFT(P4156,5)&lt;&gt;"2-Way",
        LEFT(P4156,5)&lt;&gt;"3-Way",
        P4156&lt;&gt;"Inner Centre Jamb"
      )
    ),
    IF(OR(Enginuity!$A$1="Frameless Glass",Enginuity!$A$1="Metal Work"),
      AND(TRIM(B4156)=TRIM(Enginuity!$A$17),TRIM(C4156)=TRIM(Enginuity!$A$18)),
      TRIM(B4156)=TRIM(Enginuity!$A$17)
    )
  ),
  ROW(),
  ""
)</f>
        <v/>
      </c>
    </row>
    <row r="4157" spans="21:21" x14ac:dyDescent="0.25">
      <c r="U4157" s="104" t="str">
        <f>IF(
  AND(
    TRIM(A4157)=TRIM(Enginuity!$A$1),
    TRIM(B4157)=TRIM(Enginuity!$A$17),
    Q4157&lt;&gt;"",
    Q4157&lt;&gt;0,
    OR(
      TRIM(C4157)=TRIM(Enginuity!$A$18),
      AND(UPPER(TRIM(M4157))="STD", TRIM(B4157)=TRIM(Enginuity!$A$17))
    ),
    OR(
      AND(LEFT(P4157,5)="1-Way", Enginuity!$B$13=1),
      AND(LEFT(P4157,5)="2-Way", OR(Enginuity!$B$13=2, Enginuity!$B$13=4)),
      AND(LEFT(P4157,5)="3-Way", OR(Enginuity!$B$13=3, Enginuity!$B$13=6)),
      AND(P4157="Inner Centre Jamb", OR(Enginuity!$B$13=4, Enginuity!$B$13=6)),
      AND(
        LEFT(P4157,5)&lt;&gt;"1-Way",
        LEFT(P4157,5)&lt;&gt;"2-Way",
        LEFT(P4157,5)&lt;&gt;"3-Way",
        P4157&lt;&gt;"Inner Centre Jamb"
      )
    ),
    IF(OR(Enginuity!$A$1="Frameless Glass",Enginuity!$A$1="Metal Work"),
      AND(TRIM(B4157)=TRIM(Enginuity!$A$17),TRIM(C4157)=TRIM(Enginuity!$A$18)),
      TRIM(B4157)=TRIM(Enginuity!$A$17)
    )
  ),
  ROW(),
  ""
)</f>
        <v/>
      </c>
    </row>
    <row r="4158" spans="21:21" x14ac:dyDescent="0.25">
      <c r="U4158" s="104" t="str">
        <f>IF(
  AND(
    TRIM(A4158)=TRIM(Enginuity!$A$1),
    TRIM(B4158)=TRIM(Enginuity!$A$17),
    Q4158&lt;&gt;"",
    Q4158&lt;&gt;0,
    OR(
      TRIM(C4158)=TRIM(Enginuity!$A$18),
      AND(UPPER(TRIM(M4158))="STD", TRIM(B4158)=TRIM(Enginuity!$A$17))
    ),
    OR(
      AND(LEFT(P4158,5)="1-Way", Enginuity!$B$13=1),
      AND(LEFT(P4158,5)="2-Way", OR(Enginuity!$B$13=2, Enginuity!$B$13=4)),
      AND(LEFT(P4158,5)="3-Way", OR(Enginuity!$B$13=3, Enginuity!$B$13=6)),
      AND(P4158="Inner Centre Jamb", OR(Enginuity!$B$13=4, Enginuity!$B$13=6)),
      AND(
        LEFT(P4158,5)&lt;&gt;"1-Way",
        LEFT(P4158,5)&lt;&gt;"2-Way",
        LEFT(P4158,5)&lt;&gt;"3-Way",
        P4158&lt;&gt;"Inner Centre Jamb"
      )
    ),
    IF(OR(Enginuity!$A$1="Frameless Glass",Enginuity!$A$1="Metal Work"),
      AND(TRIM(B4158)=TRIM(Enginuity!$A$17),TRIM(C4158)=TRIM(Enginuity!$A$18)),
      TRIM(B4158)=TRIM(Enginuity!$A$17)
    )
  ),
  ROW(),
  ""
)</f>
        <v/>
      </c>
    </row>
    <row r="4159" spans="21:21" x14ac:dyDescent="0.25">
      <c r="U4159" s="104" t="str">
        <f>IF(
  AND(
    TRIM(A4159)=TRIM(Enginuity!$A$1),
    TRIM(B4159)=TRIM(Enginuity!$A$17),
    Q4159&lt;&gt;"",
    Q4159&lt;&gt;0,
    OR(
      TRIM(C4159)=TRIM(Enginuity!$A$18),
      AND(UPPER(TRIM(M4159))="STD", TRIM(B4159)=TRIM(Enginuity!$A$17))
    ),
    OR(
      AND(LEFT(P4159,5)="1-Way", Enginuity!$B$13=1),
      AND(LEFT(P4159,5)="2-Way", OR(Enginuity!$B$13=2, Enginuity!$B$13=4)),
      AND(LEFT(P4159,5)="3-Way", OR(Enginuity!$B$13=3, Enginuity!$B$13=6)),
      AND(P4159="Inner Centre Jamb", OR(Enginuity!$B$13=4, Enginuity!$B$13=6)),
      AND(
        LEFT(P4159,5)&lt;&gt;"1-Way",
        LEFT(P4159,5)&lt;&gt;"2-Way",
        LEFT(P4159,5)&lt;&gt;"3-Way",
        P4159&lt;&gt;"Inner Centre Jamb"
      )
    ),
    IF(OR(Enginuity!$A$1="Frameless Glass",Enginuity!$A$1="Metal Work"),
      AND(TRIM(B4159)=TRIM(Enginuity!$A$17),TRIM(C4159)=TRIM(Enginuity!$A$18)),
      TRIM(B4159)=TRIM(Enginuity!$A$17)
    )
  ),
  ROW(),
  ""
)</f>
        <v/>
      </c>
    </row>
    <row r="4160" spans="21:21" x14ac:dyDescent="0.25">
      <c r="U4160" s="104" t="str">
        <f>IF(
  AND(
    TRIM(A4160)=TRIM(Enginuity!$A$1),
    TRIM(B4160)=TRIM(Enginuity!$A$17),
    Q4160&lt;&gt;"",
    Q4160&lt;&gt;0,
    OR(
      TRIM(C4160)=TRIM(Enginuity!$A$18),
      AND(UPPER(TRIM(M4160))="STD", TRIM(B4160)=TRIM(Enginuity!$A$17))
    ),
    OR(
      AND(LEFT(P4160,5)="1-Way", Enginuity!$B$13=1),
      AND(LEFT(P4160,5)="2-Way", OR(Enginuity!$B$13=2, Enginuity!$B$13=4)),
      AND(LEFT(P4160,5)="3-Way", OR(Enginuity!$B$13=3, Enginuity!$B$13=6)),
      AND(P4160="Inner Centre Jamb", OR(Enginuity!$B$13=4, Enginuity!$B$13=6)),
      AND(
        LEFT(P4160,5)&lt;&gt;"1-Way",
        LEFT(P4160,5)&lt;&gt;"2-Way",
        LEFT(P4160,5)&lt;&gt;"3-Way",
        P4160&lt;&gt;"Inner Centre Jamb"
      )
    ),
    IF(OR(Enginuity!$A$1="Frameless Glass",Enginuity!$A$1="Metal Work"),
      AND(TRIM(B4160)=TRIM(Enginuity!$A$17),TRIM(C4160)=TRIM(Enginuity!$A$18)),
      TRIM(B4160)=TRIM(Enginuity!$A$17)
    )
  ),
  ROW(),
  ""
)</f>
        <v/>
      </c>
    </row>
    <row r="4161" spans="21:21" x14ac:dyDescent="0.25">
      <c r="U4161" s="104" t="str">
        <f>IF(
  AND(
    TRIM(A4161)=TRIM(Enginuity!$A$1),
    TRIM(B4161)=TRIM(Enginuity!$A$17),
    Q4161&lt;&gt;"",
    Q4161&lt;&gt;0,
    OR(
      TRIM(C4161)=TRIM(Enginuity!$A$18),
      AND(UPPER(TRIM(M4161))="STD", TRIM(B4161)=TRIM(Enginuity!$A$17))
    ),
    OR(
      AND(LEFT(P4161,5)="1-Way", Enginuity!$B$13=1),
      AND(LEFT(P4161,5)="2-Way", OR(Enginuity!$B$13=2, Enginuity!$B$13=4)),
      AND(LEFT(P4161,5)="3-Way", OR(Enginuity!$B$13=3, Enginuity!$B$13=6)),
      AND(P4161="Inner Centre Jamb", OR(Enginuity!$B$13=4, Enginuity!$B$13=6)),
      AND(
        LEFT(P4161,5)&lt;&gt;"1-Way",
        LEFT(P4161,5)&lt;&gt;"2-Way",
        LEFT(P4161,5)&lt;&gt;"3-Way",
        P4161&lt;&gt;"Inner Centre Jamb"
      )
    ),
    IF(OR(Enginuity!$A$1="Frameless Glass",Enginuity!$A$1="Metal Work"),
      AND(TRIM(B4161)=TRIM(Enginuity!$A$17),TRIM(C4161)=TRIM(Enginuity!$A$18)),
      TRIM(B4161)=TRIM(Enginuity!$A$17)
    )
  ),
  ROW(),
  ""
)</f>
        <v/>
      </c>
    </row>
    <row r="4162" spans="21:21" x14ac:dyDescent="0.25">
      <c r="U4162" s="104" t="str">
        <f>IF(
  AND(
    TRIM(A4162)=TRIM(Enginuity!$A$1),
    TRIM(B4162)=TRIM(Enginuity!$A$17),
    Q4162&lt;&gt;"",
    Q4162&lt;&gt;0,
    OR(
      TRIM(C4162)=TRIM(Enginuity!$A$18),
      AND(UPPER(TRIM(M4162))="STD", TRIM(B4162)=TRIM(Enginuity!$A$17))
    ),
    OR(
      AND(LEFT(P4162,5)="1-Way", Enginuity!$B$13=1),
      AND(LEFT(P4162,5)="2-Way", OR(Enginuity!$B$13=2, Enginuity!$B$13=4)),
      AND(LEFT(P4162,5)="3-Way", OR(Enginuity!$B$13=3, Enginuity!$B$13=6)),
      AND(P4162="Inner Centre Jamb", OR(Enginuity!$B$13=4, Enginuity!$B$13=6)),
      AND(
        LEFT(P4162,5)&lt;&gt;"1-Way",
        LEFT(P4162,5)&lt;&gt;"2-Way",
        LEFT(P4162,5)&lt;&gt;"3-Way",
        P4162&lt;&gt;"Inner Centre Jamb"
      )
    ),
    IF(OR(Enginuity!$A$1="Frameless Glass",Enginuity!$A$1="Metal Work"),
      AND(TRIM(B4162)=TRIM(Enginuity!$A$17),TRIM(C4162)=TRIM(Enginuity!$A$18)),
      TRIM(B4162)=TRIM(Enginuity!$A$17)
    )
  ),
  ROW(),
  ""
)</f>
        <v/>
      </c>
    </row>
    <row r="4163" spans="21:21" x14ac:dyDescent="0.25">
      <c r="U4163" s="104" t="str">
        <f>IF(
  AND(
    TRIM(A4163)=TRIM(Enginuity!$A$1),
    TRIM(B4163)=TRIM(Enginuity!$A$17),
    Q4163&lt;&gt;"",
    Q4163&lt;&gt;0,
    OR(
      TRIM(C4163)=TRIM(Enginuity!$A$18),
      AND(UPPER(TRIM(M4163))="STD", TRIM(B4163)=TRIM(Enginuity!$A$17))
    ),
    OR(
      AND(LEFT(P4163,5)="1-Way", Enginuity!$B$13=1),
      AND(LEFT(P4163,5)="2-Way", OR(Enginuity!$B$13=2, Enginuity!$B$13=4)),
      AND(LEFT(P4163,5)="3-Way", OR(Enginuity!$B$13=3, Enginuity!$B$13=6)),
      AND(P4163="Inner Centre Jamb", OR(Enginuity!$B$13=4, Enginuity!$B$13=6)),
      AND(
        LEFT(P4163,5)&lt;&gt;"1-Way",
        LEFT(P4163,5)&lt;&gt;"2-Way",
        LEFT(P4163,5)&lt;&gt;"3-Way",
        P4163&lt;&gt;"Inner Centre Jamb"
      )
    ),
    IF(OR(Enginuity!$A$1="Frameless Glass",Enginuity!$A$1="Metal Work"),
      AND(TRIM(B4163)=TRIM(Enginuity!$A$17),TRIM(C4163)=TRIM(Enginuity!$A$18)),
      TRIM(B4163)=TRIM(Enginuity!$A$17)
    )
  ),
  ROW(),
  ""
)</f>
        <v/>
      </c>
    </row>
    <row r="4164" spans="21:21" x14ac:dyDescent="0.25">
      <c r="U4164" s="104" t="str">
        <f>IF(
  AND(
    TRIM(A4164)=TRIM(Enginuity!$A$1),
    TRIM(B4164)=TRIM(Enginuity!$A$17),
    Q4164&lt;&gt;"",
    Q4164&lt;&gt;0,
    OR(
      TRIM(C4164)=TRIM(Enginuity!$A$18),
      AND(UPPER(TRIM(M4164))="STD", TRIM(B4164)=TRIM(Enginuity!$A$17))
    ),
    OR(
      AND(LEFT(P4164,5)="1-Way", Enginuity!$B$13=1),
      AND(LEFT(P4164,5)="2-Way", OR(Enginuity!$B$13=2, Enginuity!$B$13=4)),
      AND(LEFT(P4164,5)="3-Way", OR(Enginuity!$B$13=3, Enginuity!$B$13=6)),
      AND(P4164="Inner Centre Jamb", OR(Enginuity!$B$13=4, Enginuity!$B$13=6)),
      AND(
        LEFT(P4164,5)&lt;&gt;"1-Way",
        LEFT(P4164,5)&lt;&gt;"2-Way",
        LEFT(P4164,5)&lt;&gt;"3-Way",
        P4164&lt;&gt;"Inner Centre Jamb"
      )
    ),
    IF(OR(Enginuity!$A$1="Frameless Glass",Enginuity!$A$1="Metal Work"),
      AND(TRIM(B4164)=TRIM(Enginuity!$A$17),TRIM(C4164)=TRIM(Enginuity!$A$18)),
      TRIM(B4164)=TRIM(Enginuity!$A$17)
    )
  ),
  ROW(),
  ""
)</f>
        <v/>
      </c>
    </row>
    <row r="4165" spans="21:21" x14ac:dyDescent="0.25">
      <c r="U4165" s="104" t="str">
        <f>IF(
  AND(
    TRIM(A4165)=TRIM(Enginuity!$A$1),
    TRIM(B4165)=TRIM(Enginuity!$A$17),
    Q4165&lt;&gt;"",
    Q4165&lt;&gt;0,
    OR(
      TRIM(C4165)=TRIM(Enginuity!$A$18),
      AND(UPPER(TRIM(M4165))="STD", TRIM(B4165)=TRIM(Enginuity!$A$17))
    ),
    OR(
      AND(LEFT(P4165,5)="1-Way", Enginuity!$B$13=1),
      AND(LEFT(P4165,5)="2-Way", OR(Enginuity!$B$13=2, Enginuity!$B$13=4)),
      AND(LEFT(P4165,5)="3-Way", OR(Enginuity!$B$13=3, Enginuity!$B$13=6)),
      AND(P4165="Inner Centre Jamb", OR(Enginuity!$B$13=4, Enginuity!$B$13=6)),
      AND(
        LEFT(P4165,5)&lt;&gt;"1-Way",
        LEFT(P4165,5)&lt;&gt;"2-Way",
        LEFT(P4165,5)&lt;&gt;"3-Way",
        P4165&lt;&gt;"Inner Centre Jamb"
      )
    ),
    IF(OR(Enginuity!$A$1="Frameless Glass",Enginuity!$A$1="Metal Work"),
      AND(TRIM(B4165)=TRIM(Enginuity!$A$17),TRIM(C4165)=TRIM(Enginuity!$A$18)),
      TRIM(B4165)=TRIM(Enginuity!$A$17)
    )
  ),
  ROW(),
  ""
)</f>
        <v/>
      </c>
    </row>
    <row r="4166" spans="21:21" x14ac:dyDescent="0.25">
      <c r="U4166" s="104" t="str">
        <f>IF(
  AND(
    TRIM(A4166)=TRIM(Enginuity!$A$1),
    TRIM(B4166)=TRIM(Enginuity!$A$17),
    Q4166&lt;&gt;"",
    Q4166&lt;&gt;0,
    OR(
      TRIM(C4166)=TRIM(Enginuity!$A$18),
      AND(UPPER(TRIM(M4166))="STD", TRIM(B4166)=TRIM(Enginuity!$A$17))
    ),
    OR(
      AND(LEFT(P4166,5)="1-Way", Enginuity!$B$13=1),
      AND(LEFT(P4166,5)="2-Way", OR(Enginuity!$B$13=2, Enginuity!$B$13=4)),
      AND(LEFT(P4166,5)="3-Way", OR(Enginuity!$B$13=3, Enginuity!$B$13=6)),
      AND(P4166="Inner Centre Jamb", OR(Enginuity!$B$13=4, Enginuity!$B$13=6)),
      AND(
        LEFT(P4166,5)&lt;&gt;"1-Way",
        LEFT(P4166,5)&lt;&gt;"2-Way",
        LEFT(P4166,5)&lt;&gt;"3-Way",
        P4166&lt;&gt;"Inner Centre Jamb"
      )
    ),
    IF(OR(Enginuity!$A$1="Frameless Glass",Enginuity!$A$1="Metal Work"),
      AND(TRIM(B4166)=TRIM(Enginuity!$A$17),TRIM(C4166)=TRIM(Enginuity!$A$18)),
      TRIM(B4166)=TRIM(Enginuity!$A$17)
    )
  ),
  ROW(),
  ""
)</f>
        <v/>
      </c>
    </row>
    <row r="4167" spans="21:21" x14ac:dyDescent="0.25">
      <c r="U4167" s="104" t="str">
        <f>IF(
  AND(
    TRIM(A4167)=TRIM(Enginuity!$A$1),
    TRIM(B4167)=TRIM(Enginuity!$A$17),
    Q4167&lt;&gt;"",
    Q4167&lt;&gt;0,
    OR(
      TRIM(C4167)=TRIM(Enginuity!$A$18),
      AND(UPPER(TRIM(M4167))="STD", TRIM(B4167)=TRIM(Enginuity!$A$17))
    ),
    OR(
      AND(LEFT(P4167,5)="1-Way", Enginuity!$B$13=1),
      AND(LEFT(P4167,5)="2-Way", OR(Enginuity!$B$13=2, Enginuity!$B$13=4)),
      AND(LEFT(P4167,5)="3-Way", OR(Enginuity!$B$13=3, Enginuity!$B$13=6)),
      AND(P4167="Inner Centre Jamb", OR(Enginuity!$B$13=4, Enginuity!$B$13=6)),
      AND(
        LEFT(P4167,5)&lt;&gt;"1-Way",
        LEFT(P4167,5)&lt;&gt;"2-Way",
        LEFT(P4167,5)&lt;&gt;"3-Way",
        P4167&lt;&gt;"Inner Centre Jamb"
      )
    ),
    IF(OR(Enginuity!$A$1="Frameless Glass",Enginuity!$A$1="Metal Work"),
      AND(TRIM(B4167)=TRIM(Enginuity!$A$17),TRIM(C4167)=TRIM(Enginuity!$A$18)),
      TRIM(B4167)=TRIM(Enginuity!$A$17)
    )
  ),
  ROW(),
  ""
)</f>
        <v/>
      </c>
    </row>
    <row r="4168" spans="21:21" x14ac:dyDescent="0.25">
      <c r="U4168" s="104" t="str">
        <f>IF(
  AND(
    TRIM(A4168)=TRIM(Enginuity!$A$1),
    TRIM(B4168)=TRIM(Enginuity!$A$17),
    Q4168&lt;&gt;"",
    Q4168&lt;&gt;0,
    OR(
      TRIM(C4168)=TRIM(Enginuity!$A$18),
      AND(UPPER(TRIM(M4168))="STD", TRIM(B4168)=TRIM(Enginuity!$A$17))
    ),
    OR(
      AND(LEFT(P4168,5)="1-Way", Enginuity!$B$13=1),
      AND(LEFT(P4168,5)="2-Way", OR(Enginuity!$B$13=2, Enginuity!$B$13=4)),
      AND(LEFT(P4168,5)="3-Way", OR(Enginuity!$B$13=3, Enginuity!$B$13=6)),
      AND(P4168="Inner Centre Jamb", OR(Enginuity!$B$13=4, Enginuity!$B$13=6)),
      AND(
        LEFT(P4168,5)&lt;&gt;"1-Way",
        LEFT(P4168,5)&lt;&gt;"2-Way",
        LEFT(P4168,5)&lt;&gt;"3-Way",
        P4168&lt;&gt;"Inner Centre Jamb"
      )
    ),
    IF(OR(Enginuity!$A$1="Frameless Glass",Enginuity!$A$1="Metal Work"),
      AND(TRIM(B4168)=TRIM(Enginuity!$A$17),TRIM(C4168)=TRIM(Enginuity!$A$18)),
      TRIM(B4168)=TRIM(Enginuity!$A$17)
    )
  ),
  ROW(),
  ""
)</f>
        <v/>
      </c>
    </row>
    <row r="4169" spans="21:21" x14ac:dyDescent="0.25">
      <c r="U4169" s="104" t="str">
        <f>IF(
  AND(
    TRIM(A4169)=TRIM(Enginuity!$A$1),
    TRIM(B4169)=TRIM(Enginuity!$A$17),
    Q4169&lt;&gt;"",
    Q4169&lt;&gt;0,
    OR(
      TRIM(C4169)=TRIM(Enginuity!$A$18),
      AND(UPPER(TRIM(M4169))="STD", TRIM(B4169)=TRIM(Enginuity!$A$17))
    ),
    OR(
      AND(LEFT(P4169,5)="1-Way", Enginuity!$B$13=1),
      AND(LEFT(P4169,5)="2-Way", OR(Enginuity!$B$13=2, Enginuity!$B$13=4)),
      AND(LEFT(P4169,5)="3-Way", OR(Enginuity!$B$13=3, Enginuity!$B$13=6)),
      AND(P4169="Inner Centre Jamb", OR(Enginuity!$B$13=4, Enginuity!$B$13=6)),
      AND(
        LEFT(P4169,5)&lt;&gt;"1-Way",
        LEFT(P4169,5)&lt;&gt;"2-Way",
        LEFT(P4169,5)&lt;&gt;"3-Way",
        P4169&lt;&gt;"Inner Centre Jamb"
      )
    ),
    IF(OR(Enginuity!$A$1="Frameless Glass",Enginuity!$A$1="Metal Work"),
      AND(TRIM(B4169)=TRIM(Enginuity!$A$17),TRIM(C4169)=TRIM(Enginuity!$A$18)),
      TRIM(B4169)=TRIM(Enginuity!$A$17)
    )
  ),
  ROW(),
  ""
)</f>
        <v/>
      </c>
    </row>
    <row r="4170" spans="21:21" x14ac:dyDescent="0.25">
      <c r="U4170" s="104" t="str">
        <f>IF(
  AND(
    TRIM(A4170)=TRIM(Enginuity!$A$1),
    TRIM(B4170)=TRIM(Enginuity!$A$17),
    Q4170&lt;&gt;"",
    Q4170&lt;&gt;0,
    OR(
      TRIM(C4170)=TRIM(Enginuity!$A$18),
      AND(UPPER(TRIM(M4170))="STD", TRIM(B4170)=TRIM(Enginuity!$A$17))
    ),
    OR(
      AND(LEFT(P4170,5)="1-Way", Enginuity!$B$13=1),
      AND(LEFT(P4170,5)="2-Way", OR(Enginuity!$B$13=2, Enginuity!$B$13=4)),
      AND(LEFT(P4170,5)="3-Way", OR(Enginuity!$B$13=3, Enginuity!$B$13=6)),
      AND(P4170="Inner Centre Jamb", OR(Enginuity!$B$13=4, Enginuity!$B$13=6)),
      AND(
        LEFT(P4170,5)&lt;&gt;"1-Way",
        LEFT(P4170,5)&lt;&gt;"2-Way",
        LEFT(P4170,5)&lt;&gt;"3-Way",
        P4170&lt;&gt;"Inner Centre Jamb"
      )
    ),
    IF(OR(Enginuity!$A$1="Frameless Glass",Enginuity!$A$1="Metal Work"),
      AND(TRIM(B4170)=TRIM(Enginuity!$A$17),TRIM(C4170)=TRIM(Enginuity!$A$18)),
      TRIM(B4170)=TRIM(Enginuity!$A$17)
    )
  ),
  ROW(),
  ""
)</f>
        <v/>
      </c>
    </row>
    <row r="4171" spans="21:21" x14ac:dyDescent="0.25">
      <c r="U4171" s="104" t="str">
        <f>IF(
  AND(
    TRIM(A4171)=TRIM(Enginuity!$A$1),
    TRIM(B4171)=TRIM(Enginuity!$A$17),
    Q4171&lt;&gt;"",
    Q4171&lt;&gt;0,
    OR(
      TRIM(C4171)=TRIM(Enginuity!$A$18),
      AND(UPPER(TRIM(M4171))="STD", TRIM(B4171)=TRIM(Enginuity!$A$17))
    ),
    OR(
      AND(LEFT(P4171,5)="1-Way", Enginuity!$B$13=1),
      AND(LEFT(P4171,5)="2-Way", OR(Enginuity!$B$13=2, Enginuity!$B$13=4)),
      AND(LEFT(P4171,5)="3-Way", OR(Enginuity!$B$13=3, Enginuity!$B$13=6)),
      AND(P4171="Inner Centre Jamb", OR(Enginuity!$B$13=4, Enginuity!$B$13=6)),
      AND(
        LEFT(P4171,5)&lt;&gt;"1-Way",
        LEFT(P4171,5)&lt;&gt;"2-Way",
        LEFT(P4171,5)&lt;&gt;"3-Way",
        P4171&lt;&gt;"Inner Centre Jamb"
      )
    ),
    IF(OR(Enginuity!$A$1="Frameless Glass",Enginuity!$A$1="Metal Work"),
      AND(TRIM(B4171)=TRIM(Enginuity!$A$17),TRIM(C4171)=TRIM(Enginuity!$A$18)),
      TRIM(B4171)=TRIM(Enginuity!$A$17)
    )
  ),
  ROW(),
  ""
)</f>
        <v/>
      </c>
    </row>
    <row r="4172" spans="21:21" x14ac:dyDescent="0.25">
      <c r="U4172" s="104" t="str">
        <f>IF(
  AND(
    TRIM(A4172)=TRIM(Enginuity!$A$1),
    TRIM(B4172)=TRIM(Enginuity!$A$17),
    Q4172&lt;&gt;"",
    Q4172&lt;&gt;0,
    OR(
      TRIM(C4172)=TRIM(Enginuity!$A$18),
      AND(UPPER(TRIM(M4172))="STD", TRIM(B4172)=TRIM(Enginuity!$A$17))
    ),
    OR(
      AND(LEFT(P4172,5)="1-Way", Enginuity!$B$13=1),
      AND(LEFT(P4172,5)="2-Way", OR(Enginuity!$B$13=2, Enginuity!$B$13=4)),
      AND(LEFT(P4172,5)="3-Way", OR(Enginuity!$B$13=3, Enginuity!$B$13=6)),
      AND(P4172="Inner Centre Jamb", OR(Enginuity!$B$13=4, Enginuity!$B$13=6)),
      AND(
        LEFT(P4172,5)&lt;&gt;"1-Way",
        LEFT(P4172,5)&lt;&gt;"2-Way",
        LEFT(P4172,5)&lt;&gt;"3-Way",
        P4172&lt;&gt;"Inner Centre Jamb"
      )
    ),
    IF(OR(Enginuity!$A$1="Frameless Glass",Enginuity!$A$1="Metal Work"),
      AND(TRIM(B4172)=TRIM(Enginuity!$A$17),TRIM(C4172)=TRIM(Enginuity!$A$18)),
      TRIM(B4172)=TRIM(Enginuity!$A$17)
    )
  ),
  ROW(),
  ""
)</f>
        <v/>
      </c>
    </row>
    <row r="4173" spans="21:21" x14ac:dyDescent="0.25">
      <c r="U4173" s="104" t="str">
        <f>IF(
  AND(
    TRIM(A4173)=TRIM(Enginuity!$A$1),
    TRIM(B4173)=TRIM(Enginuity!$A$17),
    Q4173&lt;&gt;"",
    Q4173&lt;&gt;0,
    OR(
      TRIM(C4173)=TRIM(Enginuity!$A$18),
      AND(UPPER(TRIM(M4173))="STD", TRIM(B4173)=TRIM(Enginuity!$A$17))
    ),
    OR(
      AND(LEFT(P4173,5)="1-Way", Enginuity!$B$13=1),
      AND(LEFT(P4173,5)="2-Way", OR(Enginuity!$B$13=2, Enginuity!$B$13=4)),
      AND(LEFT(P4173,5)="3-Way", OR(Enginuity!$B$13=3, Enginuity!$B$13=6)),
      AND(P4173="Inner Centre Jamb", OR(Enginuity!$B$13=4, Enginuity!$B$13=6)),
      AND(
        LEFT(P4173,5)&lt;&gt;"1-Way",
        LEFT(P4173,5)&lt;&gt;"2-Way",
        LEFT(P4173,5)&lt;&gt;"3-Way",
        P4173&lt;&gt;"Inner Centre Jamb"
      )
    ),
    IF(OR(Enginuity!$A$1="Frameless Glass",Enginuity!$A$1="Metal Work"),
      AND(TRIM(B4173)=TRIM(Enginuity!$A$17),TRIM(C4173)=TRIM(Enginuity!$A$18)),
      TRIM(B4173)=TRIM(Enginuity!$A$17)
    )
  ),
  ROW(),
  ""
)</f>
        <v/>
      </c>
    </row>
    <row r="4174" spans="21:21" x14ac:dyDescent="0.25">
      <c r="U4174" s="104" t="str">
        <f>IF(
  AND(
    TRIM(A4174)=TRIM(Enginuity!$A$1),
    TRIM(B4174)=TRIM(Enginuity!$A$17),
    Q4174&lt;&gt;"",
    Q4174&lt;&gt;0,
    OR(
      TRIM(C4174)=TRIM(Enginuity!$A$18),
      AND(UPPER(TRIM(M4174))="STD", TRIM(B4174)=TRIM(Enginuity!$A$17))
    ),
    OR(
      AND(LEFT(P4174,5)="1-Way", Enginuity!$B$13=1),
      AND(LEFT(P4174,5)="2-Way", OR(Enginuity!$B$13=2, Enginuity!$B$13=4)),
      AND(LEFT(P4174,5)="3-Way", OR(Enginuity!$B$13=3, Enginuity!$B$13=6)),
      AND(P4174="Inner Centre Jamb", OR(Enginuity!$B$13=4, Enginuity!$B$13=6)),
      AND(
        LEFT(P4174,5)&lt;&gt;"1-Way",
        LEFT(P4174,5)&lt;&gt;"2-Way",
        LEFT(P4174,5)&lt;&gt;"3-Way",
        P4174&lt;&gt;"Inner Centre Jamb"
      )
    ),
    IF(OR(Enginuity!$A$1="Frameless Glass",Enginuity!$A$1="Metal Work"),
      AND(TRIM(B4174)=TRIM(Enginuity!$A$17),TRIM(C4174)=TRIM(Enginuity!$A$18)),
      TRIM(B4174)=TRIM(Enginuity!$A$17)
    )
  ),
  ROW(),
  ""
)</f>
        <v/>
      </c>
    </row>
    <row r="4175" spans="21:21" x14ac:dyDescent="0.25">
      <c r="U4175" s="104" t="str">
        <f>IF(
  AND(
    TRIM(A4175)=TRIM(Enginuity!$A$1),
    TRIM(B4175)=TRIM(Enginuity!$A$17),
    Q4175&lt;&gt;"",
    Q4175&lt;&gt;0,
    OR(
      TRIM(C4175)=TRIM(Enginuity!$A$18),
      AND(UPPER(TRIM(M4175))="STD", TRIM(B4175)=TRIM(Enginuity!$A$17))
    ),
    OR(
      AND(LEFT(P4175,5)="1-Way", Enginuity!$B$13=1),
      AND(LEFT(P4175,5)="2-Way", OR(Enginuity!$B$13=2, Enginuity!$B$13=4)),
      AND(LEFT(P4175,5)="3-Way", OR(Enginuity!$B$13=3, Enginuity!$B$13=6)),
      AND(P4175="Inner Centre Jamb", OR(Enginuity!$B$13=4, Enginuity!$B$13=6)),
      AND(
        LEFT(P4175,5)&lt;&gt;"1-Way",
        LEFT(P4175,5)&lt;&gt;"2-Way",
        LEFT(P4175,5)&lt;&gt;"3-Way",
        P4175&lt;&gt;"Inner Centre Jamb"
      )
    ),
    IF(OR(Enginuity!$A$1="Frameless Glass",Enginuity!$A$1="Metal Work"),
      AND(TRIM(B4175)=TRIM(Enginuity!$A$17),TRIM(C4175)=TRIM(Enginuity!$A$18)),
      TRIM(B4175)=TRIM(Enginuity!$A$17)
    )
  ),
  ROW(),
  ""
)</f>
        <v/>
      </c>
    </row>
    <row r="4176" spans="21:21" x14ac:dyDescent="0.25">
      <c r="U4176" s="104" t="str">
        <f>IF(
  AND(
    TRIM(A4176)=TRIM(Enginuity!$A$1),
    TRIM(B4176)=TRIM(Enginuity!$A$17),
    Q4176&lt;&gt;"",
    Q4176&lt;&gt;0,
    OR(
      TRIM(C4176)=TRIM(Enginuity!$A$18),
      AND(UPPER(TRIM(M4176))="STD", TRIM(B4176)=TRIM(Enginuity!$A$17))
    ),
    OR(
      AND(LEFT(P4176,5)="1-Way", Enginuity!$B$13=1),
      AND(LEFT(P4176,5)="2-Way", OR(Enginuity!$B$13=2, Enginuity!$B$13=4)),
      AND(LEFT(P4176,5)="3-Way", OR(Enginuity!$B$13=3, Enginuity!$B$13=6)),
      AND(P4176="Inner Centre Jamb", OR(Enginuity!$B$13=4, Enginuity!$B$13=6)),
      AND(
        LEFT(P4176,5)&lt;&gt;"1-Way",
        LEFT(P4176,5)&lt;&gt;"2-Way",
        LEFT(P4176,5)&lt;&gt;"3-Way",
        P4176&lt;&gt;"Inner Centre Jamb"
      )
    ),
    IF(OR(Enginuity!$A$1="Frameless Glass",Enginuity!$A$1="Metal Work"),
      AND(TRIM(B4176)=TRIM(Enginuity!$A$17),TRIM(C4176)=TRIM(Enginuity!$A$18)),
      TRIM(B4176)=TRIM(Enginuity!$A$17)
    )
  ),
  ROW(),
  ""
)</f>
        <v/>
      </c>
    </row>
    <row r="4177" spans="21:21" x14ac:dyDescent="0.25">
      <c r="U4177" s="104" t="str">
        <f>IF(
  AND(
    TRIM(A4177)=TRIM(Enginuity!$A$1),
    TRIM(B4177)=TRIM(Enginuity!$A$17),
    Q4177&lt;&gt;"",
    Q4177&lt;&gt;0,
    OR(
      TRIM(C4177)=TRIM(Enginuity!$A$18),
      AND(UPPER(TRIM(M4177))="STD", TRIM(B4177)=TRIM(Enginuity!$A$17))
    ),
    OR(
      AND(LEFT(P4177,5)="1-Way", Enginuity!$B$13=1),
      AND(LEFT(P4177,5)="2-Way", OR(Enginuity!$B$13=2, Enginuity!$B$13=4)),
      AND(LEFT(P4177,5)="3-Way", OR(Enginuity!$B$13=3, Enginuity!$B$13=6)),
      AND(P4177="Inner Centre Jamb", OR(Enginuity!$B$13=4, Enginuity!$B$13=6)),
      AND(
        LEFT(P4177,5)&lt;&gt;"1-Way",
        LEFT(P4177,5)&lt;&gt;"2-Way",
        LEFT(P4177,5)&lt;&gt;"3-Way",
        P4177&lt;&gt;"Inner Centre Jamb"
      )
    ),
    IF(OR(Enginuity!$A$1="Frameless Glass",Enginuity!$A$1="Metal Work"),
      AND(TRIM(B4177)=TRIM(Enginuity!$A$17),TRIM(C4177)=TRIM(Enginuity!$A$18)),
      TRIM(B4177)=TRIM(Enginuity!$A$17)
    )
  ),
  ROW(),
  ""
)</f>
        <v/>
      </c>
    </row>
    <row r="4178" spans="21:21" x14ac:dyDescent="0.25">
      <c r="U4178" s="104" t="str">
        <f>IF(
  AND(
    TRIM(A4178)=TRIM(Enginuity!$A$1),
    TRIM(B4178)=TRIM(Enginuity!$A$17),
    Q4178&lt;&gt;"",
    Q4178&lt;&gt;0,
    OR(
      TRIM(C4178)=TRIM(Enginuity!$A$18),
      AND(UPPER(TRIM(M4178))="STD", TRIM(B4178)=TRIM(Enginuity!$A$17))
    ),
    OR(
      AND(LEFT(P4178,5)="1-Way", Enginuity!$B$13=1),
      AND(LEFT(P4178,5)="2-Way", OR(Enginuity!$B$13=2, Enginuity!$B$13=4)),
      AND(LEFT(P4178,5)="3-Way", OR(Enginuity!$B$13=3, Enginuity!$B$13=6)),
      AND(P4178="Inner Centre Jamb", OR(Enginuity!$B$13=4, Enginuity!$B$13=6)),
      AND(
        LEFT(P4178,5)&lt;&gt;"1-Way",
        LEFT(P4178,5)&lt;&gt;"2-Way",
        LEFT(P4178,5)&lt;&gt;"3-Way",
        P4178&lt;&gt;"Inner Centre Jamb"
      )
    ),
    IF(OR(Enginuity!$A$1="Frameless Glass",Enginuity!$A$1="Metal Work"),
      AND(TRIM(B4178)=TRIM(Enginuity!$A$17),TRIM(C4178)=TRIM(Enginuity!$A$18)),
      TRIM(B4178)=TRIM(Enginuity!$A$17)
    )
  ),
  ROW(),
  ""
)</f>
        <v/>
      </c>
    </row>
    <row r="4179" spans="21:21" x14ac:dyDescent="0.25">
      <c r="U4179" s="104" t="str">
        <f>IF(
  AND(
    TRIM(A4179)=TRIM(Enginuity!$A$1),
    TRIM(B4179)=TRIM(Enginuity!$A$17),
    Q4179&lt;&gt;"",
    Q4179&lt;&gt;0,
    OR(
      TRIM(C4179)=TRIM(Enginuity!$A$18),
      AND(UPPER(TRIM(M4179))="STD", TRIM(B4179)=TRIM(Enginuity!$A$17))
    ),
    OR(
      AND(LEFT(P4179,5)="1-Way", Enginuity!$B$13=1),
      AND(LEFT(P4179,5)="2-Way", OR(Enginuity!$B$13=2, Enginuity!$B$13=4)),
      AND(LEFT(P4179,5)="3-Way", OR(Enginuity!$B$13=3, Enginuity!$B$13=6)),
      AND(P4179="Inner Centre Jamb", OR(Enginuity!$B$13=4, Enginuity!$B$13=6)),
      AND(
        LEFT(P4179,5)&lt;&gt;"1-Way",
        LEFT(P4179,5)&lt;&gt;"2-Way",
        LEFT(P4179,5)&lt;&gt;"3-Way",
        P4179&lt;&gt;"Inner Centre Jamb"
      )
    ),
    IF(OR(Enginuity!$A$1="Frameless Glass",Enginuity!$A$1="Metal Work"),
      AND(TRIM(B4179)=TRIM(Enginuity!$A$17),TRIM(C4179)=TRIM(Enginuity!$A$18)),
      TRIM(B4179)=TRIM(Enginuity!$A$17)
    )
  ),
  ROW(),
  ""
)</f>
        <v/>
      </c>
    </row>
    <row r="4180" spans="21:21" x14ac:dyDescent="0.25">
      <c r="U4180" s="104" t="str">
        <f>IF(
  AND(
    TRIM(A4180)=TRIM(Enginuity!$A$1),
    TRIM(B4180)=TRIM(Enginuity!$A$17),
    Q4180&lt;&gt;"",
    Q4180&lt;&gt;0,
    OR(
      TRIM(C4180)=TRIM(Enginuity!$A$18),
      AND(UPPER(TRIM(M4180))="STD", TRIM(B4180)=TRIM(Enginuity!$A$17))
    ),
    OR(
      AND(LEFT(P4180,5)="1-Way", Enginuity!$B$13=1),
      AND(LEFT(P4180,5)="2-Way", OR(Enginuity!$B$13=2, Enginuity!$B$13=4)),
      AND(LEFT(P4180,5)="3-Way", OR(Enginuity!$B$13=3, Enginuity!$B$13=6)),
      AND(P4180="Inner Centre Jamb", OR(Enginuity!$B$13=4, Enginuity!$B$13=6)),
      AND(
        LEFT(P4180,5)&lt;&gt;"1-Way",
        LEFT(P4180,5)&lt;&gt;"2-Way",
        LEFT(P4180,5)&lt;&gt;"3-Way",
        P4180&lt;&gt;"Inner Centre Jamb"
      )
    ),
    IF(OR(Enginuity!$A$1="Frameless Glass",Enginuity!$A$1="Metal Work"),
      AND(TRIM(B4180)=TRIM(Enginuity!$A$17),TRIM(C4180)=TRIM(Enginuity!$A$18)),
      TRIM(B4180)=TRIM(Enginuity!$A$17)
    )
  ),
  ROW(),
  ""
)</f>
        <v/>
      </c>
    </row>
    <row r="4181" spans="21:21" x14ac:dyDescent="0.25">
      <c r="U4181" s="104" t="str">
        <f>IF(
  AND(
    TRIM(A4181)=TRIM(Enginuity!$A$1),
    TRIM(B4181)=TRIM(Enginuity!$A$17),
    Q4181&lt;&gt;"",
    Q4181&lt;&gt;0,
    OR(
      TRIM(C4181)=TRIM(Enginuity!$A$18),
      AND(UPPER(TRIM(M4181))="STD", TRIM(B4181)=TRIM(Enginuity!$A$17))
    ),
    OR(
      AND(LEFT(P4181,5)="1-Way", Enginuity!$B$13=1),
      AND(LEFT(P4181,5)="2-Way", OR(Enginuity!$B$13=2, Enginuity!$B$13=4)),
      AND(LEFT(P4181,5)="3-Way", OR(Enginuity!$B$13=3, Enginuity!$B$13=6)),
      AND(P4181="Inner Centre Jamb", OR(Enginuity!$B$13=4, Enginuity!$B$13=6)),
      AND(
        LEFT(P4181,5)&lt;&gt;"1-Way",
        LEFT(P4181,5)&lt;&gt;"2-Way",
        LEFT(P4181,5)&lt;&gt;"3-Way",
        P4181&lt;&gt;"Inner Centre Jamb"
      )
    ),
    IF(OR(Enginuity!$A$1="Frameless Glass",Enginuity!$A$1="Metal Work"),
      AND(TRIM(B4181)=TRIM(Enginuity!$A$17),TRIM(C4181)=TRIM(Enginuity!$A$18)),
      TRIM(B4181)=TRIM(Enginuity!$A$17)
    )
  ),
  ROW(),
  ""
)</f>
        <v/>
      </c>
    </row>
    <row r="4182" spans="21:21" x14ac:dyDescent="0.25">
      <c r="U4182" s="104" t="str">
        <f>IF(
  AND(
    TRIM(A4182)=TRIM(Enginuity!$A$1),
    TRIM(B4182)=TRIM(Enginuity!$A$17),
    Q4182&lt;&gt;"",
    Q4182&lt;&gt;0,
    OR(
      TRIM(C4182)=TRIM(Enginuity!$A$18),
      AND(UPPER(TRIM(M4182))="STD", TRIM(B4182)=TRIM(Enginuity!$A$17))
    ),
    OR(
      AND(LEFT(P4182,5)="1-Way", Enginuity!$B$13=1),
      AND(LEFT(P4182,5)="2-Way", OR(Enginuity!$B$13=2, Enginuity!$B$13=4)),
      AND(LEFT(P4182,5)="3-Way", OR(Enginuity!$B$13=3, Enginuity!$B$13=6)),
      AND(P4182="Inner Centre Jamb", OR(Enginuity!$B$13=4, Enginuity!$B$13=6)),
      AND(
        LEFT(P4182,5)&lt;&gt;"1-Way",
        LEFT(P4182,5)&lt;&gt;"2-Way",
        LEFT(P4182,5)&lt;&gt;"3-Way",
        P4182&lt;&gt;"Inner Centre Jamb"
      )
    ),
    IF(OR(Enginuity!$A$1="Frameless Glass",Enginuity!$A$1="Metal Work"),
      AND(TRIM(B4182)=TRIM(Enginuity!$A$17),TRIM(C4182)=TRIM(Enginuity!$A$18)),
      TRIM(B4182)=TRIM(Enginuity!$A$17)
    )
  ),
  ROW(),
  ""
)</f>
        <v/>
      </c>
    </row>
    <row r="4183" spans="21:21" x14ac:dyDescent="0.25">
      <c r="U4183" s="104" t="str">
        <f>IF(
  AND(
    TRIM(A4183)=TRIM(Enginuity!$A$1),
    TRIM(B4183)=TRIM(Enginuity!$A$17),
    Q4183&lt;&gt;"",
    Q4183&lt;&gt;0,
    OR(
      TRIM(C4183)=TRIM(Enginuity!$A$18),
      AND(UPPER(TRIM(M4183))="STD", TRIM(B4183)=TRIM(Enginuity!$A$17))
    ),
    OR(
      AND(LEFT(P4183,5)="1-Way", Enginuity!$B$13=1),
      AND(LEFT(P4183,5)="2-Way", OR(Enginuity!$B$13=2, Enginuity!$B$13=4)),
      AND(LEFT(P4183,5)="3-Way", OR(Enginuity!$B$13=3, Enginuity!$B$13=6)),
      AND(P4183="Inner Centre Jamb", OR(Enginuity!$B$13=4, Enginuity!$B$13=6)),
      AND(
        LEFT(P4183,5)&lt;&gt;"1-Way",
        LEFT(P4183,5)&lt;&gt;"2-Way",
        LEFT(P4183,5)&lt;&gt;"3-Way",
        P4183&lt;&gt;"Inner Centre Jamb"
      )
    ),
    IF(OR(Enginuity!$A$1="Frameless Glass",Enginuity!$A$1="Metal Work"),
      AND(TRIM(B4183)=TRIM(Enginuity!$A$17),TRIM(C4183)=TRIM(Enginuity!$A$18)),
      TRIM(B4183)=TRIM(Enginuity!$A$17)
    )
  ),
  ROW(),
  ""
)</f>
        <v/>
      </c>
    </row>
    <row r="4184" spans="21:21" x14ac:dyDescent="0.25">
      <c r="U4184" s="104" t="str">
        <f>IF(
  AND(
    TRIM(A4184)=TRIM(Enginuity!$A$1),
    TRIM(B4184)=TRIM(Enginuity!$A$17),
    Q4184&lt;&gt;"",
    Q4184&lt;&gt;0,
    OR(
      TRIM(C4184)=TRIM(Enginuity!$A$18),
      AND(UPPER(TRIM(M4184))="STD", TRIM(B4184)=TRIM(Enginuity!$A$17))
    ),
    OR(
      AND(LEFT(P4184,5)="1-Way", Enginuity!$B$13=1),
      AND(LEFT(P4184,5)="2-Way", OR(Enginuity!$B$13=2, Enginuity!$B$13=4)),
      AND(LEFT(P4184,5)="3-Way", OR(Enginuity!$B$13=3, Enginuity!$B$13=6)),
      AND(P4184="Inner Centre Jamb", OR(Enginuity!$B$13=4, Enginuity!$B$13=6)),
      AND(
        LEFT(P4184,5)&lt;&gt;"1-Way",
        LEFT(P4184,5)&lt;&gt;"2-Way",
        LEFT(P4184,5)&lt;&gt;"3-Way",
        P4184&lt;&gt;"Inner Centre Jamb"
      )
    ),
    IF(OR(Enginuity!$A$1="Frameless Glass",Enginuity!$A$1="Metal Work"),
      AND(TRIM(B4184)=TRIM(Enginuity!$A$17),TRIM(C4184)=TRIM(Enginuity!$A$18)),
      TRIM(B4184)=TRIM(Enginuity!$A$17)
    )
  ),
  ROW(),
  ""
)</f>
        <v/>
      </c>
    </row>
    <row r="4185" spans="21:21" x14ac:dyDescent="0.25">
      <c r="U4185" s="104" t="str">
        <f>IF(
  AND(
    TRIM(A4185)=TRIM(Enginuity!$A$1),
    TRIM(B4185)=TRIM(Enginuity!$A$17),
    Q4185&lt;&gt;"",
    Q4185&lt;&gt;0,
    OR(
      TRIM(C4185)=TRIM(Enginuity!$A$18),
      AND(UPPER(TRIM(M4185))="STD", TRIM(B4185)=TRIM(Enginuity!$A$17))
    ),
    OR(
      AND(LEFT(P4185,5)="1-Way", Enginuity!$B$13=1),
      AND(LEFT(P4185,5)="2-Way", OR(Enginuity!$B$13=2, Enginuity!$B$13=4)),
      AND(LEFT(P4185,5)="3-Way", OR(Enginuity!$B$13=3, Enginuity!$B$13=6)),
      AND(P4185="Inner Centre Jamb", OR(Enginuity!$B$13=4, Enginuity!$B$13=6)),
      AND(
        LEFT(P4185,5)&lt;&gt;"1-Way",
        LEFT(P4185,5)&lt;&gt;"2-Way",
        LEFT(P4185,5)&lt;&gt;"3-Way",
        P4185&lt;&gt;"Inner Centre Jamb"
      )
    ),
    IF(OR(Enginuity!$A$1="Frameless Glass",Enginuity!$A$1="Metal Work"),
      AND(TRIM(B4185)=TRIM(Enginuity!$A$17),TRIM(C4185)=TRIM(Enginuity!$A$18)),
      TRIM(B4185)=TRIM(Enginuity!$A$17)
    )
  ),
  ROW(),
  ""
)</f>
        <v/>
      </c>
    </row>
    <row r="4186" spans="21:21" x14ac:dyDescent="0.25">
      <c r="U4186" s="104" t="str">
        <f>IF(
  AND(
    TRIM(A4186)=TRIM(Enginuity!$A$1),
    TRIM(B4186)=TRIM(Enginuity!$A$17),
    Q4186&lt;&gt;"",
    Q4186&lt;&gt;0,
    OR(
      TRIM(C4186)=TRIM(Enginuity!$A$18),
      AND(UPPER(TRIM(M4186))="STD", TRIM(B4186)=TRIM(Enginuity!$A$17))
    ),
    OR(
      AND(LEFT(P4186,5)="1-Way", Enginuity!$B$13=1),
      AND(LEFT(P4186,5)="2-Way", OR(Enginuity!$B$13=2, Enginuity!$B$13=4)),
      AND(LEFT(P4186,5)="3-Way", OR(Enginuity!$B$13=3, Enginuity!$B$13=6)),
      AND(P4186="Inner Centre Jamb", OR(Enginuity!$B$13=4, Enginuity!$B$13=6)),
      AND(
        LEFT(P4186,5)&lt;&gt;"1-Way",
        LEFT(P4186,5)&lt;&gt;"2-Way",
        LEFT(P4186,5)&lt;&gt;"3-Way",
        P4186&lt;&gt;"Inner Centre Jamb"
      )
    ),
    IF(OR(Enginuity!$A$1="Frameless Glass",Enginuity!$A$1="Metal Work"),
      AND(TRIM(B4186)=TRIM(Enginuity!$A$17),TRIM(C4186)=TRIM(Enginuity!$A$18)),
      TRIM(B4186)=TRIM(Enginuity!$A$17)
    )
  ),
  ROW(),
  ""
)</f>
        <v/>
      </c>
    </row>
    <row r="4187" spans="21:21" x14ac:dyDescent="0.25">
      <c r="U4187" s="104" t="str">
        <f>IF(
  AND(
    TRIM(A4187)=TRIM(Enginuity!$A$1),
    TRIM(B4187)=TRIM(Enginuity!$A$17),
    Q4187&lt;&gt;"",
    Q4187&lt;&gt;0,
    OR(
      TRIM(C4187)=TRIM(Enginuity!$A$18),
      AND(UPPER(TRIM(M4187))="STD", TRIM(B4187)=TRIM(Enginuity!$A$17))
    ),
    OR(
      AND(LEFT(P4187,5)="1-Way", Enginuity!$B$13=1),
      AND(LEFT(P4187,5)="2-Way", OR(Enginuity!$B$13=2, Enginuity!$B$13=4)),
      AND(LEFT(P4187,5)="3-Way", OR(Enginuity!$B$13=3, Enginuity!$B$13=6)),
      AND(P4187="Inner Centre Jamb", OR(Enginuity!$B$13=4, Enginuity!$B$13=6)),
      AND(
        LEFT(P4187,5)&lt;&gt;"1-Way",
        LEFT(P4187,5)&lt;&gt;"2-Way",
        LEFT(P4187,5)&lt;&gt;"3-Way",
        P4187&lt;&gt;"Inner Centre Jamb"
      )
    ),
    IF(OR(Enginuity!$A$1="Frameless Glass",Enginuity!$A$1="Metal Work"),
      AND(TRIM(B4187)=TRIM(Enginuity!$A$17),TRIM(C4187)=TRIM(Enginuity!$A$18)),
      TRIM(B4187)=TRIM(Enginuity!$A$17)
    )
  ),
  ROW(),
  ""
)</f>
        <v/>
      </c>
    </row>
    <row r="4188" spans="21:21" x14ac:dyDescent="0.25">
      <c r="U4188" s="104" t="str">
        <f>IF(
  AND(
    TRIM(A4188)=TRIM(Enginuity!$A$1),
    TRIM(B4188)=TRIM(Enginuity!$A$17),
    Q4188&lt;&gt;"",
    Q4188&lt;&gt;0,
    OR(
      TRIM(C4188)=TRIM(Enginuity!$A$18),
      AND(UPPER(TRIM(M4188))="STD", TRIM(B4188)=TRIM(Enginuity!$A$17))
    ),
    OR(
      AND(LEFT(P4188,5)="1-Way", Enginuity!$B$13=1),
      AND(LEFT(P4188,5)="2-Way", OR(Enginuity!$B$13=2, Enginuity!$B$13=4)),
      AND(LEFT(P4188,5)="3-Way", OR(Enginuity!$B$13=3, Enginuity!$B$13=6)),
      AND(P4188="Inner Centre Jamb", OR(Enginuity!$B$13=4, Enginuity!$B$13=6)),
      AND(
        LEFT(P4188,5)&lt;&gt;"1-Way",
        LEFT(P4188,5)&lt;&gt;"2-Way",
        LEFT(P4188,5)&lt;&gt;"3-Way",
        P4188&lt;&gt;"Inner Centre Jamb"
      )
    ),
    IF(OR(Enginuity!$A$1="Frameless Glass",Enginuity!$A$1="Metal Work"),
      AND(TRIM(B4188)=TRIM(Enginuity!$A$17),TRIM(C4188)=TRIM(Enginuity!$A$18)),
      TRIM(B4188)=TRIM(Enginuity!$A$17)
    )
  ),
  ROW(),
  ""
)</f>
        <v/>
      </c>
    </row>
    <row r="4189" spans="21:21" x14ac:dyDescent="0.25">
      <c r="U4189" s="104" t="str">
        <f>IF(
  AND(
    TRIM(A4189)=TRIM(Enginuity!$A$1),
    TRIM(B4189)=TRIM(Enginuity!$A$17),
    Q4189&lt;&gt;"",
    Q4189&lt;&gt;0,
    OR(
      TRIM(C4189)=TRIM(Enginuity!$A$18),
      AND(UPPER(TRIM(M4189))="STD", TRIM(B4189)=TRIM(Enginuity!$A$17))
    ),
    OR(
      AND(LEFT(P4189,5)="1-Way", Enginuity!$B$13=1),
      AND(LEFT(P4189,5)="2-Way", OR(Enginuity!$B$13=2, Enginuity!$B$13=4)),
      AND(LEFT(P4189,5)="3-Way", OR(Enginuity!$B$13=3, Enginuity!$B$13=6)),
      AND(P4189="Inner Centre Jamb", OR(Enginuity!$B$13=4, Enginuity!$B$13=6)),
      AND(
        LEFT(P4189,5)&lt;&gt;"1-Way",
        LEFT(P4189,5)&lt;&gt;"2-Way",
        LEFT(P4189,5)&lt;&gt;"3-Way",
        P4189&lt;&gt;"Inner Centre Jamb"
      )
    ),
    IF(OR(Enginuity!$A$1="Frameless Glass",Enginuity!$A$1="Metal Work"),
      AND(TRIM(B4189)=TRIM(Enginuity!$A$17),TRIM(C4189)=TRIM(Enginuity!$A$18)),
      TRIM(B4189)=TRIM(Enginuity!$A$17)
    )
  ),
  ROW(),
  ""
)</f>
        <v/>
      </c>
    </row>
    <row r="4190" spans="21:21" x14ac:dyDescent="0.25">
      <c r="U4190" s="104" t="str">
        <f>IF(
  AND(
    TRIM(A4190)=TRIM(Enginuity!$A$1),
    TRIM(B4190)=TRIM(Enginuity!$A$17),
    Q4190&lt;&gt;"",
    Q4190&lt;&gt;0,
    OR(
      TRIM(C4190)=TRIM(Enginuity!$A$18),
      AND(UPPER(TRIM(M4190))="STD", TRIM(B4190)=TRIM(Enginuity!$A$17))
    ),
    OR(
      AND(LEFT(P4190,5)="1-Way", Enginuity!$B$13=1),
      AND(LEFT(P4190,5)="2-Way", OR(Enginuity!$B$13=2, Enginuity!$B$13=4)),
      AND(LEFT(P4190,5)="3-Way", OR(Enginuity!$B$13=3, Enginuity!$B$13=6)),
      AND(P4190="Inner Centre Jamb", OR(Enginuity!$B$13=4, Enginuity!$B$13=6)),
      AND(
        LEFT(P4190,5)&lt;&gt;"1-Way",
        LEFT(P4190,5)&lt;&gt;"2-Way",
        LEFT(P4190,5)&lt;&gt;"3-Way",
        P4190&lt;&gt;"Inner Centre Jamb"
      )
    ),
    IF(OR(Enginuity!$A$1="Frameless Glass",Enginuity!$A$1="Metal Work"),
      AND(TRIM(B4190)=TRIM(Enginuity!$A$17),TRIM(C4190)=TRIM(Enginuity!$A$18)),
      TRIM(B4190)=TRIM(Enginuity!$A$17)
    )
  ),
  ROW(),
  ""
)</f>
        <v/>
      </c>
    </row>
    <row r="4191" spans="21:21" x14ac:dyDescent="0.25">
      <c r="U4191" s="104" t="str">
        <f>IF(
  AND(
    TRIM(A4191)=TRIM(Enginuity!$A$1),
    TRIM(B4191)=TRIM(Enginuity!$A$17),
    Q4191&lt;&gt;"",
    Q4191&lt;&gt;0,
    OR(
      TRIM(C4191)=TRIM(Enginuity!$A$18),
      AND(UPPER(TRIM(M4191))="STD", TRIM(B4191)=TRIM(Enginuity!$A$17))
    ),
    OR(
      AND(LEFT(P4191,5)="1-Way", Enginuity!$B$13=1),
      AND(LEFT(P4191,5)="2-Way", OR(Enginuity!$B$13=2, Enginuity!$B$13=4)),
      AND(LEFT(P4191,5)="3-Way", OR(Enginuity!$B$13=3, Enginuity!$B$13=6)),
      AND(P4191="Inner Centre Jamb", OR(Enginuity!$B$13=4, Enginuity!$B$13=6)),
      AND(
        LEFT(P4191,5)&lt;&gt;"1-Way",
        LEFT(P4191,5)&lt;&gt;"2-Way",
        LEFT(P4191,5)&lt;&gt;"3-Way",
        P4191&lt;&gt;"Inner Centre Jamb"
      )
    ),
    IF(OR(Enginuity!$A$1="Frameless Glass",Enginuity!$A$1="Metal Work"),
      AND(TRIM(B4191)=TRIM(Enginuity!$A$17),TRIM(C4191)=TRIM(Enginuity!$A$18)),
      TRIM(B4191)=TRIM(Enginuity!$A$17)
    )
  ),
  ROW(),
  ""
)</f>
        <v/>
      </c>
    </row>
    <row r="4192" spans="21:21" x14ac:dyDescent="0.25">
      <c r="U4192" s="104" t="str">
        <f>IF(
  AND(
    TRIM(A4192)=TRIM(Enginuity!$A$1),
    TRIM(B4192)=TRIM(Enginuity!$A$17),
    Q4192&lt;&gt;"",
    Q4192&lt;&gt;0,
    OR(
      TRIM(C4192)=TRIM(Enginuity!$A$18),
      AND(UPPER(TRIM(M4192))="STD", TRIM(B4192)=TRIM(Enginuity!$A$17))
    ),
    OR(
      AND(LEFT(P4192,5)="1-Way", Enginuity!$B$13=1),
      AND(LEFT(P4192,5)="2-Way", OR(Enginuity!$B$13=2, Enginuity!$B$13=4)),
      AND(LEFT(P4192,5)="3-Way", OR(Enginuity!$B$13=3, Enginuity!$B$13=6)),
      AND(P4192="Inner Centre Jamb", OR(Enginuity!$B$13=4, Enginuity!$B$13=6)),
      AND(
        LEFT(P4192,5)&lt;&gt;"1-Way",
        LEFT(P4192,5)&lt;&gt;"2-Way",
        LEFT(P4192,5)&lt;&gt;"3-Way",
        P4192&lt;&gt;"Inner Centre Jamb"
      )
    ),
    IF(OR(Enginuity!$A$1="Frameless Glass",Enginuity!$A$1="Metal Work"),
      AND(TRIM(B4192)=TRIM(Enginuity!$A$17),TRIM(C4192)=TRIM(Enginuity!$A$18)),
      TRIM(B4192)=TRIM(Enginuity!$A$17)
    )
  ),
  ROW(),
  ""
)</f>
        <v/>
      </c>
    </row>
    <row r="4193" spans="21:21" x14ac:dyDescent="0.25">
      <c r="U4193" s="104" t="str">
        <f>IF(
  AND(
    TRIM(A4193)=TRIM(Enginuity!$A$1),
    TRIM(B4193)=TRIM(Enginuity!$A$17),
    Q4193&lt;&gt;"",
    Q4193&lt;&gt;0,
    OR(
      TRIM(C4193)=TRIM(Enginuity!$A$18),
      AND(UPPER(TRIM(M4193))="STD", TRIM(B4193)=TRIM(Enginuity!$A$17))
    ),
    OR(
      AND(LEFT(P4193,5)="1-Way", Enginuity!$B$13=1),
      AND(LEFT(P4193,5)="2-Way", OR(Enginuity!$B$13=2, Enginuity!$B$13=4)),
      AND(LEFT(P4193,5)="3-Way", OR(Enginuity!$B$13=3, Enginuity!$B$13=6)),
      AND(P4193="Inner Centre Jamb", OR(Enginuity!$B$13=4, Enginuity!$B$13=6)),
      AND(
        LEFT(P4193,5)&lt;&gt;"1-Way",
        LEFT(P4193,5)&lt;&gt;"2-Way",
        LEFT(P4193,5)&lt;&gt;"3-Way",
        P4193&lt;&gt;"Inner Centre Jamb"
      )
    ),
    IF(OR(Enginuity!$A$1="Frameless Glass",Enginuity!$A$1="Metal Work"),
      AND(TRIM(B4193)=TRIM(Enginuity!$A$17),TRIM(C4193)=TRIM(Enginuity!$A$18)),
      TRIM(B4193)=TRIM(Enginuity!$A$17)
    )
  ),
  ROW(),
  ""
)</f>
        <v/>
      </c>
    </row>
    <row r="4194" spans="21:21" x14ac:dyDescent="0.25">
      <c r="U4194" s="104" t="str">
        <f>IF(
  AND(
    TRIM(A4194)=TRIM(Enginuity!$A$1),
    TRIM(B4194)=TRIM(Enginuity!$A$17),
    Q4194&lt;&gt;"",
    Q4194&lt;&gt;0,
    OR(
      TRIM(C4194)=TRIM(Enginuity!$A$18),
      AND(UPPER(TRIM(M4194))="STD", TRIM(B4194)=TRIM(Enginuity!$A$17))
    ),
    OR(
      AND(LEFT(P4194,5)="1-Way", Enginuity!$B$13=1),
      AND(LEFT(P4194,5)="2-Way", OR(Enginuity!$B$13=2, Enginuity!$B$13=4)),
      AND(LEFT(P4194,5)="3-Way", OR(Enginuity!$B$13=3, Enginuity!$B$13=6)),
      AND(P4194="Inner Centre Jamb", OR(Enginuity!$B$13=4, Enginuity!$B$13=6)),
      AND(
        LEFT(P4194,5)&lt;&gt;"1-Way",
        LEFT(P4194,5)&lt;&gt;"2-Way",
        LEFT(P4194,5)&lt;&gt;"3-Way",
        P4194&lt;&gt;"Inner Centre Jamb"
      )
    ),
    IF(OR(Enginuity!$A$1="Frameless Glass",Enginuity!$A$1="Metal Work"),
      AND(TRIM(B4194)=TRIM(Enginuity!$A$17),TRIM(C4194)=TRIM(Enginuity!$A$18)),
      TRIM(B4194)=TRIM(Enginuity!$A$17)
    )
  ),
  ROW(),
  ""
)</f>
        <v/>
      </c>
    </row>
    <row r="4195" spans="21:21" x14ac:dyDescent="0.25">
      <c r="U4195" s="104" t="str">
        <f>IF(
  AND(
    TRIM(A4195)=TRIM(Enginuity!$A$1),
    TRIM(B4195)=TRIM(Enginuity!$A$17),
    Q4195&lt;&gt;"",
    Q4195&lt;&gt;0,
    OR(
      TRIM(C4195)=TRIM(Enginuity!$A$18),
      AND(UPPER(TRIM(M4195))="STD", TRIM(B4195)=TRIM(Enginuity!$A$17))
    ),
    OR(
      AND(LEFT(P4195,5)="1-Way", Enginuity!$B$13=1),
      AND(LEFT(P4195,5)="2-Way", OR(Enginuity!$B$13=2, Enginuity!$B$13=4)),
      AND(LEFT(P4195,5)="3-Way", OR(Enginuity!$B$13=3, Enginuity!$B$13=6)),
      AND(P4195="Inner Centre Jamb", OR(Enginuity!$B$13=4, Enginuity!$B$13=6)),
      AND(
        LEFT(P4195,5)&lt;&gt;"1-Way",
        LEFT(P4195,5)&lt;&gt;"2-Way",
        LEFT(P4195,5)&lt;&gt;"3-Way",
        P4195&lt;&gt;"Inner Centre Jamb"
      )
    ),
    IF(OR(Enginuity!$A$1="Frameless Glass",Enginuity!$A$1="Metal Work"),
      AND(TRIM(B4195)=TRIM(Enginuity!$A$17),TRIM(C4195)=TRIM(Enginuity!$A$18)),
      TRIM(B4195)=TRIM(Enginuity!$A$17)
    )
  ),
  ROW(),
  ""
)</f>
        <v/>
      </c>
    </row>
    <row r="4196" spans="21:21" x14ac:dyDescent="0.25">
      <c r="U4196" s="104" t="str">
        <f>IF(
  AND(
    TRIM(A4196)=TRIM(Enginuity!$A$1),
    TRIM(B4196)=TRIM(Enginuity!$A$17),
    Q4196&lt;&gt;"",
    Q4196&lt;&gt;0,
    OR(
      TRIM(C4196)=TRIM(Enginuity!$A$18),
      AND(UPPER(TRIM(M4196))="STD", TRIM(B4196)=TRIM(Enginuity!$A$17))
    ),
    OR(
      AND(LEFT(P4196,5)="1-Way", Enginuity!$B$13=1),
      AND(LEFT(P4196,5)="2-Way", OR(Enginuity!$B$13=2, Enginuity!$B$13=4)),
      AND(LEFT(P4196,5)="3-Way", OR(Enginuity!$B$13=3, Enginuity!$B$13=6)),
      AND(P4196="Inner Centre Jamb", OR(Enginuity!$B$13=4, Enginuity!$B$13=6)),
      AND(
        LEFT(P4196,5)&lt;&gt;"1-Way",
        LEFT(P4196,5)&lt;&gt;"2-Way",
        LEFT(P4196,5)&lt;&gt;"3-Way",
        P4196&lt;&gt;"Inner Centre Jamb"
      )
    ),
    IF(OR(Enginuity!$A$1="Frameless Glass",Enginuity!$A$1="Metal Work"),
      AND(TRIM(B4196)=TRIM(Enginuity!$A$17),TRIM(C4196)=TRIM(Enginuity!$A$18)),
      TRIM(B4196)=TRIM(Enginuity!$A$17)
    )
  ),
  ROW(),
  ""
)</f>
        <v/>
      </c>
    </row>
    <row r="4197" spans="21:21" x14ac:dyDescent="0.25">
      <c r="U4197" s="104" t="str">
        <f>IF(
  AND(
    TRIM(A4197)=TRIM(Enginuity!$A$1),
    TRIM(B4197)=TRIM(Enginuity!$A$17),
    Q4197&lt;&gt;"",
    Q4197&lt;&gt;0,
    OR(
      TRIM(C4197)=TRIM(Enginuity!$A$18),
      AND(UPPER(TRIM(M4197))="STD", TRIM(B4197)=TRIM(Enginuity!$A$17))
    ),
    OR(
      AND(LEFT(P4197,5)="1-Way", Enginuity!$B$13=1),
      AND(LEFT(P4197,5)="2-Way", OR(Enginuity!$B$13=2, Enginuity!$B$13=4)),
      AND(LEFT(P4197,5)="3-Way", OR(Enginuity!$B$13=3, Enginuity!$B$13=6)),
      AND(P4197="Inner Centre Jamb", OR(Enginuity!$B$13=4, Enginuity!$B$13=6)),
      AND(
        LEFT(P4197,5)&lt;&gt;"1-Way",
        LEFT(P4197,5)&lt;&gt;"2-Way",
        LEFT(P4197,5)&lt;&gt;"3-Way",
        P4197&lt;&gt;"Inner Centre Jamb"
      )
    ),
    IF(OR(Enginuity!$A$1="Frameless Glass",Enginuity!$A$1="Metal Work"),
      AND(TRIM(B4197)=TRIM(Enginuity!$A$17),TRIM(C4197)=TRIM(Enginuity!$A$18)),
      TRIM(B4197)=TRIM(Enginuity!$A$17)
    )
  ),
  ROW(),
  ""
)</f>
        <v/>
      </c>
    </row>
    <row r="4198" spans="21:21" x14ac:dyDescent="0.25">
      <c r="U4198" s="104" t="str">
        <f>IF(
  AND(
    TRIM(A4198)=TRIM(Enginuity!$A$1),
    TRIM(B4198)=TRIM(Enginuity!$A$17),
    Q4198&lt;&gt;"",
    Q4198&lt;&gt;0,
    OR(
      TRIM(C4198)=TRIM(Enginuity!$A$18),
      AND(UPPER(TRIM(M4198))="STD", TRIM(B4198)=TRIM(Enginuity!$A$17))
    ),
    OR(
      AND(LEFT(P4198,5)="1-Way", Enginuity!$B$13=1),
      AND(LEFT(P4198,5)="2-Way", OR(Enginuity!$B$13=2, Enginuity!$B$13=4)),
      AND(LEFT(P4198,5)="3-Way", OR(Enginuity!$B$13=3, Enginuity!$B$13=6)),
      AND(P4198="Inner Centre Jamb", OR(Enginuity!$B$13=4, Enginuity!$B$13=6)),
      AND(
        LEFT(P4198,5)&lt;&gt;"1-Way",
        LEFT(P4198,5)&lt;&gt;"2-Way",
        LEFT(P4198,5)&lt;&gt;"3-Way",
        P4198&lt;&gt;"Inner Centre Jamb"
      )
    ),
    IF(OR(Enginuity!$A$1="Frameless Glass",Enginuity!$A$1="Metal Work"),
      AND(TRIM(B4198)=TRIM(Enginuity!$A$17),TRIM(C4198)=TRIM(Enginuity!$A$18)),
      TRIM(B4198)=TRIM(Enginuity!$A$17)
    )
  ),
  ROW(),
  ""
)</f>
        <v/>
      </c>
    </row>
    <row r="4199" spans="21:21" x14ac:dyDescent="0.25">
      <c r="U4199" s="104" t="str">
        <f>IF(
  AND(
    TRIM(A4199)=TRIM(Enginuity!$A$1),
    TRIM(B4199)=TRIM(Enginuity!$A$17),
    Q4199&lt;&gt;"",
    Q4199&lt;&gt;0,
    OR(
      TRIM(C4199)=TRIM(Enginuity!$A$18),
      AND(UPPER(TRIM(M4199))="STD", TRIM(B4199)=TRIM(Enginuity!$A$17))
    ),
    OR(
      AND(LEFT(P4199,5)="1-Way", Enginuity!$B$13=1),
      AND(LEFT(P4199,5)="2-Way", OR(Enginuity!$B$13=2, Enginuity!$B$13=4)),
      AND(LEFT(P4199,5)="3-Way", OR(Enginuity!$B$13=3, Enginuity!$B$13=6)),
      AND(P4199="Inner Centre Jamb", OR(Enginuity!$B$13=4, Enginuity!$B$13=6)),
      AND(
        LEFT(P4199,5)&lt;&gt;"1-Way",
        LEFT(P4199,5)&lt;&gt;"2-Way",
        LEFT(P4199,5)&lt;&gt;"3-Way",
        P4199&lt;&gt;"Inner Centre Jamb"
      )
    ),
    IF(OR(Enginuity!$A$1="Frameless Glass",Enginuity!$A$1="Metal Work"),
      AND(TRIM(B4199)=TRIM(Enginuity!$A$17),TRIM(C4199)=TRIM(Enginuity!$A$18)),
      TRIM(B4199)=TRIM(Enginuity!$A$17)
    )
  ),
  ROW(),
  ""
)</f>
        <v/>
      </c>
    </row>
    <row r="4200" spans="21:21" x14ac:dyDescent="0.25">
      <c r="U4200" s="104" t="str">
        <f>IF(
  AND(
    TRIM(A4200)=TRIM(Enginuity!$A$1),
    TRIM(B4200)=TRIM(Enginuity!$A$17),
    Q4200&lt;&gt;"",
    Q4200&lt;&gt;0,
    OR(
      TRIM(C4200)=TRIM(Enginuity!$A$18),
      AND(UPPER(TRIM(M4200))="STD", TRIM(B4200)=TRIM(Enginuity!$A$17))
    ),
    OR(
      AND(LEFT(P4200,5)="1-Way", Enginuity!$B$13=1),
      AND(LEFT(P4200,5)="2-Way", OR(Enginuity!$B$13=2, Enginuity!$B$13=4)),
      AND(LEFT(P4200,5)="3-Way", OR(Enginuity!$B$13=3, Enginuity!$B$13=6)),
      AND(P4200="Inner Centre Jamb", OR(Enginuity!$B$13=4, Enginuity!$B$13=6)),
      AND(
        LEFT(P4200,5)&lt;&gt;"1-Way",
        LEFT(P4200,5)&lt;&gt;"2-Way",
        LEFT(P4200,5)&lt;&gt;"3-Way",
        P4200&lt;&gt;"Inner Centre Jamb"
      )
    ),
    IF(OR(Enginuity!$A$1="Frameless Glass",Enginuity!$A$1="Metal Work"),
      AND(TRIM(B4200)=TRIM(Enginuity!$A$17),TRIM(C4200)=TRIM(Enginuity!$A$18)),
      TRIM(B4200)=TRIM(Enginuity!$A$17)
    )
  ),
  ROW(),
  ""
)</f>
        <v/>
      </c>
    </row>
    <row r="4201" spans="21:21" x14ac:dyDescent="0.25">
      <c r="U4201" s="104" t="str">
        <f>IF(
  AND(
    TRIM(A4201)=TRIM(Enginuity!$A$1),
    TRIM(B4201)=TRIM(Enginuity!$A$17),
    Q4201&lt;&gt;"",
    Q4201&lt;&gt;0,
    OR(
      TRIM(C4201)=TRIM(Enginuity!$A$18),
      AND(UPPER(TRIM(M4201))="STD", TRIM(B4201)=TRIM(Enginuity!$A$17))
    ),
    OR(
      AND(LEFT(P4201,5)="1-Way", Enginuity!$B$13=1),
      AND(LEFT(P4201,5)="2-Way", OR(Enginuity!$B$13=2, Enginuity!$B$13=4)),
      AND(LEFT(P4201,5)="3-Way", OR(Enginuity!$B$13=3, Enginuity!$B$13=6)),
      AND(P4201="Inner Centre Jamb", OR(Enginuity!$B$13=4, Enginuity!$B$13=6)),
      AND(
        LEFT(P4201,5)&lt;&gt;"1-Way",
        LEFT(P4201,5)&lt;&gt;"2-Way",
        LEFT(P4201,5)&lt;&gt;"3-Way",
        P4201&lt;&gt;"Inner Centre Jamb"
      )
    ),
    IF(OR(Enginuity!$A$1="Frameless Glass",Enginuity!$A$1="Metal Work"),
      AND(TRIM(B4201)=TRIM(Enginuity!$A$17),TRIM(C4201)=TRIM(Enginuity!$A$18)),
      TRIM(B4201)=TRIM(Enginuity!$A$17)
    )
  ),
  ROW(),
  ""
)</f>
        <v/>
      </c>
    </row>
    <row r="4202" spans="21:21" x14ac:dyDescent="0.25">
      <c r="U4202" s="104" t="str">
        <f>IF(
  AND(
    TRIM(A4202)=TRIM(Enginuity!$A$1),
    TRIM(B4202)=TRIM(Enginuity!$A$17),
    Q4202&lt;&gt;"",
    Q4202&lt;&gt;0,
    OR(
      TRIM(C4202)=TRIM(Enginuity!$A$18),
      AND(UPPER(TRIM(M4202))="STD", TRIM(B4202)=TRIM(Enginuity!$A$17))
    ),
    OR(
      AND(LEFT(P4202,5)="1-Way", Enginuity!$B$13=1),
      AND(LEFT(P4202,5)="2-Way", OR(Enginuity!$B$13=2, Enginuity!$B$13=4)),
      AND(LEFT(P4202,5)="3-Way", OR(Enginuity!$B$13=3, Enginuity!$B$13=6)),
      AND(P4202="Inner Centre Jamb", OR(Enginuity!$B$13=4, Enginuity!$B$13=6)),
      AND(
        LEFT(P4202,5)&lt;&gt;"1-Way",
        LEFT(P4202,5)&lt;&gt;"2-Way",
        LEFT(P4202,5)&lt;&gt;"3-Way",
        P4202&lt;&gt;"Inner Centre Jamb"
      )
    ),
    IF(OR(Enginuity!$A$1="Frameless Glass",Enginuity!$A$1="Metal Work"),
      AND(TRIM(B4202)=TRIM(Enginuity!$A$17),TRIM(C4202)=TRIM(Enginuity!$A$18)),
      TRIM(B4202)=TRIM(Enginuity!$A$17)
    )
  ),
  ROW(),
  ""
)</f>
        <v/>
      </c>
    </row>
    <row r="4203" spans="21:21" x14ac:dyDescent="0.25">
      <c r="U4203" s="104" t="str">
        <f>IF(
  AND(
    TRIM(A4203)=TRIM(Enginuity!$A$1),
    TRIM(B4203)=TRIM(Enginuity!$A$17),
    Q4203&lt;&gt;"",
    Q4203&lt;&gt;0,
    OR(
      TRIM(C4203)=TRIM(Enginuity!$A$18),
      AND(UPPER(TRIM(M4203))="STD", TRIM(B4203)=TRIM(Enginuity!$A$17))
    ),
    OR(
      AND(LEFT(P4203,5)="1-Way", Enginuity!$B$13=1),
      AND(LEFT(P4203,5)="2-Way", OR(Enginuity!$B$13=2, Enginuity!$B$13=4)),
      AND(LEFT(P4203,5)="3-Way", OR(Enginuity!$B$13=3, Enginuity!$B$13=6)),
      AND(P4203="Inner Centre Jamb", OR(Enginuity!$B$13=4, Enginuity!$B$13=6)),
      AND(
        LEFT(P4203,5)&lt;&gt;"1-Way",
        LEFT(P4203,5)&lt;&gt;"2-Way",
        LEFT(P4203,5)&lt;&gt;"3-Way",
        P4203&lt;&gt;"Inner Centre Jamb"
      )
    ),
    IF(OR(Enginuity!$A$1="Frameless Glass",Enginuity!$A$1="Metal Work"),
      AND(TRIM(B4203)=TRIM(Enginuity!$A$17),TRIM(C4203)=TRIM(Enginuity!$A$18)),
      TRIM(B4203)=TRIM(Enginuity!$A$17)
    )
  ),
  ROW(),
  ""
)</f>
        <v/>
      </c>
    </row>
    <row r="4204" spans="21:21" x14ac:dyDescent="0.25">
      <c r="U4204" s="104" t="str">
        <f>IF(
  AND(
    TRIM(A4204)=TRIM(Enginuity!$A$1),
    TRIM(B4204)=TRIM(Enginuity!$A$17),
    Q4204&lt;&gt;"",
    Q4204&lt;&gt;0,
    OR(
      TRIM(C4204)=TRIM(Enginuity!$A$18),
      AND(UPPER(TRIM(M4204))="STD", TRIM(B4204)=TRIM(Enginuity!$A$17))
    ),
    OR(
      AND(LEFT(P4204,5)="1-Way", Enginuity!$B$13=1),
      AND(LEFT(P4204,5)="2-Way", OR(Enginuity!$B$13=2, Enginuity!$B$13=4)),
      AND(LEFT(P4204,5)="3-Way", OR(Enginuity!$B$13=3, Enginuity!$B$13=6)),
      AND(P4204="Inner Centre Jamb", OR(Enginuity!$B$13=4, Enginuity!$B$13=6)),
      AND(
        LEFT(P4204,5)&lt;&gt;"1-Way",
        LEFT(P4204,5)&lt;&gt;"2-Way",
        LEFT(P4204,5)&lt;&gt;"3-Way",
        P4204&lt;&gt;"Inner Centre Jamb"
      )
    ),
    IF(OR(Enginuity!$A$1="Frameless Glass",Enginuity!$A$1="Metal Work"),
      AND(TRIM(B4204)=TRIM(Enginuity!$A$17),TRIM(C4204)=TRIM(Enginuity!$A$18)),
      TRIM(B4204)=TRIM(Enginuity!$A$17)
    )
  ),
  ROW(),
  ""
)</f>
        <v/>
      </c>
    </row>
    <row r="4205" spans="21:21" x14ac:dyDescent="0.25">
      <c r="U4205" s="104" t="str">
        <f>IF(
  AND(
    TRIM(A4205)=TRIM(Enginuity!$A$1),
    TRIM(B4205)=TRIM(Enginuity!$A$17),
    Q4205&lt;&gt;"",
    Q4205&lt;&gt;0,
    OR(
      TRIM(C4205)=TRIM(Enginuity!$A$18),
      AND(UPPER(TRIM(M4205))="STD", TRIM(B4205)=TRIM(Enginuity!$A$17))
    ),
    OR(
      AND(LEFT(P4205,5)="1-Way", Enginuity!$B$13=1),
      AND(LEFT(P4205,5)="2-Way", OR(Enginuity!$B$13=2, Enginuity!$B$13=4)),
      AND(LEFT(P4205,5)="3-Way", OR(Enginuity!$B$13=3, Enginuity!$B$13=6)),
      AND(P4205="Inner Centre Jamb", OR(Enginuity!$B$13=4, Enginuity!$B$13=6)),
      AND(
        LEFT(P4205,5)&lt;&gt;"1-Way",
        LEFT(P4205,5)&lt;&gt;"2-Way",
        LEFT(P4205,5)&lt;&gt;"3-Way",
        P4205&lt;&gt;"Inner Centre Jamb"
      )
    ),
    IF(OR(Enginuity!$A$1="Frameless Glass",Enginuity!$A$1="Metal Work"),
      AND(TRIM(B4205)=TRIM(Enginuity!$A$17),TRIM(C4205)=TRIM(Enginuity!$A$18)),
      TRIM(B4205)=TRIM(Enginuity!$A$17)
    )
  ),
  ROW(),
  ""
)</f>
        <v/>
      </c>
    </row>
    <row r="4206" spans="21:21" x14ac:dyDescent="0.25">
      <c r="U4206" s="104" t="str">
        <f>IF(
  AND(
    TRIM(A4206)=TRIM(Enginuity!$A$1),
    TRIM(B4206)=TRIM(Enginuity!$A$17),
    Q4206&lt;&gt;"",
    Q4206&lt;&gt;0,
    OR(
      TRIM(C4206)=TRIM(Enginuity!$A$18),
      AND(UPPER(TRIM(M4206))="STD", TRIM(B4206)=TRIM(Enginuity!$A$17))
    ),
    OR(
      AND(LEFT(P4206,5)="1-Way", Enginuity!$B$13=1),
      AND(LEFT(P4206,5)="2-Way", OR(Enginuity!$B$13=2, Enginuity!$B$13=4)),
      AND(LEFT(P4206,5)="3-Way", OR(Enginuity!$B$13=3, Enginuity!$B$13=6)),
      AND(P4206="Inner Centre Jamb", OR(Enginuity!$B$13=4, Enginuity!$B$13=6)),
      AND(
        LEFT(P4206,5)&lt;&gt;"1-Way",
        LEFT(P4206,5)&lt;&gt;"2-Way",
        LEFT(P4206,5)&lt;&gt;"3-Way",
        P4206&lt;&gt;"Inner Centre Jamb"
      )
    ),
    IF(OR(Enginuity!$A$1="Frameless Glass",Enginuity!$A$1="Metal Work"),
      AND(TRIM(B4206)=TRIM(Enginuity!$A$17),TRIM(C4206)=TRIM(Enginuity!$A$18)),
      TRIM(B4206)=TRIM(Enginuity!$A$17)
    )
  ),
  ROW(),
  ""
)</f>
        <v/>
      </c>
    </row>
    <row r="4207" spans="21:21" x14ac:dyDescent="0.25">
      <c r="U4207" s="104" t="str">
        <f>IF(
  AND(
    TRIM(A4207)=TRIM(Enginuity!$A$1),
    TRIM(B4207)=TRIM(Enginuity!$A$17),
    Q4207&lt;&gt;"",
    Q4207&lt;&gt;0,
    OR(
      TRIM(C4207)=TRIM(Enginuity!$A$18),
      AND(UPPER(TRIM(M4207))="STD", TRIM(B4207)=TRIM(Enginuity!$A$17))
    ),
    OR(
      AND(LEFT(P4207,5)="1-Way", Enginuity!$B$13=1),
      AND(LEFT(P4207,5)="2-Way", OR(Enginuity!$B$13=2, Enginuity!$B$13=4)),
      AND(LEFT(P4207,5)="3-Way", OR(Enginuity!$B$13=3, Enginuity!$B$13=6)),
      AND(P4207="Inner Centre Jamb", OR(Enginuity!$B$13=4, Enginuity!$B$13=6)),
      AND(
        LEFT(P4207,5)&lt;&gt;"1-Way",
        LEFT(P4207,5)&lt;&gt;"2-Way",
        LEFT(P4207,5)&lt;&gt;"3-Way",
        P4207&lt;&gt;"Inner Centre Jamb"
      )
    ),
    IF(OR(Enginuity!$A$1="Frameless Glass",Enginuity!$A$1="Metal Work"),
      AND(TRIM(B4207)=TRIM(Enginuity!$A$17),TRIM(C4207)=TRIM(Enginuity!$A$18)),
      TRIM(B4207)=TRIM(Enginuity!$A$17)
    )
  ),
  ROW(),
  ""
)</f>
        <v/>
      </c>
    </row>
    <row r="4208" spans="21:21" x14ac:dyDescent="0.25">
      <c r="U4208" s="104" t="str">
        <f>IF(
  AND(
    TRIM(A4208)=TRIM(Enginuity!$A$1),
    TRIM(B4208)=TRIM(Enginuity!$A$17),
    Q4208&lt;&gt;"",
    Q4208&lt;&gt;0,
    OR(
      TRIM(C4208)=TRIM(Enginuity!$A$18),
      AND(UPPER(TRIM(M4208))="STD", TRIM(B4208)=TRIM(Enginuity!$A$17))
    ),
    OR(
      AND(LEFT(P4208,5)="1-Way", Enginuity!$B$13=1),
      AND(LEFT(P4208,5)="2-Way", OR(Enginuity!$B$13=2, Enginuity!$B$13=4)),
      AND(LEFT(P4208,5)="3-Way", OR(Enginuity!$B$13=3, Enginuity!$B$13=6)),
      AND(P4208="Inner Centre Jamb", OR(Enginuity!$B$13=4, Enginuity!$B$13=6)),
      AND(
        LEFT(P4208,5)&lt;&gt;"1-Way",
        LEFT(P4208,5)&lt;&gt;"2-Way",
        LEFT(P4208,5)&lt;&gt;"3-Way",
        P4208&lt;&gt;"Inner Centre Jamb"
      )
    ),
    IF(OR(Enginuity!$A$1="Frameless Glass",Enginuity!$A$1="Metal Work"),
      AND(TRIM(B4208)=TRIM(Enginuity!$A$17),TRIM(C4208)=TRIM(Enginuity!$A$18)),
      TRIM(B4208)=TRIM(Enginuity!$A$17)
    )
  ),
  ROW(),
  ""
)</f>
        <v/>
      </c>
    </row>
    <row r="4209" spans="21:21" x14ac:dyDescent="0.25">
      <c r="U4209" s="104" t="str">
        <f>IF(
  AND(
    TRIM(A4209)=TRIM(Enginuity!$A$1),
    TRIM(B4209)=TRIM(Enginuity!$A$17),
    Q4209&lt;&gt;"",
    Q4209&lt;&gt;0,
    OR(
      TRIM(C4209)=TRIM(Enginuity!$A$18),
      AND(UPPER(TRIM(M4209))="STD", TRIM(B4209)=TRIM(Enginuity!$A$17))
    ),
    OR(
      AND(LEFT(P4209,5)="1-Way", Enginuity!$B$13=1),
      AND(LEFT(P4209,5)="2-Way", OR(Enginuity!$B$13=2, Enginuity!$B$13=4)),
      AND(LEFT(P4209,5)="3-Way", OR(Enginuity!$B$13=3, Enginuity!$B$13=6)),
      AND(P4209="Inner Centre Jamb", OR(Enginuity!$B$13=4, Enginuity!$B$13=6)),
      AND(
        LEFT(P4209,5)&lt;&gt;"1-Way",
        LEFT(P4209,5)&lt;&gt;"2-Way",
        LEFT(P4209,5)&lt;&gt;"3-Way",
        P4209&lt;&gt;"Inner Centre Jamb"
      )
    ),
    IF(OR(Enginuity!$A$1="Frameless Glass",Enginuity!$A$1="Metal Work"),
      AND(TRIM(B4209)=TRIM(Enginuity!$A$17),TRIM(C4209)=TRIM(Enginuity!$A$18)),
      TRIM(B4209)=TRIM(Enginuity!$A$17)
    )
  ),
  ROW(),
  ""
)</f>
        <v/>
      </c>
    </row>
    <row r="4210" spans="21:21" x14ac:dyDescent="0.25">
      <c r="U4210" s="104" t="str">
        <f>IF(
  AND(
    TRIM(A4210)=TRIM(Enginuity!$A$1),
    TRIM(B4210)=TRIM(Enginuity!$A$17),
    Q4210&lt;&gt;"",
    Q4210&lt;&gt;0,
    OR(
      TRIM(C4210)=TRIM(Enginuity!$A$18),
      AND(UPPER(TRIM(M4210))="STD", TRIM(B4210)=TRIM(Enginuity!$A$17))
    ),
    OR(
      AND(LEFT(P4210,5)="1-Way", Enginuity!$B$13=1),
      AND(LEFT(P4210,5)="2-Way", OR(Enginuity!$B$13=2, Enginuity!$B$13=4)),
      AND(LEFT(P4210,5)="3-Way", OR(Enginuity!$B$13=3, Enginuity!$B$13=6)),
      AND(P4210="Inner Centre Jamb", OR(Enginuity!$B$13=4, Enginuity!$B$13=6)),
      AND(
        LEFT(P4210,5)&lt;&gt;"1-Way",
        LEFT(P4210,5)&lt;&gt;"2-Way",
        LEFT(P4210,5)&lt;&gt;"3-Way",
        P4210&lt;&gt;"Inner Centre Jamb"
      )
    ),
    IF(OR(Enginuity!$A$1="Frameless Glass",Enginuity!$A$1="Metal Work"),
      AND(TRIM(B4210)=TRIM(Enginuity!$A$17),TRIM(C4210)=TRIM(Enginuity!$A$18)),
      TRIM(B4210)=TRIM(Enginuity!$A$17)
    )
  ),
  ROW(),
  ""
)</f>
        <v/>
      </c>
    </row>
    <row r="4211" spans="21:21" x14ac:dyDescent="0.25">
      <c r="U4211" s="104" t="str">
        <f>IF(
  AND(
    TRIM(A4211)=TRIM(Enginuity!$A$1),
    TRIM(B4211)=TRIM(Enginuity!$A$17),
    Q4211&lt;&gt;"",
    Q4211&lt;&gt;0,
    OR(
      TRIM(C4211)=TRIM(Enginuity!$A$18),
      AND(UPPER(TRIM(M4211))="STD", TRIM(B4211)=TRIM(Enginuity!$A$17))
    ),
    OR(
      AND(LEFT(P4211,5)="1-Way", Enginuity!$B$13=1),
      AND(LEFT(P4211,5)="2-Way", OR(Enginuity!$B$13=2, Enginuity!$B$13=4)),
      AND(LEFT(P4211,5)="3-Way", OR(Enginuity!$B$13=3, Enginuity!$B$13=6)),
      AND(P4211="Inner Centre Jamb", OR(Enginuity!$B$13=4, Enginuity!$B$13=6)),
      AND(
        LEFT(P4211,5)&lt;&gt;"1-Way",
        LEFT(P4211,5)&lt;&gt;"2-Way",
        LEFT(P4211,5)&lt;&gt;"3-Way",
        P4211&lt;&gt;"Inner Centre Jamb"
      )
    ),
    IF(OR(Enginuity!$A$1="Frameless Glass",Enginuity!$A$1="Metal Work"),
      AND(TRIM(B4211)=TRIM(Enginuity!$A$17),TRIM(C4211)=TRIM(Enginuity!$A$18)),
      TRIM(B4211)=TRIM(Enginuity!$A$17)
    )
  ),
  ROW(),
  ""
)</f>
        <v/>
      </c>
    </row>
    <row r="4212" spans="21:21" x14ac:dyDescent="0.25">
      <c r="U4212" s="104" t="str">
        <f>IF(
  AND(
    TRIM(A4212)=TRIM(Enginuity!$A$1),
    TRIM(B4212)=TRIM(Enginuity!$A$17),
    Q4212&lt;&gt;"",
    Q4212&lt;&gt;0,
    OR(
      TRIM(C4212)=TRIM(Enginuity!$A$18),
      AND(UPPER(TRIM(M4212))="STD", TRIM(B4212)=TRIM(Enginuity!$A$17))
    ),
    OR(
      AND(LEFT(P4212,5)="1-Way", Enginuity!$B$13=1),
      AND(LEFT(P4212,5)="2-Way", OR(Enginuity!$B$13=2, Enginuity!$B$13=4)),
      AND(LEFT(P4212,5)="3-Way", OR(Enginuity!$B$13=3, Enginuity!$B$13=6)),
      AND(P4212="Inner Centre Jamb", OR(Enginuity!$B$13=4, Enginuity!$B$13=6)),
      AND(
        LEFT(P4212,5)&lt;&gt;"1-Way",
        LEFT(P4212,5)&lt;&gt;"2-Way",
        LEFT(P4212,5)&lt;&gt;"3-Way",
        P4212&lt;&gt;"Inner Centre Jamb"
      )
    ),
    IF(OR(Enginuity!$A$1="Frameless Glass",Enginuity!$A$1="Metal Work"),
      AND(TRIM(B4212)=TRIM(Enginuity!$A$17),TRIM(C4212)=TRIM(Enginuity!$A$18)),
      TRIM(B4212)=TRIM(Enginuity!$A$17)
    )
  ),
  ROW(),
  ""
)</f>
        <v/>
      </c>
    </row>
    <row r="4213" spans="21:21" x14ac:dyDescent="0.25">
      <c r="U4213" s="104" t="str">
        <f>IF(
  AND(
    TRIM(A4213)=TRIM(Enginuity!$A$1),
    TRIM(B4213)=TRIM(Enginuity!$A$17),
    Q4213&lt;&gt;"",
    Q4213&lt;&gt;0,
    OR(
      TRIM(C4213)=TRIM(Enginuity!$A$18),
      AND(UPPER(TRIM(M4213))="STD", TRIM(B4213)=TRIM(Enginuity!$A$17))
    ),
    OR(
      AND(LEFT(P4213,5)="1-Way", Enginuity!$B$13=1),
      AND(LEFT(P4213,5)="2-Way", OR(Enginuity!$B$13=2, Enginuity!$B$13=4)),
      AND(LEFT(P4213,5)="3-Way", OR(Enginuity!$B$13=3, Enginuity!$B$13=6)),
      AND(P4213="Inner Centre Jamb", OR(Enginuity!$B$13=4, Enginuity!$B$13=6)),
      AND(
        LEFT(P4213,5)&lt;&gt;"1-Way",
        LEFT(P4213,5)&lt;&gt;"2-Way",
        LEFT(P4213,5)&lt;&gt;"3-Way",
        P4213&lt;&gt;"Inner Centre Jamb"
      )
    ),
    IF(OR(Enginuity!$A$1="Frameless Glass",Enginuity!$A$1="Metal Work"),
      AND(TRIM(B4213)=TRIM(Enginuity!$A$17),TRIM(C4213)=TRIM(Enginuity!$A$18)),
      TRIM(B4213)=TRIM(Enginuity!$A$17)
    )
  ),
  ROW(),
  ""
)</f>
        <v/>
      </c>
    </row>
    <row r="4214" spans="21:21" x14ac:dyDescent="0.25">
      <c r="U4214" s="104" t="str">
        <f>IF(
  AND(
    TRIM(A4214)=TRIM(Enginuity!$A$1),
    TRIM(B4214)=TRIM(Enginuity!$A$17),
    Q4214&lt;&gt;"",
    Q4214&lt;&gt;0,
    OR(
      TRIM(C4214)=TRIM(Enginuity!$A$18),
      AND(UPPER(TRIM(M4214))="STD", TRIM(B4214)=TRIM(Enginuity!$A$17))
    ),
    OR(
      AND(LEFT(P4214,5)="1-Way", Enginuity!$B$13=1),
      AND(LEFT(P4214,5)="2-Way", OR(Enginuity!$B$13=2, Enginuity!$B$13=4)),
      AND(LEFT(P4214,5)="3-Way", OR(Enginuity!$B$13=3, Enginuity!$B$13=6)),
      AND(P4214="Inner Centre Jamb", OR(Enginuity!$B$13=4, Enginuity!$B$13=6)),
      AND(
        LEFT(P4214,5)&lt;&gt;"1-Way",
        LEFT(P4214,5)&lt;&gt;"2-Way",
        LEFT(P4214,5)&lt;&gt;"3-Way",
        P4214&lt;&gt;"Inner Centre Jamb"
      )
    ),
    IF(OR(Enginuity!$A$1="Frameless Glass",Enginuity!$A$1="Metal Work"),
      AND(TRIM(B4214)=TRIM(Enginuity!$A$17),TRIM(C4214)=TRIM(Enginuity!$A$18)),
      TRIM(B4214)=TRIM(Enginuity!$A$17)
    )
  ),
  ROW(),
  ""
)</f>
        <v/>
      </c>
    </row>
    <row r="4215" spans="21:21" x14ac:dyDescent="0.25">
      <c r="U4215" s="104" t="str">
        <f>IF(
  AND(
    TRIM(A4215)=TRIM(Enginuity!$A$1),
    TRIM(B4215)=TRIM(Enginuity!$A$17),
    Q4215&lt;&gt;"",
    Q4215&lt;&gt;0,
    OR(
      TRIM(C4215)=TRIM(Enginuity!$A$18),
      AND(UPPER(TRIM(M4215))="STD", TRIM(B4215)=TRIM(Enginuity!$A$17))
    ),
    OR(
      AND(LEFT(P4215,5)="1-Way", Enginuity!$B$13=1),
      AND(LEFT(P4215,5)="2-Way", OR(Enginuity!$B$13=2, Enginuity!$B$13=4)),
      AND(LEFT(P4215,5)="3-Way", OR(Enginuity!$B$13=3, Enginuity!$B$13=6)),
      AND(P4215="Inner Centre Jamb", OR(Enginuity!$B$13=4, Enginuity!$B$13=6)),
      AND(
        LEFT(P4215,5)&lt;&gt;"1-Way",
        LEFT(P4215,5)&lt;&gt;"2-Way",
        LEFT(P4215,5)&lt;&gt;"3-Way",
        P4215&lt;&gt;"Inner Centre Jamb"
      )
    ),
    IF(OR(Enginuity!$A$1="Frameless Glass",Enginuity!$A$1="Metal Work"),
      AND(TRIM(B4215)=TRIM(Enginuity!$A$17),TRIM(C4215)=TRIM(Enginuity!$A$18)),
      TRIM(B4215)=TRIM(Enginuity!$A$17)
    )
  ),
  ROW(),
  ""
)</f>
        <v/>
      </c>
    </row>
    <row r="4216" spans="21:21" x14ac:dyDescent="0.25">
      <c r="U4216" s="104" t="str">
        <f>IF(
  AND(
    TRIM(A4216)=TRIM(Enginuity!$A$1),
    TRIM(B4216)=TRIM(Enginuity!$A$17),
    Q4216&lt;&gt;"",
    Q4216&lt;&gt;0,
    OR(
      TRIM(C4216)=TRIM(Enginuity!$A$18),
      AND(UPPER(TRIM(M4216))="STD", TRIM(B4216)=TRIM(Enginuity!$A$17))
    ),
    OR(
      AND(LEFT(P4216,5)="1-Way", Enginuity!$B$13=1),
      AND(LEFT(P4216,5)="2-Way", OR(Enginuity!$B$13=2, Enginuity!$B$13=4)),
      AND(LEFT(P4216,5)="3-Way", OR(Enginuity!$B$13=3, Enginuity!$B$13=6)),
      AND(P4216="Inner Centre Jamb", OR(Enginuity!$B$13=4, Enginuity!$B$13=6)),
      AND(
        LEFT(P4216,5)&lt;&gt;"1-Way",
        LEFT(P4216,5)&lt;&gt;"2-Way",
        LEFT(P4216,5)&lt;&gt;"3-Way",
        P4216&lt;&gt;"Inner Centre Jamb"
      )
    ),
    IF(OR(Enginuity!$A$1="Frameless Glass",Enginuity!$A$1="Metal Work"),
      AND(TRIM(B4216)=TRIM(Enginuity!$A$17),TRIM(C4216)=TRIM(Enginuity!$A$18)),
      TRIM(B4216)=TRIM(Enginuity!$A$17)
    )
  ),
  ROW(),
  ""
)</f>
        <v/>
      </c>
    </row>
    <row r="4217" spans="21:21" x14ac:dyDescent="0.25">
      <c r="U4217" s="104" t="str">
        <f>IF(
  AND(
    TRIM(A4217)=TRIM(Enginuity!$A$1),
    TRIM(B4217)=TRIM(Enginuity!$A$17),
    Q4217&lt;&gt;"",
    Q4217&lt;&gt;0,
    OR(
      TRIM(C4217)=TRIM(Enginuity!$A$18),
      AND(UPPER(TRIM(M4217))="STD", TRIM(B4217)=TRIM(Enginuity!$A$17))
    ),
    OR(
      AND(LEFT(P4217,5)="1-Way", Enginuity!$B$13=1),
      AND(LEFT(P4217,5)="2-Way", OR(Enginuity!$B$13=2, Enginuity!$B$13=4)),
      AND(LEFT(P4217,5)="3-Way", OR(Enginuity!$B$13=3, Enginuity!$B$13=6)),
      AND(P4217="Inner Centre Jamb", OR(Enginuity!$B$13=4, Enginuity!$B$13=6)),
      AND(
        LEFT(P4217,5)&lt;&gt;"1-Way",
        LEFT(P4217,5)&lt;&gt;"2-Way",
        LEFT(P4217,5)&lt;&gt;"3-Way",
        P4217&lt;&gt;"Inner Centre Jamb"
      )
    ),
    IF(OR(Enginuity!$A$1="Frameless Glass",Enginuity!$A$1="Metal Work"),
      AND(TRIM(B4217)=TRIM(Enginuity!$A$17),TRIM(C4217)=TRIM(Enginuity!$A$18)),
      TRIM(B4217)=TRIM(Enginuity!$A$17)
    )
  ),
  ROW(),
  ""
)</f>
        <v/>
      </c>
    </row>
    <row r="4218" spans="21:21" x14ac:dyDescent="0.25">
      <c r="U4218" s="104" t="str">
        <f>IF(
  AND(
    TRIM(A4218)=TRIM(Enginuity!$A$1),
    TRIM(B4218)=TRIM(Enginuity!$A$17),
    Q4218&lt;&gt;"",
    Q4218&lt;&gt;0,
    OR(
      TRIM(C4218)=TRIM(Enginuity!$A$18),
      AND(UPPER(TRIM(M4218))="STD", TRIM(B4218)=TRIM(Enginuity!$A$17))
    ),
    OR(
      AND(LEFT(P4218,5)="1-Way", Enginuity!$B$13=1),
      AND(LEFT(P4218,5)="2-Way", OR(Enginuity!$B$13=2, Enginuity!$B$13=4)),
      AND(LEFT(P4218,5)="3-Way", OR(Enginuity!$B$13=3, Enginuity!$B$13=6)),
      AND(P4218="Inner Centre Jamb", OR(Enginuity!$B$13=4, Enginuity!$B$13=6)),
      AND(
        LEFT(P4218,5)&lt;&gt;"1-Way",
        LEFT(P4218,5)&lt;&gt;"2-Way",
        LEFT(P4218,5)&lt;&gt;"3-Way",
        P4218&lt;&gt;"Inner Centre Jamb"
      )
    ),
    IF(OR(Enginuity!$A$1="Frameless Glass",Enginuity!$A$1="Metal Work"),
      AND(TRIM(B4218)=TRIM(Enginuity!$A$17),TRIM(C4218)=TRIM(Enginuity!$A$18)),
      TRIM(B4218)=TRIM(Enginuity!$A$17)
    )
  ),
  ROW(),
  ""
)</f>
        <v/>
      </c>
    </row>
    <row r="4219" spans="21:21" x14ac:dyDescent="0.25">
      <c r="U4219" s="104" t="str">
        <f>IF(
  AND(
    TRIM(A4219)=TRIM(Enginuity!$A$1),
    TRIM(B4219)=TRIM(Enginuity!$A$17),
    Q4219&lt;&gt;"",
    Q4219&lt;&gt;0,
    OR(
      TRIM(C4219)=TRIM(Enginuity!$A$18),
      AND(UPPER(TRIM(M4219))="STD", TRIM(B4219)=TRIM(Enginuity!$A$17))
    ),
    OR(
      AND(LEFT(P4219,5)="1-Way", Enginuity!$B$13=1),
      AND(LEFT(P4219,5)="2-Way", OR(Enginuity!$B$13=2, Enginuity!$B$13=4)),
      AND(LEFT(P4219,5)="3-Way", OR(Enginuity!$B$13=3, Enginuity!$B$13=6)),
      AND(P4219="Inner Centre Jamb", OR(Enginuity!$B$13=4, Enginuity!$B$13=6)),
      AND(
        LEFT(P4219,5)&lt;&gt;"1-Way",
        LEFT(P4219,5)&lt;&gt;"2-Way",
        LEFT(P4219,5)&lt;&gt;"3-Way",
        P4219&lt;&gt;"Inner Centre Jamb"
      )
    ),
    IF(OR(Enginuity!$A$1="Frameless Glass",Enginuity!$A$1="Metal Work"),
      AND(TRIM(B4219)=TRIM(Enginuity!$A$17),TRIM(C4219)=TRIM(Enginuity!$A$18)),
      TRIM(B4219)=TRIM(Enginuity!$A$17)
    )
  ),
  ROW(),
  ""
)</f>
        <v/>
      </c>
    </row>
    <row r="4220" spans="21:21" x14ac:dyDescent="0.25">
      <c r="U4220" s="104" t="str">
        <f>IF(
  AND(
    TRIM(A4220)=TRIM(Enginuity!$A$1),
    TRIM(B4220)=TRIM(Enginuity!$A$17),
    Q4220&lt;&gt;"",
    Q4220&lt;&gt;0,
    OR(
      TRIM(C4220)=TRIM(Enginuity!$A$18),
      AND(UPPER(TRIM(M4220))="STD", TRIM(B4220)=TRIM(Enginuity!$A$17))
    ),
    OR(
      AND(LEFT(P4220,5)="1-Way", Enginuity!$B$13=1),
      AND(LEFT(P4220,5)="2-Way", OR(Enginuity!$B$13=2, Enginuity!$B$13=4)),
      AND(LEFT(P4220,5)="3-Way", OR(Enginuity!$B$13=3, Enginuity!$B$13=6)),
      AND(P4220="Inner Centre Jamb", OR(Enginuity!$B$13=4, Enginuity!$B$13=6)),
      AND(
        LEFT(P4220,5)&lt;&gt;"1-Way",
        LEFT(P4220,5)&lt;&gt;"2-Way",
        LEFT(P4220,5)&lt;&gt;"3-Way",
        P4220&lt;&gt;"Inner Centre Jamb"
      )
    ),
    IF(OR(Enginuity!$A$1="Frameless Glass",Enginuity!$A$1="Metal Work"),
      AND(TRIM(B4220)=TRIM(Enginuity!$A$17),TRIM(C4220)=TRIM(Enginuity!$A$18)),
      TRIM(B4220)=TRIM(Enginuity!$A$17)
    )
  ),
  ROW(),
  ""
)</f>
        <v/>
      </c>
    </row>
    <row r="4221" spans="21:21" x14ac:dyDescent="0.25">
      <c r="U4221" s="104" t="str">
        <f>IF(
  AND(
    TRIM(A4221)=TRIM(Enginuity!$A$1),
    TRIM(B4221)=TRIM(Enginuity!$A$17),
    Q4221&lt;&gt;"",
    Q4221&lt;&gt;0,
    OR(
      TRIM(C4221)=TRIM(Enginuity!$A$18),
      AND(UPPER(TRIM(M4221))="STD", TRIM(B4221)=TRIM(Enginuity!$A$17))
    ),
    OR(
      AND(LEFT(P4221,5)="1-Way", Enginuity!$B$13=1),
      AND(LEFT(P4221,5)="2-Way", OR(Enginuity!$B$13=2, Enginuity!$B$13=4)),
      AND(LEFT(P4221,5)="3-Way", OR(Enginuity!$B$13=3, Enginuity!$B$13=6)),
      AND(P4221="Inner Centre Jamb", OR(Enginuity!$B$13=4, Enginuity!$B$13=6)),
      AND(
        LEFT(P4221,5)&lt;&gt;"1-Way",
        LEFT(P4221,5)&lt;&gt;"2-Way",
        LEFT(P4221,5)&lt;&gt;"3-Way",
        P4221&lt;&gt;"Inner Centre Jamb"
      )
    ),
    IF(OR(Enginuity!$A$1="Frameless Glass",Enginuity!$A$1="Metal Work"),
      AND(TRIM(B4221)=TRIM(Enginuity!$A$17),TRIM(C4221)=TRIM(Enginuity!$A$18)),
      TRIM(B4221)=TRIM(Enginuity!$A$17)
    )
  ),
  ROW(),
  ""
)</f>
        <v/>
      </c>
    </row>
    <row r="4222" spans="21:21" x14ac:dyDescent="0.25">
      <c r="U4222" s="104" t="str">
        <f>IF(
  AND(
    TRIM(A4222)=TRIM(Enginuity!$A$1),
    TRIM(B4222)=TRIM(Enginuity!$A$17),
    Q4222&lt;&gt;"",
    Q4222&lt;&gt;0,
    OR(
      TRIM(C4222)=TRIM(Enginuity!$A$18),
      AND(UPPER(TRIM(M4222))="STD", TRIM(B4222)=TRIM(Enginuity!$A$17))
    ),
    OR(
      AND(LEFT(P4222,5)="1-Way", Enginuity!$B$13=1),
      AND(LEFT(P4222,5)="2-Way", OR(Enginuity!$B$13=2, Enginuity!$B$13=4)),
      AND(LEFT(P4222,5)="3-Way", OR(Enginuity!$B$13=3, Enginuity!$B$13=6)),
      AND(P4222="Inner Centre Jamb", OR(Enginuity!$B$13=4, Enginuity!$B$13=6)),
      AND(
        LEFT(P4222,5)&lt;&gt;"1-Way",
        LEFT(P4222,5)&lt;&gt;"2-Way",
        LEFT(P4222,5)&lt;&gt;"3-Way",
        P4222&lt;&gt;"Inner Centre Jamb"
      )
    ),
    IF(OR(Enginuity!$A$1="Frameless Glass",Enginuity!$A$1="Metal Work"),
      AND(TRIM(B4222)=TRIM(Enginuity!$A$17),TRIM(C4222)=TRIM(Enginuity!$A$18)),
      TRIM(B4222)=TRIM(Enginuity!$A$17)
    )
  ),
  ROW(),
  ""
)</f>
        <v/>
      </c>
    </row>
    <row r="4223" spans="21:21" x14ac:dyDescent="0.25">
      <c r="U4223" s="104" t="str">
        <f>IF(
  AND(
    TRIM(A4223)=TRIM(Enginuity!$A$1),
    TRIM(B4223)=TRIM(Enginuity!$A$17),
    Q4223&lt;&gt;"",
    Q4223&lt;&gt;0,
    OR(
      TRIM(C4223)=TRIM(Enginuity!$A$18),
      AND(UPPER(TRIM(M4223))="STD", TRIM(B4223)=TRIM(Enginuity!$A$17))
    ),
    OR(
      AND(LEFT(P4223,5)="1-Way", Enginuity!$B$13=1),
      AND(LEFT(P4223,5)="2-Way", OR(Enginuity!$B$13=2, Enginuity!$B$13=4)),
      AND(LEFT(P4223,5)="3-Way", OR(Enginuity!$B$13=3, Enginuity!$B$13=6)),
      AND(P4223="Inner Centre Jamb", OR(Enginuity!$B$13=4, Enginuity!$B$13=6)),
      AND(
        LEFT(P4223,5)&lt;&gt;"1-Way",
        LEFT(P4223,5)&lt;&gt;"2-Way",
        LEFT(P4223,5)&lt;&gt;"3-Way",
        P4223&lt;&gt;"Inner Centre Jamb"
      )
    ),
    IF(OR(Enginuity!$A$1="Frameless Glass",Enginuity!$A$1="Metal Work"),
      AND(TRIM(B4223)=TRIM(Enginuity!$A$17),TRIM(C4223)=TRIM(Enginuity!$A$18)),
      TRIM(B4223)=TRIM(Enginuity!$A$17)
    )
  ),
  ROW(),
  ""
)</f>
        <v/>
      </c>
    </row>
    <row r="4224" spans="21:21" x14ac:dyDescent="0.25">
      <c r="U4224" s="104" t="str">
        <f>IF(
  AND(
    TRIM(A4224)=TRIM(Enginuity!$A$1),
    TRIM(B4224)=TRIM(Enginuity!$A$17),
    Q4224&lt;&gt;"",
    Q4224&lt;&gt;0,
    OR(
      TRIM(C4224)=TRIM(Enginuity!$A$18),
      AND(UPPER(TRIM(M4224))="STD", TRIM(B4224)=TRIM(Enginuity!$A$17))
    ),
    OR(
      AND(LEFT(P4224,5)="1-Way", Enginuity!$B$13=1),
      AND(LEFT(P4224,5)="2-Way", OR(Enginuity!$B$13=2, Enginuity!$B$13=4)),
      AND(LEFT(P4224,5)="3-Way", OR(Enginuity!$B$13=3, Enginuity!$B$13=6)),
      AND(P4224="Inner Centre Jamb", OR(Enginuity!$B$13=4, Enginuity!$B$13=6)),
      AND(
        LEFT(P4224,5)&lt;&gt;"1-Way",
        LEFT(P4224,5)&lt;&gt;"2-Way",
        LEFT(P4224,5)&lt;&gt;"3-Way",
        P4224&lt;&gt;"Inner Centre Jamb"
      )
    ),
    IF(OR(Enginuity!$A$1="Frameless Glass",Enginuity!$A$1="Metal Work"),
      AND(TRIM(B4224)=TRIM(Enginuity!$A$17),TRIM(C4224)=TRIM(Enginuity!$A$18)),
      TRIM(B4224)=TRIM(Enginuity!$A$17)
    )
  ),
  ROW(),
  ""
)</f>
        <v/>
      </c>
    </row>
    <row r="4225" spans="21:21" x14ac:dyDescent="0.25">
      <c r="U4225" s="104" t="str">
        <f>IF(
  AND(
    TRIM(A4225)=TRIM(Enginuity!$A$1),
    TRIM(B4225)=TRIM(Enginuity!$A$17),
    Q4225&lt;&gt;"",
    Q4225&lt;&gt;0,
    OR(
      TRIM(C4225)=TRIM(Enginuity!$A$18),
      AND(UPPER(TRIM(M4225))="STD", TRIM(B4225)=TRIM(Enginuity!$A$17))
    ),
    OR(
      AND(LEFT(P4225,5)="1-Way", Enginuity!$B$13=1),
      AND(LEFT(P4225,5)="2-Way", OR(Enginuity!$B$13=2, Enginuity!$B$13=4)),
      AND(LEFT(P4225,5)="3-Way", OR(Enginuity!$B$13=3, Enginuity!$B$13=6)),
      AND(P4225="Inner Centre Jamb", OR(Enginuity!$B$13=4, Enginuity!$B$13=6)),
      AND(
        LEFT(P4225,5)&lt;&gt;"1-Way",
        LEFT(P4225,5)&lt;&gt;"2-Way",
        LEFT(P4225,5)&lt;&gt;"3-Way",
        P4225&lt;&gt;"Inner Centre Jamb"
      )
    ),
    IF(OR(Enginuity!$A$1="Frameless Glass",Enginuity!$A$1="Metal Work"),
      AND(TRIM(B4225)=TRIM(Enginuity!$A$17),TRIM(C4225)=TRIM(Enginuity!$A$18)),
      TRIM(B4225)=TRIM(Enginuity!$A$17)
    )
  ),
  ROW(),
  ""
)</f>
        <v/>
      </c>
    </row>
    <row r="4226" spans="21:21" x14ac:dyDescent="0.25">
      <c r="U4226" s="104" t="str">
        <f>IF(
  AND(
    TRIM(A4226)=TRIM(Enginuity!$A$1),
    TRIM(B4226)=TRIM(Enginuity!$A$17),
    Q4226&lt;&gt;"",
    Q4226&lt;&gt;0,
    OR(
      TRIM(C4226)=TRIM(Enginuity!$A$18),
      AND(UPPER(TRIM(M4226))="STD", TRIM(B4226)=TRIM(Enginuity!$A$17))
    ),
    OR(
      AND(LEFT(P4226,5)="1-Way", Enginuity!$B$13=1),
      AND(LEFT(P4226,5)="2-Way", OR(Enginuity!$B$13=2, Enginuity!$B$13=4)),
      AND(LEFT(P4226,5)="3-Way", OR(Enginuity!$B$13=3, Enginuity!$B$13=6)),
      AND(P4226="Inner Centre Jamb", OR(Enginuity!$B$13=4, Enginuity!$B$13=6)),
      AND(
        LEFT(P4226,5)&lt;&gt;"1-Way",
        LEFT(P4226,5)&lt;&gt;"2-Way",
        LEFT(P4226,5)&lt;&gt;"3-Way",
        P4226&lt;&gt;"Inner Centre Jamb"
      )
    ),
    IF(OR(Enginuity!$A$1="Frameless Glass",Enginuity!$A$1="Metal Work"),
      AND(TRIM(B4226)=TRIM(Enginuity!$A$17),TRIM(C4226)=TRIM(Enginuity!$A$18)),
      TRIM(B4226)=TRIM(Enginuity!$A$17)
    )
  ),
  ROW(),
  ""
)</f>
        <v/>
      </c>
    </row>
    <row r="4227" spans="21:21" x14ac:dyDescent="0.25">
      <c r="U4227" s="104" t="str">
        <f>IF(
  AND(
    TRIM(A4227)=TRIM(Enginuity!$A$1),
    TRIM(B4227)=TRIM(Enginuity!$A$17),
    Q4227&lt;&gt;"",
    Q4227&lt;&gt;0,
    OR(
      TRIM(C4227)=TRIM(Enginuity!$A$18),
      AND(UPPER(TRIM(M4227))="STD", TRIM(B4227)=TRIM(Enginuity!$A$17))
    ),
    OR(
      AND(LEFT(P4227,5)="1-Way", Enginuity!$B$13=1),
      AND(LEFT(P4227,5)="2-Way", OR(Enginuity!$B$13=2, Enginuity!$B$13=4)),
      AND(LEFT(P4227,5)="3-Way", OR(Enginuity!$B$13=3, Enginuity!$B$13=6)),
      AND(P4227="Inner Centre Jamb", OR(Enginuity!$B$13=4, Enginuity!$B$13=6)),
      AND(
        LEFT(P4227,5)&lt;&gt;"1-Way",
        LEFT(P4227,5)&lt;&gt;"2-Way",
        LEFT(P4227,5)&lt;&gt;"3-Way",
        P4227&lt;&gt;"Inner Centre Jamb"
      )
    ),
    IF(OR(Enginuity!$A$1="Frameless Glass",Enginuity!$A$1="Metal Work"),
      AND(TRIM(B4227)=TRIM(Enginuity!$A$17),TRIM(C4227)=TRIM(Enginuity!$A$18)),
      TRIM(B4227)=TRIM(Enginuity!$A$17)
    )
  ),
  ROW(),
  ""
)</f>
        <v/>
      </c>
    </row>
    <row r="4228" spans="21:21" x14ac:dyDescent="0.25">
      <c r="U4228" s="104" t="str">
        <f>IF(
  AND(
    TRIM(A4228)=TRIM(Enginuity!$A$1),
    TRIM(B4228)=TRIM(Enginuity!$A$17),
    Q4228&lt;&gt;"",
    Q4228&lt;&gt;0,
    OR(
      TRIM(C4228)=TRIM(Enginuity!$A$18),
      AND(UPPER(TRIM(M4228))="STD", TRIM(B4228)=TRIM(Enginuity!$A$17))
    ),
    OR(
      AND(LEFT(P4228,5)="1-Way", Enginuity!$B$13=1),
      AND(LEFT(P4228,5)="2-Way", OR(Enginuity!$B$13=2, Enginuity!$B$13=4)),
      AND(LEFT(P4228,5)="3-Way", OR(Enginuity!$B$13=3, Enginuity!$B$13=6)),
      AND(P4228="Inner Centre Jamb", OR(Enginuity!$B$13=4, Enginuity!$B$13=6)),
      AND(
        LEFT(P4228,5)&lt;&gt;"1-Way",
        LEFT(P4228,5)&lt;&gt;"2-Way",
        LEFT(P4228,5)&lt;&gt;"3-Way",
        P4228&lt;&gt;"Inner Centre Jamb"
      )
    ),
    IF(OR(Enginuity!$A$1="Frameless Glass",Enginuity!$A$1="Metal Work"),
      AND(TRIM(B4228)=TRIM(Enginuity!$A$17),TRIM(C4228)=TRIM(Enginuity!$A$18)),
      TRIM(B4228)=TRIM(Enginuity!$A$17)
    )
  ),
  ROW(),
  ""
)</f>
        <v/>
      </c>
    </row>
    <row r="4229" spans="21:21" x14ac:dyDescent="0.25">
      <c r="U4229" s="104" t="str">
        <f>IF(
  AND(
    TRIM(A4229)=TRIM(Enginuity!$A$1),
    TRIM(B4229)=TRIM(Enginuity!$A$17),
    Q4229&lt;&gt;"",
    Q4229&lt;&gt;0,
    OR(
      TRIM(C4229)=TRIM(Enginuity!$A$18),
      AND(UPPER(TRIM(M4229))="STD", TRIM(B4229)=TRIM(Enginuity!$A$17))
    ),
    OR(
      AND(LEFT(P4229,5)="1-Way", Enginuity!$B$13=1),
      AND(LEFT(P4229,5)="2-Way", OR(Enginuity!$B$13=2, Enginuity!$B$13=4)),
      AND(LEFT(P4229,5)="3-Way", OR(Enginuity!$B$13=3, Enginuity!$B$13=6)),
      AND(P4229="Inner Centre Jamb", OR(Enginuity!$B$13=4, Enginuity!$B$13=6)),
      AND(
        LEFT(P4229,5)&lt;&gt;"1-Way",
        LEFT(P4229,5)&lt;&gt;"2-Way",
        LEFT(P4229,5)&lt;&gt;"3-Way",
        P4229&lt;&gt;"Inner Centre Jamb"
      )
    ),
    IF(OR(Enginuity!$A$1="Frameless Glass",Enginuity!$A$1="Metal Work"),
      AND(TRIM(B4229)=TRIM(Enginuity!$A$17),TRIM(C4229)=TRIM(Enginuity!$A$18)),
      TRIM(B4229)=TRIM(Enginuity!$A$17)
    )
  ),
  ROW(),
  ""
)</f>
        <v/>
      </c>
    </row>
    <row r="4230" spans="21:21" x14ac:dyDescent="0.25">
      <c r="U4230" s="104" t="str">
        <f>IF(
  AND(
    TRIM(A4230)=TRIM(Enginuity!$A$1),
    TRIM(B4230)=TRIM(Enginuity!$A$17),
    Q4230&lt;&gt;"",
    Q4230&lt;&gt;0,
    OR(
      TRIM(C4230)=TRIM(Enginuity!$A$18),
      AND(UPPER(TRIM(M4230))="STD", TRIM(B4230)=TRIM(Enginuity!$A$17))
    ),
    OR(
      AND(LEFT(P4230,5)="1-Way", Enginuity!$B$13=1),
      AND(LEFT(P4230,5)="2-Way", OR(Enginuity!$B$13=2, Enginuity!$B$13=4)),
      AND(LEFT(P4230,5)="3-Way", OR(Enginuity!$B$13=3, Enginuity!$B$13=6)),
      AND(P4230="Inner Centre Jamb", OR(Enginuity!$B$13=4, Enginuity!$B$13=6)),
      AND(
        LEFT(P4230,5)&lt;&gt;"1-Way",
        LEFT(P4230,5)&lt;&gt;"2-Way",
        LEFT(P4230,5)&lt;&gt;"3-Way",
        P4230&lt;&gt;"Inner Centre Jamb"
      )
    ),
    IF(OR(Enginuity!$A$1="Frameless Glass",Enginuity!$A$1="Metal Work"),
      AND(TRIM(B4230)=TRIM(Enginuity!$A$17),TRIM(C4230)=TRIM(Enginuity!$A$18)),
      TRIM(B4230)=TRIM(Enginuity!$A$17)
    )
  ),
  ROW(),
  ""
)</f>
        <v/>
      </c>
    </row>
    <row r="4231" spans="21:21" x14ac:dyDescent="0.25">
      <c r="U4231" s="104" t="str">
        <f>IF(
  AND(
    TRIM(A4231)=TRIM(Enginuity!$A$1),
    TRIM(B4231)=TRIM(Enginuity!$A$17),
    Q4231&lt;&gt;"",
    Q4231&lt;&gt;0,
    OR(
      TRIM(C4231)=TRIM(Enginuity!$A$18),
      AND(UPPER(TRIM(M4231))="STD", TRIM(B4231)=TRIM(Enginuity!$A$17))
    ),
    OR(
      AND(LEFT(P4231,5)="1-Way", Enginuity!$B$13=1),
      AND(LEFT(P4231,5)="2-Way", OR(Enginuity!$B$13=2, Enginuity!$B$13=4)),
      AND(LEFT(P4231,5)="3-Way", OR(Enginuity!$B$13=3, Enginuity!$B$13=6)),
      AND(P4231="Inner Centre Jamb", OR(Enginuity!$B$13=4, Enginuity!$B$13=6)),
      AND(
        LEFT(P4231,5)&lt;&gt;"1-Way",
        LEFT(P4231,5)&lt;&gt;"2-Way",
        LEFT(P4231,5)&lt;&gt;"3-Way",
        P4231&lt;&gt;"Inner Centre Jamb"
      )
    ),
    IF(OR(Enginuity!$A$1="Frameless Glass",Enginuity!$A$1="Metal Work"),
      AND(TRIM(B4231)=TRIM(Enginuity!$A$17),TRIM(C4231)=TRIM(Enginuity!$A$18)),
      TRIM(B4231)=TRIM(Enginuity!$A$17)
    )
  ),
  ROW(),
  ""
)</f>
        <v/>
      </c>
    </row>
    <row r="4232" spans="21:21" x14ac:dyDescent="0.25">
      <c r="U4232" s="104" t="str">
        <f>IF(
  AND(
    TRIM(A4232)=TRIM(Enginuity!$A$1),
    TRIM(B4232)=TRIM(Enginuity!$A$17),
    Q4232&lt;&gt;"",
    Q4232&lt;&gt;0,
    OR(
      TRIM(C4232)=TRIM(Enginuity!$A$18),
      AND(UPPER(TRIM(M4232))="STD", TRIM(B4232)=TRIM(Enginuity!$A$17))
    ),
    OR(
      AND(LEFT(P4232,5)="1-Way", Enginuity!$B$13=1),
      AND(LEFT(P4232,5)="2-Way", OR(Enginuity!$B$13=2, Enginuity!$B$13=4)),
      AND(LEFT(P4232,5)="3-Way", OR(Enginuity!$B$13=3, Enginuity!$B$13=6)),
      AND(P4232="Inner Centre Jamb", OR(Enginuity!$B$13=4, Enginuity!$B$13=6)),
      AND(
        LEFT(P4232,5)&lt;&gt;"1-Way",
        LEFT(P4232,5)&lt;&gt;"2-Way",
        LEFT(P4232,5)&lt;&gt;"3-Way",
        P4232&lt;&gt;"Inner Centre Jamb"
      )
    ),
    IF(OR(Enginuity!$A$1="Frameless Glass",Enginuity!$A$1="Metal Work"),
      AND(TRIM(B4232)=TRIM(Enginuity!$A$17),TRIM(C4232)=TRIM(Enginuity!$A$18)),
      TRIM(B4232)=TRIM(Enginuity!$A$17)
    )
  ),
  ROW(),
  ""
)</f>
        <v/>
      </c>
    </row>
    <row r="4233" spans="21:21" x14ac:dyDescent="0.25">
      <c r="U4233" s="104" t="str">
        <f>IF(
  AND(
    TRIM(A4233)=TRIM(Enginuity!$A$1),
    TRIM(B4233)=TRIM(Enginuity!$A$17),
    Q4233&lt;&gt;"",
    Q4233&lt;&gt;0,
    OR(
      TRIM(C4233)=TRIM(Enginuity!$A$18),
      AND(UPPER(TRIM(M4233))="STD", TRIM(B4233)=TRIM(Enginuity!$A$17))
    ),
    OR(
      AND(LEFT(P4233,5)="1-Way", Enginuity!$B$13=1),
      AND(LEFT(P4233,5)="2-Way", OR(Enginuity!$B$13=2, Enginuity!$B$13=4)),
      AND(LEFT(P4233,5)="3-Way", OR(Enginuity!$B$13=3, Enginuity!$B$13=6)),
      AND(P4233="Inner Centre Jamb", OR(Enginuity!$B$13=4, Enginuity!$B$13=6)),
      AND(
        LEFT(P4233,5)&lt;&gt;"1-Way",
        LEFT(P4233,5)&lt;&gt;"2-Way",
        LEFT(P4233,5)&lt;&gt;"3-Way",
        P4233&lt;&gt;"Inner Centre Jamb"
      )
    ),
    IF(OR(Enginuity!$A$1="Frameless Glass",Enginuity!$A$1="Metal Work"),
      AND(TRIM(B4233)=TRIM(Enginuity!$A$17),TRIM(C4233)=TRIM(Enginuity!$A$18)),
      TRIM(B4233)=TRIM(Enginuity!$A$17)
    )
  ),
  ROW(),
  ""
)</f>
        <v/>
      </c>
    </row>
    <row r="4234" spans="21:21" x14ac:dyDescent="0.25">
      <c r="U4234" s="104" t="str">
        <f>IF(
  AND(
    TRIM(A4234)=TRIM(Enginuity!$A$1),
    TRIM(B4234)=TRIM(Enginuity!$A$17),
    Q4234&lt;&gt;"",
    Q4234&lt;&gt;0,
    OR(
      TRIM(C4234)=TRIM(Enginuity!$A$18),
      AND(UPPER(TRIM(M4234))="STD", TRIM(B4234)=TRIM(Enginuity!$A$17))
    ),
    OR(
      AND(LEFT(P4234,5)="1-Way", Enginuity!$B$13=1),
      AND(LEFT(P4234,5)="2-Way", OR(Enginuity!$B$13=2, Enginuity!$B$13=4)),
      AND(LEFT(P4234,5)="3-Way", OR(Enginuity!$B$13=3, Enginuity!$B$13=6)),
      AND(P4234="Inner Centre Jamb", OR(Enginuity!$B$13=4, Enginuity!$B$13=6)),
      AND(
        LEFT(P4234,5)&lt;&gt;"1-Way",
        LEFT(P4234,5)&lt;&gt;"2-Way",
        LEFT(P4234,5)&lt;&gt;"3-Way",
        P4234&lt;&gt;"Inner Centre Jamb"
      )
    ),
    IF(OR(Enginuity!$A$1="Frameless Glass",Enginuity!$A$1="Metal Work"),
      AND(TRIM(B4234)=TRIM(Enginuity!$A$17),TRIM(C4234)=TRIM(Enginuity!$A$18)),
      TRIM(B4234)=TRIM(Enginuity!$A$17)
    )
  ),
  ROW(),
  ""
)</f>
        <v/>
      </c>
    </row>
    <row r="4235" spans="21:21" x14ac:dyDescent="0.25">
      <c r="U4235" s="104" t="str">
        <f>IF(
  AND(
    TRIM(A4235)=TRIM(Enginuity!$A$1),
    TRIM(B4235)=TRIM(Enginuity!$A$17),
    Q4235&lt;&gt;"",
    Q4235&lt;&gt;0,
    OR(
      TRIM(C4235)=TRIM(Enginuity!$A$18),
      AND(UPPER(TRIM(M4235))="STD", TRIM(B4235)=TRIM(Enginuity!$A$17))
    ),
    OR(
      AND(LEFT(P4235,5)="1-Way", Enginuity!$B$13=1),
      AND(LEFT(P4235,5)="2-Way", OR(Enginuity!$B$13=2, Enginuity!$B$13=4)),
      AND(LEFT(P4235,5)="3-Way", OR(Enginuity!$B$13=3, Enginuity!$B$13=6)),
      AND(P4235="Inner Centre Jamb", OR(Enginuity!$B$13=4, Enginuity!$B$13=6)),
      AND(
        LEFT(P4235,5)&lt;&gt;"1-Way",
        LEFT(P4235,5)&lt;&gt;"2-Way",
        LEFT(P4235,5)&lt;&gt;"3-Way",
        P4235&lt;&gt;"Inner Centre Jamb"
      )
    ),
    IF(OR(Enginuity!$A$1="Frameless Glass",Enginuity!$A$1="Metal Work"),
      AND(TRIM(B4235)=TRIM(Enginuity!$A$17),TRIM(C4235)=TRIM(Enginuity!$A$18)),
      TRIM(B4235)=TRIM(Enginuity!$A$17)
    )
  ),
  ROW(),
  ""
)</f>
        <v/>
      </c>
    </row>
    <row r="4236" spans="21:21" x14ac:dyDescent="0.25">
      <c r="U4236" s="104" t="str">
        <f>IF(
  AND(
    TRIM(A4236)=TRIM(Enginuity!$A$1),
    TRIM(B4236)=TRIM(Enginuity!$A$17),
    Q4236&lt;&gt;"",
    Q4236&lt;&gt;0,
    OR(
      TRIM(C4236)=TRIM(Enginuity!$A$18),
      AND(UPPER(TRIM(M4236))="STD", TRIM(B4236)=TRIM(Enginuity!$A$17))
    ),
    OR(
      AND(LEFT(P4236,5)="1-Way", Enginuity!$B$13=1),
      AND(LEFT(P4236,5)="2-Way", OR(Enginuity!$B$13=2, Enginuity!$B$13=4)),
      AND(LEFT(P4236,5)="3-Way", OR(Enginuity!$B$13=3, Enginuity!$B$13=6)),
      AND(P4236="Inner Centre Jamb", OR(Enginuity!$B$13=4, Enginuity!$B$13=6)),
      AND(
        LEFT(P4236,5)&lt;&gt;"1-Way",
        LEFT(P4236,5)&lt;&gt;"2-Way",
        LEFT(P4236,5)&lt;&gt;"3-Way",
        P4236&lt;&gt;"Inner Centre Jamb"
      )
    ),
    IF(OR(Enginuity!$A$1="Frameless Glass",Enginuity!$A$1="Metal Work"),
      AND(TRIM(B4236)=TRIM(Enginuity!$A$17),TRIM(C4236)=TRIM(Enginuity!$A$18)),
      TRIM(B4236)=TRIM(Enginuity!$A$17)
    )
  ),
  ROW(),
  ""
)</f>
        <v/>
      </c>
    </row>
    <row r="4237" spans="21:21" x14ac:dyDescent="0.25">
      <c r="U4237" s="104" t="str">
        <f>IF(
  AND(
    TRIM(A4237)=TRIM(Enginuity!$A$1),
    TRIM(B4237)=TRIM(Enginuity!$A$17),
    Q4237&lt;&gt;"",
    Q4237&lt;&gt;0,
    OR(
      TRIM(C4237)=TRIM(Enginuity!$A$18),
      AND(UPPER(TRIM(M4237))="STD", TRIM(B4237)=TRIM(Enginuity!$A$17))
    ),
    OR(
      AND(LEFT(P4237,5)="1-Way", Enginuity!$B$13=1),
      AND(LEFT(P4237,5)="2-Way", OR(Enginuity!$B$13=2, Enginuity!$B$13=4)),
      AND(LEFT(P4237,5)="3-Way", OR(Enginuity!$B$13=3, Enginuity!$B$13=6)),
      AND(P4237="Inner Centre Jamb", OR(Enginuity!$B$13=4, Enginuity!$B$13=6)),
      AND(
        LEFT(P4237,5)&lt;&gt;"1-Way",
        LEFT(P4237,5)&lt;&gt;"2-Way",
        LEFT(P4237,5)&lt;&gt;"3-Way",
        P4237&lt;&gt;"Inner Centre Jamb"
      )
    ),
    IF(OR(Enginuity!$A$1="Frameless Glass",Enginuity!$A$1="Metal Work"),
      AND(TRIM(B4237)=TRIM(Enginuity!$A$17),TRIM(C4237)=TRIM(Enginuity!$A$18)),
      TRIM(B4237)=TRIM(Enginuity!$A$17)
    )
  ),
  ROW(),
  ""
)</f>
        <v/>
      </c>
    </row>
    <row r="4238" spans="21:21" x14ac:dyDescent="0.25">
      <c r="U4238" s="104" t="str">
        <f>IF(
  AND(
    TRIM(A4238)=TRIM(Enginuity!$A$1),
    TRIM(B4238)=TRIM(Enginuity!$A$17),
    Q4238&lt;&gt;"",
    Q4238&lt;&gt;0,
    OR(
      TRIM(C4238)=TRIM(Enginuity!$A$18),
      AND(UPPER(TRIM(M4238))="STD", TRIM(B4238)=TRIM(Enginuity!$A$17))
    ),
    OR(
      AND(LEFT(P4238,5)="1-Way", Enginuity!$B$13=1),
      AND(LEFT(P4238,5)="2-Way", OR(Enginuity!$B$13=2, Enginuity!$B$13=4)),
      AND(LEFT(P4238,5)="3-Way", OR(Enginuity!$B$13=3, Enginuity!$B$13=6)),
      AND(P4238="Inner Centre Jamb", OR(Enginuity!$B$13=4, Enginuity!$B$13=6)),
      AND(
        LEFT(P4238,5)&lt;&gt;"1-Way",
        LEFT(P4238,5)&lt;&gt;"2-Way",
        LEFT(P4238,5)&lt;&gt;"3-Way",
        P4238&lt;&gt;"Inner Centre Jamb"
      )
    ),
    IF(OR(Enginuity!$A$1="Frameless Glass",Enginuity!$A$1="Metal Work"),
      AND(TRIM(B4238)=TRIM(Enginuity!$A$17),TRIM(C4238)=TRIM(Enginuity!$A$18)),
      TRIM(B4238)=TRIM(Enginuity!$A$17)
    )
  ),
  ROW(),
  ""
)</f>
        <v/>
      </c>
    </row>
    <row r="4239" spans="21:21" x14ac:dyDescent="0.25">
      <c r="U4239" s="104" t="str">
        <f>IF(
  AND(
    TRIM(A4239)=TRIM(Enginuity!$A$1),
    TRIM(B4239)=TRIM(Enginuity!$A$17),
    Q4239&lt;&gt;"",
    Q4239&lt;&gt;0,
    OR(
      TRIM(C4239)=TRIM(Enginuity!$A$18),
      AND(UPPER(TRIM(M4239))="STD", TRIM(B4239)=TRIM(Enginuity!$A$17))
    ),
    OR(
      AND(LEFT(P4239,5)="1-Way", Enginuity!$B$13=1),
      AND(LEFT(P4239,5)="2-Way", OR(Enginuity!$B$13=2, Enginuity!$B$13=4)),
      AND(LEFT(P4239,5)="3-Way", OR(Enginuity!$B$13=3, Enginuity!$B$13=6)),
      AND(P4239="Inner Centre Jamb", OR(Enginuity!$B$13=4, Enginuity!$B$13=6)),
      AND(
        LEFT(P4239,5)&lt;&gt;"1-Way",
        LEFT(P4239,5)&lt;&gt;"2-Way",
        LEFT(P4239,5)&lt;&gt;"3-Way",
        P4239&lt;&gt;"Inner Centre Jamb"
      )
    ),
    IF(OR(Enginuity!$A$1="Frameless Glass",Enginuity!$A$1="Metal Work"),
      AND(TRIM(B4239)=TRIM(Enginuity!$A$17),TRIM(C4239)=TRIM(Enginuity!$A$18)),
      TRIM(B4239)=TRIM(Enginuity!$A$17)
    )
  ),
  ROW(),
  ""
)</f>
        <v/>
      </c>
    </row>
    <row r="4240" spans="21:21" x14ac:dyDescent="0.25">
      <c r="U4240" s="104" t="str">
        <f>IF(
  AND(
    TRIM(A4240)=TRIM(Enginuity!$A$1),
    TRIM(B4240)=TRIM(Enginuity!$A$17),
    Q4240&lt;&gt;"",
    Q4240&lt;&gt;0,
    OR(
      TRIM(C4240)=TRIM(Enginuity!$A$18),
      AND(UPPER(TRIM(M4240))="STD", TRIM(B4240)=TRIM(Enginuity!$A$17))
    ),
    OR(
      AND(LEFT(P4240,5)="1-Way", Enginuity!$B$13=1),
      AND(LEFT(P4240,5)="2-Way", OR(Enginuity!$B$13=2, Enginuity!$B$13=4)),
      AND(LEFT(P4240,5)="3-Way", OR(Enginuity!$B$13=3, Enginuity!$B$13=6)),
      AND(P4240="Inner Centre Jamb", OR(Enginuity!$B$13=4, Enginuity!$B$13=6)),
      AND(
        LEFT(P4240,5)&lt;&gt;"1-Way",
        LEFT(P4240,5)&lt;&gt;"2-Way",
        LEFT(P4240,5)&lt;&gt;"3-Way",
        P4240&lt;&gt;"Inner Centre Jamb"
      )
    ),
    IF(OR(Enginuity!$A$1="Frameless Glass",Enginuity!$A$1="Metal Work"),
      AND(TRIM(B4240)=TRIM(Enginuity!$A$17),TRIM(C4240)=TRIM(Enginuity!$A$18)),
      TRIM(B4240)=TRIM(Enginuity!$A$17)
    )
  ),
  ROW(),
  ""
)</f>
        <v/>
      </c>
    </row>
    <row r="4241" spans="21:21" x14ac:dyDescent="0.25">
      <c r="U4241" s="104" t="str">
        <f>IF(
  AND(
    TRIM(A4241)=TRIM(Enginuity!$A$1),
    TRIM(B4241)=TRIM(Enginuity!$A$17),
    Q4241&lt;&gt;"",
    Q4241&lt;&gt;0,
    OR(
      TRIM(C4241)=TRIM(Enginuity!$A$18),
      AND(UPPER(TRIM(M4241))="STD", TRIM(B4241)=TRIM(Enginuity!$A$17))
    ),
    OR(
      AND(LEFT(P4241,5)="1-Way", Enginuity!$B$13=1),
      AND(LEFT(P4241,5)="2-Way", OR(Enginuity!$B$13=2, Enginuity!$B$13=4)),
      AND(LEFT(P4241,5)="3-Way", OR(Enginuity!$B$13=3, Enginuity!$B$13=6)),
      AND(P4241="Inner Centre Jamb", OR(Enginuity!$B$13=4, Enginuity!$B$13=6)),
      AND(
        LEFT(P4241,5)&lt;&gt;"1-Way",
        LEFT(P4241,5)&lt;&gt;"2-Way",
        LEFT(P4241,5)&lt;&gt;"3-Way",
        P4241&lt;&gt;"Inner Centre Jamb"
      )
    ),
    IF(OR(Enginuity!$A$1="Frameless Glass",Enginuity!$A$1="Metal Work"),
      AND(TRIM(B4241)=TRIM(Enginuity!$A$17),TRIM(C4241)=TRIM(Enginuity!$A$18)),
      TRIM(B4241)=TRIM(Enginuity!$A$17)
    )
  ),
  ROW(),
  ""
)</f>
        <v/>
      </c>
    </row>
    <row r="4242" spans="21:21" x14ac:dyDescent="0.25">
      <c r="U4242" s="104" t="str">
        <f>IF(
  AND(
    TRIM(A4242)=TRIM(Enginuity!$A$1),
    TRIM(B4242)=TRIM(Enginuity!$A$17),
    Q4242&lt;&gt;"",
    Q4242&lt;&gt;0,
    OR(
      TRIM(C4242)=TRIM(Enginuity!$A$18),
      AND(UPPER(TRIM(M4242))="STD", TRIM(B4242)=TRIM(Enginuity!$A$17))
    ),
    OR(
      AND(LEFT(P4242,5)="1-Way", Enginuity!$B$13=1),
      AND(LEFT(P4242,5)="2-Way", OR(Enginuity!$B$13=2, Enginuity!$B$13=4)),
      AND(LEFT(P4242,5)="3-Way", OR(Enginuity!$B$13=3, Enginuity!$B$13=6)),
      AND(P4242="Inner Centre Jamb", OR(Enginuity!$B$13=4, Enginuity!$B$13=6)),
      AND(
        LEFT(P4242,5)&lt;&gt;"1-Way",
        LEFT(P4242,5)&lt;&gt;"2-Way",
        LEFT(P4242,5)&lt;&gt;"3-Way",
        P4242&lt;&gt;"Inner Centre Jamb"
      )
    ),
    IF(OR(Enginuity!$A$1="Frameless Glass",Enginuity!$A$1="Metal Work"),
      AND(TRIM(B4242)=TRIM(Enginuity!$A$17),TRIM(C4242)=TRIM(Enginuity!$A$18)),
      TRIM(B4242)=TRIM(Enginuity!$A$17)
    )
  ),
  ROW(),
  ""
)</f>
        <v/>
      </c>
    </row>
    <row r="4243" spans="21:21" x14ac:dyDescent="0.25">
      <c r="U4243" s="104" t="str">
        <f>IF(
  AND(
    TRIM(A4243)=TRIM(Enginuity!$A$1),
    TRIM(B4243)=TRIM(Enginuity!$A$17),
    Q4243&lt;&gt;"",
    Q4243&lt;&gt;0,
    OR(
      TRIM(C4243)=TRIM(Enginuity!$A$18),
      AND(UPPER(TRIM(M4243))="STD", TRIM(B4243)=TRIM(Enginuity!$A$17))
    ),
    OR(
      AND(LEFT(P4243,5)="1-Way", Enginuity!$B$13=1),
      AND(LEFT(P4243,5)="2-Way", OR(Enginuity!$B$13=2, Enginuity!$B$13=4)),
      AND(LEFT(P4243,5)="3-Way", OR(Enginuity!$B$13=3, Enginuity!$B$13=6)),
      AND(P4243="Inner Centre Jamb", OR(Enginuity!$B$13=4, Enginuity!$B$13=6)),
      AND(
        LEFT(P4243,5)&lt;&gt;"1-Way",
        LEFT(P4243,5)&lt;&gt;"2-Way",
        LEFT(P4243,5)&lt;&gt;"3-Way",
        P4243&lt;&gt;"Inner Centre Jamb"
      )
    ),
    IF(OR(Enginuity!$A$1="Frameless Glass",Enginuity!$A$1="Metal Work"),
      AND(TRIM(B4243)=TRIM(Enginuity!$A$17),TRIM(C4243)=TRIM(Enginuity!$A$18)),
      TRIM(B4243)=TRIM(Enginuity!$A$17)
    )
  ),
  ROW(),
  ""
)</f>
        <v/>
      </c>
    </row>
    <row r="4244" spans="21:21" x14ac:dyDescent="0.25">
      <c r="U4244" s="104" t="str">
        <f>IF(
  AND(
    TRIM(A4244)=TRIM(Enginuity!$A$1),
    TRIM(B4244)=TRIM(Enginuity!$A$17),
    Q4244&lt;&gt;"",
    Q4244&lt;&gt;0,
    OR(
      TRIM(C4244)=TRIM(Enginuity!$A$18),
      AND(UPPER(TRIM(M4244))="STD", TRIM(B4244)=TRIM(Enginuity!$A$17))
    ),
    OR(
      AND(LEFT(P4244,5)="1-Way", Enginuity!$B$13=1),
      AND(LEFT(P4244,5)="2-Way", OR(Enginuity!$B$13=2, Enginuity!$B$13=4)),
      AND(LEFT(P4244,5)="3-Way", OR(Enginuity!$B$13=3, Enginuity!$B$13=6)),
      AND(P4244="Inner Centre Jamb", OR(Enginuity!$B$13=4, Enginuity!$B$13=6)),
      AND(
        LEFT(P4244,5)&lt;&gt;"1-Way",
        LEFT(P4244,5)&lt;&gt;"2-Way",
        LEFT(P4244,5)&lt;&gt;"3-Way",
        P4244&lt;&gt;"Inner Centre Jamb"
      )
    ),
    IF(OR(Enginuity!$A$1="Frameless Glass",Enginuity!$A$1="Metal Work"),
      AND(TRIM(B4244)=TRIM(Enginuity!$A$17),TRIM(C4244)=TRIM(Enginuity!$A$18)),
      TRIM(B4244)=TRIM(Enginuity!$A$17)
    )
  ),
  ROW(),
  ""
)</f>
        <v/>
      </c>
    </row>
    <row r="4245" spans="21:21" x14ac:dyDescent="0.25">
      <c r="U4245" s="104" t="str">
        <f>IF(
  AND(
    TRIM(A4245)=TRIM(Enginuity!$A$1),
    TRIM(B4245)=TRIM(Enginuity!$A$17),
    Q4245&lt;&gt;"",
    Q4245&lt;&gt;0,
    OR(
      TRIM(C4245)=TRIM(Enginuity!$A$18),
      AND(UPPER(TRIM(M4245))="STD", TRIM(B4245)=TRIM(Enginuity!$A$17))
    ),
    OR(
      AND(LEFT(P4245,5)="1-Way", Enginuity!$B$13=1),
      AND(LEFT(P4245,5)="2-Way", OR(Enginuity!$B$13=2, Enginuity!$B$13=4)),
      AND(LEFT(P4245,5)="3-Way", OR(Enginuity!$B$13=3, Enginuity!$B$13=6)),
      AND(P4245="Inner Centre Jamb", OR(Enginuity!$B$13=4, Enginuity!$B$13=6)),
      AND(
        LEFT(P4245,5)&lt;&gt;"1-Way",
        LEFT(P4245,5)&lt;&gt;"2-Way",
        LEFT(P4245,5)&lt;&gt;"3-Way",
        P4245&lt;&gt;"Inner Centre Jamb"
      )
    ),
    IF(OR(Enginuity!$A$1="Frameless Glass",Enginuity!$A$1="Metal Work"),
      AND(TRIM(B4245)=TRIM(Enginuity!$A$17),TRIM(C4245)=TRIM(Enginuity!$A$18)),
      TRIM(B4245)=TRIM(Enginuity!$A$17)
    )
  ),
  ROW(),
  ""
)</f>
        <v/>
      </c>
    </row>
    <row r="4246" spans="21:21" x14ac:dyDescent="0.25">
      <c r="U4246" s="104" t="str">
        <f>IF(
  AND(
    TRIM(A4246)=TRIM(Enginuity!$A$1),
    TRIM(B4246)=TRIM(Enginuity!$A$17),
    Q4246&lt;&gt;"",
    Q4246&lt;&gt;0,
    OR(
      TRIM(C4246)=TRIM(Enginuity!$A$18),
      AND(UPPER(TRIM(M4246))="STD", TRIM(B4246)=TRIM(Enginuity!$A$17))
    ),
    OR(
      AND(LEFT(P4246,5)="1-Way", Enginuity!$B$13=1),
      AND(LEFT(P4246,5)="2-Way", OR(Enginuity!$B$13=2, Enginuity!$B$13=4)),
      AND(LEFT(P4246,5)="3-Way", OR(Enginuity!$B$13=3, Enginuity!$B$13=6)),
      AND(P4246="Inner Centre Jamb", OR(Enginuity!$B$13=4, Enginuity!$B$13=6)),
      AND(
        LEFT(P4246,5)&lt;&gt;"1-Way",
        LEFT(P4246,5)&lt;&gt;"2-Way",
        LEFT(P4246,5)&lt;&gt;"3-Way",
        P4246&lt;&gt;"Inner Centre Jamb"
      )
    ),
    IF(OR(Enginuity!$A$1="Frameless Glass",Enginuity!$A$1="Metal Work"),
      AND(TRIM(B4246)=TRIM(Enginuity!$A$17),TRIM(C4246)=TRIM(Enginuity!$A$18)),
      TRIM(B4246)=TRIM(Enginuity!$A$17)
    )
  ),
  ROW(),
  ""
)</f>
        <v/>
      </c>
    </row>
    <row r="4247" spans="21:21" x14ac:dyDescent="0.25">
      <c r="U4247" s="104" t="str">
        <f>IF(
  AND(
    TRIM(A4247)=TRIM(Enginuity!$A$1),
    TRIM(B4247)=TRIM(Enginuity!$A$17),
    Q4247&lt;&gt;"",
    Q4247&lt;&gt;0,
    OR(
      TRIM(C4247)=TRIM(Enginuity!$A$18),
      AND(UPPER(TRIM(M4247))="STD", TRIM(B4247)=TRIM(Enginuity!$A$17))
    ),
    OR(
      AND(LEFT(P4247,5)="1-Way", Enginuity!$B$13=1),
      AND(LEFT(P4247,5)="2-Way", OR(Enginuity!$B$13=2, Enginuity!$B$13=4)),
      AND(LEFT(P4247,5)="3-Way", OR(Enginuity!$B$13=3, Enginuity!$B$13=6)),
      AND(P4247="Inner Centre Jamb", OR(Enginuity!$B$13=4, Enginuity!$B$13=6)),
      AND(
        LEFT(P4247,5)&lt;&gt;"1-Way",
        LEFT(P4247,5)&lt;&gt;"2-Way",
        LEFT(P4247,5)&lt;&gt;"3-Way",
        P4247&lt;&gt;"Inner Centre Jamb"
      )
    ),
    IF(OR(Enginuity!$A$1="Frameless Glass",Enginuity!$A$1="Metal Work"),
      AND(TRIM(B4247)=TRIM(Enginuity!$A$17),TRIM(C4247)=TRIM(Enginuity!$A$18)),
      TRIM(B4247)=TRIM(Enginuity!$A$17)
    )
  ),
  ROW(),
  ""
)</f>
        <v/>
      </c>
    </row>
    <row r="4248" spans="21:21" x14ac:dyDescent="0.25">
      <c r="U4248" s="104" t="str">
        <f>IF(
  AND(
    TRIM(A4248)=TRIM(Enginuity!$A$1),
    TRIM(B4248)=TRIM(Enginuity!$A$17),
    Q4248&lt;&gt;"",
    Q4248&lt;&gt;0,
    OR(
      TRIM(C4248)=TRIM(Enginuity!$A$18),
      AND(UPPER(TRIM(M4248))="STD", TRIM(B4248)=TRIM(Enginuity!$A$17))
    ),
    OR(
      AND(LEFT(P4248,5)="1-Way", Enginuity!$B$13=1),
      AND(LEFT(P4248,5)="2-Way", OR(Enginuity!$B$13=2, Enginuity!$B$13=4)),
      AND(LEFT(P4248,5)="3-Way", OR(Enginuity!$B$13=3, Enginuity!$B$13=6)),
      AND(P4248="Inner Centre Jamb", OR(Enginuity!$B$13=4, Enginuity!$B$13=6)),
      AND(
        LEFT(P4248,5)&lt;&gt;"1-Way",
        LEFT(P4248,5)&lt;&gt;"2-Way",
        LEFT(P4248,5)&lt;&gt;"3-Way",
        P4248&lt;&gt;"Inner Centre Jamb"
      )
    ),
    IF(OR(Enginuity!$A$1="Frameless Glass",Enginuity!$A$1="Metal Work"),
      AND(TRIM(B4248)=TRIM(Enginuity!$A$17),TRIM(C4248)=TRIM(Enginuity!$A$18)),
      TRIM(B4248)=TRIM(Enginuity!$A$17)
    )
  ),
  ROW(),
  ""
)</f>
        <v/>
      </c>
    </row>
    <row r="4249" spans="21:21" x14ac:dyDescent="0.25">
      <c r="U4249" s="104" t="str">
        <f>IF(
  AND(
    TRIM(A4249)=TRIM(Enginuity!$A$1),
    TRIM(B4249)=TRIM(Enginuity!$A$17),
    Q4249&lt;&gt;"",
    Q4249&lt;&gt;0,
    OR(
      TRIM(C4249)=TRIM(Enginuity!$A$18),
      AND(UPPER(TRIM(M4249))="STD", TRIM(B4249)=TRIM(Enginuity!$A$17))
    ),
    OR(
      AND(LEFT(P4249,5)="1-Way", Enginuity!$B$13=1),
      AND(LEFT(P4249,5)="2-Way", OR(Enginuity!$B$13=2, Enginuity!$B$13=4)),
      AND(LEFT(P4249,5)="3-Way", OR(Enginuity!$B$13=3, Enginuity!$B$13=6)),
      AND(P4249="Inner Centre Jamb", OR(Enginuity!$B$13=4, Enginuity!$B$13=6)),
      AND(
        LEFT(P4249,5)&lt;&gt;"1-Way",
        LEFT(P4249,5)&lt;&gt;"2-Way",
        LEFT(P4249,5)&lt;&gt;"3-Way",
        P4249&lt;&gt;"Inner Centre Jamb"
      )
    ),
    IF(OR(Enginuity!$A$1="Frameless Glass",Enginuity!$A$1="Metal Work"),
      AND(TRIM(B4249)=TRIM(Enginuity!$A$17),TRIM(C4249)=TRIM(Enginuity!$A$18)),
      TRIM(B4249)=TRIM(Enginuity!$A$17)
    )
  ),
  ROW(),
  ""
)</f>
        <v/>
      </c>
    </row>
    <row r="4250" spans="21:21" x14ac:dyDescent="0.25">
      <c r="U4250" s="104" t="str">
        <f>IF(
  AND(
    TRIM(A4250)=TRIM(Enginuity!$A$1),
    TRIM(B4250)=TRIM(Enginuity!$A$17),
    Q4250&lt;&gt;"",
    Q4250&lt;&gt;0,
    OR(
      TRIM(C4250)=TRIM(Enginuity!$A$18),
      AND(UPPER(TRIM(M4250))="STD", TRIM(B4250)=TRIM(Enginuity!$A$17))
    ),
    OR(
      AND(LEFT(P4250,5)="1-Way", Enginuity!$B$13=1),
      AND(LEFT(P4250,5)="2-Way", OR(Enginuity!$B$13=2, Enginuity!$B$13=4)),
      AND(LEFT(P4250,5)="3-Way", OR(Enginuity!$B$13=3, Enginuity!$B$13=6)),
      AND(P4250="Inner Centre Jamb", OR(Enginuity!$B$13=4, Enginuity!$B$13=6)),
      AND(
        LEFT(P4250,5)&lt;&gt;"1-Way",
        LEFT(P4250,5)&lt;&gt;"2-Way",
        LEFT(P4250,5)&lt;&gt;"3-Way",
        P4250&lt;&gt;"Inner Centre Jamb"
      )
    ),
    IF(OR(Enginuity!$A$1="Frameless Glass",Enginuity!$A$1="Metal Work"),
      AND(TRIM(B4250)=TRIM(Enginuity!$A$17),TRIM(C4250)=TRIM(Enginuity!$A$18)),
      TRIM(B4250)=TRIM(Enginuity!$A$17)
    )
  ),
  ROW(),
  ""
)</f>
        <v/>
      </c>
    </row>
    <row r="4251" spans="21:21" x14ac:dyDescent="0.25">
      <c r="U4251" s="104" t="str">
        <f>IF(
  AND(
    TRIM(A4251)=TRIM(Enginuity!$A$1),
    TRIM(B4251)=TRIM(Enginuity!$A$17),
    Q4251&lt;&gt;"",
    Q4251&lt;&gt;0,
    OR(
      TRIM(C4251)=TRIM(Enginuity!$A$18),
      AND(UPPER(TRIM(M4251))="STD", TRIM(B4251)=TRIM(Enginuity!$A$17))
    ),
    OR(
      AND(LEFT(P4251,5)="1-Way", Enginuity!$B$13=1),
      AND(LEFT(P4251,5)="2-Way", OR(Enginuity!$B$13=2, Enginuity!$B$13=4)),
      AND(LEFT(P4251,5)="3-Way", OR(Enginuity!$B$13=3, Enginuity!$B$13=6)),
      AND(P4251="Inner Centre Jamb", OR(Enginuity!$B$13=4, Enginuity!$B$13=6)),
      AND(
        LEFT(P4251,5)&lt;&gt;"1-Way",
        LEFT(P4251,5)&lt;&gt;"2-Way",
        LEFT(P4251,5)&lt;&gt;"3-Way",
        P4251&lt;&gt;"Inner Centre Jamb"
      )
    ),
    IF(OR(Enginuity!$A$1="Frameless Glass",Enginuity!$A$1="Metal Work"),
      AND(TRIM(B4251)=TRIM(Enginuity!$A$17),TRIM(C4251)=TRIM(Enginuity!$A$18)),
      TRIM(B4251)=TRIM(Enginuity!$A$17)
    )
  ),
  ROW(),
  ""
)</f>
        <v/>
      </c>
    </row>
    <row r="4252" spans="21:21" x14ac:dyDescent="0.25">
      <c r="U4252" s="104" t="str">
        <f>IF(
  AND(
    TRIM(A4252)=TRIM(Enginuity!$A$1),
    TRIM(B4252)=TRIM(Enginuity!$A$17),
    Q4252&lt;&gt;"",
    Q4252&lt;&gt;0,
    OR(
      TRIM(C4252)=TRIM(Enginuity!$A$18),
      AND(UPPER(TRIM(M4252))="STD", TRIM(B4252)=TRIM(Enginuity!$A$17))
    ),
    OR(
      AND(LEFT(P4252,5)="1-Way", Enginuity!$B$13=1),
      AND(LEFT(P4252,5)="2-Way", OR(Enginuity!$B$13=2, Enginuity!$B$13=4)),
      AND(LEFT(P4252,5)="3-Way", OR(Enginuity!$B$13=3, Enginuity!$B$13=6)),
      AND(P4252="Inner Centre Jamb", OR(Enginuity!$B$13=4, Enginuity!$B$13=6)),
      AND(
        LEFT(P4252,5)&lt;&gt;"1-Way",
        LEFT(P4252,5)&lt;&gt;"2-Way",
        LEFT(P4252,5)&lt;&gt;"3-Way",
        P4252&lt;&gt;"Inner Centre Jamb"
      )
    ),
    IF(OR(Enginuity!$A$1="Frameless Glass",Enginuity!$A$1="Metal Work"),
      AND(TRIM(B4252)=TRIM(Enginuity!$A$17),TRIM(C4252)=TRIM(Enginuity!$A$18)),
      TRIM(B4252)=TRIM(Enginuity!$A$17)
    )
  ),
  ROW(),
  ""
)</f>
        <v/>
      </c>
    </row>
    <row r="4253" spans="21:21" x14ac:dyDescent="0.25">
      <c r="U4253" s="104" t="str">
        <f>IF(
  AND(
    TRIM(A4253)=TRIM(Enginuity!$A$1),
    TRIM(B4253)=TRIM(Enginuity!$A$17),
    Q4253&lt;&gt;"",
    Q4253&lt;&gt;0,
    OR(
      TRIM(C4253)=TRIM(Enginuity!$A$18),
      AND(UPPER(TRIM(M4253))="STD", TRIM(B4253)=TRIM(Enginuity!$A$17))
    ),
    OR(
      AND(LEFT(P4253,5)="1-Way", Enginuity!$B$13=1),
      AND(LEFT(P4253,5)="2-Way", OR(Enginuity!$B$13=2, Enginuity!$B$13=4)),
      AND(LEFT(P4253,5)="3-Way", OR(Enginuity!$B$13=3, Enginuity!$B$13=6)),
      AND(P4253="Inner Centre Jamb", OR(Enginuity!$B$13=4, Enginuity!$B$13=6)),
      AND(
        LEFT(P4253,5)&lt;&gt;"1-Way",
        LEFT(P4253,5)&lt;&gt;"2-Way",
        LEFT(P4253,5)&lt;&gt;"3-Way",
        P4253&lt;&gt;"Inner Centre Jamb"
      )
    ),
    IF(OR(Enginuity!$A$1="Frameless Glass",Enginuity!$A$1="Metal Work"),
      AND(TRIM(B4253)=TRIM(Enginuity!$A$17),TRIM(C4253)=TRIM(Enginuity!$A$18)),
      TRIM(B4253)=TRIM(Enginuity!$A$17)
    )
  ),
  ROW(),
  ""
)</f>
        <v/>
      </c>
    </row>
    <row r="4254" spans="21:21" x14ac:dyDescent="0.25">
      <c r="U4254" s="104" t="str">
        <f>IF(
  AND(
    TRIM(A4254)=TRIM(Enginuity!$A$1),
    TRIM(B4254)=TRIM(Enginuity!$A$17),
    Q4254&lt;&gt;"",
    Q4254&lt;&gt;0,
    OR(
      TRIM(C4254)=TRIM(Enginuity!$A$18),
      AND(UPPER(TRIM(M4254))="STD", TRIM(B4254)=TRIM(Enginuity!$A$17))
    ),
    OR(
      AND(LEFT(P4254,5)="1-Way", Enginuity!$B$13=1),
      AND(LEFT(P4254,5)="2-Way", OR(Enginuity!$B$13=2, Enginuity!$B$13=4)),
      AND(LEFT(P4254,5)="3-Way", OR(Enginuity!$B$13=3, Enginuity!$B$13=6)),
      AND(P4254="Inner Centre Jamb", OR(Enginuity!$B$13=4, Enginuity!$B$13=6)),
      AND(
        LEFT(P4254,5)&lt;&gt;"1-Way",
        LEFT(P4254,5)&lt;&gt;"2-Way",
        LEFT(P4254,5)&lt;&gt;"3-Way",
        P4254&lt;&gt;"Inner Centre Jamb"
      )
    ),
    IF(OR(Enginuity!$A$1="Frameless Glass",Enginuity!$A$1="Metal Work"),
      AND(TRIM(B4254)=TRIM(Enginuity!$A$17),TRIM(C4254)=TRIM(Enginuity!$A$18)),
      TRIM(B4254)=TRIM(Enginuity!$A$17)
    )
  ),
  ROW(),
  ""
)</f>
        <v/>
      </c>
    </row>
    <row r="4255" spans="21:21" x14ac:dyDescent="0.25">
      <c r="U4255" s="104" t="str">
        <f>IF(
  AND(
    TRIM(A4255)=TRIM(Enginuity!$A$1),
    TRIM(B4255)=TRIM(Enginuity!$A$17),
    Q4255&lt;&gt;"",
    Q4255&lt;&gt;0,
    OR(
      TRIM(C4255)=TRIM(Enginuity!$A$18),
      AND(UPPER(TRIM(M4255))="STD", TRIM(B4255)=TRIM(Enginuity!$A$17))
    ),
    OR(
      AND(LEFT(P4255,5)="1-Way", Enginuity!$B$13=1),
      AND(LEFT(P4255,5)="2-Way", OR(Enginuity!$B$13=2, Enginuity!$B$13=4)),
      AND(LEFT(P4255,5)="3-Way", OR(Enginuity!$B$13=3, Enginuity!$B$13=6)),
      AND(P4255="Inner Centre Jamb", OR(Enginuity!$B$13=4, Enginuity!$B$13=6)),
      AND(
        LEFT(P4255,5)&lt;&gt;"1-Way",
        LEFT(P4255,5)&lt;&gt;"2-Way",
        LEFT(P4255,5)&lt;&gt;"3-Way",
        P4255&lt;&gt;"Inner Centre Jamb"
      )
    ),
    IF(OR(Enginuity!$A$1="Frameless Glass",Enginuity!$A$1="Metal Work"),
      AND(TRIM(B4255)=TRIM(Enginuity!$A$17),TRIM(C4255)=TRIM(Enginuity!$A$18)),
      TRIM(B4255)=TRIM(Enginuity!$A$17)
    )
  ),
  ROW(),
  ""
)</f>
        <v/>
      </c>
    </row>
    <row r="4256" spans="21:21" x14ac:dyDescent="0.25">
      <c r="U4256" s="104" t="str">
        <f>IF(
  AND(
    TRIM(A4256)=TRIM(Enginuity!$A$1),
    TRIM(B4256)=TRIM(Enginuity!$A$17),
    Q4256&lt;&gt;"",
    Q4256&lt;&gt;0,
    OR(
      TRIM(C4256)=TRIM(Enginuity!$A$18),
      AND(UPPER(TRIM(M4256))="STD", TRIM(B4256)=TRIM(Enginuity!$A$17))
    ),
    OR(
      AND(LEFT(P4256,5)="1-Way", Enginuity!$B$13=1),
      AND(LEFT(P4256,5)="2-Way", OR(Enginuity!$B$13=2, Enginuity!$B$13=4)),
      AND(LEFT(P4256,5)="3-Way", OR(Enginuity!$B$13=3, Enginuity!$B$13=6)),
      AND(P4256="Inner Centre Jamb", OR(Enginuity!$B$13=4, Enginuity!$B$13=6)),
      AND(
        LEFT(P4256,5)&lt;&gt;"1-Way",
        LEFT(P4256,5)&lt;&gt;"2-Way",
        LEFT(P4256,5)&lt;&gt;"3-Way",
        P4256&lt;&gt;"Inner Centre Jamb"
      )
    ),
    IF(OR(Enginuity!$A$1="Frameless Glass",Enginuity!$A$1="Metal Work"),
      AND(TRIM(B4256)=TRIM(Enginuity!$A$17),TRIM(C4256)=TRIM(Enginuity!$A$18)),
      TRIM(B4256)=TRIM(Enginuity!$A$17)
    )
  ),
  ROW(),
  ""
)</f>
        <v/>
      </c>
    </row>
    <row r="4257" spans="21:21" x14ac:dyDescent="0.25">
      <c r="U4257" s="104" t="str">
        <f>IF(
  AND(
    TRIM(A4257)=TRIM(Enginuity!$A$1),
    TRIM(B4257)=TRIM(Enginuity!$A$17),
    Q4257&lt;&gt;"",
    Q4257&lt;&gt;0,
    OR(
      TRIM(C4257)=TRIM(Enginuity!$A$18),
      AND(UPPER(TRIM(M4257))="STD", TRIM(B4257)=TRIM(Enginuity!$A$17))
    ),
    OR(
      AND(LEFT(P4257,5)="1-Way", Enginuity!$B$13=1),
      AND(LEFT(P4257,5)="2-Way", OR(Enginuity!$B$13=2, Enginuity!$B$13=4)),
      AND(LEFT(P4257,5)="3-Way", OR(Enginuity!$B$13=3, Enginuity!$B$13=6)),
      AND(P4257="Inner Centre Jamb", OR(Enginuity!$B$13=4, Enginuity!$B$13=6)),
      AND(
        LEFT(P4257,5)&lt;&gt;"1-Way",
        LEFT(P4257,5)&lt;&gt;"2-Way",
        LEFT(P4257,5)&lt;&gt;"3-Way",
        P4257&lt;&gt;"Inner Centre Jamb"
      )
    ),
    IF(OR(Enginuity!$A$1="Frameless Glass",Enginuity!$A$1="Metal Work"),
      AND(TRIM(B4257)=TRIM(Enginuity!$A$17),TRIM(C4257)=TRIM(Enginuity!$A$18)),
      TRIM(B4257)=TRIM(Enginuity!$A$17)
    )
  ),
  ROW(),
  ""
)</f>
        <v/>
      </c>
    </row>
    <row r="4258" spans="21:21" x14ac:dyDescent="0.25">
      <c r="U4258" s="104" t="str">
        <f>IF(
  AND(
    TRIM(A4258)=TRIM(Enginuity!$A$1),
    TRIM(B4258)=TRIM(Enginuity!$A$17),
    Q4258&lt;&gt;"",
    Q4258&lt;&gt;0,
    OR(
      TRIM(C4258)=TRIM(Enginuity!$A$18),
      AND(UPPER(TRIM(M4258))="STD", TRIM(B4258)=TRIM(Enginuity!$A$17))
    ),
    OR(
      AND(LEFT(P4258,5)="1-Way", Enginuity!$B$13=1),
      AND(LEFT(P4258,5)="2-Way", OR(Enginuity!$B$13=2, Enginuity!$B$13=4)),
      AND(LEFT(P4258,5)="3-Way", OR(Enginuity!$B$13=3, Enginuity!$B$13=6)),
      AND(P4258="Inner Centre Jamb", OR(Enginuity!$B$13=4, Enginuity!$B$13=6)),
      AND(
        LEFT(P4258,5)&lt;&gt;"1-Way",
        LEFT(P4258,5)&lt;&gt;"2-Way",
        LEFT(P4258,5)&lt;&gt;"3-Way",
        P4258&lt;&gt;"Inner Centre Jamb"
      )
    ),
    IF(OR(Enginuity!$A$1="Frameless Glass",Enginuity!$A$1="Metal Work"),
      AND(TRIM(B4258)=TRIM(Enginuity!$A$17),TRIM(C4258)=TRIM(Enginuity!$A$18)),
      TRIM(B4258)=TRIM(Enginuity!$A$17)
    )
  ),
  ROW(),
  ""
)</f>
        <v/>
      </c>
    </row>
    <row r="4259" spans="21:21" x14ac:dyDescent="0.25">
      <c r="U4259" s="104" t="str">
        <f>IF(
  AND(
    TRIM(A4259)=TRIM(Enginuity!$A$1),
    TRIM(B4259)=TRIM(Enginuity!$A$17),
    Q4259&lt;&gt;"",
    Q4259&lt;&gt;0,
    OR(
      TRIM(C4259)=TRIM(Enginuity!$A$18),
      AND(UPPER(TRIM(M4259))="STD", TRIM(B4259)=TRIM(Enginuity!$A$17))
    ),
    OR(
      AND(LEFT(P4259,5)="1-Way", Enginuity!$B$13=1),
      AND(LEFT(P4259,5)="2-Way", OR(Enginuity!$B$13=2, Enginuity!$B$13=4)),
      AND(LEFT(P4259,5)="3-Way", OR(Enginuity!$B$13=3, Enginuity!$B$13=6)),
      AND(P4259="Inner Centre Jamb", OR(Enginuity!$B$13=4, Enginuity!$B$13=6)),
      AND(
        LEFT(P4259,5)&lt;&gt;"1-Way",
        LEFT(P4259,5)&lt;&gt;"2-Way",
        LEFT(P4259,5)&lt;&gt;"3-Way",
        P4259&lt;&gt;"Inner Centre Jamb"
      )
    ),
    IF(OR(Enginuity!$A$1="Frameless Glass",Enginuity!$A$1="Metal Work"),
      AND(TRIM(B4259)=TRIM(Enginuity!$A$17),TRIM(C4259)=TRIM(Enginuity!$A$18)),
      TRIM(B4259)=TRIM(Enginuity!$A$17)
    )
  ),
  ROW(),
  ""
)</f>
        <v/>
      </c>
    </row>
    <row r="4260" spans="21:21" x14ac:dyDescent="0.25">
      <c r="U4260" s="104" t="str">
        <f>IF(
  AND(
    TRIM(A4260)=TRIM(Enginuity!$A$1),
    TRIM(B4260)=TRIM(Enginuity!$A$17),
    Q4260&lt;&gt;"",
    Q4260&lt;&gt;0,
    OR(
      TRIM(C4260)=TRIM(Enginuity!$A$18),
      AND(UPPER(TRIM(M4260))="STD", TRIM(B4260)=TRIM(Enginuity!$A$17))
    ),
    OR(
      AND(LEFT(P4260,5)="1-Way", Enginuity!$B$13=1),
      AND(LEFT(P4260,5)="2-Way", OR(Enginuity!$B$13=2, Enginuity!$B$13=4)),
      AND(LEFT(P4260,5)="3-Way", OR(Enginuity!$B$13=3, Enginuity!$B$13=6)),
      AND(P4260="Inner Centre Jamb", OR(Enginuity!$B$13=4, Enginuity!$B$13=6)),
      AND(
        LEFT(P4260,5)&lt;&gt;"1-Way",
        LEFT(P4260,5)&lt;&gt;"2-Way",
        LEFT(P4260,5)&lt;&gt;"3-Way",
        P4260&lt;&gt;"Inner Centre Jamb"
      )
    ),
    IF(OR(Enginuity!$A$1="Frameless Glass",Enginuity!$A$1="Metal Work"),
      AND(TRIM(B4260)=TRIM(Enginuity!$A$17),TRIM(C4260)=TRIM(Enginuity!$A$18)),
      TRIM(B4260)=TRIM(Enginuity!$A$17)
    )
  ),
  ROW(),
  ""
)</f>
        <v/>
      </c>
    </row>
    <row r="4261" spans="21:21" x14ac:dyDescent="0.25">
      <c r="U4261" s="104" t="str">
        <f>IF(
  AND(
    TRIM(A4261)=TRIM(Enginuity!$A$1),
    TRIM(B4261)=TRIM(Enginuity!$A$17),
    Q4261&lt;&gt;"",
    Q4261&lt;&gt;0,
    OR(
      TRIM(C4261)=TRIM(Enginuity!$A$18),
      AND(UPPER(TRIM(M4261))="STD", TRIM(B4261)=TRIM(Enginuity!$A$17))
    ),
    OR(
      AND(LEFT(P4261,5)="1-Way", Enginuity!$B$13=1),
      AND(LEFT(P4261,5)="2-Way", OR(Enginuity!$B$13=2, Enginuity!$B$13=4)),
      AND(LEFT(P4261,5)="3-Way", OR(Enginuity!$B$13=3, Enginuity!$B$13=6)),
      AND(P4261="Inner Centre Jamb", OR(Enginuity!$B$13=4, Enginuity!$B$13=6)),
      AND(
        LEFT(P4261,5)&lt;&gt;"1-Way",
        LEFT(P4261,5)&lt;&gt;"2-Way",
        LEFT(P4261,5)&lt;&gt;"3-Way",
        P4261&lt;&gt;"Inner Centre Jamb"
      )
    ),
    IF(OR(Enginuity!$A$1="Frameless Glass",Enginuity!$A$1="Metal Work"),
      AND(TRIM(B4261)=TRIM(Enginuity!$A$17),TRIM(C4261)=TRIM(Enginuity!$A$18)),
      TRIM(B4261)=TRIM(Enginuity!$A$17)
    )
  ),
  ROW(),
  ""
)</f>
        <v/>
      </c>
    </row>
    <row r="4262" spans="21:21" x14ac:dyDescent="0.25">
      <c r="U4262" s="104" t="str">
        <f>IF(
  AND(
    TRIM(A4262)=TRIM(Enginuity!$A$1),
    TRIM(B4262)=TRIM(Enginuity!$A$17),
    Q4262&lt;&gt;"",
    Q4262&lt;&gt;0,
    OR(
      TRIM(C4262)=TRIM(Enginuity!$A$18),
      AND(UPPER(TRIM(M4262))="STD", TRIM(B4262)=TRIM(Enginuity!$A$17))
    ),
    OR(
      AND(LEFT(P4262,5)="1-Way", Enginuity!$B$13=1),
      AND(LEFT(P4262,5)="2-Way", OR(Enginuity!$B$13=2, Enginuity!$B$13=4)),
      AND(LEFT(P4262,5)="3-Way", OR(Enginuity!$B$13=3, Enginuity!$B$13=6)),
      AND(P4262="Inner Centre Jamb", OR(Enginuity!$B$13=4, Enginuity!$B$13=6)),
      AND(
        LEFT(P4262,5)&lt;&gt;"1-Way",
        LEFT(P4262,5)&lt;&gt;"2-Way",
        LEFT(P4262,5)&lt;&gt;"3-Way",
        P4262&lt;&gt;"Inner Centre Jamb"
      )
    ),
    IF(OR(Enginuity!$A$1="Frameless Glass",Enginuity!$A$1="Metal Work"),
      AND(TRIM(B4262)=TRIM(Enginuity!$A$17),TRIM(C4262)=TRIM(Enginuity!$A$18)),
      TRIM(B4262)=TRIM(Enginuity!$A$17)
    )
  ),
  ROW(),
  ""
)</f>
        <v/>
      </c>
    </row>
    <row r="4263" spans="21:21" x14ac:dyDescent="0.25">
      <c r="U4263" s="104" t="str">
        <f>IF(
  AND(
    TRIM(A4263)=TRIM(Enginuity!$A$1),
    TRIM(B4263)=TRIM(Enginuity!$A$17),
    Q4263&lt;&gt;"",
    Q4263&lt;&gt;0,
    OR(
      TRIM(C4263)=TRIM(Enginuity!$A$18),
      AND(UPPER(TRIM(M4263))="STD", TRIM(B4263)=TRIM(Enginuity!$A$17))
    ),
    OR(
      AND(LEFT(P4263,5)="1-Way", Enginuity!$B$13=1),
      AND(LEFT(P4263,5)="2-Way", OR(Enginuity!$B$13=2, Enginuity!$B$13=4)),
      AND(LEFT(P4263,5)="3-Way", OR(Enginuity!$B$13=3, Enginuity!$B$13=6)),
      AND(P4263="Inner Centre Jamb", OR(Enginuity!$B$13=4, Enginuity!$B$13=6)),
      AND(
        LEFT(P4263,5)&lt;&gt;"1-Way",
        LEFT(P4263,5)&lt;&gt;"2-Way",
        LEFT(P4263,5)&lt;&gt;"3-Way",
        P4263&lt;&gt;"Inner Centre Jamb"
      )
    ),
    IF(OR(Enginuity!$A$1="Frameless Glass",Enginuity!$A$1="Metal Work"),
      AND(TRIM(B4263)=TRIM(Enginuity!$A$17),TRIM(C4263)=TRIM(Enginuity!$A$18)),
      TRIM(B4263)=TRIM(Enginuity!$A$17)
    )
  ),
  ROW(),
  ""
)</f>
        <v/>
      </c>
    </row>
    <row r="4264" spans="21:21" x14ac:dyDescent="0.25">
      <c r="U4264" s="104" t="str">
        <f>IF(
  AND(
    TRIM(A4264)=TRIM(Enginuity!$A$1),
    TRIM(B4264)=TRIM(Enginuity!$A$17),
    Q4264&lt;&gt;"",
    Q4264&lt;&gt;0,
    OR(
      TRIM(C4264)=TRIM(Enginuity!$A$18),
      AND(UPPER(TRIM(M4264))="STD", TRIM(B4264)=TRIM(Enginuity!$A$17))
    ),
    OR(
      AND(LEFT(P4264,5)="1-Way", Enginuity!$B$13=1),
      AND(LEFT(P4264,5)="2-Way", OR(Enginuity!$B$13=2, Enginuity!$B$13=4)),
      AND(LEFT(P4264,5)="3-Way", OR(Enginuity!$B$13=3, Enginuity!$B$13=6)),
      AND(P4264="Inner Centre Jamb", OR(Enginuity!$B$13=4, Enginuity!$B$13=6)),
      AND(
        LEFT(P4264,5)&lt;&gt;"1-Way",
        LEFT(P4264,5)&lt;&gt;"2-Way",
        LEFT(P4264,5)&lt;&gt;"3-Way",
        P4264&lt;&gt;"Inner Centre Jamb"
      )
    ),
    IF(OR(Enginuity!$A$1="Frameless Glass",Enginuity!$A$1="Metal Work"),
      AND(TRIM(B4264)=TRIM(Enginuity!$A$17),TRIM(C4264)=TRIM(Enginuity!$A$18)),
      TRIM(B4264)=TRIM(Enginuity!$A$17)
    )
  ),
  ROW(),
  ""
)</f>
        <v/>
      </c>
    </row>
    <row r="4265" spans="21:21" x14ac:dyDescent="0.25">
      <c r="U4265" s="104" t="str">
        <f>IF(
  AND(
    TRIM(A4265)=TRIM(Enginuity!$A$1),
    TRIM(B4265)=TRIM(Enginuity!$A$17),
    Q4265&lt;&gt;"",
    Q4265&lt;&gt;0,
    OR(
      TRIM(C4265)=TRIM(Enginuity!$A$18),
      AND(UPPER(TRIM(M4265))="STD", TRIM(B4265)=TRIM(Enginuity!$A$17))
    ),
    OR(
      AND(LEFT(P4265,5)="1-Way", Enginuity!$B$13=1),
      AND(LEFT(P4265,5)="2-Way", OR(Enginuity!$B$13=2, Enginuity!$B$13=4)),
      AND(LEFT(P4265,5)="3-Way", OR(Enginuity!$B$13=3, Enginuity!$B$13=6)),
      AND(P4265="Inner Centre Jamb", OR(Enginuity!$B$13=4, Enginuity!$B$13=6)),
      AND(
        LEFT(P4265,5)&lt;&gt;"1-Way",
        LEFT(P4265,5)&lt;&gt;"2-Way",
        LEFT(P4265,5)&lt;&gt;"3-Way",
        P4265&lt;&gt;"Inner Centre Jamb"
      )
    ),
    IF(OR(Enginuity!$A$1="Frameless Glass",Enginuity!$A$1="Metal Work"),
      AND(TRIM(B4265)=TRIM(Enginuity!$A$17),TRIM(C4265)=TRIM(Enginuity!$A$18)),
      TRIM(B4265)=TRIM(Enginuity!$A$17)
    )
  ),
  ROW(),
  ""
)</f>
        <v/>
      </c>
    </row>
    <row r="4266" spans="21:21" x14ac:dyDescent="0.25">
      <c r="U4266" s="104" t="str">
        <f>IF(
  AND(
    TRIM(A4266)=TRIM(Enginuity!$A$1),
    TRIM(B4266)=TRIM(Enginuity!$A$17),
    Q4266&lt;&gt;"",
    Q4266&lt;&gt;0,
    OR(
      TRIM(C4266)=TRIM(Enginuity!$A$18),
      AND(UPPER(TRIM(M4266))="STD", TRIM(B4266)=TRIM(Enginuity!$A$17))
    ),
    OR(
      AND(LEFT(P4266,5)="1-Way", Enginuity!$B$13=1),
      AND(LEFT(P4266,5)="2-Way", OR(Enginuity!$B$13=2, Enginuity!$B$13=4)),
      AND(LEFT(P4266,5)="3-Way", OR(Enginuity!$B$13=3, Enginuity!$B$13=6)),
      AND(P4266="Inner Centre Jamb", OR(Enginuity!$B$13=4, Enginuity!$B$13=6)),
      AND(
        LEFT(P4266,5)&lt;&gt;"1-Way",
        LEFT(P4266,5)&lt;&gt;"2-Way",
        LEFT(P4266,5)&lt;&gt;"3-Way",
        P4266&lt;&gt;"Inner Centre Jamb"
      )
    ),
    IF(OR(Enginuity!$A$1="Frameless Glass",Enginuity!$A$1="Metal Work"),
      AND(TRIM(B4266)=TRIM(Enginuity!$A$17),TRIM(C4266)=TRIM(Enginuity!$A$18)),
      TRIM(B4266)=TRIM(Enginuity!$A$17)
    )
  ),
  ROW(),
  ""
)</f>
        <v/>
      </c>
    </row>
    <row r="4267" spans="21:21" x14ac:dyDescent="0.25">
      <c r="U4267" s="104" t="str">
        <f>IF(
  AND(
    TRIM(A4267)=TRIM(Enginuity!$A$1),
    TRIM(B4267)=TRIM(Enginuity!$A$17),
    Q4267&lt;&gt;"",
    Q4267&lt;&gt;0,
    OR(
      TRIM(C4267)=TRIM(Enginuity!$A$18),
      AND(UPPER(TRIM(M4267))="STD", TRIM(B4267)=TRIM(Enginuity!$A$17))
    ),
    OR(
      AND(LEFT(P4267,5)="1-Way", Enginuity!$B$13=1),
      AND(LEFT(P4267,5)="2-Way", OR(Enginuity!$B$13=2, Enginuity!$B$13=4)),
      AND(LEFT(P4267,5)="3-Way", OR(Enginuity!$B$13=3, Enginuity!$B$13=6)),
      AND(P4267="Inner Centre Jamb", OR(Enginuity!$B$13=4, Enginuity!$B$13=6)),
      AND(
        LEFT(P4267,5)&lt;&gt;"1-Way",
        LEFT(P4267,5)&lt;&gt;"2-Way",
        LEFT(P4267,5)&lt;&gt;"3-Way",
        P4267&lt;&gt;"Inner Centre Jamb"
      )
    ),
    IF(OR(Enginuity!$A$1="Frameless Glass",Enginuity!$A$1="Metal Work"),
      AND(TRIM(B4267)=TRIM(Enginuity!$A$17),TRIM(C4267)=TRIM(Enginuity!$A$18)),
      TRIM(B4267)=TRIM(Enginuity!$A$17)
    )
  ),
  ROW(),
  ""
)</f>
        <v/>
      </c>
    </row>
    <row r="4268" spans="21:21" x14ac:dyDescent="0.25">
      <c r="U4268" s="104" t="str">
        <f>IF(
  AND(
    TRIM(A4268)=TRIM(Enginuity!$A$1),
    TRIM(B4268)=TRIM(Enginuity!$A$17),
    Q4268&lt;&gt;"",
    Q4268&lt;&gt;0,
    OR(
      TRIM(C4268)=TRIM(Enginuity!$A$18),
      AND(UPPER(TRIM(M4268))="STD", TRIM(B4268)=TRIM(Enginuity!$A$17))
    ),
    OR(
      AND(LEFT(P4268,5)="1-Way", Enginuity!$B$13=1),
      AND(LEFT(P4268,5)="2-Way", OR(Enginuity!$B$13=2, Enginuity!$B$13=4)),
      AND(LEFT(P4268,5)="3-Way", OR(Enginuity!$B$13=3, Enginuity!$B$13=6)),
      AND(P4268="Inner Centre Jamb", OR(Enginuity!$B$13=4, Enginuity!$B$13=6)),
      AND(
        LEFT(P4268,5)&lt;&gt;"1-Way",
        LEFT(P4268,5)&lt;&gt;"2-Way",
        LEFT(P4268,5)&lt;&gt;"3-Way",
        P4268&lt;&gt;"Inner Centre Jamb"
      )
    ),
    IF(OR(Enginuity!$A$1="Frameless Glass",Enginuity!$A$1="Metal Work"),
      AND(TRIM(B4268)=TRIM(Enginuity!$A$17),TRIM(C4268)=TRIM(Enginuity!$A$18)),
      TRIM(B4268)=TRIM(Enginuity!$A$17)
    )
  ),
  ROW(),
  ""
)</f>
        <v/>
      </c>
    </row>
    <row r="4269" spans="21:21" x14ac:dyDescent="0.25">
      <c r="U4269" s="104" t="str">
        <f>IF(
  AND(
    TRIM(A4269)=TRIM(Enginuity!$A$1),
    TRIM(B4269)=TRIM(Enginuity!$A$17),
    Q4269&lt;&gt;"",
    Q4269&lt;&gt;0,
    OR(
      TRIM(C4269)=TRIM(Enginuity!$A$18),
      AND(UPPER(TRIM(M4269))="STD", TRIM(B4269)=TRIM(Enginuity!$A$17))
    ),
    OR(
      AND(LEFT(P4269,5)="1-Way", Enginuity!$B$13=1),
      AND(LEFT(P4269,5)="2-Way", OR(Enginuity!$B$13=2, Enginuity!$B$13=4)),
      AND(LEFT(P4269,5)="3-Way", OR(Enginuity!$B$13=3, Enginuity!$B$13=6)),
      AND(P4269="Inner Centre Jamb", OR(Enginuity!$B$13=4, Enginuity!$B$13=6)),
      AND(
        LEFT(P4269,5)&lt;&gt;"1-Way",
        LEFT(P4269,5)&lt;&gt;"2-Way",
        LEFT(P4269,5)&lt;&gt;"3-Way",
        P4269&lt;&gt;"Inner Centre Jamb"
      )
    ),
    IF(OR(Enginuity!$A$1="Frameless Glass",Enginuity!$A$1="Metal Work"),
      AND(TRIM(B4269)=TRIM(Enginuity!$A$17),TRIM(C4269)=TRIM(Enginuity!$A$18)),
      TRIM(B4269)=TRIM(Enginuity!$A$17)
    )
  ),
  ROW(),
  ""
)</f>
        <v/>
      </c>
    </row>
    <row r="4270" spans="21:21" x14ac:dyDescent="0.25">
      <c r="U4270" s="104" t="str">
        <f>IF(
  AND(
    TRIM(A4270)=TRIM(Enginuity!$A$1),
    TRIM(B4270)=TRIM(Enginuity!$A$17),
    Q4270&lt;&gt;"",
    Q4270&lt;&gt;0,
    OR(
      TRIM(C4270)=TRIM(Enginuity!$A$18),
      AND(UPPER(TRIM(M4270))="STD", TRIM(B4270)=TRIM(Enginuity!$A$17))
    ),
    OR(
      AND(LEFT(P4270,5)="1-Way", Enginuity!$B$13=1),
      AND(LEFT(P4270,5)="2-Way", OR(Enginuity!$B$13=2, Enginuity!$B$13=4)),
      AND(LEFT(P4270,5)="3-Way", OR(Enginuity!$B$13=3, Enginuity!$B$13=6)),
      AND(P4270="Inner Centre Jamb", OR(Enginuity!$B$13=4, Enginuity!$B$13=6)),
      AND(
        LEFT(P4270,5)&lt;&gt;"1-Way",
        LEFT(P4270,5)&lt;&gt;"2-Way",
        LEFT(P4270,5)&lt;&gt;"3-Way",
        P4270&lt;&gt;"Inner Centre Jamb"
      )
    ),
    IF(OR(Enginuity!$A$1="Frameless Glass",Enginuity!$A$1="Metal Work"),
      AND(TRIM(B4270)=TRIM(Enginuity!$A$17),TRIM(C4270)=TRIM(Enginuity!$A$18)),
      TRIM(B4270)=TRIM(Enginuity!$A$17)
    )
  ),
  ROW(),
  ""
)</f>
        <v/>
      </c>
    </row>
    <row r="4271" spans="21:21" x14ac:dyDescent="0.25">
      <c r="U4271" s="104" t="str">
        <f>IF(
  AND(
    TRIM(A4271)=TRIM(Enginuity!$A$1),
    TRIM(B4271)=TRIM(Enginuity!$A$17),
    Q4271&lt;&gt;"",
    Q4271&lt;&gt;0,
    OR(
      TRIM(C4271)=TRIM(Enginuity!$A$18),
      AND(UPPER(TRIM(M4271))="STD", TRIM(B4271)=TRIM(Enginuity!$A$17))
    ),
    OR(
      AND(LEFT(P4271,5)="1-Way", Enginuity!$B$13=1),
      AND(LEFT(P4271,5)="2-Way", OR(Enginuity!$B$13=2, Enginuity!$B$13=4)),
      AND(LEFT(P4271,5)="3-Way", OR(Enginuity!$B$13=3, Enginuity!$B$13=6)),
      AND(P4271="Inner Centre Jamb", OR(Enginuity!$B$13=4, Enginuity!$B$13=6)),
      AND(
        LEFT(P4271,5)&lt;&gt;"1-Way",
        LEFT(P4271,5)&lt;&gt;"2-Way",
        LEFT(P4271,5)&lt;&gt;"3-Way",
        P4271&lt;&gt;"Inner Centre Jamb"
      )
    ),
    IF(OR(Enginuity!$A$1="Frameless Glass",Enginuity!$A$1="Metal Work"),
      AND(TRIM(B4271)=TRIM(Enginuity!$A$17),TRIM(C4271)=TRIM(Enginuity!$A$18)),
      TRIM(B4271)=TRIM(Enginuity!$A$17)
    )
  ),
  ROW(),
  ""
)</f>
        <v/>
      </c>
    </row>
    <row r="4272" spans="21:21" x14ac:dyDescent="0.25">
      <c r="U4272" s="104" t="str">
        <f>IF(
  AND(
    TRIM(A4272)=TRIM(Enginuity!$A$1),
    TRIM(B4272)=TRIM(Enginuity!$A$17),
    Q4272&lt;&gt;"",
    Q4272&lt;&gt;0,
    OR(
      TRIM(C4272)=TRIM(Enginuity!$A$18),
      AND(UPPER(TRIM(M4272))="STD", TRIM(B4272)=TRIM(Enginuity!$A$17))
    ),
    OR(
      AND(LEFT(P4272,5)="1-Way", Enginuity!$B$13=1),
      AND(LEFT(P4272,5)="2-Way", OR(Enginuity!$B$13=2, Enginuity!$B$13=4)),
      AND(LEFT(P4272,5)="3-Way", OR(Enginuity!$B$13=3, Enginuity!$B$13=6)),
      AND(P4272="Inner Centre Jamb", OR(Enginuity!$B$13=4, Enginuity!$B$13=6)),
      AND(
        LEFT(P4272,5)&lt;&gt;"1-Way",
        LEFT(P4272,5)&lt;&gt;"2-Way",
        LEFT(P4272,5)&lt;&gt;"3-Way",
        P4272&lt;&gt;"Inner Centre Jamb"
      )
    ),
    IF(OR(Enginuity!$A$1="Frameless Glass",Enginuity!$A$1="Metal Work"),
      AND(TRIM(B4272)=TRIM(Enginuity!$A$17),TRIM(C4272)=TRIM(Enginuity!$A$18)),
      TRIM(B4272)=TRIM(Enginuity!$A$17)
    )
  ),
  ROW(),
  ""
)</f>
        <v/>
      </c>
    </row>
    <row r="4273" spans="21:21" x14ac:dyDescent="0.25">
      <c r="U4273" s="104" t="str">
        <f>IF(
  AND(
    TRIM(A4273)=TRIM(Enginuity!$A$1),
    TRIM(B4273)=TRIM(Enginuity!$A$17),
    Q4273&lt;&gt;"",
    Q4273&lt;&gt;0,
    OR(
      TRIM(C4273)=TRIM(Enginuity!$A$18),
      AND(UPPER(TRIM(M4273))="STD", TRIM(B4273)=TRIM(Enginuity!$A$17))
    ),
    OR(
      AND(LEFT(P4273,5)="1-Way", Enginuity!$B$13=1),
      AND(LEFT(P4273,5)="2-Way", OR(Enginuity!$B$13=2, Enginuity!$B$13=4)),
      AND(LEFT(P4273,5)="3-Way", OR(Enginuity!$B$13=3, Enginuity!$B$13=6)),
      AND(P4273="Inner Centre Jamb", OR(Enginuity!$B$13=4, Enginuity!$B$13=6)),
      AND(
        LEFT(P4273,5)&lt;&gt;"1-Way",
        LEFT(P4273,5)&lt;&gt;"2-Way",
        LEFT(P4273,5)&lt;&gt;"3-Way",
        P4273&lt;&gt;"Inner Centre Jamb"
      )
    ),
    IF(OR(Enginuity!$A$1="Frameless Glass",Enginuity!$A$1="Metal Work"),
      AND(TRIM(B4273)=TRIM(Enginuity!$A$17),TRIM(C4273)=TRIM(Enginuity!$A$18)),
      TRIM(B4273)=TRIM(Enginuity!$A$17)
    )
  ),
  ROW(),
  ""
)</f>
        <v/>
      </c>
    </row>
    <row r="4274" spans="21:21" x14ac:dyDescent="0.25">
      <c r="U4274" s="104" t="str">
        <f>IF(
  AND(
    TRIM(A4274)=TRIM(Enginuity!$A$1),
    TRIM(B4274)=TRIM(Enginuity!$A$17),
    Q4274&lt;&gt;"",
    Q4274&lt;&gt;0,
    OR(
      TRIM(C4274)=TRIM(Enginuity!$A$18),
      AND(UPPER(TRIM(M4274))="STD", TRIM(B4274)=TRIM(Enginuity!$A$17))
    ),
    OR(
      AND(LEFT(P4274,5)="1-Way", Enginuity!$B$13=1),
      AND(LEFT(P4274,5)="2-Way", OR(Enginuity!$B$13=2, Enginuity!$B$13=4)),
      AND(LEFT(P4274,5)="3-Way", OR(Enginuity!$B$13=3, Enginuity!$B$13=6)),
      AND(P4274="Inner Centre Jamb", OR(Enginuity!$B$13=4, Enginuity!$B$13=6)),
      AND(
        LEFT(P4274,5)&lt;&gt;"1-Way",
        LEFT(P4274,5)&lt;&gt;"2-Way",
        LEFT(P4274,5)&lt;&gt;"3-Way",
        P4274&lt;&gt;"Inner Centre Jamb"
      )
    ),
    IF(OR(Enginuity!$A$1="Frameless Glass",Enginuity!$A$1="Metal Work"),
      AND(TRIM(B4274)=TRIM(Enginuity!$A$17),TRIM(C4274)=TRIM(Enginuity!$A$18)),
      TRIM(B4274)=TRIM(Enginuity!$A$17)
    )
  ),
  ROW(),
  ""
)</f>
        <v/>
      </c>
    </row>
    <row r="4275" spans="21:21" x14ac:dyDescent="0.25">
      <c r="U4275" s="104" t="str">
        <f>IF(
  AND(
    TRIM(A4275)=TRIM(Enginuity!$A$1),
    TRIM(B4275)=TRIM(Enginuity!$A$17),
    Q4275&lt;&gt;"",
    Q4275&lt;&gt;0,
    OR(
      TRIM(C4275)=TRIM(Enginuity!$A$18),
      AND(UPPER(TRIM(M4275))="STD", TRIM(B4275)=TRIM(Enginuity!$A$17))
    ),
    OR(
      AND(LEFT(P4275,5)="1-Way", Enginuity!$B$13=1),
      AND(LEFT(P4275,5)="2-Way", OR(Enginuity!$B$13=2, Enginuity!$B$13=4)),
      AND(LEFT(P4275,5)="3-Way", OR(Enginuity!$B$13=3, Enginuity!$B$13=6)),
      AND(P4275="Inner Centre Jamb", OR(Enginuity!$B$13=4, Enginuity!$B$13=6)),
      AND(
        LEFT(P4275,5)&lt;&gt;"1-Way",
        LEFT(P4275,5)&lt;&gt;"2-Way",
        LEFT(P4275,5)&lt;&gt;"3-Way",
        P4275&lt;&gt;"Inner Centre Jamb"
      )
    ),
    IF(OR(Enginuity!$A$1="Frameless Glass",Enginuity!$A$1="Metal Work"),
      AND(TRIM(B4275)=TRIM(Enginuity!$A$17),TRIM(C4275)=TRIM(Enginuity!$A$18)),
      TRIM(B4275)=TRIM(Enginuity!$A$17)
    )
  ),
  ROW(),
  ""
)</f>
        <v/>
      </c>
    </row>
    <row r="4276" spans="21:21" x14ac:dyDescent="0.25">
      <c r="U4276" s="104" t="str">
        <f>IF(
  AND(
    TRIM(A4276)=TRIM(Enginuity!$A$1),
    TRIM(B4276)=TRIM(Enginuity!$A$17),
    Q4276&lt;&gt;"",
    Q4276&lt;&gt;0,
    OR(
      TRIM(C4276)=TRIM(Enginuity!$A$18),
      AND(UPPER(TRIM(M4276))="STD", TRIM(B4276)=TRIM(Enginuity!$A$17))
    ),
    OR(
      AND(LEFT(P4276,5)="1-Way", Enginuity!$B$13=1),
      AND(LEFT(P4276,5)="2-Way", OR(Enginuity!$B$13=2, Enginuity!$B$13=4)),
      AND(LEFT(P4276,5)="3-Way", OR(Enginuity!$B$13=3, Enginuity!$B$13=6)),
      AND(P4276="Inner Centre Jamb", OR(Enginuity!$B$13=4, Enginuity!$B$13=6)),
      AND(
        LEFT(P4276,5)&lt;&gt;"1-Way",
        LEFT(P4276,5)&lt;&gt;"2-Way",
        LEFT(P4276,5)&lt;&gt;"3-Way",
        P4276&lt;&gt;"Inner Centre Jamb"
      )
    ),
    IF(OR(Enginuity!$A$1="Frameless Glass",Enginuity!$A$1="Metal Work"),
      AND(TRIM(B4276)=TRIM(Enginuity!$A$17),TRIM(C4276)=TRIM(Enginuity!$A$18)),
      TRIM(B4276)=TRIM(Enginuity!$A$17)
    )
  ),
  ROW(),
  ""
)</f>
        <v/>
      </c>
    </row>
    <row r="4277" spans="21:21" x14ac:dyDescent="0.25">
      <c r="U4277" s="104" t="str">
        <f>IF(
  AND(
    TRIM(A4277)=TRIM(Enginuity!$A$1),
    TRIM(B4277)=TRIM(Enginuity!$A$17),
    Q4277&lt;&gt;"",
    Q4277&lt;&gt;0,
    OR(
      TRIM(C4277)=TRIM(Enginuity!$A$18),
      AND(UPPER(TRIM(M4277))="STD", TRIM(B4277)=TRIM(Enginuity!$A$17))
    ),
    OR(
      AND(LEFT(P4277,5)="1-Way", Enginuity!$B$13=1),
      AND(LEFT(P4277,5)="2-Way", OR(Enginuity!$B$13=2, Enginuity!$B$13=4)),
      AND(LEFT(P4277,5)="3-Way", OR(Enginuity!$B$13=3, Enginuity!$B$13=6)),
      AND(P4277="Inner Centre Jamb", OR(Enginuity!$B$13=4, Enginuity!$B$13=6)),
      AND(
        LEFT(P4277,5)&lt;&gt;"1-Way",
        LEFT(P4277,5)&lt;&gt;"2-Way",
        LEFT(P4277,5)&lt;&gt;"3-Way",
        P4277&lt;&gt;"Inner Centre Jamb"
      )
    ),
    IF(OR(Enginuity!$A$1="Frameless Glass",Enginuity!$A$1="Metal Work"),
      AND(TRIM(B4277)=TRIM(Enginuity!$A$17),TRIM(C4277)=TRIM(Enginuity!$A$18)),
      TRIM(B4277)=TRIM(Enginuity!$A$17)
    )
  ),
  ROW(),
  ""
)</f>
        <v/>
      </c>
    </row>
    <row r="4278" spans="21:21" x14ac:dyDescent="0.25">
      <c r="U4278" s="104" t="str">
        <f>IF(
  AND(
    TRIM(A4278)=TRIM(Enginuity!$A$1),
    TRIM(B4278)=TRIM(Enginuity!$A$17),
    Q4278&lt;&gt;"",
    Q4278&lt;&gt;0,
    OR(
      TRIM(C4278)=TRIM(Enginuity!$A$18),
      AND(UPPER(TRIM(M4278))="STD", TRIM(B4278)=TRIM(Enginuity!$A$17))
    ),
    OR(
      AND(LEFT(P4278,5)="1-Way", Enginuity!$B$13=1),
      AND(LEFT(P4278,5)="2-Way", OR(Enginuity!$B$13=2, Enginuity!$B$13=4)),
      AND(LEFT(P4278,5)="3-Way", OR(Enginuity!$B$13=3, Enginuity!$B$13=6)),
      AND(P4278="Inner Centre Jamb", OR(Enginuity!$B$13=4, Enginuity!$B$13=6)),
      AND(
        LEFT(P4278,5)&lt;&gt;"1-Way",
        LEFT(P4278,5)&lt;&gt;"2-Way",
        LEFT(P4278,5)&lt;&gt;"3-Way",
        P4278&lt;&gt;"Inner Centre Jamb"
      )
    ),
    IF(OR(Enginuity!$A$1="Frameless Glass",Enginuity!$A$1="Metal Work"),
      AND(TRIM(B4278)=TRIM(Enginuity!$A$17),TRIM(C4278)=TRIM(Enginuity!$A$18)),
      TRIM(B4278)=TRIM(Enginuity!$A$17)
    )
  ),
  ROW(),
  ""
)</f>
        <v/>
      </c>
    </row>
    <row r="4279" spans="21:21" x14ac:dyDescent="0.25">
      <c r="U4279" s="104" t="str">
        <f>IF(
  AND(
    TRIM(A4279)=TRIM(Enginuity!$A$1),
    TRIM(B4279)=TRIM(Enginuity!$A$17),
    Q4279&lt;&gt;"",
    Q4279&lt;&gt;0,
    OR(
      TRIM(C4279)=TRIM(Enginuity!$A$18),
      AND(UPPER(TRIM(M4279))="STD", TRIM(B4279)=TRIM(Enginuity!$A$17))
    ),
    OR(
      AND(LEFT(P4279,5)="1-Way", Enginuity!$B$13=1),
      AND(LEFT(P4279,5)="2-Way", OR(Enginuity!$B$13=2, Enginuity!$B$13=4)),
      AND(LEFT(P4279,5)="3-Way", OR(Enginuity!$B$13=3, Enginuity!$B$13=6)),
      AND(P4279="Inner Centre Jamb", OR(Enginuity!$B$13=4, Enginuity!$B$13=6)),
      AND(
        LEFT(P4279,5)&lt;&gt;"1-Way",
        LEFT(P4279,5)&lt;&gt;"2-Way",
        LEFT(P4279,5)&lt;&gt;"3-Way",
        P4279&lt;&gt;"Inner Centre Jamb"
      )
    ),
    IF(OR(Enginuity!$A$1="Frameless Glass",Enginuity!$A$1="Metal Work"),
      AND(TRIM(B4279)=TRIM(Enginuity!$A$17),TRIM(C4279)=TRIM(Enginuity!$A$18)),
      TRIM(B4279)=TRIM(Enginuity!$A$17)
    )
  ),
  ROW(),
  ""
)</f>
        <v/>
      </c>
    </row>
    <row r="4280" spans="21:21" x14ac:dyDescent="0.25">
      <c r="U4280" s="104" t="str">
        <f>IF(
  AND(
    TRIM(A4280)=TRIM(Enginuity!$A$1),
    TRIM(B4280)=TRIM(Enginuity!$A$17),
    Q4280&lt;&gt;"",
    Q4280&lt;&gt;0,
    OR(
      TRIM(C4280)=TRIM(Enginuity!$A$18),
      AND(UPPER(TRIM(M4280))="STD", TRIM(B4280)=TRIM(Enginuity!$A$17))
    ),
    OR(
      AND(LEFT(P4280,5)="1-Way", Enginuity!$B$13=1),
      AND(LEFT(P4280,5)="2-Way", OR(Enginuity!$B$13=2, Enginuity!$B$13=4)),
      AND(LEFT(P4280,5)="3-Way", OR(Enginuity!$B$13=3, Enginuity!$B$13=6)),
      AND(P4280="Inner Centre Jamb", OR(Enginuity!$B$13=4, Enginuity!$B$13=6)),
      AND(
        LEFT(P4280,5)&lt;&gt;"1-Way",
        LEFT(P4280,5)&lt;&gt;"2-Way",
        LEFT(P4280,5)&lt;&gt;"3-Way",
        P4280&lt;&gt;"Inner Centre Jamb"
      )
    ),
    IF(OR(Enginuity!$A$1="Frameless Glass",Enginuity!$A$1="Metal Work"),
      AND(TRIM(B4280)=TRIM(Enginuity!$A$17),TRIM(C4280)=TRIM(Enginuity!$A$18)),
      TRIM(B4280)=TRIM(Enginuity!$A$17)
    )
  ),
  ROW(),
  ""
)</f>
        <v/>
      </c>
    </row>
    <row r="4281" spans="21:21" x14ac:dyDescent="0.25">
      <c r="U4281" s="104" t="str">
        <f>IF(
  AND(
    TRIM(A4281)=TRIM(Enginuity!$A$1),
    TRIM(B4281)=TRIM(Enginuity!$A$17),
    Q4281&lt;&gt;"",
    Q4281&lt;&gt;0,
    OR(
      TRIM(C4281)=TRIM(Enginuity!$A$18),
      AND(UPPER(TRIM(M4281))="STD", TRIM(B4281)=TRIM(Enginuity!$A$17))
    ),
    OR(
      AND(LEFT(P4281,5)="1-Way", Enginuity!$B$13=1),
      AND(LEFT(P4281,5)="2-Way", OR(Enginuity!$B$13=2, Enginuity!$B$13=4)),
      AND(LEFT(P4281,5)="3-Way", OR(Enginuity!$B$13=3, Enginuity!$B$13=6)),
      AND(P4281="Inner Centre Jamb", OR(Enginuity!$B$13=4, Enginuity!$B$13=6)),
      AND(
        LEFT(P4281,5)&lt;&gt;"1-Way",
        LEFT(P4281,5)&lt;&gt;"2-Way",
        LEFT(P4281,5)&lt;&gt;"3-Way",
        P4281&lt;&gt;"Inner Centre Jamb"
      )
    ),
    IF(OR(Enginuity!$A$1="Frameless Glass",Enginuity!$A$1="Metal Work"),
      AND(TRIM(B4281)=TRIM(Enginuity!$A$17),TRIM(C4281)=TRIM(Enginuity!$A$18)),
      TRIM(B4281)=TRIM(Enginuity!$A$17)
    )
  ),
  ROW(),
  ""
)</f>
        <v/>
      </c>
    </row>
    <row r="4282" spans="21:21" x14ac:dyDescent="0.25">
      <c r="U4282" s="104" t="str">
        <f>IF(
  AND(
    TRIM(A4282)=TRIM(Enginuity!$A$1),
    TRIM(B4282)=TRIM(Enginuity!$A$17),
    Q4282&lt;&gt;"",
    Q4282&lt;&gt;0,
    OR(
      TRIM(C4282)=TRIM(Enginuity!$A$18),
      AND(UPPER(TRIM(M4282))="STD", TRIM(B4282)=TRIM(Enginuity!$A$17))
    ),
    OR(
      AND(LEFT(P4282,5)="1-Way", Enginuity!$B$13=1),
      AND(LEFT(P4282,5)="2-Way", OR(Enginuity!$B$13=2, Enginuity!$B$13=4)),
      AND(LEFT(P4282,5)="3-Way", OR(Enginuity!$B$13=3, Enginuity!$B$13=6)),
      AND(P4282="Inner Centre Jamb", OR(Enginuity!$B$13=4, Enginuity!$B$13=6)),
      AND(
        LEFT(P4282,5)&lt;&gt;"1-Way",
        LEFT(P4282,5)&lt;&gt;"2-Way",
        LEFT(P4282,5)&lt;&gt;"3-Way",
        P4282&lt;&gt;"Inner Centre Jamb"
      )
    ),
    IF(OR(Enginuity!$A$1="Frameless Glass",Enginuity!$A$1="Metal Work"),
      AND(TRIM(B4282)=TRIM(Enginuity!$A$17),TRIM(C4282)=TRIM(Enginuity!$A$18)),
      TRIM(B4282)=TRIM(Enginuity!$A$17)
    )
  ),
  ROW(),
  ""
)</f>
        <v/>
      </c>
    </row>
    <row r="4283" spans="21:21" x14ac:dyDescent="0.25">
      <c r="U4283" s="104" t="str">
        <f>IF(
  AND(
    TRIM(A4283)=TRIM(Enginuity!$A$1),
    TRIM(B4283)=TRIM(Enginuity!$A$17),
    Q4283&lt;&gt;"",
    Q4283&lt;&gt;0,
    OR(
      TRIM(C4283)=TRIM(Enginuity!$A$18),
      AND(UPPER(TRIM(M4283))="STD", TRIM(B4283)=TRIM(Enginuity!$A$17))
    ),
    OR(
      AND(LEFT(P4283,5)="1-Way", Enginuity!$B$13=1),
      AND(LEFT(P4283,5)="2-Way", OR(Enginuity!$B$13=2, Enginuity!$B$13=4)),
      AND(LEFT(P4283,5)="3-Way", OR(Enginuity!$B$13=3, Enginuity!$B$13=6)),
      AND(P4283="Inner Centre Jamb", OR(Enginuity!$B$13=4, Enginuity!$B$13=6)),
      AND(
        LEFT(P4283,5)&lt;&gt;"1-Way",
        LEFT(P4283,5)&lt;&gt;"2-Way",
        LEFT(P4283,5)&lt;&gt;"3-Way",
        P4283&lt;&gt;"Inner Centre Jamb"
      )
    ),
    IF(OR(Enginuity!$A$1="Frameless Glass",Enginuity!$A$1="Metal Work"),
      AND(TRIM(B4283)=TRIM(Enginuity!$A$17),TRIM(C4283)=TRIM(Enginuity!$A$18)),
      TRIM(B4283)=TRIM(Enginuity!$A$17)
    )
  ),
  ROW(),
  ""
)</f>
        <v/>
      </c>
    </row>
    <row r="4284" spans="21:21" x14ac:dyDescent="0.25">
      <c r="U4284" s="104" t="str">
        <f>IF(
  AND(
    TRIM(A4284)=TRIM(Enginuity!$A$1),
    TRIM(B4284)=TRIM(Enginuity!$A$17),
    Q4284&lt;&gt;"",
    Q4284&lt;&gt;0,
    OR(
      TRIM(C4284)=TRIM(Enginuity!$A$18),
      AND(UPPER(TRIM(M4284))="STD", TRIM(B4284)=TRIM(Enginuity!$A$17))
    ),
    OR(
      AND(LEFT(P4284,5)="1-Way", Enginuity!$B$13=1),
      AND(LEFT(P4284,5)="2-Way", OR(Enginuity!$B$13=2, Enginuity!$B$13=4)),
      AND(LEFT(P4284,5)="3-Way", OR(Enginuity!$B$13=3, Enginuity!$B$13=6)),
      AND(P4284="Inner Centre Jamb", OR(Enginuity!$B$13=4, Enginuity!$B$13=6)),
      AND(
        LEFT(P4284,5)&lt;&gt;"1-Way",
        LEFT(P4284,5)&lt;&gt;"2-Way",
        LEFT(P4284,5)&lt;&gt;"3-Way",
        P4284&lt;&gt;"Inner Centre Jamb"
      )
    ),
    IF(OR(Enginuity!$A$1="Frameless Glass",Enginuity!$A$1="Metal Work"),
      AND(TRIM(B4284)=TRIM(Enginuity!$A$17),TRIM(C4284)=TRIM(Enginuity!$A$18)),
      TRIM(B4284)=TRIM(Enginuity!$A$17)
    )
  ),
  ROW(),
  ""
)</f>
        <v/>
      </c>
    </row>
    <row r="4285" spans="21:21" x14ac:dyDescent="0.25">
      <c r="U4285" s="104" t="str">
        <f>IF(
  AND(
    TRIM(A4285)=TRIM(Enginuity!$A$1),
    TRIM(B4285)=TRIM(Enginuity!$A$17),
    Q4285&lt;&gt;"",
    Q4285&lt;&gt;0,
    OR(
      TRIM(C4285)=TRIM(Enginuity!$A$18),
      AND(UPPER(TRIM(M4285))="STD", TRIM(B4285)=TRIM(Enginuity!$A$17))
    ),
    OR(
      AND(LEFT(P4285,5)="1-Way", Enginuity!$B$13=1),
      AND(LEFT(P4285,5)="2-Way", OR(Enginuity!$B$13=2, Enginuity!$B$13=4)),
      AND(LEFT(P4285,5)="3-Way", OR(Enginuity!$B$13=3, Enginuity!$B$13=6)),
      AND(P4285="Inner Centre Jamb", OR(Enginuity!$B$13=4, Enginuity!$B$13=6)),
      AND(
        LEFT(P4285,5)&lt;&gt;"1-Way",
        LEFT(P4285,5)&lt;&gt;"2-Way",
        LEFT(P4285,5)&lt;&gt;"3-Way",
        P4285&lt;&gt;"Inner Centre Jamb"
      )
    ),
    IF(OR(Enginuity!$A$1="Frameless Glass",Enginuity!$A$1="Metal Work"),
      AND(TRIM(B4285)=TRIM(Enginuity!$A$17),TRIM(C4285)=TRIM(Enginuity!$A$18)),
      TRIM(B4285)=TRIM(Enginuity!$A$17)
    )
  ),
  ROW(),
  ""
)</f>
        <v/>
      </c>
    </row>
    <row r="4286" spans="21:21" x14ac:dyDescent="0.25">
      <c r="U4286" s="104" t="str">
        <f>IF(
  AND(
    TRIM(A4286)=TRIM(Enginuity!$A$1),
    TRIM(B4286)=TRIM(Enginuity!$A$17),
    Q4286&lt;&gt;"",
    Q4286&lt;&gt;0,
    OR(
      TRIM(C4286)=TRIM(Enginuity!$A$18),
      AND(UPPER(TRIM(M4286))="STD", TRIM(B4286)=TRIM(Enginuity!$A$17))
    ),
    OR(
      AND(LEFT(P4286,5)="1-Way", Enginuity!$B$13=1),
      AND(LEFT(P4286,5)="2-Way", OR(Enginuity!$B$13=2, Enginuity!$B$13=4)),
      AND(LEFT(P4286,5)="3-Way", OR(Enginuity!$B$13=3, Enginuity!$B$13=6)),
      AND(P4286="Inner Centre Jamb", OR(Enginuity!$B$13=4, Enginuity!$B$13=6)),
      AND(
        LEFT(P4286,5)&lt;&gt;"1-Way",
        LEFT(P4286,5)&lt;&gt;"2-Way",
        LEFT(P4286,5)&lt;&gt;"3-Way",
        P4286&lt;&gt;"Inner Centre Jamb"
      )
    ),
    IF(OR(Enginuity!$A$1="Frameless Glass",Enginuity!$A$1="Metal Work"),
      AND(TRIM(B4286)=TRIM(Enginuity!$A$17),TRIM(C4286)=TRIM(Enginuity!$A$18)),
      TRIM(B4286)=TRIM(Enginuity!$A$17)
    )
  ),
  ROW(),
  ""
)</f>
        <v/>
      </c>
    </row>
    <row r="4287" spans="21:21" x14ac:dyDescent="0.25">
      <c r="U4287" s="104" t="str">
        <f>IF(
  AND(
    TRIM(A4287)=TRIM(Enginuity!$A$1),
    TRIM(B4287)=TRIM(Enginuity!$A$17),
    Q4287&lt;&gt;"",
    Q4287&lt;&gt;0,
    OR(
      TRIM(C4287)=TRIM(Enginuity!$A$18),
      AND(UPPER(TRIM(M4287))="STD", TRIM(B4287)=TRIM(Enginuity!$A$17))
    ),
    OR(
      AND(LEFT(P4287,5)="1-Way", Enginuity!$B$13=1),
      AND(LEFT(P4287,5)="2-Way", OR(Enginuity!$B$13=2, Enginuity!$B$13=4)),
      AND(LEFT(P4287,5)="3-Way", OR(Enginuity!$B$13=3, Enginuity!$B$13=6)),
      AND(P4287="Inner Centre Jamb", OR(Enginuity!$B$13=4, Enginuity!$B$13=6)),
      AND(
        LEFT(P4287,5)&lt;&gt;"1-Way",
        LEFT(P4287,5)&lt;&gt;"2-Way",
        LEFT(P4287,5)&lt;&gt;"3-Way",
        P4287&lt;&gt;"Inner Centre Jamb"
      )
    ),
    IF(OR(Enginuity!$A$1="Frameless Glass",Enginuity!$A$1="Metal Work"),
      AND(TRIM(B4287)=TRIM(Enginuity!$A$17),TRIM(C4287)=TRIM(Enginuity!$A$18)),
      TRIM(B4287)=TRIM(Enginuity!$A$17)
    )
  ),
  ROW(),
  ""
)</f>
        <v/>
      </c>
    </row>
    <row r="4288" spans="21:21" x14ac:dyDescent="0.25">
      <c r="U4288" s="104" t="str">
        <f>IF(
  AND(
    TRIM(A4288)=TRIM(Enginuity!$A$1),
    TRIM(B4288)=TRIM(Enginuity!$A$17),
    Q4288&lt;&gt;"",
    Q4288&lt;&gt;0,
    OR(
      TRIM(C4288)=TRIM(Enginuity!$A$18),
      AND(UPPER(TRIM(M4288))="STD", TRIM(B4288)=TRIM(Enginuity!$A$17))
    ),
    OR(
      AND(LEFT(P4288,5)="1-Way", Enginuity!$B$13=1),
      AND(LEFT(P4288,5)="2-Way", OR(Enginuity!$B$13=2, Enginuity!$B$13=4)),
      AND(LEFT(P4288,5)="3-Way", OR(Enginuity!$B$13=3, Enginuity!$B$13=6)),
      AND(P4288="Inner Centre Jamb", OR(Enginuity!$B$13=4, Enginuity!$B$13=6)),
      AND(
        LEFT(P4288,5)&lt;&gt;"1-Way",
        LEFT(P4288,5)&lt;&gt;"2-Way",
        LEFT(P4288,5)&lt;&gt;"3-Way",
        P4288&lt;&gt;"Inner Centre Jamb"
      )
    ),
    IF(OR(Enginuity!$A$1="Frameless Glass",Enginuity!$A$1="Metal Work"),
      AND(TRIM(B4288)=TRIM(Enginuity!$A$17),TRIM(C4288)=TRIM(Enginuity!$A$18)),
      TRIM(B4288)=TRIM(Enginuity!$A$17)
    )
  ),
  ROW(),
  ""
)</f>
        <v/>
      </c>
    </row>
    <row r="4289" spans="21:21" x14ac:dyDescent="0.25">
      <c r="U4289" s="104" t="str">
        <f>IF(
  AND(
    TRIM(A4289)=TRIM(Enginuity!$A$1),
    TRIM(B4289)=TRIM(Enginuity!$A$17),
    Q4289&lt;&gt;"",
    Q4289&lt;&gt;0,
    OR(
      TRIM(C4289)=TRIM(Enginuity!$A$18),
      AND(UPPER(TRIM(M4289))="STD", TRIM(B4289)=TRIM(Enginuity!$A$17))
    ),
    OR(
      AND(LEFT(P4289,5)="1-Way", Enginuity!$B$13=1),
      AND(LEFT(P4289,5)="2-Way", OR(Enginuity!$B$13=2, Enginuity!$B$13=4)),
      AND(LEFT(P4289,5)="3-Way", OR(Enginuity!$B$13=3, Enginuity!$B$13=6)),
      AND(P4289="Inner Centre Jamb", OR(Enginuity!$B$13=4, Enginuity!$B$13=6)),
      AND(
        LEFT(P4289,5)&lt;&gt;"1-Way",
        LEFT(P4289,5)&lt;&gt;"2-Way",
        LEFT(P4289,5)&lt;&gt;"3-Way",
        P4289&lt;&gt;"Inner Centre Jamb"
      )
    ),
    IF(OR(Enginuity!$A$1="Frameless Glass",Enginuity!$A$1="Metal Work"),
      AND(TRIM(B4289)=TRIM(Enginuity!$A$17),TRIM(C4289)=TRIM(Enginuity!$A$18)),
      TRIM(B4289)=TRIM(Enginuity!$A$17)
    )
  ),
  ROW(),
  ""
)</f>
        <v/>
      </c>
    </row>
    <row r="4290" spans="21:21" x14ac:dyDescent="0.25">
      <c r="U4290" s="104" t="str">
        <f>IF(
  AND(
    TRIM(A4290)=TRIM(Enginuity!$A$1),
    TRIM(B4290)=TRIM(Enginuity!$A$17),
    Q4290&lt;&gt;"",
    Q4290&lt;&gt;0,
    OR(
      TRIM(C4290)=TRIM(Enginuity!$A$18),
      AND(UPPER(TRIM(M4290))="STD", TRIM(B4290)=TRIM(Enginuity!$A$17))
    ),
    OR(
      AND(LEFT(P4290,5)="1-Way", Enginuity!$B$13=1),
      AND(LEFT(P4290,5)="2-Way", OR(Enginuity!$B$13=2, Enginuity!$B$13=4)),
      AND(LEFT(P4290,5)="3-Way", OR(Enginuity!$B$13=3, Enginuity!$B$13=6)),
      AND(P4290="Inner Centre Jamb", OR(Enginuity!$B$13=4, Enginuity!$B$13=6)),
      AND(
        LEFT(P4290,5)&lt;&gt;"1-Way",
        LEFT(P4290,5)&lt;&gt;"2-Way",
        LEFT(P4290,5)&lt;&gt;"3-Way",
        P4290&lt;&gt;"Inner Centre Jamb"
      )
    ),
    IF(OR(Enginuity!$A$1="Frameless Glass",Enginuity!$A$1="Metal Work"),
      AND(TRIM(B4290)=TRIM(Enginuity!$A$17),TRIM(C4290)=TRIM(Enginuity!$A$18)),
      TRIM(B4290)=TRIM(Enginuity!$A$17)
    )
  ),
  ROW(),
  ""
)</f>
        <v/>
      </c>
    </row>
    <row r="4291" spans="21:21" x14ac:dyDescent="0.25">
      <c r="U4291" s="104" t="str">
        <f>IF(
  AND(
    TRIM(A4291)=TRIM(Enginuity!$A$1),
    TRIM(B4291)=TRIM(Enginuity!$A$17),
    Q4291&lt;&gt;"",
    Q4291&lt;&gt;0,
    OR(
      TRIM(C4291)=TRIM(Enginuity!$A$18),
      AND(UPPER(TRIM(M4291))="STD", TRIM(B4291)=TRIM(Enginuity!$A$17))
    ),
    OR(
      AND(LEFT(P4291,5)="1-Way", Enginuity!$B$13=1),
      AND(LEFT(P4291,5)="2-Way", OR(Enginuity!$B$13=2, Enginuity!$B$13=4)),
      AND(LEFT(P4291,5)="3-Way", OR(Enginuity!$B$13=3, Enginuity!$B$13=6)),
      AND(P4291="Inner Centre Jamb", OR(Enginuity!$B$13=4, Enginuity!$B$13=6)),
      AND(
        LEFT(P4291,5)&lt;&gt;"1-Way",
        LEFT(P4291,5)&lt;&gt;"2-Way",
        LEFT(P4291,5)&lt;&gt;"3-Way",
        P4291&lt;&gt;"Inner Centre Jamb"
      )
    ),
    IF(OR(Enginuity!$A$1="Frameless Glass",Enginuity!$A$1="Metal Work"),
      AND(TRIM(B4291)=TRIM(Enginuity!$A$17),TRIM(C4291)=TRIM(Enginuity!$A$18)),
      TRIM(B4291)=TRIM(Enginuity!$A$17)
    )
  ),
  ROW(),
  ""
)</f>
        <v/>
      </c>
    </row>
    <row r="4292" spans="21:21" x14ac:dyDescent="0.25">
      <c r="U4292" s="104" t="str">
        <f>IF(
  AND(
    TRIM(A4292)=TRIM(Enginuity!$A$1),
    TRIM(B4292)=TRIM(Enginuity!$A$17),
    Q4292&lt;&gt;"",
    Q4292&lt;&gt;0,
    OR(
      TRIM(C4292)=TRIM(Enginuity!$A$18),
      AND(UPPER(TRIM(M4292))="STD", TRIM(B4292)=TRIM(Enginuity!$A$17))
    ),
    OR(
      AND(LEFT(P4292,5)="1-Way", Enginuity!$B$13=1),
      AND(LEFT(P4292,5)="2-Way", OR(Enginuity!$B$13=2, Enginuity!$B$13=4)),
      AND(LEFT(P4292,5)="3-Way", OR(Enginuity!$B$13=3, Enginuity!$B$13=6)),
      AND(P4292="Inner Centre Jamb", OR(Enginuity!$B$13=4, Enginuity!$B$13=6)),
      AND(
        LEFT(P4292,5)&lt;&gt;"1-Way",
        LEFT(P4292,5)&lt;&gt;"2-Way",
        LEFT(P4292,5)&lt;&gt;"3-Way",
        P4292&lt;&gt;"Inner Centre Jamb"
      )
    ),
    IF(OR(Enginuity!$A$1="Frameless Glass",Enginuity!$A$1="Metal Work"),
      AND(TRIM(B4292)=TRIM(Enginuity!$A$17),TRIM(C4292)=TRIM(Enginuity!$A$18)),
      TRIM(B4292)=TRIM(Enginuity!$A$17)
    )
  ),
  ROW(),
  ""
)</f>
        <v/>
      </c>
    </row>
    <row r="4293" spans="21:21" x14ac:dyDescent="0.25">
      <c r="U4293" s="104" t="str">
        <f>IF(
  AND(
    TRIM(A4293)=TRIM(Enginuity!$A$1),
    TRIM(B4293)=TRIM(Enginuity!$A$17),
    Q4293&lt;&gt;"",
    Q4293&lt;&gt;0,
    OR(
      TRIM(C4293)=TRIM(Enginuity!$A$18),
      AND(UPPER(TRIM(M4293))="STD", TRIM(B4293)=TRIM(Enginuity!$A$17))
    ),
    OR(
      AND(LEFT(P4293,5)="1-Way", Enginuity!$B$13=1),
      AND(LEFT(P4293,5)="2-Way", OR(Enginuity!$B$13=2, Enginuity!$B$13=4)),
      AND(LEFT(P4293,5)="3-Way", OR(Enginuity!$B$13=3, Enginuity!$B$13=6)),
      AND(P4293="Inner Centre Jamb", OR(Enginuity!$B$13=4, Enginuity!$B$13=6)),
      AND(
        LEFT(P4293,5)&lt;&gt;"1-Way",
        LEFT(P4293,5)&lt;&gt;"2-Way",
        LEFT(P4293,5)&lt;&gt;"3-Way",
        P4293&lt;&gt;"Inner Centre Jamb"
      )
    ),
    IF(OR(Enginuity!$A$1="Frameless Glass",Enginuity!$A$1="Metal Work"),
      AND(TRIM(B4293)=TRIM(Enginuity!$A$17),TRIM(C4293)=TRIM(Enginuity!$A$18)),
      TRIM(B4293)=TRIM(Enginuity!$A$17)
    )
  ),
  ROW(),
  ""
)</f>
        <v/>
      </c>
    </row>
    <row r="4294" spans="21:21" x14ac:dyDescent="0.25">
      <c r="U4294" s="104" t="str">
        <f>IF(
  AND(
    TRIM(A4294)=TRIM(Enginuity!$A$1),
    TRIM(B4294)=TRIM(Enginuity!$A$17),
    Q4294&lt;&gt;"",
    Q4294&lt;&gt;0,
    OR(
      TRIM(C4294)=TRIM(Enginuity!$A$18),
      AND(UPPER(TRIM(M4294))="STD", TRIM(B4294)=TRIM(Enginuity!$A$17))
    ),
    OR(
      AND(LEFT(P4294,5)="1-Way", Enginuity!$B$13=1),
      AND(LEFT(P4294,5)="2-Way", OR(Enginuity!$B$13=2, Enginuity!$B$13=4)),
      AND(LEFT(P4294,5)="3-Way", OR(Enginuity!$B$13=3, Enginuity!$B$13=6)),
      AND(P4294="Inner Centre Jamb", OR(Enginuity!$B$13=4, Enginuity!$B$13=6)),
      AND(
        LEFT(P4294,5)&lt;&gt;"1-Way",
        LEFT(P4294,5)&lt;&gt;"2-Way",
        LEFT(P4294,5)&lt;&gt;"3-Way",
        P4294&lt;&gt;"Inner Centre Jamb"
      )
    ),
    IF(OR(Enginuity!$A$1="Frameless Glass",Enginuity!$A$1="Metal Work"),
      AND(TRIM(B4294)=TRIM(Enginuity!$A$17),TRIM(C4294)=TRIM(Enginuity!$A$18)),
      TRIM(B4294)=TRIM(Enginuity!$A$17)
    )
  ),
  ROW(),
  ""
)</f>
        <v/>
      </c>
    </row>
    <row r="4295" spans="21:21" x14ac:dyDescent="0.25">
      <c r="U4295" s="104" t="str">
        <f>IF(
  AND(
    TRIM(A4295)=TRIM(Enginuity!$A$1),
    TRIM(B4295)=TRIM(Enginuity!$A$17),
    Q4295&lt;&gt;"",
    Q4295&lt;&gt;0,
    OR(
      TRIM(C4295)=TRIM(Enginuity!$A$18),
      AND(UPPER(TRIM(M4295))="STD", TRIM(B4295)=TRIM(Enginuity!$A$17))
    ),
    OR(
      AND(LEFT(P4295,5)="1-Way", Enginuity!$B$13=1),
      AND(LEFT(P4295,5)="2-Way", OR(Enginuity!$B$13=2, Enginuity!$B$13=4)),
      AND(LEFT(P4295,5)="3-Way", OR(Enginuity!$B$13=3, Enginuity!$B$13=6)),
      AND(P4295="Inner Centre Jamb", OR(Enginuity!$B$13=4, Enginuity!$B$13=6)),
      AND(
        LEFT(P4295,5)&lt;&gt;"1-Way",
        LEFT(P4295,5)&lt;&gt;"2-Way",
        LEFT(P4295,5)&lt;&gt;"3-Way",
        P4295&lt;&gt;"Inner Centre Jamb"
      )
    ),
    IF(OR(Enginuity!$A$1="Frameless Glass",Enginuity!$A$1="Metal Work"),
      AND(TRIM(B4295)=TRIM(Enginuity!$A$17),TRIM(C4295)=TRIM(Enginuity!$A$18)),
      TRIM(B4295)=TRIM(Enginuity!$A$17)
    )
  ),
  ROW(),
  ""
)</f>
        <v/>
      </c>
    </row>
    <row r="4296" spans="21:21" x14ac:dyDescent="0.25">
      <c r="U4296" s="104" t="str">
        <f>IF(
  AND(
    TRIM(A4296)=TRIM(Enginuity!$A$1),
    TRIM(B4296)=TRIM(Enginuity!$A$17),
    Q4296&lt;&gt;"",
    Q4296&lt;&gt;0,
    OR(
      TRIM(C4296)=TRIM(Enginuity!$A$18),
      AND(UPPER(TRIM(M4296))="STD", TRIM(B4296)=TRIM(Enginuity!$A$17))
    ),
    OR(
      AND(LEFT(P4296,5)="1-Way", Enginuity!$B$13=1),
      AND(LEFT(P4296,5)="2-Way", OR(Enginuity!$B$13=2, Enginuity!$B$13=4)),
      AND(LEFT(P4296,5)="3-Way", OR(Enginuity!$B$13=3, Enginuity!$B$13=6)),
      AND(P4296="Inner Centre Jamb", OR(Enginuity!$B$13=4, Enginuity!$B$13=6)),
      AND(
        LEFT(P4296,5)&lt;&gt;"1-Way",
        LEFT(P4296,5)&lt;&gt;"2-Way",
        LEFT(P4296,5)&lt;&gt;"3-Way",
        P4296&lt;&gt;"Inner Centre Jamb"
      )
    ),
    IF(OR(Enginuity!$A$1="Frameless Glass",Enginuity!$A$1="Metal Work"),
      AND(TRIM(B4296)=TRIM(Enginuity!$A$17),TRIM(C4296)=TRIM(Enginuity!$A$18)),
      TRIM(B4296)=TRIM(Enginuity!$A$17)
    )
  ),
  ROW(),
  ""
)</f>
        <v/>
      </c>
    </row>
    <row r="4297" spans="21:21" x14ac:dyDescent="0.25">
      <c r="U4297" s="104" t="str">
        <f>IF(
  AND(
    TRIM(A4297)=TRIM(Enginuity!$A$1),
    TRIM(B4297)=TRIM(Enginuity!$A$17),
    Q4297&lt;&gt;"",
    Q4297&lt;&gt;0,
    OR(
      TRIM(C4297)=TRIM(Enginuity!$A$18),
      AND(UPPER(TRIM(M4297))="STD", TRIM(B4297)=TRIM(Enginuity!$A$17))
    ),
    OR(
      AND(LEFT(P4297,5)="1-Way", Enginuity!$B$13=1),
      AND(LEFT(P4297,5)="2-Way", OR(Enginuity!$B$13=2, Enginuity!$B$13=4)),
      AND(LEFT(P4297,5)="3-Way", OR(Enginuity!$B$13=3, Enginuity!$B$13=6)),
      AND(P4297="Inner Centre Jamb", OR(Enginuity!$B$13=4, Enginuity!$B$13=6)),
      AND(
        LEFT(P4297,5)&lt;&gt;"1-Way",
        LEFT(P4297,5)&lt;&gt;"2-Way",
        LEFT(P4297,5)&lt;&gt;"3-Way",
        P4297&lt;&gt;"Inner Centre Jamb"
      )
    ),
    IF(OR(Enginuity!$A$1="Frameless Glass",Enginuity!$A$1="Metal Work"),
      AND(TRIM(B4297)=TRIM(Enginuity!$A$17),TRIM(C4297)=TRIM(Enginuity!$A$18)),
      TRIM(B4297)=TRIM(Enginuity!$A$17)
    )
  ),
  ROW(),
  ""
)</f>
        <v/>
      </c>
    </row>
    <row r="4298" spans="21:21" x14ac:dyDescent="0.25">
      <c r="U4298" s="104" t="str">
        <f>IF(
  AND(
    TRIM(A4298)=TRIM(Enginuity!$A$1),
    TRIM(B4298)=TRIM(Enginuity!$A$17),
    Q4298&lt;&gt;"",
    Q4298&lt;&gt;0,
    OR(
      TRIM(C4298)=TRIM(Enginuity!$A$18),
      AND(UPPER(TRIM(M4298))="STD", TRIM(B4298)=TRIM(Enginuity!$A$17))
    ),
    OR(
      AND(LEFT(P4298,5)="1-Way", Enginuity!$B$13=1),
      AND(LEFT(P4298,5)="2-Way", OR(Enginuity!$B$13=2, Enginuity!$B$13=4)),
      AND(LEFT(P4298,5)="3-Way", OR(Enginuity!$B$13=3, Enginuity!$B$13=6)),
      AND(P4298="Inner Centre Jamb", OR(Enginuity!$B$13=4, Enginuity!$B$13=6)),
      AND(
        LEFT(P4298,5)&lt;&gt;"1-Way",
        LEFT(P4298,5)&lt;&gt;"2-Way",
        LEFT(P4298,5)&lt;&gt;"3-Way",
        P4298&lt;&gt;"Inner Centre Jamb"
      )
    ),
    IF(OR(Enginuity!$A$1="Frameless Glass",Enginuity!$A$1="Metal Work"),
      AND(TRIM(B4298)=TRIM(Enginuity!$A$17),TRIM(C4298)=TRIM(Enginuity!$A$18)),
      TRIM(B4298)=TRIM(Enginuity!$A$17)
    )
  ),
  ROW(),
  ""
)</f>
        <v/>
      </c>
    </row>
    <row r="4299" spans="21:21" x14ac:dyDescent="0.25">
      <c r="U4299" s="104" t="str">
        <f>IF(
  AND(
    TRIM(A4299)=TRIM(Enginuity!$A$1),
    TRIM(B4299)=TRIM(Enginuity!$A$17),
    Q4299&lt;&gt;"",
    Q4299&lt;&gt;0,
    OR(
      TRIM(C4299)=TRIM(Enginuity!$A$18),
      AND(UPPER(TRIM(M4299))="STD", TRIM(B4299)=TRIM(Enginuity!$A$17))
    ),
    OR(
      AND(LEFT(P4299,5)="1-Way", Enginuity!$B$13=1),
      AND(LEFT(P4299,5)="2-Way", OR(Enginuity!$B$13=2, Enginuity!$B$13=4)),
      AND(LEFT(P4299,5)="3-Way", OR(Enginuity!$B$13=3, Enginuity!$B$13=6)),
      AND(P4299="Inner Centre Jamb", OR(Enginuity!$B$13=4, Enginuity!$B$13=6)),
      AND(
        LEFT(P4299,5)&lt;&gt;"1-Way",
        LEFT(P4299,5)&lt;&gt;"2-Way",
        LEFT(P4299,5)&lt;&gt;"3-Way",
        P4299&lt;&gt;"Inner Centre Jamb"
      )
    ),
    IF(OR(Enginuity!$A$1="Frameless Glass",Enginuity!$A$1="Metal Work"),
      AND(TRIM(B4299)=TRIM(Enginuity!$A$17),TRIM(C4299)=TRIM(Enginuity!$A$18)),
      TRIM(B4299)=TRIM(Enginuity!$A$17)
    )
  ),
  ROW(),
  ""
)</f>
        <v/>
      </c>
    </row>
    <row r="4300" spans="21:21" x14ac:dyDescent="0.25">
      <c r="U4300" s="104" t="str">
        <f>IF(
  AND(
    TRIM(A4300)=TRIM(Enginuity!$A$1),
    TRIM(B4300)=TRIM(Enginuity!$A$17),
    Q4300&lt;&gt;"",
    Q4300&lt;&gt;0,
    OR(
      TRIM(C4300)=TRIM(Enginuity!$A$18),
      AND(UPPER(TRIM(M4300))="STD", TRIM(B4300)=TRIM(Enginuity!$A$17))
    ),
    OR(
      AND(LEFT(P4300,5)="1-Way", Enginuity!$B$13=1),
      AND(LEFT(P4300,5)="2-Way", OR(Enginuity!$B$13=2, Enginuity!$B$13=4)),
      AND(LEFT(P4300,5)="3-Way", OR(Enginuity!$B$13=3, Enginuity!$B$13=6)),
      AND(P4300="Inner Centre Jamb", OR(Enginuity!$B$13=4, Enginuity!$B$13=6)),
      AND(
        LEFT(P4300,5)&lt;&gt;"1-Way",
        LEFT(P4300,5)&lt;&gt;"2-Way",
        LEFT(P4300,5)&lt;&gt;"3-Way",
        P4300&lt;&gt;"Inner Centre Jamb"
      )
    ),
    IF(OR(Enginuity!$A$1="Frameless Glass",Enginuity!$A$1="Metal Work"),
      AND(TRIM(B4300)=TRIM(Enginuity!$A$17),TRIM(C4300)=TRIM(Enginuity!$A$18)),
      TRIM(B4300)=TRIM(Enginuity!$A$17)
    )
  ),
  ROW(),
  ""
)</f>
        <v/>
      </c>
    </row>
    <row r="4301" spans="21:21" x14ac:dyDescent="0.25">
      <c r="U4301" s="104" t="str">
        <f>IF(
  AND(
    TRIM(A4301)=TRIM(Enginuity!$A$1),
    TRIM(B4301)=TRIM(Enginuity!$A$17),
    Q4301&lt;&gt;"",
    Q4301&lt;&gt;0,
    OR(
      TRIM(C4301)=TRIM(Enginuity!$A$18),
      AND(UPPER(TRIM(M4301))="STD", TRIM(B4301)=TRIM(Enginuity!$A$17))
    ),
    OR(
      AND(LEFT(P4301,5)="1-Way", Enginuity!$B$13=1),
      AND(LEFT(P4301,5)="2-Way", OR(Enginuity!$B$13=2, Enginuity!$B$13=4)),
      AND(LEFT(P4301,5)="3-Way", OR(Enginuity!$B$13=3, Enginuity!$B$13=6)),
      AND(P4301="Inner Centre Jamb", OR(Enginuity!$B$13=4, Enginuity!$B$13=6)),
      AND(
        LEFT(P4301,5)&lt;&gt;"1-Way",
        LEFT(P4301,5)&lt;&gt;"2-Way",
        LEFT(P4301,5)&lt;&gt;"3-Way",
        P4301&lt;&gt;"Inner Centre Jamb"
      )
    ),
    IF(OR(Enginuity!$A$1="Frameless Glass",Enginuity!$A$1="Metal Work"),
      AND(TRIM(B4301)=TRIM(Enginuity!$A$17),TRIM(C4301)=TRIM(Enginuity!$A$18)),
      TRIM(B4301)=TRIM(Enginuity!$A$17)
    )
  ),
  ROW(),
  ""
)</f>
        <v/>
      </c>
    </row>
    <row r="4302" spans="21:21" x14ac:dyDescent="0.25">
      <c r="U4302" s="104" t="str">
        <f>IF(
  AND(
    TRIM(A4302)=TRIM(Enginuity!$A$1),
    TRIM(B4302)=TRIM(Enginuity!$A$17),
    Q4302&lt;&gt;"",
    Q4302&lt;&gt;0,
    OR(
      TRIM(C4302)=TRIM(Enginuity!$A$18),
      AND(UPPER(TRIM(M4302))="STD", TRIM(B4302)=TRIM(Enginuity!$A$17))
    ),
    OR(
      AND(LEFT(P4302,5)="1-Way", Enginuity!$B$13=1),
      AND(LEFT(P4302,5)="2-Way", OR(Enginuity!$B$13=2, Enginuity!$B$13=4)),
      AND(LEFT(P4302,5)="3-Way", OR(Enginuity!$B$13=3, Enginuity!$B$13=6)),
      AND(P4302="Inner Centre Jamb", OR(Enginuity!$B$13=4, Enginuity!$B$13=6)),
      AND(
        LEFT(P4302,5)&lt;&gt;"1-Way",
        LEFT(P4302,5)&lt;&gt;"2-Way",
        LEFT(P4302,5)&lt;&gt;"3-Way",
        P4302&lt;&gt;"Inner Centre Jamb"
      )
    ),
    IF(OR(Enginuity!$A$1="Frameless Glass",Enginuity!$A$1="Metal Work"),
      AND(TRIM(B4302)=TRIM(Enginuity!$A$17),TRIM(C4302)=TRIM(Enginuity!$A$18)),
      TRIM(B4302)=TRIM(Enginuity!$A$17)
    )
  ),
  ROW(),
  ""
)</f>
        <v/>
      </c>
    </row>
    <row r="4303" spans="21:21" x14ac:dyDescent="0.25">
      <c r="U4303" s="104" t="str">
        <f>IF(
  AND(
    TRIM(A4303)=TRIM(Enginuity!$A$1),
    TRIM(B4303)=TRIM(Enginuity!$A$17),
    Q4303&lt;&gt;"",
    Q4303&lt;&gt;0,
    OR(
      TRIM(C4303)=TRIM(Enginuity!$A$18),
      AND(UPPER(TRIM(M4303))="STD", TRIM(B4303)=TRIM(Enginuity!$A$17))
    ),
    OR(
      AND(LEFT(P4303,5)="1-Way", Enginuity!$B$13=1),
      AND(LEFT(P4303,5)="2-Way", OR(Enginuity!$B$13=2, Enginuity!$B$13=4)),
      AND(LEFT(P4303,5)="3-Way", OR(Enginuity!$B$13=3, Enginuity!$B$13=6)),
      AND(P4303="Inner Centre Jamb", OR(Enginuity!$B$13=4, Enginuity!$B$13=6)),
      AND(
        LEFT(P4303,5)&lt;&gt;"1-Way",
        LEFT(P4303,5)&lt;&gt;"2-Way",
        LEFT(P4303,5)&lt;&gt;"3-Way",
        P4303&lt;&gt;"Inner Centre Jamb"
      )
    ),
    IF(OR(Enginuity!$A$1="Frameless Glass",Enginuity!$A$1="Metal Work"),
      AND(TRIM(B4303)=TRIM(Enginuity!$A$17),TRIM(C4303)=TRIM(Enginuity!$A$18)),
      TRIM(B4303)=TRIM(Enginuity!$A$17)
    )
  ),
  ROW(),
  ""
)</f>
        <v/>
      </c>
    </row>
    <row r="4304" spans="21:21" x14ac:dyDescent="0.25">
      <c r="U4304" s="104" t="str">
        <f>IF(
  AND(
    TRIM(A4304)=TRIM(Enginuity!$A$1),
    TRIM(B4304)=TRIM(Enginuity!$A$17),
    Q4304&lt;&gt;"",
    Q4304&lt;&gt;0,
    OR(
      TRIM(C4304)=TRIM(Enginuity!$A$18),
      AND(UPPER(TRIM(M4304))="STD", TRIM(B4304)=TRIM(Enginuity!$A$17))
    ),
    OR(
      AND(LEFT(P4304,5)="1-Way", Enginuity!$B$13=1),
      AND(LEFT(P4304,5)="2-Way", OR(Enginuity!$B$13=2, Enginuity!$B$13=4)),
      AND(LEFT(P4304,5)="3-Way", OR(Enginuity!$B$13=3, Enginuity!$B$13=6)),
      AND(P4304="Inner Centre Jamb", OR(Enginuity!$B$13=4, Enginuity!$B$13=6)),
      AND(
        LEFT(P4304,5)&lt;&gt;"1-Way",
        LEFT(P4304,5)&lt;&gt;"2-Way",
        LEFT(P4304,5)&lt;&gt;"3-Way",
        P4304&lt;&gt;"Inner Centre Jamb"
      )
    ),
    IF(OR(Enginuity!$A$1="Frameless Glass",Enginuity!$A$1="Metal Work"),
      AND(TRIM(B4304)=TRIM(Enginuity!$A$17),TRIM(C4304)=TRIM(Enginuity!$A$18)),
      TRIM(B4304)=TRIM(Enginuity!$A$17)
    )
  ),
  ROW(),
  ""
)</f>
        <v/>
      </c>
    </row>
    <row r="4305" spans="21:21" x14ac:dyDescent="0.25">
      <c r="U4305" s="104" t="str">
        <f>IF(
  AND(
    TRIM(A4305)=TRIM(Enginuity!$A$1),
    TRIM(B4305)=TRIM(Enginuity!$A$17),
    Q4305&lt;&gt;"",
    Q4305&lt;&gt;0,
    OR(
      TRIM(C4305)=TRIM(Enginuity!$A$18),
      AND(UPPER(TRIM(M4305))="STD", TRIM(B4305)=TRIM(Enginuity!$A$17))
    ),
    OR(
      AND(LEFT(P4305,5)="1-Way", Enginuity!$B$13=1),
      AND(LEFT(P4305,5)="2-Way", OR(Enginuity!$B$13=2, Enginuity!$B$13=4)),
      AND(LEFT(P4305,5)="3-Way", OR(Enginuity!$B$13=3, Enginuity!$B$13=6)),
      AND(P4305="Inner Centre Jamb", OR(Enginuity!$B$13=4, Enginuity!$B$13=6)),
      AND(
        LEFT(P4305,5)&lt;&gt;"1-Way",
        LEFT(P4305,5)&lt;&gt;"2-Way",
        LEFT(P4305,5)&lt;&gt;"3-Way",
        P4305&lt;&gt;"Inner Centre Jamb"
      )
    ),
    IF(OR(Enginuity!$A$1="Frameless Glass",Enginuity!$A$1="Metal Work"),
      AND(TRIM(B4305)=TRIM(Enginuity!$A$17),TRIM(C4305)=TRIM(Enginuity!$A$18)),
      TRIM(B4305)=TRIM(Enginuity!$A$17)
    )
  ),
  ROW(),
  ""
)</f>
        <v/>
      </c>
    </row>
    <row r="4306" spans="21:21" x14ac:dyDescent="0.25">
      <c r="U4306" s="104" t="str">
        <f>IF(
  AND(
    TRIM(A4306)=TRIM(Enginuity!$A$1),
    TRIM(B4306)=TRIM(Enginuity!$A$17),
    Q4306&lt;&gt;"",
    Q4306&lt;&gt;0,
    OR(
      TRIM(C4306)=TRIM(Enginuity!$A$18),
      AND(UPPER(TRIM(M4306))="STD", TRIM(B4306)=TRIM(Enginuity!$A$17))
    ),
    OR(
      AND(LEFT(P4306,5)="1-Way", Enginuity!$B$13=1),
      AND(LEFT(P4306,5)="2-Way", OR(Enginuity!$B$13=2, Enginuity!$B$13=4)),
      AND(LEFT(P4306,5)="3-Way", OR(Enginuity!$B$13=3, Enginuity!$B$13=6)),
      AND(P4306="Inner Centre Jamb", OR(Enginuity!$B$13=4, Enginuity!$B$13=6)),
      AND(
        LEFT(P4306,5)&lt;&gt;"1-Way",
        LEFT(P4306,5)&lt;&gt;"2-Way",
        LEFT(P4306,5)&lt;&gt;"3-Way",
        P4306&lt;&gt;"Inner Centre Jamb"
      )
    ),
    IF(OR(Enginuity!$A$1="Frameless Glass",Enginuity!$A$1="Metal Work"),
      AND(TRIM(B4306)=TRIM(Enginuity!$A$17),TRIM(C4306)=TRIM(Enginuity!$A$18)),
      TRIM(B4306)=TRIM(Enginuity!$A$17)
    )
  ),
  ROW(),
  ""
)</f>
        <v/>
      </c>
    </row>
    <row r="4307" spans="21:21" x14ac:dyDescent="0.25">
      <c r="U4307" s="104" t="str">
        <f>IF(
  AND(
    TRIM(A4307)=TRIM(Enginuity!$A$1),
    TRIM(B4307)=TRIM(Enginuity!$A$17),
    Q4307&lt;&gt;"",
    Q4307&lt;&gt;0,
    OR(
      TRIM(C4307)=TRIM(Enginuity!$A$18),
      AND(UPPER(TRIM(M4307))="STD", TRIM(B4307)=TRIM(Enginuity!$A$17))
    ),
    OR(
      AND(LEFT(P4307,5)="1-Way", Enginuity!$B$13=1),
      AND(LEFT(P4307,5)="2-Way", OR(Enginuity!$B$13=2, Enginuity!$B$13=4)),
      AND(LEFT(P4307,5)="3-Way", OR(Enginuity!$B$13=3, Enginuity!$B$13=6)),
      AND(P4307="Inner Centre Jamb", OR(Enginuity!$B$13=4, Enginuity!$B$13=6)),
      AND(
        LEFT(P4307,5)&lt;&gt;"1-Way",
        LEFT(P4307,5)&lt;&gt;"2-Way",
        LEFT(P4307,5)&lt;&gt;"3-Way",
        P4307&lt;&gt;"Inner Centre Jamb"
      )
    ),
    IF(OR(Enginuity!$A$1="Frameless Glass",Enginuity!$A$1="Metal Work"),
      AND(TRIM(B4307)=TRIM(Enginuity!$A$17),TRIM(C4307)=TRIM(Enginuity!$A$18)),
      TRIM(B4307)=TRIM(Enginuity!$A$17)
    )
  ),
  ROW(),
  ""
)</f>
        <v/>
      </c>
    </row>
    <row r="4308" spans="21:21" x14ac:dyDescent="0.25">
      <c r="U4308" s="104" t="str">
        <f>IF(
  AND(
    TRIM(A4308)=TRIM(Enginuity!$A$1),
    TRIM(B4308)=TRIM(Enginuity!$A$17),
    Q4308&lt;&gt;"",
    Q4308&lt;&gt;0,
    OR(
      TRIM(C4308)=TRIM(Enginuity!$A$18),
      AND(UPPER(TRIM(M4308))="STD", TRIM(B4308)=TRIM(Enginuity!$A$17))
    ),
    OR(
      AND(LEFT(P4308,5)="1-Way", Enginuity!$B$13=1),
      AND(LEFT(P4308,5)="2-Way", OR(Enginuity!$B$13=2, Enginuity!$B$13=4)),
      AND(LEFT(P4308,5)="3-Way", OR(Enginuity!$B$13=3, Enginuity!$B$13=6)),
      AND(P4308="Inner Centre Jamb", OR(Enginuity!$B$13=4, Enginuity!$B$13=6)),
      AND(
        LEFT(P4308,5)&lt;&gt;"1-Way",
        LEFT(P4308,5)&lt;&gt;"2-Way",
        LEFT(P4308,5)&lt;&gt;"3-Way",
        P4308&lt;&gt;"Inner Centre Jamb"
      )
    ),
    IF(OR(Enginuity!$A$1="Frameless Glass",Enginuity!$A$1="Metal Work"),
      AND(TRIM(B4308)=TRIM(Enginuity!$A$17),TRIM(C4308)=TRIM(Enginuity!$A$18)),
      TRIM(B4308)=TRIM(Enginuity!$A$17)
    )
  ),
  ROW(),
  ""
)</f>
        <v/>
      </c>
    </row>
    <row r="4309" spans="21:21" x14ac:dyDescent="0.25">
      <c r="U4309" s="104" t="str">
        <f>IF(
  AND(
    TRIM(A4309)=TRIM(Enginuity!$A$1),
    TRIM(B4309)=TRIM(Enginuity!$A$17),
    Q4309&lt;&gt;"",
    Q4309&lt;&gt;0,
    OR(
      TRIM(C4309)=TRIM(Enginuity!$A$18),
      AND(UPPER(TRIM(M4309))="STD", TRIM(B4309)=TRIM(Enginuity!$A$17))
    ),
    OR(
      AND(LEFT(P4309,5)="1-Way", Enginuity!$B$13=1),
      AND(LEFT(P4309,5)="2-Way", OR(Enginuity!$B$13=2, Enginuity!$B$13=4)),
      AND(LEFT(P4309,5)="3-Way", OR(Enginuity!$B$13=3, Enginuity!$B$13=6)),
      AND(P4309="Inner Centre Jamb", OR(Enginuity!$B$13=4, Enginuity!$B$13=6)),
      AND(
        LEFT(P4309,5)&lt;&gt;"1-Way",
        LEFT(P4309,5)&lt;&gt;"2-Way",
        LEFT(P4309,5)&lt;&gt;"3-Way",
        P4309&lt;&gt;"Inner Centre Jamb"
      )
    ),
    IF(OR(Enginuity!$A$1="Frameless Glass",Enginuity!$A$1="Metal Work"),
      AND(TRIM(B4309)=TRIM(Enginuity!$A$17),TRIM(C4309)=TRIM(Enginuity!$A$18)),
      TRIM(B4309)=TRIM(Enginuity!$A$17)
    )
  ),
  ROW(),
  ""
)</f>
        <v/>
      </c>
    </row>
    <row r="4310" spans="21:21" x14ac:dyDescent="0.25">
      <c r="U4310" s="104" t="str">
        <f>IF(
  AND(
    TRIM(A4310)=TRIM(Enginuity!$A$1),
    TRIM(B4310)=TRIM(Enginuity!$A$17),
    Q4310&lt;&gt;"",
    Q4310&lt;&gt;0,
    OR(
      TRIM(C4310)=TRIM(Enginuity!$A$18),
      AND(UPPER(TRIM(M4310))="STD", TRIM(B4310)=TRIM(Enginuity!$A$17))
    ),
    OR(
      AND(LEFT(P4310,5)="1-Way", Enginuity!$B$13=1),
      AND(LEFT(P4310,5)="2-Way", OR(Enginuity!$B$13=2, Enginuity!$B$13=4)),
      AND(LEFT(P4310,5)="3-Way", OR(Enginuity!$B$13=3, Enginuity!$B$13=6)),
      AND(P4310="Inner Centre Jamb", OR(Enginuity!$B$13=4, Enginuity!$B$13=6)),
      AND(
        LEFT(P4310,5)&lt;&gt;"1-Way",
        LEFT(P4310,5)&lt;&gt;"2-Way",
        LEFT(P4310,5)&lt;&gt;"3-Way",
        P4310&lt;&gt;"Inner Centre Jamb"
      )
    ),
    IF(OR(Enginuity!$A$1="Frameless Glass",Enginuity!$A$1="Metal Work"),
      AND(TRIM(B4310)=TRIM(Enginuity!$A$17),TRIM(C4310)=TRIM(Enginuity!$A$18)),
      TRIM(B4310)=TRIM(Enginuity!$A$17)
    )
  ),
  ROW(),
  ""
)</f>
        <v/>
      </c>
    </row>
    <row r="4311" spans="21:21" x14ac:dyDescent="0.25">
      <c r="U4311" s="104" t="str">
        <f>IF(
  AND(
    TRIM(A4311)=TRIM(Enginuity!$A$1),
    TRIM(B4311)=TRIM(Enginuity!$A$17),
    Q4311&lt;&gt;"",
    Q4311&lt;&gt;0,
    OR(
      TRIM(C4311)=TRIM(Enginuity!$A$18),
      AND(UPPER(TRIM(M4311))="STD", TRIM(B4311)=TRIM(Enginuity!$A$17))
    ),
    OR(
      AND(LEFT(P4311,5)="1-Way", Enginuity!$B$13=1),
      AND(LEFT(P4311,5)="2-Way", OR(Enginuity!$B$13=2, Enginuity!$B$13=4)),
      AND(LEFT(P4311,5)="3-Way", OR(Enginuity!$B$13=3, Enginuity!$B$13=6)),
      AND(P4311="Inner Centre Jamb", OR(Enginuity!$B$13=4, Enginuity!$B$13=6)),
      AND(
        LEFT(P4311,5)&lt;&gt;"1-Way",
        LEFT(P4311,5)&lt;&gt;"2-Way",
        LEFT(P4311,5)&lt;&gt;"3-Way",
        P4311&lt;&gt;"Inner Centre Jamb"
      )
    ),
    IF(OR(Enginuity!$A$1="Frameless Glass",Enginuity!$A$1="Metal Work"),
      AND(TRIM(B4311)=TRIM(Enginuity!$A$17),TRIM(C4311)=TRIM(Enginuity!$A$18)),
      TRIM(B4311)=TRIM(Enginuity!$A$17)
    )
  ),
  ROW(),
  ""
)</f>
        <v/>
      </c>
    </row>
    <row r="4312" spans="21:21" x14ac:dyDescent="0.25">
      <c r="U4312" s="104" t="str">
        <f>IF(
  AND(
    TRIM(A4312)=TRIM(Enginuity!$A$1),
    TRIM(B4312)=TRIM(Enginuity!$A$17),
    Q4312&lt;&gt;"",
    Q4312&lt;&gt;0,
    OR(
      TRIM(C4312)=TRIM(Enginuity!$A$18),
      AND(UPPER(TRIM(M4312))="STD", TRIM(B4312)=TRIM(Enginuity!$A$17))
    ),
    OR(
      AND(LEFT(P4312,5)="1-Way", Enginuity!$B$13=1),
      AND(LEFT(P4312,5)="2-Way", OR(Enginuity!$B$13=2, Enginuity!$B$13=4)),
      AND(LEFT(P4312,5)="3-Way", OR(Enginuity!$B$13=3, Enginuity!$B$13=6)),
      AND(P4312="Inner Centre Jamb", OR(Enginuity!$B$13=4, Enginuity!$B$13=6)),
      AND(
        LEFT(P4312,5)&lt;&gt;"1-Way",
        LEFT(P4312,5)&lt;&gt;"2-Way",
        LEFT(P4312,5)&lt;&gt;"3-Way",
        P4312&lt;&gt;"Inner Centre Jamb"
      )
    ),
    IF(OR(Enginuity!$A$1="Frameless Glass",Enginuity!$A$1="Metal Work"),
      AND(TRIM(B4312)=TRIM(Enginuity!$A$17),TRIM(C4312)=TRIM(Enginuity!$A$18)),
      TRIM(B4312)=TRIM(Enginuity!$A$17)
    )
  ),
  ROW(),
  ""
)</f>
        <v/>
      </c>
    </row>
    <row r="4313" spans="21:21" x14ac:dyDescent="0.25">
      <c r="U4313" s="104" t="str">
        <f>IF(
  AND(
    TRIM(A4313)=TRIM(Enginuity!$A$1),
    TRIM(B4313)=TRIM(Enginuity!$A$17),
    Q4313&lt;&gt;"",
    Q4313&lt;&gt;0,
    OR(
      TRIM(C4313)=TRIM(Enginuity!$A$18),
      AND(UPPER(TRIM(M4313))="STD", TRIM(B4313)=TRIM(Enginuity!$A$17))
    ),
    OR(
      AND(LEFT(P4313,5)="1-Way", Enginuity!$B$13=1),
      AND(LEFT(P4313,5)="2-Way", OR(Enginuity!$B$13=2, Enginuity!$B$13=4)),
      AND(LEFT(P4313,5)="3-Way", OR(Enginuity!$B$13=3, Enginuity!$B$13=6)),
      AND(P4313="Inner Centre Jamb", OR(Enginuity!$B$13=4, Enginuity!$B$13=6)),
      AND(
        LEFT(P4313,5)&lt;&gt;"1-Way",
        LEFT(P4313,5)&lt;&gt;"2-Way",
        LEFT(P4313,5)&lt;&gt;"3-Way",
        P4313&lt;&gt;"Inner Centre Jamb"
      )
    ),
    IF(OR(Enginuity!$A$1="Frameless Glass",Enginuity!$A$1="Metal Work"),
      AND(TRIM(B4313)=TRIM(Enginuity!$A$17),TRIM(C4313)=TRIM(Enginuity!$A$18)),
      TRIM(B4313)=TRIM(Enginuity!$A$17)
    )
  ),
  ROW(),
  ""
)</f>
        <v/>
      </c>
    </row>
    <row r="4314" spans="21:21" x14ac:dyDescent="0.25">
      <c r="U4314" s="104" t="str">
        <f>IF(
  AND(
    TRIM(A4314)=TRIM(Enginuity!$A$1),
    TRIM(B4314)=TRIM(Enginuity!$A$17),
    Q4314&lt;&gt;"",
    Q4314&lt;&gt;0,
    OR(
      TRIM(C4314)=TRIM(Enginuity!$A$18),
      AND(UPPER(TRIM(M4314))="STD", TRIM(B4314)=TRIM(Enginuity!$A$17))
    ),
    OR(
      AND(LEFT(P4314,5)="1-Way", Enginuity!$B$13=1),
      AND(LEFT(P4314,5)="2-Way", OR(Enginuity!$B$13=2, Enginuity!$B$13=4)),
      AND(LEFT(P4314,5)="3-Way", OR(Enginuity!$B$13=3, Enginuity!$B$13=6)),
      AND(P4314="Inner Centre Jamb", OR(Enginuity!$B$13=4, Enginuity!$B$13=6)),
      AND(
        LEFT(P4314,5)&lt;&gt;"1-Way",
        LEFT(P4314,5)&lt;&gt;"2-Way",
        LEFT(P4314,5)&lt;&gt;"3-Way",
        P4314&lt;&gt;"Inner Centre Jamb"
      )
    ),
    IF(OR(Enginuity!$A$1="Frameless Glass",Enginuity!$A$1="Metal Work"),
      AND(TRIM(B4314)=TRIM(Enginuity!$A$17),TRIM(C4314)=TRIM(Enginuity!$A$18)),
      TRIM(B4314)=TRIM(Enginuity!$A$17)
    )
  ),
  ROW(),
  ""
)</f>
        <v/>
      </c>
    </row>
    <row r="4315" spans="21:21" x14ac:dyDescent="0.25">
      <c r="U4315" s="104" t="str">
        <f>IF(
  AND(
    TRIM(A4315)=TRIM(Enginuity!$A$1),
    TRIM(B4315)=TRIM(Enginuity!$A$17),
    Q4315&lt;&gt;"",
    Q4315&lt;&gt;0,
    OR(
      TRIM(C4315)=TRIM(Enginuity!$A$18),
      AND(UPPER(TRIM(M4315))="STD", TRIM(B4315)=TRIM(Enginuity!$A$17))
    ),
    OR(
      AND(LEFT(P4315,5)="1-Way", Enginuity!$B$13=1),
      AND(LEFT(P4315,5)="2-Way", OR(Enginuity!$B$13=2, Enginuity!$B$13=4)),
      AND(LEFT(P4315,5)="3-Way", OR(Enginuity!$B$13=3, Enginuity!$B$13=6)),
      AND(P4315="Inner Centre Jamb", OR(Enginuity!$B$13=4, Enginuity!$B$13=6)),
      AND(
        LEFT(P4315,5)&lt;&gt;"1-Way",
        LEFT(P4315,5)&lt;&gt;"2-Way",
        LEFT(P4315,5)&lt;&gt;"3-Way",
        P4315&lt;&gt;"Inner Centre Jamb"
      )
    ),
    IF(OR(Enginuity!$A$1="Frameless Glass",Enginuity!$A$1="Metal Work"),
      AND(TRIM(B4315)=TRIM(Enginuity!$A$17),TRIM(C4315)=TRIM(Enginuity!$A$18)),
      TRIM(B4315)=TRIM(Enginuity!$A$17)
    )
  ),
  ROW(),
  ""
)</f>
        <v/>
      </c>
    </row>
    <row r="4316" spans="21:21" x14ac:dyDescent="0.25">
      <c r="U4316" s="104" t="str">
        <f>IF(
  AND(
    TRIM(A4316)=TRIM(Enginuity!$A$1),
    TRIM(B4316)=TRIM(Enginuity!$A$17),
    Q4316&lt;&gt;"",
    Q4316&lt;&gt;0,
    OR(
      TRIM(C4316)=TRIM(Enginuity!$A$18),
      AND(UPPER(TRIM(M4316))="STD", TRIM(B4316)=TRIM(Enginuity!$A$17))
    ),
    OR(
      AND(LEFT(P4316,5)="1-Way", Enginuity!$B$13=1),
      AND(LEFT(P4316,5)="2-Way", OR(Enginuity!$B$13=2, Enginuity!$B$13=4)),
      AND(LEFT(P4316,5)="3-Way", OR(Enginuity!$B$13=3, Enginuity!$B$13=6)),
      AND(P4316="Inner Centre Jamb", OR(Enginuity!$B$13=4, Enginuity!$B$13=6)),
      AND(
        LEFT(P4316,5)&lt;&gt;"1-Way",
        LEFT(P4316,5)&lt;&gt;"2-Way",
        LEFT(P4316,5)&lt;&gt;"3-Way",
        P4316&lt;&gt;"Inner Centre Jamb"
      )
    ),
    IF(OR(Enginuity!$A$1="Frameless Glass",Enginuity!$A$1="Metal Work"),
      AND(TRIM(B4316)=TRIM(Enginuity!$A$17),TRIM(C4316)=TRIM(Enginuity!$A$18)),
      TRIM(B4316)=TRIM(Enginuity!$A$17)
    )
  ),
  ROW(),
  ""
)</f>
        <v/>
      </c>
    </row>
    <row r="4317" spans="21:21" x14ac:dyDescent="0.25">
      <c r="U4317" s="104" t="str">
        <f>IF(
  AND(
    TRIM(A4317)=TRIM(Enginuity!$A$1),
    TRIM(B4317)=TRIM(Enginuity!$A$17),
    Q4317&lt;&gt;"",
    Q4317&lt;&gt;0,
    OR(
      TRIM(C4317)=TRIM(Enginuity!$A$18),
      AND(UPPER(TRIM(M4317))="STD", TRIM(B4317)=TRIM(Enginuity!$A$17))
    ),
    OR(
      AND(LEFT(P4317,5)="1-Way", Enginuity!$B$13=1),
      AND(LEFT(P4317,5)="2-Way", OR(Enginuity!$B$13=2, Enginuity!$B$13=4)),
      AND(LEFT(P4317,5)="3-Way", OR(Enginuity!$B$13=3, Enginuity!$B$13=6)),
      AND(P4317="Inner Centre Jamb", OR(Enginuity!$B$13=4, Enginuity!$B$13=6)),
      AND(
        LEFT(P4317,5)&lt;&gt;"1-Way",
        LEFT(P4317,5)&lt;&gt;"2-Way",
        LEFT(P4317,5)&lt;&gt;"3-Way",
        P4317&lt;&gt;"Inner Centre Jamb"
      )
    ),
    IF(OR(Enginuity!$A$1="Frameless Glass",Enginuity!$A$1="Metal Work"),
      AND(TRIM(B4317)=TRIM(Enginuity!$A$17),TRIM(C4317)=TRIM(Enginuity!$A$18)),
      TRIM(B4317)=TRIM(Enginuity!$A$17)
    )
  ),
  ROW(),
  ""
)</f>
        <v/>
      </c>
    </row>
    <row r="4318" spans="21:21" x14ac:dyDescent="0.25">
      <c r="U4318" s="104" t="str">
        <f>IF(
  AND(
    TRIM(A4318)=TRIM(Enginuity!$A$1),
    TRIM(B4318)=TRIM(Enginuity!$A$17),
    Q4318&lt;&gt;"",
    Q4318&lt;&gt;0,
    OR(
      TRIM(C4318)=TRIM(Enginuity!$A$18),
      AND(UPPER(TRIM(M4318))="STD", TRIM(B4318)=TRIM(Enginuity!$A$17))
    ),
    OR(
      AND(LEFT(P4318,5)="1-Way", Enginuity!$B$13=1),
      AND(LEFT(P4318,5)="2-Way", OR(Enginuity!$B$13=2, Enginuity!$B$13=4)),
      AND(LEFT(P4318,5)="3-Way", OR(Enginuity!$B$13=3, Enginuity!$B$13=6)),
      AND(P4318="Inner Centre Jamb", OR(Enginuity!$B$13=4, Enginuity!$B$13=6)),
      AND(
        LEFT(P4318,5)&lt;&gt;"1-Way",
        LEFT(P4318,5)&lt;&gt;"2-Way",
        LEFT(P4318,5)&lt;&gt;"3-Way",
        P4318&lt;&gt;"Inner Centre Jamb"
      )
    ),
    IF(OR(Enginuity!$A$1="Frameless Glass",Enginuity!$A$1="Metal Work"),
      AND(TRIM(B4318)=TRIM(Enginuity!$A$17),TRIM(C4318)=TRIM(Enginuity!$A$18)),
      TRIM(B4318)=TRIM(Enginuity!$A$17)
    )
  ),
  ROW(),
  ""
)</f>
        <v/>
      </c>
    </row>
    <row r="4319" spans="21:21" x14ac:dyDescent="0.25">
      <c r="U4319" s="104" t="str">
        <f>IF(
  AND(
    TRIM(A4319)=TRIM(Enginuity!$A$1),
    TRIM(B4319)=TRIM(Enginuity!$A$17),
    Q4319&lt;&gt;"",
    Q4319&lt;&gt;0,
    OR(
      TRIM(C4319)=TRIM(Enginuity!$A$18),
      AND(UPPER(TRIM(M4319))="STD", TRIM(B4319)=TRIM(Enginuity!$A$17))
    ),
    OR(
      AND(LEFT(P4319,5)="1-Way", Enginuity!$B$13=1),
      AND(LEFT(P4319,5)="2-Way", OR(Enginuity!$B$13=2, Enginuity!$B$13=4)),
      AND(LEFT(P4319,5)="3-Way", OR(Enginuity!$B$13=3, Enginuity!$B$13=6)),
      AND(P4319="Inner Centre Jamb", OR(Enginuity!$B$13=4, Enginuity!$B$13=6)),
      AND(
        LEFT(P4319,5)&lt;&gt;"1-Way",
        LEFT(P4319,5)&lt;&gt;"2-Way",
        LEFT(P4319,5)&lt;&gt;"3-Way",
        P4319&lt;&gt;"Inner Centre Jamb"
      )
    ),
    IF(OR(Enginuity!$A$1="Frameless Glass",Enginuity!$A$1="Metal Work"),
      AND(TRIM(B4319)=TRIM(Enginuity!$A$17),TRIM(C4319)=TRIM(Enginuity!$A$18)),
      TRIM(B4319)=TRIM(Enginuity!$A$17)
    )
  ),
  ROW(),
  ""
)</f>
        <v/>
      </c>
    </row>
    <row r="4320" spans="21:21" x14ac:dyDescent="0.25">
      <c r="U4320" s="104" t="str">
        <f>IF(
  AND(
    TRIM(A4320)=TRIM(Enginuity!$A$1),
    TRIM(B4320)=TRIM(Enginuity!$A$17),
    Q4320&lt;&gt;"",
    Q4320&lt;&gt;0,
    OR(
      TRIM(C4320)=TRIM(Enginuity!$A$18),
      AND(UPPER(TRIM(M4320))="STD", TRIM(B4320)=TRIM(Enginuity!$A$17))
    ),
    OR(
      AND(LEFT(P4320,5)="1-Way", Enginuity!$B$13=1),
      AND(LEFT(P4320,5)="2-Way", OR(Enginuity!$B$13=2, Enginuity!$B$13=4)),
      AND(LEFT(P4320,5)="3-Way", OR(Enginuity!$B$13=3, Enginuity!$B$13=6)),
      AND(P4320="Inner Centre Jamb", OR(Enginuity!$B$13=4, Enginuity!$B$13=6)),
      AND(
        LEFT(P4320,5)&lt;&gt;"1-Way",
        LEFT(P4320,5)&lt;&gt;"2-Way",
        LEFT(P4320,5)&lt;&gt;"3-Way",
        P4320&lt;&gt;"Inner Centre Jamb"
      )
    ),
    IF(OR(Enginuity!$A$1="Frameless Glass",Enginuity!$A$1="Metal Work"),
      AND(TRIM(B4320)=TRIM(Enginuity!$A$17),TRIM(C4320)=TRIM(Enginuity!$A$18)),
      TRIM(B4320)=TRIM(Enginuity!$A$17)
    )
  ),
  ROW(),
  ""
)</f>
        <v/>
      </c>
    </row>
    <row r="4321" spans="21:21" x14ac:dyDescent="0.25">
      <c r="U4321" s="104" t="str">
        <f>IF(
  AND(
    TRIM(A4321)=TRIM(Enginuity!$A$1),
    TRIM(B4321)=TRIM(Enginuity!$A$17),
    Q4321&lt;&gt;"",
    Q4321&lt;&gt;0,
    OR(
      TRIM(C4321)=TRIM(Enginuity!$A$18),
      AND(UPPER(TRIM(M4321))="STD", TRIM(B4321)=TRIM(Enginuity!$A$17))
    ),
    OR(
      AND(LEFT(P4321,5)="1-Way", Enginuity!$B$13=1),
      AND(LEFT(P4321,5)="2-Way", OR(Enginuity!$B$13=2, Enginuity!$B$13=4)),
      AND(LEFT(P4321,5)="3-Way", OR(Enginuity!$B$13=3, Enginuity!$B$13=6)),
      AND(P4321="Inner Centre Jamb", OR(Enginuity!$B$13=4, Enginuity!$B$13=6)),
      AND(
        LEFT(P4321,5)&lt;&gt;"1-Way",
        LEFT(P4321,5)&lt;&gt;"2-Way",
        LEFT(P4321,5)&lt;&gt;"3-Way",
        P4321&lt;&gt;"Inner Centre Jamb"
      )
    ),
    IF(OR(Enginuity!$A$1="Frameless Glass",Enginuity!$A$1="Metal Work"),
      AND(TRIM(B4321)=TRIM(Enginuity!$A$17),TRIM(C4321)=TRIM(Enginuity!$A$18)),
      TRIM(B4321)=TRIM(Enginuity!$A$17)
    )
  ),
  ROW(),
  ""
)</f>
        <v/>
      </c>
    </row>
    <row r="4322" spans="21:21" x14ac:dyDescent="0.25">
      <c r="U4322" s="104" t="str">
        <f>IF(
  AND(
    TRIM(A4322)=TRIM(Enginuity!$A$1),
    TRIM(B4322)=TRIM(Enginuity!$A$17),
    Q4322&lt;&gt;"",
    Q4322&lt;&gt;0,
    OR(
      TRIM(C4322)=TRIM(Enginuity!$A$18),
      AND(UPPER(TRIM(M4322))="STD", TRIM(B4322)=TRIM(Enginuity!$A$17))
    ),
    OR(
      AND(LEFT(P4322,5)="1-Way", Enginuity!$B$13=1),
      AND(LEFT(P4322,5)="2-Way", OR(Enginuity!$B$13=2, Enginuity!$B$13=4)),
      AND(LEFT(P4322,5)="3-Way", OR(Enginuity!$B$13=3, Enginuity!$B$13=6)),
      AND(P4322="Inner Centre Jamb", OR(Enginuity!$B$13=4, Enginuity!$B$13=6)),
      AND(
        LEFT(P4322,5)&lt;&gt;"1-Way",
        LEFT(P4322,5)&lt;&gt;"2-Way",
        LEFT(P4322,5)&lt;&gt;"3-Way",
        P4322&lt;&gt;"Inner Centre Jamb"
      )
    ),
    IF(OR(Enginuity!$A$1="Frameless Glass",Enginuity!$A$1="Metal Work"),
      AND(TRIM(B4322)=TRIM(Enginuity!$A$17),TRIM(C4322)=TRIM(Enginuity!$A$18)),
      TRIM(B4322)=TRIM(Enginuity!$A$17)
    )
  ),
  ROW(),
  ""
)</f>
        <v/>
      </c>
    </row>
    <row r="4323" spans="21:21" x14ac:dyDescent="0.25">
      <c r="U4323" s="104" t="str">
        <f>IF(
  AND(
    TRIM(A4323)=TRIM(Enginuity!$A$1),
    TRIM(B4323)=TRIM(Enginuity!$A$17),
    Q4323&lt;&gt;"",
    Q4323&lt;&gt;0,
    OR(
      TRIM(C4323)=TRIM(Enginuity!$A$18),
      AND(UPPER(TRIM(M4323))="STD", TRIM(B4323)=TRIM(Enginuity!$A$17))
    ),
    OR(
      AND(LEFT(P4323,5)="1-Way", Enginuity!$B$13=1),
      AND(LEFT(P4323,5)="2-Way", OR(Enginuity!$B$13=2, Enginuity!$B$13=4)),
      AND(LEFT(P4323,5)="3-Way", OR(Enginuity!$B$13=3, Enginuity!$B$13=6)),
      AND(P4323="Inner Centre Jamb", OR(Enginuity!$B$13=4, Enginuity!$B$13=6)),
      AND(
        LEFT(P4323,5)&lt;&gt;"1-Way",
        LEFT(P4323,5)&lt;&gt;"2-Way",
        LEFT(P4323,5)&lt;&gt;"3-Way",
        P4323&lt;&gt;"Inner Centre Jamb"
      )
    ),
    IF(OR(Enginuity!$A$1="Frameless Glass",Enginuity!$A$1="Metal Work"),
      AND(TRIM(B4323)=TRIM(Enginuity!$A$17),TRIM(C4323)=TRIM(Enginuity!$A$18)),
      TRIM(B4323)=TRIM(Enginuity!$A$17)
    )
  ),
  ROW(),
  ""
)</f>
        <v/>
      </c>
    </row>
    <row r="4324" spans="21:21" x14ac:dyDescent="0.25">
      <c r="U4324" s="104" t="str">
        <f>IF(
  AND(
    TRIM(A4324)=TRIM(Enginuity!$A$1),
    TRIM(B4324)=TRIM(Enginuity!$A$17),
    Q4324&lt;&gt;"",
    Q4324&lt;&gt;0,
    OR(
      TRIM(C4324)=TRIM(Enginuity!$A$18),
      AND(UPPER(TRIM(M4324))="STD", TRIM(B4324)=TRIM(Enginuity!$A$17))
    ),
    OR(
      AND(LEFT(P4324,5)="1-Way", Enginuity!$B$13=1),
      AND(LEFT(P4324,5)="2-Way", OR(Enginuity!$B$13=2, Enginuity!$B$13=4)),
      AND(LEFT(P4324,5)="3-Way", OR(Enginuity!$B$13=3, Enginuity!$B$13=6)),
      AND(P4324="Inner Centre Jamb", OR(Enginuity!$B$13=4, Enginuity!$B$13=6)),
      AND(
        LEFT(P4324,5)&lt;&gt;"1-Way",
        LEFT(P4324,5)&lt;&gt;"2-Way",
        LEFT(P4324,5)&lt;&gt;"3-Way",
        P4324&lt;&gt;"Inner Centre Jamb"
      )
    ),
    IF(OR(Enginuity!$A$1="Frameless Glass",Enginuity!$A$1="Metal Work"),
      AND(TRIM(B4324)=TRIM(Enginuity!$A$17),TRIM(C4324)=TRIM(Enginuity!$A$18)),
      TRIM(B4324)=TRIM(Enginuity!$A$17)
    )
  ),
  ROW(),
  ""
)</f>
        <v/>
      </c>
    </row>
    <row r="4325" spans="21:21" x14ac:dyDescent="0.25">
      <c r="U4325" s="104" t="str">
        <f>IF(
  AND(
    TRIM(A4325)=TRIM(Enginuity!$A$1),
    TRIM(B4325)=TRIM(Enginuity!$A$17),
    Q4325&lt;&gt;"",
    Q4325&lt;&gt;0,
    OR(
      TRIM(C4325)=TRIM(Enginuity!$A$18),
      AND(UPPER(TRIM(M4325))="STD", TRIM(B4325)=TRIM(Enginuity!$A$17))
    ),
    OR(
      AND(LEFT(P4325,5)="1-Way", Enginuity!$B$13=1),
      AND(LEFT(P4325,5)="2-Way", OR(Enginuity!$B$13=2, Enginuity!$B$13=4)),
      AND(LEFT(P4325,5)="3-Way", OR(Enginuity!$B$13=3, Enginuity!$B$13=6)),
      AND(P4325="Inner Centre Jamb", OR(Enginuity!$B$13=4, Enginuity!$B$13=6)),
      AND(
        LEFT(P4325,5)&lt;&gt;"1-Way",
        LEFT(P4325,5)&lt;&gt;"2-Way",
        LEFT(P4325,5)&lt;&gt;"3-Way",
        P4325&lt;&gt;"Inner Centre Jamb"
      )
    ),
    IF(OR(Enginuity!$A$1="Frameless Glass",Enginuity!$A$1="Metal Work"),
      AND(TRIM(B4325)=TRIM(Enginuity!$A$17),TRIM(C4325)=TRIM(Enginuity!$A$18)),
      TRIM(B4325)=TRIM(Enginuity!$A$17)
    )
  ),
  ROW(),
  ""
)</f>
        <v/>
      </c>
    </row>
    <row r="4326" spans="21:21" x14ac:dyDescent="0.25">
      <c r="U4326" s="104" t="str">
        <f>IF(
  AND(
    TRIM(A4326)=TRIM(Enginuity!$A$1),
    TRIM(B4326)=TRIM(Enginuity!$A$17),
    Q4326&lt;&gt;"",
    Q4326&lt;&gt;0,
    OR(
      TRIM(C4326)=TRIM(Enginuity!$A$18),
      AND(UPPER(TRIM(M4326))="STD", TRIM(B4326)=TRIM(Enginuity!$A$17))
    ),
    OR(
      AND(LEFT(P4326,5)="1-Way", Enginuity!$B$13=1),
      AND(LEFT(P4326,5)="2-Way", OR(Enginuity!$B$13=2, Enginuity!$B$13=4)),
      AND(LEFT(P4326,5)="3-Way", OR(Enginuity!$B$13=3, Enginuity!$B$13=6)),
      AND(P4326="Inner Centre Jamb", OR(Enginuity!$B$13=4, Enginuity!$B$13=6)),
      AND(
        LEFT(P4326,5)&lt;&gt;"1-Way",
        LEFT(P4326,5)&lt;&gt;"2-Way",
        LEFT(P4326,5)&lt;&gt;"3-Way",
        P4326&lt;&gt;"Inner Centre Jamb"
      )
    ),
    IF(OR(Enginuity!$A$1="Frameless Glass",Enginuity!$A$1="Metal Work"),
      AND(TRIM(B4326)=TRIM(Enginuity!$A$17),TRIM(C4326)=TRIM(Enginuity!$A$18)),
      TRIM(B4326)=TRIM(Enginuity!$A$17)
    )
  ),
  ROW(),
  ""
)</f>
        <v/>
      </c>
    </row>
    <row r="4327" spans="21:21" x14ac:dyDescent="0.25">
      <c r="U4327" s="104" t="str">
        <f>IF(
  AND(
    TRIM(A4327)=TRIM(Enginuity!$A$1),
    TRIM(B4327)=TRIM(Enginuity!$A$17),
    Q4327&lt;&gt;"",
    Q4327&lt;&gt;0,
    OR(
      TRIM(C4327)=TRIM(Enginuity!$A$18),
      AND(UPPER(TRIM(M4327))="STD", TRIM(B4327)=TRIM(Enginuity!$A$17))
    ),
    OR(
      AND(LEFT(P4327,5)="1-Way", Enginuity!$B$13=1),
      AND(LEFT(P4327,5)="2-Way", OR(Enginuity!$B$13=2, Enginuity!$B$13=4)),
      AND(LEFT(P4327,5)="3-Way", OR(Enginuity!$B$13=3, Enginuity!$B$13=6)),
      AND(P4327="Inner Centre Jamb", OR(Enginuity!$B$13=4, Enginuity!$B$13=6)),
      AND(
        LEFT(P4327,5)&lt;&gt;"1-Way",
        LEFT(P4327,5)&lt;&gt;"2-Way",
        LEFT(P4327,5)&lt;&gt;"3-Way",
        P4327&lt;&gt;"Inner Centre Jamb"
      )
    ),
    IF(OR(Enginuity!$A$1="Frameless Glass",Enginuity!$A$1="Metal Work"),
      AND(TRIM(B4327)=TRIM(Enginuity!$A$17),TRIM(C4327)=TRIM(Enginuity!$A$18)),
      TRIM(B4327)=TRIM(Enginuity!$A$17)
    )
  ),
  ROW(),
  ""
)</f>
        <v/>
      </c>
    </row>
    <row r="4328" spans="21:21" x14ac:dyDescent="0.25">
      <c r="U4328" s="104" t="str">
        <f>IF(
  AND(
    TRIM(A4328)=TRIM(Enginuity!$A$1),
    TRIM(B4328)=TRIM(Enginuity!$A$17),
    Q4328&lt;&gt;"",
    Q4328&lt;&gt;0,
    OR(
      TRIM(C4328)=TRIM(Enginuity!$A$18),
      AND(UPPER(TRIM(M4328))="STD", TRIM(B4328)=TRIM(Enginuity!$A$17))
    ),
    OR(
      AND(LEFT(P4328,5)="1-Way", Enginuity!$B$13=1),
      AND(LEFT(P4328,5)="2-Way", OR(Enginuity!$B$13=2, Enginuity!$B$13=4)),
      AND(LEFT(P4328,5)="3-Way", OR(Enginuity!$B$13=3, Enginuity!$B$13=6)),
      AND(P4328="Inner Centre Jamb", OR(Enginuity!$B$13=4, Enginuity!$B$13=6)),
      AND(
        LEFT(P4328,5)&lt;&gt;"1-Way",
        LEFT(P4328,5)&lt;&gt;"2-Way",
        LEFT(P4328,5)&lt;&gt;"3-Way",
        P4328&lt;&gt;"Inner Centre Jamb"
      )
    ),
    IF(OR(Enginuity!$A$1="Frameless Glass",Enginuity!$A$1="Metal Work"),
      AND(TRIM(B4328)=TRIM(Enginuity!$A$17),TRIM(C4328)=TRIM(Enginuity!$A$18)),
      TRIM(B4328)=TRIM(Enginuity!$A$17)
    )
  ),
  ROW(),
  ""
)</f>
        <v/>
      </c>
    </row>
    <row r="4329" spans="21:21" x14ac:dyDescent="0.25">
      <c r="U4329" s="104" t="str">
        <f>IF(
  AND(
    TRIM(A4329)=TRIM(Enginuity!$A$1),
    TRIM(B4329)=TRIM(Enginuity!$A$17),
    Q4329&lt;&gt;"",
    Q4329&lt;&gt;0,
    OR(
      TRIM(C4329)=TRIM(Enginuity!$A$18),
      AND(UPPER(TRIM(M4329))="STD", TRIM(B4329)=TRIM(Enginuity!$A$17))
    ),
    OR(
      AND(LEFT(P4329,5)="1-Way", Enginuity!$B$13=1),
      AND(LEFT(P4329,5)="2-Way", OR(Enginuity!$B$13=2, Enginuity!$B$13=4)),
      AND(LEFT(P4329,5)="3-Way", OR(Enginuity!$B$13=3, Enginuity!$B$13=6)),
      AND(P4329="Inner Centre Jamb", OR(Enginuity!$B$13=4, Enginuity!$B$13=6)),
      AND(
        LEFT(P4329,5)&lt;&gt;"1-Way",
        LEFT(P4329,5)&lt;&gt;"2-Way",
        LEFT(P4329,5)&lt;&gt;"3-Way",
        P4329&lt;&gt;"Inner Centre Jamb"
      )
    ),
    IF(OR(Enginuity!$A$1="Frameless Glass",Enginuity!$A$1="Metal Work"),
      AND(TRIM(B4329)=TRIM(Enginuity!$A$17),TRIM(C4329)=TRIM(Enginuity!$A$18)),
      TRIM(B4329)=TRIM(Enginuity!$A$17)
    )
  ),
  ROW(),
  ""
)</f>
        <v/>
      </c>
    </row>
    <row r="4330" spans="21:21" x14ac:dyDescent="0.25">
      <c r="U4330" s="104" t="str">
        <f>IF(
  AND(
    TRIM(A4330)=TRIM(Enginuity!$A$1),
    TRIM(B4330)=TRIM(Enginuity!$A$17),
    Q4330&lt;&gt;"",
    Q4330&lt;&gt;0,
    OR(
      TRIM(C4330)=TRIM(Enginuity!$A$18),
      AND(UPPER(TRIM(M4330))="STD", TRIM(B4330)=TRIM(Enginuity!$A$17))
    ),
    OR(
      AND(LEFT(P4330,5)="1-Way", Enginuity!$B$13=1),
      AND(LEFT(P4330,5)="2-Way", OR(Enginuity!$B$13=2, Enginuity!$B$13=4)),
      AND(LEFT(P4330,5)="3-Way", OR(Enginuity!$B$13=3, Enginuity!$B$13=6)),
      AND(P4330="Inner Centre Jamb", OR(Enginuity!$B$13=4, Enginuity!$B$13=6)),
      AND(
        LEFT(P4330,5)&lt;&gt;"1-Way",
        LEFT(P4330,5)&lt;&gt;"2-Way",
        LEFT(P4330,5)&lt;&gt;"3-Way",
        P4330&lt;&gt;"Inner Centre Jamb"
      )
    ),
    IF(OR(Enginuity!$A$1="Frameless Glass",Enginuity!$A$1="Metal Work"),
      AND(TRIM(B4330)=TRIM(Enginuity!$A$17),TRIM(C4330)=TRIM(Enginuity!$A$18)),
      TRIM(B4330)=TRIM(Enginuity!$A$17)
    )
  ),
  ROW(),
  ""
)</f>
        <v/>
      </c>
    </row>
    <row r="4331" spans="21:21" x14ac:dyDescent="0.25">
      <c r="U4331" s="104" t="str">
        <f>IF(
  AND(
    TRIM(A4331)=TRIM(Enginuity!$A$1),
    TRIM(B4331)=TRIM(Enginuity!$A$17),
    Q4331&lt;&gt;"",
    Q4331&lt;&gt;0,
    OR(
      TRIM(C4331)=TRIM(Enginuity!$A$18),
      AND(UPPER(TRIM(M4331))="STD", TRIM(B4331)=TRIM(Enginuity!$A$17))
    ),
    OR(
      AND(LEFT(P4331,5)="1-Way", Enginuity!$B$13=1),
      AND(LEFT(P4331,5)="2-Way", OR(Enginuity!$B$13=2, Enginuity!$B$13=4)),
      AND(LEFT(P4331,5)="3-Way", OR(Enginuity!$B$13=3, Enginuity!$B$13=6)),
      AND(P4331="Inner Centre Jamb", OR(Enginuity!$B$13=4, Enginuity!$B$13=6)),
      AND(
        LEFT(P4331,5)&lt;&gt;"1-Way",
        LEFT(P4331,5)&lt;&gt;"2-Way",
        LEFT(P4331,5)&lt;&gt;"3-Way",
        P4331&lt;&gt;"Inner Centre Jamb"
      )
    ),
    IF(OR(Enginuity!$A$1="Frameless Glass",Enginuity!$A$1="Metal Work"),
      AND(TRIM(B4331)=TRIM(Enginuity!$A$17),TRIM(C4331)=TRIM(Enginuity!$A$18)),
      TRIM(B4331)=TRIM(Enginuity!$A$17)
    )
  ),
  ROW(),
  ""
)</f>
        <v/>
      </c>
    </row>
    <row r="4332" spans="21:21" x14ac:dyDescent="0.25">
      <c r="U4332" s="104" t="str">
        <f>IF(
  AND(
    TRIM(A4332)=TRIM(Enginuity!$A$1),
    TRIM(B4332)=TRIM(Enginuity!$A$17),
    Q4332&lt;&gt;"",
    Q4332&lt;&gt;0,
    OR(
      TRIM(C4332)=TRIM(Enginuity!$A$18),
      AND(UPPER(TRIM(M4332))="STD", TRIM(B4332)=TRIM(Enginuity!$A$17))
    ),
    OR(
      AND(LEFT(P4332,5)="1-Way", Enginuity!$B$13=1),
      AND(LEFT(P4332,5)="2-Way", OR(Enginuity!$B$13=2, Enginuity!$B$13=4)),
      AND(LEFT(P4332,5)="3-Way", OR(Enginuity!$B$13=3, Enginuity!$B$13=6)),
      AND(P4332="Inner Centre Jamb", OR(Enginuity!$B$13=4, Enginuity!$B$13=6)),
      AND(
        LEFT(P4332,5)&lt;&gt;"1-Way",
        LEFT(P4332,5)&lt;&gt;"2-Way",
        LEFT(P4332,5)&lt;&gt;"3-Way",
        P4332&lt;&gt;"Inner Centre Jamb"
      )
    ),
    IF(OR(Enginuity!$A$1="Frameless Glass",Enginuity!$A$1="Metal Work"),
      AND(TRIM(B4332)=TRIM(Enginuity!$A$17),TRIM(C4332)=TRIM(Enginuity!$A$18)),
      TRIM(B4332)=TRIM(Enginuity!$A$17)
    )
  ),
  ROW(),
  ""
)</f>
        <v/>
      </c>
    </row>
    <row r="4333" spans="21:21" x14ac:dyDescent="0.25">
      <c r="U4333" s="104" t="str">
        <f>IF(
  AND(
    TRIM(A4333)=TRIM(Enginuity!$A$1),
    TRIM(B4333)=TRIM(Enginuity!$A$17),
    Q4333&lt;&gt;"",
    Q4333&lt;&gt;0,
    OR(
      TRIM(C4333)=TRIM(Enginuity!$A$18),
      AND(UPPER(TRIM(M4333))="STD", TRIM(B4333)=TRIM(Enginuity!$A$17))
    ),
    OR(
      AND(LEFT(P4333,5)="1-Way", Enginuity!$B$13=1),
      AND(LEFT(P4333,5)="2-Way", OR(Enginuity!$B$13=2, Enginuity!$B$13=4)),
      AND(LEFT(P4333,5)="3-Way", OR(Enginuity!$B$13=3, Enginuity!$B$13=6)),
      AND(P4333="Inner Centre Jamb", OR(Enginuity!$B$13=4, Enginuity!$B$13=6)),
      AND(
        LEFT(P4333,5)&lt;&gt;"1-Way",
        LEFT(P4333,5)&lt;&gt;"2-Way",
        LEFT(P4333,5)&lt;&gt;"3-Way",
        P4333&lt;&gt;"Inner Centre Jamb"
      )
    ),
    IF(OR(Enginuity!$A$1="Frameless Glass",Enginuity!$A$1="Metal Work"),
      AND(TRIM(B4333)=TRIM(Enginuity!$A$17),TRIM(C4333)=TRIM(Enginuity!$A$18)),
      TRIM(B4333)=TRIM(Enginuity!$A$17)
    )
  ),
  ROW(),
  ""
)</f>
        <v/>
      </c>
    </row>
    <row r="4334" spans="21:21" x14ac:dyDescent="0.25">
      <c r="U4334" s="104" t="str">
        <f>IF(
  AND(
    TRIM(A4334)=TRIM(Enginuity!$A$1),
    TRIM(B4334)=TRIM(Enginuity!$A$17),
    Q4334&lt;&gt;"",
    Q4334&lt;&gt;0,
    OR(
      TRIM(C4334)=TRIM(Enginuity!$A$18),
      AND(UPPER(TRIM(M4334))="STD", TRIM(B4334)=TRIM(Enginuity!$A$17))
    ),
    OR(
      AND(LEFT(P4334,5)="1-Way", Enginuity!$B$13=1),
      AND(LEFT(P4334,5)="2-Way", OR(Enginuity!$B$13=2, Enginuity!$B$13=4)),
      AND(LEFT(P4334,5)="3-Way", OR(Enginuity!$B$13=3, Enginuity!$B$13=6)),
      AND(P4334="Inner Centre Jamb", OR(Enginuity!$B$13=4, Enginuity!$B$13=6)),
      AND(
        LEFT(P4334,5)&lt;&gt;"1-Way",
        LEFT(P4334,5)&lt;&gt;"2-Way",
        LEFT(P4334,5)&lt;&gt;"3-Way",
        P4334&lt;&gt;"Inner Centre Jamb"
      )
    ),
    IF(OR(Enginuity!$A$1="Frameless Glass",Enginuity!$A$1="Metal Work"),
      AND(TRIM(B4334)=TRIM(Enginuity!$A$17),TRIM(C4334)=TRIM(Enginuity!$A$18)),
      TRIM(B4334)=TRIM(Enginuity!$A$17)
    )
  ),
  ROW(),
  ""
)</f>
        <v/>
      </c>
    </row>
    <row r="4335" spans="21:21" x14ac:dyDescent="0.25">
      <c r="U4335" s="104" t="str">
        <f>IF(
  AND(
    TRIM(A4335)=TRIM(Enginuity!$A$1),
    TRIM(B4335)=TRIM(Enginuity!$A$17),
    Q4335&lt;&gt;"",
    Q4335&lt;&gt;0,
    OR(
      TRIM(C4335)=TRIM(Enginuity!$A$18),
      AND(UPPER(TRIM(M4335))="STD", TRIM(B4335)=TRIM(Enginuity!$A$17))
    ),
    OR(
      AND(LEFT(P4335,5)="1-Way", Enginuity!$B$13=1),
      AND(LEFT(P4335,5)="2-Way", OR(Enginuity!$B$13=2, Enginuity!$B$13=4)),
      AND(LEFT(P4335,5)="3-Way", OR(Enginuity!$B$13=3, Enginuity!$B$13=6)),
      AND(P4335="Inner Centre Jamb", OR(Enginuity!$B$13=4, Enginuity!$B$13=6)),
      AND(
        LEFT(P4335,5)&lt;&gt;"1-Way",
        LEFT(P4335,5)&lt;&gt;"2-Way",
        LEFT(P4335,5)&lt;&gt;"3-Way",
        P4335&lt;&gt;"Inner Centre Jamb"
      )
    ),
    IF(OR(Enginuity!$A$1="Frameless Glass",Enginuity!$A$1="Metal Work"),
      AND(TRIM(B4335)=TRIM(Enginuity!$A$17),TRIM(C4335)=TRIM(Enginuity!$A$18)),
      TRIM(B4335)=TRIM(Enginuity!$A$17)
    )
  ),
  ROW(),
  ""
)</f>
        <v/>
      </c>
    </row>
    <row r="4336" spans="21:21" x14ac:dyDescent="0.25">
      <c r="U4336" s="104" t="str">
        <f>IF(
  AND(
    TRIM(A4336)=TRIM(Enginuity!$A$1),
    TRIM(B4336)=TRIM(Enginuity!$A$17),
    Q4336&lt;&gt;"",
    Q4336&lt;&gt;0,
    OR(
      TRIM(C4336)=TRIM(Enginuity!$A$18),
      AND(UPPER(TRIM(M4336))="STD", TRIM(B4336)=TRIM(Enginuity!$A$17))
    ),
    OR(
      AND(LEFT(P4336,5)="1-Way", Enginuity!$B$13=1),
      AND(LEFT(P4336,5)="2-Way", OR(Enginuity!$B$13=2, Enginuity!$B$13=4)),
      AND(LEFT(P4336,5)="3-Way", OR(Enginuity!$B$13=3, Enginuity!$B$13=6)),
      AND(P4336="Inner Centre Jamb", OR(Enginuity!$B$13=4, Enginuity!$B$13=6)),
      AND(
        LEFT(P4336,5)&lt;&gt;"1-Way",
        LEFT(P4336,5)&lt;&gt;"2-Way",
        LEFT(P4336,5)&lt;&gt;"3-Way",
        P4336&lt;&gt;"Inner Centre Jamb"
      )
    ),
    IF(OR(Enginuity!$A$1="Frameless Glass",Enginuity!$A$1="Metal Work"),
      AND(TRIM(B4336)=TRIM(Enginuity!$A$17),TRIM(C4336)=TRIM(Enginuity!$A$18)),
      TRIM(B4336)=TRIM(Enginuity!$A$17)
    )
  ),
  ROW(),
  ""
)</f>
        <v/>
      </c>
    </row>
    <row r="4337" spans="21:21" x14ac:dyDescent="0.25">
      <c r="U4337" s="104" t="str">
        <f>IF(
  AND(
    TRIM(A4337)=TRIM(Enginuity!$A$1),
    TRIM(B4337)=TRIM(Enginuity!$A$17),
    Q4337&lt;&gt;"",
    Q4337&lt;&gt;0,
    OR(
      TRIM(C4337)=TRIM(Enginuity!$A$18),
      AND(UPPER(TRIM(M4337))="STD", TRIM(B4337)=TRIM(Enginuity!$A$17))
    ),
    OR(
      AND(LEFT(P4337,5)="1-Way", Enginuity!$B$13=1),
      AND(LEFT(P4337,5)="2-Way", OR(Enginuity!$B$13=2, Enginuity!$B$13=4)),
      AND(LEFT(P4337,5)="3-Way", OR(Enginuity!$B$13=3, Enginuity!$B$13=6)),
      AND(P4337="Inner Centre Jamb", OR(Enginuity!$B$13=4, Enginuity!$B$13=6)),
      AND(
        LEFT(P4337,5)&lt;&gt;"1-Way",
        LEFT(P4337,5)&lt;&gt;"2-Way",
        LEFT(P4337,5)&lt;&gt;"3-Way",
        P4337&lt;&gt;"Inner Centre Jamb"
      )
    ),
    IF(OR(Enginuity!$A$1="Frameless Glass",Enginuity!$A$1="Metal Work"),
      AND(TRIM(B4337)=TRIM(Enginuity!$A$17),TRIM(C4337)=TRIM(Enginuity!$A$18)),
      TRIM(B4337)=TRIM(Enginuity!$A$17)
    )
  ),
  ROW(),
  ""
)</f>
        <v/>
      </c>
    </row>
    <row r="4338" spans="21:21" x14ac:dyDescent="0.25">
      <c r="U4338" s="104" t="str">
        <f>IF(
  AND(
    TRIM(A4338)=TRIM(Enginuity!$A$1),
    TRIM(B4338)=TRIM(Enginuity!$A$17),
    Q4338&lt;&gt;"",
    Q4338&lt;&gt;0,
    OR(
      TRIM(C4338)=TRIM(Enginuity!$A$18),
      AND(UPPER(TRIM(M4338))="STD", TRIM(B4338)=TRIM(Enginuity!$A$17))
    ),
    OR(
      AND(LEFT(P4338,5)="1-Way", Enginuity!$B$13=1),
      AND(LEFT(P4338,5)="2-Way", OR(Enginuity!$B$13=2, Enginuity!$B$13=4)),
      AND(LEFT(P4338,5)="3-Way", OR(Enginuity!$B$13=3, Enginuity!$B$13=6)),
      AND(P4338="Inner Centre Jamb", OR(Enginuity!$B$13=4, Enginuity!$B$13=6)),
      AND(
        LEFT(P4338,5)&lt;&gt;"1-Way",
        LEFT(P4338,5)&lt;&gt;"2-Way",
        LEFT(P4338,5)&lt;&gt;"3-Way",
        P4338&lt;&gt;"Inner Centre Jamb"
      )
    ),
    IF(OR(Enginuity!$A$1="Frameless Glass",Enginuity!$A$1="Metal Work"),
      AND(TRIM(B4338)=TRIM(Enginuity!$A$17),TRIM(C4338)=TRIM(Enginuity!$A$18)),
      TRIM(B4338)=TRIM(Enginuity!$A$17)
    )
  ),
  ROW(),
  ""
)</f>
        <v/>
      </c>
    </row>
    <row r="4339" spans="21:21" x14ac:dyDescent="0.25">
      <c r="U4339" s="104" t="str">
        <f>IF(
  AND(
    TRIM(A4339)=TRIM(Enginuity!$A$1),
    TRIM(B4339)=TRIM(Enginuity!$A$17),
    Q4339&lt;&gt;"",
    Q4339&lt;&gt;0,
    OR(
      TRIM(C4339)=TRIM(Enginuity!$A$18),
      AND(UPPER(TRIM(M4339))="STD", TRIM(B4339)=TRIM(Enginuity!$A$17))
    ),
    OR(
      AND(LEFT(P4339,5)="1-Way", Enginuity!$B$13=1),
      AND(LEFT(P4339,5)="2-Way", OR(Enginuity!$B$13=2, Enginuity!$B$13=4)),
      AND(LEFT(P4339,5)="3-Way", OR(Enginuity!$B$13=3, Enginuity!$B$13=6)),
      AND(P4339="Inner Centre Jamb", OR(Enginuity!$B$13=4, Enginuity!$B$13=6)),
      AND(
        LEFT(P4339,5)&lt;&gt;"1-Way",
        LEFT(P4339,5)&lt;&gt;"2-Way",
        LEFT(P4339,5)&lt;&gt;"3-Way",
        P4339&lt;&gt;"Inner Centre Jamb"
      )
    ),
    IF(OR(Enginuity!$A$1="Frameless Glass",Enginuity!$A$1="Metal Work"),
      AND(TRIM(B4339)=TRIM(Enginuity!$A$17),TRIM(C4339)=TRIM(Enginuity!$A$18)),
      TRIM(B4339)=TRIM(Enginuity!$A$17)
    )
  ),
  ROW(),
  ""
)</f>
        <v/>
      </c>
    </row>
    <row r="4340" spans="21:21" x14ac:dyDescent="0.25">
      <c r="U4340" s="104" t="str">
        <f>IF(
  AND(
    TRIM(A4340)=TRIM(Enginuity!$A$1),
    TRIM(B4340)=TRIM(Enginuity!$A$17),
    Q4340&lt;&gt;"",
    Q4340&lt;&gt;0,
    OR(
      TRIM(C4340)=TRIM(Enginuity!$A$18),
      AND(UPPER(TRIM(M4340))="STD", TRIM(B4340)=TRIM(Enginuity!$A$17))
    ),
    OR(
      AND(LEFT(P4340,5)="1-Way", Enginuity!$B$13=1),
      AND(LEFT(P4340,5)="2-Way", OR(Enginuity!$B$13=2, Enginuity!$B$13=4)),
      AND(LEFT(P4340,5)="3-Way", OR(Enginuity!$B$13=3, Enginuity!$B$13=6)),
      AND(P4340="Inner Centre Jamb", OR(Enginuity!$B$13=4, Enginuity!$B$13=6)),
      AND(
        LEFT(P4340,5)&lt;&gt;"1-Way",
        LEFT(P4340,5)&lt;&gt;"2-Way",
        LEFT(P4340,5)&lt;&gt;"3-Way",
        P4340&lt;&gt;"Inner Centre Jamb"
      )
    ),
    IF(OR(Enginuity!$A$1="Frameless Glass",Enginuity!$A$1="Metal Work"),
      AND(TRIM(B4340)=TRIM(Enginuity!$A$17),TRIM(C4340)=TRIM(Enginuity!$A$18)),
      TRIM(B4340)=TRIM(Enginuity!$A$17)
    )
  ),
  ROW(),
  ""
)</f>
        <v/>
      </c>
    </row>
    <row r="4341" spans="21:21" x14ac:dyDescent="0.25">
      <c r="U4341" s="104" t="str">
        <f>IF(
  AND(
    TRIM(A4341)=TRIM(Enginuity!$A$1),
    TRIM(B4341)=TRIM(Enginuity!$A$17),
    Q4341&lt;&gt;"",
    Q4341&lt;&gt;0,
    OR(
      TRIM(C4341)=TRIM(Enginuity!$A$18),
      AND(UPPER(TRIM(M4341))="STD", TRIM(B4341)=TRIM(Enginuity!$A$17))
    ),
    OR(
      AND(LEFT(P4341,5)="1-Way", Enginuity!$B$13=1),
      AND(LEFT(P4341,5)="2-Way", OR(Enginuity!$B$13=2, Enginuity!$B$13=4)),
      AND(LEFT(P4341,5)="3-Way", OR(Enginuity!$B$13=3, Enginuity!$B$13=6)),
      AND(P4341="Inner Centre Jamb", OR(Enginuity!$B$13=4, Enginuity!$B$13=6)),
      AND(
        LEFT(P4341,5)&lt;&gt;"1-Way",
        LEFT(P4341,5)&lt;&gt;"2-Way",
        LEFT(P4341,5)&lt;&gt;"3-Way",
        P4341&lt;&gt;"Inner Centre Jamb"
      )
    ),
    IF(OR(Enginuity!$A$1="Frameless Glass",Enginuity!$A$1="Metal Work"),
      AND(TRIM(B4341)=TRIM(Enginuity!$A$17),TRIM(C4341)=TRIM(Enginuity!$A$18)),
      TRIM(B4341)=TRIM(Enginuity!$A$17)
    )
  ),
  ROW(),
  ""
)</f>
        <v/>
      </c>
    </row>
    <row r="4342" spans="21:21" x14ac:dyDescent="0.25">
      <c r="U4342" s="104" t="str">
        <f>IF(
  AND(
    TRIM(A4342)=TRIM(Enginuity!$A$1),
    TRIM(B4342)=TRIM(Enginuity!$A$17),
    Q4342&lt;&gt;"",
    Q4342&lt;&gt;0,
    OR(
      TRIM(C4342)=TRIM(Enginuity!$A$18),
      AND(UPPER(TRIM(M4342))="STD", TRIM(B4342)=TRIM(Enginuity!$A$17))
    ),
    OR(
      AND(LEFT(P4342,5)="1-Way", Enginuity!$B$13=1),
      AND(LEFT(P4342,5)="2-Way", OR(Enginuity!$B$13=2, Enginuity!$B$13=4)),
      AND(LEFT(P4342,5)="3-Way", OR(Enginuity!$B$13=3, Enginuity!$B$13=6)),
      AND(P4342="Inner Centre Jamb", OR(Enginuity!$B$13=4, Enginuity!$B$13=6)),
      AND(
        LEFT(P4342,5)&lt;&gt;"1-Way",
        LEFT(P4342,5)&lt;&gt;"2-Way",
        LEFT(P4342,5)&lt;&gt;"3-Way",
        P4342&lt;&gt;"Inner Centre Jamb"
      )
    ),
    IF(OR(Enginuity!$A$1="Frameless Glass",Enginuity!$A$1="Metal Work"),
      AND(TRIM(B4342)=TRIM(Enginuity!$A$17),TRIM(C4342)=TRIM(Enginuity!$A$18)),
      TRIM(B4342)=TRIM(Enginuity!$A$17)
    )
  ),
  ROW(),
  ""
)</f>
        <v/>
      </c>
    </row>
    <row r="4343" spans="21:21" x14ac:dyDescent="0.25">
      <c r="U4343" s="104" t="str">
        <f>IF(
  AND(
    TRIM(A4343)=TRIM(Enginuity!$A$1),
    TRIM(B4343)=TRIM(Enginuity!$A$17),
    Q4343&lt;&gt;"",
    Q4343&lt;&gt;0,
    OR(
      TRIM(C4343)=TRIM(Enginuity!$A$18),
      AND(UPPER(TRIM(M4343))="STD", TRIM(B4343)=TRIM(Enginuity!$A$17))
    ),
    OR(
      AND(LEFT(P4343,5)="1-Way", Enginuity!$B$13=1),
      AND(LEFT(P4343,5)="2-Way", OR(Enginuity!$B$13=2, Enginuity!$B$13=4)),
      AND(LEFT(P4343,5)="3-Way", OR(Enginuity!$B$13=3, Enginuity!$B$13=6)),
      AND(P4343="Inner Centre Jamb", OR(Enginuity!$B$13=4, Enginuity!$B$13=6)),
      AND(
        LEFT(P4343,5)&lt;&gt;"1-Way",
        LEFT(P4343,5)&lt;&gt;"2-Way",
        LEFT(P4343,5)&lt;&gt;"3-Way",
        P4343&lt;&gt;"Inner Centre Jamb"
      )
    ),
    IF(OR(Enginuity!$A$1="Frameless Glass",Enginuity!$A$1="Metal Work"),
      AND(TRIM(B4343)=TRIM(Enginuity!$A$17),TRIM(C4343)=TRIM(Enginuity!$A$18)),
      TRIM(B4343)=TRIM(Enginuity!$A$17)
    )
  ),
  ROW(),
  ""
)</f>
        <v/>
      </c>
    </row>
    <row r="4344" spans="21:21" x14ac:dyDescent="0.25">
      <c r="U4344" s="104" t="str">
        <f>IF(
  AND(
    TRIM(A4344)=TRIM(Enginuity!$A$1),
    TRIM(B4344)=TRIM(Enginuity!$A$17),
    Q4344&lt;&gt;"",
    Q4344&lt;&gt;0,
    OR(
      TRIM(C4344)=TRIM(Enginuity!$A$18),
      AND(UPPER(TRIM(M4344))="STD", TRIM(B4344)=TRIM(Enginuity!$A$17))
    ),
    OR(
      AND(LEFT(P4344,5)="1-Way", Enginuity!$B$13=1),
      AND(LEFT(P4344,5)="2-Way", OR(Enginuity!$B$13=2, Enginuity!$B$13=4)),
      AND(LEFT(P4344,5)="3-Way", OR(Enginuity!$B$13=3, Enginuity!$B$13=6)),
      AND(P4344="Inner Centre Jamb", OR(Enginuity!$B$13=4, Enginuity!$B$13=6)),
      AND(
        LEFT(P4344,5)&lt;&gt;"1-Way",
        LEFT(P4344,5)&lt;&gt;"2-Way",
        LEFT(P4344,5)&lt;&gt;"3-Way",
        P4344&lt;&gt;"Inner Centre Jamb"
      )
    ),
    IF(OR(Enginuity!$A$1="Frameless Glass",Enginuity!$A$1="Metal Work"),
      AND(TRIM(B4344)=TRIM(Enginuity!$A$17),TRIM(C4344)=TRIM(Enginuity!$A$18)),
      TRIM(B4344)=TRIM(Enginuity!$A$17)
    )
  ),
  ROW(),
  ""
)</f>
        <v/>
      </c>
    </row>
    <row r="4345" spans="21:21" x14ac:dyDescent="0.25">
      <c r="U4345" s="104" t="str">
        <f>IF(
  AND(
    TRIM(A4345)=TRIM(Enginuity!$A$1),
    TRIM(B4345)=TRIM(Enginuity!$A$17),
    Q4345&lt;&gt;"",
    Q4345&lt;&gt;0,
    OR(
      TRIM(C4345)=TRIM(Enginuity!$A$18),
      AND(UPPER(TRIM(M4345))="STD", TRIM(B4345)=TRIM(Enginuity!$A$17))
    ),
    OR(
      AND(LEFT(P4345,5)="1-Way", Enginuity!$B$13=1),
      AND(LEFT(P4345,5)="2-Way", OR(Enginuity!$B$13=2, Enginuity!$B$13=4)),
      AND(LEFT(P4345,5)="3-Way", OR(Enginuity!$B$13=3, Enginuity!$B$13=6)),
      AND(P4345="Inner Centre Jamb", OR(Enginuity!$B$13=4, Enginuity!$B$13=6)),
      AND(
        LEFT(P4345,5)&lt;&gt;"1-Way",
        LEFT(P4345,5)&lt;&gt;"2-Way",
        LEFT(P4345,5)&lt;&gt;"3-Way",
        P4345&lt;&gt;"Inner Centre Jamb"
      )
    ),
    IF(OR(Enginuity!$A$1="Frameless Glass",Enginuity!$A$1="Metal Work"),
      AND(TRIM(B4345)=TRIM(Enginuity!$A$17),TRIM(C4345)=TRIM(Enginuity!$A$18)),
      TRIM(B4345)=TRIM(Enginuity!$A$17)
    )
  ),
  ROW(),
  ""
)</f>
        <v/>
      </c>
    </row>
    <row r="4346" spans="21:21" x14ac:dyDescent="0.25">
      <c r="U4346" s="104" t="str">
        <f>IF(
  AND(
    TRIM(A4346)=TRIM(Enginuity!$A$1),
    TRIM(B4346)=TRIM(Enginuity!$A$17),
    Q4346&lt;&gt;"",
    Q4346&lt;&gt;0,
    OR(
      TRIM(C4346)=TRIM(Enginuity!$A$18),
      AND(UPPER(TRIM(M4346))="STD", TRIM(B4346)=TRIM(Enginuity!$A$17))
    ),
    OR(
      AND(LEFT(P4346,5)="1-Way", Enginuity!$B$13=1),
      AND(LEFT(P4346,5)="2-Way", OR(Enginuity!$B$13=2, Enginuity!$B$13=4)),
      AND(LEFT(P4346,5)="3-Way", OR(Enginuity!$B$13=3, Enginuity!$B$13=6)),
      AND(P4346="Inner Centre Jamb", OR(Enginuity!$B$13=4, Enginuity!$B$13=6)),
      AND(
        LEFT(P4346,5)&lt;&gt;"1-Way",
        LEFT(P4346,5)&lt;&gt;"2-Way",
        LEFT(P4346,5)&lt;&gt;"3-Way",
        P4346&lt;&gt;"Inner Centre Jamb"
      )
    ),
    IF(OR(Enginuity!$A$1="Frameless Glass",Enginuity!$A$1="Metal Work"),
      AND(TRIM(B4346)=TRIM(Enginuity!$A$17),TRIM(C4346)=TRIM(Enginuity!$A$18)),
      TRIM(B4346)=TRIM(Enginuity!$A$17)
    )
  ),
  ROW(),
  ""
)</f>
        <v/>
      </c>
    </row>
    <row r="4347" spans="21:21" x14ac:dyDescent="0.25">
      <c r="U4347" s="104" t="str">
        <f>IF(
  AND(
    TRIM(A4347)=TRIM(Enginuity!$A$1),
    TRIM(B4347)=TRIM(Enginuity!$A$17),
    Q4347&lt;&gt;"",
    Q4347&lt;&gt;0,
    OR(
      TRIM(C4347)=TRIM(Enginuity!$A$18),
      AND(UPPER(TRIM(M4347))="STD", TRIM(B4347)=TRIM(Enginuity!$A$17))
    ),
    OR(
      AND(LEFT(P4347,5)="1-Way", Enginuity!$B$13=1),
      AND(LEFT(P4347,5)="2-Way", OR(Enginuity!$B$13=2, Enginuity!$B$13=4)),
      AND(LEFT(P4347,5)="3-Way", OR(Enginuity!$B$13=3, Enginuity!$B$13=6)),
      AND(P4347="Inner Centre Jamb", OR(Enginuity!$B$13=4, Enginuity!$B$13=6)),
      AND(
        LEFT(P4347,5)&lt;&gt;"1-Way",
        LEFT(P4347,5)&lt;&gt;"2-Way",
        LEFT(P4347,5)&lt;&gt;"3-Way",
        P4347&lt;&gt;"Inner Centre Jamb"
      )
    ),
    IF(OR(Enginuity!$A$1="Frameless Glass",Enginuity!$A$1="Metal Work"),
      AND(TRIM(B4347)=TRIM(Enginuity!$A$17),TRIM(C4347)=TRIM(Enginuity!$A$18)),
      TRIM(B4347)=TRIM(Enginuity!$A$17)
    )
  ),
  ROW(),
  ""
)</f>
        <v/>
      </c>
    </row>
    <row r="4348" spans="21:21" x14ac:dyDescent="0.25">
      <c r="U4348" s="104" t="str">
        <f>IF(
  AND(
    TRIM(A4348)=TRIM(Enginuity!$A$1),
    TRIM(B4348)=TRIM(Enginuity!$A$17),
    Q4348&lt;&gt;"",
    Q4348&lt;&gt;0,
    OR(
      TRIM(C4348)=TRIM(Enginuity!$A$18),
      AND(UPPER(TRIM(M4348))="STD", TRIM(B4348)=TRIM(Enginuity!$A$17))
    ),
    OR(
      AND(LEFT(P4348,5)="1-Way", Enginuity!$B$13=1),
      AND(LEFT(P4348,5)="2-Way", OR(Enginuity!$B$13=2, Enginuity!$B$13=4)),
      AND(LEFT(P4348,5)="3-Way", OR(Enginuity!$B$13=3, Enginuity!$B$13=6)),
      AND(P4348="Inner Centre Jamb", OR(Enginuity!$B$13=4, Enginuity!$B$13=6)),
      AND(
        LEFT(P4348,5)&lt;&gt;"1-Way",
        LEFT(P4348,5)&lt;&gt;"2-Way",
        LEFT(P4348,5)&lt;&gt;"3-Way",
        P4348&lt;&gt;"Inner Centre Jamb"
      )
    ),
    IF(OR(Enginuity!$A$1="Frameless Glass",Enginuity!$A$1="Metal Work"),
      AND(TRIM(B4348)=TRIM(Enginuity!$A$17),TRIM(C4348)=TRIM(Enginuity!$A$18)),
      TRIM(B4348)=TRIM(Enginuity!$A$17)
    )
  ),
  ROW(),
  ""
)</f>
        <v/>
      </c>
    </row>
    <row r="4349" spans="21:21" x14ac:dyDescent="0.25">
      <c r="U4349" s="104" t="str">
        <f>IF(
  AND(
    TRIM(A4349)=TRIM(Enginuity!$A$1),
    TRIM(B4349)=TRIM(Enginuity!$A$17),
    Q4349&lt;&gt;"",
    Q4349&lt;&gt;0,
    OR(
      TRIM(C4349)=TRIM(Enginuity!$A$18),
      AND(UPPER(TRIM(M4349))="STD", TRIM(B4349)=TRIM(Enginuity!$A$17))
    ),
    OR(
      AND(LEFT(P4349,5)="1-Way", Enginuity!$B$13=1),
      AND(LEFT(P4349,5)="2-Way", OR(Enginuity!$B$13=2, Enginuity!$B$13=4)),
      AND(LEFT(P4349,5)="3-Way", OR(Enginuity!$B$13=3, Enginuity!$B$13=6)),
      AND(P4349="Inner Centre Jamb", OR(Enginuity!$B$13=4, Enginuity!$B$13=6)),
      AND(
        LEFT(P4349,5)&lt;&gt;"1-Way",
        LEFT(P4349,5)&lt;&gt;"2-Way",
        LEFT(P4349,5)&lt;&gt;"3-Way",
        P4349&lt;&gt;"Inner Centre Jamb"
      )
    ),
    IF(OR(Enginuity!$A$1="Frameless Glass",Enginuity!$A$1="Metal Work"),
      AND(TRIM(B4349)=TRIM(Enginuity!$A$17),TRIM(C4349)=TRIM(Enginuity!$A$18)),
      TRIM(B4349)=TRIM(Enginuity!$A$17)
    )
  ),
  ROW(),
  ""
)</f>
        <v/>
      </c>
    </row>
    <row r="4350" spans="21:21" x14ac:dyDescent="0.25">
      <c r="U4350" s="104" t="str">
        <f>IF(
  AND(
    TRIM(A4350)=TRIM(Enginuity!$A$1),
    TRIM(B4350)=TRIM(Enginuity!$A$17),
    Q4350&lt;&gt;"",
    Q4350&lt;&gt;0,
    OR(
      TRIM(C4350)=TRIM(Enginuity!$A$18),
      AND(UPPER(TRIM(M4350))="STD", TRIM(B4350)=TRIM(Enginuity!$A$17))
    ),
    OR(
      AND(LEFT(P4350,5)="1-Way", Enginuity!$B$13=1),
      AND(LEFT(P4350,5)="2-Way", OR(Enginuity!$B$13=2, Enginuity!$B$13=4)),
      AND(LEFT(P4350,5)="3-Way", OR(Enginuity!$B$13=3, Enginuity!$B$13=6)),
      AND(P4350="Inner Centre Jamb", OR(Enginuity!$B$13=4, Enginuity!$B$13=6)),
      AND(
        LEFT(P4350,5)&lt;&gt;"1-Way",
        LEFT(P4350,5)&lt;&gt;"2-Way",
        LEFT(P4350,5)&lt;&gt;"3-Way",
        P4350&lt;&gt;"Inner Centre Jamb"
      )
    ),
    IF(OR(Enginuity!$A$1="Frameless Glass",Enginuity!$A$1="Metal Work"),
      AND(TRIM(B4350)=TRIM(Enginuity!$A$17),TRIM(C4350)=TRIM(Enginuity!$A$18)),
      TRIM(B4350)=TRIM(Enginuity!$A$17)
    )
  ),
  ROW(),
  ""
)</f>
        <v/>
      </c>
    </row>
    <row r="4351" spans="21:21" x14ac:dyDescent="0.25">
      <c r="U4351" s="104" t="str">
        <f>IF(
  AND(
    TRIM(A4351)=TRIM(Enginuity!$A$1),
    TRIM(B4351)=TRIM(Enginuity!$A$17),
    Q4351&lt;&gt;"",
    Q4351&lt;&gt;0,
    OR(
      TRIM(C4351)=TRIM(Enginuity!$A$18),
      AND(UPPER(TRIM(M4351))="STD", TRIM(B4351)=TRIM(Enginuity!$A$17))
    ),
    OR(
      AND(LEFT(P4351,5)="1-Way", Enginuity!$B$13=1),
      AND(LEFT(P4351,5)="2-Way", OR(Enginuity!$B$13=2, Enginuity!$B$13=4)),
      AND(LEFT(P4351,5)="3-Way", OR(Enginuity!$B$13=3, Enginuity!$B$13=6)),
      AND(P4351="Inner Centre Jamb", OR(Enginuity!$B$13=4, Enginuity!$B$13=6)),
      AND(
        LEFT(P4351,5)&lt;&gt;"1-Way",
        LEFT(P4351,5)&lt;&gt;"2-Way",
        LEFT(P4351,5)&lt;&gt;"3-Way",
        P4351&lt;&gt;"Inner Centre Jamb"
      )
    ),
    IF(OR(Enginuity!$A$1="Frameless Glass",Enginuity!$A$1="Metal Work"),
      AND(TRIM(B4351)=TRIM(Enginuity!$A$17),TRIM(C4351)=TRIM(Enginuity!$A$18)),
      TRIM(B4351)=TRIM(Enginuity!$A$17)
    )
  ),
  ROW(),
  ""
)</f>
        <v/>
      </c>
    </row>
    <row r="4352" spans="21:21" x14ac:dyDescent="0.25">
      <c r="U4352" s="104" t="str">
        <f>IF(
  AND(
    TRIM(A4352)=TRIM(Enginuity!$A$1),
    TRIM(B4352)=TRIM(Enginuity!$A$17),
    Q4352&lt;&gt;"",
    Q4352&lt;&gt;0,
    OR(
      TRIM(C4352)=TRIM(Enginuity!$A$18),
      AND(UPPER(TRIM(M4352))="STD", TRIM(B4352)=TRIM(Enginuity!$A$17))
    ),
    OR(
      AND(LEFT(P4352,5)="1-Way", Enginuity!$B$13=1),
      AND(LEFT(P4352,5)="2-Way", OR(Enginuity!$B$13=2, Enginuity!$B$13=4)),
      AND(LEFT(P4352,5)="3-Way", OR(Enginuity!$B$13=3, Enginuity!$B$13=6)),
      AND(P4352="Inner Centre Jamb", OR(Enginuity!$B$13=4, Enginuity!$B$13=6)),
      AND(
        LEFT(P4352,5)&lt;&gt;"1-Way",
        LEFT(P4352,5)&lt;&gt;"2-Way",
        LEFT(P4352,5)&lt;&gt;"3-Way",
        P4352&lt;&gt;"Inner Centre Jamb"
      )
    ),
    IF(OR(Enginuity!$A$1="Frameless Glass",Enginuity!$A$1="Metal Work"),
      AND(TRIM(B4352)=TRIM(Enginuity!$A$17),TRIM(C4352)=TRIM(Enginuity!$A$18)),
      TRIM(B4352)=TRIM(Enginuity!$A$17)
    )
  ),
  ROW(),
  ""
)</f>
        <v/>
      </c>
    </row>
    <row r="4353" spans="21:21" x14ac:dyDescent="0.25">
      <c r="U4353" s="104" t="str">
        <f>IF(
  AND(
    TRIM(A4353)=TRIM(Enginuity!$A$1),
    TRIM(B4353)=TRIM(Enginuity!$A$17),
    Q4353&lt;&gt;"",
    Q4353&lt;&gt;0,
    OR(
      TRIM(C4353)=TRIM(Enginuity!$A$18),
      AND(UPPER(TRIM(M4353))="STD", TRIM(B4353)=TRIM(Enginuity!$A$17))
    ),
    OR(
      AND(LEFT(P4353,5)="1-Way", Enginuity!$B$13=1),
      AND(LEFT(P4353,5)="2-Way", OR(Enginuity!$B$13=2, Enginuity!$B$13=4)),
      AND(LEFT(P4353,5)="3-Way", OR(Enginuity!$B$13=3, Enginuity!$B$13=6)),
      AND(P4353="Inner Centre Jamb", OR(Enginuity!$B$13=4, Enginuity!$B$13=6)),
      AND(
        LEFT(P4353,5)&lt;&gt;"1-Way",
        LEFT(P4353,5)&lt;&gt;"2-Way",
        LEFT(P4353,5)&lt;&gt;"3-Way",
        P4353&lt;&gt;"Inner Centre Jamb"
      )
    ),
    IF(OR(Enginuity!$A$1="Frameless Glass",Enginuity!$A$1="Metal Work"),
      AND(TRIM(B4353)=TRIM(Enginuity!$A$17),TRIM(C4353)=TRIM(Enginuity!$A$18)),
      TRIM(B4353)=TRIM(Enginuity!$A$17)
    )
  ),
  ROW(),
  ""
)</f>
        <v/>
      </c>
    </row>
    <row r="4354" spans="21:21" x14ac:dyDescent="0.25">
      <c r="U4354" s="104" t="str">
        <f>IF(
  AND(
    TRIM(A4354)=TRIM(Enginuity!$A$1),
    TRIM(B4354)=TRIM(Enginuity!$A$17),
    Q4354&lt;&gt;"",
    Q4354&lt;&gt;0,
    OR(
      TRIM(C4354)=TRIM(Enginuity!$A$18),
      AND(UPPER(TRIM(M4354))="STD", TRIM(B4354)=TRIM(Enginuity!$A$17))
    ),
    OR(
      AND(LEFT(P4354,5)="1-Way", Enginuity!$B$13=1),
      AND(LEFT(P4354,5)="2-Way", OR(Enginuity!$B$13=2, Enginuity!$B$13=4)),
      AND(LEFT(P4354,5)="3-Way", OR(Enginuity!$B$13=3, Enginuity!$B$13=6)),
      AND(P4354="Inner Centre Jamb", OR(Enginuity!$B$13=4, Enginuity!$B$13=6)),
      AND(
        LEFT(P4354,5)&lt;&gt;"1-Way",
        LEFT(P4354,5)&lt;&gt;"2-Way",
        LEFT(P4354,5)&lt;&gt;"3-Way",
        P4354&lt;&gt;"Inner Centre Jamb"
      )
    ),
    IF(OR(Enginuity!$A$1="Frameless Glass",Enginuity!$A$1="Metal Work"),
      AND(TRIM(B4354)=TRIM(Enginuity!$A$17),TRIM(C4354)=TRIM(Enginuity!$A$18)),
      TRIM(B4354)=TRIM(Enginuity!$A$17)
    )
  ),
  ROW(),
  ""
)</f>
        <v/>
      </c>
    </row>
    <row r="4355" spans="21:21" x14ac:dyDescent="0.25">
      <c r="U4355" s="104" t="str">
        <f>IF(
  AND(
    TRIM(A4355)=TRIM(Enginuity!$A$1),
    TRIM(B4355)=TRIM(Enginuity!$A$17),
    Q4355&lt;&gt;"",
    Q4355&lt;&gt;0,
    OR(
      TRIM(C4355)=TRIM(Enginuity!$A$18),
      AND(UPPER(TRIM(M4355))="STD", TRIM(B4355)=TRIM(Enginuity!$A$17))
    ),
    OR(
      AND(LEFT(P4355,5)="1-Way", Enginuity!$B$13=1),
      AND(LEFT(P4355,5)="2-Way", OR(Enginuity!$B$13=2, Enginuity!$B$13=4)),
      AND(LEFT(P4355,5)="3-Way", OR(Enginuity!$B$13=3, Enginuity!$B$13=6)),
      AND(P4355="Inner Centre Jamb", OR(Enginuity!$B$13=4, Enginuity!$B$13=6)),
      AND(
        LEFT(P4355,5)&lt;&gt;"1-Way",
        LEFT(P4355,5)&lt;&gt;"2-Way",
        LEFT(P4355,5)&lt;&gt;"3-Way",
        P4355&lt;&gt;"Inner Centre Jamb"
      )
    ),
    IF(OR(Enginuity!$A$1="Frameless Glass",Enginuity!$A$1="Metal Work"),
      AND(TRIM(B4355)=TRIM(Enginuity!$A$17),TRIM(C4355)=TRIM(Enginuity!$A$18)),
      TRIM(B4355)=TRIM(Enginuity!$A$17)
    )
  ),
  ROW(),
  ""
)</f>
        <v/>
      </c>
    </row>
    <row r="4356" spans="21:21" x14ac:dyDescent="0.25">
      <c r="U4356" s="104" t="str">
        <f>IF(
  AND(
    TRIM(A4356)=TRIM(Enginuity!$A$1),
    TRIM(B4356)=TRIM(Enginuity!$A$17),
    Q4356&lt;&gt;"",
    Q4356&lt;&gt;0,
    OR(
      TRIM(C4356)=TRIM(Enginuity!$A$18),
      AND(UPPER(TRIM(M4356))="STD", TRIM(B4356)=TRIM(Enginuity!$A$17))
    ),
    OR(
      AND(LEFT(P4356,5)="1-Way", Enginuity!$B$13=1),
      AND(LEFT(P4356,5)="2-Way", OR(Enginuity!$B$13=2, Enginuity!$B$13=4)),
      AND(LEFT(P4356,5)="3-Way", OR(Enginuity!$B$13=3, Enginuity!$B$13=6)),
      AND(P4356="Inner Centre Jamb", OR(Enginuity!$B$13=4, Enginuity!$B$13=6)),
      AND(
        LEFT(P4356,5)&lt;&gt;"1-Way",
        LEFT(P4356,5)&lt;&gt;"2-Way",
        LEFT(P4356,5)&lt;&gt;"3-Way",
        P4356&lt;&gt;"Inner Centre Jamb"
      )
    ),
    IF(OR(Enginuity!$A$1="Frameless Glass",Enginuity!$A$1="Metal Work"),
      AND(TRIM(B4356)=TRIM(Enginuity!$A$17),TRIM(C4356)=TRIM(Enginuity!$A$18)),
      TRIM(B4356)=TRIM(Enginuity!$A$17)
    )
  ),
  ROW(),
  ""
)</f>
        <v/>
      </c>
    </row>
    <row r="4357" spans="21:21" x14ac:dyDescent="0.25">
      <c r="U4357" s="104" t="str">
        <f>IF(
  AND(
    TRIM(A4357)=TRIM(Enginuity!$A$1),
    TRIM(B4357)=TRIM(Enginuity!$A$17),
    Q4357&lt;&gt;"",
    Q4357&lt;&gt;0,
    OR(
      TRIM(C4357)=TRIM(Enginuity!$A$18),
      AND(UPPER(TRIM(M4357))="STD", TRIM(B4357)=TRIM(Enginuity!$A$17))
    ),
    OR(
      AND(LEFT(P4357,5)="1-Way", Enginuity!$B$13=1),
      AND(LEFT(P4357,5)="2-Way", OR(Enginuity!$B$13=2, Enginuity!$B$13=4)),
      AND(LEFT(P4357,5)="3-Way", OR(Enginuity!$B$13=3, Enginuity!$B$13=6)),
      AND(P4357="Inner Centre Jamb", OR(Enginuity!$B$13=4, Enginuity!$B$13=6)),
      AND(
        LEFT(P4357,5)&lt;&gt;"1-Way",
        LEFT(P4357,5)&lt;&gt;"2-Way",
        LEFT(P4357,5)&lt;&gt;"3-Way",
        P4357&lt;&gt;"Inner Centre Jamb"
      )
    ),
    IF(OR(Enginuity!$A$1="Frameless Glass",Enginuity!$A$1="Metal Work"),
      AND(TRIM(B4357)=TRIM(Enginuity!$A$17),TRIM(C4357)=TRIM(Enginuity!$A$18)),
      TRIM(B4357)=TRIM(Enginuity!$A$17)
    )
  ),
  ROW(),
  ""
)</f>
        <v/>
      </c>
    </row>
    <row r="4358" spans="21:21" x14ac:dyDescent="0.25">
      <c r="U4358" s="104" t="str">
        <f>IF(
  AND(
    TRIM(A4358)=TRIM(Enginuity!$A$1),
    TRIM(B4358)=TRIM(Enginuity!$A$17),
    Q4358&lt;&gt;"",
    Q4358&lt;&gt;0,
    OR(
      TRIM(C4358)=TRIM(Enginuity!$A$18),
      AND(UPPER(TRIM(M4358))="STD", TRIM(B4358)=TRIM(Enginuity!$A$17))
    ),
    OR(
      AND(LEFT(P4358,5)="1-Way", Enginuity!$B$13=1),
      AND(LEFT(P4358,5)="2-Way", OR(Enginuity!$B$13=2, Enginuity!$B$13=4)),
      AND(LEFT(P4358,5)="3-Way", OR(Enginuity!$B$13=3, Enginuity!$B$13=6)),
      AND(P4358="Inner Centre Jamb", OR(Enginuity!$B$13=4, Enginuity!$B$13=6)),
      AND(
        LEFT(P4358,5)&lt;&gt;"1-Way",
        LEFT(P4358,5)&lt;&gt;"2-Way",
        LEFT(P4358,5)&lt;&gt;"3-Way",
        P4358&lt;&gt;"Inner Centre Jamb"
      )
    ),
    IF(OR(Enginuity!$A$1="Frameless Glass",Enginuity!$A$1="Metal Work"),
      AND(TRIM(B4358)=TRIM(Enginuity!$A$17),TRIM(C4358)=TRIM(Enginuity!$A$18)),
      TRIM(B4358)=TRIM(Enginuity!$A$17)
    )
  ),
  ROW(),
  ""
)</f>
        <v/>
      </c>
    </row>
    <row r="4359" spans="21:21" x14ac:dyDescent="0.25">
      <c r="U4359" s="104" t="str">
        <f>IF(
  AND(
    TRIM(A4359)=TRIM(Enginuity!$A$1),
    TRIM(B4359)=TRIM(Enginuity!$A$17),
    Q4359&lt;&gt;"",
    Q4359&lt;&gt;0,
    OR(
      TRIM(C4359)=TRIM(Enginuity!$A$18),
      AND(UPPER(TRIM(M4359))="STD", TRIM(B4359)=TRIM(Enginuity!$A$17))
    ),
    OR(
      AND(LEFT(P4359,5)="1-Way", Enginuity!$B$13=1),
      AND(LEFT(P4359,5)="2-Way", OR(Enginuity!$B$13=2, Enginuity!$B$13=4)),
      AND(LEFT(P4359,5)="3-Way", OR(Enginuity!$B$13=3, Enginuity!$B$13=6)),
      AND(P4359="Inner Centre Jamb", OR(Enginuity!$B$13=4, Enginuity!$B$13=6)),
      AND(
        LEFT(P4359,5)&lt;&gt;"1-Way",
        LEFT(P4359,5)&lt;&gt;"2-Way",
        LEFT(P4359,5)&lt;&gt;"3-Way",
        P4359&lt;&gt;"Inner Centre Jamb"
      )
    ),
    IF(OR(Enginuity!$A$1="Frameless Glass",Enginuity!$A$1="Metal Work"),
      AND(TRIM(B4359)=TRIM(Enginuity!$A$17),TRIM(C4359)=TRIM(Enginuity!$A$18)),
      TRIM(B4359)=TRIM(Enginuity!$A$17)
    )
  ),
  ROW(),
  ""
)</f>
        <v/>
      </c>
    </row>
    <row r="4360" spans="21:21" x14ac:dyDescent="0.25">
      <c r="U4360" s="104" t="str">
        <f>IF(
  AND(
    TRIM(A4360)=TRIM(Enginuity!$A$1),
    TRIM(B4360)=TRIM(Enginuity!$A$17),
    Q4360&lt;&gt;"",
    Q4360&lt;&gt;0,
    OR(
      TRIM(C4360)=TRIM(Enginuity!$A$18),
      AND(UPPER(TRIM(M4360))="STD", TRIM(B4360)=TRIM(Enginuity!$A$17))
    ),
    OR(
      AND(LEFT(P4360,5)="1-Way", Enginuity!$B$13=1),
      AND(LEFT(P4360,5)="2-Way", OR(Enginuity!$B$13=2, Enginuity!$B$13=4)),
      AND(LEFT(P4360,5)="3-Way", OR(Enginuity!$B$13=3, Enginuity!$B$13=6)),
      AND(P4360="Inner Centre Jamb", OR(Enginuity!$B$13=4, Enginuity!$B$13=6)),
      AND(
        LEFT(P4360,5)&lt;&gt;"1-Way",
        LEFT(P4360,5)&lt;&gt;"2-Way",
        LEFT(P4360,5)&lt;&gt;"3-Way",
        P4360&lt;&gt;"Inner Centre Jamb"
      )
    ),
    IF(OR(Enginuity!$A$1="Frameless Glass",Enginuity!$A$1="Metal Work"),
      AND(TRIM(B4360)=TRIM(Enginuity!$A$17),TRIM(C4360)=TRIM(Enginuity!$A$18)),
      TRIM(B4360)=TRIM(Enginuity!$A$17)
    )
  ),
  ROW(),
  ""
)</f>
        <v/>
      </c>
    </row>
    <row r="4361" spans="21:21" x14ac:dyDescent="0.25">
      <c r="U4361" s="104" t="str">
        <f>IF(
  AND(
    TRIM(A4361)=TRIM(Enginuity!$A$1),
    TRIM(B4361)=TRIM(Enginuity!$A$17),
    Q4361&lt;&gt;"",
    Q4361&lt;&gt;0,
    OR(
      TRIM(C4361)=TRIM(Enginuity!$A$18),
      AND(UPPER(TRIM(M4361))="STD", TRIM(B4361)=TRIM(Enginuity!$A$17))
    ),
    OR(
      AND(LEFT(P4361,5)="1-Way", Enginuity!$B$13=1),
      AND(LEFT(P4361,5)="2-Way", OR(Enginuity!$B$13=2, Enginuity!$B$13=4)),
      AND(LEFT(P4361,5)="3-Way", OR(Enginuity!$B$13=3, Enginuity!$B$13=6)),
      AND(P4361="Inner Centre Jamb", OR(Enginuity!$B$13=4, Enginuity!$B$13=6)),
      AND(
        LEFT(P4361,5)&lt;&gt;"1-Way",
        LEFT(P4361,5)&lt;&gt;"2-Way",
        LEFT(P4361,5)&lt;&gt;"3-Way",
        P4361&lt;&gt;"Inner Centre Jamb"
      )
    ),
    IF(OR(Enginuity!$A$1="Frameless Glass",Enginuity!$A$1="Metal Work"),
      AND(TRIM(B4361)=TRIM(Enginuity!$A$17),TRIM(C4361)=TRIM(Enginuity!$A$18)),
      TRIM(B4361)=TRIM(Enginuity!$A$17)
    )
  ),
  ROW(),
  ""
)</f>
        <v/>
      </c>
    </row>
    <row r="4362" spans="21:21" x14ac:dyDescent="0.25">
      <c r="U4362" s="104" t="str">
        <f>IF(
  AND(
    TRIM(A4362)=TRIM(Enginuity!$A$1),
    TRIM(B4362)=TRIM(Enginuity!$A$17),
    Q4362&lt;&gt;"",
    Q4362&lt;&gt;0,
    OR(
      TRIM(C4362)=TRIM(Enginuity!$A$18),
      AND(UPPER(TRIM(M4362))="STD", TRIM(B4362)=TRIM(Enginuity!$A$17))
    ),
    OR(
      AND(LEFT(P4362,5)="1-Way", Enginuity!$B$13=1),
      AND(LEFT(P4362,5)="2-Way", OR(Enginuity!$B$13=2, Enginuity!$B$13=4)),
      AND(LEFT(P4362,5)="3-Way", OR(Enginuity!$B$13=3, Enginuity!$B$13=6)),
      AND(P4362="Inner Centre Jamb", OR(Enginuity!$B$13=4, Enginuity!$B$13=6)),
      AND(
        LEFT(P4362,5)&lt;&gt;"1-Way",
        LEFT(P4362,5)&lt;&gt;"2-Way",
        LEFT(P4362,5)&lt;&gt;"3-Way",
        P4362&lt;&gt;"Inner Centre Jamb"
      )
    ),
    IF(OR(Enginuity!$A$1="Frameless Glass",Enginuity!$A$1="Metal Work"),
      AND(TRIM(B4362)=TRIM(Enginuity!$A$17),TRIM(C4362)=TRIM(Enginuity!$A$18)),
      TRIM(B4362)=TRIM(Enginuity!$A$17)
    )
  ),
  ROW(),
  ""
)</f>
        <v/>
      </c>
    </row>
    <row r="4363" spans="21:21" x14ac:dyDescent="0.25">
      <c r="U4363" s="104" t="str">
        <f>IF(
  AND(
    TRIM(A4363)=TRIM(Enginuity!$A$1),
    TRIM(B4363)=TRIM(Enginuity!$A$17),
    Q4363&lt;&gt;"",
    Q4363&lt;&gt;0,
    OR(
      TRIM(C4363)=TRIM(Enginuity!$A$18),
      AND(UPPER(TRIM(M4363))="STD", TRIM(B4363)=TRIM(Enginuity!$A$17))
    ),
    OR(
      AND(LEFT(P4363,5)="1-Way", Enginuity!$B$13=1),
      AND(LEFT(P4363,5)="2-Way", OR(Enginuity!$B$13=2, Enginuity!$B$13=4)),
      AND(LEFT(P4363,5)="3-Way", OR(Enginuity!$B$13=3, Enginuity!$B$13=6)),
      AND(P4363="Inner Centre Jamb", OR(Enginuity!$B$13=4, Enginuity!$B$13=6)),
      AND(
        LEFT(P4363,5)&lt;&gt;"1-Way",
        LEFT(P4363,5)&lt;&gt;"2-Way",
        LEFT(P4363,5)&lt;&gt;"3-Way",
        P4363&lt;&gt;"Inner Centre Jamb"
      )
    ),
    IF(OR(Enginuity!$A$1="Frameless Glass",Enginuity!$A$1="Metal Work"),
      AND(TRIM(B4363)=TRIM(Enginuity!$A$17),TRIM(C4363)=TRIM(Enginuity!$A$18)),
      TRIM(B4363)=TRIM(Enginuity!$A$17)
    )
  ),
  ROW(),
  ""
)</f>
        <v/>
      </c>
    </row>
    <row r="4364" spans="21:21" x14ac:dyDescent="0.25">
      <c r="U4364" s="104" t="str">
        <f>IF(
  AND(
    TRIM(A4364)=TRIM(Enginuity!$A$1),
    TRIM(B4364)=TRIM(Enginuity!$A$17),
    Q4364&lt;&gt;"",
    Q4364&lt;&gt;0,
    OR(
      TRIM(C4364)=TRIM(Enginuity!$A$18),
      AND(UPPER(TRIM(M4364))="STD", TRIM(B4364)=TRIM(Enginuity!$A$17))
    ),
    OR(
      AND(LEFT(P4364,5)="1-Way", Enginuity!$B$13=1),
      AND(LEFT(P4364,5)="2-Way", OR(Enginuity!$B$13=2, Enginuity!$B$13=4)),
      AND(LEFT(P4364,5)="3-Way", OR(Enginuity!$B$13=3, Enginuity!$B$13=6)),
      AND(P4364="Inner Centre Jamb", OR(Enginuity!$B$13=4, Enginuity!$B$13=6)),
      AND(
        LEFT(P4364,5)&lt;&gt;"1-Way",
        LEFT(P4364,5)&lt;&gt;"2-Way",
        LEFT(P4364,5)&lt;&gt;"3-Way",
        P4364&lt;&gt;"Inner Centre Jamb"
      )
    ),
    IF(OR(Enginuity!$A$1="Frameless Glass",Enginuity!$A$1="Metal Work"),
      AND(TRIM(B4364)=TRIM(Enginuity!$A$17),TRIM(C4364)=TRIM(Enginuity!$A$18)),
      TRIM(B4364)=TRIM(Enginuity!$A$17)
    )
  ),
  ROW(),
  ""
)</f>
        <v/>
      </c>
    </row>
    <row r="4365" spans="21:21" x14ac:dyDescent="0.25">
      <c r="U4365" s="104" t="str">
        <f>IF(
  AND(
    TRIM(A4365)=TRIM(Enginuity!$A$1),
    TRIM(B4365)=TRIM(Enginuity!$A$17),
    Q4365&lt;&gt;"",
    Q4365&lt;&gt;0,
    OR(
      TRIM(C4365)=TRIM(Enginuity!$A$18),
      AND(UPPER(TRIM(M4365))="STD", TRIM(B4365)=TRIM(Enginuity!$A$17))
    ),
    OR(
      AND(LEFT(P4365,5)="1-Way", Enginuity!$B$13=1),
      AND(LEFT(P4365,5)="2-Way", OR(Enginuity!$B$13=2, Enginuity!$B$13=4)),
      AND(LEFT(P4365,5)="3-Way", OR(Enginuity!$B$13=3, Enginuity!$B$13=6)),
      AND(P4365="Inner Centre Jamb", OR(Enginuity!$B$13=4, Enginuity!$B$13=6)),
      AND(
        LEFT(P4365,5)&lt;&gt;"1-Way",
        LEFT(P4365,5)&lt;&gt;"2-Way",
        LEFT(P4365,5)&lt;&gt;"3-Way",
        P4365&lt;&gt;"Inner Centre Jamb"
      )
    ),
    IF(OR(Enginuity!$A$1="Frameless Glass",Enginuity!$A$1="Metal Work"),
      AND(TRIM(B4365)=TRIM(Enginuity!$A$17),TRIM(C4365)=TRIM(Enginuity!$A$18)),
      TRIM(B4365)=TRIM(Enginuity!$A$17)
    )
  ),
  ROW(),
  ""
)</f>
        <v/>
      </c>
    </row>
    <row r="4366" spans="21:21" x14ac:dyDescent="0.25">
      <c r="U4366" s="104" t="str">
        <f>IF(
  AND(
    TRIM(A4366)=TRIM(Enginuity!$A$1),
    TRIM(B4366)=TRIM(Enginuity!$A$17),
    Q4366&lt;&gt;"",
    Q4366&lt;&gt;0,
    OR(
      TRIM(C4366)=TRIM(Enginuity!$A$18),
      AND(UPPER(TRIM(M4366))="STD", TRIM(B4366)=TRIM(Enginuity!$A$17))
    ),
    OR(
      AND(LEFT(P4366,5)="1-Way", Enginuity!$B$13=1),
      AND(LEFT(P4366,5)="2-Way", OR(Enginuity!$B$13=2, Enginuity!$B$13=4)),
      AND(LEFT(P4366,5)="3-Way", OR(Enginuity!$B$13=3, Enginuity!$B$13=6)),
      AND(P4366="Inner Centre Jamb", OR(Enginuity!$B$13=4, Enginuity!$B$13=6)),
      AND(
        LEFT(P4366,5)&lt;&gt;"1-Way",
        LEFT(P4366,5)&lt;&gt;"2-Way",
        LEFT(P4366,5)&lt;&gt;"3-Way",
        P4366&lt;&gt;"Inner Centre Jamb"
      )
    ),
    IF(OR(Enginuity!$A$1="Frameless Glass",Enginuity!$A$1="Metal Work"),
      AND(TRIM(B4366)=TRIM(Enginuity!$A$17),TRIM(C4366)=TRIM(Enginuity!$A$18)),
      TRIM(B4366)=TRIM(Enginuity!$A$17)
    )
  ),
  ROW(),
  ""
)</f>
        <v/>
      </c>
    </row>
    <row r="4367" spans="21:21" x14ac:dyDescent="0.25">
      <c r="U4367" s="104" t="str">
        <f>IF(
  AND(
    TRIM(A4367)=TRIM(Enginuity!$A$1),
    TRIM(B4367)=TRIM(Enginuity!$A$17),
    Q4367&lt;&gt;"",
    Q4367&lt;&gt;0,
    OR(
      TRIM(C4367)=TRIM(Enginuity!$A$18),
      AND(UPPER(TRIM(M4367))="STD", TRIM(B4367)=TRIM(Enginuity!$A$17))
    ),
    OR(
      AND(LEFT(P4367,5)="1-Way", Enginuity!$B$13=1),
      AND(LEFT(P4367,5)="2-Way", OR(Enginuity!$B$13=2, Enginuity!$B$13=4)),
      AND(LEFT(P4367,5)="3-Way", OR(Enginuity!$B$13=3, Enginuity!$B$13=6)),
      AND(P4367="Inner Centre Jamb", OR(Enginuity!$B$13=4, Enginuity!$B$13=6)),
      AND(
        LEFT(P4367,5)&lt;&gt;"1-Way",
        LEFT(P4367,5)&lt;&gt;"2-Way",
        LEFT(P4367,5)&lt;&gt;"3-Way",
        P4367&lt;&gt;"Inner Centre Jamb"
      )
    ),
    IF(OR(Enginuity!$A$1="Frameless Glass",Enginuity!$A$1="Metal Work"),
      AND(TRIM(B4367)=TRIM(Enginuity!$A$17),TRIM(C4367)=TRIM(Enginuity!$A$18)),
      TRIM(B4367)=TRIM(Enginuity!$A$17)
    )
  ),
  ROW(),
  ""
)</f>
        <v/>
      </c>
    </row>
    <row r="4368" spans="21:21" x14ac:dyDescent="0.25">
      <c r="U4368" s="104" t="str">
        <f>IF(
  AND(
    TRIM(A4368)=TRIM(Enginuity!$A$1),
    TRIM(B4368)=TRIM(Enginuity!$A$17),
    Q4368&lt;&gt;"",
    Q4368&lt;&gt;0,
    OR(
      TRIM(C4368)=TRIM(Enginuity!$A$18),
      AND(UPPER(TRIM(M4368))="STD", TRIM(B4368)=TRIM(Enginuity!$A$17))
    ),
    OR(
      AND(LEFT(P4368,5)="1-Way", Enginuity!$B$13=1),
      AND(LEFT(P4368,5)="2-Way", OR(Enginuity!$B$13=2, Enginuity!$B$13=4)),
      AND(LEFT(P4368,5)="3-Way", OR(Enginuity!$B$13=3, Enginuity!$B$13=6)),
      AND(P4368="Inner Centre Jamb", OR(Enginuity!$B$13=4, Enginuity!$B$13=6)),
      AND(
        LEFT(P4368,5)&lt;&gt;"1-Way",
        LEFT(P4368,5)&lt;&gt;"2-Way",
        LEFT(P4368,5)&lt;&gt;"3-Way",
        P4368&lt;&gt;"Inner Centre Jamb"
      )
    ),
    IF(OR(Enginuity!$A$1="Frameless Glass",Enginuity!$A$1="Metal Work"),
      AND(TRIM(B4368)=TRIM(Enginuity!$A$17),TRIM(C4368)=TRIM(Enginuity!$A$18)),
      TRIM(B4368)=TRIM(Enginuity!$A$17)
    )
  ),
  ROW(),
  ""
)</f>
        <v/>
      </c>
    </row>
    <row r="4369" spans="21:21" x14ac:dyDescent="0.25">
      <c r="U4369" s="104" t="str">
        <f>IF(
  AND(
    TRIM(A4369)=TRIM(Enginuity!$A$1),
    TRIM(B4369)=TRIM(Enginuity!$A$17),
    Q4369&lt;&gt;"",
    Q4369&lt;&gt;0,
    OR(
      TRIM(C4369)=TRIM(Enginuity!$A$18),
      AND(UPPER(TRIM(M4369))="STD", TRIM(B4369)=TRIM(Enginuity!$A$17))
    ),
    OR(
      AND(LEFT(P4369,5)="1-Way", Enginuity!$B$13=1),
      AND(LEFT(P4369,5)="2-Way", OR(Enginuity!$B$13=2, Enginuity!$B$13=4)),
      AND(LEFT(P4369,5)="3-Way", OR(Enginuity!$B$13=3, Enginuity!$B$13=6)),
      AND(P4369="Inner Centre Jamb", OR(Enginuity!$B$13=4, Enginuity!$B$13=6)),
      AND(
        LEFT(P4369,5)&lt;&gt;"1-Way",
        LEFT(P4369,5)&lt;&gt;"2-Way",
        LEFT(P4369,5)&lt;&gt;"3-Way",
        P4369&lt;&gt;"Inner Centre Jamb"
      )
    ),
    IF(OR(Enginuity!$A$1="Frameless Glass",Enginuity!$A$1="Metal Work"),
      AND(TRIM(B4369)=TRIM(Enginuity!$A$17),TRIM(C4369)=TRIM(Enginuity!$A$18)),
      TRIM(B4369)=TRIM(Enginuity!$A$17)
    )
  ),
  ROW(),
  ""
)</f>
        <v/>
      </c>
    </row>
    <row r="4370" spans="21:21" x14ac:dyDescent="0.25">
      <c r="U4370" s="104" t="str">
        <f>IF(
  AND(
    TRIM(A4370)=TRIM(Enginuity!$A$1),
    TRIM(B4370)=TRIM(Enginuity!$A$17),
    Q4370&lt;&gt;"",
    Q4370&lt;&gt;0,
    OR(
      TRIM(C4370)=TRIM(Enginuity!$A$18),
      AND(UPPER(TRIM(M4370))="STD", TRIM(B4370)=TRIM(Enginuity!$A$17))
    ),
    OR(
      AND(LEFT(P4370,5)="1-Way", Enginuity!$B$13=1),
      AND(LEFT(P4370,5)="2-Way", OR(Enginuity!$B$13=2, Enginuity!$B$13=4)),
      AND(LEFT(P4370,5)="3-Way", OR(Enginuity!$B$13=3, Enginuity!$B$13=6)),
      AND(P4370="Inner Centre Jamb", OR(Enginuity!$B$13=4, Enginuity!$B$13=6)),
      AND(
        LEFT(P4370,5)&lt;&gt;"1-Way",
        LEFT(P4370,5)&lt;&gt;"2-Way",
        LEFT(P4370,5)&lt;&gt;"3-Way",
        P4370&lt;&gt;"Inner Centre Jamb"
      )
    ),
    IF(OR(Enginuity!$A$1="Frameless Glass",Enginuity!$A$1="Metal Work"),
      AND(TRIM(B4370)=TRIM(Enginuity!$A$17),TRIM(C4370)=TRIM(Enginuity!$A$18)),
      TRIM(B4370)=TRIM(Enginuity!$A$17)
    )
  ),
  ROW(),
  ""
)</f>
        <v/>
      </c>
    </row>
    <row r="4371" spans="21:21" x14ac:dyDescent="0.25">
      <c r="U4371" s="104" t="str">
        <f>IF(
  AND(
    TRIM(A4371)=TRIM(Enginuity!$A$1),
    TRIM(B4371)=TRIM(Enginuity!$A$17),
    Q4371&lt;&gt;"",
    Q4371&lt;&gt;0,
    OR(
      TRIM(C4371)=TRIM(Enginuity!$A$18),
      AND(UPPER(TRIM(M4371))="STD", TRIM(B4371)=TRIM(Enginuity!$A$17))
    ),
    OR(
      AND(LEFT(P4371,5)="1-Way", Enginuity!$B$13=1),
      AND(LEFT(P4371,5)="2-Way", OR(Enginuity!$B$13=2, Enginuity!$B$13=4)),
      AND(LEFT(P4371,5)="3-Way", OR(Enginuity!$B$13=3, Enginuity!$B$13=6)),
      AND(P4371="Inner Centre Jamb", OR(Enginuity!$B$13=4, Enginuity!$B$13=6)),
      AND(
        LEFT(P4371,5)&lt;&gt;"1-Way",
        LEFT(P4371,5)&lt;&gt;"2-Way",
        LEFT(P4371,5)&lt;&gt;"3-Way",
        P4371&lt;&gt;"Inner Centre Jamb"
      )
    ),
    IF(OR(Enginuity!$A$1="Frameless Glass",Enginuity!$A$1="Metal Work"),
      AND(TRIM(B4371)=TRIM(Enginuity!$A$17),TRIM(C4371)=TRIM(Enginuity!$A$18)),
      TRIM(B4371)=TRIM(Enginuity!$A$17)
    )
  ),
  ROW(),
  ""
)</f>
        <v/>
      </c>
    </row>
    <row r="4372" spans="21:21" x14ac:dyDescent="0.25">
      <c r="U4372" s="104" t="str">
        <f>IF(
  AND(
    TRIM(A4372)=TRIM(Enginuity!$A$1),
    TRIM(B4372)=TRIM(Enginuity!$A$17),
    Q4372&lt;&gt;"",
    Q4372&lt;&gt;0,
    OR(
      TRIM(C4372)=TRIM(Enginuity!$A$18),
      AND(UPPER(TRIM(M4372))="STD", TRIM(B4372)=TRIM(Enginuity!$A$17))
    ),
    OR(
      AND(LEFT(P4372,5)="1-Way", Enginuity!$B$13=1),
      AND(LEFT(P4372,5)="2-Way", OR(Enginuity!$B$13=2, Enginuity!$B$13=4)),
      AND(LEFT(P4372,5)="3-Way", OR(Enginuity!$B$13=3, Enginuity!$B$13=6)),
      AND(P4372="Inner Centre Jamb", OR(Enginuity!$B$13=4, Enginuity!$B$13=6)),
      AND(
        LEFT(P4372,5)&lt;&gt;"1-Way",
        LEFT(P4372,5)&lt;&gt;"2-Way",
        LEFT(P4372,5)&lt;&gt;"3-Way",
        P4372&lt;&gt;"Inner Centre Jamb"
      )
    ),
    IF(OR(Enginuity!$A$1="Frameless Glass",Enginuity!$A$1="Metal Work"),
      AND(TRIM(B4372)=TRIM(Enginuity!$A$17),TRIM(C4372)=TRIM(Enginuity!$A$18)),
      TRIM(B4372)=TRIM(Enginuity!$A$17)
    )
  ),
  ROW(),
  ""
)</f>
        <v/>
      </c>
    </row>
    <row r="4373" spans="21:21" x14ac:dyDescent="0.25">
      <c r="U4373" s="104" t="str">
        <f>IF(
  AND(
    TRIM(A4373)=TRIM(Enginuity!$A$1),
    TRIM(B4373)=TRIM(Enginuity!$A$17),
    Q4373&lt;&gt;"",
    Q4373&lt;&gt;0,
    OR(
      TRIM(C4373)=TRIM(Enginuity!$A$18),
      AND(UPPER(TRIM(M4373))="STD", TRIM(B4373)=TRIM(Enginuity!$A$17))
    ),
    OR(
      AND(LEFT(P4373,5)="1-Way", Enginuity!$B$13=1),
      AND(LEFT(P4373,5)="2-Way", OR(Enginuity!$B$13=2, Enginuity!$B$13=4)),
      AND(LEFT(P4373,5)="3-Way", OR(Enginuity!$B$13=3, Enginuity!$B$13=6)),
      AND(P4373="Inner Centre Jamb", OR(Enginuity!$B$13=4, Enginuity!$B$13=6)),
      AND(
        LEFT(P4373,5)&lt;&gt;"1-Way",
        LEFT(P4373,5)&lt;&gt;"2-Way",
        LEFT(P4373,5)&lt;&gt;"3-Way",
        P4373&lt;&gt;"Inner Centre Jamb"
      )
    ),
    IF(OR(Enginuity!$A$1="Frameless Glass",Enginuity!$A$1="Metal Work"),
      AND(TRIM(B4373)=TRIM(Enginuity!$A$17),TRIM(C4373)=TRIM(Enginuity!$A$18)),
      TRIM(B4373)=TRIM(Enginuity!$A$17)
    )
  ),
  ROW(),
  ""
)</f>
        <v/>
      </c>
    </row>
    <row r="4374" spans="21:21" x14ac:dyDescent="0.25">
      <c r="U4374" s="104" t="str">
        <f>IF(
  AND(
    TRIM(A4374)=TRIM(Enginuity!$A$1),
    TRIM(B4374)=TRIM(Enginuity!$A$17),
    Q4374&lt;&gt;"",
    Q4374&lt;&gt;0,
    OR(
      TRIM(C4374)=TRIM(Enginuity!$A$18),
      AND(UPPER(TRIM(M4374))="STD", TRIM(B4374)=TRIM(Enginuity!$A$17))
    ),
    OR(
      AND(LEFT(P4374,5)="1-Way", Enginuity!$B$13=1),
      AND(LEFT(P4374,5)="2-Way", OR(Enginuity!$B$13=2, Enginuity!$B$13=4)),
      AND(LEFT(P4374,5)="3-Way", OR(Enginuity!$B$13=3, Enginuity!$B$13=6)),
      AND(P4374="Inner Centre Jamb", OR(Enginuity!$B$13=4, Enginuity!$B$13=6)),
      AND(
        LEFT(P4374,5)&lt;&gt;"1-Way",
        LEFT(P4374,5)&lt;&gt;"2-Way",
        LEFT(P4374,5)&lt;&gt;"3-Way",
        P4374&lt;&gt;"Inner Centre Jamb"
      )
    ),
    IF(OR(Enginuity!$A$1="Frameless Glass",Enginuity!$A$1="Metal Work"),
      AND(TRIM(B4374)=TRIM(Enginuity!$A$17),TRIM(C4374)=TRIM(Enginuity!$A$18)),
      TRIM(B4374)=TRIM(Enginuity!$A$17)
    )
  ),
  ROW(),
  ""
)</f>
        <v/>
      </c>
    </row>
    <row r="4375" spans="21:21" x14ac:dyDescent="0.25">
      <c r="U4375" s="104" t="str">
        <f>IF(
  AND(
    TRIM(A4375)=TRIM(Enginuity!$A$1),
    TRIM(B4375)=TRIM(Enginuity!$A$17),
    Q4375&lt;&gt;"",
    Q4375&lt;&gt;0,
    OR(
      TRIM(C4375)=TRIM(Enginuity!$A$18),
      AND(UPPER(TRIM(M4375))="STD", TRIM(B4375)=TRIM(Enginuity!$A$17))
    ),
    OR(
      AND(LEFT(P4375,5)="1-Way", Enginuity!$B$13=1),
      AND(LEFT(P4375,5)="2-Way", OR(Enginuity!$B$13=2, Enginuity!$B$13=4)),
      AND(LEFT(P4375,5)="3-Way", OR(Enginuity!$B$13=3, Enginuity!$B$13=6)),
      AND(P4375="Inner Centre Jamb", OR(Enginuity!$B$13=4, Enginuity!$B$13=6)),
      AND(
        LEFT(P4375,5)&lt;&gt;"1-Way",
        LEFT(P4375,5)&lt;&gt;"2-Way",
        LEFT(P4375,5)&lt;&gt;"3-Way",
        P4375&lt;&gt;"Inner Centre Jamb"
      )
    ),
    IF(OR(Enginuity!$A$1="Frameless Glass",Enginuity!$A$1="Metal Work"),
      AND(TRIM(B4375)=TRIM(Enginuity!$A$17),TRIM(C4375)=TRIM(Enginuity!$A$18)),
      TRIM(B4375)=TRIM(Enginuity!$A$17)
    )
  ),
  ROW(),
  ""
)</f>
        <v/>
      </c>
    </row>
    <row r="4376" spans="21:21" x14ac:dyDescent="0.25">
      <c r="U4376" s="104" t="str">
        <f>IF(
  AND(
    TRIM(A4376)=TRIM(Enginuity!$A$1),
    TRIM(B4376)=TRIM(Enginuity!$A$17),
    Q4376&lt;&gt;"",
    Q4376&lt;&gt;0,
    OR(
      TRIM(C4376)=TRIM(Enginuity!$A$18),
      AND(UPPER(TRIM(M4376))="STD", TRIM(B4376)=TRIM(Enginuity!$A$17))
    ),
    OR(
      AND(LEFT(P4376,5)="1-Way", Enginuity!$B$13=1),
      AND(LEFT(P4376,5)="2-Way", OR(Enginuity!$B$13=2, Enginuity!$B$13=4)),
      AND(LEFT(P4376,5)="3-Way", OR(Enginuity!$B$13=3, Enginuity!$B$13=6)),
      AND(P4376="Inner Centre Jamb", OR(Enginuity!$B$13=4, Enginuity!$B$13=6)),
      AND(
        LEFT(P4376,5)&lt;&gt;"1-Way",
        LEFT(P4376,5)&lt;&gt;"2-Way",
        LEFT(P4376,5)&lt;&gt;"3-Way",
        P4376&lt;&gt;"Inner Centre Jamb"
      )
    ),
    IF(OR(Enginuity!$A$1="Frameless Glass",Enginuity!$A$1="Metal Work"),
      AND(TRIM(B4376)=TRIM(Enginuity!$A$17),TRIM(C4376)=TRIM(Enginuity!$A$18)),
      TRIM(B4376)=TRIM(Enginuity!$A$17)
    )
  ),
  ROW(),
  ""
)</f>
        <v/>
      </c>
    </row>
    <row r="4377" spans="21:21" x14ac:dyDescent="0.25">
      <c r="U4377" s="104" t="str">
        <f>IF(
  AND(
    TRIM(A4377)=TRIM(Enginuity!$A$1),
    TRIM(B4377)=TRIM(Enginuity!$A$17),
    Q4377&lt;&gt;"",
    Q4377&lt;&gt;0,
    OR(
      TRIM(C4377)=TRIM(Enginuity!$A$18),
      AND(UPPER(TRIM(M4377))="STD", TRIM(B4377)=TRIM(Enginuity!$A$17))
    ),
    OR(
      AND(LEFT(P4377,5)="1-Way", Enginuity!$B$13=1),
      AND(LEFT(P4377,5)="2-Way", OR(Enginuity!$B$13=2, Enginuity!$B$13=4)),
      AND(LEFT(P4377,5)="3-Way", OR(Enginuity!$B$13=3, Enginuity!$B$13=6)),
      AND(P4377="Inner Centre Jamb", OR(Enginuity!$B$13=4, Enginuity!$B$13=6)),
      AND(
        LEFT(P4377,5)&lt;&gt;"1-Way",
        LEFT(P4377,5)&lt;&gt;"2-Way",
        LEFT(P4377,5)&lt;&gt;"3-Way",
        P4377&lt;&gt;"Inner Centre Jamb"
      )
    ),
    IF(OR(Enginuity!$A$1="Frameless Glass",Enginuity!$A$1="Metal Work"),
      AND(TRIM(B4377)=TRIM(Enginuity!$A$17),TRIM(C4377)=TRIM(Enginuity!$A$18)),
      TRIM(B4377)=TRIM(Enginuity!$A$17)
    )
  ),
  ROW(),
  ""
)</f>
        <v/>
      </c>
    </row>
    <row r="4378" spans="21:21" x14ac:dyDescent="0.25">
      <c r="U4378" s="104" t="str">
        <f>IF(
  AND(
    TRIM(A4378)=TRIM(Enginuity!$A$1),
    TRIM(B4378)=TRIM(Enginuity!$A$17),
    Q4378&lt;&gt;"",
    Q4378&lt;&gt;0,
    OR(
      TRIM(C4378)=TRIM(Enginuity!$A$18),
      AND(UPPER(TRIM(M4378))="STD", TRIM(B4378)=TRIM(Enginuity!$A$17))
    ),
    OR(
      AND(LEFT(P4378,5)="1-Way", Enginuity!$B$13=1),
      AND(LEFT(P4378,5)="2-Way", OR(Enginuity!$B$13=2, Enginuity!$B$13=4)),
      AND(LEFT(P4378,5)="3-Way", OR(Enginuity!$B$13=3, Enginuity!$B$13=6)),
      AND(P4378="Inner Centre Jamb", OR(Enginuity!$B$13=4, Enginuity!$B$13=6)),
      AND(
        LEFT(P4378,5)&lt;&gt;"1-Way",
        LEFT(P4378,5)&lt;&gt;"2-Way",
        LEFT(P4378,5)&lt;&gt;"3-Way",
        P4378&lt;&gt;"Inner Centre Jamb"
      )
    ),
    IF(OR(Enginuity!$A$1="Frameless Glass",Enginuity!$A$1="Metal Work"),
      AND(TRIM(B4378)=TRIM(Enginuity!$A$17),TRIM(C4378)=TRIM(Enginuity!$A$18)),
      TRIM(B4378)=TRIM(Enginuity!$A$17)
    )
  ),
  ROW(),
  ""
)</f>
        <v/>
      </c>
    </row>
    <row r="4379" spans="21:21" x14ac:dyDescent="0.25">
      <c r="U4379" s="104" t="str">
        <f>IF(
  AND(
    TRIM(A4379)=TRIM(Enginuity!$A$1),
    TRIM(B4379)=TRIM(Enginuity!$A$17),
    Q4379&lt;&gt;"",
    Q4379&lt;&gt;0,
    OR(
      TRIM(C4379)=TRIM(Enginuity!$A$18),
      AND(UPPER(TRIM(M4379))="STD", TRIM(B4379)=TRIM(Enginuity!$A$17))
    ),
    OR(
      AND(LEFT(P4379,5)="1-Way", Enginuity!$B$13=1),
      AND(LEFT(P4379,5)="2-Way", OR(Enginuity!$B$13=2, Enginuity!$B$13=4)),
      AND(LEFT(P4379,5)="3-Way", OR(Enginuity!$B$13=3, Enginuity!$B$13=6)),
      AND(P4379="Inner Centre Jamb", OR(Enginuity!$B$13=4, Enginuity!$B$13=6)),
      AND(
        LEFT(P4379,5)&lt;&gt;"1-Way",
        LEFT(P4379,5)&lt;&gt;"2-Way",
        LEFT(P4379,5)&lt;&gt;"3-Way",
        P4379&lt;&gt;"Inner Centre Jamb"
      )
    ),
    IF(OR(Enginuity!$A$1="Frameless Glass",Enginuity!$A$1="Metal Work"),
      AND(TRIM(B4379)=TRIM(Enginuity!$A$17),TRIM(C4379)=TRIM(Enginuity!$A$18)),
      TRIM(B4379)=TRIM(Enginuity!$A$17)
    )
  ),
  ROW(),
  ""
)</f>
        <v/>
      </c>
    </row>
    <row r="4380" spans="21:21" x14ac:dyDescent="0.25">
      <c r="U4380" s="104" t="str">
        <f>IF(
  AND(
    TRIM(A4380)=TRIM(Enginuity!$A$1),
    TRIM(B4380)=TRIM(Enginuity!$A$17),
    Q4380&lt;&gt;"",
    Q4380&lt;&gt;0,
    OR(
      TRIM(C4380)=TRIM(Enginuity!$A$18),
      AND(UPPER(TRIM(M4380))="STD", TRIM(B4380)=TRIM(Enginuity!$A$17))
    ),
    OR(
      AND(LEFT(P4380,5)="1-Way", Enginuity!$B$13=1),
      AND(LEFT(P4380,5)="2-Way", OR(Enginuity!$B$13=2, Enginuity!$B$13=4)),
      AND(LEFT(P4380,5)="3-Way", OR(Enginuity!$B$13=3, Enginuity!$B$13=6)),
      AND(P4380="Inner Centre Jamb", OR(Enginuity!$B$13=4, Enginuity!$B$13=6)),
      AND(
        LEFT(P4380,5)&lt;&gt;"1-Way",
        LEFT(P4380,5)&lt;&gt;"2-Way",
        LEFT(P4380,5)&lt;&gt;"3-Way",
        P4380&lt;&gt;"Inner Centre Jamb"
      )
    ),
    IF(OR(Enginuity!$A$1="Frameless Glass",Enginuity!$A$1="Metal Work"),
      AND(TRIM(B4380)=TRIM(Enginuity!$A$17),TRIM(C4380)=TRIM(Enginuity!$A$18)),
      TRIM(B4380)=TRIM(Enginuity!$A$17)
    )
  ),
  ROW(),
  ""
)</f>
        <v/>
      </c>
    </row>
    <row r="4381" spans="21:21" x14ac:dyDescent="0.25">
      <c r="U4381" s="104" t="str">
        <f>IF(
  AND(
    TRIM(A4381)=TRIM(Enginuity!$A$1),
    TRIM(B4381)=TRIM(Enginuity!$A$17),
    Q4381&lt;&gt;"",
    Q4381&lt;&gt;0,
    OR(
      TRIM(C4381)=TRIM(Enginuity!$A$18),
      AND(UPPER(TRIM(M4381))="STD", TRIM(B4381)=TRIM(Enginuity!$A$17))
    ),
    OR(
      AND(LEFT(P4381,5)="1-Way", Enginuity!$B$13=1),
      AND(LEFT(P4381,5)="2-Way", OR(Enginuity!$B$13=2, Enginuity!$B$13=4)),
      AND(LEFT(P4381,5)="3-Way", OR(Enginuity!$B$13=3, Enginuity!$B$13=6)),
      AND(P4381="Inner Centre Jamb", OR(Enginuity!$B$13=4, Enginuity!$B$13=6)),
      AND(
        LEFT(P4381,5)&lt;&gt;"1-Way",
        LEFT(P4381,5)&lt;&gt;"2-Way",
        LEFT(P4381,5)&lt;&gt;"3-Way",
        P4381&lt;&gt;"Inner Centre Jamb"
      )
    ),
    IF(OR(Enginuity!$A$1="Frameless Glass",Enginuity!$A$1="Metal Work"),
      AND(TRIM(B4381)=TRIM(Enginuity!$A$17),TRIM(C4381)=TRIM(Enginuity!$A$18)),
      TRIM(B4381)=TRIM(Enginuity!$A$17)
    )
  ),
  ROW(),
  ""
)</f>
        <v/>
      </c>
    </row>
    <row r="4382" spans="21:21" x14ac:dyDescent="0.25">
      <c r="U4382" s="104" t="str">
        <f>IF(
  AND(
    TRIM(A4382)=TRIM(Enginuity!$A$1),
    TRIM(B4382)=TRIM(Enginuity!$A$17),
    Q4382&lt;&gt;"",
    Q4382&lt;&gt;0,
    OR(
      TRIM(C4382)=TRIM(Enginuity!$A$18),
      AND(UPPER(TRIM(M4382))="STD", TRIM(B4382)=TRIM(Enginuity!$A$17))
    ),
    OR(
      AND(LEFT(P4382,5)="1-Way", Enginuity!$B$13=1),
      AND(LEFT(P4382,5)="2-Way", OR(Enginuity!$B$13=2, Enginuity!$B$13=4)),
      AND(LEFT(P4382,5)="3-Way", OR(Enginuity!$B$13=3, Enginuity!$B$13=6)),
      AND(P4382="Inner Centre Jamb", OR(Enginuity!$B$13=4, Enginuity!$B$13=6)),
      AND(
        LEFT(P4382,5)&lt;&gt;"1-Way",
        LEFT(P4382,5)&lt;&gt;"2-Way",
        LEFT(P4382,5)&lt;&gt;"3-Way",
        P4382&lt;&gt;"Inner Centre Jamb"
      )
    ),
    IF(OR(Enginuity!$A$1="Frameless Glass",Enginuity!$A$1="Metal Work"),
      AND(TRIM(B4382)=TRIM(Enginuity!$A$17),TRIM(C4382)=TRIM(Enginuity!$A$18)),
      TRIM(B4382)=TRIM(Enginuity!$A$17)
    )
  ),
  ROW(),
  ""
)</f>
        <v/>
      </c>
    </row>
    <row r="4383" spans="21:21" x14ac:dyDescent="0.25">
      <c r="U4383" s="104" t="str">
        <f>IF(
  AND(
    TRIM(A4383)=TRIM(Enginuity!$A$1),
    TRIM(B4383)=TRIM(Enginuity!$A$17),
    Q4383&lt;&gt;"",
    Q4383&lt;&gt;0,
    OR(
      TRIM(C4383)=TRIM(Enginuity!$A$18),
      AND(UPPER(TRIM(M4383))="STD", TRIM(B4383)=TRIM(Enginuity!$A$17))
    ),
    OR(
      AND(LEFT(P4383,5)="1-Way", Enginuity!$B$13=1),
      AND(LEFT(P4383,5)="2-Way", OR(Enginuity!$B$13=2, Enginuity!$B$13=4)),
      AND(LEFT(P4383,5)="3-Way", OR(Enginuity!$B$13=3, Enginuity!$B$13=6)),
      AND(P4383="Inner Centre Jamb", OR(Enginuity!$B$13=4, Enginuity!$B$13=6)),
      AND(
        LEFT(P4383,5)&lt;&gt;"1-Way",
        LEFT(P4383,5)&lt;&gt;"2-Way",
        LEFT(P4383,5)&lt;&gt;"3-Way",
        P4383&lt;&gt;"Inner Centre Jamb"
      )
    ),
    IF(OR(Enginuity!$A$1="Frameless Glass",Enginuity!$A$1="Metal Work"),
      AND(TRIM(B4383)=TRIM(Enginuity!$A$17),TRIM(C4383)=TRIM(Enginuity!$A$18)),
      TRIM(B4383)=TRIM(Enginuity!$A$17)
    )
  ),
  ROW(),
  ""
)</f>
        <v/>
      </c>
    </row>
    <row r="4384" spans="21:21" x14ac:dyDescent="0.25">
      <c r="U4384" s="104" t="str">
        <f>IF(
  AND(
    TRIM(A4384)=TRIM(Enginuity!$A$1),
    TRIM(B4384)=TRIM(Enginuity!$A$17),
    Q4384&lt;&gt;"",
    Q4384&lt;&gt;0,
    OR(
      TRIM(C4384)=TRIM(Enginuity!$A$18),
      AND(UPPER(TRIM(M4384))="STD", TRIM(B4384)=TRIM(Enginuity!$A$17))
    ),
    OR(
      AND(LEFT(P4384,5)="1-Way", Enginuity!$B$13=1),
      AND(LEFT(P4384,5)="2-Way", OR(Enginuity!$B$13=2, Enginuity!$B$13=4)),
      AND(LEFT(P4384,5)="3-Way", OR(Enginuity!$B$13=3, Enginuity!$B$13=6)),
      AND(P4384="Inner Centre Jamb", OR(Enginuity!$B$13=4, Enginuity!$B$13=6)),
      AND(
        LEFT(P4384,5)&lt;&gt;"1-Way",
        LEFT(P4384,5)&lt;&gt;"2-Way",
        LEFT(P4384,5)&lt;&gt;"3-Way",
        P4384&lt;&gt;"Inner Centre Jamb"
      )
    ),
    IF(OR(Enginuity!$A$1="Frameless Glass",Enginuity!$A$1="Metal Work"),
      AND(TRIM(B4384)=TRIM(Enginuity!$A$17),TRIM(C4384)=TRIM(Enginuity!$A$18)),
      TRIM(B4384)=TRIM(Enginuity!$A$17)
    )
  ),
  ROW(),
  ""
)</f>
        <v/>
      </c>
    </row>
    <row r="4385" spans="21:21" x14ac:dyDescent="0.25">
      <c r="U4385" s="104" t="str">
        <f>IF(
  AND(
    TRIM(A4385)=TRIM(Enginuity!$A$1),
    TRIM(B4385)=TRIM(Enginuity!$A$17),
    Q4385&lt;&gt;"",
    Q4385&lt;&gt;0,
    OR(
      TRIM(C4385)=TRIM(Enginuity!$A$18),
      AND(UPPER(TRIM(M4385))="STD", TRIM(B4385)=TRIM(Enginuity!$A$17))
    ),
    OR(
      AND(LEFT(P4385,5)="1-Way", Enginuity!$B$13=1),
      AND(LEFT(P4385,5)="2-Way", OR(Enginuity!$B$13=2, Enginuity!$B$13=4)),
      AND(LEFT(P4385,5)="3-Way", OR(Enginuity!$B$13=3, Enginuity!$B$13=6)),
      AND(P4385="Inner Centre Jamb", OR(Enginuity!$B$13=4, Enginuity!$B$13=6)),
      AND(
        LEFT(P4385,5)&lt;&gt;"1-Way",
        LEFT(P4385,5)&lt;&gt;"2-Way",
        LEFT(P4385,5)&lt;&gt;"3-Way",
        P4385&lt;&gt;"Inner Centre Jamb"
      )
    ),
    IF(OR(Enginuity!$A$1="Frameless Glass",Enginuity!$A$1="Metal Work"),
      AND(TRIM(B4385)=TRIM(Enginuity!$A$17),TRIM(C4385)=TRIM(Enginuity!$A$18)),
      TRIM(B4385)=TRIM(Enginuity!$A$17)
    )
  ),
  ROW(),
  ""
)</f>
        <v/>
      </c>
    </row>
    <row r="4386" spans="21:21" x14ac:dyDescent="0.25">
      <c r="U4386" s="104" t="str">
        <f>IF(
  AND(
    TRIM(A4386)=TRIM(Enginuity!$A$1),
    TRIM(B4386)=TRIM(Enginuity!$A$17),
    Q4386&lt;&gt;"",
    Q4386&lt;&gt;0,
    OR(
      TRIM(C4386)=TRIM(Enginuity!$A$18),
      AND(UPPER(TRIM(M4386))="STD", TRIM(B4386)=TRIM(Enginuity!$A$17))
    ),
    OR(
      AND(LEFT(P4386,5)="1-Way", Enginuity!$B$13=1),
      AND(LEFT(P4386,5)="2-Way", OR(Enginuity!$B$13=2, Enginuity!$B$13=4)),
      AND(LEFT(P4386,5)="3-Way", OR(Enginuity!$B$13=3, Enginuity!$B$13=6)),
      AND(P4386="Inner Centre Jamb", OR(Enginuity!$B$13=4, Enginuity!$B$13=6)),
      AND(
        LEFT(P4386,5)&lt;&gt;"1-Way",
        LEFT(P4386,5)&lt;&gt;"2-Way",
        LEFT(P4386,5)&lt;&gt;"3-Way",
        P4386&lt;&gt;"Inner Centre Jamb"
      )
    ),
    IF(OR(Enginuity!$A$1="Frameless Glass",Enginuity!$A$1="Metal Work"),
      AND(TRIM(B4386)=TRIM(Enginuity!$A$17),TRIM(C4386)=TRIM(Enginuity!$A$18)),
      TRIM(B4386)=TRIM(Enginuity!$A$17)
    )
  ),
  ROW(),
  ""
)</f>
        <v/>
      </c>
    </row>
    <row r="4387" spans="21:21" x14ac:dyDescent="0.25">
      <c r="U4387" s="104" t="str">
        <f>IF(
  AND(
    TRIM(A4387)=TRIM(Enginuity!$A$1),
    TRIM(B4387)=TRIM(Enginuity!$A$17),
    Q4387&lt;&gt;"",
    Q4387&lt;&gt;0,
    OR(
      TRIM(C4387)=TRIM(Enginuity!$A$18),
      AND(UPPER(TRIM(M4387))="STD", TRIM(B4387)=TRIM(Enginuity!$A$17))
    ),
    OR(
      AND(LEFT(P4387,5)="1-Way", Enginuity!$B$13=1),
      AND(LEFT(P4387,5)="2-Way", OR(Enginuity!$B$13=2, Enginuity!$B$13=4)),
      AND(LEFT(P4387,5)="3-Way", OR(Enginuity!$B$13=3, Enginuity!$B$13=6)),
      AND(P4387="Inner Centre Jamb", OR(Enginuity!$B$13=4, Enginuity!$B$13=6)),
      AND(
        LEFT(P4387,5)&lt;&gt;"1-Way",
        LEFT(P4387,5)&lt;&gt;"2-Way",
        LEFT(P4387,5)&lt;&gt;"3-Way",
        P4387&lt;&gt;"Inner Centre Jamb"
      )
    ),
    IF(OR(Enginuity!$A$1="Frameless Glass",Enginuity!$A$1="Metal Work"),
      AND(TRIM(B4387)=TRIM(Enginuity!$A$17),TRIM(C4387)=TRIM(Enginuity!$A$18)),
      TRIM(B4387)=TRIM(Enginuity!$A$17)
    )
  ),
  ROW(),
  ""
)</f>
        <v/>
      </c>
    </row>
    <row r="4388" spans="21:21" x14ac:dyDescent="0.25">
      <c r="U4388" s="104" t="str">
        <f>IF(
  AND(
    TRIM(A4388)=TRIM(Enginuity!$A$1),
    TRIM(B4388)=TRIM(Enginuity!$A$17),
    Q4388&lt;&gt;"",
    Q4388&lt;&gt;0,
    OR(
      TRIM(C4388)=TRIM(Enginuity!$A$18),
      AND(UPPER(TRIM(M4388))="STD", TRIM(B4388)=TRIM(Enginuity!$A$17))
    ),
    OR(
      AND(LEFT(P4388,5)="1-Way", Enginuity!$B$13=1),
      AND(LEFT(P4388,5)="2-Way", OR(Enginuity!$B$13=2, Enginuity!$B$13=4)),
      AND(LEFT(P4388,5)="3-Way", OR(Enginuity!$B$13=3, Enginuity!$B$13=6)),
      AND(P4388="Inner Centre Jamb", OR(Enginuity!$B$13=4, Enginuity!$B$13=6)),
      AND(
        LEFT(P4388,5)&lt;&gt;"1-Way",
        LEFT(P4388,5)&lt;&gt;"2-Way",
        LEFT(P4388,5)&lt;&gt;"3-Way",
        P4388&lt;&gt;"Inner Centre Jamb"
      )
    ),
    IF(OR(Enginuity!$A$1="Frameless Glass",Enginuity!$A$1="Metal Work"),
      AND(TRIM(B4388)=TRIM(Enginuity!$A$17),TRIM(C4388)=TRIM(Enginuity!$A$18)),
      TRIM(B4388)=TRIM(Enginuity!$A$17)
    )
  ),
  ROW(),
  ""
)</f>
        <v/>
      </c>
    </row>
    <row r="4389" spans="21:21" x14ac:dyDescent="0.25">
      <c r="U4389" s="104" t="str">
        <f>IF(
  AND(
    TRIM(A4389)=TRIM(Enginuity!$A$1),
    TRIM(B4389)=TRIM(Enginuity!$A$17),
    Q4389&lt;&gt;"",
    Q4389&lt;&gt;0,
    OR(
      TRIM(C4389)=TRIM(Enginuity!$A$18),
      AND(UPPER(TRIM(M4389))="STD", TRIM(B4389)=TRIM(Enginuity!$A$17))
    ),
    OR(
      AND(LEFT(P4389,5)="1-Way", Enginuity!$B$13=1),
      AND(LEFT(P4389,5)="2-Way", OR(Enginuity!$B$13=2, Enginuity!$B$13=4)),
      AND(LEFT(P4389,5)="3-Way", OR(Enginuity!$B$13=3, Enginuity!$B$13=6)),
      AND(P4389="Inner Centre Jamb", OR(Enginuity!$B$13=4, Enginuity!$B$13=6)),
      AND(
        LEFT(P4389,5)&lt;&gt;"1-Way",
        LEFT(P4389,5)&lt;&gt;"2-Way",
        LEFT(P4389,5)&lt;&gt;"3-Way",
        P4389&lt;&gt;"Inner Centre Jamb"
      )
    ),
    IF(OR(Enginuity!$A$1="Frameless Glass",Enginuity!$A$1="Metal Work"),
      AND(TRIM(B4389)=TRIM(Enginuity!$A$17),TRIM(C4389)=TRIM(Enginuity!$A$18)),
      TRIM(B4389)=TRIM(Enginuity!$A$17)
    )
  ),
  ROW(),
  ""
)</f>
        <v/>
      </c>
    </row>
    <row r="4390" spans="21:21" x14ac:dyDescent="0.25">
      <c r="U4390" s="104" t="str">
        <f>IF(
  AND(
    TRIM(A4390)=TRIM(Enginuity!$A$1),
    TRIM(B4390)=TRIM(Enginuity!$A$17),
    Q4390&lt;&gt;"",
    Q4390&lt;&gt;0,
    OR(
      TRIM(C4390)=TRIM(Enginuity!$A$18),
      AND(UPPER(TRIM(M4390))="STD", TRIM(B4390)=TRIM(Enginuity!$A$17))
    ),
    OR(
      AND(LEFT(P4390,5)="1-Way", Enginuity!$B$13=1),
      AND(LEFT(P4390,5)="2-Way", OR(Enginuity!$B$13=2, Enginuity!$B$13=4)),
      AND(LEFT(P4390,5)="3-Way", OR(Enginuity!$B$13=3, Enginuity!$B$13=6)),
      AND(P4390="Inner Centre Jamb", OR(Enginuity!$B$13=4, Enginuity!$B$13=6)),
      AND(
        LEFT(P4390,5)&lt;&gt;"1-Way",
        LEFT(P4390,5)&lt;&gt;"2-Way",
        LEFT(P4390,5)&lt;&gt;"3-Way",
        P4390&lt;&gt;"Inner Centre Jamb"
      )
    ),
    IF(OR(Enginuity!$A$1="Frameless Glass",Enginuity!$A$1="Metal Work"),
      AND(TRIM(B4390)=TRIM(Enginuity!$A$17),TRIM(C4390)=TRIM(Enginuity!$A$18)),
      TRIM(B4390)=TRIM(Enginuity!$A$17)
    )
  ),
  ROW(),
  ""
)</f>
        <v/>
      </c>
    </row>
    <row r="4391" spans="21:21" x14ac:dyDescent="0.25">
      <c r="U4391" s="104" t="str">
        <f>IF(
  AND(
    TRIM(A4391)=TRIM(Enginuity!$A$1),
    TRIM(B4391)=TRIM(Enginuity!$A$17),
    Q4391&lt;&gt;"",
    Q4391&lt;&gt;0,
    OR(
      TRIM(C4391)=TRIM(Enginuity!$A$18),
      AND(UPPER(TRIM(M4391))="STD", TRIM(B4391)=TRIM(Enginuity!$A$17))
    ),
    OR(
      AND(LEFT(P4391,5)="1-Way", Enginuity!$B$13=1),
      AND(LEFT(P4391,5)="2-Way", OR(Enginuity!$B$13=2, Enginuity!$B$13=4)),
      AND(LEFT(P4391,5)="3-Way", OR(Enginuity!$B$13=3, Enginuity!$B$13=6)),
      AND(P4391="Inner Centre Jamb", OR(Enginuity!$B$13=4, Enginuity!$B$13=6)),
      AND(
        LEFT(P4391,5)&lt;&gt;"1-Way",
        LEFT(P4391,5)&lt;&gt;"2-Way",
        LEFT(P4391,5)&lt;&gt;"3-Way",
        P4391&lt;&gt;"Inner Centre Jamb"
      )
    ),
    IF(OR(Enginuity!$A$1="Frameless Glass",Enginuity!$A$1="Metal Work"),
      AND(TRIM(B4391)=TRIM(Enginuity!$A$17),TRIM(C4391)=TRIM(Enginuity!$A$18)),
      TRIM(B4391)=TRIM(Enginuity!$A$17)
    )
  ),
  ROW(),
  ""
)</f>
        <v/>
      </c>
    </row>
    <row r="4392" spans="21:21" x14ac:dyDescent="0.25">
      <c r="U4392" s="104" t="str">
        <f>IF(
  AND(
    TRIM(A4392)=TRIM(Enginuity!$A$1),
    TRIM(B4392)=TRIM(Enginuity!$A$17),
    Q4392&lt;&gt;"",
    Q4392&lt;&gt;0,
    OR(
      TRIM(C4392)=TRIM(Enginuity!$A$18),
      AND(UPPER(TRIM(M4392))="STD", TRIM(B4392)=TRIM(Enginuity!$A$17))
    ),
    OR(
      AND(LEFT(P4392,5)="1-Way", Enginuity!$B$13=1),
      AND(LEFT(P4392,5)="2-Way", OR(Enginuity!$B$13=2, Enginuity!$B$13=4)),
      AND(LEFT(P4392,5)="3-Way", OR(Enginuity!$B$13=3, Enginuity!$B$13=6)),
      AND(P4392="Inner Centre Jamb", OR(Enginuity!$B$13=4, Enginuity!$B$13=6)),
      AND(
        LEFT(P4392,5)&lt;&gt;"1-Way",
        LEFT(P4392,5)&lt;&gt;"2-Way",
        LEFT(P4392,5)&lt;&gt;"3-Way",
        P4392&lt;&gt;"Inner Centre Jamb"
      )
    ),
    IF(OR(Enginuity!$A$1="Frameless Glass",Enginuity!$A$1="Metal Work"),
      AND(TRIM(B4392)=TRIM(Enginuity!$A$17),TRIM(C4392)=TRIM(Enginuity!$A$18)),
      TRIM(B4392)=TRIM(Enginuity!$A$17)
    )
  ),
  ROW(),
  ""
)</f>
        <v/>
      </c>
    </row>
    <row r="4393" spans="21:21" x14ac:dyDescent="0.25">
      <c r="U4393" s="104" t="str">
        <f>IF(
  AND(
    TRIM(A4393)=TRIM(Enginuity!$A$1),
    TRIM(B4393)=TRIM(Enginuity!$A$17),
    Q4393&lt;&gt;"",
    Q4393&lt;&gt;0,
    OR(
      TRIM(C4393)=TRIM(Enginuity!$A$18),
      AND(UPPER(TRIM(M4393))="STD", TRIM(B4393)=TRIM(Enginuity!$A$17))
    ),
    OR(
      AND(LEFT(P4393,5)="1-Way", Enginuity!$B$13=1),
      AND(LEFT(P4393,5)="2-Way", OR(Enginuity!$B$13=2, Enginuity!$B$13=4)),
      AND(LEFT(P4393,5)="3-Way", OR(Enginuity!$B$13=3, Enginuity!$B$13=6)),
      AND(P4393="Inner Centre Jamb", OR(Enginuity!$B$13=4, Enginuity!$B$13=6)),
      AND(
        LEFT(P4393,5)&lt;&gt;"1-Way",
        LEFT(P4393,5)&lt;&gt;"2-Way",
        LEFT(P4393,5)&lt;&gt;"3-Way",
        P4393&lt;&gt;"Inner Centre Jamb"
      )
    ),
    IF(OR(Enginuity!$A$1="Frameless Glass",Enginuity!$A$1="Metal Work"),
      AND(TRIM(B4393)=TRIM(Enginuity!$A$17),TRIM(C4393)=TRIM(Enginuity!$A$18)),
      TRIM(B4393)=TRIM(Enginuity!$A$17)
    )
  ),
  ROW(),
  ""
)</f>
        <v/>
      </c>
    </row>
    <row r="4394" spans="21:21" x14ac:dyDescent="0.25">
      <c r="U4394" s="104" t="str">
        <f>IF(
  AND(
    TRIM(A4394)=TRIM(Enginuity!$A$1),
    TRIM(B4394)=TRIM(Enginuity!$A$17),
    Q4394&lt;&gt;"",
    Q4394&lt;&gt;0,
    OR(
      TRIM(C4394)=TRIM(Enginuity!$A$18),
      AND(UPPER(TRIM(M4394))="STD", TRIM(B4394)=TRIM(Enginuity!$A$17))
    ),
    OR(
      AND(LEFT(P4394,5)="1-Way", Enginuity!$B$13=1),
      AND(LEFT(P4394,5)="2-Way", OR(Enginuity!$B$13=2, Enginuity!$B$13=4)),
      AND(LEFT(P4394,5)="3-Way", OR(Enginuity!$B$13=3, Enginuity!$B$13=6)),
      AND(P4394="Inner Centre Jamb", OR(Enginuity!$B$13=4, Enginuity!$B$13=6)),
      AND(
        LEFT(P4394,5)&lt;&gt;"1-Way",
        LEFT(P4394,5)&lt;&gt;"2-Way",
        LEFT(P4394,5)&lt;&gt;"3-Way",
        P4394&lt;&gt;"Inner Centre Jamb"
      )
    ),
    IF(OR(Enginuity!$A$1="Frameless Glass",Enginuity!$A$1="Metal Work"),
      AND(TRIM(B4394)=TRIM(Enginuity!$A$17),TRIM(C4394)=TRIM(Enginuity!$A$18)),
      TRIM(B4394)=TRIM(Enginuity!$A$17)
    )
  ),
  ROW(),
  ""
)</f>
        <v/>
      </c>
    </row>
    <row r="4395" spans="21:21" x14ac:dyDescent="0.25">
      <c r="U4395" s="104" t="str">
        <f>IF(
  AND(
    TRIM(A4395)=TRIM(Enginuity!$A$1),
    TRIM(B4395)=TRIM(Enginuity!$A$17),
    Q4395&lt;&gt;"",
    Q4395&lt;&gt;0,
    OR(
      TRIM(C4395)=TRIM(Enginuity!$A$18),
      AND(UPPER(TRIM(M4395))="STD", TRIM(B4395)=TRIM(Enginuity!$A$17))
    ),
    OR(
      AND(LEFT(P4395,5)="1-Way", Enginuity!$B$13=1),
      AND(LEFT(P4395,5)="2-Way", OR(Enginuity!$B$13=2, Enginuity!$B$13=4)),
      AND(LEFT(P4395,5)="3-Way", OR(Enginuity!$B$13=3, Enginuity!$B$13=6)),
      AND(P4395="Inner Centre Jamb", OR(Enginuity!$B$13=4, Enginuity!$B$13=6)),
      AND(
        LEFT(P4395,5)&lt;&gt;"1-Way",
        LEFT(P4395,5)&lt;&gt;"2-Way",
        LEFT(P4395,5)&lt;&gt;"3-Way",
        P4395&lt;&gt;"Inner Centre Jamb"
      )
    ),
    IF(OR(Enginuity!$A$1="Frameless Glass",Enginuity!$A$1="Metal Work"),
      AND(TRIM(B4395)=TRIM(Enginuity!$A$17),TRIM(C4395)=TRIM(Enginuity!$A$18)),
      TRIM(B4395)=TRIM(Enginuity!$A$17)
    )
  ),
  ROW(),
  ""
)</f>
        <v/>
      </c>
    </row>
    <row r="4396" spans="21:21" x14ac:dyDescent="0.25">
      <c r="U4396" s="104" t="str">
        <f>IF(
  AND(
    TRIM(A4396)=TRIM(Enginuity!$A$1),
    TRIM(B4396)=TRIM(Enginuity!$A$17),
    Q4396&lt;&gt;"",
    Q4396&lt;&gt;0,
    OR(
      TRIM(C4396)=TRIM(Enginuity!$A$18),
      AND(UPPER(TRIM(M4396))="STD", TRIM(B4396)=TRIM(Enginuity!$A$17))
    ),
    OR(
      AND(LEFT(P4396,5)="1-Way", Enginuity!$B$13=1),
      AND(LEFT(P4396,5)="2-Way", OR(Enginuity!$B$13=2, Enginuity!$B$13=4)),
      AND(LEFT(P4396,5)="3-Way", OR(Enginuity!$B$13=3, Enginuity!$B$13=6)),
      AND(P4396="Inner Centre Jamb", OR(Enginuity!$B$13=4, Enginuity!$B$13=6)),
      AND(
        LEFT(P4396,5)&lt;&gt;"1-Way",
        LEFT(P4396,5)&lt;&gt;"2-Way",
        LEFT(P4396,5)&lt;&gt;"3-Way",
        P4396&lt;&gt;"Inner Centre Jamb"
      )
    ),
    IF(OR(Enginuity!$A$1="Frameless Glass",Enginuity!$A$1="Metal Work"),
      AND(TRIM(B4396)=TRIM(Enginuity!$A$17),TRIM(C4396)=TRIM(Enginuity!$A$18)),
      TRIM(B4396)=TRIM(Enginuity!$A$17)
    )
  ),
  ROW(),
  ""
)</f>
        <v/>
      </c>
    </row>
    <row r="4397" spans="21:21" x14ac:dyDescent="0.25">
      <c r="U4397" s="104" t="str">
        <f>IF(
  AND(
    TRIM(A4397)=TRIM(Enginuity!$A$1),
    TRIM(B4397)=TRIM(Enginuity!$A$17),
    Q4397&lt;&gt;"",
    Q4397&lt;&gt;0,
    OR(
      TRIM(C4397)=TRIM(Enginuity!$A$18),
      AND(UPPER(TRIM(M4397))="STD", TRIM(B4397)=TRIM(Enginuity!$A$17))
    ),
    OR(
      AND(LEFT(P4397,5)="1-Way", Enginuity!$B$13=1),
      AND(LEFT(P4397,5)="2-Way", OR(Enginuity!$B$13=2, Enginuity!$B$13=4)),
      AND(LEFT(P4397,5)="3-Way", OR(Enginuity!$B$13=3, Enginuity!$B$13=6)),
      AND(P4397="Inner Centre Jamb", OR(Enginuity!$B$13=4, Enginuity!$B$13=6)),
      AND(
        LEFT(P4397,5)&lt;&gt;"1-Way",
        LEFT(P4397,5)&lt;&gt;"2-Way",
        LEFT(P4397,5)&lt;&gt;"3-Way",
        P4397&lt;&gt;"Inner Centre Jamb"
      )
    ),
    IF(OR(Enginuity!$A$1="Frameless Glass",Enginuity!$A$1="Metal Work"),
      AND(TRIM(B4397)=TRIM(Enginuity!$A$17),TRIM(C4397)=TRIM(Enginuity!$A$18)),
      TRIM(B4397)=TRIM(Enginuity!$A$17)
    )
  ),
  ROW(),
  ""
)</f>
        <v/>
      </c>
    </row>
    <row r="4398" spans="21:21" x14ac:dyDescent="0.25">
      <c r="U4398" s="104" t="str">
        <f>IF(
  AND(
    TRIM(A4398)=TRIM(Enginuity!$A$1),
    TRIM(B4398)=TRIM(Enginuity!$A$17),
    Q4398&lt;&gt;"",
    Q4398&lt;&gt;0,
    OR(
      TRIM(C4398)=TRIM(Enginuity!$A$18),
      AND(UPPER(TRIM(M4398))="STD", TRIM(B4398)=TRIM(Enginuity!$A$17))
    ),
    OR(
      AND(LEFT(P4398,5)="1-Way", Enginuity!$B$13=1),
      AND(LEFT(P4398,5)="2-Way", OR(Enginuity!$B$13=2, Enginuity!$B$13=4)),
      AND(LEFT(P4398,5)="3-Way", OR(Enginuity!$B$13=3, Enginuity!$B$13=6)),
      AND(P4398="Inner Centre Jamb", OR(Enginuity!$B$13=4, Enginuity!$B$13=6)),
      AND(
        LEFT(P4398,5)&lt;&gt;"1-Way",
        LEFT(P4398,5)&lt;&gt;"2-Way",
        LEFT(P4398,5)&lt;&gt;"3-Way",
        P4398&lt;&gt;"Inner Centre Jamb"
      )
    ),
    IF(OR(Enginuity!$A$1="Frameless Glass",Enginuity!$A$1="Metal Work"),
      AND(TRIM(B4398)=TRIM(Enginuity!$A$17),TRIM(C4398)=TRIM(Enginuity!$A$18)),
      TRIM(B4398)=TRIM(Enginuity!$A$17)
    )
  ),
  ROW(),
  ""
)</f>
        <v/>
      </c>
    </row>
    <row r="4399" spans="21:21" x14ac:dyDescent="0.25">
      <c r="U4399" s="104" t="str">
        <f>IF(
  AND(
    TRIM(A4399)=TRIM(Enginuity!$A$1),
    TRIM(B4399)=TRIM(Enginuity!$A$17),
    Q4399&lt;&gt;"",
    Q4399&lt;&gt;0,
    OR(
      TRIM(C4399)=TRIM(Enginuity!$A$18),
      AND(UPPER(TRIM(M4399))="STD", TRIM(B4399)=TRIM(Enginuity!$A$17))
    ),
    OR(
      AND(LEFT(P4399,5)="1-Way", Enginuity!$B$13=1),
      AND(LEFT(P4399,5)="2-Way", OR(Enginuity!$B$13=2, Enginuity!$B$13=4)),
      AND(LEFT(P4399,5)="3-Way", OR(Enginuity!$B$13=3, Enginuity!$B$13=6)),
      AND(P4399="Inner Centre Jamb", OR(Enginuity!$B$13=4, Enginuity!$B$13=6)),
      AND(
        LEFT(P4399,5)&lt;&gt;"1-Way",
        LEFT(P4399,5)&lt;&gt;"2-Way",
        LEFT(P4399,5)&lt;&gt;"3-Way",
        P4399&lt;&gt;"Inner Centre Jamb"
      )
    ),
    IF(OR(Enginuity!$A$1="Frameless Glass",Enginuity!$A$1="Metal Work"),
      AND(TRIM(B4399)=TRIM(Enginuity!$A$17),TRIM(C4399)=TRIM(Enginuity!$A$18)),
      TRIM(B4399)=TRIM(Enginuity!$A$17)
    )
  ),
  ROW(),
  ""
)</f>
        <v/>
      </c>
    </row>
    <row r="4400" spans="21:21" x14ac:dyDescent="0.25">
      <c r="U4400" s="104" t="str">
        <f>IF(
  AND(
    TRIM(A4400)=TRIM(Enginuity!$A$1),
    TRIM(B4400)=TRIM(Enginuity!$A$17),
    Q4400&lt;&gt;"",
    Q4400&lt;&gt;0,
    OR(
      TRIM(C4400)=TRIM(Enginuity!$A$18),
      AND(UPPER(TRIM(M4400))="STD", TRIM(B4400)=TRIM(Enginuity!$A$17))
    ),
    OR(
      AND(LEFT(P4400,5)="1-Way", Enginuity!$B$13=1),
      AND(LEFT(P4400,5)="2-Way", OR(Enginuity!$B$13=2, Enginuity!$B$13=4)),
      AND(LEFT(P4400,5)="3-Way", OR(Enginuity!$B$13=3, Enginuity!$B$13=6)),
      AND(P4400="Inner Centre Jamb", OR(Enginuity!$B$13=4, Enginuity!$B$13=6)),
      AND(
        LEFT(P4400,5)&lt;&gt;"1-Way",
        LEFT(P4400,5)&lt;&gt;"2-Way",
        LEFT(P4400,5)&lt;&gt;"3-Way",
        P4400&lt;&gt;"Inner Centre Jamb"
      )
    ),
    IF(OR(Enginuity!$A$1="Frameless Glass",Enginuity!$A$1="Metal Work"),
      AND(TRIM(B4400)=TRIM(Enginuity!$A$17),TRIM(C4400)=TRIM(Enginuity!$A$18)),
      TRIM(B4400)=TRIM(Enginuity!$A$17)
    )
  ),
  ROW(),
  ""
)</f>
        <v/>
      </c>
    </row>
    <row r="4401" spans="21:21" x14ac:dyDescent="0.25">
      <c r="U4401" s="104" t="str">
        <f>IF(
  AND(
    TRIM(A4401)=TRIM(Enginuity!$A$1),
    TRIM(B4401)=TRIM(Enginuity!$A$17),
    Q4401&lt;&gt;"",
    Q4401&lt;&gt;0,
    OR(
      TRIM(C4401)=TRIM(Enginuity!$A$18),
      AND(UPPER(TRIM(M4401))="STD", TRIM(B4401)=TRIM(Enginuity!$A$17))
    ),
    OR(
      AND(LEFT(P4401,5)="1-Way", Enginuity!$B$13=1),
      AND(LEFT(P4401,5)="2-Way", OR(Enginuity!$B$13=2, Enginuity!$B$13=4)),
      AND(LEFT(P4401,5)="3-Way", OR(Enginuity!$B$13=3, Enginuity!$B$13=6)),
      AND(P4401="Inner Centre Jamb", OR(Enginuity!$B$13=4, Enginuity!$B$13=6)),
      AND(
        LEFT(P4401,5)&lt;&gt;"1-Way",
        LEFT(P4401,5)&lt;&gt;"2-Way",
        LEFT(P4401,5)&lt;&gt;"3-Way",
        P4401&lt;&gt;"Inner Centre Jamb"
      )
    ),
    IF(OR(Enginuity!$A$1="Frameless Glass",Enginuity!$A$1="Metal Work"),
      AND(TRIM(B4401)=TRIM(Enginuity!$A$17),TRIM(C4401)=TRIM(Enginuity!$A$18)),
      TRIM(B4401)=TRIM(Enginuity!$A$17)
    )
  ),
  ROW(),
  ""
)</f>
        <v/>
      </c>
    </row>
    <row r="4402" spans="21:21" x14ac:dyDescent="0.25">
      <c r="U4402" s="104" t="str">
        <f>IF(
  AND(
    TRIM(A4402)=TRIM(Enginuity!$A$1),
    TRIM(B4402)=TRIM(Enginuity!$A$17),
    Q4402&lt;&gt;"",
    Q4402&lt;&gt;0,
    OR(
      TRIM(C4402)=TRIM(Enginuity!$A$18),
      AND(UPPER(TRIM(M4402))="STD", TRIM(B4402)=TRIM(Enginuity!$A$17))
    ),
    OR(
      AND(LEFT(P4402,5)="1-Way", Enginuity!$B$13=1),
      AND(LEFT(P4402,5)="2-Way", OR(Enginuity!$B$13=2, Enginuity!$B$13=4)),
      AND(LEFT(P4402,5)="3-Way", OR(Enginuity!$B$13=3, Enginuity!$B$13=6)),
      AND(P4402="Inner Centre Jamb", OR(Enginuity!$B$13=4, Enginuity!$B$13=6)),
      AND(
        LEFT(P4402,5)&lt;&gt;"1-Way",
        LEFT(P4402,5)&lt;&gt;"2-Way",
        LEFT(P4402,5)&lt;&gt;"3-Way",
        P4402&lt;&gt;"Inner Centre Jamb"
      )
    ),
    IF(OR(Enginuity!$A$1="Frameless Glass",Enginuity!$A$1="Metal Work"),
      AND(TRIM(B4402)=TRIM(Enginuity!$A$17),TRIM(C4402)=TRIM(Enginuity!$A$18)),
      TRIM(B4402)=TRIM(Enginuity!$A$17)
    )
  ),
  ROW(),
  ""
)</f>
        <v/>
      </c>
    </row>
    <row r="4403" spans="21:21" x14ac:dyDescent="0.25">
      <c r="U4403" s="104" t="str">
        <f>IF(
  AND(
    TRIM(A4403)=TRIM(Enginuity!$A$1),
    TRIM(B4403)=TRIM(Enginuity!$A$17),
    Q4403&lt;&gt;"",
    Q4403&lt;&gt;0,
    OR(
      TRIM(C4403)=TRIM(Enginuity!$A$18),
      AND(UPPER(TRIM(M4403))="STD", TRIM(B4403)=TRIM(Enginuity!$A$17))
    ),
    OR(
      AND(LEFT(P4403,5)="1-Way", Enginuity!$B$13=1),
      AND(LEFT(P4403,5)="2-Way", OR(Enginuity!$B$13=2, Enginuity!$B$13=4)),
      AND(LEFT(P4403,5)="3-Way", OR(Enginuity!$B$13=3, Enginuity!$B$13=6)),
      AND(P4403="Inner Centre Jamb", OR(Enginuity!$B$13=4, Enginuity!$B$13=6)),
      AND(
        LEFT(P4403,5)&lt;&gt;"1-Way",
        LEFT(P4403,5)&lt;&gt;"2-Way",
        LEFT(P4403,5)&lt;&gt;"3-Way",
        P4403&lt;&gt;"Inner Centre Jamb"
      )
    ),
    IF(OR(Enginuity!$A$1="Frameless Glass",Enginuity!$A$1="Metal Work"),
      AND(TRIM(B4403)=TRIM(Enginuity!$A$17),TRIM(C4403)=TRIM(Enginuity!$A$18)),
      TRIM(B4403)=TRIM(Enginuity!$A$17)
    )
  ),
  ROW(),
  ""
)</f>
        <v/>
      </c>
    </row>
    <row r="4404" spans="21:21" x14ac:dyDescent="0.25">
      <c r="U4404" s="104" t="str">
        <f>IF(
  AND(
    TRIM(A4404)=TRIM(Enginuity!$A$1),
    TRIM(B4404)=TRIM(Enginuity!$A$17),
    Q4404&lt;&gt;"",
    Q4404&lt;&gt;0,
    OR(
      TRIM(C4404)=TRIM(Enginuity!$A$18),
      AND(UPPER(TRIM(M4404))="STD", TRIM(B4404)=TRIM(Enginuity!$A$17))
    ),
    OR(
      AND(LEFT(P4404,5)="1-Way", Enginuity!$B$13=1),
      AND(LEFT(P4404,5)="2-Way", OR(Enginuity!$B$13=2, Enginuity!$B$13=4)),
      AND(LEFT(P4404,5)="3-Way", OR(Enginuity!$B$13=3, Enginuity!$B$13=6)),
      AND(P4404="Inner Centre Jamb", OR(Enginuity!$B$13=4, Enginuity!$B$13=6)),
      AND(
        LEFT(P4404,5)&lt;&gt;"1-Way",
        LEFT(P4404,5)&lt;&gt;"2-Way",
        LEFT(P4404,5)&lt;&gt;"3-Way",
        P4404&lt;&gt;"Inner Centre Jamb"
      )
    ),
    IF(OR(Enginuity!$A$1="Frameless Glass",Enginuity!$A$1="Metal Work"),
      AND(TRIM(B4404)=TRIM(Enginuity!$A$17),TRIM(C4404)=TRIM(Enginuity!$A$18)),
      TRIM(B4404)=TRIM(Enginuity!$A$17)
    )
  ),
  ROW(),
  ""
)</f>
        <v/>
      </c>
    </row>
    <row r="4405" spans="21:21" x14ac:dyDescent="0.25">
      <c r="U4405" s="104" t="str">
        <f>IF(
  AND(
    TRIM(A4405)=TRIM(Enginuity!$A$1),
    TRIM(B4405)=TRIM(Enginuity!$A$17),
    Q4405&lt;&gt;"",
    Q4405&lt;&gt;0,
    OR(
      TRIM(C4405)=TRIM(Enginuity!$A$18),
      AND(UPPER(TRIM(M4405))="STD", TRIM(B4405)=TRIM(Enginuity!$A$17))
    ),
    OR(
      AND(LEFT(P4405,5)="1-Way", Enginuity!$B$13=1),
      AND(LEFT(P4405,5)="2-Way", OR(Enginuity!$B$13=2, Enginuity!$B$13=4)),
      AND(LEFT(P4405,5)="3-Way", OR(Enginuity!$B$13=3, Enginuity!$B$13=6)),
      AND(P4405="Inner Centre Jamb", OR(Enginuity!$B$13=4, Enginuity!$B$13=6)),
      AND(
        LEFT(P4405,5)&lt;&gt;"1-Way",
        LEFT(P4405,5)&lt;&gt;"2-Way",
        LEFT(P4405,5)&lt;&gt;"3-Way",
        P4405&lt;&gt;"Inner Centre Jamb"
      )
    ),
    IF(OR(Enginuity!$A$1="Frameless Glass",Enginuity!$A$1="Metal Work"),
      AND(TRIM(B4405)=TRIM(Enginuity!$A$17),TRIM(C4405)=TRIM(Enginuity!$A$18)),
      TRIM(B4405)=TRIM(Enginuity!$A$17)
    )
  ),
  ROW(),
  ""
)</f>
        <v/>
      </c>
    </row>
    <row r="4406" spans="21:21" x14ac:dyDescent="0.25">
      <c r="U4406" s="104" t="str">
        <f>IF(
  AND(
    TRIM(A4406)=TRIM(Enginuity!$A$1),
    TRIM(B4406)=TRIM(Enginuity!$A$17),
    Q4406&lt;&gt;"",
    Q4406&lt;&gt;0,
    OR(
      TRIM(C4406)=TRIM(Enginuity!$A$18),
      AND(UPPER(TRIM(M4406))="STD", TRIM(B4406)=TRIM(Enginuity!$A$17))
    ),
    OR(
      AND(LEFT(P4406,5)="1-Way", Enginuity!$B$13=1),
      AND(LEFT(P4406,5)="2-Way", OR(Enginuity!$B$13=2, Enginuity!$B$13=4)),
      AND(LEFT(P4406,5)="3-Way", OR(Enginuity!$B$13=3, Enginuity!$B$13=6)),
      AND(P4406="Inner Centre Jamb", OR(Enginuity!$B$13=4, Enginuity!$B$13=6)),
      AND(
        LEFT(P4406,5)&lt;&gt;"1-Way",
        LEFT(P4406,5)&lt;&gt;"2-Way",
        LEFT(P4406,5)&lt;&gt;"3-Way",
        P4406&lt;&gt;"Inner Centre Jamb"
      )
    ),
    IF(OR(Enginuity!$A$1="Frameless Glass",Enginuity!$A$1="Metal Work"),
      AND(TRIM(B4406)=TRIM(Enginuity!$A$17),TRIM(C4406)=TRIM(Enginuity!$A$18)),
      TRIM(B4406)=TRIM(Enginuity!$A$17)
    )
  ),
  ROW(),
  ""
)</f>
        <v/>
      </c>
    </row>
    <row r="4407" spans="21:21" x14ac:dyDescent="0.25">
      <c r="U4407" s="104" t="str">
        <f>IF(
  AND(
    TRIM(A4407)=TRIM(Enginuity!$A$1),
    TRIM(B4407)=TRIM(Enginuity!$A$17),
    Q4407&lt;&gt;"",
    Q4407&lt;&gt;0,
    OR(
      TRIM(C4407)=TRIM(Enginuity!$A$18),
      AND(UPPER(TRIM(M4407))="STD", TRIM(B4407)=TRIM(Enginuity!$A$17))
    ),
    OR(
      AND(LEFT(P4407,5)="1-Way", Enginuity!$B$13=1),
      AND(LEFT(P4407,5)="2-Way", OR(Enginuity!$B$13=2, Enginuity!$B$13=4)),
      AND(LEFT(P4407,5)="3-Way", OR(Enginuity!$B$13=3, Enginuity!$B$13=6)),
      AND(P4407="Inner Centre Jamb", OR(Enginuity!$B$13=4, Enginuity!$B$13=6)),
      AND(
        LEFT(P4407,5)&lt;&gt;"1-Way",
        LEFT(P4407,5)&lt;&gt;"2-Way",
        LEFT(P4407,5)&lt;&gt;"3-Way",
        P4407&lt;&gt;"Inner Centre Jamb"
      )
    ),
    IF(OR(Enginuity!$A$1="Frameless Glass",Enginuity!$A$1="Metal Work"),
      AND(TRIM(B4407)=TRIM(Enginuity!$A$17),TRIM(C4407)=TRIM(Enginuity!$A$18)),
      TRIM(B4407)=TRIM(Enginuity!$A$17)
    )
  ),
  ROW(),
  ""
)</f>
        <v/>
      </c>
    </row>
    <row r="4408" spans="21:21" x14ac:dyDescent="0.25">
      <c r="U4408" s="104" t="str">
        <f>IF(
  AND(
    TRIM(A4408)=TRIM(Enginuity!$A$1),
    TRIM(B4408)=TRIM(Enginuity!$A$17),
    Q4408&lt;&gt;"",
    Q4408&lt;&gt;0,
    OR(
      TRIM(C4408)=TRIM(Enginuity!$A$18),
      AND(UPPER(TRIM(M4408))="STD", TRIM(B4408)=TRIM(Enginuity!$A$17))
    ),
    OR(
      AND(LEFT(P4408,5)="1-Way", Enginuity!$B$13=1),
      AND(LEFT(P4408,5)="2-Way", OR(Enginuity!$B$13=2, Enginuity!$B$13=4)),
      AND(LEFT(P4408,5)="3-Way", OR(Enginuity!$B$13=3, Enginuity!$B$13=6)),
      AND(P4408="Inner Centre Jamb", OR(Enginuity!$B$13=4, Enginuity!$B$13=6)),
      AND(
        LEFT(P4408,5)&lt;&gt;"1-Way",
        LEFT(P4408,5)&lt;&gt;"2-Way",
        LEFT(P4408,5)&lt;&gt;"3-Way",
        P4408&lt;&gt;"Inner Centre Jamb"
      )
    ),
    IF(OR(Enginuity!$A$1="Frameless Glass",Enginuity!$A$1="Metal Work"),
      AND(TRIM(B4408)=TRIM(Enginuity!$A$17),TRIM(C4408)=TRIM(Enginuity!$A$18)),
      TRIM(B4408)=TRIM(Enginuity!$A$17)
    )
  ),
  ROW(),
  ""
)</f>
        <v/>
      </c>
    </row>
    <row r="4409" spans="21:21" x14ac:dyDescent="0.25">
      <c r="U4409" s="104" t="str">
        <f>IF(
  AND(
    TRIM(A4409)=TRIM(Enginuity!$A$1),
    TRIM(B4409)=TRIM(Enginuity!$A$17),
    Q4409&lt;&gt;"",
    Q4409&lt;&gt;0,
    OR(
      TRIM(C4409)=TRIM(Enginuity!$A$18),
      AND(UPPER(TRIM(M4409))="STD", TRIM(B4409)=TRIM(Enginuity!$A$17))
    ),
    OR(
      AND(LEFT(P4409,5)="1-Way", Enginuity!$B$13=1),
      AND(LEFT(P4409,5)="2-Way", OR(Enginuity!$B$13=2, Enginuity!$B$13=4)),
      AND(LEFT(P4409,5)="3-Way", OR(Enginuity!$B$13=3, Enginuity!$B$13=6)),
      AND(P4409="Inner Centre Jamb", OR(Enginuity!$B$13=4, Enginuity!$B$13=6)),
      AND(
        LEFT(P4409,5)&lt;&gt;"1-Way",
        LEFT(P4409,5)&lt;&gt;"2-Way",
        LEFT(P4409,5)&lt;&gt;"3-Way",
        P4409&lt;&gt;"Inner Centre Jamb"
      )
    ),
    IF(OR(Enginuity!$A$1="Frameless Glass",Enginuity!$A$1="Metal Work"),
      AND(TRIM(B4409)=TRIM(Enginuity!$A$17),TRIM(C4409)=TRIM(Enginuity!$A$18)),
      TRIM(B4409)=TRIM(Enginuity!$A$17)
    )
  ),
  ROW(),
  ""
)</f>
        <v/>
      </c>
    </row>
    <row r="4410" spans="21:21" x14ac:dyDescent="0.25">
      <c r="U4410" s="104" t="str">
        <f>IF(
  AND(
    TRIM(A4410)=TRIM(Enginuity!$A$1),
    TRIM(B4410)=TRIM(Enginuity!$A$17),
    Q4410&lt;&gt;"",
    Q4410&lt;&gt;0,
    OR(
      TRIM(C4410)=TRIM(Enginuity!$A$18),
      AND(UPPER(TRIM(M4410))="STD", TRIM(B4410)=TRIM(Enginuity!$A$17))
    ),
    OR(
      AND(LEFT(P4410,5)="1-Way", Enginuity!$B$13=1),
      AND(LEFT(P4410,5)="2-Way", OR(Enginuity!$B$13=2, Enginuity!$B$13=4)),
      AND(LEFT(P4410,5)="3-Way", OR(Enginuity!$B$13=3, Enginuity!$B$13=6)),
      AND(P4410="Inner Centre Jamb", OR(Enginuity!$B$13=4, Enginuity!$B$13=6)),
      AND(
        LEFT(P4410,5)&lt;&gt;"1-Way",
        LEFT(P4410,5)&lt;&gt;"2-Way",
        LEFT(P4410,5)&lt;&gt;"3-Way",
        P4410&lt;&gt;"Inner Centre Jamb"
      )
    ),
    IF(OR(Enginuity!$A$1="Frameless Glass",Enginuity!$A$1="Metal Work"),
      AND(TRIM(B4410)=TRIM(Enginuity!$A$17),TRIM(C4410)=TRIM(Enginuity!$A$18)),
      TRIM(B4410)=TRIM(Enginuity!$A$17)
    )
  ),
  ROW(),
  ""
)</f>
        <v/>
      </c>
    </row>
    <row r="4411" spans="21:21" x14ac:dyDescent="0.25">
      <c r="U4411" s="104" t="str">
        <f>IF(
  AND(
    TRIM(A4411)=TRIM(Enginuity!$A$1),
    TRIM(B4411)=TRIM(Enginuity!$A$17),
    Q4411&lt;&gt;"",
    Q4411&lt;&gt;0,
    OR(
      TRIM(C4411)=TRIM(Enginuity!$A$18),
      AND(UPPER(TRIM(M4411))="STD", TRIM(B4411)=TRIM(Enginuity!$A$17))
    ),
    OR(
      AND(LEFT(P4411,5)="1-Way", Enginuity!$B$13=1),
      AND(LEFT(P4411,5)="2-Way", OR(Enginuity!$B$13=2, Enginuity!$B$13=4)),
      AND(LEFT(P4411,5)="3-Way", OR(Enginuity!$B$13=3, Enginuity!$B$13=6)),
      AND(P4411="Inner Centre Jamb", OR(Enginuity!$B$13=4, Enginuity!$B$13=6)),
      AND(
        LEFT(P4411,5)&lt;&gt;"1-Way",
        LEFT(P4411,5)&lt;&gt;"2-Way",
        LEFT(P4411,5)&lt;&gt;"3-Way",
        P4411&lt;&gt;"Inner Centre Jamb"
      )
    ),
    IF(OR(Enginuity!$A$1="Frameless Glass",Enginuity!$A$1="Metal Work"),
      AND(TRIM(B4411)=TRIM(Enginuity!$A$17),TRIM(C4411)=TRIM(Enginuity!$A$18)),
      TRIM(B4411)=TRIM(Enginuity!$A$17)
    )
  ),
  ROW(),
  ""
)</f>
        <v/>
      </c>
    </row>
    <row r="4412" spans="21:21" x14ac:dyDescent="0.25">
      <c r="U4412" s="104" t="str">
        <f>IF(
  AND(
    TRIM(A4412)=TRIM(Enginuity!$A$1),
    TRIM(B4412)=TRIM(Enginuity!$A$17),
    Q4412&lt;&gt;"",
    Q4412&lt;&gt;0,
    OR(
      TRIM(C4412)=TRIM(Enginuity!$A$18),
      AND(UPPER(TRIM(M4412))="STD", TRIM(B4412)=TRIM(Enginuity!$A$17))
    ),
    OR(
      AND(LEFT(P4412,5)="1-Way", Enginuity!$B$13=1),
      AND(LEFT(P4412,5)="2-Way", OR(Enginuity!$B$13=2, Enginuity!$B$13=4)),
      AND(LEFT(P4412,5)="3-Way", OR(Enginuity!$B$13=3, Enginuity!$B$13=6)),
      AND(P4412="Inner Centre Jamb", OR(Enginuity!$B$13=4, Enginuity!$B$13=6)),
      AND(
        LEFT(P4412,5)&lt;&gt;"1-Way",
        LEFT(P4412,5)&lt;&gt;"2-Way",
        LEFT(P4412,5)&lt;&gt;"3-Way",
        P4412&lt;&gt;"Inner Centre Jamb"
      )
    ),
    IF(OR(Enginuity!$A$1="Frameless Glass",Enginuity!$A$1="Metal Work"),
      AND(TRIM(B4412)=TRIM(Enginuity!$A$17),TRIM(C4412)=TRIM(Enginuity!$A$18)),
      TRIM(B4412)=TRIM(Enginuity!$A$17)
    )
  ),
  ROW(),
  ""
)</f>
        <v/>
      </c>
    </row>
    <row r="4413" spans="21:21" x14ac:dyDescent="0.25">
      <c r="U4413" s="104" t="str">
        <f>IF(
  AND(
    TRIM(A4413)=TRIM(Enginuity!$A$1),
    TRIM(B4413)=TRIM(Enginuity!$A$17),
    Q4413&lt;&gt;"",
    Q4413&lt;&gt;0,
    OR(
      TRIM(C4413)=TRIM(Enginuity!$A$18),
      AND(UPPER(TRIM(M4413))="STD", TRIM(B4413)=TRIM(Enginuity!$A$17))
    ),
    OR(
      AND(LEFT(P4413,5)="1-Way", Enginuity!$B$13=1),
      AND(LEFT(P4413,5)="2-Way", OR(Enginuity!$B$13=2, Enginuity!$B$13=4)),
      AND(LEFT(P4413,5)="3-Way", OR(Enginuity!$B$13=3, Enginuity!$B$13=6)),
      AND(P4413="Inner Centre Jamb", OR(Enginuity!$B$13=4, Enginuity!$B$13=6)),
      AND(
        LEFT(P4413,5)&lt;&gt;"1-Way",
        LEFT(P4413,5)&lt;&gt;"2-Way",
        LEFT(P4413,5)&lt;&gt;"3-Way",
        P4413&lt;&gt;"Inner Centre Jamb"
      )
    ),
    IF(OR(Enginuity!$A$1="Frameless Glass",Enginuity!$A$1="Metal Work"),
      AND(TRIM(B4413)=TRIM(Enginuity!$A$17),TRIM(C4413)=TRIM(Enginuity!$A$18)),
      TRIM(B4413)=TRIM(Enginuity!$A$17)
    )
  ),
  ROW(),
  ""
)</f>
        <v/>
      </c>
    </row>
    <row r="4414" spans="21:21" x14ac:dyDescent="0.25">
      <c r="U4414" s="104" t="str">
        <f>IF(
  AND(
    TRIM(A4414)=TRIM(Enginuity!$A$1),
    TRIM(B4414)=TRIM(Enginuity!$A$17),
    Q4414&lt;&gt;"",
    Q4414&lt;&gt;0,
    OR(
      TRIM(C4414)=TRIM(Enginuity!$A$18),
      AND(UPPER(TRIM(M4414))="STD", TRIM(B4414)=TRIM(Enginuity!$A$17))
    ),
    OR(
      AND(LEFT(P4414,5)="1-Way", Enginuity!$B$13=1),
      AND(LEFT(P4414,5)="2-Way", OR(Enginuity!$B$13=2, Enginuity!$B$13=4)),
      AND(LEFT(P4414,5)="3-Way", OR(Enginuity!$B$13=3, Enginuity!$B$13=6)),
      AND(P4414="Inner Centre Jamb", OR(Enginuity!$B$13=4, Enginuity!$B$13=6)),
      AND(
        LEFT(P4414,5)&lt;&gt;"1-Way",
        LEFT(P4414,5)&lt;&gt;"2-Way",
        LEFT(P4414,5)&lt;&gt;"3-Way",
        P4414&lt;&gt;"Inner Centre Jamb"
      )
    ),
    IF(OR(Enginuity!$A$1="Frameless Glass",Enginuity!$A$1="Metal Work"),
      AND(TRIM(B4414)=TRIM(Enginuity!$A$17),TRIM(C4414)=TRIM(Enginuity!$A$18)),
      TRIM(B4414)=TRIM(Enginuity!$A$17)
    )
  ),
  ROW(),
  ""
)</f>
        <v/>
      </c>
    </row>
    <row r="4415" spans="21:21" x14ac:dyDescent="0.25">
      <c r="U4415" s="104" t="str">
        <f>IF(
  AND(
    TRIM(A4415)=TRIM(Enginuity!$A$1),
    TRIM(B4415)=TRIM(Enginuity!$A$17),
    Q4415&lt;&gt;"",
    Q4415&lt;&gt;0,
    OR(
      TRIM(C4415)=TRIM(Enginuity!$A$18),
      AND(UPPER(TRIM(M4415))="STD", TRIM(B4415)=TRIM(Enginuity!$A$17))
    ),
    OR(
      AND(LEFT(P4415,5)="1-Way", Enginuity!$B$13=1),
      AND(LEFT(P4415,5)="2-Way", OR(Enginuity!$B$13=2, Enginuity!$B$13=4)),
      AND(LEFT(P4415,5)="3-Way", OR(Enginuity!$B$13=3, Enginuity!$B$13=6)),
      AND(P4415="Inner Centre Jamb", OR(Enginuity!$B$13=4, Enginuity!$B$13=6)),
      AND(
        LEFT(P4415,5)&lt;&gt;"1-Way",
        LEFT(P4415,5)&lt;&gt;"2-Way",
        LEFT(P4415,5)&lt;&gt;"3-Way",
        P4415&lt;&gt;"Inner Centre Jamb"
      )
    ),
    IF(OR(Enginuity!$A$1="Frameless Glass",Enginuity!$A$1="Metal Work"),
      AND(TRIM(B4415)=TRIM(Enginuity!$A$17),TRIM(C4415)=TRIM(Enginuity!$A$18)),
      TRIM(B4415)=TRIM(Enginuity!$A$17)
    )
  ),
  ROW(),
  ""
)</f>
        <v/>
      </c>
    </row>
    <row r="4416" spans="21:21" x14ac:dyDescent="0.25">
      <c r="U4416" s="104" t="str">
        <f>IF(
  AND(
    TRIM(A4416)=TRIM(Enginuity!$A$1),
    TRIM(B4416)=TRIM(Enginuity!$A$17),
    Q4416&lt;&gt;"",
    Q4416&lt;&gt;0,
    OR(
      TRIM(C4416)=TRIM(Enginuity!$A$18),
      AND(UPPER(TRIM(M4416))="STD", TRIM(B4416)=TRIM(Enginuity!$A$17))
    ),
    OR(
      AND(LEFT(P4416,5)="1-Way", Enginuity!$B$13=1),
      AND(LEFT(P4416,5)="2-Way", OR(Enginuity!$B$13=2, Enginuity!$B$13=4)),
      AND(LEFT(P4416,5)="3-Way", OR(Enginuity!$B$13=3, Enginuity!$B$13=6)),
      AND(P4416="Inner Centre Jamb", OR(Enginuity!$B$13=4, Enginuity!$B$13=6)),
      AND(
        LEFT(P4416,5)&lt;&gt;"1-Way",
        LEFT(P4416,5)&lt;&gt;"2-Way",
        LEFT(P4416,5)&lt;&gt;"3-Way",
        P4416&lt;&gt;"Inner Centre Jamb"
      )
    ),
    IF(OR(Enginuity!$A$1="Frameless Glass",Enginuity!$A$1="Metal Work"),
      AND(TRIM(B4416)=TRIM(Enginuity!$A$17),TRIM(C4416)=TRIM(Enginuity!$A$18)),
      TRIM(B4416)=TRIM(Enginuity!$A$17)
    )
  ),
  ROW(),
  ""
)</f>
        <v/>
      </c>
    </row>
    <row r="4417" spans="21:21" x14ac:dyDescent="0.25">
      <c r="U4417" s="104" t="str">
        <f>IF(
  AND(
    TRIM(A4417)=TRIM(Enginuity!$A$1),
    TRIM(B4417)=TRIM(Enginuity!$A$17),
    Q4417&lt;&gt;"",
    Q4417&lt;&gt;0,
    OR(
      TRIM(C4417)=TRIM(Enginuity!$A$18),
      AND(UPPER(TRIM(M4417))="STD", TRIM(B4417)=TRIM(Enginuity!$A$17))
    ),
    OR(
      AND(LEFT(P4417,5)="1-Way", Enginuity!$B$13=1),
      AND(LEFT(P4417,5)="2-Way", OR(Enginuity!$B$13=2, Enginuity!$B$13=4)),
      AND(LEFT(P4417,5)="3-Way", OR(Enginuity!$B$13=3, Enginuity!$B$13=6)),
      AND(P4417="Inner Centre Jamb", OR(Enginuity!$B$13=4, Enginuity!$B$13=6)),
      AND(
        LEFT(P4417,5)&lt;&gt;"1-Way",
        LEFT(P4417,5)&lt;&gt;"2-Way",
        LEFT(P4417,5)&lt;&gt;"3-Way",
        P4417&lt;&gt;"Inner Centre Jamb"
      )
    ),
    IF(OR(Enginuity!$A$1="Frameless Glass",Enginuity!$A$1="Metal Work"),
      AND(TRIM(B4417)=TRIM(Enginuity!$A$17),TRIM(C4417)=TRIM(Enginuity!$A$18)),
      TRIM(B4417)=TRIM(Enginuity!$A$17)
    )
  ),
  ROW(),
  ""
)</f>
        <v/>
      </c>
    </row>
    <row r="4418" spans="21:21" x14ac:dyDescent="0.25">
      <c r="U4418" s="104" t="str">
        <f>IF(
  AND(
    TRIM(A4418)=TRIM(Enginuity!$A$1),
    TRIM(B4418)=TRIM(Enginuity!$A$17),
    Q4418&lt;&gt;"",
    Q4418&lt;&gt;0,
    OR(
      TRIM(C4418)=TRIM(Enginuity!$A$18),
      AND(UPPER(TRIM(M4418))="STD", TRIM(B4418)=TRIM(Enginuity!$A$17))
    ),
    OR(
      AND(LEFT(P4418,5)="1-Way", Enginuity!$B$13=1),
      AND(LEFT(P4418,5)="2-Way", OR(Enginuity!$B$13=2, Enginuity!$B$13=4)),
      AND(LEFT(P4418,5)="3-Way", OR(Enginuity!$B$13=3, Enginuity!$B$13=6)),
      AND(P4418="Inner Centre Jamb", OR(Enginuity!$B$13=4, Enginuity!$B$13=6)),
      AND(
        LEFT(P4418,5)&lt;&gt;"1-Way",
        LEFT(P4418,5)&lt;&gt;"2-Way",
        LEFT(P4418,5)&lt;&gt;"3-Way",
        P4418&lt;&gt;"Inner Centre Jamb"
      )
    ),
    IF(OR(Enginuity!$A$1="Frameless Glass",Enginuity!$A$1="Metal Work"),
      AND(TRIM(B4418)=TRIM(Enginuity!$A$17),TRIM(C4418)=TRIM(Enginuity!$A$18)),
      TRIM(B4418)=TRIM(Enginuity!$A$17)
    )
  ),
  ROW(),
  ""
)</f>
        <v/>
      </c>
    </row>
    <row r="4419" spans="21:21" x14ac:dyDescent="0.25">
      <c r="U4419" s="104" t="str">
        <f>IF(
  AND(
    TRIM(A4419)=TRIM(Enginuity!$A$1),
    TRIM(B4419)=TRIM(Enginuity!$A$17),
    Q4419&lt;&gt;"",
    Q4419&lt;&gt;0,
    OR(
      TRIM(C4419)=TRIM(Enginuity!$A$18),
      AND(UPPER(TRIM(M4419))="STD", TRIM(B4419)=TRIM(Enginuity!$A$17))
    ),
    OR(
      AND(LEFT(P4419,5)="1-Way", Enginuity!$B$13=1),
      AND(LEFT(P4419,5)="2-Way", OR(Enginuity!$B$13=2, Enginuity!$B$13=4)),
      AND(LEFT(P4419,5)="3-Way", OR(Enginuity!$B$13=3, Enginuity!$B$13=6)),
      AND(P4419="Inner Centre Jamb", OR(Enginuity!$B$13=4, Enginuity!$B$13=6)),
      AND(
        LEFT(P4419,5)&lt;&gt;"1-Way",
        LEFT(P4419,5)&lt;&gt;"2-Way",
        LEFT(P4419,5)&lt;&gt;"3-Way",
        P4419&lt;&gt;"Inner Centre Jamb"
      )
    ),
    IF(OR(Enginuity!$A$1="Frameless Glass",Enginuity!$A$1="Metal Work"),
      AND(TRIM(B4419)=TRIM(Enginuity!$A$17),TRIM(C4419)=TRIM(Enginuity!$A$18)),
      TRIM(B4419)=TRIM(Enginuity!$A$17)
    )
  ),
  ROW(),
  ""
)</f>
        <v/>
      </c>
    </row>
    <row r="4420" spans="21:21" x14ac:dyDescent="0.25">
      <c r="U4420" s="104" t="str">
        <f>IF(
  AND(
    TRIM(A4420)=TRIM(Enginuity!$A$1),
    TRIM(B4420)=TRIM(Enginuity!$A$17),
    Q4420&lt;&gt;"",
    Q4420&lt;&gt;0,
    OR(
      TRIM(C4420)=TRIM(Enginuity!$A$18),
      AND(UPPER(TRIM(M4420))="STD", TRIM(B4420)=TRIM(Enginuity!$A$17))
    ),
    OR(
      AND(LEFT(P4420,5)="1-Way", Enginuity!$B$13=1),
      AND(LEFT(P4420,5)="2-Way", OR(Enginuity!$B$13=2, Enginuity!$B$13=4)),
      AND(LEFT(P4420,5)="3-Way", OR(Enginuity!$B$13=3, Enginuity!$B$13=6)),
      AND(P4420="Inner Centre Jamb", OR(Enginuity!$B$13=4, Enginuity!$B$13=6)),
      AND(
        LEFT(P4420,5)&lt;&gt;"1-Way",
        LEFT(P4420,5)&lt;&gt;"2-Way",
        LEFT(P4420,5)&lt;&gt;"3-Way",
        P4420&lt;&gt;"Inner Centre Jamb"
      )
    ),
    IF(OR(Enginuity!$A$1="Frameless Glass",Enginuity!$A$1="Metal Work"),
      AND(TRIM(B4420)=TRIM(Enginuity!$A$17),TRIM(C4420)=TRIM(Enginuity!$A$18)),
      TRIM(B4420)=TRIM(Enginuity!$A$17)
    )
  ),
  ROW(),
  ""
)</f>
        <v/>
      </c>
    </row>
    <row r="4421" spans="21:21" x14ac:dyDescent="0.25">
      <c r="U4421" s="104" t="str">
        <f>IF(
  AND(
    TRIM(A4421)=TRIM(Enginuity!$A$1),
    TRIM(B4421)=TRIM(Enginuity!$A$17),
    Q4421&lt;&gt;"",
    Q4421&lt;&gt;0,
    OR(
      TRIM(C4421)=TRIM(Enginuity!$A$18),
      AND(UPPER(TRIM(M4421))="STD", TRIM(B4421)=TRIM(Enginuity!$A$17))
    ),
    OR(
      AND(LEFT(P4421,5)="1-Way", Enginuity!$B$13=1),
      AND(LEFT(P4421,5)="2-Way", OR(Enginuity!$B$13=2, Enginuity!$B$13=4)),
      AND(LEFT(P4421,5)="3-Way", OR(Enginuity!$B$13=3, Enginuity!$B$13=6)),
      AND(P4421="Inner Centre Jamb", OR(Enginuity!$B$13=4, Enginuity!$B$13=6)),
      AND(
        LEFT(P4421,5)&lt;&gt;"1-Way",
        LEFT(P4421,5)&lt;&gt;"2-Way",
        LEFT(P4421,5)&lt;&gt;"3-Way",
        P4421&lt;&gt;"Inner Centre Jamb"
      )
    ),
    IF(OR(Enginuity!$A$1="Frameless Glass",Enginuity!$A$1="Metal Work"),
      AND(TRIM(B4421)=TRIM(Enginuity!$A$17),TRIM(C4421)=TRIM(Enginuity!$A$18)),
      TRIM(B4421)=TRIM(Enginuity!$A$17)
    )
  ),
  ROW(),
  ""
)</f>
        <v/>
      </c>
    </row>
    <row r="4422" spans="21:21" x14ac:dyDescent="0.25">
      <c r="U4422" s="104" t="str">
        <f>IF(
  AND(
    TRIM(A4422)=TRIM(Enginuity!$A$1),
    TRIM(B4422)=TRIM(Enginuity!$A$17),
    Q4422&lt;&gt;"",
    Q4422&lt;&gt;0,
    OR(
      TRIM(C4422)=TRIM(Enginuity!$A$18),
      AND(UPPER(TRIM(M4422))="STD", TRIM(B4422)=TRIM(Enginuity!$A$17))
    ),
    OR(
      AND(LEFT(P4422,5)="1-Way", Enginuity!$B$13=1),
      AND(LEFT(P4422,5)="2-Way", OR(Enginuity!$B$13=2, Enginuity!$B$13=4)),
      AND(LEFT(P4422,5)="3-Way", OR(Enginuity!$B$13=3, Enginuity!$B$13=6)),
      AND(P4422="Inner Centre Jamb", OR(Enginuity!$B$13=4, Enginuity!$B$13=6)),
      AND(
        LEFT(P4422,5)&lt;&gt;"1-Way",
        LEFT(P4422,5)&lt;&gt;"2-Way",
        LEFT(P4422,5)&lt;&gt;"3-Way",
        P4422&lt;&gt;"Inner Centre Jamb"
      )
    ),
    IF(OR(Enginuity!$A$1="Frameless Glass",Enginuity!$A$1="Metal Work"),
      AND(TRIM(B4422)=TRIM(Enginuity!$A$17),TRIM(C4422)=TRIM(Enginuity!$A$18)),
      TRIM(B4422)=TRIM(Enginuity!$A$17)
    )
  ),
  ROW(),
  ""
)</f>
        <v/>
      </c>
    </row>
    <row r="4423" spans="21:21" x14ac:dyDescent="0.25">
      <c r="U4423" s="104" t="str">
        <f>IF(
  AND(
    TRIM(A4423)=TRIM(Enginuity!$A$1),
    TRIM(B4423)=TRIM(Enginuity!$A$17),
    Q4423&lt;&gt;"",
    Q4423&lt;&gt;0,
    OR(
      TRIM(C4423)=TRIM(Enginuity!$A$18),
      AND(UPPER(TRIM(M4423))="STD", TRIM(B4423)=TRIM(Enginuity!$A$17))
    ),
    OR(
      AND(LEFT(P4423,5)="1-Way", Enginuity!$B$13=1),
      AND(LEFT(P4423,5)="2-Way", OR(Enginuity!$B$13=2, Enginuity!$B$13=4)),
      AND(LEFT(P4423,5)="3-Way", OR(Enginuity!$B$13=3, Enginuity!$B$13=6)),
      AND(P4423="Inner Centre Jamb", OR(Enginuity!$B$13=4, Enginuity!$B$13=6)),
      AND(
        LEFT(P4423,5)&lt;&gt;"1-Way",
        LEFT(P4423,5)&lt;&gt;"2-Way",
        LEFT(P4423,5)&lt;&gt;"3-Way",
        P4423&lt;&gt;"Inner Centre Jamb"
      )
    ),
    IF(OR(Enginuity!$A$1="Frameless Glass",Enginuity!$A$1="Metal Work"),
      AND(TRIM(B4423)=TRIM(Enginuity!$A$17),TRIM(C4423)=TRIM(Enginuity!$A$18)),
      TRIM(B4423)=TRIM(Enginuity!$A$17)
    )
  ),
  ROW(),
  ""
)</f>
        <v/>
      </c>
    </row>
    <row r="4424" spans="21:21" x14ac:dyDescent="0.25">
      <c r="U4424" s="104" t="str">
        <f>IF(
  AND(
    TRIM(A4424)=TRIM(Enginuity!$A$1),
    TRIM(B4424)=TRIM(Enginuity!$A$17),
    Q4424&lt;&gt;"",
    Q4424&lt;&gt;0,
    OR(
      TRIM(C4424)=TRIM(Enginuity!$A$18),
      AND(UPPER(TRIM(M4424))="STD", TRIM(B4424)=TRIM(Enginuity!$A$17))
    ),
    OR(
      AND(LEFT(P4424,5)="1-Way", Enginuity!$B$13=1),
      AND(LEFT(P4424,5)="2-Way", OR(Enginuity!$B$13=2, Enginuity!$B$13=4)),
      AND(LEFT(P4424,5)="3-Way", OR(Enginuity!$B$13=3, Enginuity!$B$13=6)),
      AND(P4424="Inner Centre Jamb", OR(Enginuity!$B$13=4, Enginuity!$B$13=6)),
      AND(
        LEFT(P4424,5)&lt;&gt;"1-Way",
        LEFT(P4424,5)&lt;&gt;"2-Way",
        LEFT(P4424,5)&lt;&gt;"3-Way",
        P4424&lt;&gt;"Inner Centre Jamb"
      )
    ),
    IF(OR(Enginuity!$A$1="Frameless Glass",Enginuity!$A$1="Metal Work"),
      AND(TRIM(B4424)=TRIM(Enginuity!$A$17),TRIM(C4424)=TRIM(Enginuity!$A$18)),
      TRIM(B4424)=TRIM(Enginuity!$A$17)
    )
  ),
  ROW(),
  ""
)</f>
        <v/>
      </c>
    </row>
    <row r="4425" spans="21:21" x14ac:dyDescent="0.25">
      <c r="U4425" s="104" t="str">
        <f>IF(
  AND(
    TRIM(A4425)=TRIM(Enginuity!$A$1),
    TRIM(B4425)=TRIM(Enginuity!$A$17),
    Q4425&lt;&gt;"",
    Q4425&lt;&gt;0,
    OR(
      TRIM(C4425)=TRIM(Enginuity!$A$18),
      AND(UPPER(TRIM(M4425))="STD", TRIM(B4425)=TRIM(Enginuity!$A$17))
    ),
    OR(
      AND(LEFT(P4425,5)="1-Way", Enginuity!$B$13=1),
      AND(LEFT(P4425,5)="2-Way", OR(Enginuity!$B$13=2, Enginuity!$B$13=4)),
      AND(LEFT(P4425,5)="3-Way", OR(Enginuity!$B$13=3, Enginuity!$B$13=6)),
      AND(P4425="Inner Centre Jamb", OR(Enginuity!$B$13=4, Enginuity!$B$13=6)),
      AND(
        LEFT(P4425,5)&lt;&gt;"1-Way",
        LEFT(P4425,5)&lt;&gt;"2-Way",
        LEFT(P4425,5)&lt;&gt;"3-Way",
        P4425&lt;&gt;"Inner Centre Jamb"
      )
    ),
    IF(OR(Enginuity!$A$1="Frameless Glass",Enginuity!$A$1="Metal Work"),
      AND(TRIM(B4425)=TRIM(Enginuity!$A$17),TRIM(C4425)=TRIM(Enginuity!$A$18)),
      TRIM(B4425)=TRIM(Enginuity!$A$17)
    )
  ),
  ROW(),
  ""
)</f>
        <v/>
      </c>
    </row>
    <row r="4426" spans="21:21" x14ac:dyDescent="0.25">
      <c r="U4426" s="104" t="str">
        <f>IF(
  AND(
    TRIM(A4426)=TRIM(Enginuity!$A$1),
    TRIM(B4426)=TRIM(Enginuity!$A$17),
    Q4426&lt;&gt;"",
    Q4426&lt;&gt;0,
    OR(
      TRIM(C4426)=TRIM(Enginuity!$A$18),
      AND(UPPER(TRIM(M4426))="STD", TRIM(B4426)=TRIM(Enginuity!$A$17))
    ),
    OR(
      AND(LEFT(P4426,5)="1-Way", Enginuity!$B$13=1),
      AND(LEFT(P4426,5)="2-Way", OR(Enginuity!$B$13=2, Enginuity!$B$13=4)),
      AND(LEFT(P4426,5)="3-Way", OR(Enginuity!$B$13=3, Enginuity!$B$13=6)),
      AND(P4426="Inner Centre Jamb", OR(Enginuity!$B$13=4, Enginuity!$B$13=6)),
      AND(
        LEFT(P4426,5)&lt;&gt;"1-Way",
        LEFT(P4426,5)&lt;&gt;"2-Way",
        LEFT(P4426,5)&lt;&gt;"3-Way",
        P4426&lt;&gt;"Inner Centre Jamb"
      )
    ),
    IF(OR(Enginuity!$A$1="Frameless Glass",Enginuity!$A$1="Metal Work"),
      AND(TRIM(B4426)=TRIM(Enginuity!$A$17),TRIM(C4426)=TRIM(Enginuity!$A$18)),
      TRIM(B4426)=TRIM(Enginuity!$A$17)
    )
  ),
  ROW(),
  ""
)</f>
        <v/>
      </c>
    </row>
    <row r="4427" spans="21:21" x14ac:dyDescent="0.25">
      <c r="U4427" s="104" t="str">
        <f>IF(
  AND(
    TRIM(A4427)=TRIM(Enginuity!$A$1),
    TRIM(B4427)=TRIM(Enginuity!$A$17),
    Q4427&lt;&gt;"",
    Q4427&lt;&gt;0,
    OR(
      TRIM(C4427)=TRIM(Enginuity!$A$18),
      AND(UPPER(TRIM(M4427))="STD", TRIM(B4427)=TRIM(Enginuity!$A$17))
    ),
    OR(
      AND(LEFT(P4427,5)="1-Way", Enginuity!$B$13=1),
      AND(LEFT(P4427,5)="2-Way", OR(Enginuity!$B$13=2, Enginuity!$B$13=4)),
      AND(LEFT(P4427,5)="3-Way", OR(Enginuity!$B$13=3, Enginuity!$B$13=6)),
      AND(P4427="Inner Centre Jamb", OR(Enginuity!$B$13=4, Enginuity!$B$13=6)),
      AND(
        LEFT(P4427,5)&lt;&gt;"1-Way",
        LEFT(P4427,5)&lt;&gt;"2-Way",
        LEFT(P4427,5)&lt;&gt;"3-Way",
        P4427&lt;&gt;"Inner Centre Jamb"
      )
    ),
    IF(OR(Enginuity!$A$1="Frameless Glass",Enginuity!$A$1="Metal Work"),
      AND(TRIM(B4427)=TRIM(Enginuity!$A$17),TRIM(C4427)=TRIM(Enginuity!$A$18)),
      TRIM(B4427)=TRIM(Enginuity!$A$17)
    )
  ),
  ROW(),
  ""
)</f>
        <v/>
      </c>
    </row>
    <row r="4428" spans="21:21" x14ac:dyDescent="0.25">
      <c r="U4428" s="104" t="str">
        <f>IF(
  AND(
    TRIM(A4428)=TRIM(Enginuity!$A$1),
    TRIM(B4428)=TRIM(Enginuity!$A$17),
    Q4428&lt;&gt;"",
    Q4428&lt;&gt;0,
    OR(
      TRIM(C4428)=TRIM(Enginuity!$A$18),
      AND(UPPER(TRIM(M4428))="STD", TRIM(B4428)=TRIM(Enginuity!$A$17))
    ),
    OR(
      AND(LEFT(P4428,5)="1-Way", Enginuity!$B$13=1),
      AND(LEFT(P4428,5)="2-Way", OR(Enginuity!$B$13=2, Enginuity!$B$13=4)),
      AND(LEFT(P4428,5)="3-Way", OR(Enginuity!$B$13=3, Enginuity!$B$13=6)),
      AND(P4428="Inner Centre Jamb", OR(Enginuity!$B$13=4, Enginuity!$B$13=6)),
      AND(
        LEFT(P4428,5)&lt;&gt;"1-Way",
        LEFT(P4428,5)&lt;&gt;"2-Way",
        LEFT(P4428,5)&lt;&gt;"3-Way",
        P4428&lt;&gt;"Inner Centre Jamb"
      )
    ),
    IF(OR(Enginuity!$A$1="Frameless Glass",Enginuity!$A$1="Metal Work"),
      AND(TRIM(B4428)=TRIM(Enginuity!$A$17),TRIM(C4428)=TRIM(Enginuity!$A$18)),
      TRIM(B4428)=TRIM(Enginuity!$A$17)
    )
  ),
  ROW(),
  ""
)</f>
        <v/>
      </c>
    </row>
    <row r="4429" spans="21:21" x14ac:dyDescent="0.25">
      <c r="U4429" s="104" t="str">
        <f>IF(
  AND(
    TRIM(A4429)=TRIM(Enginuity!$A$1),
    TRIM(B4429)=TRIM(Enginuity!$A$17),
    Q4429&lt;&gt;"",
    Q4429&lt;&gt;0,
    OR(
      TRIM(C4429)=TRIM(Enginuity!$A$18),
      AND(UPPER(TRIM(M4429))="STD", TRIM(B4429)=TRIM(Enginuity!$A$17))
    ),
    OR(
      AND(LEFT(P4429,5)="1-Way", Enginuity!$B$13=1),
      AND(LEFT(P4429,5)="2-Way", OR(Enginuity!$B$13=2, Enginuity!$B$13=4)),
      AND(LEFT(P4429,5)="3-Way", OR(Enginuity!$B$13=3, Enginuity!$B$13=6)),
      AND(P4429="Inner Centre Jamb", OR(Enginuity!$B$13=4, Enginuity!$B$13=6)),
      AND(
        LEFT(P4429,5)&lt;&gt;"1-Way",
        LEFT(P4429,5)&lt;&gt;"2-Way",
        LEFT(P4429,5)&lt;&gt;"3-Way",
        P4429&lt;&gt;"Inner Centre Jamb"
      )
    ),
    IF(OR(Enginuity!$A$1="Frameless Glass",Enginuity!$A$1="Metal Work"),
      AND(TRIM(B4429)=TRIM(Enginuity!$A$17),TRIM(C4429)=TRIM(Enginuity!$A$18)),
      TRIM(B4429)=TRIM(Enginuity!$A$17)
    )
  ),
  ROW(),
  ""
)</f>
        <v/>
      </c>
    </row>
    <row r="4430" spans="21:21" x14ac:dyDescent="0.25">
      <c r="U4430" s="104" t="str">
        <f>IF(
  AND(
    TRIM(A4430)=TRIM(Enginuity!$A$1),
    TRIM(B4430)=TRIM(Enginuity!$A$17),
    Q4430&lt;&gt;"",
    Q4430&lt;&gt;0,
    OR(
      TRIM(C4430)=TRIM(Enginuity!$A$18),
      AND(UPPER(TRIM(M4430))="STD", TRIM(B4430)=TRIM(Enginuity!$A$17))
    ),
    OR(
      AND(LEFT(P4430,5)="1-Way", Enginuity!$B$13=1),
      AND(LEFT(P4430,5)="2-Way", OR(Enginuity!$B$13=2, Enginuity!$B$13=4)),
      AND(LEFT(P4430,5)="3-Way", OR(Enginuity!$B$13=3, Enginuity!$B$13=6)),
      AND(P4430="Inner Centre Jamb", OR(Enginuity!$B$13=4, Enginuity!$B$13=6)),
      AND(
        LEFT(P4430,5)&lt;&gt;"1-Way",
        LEFT(P4430,5)&lt;&gt;"2-Way",
        LEFT(P4430,5)&lt;&gt;"3-Way",
        P4430&lt;&gt;"Inner Centre Jamb"
      )
    ),
    IF(OR(Enginuity!$A$1="Frameless Glass",Enginuity!$A$1="Metal Work"),
      AND(TRIM(B4430)=TRIM(Enginuity!$A$17),TRIM(C4430)=TRIM(Enginuity!$A$18)),
      TRIM(B4430)=TRIM(Enginuity!$A$17)
    )
  ),
  ROW(),
  ""
)</f>
        <v/>
      </c>
    </row>
    <row r="4431" spans="21:21" x14ac:dyDescent="0.25">
      <c r="U4431" s="104" t="str">
        <f>IF(
  AND(
    TRIM(A4431)=TRIM(Enginuity!$A$1),
    TRIM(B4431)=TRIM(Enginuity!$A$17),
    Q4431&lt;&gt;"",
    Q4431&lt;&gt;0,
    OR(
      TRIM(C4431)=TRIM(Enginuity!$A$18),
      AND(UPPER(TRIM(M4431))="STD", TRIM(B4431)=TRIM(Enginuity!$A$17))
    ),
    OR(
      AND(LEFT(P4431,5)="1-Way", Enginuity!$B$13=1),
      AND(LEFT(P4431,5)="2-Way", OR(Enginuity!$B$13=2, Enginuity!$B$13=4)),
      AND(LEFT(P4431,5)="3-Way", OR(Enginuity!$B$13=3, Enginuity!$B$13=6)),
      AND(P4431="Inner Centre Jamb", OR(Enginuity!$B$13=4, Enginuity!$B$13=6)),
      AND(
        LEFT(P4431,5)&lt;&gt;"1-Way",
        LEFT(P4431,5)&lt;&gt;"2-Way",
        LEFT(P4431,5)&lt;&gt;"3-Way",
        P4431&lt;&gt;"Inner Centre Jamb"
      )
    ),
    IF(OR(Enginuity!$A$1="Frameless Glass",Enginuity!$A$1="Metal Work"),
      AND(TRIM(B4431)=TRIM(Enginuity!$A$17),TRIM(C4431)=TRIM(Enginuity!$A$18)),
      TRIM(B4431)=TRIM(Enginuity!$A$17)
    )
  ),
  ROW(),
  ""
)</f>
        <v/>
      </c>
    </row>
    <row r="4432" spans="21:21" x14ac:dyDescent="0.25">
      <c r="U4432" s="104" t="str">
        <f>IF(
  AND(
    TRIM(A4432)=TRIM(Enginuity!$A$1),
    TRIM(B4432)=TRIM(Enginuity!$A$17),
    Q4432&lt;&gt;"",
    Q4432&lt;&gt;0,
    OR(
      TRIM(C4432)=TRIM(Enginuity!$A$18),
      AND(UPPER(TRIM(M4432))="STD", TRIM(B4432)=TRIM(Enginuity!$A$17))
    ),
    OR(
      AND(LEFT(P4432,5)="1-Way", Enginuity!$B$13=1),
      AND(LEFT(P4432,5)="2-Way", OR(Enginuity!$B$13=2, Enginuity!$B$13=4)),
      AND(LEFT(P4432,5)="3-Way", OR(Enginuity!$B$13=3, Enginuity!$B$13=6)),
      AND(P4432="Inner Centre Jamb", OR(Enginuity!$B$13=4, Enginuity!$B$13=6)),
      AND(
        LEFT(P4432,5)&lt;&gt;"1-Way",
        LEFT(P4432,5)&lt;&gt;"2-Way",
        LEFT(P4432,5)&lt;&gt;"3-Way",
        P4432&lt;&gt;"Inner Centre Jamb"
      )
    ),
    IF(OR(Enginuity!$A$1="Frameless Glass",Enginuity!$A$1="Metal Work"),
      AND(TRIM(B4432)=TRIM(Enginuity!$A$17),TRIM(C4432)=TRIM(Enginuity!$A$18)),
      TRIM(B4432)=TRIM(Enginuity!$A$17)
    )
  ),
  ROW(),
  ""
)</f>
        <v/>
      </c>
    </row>
    <row r="4433" spans="21:21" x14ac:dyDescent="0.25">
      <c r="U4433" s="104" t="str">
        <f>IF(
  AND(
    TRIM(A4433)=TRIM(Enginuity!$A$1),
    TRIM(B4433)=TRIM(Enginuity!$A$17),
    Q4433&lt;&gt;"",
    Q4433&lt;&gt;0,
    OR(
      TRIM(C4433)=TRIM(Enginuity!$A$18),
      AND(UPPER(TRIM(M4433))="STD", TRIM(B4433)=TRIM(Enginuity!$A$17))
    ),
    OR(
      AND(LEFT(P4433,5)="1-Way", Enginuity!$B$13=1),
      AND(LEFT(P4433,5)="2-Way", OR(Enginuity!$B$13=2, Enginuity!$B$13=4)),
      AND(LEFT(P4433,5)="3-Way", OR(Enginuity!$B$13=3, Enginuity!$B$13=6)),
      AND(P4433="Inner Centre Jamb", OR(Enginuity!$B$13=4, Enginuity!$B$13=6)),
      AND(
        LEFT(P4433,5)&lt;&gt;"1-Way",
        LEFT(P4433,5)&lt;&gt;"2-Way",
        LEFT(P4433,5)&lt;&gt;"3-Way",
        P4433&lt;&gt;"Inner Centre Jamb"
      )
    ),
    IF(OR(Enginuity!$A$1="Frameless Glass",Enginuity!$A$1="Metal Work"),
      AND(TRIM(B4433)=TRIM(Enginuity!$A$17),TRIM(C4433)=TRIM(Enginuity!$A$18)),
      TRIM(B4433)=TRIM(Enginuity!$A$17)
    )
  ),
  ROW(),
  ""
)</f>
        <v/>
      </c>
    </row>
    <row r="4434" spans="21:21" x14ac:dyDescent="0.25">
      <c r="U4434" s="104" t="str">
        <f>IF(
  AND(
    TRIM(A4434)=TRIM(Enginuity!$A$1),
    TRIM(B4434)=TRIM(Enginuity!$A$17),
    Q4434&lt;&gt;"",
    Q4434&lt;&gt;0,
    OR(
      TRIM(C4434)=TRIM(Enginuity!$A$18),
      AND(UPPER(TRIM(M4434))="STD", TRIM(B4434)=TRIM(Enginuity!$A$17))
    ),
    OR(
      AND(LEFT(P4434,5)="1-Way", Enginuity!$B$13=1),
      AND(LEFT(P4434,5)="2-Way", OR(Enginuity!$B$13=2, Enginuity!$B$13=4)),
      AND(LEFT(P4434,5)="3-Way", OR(Enginuity!$B$13=3, Enginuity!$B$13=6)),
      AND(P4434="Inner Centre Jamb", OR(Enginuity!$B$13=4, Enginuity!$B$13=6)),
      AND(
        LEFT(P4434,5)&lt;&gt;"1-Way",
        LEFT(P4434,5)&lt;&gt;"2-Way",
        LEFT(P4434,5)&lt;&gt;"3-Way",
        P4434&lt;&gt;"Inner Centre Jamb"
      )
    ),
    IF(OR(Enginuity!$A$1="Frameless Glass",Enginuity!$A$1="Metal Work"),
      AND(TRIM(B4434)=TRIM(Enginuity!$A$17),TRIM(C4434)=TRIM(Enginuity!$A$18)),
      TRIM(B4434)=TRIM(Enginuity!$A$17)
    )
  ),
  ROW(),
  ""
)</f>
        <v/>
      </c>
    </row>
    <row r="4435" spans="21:21" x14ac:dyDescent="0.25">
      <c r="U4435" s="104" t="str">
        <f>IF(
  AND(
    TRIM(A4435)=TRIM(Enginuity!$A$1),
    TRIM(B4435)=TRIM(Enginuity!$A$17),
    Q4435&lt;&gt;"",
    Q4435&lt;&gt;0,
    OR(
      TRIM(C4435)=TRIM(Enginuity!$A$18),
      AND(UPPER(TRIM(M4435))="STD", TRIM(B4435)=TRIM(Enginuity!$A$17))
    ),
    OR(
      AND(LEFT(P4435,5)="1-Way", Enginuity!$B$13=1),
      AND(LEFT(P4435,5)="2-Way", OR(Enginuity!$B$13=2, Enginuity!$B$13=4)),
      AND(LEFT(P4435,5)="3-Way", OR(Enginuity!$B$13=3, Enginuity!$B$13=6)),
      AND(P4435="Inner Centre Jamb", OR(Enginuity!$B$13=4, Enginuity!$B$13=6)),
      AND(
        LEFT(P4435,5)&lt;&gt;"1-Way",
        LEFT(P4435,5)&lt;&gt;"2-Way",
        LEFT(P4435,5)&lt;&gt;"3-Way",
        P4435&lt;&gt;"Inner Centre Jamb"
      )
    ),
    IF(OR(Enginuity!$A$1="Frameless Glass",Enginuity!$A$1="Metal Work"),
      AND(TRIM(B4435)=TRIM(Enginuity!$A$17),TRIM(C4435)=TRIM(Enginuity!$A$18)),
      TRIM(B4435)=TRIM(Enginuity!$A$17)
    )
  ),
  ROW(),
  ""
)</f>
        <v/>
      </c>
    </row>
    <row r="4436" spans="21:21" x14ac:dyDescent="0.25">
      <c r="U4436" s="104" t="str">
        <f>IF(
  AND(
    TRIM(A4436)=TRIM(Enginuity!$A$1),
    TRIM(B4436)=TRIM(Enginuity!$A$17),
    Q4436&lt;&gt;"",
    Q4436&lt;&gt;0,
    OR(
      TRIM(C4436)=TRIM(Enginuity!$A$18),
      AND(UPPER(TRIM(M4436))="STD", TRIM(B4436)=TRIM(Enginuity!$A$17))
    ),
    OR(
      AND(LEFT(P4436,5)="1-Way", Enginuity!$B$13=1),
      AND(LEFT(P4436,5)="2-Way", OR(Enginuity!$B$13=2, Enginuity!$B$13=4)),
      AND(LEFT(P4436,5)="3-Way", OR(Enginuity!$B$13=3, Enginuity!$B$13=6)),
      AND(P4436="Inner Centre Jamb", OR(Enginuity!$B$13=4, Enginuity!$B$13=6)),
      AND(
        LEFT(P4436,5)&lt;&gt;"1-Way",
        LEFT(P4436,5)&lt;&gt;"2-Way",
        LEFT(P4436,5)&lt;&gt;"3-Way",
        P4436&lt;&gt;"Inner Centre Jamb"
      )
    ),
    IF(OR(Enginuity!$A$1="Frameless Glass",Enginuity!$A$1="Metal Work"),
      AND(TRIM(B4436)=TRIM(Enginuity!$A$17),TRIM(C4436)=TRIM(Enginuity!$A$18)),
      TRIM(B4436)=TRIM(Enginuity!$A$17)
    )
  ),
  ROW(),
  ""
)</f>
        <v/>
      </c>
    </row>
    <row r="4437" spans="21:21" x14ac:dyDescent="0.25">
      <c r="U4437" s="104" t="str">
        <f>IF(
  AND(
    TRIM(A4437)=TRIM(Enginuity!$A$1),
    TRIM(B4437)=TRIM(Enginuity!$A$17),
    Q4437&lt;&gt;"",
    Q4437&lt;&gt;0,
    OR(
      TRIM(C4437)=TRIM(Enginuity!$A$18),
      AND(UPPER(TRIM(M4437))="STD", TRIM(B4437)=TRIM(Enginuity!$A$17))
    ),
    OR(
      AND(LEFT(P4437,5)="1-Way", Enginuity!$B$13=1),
      AND(LEFT(P4437,5)="2-Way", OR(Enginuity!$B$13=2, Enginuity!$B$13=4)),
      AND(LEFT(P4437,5)="3-Way", OR(Enginuity!$B$13=3, Enginuity!$B$13=6)),
      AND(P4437="Inner Centre Jamb", OR(Enginuity!$B$13=4, Enginuity!$B$13=6)),
      AND(
        LEFT(P4437,5)&lt;&gt;"1-Way",
        LEFT(P4437,5)&lt;&gt;"2-Way",
        LEFT(P4437,5)&lt;&gt;"3-Way",
        P4437&lt;&gt;"Inner Centre Jamb"
      )
    ),
    IF(OR(Enginuity!$A$1="Frameless Glass",Enginuity!$A$1="Metal Work"),
      AND(TRIM(B4437)=TRIM(Enginuity!$A$17),TRIM(C4437)=TRIM(Enginuity!$A$18)),
      TRIM(B4437)=TRIM(Enginuity!$A$17)
    )
  ),
  ROW(),
  ""
)</f>
        <v/>
      </c>
    </row>
    <row r="4438" spans="21:21" x14ac:dyDescent="0.25">
      <c r="U4438" s="104" t="str">
        <f>IF(
  AND(
    TRIM(A4438)=TRIM(Enginuity!$A$1),
    TRIM(B4438)=TRIM(Enginuity!$A$17),
    Q4438&lt;&gt;"",
    Q4438&lt;&gt;0,
    OR(
      TRIM(C4438)=TRIM(Enginuity!$A$18),
      AND(UPPER(TRIM(M4438))="STD", TRIM(B4438)=TRIM(Enginuity!$A$17))
    ),
    OR(
      AND(LEFT(P4438,5)="1-Way", Enginuity!$B$13=1),
      AND(LEFT(P4438,5)="2-Way", OR(Enginuity!$B$13=2, Enginuity!$B$13=4)),
      AND(LEFT(P4438,5)="3-Way", OR(Enginuity!$B$13=3, Enginuity!$B$13=6)),
      AND(P4438="Inner Centre Jamb", OR(Enginuity!$B$13=4, Enginuity!$B$13=6)),
      AND(
        LEFT(P4438,5)&lt;&gt;"1-Way",
        LEFT(P4438,5)&lt;&gt;"2-Way",
        LEFT(P4438,5)&lt;&gt;"3-Way",
        P4438&lt;&gt;"Inner Centre Jamb"
      )
    ),
    IF(OR(Enginuity!$A$1="Frameless Glass",Enginuity!$A$1="Metal Work"),
      AND(TRIM(B4438)=TRIM(Enginuity!$A$17),TRIM(C4438)=TRIM(Enginuity!$A$18)),
      TRIM(B4438)=TRIM(Enginuity!$A$17)
    )
  ),
  ROW(),
  ""
)</f>
        <v/>
      </c>
    </row>
    <row r="4439" spans="21:21" x14ac:dyDescent="0.25">
      <c r="U4439" s="104" t="str">
        <f>IF(
  AND(
    TRIM(A4439)=TRIM(Enginuity!$A$1),
    TRIM(B4439)=TRIM(Enginuity!$A$17),
    Q4439&lt;&gt;"",
    Q4439&lt;&gt;0,
    OR(
      TRIM(C4439)=TRIM(Enginuity!$A$18),
      AND(UPPER(TRIM(M4439))="STD", TRIM(B4439)=TRIM(Enginuity!$A$17))
    ),
    OR(
      AND(LEFT(P4439,5)="1-Way", Enginuity!$B$13=1),
      AND(LEFT(P4439,5)="2-Way", OR(Enginuity!$B$13=2, Enginuity!$B$13=4)),
      AND(LEFT(P4439,5)="3-Way", OR(Enginuity!$B$13=3, Enginuity!$B$13=6)),
      AND(P4439="Inner Centre Jamb", OR(Enginuity!$B$13=4, Enginuity!$B$13=6)),
      AND(
        LEFT(P4439,5)&lt;&gt;"1-Way",
        LEFT(P4439,5)&lt;&gt;"2-Way",
        LEFT(P4439,5)&lt;&gt;"3-Way",
        P4439&lt;&gt;"Inner Centre Jamb"
      )
    ),
    IF(OR(Enginuity!$A$1="Frameless Glass",Enginuity!$A$1="Metal Work"),
      AND(TRIM(B4439)=TRIM(Enginuity!$A$17),TRIM(C4439)=TRIM(Enginuity!$A$18)),
      TRIM(B4439)=TRIM(Enginuity!$A$17)
    )
  ),
  ROW(),
  ""
)</f>
        <v/>
      </c>
    </row>
    <row r="4440" spans="21:21" x14ac:dyDescent="0.25">
      <c r="U4440" s="104" t="str">
        <f>IF(
  AND(
    TRIM(A4440)=TRIM(Enginuity!$A$1),
    TRIM(B4440)=TRIM(Enginuity!$A$17),
    Q4440&lt;&gt;"",
    Q4440&lt;&gt;0,
    OR(
      TRIM(C4440)=TRIM(Enginuity!$A$18),
      AND(UPPER(TRIM(M4440))="STD", TRIM(B4440)=TRIM(Enginuity!$A$17))
    ),
    OR(
      AND(LEFT(P4440,5)="1-Way", Enginuity!$B$13=1),
      AND(LEFT(P4440,5)="2-Way", OR(Enginuity!$B$13=2, Enginuity!$B$13=4)),
      AND(LEFT(P4440,5)="3-Way", OR(Enginuity!$B$13=3, Enginuity!$B$13=6)),
      AND(P4440="Inner Centre Jamb", OR(Enginuity!$B$13=4, Enginuity!$B$13=6)),
      AND(
        LEFT(P4440,5)&lt;&gt;"1-Way",
        LEFT(P4440,5)&lt;&gt;"2-Way",
        LEFT(P4440,5)&lt;&gt;"3-Way",
        P4440&lt;&gt;"Inner Centre Jamb"
      )
    ),
    IF(OR(Enginuity!$A$1="Frameless Glass",Enginuity!$A$1="Metal Work"),
      AND(TRIM(B4440)=TRIM(Enginuity!$A$17),TRIM(C4440)=TRIM(Enginuity!$A$18)),
      TRIM(B4440)=TRIM(Enginuity!$A$17)
    )
  ),
  ROW(),
  ""
)</f>
        <v/>
      </c>
    </row>
    <row r="4441" spans="21:21" x14ac:dyDescent="0.25">
      <c r="U4441" s="104" t="str">
        <f>IF(
  AND(
    TRIM(A4441)=TRIM(Enginuity!$A$1),
    TRIM(B4441)=TRIM(Enginuity!$A$17),
    Q4441&lt;&gt;"",
    Q4441&lt;&gt;0,
    OR(
      TRIM(C4441)=TRIM(Enginuity!$A$18),
      AND(UPPER(TRIM(M4441))="STD", TRIM(B4441)=TRIM(Enginuity!$A$17))
    ),
    OR(
      AND(LEFT(P4441,5)="1-Way", Enginuity!$B$13=1),
      AND(LEFT(P4441,5)="2-Way", OR(Enginuity!$B$13=2, Enginuity!$B$13=4)),
      AND(LEFT(P4441,5)="3-Way", OR(Enginuity!$B$13=3, Enginuity!$B$13=6)),
      AND(P4441="Inner Centre Jamb", OR(Enginuity!$B$13=4, Enginuity!$B$13=6)),
      AND(
        LEFT(P4441,5)&lt;&gt;"1-Way",
        LEFT(P4441,5)&lt;&gt;"2-Way",
        LEFT(P4441,5)&lt;&gt;"3-Way",
        P4441&lt;&gt;"Inner Centre Jamb"
      )
    ),
    IF(OR(Enginuity!$A$1="Frameless Glass",Enginuity!$A$1="Metal Work"),
      AND(TRIM(B4441)=TRIM(Enginuity!$A$17),TRIM(C4441)=TRIM(Enginuity!$A$18)),
      TRIM(B4441)=TRIM(Enginuity!$A$17)
    )
  ),
  ROW(),
  ""
)</f>
        <v/>
      </c>
    </row>
    <row r="4442" spans="21:21" x14ac:dyDescent="0.25">
      <c r="U4442" s="104" t="str">
        <f>IF(
  AND(
    TRIM(A4442)=TRIM(Enginuity!$A$1),
    TRIM(B4442)=TRIM(Enginuity!$A$17),
    Q4442&lt;&gt;"",
    Q4442&lt;&gt;0,
    OR(
      TRIM(C4442)=TRIM(Enginuity!$A$18),
      AND(UPPER(TRIM(M4442))="STD", TRIM(B4442)=TRIM(Enginuity!$A$17))
    ),
    OR(
      AND(LEFT(P4442,5)="1-Way", Enginuity!$B$13=1),
      AND(LEFT(P4442,5)="2-Way", OR(Enginuity!$B$13=2, Enginuity!$B$13=4)),
      AND(LEFT(P4442,5)="3-Way", OR(Enginuity!$B$13=3, Enginuity!$B$13=6)),
      AND(P4442="Inner Centre Jamb", OR(Enginuity!$B$13=4, Enginuity!$B$13=6)),
      AND(
        LEFT(P4442,5)&lt;&gt;"1-Way",
        LEFT(P4442,5)&lt;&gt;"2-Way",
        LEFT(P4442,5)&lt;&gt;"3-Way",
        P4442&lt;&gt;"Inner Centre Jamb"
      )
    ),
    IF(OR(Enginuity!$A$1="Frameless Glass",Enginuity!$A$1="Metal Work"),
      AND(TRIM(B4442)=TRIM(Enginuity!$A$17),TRIM(C4442)=TRIM(Enginuity!$A$18)),
      TRIM(B4442)=TRIM(Enginuity!$A$17)
    )
  ),
  ROW(),
  ""
)</f>
        <v/>
      </c>
    </row>
    <row r="4443" spans="21:21" x14ac:dyDescent="0.25">
      <c r="U4443" s="104" t="str">
        <f>IF(
  AND(
    TRIM(A4443)=TRIM(Enginuity!$A$1),
    TRIM(B4443)=TRIM(Enginuity!$A$17),
    Q4443&lt;&gt;"",
    Q4443&lt;&gt;0,
    OR(
      TRIM(C4443)=TRIM(Enginuity!$A$18),
      AND(UPPER(TRIM(M4443))="STD", TRIM(B4443)=TRIM(Enginuity!$A$17))
    ),
    OR(
      AND(LEFT(P4443,5)="1-Way", Enginuity!$B$13=1),
      AND(LEFT(P4443,5)="2-Way", OR(Enginuity!$B$13=2, Enginuity!$B$13=4)),
      AND(LEFT(P4443,5)="3-Way", OR(Enginuity!$B$13=3, Enginuity!$B$13=6)),
      AND(P4443="Inner Centre Jamb", OR(Enginuity!$B$13=4, Enginuity!$B$13=6)),
      AND(
        LEFT(P4443,5)&lt;&gt;"1-Way",
        LEFT(P4443,5)&lt;&gt;"2-Way",
        LEFT(P4443,5)&lt;&gt;"3-Way",
        P4443&lt;&gt;"Inner Centre Jamb"
      )
    ),
    IF(OR(Enginuity!$A$1="Frameless Glass",Enginuity!$A$1="Metal Work"),
      AND(TRIM(B4443)=TRIM(Enginuity!$A$17),TRIM(C4443)=TRIM(Enginuity!$A$18)),
      TRIM(B4443)=TRIM(Enginuity!$A$17)
    )
  ),
  ROW(),
  ""
)</f>
        <v/>
      </c>
    </row>
    <row r="4444" spans="21:21" x14ac:dyDescent="0.25">
      <c r="U4444" s="104" t="str">
        <f>IF(
  AND(
    TRIM(A4444)=TRIM(Enginuity!$A$1),
    TRIM(B4444)=TRIM(Enginuity!$A$17),
    Q4444&lt;&gt;"",
    Q4444&lt;&gt;0,
    OR(
      TRIM(C4444)=TRIM(Enginuity!$A$18),
      AND(UPPER(TRIM(M4444))="STD", TRIM(B4444)=TRIM(Enginuity!$A$17))
    ),
    OR(
      AND(LEFT(P4444,5)="1-Way", Enginuity!$B$13=1),
      AND(LEFT(P4444,5)="2-Way", OR(Enginuity!$B$13=2, Enginuity!$B$13=4)),
      AND(LEFT(P4444,5)="3-Way", OR(Enginuity!$B$13=3, Enginuity!$B$13=6)),
      AND(P4444="Inner Centre Jamb", OR(Enginuity!$B$13=4, Enginuity!$B$13=6)),
      AND(
        LEFT(P4444,5)&lt;&gt;"1-Way",
        LEFT(P4444,5)&lt;&gt;"2-Way",
        LEFT(P4444,5)&lt;&gt;"3-Way",
        P4444&lt;&gt;"Inner Centre Jamb"
      )
    ),
    IF(OR(Enginuity!$A$1="Frameless Glass",Enginuity!$A$1="Metal Work"),
      AND(TRIM(B4444)=TRIM(Enginuity!$A$17),TRIM(C4444)=TRIM(Enginuity!$A$18)),
      TRIM(B4444)=TRIM(Enginuity!$A$17)
    )
  ),
  ROW(),
  ""
)</f>
        <v/>
      </c>
    </row>
    <row r="4445" spans="21:21" x14ac:dyDescent="0.25">
      <c r="U4445" s="104" t="str">
        <f>IF(
  AND(
    TRIM(A4445)=TRIM(Enginuity!$A$1),
    TRIM(B4445)=TRIM(Enginuity!$A$17),
    Q4445&lt;&gt;"",
    Q4445&lt;&gt;0,
    OR(
      TRIM(C4445)=TRIM(Enginuity!$A$18),
      AND(UPPER(TRIM(M4445))="STD", TRIM(B4445)=TRIM(Enginuity!$A$17))
    ),
    OR(
      AND(LEFT(P4445,5)="1-Way", Enginuity!$B$13=1),
      AND(LEFT(P4445,5)="2-Way", OR(Enginuity!$B$13=2, Enginuity!$B$13=4)),
      AND(LEFT(P4445,5)="3-Way", OR(Enginuity!$B$13=3, Enginuity!$B$13=6)),
      AND(P4445="Inner Centre Jamb", OR(Enginuity!$B$13=4, Enginuity!$B$13=6)),
      AND(
        LEFT(P4445,5)&lt;&gt;"1-Way",
        LEFT(P4445,5)&lt;&gt;"2-Way",
        LEFT(P4445,5)&lt;&gt;"3-Way",
        P4445&lt;&gt;"Inner Centre Jamb"
      )
    ),
    IF(OR(Enginuity!$A$1="Frameless Glass",Enginuity!$A$1="Metal Work"),
      AND(TRIM(B4445)=TRIM(Enginuity!$A$17),TRIM(C4445)=TRIM(Enginuity!$A$18)),
      TRIM(B4445)=TRIM(Enginuity!$A$17)
    )
  ),
  ROW(),
  ""
)</f>
        <v/>
      </c>
    </row>
    <row r="4446" spans="21:21" x14ac:dyDescent="0.25">
      <c r="U4446" s="104" t="str">
        <f>IF(
  AND(
    TRIM(A4446)=TRIM(Enginuity!$A$1),
    TRIM(B4446)=TRIM(Enginuity!$A$17),
    Q4446&lt;&gt;"",
    Q4446&lt;&gt;0,
    OR(
      TRIM(C4446)=TRIM(Enginuity!$A$18),
      AND(UPPER(TRIM(M4446))="STD", TRIM(B4446)=TRIM(Enginuity!$A$17))
    ),
    OR(
      AND(LEFT(P4446,5)="1-Way", Enginuity!$B$13=1),
      AND(LEFT(P4446,5)="2-Way", OR(Enginuity!$B$13=2, Enginuity!$B$13=4)),
      AND(LEFT(P4446,5)="3-Way", OR(Enginuity!$B$13=3, Enginuity!$B$13=6)),
      AND(P4446="Inner Centre Jamb", OR(Enginuity!$B$13=4, Enginuity!$B$13=6)),
      AND(
        LEFT(P4446,5)&lt;&gt;"1-Way",
        LEFT(P4446,5)&lt;&gt;"2-Way",
        LEFT(P4446,5)&lt;&gt;"3-Way",
        P4446&lt;&gt;"Inner Centre Jamb"
      )
    ),
    IF(OR(Enginuity!$A$1="Frameless Glass",Enginuity!$A$1="Metal Work"),
      AND(TRIM(B4446)=TRIM(Enginuity!$A$17),TRIM(C4446)=TRIM(Enginuity!$A$18)),
      TRIM(B4446)=TRIM(Enginuity!$A$17)
    )
  ),
  ROW(),
  ""
)</f>
        <v/>
      </c>
    </row>
    <row r="4447" spans="21:21" x14ac:dyDescent="0.25">
      <c r="U4447" s="104" t="str">
        <f>IF(
  AND(
    TRIM(A4447)=TRIM(Enginuity!$A$1),
    TRIM(B4447)=TRIM(Enginuity!$A$17),
    Q4447&lt;&gt;"",
    Q4447&lt;&gt;0,
    OR(
      TRIM(C4447)=TRIM(Enginuity!$A$18),
      AND(UPPER(TRIM(M4447))="STD", TRIM(B4447)=TRIM(Enginuity!$A$17))
    ),
    OR(
      AND(LEFT(P4447,5)="1-Way", Enginuity!$B$13=1),
      AND(LEFT(P4447,5)="2-Way", OR(Enginuity!$B$13=2, Enginuity!$B$13=4)),
      AND(LEFT(P4447,5)="3-Way", OR(Enginuity!$B$13=3, Enginuity!$B$13=6)),
      AND(P4447="Inner Centre Jamb", OR(Enginuity!$B$13=4, Enginuity!$B$13=6)),
      AND(
        LEFT(P4447,5)&lt;&gt;"1-Way",
        LEFT(P4447,5)&lt;&gt;"2-Way",
        LEFT(P4447,5)&lt;&gt;"3-Way",
        P4447&lt;&gt;"Inner Centre Jamb"
      )
    ),
    IF(OR(Enginuity!$A$1="Frameless Glass",Enginuity!$A$1="Metal Work"),
      AND(TRIM(B4447)=TRIM(Enginuity!$A$17),TRIM(C4447)=TRIM(Enginuity!$A$18)),
      TRIM(B4447)=TRIM(Enginuity!$A$17)
    )
  ),
  ROW(),
  ""
)</f>
        <v/>
      </c>
    </row>
    <row r="4448" spans="21:21" x14ac:dyDescent="0.25">
      <c r="U4448" s="104" t="str">
        <f>IF(
  AND(
    TRIM(A4448)=TRIM(Enginuity!$A$1),
    TRIM(B4448)=TRIM(Enginuity!$A$17),
    Q4448&lt;&gt;"",
    Q4448&lt;&gt;0,
    OR(
      TRIM(C4448)=TRIM(Enginuity!$A$18),
      AND(UPPER(TRIM(M4448))="STD", TRIM(B4448)=TRIM(Enginuity!$A$17))
    ),
    OR(
      AND(LEFT(P4448,5)="1-Way", Enginuity!$B$13=1),
      AND(LEFT(P4448,5)="2-Way", OR(Enginuity!$B$13=2, Enginuity!$B$13=4)),
      AND(LEFT(P4448,5)="3-Way", OR(Enginuity!$B$13=3, Enginuity!$B$13=6)),
      AND(P4448="Inner Centre Jamb", OR(Enginuity!$B$13=4, Enginuity!$B$13=6)),
      AND(
        LEFT(P4448,5)&lt;&gt;"1-Way",
        LEFT(P4448,5)&lt;&gt;"2-Way",
        LEFT(P4448,5)&lt;&gt;"3-Way",
        P4448&lt;&gt;"Inner Centre Jamb"
      )
    ),
    IF(OR(Enginuity!$A$1="Frameless Glass",Enginuity!$A$1="Metal Work"),
      AND(TRIM(B4448)=TRIM(Enginuity!$A$17),TRIM(C4448)=TRIM(Enginuity!$A$18)),
      TRIM(B4448)=TRIM(Enginuity!$A$17)
    )
  ),
  ROW(),
  ""
)</f>
        <v/>
      </c>
    </row>
    <row r="4449" spans="21:21" x14ac:dyDescent="0.25">
      <c r="U4449" s="104" t="str">
        <f>IF(
  AND(
    TRIM(A4449)=TRIM(Enginuity!$A$1),
    TRIM(B4449)=TRIM(Enginuity!$A$17),
    Q4449&lt;&gt;"",
    Q4449&lt;&gt;0,
    OR(
      TRIM(C4449)=TRIM(Enginuity!$A$18),
      AND(UPPER(TRIM(M4449))="STD", TRIM(B4449)=TRIM(Enginuity!$A$17))
    ),
    OR(
      AND(LEFT(P4449,5)="1-Way", Enginuity!$B$13=1),
      AND(LEFT(P4449,5)="2-Way", OR(Enginuity!$B$13=2, Enginuity!$B$13=4)),
      AND(LEFT(P4449,5)="3-Way", OR(Enginuity!$B$13=3, Enginuity!$B$13=6)),
      AND(P4449="Inner Centre Jamb", OR(Enginuity!$B$13=4, Enginuity!$B$13=6)),
      AND(
        LEFT(P4449,5)&lt;&gt;"1-Way",
        LEFT(P4449,5)&lt;&gt;"2-Way",
        LEFT(P4449,5)&lt;&gt;"3-Way",
        P4449&lt;&gt;"Inner Centre Jamb"
      )
    ),
    IF(OR(Enginuity!$A$1="Frameless Glass",Enginuity!$A$1="Metal Work"),
      AND(TRIM(B4449)=TRIM(Enginuity!$A$17),TRIM(C4449)=TRIM(Enginuity!$A$18)),
      TRIM(B4449)=TRIM(Enginuity!$A$17)
    )
  ),
  ROW(),
  ""
)</f>
        <v/>
      </c>
    </row>
    <row r="4450" spans="21:21" x14ac:dyDescent="0.25">
      <c r="U4450" s="104" t="str">
        <f>IF(
  AND(
    TRIM(A4450)=TRIM(Enginuity!$A$1),
    TRIM(B4450)=TRIM(Enginuity!$A$17),
    Q4450&lt;&gt;"",
    Q4450&lt;&gt;0,
    OR(
      TRIM(C4450)=TRIM(Enginuity!$A$18),
      AND(UPPER(TRIM(M4450))="STD", TRIM(B4450)=TRIM(Enginuity!$A$17))
    ),
    OR(
      AND(LEFT(P4450,5)="1-Way", Enginuity!$B$13=1),
      AND(LEFT(P4450,5)="2-Way", OR(Enginuity!$B$13=2, Enginuity!$B$13=4)),
      AND(LEFT(P4450,5)="3-Way", OR(Enginuity!$B$13=3, Enginuity!$B$13=6)),
      AND(P4450="Inner Centre Jamb", OR(Enginuity!$B$13=4, Enginuity!$B$13=6)),
      AND(
        LEFT(P4450,5)&lt;&gt;"1-Way",
        LEFT(P4450,5)&lt;&gt;"2-Way",
        LEFT(P4450,5)&lt;&gt;"3-Way",
        P4450&lt;&gt;"Inner Centre Jamb"
      )
    ),
    IF(OR(Enginuity!$A$1="Frameless Glass",Enginuity!$A$1="Metal Work"),
      AND(TRIM(B4450)=TRIM(Enginuity!$A$17),TRIM(C4450)=TRIM(Enginuity!$A$18)),
      TRIM(B4450)=TRIM(Enginuity!$A$17)
    )
  ),
  ROW(),
  ""
)</f>
        <v/>
      </c>
    </row>
    <row r="4451" spans="21:21" x14ac:dyDescent="0.25">
      <c r="U4451" s="104" t="str">
        <f>IF(
  AND(
    TRIM(A4451)=TRIM(Enginuity!$A$1),
    TRIM(B4451)=TRIM(Enginuity!$A$17),
    Q4451&lt;&gt;"",
    Q4451&lt;&gt;0,
    OR(
      TRIM(C4451)=TRIM(Enginuity!$A$18),
      AND(UPPER(TRIM(M4451))="STD", TRIM(B4451)=TRIM(Enginuity!$A$17))
    ),
    OR(
      AND(LEFT(P4451,5)="1-Way", Enginuity!$B$13=1),
      AND(LEFT(P4451,5)="2-Way", OR(Enginuity!$B$13=2, Enginuity!$B$13=4)),
      AND(LEFT(P4451,5)="3-Way", OR(Enginuity!$B$13=3, Enginuity!$B$13=6)),
      AND(P4451="Inner Centre Jamb", OR(Enginuity!$B$13=4, Enginuity!$B$13=6)),
      AND(
        LEFT(P4451,5)&lt;&gt;"1-Way",
        LEFT(P4451,5)&lt;&gt;"2-Way",
        LEFT(P4451,5)&lt;&gt;"3-Way",
        P4451&lt;&gt;"Inner Centre Jamb"
      )
    ),
    IF(OR(Enginuity!$A$1="Frameless Glass",Enginuity!$A$1="Metal Work"),
      AND(TRIM(B4451)=TRIM(Enginuity!$A$17),TRIM(C4451)=TRIM(Enginuity!$A$18)),
      TRIM(B4451)=TRIM(Enginuity!$A$17)
    )
  ),
  ROW(),
  ""
)</f>
        <v/>
      </c>
    </row>
    <row r="4452" spans="21:21" x14ac:dyDescent="0.25">
      <c r="U4452" s="104" t="str">
        <f>IF(
  AND(
    TRIM(A4452)=TRIM(Enginuity!$A$1),
    TRIM(B4452)=TRIM(Enginuity!$A$17),
    Q4452&lt;&gt;"",
    Q4452&lt;&gt;0,
    OR(
      TRIM(C4452)=TRIM(Enginuity!$A$18),
      AND(UPPER(TRIM(M4452))="STD", TRIM(B4452)=TRIM(Enginuity!$A$17))
    ),
    OR(
      AND(LEFT(P4452,5)="1-Way", Enginuity!$B$13=1),
      AND(LEFT(P4452,5)="2-Way", OR(Enginuity!$B$13=2, Enginuity!$B$13=4)),
      AND(LEFT(P4452,5)="3-Way", OR(Enginuity!$B$13=3, Enginuity!$B$13=6)),
      AND(P4452="Inner Centre Jamb", OR(Enginuity!$B$13=4, Enginuity!$B$13=6)),
      AND(
        LEFT(P4452,5)&lt;&gt;"1-Way",
        LEFT(P4452,5)&lt;&gt;"2-Way",
        LEFT(P4452,5)&lt;&gt;"3-Way",
        P4452&lt;&gt;"Inner Centre Jamb"
      )
    ),
    IF(OR(Enginuity!$A$1="Frameless Glass",Enginuity!$A$1="Metal Work"),
      AND(TRIM(B4452)=TRIM(Enginuity!$A$17),TRIM(C4452)=TRIM(Enginuity!$A$18)),
      TRIM(B4452)=TRIM(Enginuity!$A$17)
    )
  ),
  ROW(),
  ""
)</f>
        <v/>
      </c>
    </row>
    <row r="4453" spans="21:21" x14ac:dyDescent="0.25">
      <c r="U4453" s="104" t="str">
        <f>IF(
  AND(
    TRIM(A4453)=TRIM(Enginuity!$A$1),
    TRIM(B4453)=TRIM(Enginuity!$A$17),
    Q4453&lt;&gt;"",
    Q4453&lt;&gt;0,
    OR(
      TRIM(C4453)=TRIM(Enginuity!$A$18),
      AND(UPPER(TRIM(M4453))="STD", TRIM(B4453)=TRIM(Enginuity!$A$17))
    ),
    OR(
      AND(LEFT(P4453,5)="1-Way", Enginuity!$B$13=1),
      AND(LEFT(P4453,5)="2-Way", OR(Enginuity!$B$13=2, Enginuity!$B$13=4)),
      AND(LEFT(P4453,5)="3-Way", OR(Enginuity!$B$13=3, Enginuity!$B$13=6)),
      AND(P4453="Inner Centre Jamb", OR(Enginuity!$B$13=4, Enginuity!$B$13=6)),
      AND(
        LEFT(P4453,5)&lt;&gt;"1-Way",
        LEFT(P4453,5)&lt;&gt;"2-Way",
        LEFT(P4453,5)&lt;&gt;"3-Way",
        P4453&lt;&gt;"Inner Centre Jamb"
      )
    ),
    IF(OR(Enginuity!$A$1="Frameless Glass",Enginuity!$A$1="Metal Work"),
      AND(TRIM(B4453)=TRIM(Enginuity!$A$17),TRIM(C4453)=TRIM(Enginuity!$A$18)),
      TRIM(B4453)=TRIM(Enginuity!$A$17)
    )
  ),
  ROW(),
  ""
)</f>
        <v/>
      </c>
    </row>
    <row r="4454" spans="21:21" x14ac:dyDescent="0.25">
      <c r="U4454" s="104" t="str">
        <f>IF(
  AND(
    TRIM(A4454)=TRIM(Enginuity!$A$1),
    TRIM(B4454)=TRIM(Enginuity!$A$17),
    Q4454&lt;&gt;"",
    Q4454&lt;&gt;0,
    OR(
      TRIM(C4454)=TRIM(Enginuity!$A$18),
      AND(UPPER(TRIM(M4454))="STD", TRIM(B4454)=TRIM(Enginuity!$A$17))
    ),
    OR(
      AND(LEFT(P4454,5)="1-Way", Enginuity!$B$13=1),
      AND(LEFT(P4454,5)="2-Way", OR(Enginuity!$B$13=2, Enginuity!$B$13=4)),
      AND(LEFT(P4454,5)="3-Way", OR(Enginuity!$B$13=3, Enginuity!$B$13=6)),
      AND(P4454="Inner Centre Jamb", OR(Enginuity!$B$13=4, Enginuity!$B$13=6)),
      AND(
        LEFT(P4454,5)&lt;&gt;"1-Way",
        LEFT(P4454,5)&lt;&gt;"2-Way",
        LEFT(P4454,5)&lt;&gt;"3-Way",
        P4454&lt;&gt;"Inner Centre Jamb"
      )
    ),
    IF(OR(Enginuity!$A$1="Frameless Glass",Enginuity!$A$1="Metal Work"),
      AND(TRIM(B4454)=TRIM(Enginuity!$A$17),TRIM(C4454)=TRIM(Enginuity!$A$18)),
      TRIM(B4454)=TRIM(Enginuity!$A$17)
    )
  ),
  ROW(),
  ""
)</f>
        <v/>
      </c>
    </row>
    <row r="4455" spans="21:21" x14ac:dyDescent="0.25">
      <c r="U4455" s="104" t="str">
        <f>IF(
  AND(
    TRIM(A4455)=TRIM(Enginuity!$A$1),
    TRIM(B4455)=TRIM(Enginuity!$A$17),
    Q4455&lt;&gt;"",
    Q4455&lt;&gt;0,
    OR(
      TRIM(C4455)=TRIM(Enginuity!$A$18),
      AND(UPPER(TRIM(M4455))="STD", TRIM(B4455)=TRIM(Enginuity!$A$17))
    ),
    OR(
      AND(LEFT(P4455,5)="1-Way", Enginuity!$B$13=1),
      AND(LEFT(P4455,5)="2-Way", OR(Enginuity!$B$13=2, Enginuity!$B$13=4)),
      AND(LEFT(P4455,5)="3-Way", OR(Enginuity!$B$13=3, Enginuity!$B$13=6)),
      AND(P4455="Inner Centre Jamb", OR(Enginuity!$B$13=4, Enginuity!$B$13=6)),
      AND(
        LEFT(P4455,5)&lt;&gt;"1-Way",
        LEFT(P4455,5)&lt;&gt;"2-Way",
        LEFT(P4455,5)&lt;&gt;"3-Way",
        P4455&lt;&gt;"Inner Centre Jamb"
      )
    ),
    IF(OR(Enginuity!$A$1="Frameless Glass",Enginuity!$A$1="Metal Work"),
      AND(TRIM(B4455)=TRIM(Enginuity!$A$17),TRIM(C4455)=TRIM(Enginuity!$A$18)),
      TRIM(B4455)=TRIM(Enginuity!$A$17)
    )
  ),
  ROW(),
  ""
)</f>
        <v/>
      </c>
    </row>
    <row r="4456" spans="21:21" x14ac:dyDescent="0.25">
      <c r="U4456" s="104" t="str">
        <f>IF(
  AND(
    TRIM(A4456)=TRIM(Enginuity!$A$1),
    TRIM(B4456)=TRIM(Enginuity!$A$17),
    Q4456&lt;&gt;"",
    Q4456&lt;&gt;0,
    OR(
      TRIM(C4456)=TRIM(Enginuity!$A$18),
      AND(UPPER(TRIM(M4456))="STD", TRIM(B4456)=TRIM(Enginuity!$A$17))
    ),
    OR(
      AND(LEFT(P4456,5)="1-Way", Enginuity!$B$13=1),
      AND(LEFT(P4456,5)="2-Way", OR(Enginuity!$B$13=2, Enginuity!$B$13=4)),
      AND(LEFT(P4456,5)="3-Way", OR(Enginuity!$B$13=3, Enginuity!$B$13=6)),
      AND(P4456="Inner Centre Jamb", OR(Enginuity!$B$13=4, Enginuity!$B$13=6)),
      AND(
        LEFT(P4456,5)&lt;&gt;"1-Way",
        LEFT(P4456,5)&lt;&gt;"2-Way",
        LEFT(P4456,5)&lt;&gt;"3-Way",
        P4456&lt;&gt;"Inner Centre Jamb"
      )
    ),
    IF(OR(Enginuity!$A$1="Frameless Glass",Enginuity!$A$1="Metal Work"),
      AND(TRIM(B4456)=TRIM(Enginuity!$A$17),TRIM(C4456)=TRIM(Enginuity!$A$18)),
      TRIM(B4456)=TRIM(Enginuity!$A$17)
    )
  ),
  ROW(),
  ""
)</f>
        <v/>
      </c>
    </row>
    <row r="4457" spans="21:21" x14ac:dyDescent="0.25">
      <c r="U4457" s="104" t="str">
        <f>IF(
  AND(
    TRIM(A4457)=TRIM(Enginuity!$A$1),
    TRIM(B4457)=TRIM(Enginuity!$A$17),
    Q4457&lt;&gt;"",
    Q4457&lt;&gt;0,
    OR(
      TRIM(C4457)=TRIM(Enginuity!$A$18),
      AND(UPPER(TRIM(M4457))="STD", TRIM(B4457)=TRIM(Enginuity!$A$17))
    ),
    OR(
      AND(LEFT(P4457,5)="1-Way", Enginuity!$B$13=1),
      AND(LEFT(P4457,5)="2-Way", OR(Enginuity!$B$13=2, Enginuity!$B$13=4)),
      AND(LEFT(P4457,5)="3-Way", OR(Enginuity!$B$13=3, Enginuity!$B$13=6)),
      AND(P4457="Inner Centre Jamb", OR(Enginuity!$B$13=4, Enginuity!$B$13=6)),
      AND(
        LEFT(P4457,5)&lt;&gt;"1-Way",
        LEFT(P4457,5)&lt;&gt;"2-Way",
        LEFT(P4457,5)&lt;&gt;"3-Way",
        P4457&lt;&gt;"Inner Centre Jamb"
      )
    ),
    IF(OR(Enginuity!$A$1="Frameless Glass",Enginuity!$A$1="Metal Work"),
      AND(TRIM(B4457)=TRIM(Enginuity!$A$17),TRIM(C4457)=TRIM(Enginuity!$A$18)),
      TRIM(B4457)=TRIM(Enginuity!$A$17)
    )
  ),
  ROW(),
  ""
)</f>
        <v/>
      </c>
    </row>
    <row r="4458" spans="21:21" x14ac:dyDescent="0.25">
      <c r="U4458" s="104" t="str">
        <f>IF(
  AND(
    TRIM(A4458)=TRIM(Enginuity!$A$1),
    TRIM(B4458)=TRIM(Enginuity!$A$17),
    Q4458&lt;&gt;"",
    Q4458&lt;&gt;0,
    OR(
      TRIM(C4458)=TRIM(Enginuity!$A$18),
      AND(UPPER(TRIM(M4458))="STD", TRIM(B4458)=TRIM(Enginuity!$A$17))
    ),
    OR(
      AND(LEFT(P4458,5)="1-Way", Enginuity!$B$13=1),
      AND(LEFT(P4458,5)="2-Way", OR(Enginuity!$B$13=2, Enginuity!$B$13=4)),
      AND(LEFT(P4458,5)="3-Way", OR(Enginuity!$B$13=3, Enginuity!$B$13=6)),
      AND(P4458="Inner Centre Jamb", OR(Enginuity!$B$13=4, Enginuity!$B$13=6)),
      AND(
        LEFT(P4458,5)&lt;&gt;"1-Way",
        LEFT(P4458,5)&lt;&gt;"2-Way",
        LEFT(P4458,5)&lt;&gt;"3-Way",
        P4458&lt;&gt;"Inner Centre Jamb"
      )
    ),
    IF(OR(Enginuity!$A$1="Frameless Glass",Enginuity!$A$1="Metal Work"),
      AND(TRIM(B4458)=TRIM(Enginuity!$A$17),TRIM(C4458)=TRIM(Enginuity!$A$18)),
      TRIM(B4458)=TRIM(Enginuity!$A$17)
    )
  ),
  ROW(),
  ""
)</f>
        <v/>
      </c>
    </row>
    <row r="4459" spans="21:21" x14ac:dyDescent="0.25">
      <c r="U4459" s="104" t="str">
        <f>IF(
  AND(
    TRIM(A4459)=TRIM(Enginuity!$A$1),
    TRIM(B4459)=TRIM(Enginuity!$A$17),
    Q4459&lt;&gt;"",
    Q4459&lt;&gt;0,
    OR(
      TRIM(C4459)=TRIM(Enginuity!$A$18),
      AND(UPPER(TRIM(M4459))="STD", TRIM(B4459)=TRIM(Enginuity!$A$17))
    ),
    OR(
      AND(LEFT(P4459,5)="1-Way", Enginuity!$B$13=1),
      AND(LEFT(P4459,5)="2-Way", OR(Enginuity!$B$13=2, Enginuity!$B$13=4)),
      AND(LEFT(P4459,5)="3-Way", OR(Enginuity!$B$13=3, Enginuity!$B$13=6)),
      AND(P4459="Inner Centre Jamb", OR(Enginuity!$B$13=4, Enginuity!$B$13=6)),
      AND(
        LEFT(P4459,5)&lt;&gt;"1-Way",
        LEFT(P4459,5)&lt;&gt;"2-Way",
        LEFT(P4459,5)&lt;&gt;"3-Way",
        P4459&lt;&gt;"Inner Centre Jamb"
      )
    ),
    IF(OR(Enginuity!$A$1="Frameless Glass",Enginuity!$A$1="Metal Work"),
      AND(TRIM(B4459)=TRIM(Enginuity!$A$17),TRIM(C4459)=TRIM(Enginuity!$A$18)),
      TRIM(B4459)=TRIM(Enginuity!$A$17)
    )
  ),
  ROW(),
  ""
)</f>
        <v/>
      </c>
    </row>
    <row r="4460" spans="21:21" x14ac:dyDescent="0.25">
      <c r="U4460" s="104" t="str">
        <f>IF(
  AND(
    TRIM(A4460)=TRIM(Enginuity!$A$1),
    TRIM(B4460)=TRIM(Enginuity!$A$17),
    Q4460&lt;&gt;"",
    Q4460&lt;&gt;0,
    OR(
      TRIM(C4460)=TRIM(Enginuity!$A$18),
      AND(UPPER(TRIM(M4460))="STD", TRIM(B4460)=TRIM(Enginuity!$A$17))
    ),
    OR(
      AND(LEFT(P4460,5)="1-Way", Enginuity!$B$13=1),
      AND(LEFT(P4460,5)="2-Way", OR(Enginuity!$B$13=2, Enginuity!$B$13=4)),
      AND(LEFT(P4460,5)="3-Way", OR(Enginuity!$B$13=3, Enginuity!$B$13=6)),
      AND(P4460="Inner Centre Jamb", OR(Enginuity!$B$13=4, Enginuity!$B$13=6)),
      AND(
        LEFT(P4460,5)&lt;&gt;"1-Way",
        LEFT(P4460,5)&lt;&gt;"2-Way",
        LEFT(P4460,5)&lt;&gt;"3-Way",
        P4460&lt;&gt;"Inner Centre Jamb"
      )
    ),
    IF(OR(Enginuity!$A$1="Frameless Glass",Enginuity!$A$1="Metal Work"),
      AND(TRIM(B4460)=TRIM(Enginuity!$A$17),TRIM(C4460)=TRIM(Enginuity!$A$18)),
      TRIM(B4460)=TRIM(Enginuity!$A$17)
    )
  ),
  ROW(),
  ""
)</f>
        <v/>
      </c>
    </row>
    <row r="4461" spans="21:21" x14ac:dyDescent="0.25">
      <c r="U4461" s="104" t="str">
        <f>IF(
  AND(
    TRIM(A4461)=TRIM(Enginuity!$A$1),
    TRIM(B4461)=TRIM(Enginuity!$A$17),
    Q4461&lt;&gt;"",
    Q4461&lt;&gt;0,
    OR(
      TRIM(C4461)=TRIM(Enginuity!$A$18),
      AND(UPPER(TRIM(M4461))="STD", TRIM(B4461)=TRIM(Enginuity!$A$17))
    ),
    OR(
      AND(LEFT(P4461,5)="1-Way", Enginuity!$B$13=1),
      AND(LEFT(P4461,5)="2-Way", OR(Enginuity!$B$13=2, Enginuity!$B$13=4)),
      AND(LEFT(P4461,5)="3-Way", OR(Enginuity!$B$13=3, Enginuity!$B$13=6)),
      AND(P4461="Inner Centre Jamb", OR(Enginuity!$B$13=4, Enginuity!$B$13=6)),
      AND(
        LEFT(P4461,5)&lt;&gt;"1-Way",
        LEFT(P4461,5)&lt;&gt;"2-Way",
        LEFT(P4461,5)&lt;&gt;"3-Way",
        P4461&lt;&gt;"Inner Centre Jamb"
      )
    ),
    IF(OR(Enginuity!$A$1="Frameless Glass",Enginuity!$A$1="Metal Work"),
      AND(TRIM(B4461)=TRIM(Enginuity!$A$17),TRIM(C4461)=TRIM(Enginuity!$A$18)),
      TRIM(B4461)=TRIM(Enginuity!$A$17)
    )
  ),
  ROW(),
  ""
)</f>
        <v/>
      </c>
    </row>
    <row r="4462" spans="21:21" x14ac:dyDescent="0.25">
      <c r="U4462" s="104" t="str">
        <f>IF(
  AND(
    TRIM(A4462)=TRIM(Enginuity!$A$1),
    TRIM(B4462)=TRIM(Enginuity!$A$17),
    Q4462&lt;&gt;"",
    Q4462&lt;&gt;0,
    OR(
      TRIM(C4462)=TRIM(Enginuity!$A$18),
      AND(UPPER(TRIM(M4462))="STD", TRIM(B4462)=TRIM(Enginuity!$A$17))
    ),
    OR(
      AND(LEFT(P4462,5)="1-Way", Enginuity!$B$13=1),
      AND(LEFT(P4462,5)="2-Way", OR(Enginuity!$B$13=2, Enginuity!$B$13=4)),
      AND(LEFT(P4462,5)="3-Way", OR(Enginuity!$B$13=3, Enginuity!$B$13=6)),
      AND(P4462="Inner Centre Jamb", OR(Enginuity!$B$13=4, Enginuity!$B$13=6)),
      AND(
        LEFT(P4462,5)&lt;&gt;"1-Way",
        LEFT(P4462,5)&lt;&gt;"2-Way",
        LEFT(P4462,5)&lt;&gt;"3-Way",
        P4462&lt;&gt;"Inner Centre Jamb"
      )
    ),
    IF(OR(Enginuity!$A$1="Frameless Glass",Enginuity!$A$1="Metal Work"),
      AND(TRIM(B4462)=TRIM(Enginuity!$A$17),TRIM(C4462)=TRIM(Enginuity!$A$18)),
      TRIM(B4462)=TRIM(Enginuity!$A$17)
    )
  ),
  ROW(),
  ""
)</f>
        <v/>
      </c>
    </row>
    <row r="4463" spans="21:21" x14ac:dyDescent="0.25">
      <c r="U4463" s="104" t="str">
        <f>IF(
  AND(
    TRIM(A4463)=TRIM(Enginuity!$A$1),
    TRIM(B4463)=TRIM(Enginuity!$A$17),
    Q4463&lt;&gt;"",
    Q4463&lt;&gt;0,
    OR(
      TRIM(C4463)=TRIM(Enginuity!$A$18),
      AND(UPPER(TRIM(M4463))="STD", TRIM(B4463)=TRIM(Enginuity!$A$17))
    ),
    OR(
      AND(LEFT(P4463,5)="1-Way", Enginuity!$B$13=1),
      AND(LEFT(P4463,5)="2-Way", OR(Enginuity!$B$13=2, Enginuity!$B$13=4)),
      AND(LEFT(P4463,5)="3-Way", OR(Enginuity!$B$13=3, Enginuity!$B$13=6)),
      AND(P4463="Inner Centre Jamb", OR(Enginuity!$B$13=4, Enginuity!$B$13=6)),
      AND(
        LEFT(P4463,5)&lt;&gt;"1-Way",
        LEFT(P4463,5)&lt;&gt;"2-Way",
        LEFT(P4463,5)&lt;&gt;"3-Way",
        P4463&lt;&gt;"Inner Centre Jamb"
      )
    ),
    IF(OR(Enginuity!$A$1="Frameless Glass",Enginuity!$A$1="Metal Work"),
      AND(TRIM(B4463)=TRIM(Enginuity!$A$17),TRIM(C4463)=TRIM(Enginuity!$A$18)),
      TRIM(B4463)=TRIM(Enginuity!$A$17)
    )
  ),
  ROW(),
  ""
)</f>
        <v/>
      </c>
    </row>
    <row r="4464" spans="21:21" x14ac:dyDescent="0.25">
      <c r="U4464" s="104" t="str">
        <f>IF(
  AND(
    TRIM(A4464)=TRIM(Enginuity!$A$1),
    TRIM(B4464)=TRIM(Enginuity!$A$17),
    Q4464&lt;&gt;"",
    Q4464&lt;&gt;0,
    OR(
      TRIM(C4464)=TRIM(Enginuity!$A$18),
      AND(UPPER(TRIM(M4464))="STD", TRIM(B4464)=TRIM(Enginuity!$A$17))
    ),
    OR(
      AND(LEFT(P4464,5)="1-Way", Enginuity!$B$13=1),
      AND(LEFT(P4464,5)="2-Way", OR(Enginuity!$B$13=2, Enginuity!$B$13=4)),
      AND(LEFT(P4464,5)="3-Way", OR(Enginuity!$B$13=3, Enginuity!$B$13=6)),
      AND(P4464="Inner Centre Jamb", OR(Enginuity!$B$13=4, Enginuity!$B$13=6)),
      AND(
        LEFT(P4464,5)&lt;&gt;"1-Way",
        LEFT(P4464,5)&lt;&gt;"2-Way",
        LEFT(P4464,5)&lt;&gt;"3-Way",
        P4464&lt;&gt;"Inner Centre Jamb"
      )
    ),
    IF(OR(Enginuity!$A$1="Frameless Glass",Enginuity!$A$1="Metal Work"),
      AND(TRIM(B4464)=TRIM(Enginuity!$A$17),TRIM(C4464)=TRIM(Enginuity!$A$18)),
      TRIM(B4464)=TRIM(Enginuity!$A$17)
    )
  ),
  ROW(),
  ""
)</f>
        <v/>
      </c>
    </row>
    <row r="4465" spans="21:21" x14ac:dyDescent="0.25">
      <c r="U4465" s="104" t="str">
        <f>IF(
  AND(
    TRIM(A4465)=TRIM(Enginuity!$A$1),
    TRIM(B4465)=TRIM(Enginuity!$A$17),
    Q4465&lt;&gt;"",
    Q4465&lt;&gt;0,
    OR(
      TRIM(C4465)=TRIM(Enginuity!$A$18),
      AND(UPPER(TRIM(M4465))="STD", TRIM(B4465)=TRIM(Enginuity!$A$17))
    ),
    OR(
      AND(LEFT(P4465,5)="1-Way", Enginuity!$B$13=1),
      AND(LEFT(P4465,5)="2-Way", OR(Enginuity!$B$13=2, Enginuity!$B$13=4)),
      AND(LEFT(P4465,5)="3-Way", OR(Enginuity!$B$13=3, Enginuity!$B$13=6)),
      AND(P4465="Inner Centre Jamb", OR(Enginuity!$B$13=4, Enginuity!$B$13=6)),
      AND(
        LEFT(P4465,5)&lt;&gt;"1-Way",
        LEFT(P4465,5)&lt;&gt;"2-Way",
        LEFT(P4465,5)&lt;&gt;"3-Way",
        P4465&lt;&gt;"Inner Centre Jamb"
      )
    ),
    IF(OR(Enginuity!$A$1="Frameless Glass",Enginuity!$A$1="Metal Work"),
      AND(TRIM(B4465)=TRIM(Enginuity!$A$17),TRIM(C4465)=TRIM(Enginuity!$A$18)),
      TRIM(B4465)=TRIM(Enginuity!$A$17)
    )
  ),
  ROW(),
  ""
)</f>
        <v/>
      </c>
    </row>
    <row r="4466" spans="21:21" x14ac:dyDescent="0.25">
      <c r="U4466" s="104" t="str">
        <f>IF(
  AND(
    TRIM(A4466)=TRIM(Enginuity!$A$1),
    TRIM(B4466)=TRIM(Enginuity!$A$17),
    Q4466&lt;&gt;"",
    Q4466&lt;&gt;0,
    OR(
      TRIM(C4466)=TRIM(Enginuity!$A$18),
      AND(UPPER(TRIM(M4466))="STD", TRIM(B4466)=TRIM(Enginuity!$A$17))
    ),
    OR(
      AND(LEFT(P4466,5)="1-Way", Enginuity!$B$13=1),
      AND(LEFT(P4466,5)="2-Way", OR(Enginuity!$B$13=2, Enginuity!$B$13=4)),
      AND(LEFT(P4466,5)="3-Way", OR(Enginuity!$B$13=3, Enginuity!$B$13=6)),
      AND(P4466="Inner Centre Jamb", OR(Enginuity!$B$13=4, Enginuity!$B$13=6)),
      AND(
        LEFT(P4466,5)&lt;&gt;"1-Way",
        LEFT(P4466,5)&lt;&gt;"2-Way",
        LEFT(P4466,5)&lt;&gt;"3-Way",
        P4466&lt;&gt;"Inner Centre Jamb"
      )
    ),
    IF(OR(Enginuity!$A$1="Frameless Glass",Enginuity!$A$1="Metal Work"),
      AND(TRIM(B4466)=TRIM(Enginuity!$A$17),TRIM(C4466)=TRIM(Enginuity!$A$18)),
      TRIM(B4466)=TRIM(Enginuity!$A$17)
    )
  ),
  ROW(),
  ""
)</f>
        <v/>
      </c>
    </row>
    <row r="4467" spans="21:21" x14ac:dyDescent="0.25">
      <c r="U4467" s="104" t="str">
        <f>IF(
  AND(
    TRIM(A4467)=TRIM(Enginuity!$A$1),
    TRIM(B4467)=TRIM(Enginuity!$A$17),
    Q4467&lt;&gt;"",
    Q4467&lt;&gt;0,
    OR(
      TRIM(C4467)=TRIM(Enginuity!$A$18),
      AND(UPPER(TRIM(M4467))="STD", TRIM(B4467)=TRIM(Enginuity!$A$17))
    ),
    OR(
      AND(LEFT(P4467,5)="1-Way", Enginuity!$B$13=1),
      AND(LEFT(P4467,5)="2-Way", OR(Enginuity!$B$13=2, Enginuity!$B$13=4)),
      AND(LEFT(P4467,5)="3-Way", OR(Enginuity!$B$13=3, Enginuity!$B$13=6)),
      AND(P4467="Inner Centre Jamb", OR(Enginuity!$B$13=4, Enginuity!$B$13=6)),
      AND(
        LEFT(P4467,5)&lt;&gt;"1-Way",
        LEFT(P4467,5)&lt;&gt;"2-Way",
        LEFT(P4467,5)&lt;&gt;"3-Way",
        P4467&lt;&gt;"Inner Centre Jamb"
      )
    ),
    IF(OR(Enginuity!$A$1="Frameless Glass",Enginuity!$A$1="Metal Work"),
      AND(TRIM(B4467)=TRIM(Enginuity!$A$17),TRIM(C4467)=TRIM(Enginuity!$A$18)),
      TRIM(B4467)=TRIM(Enginuity!$A$17)
    )
  ),
  ROW(),
  ""
)</f>
        <v/>
      </c>
    </row>
    <row r="4468" spans="21:21" x14ac:dyDescent="0.25">
      <c r="U4468" s="104" t="str">
        <f>IF(
  AND(
    TRIM(A4468)=TRIM(Enginuity!$A$1),
    TRIM(B4468)=TRIM(Enginuity!$A$17),
    Q4468&lt;&gt;"",
    Q4468&lt;&gt;0,
    OR(
      TRIM(C4468)=TRIM(Enginuity!$A$18),
      AND(UPPER(TRIM(M4468))="STD", TRIM(B4468)=TRIM(Enginuity!$A$17))
    ),
    OR(
      AND(LEFT(P4468,5)="1-Way", Enginuity!$B$13=1),
      AND(LEFT(P4468,5)="2-Way", OR(Enginuity!$B$13=2, Enginuity!$B$13=4)),
      AND(LEFT(P4468,5)="3-Way", OR(Enginuity!$B$13=3, Enginuity!$B$13=6)),
      AND(P4468="Inner Centre Jamb", OR(Enginuity!$B$13=4, Enginuity!$B$13=6)),
      AND(
        LEFT(P4468,5)&lt;&gt;"1-Way",
        LEFT(P4468,5)&lt;&gt;"2-Way",
        LEFT(P4468,5)&lt;&gt;"3-Way",
        P4468&lt;&gt;"Inner Centre Jamb"
      )
    ),
    IF(OR(Enginuity!$A$1="Frameless Glass",Enginuity!$A$1="Metal Work"),
      AND(TRIM(B4468)=TRIM(Enginuity!$A$17),TRIM(C4468)=TRIM(Enginuity!$A$18)),
      TRIM(B4468)=TRIM(Enginuity!$A$17)
    )
  ),
  ROW(),
  ""
)</f>
        <v/>
      </c>
    </row>
    <row r="4469" spans="21:21" x14ac:dyDescent="0.25">
      <c r="U4469" s="104" t="str">
        <f>IF(
  AND(
    TRIM(A4469)=TRIM(Enginuity!$A$1),
    TRIM(B4469)=TRIM(Enginuity!$A$17),
    Q4469&lt;&gt;"",
    Q4469&lt;&gt;0,
    OR(
      TRIM(C4469)=TRIM(Enginuity!$A$18),
      AND(UPPER(TRIM(M4469))="STD", TRIM(B4469)=TRIM(Enginuity!$A$17))
    ),
    OR(
      AND(LEFT(P4469,5)="1-Way", Enginuity!$B$13=1),
      AND(LEFT(P4469,5)="2-Way", OR(Enginuity!$B$13=2, Enginuity!$B$13=4)),
      AND(LEFT(P4469,5)="3-Way", OR(Enginuity!$B$13=3, Enginuity!$B$13=6)),
      AND(P4469="Inner Centre Jamb", OR(Enginuity!$B$13=4, Enginuity!$B$13=6)),
      AND(
        LEFT(P4469,5)&lt;&gt;"1-Way",
        LEFT(P4469,5)&lt;&gt;"2-Way",
        LEFT(P4469,5)&lt;&gt;"3-Way",
        P4469&lt;&gt;"Inner Centre Jamb"
      )
    ),
    IF(OR(Enginuity!$A$1="Frameless Glass",Enginuity!$A$1="Metal Work"),
      AND(TRIM(B4469)=TRIM(Enginuity!$A$17),TRIM(C4469)=TRIM(Enginuity!$A$18)),
      TRIM(B4469)=TRIM(Enginuity!$A$17)
    )
  ),
  ROW(),
  ""
)</f>
        <v/>
      </c>
    </row>
    <row r="4470" spans="21:21" x14ac:dyDescent="0.25">
      <c r="U4470" s="104" t="str">
        <f>IF(
  AND(
    TRIM(A4470)=TRIM(Enginuity!$A$1),
    TRIM(B4470)=TRIM(Enginuity!$A$17),
    Q4470&lt;&gt;"",
    Q4470&lt;&gt;0,
    OR(
      TRIM(C4470)=TRIM(Enginuity!$A$18),
      AND(UPPER(TRIM(M4470))="STD", TRIM(B4470)=TRIM(Enginuity!$A$17))
    ),
    OR(
      AND(LEFT(P4470,5)="1-Way", Enginuity!$B$13=1),
      AND(LEFT(P4470,5)="2-Way", OR(Enginuity!$B$13=2, Enginuity!$B$13=4)),
      AND(LEFT(P4470,5)="3-Way", OR(Enginuity!$B$13=3, Enginuity!$B$13=6)),
      AND(P4470="Inner Centre Jamb", OR(Enginuity!$B$13=4, Enginuity!$B$13=6)),
      AND(
        LEFT(P4470,5)&lt;&gt;"1-Way",
        LEFT(P4470,5)&lt;&gt;"2-Way",
        LEFT(P4470,5)&lt;&gt;"3-Way",
        P4470&lt;&gt;"Inner Centre Jamb"
      )
    ),
    IF(OR(Enginuity!$A$1="Frameless Glass",Enginuity!$A$1="Metal Work"),
      AND(TRIM(B4470)=TRIM(Enginuity!$A$17),TRIM(C4470)=TRIM(Enginuity!$A$18)),
      TRIM(B4470)=TRIM(Enginuity!$A$17)
    )
  ),
  ROW(),
  ""
)</f>
        <v/>
      </c>
    </row>
    <row r="4471" spans="21:21" x14ac:dyDescent="0.25">
      <c r="U4471" s="104" t="str">
        <f>IF(
  AND(
    TRIM(A4471)=TRIM(Enginuity!$A$1),
    TRIM(B4471)=TRIM(Enginuity!$A$17),
    Q4471&lt;&gt;"",
    Q4471&lt;&gt;0,
    OR(
      TRIM(C4471)=TRIM(Enginuity!$A$18),
      AND(UPPER(TRIM(M4471))="STD", TRIM(B4471)=TRIM(Enginuity!$A$17))
    ),
    OR(
      AND(LEFT(P4471,5)="1-Way", Enginuity!$B$13=1),
      AND(LEFT(P4471,5)="2-Way", OR(Enginuity!$B$13=2, Enginuity!$B$13=4)),
      AND(LEFT(P4471,5)="3-Way", OR(Enginuity!$B$13=3, Enginuity!$B$13=6)),
      AND(P4471="Inner Centre Jamb", OR(Enginuity!$B$13=4, Enginuity!$B$13=6)),
      AND(
        LEFT(P4471,5)&lt;&gt;"1-Way",
        LEFT(P4471,5)&lt;&gt;"2-Way",
        LEFT(P4471,5)&lt;&gt;"3-Way",
        P4471&lt;&gt;"Inner Centre Jamb"
      )
    ),
    IF(OR(Enginuity!$A$1="Frameless Glass",Enginuity!$A$1="Metal Work"),
      AND(TRIM(B4471)=TRIM(Enginuity!$A$17),TRIM(C4471)=TRIM(Enginuity!$A$18)),
      TRIM(B4471)=TRIM(Enginuity!$A$17)
    )
  ),
  ROW(),
  ""
)</f>
        <v/>
      </c>
    </row>
    <row r="4472" spans="21:21" x14ac:dyDescent="0.25">
      <c r="U4472" s="104" t="str">
        <f>IF(
  AND(
    TRIM(A4472)=TRIM(Enginuity!$A$1),
    TRIM(B4472)=TRIM(Enginuity!$A$17),
    Q4472&lt;&gt;"",
    Q4472&lt;&gt;0,
    OR(
      TRIM(C4472)=TRIM(Enginuity!$A$18),
      AND(UPPER(TRIM(M4472))="STD", TRIM(B4472)=TRIM(Enginuity!$A$17))
    ),
    OR(
      AND(LEFT(P4472,5)="1-Way", Enginuity!$B$13=1),
      AND(LEFT(P4472,5)="2-Way", OR(Enginuity!$B$13=2, Enginuity!$B$13=4)),
      AND(LEFT(P4472,5)="3-Way", OR(Enginuity!$B$13=3, Enginuity!$B$13=6)),
      AND(P4472="Inner Centre Jamb", OR(Enginuity!$B$13=4, Enginuity!$B$13=6)),
      AND(
        LEFT(P4472,5)&lt;&gt;"1-Way",
        LEFT(P4472,5)&lt;&gt;"2-Way",
        LEFT(P4472,5)&lt;&gt;"3-Way",
        P4472&lt;&gt;"Inner Centre Jamb"
      )
    ),
    IF(OR(Enginuity!$A$1="Frameless Glass",Enginuity!$A$1="Metal Work"),
      AND(TRIM(B4472)=TRIM(Enginuity!$A$17),TRIM(C4472)=TRIM(Enginuity!$A$18)),
      TRIM(B4472)=TRIM(Enginuity!$A$17)
    )
  ),
  ROW(),
  ""
)</f>
        <v/>
      </c>
    </row>
    <row r="4473" spans="21:21" x14ac:dyDescent="0.25">
      <c r="U4473" s="104" t="str">
        <f>IF(
  AND(
    TRIM(A4473)=TRIM(Enginuity!$A$1),
    TRIM(B4473)=TRIM(Enginuity!$A$17),
    Q4473&lt;&gt;"",
    Q4473&lt;&gt;0,
    OR(
      TRIM(C4473)=TRIM(Enginuity!$A$18),
      AND(UPPER(TRIM(M4473))="STD", TRIM(B4473)=TRIM(Enginuity!$A$17))
    ),
    OR(
      AND(LEFT(P4473,5)="1-Way", Enginuity!$B$13=1),
      AND(LEFT(P4473,5)="2-Way", OR(Enginuity!$B$13=2, Enginuity!$B$13=4)),
      AND(LEFT(P4473,5)="3-Way", OR(Enginuity!$B$13=3, Enginuity!$B$13=6)),
      AND(P4473="Inner Centre Jamb", OR(Enginuity!$B$13=4, Enginuity!$B$13=6)),
      AND(
        LEFT(P4473,5)&lt;&gt;"1-Way",
        LEFT(P4473,5)&lt;&gt;"2-Way",
        LEFT(P4473,5)&lt;&gt;"3-Way",
        P4473&lt;&gt;"Inner Centre Jamb"
      )
    ),
    IF(OR(Enginuity!$A$1="Frameless Glass",Enginuity!$A$1="Metal Work"),
      AND(TRIM(B4473)=TRIM(Enginuity!$A$17),TRIM(C4473)=TRIM(Enginuity!$A$18)),
      TRIM(B4473)=TRIM(Enginuity!$A$17)
    )
  ),
  ROW(),
  ""
)</f>
        <v/>
      </c>
    </row>
    <row r="4474" spans="21:21" x14ac:dyDescent="0.25">
      <c r="U4474" s="104" t="str">
        <f>IF(
  AND(
    TRIM(A4474)=TRIM(Enginuity!$A$1),
    TRIM(B4474)=TRIM(Enginuity!$A$17),
    Q4474&lt;&gt;"",
    Q4474&lt;&gt;0,
    OR(
      TRIM(C4474)=TRIM(Enginuity!$A$18),
      AND(UPPER(TRIM(M4474))="STD", TRIM(B4474)=TRIM(Enginuity!$A$17))
    ),
    OR(
      AND(LEFT(P4474,5)="1-Way", Enginuity!$B$13=1),
      AND(LEFT(P4474,5)="2-Way", OR(Enginuity!$B$13=2, Enginuity!$B$13=4)),
      AND(LEFT(P4474,5)="3-Way", OR(Enginuity!$B$13=3, Enginuity!$B$13=6)),
      AND(P4474="Inner Centre Jamb", OR(Enginuity!$B$13=4, Enginuity!$B$13=6)),
      AND(
        LEFT(P4474,5)&lt;&gt;"1-Way",
        LEFT(P4474,5)&lt;&gt;"2-Way",
        LEFT(P4474,5)&lt;&gt;"3-Way",
        P4474&lt;&gt;"Inner Centre Jamb"
      )
    ),
    IF(OR(Enginuity!$A$1="Frameless Glass",Enginuity!$A$1="Metal Work"),
      AND(TRIM(B4474)=TRIM(Enginuity!$A$17),TRIM(C4474)=TRIM(Enginuity!$A$18)),
      TRIM(B4474)=TRIM(Enginuity!$A$17)
    )
  ),
  ROW(),
  ""
)</f>
        <v/>
      </c>
    </row>
    <row r="4475" spans="21:21" x14ac:dyDescent="0.25">
      <c r="U4475" s="104" t="str">
        <f>IF(
  AND(
    TRIM(A4475)=TRIM(Enginuity!$A$1),
    TRIM(B4475)=TRIM(Enginuity!$A$17),
    Q4475&lt;&gt;"",
    Q4475&lt;&gt;0,
    OR(
      TRIM(C4475)=TRIM(Enginuity!$A$18),
      AND(UPPER(TRIM(M4475))="STD", TRIM(B4475)=TRIM(Enginuity!$A$17))
    ),
    OR(
      AND(LEFT(P4475,5)="1-Way", Enginuity!$B$13=1),
      AND(LEFT(P4475,5)="2-Way", OR(Enginuity!$B$13=2, Enginuity!$B$13=4)),
      AND(LEFT(P4475,5)="3-Way", OR(Enginuity!$B$13=3, Enginuity!$B$13=6)),
      AND(P4475="Inner Centre Jamb", OR(Enginuity!$B$13=4, Enginuity!$B$13=6)),
      AND(
        LEFT(P4475,5)&lt;&gt;"1-Way",
        LEFT(P4475,5)&lt;&gt;"2-Way",
        LEFT(P4475,5)&lt;&gt;"3-Way",
        P4475&lt;&gt;"Inner Centre Jamb"
      )
    ),
    IF(OR(Enginuity!$A$1="Frameless Glass",Enginuity!$A$1="Metal Work"),
      AND(TRIM(B4475)=TRIM(Enginuity!$A$17),TRIM(C4475)=TRIM(Enginuity!$A$18)),
      TRIM(B4475)=TRIM(Enginuity!$A$17)
    )
  ),
  ROW(),
  ""
)</f>
        <v/>
      </c>
    </row>
    <row r="4476" spans="21:21" x14ac:dyDescent="0.25">
      <c r="U4476" s="104" t="str">
        <f>IF(
  AND(
    TRIM(A4476)=TRIM(Enginuity!$A$1),
    TRIM(B4476)=TRIM(Enginuity!$A$17),
    Q4476&lt;&gt;"",
    Q4476&lt;&gt;0,
    OR(
      TRIM(C4476)=TRIM(Enginuity!$A$18),
      AND(UPPER(TRIM(M4476))="STD", TRIM(B4476)=TRIM(Enginuity!$A$17))
    ),
    OR(
      AND(LEFT(P4476,5)="1-Way", Enginuity!$B$13=1),
      AND(LEFT(P4476,5)="2-Way", OR(Enginuity!$B$13=2, Enginuity!$B$13=4)),
      AND(LEFT(P4476,5)="3-Way", OR(Enginuity!$B$13=3, Enginuity!$B$13=6)),
      AND(P4476="Inner Centre Jamb", OR(Enginuity!$B$13=4, Enginuity!$B$13=6)),
      AND(
        LEFT(P4476,5)&lt;&gt;"1-Way",
        LEFT(P4476,5)&lt;&gt;"2-Way",
        LEFT(P4476,5)&lt;&gt;"3-Way",
        P4476&lt;&gt;"Inner Centre Jamb"
      )
    ),
    IF(OR(Enginuity!$A$1="Frameless Glass",Enginuity!$A$1="Metal Work"),
      AND(TRIM(B4476)=TRIM(Enginuity!$A$17),TRIM(C4476)=TRIM(Enginuity!$A$18)),
      TRIM(B4476)=TRIM(Enginuity!$A$17)
    )
  ),
  ROW(),
  ""
)</f>
        <v/>
      </c>
    </row>
    <row r="4477" spans="21:21" x14ac:dyDescent="0.25">
      <c r="U4477" s="104" t="str">
        <f>IF(
  AND(
    TRIM(A4477)=TRIM(Enginuity!$A$1),
    TRIM(B4477)=TRIM(Enginuity!$A$17),
    Q4477&lt;&gt;"",
    Q4477&lt;&gt;0,
    OR(
      TRIM(C4477)=TRIM(Enginuity!$A$18),
      AND(UPPER(TRIM(M4477))="STD", TRIM(B4477)=TRIM(Enginuity!$A$17))
    ),
    OR(
      AND(LEFT(P4477,5)="1-Way", Enginuity!$B$13=1),
      AND(LEFT(P4477,5)="2-Way", OR(Enginuity!$B$13=2, Enginuity!$B$13=4)),
      AND(LEFT(P4477,5)="3-Way", OR(Enginuity!$B$13=3, Enginuity!$B$13=6)),
      AND(P4477="Inner Centre Jamb", OR(Enginuity!$B$13=4, Enginuity!$B$13=6)),
      AND(
        LEFT(P4477,5)&lt;&gt;"1-Way",
        LEFT(P4477,5)&lt;&gt;"2-Way",
        LEFT(P4477,5)&lt;&gt;"3-Way",
        P4477&lt;&gt;"Inner Centre Jamb"
      )
    ),
    IF(OR(Enginuity!$A$1="Frameless Glass",Enginuity!$A$1="Metal Work"),
      AND(TRIM(B4477)=TRIM(Enginuity!$A$17),TRIM(C4477)=TRIM(Enginuity!$A$18)),
      TRIM(B4477)=TRIM(Enginuity!$A$17)
    )
  ),
  ROW(),
  ""
)</f>
        <v/>
      </c>
    </row>
    <row r="4478" spans="21:21" x14ac:dyDescent="0.25">
      <c r="U4478" s="104" t="str">
        <f>IF(
  AND(
    TRIM(A4478)=TRIM(Enginuity!$A$1),
    TRIM(B4478)=TRIM(Enginuity!$A$17),
    Q4478&lt;&gt;"",
    Q4478&lt;&gt;0,
    OR(
      TRIM(C4478)=TRIM(Enginuity!$A$18),
      AND(UPPER(TRIM(M4478))="STD", TRIM(B4478)=TRIM(Enginuity!$A$17))
    ),
    OR(
      AND(LEFT(P4478,5)="1-Way", Enginuity!$B$13=1),
      AND(LEFT(P4478,5)="2-Way", OR(Enginuity!$B$13=2, Enginuity!$B$13=4)),
      AND(LEFT(P4478,5)="3-Way", OR(Enginuity!$B$13=3, Enginuity!$B$13=6)),
      AND(P4478="Inner Centre Jamb", OR(Enginuity!$B$13=4, Enginuity!$B$13=6)),
      AND(
        LEFT(P4478,5)&lt;&gt;"1-Way",
        LEFT(P4478,5)&lt;&gt;"2-Way",
        LEFT(P4478,5)&lt;&gt;"3-Way",
        P4478&lt;&gt;"Inner Centre Jamb"
      )
    ),
    IF(OR(Enginuity!$A$1="Frameless Glass",Enginuity!$A$1="Metal Work"),
      AND(TRIM(B4478)=TRIM(Enginuity!$A$17),TRIM(C4478)=TRIM(Enginuity!$A$18)),
      TRIM(B4478)=TRIM(Enginuity!$A$17)
    )
  ),
  ROW(),
  ""
)</f>
        <v/>
      </c>
    </row>
    <row r="4479" spans="21:21" x14ac:dyDescent="0.25">
      <c r="U4479" s="104" t="str">
        <f>IF(
  AND(
    TRIM(A4479)=TRIM(Enginuity!$A$1),
    TRIM(B4479)=TRIM(Enginuity!$A$17),
    Q4479&lt;&gt;"",
    Q4479&lt;&gt;0,
    OR(
      TRIM(C4479)=TRIM(Enginuity!$A$18),
      AND(UPPER(TRIM(M4479))="STD", TRIM(B4479)=TRIM(Enginuity!$A$17))
    ),
    OR(
      AND(LEFT(P4479,5)="1-Way", Enginuity!$B$13=1),
      AND(LEFT(P4479,5)="2-Way", OR(Enginuity!$B$13=2, Enginuity!$B$13=4)),
      AND(LEFT(P4479,5)="3-Way", OR(Enginuity!$B$13=3, Enginuity!$B$13=6)),
      AND(P4479="Inner Centre Jamb", OR(Enginuity!$B$13=4, Enginuity!$B$13=6)),
      AND(
        LEFT(P4479,5)&lt;&gt;"1-Way",
        LEFT(P4479,5)&lt;&gt;"2-Way",
        LEFT(P4479,5)&lt;&gt;"3-Way",
        P4479&lt;&gt;"Inner Centre Jamb"
      )
    ),
    IF(OR(Enginuity!$A$1="Frameless Glass",Enginuity!$A$1="Metal Work"),
      AND(TRIM(B4479)=TRIM(Enginuity!$A$17),TRIM(C4479)=TRIM(Enginuity!$A$18)),
      TRIM(B4479)=TRIM(Enginuity!$A$17)
    )
  ),
  ROW(),
  ""
)</f>
        <v/>
      </c>
    </row>
    <row r="4480" spans="21:21" x14ac:dyDescent="0.25">
      <c r="U4480" s="104" t="str">
        <f>IF(
  AND(
    TRIM(A4480)=TRIM(Enginuity!$A$1),
    TRIM(B4480)=TRIM(Enginuity!$A$17),
    Q4480&lt;&gt;"",
    Q4480&lt;&gt;0,
    OR(
      TRIM(C4480)=TRIM(Enginuity!$A$18),
      AND(UPPER(TRIM(M4480))="STD", TRIM(B4480)=TRIM(Enginuity!$A$17))
    ),
    OR(
      AND(LEFT(P4480,5)="1-Way", Enginuity!$B$13=1),
      AND(LEFT(P4480,5)="2-Way", OR(Enginuity!$B$13=2, Enginuity!$B$13=4)),
      AND(LEFT(P4480,5)="3-Way", OR(Enginuity!$B$13=3, Enginuity!$B$13=6)),
      AND(P4480="Inner Centre Jamb", OR(Enginuity!$B$13=4, Enginuity!$B$13=6)),
      AND(
        LEFT(P4480,5)&lt;&gt;"1-Way",
        LEFT(P4480,5)&lt;&gt;"2-Way",
        LEFT(P4480,5)&lt;&gt;"3-Way",
        P4480&lt;&gt;"Inner Centre Jamb"
      )
    ),
    IF(OR(Enginuity!$A$1="Frameless Glass",Enginuity!$A$1="Metal Work"),
      AND(TRIM(B4480)=TRIM(Enginuity!$A$17),TRIM(C4480)=TRIM(Enginuity!$A$18)),
      TRIM(B4480)=TRIM(Enginuity!$A$17)
    )
  ),
  ROW(),
  ""
)</f>
        <v/>
      </c>
    </row>
    <row r="4481" spans="21:21" x14ac:dyDescent="0.25">
      <c r="U4481" s="104" t="str">
        <f>IF(
  AND(
    TRIM(A4481)=TRIM(Enginuity!$A$1),
    TRIM(B4481)=TRIM(Enginuity!$A$17),
    Q4481&lt;&gt;"",
    Q4481&lt;&gt;0,
    OR(
      TRIM(C4481)=TRIM(Enginuity!$A$18),
      AND(UPPER(TRIM(M4481))="STD", TRIM(B4481)=TRIM(Enginuity!$A$17))
    ),
    OR(
      AND(LEFT(P4481,5)="1-Way", Enginuity!$B$13=1),
      AND(LEFT(P4481,5)="2-Way", OR(Enginuity!$B$13=2, Enginuity!$B$13=4)),
      AND(LEFT(P4481,5)="3-Way", OR(Enginuity!$B$13=3, Enginuity!$B$13=6)),
      AND(P4481="Inner Centre Jamb", OR(Enginuity!$B$13=4, Enginuity!$B$13=6)),
      AND(
        LEFT(P4481,5)&lt;&gt;"1-Way",
        LEFT(P4481,5)&lt;&gt;"2-Way",
        LEFT(P4481,5)&lt;&gt;"3-Way",
        P4481&lt;&gt;"Inner Centre Jamb"
      )
    ),
    IF(OR(Enginuity!$A$1="Frameless Glass",Enginuity!$A$1="Metal Work"),
      AND(TRIM(B4481)=TRIM(Enginuity!$A$17),TRIM(C4481)=TRIM(Enginuity!$A$18)),
      TRIM(B4481)=TRIM(Enginuity!$A$17)
    )
  ),
  ROW(),
  ""
)</f>
        <v/>
      </c>
    </row>
    <row r="4482" spans="21:21" x14ac:dyDescent="0.25">
      <c r="U4482" s="104" t="str">
        <f>IF(
  AND(
    TRIM(A4482)=TRIM(Enginuity!$A$1),
    TRIM(B4482)=TRIM(Enginuity!$A$17),
    Q4482&lt;&gt;"",
    Q4482&lt;&gt;0,
    OR(
      TRIM(C4482)=TRIM(Enginuity!$A$18),
      AND(UPPER(TRIM(M4482))="STD", TRIM(B4482)=TRIM(Enginuity!$A$17))
    ),
    OR(
      AND(LEFT(P4482,5)="1-Way", Enginuity!$B$13=1),
      AND(LEFT(P4482,5)="2-Way", OR(Enginuity!$B$13=2, Enginuity!$B$13=4)),
      AND(LEFT(P4482,5)="3-Way", OR(Enginuity!$B$13=3, Enginuity!$B$13=6)),
      AND(P4482="Inner Centre Jamb", OR(Enginuity!$B$13=4, Enginuity!$B$13=6)),
      AND(
        LEFT(P4482,5)&lt;&gt;"1-Way",
        LEFT(P4482,5)&lt;&gt;"2-Way",
        LEFT(P4482,5)&lt;&gt;"3-Way",
        P4482&lt;&gt;"Inner Centre Jamb"
      )
    ),
    IF(OR(Enginuity!$A$1="Frameless Glass",Enginuity!$A$1="Metal Work"),
      AND(TRIM(B4482)=TRIM(Enginuity!$A$17),TRIM(C4482)=TRIM(Enginuity!$A$18)),
      TRIM(B4482)=TRIM(Enginuity!$A$17)
    )
  ),
  ROW(),
  ""
)</f>
        <v/>
      </c>
    </row>
    <row r="4483" spans="21:21" x14ac:dyDescent="0.25">
      <c r="U4483" s="104" t="str">
        <f>IF(
  AND(
    TRIM(A4483)=TRIM(Enginuity!$A$1),
    TRIM(B4483)=TRIM(Enginuity!$A$17),
    Q4483&lt;&gt;"",
    Q4483&lt;&gt;0,
    OR(
      TRIM(C4483)=TRIM(Enginuity!$A$18),
      AND(UPPER(TRIM(M4483))="STD", TRIM(B4483)=TRIM(Enginuity!$A$17))
    ),
    OR(
      AND(LEFT(P4483,5)="1-Way", Enginuity!$B$13=1),
      AND(LEFT(P4483,5)="2-Way", OR(Enginuity!$B$13=2, Enginuity!$B$13=4)),
      AND(LEFT(P4483,5)="3-Way", OR(Enginuity!$B$13=3, Enginuity!$B$13=6)),
      AND(P4483="Inner Centre Jamb", OR(Enginuity!$B$13=4, Enginuity!$B$13=6)),
      AND(
        LEFT(P4483,5)&lt;&gt;"1-Way",
        LEFT(P4483,5)&lt;&gt;"2-Way",
        LEFT(P4483,5)&lt;&gt;"3-Way",
        P4483&lt;&gt;"Inner Centre Jamb"
      )
    ),
    IF(OR(Enginuity!$A$1="Frameless Glass",Enginuity!$A$1="Metal Work"),
      AND(TRIM(B4483)=TRIM(Enginuity!$A$17),TRIM(C4483)=TRIM(Enginuity!$A$18)),
      TRIM(B4483)=TRIM(Enginuity!$A$17)
    )
  ),
  ROW(),
  ""
)</f>
        <v/>
      </c>
    </row>
    <row r="4484" spans="21:21" x14ac:dyDescent="0.25">
      <c r="U4484" s="104" t="str">
        <f>IF(
  AND(
    TRIM(A4484)=TRIM(Enginuity!$A$1),
    TRIM(B4484)=TRIM(Enginuity!$A$17),
    Q4484&lt;&gt;"",
    Q4484&lt;&gt;0,
    OR(
      TRIM(C4484)=TRIM(Enginuity!$A$18),
      AND(UPPER(TRIM(M4484))="STD", TRIM(B4484)=TRIM(Enginuity!$A$17))
    ),
    OR(
      AND(LEFT(P4484,5)="1-Way", Enginuity!$B$13=1),
      AND(LEFT(P4484,5)="2-Way", OR(Enginuity!$B$13=2, Enginuity!$B$13=4)),
      AND(LEFT(P4484,5)="3-Way", OR(Enginuity!$B$13=3, Enginuity!$B$13=6)),
      AND(P4484="Inner Centre Jamb", OR(Enginuity!$B$13=4, Enginuity!$B$13=6)),
      AND(
        LEFT(P4484,5)&lt;&gt;"1-Way",
        LEFT(P4484,5)&lt;&gt;"2-Way",
        LEFT(P4484,5)&lt;&gt;"3-Way",
        P4484&lt;&gt;"Inner Centre Jamb"
      )
    ),
    IF(OR(Enginuity!$A$1="Frameless Glass",Enginuity!$A$1="Metal Work"),
      AND(TRIM(B4484)=TRIM(Enginuity!$A$17),TRIM(C4484)=TRIM(Enginuity!$A$18)),
      TRIM(B4484)=TRIM(Enginuity!$A$17)
    )
  ),
  ROW(),
  ""
)</f>
        <v/>
      </c>
    </row>
    <row r="4485" spans="21:21" x14ac:dyDescent="0.25">
      <c r="U4485" s="104" t="str">
        <f>IF(
  AND(
    TRIM(A4485)=TRIM(Enginuity!$A$1),
    TRIM(B4485)=TRIM(Enginuity!$A$17),
    Q4485&lt;&gt;"",
    Q4485&lt;&gt;0,
    OR(
      TRIM(C4485)=TRIM(Enginuity!$A$18),
      AND(UPPER(TRIM(M4485))="STD", TRIM(B4485)=TRIM(Enginuity!$A$17))
    ),
    OR(
      AND(LEFT(P4485,5)="1-Way", Enginuity!$B$13=1),
      AND(LEFT(P4485,5)="2-Way", OR(Enginuity!$B$13=2, Enginuity!$B$13=4)),
      AND(LEFT(P4485,5)="3-Way", OR(Enginuity!$B$13=3, Enginuity!$B$13=6)),
      AND(P4485="Inner Centre Jamb", OR(Enginuity!$B$13=4, Enginuity!$B$13=6)),
      AND(
        LEFT(P4485,5)&lt;&gt;"1-Way",
        LEFT(P4485,5)&lt;&gt;"2-Way",
        LEFT(P4485,5)&lt;&gt;"3-Way",
        P4485&lt;&gt;"Inner Centre Jamb"
      )
    ),
    IF(OR(Enginuity!$A$1="Frameless Glass",Enginuity!$A$1="Metal Work"),
      AND(TRIM(B4485)=TRIM(Enginuity!$A$17),TRIM(C4485)=TRIM(Enginuity!$A$18)),
      TRIM(B4485)=TRIM(Enginuity!$A$17)
    )
  ),
  ROW(),
  ""
)</f>
        <v/>
      </c>
    </row>
    <row r="4486" spans="21:21" x14ac:dyDescent="0.25">
      <c r="U4486" s="104" t="str">
        <f>IF(
  AND(
    TRIM(A4486)=TRIM(Enginuity!$A$1),
    TRIM(B4486)=TRIM(Enginuity!$A$17),
    Q4486&lt;&gt;"",
    Q4486&lt;&gt;0,
    OR(
      TRIM(C4486)=TRIM(Enginuity!$A$18),
      AND(UPPER(TRIM(M4486))="STD", TRIM(B4486)=TRIM(Enginuity!$A$17))
    ),
    OR(
      AND(LEFT(P4486,5)="1-Way", Enginuity!$B$13=1),
      AND(LEFT(P4486,5)="2-Way", OR(Enginuity!$B$13=2, Enginuity!$B$13=4)),
      AND(LEFT(P4486,5)="3-Way", OR(Enginuity!$B$13=3, Enginuity!$B$13=6)),
      AND(P4486="Inner Centre Jamb", OR(Enginuity!$B$13=4, Enginuity!$B$13=6)),
      AND(
        LEFT(P4486,5)&lt;&gt;"1-Way",
        LEFT(P4486,5)&lt;&gt;"2-Way",
        LEFT(P4486,5)&lt;&gt;"3-Way",
        P4486&lt;&gt;"Inner Centre Jamb"
      )
    ),
    IF(OR(Enginuity!$A$1="Frameless Glass",Enginuity!$A$1="Metal Work"),
      AND(TRIM(B4486)=TRIM(Enginuity!$A$17),TRIM(C4486)=TRIM(Enginuity!$A$18)),
      TRIM(B4486)=TRIM(Enginuity!$A$17)
    )
  ),
  ROW(),
  ""
)</f>
        <v/>
      </c>
    </row>
    <row r="4487" spans="21:21" x14ac:dyDescent="0.25">
      <c r="U4487" s="104" t="str">
        <f>IF(
  AND(
    TRIM(A4487)=TRIM(Enginuity!$A$1),
    TRIM(B4487)=TRIM(Enginuity!$A$17),
    Q4487&lt;&gt;"",
    Q4487&lt;&gt;0,
    OR(
      TRIM(C4487)=TRIM(Enginuity!$A$18),
      AND(UPPER(TRIM(M4487))="STD", TRIM(B4487)=TRIM(Enginuity!$A$17))
    ),
    OR(
      AND(LEFT(P4487,5)="1-Way", Enginuity!$B$13=1),
      AND(LEFT(P4487,5)="2-Way", OR(Enginuity!$B$13=2, Enginuity!$B$13=4)),
      AND(LEFT(P4487,5)="3-Way", OR(Enginuity!$B$13=3, Enginuity!$B$13=6)),
      AND(P4487="Inner Centre Jamb", OR(Enginuity!$B$13=4, Enginuity!$B$13=6)),
      AND(
        LEFT(P4487,5)&lt;&gt;"1-Way",
        LEFT(P4487,5)&lt;&gt;"2-Way",
        LEFT(P4487,5)&lt;&gt;"3-Way",
        P4487&lt;&gt;"Inner Centre Jamb"
      )
    ),
    IF(OR(Enginuity!$A$1="Frameless Glass",Enginuity!$A$1="Metal Work"),
      AND(TRIM(B4487)=TRIM(Enginuity!$A$17),TRIM(C4487)=TRIM(Enginuity!$A$18)),
      TRIM(B4487)=TRIM(Enginuity!$A$17)
    )
  ),
  ROW(),
  ""
)</f>
        <v/>
      </c>
    </row>
    <row r="4488" spans="21:21" x14ac:dyDescent="0.25">
      <c r="U4488" s="104" t="str">
        <f>IF(
  AND(
    TRIM(A4488)=TRIM(Enginuity!$A$1),
    TRIM(B4488)=TRIM(Enginuity!$A$17),
    Q4488&lt;&gt;"",
    Q4488&lt;&gt;0,
    OR(
      TRIM(C4488)=TRIM(Enginuity!$A$18),
      AND(UPPER(TRIM(M4488))="STD", TRIM(B4488)=TRIM(Enginuity!$A$17))
    ),
    OR(
      AND(LEFT(P4488,5)="1-Way", Enginuity!$B$13=1),
      AND(LEFT(P4488,5)="2-Way", OR(Enginuity!$B$13=2, Enginuity!$B$13=4)),
      AND(LEFT(P4488,5)="3-Way", OR(Enginuity!$B$13=3, Enginuity!$B$13=6)),
      AND(P4488="Inner Centre Jamb", OR(Enginuity!$B$13=4, Enginuity!$B$13=6)),
      AND(
        LEFT(P4488,5)&lt;&gt;"1-Way",
        LEFT(P4488,5)&lt;&gt;"2-Way",
        LEFT(P4488,5)&lt;&gt;"3-Way",
        P4488&lt;&gt;"Inner Centre Jamb"
      )
    ),
    IF(OR(Enginuity!$A$1="Frameless Glass",Enginuity!$A$1="Metal Work"),
      AND(TRIM(B4488)=TRIM(Enginuity!$A$17),TRIM(C4488)=TRIM(Enginuity!$A$18)),
      TRIM(B4488)=TRIM(Enginuity!$A$17)
    )
  ),
  ROW(),
  ""
)</f>
        <v/>
      </c>
    </row>
    <row r="4489" spans="21:21" x14ac:dyDescent="0.25">
      <c r="U4489" s="104" t="str">
        <f>IF(
  AND(
    TRIM(A4489)=TRIM(Enginuity!$A$1),
    TRIM(B4489)=TRIM(Enginuity!$A$17),
    Q4489&lt;&gt;"",
    Q4489&lt;&gt;0,
    OR(
      TRIM(C4489)=TRIM(Enginuity!$A$18),
      AND(UPPER(TRIM(M4489))="STD", TRIM(B4489)=TRIM(Enginuity!$A$17))
    ),
    OR(
      AND(LEFT(P4489,5)="1-Way", Enginuity!$B$13=1),
      AND(LEFT(P4489,5)="2-Way", OR(Enginuity!$B$13=2, Enginuity!$B$13=4)),
      AND(LEFT(P4489,5)="3-Way", OR(Enginuity!$B$13=3, Enginuity!$B$13=6)),
      AND(P4489="Inner Centre Jamb", OR(Enginuity!$B$13=4, Enginuity!$B$13=6)),
      AND(
        LEFT(P4489,5)&lt;&gt;"1-Way",
        LEFT(P4489,5)&lt;&gt;"2-Way",
        LEFT(P4489,5)&lt;&gt;"3-Way",
        P4489&lt;&gt;"Inner Centre Jamb"
      )
    ),
    IF(OR(Enginuity!$A$1="Frameless Glass",Enginuity!$A$1="Metal Work"),
      AND(TRIM(B4489)=TRIM(Enginuity!$A$17),TRIM(C4489)=TRIM(Enginuity!$A$18)),
      TRIM(B4489)=TRIM(Enginuity!$A$17)
    )
  ),
  ROW(),
  ""
)</f>
        <v/>
      </c>
    </row>
    <row r="4490" spans="21:21" x14ac:dyDescent="0.25">
      <c r="U4490" s="104" t="str">
        <f>IF(
  AND(
    TRIM(A4490)=TRIM(Enginuity!$A$1),
    TRIM(B4490)=TRIM(Enginuity!$A$17),
    Q4490&lt;&gt;"",
    Q4490&lt;&gt;0,
    OR(
      TRIM(C4490)=TRIM(Enginuity!$A$18),
      AND(UPPER(TRIM(M4490))="STD", TRIM(B4490)=TRIM(Enginuity!$A$17))
    ),
    OR(
      AND(LEFT(P4490,5)="1-Way", Enginuity!$B$13=1),
      AND(LEFT(P4490,5)="2-Way", OR(Enginuity!$B$13=2, Enginuity!$B$13=4)),
      AND(LEFT(P4490,5)="3-Way", OR(Enginuity!$B$13=3, Enginuity!$B$13=6)),
      AND(P4490="Inner Centre Jamb", OR(Enginuity!$B$13=4, Enginuity!$B$13=6)),
      AND(
        LEFT(P4490,5)&lt;&gt;"1-Way",
        LEFT(P4490,5)&lt;&gt;"2-Way",
        LEFT(P4490,5)&lt;&gt;"3-Way",
        P4490&lt;&gt;"Inner Centre Jamb"
      )
    ),
    IF(OR(Enginuity!$A$1="Frameless Glass",Enginuity!$A$1="Metal Work"),
      AND(TRIM(B4490)=TRIM(Enginuity!$A$17),TRIM(C4490)=TRIM(Enginuity!$A$18)),
      TRIM(B4490)=TRIM(Enginuity!$A$17)
    )
  ),
  ROW(),
  ""
)</f>
        <v/>
      </c>
    </row>
    <row r="4491" spans="21:21" x14ac:dyDescent="0.25">
      <c r="U4491" s="104" t="str">
        <f>IF(
  AND(
    TRIM(A4491)=TRIM(Enginuity!$A$1),
    TRIM(B4491)=TRIM(Enginuity!$A$17),
    Q4491&lt;&gt;"",
    Q4491&lt;&gt;0,
    OR(
      TRIM(C4491)=TRIM(Enginuity!$A$18),
      AND(UPPER(TRIM(M4491))="STD", TRIM(B4491)=TRIM(Enginuity!$A$17))
    ),
    OR(
      AND(LEFT(P4491,5)="1-Way", Enginuity!$B$13=1),
      AND(LEFT(P4491,5)="2-Way", OR(Enginuity!$B$13=2, Enginuity!$B$13=4)),
      AND(LEFT(P4491,5)="3-Way", OR(Enginuity!$B$13=3, Enginuity!$B$13=6)),
      AND(P4491="Inner Centre Jamb", OR(Enginuity!$B$13=4, Enginuity!$B$13=6)),
      AND(
        LEFT(P4491,5)&lt;&gt;"1-Way",
        LEFT(P4491,5)&lt;&gt;"2-Way",
        LEFT(P4491,5)&lt;&gt;"3-Way",
        P4491&lt;&gt;"Inner Centre Jamb"
      )
    ),
    IF(OR(Enginuity!$A$1="Frameless Glass",Enginuity!$A$1="Metal Work"),
      AND(TRIM(B4491)=TRIM(Enginuity!$A$17),TRIM(C4491)=TRIM(Enginuity!$A$18)),
      TRIM(B4491)=TRIM(Enginuity!$A$17)
    )
  ),
  ROW(),
  ""
)</f>
        <v/>
      </c>
    </row>
    <row r="4492" spans="21:21" x14ac:dyDescent="0.25">
      <c r="U4492" s="104" t="str">
        <f>IF(
  AND(
    TRIM(A4492)=TRIM(Enginuity!$A$1),
    TRIM(B4492)=TRIM(Enginuity!$A$17),
    Q4492&lt;&gt;"",
    Q4492&lt;&gt;0,
    OR(
      TRIM(C4492)=TRIM(Enginuity!$A$18),
      AND(UPPER(TRIM(M4492))="STD", TRIM(B4492)=TRIM(Enginuity!$A$17))
    ),
    OR(
      AND(LEFT(P4492,5)="1-Way", Enginuity!$B$13=1),
      AND(LEFT(P4492,5)="2-Way", OR(Enginuity!$B$13=2, Enginuity!$B$13=4)),
      AND(LEFT(P4492,5)="3-Way", OR(Enginuity!$B$13=3, Enginuity!$B$13=6)),
      AND(P4492="Inner Centre Jamb", OR(Enginuity!$B$13=4, Enginuity!$B$13=6)),
      AND(
        LEFT(P4492,5)&lt;&gt;"1-Way",
        LEFT(P4492,5)&lt;&gt;"2-Way",
        LEFT(P4492,5)&lt;&gt;"3-Way",
        P4492&lt;&gt;"Inner Centre Jamb"
      )
    ),
    IF(OR(Enginuity!$A$1="Frameless Glass",Enginuity!$A$1="Metal Work"),
      AND(TRIM(B4492)=TRIM(Enginuity!$A$17),TRIM(C4492)=TRIM(Enginuity!$A$18)),
      TRIM(B4492)=TRIM(Enginuity!$A$17)
    )
  ),
  ROW(),
  ""
)</f>
        <v/>
      </c>
    </row>
    <row r="4493" spans="21:21" x14ac:dyDescent="0.25">
      <c r="U4493" s="104" t="str">
        <f>IF(
  AND(
    TRIM(A4493)=TRIM(Enginuity!$A$1),
    TRIM(B4493)=TRIM(Enginuity!$A$17),
    Q4493&lt;&gt;"",
    Q4493&lt;&gt;0,
    OR(
      TRIM(C4493)=TRIM(Enginuity!$A$18),
      AND(UPPER(TRIM(M4493))="STD", TRIM(B4493)=TRIM(Enginuity!$A$17))
    ),
    OR(
      AND(LEFT(P4493,5)="1-Way", Enginuity!$B$13=1),
      AND(LEFT(P4493,5)="2-Way", OR(Enginuity!$B$13=2, Enginuity!$B$13=4)),
      AND(LEFT(P4493,5)="3-Way", OR(Enginuity!$B$13=3, Enginuity!$B$13=6)),
      AND(P4493="Inner Centre Jamb", OR(Enginuity!$B$13=4, Enginuity!$B$13=6)),
      AND(
        LEFT(P4493,5)&lt;&gt;"1-Way",
        LEFT(P4493,5)&lt;&gt;"2-Way",
        LEFT(P4493,5)&lt;&gt;"3-Way",
        P4493&lt;&gt;"Inner Centre Jamb"
      )
    ),
    IF(OR(Enginuity!$A$1="Frameless Glass",Enginuity!$A$1="Metal Work"),
      AND(TRIM(B4493)=TRIM(Enginuity!$A$17),TRIM(C4493)=TRIM(Enginuity!$A$18)),
      TRIM(B4493)=TRIM(Enginuity!$A$17)
    )
  ),
  ROW(),
  ""
)</f>
        <v/>
      </c>
    </row>
    <row r="4494" spans="21:21" x14ac:dyDescent="0.25">
      <c r="U4494" s="104" t="str">
        <f>IF(
  AND(
    TRIM(A4494)=TRIM(Enginuity!$A$1),
    TRIM(B4494)=TRIM(Enginuity!$A$17),
    Q4494&lt;&gt;"",
    Q4494&lt;&gt;0,
    OR(
      TRIM(C4494)=TRIM(Enginuity!$A$18),
      AND(UPPER(TRIM(M4494))="STD", TRIM(B4494)=TRIM(Enginuity!$A$17))
    ),
    OR(
      AND(LEFT(P4494,5)="1-Way", Enginuity!$B$13=1),
      AND(LEFT(P4494,5)="2-Way", OR(Enginuity!$B$13=2, Enginuity!$B$13=4)),
      AND(LEFT(P4494,5)="3-Way", OR(Enginuity!$B$13=3, Enginuity!$B$13=6)),
      AND(P4494="Inner Centre Jamb", OR(Enginuity!$B$13=4, Enginuity!$B$13=6)),
      AND(
        LEFT(P4494,5)&lt;&gt;"1-Way",
        LEFT(P4494,5)&lt;&gt;"2-Way",
        LEFT(P4494,5)&lt;&gt;"3-Way",
        P4494&lt;&gt;"Inner Centre Jamb"
      )
    ),
    IF(OR(Enginuity!$A$1="Frameless Glass",Enginuity!$A$1="Metal Work"),
      AND(TRIM(B4494)=TRIM(Enginuity!$A$17),TRIM(C4494)=TRIM(Enginuity!$A$18)),
      TRIM(B4494)=TRIM(Enginuity!$A$17)
    )
  ),
  ROW(),
  ""
)</f>
        <v/>
      </c>
    </row>
    <row r="4495" spans="21:21" x14ac:dyDescent="0.25">
      <c r="U4495" s="104" t="str">
        <f>IF(
  AND(
    TRIM(A4495)=TRIM(Enginuity!$A$1),
    TRIM(B4495)=TRIM(Enginuity!$A$17),
    Q4495&lt;&gt;"",
    Q4495&lt;&gt;0,
    OR(
      TRIM(C4495)=TRIM(Enginuity!$A$18),
      AND(UPPER(TRIM(M4495))="STD", TRIM(B4495)=TRIM(Enginuity!$A$17))
    ),
    OR(
      AND(LEFT(P4495,5)="1-Way", Enginuity!$B$13=1),
      AND(LEFT(P4495,5)="2-Way", OR(Enginuity!$B$13=2, Enginuity!$B$13=4)),
      AND(LEFT(P4495,5)="3-Way", OR(Enginuity!$B$13=3, Enginuity!$B$13=6)),
      AND(P4495="Inner Centre Jamb", OR(Enginuity!$B$13=4, Enginuity!$B$13=6)),
      AND(
        LEFT(P4495,5)&lt;&gt;"1-Way",
        LEFT(P4495,5)&lt;&gt;"2-Way",
        LEFT(P4495,5)&lt;&gt;"3-Way",
        P4495&lt;&gt;"Inner Centre Jamb"
      )
    ),
    IF(OR(Enginuity!$A$1="Frameless Glass",Enginuity!$A$1="Metal Work"),
      AND(TRIM(B4495)=TRIM(Enginuity!$A$17),TRIM(C4495)=TRIM(Enginuity!$A$18)),
      TRIM(B4495)=TRIM(Enginuity!$A$17)
    )
  ),
  ROW(),
  ""
)</f>
        <v/>
      </c>
    </row>
    <row r="4496" spans="21:21" x14ac:dyDescent="0.25">
      <c r="U4496" s="104" t="str">
        <f>IF(
  AND(
    TRIM(A4496)=TRIM(Enginuity!$A$1),
    TRIM(B4496)=TRIM(Enginuity!$A$17),
    Q4496&lt;&gt;"",
    Q4496&lt;&gt;0,
    OR(
      TRIM(C4496)=TRIM(Enginuity!$A$18),
      AND(UPPER(TRIM(M4496))="STD", TRIM(B4496)=TRIM(Enginuity!$A$17))
    ),
    OR(
      AND(LEFT(P4496,5)="1-Way", Enginuity!$B$13=1),
      AND(LEFT(P4496,5)="2-Way", OR(Enginuity!$B$13=2, Enginuity!$B$13=4)),
      AND(LEFT(P4496,5)="3-Way", OR(Enginuity!$B$13=3, Enginuity!$B$13=6)),
      AND(P4496="Inner Centre Jamb", OR(Enginuity!$B$13=4, Enginuity!$B$13=6)),
      AND(
        LEFT(P4496,5)&lt;&gt;"1-Way",
        LEFT(P4496,5)&lt;&gt;"2-Way",
        LEFT(P4496,5)&lt;&gt;"3-Way",
        P4496&lt;&gt;"Inner Centre Jamb"
      )
    ),
    IF(OR(Enginuity!$A$1="Frameless Glass",Enginuity!$A$1="Metal Work"),
      AND(TRIM(B4496)=TRIM(Enginuity!$A$17),TRIM(C4496)=TRIM(Enginuity!$A$18)),
      TRIM(B4496)=TRIM(Enginuity!$A$17)
    )
  ),
  ROW(),
  ""
)</f>
        <v/>
      </c>
    </row>
    <row r="4497" spans="21:21" x14ac:dyDescent="0.25">
      <c r="U4497" s="104" t="str">
        <f>IF(
  AND(
    TRIM(A4497)=TRIM(Enginuity!$A$1),
    TRIM(B4497)=TRIM(Enginuity!$A$17),
    Q4497&lt;&gt;"",
    Q4497&lt;&gt;0,
    OR(
      TRIM(C4497)=TRIM(Enginuity!$A$18),
      AND(UPPER(TRIM(M4497))="STD", TRIM(B4497)=TRIM(Enginuity!$A$17))
    ),
    OR(
      AND(LEFT(P4497,5)="1-Way", Enginuity!$B$13=1),
      AND(LEFT(P4497,5)="2-Way", OR(Enginuity!$B$13=2, Enginuity!$B$13=4)),
      AND(LEFT(P4497,5)="3-Way", OR(Enginuity!$B$13=3, Enginuity!$B$13=6)),
      AND(P4497="Inner Centre Jamb", OR(Enginuity!$B$13=4, Enginuity!$B$13=6)),
      AND(
        LEFT(P4497,5)&lt;&gt;"1-Way",
        LEFT(P4497,5)&lt;&gt;"2-Way",
        LEFT(P4497,5)&lt;&gt;"3-Way",
        P4497&lt;&gt;"Inner Centre Jamb"
      )
    ),
    IF(OR(Enginuity!$A$1="Frameless Glass",Enginuity!$A$1="Metal Work"),
      AND(TRIM(B4497)=TRIM(Enginuity!$A$17),TRIM(C4497)=TRIM(Enginuity!$A$18)),
      TRIM(B4497)=TRIM(Enginuity!$A$17)
    )
  ),
  ROW(),
  ""
)</f>
        <v/>
      </c>
    </row>
    <row r="4498" spans="21:21" x14ac:dyDescent="0.25">
      <c r="U4498" s="104" t="str">
        <f>IF(
  AND(
    TRIM(A4498)=TRIM(Enginuity!$A$1),
    TRIM(B4498)=TRIM(Enginuity!$A$17),
    Q4498&lt;&gt;"",
    Q4498&lt;&gt;0,
    OR(
      TRIM(C4498)=TRIM(Enginuity!$A$18),
      AND(UPPER(TRIM(M4498))="STD", TRIM(B4498)=TRIM(Enginuity!$A$17))
    ),
    OR(
      AND(LEFT(P4498,5)="1-Way", Enginuity!$B$13=1),
      AND(LEFT(P4498,5)="2-Way", OR(Enginuity!$B$13=2, Enginuity!$B$13=4)),
      AND(LEFT(P4498,5)="3-Way", OR(Enginuity!$B$13=3, Enginuity!$B$13=6)),
      AND(P4498="Inner Centre Jamb", OR(Enginuity!$B$13=4, Enginuity!$B$13=6)),
      AND(
        LEFT(P4498,5)&lt;&gt;"1-Way",
        LEFT(P4498,5)&lt;&gt;"2-Way",
        LEFT(P4498,5)&lt;&gt;"3-Way",
        P4498&lt;&gt;"Inner Centre Jamb"
      )
    ),
    IF(OR(Enginuity!$A$1="Frameless Glass",Enginuity!$A$1="Metal Work"),
      AND(TRIM(B4498)=TRIM(Enginuity!$A$17),TRIM(C4498)=TRIM(Enginuity!$A$18)),
      TRIM(B4498)=TRIM(Enginuity!$A$17)
    )
  ),
  ROW(),
  ""
)</f>
        <v/>
      </c>
    </row>
    <row r="4499" spans="21:21" x14ac:dyDescent="0.25">
      <c r="U4499" s="104" t="str">
        <f>IF(
  AND(
    TRIM(A4499)=TRIM(Enginuity!$A$1),
    TRIM(B4499)=TRIM(Enginuity!$A$17),
    Q4499&lt;&gt;"",
    Q4499&lt;&gt;0,
    OR(
      TRIM(C4499)=TRIM(Enginuity!$A$18),
      AND(UPPER(TRIM(M4499))="STD", TRIM(B4499)=TRIM(Enginuity!$A$17))
    ),
    OR(
      AND(LEFT(P4499,5)="1-Way", Enginuity!$B$13=1),
      AND(LEFT(P4499,5)="2-Way", OR(Enginuity!$B$13=2, Enginuity!$B$13=4)),
      AND(LEFT(P4499,5)="3-Way", OR(Enginuity!$B$13=3, Enginuity!$B$13=6)),
      AND(P4499="Inner Centre Jamb", OR(Enginuity!$B$13=4, Enginuity!$B$13=6)),
      AND(
        LEFT(P4499,5)&lt;&gt;"1-Way",
        LEFT(P4499,5)&lt;&gt;"2-Way",
        LEFT(P4499,5)&lt;&gt;"3-Way",
        P4499&lt;&gt;"Inner Centre Jamb"
      )
    ),
    IF(OR(Enginuity!$A$1="Frameless Glass",Enginuity!$A$1="Metal Work"),
      AND(TRIM(B4499)=TRIM(Enginuity!$A$17),TRIM(C4499)=TRIM(Enginuity!$A$18)),
      TRIM(B4499)=TRIM(Enginuity!$A$17)
    )
  ),
  ROW(),
  ""
)</f>
        <v/>
      </c>
    </row>
    <row r="4500" spans="21:21" x14ac:dyDescent="0.25">
      <c r="U4500" s="104" t="str">
        <f>IF(
  AND(
    TRIM(A4500)=TRIM(Enginuity!$A$1),
    TRIM(B4500)=TRIM(Enginuity!$A$17),
    Q4500&lt;&gt;"",
    Q4500&lt;&gt;0,
    OR(
      TRIM(C4500)=TRIM(Enginuity!$A$18),
      AND(UPPER(TRIM(M4500))="STD", TRIM(B4500)=TRIM(Enginuity!$A$17))
    ),
    OR(
      AND(LEFT(P4500,5)="1-Way", Enginuity!$B$13=1),
      AND(LEFT(P4500,5)="2-Way", OR(Enginuity!$B$13=2, Enginuity!$B$13=4)),
      AND(LEFT(P4500,5)="3-Way", OR(Enginuity!$B$13=3, Enginuity!$B$13=6)),
      AND(P4500="Inner Centre Jamb", OR(Enginuity!$B$13=4, Enginuity!$B$13=6)),
      AND(
        LEFT(P4500,5)&lt;&gt;"1-Way",
        LEFT(P4500,5)&lt;&gt;"2-Way",
        LEFT(P4500,5)&lt;&gt;"3-Way",
        P4500&lt;&gt;"Inner Centre Jamb"
      )
    ),
    IF(OR(Enginuity!$A$1="Frameless Glass",Enginuity!$A$1="Metal Work"),
      AND(TRIM(B4500)=TRIM(Enginuity!$A$17),TRIM(C4500)=TRIM(Enginuity!$A$18)),
      TRIM(B4500)=TRIM(Enginuity!$A$17)
    )
  ),
  ROW(),
  ""
)</f>
        <v/>
      </c>
    </row>
    <row r="4501" spans="21:21" x14ac:dyDescent="0.25">
      <c r="U4501" s="104" t="str">
        <f>IF(
  AND(
    TRIM(A4501)=TRIM(Enginuity!$A$1),
    TRIM(B4501)=TRIM(Enginuity!$A$17),
    Q4501&lt;&gt;"",
    Q4501&lt;&gt;0,
    OR(
      TRIM(C4501)=TRIM(Enginuity!$A$18),
      AND(UPPER(TRIM(M4501))="STD", TRIM(B4501)=TRIM(Enginuity!$A$17))
    ),
    OR(
      AND(LEFT(P4501,5)="1-Way", Enginuity!$B$13=1),
      AND(LEFT(P4501,5)="2-Way", OR(Enginuity!$B$13=2, Enginuity!$B$13=4)),
      AND(LEFT(P4501,5)="3-Way", OR(Enginuity!$B$13=3, Enginuity!$B$13=6)),
      AND(P4501="Inner Centre Jamb", OR(Enginuity!$B$13=4, Enginuity!$B$13=6)),
      AND(
        LEFT(P4501,5)&lt;&gt;"1-Way",
        LEFT(P4501,5)&lt;&gt;"2-Way",
        LEFT(P4501,5)&lt;&gt;"3-Way",
        P4501&lt;&gt;"Inner Centre Jamb"
      )
    ),
    IF(OR(Enginuity!$A$1="Frameless Glass",Enginuity!$A$1="Metal Work"),
      AND(TRIM(B4501)=TRIM(Enginuity!$A$17),TRIM(C4501)=TRIM(Enginuity!$A$18)),
      TRIM(B4501)=TRIM(Enginuity!$A$17)
    )
  ),
  ROW(),
  ""
)</f>
        <v/>
      </c>
    </row>
    <row r="4502" spans="21:21" x14ac:dyDescent="0.25">
      <c r="U4502" s="104" t="str">
        <f>IF(
  AND(
    TRIM(A4502)=TRIM(Enginuity!$A$1),
    TRIM(B4502)=TRIM(Enginuity!$A$17),
    Q4502&lt;&gt;"",
    Q4502&lt;&gt;0,
    OR(
      TRIM(C4502)=TRIM(Enginuity!$A$18),
      AND(UPPER(TRIM(M4502))="STD", TRIM(B4502)=TRIM(Enginuity!$A$17))
    ),
    OR(
      AND(LEFT(P4502,5)="1-Way", Enginuity!$B$13=1),
      AND(LEFT(P4502,5)="2-Way", OR(Enginuity!$B$13=2, Enginuity!$B$13=4)),
      AND(LEFT(P4502,5)="3-Way", OR(Enginuity!$B$13=3, Enginuity!$B$13=6)),
      AND(P4502="Inner Centre Jamb", OR(Enginuity!$B$13=4, Enginuity!$B$13=6)),
      AND(
        LEFT(P4502,5)&lt;&gt;"1-Way",
        LEFT(P4502,5)&lt;&gt;"2-Way",
        LEFT(P4502,5)&lt;&gt;"3-Way",
        P4502&lt;&gt;"Inner Centre Jamb"
      )
    ),
    IF(OR(Enginuity!$A$1="Frameless Glass",Enginuity!$A$1="Metal Work"),
      AND(TRIM(B4502)=TRIM(Enginuity!$A$17),TRIM(C4502)=TRIM(Enginuity!$A$18)),
      TRIM(B4502)=TRIM(Enginuity!$A$17)
    )
  ),
  ROW(),
  ""
)</f>
        <v/>
      </c>
    </row>
    <row r="4503" spans="21:21" x14ac:dyDescent="0.25">
      <c r="U4503" s="104" t="str">
        <f>IF(
  AND(
    TRIM(A4503)=TRIM(Enginuity!$A$1),
    TRIM(B4503)=TRIM(Enginuity!$A$17),
    Q4503&lt;&gt;"",
    Q4503&lt;&gt;0,
    OR(
      TRIM(C4503)=TRIM(Enginuity!$A$18),
      AND(UPPER(TRIM(M4503))="STD", TRIM(B4503)=TRIM(Enginuity!$A$17))
    ),
    OR(
      AND(LEFT(P4503,5)="1-Way", Enginuity!$B$13=1),
      AND(LEFT(P4503,5)="2-Way", OR(Enginuity!$B$13=2, Enginuity!$B$13=4)),
      AND(LEFT(P4503,5)="3-Way", OR(Enginuity!$B$13=3, Enginuity!$B$13=6)),
      AND(P4503="Inner Centre Jamb", OR(Enginuity!$B$13=4, Enginuity!$B$13=6)),
      AND(
        LEFT(P4503,5)&lt;&gt;"1-Way",
        LEFT(P4503,5)&lt;&gt;"2-Way",
        LEFT(P4503,5)&lt;&gt;"3-Way",
        P4503&lt;&gt;"Inner Centre Jamb"
      )
    ),
    IF(OR(Enginuity!$A$1="Frameless Glass",Enginuity!$A$1="Metal Work"),
      AND(TRIM(B4503)=TRIM(Enginuity!$A$17),TRIM(C4503)=TRIM(Enginuity!$A$18)),
      TRIM(B4503)=TRIM(Enginuity!$A$17)
    )
  ),
  ROW(),
  ""
)</f>
        <v/>
      </c>
    </row>
    <row r="4504" spans="21:21" x14ac:dyDescent="0.25">
      <c r="U4504" s="104" t="str">
        <f>IF(
  AND(
    TRIM(A4504)=TRIM(Enginuity!$A$1),
    TRIM(B4504)=TRIM(Enginuity!$A$17),
    Q4504&lt;&gt;"",
    Q4504&lt;&gt;0,
    OR(
      TRIM(C4504)=TRIM(Enginuity!$A$18),
      AND(UPPER(TRIM(M4504))="STD", TRIM(B4504)=TRIM(Enginuity!$A$17))
    ),
    OR(
      AND(LEFT(P4504,5)="1-Way", Enginuity!$B$13=1),
      AND(LEFT(P4504,5)="2-Way", OR(Enginuity!$B$13=2, Enginuity!$B$13=4)),
      AND(LEFT(P4504,5)="3-Way", OR(Enginuity!$B$13=3, Enginuity!$B$13=6)),
      AND(P4504="Inner Centre Jamb", OR(Enginuity!$B$13=4, Enginuity!$B$13=6)),
      AND(
        LEFT(P4504,5)&lt;&gt;"1-Way",
        LEFT(P4504,5)&lt;&gt;"2-Way",
        LEFT(P4504,5)&lt;&gt;"3-Way",
        P4504&lt;&gt;"Inner Centre Jamb"
      )
    ),
    IF(OR(Enginuity!$A$1="Frameless Glass",Enginuity!$A$1="Metal Work"),
      AND(TRIM(B4504)=TRIM(Enginuity!$A$17),TRIM(C4504)=TRIM(Enginuity!$A$18)),
      TRIM(B4504)=TRIM(Enginuity!$A$17)
    )
  ),
  ROW(),
  ""
)</f>
        <v/>
      </c>
    </row>
    <row r="4505" spans="21:21" x14ac:dyDescent="0.25">
      <c r="U4505" s="104" t="str">
        <f>IF(
  AND(
    TRIM(A4505)=TRIM(Enginuity!$A$1),
    TRIM(B4505)=TRIM(Enginuity!$A$17),
    Q4505&lt;&gt;"",
    Q4505&lt;&gt;0,
    OR(
      TRIM(C4505)=TRIM(Enginuity!$A$18),
      AND(UPPER(TRIM(M4505))="STD", TRIM(B4505)=TRIM(Enginuity!$A$17))
    ),
    OR(
      AND(LEFT(P4505,5)="1-Way", Enginuity!$B$13=1),
      AND(LEFT(P4505,5)="2-Way", OR(Enginuity!$B$13=2, Enginuity!$B$13=4)),
      AND(LEFT(P4505,5)="3-Way", OR(Enginuity!$B$13=3, Enginuity!$B$13=6)),
      AND(P4505="Inner Centre Jamb", OR(Enginuity!$B$13=4, Enginuity!$B$13=6)),
      AND(
        LEFT(P4505,5)&lt;&gt;"1-Way",
        LEFT(P4505,5)&lt;&gt;"2-Way",
        LEFT(P4505,5)&lt;&gt;"3-Way",
        P4505&lt;&gt;"Inner Centre Jamb"
      )
    ),
    IF(OR(Enginuity!$A$1="Frameless Glass",Enginuity!$A$1="Metal Work"),
      AND(TRIM(B4505)=TRIM(Enginuity!$A$17),TRIM(C4505)=TRIM(Enginuity!$A$18)),
      TRIM(B4505)=TRIM(Enginuity!$A$17)
    )
  ),
  ROW(),
  ""
)</f>
        <v/>
      </c>
    </row>
    <row r="4506" spans="21:21" x14ac:dyDescent="0.25">
      <c r="U4506" s="104" t="str">
        <f>IF(
  AND(
    TRIM(A4506)=TRIM(Enginuity!$A$1),
    TRIM(B4506)=TRIM(Enginuity!$A$17),
    Q4506&lt;&gt;"",
    Q4506&lt;&gt;0,
    OR(
      TRIM(C4506)=TRIM(Enginuity!$A$18),
      AND(UPPER(TRIM(M4506))="STD", TRIM(B4506)=TRIM(Enginuity!$A$17))
    ),
    OR(
      AND(LEFT(P4506,5)="1-Way", Enginuity!$B$13=1),
      AND(LEFT(P4506,5)="2-Way", OR(Enginuity!$B$13=2, Enginuity!$B$13=4)),
      AND(LEFT(P4506,5)="3-Way", OR(Enginuity!$B$13=3, Enginuity!$B$13=6)),
      AND(P4506="Inner Centre Jamb", OR(Enginuity!$B$13=4, Enginuity!$B$13=6)),
      AND(
        LEFT(P4506,5)&lt;&gt;"1-Way",
        LEFT(P4506,5)&lt;&gt;"2-Way",
        LEFT(P4506,5)&lt;&gt;"3-Way",
        P4506&lt;&gt;"Inner Centre Jamb"
      )
    ),
    IF(OR(Enginuity!$A$1="Frameless Glass",Enginuity!$A$1="Metal Work"),
      AND(TRIM(B4506)=TRIM(Enginuity!$A$17),TRIM(C4506)=TRIM(Enginuity!$A$18)),
      TRIM(B4506)=TRIM(Enginuity!$A$17)
    )
  ),
  ROW(),
  ""
)</f>
        <v/>
      </c>
    </row>
    <row r="4507" spans="21:21" x14ac:dyDescent="0.25">
      <c r="U4507" s="104" t="str">
        <f>IF(
  AND(
    TRIM(A4507)=TRIM(Enginuity!$A$1),
    TRIM(B4507)=TRIM(Enginuity!$A$17),
    Q4507&lt;&gt;"",
    Q4507&lt;&gt;0,
    OR(
      TRIM(C4507)=TRIM(Enginuity!$A$18),
      AND(UPPER(TRIM(M4507))="STD", TRIM(B4507)=TRIM(Enginuity!$A$17))
    ),
    OR(
      AND(LEFT(P4507,5)="1-Way", Enginuity!$B$13=1),
      AND(LEFT(P4507,5)="2-Way", OR(Enginuity!$B$13=2, Enginuity!$B$13=4)),
      AND(LEFT(P4507,5)="3-Way", OR(Enginuity!$B$13=3, Enginuity!$B$13=6)),
      AND(P4507="Inner Centre Jamb", OR(Enginuity!$B$13=4, Enginuity!$B$13=6)),
      AND(
        LEFT(P4507,5)&lt;&gt;"1-Way",
        LEFT(P4507,5)&lt;&gt;"2-Way",
        LEFT(P4507,5)&lt;&gt;"3-Way",
        P4507&lt;&gt;"Inner Centre Jamb"
      )
    ),
    IF(OR(Enginuity!$A$1="Frameless Glass",Enginuity!$A$1="Metal Work"),
      AND(TRIM(B4507)=TRIM(Enginuity!$A$17),TRIM(C4507)=TRIM(Enginuity!$A$18)),
      TRIM(B4507)=TRIM(Enginuity!$A$17)
    )
  ),
  ROW(),
  ""
)</f>
        <v/>
      </c>
    </row>
    <row r="4508" spans="21:21" x14ac:dyDescent="0.25">
      <c r="U4508" s="104" t="str">
        <f>IF(
  AND(
    TRIM(A4508)=TRIM(Enginuity!$A$1),
    TRIM(B4508)=TRIM(Enginuity!$A$17),
    Q4508&lt;&gt;"",
    Q4508&lt;&gt;0,
    OR(
      TRIM(C4508)=TRIM(Enginuity!$A$18),
      AND(UPPER(TRIM(M4508))="STD", TRIM(B4508)=TRIM(Enginuity!$A$17))
    ),
    OR(
      AND(LEFT(P4508,5)="1-Way", Enginuity!$B$13=1),
      AND(LEFT(P4508,5)="2-Way", OR(Enginuity!$B$13=2, Enginuity!$B$13=4)),
      AND(LEFT(P4508,5)="3-Way", OR(Enginuity!$B$13=3, Enginuity!$B$13=6)),
      AND(P4508="Inner Centre Jamb", OR(Enginuity!$B$13=4, Enginuity!$B$13=6)),
      AND(
        LEFT(P4508,5)&lt;&gt;"1-Way",
        LEFT(P4508,5)&lt;&gt;"2-Way",
        LEFT(P4508,5)&lt;&gt;"3-Way",
        P4508&lt;&gt;"Inner Centre Jamb"
      )
    ),
    IF(OR(Enginuity!$A$1="Frameless Glass",Enginuity!$A$1="Metal Work"),
      AND(TRIM(B4508)=TRIM(Enginuity!$A$17),TRIM(C4508)=TRIM(Enginuity!$A$18)),
      TRIM(B4508)=TRIM(Enginuity!$A$17)
    )
  ),
  ROW(),
  ""
)</f>
        <v/>
      </c>
    </row>
    <row r="4509" spans="21:21" x14ac:dyDescent="0.25">
      <c r="U4509" s="104" t="str">
        <f>IF(
  AND(
    TRIM(A4509)=TRIM(Enginuity!$A$1),
    TRIM(B4509)=TRIM(Enginuity!$A$17),
    Q4509&lt;&gt;"",
    Q4509&lt;&gt;0,
    OR(
      TRIM(C4509)=TRIM(Enginuity!$A$18),
      AND(UPPER(TRIM(M4509))="STD", TRIM(B4509)=TRIM(Enginuity!$A$17))
    ),
    OR(
      AND(LEFT(P4509,5)="1-Way", Enginuity!$B$13=1),
      AND(LEFT(P4509,5)="2-Way", OR(Enginuity!$B$13=2, Enginuity!$B$13=4)),
      AND(LEFT(P4509,5)="3-Way", OR(Enginuity!$B$13=3, Enginuity!$B$13=6)),
      AND(P4509="Inner Centre Jamb", OR(Enginuity!$B$13=4, Enginuity!$B$13=6)),
      AND(
        LEFT(P4509,5)&lt;&gt;"1-Way",
        LEFT(P4509,5)&lt;&gt;"2-Way",
        LEFT(P4509,5)&lt;&gt;"3-Way",
        P4509&lt;&gt;"Inner Centre Jamb"
      )
    ),
    IF(OR(Enginuity!$A$1="Frameless Glass",Enginuity!$A$1="Metal Work"),
      AND(TRIM(B4509)=TRIM(Enginuity!$A$17),TRIM(C4509)=TRIM(Enginuity!$A$18)),
      TRIM(B4509)=TRIM(Enginuity!$A$17)
    )
  ),
  ROW(),
  ""
)</f>
        <v/>
      </c>
    </row>
    <row r="4510" spans="21:21" x14ac:dyDescent="0.25">
      <c r="U4510" s="104" t="str">
        <f>IF(
  AND(
    TRIM(A4510)=TRIM(Enginuity!$A$1),
    TRIM(B4510)=TRIM(Enginuity!$A$17),
    Q4510&lt;&gt;"",
    Q4510&lt;&gt;0,
    OR(
      TRIM(C4510)=TRIM(Enginuity!$A$18),
      AND(UPPER(TRIM(M4510))="STD", TRIM(B4510)=TRIM(Enginuity!$A$17))
    ),
    OR(
      AND(LEFT(P4510,5)="1-Way", Enginuity!$B$13=1),
      AND(LEFT(P4510,5)="2-Way", OR(Enginuity!$B$13=2, Enginuity!$B$13=4)),
      AND(LEFT(P4510,5)="3-Way", OR(Enginuity!$B$13=3, Enginuity!$B$13=6)),
      AND(P4510="Inner Centre Jamb", OR(Enginuity!$B$13=4, Enginuity!$B$13=6)),
      AND(
        LEFT(P4510,5)&lt;&gt;"1-Way",
        LEFT(P4510,5)&lt;&gt;"2-Way",
        LEFT(P4510,5)&lt;&gt;"3-Way",
        P4510&lt;&gt;"Inner Centre Jamb"
      )
    ),
    IF(OR(Enginuity!$A$1="Frameless Glass",Enginuity!$A$1="Metal Work"),
      AND(TRIM(B4510)=TRIM(Enginuity!$A$17),TRIM(C4510)=TRIM(Enginuity!$A$18)),
      TRIM(B4510)=TRIM(Enginuity!$A$17)
    )
  ),
  ROW(),
  ""
)</f>
        <v/>
      </c>
    </row>
    <row r="4511" spans="21:21" x14ac:dyDescent="0.25">
      <c r="U4511" s="104" t="str">
        <f>IF(
  AND(
    TRIM(A4511)=TRIM(Enginuity!$A$1),
    TRIM(B4511)=TRIM(Enginuity!$A$17),
    Q4511&lt;&gt;"",
    Q4511&lt;&gt;0,
    OR(
      TRIM(C4511)=TRIM(Enginuity!$A$18),
      AND(UPPER(TRIM(M4511))="STD", TRIM(B4511)=TRIM(Enginuity!$A$17))
    ),
    OR(
      AND(LEFT(P4511,5)="1-Way", Enginuity!$B$13=1),
      AND(LEFT(P4511,5)="2-Way", OR(Enginuity!$B$13=2, Enginuity!$B$13=4)),
      AND(LEFT(P4511,5)="3-Way", OR(Enginuity!$B$13=3, Enginuity!$B$13=6)),
      AND(P4511="Inner Centre Jamb", OR(Enginuity!$B$13=4, Enginuity!$B$13=6)),
      AND(
        LEFT(P4511,5)&lt;&gt;"1-Way",
        LEFT(P4511,5)&lt;&gt;"2-Way",
        LEFT(P4511,5)&lt;&gt;"3-Way",
        P4511&lt;&gt;"Inner Centre Jamb"
      )
    ),
    IF(OR(Enginuity!$A$1="Frameless Glass",Enginuity!$A$1="Metal Work"),
      AND(TRIM(B4511)=TRIM(Enginuity!$A$17),TRIM(C4511)=TRIM(Enginuity!$A$18)),
      TRIM(B4511)=TRIM(Enginuity!$A$17)
    )
  ),
  ROW(),
  ""
)</f>
        <v/>
      </c>
    </row>
    <row r="4512" spans="21:21" x14ac:dyDescent="0.25">
      <c r="U4512" s="104" t="str">
        <f>IF(
  AND(
    TRIM(A4512)=TRIM(Enginuity!$A$1),
    TRIM(B4512)=TRIM(Enginuity!$A$17),
    Q4512&lt;&gt;"",
    Q4512&lt;&gt;0,
    OR(
      TRIM(C4512)=TRIM(Enginuity!$A$18),
      AND(UPPER(TRIM(M4512))="STD", TRIM(B4512)=TRIM(Enginuity!$A$17))
    ),
    OR(
      AND(LEFT(P4512,5)="1-Way", Enginuity!$B$13=1),
      AND(LEFT(P4512,5)="2-Way", OR(Enginuity!$B$13=2, Enginuity!$B$13=4)),
      AND(LEFT(P4512,5)="3-Way", OR(Enginuity!$B$13=3, Enginuity!$B$13=6)),
      AND(P4512="Inner Centre Jamb", OR(Enginuity!$B$13=4, Enginuity!$B$13=6)),
      AND(
        LEFT(P4512,5)&lt;&gt;"1-Way",
        LEFT(P4512,5)&lt;&gt;"2-Way",
        LEFT(P4512,5)&lt;&gt;"3-Way",
        P4512&lt;&gt;"Inner Centre Jamb"
      )
    ),
    IF(OR(Enginuity!$A$1="Frameless Glass",Enginuity!$A$1="Metal Work"),
      AND(TRIM(B4512)=TRIM(Enginuity!$A$17),TRIM(C4512)=TRIM(Enginuity!$A$18)),
      TRIM(B4512)=TRIM(Enginuity!$A$17)
    )
  ),
  ROW(),
  ""
)</f>
        <v/>
      </c>
    </row>
    <row r="4513" spans="21:21" x14ac:dyDescent="0.25">
      <c r="U4513" s="104" t="str">
        <f>IF(
  AND(
    TRIM(A4513)=TRIM(Enginuity!$A$1),
    TRIM(B4513)=TRIM(Enginuity!$A$17),
    Q4513&lt;&gt;"",
    Q4513&lt;&gt;0,
    OR(
      TRIM(C4513)=TRIM(Enginuity!$A$18),
      AND(UPPER(TRIM(M4513))="STD", TRIM(B4513)=TRIM(Enginuity!$A$17))
    ),
    OR(
      AND(LEFT(P4513,5)="1-Way", Enginuity!$B$13=1),
      AND(LEFT(P4513,5)="2-Way", OR(Enginuity!$B$13=2, Enginuity!$B$13=4)),
      AND(LEFT(P4513,5)="3-Way", OR(Enginuity!$B$13=3, Enginuity!$B$13=6)),
      AND(P4513="Inner Centre Jamb", OR(Enginuity!$B$13=4, Enginuity!$B$13=6)),
      AND(
        LEFT(P4513,5)&lt;&gt;"1-Way",
        LEFT(P4513,5)&lt;&gt;"2-Way",
        LEFT(P4513,5)&lt;&gt;"3-Way",
        P4513&lt;&gt;"Inner Centre Jamb"
      )
    ),
    IF(OR(Enginuity!$A$1="Frameless Glass",Enginuity!$A$1="Metal Work"),
      AND(TRIM(B4513)=TRIM(Enginuity!$A$17),TRIM(C4513)=TRIM(Enginuity!$A$18)),
      TRIM(B4513)=TRIM(Enginuity!$A$17)
    )
  ),
  ROW(),
  ""
)</f>
        <v/>
      </c>
    </row>
    <row r="4514" spans="21:21" x14ac:dyDescent="0.25">
      <c r="U4514" s="104" t="str">
        <f>IF(
  AND(
    TRIM(A4514)=TRIM(Enginuity!$A$1),
    TRIM(B4514)=TRIM(Enginuity!$A$17),
    Q4514&lt;&gt;"",
    Q4514&lt;&gt;0,
    OR(
      TRIM(C4514)=TRIM(Enginuity!$A$18),
      AND(UPPER(TRIM(M4514))="STD", TRIM(B4514)=TRIM(Enginuity!$A$17))
    ),
    OR(
      AND(LEFT(P4514,5)="1-Way", Enginuity!$B$13=1),
      AND(LEFT(P4514,5)="2-Way", OR(Enginuity!$B$13=2, Enginuity!$B$13=4)),
      AND(LEFT(P4514,5)="3-Way", OR(Enginuity!$B$13=3, Enginuity!$B$13=6)),
      AND(P4514="Inner Centre Jamb", OR(Enginuity!$B$13=4, Enginuity!$B$13=6)),
      AND(
        LEFT(P4514,5)&lt;&gt;"1-Way",
        LEFT(P4514,5)&lt;&gt;"2-Way",
        LEFT(P4514,5)&lt;&gt;"3-Way",
        P4514&lt;&gt;"Inner Centre Jamb"
      )
    ),
    IF(OR(Enginuity!$A$1="Frameless Glass",Enginuity!$A$1="Metal Work"),
      AND(TRIM(B4514)=TRIM(Enginuity!$A$17),TRIM(C4514)=TRIM(Enginuity!$A$18)),
      TRIM(B4514)=TRIM(Enginuity!$A$17)
    )
  ),
  ROW(),
  ""
)</f>
        <v/>
      </c>
    </row>
    <row r="4515" spans="21:21" x14ac:dyDescent="0.25">
      <c r="U4515" s="104" t="str">
        <f>IF(
  AND(
    TRIM(A4515)=TRIM(Enginuity!$A$1),
    TRIM(B4515)=TRIM(Enginuity!$A$17),
    Q4515&lt;&gt;"",
    Q4515&lt;&gt;0,
    OR(
      TRIM(C4515)=TRIM(Enginuity!$A$18),
      AND(UPPER(TRIM(M4515))="STD", TRIM(B4515)=TRIM(Enginuity!$A$17))
    ),
    OR(
      AND(LEFT(P4515,5)="1-Way", Enginuity!$B$13=1),
      AND(LEFT(P4515,5)="2-Way", OR(Enginuity!$B$13=2, Enginuity!$B$13=4)),
      AND(LEFT(P4515,5)="3-Way", OR(Enginuity!$B$13=3, Enginuity!$B$13=6)),
      AND(P4515="Inner Centre Jamb", OR(Enginuity!$B$13=4, Enginuity!$B$13=6)),
      AND(
        LEFT(P4515,5)&lt;&gt;"1-Way",
        LEFT(P4515,5)&lt;&gt;"2-Way",
        LEFT(P4515,5)&lt;&gt;"3-Way",
        P4515&lt;&gt;"Inner Centre Jamb"
      )
    ),
    IF(OR(Enginuity!$A$1="Frameless Glass",Enginuity!$A$1="Metal Work"),
      AND(TRIM(B4515)=TRIM(Enginuity!$A$17),TRIM(C4515)=TRIM(Enginuity!$A$18)),
      TRIM(B4515)=TRIM(Enginuity!$A$17)
    )
  ),
  ROW(),
  ""
)</f>
        <v/>
      </c>
    </row>
    <row r="4516" spans="21:21" x14ac:dyDescent="0.25">
      <c r="U4516" s="104" t="str">
        <f>IF(
  AND(
    TRIM(A4516)=TRIM(Enginuity!$A$1),
    TRIM(B4516)=TRIM(Enginuity!$A$17),
    Q4516&lt;&gt;"",
    Q4516&lt;&gt;0,
    OR(
      TRIM(C4516)=TRIM(Enginuity!$A$18),
      AND(UPPER(TRIM(M4516))="STD", TRIM(B4516)=TRIM(Enginuity!$A$17))
    ),
    OR(
      AND(LEFT(P4516,5)="1-Way", Enginuity!$B$13=1),
      AND(LEFT(P4516,5)="2-Way", OR(Enginuity!$B$13=2, Enginuity!$B$13=4)),
      AND(LEFT(P4516,5)="3-Way", OR(Enginuity!$B$13=3, Enginuity!$B$13=6)),
      AND(P4516="Inner Centre Jamb", OR(Enginuity!$B$13=4, Enginuity!$B$13=6)),
      AND(
        LEFT(P4516,5)&lt;&gt;"1-Way",
        LEFT(P4516,5)&lt;&gt;"2-Way",
        LEFT(P4516,5)&lt;&gt;"3-Way",
        P4516&lt;&gt;"Inner Centre Jamb"
      )
    ),
    IF(OR(Enginuity!$A$1="Frameless Glass",Enginuity!$A$1="Metal Work"),
      AND(TRIM(B4516)=TRIM(Enginuity!$A$17),TRIM(C4516)=TRIM(Enginuity!$A$18)),
      TRIM(B4516)=TRIM(Enginuity!$A$17)
    )
  ),
  ROW(),
  ""
)</f>
        <v/>
      </c>
    </row>
    <row r="4517" spans="21:21" x14ac:dyDescent="0.25">
      <c r="U4517" s="104" t="str">
        <f>IF(
  AND(
    TRIM(A4517)=TRIM(Enginuity!$A$1),
    TRIM(B4517)=TRIM(Enginuity!$A$17),
    Q4517&lt;&gt;"",
    Q4517&lt;&gt;0,
    OR(
      TRIM(C4517)=TRIM(Enginuity!$A$18),
      AND(UPPER(TRIM(M4517))="STD", TRIM(B4517)=TRIM(Enginuity!$A$17))
    ),
    OR(
      AND(LEFT(P4517,5)="1-Way", Enginuity!$B$13=1),
      AND(LEFT(P4517,5)="2-Way", OR(Enginuity!$B$13=2, Enginuity!$B$13=4)),
      AND(LEFT(P4517,5)="3-Way", OR(Enginuity!$B$13=3, Enginuity!$B$13=6)),
      AND(P4517="Inner Centre Jamb", OR(Enginuity!$B$13=4, Enginuity!$B$13=6)),
      AND(
        LEFT(P4517,5)&lt;&gt;"1-Way",
        LEFT(P4517,5)&lt;&gt;"2-Way",
        LEFT(P4517,5)&lt;&gt;"3-Way",
        P4517&lt;&gt;"Inner Centre Jamb"
      )
    ),
    IF(OR(Enginuity!$A$1="Frameless Glass",Enginuity!$A$1="Metal Work"),
      AND(TRIM(B4517)=TRIM(Enginuity!$A$17),TRIM(C4517)=TRIM(Enginuity!$A$18)),
      TRIM(B4517)=TRIM(Enginuity!$A$17)
    )
  ),
  ROW(),
  ""
)</f>
        <v/>
      </c>
    </row>
    <row r="4518" spans="21:21" x14ac:dyDescent="0.25">
      <c r="U4518" s="104" t="str">
        <f>IF(
  AND(
    TRIM(A4518)=TRIM(Enginuity!$A$1),
    TRIM(B4518)=TRIM(Enginuity!$A$17),
    Q4518&lt;&gt;"",
    Q4518&lt;&gt;0,
    OR(
      TRIM(C4518)=TRIM(Enginuity!$A$18),
      AND(UPPER(TRIM(M4518))="STD", TRIM(B4518)=TRIM(Enginuity!$A$17))
    ),
    OR(
      AND(LEFT(P4518,5)="1-Way", Enginuity!$B$13=1),
      AND(LEFT(P4518,5)="2-Way", OR(Enginuity!$B$13=2, Enginuity!$B$13=4)),
      AND(LEFT(P4518,5)="3-Way", OR(Enginuity!$B$13=3, Enginuity!$B$13=6)),
      AND(P4518="Inner Centre Jamb", OR(Enginuity!$B$13=4, Enginuity!$B$13=6)),
      AND(
        LEFT(P4518,5)&lt;&gt;"1-Way",
        LEFT(P4518,5)&lt;&gt;"2-Way",
        LEFT(P4518,5)&lt;&gt;"3-Way",
        P4518&lt;&gt;"Inner Centre Jamb"
      )
    ),
    IF(OR(Enginuity!$A$1="Frameless Glass",Enginuity!$A$1="Metal Work"),
      AND(TRIM(B4518)=TRIM(Enginuity!$A$17),TRIM(C4518)=TRIM(Enginuity!$A$18)),
      TRIM(B4518)=TRIM(Enginuity!$A$17)
    )
  ),
  ROW(),
  ""
)</f>
        <v/>
      </c>
    </row>
    <row r="4519" spans="21:21" x14ac:dyDescent="0.25">
      <c r="U4519" s="104" t="str">
        <f>IF(
  AND(
    TRIM(A4519)=TRIM(Enginuity!$A$1),
    TRIM(B4519)=TRIM(Enginuity!$A$17),
    Q4519&lt;&gt;"",
    Q4519&lt;&gt;0,
    OR(
      TRIM(C4519)=TRIM(Enginuity!$A$18),
      AND(UPPER(TRIM(M4519))="STD", TRIM(B4519)=TRIM(Enginuity!$A$17))
    ),
    OR(
      AND(LEFT(P4519,5)="1-Way", Enginuity!$B$13=1),
      AND(LEFT(P4519,5)="2-Way", OR(Enginuity!$B$13=2, Enginuity!$B$13=4)),
      AND(LEFT(P4519,5)="3-Way", OR(Enginuity!$B$13=3, Enginuity!$B$13=6)),
      AND(P4519="Inner Centre Jamb", OR(Enginuity!$B$13=4, Enginuity!$B$13=6)),
      AND(
        LEFT(P4519,5)&lt;&gt;"1-Way",
        LEFT(P4519,5)&lt;&gt;"2-Way",
        LEFT(P4519,5)&lt;&gt;"3-Way",
        P4519&lt;&gt;"Inner Centre Jamb"
      )
    ),
    IF(OR(Enginuity!$A$1="Frameless Glass",Enginuity!$A$1="Metal Work"),
      AND(TRIM(B4519)=TRIM(Enginuity!$A$17),TRIM(C4519)=TRIM(Enginuity!$A$18)),
      TRIM(B4519)=TRIM(Enginuity!$A$17)
    )
  ),
  ROW(),
  ""
)</f>
        <v/>
      </c>
    </row>
    <row r="4520" spans="21:21" x14ac:dyDescent="0.25">
      <c r="U4520" s="104" t="str">
        <f>IF(
  AND(
    TRIM(A4520)=TRIM(Enginuity!$A$1),
    TRIM(B4520)=TRIM(Enginuity!$A$17),
    Q4520&lt;&gt;"",
    Q4520&lt;&gt;0,
    OR(
      TRIM(C4520)=TRIM(Enginuity!$A$18),
      AND(UPPER(TRIM(M4520))="STD", TRIM(B4520)=TRIM(Enginuity!$A$17))
    ),
    OR(
      AND(LEFT(P4520,5)="1-Way", Enginuity!$B$13=1),
      AND(LEFT(P4520,5)="2-Way", OR(Enginuity!$B$13=2, Enginuity!$B$13=4)),
      AND(LEFT(P4520,5)="3-Way", OR(Enginuity!$B$13=3, Enginuity!$B$13=6)),
      AND(P4520="Inner Centre Jamb", OR(Enginuity!$B$13=4, Enginuity!$B$13=6)),
      AND(
        LEFT(P4520,5)&lt;&gt;"1-Way",
        LEFT(P4520,5)&lt;&gt;"2-Way",
        LEFT(P4520,5)&lt;&gt;"3-Way",
        P4520&lt;&gt;"Inner Centre Jamb"
      )
    ),
    IF(OR(Enginuity!$A$1="Frameless Glass",Enginuity!$A$1="Metal Work"),
      AND(TRIM(B4520)=TRIM(Enginuity!$A$17),TRIM(C4520)=TRIM(Enginuity!$A$18)),
      TRIM(B4520)=TRIM(Enginuity!$A$17)
    )
  ),
  ROW(),
  ""
)</f>
        <v/>
      </c>
    </row>
    <row r="4521" spans="21:21" x14ac:dyDescent="0.25">
      <c r="U4521" s="104" t="str">
        <f>IF(
  AND(
    TRIM(A4521)=TRIM(Enginuity!$A$1),
    TRIM(B4521)=TRIM(Enginuity!$A$17),
    Q4521&lt;&gt;"",
    Q4521&lt;&gt;0,
    OR(
      TRIM(C4521)=TRIM(Enginuity!$A$18),
      AND(UPPER(TRIM(M4521))="STD", TRIM(B4521)=TRIM(Enginuity!$A$17))
    ),
    OR(
      AND(LEFT(P4521,5)="1-Way", Enginuity!$B$13=1),
      AND(LEFT(P4521,5)="2-Way", OR(Enginuity!$B$13=2, Enginuity!$B$13=4)),
      AND(LEFT(P4521,5)="3-Way", OR(Enginuity!$B$13=3, Enginuity!$B$13=6)),
      AND(P4521="Inner Centre Jamb", OR(Enginuity!$B$13=4, Enginuity!$B$13=6)),
      AND(
        LEFT(P4521,5)&lt;&gt;"1-Way",
        LEFT(P4521,5)&lt;&gt;"2-Way",
        LEFT(P4521,5)&lt;&gt;"3-Way",
        P4521&lt;&gt;"Inner Centre Jamb"
      )
    ),
    IF(OR(Enginuity!$A$1="Frameless Glass",Enginuity!$A$1="Metal Work"),
      AND(TRIM(B4521)=TRIM(Enginuity!$A$17),TRIM(C4521)=TRIM(Enginuity!$A$18)),
      TRIM(B4521)=TRIM(Enginuity!$A$17)
    )
  ),
  ROW(),
  ""
)</f>
        <v/>
      </c>
    </row>
    <row r="4522" spans="21:21" x14ac:dyDescent="0.25">
      <c r="U4522" s="104" t="str">
        <f>IF(
  AND(
    TRIM(A4522)=TRIM(Enginuity!$A$1),
    TRIM(B4522)=TRIM(Enginuity!$A$17),
    Q4522&lt;&gt;"",
    Q4522&lt;&gt;0,
    OR(
      TRIM(C4522)=TRIM(Enginuity!$A$18),
      AND(UPPER(TRIM(M4522))="STD", TRIM(B4522)=TRIM(Enginuity!$A$17))
    ),
    OR(
      AND(LEFT(P4522,5)="1-Way", Enginuity!$B$13=1),
      AND(LEFT(P4522,5)="2-Way", OR(Enginuity!$B$13=2, Enginuity!$B$13=4)),
      AND(LEFT(P4522,5)="3-Way", OR(Enginuity!$B$13=3, Enginuity!$B$13=6)),
      AND(P4522="Inner Centre Jamb", OR(Enginuity!$B$13=4, Enginuity!$B$13=6)),
      AND(
        LEFT(P4522,5)&lt;&gt;"1-Way",
        LEFT(P4522,5)&lt;&gt;"2-Way",
        LEFT(P4522,5)&lt;&gt;"3-Way",
        P4522&lt;&gt;"Inner Centre Jamb"
      )
    ),
    IF(OR(Enginuity!$A$1="Frameless Glass",Enginuity!$A$1="Metal Work"),
      AND(TRIM(B4522)=TRIM(Enginuity!$A$17),TRIM(C4522)=TRIM(Enginuity!$A$18)),
      TRIM(B4522)=TRIM(Enginuity!$A$17)
    )
  ),
  ROW(),
  ""
)</f>
        <v/>
      </c>
    </row>
    <row r="4523" spans="21:21" x14ac:dyDescent="0.25">
      <c r="U4523" s="104" t="str">
        <f>IF(
  AND(
    TRIM(A4523)=TRIM(Enginuity!$A$1),
    TRIM(B4523)=TRIM(Enginuity!$A$17),
    Q4523&lt;&gt;"",
    Q4523&lt;&gt;0,
    OR(
      TRIM(C4523)=TRIM(Enginuity!$A$18),
      AND(UPPER(TRIM(M4523))="STD", TRIM(B4523)=TRIM(Enginuity!$A$17))
    ),
    OR(
      AND(LEFT(P4523,5)="1-Way", Enginuity!$B$13=1),
      AND(LEFT(P4523,5)="2-Way", OR(Enginuity!$B$13=2, Enginuity!$B$13=4)),
      AND(LEFT(P4523,5)="3-Way", OR(Enginuity!$B$13=3, Enginuity!$B$13=6)),
      AND(P4523="Inner Centre Jamb", OR(Enginuity!$B$13=4, Enginuity!$B$13=6)),
      AND(
        LEFT(P4523,5)&lt;&gt;"1-Way",
        LEFT(P4523,5)&lt;&gt;"2-Way",
        LEFT(P4523,5)&lt;&gt;"3-Way",
        P4523&lt;&gt;"Inner Centre Jamb"
      )
    ),
    IF(OR(Enginuity!$A$1="Frameless Glass",Enginuity!$A$1="Metal Work"),
      AND(TRIM(B4523)=TRIM(Enginuity!$A$17),TRIM(C4523)=TRIM(Enginuity!$A$18)),
      TRIM(B4523)=TRIM(Enginuity!$A$17)
    )
  ),
  ROW(),
  ""
)</f>
        <v/>
      </c>
    </row>
    <row r="4524" spans="21:21" x14ac:dyDescent="0.25">
      <c r="U4524" s="104" t="str">
        <f>IF(
  AND(
    TRIM(A4524)=TRIM(Enginuity!$A$1),
    TRIM(B4524)=TRIM(Enginuity!$A$17),
    Q4524&lt;&gt;"",
    Q4524&lt;&gt;0,
    OR(
      TRIM(C4524)=TRIM(Enginuity!$A$18),
      AND(UPPER(TRIM(M4524))="STD", TRIM(B4524)=TRIM(Enginuity!$A$17))
    ),
    OR(
      AND(LEFT(P4524,5)="1-Way", Enginuity!$B$13=1),
      AND(LEFT(P4524,5)="2-Way", OR(Enginuity!$B$13=2, Enginuity!$B$13=4)),
      AND(LEFT(P4524,5)="3-Way", OR(Enginuity!$B$13=3, Enginuity!$B$13=6)),
      AND(P4524="Inner Centre Jamb", OR(Enginuity!$B$13=4, Enginuity!$B$13=6)),
      AND(
        LEFT(P4524,5)&lt;&gt;"1-Way",
        LEFT(P4524,5)&lt;&gt;"2-Way",
        LEFT(P4524,5)&lt;&gt;"3-Way",
        P4524&lt;&gt;"Inner Centre Jamb"
      )
    ),
    IF(OR(Enginuity!$A$1="Frameless Glass",Enginuity!$A$1="Metal Work"),
      AND(TRIM(B4524)=TRIM(Enginuity!$A$17),TRIM(C4524)=TRIM(Enginuity!$A$18)),
      TRIM(B4524)=TRIM(Enginuity!$A$17)
    )
  ),
  ROW(),
  ""
)</f>
        <v/>
      </c>
    </row>
    <row r="4525" spans="21:21" x14ac:dyDescent="0.25">
      <c r="U4525" s="104" t="str">
        <f>IF(
  AND(
    TRIM(A4525)=TRIM(Enginuity!$A$1),
    TRIM(B4525)=TRIM(Enginuity!$A$17),
    Q4525&lt;&gt;"",
    Q4525&lt;&gt;0,
    OR(
      TRIM(C4525)=TRIM(Enginuity!$A$18),
      AND(UPPER(TRIM(M4525))="STD", TRIM(B4525)=TRIM(Enginuity!$A$17))
    ),
    OR(
      AND(LEFT(P4525,5)="1-Way", Enginuity!$B$13=1),
      AND(LEFT(P4525,5)="2-Way", OR(Enginuity!$B$13=2, Enginuity!$B$13=4)),
      AND(LEFT(P4525,5)="3-Way", OR(Enginuity!$B$13=3, Enginuity!$B$13=6)),
      AND(P4525="Inner Centre Jamb", OR(Enginuity!$B$13=4, Enginuity!$B$13=6)),
      AND(
        LEFT(P4525,5)&lt;&gt;"1-Way",
        LEFT(P4525,5)&lt;&gt;"2-Way",
        LEFT(P4525,5)&lt;&gt;"3-Way",
        P4525&lt;&gt;"Inner Centre Jamb"
      )
    ),
    IF(OR(Enginuity!$A$1="Frameless Glass",Enginuity!$A$1="Metal Work"),
      AND(TRIM(B4525)=TRIM(Enginuity!$A$17),TRIM(C4525)=TRIM(Enginuity!$A$18)),
      TRIM(B4525)=TRIM(Enginuity!$A$17)
    )
  ),
  ROW(),
  ""
)</f>
        <v/>
      </c>
    </row>
    <row r="4526" spans="21:21" x14ac:dyDescent="0.25">
      <c r="U4526" s="104" t="str">
        <f>IF(
  AND(
    TRIM(A4526)=TRIM(Enginuity!$A$1),
    TRIM(B4526)=TRIM(Enginuity!$A$17),
    Q4526&lt;&gt;"",
    Q4526&lt;&gt;0,
    OR(
      TRIM(C4526)=TRIM(Enginuity!$A$18),
      AND(UPPER(TRIM(M4526))="STD", TRIM(B4526)=TRIM(Enginuity!$A$17))
    ),
    OR(
      AND(LEFT(P4526,5)="1-Way", Enginuity!$B$13=1),
      AND(LEFT(P4526,5)="2-Way", OR(Enginuity!$B$13=2, Enginuity!$B$13=4)),
      AND(LEFT(P4526,5)="3-Way", OR(Enginuity!$B$13=3, Enginuity!$B$13=6)),
      AND(P4526="Inner Centre Jamb", OR(Enginuity!$B$13=4, Enginuity!$B$13=6)),
      AND(
        LEFT(P4526,5)&lt;&gt;"1-Way",
        LEFT(P4526,5)&lt;&gt;"2-Way",
        LEFT(P4526,5)&lt;&gt;"3-Way",
        P4526&lt;&gt;"Inner Centre Jamb"
      )
    ),
    IF(OR(Enginuity!$A$1="Frameless Glass",Enginuity!$A$1="Metal Work"),
      AND(TRIM(B4526)=TRIM(Enginuity!$A$17),TRIM(C4526)=TRIM(Enginuity!$A$18)),
      TRIM(B4526)=TRIM(Enginuity!$A$17)
    )
  ),
  ROW(),
  ""
)</f>
        <v/>
      </c>
    </row>
    <row r="4527" spans="21:21" x14ac:dyDescent="0.25">
      <c r="U4527" s="104" t="str">
        <f>IF(
  AND(
    TRIM(A4527)=TRIM(Enginuity!$A$1),
    TRIM(B4527)=TRIM(Enginuity!$A$17),
    Q4527&lt;&gt;"",
    Q4527&lt;&gt;0,
    OR(
      TRIM(C4527)=TRIM(Enginuity!$A$18),
      AND(UPPER(TRIM(M4527))="STD", TRIM(B4527)=TRIM(Enginuity!$A$17))
    ),
    OR(
      AND(LEFT(P4527,5)="1-Way", Enginuity!$B$13=1),
      AND(LEFT(P4527,5)="2-Way", OR(Enginuity!$B$13=2, Enginuity!$B$13=4)),
      AND(LEFT(P4527,5)="3-Way", OR(Enginuity!$B$13=3, Enginuity!$B$13=6)),
      AND(P4527="Inner Centre Jamb", OR(Enginuity!$B$13=4, Enginuity!$B$13=6)),
      AND(
        LEFT(P4527,5)&lt;&gt;"1-Way",
        LEFT(P4527,5)&lt;&gt;"2-Way",
        LEFT(P4527,5)&lt;&gt;"3-Way",
        P4527&lt;&gt;"Inner Centre Jamb"
      )
    ),
    IF(OR(Enginuity!$A$1="Frameless Glass",Enginuity!$A$1="Metal Work"),
      AND(TRIM(B4527)=TRIM(Enginuity!$A$17),TRIM(C4527)=TRIM(Enginuity!$A$18)),
      TRIM(B4527)=TRIM(Enginuity!$A$17)
    )
  ),
  ROW(),
  ""
)</f>
        <v/>
      </c>
    </row>
    <row r="4528" spans="21:21" x14ac:dyDescent="0.25">
      <c r="U4528" s="104" t="str">
        <f>IF(
  AND(
    TRIM(A4528)=TRIM(Enginuity!$A$1),
    TRIM(B4528)=TRIM(Enginuity!$A$17),
    Q4528&lt;&gt;"",
    Q4528&lt;&gt;0,
    OR(
      TRIM(C4528)=TRIM(Enginuity!$A$18),
      AND(UPPER(TRIM(M4528))="STD", TRIM(B4528)=TRIM(Enginuity!$A$17))
    ),
    OR(
      AND(LEFT(P4528,5)="1-Way", Enginuity!$B$13=1),
      AND(LEFT(P4528,5)="2-Way", OR(Enginuity!$B$13=2, Enginuity!$B$13=4)),
      AND(LEFT(P4528,5)="3-Way", OR(Enginuity!$B$13=3, Enginuity!$B$13=6)),
      AND(P4528="Inner Centre Jamb", OR(Enginuity!$B$13=4, Enginuity!$B$13=6)),
      AND(
        LEFT(P4528,5)&lt;&gt;"1-Way",
        LEFT(P4528,5)&lt;&gt;"2-Way",
        LEFT(P4528,5)&lt;&gt;"3-Way",
        P4528&lt;&gt;"Inner Centre Jamb"
      )
    ),
    IF(OR(Enginuity!$A$1="Frameless Glass",Enginuity!$A$1="Metal Work"),
      AND(TRIM(B4528)=TRIM(Enginuity!$A$17),TRIM(C4528)=TRIM(Enginuity!$A$18)),
      TRIM(B4528)=TRIM(Enginuity!$A$17)
    )
  ),
  ROW(),
  ""
)</f>
        <v/>
      </c>
    </row>
    <row r="4529" spans="21:21" x14ac:dyDescent="0.25">
      <c r="U4529" s="104" t="str">
        <f>IF(
  AND(
    TRIM(A4529)=TRIM(Enginuity!$A$1),
    TRIM(B4529)=TRIM(Enginuity!$A$17),
    Q4529&lt;&gt;"",
    Q4529&lt;&gt;0,
    OR(
      TRIM(C4529)=TRIM(Enginuity!$A$18),
      AND(UPPER(TRIM(M4529))="STD", TRIM(B4529)=TRIM(Enginuity!$A$17))
    ),
    OR(
      AND(LEFT(P4529,5)="1-Way", Enginuity!$B$13=1),
      AND(LEFT(P4529,5)="2-Way", OR(Enginuity!$B$13=2, Enginuity!$B$13=4)),
      AND(LEFT(P4529,5)="3-Way", OR(Enginuity!$B$13=3, Enginuity!$B$13=6)),
      AND(P4529="Inner Centre Jamb", OR(Enginuity!$B$13=4, Enginuity!$B$13=6)),
      AND(
        LEFT(P4529,5)&lt;&gt;"1-Way",
        LEFT(P4529,5)&lt;&gt;"2-Way",
        LEFT(P4529,5)&lt;&gt;"3-Way",
        P4529&lt;&gt;"Inner Centre Jamb"
      )
    ),
    IF(OR(Enginuity!$A$1="Frameless Glass",Enginuity!$A$1="Metal Work"),
      AND(TRIM(B4529)=TRIM(Enginuity!$A$17),TRIM(C4529)=TRIM(Enginuity!$A$18)),
      TRIM(B4529)=TRIM(Enginuity!$A$17)
    )
  ),
  ROW(),
  ""
)</f>
        <v/>
      </c>
    </row>
    <row r="4530" spans="21:21" x14ac:dyDescent="0.25">
      <c r="U4530" s="104" t="str">
        <f>IF(
  AND(
    TRIM(A4530)=TRIM(Enginuity!$A$1),
    TRIM(B4530)=TRIM(Enginuity!$A$17),
    Q4530&lt;&gt;"",
    Q4530&lt;&gt;0,
    OR(
      TRIM(C4530)=TRIM(Enginuity!$A$18),
      AND(UPPER(TRIM(M4530))="STD", TRIM(B4530)=TRIM(Enginuity!$A$17))
    ),
    OR(
      AND(LEFT(P4530,5)="1-Way", Enginuity!$B$13=1),
      AND(LEFT(P4530,5)="2-Way", OR(Enginuity!$B$13=2, Enginuity!$B$13=4)),
      AND(LEFT(P4530,5)="3-Way", OR(Enginuity!$B$13=3, Enginuity!$B$13=6)),
      AND(P4530="Inner Centre Jamb", OR(Enginuity!$B$13=4, Enginuity!$B$13=6)),
      AND(
        LEFT(P4530,5)&lt;&gt;"1-Way",
        LEFT(P4530,5)&lt;&gt;"2-Way",
        LEFT(P4530,5)&lt;&gt;"3-Way",
        P4530&lt;&gt;"Inner Centre Jamb"
      )
    ),
    IF(OR(Enginuity!$A$1="Frameless Glass",Enginuity!$A$1="Metal Work"),
      AND(TRIM(B4530)=TRIM(Enginuity!$A$17),TRIM(C4530)=TRIM(Enginuity!$A$18)),
      TRIM(B4530)=TRIM(Enginuity!$A$17)
    )
  ),
  ROW(),
  ""
)</f>
        <v/>
      </c>
    </row>
    <row r="4531" spans="21:21" x14ac:dyDescent="0.25">
      <c r="U4531" s="104" t="str">
        <f>IF(
  AND(
    TRIM(A4531)=TRIM(Enginuity!$A$1),
    TRIM(B4531)=TRIM(Enginuity!$A$17),
    Q4531&lt;&gt;"",
    Q4531&lt;&gt;0,
    OR(
      TRIM(C4531)=TRIM(Enginuity!$A$18),
      AND(UPPER(TRIM(M4531))="STD", TRIM(B4531)=TRIM(Enginuity!$A$17))
    ),
    OR(
      AND(LEFT(P4531,5)="1-Way", Enginuity!$B$13=1),
      AND(LEFT(P4531,5)="2-Way", OR(Enginuity!$B$13=2, Enginuity!$B$13=4)),
      AND(LEFT(P4531,5)="3-Way", OR(Enginuity!$B$13=3, Enginuity!$B$13=6)),
      AND(P4531="Inner Centre Jamb", OR(Enginuity!$B$13=4, Enginuity!$B$13=6)),
      AND(
        LEFT(P4531,5)&lt;&gt;"1-Way",
        LEFT(P4531,5)&lt;&gt;"2-Way",
        LEFT(P4531,5)&lt;&gt;"3-Way",
        P4531&lt;&gt;"Inner Centre Jamb"
      )
    ),
    IF(OR(Enginuity!$A$1="Frameless Glass",Enginuity!$A$1="Metal Work"),
      AND(TRIM(B4531)=TRIM(Enginuity!$A$17),TRIM(C4531)=TRIM(Enginuity!$A$18)),
      TRIM(B4531)=TRIM(Enginuity!$A$17)
    )
  ),
  ROW(),
  ""
)</f>
        <v/>
      </c>
    </row>
    <row r="4532" spans="21:21" x14ac:dyDescent="0.25">
      <c r="U4532" s="104" t="str">
        <f>IF(
  AND(
    TRIM(A4532)=TRIM(Enginuity!$A$1),
    TRIM(B4532)=TRIM(Enginuity!$A$17),
    Q4532&lt;&gt;"",
    Q4532&lt;&gt;0,
    OR(
      TRIM(C4532)=TRIM(Enginuity!$A$18),
      AND(UPPER(TRIM(M4532))="STD", TRIM(B4532)=TRIM(Enginuity!$A$17))
    ),
    OR(
      AND(LEFT(P4532,5)="1-Way", Enginuity!$B$13=1),
      AND(LEFT(P4532,5)="2-Way", OR(Enginuity!$B$13=2, Enginuity!$B$13=4)),
      AND(LEFT(P4532,5)="3-Way", OR(Enginuity!$B$13=3, Enginuity!$B$13=6)),
      AND(P4532="Inner Centre Jamb", OR(Enginuity!$B$13=4, Enginuity!$B$13=6)),
      AND(
        LEFT(P4532,5)&lt;&gt;"1-Way",
        LEFT(P4532,5)&lt;&gt;"2-Way",
        LEFT(P4532,5)&lt;&gt;"3-Way",
        P4532&lt;&gt;"Inner Centre Jamb"
      )
    ),
    IF(OR(Enginuity!$A$1="Frameless Glass",Enginuity!$A$1="Metal Work"),
      AND(TRIM(B4532)=TRIM(Enginuity!$A$17),TRIM(C4532)=TRIM(Enginuity!$A$18)),
      TRIM(B4532)=TRIM(Enginuity!$A$17)
    )
  ),
  ROW(),
  ""
)</f>
        <v/>
      </c>
    </row>
    <row r="4533" spans="21:21" x14ac:dyDescent="0.25">
      <c r="U4533" s="104" t="str">
        <f>IF(
  AND(
    TRIM(A4533)=TRIM(Enginuity!$A$1),
    TRIM(B4533)=TRIM(Enginuity!$A$17),
    Q4533&lt;&gt;"",
    Q4533&lt;&gt;0,
    OR(
      TRIM(C4533)=TRIM(Enginuity!$A$18),
      AND(UPPER(TRIM(M4533))="STD", TRIM(B4533)=TRIM(Enginuity!$A$17))
    ),
    OR(
      AND(LEFT(P4533,5)="1-Way", Enginuity!$B$13=1),
      AND(LEFT(P4533,5)="2-Way", OR(Enginuity!$B$13=2, Enginuity!$B$13=4)),
      AND(LEFT(P4533,5)="3-Way", OR(Enginuity!$B$13=3, Enginuity!$B$13=6)),
      AND(P4533="Inner Centre Jamb", OR(Enginuity!$B$13=4, Enginuity!$B$13=6)),
      AND(
        LEFT(P4533,5)&lt;&gt;"1-Way",
        LEFT(P4533,5)&lt;&gt;"2-Way",
        LEFT(P4533,5)&lt;&gt;"3-Way",
        P4533&lt;&gt;"Inner Centre Jamb"
      )
    ),
    IF(OR(Enginuity!$A$1="Frameless Glass",Enginuity!$A$1="Metal Work"),
      AND(TRIM(B4533)=TRIM(Enginuity!$A$17),TRIM(C4533)=TRIM(Enginuity!$A$18)),
      TRIM(B4533)=TRIM(Enginuity!$A$17)
    )
  ),
  ROW(),
  ""
)</f>
        <v/>
      </c>
    </row>
    <row r="4534" spans="21:21" x14ac:dyDescent="0.25">
      <c r="U4534" s="104" t="str">
        <f>IF(
  AND(
    TRIM(A4534)=TRIM(Enginuity!$A$1),
    TRIM(B4534)=TRIM(Enginuity!$A$17),
    Q4534&lt;&gt;"",
    Q4534&lt;&gt;0,
    OR(
      TRIM(C4534)=TRIM(Enginuity!$A$18),
      AND(UPPER(TRIM(M4534))="STD", TRIM(B4534)=TRIM(Enginuity!$A$17))
    ),
    OR(
      AND(LEFT(P4534,5)="1-Way", Enginuity!$B$13=1),
      AND(LEFT(P4534,5)="2-Way", OR(Enginuity!$B$13=2, Enginuity!$B$13=4)),
      AND(LEFT(P4534,5)="3-Way", OR(Enginuity!$B$13=3, Enginuity!$B$13=6)),
      AND(P4534="Inner Centre Jamb", OR(Enginuity!$B$13=4, Enginuity!$B$13=6)),
      AND(
        LEFT(P4534,5)&lt;&gt;"1-Way",
        LEFT(P4534,5)&lt;&gt;"2-Way",
        LEFT(P4534,5)&lt;&gt;"3-Way",
        P4534&lt;&gt;"Inner Centre Jamb"
      )
    ),
    IF(OR(Enginuity!$A$1="Frameless Glass",Enginuity!$A$1="Metal Work"),
      AND(TRIM(B4534)=TRIM(Enginuity!$A$17),TRIM(C4534)=TRIM(Enginuity!$A$18)),
      TRIM(B4534)=TRIM(Enginuity!$A$17)
    )
  ),
  ROW(),
  ""
)</f>
        <v/>
      </c>
    </row>
    <row r="4535" spans="21:21" x14ac:dyDescent="0.25">
      <c r="U4535" s="104" t="str">
        <f>IF(
  AND(
    TRIM(A4535)=TRIM(Enginuity!$A$1),
    TRIM(B4535)=TRIM(Enginuity!$A$17),
    Q4535&lt;&gt;"",
    Q4535&lt;&gt;0,
    OR(
      TRIM(C4535)=TRIM(Enginuity!$A$18),
      AND(UPPER(TRIM(M4535))="STD", TRIM(B4535)=TRIM(Enginuity!$A$17))
    ),
    OR(
      AND(LEFT(P4535,5)="1-Way", Enginuity!$B$13=1),
      AND(LEFT(P4535,5)="2-Way", OR(Enginuity!$B$13=2, Enginuity!$B$13=4)),
      AND(LEFT(P4535,5)="3-Way", OR(Enginuity!$B$13=3, Enginuity!$B$13=6)),
      AND(P4535="Inner Centre Jamb", OR(Enginuity!$B$13=4, Enginuity!$B$13=6)),
      AND(
        LEFT(P4535,5)&lt;&gt;"1-Way",
        LEFT(P4535,5)&lt;&gt;"2-Way",
        LEFT(P4535,5)&lt;&gt;"3-Way",
        P4535&lt;&gt;"Inner Centre Jamb"
      )
    ),
    IF(OR(Enginuity!$A$1="Frameless Glass",Enginuity!$A$1="Metal Work"),
      AND(TRIM(B4535)=TRIM(Enginuity!$A$17),TRIM(C4535)=TRIM(Enginuity!$A$18)),
      TRIM(B4535)=TRIM(Enginuity!$A$17)
    )
  ),
  ROW(),
  ""
)</f>
        <v/>
      </c>
    </row>
    <row r="4536" spans="21:21" x14ac:dyDescent="0.25">
      <c r="U4536" s="104" t="str">
        <f>IF(
  AND(
    TRIM(A4536)=TRIM(Enginuity!$A$1),
    TRIM(B4536)=TRIM(Enginuity!$A$17),
    Q4536&lt;&gt;"",
    Q4536&lt;&gt;0,
    OR(
      TRIM(C4536)=TRIM(Enginuity!$A$18),
      AND(UPPER(TRIM(M4536))="STD", TRIM(B4536)=TRIM(Enginuity!$A$17))
    ),
    OR(
      AND(LEFT(P4536,5)="1-Way", Enginuity!$B$13=1),
      AND(LEFT(P4536,5)="2-Way", OR(Enginuity!$B$13=2, Enginuity!$B$13=4)),
      AND(LEFT(P4536,5)="3-Way", OR(Enginuity!$B$13=3, Enginuity!$B$13=6)),
      AND(P4536="Inner Centre Jamb", OR(Enginuity!$B$13=4, Enginuity!$B$13=6)),
      AND(
        LEFT(P4536,5)&lt;&gt;"1-Way",
        LEFT(P4536,5)&lt;&gt;"2-Way",
        LEFT(P4536,5)&lt;&gt;"3-Way",
        P4536&lt;&gt;"Inner Centre Jamb"
      )
    ),
    IF(OR(Enginuity!$A$1="Frameless Glass",Enginuity!$A$1="Metal Work"),
      AND(TRIM(B4536)=TRIM(Enginuity!$A$17),TRIM(C4536)=TRIM(Enginuity!$A$18)),
      TRIM(B4536)=TRIM(Enginuity!$A$17)
    )
  ),
  ROW(),
  ""
)</f>
        <v/>
      </c>
    </row>
    <row r="4537" spans="21:21" x14ac:dyDescent="0.25">
      <c r="U4537" s="104" t="str">
        <f>IF(
  AND(
    TRIM(A4537)=TRIM(Enginuity!$A$1),
    TRIM(B4537)=TRIM(Enginuity!$A$17),
    Q4537&lt;&gt;"",
    Q4537&lt;&gt;0,
    OR(
      TRIM(C4537)=TRIM(Enginuity!$A$18),
      AND(UPPER(TRIM(M4537))="STD", TRIM(B4537)=TRIM(Enginuity!$A$17))
    ),
    OR(
      AND(LEFT(P4537,5)="1-Way", Enginuity!$B$13=1),
      AND(LEFT(P4537,5)="2-Way", OR(Enginuity!$B$13=2, Enginuity!$B$13=4)),
      AND(LEFT(P4537,5)="3-Way", OR(Enginuity!$B$13=3, Enginuity!$B$13=6)),
      AND(P4537="Inner Centre Jamb", OR(Enginuity!$B$13=4, Enginuity!$B$13=6)),
      AND(
        LEFT(P4537,5)&lt;&gt;"1-Way",
        LEFT(P4537,5)&lt;&gt;"2-Way",
        LEFT(P4537,5)&lt;&gt;"3-Way",
        P4537&lt;&gt;"Inner Centre Jamb"
      )
    ),
    IF(OR(Enginuity!$A$1="Frameless Glass",Enginuity!$A$1="Metal Work"),
      AND(TRIM(B4537)=TRIM(Enginuity!$A$17),TRIM(C4537)=TRIM(Enginuity!$A$18)),
      TRIM(B4537)=TRIM(Enginuity!$A$17)
    )
  ),
  ROW(),
  ""
)</f>
        <v/>
      </c>
    </row>
    <row r="4538" spans="21:21" x14ac:dyDescent="0.25">
      <c r="U4538" s="104" t="str">
        <f>IF(
  AND(
    TRIM(A4538)=TRIM(Enginuity!$A$1),
    TRIM(B4538)=TRIM(Enginuity!$A$17),
    Q4538&lt;&gt;"",
    Q4538&lt;&gt;0,
    OR(
      TRIM(C4538)=TRIM(Enginuity!$A$18),
      AND(UPPER(TRIM(M4538))="STD", TRIM(B4538)=TRIM(Enginuity!$A$17))
    ),
    OR(
      AND(LEFT(P4538,5)="1-Way", Enginuity!$B$13=1),
      AND(LEFT(P4538,5)="2-Way", OR(Enginuity!$B$13=2, Enginuity!$B$13=4)),
      AND(LEFT(P4538,5)="3-Way", OR(Enginuity!$B$13=3, Enginuity!$B$13=6)),
      AND(P4538="Inner Centre Jamb", OR(Enginuity!$B$13=4, Enginuity!$B$13=6)),
      AND(
        LEFT(P4538,5)&lt;&gt;"1-Way",
        LEFT(P4538,5)&lt;&gt;"2-Way",
        LEFT(P4538,5)&lt;&gt;"3-Way",
        P4538&lt;&gt;"Inner Centre Jamb"
      )
    ),
    IF(OR(Enginuity!$A$1="Frameless Glass",Enginuity!$A$1="Metal Work"),
      AND(TRIM(B4538)=TRIM(Enginuity!$A$17),TRIM(C4538)=TRIM(Enginuity!$A$18)),
      TRIM(B4538)=TRIM(Enginuity!$A$17)
    )
  ),
  ROW(),
  ""
)</f>
        <v/>
      </c>
    </row>
    <row r="4539" spans="21:21" x14ac:dyDescent="0.25">
      <c r="U4539" s="104" t="str">
        <f>IF(
  AND(
    TRIM(A4539)=TRIM(Enginuity!$A$1),
    TRIM(B4539)=TRIM(Enginuity!$A$17),
    Q4539&lt;&gt;"",
    Q4539&lt;&gt;0,
    OR(
      TRIM(C4539)=TRIM(Enginuity!$A$18),
      AND(UPPER(TRIM(M4539))="STD", TRIM(B4539)=TRIM(Enginuity!$A$17))
    ),
    OR(
      AND(LEFT(P4539,5)="1-Way", Enginuity!$B$13=1),
      AND(LEFT(P4539,5)="2-Way", OR(Enginuity!$B$13=2, Enginuity!$B$13=4)),
      AND(LEFT(P4539,5)="3-Way", OR(Enginuity!$B$13=3, Enginuity!$B$13=6)),
      AND(P4539="Inner Centre Jamb", OR(Enginuity!$B$13=4, Enginuity!$B$13=6)),
      AND(
        LEFT(P4539,5)&lt;&gt;"1-Way",
        LEFT(P4539,5)&lt;&gt;"2-Way",
        LEFT(P4539,5)&lt;&gt;"3-Way",
        P4539&lt;&gt;"Inner Centre Jamb"
      )
    ),
    IF(OR(Enginuity!$A$1="Frameless Glass",Enginuity!$A$1="Metal Work"),
      AND(TRIM(B4539)=TRIM(Enginuity!$A$17),TRIM(C4539)=TRIM(Enginuity!$A$18)),
      TRIM(B4539)=TRIM(Enginuity!$A$17)
    )
  ),
  ROW(),
  ""
)</f>
        <v/>
      </c>
    </row>
    <row r="4540" spans="21:21" x14ac:dyDescent="0.25">
      <c r="U4540" s="104" t="str">
        <f>IF(
  AND(
    TRIM(A4540)=TRIM(Enginuity!$A$1),
    TRIM(B4540)=TRIM(Enginuity!$A$17),
    Q4540&lt;&gt;"",
    Q4540&lt;&gt;0,
    OR(
      TRIM(C4540)=TRIM(Enginuity!$A$18),
      AND(UPPER(TRIM(M4540))="STD", TRIM(B4540)=TRIM(Enginuity!$A$17))
    ),
    OR(
      AND(LEFT(P4540,5)="1-Way", Enginuity!$B$13=1),
      AND(LEFT(P4540,5)="2-Way", OR(Enginuity!$B$13=2, Enginuity!$B$13=4)),
      AND(LEFT(P4540,5)="3-Way", OR(Enginuity!$B$13=3, Enginuity!$B$13=6)),
      AND(P4540="Inner Centre Jamb", OR(Enginuity!$B$13=4, Enginuity!$B$13=6)),
      AND(
        LEFT(P4540,5)&lt;&gt;"1-Way",
        LEFT(P4540,5)&lt;&gt;"2-Way",
        LEFT(P4540,5)&lt;&gt;"3-Way",
        P4540&lt;&gt;"Inner Centre Jamb"
      )
    ),
    IF(OR(Enginuity!$A$1="Frameless Glass",Enginuity!$A$1="Metal Work"),
      AND(TRIM(B4540)=TRIM(Enginuity!$A$17),TRIM(C4540)=TRIM(Enginuity!$A$18)),
      TRIM(B4540)=TRIM(Enginuity!$A$17)
    )
  ),
  ROW(),
  ""
)</f>
        <v/>
      </c>
    </row>
    <row r="4541" spans="21:21" x14ac:dyDescent="0.25">
      <c r="U4541" s="104" t="str">
        <f>IF(
  AND(
    TRIM(A4541)=TRIM(Enginuity!$A$1),
    TRIM(B4541)=TRIM(Enginuity!$A$17),
    Q4541&lt;&gt;"",
    Q4541&lt;&gt;0,
    OR(
      TRIM(C4541)=TRIM(Enginuity!$A$18),
      AND(UPPER(TRIM(M4541))="STD", TRIM(B4541)=TRIM(Enginuity!$A$17))
    ),
    OR(
      AND(LEFT(P4541,5)="1-Way", Enginuity!$B$13=1),
      AND(LEFT(P4541,5)="2-Way", OR(Enginuity!$B$13=2, Enginuity!$B$13=4)),
      AND(LEFT(P4541,5)="3-Way", OR(Enginuity!$B$13=3, Enginuity!$B$13=6)),
      AND(P4541="Inner Centre Jamb", OR(Enginuity!$B$13=4, Enginuity!$B$13=6)),
      AND(
        LEFT(P4541,5)&lt;&gt;"1-Way",
        LEFT(P4541,5)&lt;&gt;"2-Way",
        LEFT(P4541,5)&lt;&gt;"3-Way",
        P4541&lt;&gt;"Inner Centre Jamb"
      )
    ),
    IF(OR(Enginuity!$A$1="Frameless Glass",Enginuity!$A$1="Metal Work"),
      AND(TRIM(B4541)=TRIM(Enginuity!$A$17),TRIM(C4541)=TRIM(Enginuity!$A$18)),
      TRIM(B4541)=TRIM(Enginuity!$A$17)
    )
  ),
  ROW(),
  ""
)</f>
        <v/>
      </c>
    </row>
    <row r="4542" spans="21:21" x14ac:dyDescent="0.25">
      <c r="U4542" s="104" t="str">
        <f>IF(
  AND(
    TRIM(A4542)=TRIM(Enginuity!$A$1),
    TRIM(B4542)=TRIM(Enginuity!$A$17),
    Q4542&lt;&gt;"",
    Q4542&lt;&gt;0,
    OR(
      TRIM(C4542)=TRIM(Enginuity!$A$18),
      AND(UPPER(TRIM(M4542))="STD", TRIM(B4542)=TRIM(Enginuity!$A$17))
    ),
    OR(
      AND(LEFT(P4542,5)="1-Way", Enginuity!$B$13=1),
      AND(LEFT(P4542,5)="2-Way", OR(Enginuity!$B$13=2, Enginuity!$B$13=4)),
      AND(LEFT(P4542,5)="3-Way", OR(Enginuity!$B$13=3, Enginuity!$B$13=6)),
      AND(P4542="Inner Centre Jamb", OR(Enginuity!$B$13=4, Enginuity!$B$13=6)),
      AND(
        LEFT(P4542,5)&lt;&gt;"1-Way",
        LEFT(P4542,5)&lt;&gt;"2-Way",
        LEFT(P4542,5)&lt;&gt;"3-Way",
        P4542&lt;&gt;"Inner Centre Jamb"
      )
    ),
    IF(OR(Enginuity!$A$1="Frameless Glass",Enginuity!$A$1="Metal Work"),
      AND(TRIM(B4542)=TRIM(Enginuity!$A$17),TRIM(C4542)=TRIM(Enginuity!$A$18)),
      TRIM(B4542)=TRIM(Enginuity!$A$17)
    )
  ),
  ROW(),
  ""
)</f>
        <v/>
      </c>
    </row>
    <row r="4543" spans="21:21" x14ac:dyDescent="0.25">
      <c r="U4543" s="104" t="str">
        <f>IF(
  AND(
    TRIM(A4543)=TRIM(Enginuity!$A$1),
    TRIM(B4543)=TRIM(Enginuity!$A$17),
    Q4543&lt;&gt;"",
    Q4543&lt;&gt;0,
    OR(
      TRIM(C4543)=TRIM(Enginuity!$A$18),
      AND(UPPER(TRIM(M4543))="STD", TRIM(B4543)=TRIM(Enginuity!$A$17))
    ),
    OR(
      AND(LEFT(P4543,5)="1-Way", Enginuity!$B$13=1),
      AND(LEFT(P4543,5)="2-Way", OR(Enginuity!$B$13=2, Enginuity!$B$13=4)),
      AND(LEFT(P4543,5)="3-Way", OR(Enginuity!$B$13=3, Enginuity!$B$13=6)),
      AND(P4543="Inner Centre Jamb", OR(Enginuity!$B$13=4, Enginuity!$B$13=6)),
      AND(
        LEFT(P4543,5)&lt;&gt;"1-Way",
        LEFT(P4543,5)&lt;&gt;"2-Way",
        LEFT(P4543,5)&lt;&gt;"3-Way",
        P4543&lt;&gt;"Inner Centre Jamb"
      )
    ),
    IF(OR(Enginuity!$A$1="Frameless Glass",Enginuity!$A$1="Metal Work"),
      AND(TRIM(B4543)=TRIM(Enginuity!$A$17),TRIM(C4543)=TRIM(Enginuity!$A$18)),
      TRIM(B4543)=TRIM(Enginuity!$A$17)
    )
  ),
  ROW(),
  ""
)</f>
        <v/>
      </c>
    </row>
    <row r="4544" spans="21:21" x14ac:dyDescent="0.25">
      <c r="U4544" s="104" t="str">
        <f>IF(
  AND(
    TRIM(A4544)=TRIM(Enginuity!$A$1),
    TRIM(B4544)=TRIM(Enginuity!$A$17),
    Q4544&lt;&gt;"",
    Q4544&lt;&gt;0,
    OR(
      TRIM(C4544)=TRIM(Enginuity!$A$18),
      AND(UPPER(TRIM(M4544))="STD", TRIM(B4544)=TRIM(Enginuity!$A$17))
    ),
    OR(
      AND(LEFT(P4544,5)="1-Way", Enginuity!$B$13=1),
      AND(LEFT(P4544,5)="2-Way", OR(Enginuity!$B$13=2, Enginuity!$B$13=4)),
      AND(LEFT(P4544,5)="3-Way", OR(Enginuity!$B$13=3, Enginuity!$B$13=6)),
      AND(P4544="Inner Centre Jamb", OR(Enginuity!$B$13=4, Enginuity!$B$13=6)),
      AND(
        LEFT(P4544,5)&lt;&gt;"1-Way",
        LEFT(P4544,5)&lt;&gt;"2-Way",
        LEFT(P4544,5)&lt;&gt;"3-Way",
        P4544&lt;&gt;"Inner Centre Jamb"
      )
    ),
    IF(OR(Enginuity!$A$1="Frameless Glass",Enginuity!$A$1="Metal Work"),
      AND(TRIM(B4544)=TRIM(Enginuity!$A$17),TRIM(C4544)=TRIM(Enginuity!$A$18)),
      TRIM(B4544)=TRIM(Enginuity!$A$17)
    )
  ),
  ROW(),
  ""
)</f>
        <v/>
      </c>
    </row>
    <row r="4545" spans="21:21" x14ac:dyDescent="0.25">
      <c r="U4545" s="104" t="str">
        <f>IF(
  AND(
    TRIM(A4545)=TRIM(Enginuity!$A$1),
    TRIM(B4545)=TRIM(Enginuity!$A$17),
    Q4545&lt;&gt;"",
    Q4545&lt;&gt;0,
    OR(
      TRIM(C4545)=TRIM(Enginuity!$A$18),
      AND(UPPER(TRIM(M4545))="STD", TRIM(B4545)=TRIM(Enginuity!$A$17))
    ),
    OR(
      AND(LEFT(P4545,5)="1-Way", Enginuity!$B$13=1),
      AND(LEFT(P4545,5)="2-Way", OR(Enginuity!$B$13=2, Enginuity!$B$13=4)),
      AND(LEFT(P4545,5)="3-Way", OR(Enginuity!$B$13=3, Enginuity!$B$13=6)),
      AND(P4545="Inner Centre Jamb", OR(Enginuity!$B$13=4, Enginuity!$B$13=6)),
      AND(
        LEFT(P4545,5)&lt;&gt;"1-Way",
        LEFT(P4545,5)&lt;&gt;"2-Way",
        LEFT(P4545,5)&lt;&gt;"3-Way",
        P4545&lt;&gt;"Inner Centre Jamb"
      )
    ),
    IF(OR(Enginuity!$A$1="Frameless Glass",Enginuity!$A$1="Metal Work"),
      AND(TRIM(B4545)=TRIM(Enginuity!$A$17),TRIM(C4545)=TRIM(Enginuity!$A$18)),
      TRIM(B4545)=TRIM(Enginuity!$A$17)
    )
  ),
  ROW(),
  ""
)</f>
        <v/>
      </c>
    </row>
    <row r="4546" spans="21:21" x14ac:dyDescent="0.25">
      <c r="U4546" s="104" t="str">
        <f>IF(
  AND(
    TRIM(A4546)=TRIM(Enginuity!$A$1),
    TRIM(B4546)=TRIM(Enginuity!$A$17),
    Q4546&lt;&gt;"",
    Q4546&lt;&gt;0,
    OR(
      TRIM(C4546)=TRIM(Enginuity!$A$18),
      AND(UPPER(TRIM(M4546))="STD", TRIM(B4546)=TRIM(Enginuity!$A$17))
    ),
    OR(
      AND(LEFT(P4546,5)="1-Way", Enginuity!$B$13=1),
      AND(LEFT(P4546,5)="2-Way", OR(Enginuity!$B$13=2, Enginuity!$B$13=4)),
      AND(LEFT(P4546,5)="3-Way", OR(Enginuity!$B$13=3, Enginuity!$B$13=6)),
      AND(P4546="Inner Centre Jamb", OR(Enginuity!$B$13=4, Enginuity!$B$13=6)),
      AND(
        LEFT(P4546,5)&lt;&gt;"1-Way",
        LEFT(P4546,5)&lt;&gt;"2-Way",
        LEFT(P4546,5)&lt;&gt;"3-Way",
        P4546&lt;&gt;"Inner Centre Jamb"
      )
    ),
    IF(OR(Enginuity!$A$1="Frameless Glass",Enginuity!$A$1="Metal Work"),
      AND(TRIM(B4546)=TRIM(Enginuity!$A$17),TRIM(C4546)=TRIM(Enginuity!$A$18)),
      TRIM(B4546)=TRIM(Enginuity!$A$17)
    )
  ),
  ROW(),
  ""
)</f>
        <v/>
      </c>
    </row>
    <row r="4547" spans="21:21" x14ac:dyDescent="0.25">
      <c r="U4547" s="104" t="str">
        <f>IF(
  AND(
    TRIM(A4547)=TRIM(Enginuity!$A$1),
    TRIM(B4547)=TRIM(Enginuity!$A$17),
    Q4547&lt;&gt;"",
    Q4547&lt;&gt;0,
    OR(
      TRIM(C4547)=TRIM(Enginuity!$A$18),
      AND(UPPER(TRIM(M4547))="STD", TRIM(B4547)=TRIM(Enginuity!$A$17))
    ),
    OR(
      AND(LEFT(P4547,5)="1-Way", Enginuity!$B$13=1),
      AND(LEFT(P4547,5)="2-Way", OR(Enginuity!$B$13=2, Enginuity!$B$13=4)),
      AND(LEFT(P4547,5)="3-Way", OR(Enginuity!$B$13=3, Enginuity!$B$13=6)),
      AND(P4547="Inner Centre Jamb", OR(Enginuity!$B$13=4, Enginuity!$B$13=6)),
      AND(
        LEFT(P4547,5)&lt;&gt;"1-Way",
        LEFT(P4547,5)&lt;&gt;"2-Way",
        LEFT(P4547,5)&lt;&gt;"3-Way",
        P4547&lt;&gt;"Inner Centre Jamb"
      )
    ),
    IF(OR(Enginuity!$A$1="Frameless Glass",Enginuity!$A$1="Metal Work"),
      AND(TRIM(B4547)=TRIM(Enginuity!$A$17),TRIM(C4547)=TRIM(Enginuity!$A$18)),
      TRIM(B4547)=TRIM(Enginuity!$A$17)
    )
  ),
  ROW(),
  ""
)</f>
        <v/>
      </c>
    </row>
    <row r="4548" spans="21:21" x14ac:dyDescent="0.25">
      <c r="U4548" s="104" t="str">
        <f>IF(
  AND(
    TRIM(A4548)=TRIM(Enginuity!$A$1),
    TRIM(B4548)=TRIM(Enginuity!$A$17),
    Q4548&lt;&gt;"",
    Q4548&lt;&gt;0,
    OR(
      TRIM(C4548)=TRIM(Enginuity!$A$18),
      AND(UPPER(TRIM(M4548))="STD", TRIM(B4548)=TRIM(Enginuity!$A$17))
    ),
    OR(
      AND(LEFT(P4548,5)="1-Way", Enginuity!$B$13=1),
      AND(LEFT(P4548,5)="2-Way", OR(Enginuity!$B$13=2, Enginuity!$B$13=4)),
      AND(LEFT(P4548,5)="3-Way", OR(Enginuity!$B$13=3, Enginuity!$B$13=6)),
      AND(P4548="Inner Centre Jamb", OR(Enginuity!$B$13=4, Enginuity!$B$13=6)),
      AND(
        LEFT(P4548,5)&lt;&gt;"1-Way",
        LEFT(P4548,5)&lt;&gt;"2-Way",
        LEFT(P4548,5)&lt;&gt;"3-Way",
        P4548&lt;&gt;"Inner Centre Jamb"
      )
    ),
    IF(OR(Enginuity!$A$1="Frameless Glass",Enginuity!$A$1="Metal Work"),
      AND(TRIM(B4548)=TRIM(Enginuity!$A$17),TRIM(C4548)=TRIM(Enginuity!$A$18)),
      TRIM(B4548)=TRIM(Enginuity!$A$17)
    )
  ),
  ROW(),
  ""
)</f>
        <v/>
      </c>
    </row>
    <row r="4549" spans="21:21" x14ac:dyDescent="0.25">
      <c r="U4549" s="104" t="str">
        <f>IF(
  AND(
    TRIM(A4549)=TRIM(Enginuity!$A$1),
    TRIM(B4549)=TRIM(Enginuity!$A$17),
    Q4549&lt;&gt;"",
    Q4549&lt;&gt;0,
    OR(
      TRIM(C4549)=TRIM(Enginuity!$A$18),
      AND(UPPER(TRIM(M4549))="STD", TRIM(B4549)=TRIM(Enginuity!$A$17))
    ),
    OR(
      AND(LEFT(P4549,5)="1-Way", Enginuity!$B$13=1),
      AND(LEFT(P4549,5)="2-Way", OR(Enginuity!$B$13=2, Enginuity!$B$13=4)),
      AND(LEFT(P4549,5)="3-Way", OR(Enginuity!$B$13=3, Enginuity!$B$13=6)),
      AND(P4549="Inner Centre Jamb", OR(Enginuity!$B$13=4, Enginuity!$B$13=6)),
      AND(
        LEFT(P4549,5)&lt;&gt;"1-Way",
        LEFT(P4549,5)&lt;&gt;"2-Way",
        LEFT(P4549,5)&lt;&gt;"3-Way",
        P4549&lt;&gt;"Inner Centre Jamb"
      )
    ),
    IF(OR(Enginuity!$A$1="Frameless Glass",Enginuity!$A$1="Metal Work"),
      AND(TRIM(B4549)=TRIM(Enginuity!$A$17),TRIM(C4549)=TRIM(Enginuity!$A$18)),
      TRIM(B4549)=TRIM(Enginuity!$A$17)
    )
  ),
  ROW(),
  ""
)</f>
        <v/>
      </c>
    </row>
    <row r="4550" spans="21:21" x14ac:dyDescent="0.25">
      <c r="U4550" s="104" t="str">
        <f>IF(
  AND(
    TRIM(A4550)=TRIM(Enginuity!$A$1),
    TRIM(B4550)=TRIM(Enginuity!$A$17),
    Q4550&lt;&gt;"",
    Q4550&lt;&gt;0,
    OR(
      TRIM(C4550)=TRIM(Enginuity!$A$18),
      AND(UPPER(TRIM(M4550))="STD", TRIM(B4550)=TRIM(Enginuity!$A$17))
    ),
    OR(
      AND(LEFT(P4550,5)="1-Way", Enginuity!$B$13=1),
      AND(LEFT(P4550,5)="2-Way", OR(Enginuity!$B$13=2, Enginuity!$B$13=4)),
      AND(LEFT(P4550,5)="3-Way", OR(Enginuity!$B$13=3, Enginuity!$B$13=6)),
      AND(P4550="Inner Centre Jamb", OR(Enginuity!$B$13=4, Enginuity!$B$13=6)),
      AND(
        LEFT(P4550,5)&lt;&gt;"1-Way",
        LEFT(P4550,5)&lt;&gt;"2-Way",
        LEFT(P4550,5)&lt;&gt;"3-Way",
        P4550&lt;&gt;"Inner Centre Jamb"
      )
    ),
    IF(OR(Enginuity!$A$1="Frameless Glass",Enginuity!$A$1="Metal Work"),
      AND(TRIM(B4550)=TRIM(Enginuity!$A$17),TRIM(C4550)=TRIM(Enginuity!$A$18)),
      TRIM(B4550)=TRIM(Enginuity!$A$17)
    )
  ),
  ROW(),
  ""
)</f>
        <v/>
      </c>
    </row>
    <row r="4551" spans="21:21" x14ac:dyDescent="0.25">
      <c r="U4551" s="104" t="str">
        <f>IF(
  AND(
    TRIM(A4551)=TRIM(Enginuity!$A$1),
    TRIM(B4551)=TRIM(Enginuity!$A$17),
    Q4551&lt;&gt;"",
    Q4551&lt;&gt;0,
    OR(
      TRIM(C4551)=TRIM(Enginuity!$A$18),
      AND(UPPER(TRIM(M4551))="STD", TRIM(B4551)=TRIM(Enginuity!$A$17))
    ),
    OR(
      AND(LEFT(P4551,5)="1-Way", Enginuity!$B$13=1),
      AND(LEFT(P4551,5)="2-Way", OR(Enginuity!$B$13=2, Enginuity!$B$13=4)),
      AND(LEFT(P4551,5)="3-Way", OR(Enginuity!$B$13=3, Enginuity!$B$13=6)),
      AND(P4551="Inner Centre Jamb", OR(Enginuity!$B$13=4, Enginuity!$B$13=6)),
      AND(
        LEFT(P4551,5)&lt;&gt;"1-Way",
        LEFT(P4551,5)&lt;&gt;"2-Way",
        LEFT(P4551,5)&lt;&gt;"3-Way",
        P4551&lt;&gt;"Inner Centre Jamb"
      )
    ),
    IF(OR(Enginuity!$A$1="Frameless Glass",Enginuity!$A$1="Metal Work"),
      AND(TRIM(B4551)=TRIM(Enginuity!$A$17),TRIM(C4551)=TRIM(Enginuity!$A$18)),
      TRIM(B4551)=TRIM(Enginuity!$A$17)
    )
  ),
  ROW(),
  ""
)</f>
        <v/>
      </c>
    </row>
    <row r="4552" spans="21:21" x14ac:dyDescent="0.25">
      <c r="U4552" s="104" t="str">
        <f>IF(
  AND(
    TRIM(A4552)=TRIM(Enginuity!$A$1),
    TRIM(B4552)=TRIM(Enginuity!$A$17),
    Q4552&lt;&gt;"",
    Q4552&lt;&gt;0,
    OR(
      TRIM(C4552)=TRIM(Enginuity!$A$18),
      AND(UPPER(TRIM(M4552))="STD", TRIM(B4552)=TRIM(Enginuity!$A$17))
    ),
    OR(
      AND(LEFT(P4552,5)="1-Way", Enginuity!$B$13=1),
      AND(LEFT(P4552,5)="2-Way", OR(Enginuity!$B$13=2, Enginuity!$B$13=4)),
      AND(LEFT(P4552,5)="3-Way", OR(Enginuity!$B$13=3, Enginuity!$B$13=6)),
      AND(P4552="Inner Centre Jamb", OR(Enginuity!$B$13=4, Enginuity!$B$13=6)),
      AND(
        LEFT(P4552,5)&lt;&gt;"1-Way",
        LEFT(P4552,5)&lt;&gt;"2-Way",
        LEFT(P4552,5)&lt;&gt;"3-Way",
        P4552&lt;&gt;"Inner Centre Jamb"
      )
    ),
    IF(OR(Enginuity!$A$1="Frameless Glass",Enginuity!$A$1="Metal Work"),
      AND(TRIM(B4552)=TRIM(Enginuity!$A$17),TRIM(C4552)=TRIM(Enginuity!$A$18)),
      TRIM(B4552)=TRIM(Enginuity!$A$17)
    )
  ),
  ROW(),
  ""
)</f>
        <v/>
      </c>
    </row>
    <row r="4553" spans="21:21" x14ac:dyDescent="0.25">
      <c r="U4553" s="104" t="str">
        <f>IF(
  AND(
    TRIM(A4553)=TRIM(Enginuity!$A$1),
    TRIM(B4553)=TRIM(Enginuity!$A$17),
    Q4553&lt;&gt;"",
    Q4553&lt;&gt;0,
    OR(
      TRIM(C4553)=TRIM(Enginuity!$A$18),
      AND(UPPER(TRIM(M4553))="STD", TRIM(B4553)=TRIM(Enginuity!$A$17))
    ),
    OR(
      AND(LEFT(P4553,5)="1-Way", Enginuity!$B$13=1),
      AND(LEFT(P4553,5)="2-Way", OR(Enginuity!$B$13=2, Enginuity!$B$13=4)),
      AND(LEFT(P4553,5)="3-Way", OR(Enginuity!$B$13=3, Enginuity!$B$13=6)),
      AND(P4553="Inner Centre Jamb", OR(Enginuity!$B$13=4, Enginuity!$B$13=6)),
      AND(
        LEFT(P4553,5)&lt;&gt;"1-Way",
        LEFT(P4553,5)&lt;&gt;"2-Way",
        LEFT(P4553,5)&lt;&gt;"3-Way",
        P4553&lt;&gt;"Inner Centre Jamb"
      )
    ),
    IF(OR(Enginuity!$A$1="Frameless Glass",Enginuity!$A$1="Metal Work"),
      AND(TRIM(B4553)=TRIM(Enginuity!$A$17),TRIM(C4553)=TRIM(Enginuity!$A$18)),
      TRIM(B4553)=TRIM(Enginuity!$A$17)
    )
  ),
  ROW(),
  ""
)</f>
        <v/>
      </c>
    </row>
    <row r="4554" spans="21:21" x14ac:dyDescent="0.25">
      <c r="U4554" s="104" t="str">
        <f>IF(
  AND(
    TRIM(A4554)=TRIM(Enginuity!$A$1),
    TRIM(B4554)=TRIM(Enginuity!$A$17),
    Q4554&lt;&gt;"",
    Q4554&lt;&gt;0,
    OR(
      TRIM(C4554)=TRIM(Enginuity!$A$18),
      AND(UPPER(TRIM(M4554))="STD", TRIM(B4554)=TRIM(Enginuity!$A$17))
    ),
    OR(
      AND(LEFT(P4554,5)="1-Way", Enginuity!$B$13=1),
      AND(LEFT(P4554,5)="2-Way", OR(Enginuity!$B$13=2, Enginuity!$B$13=4)),
      AND(LEFT(P4554,5)="3-Way", OR(Enginuity!$B$13=3, Enginuity!$B$13=6)),
      AND(P4554="Inner Centre Jamb", OR(Enginuity!$B$13=4, Enginuity!$B$13=6)),
      AND(
        LEFT(P4554,5)&lt;&gt;"1-Way",
        LEFT(P4554,5)&lt;&gt;"2-Way",
        LEFT(P4554,5)&lt;&gt;"3-Way",
        P4554&lt;&gt;"Inner Centre Jamb"
      )
    ),
    IF(OR(Enginuity!$A$1="Frameless Glass",Enginuity!$A$1="Metal Work"),
      AND(TRIM(B4554)=TRIM(Enginuity!$A$17),TRIM(C4554)=TRIM(Enginuity!$A$18)),
      TRIM(B4554)=TRIM(Enginuity!$A$17)
    )
  ),
  ROW(),
  ""
)</f>
        <v/>
      </c>
    </row>
    <row r="4555" spans="21:21" x14ac:dyDescent="0.25">
      <c r="U4555" s="104" t="str">
        <f>IF(
  AND(
    TRIM(A4555)=TRIM(Enginuity!$A$1),
    TRIM(B4555)=TRIM(Enginuity!$A$17),
    Q4555&lt;&gt;"",
    Q4555&lt;&gt;0,
    OR(
      TRIM(C4555)=TRIM(Enginuity!$A$18),
      AND(UPPER(TRIM(M4555))="STD", TRIM(B4555)=TRIM(Enginuity!$A$17))
    ),
    OR(
      AND(LEFT(P4555,5)="1-Way", Enginuity!$B$13=1),
      AND(LEFT(P4555,5)="2-Way", OR(Enginuity!$B$13=2, Enginuity!$B$13=4)),
      AND(LEFT(P4555,5)="3-Way", OR(Enginuity!$B$13=3, Enginuity!$B$13=6)),
      AND(P4555="Inner Centre Jamb", OR(Enginuity!$B$13=4, Enginuity!$B$13=6)),
      AND(
        LEFT(P4555,5)&lt;&gt;"1-Way",
        LEFT(P4555,5)&lt;&gt;"2-Way",
        LEFT(P4555,5)&lt;&gt;"3-Way",
        P4555&lt;&gt;"Inner Centre Jamb"
      )
    ),
    IF(OR(Enginuity!$A$1="Frameless Glass",Enginuity!$A$1="Metal Work"),
      AND(TRIM(B4555)=TRIM(Enginuity!$A$17),TRIM(C4555)=TRIM(Enginuity!$A$18)),
      TRIM(B4555)=TRIM(Enginuity!$A$17)
    )
  ),
  ROW(),
  ""
)</f>
        <v/>
      </c>
    </row>
    <row r="4556" spans="21:21" x14ac:dyDescent="0.25">
      <c r="U4556" s="104" t="str">
        <f>IF(
  AND(
    TRIM(A4556)=TRIM(Enginuity!$A$1),
    TRIM(B4556)=TRIM(Enginuity!$A$17),
    Q4556&lt;&gt;"",
    Q4556&lt;&gt;0,
    OR(
      TRIM(C4556)=TRIM(Enginuity!$A$18),
      AND(UPPER(TRIM(M4556))="STD", TRIM(B4556)=TRIM(Enginuity!$A$17))
    ),
    OR(
      AND(LEFT(P4556,5)="1-Way", Enginuity!$B$13=1),
      AND(LEFT(P4556,5)="2-Way", OR(Enginuity!$B$13=2, Enginuity!$B$13=4)),
      AND(LEFT(P4556,5)="3-Way", OR(Enginuity!$B$13=3, Enginuity!$B$13=6)),
      AND(P4556="Inner Centre Jamb", OR(Enginuity!$B$13=4, Enginuity!$B$13=6)),
      AND(
        LEFT(P4556,5)&lt;&gt;"1-Way",
        LEFT(P4556,5)&lt;&gt;"2-Way",
        LEFT(P4556,5)&lt;&gt;"3-Way",
        P4556&lt;&gt;"Inner Centre Jamb"
      )
    ),
    IF(OR(Enginuity!$A$1="Frameless Glass",Enginuity!$A$1="Metal Work"),
      AND(TRIM(B4556)=TRIM(Enginuity!$A$17),TRIM(C4556)=TRIM(Enginuity!$A$18)),
      TRIM(B4556)=TRIM(Enginuity!$A$17)
    )
  ),
  ROW(),
  ""
)</f>
        <v/>
      </c>
    </row>
    <row r="4557" spans="21:21" x14ac:dyDescent="0.25">
      <c r="U4557" s="104" t="str">
        <f>IF(
  AND(
    TRIM(A4557)=TRIM(Enginuity!$A$1),
    TRIM(B4557)=TRIM(Enginuity!$A$17),
    Q4557&lt;&gt;"",
    Q4557&lt;&gt;0,
    OR(
      TRIM(C4557)=TRIM(Enginuity!$A$18),
      AND(UPPER(TRIM(M4557))="STD", TRIM(B4557)=TRIM(Enginuity!$A$17))
    ),
    OR(
      AND(LEFT(P4557,5)="1-Way", Enginuity!$B$13=1),
      AND(LEFT(P4557,5)="2-Way", OR(Enginuity!$B$13=2, Enginuity!$B$13=4)),
      AND(LEFT(P4557,5)="3-Way", OR(Enginuity!$B$13=3, Enginuity!$B$13=6)),
      AND(P4557="Inner Centre Jamb", OR(Enginuity!$B$13=4, Enginuity!$B$13=6)),
      AND(
        LEFT(P4557,5)&lt;&gt;"1-Way",
        LEFT(P4557,5)&lt;&gt;"2-Way",
        LEFT(P4557,5)&lt;&gt;"3-Way",
        P4557&lt;&gt;"Inner Centre Jamb"
      )
    ),
    IF(OR(Enginuity!$A$1="Frameless Glass",Enginuity!$A$1="Metal Work"),
      AND(TRIM(B4557)=TRIM(Enginuity!$A$17),TRIM(C4557)=TRIM(Enginuity!$A$18)),
      TRIM(B4557)=TRIM(Enginuity!$A$17)
    )
  ),
  ROW(),
  ""
)</f>
        <v/>
      </c>
    </row>
    <row r="4558" spans="21:21" x14ac:dyDescent="0.25">
      <c r="U4558" s="104" t="str">
        <f>IF(
  AND(
    TRIM(A4558)=TRIM(Enginuity!$A$1),
    TRIM(B4558)=TRIM(Enginuity!$A$17),
    Q4558&lt;&gt;"",
    Q4558&lt;&gt;0,
    OR(
      TRIM(C4558)=TRIM(Enginuity!$A$18),
      AND(UPPER(TRIM(M4558))="STD", TRIM(B4558)=TRIM(Enginuity!$A$17))
    ),
    OR(
      AND(LEFT(P4558,5)="1-Way", Enginuity!$B$13=1),
      AND(LEFT(P4558,5)="2-Way", OR(Enginuity!$B$13=2, Enginuity!$B$13=4)),
      AND(LEFT(P4558,5)="3-Way", OR(Enginuity!$B$13=3, Enginuity!$B$13=6)),
      AND(P4558="Inner Centre Jamb", OR(Enginuity!$B$13=4, Enginuity!$B$13=6)),
      AND(
        LEFT(P4558,5)&lt;&gt;"1-Way",
        LEFT(P4558,5)&lt;&gt;"2-Way",
        LEFT(P4558,5)&lt;&gt;"3-Way",
        P4558&lt;&gt;"Inner Centre Jamb"
      )
    ),
    IF(OR(Enginuity!$A$1="Frameless Glass",Enginuity!$A$1="Metal Work"),
      AND(TRIM(B4558)=TRIM(Enginuity!$A$17),TRIM(C4558)=TRIM(Enginuity!$A$18)),
      TRIM(B4558)=TRIM(Enginuity!$A$17)
    )
  ),
  ROW(),
  ""
)</f>
        <v/>
      </c>
    </row>
    <row r="4559" spans="21:21" x14ac:dyDescent="0.25">
      <c r="U4559" s="104" t="str">
        <f>IF(
  AND(
    TRIM(A4559)=TRIM(Enginuity!$A$1),
    TRIM(B4559)=TRIM(Enginuity!$A$17),
    Q4559&lt;&gt;"",
    Q4559&lt;&gt;0,
    OR(
      TRIM(C4559)=TRIM(Enginuity!$A$18),
      AND(UPPER(TRIM(M4559))="STD", TRIM(B4559)=TRIM(Enginuity!$A$17))
    ),
    OR(
      AND(LEFT(P4559,5)="1-Way", Enginuity!$B$13=1),
      AND(LEFT(P4559,5)="2-Way", OR(Enginuity!$B$13=2, Enginuity!$B$13=4)),
      AND(LEFT(P4559,5)="3-Way", OR(Enginuity!$B$13=3, Enginuity!$B$13=6)),
      AND(P4559="Inner Centre Jamb", OR(Enginuity!$B$13=4, Enginuity!$B$13=6)),
      AND(
        LEFT(P4559,5)&lt;&gt;"1-Way",
        LEFT(P4559,5)&lt;&gt;"2-Way",
        LEFT(P4559,5)&lt;&gt;"3-Way",
        P4559&lt;&gt;"Inner Centre Jamb"
      )
    ),
    IF(OR(Enginuity!$A$1="Frameless Glass",Enginuity!$A$1="Metal Work"),
      AND(TRIM(B4559)=TRIM(Enginuity!$A$17),TRIM(C4559)=TRIM(Enginuity!$A$18)),
      TRIM(B4559)=TRIM(Enginuity!$A$17)
    )
  ),
  ROW(),
  ""
)</f>
        <v/>
      </c>
    </row>
    <row r="4560" spans="21:21" x14ac:dyDescent="0.25">
      <c r="U4560" s="104" t="str">
        <f>IF(
  AND(
    TRIM(A4560)=TRIM(Enginuity!$A$1),
    TRIM(B4560)=TRIM(Enginuity!$A$17),
    Q4560&lt;&gt;"",
    Q4560&lt;&gt;0,
    OR(
      TRIM(C4560)=TRIM(Enginuity!$A$18),
      AND(UPPER(TRIM(M4560))="STD", TRIM(B4560)=TRIM(Enginuity!$A$17))
    ),
    OR(
      AND(LEFT(P4560,5)="1-Way", Enginuity!$B$13=1),
      AND(LEFT(P4560,5)="2-Way", OR(Enginuity!$B$13=2, Enginuity!$B$13=4)),
      AND(LEFT(P4560,5)="3-Way", OR(Enginuity!$B$13=3, Enginuity!$B$13=6)),
      AND(P4560="Inner Centre Jamb", OR(Enginuity!$B$13=4, Enginuity!$B$13=6)),
      AND(
        LEFT(P4560,5)&lt;&gt;"1-Way",
        LEFT(P4560,5)&lt;&gt;"2-Way",
        LEFT(P4560,5)&lt;&gt;"3-Way",
        P4560&lt;&gt;"Inner Centre Jamb"
      )
    ),
    IF(OR(Enginuity!$A$1="Frameless Glass",Enginuity!$A$1="Metal Work"),
      AND(TRIM(B4560)=TRIM(Enginuity!$A$17),TRIM(C4560)=TRIM(Enginuity!$A$18)),
      TRIM(B4560)=TRIM(Enginuity!$A$17)
    )
  ),
  ROW(),
  ""
)</f>
        <v/>
      </c>
    </row>
    <row r="4561" spans="21:21" x14ac:dyDescent="0.25">
      <c r="U4561" s="104" t="str">
        <f>IF(
  AND(
    TRIM(A4561)=TRIM(Enginuity!$A$1),
    TRIM(B4561)=TRIM(Enginuity!$A$17),
    Q4561&lt;&gt;"",
    Q4561&lt;&gt;0,
    OR(
      TRIM(C4561)=TRIM(Enginuity!$A$18),
      AND(UPPER(TRIM(M4561))="STD", TRIM(B4561)=TRIM(Enginuity!$A$17))
    ),
    OR(
      AND(LEFT(P4561,5)="1-Way", Enginuity!$B$13=1),
      AND(LEFT(P4561,5)="2-Way", OR(Enginuity!$B$13=2, Enginuity!$B$13=4)),
      AND(LEFT(P4561,5)="3-Way", OR(Enginuity!$B$13=3, Enginuity!$B$13=6)),
      AND(P4561="Inner Centre Jamb", OR(Enginuity!$B$13=4, Enginuity!$B$13=6)),
      AND(
        LEFT(P4561,5)&lt;&gt;"1-Way",
        LEFT(P4561,5)&lt;&gt;"2-Way",
        LEFT(P4561,5)&lt;&gt;"3-Way",
        P4561&lt;&gt;"Inner Centre Jamb"
      )
    ),
    IF(OR(Enginuity!$A$1="Frameless Glass",Enginuity!$A$1="Metal Work"),
      AND(TRIM(B4561)=TRIM(Enginuity!$A$17),TRIM(C4561)=TRIM(Enginuity!$A$18)),
      TRIM(B4561)=TRIM(Enginuity!$A$17)
    )
  ),
  ROW(),
  ""
)</f>
        <v/>
      </c>
    </row>
    <row r="4562" spans="21:21" x14ac:dyDescent="0.25">
      <c r="U4562" s="104" t="str">
        <f>IF(
  AND(
    TRIM(A4562)=TRIM(Enginuity!$A$1),
    TRIM(B4562)=TRIM(Enginuity!$A$17),
    Q4562&lt;&gt;"",
    Q4562&lt;&gt;0,
    OR(
      TRIM(C4562)=TRIM(Enginuity!$A$18),
      AND(UPPER(TRIM(M4562))="STD", TRIM(B4562)=TRIM(Enginuity!$A$17))
    ),
    OR(
      AND(LEFT(P4562,5)="1-Way", Enginuity!$B$13=1),
      AND(LEFT(P4562,5)="2-Way", OR(Enginuity!$B$13=2, Enginuity!$B$13=4)),
      AND(LEFT(P4562,5)="3-Way", OR(Enginuity!$B$13=3, Enginuity!$B$13=6)),
      AND(P4562="Inner Centre Jamb", OR(Enginuity!$B$13=4, Enginuity!$B$13=6)),
      AND(
        LEFT(P4562,5)&lt;&gt;"1-Way",
        LEFT(P4562,5)&lt;&gt;"2-Way",
        LEFT(P4562,5)&lt;&gt;"3-Way",
        P4562&lt;&gt;"Inner Centre Jamb"
      )
    ),
    IF(OR(Enginuity!$A$1="Frameless Glass",Enginuity!$A$1="Metal Work"),
      AND(TRIM(B4562)=TRIM(Enginuity!$A$17),TRIM(C4562)=TRIM(Enginuity!$A$18)),
      TRIM(B4562)=TRIM(Enginuity!$A$17)
    )
  ),
  ROW(),
  ""
)</f>
        <v/>
      </c>
    </row>
    <row r="4563" spans="21:21" x14ac:dyDescent="0.25">
      <c r="U4563" s="104" t="str">
        <f>IF(
  AND(
    TRIM(A4563)=TRIM(Enginuity!$A$1),
    TRIM(B4563)=TRIM(Enginuity!$A$17),
    Q4563&lt;&gt;"",
    Q4563&lt;&gt;0,
    OR(
      TRIM(C4563)=TRIM(Enginuity!$A$18),
      AND(UPPER(TRIM(M4563))="STD", TRIM(B4563)=TRIM(Enginuity!$A$17))
    ),
    OR(
      AND(LEFT(P4563,5)="1-Way", Enginuity!$B$13=1),
      AND(LEFT(P4563,5)="2-Way", OR(Enginuity!$B$13=2, Enginuity!$B$13=4)),
      AND(LEFT(P4563,5)="3-Way", OR(Enginuity!$B$13=3, Enginuity!$B$13=6)),
      AND(P4563="Inner Centre Jamb", OR(Enginuity!$B$13=4, Enginuity!$B$13=6)),
      AND(
        LEFT(P4563,5)&lt;&gt;"1-Way",
        LEFT(P4563,5)&lt;&gt;"2-Way",
        LEFT(P4563,5)&lt;&gt;"3-Way",
        P4563&lt;&gt;"Inner Centre Jamb"
      )
    ),
    IF(OR(Enginuity!$A$1="Frameless Glass",Enginuity!$A$1="Metal Work"),
      AND(TRIM(B4563)=TRIM(Enginuity!$A$17),TRIM(C4563)=TRIM(Enginuity!$A$18)),
      TRIM(B4563)=TRIM(Enginuity!$A$17)
    )
  ),
  ROW(),
  ""
)</f>
        <v/>
      </c>
    </row>
    <row r="4564" spans="21:21" x14ac:dyDescent="0.25">
      <c r="U4564" s="104" t="str">
        <f>IF(
  AND(
    TRIM(A4564)=TRIM(Enginuity!$A$1),
    TRIM(B4564)=TRIM(Enginuity!$A$17),
    Q4564&lt;&gt;"",
    Q4564&lt;&gt;0,
    OR(
      TRIM(C4564)=TRIM(Enginuity!$A$18),
      AND(UPPER(TRIM(M4564))="STD", TRIM(B4564)=TRIM(Enginuity!$A$17))
    ),
    OR(
      AND(LEFT(P4564,5)="1-Way", Enginuity!$B$13=1),
      AND(LEFT(P4564,5)="2-Way", OR(Enginuity!$B$13=2, Enginuity!$B$13=4)),
      AND(LEFT(P4564,5)="3-Way", OR(Enginuity!$B$13=3, Enginuity!$B$13=6)),
      AND(P4564="Inner Centre Jamb", OR(Enginuity!$B$13=4, Enginuity!$B$13=6)),
      AND(
        LEFT(P4564,5)&lt;&gt;"1-Way",
        LEFT(P4564,5)&lt;&gt;"2-Way",
        LEFT(P4564,5)&lt;&gt;"3-Way",
        P4564&lt;&gt;"Inner Centre Jamb"
      )
    ),
    IF(OR(Enginuity!$A$1="Frameless Glass",Enginuity!$A$1="Metal Work"),
      AND(TRIM(B4564)=TRIM(Enginuity!$A$17),TRIM(C4564)=TRIM(Enginuity!$A$18)),
      TRIM(B4564)=TRIM(Enginuity!$A$17)
    )
  ),
  ROW(),
  ""
)</f>
        <v/>
      </c>
    </row>
    <row r="4565" spans="21:21" x14ac:dyDescent="0.25">
      <c r="U4565" s="104" t="str">
        <f>IF(
  AND(
    TRIM(A4565)=TRIM(Enginuity!$A$1),
    TRIM(B4565)=TRIM(Enginuity!$A$17),
    Q4565&lt;&gt;"",
    Q4565&lt;&gt;0,
    OR(
      TRIM(C4565)=TRIM(Enginuity!$A$18),
      AND(UPPER(TRIM(M4565))="STD", TRIM(B4565)=TRIM(Enginuity!$A$17))
    ),
    OR(
      AND(LEFT(P4565,5)="1-Way", Enginuity!$B$13=1),
      AND(LEFT(P4565,5)="2-Way", OR(Enginuity!$B$13=2, Enginuity!$B$13=4)),
      AND(LEFT(P4565,5)="3-Way", OR(Enginuity!$B$13=3, Enginuity!$B$13=6)),
      AND(P4565="Inner Centre Jamb", OR(Enginuity!$B$13=4, Enginuity!$B$13=6)),
      AND(
        LEFT(P4565,5)&lt;&gt;"1-Way",
        LEFT(P4565,5)&lt;&gt;"2-Way",
        LEFT(P4565,5)&lt;&gt;"3-Way",
        P4565&lt;&gt;"Inner Centre Jamb"
      )
    ),
    IF(OR(Enginuity!$A$1="Frameless Glass",Enginuity!$A$1="Metal Work"),
      AND(TRIM(B4565)=TRIM(Enginuity!$A$17),TRIM(C4565)=TRIM(Enginuity!$A$18)),
      TRIM(B4565)=TRIM(Enginuity!$A$17)
    )
  ),
  ROW(),
  ""
)</f>
        <v/>
      </c>
    </row>
    <row r="4566" spans="21:21" x14ac:dyDescent="0.25">
      <c r="U4566" s="104" t="str">
        <f>IF(
  AND(
    TRIM(A4566)=TRIM(Enginuity!$A$1),
    TRIM(B4566)=TRIM(Enginuity!$A$17),
    Q4566&lt;&gt;"",
    Q4566&lt;&gt;0,
    OR(
      TRIM(C4566)=TRIM(Enginuity!$A$18),
      AND(UPPER(TRIM(M4566))="STD", TRIM(B4566)=TRIM(Enginuity!$A$17))
    ),
    OR(
      AND(LEFT(P4566,5)="1-Way", Enginuity!$B$13=1),
      AND(LEFT(P4566,5)="2-Way", OR(Enginuity!$B$13=2, Enginuity!$B$13=4)),
      AND(LEFT(P4566,5)="3-Way", OR(Enginuity!$B$13=3, Enginuity!$B$13=6)),
      AND(P4566="Inner Centre Jamb", OR(Enginuity!$B$13=4, Enginuity!$B$13=6)),
      AND(
        LEFT(P4566,5)&lt;&gt;"1-Way",
        LEFT(P4566,5)&lt;&gt;"2-Way",
        LEFT(P4566,5)&lt;&gt;"3-Way",
        P4566&lt;&gt;"Inner Centre Jamb"
      )
    ),
    IF(OR(Enginuity!$A$1="Frameless Glass",Enginuity!$A$1="Metal Work"),
      AND(TRIM(B4566)=TRIM(Enginuity!$A$17),TRIM(C4566)=TRIM(Enginuity!$A$18)),
      TRIM(B4566)=TRIM(Enginuity!$A$17)
    )
  ),
  ROW(),
  ""
)</f>
        <v/>
      </c>
    </row>
    <row r="4567" spans="21:21" x14ac:dyDescent="0.25">
      <c r="U4567" s="104" t="str">
        <f>IF(
  AND(
    TRIM(A4567)=TRIM(Enginuity!$A$1),
    TRIM(B4567)=TRIM(Enginuity!$A$17),
    Q4567&lt;&gt;"",
    Q4567&lt;&gt;0,
    OR(
      TRIM(C4567)=TRIM(Enginuity!$A$18),
      AND(UPPER(TRIM(M4567))="STD", TRIM(B4567)=TRIM(Enginuity!$A$17))
    ),
    OR(
      AND(LEFT(P4567,5)="1-Way", Enginuity!$B$13=1),
      AND(LEFT(P4567,5)="2-Way", OR(Enginuity!$B$13=2, Enginuity!$B$13=4)),
      AND(LEFT(P4567,5)="3-Way", OR(Enginuity!$B$13=3, Enginuity!$B$13=6)),
      AND(P4567="Inner Centre Jamb", OR(Enginuity!$B$13=4, Enginuity!$B$13=6)),
      AND(
        LEFT(P4567,5)&lt;&gt;"1-Way",
        LEFT(P4567,5)&lt;&gt;"2-Way",
        LEFT(P4567,5)&lt;&gt;"3-Way",
        P4567&lt;&gt;"Inner Centre Jamb"
      )
    ),
    IF(OR(Enginuity!$A$1="Frameless Glass",Enginuity!$A$1="Metal Work"),
      AND(TRIM(B4567)=TRIM(Enginuity!$A$17),TRIM(C4567)=TRIM(Enginuity!$A$18)),
      TRIM(B4567)=TRIM(Enginuity!$A$17)
    )
  ),
  ROW(),
  ""
)</f>
        <v/>
      </c>
    </row>
    <row r="4568" spans="21:21" x14ac:dyDescent="0.25">
      <c r="U4568" s="104" t="str">
        <f>IF(
  AND(
    TRIM(A4568)=TRIM(Enginuity!$A$1),
    TRIM(B4568)=TRIM(Enginuity!$A$17),
    Q4568&lt;&gt;"",
    Q4568&lt;&gt;0,
    OR(
      TRIM(C4568)=TRIM(Enginuity!$A$18),
      AND(UPPER(TRIM(M4568))="STD", TRIM(B4568)=TRIM(Enginuity!$A$17))
    ),
    OR(
      AND(LEFT(P4568,5)="1-Way", Enginuity!$B$13=1),
      AND(LEFT(P4568,5)="2-Way", OR(Enginuity!$B$13=2, Enginuity!$B$13=4)),
      AND(LEFT(P4568,5)="3-Way", OR(Enginuity!$B$13=3, Enginuity!$B$13=6)),
      AND(P4568="Inner Centre Jamb", OR(Enginuity!$B$13=4, Enginuity!$B$13=6)),
      AND(
        LEFT(P4568,5)&lt;&gt;"1-Way",
        LEFT(P4568,5)&lt;&gt;"2-Way",
        LEFT(P4568,5)&lt;&gt;"3-Way",
        P4568&lt;&gt;"Inner Centre Jamb"
      )
    ),
    IF(OR(Enginuity!$A$1="Frameless Glass",Enginuity!$A$1="Metal Work"),
      AND(TRIM(B4568)=TRIM(Enginuity!$A$17),TRIM(C4568)=TRIM(Enginuity!$A$18)),
      TRIM(B4568)=TRIM(Enginuity!$A$17)
    )
  ),
  ROW(),
  ""
)</f>
        <v/>
      </c>
    </row>
    <row r="4569" spans="21:21" x14ac:dyDescent="0.25">
      <c r="U4569" s="104" t="str">
        <f>IF(
  AND(
    TRIM(A4569)=TRIM(Enginuity!$A$1),
    TRIM(B4569)=TRIM(Enginuity!$A$17),
    Q4569&lt;&gt;"",
    Q4569&lt;&gt;0,
    OR(
      TRIM(C4569)=TRIM(Enginuity!$A$18),
      AND(UPPER(TRIM(M4569))="STD", TRIM(B4569)=TRIM(Enginuity!$A$17))
    ),
    OR(
      AND(LEFT(P4569,5)="1-Way", Enginuity!$B$13=1),
      AND(LEFT(P4569,5)="2-Way", OR(Enginuity!$B$13=2, Enginuity!$B$13=4)),
      AND(LEFT(P4569,5)="3-Way", OR(Enginuity!$B$13=3, Enginuity!$B$13=6)),
      AND(P4569="Inner Centre Jamb", OR(Enginuity!$B$13=4, Enginuity!$B$13=6)),
      AND(
        LEFT(P4569,5)&lt;&gt;"1-Way",
        LEFT(P4569,5)&lt;&gt;"2-Way",
        LEFT(P4569,5)&lt;&gt;"3-Way",
        P4569&lt;&gt;"Inner Centre Jamb"
      )
    ),
    IF(OR(Enginuity!$A$1="Frameless Glass",Enginuity!$A$1="Metal Work"),
      AND(TRIM(B4569)=TRIM(Enginuity!$A$17),TRIM(C4569)=TRIM(Enginuity!$A$18)),
      TRIM(B4569)=TRIM(Enginuity!$A$17)
    )
  ),
  ROW(),
  ""
)</f>
        <v/>
      </c>
    </row>
    <row r="4570" spans="21:21" x14ac:dyDescent="0.25">
      <c r="U4570" s="104" t="str">
        <f>IF(
  AND(
    TRIM(A4570)=TRIM(Enginuity!$A$1),
    TRIM(B4570)=TRIM(Enginuity!$A$17),
    Q4570&lt;&gt;"",
    Q4570&lt;&gt;0,
    OR(
      TRIM(C4570)=TRIM(Enginuity!$A$18),
      AND(UPPER(TRIM(M4570))="STD", TRIM(B4570)=TRIM(Enginuity!$A$17))
    ),
    OR(
      AND(LEFT(P4570,5)="1-Way", Enginuity!$B$13=1),
      AND(LEFT(P4570,5)="2-Way", OR(Enginuity!$B$13=2, Enginuity!$B$13=4)),
      AND(LEFT(P4570,5)="3-Way", OR(Enginuity!$B$13=3, Enginuity!$B$13=6)),
      AND(P4570="Inner Centre Jamb", OR(Enginuity!$B$13=4, Enginuity!$B$13=6)),
      AND(
        LEFT(P4570,5)&lt;&gt;"1-Way",
        LEFT(P4570,5)&lt;&gt;"2-Way",
        LEFT(P4570,5)&lt;&gt;"3-Way",
        P4570&lt;&gt;"Inner Centre Jamb"
      )
    ),
    IF(OR(Enginuity!$A$1="Frameless Glass",Enginuity!$A$1="Metal Work"),
      AND(TRIM(B4570)=TRIM(Enginuity!$A$17),TRIM(C4570)=TRIM(Enginuity!$A$18)),
      TRIM(B4570)=TRIM(Enginuity!$A$17)
    )
  ),
  ROW(),
  ""
)</f>
        <v/>
      </c>
    </row>
    <row r="4571" spans="21:21" x14ac:dyDescent="0.25">
      <c r="U4571" s="104" t="str">
        <f>IF(
  AND(
    TRIM(A4571)=TRIM(Enginuity!$A$1),
    TRIM(B4571)=TRIM(Enginuity!$A$17),
    Q4571&lt;&gt;"",
    Q4571&lt;&gt;0,
    OR(
      TRIM(C4571)=TRIM(Enginuity!$A$18),
      AND(UPPER(TRIM(M4571))="STD", TRIM(B4571)=TRIM(Enginuity!$A$17))
    ),
    OR(
      AND(LEFT(P4571,5)="1-Way", Enginuity!$B$13=1),
      AND(LEFT(P4571,5)="2-Way", OR(Enginuity!$B$13=2, Enginuity!$B$13=4)),
      AND(LEFT(P4571,5)="3-Way", OR(Enginuity!$B$13=3, Enginuity!$B$13=6)),
      AND(P4571="Inner Centre Jamb", OR(Enginuity!$B$13=4, Enginuity!$B$13=6)),
      AND(
        LEFT(P4571,5)&lt;&gt;"1-Way",
        LEFT(P4571,5)&lt;&gt;"2-Way",
        LEFT(P4571,5)&lt;&gt;"3-Way",
        P4571&lt;&gt;"Inner Centre Jamb"
      )
    ),
    IF(OR(Enginuity!$A$1="Frameless Glass",Enginuity!$A$1="Metal Work"),
      AND(TRIM(B4571)=TRIM(Enginuity!$A$17),TRIM(C4571)=TRIM(Enginuity!$A$18)),
      TRIM(B4571)=TRIM(Enginuity!$A$17)
    )
  ),
  ROW(),
  ""
)</f>
        <v/>
      </c>
    </row>
    <row r="4572" spans="21:21" x14ac:dyDescent="0.25">
      <c r="U4572" s="104" t="str">
        <f>IF(
  AND(
    TRIM(A4572)=TRIM(Enginuity!$A$1),
    TRIM(B4572)=TRIM(Enginuity!$A$17),
    Q4572&lt;&gt;"",
    Q4572&lt;&gt;0,
    OR(
      TRIM(C4572)=TRIM(Enginuity!$A$18),
      AND(UPPER(TRIM(M4572))="STD", TRIM(B4572)=TRIM(Enginuity!$A$17))
    ),
    OR(
      AND(LEFT(P4572,5)="1-Way", Enginuity!$B$13=1),
      AND(LEFT(P4572,5)="2-Way", OR(Enginuity!$B$13=2, Enginuity!$B$13=4)),
      AND(LEFT(P4572,5)="3-Way", OR(Enginuity!$B$13=3, Enginuity!$B$13=6)),
      AND(P4572="Inner Centre Jamb", OR(Enginuity!$B$13=4, Enginuity!$B$13=6)),
      AND(
        LEFT(P4572,5)&lt;&gt;"1-Way",
        LEFT(P4572,5)&lt;&gt;"2-Way",
        LEFT(P4572,5)&lt;&gt;"3-Way",
        P4572&lt;&gt;"Inner Centre Jamb"
      )
    ),
    IF(OR(Enginuity!$A$1="Frameless Glass",Enginuity!$A$1="Metal Work"),
      AND(TRIM(B4572)=TRIM(Enginuity!$A$17),TRIM(C4572)=TRIM(Enginuity!$A$18)),
      TRIM(B4572)=TRIM(Enginuity!$A$17)
    )
  ),
  ROW(),
  ""
)</f>
        <v/>
      </c>
    </row>
    <row r="4573" spans="21:21" x14ac:dyDescent="0.25">
      <c r="U4573" s="104" t="str">
        <f>IF(
  AND(
    TRIM(A4573)=TRIM(Enginuity!$A$1),
    TRIM(B4573)=TRIM(Enginuity!$A$17),
    Q4573&lt;&gt;"",
    Q4573&lt;&gt;0,
    OR(
      TRIM(C4573)=TRIM(Enginuity!$A$18),
      AND(UPPER(TRIM(M4573))="STD", TRIM(B4573)=TRIM(Enginuity!$A$17))
    ),
    OR(
      AND(LEFT(P4573,5)="1-Way", Enginuity!$B$13=1),
      AND(LEFT(P4573,5)="2-Way", OR(Enginuity!$B$13=2, Enginuity!$B$13=4)),
      AND(LEFT(P4573,5)="3-Way", OR(Enginuity!$B$13=3, Enginuity!$B$13=6)),
      AND(P4573="Inner Centre Jamb", OR(Enginuity!$B$13=4, Enginuity!$B$13=6)),
      AND(
        LEFT(P4573,5)&lt;&gt;"1-Way",
        LEFT(P4573,5)&lt;&gt;"2-Way",
        LEFT(P4573,5)&lt;&gt;"3-Way",
        P4573&lt;&gt;"Inner Centre Jamb"
      )
    ),
    IF(OR(Enginuity!$A$1="Frameless Glass",Enginuity!$A$1="Metal Work"),
      AND(TRIM(B4573)=TRIM(Enginuity!$A$17),TRIM(C4573)=TRIM(Enginuity!$A$18)),
      TRIM(B4573)=TRIM(Enginuity!$A$17)
    )
  ),
  ROW(),
  ""
)</f>
        <v/>
      </c>
    </row>
    <row r="4574" spans="21:21" x14ac:dyDescent="0.25">
      <c r="U4574" s="104" t="str">
        <f>IF(
  AND(
    TRIM(A4574)=TRIM(Enginuity!$A$1),
    TRIM(B4574)=TRIM(Enginuity!$A$17),
    Q4574&lt;&gt;"",
    Q4574&lt;&gt;0,
    OR(
      TRIM(C4574)=TRIM(Enginuity!$A$18),
      AND(UPPER(TRIM(M4574))="STD", TRIM(B4574)=TRIM(Enginuity!$A$17))
    ),
    OR(
      AND(LEFT(P4574,5)="1-Way", Enginuity!$B$13=1),
      AND(LEFT(P4574,5)="2-Way", OR(Enginuity!$B$13=2, Enginuity!$B$13=4)),
      AND(LEFT(P4574,5)="3-Way", OR(Enginuity!$B$13=3, Enginuity!$B$13=6)),
      AND(P4574="Inner Centre Jamb", OR(Enginuity!$B$13=4, Enginuity!$B$13=6)),
      AND(
        LEFT(P4574,5)&lt;&gt;"1-Way",
        LEFT(P4574,5)&lt;&gt;"2-Way",
        LEFT(P4574,5)&lt;&gt;"3-Way",
        P4574&lt;&gt;"Inner Centre Jamb"
      )
    ),
    IF(OR(Enginuity!$A$1="Frameless Glass",Enginuity!$A$1="Metal Work"),
      AND(TRIM(B4574)=TRIM(Enginuity!$A$17),TRIM(C4574)=TRIM(Enginuity!$A$18)),
      TRIM(B4574)=TRIM(Enginuity!$A$17)
    )
  ),
  ROW(),
  ""
)</f>
        <v/>
      </c>
    </row>
    <row r="4575" spans="21:21" x14ac:dyDescent="0.25">
      <c r="U4575" s="104" t="str">
        <f>IF(
  AND(
    TRIM(A4575)=TRIM(Enginuity!$A$1),
    TRIM(B4575)=TRIM(Enginuity!$A$17),
    Q4575&lt;&gt;"",
    Q4575&lt;&gt;0,
    OR(
      TRIM(C4575)=TRIM(Enginuity!$A$18),
      AND(UPPER(TRIM(M4575))="STD", TRIM(B4575)=TRIM(Enginuity!$A$17))
    ),
    OR(
      AND(LEFT(P4575,5)="1-Way", Enginuity!$B$13=1),
      AND(LEFT(P4575,5)="2-Way", OR(Enginuity!$B$13=2, Enginuity!$B$13=4)),
      AND(LEFT(P4575,5)="3-Way", OR(Enginuity!$B$13=3, Enginuity!$B$13=6)),
      AND(P4575="Inner Centre Jamb", OR(Enginuity!$B$13=4, Enginuity!$B$13=6)),
      AND(
        LEFT(P4575,5)&lt;&gt;"1-Way",
        LEFT(P4575,5)&lt;&gt;"2-Way",
        LEFT(P4575,5)&lt;&gt;"3-Way",
        P4575&lt;&gt;"Inner Centre Jamb"
      )
    ),
    IF(OR(Enginuity!$A$1="Frameless Glass",Enginuity!$A$1="Metal Work"),
      AND(TRIM(B4575)=TRIM(Enginuity!$A$17),TRIM(C4575)=TRIM(Enginuity!$A$18)),
      TRIM(B4575)=TRIM(Enginuity!$A$17)
    )
  ),
  ROW(),
  ""
)</f>
        <v/>
      </c>
    </row>
    <row r="4576" spans="21:21" x14ac:dyDescent="0.25">
      <c r="U4576" s="104" t="str">
        <f>IF(
  AND(
    TRIM(A4576)=TRIM(Enginuity!$A$1),
    TRIM(B4576)=TRIM(Enginuity!$A$17),
    Q4576&lt;&gt;"",
    Q4576&lt;&gt;0,
    OR(
      TRIM(C4576)=TRIM(Enginuity!$A$18),
      AND(UPPER(TRIM(M4576))="STD", TRIM(B4576)=TRIM(Enginuity!$A$17))
    ),
    OR(
      AND(LEFT(P4576,5)="1-Way", Enginuity!$B$13=1),
      AND(LEFT(P4576,5)="2-Way", OR(Enginuity!$B$13=2, Enginuity!$B$13=4)),
      AND(LEFT(P4576,5)="3-Way", OR(Enginuity!$B$13=3, Enginuity!$B$13=6)),
      AND(P4576="Inner Centre Jamb", OR(Enginuity!$B$13=4, Enginuity!$B$13=6)),
      AND(
        LEFT(P4576,5)&lt;&gt;"1-Way",
        LEFT(P4576,5)&lt;&gt;"2-Way",
        LEFT(P4576,5)&lt;&gt;"3-Way",
        P4576&lt;&gt;"Inner Centre Jamb"
      )
    ),
    IF(OR(Enginuity!$A$1="Frameless Glass",Enginuity!$A$1="Metal Work"),
      AND(TRIM(B4576)=TRIM(Enginuity!$A$17),TRIM(C4576)=TRIM(Enginuity!$A$18)),
      TRIM(B4576)=TRIM(Enginuity!$A$17)
    )
  ),
  ROW(),
  ""
)</f>
        <v/>
      </c>
    </row>
    <row r="4577" spans="21:21" x14ac:dyDescent="0.25">
      <c r="U4577" s="104" t="str">
        <f>IF(
  AND(
    TRIM(A4577)=TRIM(Enginuity!$A$1),
    TRIM(B4577)=TRIM(Enginuity!$A$17),
    Q4577&lt;&gt;"",
    Q4577&lt;&gt;0,
    OR(
      TRIM(C4577)=TRIM(Enginuity!$A$18),
      AND(UPPER(TRIM(M4577))="STD", TRIM(B4577)=TRIM(Enginuity!$A$17))
    ),
    OR(
      AND(LEFT(P4577,5)="1-Way", Enginuity!$B$13=1),
      AND(LEFT(P4577,5)="2-Way", OR(Enginuity!$B$13=2, Enginuity!$B$13=4)),
      AND(LEFT(P4577,5)="3-Way", OR(Enginuity!$B$13=3, Enginuity!$B$13=6)),
      AND(P4577="Inner Centre Jamb", OR(Enginuity!$B$13=4, Enginuity!$B$13=6)),
      AND(
        LEFT(P4577,5)&lt;&gt;"1-Way",
        LEFT(P4577,5)&lt;&gt;"2-Way",
        LEFT(P4577,5)&lt;&gt;"3-Way",
        P4577&lt;&gt;"Inner Centre Jamb"
      )
    ),
    IF(OR(Enginuity!$A$1="Frameless Glass",Enginuity!$A$1="Metal Work"),
      AND(TRIM(B4577)=TRIM(Enginuity!$A$17),TRIM(C4577)=TRIM(Enginuity!$A$18)),
      TRIM(B4577)=TRIM(Enginuity!$A$17)
    )
  ),
  ROW(),
  ""
)</f>
        <v/>
      </c>
    </row>
    <row r="4578" spans="21:21" x14ac:dyDescent="0.25">
      <c r="U4578" s="104" t="str">
        <f>IF(
  AND(
    TRIM(A4578)=TRIM(Enginuity!$A$1),
    TRIM(B4578)=TRIM(Enginuity!$A$17),
    Q4578&lt;&gt;"",
    Q4578&lt;&gt;0,
    OR(
      TRIM(C4578)=TRIM(Enginuity!$A$18),
      AND(UPPER(TRIM(M4578))="STD", TRIM(B4578)=TRIM(Enginuity!$A$17))
    ),
    OR(
      AND(LEFT(P4578,5)="1-Way", Enginuity!$B$13=1),
      AND(LEFT(P4578,5)="2-Way", OR(Enginuity!$B$13=2, Enginuity!$B$13=4)),
      AND(LEFT(P4578,5)="3-Way", OR(Enginuity!$B$13=3, Enginuity!$B$13=6)),
      AND(P4578="Inner Centre Jamb", OR(Enginuity!$B$13=4, Enginuity!$B$13=6)),
      AND(
        LEFT(P4578,5)&lt;&gt;"1-Way",
        LEFT(P4578,5)&lt;&gt;"2-Way",
        LEFT(P4578,5)&lt;&gt;"3-Way",
        P4578&lt;&gt;"Inner Centre Jamb"
      )
    ),
    IF(OR(Enginuity!$A$1="Frameless Glass",Enginuity!$A$1="Metal Work"),
      AND(TRIM(B4578)=TRIM(Enginuity!$A$17),TRIM(C4578)=TRIM(Enginuity!$A$18)),
      TRIM(B4578)=TRIM(Enginuity!$A$17)
    )
  ),
  ROW(),
  ""
)</f>
        <v/>
      </c>
    </row>
    <row r="4579" spans="21:21" x14ac:dyDescent="0.25">
      <c r="U4579" s="104" t="str">
        <f>IF(
  AND(
    TRIM(A4579)=TRIM(Enginuity!$A$1),
    TRIM(B4579)=TRIM(Enginuity!$A$17),
    Q4579&lt;&gt;"",
    Q4579&lt;&gt;0,
    OR(
      TRIM(C4579)=TRIM(Enginuity!$A$18),
      AND(UPPER(TRIM(M4579))="STD", TRIM(B4579)=TRIM(Enginuity!$A$17))
    ),
    OR(
      AND(LEFT(P4579,5)="1-Way", Enginuity!$B$13=1),
      AND(LEFT(P4579,5)="2-Way", OR(Enginuity!$B$13=2, Enginuity!$B$13=4)),
      AND(LEFT(P4579,5)="3-Way", OR(Enginuity!$B$13=3, Enginuity!$B$13=6)),
      AND(P4579="Inner Centre Jamb", OR(Enginuity!$B$13=4, Enginuity!$B$13=6)),
      AND(
        LEFT(P4579,5)&lt;&gt;"1-Way",
        LEFT(P4579,5)&lt;&gt;"2-Way",
        LEFT(P4579,5)&lt;&gt;"3-Way",
        P4579&lt;&gt;"Inner Centre Jamb"
      )
    ),
    IF(OR(Enginuity!$A$1="Frameless Glass",Enginuity!$A$1="Metal Work"),
      AND(TRIM(B4579)=TRIM(Enginuity!$A$17),TRIM(C4579)=TRIM(Enginuity!$A$18)),
      TRIM(B4579)=TRIM(Enginuity!$A$17)
    )
  ),
  ROW(),
  ""
)</f>
        <v/>
      </c>
    </row>
    <row r="4580" spans="21:21" x14ac:dyDescent="0.25">
      <c r="U4580" s="104" t="str">
        <f>IF(
  AND(
    TRIM(A4580)=TRIM(Enginuity!$A$1),
    TRIM(B4580)=TRIM(Enginuity!$A$17),
    Q4580&lt;&gt;"",
    Q4580&lt;&gt;0,
    OR(
      TRIM(C4580)=TRIM(Enginuity!$A$18),
      AND(UPPER(TRIM(M4580))="STD", TRIM(B4580)=TRIM(Enginuity!$A$17))
    ),
    OR(
      AND(LEFT(P4580,5)="1-Way", Enginuity!$B$13=1),
      AND(LEFT(P4580,5)="2-Way", OR(Enginuity!$B$13=2, Enginuity!$B$13=4)),
      AND(LEFT(P4580,5)="3-Way", OR(Enginuity!$B$13=3, Enginuity!$B$13=6)),
      AND(P4580="Inner Centre Jamb", OR(Enginuity!$B$13=4, Enginuity!$B$13=6)),
      AND(
        LEFT(P4580,5)&lt;&gt;"1-Way",
        LEFT(P4580,5)&lt;&gt;"2-Way",
        LEFT(P4580,5)&lt;&gt;"3-Way",
        P4580&lt;&gt;"Inner Centre Jamb"
      )
    ),
    IF(OR(Enginuity!$A$1="Frameless Glass",Enginuity!$A$1="Metal Work"),
      AND(TRIM(B4580)=TRIM(Enginuity!$A$17),TRIM(C4580)=TRIM(Enginuity!$A$18)),
      TRIM(B4580)=TRIM(Enginuity!$A$17)
    )
  ),
  ROW(),
  ""
)</f>
        <v/>
      </c>
    </row>
    <row r="4581" spans="21:21" x14ac:dyDescent="0.25">
      <c r="U4581" s="104" t="str">
        <f>IF(
  AND(
    TRIM(A4581)=TRIM(Enginuity!$A$1),
    TRIM(B4581)=TRIM(Enginuity!$A$17),
    Q4581&lt;&gt;"",
    Q4581&lt;&gt;0,
    OR(
      TRIM(C4581)=TRIM(Enginuity!$A$18),
      AND(UPPER(TRIM(M4581))="STD", TRIM(B4581)=TRIM(Enginuity!$A$17))
    ),
    OR(
      AND(LEFT(P4581,5)="1-Way", Enginuity!$B$13=1),
      AND(LEFT(P4581,5)="2-Way", OR(Enginuity!$B$13=2, Enginuity!$B$13=4)),
      AND(LEFT(P4581,5)="3-Way", OR(Enginuity!$B$13=3, Enginuity!$B$13=6)),
      AND(P4581="Inner Centre Jamb", OR(Enginuity!$B$13=4, Enginuity!$B$13=6)),
      AND(
        LEFT(P4581,5)&lt;&gt;"1-Way",
        LEFT(P4581,5)&lt;&gt;"2-Way",
        LEFT(P4581,5)&lt;&gt;"3-Way",
        P4581&lt;&gt;"Inner Centre Jamb"
      )
    ),
    IF(OR(Enginuity!$A$1="Frameless Glass",Enginuity!$A$1="Metal Work"),
      AND(TRIM(B4581)=TRIM(Enginuity!$A$17),TRIM(C4581)=TRIM(Enginuity!$A$18)),
      TRIM(B4581)=TRIM(Enginuity!$A$17)
    )
  ),
  ROW(),
  ""
)</f>
        <v/>
      </c>
    </row>
    <row r="4582" spans="21:21" x14ac:dyDescent="0.25">
      <c r="U4582" s="104" t="str">
        <f>IF(
  AND(
    TRIM(A4582)=TRIM(Enginuity!$A$1),
    TRIM(B4582)=TRIM(Enginuity!$A$17),
    Q4582&lt;&gt;"",
    Q4582&lt;&gt;0,
    OR(
      TRIM(C4582)=TRIM(Enginuity!$A$18),
      AND(UPPER(TRIM(M4582))="STD", TRIM(B4582)=TRIM(Enginuity!$A$17))
    ),
    OR(
      AND(LEFT(P4582,5)="1-Way", Enginuity!$B$13=1),
      AND(LEFT(P4582,5)="2-Way", OR(Enginuity!$B$13=2, Enginuity!$B$13=4)),
      AND(LEFT(P4582,5)="3-Way", OR(Enginuity!$B$13=3, Enginuity!$B$13=6)),
      AND(P4582="Inner Centre Jamb", OR(Enginuity!$B$13=4, Enginuity!$B$13=6)),
      AND(
        LEFT(P4582,5)&lt;&gt;"1-Way",
        LEFT(P4582,5)&lt;&gt;"2-Way",
        LEFT(P4582,5)&lt;&gt;"3-Way",
        P4582&lt;&gt;"Inner Centre Jamb"
      )
    ),
    IF(OR(Enginuity!$A$1="Frameless Glass",Enginuity!$A$1="Metal Work"),
      AND(TRIM(B4582)=TRIM(Enginuity!$A$17),TRIM(C4582)=TRIM(Enginuity!$A$18)),
      TRIM(B4582)=TRIM(Enginuity!$A$17)
    )
  ),
  ROW(),
  ""
)</f>
        <v/>
      </c>
    </row>
    <row r="4583" spans="21:21" x14ac:dyDescent="0.25">
      <c r="U4583" s="104" t="str">
        <f>IF(
  AND(
    TRIM(A4583)=TRIM(Enginuity!$A$1),
    TRIM(B4583)=TRIM(Enginuity!$A$17),
    Q4583&lt;&gt;"",
    Q4583&lt;&gt;0,
    OR(
      TRIM(C4583)=TRIM(Enginuity!$A$18),
      AND(UPPER(TRIM(M4583))="STD", TRIM(B4583)=TRIM(Enginuity!$A$17))
    ),
    OR(
      AND(LEFT(P4583,5)="1-Way", Enginuity!$B$13=1),
      AND(LEFT(P4583,5)="2-Way", OR(Enginuity!$B$13=2, Enginuity!$B$13=4)),
      AND(LEFT(P4583,5)="3-Way", OR(Enginuity!$B$13=3, Enginuity!$B$13=6)),
      AND(P4583="Inner Centre Jamb", OR(Enginuity!$B$13=4, Enginuity!$B$13=6)),
      AND(
        LEFT(P4583,5)&lt;&gt;"1-Way",
        LEFT(P4583,5)&lt;&gt;"2-Way",
        LEFT(P4583,5)&lt;&gt;"3-Way",
        P4583&lt;&gt;"Inner Centre Jamb"
      )
    ),
    IF(OR(Enginuity!$A$1="Frameless Glass",Enginuity!$A$1="Metal Work"),
      AND(TRIM(B4583)=TRIM(Enginuity!$A$17),TRIM(C4583)=TRIM(Enginuity!$A$18)),
      TRIM(B4583)=TRIM(Enginuity!$A$17)
    )
  ),
  ROW(),
  ""
)</f>
        <v/>
      </c>
    </row>
    <row r="4584" spans="21:21" x14ac:dyDescent="0.25">
      <c r="U4584" s="104" t="str">
        <f>IF(
  AND(
    TRIM(A4584)=TRIM(Enginuity!$A$1),
    TRIM(B4584)=TRIM(Enginuity!$A$17),
    Q4584&lt;&gt;"",
    Q4584&lt;&gt;0,
    OR(
      TRIM(C4584)=TRIM(Enginuity!$A$18),
      AND(UPPER(TRIM(M4584))="STD", TRIM(B4584)=TRIM(Enginuity!$A$17))
    ),
    OR(
      AND(LEFT(P4584,5)="1-Way", Enginuity!$B$13=1),
      AND(LEFT(P4584,5)="2-Way", OR(Enginuity!$B$13=2, Enginuity!$B$13=4)),
      AND(LEFT(P4584,5)="3-Way", OR(Enginuity!$B$13=3, Enginuity!$B$13=6)),
      AND(P4584="Inner Centre Jamb", OR(Enginuity!$B$13=4, Enginuity!$B$13=6)),
      AND(
        LEFT(P4584,5)&lt;&gt;"1-Way",
        LEFT(P4584,5)&lt;&gt;"2-Way",
        LEFT(P4584,5)&lt;&gt;"3-Way",
        P4584&lt;&gt;"Inner Centre Jamb"
      )
    ),
    IF(OR(Enginuity!$A$1="Frameless Glass",Enginuity!$A$1="Metal Work"),
      AND(TRIM(B4584)=TRIM(Enginuity!$A$17),TRIM(C4584)=TRIM(Enginuity!$A$18)),
      TRIM(B4584)=TRIM(Enginuity!$A$17)
    )
  ),
  ROW(),
  ""
)</f>
        <v/>
      </c>
    </row>
    <row r="4585" spans="21:21" x14ac:dyDescent="0.25">
      <c r="U4585" s="104" t="str">
        <f>IF(
  AND(
    TRIM(A4585)=TRIM(Enginuity!$A$1),
    TRIM(B4585)=TRIM(Enginuity!$A$17),
    Q4585&lt;&gt;"",
    Q4585&lt;&gt;0,
    OR(
      TRIM(C4585)=TRIM(Enginuity!$A$18),
      AND(UPPER(TRIM(M4585))="STD", TRIM(B4585)=TRIM(Enginuity!$A$17))
    ),
    OR(
      AND(LEFT(P4585,5)="1-Way", Enginuity!$B$13=1),
      AND(LEFT(P4585,5)="2-Way", OR(Enginuity!$B$13=2, Enginuity!$B$13=4)),
      AND(LEFT(P4585,5)="3-Way", OR(Enginuity!$B$13=3, Enginuity!$B$13=6)),
      AND(P4585="Inner Centre Jamb", OR(Enginuity!$B$13=4, Enginuity!$B$13=6)),
      AND(
        LEFT(P4585,5)&lt;&gt;"1-Way",
        LEFT(P4585,5)&lt;&gt;"2-Way",
        LEFT(P4585,5)&lt;&gt;"3-Way",
        P4585&lt;&gt;"Inner Centre Jamb"
      )
    ),
    IF(OR(Enginuity!$A$1="Frameless Glass",Enginuity!$A$1="Metal Work"),
      AND(TRIM(B4585)=TRIM(Enginuity!$A$17),TRIM(C4585)=TRIM(Enginuity!$A$18)),
      TRIM(B4585)=TRIM(Enginuity!$A$17)
    )
  ),
  ROW(),
  ""
)</f>
        <v/>
      </c>
    </row>
    <row r="4586" spans="21:21" x14ac:dyDescent="0.25">
      <c r="U4586" s="104" t="str">
        <f>IF(
  AND(
    TRIM(A4586)=TRIM(Enginuity!$A$1),
    TRIM(B4586)=TRIM(Enginuity!$A$17),
    Q4586&lt;&gt;"",
    Q4586&lt;&gt;0,
    OR(
      TRIM(C4586)=TRIM(Enginuity!$A$18),
      AND(UPPER(TRIM(M4586))="STD", TRIM(B4586)=TRIM(Enginuity!$A$17))
    ),
    OR(
      AND(LEFT(P4586,5)="1-Way", Enginuity!$B$13=1),
      AND(LEFT(P4586,5)="2-Way", OR(Enginuity!$B$13=2, Enginuity!$B$13=4)),
      AND(LEFT(P4586,5)="3-Way", OR(Enginuity!$B$13=3, Enginuity!$B$13=6)),
      AND(P4586="Inner Centre Jamb", OR(Enginuity!$B$13=4, Enginuity!$B$13=6)),
      AND(
        LEFT(P4586,5)&lt;&gt;"1-Way",
        LEFT(P4586,5)&lt;&gt;"2-Way",
        LEFT(P4586,5)&lt;&gt;"3-Way",
        P4586&lt;&gt;"Inner Centre Jamb"
      )
    ),
    IF(OR(Enginuity!$A$1="Frameless Glass",Enginuity!$A$1="Metal Work"),
      AND(TRIM(B4586)=TRIM(Enginuity!$A$17),TRIM(C4586)=TRIM(Enginuity!$A$18)),
      TRIM(B4586)=TRIM(Enginuity!$A$17)
    )
  ),
  ROW(),
  ""
)</f>
        <v/>
      </c>
    </row>
    <row r="4587" spans="21:21" x14ac:dyDescent="0.25">
      <c r="U4587" s="104" t="str">
        <f>IF(
  AND(
    TRIM(A4587)=TRIM(Enginuity!$A$1),
    TRIM(B4587)=TRIM(Enginuity!$A$17),
    Q4587&lt;&gt;"",
    Q4587&lt;&gt;0,
    OR(
      TRIM(C4587)=TRIM(Enginuity!$A$18),
      AND(UPPER(TRIM(M4587))="STD", TRIM(B4587)=TRIM(Enginuity!$A$17))
    ),
    OR(
      AND(LEFT(P4587,5)="1-Way", Enginuity!$B$13=1),
      AND(LEFT(P4587,5)="2-Way", OR(Enginuity!$B$13=2, Enginuity!$B$13=4)),
      AND(LEFT(P4587,5)="3-Way", OR(Enginuity!$B$13=3, Enginuity!$B$13=6)),
      AND(P4587="Inner Centre Jamb", OR(Enginuity!$B$13=4, Enginuity!$B$13=6)),
      AND(
        LEFT(P4587,5)&lt;&gt;"1-Way",
        LEFT(P4587,5)&lt;&gt;"2-Way",
        LEFT(P4587,5)&lt;&gt;"3-Way",
        P4587&lt;&gt;"Inner Centre Jamb"
      )
    ),
    IF(OR(Enginuity!$A$1="Frameless Glass",Enginuity!$A$1="Metal Work"),
      AND(TRIM(B4587)=TRIM(Enginuity!$A$17),TRIM(C4587)=TRIM(Enginuity!$A$18)),
      TRIM(B4587)=TRIM(Enginuity!$A$17)
    )
  ),
  ROW(),
  ""
)</f>
        <v/>
      </c>
    </row>
    <row r="4588" spans="21:21" x14ac:dyDescent="0.25">
      <c r="U4588" s="104" t="str">
        <f>IF(
  AND(
    TRIM(A4588)=TRIM(Enginuity!$A$1),
    TRIM(B4588)=TRIM(Enginuity!$A$17),
    Q4588&lt;&gt;"",
    Q4588&lt;&gt;0,
    OR(
      TRIM(C4588)=TRIM(Enginuity!$A$18),
      AND(UPPER(TRIM(M4588))="STD", TRIM(B4588)=TRIM(Enginuity!$A$17))
    ),
    OR(
      AND(LEFT(P4588,5)="1-Way", Enginuity!$B$13=1),
      AND(LEFT(P4588,5)="2-Way", OR(Enginuity!$B$13=2, Enginuity!$B$13=4)),
      AND(LEFT(P4588,5)="3-Way", OR(Enginuity!$B$13=3, Enginuity!$B$13=6)),
      AND(P4588="Inner Centre Jamb", OR(Enginuity!$B$13=4, Enginuity!$B$13=6)),
      AND(
        LEFT(P4588,5)&lt;&gt;"1-Way",
        LEFT(P4588,5)&lt;&gt;"2-Way",
        LEFT(P4588,5)&lt;&gt;"3-Way",
        P4588&lt;&gt;"Inner Centre Jamb"
      )
    ),
    IF(OR(Enginuity!$A$1="Frameless Glass",Enginuity!$A$1="Metal Work"),
      AND(TRIM(B4588)=TRIM(Enginuity!$A$17),TRIM(C4588)=TRIM(Enginuity!$A$18)),
      TRIM(B4588)=TRIM(Enginuity!$A$17)
    )
  ),
  ROW(),
  ""
)</f>
        <v/>
      </c>
    </row>
    <row r="4589" spans="21:21" x14ac:dyDescent="0.25">
      <c r="U4589" s="104" t="str">
        <f>IF(
  AND(
    TRIM(A4589)=TRIM(Enginuity!$A$1),
    TRIM(B4589)=TRIM(Enginuity!$A$17),
    Q4589&lt;&gt;"",
    Q4589&lt;&gt;0,
    OR(
      TRIM(C4589)=TRIM(Enginuity!$A$18),
      AND(UPPER(TRIM(M4589))="STD", TRIM(B4589)=TRIM(Enginuity!$A$17))
    ),
    OR(
      AND(LEFT(P4589,5)="1-Way", Enginuity!$B$13=1),
      AND(LEFT(P4589,5)="2-Way", OR(Enginuity!$B$13=2, Enginuity!$B$13=4)),
      AND(LEFT(P4589,5)="3-Way", OR(Enginuity!$B$13=3, Enginuity!$B$13=6)),
      AND(P4589="Inner Centre Jamb", OR(Enginuity!$B$13=4, Enginuity!$B$13=6)),
      AND(
        LEFT(P4589,5)&lt;&gt;"1-Way",
        LEFT(P4589,5)&lt;&gt;"2-Way",
        LEFT(P4589,5)&lt;&gt;"3-Way",
        P4589&lt;&gt;"Inner Centre Jamb"
      )
    ),
    IF(OR(Enginuity!$A$1="Frameless Glass",Enginuity!$A$1="Metal Work"),
      AND(TRIM(B4589)=TRIM(Enginuity!$A$17),TRIM(C4589)=TRIM(Enginuity!$A$18)),
      TRIM(B4589)=TRIM(Enginuity!$A$17)
    )
  ),
  ROW(),
  ""
)</f>
        <v/>
      </c>
    </row>
    <row r="4590" spans="21:21" x14ac:dyDescent="0.25">
      <c r="U4590" s="104" t="str">
        <f>IF(
  AND(
    TRIM(A4590)=TRIM(Enginuity!$A$1),
    TRIM(B4590)=TRIM(Enginuity!$A$17),
    Q4590&lt;&gt;"",
    Q4590&lt;&gt;0,
    OR(
      TRIM(C4590)=TRIM(Enginuity!$A$18),
      AND(UPPER(TRIM(M4590))="STD", TRIM(B4590)=TRIM(Enginuity!$A$17))
    ),
    OR(
      AND(LEFT(P4590,5)="1-Way", Enginuity!$B$13=1),
      AND(LEFT(P4590,5)="2-Way", OR(Enginuity!$B$13=2, Enginuity!$B$13=4)),
      AND(LEFT(P4590,5)="3-Way", OR(Enginuity!$B$13=3, Enginuity!$B$13=6)),
      AND(P4590="Inner Centre Jamb", OR(Enginuity!$B$13=4, Enginuity!$B$13=6)),
      AND(
        LEFT(P4590,5)&lt;&gt;"1-Way",
        LEFT(P4590,5)&lt;&gt;"2-Way",
        LEFT(P4590,5)&lt;&gt;"3-Way",
        P4590&lt;&gt;"Inner Centre Jamb"
      )
    ),
    IF(OR(Enginuity!$A$1="Frameless Glass",Enginuity!$A$1="Metal Work"),
      AND(TRIM(B4590)=TRIM(Enginuity!$A$17),TRIM(C4590)=TRIM(Enginuity!$A$18)),
      TRIM(B4590)=TRIM(Enginuity!$A$17)
    )
  ),
  ROW(),
  ""
)</f>
        <v/>
      </c>
    </row>
    <row r="4591" spans="21:21" x14ac:dyDescent="0.25">
      <c r="U4591" s="104" t="str">
        <f>IF(
  AND(
    TRIM(A4591)=TRIM(Enginuity!$A$1),
    TRIM(B4591)=TRIM(Enginuity!$A$17),
    Q4591&lt;&gt;"",
    Q4591&lt;&gt;0,
    OR(
      TRIM(C4591)=TRIM(Enginuity!$A$18),
      AND(UPPER(TRIM(M4591))="STD", TRIM(B4591)=TRIM(Enginuity!$A$17))
    ),
    OR(
      AND(LEFT(P4591,5)="1-Way", Enginuity!$B$13=1),
      AND(LEFT(P4591,5)="2-Way", OR(Enginuity!$B$13=2, Enginuity!$B$13=4)),
      AND(LEFT(P4591,5)="3-Way", OR(Enginuity!$B$13=3, Enginuity!$B$13=6)),
      AND(P4591="Inner Centre Jamb", OR(Enginuity!$B$13=4, Enginuity!$B$13=6)),
      AND(
        LEFT(P4591,5)&lt;&gt;"1-Way",
        LEFT(P4591,5)&lt;&gt;"2-Way",
        LEFT(P4591,5)&lt;&gt;"3-Way",
        P4591&lt;&gt;"Inner Centre Jamb"
      )
    ),
    IF(OR(Enginuity!$A$1="Frameless Glass",Enginuity!$A$1="Metal Work"),
      AND(TRIM(B4591)=TRIM(Enginuity!$A$17),TRIM(C4591)=TRIM(Enginuity!$A$18)),
      TRIM(B4591)=TRIM(Enginuity!$A$17)
    )
  ),
  ROW(),
  ""
)</f>
        <v/>
      </c>
    </row>
    <row r="4592" spans="21:21" x14ac:dyDescent="0.25">
      <c r="U4592" s="104" t="str">
        <f>IF(
  AND(
    TRIM(A4592)=TRIM(Enginuity!$A$1),
    TRIM(B4592)=TRIM(Enginuity!$A$17),
    Q4592&lt;&gt;"",
    Q4592&lt;&gt;0,
    OR(
      TRIM(C4592)=TRIM(Enginuity!$A$18),
      AND(UPPER(TRIM(M4592))="STD", TRIM(B4592)=TRIM(Enginuity!$A$17))
    ),
    OR(
      AND(LEFT(P4592,5)="1-Way", Enginuity!$B$13=1),
      AND(LEFT(P4592,5)="2-Way", OR(Enginuity!$B$13=2, Enginuity!$B$13=4)),
      AND(LEFT(P4592,5)="3-Way", OR(Enginuity!$B$13=3, Enginuity!$B$13=6)),
      AND(P4592="Inner Centre Jamb", OR(Enginuity!$B$13=4, Enginuity!$B$13=6)),
      AND(
        LEFT(P4592,5)&lt;&gt;"1-Way",
        LEFT(P4592,5)&lt;&gt;"2-Way",
        LEFT(P4592,5)&lt;&gt;"3-Way",
        P4592&lt;&gt;"Inner Centre Jamb"
      )
    ),
    IF(OR(Enginuity!$A$1="Frameless Glass",Enginuity!$A$1="Metal Work"),
      AND(TRIM(B4592)=TRIM(Enginuity!$A$17),TRIM(C4592)=TRIM(Enginuity!$A$18)),
      TRIM(B4592)=TRIM(Enginuity!$A$17)
    )
  ),
  ROW(),
  ""
)</f>
        <v/>
      </c>
    </row>
    <row r="4593" spans="21:21" x14ac:dyDescent="0.25">
      <c r="U4593" s="104" t="str">
        <f>IF(
  AND(
    TRIM(A4593)=TRIM(Enginuity!$A$1),
    TRIM(B4593)=TRIM(Enginuity!$A$17),
    Q4593&lt;&gt;"",
    Q4593&lt;&gt;0,
    OR(
      TRIM(C4593)=TRIM(Enginuity!$A$18),
      AND(UPPER(TRIM(M4593))="STD", TRIM(B4593)=TRIM(Enginuity!$A$17))
    ),
    OR(
      AND(LEFT(P4593,5)="1-Way", Enginuity!$B$13=1),
      AND(LEFT(P4593,5)="2-Way", OR(Enginuity!$B$13=2, Enginuity!$B$13=4)),
      AND(LEFT(P4593,5)="3-Way", OR(Enginuity!$B$13=3, Enginuity!$B$13=6)),
      AND(P4593="Inner Centre Jamb", OR(Enginuity!$B$13=4, Enginuity!$B$13=6)),
      AND(
        LEFT(P4593,5)&lt;&gt;"1-Way",
        LEFT(P4593,5)&lt;&gt;"2-Way",
        LEFT(P4593,5)&lt;&gt;"3-Way",
        P4593&lt;&gt;"Inner Centre Jamb"
      )
    ),
    IF(OR(Enginuity!$A$1="Frameless Glass",Enginuity!$A$1="Metal Work"),
      AND(TRIM(B4593)=TRIM(Enginuity!$A$17),TRIM(C4593)=TRIM(Enginuity!$A$18)),
      TRIM(B4593)=TRIM(Enginuity!$A$17)
    )
  ),
  ROW(),
  ""
)</f>
        <v/>
      </c>
    </row>
    <row r="4594" spans="21:21" x14ac:dyDescent="0.25">
      <c r="U4594" s="104" t="str">
        <f>IF(
  AND(
    TRIM(A4594)=TRIM(Enginuity!$A$1),
    TRIM(B4594)=TRIM(Enginuity!$A$17),
    Q4594&lt;&gt;"",
    Q4594&lt;&gt;0,
    OR(
      TRIM(C4594)=TRIM(Enginuity!$A$18),
      AND(UPPER(TRIM(M4594))="STD", TRIM(B4594)=TRIM(Enginuity!$A$17))
    ),
    OR(
      AND(LEFT(P4594,5)="1-Way", Enginuity!$B$13=1),
      AND(LEFT(P4594,5)="2-Way", OR(Enginuity!$B$13=2, Enginuity!$B$13=4)),
      AND(LEFT(P4594,5)="3-Way", OR(Enginuity!$B$13=3, Enginuity!$B$13=6)),
      AND(P4594="Inner Centre Jamb", OR(Enginuity!$B$13=4, Enginuity!$B$13=6)),
      AND(
        LEFT(P4594,5)&lt;&gt;"1-Way",
        LEFT(P4594,5)&lt;&gt;"2-Way",
        LEFT(P4594,5)&lt;&gt;"3-Way",
        P4594&lt;&gt;"Inner Centre Jamb"
      )
    ),
    IF(OR(Enginuity!$A$1="Frameless Glass",Enginuity!$A$1="Metal Work"),
      AND(TRIM(B4594)=TRIM(Enginuity!$A$17),TRIM(C4594)=TRIM(Enginuity!$A$18)),
      TRIM(B4594)=TRIM(Enginuity!$A$17)
    )
  ),
  ROW(),
  ""
)</f>
        <v/>
      </c>
    </row>
    <row r="4595" spans="21:21" x14ac:dyDescent="0.25">
      <c r="U4595" s="104" t="str">
        <f>IF(
  AND(
    TRIM(A4595)=TRIM(Enginuity!$A$1),
    TRIM(B4595)=TRIM(Enginuity!$A$17),
    Q4595&lt;&gt;"",
    Q4595&lt;&gt;0,
    OR(
      TRIM(C4595)=TRIM(Enginuity!$A$18),
      AND(UPPER(TRIM(M4595))="STD", TRIM(B4595)=TRIM(Enginuity!$A$17))
    ),
    OR(
      AND(LEFT(P4595,5)="1-Way", Enginuity!$B$13=1),
      AND(LEFT(P4595,5)="2-Way", OR(Enginuity!$B$13=2, Enginuity!$B$13=4)),
      AND(LEFT(P4595,5)="3-Way", OR(Enginuity!$B$13=3, Enginuity!$B$13=6)),
      AND(P4595="Inner Centre Jamb", OR(Enginuity!$B$13=4, Enginuity!$B$13=6)),
      AND(
        LEFT(P4595,5)&lt;&gt;"1-Way",
        LEFT(P4595,5)&lt;&gt;"2-Way",
        LEFT(P4595,5)&lt;&gt;"3-Way",
        P4595&lt;&gt;"Inner Centre Jamb"
      )
    ),
    IF(OR(Enginuity!$A$1="Frameless Glass",Enginuity!$A$1="Metal Work"),
      AND(TRIM(B4595)=TRIM(Enginuity!$A$17),TRIM(C4595)=TRIM(Enginuity!$A$18)),
      TRIM(B4595)=TRIM(Enginuity!$A$17)
    )
  ),
  ROW(),
  ""
)</f>
        <v/>
      </c>
    </row>
    <row r="4596" spans="21:21" x14ac:dyDescent="0.25">
      <c r="U4596" s="104" t="str">
        <f>IF(
  AND(
    TRIM(A4596)=TRIM(Enginuity!$A$1),
    TRIM(B4596)=TRIM(Enginuity!$A$17),
    Q4596&lt;&gt;"",
    Q4596&lt;&gt;0,
    OR(
      TRIM(C4596)=TRIM(Enginuity!$A$18),
      AND(UPPER(TRIM(M4596))="STD", TRIM(B4596)=TRIM(Enginuity!$A$17))
    ),
    OR(
      AND(LEFT(P4596,5)="1-Way", Enginuity!$B$13=1),
      AND(LEFT(P4596,5)="2-Way", OR(Enginuity!$B$13=2, Enginuity!$B$13=4)),
      AND(LEFT(P4596,5)="3-Way", OR(Enginuity!$B$13=3, Enginuity!$B$13=6)),
      AND(P4596="Inner Centre Jamb", OR(Enginuity!$B$13=4, Enginuity!$B$13=6)),
      AND(
        LEFT(P4596,5)&lt;&gt;"1-Way",
        LEFT(P4596,5)&lt;&gt;"2-Way",
        LEFT(P4596,5)&lt;&gt;"3-Way",
        P4596&lt;&gt;"Inner Centre Jamb"
      )
    ),
    IF(OR(Enginuity!$A$1="Frameless Glass",Enginuity!$A$1="Metal Work"),
      AND(TRIM(B4596)=TRIM(Enginuity!$A$17),TRIM(C4596)=TRIM(Enginuity!$A$18)),
      TRIM(B4596)=TRIM(Enginuity!$A$17)
    )
  ),
  ROW(),
  ""
)</f>
        <v/>
      </c>
    </row>
    <row r="4597" spans="21:21" x14ac:dyDescent="0.25">
      <c r="U4597" s="104" t="str">
        <f>IF(
  AND(
    TRIM(A4597)=TRIM(Enginuity!$A$1),
    TRIM(B4597)=TRIM(Enginuity!$A$17),
    Q4597&lt;&gt;"",
    Q4597&lt;&gt;0,
    OR(
      TRIM(C4597)=TRIM(Enginuity!$A$18),
      AND(UPPER(TRIM(M4597))="STD", TRIM(B4597)=TRIM(Enginuity!$A$17))
    ),
    OR(
      AND(LEFT(P4597,5)="1-Way", Enginuity!$B$13=1),
      AND(LEFT(P4597,5)="2-Way", OR(Enginuity!$B$13=2, Enginuity!$B$13=4)),
      AND(LEFT(P4597,5)="3-Way", OR(Enginuity!$B$13=3, Enginuity!$B$13=6)),
      AND(P4597="Inner Centre Jamb", OR(Enginuity!$B$13=4, Enginuity!$B$13=6)),
      AND(
        LEFT(P4597,5)&lt;&gt;"1-Way",
        LEFT(P4597,5)&lt;&gt;"2-Way",
        LEFT(P4597,5)&lt;&gt;"3-Way",
        P4597&lt;&gt;"Inner Centre Jamb"
      )
    ),
    IF(OR(Enginuity!$A$1="Frameless Glass",Enginuity!$A$1="Metal Work"),
      AND(TRIM(B4597)=TRIM(Enginuity!$A$17),TRIM(C4597)=TRIM(Enginuity!$A$18)),
      TRIM(B4597)=TRIM(Enginuity!$A$17)
    )
  ),
  ROW(),
  ""
)</f>
        <v/>
      </c>
    </row>
    <row r="4598" spans="21:21" x14ac:dyDescent="0.25">
      <c r="U4598" s="104" t="str">
        <f>IF(
  AND(
    TRIM(A4598)=TRIM(Enginuity!$A$1),
    TRIM(B4598)=TRIM(Enginuity!$A$17),
    Q4598&lt;&gt;"",
    Q4598&lt;&gt;0,
    OR(
      TRIM(C4598)=TRIM(Enginuity!$A$18),
      AND(UPPER(TRIM(M4598))="STD", TRIM(B4598)=TRIM(Enginuity!$A$17))
    ),
    OR(
      AND(LEFT(P4598,5)="1-Way", Enginuity!$B$13=1),
      AND(LEFT(P4598,5)="2-Way", OR(Enginuity!$B$13=2, Enginuity!$B$13=4)),
      AND(LEFT(P4598,5)="3-Way", OR(Enginuity!$B$13=3, Enginuity!$B$13=6)),
      AND(P4598="Inner Centre Jamb", OR(Enginuity!$B$13=4, Enginuity!$B$13=6)),
      AND(
        LEFT(P4598,5)&lt;&gt;"1-Way",
        LEFT(P4598,5)&lt;&gt;"2-Way",
        LEFT(P4598,5)&lt;&gt;"3-Way",
        P4598&lt;&gt;"Inner Centre Jamb"
      )
    ),
    IF(OR(Enginuity!$A$1="Frameless Glass",Enginuity!$A$1="Metal Work"),
      AND(TRIM(B4598)=TRIM(Enginuity!$A$17),TRIM(C4598)=TRIM(Enginuity!$A$18)),
      TRIM(B4598)=TRIM(Enginuity!$A$17)
    )
  ),
  ROW(),
  ""
)</f>
        <v/>
      </c>
    </row>
    <row r="4599" spans="21:21" x14ac:dyDescent="0.25">
      <c r="U4599" s="104" t="str">
        <f>IF(
  AND(
    TRIM(A4599)=TRIM(Enginuity!$A$1),
    TRIM(B4599)=TRIM(Enginuity!$A$17),
    Q4599&lt;&gt;"",
    Q4599&lt;&gt;0,
    OR(
      TRIM(C4599)=TRIM(Enginuity!$A$18),
      AND(UPPER(TRIM(M4599))="STD", TRIM(B4599)=TRIM(Enginuity!$A$17))
    ),
    OR(
      AND(LEFT(P4599,5)="1-Way", Enginuity!$B$13=1),
      AND(LEFT(P4599,5)="2-Way", OR(Enginuity!$B$13=2, Enginuity!$B$13=4)),
      AND(LEFT(P4599,5)="3-Way", OR(Enginuity!$B$13=3, Enginuity!$B$13=6)),
      AND(P4599="Inner Centre Jamb", OR(Enginuity!$B$13=4, Enginuity!$B$13=6)),
      AND(
        LEFT(P4599,5)&lt;&gt;"1-Way",
        LEFT(P4599,5)&lt;&gt;"2-Way",
        LEFT(P4599,5)&lt;&gt;"3-Way",
        P4599&lt;&gt;"Inner Centre Jamb"
      )
    ),
    IF(OR(Enginuity!$A$1="Frameless Glass",Enginuity!$A$1="Metal Work"),
      AND(TRIM(B4599)=TRIM(Enginuity!$A$17),TRIM(C4599)=TRIM(Enginuity!$A$18)),
      TRIM(B4599)=TRIM(Enginuity!$A$17)
    )
  ),
  ROW(),
  ""
)</f>
        <v/>
      </c>
    </row>
    <row r="4600" spans="21:21" x14ac:dyDescent="0.25">
      <c r="U4600" s="104" t="str">
        <f>IF(
  AND(
    TRIM(A4600)=TRIM(Enginuity!$A$1),
    TRIM(B4600)=TRIM(Enginuity!$A$17),
    Q4600&lt;&gt;"",
    Q4600&lt;&gt;0,
    OR(
      TRIM(C4600)=TRIM(Enginuity!$A$18),
      AND(UPPER(TRIM(M4600))="STD", TRIM(B4600)=TRIM(Enginuity!$A$17))
    ),
    OR(
      AND(LEFT(P4600,5)="1-Way", Enginuity!$B$13=1),
      AND(LEFT(P4600,5)="2-Way", OR(Enginuity!$B$13=2, Enginuity!$B$13=4)),
      AND(LEFT(P4600,5)="3-Way", OR(Enginuity!$B$13=3, Enginuity!$B$13=6)),
      AND(P4600="Inner Centre Jamb", OR(Enginuity!$B$13=4, Enginuity!$B$13=6)),
      AND(
        LEFT(P4600,5)&lt;&gt;"1-Way",
        LEFT(P4600,5)&lt;&gt;"2-Way",
        LEFT(P4600,5)&lt;&gt;"3-Way",
        P4600&lt;&gt;"Inner Centre Jamb"
      )
    ),
    IF(OR(Enginuity!$A$1="Frameless Glass",Enginuity!$A$1="Metal Work"),
      AND(TRIM(B4600)=TRIM(Enginuity!$A$17),TRIM(C4600)=TRIM(Enginuity!$A$18)),
      TRIM(B4600)=TRIM(Enginuity!$A$17)
    )
  ),
  ROW(),
  ""
)</f>
        <v/>
      </c>
    </row>
    <row r="4601" spans="21:21" x14ac:dyDescent="0.25">
      <c r="U4601" s="104" t="str">
        <f>IF(
  AND(
    TRIM(A4601)=TRIM(Enginuity!$A$1),
    TRIM(B4601)=TRIM(Enginuity!$A$17),
    Q4601&lt;&gt;"",
    Q4601&lt;&gt;0,
    OR(
      TRIM(C4601)=TRIM(Enginuity!$A$18),
      AND(UPPER(TRIM(M4601))="STD", TRIM(B4601)=TRIM(Enginuity!$A$17))
    ),
    OR(
      AND(LEFT(P4601,5)="1-Way", Enginuity!$B$13=1),
      AND(LEFT(P4601,5)="2-Way", OR(Enginuity!$B$13=2, Enginuity!$B$13=4)),
      AND(LEFT(P4601,5)="3-Way", OR(Enginuity!$B$13=3, Enginuity!$B$13=6)),
      AND(P4601="Inner Centre Jamb", OR(Enginuity!$B$13=4, Enginuity!$B$13=6)),
      AND(
        LEFT(P4601,5)&lt;&gt;"1-Way",
        LEFT(P4601,5)&lt;&gt;"2-Way",
        LEFT(P4601,5)&lt;&gt;"3-Way",
        P4601&lt;&gt;"Inner Centre Jamb"
      )
    ),
    IF(OR(Enginuity!$A$1="Frameless Glass",Enginuity!$A$1="Metal Work"),
      AND(TRIM(B4601)=TRIM(Enginuity!$A$17),TRIM(C4601)=TRIM(Enginuity!$A$18)),
      TRIM(B4601)=TRIM(Enginuity!$A$17)
    )
  ),
  ROW(),
  ""
)</f>
        <v/>
      </c>
    </row>
    <row r="4602" spans="21:21" x14ac:dyDescent="0.25">
      <c r="U4602" s="104" t="str">
        <f>IF(
  AND(
    TRIM(A4602)=TRIM(Enginuity!$A$1),
    TRIM(B4602)=TRIM(Enginuity!$A$17),
    Q4602&lt;&gt;"",
    Q4602&lt;&gt;0,
    OR(
      TRIM(C4602)=TRIM(Enginuity!$A$18),
      AND(UPPER(TRIM(M4602))="STD", TRIM(B4602)=TRIM(Enginuity!$A$17))
    ),
    OR(
      AND(LEFT(P4602,5)="1-Way", Enginuity!$B$13=1),
      AND(LEFT(P4602,5)="2-Way", OR(Enginuity!$B$13=2, Enginuity!$B$13=4)),
      AND(LEFT(P4602,5)="3-Way", OR(Enginuity!$B$13=3, Enginuity!$B$13=6)),
      AND(P4602="Inner Centre Jamb", OR(Enginuity!$B$13=4, Enginuity!$B$13=6)),
      AND(
        LEFT(P4602,5)&lt;&gt;"1-Way",
        LEFT(P4602,5)&lt;&gt;"2-Way",
        LEFT(P4602,5)&lt;&gt;"3-Way",
        P4602&lt;&gt;"Inner Centre Jamb"
      )
    ),
    IF(OR(Enginuity!$A$1="Frameless Glass",Enginuity!$A$1="Metal Work"),
      AND(TRIM(B4602)=TRIM(Enginuity!$A$17),TRIM(C4602)=TRIM(Enginuity!$A$18)),
      TRIM(B4602)=TRIM(Enginuity!$A$17)
    )
  ),
  ROW(),
  ""
)</f>
        <v/>
      </c>
    </row>
    <row r="4603" spans="21:21" x14ac:dyDescent="0.25">
      <c r="U4603" s="104" t="str">
        <f>IF(
  AND(
    TRIM(A4603)=TRIM(Enginuity!$A$1),
    TRIM(B4603)=TRIM(Enginuity!$A$17),
    Q4603&lt;&gt;"",
    Q4603&lt;&gt;0,
    OR(
      TRIM(C4603)=TRIM(Enginuity!$A$18),
      AND(UPPER(TRIM(M4603))="STD", TRIM(B4603)=TRIM(Enginuity!$A$17))
    ),
    OR(
      AND(LEFT(P4603,5)="1-Way", Enginuity!$B$13=1),
      AND(LEFT(P4603,5)="2-Way", OR(Enginuity!$B$13=2, Enginuity!$B$13=4)),
      AND(LEFT(P4603,5)="3-Way", OR(Enginuity!$B$13=3, Enginuity!$B$13=6)),
      AND(P4603="Inner Centre Jamb", OR(Enginuity!$B$13=4, Enginuity!$B$13=6)),
      AND(
        LEFT(P4603,5)&lt;&gt;"1-Way",
        LEFT(P4603,5)&lt;&gt;"2-Way",
        LEFT(P4603,5)&lt;&gt;"3-Way",
        P4603&lt;&gt;"Inner Centre Jamb"
      )
    ),
    IF(OR(Enginuity!$A$1="Frameless Glass",Enginuity!$A$1="Metal Work"),
      AND(TRIM(B4603)=TRIM(Enginuity!$A$17),TRIM(C4603)=TRIM(Enginuity!$A$18)),
      TRIM(B4603)=TRIM(Enginuity!$A$17)
    )
  ),
  ROW(),
  ""
)</f>
        <v/>
      </c>
    </row>
    <row r="4604" spans="21:21" x14ac:dyDescent="0.25">
      <c r="U4604" s="104" t="str">
        <f>IF(
  AND(
    TRIM(A4604)=TRIM(Enginuity!$A$1),
    TRIM(B4604)=TRIM(Enginuity!$A$17),
    Q4604&lt;&gt;"",
    Q4604&lt;&gt;0,
    OR(
      TRIM(C4604)=TRIM(Enginuity!$A$18),
      AND(UPPER(TRIM(M4604))="STD", TRIM(B4604)=TRIM(Enginuity!$A$17))
    ),
    OR(
      AND(LEFT(P4604,5)="1-Way", Enginuity!$B$13=1),
      AND(LEFT(P4604,5)="2-Way", OR(Enginuity!$B$13=2, Enginuity!$B$13=4)),
      AND(LEFT(P4604,5)="3-Way", OR(Enginuity!$B$13=3, Enginuity!$B$13=6)),
      AND(P4604="Inner Centre Jamb", OR(Enginuity!$B$13=4, Enginuity!$B$13=6)),
      AND(
        LEFT(P4604,5)&lt;&gt;"1-Way",
        LEFT(P4604,5)&lt;&gt;"2-Way",
        LEFT(P4604,5)&lt;&gt;"3-Way",
        P4604&lt;&gt;"Inner Centre Jamb"
      )
    ),
    IF(OR(Enginuity!$A$1="Frameless Glass",Enginuity!$A$1="Metal Work"),
      AND(TRIM(B4604)=TRIM(Enginuity!$A$17),TRIM(C4604)=TRIM(Enginuity!$A$18)),
      TRIM(B4604)=TRIM(Enginuity!$A$17)
    )
  ),
  ROW(),
  ""
)</f>
        <v/>
      </c>
    </row>
    <row r="4605" spans="21:21" x14ac:dyDescent="0.25">
      <c r="U4605" s="104" t="str">
        <f>IF(
  AND(
    TRIM(A4605)=TRIM(Enginuity!$A$1),
    TRIM(B4605)=TRIM(Enginuity!$A$17),
    Q4605&lt;&gt;"",
    Q4605&lt;&gt;0,
    OR(
      TRIM(C4605)=TRIM(Enginuity!$A$18),
      AND(UPPER(TRIM(M4605))="STD", TRIM(B4605)=TRIM(Enginuity!$A$17))
    ),
    OR(
      AND(LEFT(P4605,5)="1-Way", Enginuity!$B$13=1),
      AND(LEFT(P4605,5)="2-Way", OR(Enginuity!$B$13=2, Enginuity!$B$13=4)),
      AND(LEFT(P4605,5)="3-Way", OR(Enginuity!$B$13=3, Enginuity!$B$13=6)),
      AND(P4605="Inner Centre Jamb", OR(Enginuity!$B$13=4, Enginuity!$B$13=6)),
      AND(
        LEFT(P4605,5)&lt;&gt;"1-Way",
        LEFT(P4605,5)&lt;&gt;"2-Way",
        LEFT(P4605,5)&lt;&gt;"3-Way",
        P4605&lt;&gt;"Inner Centre Jamb"
      )
    ),
    IF(OR(Enginuity!$A$1="Frameless Glass",Enginuity!$A$1="Metal Work"),
      AND(TRIM(B4605)=TRIM(Enginuity!$A$17),TRIM(C4605)=TRIM(Enginuity!$A$18)),
      TRIM(B4605)=TRIM(Enginuity!$A$17)
    )
  ),
  ROW(),
  ""
)</f>
        <v/>
      </c>
    </row>
    <row r="4606" spans="21:21" x14ac:dyDescent="0.25">
      <c r="U4606" s="104" t="str">
        <f>IF(
  AND(
    TRIM(A4606)=TRIM(Enginuity!$A$1),
    TRIM(B4606)=TRIM(Enginuity!$A$17),
    Q4606&lt;&gt;"",
    Q4606&lt;&gt;0,
    OR(
      TRIM(C4606)=TRIM(Enginuity!$A$18),
      AND(UPPER(TRIM(M4606))="STD", TRIM(B4606)=TRIM(Enginuity!$A$17))
    ),
    OR(
      AND(LEFT(P4606,5)="1-Way", Enginuity!$B$13=1),
      AND(LEFT(P4606,5)="2-Way", OR(Enginuity!$B$13=2, Enginuity!$B$13=4)),
      AND(LEFT(P4606,5)="3-Way", OR(Enginuity!$B$13=3, Enginuity!$B$13=6)),
      AND(P4606="Inner Centre Jamb", OR(Enginuity!$B$13=4, Enginuity!$B$13=6)),
      AND(
        LEFT(P4606,5)&lt;&gt;"1-Way",
        LEFT(P4606,5)&lt;&gt;"2-Way",
        LEFT(P4606,5)&lt;&gt;"3-Way",
        P4606&lt;&gt;"Inner Centre Jamb"
      )
    ),
    IF(OR(Enginuity!$A$1="Frameless Glass",Enginuity!$A$1="Metal Work"),
      AND(TRIM(B4606)=TRIM(Enginuity!$A$17),TRIM(C4606)=TRIM(Enginuity!$A$18)),
      TRIM(B4606)=TRIM(Enginuity!$A$17)
    )
  ),
  ROW(),
  ""
)</f>
        <v/>
      </c>
    </row>
    <row r="4607" spans="21:21" x14ac:dyDescent="0.25">
      <c r="U4607" s="104" t="str">
        <f>IF(
  AND(
    TRIM(A4607)=TRIM(Enginuity!$A$1),
    TRIM(B4607)=TRIM(Enginuity!$A$17),
    Q4607&lt;&gt;"",
    Q4607&lt;&gt;0,
    OR(
      TRIM(C4607)=TRIM(Enginuity!$A$18),
      AND(UPPER(TRIM(M4607))="STD", TRIM(B4607)=TRIM(Enginuity!$A$17))
    ),
    OR(
      AND(LEFT(P4607,5)="1-Way", Enginuity!$B$13=1),
      AND(LEFT(P4607,5)="2-Way", OR(Enginuity!$B$13=2, Enginuity!$B$13=4)),
      AND(LEFT(P4607,5)="3-Way", OR(Enginuity!$B$13=3, Enginuity!$B$13=6)),
      AND(P4607="Inner Centre Jamb", OR(Enginuity!$B$13=4, Enginuity!$B$13=6)),
      AND(
        LEFT(P4607,5)&lt;&gt;"1-Way",
        LEFT(P4607,5)&lt;&gt;"2-Way",
        LEFT(P4607,5)&lt;&gt;"3-Way",
        P4607&lt;&gt;"Inner Centre Jamb"
      )
    ),
    IF(OR(Enginuity!$A$1="Frameless Glass",Enginuity!$A$1="Metal Work"),
      AND(TRIM(B4607)=TRIM(Enginuity!$A$17),TRIM(C4607)=TRIM(Enginuity!$A$18)),
      TRIM(B4607)=TRIM(Enginuity!$A$17)
    )
  ),
  ROW(),
  ""
)</f>
        <v/>
      </c>
    </row>
    <row r="4608" spans="21:21" x14ac:dyDescent="0.25">
      <c r="U4608" s="104" t="str">
        <f>IF(
  AND(
    TRIM(A4608)=TRIM(Enginuity!$A$1),
    TRIM(B4608)=TRIM(Enginuity!$A$17),
    Q4608&lt;&gt;"",
    Q4608&lt;&gt;0,
    OR(
      TRIM(C4608)=TRIM(Enginuity!$A$18),
      AND(UPPER(TRIM(M4608))="STD", TRIM(B4608)=TRIM(Enginuity!$A$17))
    ),
    OR(
      AND(LEFT(P4608,5)="1-Way", Enginuity!$B$13=1),
      AND(LEFT(P4608,5)="2-Way", OR(Enginuity!$B$13=2, Enginuity!$B$13=4)),
      AND(LEFT(P4608,5)="3-Way", OR(Enginuity!$B$13=3, Enginuity!$B$13=6)),
      AND(P4608="Inner Centre Jamb", OR(Enginuity!$B$13=4, Enginuity!$B$13=6)),
      AND(
        LEFT(P4608,5)&lt;&gt;"1-Way",
        LEFT(P4608,5)&lt;&gt;"2-Way",
        LEFT(P4608,5)&lt;&gt;"3-Way",
        P4608&lt;&gt;"Inner Centre Jamb"
      )
    ),
    IF(OR(Enginuity!$A$1="Frameless Glass",Enginuity!$A$1="Metal Work"),
      AND(TRIM(B4608)=TRIM(Enginuity!$A$17),TRIM(C4608)=TRIM(Enginuity!$A$18)),
      TRIM(B4608)=TRIM(Enginuity!$A$17)
    )
  ),
  ROW(),
  ""
)</f>
        <v/>
      </c>
    </row>
    <row r="4609" spans="21:21" x14ac:dyDescent="0.25">
      <c r="U4609" s="104" t="str">
        <f>IF(
  AND(
    TRIM(A4609)=TRIM(Enginuity!$A$1),
    TRIM(B4609)=TRIM(Enginuity!$A$17),
    Q4609&lt;&gt;"",
    Q4609&lt;&gt;0,
    OR(
      TRIM(C4609)=TRIM(Enginuity!$A$18),
      AND(UPPER(TRIM(M4609))="STD", TRIM(B4609)=TRIM(Enginuity!$A$17))
    ),
    OR(
      AND(LEFT(P4609,5)="1-Way", Enginuity!$B$13=1),
      AND(LEFT(P4609,5)="2-Way", OR(Enginuity!$B$13=2, Enginuity!$B$13=4)),
      AND(LEFT(P4609,5)="3-Way", OR(Enginuity!$B$13=3, Enginuity!$B$13=6)),
      AND(P4609="Inner Centre Jamb", OR(Enginuity!$B$13=4, Enginuity!$B$13=6)),
      AND(
        LEFT(P4609,5)&lt;&gt;"1-Way",
        LEFT(P4609,5)&lt;&gt;"2-Way",
        LEFT(P4609,5)&lt;&gt;"3-Way",
        P4609&lt;&gt;"Inner Centre Jamb"
      )
    ),
    IF(OR(Enginuity!$A$1="Frameless Glass",Enginuity!$A$1="Metal Work"),
      AND(TRIM(B4609)=TRIM(Enginuity!$A$17),TRIM(C4609)=TRIM(Enginuity!$A$18)),
      TRIM(B4609)=TRIM(Enginuity!$A$17)
    )
  ),
  ROW(),
  ""
)</f>
        <v/>
      </c>
    </row>
    <row r="4610" spans="21:21" x14ac:dyDescent="0.25">
      <c r="U4610" s="104" t="str">
        <f>IF(
  AND(
    TRIM(A4610)=TRIM(Enginuity!$A$1),
    TRIM(B4610)=TRIM(Enginuity!$A$17),
    Q4610&lt;&gt;"",
    Q4610&lt;&gt;0,
    OR(
      TRIM(C4610)=TRIM(Enginuity!$A$18),
      AND(UPPER(TRIM(M4610))="STD", TRIM(B4610)=TRIM(Enginuity!$A$17))
    ),
    OR(
      AND(LEFT(P4610,5)="1-Way", Enginuity!$B$13=1),
      AND(LEFT(P4610,5)="2-Way", OR(Enginuity!$B$13=2, Enginuity!$B$13=4)),
      AND(LEFT(P4610,5)="3-Way", OR(Enginuity!$B$13=3, Enginuity!$B$13=6)),
      AND(P4610="Inner Centre Jamb", OR(Enginuity!$B$13=4, Enginuity!$B$13=6)),
      AND(
        LEFT(P4610,5)&lt;&gt;"1-Way",
        LEFT(P4610,5)&lt;&gt;"2-Way",
        LEFT(P4610,5)&lt;&gt;"3-Way",
        P4610&lt;&gt;"Inner Centre Jamb"
      )
    ),
    IF(OR(Enginuity!$A$1="Frameless Glass",Enginuity!$A$1="Metal Work"),
      AND(TRIM(B4610)=TRIM(Enginuity!$A$17),TRIM(C4610)=TRIM(Enginuity!$A$18)),
      TRIM(B4610)=TRIM(Enginuity!$A$17)
    )
  ),
  ROW(),
  ""
)</f>
        <v/>
      </c>
    </row>
    <row r="4611" spans="21:21" x14ac:dyDescent="0.25">
      <c r="U4611" s="104" t="str">
        <f>IF(
  AND(
    TRIM(A4611)=TRIM(Enginuity!$A$1),
    TRIM(B4611)=TRIM(Enginuity!$A$17),
    Q4611&lt;&gt;"",
    Q4611&lt;&gt;0,
    OR(
      TRIM(C4611)=TRIM(Enginuity!$A$18),
      AND(UPPER(TRIM(M4611))="STD", TRIM(B4611)=TRIM(Enginuity!$A$17))
    ),
    OR(
      AND(LEFT(P4611,5)="1-Way", Enginuity!$B$13=1),
      AND(LEFT(P4611,5)="2-Way", OR(Enginuity!$B$13=2, Enginuity!$B$13=4)),
      AND(LEFT(P4611,5)="3-Way", OR(Enginuity!$B$13=3, Enginuity!$B$13=6)),
      AND(P4611="Inner Centre Jamb", OR(Enginuity!$B$13=4, Enginuity!$B$13=6)),
      AND(
        LEFT(P4611,5)&lt;&gt;"1-Way",
        LEFT(P4611,5)&lt;&gt;"2-Way",
        LEFT(P4611,5)&lt;&gt;"3-Way",
        P4611&lt;&gt;"Inner Centre Jamb"
      )
    ),
    IF(OR(Enginuity!$A$1="Frameless Glass",Enginuity!$A$1="Metal Work"),
      AND(TRIM(B4611)=TRIM(Enginuity!$A$17),TRIM(C4611)=TRIM(Enginuity!$A$18)),
      TRIM(B4611)=TRIM(Enginuity!$A$17)
    )
  ),
  ROW(),
  ""
)</f>
        <v/>
      </c>
    </row>
    <row r="4612" spans="21:21" x14ac:dyDescent="0.25">
      <c r="U4612" s="104" t="str">
        <f>IF(
  AND(
    TRIM(A4612)=TRIM(Enginuity!$A$1),
    TRIM(B4612)=TRIM(Enginuity!$A$17),
    Q4612&lt;&gt;"",
    Q4612&lt;&gt;0,
    OR(
      TRIM(C4612)=TRIM(Enginuity!$A$18),
      AND(UPPER(TRIM(M4612))="STD", TRIM(B4612)=TRIM(Enginuity!$A$17))
    ),
    OR(
      AND(LEFT(P4612,5)="1-Way", Enginuity!$B$13=1),
      AND(LEFT(P4612,5)="2-Way", OR(Enginuity!$B$13=2, Enginuity!$B$13=4)),
      AND(LEFT(P4612,5)="3-Way", OR(Enginuity!$B$13=3, Enginuity!$B$13=6)),
      AND(P4612="Inner Centre Jamb", OR(Enginuity!$B$13=4, Enginuity!$B$13=6)),
      AND(
        LEFT(P4612,5)&lt;&gt;"1-Way",
        LEFT(P4612,5)&lt;&gt;"2-Way",
        LEFT(P4612,5)&lt;&gt;"3-Way",
        P4612&lt;&gt;"Inner Centre Jamb"
      )
    ),
    IF(OR(Enginuity!$A$1="Frameless Glass",Enginuity!$A$1="Metal Work"),
      AND(TRIM(B4612)=TRIM(Enginuity!$A$17),TRIM(C4612)=TRIM(Enginuity!$A$18)),
      TRIM(B4612)=TRIM(Enginuity!$A$17)
    )
  ),
  ROW(),
  ""
)</f>
        <v/>
      </c>
    </row>
    <row r="4613" spans="21:21" x14ac:dyDescent="0.25">
      <c r="U4613" s="104" t="str">
        <f>IF(
  AND(
    TRIM(A4613)=TRIM(Enginuity!$A$1),
    TRIM(B4613)=TRIM(Enginuity!$A$17),
    Q4613&lt;&gt;"",
    Q4613&lt;&gt;0,
    OR(
      TRIM(C4613)=TRIM(Enginuity!$A$18),
      AND(UPPER(TRIM(M4613))="STD", TRIM(B4613)=TRIM(Enginuity!$A$17))
    ),
    OR(
      AND(LEFT(P4613,5)="1-Way", Enginuity!$B$13=1),
      AND(LEFT(P4613,5)="2-Way", OR(Enginuity!$B$13=2, Enginuity!$B$13=4)),
      AND(LEFT(P4613,5)="3-Way", OR(Enginuity!$B$13=3, Enginuity!$B$13=6)),
      AND(P4613="Inner Centre Jamb", OR(Enginuity!$B$13=4, Enginuity!$B$13=6)),
      AND(
        LEFT(P4613,5)&lt;&gt;"1-Way",
        LEFT(P4613,5)&lt;&gt;"2-Way",
        LEFT(P4613,5)&lt;&gt;"3-Way",
        P4613&lt;&gt;"Inner Centre Jamb"
      )
    ),
    IF(OR(Enginuity!$A$1="Frameless Glass",Enginuity!$A$1="Metal Work"),
      AND(TRIM(B4613)=TRIM(Enginuity!$A$17),TRIM(C4613)=TRIM(Enginuity!$A$18)),
      TRIM(B4613)=TRIM(Enginuity!$A$17)
    )
  ),
  ROW(),
  ""
)</f>
        <v/>
      </c>
    </row>
    <row r="4614" spans="21:21" x14ac:dyDescent="0.25">
      <c r="U4614" s="104" t="str">
        <f>IF(
  AND(
    TRIM(A4614)=TRIM(Enginuity!$A$1),
    TRIM(B4614)=TRIM(Enginuity!$A$17),
    Q4614&lt;&gt;"",
    Q4614&lt;&gt;0,
    OR(
      TRIM(C4614)=TRIM(Enginuity!$A$18),
      AND(UPPER(TRIM(M4614))="STD", TRIM(B4614)=TRIM(Enginuity!$A$17))
    ),
    OR(
      AND(LEFT(P4614,5)="1-Way", Enginuity!$B$13=1),
      AND(LEFT(P4614,5)="2-Way", OR(Enginuity!$B$13=2, Enginuity!$B$13=4)),
      AND(LEFT(P4614,5)="3-Way", OR(Enginuity!$B$13=3, Enginuity!$B$13=6)),
      AND(P4614="Inner Centre Jamb", OR(Enginuity!$B$13=4, Enginuity!$B$13=6)),
      AND(
        LEFT(P4614,5)&lt;&gt;"1-Way",
        LEFT(P4614,5)&lt;&gt;"2-Way",
        LEFT(P4614,5)&lt;&gt;"3-Way",
        P4614&lt;&gt;"Inner Centre Jamb"
      )
    ),
    IF(OR(Enginuity!$A$1="Frameless Glass",Enginuity!$A$1="Metal Work"),
      AND(TRIM(B4614)=TRIM(Enginuity!$A$17),TRIM(C4614)=TRIM(Enginuity!$A$18)),
      TRIM(B4614)=TRIM(Enginuity!$A$17)
    )
  ),
  ROW(),
  ""
)</f>
        <v/>
      </c>
    </row>
    <row r="4615" spans="21:21" x14ac:dyDescent="0.25">
      <c r="U4615" s="104" t="str">
        <f>IF(
  AND(
    TRIM(A4615)=TRIM(Enginuity!$A$1),
    TRIM(B4615)=TRIM(Enginuity!$A$17),
    Q4615&lt;&gt;"",
    Q4615&lt;&gt;0,
    OR(
      TRIM(C4615)=TRIM(Enginuity!$A$18),
      AND(UPPER(TRIM(M4615))="STD", TRIM(B4615)=TRIM(Enginuity!$A$17))
    ),
    OR(
      AND(LEFT(P4615,5)="1-Way", Enginuity!$B$13=1),
      AND(LEFT(P4615,5)="2-Way", OR(Enginuity!$B$13=2, Enginuity!$B$13=4)),
      AND(LEFT(P4615,5)="3-Way", OR(Enginuity!$B$13=3, Enginuity!$B$13=6)),
      AND(P4615="Inner Centre Jamb", OR(Enginuity!$B$13=4, Enginuity!$B$13=6)),
      AND(
        LEFT(P4615,5)&lt;&gt;"1-Way",
        LEFT(P4615,5)&lt;&gt;"2-Way",
        LEFT(P4615,5)&lt;&gt;"3-Way",
        P4615&lt;&gt;"Inner Centre Jamb"
      )
    ),
    IF(OR(Enginuity!$A$1="Frameless Glass",Enginuity!$A$1="Metal Work"),
      AND(TRIM(B4615)=TRIM(Enginuity!$A$17),TRIM(C4615)=TRIM(Enginuity!$A$18)),
      TRIM(B4615)=TRIM(Enginuity!$A$17)
    )
  ),
  ROW(),
  ""
)</f>
        <v/>
      </c>
    </row>
    <row r="4616" spans="21:21" x14ac:dyDescent="0.25">
      <c r="U4616" s="104" t="str">
        <f>IF(
  AND(
    TRIM(A4616)=TRIM(Enginuity!$A$1),
    TRIM(B4616)=TRIM(Enginuity!$A$17),
    Q4616&lt;&gt;"",
    Q4616&lt;&gt;0,
    OR(
      TRIM(C4616)=TRIM(Enginuity!$A$18),
      AND(UPPER(TRIM(M4616))="STD", TRIM(B4616)=TRIM(Enginuity!$A$17))
    ),
    OR(
      AND(LEFT(P4616,5)="1-Way", Enginuity!$B$13=1),
      AND(LEFT(P4616,5)="2-Way", OR(Enginuity!$B$13=2, Enginuity!$B$13=4)),
      AND(LEFT(P4616,5)="3-Way", OR(Enginuity!$B$13=3, Enginuity!$B$13=6)),
      AND(P4616="Inner Centre Jamb", OR(Enginuity!$B$13=4, Enginuity!$B$13=6)),
      AND(
        LEFT(P4616,5)&lt;&gt;"1-Way",
        LEFT(P4616,5)&lt;&gt;"2-Way",
        LEFT(P4616,5)&lt;&gt;"3-Way",
        P4616&lt;&gt;"Inner Centre Jamb"
      )
    ),
    IF(OR(Enginuity!$A$1="Frameless Glass",Enginuity!$A$1="Metal Work"),
      AND(TRIM(B4616)=TRIM(Enginuity!$A$17),TRIM(C4616)=TRIM(Enginuity!$A$18)),
      TRIM(B4616)=TRIM(Enginuity!$A$17)
    )
  ),
  ROW(),
  ""
)</f>
        <v/>
      </c>
    </row>
    <row r="4617" spans="21:21" x14ac:dyDescent="0.25">
      <c r="U4617" s="104" t="str">
        <f>IF(
  AND(
    TRIM(A4617)=TRIM(Enginuity!$A$1),
    TRIM(B4617)=TRIM(Enginuity!$A$17),
    Q4617&lt;&gt;"",
    Q4617&lt;&gt;0,
    OR(
      TRIM(C4617)=TRIM(Enginuity!$A$18),
      AND(UPPER(TRIM(M4617))="STD", TRIM(B4617)=TRIM(Enginuity!$A$17))
    ),
    OR(
      AND(LEFT(P4617,5)="1-Way", Enginuity!$B$13=1),
      AND(LEFT(P4617,5)="2-Way", OR(Enginuity!$B$13=2, Enginuity!$B$13=4)),
      AND(LEFT(P4617,5)="3-Way", OR(Enginuity!$B$13=3, Enginuity!$B$13=6)),
      AND(P4617="Inner Centre Jamb", OR(Enginuity!$B$13=4, Enginuity!$B$13=6)),
      AND(
        LEFT(P4617,5)&lt;&gt;"1-Way",
        LEFT(P4617,5)&lt;&gt;"2-Way",
        LEFT(P4617,5)&lt;&gt;"3-Way",
        P4617&lt;&gt;"Inner Centre Jamb"
      )
    ),
    IF(OR(Enginuity!$A$1="Frameless Glass",Enginuity!$A$1="Metal Work"),
      AND(TRIM(B4617)=TRIM(Enginuity!$A$17),TRIM(C4617)=TRIM(Enginuity!$A$18)),
      TRIM(B4617)=TRIM(Enginuity!$A$17)
    )
  ),
  ROW(),
  ""
)</f>
        <v/>
      </c>
    </row>
    <row r="4618" spans="21:21" x14ac:dyDescent="0.25">
      <c r="U4618" s="104" t="str">
        <f>IF(
  AND(
    TRIM(A4618)=TRIM(Enginuity!$A$1),
    TRIM(B4618)=TRIM(Enginuity!$A$17),
    Q4618&lt;&gt;"",
    Q4618&lt;&gt;0,
    OR(
      TRIM(C4618)=TRIM(Enginuity!$A$18),
      AND(UPPER(TRIM(M4618))="STD", TRIM(B4618)=TRIM(Enginuity!$A$17))
    ),
    OR(
      AND(LEFT(P4618,5)="1-Way", Enginuity!$B$13=1),
      AND(LEFT(P4618,5)="2-Way", OR(Enginuity!$B$13=2, Enginuity!$B$13=4)),
      AND(LEFT(P4618,5)="3-Way", OR(Enginuity!$B$13=3, Enginuity!$B$13=6)),
      AND(P4618="Inner Centre Jamb", OR(Enginuity!$B$13=4, Enginuity!$B$13=6)),
      AND(
        LEFT(P4618,5)&lt;&gt;"1-Way",
        LEFT(P4618,5)&lt;&gt;"2-Way",
        LEFT(P4618,5)&lt;&gt;"3-Way",
        P4618&lt;&gt;"Inner Centre Jamb"
      )
    ),
    IF(OR(Enginuity!$A$1="Frameless Glass",Enginuity!$A$1="Metal Work"),
      AND(TRIM(B4618)=TRIM(Enginuity!$A$17),TRIM(C4618)=TRIM(Enginuity!$A$18)),
      TRIM(B4618)=TRIM(Enginuity!$A$17)
    )
  ),
  ROW(),
  ""
)</f>
        <v/>
      </c>
    </row>
    <row r="4619" spans="21:21" x14ac:dyDescent="0.25">
      <c r="U4619" s="104" t="str">
        <f>IF(
  AND(
    TRIM(A4619)=TRIM(Enginuity!$A$1),
    TRIM(B4619)=TRIM(Enginuity!$A$17),
    Q4619&lt;&gt;"",
    Q4619&lt;&gt;0,
    OR(
      TRIM(C4619)=TRIM(Enginuity!$A$18),
      AND(UPPER(TRIM(M4619))="STD", TRIM(B4619)=TRIM(Enginuity!$A$17))
    ),
    OR(
      AND(LEFT(P4619,5)="1-Way", Enginuity!$B$13=1),
      AND(LEFT(P4619,5)="2-Way", OR(Enginuity!$B$13=2, Enginuity!$B$13=4)),
      AND(LEFT(P4619,5)="3-Way", OR(Enginuity!$B$13=3, Enginuity!$B$13=6)),
      AND(P4619="Inner Centre Jamb", OR(Enginuity!$B$13=4, Enginuity!$B$13=6)),
      AND(
        LEFT(P4619,5)&lt;&gt;"1-Way",
        LEFT(P4619,5)&lt;&gt;"2-Way",
        LEFT(P4619,5)&lt;&gt;"3-Way",
        P4619&lt;&gt;"Inner Centre Jamb"
      )
    ),
    IF(OR(Enginuity!$A$1="Frameless Glass",Enginuity!$A$1="Metal Work"),
      AND(TRIM(B4619)=TRIM(Enginuity!$A$17),TRIM(C4619)=TRIM(Enginuity!$A$18)),
      TRIM(B4619)=TRIM(Enginuity!$A$17)
    )
  ),
  ROW(),
  ""
)</f>
        <v/>
      </c>
    </row>
    <row r="4620" spans="21:21" x14ac:dyDescent="0.25">
      <c r="U4620" s="104" t="str">
        <f>IF(
  AND(
    TRIM(A4620)=TRIM(Enginuity!$A$1),
    TRIM(B4620)=TRIM(Enginuity!$A$17),
    Q4620&lt;&gt;"",
    Q4620&lt;&gt;0,
    OR(
      TRIM(C4620)=TRIM(Enginuity!$A$18),
      AND(UPPER(TRIM(M4620))="STD", TRIM(B4620)=TRIM(Enginuity!$A$17))
    ),
    OR(
      AND(LEFT(P4620,5)="1-Way", Enginuity!$B$13=1),
      AND(LEFT(P4620,5)="2-Way", OR(Enginuity!$B$13=2, Enginuity!$B$13=4)),
      AND(LEFT(P4620,5)="3-Way", OR(Enginuity!$B$13=3, Enginuity!$B$13=6)),
      AND(P4620="Inner Centre Jamb", OR(Enginuity!$B$13=4, Enginuity!$B$13=6)),
      AND(
        LEFT(P4620,5)&lt;&gt;"1-Way",
        LEFT(P4620,5)&lt;&gt;"2-Way",
        LEFT(P4620,5)&lt;&gt;"3-Way",
        P4620&lt;&gt;"Inner Centre Jamb"
      )
    ),
    IF(OR(Enginuity!$A$1="Frameless Glass",Enginuity!$A$1="Metal Work"),
      AND(TRIM(B4620)=TRIM(Enginuity!$A$17),TRIM(C4620)=TRIM(Enginuity!$A$18)),
      TRIM(B4620)=TRIM(Enginuity!$A$17)
    )
  ),
  ROW(),
  ""
)</f>
        <v/>
      </c>
    </row>
    <row r="4621" spans="21:21" x14ac:dyDescent="0.25">
      <c r="U4621" s="104" t="str">
        <f>IF(
  AND(
    TRIM(A4621)=TRIM(Enginuity!$A$1),
    TRIM(B4621)=TRIM(Enginuity!$A$17),
    Q4621&lt;&gt;"",
    Q4621&lt;&gt;0,
    OR(
      TRIM(C4621)=TRIM(Enginuity!$A$18),
      AND(UPPER(TRIM(M4621))="STD", TRIM(B4621)=TRIM(Enginuity!$A$17))
    ),
    OR(
      AND(LEFT(P4621,5)="1-Way", Enginuity!$B$13=1),
      AND(LEFT(P4621,5)="2-Way", OR(Enginuity!$B$13=2, Enginuity!$B$13=4)),
      AND(LEFT(P4621,5)="3-Way", OR(Enginuity!$B$13=3, Enginuity!$B$13=6)),
      AND(P4621="Inner Centre Jamb", OR(Enginuity!$B$13=4, Enginuity!$B$13=6)),
      AND(
        LEFT(P4621,5)&lt;&gt;"1-Way",
        LEFT(P4621,5)&lt;&gt;"2-Way",
        LEFT(P4621,5)&lt;&gt;"3-Way",
        P4621&lt;&gt;"Inner Centre Jamb"
      )
    ),
    IF(OR(Enginuity!$A$1="Frameless Glass",Enginuity!$A$1="Metal Work"),
      AND(TRIM(B4621)=TRIM(Enginuity!$A$17),TRIM(C4621)=TRIM(Enginuity!$A$18)),
      TRIM(B4621)=TRIM(Enginuity!$A$17)
    )
  ),
  ROW(),
  ""
)</f>
        <v/>
      </c>
    </row>
    <row r="4622" spans="21:21" x14ac:dyDescent="0.25">
      <c r="U4622" s="104" t="str">
        <f>IF(
  AND(
    TRIM(A4622)=TRIM(Enginuity!$A$1),
    TRIM(B4622)=TRIM(Enginuity!$A$17),
    Q4622&lt;&gt;"",
    Q4622&lt;&gt;0,
    OR(
      TRIM(C4622)=TRIM(Enginuity!$A$18),
      AND(UPPER(TRIM(M4622))="STD", TRIM(B4622)=TRIM(Enginuity!$A$17))
    ),
    OR(
      AND(LEFT(P4622,5)="1-Way", Enginuity!$B$13=1),
      AND(LEFT(P4622,5)="2-Way", OR(Enginuity!$B$13=2, Enginuity!$B$13=4)),
      AND(LEFT(P4622,5)="3-Way", OR(Enginuity!$B$13=3, Enginuity!$B$13=6)),
      AND(P4622="Inner Centre Jamb", OR(Enginuity!$B$13=4, Enginuity!$B$13=6)),
      AND(
        LEFT(P4622,5)&lt;&gt;"1-Way",
        LEFT(P4622,5)&lt;&gt;"2-Way",
        LEFT(P4622,5)&lt;&gt;"3-Way",
        P4622&lt;&gt;"Inner Centre Jamb"
      )
    ),
    IF(OR(Enginuity!$A$1="Frameless Glass",Enginuity!$A$1="Metal Work"),
      AND(TRIM(B4622)=TRIM(Enginuity!$A$17),TRIM(C4622)=TRIM(Enginuity!$A$18)),
      TRIM(B4622)=TRIM(Enginuity!$A$17)
    )
  ),
  ROW(),
  ""
)</f>
        <v/>
      </c>
    </row>
    <row r="4623" spans="21:21" x14ac:dyDescent="0.25">
      <c r="U4623" s="104" t="str">
        <f>IF(
  AND(
    TRIM(A4623)=TRIM(Enginuity!$A$1),
    TRIM(B4623)=TRIM(Enginuity!$A$17),
    Q4623&lt;&gt;"",
    Q4623&lt;&gt;0,
    OR(
      TRIM(C4623)=TRIM(Enginuity!$A$18),
      AND(UPPER(TRIM(M4623))="STD", TRIM(B4623)=TRIM(Enginuity!$A$17))
    ),
    OR(
      AND(LEFT(P4623,5)="1-Way", Enginuity!$B$13=1),
      AND(LEFT(P4623,5)="2-Way", OR(Enginuity!$B$13=2, Enginuity!$B$13=4)),
      AND(LEFT(P4623,5)="3-Way", OR(Enginuity!$B$13=3, Enginuity!$B$13=6)),
      AND(P4623="Inner Centre Jamb", OR(Enginuity!$B$13=4, Enginuity!$B$13=6)),
      AND(
        LEFT(P4623,5)&lt;&gt;"1-Way",
        LEFT(P4623,5)&lt;&gt;"2-Way",
        LEFT(P4623,5)&lt;&gt;"3-Way",
        P4623&lt;&gt;"Inner Centre Jamb"
      )
    ),
    IF(OR(Enginuity!$A$1="Frameless Glass",Enginuity!$A$1="Metal Work"),
      AND(TRIM(B4623)=TRIM(Enginuity!$A$17),TRIM(C4623)=TRIM(Enginuity!$A$18)),
      TRIM(B4623)=TRIM(Enginuity!$A$17)
    )
  ),
  ROW(),
  ""
)</f>
        <v/>
      </c>
    </row>
    <row r="4624" spans="21:21" x14ac:dyDescent="0.25">
      <c r="U4624" s="104" t="str">
        <f>IF(
  AND(
    TRIM(A4624)=TRIM(Enginuity!$A$1),
    TRIM(B4624)=TRIM(Enginuity!$A$17),
    Q4624&lt;&gt;"",
    Q4624&lt;&gt;0,
    OR(
      TRIM(C4624)=TRIM(Enginuity!$A$18),
      AND(UPPER(TRIM(M4624))="STD", TRIM(B4624)=TRIM(Enginuity!$A$17))
    ),
    OR(
      AND(LEFT(P4624,5)="1-Way", Enginuity!$B$13=1),
      AND(LEFT(P4624,5)="2-Way", OR(Enginuity!$B$13=2, Enginuity!$B$13=4)),
      AND(LEFT(P4624,5)="3-Way", OR(Enginuity!$B$13=3, Enginuity!$B$13=6)),
      AND(P4624="Inner Centre Jamb", OR(Enginuity!$B$13=4, Enginuity!$B$13=6)),
      AND(
        LEFT(P4624,5)&lt;&gt;"1-Way",
        LEFT(P4624,5)&lt;&gt;"2-Way",
        LEFT(P4624,5)&lt;&gt;"3-Way",
        P4624&lt;&gt;"Inner Centre Jamb"
      )
    ),
    IF(OR(Enginuity!$A$1="Frameless Glass",Enginuity!$A$1="Metal Work"),
      AND(TRIM(B4624)=TRIM(Enginuity!$A$17),TRIM(C4624)=TRIM(Enginuity!$A$18)),
      TRIM(B4624)=TRIM(Enginuity!$A$17)
    )
  ),
  ROW(),
  ""
)</f>
        <v/>
      </c>
    </row>
    <row r="4625" spans="21:21" x14ac:dyDescent="0.25">
      <c r="U4625" s="104" t="str">
        <f>IF(
  AND(
    TRIM(A4625)=TRIM(Enginuity!$A$1),
    TRIM(B4625)=TRIM(Enginuity!$A$17),
    Q4625&lt;&gt;"",
    Q4625&lt;&gt;0,
    OR(
      TRIM(C4625)=TRIM(Enginuity!$A$18),
      AND(UPPER(TRIM(M4625))="STD", TRIM(B4625)=TRIM(Enginuity!$A$17))
    ),
    OR(
      AND(LEFT(P4625,5)="1-Way", Enginuity!$B$13=1),
      AND(LEFT(P4625,5)="2-Way", OR(Enginuity!$B$13=2, Enginuity!$B$13=4)),
      AND(LEFT(P4625,5)="3-Way", OR(Enginuity!$B$13=3, Enginuity!$B$13=6)),
      AND(P4625="Inner Centre Jamb", OR(Enginuity!$B$13=4, Enginuity!$B$13=6)),
      AND(
        LEFT(P4625,5)&lt;&gt;"1-Way",
        LEFT(P4625,5)&lt;&gt;"2-Way",
        LEFT(P4625,5)&lt;&gt;"3-Way",
        P4625&lt;&gt;"Inner Centre Jamb"
      )
    ),
    IF(OR(Enginuity!$A$1="Frameless Glass",Enginuity!$A$1="Metal Work"),
      AND(TRIM(B4625)=TRIM(Enginuity!$A$17),TRIM(C4625)=TRIM(Enginuity!$A$18)),
      TRIM(B4625)=TRIM(Enginuity!$A$17)
    )
  ),
  ROW(),
  ""
)</f>
        <v/>
      </c>
    </row>
    <row r="4626" spans="21:21" x14ac:dyDescent="0.25">
      <c r="U4626" s="104" t="str">
        <f>IF(
  AND(
    TRIM(A4626)=TRIM(Enginuity!$A$1),
    TRIM(B4626)=TRIM(Enginuity!$A$17),
    Q4626&lt;&gt;"",
    Q4626&lt;&gt;0,
    OR(
      TRIM(C4626)=TRIM(Enginuity!$A$18),
      AND(UPPER(TRIM(M4626))="STD", TRIM(B4626)=TRIM(Enginuity!$A$17))
    ),
    OR(
      AND(LEFT(P4626,5)="1-Way", Enginuity!$B$13=1),
      AND(LEFT(P4626,5)="2-Way", OR(Enginuity!$B$13=2, Enginuity!$B$13=4)),
      AND(LEFT(P4626,5)="3-Way", OR(Enginuity!$B$13=3, Enginuity!$B$13=6)),
      AND(P4626="Inner Centre Jamb", OR(Enginuity!$B$13=4, Enginuity!$B$13=6)),
      AND(
        LEFT(P4626,5)&lt;&gt;"1-Way",
        LEFT(P4626,5)&lt;&gt;"2-Way",
        LEFT(P4626,5)&lt;&gt;"3-Way",
        P4626&lt;&gt;"Inner Centre Jamb"
      )
    ),
    IF(OR(Enginuity!$A$1="Frameless Glass",Enginuity!$A$1="Metal Work"),
      AND(TRIM(B4626)=TRIM(Enginuity!$A$17),TRIM(C4626)=TRIM(Enginuity!$A$18)),
      TRIM(B4626)=TRIM(Enginuity!$A$17)
    )
  ),
  ROW(),
  ""
)</f>
        <v/>
      </c>
    </row>
    <row r="4627" spans="21:21" x14ac:dyDescent="0.25">
      <c r="U4627" s="104" t="str">
        <f>IF(
  AND(
    TRIM(A4627)=TRIM(Enginuity!$A$1),
    TRIM(B4627)=TRIM(Enginuity!$A$17),
    Q4627&lt;&gt;"",
    Q4627&lt;&gt;0,
    OR(
      TRIM(C4627)=TRIM(Enginuity!$A$18),
      AND(UPPER(TRIM(M4627))="STD", TRIM(B4627)=TRIM(Enginuity!$A$17))
    ),
    OR(
      AND(LEFT(P4627,5)="1-Way", Enginuity!$B$13=1),
      AND(LEFT(P4627,5)="2-Way", OR(Enginuity!$B$13=2, Enginuity!$B$13=4)),
      AND(LEFT(P4627,5)="3-Way", OR(Enginuity!$B$13=3, Enginuity!$B$13=6)),
      AND(P4627="Inner Centre Jamb", OR(Enginuity!$B$13=4, Enginuity!$B$13=6)),
      AND(
        LEFT(P4627,5)&lt;&gt;"1-Way",
        LEFT(P4627,5)&lt;&gt;"2-Way",
        LEFT(P4627,5)&lt;&gt;"3-Way",
        P4627&lt;&gt;"Inner Centre Jamb"
      )
    ),
    IF(OR(Enginuity!$A$1="Frameless Glass",Enginuity!$A$1="Metal Work"),
      AND(TRIM(B4627)=TRIM(Enginuity!$A$17),TRIM(C4627)=TRIM(Enginuity!$A$18)),
      TRIM(B4627)=TRIM(Enginuity!$A$17)
    )
  ),
  ROW(),
  ""
)</f>
        <v/>
      </c>
    </row>
    <row r="4628" spans="21:21" x14ac:dyDescent="0.25">
      <c r="U4628" s="104" t="str">
        <f>IF(
  AND(
    TRIM(A4628)=TRIM(Enginuity!$A$1),
    TRIM(B4628)=TRIM(Enginuity!$A$17),
    Q4628&lt;&gt;"",
    Q4628&lt;&gt;0,
    OR(
      TRIM(C4628)=TRIM(Enginuity!$A$18),
      AND(UPPER(TRIM(M4628))="STD", TRIM(B4628)=TRIM(Enginuity!$A$17))
    ),
    OR(
      AND(LEFT(P4628,5)="1-Way", Enginuity!$B$13=1),
      AND(LEFT(P4628,5)="2-Way", OR(Enginuity!$B$13=2, Enginuity!$B$13=4)),
      AND(LEFT(P4628,5)="3-Way", OR(Enginuity!$B$13=3, Enginuity!$B$13=6)),
      AND(P4628="Inner Centre Jamb", OR(Enginuity!$B$13=4, Enginuity!$B$13=6)),
      AND(
        LEFT(P4628,5)&lt;&gt;"1-Way",
        LEFT(P4628,5)&lt;&gt;"2-Way",
        LEFT(P4628,5)&lt;&gt;"3-Way",
        P4628&lt;&gt;"Inner Centre Jamb"
      )
    ),
    IF(OR(Enginuity!$A$1="Frameless Glass",Enginuity!$A$1="Metal Work"),
      AND(TRIM(B4628)=TRIM(Enginuity!$A$17),TRIM(C4628)=TRIM(Enginuity!$A$18)),
      TRIM(B4628)=TRIM(Enginuity!$A$17)
    )
  ),
  ROW(),
  ""
)</f>
        <v/>
      </c>
    </row>
    <row r="4629" spans="21:21" x14ac:dyDescent="0.25">
      <c r="U4629" s="104" t="str">
        <f>IF(
  AND(
    TRIM(A4629)=TRIM(Enginuity!$A$1),
    TRIM(B4629)=TRIM(Enginuity!$A$17),
    Q4629&lt;&gt;"",
    Q4629&lt;&gt;0,
    OR(
      TRIM(C4629)=TRIM(Enginuity!$A$18),
      AND(UPPER(TRIM(M4629))="STD", TRIM(B4629)=TRIM(Enginuity!$A$17))
    ),
    OR(
      AND(LEFT(P4629,5)="1-Way", Enginuity!$B$13=1),
      AND(LEFT(P4629,5)="2-Way", OR(Enginuity!$B$13=2, Enginuity!$B$13=4)),
      AND(LEFT(P4629,5)="3-Way", OR(Enginuity!$B$13=3, Enginuity!$B$13=6)),
      AND(P4629="Inner Centre Jamb", OR(Enginuity!$B$13=4, Enginuity!$B$13=6)),
      AND(
        LEFT(P4629,5)&lt;&gt;"1-Way",
        LEFT(P4629,5)&lt;&gt;"2-Way",
        LEFT(P4629,5)&lt;&gt;"3-Way",
        P4629&lt;&gt;"Inner Centre Jamb"
      )
    ),
    IF(OR(Enginuity!$A$1="Frameless Glass",Enginuity!$A$1="Metal Work"),
      AND(TRIM(B4629)=TRIM(Enginuity!$A$17),TRIM(C4629)=TRIM(Enginuity!$A$18)),
      TRIM(B4629)=TRIM(Enginuity!$A$17)
    )
  ),
  ROW(),
  ""
)</f>
        <v/>
      </c>
    </row>
    <row r="4630" spans="21:21" x14ac:dyDescent="0.25">
      <c r="U4630" s="104" t="str">
        <f>IF(
  AND(
    TRIM(A4630)=TRIM(Enginuity!$A$1),
    TRIM(B4630)=TRIM(Enginuity!$A$17),
    Q4630&lt;&gt;"",
    Q4630&lt;&gt;0,
    OR(
      TRIM(C4630)=TRIM(Enginuity!$A$18),
      AND(UPPER(TRIM(M4630))="STD", TRIM(B4630)=TRIM(Enginuity!$A$17))
    ),
    OR(
      AND(LEFT(P4630,5)="1-Way", Enginuity!$B$13=1),
      AND(LEFT(P4630,5)="2-Way", OR(Enginuity!$B$13=2, Enginuity!$B$13=4)),
      AND(LEFT(P4630,5)="3-Way", OR(Enginuity!$B$13=3, Enginuity!$B$13=6)),
      AND(P4630="Inner Centre Jamb", OR(Enginuity!$B$13=4, Enginuity!$B$13=6)),
      AND(
        LEFT(P4630,5)&lt;&gt;"1-Way",
        LEFT(P4630,5)&lt;&gt;"2-Way",
        LEFT(P4630,5)&lt;&gt;"3-Way",
        P4630&lt;&gt;"Inner Centre Jamb"
      )
    ),
    IF(OR(Enginuity!$A$1="Frameless Glass",Enginuity!$A$1="Metal Work"),
      AND(TRIM(B4630)=TRIM(Enginuity!$A$17),TRIM(C4630)=TRIM(Enginuity!$A$18)),
      TRIM(B4630)=TRIM(Enginuity!$A$17)
    )
  ),
  ROW(),
  ""
)</f>
        <v/>
      </c>
    </row>
    <row r="4631" spans="21:21" x14ac:dyDescent="0.25">
      <c r="U4631" s="104" t="str">
        <f>IF(
  AND(
    TRIM(A4631)=TRIM(Enginuity!$A$1),
    TRIM(B4631)=TRIM(Enginuity!$A$17),
    Q4631&lt;&gt;"",
    Q4631&lt;&gt;0,
    OR(
      TRIM(C4631)=TRIM(Enginuity!$A$18),
      AND(UPPER(TRIM(M4631))="STD", TRIM(B4631)=TRIM(Enginuity!$A$17))
    ),
    OR(
      AND(LEFT(P4631,5)="1-Way", Enginuity!$B$13=1),
      AND(LEFT(P4631,5)="2-Way", OR(Enginuity!$B$13=2, Enginuity!$B$13=4)),
      AND(LEFT(P4631,5)="3-Way", OR(Enginuity!$B$13=3, Enginuity!$B$13=6)),
      AND(P4631="Inner Centre Jamb", OR(Enginuity!$B$13=4, Enginuity!$B$13=6)),
      AND(
        LEFT(P4631,5)&lt;&gt;"1-Way",
        LEFT(P4631,5)&lt;&gt;"2-Way",
        LEFT(P4631,5)&lt;&gt;"3-Way",
        P4631&lt;&gt;"Inner Centre Jamb"
      )
    ),
    IF(OR(Enginuity!$A$1="Frameless Glass",Enginuity!$A$1="Metal Work"),
      AND(TRIM(B4631)=TRIM(Enginuity!$A$17),TRIM(C4631)=TRIM(Enginuity!$A$18)),
      TRIM(B4631)=TRIM(Enginuity!$A$17)
    )
  ),
  ROW(),
  ""
)</f>
        <v/>
      </c>
    </row>
    <row r="4632" spans="21:21" x14ac:dyDescent="0.25">
      <c r="U4632" s="104" t="str">
        <f>IF(
  AND(
    TRIM(A4632)=TRIM(Enginuity!$A$1),
    TRIM(B4632)=TRIM(Enginuity!$A$17),
    Q4632&lt;&gt;"",
    Q4632&lt;&gt;0,
    OR(
      TRIM(C4632)=TRIM(Enginuity!$A$18),
      AND(UPPER(TRIM(M4632))="STD", TRIM(B4632)=TRIM(Enginuity!$A$17))
    ),
    OR(
      AND(LEFT(P4632,5)="1-Way", Enginuity!$B$13=1),
      AND(LEFT(P4632,5)="2-Way", OR(Enginuity!$B$13=2, Enginuity!$B$13=4)),
      AND(LEFT(P4632,5)="3-Way", OR(Enginuity!$B$13=3, Enginuity!$B$13=6)),
      AND(P4632="Inner Centre Jamb", OR(Enginuity!$B$13=4, Enginuity!$B$13=6)),
      AND(
        LEFT(P4632,5)&lt;&gt;"1-Way",
        LEFT(P4632,5)&lt;&gt;"2-Way",
        LEFT(P4632,5)&lt;&gt;"3-Way",
        P4632&lt;&gt;"Inner Centre Jamb"
      )
    ),
    IF(OR(Enginuity!$A$1="Frameless Glass",Enginuity!$A$1="Metal Work"),
      AND(TRIM(B4632)=TRIM(Enginuity!$A$17),TRIM(C4632)=TRIM(Enginuity!$A$18)),
      TRIM(B4632)=TRIM(Enginuity!$A$17)
    )
  ),
  ROW(),
  ""
)</f>
        <v/>
      </c>
    </row>
    <row r="4633" spans="21:21" x14ac:dyDescent="0.25">
      <c r="U4633" s="104" t="str">
        <f>IF(
  AND(
    TRIM(A4633)=TRIM(Enginuity!$A$1),
    TRIM(B4633)=TRIM(Enginuity!$A$17),
    Q4633&lt;&gt;"",
    Q4633&lt;&gt;0,
    OR(
      TRIM(C4633)=TRIM(Enginuity!$A$18),
      AND(UPPER(TRIM(M4633))="STD", TRIM(B4633)=TRIM(Enginuity!$A$17))
    ),
    OR(
      AND(LEFT(P4633,5)="1-Way", Enginuity!$B$13=1),
      AND(LEFT(P4633,5)="2-Way", OR(Enginuity!$B$13=2, Enginuity!$B$13=4)),
      AND(LEFT(P4633,5)="3-Way", OR(Enginuity!$B$13=3, Enginuity!$B$13=6)),
      AND(P4633="Inner Centre Jamb", OR(Enginuity!$B$13=4, Enginuity!$B$13=6)),
      AND(
        LEFT(P4633,5)&lt;&gt;"1-Way",
        LEFT(P4633,5)&lt;&gt;"2-Way",
        LEFT(P4633,5)&lt;&gt;"3-Way",
        P4633&lt;&gt;"Inner Centre Jamb"
      )
    ),
    IF(OR(Enginuity!$A$1="Frameless Glass",Enginuity!$A$1="Metal Work"),
      AND(TRIM(B4633)=TRIM(Enginuity!$A$17),TRIM(C4633)=TRIM(Enginuity!$A$18)),
      TRIM(B4633)=TRIM(Enginuity!$A$17)
    )
  ),
  ROW(),
  ""
)</f>
        <v/>
      </c>
    </row>
    <row r="4634" spans="21:21" x14ac:dyDescent="0.25">
      <c r="U4634" s="104" t="str">
        <f>IF(
  AND(
    TRIM(A4634)=TRIM(Enginuity!$A$1),
    TRIM(B4634)=TRIM(Enginuity!$A$17),
    Q4634&lt;&gt;"",
    Q4634&lt;&gt;0,
    OR(
      TRIM(C4634)=TRIM(Enginuity!$A$18),
      AND(UPPER(TRIM(M4634))="STD", TRIM(B4634)=TRIM(Enginuity!$A$17))
    ),
    OR(
      AND(LEFT(P4634,5)="1-Way", Enginuity!$B$13=1),
      AND(LEFT(P4634,5)="2-Way", OR(Enginuity!$B$13=2, Enginuity!$B$13=4)),
      AND(LEFT(P4634,5)="3-Way", OR(Enginuity!$B$13=3, Enginuity!$B$13=6)),
      AND(P4634="Inner Centre Jamb", OR(Enginuity!$B$13=4, Enginuity!$B$13=6)),
      AND(
        LEFT(P4634,5)&lt;&gt;"1-Way",
        LEFT(P4634,5)&lt;&gt;"2-Way",
        LEFT(P4634,5)&lt;&gt;"3-Way",
        P4634&lt;&gt;"Inner Centre Jamb"
      )
    ),
    IF(OR(Enginuity!$A$1="Frameless Glass",Enginuity!$A$1="Metal Work"),
      AND(TRIM(B4634)=TRIM(Enginuity!$A$17),TRIM(C4634)=TRIM(Enginuity!$A$18)),
      TRIM(B4634)=TRIM(Enginuity!$A$17)
    )
  ),
  ROW(),
  ""
)</f>
        <v/>
      </c>
    </row>
    <row r="4635" spans="21:21" x14ac:dyDescent="0.25">
      <c r="U4635" s="104" t="str">
        <f>IF(
  AND(
    TRIM(A4635)=TRIM(Enginuity!$A$1),
    TRIM(B4635)=TRIM(Enginuity!$A$17),
    Q4635&lt;&gt;"",
    Q4635&lt;&gt;0,
    OR(
      TRIM(C4635)=TRIM(Enginuity!$A$18),
      AND(UPPER(TRIM(M4635))="STD", TRIM(B4635)=TRIM(Enginuity!$A$17))
    ),
    OR(
      AND(LEFT(P4635,5)="1-Way", Enginuity!$B$13=1),
      AND(LEFT(P4635,5)="2-Way", OR(Enginuity!$B$13=2, Enginuity!$B$13=4)),
      AND(LEFT(P4635,5)="3-Way", OR(Enginuity!$B$13=3, Enginuity!$B$13=6)),
      AND(P4635="Inner Centre Jamb", OR(Enginuity!$B$13=4, Enginuity!$B$13=6)),
      AND(
        LEFT(P4635,5)&lt;&gt;"1-Way",
        LEFT(P4635,5)&lt;&gt;"2-Way",
        LEFT(P4635,5)&lt;&gt;"3-Way",
        P4635&lt;&gt;"Inner Centre Jamb"
      )
    ),
    IF(OR(Enginuity!$A$1="Frameless Glass",Enginuity!$A$1="Metal Work"),
      AND(TRIM(B4635)=TRIM(Enginuity!$A$17),TRIM(C4635)=TRIM(Enginuity!$A$18)),
      TRIM(B4635)=TRIM(Enginuity!$A$17)
    )
  ),
  ROW(),
  ""
)</f>
        <v/>
      </c>
    </row>
    <row r="4636" spans="21:21" x14ac:dyDescent="0.25">
      <c r="U4636" s="104" t="str">
        <f>IF(
  AND(
    TRIM(A4636)=TRIM(Enginuity!$A$1),
    TRIM(B4636)=TRIM(Enginuity!$A$17),
    Q4636&lt;&gt;"",
    Q4636&lt;&gt;0,
    OR(
      TRIM(C4636)=TRIM(Enginuity!$A$18),
      AND(UPPER(TRIM(M4636))="STD", TRIM(B4636)=TRIM(Enginuity!$A$17))
    ),
    OR(
      AND(LEFT(P4636,5)="1-Way", Enginuity!$B$13=1),
      AND(LEFT(P4636,5)="2-Way", OR(Enginuity!$B$13=2, Enginuity!$B$13=4)),
      AND(LEFT(P4636,5)="3-Way", OR(Enginuity!$B$13=3, Enginuity!$B$13=6)),
      AND(P4636="Inner Centre Jamb", OR(Enginuity!$B$13=4, Enginuity!$B$13=6)),
      AND(
        LEFT(P4636,5)&lt;&gt;"1-Way",
        LEFT(P4636,5)&lt;&gt;"2-Way",
        LEFT(P4636,5)&lt;&gt;"3-Way",
        P4636&lt;&gt;"Inner Centre Jamb"
      )
    ),
    IF(OR(Enginuity!$A$1="Frameless Glass",Enginuity!$A$1="Metal Work"),
      AND(TRIM(B4636)=TRIM(Enginuity!$A$17),TRIM(C4636)=TRIM(Enginuity!$A$18)),
      TRIM(B4636)=TRIM(Enginuity!$A$17)
    )
  ),
  ROW(),
  ""
)</f>
        <v/>
      </c>
    </row>
    <row r="4637" spans="21:21" x14ac:dyDescent="0.25">
      <c r="U4637" s="104" t="str">
        <f>IF(
  AND(
    TRIM(A4637)=TRIM(Enginuity!$A$1),
    TRIM(B4637)=TRIM(Enginuity!$A$17),
    Q4637&lt;&gt;"",
    Q4637&lt;&gt;0,
    OR(
      TRIM(C4637)=TRIM(Enginuity!$A$18),
      AND(UPPER(TRIM(M4637))="STD", TRIM(B4637)=TRIM(Enginuity!$A$17))
    ),
    OR(
      AND(LEFT(P4637,5)="1-Way", Enginuity!$B$13=1),
      AND(LEFT(P4637,5)="2-Way", OR(Enginuity!$B$13=2, Enginuity!$B$13=4)),
      AND(LEFT(P4637,5)="3-Way", OR(Enginuity!$B$13=3, Enginuity!$B$13=6)),
      AND(P4637="Inner Centre Jamb", OR(Enginuity!$B$13=4, Enginuity!$B$13=6)),
      AND(
        LEFT(P4637,5)&lt;&gt;"1-Way",
        LEFT(P4637,5)&lt;&gt;"2-Way",
        LEFT(P4637,5)&lt;&gt;"3-Way",
        P4637&lt;&gt;"Inner Centre Jamb"
      )
    ),
    IF(OR(Enginuity!$A$1="Frameless Glass",Enginuity!$A$1="Metal Work"),
      AND(TRIM(B4637)=TRIM(Enginuity!$A$17),TRIM(C4637)=TRIM(Enginuity!$A$18)),
      TRIM(B4637)=TRIM(Enginuity!$A$17)
    )
  ),
  ROW(),
  ""
)</f>
        <v/>
      </c>
    </row>
    <row r="4638" spans="21:21" x14ac:dyDescent="0.25">
      <c r="U4638" s="104" t="str">
        <f>IF(
  AND(
    TRIM(A4638)=TRIM(Enginuity!$A$1),
    TRIM(B4638)=TRIM(Enginuity!$A$17),
    Q4638&lt;&gt;"",
    Q4638&lt;&gt;0,
    OR(
      TRIM(C4638)=TRIM(Enginuity!$A$18),
      AND(UPPER(TRIM(M4638))="STD", TRIM(B4638)=TRIM(Enginuity!$A$17))
    ),
    OR(
      AND(LEFT(P4638,5)="1-Way", Enginuity!$B$13=1),
      AND(LEFT(P4638,5)="2-Way", OR(Enginuity!$B$13=2, Enginuity!$B$13=4)),
      AND(LEFT(P4638,5)="3-Way", OR(Enginuity!$B$13=3, Enginuity!$B$13=6)),
      AND(P4638="Inner Centre Jamb", OR(Enginuity!$B$13=4, Enginuity!$B$13=6)),
      AND(
        LEFT(P4638,5)&lt;&gt;"1-Way",
        LEFT(P4638,5)&lt;&gt;"2-Way",
        LEFT(P4638,5)&lt;&gt;"3-Way",
        P4638&lt;&gt;"Inner Centre Jamb"
      )
    ),
    IF(OR(Enginuity!$A$1="Frameless Glass",Enginuity!$A$1="Metal Work"),
      AND(TRIM(B4638)=TRIM(Enginuity!$A$17),TRIM(C4638)=TRIM(Enginuity!$A$18)),
      TRIM(B4638)=TRIM(Enginuity!$A$17)
    )
  ),
  ROW(),
  ""
)</f>
        <v/>
      </c>
    </row>
    <row r="4639" spans="21:21" x14ac:dyDescent="0.25">
      <c r="U4639" s="104" t="str">
        <f>IF(
  AND(
    TRIM(A4639)=TRIM(Enginuity!$A$1),
    TRIM(B4639)=TRIM(Enginuity!$A$17),
    Q4639&lt;&gt;"",
    Q4639&lt;&gt;0,
    OR(
      TRIM(C4639)=TRIM(Enginuity!$A$18),
      AND(UPPER(TRIM(M4639))="STD", TRIM(B4639)=TRIM(Enginuity!$A$17))
    ),
    OR(
      AND(LEFT(P4639,5)="1-Way", Enginuity!$B$13=1),
      AND(LEFT(P4639,5)="2-Way", OR(Enginuity!$B$13=2, Enginuity!$B$13=4)),
      AND(LEFT(P4639,5)="3-Way", OR(Enginuity!$B$13=3, Enginuity!$B$13=6)),
      AND(P4639="Inner Centre Jamb", OR(Enginuity!$B$13=4, Enginuity!$B$13=6)),
      AND(
        LEFT(P4639,5)&lt;&gt;"1-Way",
        LEFT(P4639,5)&lt;&gt;"2-Way",
        LEFT(P4639,5)&lt;&gt;"3-Way",
        P4639&lt;&gt;"Inner Centre Jamb"
      )
    ),
    IF(OR(Enginuity!$A$1="Frameless Glass",Enginuity!$A$1="Metal Work"),
      AND(TRIM(B4639)=TRIM(Enginuity!$A$17),TRIM(C4639)=TRIM(Enginuity!$A$18)),
      TRIM(B4639)=TRIM(Enginuity!$A$17)
    )
  ),
  ROW(),
  ""
)</f>
        <v/>
      </c>
    </row>
    <row r="4640" spans="21:21" x14ac:dyDescent="0.25">
      <c r="U4640" s="104" t="str">
        <f>IF(
  AND(
    TRIM(A4640)=TRIM(Enginuity!$A$1),
    TRIM(B4640)=TRIM(Enginuity!$A$17),
    Q4640&lt;&gt;"",
    Q4640&lt;&gt;0,
    OR(
      TRIM(C4640)=TRIM(Enginuity!$A$18),
      AND(UPPER(TRIM(M4640))="STD", TRIM(B4640)=TRIM(Enginuity!$A$17))
    ),
    OR(
      AND(LEFT(P4640,5)="1-Way", Enginuity!$B$13=1),
      AND(LEFT(P4640,5)="2-Way", OR(Enginuity!$B$13=2, Enginuity!$B$13=4)),
      AND(LEFT(P4640,5)="3-Way", OR(Enginuity!$B$13=3, Enginuity!$B$13=6)),
      AND(P4640="Inner Centre Jamb", OR(Enginuity!$B$13=4, Enginuity!$B$13=6)),
      AND(
        LEFT(P4640,5)&lt;&gt;"1-Way",
        LEFT(P4640,5)&lt;&gt;"2-Way",
        LEFT(P4640,5)&lt;&gt;"3-Way",
        P4640&lt;&gt;"Inner Centre Jamb"
      )
    ),
    IF(OR(Enginuity!$A$1="Frameless Glass",Enginuity!$A$1="Metal Work"),
      AND(TRIM(B4640)=TRIM(Enginuity!$A$17),TRIM(C4640)=TRIM(Enginuity!$A$18)),
      TRIM(B4640)=TRIM(Enginuity!$A$17)
    )
  ),
  ROW(),
  ""
)</f>
        <v/>
      </c>
    </row>
    <row r="4641" spans="21:21" x14ac:dyDescent="0.25">
      <c r="U4641" s="104" t="str">
        <f>IF(
  AND(
    TRIM(A4641)=TRIM(Enginuity!$A$1),
    TRIM(B4641)=TRIM(Enginuity!$A$17),
    Q4641&lt;&gt;"",
    Q4641&lt;&gt;0,
    OR(
      TRIM(C4641)=TRIM(Enginuity!$A$18),
      AND(UPPER(TRIM(M4641))="STD", TRIM(B4641)=TRIM(Enginuity!$A$17))
    ),
    OR(
      AND(LEFT(P4641,5)="1-Way", Enginuity!$B$13=1),
      AND(LEFT(P4641,5)="2-Way", OR(Enginuity!$B$13=2, Enginuity!$B$13=4)),
      AND(LEFT(P4641,5)="3-Way", OR(Enginuity!$B$13=3, Enginuity!$B$13=6)),
      AND(P4641="Inner Centre Jamb", OR(Enginuity!$B$13=4, Enginuity!$B$13=6)),
      AND(
        LEFT(P4641,5)&lt;&gt;"1-Way",
        LEFT(P4641,5)&lt;&gt;"2-Way",
        LEFT(P4641,5)&lt;&gt;"3-Way",
        P4641&lt;&gt;"Inner Centre Jamb"
      )
    ),
    IF(OR(Enginuity!$A$1="Frameless Glass",Enginuity!$A$1="Metal Work"),
      AND(TRIM(B4641)=TRIM(Enginuity!$A$17),TRIM(C4641)=TRIM(Enginuity!$A$18)),
      TRIM(B4641)=TRIM(Enginuity!$A$17)
    )
  ),
  ROW(),
  ""
)</f>
        <v/>
      </c>
    </row>
    <row r="4642" spans="21:21" x14ac:dyDescent="0.25">
      <c r="U4642" s="104" t="str">
        <f>IF(
  AND(
    TRIM(A4642)=TRIM(Enginuity!$A$1),
    TRIM(B4642)=TRIM(Enginuity!$A$17),
    Q4642&lt;&gt;"",
    Q4642&lt;&gt;0,
    OR(
      TRIM(C4642)=TRIM(Enginuity!$A$18),
      AND(UPPER(TRIM(M4642))="STD", TRIM(B4642)=TRIM(Enginuity!$A$17))
    ),
    OR(
      AND(LEFT(P4642,5)="1-Way", Enginuity!$B$13=1),
      AND(LEFT(P4642,5)="2-Way", OR(Enginuity!$B$13=2, Enginuity!$B$13=4)),
      AND(LEFT(P4642,5)="3-Way", OR(Enginuity!$B$13=3, Enginuity!$B$13=6)),
      AND(P4642="Inner Centre Jamb", OR(Enginuity!$B$13=4, Enginuity!$B$13=6)),
      AND(
        LEFT(P4642,5)&lt;&gt;"1-Way",
        LEFT(P4642,5)&lt;&gt;"2-Way",
        LEFT(P4642,5)&lt;&gt;"3-Way",
        P4642&lt;&gt;"Inner Centre Jamb"
      )
    ),
    IF(OR(Enginuity!$A$1="Frameless Glass",Enginuity!$A$1="Metal Work"),
      AND(TRIM(B4642)=TRIM(Enginuity!$A$17),TRIM(C4642)=TRIM(Enginuity!$A$18)),
      TRIM(B4642)=TRIM(Enginuity!$A$17)
    )
  ),
  ROW(),
  ""
)</f>
        <v/>
      </c>
    </row>
    <row r="4643" spans="21:21" x14ac:dyDescent="0.25">
      <c r="U4643" s="104" t="str">
        <f>IF(
  AND(
    TRIM(A4643)=TRIM(Enginuity!$A$1),
    TRIM(B4643)=TRIM(Enginuity!$A$17),
    Q4643&lt;&gt;"",
    Q4643&lt;&gt;0,
    OR(
      TRIM(C4643)=TRIM(Enginuity!$A$18),
      AND(UPPER(TRIM(M4643))="STD", TRIM(B4643)=TRIM(Enginuity!$A$17))
    ),
    OR(
      AND(LEFT(P4643,5)="1-Way", Enginuity!$B$13=1),
      AND(LEFT(P4643,5)="2-Way", OR(Enginuity!$B$13=2, Enginuity!$B$13=4)),
      AND(LEFT(P4643,5)="3-Way", OR(Enginuity!$B$13=3, Enginuity!$B$13=6)),
      AND(P4643="Inner Centre Jamb", OR(Enginuity!$B$13=4, Enginuity!$B$13=6)),
      AND(
        LEFT(P4643,5)&lt;&gt;"1-Way",
        LEFT(P4643,5)&lt;&gt;"2-Way",
        LEFT(P4643,5)&lt;&gt;"3-Way",
        P4643&lt;&gt;"Inner Centre Jamb"
      )
    ),
    IF(OR(Enginuity!$A$1="Frameless Glass",Enginuity!$A$1="Metal Work"),
      AND(TRIM(B4643)=TRIM(Enginuity!$A$17),TRIM(C4643)=TRIM(Enginuity!$A$18)),
      TRIM(B4643)=TRIM(Enginuity!$A$17)
    )
  ),
  ROW(),
  ""
)</f>
        <v/>
      </c>
    </row>
    <row r="4644" spans="21:21" x14ac:dyDescent="0.25">
      <c r="U4644" s="104" t="str">
        <f>IF(
  AND(
    TRIM(A4644)=TRIM(Enginuity!$A$1),
    TRIM(B4644)=TRIM(Enginuity!$A$17),
    Q4644&lt;&gt;"",
    Q4644&lt;&gt;0,
    OR(
      TRIM(C4644)=TRIM(Enginuity!$A$18),
      AND(UPPER(TRIM(M4644))="STD", TRIM(B4644)=TRIM(Enginuity!$A$17))
    ),
    OR(
      AND(LEFT(P4644,5)="1-Way", Enginuity!$B$13=1),
      AND(LEFT(P4644,5)="2-Way", OR(Enginuity!$B$13=2, Enginuity!$B$13=4)),
      AND(LEFT(P4644,5)="3-Way", OR(Enginuity!$B$13=3, Enginuity!$B$13=6)),
      AND(P4644="Inner Centre Jamb", OR(Enginuity!$B$13=4, Enginuity!$B$13=6)),
      AND(
        LEFT(P4644,5)&lt;&gt;"1-Way",
        LEFT(P4644,5)&lt;&gt;"2-Way",
        LEFT(P4644,5)&lt;&gt;"3-Way",
        P4644&lt;&gt;"Inner Centre Jamb"
      )
    ),
    IF(OR(Enginuity!$A$1="Frameless Glass",Enginuity!$A$1="Metal Work"),
      AND(TRIM(B4644)=TRIM(Enginuity!$A$17),TRIM(C4644)=TRIM(Enginuity!$A$18)),
      TRIM(B4644)=TRIM(Enginuity!$A$17)
    )
  ),
  ROW(),
  ""
)</f>
        <v/>
      </c>
    </row>
    <row r="4645" spans="21:21" x14ac:dyDescent="0.25">
      <c r="U4645" s="104" t="str">
        <f>IF(
  AND(
    TRIM(A4645)=TRIM(Enginuity!$A$1),
    TRIM(B4645)=TRIM(Enginuity!$A$17),
    Q4645&lt;&gt;"",
    Q4645&lt;&gt;0,
    OR(
      TRIM(C4645)=TRIM(Enginuity!$A$18),
      AND(UPPER(TRIM(M4645))="STD", TRIM(B4645)=TRIM(Enginuity!$A$17))
    ),
    OR(
      AND(LEFT(P4645,5)="1-Way", Enginuity!$B$13=1),
      AND(LEFT(P4645,5)="2-Way", OR(Enginuity!$B$13=2, Enginuity!$B$13=4)),
      AND(LEFT(P4645,5)="3-Way", OR(Enginuity!$B$13=3, Enginuity!$B$13=6)),
      AND(P4645="Inner Centre Jamb", OR(Enginuity!$B$13=4, Enginuity!$B$13=6)),
      AND(
        LEFT(P4645,5)&lt;&gt;"1-Way",
        LEFT(P4645,5)&lt;&gt;"2-Way",
        LEFT(P4645,5)&lt;&gt;"3-Way",
        P4645&lt;&gt;"Inner Centre Jamb"
      )
    ),
    IF(OR(Enginuity!$A$1="Frameless Glass",Enginuity!$A$1="Metal Work"),
      AND(TRIM(B4645)=TRIM(Enginuity!$A$17),TRIM(C4645)=TRIM(Enginuity!$A$18)),
      TRIM(B4645)=TRIM(Enginuity!$A$17)
    )
  ),
  ROW(),
  ""
)</f>
        <v/>
      </c>
    </row>
    <row r="4646" spans="21:21" x14ac:dyDescent="0.25">
      <c r="U4646" s="104" t="str">
        <f>IF(
  AND(
    TRIM(A4646)=TRIM(Enginuity!$A$1),
    TRIM(B4646)=TRIM(Enginuity!$A$17),
    Q4646&lt;&gt;"",
    Q4646&lt;&gt;0,
    OR(
      TRIM(C4646)=TRIM(Enginuity!$A$18),
      AND(UPPER(TRIM(M4646))="STD", TRIM(B4646)=TRIM(Enginuity!$A$17))
    ),
    OR(
      AND(LEFT(P4646,5)="1-Way", Enginuity!$B$13=1),
      AND(LEFT(P4646,5)="2-Way", OR(Enginuity!$B$13=2, Enginuity!$B$13=4)),
      AND(LEFT(P4646,5)="3-Way", OR(Enginuity!$B$13=3, Enginuity!$B$13=6)),
      AND(P4646="Inner Centre Jamb", OR(Enginuity!$B$13=4, Enginuity!$B$13=6)),
      AND(
        LEFT(P4646,5)&lt;&gt;"1-Way",
        LEFT(P4646,5)&lt;&gt;"2-Way",
        LEFT(P4646,5)&lt;&gt;"3-Way",
        P4646&lt;&gt;"Inner Centre Jamb"
      )
    ),
    IF(OR(Enginuity!$A$1="Frameless Glass",Enginuity!$A$1="Metal Work"),
      AND(TRIM(B4646)=TRIM(Enginuity!$A$17),TRIM(C4646)=TRIM(Enginuity!$A$18)),
      TRIM(B4646)=TRIM(Enginuity!$A$17)
    )
  ),
  ROW(),
  ""
)</f>
        <v/>
      </c>
    </row>
    <row r="4647" spans="21:21" x14ac:dyDescent="0.25">
      <c r="U4647" s="104" t="str">
        <f>IF(
  AND(
    TRIM(A4647)=TRIM(Enginuity!$A$1),
    TRIM(B4647)=TRIM(Enginuity!$A$17),
    Q4647&lt;&gt;"",
    Q4647&lt;&gt;0,
    OR(
      TRIM(C4647)=TRIM(Enginuity!$A$18),
      AND(UPPER(TRIM(M4647))="STD", TRIM(B4647)=TRIM(Enginuity!$A$17))
    ),
    OR(
      AND(LEFT(P4647,5)="1-Way", Enginuity!$B$13=1),
      AND(LEFT(P4647,5)="2-Way", OR(Enginuity!$B$13=2, Enginuity!$B$13=4)),
      AND(LEFT(P4647,5)="3-Way", OR(Enginuity!$B$13=3, Enginuity!$B$13=6)),
      AND(P4647="Inner Centre Jamb", OR(Enginuity!$B$13=4, Enginuity!$B$13=6)),
      AND(
        LEFT(P4647,5)&lt;&gt;"1-Way",
        LEFT(P4647,5)&lt;&gt;"2-Way",
        LEFT(P4647,5)&lt;&gt;"3-Way",
        P4647&lt;&gt;"Inner Centre Jamb"
      )
    ),
    IF(OR(Enginuity!$A$1="Frameless Glass",Enginuity!$A$1="Metal Work"),
      AND(TRIM(B4647)=TRIM(Enginuity!$A$17),TRIM(C4647)=TRIM(Enginuity!$A$18)),
      TRIM(B4647)=TRIM(Enginuity!$A$17)
    )
  ),
  ROW(),
  ""
)</f>
        <v/>
      </c>
    </row>
    <row r="4648" spans="21:21" x14ac:dyDescent="0.25">
      <c r="U4648" s="104" t="str">
        <f>IF(
  AND(
    TRIM(A4648)=TRIM(Enginuity!$A$1),
    TRIM(B4648)=TRIM(Enginuity!$A$17),
    Q4648&lt;&gt;"",
    Q4648&lt;&gt;0,
    OR(
      TRIM(C4648)=TRIM(Enginuity!$A$18),
      AND(UPPER(TRIM(M4648))="STD", TRIM(B4648)=TRIM(Enginuity!$A$17))
    ),
    OR(
      AND(LEFT(P4648,5)="1-Way", Enginuity!$B$13=1),
      AND(LEFT(P4648,5)="2-Way", OR(Enginuity!$B$13=2, Enginuity!$B$13=4)),
      AND(LEFT(P4648,5)="3-Way", OR(Enginuity!$B$13=3, Enginuity!$B$13=6)),
      AND(P4648="Inner Centre Jamb", OR(Enginuity!$B$13=4, Enginuity!$B$13=6)),
      AND(
        LEFT(P4648,5)&lt;&gt;"1-Way",
        LEFT(P4648,5)&lt;&gt;"2-Way",
        LEFT(P4648,5)&lt;&gt;"3-Way",
        P4648&lt;&gt;"Inner Centre Jamb"
      )
    ),
    IF(OR(Enginuity!$A$1="Frameless Glass",Enginuity!$A$1="Metal Work"),
      AND(TRIM(B4648)=TRIM(Enginuity!$A$17),TRIM(C4648)=TRIM(Enginuity!$A$18)),
      TRIM(B4648)=TRIM(Enginuity!$A$17)
    )
  ),
  ROW(),
  ""
)</f>
        <v/>
      </c>
    </row>
    <row r="4649" spans="21:21" x14ac:dyDescent="0.25">
      <c r="U4649" s="104" t="str">
        <f>IF(
  AND(
    TRIM(A4649)=TRIM(Enginuity!$A$1),
    TRIM(B4649)=TRIM(Enginuity!$A$17),
    Q4649&lt;&gt;"",
    Q4649&lt;&gt;0,
    OR(
      TRIM(C4649)=TRIM(Enginuity!$A$18),
      AND(UPPER(TRIM(M4649))="STD", TRIM(B4649)=TRIM(Enginuity!$A$17))
    ),
    OR(
      AND(LEFT(P4649,5)="1-Way", Enginuity!$B$13=1),
      AND(LEFT(P4649,5)="2-Way", OR(Enginuity!$B$13=2, Enginuity!$B$13=4)),
      AND(LEFT(P4649,5)="3-Way", OR(Enginuity!$B$13=3, Enginuity!$B$13=6)),
      AND(P4649="Inner Centre Jamb", OR(Enginuity!$B$13=4, Enginuity!$B$13=6)),
      AND(
        LEFT(P4649,5)&lt;&gt;"1-Way",
        LEFT(P4649,5)&lt;&gt;"2-Way",
        LEFT(P4649,5)&lt;&gt;"3-Way",
        P4649&lt;&gt;"Inner Centre Jamb"
      )
    ),
    IF(OR(Enginuity!$A$1="Frameless Glass",Enginuity!$A$1="Metal Work"),
      AND(TRIM(B4649)=TRIM(Enginuity!$A$17),TRIM(C4649)=TRIM(Enginuity!$A$18)),
      TRIM(B4649)=TRIM(Enginuity!$A$17)
    )
  ),
  ROW(),
  ""
)</f>
        <v/>
      </c>
    </row>
    <row r="4650" spans="21:21" x14ac:dyDescent="0.25">
      <c r="U4650" s="104" t="str">
        <f>IF(
  AND(
    TRIM(A4650)=TRIM(Enginuity!$A$1),
    TRIM(B4650)=TRIM(Enginuity!$A$17),
    Q4650&lt;&gt;"",
    Q4650&lt;&gt;0,
    OR(
      TRIM(C4650)=TRIM(Enginuity!$A$18),
      AND(UPPER(TRIM(M4650))="STD", TRIM(B4650)=TRIM(Enginuity!$A$17))
    ),
    OR(
      AND(LEFT(P4650,5)="1-Way", Enginuity!$B$13=1),
      AND(LEFT(P4650,5)="2-Way", OR(Enginuity!$B$13=2, Enginuity!$B$13=4)),
      AND(LEFT(P4650,5)="3-Way", OR(Enginuity!$B$13=3, Enginuity!$B$13=6)),
      AND(P4650="Inner Centre Jamb", OR(Enginuity!$B$13=4, Enginuity!$B$13=6)),
      AND(
        LEFT(P4650,5)&lt;&gt;"1-Way",
        LEFT(P4650,5)&lt;&gt;"2-Way",
        LEFT(P4650,5)&lt;&gt;"3-Way",
        P4650&lt;&gt;"Inner Centre Jamb"
      )
    ),
    IF(OR(Enginuity!$A$1="Frameless Glass",Enginuity!$A$1="Metal Work"),
      AND(TRIM(B4650)=TRIM(Enginuity!$A$17),TRIM(C4650)=TRIM(Enginuity!$A$18)),
      TRIM(B4650)=TRIM(Enginuity!$A$17)
    )
  ),
  ROW(),
  ""
)</f>
        <v/>
      </c>
    </row>
    <row r="4651" spans="21:21" x14ac:dyDescent="0.25">
      <c r="U4651" s="104" t="str">
        <f>IF(
  AND(
    TRIM(A4651)=TRIM(Enginuity!$A$1),
    TRIM(B4651)=TRIM(Enginuity!$A$17),
    Q4651&lt;&gt;"",
    Q4651&lt;&gt;0,
    OR(
      TRIM(C4651)=TRIM(Enginuity!$A$18),
      AND(UPPER(TRIM(M4651))="STD", TRIM(B4651)=TRIM(Enginuity!$A$17))
    ),
    OR(
      AND(LEFT(P4651,5)="1-Way", Enginuity!$B$13=1),
      AND(LEFT(P4651,5)="2-Way", OR(Enginuity!$B$13=2, Enginuity!$B$13=4)),
      AND(LEFT(P4651,5)="3-Way", OR(Enginuity!$B$13=3, Enginuity!$B$13=6)),
      AND(P4651="Inner Centre Jamb", OR(Enginuity!$B$13=4, Enginuity!$B$13=6)),
      AND(
        LEFT(P4651,5)&lt;&gt;"1-Way",
        LEFT(P4651,5)&lt;&gt;"2-Way",
        LEFT(P4651,5)&lt;&gt;"3-Way",
        P4651&lt;&gt;"Inner Centre Jamb"
      )
    ),
    IF(OR(Enginuity!$A$1="Frameless Glass",Enginuity!$A$1="Metal Work"),
      AND(TRIM(B4651)=TRIM(Enginuity!$A$17),TRIM(C4651)=TRIM(Enginuity!$A$18)),
      TRIM(B4651)=TRIM(Enginuity!$A$17)
    )
  ),
  ROW(),
  ""
)</f>
        <v/>
      </c>
    </row>
    <row r="4652" spans="21:21" x14ac:dyDescent="0.25">
      <c r="U4652" s="104" t="str">
        <f>IF(
  AND(
    TRIM(A4652)=TRIM(Enginuity!$A$1),
    TRIM(B4652)=TRIM(Enginuity!$A$17),
    Q4652&lt;&gt;"",
    Q4652&lt;&gt;0,
    OR(
      TRIM(C4652)=TRIM(Enginuity!$A$18),
      AND(UPPER(TRIM(M4652))="STD", TRIM(B4652)=TRIM(Enginuity!$A$17))
    ),
    OR(
      AND(LEFT(P4652,5)="1-Way", Enginuity!$B$13=1),
      AND(LEFT(P4652,5)="2-Way", OR(Enginuity!$B$13=2, Enginuity!$B$13=4)),
      AND(LEFT(P4652,5)="3-Way", OR(Enginuity!$B$13=3, Enginuity!$B$13=6)),
      AND(P4652="Inner Centre Jamb", OR(Enginuity!$B$13=4, Enginuity!$B$13=6)),
      AND(
        LEFT(P4652,5)&lt;&gt;"1-Way",
        LEFT(P4652,5)&lt;&gt;"2-Way",
        LEFT(P4652,5)&lt;&gt;"3-Way",
        P4652&lt;&gt;"Inner Centre Jamb"
      )
    ),
    IF(OR(Enginuity!$A$1="Frameless Glass",Enginuity!$A$1="Metal Work"),
      AND(TRIM(B4652)=TRIM(Enginuity!$A$17),TRIM(C4652)=TRIM(Enginuity!$A$18)),
      TRIM(B4652)=TRIM(Enginuity!$A$17)
    )
  ),
  ROW(),
  ""
)</f>
        <v/>
      </c>
    </row>
    <row r="4653" spans="21:21" x14ac:dyDescent="0.25">
      <c r="U4653" s="104" t="str">
        <f>IF(
  AND(
    TRIM(A4653)=TRIM(Enginuity!$A$1),
    TRIM(B4653)=TRIM(Enginuity!$A$17),
    Q4653&lt;&gt;"",
    Q4653&lt;&gt;0,
    OR(
      TRIM(C4653)=TRIM(Enginuity!$A$18),
      AND(UPPER(TRIM(M4653))="STD", TRIM(B4653)=TRIM(Enginuity!$A$17))
    ),
    OR(
      AND(LEFT(P4653,5)="1-Way", Enginuity!$B$13=1),
      AND(LEFT(P4653,5)="2-Way", OR(Enginuity!$B$13=2, Enginuity!$B$13=4)),
      AND(LEFT(P4653,5)="3-Way", OR(Enginuity!$B$13=3, Enginuity!$B$13=6)),
      AND(P4653="Inner Centre Jamb", OR(Enginuity!$B$13=4, Enginuity!$B$13=6)),
      AND(
        LEFT(P4653,5)&lt;&gt;"1-Way",
        LEFT(P4653,5)&lt;&gt;"2-Way",
        LEFT(P4653,5)&lt;&gt;"3-Way",
        P4653&lt;&gt;"Inner Centre Jamb"
      )
    ),
    IF(OR(Enginuity!$A$1="Frameless Glass",Enginuity!$A$1="Metal Work"),
      AND(TRIM(B4653)=TRIM(Enginuity!$A$17),TRIM(C4653)=TRIM(Enginuity!$A$18)),
      TRIM(B4653)=TRIM(Enginuity!$A$17)
    )
  ),
  ROW(),
  ""
)</f>
        <v/>
      </c>
    </row>
    <row r="4654" spans="21:21" x14ac:dyDescent="0.25">
      <c r="U4654" s="104" t="str">
        <f>IF(
  AND(
    TRIM(A4654)=TRIM(Enginuity!$A$1),
    TRIM(B4654)=TRIM(Enginuity!$A$17),
    Q4654&lt;&gt;"",
    Q4654&lt;&gt;0,
    OR(
      TRIM(C4654)=TRIM(Enginuity!$A$18),
      AND(UPPER(TRIM(M4654))="STD", TRIM(B4654)=TRIM(Enginuity!$A$17))
    ),
    OR(
      AND(LEFT(P4654,5)="1-Way", Enginuity!$B$13=1),
      AND(LEFT(P4654,5)="2-Way", OR(Enginuity!$B$13=2, Enginuity!$B$13=4)),
      AND(LEFT(P4654,5)="3-Way", OR(Enginuity!$B$13=3, Enginuity!$B$13=6)),
      AND(P4654="Inner Centre Jamb", OR(Enginuity!$B$13=4, Enginuity!$B$13=6)),
      AND(
        LEFT(P4654,5)&lt;&gt;"1-Way",
        LEFT(P4654,5)&lt;&gt;"2-Way",
        LEFT(P4654,5)&lt;&gt;"3-Way",
        P4654&lt;&gt;"Inner Centre Jamb"
      )
    ),
    IF(OR(Enginuity!$A$1="Frameless Glass",Enginuity!$A$1="Metal Work"),
      AND(TRIM(B4654)=TRIM(Enginuity!$A$17),TRIM(C4654)=TRIM(Enginuity!$A$18)),
      TRIM(B4654)=TRIM(Enginuity!$A$17)
    )
  ),
  ROW(),
  ""
)</f>
        <v/>
      </c>
    </row>
    <row r="4655" spans="21:21" x14ac:dyDescent="0.25">
      <c r="U4655" s="104" t="str">
        <f>IF(
  AND(
    TRIM(A4655)=TRIM(Enginuity!$A$1),
    TRIM(B4655)=TRIM(Enginuity!$A$17),
    Q4655&lt;&gt;"",
    Q4655&lt;&gt;0,
    OR(
      TRIM(C4655)=TRIM(Enginuity!$A$18),
      AND(UPPER(TRIM(M4655))="STD", TRIM(B4655)=TRIM(Enginuity!$A$17))
    ),
    OR(
      AND(LEFT(P4655,5)="1-Way", Enginuity!$B$13=1),
      AND(LEFT(P4655,5)="2-Way", OR(Enginuity!$B$13=2, Enginuity!$B$13=4)),
      AND(LEFT(P4655,5)="3-Way", OR(Enginuity!$B$13=3, Enginuity!$B$13=6)),
      AND(P4655="Inner Centre Jamb", OR(Enginuity!$B$13=4, Enginuity!$B$13=6)),
      AND(
        LEFT(P4655,5)&lt;&gt;"1-Way",
        LEFT(P4655,5)&lt;&gt;"2-Way",
        LEFT(P4655,5)&lt;&gt;"3-Way",
        P4655&lt;&gt;"Inner Centre Jamb"
      )
    ),
    IF(OR(Enginuity!$A$1="Frameless Glass",Enginuity!$A$1="Metal Work"),
      AND(TRIM(B4655)=TRIM(Enginuity!$A$17),TRIM(C4655)=TRIM(Enginuity!$A$18)),
      TRIM(B4655)=TRIM(Enginuity!$A$17)
    )
  ),
  ROW(),
  ""
)</f>
        <v/>
      </c>
    </row>
    <row r="4656" spans="21:21" x14ac:dyDescent="0.25">
      <c r="U4656" s="104" t="str">
        <f>IF(
  AND(
    TRIM(A4656)=TRIM(Enginuity!$A$1),
    TRIM(B4656)=TRIM(Enginuity!$A$17),
    Q4656&lt;&gt;"",
    Q4656&lt;&gt;0,
    OR(
      TRIM(C4656)=TRIM(Enginuity!$A$18),
      AND(UPPER(TRIM(M4656))="STD", TRIM(B4656)=TRIM(Enginuity!$A$17))
    ),
    OR(
      AND(LEFT(P4656,5)="1-Way", Enginuity!$B$13=1),
      AND(LEFT(P4656,5)="2-Way", OR(Enginuity!$B$13=2, Enginuity!$B$13=4)),
      AND(LEFT(P4656,5)="3-Way", OR(Enginuity!$B$13=3, Enginuity!$B$13=6)),
      AND(P4656="Inner Centre Jamb", OR(Enginuity!$B$13=4, Enginuity!$B$13=6)),
      AND(
        LEFT(P4656,5)&lt;&gt;"1-Way",
        LEFT(P4656,5)&lt;&gt;"2-Way",
        LEFT(P4656,5)&lt;&gt;"3-Way",
        P4656&lt;&gt;"Inner Centre Jamb"
      )
    ),
    IF(OR(Enginuity!$A$1="Frameless Glass",Enginuity!$A$1="Metal Work"),
      AND(TRIM(B4656)=TRIM(Enginuity!$A$17),TRIM(C4656)=TRIM(Enginuity!$A$18)),
      TRIM(B4656)=TRIM(Enginuity!$A$17)
    )
  ),
  ROW(),
  ""
)</f>
        <v/>
      </c>
    </row>
    <row r="4657" spans="21:21" x14ac:dyDescent="0.25">
      <c r="U4657" s="104" t="str">
        <f>IF(
  AND(
    TRIM(A4657)=TRIM(Enginuity!$A$1),
    TRIM(B4657)=TRIM(Enginuity!$A$17),
    Q4657&lt;&gt;"",
    Q4657&lt;&gt;0,
    OR(
      TRIM(C4657)=TRIM(Enginuity!$A$18),
      AND(UPPER(TRIM(M4657))="STD", TRIM(B4657)=TRIM(Enginuity!$A$17))
    ),
    OR(
      AND(LEFT(P4657,5)="1-Way", Enginuity!$B$13=1),
      AND(LEFT(P4657,5)="2-Way", OR(Enginuity!$B$13=2, Enginuity!$B$13=4)),
      AND(LEFT(P4657,5)="3-Way", OR(Enginuity!$B$13=3, Enginuity!$B$13=6)),
      AND(P4657="Inner Centre Jamb", OR(Enginuity!$B$13=4, Enginuity!$B$13=6)),
      AND(
        LEFT(P4657,5)&lt;&gt;"1-Way",
        LEFT(P4657,5)&lt;&gt;"2-Way",
        LEFT(P4657,5)&lt;&gt;"3-Way",
        P4657&lt;&gt;"Inner Centre Jamb"
      )
    ),
    IF(OR(Enginuity!$A$1="Frameless Glass",Enginuity!$A$1="Metal Work"),
      AND(TRIM(B4657)=TRIM(Enginuity!$A$17),TRIM(C4657)=TRIM(Enginuity!$A$18)),
      TRIM(B4657)=TRIM(Enginuity!$A$17)
    )
  ),
  ROW(),
  ""
)</f>
        <v/>
      </c>
    </row>
    <row r="4658" spans="21:21" x14ac:dyDescent="0.25">
      <c r="U4658" s="104" t="str">
        <f>IF(
  AND(
    TRIM(A4658)=TRIM(Enginuity!$A$1),
    TRIM(B4658)=TRIM(Enginuity!$A$17),
    Q4658&lt;&gt;"",
    Q4658&lt;&gt;0,
    OR(
      TRIM(C4658)=TRIM(Enginuity!$A$18),
      AND(UPPER(TRIM(M4658))="STD", TRIM(B4658)=TRIM(Enginuity!$A$17))
    ),
    OR(
      AND(LEFT(P4658,5)="1-Way", Enginuity!$B$13=1),
      AND(LEFT(P4658,5)="2-Way", OR(Enginuity!$B$13=2, Enginuity!$B$13=4)),
      AND(LEFT(P4658,5)="3-Way", OR(Enginuity!$B$13=3, Enginuity!$B$13=6)),
      AND(P4658="Inner Centre Jamb", OR(Enginuity!$B$13=4, Enginuity!$B$13=6)),
      AND(
        LEFT(P4658,5)&lt;&gt;"1-Way",
        LEFT(P4658,5)&lt;&gt;"2-Way",
        LEFT(P4658,5)&lt;&gt;"3-Way",
        P4658&lt;&gt;"Inner Centre Jamb"
      )
    ),
    IF(OR(Enginuity!$A$1="Frameless Glass",Enginuity!$A$1="Metal Work"),
      AND(TRIM(B4658)=TRIM(Enginuity!$A$17),TRIM(C4658)=TRIM(Enginuity!$A$18)),
      TRIM(B4658)=TRIM(Enginuity!$A$17)
    )
  ),
  ROW(),
  ""
)</f>
        <v/>
      </c>
    </row>
    <row r="4659" spans="21:21" x14ac:dyDescent="0.25">
      <c r="U4659" s="104" t="str">
        <f>IF(
  AND(
    TRIM(A4659)=TRIM(Enginuity!$A$1),
    TRIM(B4659)=TRIM(Enginuity!$A$17),
    Q4659&lt;&gt;"",
    Q4659&lt;&gt;0,
    OR(
      TRIM(C4659)=TRIM(Enginuity!$A$18),
      AND(UPPER(TRIM(M4659))="STD", TRIM(B4659)=TRIM(Enginuity!$A$17))
    ),
    OR(
      AND(LEFT(P4659,5)="1-Way", Enginuity!$B$13=1),
      AND(LEFT(P4659,5)="2-Way", OR(Enginuity!$B$13=2, Enginuity!$B$13=4)),
      AND(LEFT(P4659,5)="3-Way", OR(Enginuity!$B$13=3, Enginuity!$B$13=6)),
      AND(P4659="Inner Centre Jamb", OR(Enginuity!$B$13=4, Enginuity!$B$13=6)),
      AND(
        LEFT(P4659,5)&lt;&gt;"1-Way",
        LEFT(P4659,5)&lt;&gt;"2-Way",
        LEFT(P4659,5)&lt;&gt;"3-Way",
        P4659&lt;&gt;"Inner Centre Jamb"
      )
    ),
    IF(OR(Enginuity!$A$1="Frameless Glass",Enginuity!$A$1="Metal Work"),
      AND(TRIM(B4659)=TRIM(Enginuity!$A$17),TRIM(C4659)=TRIM(Enginuity!$A$18)),
      TRIM(B4659)=TRIM(Enginuity!$A$17)
    )
  ),
  ROW(),
  ""
)</f>
        <v/>
      </c>
    </row>
    <row r="4660" spans="21:21" x14ac:dyDescent="0.25">
      <c r="U4660" s="104" t="str">
        <f>IF(
  AND(
    TRIM(A4660)=TRIM(Enginuity!$A$1),
    TRIM(B4660)=TRIM(Enginuity!$A$17),
    Q4660&lt;&gt;"",
    Q4660&lt;&gt;0,
    OR(
      TRIM(C4660)=TRIM(Enginuity!$A$18),
      AND(UPPER(TRIM(M4660))="STD", TRIM(B4660)=TRIM(Enginuity!$A$17))
    ),
    OR(
      AND(LEFT(P4660,5)="1-Way", Enginuity!$B$13=1),
      AND(LEFT(P4660,5)="2-Way", OR(Enginuity!$B$13=2, Enginuity!$B$13=4)),
      AND(LEFT(P4660,5)="3-Way", OR(Enginuity!$B$13=3, Enginuity!$B$13=6)),
      AND(P4660="Inner Centre Jamb", OR(Enginuity!$B$13=4, Enginuity!$B$13=6)),
      AND(
        LEFT(P4660,5)&lt;&gt;"1-Way",
        LEFT(P4660,5)&lt;&gt;"2-Way",
        LEFT(P4660,5)&lt;&gt;"3-Way",
        P4660&lt;&gt;"Inner Centre Jamb"
      )
    ),
    IF(OR(Enginuity!$A$1="Frameless Glass",Enginuity!$A$1="Metal Work"),
      AND(TRIM(B4660)=TRIM(Enginuity!$A$17),TRIM(C4660)=TRIM(Enginuity!$A$18)),
      TRIM(B4660)=TRIM(Enginuity!$A$17)
    )
  ),
  ROW(),
  ""
)</f>
        <v/>
      </c>
    </row>
    <row r="4661" spans="21:21" x14ac:dyDescent="0.25">
      <c r="U4661" s="104" t="str">
        <f>IF(
  AND(
    TRIM(A4661)=TRIM(Enginuity!$A$1),
    TRIM(B4661)=TRIM(Enginuity!$A$17),
    Q4661&lt;&gt;"",
    Q4661&lt;&gt;0,
    OR(
      TRIM(C4661)=TRIM(Enginuity!$A$18),
      AND(UPPER(TRIM(M4661))="STD", TRIM(B4661)=TRIM(Enginuity!$A$17))
    ),
    OR(
      AND(LEFT(P4661,5)="1-Way", Enginuity!$B$13=1),
      AND(LEFT(P4661,5)="2-Way", OR(Enginuity!$B$13=2, Enginuity!$B$13=4)),
      AND(LEFT(P4661,5)="3-Way", OR(Enginuity!$B$13=3, Enginuity!$B$13=6)),
      AND(P4661="Inner Centre Jamb", OR(Enginuity!$B$13=4, Enginuity!$B$13=6)),
      AND(
        LEFT(P4661,5)&lt;&gt;"1-Way",
        LEFT(P4661,5)&lt;&gt;"2-Way",
        LEFT(P4661,5)&lt;&gt;"3-Way",
        P4661&lt;&gt;"Inner Centre Jamb"
      )
    ),
    IF(OR(Enginuity!$A$1="Frameless Glass",Enginuity!$A$1="Metal Work"),
      AND(TRIM(B4661)=TRIM(Enginuity!$A$17),TRIM(C4661)=TRIM(Enginuity!$A$18)),
      TRIM(B4661)=TRIM(Enginuity!$A$17)
    )
  ),
  ROW(),
  ""
)</f>
        <v/>
      </c>
    </row>
    <row r="4662" spans="21:21" x14ac:dyDescent="0.25">
      <c r="U4662" s="104" t="str">
        <f>IF(
  AND(
    TRIM(A4662)=TRIM(Enginuity!$A$1),
    TRIM(B4662)=TRIM(Enginuity!$A$17),
    Q4662&lt;&gt;"",
    Q4662&lt;&gt;0,
    OR(
      TRIM(C4662)=TRIM(Enginuity!$A$18),
      AND(UPPER(TRIM(M4662))="STD", TRIM(B4662)=TRIM(Enginuity!$A$17))
    ),
    OR(
      AND(LEFT(P4662,5)="1-Way", Enginuity!$B$13=1),
      AND(LEFT(P4662,5)="2-Way", OR(Enginuity!$B$13=2, Enginuity!$B$13=4)),
      AND(LEFT(P4662,5)="3-Way", OR(Enginuity!$B$13=3, Enginuity!$B$13=6)),
      AND(P4662="Inner Centre Jamb", OR(Enginuity!$B$13=4, Enginuity!$B$13=6)),
      AND(
        LEFT(P4662,5)&lt;&gt;"1-Way",
        LEFT(P4662,5)&lt;&gt;"2-Way",
        LEFT(P4662,5)&lt;&gt;"3-Way",
        P4662&lt;&gt;"Inner Centre Jamb"
      )
    ),
    IF(OR(Enginuity!$A$1="Frameless Glass",Enginuity!$A$1="Metal Work"),
      AND(TRIM(B4662)=TRIM(Enginuity!$A$17),TRIM(C4662)=TRIM(Enginuity!$A$18)),
      TRIM(B4662)=TRIM(Enginuity!$A$17)
    )
  ),
  ROW(),
  ""
)</f>
        <v/>
      </c>
    </row>
    <row r="4663" spans="21:21" x14ac:dyDescent="0.25">
      <c r="U4663" s="104" t="str">
        <f>IF(
  AND(
    TRIM(A4663)=TRIM(Enginuity!$A$1),
    TRIM(B4663)=TRIM(Enginuity!$A$17),
    Q4663&lt;&gt;"",
    Q4663&lt;&gt;0,
    OR(
      TRIM(C4663)=TRIM(Enginuity!$A$18),
      AND(UPPER(TRIM(M4663))="STD", TRIM(B4663)=TRIM(Enginuity!$A$17))
    ),
    OR(
      AND(LEFT(P4663,5)="1-Way", Enginuity!$B$13=1),
      AND(LEFT(P4663,5)="2-Way", OR(Enginuity!$B$13=2, Enginuity!$B$13=4)),
      AND(LEFT(P4663,5)="3-Way", OR(Enginuity!$B$13=3, Enginuity!$B$13=6)),
      AND(P4663="Inner Centre Jamb", OR(Enginuity!$B$13=4, Enginuity!$B$13=6)),
      AND(
        LEFT(P4663,5)&lt;&gt;"1-Way",
        LEFT(P4663,5)&lt;&gt;"2-Way",
        LEFT(P4663,5)&lt;&gt;"3-Way",
        P4663&lt;&gt;"Inner Centre Jamb"
      )
    ),
    IF(OR(Enginuity!$A$1="Frameless Glass",Enginuity!$A$1="Metal Work"),
      AND(TRIM(B4663)=TRIM(Enginuity!$A$17),TRIM(C4663)=TRIM(Enginuity!$A$18)),
      TRIM(B4663)=TRIM(Enginuity!$A$17)
    )
  ),
  ROW(),
  ""
)</f>
        <v/>
      </c>
    </row>
    <row r="4664" spans="21:21" x14ac:dyDescent="0.25">
      <c r="U4664" s="104" t="str">
        <f>IF(
  AND(
    TRIM(A4664)=TRIM(Enginuity!$A$1),
    TRIM(B4664)=TRIM(Enginuity!$A$17),
    Q4664&lt;&gt;"",
    Q4664&lt;&gt;0,
    OR(
      TRIM(C4664)=TRIM(Enginuity!$A$18),
      AND(UPPER(TRIM(M4664))="STD", TRIM(B4664)=TRIM(Enginuity!$A$17))
    ),
    OR(
      AND(LEFT(P4664,5)="1-Way", Enginuity!$B$13=1),
      AND(LEFT(P4664,5)="2-Way", OR(Enginuity!$B$13=2, Enginuity!$B$13=4)),
      AND(LEFT(P4664,5)="3-Way", OR(Enginuity!$B$13=3, Enginuity!$B$13=6)),
      AND(P4664="Inner Centre Jamb", OR(Enginuity!$B$13=4, Enginuity!$B$13=6)),
      AND(
        LEFT(P4664,5)&lt;&gt;"1-Way",
        LEFT(P4664,5)&lt;&gt;"2-Way",
        LEFT(P4664,5)&lt;&gt;"3-Way",
        P4664&lt;&gt;"Inner Centre Jamb"
      )
    ),
    IF(OR(Enginuity!$A$1="Frameless Glass",Enginuity!$A$1="Metal Work"),
      AND(TRIM(B4664)=TRIM(Enginuity!$A$17),TRIM(C4664)=TRIM(Enginuity!$A$18)),
      TRIM(B4664)=TRIM(Enginuity!$A$17)
    )
  ),
  ROW(),
  ""
)</f>
        <v/>
      </c>
    </row>
    <row r="4665" spans="21:21" x14ac:dyDescent="0.25">
      <c r="U4665" s="104" t="str">
        <f>IF(
  AND(
    TRIM(A4665)=TRIM(Enginuity!$A$1),
    TRIM(B4665)=TRIM(Enginuity!$A$17),
    Q4665&lt;&gt;"",
    Q4665&lt;&gt;0,
    OR(
      TRIM(C4665)=TRIM(Enginuity!$A$18),
      AND(UPPER(TRIM(M4665))="STD", TRIM(B4665)=TRIM(Enginuity!$A$17))
    ),
    OR(
      AND(LEFT(P4665,5)="1-Way", Enginuity!$B$13=1),
      AND(LEFT(P4665,5)="2-Way", OR(Enginuity!$B$13=2, Enginuity!$B$13=4)),
      AND(LEFT(P4665,5)="3-Way", OR(Enginuity!$B$13=3, Enginuity!$B$13=6)),
      AND(P4665="Inner Centre Jamb", OR(Enginuity!$B$13=4, Enginuity!$B$13=6)),
      AND(
        LEFT(P4665,5)&lt;&gt;"1-Way",
        LEFT(P4665,5)&lt;&gt;"2-Way",
        LEFT(P4665,5)&lt;&gt;"3-Way",
        P4665&lt;&gt;"Inner Centre Jamb"
      )
    ),
    IF(OR(Enginuity!$A$1="Frameless Glass",Enginuity!$A$1="Metal Work"),
      AND(TRIM(B4665)=TRIM(Enginuity!$A$17),TRIM(C4665)=TRIM(Enginuity!$A$18)),
      TRIM(B4665)=TRIM(Enginuity!$A$17)
    )
  ),
  ROW(),
  ""
)</f>
        <v/>
      </c>
    </row>
    <row r="4666" spans="21:21" x14ac:dyDescent="0.25">
      <c r="U4666" s="104" t="str">
        <f>IF(
  AND(
    TRIM(A4666)=TRIM(Enginuity!$A$1),
    TRIM(B4666)=TRIM(Enginuity!$A$17),
    Q4666&lt;&gt;"",
    Q4666&lt;&gt;0,
    OR(
      TRIM(C4666)=TRIM(Enginuity!$A$18),
      AND(UPPER(TRIM(M4666))="STD", TRIM(B4666)=TRIM(Enginuity!$A$17))
    ),
    OR(
      AND(LEFT(P4666,5)="1-Way", Enginuity!$B$13=1),
      AND(LEFT(P4666,5)="2-Way", OR(Enginuity!$B$13=2, Enginuity!$B$13=4)),
      AND(LEFT(P4666,5)="3-Way", OR(Enginuity!$B$13=3, Enginuity!$B$13=6)),
      AND(P4666="Inner Centre Jamb", OR(Enginuity!$B$13=4, Enginuity!$B$13=6)),
      AND(
        LEFT(P4666,5)&lt;&gt;"1-Way",
        LEFT(P4666,5)&lt;&gt;"2-Way",
        LEFT(P4666,5)&lt;&gt;"3-Way",
        P4666&lt;&gt;"Inner Centre Jamb"
      )
    ),
    IF(OR(Enginuity!$A$1="Frameless Glass",Enginuity!$A$1="Metal Work"),
      AND(TRIM(B4666)=TRIM(Enginuity!$A$17),TRIM(C4666)=TRIM(Enginuity!$A$18)),
      TRIM(B4666)=TRIM(Enginuity!$A$17)
    )
  ),
  ROW(),
  ""
)</f>
        <v/>
      </c>
    </row>
    <row r="4667" spans="21:21" x14ac:dyDescent="0.25">
      <c r="U4667" s="104" t="str">
        <f>IF(
  AND(
    TRIM(A4667)=TRIM(Enginuity!$A$1),
    TRIM(B4667)=TRIM(Enginuity!$A$17),
    Q4667&lt;&gt;"",
    Q4667&lt;&gt;0,
    OR(
      TRIM(C4667)=TRIM(Enginuity!$A$18),
      AND(UPPER(TRIM(M4667))="STD", TRIM(B4667)=TRIM(Enginuity!$A$17))
    ),
    OR(
      AND(LEFT(P4667,5)="1-Way", Enginuity!$B$13=1),
      AND(LEFT(P4667,5)="2-Way", OR(Enginuity!$B$13=2, Enginuity!$B$13=4)),
      AND(LEFT(P4667,5)="3-Way", OR(Enginuity!$B$13=3, Enginuity!$B$13=6)),
      AND(P4667="Inner Centre Jamb", OR(Enginuity!$B$13=4, Enginuity!$B$13=6)),
      AND(
        LEFT(P4667,5)&lt;&gt;"1-Way",
        LEFT(P4667,5)&lt;&gt;"2-Way",
        LEFT(P4667,5)&lt;&gt;"3-Way",
        P4667&lt;&gt;"Inner Centre Jamb"
      )
    ),
    IF(OR(Enginuity!$A$1="Frameless Glass",Enginuity!$A$1="Metal Work"),
      AND(TRIM(B4667)=TRIM(Enginuity!$A$17),TRIM(C4667)=TRIM(Enginuity!$A$18)),
      TRIM(B4667)=TRIM(Enginuity!$A$17)
    )
  ),
  ROW(),
  ""
)</f>
        <v/>
      </c>
    </row>
    <row r="4668" spans="21:21" x14ac:dyDescent="0.25">
      <c r="U4668" s="104" t="str">
        <f>IF(
  AND(
    TRIM(A4668)=TRIM(Enginuity!$A$1),
    TRIM(B4668)=TRIM(Enginuity!$A$17),
    Q4668&lt;&gt;"",
    Q4668&lt;&gt;0,
    OR(
      TRIM(C4668)=TRIM(Enginuity!$A$18),
      AND(UPPER(TRIM(M4668))="STD", TRIM(B4668)=TRIM(Enginuity!$A$17))
    ),
    OR(
      AND(LEFT(P4668,5)="1-Way", Enginuity!$B$13=1),
      AND(LEFT(P4668,5)="2-Way", OR(Enginuity!$B$13=2, Enginuity!$B$13=4)),
      AND(LEFT(P4668,5)="3-Way", OR(Enginuity!$B$13=3, Enginuity!$B$13=6)),
      AND(P4668="Inner Centre Jamb", OR(Enginuity!$B$13=4, Enginuity!$B$13=6)),
      AND(
        LEFT(P4668,5)&lt;&gt;"1-Way",
        LEFT(P4668,5)&lt;&gt;"2-Way",
        LEFT(P4668,5)&lt;&gt;"3-Way",
        P4668&lt;&gt;"Inner Centre Jamb"
      )
    ),
    IF(OR(Enginuity!$A$1="Frameless Glass",Enginuity!$A$1="Metal Work"),
      AND(TRIM(B4668)=TRIM(Enginuity!$A$17),TRIM(C4668)=TRIM(Enginuity!$A$18)),
      TRIM(B4668)=TRIM(Enginuity!$A$17)
    )
  ),
  ROW(),
  ""
)</f>
        <v/>
      </c>
    </row>
    <row r="4669" spans="21:21" x14ac:dyDescent="0.25">
      <c r="U4669" s="104" t="str">
        <f>IF(
  AND(
    TRIM(A4669)=TRIM(Enginuity!$A$1),
    TRIM(B4669)=TRIM(Enginuity!$A$17),
    Q4669&lt;&gt;"",
    Q4669&lt;&gt;0,
    OR(
      TRIM(C4669)=TRIM(Enginuity!$A$18),
      AND(UPPER(TRIM(M4669))="STD", TRIM(B4669)=TRIM(Enginuity!$A$17))
    ),
    OR(
      AND(LEFT(P4669,5)="1-Way", Enginuity!$B$13=1),
      AND(LEFT(P4669,5)="2-Way", OR(Enginuity!$B$13=2, Enginuity!$B$13=4)),
      AND(LEFT(P4669,5)="3-Way", OR(Enginuity!$B$13=3, Enginuity!$B$13=6)),
      AND(P4669="Inner Centre Jamb", OR(Enginuity!$B$13=4, Enginuity!$B$13=6)),
      AND(
        LEFT(P4669,5)&lt;&gt;"1-Way",
        LEFT(P4669,5)&lt;&gt;"2-Way",
        LEFT(P4669,5)&lt;&gt;"3-Way",
        P4669&lt;&gt;"Inner Centre Jamb"
      )
    ),
    IF(OR(Enginuity!$A$1="Frameless Glass",Enginuity!$A$1="Metal Work"),
      AND(TRIM(B4669)=TRIM(Enginuity!$A$17),TRIM(C4669)=TRIM(Enginuity!$A$18)),
      TRIM(B4669)=TRIM(Enginuity!$A$17)
    )
  ),
  ROW(),
  ""
)</f>
        <v/>
      </c>
    </row>
    <row r="4670" spans="21:21" x14ac:dyDescent="0.25">
      <c r="U4670" s="104" t="str">
        <f>IF(
  AND(
    TRIM(A4670)=TRIM(Enginuity!$A$1),
    TRIM(B4670)=TRIM(Enginuity!$A$17),
    Q4670&lt;&gt;"",
    Q4670&lt;&gt;0,
    OR(
      TRIM(C4670)=TRIM(Enginuity!$A$18),
      AND(UPPER(TRIM(M4670))="STD", TRIM(B4670)=TRIM(Enginuity!$A$17))
    ),
    OR(
      AND(LEFT(P4670,5)="1-Way", Enginuity!$B$13=1),
      AND(LEFT(P4670,5)="2-Way", OR(Enginuity!$B$13=2, Enginuity!$B$13=4)),
      AND(LEFT(P4670,5)="3-Way", OR(Enginuity!$B$13=3, Enginuity!$B$13=6)),
      AND(P4670="Inner Centre Jamb", OR(Enginuity!$B$13=4, Enginuity!$B$13=6)),
      AND(
        LEFT(P4670,5)&lt;&gt;"1-Way",
        LEFT(P4670,5)&lt;&gt;"2-Way",
        LEFT(P4670,5)&lt;&gt;"3-Way",
        P4670&lt;&gt;"Inner Centre Jamb"
      )
    ),
    IF(OR(Enginuity!$A$1="Frameless Glass",Enginuity!$A$1="Metal Work"),
      AND(TRIM(B4670)=TRIM(Enginuity!$A$17),TRIM(C4670)=TRIM(Enginuity!$A$18)),
      TRIM(B4670)=TRIM(Enginuity!$A$17)
    )
  ),
  ROW(),
  ""
)</f>
        <v/>
      </c>
    </row>
    <row r="4671" spans="21:21" x14ac:dyDescent="0.25">
      <c r="U4671" s="104" t="str">
        <f>IF(
  AND(
    TRIM(A4671)=TRIM(Enginuity!$A$1),
    TRIM(B4671)=TRIM(Enginuity!$A$17),
    Q4671&lt;&gt;"",
    Q4671&lt;&gt;0,
    OR(
      TRIM(C4671)=TRIM(Enginuity!$A$18),
      AND(UPPER(TRIM(M4671))="STD", TRIM(B4671)=TRIM(Enginuity!$A$17))
    ),
    OR(
      AND(LEFT(P4671,5)="1-Way", Enginuity!$B$13=1),
      AND(LEFT(P4671,5)="2-Way", OR(Enginuity!$B$13=2, Enginuity!$B$13=4)),
      AND(LEFT(P4671,5)="3-Way", OR(Enginuity!$B$13=3, Enginuity!$B$13=6)),
      AND(P4671="Inner Centre Jamb", OR(Enginuity!$B$13=4, Enginuity!$B$13=6)),
      AND(
        LEFT(P4671,5)&lt;&gt;"1-Way",
        LEFT(P4671,5)&lt;&gt;"2-Way",
        LEFT(P4671,5)&lt;&gt;"3-Way",
        P4671&lt;&gt;"Inner Centre Jamb"
      )
    ),
    IF(OR(Enginuity!$A$1="Frameless Glass",Enginuity!$A$1="Metal Work"),
      AND(TRIM(B4671)=TRIM(Enginuity!$A$17),TRIM(C4671)=TRIM(Enginuity!$A$18)),
      TRIM(B4671)=TRIM(Enginuity!$A$17)
    )
  ),
  ROW(),
  ""
)</f>
        <v/>
      </c>
    </row>
    <row r="4672" spans="21:21" x14ac:dyDescent="0.25">
      <c r="U4672" s="104" t="str">
        <f>IF(
  AND(
    TRIM(A4672)=TRIM(Enginuity!$A$1),
    TRIM(B4672)=TRIM(Enginuity!$A$17),
    Q4672&lt;&gt;"",
    Q4672&lt;&gt;0,
    OR(
      TRIM(C4672)=TRIM(Enginuity!$A$18),
      AND(UPPER(TRIM(M4672))="STD", TRIM(B4672)=TRIM(Enginuity!$A$17))
    ),
    OR(
      AND(LEFT(P4672,5)="1-Way", Enginuity!$B$13=1),
      AND(LEFT(P4672,5)="2-Way", OR(Enginuity!$B$13=2, Enginuity!$B$13=4)),
      AND(LEFT(P4672,5)="3-Way", OR(Enginuity!$B$13=3, Enginuity!$B$13=6)),
      AND(P4672="Inner Centre Jamb", OR(Enginuity!$B$13=4, Enginuity!$B$13=6)),
      AND(
        LEFT(P4672,5)&lt;&gt;"1-Way",
        LEFT(P4672,5)&lt;&gt;"2-Way",
        LEFT(P4672,5)&lt;&gt;"3-Way",
        P4672&lt;&gt;"Inner Centre Jamb"
      )
    ),
    IF(OR(Enginuity!$A$1="Frameless Glass",Enginuity!$A$1="Metal Work"),
      AND(TRIM(B4672)=TRIM(Enginuity!$A$17),TRIM(C4672)=TRIM(Enginuity!$A$18)),
      TRIM(B4672)=TRIM(Enginuity!$A$17)
    )
  ),
  ROW(),
  ""
)</f>
        <v/>
      </c>
    </row>
    <row r="4673" spans="21:21" x14ac:dyDescent="0.25">
      <c r="U4673" s="104" t="str">
        <f>IF(
  AND(
    TRIM(A4673)=TRIM(Enginuity!$A$1),
    TRIM(B4673)=TRIM(Enginuity!$A$17),
    Q4673&lt;&gt;"",
    Q4673&lt;&gt;0,
    OR(
      TRIM(C4673)=TRIM(Enginuity!$A$18),
      AND(UPPER(TRIM(M4673))="STD", TRIM(B4673)=TRIM(Enginuity!$A$17))
    ),
    OR(
      AND(LEFT(P4673,5)="1-Way", Enginuity!$B$13=1),
      AND(LEFT(P4673,5)="2-Way", OR(Enginuity!$B$13=2, Enginuity!$B$13=4)),
      AND(LEFT(P4673,5)="3-Way", OR(Enginuity!$B$13=3, Enginuity!$B$13=6)),
      AND(P4673="Inner Centre Jamb", OR(Enginuity!$B$13=4, Enginuity!$B$13=6)),
      AND(
        LEFT(P4673,5)&lt;&gt;"1-Way",
        LEFT(P4673,5)&lt;&gt;"2-Way",
        LEFT(P4673,5)&lt;&gt;"3-Way",
        P4673&lt;&gt;"Inner Centre Jamb"
      )
    ),
    IF(OR(Enginuity!$A$1="Frameless Glass",Enginuity!$A$1="Metal Work"),
      AND(TRIM(B4673)=TRIM(Enginuity!$A$17),TRIM(C4673)=TRIM(Enginuity!$A$18)),
      TRIM(B4673)=TRIM(Enginuity!$A$17)
    )
  ),
  ROW(),
  ""
)</f>
        <v/>
      </c>
    </row>
    <row r="4674" spans="21:21" x14ac:dyDescent="0.25">
      <c r="U4674" s="104" t="str">
        <f>IF(
  AND(
    TRIM(A4674)=TRIM(Enginuity!$A$1),
    TRIM(B4674)=TRIM(Enginuity!$A$17),
    Q4674&lt;&gt;"",
    Q4674&lt;&gt;0,
    OR(
      TRIM(C4674)=TRIM(Enginuity!$A$18),
      AND(UPPER(TRIM(M4674))="STD", TRIM(B4674)=TRIM(Enginuity!$A$17))
    ),
    OR(
      AND(LEFT(P4674,5)="1-Way", Enginuity!$B$13=1),
      AND(LEFT(P4674,5)="2-Way", OR(Enginuity!$B$13=2, Enginuity!$B$13=4)),
      AND(LEFT(P4674,5)="3-Way", OR(Enginuity!$B$13=3, Enginuity!$B$13=6)),
      AND(P4674="Inner Centre Jamb", OR(Enginuity!$B$13=4, Enginuity!$B$13=6)),
      AND(
        LEFT(P4674,5)&lt;&gt;"1-Way",
        LEFT(P4674,5)&lt;&gt;"2-Way",
        LEFT(P4674,5)&lt;&gt;"3-Way",
        P4674&lt;&gt;"Inner Centre Jamb"
      )
    ),
    IF(OR(Enginuity!$A$1="Frameless Glass",Enginuity!$A$1="Metal Work"),
      AND(TRIM(B4674)=TRIM(Enginuity!$A$17),TRIM(C4674)=TRIM(Enginuity!$A$18)),
      TRIM(B4674)=TRIM(Enginuity!$A$17)
    )
  ),
  ROW(),
  ""
)</f>
        <v/>
      </c>
    </row>
    <row r="4675" spans="21:21" x14ac:dyDescent="0.25">
      <c r="U4675" s="104" t="str">
        <f>IF(
  AND(
    TRIM(A4675)=TRIM(Enginuity!$A$1),
    TRIM(B4675)=TRIM(Enginuity!$A$17),
    Q4675&lt;&gt;"",
    Q4675&lt;&gt;0,
    OR(
      TRIM(C4675)=TRIM(Enginuity!$A$18),
      AND(UPPER(TRIM(M4675))="STD", TRIM(B4675)=TRIM(Enginuity!$A$17))
    ),
    OR(
      AND(LEFT(P4675,5)="1-Way", Enginuity!$B$13=1),
      AND(LEFT(P4675,5)="2-Way", OR(Enginuity!$B$13=2, Enginuity!$B$13=4)),
      AND(LEFT(P4675,5)="3-Way", OR(Enginuity!$B$13=3, Enginuity!$B$13=6)),
      AND(P4675="Inner Centre Jamb", OR(Enginuity!$B$13=4, Enginuity!$B$13=6)),
      AND(
        LEFT(P4675,5)&lt;&gt;"1-Way",
        LEFT(P4675,5)&lt;&gt;"2-Way",
        LEFT(P4675,5)&lt;&gt;"3-Way",
        P4675&lt;&gt;"Inner Centre Jamb"
      )
    ),
    IF(OR(Enginuity!$A$1="Frameless Glass",Enginuity!$A$1="Metal Work"),
      AND(TRIM(B4675)=TRIM(Enginuity!$A$17),TRIM(C4675)=TRIM(Enginuity!$A$18)),
      TRIM(B4675)=TRIM(Enginuity!$A$17)
    )
  ),
  ROW(),
  ""
)</f>
        <v/>
      </c>
    </row>
    <row r="4676" spans="21:21" x14ac:dyDescent="0.25">
      <c r="U4676" s="104" t="str">
        <f>IF(
  AND(
    TRIM(A4676)=TRIM(Enginuity!$A$1),
    TRIM(B4676)=TRIM(Enginuity!$A$17),
    Q4676&lt;&gt;"",
    Q4676&lt;&gt;0,
    OR(
      TRIM(C4676)=TRIM(Enginuity!$A$18),
      AND(UPPER(TRIM(M4676))="STD", TRIM(B4676)=TRIM(Enginuity!$A$17))
    ),
    OR(
      AND(LEFT(P4676,5)="1-Way", Enginuity!$B$13=1),
      AND(LEFT(P4676,5)="2-Way", OR(Enginuity!$B$13=2, Enginuity!$B$13=4)),
      AND(LEFT(P4676,5)="3-Way", OR(Enginuity!$B$13=3, Enginuity!$B$13=6)),
      AND(P4676="Inner Centre Jamb", OR(Enginuity!$B$13=4, Enginuity!$B$13=6)),
      AND(
        LEFT(P4676,5)&lt;&gt;"1-Way",
        LEFT(P4676,5)&lt;&gt;"2-Way",
        LEFT(P4676,5)&lt;&gt;"3-Way",
        P4676&lt;&gt;"Inner Centre Jamb"
      )
    ),
    IF(OR(Enginuity!$A$1="Frameless Glass",Enginuity!$A$1="Metal Work"),
      AND(TRIM(B4676)=TRIM(Enginuity!$A$17),TRIM(C4676)=TRIM(Enginuity!$A$18)),
      TRIM(B4676)=TRIM(Enginuity!$A$17)
    )
  ),
  ROW(),
  ""
)</f>
        <v/>
      </c>
    </row>
    <row r="4677" spans="21:21" x14ac:dyDescent="0.25">
      <c r="U4677" s="104" t="str">
        <f>IF(
  AND(
    TRIM(A4677)=TRIM(Enginuity!$A$1),
    TRIM(B4677)=TRIM(Enginuity!$A$17),
    Q4677&lt;&gt;"",
    Q4677&lt;&gt;0,
    OR(
      TRIM(C4677)=TRIM(Enginuity!$A$18),
      AND(UPPER(TRIM(M4677))="STD", TRIM(B4677)=TRIM(Enginuity!$A$17))
    ),
    OR(
      AND(LEFT(P4677,5)="1-Way", Enginuity!$B$13=1),
      AND(LEFT(P4677,5)="2-Way", OR(Enginuity!$B$13=2, Enginuity!$B$13=4)),
      AND(LEFT(P4677,5)="3-Way", OR(Enginuity!$B$13=3, Enginuity!$B$13=6)),
      AND(P4677="Inner Centre Jamb", OR(Enginuity!$B$13=4, Enginuity!$B$13=6)),
      AND(
        LEFT(P4677,5)&lt;&gt;"1-Way",
        LEFT(P4677,5)&lt;&gt;"2-Way",
        LEFT(P4677,5)&lt;&gt;"3-Way",
        P4677&lt;&gt;"Inner Centre Jamb"
      )
    ),
    IF(OR(Enginuity!$A$1="Frameless Glass",Enginuity!$A$1="Metal Work"),
      AND(TRIM(B4677)=TRIM(Enginuity!$A$17),TRIM(C4677)=TRIM(Enginuity!$A$18)),
      TRIM(B4677)=TRIM(Enginuity!$A$17)
    )
  ),
  ROW(),
  ""
)</f>
        <v/>
      </c>
    </row>
    <row r="4678" spans="21:21" x14ac:dyDescent="0.25">
      <c r="U4678" s="104" t="str">
        <f>IF(
  AND(
    TRIM(A4678)=TRIM(Enginuity!$A$1),
    TRIM(B4678)=TRIM(Enginuity!$A$17),
    Q4678&lt;&gt;"",
    Q4678&lt;&gt;0,
    OR(
      TRIM(C4678)=TRIM(Enginuity!$A$18),
      AND(UPPER(TRIM(M4678))="STD", TRIM(B4678)=TRIM(Enginuity!$A$17))
    ),
    OR(
      AND(LEFT(P4678,5)="1-Way", Enginuity!$B$13=1),
      AND(LEFT(P4678,5)="2-Way", OR(Enginuity!$B$13=2, Enginuity!$B$13=4)),
      AND(LEFT(P4678,5)="3-Way", OR(Enginuity!$B$13=3, Enginuity!$B$13=6)),
      AND(P4678="Inner Centre Jamb", OR(Enginuity!$B$13=4, Enginuity!$B$13=6)),
      AND(
        LEFT(P4678,5)&lt;&gt;"1-Way",
        LEFT(P4678,5)&lt;&gt;"2-Way",
        LEFT(P4678,5)&lt;&gt;"3-Way",
        P4678&lt;&gt;"Inner Centre Jamb"
      )
    ),
    IF(OR(Enginuity!$A$1="Frameless Glass",Enginuity!$A$1="Metal Work"),
      AND(TRIM(B4678)=TRIM(Enginuity!$A$17),TRIM(C4678)=TRIM(Enginuity!$A$18)),
      TRIM(B4678)=TRIM(Enginuity!$A$17)
    )
  ),
  ROW(),
  ""
)</f>
        <v/>
      </c>
    </row>
    <row r="4679" spans="21:21" x14ac:dyDescent="0.25">
      <c r="U4679" s="104" t="str">
        <f>IF(
  AND(
    TRIM(A4679)=TRIM(Enginuity!$A$1),
    TRIM(B4679)=TRIM(Enginuity!$A$17),
    Q4679&lt;&gt;"",
    Q4679&lt;&gt;0,
    OR(
      TRIM(C4679)=TRIM(Enginuity!$A$18),
      AND(UPPER(TRIM(M4679))="STD", TRIM(B4679)=TRIM(Enginuity!$A$17))
    ),
    OR(
      AND(LEFT(P4679,5)="1-Way", Enginuity!$B$13=1),
      AND(LEFT(P4679,5)="2-Way", OR(Enginuity!$B$13=2, Enginuity!$B$13=4)),
      AND(LEFT(P4679,5)="3-Way", OR(Enginuity!$B$13=3, Enginuity!$B$13=6)),
      AND(P4679="Inner Centre Jamb", OR(Enginuity!$B$13=4, Enginuity!$B$13=6)),
      AND(
        LEFT(P4679,5)&lt;&gt;"1-Way",
        LEFT(P4679,5)&lt;&gt;"2-Way",
        LEFT(P4679,5)&lt;&gt;"3-Way",
        P4679&lt;&gt;"Inner Centre Jamb"
      )
    ),
    IF(OR(Enginuity!$A$1="Frameless Glass",Enginuity!$A$1="Metal Work"),
      AND(TRIM(B4679)=TRIM(Enginuity!$A$17),TRIM(C4679)=TRIM(Enginuity!$A$18)),
      TRIM(B4679)=TRIM(Enginuity!$A$17)
    )
  ),
  ROW(),
  ""
)</f>
        <v/>
      </c>
    </row>
    <row r="4680" spans="21:21" x14ac:dyDescent="0.25">
      <c r="U4680" s="104" t="str">
        <f>IF(
  AND(
    TRIM(A4680)=TRIM(Enginuity!$A$1),
    TRIM(B4680)=TRIM(Enginuity!$A$17),
    Q4680&lt;&gt;"",
    Q4680&lt;&gt;0,
    OR(
      TRIM(C4680)=TRIM(Enginuity!$A$18),
      AND(UPPER(TRIM(M4680))="STD", TRIM(B4680)=TRIM(Enginuity!$A$17))
    ),
    OR(
      AND(LEFT(P4680,5)="1-Way", Enginuity!$B$13=1),
      AND(LEFT(P4680,5)="2-Way", OR(Enginuity!$B$13=2, Enginuity!$B$13=4)),
      AND(LEFT(P4680,5)="3-Way", OR(Enginuity!$B$13=3, Enginuity!$B$13=6)),
      AND(P4680="Inner Centre Jamb", OR(Enginuity!$B$13=4, Enginuity!$B$13=6)),
      AND(
        LEFT(P4680,5)&lt;&gt;"1-Way",
        LEFT(P4680,5)&lt;&gt;"2-Way",
        LEFT(P4680,5)&lt;&gt;"3-Way",
        P4680&lt;&gt;"Inner Centre Jamb"
      )
    ),
    IF(OR(Enginuity!$A$1="Frameless Glass",Enginuity!$A$1="Metal Work"),
      AND(TRIM(B4680)=TRIM(Enginuity!$A$17),TRIM(C4680)=TRIM(Enginuity!$A$18)),
      TRIM(B4680)=TRIM(Enginuity!$A$17)
    )
  ),
  ROW(),
  ""
)</f>
        <v/>
      </c>
    </row>
    <row r="4681" spans="21:21" x14ac:dyDescent="0.25">
      <c r="U4681" s="104" t="str">
        <f>IF(
  AND(
    TRIM(A4681)=TRIM(Enginuity!$A$1),
    TRIM(B4681)=TRIM(Enginuity!$A$17),
    Q4681&lt;&gt;"",
    Q4681&lt;&gt;0,
    OR(
      TRIM(C4681)=TRIM(Enginuity!$A$18),
      AND(UPPER(TRIM(M4681))="STD", TRIM(B4681)=TRIM(Enginuity!$A$17))
    ),
    OR(
      AND(LEFT(P4681,5)="1-Way", Enginuity!$B$13=1),
      AND(LEFT(P4681,5)="2-Way", OR(Enginuity!$B$13=2, Enginuity!$B$13=4)),
      AND(LEFT(P4681,5)="3-Way", OR(Enginuity!$B$13=3, Enginuity!$B$13=6)),
      AND(P4681="Inner Centre Jamb", OR(Enginuity!$B$13=4, Enginuity!$B$13=6)),
      AND(
        LEFT(P4681,5)&lt;&gt;"1-Way",
        LEFT(P4681,5)&lt;&gt;"2-Way",
        LEFT(P4681,5)&lt;&gt;"3-Way",
        P4681&lt;&gt;"Inner Centre Jamb"
      )
    ),
    IF(OR(Enginuity!$A$1="Frameless Glass",Enginuity!$A$1="Metal Work"),
      AND(TRIM(B4681)=TRIM(Enginuity!$A$17),TRIM(C4681)=TRIM(Enginuity!$A$18)),
      TRIM(B4681)=TRIM(Enginuity!$A$17)
    )
  ),
  ROW(),
  ""
)</f>
        <v/>
      </c>
    </row>
    <row r="4682" spans="21:21" x14ac:dyDescent="0.25">
      <c r="U4682" s="104" t="str">
        <f>IF(
  AND(
    TRIM(A4682)=TRIM(Enginuity!$A$1),
    TRIM(B4682)=TRIM(Enginuity!$A$17),
    Q4682&lt;&gt;"",
    Q4682&lt;&gt;0,
    OR(
      TRIM(C4682)=TRIM(Enginuity!$A$18),
      AND(UPPER(TRIM(M4682))="STD", TRIM(B4682)=TRIM(Enginuity!$A$17))
    ),
    OR(
      AND(LEFT(P4682,5)="1-Way", Enginuity!$B$13=1),
      AND(LEFT(P4682,5)="2-Way", OR(Enginuity!$B$13=2, Enginuity!$B$13=4)),
      AND(LEFT(P4682,5)="3-Way", OR(Enginuity!$B$13=3, Enginuity!$B$13=6)),
      AND(P4682="Inner Centre Jamb", OR(Enginuity!$B$13=4, Enginuity!$B$13=6)),
      AND(
        LEFT(P4682,5)&lt;&gt;"1-Way",
        LEFT(P4682,5)&lt;&gt;"2-Way",
        LEFT(P4682,5)&lt;&gt;"3-Way",
        P4682&lt;&gt;"Inner Centre Jamb"
      )
    ),
    IF(OR(Enginuity!$A$1="Frameless Glass",Enginuity!$A$1="Metal Work"),
      AND(TRIM(B4682)=TRIM(Enginuity!$A$17),TRIM(C4682)=TRIM(Enginuity!$A$18)),
      TRIM(B4682)=TRIM(Enginuity!$A$17)
    )
  ),
  ROW(),
  ""
)</f>
        <v/>
      </c>
    </row>
    <row r="4683" spans="21:21" x14ac:dyDescent="0.25">
      <c r="U4683" s="104" t="str">
        <f>IF(
  AND(
    TRIM(A4683)=TRIM(Enginuity!$A$1),
    TRIM(B4683)=TRIM(Enginuity!$A$17),
    Q4683&lt;&gt;"",
    Q4683&lt;&gt;0,
    OR(
      TRIM(C4683)=TRIM(Enginuity!$A$18),
      AND(UPPER(TRIM(M4683))="STD", TRIM(B4683)=TRIM(Enginuity!$A$17))
    ),
    OR(
      AND(LEFT(P4683,5)="1-Way", Enginuity!$B$13=1),
      AND(LEFT(P4683,5)="2-Way", OR(Enginuity!$B$13=2, Enginuity!$B$13=4)),
      AND(LEFT(P4683,5)="3-Way", OR(Enginuity!$B$13=3, Enginuity!$B$13=6)),
      AND(P4683="Inner Centre Jamb", OR(Enginuity!$B$13=4, Enginuity!$B$13=6)),
      AND(
        LEFT(P4683,5)&lt;&gt;"1-Way",
        LEFT(P4683,5)&lt;&gt;"2-Way",
        LEFT(P4683,5)&lt;&gt;"3-Way",
        P4683&lt;&gt;"Inner Centre Jamb"
      )
    ),
    IF(OR(Enginuity!$A$1="Frameless Glass",Enginuity!$A$1="Metal Work"),
      AND(TRIM(B4683)=TRIM(Enginuity!$A$17),TRIM(C4683)=TRIM(Enginuity!$A$18)),
      TRIM(B4683)=TRIM(Enginuity!$A$17)
    )
  ),
  ROW(),
  ""
)</f>
        <v/>
      </c>
    </row>
    <row r="4684" spans="21:21" x14ac:dyDescent="0.25">
      <c r="U4684" s="104" t="str">
        <f>IF(
  AND(
    TRIM(A4684)=TRIM(Enginuity!$A$1),
    TRIM(B4684)=TRIM(Enginuity!$A$17),
    Q4684&lt;&gt;"",
    Q4684&lt;&gt;0,
    OR(
      TRIM(C4684)=TRIM(Enginuity!$A$18),
      AND(UPPER(TRIM(M4684))="STD", TRIM(B4684)=TRIM(Enginuity!$A$17))
    ),
    OR(
      AND(LEFT(P4684,5)="1-Way", Enginuity!$B$13=1),
      AND(LEFT(P4684,5)="2-Way", OR(Enginuity!$B$13=2, Enginuity!$B$13=4)),
      AND(LEFT(P4684,5)="3-Way", OR(Enginuity!$B$13=3, Enginuity!$B$13=6)),
      AND(P4684="Inner Centre Jamb", OR(Enginuity!$B$13=4, Enginuity!$B$13=6)),
      AND(
        LEFT(P4684,5)&lt;&gt;"1-Way",
        LEFT(P4684,5)&lt;&gt;"2-Way",
        LEFT(P4684,5)&lt;&gt;"3-Way",
        P4684&lt;&gt;"Inner Centre Jamb"
      )
    ),
    IF(OR(Enginuity!$A$1="Frameless Glass",Enginuity!$A$1="Metal Work"),
      AND(TRIM(B4684)=TRIM(Enginuity!$A$17),TRIM(C4684)=TRIM(Enginuity!$A$18)),
      TRIM(B4684)=TRIM(Enginuity!$A$17)
    )
  ),
  ROW(),
  ""
)</f>
        <v/>
      </c>
    </row>
    <row r="4685" spans="21:21" x14ac:dyDescent="0.25">
      <c r="U4685" s="104" t="str">
        <f>IF(
  AND(
    TRIM(A4685)=TRIM(Enginuity!$A$1),
    TRIM(B4685)=TRIM(Enginuity!$A$17),
    Q4685&lt;&gt;"",
    Q4685&lt;&gt;0,
    OR(
      TRIM(C4685)=TRIM(Enginuity!$A$18),
      AND(UPPER(TRIM(M4685))="STD", TRIM(B4685)=TRIM(Enginuity!$A$17))
    ),
    OR(
      AND(LEFT(P4685,5)="1-Way", Enginuity!$B$13=1),
      AND(LEFT(P4685,5)="2-Way", OR(Enginuity!$B$13=2, Enginuity!$B$13=4)),
      AND(LEFT(P4685,5)="3-Way", OR(Enginuity!$B$13=3, Enginuity!$B$13=6)),
      AND(P4685="Inner Centre Jamb", OR(Enginuity!$B$13=4, Enginuity!$B$13=6)),
      AND(
        LEFT(P4685,5)&lt;&gt;"1-Way",
        LEFT(P4685,5)&lt;&gt;"2-Way",
        LEFT(P4685,5)&lt;&gt;"3-Way",
        P4685&lt;&gt;"Inner Centre Jamb"
      )
    ),
    IF(OR(Enginuity!$A$1="Frameless Glass",Enginuity!$A$1="Metal Work"),
      AND(TRIM(B4685)=TRIM(Enginuity!$A$17),TRIM(C4685)=TRIM(Enginuity!$A$18)),
      TRIM(B4685)=TRIM(Enginuity!$A$17)
    )
  ),
  ROW(),
  ""
)</f>
        <v/>
      </c>
    </row>
    <row r="4686" spans="21:21" x14ac:dyDescent="0.25">
      <c r="U4686" s="104" t="str">
        <f>IF(
  AND(
    TRIM(A4686)=TRIM(Enginuity!$A$1),
    TRIM(B4686)=TRIM(Enginuity!$A$17),
    Q4686&lt;&gt;"",
    Q4686&lt;&gt;0,
    OR(
      TRIM(C4686)=TRIM(Enginuity!$A$18),
      AND(UPPER(TRIM(M4686))="STD", TRIM(B4686)=TRIM(Enginuity!$A$17))
    ),
    OR(
      AND(LEFT(P4686,5)="1-Way", Enginuity!$B$13=1),
      AND(LEFT(P4686,5)="2-Way", OR(Enginuity!$B$13=2, Enginuity!$B$13=4)),
      AND(LEFT(P4686,5)="3-Way", OR(Enginuity!$B$13=3, Enginuity!$B$13=6)),
      AND(P4686="Inner Centre Jamb", OR(Enginuity!$B$13=4, Enginuity!$B$13=6)),
      AND(
        LEFT(P4686,5)&lt;&gt;"1-Way",
        LEFT(P4686,5)&lt;&gt;"2-Way",
        LEFT(P4686,5)&lt;&gt;"3-Way",
        P4686&lt;&gt;"Inner Centre Jamb"
      )
    ),
    IF(OR(Enginuity!$A$1="Frameless Glass",Enginuity!$A$1="Metal Work"),
      AND(TRIM(B4686)=TRIM(Enginuity!$A$17),TRIM(C4686)=TRIM(Enginuity!$A$18)),
      TRIM(B4686)=TRIM(Enginuity!$A$17)
    )
  ),
  ROW(),
  ""
)</f>
        <v/>
      </c>
    </row>
    <row r="4687" spans="21:21" x14ac:dyDescent="0.25">
      <c r="U4687" s="104" t="str">
        <f>IF(
  AND(
    TRIM(A4687)=TRIM(Enginuity!$A$1),
    TRIM(B4687)=TRIM(Enginuity!$A$17),
    Q4687&lt;&gt;"",
    Q4687&lt;&gt;0,
    OR(
      TRIM(C4687)=TRIM(Enginuity!$A$18),
      AND(UPPER(TRIM(M4687))="STD", TRIM(B4687)=TRIM(Enginuity!$A$17))
    ),
    OR(
      AND(LEFT(P4687,5)="1-Way", Enginuity!$B$13=1),
      AND(LEFT(P4687,5)="2-Way", OR(Enginuity!$B$13=2, Enginuity!$B$13=4)),
      AND(LEFT(P4687,5)="3-Way", OR(Enginuity!$B$13=3, Enginuity!$B$13=6)),
      AND(P4687="Inner Centre Jamb", OR(Enginuity!$B$13=4, Enginuity!$B$13=6)),
      AND(
        LEFT(P4687,5)&lt;&gt;"1-Way",
        LEFT(P4687,5)&lt;&gt;"2-Way",
        LEFT(P4687,5)&lt;&gt;"3-Way",
        P4687&lt;&gt;"Inner Centre Jamb"
      )
    ),
    IF(OR(Enginuity!$A$1="Frameless Glass",Enginuity!$A$1="Metal Work"),
      AND(TRIM(B4687)=TRIM(Enginuity!$A$17),TRIM(C4687)=TRIM(Enginuity!$A$18)),
      TRIM(B4687)=TRIM(Enginuity!$A$17)
    )
  ),
  ROW(),
  ""
)</f>
        <v/>
      </c>
    </row>
    <row r="4688" spans="21:21" x14ac:dyDescent="0.25">
      <c r="U4688" s="104" t="str">
        <f>IF(
  AND(
    TRIM(A4688)=TRIM(Enginuity!$A$1),
    TRIM(B4688)=TRIM(Enginuity!$A$17),
    Q4688&lt;&gt;"",
    Q4688&lt;&gt;0,
    OR(
      TRIM(C4688)=TRIM(Enginuity!$A$18),
      AND(UPPER(TRIM(M4688))="STD", TRIM(B4688)=TRIM(Enginuity!$A$17))
    ),
    OR(
      AND(LEFT(P4688,5)="1-Way", Enginuity!$B$13=1),
      AND(LEFT(P4688,5)="2-Way", OR(Enginuity!$B$13=2, Enginuity!$B$13=4)),
      AND(LEFT(P4688,5)="3-Way", OR(Enginuity!$B$13=3, Enginuity!$B$13=6)),
      AND(P4688="Inner Centre Jamb", OR(Enginuity!$B$13=4, Enginuity!$B$13=6)),
      AND(
        LEFT(P4688,5)&lt;&gt;"1-Way",
        LEFT(P4688,5)&lt;&gt;"2-Way",
        LEFT(P4688,5)&lt;&gt;"3-Way",
        P4688&lt;&gt;"Inner Centre Jamb"
      )
    ),
    IF(OR(Enginuity!$A$1="Frameless Glass",Enginuity!$A$1="Metal Work"),
      AND(TRIM(B4688)=TRIM(Enginuity!$A$17),TRIM(C4688)=TRIM(Enginuity!$A$18)),
      TRIM(B4688)=TRIM(Enginuity!$A$17)
    )
  ),
  ROW(),
  ""
)</f>
        <v/>
      </c>
    </row>
    <row r="4689" spans="21:21" x14ac:dyDescent="0.25">
      <c r="U4689" s="104" t="str">
        <f>IF(
  AND(
    TRIM(A4689)=TRIM(Enginuity!$A$1),
    TRIM(B4689)=TRIM(Enginuity!$A$17),
    Q4689&lt;&gt;"",
    Q4689&lt;&gt;0,
    OR(
      TRIM(C4689)=TRIM(Enginuity!$A$18),
      AND(UPPER(TRIM(M4689))="STD", TRIM(B4689)=TRIM(Enginuity!$A$17))
    ),
    OR(
      AND(LEFT(P4689,5)="1-Way", Enginuity!$B$13=1),
      AND(LEFT(P4689,5)="2-Way", OR(Enginuity!$B$13=2, Enginuity!$B$13=4)),
      AND(LEFT(P4689,5)="3-Way", OR(Enginuity!$B$13=3, Enginuity!$B$13=6)),
      AND(P4689="Inner Centre Jamb", OR(Enginuity!$B$13=4, Enginuity!$B$13=6)),
      AND(
        LEFT(P4689,5)&lt;&gt;"1-Way",
        LEFT(P4689,5)&lt;&gt;"2-Way",
        LEFT(P4689,5)&lt;&gt;"3-Way",
        P4689&lt;&gt;"Inner Centre Jamb"
      )
    ),
    IF(OR(Enginuity!$A$1="Frameless Glass",Enginuity!$A$1="Metal Work"),
      AND(TRIM(B4689)=TRIM(Enginuity!$A$17),TRIM(C4689)=TRIM(Enginuity!$A$18)),
      TRIM(B4689)=TRIM(Enginuity!$A$17)
    )
  ),
  ROW(),
  ""
)</f>
        <v/>
      </c>
    </row>
    <row r="4690" spans="21:21" x14ac:dyDescent="0.25">
      <c r="U4690" s="104" t="str">
        <f>IF(
  AND(
    TRIM(A4690)=TRIM(Enginuity!$A$1),
    TRIM(B4690)=TRIM(Enginuity!$A$17),
    Q4690&lt;&gt;"",
    Q4690&lt;&gt;0,
    OR(
      TRIM(C4690)=TRIM(Enginuity!$A$18),
      AND(UPPER(TRIM(M4690))="STD", TRIM(B4690)=TRIM(Enginuity!$A$17))
    ),
    OR(
      AND(LEFT(P4690,5)="1-Way", Enginuity!$B$13=1),
      AND(LEFT(P4690,5)="2-Way", OR(Enginuity!$B$13=2, Enginuity!$B$13=4)),
      AND(LEFT(P4690,5)="3-Way", OR(Enginuity!$B$13=3, Enginuity!$B$13=6)),
      AND(P4690="Inner Centre Jamb", OR(Enginuity!$B$13=4, Enginuity!$B$13=6)),
      AND(
        LEFT(P4690,5)&lt;&gt;"1-Way",
        LEFT(P4690,5)&lt;&gt;"2-Way",
        LEFT(P4690,5)&lt;&gt;"3-Way",
        P4690&lt;&gt;"Inner Centre Jamb"
      )
    ),
    IF(OR(Enginuity!$A$1="Frameless Glass",Enginuity!$A$1="Metal Work"),
      AND(TRIM(B4690)=TRIM(Enginuity!$A$17),TRIM(C4690)=TRIM(Enginuity!$A$18)),
      TRIM(B4690)=TRIM(Enginuity!$A$17)
    )
  ),
  ROW(),
  ""
)</f>
        <v/>
      </c>
    </row>
    <row r="4691" spans="21:21" x14ac:dyDescent="0.25">
      <c r="U4691" s="104" t="str">
        <f>IF(
  AND(
    TRIM(A4691)=TRIM(Enginuity!$A$1),
    TRIM(B4691)=TRIM(Enginuity!$A$17),
    Q4691&lt;&gt;"",
    Q4691&lt;&gt;0,
    OR(
      TRIM(C4691)=TRIM(Enginuity!$A$18),
      AND(UPPER(TRIM(M4691))="STD", TRIM(B4691)=TRIM(Enginuity!$A$17))
    ),
    OR(
      AND(LEFT(P4691,5)="1-Way", Enginuity!$B$13=1),
      AND(LEFT(P4691,5)="2-Way", OR(Enginuity!$B$13=2, Enginuity!$B$13=4)),
      AND(LEFT(P4691,5)="3-Way", OR(Enginuity!$B$13=3, Enginuity!$B$13=6)),
      AND(P4691="Inner Centre Jamb", OR(Enginuity!$B$13=4, Enginuity!$B$13=6)),
      AND(
        LEFT(P4691,5)&lt;&gt;"1-Way",
        LEFT(P4691,5)&lt;&gt;"2-Way",
        LEFT(P4691,5)&lt;&gt;"3-Way",
        P4691&lt;&gt;"Inner Centre Jamb"
      )
    ),
    IF(OR(Enginuity!$A$1="Frameless Glass",Enginuity!$A$1="Metal Work"),
      AND(TRIM(B4691)=TRIM(Enginuity!$A$17),TRIM(C4691)=TRIM(Enginuity!$A$18)),
      TRIM(B4691)=TRIM(Enginuity!$A$17)
    )
  ),
  ROW(),
  ""
)</f>
        <v/>
      </c>
    </row>
    <row r="4692" spans="21:21" x14ac:dyDescent="0.25">
      <c r="U4692" s="104" t="str">
        <f>IF(
  AND(
    TRIM(A4692)=TRIM(Enginuity!$A$1),
    TRIM(B4692)=TRIM(Enginuity!$A$17),
    Q4692&lt;&gt;"",
    Q4692&lt;&gt;0,
    OR(
      TRIM(C4692)=TRIM(Enginuity!$A$18),
      AND(UPPER(TRIM(M4692))="STD", TRIM(B4692)=TRIM(Enginuity!$A$17))
    ),
    OR(
      AND(LEFT(P4692,5)="1-Way", Enginuity!$B$13=1),
      AND(LEFT(P4692,5)="2-Way", OR(Enginuity!$B$13=2, Enginuity!$B$13=4)),
      AND(LEFT(P4692,5)="3-Way", OR(Enginuity!$B$13=3, Enginuity!$B$13=6)),
      AND(P4692="Inner Centre Jamb", OR(Enginuity!$B$13=4, Enginuity!$B$13=6)),
      AND(
        LEFT(P4692,5)&lt;&gt;"1-Way",
        LEFT(P4692,5)&lt;&gt;"2-Way",
        LEFT(P4692,5)&lt;&gt;"3-Way",
        P4692&lt;&gt;"Inner Centre Jamb"
      )
    ),
    IF(OR(Enginuity!$A$1="Frameless Glass",Enginuity!$A$1="Metal Work"),
      AND(TRIM(B4692)=TRIM(Enginuity!$A$17),TRIM(C4692)=TRIM(Enginuity!$A$18)),
      TRIM(B4692)=TRIM(Enginuity!$A$17)
    )
  ),
  ROW(),
  ""
)</f>
        <v/>
      </c>
    </row>
    <row r="4693" spans="21:21" x14ac:dyDescent="0.25">
      <c r="U4693" s="104" t="str">
        <f>IF(
  AND(
    TRIM(A4693)=TRIM(Enginuity!$A$1),
    TRIM(B4693)=TRIM(Enginuity!$A$17),
    Q4693&lt;&gt;"",
    Q4693&lt;&gt;0,
    OR(
      TRIM(C4693)=TRIM(Enginuity!$A$18),
      AND(UPPER(TRIM(M4693))="STD", TRIM(B4693)=TRIM(Enginuity!$A$17))
    ),
    OR(
      AND(LEFT(P4693,5)="1-Way", Enginuity!$B$13=1),
      AND(LEFT(P4693,5)="2-Way", OR(Enginuity!$B$13=2, Enginuity!$B$13=4)),
      AND(LEFT(P4693,5)="3-Way", OR(Enginuity!$B$13=3, Enginuity!$B$13=6)),
      AND(P4693="Inner Centre Jamb", OR(Enginuity!$B$13=4, Enginuity!$B$13=6)),
      AND(
        LEFT(P4693,5)&lt;&gt;"1-Way",
        LEFT(P4693,5)&lt;&gt;"2-Way",
        LEFT(P4693,5)&lt;&gt;"3-Way",
        P4693&lt;&gt;"Inner Centre Jamb"
      )
    ),
    IF(OR(Enginuity!$A$1="Frameless Glass",Enginuity!$A$1="Metal Work"),
      AND(TRIM(B4693)=TRIM(Enginuity!$A$17),TRIM(C4693)=TRIM(Enginuity!$A$18)),
      TRIM(B4693)=TRIM(Enginuity!$A$17)
    )
  ),
  ROW(),
  ""
)</f>
        <v/>
      </c>
    </row>
    <row r="4694" spans="21:21" x14ac:dyDescent="0.25">
      <c r="U4694" s="104" t="str">
        <f>IF(
  AND(
    TRIM(A4694)=TRIM(Enginuity!$A$1),
    TRIM(B4694)=TRIM(Enginuity!$A$17),
    Q4694&lt;&gt;"",
    Q4694&lt;&gt;0,
    OR(
      TRIM(C4694)=TRIM(Enginuity!$A$18),
      AND(UPPER(TRIM(M4694))="STD", TRIM(B4694)=TRIM(Enginuity!$A$17))
    ),
    OR(
      AND(LEFT(P4694,5)="1-Way", Enginuity!$B$13=1),
      AND(LEFT(P4694,5)="2-Way", OR(Enginuity!$B$13=2, Enginuity!$B$13=4)),
      AND(LEFT(P4694,5)="3-Way", OR(Enginuity!$B$13=3, Enginuity!$B$13=6)),
      AND(P4694="Inner Centre Jamb", OR(Enginuity!$B$13=4, Enginuity!$B$13=6)),
      AND(
        LEFT(P4694,5)&lt;&gt;"1-Way",
        LEFT(P4694,5)&lt;&gt;"2-Way",
        LEFT(P4694,5)&lt;&gt;"3-Way",
        P4694&lt;&gt;"Inner Centre Jamb"
      )
    ),
    IF(OR(Enginuity!$A$1="Frameless Glass",Enginuity!$A$1="Metal Work"),
      AND(TRIM(B4694)=TRIM(Enginuity!$A$17),TRIM(C4694)=TRIM(Enginuity!$A$18)),
      TRIM(B4694)=TRIM(Enginuity!$A$17)
    )
  ),
  ROW(),
  ""
)</f>
        <v/>
      </c>
    </row>
    <row r="4695" spans="21:21" x14ac:dyDescent="0.25">
      <c r="U4695" s="104" t="str">
        <f>IF(
  AND(
    TRIM(A4695)=TRIM(Enginuity!$A$1),
    TRIM(B4695)=TRIM(Enginuity!$A$17),
    Q4695&lt;&gt;"",
    Q4695&lt;&gt;0,
    OR(
      TRIM(C4695)=TRIM(Enginuity!$A$18),
      AND(UPPER(TRIM(M4695))="STD", TRIM(B4695)=TRIM(Enginuity!$A$17))
    ),
    OR(
      AND(LEFT(P4695,5)="1-Way", Enginuity!$B$13=1),
      AND(LEFT(P4695,5)="2-Way", OR(Enginuity!$B$13=2, Enginuity!$B$13=4)),
      AND(LEFT(P4695,5)="3-Way", OR(Enginuity!$B$13=3, Enginuity!$B$13=6)),
      AND(P4695="Inner Centre Jamb", OR(Enginuity!$B$13=4, Enginuity!$B$13=6)),
      AND(
        LEFT(P4695,5)&lt;&gt;"1-Way",
        LEFT(P4695,5)&lt;&gt;"2-Way",
        LEFT(P4695,5)&lt;&gt;"3-Way",
        P4695&lt;&gt;"Inner Centre Jamb"
      )
    ),
    IF(OR(Enginuity!$A$1="Frameless Glass",Enginuity!$A$1="Metal Work"),
      AND(TRIM(B4695)=TRIM(Enginuity!$A$17),TRIM(C4695)=TRIM(Enginuity!$A$18)),
      TRIM(B4695)=TRIM(Enginuity!$A$17)
    )
  ),
  ROW(),
  ""
)</f>
        <v/>
      </c>
    </row>
    <row r="4696" spans="21:21" x14ac:dyDescent="0.25">
      <c r="U4696" s="104" t="str">
        <f>IF(
  AND(
    TRIM(A4696)=TRIM(Enginuity!$A$1),
    TRIM(B4696)=TRIM(Enginuity!$A$17),
    Q4696&lt;&gt;"",
    Q4696&lt;&gt;0,
    OR(
      TRIM(C4696)=TRIM(Enginuity!$A$18),
      AND(UPPER(TRIM(M4696))="STD", TRIM(B4696)=TRIM(Enginuity!$A$17))
    ),
    OR(
      AND(LEFT(P4696,5)="1-Way", Enginuity!$B$13=1),
      AND(LEFT(P4696,5)="2-Way", OR(Enginuity!$B$13=2, Enginuity!$B$13=4)),
      AND(LEFT(P4696,5)="3-Way", OR(Enginuity!$B$13=3, Enginuity!$B$13=6)),
      AND(P4696="Inner Centre Jamb", OR(Enginuity!$B$13=4, Enginuity!$B$13=6)),
      AND(
        LEFT(P4696,5)&lt;&gt;"1-Way",
        LEFT(P4696,5)&lt;&gt;"2-Way",
        LEFT(P4696,5)&lt;&gt;"3-Way",
        P4696&lt;&gt;"Inner Centre Jamb"
      )
    ),
    IF(OR(Enginuity!$A$1="Frameless Glass",Enginuity!$A$1="Metal Work"),
      AND(TRIM(B4696)=TRIM(Enginuity!$A$17),TRIM(C4696)=TRIM(Enginuity!$A$18)),
      TRIM(B4696)=TRIM(Enginuity!$A$17)
    )
  ),
  ROW(),
  ""
)</f>
        <v/>
      </c>
    </row>
    <row r="4697" spans="21:21" x14ac:dyDescent="0.25">
      <c r="U4697" s="104" t="str">
        <f>IF(
  AND(
    TRIM(A4697)=TRIM(Enginuity!$A$1),
    TRIM(B4697)=TRIM(Enginuity!$A$17),
    Q4697&lt;&gt;"",
    Q4697&lt;&gt;0,
    OR(
      TRIM(C4697)=TRIM(Enginuity!$A$18),
      AND(UPPER(TRIM(M4697))="STD", TRIM(B4697)=TRIM(Enginuity!$A$17))
    ),
    OR(
      AND(LEFT(P4697,5)="1-Way", Enginuity!$B$13=1),
      AND(LEFT(P4697,5)="2-Way", OR(Enginuity!$B$13=2, Enginuity!$B$13=4)),
      AND(LEFT(P4697,5)="3-Way", OR(Enginuity!$B$13=3, Enginuity!$B$13=6)),
      AND(P4697="Inner Centre Jamb", OR(Enginuity!$B$13=4, Enginuity!$B$13=6)),
      AND(
        LEFT(P4697,5)&lt;&gt;"1-Way",
        LEFT(P4697,5)&lt;&gt;"2-Way",
        LEFT(P4697,5)&lt;&gt;"3-Way",
        P4697&lt;&gt;"Inner Centre Jamb"
      )
    ),
    IF(OR(Enginuity!$A$1="Frameless Glass",Enginuity!$A$1="Metal Work"),
      AND(TRIM(B4697)=TRIM(Enginuity!$A$17),TRIM(C4697)=TRIM(Enginuity!$A$18)),
      TRIM(B4697)=TRIM(Enginuity!$A$17)
    )
  ),
  ROW(),
  ""
)</f>
        <v/>
      </c>
    </row>
    <row r="4698" spans="21:21" x14ac:dyDescent="0.25">
      <c r="U4698" s="104" t="str">
        <f>IF(
  AND(
    TRIM(A4698)=TRIM(Enginuity!$A$1),
    TRIM(B4698)=TRIM(Enginuity!$A$17),
    Q4698&lt;&gt;"",
    Q4698&lt;&gt;0,
    OR(
      TRIM(C4698)=TRIM(Enginuity!$A$18),
      AND(UPPER(TRIM(M4698))="STD", TRIM(B4698)=TRIM(Enginuity!$A$17))
    ),
    OR(
      AND(LEFT(P4698,5)="1-Way", Enginuity!$B$13=1),
      AND(LEFT(P4698,5)="2-Way", OR(Enginuity!$B$13=2, Enginuity!$B$13=4)),
      AND(LEFT(P4698,5)="3-Way", OR(Enginuity!$B$13=3, Enginuity!$B$13=6)),
      AND(P4698="Inner Centre Jamb", OR(Enginuity!$B$13=4, Enginuity!$B$13=6)),
      AND(
        LEFT(P4698,5)&lt;&gt;"1-Way",
        LEFT(P4698,5)&lt;&gt;"2-Way",
        LEFT(P4698,5)&lt;&gt;"3-Way",
        P4698&lt;&gt;"Inner Centre Jamb"
      )
    ),
    IF(OR(Enginuity!$A$1="Frameless Glass",Enginuity!$A$1="Metal Work"),
      AND(TRIM(B4698)=TRIM(Enginuity!$A$17),TRIM(C4698)=TRIM(Enginuity!$A$18)),
      TRIM(B4698)=TRIM(Enginuity!$A$17)
    )
  ),
  ROW(),
  ""
)</f>
        <v/>
      </c>
    </row>
    <row r="4699" spans="21:21" x14ac:dyDescent="0.25">
      <c r="U4699" s="104" t="str">
        <f>IF(
  AND(
    TRIM(A4699)=TRIM(Enginuity!$A$1),
    TRIM(B4699)=TRIM(Enginuity!$A$17),
    Q4699&lt;&gt;"",
    Q4699&lt;&gt;0,
    OR(
      TRIM(C4699)=TRIM(Enginuity!$A$18),
      AND(UPPER(TRIM(M4699))="STD", TRIM(B4699)=TRIM(Enginuity!$A$17))
    ),
    OR(
      AND(LEFT(P4699,5)="1-Way", Enginuity!$B$13=1),
      AND(LEFT(P4699,5)="2-Way", OR(Enginuity!$B$13=2, Enginuity!$B$13=4)),
      AND(LEFT(P4699,5)="3-Way", OR(Enginuity!$B$13=3, Enginuity!$B$13=6)),
      AND(P4699="Inner Centre Jamb", OR(Enginuity!$B$13=4, Enginuity!$B$13=6)),
      AND(
        LEFT(P4699,5)&lt;&gt;"1-Way",
        LEFT(P4699,5)&lt;&gt;"2-Way",
        LEFT(P4699,5)&lt;&gt;"3-Way",
        P4699&lt;&gt;"Inner Centre Jamb"
      )
    ),
    IF(OR(Enginuity!$A$1="Frameless Glass",Enginuity!$A$1="Metal Work"),
      AND(TRIM(B4699)=TRIM(Enginuity!$A$17),TRIM(C4699)=TRIM(Enginuity!$A$18)),
      TRIM(B4699)=TRIM(Enginuity!$A$17)
    )
  ),
  ROW(),
  ""
)</f>
        <v/>
      </c>
    </row>
    <row r="4700" spans="21:21" x14ac:dyDescent="0.25">
      <c r="U4700" s="104" t="str">
        <f>IF(
  AND(
    TRIM(A4700)=TRIM(Enginuity!$A$1),
    TRIM(B4700)=TRIM(Enginuity!$A$17),
    Q4700&lt;&gt;"",
    Q4700&lt;&gt;0,
    OR(
      TRIM(C4700)=TRIM(Enginuity!$A$18),
      AND(UPPER(TRIM(M4700))="STD", TRIM(B4700)=TRIM(Enginuity!$A$17))
    ),
    OR(
      AND(LEFT(P4700,5)="1-Way", Enginuity!$B$13=1),
      AND(LEFT(P4700,5)="2-Way", OR(Enginuity!$B$13=2, Enginuity!$B$13=4)),
      AND(LEFT(P4700,5)="3-Way", OR(Enginuity!$B$13=3, Enginuity!$B$13=6)),
      AND(P4700="Inner Centre Jamb", OR(Enginuity!$B$13=4, Enginuity!$B$13=6)),
      AND(
        LEFT(P4700,5)&lt;&gt;"1-Way",
        LEFT(P4700,5)&lt;&gt;"2-Way",
        LEFT(P4700,5)&lt;&gt;"3-Way",
        P4700&lt;&gt;"Inner Centre Jamb"
      )
    ),
    IF(OR(Enginuity!$A$1="Frameless Glass",Enginuity!$A$1="Metal Work"),
      AND(TRIM(B4700)=TRIM(Enginuity!$A$17),TRIM(C4700)=TRIM(Enginuity!$A$18)),
      TRIM(B4700)=TRIM(Enginuity!$A$17)
    )
  ),
  ROW(),
  ""
)</f>
        <v/>
      </c>
    </row>
    <row r="4701" spans="21:21" x14ac:dyDescent="0.25">
      <c r="U4701" s="104" t="str">
        <f>IF(
  AND(
    TRIM(A4701)=TRIM(Enginuity!$A$1),
    TRIM(B4701)=TRIM(Enginuity!$A$17),
    Q4701&lt;&gt;"",
    Q4701&lt;&gt;0,
    OR(
      TRIM(C4701)=TRIM(Enginuity!$A$18),
      AND(UPPER(TRIM(M4701))="STD", TRIM(B4701)=TRIM(Enginuity!$A$17))
    ),
    OR(
      AND(LEFT(P4701,5)="1-Way", Enginuity!$B$13=1),
      AND(LEFT(P4701,5)="2-Way", OR(Enginuity!$B$13=2, Enginuity!$B$13=4)),
      AND(LEFT(P4701,5)="3-Way", OR(Enginuity!$B$13=3, Enginuity!$B$13=6)),
      AND(P4701="Inner Centre Jamb", OR(Enginuity!$B$13=4, Enginuity!$B$13=6)),
      AND(
        LEFT(P4701,5)&lt;&gt;"1-Way",
        LEFT(P4701,5)&lt;&gt;"2-Way",
        LEFT(P4701,5)&lt;&gt;"3-Way",
        P4701&lt;&gt;"Inner Centre Jamb"
      )
    ),
    IF(OR(Enginuity!$A$1="Frameless Glass",Enginuity!$A$1="Metal Work"),
      AND(TRIM(B4701)=TRIM(Enginuity!$A$17),TRIM(C4701)=TRIM(Enginuity!$A$18)),
      TRIM(B4701)=TRIM(Enginuity!$A$17)
    )
  ),
  ROW(),
  ""
)</f>
        <v/>
      </c>
    </row>
    <row r="4702" spans="21:21" x14ac:dyDescent="0.25">
      <c r="U4702" s="104" t="str">
        <f>IF(
  AND(
    TRIM(A4702)=TRIM(Enginuity!$A$1),
    TRIM(B4702)=TRIM(Enginuity!$A$17),
    Q4702&lt;&gt;"",
    Q4702&lt;&gt;0,
    OR(
      TRIM(C4702)=TRIM(Enginuity!$A$18),
      AND(UPPER(TRIM(M4702))="STD", TRIM(B4702)=TRIM(Enginuity!$A$17))
    ),
    OR(
      AND(LEFT(P4702,5)="1-Way", Enginuity!$B$13=1),
      AND(LEFT(P4702,5)="2-Way", OR(Enginuity!$B$13=2, Enginuity!$B$13=4)),
      AND(LEFT(P4702,5)="3-Way", OR(Enginuity!$B$13=3, Enginuity!$B$13=6)),
      AND(P4702="Inner Centre Jamb", OR(Enginuity!$B$13=4, Enginuity!$B$13=6)),
      AND(
        LEFT(P4702,5)&lt;&gt;"1-Way",
        LEFT(P4702,5)&lt;&gt;"2-Way",
        LEFT(P4702,5)&lt;&gt;"3-Way",
        P4702&lt;&gt;"Inner Centre Jamb"
      )
    ),
    IF(OR(Enginuity!$A$1="Frameless Glass",Enginuity!$A$1="Metal Work"),
      AND(TRIM(B4702)=TRIM(Enginuity!$A$17),TRIM(C4702)=TRIM(Enginuity!$A$18)),
      TRIM(B4702)=TRIM(Enginuity!$A$17)
    )
  ),
  ROW(),
  ""
)</f>
        <v/>
      </c>
    </row>
    <row r="4703" spans="21:21" x14ac:dyDescent="0.25">
      <c r="U4703" s="104" t="str">
        <f>IF(
  AND(
    TRIM(A4703)=TRIM(Enginuity!$A$1),
    TRIM(B4703)=TRIM(Enginuity!$A$17),
    Q4703&lt;&gt;"",
    Q4703&lt;&gt;0,
    OR(
      TRIM(C4703)=TRIM(Enginuity!$A$18),
      AND(UPPER(TRIM(M4703))="STD", TRIM(B4703)=TRIM(Enginuity!$A$17))
    ),
    OR(
      AND(LEFT(P4703,5)="1-Way", Enginuity!$B$13=1),
      AND(LEFT(P4703,5)="2-Way", OR(Enginuity!$B$13=2, Enginuity!$B$13=4)),
      AND(LEFT(P4703,5)="3-Way", OR(Enginuity!$B$13=3, Enginuity!$B$13=6)),
      AND(P4703="Inner Centre Jamb", OR(Enginuity!$B$13=4, Enginuity!$B$13=6)),
      AND(
        LEFT(P4703,5)&lt;&gt;"1-Way",
        LEFT(P4703,5)&lt;&gt;"2-Way",
        LEFT(P4703,5)&lt;&gt;"3-Way",
        P4703&lt;&gt;"Inner Centre Jamb"
      )
    ),
    IF(OR(Enginuity!$A$1="Frameless Glass",Enginuity!$A$1="Metal Work"),
      AND(TRIM(B4703)=TRIM(Enginuity!$A$17),TRIM(C4703)=TRIM(Enginuity!$A$18)),
      TRIM(B4703)=TRIM(Enginuity!$A$17)
    )
  ),
  ROW(),
  ""
)</f>
        <v/>
      </c>
    </row>
    <row r="4704" spans="21:21" x14ac:dyDescent="0.25">
      <c r="U4704" s="104" t="str">
        <f>IF(
  AND(
    TRIM(A4704)=TRIM(Enginuity!$A$1),
    TRIM(B4704)=TRIM(Enginuity!$A$17),
    Q4704&lt;&gt;"",
    Q4704&lt;&gt;0,
    OR(
      TRIM(C4704)=TRIM(Enginuity!$A$18),
      AND(UPPER(TRIM(M4704))="STD", TRIM(B4704)=TRIM(Enginuity!$A$17))
    ),
    OR(
      AND(LEFT(P4704,5)="1-Way", Enginuity!$B$13=1),
      AND(LEFT(P4704,5)="2-Way", OR(Enginuity!$B$13=2, Enginuity!$B$13=4)),
      AND(LEFT(P4704,5)="3-Way", OR(Enginuity!$B$13=3, Enginuity!$B$13=6)),
      AND(P4704="Inner Centre Jamb", OR(Enginuity!$B$13=4, Enginuity!$B$13=6)),
      AND(
        LEFT(P4704,5)&lt;&gt;"1-Way",
        LEFT(P4704,5)&lt;&gt;"2-Way",
        LEFT(P4704,5)&lt;&gt;"3-Way",
        P4704&lt;&gt;"Inner Centre Jamb"
      )
    ),
    IF(OR(Enginuity!$A$1="Frameless Glass",Enginuity!$A$1="Metal Work"),
      AND(TRIM(B4704)=TRIM(Enginuity!$A$17),TRIM(C4704)=TRIM(Enginuity!$A$18)),
      TRIM(B4704)=TRIM(Enginuity!$A$17)
    )
  ),
  ROW(),
  ""
)</f>
        <v/>
      </c>
    </row>
    <row r="4705" spans="21:21" x14ac:dyDescent="0.25">
      <c r="U4705" s="104" t="str">
        <f>IF(
  AND(
    TRIM(A4705)=TRIM(Enginuity!$A$1),
    TRIM(B4705)=TRIM(Enginuity!$A$17),
    Q4705&lt;&gt;"",
    Q4705&lt;&gt;0,
    OR(
      TRIM(C4705)=TRIM(Enginuity!$A$18),
      AND(UPPER(TRIM(M4705))="STD", TRIM(B4705)=TRIM(Enginuity!$A$17))
    ),
    OR(
      AND(LEFT(P4705,5)="1-Way", Enginuity!$B$13=1),
      AND(LEFT(P4705,5)="2-Way", OR(Enginuity!$B$13=2, Enginuity!$B$13=4)),
      AND(LEFT(P4705,5)="3-Way", OR(Enginuity!$B$13=3, Enginuity!$B$13=6)),
      AND(P4705="Inner Centre Jamb", OR(Enginuity!$B$13=4, Enginuity!$B$13=6)),
      AND(
        LEFT(P4705,5)&lt;&gt;"1-Way",
        LEFT(P4705,5)&lt;&gt;"2-Way",
        LEFT(P4705,5)&lt;&gt;"3-Way",
        P4705&lt;&gt;"Inner Centre Jamb"
      )
    ),
    IF(OR(Enginuity!$A$1="Frameless Glass",Enginuity!$A$1="Metal Work"),
      AND(TRIM(B4705)=TRIM(Enginuity!$A$17),TRIM(C4705)=TRIM(Enginuity!$A$18)),
      TRIM(B4705)=TRIM(Enginuity!$A$17)
    )
  ),
  ROW(),
  ""
)</f>
        <v/>
      </c>
    </row>
    <row r="4706" spans="21:21" x14ac:dyDescent="0.25">
      <c r="U4706" s="104" t="str">
        <f>IF(
  AND(
    TRIM(A4706)=TRIM(Enginuity!$A$1),
    TRIM(B4706)=TRIM(Enginuity!$A$17),
    Q4706&lt;&gt;"",
    Q4706&lt;&gt;0,
    OR(
      TRIM(C4706)=TRIM(Enginuity!$A$18),
      AND(UPPER(TRIM(M4706))="STD", TRIM(B4706)=TRIM(Enginuity!$A$17))
    ),
    OR(
      AND(LEFT(P4706,5)="1-Way", Enginuity!$B$13=1),
      AND(LEFT(P4706,5)="2-Way", OR(Enginuity!$B$13=2, Enginuity!$B$13=4)),
      AND(LEFT(P4706,5)="3-Way", OR(Enginuity!$B$13=3, Enginuity!$B$13=6)),
      AND(P4706="Inner Centre Jamb", OR(Enginuity!$B$13=4, Enginuity!$B$13=6)),
      AND(
        LEFT(P4706,5)&lt;&gt;"1-Way",
        LEFT(P4706,5)&lt;&gt;"2-Way",
        LEFT(P4706,5)&lt;&gt;"3-Way",
        P4706&lt;&gt;"Inner Centre Jamb"
      )
    ),
    IF(OR(Enginuity!$A$1="Frameless Glass",Enginuity!$A$1="Metal Work"),
      AND(TRIM(B4706)=TRIM(Enginuity!$A$17),TRIM(C4706)=TRIM(Enginuity!$A$18)),
      TRIM(B4706)=TRIM(Enginuity!$A$17)
    )
  ),
  ROW(),
  ""
)</f>
        <v/>
      </c>
    </row>
    <row r="4707" spans="21:21" x14ac:dyDescent="0.25">
      <c r="U4707" s="104" t="str">
        <f>IF(
  AND(
    TRIM(A4707)=TRIM(Enginuity!$A$1),
    TRIM(B4707)=TRIM(Enginuity!$A$17),
    Q4707&lt;&gt;"",
    Q4707&lt;&gt;0,
    OR(
      TRIM(C4707)=TRIM(Enginuity!$A$18),
      AND(UPPER(TRIM(M4707))="STD", TRIM(B4707)=TRIM(Enginuity!$A$17))
    ),
    OR(
      AND(LEFT(P4707,5)="1-Way", Enginuity!$B$13=1),
      AND(LEFT(P4707,5)="2-Way", OR(Enginuity!$B$13=2, Enginuity!$B$13=4)),
      AND(LEFT(P4707,5)="3-Way", OR(Enginuity!$B$13=3, Enginuity!$B$13=6)),
      AND(P4707="Inner Centre Jamb", OR(Enginuity!$B$13=4, Enginuity!$B$13=6)),
      AND(
        LEFT(P4707,5)&lt;&gt;"1-Way",
        LEFT(P4707,5)&lt;&gt;"2-Way",
        LEFT(P4707,5)&lt;&gt;"3-Way",
        P4707&lt;&gt;"Inner Centre Jamb"
      )
    ),
    IF(OR(Enginuity!$A$1="Frameless Glass",Enginuity!$A$1="Metal Work"),
      AND(TRIM(B4707)=TRIM(Enginuity!$A$17),TRIM(C4707)=TRIM(Enginuity!$A$18)),
      TRIM(B4707)=TRIM(Enginuity!$A$17)
    )
  ),
  ROW(),
  ""
)</f>
        <v/>
      </c>
    </row>
    <row r="4708" spans="21:21" x14ac:dyDescent="0.25">
      <c r="U4708" s="104" t="str">
        <f>IF(
  AND(
    TRIM(A4708)=TRIM(Enginuity!$A$1),
    TRIM(B4708)=TRIM(Enginuity!$A$17),
    Q4708&lt;&gt;"",
    Q4708&lt;&gt;0,
    OR(
      TRIM(C4708)=TRIM(Enginuity!$A$18),
      AND(UPPER(TRIM(M4708))="STD", TRIM(B4708)=TRIM(Enginuity!$A$17))
    ),
    OR(
      AND(LEFT(P4708,5)="1-Way", Enginuity!$B$13=1),
      AND(LEFT(P4708,5)="2-Way", OR(Enginuity!$B$13=2, Enginuity!$B$13=4)),
      AND(LEFT(P4708,5)="3-Way", OR(Enginuity!$B$13=3, Enginuity!$B$13=6)),
      AND(P4708="Inner Centre Jamb", OR(Enginuity!$B$13=4, Enginuity!$B$13=6)),
      AND(
        LEFT(P4708,5)&lt;&gt;"1-Way",
        LEFT(P4708,5)&lt;&gt;"2-Way",
        LEFT(P4708,5)&lt;&gt;"3-Way",
        P4708&lt;&gt;"Inner Centre Jamb"
      )
    ),
    IF(OR(Enginuity!$A$1="Frameless Glass",Enginuity!$A$1="Metal Work"),
      AND(TRIM(B4708)=TRIM(Enginuity!$A$17),TRIM(C4708)=TRIM(Enginuity!$A$18)),
      TRIM(B4708)=TRIM(Enginuity!$A$17)
    )
  ),
  ROW(),
  ""
)</f>
        <v/>
      </c>
    </row>
    <row r="4709" spans="21:21" x14ac:dyDescent="0.25">
      <c r="U4709" s="104" t="str">
        <f>IF(
  AND(
    TRIM(A4709)=TRIM(Enginuity!$A$1),
    TRIM(B4709)=TRIM(Enginuity!$A$17),
    Q4709&lt;&gt;"",
    Q4709&lt;&gt;0,
    OR(
      TRIM(C4709)=TRIM(Enginuity!$A$18),
      AND(UPPER(TRIM(M4709))="STD", TRIM(B4709)=TRIM(Enginuity!$A$17))
    ),
    OR(
      AND(LEFT(P4709,5)="1-Way", Enginuity!$B$13=1),
      AND(LEFT(P4709,5)="2-Way", OR(Enginuity!$B$13=2, Enginuity!$B$13=4)),
      AND(LEFT(P4709,5)="3-Way", OR(Enginuity!$B$13=3, Enginuity!$B$13=6)),
      AND(P4709="Inner Centre Jamb", OR(Enginuity!$B$13=4, Enginuity!$B$13=6)),
      AND(
        LEFT(P4709,5)&lt;&gt;"1-Way",
        LEFT(P4709,5)&lt;&gt;"2-Way",
        LEFT(P4709,5)&lt;&gt;"3-Way",
        P4709&lt;&gt;"Inner Centre Jamb"
      )
    ),
    IF(OR(Enginuity!$A$1="Frameless Glass",Enginuity!$A$1="Metal Work"),
      AND(TRIM(B4709)=TRIM(Enginuity!$A$17),TRIM(C4709)=TRIM(Enginuity!$A$18)),
      TRIM(B4709)=TRIM(Enginuity!$A$17)
    )
  ),
  ROW(),
  ""
)</f>
        <v/>
      </c>
    </row>
    <row r="4710" spans="21:21" x14ac:dyDescent="0.25">
      <c r="U4710" s="104" t="str">
        <f>IF(
  AND(
    TRIM(A4710)=TRIM(Enginuity!$A$1),
    TRIM(B4710)=TRIM(Enginuity!$A$17),
    Q4710&lt;&gt;"",
    Q4710&lt;&gt;0,
    OR(
      TRIM(C4710)=TRIM(Enginuity!$A$18),
      AND(UPPER(TRIM(M4710))="STD", TRIM(B4710)=TRIM(Enginuity!$A$17))
    ),
    OR(
      AND(LEFT(P4710,5)="1-Way", Enginuity!$B$13=1),
      AND(LEFT(P4710,5)="2-Way", OR(Enginuity!$B$13=2, Enginuity!$B$13=4)),
      AND(LEFT(P4710,5)="3-Way", OR(Enginuity!$B$13=3, Enginuity!$B$13=6)),
      AND(P4710="Inner Centre Jamb", OR(Enginuity!$B$13=4, Enginuity!$B$13=6)),
      AND(
        LEFT(P4710,5)&lt;&gt;"1-Way",
        LEFT(P4710,5)&lt;&gt;"2-Way",
        LEFT(P4710,5)&lt;&gt;"3-Way",
        P4710&lt;&gt;"Inner Centre Jamb"
      )
    ),
    IF(OR(Enginuity!$A$1="Frameless Glass",Enginuity!$A$1="Metal Work"),
      AND(TRIM(B4710)=TRIM(Enginuity!$A$17),TRIM(C4710)=TRIM(Enginuity!$A$18)),
      TRIM(B4710)=TRIM(Enginuity!$A$17)
    )
  ),
  ROW(),
  ""
)</f>
        <v/>
      </c>
    </row>
    <row r="4711" spans="21:21" x14ac:dyDescent="0.25">
      <c r="U4711" s="104" t="str">
        <f>IF(
  AND(
    TRIM(A4711)=TRIM(Enginuity!$A$1),
    TRIM(B4711)=TRIM(Enginuity!$A$17),
    Q4711&lt;&gt;"",
    Q4711&lt;&gt;0,
    OR(
      TRIM(C4711)=TRIM(Enginuity!$A$18),
      AND(UPPER(TRIM(M4711))="STD", TRIM(B4711)=TRIM(Enginuity!$A$17))
    ),
    OR(
      AND(LEFT(P4711,5)="1-Way", Enginuity!$B$13=1),
      AND(LEFT(P4711,5)="2-Way", OR(Enginuity!$B$13=2, Enginuity!$B$13=4)),
      AND(LEFT(P4711,5)="3-Way", OR(Enginuity!$B$13=3, Enginuity!$B$13=6)),
      AND(P4711="Inner Centre Jamb", OR(Enginuity!$B$13=4, Enginuity!$B$13=6)),
      AND(
        LEFT(P4711,5)&lt;&gt;"1-Way",
        LEFT(P4711,5)&lt;&gt;"2-Way",
        LEFT(P4711,5)&lt;&gt;"3-Way",
        P4711&lt;&gt;"Inner Centre Jamb"
      )
    ),
    IF(OR(Enginuity!$A$1="Frameless Glass",Enginuity!$A$1="Metal Work"),
      AND(TRIM(B4711)=TRIM(Enginuity!$A$17),TRIM(C4711)=TRIM(Enginuity!$A$18)),
      TRIM(B4711)=TRIM(Enginuity!$A$17)
    )
  ),
  ROW(),
  ""
)</f>
        <v/>
      </c>
    </row>
    <row r="4712" spans="21:21" x14ac:dyDescent="0.25">
      <c r="U4712" s="104" t="str">
        <f>IF(
  AND(
    TRIM(A4712)=TRIM(Enginuity!$A$1),
    TRIM(B4712)=TRIM(Enginuity!$A$17),
    Q4712&lt;&gt;"",
    Q4712&lt;&gt;0,
    OR(
      TRIM(C4712)=TRIM(Enginuity!$A$18),
      AND(UPPER(TRIM(M4712))="STD", TRIM(B4712)=TRIM(Enginuity!$A$17))
    ),
    OR(
      AND(LEFT(P4712,5)="1-Way", Enginuity!$B$13=1),
      AND(LEFT(P4712,5)="2-Way", OR(Enginuity!$B$13=2, Enginuity!$B$13=4)),
      AND(LEFT(P4712,5)="3-Way", OR(Enginuity!$B$13=3, Enginuity!$B$13=6)),
      AND(P4712="Inner Centre Jamb", OR(Enginuity!$B$13=4, Enginuity!$B$13=6)),
      AND(
        LEFT(P4712,5)&lt;&gt;"1-Way",
        LEFT(P4712,5)&lt;&gt;"2-Way",
        LEFT(P4712,5)&lt;&gt;"3-Way",
        P4712&lt;&gt;"Inner Centre Jamb"
      )
    ),
    IF(OR(Enginuity!$A$1="Frameless Glass",Enginuity!$A$1="Metal Work"),
      AND(TRIM(B4712)=TRIM(Enginuity!$A$17),TRIM(C4712)=TRIM(Enginuity!$A$18)),
      TRIM(B4712)=TRIM(Enginuity!$A$17)
    )
  ),
  ROW(),
  ""
)</f>
        <v/>
      </c>
    </row>
    <row r="4713" spans="21:21" x14ac:dyDescent="0.25">
      <c r="U4713" s="104" t="str">
        <f>IF(
  AND(
    TRIM(A4713)=TRIM(Enginuity!$A$1),
    TRIM(B4713)=TRIM(Enginuity!$A$17),
    Q4713&lt;&gt;"",
    Q4713&lt;&gt;0,
    OR(
      TRIM(C4713)=TRIM(Enginuity!$A$18),
      AND(UPPER(TRIM(M4713))="STD", TRIM(B4713)=TRIM(Enginuity!$A$17))
    ),
    OR(
      AND(LEFT(P4713,5)="1-Way", Enginuity!$B$13=1),
      AND(LEFT(P4713,5)="2-Way", OR(Enginuity!$B$13=2, Enginuity!$B$13=4)),
      AND(LEFT(P4713,5)="3-Way", OR(Enginuity!$B$13=3, Enginuity!$B$13=6)),
      AND(P4713="Inner Centre Jamb", OR(Enginuity!$B$13=4, Enginuity!$B$13=6)),
      AND(
        LEFT(P4713,5)&lt;&gt;"1-Way",
        LEFT(P4713,5)&lt;&gt;"2-Way",
        LEFT(P4713,5)&lt;&gt;"3-Way",
        P4713&lt;&gt;"Inner Centre Jamb"
      )
    ),
    IF(OR(Enginuity!$A$1="Frameless Glass",Enginuity!$A$1="Metal Work"),
      AND(TRIM(B4713)=TRIM(Enginuity!$A$17),TRIM(C4713)=TRIM(Enginuity!$A$18)),
      TRIM(B4713)=TRIM(Enginuity!$A$17)
    )
  ),
  ROW(),
  ""
)</f>
        <v/>
      </c>
    </row>
    <row r="4714" spans="21:21" x14ac:dyDescent="0.25">
      <c r="U4714" s="104" t="str">
        <f>IF(
  AND(
    TRIM(A4714)=TRIM(Enginuity!$A$1),
    TRIM(B4714)=TRIM(Enginuity!$A$17),
    Q4714&lt;&gt;"",
    Q4714&lt;&gt;0,
    OR(
      TRIM(C4714)=TRIM(Enginuity!$A$18),
      AND(UPPER(TRIM(M4714))="STD", TRIM(B4714)=TRIM(Enginuity!$A$17))
    ),
    OR(
      AND(LEFT(P4714,5)="1-Way", Enginuity!$B$13=1),
      AND(LEFT(P4714,5)="2-Way", OR(Enginuity!$B$13=2, Enginuity!$B$13=4)),
      AND(LEFT(P4714,5)="3-Way", OR(Enginuity!$B$13=3, Enginuity!$B$13=6)),
      AND(P4714="Inner Centre Jamb", OR(Enginuity!$B$13=4, Enginuity!$B$13=6)),
      AND(
        LEFT(P4714,5)&lt;&gt;"1-Way",
        LEFT(P4714,5)&lt;&gt;"2-Way",
        LEFT(P4714,5)&lt;&gt;"3-Way",
        P4714&lt;&gt;"Inner Centre Jamb"
      )
    ),
    IF(OR(Enginuity!$A$1="Frameless Glass",Enginuity!$A$1="Metal Work"),
      AND(TRIM(B4714)=TRIM(Enginuity!$A$17),TRIM(C4714)=TRIM(Enginuity!$A$18)),
      TRIM(B4714)=TRIM(Enginuity!$A$17)
    )
  ),
  ROW(),
  ""
)</f>
        <v/>
      </c>
    </row>
    <row r="4715" spans="21:21" x14ac:dyDescent="0.25">
      <c r="U4715" s="104" t="str">
        <f>IF(
  AND(
    TRIM(A4715)=TRIM(Enginuity!$A$1),
    TRIM(B4715)=TRIM(Enginuity!$A$17),
    Q4715&lt;&gt;"",
    Q4715&lt;&gt;0,
    OR(
      TRIM(C4715)=TRIM(Enginuity!$A$18),
      AND(UPPER(TRIM(M4715))="STD", TRIM(B4715)=TRIM(Enginuity!$A$17))
    ),
    OR(
      AND(LEFT(P4715,5)="1-Way", Enginuity!$B$13=1),
      AND(LEFT(P4715,5)="2-Way", OR(Enginuity!$B$13=2, Enginuity!$B$13=4)),
      AND(LEFT(P4715,5)="3-Way", OR(Enginuity!$B$13=3, Enginuity!$B$13=6)),
      AND(P4715="Inner Centre Jamb", OR(Enginuity!$B$13=4, Enginuity!$B$13=6)),
      AND(
        LEFT(P4715,5)&lt;&gt;"1-Way",
        LEFT(P4715,5)&lt;&gt;"2-Way",
        LEFT(P4715,5)&lt;&gt;"3-Way",
        P4715&lt;&gt;"Inner Centre Jamb"
      )
    ),
    IF(OR(Enginuity!$A$1="Frameless Glass",Enginuity!$A$1="Metal Work"),
      AND(TRIM(B4715)=TRIM(Enginuity!$A$17),TRIM(C4715)=TRIM(Enginuity!$A$18)),
      TRIM(B4715)=TRIM(Enginuity!$A$17)
    )
  ),
  ROW(),
  ""
)</f>
        <v/>
      </c>
    </row>
    <row r="4716" spans="21:21" x14ac:dyDescent="0.25">
      <c r="U4716" s="104" t="str">
        <f>IF(
  AND(
    TRIM(A4716)=TRIM(Enginuity!$A$1),
    TRIM(B4716)=TRIM(Enginuity!$A$17),
    Q4716&lt;&gt;"",
    Q4716&lt;&gt;0,
    OR(
      TRIM(C4716)=TRIM(Enginuity!$A$18),
      AND(UPPER(TRIM(M4716))="STD", TRIM(B4716)=TRIM(Enginuity!$A$17))
    ),
    OR(
      AND(LEFT(P4716,5)="1-Way", Enginuity!$B$13=1),
      AND(LEFT(P4716,5)="2-Way", OR(Enginuity!$B$13=2, Enginuity!$B$13=4)),
      AND(LEFT(P4716,5)="3-Way", OR(Enginuity!$B$13=3, Enginuity!$B$13=6)),
      AND(P4716="Inner Centre Jamb", OR(Enginuity!$B$13=4, Enginuity!$B$13=6)),
      AND(
        LEFT(P4716,5)&lt;&gt;"1-Way",
        LEFT(P4716,5)&lt;&gt;"2-Way",
        LEFT(P4716,5)&lt;&gt;"3-Way",
        P4716&lt;&gt;"Inner Centre Jamb"
      )
    ),
    IF(OR(Enginuity!$A$1="Frameless Glass",Enginuity!$A$1="Metal Work"),
      AND(TRIM(B4716)=TRIM(Enginuity!$A$17),TRIM(C4716)=TRIM(Enginuity!$A$18)),
      TRIM(B4716)=TRIM(Enginuity!$A$17)
    )
  ),
  ROW(),
  ""
)</f>
        <v/>
      </c>
    </row>
    <row r="4717" spans="21:21" x14ac:dyDescent="0.25">
      <c r="U4717" s="104" t="str">
        <f>IF(
  AND(
    TRIM(A4717)=TRIM(Enginuity!$A$1),
    TRIM(B4717)=TRIM(Enginuity!$A$17),
    Q4717&lt;&gt;"",
    Q4717&lt;&gt;0,
    OR(
      TRIM(C4717)=TRIM(Enginuity!$A$18),
      AND(UPPER(TRIM(M4717))="STD", TRIM(B4717)=TRIM(Enginuity!$A$17))
    ),
    OR(
      AND(LEFT(P4717,5)="1-Way", Enginuity!$B$13=1),
      AND(LEFT(P4717,5)="2-Way", OR(Enginuity!$B$13=2, Enginuity!$B$13=4)),
      AND(LEFT(P4717,5)="3-Way", OR(Enginuity!$B$13=3, Enginuity!$B$13=6)),
      AND(P4717="Inner Centre Jamb", OR(Enginuity!$B$13=4, Enginuity!$B$13=6)),
      AND(
        LEFT(P4717,5)&lt;&gt;"1-Way",
        LEFT(P4717,5)&lt;&gt;"2-Way",
        LEFT(P4717,5)&lt;&gt;"3-Way",
        P4717&lt;&gt;"Inner Centre Jamb"
      )
    ),
    IF(OR(Enginuity!$A$1="Frameless Glass",Enginuity!$A$1="Metal Work"),
      AND(TRIM(B4717)=TRIM(Enginuity!$A$17),TRIM(C4717)=TRIM(Enginuity!$A$18)),
      TRIM(B4717)=TRIM(Enginuity!$A$17)
    )
  ),
  ROW(),
  ""
)</f>
        <v/>
      </c>
    </row>
    <row r="4718" spans="21:21" x14ac:dyDescent="0.25">
      <c r="U4718" s="104" t="str">
        <f>IF(
  AND(
    TRIM(A4718)=TRIM(Enginuity!$A$1),
    TRIM(B4718)=TRIM(Enginuity!$A$17),
    Q4718&lt;&gt;"",
    Q4718&lt;&gt;0,
    OR(
      TRIM(C4718)=TRIM(Enginuity!$A$18),
      AND(UPPER(TRIM(M4718))="STD", TRIM(B4718)=TRIM(Enginuity!$A$17))
    ),
    OR(
      AND(LEFT(P4718,5)="1-Way", Enginuity!$B$13=1),
      AND(LEFT(P4718,5)="2-Way", OR(Enginuity!$B$13=2, Enginuity!$B$13=4)),
      AND(LEFT(P4718,5)="3-Way", OR(Enginuity!$B$13=3, Enginuity!$B$13=6)),
      AND(P4718="Inner Centre Jamb", OR(Enginuity!$B$13=4, Enginuity!$B$13=6)),
      AND(
        LEFT(P4718,5)&lt;&gt;"1-Way",
        LEFT(P4718,5)&lt;&gt;"2-Way",
        LEFT(P4718,5)&lt;&gt;"3-Way",
        P4718&lt;&gt;"Inner Centre Jamb"
      )
    ),
    IF(OR(Enginuity!$A$1="Frameless Glass",Enginuity!$A$1="Metal Work"),
      AND(TRIM(B4718)=TRIM(Enginuity!$A$17),TRIM(C4718)=TRIM(Enginuity!$A$18)),
      TRIM(B4718)=TRIM(Enginuity!$A$17)
    )
  ),
  ROW(),
  ""
)</f>
        <v/>
      </c>
    </row>
    <row r="4719" spans="21:21" x14ac:dyDescent="0.25">
      <c r="U4719" s="104" t="str">
        <f>IF(
  AND(
    TRIM(A4719)=TRIM(Enginuity!$A$1),
    TRIM(B4719)=TRIM(Enginuity!$A$17),
    Q4719&lt;&gt;"",
    Q4719&lt;&gt;0,
    OR(
      TRIM(C4719)=TRIM(Enginuity!$A$18),
      AND(UPPER(TRIM(M4719))="STD", TRIM(B4719)=TRIM(Enginuity!$A$17))
    ),
    OR(
      AND(LEFT(P4719,5)="1-Way", Enginuity!$B$13=1),
      AND(LEFT(P4719,5)="2-Way", OR(Enginuity!$B$13=2, Enginuity!$B$13=4)),
      AND(LEFT(P4719,5)="3-Way", OR(Enginuity!$B$13=3, Enginuity!$B$13=6)),
      AND(P4719="Inner Centre Jamb", OR(Enginuity!$B$13=4, Enginuity!$B$13=6)),
      AND(
        LEFT(P4719,5)&lt;&gt;"1-Way",
        LEFT(P4719,5)&lt;&gt;"2-Way",
        LEFT(P4719,5)&lt;&gt;"3-Way",
        P4719&lt;&gt;"Inner Centre Jamb"
      )
    ),
    IF(OR(Enginuity!$A$1="Frameless Glass",Enginuity!$A$1="Metal Work"),
      AND(TRIM(B4719)=TRIM(Enginuity!$A$17),TRIM(C4719)=TRIM(Enginuity!$A$18)),
      TRIM(B4719)=TRIM(Enginuity!$A$17)
    )
  ),
  ROW(),
  ""
)</f>
        <v/>
      </c>
    </row>
    <row r="4720" spans="21:21" x14ac:dyDescent="0.25">
      <c r="U4720" s="104" t="str">
        <f>IF(
  AND(
    TRIM(A4720)=TRIM(Enginuity!$A$1),
    TRIM(B4720)=TRIM(Enginuity!$A$17),
    Q4720&lt;&gt;"",
    Q4720&lt;&gt;0,
    OR(
      TRIM(C4720)=TRIM(Enginuity!$A$18),
      AND(UPPER(TRIM(M4720))="STD", TRIM(B4720)=TRIM(Enginuity!$A$17))
    ),
    OR(
      AND(LEFT(P4720,5)="1-Way", Enginuity!$B$13=1),
      AND(LEFT(P4720,5)="2-Way", OR(Enginuity!$B$13=2, Enginuity!$B$13=4)),
      AND(LEFT(P4720,5)="3-Way", OR(Enginuity!$B$13=3, Enginuity!$B$13=6)),
      AND(P4720="Inner Centre Jamb", OR(Enginuity!$B$13=4, Enginuity!$B$13=6)),
      AND(
        LEFT(P4720,5)&lt;&gt;"1-Way",
        LEFT(P4720,5)&lt;&gt;"2-Way",
        LEFT(P4720,5)&lt;&gt;"3-Way",
        P4720&lt;&gt;"Inner Centre Jamb"
      )
    ),
    IF(OR(Enginuity!$A$1="Frameless Glass",Enginuity!$A$1="Metal Work"),
      AND(TRIM(B4720)=TRIM(Enginuity!$A$17),TRIM(C4720)=TRIM(Enginuity!$A$18)),
      TRIM(B4720)=TRIM(Enginuity!$A$17)
    )
  ),
  ROW(),
  ""
)</f>
        <v/>
      </c>
    </row>
    <row r="4721" spans="21:21" x14ac:dyDescent="0.25">
      <c r="U4721" s="104" t="str">
        <f>IF(
  AND(
    TRIM(A4721)=TRIM(Enginuity!$A$1),
    TRIM(B4721)=TRIM(Enginuity!$A$17),
    Q4721&lt;&gt;"",
    Q4721&lt;&gt;0,
    OR(
      TRIM(C4721)=TRIM(Enginuity!$A$18),
      AND(UPPER(TRIM(M4721))="STD", TRIM(B4721)=TRIM(Enginuity!$A$17))
    ),
    OR(
      AND(LEFT(P4721,5)="1-Way", Enginuity!$B$13=1),
      AND(LEFT(P4721,5)="2-Way", OR(Enginuity!$B$13=2, Enginuity!$B$13=4)),
      AND(LEFT(P4721,5)="3-Way", OR(Enginuity!$B$13=3, Enginuity!$B$13=6)),
      AND(P4721="Inner Centre Jamb", OR(Enginuity!$B$13=4, Enginuity!$B$13=6)),
      AND(
        LEFT(P4721,5)&lt;&gt;"1-Way",
        LEFT(P4721,5)&lt;&gt;"2-Way",
        LEFT(P4721,5)&lt;&gt;"3-Way",
        P4721&lt;&gt;"Inner Centre Jamb"
      )
    ),
    IF(OR(Enginuity!$A$1="Frameless Glass",Enginuity!$A$1="Metal Work"),
      AND(TRIM(B4721)=TRIM(Enginuity!$A$17),TRIM(C4721)=TRIM(Enginuity!$A$18)),
      TRIM(B4721)=TRIM(Enginuity!$A$17)
    )
  ),
  ROW(),
  ""
)</f>
        <v/>
      </c>
    </row>
    <row r="4722" spans="21:21" x14ac:dyDescent="0.25">
      <c r="U4722" s="104" t="str">
        <f>IF(
  AND(
    TRIM(A4722)=TRIM(Enginuity!$A$1),
    TRIM(B4722)=TRIM(Enginuity!$A$17),
    Q4722&lt;&gt;"",
    Q4722&lt;&gt;0,
    OR(
      TRIM(C4722)=TRIM(Enginuity!$A$18),
      AND(UPPER(TRIM(M4722))="STD", TRIM(B4722)=TRIM(Enginuity!$A$17))
    ),
    OR(
      AND(LEFT(P4722,5)="1-Way", Enginuity!$B$13=1),
      AND(LEFT(P4722,5)="2-Way", OR(Enginuity!$B$13=2, Enginuity!$B$13=4)),
      AND(LEFT(P4722,5)="3-Way", OR(Enginuity!$B$13=3, Enginuity!$B$13=6)),
      AND(P4722="Inner Centre Jamb", OR(Enginuity!$B$13=4, Enginuity!$B$13=6)),
      AND(
        LEFT(P4722,5)&lt;&gt;"1-Way",
        LEFT(P4722,5)&lt;&gt;"2-Way",
        LEFT(P4722,5)&lt;&gt;"3-Way",
        P4722&lt;&gt;"Inner Centre Jamb"
      )
    ),
    IF(OR(Enginuity!$A$1="Frameless Glass",Enginuity!$A$1="Metal Work"),
      AND(TRIM(B4722)=TRIM(Enginuity!$A$17),TRIM(C4722)=TRIM(Enginuity!$A$18)),
      TRIM(B4722)=TRIM(Enginuity!$A$17)
    )
  ),
  ROW(),
  ""
)</f>
        <v/>
      </c>
    </row>
    <row r="4723" spans="21:21" x14ac:dyDescent="0.25">
      <c r="U4723" s="104" t="str">
        <f>IF(
  AND(
    TRIM(A4723)=TRIM(Enginuity!$A$1),
    TRIM(B4723)=TRIM(Enginuity!$A$17),
    Q4723&lt;&gt;"",
    Q4723&lt;&gt;0,
    OR(
      TRIM(C4723)=TRIM(Enginuity!$A$18),
      AND(UPPER(TRIM(M4723))="STD", TRIM(B4723)=TRIM(Enginuity!$A$17))
    ),
    OR(
      AND(LEFT(P4723,5)="1-Way", Enginuity!$B$13=1),
      AND(LEFT(P4723,5)="2-Way", OR(Enginuity!$B$13=2, Enginuity!$B$13=4)),
      AND(LEFT(P4723,5)="3-Way", OR(Enginuity!$B$13=3, Enginuity!$B$13=6)),
      AND(P4723="Inner Centre Jamb", OR(Enginuity!$B$13=4, Enginuity!$B$13=6)),
      AND(
        LEFT(P4723,5)&lt;&gt;"1-Way",
        LEFT(P4723,5)&lt;&gt;"2-Way",
        LEFT(P4723,5)&lt;&gt;"3-Way",
        P4723&lt;&gt;"Inner Centre Jamb"
      )
    ),
    IF(OR(Enginuity!$A$1="Frameless Glass",Enginuity!$A$1="Metal Work"),
      AND(TRIM(B4723)=TRIM(Enginuity!$A$17),TRIM(C4723)=TRIM(Enginuity!$A$18)),
      TRIM(B4723)=TRIM(Enginuity!$A$17)
    )
  ),
  ROW(),
  ""
)</f>
        <v/>
      </c>
    </row>
    <row r="4724" spans="21:21" x14ac:dyDescent="0.25">
      <c r="U4724" s="104" t="str">
        <f>IF(
  AND(
    TRIM(A4724)=TRIM(Enginuity!$A$1),
    TRIM(B4724)=TRIM(Enginuity!$A$17),
    Q4724&lt;&gt;"",
    Q4724&lt;&gt;0,
    OR(
      TRIM(C4724)=TRIM(Enginuity!$A$18),
      AND(UPPER(TRIM(M4724))="STD", TRIM(B4724)=TRIM(Enginuity!$A$17))
    ),
    OR(
      AND(LEFT(P4724,5)="1-Way", Enginuity!$B$13=1),
      AND(LEFT(P4724,5)="2-Way", OR(Enginuity!$B$13=2, Enginuity!$B$13=4)),
      AND(LEFT(P4724,5)="3-Way", OR(Enginuity!$B$13=3, Enginuity!$B$13=6)),
      AND(P4724="Inner Centre Jamb", OR(Enginuity!$B$13=4, Enginuity!$B$13=6)),
      AND(
        LEFT(P4724,5)&lt;&gt;"1-Way",
        LEFT(P4724,5)&lt;&gt;"2-Way",
        LEFT(P4724,5)&lt;&gt;"3-Way",
        P4724&lt;&gt;"Inner Centre Jamb"
      )
    ),
    IF(OR(Enginuity!$A$1="Frameless Glass",Enginuity!$A$1="Metal Work"),
      AND(TRIM(B4724)=TRIM(Enginuity!$A$17),TRIM(C4724)=TRIM(Enginuity!$A$18)),
      TRIM(B4724)=TRIM(Enginuity!$A$17)
    )
  ),
  ROW(),
  ""
)</f>
        <v/>
      </c>
    </row>
    <row r="4725" spans="21:21" x14ac:dyDescent="0.25">
      <c r="U4725" s="104" t="str">
        <f>IF(
  AND(
    TRIM(A4725)=TRIM(Enginuity!$A$1),
    TRIM(B4725)=TRIM(Enginuity!$A$17),
    Q4725&lt;&gt;"",
    Q4725&lt;&gt;0,
    OR(
      TRIM(C4725)=TRIM(Enginuity!$A$18),
      AND(UPPER(TRIM(M4725))="STD", TRIM(B4725)=TRIM(Enginuity!$A$17))
    ),
    OR(
      AND(LEFT(P4725,5)="1-Way", Enginuity!$B$13=1),
      AND(LEFT(P4725,5)="2-Way", OR(Enginuity!$B$13=2, Enginuity!$B$13=4)),
      AND(LEFT(P4725,5)="3-Way", OR(Enginuity!$B$13=3, Enginuity!$B$13=6)),
      AND(P4725="Inner Centre Jamb", OR(Enginuity!$B$13=4, Enginuity!$B$13=6)),
      AND(
        LEFT(P4725,5)&lt;&gt;"1-Way",
        LEFT(P4725,5)&lt;&gt;"2-Way",
        LEFT(P4725,5)&lt;&gt;"3-Way",
        P4725&lt;&gt;"Inner Centre Jamb"
      )
    ),
    IF(OR(Enginuity!$A$1="Frameless Glass",Enginuity!$A$1="Metal Work"),
      AND(TRIM(B4725)=TRIM(Enginuity!$A$17),TRIM(C4725)=TRIM(Enginuity!$A$18)),
      TRIM(B4725)=TRIM(Enginuity!$A$17)
    )
  ),
  ROW(),
  ""
)</f>
        <v/>
      </c>
    </row>
    <row r="4726" spans="21:21" x14ac:dyDescent="0.25">
      <c r="U4726" s="104" t="str">
        <f>IF(
  AND(
    TRIM(A4726)=TRIM(Enginuity!$A$1),
    TRIM(B4726)=TRIM(Enginuity!$A$17),
    Q4726&lt;&gt;"",
    Q4726&lt;&gt;0,
    OR(
      TRIM(C4726)=TRIM(Enginuity!$A$18),
      AND(UPPER(TRIM(M4726))="STD", TRIM(B4726)=TRIM(Enginuity!$A$17))
    ),
    OR(
      AND(LEFT(P4726,5)="1-Way", Enginuity!$B$13=1),
      AND(LEFT(P4726,5)="2-Way", OR(Enginuity!$B$13=2, Enginuity!$B$13=4)),
      AND(LEFT(P4726,5)="3-Way", OR(Enginuity!$B$13=3, Enginuity!$B$13=6)),
      AND(P4726="Inner Centre Jamb", OR(Enginuity!$B$13=4, Enginuity!$B$13=6)),
      AND(
        LEFT(P4726,5)&lt;&gt;"1-Way",
        LEFT(P4726,5)&lt;&gt;"2-Way",
        LEFT(P4726,5)&lt;&gt;"3-Way",
        P4726&lt;&gt;"Inner Centre Jamb"
      )
    ),
    IF(OR(Enginuity!$A$1="Frameless Glass",Enginuity!$A$1="Metal Work"),
      AND(TRIM(B4726)=TRIM(Enginuity!$A$17),TRIM(C4726)=TRIM(Enginuity!$A$18)),
      TRIM(B4726)=TRIM(Enginuity!$A$17)
    )
  ),
  ROW(),
  ""
)</f>
        <v/>
      </c>
    </row>
    <row r="4727" spans="21:21" x14ac:dyDescent="0.25">
      <c r="U4727" s="104" t="str">
        <f>IF(
  AND(
    TRIM(A4727)=TRIM(Enginuity!$A$1),
    TRIM(B4727)=TRIM(Enginuity!$A$17),
    Q4727&lt;&gt;"",
    Q4727&lt;&gt;0,
    OR(
      TRIM(C4727)=TRIM(Enginuity!$A$18),
      AND(UPPER(TRIM(M4727))="STD", TRIM(B4727)=TRIM(Enginuity!$A$17))
    ),
    OR(
      AND(LEFT(P4727,5)="1-Way", Enginuity!$B$13=1),
      AND(LEFT(P4727,5)="2-Way", OR(Enginuity!$B$13=2, Enginuity!$B$13=4)),
      AND(LEFT(P4727,5)="3-Way", OR(Enginuity!$B$13=3, Enginuity!$B$13=6)),
      AND(P4727="Inner Centre Jamb", OR(Enginuity!$B$13=4, Enginuity!$B$13=6)),
      AND(
        LEFT(P4727,5)&lt;&gt;"1-Way",
        LEFT(P4727,5)&lt;&gt;"2-Way",
        LEFT(P4727,5)&lt;&gt;"3-Way",
        P4727&lt;&gt;"Inner Centre Jamb"
      )
    ),
    IF(OR(Enginuity!$A$1="Frameless Glass",Enginuity!$A$1="Metal Work"),
      AND(TRIM(B4727)=TRIM(Enginuity!$A$17),TRIM(C4727)=TRIM(Enginuity!$A$18)),
      TRIM(B4727)=TRIM(Enginuity!$A$17)
    )
  ),
  ROW(),
  ""
)</f>
        <v/>
      </c>
    </row>
    <row r="4728" spans="21:21" x14ac:dyDescent="0.25">
      <c r="U4728" s="104" t="str">
        <f>IF(
  AND(
    TRIM(A4728)=TRIM(Enginuity!$A$1),
    TRIM(B4728)=TRIM(Enginuity!$A$17),
    Q4728&lt;&gt;"",
    Q4728&lt;&gt;0,
    OR(
      TRIM(C4728)=TRIM(Enginuity!$A$18),
      AND(UPPER(TRIM(M4728))="STD", TRIM(B4728)=TRIM(Enginuity!$A$17))
    ),
    OR(
      AND(LEFT(P4728,5)="1-Way", Enginuity!$B$13=1),
      AND(LEFT(P4728,5)="2-Way", OR(Enginuity!$B$13=2, Enginuity!$B$13=4)),
      AND(LEFT(P4728,5)="3-Way", OR(Enginuity!$B$13=3, Enginuity!$B$13=6)),
      AND(P4728="Inner Centre Jamb", OR(Enginuity!$B$13=4, Enginuity!$B$13=6)),
      AND(
        LEFT(P4728,5)&lt;&gt;"1-Way",
        LEFT(P4728,5)&lt;&gt;"2-Way",
        LEFT(P4728,5)&lt;&gt;"3-Way",
        P4728&lt;&gt;"Inner Centre Jamb"
      )
    ),
    IF(OR(Enginuity!$A$1="Frameless Glass",Enginuity!$A$1="Metal Work"),
      AND(TRIM(B4728)=TRIM(Enginuity!$A$17),TRIM(C4728)=TRIM(Enginuity!$A$18)),
      TRIM(B4728)=TRIM(Enginuity!$A$17)
    )
  ),
  ROW(),
  ""
)</f>
        <v/>
      </c>
    </row>
    <row r="4729" spans="21:21" x14ac:dyDescent="0.25">
      <c r="U4729" s="104" t="str">
        <f>IF(
  AND(
    TRIM(A4729)=TRIM(Enginuity!$A$1),
    TRIM(B4729)=TRIM(Enginuity!$A$17),
    Q4729&lt;&gt;"",
    Q4729&lt;&gt;0,
    OR(
      TRIM(C4729)=TRIM(Enginuity!$A$18),
      AND(UPPER(TRIM(M4729))="STD", TRIM(B4729)=TRIM(Enginuity!$A$17))
    ),
    OR(
      AND(LEFT(P4729,5)="1-Way", Enginuity!$B$13=1),
      AND(LEFT(P4729,5)="2-Way", OR(Enginuity!$B$13=2, Enginuity!$B$13=4)),
      AND(LEFT(P4729,5)="3-Way", OR(Enginuity!$B$13=3, Enginuity!$B$13=6)),
      AND(P4729="Inner Centre Jamb", OR(Enginuity!$B$13=4, Enginuity!$B$13=6)),
      AND(
        LEFT(P4729,5)&lt;&gt;"1-Way",
        LEFT(P4729,5)&lt;&gt;"2-Way",
        LEFT(P4729,5)&lt;&gt;"3-Way",
        P4729&lt;&gt;"Inner Centre Jamb"
      )
    ),
    IF(OR(Enginuity!$A$1="Frameless Glass",Enginuity!$A$1="Metal Work"),
      AND(TRIM(B4729)=TRIM(Enginuity!$A$17),TRIM(C4729)=TRIM(Enginuity!$A$18)),
      TRIM(B4729)=TRIM(Enginuity!$A$17)
    )
  ),
  ROW(),
  ""
)</f>
        <v/>
      </c>
    </row>
    <row r="4730" spans="21:21" x14ac:dyDescent="0.25">
      <c r="U4730" s="104" t="str">
        <f>IF(
  AND(
    TRIM(A4730)=TRIM(Enginuity!$A$1),
    TRIM(B4730)=TRIM(Enginuity!$A$17),
    Q4730&lt;&gt;"",
    Q4730&lt;&gt;0,
    OR(
      TRIM(C4730)=TRIM(Enginuity!$A$18),
      AND(UPPER(TRIM(M4730))="STD", TRIM(B4730)=TRIM(Enginuity!$A$17))
    ),
    OR(
      AND(LEFT(P4730,5)="1-Way", Enginuity!$B$13=1),
      AND(LEFT(P4730,5)="2-Way", OR(Enginuity!$B$13=2, Enginuity!$B$13=4)),
      AND(LEFT(P4730,5)="3-Way", OR(Enginuity!$B$13=3, Enginuity!$B$13=6)),
      AND(P4730="Inner Centre Jamb", OR(Enginuity!$B$13=4, Enginuity!$B$13=6)),
      AND(
        LEFT(P4730,5)&lt;&gt;"1-Way",
        LEFT(P4730,5)&lt;&gt;"2-Way",
        LEFT(P4730,5)&lt;&gt;"3-Way",
        P4730&lt;&gt;"Inner Centre Jamb"
      )
    ),
    IF(OR(Enginuity!$A$1="Frameless Glass",Enginuity!$A$1="Metal Work"),
      AND(TRIM(B4730)=TRIM(Enginuity!$A$17),TRIM(C4730)=TRIM(Enginuity!$A$18)),
      TRIM(B4730)=TRIM(Enginuity!$A$17)
    )
  ),
  ROW(),
  ""
)</f>
        <v/>
      </c>
    </row>
    <row r="4731" spans="21:21" x14ac:dyDescent="0.25">
      <c r="U4731" s="104" t="str">
        <f>IF(
  AND(
    TRIM(A4731)=TRIM(Enginuity!$A$1),
    TRIM(B4731)=TRIM(Enginuity!$A$17),
    Q4731&lt;&gt;"",
    Q4731&lt;&gt;0,
    OR(
      TRIM(C4731)=TRIM(Enginuity!$A$18),
      AND(UPPER(TRIM(M4731))="STD", TRIM(B4731)=TRIM(Enginuity!$A$17))
    ),
    OR(
      AND(LEFT(P4731,5)="1-Way", Enginuity!$B$13=1),
      AND(LEFT(P4731,5)="2-Way", OR(Enginuity!$B$13=2, Enginuity!$B$13=4)),
      AND(LEFT(P4731,5)="3-Way", OR(Enginuity!$B$13=3, Enginuity!$B$13=6)),
      AND(P4731="Inner Centre Jamb", OR(Enginuity!$B$13=4, Enginuity!$B$13=6)),
      AND(
        LEFT(P4731,5)&lt;&gt;"1-Way",
        LEFT(P4731,5)&lt;&gt;"2-Way",
        LEFT(P4731,5)&lt;&gt;"3-Way",
        P4731&lt;&gt;"Inner Centre Jamb"
      )
    ),
    IF(OR(Enginuity!$A$1="Frameless Glass",Enginuity!$A$1="Metal Work"),
      AND(TRIM(B4731)=TRIM(Enginuity!$A$17),TRIM(C4731)=TRIM(Enginuity!$A$18)),
      TRIM(B4731)=TRIM(Enginuity!$A$17)
    )
  ),
  ROW(),
  ""
)</f>
        <v/>
      </c>
    </row>
    <row r="4732" spans="21:21" x14ac:dyDescent="0.25">
      <c r="U4732" s="104" t="str">
        <f>IF(
  AND(
    TRIM(A4732)=TRIM(Enginuity!$A$1),
    TRIM(B4732)=TRIM(Enginuity!$A$17),
    Q4732&lt;&gt;"",
    Q4732&lt;&gt;0,
    OR(
      TRIM(C4732)=TRIM(Enginuity!$A$18),
      AND(UPPER(TRIM(M4732))="STD", TRIM(B4732)=TRIM(Enginuity!$A$17))
    ),
    OR(
      AND(LEFT(P4732,5)="1-Way", Enginuity!$B$13=1),
      AND(LEFT(P4732,5)="2-Way", OR(Enginuity!$B$13=2, Enginuity!$B$13=4)),
      AND(LEFT(P4732,5)="3-Way", OR(Enginuity!$B$13=3, Enginuity!$B$13=6)),
      AND(P4732="Inner Centre Jamb", OR(Enginuity!$B$13=4, Enginuity!$B$13=6)),
      AND(
        LEFT(P4732,5)&lt;&gt;"1-Way",
        LEFT(P4732,5)&lt;&gt;"2-Way",
        LEFT(P4732,5)&lt;&gt;"3-Way",
        P4732&lt;&gt;"Inner Centre Jamb"
      )
    ),
    IF(OR(Enginuity!$A$1="Frameless Glass",Enginuity!$A$1="Metal Work"),
      AND(TRIM(B4732)=TRIM(Enginuity!$A$17),TRIM(C4732)=TRIM(Enginuity!$A$18)),
      TRIM(B4732)=TRIM(Enginuity!$A$17)
    )
  ),
  ROW(),
  ""
)</f>
        <v/>
      </c>
    </row>
    <row r="4733" spans="21:21" x14ac:dyDescent="0.25">
      <c r="U4733" s="104" t="str">
        <f>IF(
  AND(
    TRIM(A4733)=TRIM(Enginuity!$A$1),
    TRIM(B4733)=TRIM(Enginuity!$A$17),
    Q4733&lt;&gt;"",
    Q4733&lt;&gt;0,
    OR(
      TRIM(C4733)=TRIM(Enginuity!$A$18),
      AND(UPPER(TRIM(M4733))="STD", TRIM(B4733)=TRIM(Enginuity!$A$17))
    ),
    OR(
      AND(LEFT(P4733,5)="1-Way", Enginuity!$B$13=1),
      AND(LEFT(P4733,5)="2-Way", OR(Enginuity!$B$13=2, Enginuity!$B$13=4)),
      AND(LEFT(P4733,5)="3-Way", OR(Enginuity!$B$13=3, Enginuity!$B$13=6)),
      AND(P4733="Inner Centre Jamb", OR(Enginuity!$B$13=4, Enginuity!$B$13=6)),
      AND(
        LEFT(P4733,5)&lt;&gt;"1-Way",
        LEFT(P4733,5)&lt;&gt;"2-Way",
        LEFT(P4733,5)&lt;&gt;"3-Way",
        P4733&lt;&gt;"Inner Centre Jamb"
      )
    ),
    IF(OR(Enginuity!$A$1="Frameless Glass",Enginuity!$A$1="Metal Work"),
      AND(TRIM(B4733)=TRIM(Enginuity!$A$17),TRIM(C4733)=TRIM(Enginuity!$A$18)),
      TRIM(B4733)=TRIM(Enginuity!$A$17)
    )
  ),
  ROW(),
  ""
)</f>
        <v/>
      </c>
    </row>
    <row r="4734" spans="21:21" x14ac:dyDescent="0.25">
      <c r="U4734" s="104" t="str">
        <f>IF(
  AND(
    TRIM(A4734)=TRIM(Enginuity!$A$1),
    TRIM(B4734)=TRIM(Enginuity!$A$17),
    Q4734&lt;&gt;"",
    Q4734&lt;&gt;0,
    OR(
      TRIM(C4734)=TRIM(Enginuity!$A$18),
      AND(UPPER(TRIM(M4734))="STD", TRIM(B4734)=TRIM(Enginuity!$A$17))
    ),
    OR(
      AND(LEFT(P4734,5)="1-Way", Enginuity!$B$13=1),
      AND(LEFT(P4734,5)="2-Way", OR(Enginuity!$B$13=2, Enginuity!$B$13=4)),
      AND(LEFT(P4734,5)="3-Way", OR(Enginuity!$B$13=3, Enginuity!$B$13=6)),
      AND(P4734="Inner Centre Jamb", OR(Enginuity!$B$13=4, Enginuity!$B$13=6)),
      AND(
        LEFT(P4734,5)&lt;&gt;"1-Way",
        LEFT(P4734,5)&lt;&gt;"2-Way",
        LEFT(P4734,5)&lt;&gt;"3-Way",
        P4734&lt;&gt;"Inner Centre Jamb"
      )
    ),
    IF(OR(Enginuity!$A$1="Frameless Glass",Enginuity!$A$1="Metal Work"),
      AND(TRIM(B4734)=TRIM(Enginuity!$A$17),TRIM(C4734)=TRIM(Enginuity!$A$18)),
      TRIM(B4734)=TRIM(Enginuity!$A$17)
    )
  ),
  ROW(),
  ""
)</f>
        <v/>
      </c>
    </row>
    <row r="4735" spans="21:21" x14ac:dyDescent="0.25">
      <c r="U4735" s="104" t="str">
        <f>IF(
  AND(
    TRIM(A4735)=TRIM(Enginuity!$A$1),
    TRIM(B4735)=TRIM(Enginuity!$A$17),
    Q4735&lt;&gt;"",
    Q4735&lt;&gt;0,
    OR(
      TRIM(C4735)=TRIM(Enginuity!$A$18),
      AND(UPPER(TRIM(M4735))="STD", TRIM(B4735)=TRIM(Enginuity!$A$17))
    ),
    OR(
      AND(LEFT(P4735,5)="1-Way", Enginuity!$B$13=1),
      AND(LEFT(P4735,5)="2-Way", OR(Enginuity!$B$13=2, Enginuity!$B$13=4)),
      AND(LEFT(P4735,5)="3-Way", OR(Enginuity!$B$13=3, Enginuity!$B$13=6)),
      AND(P4735="Inner Centre Jamb", OR(Enginuity!$B$13=4, Enginuity!$B$13=6)),
      AND(
        LEFT(P4735,5)&lt;&gt;"1-Way",
        LEFT(P4735,5)&lt;&gt;"2-Way",
        LEFT(P4735,5)&lt;&gt;"3-Way",
        P4735&lt;&gt;"Inner Centre Jamb"
      )
    ),
    IF(OR(Enginuity!$A$1="Frameless Glass",Enginuity!$A$1="Metal Work"),
      AND(TRIM(B4735)=TRIM(Enginuity!$A$17),TRIM(C4735)=TRIM(Enginuity!$A$18)),
      TRIM(B4735)=TRIM(Enginuity!$A$17)
    )
  ),
  ROW(),
  ""
)</f>
        <v/>
      </c>
    </row>
    <row r="4736" spans="21:21" x14ac:dyDescent="0.25">
      <c r="U4736" s="104" t="str">
        <f>IF(
  AND(
    TRIM(A4736)=TRIM(Enginuity!$A$1),
    TRIM(B4736)=TRIM(Enginuity!$A$17),
    Q4736&lt;&gt;"",
    Q4736&lt;&gt;0,
    OR(
      TRIM(C4736)=TRIM(Enginuity!$A$18),
      AND(UPPER(TRIM(M4736))="STD", TRIM(B4736)=TRIM(Enginuity!$A$17))
    ),
    OR(
      AND(LEFT(P4736,5)="1-Way", Enginuity!$B$13=1),
      AND(LEFT(P4736,5)="2-Way", OR(Enginuity!$B$13=2, Enginuity!$B$13=4)),
      AND(LEFT(P4736,5)="3-Way", OR(Enginuity!$B$13=3, Enginuity!$B$13=6)),
      AND(P4736="Inner Centre Jamb", OR(Enginuity!$B$13=4, Enginuity!$B$13=6)),
      AND(
        LEFT(P4736,5)&lt;&gt;"1-Way",
        LEFT(P4736,5)&lt;&gt;"2-Way",
        LEFT(P4736,5)&lt;&gt;"3-Way",
        P4736&lt;&gt;"Inner Centre Jamb"
      )
    ),
    IF(OR(Enginuity!$A$1="Frameless Glass",Enginuity!$A$1="Metal Work"),
      AND(TRIM(B4736)=TRIM(Enginuity!$A$17),TRIM(C4736)=TRIM(Enginuity!$A$18)),
      TRIM(B4736)=TRIM(Enginuity!$A$17)
    )
  ),
  ROW(),
  ""
)</f>
        <v/>
      </c>
    </row>
    <row r="4737" spans="21:21" x14ac:dyDescent="0.25">
      <c r="U4737" s="104" t="str">
        <f>IF(
  AND(
    TRIM(A4737)=TRIM(Enginuity!$A$1),
    TRIM(B4737)=TRIM(Enginuity!$A$17),
    Q4737&lt;&gt;"",
    Q4737&lt;&gt;0,
    OR(
      TRIM(C4737)=TRIM(Enginuity!$A$18),
      AND(UPPER(TRIM(M4737))="STD", TRIM(B4737)=TRIM(Enginuity!$A$17))
    ),
    OR(
      AND(LEFT(P4737,5)="1-Way", Enginuity!$B$13=1),
      AND(LEFT(P4737,5)="2-Way", OR(Enginuity!$B$13=2, Enginuity!$B$13=4)),
      AND(LEFT(P4737,5)="3-Way", OR(Enginuity!$B$13=3, Enginuity!$B$13=6)),
      AND(P4737="Inner Centre Jamb", OR(Enginuity!$B$13=4, Enginuity!$B$13=6)),
      AND(
        LEFT(P4737,5)&lt;&gt;"1-Way",
        LEFT(P4737,5)&lt;&gt;"2-Way",
        LEFT(P4737,5)&lt;&gt;"3-Way",
        P4737&lt;&gt;"Inner Centre Jamb"
      )
    ),
    IF(OR(Enginuity!$A$1="Frameless Glass",Enginuity!$A$1="Metal Work"),
      AND(TRIM(B4737)=TRIM(Enginuity!$A$17),TRIM(C4737)=TRIM(Enginuity!$A$18)),
      TRIM(B4737)=TRIM(Enginuity!$A$17)
    )
  ),
  ROW(),
  ""
)</f>
        <v/>
      </c>
    </row>
    <row r="4738" spans="21:21" x14ac:dyDescent="0.25">
      <c r="U4738" s="104" t="str">
        <f>IF(
  AND(
    TRIM(A4738)=TRIM(Enginuity!$A$1),
    TRIM(B4738)=TRIM(Enginuity!$A$17),
    Q4738&lt;&gt;"",
    Q4738&lt;&gt;0,
    OR(
      TRIM(C4738)=TRIM(Enginuity!$A$18),
      AND(UPPER(TRIM(M4738))="STD", TRIM(B4738)=TRIM(Enginuity!$A$17))
    ),
    OR(
      AND(LEFT(P4738,5)="1-Way", Enginuity!$B$13=1),
      AND(LEFT(P4738,5)="2-Way", OR(Enginuity!$B$13=2, Enginuity!$B$13=4)),
      AND(LEFT(P4738,5)="3-Way", OR(Enginuity!$B$13=3, Enginuity!$B$13=6)),
      AND(P4738="Inner Centre Jamb", OR(Enginuity!$B$13=4, Enginuity!$B$13=6)),
      AND(
        LEFT(P4738,5)&lt;&gt;"1-Way",
        LEFT(P4738,5)&lt;&gt;"2-Way",
        LEFT(P4738,5)&lt;&gt;"3-Way",
        P4738&lt;&gt;"Inner Centre Jamb"
      )
    ),
    IF(OR(Enginuity!$A$1="Frameless Glass",Enginuity!$A$1="Metal Work"),
      AND(TRIM(B4738)=TRIM(Enginuity!$A$17),TRIM(C4738)=TRIM(Enginuity!$A$18)),
      TRIM(B4738)=TRIM(Enginuity!$A$17)
    )
  ),
  ROW(),
  ""
)</f>
        <v/>
      </c>
    </row>
    <row r="4739" spans="21:21" x14ac:dyDescent="0.25">
      <c r="U4739" s="104" t="str">
        <f>IF(
  AND(
    TRIM(A4739)=TRIM(Enginuity!$A$1),
    TRIM(B4739)=TRIM(Enginuity!$A$17),
    Q4739&lt;&gt;"",
    Q4739&lt;&gt;0,
    OR(
      TRIM(C4739)=TRIM(Enginuity!$A$18),
      AND(UPPER(TRIM(M4739))="STD", TRIM(B4739)=TRIM(Enginuity!$A$17))
    ),
    OR(
      AND(LEFT(P4739,5)="1-Way", Enginuity!$B$13=1),
      AND(LEFT(P4739,5)="2-Way", OR(Enginuity!$B$13=2, Enginuity!$B$13=4)),
      AND(LEFT(P4739,5)="3-Way", OR(Enginuity!$B$13=3, Enginuity!$B$13=6)),
      AND(P4739="Inner Centre Jamb", OR(Enginuity!$B$13=4, Enginuity!$B$13=6)),
      AND(
        LEFT(P4739,5)&lt;&gt;"1-Way",
        LEFT(P4739,5)&lt;&gt;"2-Way",
        LEFT(P4739,5)&lt;&gt;"3-Way",
        P4739&lt;&gt;"Inner Centre Jamb"
      )
    ),
    IF(OR(Enginuity!$A$1="Frameless Glass",Enginuity!$A$1="Metal Work"),
      AND(TRIM(B4739)=TRIM(Enginuity!$A$17),TRIM(C4739)=TRIM(Enginuity!$A$18)),
      TRIM(B4739)=TRIM(Enginuity!$A$17)
    )
  ),
  ROW(),
  ""
)</f>
        <v/>
      </c>
    </row>
    <row r="4740" spans="21:21" x14ac:dyDescent="0.25">
      <c r="U4740" s="104" t="str">
        <f>IF(
  AND(
    TRIM(A4740)=TRIM(Enginuity!$A$1),
    TRIM(B4740)=TRIM(Enginuity!$A$17),
    Q4740&lt;&gt;"",
    Q4740&lt;&gt;0,
    OR(
      TRIM(C4740)=TRIM(Enginuity!$A$18),
      AND(UPPER(TRIM(M4740))="STD", TRIM(B4740)=TRIM(Enginuity!$A$17))
    ),
    OR(
      AND(LEFT(P4740,5)="1-Way", Enginuity!$B$13=1),
      AND(LEFT(P4740,5)="2-Way", OR(Enginuity!$B$13=2, Enginuity!$B$13=4)),
      AND(LEFT(P4740,5)="3-Way", OR(Enginuity!$B$13=3, Enginuity!$B$13=6)),
      AND(P4740="Inner Centre Jamb", OR(Enginuity!$B$13=4, Enginuity!$B$13=6)),
      AND(
        LEFT(P4740,5)&lt;&gt;"1-Way",
        LEFT(P4740,5)&lt;&gt;"2-Way",
        LEFT(P4740,5)&lt;&gt;"3-Way",
        P4740&lt;&gt;"Inner Centre Jamb"
      )
    ),
    IF(OR(Enginuity!$A$1="Frameless Glass",Enginuity!$A$1="Metal Work"),
      AND(TRIM(B4740)=TRIM(Enginuity!$A$17),TRIM(C4740)=TRIM(Enginuity!$A$18)),
      TRIM(B4740)=TRIM(Enginuity!$A$17)
    )
  ),
  ROW(),
  ""
)</f>
        <v/>
      </c>
    </row>
    <row r="4741" spans="21:21" x14ac:dyDescent="0.25">
      <c r="U4741" s="104" t="str">
        <f>IF(
  AND(
    TRIM(A4741)=TRIM(Enginuity!$A$1),
    TRIM(B4741)=TRIM(Enginuity!$A$17),
    Q4741&lt;&gt;"",
    Q4741&lt;&gt;0,
    OR(
      TRIM(C4741)=TRIM(Enginuity!$A$18),
      AND(UPPER(TRIM(M4741))="STD", TRIM(B4741)=TRIM(Enginuity!$A$17))
    ),
    OR(
      AND(LEFT(P4741,5)="1-Way", Enginuity!$B$13=1),
      AND(LEFT(P4741,5)="2-Way", OR(Enginuity!$B$13=2, Enginuity!$B$13=4)),
      AND(LEFT(P4741,5)="3-Way", OR(Enginuity!$B$13=3, Enginuity!$B$13=6)),
      AND(P4741="Inner Centre Jamb", OR(Enginuity!$B$13=4, Enginuity!$B$13=6)),
      AND(
        LEFT(P4741,5)&lt;&gt;"1-Way",
        LEFT(P4741,5)&lt;&gt;"2-Way",
        LEFT(P4741,5)&lt;&gt;"3-Way",
        P4741&lt;&gt;"Inner Centre Jamb"
      )
    ),
    IF(OR(Enginuity!$A$1="Frameless Glass",Enginuity!$A$1="Metal Work"),
      AND(TRIM(B4741)=TRIM(Enginuity!$A$17),TRIM(C4741)=TRIM(Enginuity!$A$18)),
      TRIM(B4741)=TRIM(Enginuity!$A$17)
    )
  ),
  ROW(),
  ""
)</f>
        <v/>
      </c>
    </row>
    <row r="4742" spans="21:21" x14ac:dyDescent="0.25">
      <c r="U4742" s="104" t="str">
        <f>IF(
  AND(
    TRIM(A4742)=TRIM(Enginuity!$A$1),
    TRIM(B4742)=TRIM(Enginuity!$A$17),
    Q4742&lt;&gt;"",
    Q4742&lt;&gt;0,
    OR(
      TRIM(C4742)=TRIM(Enginuity!$A$18),
      AND(UPPER(TRIM(M4742))="STD", TRIM(B4742)=TRIM(Enginuity!$A$17))
    ),
    OR(
      AND(LEFT(P4742,5)="1-Way", Enginuity!$B$13=1),
      AND(LEFT(P4742,5)="2-Way", OR(Enginuity!$B$13=2, Enginuity!$B$13=4)),
      AND(LEFT(P4742,5)="3-Way", OR(Enginuity!$B$13=3, Enginuity!$B$13=6)),
      AND(P4742="Inner Centre Jamb", OR(Enginuity!$B$13=4, Enginuity!$B$13=6)),
      AND(
        LEFT(P4742,5)&lt;&gt;"1-Way",
        LEFT(P4742,5)&lt;&gt;"2-Way",
        LEFT(P4742,5)&lt;&gt;"3-Way",
        P4742&lt;&gt;"Inner Centre Jamb"
      )
    ),
    IF(OR(Enginuity!$A$1="Frameless Glass",Enginuity!$A$1="Metal Work"),
      AND(TRIM(B4742)=TRIM(Enginuity!$A$17),TRIM(C4742)=TRIM(Enginuity!$A$18)),
      TRIM(B4742)=TRIM(Enginuity!$A$17)
    )
  ),
  ROW(),
  ""
)</f>
        <v/>
      </c>
    </row>
    <row r="4743" spans="21:21" x14ac:dyDescent="0.25">
      <c r="U4743" s="104" t="str">
        <f>IF(
  AND(
    TRIM(A4743)=TRIM(Enginuity!$A$1),
    TRIM(B4743)=TRIM(Enginuity!$A$17),
    Q4743&lt;&gt;"",
    Q4743&lt;&gt;0,
    OR(
      TRIM(C4743)=TRIM(Enginuity!$A$18),
      AND(UPPER(TRIM(M4743))="STD", TRIM(B4743)=TRIM(Enginuity!$A$17))
    ),
    OR(
      AND(LEFT(P4743,5)="1-Way", Enginuity!$B$13=1),
      AND(LEFT(P4743,5)="2-Way", OR(Enginuity!$B$13=2, Enginuity!$B$13=4)),
      AND(LEFT(P4743,5)="3-Way", OR(Enginuity!$B$13=3, Enginuity!$B$13=6)),
      AND(P4743="Inner Centre Jamb", OR(Enginuity!$B$13=4, Enginuity!$B$13=6)),
      AND(
        LEFT(P4743,5)&lt;&gt;"1-Way",
        LEFT(P4743,5)&lt;&gt;"2-Way",
        LEFT(P4743,5)&lt;&gt;"3-Way",
        P4743&lt;&gt;"Inner Centre Jamb"
      )
    ),
    IF(OR(Enginuity!$A$1="Frameless Glass",Enginuity!$A$1="Metal Work"),
      AND(TRIM(B4743)=TRIM(Enginuity!$A$17),TRIM(C4743)=TRIM(Enginuity!$A$18)),
      TRIM(B4743)=TRIM(Enginuity!$A$17)
    )
  ),
  ROW(),
  ""
)</f>
        <v/>
      </c>
    </row>
    <row r="4744" spans="21:21" x14ac:dyDescent="0.25">
      <c r="U4744" s="104" t="str">
        <f>IF(
  AND(
    TRIM(A4744)=TRIM(Enginuity!$A$1),
    TRIM(B4744)=TRIM(Enginuity!$A$17),
    Q4744&lt;&gt;"",
    Q4744&lt;&gt;0,
    OR(
      TRIM(C4744)=TRIM(Enginuity!$A$18),
      AND(UPPER(TRIM(M4744))="STD", TRIM(B4744)=TRIM(Enginuity!$A$17))
    ),
    OR(
      AND(LEFT(P4744,5)="1-Way", Enginuity!$B$13=1),
      AND(LEFT(P4744,5)="2-Way", OR(Enginuity!$B$13=2, Enginuity!$B$13=4)),
      AND(LEFT(P4744,5)="3-Way", OR(Enginuity!$B$13=3, Enginuity!$B$13=6)),
      AND(P4744="Inner Centre Jamb", OR(Enginuity!$B$13=4, Enginuity!$B$13=6)),
      AND(
        LEFT(P4744,5)&lt;&gt;"1-Way",
        LEFT(P4744,5)&lt;&gt;"2-Way",
        LEFT(P4744,5)&lt;&gt;"3-Way",
        P4744&lt;&gt;"Inner Centre Jamb"
      )
    ),
    IF(OR(Enginuity!$A$1="Frameless Glass",Enginuity!$A$1="Metal Work"),
      AND(TRIM(B4744)=TRIM(Enginuity!$A$17),TRIM(C4744)=TRIM(Enginuity!$A$18)),
      TRIM(B4744)=TRIM(Enginuity!$A$17)
    )
  ),
  ROW(),
  ""
)</f>
        <v/>
      </c>
    </row>
    <row r="4745" spans="21:21" x14ac:dyDescent="0.25">
      <c r="U4745" s="104" t="str">
        <f>IF(
  AND(
    TRIM(A4745)=TRIM(Enginuity!$A$1),
    TRIM(B4745)=TRIM(Enginuity!$A$17),
    Q4745&lt;&gt;"",
    Q4745&lt;&gt;0,
    OR(
      TRIM(C4745)=TRIM(Enginuity!$A$18),
      AND(UPPER(TRIM(M4745))="STD", TRIM(B4745)=TRIM(Enginuity!$A$17))
    ),
    OR(
      AND(LEFT(P4745,5)="1-Way", Enginuity!$B$13=1),
      AND(LEFT(P4745,5)="2-Way", OR(Enginuity!$B$13=2, Enginuity!$B$13=4)),
      AND(LEFT(P4745,5)="3-Way", OR(Enginuity!$B$13=3, Enginuity!$B$13=6)),
      AND(P4745="Inner Centre Jamb", OR(Enginuity!$B$13=4, Enginuity!$B$13=6)),
      AND(
        LEFT(P4745,5)&lt;&gt;"1-Way",
        LEFT(P4745,5)&lt;&gt;"2-Way",
        LEFT(P4745,5)&lt;&gt;"3-Way",
        P4745&lt;&gt;"Inner Centre Jamb"
      )
    ),
    IF(OR(Enginuity!$A$1="Frameless Glass",Enginuity!$A$1="Metal Work"),
      AND(TRIM(B4745)=TRIM(Enginuity!$A$17),TRIM(C4745)=TRIM(Enginuity!$A$18)),
      TRIM(B4745)=TRIM(Enginuity!$A$17)
    )
  ),
  ROW(),
  ""
)</f>
        <v/>
      </c>
    </row>
    <row r="4746" spans="21:21" x14ac:dyDescent="0.25">
      <c r="U4746" s="104" t="str">
        <f>IF(
  AND(
    TRIM(A4746)=TRIM(Enginuity!$A$1),
    TRIM(B4746)=TRIM(Enginuity!$A$17),
    Q4746&lt;&gt;"",
    Q4746&lt;&gt;0,
    OR(
      TRIM(C4746)=TRIM(Enginuity!$A$18),
      AND(UPPER(TRIM(M4746))="STD", TRIM(B4746)=TRIM(Enginuity!$A$17))
    ),
    OR(
      AND(LEFT(P4746,5)="1-Way", Enginuity!$B$13=1),
      AND(LEFT(P4746,5)="2-Way", OR(Enginuity!$B$13=2, Enginuity!$B$13=4)),
      AND(LEFT(P4746,5)="3-Way", OR(Enginuity!$B$13=3, Enginuity!$B$13=6)),
      AND(P4746="Inner Centre Jamb", OR(Enginuity!$B$13=4, Enginuity!$B$13=6)),
      AND(
        LEFT(P4746,5)&lt;&gt;"1-Way",
        LEFT(P4746,5)&lt;&gt;"2-Way",
        LEFT(P4746,5)&lt;&gt;"3-Way",
        P4746&lt;&gt;"Inner Centre Jamb"
      )
    ),
    IF(OR(Enginuity!$A$1="Frameless Glass",Enginuity!$A$1="Metal Work"),
      AND(TRIM(B4746)=TRIM(Enginuity!$A$17),TRIM(C4746)=TRIM(Enginuity!$A$18)),
      TRIM(B4746)=TRIM(Enginuity!$A$17)
    )
  ),
  ROW(),
  ""
)</f>
        <v/>
      </c>
    </row>
    <row r="4747" spans="21:21" x14ac:dyDescent="0.25">
      <c r="U4747" s="104" t="str">
        <f>IF(
  AND(
    TRIM(A4747)=TRIM(Enginuity!$A$1),
    TRIM(B4747)=TRIM(Enginuity!$A$17),
    Q4747&lt;&gt;"",
    Q4747&lt;&gt;0,
    OR(
      TRIM(C4747)=TRIM(Enginuity!$A$18),
      AND(UPPER(TRIM(M4747))="STD", TRIM(B4747)=TRIM(Enginuity!$A$17))
    ),
    OR(
      AND(LEFT(P4747,5)="1-Way", Enginuity!$B$13=1),
      AND(LEFT(P4747,5)="2-Way", OR(Enginuity!$B$13=2, Enginuity!$B$13=4)),
      AND(LEFT(P4747,5)="3-Way", OR(Enginuity!$B$13=3, Enginuity!$B$13=6)),
      AND(P4747="Inner Centre Jamb", OR(Enginuity!$B$13=4, Enginuity!$B$13=6)),
      AND(
        LEFT(P4747,5)&lt;&gt;"1-Way",
        LEFT(P4747,5)&lt;&gt;"2-Way",
        LEFT(P4747,5)&lt;&gt;"3-Way",
        P4747&lt;&gt;"Inner Centre Jamb"
      )
    ),
    IF(OR(Enginuity!$A$1="Frameless Glass",Enginuity!$A$1="Metal Work"),
      AND(TRIM(B4747)=TRIM(Enginuity!$A$17),TRIM(C4747)=TRIM(Enginuity!$A$18)),
      TRIM(B4747)=TRIM(Enginuity!$A$17)
    )
  ),
  ROW(),
  ""
)</f>
        <v/>
      </c>
    </row>
    <row r="4748" spans="21:21" x14ac:dyDescent="0.25">
      <c r="U4748" s="104" t="str">
        <f>IF(
  AND(
    TRIM(A4748)=TRIM(Enginuity!$A$1),
    TRIM(B4748)=TRIM(Enginuity!$A$17),
    Q4748&lt;&gt;"",
    Q4748&lt;&gt;0,
    OR(
      TRIM(C4748)=TRIM(Enginuity!$A$18),
      AND(UPPER(TRIM(M4748))="STD", TRIM(B4748)=TRIM(Enginuity!$A$17))
    ),
    OR(
      AND(LEFT(P4748,5)="1-Way", Enginuity!$B$13=1),
      AND(LEFT(P4748,5)="2-Way", OR(Enginuity!$B$13=2, Enginuity!$B$13=4)),
      AND(LEFT(P4748,5)="3-Way", OR(Enginuity!$B$13=3, Enginuity!$B$13=6)),
      AND(P4748="Inner Centre Jamb", OR(Enginuity!$B$13=4, Enginuity!$B$13=6)),
      AND(
        LEFT(P4748,5)&lt;&gt;"1-Way",
        LEFT(P4748,5)&lt;&gt;"2-Way",
        LEFT(P4748,5)&lt;&gt;"3-Way",
        P4748&lt;&gt;"Inner Centre Jamb"
      )
    ),
    IF(OR(Enginuity!$A$1="Frameless Glass",Enginuity!$A$1="Metal Work"),
      AND(TRIM(B4748)=TRIM(Enginuity!$A$17),TRIM(C4748)=TRIM(Enginuity!$A$18)),
      TRIM(B4748)=TRIM(Enginuity!$A$17)
    )
  ),
  ROW(),
  ""
)</f>
        <v/>
      </c>
    </row>
    <row r="4749" spans="21:21" x14ac:dyDescent="0.25">
      <c r="U4749" s="104" t="str">
        <f>IF(
  AND(
    TRIM(A4749)=TRIM(Enginuity!$A$1),
    TRIM(B4749)=TRIM(Enginuity!$A$17),
    Q4749&lt;&gt;"",
    Q4749&lt;&gt;0,
    OR(
      TRIM(C4749)=TRIM(Enginuity!$A$18),
      AND(UPPER(TRIM(M4749))="STD", TRIM(B4749)=TRIM(Enginuity!$A$17))
    ),
    OR(
      AND(LEFT(P4749,5)="1-Way", Enginuity!$B$13=1),
      AND(LEFT(P4749,5)="2-Way", OR(Enginuity!$B$13=2, Enginuity!$B$13=4)),
      AND(LEFT(P4749,5)="3-Way", OR(Enginuity!$B$13=3, Enginuity!$B$13=6)),
      AND(P4749="Inner Centre Jamb", OR(Enginuity!$B$13=4, Enginuity!$B$13=6)),
      AND(
        LEFT(P4749,5)&lt;&gt;"1-Way",
        LEFT(P4749,5)&lt;&gt;"2-Way",
        LEFT(P4749,5)&lt;&gt;"3-Way",
        P4749&lt;&gt;"Inner Centre Jamb"
      )
    ),
    IF(OR(Enginuity!$A$1="Frameless Glass",Enginuity!$A$1="Metal Work"),
      AND(TRIM(B4749)=TRIM(Enginuity!$A$17),TRIM(C4749)=TRIM(Enginuity!$A$18)),
      TRIM(B4749)=TRIM(Enginuity!$A$17)
    )
  ),
  ROW(),
  ""
)</f>
        <v/>
      </c>
    </row>
    <row r="4750" spans="21:21" x14ac:dyDescent="0.25">
      <c r="U4750" s="104" t="str">
        <f>IF(
  AND(
    TRIM(A4750)=TRIM(Enginuity!$A$1),
    TRIM(B4750)=TRIM(Enginuity!$A$17),
    Q4750&lt;&gt;"",
    Q4750&lt;&gt;0,
    OR(
      TRIM(C4750)=TRIM(Enginuity!$A$18),
      AND(UPPER(TRIM(M4750))="STD", TRIM(B4750)=TRIM(Enginuity!$A$17))
    ),
    OR(
      AND(LEFT(P4750,5)="1-Way", Enginuity!$B$13=1),
      AND(LEFT(P4750,5)="2-Way", OR(Enginuity!$B$13=2, Enginuity!$B$13=4)),
      AND(LEFT(P4750,5)="3-Way", OR(Enginuity!$B$13=3, Enginuity!$B$13=6)),
      AND(P4750="Inner Centre Jamb", OR(Enginuity!$B$13=4, Enginuity!$B$13=6)),
      AND(
        LEFT(P4750,5)&lt;&gt;"1-Way",
        LEFT(P4750,5)&lt;&gt;"2-Way",
        LEFT(P4750,5)&lt;&gt;"3-Way",
        P4750&lt;&gt;"Inner Centre Jamb"
      )
    ),
    IF(OR(Enginuity!$A$1="Frameless Glass",Enginuity!$A$1="Metal Work"),
      AND(TRIM(B4750)=TRIM(Enginuity!$A$17),TRIM(C4750)=TRIM(Enginuity!$A$18)),
      TRIM(B4750)=TRIM(Enginuity!$A$17)
    )
  ),
  ROW(),
  ""
)</f>
        <v/>
      </c>
    </row>
    <row r="4751" spans="21:21" x14ac:dyDescent="0.25">
      <c r="U4751" s="104" t="str">
        <f>IF(
  AND(
    TRIM(A4751)=TRIM(Enginuity!$A$1),
    TRIM(B4751)=TRIM(Enginuity!$A$17),
    Q4751&lt;&gt;"",
    Q4751&lt;&gt;0,
    OR(
      TRIM(C4751)=TRIM(Enginuity!$A$18),
      AND(UPPER(TRIM(M4751))="STD", TRIM(B4751)=TRIM(Enginuity!$A$17))
    ),
    OR(
      AND(LEFT(P4751,5)="1-Way", Enginuity!$B$13=1),
      AND(LEFT(P4751,5)="2-Way", OR(Enginuity!$B$13=2, Enginuity!$B$13=4)),
      AND(LEFT(P4751,5)="3-Way", OR(Enginuity!$B$13=3, Enginuity!$B$13=6)),
      AND(P4751="Inner Centre Jamb", OR(Enginuity!$B$13=4, Enginuity!$B$13=6)),
      AND(
        LEFT(P4751,5)&lt;&gt;"1-Way",
        LEFT(P4751,5)&lt;&gt;"2-Way",
        LEFT(P4751,5)&lt;&gt;"3-Way",
        P4751&lt;&gt;"Inner Centre Jamb"
      )
    ),
    IF(OR(Enginuity!$A$1="Frameless Glass",Enginuity!$A$1="Metal Work"),
      AND(TRIM(B4751)=TRIM(Enginuity!$A$17),TRIM(C4751)=TRIM(Enginuity!$A$18)),
      TRIM(B4751)=TRIM(Enginuity!$A$17)
    )
  ),
  ROW(),
  ""
)</f>
        <v/>
      </c>
    </row>
    <row r="4752" spans="21:21" x14ac:dyDescent="0.25">
      <c r="U4752" s="104" t="str">
        <f>IF(
  AND(
    TRIM(A4752)=TRIM(Enginuity!$A$1),
    TRIM(B4752)=TRIM(Enginuity!$A$17),
    Q4752&lt;&gt;"",
    Q4752&lt;&gt;0,
    OR(
      TRIM(C4752)=TRIM(Enginuity!$A$18),
      AND(UPPER(TRIM(M4752))="STD", TRIM(B4752)=TRIM(Enginuity!$A$17))
    ),
    OR(
      AND(LEFT(P4752,5)="1-Way", Enginuity!$B$13=1),
      AND(LEFT(P4752,5)="2-Way", OR(Enginuity!$B$13=2, Enginuity!$B$13=4)),
      AND(LEFT(P4752,5)="3-Way", OR(Enginuity!$B$13=3, Enginuity!$B$13=6)),
      AND(P4752="Inner Centre Jamb", OR(Enginuity!$B$13=4, Enginuity!$B$13=6)),
      AND(
        LEFT(P4752,5)&lt;&gt;"1-Way",
        LEFT(P4752,5)&lt;&gt;"2-Way",
        LEFT(P4752,5)&lt;&gt;"3-Way",
        P4752&lt;&gt;"Inner Centre Jamb"
      )
    ),
    IF(OR(Enginuity!$A$1="Frameless Glass",Enginuity!$A$1="Metal Work"),
      AND(TRIM(B4752)=TRIM(Enginuity!$A$17),TRIM(C4752)=TRIM(Enginuity!$A$18)),
      TRIM(B4752)=TRIM(Enginuity!$A$17)
    )
  ),
  ROW(),
  ""
)</f>
        <v/>
      </c>
    </row>
    <row r="4753" spans="21:21" x14ac:dyDescent="0.25">
      <c r="U4753" s="104" t="str">
        <f>IF(
  AND(
    TRIM(A4753)=TRIM(Enginuity!$A$1),
    TRIM(B4753)=TRIM(Enginuity!$A$17),
    Q4753&lt;&gt;"",
    Q4753&lt;&gt;0,
    OR(
      TRIM(C4753)=TRIM(Enginuity!$A$18),
      AND(UPPER(TRIM(M4753))="STD", TRIM(B4753)=TRIM(Enginuity!$A$17))
    ),
    OR(
      AND(LEFT(P4753,5)="1-Way", Enginuity!$B$13=1),
      AND(LEFT(P4753,5)="2-Way", OR(Enginuity!$B$13=2, Enginuity!$B$13=4)),
      AND(LEFT(P4753,5)="3-Way", OR(Enginuity!$B$13=3, Enginuity!$B$13=6)),
      AND(P4753="Inner Centre Jamb", OR(Enginuity!$B$13=4, Enginuity!$B$13=6)),
      AND(
        LEFT(P4753,5)&lt;&gt;"1-Way",
        LEFT(P4753,5)&lt;&gt;"2-Way",
        LEFT(P4753,5)&lt;&gt;"3-Way",
        P4753&lt;&gt;"Inner Centre Jamb"
      )
    ),
    IF(OR(Enginuity!$A$1="Frameless Glass",Enginuity!$A$1="Metal Work"),
      AND(TRIM(B4753)=TRIM(Enginuity!$A$17),TRIM(C4753)=TRIM(Enginuity!$A$18)),
      TRIM(B4753)=TRIM(Enginuity!$A$17)
    )
  ),
  ROW(),
  ""
)</f>
        <v/>
      </c>
    </row>
    <row r="4754" spans="21:21" x14ac:dyDescent="0.25">
      <c r="U4754" s="104" t="str">
        <f>IF(
  AND(
    TRIM(A4754)=TRIM(Enginuity!$A$1),
    TRIM(B4754)=TRIM(Enginuity!$A$17),
    Q4754&lt;&gt;"",
    Q4754&lt;&gt;0,
    OR(
      TRIM(C4754)=TRIM(Enginuity!$A$18),
      AND(UPPER(TRIM(M4754))="STD", TRIM(B4754)=TRIM(Enginuity!$A$17))
    ),
    OR(
      AND(LEFT(P4754,5)="1-Way", Enginuity!$B$13=1),
      AND(LEFT(P4754,5)="2-Way", OR(Enginuity!$B$13=2, Enginuity!$B$13=4)),
      AND(LEFT(P4754,5)="3-Way", OR(Enginuity!$B$13=3, Enginuity!$B$13=6)),
      AND(P4754="Inner Centre Jamb", OR(Enginuity!$B$13=4, Enginuity!$B$13=6)),
      AND(
        LEFT(P4754,5)&lt;&gt;"1-Way",
        LEFT(P4754,5)&lt;&gt;"2-Way",
        LEFT(P4754,5)&lt;&gt;"3-Way",
        P4754&lt;&gt;"Inner Centre Jamb"
      )
    ),
    IF(OR(Enginuity!$A$1="Frameless Glass",Enginuity!$A$1="Metal Work"),
      AND(TRIM(B4754)=TRIM(Enginuity!$A$17),TRIM(C4754)=TRIM(Enginuity!$A$18)),
      TRIM(B4754)=TRIM(Enginuity!$A$17)
    )
  ),
  ROW(),
  ""
)</f>
        <v/>
      </c>
    </row>
    <row r="4755" spans="21:21" x14ac:dyDescent="0.25">
      <c r="U4755" s="104" t="str">
        <f>IF(
  AND(
    TRIM(A4755)=TRIM(Enginuity!$A$1),
    TRIM(B4755)=TRIM(Enginuity!$A$17),
    Q4755&lt;&gt;"",
    Q4755&lt;&gt;0,
    OR(
      TRIM(C4755)=TRIM(Enginuity!$A$18),
      AND(UPPER(TRIM(M4755))="STD", TRIM(B4755)=TRIM(Enginuity!$A$17))
    ),
    OR(
      AND(LEFT(P4755,5)="1-Way", Enginuity!$B$13=1),
      AND(LEFT(P4755,5)="2-Way", OR(Enginuity!$B$13=2, Enginuity!$B$13=4)),
      AND(LEFT(P4755,5)="3-Way", OR(Enginuity!$B$13=3, Enginuity!$B$13=6)),
      AND(P4755="Inner Centre Jamb", OR(Enginuity!$B$13=4, Enginuity!$B$13=6)),
      AND(
        LEFT(P4755,5)&lt;&gt;"1-Way",
        LEFT(P4755,5)&lt;&gt;"2-Way",
        LEFT(P4755,5)&lt;&gt;"3-Way",
        P4755&lt;&gt;"Inner Centre Jamb"
      )
    ),
    IF(OR(Enginuity!$A$1="Frameless Glass",Enginuity!$A$1="Metal Work"),
      AND(TRIM(B4755)=TRIM(Enginuity!$A$17),TRIM(C4755)=TRIM(Enginuity!$A$18)),
      TRIM(B4755)=TRIM(Enginuity!$A$17)
    )
  ),
  ROW(),
  ""
)</f>
        <v/>
      </c>
    </row>
    <row r="4756" spans="21:21" x14ac:dyDescent="0.25">
      <c r="U4756" s="104" t="str">
        <f>IF(
  AND(
    TRIM(A4756)=TRIM(Enginuity!$A$1),
    TRIM(B4756)=TRIM(Enginuity!$A$17),
    Q4756&lt;&gt;"",
    Q4756&lt;&gt;0,
    OR(
      TRIM(C4756)=TRIM(Enginuity!$A$18),
      AND(UPPER(TRIM(M4756))="STD", TRIM(B4756)=TRIM(Enginuity!$A$17))
    ),
    OR(
      AND(LEFT(P4756,5)="1-Way", Enginuity!$B$13=1),
      AND(LEFT(P4756,5)="2-Way", OR(Enginuity!$B$13=2, Enginuity!$B$13=4)),
      AND(LEFT(P4756,5)="3-Way", OR(Enginuity!$B$13=3, Enginuity!$B$13=6)),
      AND(P4756="Inner Centre Jamb", OR(Enginuity!$B$13=4, Enginuity!$B$13=6)),
      AND(
        LEFT(P4756,5)&lt;&gt;"1-Way",
        LEFT(P4756,5)&lt;&gt;"2-Way",
        LEFT(P4756,5)&lt;&gt;"3-Way",
        P4756&lt;&gt;"Inner Centre Jamb"
      )
    ),
    IF(OR(Enginuity!$A$1="Frameless Glass",Enginuity!$A$1="Metal Work"),
      AND(TRIM(B4756)=TRIM(Enginuity!$A$17),TRIM(C4756)=TRIM(Enginuity!$A$18)),
      TRIM(B4756)=TRIM(Enginuity!$A$17)
    )
  ),
  ROW(),
  ""
)</f>
        <v/>
      </c>
    </row>
    <row r="4757" spans="21:21" x14ac:dyDescent="0.25">
      <c r="U4757" s="104" t="str">
        <f>IF(
  AND(
    TRIM(A4757)=TRIM(Enginuity!$A$1),
    TRIM(B4757)=TRIM(Enginuity!$A$17),
    Q4757&lt;&gt;"",
    Q4757&lt;&gt;0,
    OR(
      TRIM(C4757)=TRIM(Enginuity!$A$18),
      AND(UPPER(TRIM(M4757))="STD", TRIM(B4757)=TRIM(Enginuity!$A$17))
    ),
    OR(
      AND(LEFT(P4757,5)="1-Way", Enginuity!$B$13=1),
      AND(LEFT(P4757,5)="2-Way", OR(Enginuity!$B$13=2, Enginuity!$B$13=4)),
      AND(LEFT(P4757,5)="3-Way", OR(Enginuity!$B$13=3, Enginuity!$B$13=6)),
      AND(P4757="Inner Centre Jamb", OR(Enginuity!$B$13=4, Enginuity!$B$13=6)),
      AND(
        LEFT(P4757,5)&lt;&gt;"1-Way",
        LEFT(P4757,5)&lt;&gt;"2-Way",
        LEFT(P4757,5)&lt;&gt;"3-Way",
        P4757&lt;&gt;"Inner Centre Jamb"
      )
    ),
    IF(OR(Enginuity!$A$1="Frameless Glass",Enginuity!$A$1="Metal Work"),
      AND(TRIM(B4757)=TRIM(Enginuity!$A$17),TRIM(C4757)=TRIM(Enginuity!$A$18)),
      TRIM(B4757)=TRIM(Enginuity!$A$17)
    )
  ),
  ROW(),
  ""
)</f>
        <v/>
      </c>
    </row>
    <row r="4758" spans="21:21" x14ac:dyDescent="0.25">
      <c r="U4758" s="104" t="str">
        <f>IF(
  AND(
    TRIM(A4758)=TRIM(Enginuity!$A$1),
    TRIM(B4758)=TRIM(Enginuity!$A$17),
    Q4758&lt;&gt;"",
    Q4758&lt;&gt;0,
    OR(
      TRIM(C4758)=TRIM(Enginuity!$A$18),
      AND(UPPER(TRIM(M4758))="STD", TRIM(B4758)=TRIM(Enginuity!$A$17))
    ),
    OR(
      AND(LEFT(P4758,5)="1-Way", Enginuity!$B$13=1),
      AND(LEFT(P4758,5)="2-Way", OR(Enginuity!$B$13=2, Enginuity!$B$13=4)),
      AND(LEFT(P4758,5)="3-Way", OR(Enginuity!$B$13=3, Enginuity!$B$13=6)),
      AND(P4758="Inner Centre Jamb", OR(Enginuity!$B$13=4, Enginuity!$B$13=6)),
      AND(
        LEFT(P4758,5)&lt;&gt;"1-Way",
        LEFT(P4758,5)&lt;&gt;"2-Way",
        LEFT(P4758,5)&lt;&gt;"3-Way",
        P4758&lt;&gt;"Inner Centre Jamb"
      )
    ),
    IF(OR(Enginuity!$A$1="Frameless Glass",Enginuity!$A$1="Metal Work"),
      AND(TRIM(B4758)=TRIM(Enginuity!$A$17),TRIM(C4758)=TRIM(Enginuity!$A$18)),
      TRIM(B4758)=TRIM(Enginuity!$A$17)
    )
  ),
  ROW(),
  ""
)</f>
        <v/>
      </c>
    </row>
    <row r="4759" spans="21:21" x14ac:dyDescent="0.25">
      <c r="U4759" s="104" t="str">
        <f>IF(
  AND(
    TRIM(A4759)=TRIM(Enginuity!$A$1),
    TRIM(B4759)=TRIM(Enginuity!$A$17),
    Q4759&lt;&gt;"",
    Q4759&lt;&gt;0,
    OR(
      TRIM(C4759)=TRIM(Enginuity!$A$18),
      AND(UPPER(TRIM(M4759))="STD", TRIM(B4759)=TRIM(Enginuity!$A$17))
    ),
    OR(
      AND(LEFT(P4759,5)="1-Way", Enginuity!$B$13=1),
      AND(LEFT(P4759,5)="2-Way", OR(Enginuity!$B$13=2, Enginuity!$B$13=4)),
      AND(LEFT(P4759,5)="3-Way", OR(Enginuity!$B$13=3, Enginuity!$B$13=6)),
      AND(P4759="Inner Centre Jamb", OR(Enginuity!$B$13=4, Enginuity!$B$13=6)),
      AND(
        LEFT(P4759,5)&lt;&gt;"1-Way",
        LEFT(P4759,5)&lt;&gt;"2-Way",
        LEFT(P4759,5)&lt;&gt;"3-Way",
        P4759&lt;&gt;"Inner Centre Jamb"
      )
    ),
    IF(OR(Enginuity!$A$1="Frameless Glass",Enginuity!$A$1="Metal Work"),
      AND(TRIM(B4759)=TRIM(Enginuity!$A$17),TRIM(C4759)=TRIM(Enginuity!$A$18)),
      TRIM(B4759)=TRIM(Enginuity!$A$17)
    )
  ),
  ROW(),
  ""
)</f>
        <v/>
      </c>
    </row>
    <row r="4760" spans="21:21" x14ac:dyDescent="0.25">
      <c r="U4760" s="104" t="str">
        <f>IF(
  AND(
    TRIM(A4760)=TRIM(Enginuity!$A$1),
    TRIM(B4760)=TRIM(Enginuity!$A$17),
    Q4760&lt;&gt;"",
    Q4760&lt;&gt;0,
    OR(
      TRIM(C4760)=TRIM(Enginuity!$A$18),
      AND(UPPER(TRIM(M4760))="STD", TRIM(B4760)=TRIM(Enginuity!$A$17))
    ),
    OR(
      AND(LEFT(P4760,5)="1-Way", Enginuity!$B$13=1),
      AND(LEFT(P4760,5)="2-Way", OR(Enginuity!$B$13=2, Enginuity!$B$13=4)),
      AND(LEFT(P4760,5)="3-Way", OR(Enginuity!$B$13=3, Enginuity!$B$13=6)),
      AND(P4760="Inner Centre Jamb", OR(Enginuity!$B$13=4, Enginuity!$B$13=6)),
      AND(
        LEFT(P4760,5)&lt;&gt;"1-Way",
        LEFT(P4760,5)&lt;&gt;"2-Way",
        LEFT(P4760,5)&lt;&gt;"3-Way",
        P4760&lt;&gt;"Inner Centre Jamb"
      )
    ),
    IF(OR(Enginuity!$A$1="Frameless Glass",Enginuity!$A$1="Metal Work"),
      AND(TRIM(B4760)=TRIM(Enginuity!$A$17),TRIM(C4760)=TRIM(Enginuity!$A$18)),
      TRIM(B4760)=TRIM(Enginuity!$A$17)
    )
  ),
  ROW(),
  ""
)</f>
        <v/>
      </c>
    </row>
    <row r="4761" spans="21:21" x14ac:dyDescent="0.25">
      <c r="U4761" s="104" t="str">
        <f>IF(
  AND(
    TRIM(A4761)=TRIM(Enginuity!$A$1),
    TRIM(B4761)=TRIM(Enginuity!$A$17),
    Q4761&lt;&gt;"",
    Q4761&lt;&gt;0,
    OR(
      TRIM(C4761)=TRIM(Enginuity!$A$18),
      AND(UPPER(TRIM(M4761))="STD", TRIM(B4761)=TRIM(Enginuity!$A$17))
    ),
    OR(
      AND(LEFT(P4761,5)="1-Way", Enginuity!$B$13=1),
      AND(LEFT(P4761,5)="2-Way", OR(Enginuity!$B$13=2, Enginuity!$B$13=4)),
      AND(LEFT(P4761,5)="3-Way", OR(Enginuity!$B$13=3, Enginuity!$B$13=6)),
      AND(P4761="Inner Centre Jamb", OR(Enginuity!$B$13=4, Enginuity!$B$13=6)),
      AND(
        LEFT(P4761,5)&lt;&gt;"1-Way",
        LEFT(P4761,5)&lt;&gt;"2-Way",
        LEFT(P4761,5)&lt;&gt;"3-Way",
        P4761&lt;&gt;"Inner Centre Jamb"
      )
    ),
    IF(OR(Enginuity!$A$1="Frameless Glass",Enginuity!$A$1="Metal Work"),
      AND(TRIM(B4761)=TRIM(Enginuity!$A$17),TRIM(C4761)=TRIM(Enginuity!$A$18)),
      TRIM(B4761)=TRIM(Enginuity!$A$17)
    )
  ),
  ROW(),
  ""
)</f>
        <v/>
      </c>
    </row>
    <row r="4762" spans="21:21" x14ac:dyDescent="0.25">
      <c r="U4762" s="104" t="str">
        <f>IF(
  AND(
    TRIM(A4762)=TRIM(Enginuity!$A$1),
    TRIM(B4762)=TRIM(Enginuity!$A$17),
    Q4762&lt;&gt;"",
    Q4762&lt;&gt;0,
    OR(
      TRIM(C4762)=TRIM(Enginuity!$A$18),
      AND(UPPER(TRIM(M4762))="STD", TRIM(B4762)=TRIM(Enginuity!$A$17))
    ),
    OR(
      AND(LEFT(P4762,5)="1-Way", Enginuity!$B$13=1),
      AND(LEFT(P4762,5)="2-Way", OR(Enginuity!$B$13=2, Enginuity!$B$13=4)),
      AND(LEFT(P4762,5)="3-Way", OR(Enginuity!$B$13=3, Enginuity!$B$13=6)),
      AND(P4762="Inner Centre Jamb", OR(Enginuity!$B$13=4, Enginuity!$B$13=6)),
      AND(
        LEFT(P4762,5)&lt;&gt;"1-Way",
        LEFT(P4762,5)&lt;&gt;"2-Way",
        LEFT(P4762,5)&lt;&gt;"3-Way",
        P4762&lt;&gt;"Inner Centre Jamb"
      )
    ),
    IF(OR(Enginuity!$A$1="Frameless Glass",Enginuity!$A$1="Metal Work"),
      AND(TRIM(B4762)=TRIM(Enginuity!$A$17),TRIM(C4762)=TRIM(Enginuity!$A$18)),
      TRIM(B4762)=TRIM(Enginuity!$A$17)
    )
  ),
  ROW(),
  ""
)</f>
        <v/>
      </c>
    </row>
    <row r="4763" spans="21:21" x14ac:dyDescent="0.25">
      <c r="U4763" s="104" t="str">
        <f>IF(
  AND(
    TRIM(A4763)=TRIM(Enginuity!$A$1),
    TRIM(B4763)=TRIM(Enginuity!$A$17),
    Q4763&lt;&gt;"",
    Q4763&lt;&gt;0,
    OR(
      TRIM(C4763)=TRIM(Enginuity!$A$18),
      AND(UPPER(TRIM(M4763))="STD", TRIM(B4763)=TRIM(Enginuity!$A$17))
    ),
    OR(
      AND(LEFT(P4763,5)="1-Way", Enginuity!$B$13=1),
      AND(LEFT(P4763,5)="2-Way", OR(Enginuity!$B$13=2, Enginuity!$B$13=4)),
      AND(LEFT(P4763,5)="3-Way", OR(Enginuity!$B$13=3, Enginuity!$B$13=6)),
      AND(P4763="Inner Centre Jamb", OR(Enginuity!$B$13=4, Enginuity!$B$13=6)),
      AND(
        LEFT(P4763,5)&lt;&gt;"1-Way",
        LEFT(P4763,5)&lt;&gt;"2-Way",
        LEFT(P4763,5)&lt;&gt;"3-Way",
        P4763&lt;&gt;"Inner Centre Jamb"
      )
    ),
    IF(OR(Enginuity!$A$1="Frameless Glass",Enginuity!$A$1="Metal Work"),
      AND(TRIM(B4763)=TRIM(Enginuity!$A$17),TRIM(C4763)=TRIM(Enginuity!$A$18)),
      TRIM(B4763)=TRIM(Enginuity!$A$17)
    )
  ),
  ROW(),
  ""
)</f>
        <v/>
      </c>
    </row>
    <row r="4764" spans="21:21" x14ac:dyDescent="0.25">
      <c r="U4764" s="104" t="str">
        <f>IF(
  AND(
    TRIM(A4764)=TRIM(Enginuity!$A$1),
    TRIM(B4764)=TRIM(Enginuity!$A$17),
    Q4764&lt;&gt;"",
    Q4764&lt;&gt;0,
    OR(
      TRIM(C4764)=TRIM(Enginuity!$A$18),
      AND(UPPER(TRIM(M4764))="STD", TRIM(B4764)=TRIM(Enginuity!$A$17))
    ),
    OR(
      AND(LEFT(P4764,5)="1-Way", Enginuity!$B$13=1),
      AND(LEFT(P4764,5)="2-Way", OR(Enginuity!$B$13=2, Enginuity!$B$13=4)),
      AND(LEFT(P4764,5)="3-Way", OR(Enginuity!$B$13=3, Enginuity!$B$13=6)),
      AND(P4764="Inner Centre Jamb", OR(Enginuity!$B$13=4, Enginuity!$B$13=6)),
      AND(
        LEFT(P4764,5)&lt;&gt;"1-Way",
        LEFT(P4764,5)&lt;&gt;"2-Way",
        LEFT(P4764,5)&lt;&gt;"3-Way",
        P4764&lt;&gt;"Inner Centre Jamb"
      )
    ),
    IF(OR(Enginuity!$A$1="Frameless Glass",Enginuity!$A$1="Metal Work"),
      AND(TRIM(B4764)=TRIM(Enginuity!$A$17),TRIM(C4764)=TRIM(Enginuity!$A$18)),
      TRIM(B4764)=TRIM(Enginuity!$A$17)
    )
  ),
  ROW(),
  ""
)</f>
        <v/>
      </c>
    </row>
    <row r="4765" spans="21:21" x14ac:dyDescent="0.25">
      <c r="U4765" s="104" t="str">
        <f>IF(
  AND(
    TRIM(A4765)=TRIM(Enginuity!$A$1),
    TRIM(B4765)=TRIM(Enginuity!$A$17),
    Q4765&lt;&gt;"",
    Q4765&lt;&gt;0,
    OR(
      TRIM(C4765)=TRIM(Enginuity!$A$18),
      AND(UPPER(TRIM(M4765))="STD", TRIM(B4765)=TRIM(Enginuity!$A$17))
    ),
    OR(
      AND(LEFT(P4765,5)="1-Way", Enginuity!$B$13=1),
      AND(LEFT(P4765,5)="2-Way", OR(Enginuity!$B$13=2, Enginuity!$B$13=4)),
      AND(LEFT(P4765,5)="3-Way", OR(Enginuity!$B$13=3, Enginuity!$B$13=6)),
      AND(P4765="Inner Centre Jamb", OR(Enginuity!$B$13=4, Enginuity!$B$13=6)),
      AND(
        LEFT(P4765,5)&lt;&gt;"1-Way",
        LEFT(P4765,5)&lt;&gt;"2-Way",
        LEFT(P4765,5)&lt;&gt;"3-Way",
        P4765&lt;&gt;"Inner Centre Jamb"
      )
    ),
    IF(OR(Enginuity!$A$1="Frameless Glass",Enginuity!$A$1="Metal Work"),
      AND(TRIM(B4765)=TRIM(Enginuity!$A$17),TRIM(C4765)=TRIM(Enginuity!$A$18)),
      TRIM(B4765)=TRIM(Enginuity!$A$17)
    )
  ),
  ROW(),
  ""
)</f>
        <v/>
      </c>
    </row>
    <row r="4766" spans="21:21" x14ac:dyDescent="0.25">
      <c r="U4766" s="104" t="str">
        <f>IF(
  AND(
    TRIM(A4766)=TRIM(Enginuity!$A$1),
    TRIM(B4766)=TRIM(Enginuity!$A$17),
    Q4766&lt;&gt;"",
    Q4766&lt;&gt;0,
    OR(
      TRIM(C4766)=TRIM(Enginuity!$A$18),
      AND(UPPER(TRIM(M4766))="STD", TRIM(B4766)=TRIM(Enginuity!$A$17))
    ),
    OR(
      AND(LEFT(P4766,5)="1-Way", Enginuity!$B$13=1),
      AND(LEFT(P4766,5)="2-Way", OR(Enginuity!$B$13=2, Enginuity!$B$13=4)),
      AND(LEFT(P4766,5)="3-Way", OR(Enginuity!$B$13=3, Enginuity!$B$13=6)),
      AND(P4766="Inner Centre Jamb", OR(Enginuity!$B$13=4, Enginuity!$B$13=6)),
      AND(
        LEFT(P4766,5)&lt;&gt;"1-Way",
        LEFT(P4766,5)&lt;&gt;"2-Way",
        LEFT(P4766,5)&lt;&gt;"3-Way",
        P4766&lt;&gt;"Inner Centre Jamb"
      )
    ),
    IF(OR(Enginuity!$A$1="Frameless Glass",Enginuity!$A$1="Metal Work"),
      AND(TRIM(B4766)=TRIM(Enginuity!$A$17),TRIM(C4766)=TRIM(Enginuity!$A$18)),
      TRIM(B4766)=TRIM(Enginuity!$A$17)
    )
  ),
  ROW(),
  ""
)</f>
        <v/>
      </c>
    </row>
    <row r="4767" spans="21:21" x14ac:dyDescent="0.25">
      <c r="U4767" s="104" t="str">
        <f>IF(
  AND(
    TRIM(A4767)=TRIM(Enginuity!$A$1),
    TRIM(B4767)=TRIM(Enginuity!$A$17),
    Q4767&lt;&gt;"",
    Q4767&lt;&gt;0,
    OR(
      TRIM(C4767)=TRIM(Enginuity!$A$18),
      AND(UPPER(TRIM(M4767))="STD", TRIM(B4767)=TRIM(Enginuity!$A$17))
    ),
    OR(
      AND(LEFT(P4767,5)="1-Way", Enginuity!$B$13=1),
      AND(LEFT(P4767,5)="2-Way", OR(Enginuity!$B$13=2, Enginuity!$B$13=4)),
      AND(LEFT(P4767,5)="3-Way", OR(Enginuity!$B$13=3, Enginuity!$B$13=6)),
      AND(P4767="Inner Centre Jamb", OR(Enginuity!$B$13=4, Enginuity!$B$13=6)),
      AND(
        LEFT(P4767,5)&lt;&gt;"1-Way",
        LEFT(P4767,5)&lt;&gt;"2-Way",
        LEFT(P4767,5)&lt;&gt;"3-Way",
        P4767&lt;&gt;"Inner Centre Jamb"
      )
    ),
    IF(OR(Enginuity!$A$1="Frameless Glass",Enginuity!$A$1="Metal Work"),
      AND(TRIM(B4767)=TRIM(Enginuity!$A$17),TRIM(C4767)=TRIM(Enginuity!$A$18)),
      TRIM(B4767)=TRIM(Enginuity!$A$17)
    )
  ),
  ROW(),
  ""
)</f>
        <v/>
      </c>
    </row>
    <row r="4768" spans="21:21" x14ac:dyDescent="0.25">
      <c r="U4768" s="104" t="str">
        <f>IF(
  AND(
    TRIM(A4768)=TRIM(Enginuity!$A$1),
    TRIM(B4768)=TRIM(Enginuity!$A$17),
    Q4768&lt;&gt;"",
    Q4768&lt;&gt;0,
    OR(
      TRIM(C4768)=TRIM(Enginuity!$A$18),
      AND(UPPER(TRIM(M4768))="STD", TRIM(B4768)=TRIM(Enginuity!$A$17))
    ),
    OR(
      AND(LEFT(P4768,5)="1-Way", Enginuity!$B$13=1),
      AND(LEFT(P4768,5)="2-Way", OR(Enginuity!$B$13=2, Enginuity!$B$13=4)),
      AND(LEFT(P4768,5)="3-Way", OR(Enginuity!$B$13=3, Enginuity!$B$13=6)),
      AND(P4768="Inner Centre Jamb", OR(Enginuity!$B$13=4, Enginuity!$B$13=6)),
      AND(
        LEFT(P4768,5)&lt;&gt;"1-Way",
        LEFT(P4768,5)&lt;&gt;"2-Way",
        LEFT(P4768,5)&lt;&gt;"3-Way",
        P4768&lt;&gt;"Inner Centre Jamb"
      )
    ),
    IF(OR(Enginuity!$A$1="Frameless Glass",Enginuity!$A$1="Metal Work"),
      AND(TRIM(B4768)=TRIM(Enginuity!$A$17),TRIM(C4768)=TRIM(Enginuity!$A$18)),
      TRIM(B4768)=TRIM(Enginuity!$A$17)
    )
  ),
  ROW(),
  ""
)</f>
        <v/>
      </c>
    </row>
    <row r="4769" spans="21:21" x14ac:dyDescent="0.25">
      <c r="U4769" s="104" t="str">
        <f>IF(
  AND(
    TRIM(A4769)=TRIM(Enginuity!$A$1),
    TRIM(B4769)=TRIM(Enginuity!$A$17),
    Q4769&lt;&gt;"",
    Q4769&lt;&gt;0,
    OR(
      TRIM(C4769)=TRIM(Enginuity!$A$18),
      AND(UPPER(TRIM(M4769))="STD", TRIM(B4769)=TRIM(Enginuity!$A$17))
    ),
    OR(
      AND(LEFT(P4769,5)="1-Way", Enginuity!$B$13=1),
      AND(LEFT(P4769,5)="2-Way", OR(Enginuity!$B$13=2, Enginuity!$B$13=4)),
      AND(LEFT(P4769,5)="3-Way", OR(Enginuity!$B$13=3, Enginuity!$B$13=6)),
      AND(P4769="Inner Centre Jamb", OR(Enginuity!$B$13=4, Enginuity!$B$13=6)),
      AND(
        LEFT(P4769,5)&lt;&gt;"1-Way",
        LEFT(P4769,5)&lt;&gt;"2-Way",
        LEFT(P4769,5)&lt;&gt;"3-Way",
        P4769&lt;&gt;"Inner Centre Jamb"
      )
    ),
    IF(OR(Enginuity!$A$1="Frameless Glass",Enginuity!$A$1="Metal Work"),
      AND(TRIM(B4769)=TRIM(Enginuity!$A$17),TRIM(C4769)=TRIM(Enginuity!$A$18)),
      TRIM(B4769)=TRIM(Enginuity!$A$17)
    )
  ),
  ROW(),
  ""
)</f>
        <v/>
      </c>
    </row>
    <row r="4770" spans="21:21" x14ac:dyDescent="0.25">
      <c r="U4770" s="104" t="str">
        <f>IF(
  AND(
    TRIM(A4770)=TRIM(Enginuity!$A$1),
    TRIM(B4770)=TRIM(Enginuity!$A$17),
    Q4770&lt;&gt;"",
    Q4770&lt;&gt;0,
    OR(
      TRIM(C4770)=TRIM(Enginuity!$A$18),
      AND(UPPER(TRIM(M4770))="STD", TRIM(B4770)=TRIM(Enginuity!$A$17))
    ),
    OR(
      AND(LEFT(P4770,5)="1-Way", Enginuity!$B$13=1),
      AND(LEFT(P4770,5)="2-Way", OR(Enginuity!$B$13=2, Enginuity!$B$13=4)),
      AND(LEFT(P4770,5)="3-Way", OR(Enginuity!$B$13=3, Enginuity!$B$13=6)),
      AND(P4770="Inner Centre Jamb", OR(Enginuity!$B$13=4, Enginuity!$B$13=6)),
      AND(
        LEFT(P4770,5)&lt;&gt;"1-Way",
        LEFT(P4770,5)&lt;&gt;"2-Way",
        LEFT(P4770,5)&lt;&gt;"3-Way",
        P4770&lt;&gt;"Inner Centre Jamb"
      )
    ),
    IF(OR(Enginuity!$A$1="Frameless Glass",Enginuity!$A$1="Metal Work"),
      AND(TRIM(B4770)=TRIM(Enginuity!$A$17),TRIM(C4770)=TRIM(Enginuity!$A$18)),
      TRIM(B4770)=TRIM(Enginuity!$A$17)
    )
  ),
  ROW(),
  ""
)</f>
        <v/>
      </c>
    </row>
    <row r="4771" spans="21:21" x14ac:dyDescent="0.25">
      <c r="U4771" s="104" t="str">
        <f>IF(
  AND(
    TRIM(A4771)=TRIM(Enginuity!$A$1),
    TRIM(B4771)=TRIM(Enginuity!$A$17),
    Q4771&lt;&gt;"",
    Q4771&lt;&gt;0,
    OR(
      TRIM(C4771)=TRIM(Enginuity!$A$18),
      AND(UPPER(TRIM(M4771))="STD", TRIM(B4771)=TRIM(Enginuity!$A$17))
    ),
    OR(
      AND(LEFT(P4771,5)="1-Way", Enginuity!$B$13=1),
      AND(LEFT(P4771,5)="2-Way", OR(Enginuity!$B$13=2, Enginuity!$B$13=4)),
      AND(LEFT(P4771,5)="3-Way", OR(Enginuity!$B$13=3, Enginuity!$B$13=6)),
      AND(P4771="Inner Centre Jamb", OR(Enginuity!$B$13=4, Enginuity!$B$13=6)),
      AND(
        LEFT(P4771,5)&lt;&gt;"1-Way",
        LEFT(P4771,5)&lt;&gt;"2-Way",
        LEFT(P4771,5)&lt;&gt;"3-Way",
        P4771&lt;&gt;"Inner Centre Jamb"
      )
    ),
    IF(OR(Enginuity!$A$1="Frameless Glass",Enginuity!$A$1="Metal Work"),
      AND(TRIM(B4771)=TRIM(Enginuity!$A$17),TRIM(C4771)=TRIM(Enginuity!$A$18)),
      TRIM(B4771)=TRIM(Enginuity!$A$17)
    )
  ),
  ROW(),
  ""
)</f>
        <v/>
      </c>
    </row>
    <row r="4772" spans="21:21" x14ac:dyDescent="0.25">
      <c r="U4772" s="104" t="str">
        <f>IF(
  AND(
    TRIM(A4772)=TRIM(Enginuity!$A$1),
    TRIM(B4772)=TRIM(Enginuity!$A$17),
    Q4772&lt;&gt;"",
    Q4772&lt;&gt;0,
    OR(
      TRIM(C4772)=TRIM(Enginuity!$A$18),
      AND(UPPER(TRIM(M4772))="STD", TRIM(B4772)=TRIM(Enginuity!$A$17))
    ),
    OR(
      AND(LEFT(P4772,5)="1-Way", Enginuity!$B$13=1),
      AND(LEFT(P4772,5)="2-Way", OR(Enginuity!$B$13=2, Enginuity!$B$13=4)),
      AND(LEFT(P4772,5)="3-Way", OR(Enginuity!$B$13=3, Enginuity!$B$13=6)),
      AND(P4772="Inner Centre Jamb", OR(Enginuity!$B$13=4, Enginuity!$B$13=6)),
      AND(
        LEFT(P4772,5)&lt;&gt;"1-Way",
        LEFT(P4772,5)&lt;&gt;"2-Way",
        LEFT(P4772,5)&lt;&gt;"3-Way",
        P4772&lt;&gt;"Inner Centre Jamb"
      )
    ),
    IF(OR(Enginuity!$A$1="Frameless Glass",Enginuity!$A$1="Metal Work"),
      AND(TRIM(B4772)=TRIM(Enginuity!$A$17),TRIM(C4772)=TRIM(Enginuity!$A$18)),
      TRIM(B4772)=TRIM(Enginuity!$A$17)
    )
  ),
  ROW(),
  ""
)</f>
        <v/>
      </c>
    </row>
    <row r="4773" spans="21:21" x14ac:dyDescent="0.25">
      <c r="U4773" s="104" t="str">
        <f>IF(
  AND(
    TRIM(A4773)=TRIM(Enginuity!$A$1),
    TRIM(B4773)=TRIM(Enginuity!$A$17),
    Q4773&lt;&gt;"",
    Q4773&lt;&gt;0,
    OR(
      TRIM(C4773)=TRIM(Enginuity!$A$18),
      AND(UPPER(TRIM(M4773))="STD", TRIM(B4773)=TRIM(Enginuity!$A$17))
    ),
    OR(
      AND(LEFT(P4773,5)="1-Way", Enginuity!$B$13=1),
      AND(LEFT(P4773,5)="2-Way", OR(Enginuity!$B$13=2, Enginuity!$B$13=4)),
      AND(LEFT(P4773,5)="3-Way", OR(Enginuity!$B$13=3, Enginuity!$B$13=6)),
      AND(P4773="Inner Centre Jamb", OR(Enginuity!$B$13=4, Enginuity!$B$13=6)),
      AND(
        LEFT(P4773,5)&lt;&gt;"1-Way",
        LEFT(P4773,5)&lt;&gt;"2-Way",
        LEFT(P4773,5)&lt;&gt;"3-Way",
        P4773&lt;&gt;"Inner Centre Jamb"
      )
    ),
    IF(OR(Enginuity!$A$1="Frameless Glass",Enginuity!$A$1="Metal Work"),
      AND(TRIM(B4773)=TRIM(Enginuity!$A$17),TRIM(C4773)=TRIM(Enginuity!$A$18)),
      TRIM(B4773)=TRIM(Enginuity!$A$17)
    )
  ),
  ROW(),
  ""
)</f>
        <v/>
      </c>
    </row>
    <row r="4774" spans="21:21" x14ac:dyDescent="0.25">
      <c r="U4774" s="104" t="str">
        <f>IF(
  AND(
    TRIM(A4774)=TRIM(Enginuity!$A$1),
    TRIM(B4774)=TRIM(Enginuity!$A$17),
    Q4774&lt;&gt;"",
    Q4774&lt;&gt;0,
    OR(
      TRIM(C4774)=TRIM(Enginuity!$A$18),
      AND(UPPER(TRIM(M4774))="STD", TRIM(B4774)=TRIM(Enginuity!$A$17))
    ),
    OR(
      AND(LEFT(P4774,5)="1-Way", Enginuity!$B$13=1),
      AND(LEFT(P4774,5)="2-Way", OR(Enginuity!$B$13=2, Enginuity!$B$13=4)),
      AND(LEFT(P4774,5)="3-Way", OR(Enginuity!$B$13=3, Enginuity!$B$13=6)),
      AND(P4774="Inner Centre Jamb", OR(Enginuity!$B$13=4, Enginuity!$B$13=6)),
      AND(
        LEFT(P4774,5)&lt;&gt;"1-Way",
        LEFT(P4774,5)&lt;&gt;"2-Way",
        LEFT(P4774,5)&lt;&gt;"3-Way",
        P4774&lt;&gt;"Inner Centre Jamb"
      )
    ),
    IF(OR(Enginuity!$A$1="Frameless Glass",Enginuity!$A$1="Metal Work"),
      AND(TRIM(B4774)=TRIM(Enginuity!$A$17),TRIM(C4774)=TRIM(Enginuity!$A$18)),
      TRIM(B4774)=TRIM(Enginuity!$A$17)
    )
  ),
  ROW(),
  ""
)</f>
        <v/>
      </c>
    </row>
    <row r="4775" spans="21:21" x14ac:dyDescent="0.25">
      <c r="U4775" s="104" t="str">
        <f>IF(
  AND(
    TRIM(A4775)=TRIM(Enginuity!$A$1),
    TRIM(B4775)=TRIM(Enginuity!$A$17),
    Q4775&lt;&gt;"",
    Q4775&lt;&gt;0,
    OR(
      TRIM(C4775)=TRIM(Enginuity!$A$18),
      AND(UPPER(TRIM(M4775))="STD", TRIM(B4775)=TRIM(Enginuity!$A$17))
    ),
    OR(
      AND(LEFT(P4775,5)="1-Way", Enginuity!$B$13=1),
      AND(LEFT(P4775,5)="2-Way", OR(Enginuity!$B$13=2, Enginuity!$B$13=4)),
      AND(LEFT(P4775,5)="3-Way", OR(Enginuity!$B$13=3, Enginuity!$B$13=6)),
      AND(P4775="Inner Centre Jamb", OR(Enginuity!$B$13=4, Enginuity!$B$13=6)),
      AND(
        LEFT(P4775,5)&lt;&gt;"1-Way",
        LEFT(P4775,5)&lt;&gt;"2-Way",
        LEFT(P4775,5)&lt;&gt;"3-Way",
        P4775&lt;&gt;"Inner Centre Jamb"
      )
    ),
    IF(OR(Enginuity!$A$1="Frameless Glass",Enginuity!$A$1="Metal Work"),
      AND(TRIM(B4775)=TRIM(Enginuity!$A$17),TRIM(C4775)=TRIM(Enginuity!$A$18)),
      TRIM(B4775)=TRIM(Enginuity!$A$17)
    )
  ),
  ROW(),
  ""
)</f>
        <v/>
      </c>
    </row>
    <row r="4776" spans="21:21" x14ac:dyDescent="0.25">
      <c r="U4776" s="104" t="str">
        <f>IF(
  AND(
    TRIM(A4776)=TRIM(Enginuity!$A$1),
    TRIM(B4776)=TRIM(Enginuity!$A$17),
    Q4776&lt;&gt;"",
    Q4776&lt;&gt;0,
    OR(
      TRIM(C4776)=TRIM(Enginuity!$A$18),
      AND(UPPER(TRIM(M4776))="STD", TRIM(B4776)=TRIM(Enginuity!$A$17))
    ),
    OR(
      AND(LEFT(P4776,5)="1-Way", Enginuity!$B$13=1),
      AND(LEFT(P4776,5)="2-Way", OR(Enginuity!$B$13=2, Enginuity!$B$13=4)),
      AND(LEFT(P4776,5)="3-Way", OR(Enginuity!$B$13=3, Enginuity!$B$13=6)),
      AND(P4776="Inner Centre Jamb", OR(Enginuity!$B$13=4, Enginuity!$B$13=6)),
      AND(
        LEFT(P4776,5)&lt;&gt;"1-Way",
        LEFT(P4776,5)&lt;&gt;"2-Way",
        LEFT(P4776,5)&lt;&gt;"3-Way",
        P4776&lt;&gt;"Inner Centre Jamb"
      )
    ),
    IF(OR(Enginuity!$A$1="Frameless Glass",Enginuity!$A$1="Metal Work"),
      AND(TRIM(B4776)=TRIM(Enginuity!$A$17),TRIM(C4776)=TRIM(Enginuity!$A$18)),
      TRIM(B4776)=TRIM(Enginuity!$A$17)
    )
  ),
  ROW(),
  ""
)</f>
        <v/>
      </c>
    </row>
    <row r="4777" spans="21:21" x14ac:dyDescent="0.25">
      <c r="U4777" s="104" t="str">
        <f>IF(
  AND(
    TRIM(A4777)=TRIM(Enginuity!$A$1),
    TRIM(B4777)=TRIM(Enginuity!$A$17),
    Q4777&lt;&gt;"",
    Q4777&lt;&gt;0,
    OR(
      TRIM(C4777)=TRIM(Enginuity!$A$18),
      AND(UPPER(TRIM(M4777))="STD", TRIM(B4777)=TRIM(Enginuity!$A$17))
    ),
    OR(
      AND(LEFT(P4777,5)="1-Way", Enginuity!$B$13=1),
      AND(LEFT(P4777,5)="2-Way", OR(Enginuity!$B$13=2, Enginuity!$B$13=4)),
      AND(LEFT(P4777,5)="3-Way", OR(Enginuity!$B$13=3, Enginuity!$B$13=6)),
      AND(P4777="Inner Centre Jamb", OR(Enginuity!$B$13=4, Enginuity!$B$13=6)),
      AND(
        LEFT(P4777,5)&lt;&gt;"1-Way",
        LEFT(P4777,5)&lt;&gt;"2-Way",
        LEFT(P4777,5)&lt;&gt;"3-Way",
        P4777&lt;&gt;"Inner Centre Jamb"
      )
    ),
    IF(OR(Enginuity!$A$1="Frameless Glass",Enginuity!$A$1="Metal Work"),
      AND(TRIM(B4777)=TRIM(Enginuity!$A$17),TRIM(C4777)=TRIM(Enginuity!$A$18)),
      TRIM(B4777)=TRIM(Enginuity!$A$17)
    )
  ),
  ROW(),
  ""
)</f>
        <v/>
      </c>
    </row>
    <row r="4778" spans="21:21" x14ac:dyDescent="0.25">
      <c r="U4778" s="104" t="str">
        <f>IF(
  AND(
    TRIM(A4778)=TRIM(Enginuity!$A$1),
    TRIM(B4778)=TRIM(Enginuity!$A$17),
    Q4778&lt;&gt;"",
    Q4778&lt;&gt;0,
    OR(
      TRIM(C4778)=TRIM(Enginuity!$A$18),
      AND(UPPER(TRIM(M4778))="STD", TRIM(B4778)=TRIM(Enginuity!$A$17))
    ),
    OR(
      AND(LEFT(P4778,5)="1-Way", Enginuity!$B$13=1),
      AND(LEFT(P4778,5)="2-Way", OR(Enginuity!$B$13=2, Enginuity!$B$13=4)),
      AND(LEFT(P4778,5)="3-Way", OR(Enginuity!$B$13=3, Enginuity!$B$13=6)),
      AND(P4778="Inner Centre Jamb", OR(Enginuity!$B$13=4, Enginuity!$B$13=6)),
      AND(
        LEFT(P4778,5)&lt;&gt;"1-Way",
        LEFT(P4778,5)&lt;&gt;"2-Way",
        LEFT(P4778,5)&lt;&gt;"3-Way",
        P4778&lt;&gt;"Inner Centre Jamb"
      )
    ),
    IF(OR(Enginuity!$A$1="Frameless Glass",Enginuity!$A$1="Metal Work"),
      AND(TRIM(B4778)=TRIM(Enginuity!$A$17),TRIM(C4778)=TRIM(Enginuity!$A$18)),
      TRIM(B4778)=TRIM(Enginuity!$A$17)
    )
  ),
  ROW(),
  ""
)</f>
        <v/>
      </c>
    </row>
    <row r="4779" spans="21:21" x14ac:dyDescent="0.25">
      <c r="U4779" s="104" t="str">
        <f>IF(
  AND(
    TRIM(A4779)=TRIM(Enginuity!$A$1),
    TRIM(B4779)=TRIM(Enginuity!$A$17),
    Q4779&lt;&gt;"",
    Q4779&lt;&gt;0,
    OR(
      TRIM(C4779)=TRIM(Enginuity!$A$18),
      AND(UPPER(TRIM(M4779))="STD", TRIM(B4779)=TRIM(Enginuity!$A$17))
    ),
    OR(
      AND(LEFT(P4779,5)="1-Way", Enginuity!$B$13=1),
      AND(LEFT(P4779,5)="2-Way", OR(Enginuity!$B$13=2, Enginuity!$B$13=4)),
      AND(LEFT(P4779,5)="3-Way", OR(Enginuity!$B$13=3, Enginuity!$B$13=6)),
      AND(P4779="Inner Centre Jamb", OR(Enginuity!$B$13=4, Enginuity!$B$13=6)),
      AND(
        LEFT(P4779,5)&lt;&gt;"1-Way",
        LEFT(P4779,5)&lt;&gt;"2-Way",
        LEFT(P4779,5)&lt;&gt;"3-Way",
        P4779&lt;&gt;"Inner Centre Jamb"
      )
    ),
    IF(OR(Enginuity!$A$1="Frameless Glass",Enginuity!$A$1="Metal Work"),
      AND(TRIM(B4779)=TRIM(Enginuity!$A$17),TRIM(C4779)=TRIM(Enginuity!$A$18)),
      TRIM(B4779)=TRIM(Enginuity!$A$17)
    )
  ),
  ROW(),
  ""
)</f>
        <v/>
      </c>
    </row>
    <row r="4780" spans="21:21" x14ac:dyDescent="0.25">
      <c r="U4780" s="104" t="str">
        <f>IF(
  AND(
    TRIM(A4780)=TRIM(Enginuity!$A$1),
    TRIM(B4780)=TRIM(Enginuity!$A$17),
    Q4780&lt;&gt;"",
    Q4780&lt;&gt;0,
    OR(
      TRIM(C4780)=TRIM(Enginuity!$A$18),
      AND(UPPER(TRIM(M4780))="STD", TRIM(B4780)=TRIM(Enginuity!$A$17))
    ),
    OR(
      AND(LEFT(P4780,5)="1-Way", Enginuity!$B$13=1),
      AND(LEFT(P4780,5)="2-Way", OR(Enginuity!$B$13=2, Enginuity!$B$13=4)),
      AND(LEFT(P4780,5)="3-Way", OR(Enginuity!$B$13=3, Enginuity!$B$13=6)),
      AND(P4780="Inner Centre Jamb", OR(Enginuity!$B$13=4, Enginuity!$B$13=6)),
      AND(
        LEFT(P4780,5)&lt;&gt;"1-Way",
        LEFT(P4780,5)&lt;&gt;"2-Way",
        LEFT(P4780,5)&lt;&gt;"3-Way",
        P4780&lt;&gt;"Inner Centre Jamb"
      )
    ),
    IF(OR(Enginuity!$A$1="Frameless Glass",Enginuity!$A$1="Metal Work"),
      AND(TRIM(B4780)=TRIM(Enginuity!$A$17),TRIM(C4780)=TRIM(Enginuity!$A$18)),
      TRIM(B4780)=TRIM(Enginuity!$A$17)
    )
  ),
  ROW(),
  ""
)</f>
        <v/>
      </c>
    </row>
    <row r="4781" spans="21:21" x14ac:dyDescent="0.25">
      <c r="U4781" s="104" t="str">
        <f>IF(
  AND(
    TRIM(A4781)=TRIM(Enginuity!$A$1),
    TRIM(B4781)=TRIM(Enginuity!$A$17),
    Q4781&lt;&gt;"",
    Q4781&lt;&gt;0,
    OR(
      TRIM(C4781)=TRIM(Enginuity!$A$18),
      AND(UPPER(TRIM(M4781))="STD", TRIM(B4781)=TRIM(Enginuity!$A$17))
    ),
    OR(
      AND(LEFT(P4781,5)="1-Way", Enginuity!$B$13=1),
      AND(LEFT(P4781,5)="2-Way", OR(Enginuity!$B$13=2, Enginuity!$B$13=4)),
      AND(LEFT(P4781,5)="3-Way", OR(Enginuity!$B$13=3, Enginuity!$B$13=6)),
      AND(P4781="Inner Centre Jamb", OR(Enginuity!$B$13=4, Enginuity!$B$13=6)),
      AND(
        LEFT(P4781,5)&lt;&gt;"1-Way",
        LEFT(P4781,5)&lt;&gt;"2-Way",
        LEFT(P4781,5)&lt;&gt;"3-Way",
        P4781&lt;&gt;"Inner Centre Jamb"
      )
    ),
    IF(OR(Enginuity!$A$1="Frameless Glass",Enginuity!$A$1="Metal Work"),
      AND(TRIM(B4781)=TRIM(Enginuity!$A$17),TRIM(C4781)=TRIM(Enginuity!$A$18)),
      TRIM(B4781)=TRIM(Enginuity!$A$17)
    )
  ),
  ROW(),
  ""
)</f>
        <v/>
      </c>
    </row>
    <row r="4782" spans="21:21" x14ac:dyDescent="0.25">
      <c r="U4782" s="104" t="str">
        <f>IF(
  AND(
    TRIM(A4782)=TRIM(Enginuity!$A$1),
    TRIM(B4782)=TRIM(Enginuity!$A$17),
    Q4782&lt;&gt;"",
    Q4782&lt;&gt;0,
    OR(
      TRIM(C4782)=TRIM(Enginuity!$A$18),
      AND(UPPER(TRIM(M4782))="STD", TRIM(B4782)=TRIM(Enginuity!$A$17))
    ),
    OR(
      AND(LEFT(P4782,5)="1-Way", Enginuity!$B$13=1),
      AND(LEFT(P4782,5)="2-Way", OR(Enginuity!$B$13=2, Enginuity!$B$13=4)),
      AND(LEFT(P4782,5)="3-Way", OR(Enginuity!$B$13=3, Enginuity!$B$13=6)),
      AND(P4782="Inner Centre Jamb", OR(Enginuity!$B$13=4, Enginuity!$B$13=6)),
      AND(
        LEFT(P4782,5)&lt;&gt;"1-Way",
        LEFT(P4782,5)&lt;&gt;"2-Way",
        LEFT(P4782,5)&lt;&gt;"3-Way",
        P4782&lt;&gt;"Inner Centre Jamb"
      )
    ),
    IF(OR(Enginuity!$A$1="Frameless Glass",Enginuity!$A$1="Metal Work"),
      AND(TRIM(B4782)=TRIM(Enginuity!$A$17),TRIM(C4782)=TRIM(Enginuity!$A$18)),
      TRIM(B4782)=TRIM(Enginuity!$A$17)
    )
  ),
  ROW(),
  ""
)</f>
        <v/>
      </c>
    </row>
    <row r="4783" spans="21:21" x14ac:dyDescent="0.25">
      <c r="U4783" s="104" t="str">
        <f>IF(
  AND(
    TRIM(A4783)=TRIM(Enginuity!$A$1),
    TRIM(B4783)=TRIM(Enginuity!$A$17),
    Q4783&lt;&gt;"",
    Q4783&lt;&gt;0,
    OR(
      TRIM(C4783)=TRIM(Enginuity!$A$18),
      AND(UPPER(TRIM(M4783))="STD", TRIM(B4783)=TRIM(Enginuity!$A$17))
    ),
    OR(
      AND(LEFT(P4783,5)="1-Way", Enginuity!$B$13=1),
      AND(LEFT(P4783,5)="2-Way", OR(Enginuity!$B$13=2, Enginuity!$B$13=4)),
      AND(LEFT(P4783,5)="3-Way", OR(Enginuity!$B$13=3, Enginuity!$B$13=6)),
      AND(P4783="Inner Centre Jamb", OR(Enginuity!$B$13=4, Enginuity!$B$13=6)),
      AND(
        LEFT(P4783,5)&lt;&gt;"1-Way",
        LEFT(P4783,5)&lt;&gt;"2-Way",
        LEFT(P4783,5)&lt;&gt;"3-Way",
        P4783&lt;&gt;"Inner Centre Jamb"
      )
    ),
    IF(OR(Enginuity!$A$1="Frameless Glass",Enginuity!$A$1="Metal Work"),
      AND(TRIM(B4783)=TRIM(Enginuity!$A$17),TRIM(C4783)=TRIM(Enginuity!$A$18)),
      TRIM(B4783)=TRIM(Enginuity!$A$17)
    )
  ),
  ROW(),
  ""
)</f>
        <v/>
      </c>
    </row>
    <row r="4784" spans="21:21" x14ac:dyDescent="0.25">
      <c r="U4784" s="104" t="str">
        <f>IF(
  AND(
    TRIM(A4784)=TRIM(Enginuity!$A$1),
    TRIM(B4784)=TRIM(Enginuity!$A$17),
    Q4784&lt;&gt;"",
    Q4784&lt;&gt;0,
    OR(
      TRIM(C4784)=TRIM(Enginuity!$A$18),
      AND(UPPER(TRIM(M4784))="STD", TRIM(B4784)=TRIM(Enginuity!$A$17))
    ),
    OR(
      AND(LEFT(P4784,5)="1-Way", Enginuity!$B$13=1),
      AND(LEFT(P4784,5)="2-Way", OR(Enginuity!$B$13=2, Enginuity!$B$13=4)),
      AND(LEFT(P4784,5)="3-Way", OR(Enginuity!$B$13=3, Enginuity!$B$13=6)),
      AND(P4784="Inner Centre Jamb", OR(Enginuity!$B$13=4, Enginuity!$B$13=6)),
      AND(
        LEFT(P4784,5)&lt;&gt;"1-Way",
        LEFT(P4784,5)&lt;&gt;"2-Way",
        LEFT(P4784,5)&lt;&gt;"3-Way",
        P4784&lt;&gt;"Inner Centre Jamb"
      )
    ),
    IF(OR(Enginuity!$A$1="Frameless Glass",Enginuity!$A$1="Metal Work"),
      AND(TRIM(B4784)=TRIM(Enginuity!$A$17),TRIM(C4784)=TRIM(Enginuity!$A$18)),
      TRIM(B4784)=TRIM(Enginuity!$A$17)
    )
  ),
  ROW(),
  ""
)</f>
        <v/>
      </c>
    </row>
    <row r="4785" spans="21:21" x14ac:dyDescent="0.25">
      <c r="U4785" s="104" t="str">
        <f>IF(
  AND(
    TRIM(A4785)=TRIM(Enginuity!$A$1),
    TRIM(B4785)=TRIM(Enginuity!$A$17),
    Q4785&lt;&gt;"",
    Q4785&lt;&gt;0,
    OR(
      TRIM(C4785)=TRIM(Enginuity!$A$18),
      AND(UPPER(TRIM(M4785))="STD", TRIM(B4785)=TRIM(Enginuity!$A$17))
    ),
    OR(
      AND(LEFT(P4785,5)="1-Way", Enginuity!$B$13=1),
      AND(LEFT(P4785,5)="2-Way", OR(Enginuity!$B$13=2, Enginuity!$B$13=4)),
      AND(LEFT(P4785,5)="3-Way", OR(Enginuity!$B$13=3, Enginuity!$B$13=6)),
      AND(P4785="Inner Centre Jamb", OR(Enginuity!$B$13=4, Enginuity!$B$13=6)),
      AND(
        LEFT(P4785,5)&lt;&gt;"1-Way",
        LEFT(P4785,5)&lt;&gt;"2-Way",
        LEFT(P4785,5)&lt;&gt;"3-Way",
        P4785&lt;&gt;"Inner Centre Jamb"
      )
    ),
    IF(OR(Enginuity!$A$1="Frameless Glass",Enginuity!$A$1="Metal Work"),
      AND(TRIM(B4785)=TRIM(Enginuity!$A$17),TRIM(C4785)=TRIM(Enginuity!$A$18)),
      TRIM(B4785)=TRIM(Enginuity!$A$17)
    )
  ),
  ROW(),
  ""
)</f>
        <v/>
      </c>
    </row>
    <row r="4786" spans="21:21" x14ac:dyDescent="0.25">
      <c r="U4786" s="104" t="str">
        <f>IF(
  AND(
    TRIM(A4786)=TRIM(Enginuity!$A$1),
    TRIM(B4786)=TRIM(Enginuity!$A$17),
    Q4786&lt;&gt;"",
    Q4786&lt;&gt;0,
    OR(
      TRIM(C4786)=TRIM(Enginuity!$A$18),
      AND(UPPER(TRIM(M4786))="STD", TRIM(B4786)=TRIM(Enginuity!$A$17))
    ),
    OR(
      AND(LEFT(P4786,5)="1-Way", Enginuity!$B$13=1),
      AND(LEFT(P4786,5)="2-Way", OR(Enginuity!$B$13=2, Enginuity!$B$13=4)),
      AND(LEFT(P4786,5)="3-Way", OR(Enginuity!$B$13=3, Enginuity!$B$13=6)),
      AND(P4786="Inner Centre Jamb", OR(Enginuity!$B$13=4, Enginuity!$B$13=6)),
      AND(
        LEFT(P4786,5)&lt;&gt;"1-Way",
        LEFT(P4786,5)&lt;&gt;"2-Way",
        LEFT(P4786,5)&lt;&gt;"3-Way",
        P4786&lt;&gt;"Inner Centre Jamb"
      )
    ),
    IF(OR(Enginuity!$A$1="Frameless Glass",Enginuity!$A$1="Metal Work"),
      AND(TRIM(B4786)=TRIM(Enginuity!$A$17),TRIM(C4786)=TRIM(Enginuity!$A$18)),
      TRIM(B4786)=TRIM(Enginuity!$A$17)
    )
  ),
  ROW(),
  ""
)</f>
        <v/>
      </c>
    </row>
    <row r="4787" spans="21:21" x14ac:dyDescent="0.25">
      <c r="U4787" s="104" t="str">
        <f>IF(
  AND(
    TRIM(A4787)=TRIM(Enginuity!$A$1),
    TRIM(B4787)=TRIM(Enginuity!$A$17),
    Q4787&lt;&gt;"",
    Q4787&lt;&gt;0,
    OR(
      TRIM(C4787)=TRIM(Enginuity!$A$18),
      AND(UPPER(TRIM(M4787))="STD", TRIM(B4787)=TRIM(Enginuity!$A$17))
    ),
    OR(
      AND(LEFT(P4787,5)="1-Way", Enginuity!$B$13=1),
      AND(LEFT(P4787,5)="2-Way", OR(Enginuity!$B$13=2, Enginuity!$B$13=4)),
      AND(LEFT(P4787,5)="3-Way", OR(Enginuity!$B$13=3, Enginuity!$B$13=6)),
      AND(P4787="Inner Centre Jamb", OR(Enginuity!$B$13=4, Enginuity!$B$13=6)),
      AND(
        LEFT(P4787,5)&lt;&gt;"1-Way",
        LEFT(P4787,5)&lt;&gt;"2-Way",
        LEFT(P4787,5)&lt;&gt;"3-Way",
        P4787&lt;&gt;"Inner Centre Jamb"
      )
    ),
    IF(OR(Enginuity!$A$1="Frameless Glass",Enginuity!$A$1="Metal Work"),
      AND(TRIM(B4787)=TRIM(Enginuity!$A$17),TRIM(C4787)=TRIM(Enginuity!$A$18)),
      TRIM(B4787)=TRIM(Enginuity!$A$17)
    )
  ),
  ROW(),
  ""
)</f>
        <v/>
      </c>
    </row>
    <row r="4788" spans="21:21" x14ac:dyDescent="0.25">
      <c r="U4788" s="104" t="str">
        <f>IF(
  AND(
    TRIM(A4788)=TRIM(Enginuity!$A$1),
    TRIM(B4788)=TRIM(Enginuity!$A$17),
    Q4788&lt;&gt;"",
    Q4788&lt;&gt;0,
    OR(
      TRIM(C4788)=TRIM(Enginuity!$A$18),
      AND(UPPER(TRIM(M4788))="STD", TRIM(B4788)=TRIM(Enginuity!$A$17))
    ),
    OR(
      AND(LEFT(P4788,5)="1-Way", Enginuity!$B$13=1),
      AND(LEFT(P4788,5)="2-Way", OR(Enginuity!$B$13=2, Enginuity!$B$13=4)),
      AND(LEFT(P4788,5)="3-Way", OR(Enginuity!$B$13=3, Enginuity!$B$13=6)),
      AND(P4788="Inner Centre Jamb", OR(Enginuity!$B$13=4, Enginuity!$B$13=6)),
      AND(
        LEFT(P4788,5)&lt;&gt;"1-Way",
        LEFT(P4788,5)&lt;&gt;"2-Way",
        LEFT(P4788,5)&lt;&gt;"3-Way",
        P4788&lt;&gt;"Inner Centre Jamb"
      )
    ),
    IF(OR(Enginuity!$A$1="Frameless Glass",Enginuity!$A$1="Metal Work"),
      AND(TRIM(B4788)=TRIM(Enginuity!$A$17),TRIM(C4788)=TRIM(Enginuity!$A$18)),
      TRIM(B4788)=TRIM(Enginuity!$A$17)
    )
  ),
  ROW(),
  ""
)</f>
        <v/>
      </c>
    </row>
    <row r="4789" spans="21:21" x14ac:dyDescent="0.25">
      <c r="U4789" s="104" t="str">
        <f>IF(
  AND(
    TRIM(A4789)=TRIM(Enginuity!$A$1),
    TRIM(B4789)=TRIM(Enginuity!$A$17),
    Q4789&lt;&gt;"",
    Q4789&lt;&gt;0,
    OR(
      TRIM(C4789)=TRIM(Enginuity!$A$18),
      AND(UPPER(TRIM(M4789))="STD", TRIM(B4789)=TRIM(Enginuity!$A$17))
    ),
    OR(
      AND(LEFT(P4789,5)="1-Way", Enginuity!$B$13=1),
      AND(LEFT(P4789,5)="2-Way", OR(Enginuity!$B$13=2, Enginuity!$B$13=4)),
      AND(LEFT(P4789,5)="3-Way", OR(Enginuity!$B$13=3, Enginuity!$B$13=6)),
      AND(P4789="Inner Centre Jamb", OR(Enginuity!$B$13=4, Enginuity!$B$13=6)),
      AND(
        LEFT(P4789,5)&lt;&gt;"1-Way",
        LEFT(P4789,5)&lt;&gt;"2-Way",
        LEFT(P4789,5)&lt;&gt;"3-Way",
        P4789&lt;&gt;"Inner Centre Jamb"
      )
    ),
    IF(OR(Enginuity!$A$1="Frameless Glass",Enginuity!$A$1="Metal Work"),
      AND(TRIM(B4789)=TRIM(Enginuity!$A$17),TRIM(C4789)=TRIM(Enginuity!$A$18)),
      TRIM(B4789)=TRIM(Enginuity!$A$17)
    )
  ),
  ROW(),
  ""
)</f>
        <v/>
      </c>
    </row>
    <row r="4790" spans="21:21" x14ac:dyDescent="0.25">
      <c r="U4790" s="104" t="str">
        <f>IF(
  AND(
    TRIM(A4790)=TRIM(Enginuity!$A$1),
    TRIM(B4790)=TRIM(Enginuity!$A$17),
    Q4790&lt;&gt;"",
    Q4790&lt;&gt;0,
    OR(
      TRIM(C4790)=TRIM(Enginuity!$A$18),
      AND(UPPER(TRIM(M4790))="STD", TRIM(B4790)=TRIM(Enginuity!$A$17))
    ),
    OR(
      AND(LEFT(P4790,5)="1-Way", Enginuity!$B$13=1),
      AND(LEFT(P4790,5)="2-Way", OR(Enginuity!$B$13=2, Enginuity!$B$13=4)),
      AND(LEFT(P4790,5)="3-Way", OR(Enginuity!$B$13=3, Enginuity!$B$13=6)),
      AND(P4790="Inner Centre Jamb", OR(Enginuity!$B$13=4, Enginuity!$B$13=6)),
      AND(
        LEFT(P4790,5)&lt;&gt;"1-Way",
        LEFT(P4790,5)&lt;&gt;"2-Way",
        LEFT(P4790,5)&lt;&gt;"3-Way",
        P4790&lt;&gt;"Inner Centre Jamb"
      )
    ),
    IF(OR(Enginuity!$A$1="Frameless Glass",Enginuity!$A$1="Metal Work"),
      AND(TRIM(B4790)=TRIM(Enginuity!$A$17),TRIM(C4790)=TRIM(Enginuity!$A$18)),
      TRIM(B4790)=TRIM(Enginuity!$A$17)
    )
  ),
  ROW(),
  ""
)</f>
        <v/>
      </c>
    </row>
    <row r="4791" spans="21:21" x14ac:dyDescent="0.25">
      <c r="U4791" s="104" t="str">
        <f>IF(
  AND(
    TRIM(A4791)=TRIM(Enginuity!$A$1),
    TRIM(B4791)=TRIM(Enginuity!$A$17),
    Q4791&lt;&gt;"",
    Q4791&lt;&gt;0,
    OR(
      TRIM(C4791)=TRIM(Enginuity!$A$18),
      AND(UPPER(TRIM(M4791))="STD", TRIM(B4791)=TRIM(Enginuity!$A$17))
    ),
    OR(
      AND(LEFT(P4791,5)="1-Way", Enginuity!$B$13=1),
      AND(LEFT(P4791,5)="2-Way", OR(Enginuity!$B$13=2, Enginuity!$B$13=4)),
      AND(LEFT(P4791,5)="3-Way", OR(Enginuity!$B$13=3, Enginuity!$B$13=6)),
      AND(P4791="Inner Centre Jamb", OR(Enginuity!$B$13=4, Enginuity!$B$13=6)),
      AND(
        LEFT(P4791,5)&lt;&gt;"1-Way",
        LEFT(P4791,5)&lt;&gt;"2-Way",
        LEFT(P4791,5)&lt;&gt;"3-Way",
        P4791&lt;&gt;"Inner Centre Jamb"
      )
    ),
    IF(OR(Enginuity!$A$1="Frameless Glass",Enginuity!$A$1="Metal Work"),
      AND(TRIM(B4791)=TRIM(Enginuity!$A$17),TRIM(C4791)=TRIM(Enginuity!$A$18)),
      TRIM(B4791)=TRIM(Enginuity!$A$17)
    )
  ),
  ROW(),
  ""
)</f>
        <v/>
      </c>
    </row>
    <row r="4792" spans="21:21" x14ac:dyDescent="0.25">
      <c r="U4792" s="104" t="str">
        <f>IF(
  AND(
    TRIM(A4792)=TRIM(Enginuity!$A$1),
    TRIM(B4792)=TRIM(Enginuity!$A$17),
    Q4792&lt;&gt;"",
    Q4792&lt;&gt;0,
    OR(
      TRIM(C4792)=TRIM(Enginuity!$A$18),
      AND(UPPER(TRIM(M4792))="STD", TRIM(B4792)=TRIM(Enginuity!$A$17))
    ),
    OR(
      AND(LEFT(P4792,5)="1-Way", Enginuity!$B$13=1),
      AND(LEFT(P4792,5)="2-Way", OR(Enginuity!$B$13=2, Enginuity!$B$13=4)),
      AND(LEFT(P4792,5)="3-Way", OR(Enginuity!$B$13=3, Enginuity!$B$13=6)),
      AND(P4792="Inner Centre Jamb", OR(Enginuity!$B$13=4, Enginuity!$B$13=6)),
      AND(
        LEFT(P4792,5)&lt;&gt;"1-Way",
        LEFT(P4792,5)&lt;&gt;"2-Way",
        LEFT(P4792,5)&lt;&gt;"3-Way",
        P4792&lt;&gt;"Inner Centre Jamb"
      )
    ),
    IF(OR(Enginuity!$A$1="Frameless Glass",Enginuity!$A$1="Metal Work"),
      AND(TRIM(B4792)=TRIM(Enginuity!$A$17),TRIM(C4792)=TRIM(Enginuity!$A$18)),
      TRIM(B4792)=TRIM(Enginuity!$A$17)
    )
  ),
  ROW(),
  ""
)</f>
        <v/>
      </c>
    </row>
    <row r="4793" spans="21:21" x14ac:dyDescent="0.25">
      <c r="U4793" s="104" t="str">
        <f>IF(
  AND(
    TRIM(A4793)=TRIM(Enginuity!$A$1),
    TRIM(B4793)=TRIM(Enginuity!$A$17),
    Q4793&lt;&gt;"",
    Q4793&lt;&gt;0,
    OR(
      TRIM(C4793)=TRIM(Enginuity!$A$18),
      AND(UPPER(TRIM(M4793))="STD", TRIM(B4793)=TRIM(Enginuity!$A$17))
    ),
    OR(
      AND(LEFT(P4793,5)="1-Way", Enginuity!$B$13=1),
      AND(LEFT(P4793,5)="2-Way", OR(Enginuity!$B$13=2, Enginuity!$B$13=4)),
      AND(LEFT(P4793,5)="3-Way", OR(Enginuity!$B$13=3, Enginuity!$B$13=6)),
      AND(P4793="Inner Centre Jamb", OR(Enginuity!$B$13=4, Enginuity!$B$13=6)),
      AND(
        LEFT(P4793,5)&lt;&gt;"1-Way",
        LEFT(P4793,5)&lt;&gt;"2-Way",
        LEFT(P4793,5)&lt;&gt;"3-Way",
        P4793&lt;&gt;"Inner Centre Jamb"
      )
    ),
    IF(OR(Enginuity!$A$1="Frameless Glass",Enginuity!$A$1="Metal Work"),
      AND(TRIM(B4793)=TRIM(Enginuity!$A$17),TRIM(C4793)=TRIM(Enginuity!$A$18)),
      TRIM(B4793)=TRIM(Enginuity!$A$17)
    )
  ),
  ROW(),
  ""
)</f>
        <v/>
      </c>
    </row>
    <row r="4794" spans="21:21" x14ac:dyDescent="0.25">
      <c r="U4794" s="104" t="str">
        <f>IF(
  AND(
    TRIM(A4794)=TRIM(Enginuity!$A$1),
    TRIM(B4794)=TRIM(Enginuity!$A$17),
    Q4794&lt;&gt;"",
    Q4794&lt;&gt;0,
    OR(
      TRIM(C4794)=TRIM(Enginuity!$A$18),
      AND(UPPER(TRIM(M4794))="STD", TRIM(B4794)=TRIM(Enginuity!$A$17))
    ),
    OR(
      AND(LEFT(P4794,5)="1-Way", Enginuity!$B$13=1),
      AND(LEFT(P4794,5)="2-Way", OR(Enginuity!$B$13=2, Enginuity!$B$13=4)),
      AND(LEFT(P4794,5)="3-Way", OR(Enginuity!$B$13=3, Enginuity!$B$13=6)),
      AND(P4794="Inner Centre Jamb", OR(Enginuity!$B$13=4, Enginuity!$B$13=6)),
      AND(
        LEFT(P4794,5)&lt;&gt;"1-Way",
        LEFT(P4794,5)&lt;&gt;"2-Way",
        LEFT(P4794,5)&lt;&gt;"3-Way",
        P4794&lt;&gt;"Inner Centre Jamb"
      )
    ),
    IF(OR(Enginuity!$A$1="Frameless Glass",Enginuity!$A$1="Metal Work"),
      AND(TRIM(B4794)=TRIM(Enginuity!$A$17),TRIM(C4794)=TRIM(Enginuity!$A$18)),
      TRIM(B4794)=TRIM(Enginuity!$A$17)
    )
  ),
  ROW(),
  ""
)</f>
        <v/>
      </c>
    </row>
    <row r="4795" spans="21:21" x14ac:dyDescent="0.25">
      <c r="U4795" s="104" t="str">
        <f>IF(
  AND(
    TRIM(A4795)=TRIM(Enginuity!$A$1),
    TRIM(B4795)=TRIM(Enginuity!$A$17),
    Q4795&lt;&gt;"",
    Q4795&lt;&gt;0,
    OR(
      TRIM(C4795)=TRIM(Enginuity!$A$18),
      AND(UPPER(TRIM(M4795))="STD", TRIM(B4795)=TRIM(Enginuity!$A$17))
    ),
    OR(
      AND(LEFT(P4795,5)="1-Way", Enginuity!$B$13=1),
      AND(LEFT(P4795,5)="2-Way", OR(Enginuity!$B$13=2, Enginuity!$B$13=4)),
      AND(LEFT(P4795,5)="3-Way", OR(Enginuity!$B$13=3, Enginuity!$B$13=6)),
      AND(P4795="Inner Centre Jamb", OR(Enginuity!$B$13=4, Enginuity!$B$13=6)),
      AND(
        LEFT(P4795,5)&lt;&gt;"1-Way",
        LEFT(P4795,5)&lt;&gt;"2-Way",
        LEFT(P4795,5)&lt;&gt;"3-Way",
        P4795&lt;&gt;"Inner Centre Jamb"
      )
    ),
    IF(OR(Enginuity!$A$1="Frameless Glass",Enginuity!$A$1="Metal Work"),
      AND(TRIM(B4795)=TRIM(Enginuity!$A$17),TRIM(C4795)=TRIM(Enginuity!$A$18)),
      TRIM(B4795)=TRIM(Enginuity!$A$17)
    )
  ),
  ROW(),
  ""
)</f>
        <v/>
      </c>
    </row>
    <row r="4796" spans="21:21" x14ac:dyDescent="0.25">
      <c r="U4796" s="104" t="str">
        <f>IF(
  AND(
    TRIM(A4796)=TRIM(Enginuity!$A$1),
    TRIM(B4796)=TRIM(Enginuity!$A$17),
    Q4796&lt;&gt;"",
    Q4796&lt;&gt;0,
    OR(
      TRIM(C4796)=TRIM(Enginuity!$A$18),
      AND(UPPER(TRIM(M4796))="STD", TRIM(B4796)=TRIM(Enginuity!$A$17))
    ),
    OR(
      AND(LEFT(P4796,5)="1-Way", Enginuity!$B$13=1),
      AND(LEFT(P4796,5)="2-Way", OR(Enginuity!$B$13=2, Enginuity!$B$13=4)),
      AND(LEFT(P4796,5)="3-Way", OR(Enginuity!$B$13=3, Enginuity!$B$13=6)),
      AND(P4796="Inner Centre Jamb", OR(Enginuity!$B$13=4, Enginuity!$B$13=6)),
      AND(
        LEFT(P4796,5)&lt;&gt;"1-Way",
        LEFT(P4796,5)&lt;&gt;"2-Way",
        LEFT(P4796,5)&lt;&gt;"3-Way",
        P4796&lt;&gt;"Inner Centre Jamb"
      )
    ),
    IF(OR(Enginuity!$A$1="Frameless Glass",Enginuity!$A$1="Metal Work"),
      AND(TRIM(B4796)=TRIM(Enginuity!$A$17),TRIM(C4796)=TRIM(Enginuity!$A$18)),
      TRIM(B4796)=TRIM(Enginuity!$A$17)
    )
  ),
  ROW(),
  ""
)</f>
        <v/>
      </c>
    </row>
    <row r="4797" spans="21:21" x14ac:dyDescent="0.25">
      <c r="U4797" s="104" t="str">
        <f>IF(
  AND(
    TRIM(A4797)=TRIM(Enginuity!$A$1),
    TRIM(B4797)=TRIM(Enginuity!$A$17),
    Q4797&lt;&gt;"",
    Q4797&lt;&gt;0,
    OR(
      TRIM(C4797)=TRIM(Enginuity!$A$18),
      AND(UPPER(TRIM(M4797))="STD", TRIM(B4797)=TRIM(Enginuity!$A$17))
    ),
    OR(
      AND(LEFT(P4797,5)="1-Way", Enginuity!$B$13=1),
      AND(LEFT(P4797,5)="2-Way", OR(Enginuity!$B$13=2, Enginuity!$B$13=4)),
      AND(LEFT(P4797,5)="3-Way", OR(Enginuity!$B$13=3, Enginuity!$B$13=6)),
      AND(P4797="Inner Centre Jamb", OR(Enginuity!$B$13=4, Enginuity!$B$13=6)),
      AND(
        LEFT(P4797,5)&lt;&gt;"1-Way",
        LEFT(P4797,5)&lt;&gt;"2-Way",
        LEFT(P4797,5)&lt;&gt;"3-Way",
        P4797&lt;&gt;"Inner Centre Jamb"
      )
    ),
    IF(OR(Enginuity!$A$1="Frameless Glass",Enginuity!$A$1="Metal Work"),
      AND(TRIM(B4797)=TRIM(Enginuity!$A$17),TRIM(C4797)=TRIM(Enginuity!$A$18)),
      TRIM(B4797)=TRIM(Enginuity!$A$17)
    )
  ),
  ROW(),
  ""
)</f>
        <v/>
      </c>
    </row>
    <row r="4798" spans="21:21" x14ac:dyDescent="0.25">
      <c r="U4798" s="104" t="str">
        <f>IF(
  AND(
    TRIM(A4798)=TRIM(Enginuity!$A$1),
    TRIM(B4798)=TRIM(Enginuity!$A$17),
    Q4798&lt;&gt;"",
    Q4798&lt;&gt;0,
    OR(
      TRIM(C4798)=TRIM(Enginuity!$A$18),
      AND(UPPER(TRIM(M4798))="STD", TRIM(B4798)=TRIM(Enginuity!$A$17))
    ),
    OR(
      AND(LEFT(P4798,5)="1-Way", Enginuity!$B$13=1),
      AND(LEFT(P4798,5)="2-Way", OR(Enginuity!$B$13=2, Enginuity!$B$13=4)),
      AND(LEFT(P4798,5)="3-Way", OR(Enginuity!$B$13=3, Enginuity!$B$13=6)),
      AND(P4798="Inner Centre Jamb", OR(Enginuity!$B$13=4, Enginuity!$B$13=6)),
      AND(
        LEFT(P4798,5)&lt;&gt;"1-Way",
        LEFT(P4798,5)&lt;&gt;"2-Way",
        LEFT(P4798,5)&lt;&gt;"3-Way",
        P4798&lt;&gt;"Inner Centre Jamb"
      )
    ),
    IF(OR(Enginuity!$A$1="Frameless Glass",Enginuity!$A$1="Metal Work"),
      AND(TRIM(B4798)=TRIM(Enginuity!$A$17),TRIM(C4798)=TRIM(Enginuity!$A$18)),
      TRIM(B4798)=TRIM(Enginuity!$A$17)
    )
  ),
  ROW(),
  ""
)</f>
        <v/>
      </c>
    </row>
    <row r="4799" spans="21:21" x14ac:dyDescent="0.25">
      <c r="U4799" s="104" t="str">
        <f>IF(
  AND(
    TRIM(A4799)=TRIM(Enginuity!$A$1),
    TRIM(B4799)=TRIM(Enginuity!$A$17),
    Q4799&lt;&gt;"",
    Q4799&lt;&gt;0,
    OR(
      TRIM(C4799)=TRIM(Enginuity!$A$18),
      AND(UPPER(TRIM(M4799))="STD", TRIM(B4799)=TRIM(Enginuity!$A$17))
    ),
    OR(
      AND(LEFT(P4799,5)="1-Way", Enginuity!$B$13=1),
      AND(LEFT(P4799,5)="2-Way", OR(Enginuity!$B$13=2, Enginuity!$B$13=4)),
      AND(LEFT(P4799,5)="3-Way", OR(Enginuity!$B$13=3, Enginuity!$B$13=6)),
      AND(P4799="Inner Centre Jamb", OR(Enginuity!$B$13=4, Enginuity!$B$13=6)),
      AND(
        LEFT(P4799,5)&lt;&gt;"1-Way",
        LEFT(P4799,5)&lt;&gt;"2-Way",
        LEFT(P4799,5)&lt;&gt;"3-Way",
        P4799&lt;&gt;"Inner Centre Jamb"
      )
    ),
    IF(OR(Enginuity!$A$1="Frameless Glass",Enginuity!$A$1="Metal Work"),
      AND(TRIM(B4799)=TRIM(Enginuity!$A$17),TRIM(C4799)=TRIM(Enginuity!$A$18)),
      TRIM(B4799)=TRIM(Enginuity!$A$17)
    )
  ),
  ROW(),
  ""
)</f>
        <v/>
      </c>
    </row>
    <row r="4800" spans="21:21" x14ac:dyDescent="0.25">
      <c r="U4800" s="104" t="str">
        <f>IF(
  AND(
    TRIM(A4800)=TRIM(Enginuity!$A$1),
    TRIM(B4800)=TRIM(Enginuity!$A$17),
    Q4800&lt;&gt;"",
    Q4800&lt;&gt;0,
    OR(
      TRIM(C4800)=TRIM(Enginuity!$A$18),
      AND(UPPER(TRIM(M4800))="STD", TRIM(B4800)=TRIM(Enginuity!$A$17))
    ),
    OR(
      AND(LEFT(P4800,5)="1-Way", Enginuity!$B$13=1),
      AND(LEFT(P4800,5)="2-Way", OR(Enginuity!$B$13=2, Enginuity!$B$13=4)),
      AND(LEFT(P4800,5)="3-Way", OR(Enginuity!$B$13=3, Enginuity!$B$13=6)),
      AND(P4800="Inner Centre Jamb", OR(Enginuity!$B$13=4, Enginuity!$B$13=6)),
      AND(
        LEFT(P4800,5)&lt;&gt;"1-Way",
        LEFT(P4800,5)&lt;&gt;"2-Way",
        LEFT(P4800,5)&lt;&gt;"3-Way",
        P4800&lt;&gt;"Inner Centre Jamb"
      )
    ),
    IF(OR(Enginuity!$A$1="Frameless Glass",Enginuity!$A$1="Metal Work"),
      AND(TRIM(B4800)=TRIM(Enginuity!$A$17),TRIM(C4800)=TRIM(Enginuity!$A$18)),
      TRIM(B4800)=TRIM(Enginuity!$A$17)
    )
  ),
  ROW(),
  ""
)</f>
        <v/>
      </c>
    </row>
    <row r="4801" spans="21:21" x14ac:dyDescent="0.25">
      <c r="U4801" s="104" t="str">
        <f>IF(
  AND(
    TRIM(A4801)=TRIM(Enginuity!$A$1),
    TRIM(B4801)=TRIM(Enginuity!$A$17),
    Q4801&lt;&gt;"",
    Q4801&lt;&gt;0,
    OR(
      TRIM(C4801)=TRIM(Enginuity!$A$18),
      AND(UPPER(TRIM(M4801))="STD", TRIM(B4801)=TRIM(Enginuity!$A$17))
    ),
    OR(
      AND(LEFT(P4801,5)="1-Way", Enginuity!$B$13=1),
      AND(LEFT(P4801,5)="2-Way", OR(Enginuity!$B$13=2, Enginuity!$B$13=4)),
      AND(LEFT(P4801,5)="3-Way", OR(Enginuity!$B$13=3, Enginuity!$B$13=6)),
      AND(P4801="Inner Centre Jamb", OR(Enginuity!$B$13=4, Enginuity!$B$13=6)),
      AND(
        LEFT(P4801,5)&lt;&gt;"1-Way",
        LEFT(P4801,5)&lt;&gt;"2-Way",
        LEFT(P4801,5)&lt;&gt;"3-Way",
        P4801&lt;&gt;"Inner Centre Jamb"
      )
    ),
    IF(OR(Enginuity!$A$1="Frameless Glass",Enginuity!$A$1="Metal Work"),
      AND(TRIM(B4801)=TRIM(Enginuity!$A$17),TRIM(C4801)=TRIM(Enginuity!$A$18)),
      TRIM(B4801)=TRIM(Enginuity!$A$17)
    )
  ),
  ROW(),
  ""
)</f>
        <v/>
      </c>
    </row>
    <row r="4802" spans="21:21" x14ac:dyDescent="0.25">
      <c r="U4802" s="104" t="str">
        <f>IF(
  AND(
    TRIM(A4802)=TRIM(Enginuity!$A$1),
    TRIM(B4802)=TRIM(Enginuity!$A$17),
    Q4802&lt;&gt;"",
    Q4802&lt;&gt;0,
    OR(
      TRIM(C4802)=TRIM(Enginuity!$A$18),
      AND(UPPER(TRIM(M4802))="STD", TRIM(B4802)=TRIM(Enginuity!$A$17))
    ),
    OR(
      AND(LEFT(P4802,5)="1-Way", Enginuity!$B$13=1),
      AND(LEFT(P4802,5)="2-Way", OR(Enginuity!$B$13=2, Enginuity!$B$13=4)),
      AND(LEFT(P4802,5)="3-Way", OR(Enginuity!$B$13=3, Enginuity!$B$13=6)),
      AND(P4802="Inner Centre Jamb", OR(Enginuity!$B$13=4, Enginuity!$B$13=6)),
      AND(
        LEFT(P4802,5)&lt;&gt;"1-Way",
        LEFT(P4802,5)&lt;&gt;"2-Way",
        LEFT(P4802,5)&lt;&gt;"3-Way",
        P4802&lt;&gt;"Inner Centre Jamb"
      )
    ),
    IF(OR(Enginuity!$A$1="Frameless Glass",Enginuity!$A$1="Metal Work"),
      AND(TRIM(B4802)=TRIM(Enginuity!$A$17),TRIM(C4802)=TRIM(Enginuity!$A$18)),
      TRIM(B4802)=TRIM(Enginuity!$A$17)
    )
  ),
  ROW(),
  ""
)</f>
        <v/>
      </c>
    </row>
    <row r="4803" spans="21:21" x14ac:dyDescent="0.25">
      <c r="U4803" s="104" t="str">
        <f>IF(
  AND(
    TRIM(A4803)=TRIM(Enginuity!$A$1),
    TRIM(B4803)=TRIM(Enginuity!$A$17),
    Q4803&lt;&gt;"",
    Q4803&lt;&gt;0,
    OR(
      TRIM(C4803)=TRIM(Enginuity!$A$18),
      AND(UPPER(TRIM(M4803))="STD", TRIM(B4803)=TRIM(Enginuity!$A$17))
    ),
    OR(
      AND(LEFT(P4803,5)="1-Way", Enginuity!$B$13=1),
      AND(LEFT(P4803,5)="2-Way", OR(Enginuity!$B$13=2, Enginuity!$B$13=4)),
      AND(LEFT(P4803,5)="3-Way", OR(Enginuity!$B$13=3, Enginuity!$B$13=6)),
      AND(P4803="Inner Centre Jamb", OR(Enginuity!$B$13=4, Enginuity!$B$13=6)),
      AND(
        LEFT(P4803,5)&lt;&gt;"1-Way",
        LEFT(P4803,5)&lt;&gt;"2-Way",
        LEFT(P4803,5)&lt;&gt;"3-Way",
        P4803&lt;&gt;"Inner Centre Jamb"
      )
    ),
    IF(OR(Enginuity!$A$1="Frameless Glass",Enginuity!$A$1="Metal Work"),
      AND(TRIM(B4803)=TRIM(Enginuity!$A$17),TRIM(C4803)=TRIM(Enginuity!$A$18)),
      TRIM(B4803)=TRIM(Enginuity!$A$17)
    )
  ),
  ROW(),
  ""
)</f>
        <v/>
      </c>
    </row>
    <row r="4804" spans="21:21" x14ac:dyDescent="0.25">
      <c r="U4804" s="104" t="str">
        <f>IF(
  AND(
    TRIM(A4804)=TRIM(Enginuity!$A$1),
    TRIM(B4804)=TRIM(Enginuity!$A$17),
    Q4804&lt;&gt;"",
    Q4804&lt;&gt;0,
    OR(
      TRIM(C4804)=TRIM(Enginuity!$A$18),
      AND(UPPER(TRIM(M4804))="STD", TRIM(B4804)=TRIM(Enginuity!$A$17))
    ),
    OR(
      AND(LEFT(P4804,5)="1-Way", Enginuity!$B$13=1),
      AND(LEFT(P4804,5)="2-Way", OR(Enginuity!$B$13=2, Enginuity!$B$13=4)),
      AND(LEFT(P4804,5)="3-Way", OR(Enginuity!$B$13=3, Enginuity!$B$13=6)),
      AND(P4804="Inner Centre Jamb", OR(Enginuity!$B$13=4, Enginuity!$B$13=6)),
      AND(
        LEFT(P4804,5)&lt;&gt;"1-Way",
        LEFT(P4804,5)&lt;&gt;"2-Way",
        LEFT(P4804,5)&lt;&gt;"3-Way",
        P4804&lt;&gt;"Inner Centre Jamb"
      )
    ),
    IF(OR(Enginuity!$A$1="Frameless Glass",Enginuity!$A$1="Metal Work"),
      AND(TRIM(B4804)=TRIM(Enginuity!$A$17),TRIM(C4804)=TRIM(Enginuity!$A$18)),
      TRIM(B4804)=TRIM(Enginuity!$A$17)
    )
  ),
  ROW(),
  ""
)</f>
        <v/>
      </c>
    </row>
    <row r="4805" spans="21:21" x14ac:dyDescent="0.25">
      <c r="U4805" s="104" t="str">
        <f>IF(
  AND(
    TRIM(A4805)=TRIM(Enginuity!$A$1),
    TRIM(B4805)=TRIM(Enginuity!$A$17),
    Q4805&lt;&gt;"",
    Q4805&lt;&gt;0,
    OR(
      TRIM(C4805)=TRIM(Enginuity!$A$18),
      AND(UPPER(TRIM(M4805))="STD", TRIM(B4805)=TRIM(Enginuity!$A$17))
    ),
    OR(
      AND(LEFT(P4805,5)="1-Way", Enginuity!$B$13=1),
      AND(LEFT(P4805,5)="2-Way", OR(Enginuity!$B$13=2, Enginuity!$B$13=4)),
      AND(LEFT(P4805,5)="3-Way", OR(Enginuity!$B$13=3, Enginuity!$B$13=6)),
      AND(P4805="Inner Centre Jamb", OR(Enginuity!$B$13=4, Enginuity!$B$13=6)),
      AND(
        LEFT(P4805,5)&lt;&gt;"1-Way",
        LEFT(P4805,5)&lt;&gt;"2-Way",
        LEFT(P4805,5)&lt;&gt;"3-Way",
        P4805&lt;&gt;"Inner Centre Jamb"
      )
    ),
    IF(OR(Enginuity!$A$1="Frameless Glass",Enginuity!$A$1="Metal Work"),
      AND(TRIM(B4805)=TRIM(Enginuity!$A$17),TRIM(C4805)=TRIM(Enginuity!$A$18)),
      TRIM(B4805)=TRIM(Enginuity!$A$17)
    )
  ),
  ROW(),
  ""
)</f>
        <v/>
      </c>
    </row>
    <row r="4806" spans="21:21" x14ac:dyDescent="0.25">
      <c r="U4806" s="104" t="str">
        <f>IF(
  AND(
    TRIM(A4806)=TRIM(Enginuity!$A$1),
    TRIM(B4806)=TRIM(Enginuity!$A$17),
    Q4806&lt;&gt;"",
    Q4806&lt;&gt;0,
    OR(
      TRIM(C4806)=TRIM(Enginuity!$A$18),
      AND(UPPER(TRIM(M4806))="STD", TRIM(B4806)=TRIM(Enginuity!$A$17))
    ),
    OR(
      AND(LEFT(P4806,5)="1-Way", Enginuity!$B$13=1),
      AND(LEFT(P4806,5)="2-Way", OR(Enginuity!$B$13=2, Enginuity!$B$13=4)),
      AND(LEFT(P4806,5)="3-Way", OR(Enginuity!$B$13=3, Enginuity!$B$13=6)),
      AND(P4806="Inner Centre Jamb", OR(Enginuity!$B$13=4, Enginuity!$B$13=6)),
      AND(
        LEFT(P4806,5)&lt;&gt;"1-Way",
        LEFT(P4806,5)&lt;&gt;"2-Way",
        LEFT(P4806,5)&lt;&gt;"3-Way",
        P4806&lt;&gt;"Inner Centre Jamb"
      )
    ),
    IF(OR(Enginuity!$A$1="Frameless Glass",Enginuity!$A$1="Metal Work"),
      AND(TRIM(B4806)=TRIM(Enginuity!$A$17),TRIM(C4806)=TRIM(Enginuity!$A$18)),
      TRIM(B4806)=TRIM(Enginuity!$A$17)
    )
  ),
  ROW(),
  ""
)</f>
        <v/>
      </c>
    </row>
    <row r="4807" spans="21:21" x14ac:dyDescent="0.25">
      <c r="U4807" s="104" t="str">
        <f>IF(
  AND(
    TRIM(A4807)=TRIM(Enginuity!$A$1),
    TRIM(B4807)=TRIM(Enginuity!$A$17),
    Q4807&lt;&gt;"",
    Q4807&lt;&gt;0,
    OR(
      TRIM(C4807)=TRIM(Enginuity!$A$18),
      AND(UPPER(TRIM(M4807))="STD", TRIM(B4807)=TRIM(Enginuity!$A$17))
    ),
    OR(
      AND(LEFT(P4807,5)="1-Way", Enginuity!$B$13=1),
      AND(LEFT(P4807,5)="2-Way", OR(Enginuity!$B$13=2, Enginuity!$B$13=4)),
      AND(LEFT(P4807,5)="3-Way", OR(Enginuity!$B$13=3, Enginuity!$B$13=6)),
      AND(P4807="Inner Centre Jamb", OR(Enginuity!$B$13=4, Enginuity!$B$13=6)),
      AND(
        LEFT(P4807,5)&lt;&gt;"1-Way",
        LEFT(P4807,5)&lt;&gt;"2-Way",
        LEFT(P4807,5)&lt;&gt;"3-Way",
        P4807&lt;&gt;"Inner Centre Jamb"
      )
    ),
    IF(OR(Enginuity!$A$1="Frameless Glass",Enginuity!$A$1="Metal Work"),
      AND(TRIM(B4807)=TRIM(Enginuity!$A$17),TRIM(C4807)=TRIM(Enginuity!$A$18)),
      TRIM(B4807)=TRIM(Enginuity!$A$17)
    )
  ),
  ROW(),
  ""
)</f>
        <v/>
      </c>
    </row>
    <row r="4808" spans="21:21" x14ac:dyDescent="0.25">
      <c r="U4808" s="104" t="str">
        <f>IF(
  AND(
    TRIM(A4808)=TRIM(Enginuity!$A$1),
    TRIM(B4808)=TRIM(Enginuity!$A$17),
    Q4808&lt;&gt;"",
    Q4808&lt;&gt;0,
    OR(
      TRIM(C4808)=TRIM(Enginuity!$A$18),
      AND(UPPER(TRIM(M4808))="STD", TRIM(B4808)=TRIM(Enginuity!$A$17))
    ),
    OR(
      AND(LEFT(P4808,5)="1-Way", Enginuity!$B$13=1),
      AND(LEFT(P4808,5)="2-Way", OR(Enginuity!$B$13=2, Enginuity!$B$13=4)),
      AND(LEFT(P4808,5)="3-Way", OR(Enginuity!$B$13=3, Enginuity!$B$13=6)),
      AND(P4808="Inner Centre Jamb", OR(Enginuity!$B$13=4, Enginuity!$B$13=6)),
      AND(
        LEFT(P4808,5)&lt;&gt;"1-Way",
        LEFT(P4808,5)&lt;&gt;"2-Way",
        LEFT(P4808,5)&lt;&gt;"3-Way",
        P4808&lt;&gt;"Inner Centre Jamb"
      )
    ),
    IF(OR(Enginuity!$A$1="Frameless Glass",Enginuity!$A$1="Metal Work"),
      AND(TRIM(B4808)=TRIM(Enginuity!$A$17),TRIM(C4808)=TRIM(Enginuity!$A$18)),
      TRIM(B4808)=TRIM(Enginuity!$A$17)
    )
  ),
  ROW(),
  ""
)</f>
        <v/>
      </c>
    </row>
    <row r="4809" spans="21:21" x14ac:dyDescent="0.25">
      <c r="U4809" s="104" t="str">
        <f>IF(
  AND(
    TRIM(A4809)=TRIM(Enginuity!$A$1),
    TRIM(B4809)=TRIM(Enginuity!$A$17),
    Q4809&lt;&gt;"",
    Q4809&lt;&gt;0,
    OR(
      TRIM(C4809)=TRIM(Enginuity!$A$18),
      AND(UPPER(TRIM(M4809))="STD", TRIM(B4809)=TRIM(Enginuity!$A$17))
    ),
    OR(
      AND(LEFT(P4809,5)="1-Way", Enginuity!$B$13=1),
      AND(LEFT(P4809,5)="2-Way", OR(Enginuity!$B$13=2, Enginuity!$B$13=4)),
      AND(LEFT(P4809,5)="3-Way", OR(Enginuity!$B$13=3, Enginuity!$B$13=6)),
      AND(P4809="Inner Centre Jamb", OR(Enginuity!$B$13=4, Enginuity!$B$13=6)),
      AND(
        LEFT(P4809,5)&lt;&gt;"1-Way",
        LEFT(P4809,5)&lt;&gt;"2-Way",
        LEFT(P4809,5)&lt;&gt;"3-Way",
        P4809&lt;&gt;"Inner Centre Jamb"
      )
    ),
    IF(OR(Enginuity!$A$1="Frameless Glass",Enginuity!$A$1="Metal Work"),
      AND(TRIM(B4809)=TRIM(Enginuity!$A$17),TRIM(C4809)=TRIM(Enginuity!$A$18)),
      TRIM(B4809)=TRIM(Enginuity!$A$17)
    )
  ),
  ROW(),
  ""
)</f>
        <v/>
      </c>
    </row>
    <row r="4810" spans="21:21" x14ac:dyDescent="0.25">
      <c r="U4810" s="104" t="str">
        <f>IF(
  AND(
    TRIM(A4810)=TRIM(Enginuity!$A$1),
    TRIM(B4810)=TRIM(Enginuity!$A$17),
    Q4810&lt;&gt;"",
    Q4810&lt;&gt;0,
    OR(
      TRIM(C4810)=TRIM(Enginuity!$A$18),
      AND(UPPER(TRIM(M4810))="STD", TRIM(B4810)=TRIM(Enginuity!$A$17))
    ),
    OR(
      AND(LEFT(P4810,5)="1-Way", Enginuity!$B$13=1),
      AND(LEFT(P4810,5)="2-Way", OR(Enginuity!$B$13=2, Enginuity!$B$13=4)),
      AND(LEFT(P4810,5)="3-Way", OR(Enginuity!$B$13=3, Enginuity!$B$13=6)),
      AND(P4810="Inner Centre Jamb", OR(Enginuity!$B$13=4, Enginuity!$B$13=6)),
      AND(
        LEFT(P4810,5)&lt;&gt;"1-Way",
        LEFT(P4810,5)&lt;&gt;"2-Way",
        LEFT(P4810,5)&lt;&gt;"3-Way",
        P4810&lt;&gt;"Inner Centre Jamb"
      )
    ),
    IF(OR(Enginuity!$A$1="Frameless Glass",Enginuity!$A$1="Metal Work"),
      AND(TRIM(B4810)=TRIM(Enginuity!$A$17),TRIM(C4810)=TRIM(Enginuity!$A$18)),
      TRIM(B4810)=TRIM(Enginuity!$A$17)
    )
  ),
  ROW(),
  ""
)</f>
        <v/>
      </c>
    </row>
    <row r="4811" spans="21:21" x14ac:dyDescent="0.25">
      <c r="U4811" s="104" t="str">
        <f>IF(
  AND(
    TRIM(A4811)=TRIM(Enginuity!$A$1),
    TRIM(B4811)=TRIM(Enginuity!$A$17),
    Q4811&lt;&gt;"",
    Q4811&lt;&gt;0,
    OR(
      TRIM(C4811)=TRIM(Enginuity!$A$18),
      AND(UPPER(TRIM(M4811))="STD", TRIM(B4811)=TRIM(Enginuity!$A$17))
    ),
    OR(
      AND(LEFT(P4811,5)="1-Way", Enginuity!$B$13=1),
      AND(LEFT(P4811,5)="2-Way", OR(Enginuity!$B$13=2, Enginuity!$B$13=4)),
      AND(LEFT(P4811,5)="3-Way", OR(Enginuity!$B$13=3, Enginuity!$B$13=6)),
      AND(P4811="Inner Centre Jamb", OR(Enginuity!$B$13=4, Enginuity!$B$13=6)),
      AND(
        LEFT(P4811,5)&lt;&gt;"1-Way",
        LEFT(P4811,5)&lt;&gt;"2-Way",
        LEFT(P4811,5)&lt;&gt;"3-Way",
        P4811&lt;&gt;"Inner Centre Jamb"
      )
    ),
    IF(OR(Enginuity!$A$1="Frameless Glass",Enginuity!$A$1="Metal Work"),
      AND(TRIM(B4811)=TRIM(Enginuity!$A$17),TRIM(C4811)=TRIM(Enginuity!$A$18)),
      TRIM(B4811)=TRIM(Enginuity!$A$17)
    )
  ),
  ROW(),
  ""
)</f>
        <v/>
      </c>
    </row>
    <row r="4812" spans="21:21" x14ac:dyDescent="0.25">
      <c r="U4812" s="104" t="str">
        <f>IF(
  AND(
    TRIM(A4812)=TRIM(Enginuity!$A$1),
    TRIM(B4812)=TRIM(Enginuity!$A$17),
    Q4812&lt;&gt;"",
    Q4812&lt;&gt;0,
    OR(
      TRIM(C4812)=TRIM(Enginuity!$A$18),
      AND(UPPER(TRIM(M4812))="STD", TRIM(B4812)=TRIM(Enginuity!$A$17))
    ),
    OR(
      AND(LEFT(P4812,5)="1-Way", Enginuity!$B$13=1),
      AND(LEFT(P4812,5)="2-Way", OR(Enginuity!$B$13=2, Enginuity!$B$13=4)),
      AND(LEFT(P4812,5)="3-Way", OR(Enginuity!$B$13=3, Enginuity!$B$13=6)),
      AND(P4812="Inner Centre Jamb", OR(Enginuity!$B$13=4, Enginuity!$B$13=6)),
      AND(
        LEFT(P4812,5)&lt;&gt;"1-Way",
        LEFT(P4812,5)&lt;&gt;"2-Way",
        LEFT(P4812,5)&lt;&gt;"3-Way",
        P4812&lt;&gt;"Inner Centre Jamb"
      )
    ),
    IF(OR(Enginuity!$A$1="Frameless Glass",Enginuity!$A$1="Metal Work"),
      AND(TRIM(B4812)=TRIM(Enginuity!$A$17),TRIM(C4812)=TRIM(Enginuity!$A$18)),
      TRIM(B4812)=TRIM(Enginuity!$A$17)
    )
  ),
  ROW(),
  ""
)</f>
        <v/>
      </c>
    </row>
    <row r="4813" spans="21:21" x14ac:dyDescent="0.25">
      <c r="U4813" s="104" t="str">
        <f>IF(
  AND(
    TRIM(A4813)=TRIM(Enginuity!$A$1),
    TRIM(B4813)=TRIM(Enginuity!$A$17),
    Q4813&lt;&gt;"",
    Q4813&lt;&gt;0,
    OR(
      TRIM(C4813)=TRIM(Enginuity!$A$18),
      AND(UPPER(TRIM(M4813))="STD", TRIM(B4813)=TRIM(Enginuity!$A$17))
    ),
    OR(
      AND(LEFT(P4813,5)="1-Way", Enginuity!$B$13=1),
      AND(LEFT(P4813,5)="2-Way", OR(Enginuity!$B$13=2, Enginuity!$B$13=4)),
      AND(LEFT(P4813,5)="3-Way", OR(Enginuity!$B$13=3, Enginuity!$B$13=6)),
      AND(P4813="Inner Centre Jamb", OR(Enginuity!$B$13=4, Enginuity!$B$13=6)),
      AND(
        LEFT(P4813,5)&lt;&gt;"1-Way",
        LEFT(P4813,5)&lt;&gt;"2-Way",
        LEFT(P4813,5)&lt;&gt;"3-Way",
        P4813&lt;&gt;"Inner Centre Jamb"
      )
    ),
    IF(OR(Enginuity!$A$1="Frameless Glass",Enginuity!$A$1="Metal Work"),
      AND(TRIM(B4813)=TRIM(Enginuity!$A$17),TRIM(C4813)=TRIM(Enginuity!$A$18)),
      TRIM(B4813)=TRIM(Enginuity!$A$17)
    )
  ),
  ROW(),
  ""
)</f>
        <v/>
      </c>
    </row>
    <row r="4814" spans="21:21" x14ac:dyDescent="0.25">
      <c r="U4814" s="104" t="str">
        <f>IF(
  AND(
    TRIM(A4814)=TRIM(Enginuity!$A$1),
    TRIM(B4814)=TRIM(Enginuity!$A$17),
    Q4814&lt;&gt;"",
    Q4814&lt;&gt;0,
    OR(
      TRIM(C4814)=TRIM(Enginuity!$A$18),
      AND(UPPER(TRIM(M4814))="STD", TRIM(B4814)=TRIM(Enginuity!$A$17))
    ),
    OR(
      AND(LEFT(P4814,5)="1-Way", Enginuity!$B$13=1),
      AND(LEFT(P4814,5)="2-Way", OR(Enginuity!$B$13=2, Enginuity!$B$13=4)),
      AND(LEFT(P4814,5)="3-Way", OR(Enginuity!$B$13=3, Enginuity!$B$13=6)),
      AND(P4814="Inner Centre Jamb", OR(Enginuity!$B$13=4, Enginuity!$B$13=6)),
      AND(
        LEFT(P4814,5)&lt;&gt;"1-Way",
        LEFT(P4814,5)&lt;&gt;"2-Way",
        LEFT(P4814,5)&lt;&gt;"3-Way",
        P4814&lt;&gt;"Inner Centre Jamb"
      )
    ),
    IF(OR(Enginuity!$A$1="Frameless Glass",Enginuity!$A$1="Metal Work"),
      AND(TRIM(B4814)=TRIM(Enginuity!$A$17),TRIM(C4814)=TRIM(Enginuity!$A$18)),
      TRIM(B4814)=TRIM(Enginuity!$A$17)
    )
  ),
  ROW(),
  ""
)</f>
        <v/>
      </c>
    </row>
    <row r="4815" spans="21:21" x14ac:dyDescent="0.25">
      <c r="U4815" s="104" t="str">
        <f>IF(
  AND(
    TRIM(A4815)=TRIM(Enginuity!$A$1),
    TRIM(B4815)=TRIM(Enginuity!$A$17),
    Q4815&lt;&gt;"",
    Q4815&lt;&gt;0,
    OR(
      TRIM(C4815)=TRIM(Enginuity!$A$18),
      AND(UPPER(TRIM(M4815))="STD", TRIM(B4815)=TRIM(Enginuity!$A$17))
    ),
    OR(
      AND(LEFT(P4815,5)="1-Way", Enginuity!$B$13=1),
      AND(LEFT(P4815,5)="2-Way", OR(Enginuity!$B$13=2, Enginuity!$B$13=4)),
      AND(LEFT(P4815,5)="3-Way", OR(Enginuity!$B$13=3, Enginuity!$B$13=6)),
      AND(P4815="Inner Centre Jamb", OR(Enginuity!$B$13=4, Enginuity!$B$13=6)),
      AND(
        LEFT(P4815,5)&lt;&gt;"1-Way",
        LEFT(P4815,5)&lt;&gt;"2-Way",
        LEFT(P4815,5)&lt;&gt;"3-Way",
        P4815&lt;&gt;"Inner Centre Jamb"
      )
    ),
    IF(OR(Enginuity!$A$1="Frameless Glass",Enginuity!$A$1="Metal Work"),
      AND(TRIM(B4815)=TRIM(Enginuity!$A$17),TRIM(C4815)=TRIM(Enginuity!$A$18)),
      TRIM(B4815)=TRIM(Enginuity!$A$17)
    )
  ),
  ROW(),
  ""
)</f>
        <v/>
      </c>
    </row>
    <row r="4816" spans="21:21" x14ac:dyDescent="0.25">
      <c r="U4816" s="104" t="str">
        <f>IF(
  AND(
    TRIM(A4816)=TRIM(Enginuity!$A$1),
    TRIM(B4816)=TRIM(Enginuity!$A$17),
    Q4816&lt;&gt;"",
    Q4816&lt;&gt;0,
    OR(
      TRIM(C4816)=TRIM(Enginuity!$A$18),
      AND(UPPER(TRIM(M4816))="STD", TRIM(B4816)=TRIM(Enginuity!$A$17))
    ),
    OR(
      AND(LEFT(P4816,5)="1-Way", Enginuity!$B$13=1),
      AND(LEFT(P4816,5)="2-Way", OR(Enginuity!$B$13=2, Enginuity!$B$13=4)),
      AND(LEFT(P4816,5)="3-Way", OR(Enginuity!$B$13=3, Enginuity!$B$13=6)),
      AND(P4816="Inner Centre Jamb", OR(Enginuity!$B$13=4, Enginuity!$B$13=6)),
      AND(
        LEFT(P4816,5)&lt;&gt;"1-Way",
        LEFT(P4816,5)&lt;&gt;"2-Way",
        LEFT(P4816,5)&lt;&gt;"3-Way",
        P4816&lt;&gt;"Inner Centre Jamb"
      )
    ),
    IF(OR(Enginuity!$A$1="Frameless Glass",Enginuity!$A$1="Metal Work"),
      AND(TRIM(B4816)=TRIM(Enginuity!$A$17),TRIM(C4816)=TRIM(Enginuity!$A$18)),
      TRIM(B4816)=TRIM(Enginuity!$A$17)
    )
  ),
  ROW(),
  ""
)</f>
        <v/>
      </c>
    </row>
    <row r="4817" spans="21:21" x14ac:dyDescent="0.25">
      <c r="U4817" s="104" t="str">
        <f>IF(
  AND(
    TRIM(A4817)=TRIM(Enginuity!$A$1),
    TRIM(B4817)=TRIM(Enginuity!$A$17),
    Q4817&lt;&gt;"",
    Q4817&lt;&gt;0,
    OR(
      TRIM(C4817)=TRIM(Enginuity!$A$18),
      AND(UPPER(TRIM(M4817))="STD", TRIM(B4817)=TRIM(Enginuity!$A$17))
    ),
    OR(
      AND(LEFT(P4817,5)="1-Way", Enginuity!$B$13=1),
      AND(LEFT(P4817,5)="2-Way", OR(Enginuity!$B$13=2, Enginuity!$B$13=4)),
      AND(LEFT(P4817,5)="3-Way", OR(Enginuity!$B$13=3, Enginuity!$B$13=6)),
      AND(P4817="Inner Centre Jamb", OR(Enginuity!$B$13=4, Enginuity!$B$13=6)),
      AND(
        LEFT(P4817,5)&lt;&gt;"1-Way",
        LEFT(P4817,5)&lt;&gt;"2-Way",
        LEFT(P4817,5)&lt;&gt;"3-Way",
        P4817&lt;&gt;"Inner Centre Jamb"
      )
    ),
    IF(OR(Enginuity!$A$1="Frameless Glass",Enginuity!$A$1="Metal Work"),
      AND(TRIM(B4817)=TRIM(Enginuity!$A$17),TRIM(C4817)=TRIM(Enginuity!$A$18)),
      TRIM(B4817)=TRIM(Enginuity!$A$17)
    )
  ),
  ROW(),
  ""
)</f>
        <v/>
      </c>
    </row>
    <row r="4818" spans="21:21" x14ac:dyDescent="0.25">
      <c r="U4818" s="104" t="str">
        <f>IF(
  AND(
    TRIM(A4818)=TRIM(Enginuity!$A$1),
    TRIM(B4818)=TRIM(Enginuity!$A$17),
    Q4818&lt;&gt;"",
    Q4818&lt;&gt;0,
    OR(
      TRIM(C4818)=TRIM(Enginuity!$A$18),
      AND(UPPER(TRIM(M4818))="STD", TRIM(B4818)=TRIM(Enginuity!$A$17))
    ),
    OR(
      AND(LEFT(P4818,5)="1-Way", Enginuity!$B$13=1),
      AND(LEFT(P4818,5)="2-Way", OR(Enginuity!$B$13=2, Enginuity!$B$13=4)),
      AND(LEFT(P4818,5)="3-Way", OR(Enginuity!$B$13=3, Enginuity!$B$13=6)),
      AND(P4818="Inner Centre Jamb", OR(Enginuity!$B$13=4, Enginuity!$B$13=6)),
      AND(
        LEFT(P4818,5)&lt;&gt;"1-Way",
        LEFT(P4818,5)&lt;&gt;"2-Way",
        LEFT(P4818,5)&lt;&gt;"3-Way",
        P4818&lt;&gt;"Inner Centre Jamb"
      )
    ),
    IF(OR(Enginuity!$A$1="Frameless Glass",Enginuity!$A$1="Metal Work"),
      AND(TRIM(B4818)=TRIM(Enginuity!$A$17),TRIM(C4818)=TRIM(Enginuity!$A$18)),
      TRIM(B4818)=TRIM(Enginuity!$A$17)
    )
  ),
  ROW(),
  ""
)</f>
        <v/>
      </c>
    </row>
    <row r="4819" spans="21:21" x14ac:dyDescent="0.25">
      <c r="U4819" s="104" t="str">
        <f>IF(
  AND(
    TRIM(A4819)=TRIM(Enginuity!$A$1),
    TRIM(B4819)=TRIM(Enginuity!$A$17),
    Q4819&lt;&gt;"",
    Q4819&lt;&gt;0,
    OR(
      TRIM(C4819)=TRIM(Enginuity!$A$18),
      AND(UPPER(TRIM(M4819))="STD", TRIM(B4819)=TRIM(Enginuity!$A$17))
    ),
    OR(
      AND(LEFT(P4819,5)="1-Way", Enginuity!$B$13=1),
      AND(LEFT(P4819,5)="2-Way", OR(Enginuity!$B$13=2, Enginuity!$B$13=4)),
      AND(LEFT(P4819,5)="3-Way", OR(Enginuity!$B$13=3, Enginuity!$B$13=6)),
      AND(P4819="Inner Centre Jamb", OR(Enginuity!$B$13=4, Enginuity!$B$13=6)),
      AND(
        LEFT(P4819,5)&lt;&gt;"1-Way",
        LEFT(P4819,5)&lt;&gt;"2-Way",
        LEFT(P4819,5)&lt;&gt;"3-Way",
        P4819&lt;&gt;"Inner Centre Jamb"
      )
    ),
    IF(OR(Enginuity!$A$1="Frameless Glass",Enginuity!$A$1="Metal Work"),
      AND(TRIM(B4819)=TRIM(Enginuity!$A$17),TRIM(C4819)=TRIM(Enginuity!$A$18)),
      TRIM(B4819)=TRIM(Enginuity!$A$17)
    )
  ),
  ROW(),
  ""
)</f>
        <v/>
      </c>
    </row>
    <row r="4820" spans="21:21" x14ac:dyDescent="0.25">
      <c r="U4820" s="104" t="str">
        <f>IF(
  AND(
    TRIM(A4820)=TRIM(Enginuity!$A$1),
    TRIM(B4820)=TRIM(Enginuity!$A$17),
    Q4820&lt;&gt;"",
    Q4820&lt;&gt;0,
    OR(
      TRIM(C4820)=TRIM(Enginuity!$A$18),
      AND(UPPER(TRIM(M4820))="STD", TRIM(B4820)=TRIM(Enginuity!$A$17))
    ),
    OR(
      AND(LEFT(P4820,5)="1-Way", Enginuity!$B$13=1),
      AND(LEFT(P4820,5)="2-Way", OR(Enginuity!$B$13=2, Enginuity!$B$13=4)),
      AND(LEFT(P4820,5)="3-Way", OR(Enginuity!$B$13=3, Enginuity!$B$13=6)),
      AND(P4820="Inner Centre Jamb", OR(Enginuity!$B$13=4, Enginuity!$B$13=6)),
      AND(
        LEFT(P4820,5)&lt;&gt;"1-Way",
        LEFT(P4820,5)&lt;&gt;"2-Way",
        LEFT(P4820,5)&lt;&gt;"3-Way",
        P4820&lt;&gt;"Inner Centre Jamb"
      )
    ),
    IF(OR(Enginuity!$A$1="Frameless Glass",Enginuity!$A$1="Metal Work"),
      AND(TRIM(B4820)=TRIM(Enginuity!$A$17),TRIM(C4820)=TRIM(Enginuity!$A$18)),
      TRIM(B4820)=TRIM(Enginuity!$A$17)
    )
  ),
  ROW(),
  ""
)</f>
        <v/>
      </c>
    </row>
    <row r="4821" spans="21:21" x14ac:dyDescent="0.25">
      <c r="U4821" s="104" t="str">
        <f>IF(
  AND(
    TRIM(A4821)=TRIM(Enginuity!$A$1),
    TRIM(B4821)=TRIM(Enginuity!$A$17),
    Q4821&lt;&gt;"",
    Q4821&lt;&gt;0,
    OR(
      TRIM(C4821)=TRIM(Enginuity!$A$18),
      AND(UPPER(TRIM(M4821))="STD", TRIM(B4821)=TRIM(Enginuity!$A$17))
    ),
    OR(
      AND(LEFT(P4821,5)="1-Way", Enginuity!$B$13=1),
      AND(LEFT(P4821,5)="2-Way", OR(Enginuity!$B$13=2, Enginuity!$B$13=4)),
      AND(LEFT(P4821,5)="3-Way", OR(Enginuity!$B$13=3, Enginuity!$B$13=6)),
      AND(P4821="Inner Centre Jamb", OR(Enginuity!$B$13=4, Enginuity!$B$13=6)),
      AND(
        LEFT(P4821,5)&lt;&gt;"1-Way",
        LEFT(P4821,5)&lt;&gt;"2-Way",
        LEFT(P4821,5)&lt;&gt;"3-Way",
        P4821&lt;&gt;"Inner Centre Jamb"
      )
    ),
    IF(OR(Enginuity!$A$1="Frameless Glass",Enginuity!$A$1="Metal Work"),
      AND(TRIM(B4821)=TRIM(Enginuity!$A$17),TRIM(C4821)=TRIM(Enginuity!$A$18)),
      TRIM(B4821)=TRIM(Enginuity!$A$17)
    )
  ),
  ROW(),
  ""
)</f>
        <v/>
      </c>
    </row>
    <row r="4822" spans="21:21" x14ac:dyDescent="0.25">
      <c r="U4822" s="104" t="str">
        <f>IF(
  AND(
    TRIM(A4822)=TRIM(Enginuity!$A$1),
    TRIM(B4822)=TRIM(Enginuity!$A$17),
    Q4822&lt;&gt;"",
    Q4822&lt;&gt;0,
    OR(
      TRIM(C4822)=TRIM(Enginuity!$A$18),
      AND(UPPER(TRIM(M4822))="STD", TRIM(B4822)=TRIM(Enginuity!$A$17))
    ),
    OR(
      AND(LEFT(P4822,5)="1-Way", Enginuity!$B$13=1),
      AND(LEFT(P4822,5)="2-Way", OR(Enginuity!$B$13=2, Enginuity!$B$13=4)),
      AND(LEFT(P4822,5)="3-Way", OR(Enginuity!$B$13=3, Enginuity!$B$13=6)),
      AND(P4822="Inner Centre Jamb", OR(Enginuity!$B$13=4, Enginuity!$B$13=6)),
      AND(
        LEFT(P4822,5)&lt;&gt;"1-Way",
        LEFT(P4822,5)&lt;&gt;"2-Way",
        LEFT(P4822,5)&lt;&gt;"3-Way",
        P4822&lt;&gt;"Inner Centre Jamb"
      )
    ),
    IF(OR(Enginuity!$A$1="Frameless Glass",Enginuity!$A$1="Metal Work"),
      AND(TRIM(B4822)=TRIM(Enginuity!$A$17),TRIM(C4822)=TRIM(Enginuity!$A$18)),
      TRIM(B4822)=TRIM(Enginuity!$A$17)
    )
  ),
  ROW(),
  ""
)</f>
        <v/>
      </c>
    </row>
    <row r="4823" spans="21:21" x14ac:dyDescent="0.25">
      <c r="U4823" s="104" t="str">
        <f>IF(
  AND(
    TRIM(A4823)=TRIM(Enginuity!$A$1),
    TRIM(B4823)=TRIM(Enginuity!$A$17),
    Q4823&lt;&gt;"",
    Q4823&lt;&gt;0,
    OR(
      TRIM(C4823)=TRIM(Enginuity!$A$18),
      AND(UPPER(TRIM(M4823))="STD", TRIM(B4823)=TRIM(Enginuity!$A$17))
    ),
    OR(
      AND(LEFT(P4823,5)="1-Way", Enginuity!$B$13=1),
      AND(LEFT(P4823,5)="2-Way", OR(Enginuity!$B$13=2, Enginuity!$B$13=4)),
      AND(LEFT(P4823,5)="3-Way", OR(Enginuity!$B$13=3, Enginuity!$B$13=6)),
      AND(P4823="Inner Centre Jamb", OR(Enginuity!$B$13=4, Enginuity!$B$13=6)),
      AND(
        LEFT(P4823,5)&lt;&gt;"1-Way",
        LEFT(P4823,5)&lt;&gt;"2-Way",
        LEFT(P4823,5)&lt;&gt;"3-Way",
        P4823&lt;&gt;"Inner Centre Jamb"
      )
    ),
    IF(OR(Enginuity!$A$1="Frameless Glass",Enginuity!$A$1="Metal Work"),
      AND(TRIM(B4823)=TRIM(Enginuity!$A$17),TRIM(C4823)=TRIM(Enginuity!$A$18)),
      TRIM(B4823)=TRIM(Enginuity!$A$17)
    )
  ),
  ROW(),
  ""
)</f>
        <v/>
      </c>
    </row>
    <row r="4824" spans="21:21" x14ac:dyDescent="0.25">
      <c r="U4824" s="104" t="str">
        <f>IF(
  AND(
    TRIM(A4824)=TRIM(Enginuity!$A$1),
    TRIM(B4824)=TRIM(Enginuity!$A$17),
    Q4824&lt;&gt;"",
    Q4824&lt;&gt;0,
    OR(
      TRIM(C4824)=TRIM(Enginuity!$A$18),
      AND(UPPER(TRIM(M4824))="STD", TRIM(B4824)=TRIM(Enginuity!$A$17))
    ),
    OR(
      AND(LEFT(P4824,5)="1-Way", Enginuity!$B$13=1),
      AND(LEFT(P4824,5)="2-Way", OR(Enginuity!$B$13=2, Enginuity!$B$13=4)),
      AND(LEFT(P4824,5)="3-Way", OR(Enginuity!$B$13=3, Enginuity!$B$13=6)),
      AND(P4824="Inner Centre Jamb", OR(Enginuity!$B$13=4, Enginuity!$B$13=6)),
      AND(
        LEFT(P4824,5)&lt;&gt;"1-Way",
        LEFT(P4824,5)&lt;&gt;"2-Way",
        LEFT(P4824,5)&lt;&gt;"3-Way",
        P4824&lt;&gt;"Inner Centre Jamb"
      )
    ),
    IF(OR(Enginuity!$A$1="Frameless Glass",Enginuity!$A$1="Metal Work"),
      AND(TRIM(B4824)=TRIM(Enginuity!$A$17),TRIM(C4824)=TRIM(Enginuity!$A$18)),
      TRIM(B4824)=TRIM(Enginuity!$A$17)
    )
  ),
  ROW(),
  ""
)</f>
        <v/>
      </c>
    </row>
    <row r="4825" spans="21:21" x14ac:dyDescent="0.25">
      <c r="U4825" s="104" t="str">
        <f>IF(
  AND(
    TRIM(A4825)=TRIM(Enginuity!$A$1),
    TRIM(B4825)=TRIM(Enginuity!$A$17),
    Q4825&lt;&gt;"",
    Q4825&lt;&gt;0,
    OR(
      TRIM(C4825)=TRIM(Enginuity!$A$18),
      AND(UPPER(TRIM(M4825))="STD", TRIM(B4825)=TRIM(Enginuity!$A$17))
    ),
    OR(
      AND(LEFT(P4825,5)="1-Way", Enginuity!$B$13=1),
      AND(LEFT(P4825,5)="2-Way", OR(Enginuity!$B$13=2, Enginuity!$B$13=4)),
      AND(LEFT(P4825,5)="3-Way", OR(Enginuity!$B$13=3, Enginuity!$B$13=6)),
      AND(P4825="Inner Centre Jamb", OR(Enginuity!$B$13=4, Enginuity!$B$13=6)),
      AND(
        LEFT(P4825,5)&lt;&gt;"1-Way",
        LEFT(P4825,5)&lt;&gt;"2-Way",
        LEFT(P4825,5)&lt;&gt;"3-Way",
        P4825&lt;&gt;"Inner Centre Jamb"
      )
    ),
    IF(OR(Enginuity!$A$1="Frameless Glass",Enginuity!$A$1="Metal Work"),
      AND(TRIM(B4825)=TRIM(Enginuity!$A$17),TRIM(C4825)=TRIM(Enginuity!$A$18)),
      TRIM(B4825)=TRIM(Enginuity!$A$17)
    )
  ),
  ROW(),
  ""
)</f>
        <v/>
      </c>
    </row>
    <row r="4826" spans="21:21" x14ac:dyDescent="0.25">
      <c r="U4826" s="104" t="str">
        <f>IF(
  AND(
    TRIM(A4826)=TRIM(Enginuity!$A$1),
    TRIM(B4826)=TRIM(Enginuity!$A$17),
    Q4826&lt;&gt;"",
    Q4826&lt;&gt;0,
    OR(
      TRIM(C4826)=TRIM(Enginuity!$A$18),
      AND(UPPER(TRIM(M4826))="STD", TRIM(B4826)=TRIM(Enginuity!$A$17))
    ),
    OR(
      AND(LEFT(P4826,5)="1-Way", Enginuity!$B$13=1),
      AND(LEFT(P4826,5)="2-Way", OR(Enginuity!$B$13=2, Enginuity!$B$13=4)),
      AND(LEFT(P4826,5)="3-Way", OR(Enginuity!$B$13=3, Enginuity!$B$13=6)),
      AND(P4826="Inner Centre Jamb", OR(Enginuity!$B$13=4, Enginuity!$B$13=6)),
      AND(
        LEFT(P4826,5)&lt;&gt;"1-Way",
        LEFT(P4826,5)&lt;&gt;"2-Way",
        LEFT(P4826,5)&lt;&gt;"3-Way",
        P4826&lt;&gt;"Inner Centre Jamb"
      )
    ),
    IF(OR(Enginuity!$A$1="Frameless Glass",Enginuity!$A$1="Metal Work"),
      AND(TRIM(B4826)=TRIM(Enginuity!$A$17),TRIM(C4826)=TRIM(Enginuity!$A$18)),
      TRIM(B4826)=TRIM(Enginuity!$A$17)
    )
  ),
  ROW(),
  ""
)</f>
        <v/>
      </c>
    </row>
    <row r="4827" spans="21:21" x14ac:dyDescent="0.25">
      <c r="U4827" s="104" t="str">
        <f>IF(
  AND(
    TRIM(A4827)=TRIM(Enginuity!$A$1),
    TRIM(B4827)=TRIM(Enginuity!$A$17),
    Q4827&lt;&gt;"",
    Q4827&lt;&gt;0,
    OR(
      TRIM(C4827)=TRIM(Enginuity!$A$18),
      AND(UPPER(TRIM(M4827))="STD", TRIM(B4827)=TRIM(Enginuity!$A$17))
    ),
    OR(
      AND(LEFT(P4827,5)="1-Way", Enginuity!$B$13=1),
      AND(LEFT(P4827,5)="2-Way", OR(Enginuity!$B$13=2, Enginuity!$B$13=4)),
      AND(LEFT(P4827,5)="3-Way", OR(Enginuity!$B$13=3, Enginuity!$B$13=6)),
      AND(P4827="Inner Centre Jamb", OR(Enginuity!$B$13=4, Enginuity!$B$13=6)),
      AND(
        LEFT(P4827,5)&lt;&gt;"1-Way",
        LEFT(P4827,5)&lt;&gt;"2-Way",
        LEFT(P4827,5)&lt;&gt;"3-Way",
        P4827&lt;&gt;"Inner Centre Jamb"
      )
    ),
    IF(OR(Enginuity!$A$1="Frameless Glass",Enginuity!$A$1="Metal Work"),
      AND(TRIM(B4827)=TRIM(Enginuity!$A$17),TRIM(C4827)=TRIM(Enginuity!$A$18)),
      TRIM(B4827)=TRIM(Enginuity!$A$17)
    )
  ),
  ROW(),
  ""
)</f>
        <v/>
      </c>
    </row>
    <row r="4828" spans="21:21" x14ac:dyDescent="0.25">
      <c r="U4828" s="104" t="str">
        <f>IF(
  AND(
    TRIM(A4828)=TRIM(Enginuity!$A$1),
    TRIM(B4828)=TRIM(Enginuity!$A$17),
    Q4828&lt;&gt;"",
    Q4828&lt;&gt;0,
    OR(
      TRIM(C4828)=TRIM(Enginuity!$A$18),
      AND(UPPER(TRIM(M4828))="STD", TRIM(B4828)=TRIM(Enginuity!$A$17))
    ),
    OR(
      AND(LEFT(P4828,5)="1-Way", Enginuity!$B$13=1),
      AND(LEFT(P4828,5)="2-Way", OR(Enginuity!$B$13=2, Enginuity!$B$13=4)),
      AND(LEFT(P4828,5)="3-Way", OR(Enginuity!$B$13=3, Enginuity!$B$13=6)),
      AND(P4828="Inner Centre Jamb", OR(Enginuity!$B$13=4, Enginuity!$B$13=6)),
      AND(
        LEFT(P4828,5)&lt;&gt;"1-Way",
        LEFT(P4828,5)&lt;&gt;"2-Way",
        LEFT(P4828,5)&lt;&gt;"3-Way",
        P4828&lt;&gt;"Inner Centre Jamb"
      )
    ),
    IF(OR(Enginuity!$A$1="Frameless Glass",Enginuity!$A$1="Metal Work"),
      AND(TRIM(B4828)=TRIM(Enginuity!$A$17),TRIM(C4828)=TRIM(Enginuity!$A$18)),
      TRIM(B4828)=TRIM(Enginuity!$A$17)
    )
  ),
  ROW(),
  ""
)</f>
        <v/>
      </c>
    </row>
    <row r="4829" spans="21:21" x14ac:dyDescent="0.25">
      <c r="U4829" s="104" t="str">
        <f>IF(
  AND(
    TRIM(A4829)=TRIM(Enginuity!$A$1),
    TRIM(B4829)=TRIM(Enginuity!$A$17),
    Q4829&lt;&gt;"",
    Q4829&lt;&gt;0,
    OR(
      TRIM(C4829)=TRIM(Enginuity!$A$18),
      AND(UPPER(TRIM(M4829))="STD", TRIM(B4829)=TRIM(Enginuity!$A$17))
    ),
    OR(
      AND(LEFT(P4829,5)="1-Way", Enginuity!$B$13=1),
      AND(LEFT(P4829,5)="2-Way", OR(Enginuity!$B$13=2, Enginuity!$B$13=4)),
      AND(LEFT(P4829,5)="3-Way", OR(Enginuity!$B$13=3, Enginuity!$B$13=6)),
      AND(P4829="Inner Centre Jamb", OR(Enginuity!$B$13=4, Enginuity!$B$13=6)),
      AND(
        LEFT(P4829,5)&lt;&gt;"1-Way",
        LEFT(P4829,5)&lt;&gt;"2-Way",
        LEFT(P4829,5)&lt;&gt;"3-Way",
        P4829&lt;&gt;"Inner Centre Jamb"
      )
    ),
    IF(OR(Enginuity!$A$1="Frameless Glass",Enginuity!$A$1="Metal Work"),
      AND(TRIM(B4829)=TRIM(Enginuity!$A$17),TRIM(C4829)=TRIM(Enginuity!$A$18)),
      TRIM(B4829)=TRIM(Enginuity!$A$17)
    )
  ),
  ROW(),
  ""
)</f>
        <v/>
      </c>
    </row>
    <row r="4830" spans="21:21" x14ac:dyDescent="0.25">
      <c r="U4830" s="104" t="str">
        <f>IF(
  AND(
    TRIM(A4830)=TRIM(Enginuity!$A$1),
    TRIM(B4830)=TRIM(Enginuity!$A$17),
    Q4830&lt;&gt;"",
    Q4830&lt;&gt;0,
    OR(
      TRIM(C4830)=TRIM(Enginuity!$A$18),
      AND(UPPER(TRIM(M4830))="STD", TRIM(B4830)=TRIM(Enginuity!$A$17))
    ),
    OR(
      AND(LEFT(P4830,5)="1-Way", Enginuity!$B$13=1),
      AND(LEFT(P4830,5)="2-Way", OR(Enginuity!$B$13=2, Enginuity!$B$13=4)),
      AND(LEFT(P4830,5)="3-Way", OR(Enginuity!$B$13=3, Enginuity!$B$13=6)),
      AND(P4830="Inner Centre Jamb", OR(Enginuity!$B$13=4, Enginuity!$B$13=6)),
      AND(
        LEFT(P4830,5)&lt;&gt;"1-Way",
        LEFT(P4830,5)&lt;&gt;"2-Way",
        LEFT(P4830,5)&lt;&gt;"3-Way",
        P4830&lt;&gt;"Inner Centre Jamb"
      )
    ),
    IF(OR(Enginuity!$A$1="Frameless Glass",Enginuity!$A$1="Metal Work"),
      AND(TRIM(B4830)=TRIM(Enginuity!$A$17),TRIM(C4830)=TRIM(Enginuity!$A$18)),
      TRIM(B4830)=TRIM(Enginuity!$A$17)
    )
  ),
  ROW(),
  ""
)</f>
        <v/>
      </c>
    </row>
    <row r="4831" spans="21:21" x14ac:dyDescent="0.25">
      <c r="U4831" s="104" t="str">
        <f>IF(
  AND(
    TRIM(A4831)=TRIM(Enginuity!$A$1),
    TRIM(B4831)=TRIM(Enginuity!$A$17),
    Q4831&lt;&gt;"",
    Q4831&lt;&gt;0,
    OR(
      TRIM(C4831)=TRIM(Enginuity!$A$18),
      AND(UPPER(TRIM(M4831))="STD", TRIM(B4831)=TRIM(Enginuity!$A$17))
    ),
    OR(
      AND(LEFT(P4831,5)="1-Way", Enginuity!$B$13=1),
      AND(LEFT(P4831,5)="2-Way", OR(Enginuity!$B$13=2, Enginuity!$B$13=4)),
      AND(LEFT(P4831,5)="3-Way", OR(Enginuity!$B$13=3, Enginuity!$B$13=6)),
      AND(P4831="Inner Centre Jamb", OR(Enginuity!$B$13=4, Enginuity!$B$13=6)),
      AND(
        LEFT(P4831,5)&lt;&gt;"1-Way",
        LEFT(P4831,5)&lt;&gt;"2-Way",
        LEFT(P4831,5)&lt;&gt;"3-Way",
        P4831&lt;&gt;"Inner Centre Jamb"
      )
    ),
    IF(OR(Enginuity!$A$1="Frameless Glass",Enginuity!$A$1="Metal Work"),
      AND(TRIM(B4831)=TRIM(Enginuity!$A$17),TRIM(C4831)=TRIM(Enginuity!$A$18)),
      TRIM(B4831)=TRIM(Enginuity!$A$17)
    )
  ),
  ROW(),
  ""
)</f>
        <v/>
      </c>
    </row>
    <row r="4832" spans="21:21" x14ac:dyDescent="0.25">
      <c r="U4832" s="104" t="str">
        <f>IF(
  AND(
    TRIM(A4832)=TRIM(Enginuity!$A$1),
    TRIM(B4832)=TRIM(Enginuity!$A$17),
    Q4832&lt;&gt;"",
    Q4832&lt;&gt;0,
    OR(
      TRIM(C4832)=TRIM(Enginuity!$A$18),
      AND(UPPER(TRIM(M4832))="STD", TRIM(B4832)=TRIM(Enginuity!$A$17))
    ),
    OR(
      AND(LEFT(P4832,5)="1-Way", Enginuity!$B$13=1),
      AND(LEFT(P4832,5)="2-Way", OR(Enginuity!$B$13=2, Enginuity!$B$13=4)),
      AND(LEFT(P4832,5)="3-Way", OR(Enginuity!$B$13=3, Enginuity!$B$13=6)),
      AND(P4832="Inner Centre Jamb", OR(Enginuity!$B$13=4, Enginuity!$B$13=6)),
      AND(
        LEFT(P4832,5)&lt;&gt;"1-Way",
        LEFT(P4832,5)&lt;&gt;"2-Way",
        LEFT(P4832,5)&lt;&gt;"3-Way",
        P4832&lt;&gt;"Inner Centre Jamb"
      )
    ),
    IF(OR(Enginuity!$A$1="Frameless Glass",Enginuity!$A$1="Metal Work"),
      AND(TRIM(B4832)=TRIM(Enginuity!$A$17),TRIM(C4832)=TRIM(Enginuity!$A$18)),
      TRIM(B4832)=TRIM(Enginuity!$A$17)
    )
  ),
  ROW(),
  ""
)</f>
        <v/>
      </c>
    </row>
    <row r="4833" spans="21:21" x14ac:dyDescent="0.25">
      <c r="U4833" s="104" t="str">
        <f>IF(
  AND(
    TRIM(A4833)=TRIM(Enginuity!$A$1),
    TRIM(B4833)=TRIM(Enginuity!$A$17),
    Q4833&lt;&gt;"",
    Q4833&lt;&gt;0,
    OR(
      TRIM(C4833)=TRIM(Enginuity!$A$18),
      AND(UPPER(TRIM(M4833))="STD", TRIM(B4833)=TRIM(Enginuity!$A$17))
    ),
    OR(
      AND(LEFT(P4833,5)="1-Way", Enginuity!$B$13=1),
      AND(LEFT(P4833,5)="2-Way", OR(Enginuity!$B$13=2, Enginuity!$B$13=4)),
      AND(LEFT(P4833,5)="3-Way", OR(Enginuity!$B$13=3, Enginuity!$B$13=6)),
      AND(P4833="Inner Centre Jamb", OR(Enginuity!$B$13=4, Enginuity!$B$13=6)),
      AND(
        LEFT(P4833,5)&lt;&gt;"1-Way",
        LEFT(P4833,5)&lt;&gt;"2-Way",
        LEFT(P4833,5)&lt;&gt;"3-Way",
        P4833&lt;&gt;"Inner Centre Jamb"
      )
    ),
    IF(OR(Enginuity!$A$1="Frameless Glass",Enginuity!$A$1="Metal Work"),
      AND(TRIM(B4833)=TRIM(Enginuity!$A$17),TRIM(C4833)=TRIM(Enginuity!$A$18)),
      TRIM(B4833)=TRIM(Enginuity!$A$17)
    )
  ),
  ROW(),
  ""
)</f>
        <v/>
      </c>
    </row>
    <row r="4834" spans="21:21" x14ac:dyDescent="0.25">
      <c r="U4834" s="104" t="str">
        <f>IF(
  AND(
    TRIM(A4834)=TRIM(Enginuity!$A$1),
    TRIM(B4834)=TRIM(Enginuity!$A$17),
    Q4834&lt;&gt;"",
    Q4834&lt;&gt;0,
    OR(
      TRIM(C4834)=TRIM(Enginuity!$A$18),
      AND(UPPER(TRIM(M4834))="STD", TRIM(B4834)=TRIM(Enginuity!$A$17))
    ),
    OR(
      AND(LEFT(P4834,5)="1-Way", Enginuity!$B$13=1),
      AND(LEFT(P4834,5)="2-Way", OR(Enginuity!$B$13=2, Enginuity!$B$13=4)),
      AND(LEFT(P4834,5)="3-Way", OR(Enginuity!$B$13=3, Enginuity!$B$13=6)),
      AND(P4834="Inner Centre Jamb", OR(Enginuity!$B$13=4, Enginuity!$B$13=6)),
      AND(
        LEFT(P4834,5)&lt;&gt;"1-Way",
        LEFT(P4834,5)&lt;&gt;"2-Way",
        LEFT(P4834,5)&lt;&gt;"3-Way",
        P4834&lt;&gt;"Inner Centre Jamb"
      )
    ),
    IF(OR(Enginuity!$A$1="Frameless Glass",Enginuity!$A$1="Metal Work"),
      AND(TRIM(B4834)=TRIM(Enginuity!$A$17),TRIM(C4834)=TRIM(Enginuity!$A$18)),
      TRIM(B4834)=TRIM(Enginuity!$A$17)
    )
  ),
  ROW(),
  ""
)</f>
        <v/>
      </c>
    </row>
    <row r="4835" spans="21:21" x14ac:dyDescent="0.25">
      <c r="U4835" s="104" t="str">
        <f>IF(
  AND(
    TRIM(A4835)=TRIM(Enginuity!$A$1),
    TRIM(B4835)=TRIM(Enginuity!$A$17),
    Q4835&lt;&gt;"",
    Q4835&lt;&gt;0,
    OR(
      TRIM(C4835)=TRIM(Enginuity!$A$18),
      AND(UPPER(TRIM(M4835))="STD", TRIM(B4835)=TRIM(Enginuity!$A$17))
    ),
    OR(
      AND(LEFT(P4835,5)="1-Way", Enginuity!$B$13=1),
      AND(LEFT(P4835,5)="2-Way", OR(Enginuity!$B$13=2, Enginuity!$B$13=4)),
      AND(LEFT(P4835,5)="3-Way", OR(Enginuity!$B$13=3, Enginuity!$B$13=6)),
      AND(P4835="Inner Centre Jamb", OR(Enginuity!$B$13=4, Enginuity!$B$13=6)),
      AND(
        LEFT(P4835,5)&lt;&gt;"1-Way",
        LEFT(P4835,5)&lt;&gt;"2-Way",
        LEFT(P4835,5)&lt;&gt;"3-Way",
        P4835&lt;&gt;"Inner Centre Jamb"
      )
    ),
    IF(OR(Enginuity!$A$1="Frameless Glass",Enginuity!$A$1="Metal Work"),
      AND(TRIM(B4835)=TRIM(Enginuity!$A$17),TRIM(C4835)=TRIM(Enginuity!$A$18)),
      TRIM(B4835)=TRIM(Enginuity!$A$17)
    )
  ),
  ROW(),
  ""
)</f>
        <v/>
      </c>
    </row>
    <row r="4836" spans="21:21" x14ac:dyDescent="0.25">
      <c r="U4836" s="104" t="str">
        <f>IF(
  AND(
    TRIM(A4836)=TRIM(Enginuity!$A$1),
    TRIM(B4836)=TRIM(Enginuity!$A$17),
    Q4836&lt;&gt;"",
    Q4836&lt;&gt;0,
    OR(
      TRIM(C4836)=TRIM(Enginuity!$A$18),
      AND(UPPER(TRIM(M4836))="STD", TRIM(B4836)=TRIM(Enginuity!$A$17))
    ),
    OR(
      AND(LEFT(P4836,5)="1-Way", Enginuity!$B$13=1),
      AND(LEFT(P4836,5)="2-Way", OR(Enginuity!$B$13=2, Enginuity!$B$13=4)),
      AND(LEFT(P4836,5)="3-Way", OR(Enginuity!$B$13=3, Enginuity!$B$13=6)),
      AND(P4836="Inner Centre Jamb", OR(Enginuity!$B$13=4, Enginuity!$B$13=6)),
      AND(
        LEFT(P4836,5)&lt;&gt;"1-Way",
        LEFT(P4836,5)&lt;&gt;"2-Way",
        LEFT(P4836,5)&lt;&gt;"3-Way",
        P4836&lt;&gt;"Inner Centre Jamb"
      )
    ),
    IF(OR(Enginuity!$A$1="Frameless Glass",Enginuity!$A$1="Metal Work"),
      AND(TRIM(B4836)=TRIM(Enginuity!$A$17),TRIM(C4836)=TRIM(Enginuity!$A$18)),
      TRIM(B4836)=TRIM(Enginuity!$A$17)
    )
  ),
  ROW(),
  ""
)</f>
        <v/>
      </c>
    </row>
    <row r="4837" spans="21:21" x14ac:dyDescent="0.25">
      <c r="U4837" s="104" t="str">
        <f>IF(
  AND(
    TRIM(A4837)=TRIM(Enginuity!$A$1),
    TRIM(B4837)=TRIM(Enginuity!$A$17),
    Q4837&lt;&gt;"",
    Q4837&lt;&gt;0,
    OR(
      TRIM(C4837)=TRIM(Enginuity!$A$18),
      AND(UPPER(TRIM(M4837))="STD", TRIM(B4837)=TRIM(Enginuity!$A$17))
    ),
    OR(
      AND(LEFT(P4837,5)="1-Way", Enginuity!$B$13=1),
      AND(LEFT(P4837,5)="2-Way", OR(Enginuity!$B$13=2, Enginuity!$B$13=4)),
      AND(LEFT(P4837,5)="3-Way", OR(Enginuity!$B$13=3, Enginuity!$B$13=6)),
      AND(P4837="Inner Centre Jamb", OR(Enginuity!$B$13=4, Enginuity!$B$13=6)),
      AND(
        LEFT(P4837,5)&lt;&gt;"1-Way",
        LEFT(P4837,5)&lt;&gt;"2-Way",
        LEFT(P4837,5)&lt;&gt;"3-Way",
        P4837&lt;&gt;"Inner Centre Jamb"
      )
    ),
    IF(OR(Enginuity!$A$1="Frameless Glass",Enginuity!$A$1="Metal Work"),
      AND(TRIM(B4837)=TRIM(Enginuity!$A$17),TRIM(C4837)=TRIM(Enginuity!$A$18)),
      TRIM(B4837)=TRIM(Enginuity!$A$17)
    )
  ),
  ROW(),
  ""
)</f>
        <v/>
      </c>
    </row>
    <row r="4838" spans="21:21" x14ac:dyDescent="0.25">
      <c r="U4838" s="104" t="str">
        <f>IF(
  AND(
    TRIM(A4838)=TRIM(Enginuity!$A$1),
    TRIM(B4838)=TRIM(Enginuity!$A$17),
    Q4838&lt;&gt;"",
    Q4838&lt;&gt;0,
    OR(
      TRIM(C4838)=TRIM(Enginuity!$A$18),
      AND(UPPER(TRIM(M4838))="STD", TRIM(B4838)=TRIM(Enginuity!$A$17))
    ),
    OR(
      AND(LEFT(P4838,5)="1-Way", Enginuity!$B$13=1),
      AND(LEFT(P4838,5)="2-Way", OR(Enginuity!$B$13=2, Enginuity!$B$13=4)),
      AND(LEFT(P4838,5)="3-Way", OR(Enginuity!$B$13=3, Enginuity!$B$13=6)),
      AND(P4838="Inner Centre Jamb", OR(Enginuity!$B$13=4, Enginuity!$B$13=6)),
      AND(
        LEFT(P4838,5)&lt;&gt;"1-Way",
        LEFT(P4838,5)&lt;&gt;"2-Way",
        LEFT(P4838,5)&lt;&gt;"3-Way",
        P4838&lt;&gt;"Inner Centre Jamb"
      )
    ),
    IF(OR(Enginuity!$A$1="Frameless Glass",Enginuity!$A$1="Metal Work"),
      AND(TRIM(B4838)=TRIM(Enginuity!$A$17),TRIM(C4838)=TRIM(Enginuity!$A$18)),
      TRIM(B4838)=TRIM(Enginuity!$A$17)
    )
  ),
  ROW(),
  ""
)</f>
        <v/>
      </c>
    </row>
    <row r="4839" spans="21:21" x14ac:dyDescent="0.25">
      <c r="U4839" s="104" t="str">
        <f>IF(
  AND(
    TRIM(A4839)=TRIM(Enginuity!$A$1),
    TRIM(B4839)=TRIM(Enginuity!$A$17),
    Q4839&lt;&gt;"",
    Q4839&lt;&gt;0,
    OR(
      TRIM(C4839)=TRIM(Enginuity!$A$18),
      AND(UPPER(TRIM(M4839))="STD", TRIM(B4839)=TRIM(Enginuity!$A$17))
    ),
    OR(
      AND(LEFT(P4839,5)="1-Way", Enginuity!$B$13=1),
      AND(LEFT(P4839,5)="2-Way", OR(Enginuity!$B$13=2, Enginuity!$B$13=4)),
      AND(LEFT(P4839,5)="3-Way", OR(Enginuity!$B$13=3, Enginuity!$B$13=6)),
      AND(P4839="Inner Centre Jamb", OR(Enginuity!$B$13=4, Enginuity!$B$13=6)),
      AND(
        LEFT(P4839,5)&lt;&gt;"1-Way",
        LEFT(P4839,5)&lt;&gt;"2-Way",
        LEFT(P4839,5)&lt;&gt;"3-Way",
        P4839&lt;&gt;"Inner Centre Jamb"
      )
    ),
    IF(OR(Enginuity!$A$1="Frameless Glass",Enginuity!$A$1="Metal Work"),
      AND(TRIM(B4839)=TRIM(Enginuity!$A$17),TRIM(C4839)=TRIM(Enginuity!$A$18)),
      TRIM(B4839)=TRIM(Enginuity!$A$17)
    )
  ),
  ROW(),
  ""
)</f>
        <v/>
      </c>
    </row>
    <row r="4840" spans="21:21" x14ac:dyDescent="0.25">
      <c r="U4840" s="104" t="str">
        <f>IF(
  AND(
    TRIM(A4840)=TRIM(Enginuity!$A$1),
    TRIM(B4840)=TRIM(Enginuity!$A$17),
    Q4840&lt;&gt;"",
    Q4840&lt;&gt;0,
    OR(
      TRIM(C4840)=TRIM(Enginuity!$A$18),
      AND(UPPER(TRIM(M4840))="STD", TRIM(B4840)=TRIM(Enginuity!$A$17))
    ),
    OR(
      AND(LEFT(P4840,5)="1-Way", Enginuity!$B$13=1),
      AND(LEFT(P4840,5)="2-Way", OR(Enginuity!$B$13=2, Enginuity!$B$13=4)),
      AND(LEFT(P4840,5)="3-Way", OR(Enginuity!$B$13=3, Enginuity!$B$13=6)),
      AND(P4840="Inner Centre Jamb", OR(Enginuity!$B$13=4, Enginuity!$B$13=6)),
      AND(
        LEFT(P4840,5)&lt;&gt;"1-Way",
        LEFT(P4840,5)&lt;&gt;"2-Way",
        LEFT(P4840,5)&lt;&gt;"3-Way",
        P4840&lt;&gt;"Inner Centre Jamb"
      )
    ),
    IF(OR(Enginuity!$A$1="Frameless Glass",Enginuity!$A$1="Metal Work"),
      AND(TRIM(B4840)=TRIM(Enginuity!$A$17),TRIM(C4840)=TRIM(Enginuity!$A$18)),
      TRIM(B4840)=TRIM(Enginuity!$A$17)
    )
  ),
  ROW(),
  ""
)</f>
        <v/>
      </c>
    </row>
    <row r="4841" spans="21:21" x14ac:dyDescent="0.25">
      <c r="U4841" s="104" t="str">
        <f>IF(
  AND(
    TRIM(A4841)=TRIM(Enginuity!$A$1),
    TRIM(B4841)=TRIM(Enginuity!$A$17),
    Q4841&lt;&gt;"",
    Q4841&lt;&gt;0,
    OR(
      TRIM(C4841)=TRIM(Enginuity!$A$18),
      AND(UPPER(TRIM(M4841))="STD", TRIM(B4841)=TRIM(Enginuity!$A$17))
    ),
    OR(
      AND(LEFT(P4841,5)="1-Way", Enginuity!$B$13=1),
      AND(LEFT(P4841,5)="2-Way", OR(Enginuity!$B$13=2, Enginuity!$B$13=4)),
      AND(LEFT(P4841,5)="3-Way", OR(Enginuity!$B$13=3, Enginuity!$B$13=6)),
      AND(P4841="Inner Centre Jamb", OR(Enginuity!$B$13=4, Enginuity!$B$13=6)),
      AND(
        LEFT(P4841,5)&lt;&gt;"1-Way",
        LEFT(P4841,5)&lt;&gt;"2-Way",
        LEFT(P4841,5)&lt;&gt;"3-Way",
        P4841&lt;&gt;"Inner Centre Jamb"
      )
    ),
    IF(OR(Enginuity!$A$1="Frameless Glass",Enginuity!$A$1="Metal Work"),
      AND(TRIM(B4841)=TRIM(Enginuity!$A$17),TRIM(C4841)=TRIM(Enginuity!$A$18)),
      TRIM(B4841)=TRIM(Enginuity!$A$17)
    )
  ),
  ROW(),
  ""
)</f>
        <v/>
      </c>
    </row>
    <row r="4842" spans="21:21" x14ac:dyDescent="0.25">
      <c r="U4842" s="104" t="str">
        <f>IF(
  AND(
    TRIM(A4842)=TRIM(Enginuity!$A$1),
    TRIM(B4842)=TRIM(Enginuity!$A$17),
    Q4842&lt;&gt;"",
    Q4842&lt;&gt;0,
    OR(
      TRIM(C4842)=TRIM(Enginuity!$A$18),
      AND(UPPER(TRIM(M4842))="STD", TRIM(B4842)=TRIM(Enginuity!$A$17))
    ),
    OR(
      AND(LEFT(P4842,5)="1-Way", Enginuity!$B$13=1),
      AND(LEFT(P4842,5)="2-Way", OR(Enginuity!$B$13=2, Enginuity!$B$13=4)),
      AND(LEFT(P4842,5)="3-Way", OR(Enginuity!$B$13=3, Enginuity!$B$13=6)),
      AND(P4842="Inner Centre Jamb", OR(Enginuity!$B$13=4, Enginuity!$B$13=6)),
      AND(
        LEFT(P4842,5)&lt;&gt;"1-Way",
        LEFT(P4842,5)&lt;&gt;"2-Way",
        LEFT(P4842,5)&lt;&gt;"3-Way",
        P4842&lt;&gt;"Inner Centre Jamb"
      )
    ),
    IF(OR(Enginuity!$A$1="Frameless Glass",Enginuity!$A$1="Metal Work"),
      AND(TRIM(B4842)=TRIM(Enginuity!$A$17),TRIM(C4842)=TRIM(Enginuity!$A$18)),
      TRIM(B4842)=TRIM(Enginuity!$A$17)
    )
  ),
  ROW(),
  ""
)</f>
        <v/>
      </c>
    </row>
    <row r="4843" spans="21:21" x14ac:dyDescent="0.25">
      <c r="U4843" s="104" t="str">
        <f>IF(
  AND(
    TRIM(A4843)=TRIM(Enginuity!$A$1),
    TRIM(B4843)=TRIM(Enginuity!$A$17),
    Q4843&lt;&gt;"",
    Q4843&lt;&gt;0,
    OR(
      TRIM(C4843)=TRIM(Enginuity!$A$18),
      AND(UPPER(TRIM(M4843))="STD", TRIM(B4843)=TRIM(Enginuity!$A$17))
    ),
    OR(
      AND(LEFT(P4843,5)="1-Way", Enginuity!$B$13=1),
      AND(LEFT(P4843,5)="2-Way", OR(Enginuity!$B$13=2, Enginuity!$B$13=4)),
      AND(LEFT(P4843,5)="3-Way", OR(Enginuity!$B$13=3, Enginuity!$B$13=6)),
      AND(P4843="Inner Centre Jamb", OR(Enginuity!$B$13=4, Enginuity!$B$13=6)),
      AND(
        LEFT(P4843,5)&lt;&gt;"1-Way",
        LEFT(P4843,5)&lt;&gt;"2-Way",
        LEFT(P4843,5)&lt;&gt;"3-Way",
        P4843&lt;&gt;"Inner Centre Jamb"
      )
    ),
    IF(OR(Enginuity!$A$1="Frameless Glass",Enginuity!$A$1="Metal Work"),
      AND(TRIM(B4843)=TRIM(Enginuity!$A$17),TRIM(C4843)=TRIM(Enginuity!$A$18)),
      TRIM(B4843)=TRIM(Enginuity!$A$17)
    )
  ),
  ROW(),
  ""
)</f>
        <v/>
      </c>
    </row>
    <row r="4844" spans="21:21" x14ac:dyDescent="0.25">
      <c r="U4844" s="104" t="str">
        <f>IF(
  AND(
    TRIM(A4844)=TRIM(Enginuity!$A$1),
    TRIM(B4844)=TRIM(Enginuity!$A$17),
    Q4844&lt;&gt;"",
    Q4844&lt;&gt;0,
    OR(
      TRIM(C4844)=TRIM(Enginuity!$A$18),
      AND(UPPER(TRIM(M4844))="STD", TRIM(B4844)=TRIM(Enginuity!$A$17))
    ),
    OR(
      AND(LEFT(P4844,5)="1-Way", Enginuity!$B$13=1),
      AND(LEFT(P4844,5)="2-Way", OR(Enginuity!$B$13=2, Enginuity!$B$13=4)),
      AND(LEFT(P4844,5)="3-Way", OR(Enginuity!$B$13=3, Enginuity!$B$13=6)),
      AND(P4844="Inner Centre Jamb", OR(Enginuity!$B$13=4, Enginuity!$B$13=6)),
      AND(
        LEFT(P4844,5)&lt;&gt;"1-Way",
        LEFT(P4844,5)&lt;&gt;"2-Way",
        LEFT(P4844,5)&lt;&gt;"3-Way",
        P4844&lt;&gt;"Inner Centre Jamb"
      )
    ),
    IF(OR(Enginuity!$A$1="Frameless Glass",Enginuity!$A$1="Metal Work"),
      AND(TRIM(B4844)=TRIM(Enginuity!$A$17),TRIM(C4844)=TRIM(Enginuity!$A$18)),
      TRIM(B4844)=TRIM(Enginuity!$A$17)
    )
  ),
  ROW(),
  ""
)</f>
        <v/>
      </c>
    </row>
    <row r="4845" spans="21:21" x14ac:dyDescent="0.25">
      <c r="U4845" s="104" t="str">
        <f>IF(
  AND(
    TRIM(A4845)=TRIM(Enginuity!$A$1),
    TRIM(B4845)=TRIM(Enginuity!$A$17),
    Q4845&lt;&gt;"",
    Q4845&lt;&gt;0,
    OR(
      TRIM(C4845)=TRIM(Enginuity!$A$18),
      AND(UPPER(TRIM(M4845))="STD", TRIM(B4845)=TRIM(Enginuity!$A$17))
    ),
    OR(
      AND(LEFT(P4845,5)="1-Way", Enginuity!$B$13=1),
      AND(LEFT(P4845,5)="2-Way", OR(Enginuity!$B$13=2, Enginuity!$B$13=4)),
      AND(LEFT(P4845,5)="3-Way", OR(Enginuity!$B$13=3, Enginuity!$B$13=6)),
      AND(P4845="Inner Centre Jamb", OR(Enginuity!$B$13=4, Enginuity!$B$13=6)),
      AND(
        LEFT(P4845,5)&lt;&gt;"1-Way",
        LEFT(P4845,5)&lt;&gt;"2-Way",
        LEFT(P4845,5)&lt;&gt;"3-Way",
        P4845&lt;&gt;"Inner Centre Jamb"
      )
    ),
    IF(OR(Enginuity!$A$1="Frameless Glass",Enginuity!$A$1="Metal Work"),
      AND(TRIM(B4845)=TRIM(Enginuity!$A$17),TRIM(C4845)=TRIM(Enginuity!$A$18)),
      TRIM(B4845)=TRIM(Enginuity!$A$17)
    )
  ),
  ROW(),
  ""
)</f>
        <v/>
      </c>
    </row>
    <row r="4846" spans="21:21" x14ac:dyDescent="0.25">
      <c r="U4846" s="104" t="str">
        <f>IF(
  AND(
    TRIM(A4846)=TRIM(Enginuity!$A$1),
    TRIM(B4846)=TRIM(Enginuity!$A$17),
    Q4846&lt;&gt;"",
    Q4846&lt;&gt;0,
    OR(
      TRIM(C4846)=TRIM(Enginuity!$A$18),
      AND(UPPER(TRIM(M4846))="STD", TRIM(B4846)=TRIM(Enginuity!$A$17))
    ),
    OR(
      AND(LEFT(P4846,5)="1-Way", Enginuity!$B$13=1),
      AND(LEFT(P4846,5)="2-Way", OR(Enginuity!$B$13=2, Enginuity!$B$13=4)),
      AND(LEFT(P4846,5)="3-Way", OR(Enginuity!$B$13=3, Enginuity!$B$13=6)),
      AND(P4846="Inner Centre Jamb", OR(Enginuity!$B$13=4, Enginuity!$B$13=6)),
      AND(
        LEFT(P4846,5)&lt;&gt;"1-Way",
        LEFT(P4846,5)&lt;&gt;"2-Way",
        LEFT(P4846,5)&lt;&gt;"3-Way",
        P4846&lt;&gt;"Inner Centre Jamb"
      )
    ),
    IF(OR(Enginuity!$A$1="Frameless Glass",Enginuity!$A$1="Metal Work"),
      AND(TRIM(B4846)=TRIM(Enginuity!$A$17),TRIM(C4846)=TRIM(Enginuity!$A$18)),
      TRIM(B4846)=TRIM(Enginuity!$A$17)
    )
  ),
  ROW(),
  ""
)</f>
        <v/>
      </c>
    </row>
    <row r="4847" spans="21:21" x14ac:dyDescent="0.25">
      <c r="U4847" s="104" t="str">
        <f>IF(
  AND(
    TRIM(A4847)=TRIM(Enginuity!$A$1),
    TRIM(B4847)=TRIM(Enginuity!$A$17),
    Q4847&lt;&gt;"",
    Q4847&lt;&gt;0,
    OR(
      TRIM(C4847)=TRIM(Enginuity!$A$18),
      AND(UPPER(TRIM(M4847))="STD", TRIM(B4847)=TRIM(Enginuity!$A$17))
    ),
    OR(
      AND(LEFT(P4847,5)="1-Way", Enginuity!$B$13=1),
      AND(LEFT(P4847,5)="2-Way", OR(Enginuity!$B$13=2, Enginuity!$B$13=4)),
      AND(LEFT(P4847,5)="3-Way", OR(Enginuity!$B$13=3, Enginuity!$B$13=6)),
      AND(P4847="Inner Centre Jamb", OR(Enginuity!$B$13=4, Enginuity!$B$13=6)),
      AND(
        LEFT(P4847,5)&lt;&gt;"1-Way",
        LEFT(P4847,5)&lt;&gt;"2-Way",
        LEFT(P4847,5)&lt;&gt;"3-Way",
        P4847&lt;&gt;"Inner Centre Jamb"
      )
    ),
    IF(OR(Enginuity!$A$1="Frameless Glass",Enginuity!$A$1="Metal Work"),
      AND(TRIM(B4847)=TRIM(Enginuity!$A$17),TRIM(C4847)=TRIM(Enginuity!$A$18)),
      TRIM(B4847)=TRIM(Enginuity!$A$17)
    )
  ),
  ROW(),
  ""
)</f>
        <v/>
      </c>
    </row>
    <row r="4848" spans="21:21" x14ac:dyDescent="0.25">
      <c r="U4848" s="104" t="str">
        <f>IF(
  AND(
    TRIM(A4848)=TRIM(Enginuity!$A$1),
    TRIM(B4848)=TRIM(Enginuity!$A$17),
    Q4848&lt;&gt;"",
    Q4848&lt;&gt;0,
    OR(
      TRIM(C4848)=TRIM(Enginuity!$A$18),
      AND(UPPER(TRIM(M4848))="STD", TRIM(B4848)=TRIM(Enginuity!$A$17))
    ),
    OR(
      AND(LEFT(P4848,5)="1-Way", Enginuity!$B$13=1),
      AND(LEFT(P4848,5)="2-Way", OR(Enginuity!$B$13=2, Enginuity!$B$13=4)),
      AND(LEFT(P4848,5)="3-Way", OR(Enginuity!$B$13=3, Enginuity!$B$13=6)),
      AND(P4848="Inner Centre Jamb", OR(Enginuity!$B$13=4, Enginuity!$B$13=6)),
      AND(
        LEFT(P4848,5)&lt;&gt;"1-Way",
        LEFT(P4848,5)&lt;&gt;"2-Way",
        LEFT(P4848,5)&lt;&gt;"3-Way",
        P4848&lt;&gt;"Inner Centre Jamb"
      )
    ),
    IF(OR(Enginuity!$A$1="Frameless Glass",Enginuity!$A$1="Metal Work"),
      AND(TRIM(B4848)=TRIM(Enginuity!$A$17),TRIM(C4848)=TRIM(Enginuity!$A$18)),
      TRIM(B4848)=TRIM(Enginuity!$A$17)
    )
  ),
  ROW(),
  ""
)</f>
        <v/>
      </c>
    </row>
    <row r="4849" spans="21:21" x14ac:dyDescent="0.25">
      <c r="U4849" s="104" t="str">
        <f>IF(
  AND(
    TRIM(A4849)=TRIM(Enginuity!$A$1),
    TRIM(B4849)=TRIM(Enginuity!$A$17),
    Q4849&lt;&gt;"",
    Q4849&lt;&gt;0,
    OR(
      TRIM(C4849)=TRIM(Enginuity!$A$18),
      AND(UPPER(TRIM(M4849))="STD", TRIM(B4849)=TRIM(Enginuity!$A$17))
    ),
    OR(
      AND(LEFT(P4849,5)="1-Way", Enginuity!$B$13=1),
      AND(LEFT(P4849,5)="2-Way", OR(Enginuity!$B$13=2, Enginuity!$B$13=4)),
      AND(LEFT(P4849,5)="3-Way", OR(Enginuity!$B$13=3, Enginuity!$B$13=6)),
      AND(P4849="Inner Centre Jamb", OR(Enginuity!$B$13=4, Enginuity!$B$13=6)),
      AND(
        LEFT(P4849,5)&lt;&gt;"1-Way",
        LEFT(P4849,5)&lt;&gt;"2-Way",
        LEFT(P4849,5)&lt;&gt;"3-Way",
        P4849&lt;&gt;"Inner Centre Jamb"
      )
    ),
    IF(OR(Enginuity!$A$1="Frameless Glass",Enginuity!$A$1="Metal Work"),
      AND(TRIM(B4849)=TRIM(Enginuity!$A$17),TRIM(C4849)=TRIM(Enginuity!$A$18)),
      TRIM(B4849)=TRIM(Enginuity!$A$17)
    )
  ),
  ROW(),
  ""
)</f>
        <v/>
      </c>
    </row>
    <row r="4850" spans="21:21" x14ac:dyDescent="0.25">
      <c r="U4850" s="104" t="str">
        <f>IF(
  AND(
    TRIM(A4850)=TRIM(Enginuity!$A$1),
    TRIM(B4850)=TRIM(Enginuity!$A$17),
    Q4850&lt;&gt;"",
    Q4850&lt;&gt;0,
    OR(
      TRIM(C4850)=TRIM(Enginuity!$A$18),
      AND(UPPER(TRIM(M4850))="STD", TRIM(B4850)=TRIM(Enginuity!$A$17))
    ),
    OR(
      AND(LEFT(P4850,5)="1-Way", Enginuity!$B$13=1),
      AND(LEFT(P4850,5)="2-Way", OR(Enginuity!$B$13=2, Enginuity!$B$13=4)),
      AND(LEFT(P4850,5)="3-Way", OR(Enginuity!$B$13=3, Enginuity!$B$13=6)),
      AND(P4850="Inner Centre Jamb", OR(Enginuity!$B$13=4, Enginuity!$B$13=6)),
      AND(
        LEFT(P4850,5)&lt;&gt;"1-Way",
        LEFT(P4850,5)&lt;&gt;"2-Way",
        LEFT(P4850,5)&lt;&gt;"3-Way",
        P4850&lt;&gt;"Inner Centre Jamb"
      )
    ),
    IF(OR(Enginuity!$A$1="Frameless Glass",Enginuity!$A$1="Metal Work"),
      AND(TRIM(B4850)=TRIM(Enginuity!$A$17),TRIM(C4850)=TRIM(Enginuity!$A$18)),
      TRIM(B4850)=TRIM(Enginuity!$A$17)
    )
  ),
  ROW(),
  ""
)</f>
        <v/>
      </c>
    </row>
    <row r="4851" spans="21:21" x14ac:dyDescent="0.25">
      <c r="U4851" s="104" t="str">
        <f>IF(
  AND(
    TRIM(A4851)=TRIM(Enginuity!$A$1),
    TRIM(B4851)=TRIM(Enginuity!$A$17),
    Q4851&lt;&gt;"",
    Q4851&lt;&gt;0,
    OR(
      TRIM(C4851)=TRIM(Enginuity!$A$18),
      AND(UPPER(TRIM(M4851))="STD", TRIM(B4851)=TRIM(Enginuity!$A$17))
    ),
    OR(
      AND(LEFT(P4851,5)="1-Way", Enginuity!$B$13=1),
      AND(LEFT(P4851,5)="2-Way", OR(Enginuity!$B$13=2, Enginuity!$B$13=4)),
      AND(LEFT(P4851,5)="3-Way", OR(Enginuity!$B$13=3, Enginuity!$B$13=6)),
      AND(P4851="Inner Centre Jamb", OR(Enginuity!$B$13=4, Enginuity!$B$13=6)),
      AND(
        LEFT(P4851,5)&lt;&gt;"1-Way",
        LEFT(P4851,5)&lt;&gt;"2-Way",
        LEFT(P4851,5)&lt;&gt;"3-Way",
        P4851&lt;&gt;"Inner Centre Jamb"
      )
    ),
    IF(OR(Enginuity!$A$1="Frameless Glass",Enginuity!$A$1="Metal Work"),
      AND(TRIM(B4851)=TRIM(Enginuity!$A$17),TRIM(C4851)=TRIM(Enginuity!$A$18)),
      TRIM(B4851)=TRIM(Enginuity!$A$17)
    )
  ),
  ROW(),
  ""
)</f>
        <v/>
      </c>
    </row>
    <row r="4852" spans="21:21" x14ac:dyDescent="0.25">
      <c r="U4852" s="104" t="str">
        <f>IF(
  AND(
    TRIM(A4852)=TRIM(Enginuity!$A$1),
    TRIM(B4852)=TRIM(Enginuity!$A$17),
    Q4852&lt;&gt;"",
    Q4852&lt;&gt;0,
    OR(
      TRIM(C4852)=TRIM(Enginuity!$A$18),
      AND(UPPER(TRIM(M4852))="STD", TRIM(B4852)=TRIM(Enginuity!$A$17))
    ),
    OR(
      AND(LEFT(P4852,5)="1-Way", Enginuity!$B$13=1),
      AND(LEFT(P4852,5)="2-Way", OR(Enginuity!$B$13=2, Enginuity!$B$13=4)),
      AND(LEFT(P4852,5)="3-Way", OR(Enginuity!$B$13=3, Enginuity!$B$13=6)),
      AND(P4852="Inner Centre Jamb", OR(Enginuity!$B$13=4, Enginuity!$B$13=6)),
      AND(
        LEFT(P4852,5)&lt;&gt;"1-Way",
        LEFT(P4852,5)&lt;&gt;"2-Way",
        LEFT(P4852,5)&lt;&gt;"3-Way",
        P4852&lt;&gt;"Inner Centre Jamb"
      )
    ),
    IF(OR(Enginuity!$A$1="Frameless Glass",Enginuity!$A$1="Metal Work"),
      AND(TRIM(B4852)=TRIM(Enginuity!$A$17),TRIM(C4852)=TRIM(Enginuity!$A$18)),
      TRIM(B4852)=TRIM(Enginuity!$A$17)
    )
  ),
  ROW(),
  ""
)</f>
        <v/>
      </c>
    </row>
    <row r="4853" spans="21:21" x14ac:dyDescent="0.25">
      <c r="U4853" s="104" t="str">
        <f>IF(
  AND(
    TRIM(A4853)=TRIM(Enginuity!$A$1),
    TRIM(B4853)=TRIM(Enginuity!$A$17),
    Q4853&lt;&gt;"",
    Q4853&lt;&gt;0,
    OR(
      TRIM(C4853)=TRIM(Enginuity!$A$18),
      AND(UPPER(TRIM(M4853))="STD", TRIM(B4853)=TRIM(Enginuity!$A$17))
    ),
    OR(
      AND(LEFT(P4853,5)="1-Way", Enginuity!$B$13=1),
      AND(LEFT(P4853,5)="2-Way", OR(Enginuity!$B$13=2, Enginuity!$B$13=4)),
      AND(LEFT(P4853,5)="3-Way", OR(Enginuity!$B$13=3, Enginuity!$B$13=6)),
      AND(P4853="Inner Centre Jamb", OR(Enginuity!$B$13=4, Enginuity!$B$13=6)),
      AND(
        LEFT(P4853,5)&lt;&gt;"1-Way",
        LEFT(P4853,5)&lt;&gt;"2-Way",
        LEFT(P4853,5)&lt;&gt;"3-Way",
        P4853&lt;&gt;"Inner Centre Jamb"
      )
    ),
    IF(OR(Enginuity!$A$1="Frameless Glass",Enginuity!$A$1="Metal Work"),
      AND(TRIM(B4853)=TRIM(Enginuity!$A$17),TRIM(C4853)=TRIM(Enginuity!$A$18)),
      TRIM(B4853)=TRIM(Enginuity!$A$17)
    )
  ),
  ROW(),
  ""
)</f>
        <v/>
      </c>
    </row>
    <row r="4854" spans="21:21" x14ac:dyDescent="0.25">
      <c r="U4854" s="104" t="str">
        <f>IF(
  AND(
    TRIM(A4854)=TRIM(Enginuity!$A$1),
    TRIM(B4854)=TRIM(Enginuity!$A$17),
    Q4854&lt;&gt;"",
    Q4854&lt;&gt;0,
    OR(
      TRIM(C4854)=TRIM(Enginuity!$A$18),
      AND(UPPER(TRIM(M4854))="STD", TRIM(B4854)=TRIM(Enginuity!$A$17))
    ),
    OR(
      AND(LEFT(P4854,5)="1-Way", Enginuity!$B$13=1),
      AND(LEFT(P4854,5)="2-Way", OR(Enginuity!$B$13=2, Enginuity!$B$13=4)),
      AND(LEFT(P4854,5)="3-Way", OR(Enginuity!$B$13=3, Enginuity!$B$13=6)),
      AND(P4854="Inner Centre Jamb", OR(Enginuity!$B$13=4, Enginuity!$B$13=6)),
      AND(
        LEFT(P4854,5)&lt;&gt;"1-Way",
        LEFT(P4854,5)&lt;&gt;"2-Way",
        LEFT(P4854,5)&lt;&gt;"3-Way",
        P4854&lt;&gt;"Inner Centre Jamb"
      )
    ),
    IF(OR(Enginuity!$A$1="Frameless Glass",Enginuity!$A$1="Metal Work"),
      AND(TRIM(B4854)=TRIM(Enginuity!$A$17),TRIM(C4854)=TRIM(Enginuity!$A$18)),
      TRIM(B4854)=TRIM(Enginuity!$A$17)
    )
  ),
  ROW(),
  ""
)</f>
        <v/>
      </c>
    </row>
    <row r="4855" spans="21:21" x14ac:dyDescent="0.25">
      <c r="U4855" s="104" t="str">
        <f>IF(
  AND(
    TRIM(A4855)=TRIM(Enginuity!$A$1),
    TRIM(B4855)=TRIM(Enginuity!$A$17),
    Q4855&lt;&gt;"",
    Q4855&lt;&gt;0,
    OR(
      TRIM(C4855)=TRIM(Enginuity!$A$18),
      AND(UPPER(TRIM(M4855))="STD", TRIM(B4855)=TRIM(Enginuity!$A$17))
    ),
    OR(
      AND(LEFT(P4855,5)="1-Way", Enginuity!$B$13=1),
      AND(LEFT(P4855,5)="2-Way", OR(Enginuity!$B$13=2, Enginuity!$B$13=4)),
      AND(LEFT(P4855,5)="3-Way", OR(Enginuity!$B$13=3, Enginuity!$B$13=6)),
      AND(P4855="Inner Centre Jamb", OR(Enginuity!$B$13=4, Enginuity!$B$13=6)),
      AND(
        LEFT(P4855,5)&lt;&gt;"1-Way",
        LEFT(P4855,5)&lt;&gt;"2-Way",
        LEFT(P4855,5)&lt;&gt;"3-Way",
        P4855&lt;&gt;"Inner Centre Jamb"
      )
    ),
    IF(OR(Enginuity!$A$1="Frameless Glass",Enginuity!$A$1="Metal Work"),
      AND(TRIM(B4855)=TRIM(Enginuity!$A$17),TRIM(C4855)=TRIM(Enginuity!$A$18)),
      TRIM(B4855)=TRIM(Enginuity!$A$17)
    )
  ),
  ROW(),
  ""
)</f>
        <v/>
      </c>
    </row>
    <row r="4856" spans="21:21" x14ac:dyDescent="0.25">
      <c r="U4856" s="104" t="str">
        <f>IF(
  AND(
    TRIM(A4856)=TRIM(Enginuity!$A$1),
    TRIM(B4856)=TRIM(Enginuity!$A$17),
    Q4856&lt;&gt;"",
    Q4856&lt;&gt;0,
    OR(
      TRIM(C4856)=TRIM(Enginuity!$A$18),
      AND(UPPER(TRIM(M4856))="STD", TRIM(B4856)=TRIM(Enginuity!$A$17))
    ),
    OR(
      AND(LEFT(P4856,5)="1-Way", Enginuity!$B$13=1),
      AND(LEFT(P4856,5)="2-Way", OR(Enginuity!$B$13=2, Enginuity!$B$13=4)),
      AND(LEFT(P4856,5)="3-Way", OR(Enginuity!$B$13=3, Enginuity!$B$13=6)),
      AND(P4856="Inner Centre Jamb", OR(Enginuity!$B$13=4, Enginuity!$B$13=6)),
      AND(
        LEFT(P4856,5)&lt;&gt;"1-Way",
        LEFT(P4856,5)&lt;&gt;"2-Way",
        LEFT(P4856,5)&lt;&gt;"3-Way",
        P4856&lt;&gt;"Inner Centre Jamb"
      )
    ),
    IF(OR(Enginuity!$A$1="Frameless Glass",Enginuity!$A$1="Metal Work"),
      AND(TRIM(B4856)=TRIM(Enginuity!$A$17),TRIM(C4856)=TRIM(Enginuity!$A$18)),
      TRIM(B4856)=TRIM(Enginuity!$A$17)
    )
  ),
  ROW(),
  ""
)</f>
        <v/>
      </c>
    </row>
    <row r="4857" spans="21:21" x14ac:dyDescent="0.25">
      <c r="U4857" s="104" t="str">
        <f>IF(
  AND(
    TRIM(A4857)=TRIM(Enginuity!$A$1),
    TRIM(B4857)=TRIM(Enginuity!$A$17),
    Q4857&lt;&gt;"",
    Q4857&lt;&gt;0,
    OR(
      TRIM(C4857)=TRIM(Enginuity!$A$18),
      AND(UPPER(TRIM(M4857))="STD", TRIM(B4857)=TRIM(Enginuity!$A$17))
    ),
    OR(
      AND(LEFT(P4857,5)="1-Way", Enginuity!$B$13=1),
      AND(LEFT(P4857,5)="2-Way", OR(Enginuity!$B$13=2, Enginuity!$B$13=4)),
      AND(LEFT(P4857,5)="3-Way", OR(Enginuity!$B$13=3, Enginuity!$B$13=6)),
      AND(P4857="Inner Centre Jamb", OR(Enginuity!$B$13=4, Enginuity!$B$13=6)),
      AND(
        LEFT(P4857,5)&lt;&gt;"1-Way",
        LEFT(P4857,5)&lt;&gt;"2-Way",
        LEFT(P4857,5)&lt;&gt;"3-Way",
        P4857&lt;&gt;"Inner Centre Jamb"
      )
    ),
    IF(OR(Enginuity!$A$1="Frameless Glass",Enginuity!$A$1="Metal Work"),
      AND(TRIM(B4857)=TRIM(Enginuity!$A$17),TRIM(C4857)=TRIM(Enginuity!$A$18)),
      TRIM(B4857)=TRIM(Enginuity!$A$17)
    )
  ),
  ROW(),
  ""
)</f>
        <v/>
      </c>
    </row>
    <row r="4858" spans="21:21" x14ac:dyDescent="0.25">
      <c r="U4858" s="104" t="str">
        <f>IF(
  AND(
    TRIM(A4858)=TRIM(Enginuity!$A$1),
    TRIM(B4858)=TRIM(Enginuity!$A$17),
    Q4858&lt;&gt;"",
    Q4858&lt;&gt;0,
    OR(
      TRIM(C4858)=TRIM(Enginuity!$A$18),
      AND(UPPER(TRIM(M4858))="STD", TRIM(B4858)=TRIM(Enginuity!$A$17))
    ),
    OR(
      AND(LEFT(P4858,5)="1-Way", Enginuity!$B$13=1),
      AND(LEFT(P4858,5)="2-Way", OR(Enginuity!$B$13=2, Enginuity!$B$13=4)),
      AND(LEFT(P4858,5)="3-Way", OR(Enginuity!$B$13=3, Enginuity!$B$13=6)),
      AND(P4858="Inner Centre Jamb", OR(Enginuity!$B$13=4, Enginuity!$B$13=6)),
      AND(
        LEFT(P4858,5)&lt;&gt;"1-Way",
        LEFT(P4858,5)&lt;&gt;"2-Way",
        LEFT(P4858,5)&lt;&gt;"3-Way",
        P4858&lt;&gt;"Inner Centre Jamb"
      )
    ),
    IF(OR(Enginuity!$A$1="Frameless Glass",Enginuity!$A$1="Metal Work"),
      AND(TRIM(B4858)=TRIM(Enginuity!$A$17),TRIM(C4858)=TRIM(Enginuity!$A$18)),
      TRIM(B4858)=TRIM(Enginuity!$A$17)
    )
  ),
  ROW(),
  ""
)</f>
        <v/>
      </c>
    </row>
    <row r="4859" spans="21:21" x14ac:dyDescent="0.25">
      <c r="U4859" s="104" t="str">
        <f>IF(
  AND(
    TRIM(A4859)=TRIM(Enginuity!$A$1),
    TRIM(B4859)=TRIM(Enginuity!$A$17),
    Q4859&lt;&gt;"",
    Q4859&lt;&gt;0,
    OR(
      TRIM(C4859)=TRIM(Enginuity!$A$18),
      AND(UPPER(TRIM(M4859))="STD", TRIM(B4859)=TRIM(Enginuity!$A$17))
    ),
    OR(
      AND(LEFT(P4859,5)="1-Way", Enginuity!$B$13=1),
      AND(LEFT(P4859,5)="2-Way", OR(Enginuity!$B$13=2, Enginuity!$B$13=4)),
      AND(LEFT(P4859,5)="3-Way", OR(Enginuity!$B$13=3, Enginuity!$B$13=6)),
      AND(P4859="Inner Centre Jamb", OR(Enginuity!$B$13=4, Enginuity!$B$13=6)),
      AND(
        LEFT(P4859,5)&lt;&gt;"1-Way",
        LEFT(P4859,5)&lt;&gt;"2-Way",
        LEFT(P4859,5)&lt;&gt;"3-Way",
        P4859&lt;&gt;"Inner Centre Jamb"
      )
    ),
    IF(OR(Enginuity!$A$1="Frameless Glass",Enginuity!$A$1="Metal Work"),
      AND(TRIM(B4859)=TRIM(Enginuity!$A$17),TRIM(C4859)=TRIM(Enginuity!$A$18)),
      TRIM(B4859)=TRIM(Enginuity!$A$17)
    )
  ),
  ROW(),
  ""
)</f>
        <v/>
      </c>
    </row>
    <row r="4860" spans="21:21" x14ac:dyDescent="0.25">
      <c r="U4860" s="104" t="str">
        <f>IF(
  AND(
    TRIM(A4860)=TRIM(Enginuity!$A$1),
    TRIM(B4860)=TRIM(Enginuity!$A$17),
    Q4860&lt;&gt;"",
    Q4860&lt;&gt;0,
    OR(
      TRIM(C4860)=TRIM(Enginuity!$A$18),
      AND(UPPER(TRIM(M4860))="STD", TRIM(B4860)=TRIM(Enginuity!$A$17))
    ),
    OR(
      AND(LEFT(P4860,5)="1-Way", Enginuity!$B$13=1),
      AND(LEFT(P4860,5)="2-Way", OR(Enginuity!$B$13=2, Enginuity!$B$13=4)),
      AND(LEFT(P4860,5)="3-Way", OR(Enginuity!$B$13=3, Enginuity!$B$13=6)),
      AND(P4860="Inner Centre Jamb", OR(Enginuity!$B$13=4, Enginuity!$B$13=6)),
      AND(
        LEFT(P4860,5)&lt;&gt;"1-Way",
        LEFT(P4860,5)&lt;&gt;"2-Way",
        LEFT(P4860,5)&lt;&gt;"3-Way",
        P4860&lt;&gt;"Inner Centre Jamb"
      )
    ),
    IF(OR(Enginuity!$A$1="Frameless Glass",Enginuity!$A$1="Metal Work"),
      AND(TRIM(B4860)=TRIM(Enginuity!$A$17),TRIM(C4860)=TRIM(Enginuity!$A$18)),
      TRIM(B4860)=TRIM(Enginuity!$A$17)
    )
  ),
  ROW(),
  ""
)</f>
        <v/>
      </c>
    </row>
    <row r="4861" spans="21:21" x14ac:dyDescent="0.25">
      <c r="U4861" s="104" t="str">
        <f>IF(
  AND(
    TRIM(A4861)=TRIM(Enginuity!$A$1),
    TRIM(B4861)=TRIM(Enginuity!$A$17),
    Q4861&lt;&gt;"",
    Q4861&lt;&gt;0,
    OR(
      TRIM(C4861)=TRIM(Enginuity!$A$18),
      AND(UPPER(TRIM(M4861))="STD", TRIM(B4861)=TRIM(Enginuity!$A$17))
    ),
    OR(
      AND(LEFT(P4861,5)="1-Way", Enginuity!$B$13=1),
      AND(LEFT(P4861,5)="2-Way", OR(Enginuity!$B$13=2, Enginuity!$B$13=4)),
      AND(LEFT(P4861,5)="3-Way", OR(Enginuity!$B$13=3, Enginuity!$B$13=6)),
      AND(P4861="Inner Centre Jamb", OR(Enginuity!$B$13=4, Enginuity!$B$13=6)),
      AND(
        LEFT(P4861,5)&lt;&gt;"1-Way",
        LEFT(P4861,5)&lt;&gt;"2-Way",
        LEFT(P4861,5)&lt;&gt;"3-Way",
        P4861&lt;&gt;"Inner Centre Jamb"
      )
    ),
    IF(OR(Enginuity!$A$1="Frameless Glass",Enginuity!$A$1="Metal Work"),
      AND(TRIM(B4861)=TRIM(Enginuity!$A$17),TRIM(C4861)=TRIM(Enginuity!$A$18)),
      TRIM(B4861)=TRIM(Enginuity!$A$17)
    )
  ),
  ROW(),
  ""
)</f>
        <v/>
      </c>
    </row>
    <row r="4862" spans="21:21" x14ac:dyDescent="0.25">
      <c r="U4862" s="104" t="str">
        <f>IF(
  AND(
    TRIM(A4862)=TRIM(Enginuity!$A$1),
    TRIM(B4862)=TRIM(Enginuity!$A$17),
    Q4862&lt;&gt;"",
    Q4862&lt;&gt;0,
    OR(
      TRIM(C4862)=TRIM(Enginuity!$A$18),
      AND(UPPER(TRIM(M4862))="STD", TRIM(B4862)=TRIM(Enginuity!$A$17))
    ),
    OR(
      AND(LEFT(P4862,5)="1-Way", Enginuity!$B$13=1),
      AND(LEFT(P4862,5)="2-Way", OR(Enginuity!$B$13=2, Enginuity!$B$13=4)),
      AND(LEFT(P4862,5)="3-Way", OR(Enginuity!$B$13=3, Enginuity!$B$13=6)),
      AND(P4862="Inner Centre Jamb", OR(Enginuity!$B$13=4, Enginuity!$B$13=6)),
      AND(
        LEFT(P4862,5)&lt;&gt;"1-Way",
        LEFT(P4862,5)&lt;&gt;"2-Way",
        LEFT(P4862,5)&lt;&gt;"3-Way",
        P4862&lt;&gt;"Inner Centre Jamb"
      )
    ),
    IF(OR(Enginuity!$A$1="Frameless Glass",Enginuity!$A$1="Metal Work"),
      AND(TRIM(B4862)=TRIM(Enginuity!$A$17),TRIM(C4862)=TRIM(Enginuity!$A$18)),
      TRIM(B4862)=TRIM(Enginuity!$A$17)
    )
  ),
  ROW(),
  ""
)</f>
        <v/>
      </c>
    </row>
    <row r="4863" spans="21:21" x14ac:dyDescent="0.25">
      <c r="U4863" s="104" t="str">
        <f>IF(
  AND(
    TRIM(A4863)=TRIM(Enginuity!$A$1),
    TRIM(B4863)=TRIM(Enginuity!$A$17),
    Q4863&lt;&gt;"",
    Q4863&lt;&gt;0,
    OR(
      TRIM(C4863)=TRIM(Enginuity!$A$18),
      AND(UPPER(TRIM(M4863))="STD", TRIM(B4863)=TRIM(Enginuity!$A$17))
    ),
    OR(
      AND(LEFT(P4863,5)="1-Way", Enginuity!$B$13=1),
      AND(LEFT(P4863,5)="2-Way", OR(Enginuity!$B$13=2, Enginuity!$B$13=4)),
      AND(LEFT(P4863,5)="3-Way", OR(Enginuity!$B$13=3, Enginuity!$B$13=6)),
      AND(P4863="Inner Centre Jamb", OR(Enginuity!$B$13=4, Enginuity!$B$13=6)),
      AND(
        LEFT(P4863,5)&lt;&gt;"1-Way",
        LEFT(P4863,5)&lt;&gt;"2-Way",
        LEFT(P4863,5)&lt;&gt;"3-Way",
        P4863&lt;&gt;"Inner Centre Jamb"
      )
    ),
    IF(OR(Enginuity!$A$1="Frameless Glass",Enginuity!$A$1="Metal Work"),
      AND(TRIM(B4863)=TRIM(Enginuity!$A$17),TRIM(C4863)=TRIM(Enginuity!$A$18)),
      TRIM(B4863)=TRIM(Enginuity!$A$17)
    )
  ),
  ROW(),
  ""
)</f>
        <v/>
      </c>
    </row>
    <row r="4864" spans="21:21" x14ac:dyDescent="0.25">
      <c r="U4864" s="104" t="str">
        <f>IF(
  AND(
    TRIM(A4864)=TRIM(Enginuity!$A$1),
    TRIM(B4864)=TRIM(Enginuity!$A$17),
    Q4864&lt;&gt;"",
    Q4864&lt;&gt;0,
    OR(
      TRIM(C4864)=TRIM(Enginuity!$A$18),
      AND(UPPER(TRIM(M4864))="STD", TRIM(B4864)=TRIM(Enginuity!$A$17))
    ),
    OR(
      AND(LEFT(P4864,5)="1-Way", Enginuity!$B$13=1),
      AND(LEFT(P4864,5)="2-Way", OR(Enginuity!$B$13=2, Enginuity!$B$13=4)),
      AND(LEFT(P4864,5)="3-Way", OR(Enginuity!$B$13=3, Enginuity!$B$13=6)),
      AND(P4864="Inner Centre Jamb", OR(Enginuity!$B$13=4, Enginuity!$B$13=6)),
      AND(
        LEFT(P4864,5)&lt;&gt;"1-Way",
        LEFT(P4864,5)&lt;&gt;"2-Way",
        LEFT(P4864,5)&lt;&gt;"3-Way",
        P4864&lt;&gt;"Inner Centre Jamb"
      )
    ),
    IF(OR(Enginuity!$A$1="Frameless Glass",Enginuity!$A$1="Metal Work"),
      AND(TRIM(B4864)=TRIM(Enginuity!$A$17),TRIM(C4864)=TRIM(Enginuity!$A$18)),
      TRIM(B4864)=TRIM(Enginuity!$A$17)
    )
  ),
  ROW(),
  ""
)</f>
        <v/>
      </c>
    </row>
    <row r="4865" spans="21:21" x14ac:dyDescent="0.25">
      <c r="U4865" s="104" t="str">
        <f>IF(
  AND(
    TRIM(A4865)=TRIM(Enginuity!$A$1),
    TRIM(B4865)=TRIM(Enginuity!$A$17),
    Q4865&lt;&gt;"",
    Q4865&lt;&gt;0,
    OR(
      TRIM(C4865)=TRIM(Enginuity!$A$18),
      AND(UPPER(TRIM(M4865))="STD", TRIM(B4865)=TRIM(Enginuity!$A$17))
    ),
    OR(
      AND(LEFT(P4865,5)="1-Way", Enginuity!$B$13=1),
      AND(LEFT(P4865,5)="2-Way", OR(Enginuity!$B$13=2, Enginuity!$B$13=4)),
      AND(LEFT(P4865,5)="3-Way", OR(Enginuity!$B$13=3, Enginuity!$B$13=6)),
      AND(P4865="Inner Centre Jamb", OR(Enginuity!$B$13=4, Enginuity!$B$13=6)),
      AND(
        LEFT(P4865,5)&lt;&gt;"1-Way",
        LEFT(P4865,5)&lt;&gt;"2-Way",
        LEFT(P4865,5)&lt;&gt;"3-Way",
        P4865&lt;&gt;"Inner Centre Jamb"
      )
    ),
    IF(OR(Enginuity!$A$1="Frameless Glass",Enginuity!$A$1="Metal Work"),
      AND(TRIM(B4865)=TRIM(Enginuity!$A$17),TRIM(C4865)=TRIM(Enginuity!$A$18)),
      TRIM(B4865)=TRIM(Enginuity!$A$17)
    )
  ),
  ROW(),
  ""
)</f>
        <v/>
      </c>
    </row>
    <row r="4866" spans="21:21" x14ac:dyDescent="0.25">
      <c r="U4866" s="104" t="str">
        <f>IF(
  AND(
    TRIM(A4866)=TRIM(Enginuity!$A$1),
    TRIM(B4866)=TRIM(Enginuity!$A$17),
    Q4866&lt;&gt;"",
    Q4866&lt;&gt;0,
    OR(
      TRIM(C4866)=TRIM(Enginuity!$A$18),
      AND(UPPER(TRIM(M4866))="STD", TRIM(B4866)=TRIM(Enginuity!$A$17))
    ),
    OR(
      AND(LEFT(P4866,5)="1-Way", Enginuity!$B$13=1),
      AND(LEFT(P4866,5)="2-Way", OR(Enginuity!$B$13=2, Enginuity!$B$13=4)),
      AND(LEFT(P4866,5)="3-Way", OR(Enginuity!$B$13=3, Enginuity!$B$13=6)),
      AND(P4866="Inner Centre Jamb", OR(Enginuity!$B$13=4, Enginuity!$B$13=6)),
      AND(
        LEFT(P4866,5)&lt;&gt;"1-Way",
        LEFT(P4866,5)&lt;&gt;"2-Way",
        LEFT(P4866,5)&lt;&gt;"3-Way",
        P4866&lt;&gt;"Inner Centre Jamb"
      )
    ),
    IF(OR(Enginuity!$A$1="Frameless Glass",Enginuity!$A$1="Metal Work"),
      AND(TRIM(B4866)=TRIM(Enginuity!$A$17),TRIM(C4866)=TRIM(Enginuity!$A$18)),
      TRIM(B4866)=TRIM(Enginuity!$A$17)
    )
  ),
  ROW(),
  ""
)</f>
        <v/>
      </c>
    </row>
    <row r="4867" spans="21:21" x14ac:dyDescent="0.25">
      <c r="U4867" s="104" t="str">
        <f>IF(
  AND(
    TRIM(A4867)=TRIM(Enginuity!$A$1),
    TRIM(B4867)=TRIM(Enginuity!$A$17),
    Q4867&lt;&gt;"",
    Q4867&lt;&gt;0,
    OR(
      TRIM(C4867)=TRIM(Enginuity!$A$18),
      AND(UPPER(TRIM(M4867))="STD", TRIM(B4867)=TRIM(Enginuity!$A$17))
    ),
    OR(
      AND(LEFT(P4867,5)="1-Way", Enginuity!$B$13=1),
      AND(LEFT(P4867,5)="2-Way", OR(Enginuity!$B$13=2, Enginuity!$B$13=4)),
      AND(LEFT(P4867,5)="3-Way", OR(Enginuity!$B$13=3, Enginuity!$B$13=6)),
      AND(P4867="Inner Centre Jamb", OR(Enginuity!$B$13=4, Enginuity!$B$13=6)),
      AND(
        LEFT(P4867,5)&lt;&gt;"1-Way",
        LEFT(P4867,5)&lt;&gt;"2-Way",
        LEFT(P4867,5)&lt;&gt;"3-Way",
        P4867&lt;&gt;"Inner Centre Jamb"
      )
    ),
    IF(OR(Enginuity!$A$1="Frameless Glass",Enginuity!$A$1="Metal Work"),
      AND(TRIM(B4867)=TRIM(Enginuity!$A$17),TRIM(C4867)=TRIM(Enginuity!$A$18)),
      TRIM(B4867)=TRIM(Enginuity!$A$17)
    )
  ),
  ROW(),
  ""
)</f>
        <v/>
      </c>
    </row>
    <row r="4868" spans="21:21" x14ac:dyDescent="0.25">
      <c r="U4868" s="104" t="str">
        <f>IF(
  AND(
    TRIM(A4868)=TRIM(Enginuity!$A$1),
    TRIM(B4868)=TRIM(Enginuity!$A$17),
    Q4868&lt;&gt;"",
    Q4868&lt;&gt;0,
    OR(
      TRIM(C4868)=TRIM(Enginuity!$A$18),
      AND(UPPER(TRIM(M4868))="STD", TRIM(B4868)=TRIM(Enginuity!$A$17))
    ),
    OR(
      AND(LEFT(P4868,5)="1-Way", Enginuity!$B$13=1),
      AND(LEFT(P4868,5)="2-Way", OR(Enginuity!$B$13=2, Enginuity!$B$13=4)),
      AND(LEFT(P4868,5)="3-Way", OR(Enginuity!$B$13=3, Enginuity!$B$13=6)),
      AND(P4868="Inner Centre Jamb", OR(Enginuity!$B$13=4, Enginuity!$B$13=6)),
      AND(
        LEFT(P4868,5)&lt;&gt;"1-Way",
        LEFT(P4868,5)&lt;&gt;"2-Way",
        LEFT(P4868,5)&lt;&gt;"3-Way",
        P4868&lt;&gt;"Inner Centre Jamb"
      )
    ),
    IF(OR(Enginuity!$A$1="Frameless Glass",Enginuity!$A$1="Metal Work"),
      AND(TRIM(B4868)=TRIM(Enginuity!$A$17),TRIM(C4868)=TRIM(Enginuity!$A$18)),
      TRIM(B4868)=TRIM(Enginuity!$A$17)
    )
  ),
  ROW(),
  ""
)</f>
        <v/>
      </c>
    </row>
    <row r="4869" spans="21:21" x14ac:dyDescent="0.25">
      <c r="U4869" s="104" t="str">
        <f>IF(
  AND(
    TRIM(A4869)=TRIM(Enginuity!$A$1),
    TRIM(B4869)=TRIM(Enginuity!$A$17),
    Q4869&lt;&gt;"",
    Q4869&lt;&gt;0,
    OR(
      TRIM(C4869)=TRIM(Enginuity!$A$18),
      AND(UPPER(TRIM(M4869))="STD", TRIM(B4869)=TRIM(Enginuity!$A$17))
    ),
    OR(
      AND(LEFT(P4869,5)="1-Way", Enginuity!$B$13=1),
      AND(LEFT(P4869,5)="2-Way", OR(Enginuity!$B$13=2, Enginuity!$B$13=4)),
      AND(LEFT(P4869,5)="3-Way", OR(Enginuity!$B$13=3, Enginuity!$B$13=6)),
      AND(P4869="Inner Centre Jamb", OR(Enginuity!$B$13=4, Enginuity!$B$13=6)),
      AND(
        LEFT(P4869,5)&lt;&gt;"1-Way",
        LEFT(P4869,5)&lt;&gt;"2-Way",
        LEFT(P4869,5)&lt;&gt;"3-Way",
        P4869&lt;&gt;"Inner Centre Jamb"
      )
    ),
    IF(OR(Enginuity!$A$1="Frameless Glass",Enginuity!$A$1="Metal Work"),
      AND(TRIM(B4869)=TRIM(Enginuity!$A$17),TRIM(C4869)=TRIM(Enginuity!$A$18)),
      TRIM(B4869)=TRIM(Enginuity!$A$17)
    )
  ),
  ROW(),
  ""
)</f>
        <v/>
      </c>
    </row>
    <row r="4870" spans="21:21" x14ac:dyDescent="0.25">
      <c r="U4870" s="104" t="str">
        <f>IF(
  AND(
    TRIM(A4870)=TRIM(Enginuity!$A$1),
    TRIM(B4870)=TRIM(Enginuity!$A$17),
    Q4870&lt;&gt;"",
    Q4870&lt;&gt;0,
    OR(
      TRIM(C4870)=TRIM(Enginuity!$A$18),
      AND(UPPER(TRIM(M4870))="STD", TRIM(B4870)=TRIM(Enginuity!$A$17))
    ),
    OR(
      AND(LEFT(P4870,5)="1-Way", Enginuity!$B$13=1),
      AND(LEFT(P4870,5)="2-Way", OR(Enginuity!$B$13=2, Enginuity!$B$13=4)),
      AND(LEFT(P4870,5)="3-Way", OR(Enginuity!$B$13=3, Enginuity!$B$13=6)),
      AND(P4870="Inner Centre Jamb", OR(Enginuity!$B$13=4, Enginuity!$B$13=6)),
      AND(
        LEFT(P4870,5)&lt;&gt;"1-Way",
        LEFT(P4870,5)&lt;&gt;"2-Way",
        LEFT(P4870,5)&lt;&gt;"3-Way",
        P4870&lt;&gt;"Inner Centre Jamb"
      )
    ),
    IF(OR(Enginuity!$A$1="Frameless Glass",Enginuity!$A$1="Metal Work"),
      AND(TRIM(B4870)=TRIM(Enginuity!$A$17),TRIM(C4870)=TRIM(Enginuity!$A$18)),
      TRIM(B4870)=TRIM(Enginuity!$A$17)
    )
  ),
  ROW(),
  ""
)</f>
        <v/>
      </c>
    </row>
    <row r="4871" spans="21:21" x14ac:dyDescent="0.25">
      <c r="U4871" s="104" t="str">
        <f>IF(
  AND(
    TRIM(A4871)=TRIM(Enginuity!$A$1),
    TRIM(B4871)=TRIM(Enginuity!$A$17),
    Q4871&lt;&gt;"",
    Q4871&lt;&gt;0,
    OR(
      TRIM(C4871)=TRIM(Enginuity!$A$18),
      AND(UPPER(TRIM(M4871))="STD", TRIM(B4871)=TRIM(Enginuity!$A$17))
    ),
    OR(
      AND(LEFT(P4871,5)="1-Way", Enginuity!$B$13=1),
      AND(LEFT(P4871,5)="2-Way", OR(Enginuity!$B$13=2, Enginuity!$B$13=4)),
      AND(LEFT(P4871,5)="3-Way", OR(Enginuity!$B$13=3, Enginuity!$B$13=6)),
      AND(P4871="Inner Centre Jamb", OR(Enginuity!$B$13=4, Enginuity!$B$13=6)),
      AND(
        LEFT(P4871,5)&lt;&gt;"1-Way",
        LEFT(P4871,5)&lt;&gt;"2-Way",
        LEFT(P4871,5)&lt;&gt;"3-Way",
        P4871&lt;&gt;"Inner Centre Jamb"
      )
    ),
    IF(OR(Enginuity!$A$1="Frameless Glass",Enginuity!$A$1="Metal Work"),
      AND(TRIM(B4871)=TRIM(Enginuity!$A$17),TRIM(C4871)=TRIM(Enginuity!$A$18)),
      TRIM(B4871)=TRIM(Enginuity!$A$17)
    )
  ),
  ROW(),
  ""
)</f>
        <v/>
      </c>
    </row>
    <row r="4872" spans="21:21" x14ac:dyDescent="0.25">
      <c r="U4872" s="104" t="str">
        <f>IF(
  AND(
    TRIM(A4872)=TRIM(Enginuity!$A$1),
    TRIM(B4872)=TRIM(Enginuity!$A$17),
    Q4872&lt;&gt;"",
    Q4872&lt;&gt;0,
    OR(
      TRIM(C4872)=TRIM(Enginuity!$A$18),
      AND(UPPER(TRIM(M4872))="STD", TRIM(B4872)=TRIM(Enginuity!$A$17))
    ),
    OR(
      AND(LEFT(P4872,5)="1-Way", Enginuity!$B$13=1),
      AND(LEFT(P4872,5)="2-Way", OR(Enginuity!$B$13=2, Enginuity!$B$13=4)),
      AND(LEFT(P4872,5)="3-Way", OR(Enginuity!$B$13=3, Enginuity!$B$13=6)),
      AND(P4872="Inner Centre Jamb", OR(Enginuity!$B$13=4, Enginuity!$B$13=6)),
      AND(
        LEFT(P4872,5)&lt;&gt;"1-Way",
        LEFT(P4872,5)&lt;&gt;"2-Way",
        LEFT(P4872,5)&lt;&gt;"3-Way",
        P4872&lt;&gt;"Inner Centre Jamb"
      )
    ),
    IF(OR(Enginuity!$A$1="Frameless Glass",Enginuity!$A$1="Metal Work"),
      AND(TRIM(B4872)=TRIM(Enginuity!$A$17),TRIM(C4872)=TRIM(Enginuity!$A$18)),
      TRIM(B4872)=TRIM(Enginuity!$A$17)
    )
  ),
  ROW(),
  ""
)</f>
        <v/>
      </c>
    </row>
    <row r="4873" spans="21:21" x14ac:dyDescent="0.25">
      <c r="U4873" s="104" t="str">
        <f>IF(
  AND(
    TRIM(A4873)=TRIM(Enginuity!$A$1),
    TRIM(B4873)=TRIM(Enginuity!$A$17),
    Q4873&lt;&gt;"",
    Q4873&lt;&gt;0,
    OR(
      TRIM(C4873)=TRIM(Enginuity!$A$18),
      AND(UPPER(TRIM(M4873))="STD", TRIM(B4873)=TRIM(Enginuity!$A$17))
    ),
    OR(
      AND(LEFT(P4873,5)="1-Way", Enginuity!$B$13=1),
      AND(LEFT(P4873,5)="2-Way", OR(Enginuity!$B$13=2, Enginuity!$B$13=4)),
      AND(LEFT(P4873,5)="3-Way", OR(Enginuity!$B$13=3, Enginuity!$B$13=6)),
      AND(P4873="Inner Centre Jamb", OR(Enginuity!$B$13=4, Enginuity!$B$13=6)),
      AND(
        LEFT(P4873,5)&lt;&gt;"1-Way",
        LEFT(P4873,5)&lt;&gt;"2-Way",
        LEFT(P4873,5)&lt;&gt;"3-Way",
        P4873&lt;&gt;"Inner Centre Jamb"
      )
    ),
    IF(OR(Enginuity!$A$1="Frameless Glass",Enginuity!$A$1="Metal Work"),
      AND(TRIM(B4873)=TRIM(Enginuity!$A$17),TRIM(C4873)=TRIM(Enginuity!$A$18)),
      TRIM(B4873)=TRIM(Enginuity!$A$17)
    )
  ),
  ROW(),
  ""
)</f>
        <v/>
      </c>
    </row>
    <row r="4874" spans="21:21" x14ac:dyDescent="0.25">
      <c r="U4874" s="104" t="str">
        <f>IF(
  AND(
    TRIM(A4874)=TRIM(Enginuity!$A$1),
    TRIM(B4874)=TRIM(Enginuity!$A$17),
    Q4874&lt;&gt;"",
    Q4874&lt;&gt;0,
    OR(
      TRIM(C4874)=TRIM(Enginuity!$A$18),
      AND(UPPER(TRIM(M4874))="STD", TRIM(B4874)=TRIM(Enginuity!$A$17))
    ),
    OR(
      AND(LEFT(P4874,5)="1-Way", Enginuity!$B$13=1),
      AND(LEFT(P4874,5)="2-Way", OR(Enginuity!$B$13=2, Enginuity!$B$13=4)),
      AND(LEFT(P4874,5)="3-Way", OR(Enginuity!$B$13=3, Enginuity!$B$13=6)),
      AND(P4874="Inner Centre Jamb", OR(Enginuity!$B$13=4, Enginuity!$B$13=6)),
      AND(
        LEFT(P4874,5)&lt;&gt;"1-Way",
        LEFT(P4874,5)&lt;&gt;"2-Way",
        LEFT(P4874,5)&lt;&gt;"3-Way",
        P4874&lt;&gt;"Inner Centre Jamb"
      )
    ),
    IF(OR(Enginuity!$A$1="Frameless Glass",Enginuity!$A$1="Metal Work"),
      AND(TRIM(B4874)=TRIM(Enginuity!$A$17),TRIM(C4874)=TRIM(Enginuity!$A$18)),
      TRIM(B4874)=TRIM(Enginuity!$A$17)
    )
  ),
  ROW(),
  ""
)</f>
        <v/>
      </c>
    </row>
    <row r="4875" spans="21:21" x14ac:dyDescent="0.25">
      <c r="U4875" s="104" t="str">
        <f>IF(
  AND(
    TRIM(A4875)=TRIM(Enginuity!$A$1),
    TRIM(B4875)=TRIM(Enginuity!$A$17),
    Q4875&lt;&gt;"",
    Q4875&lt;&gt;0,
    OR(
      TRIM(C4875)=TRIM(Enginuity!$A$18),
      AND(UPPER(TRIM(M4875))="STD", TRIM(B4875)=TRIM(Enginuity!$A$17))
    ),
    OR(
      AND(LEFT(P4875,5)="1-Way", Enginuity!$B$13=1),
      AND(LEFT(P4875,5)="2-Way", OR(Enginuity!$B$13=2, Enginuity!$B$13=4)),
      AND(LEFT(P4875,5)="3-Way", OR(Enginuity!$B$13=3, Enginuity!$B$13=6)),
      AND(P4875="Inner Centre Jamb", OR(Enginuity!$B$13=4, Enginuity!$B$13=6)),
      AND(
        LEFT(P4875,5)&lt;&gt;"1-Way",
        LEFT(P4875,5)&lt;&gt;"2-Way",
        LEFT(P4875,5)&lt;&gt;"3-Way",
        P4875&lt;&gt;"Inner Centre Jamb"
      )
    ),
    IF(OR(Enginuity!$A$1="Frameless Glass",Enginuity!$A$1="Metal Work"),
      AND(TRIM(B4875)=TRIM(Enginuity!$A$17),TRIM(C4875)=TRIM(Enginuity!$A$18)),
      TRIM(B4875)=TRIM(Enginuity!$A$17)
    )
  ),
  ROW(),
  ""
)</f>
        <v/>
      </c>
    </row>
    <row r="4876" spans="21:21" x14ac:dyDescent="0.25">
      <c r="U4876" s="104" t="str">
        <f>IF(
  AND(
    TRIM(A4876)=TRIM(Enginuity!$A$1),
    TRIM(B4876)=TRIM(Enginuity!$A$17),
    Q4876&lt;&gt;"",
    Q4876&lt;&gt;0,
    OR(
      TRIM(C4876)=TRIM(Enginuity!$A$18),
      AND(UPPER(TRIM(M4876))="STD", TRIM(B4876)=TRIM(Enginuity!$A$17))
    ),
    OR(
      AND(LEFT(P4876,5)="1-Way", Enginuity!$B$13=1),
      AND(LEFT(P4876,5)="2-Way", OR(Enginuity!$B$13=2, Enginuity!$B$13=4)),
      AND(LEFT(P4876,5)="3-Way", OR(Enginuity!$B$13=3, Enginuity!$B$13=6)),
      AND(P4876="Inner Centre Jamb", OR(Enginuity!$B$13=4, Enginuity!$B$13=6)),
      AND(
        LEFT(P4876,5)&lt;&gt;"1-Way",
        LEFT(P4876,5)&lt;&gt;"2-Way",
        LEFT(P4876,5)&lt;&gt;"3-Way",
        P4876&lt;&gt;"Inner Centre Jamb"
      )
    ),
    IF(OR(Enginuity!$A$1="Frameless Glass",Enginuity!$A$1="Metal Work"),
      AND(TRIM(B4876)=TRIM(Enginuity!$A$17),TRIM(C4876)=TRIM(Enginuity!$A$18)),
      TRIM(B4876)=TRIM(Enginuity!$A$17)
    )
  ),
  ROW(),
  ""
)</f>
        <v/>
      </c>
    </row>
    <row r="4877" spans="21:21" x14ac:dyDescent="0.25">
      <c r="U4877" s="104" t="str">
        <f>IF(
  AND(
    TRIM(A4877)=TRIM(Enginuity!$A$1),
    TRIM(B4877)=TRIM(Enginuity!$A$17),
    Q4877&lt;&gt;"",
    Q4877&lt;&gt;0,
    OR(
      TRIM(C4877)=TRIM(Enginuity!$A$18),
      AND(UPPER(TRIM(M4877))="STD", TRIM(B4877)=TRIM(Enginuity!$A$17))
    ),
    OR(
      AND(LEFT(P4877,5)="1-Way", Enginuity!$B$13=1),
      AND(LEFT(P4877,5)="2-Way", OR(Enginuity!$B$13=2, Enginuity!$B$13=4)),
      AND(LEFT(P4877,5)="3-Way", OR(Enginuity!$B$13=3, Enginuity!$B$13=6)),
      AND(P4877="Inner Centre Jamb", OR(Enginuity!$B$13=4, Enginuity!$B$13=6)),
      AND(
        LEFT(P4877,5)&lt;&gt;"1-Way",
        LEFT(P4877,5)&lt;&gt;"2-Way",
        LEFT(P4877,5)&lt;&gt;"3-Way",
        P4877&lt;&gt;"Inner Centre Jamb"
      )
    ),
    IF(OR(Enginuity!$A$1="Frameless Glass",Enginuity!$A$1="Metal Work"),
      AND(TRIM(B4877)=TRIM(Enginuity!$A$17),TRIM(C4877)=TRIM(Enginuity!$A$18)),
      TRIM(B4877)=TRIM(Enginuity!$A$17)
    )
  ),
  ROW(),
  ""
)</f>
        <v/>
      </c>
    </row>
    <row r="4878" spans="21:21" x14ac:dyDescent="0.25">
      <c r="U4878" s="104" t="str">
        <f>IF(
  AND(
    TRIM(A4878)=TRIM(Enginuity!$A$1),
    TRIM(B4878)=TRIM(Enginuity!$A$17),
    Q4878&lt;&gt;"",
    Q4878&lt;&gt;0,
    OR(
      TRIM(C4878)=TRIM(Enginuity!$A$18),
      AND(UPPER(TRIM(M4878))="STD", TRIM(B4878)=TRIM(Enginuity!$A$17))
    ),
    OR(
      AND(LEFT(P4878,5)="1-Way", Enginuity!$B$13=1),
      AND(LEFT(P4878,5)="2-Way", OR(Enginuity!$B$13=2, Enginuity!$B$13=4)),
      AND(LEFT(P4878,5)="3-Way", OR(Enginuity!$B$13=3, Enginuity!$B$13=6)),
      AND(P4878="Inner Centre Jamb", OR(Enginuity!$B$13=4, Enginuity!$B$13=6)),
      AND(
        LEFT(P4878,5)&lt;&gt;"1-Way",
        LEFT(P4878,5)&lt;&gt;"2-Way",
        LEFT(P4878,5)&lt;&gt;"3-Way",
        P4878&lt;&gt;"Inner Centre Jamb"
      )
    ),
    IF(OR(Enginuity!$A$1="Frameless Glass",Enginuity!$A$1="Metal Work"),
      AND(TRIM(B4878)=TRIM(Enginuity!$A$17),TRIM(C4878)=TRIM(Enginuity!$A$18)),
      TRIM(B4878)=TRIM(Enginuity!$A$17)
    )
  ),
  ROW(),
  ""
)</f>
        <v/>
      </c>
    </row>
    <row r="4879" spans="21:21" x14ac:dyDescent="0.25">
      <c r="U4879" s="104" t="str">
        <f>IF(
  AND(
    TRIM(A4879)=TRIM(Enginuity!$A$1),
    TRIM(B4879)=TRIM(Enginuity!$A$17),
    Q4879&lt;&gt;"",
    Q4879&lt;&gt;0,
    OR(
      TRIM(C4879)=TRIM(Enginuity!$A$18),
      AND(UPPER(TRIM(M4879))="STD", TRIM(B4879)=TRIM(Enginuity!$A$17))
    ),
    OR(
      AND(LEFT(P4879,5)="1-Way", Enginuity!$B$13=1),
      AND(LEFT(P4879,5)="2-Way", OR(Enginuity!$B$13=2, Enginuity!$B$13=4)),
      AND(LEFT(P4879,5)="3-Way", OR(Enginuity!$B$13=3, Enginuity!$B$13=6)),
      AND(P4879="Inner Centre Jamb", OR(Enginuity!$B$13=4, Enginuity!$B$13=6)),
      AND(
        LEFT(P4879,5)&lt;&gt;"1-Way",
        LEFT(P4879,5)&lt;&gt;"2-Way",
        LEFT(P4879,5)&lt;&gt;"3-Way",
        P4879&lt;&gt;"Inner Centre Jamb"
      )
    ),
    IF(OR(Enginuity!$A$1="Frameless Glass",Enginuity!$A$1="Metal Work"),
      AND(TRIM(B4879)=TRIM(Enginuity!$A$17),TRIM(C4879)=TRIM(Enginuity!$A$18)),
      TRIM(B4879)=TRIM(Enginuity!$A$17)
    )
  ),
  ROW(),
  ""
)</f>
        <v/>
      </c>
    </row>
    <row r="4880" spans="21:21" x14ac:dyDescent="0.25">
      <c r="U4880" s="104" t="str">
        <f>IF(
  AND(
    TRIM(A4880)=TRIM(Enginuity!$A$1),
    TRIM(B4880)=TRIM(Enginuity!$A$17),
    Q4880&lt;&gt;"",
    Q4880&lt;&gt;0,
    OR(
      TRIM(C4880)=TRIM(Enginuity!$A$18),
      AND(UPPER(TRIM(M4880))="STD", TRIM(B4880)=TRIM(Enginuity!$A$17))
    ),
    OR(
      AND(LEFT(P4880,5)="1-Way", Enginuity!$B$13=1),
      AND(LEFT(P4880,5)="2-Way", OR(Enginuity!$B$13=2, Enginuity!$B$13=4)),
      AND(LEFT(P4880,5)="3-Way", OR(Enginuity!$B$13=3, Enginuity!$B$13=6)),
      AND(P4880="Inner Centre Jamb", OR(Enginuity!$B$13=4, Enginuity!$B$13=6)),
      AND(
        LEFT(P4880,5)&lt;&gt;"1-Way",
        LEFT(P4880,5)&lt;&gt;"2-Way",
        LEFT(P4880,5)&lt;&gt;"3-Way",
        P4880&lt;&gt;"Inner Centre Jamb"
      )
    ),
    IF(OR(Enginuity!$A$1="Frameless Glass",Enginuity!$A$1="Metal Work"),
      AND(TRIM(B4880)=TRIM(Enginuity!$A$17),TRIM(C4880)=TRIM(Enginuity!$A$18)),
      TRIM(B4880)=TRIM(Enginuity!$A$17)
    )
  ),
  ROW(),
  ""
)</f>
        <v/>
      </c>
    </row>
    <row r="4881" spans="21:21" x14ac:dyDescent="0.25">
      <c r="U4881" s="104" t="str">
        <f>IF(
  AND(
    TRIM(A4881)=TRIM(Enginuity!$A$1),
    TRIM(B4881)=TRIM(Enginuity!$A$17),
    Q4881&lt;&gt;"",
    Q4881&lt;&gt;0,
    OR(
      TRIM(C4881)=TRIM(Enginuity!$A$18),
      AND(UPPER(TRIM(M4881))="STD", TRIM(B4881)=TRIM(Enginuity!$A$17))
    ),
    OR(
      AND(LEFT(P4881,5)="1-Way", Enginuity!$B$13=1),
      AND(LEFT(P4881,5)="2-Way", OR(Enginuity!$B$13=2, Enginuity!$B$13=4)),
      AND(LEFT(P4881,5)="3-Way", OR(Enginuity!$B$13=3, Enginuity!$B$13=6)),
      AND(P4881="Inner Centre Jamb", OR(Enginuity!$B$13=4, Enginuity!$B$13=6)),
      AND(
        LEFT(P4881,5)&lt;&gt;"1-Way",
        LEFT(P4881,5)&lt;&gt;"2-Way",
        LEFT(P4881,5)&lt;&gt;"3-Way",
        P4881&lt;&gt;"Inner Centre Jamb"
      )
    ),
    IF(OR(Enginuity!$A$1="Frameless Glass",Enginuity!$A$1="Metal Work"),
      AND(TRIM(B4881)=TRIM(Enginuity!$A$17),TRIM(C4881)=TRIM(Enginuity!$A$18)),
      TRIM(B4881)=TRIM(Enginuity!$A$17)
    )
  ),
  ROW(),
  ""
)</f>
        <v/>
      </c>
    </row>
    <row r="4882" spans="21:21" x14ac:dyDescent="0.25">
      <c r="U4882" s="104" t="str">
        <f>IF(
  AND(
    TRIM(A4882)=TRIM(Enginuity!$A$1),
    TRIM(B4882)=TRIM(Enginuity!$A$17),
    Q4882&lt;&gt;"",
    Q4882&lt;&gt;0,
    OR(
      TRIM(C4882)=TRIM(Enginuity!$A$18),
      AND(UPPER(TRIM(M4882))="STD", TRIM(B4882)=TRIM(Enginuity!$A$17))
    ),
    OR(
      AND(LEFT(P4882,5)="1-Way", Enginuity!$B$13=1),
      AND(LEFT(P4882,5)="2-Way", OR(Enginuity!$B$13=2, Enginuity!$B$13=4)),
      AND(LEFT(P4882,5)="3-Way", OR(Enginuity!$B$13=3, Enginuity!$B$13=6)),
      AND(P4882="Inner Centre Jamb", OR(Enginuity!$B$13=4, Enginuity!$B$13=6)),
      AND(
        LEFT(P4882,5)&lt;&gt;"1-Way",
        LEFT(P4882,5)&lt;&gt;"2-Way",
        LEFT(P4882,5)&lt;&gt;"3-Way",
        P4882&lt;&gt;"Inner Centre Jamb"
      )
    ),
    IF(OR(Enginuity!$A$1="Frameless Glass",Enginuity!$A$1="Metal Work"),
      AND(TRIM(B4882)=TRIM(Enginuity!$A$17),TRIM(C4882)=TRIM(Enginuity!$A$18)),
      TRIM(B4882)=TRIM(Enginuity!$A$17)
    )
  ),
  ROW(),
  ""
)</f>
        <v/>
      </c>
    </row>
    <row r="4883" spans="21:21" x14ac:dyDescent="0.25">
      <c r="U4883" s="104" t="str">
        <f>IF(
  AND(
    TRIM(A4883)=TRIM(Enginuity!$A$1),
    TRIM(B4883)=TRIM(Enginuity!$A$17),
    Q4883&lt;&gt;"",
    Q4883&lt;&gt;0,
    OR(
      TRIM(C4883)=TRIM(Enginuity!$A$18),
      AND(UPPER(TRIM(M4883))="STD", TRIM(B4883)=TRIM(Enginuity!$A$17))
    ),
    OR(
      AND(LEFT(P4883,5)="1-Way", Enginuity!$B$13=1),
      AND(LEFT(P4883,5)="2-Way", OR(Enginuity!$B$13=2, Enginuity!$B$13=4)),
      AND(LEFT(P4883,5)="3-Way", OR(Enginuity!$B$13=3, Enginuity!$B$13=6)),
      AND(P4883="Inner Centre Jamb", OR(Enginuity!$B$13=4, Enginuity!$B$13=6)),
      AND(
        LEFT(P4883,5)&lt;&gt;"1-Way",
        LEFT(P4883,5)&lt;&gt;"2-Way",
        LEFT(P4883,5)&lt;&gt;"3-Way",
        P4883&lt;&gt;"Inner Centre Jamb"
      )
    ),
    IF(OR(Enginuity!$A$1="Frameless Glass",Enginuity!$A$1="Metal Work"),
      AND(TRIM(B4883)=TRIM(Enginuity!$A$17),TRIM(C4883)=TRIM(Enginuity!$A$18)),
      TRIM(B4883)=TRIM(Enginuity!$A$17)
    )
  ),
  ROW(),
  ""
)</f>
        <v/>
      </c>
    </row>
    <row r="4884" spans="21:21" x14ac:dyDescent="0.25">
      <c r="U4884" s="104" t="str">
        <f>IF(
  AND(
    TRIM(A4884)=TRIM(Enginuity!$A$1),
    TRIM(B4884)=TRIM(Enginuity!$A$17),
    Q4884&lt;&gt;"",
    Q4884&lt;&gt;0,
    OR(
      TRIM(C4884)=TRIM(Enginuity!$A$18),
      AND(UPPER(TRIM(M4884))="STD", TRIM(B4884)=TRIM(Enginuity!$A$17))
    ),
    OR(
      AND(LEFT(P4884,5)="1-Way", Enginuity!$B$13=1),
      AND(LEFT(P4884,5)="2-Way", OR(Enginuity!$B$13=2, Enginuity!$B$13=4)),
      AND(LEFT(P4884,5)="3-Way", OR(Enginuity!$B$13=3, Enginuity!$B$13=6)),
      AND(P4884="Inner Centre Jamb", OR(Enginuity!$B$13=4, Enginuity!$B$13=6)),
      AND(
        LEFT(P4884,5)&lt;&gt;"1-Way",
        LEFT(P4884,5)&lt;&gt;"2-Way",
        LEFT(P4884,5)&lt;&gt;"3-Way",
        P4884&lt;&gt;"Inner Centre Jamb"
      )
    ),
    IF(OR(Enginuity!$A$1="Frameless Glass",Enginuity!$A$1="Metal Work"),
      AND(TRIM(B4884)=TRIM(Enginuity!$A$17),TRIM(C4884)=TRIM(Enginuity!$A$18)),
      TRIM(B4884)=TRIM(Enginuity!$A$17)
    )
  ),
  ROW(),
  ""
)</f>
        <v/>
      </c>
    </row>
    <row r="4885" spans="21:21" x14ac:dyDescent="0.25">
      <c r="U4885" s="104" t="str">
        <f>IF(
  AND(
    TRIM(A4885)=TRIM(Enginuity!$A$1),
    TRIM(B4885)=TRIM(Enginuity!$A$17),
    Q4885&lt;&gt;"",
    Q4885&lt;&gt;0,
    OR(
      TRIM(C4885)=TRIM(Enginuity!$A$18),
      AND(UPPER(TRIM(M4885))="STD", TRIM(B4885)=TRIM(Enginuity!$A$17))
    ),
    OR(
      AND(LEFT(P4885,5)="1-Way", Enginuity!$B$13=1),
      AND(LEFT(P4885,5)="2-Way", OR(Enginuity!$B$13=2, Enginuity!$B$13=4)),
      AND(LEFT(P4885,5)="3-Way", OR(Enginuity!$B$13=3, Enginuity!$B$13=6)),
      AND(P4885="Inner Centre Jamb", OR(Enginuity!$B$13=4, Enginuity!$B$13=6)),
      AND(
        LEFT(P4885,5)&lt;&gt;"1-Way",
        LEFT(P4885,5)&lt;&gt;"2-Way",
        LEFT(P4885,5)&lt;&gt;"3-Way",
        P4885&lt;&gt;"Inner Centre Jamb"
      )
    ),
    IF(OR(Enginuity!$A$1="Frameless Glass",Enginuity!$A$1="Metal Work"),
      AND(TRIM(B4885)=TRIM(Enginuity!$A$17),TRIM(C4885)=TRIM(Enginuity!$A$18)),
      TRIM(B4885)=TRIM(Enginuity!$A$17)
    )
  ),
  ROW(),
  ""
)</f>
        <v/>
      </c>
    </row>
    <row r="4886" spans="21:21" x14ac:dyDescent="0.25">
      <c r="U4886" s="104" t="str">
        <f>IF(
  AND(
    TRIM(A4886)=TRIM(Enginuity!$A$1),
    TRIM(B4886)=TRIM(Enginuity!$A$17),
    Q4886&lt;&gt;"",
    Q4886&lt;&gt;0,
    OR(
      TRIM(C4886)=TRIM(Enginuity!$A$18),
      AND(UPPER(TRIM(M4886))="STD", TRIM(B4886)=TRIM(Enginuity!$A$17))
    ),
    OR(
      AND(LEFT(P4886,5)="1-Way", Enginuity!$B$13=1),
      AND(LEFT(P4886,5)="2-Way", OR(Enginuity!$B$13=2, Enginuity!$B$13=4)),
      AND(LEFT(P4886,5)="3-Way", OR(Enginuity!$B$13=3, Enginuity!$B$13=6)),
      AND(P4886="Inner Centre Jamb", OR(Enginuity!$B$13=4, Enginuity!$B$13=6)),
      AND(
        LEFT(P4886,5)&lt;&gt;"1-Way",
        LEFT(P4886,5)&lt;&gt;"2-Way",
        LEFT(P4886,5)&lt;&gt;"3-Way",
        P4886&lt;&gt;"Inner Centre Jamb"
      )
    ),
    IF(OR(Enginuity!$A$1="Frameless Glass",Enginuity!$A$1="Metal Work"),
      AND(TRIM(B4886)=TRIM(Enginuity!$A$17),TRIM(C4886)=TRIM(Enginuity!$A$18)),
      TRIM(B4886)=TRIM(Enginuity!$A$17)
    )
  ),
  ROW(),
  ""
)</f>
        <v/>
      </c>
    </row>
    <row r="4887" spans="21:21" x14ac:dyDescent="0.25">
      <c r="U4887" s="104" t="str">
        <f>IF(
  AND(
    TRIM(A4887)=TRIM(Enginuity!$A$1),
    TRIM(B4887)=TRIM(Enginuity!$A$17),
    Q4887&lt;&gt;"",
    Q4887&lt;&gt;0,
    OR(
      TRIM(C4887)=TRIM(Enginuity!$A$18),
      AND(UPPER(TRIM(M4887))="STD", TRIM(B4887)=TRIM(Enginuity!$A$17))
    ),
    OR(
      AND(LEFT(P4887,5)="1-Way", Enginuity!$B$13=1),
      AND(LEFT(P4887,5)="2-Way", OR(Enginuity!$B$13=2, Enginuity!$B$13=4)),
      AND(LEFT(P4887,5)="3-Way", OR(Enginuity!$B$13=3, Enginuity!$B$13=6)),
      AND(P4887="Inner Centre Jamb", OR(Enginuity!$B$13=4, Enginuity!$B$13=6)),
      AND(
        LEFT(P4887,5)&lt;&gt;"1-Way",
        LEFT(P4887,5)&lt;&gt;"2-Way",
        LEFT(P4887,5)&lt;&gt;"3-Way",
        P4887&lt;&gt;"Inner Centre Jamb"
      )
    ),
    IF(OR(Enginuity!$A$1="Frameless Glass",Enginuity!$A$1="Metal Work"),
      AND(TRIM(B4887)=TRIM(Enginuity!$A$17),TRIM(C4887)=TRIM(Enginuity!$A$18)),
      TRIM(B4887)=TRIM(Enginuity!$A$17)
    )
  ),
  ROW(),
  ""
)</f>
        <v/>
      </c>
    </row>
    <row r="4888" spans="21:21" x14ac:dyDescent="0.25">
      <c r="U4888" s="104" t="str">
        <f>IF(
  AND(
    TRIM(A4888)=TRIM(Enginuity!$A$1),
    TRIM(B4888)=TRIM(Enginuity!$A$17),
    Q4888&lt;&gt;"",
    Q4888&lt;&gt;0,
    OR(
      TRIM(C4888)=TRIM(Enginuity!$A$18),
      AND(UPPER(TRIM(M4888))="STD", TRIM(B4888)=TRIM(Enginuity!$A$17))
    ),
    OR(
      AND(LEFT(P4888,5)="1-Way", Enginuity!$B$13=1),
      AND(LEFT(P4888,5)="2-Way", OR(Enginuity!$B$13=2, Enginuity!$B$13=4)),
      AND(LEFT(P4888,5)="3-Way", OR(Enginuity!$B$13=3, Enginuity!$B$13=6)),
      AND(P4888="Inner Centre Jamb", OR(Enginuity!$B$13=4, Enginuity!$B$13=6)),
      AND(
        LEFT(P4888,5)&lt;&gt;"1-Way",
        LEFT(P4888,5)&lt;&gt;"2-Way",
        LEFT(P4888,5)&lt;&gt;"3-Way",
        P4888&lt;&gt;"Inner Centre Jamb"
      )
    ),
    IF(OR(Enginuity!$A$1="Frameless Glass",Enginuity!$A$1="Metal Work"),
      AND(TRIM(B4888)=TRIM(Enginuity!$A$17),TRIM(C4888)=TRIM(Enginuity!$A$18)),
      TRIM(B4888)=TRIM(Enginuity!$A$17)
    )
  ),
  ROW(),
  ""
)</f>
        <v/>
      </c>
    </row>
    <row r="4889" spans="21:21" x14ac:dyDescent="0.25">
      <c r="U4889" s="104" t="str">
        <f>IF(
  AND(
    TRIM(A4889)=TRIM(Enginuity!$A$1),
    TRIM(B4889)=TRIM(Enginuity!$A$17),
    Q4889&lt;&gt;"",
    Q4889&lt;&gt;0,
    OR(
      TRIM(C4889)=TRIM(Enginuity!$A$18),
      AND(UPPER(TRIM(M4889))="STD", TRIM(B4889)=TRIM(Enginuity!$A$17))
    ),
    OR(
      AND(LEFT(P4889,5)="1-Way", Enginuity!$B$13=1),
      AND(LEFT(P4889,5)="2-Way", OR(Enginuity!$B$13=2, Enginuity!$B$13=4)),
      AND(LEFT(P4889,5)="3-Way", OR(Enginuity!$B$13=3, Enginuity!$B$13=6)),
      AND(P4889="Inner Centre Jamb", OR(Enginuity!$B$13=4, Enginuity!$B$13=6)),
      AND(
        LEFT(P4889,5)&lt;&gt;"1-Way",
        LEFT(P4889,5)&lt;&gt;"2-Way",
        LEFT(P4889,5)&lt;&gt;"3-Way",
        P4889&lt;&gt;"Inner Centre Jamb"
      )
    ),
    IF(OR(Enginuity!$A$1="Frameless Glass",Enginuity!$A$1="Metal Work"),
      AND(TRIM(B4889)=TRIM(Enginuity!$A$17),TRIM(C4889)=TRIM(Enginuity!$A$18)),
      TRIM(B4889)=TRIM(Enginuity!$A$17)
    )
  ),
  ROW(),
  ""
)</f>
        <v/>
      </c>
    </row>
    <row r="4890" spans="21:21" x14ac:dyDescent="0.25">
      <c r="U4890" s="104" t="str">
        <f>IF(
  AND(
    TRIM(A4890)=TRIM(Enginuity!$A$1),
    TRIM(B4890)=TRIM(Enginuity!$A$17),
    Q4890&lt;&gt;"",
    Q4890&lt;&gt;0,
    OR(
      TRIM(C4890)=TRIM(Enginuity!$A$18),
      AND(UPPER(TRIM(M4890))="STD", TRIM(B4890)=TRIM(Enginuity!$A$17))
    ),
    OR(
      AND(LEFT(P4890,5)="1-Way", Enginuity!$B$13=1),
      AND(LEFT(P4890,5)="2-Way", OR(Enginuity!$B$13=2, Enginuity!$B$13=4)),
      AND(LEFT(P4890,5)="3-Way", OR(Enginuity!$B$13=3, Enginuity!$B$13=6)),
      AND(P4890="Inner Centre Jamb", OR(Enginuity!$B$13=4, Enginuity!$B$13=6)),
      AND(
        LEFT(P4890,5)&lt;&gt;"1-Way",
        LEFT(P4890,5)&lt;&gt;"2-Way",
        LEFT(P4890,5)&lt;&gt;"3-Way",
        P4890&lt;&gt;"Inner Centre Jamb"
      )
    ),
    IF(OR(Enginuity!$A$1="Frameless Glass",Enginuity!$A$1="Metal Work"),
      AND(TRIM(B4890)=TRIM(Enginuity!$A$17),TRIM(C4890)=TRIM(Enginuity!$A$18)),
      TRIM(B4890)=TRIM(Enginuity!$A$17)
    )
  ),
  ROW(),
  ""
)</f>
        <v/>
      </c>
    </row>
    <row r="4891" spans="21:21" x14ac:dyDescent="0.25">
      <c r="U4891" s="104" t="str">
        <f>IF(
  AND(
    TRIM(A4891)=TRIM(Enginuity!$A$1),
    TRIM(B4891)=TRIM(Enginuity!$A$17),
    Q4891&lt;&gt;"",
    Q4891&lt;&gt;0,
    OR(
      TRIM(C4891)=TRIM(Enginuity!$A$18),
      AND(UPPER(TRIM(M4891))="STD", TRIM(B4891)=TRIM(Enginuity!$A$17))
    ),
    OR(
      AND(LEFT(P4891,5)="1-Way", Enginuity!$B$13=1),
      AND(LEFT(P4891,5)="2-Way", OR(Enginuity!$B$13=2, Enginuity!$B$13=4)),
      AND(LEFT(P4891,5)="3-Way", OR(Enginuity!$B$13=3, Enginuity!$B$13=6)),
      AND(P4891="Inner Centre Jamb", OR(Enginuity!$B$13=4, Enginuity!$B$13=6)),
      AND(
        LEFT(P4891,5)&lt;&gt;"1-Way",
        LEFT(P4891,5)&lt;&gt;"2-Way",
        LEFT(P4891,5)&lt;&gt;"3-Way",
        P4891&lt;&gt;"Inner Centre Jamb"
      )
    ),
    IF(OR(Enginuity!$A$1="Frameless Glass",Enginuity!$A$1="Metal Work"),
      AND(TRIM(B4891)=TRIM(Enginuity!$A$17),TRIM(C4891)=TRIM(Enginuity!$A$18)),
      TRIM(B4891)=TRIM(Enginuity!$A$17)
    )
  ),
  ROW(),
  ""
)</f>
        <v/>
      </c>
    </row>
    <row r="4892" spans="21:21" x14ac:dyDescent="0.25">
      <c r="U4892" s="104" t="str">
        <f>IF(
  AND(
    TRIM(A4892)=TRIM(Enginuity!$A$1),
    TRIM(B4892)=TRIM(Enginuity!$A$17),
    Q4892&lt;&gt;"",
    Q4892&lt;&gt;0,
    OR(
      TRIM(C4892)=TRIM(Enginuity!$A$18),
      AND(UPPER(TRIM(M4892))="STD", TRIM(B4892)=TRIM(Enginuity!$A$17))
    ),
    OR(
      AND(LEFT(P4892,5)="1-Way", Enginuity!$B$13=1),
      AND(LEFT(P4892,5)="2-Way", OR(Enginuity!$B$13=2, Enginuity!$B$13=4)),
      AND(LEFT(P4892,5)="3-Way", OR(Enginuity!$B$13=3, Enginuity!$B$13=6)),
      AND(P4892="Inner Centre Jamb", OR(Enginuity!$B$13=4, Enginuity!$B$13=6)),
      AND(
        LEFT(P4892,5)&lt;&gt;"1-Way",
        LEFT(P4892,5)&lt;&gt;"2-Way",
        LEFT(P4892,5)&lt;&gt;"3-Way",
        P4892&lt;&gt;"Inner Centre Jamb"
      )
    ),
    IF(OR(Enginuity!$A$1="Frameless Glass",Enginuity!$A$1="Metal Work"),
      AND(TRIM(B4892)=TRIM(Enginuity!$A$17),TRIM(C4892)=TRIM(Enginuity!$A$18)),
      TRIM(B4892)=TRIM(Enginuity!$A$17)
    )
  ),
  ROW(),
  ""
)</f>
        <v/>
      </c>
    </row>
    <row r="4893" spans="21:21" x14ac:dyDescent="0.25">
      <c r="U4893" s="104" t="str">
        <f>IF(
  AND(
    TRIM(A4893)=TRIM(Enginuity!$A$1),
    TRIM(B4893)=TRIM(Enginuity!$A$17),
    Q4893&lt;&gt;"",
    Q4893&lt;&gt;0,
    OR(
      TRIM(C4893)=TRIM(Enginuity!$A$18),
      AND(UPPER(TRIM(M4893))="STD", TRIM(B4893)=TRIM(Enginuity!$A$17))
    ),
    OR(
      AND(LEFT(P4893,5)="1-Way", Enginuity!$B$13=1),
      AND(LEFT(P4893,5)="2-Way", OR(Enginuity!$B$13=2, Enginuity!$B$13=4)),
      AND(LEFT(P4893,5)="3-Way", OR(Enginuity!$B$13=3, Enginuity!$B$13=6)),
      AND(P4893="Inner Centre Jamb", OR(Enginuity!$B$13=4, Enginuity!$B$13=6)),
      AND(
        LEFT(P4893,5)&lt;&gt;"1-Way",
        LEFT(P4893,5)&lt;&gt;"2-Way",
        LEFT(P4893,5)&lt;&gt;"3-Way",
        P4893&lt;&gt;"Inner Centre Jamb"
      )
    ),
    IF(OR(Enginuity!$A$1="Frameless Glass",Enginuity!$A$1="Metal Work"),
      AND(TRIM(B4893)=TRIM(Enginuity!$A$17),TRIM(C4893)=TRIM(Enginuity!$A$18)),
      TRIM(B4893)=TRIM(Enginuity!$A$17)
    )
  ),
  ROW(),
  ""
)</f>
        <v/>
      </c>
    </row>
    <row r="4894" spans="21:21" x14ac:dyDescent="0.25">
      <c r="U4894" s="104" t="str">
        <f>IF(
  AND(
    TRIM(A4894)=TRIM(Enginuity!$A$1),
    TRIM(B4894)=TRIM(Enginuity!$A$17),
    Q4894&lt;&gt;"",
    Q4894&lt;&gt;0,
    OR(
      TRIM(C4894)=TRIM(Enginuity!$A$18),
      AND(UPPER(TRIM(M4894))="STD", TRIM(B4894)=TRIM(Enginuity!$A$17))
    ),
    OR(
      AND(LEFT(P4894,5)="1-Way", Enginuity!$B$13=1),
      AND(LEFT(P4894,5)="2-Way", OR(Enginuity!$B$13=2, Enginuity!$B$13=4)),
      AND(LEFT(P4894,5)="3-Way", OR(Enginuity!$B$13=3, Enginuity!$B$13=6)),
      AND(P4894="Inner Centre Jamb", OR(Enginuity!$B$13=4, Enginuity!$B$13=6)),
      AND(
        LEFT(P4894,5)&lt;&gt;"1-Way",
        LEFT(P4894,5)&lt;&gt;"2-Way",
        LEFT(P4894,5)&lt;&gt;"3-Way",
        P4894&lt;&gt;"Inner Centre Jamb"
      )
    ),
    IF(OR(Enginuity!$A$1="Frameless Glass",Enginuity!$A$1="Metal Work"),
      AND(TRIM(B4894)=TRIM(Enginuity!$A$17),TRIM(C4894)=TRIM(Enginuity!$A$18)),
      TRIM(B4894)=TRIM(Enginuity!$A$17)
    )
  ),
  ROW(),
  ""
)</f>
        <v/>
      </c>
    </row>
    <row r="4895" spans="21:21" x14ac:dyDescent="0.25">
      <c r="U4895" s="104" t="str">
        <f>IF(
  AND(
    TRIM(A4895)=TRIM(Enginuity!$A$1),
    TRIM(B4895)=TRIM(Enginuity!$A$17),
    Q4895&lt;&gt;"",
    Q4895&lt;&gt;0,
    OR(
      TRIM(C4895)=TRIM(Enginuity!$A$18),
      AND(UPPER(TRIM(M4895))="STD", TRIM(B4895)=TRIM(Enginuity!$A$17))
    ),
    OR(
      AND(LEFT(P4895,5)="1-Way", Enginuity!$B$13=1),
      AND(LEFT(P4895,5)="2-Way", OR(Enginuity!$B$13=2, Enginuity!$B$13=4)),
      AND(LEFT(P4895,5)="3-Way", OR(Enginuity!$B$13=3, Enginuity!$B$13=6)),
      AND(P4895="Inner Centre Jamb", OR(Enginuity!$B$13=4, Enginuity!$B$13=6)),
      AND(
        LEFT(P4895,5)&lt;&gt;"1-Way",
        LEFT(P4895,5)&lt;&gt;"2-Way",
        LEFT(P4895,5)&lt;&gt;"3-Way",
        P4895&lt;&gt;"Inner Centre Jamb"
      )
    ),
    IF(OR(Enginuity!$A$1="Frameless Glass",Enginuity!$A$1="Metal Work"),
      AND(TRIM(B4895)=TRIM(Enginuity!$A$17),TRIM(C4895)=TRIM(Enginuity!$A$18)),
      TRIM(B4895)=TRIM(Enginuity!$A$17)
    )
  ),
  ROW(),
  ""
)</f>
        <v/>
      </c>
    </row>
    <row r="4896" spans="21:21" x14ac:dyDescent="0.25">
      <c r="U4896" s="104" t="str">
        <f>IF(
  AND(
    TRIM(A4896)=TRIM(Enginuity!$A$1),
    TRIM(B4896)=TRIM(Enginuity!$A$17),
    Q4896&lt;&gt;"",
    Q4896&lt;&gt;0,
    OR(
      TRIM(C4896)=TRIM(Enginuity!$A$18),
      AND(UPPER(TRIM(M4896))="STD", TRIM(B4896)=TRIM(Enginuity!$A$17))
    ),
    OR(
      AND(LEFT(P4896,5)="1-Way", Enginuity!$B$13=1),
      AND(LEFT(P4896,5)="2-Way", OR(Enginuity!$B$13=2, Enginuity!$B$13=4)),
      AND(LEFT(P4896,5)="3-Way", OR(Enginuity!$B$13=3, Enginuity!$B$13=6)),
      AND(P4896="Inner Centre Jamb", OR(Enginuity!$B$13=4, Enginuity!$B$13=6)),
      AND(
        LEFT(P4896,5)&lt;&gt;"1-Way",
        LEFT(P4896,5)&lt;&gt;"2-Way",
        LEFT(P4896,5)&lt;&gt;"3-Way",
        P4896&lt;&gt;"Inner Centre Jamb"
      )
    ),
    IF(OR(Enginuity!$A$1="Frameless Glass",Enginuity!$A$1="Metal Work"),
      AND(TRIM(B4896)=TRIM(Enginuity!$A$17),TRIM(C4896)=TRIM(Enginuity!$A$18)),
      TRIM(B4896)=TRIM(Enginuity!$A$17)
    )
  ),
  ROW(),
  ""
)</f>
        <v/>
      </c>
    </row>
    <row r="4897" spans="21:21" x14ac:dyDescent="0.25">
      <c r="U4897" s="104" t="str">
        <f>IF(
  AND(
    TRIM(A4897)=TRIM(Enginuity!$A$1),
    TRIM(B4897)=TRIM(Enginuity!$A$17),
    Q4897&lt;&gt;"",
    Q4897&lt;&gt;0,
    OR(
      TRIM(C4897)=TRIM(Enginuity!$A$18),
      AND(UPPER(TRIM(M4897))="STD", TRIM(B4897)=TRIM(Enginuity!$A$17))
    ),
    OR(
      AND(LEFT(P4897,5)="1-Way", Enginuity!$B$13=1),
      AND(LEFT(P4897,5)="2-Way", OR(Enginuity!$B$13=2, Enginuity!$B$13=4)),
      AND(LEFT(P4897,5)="3-Way", OR(Enginuity!$B$13=3, Enginuity!$B$13=6)),
      AND(P4897="Inner Centre Jamb", OR(Enginuity!$B$13=4, Enginuity!$B$13=6)),
      AND(
        LEFT(P4897,5)&lt;&gt;"1-Way",
        LEFT(P4897,5)&lt;&gt;"2-Way",
        LEFT(P4897,5)&lt;&gt;"3-Way",
        P4897&lt;&gt;"Inner Centre Jamb"
      )
    ),
    IF(OR(Enginuity!$A$1="Frameless Glass",Enginuity!$A$1="Metal Work"),
      AND(TRIM(B4897)=TRIM(Enginuity!$A$17),TRIM(C4897)=TRIM(Enginuity!$A$18)),
      TRIM(B4897)=TRIM(Enginuity!$A$17)
    )
  ),
  ROW(),
  ""
)</f>
        <v/>
      </c>
    </row>
    <row r="4898" spans="21:21" x14ac:dyDescent="0.25">
      <c r="U4898" s="104" t="str">
        <f>IF(
  AND(
    TRIM(A4898)=TRIM(Enginuity!$A$1),
    TRIM(B4898)=TRIM(Enginuity!$A$17),
    Q4898&lt;&gt;"",
    Q4898&lt;&gt;0,
    OR(
      TRIM(C4898)=TRIM(Enginuity!$A$18),
      AND(UPPER(TRIM(M4898))="STD", TRIM(B4898)=TRIM(Enginuity!$A$17))
    ),
    OR(
      AND(LEFT(P4898,5)="1-Way", Enginuity!$B$13=1),
      AND(LEFT(P4898,5)="2-Way", OR(Enginuity!$B$13=2, Enginuity!$B$13=4)),
      AND(LEFT(P4898,5)="3-Way", OR(Enginuity!$B$13=3, Enginuity!$B$13=6)),
      AND(P4898="Inner Centre Jamb", OR(Enginuity!$B$13=4, Enginuity!$B$13=6)),
      AND(
        LEFT(P4898,5)&lt;&gt;"1-Way",
        LEFT(P4898,5)&lt;&gt;"2-Way",
        LEFT(P4898,5)&lt;&gt;"3-Way",
        P4898&lt;&gt;"Inner Centre Jamb"
      )
    ),
    IF(OR(Enginuity!$A$1="Frameless Glass",Enginuity!$A$1="Metal Work"),
      AND(TRIM(B4898)=TRIM(Enginuity!$A$17),TRIM(C4898)=TRIM(Enginuity!$A$18)),
      TRIM(B4898)=TRIM(Enginuity!$A$17)
    )
  ),
  ROW(),
  ""
)</f>
        <v/>
      </c>
    </row>
    <row r="4899" spans="21:21" x14ac:dyDescent="0.25">
      <c r="U4899" s="104" t="str">
        <f>IF(
  AND(
    TRIM(A4899)=TRIM(Enginuity!$A$1),
    TRIM(B4899)=TRIM(Enginuity!$A$17),
    Q4899&lt;&gt;"",
    Q4899&lt;&gt;0,
    OR(
      TRIM(C4899)=TRIM(Enginuity!$A$18),
      AND(UPPER(TRIM(M4899))="STD", TRIM(B4899)=TRIM(Enginuity!$A$17))
    ),
    OR(
      AND(LEFT(P4899,5)="1-Way", Enginuity!$B$13=1),
      AND(LEFT(P4899,5)="2-Way", OR(Enginuity!$B$13=2, Enginuity!$B$13=4)),
      AND(LEFT(P4899,5)="3-Way", OR(Enginuity!$B$13=3, Enginuity!$B$13=6)),
      AND(P4899="Inner Centre Jamb", OR(Enginuity!$B$13=4, Enginuity!$B$13=6)),
      AND(
        LEFT(P4899,5)&lt;&gt;"1-Way",
        LEFT(P4899,5)&lt;&gt;"2-Way",
        LEFT(P4899,5)&lt;&gt;"3-Way",
        P4899&lt;&gt;"Inner Centre Jamb"
      )
    ),
    IF(OR(Enginuity!$A$1="Frameless Glass",Enginuity!$A$1="Metal Work"),
      AND(TRIM(B4899)=TRIM(Enginuity!$A$17),TRIM(C4899)=TRIM(Enginuity!$A$18)),
      TRIM(B4899)=TRIM(Enginuity!$A$17)
    )
  ),
  ROW(),
  ""
)</f>
        <v/>
      </c>
    </row>
    <row r="4900" spans="21:21" x14ac:dyDescent="0.25">
      <c r="U4900" s="104" t="str">
        <f>IF(
  AND(
    TRIM(A4900)=TRIM(Enginuity!$A$1),
    TRIM(B4900)=TRIM(Enginuity!$A$17),
    Q4900&lt;&gt;"",
    Q4900&lt;&gt;0,
    OR(
      TRIM(C4900)=TRIM(Enginuity!$A$18),
      AND(UPPER(TRIM(M4900))="STD", TRIM(B4900)=TRIM(Enginuity!$A$17))
    ),
    OR(
      AND(LEFT(P4900,5)="1-Way", Enginuity!$B$13=1),
      AND(LEFT(P4900,5)="2-Way", OR(Enginuity!$B$13=2, Enginuity!$B$13=4)),
      AND(LEFT(P4900,5)="3-Way", OR(Enginuity!$B$13=3, Enginuity!$B$13=6)),
      AND(P4900="Inner Centre Jamb", OR(Enginuity!$B$13=4, Enginuity!$B$13=6)),
      AND(
        LEFT(P4900,5)&lt;&gt;"1-Way",
        LEFT(P4900,5)&lt;&gt;"2-Way",
        LEFT(P4900,5)&lt;&gt;"3-Way",
        P4900&lt;&gt;"Inner Centre Jamb"
      )
    ),
    IF(OR(Enginuity!$A$1="Frameless Glass",Enginuity!$A$1="Metal Work"),
      AND(TRIM(B4900)=TRIM(Enginuity!$A$17),TRIM(C4900)=TRIM(Enginuity!$A$18)),
      TRIM(B4900)=TRIM(Enginuity!$A$17)
    )
  ),
  ROW(),
  ""
)</f>
        <v/>
      </c>
    </row>
    <row r="4901" spans="21:21" x14ac:dyDescent="0.25">
      <c r="U4901" s="104" t="str">
        <f>IF(
  AND(
    TRIM(A4901)=TRIM(Enginuity!$A$1),
    TRIM(B4901)=TRIM(Enginuity!$A$17),
    Q4901&lt;&gt;"",
    Q4901&lt;&gt;0,
    OR(
      TRIM(C4901)=TRIM(Enginuity!$A$18),
      AND(UPPER(TRIM(M4901))="STD", TRIM(B4901)=TRIM(Enginuity!$A$17))
    ),
    OR(
      AND(LEFT(P4901,5)="1-Way", Enginuity!$B$13=1),
      AND(LEFT(P4901,5)="2-Way", OR(Enginuity!$B$13=2, Enginuity!$B$13=4)),
      AND(LEFT(P4901,5)="3-Way", OR(Enginuity!$B$13=3, Enginuity!$B$13=6)),
      AND(P4901="Inner Centre Jamb", OR(Enginuity!$B$13=4, Enginuity!$B$13=6)),
      AND(
        LEFT(P4901,5)&lt;&gt;"1-Way",
        LEFT(P4901,5)&lt;&gt;"2-Way",
        LEFT(P4901,5)&lt;&gt;"3-Way",
        P4901&lt;&gt;"Inner Centre Jamb"
      )
    ),
    IF(OR(Enginuity!$A$1="Frameless Glass",Enginuity!$A$1="Metal Work"),
      AND(TRIM(B4901)=TRIM(Enginuity!$A$17),TRIM(C4901)=TRIM(Enginuity!$A$18)),
      TRIM(B4901)=TRIM(Enginuity!$A$17)
    )
  ),
  ROW(),
  ""
)</f>
        <v/>
      </c>
    </row>
    <row r="4902" spans="21:21" x14ac:dyDescent="0.25">
      <c r="U4902" s="104" t="str">
        <f>IF(
  AND(
    TRIM(A4902)=TRIM(Enginuity!$A$1),
    TRIM(B4902)=TRIM(Enginuity!$A$17),
    Q4902&lt;&gt;"",
    Q4902&lt;&gt;0,
    OR(
      TRIM(C4902)=TRIM(Enginuity!$A$18),
      AND(UPPER(TRIM(M4902))="STD", TRIM(B4902)=TRIM(Enginuity!$A$17))
    ),
    OR(
      AND(LEFT(P4902,5)="1-Way", Enginuity!$B$13=1),
      AND(LEFT(P4902,5)="2-Way", OR(Enginuity!$B$13=2, Enginuity!$B$13=4)),
      AND(LEFT(P4902,5)="3-Way", OR(Enginuity!$B$13=3, Enginuity!$B$13=6)),
      AND(P4902="Inner Centre Jamb", OR(Enginuity!$B$13=4, Enginuity!$B$13=6)),
      AND(
        LEFT(P4902,5)&lt;&gt;"1-Way",
        LEFT(P4902,5)&lt;&gt;"2-Way",
        LEFT(P4902,5)&lt;&gt;"3-Way",
        P4902&lt;&gt;"Inner Centre Jamb"
      )
    ),
    IF(OR(Enginuity!$A$1="Frameless Glass",Enginuity!$A$1="Metal Work"),
      AND(TRIM(B4902)=TRIM(Enginuity!$A$17),TRIM(C4902)=TRIM(Enginuity!$A$18)),
      TRIM(B4902)=TRIM(Enginuity!$A$17)
    )
  ),
  ROW(),
  ""
)</f>
        <v/>
      </c>
    </row>
    <row r="4903" spans="21:21" x14ac:dyDescent="0.25">
      <c r="U4903" s="104" t="str">
        <f>IF(
  AND(
    TRIM(A4903)=TRIM(Enginuity!$A$1),
    TRIM(B4903)=TRIM(Enginuity!$A$17),
    Q4903&lt;&gt;"",
    Q4903&lt;&gt;0,
    OR(
      TRIM(C4903)=TRIM(Enginuity!$A$18),
      AND(UPPER(TRIM(M4903))="STD", TRIM(B4903)=TRIM(Enginuity!$A$17))
    ),
    OR(
      AND(LEFT(P4903,5)="1-Way", Enginuity!$B$13=1),
      AND(LEFT(P4903,5)="2-Way", OR(Enginuity!$B$13=2, Enginuity!$B$13=4)),
      AND(LEFT(P4903,5)="3-Way", OR(Enginuity!$B$13=3, Enginuity!$B$13=6)),
      AND(P4903="Inner Centre Jamb", OR(Enginuity!$B$13=4, Enginuity!$B$13=6)),
      AND(
        LEFT(P4903,5)&lt;&gt;"1-Way",
        LEFT(P4903,5)&lt;&gt;"2-Way",
        LEFT(P4903,5)&lt;&gt;"3-Way",
        P4903&lt;&gt;"Inner Centre Jamb"
      )
    ),
    IF(OR(Enginuity!$A$1="Frameless Glass",Enginuity!$A$1="Metal Work"),
      AND(TRIM(B4903)=TRIM(Enginuity!$A$17),TRIM(C4903)=TRIM(Enginuity!$A$18)),
      TRIM(B4903)=TRIM(Enginuity!$A$17)
    )
  ),
  ROW(),
  ""
)</f>
        <v/>
      </c>
    </row>
    <row r="4904" spans="21:21" x14ac:dyDescent="0.25">
      <c r="U4904" s="104" t="str">
        <f>IF(
  AND(
    TRIM(A4904)=TRIM(Enginuity!$A$1),
    TRIM(B4904)=TRIM(Enginuity!$A$17),
    Q4904&lt;&gt;"",
    Q4904&lt;&gt;0,
    OR(
      TRIM(C4904)=TRIM(Enginuity!$A$18),
      AND(UPPER(TRIM(M4904))="STD", TRIM(B4904)=TRIM(Enginuity!$A$17))
    ),
    OR(
      AND(LEFT(P4904,5)="1-Way", Enginuity!$B$13=1),
      AND(LEFT(P4904,5)="2-Way", OR(Enginuity!$B$13=2, Enginuity!$B$13=4)),
      AND(LEFT(P4904,5)="3-Way", OR(Enginuity!$B$13=3, Enginuity!$B$13=6)),
      AND(P4904="Inner Centre Jamb", OR(Enginuity!$B$13=4, Enginuity!$B$13=6)),
      AND(
        LEFT(P4904,5)&lt;&gt;"1-Way",
        LEFT(P4904,5)&lt;&gt;"2-Way",
        LEFT(P4904,5)&lt;&gt;"3-Way",
        P4904&lt;&gt;"Inner Centre Jamb"
      )
    ),
    IF(OR(Enginuity!$A$1="Frameless Glass",Enginuity!$A$1="Metal Work"),
      AND(TRIM(B4904)=TRIM(Enginuity!$A$17),TRIM(C4904)=TRIM(Enginuity!$A$18)),
      TRIM(B4904)=TRIM(Enginuity!$A$17)
    )
  ),
  ROW(),
  ""
)</f>
        <v/>
      </c>
    </row>
    <row r="4905" spans="21:21" x14ac:dyDescent="0.25">
      <c r="U4905" s="104" t="str">
        <f>IF(
  AND(
    TRIM(A4905)=TRIM(Enginuity!$A$1),
    TRIM(B4905)=TRIM(Enginuity!$A$17),
    Q4905&lt;&gt;"",
    Q4905&lt;&gt;0,
    OR(
      TRIM(C4905)=TRIM(Enginuity!$A$18),
      AND(UPPER(TRIM(M4905))="STD", TRIM(B4905)=TRIM(Enginuity!$A$17))
    ),
    OR(
      AND(LEFT(P4905,5)="1-Way", Enginuity!$B$13=1),
      AND(LEFT(P4905,5)="2-Way", OR(Enginuity!$B$13=2, Enginuity!$B$13=4)),
      AND(LEFT(P4905,5)="3-Way", OR(Enginuity!$B$13=3, Enginuity!$B$13=6)),
      AND(P4905="Inner Centre Jamb", OR(Enginuity!$B$13=4, Enginuity!$B$13=6)),
      AND(
        LEFT(P4905,5)&lt;&gt;"1-Way",
        LEFT(P4905,5)&lt;&gt;"2-Way",
        LEFT(P4905,5)&lt;&gt;"3-Way",
        P4905&lt;&gt;"Inner Centre Jamb"
      )
    ),
    IF(OR(Enginuity!$A$1="Frameless Glass",Enginuity!$A$1="Metal Work"),
      AND(TRIM(B4905)=TRIM(Enginuity!$A$17),TRIM(C4905)=TRIM(Enginuity!$A$18)),
      TRIM(B4905)=TRIM(Enginuity!$A$17)
    )
  ),
  ROW(),
  ""
)</f>
        <v/>
      </c>
    </row>
    <row r="4906" spans="21:21" x14ac:dyDescent="0.25">
      <c r="U4906" s="104" t="str">
        <f>IF(
  AND(
    TRIM(A4906)=TRIM(Enginuity!$A$1),
    TRIM(B4906)=TRIM(Enginuity!$A$17),
    Q4906&lt;&gt;"",
    Q4906&lt;&gt;0,
    OR(
      TRIM(C4906)=TRIM(Enginuity!$A$18),
      AND(UPPER(TRIM(M4906))="STD", TRIM(B4906)=TRIM(Enginuity!$A$17))
    ),
    OR(
      AND(LEFT(P4906,5)="1-Way", Enginuity!$B$13=1),
      AND(LEFT(P4906,5)="2-Way", OR(Enginuity!$B$13=2, Enginuity!$B$13=4)),
      AND(LEFT(P4906,5)="3-Way", OR(Enginuity!$B$13=3, Enginuity!$B$13=6)),
      AND(P4906="Inner Centre Jamb", OR(Enginuity!$B$13=4, Enginuity!$B$13=6)),
      AND(
        LEFT(P4906,5)&lt;&gt;"1-Way",
        LEFT(P4906,5)&lt;&gt;"2-Way",
        LEFT(P4906,5)&lt;&gt;"3-Way",
        P4906&lt;&gt;"Inner Centre Jamb"
      )
    ),
    IF(OR(Enginuity!$A$1="Frameless Glass",Enginuity!$A$1="Metal Work"),
      AND(TRIM(B4906)=TRIM(Enginuity!$A$17),TRIM(C4906)=TRIM(Enginuity!$A$18)),
      TRIM(B4906)=TRIM(Enginuity!$A$17)
    )
  ),
  ROW(),
  ""
)</f>
        <v/>
      </c>
    </row>
    <row r="4907" spans="21:21" x14ac:dyDescent="0.25">
      <c r="U4907" s="104" t="str">
        <f>IF(
  AND(
    TRIM(A4907)=TRIM(Enginuity!$A$1),
    TRIM(B4907)=TRIM(Enginuity!$A$17),
    Q4907&lt;&gt;"",
    Q4907&lt;&gt;0,
    OR(
      TRIM(C4907)=TRIM(Enginuity!$A$18),
      AND(UPPER(TRIM(M4907))="STD", TRIM(B4907)=TRIM(Enginuity!$A$17))
    ),
    OR(
      AND(LEFT(P4907,5)="1-Way", Enginuity!$B$13=1),
      AND(LEFT(P4907,5)="2-Way", OR(Enginuity!$B$13=2, Enginuity!$B$13=4)),
      AND(LEFT(P4907,5)="3-Way", OR(Enginuity!$B$13=3, Enginuity!$B$13=6)),
      AND(P4907="Inner Centre Jamb", OR(Enginuity!$B$13=4, Enginuity!$B$13=6)),
      AND(
        LEFT(P4907,5)&lt;&gt;"1-Way",
        LEFT(P4907,5)&lt;&gt;"2-Way",
        LEFT(P4907,5)&lt;&gt;"3-Way",
        P4907&lt;&gt;"Inner Centre Jamb"
      )
    ),
    IF(OR(Enginuity!$A$1="Frameless Glass",Enginuity!$A$1="Metal Work"),
      AND(TRIM(B4907)=TRIM(Enginuity!$A$17),TRIM(C4907)=TRIM(Enginuity!$A$18)),
      TRIM(B4907)=TRIM(Enginuity!$A$17)
    )
  ),
  ROW(),
  ""
)</f>
        <v/>
      </c>
    </row>
    <row r="4908" spans="21:21" x14ac:dyDescent="0.25">
      <c r="U4908" s="104" t="str">
        <f>IF(
  AND(
    TRIM(A4908)=TRIM(Enginuity!$A$1),
    TRIM(B4908)=TRIM(Enginuity!$A$17),
    Q4908&lt;&gt;"",
    Q4908&lt;&gt;0,
    OR(
      TRIM(C4908)=TRIM(Enginuity!$A$18),
      AND(UPPER(TRIM(M4908))="STD", TRIM(B4908)=TRIM(Enginuity!$A$17))
    ),
    OR(
      AND(LEFT(P4908,5)="1-Way", Enginuity!$B$13=1),
      AND(LEFT(P4908,5)="2-Way", OR(Enginuity!$B$13=2, Enginuity!$B$13=4)),
      AND(LEFT(P4908,5)="3-Way", OR(Enginuity!$B$13=3, Enginuity!$B$13=6)),
      AND(P4908="Inner Centre Jamb", OR(Enginuity!$B$13=4, Enginuity!$B$13=6)),
      AND(
        LEFT(P4908,5)&lt;&gt;"1-Way",
        LEFT(P4908,5)&lt;&gt;"2-Way",
        LEFT(P4908,5)&lt;&gt;"3-Way",
        P4908&lt;&gt;"Inner Centre Jamb"
      )
    ),
    IF(OR(Enginuity!$A$1="Frameless Glass",Enginuity!$A$1="Metal Work"),
      AND(TRIM(B4908)=TRIM(Enginuity!$A$17),TRIM(C4908)=TRIM(Enginuity!$A$18)),
      TRIM(B4908)=TRIM(Enginuity!$A$17)
    )
  ),
  ROW(),
  ""
)</f>
        <v/>
      </c>
    </row>
    <row r="4909" spans="21:21" x14ac:dyDescent="0.25">
      <c r="U4909" s="104" t="str">
        <f>IF(
  AND(
    TRIM(A4909)=TRIM(Enginuity!$A$1),
    TRIM(B4909)=TRIM(Enginuity!$A$17),
    Q4909&lt;&gt;"",
    Q4909&lt;&gt;0,
    OR(
      TRIM(C4909)=TRIM(Enginuity!$A$18),
      AND(UPPER(TRIM(M4909))="STD", TRIM(B4909)=TRIM(Enginuity!$A$17))
    ),
    OR(
      AND(LEFT(P4909,5)="1-Way", Enginuity!$B$13=1),
      AND(LEFT(P4909,5)="2-Way", OR(Enginuity!$B$13=2, Enginuity!$B$13=4)),
      AND(LEFT(P4909,5)="3-Way", OR(Enginuity!$B$13=3, Enginuity!$B$13=6)),
      AND(P4909="Inner Centre Jamb", OR(Enginuity!$B$13=4, Enginuity!$B$13=6)),
      AND(
        LEFT(P4909,5)&lt;&gt;"1-Way",
        LEFT(P4909,5)&lt;&gt;"2-Way",
        LEFT(P4909,5)&lt;&gt;"3-Way",
        P4909&lt;&gt;"Inner Centre Jamb"
      )
    ),
    IF(OR(Enginuity!$A$1="Frameless Glass",Enginuity!$A$1="Metal Work"),
      AND(TRIM(B4909)=TRIM(Enginuity!$A$17),TRIM(C4909)=TRIM(Enginuity!$A$18)),
      TRIM(B4909)=TRIM(Enginuity!$A$17)
    )
  ),
  ROW(),
  ""
)</f>
        <v/>
      </c>
    </row>
    <row r="4910" spans="21:21" x14ac:dyDescent="0.25">
      <c r="U4910" s="104" t="str">
        <f>IF(
  AND(
    TRIM(A4910)=TRIM(Enginuity!$A$1),
    TRIM(B4910)=TRIM(Enginuity!$A$17),
    Q4910&lt;&gt;"",
    Q4910&lt;&gt;0,
    OR(
      TRIM(C4910)=TRIM(Enginuity!$A$18),
      AND(UPPER(TRIM(M4910))="STD", TRIM(B4910)=TRIM(Enginuity!$A$17))
    ),
    OR(
      AND(LEFT(P4910,5)="1-Way", Enginuity!$B$13=1),
      AND(LEFT(P4910,5)="2-Way", OR(Enginuity!$B$13=2, Enginuity!$B$13=4)),
      AND(LEFT(P4910,5)="3-Way", OR(Enginuity!$B$13=3, Enginuity!$B$13=6)),
      AND(P4910="Inner Centre Jamb", OR(Enginuity!$B$13=4, Enginuity!$B$13=6)),
      AND(
        LEFT(P4910,5)&lt;&gt;"1-Way",
        LEFT(P4910,5)&lt;&gt;"2-Way",
        LEFT(P4910,5)&lt;&gt;"3-Way",
        P4910&lt;&gt;"Inner Centre Jamb"
      )
    ),
    IF(OR(Enginuity!$A$1="Frameless Glass",Enginuity!$A$1="Metal Work"),
      AND(TRIM(B4910)=TRIM(Enginuity!$A$17),TRIM(C4910)=TRIM(Enginuity!$A$18)),
      TRIM(B4910)=TRIM(Enginuity!$A$17)
    )
  ),
  ROW(),
  ""
)</f>
        <v/>
      </c>
    </row>
    <row r="4911" spans="21:21" x14ac:dyDescent="0.25">
      <c r="U4911" s="104" t="str">
        <f>IF(
  AND(
    TRIM(A4911)=TRIM(Enginuity!$A$1),
    TRIM(B4911)=TRIM(Enginuity!$A$17),
    Q4911&lt;&gt;"",
    Q4911&lt;&gt;0,
    OR(
      TRIM(C4911)=TRIM(Enginuity!$A$18),
      AND(UPPER(TRIM(M4911))="STD", TRIM(B4911)=TRIM(Enginuity!$A$17))
    ),
    OR(
      AND(LEFT(P4911,5)="1-Way", Enginuity!$B$13=1),
      AND(LEFT(P4911,5)="2-Way", OR(Enginuity!$B$13=2, Enginuity!$B$13=4)),
      AND(LEFT(P4911,5)="3-Way", OR(Enginuity!$B$13=3, Enginuity!$B$13=6)),
      AND(P4911="Inner Centre Jamb", OR(Enginuity!$B$13=4, Enginuity!$B$13=6)),
      AND(
        LEFT(P4911,5)&lt;&gt;"1-Way",
        LEFT(P4911,5)&lt;&gt;"2-Way",
        LEFT(P4911,5)&lt;&gt;"3-Way",
        P4911&lt;&gt;"Inner Centre Jamb"
      )
    ),
    IF(OR(Enginuity!$A$1="Frameless Glass",Enginuity!$A$1="Metal Work"),
      AND(TRIM(B4911)=TRIM(Enginuity!$A$17),TRIM(C4911)=TRIM(Enginuity!$A$18)),
      TRIM(B4911)=TRIM(Enginuity!$A$17)
    )
  ),
  ROW(),
  ""
)</f>
        <v/>
      </c>
    </row>
    <row r="4912" spans="21:21" x14ac:dyDescent="0.25">
      <c r="U4912" s="104" t="str">
        <f>IF(
  AND(
    TRIM(A4912)=TRIM(Enginuity!$A$1),
    TRIM(B4912)=TRIM(Enginuity!$A$17),
    Q4912&lt;&gt;"",
    Q4912&lt;&gt;0,
    OR(
      TRIM(C4912)=TRIM(Enginuity!$A$18),
      AND(UPPER(TRIM(M4912))="STD", TRIM(B4912)=TRIM(Enginuity!$A$17))
    ),
    OR(
      AND(LEFT(P4912,5)="1-Way", Enginuity!$B$13=1),
      AND(LEFT(P4912,5)="2-Way", OR(Enginuity!$B$13=2, Enginuity!$B$13=4)),
      AND(LEFT(P4912,5)="3-Way", OR(Enginuity!$B$13=3, Enginuity!$B$13=6)),
      AND(P4912="Inner Centre Jamb", OR(Enginuity!$B$13=4, Enginuity!$B$13=6)),
      AND(
        LEFT(P4912,5)&lt;&gt;"1-Way",
        LEFT(P4912,5)&lt;&gt;"2-Way",
        LEFT(P4912,5)&lt;&gt;"3-Way",
        P4912&lt;&gt;"Inner Centre Jamb"
      )
    ),
    IF(OR(Enginuity!$A$1="Frameless Glass",Enginuity!$A$1="Metal Work"),
      AND(TRIM(B4912)=TRIM(Enginuity!$A$17),TRIM(C4912)=TRIM(Enginuity!$A$18)),
      TRIM(B4912)=TRIM(Enginuity!$A$17)
    )
  ),
  ROW(),
  ""
)</f>
        <v/>
      </c>
    </row>
    <row r="4913" spans="21:21" x14ac:dyDescent="0.25">
      <c r="U4913" s="104" t="str">
        <f>IF(
  AND(
    TRIM(A4913)=TRIM(Enginuity!$A$1),
    TRIM(B4913)=TRIM(Enginuity!$A$17),
    Q4913&lt;&gt;"",
    Q4913&lt;&gt;0,
    OR(
      TRIM(C4913)=TRIM(Enginuity!$A$18),
      AND(UPPER(TRIM(M4913))="STD", TRIM(B4913)=TRIM(Enginuity!$A$17))
    ),
    OR(
      AND(LEFT(P4913,5)="1-Way", Enginuity!$B$13=1),
      AND(LEFT(P4913,5)="2-Way", OR(Enginuity!$B$13=2, Enginuity!$B$13=4)),
      AND(LEFT(P4913,5)="3-Way", OR(Enginuity!$B$13=3, Enginuity!$B$13=6)),
      AND(P4913="Inner Centre Jamb", OR(Enginuity!$B$13=4, Enginuity!$B$13=6)),
      AND(
        LEFT(P4913,5)&lt;&gt;"1-Way",
        LEFT(P4913,5)&lt;&gt;"2-Way",
        LEFT(P4913,5)&lt;&gt;"3-Way",
        P4913&lt;&gt;"Inner Centre Jamb"
      )
    ),
    IF(OR(Enginuity!$A$1="Frameless Glass",Enginuity!$A$1="Metal Work"),
      AND(TRIM(B4913)=TRIM(Enginuity!$A$17),TRIM(C4913)=TRIM(Enginuity!$A$18)),
      TRIM(B4913)=TRIM(Enginuity!$A$17)
    )
  ),
  ROW(),
  ""
)</f>
        <v/>
      </c>
    </row>
    <row r="4914" spans="21:21" x14ac:dyDescent="0.25">
      <c r="U4914" s="104" t="str">
        <f>IF(
  AND(
    TRIM(A4914)=TRIM(Enginuity!$A$1),
    TRIM(B4914)=TRIM(Enginuity!$A$17),
    Q4914&lt;&gt;"",
    Q4914&lt;&gt;0,
    OR(
      TRIM(C4914)=TRIM(Enginuity!$A$18),
      AND(UPPER(TRIM(M4914))="STD", TRIM(B4914)=TRIM(Enginuity!$A$17))
    ),
    OR(
      AND(LEFT(P4914,5)="1-Way", Enginuity!$B$13=1),
      AND(LEFT(P4914,5)="2-Way", OR(Enginuity!$B$13=2, Enginuity!$B$13=4)),
      AND(LEFT(P4914,5)="3-Way", OR(Enginuity!$B$13=3, Enginuity!$B$13=6)),
      AND(P4914="Inner Centre Jamb", OR(Enginuity!$B$13=4, Enginuity!$B$13=6)),
      AND(
        LEFT(P4914,5)&lt;&gt;"1-Way",
        LEFT(P4914,5)&lt;&gt;"2-Way",
        LEFT(P4914,5)&lt;&gt;"3-Way",
        P4914&lt;&gt;"Inner Centre Jamb"
      )
    ),
    IF(OR(Enginuity!$A$1="Frameless Glass",Enginuity!$A$1="Metal Work"),
      AND(TRIM(B4914)=TRIM(Enginuity!$A$17),TRIM(C4914)=TRIM(Enginuity!$A$18)),
      TRIM(B4914)=TRIM(Enginuity!$A$17)
    )
  ),
  ROW(),
  ""
)</f>
        <v/>
      </c>
    </row>
    <row r="4915" spans="21:21" x14ac:dyDescent="0.25">
      <c r="U4915" s="104" t="str">
        <f>IF(
  AND(
    TRIM(A4915)=TRIM(Enginuity!$A$1),
    TRIM(B4915)=TRIM(Enginuity!$A$17),
    Q4915&lt;&gt;"",
    Q4915&lt;&gt;0,
    OR(
      TRIM(C4915)=TRIM(Enginuity!$A$18),
      AND(UPPER(TRIM(M4915))="STD", TRIM(B4915)=TRIM(Enginuity!$A$17))
    ),
    OR(
      AND(LEFT(P4915,5)="1-Way", Enginuity!$B$13=1),
      AND(LEFT(P4915,5)="2-Way", OR(Enginuity!$B$13=2, Enginuity!$B$13=4)),
      AND(LEFT(P4915,5)="3-Way", OR(Enginuity!$B$13=3, Enginuity!$B$13=6)),
      AND(P4915="Inner Centre Jamb", OR(Enginuity!$B$13=4, Enginuity!$B$13=6)),
      AND(
        LEFT(P4915,5)&lt;&gt;"1-Way",
        LEFT(P4915,5)&lt;&gt;"2-Way",
        LEFT(P4915,5)&lt;&gt;"3-Way",
        P4915&lt;&gt;"Inner Centre Jamb"
      )
    ),
    IF(OR(Enginuity!$A$1="Frameless Glass",Enginuity!$A$1="Metal Work"),
      AND(TRIM(B4915)=TRIM(Enginuity!$A$17),TRIM(C4915)=TRIM(Enginuity!$A$18)),
      TRIM(B4915)=TRIM(Enginuity!$A$17)
    )
  ),
  ROW(),
  ""
)</f>
        <v/>
      </c>
    </row>
    <row r="4916" spans="21:21" x14ac:dyDescent="0.25">
      <c r="U4916" s="104" t="str">
        <f>IF(
  AND(
    TRIM(A4916)=TRIM(Enginuity!$A$1),
    TRIM(B4916)=TRIM(Enginuity!$A$17),
    Q4916&lt;&gt;"",
    Q4916&lt;&gt;0,
    OR(
      TRIM(C4916)=TRIM(Enginuity!$A$18),
      AND(UPPER(TRIM(M4916))="STD", TRIM(B4916)=TRIM(Enginuity!$A$17))
    ),
    OR(
      AND(LEFT(P4916,5)="1-Way", Enginuity!$B$13=1),
      AND(LEFT(P4916,5)="2-Way", OR(Enginuity!$B$13=2, Enginuity!$B$13=4)),
      AND(LEFT(P4916,5)="3-Way", OR(Enginuity!$B$13=3, Enginuity!$B$13=6)),
      AND(P4916="Inner Centre Jamb", OR(Enginuity!$B$13=4, Enginuity!$B$13=6)),
      AND(
        LEFT(P4916,5)&lt;&gt;"1-Way",
        LEFT(P4916,5)&lt;&gt;"2-Way",
        LEFT(P4916,5)&lt;&gt;"3-Way",
        P4916&lt;&gt;"Inner Centre Jamb"
      )
    ),
    IF(OR(Enginuity!$A$1="Frameless Glass",Enginuity!$A$1="Metal Work"),
      AND(TRIM(B4916)=TRIM(Enginuity!$A$17),TRIM(C4916)=TRIM(Enginuity!$A$18)),
      TRIM(B4916)=TRIM(Enginuity!$A$17)
    )
  ),
  ROW(),
  ""
)</f>
        <v/>
      </c>
    </row>
    <row r="4917" spans="21:21" x14ac:dyDescent="0.25">
      <c r="U4917" s="104" t="str">
        <f>IF(
  AND(
    TRIM(A4917)=TRIM(Enginuity!$A$1),
    TRIM(B4917)=TRIM(Enginuity!$A$17),
    Q4917&lt;&gt;"",
    Q4917&lt;&gt;0,
    OR(
      TRIM(C4917)=TRIM(Enginuity!$A$18),
      AND(UPPER(TRIM(M4917))="STD", TRIM(B4917)=TRIM(Enginuity!$A$17))
    ),
    OR(
      AND(LEFT(P4917,5)="1-Way", Enginuity!$B$13=1),
      AND(LEFT(P4917,5)="2-Way", OR(Enginuity!$B$13=2, Enginuity!$B$13=4)),
      AND(LEFT(P4917,5)="3-Way", OR(Enginuity!$B$13=3, Enginuity!$B$13=6)),
      AND(P4917="Inner Centre Jamb", OR(Enginuity!$B$13=4, Enginuity!$B$13=6)),
      AND(
        LEFT(P4917,5)&lt;&gt;"1-Way",
        LEFT(P4917,5)&lt;&gt;"2-Way",
        LEFT(P4917,5)&lt;&gt;"3-Way",
        P4917&lt;&gt;"Inner Centre Jamb"
      )
    ),
    IF(OR(Enginuity!$A$1="Frameless Glass",Enginuity!$A$1="Metal Work"),
      AND(TRIM(B4917)=TRIM(Enginuity!$A$17),TRIM(C4917)=TRIM(Enginuity!$A$18)),
      TRIM(B4917)=TRIM(Enginuity!$A$17)
    )
  ),
  ROW(),
  ""
)</f>
        <v/>
      </c>
    </row>
    <row r="4918" spans="21:21" x14ac:dyDescent="0.25">
      <c r="U4918" s="104" t="str">
        <f>IF(
  AND(
    TRIM(A4918)=TRIM(Enginuity!$A$1),
    TRIM(B4918)=TRIM(Enginuity!$A$17),
    Q4918&lt;&gt;"",
    Q4918&lt;&gt;0,
    OR(
      TRIM(C4918)=TRIM(Enginuity!$A$18),
      AND(UPPER(TRIM(M4918))="STD", TRIM(B4918)=TRIM(Enginuity!$A$17))
    ),
    OR(
      AND(LEFT(P4918,5)="1-Way", Enginuity!$B$13=1),
      AND(LEFT(P4918,5)="2-Way", OR(Enginuity!$B$13=2, Enginuity!$B$13=4)),
      AND(LEFT(P4918,5)="3-Way", OR(Enginuity!$B$13=3, Enginuity!$B$13=6)),
      AND(P4918="Inner Centre Jamb", OR(Enginuity!$B$13=4, Enginuity!$B$13=6)),
      AND(
        LEFT(P4918,5)&lt;&gt;"1-Way",
        LEFT(P4918,5)&lt;&gt;"2-Way",
        LEFT(P4918,5)&lt;&gt;"3-Way",
        P4918&lt;&gt;"Inner Centre Jamb"
      )
    ),
    IF(OR(Enginuity!$A$1="Frameless Glass",Enginuity!$A$1="Metal Work"),
      AND(TRIM(B4918)=TRIM(Enginuity!$A$17),TRIM(C4918)=TRIM(Enginuity!$A$18)),
      TRIM(B4918)=TRIM(Enginuity!$A$17)
    )
  ),
  ROW(),
  ""
)</f>
        <v/>
      </c>
    </row>
    <row r="4919" spans="21:21" x14ac:dyDescent="0.25">
      <c r="U4919" s="104" t="str">
        <f>IF(
  AND(
    TRIM(A4919)=TRIM(Enginuity!$A$1),
    TRIM(B4919)=TRIM(Enginuity!$A$17),
    Q4919&lt;&gt;"",
    Q4919&lt;&gt;0,
    OR(
      TRIM(C4919)=TRIM(Enginuity!$A$18),
      AND(UPPER(TRIM(M4919))="STD", TRIM(B4919)=TRIM(Enginuity!$A$17))
    ),
    OR(
      AND(LEFT(P4919,5)="1-Way", Enginuity!$B$13=1),
      AND(LEFT(P4919,5)="2-Way", OR(Enginuity!$B$13=2, Enginuity!$B$13=4)),
      AND(LEFT(P4919,5)="3-Way", OR(Enginuity!$B$13=3, Enginuity!$B$13=6)),
      AND(P4919="Inner Centre Jamb", OR(Enginuity!$B$13=4, Enginuity!$B$13=6)),
      AND(
        LEFT(P4919,5)&lt;&gt;"1-Way",
        LEFT(P4919,5)&lt;&gt;"2-Way",
        LEFT(P4919,5)&lt;&gt;"3-Way",
        P4919&lt;&gt;"Inner Centre Jamb"
      )
    ),
    IF(OR(Enginuity!$A$1="Frameless Glass",Enginuity!$A$1="Metal Work"),
      AND(TRIM(B4919)=TRIM(Enginuity!$A$17),TRIM(C4919)=TRIM(Enginuity!$A$18)),
      TRIM(B4919)=TRIM(Enginuity!$A$17)
    )
  ),
  ROW(),
  ""
)</f>
        <v/>
      </c>
    </row>
    <row r="4920" spans="21:21" x14ac:dyDescent="0.25">
      <c r="U4920" s="104" t="str">
        <f>IF(
  AND(
    TRIM(A4920)=TRIM(Enginuity!$A$1),
    TRIM(B4920)=TRIM(Enginuity!$A$17),
    Q4920&lt;&gt;"",
    Q4920&lt;&gt;0,
    OR(
      TRIM(C4920)=TRIM(Enginuity!$A$18),
      AND(UPPER(TRIM(M4920))="STD", TRIM(B4920)=TRIM(Enginuity!$A$17))
    ),
    OR(
      AND(LEFT(P4920,5)="1-Way", Enginuity!$B$13=1),
      AND(LEFT(P4920,5)="2-Way", OR(Enginuity!$B$13=2, Enginuity!$B$13=4)),
      AND(LEFT(P4920,5)="3-Way", OR(Enginuity!$B$13=3, Enginuity!$B$13=6)),
      AND(P4920="Inner Centre Jamb", OR(Enginuity!$B$13=4, Enginuity!$B$13=6)),
      AND(
        LEFT(P4920,5)&lt;&gt;"1-Way",
        LEFT(P4920,5)&lt;&gt;"2-Way",
        LEFT(P4920,5)&lt;&gt;"3-Way",
        P4920&lt;&gt;"Inner Centre Jamb"
      )
    ),
    IF(OR(Enginuity!$A$1="Frameless Glass",Enginuity!$A$1="Metal Work"),
      AND(TRIM(B4920)=TRIM(Enginuity!$A$17),TRIM(C4920)=TRIM(Enginuity!$A$18)),
      TRIM(B4920)=TRIM(Enginuity!$A$17)
    )
  ),
  ROW(),
  ""
)</f>
        <v/>
      </c>
    </row>
    <row r="4921" spans="21:21" x14ac:dyDescent="0.25">
      <c r="U4921" s="104" t="str">
        <f>IF(
  AND(
    TRIM(A4921)=TRIM(Enginuity!$A$1),
    TRIM(B4921)=TRIM(Enginuity!$A$17),
    Q4921&lt;&gt;"",
    Q4921&lt;&gt;0,
    OR(
      TRIM(C4921)=TRIM(Enginuity!$A$18),
      AND(UPPER(TRIM(M4921))="STD", TRIM(B4921)=TRIM(Enginuity!$A$17))
    ),
    OR(
      AND(LEFT(P4921,5)="1-Way", Enginuity!$B$13=1),
      AND(LEFT(P4921,5)="2-Way", OR(Enginuity!$B$13=2, Enginuity!$B$13=4)),
      AND(LEFT(P4921,5)="3-Way", OR(Enginuity!$B$13=3, Enginuity!$B$13=6)),
      AND(P4921="Inner Centre Jamb", OR(Enginuity!$B$13=4, Enginuity!$B$13=6)),
      AND(
        LEFT(P4921,5)&lt;&gt;"1-Way",
        LEFT(P4921,5)&lt;&gt;"2-Way",
        LEFT(P4921,5)&lt;&gt;"3-Way",
        P4921&lt;&gt;"Inner Centre Jamb"
      )
    ),
    IF(OR(Enginuity!$A$1="Frameless Glass",Enginuity!$A$1="Metal Work"),
      AND(TRIM(B4921)=TRIM(Enginuity!$A$17),TRIM(C4921)=TRIM(Enginuity!$A$18)),
      TRIM(B4921)=TRIM(Enginuity!$A$17)
    )
  ),
  ROW(),
  ""
)</f>
        <v/>
      </c>
    </row>
    <row r="4922" spans="21:21" x14ac:dyDescent="0.25">
      <c r="U4922" s="104" t="str">
        <f>IF(
  AND(
    TRIM(A4922)=TRIM(Enginuity!$A$1),
    TRIM(B4922)=TRIM(Enginuity!$A$17),
    Q4922&lt;&gt;"",
    Q4922&lt;&gt;0,
    OR(
      TRIM(C4922)=TRIM(Enginuity!$A$18),
      AND(UPPER(TRIM(M4922))="STD", TRIM(B4922)=TRIM(Enginuity!$A$17))
    ),
    OR(
      AND(LEFT(P4922,5)="1-Way", Enginuity!$B$13=1),
      AND(LEFT(P4922,5)="2-Way", OR(Enginuity!$B$13=2, Enginuity!$B$13=4)),
      AND(LEFT(P4922,5)="3-Way", OR(Enginuity!$B$13=3, Enginuity!$B$13=6)),
      AND(P4922="Inner Centre Jamb", OR(Enginuity!$B$13=4, Enginuity!$B$13=6)),
      AND(
        LEFT(P4922,5)&lt;&gt;"1-Way",
        LEFT(P4922,5)&lt;&gt;"2-Way",
        LEFT(P4922,5)&lt;&gt;"3-Way",
        P4922&lt;&gt;"Inner Centre Jamb"
      )
    ),
    IF(OR(Enginuity!$A$1="Frameless Glass",Enginuity!$A$1="Metal Work"),
      AND(TRIM(B4922)=TRIM(Enginuity!$A$17),TRIM(C4922)=TRIM(Enginuity!$A$18)),
      TRIM(B4922)=TRIM(Enginuity!$A$17)
    )
  ),
  ROW(),
  ""
)</f>
        <v/>
      </c>
    </row>
    <row r="4923" spans="21:21" x14ac:dyDescent="0.25">
      <c r="U4923" s="104" t="str">
        <f>IF(
  AND(
    TRIM(A4923)=TRIM(Enginuity!$A$1),
    TRIM(B4923)=TRIM(Enginuity!$A$17),
    Q4923&lt;&gt;"",
    Q4923&lt;&gt;0,
    OR(
      TRIM(C4923)=TRIM(Enginuity!$A$18),
      AND(UPPER(TRIM(M4923))="STD", TRIM(B4923)=TRIM(Enginuity!$A$17))
    ),
    OR(
      AND(LEFT(P4923,5)="1-Way", Enginuity!$B$13=1),
      AND(LEFT(P4923,5)="2-Way", OR(Enginuity!$B$13=2, Enginuity!$B$13=4)),
      AND(LEFT(P4923,5)="3-Way", OR(Enginuity!$B$13=3, Enginuity!$B$13=6)),
      AND(P4923="Inner Centre Jamb", OR(Enginuity!$B$13=4, Enginuity!$B$13=6)),
      AND(
        LEFT(P4923,5)&lt;&gt;"1-Way",
        LEFT(P4923,5)&lt;&gt;"2-Way",
        LEFT(P4923,5)&lt;&gt;"3-Way",
        P4923&lt;&gt;"Inner Centre Jamb"
      )
    ),
    IF(OR(Enginuity!$A$1="Frameless Glass",Enginuity!$A$1="Metal Work"),
      AND(TRIM(B4923)=TRIM(Enginuity!$A$17),TRIM(C4923)=TRIM(Enginuity!$A$18)),
      TRIM(B4923)=TRIM(Enginuity!$A$17)
    )
  ),
  ROW(),
  ""
)</f>
        <v/>
      </c>
    </row>
    <row r="4924" spans="21:21" x14ac:dyDescent="0.25">
      <c r="U4924" s="104" t="str">
        <f>IF(
  AND(
    TRIM(A4924)=TRIM(Enginuity!$A$1),
    TRIM(B4924)=TRIM(Enginuity!$A$17),
    Q4924&lt;&gt;"",
    Q4924&lt;&gt;0,
    OR(
      TRIM(C4924)=TRIM(Enginuity!$A$18),
      AND(UPPER(TRIM(M4924))="STD", TRIM(B4924)=TRIM(Enginuity!$A$17))
    ),
    OR(
      AND(LEFT(P4924,5)="1-Way", Enginuity!$B$13=1),
      AND(LEFT(P4924,5)="2-Way", OR(Enginuity!$B$13=2, Enginuity!$B$13=4)),
      AND(LEFT(P4924,5)="3-Way", OR(Enginuity!$B$13=3, Enginuity!$B$13=6)),
      AND(P4924="Inner Centre Jamb", OR(Enginuity!$B$13=4, Enginuity!$B$13=6)),
      AND(
        LEFT(P4924,5)&lt;&gt;"1-Way",
        LEFT(P4924,5)&lt;&gt;"2-Way",
        LEFT(P4924,5)&lt;&gt;"3-Way",
        P4924&lt;&gt;"Inner Centre Jamb"
      )
    ),
    IF(OR(Enginuity!$A$1="Frameless Glass",Enginuity!$A$1="Metal Work"),
      AND(TRIM(B4924)=TRIM(Enginuity!$A$17),TRIM(C4924)=TRIM(Enginuity!$A$18)),
      TRIM(B4924)=TRIM(Enginuity!$A$17)
    )
  ),
  ROW(),
  ""
)</f>
        <v/>
      </c>
    </row>
    <row r="4925" spans="21:21" x14ac:dyDescent="0.25">
      <c r="U4925" s="104" t="str">
        <f>IF(
  AND(
    TRIM(A4925)=TRIM(Enginuity!$A$1),
    TRIM(B4925)=TRIM(Enginuity!$A$17),
    Q4925&lt;&gt;"",
    Q4925&lt;&gt;0,
    OR(
      TRIM(C4925)=TRIM(Enginuity!$A$18),
      AND(UPPER(TRIM(M4925))="STD", TRIM(B4925)=TRIM(Enginuity!$A$17))
    ),
    OR(
      AND(LEFT(P4925,5)="1-Way", Enginuity!$B$13=1),
      AND(LEFT(P4925,5)="2-Way", OR(Enginuity!$B$13=2, Enginuity!$B$13=4)),
      AND(LEFT(P4925,5)="3-Way", OR(Enginuity!$B$13=3, Enginuity!$B$13=6)),
      AND(P4925="Inner Centre Jamb", OR(Enginuity!$B$13=4, Enginuity!$B$13=6)),
      AND(
        LEFT(P4925,5)&lt;&gt;"1-Way",
        LEFT(P4925,5)&lt;&gt;"2-Way",
        LEFT(P4925,5)&lt;&gt;"3-Way",
        P4925&lt;&gt;"Inner Centre Jamb"
      )
    ),
    IF(OR(Enginuity!$A$1="Frameless Glass",Enginuity!$A$1="Metal Work"),
      AND(TRIM(B4925)=TRIM(Enginuity!$A$17),TRIM(C4925)=TRIM(Enginuity!$A$18)),
      TRIM(B4925)=TRIM(Enginuity!$A$17)
    )
  ),
  ROW(),
  ""
)</f>
        <v/>
      </c>
    </row>
    <row r="4926" spans="21:21" x14ac:dyDescent="0.25">
      <c r="U4926" s="104" t="str">
        <f>IF(
  AND(
    TRIM(A4926)=TRIM(Enginuity!$A$1),
    TRIM(B4926)=TRIM(Enginuity!$A$17),
    Q4926&lt;&gt;"",
    Q4926&lt;&gt;0,
    OR(
      TRIM(C4926)=TRIM(Enginuity!$A$18),
      AND(UPPER(TRIM(M4926))="STD", TRIM(B4926)=TRIM(Enginuity!$A$17))
    ),
    OR(
      AND(LEFT(P4926,5)="1-Way", Enginuity!$B$13=1),
      AND(LEFT(P4926,5)="2-Way", OR(Enginuity!$B$13=2, Enginuity!$B$13=4)),
      AND(LEFT(P4926,5)="3-Way", OR(Enginuity!$B$13=3, Enginuity!$B$13=6)),
      AND(P4926="Inner Centre Jamb", OR(Enginuity!$B$13=4, Enginuity!$B$13=6)),
      AND(
        LEFT(P4926,5)&lt;&gt;"1-Way",
        LEFT(P4926,5)&lt;&gt;"2-Way",
        LEFT(P4926,5)&lt;&gt;"3-Way",
        P4926&lt;&gt;"Inner Centre Jamb"
      )
    ),
    IF(OR(Enginuity!$A$1="Frameless Glass",Enginuity!$A$1="Metal Work"),
      AND(TRIM(B4926)=TRIM(Enginuity!$A$17),TRIM(C4926)=TRIM(Enginuity!$A$18)),
      TRIM(B4926)=TRIM(Enginuity!$A$17)
    )
  ),
  ROW(),
  ""
)</f>
        <v/>
      </c>
    </row>
    <row r="4927" spans="21:21" x14ac:dyDescent="0.25">
      <c r="U4927" s="104" t="str">
        <f>IF(
  AND(
    TRIM(A4927)=TRIM(Enginuity!$A$1),
    TRIM(B4927)=TRIM(Enginuity!$A$17),
    Q4927&lt;&gt;"",
    Q4927&lt;&gt;0,
    OR(
      TRIM(C4927)=TRIM(Enginuity!$A$18),
      AND(UPPER(TRIM(M4927))="STD", TRIM(B4927)=TRIM(Enginuity!$A$17))
    ),
    OR(
      AND(LEFT(P4927,5)="1-Way", Enginuity!$B$13=1),
      AND(LEFT(P4927,5)="2-Way", OR(Enginuity!$B$13=2, Enginuity!$B$13=4)),
      AND(LEFT(P4927,5)="3-Way", OR(Enginuity!$B$13=3, Enginuity!$B$13=6)),
      AND(P4927="Inner Centre Jamb", OR(Enginuity!$B$13=4, Enginuity!$B$13=6)),
      AND(
        LEFT(P4927,5)&lt;&gt;"1-Way",
        LEFT(P4927,5)&lt;&gt;"2-Way",
        LEFT(P4927,5)&lt;&gt;"3-Way",
        P4927&lt;&gt;"Inner Centre Jamb"
      )
    ),
    IF(OR(Enginuity!$A$1="Frameless Glass",Enginuity!$A$1="Metal Work"),
      AND(TRIM(B4927)=TRIM(Enginuity!$A$17),TRIM(C4927)=TRIM(Enginuity!$A$18)),
      TRIM(B4927)=TRIM(Enginuity!$A$17)
    )
  ),
  ROW(),
  ""
)</f>
        <v/>
      </c>
    </row>
    <row r="4928" spans="21:21" x14ac:dyDescent="0.25">
      <c r="U4928" s="104" t="str">
        <f>IF(
  AND(
    TRIM(A4928)=TRIM(Enginuity!$A$1),
    TRIM(B4928)=TRIM(Enginuity!$A$17),
    Q4928&lt;&gt;"",
    Q4928&lt;&gt;0,
    OR(
      TRIM(C4928)=TRIM(Enginuity!$A$18),
      AND(UPPER(TRIM(M4928))="STD", TRIM(B4928)=TRIM(Enginuity!$A$17))
    ),
    OR(
      AND(LEFT(P4928,5)="1-Way", Enginuity!$B$13=1),
      AND(LEFT(P4928,5)="2-Way", OR(Enginuity!$B$13=2, Enginuity!$B$13=4)),
      AND(LEFT(P4928,5)="3-Way", OR(Enginuity!$B$13=3, Enginuity!$B$13=6)),
      AND(P4928="Inner Centre Jamb", OR(Enginuity!$B$13=4, Enginuity!$B$13=6)),
      AND(
        LEFT(P4928,5)&lt;&gt;"1-Way",
        LEFT(P4928,5)&lt;&gt;"2-Way",
        LEFT(P4928,5)&lt;&gt;"3-Way",
        P4928&lt;&gt;"Inner Centre Jamb"
      )
    ),
    IF(OR(Enginuity!$A$1="Frameless Glass",Enginuity!$A$1="Metal Work"),
      AND(TRIM(B4928)=TRIM(Enginuity!$A$17),TRIM(C4928)=TRIM(Enginuity!$A$18)),
      TRIM(B4928)=TRIM(Enginuity!$A$17)
    )
  ),
  ROW(),
  ""
)</f>
        <v/>
      </c>
    </row>
    <row r="4929" spans="21:21" x14ac:dyDescent="0.25">
      <c r="U4929" s="104" t="str">
        <f>IF(
  AND(
    TRIM(A4929)=TRIM(Enginuity!$A$1),
    TRIM(B4929)=TRIM(Enginuity!$A$17),
    Q4929&lt;&gt;"",
    Q4929&lt;&gt;0,
    OR(
      TRIM(C4929)=TRIM(Enginuity!$A$18),
      AND(UPPER(TRIM(M4929))="STD", TRIM(B4929)=TRIM(Enginuity!$A$17))
    ),
    OR(
      AND(LEFT(P4929,5)="1-Way", Enginuity!$B$13=1),
      AND(LEFT(P4929,5)="2-Way", OR(Enginuity!$B$13=2, Enginuity!$B$13=4)),
      AND(LEFT(P4929,5)="3-Way", OR(Enginuity!$B$13=3, Enginuity!$B$13=6)),
      AND(P4929="Inner Centre Jamb", OR(Enginuity!$B$13=4, Enginuity!$B$13=6)),
      AND(
        LEFT(P4929,5)&lt;&gt;"1-Way",
        LEFT(P4929,5)&lt;&gt;"2-Way",
        LEFT(P4929,5)&lt;&gt;"3-Way",
        P4929&lt;&gt;"Inner Centre Jamb"
      )
    ),
    IF(OR(Enginuity!$A$1="Frameless Glass",Enginuity!$A$1="Metal Work"),
      AND(TRIM(B4929)=TRIM(Enginuity!$A$17),TRIM(C4929)=TRIM(Enginuity!$A$18)),
      TRIM(B4929)=TRIM(Enginuity!$A$17)
    )
  ),
  ROW(),
  ""
)</f>
        <v/>
      </c>
    </row>
    <row r="4930" spans="21:21" x14ac:dyDescent="0.25">
      <c r="U4930" s="104" t="str">
        <f>IF(
  AND(
    TRIM(A4930)=TRIM(Enginuity!$A$1),
    TRIM(B4930)=TRIM(Enginuity!$A$17),
    Q4930&lt;&gt;"",
    Q4930&lt;&gt;0,
    OR(
      TRIM(C4930)=TRIM(Enginuity!$A$18),
      AND(UPPER(TRIM(M4930))="STD", TRIM(B4930)=TRIM(Enginuity!$A$17))
    ),
    OR(
      AND(LEFT(P4930,5)="1-Way", Enginuity!$B$13=1),
      AND(LEFT(P4930,5)="2-Way", OR(Enginuity!$B$13=2, Enginuity!$B$13=4)),
      AND(LEFT(P4930,5)="3-Way", OR(Enginuity!$B$13=3, Enginuity!$B$13=6)),
      AND(P4930="Inner Centre Jamb", OR(Enginuity!$B$13=4, Enginuity!$B$13=6)),
      AND(
        LEFT(P4930,5)&lt;&gt;"1-Way",
        LEFT(P4930,5)&lt;&gt;"2-Way",
        LEFT(P4930,5)&lt;&gt;"3-Way",
        P4930&lt;&gt;"Inner Centre Jamb"
      )
    ),
    IF(OR(Enginuity!$A$1="Frameless Glass",Enginuity!$A$1="Metal Work"),
      AND(TRIM(B4930)=TRIM(Enginuity!$A$17),TRIM(C4930)=TRIM(Enginuity!$A$18)),
      TRIM(B4930)=TRIM(Enginuity!$A$17)
    )
  ),
  ROW(),
  ""
)</f>
        <v/>
      </c>
    </row>
    <row r="4931" spans="21:21" x14ac:dyDescent="0.25">
      <c r="U4931" s="104" t="str">
        <f>IF(
  AND(
    TRIM(A4931)=TRIM(Enginuity!$A$1),
    TRIM(B4931)=TRIM(Enginuity!$A$17),
    Q4931&lt;&gt;"",
    Q4931&lt;&gt;0,
    OR(
      TRIM(C4931)=TRIM(Enginuity!$A$18),
      AND(UPPER(TRIM(M4931))="STD", TRIM(B4931)=TRIM(Enginuity!$A$17))
    ),
    OR(
      AND(LEFT(P4931,5)="1-Way", Enginuity!$B$13=1),
      AND(LEFT(P4931,5)="2-Way", OR(Enginuity!$B$13=2, Enginuity!$B$13=4)),
      AND(LEFT(P4931,5)="3-Way", OR(Enginuity!$B$13=3, Enginuity!$B$13=6)),
      AND(P4931="Inner Centre Jamb", OR(Enginuity!$B$13=4, Enginuity!$B$13=6)),
      AND(
        LEFT(P4931,5)&lt;&gt;"1-Way",
        LEFT(P4931,5)&lt;&gt;"2-Way",
        LEFT(P4931,5)&lt;&gt;"3-Way",
        P4931&lt;&gt;"Inner Centre Jamb"
      )
    ),
    IF(OR(Enginuity!$A$1="Frameless Glass",Enginuity!$A$1="Metal Work"),
      AND(TRIM(B4931)=TRIM(Enginuity!$A$17),TRIM(C4931)=TRIM(Enginuity!$A$18)),
      TRIM(B4931)=TRIM(Enginuity!$A$17)
    )
  ),
  ROW(),
  ""
)</f>
        <v/>
      </c>
    </row>
    <row r="4932" spans="21:21" x14ac:dyDescent="0.25">
      <c r="U4932" s="104" t="str">
        <f>IF(
  AND(
    TRIM(A4932)=TRIM(Enginuity!$A$1),
    TRIM(B4932)=TRIM(Enginuity!$A$17),
    Q4932&lt;&gt;"",
    Q4932&lt;&gt;0,
    OR(
      TRIM(C4932)=TRIM(Enginuity!$A$18),
      AND(UPPER(TRIM(M4932))="STD", TRIM(B4932)=TRIM(Enginuity!$A$17))
    ),
    OR(
      AND(LEFT(P4932,5)="1-Way", Enginuity!$B$13=1),
      AND(LEFT(P4932,5)="2-Way", OR(Enginuity!$B$13=2, Enginuity!$B$13=4)),
      AND(LEFT(P4932,5)="3-Way", OR(Enginuity!$B$13=3, Enginuity!$B$13=6)),
      AND(P4932="Inner Centre Jamb", OR(Enginuity!$B$13=4, Enginuity!$B$13=6)),
      AND(
        LEFT(P4932,5)&lt;&gt;"1-Way",
        LEFT(P4932,5)&lt;&gt;"2-Way",
        LEFT(P4932,5)&lt;&gt;"3-Way",
        P4932&lt;&gt;"Inner Centre Jamb"
      )
    ),
    IF(OR(Enginuity!$A$1="Frameless Glass",Enginuity!$A$1="Metal Work"),
      AND(TRIM(B4932)=TRIM(Enginuity!$A$17),TRIM(C4932)=TRIM(Enginuity!$A$18)),
      TRIM(B4932)=TRIM(Enginuity!$A$17)
    )
  ),
  ROW(),
  ""
)</f>
        <v/>
      </c>
    </row>
    <row r="4933" spans="21:21" x14ac:dyDescent="0.25">
      <c r="U4933" s="104" t="str">
        <f>IF(
  AND(
    TRIM(A4933)=TRIM(Enginuity!$A$1),
    TRIM(B4933)=TRIM(Enginuity!$A$17),
    Q4933&lt;&gt;"",
    Q4933&lt;&gt;0,
    OR(
      TRIM(C4933)=TRIM(Enginuity!$A$18),
      AND(UPPER(TRIM(M4933))="STD", TRIM(B4933)=TRIM(Enginuity!$A$17))
    ),
    OR(
      AND(LEFT(P4933,5)="1-Way", Enginuity!$B$13=1),
      AND(LEFT(P4933,5)="2-Way", OR(Enginuity!$B$13=2, Enginuity!$B$13=4)),
      AND(LEFT(P4933,5)="3-Way", OR(Enginuity!$B$13=3, Enginuity!$B$13=6)),
      AND(P4933="Inner Centre Jamb", OR(Enginuity!$B$13=4, Enginuity!$B$13=6)),
      AND(
        LEFT(P4933,5)&lt;&gt;"1-Way",
        LEFT(P4933,5)&lt;&gt;"2-Way",
        LEFT(P4933,5)&lt;&gt;"3-Way",
        P4933&lt;&gt;"Inner Centre Jamb"
      )
    ),
    IF(OR(Enginuity!$A$1="Frameless Glass",Enginuity!$A$1="Metal Work"),
      AND(TRIM(B4933)=TRIM(Enginuity!$A$17),TRIM(C4933)=TRIM(Enginuity!$A$18)),
      TRIM(B4933)=TRIM(Enginuity!$A$17)
    )
  ),
  ROW(),
  ""
)</f>
        <v/>
      </c>
    </row>
    <row r="4934" spans="21:21" x14ac:dyDescent="0.25">
      <c r="U4934" s="104" t="str">
        <f>IF(
  AND(
    TRIM(A4934)=TRIM(Enginuity!$A$1),
    TRIM(B4934)=TRIM(Enginuity!$A$17),
    Q4934&lt;&gt;"",
    Q4934&lt;&gt;0,
    OR(
      TRIM(C4934)=TRIM(Enginuity!$A$18),
      AND(UPPER(TRIM(M4934))="STD", TRIM(B4934)=TRIM(Enginuity!$A$17))
    ),
    OR(
      AND(LEFT(P4934,5)="1-Way", Enginuity!$B$13=1),
      AND(LEFT(P4934,5)="2-Way", OR(Enginuity!$B$13=2, Enginuity!$B$13=4)),
      AND(LEFT(P4934,5)="3-Way", OR(Enginuity!$B$13=3, Enginuity!$B$13=6)),
      AND(P4934="Inner Centre Jamb", OR(Enginuity!$B$13=4, Enginuity!$B$13=6)),
      AND(
        LEFT(P4934,5)&lt;&gt;"1-Way",
        LEFT(P4934,5)&lt;&gt;"2-Way",
        LEFT(P4934,5)&lt;&gt;"3-Way",
        P4934&lt;&gt;"Inner Centre Jamb"
      )
    ),
    IF(OR(Enginuity!$A$1="Frameless Glass",Enginuity!$A$1="Metal Work"),
      AND(TRIM(B4934)=TRIM(Enginuity!$A$17),TRIM(C4934)=TRIM(Enginuity!$A$18)),
      TRIM(B4934)=TRIM(Enginuity!$A$17)
    )
  ),
  ROW(),
  ""
)</f>
        <v/>
      </c>
    </row>
    <row r="4935" spans="21:21" x14ac:dyDescent="0.25">
      <c r="U4935" s="104" t="str">
        <f>IF(
  AND(
    TRIM(A4935)=TRIM(Enginuity!$A$1),
    TRIM(B4935)=TRIM(Enginuity!$A$17),
    Q4935&lt;&gt;"",
    Q4935&lt;&gt;0,
    OR(
      TRIM(C4935)=TRIM(Enginuity!$A$18),
      AND(UPPER(TRIM(M4935))="STD", TRIM(B4935)=TRIM(Enginuity!$A$17))
    ),
    OR(
      AND(LEFT(P4935,5)="1-Way", Enginuity!$B$13=1),
      AND(LEFT(P4935,5)="2-Way", OR(Enginuity!$B$13=2, Enginuity!$B$13=4)),
      AND(LEFT(P4935,5)="3-Way", OR(Enginuity!$B$13=3, Enginuity!$B$13=6)),
      AND(P4935="Inner Centre Jamb", OR(Enginuity!$B$13=4, Enginuity!$B$13=6)),
      AND(
        LEFT(P4935,5)&lt;&gt;"1-Way",
        LEFT(P4935,5)&lt;&gt;"2-Way",
        LEFT(P4935,5)&lt;&gt;"3-Way",
        P4935&lt;&gt;"Inner Centre Jamb"
      )
    ),
    IF(OR(Enginuity!$A$1="Frameless Glass",Enginuity!$A$1="Metal Work"),
      AND(TRIM(B4935)=TRIM(Enginuity!$A$17),TRIM(C4935)=TRIM(Enginuity!$A$18)),
      TRIM(B4935)=TRIM(Enginuity!$A$17)
    )
  ),
  ROW(),
  ""
)</f>
        <v/>
      </c>
    </row>
    <row r="4936" spans="21:21" x14ac:dyDescent="0.25">
      <c r="U4936" s="104" t="str">
        <f>IF(
  AND(
    TRIM(A4936)=TRIM(Enginuity!$A$1),
    TRIM(B4936)=TRIM(Enginuity!$A$17),
    Q4936&lt;&gt;"",
    Q4936&lt;&gt;0,
    OR(
      TRIM(C4936)=TRIM(Enginuity!$A$18),
      AND(UPPER(TRIM(M4936))="STD", TRIM(B4936)=TRIM(Enginuity!$A$17))
    ),
    OR(
      AND(LEFT(P4936,5)="1-Way", Enginuity!$B$13=1),
      AND(LEFT(P4936,5)="2-Way", OR(Enginuity!$B$13=2, Enginuity!$B$13=4)),
      AND(LEFT(P4936,5)="3-Way", OR(Enginuity!$B$13=3, Enginuity!$B$13=6)),
      AND(P4936="Inner Centre Jamb", OR(Enginuity!$B$13=4, Enginuity!$B$13=6)),
      AND(
        LEFT(P4936,5)&lt;&gt;"1-Way",
        LEFT(P4936,5)&lt;&gt;"2-Way",
        LEFT(P4936,5)&lt;&gt;"3-Way",
        P4936&lt;&gt;"Inner Centre Jamb"
      )
    ),
    IF(OR(Enginuity!$A$1="Frameless Glass",Enginuity!$A$1="Metal Work"),
      AND(TRIM(B4936)=TRIM(Enginuity!$A$17),TRIM(C4936)=TRIM(Enginuity!$A$18)),
      TRIM(B4936)=TRIM(Enginuity!$A$17)
    )
  ),
  ROW(),
  ""
)</f>
        <v/>
      </c>
    </row>
    <row r="4937" spans="21:21" x14ac:dyDescent="0.25">
      <c r="U4937" s="104" t="str">
        <f>IF(
  AND(
    TRIM(A4937)=TRIM(Enginuity!$A$1),
    TRIM(B4937)=TRIM(Enginuity!$A$17),
    Q4937&lt;&gt;"",
    Q4937&lt;&gt;0,
    OR(
      TRIM(C4937)=TRIM(Enginuity!$A$18),
      AND(UPPER(TRIM(M4937))="STD", TRIM(B4937)=TRIM(Enginuity!$A$17))
    ),
    OR(
      AND(LEFT(P4937,5)="1-Way", Enginuity!$B$13=1),
      AND(LEFT(P4937,5)="2-Way", OR(Enginuity!$B$13=2, Enginuity!$B$13=4)),
      AND(LEFT(P4937,5)="3-Way", OR(Enginuity!$B$13=3, Enginuity!$B$13=6)),
      AND(P4937="Inner Centre Jamb", OR(Enginuity!$B$13=4, Enginuity!$B$13=6)),
      AND(
        LEFT(P4937,5)&lt;&gt;"1-Way",
        LEFT(P4937,5)&lt;&gt;"2-Way",
        LEFT(P4937,5)&lt;&gt;"3-Way",
        P4937&lt;&gt;"Inner Centre Jamb"
      )
    ),
    IF(OR(Enginuity!$A$1="Frameless Glass",Enginuity!$A$1="Metal Work"),
      AND(TRIM(B4937)=TRIM(Enginuity!$A$17),TRIM(C4937)=TRIM(Enginuity!$A$18)),
      TRIM(B4937)=TRIM(Enginuity!$A$17)
    )
  ),
  ROW(),
  ""
)</f>
        <v/>
      </c>
    </row>
    <row r="4938" spans="21:21" x14ac:dyDescent="0.25">
      <c r="U4938" s="104" t="str">
        <f>IF(
  AND(
    TRIM(A4938)=TRIM(Enginuity!$A$1),
    TRIM(B4938)=TRIM(Enginuity!$A$17),
    Q4938&lt;&gt;"",
    Q4938&lt;&gt;0,
    OR(
      TRIM(C4938)=TRIM(Enginuity!$A$18),
      AND(UPPER(TRIM(M4938))="STD", TRIM(B4938)=TRIM(Enginuity!$A$17))
    ),
    OR(
      AND(LEFT(P4938,5)="1-Way", Enginuity!$B$13=1),
      AND(LEFT(P4938,5)="2-Way", OR(Enginuity!$B$13=2, Enginuity!$B$13=4)),
      AND(LEFT(P4938,5)="3-Way", OR(Enginuity!$B$13=3, Enginuity!$B$13=6)),
      AND(P4938="Inner Centre Jamb", OR(Enginuity!$B$13=4, Enginuity!$B$13=6)),
      AND(
        LEFT(P4938,5)&lt;&gt;"1-Way",
        LEFT(P4938,5)&lt;&gt;"2-Way",
        LEFT(P4938,5)&lt;&gt;"3-Way",
        P4938&lt;&gt;"Inner Centre Jamb"
      )
    ),
    IF(OR(Enginuity!$A$1="Frameless Glass",Enginuity!$A$1="Metal Work"),
      AND(TRIM(B4938)=TRIM(Enginuity!$A$17),TRIM(C4938)=TRIM(Enginuity!$A$18)),
      TRIM(B4938)=TRIM(Enginuity!$A$17)
    )
  ),
  ROW(),
  ""
)</f>
        <v/>
      </c>
    </row>
    <row r="4939" spans="21:21" x14ac:dyDescent="0.25">
      <c r="U4939" s="104" t="str">
        <f>IF(
  AND(
    TRIM(A4939)=TRIM(Enginuity!$A$1),
    TRIM(B4939)=TRIM(Enginuity!$A$17),
    Q4939&lt;&gt;"",
    Q4939&lt;&gt;0,
    OR(
      TRIM(C4939)=TRIM(Enginuity!$A$18),
      AND(UPPER(TRIM(M4939))="STD", TRIM(B4939)=TRIM(Enginuity!$A$17))
    ),
    OR(
      AND(LEFT(P4939,5)="1-Way", Enginuity!$B$13=1),
      AND(LEFT(P4939,5)="2-Way", OR(Enginuity!$B$13=2, Enginuity!$B$13=4)),
      AND(LEFT(P4939,5)="3-Way", OR(Enginuity!$B$13=3, Enginuity!$B$13=6)),
      AND(P4939="Inner Centre Jamb", OR(Enginuity!$B$13=4, Enginuity!$B$13=6)),
      AND(
        LEFT(P4939,5)&lt;&gt;"1-Way",
        LEFT(P4939,5)&lt;&gt;"2-Way",
        LEFT(P4939,5)&lt;&gt;"3-Way",
        P4939&lt;&gt;"Inner Centre Jamb"
      )
    ),
    IF(OR(Enginuity!$A$1="Frameless Glass",Enginuity!$A$1="Metal Work"),
      AND(TRIM(B4939)=TRIM(Enginuity!$A$17),TRIM(C4939)=TRIM(Enginuity!$A$18)),
      TRIM(B4939)=TRIM(Enginuity!$A$17)
    )
  ),
  ROW(),
  ""
)</f>
        <v/>
      </c>
    </row>
    <row r="4940" spans="21:21" x14ac:dyDescent="0.25">
      <c r="U4940" s="104" t="str">
        <f>IF(
  AND(
    TRIM(A4940)=TRIM(Enginuity!$A$1),
    TRIM(B4940)=TRIM(Enginuity!$A$17),
    Q4940&lt;&gt;"",
    Q4940&lt;&gt;0,
    OR(
      TRIM(C4940)=TRIM(Enginuity!$A$18),
      AND(UPPER(TRIM(M4940))="STD", TRIM(B4940)=TRIM(Enginuity!$A$17))
    ),
    OR(
      AND(LEFT(P4940,5)="1-Way", Enginuity!$B$13=1),
      AND(LEFT(P4940,5)="2-Way", OR(Enginuity!$B$13=2, Enginuity!$B$13=4)),
      AND(LEFT(P4940,5)="3-Way", OR(Enginuity!$B$13=3, Enginuity!$B$13=6)),
      AND(P4940="Inner Centre Jamb", OR(Enginuity!$B$13=4, Enginuity!$B$13=6)),
      AND(
        LEFT(P4940,5)&lt;&gt;"1-Way",
        LEFT(P4940,5)&lt;&gt;"2-Way",
        LEFT(P4940,5)&lt;&gt;"3-Way",
        P4940&lt;&gt;"Inner Centre Jamb"
      )
    ),
    IF(OR(Enginuity!$A$1="Frameless Glass",Enginuity!$A$1="Metal Work"),
      AND(TRIM(B4940)=TRIM(Enginuity!$A$17),TRIM(C4940)=TRIM(Enginuity!$A$18)),
      TRIM(B4940)=TRIM(Enginuity!$A$17)
    )
  ),
  ROW(),
  ""
)</f>
        <v/>
      </c>
    </row>
    <row r="4941" spans="21:21" x14ac:dyDescent="0.25">
      <c r="U4941" s="104" t="str">
        <f>IF(
  AND(
    TRIM(A4941)=TRIM(Enginuity!$A$1),
    TRIM(B4941)=TRIM(Enginuity!$A$17),
    Q4941&lt;&gt;"",
    Q4941&lt;&gt;0,
    OR(
      TRIM(C4941)=TRIM(Enginuity!$A$18),
      AND(UPPER(TRIM(M4941))="STD", TRIM(B4941)=TRIM(Enginuity!$A$17))
    ),
    OR(
      AND(LEFT(P4941,5)="1-Way", Enginuity!$B$13=1),
      AND(LEFT(P4941,5)="2-Way", OR(Enginuity!$B$13=2, Enginuity!$B$13=4)),
      AND(LEFT(P4941,5)="3-Way", OR(Enginuity!$B$13=3, Enginuity!$B$13=6)),
      AND(P4941="Inner Centre Jamb", OR(Enginuity!$B$13=4, Enginuity!$B$13=6)),
      AND(
        LEFT(P4941,5)&lt;&gt;"1-Way",
        LEFT(P4941,5)&lt;&gt;"2-Way",
        LEFT(P4941,5)&lt;&gt;"3-Way",
        P4941&lt;&gt;"Inner Centre Jamb"
      )
    ),
    IF(OR(Enginuity!$A$1="Frameless Glass",Enginuity!$A$1="Metal Work"),
      AND(TRIM(B4941)=TRIM(Enginuity!$A$17),TRIM(C4941)=TRIM(Enginuity!$A$18)),
      TRIM(B4941)=TRIM(Enginuity!$A$17)
    )
  ),
  ROW(),
  ""
)</f>
        <v/>
      </c>
    </row>
    <row r="4942" spans="21:21" x14ac:dyDescent="0.25">
      <c r="U4942" s="104" t="str">
        <f>IF(
  AND(
    TRIM(A4942)=TRIM(Enginuity!$A$1),
    TRIM(B4942)=TRIM(Enginuity!$A$17),
    Q4942&lt;&gt;"",
    Q4942&lt;&gt;0,
    OR(
      TRIM(C4942)=TRIM(Enginuity!$A$18),
      AND(UPPER(TRIM(M4942))="STD", TRIM(B4942)=TRIM(Enginuity!$A$17))
    ),
    OR(
      AND(LEFT(P4942,5)="1-Way", Enginuity!$B$13=1),
      AND(LEFT(P4942,5)="2-Way", OR(Enginuity!$B$13=2, Enginuity!$B$13=4)),
      AND(LEFT(P4942,5)="3-Way", OR(Enginuity!$B$13=3, Enginuity!$B$13=6)),
      AND(P4942="Inner Centre Jamb", OR(Enginuity!$B$13=4, Enginuity!$B$13=6)),
      AND(
        LEFT(P4942,5)&lt;&gt;"1-Way",
        LEFT(P4942,5)&lt;&gt;"2-Way",
        LEFT(P4942,5)&lt;&gt;"3-Way",
        P4942&lt;&gt;"Inner Centre Jamb"
      )
    ),
    IF(OR(Enginuity!$A$1="Frameless Glass",Enginuity!$A$1="Metal Work"),
      AND(TRIM(B4942)=TRIM(Enginuity!$A$17),TRIM(C4942)=TRIM(Enginuity!$A$18)),
      TRIM(B4942)=TRIM(Enginuity!$A$17)
    )
  ),
  ROW(),
  ""
)</f>
        <v/>
      </c>
    </row>
    <row r="4943" spans="21:21" x14ac:dyDescent="0.25">
      <c r="U4943" s="104" t="str">
        <f>IF(
  AND(
    TRIM(A4943)=TRIM(Enginuity!$A$1),
    TRIM(B4943)=TRIM(Enginuity!$A$17),
    Q4943&lt;&gt;"",
    Q4943&lt;&gt;0,
    OR(
      TRIM(C4943)=TRIM(Enginuity!$A$18),
      AND(UPPER(TRIM(M4943))="STD", TRIM(B4943)=TRIM(Enginuity!$A$17))
    ),
    OR(
      AND(LEFT(P4943,5)="1-Way", Enginuity!$B$13=1),
      AND(LEFT(P4943,5)="2-Way", OR(Enginuity!$B$13=2, Enginuity!$B$13=4)),
      AND(LEFT(P4943,5)="3-Way", OR(Enginuity!$B$13=3, Enginuity!$B$13=6)),
      AND(P4943="Inner Centre Jamb", OR(Enginuity!$B$13=4, Enginuity!$B$13=6)),
      AND(
        LEFT(P4943,5)&lt;&gt;"1-Way",
        LEFT(P4943,5)&lt;&gt;"2-Way",
        LEFT(P4943,5)&lt;&gt;"3-Way",
        P4943&lt;&gt;"Inner Centre Jamb"
      )
    ),
    IF(OR(Enginuity!$A$1="Frameless Glass",Enginuity!$A$1="Metal Work"),
      AND(TRIM(B4943)=TRIM(Enginuity!$A$17),TRIM(C4943)=TRIM(Enginuity!$A$18)),
      TRIM(B4943)=TRIM(Enginuity!$A$17)
    )
  ),
  ROW(),
  ""
)</f>
        <v/>
      </c>
    </row>
    <row r="4944" spans="21:21" x14ac:dyDescent="0.25">
      <c r="U4944" s="104" t="str">
        <f>IF(
  AND(
    TRIM(A4944)=TRIM(Enginuity!$A$1),
    TRIM(B4944)=TRIM(Enginuity!$A$17),
    Q4944&lt;&gt;"",
    Q4944&lt;&gt;0,
    OR(
      TRIM(C4944)=TRIM(Enginuity!$A$18),
      AND(UPPER(TRIM(M4944))="STD", TRIM(B4944)=TRIM(Enginuity!$A$17))
    ),
    OR(
      AND(LEFT(P4944,5)="1-Way", Enginuity!$B$13=1),
      AND(LEFT(P4944,5)="2-Way", OR(Enginuity!$B$13=2, Enginuity!$B$13=4)),
      AND(LEFT(P4944,5)="3-Way", OR(Enginuity!$B$13=3, Enginuity!$B$13=6)),
      AND(P4944="Inner Centre Jamb", OR(Enginuity!$B$13=4, Enginuity!$B$13=6)),
      AND(
        LEFT(P4944,5)&lt;&gt;"1-Way",
        LEFT(P4944,5)&lt;&gt;"2-Way",
        LEFT(P4944,5)&lt;&gt;"3-Way",
        P4944&lt;&gt;"Inner Centre Jamb"
      )
    ),
    IF(OR(Enginuity!$A$1="Frameless Glass",Enginuity!$A$1="Metal Work"),
      AND(TRIM(B4944)=TRIM(Enginuity!$A$17),TRIM(C4944)=TRIM(Enginuity!$A$18)),
      TRIM(B4944)=TRIM(Enginuity!$A$17)
    )
  ),
  ROW(),
  ""
)</f>
        <v/>
      </c>
    </row>
    <row r="4945" spans="21:21" x14ac:dyDescent="0.25">
      <c r="U4945" s="104" t="str">
        <f>IF(
  AND(
    TRIM(A4945)=TRIM(Enginuity!$A$1),
    TRIM(B4945)=TRIM(Enginuity!$A$17),
    Q4945&lt;&gt;"",
    Q4945&lt;&gt;0,
    OR(
      TRIM(C4945)=TRIM(Enginuity!$A$18),
      AND(UPPER(TRIM(M4945))="STD", TRIM(B4945)=TRIM(Enginuity!$A$17))
    ),
    OR(
      AND(LEFT(P4945,5)="1-Way", Enginuity!$B$13=1),
      AND(LEFT(P4945,5)="2-Way", OR(Enginuity!$B$13=2, Enginuity!$B$13=4)),
      AND(LEFT(P4945,5)="3-Way", OR(Enginuity!$B$13=3, Enginuity!$B$13=6)),
      AND(P4945="Inner Centre Jamb", OR(Enginuity!$B$13=4, Enginuity!$B$13=6)),
      AND(
        LEFT(P4945,5)&lt;&gt;"1-Way",
        LEFT(P4945,5)&lt;&gt;"2-Way",
        LEFT(P4945,5)&lt;&gt;"3-Way",
        P4945&lt;&gt;"Inner Centre Jamb"
      )
    ),
    IF(OR(Enginuity!$A$1="Frameless Glass",Enginuity!$A$1="Metal Work"),
      AND(TRIM(B4945)=TRIM(Enginuity!$A$17),TRIM(C4945)=TRIM(Enginuity!$A$18)),
      TRIM(B4945)=TRIM(Enginuity!$A$17)
    )
  ),
  ROW(),
  ""
)</f>
        <v/>
      </c>
    </row>
    <row r="4946" spans="21:21" x14ac:dyDescent="0.25">
      <c r="U4946" s="104" t="str">
        <f>IF(
  AND(
    TRIM(A4946)=TRIM(Enginuity!$A$1),
    TRIM(B4946)=TRIM(Enginuity!$A$17),
    Q4946&lt;&gt;"",
    Q4946&lt;&gt;0,
    OR(
      TRIM(C4946)=TRIM(Enginuity!$A$18),
      AND(UPPER(TRIM(M4946))="STD", TRIM(B4946)=TRIM(Enginuity!$A$17))
    ),
    OR(
      AND(LEFT(P4946,5)="1-Way", Enginuity!$B$13=1),
      AND(LEFT(P4946,5)="2-Way", OR(Enginuity!$B$13=2, Enginuity!$B$13=4)),
      AND(LEFT(P4946,5)="3-Way", OR(Enginuity!$B$13=3, Enginuity!$B$13=6)),
      AND(P4946="Inner Centre Jamb", OR(Enginuity!$B$13=4, Enginuity!$B$13=6)),
      AND(
        LEFT(P4946,5)&lt;&gt;"1-Way",
        LEFT(P4946,5)&lt;&gt;"2-Way",
        LEFT(P4946,5)&lt;&gt;"3-Way",
        P4946&lt;&gt;"Inner Centre Jamb"
      )
    ),
    IF(OR(Enginuity!$A$1="Frameless Glass",Enginuity!$A$1="Metal Work"),
      AND(TRIM(B4946)=TRIM(Enginuity!$A$17),TRIM(C4946)=TRIM(Enginuity!$A$18)),
      TRIM(B4946)=TRIM(Enginuity!$A$17)
    )
  ),
  ROW(),
  ""
)</f>
        <v/>
      </c>
    </row>
    <row r="4947" spans="21:21" x14ac:dyDescent="0.25">
      <c r="U4947" s="104" t="str">
        <f>IF(
  AND(
    TRIM(A4947)=TRIM(Enginuity!$A$1),
    TRIM(B4947)=TRIM(Enginuity!$A$17),
    Q4947&lt;&gt;"",
    Q4947&lt;&gt;0,
    OR(
      TRIM(C4947)=TRIM(Enginuity!$A$18),
      AND(UPPER(TRIM(M4947))="STD", TRIM(B4947)=TRIM(Enginuity!$A$17))
    ),
    OR(
      AND(LEFT(P4947,5)="1-Way", Enginuity!$B$13=1),
      AND(LEFT(P4947,5)="2-Way", OR(Enginuity!$B$13=2, Enginuity!$B$13=4)),
      AND(LEFT(P4947,5)="3-Way", OR(Enginuity!$B$13=3, Enginuity!$B$13=6)),
      AND(P4947="Inner Centre Jamb", OR(Enginuity!$B$13=4, Enginuity!$B$13=6)),
      AND(
        LEFT(P4947,5)&lt;&gt;"1-Way",
        LEFT(P4947,5)&lt;&gt;"2-Way",
        LEFT(P4947,5)&lt;&gt;"3-Way",
        P4947&lt;&gt;"Inner Centre Jamb"
      )
    ),
    IF(OR(Enginuity!$A$1="Frameless Glass",Enginuity!$A$1="Metal Work"),
      AND(TRIM(B4947)=TRIM(Enginuity!$A$17),TRIM(C4947)=TRIM(Enginuity!$A$18)),
      TRIM(B4947)=TRIM(Enginuity!$A$17)
    )
  ),
  ROW(),
  ""
)</f>
        <v/>
      </c>
    </row>
    <row r="4948" spans="21:21" x14ac:dyDescent="0.25">
      <c r="U4948" s="104" t="str">
        <f>IF(
  AND(
    TRIM(A4948)=TRIM(Enginuity!$A$1),
    TRIM(B4948)=TRIM(Enginuity!$A$17),
    Q4948&lt;&gt;"",
    Q4948&lt;&gt;0,
    OR(
      TRIM(C4948)=TRIM(Enginuity!$A$18),
      AND(UPPER(TRIM(M4948))="STD", TRIM(B4948)=TRIM(Enginuity!$A$17))
    ),
    OR(
      AND(LEFT(P4948,5)="1-Way", Enginuity!$B$13=1),
      AND(LEFT(P4948,5)="2-Way", OR(Enginuity!$B$13=2, Enginuity!$B$13=4)),
      AND(LEFT(P4948,5)="3-Way", OR(Enginuity!$B$13=3, Enginuity!$B$13=6)),
      AND(P4948="Inner Centre Jamb", OR(Enginuity!$B$13=4, Enginuity!$B$13=6)),
      AND(
        LEFT(P4948,5)&lt;&gt;"1-Way",
        LEFT(P4948,5)&lt;&gt;"2-Way",
        LEFT(P4948,5)&lt;&gt;"3-Way",
        P4948&lt;&gt;"Inner Centre Jamb"
      )
    ),
    IF(OR(Enginuity!$A$1="Frameless Glass",Enginuity!$A$1="Metal Work"),
      AND(TRIM(B4948)=TRIM(Enginuity!$A$17),TRIM(C4948)=TRIM(Enginuity!$A$18)),
      TRIM(B4948)=TRIM(Enginuity!$A$17)
    )
  ),
  ROW(),
  ""
)</f>
        <v/>
      </c>
    </row>
    <row r="4949" spans="21:21" x14ac:dyDescent="0.25">
      <c r="U4949" s="104" t="str">
        <f>IF(
  AND(
    TRIM(A4949)=TRIM(Enginuity!$A$1),
    TRIM(B4949)=TRIM(Enginuity!$A$17),
    Q4949&lt;&gt;"",
    Q4949&lt;&gt;0,
    OR(
      TRIM(C4949)=TRIM(Enginuity!$A$18),
      AND(UPPER(TRIM(M4949))="STD", TRIM(B4949)=TRIM(Enginuity!$A$17))
    ),
    OR(
      AND(LEFT(P4949,5)="1-Way", Enginuity!$B$13=1),
      AND(LEFT(P4949,5)="2-Way", OR(Enginuity!$B$13=2, Enginuity!$B$13=4)),
      AND(LEFT(P4949,5)="3-Way", OR(Enginuity!$B$13=3, Enginuity!$B$13=6)),
      AND(P4949="Inner Centre Jamb", OR(Enginuity!$B$13=4, Enginuity!$B$13=6)),
      AND(
        LEFT(P4949,5)&lt;&gt;"1-Way",
        LEFT(P4949,5)&lt;&gt;"2-Way",
        LEFT(P4949,5)&lt;&gt;"3-Way",
        P4949&lt;&gt;"Inner Centre Jamb"
      )
    ),
    IF(OR(Enginuity!$A$1="Frameless Glass",Enginuity!$A$1="Metal Work"),
      AND(TRIM(B4949)=TRIM(Enginuity!$A$17),TRIM(C4949)=TRIM(Enginuity!$A$18)),
      TRIM(B4949)=TRIM(Enginuity!$A$17)
    )
  ),
  ROW(),
  ""
)</f>
        <v/>
      </c>
    </row>
    <row r="4950" spans="21:21" x14ac:dyDescent="0.25">
      <c r="U4950" s="104" t="str">
        <f>IF(
  AND(
    TRIM(A4950)=TRIM(Enginuity!$A$1),
    TRIM(B4950)=TRIM(Enginuity!$A$17),
    Q4950&lt;&gt;"",
    Q4950&lt;&gt;0,
    OR(
      TRIM(C4950)=TRIM(Enginuity!$A$18),
      AND(UPPER(TRIM(M4950))="STD", TRIM(B4950)=TRIM(Enginuity!$A$17))
    ),
    OR(
      AND(LEFT(P4950,5)="1-Way", Enginuity!$B$13=1),
      AND(LEFT(P4950,5)="2-Way", OR(Enginuity!$B$13=2, Enginuity!$B$13=4)),
      AND(LEFT(P4950,5)="3-Way", OR(Enginuity!$B$13=3, Enginuity!$B$13=6)),
      AND(P4950="Inner Centre Jamb", OR(Enginuity!$B$13=4, Enginuity!$B$13=6)),
      AND(
        LEFT(P4950,5)&lt;&gt;"1-Way",
        LEFT(P4950,5)&lt;&gt;"2-Way",
        LEFT(P4950,5)&lt;&gt;"3-Way",
        P4950&lt;&gt;"Inner Centre Jamb"
      )
    ),
    IF(OR(Enginuity!$A$1="Frameless Glass",Enginuity!$A$1="Metal Work"),
      AND(TRIM(B4950)=TRIM(Enginuity!$A$17),TRIM(C4950)=TRIM(Enginuity!$A$18)),
      TRIM(B4950)=TRIM(Enginuity!$A$17)
    )
  ),
  ROW(),
  ""
)</f>
        <v/>
      </c>
    </row>
    <row r="4951" spans="21:21" x14ac:dyDescent="0.25">
      <c r="U4951" s="104" t="str">
        <f>IF(
  AND(
    TRIM(A4951)=TRIM(Enginuity!$A$1),
    TRIM(B4951)=TRIM(Enginuity!$A$17),
    Q4951&lt;&gt;"",
    Q4951&lt;&gt;0,
    OR(
      TRIM(C4951)=TRIM(Enginuity!$A$18),
      AND(UPPER(TRIM(M4951))="STD", TRIM(B4951)=TRIM(Enginuity!$A$17))
    ),
    OR(
      AND(LEFT(P4951,5)="1-Way", Enginuity!$B$13=1),
      AND(LEFT(P4951,5)="2-Way", OR(Enginuity!$B$13=2, Enginuity!$B$13=4)),
      AND(LEFT(P4951,5)="3-Way", OR(Enginuity!$B$13=3, Enginuity!$B$13=6)),
      AND(P4951="Inner Centre Jamb", OR(Enginuity!$B$13=4, Enginuity!$B$13=6)),
      AND(
        LEFT(P4951,5)&lt;&gt;"1-Way",
        LEFT(P4951,5)&lt;&gt;"2-Way",
        LEFT(P4951,5)&lt;&gt;"3-Way",
        P4951&lt;&gt;"Inner Centre Jamb"
      )
    ),
    IF(OR(Enginuity!$A$1="Frameless Glass",Enginuity!$A$1="Metal Work"),
      AND(TRIM(B4951)=TRIM(Enginuity!$A$17),TRIM(C4951)=TRIM(Enginuity!$A$18)),
      TRIM(B4951)=TRIM(Enginuity!$A$17)
    )
  ),
  ROW(),
  ""
)</f>
        <v/>
      </c>
    </row>
    <row r="4952" spans="21:21" x14ac:dyDescent="0.25">
      <c r="U4952" s="104" t="str">
        <f>IF(
  AND(
    TRIM(A4952)=TRIM(Enginuity!$A$1),
    TRIM(B4952)=TRIM(Enginuity!$A$17),
    Q4952&lt;&gt;"",
    Q4952&lt;&gt;0,
    OR(
      TRIM(C4952)=TRIM(Enginuity!$A$18),
      AND(UPPER(TRIM(M4952))="STD", TRIM(B4952)=TRIM(Enginuity!$A$17))
    ),
    OR(
      AND(LEFT(P4952,5)="1-Way", Enginuity!$B$13=1),
      AND(LEFT(P4952,5)="2-Way", OR(Enginuity!$B$13=2, Enginuity!$B$13=4)),
      AND(LEFT(P4952,5)="3-Way", OR(Enginuity!$B$13=3, Enginuity!$B$13=6)),
      AND(P4952="Inner Centre Jamb", OR(Enginuity!$B$13=4, Enginuity!$B$13=6)),
      AND(
        LEFT(P4952,5)&lt;&gt;"1-Way",
        LEFT(P4952,5)&lt;&gt;"2-Way",
        LEFT(P4952,5)&lt;&gt;"3-Way",
        P4952&lt;&gt;"Inner Centre Jamb"
      )
    ),
    IF(OR(Enginuity!$A$1="Frameless Glass",Enginuity!$A$1="Metal Work"),
      AND(TRIM(B4952)=TRIM(Enginuity!$A$17),TRIM(C4952)=TRIM(Enginuity!$A$18)),
      TRIM(B4952)=TRIM(Enginuity!$A$17)
    )
  ),
  ROW(),
  ""
)</f>
        <v/>
      </c>
    </row>
    <row r="4953" spans="21:21" x14ac:dyDescent="0.25">
      <c r="U4953" s="104" t="str">
        <f>IF(
  AND(
    TRIM(A4953)=TRIM(Enginuity!$A$1),
    TRIM(B4953)=TRIM(Enginuity!$A$17),
    Q4953&lt;&gt;"",
    Q4953&lt;&gt;0,
    OR(
      TRIM(C4953)=TRIM(Enginuity!$A$18),
      AND(UPPER(TRIM(M4953))="STD", TRIM(B4953)=TRIM(Enginuity!$A$17))
    ),
    OR(
      AND(LEFT(P4953,5)="1-Way", Enginuity!$B$13=1),
      AND(LEFT(P4953,5)="2-Way", OR(Enginuity!$B$13=2, Enginuity!$B$13=4)),
      AND(LEFT(P4953,5)="3-Way", OR(Enginuity!$B$13=3, Enginuity!$B$13=6)),
      AND(P4953="Inner Centre Jamb", OR(Enginuity!$B$13=4, Enginuity!$B$13=6)),
      AND(
        LEFT(P4953,5)&lt;&gt;"1-Way",
        LEFT(P4953,5)&lt;&gt;"2-Way",
        LEFT(P4953,5)&lt;&gt;"3-Way",
        P4953&lt;&gt;"Inner Centre Jamb"
      )
    ),
    IF(OR(Enginuity!$A$1="Frameless Glass",Enginuity!$A$1="Metal Work"),
      AND(TRIM(B4953)=TRIM(Enginuity!$A$17),TRIM(C4953)=TRIM(Enginuity!$A$18)),
      TRIM(B4953)=TRIM(Enginuity!$A$17)
    )
  ),
  ROW(),
  ""
)</f>
        <v/>
      </c>
    </row>
    <row r="4954" spans="21:21" x14ac:dyDescent="0.25">
      <c r="U4954" s="104" t="str">
        <f>IF(
  AND(
    TRIM(A4954)=TRIM(Enginuity!$A$1),
    TRIM(B4954)=TRIM(Enginuity!$A$17),
    Q4954&lt;&gt;"",
    Q4954&lt;&gt;0,
    OR(
      TRIM(C4954)=TRIM(Enginuity!$A$18),
      AND(UPPER(TRIM(M4954))="STD", TRIM(B4954)=TRIM(Enginuity!$A$17))
    ),
    OR(
      AND(LEFT(P4954,5)="1-Way", Enginuity!$B$13=1),
      AND(LEFT(P4954,5)="2-Way", OR(Enginuity!$B$13=2, Enginuity!$B$13=4)),
      AND(LEFT(P4954,5)="3-Way", OR(Enginuity!$B$13=3, Enginuity!$B$13=6)),
      AND(P4954="Inner Centre Jamb", OR(Enginuity!$B$13=4, Enginuity!$B$13=6)),
      AND(
        LEFT(P4954,5)&lt;&gt;"1-Way",
        LEFT(P4954,5)&lt;&gt;"2-Way",
        LEFT(P4954,5)&lt;&gt;"3-Way",
        P4954&lt;&gt;"Inner Centre Jamb"
      )
    ),
    IF(OR(Enginuity!$A$1="Frameless Glass",Enginuity!$A$1="Metal Work"),
      AND(TRIM(B4954)=TRIM(Enginuity!$A$17),TRIM(C4954)=TRIM(Enginuity!$A$18)),
      TRIM(B4954)=TRIM(Enginuity!$A$17)
    )
  ),
  ROW(),
  ""
)</f>
        <v/>
      </c>
    </row>
    <row r="4955" spans="21:21" x14ac:dyDescent="0.25">
      <c r="U4955" s="104" t="str">
        <f>IF(
  AND(
    TRIM(A4955)=TRIM(Enginuity!$A$1),
    TRIM(B4955)=TRIM(Enginuity!$A$17),
    Q4955&lt;&gt;"",
    Q4955&lt;&gt;0,
    OR(
      TRIM(C4955)=TRIM(Enginuity!$A$18),
      AND(UPPER(TRIM(M4955))="STD", TRIM(B4955)=TRIM(Enginuity!$A$17))
    ),
    OR(
      AND(LEFT(P4955,5)="1-Way", Enginuity!$B$13=1),
      AND(LEFT(P4955,5)="2-Way", OR(Enginuity!$B$13=2, Enginuity!$B$13=4)),
      AND(LEFT(P4955,5)="3-Way", OR(Enginuity!$B$13=3, Enginuity!$B$13=6)),
      AND(P4955="Inner Centre Jamb", OR(Enginuity!$B$13=4, Enginuity!$B$13=6)),
      AND(
        LEFT(P4955,5)&lt;&gt;"1-Way",
        LEFT(P4955,5)&lt;&gt;"2-Way",
        LEFT(P4955,5)&lt;&gt;"3-Way",
        P4955&lt;&gt;"Inner Centre Jamb"
      )
    ),
    IF(OR(Enginuity!$A$1="Frameless Glass",Enginuity!$A$1="Metal Work"),
      AND(TRIM(B4955)=TRIM(Enginuity!$A$17),TRIM(C4955)=TRIM(Enginuity!$A$18)),
      TRIM(B4955)=TRIM(Enginuity!$A$17)
    )
  ),
  ROW(),
  ""
)</f>
        <v/>
      </c>
    </row>
    <row r="4956" spans="21:21" x14ac:dyDescent="0.25">
      <c r="U4956" s="104" t="str">
        <f>IF(
  AND(
    TRIM(A4956)=TRIM(Enginuity!$A$1),
    TRIM(B4956)=TRIM(Enginuity!$A$17),
    Q4956&lt;&gt;"",
    Q4956&lt;&gt;0,
    OR(
      TRIM(C4956)=TRIM(Enginuity!$A$18),
      AND(UPPER(TRIM(M4956))="STD", TRIM(B4956)=TRIM(Enginuity!$A$17))
    ),
    OR(
      AND(LEFT(P4956,5)="1-Way", Enginuity!$B$13=1),
      AND(LEFT(P4956,5)="2-Way", OR(Enginuity!$B$13=2, Enginuity!$B$13=4)),
      AND(LEFT(P4956,5)="3-Way", OR(Enginuity!$B$13=3, Enginuity!$B$13=6)),
      AND(P4956="Inner Centre Jamb", OR(Enginuity!$B$13=4, Enginuity!$B$13=6)),
      AND(
        LEFT(P4956,5)&lt;&gt;"1-Way",
        LEFT(P4956,5)&lt;&gt;"2-Way",
        LEFT(P4956,5)&lt;&gt;"3-Way",
        P4956&lt;&gt;"Inner Centre Jamb"
      )
    ),
    IF(OR(Enginuity!$A$1="Frameless Glass",Enginuity!$A$1="Metal Work"),
      AND(TRIM(B4956)=TRIM(Enginuity!$A$17),TRIM(C4956)=TRIM(Enginuity!$A$18)),
      TRIM(B4956)=TRIM(Enginuity!$A$17)
    )
  ),
  ROW(),
  ""
)</f>
        <v/>
      </c>
    </row>
    <row r="4957" spans="21:21" x14ac:dyDescent="0.25">
      <c r="U4957" s="104" t="str">
        <f>IF(
  AND(
    TRIM(A4957)=TRIM(Enginuity!$A$1),
    TRIM(B4957)=TRIM(Enginuity!$A$17),
    Q4957&lt;&gt;"",
    Q4957&lt;&gt;0,
    OR(
      TRIM(C4957)=TRIM(Enginuity!$A$18),
      AND(UPPER(TRIM(M4957))="STD", TRIM(B4957)=TRIM(Enginuity!$A$17))
    ),
    OR(
      AND(LEFT(P4957,5)="1-Way", Enginuity!$B$13=1),
      AND(LEFT(P4957,5)="2-Way", OR(Enginuity!$B$13=2, Enginuity!$B$13=4)),
      AND(LEFT(P4957,5)="3-Way", OR(Enginuity!$B$13=3, Enginuity!$B$13=6)),
      AND(P4957="Inner Centre Jamb", OR(Enginuity!$B$13=4, Enginuity!$B$13=6)),
      AND(
        LEFT(P4957,5)&lt;&gt;"1-Way",
        LEFT(P4957,5)&lt;&gt;"2-Way",
        LEFT(P4957,5)&lt;&gt;"3-Way",
        P4957&lt;&gt;"Inner Centre Jamb"
      )
    ),
    IF(OR(Enginuity!$A$1="Frameless Glass",Enginuity!$A$1="Metal Work"),
      AND(TRIM(B4957)=TRIM(Enginuity!$A$17),TRIM(C4957)=TRIM(Enginuity!$A$18)),
      TRIM(B4957)=TRIM(Enginuity!$A$17)
    )
  ),
  ROW(),
  ""
)</f>
        <v/>
      </c>
    </row>
    <row r="4958" spans="21:21" x14ac:dyDescent="0.25">
      <c r="U4958" s="104" t="str">
        <f>IF(
  AND(
    TRIM(A4958)=TRIM(Enginuity!$A$1),
    TRIM(B4958)=TRIM(Enginuity!$A$17),
    Q4958&lt;&gt;"",
    Q4958&lt;&gt;0,
    OR(
      TRIM(C4958)=TRIM(Enginuity!$A$18),
      AND(UPPER(TRIM(M4958))="STD", TRIM(B4958)=TRIM(Enginuity!$A$17))
    ),
    OR(
      AND(LEFT(P4958,5)="1-Way", Enginuity!$B$13=1),
      AND(LEFT(P4958,5)="2-Way", OR(Enginuity!$B$13=2, Enginuity!$B$13=4)),
      AND(LEFT(P4958,5)="3-Way", OR(Enginuity!$B$13=3, Enginuity!$B$13=6)),
      AND(P4958="Inner Centre Jamb", OR(Enginuity!$B$13=4, Enginuity!$B$13=6)),
      AND(
        LEFT(P4958,5)&lt;&gt;"1-Way",
        LEFT(P4958,5)&lt;&gt;"2-Way",
        LEFT(P4958,5)&lt;&gt;"3-Way",
        P4958&lt;&gt;"Inner Centre Jamb"
      )
    ),
    IF(OR(Enginuity!$A$1="Frameless Glass",Enginuity!$A$1="Metal Work"),
      AND(TRIM(B4958)=TRIM(Enginuity!$A$17),TRIM(C4958)=TRIM(Enginuity!$A$18)),
      TRIM(B4958)=TRIM(Enginuity!$A$17)
    )
  ),
  ROW(),
  ""
)</f>
        <v/>
      </c>
    </row>
    <row r="4959" spans="21:21" x14ac:dyDescent="0.25">
      <c r="U4959" s="104" t="str">
        <f>IF(
  AND(
    TRIM(A4959)=TRIM(Enginuity!$A$1),
    TRIM(B4959)=TRIM(Enginuity!$A$17),
    Q4959&lt;&gt;"",
    Q4959&lt;&gt;0,
    OR(
      TRIM(C4959)=TRIM(Enginuity!$A$18),
      AND(UPPER(TRIM(M4959))="STD", TRIM(B4959)=TRIM(Enginuity!$A$17))
    ),
    OR(
      AND(LEFT(P4959,5)="1-Way", Enginuity!$B$13=1),
      AND(LEFT(P4959,5)="2-Way", OR(Enginuity!$B$13=2, Enginuity!$B$13=4)),
      AND(LEFT(P4959,5)="3-Way", OR(Enginuity!$B$13=3, Enginuity!$B$13=6)),
      AND(P4959="Inner Centre Jamb", OR(Enginuity!$B$13=4, Enginuity!$B$13=6)),
      AND(
        LEFT(P4959,5)&lt;&gt;"1-Way",
        LEFT(P4959,5)&lt;&gt;"2-Way",
        LEFT(P4959,5)&lt;&gt;"3-Way",
        P4959&lt;&gt;"Inner Centre Jamb"
      )
    ),
    IF(OR(Enginuity!$A$1="Frameless Glass",Enginuity!$A$1="Metal Work"),
      AND(TRIM(B4959)=TRIM(Enginuity!$A$17),TRIM(C4959)=TRIM(Enginuity!$A$18)),
      TRIM(B4959)=TRIM(Enginuity!$A$17)
    )
  ),
  ROW(),
  ""
)</f>
        <v/>
      </c>
    </row>
    <row r="4960" spans="21:21" x14ac:dyDescent="0.25">
      <c r="U4960" s="104" t="str">
        <f>IF(
  AND(
    TRIM(A4960)=TRIM(Enginuity!$A$1),
    TRIM(B4960)=TRIM(Enginuity!$A$17),
    Q4960&lt;&gt;"",
    Q4960&lt;&gt;0,
    OR(
      TRIM(C4960)=TRIM(Enginuity!$A$18),
      AND(UPPER(TRIM(M4960))="STD", TRIM(B4960)=TRIM(Enginuity!$A$17))
    ),
    OR(
      AND(LEFT(P4960,5)="1-Way", Enginuity!$B$13=1),
      AND(LEFT(P4960,5)="2-Way", OR(Enginuity!$B$13=2, Enginuity!$B$13=4)),
      AND(LEFT(P4960,5)="3-Way", OR(Enginuity!$B$13=3, Enginuity!$B$13=6)),
      AND(P4960="Inner Centre Jamb", OR(Enginuity!$B$13=4, Enginuity!$B$13=6)),
      AND(
        LEFT(P4960,5)&lt;&gt;"1-Way",
        LEFT(P4960,5)&lt;&gt;"2-Way",
        LEFT(P4960,5)&lt;&gt;"3-Way",
        P4960&lt;&gt;"Inner Centre Jamb"
      )
    ),
    IF(OR(Enginuity!$A$1="Frameless Glass",Enginuity!$A$1="Metal Work"),
      AND(TRIM(B4960)=TRIM(Enginuity!$A$17),TRIM(C4960)=TRIM(Enginuity!$A$18)),
      TRIM(B4960)=TRIM(Enginuity!$A$17)
    )
  ),
  ROW(),
  ""
)</f>
        <v/>
      </c>
    </row>
    <row r="4961" spans="21:21" x14ac:dyDescent="0.25">
      <c r="U4961" s="104" t="str">
        <f>IF(
  AND(
    TRIM(A4961)=TRIM(Enginuity!$A$1),
    TRIM(B4961)=TRIM(Enginuity!$A$17),
    Q4961&lt;&gt;"",
    Q4961&lt;&gt;0,
    OR(
      TRIM(C4961)=TRIM(Enginuity!$A$18),
      AND(UPPER(TRIM(M4961))="STD", TRIM(B4961)=TRIM(Enginuity!$A$17))
    ),
    OR(
      AND(LEFT(P4961,5)="1-Way", Enginuity!$B$13=1),
      AND(LEFT(P4961,5)="2-Way", OR(Enginuity!$B$13=2, Enginuity!$B$13=4)),
      AND(LEFT(P4961,5)="3-Way", OR(Enginuity!$B$13=3, Enginuity!$B$13=6)),
      AND(P4961="Inner Centre Jamb", OR(Enginuity!$B$13=4, Enginuity!$B$13=6)),
      AND(
        LEFT(P4961,5)&lt;&gt;"1-Way",
        LEFT(P4961,5)&lt;&gt;"2-Way",
        LEFT(P4961,5)&lt;&gt;"3-Way",
        P4961&lt;&gt;"Inner Centre Jamb"
      )
    ),
    IF(OR(Enginuity!$A$1="Frameless Glass",Enginuity!$A$1="Metal Work"),
      AND(TRIM(B4961)=TRIM(Enginuity!$A$17),TRIM(C4961)=TRIM(Enginuity!$A$18)),
      TRIM(B4961)=TRIM(Enginuity!$A$17)
    )
  ),
  ROW(),
  ""
)</f>
        <v/>
      </c>
    </row>
    <row r="4962" spans="21:21" x14ac:dyDescent="0.25">
      <c r="U4962" s="104" t="str">
        <f>IF(
  AND(
    TRIM(A4962)=TRIM(Enginuity!$A$1),
    TRIM(B4962)=TRIM(Enginuity!$A$17),
    Q4962&lt;&gt;"",
    Q4962&lt;&gt;0,
    OR(
      TRIM(C4962)=TRIM(Enginuity!$A$18),
      AND(UPPER(TRIM(M4962))="STD", TRIM(B4962)=TRIM(Enginuity!$A$17))
    ),
    OR(
      AND(LEFT(P4962,5)="1-Way", Enginuity!$B$13=1),
      AND(LEFT(P4962,5)="2-Way", OR(Enginuity!$B$13=2, Enginuity!$B$13=4)),
      AND(LEFT(P4962,5)="3-Way", OR(Enginuity!$B$13=3, Enginuity!$B$13=6)),
      AND(P4962="Inner Centre Jamb", OR(Enginuity!$B$13=4, Enginuity!$B$13=6)),
      AND(
        LEFT(P4962,5)&lt;&gt;"1-Way",
        LEFT(P4962,5)&lt;&gt;"2-Way",
        LEFT(P4962,5)&lt;&gt;"3-Way",
        P4962&lt;&gt;"Inner Centre Jamb"
      )
    ),
    IF(OR(Enginuity!$A$1="Frameless Glass",Enginuity!$A$1="Metal Work"),
      AND(TRIM(B4962)=TRIM(Enginuity!$A$17),TRIM(C4962)=TRIM(Enginuity!$A$18)),
      TRIM(B4962)=TRIM(Enginuity!$A$17)
    )
  ),
  ROW(),
  ""
)</f>
        <v/>
      </c>
    </row>
    <row r="4963" spans="21:21" x14ac:dyDescent="0.25">
      <c r="U4963" s="104" t="str">
        <f>IF(
  AND(
    TRIM(A4963)=TRIM(Enginuity!$A$1),
    TRIM(B4963)=TRIM(Enginuity!$A$17),
    Q4963&lt;&gt;"",
    Q4963&lt;&gt;0,
    OR(
      TRIM(C4963)=TRIM(Enginuity!$A$18),
      AND(UPPER(TRIM(M4963))="STD", TRIM(B4963)=TRIM(Enginuity!$A$17))
    ),
    OR(
      AND(LEFT(P4963,5)="1-Way", Enginuity!$B$13=1),
      AND(LEFT(P4963,5)="2-Way", OR(Enginuity!$B$13=2, Enginuity!$B$13=4)),
      AND(LEFT(P4963,5)="3-Way", OR(Enginuity!$B$13=3, Enginuity!$B$13=6)),
      AND(P4963="Inner Centre Jamb", OR(Enginuity!$B$13=4, Enginuity!$B$13=6)),
      AND(
        LEFT(P4963,5)&lt;&gt;"1-Way",
        LEFT(P4963,5)&lt;&gt;"2-Way",
        LEFT(P4963,5)&lt;&gt;"3-Way",
        P4963&lt;&gt;"Inner Centre Jamb"
      )
    ),
    IF(OR(Enginuity!$A$1="Frameless Glass",Enginuity!$A$1="Metal Work"),
      AND(TRIM(B4963)=TRIM(Enginuity!$A$17),TRIM(C4963)=TRIM(Enginuity!$A$18)),
      TRIM(B4963)=TRIM(Enginuity!$A$17)
    )
  ),
  ROW(),
  ""
)</f>
        <v/>
      </c>
    </row>
    <row r="4964" spans="21:21" x14ac:dyDescent="0.25">
      <c r="U4964" s="104" t="str">
        <f>IF(
  AND(
    TRIM(A4964)=TRIM(Enginuity!$A$1),
    TRIM(B4964)=TRIM(Enginuity!$A$17),
    Q4964&lt;&gt;"",
    Q4964&lt;&gt;0,
    OR(
      TRIM(C4964)=TRIM(Enginuity!$A$18),
      AND(UPPER(TRIM(M4964))="STD", TRIM(B4964)=TRIM(Enginuity!$A$17))
    ),
    OR(
      AND(LEFT(P4964,5)="1-Way", Enginuity!$B$13=1),
      AND(LEFT(P4964,5)="2-Way", OR(Enginuity!$B$13=2, Enginuity!$B$13=4)),
      AND(LEFT(P4964,5)="3-Way", OR(Enginuity!$B$13=3, Enginuity!$B$13=6)),
      AND(P4964="Inner Centre Jamb", OR(Enginuity!$B$13=4, Enginuity!$B$13=6)),
      AND(
        LEFT(P4964,5)&lt;&gt;"1-Way",
        LEFT(P4964,5)&lt;&gt;"2-Way",
        LEFT(P4964,5)&lt;&gt;"3-Way",
        P4964&lt;&gt;"Inner Centre Jamb"
      )
    ),
    IF(OR(Enginuity!$A$1="Frameless Glass",Enginuity!$A$1="Metal Work"),
      AND(TRIM(B4964)=TRIM(Enginuity!$A$17),TRIM(C4964)=TRIM(Enginuity!$A$18)),
      TRIM(B4964)=TRIM(Enginuity!$A$17)
    )
  ),
  ROW(),
  ""
)</f>
        <v/>
      </c>
    </row>
    <row r="4965" spans="21:21" x14ac:dyDescent="0.25">
      <c r="U4965" s="104" t="str">
        <f>IF(
  AND(
    TRIM(A4965)=TRIM(Enginuity!$A$1),
    TRIM(B4965)=TRIM(Enginuity!$A$17),
    Q4965&lt;&gt;"",
    Q4965&lt;&gt;0,
    OR(
      TRIM(C4965)=TRIM(Enginuity!$A$18),
      AND(UPPER(TRIM(M4965))="STD", TRIM(B4965)=TRIM(Enginuity!$A$17))
    ),
    OR(
      AND(LEFT(P4965,5)="1-Way", Enginuity!$B$13=1),
      AND(LEFT(P4965,5)="2-Way", OR(Enginuity!$B$13=2, Enginuity!$B$13=4)),
      AND(LEFT(P4965,5)="3-Way", OR(Enginuity!$B$13=3, Enginuity!$B$13=6)),
      AND(P4965="Inner Centre Jamb", OR(Enginuity!$B$13=4, Enginuity!$B$13=6)),
      AND(
        LEFT(P4965,5)&lt;&gt;"1-Way",
        LEFT(P4965,5)&lt;&gt;"2-Way",
        LEFT(P4965,5)&lt;&gt;"3-Way",
        P4965&lt;&gt;"Inner Centre Jamb"
      )
    ),
    IF(OR(Enginuity!$A$1="Frameless Glass",Enginuity!$A$1="Metal Work"),
      AND(TRIM(B4965)=TRIM(Enginuity!$A$17),TRIM(C4965)=TRIM(Enginuity!$A$18)),
      TRIM(B4965)=TRIM(Enginuity!$A$17)
    )
  ),
  ROW(),
  ""
)</f>
        <v/>
      </c>
    </row>
    <row r="4966" spans="21:21" x14ac:dyDescent="0.25">
      <c r="U4966" s="104" t="str">
        <f>IF(
  AND(
    TRIM(A4966)=TRIM(Enginuity!$A$1),
    TRIM(B4966)=TRIM(Enginuity!$A$17),
    Q4966&lt;&gt;"",
    Q4966&lt;&gt;0,
    OR(
      TRIM(C4966)=TRIM(Enginuity!$A$18),
      AND(UPPER(TRIM(M4966))="STD", TRIM(B4966)=TRIM(Enginuity!$A$17))
    ),
    OR(
      AND(LEFT(P4966,5)="1-Way", Enginuity!$B$13=1),
      AND(LEFT(P4966,5)="2-Way", OR(Enginuity!$B$13=2, Enginuity!$B$13=4)),
      AND(LEFT(P4966,5)="3-Way", OR(Enginuity!$B$13=3, Enginuity!$B$13=6)),
      AND(P4966="Inner Centre Jamb", OR(Enginuity!$B$13=4, Enginuity!$B$13=6)),
      AND(
        LEFT(P4966,5)&lt;&gt;"1-Way",
        LEFT(P4966,5)&lt;&gt;"2-Way",
        LEFT(P4966,5)&lt;&gt;"3-Way",
        P4966&lt;&gt;"Inner Centre Jamb"
      )
    ),
    IF(OR(Enginuity!$A$1="Frameless Glass",Enginuity!$A$1="Metal Work"),
      AND(TRIM(B4966)=TRIM(Enginuity!$A$17),TRIM(C4966)=TRIM(Enginuity!$A$18)),
      TRIM(B4966)=TRIM(Enginuity!$A$17)
    )
  ),
  ROW(),
  ""
)</f>
        <v/>
      </c>
    </row>
    <row r="4967" spans="21:21" x14ac:dyDescent="0.25">
      <c r="U4967" s="104" t="str">
        <f>IF(
  AND(
    TRIM(A4967)=TRIM(Enginuity!$A$1),
    TRIM(B4967)=TRIM(Enginuity!$A$17),
    Q4967&lt;&gt;"",
    Q4967&lt;&gt;0,
    OR(
      TRIM(C4967)=TRIM(Enginuity!$A$18),
      AND(UPPER(TRIM(M4967))="STD", TRIM(B4967)=TRIM(Enginuity!$A$17))
    ),
    OR(
      AND(LEFT(P4967,5)="1-Way", Enginuity!$B$13=1),
      AND(LEFT(P4967,5)="2-Way", OR(Enginuity!$B$13=2, Enginuity!$B$13=4)),
      AND(LEFT(P4967,5)="3-Way", OR(Enginuity!$B$13=3, Enginuity!$B$13=6)),
      AND(P4967="Inner Centre Jamb", OR(Enginuity!$B$13=4, Enginuity!$B$13=6)),
      AND(
        LEFT(P4967,5)&lt;&gt;"1-Way",
        LEFT(P4967,5)&lt;&gt;"2-Way",
        LEFT(P4967,5)&lt;&gt;"3-Way",
        P4967&lt;&gt;"Inner Centre Jamb"
      )
    ),
    IF(OR(Enginuity!$A$1="Frameless Glass",Enginuity!$A$1="Metal Work"),
      AND(TRIM(B4967)=TRIM(Enginuity!$A$17),TRIM(C4967)=TRIM(Enginuity!$A$18)),
      TRIM(B4967)=TRIM(Enginuity!$A$17)
    )
  ),
  ROW(),
  ""
)</f>
        <v/>
      </c>
    </row>
    <row r="4968" spans="21:21" x14ac:dyDescent="0.25">
      <c r="U4968" s="104" t="str">
        <f>IF(
  AND(
    TRIM(A4968)=TRIM(Enginuity!$A$1),
    TRIM(B4968)=TRIM(Enginuity!$A$17),
    Q4968&lt;&gt;"",
    Q4968&lt;&gt;0,
    OR(
      TRIM(C4968)=TRIM(Enginuity!$A$18),
      AND(UPPER(TRIM(M4968))="STD", TRIM(B4968)=TRIM(Enginuity!$A$17))
    ),
    OR(
      AND(LEFT(P4968,5)="1-Way", Enginuity!$B$13=1),
      AND(LEFT(P4968,5)="2-Way", OR(Enginuity!$B$13=2, Enginuity!$B$13=4)),
      AND(LEFT(P4968,5)="3-Way", OR(Enginuity!$B$13=3, Enginuity!$B$13=6)),
      AND(P4968="Inner Centre Jamb", OR(Enginuity!$B$13=4, Enginuity!$B$13=6)),
      AND(
        LEFT(P4968,5)&lt;&gt;"1-Way",
        LEFT(P4968,5)&lt;&gt;"2-Way",
        LEFT(P4968,5)&lt;&gt;"3-Way",
        P4968&lt;&gt;"Inner Centre Jamb"
      )
    ),
    IF(OR(Enginuity!$A$1="Frameless Glass",Enginuity!$A$1="Metal Work"),
      AND(TRIM(B4968)=TRIM(Enginuity!$A$17),TRIM(C4968)=TRIM(Enginuity!$A$18)),
      TRIM(B4968)=TRIM(Enginuity!$A$17)
    )
  ),
  ROW(),
  ""
)</f>
        <v/>
      </c>
    </row>
    <row r="4969" spans="21:21" x14ac:dyDescent="0.25">
      <c r="U4969" s="104" t="str">
        <f>IF(
  AND(
    TRIM(A4969)=TRIM(Enginuity!$A$1),
    TRIM(B4969)=TRIM(Enginuity!$A$17),
    Q4969&lt;&gt;"",
    Q4969&lt;&gt;0,
    OR(
      TRIM(C4969)=TRIM(Enginuity!$A$18),
      AND(UPPER(TRIM(M4969))="STD", TRIM(B4969)=TRIM(Enginuity!$A$17))
    ),
    OR(
      AND(LEFT(P4969,5)="1-Way", Enginuity!$B$13=1),
      AND(LEFT(P4969,5)="2-Way", OR(Enginuity!$B$13=2, Enginuity!$B$13=4)),
      AND(LEFT(P4969,5)="3-Way", OR(Enginuity!$B$13=3, Enginuity!$B$13=6)),
      AND(P4969="Inner Centre Jamb", OR(Enginuity!$B$13=4, Enginuity!$B$13=6)),
      AND(
        LEFT(P4969,5)&lt;&gt;"1-Way",
        LEFT(P4969,5)&lt;&gt;"2-Way",
        LEFT(P4969,5)&lt;&gt;"3-Way",
        P4969&lt;&gt;"Inner Centre Jamb"
      )
    ),
    IF(OR(Enginuity!$A$1="Frameless Glass",Enginuity!$A$1="Metal Work"),
      AND(TRIM(B4969)=TRIM(Enginuity!$A$17),TRIM(C4969)=TRIM(Enginuity!$A$18)),
      TRIM(B4969)=TRIM(Enginuity!$A$17)
    )
  ),
  ROW(),
  ""
)</f>
        <v/>
      </c>
    </row>
    <row r="4970" spans="21:21" x14ac:dyDescent="0.25">
      <c r="U4970" s="104" t="str">
        <f>IF(
  AND(
    TRIM(A4970)=TRIM(Enginuity!$A$1),
    TRIM(B4970)=TRIM(Enginuity!$A$17),
    Q4970&lt;&gt;"",
    Q4970&lt;&gt;0,
    OR(
      TRIM(C4970)=TRIM(Enginuity!$A$18),
      AND(UPPER(TRIM(M4970))="STD", TRIM(B4970)=TRIM(Enginuity!$A$17))
    ),
    OR(
      AND(LEFT(P4970,5)="1-Way", Enginuity!$B$13=1),
      AND(LEFT(P4970,5)="2-Way", OR(Enginuity!$B$13=2, Enginuity!$B$13=4)),
      AND(LEFT(P4970,5)="3-Way", OR(Enginuity!$B$13=3, Enginuity!$B$13=6)),
      AND(P4970="Inner Centre Jamb", OR(Enginuity!$B$13=4, Enginuity!$B$13=6)),
      AND(
        LEFT(P4970,5)&lt;&gt;"1-Way",
        LEFT(P4970,5)&lt;&gt;"2-Way",
        LEFT(P4970,5)&lt;&gt;"3-Way",
        P4970&lt;&gt;"Inner Centre Jamb"
      )
    ),
    IF(OR(Enginuity!$A$1="Frameless Glass",Enginuity!$A$1="Metal Work"),
      AND(TRIM(B4970)=TRIM(Enginuity!$A$17),TRIM(C4970)=TRIM(Enginuity!$A$18)),
      TRIM(B4970)=TRIM(Enginuity!$A$17)
    )
  ),
  ROW(),
  ""
)</f>
        <v/>
      </c>
    </row>
    <row r="4971" spans="21:21" x14ac:dyDescent="0.25">
      <c r="U4971" s="104" t="str">
        <f>IF(
  AND(
    TRIM(A4971)=TRIM(Enginuity!$A$1),
    TRIM(B4971)=TRIM(Enginuity!$A$17),
    Q4971&lt;&gt;"",
    Q4971&lt;&gt;0,
    OR(
      TRIM(C4971)=TRIM(Enginuity!$A$18),
      AND(UPPER(TRIM(M4971))="STD", TRIM(B4971)=TRIM(Enginuity!$A$17))
    ),
    OR(
      AND(LEFT(P4971,5)="1-Way", Enginuity!$B$13=1),
      AND(LEFT(P4971,5)="2-Way", OR(Enginuity!$B$13=2, Enginuity!$B$13=4)),
      AND(LEFT(P4971,5)="3-Way", OR(Enginuity!$B$13=3, Enginuity!$B$13=6)),
      AND(P4971="Inner Centre Jamb", OR(Enginuity!$B$13=4, Enginuity!$B$13=6)),
      AND(
        LEFT(P4971,5)&lt;&gt;"1-Way",
        LEFT(P4971,5)&lt;&gt;"2-Way",
        LEFT(P4971,5)&lt;&gt;"3-Way",
        P4971&lt;&gt;"Inner Centre Jamb"
      )
    ),
    IF(OR(Enginuity!$A$1="Frameless Glass",Enginuity!$A$1="Metal Work"),
      AND(TRIM(B4971)=TRIM(Enginuity!$A$17),TRIM(C4971)=TRIM(Enginuity!$A$18)),
      TRIM(B4971)=TRIM(Enginuity!$A$17)
    )
  ),
  ROW(),
  ""
)</f>
        <v/>
      </c>
    </row>
    <row r="4972" spans="21:21" x14ac:dyDescent="0.25">
      <c r="U4972" s="104" t="str">
        <f>IF(
  AND(
    TRIM(A4972)=TRIM(Enginuity!$A$1),
    TRIM(B4972)=TRIM(Enginuity!$A$17),
    Q4972&lt;&gt;"",
    Q4972&lt;&gt;0,
    OR(
      TRIM(C4972)=TRIM(Enginuity!$A$18),
      AND(UPPER(TRIM(M4972))="STD", TRIM(B4972)=TRIM(Enginuity!$A$17))
    ),
    OR(
      AND(LEFT(P4972,5)="1-Way", Enginuity!$B$13=1),
      AND(LEFT(P4972,5)="2-Way", OR(Enginuity!$B$13=2, Enginuity!$B$13=4)),
      AND(LEFT(P4972,5)="3-Way", OR(Enginuity!$B$13=3, Enginuity!$B$13=6)),
      AND(P4972="Inner Centre Jamb", OR(Enginuity!$B$13=4, Enginuity!$B$13=6)),
      AND(
        LEFT(P4972,5)&lt;&gt;"1-Way",
        LEFT(P4972,5)&lt;&gt;"2-Way",
        LEFT(P4972,5)&lt;&gt;"3-Way",
        P4972&lt;&gt;"Inner Centre Jamb"
      )
    ),
    IF(OR(Enginuity!$A$1="Frameless Glass",Enginuity!$A$1="Metal Work"),
      AND(TRIM(B4972)=TRIM(Enginuity!$A$17),TRIM(C4972)=TRIM(Enginuity!$A$18)),
      TRIM(B4972)=TRIM(Enginuity!$A$17)
    )
  ),
  ROW(),
  ""
)</f>
        <v/>
      </c>
    </row>
    <row r="4973" spans="21:21" x14ac:dyDescent="0.25">
      <c r="U4973" s="104" t="str">
        <f>IF(
  AND(
    TRIM(A4973)=TRIM(Enginuity!$A$1),
    TRIM(B4973)=TRIM(Enginuity!$A$17),
    Q4973&lt;&gt;"",
    Q4973&lt;&gt;0,
    OR(
      TRIM(C4973)=TRIM(Enginuity!$A$18),
      AND(UPPER(TRIM(M4973))="STD", TRIM(B4973)=TRIM(Enginuity!$A$17))
    ),
    OR(
      AND(LEFT(P4973,5)="1-Way", Enginuity!$B$13=1),
      AND(LEFT(P4973,5)="2-Way", OR(Enginuity!$B$13=2, Enginuity!$B$13=4)),
      AND(LEFT(P4973,5)="3-Way", OR(Enginuity!$B$13=3, Enginuity!$B$13=6)),
      AND(P4973="Inner Centre Jamb", OR(Enginuity!$B$13=4, Enginuity!$B$13=6)),
      AND(
        LEFT(P4973,5)&lt;&gt;"1-Way",
        LEFT(P4973,5)&lt;&gt;"2-Way",
        LEFT(P4973,5)&lt;&gt;"3-Way",
        P4973&lt;&gt;"Inner Centre Jamb"
      )
    ),
    IF(OR(Enginuity!$A$1="Frameless Glass",Enginuity!$A$1="Metal Work"),
      AND(TRIM(B4973)=TRIM(Enginuity!$A$17),TRIM(C4973)=TRIM(Enginuity!$A$18)),
      TRIM(B4973)=TRIM(Enginuity!$A$17)
    )
  ),
  ROW(),
  ""
)</f>
        <v/>
      </c>
    </row>
    <row r="4974" spans="21:21" x14ac:dyDescent="0.25">
      <c r="U4974" s="104" t="str">
        <f>IF(
  AND(
    TRIM(A4974)=TRIM(Enginuity!$A$1),
    TRIM(B4974)=TRIM(Enginuity!$A$17),
    Q4974&lt;&gt;"",
    Q4974&lt;&gt;0,
    OR(
      TRIM(C4974)=TRIM(Enginuity!$A$18),
      AND(UPPER(TRIM(M4974))="STD", TRIM(B4974)=TRIM(Enginuity!$A$17))
    ),
    OR(
      AND(LEFT(P4974,5)="1-Way", Enginuity!$B$13=1),
      AND(LEFT(P4974,5)="2-Way", OR(Enginuity!$B$13=2, Enginuity!$B$13=4)),
      AND(LEFT(P4974,5)="3-Way", OR(Enginuity!$B$13=3, Enginuity!$B$13=6)),
      AND(P4974="Inner Centre Jamb", OR(Enginuity!$B$13=4, Enginuity!$B$13=6)),
      AND(
        LEFT(P4974,5)&lt;&gt;"1-Way",
        LEFT(P4974,5)&lt;&gt;"2-Way",
        LEFT(P4974,5)&lt;&gt;"3-Way",
        P4974&lt;&gt;"Inner Centre Jamb"
      )
    ),
    IF(OR(Enginuity!$A$1="Frameless Glass",Enginuity!$A$1="Metal Work"),
      AND(TRIM(B4974)=TRIM(Enginuity!$A$17),TRIM(C4974)=TRIM(Enginuity!$A$18)),
      TRIM(B4974)=TRIM(Enginuity!$A$17)
    )
  ),
  ROW(),
  ""
)</f>
        <v/>
      </c>
    </row>
    <row r="4975" spans="21:21" x14ac:dyDescent="0.25">
      <c r="U4975" s="104" t="str">
        <f>IF(
  AND(
    TRIM(A4975)=TRIM(Enginuity!$A$1),
    TRIM(B4975)=TRIM(Enginuity!$A$17),
    Q4975&lt;&gt;"",
    Q4975&lt;&gt;0,
    OR(
      TRIM(C4975)=TRIM(Enginuity!$A$18),
      AND(UPPER(TRIM(M4975))="STD", TRIM(B4975)=TRIM(Enginuity!$A$17))
    ),
    OR(
      AND(LEFT(P4975,5)="1-Way", Enginuity!$B$13=1),
      AND(LEFT(P4975,5)="2-Way", OR(Enginuity!$B$13=2, Enginuity!$B$13=4)),
      AND(LEFT(P4975,5)="3-Way", OR(Enginuity!$B$13=3, Enginuity!$B$13=6)),
      AND(P4975="Inner Centre Jamb", OR(Enginuity!$B$13=4, Enginuity!$B$13=6)),
      AND(
        LEFT(P4975,5)&lt;&gt;"1-Way",
        LEFT(P4975,5)&lt;&gt;"2-Way",
        LEFT(P4975,5)&lt;&gt;"3-Way",
        P4975&lt;&gt;"Inner Centre Jamb"
      )
    ),
    IF(OR(Enginuity!$A$1="Frameless Glass",Enginuity!$A$1="Metal Work"),
      AND(TRIM(B4975)=TRIM(Enginuity!$A$17),TRIM(C4975)=TRIM(Enginuity!$A$18)),
      TRIM(B4975)=TRIM(Enginuity!$A$17)
    )
  ),
  ROW(),
  ""
)</f>
        <v/>
      </c>
    </row>
    <row r="4976" spans="21:21" x14ac:dyDescent="0.25">
      <c r="U4976" s="104" t="str">
        <f>IF(
  AND(
    TRIM(A4976)=TRIM(Enginuity!$A$1),
    TRIM(B4976)=TRIM(Enginuity!$A$17),
    Q4976&lt;&gt;"",
    Q4976&lt;&gt;0,
    OR(
      TRIM(C4976)=TRIM(Enginuity!$A$18),
      AND(UPPER(TRIM(M4976))="STD", TRIM(B4976)=TRIM(Enginuity!$A$17))
    ),
    OR(
      AND(LEFT(P4976,5)="1-Way", Enginuity!$B$13=1),
      AND(LEFT(P4976,5)="2-Way", OR(Enginuity!$B$13=2, Enginuity!$B$13=4)),
      AND(LEFT(P4976,5)="3-Way", OR(Enginuity!$B$13=3, Enginuity!$B$13=6)),
      AND(P4976="Inner Centre Jamb", OR(Enginuity!$B$13=4, Enginuity!$B$13=6)),
      AND(
        LEFT(P4976,5)&lt;&gt;"1-Way",
        LEFT(P4976,5)&lt;&gt;"2-Way",
        LEFT(P4976,5)&lt;&gt;"3-Way",
        P4976&lt;&gt;"Inner Centre Jamb"
      )
    ),
    IF(OR(Enginuity!$A$1="Frameless Glass",Enginuity!$A$1="Metal Work"),
      AND(TRIM(B4976)=TRIM(Enginuity!$A$17),TRIM(C4976)=TRIM(Enginuity!$A$18)),
      TRIM(B4976)=TRIM(Enginuity!$A$17)
    )
  ),
  ROW(),
  ""
)</f>
        <v/>
      </c>
    </row>
    <row r="4977" spans="21:21" x14ac:dyDescent="0.25">
      <c r="U4977" s="104" t="str">
        <f>IF(
  AND(
    TRIM(A4977)=TRIM(Enginuity!$A$1),
    TRIM(B4977)=TRIM(Enginuity!$A$17),
    Q4977&lt;&gt;"",
    Q4977&lt;&gt;0,
    OR(
      TRIM(C4977)=TRIM(Enginuity!$A$18),
      AND(UPPER(TRIM(M4977))="STD", TRIM(B4977)=TRIM(Enginuity!$A$17))
    ),
    OR(
      AND(LEFT(P4977,5)="1-Way", Enginuity!$B$13=1),
      AND(LEFT(P4977,5)="2-Way", OR(Enginuity!$B$13=2, Enginuity!$B$13=4)),
      AND(LEFT(P4977,5)="3-Way", OR(Enginuity!$B$13=3, Enginuity!$B$13=6)),
      AND(P4977="Inner Centre Jamb", OR(Enginuity!$B$13=4, Enginuity!$B$13=6)),
      AND(
        LEFT(P4977,5)&lt;&gt;"1-Way",
        LEFT(P4977,5)&lt;&gt;"2-Way",
        LEFT(P4977,5)&lt;&gt;"3-Way",
        P4977&lt;&gt;"Inner Centre Jamb"
      )
    ),
    IF(OR(Enginuity!$A$1="Frameless Glass",Enginuity!$A$1="Metal Work"),
      AND(TRIM(B4977)=TRIM(Enginuity!$A$17),TRIM(C4977)=TRIM(Enginuity!$A$18)),
      TRIM(B4977)=TRIM(Enginuity!$A$17)
    )
  ),
  ROW(),
  ""
)</f>
        <v/>
      </c>
    </row>
    <row r="4978" spans="21:21" x14ac:dyDescent="0.25">
      <c r="U4978" s="104" t="str">
        <f>IF(
  AND(
    TRIM(A4978)=TRIM(Enginuity!$A$1),
    TRIM(B4978)=TRIM(Enginuity!$A$17),
    Q4978&lt;&gt;"",
    Q4978&lt;&gt;0,
    OR(
      TRIM(C4978)=TRIM(Enginuity!$A$18),
      AND(UPPER(TRIM(M4978))="STD", TRIM(B4978)=TRIM(Enginuity!$A$17))
    ),
    OR(
      AND(LEFT(P4978,5)="1-Way", Enginuity!$B$13=1),
      AND(LEFT(P4978,5)="2-Way", OR(Enginuity!$B$13=2, Enginuity!$B$13=4)),
      AND(LEFT(P4978,5)="3-Way", OR(Enginuity!$B$13=3, Enginuity!$B$13=6)),
      AND(P4978="Inner Centre Jamb", OR(Enginuity!$B$13=4, Enginuity!$B$13=6)),
      AND(
        LEFT(P4978,5)&lt;&gt;"1-Way",
        LEFT(P4978,5)&lt;&gt;"2-Way",
        LEFT(P4978,5)&lt;&gt;"3-Way",
        P4978&lt;&gt;"Inner Centre Jamb"
      )
    ),
    IF(OR(Enginuity!$A$1="Frameless Glass",Enginuity!$A$1="Metal Work"),
      AND(TRIM(B4978)=TRIM(Enginuity!$A$17),TRIM(C4978)=TRIM(Enginuity!$A$18)),
      TRIM(B4978)=TRIM(Enginuity!$A$17)
    )
  ),
  ROW(),
  ""
)</f>
        <v/>
      </c>
    </row>
    <row r="4979" spans="21:21" x14ac:dyDescent="0.25">
      <c r="U4979" s="104" t="str">
        <f>IF(
  AND(
    TRIM(A4979)=TRIM(Enginuity!$A$1),
    TRIM(B4979)=TRIM(Enginuity!$A$17),
    Q4979&lt;&gt;"",
    Q4979&lt;&gt;0,
    OR(
      TRIM(C4979)=TRIM(Enginuity!$A$18),
      AND(UPPER(TRIM(M4979))="STD", TRIM(B4979)=TRIM(Enginuity!$A$17))
    ),
    OR(
      AND(LEFT(P4979,5)="1-Way", Enginuity!$B$13=1),
      AND(LEFT(P4979,5)="2-Way", OR(Enginuity!$B$13=2, Enginuity!$B$13=4)),
      AND(LEFT(P4979,5)="3-Way", OR(Enginuity!$B$13=3, Enginuity!$B$13=6)),
      AND(P4979="Inner Centre Jamb", OR(Enginuity!$B$13=4, Enginuity!$B$13=6)),
      AND(
        LEFT(P4979,5)&lt;&gt;"1-Way",
        LEFT(P4979,5)&lt;&gt;"2-Way",
        LEFT(P4979,5)&lt;&gt;"3-Way",
        P4979&lt;&gt;"Inner Centre Jamb"
      )
    ),
    IF(OR(Enginuity!$A$1="Frameless Glass",Enginuity!$A$1="Metal Work"),
      AND(TRIM(B4979)=TRIM(Enginuity!$A$17),TRIM(C4979)=TRIM(Enginuity!$A$18)),
      TRIM(B4979)=TRIM(Enginuity!$A$17)
    )
  ),
  ROW(),
  ""
)</f>
        <v/>
      </c>
    </row>
    <row r="4980" spans="21:21" x14ac:dyDescent="0.25">
      <c r="U4980" s="104" t="str">
        <f>IF(
  AND(
    TRIM(A4980)=TRIM(Enginuity!$A$1),
    TRIM(B4980)=TRIM(Enginuity!$A$17),
    Q4980&lt;&gt;"",
    Q4980&lt;&gt;0,
    OR(
      TRIM(C4980)=TRIM(Enginuity!$A$18),
      AND(UPPER(TRIM(M4980))="STD", TRIM(B4980)=TRIM(Enginuity!$A$17))
    ),
    OR(
      AND(LEFT(P4980,5)="1-Way", Enginuity!$B$13=1),
      AND(LEFT(P4980,5)="2-Way", OR(Enginuity!$B$13=2, Enginuity!$B$13=4)),
      AND(LEFT(P4980,5)="3-Way", OR(Enginuity!$B$13=3, Enginuity!$B$13=6)),
      AND(P4980="Inner Centre Jamb", OR(Enginuity!$B$13=4, Enginuity!$B$13=6)),
      AND(
        LEFT(P4980,5)&lt;&gt;"1-Way",
        LEFT(P4980,5)&lt;&gt;"2-Way",
        LEFT(P4980,5)&lt;&gt;"3-Way",
        P4980&lt;&gt;"Inner Centre Jamb"
      )
    ),
    IF(OR(Enginuity!$A$1="Frameless Glass",Enginuity!$A$1="Metal Work"),
      AND(TRIM(B4980)=TRIM(Enginuity!$A$17),TRIM(C4980)=TRIM(Enginuity!$A$18)),
      TRIM(B4980)=TRIM(Enginuity!$A$17)
    )
  ),
  ROW(),
  ""
)</f>
        <v/>
      </c>
    </row>
    <row r="4981" spans="21:21" x14ac:dyDescent="0.25">
      <c r="U4981" s="104" t="str">
        <f>IF(
  AND(
    TRIM(A4981)=TRIM(Enginuity!$A$1),
    TRIM(B4981)=TRIM(Enginuity!$A$17),
    Q4981&lt;&gt;"",
    Q4981&lt;&gt;0,
    OR(
      TRIM(C4981)=TRIM(Enginuity!$A$18),
      AND(UPPER(TRIM(M4981))="STD", TRIM(B4981)=TRIM(Enginuity!$A$17))
    ),
    OR(
      AND(LEFT(P4981,5)="1-Way", Enginuity!$B$13=1),
      AND(LEFT(P4981,5)="2-Way", OR(Enginuity!$B$13=2, Enginuity!$B$13=4)),
      AND(LEFT(P4981,5)="3-Way", OR(Enginuity!$B$13=3, Enginuity!$B$13=6)),
      AND(P4981="Inner Centre Jamb", OR(Enginuity!$B$13=4, Enginuity!$B$13=6)),
      AND(
        LEFT(P4981,5)&lt;&gt;"1-Way",
        LEFT(P4981,5)&lt;&gt;"2-Way",
        LEFT(P4981,5)&lt;&gt;"3-Way",
        P4981&lt;&gt;"Inner Centre Jamb"
      )
    ),
    IF(OR(Enginuity!$A$1="Frameless Glass",Enginuity!$A$1="Metal Work"),
      AND(TRIM(B4981)=TRIM(Enginuity!$A$17),TRIM(C4981)=TRIM(Enginuity!$A$18)),
      TRIM(B4981)=TRIM(Enginuity!$A$17)
    )
  ),
  ROW(),
  ""
)</f>
        <v/>
      </c>
    </row>
    <row r="4982" spans="21:21" x14ac:dyDescent="0.25">
      <c r="U4982" s="104" t="str">
        <f>IF(
  AND(
    TRIM(A4982)=TRIM(Enginuity!$A$1),
    TRIM(B4982)=TRIM(Enginuity!$A$17),
    Q4982&lt;&gt;"",
    Q4982&lt;&gt;0,
    OR(
      TRIM(C4982)=TRIM(Enginuity!$A$18),
      AND(UPPER(TRIM(M4982))="STD", TRIM(B4982)=TRIM(Enginuity!$A$17))
    ),
    OR(
      AND(LEFT(P4982,5)="1-Way", Enginuity!$B$13=1),
      AND(LEFT(P4982,5)="2-Way", OR(Enginuity!$B$13=2, Enginuity!$B$13=4)),
      AND(LEFT(P4982,5)="3-Way", OR(Enginuity!$B$13=3, Enginuity!$B$13=6)),
      AND(P4982="Inner Centre Jamb", OR(Enginuity!$B$13=4, Enginuity!$B$13=6)),
      AND(
        LEFT(P4982,5)&lt;&gt;"1-Way",
        LEFT(P4982,5)&lt;&gt;"2-Way",
        LEFT(P4982,5)&lt;&gt;"3-Way",
        P4982&lt;&gt;"Inner Centre Jamb"
      )
    ),
    IF(OR(Enginuity!$A$1="Frameless Glass",Enginuity!$A$1="Metal Work"),
      AND(TRIM(B4982)=TRIM(Enginuity!$A$17),TRIM(C4982)=TRIM(Enginuity!$A$18)),
      TRIM(B4982)=TRIM(Enginuity!$A$17)
    )
  ),
  ROW(),
  ""
)</f>
        <v/>
      </c>
    </row>
    <row r="4983" spans="21:21" x14ac:dyDescent="0.25">
      <c r="U4983" s="104" t="str">
        <f>IF(
  AND(
    TRIM(A4983)=TRIM(Enginuity!$A$1),
    TRIM(B4983)=TRIM(Enginuity!$A$17),
    Q4983&lt;&gt;"",
    Q4983&lt;&gt;0,
    OR(
      TRIM(C4983)=TRIM(Enginuity!$A$18),
      AND(UPPER(TRIM(M4983))="STD", TRIM(B4983)=TRIM(Enginuity!$A$17))
    ),
    OR(
      AND(LEFT(P4983,5)="1-Way", Enginuity!$B$13=1),
      AND(LEFT(P4983,5)="2-Way", OR(Enginuity!$B$13=2, Enginuity!$B$13=4)),
      AND(LEFT(P4983,5)="3-Way", OR(Enginuity!$B$13=3, Enginuity!$B$13=6)),
      AND(P4983="Inner Centre Jamb", OR(Enginuity!$B$13=4, Enginuity!$B$13=6)),
      AND(
        LEFT(P4983,5)&lt;&gt;"1-Way",
        LEFT(P4983,5)&lt;&gt;"2-Way",
        LEFT(P4983,5)&lt;&gt;"3-Way",
        P4983&lt;&gt;"Inner Centre Jamb"
      )
    ),
    IF(OR(Enginuity!$A$1="Frameless Glass",Enginuity!$A$1="Metal Work"),
      AND(TRIM(B4983)=TRIM(Enginuity!$A$17),TRIM(C4983)=TRIM(Enginuity!$A$18)),
      TRIM(B4983)=TRIM(Enginuity!$A$17)
    )
  ),
  ROW(),
  ""
)</f>
        <v/>
      </c>
    </row>
    <row r="4984" spans="21:21" x14ac:dyDescent="0.25">
      <c r="U4984" s="104" t="str">
        <f>IF(
  AND(
    TRIM(A4984)=TRIM(Enginuity!$A$1),
    TRIM(B4984)=TRIM(Enginuity!$A$17),
    Q4984&lt;&gt;"",
    Q4984&lt;&gt;0,
    OR(
      TRIM(C4984)=TRIM(Enginuity!$A$18),
      AND(UPPER(TRIM(M4984))="STD", TRIM(B4984)=TRIM(Enginuity!$A$17))
    ),
    OR(
      AND(LEFT(P4984,5)="1-Way", Enginuity!$B$13=1),
      AND(LEFT(P4984,5)="2-Way", OR(Enginuity!$B$13=2, Enginuity!$B$13=4)),
      AND(LEFT(P4984,5)="3-Way", OR(Enginuity!$B$13=3, Enginuity!$B$13=6)),
      AND(P4984="Inner Centre Jamb", OR(Enginuity!$B$13=4, Enginuity!$B$13=6)),
      AND(
        LEFT(P4984,5)&lt;&gt;"1-Way",
        LEFT(P4984,5)&lt;&gt;"2-Way",
        LEFT(P4984,5)&lt;&gt;"3-Way",
        P4984&lt;&gt;"Inner Centre Jamb"
      )
    ),
    IF(OR(Enginuity!$A$1="Frameless Glass",Enginuity!$A$1="Metal Work"),
      AND(TRIM(B4984)=TRIM(Enginuity!$A$17),TRIM(C4984)=TRIM(Enginuity!$A$18)),
      TRIM(B4984)=TRIM(Enginuity!$A$17)
    )
  ),
  ROW(),
  ""
)</f>
        <v/>
      </c>
    </row>
    <row r="4985" spans="21:21" x14ac:dyDescent="0.25">
      <c r="U4985" s="104" t="str">
        <f>IF(
  AND(
    TRIM(A4985)=TRIM(Enginuity!$A$1),
    TRIM(B4985)=TRIM(Enginuity!$A$17),
    Q4985&lt;&gt;"",
    Q4985&lt;&gt;0,
    OR(
      TRIM(C4985)=TRIM(Enginuity!$A$18),
      AND(UPPER(TRIM(M4985))="STD", TRIM(B4985)=TRIM(Enginuity!$A$17))
    ),
    OR(
      AND(LEFT(P4985,5)="1-Way", Enginuity!$B$13=1),
      AND(LEFT(P4985,5)="2-Way", OR(Enginuity!$B$13=2, Enginuity!$B$13=4)),
      AND(LEFT(P4985,5)="3-Way", OR(Enginuity!$B$13=3, Enginuity!$B$13=6)),
      AND(P4985="Inner Centre Jamb", OR(Enginuity!$B$13=4, Enginuity!$B$13=6)),
      AND(
        LEFT(P4985,5)&lt;&gt;"1-Way",
        LEFT(P4985,5)&lt;&gt;"2-Way",
        LEFT(P4985,5)&lt;&gt;"3-Way",
        P4985&lt;&gt;"Inner Centre Jamb"
      )
    ),
    IF(OR(Enginuity!$A$1="Frameless Glass",Enginuity!$A$1="Metal Work"),
      AND(TRIM(B4985)=TRIM(Enginuity!$A$17),TRIM(C4985)=TRIM(Enginuity!$A$18)),
      TRIM(B4985)=TRIM(Enginuity!$A$17)
    )
  ),
  ROW(),
  ""
)</f>
        <v/>
      </c>
    </row>
    <row r="4986" spans="21:21" x14ac:dyDescent="0.25">
      <c r="U4986" s="104" t="str">
        <f>IF(
  AND(
    TRIM(A4986)=TRIM(Enginuity!$A$1),
    TRIM(B4986)=TRIM(Enginuity!$A$17),
    Q4986&lt;&gt;"",
    Q4986&lt;&gt;0,
    OR(
      TRIM(C4986)=TRIM(Enginuity!$A$18),
      AND(UPPER(TRIM(M4986))="STD", TRIM(B4986)=TRIM(Enginuity!$A$17))
    ),
    OR(
      AND(LEFT(P4986,5)="1-Way", Enginuity!$B$13=1),
      AND(LEFT(P4986,5)="2-Way", OR(Enginuity!$B$13=2, Enginuity!$B$13=4)),
      AND(LEFT(P4986,5)="3-Way", OR(Enginuity!$B$13=3, Enginuity!$B$13=6)),
      AND(P4986="Inner Centre Jamb", OR(Enginuity!$B$13=4, Enginuity!$B$13=6)),
      AND(
        LEFT(P4986,5)&lt;&gt;"1-Way",
        LEFT(P4986,5)&lt;&gt;"2-Way",
        LEFT(P4986,5)&lt;&gt;"3-Way",
        P4986&lt;&gt;"Inner Centre Jamb"
      )
    ),
    IF(OR(Enginuity!$A$1="Frameless Glass",Enginuity!$A$1="Metal Work"),
      AND(TRIM(B4986)=TRIM(Enginuity!$A$17),TRIM(C4986)=TRIM(Enginuity!$A$18)),
      TRIM(B4986)=TRIM(Enginuity!$A$17)
    )
  ),
  ROW(),
  ""
)</f>
        <v/>
      </c>
    </row>
    <row r="4987" spans="21:21" x14ac:dyDescent="0.25">
      <c r="U4987" s="104" t="str">
        <f>IF(
  AND(
    TRIM(A4987)=TRIM(Enginuity!$A$1),
    TRIM(B4987)=TRIM(Enginuity!$A$17),
    Q4987&lt;&gt;"",
    Q4987&lt;&gt;0,
    OR(
      TRIM(C4987)=TRIM(Enginuity!$A$18),
      AND(UPPER(TRIM(M4987))="STD", TRIM(B4987)=TRIM(Enginuity!$A$17))
    ),
    OR(
      AND(LEFT(P4987,5)="1-Way", Enginuity!$B$13=1),
      AND(LEFT(P4987,5)="2-Way", OR(Enginuity!$B$13=2, Enginuity!$B$13=4)),
      AND(LEFT(P4987,5)="3-Way", OR(Enginuity!$B$13=3, Enginuity!$B$13=6)),
      AND(P4987="Inner Centre Jamb", OR(Enginuity!$B$13=4, Enginuity!$B$13=6)),
      AND(
        LEFT(P4987,5)&lt;&gt;"1-Way",
        LEFT(P4987,5)&lt;&gt;"2-Way",
        LEFT(P4987,5)&lt;&gt;"3-Way",
        P4987&lt;&gt;"Inner Centre Jamb"
      )
    ),
    IF(OR(Enginuity!$A$1="Frameless Glass",Enginuity!$A$1="Metal Work"),
      AND(TRIM(B4987)=TRIM(Enginuity!$A$17),TRIM(C4987)=TRIM(Enginuity!$A$18)),
      TRIM(B4987)=TRIM(Enginuity!$A$17)
    )
  ),
  ROW(),
  ""
)</f>
        <v/>
      </c>
    </row>
    <row r="4988" spans="21:21" x14ac:dyDescent="0.25">
      <c r="U4988" s="104" t="str">
        <f>IF(
  AND(
    TRIM(A4988)=TRIM(Enginuity!$A$1),
    TRIM(B4988)=TRIM(Enginuity!$A$17),
    Q4988&lt;&gt;"",
    Q4988&lt;&gt;0,
    OR(
      TRIM(C4988)=TRIM(Enginuity!$A$18),
      AND(UPPER(TRIM(M4988))="STD", TRIM(B4988)=TRIM(Enginuity!$A$17))
    ),
    OR(
      AND(LEFT(P4988,5)="1-Way", Enginuity!$B$13=1),
      AND(LEFT(P4988,5)="2-Way", OR(Enginuity!$B$13=2, Enginuity!$B$13=4)),
      AND(LEFT(P4988,5)="3-Way", OR(Enginuity!$B$13=3, Enginuity!$B$13=6)),
      AND(P4988="Inner Centre Jamb", OR(Enginuity!$B$13=4, Enginuity!$B$13=6)),
      AND(
        LEFT(P4988,5)&lt;&gt;"1-Way",
        LEFT(P4988,5)&lt;&gt;"2-Way",
        LEFT(P4988,5)&lt;&gt;"3-Way",
        P4988&lt;&gt;"Inner Centre Jamb"
      )
    ),
    IF(OR(Enginuity!$A$1="Frameless Glass",Enginuity!$A$1="Metal Work"),
      AND(TRIM(B4988)=TRIM(Enginuity!$A$17),TRIM(C4988)=TRIM(Enginuity!$A$18)),
      TRIM(B4988)=TRIM(Enginuity!$A$17)
    )
  ),
  ROW(),
  ""
)</f>
        <v/>
      </c>
    </row>
    <row r="4989" spans="21:21" x14ac:dyDescent="0.25">
      <c r="U4989" s="104" t="str">
        <f>IF(
  AND(
    TRIM(A4989)=TRIM(Enginuity!$A$1),
    TRIM(B4989)=TRIM(Enginuity!$A$17),
    Q4989&lt;&gt;"",
    Q4989&lt;&gt;0,
    OR(
      TRIM(C4989)=TRIM(Enginuity!$A$18),
      AND(UPPER(TRIM(M4989))="STD", TRIM(B4989)=TRIM(Enginuity!$A$17))
    ),
    OR(
      AND(LEFT(P4989,5)="1-Way", Enginuity!$B$13=1),
      AND(LEFT(P4989,5)="2-Way", OR(Enginuity!$B$13=2, Enginuity!$B$13=4)),
      AND(LEFT(P4989,5)="3-Way", OR(Enginuity!$B$13=3, Enginuity!$B$13=6)),
      AND(P4989="Inner Centre Jamb", OR(Enginuity!$B$13=4, Enginuity!$B$13=6)),
      AND(
        LEFT(P4989,5)&lt;&gt;"1-Way",
        LEFT(P4989,5)&lt;&gt;"2-Way",
        LEFT(P4989,5)&lt;&gt;"3-Way",
        P4989&lt;&gt;"Inner Centre Jamb"
      )
    ),
    IF(OR(Enginuity!$A$1="Frameless Glass",Enginuity!$A$1="Metal Work"),
      AND(TRIM(B4989)=TRIM(Enginuity!$A$17),TRIM(C4989)=TRIM(Enginuity!$A$18)),
      TRIM(B4989)=TRIM(Enginuity!$A$17)
    )
  ),
  ROW(),
  ""
)</f>
        <v/>
      </c>
    </row>
    <row r="4990" spans="21:21" x14ac:dyDescent="0.25">
      <c r="U4990" s="104" t="str">
        <f>IF(
  AND(
    TRIM(A4990)=TRIM(Enginuity!$A$1),
    TRIM(B4990)=TRIM(Enginuity!$A$17),
    Q4990&lt;&gt;"",
    Q4990&lt;&gt;0,
    OR(
      TRIM(C4990)=TRIM(Enginuity!$A$18),
      AND(UPPER(TRIM(M4990))="STD", TRIM(B4990)=TRIM(Enginuity!$A$17))
    ),
    OR(
      AND(LEFT(P4990,5)="1-Way", Enginuity!$B$13=1),
      AND(LEFT(P4990,5)="2-Way", OR(Enginuity!$B$13=2, Enginuity!$B$13=4)),
      AND(LEFT(P4990,5)="3-Way", OR(Enginuity!$B$13=3, Enginuity!$B$13=6)),
      AND(P4990="Inner Centre Jamb", OR(Enginuity!$B$13=4, Enginuity!$B$13=6)),
      AND(
        LEFT(P4990,5)&lt;&gt;"1-Way",
        LEFT(P4990,5)&lt;&gt;"2-Way",
        LEFT(P4990,5)&lt;&gt;"3-Way",
        P4990&lt;&gt;"Inner Centre Jamb"
      )
    ),
    IF(OR(Enginuity!$A$1="Frameless Glass",Enginuity!$A$1="Metal Work"),
      AND(TRIM(B4990)=TRIM(Enginuity!$A$17),TRIM(C4990)=TRIM(Enginuity!$A$18)),
      TRIM(B4990)=TRIM(Enginuity!$A$17)
    )
  ),
  ROW(),
  ""
)</f>
        <v/>
      </c>
    </row>
    <row r="4991" spans="21:21" x14ac:dyDescent="0.25">
      <c r="U4991" s="104" t="str">
        <f>IF(
  AND(
    TRIM(A4991)=TRIM(Enginuity!$A$1),
    TRIM(B4991)=TRIM(Enginuity!$A$17),
    Q4991&lt;&gt;"",
    Q4991&lt;&gt;0,
    OR(
      TRIM(C4991)=TRIM(Enginuity!$A$18),
      AND(UPPER(TRIM(M4991))="STD", TRIM(B4991)=TRIM(Enginuity!$A$17))
    ),
    OR(
      AND(LEFT(P4991,5)="1-Way", Enginuity!$B$13=1),
      AND(LEFT(P4991,5)="2-Way", OR(Enginuity!$B$13=2, Enginuity!$B$13=4)),
      AND(LEFT(P4991,5)="3-Way", OR(Enginuity!$B$13=3, Enginuity!$B$13=6)),
      AND(P4991="Inner Centre Jamb", OR(Enginuity!$B$13=4, Enginuity!$B$13=6)),
      AND(
        LEFT(P4991,5)&lt;&gt;"1-Way",
        LEFT(P4991,5)&lt;&gt;"2-Way",
        LEFT(P4991,5)&lt;&gt;"3-Way",
        P4991&lt;&gt;"Inner Centre Jamb"
      )
    ),
    IF(OR(Enginuity!$A$1="Frameless Glass",Enginuity!$A$1="Metal Work"),
      AND(TRIM(B4991)=TRIM(Enginuity!$A$17),TRIM(C4991)=TRIM(Enginuity!$A$18)),
      TRIM(B4991)=TRIM(Enginuity!$A$17)
    )
  ),
  ROW(),
  ""
)</f>
        <v/>
      </c>
    </row>
    <row r="4992" spans="21:21" x14ac:dyDescent="0.25">
      <c r="U4992" s="104" t="str">
        <f>IF(
  AND(
    TRIM(A4992)=TRIM(Enginuity!$A$1),
    TRIM(B4992)=TRIM(Enginuity!$A$17),
    Q4992&lt;&gt;"",
    Q4992&lt;&gt;0,
    OR(
      TRIM(C4992)=TRIM(Enginuity!$A$18),
      AND(UPPER(TRIM(M4992))="STD", TRIM(B4992)=TRIM(Enginuity!$A$17))
    ),
    OR(
      AND(LEFT(P4992,5)="1-Way", Enginuity!$B$13=1),
      AND(LEFT(P4992,5)="2-Way", OR(Enginuity!$B$13=2, Enginuity!$B$13=4)),
      AND(LEFT(P4992,5)="3-Way", OR(Enginuity!$B$13=3, Enginuity!$B$13=6)),
      AND(P4992="Inner Centre Jamb", OR(Enginuity!$B$13=4, Enginuity!$B$13=6)),
      AND(
        LEFT(P4992,5)&lt;&gt;"1-Way",
        LEFT(P4992,5)&lt;&gt;"2-Way",
        LEFT(P4992,5)&lt;&gt;"3-Way",
        P4992&lt;&gt;"Inner Centre Jamb"
      )
    ),
    IF(OR(Enginuity!$A$1="Frameless Glass",Enginuity!$A$1="Metal Work"),
      AND(TRIM(B4992)=TRIM(Enginuity!$A$17),TRIM(C4992)=TRIM(Enginuity!$A$18)),
      TRIM(B4992)=TRIM(Enginuity!$A$17)
    )
  ),
  ROW(),
  ""
)</f>
        <v/>
      </c>
    </row>
    <row r="4993" spans="21:21" x14ac:dyDescent="0.25">
      <c r="U4993" s="104" t="str">
        <f>IF(
  AND(
    TRIM(A4993)=TRIM(Enginuity!$A$1),
    TRIM(B4993)=TRIM(Enginuity!$A$17),
    Q4993&lt;&gt;"",
    Q4993&lt;&gt;0,
    OR(
      TRIM(C4993)=TRIM(Enginuity!$A$18),
      AND(UPPER(TRIM(M4993))="STD", TRIM(B4993)=TRIM(Enginuity!$A$17))
    ),
    OR(
      AND(LEFT(P4993,5)="1-Way", Enginuity!$B$13=1),
      AND(LEFT(P4993,5)="2-Way", OR(Enginuity!$B$13=2, Enginuity!$B$13=4)),
      AND(LEFT(P4993,5)="3-Way", OR(Enginuity!$B$13=3, Enginuity!$B$13=6)),
      AND(P4993="Inner Centre Jamb", OR(Enginuity!$B$13=4, Enginuity!$B$13=6)),
      AND(
        LEFT(P4993,5)&lt;&gt;"1-Way",
        LEFT(P4993,5)&lt;&gt;"2-Way",
        LEFT(P4993,5)&lt;&gt;"3-Way",
        P4993&lt;&gt;"Inner Centre Jamb"
      )
    ),
    IF(OR(Enginuity!$A$1="Frameless Glass",Enginuity!$A$1="Metal Work"),
      AND(TRIM(B4993)=TRIM(Enginuity!$A$17),TRIM(C4993)=TRIM(Enginuity!$A$18)),
      TRIM(B4993)=TRIM(Enginuity!$A$17)
    )
  ),
  ROW(),
  ""
)</f>
        <v/>
      </c>
    </row>
    <row r="4994" spans="21:21" x14ac:dyDescent="0.25">
      <c r="U4994" s="104" t="str">
        <f>IF(
  AND(
    TRIM(A4994)=TRIM(Enginuity!$A$1),
    TRIM(B4994)=TRIM(Enginuity!$A$17),
    Q4994&lt;&gt;"",
    Q4994&lt;&gt;0,
    OR(
      TRIM(C4994)=TRIM(Enginuity!$A$18),
      AND(UPPER(TRIM(M4994))="STD", TRIM(B4994)=TRIM(Enginuity!$A$17))
    ),
    OR(
      AND(LEFT(P4994,5)="1-Way", Enginuity!$B$13=1),
      AND(LEFT(P4994,5)="2-Way", OR(Enginuity!$B$13=2, Enginuity!$B$13=4)),
      AND(LEFT(P4994,5)="3-Way", OR(Enginuity!$B$13=3, Enginuity!$B$13=6)),
      AND(P4994="Inner Centre Jamb", OR(Enginuity!$B$13=4, Enginuity!$B$13=6)),
      AND(
        LEFT(P4994,5)&lt;&gt;"1-Way",
        LEFT(P4994,5)&lt;&gt;"2-Way",
        LEFT(P4994,5)&lt;&gt;"3-Way",
        P4994&lt;&gt;"Inner Centre Jamb"
      )
    ),
    IF(OR(Enginuity!$A$1="Frameless Glass",Enginuity!$A$1="Metal Work"),
      AND(TRIM(B4994)=TRIM(Enginuity!$A$17),TRIM(C4994)=TRIM(Enginuity!$A$18)),
      TRIM(B4994)=TRIM(Enginuity!$A$17)
    )
  ),
  ROW(),
  ""
)</f>
        <v/>
      </c>
    </row>
    <row r="4995" spans="21:21" x14ac:dyDescent="0.25">
      <c r="U4995" s="104" t="str">
        <f>IF(
  AND(
    TRIM(A4995)=TRIM(Enginuity!$A$1),
    TRIM(B4995)=TRIM(Enginuity!$A$17),
    Q4995&lt;&gt;"",
    Q4995&lt;&gt;0,
    OR(
      TRIM(C4995)=TRIM(Enginuity!$A$18),
      AND(UPPER(TRIM(M4995))="STD", TRIM(B4995)=TRIM(Enginuity!$A$17))
    ),
    OR(
      AND(LEFT(P4995,5)="1-Way", Enginuity!$B$13=1),
      AND(LEFT(P4995,5)="2-Way", OR(Enginuity!$B$13=2, Enginuity!$B$13=4)),
      AND(LEFT(P4995,5)="3-Way", OR(Enginuity!$B$13=3, Enginuity!$B$13=6)),
      AND(P4995="Inner Centre Jamb", OR(Enginuity!$B$13=4, Enginuity!$B$13=6)),
      AND(
        LEFT(P4995,5)&lt;&gt;"1-Way",
        LEFT(P4995,5)&lt;&gt;"2-Way",
        LEFT(P4995,5)&lt;&gt;"3-Way",
        P4995&lt;&gt;"Inner Centre Jamb"
      )
    ),
    IF(OR(Enginuity!$A$1="Frameless Glass",Enginuity!$A$1="Metal Work"),
      AND(TRIM(B4995)=TRIM(Enginuity!$A$17),TRIM(C4995)=TRIM(Enginuity!$A$18)),
      TRIM(B4995)=TRIM(Enginuity!$A$17)
    )
  ),
  ROW(),
  ""
)</f>
        <v/>
      </c>
    </row>
    <row r="4996" spans="21:21" x14ac:dyDescent="0.25">
      <c r="U4996" s="104" t="str">
        <f>IF(
  AND(
    TRIM(A4996)=TRIM(Enginuity!$A$1),
    TRIM(B4996)=TRIM(Enginuity!$A$17),
    Q4996&lt;&gt;"",
    Q4996&lt;&gt;0,
    OR(
      TRIM(C4996)=TRIM(Enginuity!$A$18),
      AND(UPPER(TRIM(M4996))="STD", TRIM(B4996)=TRIM(Enginuity!$A$17))
    ),
    OR(
      AND(LEFT(P4996,5)="1-Way", Enginuity!$B$13=1),
      AND(LEFT(P4996,5)="2-Way", OR(Enginuity!$B$13=2, Enginuity!$B$13=4)),
      AND(LEFT(P4996,5)="3-Way", OR(Enginuity!$B$13=3, Enginuity!$B$13=6)),
      AND(P4996="Inner Centre Jamb", OR(Enginuity!$B$13=4, Enginuity!$B$13=6)),
      AND(
        LEFT(P4996,5)&lt;&gt;"1-Way",
        LEFT(P4996,5)&lt;&gt;"2-Way",
        LEFT(P4996,5)&lt;&gt;"3-Way",
        P4996&lt;&gt;"Inner Centre Jamb"
      )
    ),
    IF(OR(Enginuity!$A$1="Frameless Glass",Enginuity!$A$1="Metal Work"),
      AND(TRIM(B4996)=TRIM(Enginuity!$A$17),TRIM(C4996)=TRIM(Enginuity!$A$18)),
      TRIM(B4996)=TRIM(Enginuity!$A$17)
    )
  ),
  ROW(),
  ""
)</f>
        <v/>
      </c>
    </row>
    <row r="4997" spans="21:21" x14ac:dyDescent="0.25">
      <c r="U4997" s="104" t="str">
        <f>IF(
  AND(
    TRIM(A4997)=TRIM(Enginuity!$A$1),
    TRIM(B4997)=TRIM(Enginuity!$A$17),
    Q4997&lt;&gt;"",
    Q4997&lt;&gt;0,
    OR(
      TRIM(C4997)=TRIM(Enginuity!$A$18),
      AND(UPPER(TRIM(M4997))="STD", TRIM(B4997)=TRIM(Enginuity!$A$17))
    ),
    OR(
      AND(LEFT(P4997,5)="1-Way", Enginuity!$B$13=1),
      AND(LEFT(P4997,5)="2-Way", OR(Enginuity!$B$13=2, Enginuity!$B$13=4)),
      AND(LEFT(P4997,5)="3-Way", OR(Enginuity!$B$13=3, Enginuity!$B$13=6)),
      AND(P4997="Inner Centre Jamb", OR(Enginuity!$B$13=4, Enginuity!$B$13=6)),
      AND(
        LEFT(P4997,5)&lt;&gt;"1-Way",
        LEFT(P4997,5)&lt;&gt;"2-Way",
        LEFT(P4997,5)&lt;&gt;"3-Way",
        P4997&lt;&gt;"Inner Centre Jamb"
      )
    ),
    IF(OR(Enginuity!$A$1="Frameless Glass",Enginuity!$A$1="Metal Work"),
      AND(TRIM(B4997)=TRIM(Enginuity!$A$17),TRIM(C4997)=TRIM(Enginuity!$A$18)),
      TRIM(B4997)=TRIM(Enginuity!$A$17)
    )
  ),
  ROW(),
  ""
)</f>
        <v/>
      </c>
    </row>
    <row r="4998" spans="21:21" x14ac:dyDescent="0.25">
      <c r="U4998" s="104" t="str">
        <f>IF(
  AND(
    TRIM(A4998)=TRIM(Enginuity!$A$1),
    TRIM(B4998)=TRIM(Enginuity!$A$17),
    Q4998&lt;&gt;"",
    Q4998&lt;&gt;0,
    OR(
      TRIM(C4998)=TRIM(Enginuity!$A$18),
      AND(UPPER(TRIM(M4998))="STD", TRIM(B4998)=TRIM(Enginuity!$A$17))
    ),
    OR(
      AND(LEFT(P4998,5)="1-Way", Enginuity!$B$13=1),
      AND(LEFT(P4998,5)="2-Way", OR(Enginuity!$B$13=2, Enginuity!$B$13=4)),
      AND(LEFT(P4998,5)="3-Way", OR(Enginuity!$B$13=3, Enginuity!$B$13=6)),
      AND(P4998="Inner Centre Jamb", OR(Enginuity!$B$13=4, Enginuity!$B$13=6)),
      AND(
        LEFT(P4998,5)&lt;&gt;"1-Way",
        LEFT(P4998,5)&lt;&gt;"2-Way",
        LEFT(P4998,5)&lt;&gt;"3-Way",
        P4998&lt;&gt;"Inner Centre Jamb"
      )
    ),
    IF(OR(Enginuity!$A$1="Frameless Glass",Enginuity!$A$1="Metal Work"),
      AND(TRIM(B4998)=TRIM(Enginuity!$A$17),TRIM(C4998)=TRIM(Enginuity!$A$18)),
      TRIM(B4998)=TRIM(Enginuity!$A$17)
    )
  ),
  ROW(),
  ""
)</f>
        <v/>
      </c>
    </row>
    <row r="4999" spans="21:21" x14ac:dyDescent="0.25">
      <c r="U4999" s="104" t="str">
        <f>IF(
  AND(
    TRIM(A4999)=TRIM(Enginuity!$A$1),
    TRIM(B4999)=TRIM(Enginuity!$A$17),
    Q4999&lt;&gt;"",
    Q4999&lt;&gt;0,
    OR(
      TRIM(C4999)=TRIM(Enginuity!$A$18),
      AND(UPPER(TRIM(M4999))="STD", TRIM(B4999)=TRIM(Enginuity!$A$17))
    ),
    OR(
      AND(LEFT(P4999,5)="1-Way", Enginuity!$B$13=1),
      AND(LEFT(P4999,5)="2-Way", OR(Enginuity!$B$13=2, Enginuity!$B$13=4)),
      AND(LEFT(P4999,5)="3-Way", OR(Enginuity!$B$13=3, Enginuity!$B$13=6)),
      AND(P4999="Inner Centre Jamb", OR(Enginuity!$B$13=4, Enginuity!$B$13=6)),
      AND(
        LEFT(P4999,5)&lt;&gt;"1-Way",
        LEFT(P4999,5)&lt;&gt;"2-Way",
        LEFT(P4999,5)&lt;&gt;"3-Way",
        P4999&lt;&gt;"Inner Centre Jamb"
      )
    ),
    IF(OR(Enginuity!$A$1="Frameless Glass",Enginuity!$A$1="Metal Work"),
      AND(TRIM(B4999)=TRIM(Enginuity!$A$17),TRIM(C4999)=TRIM(Enginuity!$A$18)),
      TRIM(B4999)=TRIM(Enginuity!$A$17)
    )
  ),
  ROW(),
  ""
)</f>
        <v/>
      </c>
    </row>
    <row r="5000" spans="21:21" x14ac:dyDescent="0.25">
      <c r="U5000" s="104" t="str">
        <f>IF(
  AND(
    TRIM(A5000)=TRIM(Enginuity!$A$1),
    TRIM(B5000)=TRIM(Enginuity!$A$17),
    Q5000&lt;&gt;"",
    Q5000&lt;&gt;0,
    OR(
      TRIM(C5000)=TRIM(Enginuity!$A$18),
      AND(UPPER(TRIM(M5000))="STD", TRIM(B5000)=TRIM(Enginuity!$A$17))
    ),
    OR(
      AND(LEFT(P5000,5)="1-Way", Enginuity!$B$13=1),
      AND(LEFT(P5000,5)="2-Way", OR(Enginuity!$B$13=2, Enginuity!$B$13=4)),
      AND(LEFT(P5000,5)="3-Way", OR(Enginuity!$B$13=3, Enginuity!$B$13=6)),
      AND(P5000="Inner Centre Jamb", OR(Enginuity!$B$13=4, Enginuity!$B$13=6)),
      AND(
        LEFT(P5000,5)&lt;&gt;"1-Way",
        LEFT(P5000,5)&lt;&gt;"2-Way",
        LEFT(P5000,5)&lt;&gt;"3-Way",
        P5000&lt;&gt;"Inner Centre Jamb"
      )
    ),
    IF(OR(Enginuity!$A$1="Frameless Glass",Enginuity!$A$1="Metal Work"),
      AND(TRIM(B5000)=TRIM(Enginuity!$A$17),TRIM(C5000)=TRIM(Enginuity!$A$18)),
      TRIM(B5000)=TRIM(Enginuity!$A$17)
    )
  ),
  ROW(),
  ""
)</f>
        <v/>
      </c>
    </row>
    <row r="5001" spans="21:21" x14ac:dyDescent="0.25">
      <c r="U5001" s="104" t="str">
        <f>IF(
  AND(
    TRIM(A5001)=TRIM(Enginuity!$A$1),
    TRIM(B5001)=TRIM(Enginuity!$A$17),
    Q5001&lt;&gt;"",
    Q5001&lt;&gt;0,
    OR(
      TRIM(C5001)=TRIM(Enginuity!$A$18),
      AND(UPPER(TRIM(M5001))="STD", TRIM(B5001)=TRIM(Enginuity!$A$17))
    ),
    OR(
      AND(LEFT(P5001,5)="1-Way", Enginuity!$B$13=1),
      AND(LEFT(P5001,5)="2-Way", OR(Enginuity!$B$13=2, Enginuity!$B$13=4)),
      AND(LEFT(P5001,5)="3-Way", OR(Enginuity!$B$13=3, Enginuity!$B$13=6)),
      AND(P5001="Inner Centre Jamb", OR(Enginuity!$B$13=4, Enginuity!$B$13=6)),
      AND(
        LEFT(P5001,5)&lt;&gt;"1-Way",
        LEFT(P5001,5)&lt;&gt;"2-Way",
        LEFT(P5001,5)&lt;&gt;"3-Way",
        P5001&lt;&gt;"Inner Centre Jamb"
      )
    ),
    IF(OR(Enginuity!$A$1="Frameless Glass",Enginuity!$A$1="Metal Work"),
      AND(TRIM(B5001)=TRIM(Enginuity!$A$17),TRIM(C5001)=TRIM(Enginuity!$A$18)),
      TRIM(B5001)=TRIM(Enginuity!$A$17)
    )
  ),
  ROW(),
  ""
)</f>
        <v/>
      </c>
    </row>
    <row r="5002" spans="21:21" x14ac:dyDescent="0.25">
      <c r="U5002" s="104" t="str">
        <f>IF(
  AND(
    TRIM(A5002)=TRIM(Enginuity!$A$1),
    TRIM(B5002)=TRIM(Enginuity!$A$17),
    Q5002&lt;&gt;"",
    Q5002&lt;&gt;0,
    OR(
      TRIM(C5002)=TRIM(Enginuity!$A$18),
      AND(UPPER(TRIM(M5002))="STD", TRIM(B5002)=TRIM(Enginuity!$A$17))
    ),
    OR(
      AND(LEFT(P5002,5)="1-Way", Enginuity!$B$13=1),
      AND(LEFT(P5002,5)="2-Way", OR(Enginuity!$B$13=2, Enginuity!$B$13=4)),
      AND(LEFT(P5002,5)="3-Way", OR(Enginuity!$B$13=3, Enginuity!$B$13=6)),
      AND(P5002="Inner Centre Jamb", OR(Enginuity!$B$13=4, Enginuity!$B$13=6)),
      AND(
        LEFT(P5002,5)&lt;&gt;"1-Way",
        LEFT(P5002,5)&lt;&gt;"2-Way",
        LEFT(P5002,5)&lt;&gt;"3-Way",
        P5002&lt;&gt;"Inner Centre Jamb"
      )
    ),
    IF(OR(Enginuity!$A$1="Frameless Glass",Enginuity!$A$1="Metal Work"),
      AND(TRIM(B5002)=TRIM(Enginuity!$A$17),TRIM(C5002)=TRIM(Enginuity!$A$18)),
      TRIM(B5002)=TRIM(Enginuity!$A$17)
    )
  ),
  ROW(),
  ""
)</f>
        <v/>
      </c>
    </row>
    <row r="5003" spans="21:21" x14ac:dyDescent="0.25">
      <c r="U5003" s="104" t="str">
        <f>IF(
  AND(
    TRIM(A5003)=TRIM(Enginuity!$A$1),
    TRIM(B5003)=TRIM(Enginuity!$A$17),
    Q5003&lt;&gt;"",
    Q5003&lt;&gt;0,
    OR(
      TRIM(C5003)=TRIM(Enginuity!$A$18),
      AND(UPPER(TRIM(M5003))="STD", TRIM(B5003)=TRIM(Enginuity!$A$17))
    ),
    OR(
      AND(LEFT(P5003,5)="1-Way", Enginuity!$B$13=1),
      AND(LEFT(P5003,5)="2-Way", OR(Enginuity!$B$13=2, Enginuity!$B$13=4)),
      AND(LEFT(P5003,5)="3-Way", OR(Enginuity!$B$13=3, Enginuity!$B$13=6)),
      AND(P5003="Inner Centre Jamb", OR(Enginuity!$B$13=4, Enginuity!$B$13=6)),
      AND(
        LEFT(P5003,5)&lt;&gt;"1-Way",
        LEFT(P5003,5)&lt;&gt;"2-Way",
        LEFT(P5003,5)&lt;&gt;"3-Way",
        P5003&lt;&gt;"Inner Centre Jamb"
      )
    ),
    IF(OR(Enginuity!$A$1="Frameless Glass",Enginuity!$A$1="Metal Work"),
      AND(TRIM(B5003)=TRIM(Enginuity!$A$17),TRIM(C5003)=TRIM(Enginuity!$A$18)),
      TRIM(B5003)=TRIM(Enginuity!$A$17)
    )
  ),
  ROW(),
  ""
)</f>
        <v/>
      </c>
    </row>
    <row r="5004" spans="21:21" x14ac:dyDescent="0.25">
      <c r="U5004" s="104" t="str">
        <f>IF(
  AND(
    TRIM(A5004)=TRIM(Enginuity!$A$1),
    TRIM(B5004)=TRIM(Enginuity!$A$17),
    Q5004&lt;&gt;"",
    Q5004&lt;&gt;0,
    OR(
      TRIM(C5004)=TRIM(Enginuity!$A$18),
      AND(UPPER(TRIM(M5004))="STD", TRIM(B5004)=TRIM(Enginuity!$A$17))
    ),
    OR(
      AND(LEFT(P5004,5)="1-Way", Enginuity!$B$13=1),
      AND(LEFT(P5004,5)="2-Way", OR(Enginuity!$B$13=2, Enginuity!$B$13=4)),
      AND(LEFT(P5004,5)="3-Way", OR(Enginuity!$B$13=3, Enginuity!$B$13=6)),
      AND(P5004="Inner Centre Jamb", OR(Enginuity!$B$13=4, Enginuity!$B$13=6)),
      AND(
        LEFT(P5004,5)&lt;&gt;"1-Way",
        LEFT(P5004,5)&lt;&gt;"2-Way",
        LEFT(P5004,5)&lt;&gt;"3-Way",
        P5004&lt;&gt;"Inner Centre Jamb"
      )
    ),
    IF(OR(Enginuity!$A$1="Frameless Glass",Enginuity!$A$1="Metal Work"),
      AND(TRIM(B5004)=TRIM(Enginuity!$A$17),TRIM(C5004)=TRIM(Enginuity!$A$18)),
      TRIM(B5004)=TRIM(Enginuity!$A$17)
    )
  ),
  ROW(),
  ""
)</f>
        <v/>
      </c>
    </row>
    <row r="5005" spans="21:21" x14ac:dyDescent="0.25">
      <c r="U5005" s="104" t="str">
        <f>IF(
  AND(
    TRIM(A5005)=TRIM(Enginuity!$A$1),
    TRIM(B5005)=TRIM(Enginuity!$A$17),
    Q5005&lt;&gt;"",
    Q5005&lt;&gt;0,
    OR(
      TRIM(C5005)=TRIM(Enginuity!$A$18),
      AND(UPPER(TRIM(M5005))="STD", TRIM(B5005)=TRIM(Enginuity!$A$17))
    ),
    OR(
      AND(LEFT(P5005,5)="1-Way", Enginuity!$B$13=1),
      AND(LEFT(P5005,5)="2-Way", OR(Enginuity!$B$13=2, Enginuity!$B$13=4)),
      AND(LEFT(P5005,5)="3-Way", OR(Enginuity!$B$13=3, Enginuity!$B$13=6)),
      AND(P5005="Inner Centre Jamb", OR(Enginuity!$B$13=4, Enginuity!$B$13=6)),
      AND(
        LEFT(P5005,5)&lt;&gt;"1-Way",
        LEFT(P5005,5)&lt;&gt;"2-Way",
        LEFT(P5005,5)&lt;&gt;"3-Way",
        P5005&lt;&gt;"Inner Centre Jamb"
      )
    ),
    IF(OR(Enginuity!$A$1="Frameless Glass",Enginuity!$A$1="Metal Work"),
      AND(TRIM(B5005)=TRIM(Enginuity!$A$17),TRIM(C5005)=TRIM(Enginuity!$A$18)),
      TRIM(B5005)=TRIM(Enginuity!$A$17)
    )
  ),
  ROW(),
  ""
)</f>
        <v/>
      </c>
    </row>
    <row r="5006" spans="21:21" x14ac:dyDescent="0.25">
      <c r="U5006" s="104" t="str">
        <f>IF(
  AND(
    TRIM(A5006)=TRIM(Enginuity!$A$1),
    TRIM(B5006)=TRIM(Enginuity!$A$17),
    Q5006&lt;&gt;"",
    Q5006&lt;&gt;0,
    OR(
      TRIM(C5006)=TRIM(Enginuity!$A$18),
      AND(UPPER(TRIM(M5006))="STD", TRIM(B5006)=TRIM(Enginuity!$A$17))
    ),
    OR(
      AND(LEFT(P5006,5)="1-Way", Enginuity!$B$13=1),
      AND(LEFT(P5006,5)="2-Way", OR(Enginuity!$B$13=2, Enginuity!$B$13=4)),
      AND(LEFT(P5006,5)="3-Way", OR(Enginuity!$B$13=3, Enginuity!$B$13=6)),
      AND(P5006="Inner Centre Jamb", OR(Enginuity!$B$13=4, Enginuity!$B$13=6)),
      AND(
        LEFT(P5006,5)&lt;&gt;"1-Way",
        LEFT(P5006,5)&lt;&gt;"2-Way",
        LEFT(P5006,5)&lt;&gt;"3-Way",
        P5006&lt;&gt;"Inner Centre Jamb"
      )
    ),
    IF(OR(Enginuity!$A$1="Frameless Glass",Enginuity!$A$1="Metal Work"),
      AND(TRIM(B5006)=TRIM(Enginuity!$A$17),TRIM(C5006)=TRIM(Enginuity!$A$18)),
      TRIM(B5006)=TRIM(Enginuity!$A$17)
    )
  ),
  ROW(),
  ""
)</f>
        <v/>
      </c>
    </row>
    <row r="5007" spans="21:21" x14ac:dyDescent="0.25">
      <c r="U5007" s="104" t="str">
        <f>IF(
  AND(
    TRIM(A5007)=TRIM(Enginuity!$A$1),
    TRIM(B5007)=TRIM(Enginuity!$A$17),
    Q5007&lt;&gt;"",
    Q5007&lt;&gt;0,
    OR(
      TRIM(C5007)=TRIM(Enginuity!$A$18),
      AND(UPPER(TRIM(M5007))="STD", TRIM(B5007)=TRIM(Enginuity!$A$17))
    ),
    OR(
      AND(LEFT(P5007,5)="1-Way", Enginuity!$B$13=1),
      AND(LEFT(P5007,5)="2-Way", OR(Enginuity!$B$13=2, Enginuity!$B$13=4)),
      AND(LEFT(P5007,5)="3-Way", OR(Enginuity!$B$13=3, Enginuity!$B$13=6)),
      AND(P5007="Inner Centre Jamb", OR(Enginuity!$B$13=4, Enginuity!$B$13=6)),
      AND(
        LEFT(P5007,5)&lt;&gt;"1-Way",
        LEFT(P5007,5)&lt;&gt;"2-Way",
        LEFT(P5007,5)&lt;&gt;"3-Way",
        P5007&lt;&gt;"Inner Centre Jamb"
      )
    ),
    IF(OR(Enginuity!$A$1="Frameless Glass",Enginuity!$A$1="Metal Work"),
      AND(TRIM(B5007)=TRIM(Enginuity!$A$17),TRIM(C5007)=TRIM(Enginuity!$A$18)),
      TRIM(B5007)=TRIM(Enginuity!$A$17)
    )
  ),
  ROW(),
  ""
)</f>
        <v/>
      </c>
    </row>
    <row r="5008" spans="21:21" x14ac:dyDescent="0.25">
      <c r="U5008" s="104" t="str">
        <f>IF(
  AND(
    TRIM(A5008)=TRIM(Enginuity!$A$1),
    TRIM(B5008)=TRIM(Enginuity!$A$17),
    Q5008&lt;&gt;"",
    Q5008&lt;&gt;0,
    OR(
      TRIM(C5008)=TRIM(Enginuity!$A$18),
      AND(UPPER(TRIM(M5008))="STD", TRIM(B5008)=TRIM(Enginuity!$A$17))
    ),
    OR(
      AND(LEFT(P5008,5)="1-Way", Enginuity!$B$13=1),
      AND(LEFT(P5008,5)="2-Way", OR(Enginuity!$B$13=2, Enginuity!$B$13=4)),
      AND(LEFT(P5008,5)="3-Way", OR(Enginuity!$B$13=3, Enginuity!$B$13=6)),
      AND(P5008="Inner Centre Jamb", OR(Enginuity!$B$13=4, Enginuity!$B$13=6)),
      AND(
        LEFT(P5008,5)&lt;&gt;"1-Way",
        LEFT(P5008,5)&lt;&gt;"2-Way",
        LEFT(P5008,5)&lt;&gt;"3-Way",
        P5008&lt;&gt;"Inner Centre Jamb"
      )
    ),
    IF(OR(Enginuity!$A$1="Frameless Glass",Enginuity!$A$1="Metal Work"),
      AND(TRIM(B5008)=TRIM(Enginuity!$A$17),TRIM(C5008)=TRIM(Enginuity!$A$18)),
      TRIM(B5008)=TRIM(Enginuity!$A$17)
    )
  ),
  ROW(),
  ""
)</f>
        <v/>
      </c>
    </row>
    <row r="5009" spans="21:21" x14ac:dyDescent="0.25">
      <c r="U5009" s="104" t="str">
        <f>IF(
  AND(
    TRIM(A5009)=TRIM(Enginuity!$A$1),
    TRIM(B5009)=TRIM(Enginuity!$A$17),
    Q5009&lt;&gt;"",
    Q5009&lt;&gt;0,
    OR(
      TRIM(C5009)=TRIM(Enginuity!$A$18),
      AND(UPPER(TRIM(M5009))="STD", TRIM(B5009)=TRIM(Enginuity!$A$17))
    ),
    OR(
      AND(LEFT(P5009,5)="1-Way", Enginuity!$B$13=1),
      AND(LEFT(P5009,5)="2-Way", OR(Enginuity!$B$13=2, Enginuity!$B$13=4)),
      AND(LEFT(P5009,5)="3-Way", OR(Enginuity!$B$13=3, Enginuity!$B$13=6)),
      AND(P5009="Inner Centre Jamb", OR(Enginuity!$B$13=4, Enginuity!$B$13=6)),
      AND(
        LEFT(P5009,5)&lt;&gt;"1-Way",
        LEFT(P5009,5)&lt;&gt;"2-Way",
        LEFT(P5009,5)&lt;&gt;"3-Way",
        P5009&lt;&gt;"Inner Centre Jamb"
      )
    ),
    IF(OR(Enginuity!$A$1="Frameless Glass",Enginuity!$A$1="Metal Work"),
      AND(TRIM(B5009)=TRIM(Enginuity!$A$17),TRIM(C5009)=TRIM(Enginuity!$A$18)),
      TRIM(B5009)=TRIM(Enginuity!$A$17)
    )
  ),
  ROW(),
  ""
)</f>
        <v/>
      </c>
    </row>
    <row r="5010" spans="21:21" x14ac:dyDescent="0.25">
      <c r="U5010" s="104" t="str">
        <f>IF(
  AND(
    TRIM(A5010)=TRIM(Enginuity!$A$1),
    TRIM(B5010)=TRIM(Enginuity!$A$17),
    Q5010&lt;&gt;"",
    Q5010&lt;&gt;0,
    OR(
      TRIM(C5010)=TRIM(Enginuity!$A$18),
      AND(UPPER(TRIM(M5010))="STD", TRIM(B5010)=TRIM(Enginuity!$A$17))
    ),
    OR(
      AND(LEFT(P5010,5)="1-Way", Enginuity!$B$13=1),
      AND(LEFT(P5010,5)="2-Way", OR(Enginuity!$B$13=2, Enginuity!$B$13=4)),
      AND(LEFT(P5010,5)="3-Way", OR(Enginuity!$B$13=3, Enginuity!$B$13=6)),
      AND(P5010="Inner Centre Jamb", OR(Enginuity!$B$13=4, Enginuity!$B$13=6)),
      AND(
        LEFT(P5010,5)&lt;&gt;"1-Way",
        LEFT(P5010,5)&lt;&gt;"2-Way",
        LEFT(P5010,5)&lt;&gt;"3-Way",
        P5010&lt;&gt;"Inner Centre Jamb"
      )
    ),
    IF(OR(Enginuity!$A$1="Frameless Glass",Enginuity!$A$1="Metal Work"),
      AND(TRIM(B5010)=TRIM(Enginuity!$A$17),TRIM(C5010)=TRIM(Enginuity!$A$18)),
      TRIM(B5010)=TRIM(Enginuity!$A$17)
    )
  ),
  ROW(),
  ""
)</f>
        <v/>
      </c>
    </row>
    <row r="5011" spans="21:21" x14ac:dyDescent="0.25">
      <c r="U5011" s="104" t="str">
        <f>IF(
  AND(
    TRIM(A5011)=TRIM(Enginuity!$A$1),
    TRIM(B5011)=TRIM(Enginuity!$A$17),
    Q5011&lt;&gt;"",
    Q5011&lt;&gt;0,
    OR(
      TRIM(C5011)=TRIM(Enginuity!$A$18),
      AND(UPPER(TRIM(M5011))="STD", TRIM(B5011)=TRIM(Enginuity!$A$17))
    ),
    OR(
      AND(LEFT(P5011,5)="1-Way", Enginuity!$B$13=1),
      AND(LEFT(P5011,5)="2-Way", OR(Enginuity!$B$13=2, Enginuity!$B$13=4)),
      AND(LEFT(P5011,5)="3-Way", OR(Enginuity!$B$13=3, Enginuity!$B$13=6)),
      AND(P5011="Inner Centre Jamb", OR(Enginuity!$B$13=4, Enginuity!$B$13=6)),
      AND(
        LEFT(P5011,5)&lt;&gt;"1-Way",
        LEFT(P5011,5)&lt;&gt;"2-Way",
        LEFT(P5011,5)&lt;&gt;"3-Way",
        P5011&lt;&gt;"Inner Centre Jamb"
      )
    ),
    IF(OR(Enginuity!$A$1="Frameless Glass",Enginuity!$A$1="Metal Work"),
      AND(TRIM(B5011)=TRIM(Enginuity!$A$17),TRIM(C5011)=TRIM(Enginuity!$A$18)),
      TRIM(B5011)=TRIM(Enginuity!$A$17)
    )
  ),
  ROW(),
  ""
)</f>
        <v/>
      </c>
    </row>
    <row r="5012" spans="21:21" x14ac:dyDescent="0.25">
      <c r="U5012" s="104" t="str">
        <f>IF(
  AND(
    TRIM(A5012)=TRIM(Enginuity!$A$1),
    TRIM(B5012)=TRIM(Enginuity!$A$17),
    Q5012&lt;&gt;"",
    Q5012&lt;&gt;0,
    OR(
      TRIM(C5012)=TRIM(Enginuity!$A$18),
      AND(UPPER(TRIM(M5012))="STD", TRIM(B5012)=TRIM(Enginuity!$A$17))
    ),
    OR(
      AND(LEFT(P5012,5)="1-Way", Enginuity!$B$13=1),
      AND(LEFT(P5012,5)="2-Way", OR(Enginuity!$B$13=2, Enginuity!$B$13=4)),
      AND(LEFT(P5012,5)="3-Way", OR(Enginuity!$B$13=3, Enginuity!$B$13=6)),
      AND(P5012="Inner Centre Jamb", OR(Enginuity!$B$13=4, Enginuity!$B$13=6)),
      AND(
        LEFT(P5012,5)&lt;&gt;"1-Way",
        LEFT(P5012,5)&lt;&gt;"2-Way",
        LEFT(P5012,5)&lt;&gt;"3-Way",
        P5012&lt;&gt;"Inner Centre Jamb"
      )
    ),
    IF(OR(Enginuity!$A$1="Frameless Glass",Enginuity!$A$1="Metal Work"),
      AND(TRIM(B5012)=TRIM(Enginuity!$A$17),TRIM(C5012)=TRIM(Enginuity!$A$18)),
      TRIM(B5012)=TRIM(Enginuity!$A$17)
    )
  ),
  ROW(),
  ""
)</f>
        <v/>
      </c>
    </row>
    <row r="5013" spans="21:21" x14ac:dyDescent="0.25">
      <c r="U5013" s="104" t="str">
        <f>IF(
  AND(
    TRIM(A5013)=TRIM(Enginuity!$A$1),
    TRIM(B5013)=TRIM(Enginuity!$A$17),
    Q5013&lt;&gt;"",
    Q5013&lt;&gt;0,
    OR(
      TRIM(C5013)=TRIM(Enginuity!$A$18),
      AND(UPPER(TRIM(M5013))="STD", TRIM(B5013)=TRIM(Enginuity!$A$17))
    ),
    OR(
      AND(LEFT(P5013,5)="1-Way", Enginuity!$B$13=1),
      AND(LEFT(P5013,5)="2-Way", OR(Enginuity!$B$13=2, Enginuity!$B$13=4)),
      AND(LEFT(P5013,5)="3-Way", OR(Enginuity!$B$13=3, Enginuity!$B$13=6)),
      AND(P5013="Inner Centre Jamb", OR(Enginuity!$B$13=4, Enginuity!$B$13=6)),
      AND(
        LEFT(P5013,5)&lt;&gt;"1-Way",
        LEFT(P5013,5)&lt;&gt;"2-Way",
        LEFT(P5013,5)&lt;&gt;"3-Way",
        P5013&lt;&gt;"Inner Centre Jamb"
      )
    ),
    IF(OR(Enginuity!$A$1="Frameless Glass",Enginuity!$A$1="Metal Work"),
      AND(TRIM(B5013)=TRIM(Enginuity!$A$17),TRIM(C5013)=TRIM(Enginuity!$A$18)),
      TRIM(B5013)=TRIM(Enginuity!$A$17)
    )
  ),
  ROW(),
  ""
)</f>
        <v/>
      </c>
    </row>
    <row r="5014" spans="21:21" x14ac:dyDescent="0.25">
      <c r="U5014" s="104" t="str">
        <f>IF(
  AND(
    TRIM(A5014)=TRIM(Enginuity!$A$1),
    TRIM(B5014)=TRIM(Enginuity!$A$17),
    Q5014&lt;&gt;"",
    Q5014&lt;&gt;0,
    OR(
      TRIM(C5014)=TRIM(Enginuity!$A$18),
      AND(UPPER(TRIM(M5014))="STD", TRIM(B5014)=TRIM(Enginuity!$A$17))
    ),
    OR(
      AND(LEFT(P5014,5)="1-Way", Enginuity!$B$13=1),
      AND(LEFT(P5014,5)="2-Way", OR(Enginuity!$B$13=2, Enginuity!$B$13=4)),
      AND(LEFT(P5014,5)="3-Way", OR(Enginuity!$B$13=3, Enginuity!$B$13=6)),
      AND(P5014="Inner Centre Jamb", OR(Enginuity!$B$13=4, Enginuity!$B$13=6)),
      AND(
        LEFT(P5014,5)&lt;&gt;"1-Way",
        LEFT(P5014,5)&lt;&gt;"2-Way",
        LEFT(P5014,5)&lt;&gt;"3-Way",
        P5014&lt;&gt;"Inner Centre Jamb"
      )
    ),
    IF(OR(Enginuity!$A$1="Frameless Glass",Enginuity!$A$1="Metal Work"),
      AND(TRIM(B5014)=TRIM(Enginuity!$A$17),TRIM(C5014)=TRIM(Enginuity!$A$18)),
      TRIM(B5014)=TRIM(Enginuity!$A$17)
    )
  ),
  ROW(),
  ""
)</f>
        <v/>
      </c>
    </row>
    <row r="5015" spans="21:21" x14ac:dyDescent="0.25">
      <c r="U5015" s="104" t="str">
        <f>IF(
  AND(
    TRIM(A5015)=TRIM(Enginuity!$A$1),
    TRIM(B5015)=TRIM(Enginuity!$A$17),
    Q5015&lt;&gt;"",
    Q5015&lt;&gt;0,
    OR(
      TRIM(C5015)=TRIM(Enginuity!$A$18),
      AND(UPPER(TRIM(M5015))="STD", TRIM(B5015)=TRIM(Enginuity!$A$17))
    ),
    OR(
      AND(LEFT(P5015,5)="1-Way", Enginuity!$B$13=1),
      AND(LEFT(P5015,5)="2-Way", OR(Enginuity!$B$13=2, Enginuity!$B$13=4)),
      AND(LEFT(P5015,5)="3-Way", OR(Enginuity!$B$13=3, Enginuity!$B$13=6)),
      AND(P5015="Inner Centre Jamb", OR(Enginuity!$B$13=4, Enginuity!$B$13=6)),
      AND(
        LEFT(P5015,5)&lt;&gt;"1-Way",
        LEFT(P5015,5)&lt;&gt;"2-Way",
        LEFT(P5015,5)&lt;&gt;"3-Way",
        P5015&lt;&gt;"Inner Centre Jamb"
      )
    ),
    IF(OR(Enginuity!$A$1="Frameless Glass",Enginuity!$A$1="Metal Work"),
      AND(TRIM(B5015)=TRIM(Enginuity!$A$17),TRIM(C5015)=TRIM(Enginuity!$A$18)),
      TRIM(B5015)=TRIM(Enginuity!$A$17)
    )
  ),
  ROW(),
  ""
)</f>
        <v/>
      </c>
    </row>
    <row r="5016" spans="21:21" x14ac:dyDescent="0.25">
      <c r="U5016" s="104" t="str">
        <f>IF(
  AND(
    TRIM(A5016)=TRIM(Enginuity!$A$1),
    TRIM(B5016)=TRIM(Enginuity!$A$17),
    Q5016&lt;&gt;"",
    Q5016&lt;&gt;0,
    OR(
      TRIM(C5016)=TRIM(Enginuity!$A$18),
      AND(UPPER(TRIM(M5016))="STD", TRIM(B5016)=TRIM(Enginuity!$A$17))
    ),
    OR(
      AND(LEFT(P5016,5)="1-Way", Enginuity!$B$13=1),
      AND(LEFT(P5016,5)="2-Way", OR(Enginuity!$B$13=2, Enginuity!$B$13=4)),
      AND(LEFT(P5016,5)="3-Way", OR(Enginuity!$B$13=3, Enginuity!$B$13=6)),
      AND(P5016="Inner Centre Jamb", OR(Enginuity!$B$13=4, Enginuity!$B$13=6)),
      AND(
        LEFT(P5016,5)&lt;&gt;"1-Way",
        LEFT(P5016,5)&lt;&gt;"2-Way",
        LEFT(P5016,5)&lt;&gt;"3-Way",
        P5016&lt;&gt;"Inner Centre Jamb"
      )
    ),
    IF(OR(Enginuity!$A$1="Frameless Glass",Enginuity!$A$1="Metal Work"),
      AND(TRIM(B5016)=TRIM(Enginuity!$A$17),TRIM(C5016)=TRIM(Enginuity!$A$18)),
      TRIM(B5016)=TRIM(Enginuity!$A$17)
    )
  ),
  ROW(),
  ""
)</f>
        <v/>
      </c>
    </row>
    <row r="5017" spans="21:21" x14ac:dyDescent="0.25">
      <c r="U5017" s="104" t="str">
        <f>IF(
  AND(
    TRIM(A5017)=TRIM(Enginuity!$A$1),
    TRIM(B5017)=TRIM(Enginuity!$A$17),
    Q5017&lt;&gt;"",
    Q5017&lt;&gt;0,
    OR(
      TRIM(C5017)=TRIM(Enginuity!$A$18),
      AND(UPPER(TRIM(M5017))="STD", TRIM(B5017)=TRIM(Enginuity!$A$17))
    ),
    OR(
      AND(LEFT(P5017,5)="1-Way", Enginuity!$B$13=1),
      AND(LEFT(P5017,5)="2-Way", OR(Enginuity!$B$13=2, Enginuity!$B$13=4)),
      AND(LEFT(P5017,5)="3-Way", OR(Enginuity!$B$13=3, Enginuity!$B$13=6)),
      AND(P5017="Inner Centre Jamb", OR(Enginuity!$B$13=4, Enginuity!$B$13=6)),
      AND(
        LEFT(P5017,5)&lt;&gt;"1-Way",
        LEFT(P5017,5)&lt;&gt;"2-Way",
        LEFT(P5017,5)&lt;&gt;"3-Way",
        P5017&lt;&gt;"Inner Centre Jamb"
      )
    ),
    IF(OR(Enginuity!$A$1="Frameless Glass",Enginuity!$A$1="Metal Work"),
      AND(TRIM(B5017)=TRIM(Enginuity!$A$17),TRIM(C5017)=TRIM(Enginuity!$A$18)),
      TRIM(B5017)=TRIM(Enginuity!$A$17)
    )
  ),
  ROW(),
  ""
)</f>
        <v/>
      </c>
    </row>
    <row r="5018" spans="21:21" x14ac:dyDescent="0.25">
      <c r="U5018" s="104" t="str">
        <f>IF(
  AND(
    TRIM(A5018)=TRIM(Enginuity!$A$1),
    TRIM(B5018)=TRIM(Enginuity!$A$17),
    Q5018&lt;&gt;"",
    Q5018&lt;&gt;0,
    OR(
      TRIM(C5018)=TRIM(Enginuity!$A$18),
      AND(UPPER(TRIM(M5018))="STD", TRIM(B5018)=TRIM(Enginuity!$A$17))
    ),
    OR(
      AND(LEFT(P5018,5)="1-Way", Enginuity!$B$13=1),
      AND(LEFT(P5018,5)="2-Way", OR(Enginuity!$B$13=2, Enginuity!$B$13=4)),
      AND(LEFT(P5018,5)="3-Way", OR(Enginuity!$B$13=3, Enginuity!$B$13=6)),
      AND(P5018="Inner Centre Jamb", OR(Enginuity!$B$13=4, Enginuity!$B$13=6)),
      AND(
        LEFT(P5018,5)&lt;&gt;"1-Way",
        LEFT(P5018,5)&lt;&gt;"2-Way",
        LEFT(P5018,5)&lt;&gt;"3-Way",
        P5018&lt;&gt;"Inner Centre Jamb"
      )
    ),
    IF(OR(Enginuity!$A$1="Frameless Glass",Enginuity!$A$1="Metal Work"),
      AND(TRIM(B5018)=TRIM(Enginuity!$A$17),TRIM(C5018)=TRIM(Enginuity!$A$18)),
      TRIM(B5018)=TRIM(Enginuity!$A$17)
    )
  ),
  ROW(),
  ""
)</f>
        <v/>
      </c>
    </row>
    <row r="5019" spans="21:21" x14ac:dyDescent="0.25">
      <c r="U5019" s="104" t="str">
        <f>IF(
  AND(
    TRIM(A5019)=TRIM(Enginuity!$A$1),
    TRIM(B5019)=TRIM(Enginuity!$A$17),
    Q5019&lt;&gt;"",
    Q5019&lt;&gt;0,
    OR(
      TRIM(C5019)=TRIM(Enginuity!$A$18),
      AND(UPPER(TRIM(M5019))="STD", TRIM(B5019)=TRIM(Enginuity!$A$17))
    ),
    OR(
      AND(LEFT(P5019,5)="1-Way", Enginuity!$B$13=1),
      AND(LEFT(P5019,5)="2-Way", OR(Enginuity!$B$13=2, Enginuity!$B$13=4)),
      AND(LEFT(P5019,5)="3-Way", OR(Enginuity!$B$13=3, Enginuity!$B$13=6)),
      AND(P5019="Inner Centre Jamb", OR(Enginuity!$B$13=4, Enginuity!$B$13=6)),
      AND(
        LEFT(P5019,5)&lt;&gt;"1-Way",
        LEFT(P5019,5)&lt;&gt;"2-Way",
        LEFT(P5019,5)&lt;&gt;"3-Way",
        P5019&lt;&gt;"Inner Centre Jamb"
      )
    ),
    IF(OR(Enginuity!$A$1="Frameless Glass",Enginuity!$A$1="Metal Work"),
      AND(TRIM(B5019)=TRIM(Enginuity!$A$17),TRIM(C5019)=TRIM(Enginuity!$A$18)),
      TRIM(B5019)=TRIM(Enginuity!$A$17)
    )
  ),
  ROW(),
  ""
)</f>
        <v/>
      </c>
    </row>
    <row r="5020" spans="21:21" x14ac:dyDescent="0.25">
      <c r="U5020" s="104" t="str">
        <f>IF(
  AND(
    TRIM(A5020)=TRIM(Enginuity!$A$1),
    TRIM(B5020)=TRIM(Enginuity!$A$17),
    Q5020&lt;&gt;"",
    Q5020&lt;&gt;0,
    OR(
      TRIM(C5020)=TRIM(Enginuity!$A$18),
      AND(UPPER(TRIM(M5020))="STD", TRIM(B5020)=TRIM(Enginuity!$A$17))
    ),
    OR(
      AND(LEFT(P5020,5)="1-Way", Enginuity!$B$13=1),
      AND(LEFT(P5020,5)="2-Way", OR(Enginuity!$B$13=2, Enginuity!$B$13=4)),
      AND(LEFT(P5020,5)="3-Way", OR(Enginuity!$B$13=3, Enginuity!$B$13=6)),
      AND(P5020="Inner Centre Jamb", OR(Enginuity!$B$13=4, Enginuity!$B$13=6)),
      AND(
        LEFT(P5020,5)&lt;&gt;"1-Way",
        LEFT(P5020,5)&lt;&gt;"2-Way",
        LEFT(P5020,5)&lt;&gt;"3-Way",
        P5020&lt;&gt;"Inner Centre Jamb"
      )
    ),
    IF(OR(Enginuity!$A$1="Frameless Glass",Enginuity!$A$1="Metal Work"),
      AND(TRIM(B5020)=TRIM(Enginuity!$A$17),TRIM(C5020)=TRIM(Enginuity!$A$18)),
      TRIM(B5020)=TRIM(Enginuity!$A$17)
    )
  ),
  ROW(),
  ""
)</f>
        <v/>
      </c>
    </row>
    <row r="5021" spans="21:21" x14ac:dyDescent="0.25">
      <c r="U5021" s="104" t="str">
        <f>IF(
  AND(
    TRIM(A5021)=TRIM(Enginuity!$A$1),
    TRIM(B5021)=TRIM(Enginuity!$A$17),
    Q5021&lt;&gt;"",
    Q5021&lt;&gt;0,
    OR(
      TRIM(C5021)=TRIM(Enginuity!$A$18),
      AND(UPPER(TRIM(M5021))="STD", TRIM(B5021)=TRIM(Enginuity!$A$17))
    ),
    OR(
      AND(LEFT(P5021,5)="1-Way", Enginuity!$B$13=1),
      AND(LEFT(P5021,5)="2-Way", OR(Enginuity!$B$13=2, Enginuity!$B$13=4)),
      AND(LEFT(P5021,5)="3-Way", OR(Enginuity!$B$13=3, Enginuity!$B$13=6)),
      AND(P5021="Inner Centre Jamb", OR(Enginuity!$B$13=4, Enginuity!$B$13=6)),
      AND(
        LEFT(P5021,5)&lt;&gt;"1-Way",
        LEFT(P5021,5)&lt;&gt;"2-Way",
        LEFT(P5021,5)&lt;&gt;"3-Way",
        P5021&lt;&gt;"Inner Centre Jamb"
      )
    ),
    IF(OR(Enginuity!$A$1="Frameless Glass",Enginuity!$A$1="Metal Work"),
      AND(TRIM(B5021)=TRIM(Enginuity!$A$17),TRIM(C5021)=TRIM(Enginuity!$A$18)),
      TRIM(B5021)=TRIM(Enginuity!$A$17)
    )
  ),
  ROW(),
  ""
)</f>
        <v/>
      </c>
    </row>
    <row r="5022" spans="21:21" x14ac:dyDescent="0.25">
      <c r="U5022" s="104" t="str">
        <f>IF(
  AND(
    TRIM(A5022)=TRIM(Enginuity!$A$1),
    TRIM(B5022)=TRIM(Enginuity!$A$17),
    Q5022&lt;&gt;"",
    Q5022&lt;&gt;0,
    OR(
      TRIM(C5022)=TRIM(Enginuity!$A$18),
      AND(UPPER(TRIM(M5022))="STD", TRIM(B5022)=TRIM(Enginuity!$A$17))
    ),
    OR(
      AND(LEFT(P5022,5)="1-Way", Enginuity!$B$13=1),
      AND(LEFT(P5022,5)="2-Way", OR(Enginuity!$B$13=2, Enginuity!$B$13=4)),
      AND(LEFT(P5022,5)="3-Way", OR(Enginuity!$B$13=3, Enginuity!$B$13=6)),
      AND(P5022="Inner Centre Jamb", OR(Enginuity!$B$13=4, Enginuity!$B$13=6)),
      AND(
        LEFT(P5022,5)&lt;&gt;"1-Way",
        LEFT(P5022,5)&lt;&gt;"2-Way",
        LEFT(P5022,5)&lt;&gt;"3-Way",
        P5022&lt;&gt;"Inner Centre Jamb"
      )
    ),
    IF(OR(Enginuity!$A$1="Frameless Glass",Enginuity!$A$1="Metal Work"),
      AND(TRIM(B5022)=TRIM(Enginuity!$A$17),TRIM(C5022)=TRIM(Enginuity!$A$18)),
      TRIM(B5022)=TRIM(Enginuity!$A$17)
    )
  ),
  ROW(),
  ""
)</f>
        <v/>
      </c>
    </row>
    <row r="5023" spans="21:21" x14ac:dyDescent="0.25">
      <c r="U5023" s="104" t="str">
        <f>IF(
  AND(
    TRIM(A5023)=TRIM(Enginuity!$A$1),
    TRIM(B5023)=TRIM(Enginuity!$A$17),
    Q5023&lt;&gt;"",
    Q5023&lt;&gt;0,
    OR(
      TRIM(C5023)=TRIM(Enginuity!$A$18),
      AND(UPPER(TRIM(M5023))="STD", TRIM(B5023)=TRIM(Enginuity!$A$17))
    ),
    OR(
      AND(LEFT(P5023,5)="1-Way", Enginuity!$B$13=1),
      AND(LEFT(P5023,5)="2-Way", OR(Enginuity!$B$13=2, Enginuity!$B$13=4)),
      AND(LEFT(P5023,5)="3-Way", OR(Enginuity!$B$13=3, Enginuity!$B$13=6)),
      AND(P5023="Inner Centre Jamb", OR(Enginuity!$B$13=4, Enginuity!$B$13=6)),
      AND(
        LEFT(P5023,5)&lt;&gt;"1-Way",
        LEFT(P5023,5)&lt;&gt;"2-Way",
        LEFT(P5023,5)&lt;&gt;"3-Way",
        P5023&lt;&gt;"Inner Centre Jamb"
      )
    ),
    IF(OR(Enginuity!$A$1="Frameless Glass",Enginuity!$A$1="Metal Work"),
      AND(TRIM(B5023)=TRIM(Enginuity!$A$17),TRIM(C5023)=TRIM(Enginuity!$A$18)),
      TRIM(B5023)=TRIM(Enginuity!$A$17)
    )
  ),
  ROW(),
  ""
)</f>
        <v/>
      </c>
    </row>
    <row r="5024" spans="21:21" x14ac:dyDescent="0.25">
      <c r="U5024" s="104" t="str">
        <f>IF(
  AND(
    TRIM(A5024)=TRIM(Enginuity!$A$1),
    TRIM(B5024)=TRIM(Enginuity!$A$17),
    Q5024&lt;&gt;"",
    Q5024&lt;&gt;0,
    OR(
      TRIM(C5024)=TRIM(Enginuity!$A$18),
      AND(UPPER(TRIM(M5024))="STD", TRIM(B5024)=TRIM(Enginuity!$A$17))
    ),
    OR(
      AND(LEFT(P5024,5)="1-Way", Enginuity!$B$13=1),
      AND(LEFT(P5024,5)="2-Way", OR(Enginuity!$B$13=2, Enginuity!$B$13=4)),
      AND(LEFT(P5024,5)="3-Way", OR(Enginuity!$B$13=3, Enginuity!$B$13=6)),
      AND(P5024="Inner Centre Jamb", OR(Enginuity!$B$13=4, Enginuity!$B$13=6)),
      AND(
        LEFT(P5024,5)&lt;&gt;"1-Way",
        LEFT(P5024,5)&lt;&gt;"2-Way",
        LEFT(P5024,5)&lt;&gt;"3-Way",
        P5024&lt;&gt;"Inner Centre Jamb"
      )
    ),
    IF(OR(Enginuity!$A$1="Frameless Glass",Enginuity!$A$1="Metal Work"),
      AND(TRIM(B5024)=TRIM(Enginuity!$A$17),TRIM(C5024)=TRIM(Enginuity!$A$18)),
      TRIM(B5024)=TRIM(Enginuity!$A$17)
    )
  ),
  ROW(),
  ""
)</f>
        <v/>
      </c>
    </row>
    <row r="5025" spans="21:21" x14ac:dyDescent="0.25">
      <c r="U5025" s="104" t="str">
        <f>IF(
  AND(
    TRIM(A5025)=TRIM(Enginuity!$A$1),
    TRIM(B5025)=TRIM(Enginuity!$A$17),
    Q5025&lt;&gt;"",
    Q5025&lt;&gt;0,
    OR(
      TRIM(C5025)=TRIM(Enginuity!$A$18),
      AND(UPPER(TRIM(M5025))="STD", TRIM(B5025)=TRIM(Enginuity!$A$17))
    ),
    OR(
      AND(LEFT(P5025,5)="1-Way", Enginuity!$B$13=1),
      AND(LEFT(P5025,5)="2-Way", OR(Enginuity!$B$13=2, Enginuity!$B$13=4)),
      AND(LEFT(P5025,5)="3-Way", OR(Enginuity!$B$13=3, Enginuity!$B$13=6)),
      AND(P5025="Inner Centre Jamb", OR(Enginuity!$B$13=4, Enginuity!$B$13=6)),
      AND(
        LEFT(P5025,5)&lt;&gt;"1-Way",
        LEFT(P5025,5)&lt;&gt;"2-Way",
        LEFT(P5025,5)&lt;&gt;"3-Way",
        P5025&lt;&gt;"Inner Centre Jamb"
      )
    ),
    IF(OR(Enginuity!$A$1="Frameless Glass",Enginuity!$A$1="Metal Work"),
      AND(TRIM(B5025)=TRIM(Enginuity!$A$17),TRIM(C5025)=TRIM(Enginuity!$A$18)),
      TRIM(B5025)=TRIM(Enginuity!$A$17)
    )
  ),
  ROW(),
  ""
)</f>
        <v/>
      </c>
    </row>
    <row r="5026" spans="21:21" x14ac:dyDescent="0.25">
      <c r="U5026" s="104" t="str">
        <f>IF(
  AND(
    TRIM(A5026)=TRIM(Enginuity!$A$1),
    TRIM(B5026)=TRIM(Enginuity!$A$17),
    Q5026&lt;&gt;"",
    Q5026&lt;&gt;0,
    OR(
      TRIM(C5026)=TRIM(Enginuity!$A$18),
      AND(UPPER(TRIM(M5026))="STD", TRIM(B5026)=TRIM(Enginuity!$A$17))
    ),
    OR(
      AND(LEFT(P5026,5)="1-Way", Enginuity!$B$13=1),
      AND(LEFT(P5026,5)="2-Way", OR(Enginuity!$B$13=2, Enginuity!$B$13=4)),
      AND(LEFT(P5026,5)="3-Way", OR(Enginuity!$B$13=3, Enginuity!$B$13=6)),
      AND(P5026="Inner Centre Jamb", OR(Enginuity!$B$13=4, Enginuity!$B$13=6)),
      AND(
        LEFT(P5026,5)&lt;&gt;"1-Way",
        LEFT(P5026,5)&lt;&gt;"2-Way",
        LEFT(P5026,5)&lt;&gt;"3-Way",
        P5026&lt;&gt;"Inner Centre Jamb"
      )
    ),
    IF(OR(Enginuity!$A$1="Frameless Glass",Enginuity!$A$1="Metal Work"),
      AND(TRIM(B5026)=TRIM(Enginuity!$A$17),TRIM(C5026)=TRIM(Enginuity!$A$18)),
      TRIM(B5026)=TRIM(Enginuity!$A$17)
    )
  ),
  ROW(),
  ""
)</f>
        <v/>
      </c>
    </row>
    <row r="5027" spans="21:21" x14ac:dyDescent="0.25">
      <c r="U5027" s="104" t="str">
        <f>IF(
  AND(
    TRIM(A5027)=TRIM(Enginuity!$A$1),
    TRIM(B5027)=TRIM(Enginuity!$A$17),
    Q5027&lt;&gt;"",
    Q5027&lt;&gt;0,
    OR(
      TRIM(C5027)=TRIM(Enginuity!$A$18),
      AND(UPPER(TRIM(M5027))="STD", TRIM(B5027)=TRIM(Enginuity!$A$17))
    ),
    OR(
      AND(LEFT(P5027,5)="1-Way", Enginuity!$B$13=1),
      AND(LEFT(P5027,5)="2-Way", OR(Enginuity!$B$13=2, Enginuity!$B$13=4)),
      AND(LEFT(P5027,5)="3-Way", OR(Enginuity!$B$13=3, Enginuity!$B$13=6)),
      AND(P5027="Inner Centre Jamb", OR(Enginuity!$B$13=4, Enginuity!$B$13=6)),
      AND(
        LEFT(P5027,5)&lt;&gt;"1-Way",
        LEFT(P5027,5)&lt;&gt;"2-Way",
        LEFT(P5027,5)&lt;&gt;"3-Way",
        P5027&lt;&gt;"Inner Centre Jamb"
      )
    ),
    IF(OR(Enginuity!$A$1="Frameless Glass",Enginuity!$A$1="Metal Work"),
      AND(TRIM(B5027)=TRIM(Enginuity!$A$17),TRIM(C5027)=TRIM(Enginuity!$A$18)),
      TRIM(B5027)=TRIM(Enginuity!$A$17)
    )
  ),
  ROW(),
  ""
)</f>
        <v/>
      </c>
    </row>
    <row r="5028" spans="21:21" x14ac:dyDescent="0.25">
      <c r="U5028" s="104" t="str">
        <f>IF(
  AND(
    TRIM(A5028)=TRIM(Enginuity!$A$1),
    TRIM(B5028)=TRIM(Enginuity!$A$17),
    Q5028&lt;&gt;"",
    Q5028&lt;&gt;0,
    OR(
      TRIM(C5028)=TRIM(Enginuity!$A$18),
      AND(UPPER(TRIM(M5028))="STD", TRIM(B5028)=TRIM(Enginuity!$A$17))
    ),
    OR(
      AND(LEFT(P5028,5)="1-Way", Enginuity!$B$13=1),
      AND(LEFT(P5028,5)="2-Way", OR(Enginuity!$B$13=2, Enginuity!$B$13=4)),
      AND(LEFT(P5028,5)="3-Way", OR(Enginuity!$B$13=3, Enginuity!$B$13=6)),
      AND(P5028="Inner Centre Jamb", OR(Enginuity!$B$13=4, Enginuity!$B$13=6)),
      AND(
        LEFT(P5028,5)&lt;&gt;"1-Way",
        LEFT(P5028,5)&lt;&gt;"2-Way",
        LEFT(P5028,5)&lt;&gt;"3-Way",
        P5028&lt;&gt;"Inner Centre Jamb"
      )
    ),
    IF(OR(Enginuity!$A$1="Frameless Glass",Enginuity!$A$1="Metal Work"),
      AND(TRIM(B5028)=TRIM(Enginuity!$A$17),TRIM(C5028)=TRIM(Enginuity!$A$18)),
      TRIM(B5028)=TRIM(Enginuity!$A$17)
    )
  ),
  ROW(),
  ""
)</f>
        <v/>
      </c>
    </row>
    <row r="5029" spans="21:21" x14ac:dyDescent="0.25">
      <c r="U5029" s="104" t="str">
        <f>IF(
  AND(
    TRIM(A5029)=TRIM(Enginuity!$A$1),
    TRIM(B5029)=TRIM(Enginuity!$A$17),
    Q5029&lt;&gt;"",
    Q5029&lt;&gt;0,
    OR(
      TRIM(C5029)=TRIM(Enginuity!$A$18),
      AND(UPPER(TRIM(M5029))="STD", TRIM(B5029)=TRIM(Enginuity!$A$17))
    ),
    OR(
      AND(LEFT(P5029,5)="1-Way", Enginuity!$B$13=1),
      AND(LEFT(P5029,5)="2-Way", OR(Enginuity!$B$13=2, Enginuity!$B$13=4)),
      AND(LEFT(P5029,5)="3-Way", OR(Enginuity!$B$13=3, Enginuity!$B$13=6)),
      AND(P5029="Inner Centre Jamb", OR(Enginuity!$B$13=4, Enginuity!$B$13=6)),
      AND(
        LEFT(P5029,5)&lt;&gt;"1-Way",
        LEFT(P5029,5)&lt;&gt;"2-Way",
        LEFT(P5029,5)&lt;&gt;"3-Way",
        P5029&lt;&gt;"Inner Centre Jamb"
      )
    ),
    IF(OR(Enginuity!$A$1="Frameless Glass",Enginuity!$A$1="Metal Work"),
      AND(TRIM(B5029)=TRIM(Enginuity!$A$17),TRIM(C5029)=TRIM(Enginuity!$A$18)),
      TRIM(B5029)=TRIM(Enginuity!$A$17)
    )
  ),
  ROW(),
  ""
)</f>
        <v/>
      </c>
    </row>
    <row r="5030" spans="21:21" x14ac:dyDescent="0.25">
      <c r="U5030" s="104" t="str">
        <f>IF(
  AND(
    TRIM(A5030)=TRIM(Enginuity!$A$1),
    TRIM(B5030)=TRIM(Enginuity!$A$17),
    Q5030&lt;&gt;"",
    Q5030&lt;&gt;0,
    OR(
      TRIM(C5030)=TRIM(Enginuity!$A$18),
      AND(UPPER(TRIM(M5030))="STD", TRIM(B5030)=TRIM(Enginuity!$A$17))
    ),
    OR(
      AND(LEFT(P5030,5)="1-Way", Enginuity!$B$13=1),
      AND(LEFT(P5030,5)="2-Way", OR(Enginuity!$B$13=2, Enginuity!$B$13=4)),
      AND(LEFT(P5030,5)="3-Way", OR(Enginuity!$B$13=3, Enginuity!$B$13=6)),
      AND(P5030="Inner Centre Jamb", OR(Enginuity!$B$13=4, Enginuity!$B$13=6)),
      AND(
        LEFT(P5030,5)&lt;&gt;"1-Way",
        LEFT(P5030,5)&lt;&gt;"2-Way",
        LEFT(P5030,5)&lt;&gt;"3-Way",
        P5030&lt;&gt;"Inner Centre Jamb"
      )
    ),
    IF(OR(Enginuity!$A$1="Frameless Glass",Enginuity!$A$1="Metal Work"),
      AND(TRIM(B5030)=TRIM(Enginuity!$A$17),TRIM(C5030)=TRIM(Enginuity!$A$18)),
      TRIM(B5030)=TRIM(Enginuity!$A$17)
    )
  ),
  ROW(),
  ""
)</f>
        <v/>
      </c>
    </row>
    <row r="5031" spans="21:21" x14ac:dyDescent="0.25">
      <c r="U5031" s="104" t="str">
        <f>IF(
  AND(
    TRIM(A5031)=TRIM(Enginuity!$A$1),
    TRIM(B5031)=TRIM(Enginuity!$A$17),
    Q5031&lt;&gt;"",
    Q5031&lt;&gt;0,
    OR(
      TRIM(C5031)=TRIM(Enginuity!$A$18),
      AND(UPPER(TRIM(M5031))="STD", TRIM(B5031)=TRIM(Enginuity!$A$17))
    ),
    OR(
      AND(LEFT(P5031,5)="1-Way", Enginuity!$B$13=1),
      AND(LEFT(P5031,5)="2-Way", OR(Enginuity!$B$13=2, Enginuity!$B$13=4)),
      AND(LEFT(P5031,5)="3-Way", OR(Enginuity!$B$13=3, Enginuity!$B$13=6)),
      AND(P5031="Inner Centre Jamb", OR(Enginuity!$B$13=4, Enginuity!$B$13=6)),
      AND(
        LEFT(P5031,5)&lt;&gt;"1-Way",
        LEFT(P5031,5)&lt;&gt;"2-Way",
        LEFT(P5031,5)&lt;&gt;"3-Way",
        P5031&lt;&gt;"Inner Centre Jamb"
      )
    ),
    IF(OR(Enginuity!$A$1="Frameless Glass",Enginuity!$A$1="Metal Work"),
      AND(TRIM(B5031)=TRIM(Enginuity!$A$17),TRIM(C5031)=TRIM(Enginuity!$A$18)),
      TRIM(B5031)=TRIM(Enginuity!$A$17)
    )
  ),
  ROW(),
  ""
)</f>
        <v/>
      </c>
    </row>
    <row r="5032" spans="21:21" x14ac:dyDescent="0.25">
      <c r="U5032" s="104" t="str">
        <f>IF(
  AND(
    TRIM(A5032)=TRIM(Enginuity!$A$1),
    TRIM(B5032)=TRIM(Enginuity!$A$17),
    Q5032&lt;&gt;"",
    Q5032&lt;&gt;0,
    OR(
      TRIM(C5032)=TRIM(Enginuity!$A$18),
      AND(UPPER(TRIM(M5032))="STD", TRIM(B5032)=TRIM(Enginuity!$A$17))
    ),
    OR(
      AND(LEFT(P5032,5)="1-Way", Enginuity!$B$13=1),
      AND(LEFT(P5032,5)="2-Way", OR(Enginuity!$B$13=2, Enginuity!$B$13=4)),
      AND(LEFT(P5032,5)="3-Way", OR(Enginuity!$B$13=3, Enginuity!$B$13=6)),
      AND(P5032="Inner Centre Jamb", OR(Enginuity!$B$13=4, Enginuity!$B$13=6)),
      AND(
        LEFT(P5032,5)&lt;&gt;"1-Way",
        LEFT(P5032,5)&lt;&gt;"2-Way",
        LEFT(P5032,5)&lt;&gt;"3-Way",
        P5032&lt;&gt;"Inner Centre Jamb"
      )
    ),
    IF(OR(Enginuity!$A$1="Frameless Glass",Enginuity!$A$1="Metal Work"),
      AND(TRIM(B5032)=TRIM(Enginuity!$A$17),TRIM(C5032)=TRIM(Enginuity!$A$18)),
      TRIM(B5032)=TRIM(Enginuity!$A$17)
    )
  ),
  ROW(),
  ""
)</f>
        <v/>
      </c>
    </row>
    <row r="5033" spans="21:21" x14ac:dyDescent="0.25">
      <c r="U5033" s="104" t="str">
        <f>IF(
  AND(
    TRIM(A5033)=TRIM(Enginuity!$A$1),
    TRIM(B5033)=TRIM(Enginuity!$A$17),
    Q5033&lt;&gt;"",
    Q5033&lt;&gt;0,
    OR(
      TRIM(C5033)=TRIM(Enginuity!$A$18),
      AND(UPPER(TRIM(M5033))="STD", TRIM(B5033)=TRIM(Enginuity!$A$17))
    ),
    OR(
      AND(LEFT(P5033,5)="1-Way", Enginuity!$B$13=1),
      AND(LEFT(P5033,5)="2-Way", OR(Enginuity!$B$13=2, Enginuity!$B$13=4)),
      AND(LEFT(P5033,5)="3-Way", OR(Enginuity!$B$13=3, Enginuity!$B$13=6)),
      AND(P5033="Inner Centre Jamb", OR(Enginuity!$B$13=4, Enginuity!$B$13=6)),
      AND(
        LEFT(P5033,5)&lt;&gt;"1-Way",
        LEFT(P5033,5)&lt;&gt;"2-Way",
        LEFT(P5033,5)&lt;&gt;"3-Way",
        P5033&lt;&gt;"Inner Centre Jamb"
      )
    ),
    IF(OR(Enginuity!$A$1="Frameless Glass",Enginuity!$A$1="Metal Work"),
      AND(TRIM(B5033)=TRIM(Enginuity!$A$17),TRIM(C5033)=TRIM(Enginuity!$A$18)),
      TRIM(B5033)=TRIM(Enginuity!$A$17)
    )
  ),
  ROW(),
  ""
)</f>
        <v/>
      </c>
    </row>
    <row r="5034" spans="21:21" x14ac:dyDescent="0.25">
      <c r="U5034" s="104" t="str">
        <f>IF(
  AND(
    TRIM(A5034)=TRIM(Enginuity!$A$1),
    TRIM(B5034)=TRIM(Enginuity!$A$17),
    Q5034&lt;&gt;"",
    Q5034&lt;&gt;0,
    OR(
      TRIM(C5034)=TRIM(Enginuity!$A$18),
      AND(UPPER(TRIM(M5034))="STD", TRIM(B5034)=TRIM(Enginuity!$A$17))
    ),
    OR(
      AND(LEFT(P5034,5)="1-Way", Enginuity!$B$13=1),
      AND(LEFT(P5034,5)="2-Way", OR(Enginuity!$B$13=2, Enginuity!$B$13=4)),
      AND(LEFT(P5034,5)="3-Way", OR(Enginuity!$B$13=3, Enginuity!$B$13=6)),
      AND(P5034="Inner Centre Jamb", OR(Enginuity!$B$13=4, Enginuity!$B$13=6)),
      AND(
        LEFT(P5034,5)&lt;&gt;"1-Way",
        LEFT(P5034,5)&lt;&gt;"2-Way",
        LEFT(P5034,5)&lt;&gt;"3-Way",
        P5034&lt;&gt;"Inner Centre Jamb"
      )
    ),
    IF(OR(Enginuity!$A$1="Frameless Glass",Enginuity!$A$1="Metal Work"),
      AND(TRIM(B5034)=TRIM(Enginuity!$A$17),TRIM(C5034)=TRIM(Enginuity!$A$18)),
      TRIM(B5034)=TRIM(Enginuity!$A$17)
    )
  ),
  ROW(),
  ""
)</f>
        <v/>
      </c>
    </row>
    <row r="5035" spans="21:21" x14ac:dyDescent="0.25">
      <c r="U5035" s="104" t="str">
        <f>IF(
  AND(
    TRIM(A5035)=TRIM(Enginuity!$A$1),
    TRIM(B5035)=TRIM(Enginuity!$A$17),
    Q5035&lt;&gt;"",
    Q5035&lt;&gt;0,
    OR(
      TRIM(C5035)=TRIM(Enginuity!$A$18),
      AND(UPPER(TRIM(M5035))="STD", TRIM(B5035)=TRIM(Enginuity!$A$17))
    ),
    OR(
      AND(LEFT(P5035,5)="1-Way", Enginuity!$B$13=1),
      AND(LEFT(P5035,5)="2-Way", OR(Enginuity!$B$13=2, Enginuity!$B$13=4)),
      AND(LEFT(P5035,5)="3-Way", OR(Enginuity!$B$13=3, Enginuity!$B$13=6)),
      AND(P5035="Inner Centre Jamb", OR(Enginuity!$B$13=4, Enginuity!$B$13=6)),
      AND(
        LEFT(P5035,5)&lt;&gt;"1-Way",
        LEFT(P5035,5)&lt;&gt;"2-Way",
        LEFT(P5035,5)&lt;&gt;"3-Way",
        P5035&lt;&gt;"Inner Centre Jamb"
      )
    ),
    IF(OR(Enginuity!$A$1="Frameless Glass",Enginuity!$A$1="Metal Work"),
      AND(TRIM(B5035)=TRIM(Enginuity!$A$17),TRIM(C5035)=TRIM(Enginuity!$A$18)),
      TRIM(B5035)=TRIM(Enginuity!$A$17)
    )
  ),
  ROW(),
  ""
)</f>
        <v/>
      </c>
    </row>
    <row r="5036" spans="21:21" x14ac:dyDescent="0.25">
      <c r="U5036" s="104" t="str">
        <f>IF(
  AND(
    TRIM(A5036)=TRIM(Enginuity!$A$1),
    TRIM(B5036)=TRIM(Enginuity!$A$17),
    Q5036&lt;&gt;"",
    Q5036&lt;&gt;0,
    OR(
      TRIM(C5036)=TRIM(Enginuity!$A$18),
      AND(UPPER(TRIM(M5036))="STD", TRIM(B5036)=TRIM(Enginuity!$A$17))
    ),
    OR(
      AND(LEFT(P5036,5)="1-Way", Enginuity!$B$13=1),
      AND(LEFT(P5036,5)="2-Way", OR(Enginuity!$B$13=2, Enginuity!$B$13=4)),
      AND(LEFT(P5036,5)="3-Way", OR(Enginuity!$B$13=3, Enginuity!$B$13=6)),
      AND(P5036="Inner Centre Jamb", OR(Enginuity!$B$13=4, Enginuity!$B$13=6)),
      AND(
        LEFT(P5036,5)&lt;&gt;"1-Way",
        LEFT(P5036,5)&lt;&gt;"2-Way",
        LEFT(P5036,5)&lt;&gt;"3-Way",
        P5036&lt;&gt;"Inner Centre Jamb"
      )
    ),
    IF(OR(Enginuity!$A$1="Frameless Glass",Enginuity!$A$1="Metal Work"),
      AND(TRIM(B5036)=TRIM(Enginuity!$A$17),TRIM(C5036)=TRIM(Enginuity!$A$18)),
      TRIM(B5036)=TRIM(Enginuity!$A$17)
    )
  ),
  ROW(),
  ""
)</f>
        <v/>
      </c>
    </row>
    <row r="5037" spans="21:21" x14ac:dyDescent="0.25">
      <c r="U5037" s="104" t="str">
        <f>IF(
  AND(
    TRIM(A5037)=TRIM(Enginuity!$A$1),
    TRIM(B5037)=TRIM(Enginuity!$A$17),
    Q5037&lt;&gt;"",
    Q5037&lt;&gt;0,
    OR(
      TRIM(C5037)=TRIM(Enginuity!$A$18),
      AND(UPPER(TRIM(M5037))="STD", TRIM(B5037)=TRIM(Enginuity!$A$17))
    ),
    OR(
      AND(LEFT(P5037,5)="1-Way", Enginuity!$B$13=1),
      AND(LEFT(P5037,5)="2-Way", OR(Enginuity!$B$13=2, Enginuity!$B$13=4)),
      AND(LEFT(P5037,5)="3-Way", OR(Enginuity!$B$13=3, Enginuity!$B$13=6)),
      AND(P5037="Inner Centre Jamb", OR(Enginuity!$B$13=4, Enginuity!$B$13=6)),
      AND(
        LEFT(P5037,5)&lt;&gt;"1-Way",
        LEFT(P5037,5)&lt;&gt;"2-Way",
        LEFT(P5037,5)&lt;&gt;"3-Way",
        P5037&lt;&gt;"Inner Centre Jamb"
      )
    ),
    IF(OR(Enginuity!$A$1="Frameless Glass",Enginuity!$A$1="Metal Work"),
      AND(TRIM(B5037)=TRIM(Enginuity!$A$17),TRIM(C5037)=TRIM(Enginuity!$A$18)),
      TRIM(B5037)=TRIM(Enginuity!$A$17)
    )
  ),
  ROW(),
  ""
)</f>
        <v/>
      </c>
    </row>
    <row r="5038" spans="21:21" x14ac:dyDescent="0.25">
      <c r="U5038" s="104" t="str">
        <f>IF(
  AND(
    TRIM(A5038)=TRIM(Enginuity!$A$1),
    TRIM(B5038)=TRIM(Enginuity!$A$17),
    Q5038&lt;&gt;"",
    Q5038&lt;&gt;0,
    OR(
      TRIM(C5038)=TRIM(Enginuity!$A$18),
      AND(UPPER(TRIM(M5038))="STD", TRIM(B5038)=TRIM(Enginuity!$A$17))
    ),
    OR(
      AND(LEFT(P5038,5)="1-Way", Enginuity!$B$13=1),
      AND(LEFT(P5038,5)="2-Way", OR(Enginuity!$B$13=2, Enginuity!$B$13=4)),
      AND(LEFT(P5038,5)="3-Way", OR(Enginuity!$B$13=3, Enginuity!$B$13=6)),
      AND(P5038="Inner Centre Jamb", OR(Enginuity!$B$13=4, Enginuity!$B$13=6)),
      AND(
        LEFT(P5038,5)&lt;&gt;"1-Way",
        LEFT(P5038,5)&lt;&gt;"2-Way",
        LEFT(P5038,5)&lt;&gt;"3-Way",
        P5038&lt;&gt;"Inner Centre Jamb"
      )
    ),
    IF(OR(Enginuity!$A$1="Frameless Glass",Enginuity!$A$1="Metal Work"),
      AND(TRIM(B5038)=TRIM(Enginuity!$A$17),TRIM(C5038)=TRIM(Enginuity!$A$18)),
      TRIM(B5038)=TRIM(Enginuity!$A$17)
    )
  ),
  ROW(),
  ""
)</f>
        <v/>
      </c>
    </row>
    <row r="5039" spans="21:21" x14ac:dyDescent="0.25">
      <c r="U5039" s="104" t="str">
        <f>IF(
  AND(
    TRIM(A5039)=TRIM(Enginuity!$A$1),
    TRIM(B5039)=TRIM(Enginuity!$A$17),
    Q5039&lt;&gt;"",
    Q5039&lt;&gt;0,
    OR(
      TRIM(C5039)=TRIM(Enginuity!$A$18),
      AND(UPPER(TRIM(M5039))="STD", TRIM(B5039)=TRIM(Enginuity!$A$17))
    ),
    OR(
      AND(LEFT(P5039,5)="1-Way", Enginuity!$B$13=1),
      AND(LEFT(P5039,5)="2-Way", OR(Enginuity!$B$13=2, Enginuity!$B$13=4)),
      AND(LEFT(P5039,5)="3-Way", OR(Enginuity!$B$13=3, Enginuity!$B$13=6)),
      AND(P5039="Inner Centre Jamb", OR(Enginuity!$B$13=4, Enginuity!$B$13=6)),
      AND(
        LEFT(P5039,5)&lt;&gt;"1-Way",
        LEFT(P5039,5)&lt;&gt;"2-Way",
        LEFT(P5039,5)&lt;&gt;"3-Way",
        P5039&lt;&gt;"Inner Centre Jamb"
      )
    ),
    IF(OR(Enginuity!$A$1="Frameless Glass",Enginuity!$A$1="Metal Work"),
      AND(TRIM(B5039)=TRIM(Enginuity!$A$17),TRIM(C5039)=TRIM(Enginuity!$A$18)),
      TRIM(B5039)=TRIM(Enginuity!$A$17)
    )
  ),
  ROW(),
  ""
)</f>
        <v/>
      </c>
    </row>
    <row r="5040" spans="21:21" x14ac:dyDescent="0.25">
      <c r="U5040" s="104" t="str">
        <f>IF(
  AND(
    TRIM(A5040)=TRIM(Enginuity!$A$1),
    TRIM(B5040)=TRIM(Enginuity!$A$17),
    Q5040&lt;&gt;"",
    Q5040&lt;&gt;0,
    OR(
      TRIM(C5040)=TRIM(Enginuity!$A$18),
      AND(UPPER(TRIM(M5040))="STD", TRIM(B5040)=TRIM(Enginuity!$A$17))
    ),
    OR(
      AND(LEFT(P5040,5)="1-Way", Enginuity!$B$13=1),
      AND(LEFT(P5040,5)="2-Way", OR(Enginuity!$B$13=2, Enginuity!$B$13=4)),
      AND(LEFT(P5040,5)="3-Way", OR(Enginuity!$B$13=3, Enginuity!$B$13=6)),
      AND(P5040="Inner Centre Jamb", OR(Enginuity!$B$13=4, Enginuity!$B$13=6)),
      AND(
        LEFT(P5040,5)&lt;&gt;"1-Way",
        LEFT(P5040,5)&lt;&gt;"2-Way",
        LEFT(P5040,5)&lt;&gt;"3-Way",
        P5040&lt;&gt;"Inner Centre Jamb"
      )
    ),
    IF(OR(Enginuity!$A$1="Frameless Glass",Enginuity!$A$1="Metal Work"),
      AND(TRIM(B5040)=TRIM(Enginuity!$A$17),TRIM(C5040)=TRIM(Enginuity!$A$18)),
      TRIM(B5040)=TRIM(Enginuity!$A$17)
    )
  ),
  ROW(),
  ""
)</f>
        <v/>
      </c>
    </row>
    <row r="5041" spans="21:21" x14ac:dyDescent="0.25">
      <c r="U5041" s="104" t="str">
        <f>IF(
  AND(
    TRIM(A5041)=TRIM(Enginuity!$A$1),
    TRIM(B5041)=TRIM(Enginuity!$A$17),
    Q5041&lt;&gt;"",
    Q5041&lt;&gt;0,
    OR(
      TRIM(C5041)=TRIM(Enginuity!$A$18),
      AND(UPPER(TRIM(M5041))="STD", TRIM(B5041)=TRIM(Enginuity!$A$17))
    ),
    OR(
      AND(LEFT(P5041,5)="1-Way", Enginuity!$B$13=1),
      AND(LEFT(P5041,5)="2-Way", OR(Enginuity!$B$13=2, Enginuity!$B$13=4)),
      AND(LEFT(P5041,5)="3-Way", OR(Enginuity!$B$13=3, Enginuity!$B$13=6)),
      AND(P5041="Inner Centre Jamb", OR(Enginuity!$B$13=4, Enginuity!$B$13=6)),
      AND(
        LEFT(P5041,5)&lt;&gt;"1-Way",
        LEFT(P5041,5)&lt;&gt;"2-Way",
        LEFT(P5041,5)&lt;&gt;"3-Way",
        P5041&lt;&gt;"Inner Centre Jamb"
      )
    ),
    IF(OR(Enginuity!$A$1="Frameless Glass",Enginuity!$A$1="Metal Work"),
      AND(TRIM(B5041)=TRIM(Enginuity!$A$17),TRIM(C5041)=TRIM(Enginuity!$A$18)),
      TRIM(B5041)=TRIM(Enginuity!$A$17)
    )
  ),
  ROW(),
  ""
)</f>
        <v/>
      </c>
    </row>
    <row r="5042" spans="21:21" x14ac:dyDescent="0.25">
      <c r="U5042" s="104" t="str">
        <f>IF(
  AND(
    TRIM(A5042)=TRIM(Enginuity!$A$1),
    TRIM(B5042)=TRIM(Enginuity!$A$17),
    Q5042&lt;&gt;"",
    Q5042&lt;&gt;0,
    OR(
      TRIM(C5042)=TRIM(Enginuity!$A$18),
      AND(UPPER(TRIM(M5042))="STD", TRIM(B5042)=TRIM(Enginuity!$A$17))
    ),
    OR(
      AND(LEFT(P5042,5)="1-Way", Enginuity!$B$13=1),
      AND(LEFT(P5042,5)="2-Way", OR(Enginuity!$B$13=2, Enginuity!$B$13=4)),
      AND(LEFT(P5042,5)="3-Way", OR(Enginuity!$B$13=3, Enginuity!$B$13=6)),
      AND(P5042="Inner Centre Jamb", OR(Enginuity!$B$13=4, Enginuity!$B$13=6)),
      AND(
        LEFT(P5042,5)&lt;&gt;"1-Way",
        LEFT(P5042,5)&lt;&gt;"2-Way",
        LEFT(P5042,5)&lt;&gt;"3-Way",
        P5042&lt;&gt;"Inner Centre Jamb"
      )
    ),
    IF(OR(Enginuity!$A$1="Frameless Glass",Enginuity!$A$1="Metal Work"),
      AND(TRIM(B5042)=TRIM(Enginuity!$A$17),TRIM(C5042)=TRIM(Enginuity!$A$18)),
      TRIM(B5042)=TRIM(Enginuity!$A$17)
    )
  ),
  ROW(),
  ""
)</f>
        <v/>
      </c>
    </row>
    <row r="5043" spans="21:21" x14ac:dyDescent="0.25">
      <c r="U5043" s="104" t="str">
        <f>IF(
  AND(
    TRIM(A5043)=TRIM(Enginuity!$A$1),
    TRIM(B5043)=TRIM(Enginuity!$A$17),
    Q5043&lt;&gt;"",
    Q5043&lt;&gt;0,
    OR(
      TRIM(C5043)=TRIM(Enginuity!$A$18),
      AND(UPPER(TRIM(M5043))="STD", TRIM(B5043)=TRIM(Enginuity!$A$17))
    ),
    OR(
      AND(LEFT(P5043,5)="1-Way", Enginuity!$B$13=1),
      AND(LEFT(P5043,5)="2-Way", OR(Enginuity!$B$13=2, Enginuity!$B$13=4)),
      AND(LEFT(P5043,5)="3-Way", OR(Enginuity!$B$13=3, Enginuity!$B$13=6)),
      AND(P5043="Inner Centre Jamb", OR(Enginuity!$B$13=4, Enginuity!$B$13=6)),
      AND(
        LEFT(P5043,5)&lt;&gt;"1-Way",
        LEFT(P5043,5)&lt;&gt;"2-Way",
        LEFT(P5043,5)&lt;&gt;"3-Way",
        P5043&lt;&gt;"Inner Centre Jamb"
      )
    ),
    IF(OR(Enginuity!$A$1="Frameless Glass",Enginuity!$A$1="Metal Work"),
      AND(TRIM(B5043)=TRIM(Enginuity!$A$17),TRIM(C5043)=TRIM(Enginuity!$A$18)),
      TRIM(B5043)=TRIM(Enginuity!$A$17)
    )
  ),
  ROW(),
  ""
)</f>
        <v/>
      </c>
    </row>
    <row r="5044" spans="21:21" x14ac:dyDescent="0.25">
      <c r="U5044" s="104" t="str">
        <f>IF(
  AND(
    TRIM(A5044)=TRIM(Enginuity!$A$1),
    TRIM(B5044)=TRIM(Enginuity!$A$17),
    Q5044&lt;&gt;"",
    Q5044&lt;&gt;0,
    OR(
      TRIM(C5044)=TRIM(Enginuity!$A$18),
      AND(UPPER(TRIM(M5044))="STD", TRIM(B5044)=TRIM(Enginuity!$A$17))
    ),
    OR(
      AND(LEFT(P5044,5)="1-Way", Enginuity!$B$13=1),
      AND(LEFT(P5044,5)="2-Way", OR(Enginuity!$B$13=2, Enginuity!$B$13=4)),
      AND(LEFT(P5044,5)="3-Way", OR(Enginuity!$B$13=3, Enginuity!$B$13=6)),
      AND(P5044="Inner Centre Jamb", OR(Enginuity!$B$13=4, Enginuity!$B$13=6)),
      AND(
        LEFT(P5044,5)&lt;&gt;"1-Way",
        LEFT(P5044,5)&lt;&gt;"2-Way",
        LEFT(P5044,5)&lt;&gt;"3-Way",
        P5044&lt;&gt;"Inner Centre Jamb"
      )
    ),
    IF(OR(Enginuity!$A$1="Frameless Glass",Enginuity!$A$1="Metal Work"),
      AND(TRIM(B5044)=TRIM(Enginuity!$A$17),TRIM(C5044)=TRIM(Enginuity!$A$18)),
      TRIM(B5044)=TRIM(Enginuity!$A$17)
    )
  ),
  ROW(),
  ""
)</f>
        <v/>
      </c>
    </row>
    <row r="5045" spans="21:21" x14ac:dyDescent="0.25">
      <c r="U5045" s="104" t="str">
        <f>IF(
  AND(
    TRIM(A5045)=TRIM(Enginuity!$A$1),
    TRIM(B5045)=TRIM(Enginuity!$A$17),
    Q5045&lt;&gt;"",
    Q5045&lt;&gt;0,
    OR(
      TRIM(C5045)=TRIM(Enginuity!$A$18),
      AND(UPPER(TRIM(M5045))="STD", TRIM(B5045)=TRIM(Enginuity!$A$17))
    ),
    OR(
      AND(LEFT(P5045,5)="1-Way", Enginuity!$B$13=1),
      AND(LEFT(P5045,5)="2-Way", OR(Enginuity!$B$13=2, Enginuity!$B$13=4)),
      AND(LEFT(P5045,5)="3-Way", OR(Enginuity!$B$13=3, Enginuity!$B$13=6)),
      AND(P5045="Inner Centre Jamb", OR(Enginuity!$B$13=4, Enginuity!$B$13=6)),
      AND(
        LEFT(P5045,5)&lt;&gt;"1-Way",
        LEFT(P5045,5)&lt;&gt;"2-Way",
        LEFT(P5045,5)&lt;&gt;"3-Way",
        P5045&lt;&gt;"Inner Centre Jamb"
      )
    ),
    IF(OR(Enginuity!$A$1="Frameless Glass",Enginuity!$A$1="Metal Work"),
      AND(TRIM(B5045)=TRIM(Enginuity!$A$17),TRIM(C5045)=TRIM(Enginuity!$A$18)),
      TRIM(B5045)=TRIM(Enginuity!$A$17)
    )
  ),
  ROW(),
  ""
)</f>
        <v/>
      </c>
    </row>
    <row r="5046" spans="21:21" x14ac:dyDescent="0.25">
      <c r="U5046" s="104" t="str">
        <f>IF(
  AND(
    TRIM(A5046)=TRIM(Enginuity!$A$1),
    TRIM(B5046)=TRIM(Enginuity!$A$17),
    Q5046&lt;&gt;"",
    Q5046&lt;&gt;0,
    OR(
      TRIM(C5046)=TRIM(Enginuity!$A$18),
      AND(UPPER(TRIM(M5046))="STD", TRIM(B5046)=TRIM(Enginuity!$A$17))
    ),
    OR(
      AND(LEFT(P5046,5)="1-Way", Enginuity!$B$13=1),
      AND(LEFT(P5046,5)="2-Way", OR(Enginuity!$B$13=2, Enginuity!$B$13=4)),
      AND(LEFT(P5046,5)="3-Way", OR(Enginuity!$B$13=3, Enginuity!$B$13=6)),
      AND(P5046="Inner Centre Jamb", OR(Enginuity!$B$13=4, Enginuity!$B$13=6)),
      AND(
        LEFT(P5046,5)&lt;&gt;"1-Way",
        LEFT(P5046,5)&lt;&gt;"2-Way",
        LEFT(P5046,5)&lt;&gt;"3-Way",
        P5046&lt;&gt;"Inner Centre Jamb"
      )
    ),
    IF(OR(Enginuity!$A$1="Frameless Glass",Enginuity!$A$1="Metal Work"),
      AND(TRIM(B5046)=TRIM(Enginuity!$A$17),TRIM(C5046)=TRIM(Enginuity!$A$18)),
      TRIM(B5046)=TRIM(Enginuity!$A$17)
    )
  ),
  ROW(),
  ""
)</f>
        <v/>
      </c>
    </row>
    <row r="5047" spans="21:21" x14ac:dyDescent="0.25">
      <c r="U5047" s="104" t="str">
        <f>IF(
  AND(
    TRIM(A5047)=TRIM(Enginuity!$A$1),
    TRIM(B5047)=TRIM(Enginuity!$A$17),
    Q5047&lt;&gt;"",
    Q5047&lt;&gt;0,
    OR(
      TRIM(C5047)=TRIM(Enginuity!$A$18),
      AND(UPPER(TRIM(M5047))="STD", TRIM(B5047)=TRIM(Enginuity!$A$17))
    ),
    OR(
      AND(LEFT(P5047,5)="1-Way", Enginuity!$B$13=1),
      AND(LEFT(P5047,5)="2-Way", OR(Enginuity!$B$13=2, Enginuity!$B$13=4)),
      AND(LEFT(P5047,5)="3-Way", OR(Enginuity!$B$13=3, Enginuity!$B$13=6)),
      AND(P5047="Inner Centre Jamb", OR(Enginuity!$B$13=4, Enginuity!$B$13=6)),
      AND(
        LEFT(P5047,5)&lt;&gt;"1-Way",
        LEFT(P5047,5)&lt;&gt;"2-Way",
        LEFT(P5047,5)&lt;&gt;"3-Way",
        P5047&lt;&gt;"Inner Centre Jamb"
      )
    ),
    IF(OR(Enginuity!$A$1="Frameless Glass",Enginuity!$A$1="Metal Work"),
      AND(TRIM(B5047)=TRIM(Enginuity!$A$17),TRIM(C5047)=TRIM(Enginuity!$A$18)),
      TRIM(B5047)=TRIM(Enginuity!$A$17)
    )
  ),
  ROW(),
  ""
)</f>
        <v/>
      </c>
    </row>
    <row r="5048" spans="21:21" x14ac:dyDescent="0.25">
      <c r="U5048" s="104" t="str">
        <f>IF(
  AND(
    TRIM(A5048)=TRIM(Enginuity!$A$1),
    TRIM(B5048)=TRIM(Enginuity!$A$17),
    Q5048&lt;&gt;"",
    Q5048&lt;&gt;0,
    OR(
      TRIM(C5048)=TRIM(Enginuity!$A$18),
      AND(UPPER(TRIM(M5048))="STD", TRIM(B5048)=TRIM(Enginuity!$A$17))
    ),
    OR(
      AND(LEFT(P5048,5)="1-Way", Enginuity!$B$13=1),
      AND(LEFT(P5048,5)="2-Way", OR(Enginuity!$B$13=2, Enginuity!$B$13=4)),
      AND(LEFT(P5048,5)="3-Way", OR(Enginuity!$B$13=3, Enginuity!$B$13=6)),
      AND(P5048="Inner Centre Jamb", OR(Enginuity!$B$13=4, Enginuity!$B$13=6)),
      AND(
        LEFT(P5048,5)&lt;&gt;"1-Way",
        LEFT(P5048,5)&lt;&gt;"2-Way",
        LEFT(P5048,5)&lt;&gt;"3-Way",
        P5048&lt;&gt;"Inner Centre Jamb"
      )
    ),
    IF(OR(Enginuity!$A$1="Frameless Glass",Enginuity!$A$1="Metal Work"),
      AND(TRIM(B5048)=TRIM(Enginuity!$A$17),TRIM(C5048)=TRIM(Enginuity!$A$18)),
      TRIM(B5048)=TRIM(Enginuity!$A$17)
    )
  ),
  ROW(),
  ""
)</f>
        <v/>
      </c>
    </row>
    <row r="5049" spans="21:21" x14ac:dyDescent="0.25">
      <c r="U5049" s="104" t="str">
        <f>IF(
  AND(
    TRIM(A5049)=TRIM(Enginuity!$A$1),
    TRIM(B5049)=TRIM(Enginuity!$A$17),
    Q5049&lt;&gt;"",
    Q5049&lt;&gt;0,
    OR(
      TRIM(C5049)=TRIM(Enginuity!$A$18),
      AND(UPPER(TRIM(M5049))="STD", TRIM(B5049)=TRIM(Enginuity!$A$17))
    ),
    OR(
      AND(LEFT(P5049,5)="1-Way", Enginuity!$B$13=1),
      AND(LEFT(P5049,5)="2-Way", OR(Enginuity!$B$13=2, Enginuity!$B$13=4)),
      AND(LEFT(P5049,5)="3-Way", OR(Enginuity!$B$13=3, Enginuity!$B$13=6)),
      AND(P5049="Inner Centre Jamb", OR(Enginuity!$B$13=4, Enginuity!$B$13=6)),
      AND(
        LEFT(P5049,5)&lt;&gt;"1-Way",
        LEFT(P5049,5)&lt;&gt;"2-Way",
        LEFT(P5049,5)&lt;&gt;"3-Way",
        P5049&lt;&gt;"Inner Centre Jamb"
      )
    ),
    IF(OR(Enginuity!$A$1="Frameless Glass",Enginuity!$A$1="Metal Work"),
      AND(TRIM(B5049)=TRIM(Enginuity!$A$17),TRIM(C5049)=TRIM(Enginuity!$A$18)),
      TRIM(B5049)=TRIM(Enginuity!$A$17)
    )
  ),
  ROW(),
  ""
)</f>
        <v/>
      </c>
    </row>
    <row r="5050" spans="21:21" x14ac:dyDescent="0.25">
      <c r="U5050" s="104" t="str">
        <f>IF(
  AND(
    TRIM(A5050)=TRIM(Enginuity!$A$1),
    TRIM(B5050)=TRIM(Enginuity!$A$17),
    Q5050&lt;&gt;"",
    Q5050&lt;&gt;0,
    OR(
      TRIM(C5050)=TRIM(Enginuity!$A$18),
      AND(UPPER(TRIM(M5050))="STD", TRIM(B5050)=TRIM(Enginuity!$A$17))
    ),
    OR(
      AND(LEFT(P5050,5)="1-Way", Enginuity!$B$13=1),
      AND(LEFT(P5050,5)="2-Way", OR(Enginuity!$B$13=2, Enginuity!$B$13=4)),
      AND(LEFT(P5050,5)="3-Way", OR(Enginuity!$B$13=3, Enginuity!$B$13=6)),
      AND(P5050="Inner Centre Jamb", OR(Enginuity!$B$13=4, Enginuity!$B$13=6)),
      AND(
        LEFT(P5050,5)&lt;&gt;"1-Way",
        LEFT(P5050,5)&lt;&gt;"2-Way",
        LEFT(P5050,5)&lt;&gt;"3-Way",
        P5050&lt;&gt;"Inner Centre Jamb"
      )
    ),
    IF(OR(Enginuity!$A$1="Frameless Glass",Enginuity!$A$1="Metal Work"),
      AND(TRIM(B5050)=TRIM(Enginuity!$A$17),TRIM(C5050)=TRIM(Enginuity!$A$18)),
      TRIM(B5050)=TRIM(Enginuity!$A$17)
    )
  ),
  ROW(),
  ""
)</f>
        <v/>
      </c>
    </row>
    <row r="5051" spans="21:21" x14ac:dyDescent="0.25">
      <c r="U5051" s="104" t="str">
        <f>IF(
  AND(
    TRIM(A5051)=TRIM(Enginuity!$A$1),
    TRIM(B5051)=TRIM(Enginuity!$A$17),
    Q5051&lt;&gt;"",
    Q5051&lt;&gt;0,
    OR(
      TRIM(C5051)=TRIM(Enginuity!$A$18),
      AND(UPPER(TRIM(M5051))="STD", TRIM(B5051)=TRIM(Enginuity!$A$17))
    ),
    OR(
      AND(LEFT(P5051,5)="1-Way", Enginuity!$B$13=1),
      AND(LEFT(P5051,5)="2-Way", OR(Enginuity!$B$13=2, Enginuity!$B$13=4)),
      AND(LEFT(P5051,5)="3-Way", OR(Enginuity!$B$13=3, Enginuity!$B$13=6)),
      AND(P5051="Inner Centre Jamb", OR(Enginuity!$B$13=4, Enginuity!$B$13=6)),
      AND(
        LEFT(P5051,5)&lt;&gt;"1-Way",
        LEFT(P5051,5)&lt;&gt;"2-Way",
        LEFT(P5051,5)&lt;&gt;"3-Way",
        P5051&lt;&gt;"Inner Centre Jamb"
      )
    ),
    IF(OR(Enginuity!$A$1="Frameless Glass",Enginuity!$A$1="Metal Work"),
      AND(TRIM(B5051)=TRIM(Enginuity!$A$17),TRIM(C5051)=TRIM(Enginuity!$A$18)),
      TRIM(B5051)=TRIM(Enginuity!$A$17)
    )
  ),
  ROW(),
  ""
)</f>
        <v/>
      </c>
    </row>
    <row r="5052" spans="21:21" x14ac:dyDescent="0.25">
      <c r="U5052" s="104" t="str">
        <f>IF(
  AND(
    TRIM(A5052)=TRIM(Enginuity!$A$1),
    TRIM(B5052)=TRIM(Enginuity!$A$17),
    Q5052&lt;&gt;"",
    Q5052&lt;&gt;0,
    OR(
      TRIM(C5052)=TRIM(Enginuity!$A$18),
      AND(UPPER(TRIM(M5052))="STD", TRIM(B5052)=TRIM(Enginuity!$A$17))
    ),
    OR(
      AND(LEFT(P5052,5)="1-Way", Enginuity!$B$13=1),
      AND(LEFT(P5052,5)="2-Way", OR(Enginuity!$B$13=2, Enginuity!$B$13=4)),
      AND(LEFT(P5052,5)="3-Way", OR(Enginuity!$B$13=3, Enginuity!$B$13=6)),
      AND(P5052="Inner Centre Jamb", OR(Enginuity!$B$13=4, Enginuity!$B$13=6)),
      AND(
        LEFT(P5052,5)&lt;&gt;"1-Way",
        LEFT(P5052,5)&lt;&gt;"2-Way",
        LEFT(P5052,5)&lt;&gt;"3-Way",
        P5052&lt;&gt;"Inner Centre Jamb"
      )
    ),
    IF(OR(Enginuity!$A$1="Frameless Glass",Enginuity!$A$1="Metal Work"),
      AND(TRIM(B5052)=TRIM(Enginuity!$A$17),TRIM(C5052)=TRIM(Enginuity!$A$18)),
      TRIM(B5052)=TRIM(Enginuity!$A$17)
    )
  ),
  ROW(),
  ""
)</f>
        <v/>
      </c>
    </row>
    <row r="5053" spans="21:21" x14ac:dyDescent="0.25">
      <c r="U5053" s="104" t="str">
        <f>IF(
  AND(
    TRIM(A5053)=TRIM(Enginuity!$A$1),
    TRIM(B5053)=TRIM(Enginuity!$A$17),
    Q5053&lt;&gt;"",
    Q5053&lt;&gt;0,
    OR(
      TRIM(C5053)=TRIM(Enginuity!$A$18),
      AND(UPPER(TRIM(M5053))="STD", TRIM(B5053)=TRIM(Enginuity!$A$17))
    ),
    OR(
      AND(LEFT(P5053,5)="1-Way", Enginuity!$B$13=1),
      AND(LEFT(P5053,5)="2-Way", OR(Enginuity!$B$13=2, Enginuity!$B$13=4)),
      AND(LEFT(P5053,5)="3-Way", OR(Enginuity!$B$13=3, Enginuity!$B$13=6)),
      AND(P5053="Inner Centre Jamb", OR(Enginuity!$B$13=4, Enginuity!$B$13=6)),
      AND(
        LEFT(P5053,5)&lt;&gt;"1-Way",
        LEFT(P5053,5)&lt;&gt;"2-Way",
        LEFT(P5053,5)&lt;&gt;"3-Way",
        P5053&lt;&gt;"Inner Centre Jamb"
      )
    ),
    IF(OR(Enginuity!$A$1="Frameless Glass",Enginuity!$A$1="Metal Work"),
      AND(TRIM(B5053)=TRIM(Enginuity!$A$17),TRIM(C5053)=TRIM(Enginuity!$A$18)),
      TRIM(B5053)=TRIM(Enginuity!$A$17)
    )
  ),
  ROW(),
  ""
)</f>
        <v/>
      </c>
    </row>
    <row r="5054" spans="21:21" x14ac:dyDescent="0.25">
      <c r="U5054" s="104" t="str">
        <f>IF(
  AND(
    TRIM(A5054)=TRIM(Enginuity!$A$1),
    TRIM(B5054)=TRIM(Enginuity!$A$17),
    Q5054&lt;&gt;"",
    Q5054&lt;&gt;0,
    OR(
      TRIM(C5054)=TRIM(Enginuity!$A$18),
      AND(UPPER(TRIM(M5054))="STD", TRIM(B5054)=TRIM(Enginuity!$A$17))
    ),
    OR(
      AND(LEFT(P5054,5)="1-Way", Enginuity!$B$13=1),
      AND(LEFT(P5054,5)="2-Way", OR(Enginuity!$B$13=2, Enginuity!$B$13=4)),
      AND(LEFT(P5054,5)="3-Way", OR(Enginuity!$B$13=3, Enginuity!$B$13=6)),
      AND(P5054="Inner Centre Jamb", OR(Enginuity!$B$13=4, Enginuity!$B$13=6)),
      AND(
        LEFT(P5054,5)&lt;&gt;"1-Way",
        LEFT(P5054,5)&lt;&gt;"2-Way",
        LEFT(P5054,5)&lt;&gt;"3-Way",
        P5054&lt;&gt;"Inner Centre Jamb"
      )
    ),
    IF(OR(Enginuity!$A$1="Frameless Glass",Enginuity!$A$1="Metal Work"),
      AND(TRIM(B5054)=TRIM(Enginuity!$A$17),TRIM(C5054)=TRIM(Enginuity!$A$18)),
      TRIM(B5054)=TRIM(Enginuity!$A$17)
    )
  ),
  ROW(),
  ""
)</f>
        <v/>
      </c>
    </row>
    <row r="5055" spans="21:21" x14ac:dyDescent="0.25">
      <c r="U5055" s="104" t="str">
        <f>IF(
  AND(
    TRIM(A5055)=TRIM(Enginuity!$A$1),
    TRIM(B5055)=TRIM(Enginuity!$A$17),
    Q5055&lt;&gt;"",
    Q5055&lt;&gt;0,
    OR(
      TRIM(C5055)=TRIM(Enginuity!$A$18),
      AND(UPPER(TRIM(M5055))="STD", TRIM(B5055)=TRIM(Enginuity!$A$17))
    ),
    OR(
      AND(LEFT(P5055,5)="1-Way", Enginuity!$B$13=1),
      AND(LEFT(P5055,5)="2-Way", OR(Enginuity!$B$13=2, Enginuity!$B$13=4)),
      AND(LEFT(P5055,5)="3-Way", OR(Enginuity!$B$13=3, Enginuity!$B$13=6)),
      AND(P5055="Inner Centre Jamb", OR(Enginuity!$B$13=4, Enginuity!$B$13=6)),
      AND(
        LEFT(P5055,5)&lt;&gt;"1-Way",
        LEFT(P5055,5)&lt;&gt;"2-Way",
        LEFT(P5055,5)&lt;&gt;"3-Way",
        P5055&lt;&gt;"Inner Centre Jamb"
      )
    ),
    IF(OR(Enginuity!$A$1="Frameless Glass",Enginuity!$A$1="Metal Work"),
      AND(TRIM(B5055)=TRIM(Enginuity!$A$17),TRIM(C5055)=TRIM(Enginuity!$A$18)),
      TRIM(B5055)=TRIM(Enginuity!$A$17)
    )
  ),
  ROW(),
  ""
)</f>
        <v/>
      </c>
    </row>
    <row r="5056" spans="21:21" x14ac:dyDescent="0.25">
      <c r="U5056" s="104" t="str">
        <f>IF(
  AND(
    TRIM(A5056)=TRIM(Enginuity!$A$1),
    TRIM(B5056)=TRIM(Enginuity!$A$17),
    Q5056&lt;&gt;"",
    Q5056&lt;&gt;0,
    OR(
      TRIM(C5056)=TRIM(Enginuity!$A$18),
      AND(UPPER(TRIM(M5056))="STD", TRIM(B5056)=TRIM(Enginuity!$A$17))
    ),
    OR(
      AND(LEFT(P5056,5)="1-Way", Enginuity!$B$13=1),
      AND(LEFT(P5056,5)="2-Way", OR(Enginuity!$B$13=2, Enginuity!$B$13=4)),
      AND(LEFT(P5056,5)="3-Way", OR(Enginuity!$B$13=3, Enginuity!$B$13=6)),
      AND(P5056="Inner Centre Jamb", OR(Enginuity!$B$13=4, Enginuity!$B$13=6)),
      AND(
        LEFT(P5056,5)&lt;&gt;"1-Way",
        LEFT(P5056,5)&lt;&gt;"2-Way",
        LEFT(P5056,5)&lt;&gt;"3-Way",
        P5056&lt;&gt;"Inner Centre Jamb"
      )
    ),
    IF(OR(Enginuity!$A$1="Frameless Glass",Enginuity!$A$1="Metal Work"),
      AND(TRIM(B5056)=TRIM(Enginuity!$A$17),TRIM(C5056)=TRIM(Enginuity!$A$18)),
      TRIM(B5056)=TRIM(Enginuity!$A$17)
    )
  ),
  ROW(),
  ""
)</f>
        <v/>
      </c>
    </row>
    <row r="5057" spans="21:21" x14ac:dyDescent="0.25">
      <c r="U5057" s="104" t="str">
        <f>IF(
  AND(
    TRIM(A5057)=TRIM(Enginuity!$A$1),
    TRIM(B5057)=TRIM(Enginuity!$A$17),
    Q5057&lt;&gt;"",
    Q5057&lt;&gt;0,
    OR(
      TRIM(C5057)=TRIM(Enginuity!$A$18),
      AND(UPPER(TRIM(M5057))="STD", TRIM(B5057)=TRIM(Enginuity!$A$17))
    ),
    OR(
      AND(LEFT(P5057,5)="1-Way", Enginuity!$B$13=1),
      AND(LEFT(P5057,5)="2-Way", OR(Enginuity!$B$13=2, Enginuity!$B$13=4)),
      AND(LEFT(P5057,5)="3-Way", OR(Enginuity!$B$13=3, Enginuity!$B$13=6)),
      AND(P5057="Inner Centre Jamb", OR(Enginuity!$B$13=4, Enginuity!$B$13=6)),
      AND(
        LEFT(P5057,5)&lt;&gt;"1-Way",
        LEFT(P5057,5)&lt;&gt;"2-Way",
        LEFT(P5057,5)&lt;&gt;"3-Way",
        P5057&lt;&gt;"Inner Centre Jamb"
      )
    ),
    IF(OR(Enginuity!$A$1="Frameless Glass",Enginuity!$A$1="Metal Work"),
      AND(TRIM(B5057)=TRIM(Enginuity!$A$17),TRIM(C5057)=TRIM(Enginuity!$A$18)),
      TRIM(B5057)=TRIM(Enginuity!$A$17)
    )
  ),
  ROW(),
  ""
)</f>
        <v/>
      </c>
    </row>
    <row r="5058" spans="21:21" x14ac:dyDescent="0.25">
      <c r="U5058" s="104" t="str">
        <f>IF(
  AND(
    TRIM(A5058)=TRIM(Enginuity!$A$1),
    TRIM(B5058)=TRIM(Enginuity!$A$17),
    Q5058&lt;&gt;"",
    Q5058&lt;&gt;0,
    OR(
      TRIM(C5058)=TRIM(Enginuity!$A$18),
      AND(UPPER(TRIM(M5058))="STD", TRIM(B5058)=TRIM(Enginuity!$A$17))
    ),
    OR(
      AND(LEFT(P5058,5)="1-Way", Enginuity!$B$13=1),
      AND(LEFT(P5058,5)="2-Way", OR(Enginuity!$B$13=2, Enginuity!$B$13=4)),
      AND(LEFT(P5058,5)="3-Way", OR(Enginuity!$B$13=3, Enginuity!$B$13=6)),
      AND(P5058="Inner Centre Jamb", OR(Enginuity!$B$13=4, Enginuity!$B$13=6)),
      AND(
        LEFT(P5058,5)&lt;&gt;"1-Way",
        LEFT(P5058,5)&lt;&gt;"2-Way",
        LEFT(P5058,5)&lt;&gt;"3-Way",
        P5058&lt;&gt;"Inner Centre Jamb"
      )
    ),
    IF(OR(Enginuity!$A$1="Frameless Glass",Enginuity!$A$1="Metal Work"),
      AND(TRIM(B5058)=TRIM(Enginuity!$A$17),TRIM(C5058)=TRIM(Enginuity!$A$18)),
      TRIM(B5058)=TRIM(Enginuity!$A$17)
    )
  ),
  ROW(),
  ""
)</f>
        <v/>
      </c>
    </row>
    <row r="5059" spans="21:21" x14ac:dyDescent="0.25">
      <c r="U5059" s="104" t="str">
        <f>IF(
  AND(
    TRIM(A5059)=TRIM(Enginuity!$A$1),
    TRIM(B5059)=TRIM(Enginuity!$A$17),
    Q5059&lt;&gt;"",
    Q5059&lt;&gt;0,
    OR(
      TRIM(C5059)=TRIM(Enginuity!$A$18),
      AND(UPPER(TRIM(M5059))="STD", TRIM(B5059)=TRIM(Enginuity!$A$17))
    ),
    OR(
      AND(LEFT(P5059,5)="1-Way", Enginuity!$B$13=1),
      AND(LEFT(P5059,5)="2-Way", OR(Enginuity!$B$13=2, Enginuity!$B$13=4)),
      AND(LEFT(P5059,5)="3-Way", OR(Enginuity!$B$13=3, Enginuity!$B$13=6)),
      AND(P5059="Inner Centre Jamb", OR(Enginuity!$B$13=4, Enginuity!$B$13=6)),
      AND(
        LEFT(P5059,5)&lt;&gt;"1-Way",
        LEFT(P5059,5)&lt;&gt;"2-Way",
        LEFT(P5059,5)&lt;&gt;"3-Way",
        P5059&lt;&gt;"Inner Centre Jamb"
      )
    ),
    IF(OR(Enginuity!$A$1="Frameless Glass",Enginuity!$A$1="Metal Work"),
      AND(TRIM(B5059)=TRIM(Enginuity!$A$17),TRIM(C5059)=TRIM(Enginuity!$A$18)),
      TRIM(B5059)=TRIM(Enginuity!$A$17)
    )
  ),
  ROW(),
  ""
)</f>
        <v/>
      </c>
    </row>
    <row r="5060" spans="21:21" x14ac:dyDescent="0.25">
      <c r="U5060" s="104" t="str">
        <f>IF(
  AND(
    TRIM(A5060)=TRIM(Enginuity!$A$1),
    TRIM(B5060)=TRIM(Enginuity!$A$17),
    Q5060&lt;&gt;"",
    Q5060&lt;&gt;0,
    OR(
      TRIM(C5060)=TRIM(Enginuity!$A$18),
      AND(UPPER(TRIM(M5060))="STD", TRIM(B5060)=TRIM(Enginuity!$A$17))
    ),
    OR(
      AND(LEFT(P5060,5)="1-Way", Enginuity!$B$13=1),
      AND(LEFT(P5060,5)="2-Way", OR(Enginuity!$B$13=2, Enginuity!$B$13=4)),
      AND(LEFT(P5060,5)="3-Way", OR(Enginuity!$B$13=3, Enginuity!$B$13=6)),
      AND(P5060="Inner Centre Jamb", OR(Enginuity!$B$13=4, Enginuity!$B$13=6)),
      AND(
        LEFT(P5060,5)&lt;&gt;"1-Way",
        LEFT(P5060,5)&lt;&gt;"2-Way",
        LEFT(P5060,5)&lt;&gt;"3-Way",
        P5060&lt;&gt;"Inner Centre Jamb"
      )
    ),
    IF(OR(Enginuity!$A$1="Frameless Glass",Enginuity!$A$1="Metal Work"),
      AND(TRIM(B5060)=TRIM(Enginuity!$A$17),TRIM(C5060)=TRIM(Enginuity!$A$18)),
      TRIM(B5060)=TRIM(Enginuity!$A$17)
    )
  ),
  ROW(),
  ""
)</f>
        <v/>
      </c>
    </row>
    <row r="5061" spans="21:21" x14ac:dyDescent="0.25">
      <c r="U5061" s="104" t="str">
        <f>IF(
  AND(
    TRIM(A5061)=TRIM(Enginuity!$A$1),
    TRIM(B5061)=TRIM(Enginuity!$A$17),
    Q5061&lt;&gt;"",
    Q5061&lt;&gt;0,
    OR(
      TRIM(C5061)=TRIM(Enginuity!$A$18),
      AND(UPPER(TRIM(M5061))="STD", TRIM(B5061)=TRIM(Enginuity!$A$17))
    ),
    OR(
      AND(LEFT(P5061,5)="1-Way", Enginuity!$B$13=1),
      AND(LEFT(P5061,5)="2-Way", OR(Enginuity!$B$13=2, Enginuity!$B$13=4)),
      AND(LEFT(P5061,5)="3-Way", OR(Enginuity!$B$13=3, Enginuity!$B$13=6)),
      AND(P5061="Inner Centre Jamb", OR(Enginuity!$B$13=4, Enginuity!$B$13=6)),
      AND(
        LEFT(P5061,5)&lt;&gt;"1-Way",
        LEFT(P5061,5)&lt;&gt;"2-Way",
        LEFT(P5061,5)&lt;&gt;"3-Way",
        P5061&lt;&gt;"Inner Centre Jamb"
      )
    ),
    IF(OR(Enginuity!$A$1="Frameless Glass",Enginuity!$A$1="Metal Work"),
      AND(TRIM(B5061)=TRIM(Enginuity!$A$17),TRIM(C5061)=TRIM(Enginuity!$A$18)),
      TRIM(B5061)=TRIM(Enginuity!$A$17)
    )
  ),
  ROW(),
  ""
)</f>
        <v/>
      </c>
    </row>
    <row r="5062" spans="21:21" x14ac:dyDescent="0.25">
      <c r="U5062" s="104" t="str">
        <f>IF(
  AND(
    TRIM(A5062)=TRIM(Enginuity!$A$1),
    TRIM(B5062)=TRIM(Enginuity!$A$17),
    Q5062&lt;&gt;"",
    Q5062&lt;&gt;0,
    OR(
      TRIM(C5062)=TRIM(Enginuity!$A$18),
      AND(UPPER(TRIM(M5062))="STD", TRIM(B5062)=TRIM(Enginuity!$A$17))
    ),
    OR(
      AND(LEFT(P5062,5)="1-Way", Enginuity!$B$13=1),
      AND(LEFT(P5062,5)="2-Way", OR(Enginuity!$B$13=2, Enginuity!$B$13=4)),
      AND(LEFT(P5062,5)="3-Way", OR(Enginuity!$B$13=3, Enginuity!$B$13=6)),
      AND(P5062="Inner Centre Jamb", OR(Enginuity!$B$13=4, Enginuity!$B$13=6)),
      AND(
        LEFT(P5062,5)&lt;&gt;"1-Way",
        LEFT(P5062,5)&lt;&gt;"2-Way",
        LEFT(P5062,5)&lt;&gt;"3-Way",
        P5062&lt;&gt;"Inner Centre Jamb"
      )
    ),
    IF(OR(Enginuity!$A$1="Frameless Glass",Enginuity!$A$1="Metal Work"),
      AND(TRIM(B5062)=TRIM(Enginuity!$A$17),TRIM(C5062)=TRIM(Enginuity!$A$18)),
      TRIM(B5062)=TRIM(Enginuity!$A$17)
    )
  ),
  ROW(),
  ""
)</f>
        <v/>
      </c>
    </row>
    <row r="5063" spans="21:21" x14ac:dyDescent="0.25">
      <c r="U5063" s="104" t="str">
        <f>IF(
  AND(
    TRIM(A5063)=TRIM(Enginuity!$A$1),
    TRIM(B5063)=TRIM(Enginuity!$A$17),
    Q5063&lt;&gt;"",
    Q5063&lt;&gt;0,
    OR(
      TRIM(C5063)=TRIM(Enginuity!$A$18),
      AND(UPPER(TRIM(M5063))="STD", TRIM(B5063)=TRIM(Enginuity!$A$17))
    ),
    OR(
      AND(LEFT(P5063,5)="1-Way", Enginuity!$B$13=1),
      AND(LEFT(P5063,5)="2-Way", OR(Enginuity!$B$13=2, Enginuity!$B$13=4)),
      AND(LEFT(P5063,5)="3-Way", OR(Enginuity!$B$13=3, Enginuity!$B$13=6)),
      AND(P5063="Inner Centre Jamb", OR(Enginuity!$B$13=4, Enginuity!$B$13=6)),
      AND(
        LEFT(P5063,5)&lt;&gt;"1-Way",
        LEFT(P5063,5)&lt;&gt;"2-Way",
        LEFT(P5063,5)&lt;&gt;"3-Way",
        P5063&lt;&gt;"Inner Centre Jamb"
      )
    ),
    IF(OR(Enginuity!$A$1="Frameless Glass",Enginuity!$A$1="Metal Work"),
      AND(TRIM(B5063)=TRIM(Enginuity!$A$17),TRIM(C5063)=TRIM(Enginuity!$A$18)),
      TRIM(B5063)=TRIM(Enginuity!$A$17)
    )
  ),
  ROW(),
  ""
)</f>
        <v/>
      </c>
    </row>
    <row r="5064" spans="21:21" x14ac:dyDescent="0.25">
      <c r="U5064" s="104" t="str">
        <f>IF(
  AND(
    TRIM(A5064)=TRIM(Enginuity!$A$1),
    TRIM(B5064)=TRIM(Enginuity!$A$17),
    Q5064&lt;&gt;"",
    Q5064&lt;&gt;0,
    OR(
      TRIM(C5064)=TRIM(Enginuity!$A$18),
      AND(UPPER(TRIM(M5064))="STD", TRIM(B5064)=TRIM(Enginuity!$A$17))
    ),
    OR(
      AND(LEFT(P5064,5)="1-Way", Enginuity!$B$13=1),
      AND(LEFT(P5064,5)="2-Way", OR(Enginuity!$B$13=2, Enginuity!$B$13=4)),
      AND(LEFT(P5064,5)="3-Way", OR(Enginuity!$B$13=3, Enginuity!$B$13=6)),
      AND(P5064="Inner Centre Jamb", OR(Enginuity!$B$13=4, Enginuity!$B$13=6)),
      AND(
        LEFT(P5064,5)&lt;&gt;"1-Way",
        LEFT(P5064,5)&lt;&gt;"2-Way",
        LEFT(P5064,5)&lt;&gt;"3-Way",
        P5064&lt;&gt;"Inner Centre Jamb"
      )
    ),
    IF(OR(Enginuity!$A$1="Frameless Glass",Enginuity!$A$1="Metal Work"),
      AND(TRIM(B5064)=TRIM(Enginuity!$A$17),TRIM(C5064)=TRIM(Enginuity!$A$18)),
      TRIM(B5064)=TRIM(Enginuity!$A$17)
    )
  ),
  ROW(),
  ""
)</f>
        <v/>
      </c>
    </row>
    <row r="5065" spans="21:21" x14ac:dyDescent="0.25">
      <c r="U5065" s="104" t="str">
        <f>IF(
  AND(
    TRIM(A5065)=TRIM(Enginuity!$A$1),
    TRIM(B5065)=TRIM(Enginuity!$A$17),
    Q5065&lt;&gt;"",
    Q5065&lt;&gt;0,
    OR(
      TRIM(C5065)=TRIM(Enginuity!$A$18),
      AND(UPPER(TRIM(M5065))="STD", TRIM(B5065)=TRIM(Enginuity!$A$17))
    ),
    OR(
      AND(LEFT(P5065,5)="1-Way", Enginuity!$B$13=1),
      AND(LEFT(P5065,5)="2-Way", OR(Enginuity!$B$13=2, Enginuity!$B$13=4)),
      AND(LEFT(P5065,5)="3-Way", OR(Enginuity!$B$13=3, Enginuity!$B$13=6)),
      AND(P5065="Inner Centre Jamb", OR(Enginuity!$B$13=4, Enginuity!$B$13=6)),
      AND(
        LEFT(P5065,5)&lt;&gt;"1-Way",
        LEFT(P5065,5)&lt;&gt;"2-Way",
        LEFT(P5065,5)&lt;&gt;"3-Way",
        P5065&lt;&gt;"Inner Centre Jamb"
      )
    ),
    IF(OR(Enginuity!$A$1="Frameless Glass",Enginuity!$A$1="Metal Work"),
      AND(TRIM(B5065)=TRIM(Enginuity!$A$17),TRIM(C5065)=TRIM(Enginuity!$A$18)),
      TRIM(B5065)=TRIM(Enginuity!$A$17)
    )
  ),
  ROW(),
  ""
)</f>
        <v/>
      </c>
    </row>
    <row r="5066" spans="21:21" x14ac:dyDescent="0.25">
      <c r="U5066" s="104" t="str">
        <f>IF(
  AND(
    TRIM(A5066)=TRIM(Enginuity!$A$1),
    TRIM(B5066)=TRIM(Enginuity!$A$17),
    Q5066&lt;&gt;"",
    Q5066&lt;&gt;0,
    OR(
      TRIM(C5066)=TRIM(Enginuity!$A$18),
      AND(UPPER(TRIM(M5066))="STD", TRIM(B5066)=TRIM(Enginuity!$A$17))
    ),
    OR(
      AND(LEFT(P5066,5)="1-Way", Enginuity!$B$13=1),
      AND(LEFT(P5066,5)="2-Way", OR(Enginuity!$B$13=2, Enginuity!$B$13=4)),
      AND(LEFT(P5066,5)="3-Way", OR(Enginuity!$B$13=3, Enginuity!$B$13=6)),
      AND(P5066="Inner Centre Jamb", OR(Enginuity!$B$13=4, Enginuity!$B$13=6)),
      AND(
        LEFT(P5066,5)&lt;&gt;"1-Way",
        LEFT(P5066,5)&lt;&gt;"2-Way",
        LEFT(P5066,5)&lt;&gt;"3-Way",
        P5066&lt;&gt;"Inner Centre Jamb"
      )
    ),
    IF(OR(Enginuity!$A$1="Frameless Glass",Enginuity!$A$1="Metal Work"),
      AND(TRIM(B5066)=TRIM(Enginuity!$A$17),TRIM(C5066)=TRIM(Enginuity!$A$18)),
      TRIM(B5066)=TRIM(Enginuity!$A$17)
    )
  ),
  ROW(),
  ""
)</f>
        <v/>
      </c>
    </row>
    <row r="5067" spans="21:21" x14ac:dyDescent="0.25">
      <c r="U5067" s="104" t="str">
        <f>IF(
  AND(
    TRIM(A5067)=TRIM(Enginuity!$A$1),
    TRIM(B5067)=TRIM(Enginuity!$A$17),
    Q5067&lt;&gt;"",
    Q5067&lt;&gt;0,
    OR(
      TRIM(C5067)=TRIM(Enginuity!$A$18),
      AND(UPPER(TRIM(M5067))="STD", TRIM(B5067)=TRIM(Enginuity!$A$17))
    ),
    OR(
      AND(LEFT(P5067,5)="1-Way", Enginuity!$B$13=1),
      AND(LEFT(P5067,5)="2-Way", OR(Enginuity!$B$13=2, Enginuity!$B$13=4)),
      AND(LEFT(P5067,5)="3-Way", OR(Enginuity!$B$13=3, Enginuity!$B$13=6)),
      AND(P5067="Inner Centre Jamb", OR(Enginuity!$B$13=4, Enginuity!$B$13=6)),
      AND(
        LEFT(P5067,5)&lt;&gt;"1-Way",
        LEFT(P5067,5)&lt;&gt;"2-Way",
        LEFT(P5067,5)&lt;&gt;"3-Way",
        P5067&lt;&gt;"Inner Centre Jamb"
      )
    ),
    IF(OR(Enginuity!$A$1="Frameless Glass",Enginuity!$A$1="Metal Work"),
      AND(TRIM(B5067)=TRIM(Enginuity!$A$17),TRIM(C5067)=TRIM(Enginuity!$A$18)),
      TRIM(B5067)=TRIM(Enginuity!$A$17)
    )
  ),
  ROW(),
  ""
)</f>
        <v/>
      </c>
    </row>
    <row r="5068" spans="21:21" x14ac:dyDescent="0.25">
      <c r="U5068" s="104" t="str">
        <f>IF(
  AND(
    TRIM(A5068)=TRIM(Enginuity!$A$1),
    TRIM(B5068)=TRIM(Enginuity!$A$17),
    Q5068&lt;&gt;"",
    Q5068&lt;&gt;0,
    OR(
      TRIM(C5068)=TRIM(Enginuity!$A$18),
      AND(UPPER(TRIM(M5068))="STD", TRIM(B5068)=TRIM(Enginuity!$A$17))
    ),
    OR(
      AND(LEFT(P5068,5)="1-Way", Enginuity!$B$13=1),
      AND(LEFT(P5068,5)="2-Way", OR(Enginuity!$B$13=2, Enginuity!$B$13=4)),
      AND(LEFT(P5068,5)="3-Way", OR(Enginuity!$B$13=3, Enginuity!$B$13=6)),
      AND(P5068="Inner Centre Jamb", OR(Enginuity!$B$13=4, Enginuity!$B$13=6)),
      AND(
        LEFT(P5068,5)&lt;&gt;"1-Way",
        LEFT(P5068,5)&lt;&gt;"2-Way",
        LEFT(P5068,5)&lt;&gt;"3-Way",
        P5068&lt;&gt;"Inner Centre Jamb"
      )
    ),
    IF(OR(Enginuity!$A$1="Frameless Glass",Enginuity!$A$1="Metal Work"),
      AND(TRIM(B5068)=TRIM(Enginuity!$A$17),TRIM(C5068)=TRIM(Enginuity!$A$18)),
      TRIM(B5068)=TRIM(Enginuity!$A$17)
    )
  ),
  ROW(),
  ""
)</f>
        <v/>
      </c>
    </row>
    <row r="5069" spans="21:21" x14ac:dyDescent="0.25">
      <c r="U5069" s="104" t="str">
        <f>IF(
  AND(
    TRIM(A5069)=TRIM(Enginuity!$A$1),
    TRIM(B5069)=TRIM(Enginuity!$A$17),
    Q5069&lt;&gt;"",
    Q5069&lt;&gt;0,
    OR(
      TRIM(C5069)=TRIM(Enginuity!$A$18),
      AND(UPPER(TRIM(M5069))="STD", TRIM(B5069)=TRIM(Enginuity!$A$17))
    ),
    OR(
      AND(LEFT(P5069,5)="1-Way", Enginuity!$B$13=1),
      AND(LEFT(P5069,5)="2-Way", OR(Enginuity!$B$13=2, Enginuity!$B$13=4)),
      AND(LEFT(P5069,5)="3-Way", OR(Enginuity!$B$13=3, Enginuity!$B$13=6)),
      AND(P5069="Inner Centre Jamb", OR(Enginuity!$B$13=4, Enginuity!$B$13=6)),
      AND(
        LEFT(P5069,5)&lt;&gt;"1-Way",
        LEFT(P5069,5)&lt;&gt;"2-Way",
        LEFT(P5069,5)&lt;&gt;"3-Way",
        P5069&lt;&gt;"Inner Centre Jamb"
      )
    ),
    IF(OR(Enginuity!$A$1="Frameless Glass",Enginuity!$A$1="Metal Work"),
      AND(TRIM(B5069)=TRIM(Enginuity!$A$17),TRIM(C5069)=TRIM(Enginuity!$A$18)),
      TRIM(B5069)=TRIM(Enginuity!$A$17)
    )
  ),
  ROW(),
  ""
)</f>
        <v/>
      </c>
    </row>
    <row r="5070" spans="21:21" x14ac:dyDescent="0.25">
      <c r="U5070" s="104" t="str">
        <f>IF(
  AND(
    TRIM(A5070)=TRIM(Enginuity!$A$1),
    TRIM(B5070)=TRIM(Enginuity!$A$17),
    Q5070&lt;&gt;"",
    Q5070&lt;&gt;0,
    OR(
      TRIM(C5070)=TRIM(Enginuity!$A$18),
      AND(UPPER(TRIM(M5070))="STD", TRIM(B5070)=TRIM(Enginuity!$A$17))
    ),
    OR(
      AND(LEFT(P5070,5)="1-Way", Enginuity!$B$13=1),
      AND(LEFT(P5070,5)="2-Way", OR(Enginuity!$B$13=2, Enginuity!$B$13=4)),
      AND(LEFT(P5070,5)="3-Way", OR(Enginuity!$B$13=3, Enginuity!$B$13=6)),
      AND(P5070="Inner Centre Jamb", OR(Enginuity!$B$13=4, Enginuity!$B$13=6)),
      AND(
        LEFT(P5070,5)&lt;&gt;"1-Way",
        LEFT(P5070,5)&lt;&gt;"2-Way",
        LEFT(P5070,5)&lt;&gt;"3-Way",
        P5070&lt;&gt;"Inner Centre Jamb"
      )
    ),
    IF(OR(Enginuity!$A$1="Frameless Glass",Enginuity!$A$1="Metal Work"),
      AND(TRIM(B5070)=TRIM(Enginuity!$A$17),TRIM(C5070)=TRIM(Enginuity!$A$18)),
      TRIM(B5070)=TRIM(Enginuity!$A$17)
    )
  ),
  ROW(),
  ""
)</f>
        <v/>
      </c>
    </row>
    <row r="5071" spans="21:21" x14ac:dyDescent="0.25">
      <c r="U5071" s="104" t="str">
        <f>IF(
  AND(
    TRIM(A5071)=TRIM(Enginuity!$A$1),
    TRIM(B5071)=TRIM(Enginuity!$A$17),
    Q5071&lt;&gt;"",
    Q5071&lt;&gt;0,
    OR(
      TRIM(C5071)=TRIM(Enginuity!$A$18),
      AND(UPPER(TRIM(M5071))="STD", TRIM(B5071)=TRIM(Enginuity!$A$17))
    ),
    OR(
      AND(LEFT(P5071,5)="1-Way", Enginuity!$B$13=1),
      AND(LEFT(P5071,5)="2-Way", OR(Enginuity!$B$13=2, Enginuity!$B$13=4)),
      AND(LEFT(P5071,5)="3-Way", OR(Enginuity!$B$13=3, Enginuity!$B$13=6)),
      AND(P5071="Inner Centre Jamb", OR(Enginuity!$B$13=4, Enginuity!$B$13=6)),
      AND(
        LEFT(P5071,5)&lt;&gt;"1-Way",
        LEFT(P5071,5)&lt;&gt;"2-Way",
        LEFT(P5071,5)&lt;&gt;"3-Way",
        P5071&lt;&gt;"Inner Centre Jamb"
      )
    ),
    IF(OR(Enginuity!$A$1="Frameless Glass",Enginuity!$A$1="Metal Work"),
      AND(TRIM(B5071)=TRIM(Enginuity!$A$17),TRIM(C5071)=TRIM(Enginuity!$A$18)),
      TRIM(B5071)=TRIM(Enginuity!$A$17)
    )
  ),
  ROW(),
  ""
)</f>
        <v/>
      </c>
    </row>
    <row r="5072" spans="21:21" x14ac:dyDescent="0.25">
      <c r="U5072" s="104" t="str">
        <f>IF(
  AND(
    TRIM(A5072)=TRIM(Enginuity!$A$1),
    TRIM(B5072)=TRIM(Enginuity!$A$17),
    Q5072&lt;&gt;"",
    Q5072&lt;&gt;0,
    OR(
      TRIM(C5072)=TRIM(Enginuity!$A$18),
      AND(UPPER(TRIM(M5072))="STD", TRIM(B5072)=TRIM(Enginuity!$A$17))
    ),
    OR(
      AND(LEFT(P5072,5)="1-Way", Enginuity!$B$13=1),
      AND(LEFT(P5072,5)="2-Way", OR(Enginuity!$B$13=2, Enginuity!$B$13=4)),
      AND(LEFT(P5072,5)="3-Way", OR(Enginuity!$B$13=3, Enginuity!$B$13=6)),
      AND(P5072="Inner Centre Jamb", OR(Enginuity!$B$13=4, Enginuity!$B$13=6)),
      AND(
        LEFT(P5072,5)&lt;&gt;"1-Way",
        LEFT(P5072,5)&lt;&gt;"2-Way",
        LEFT(P5072,5)&lt;&gt;"3-Way",
        P5072&lt;&gt;"Inner Centre Jamb"
      )
    ),
    IF(OR(Enginuity!$A$1="Frameless Glass",Enginuity!$A$1="Metal Work"),
      AND(TRIM(B5072)=TRIM(Enginuity!$A$17),TRIM(C5072)=TRIM(Enginuity!$A$18)),
      TRIM(B5072)=TRIM(Enginuity!$A$17)
    )
  ),
  ROW(),
  ""
)</f>
        <v/>
      </c>
    </row>
    <row r="5073" spans="21:21" x14ac:dyDescent="0.25">
      <c r="U5073" s="104" t="str">
        <f>IF(
  AND(
    TRIM(A5073)=TRIM(Enginuity!$A$1),
    TRIM(B5073)=TRIM(Enginuity!$A$17),
    Q5073&lt;&gt;"",
    Q5073&lt;&gt;0,
    OR(
      TRIM(C5073)=TRIM(Enginuity!$A$18),
      AND(UPPER(TRIM(M5073))="STD", TRIM(B5073)=TRIM(Enginuity!$A$17))
    ),
    OR(
      AND(LEFT(P5073,5)="1-Way", Enginuity!$B$13=1),
      AND(LEFT(P5073,5)="2-Way", OR(Enginuity!$B$13=2, Enginuity!$B$13=4)),
      AND(LEFT(P5073,5)="3-Way", OR(Enginuity!$B$13=3, Enginuity!$B$13=6)),
      AND(P5073="Inner Centre Jamb", OR(Enginuity!$B$13=4, Enginuity!$B$13=6)),
      AND(
        LEFT(P5073,5)&lt;&gt;"1-Way",
        LEFT(P5073,5)&lt;&gt;"2-Way",
        LEFT(P5073,5)&lt;&gt;"3-Way",
        P5073&lt;&gt;"Inner Centre Jamb"
      )
    ),
    IF(OR(Enginuity!$A$1="Frameless Glass",Enginuity!$A$1="Metal Work"),
      AND(TRIM(B5073)=TRIM(Enginuity!$A$17),TRIM(C5073)=TRIM(Enginuity!$A$18)),
      TRIM(B5073)=TRIM(Enginuity!$A$17)
    )
  ),
  ROW(),
  ""
)</f>
        <v/>
      </c>
    </row>
    <row r="5074" spans="21:21" x14ac:dyDescent="0.25">
      <c r="U5074" s="104" t="str">
        <f>IF(
  AND(
    TRIM(A5074)=TRIM(Enginuity!$A$1),
    TRIM(B5074)=TRIM(Enginuity!$A$17),
    Q5074&lt;&gt;"",
    Q5074&lt;&gt;0,
    OR(
      TRIM(C5074)=TRIM(Enginuity!$A$18),
      AND(UPPER(TRIM(M5074))="STD", TRIM(B5074)=TRIM(Enginuity!$A$17))
    ),
    OR(
      AND(LEFT(P5074,5)="1-Way", Enginuity!$B$13=1),
      AND(LEFT(P5074,5)="2-Way", OR(Enginuity!$B$13=2, Enginuity!$B$13=4)),
      AND(LEFT(P5074,5)="3-Way", OR(Enginuity!$B$13=3, Enginuity!$B$13=6)),
      AND(P5074="Inner Centre Jamb", OR(Enginuity!$B$13=4, Enginuity!$B$13=6)),
      AND(
        LEFT(P5074,5)&lt;&gt;"1-Way",
        LEFT(P5074,5)&lt;&gt;"2-Way",
        LEFT(P5074,5)&lt;&gt;"3-Way",
        P5074&lt;&gt;"Inner Centre Jamb"
      )
    ),
    IF(OR(Enginuity!$A$1="Frameless Glass",Enginuity!$A$1="Metal Work"),
      AND(TRIM(B5074)=TRIM(Enginuity!$A$17),TRIM(C5074)=TRIM(Enginuity!$A$18)),
      TRIM(B5074)=TRIM(Enginuity!$A$17)
    )
  ),
  ROW(),
  ""
)</f>
        <v/>
      </c>
    </row>
    <row r="5075" spans="21:21" x14ac:dyDescent="0.25">
      <c r="U5075" s="104" t="str">
        <f>IF(
  AND(
    TRIM(A5075)=TRIM(Enginuity!$A$1),
    TRIM(B5075)=TRIM(Enginuity!$A$17),
    Q5075&lt;&gt;"",
    Q5075&lt;&gt;0,
    OR(
      TRIM(C5075)=TRIM(Enginuity!$A$18),
      AND(UPPER(TRIM(M5075))="STD", TRIM(B5075)=TRIM(Enginuity!$A$17))
    ),
    OR(
      AND(LEFT(P5075,5)="1-Way", Enginuity!$B$13=1),
      AND(LEFT(P5075,5)="2-Way", OR(Enginuity!$B$13=2, Enginuity!$B$13=4)),
      AND(LEFT(P5075,5)="3-Way", OR(Enginuity!$B$13=3, Enginuity!$B$13=6)),
      AND(P5075="Inner Centre Jamb", OR(Enginuity!$B$13=4, Enginuity!$B$13=6)),
      AND(
        LEFT(P5075,5)&lt;&gt;"1-Way",
        LEFT(P5075,5)&lt;&gt;"2-Way",
        LEFT(P5075,5)&lt;&gt;"3-Way",
        P5075&lt;&gt;"Inner Centre Jamb"
      )
    ),
    IF(OR(Enginuity!$A$1="Frameless Glass",Enginuity!$A$1="Metal Work"),
      AND(TRIM(B5075)=TRIM(Enginuity!$A$17),TRIM(C5075)=TRIM(Enginuity!$A$18)),
      TRIM(B5075)=TRIM(Enginuity!$A$17)
    )
  ),
  ROW(),
  ""
)</f>
        <v/>
      </c>
    </row>
    <row r="5076" spans="21:21" x14ac:dyDescent="0.25">
      <c r="U5076" s="104" t="str">
        <f>IF(
  AND(
    TRIM(A5076)=TRIM(Enginuity!$A$1),
    TRIM(B5076)=TRIM(Enginuity!$A$17),
    Q5076&lt;&gt;"",
    Q5076&lt;&gt;0,
    OR(
      TRIM(C5076)=TRIM(Enginuity!$A$18),
      AND(UPPER(TRIM(M5076))="STD", TRIM(B5076)=TRIM(Enginuity!$A$17))
    ),
    OR(
      AND(LEFT(P5076,5)="1-Way", Enginuity!$B$13=1),
      AND(LEFT(P5076,5)="2-Way", OR(Enginuity!$B$13=2, Enginuity!$B$13=4)),
      AND(LEFT(P5076,5)="3-Way", OR(Enginuity!$B$13=3, Enginuity!$B$13=6)),
      AND(P5076="Inner Centre Jamb", OR(Enginuity!$B$13=4, Enginuity!$B$13=6)),
      AND(
        LEFT(P5076,5)&lt;&gt;"1-Way",
        LEFT(P5076,5)&lt;&gt;"2-Way",
        LEFT(P5076,5)&lt;&gt;"3-Way",
        P5076&lt;&gt;"Inner Centre Jamb"
      )
    ),
    IF(OR(Enginuity!$A$1="Frameless Glass",Enginuity!$A$1="Metal Work"),
      AND(TRIM(B5076)=TRIM(Enginuity!$A$17),TRIM(C5076)=TRIM(Enginuity!$A$18)),
      TRIM(B5076)=TRIM(Enginuity!$A$17)
    )
  ),
  ROW(),
  ""
)</f>
        <v/>
      </c>
    </row>
    <row r="5077" spans="21:21" x14ac:dyDescent="0.25">
      <c r="U5077" s="104" t="str">
        <f>IF(
  AND(
    TRIM(A5077)=TRIM(Enginuity!$A$1),
    TRIM(B5077)=TRIM(Enginuity!$A$17),
    Q5077&lt;&gt;"",
    Q5077&lt;&gt;0,
    OR(
      TRIM(C5077)=TRIM(Enginuity!$A$18),
      AND(UPPER(TRIM(M5077))="STD", TRIM(B5077)=TRIM(Enginuity!$A$17))
    ),
    OR(
      AND(LEFT(P5077,5)="1-Way", Enginuity!$B$13=1),
      AND(LEFT(P5077,5)="2-Way", OR(Enginuity!$B$13=2, Enginuity!$B$13=4)),
      AND(LEFT(P5077,5)="3-Way", OR(Enginuity!$B$13=3, Enginuity!$B$13=6)),
      AND(P5077="Inner Centre Jamb", OR(Enginuity!$B$13=4, Enginuity!$B$13=6)),
      AND(
        LEFT(P5077,5)&lt;&gt;"1-Way",
        LEFT(P5077,5)&lt;&gt;"2-Way",
        LEFT(P5077,5)&lt;&gt;"3-Way",
        P5077&lt;&gt;"Inner Centre Jamb"
      )
    ),
    IF(OR(Enginuity!$A$1="Frameless Glass",Enginuity!$A$1="Metal Work"),
      AND(TRIM(B5077)=TRIM(Enginuity!$A$17),TRIM(C5077)=TRIM(Enginuity!$A$18)),
      TRIM(B5077)=TRIM(Enginuity!$A$17)
    )
  ),
  ROW(),
  ""
)</f>
        <v/>
      </c>
    </row>
    <row r="5078" spans="21:21" x14ac:dyDescent="0.25">
      <c r="U5078" s="104" t="str">
        <f>IF(
  AND(
    TRIM(A5078)=TRIM(Enginuity!$A$1),
    TRIM(B5078)=TRIM(Enginuity!$A$17),
    Q5078&lt;&gt;"",
    Q5078&lt;&gt;0,
    OR(
      TRIM(C5078)=TRIM(Enginuity!$A$18),
      AND(UPPER(TRIM(M5078))="STD", TRIM(B5078)=TRIM(Enginuity!$A$17))
    ),
    OR(
      AND(LEFT(P5078,5)="1-Way", Enginuity!$B$13=1),
      AND(LEFT(P5078,5)="2-Way", OR(Enginuity!$B$13=2, Enginuity!$B$13=4)),
      AND(LEFT(P5078,5)="3-Way", OR(Enginuity!$B$13=3, Enginuity!$B$13=6)),
      AND(P5078="Inner Centre Jamb", OR(Enginuity!$B$13=4, Enginuity!$B$13=6)),
      AND(
        LEFT(P5078,5)&lt;&gt;"1-Way",
        LEFT(P5078,5)&lt;&gt;"2-Way",
        LEFT(P5078,5)&lt;&gt;"3-Way",
        P5078&lt;&gt;"Inner Centre Jamb"
      )
    ),
    IF(OR(Enginuity!$A$1="Frameless Glass",Enginuity!$A$1="Metal Work"),
      AND(TRIM(B5078)=TRIM(Enginuity!$A$17),TRIM(C5078)=TRIM(Enginuity!$A$18)),
      TRIM(B5078)=TRIM(Enginuity!$A$17)
    )
  ),
  ROW(),
  ""
)</f>
        <v/>
      </c>
    </row>
    <row r="5079" spans="21:21" x14ac:dyDescent="0.25">
      <c r="U5079" s="104" t="str">
        <f>IF(
  AND(
    TRIM(A5079)=TRIM(Enginuity!$A$1),
    TRIM(B5079)=TRIM(Enginuity!$A$17),
    Q5079&lt;&gt;"",
    Q5079&lt;&gt;0,
    OR(
      TRIM(C5079)=TRIM(Enginuity!$A$18),
      AND(UPPER(TRIM(M5079))="STD", TRIM(B5079)=TRIM(Enginuity!$A$17))
    ),
    OR(
      AND(LEFT(P5079,5)="1-Way", Enginuity!$B$13=1),
      AND(LEFT(P5079,5)="2-Way", OR(Enginuity!$B$13=2, Enginuity!$B$13=4)),
      AND(LEFT(P5079,5)="3-Way", OR(Enginuity!$B$13=3, Enginuity!$B$13=6)),
      AND(P5079="Inner Centre Jamb", OR(Enginuity!$B$13=4, Enginuity!$B$13=6)),
      AND(
        LEFT(P5079,5)&lt;&gt;"1-Way",
        LEFT(P5079,5)&lt;&gt;"2-Way",
        LEFT(P5079,5)&lt;&gt;"3-Way",
        P5079&lt;&gt;"Inner Centre Jamb"
      )
    ),
    IF(OR(Enginuity!$A$1="Frameless Glass",Enginuity!$A$1="Metal Work"),
      AND(TRIM(B5079)=TRIM(Enginuity!$A$17),TRIM(C5079)=TRIM(Enginuity!$A$18)),
      TRIM(B5079)=TRIM(Enginuity!$A$17)
    )
  ),
  ROW(),
  ""
)</f>
        <v/>
      </c>
    </row>
    <row r="5080" spans="21:21" x14ac:dyDescent="0.25">
      <c r="U5080" s="104" t="str">
        <f>IF(
  AND(
    TRIM(A5080)=TRIM(Enginuity!$A$1),
    TRIM(B5080)=TRIM(Enginuity!$A$17),
    Q5080&lt;&gt;"",
    Q5080&lt;&gt;0,
    OR(
      TRIM(C5080)=TRIM(Enginuity!$A$18),
      AND(UPPER(TRIM(M5080))="STD", TRIM(B5080)=TRIM(Enginuity!$A$17))
    ),
    OR(
      AND(LEFT(P5080,5)="1-Way", Enginuity!$B$13=1),
      AND(LEFT(P5080,5)="2-Way", OR(Enginuity!$B$13=2, Enginuity!$B$13=4)),
      AND(LEFT(P5080,5)="3-Way", OR(Enginuity!$B$13=3, Enginuity!$B$13=6)),
      AND(P5080="Inner Centre Jamb", OR(Enginuity!$B$13=4, Enginuity!$B$13=6)),
      AND(
        LEFT(P5080,5)&lt;&gt;"1-Way",
        LEFT(P5080,5)&lt;&gt;"2-Way",
        LEFT(P5080,5)&lt;&gt;"3-Way",
        P5080&lt;&gt;"Inner Centre Jamb"
      )
    ),
    IF(OR(Enginuity!$A$1="Frameless Glass",Enginuity!$A$1="Metal Work"),
      AND(TRIM(B5080)=TRIM(Enginuity!$A$17),TRIM(C5080)=TRIM(Enginuity!$A$18)),
      TRIM(B5080)=TRIM(Enginuity!$A$17)
    )
  ),
  ROW(),
  ""
)</f>
        <v/>
      </c>
    </row>
    <row r="5081" spans="21:21" x14ac:dyDescent="0.25">
      <c r="U5081" s="104" t="str">
        <f>IF(
  AND(
    TRIM(A5081)=TRIM(Enginuity!$A$1),
    TRIM(B5081)=TRIM(Enginuity!$A$17),
    Q5081&lt;&gt;"",
    Q5081&lt;&gt;0,
    OR(
      TRIM(C5081)=TRIM(Enginuity!$A$18),
      AND(UPPER(TRIM(M5081))="STD", TRIM(B5081)=TRIM(Enginuity!$A$17))
    ),
    OR(
      AND(LEFT(P5081,5)="1-Way", Enginuity!$B$13=1),
      AND(LEFT(P5081,5)="2-Way", OR(Enginuity!$B$13=2, Enginuity!$B$13=4)),
      AND(LEFT(P5081,5)="3-Way", OR(Enginuity!$B$13=3, Enginuity!$B$13=6)),
      AND(P5081="Inner Centre Jamb", OR(Enginuity!$B$13=4, Enginuity!$B$13=6)),
      AND(
        LEFT(P5081,5)&lt;&gt;"1-Way",
        LEFT(P5081,5)&lt;&gt;"2-Way",
        LEFT(P5081,5)&lt;&gt;"3-Way",
        P5081&lt;&gt;"Inner Centre Jamb"
      )
    ),
    IF(OR(Enginuity!$A$1="Frameless Glass",Enginuity!$A$1="Metal Work"),
      AND(TRIM(B5081)=TRIM(Enginuity!$A$17),TRIM(C5081)=TRIM(Enginuity!$A$18)),
      TRIM(B5081)=TRIM(Enginuity!$A$17)
    )
  ),
  ROW(),
  ""
)</f>
        <v/>
      </c>
    </row>
    <row r="5082" spans="21:21" x14ac:dyDescent="0.25">
      <c r="U5082" s="104" t="str">
        <f>IF(
  AND(
    TRIM(A5082)=TRIM(Enginuity!$A$1),
    TRIM(B5082)=TRIM(Enginuity!$A$17),
    Q5082&lt;&gt;"",
    Q5082&lt;&gt;0,
    OR(
      TRIM(C5082)=TRIM(Enginuity!$A$18),
      AND(UPPER(TRIM(M5082))="STD", TRIM(B5082)=TRIM(Enginuity!$A$17))
    ),
    OR(
      AND(LEFT(P5082,5)="1-Way", Enginuity!$B$13=1),
      AND(LEFT(P5082,5)="2-Way", OR(Enginuity!$B$13=2, Enginuity!$B$13=4)),
      AND(LEFT(P5082,5)="3-Way", OR(Enginuity!$B$13=3, Enginuity!$B$13=6)),
      AND(P5082="Inner Centre Jamb", OR(Enginuity!$B$13=4, Enginuity!$B$13=6)),
      AND(
        LEFT(P5082,5)&lt;&gt;"1-Way",
        LEFT(P5082,5)&lt;&gt;"2-Way",
        LEFT(P5082,5)&lt;&gt;"3-Way",
        P5082&lt;&gt;"Inner Centre Jamb"
      )
    ),
    IF(OR(Enginuity!$A$1="Frameless Glass",Enginuity!$A$1="Metal Work"),
      AND(TRIM(B5082)=TRIM(Enginuity!$A$17),TRIM(C5082)=TRIM(Enginuity!$A$18)),
      TRIM(B5082)=TRIM(Enginuity!$A$17)
    )
  ),
  ROW(),
  ""
)</f>
        <v/>
      </c>
    </row>
    <row r="5083" spans="21:21" x14ac:dyDescent="0.25">
      <c r="U5083" s="104" t="str">
        <f>IF(
  AND(
    TRIM(A5083)=TRIM(Enginuity!$A$1),
    TRIM(B5083)=TRIM(Enginuity!$A$17),
    Q5083&lt;&gt;"",
    Q5083&lt;&gt;0,
    OR(
      TRIM(C5083)=TRIM(Enginuity!$A$18),
      AND(UPPER(TRIM(M5083))="STD", TRIM(B5083)=TRIM(Enginuity!$A$17))
    ),
    OR(
      AND(LEFT(P5083,5)="1-Way", Enginuity!$B$13=1),
      AND(LEFT(P5083,5)="2-Way", OR(Enginuity!$B$13=2, Enginuity!$B$13=4)),
      AND(LEFT(P5083,5)="3-Way", OR(Enginuity!$B$13=3, Enginuity!$B$13=6)),
      AND(P5083="Inner Centre Jamb", OR(Enginuity!$B$13=4, Enginuity!$B$13=6)),
      AND(
        LEFT(P5083,5)&lt;&gt;"1-Way",
        LEFT(P5083,5)&lt;&gt;"2-Way",
        LEFT(P5083,5)&lt;&gt;"3-Way",
        P5083&lt;&gt;"Inner Centre Jamb"
      )
    ),
    IF(OR(Enginuity!$A$1="Frameless Glass",Enginuity!$A$1="Metal Work"),
      AND(TRIM(B5083)=TRIM(Enginuity!$A$17),TRIM(C5083)=TRIM(Enginuity!$A$18)),
      TRIM(B5083)=TRIM(Enginuity!$A$17)
    )
  ),
  ROW(),
  ""
)</f>
        <v/>
      </c>
    </row>
    <row r="5084" spans="21:21" x14ac:dyDescent="0.25">
      <c r="U5084" s="104" t="str">
        <f>IF(
  AND(
    TRIM(A5084)=TRIM(Enginuity!$A$1),
    TRIM(B5084)=TRIM(Enginuity!$A$17),
    Q5084&lt;&gt;"",
    Q5084&lt;&gt;0,
    OR(
      TRIM(C5084)=TRIM(Enginuity!$A$18),
      AND(UPPER(TRIM(M5084))="STD", TRIM(B5084)=TRIM(Enginuity!$A$17))
    ),
    OR(
      AND(LEFT(P5084,5)="1-Way", Enginuity!$B$13=1),
      AND(LEFT(P5084,5)="2-Way", OR(Enginuity!$B$13=2, Enginuity!$B$13=4)),
      AND(LEFT(P5084,5)="3-Way", OR(Enginuity!$B$13=3, Enginuity!$B$13=6)),
      AND(P5084="Inner Centre Jamb", OR(Enginuity!$B$13=4, Enginuity!$B$13=6)),
      AND(
        LEFT(P5084,5)&lt;&gt;"1-Way",
        LEFT(P5084,5)&lt;&gt;"2-Way",
        LEFT(P5084,5)&lt;&gt;"3-Way",
        P5084&lt;&gt;"Inner Centre Jamb"
      )
    ),
    IF(OR(Enginuity!$A$1="Frameless Glass",Enginuity!$A$1="Metal Work"),
      AND(TRIM(B5084)=TRIM(Enginuity!$A$17),TRIM(C5084)=TRIM(Enginuity!$A$18)),
      TRIM(B5084)=TRIM(Enginuity!$A$17)
    )
  ),
  ROW(),
  ""
)</f>
        <v/>
      </c>
    </row>
    <row r="5085" spans="21:21" x14ac:dyDescent="0.25">
      <c r="U5085" s="104" t="str">
        <f>IF(
  AND(
    TRIM(A5085)=TRIM(Enginuity!$A$1),
    TRIM(B5085)=TRIM(Enginuity!$A$17),
    Q5085&lt;&gt;"",
    Q5085&lt;&gt;0,
    OR(
      TRIM(C5085)=TRIM(Enginuity!$A$18),
      AND(UPPER(TRIM(M5085))="STD", TRIM(B5085)=TRIM(Enginuity!$A$17))
    ),
    OR(
      AND(LEFT(P5085,5)="1-Way", Enginuity!$B$13=1),
      AND(LEFT(P5085,5)="2-Way", OR(Enginuity!$B$13=2, Enginuity!$B$13=4)),
      AND(LEFT(P5085,5)="3-Way", OR(Enginuity!$B$13=3, Enginuity!$B$13=6)),
      AND(P5085="Inner Centre Jamb", OR(Enginuity!$B$13=4, Enginuity!$B$13=6)),
      AND(
        LEFT(P5085,5)&lt;&gt;"1-Way",
        LEFT(P5085,5)&lt;&gt;"2-Way",
        LEFT(P5085,5)&lt;&gt;"3-Way",
        P5085&lt;&gt;"Inner Centre Jamb"
      )
    ),
    IF(OR(Enginuity!$A$1="Frameless Glass",Enginuity!$A$1="Metal Work"),
      AND(TRIM(B5085)=TRIM(Enginuity!$A$17),TRIM(C5085)=TRIM(Enginuity!$A$18)),
      TRIM(B5085)=TRIM(Enginuity!$A$17)
    )
  ),
  ROW(),
  ""
)</f>
        <v/>
      </c>
    </row>
    <row r="5086" spans="21:21" x14ac:dyDescent="0.25">
      <c r="U5086" s="104" t="str">
        <f>IF(
  AND(
    TRIM(A5086)=TRIM(Enginuity!$A$1),
    TRIM(B5086)=TRIM(Enginuity!$A$17),
    Q5086&lt;&gt;"",
    Q5086&lt;&gt;0,
    OR(
      TRIM(C5086)=TRIM(Enginuity!$A$18),
      AND(UPPER(TRIM(M5086))="STD", TRIM(B5086)=TRIM(Enginuity!$A$17))
    ),
    OR(
      AND(LEFT(P5086,5)="1-Way", Enginuity!$B$13=1),
      AND(LEFT(P5086,5)="2-Way", OR(Enginuity!$B$13=2, Enginuity!$B$13=4)),
      AND(LEFT(P5086,5)="3-Way", OR(Enginuity!$B$13=3, Enginuity!$B$13=6)),
      AND(P5086="Inner Centre Jamb", OR(Enginuity!$B$13=4, Enginuity!$B$13=6)),
      AND(
        LEFT(P5086,5)&lt;&gt;"1-Way",
        LEFT(P5086,5)&lt;&gt;"2-Way",
        LEFT(P5086,5)&lt;&gt;"3-Way",
        P5086&lt;&gt;"Inner Centre Jamb"
      )
    ),
    IF(OR(Enginuity!$A$1="Frameless Glass",Enginuity!$A$1="Metal Work"),
      AND(TRIM(B5086)=TRIM(Enginuity!$A$17),TRIM(C5086)=TRIM(Enginuity!$A$18)),
      TRIM(B5086)=TRIM(Enginuity!$A$17)
    )
  ),
  ROW(),
  ""
)</f>
        <v/>
      </c>
    </row>
    <row r="5087" spans="21:21" x14ac:dyDescent="0.25">
      <c r="U5087" s="104" t="str">
        <f>IF(
  AND(
    TRIM(A5087)=TRIM(Enginuity!$A$1),
    TRIM(B5087)=TRIM(Enginuity!$A$17),
    Q5087&lt;&gt;"",
    Q5087&lt;&gt;0,
    OR(
      TRIM(C5087)=TRIM(Enginuity!$A$18),
      AND(UPPER(TRIM(M5087))="STD", TRIM(B5087)=TRIM(Enginuity!$A$17))
    ),
    OR(
      AND(LEFT(P5087,5)="1-Way", Enginuity!$B$13=1),
      AND(LEFT(P5087,5)="2-Way", OR(Enginuity!$B$13=2, Enginuity!$B$13=4)),
      AND(LEFT(P5087,5)="3-Way", OR(Enginuity!$B$13=3, Enginuity!$B$13=6)),
      AND(P5087="Inner Centre Jamb", OR(Enginuity!$B$13=4, Enginuity!$B$13=6)),
      AND(
        LEFT(P5087,5)&lt;&gt;"1-Way",
        LEFT(P5087,5)&lt;&gt;"2-Way",
        LEFT(P5087,5)&lt;&gt;"3-Way",
        P5087&lt;&gt;"Inner Centre Jamb"
      )
    ),
    IF(OR(Enginuity!$A$1="Frameless Glass",Enginuity!$A$1="Metal Work"),
      AND(TRIM(B5087)=TRIM(Enginuity!$A$17),TRIM(C5087)=TRIM(Enginuity!$A$18)),
      TRIM(B5087)=TRIM(Enginuity!$A$17)
    )
  ),
  ROW(),
  ""
)</f>
        <v/>
      </c>
    </row>
    <row r="5088" spans="21:21" x14ac:dyDescent="0.25">
      <c r="U5088" s="104" t="str">
        <f>IF(
  AND(
    TRIM(A5088)=TRIM(Enginuity!$A$1),
    TRIM(B5088)=TRIM(Enginuity!$A$17),
    Q5088&lt;&gt;"",
    Q5088&lt;&gt;0,
    OR(
      TRIM(C5088)=TRIM(Enginuity!$A$18),
      AND(UPPER(TRIM(M5088))="STD", TRIM(B5088)=TRIM(Enginuity!$A$17))
    ),
    OR(
      AND(LEFT(P5088,5)="1-Way", Enginuity!$B$13=1),
      AND(LEFT(P5088,5)="2-Way", OR(Enginuity!$B$13=2, Enginuity!$B$13=4)),
      AND(LEFT(P5088,5)="3-Way", OR(Enginuity!$B$13=3, Enginuity!$B$13=6)),
      AND(P5088="Inner Centre Jamb", OR(Enginuity!$B$13=4, Enginuity!$B$13=6)),
      AND(
        LEFT(P5088,5)&lt;&gt;"1-Way",
        LEFT(P5088,5)&lt;&gt;"2-Way",
        LEFT(P5088,5)&lt;&gt;"3-Way",
        P5088&lt;&gt;"Inner Centre Jamb"
      )
    ),
    IF(OR(Enginuity!$A$1="Frameless Glass",Enginuity!$A$1="Metal Work"),
      AND(TRIM(B5088)=TRIM(Enginuity!$A$17),TRIM(C5088)=TRIM(Enginuity!$A$18)),
      TRIM(B5088)=TRIM(Enginuity!$A$17)
    )
  ),
  ROW(),
  ""
)</f>
        <v/>
      </c>
    </row>
    <row r="5089" spans="21:21" x14ac:dyDescent="0.25">
      <c r="U5089" s="104" t="str">
        <f>IF(
  AND(
    TRIM(A5089)=TRIM(Enginuity!$A$1),
    TRIM(B5089)=TRIM(Enginuity!$A$17),
    Q5089&lt;&gt;"",
    Q5089&lt;&gt;0,
    OR(
      TRIM(C5089)=TRIM(Enginuity!$A$18),
      AND(UPPER(TRIM(M5089))="STD", TRIM(B5089)=TRIM(Enginuity!$A$17))
    ),
    OR(
      AND(LEFT(P5089,5)="1-Way", Enginuity!$B$13=1),
      AND(LEFT(P5089,5)="2-Way", OR(Enginuity!$B$13=2, Enginuity!$B$13=4)),
      AND(LEFT(P5089,5)="3-Way", OR(Enginuity!$B$13=3, Enginuity!$B$13=6)),
      AND(P5089="Inner Centre Jamb", OR(Enginuity!$B$13=4, Enginuity!$B$13=6)),
      AND(
        LEFT(P5089,5)&lt;&gt;"1-Way",
        LEFT(P5089,5)&lt;&gt;"2-Way",
        LEFT(P5089,5)&lt;&gt;"3-Way",
        P5089&lt;&gt;"Inner Centre Jamb"
      )
    ),
    IF(OR(Enginuity!$A$1="Frameless Glass",Enginuity!$A$1="Metal Work"),
      AND(TRIM(B5089)=TRIM(Enginuity!$A$17),TRIM(C5089)=TRIM(Enginuity!$A$18)),
      TRIM(B5089)=TRIM(Enginuity!$A$17)
    )
  ),
  ROW(),
  ""
)</f>
        <v/>
      </c>
    </row>
    <row r="5090" spans="21:21" x14ac:dyDescent="0.25">
      <c r="U5090" s="104" t="str">
        <f>IF(
  AND(
    TRIM(A5090)=TRIM(Enginuity!$A$1),
    TRIM(B5090)=TRIM(Enginuity!$A$17),
    Q5090&lt;&gt;"",
    Q5090&lt;&gt;0,
    OR(
      TRIM(C5090)=TRIM(Enginuity!$A$18),
      AND(UPPER(TRIM(M5090))="STD", TRIM(B5090)=TRIM(Enginuity!$A$17))
    ),
    OR(
      AND(LEFT(P5090,5)="1-Way", Enginuity!$B$13=1),
      AND(LEFT(P5090,5)="2-Way", OR(Enginuity!$B$13=2, Enginuity!$B$13=4)),
      AND(LEFT(P5090,5)="3-Way", OR(Enginuity!$B$13=3, Enginuity!$B$13=6)),
      AND(P5090="Inner Centre Jamb", OR(Enginuity!$B$13=4, Enginuity!$B$13=6)),
      AND(
        LEFT(P5090,5)&lt;&gt;"1-Way",
        LEFT(P5090,5)&lt;&gt;"2-Way",
        LEFT(P5090,5)&lt;&gt;"3-Way",
        P5090&lt;&gt;"Inner Centre Jamb"
      )
    ),
    IF(OR(Enginuity!$A$1="Frameless Glass",Enginuity!$A$1="Metal Work"),
      AND(TRIM(B5090)=TRIM(Enginuity!$A$17),TRIM(C5090)=TRIM(Enginuity!$A$18)),
      TRIM(B5090)=TRIM(Enginuity!$A$17)
    )
  ),
  ROW(),
  ""
)</f>
        <v/>
      </c>
    </row>
    <row r="5091" spans="21:21" x14ac:dyDescent="0.25">
      <c r="U5091" s="104" t="str">
        <f>IF(
  AND(
    TRIM(A5091)=TRIM(Enginuity!$A$1),
    TRIM(B5091)=TRIM(Enginuity!$A$17),
    Q5091&lt;&gt;"",
    Q5091&lt;&gt;0,
    OR(
      TRIM(C5091)=TRIM(Enginuity!$A$18),
      AND(UPPER(TRIM(M5091))="STD", TRIM(B5091)=TRIM(Enginuity!$A$17))
    ),
    OR(
      AND(LEFT(P5091,5)="1-Way", Enginuity!$B$13=1),
      AND(LEFT(P5091,5)="2-Way", OR(Enginuity!$B$13=2, Enginuity!$B$13=4)),
      AND(LEFT(P5091,5)="3-Way", OR(Enginuity!$B$13=3, Enginuity!$B$13=6)),
      AND(P5091="Inner Centre Jamb", OR(Enginuity!$B$13=4, Enginuity!$B$13=6)),
      AND(
        LEFT(P5091,5)&lt;&gt;"1-Way",
        LEFT(P5091,5)&lt;&gt;"2-Way",
        LEFT(P5091,5)&lt;&gt;"3-Way",
        P5091&lt;&gt;"Inner Centre Jamb"
      )
    ),
    IF(OR(Enginuity!$A$1="Frameless Glass",Enginuity!$A$1="Metal Work"),
      AND(TRIM(B5091)=TRIM(Enginuity!$A$17),TRIM(C5091)=TRIM(Enginuity!$A$18)),
      TRIM(B5091)=TRIM(Enginuity!$A$17)
    )
  ),
  ROW(),
  ""
)</f>
        <v/>
      </c>
    </row>
    <row r="5092" spans="21:21" x14ac:dyDescent="0.25">
      <c r="U5092" s="104" t="str">
        <f>IF(
  AND(
    TRIM(A5092)=TRIM(Enginuity!$A$1),
    TRIM(B5092)=TRIM(Enginuity!$A$17),
    Q5092&lt;&gt;"",
    Q5092&lt;&gt;0,
    OR(
      TRIM(C5092)=TRIM(Enginuity!$A$18),
      AND(UPPER(TRIM(M5092))="STD", TRIM(B5092)=TRIM(Enginuity!$A$17))
    ),
    OR(
      AND(LEFT(P5092,5)="1-Way", Enginuity!$B$13=1),
      AND(LEFT(P5092,5)="2-Way", OR(Enginuity!$B$13=2, Enginuity!$B$13=4)),
      AND(LEFT(P5092,5)="3-Way", OR(Enginuity!$B$13=3, Enginuity!$B$13=6)),
      AND(P5092="Inner Centre Jamb", OR(Enginuity!$B$13=4, Enginuity!$B$13=6)),
      AND(
        LEFT(P5092,5)&lt;&gt;"1-Way",
        LEFT(P5092,5)&lt;&gt;"2-Way",
        LEFT(P5092,5)&lt;&gt;"3-Way",
        P5092&lt;&gt;"Inner Centre Jamb"
      )
    ),
    IF(OR(Enginuity!$A$1="Frameless Glass",Enginuity!$A$1="Metal Work"),
      AND(TRIM(B5092)=TRIM(Enginuity!$A$17),TRIM(C5092)=TRIM(Enginuity!$A$18)),
      TRIM(B5092)=TRIM(Enginuity!$A$17)
    )
  ),
  ROW(),
  ""
)</f>
        <v/>
      </c>
    </row>
    <row r="5093" spans="21:21" x14ac:dyDescent="0.25">
      <c r="U5093" s="104" t="str">
        <f>IF(
  AND(
    TRIM(A5093)=TRIM(Enginuity!$A$1),
    TRIM(B5093)=TRIM(Enginuity!$A$17),
    Q5093&lt;&gt;"",
    Q5093&lt;&gt;0,
    OR(
      TRIM(C5093)=TRIM(Enginuity!$A$18),
      AND(UPPER(TRIM(M5093))="STD", TRIM(B5093)=TRIM(Enginuity!$A$17))
    ),
    OR(
      AND(LEFT(P5093,5)="1-Way", Enginuity!$B$13=1),
      AND(LEFT(P5093,5)="2-Way", OR(Enginuity!$B$13=2, Enginuity!$B$13=4)),
      AND(LEFT(P5093,5)="3-Way", OR(Enginuity!$B$13=3, Enginuity!$B$13=6)),
      AND(P5093="Inner Centre Jamb", OR(Enginuity!$B$13=4, Enginuity!$B$13=6)),
      AND(
        LEFT(P5093,5)&lt;&gt;"1-Way",
        LEFT(P5093,5)&lt;&gt;"2-Way",
        LEFT(P5093,5)&lt;&gt;"3-Way",
        P5093&lt;&gt;"Inner Centre Jamb"
      )
    ),
    IF(OR(Enginuity!$A$1="Frameless Glass",Enginuity!$A$1="Metal Work"),
      AND(TRIM(B5093)=TRIM(Enginuity!$A$17),TRIM(C5093)=TRIM(Enginuity!$A$18)),
      TRIM(B5093)=TRIM(Enginuity!$A$17)
    )
  ),
  ROW(),
  ""
)</f>
        <v/>
      </c>
    </row>
    <row r="5094" spans="21:21" x14ac:dyDescent="0.25">
      <c r="U5094" s="104" t="str">
        <f>IF(
  AND(
    TRIM(A5094)=TRIM(Enginuity!$A$1),
    TRIM(B5094)=TRIM(Enginuity!$A$17),
    Q5094&lt;&gt;"",
    Q5094&lt;&gt;0,
    OR(
      TRIM(C5094)=TRIM(Enginuity!$A$18),
      AND(UPPER(TRIM(M5094))="STD", TRIM(B5094)=TRIM(Enginuity!$A$17))
    ),
    OR(
      AND(LEFT(P5094,5)="1-Way", Enginuity!$B$13=1),
      AND(LEFT(P5094,5)="2-Way", OR(Enginuity!$B$13=2, Enginuity!$B$13=4)),
      AND(LEFT(P5094,5)="3-Way", OR(Enginuity!$B$13=3, Enginuity!$B$13=6)),
      AND(P5094="Inner Centre Jamb", OR(Enginuity!$B$13=4, Enginuity!$B$13=6)),
      AND(
        LEFT(P5094,5)&lt;&gt;"1-Way",
        LEFT(P5094,5)&lt;&gt;"2-Way",
        LEFT(P5094,5)&lt;&gt;"3-Way",
        P5094&lt;&gt;"Inner Centre Jamb"
      )
    ),
    IF(OR(Enginuity!$A$1="Frameless Glass",Enginuity!$A$1="Metal Work"),
      AND(TRIM(B5094)=TRIM(Enginuity!$A$17),TRIM(C5094)=TRIM(Enginuity!$A$18)),
      TRIM(B5094)=TRIM(Enginuity!$A$17)
    )
  ),
  ROW(),
  ""
)</f>
        <v/>
      </c>
    </row>
    <row r="5095" spans="21:21" x14ac:dyDescent="0.25">
      <c r="U5095" s="104" t="str">
        <f>IF(
  AND(
    TRIM(A5095)=TRIM(Enginuity!$A$1),
    TRIM(B5095)=TRIM(Enginuity!$A$17),
    Q5095&lt;&gt;"",
    Q5095&lt;&gt;0,
    OR(
      TRIM(C5095)=TRIM(Enginuity!$A$18),
      AND(UPPER(TRIM(M5095))="STD", TRIM(B5095)=TRIM(Enginuity!$A$17))
    ),
    OR(
      AND(LEFT(P5095,5)="1-Way", Enginuity!$B$13=1),
      AND(LEFT(P5095,5)="2-Way", OR(Enginuity!$B$13=2, Enginuity!$B$13=4)),
      AND(LEFT(P5095,5)="3-Way", OR(Enginuity!$B$13=3, Enginuity!$B$13=6)),
      AND(P5095="Inner Centre Jamb", OR(Enginuity!$B$13=4, Enginuity!$B$13=6)),
      AND(
        LEFT(P5095,5)&lt;&gt;"1-Way",
        LEFT(P5095,5)&lt;&gt;"2-Way",
        LEFT(P5095,5)&lt;&gt;"3-Way",
        P5095&lt;&gt;"Inner Centre Jamb"
      )
    ),
    IF(OR(Enginuity!$A$1="Frameless Glass",Enginuity!$A$1="Metal Work"),
      AND(TRIM(B5095)=TRIM(Enginuity!$A$17),TRIM(C5095)=TRIM(Enginuity!$A$18)),
      TRIM(B5095)=TRIM(Enginuity!$A$17)
    )
  ),
  ROW(),
  ""
)</f>
        <v/>
      </c>
    </row>
    <row r="5096" spans="21:21" x14ac:dyDescent="0.25">
      <c r="U5096" s="104" t="str">
        <f>IF(
  AND(
    TRIM(A5096)=TRIM(Enginuity!$A$1),
    TRIM(B5096)=TRIM(Enginuity!$A$17),
    Q5096&lt;&gt;"",
    Q5096&lt;&gt;0,
    OR(
      TRIM(C5096)=TRIM(Enginuity!$A$18),
      AND(UPPER(TRIM(M5096))="STD", TRIM(B5096)=TRIM(Enginuity!$A$17))
    ),
    OR(
      AND(LEFT(P5096,5)="1-Way", Enginuity!$B$13=1),
      AND(LEFT(P5096,5)="2-Way", OR(Enginuity!$B$13=2, Enginuity!$B$13=4)),
      AND(LEFT(P5096,5)="3-Way", OR(Enginuity!$B$13=3, Enginuity!$B$13=6)),
      AND(P5096="Inner Centre Jamb", OR(Enginuity!$B$13=4, Enginuity!$B$13=6)),
      AND(
        LEFT(P5096,5)&lt;&gt;"1-Way",
        LEFT(P5096,5)&lt;&gt;"2-Way",
        LEFT(P5096,5)&lt;&gt;"3-Way",
        P5096&lt;&gt;"Inner Centre Jamb"
      )
    ),
    IF(OR(Enginuity!$A$1="Frameless Glass",Enginuity!$A$1="Metal Work"),
      AND(TRIM(B5096)=TRIM(Enginuity!$A$17),TRIM(C5096)=TRIM(Enginuity!$A$18)),
      TRIM(B5096)=TRIM(Enginuity!$A$17)
    )
  ),
  ROW(),
  ""
)</f>
        <v/>
      </c>
    </row>
    <row r="5097" spans="21:21" x14ac:dyDescent="0.25">
      <c r="U5097" s="104" t="str">
        <f>IF(
  AND(
    TRIM(A5097)=TRIM(Enginuity!$A$1),
    TRIM(B5097)=TRIM(Enginuity!$A$17),
    Q5097&lt;&gt;"",
    Q5097&lt;&gt;0,
    OR(
      TRIM(C5097)=TRIM(Enginuity!$A$18),
      AND(UPPER(TRIM(M5097))="STD", TRIM(B5097)=TRIM(Enginuity!$A$17))
    ),
    OR(
      AND(LEFT(P5097,5)="1-Way", Enginuity!$B$13=1),
      AND(LEFT(P5097,5)="2-Way", OR(Enginuity!$B$13=2, Enginuity!$B$13=4)),
      AND(LEFT(P5097,5)="3-Way", OR(Enginuity!$B$13=3, Enginuity!$B$13=6)),
      AND(P5097="Inner Centre Jamb", OR(Enginuity!$B$13=4, Enginuity!$B$13=6)),
      AND(
        LEFT(P5097,5)&lt;&gt;"1-Way",
        LEFT(P5097,5)&lt;&gt;"2-Way",
        LEFT(P5097,5)&lt;&gt;"3-Way",
        P5097&lt;&gt;"Inner Centre Jamb"
      )
    ),
    IF(OR(Enginuity!$A$1="Frameless Glass",Enginuity!$A$1="Metal Work"),
      AND(TRIM(B5097)=TRIM(Enginuity!$A$17),TRIM(C5097)=TRIM(Enginuity!$A$18)),
      TRIM(B5097)=TRIM(Enginuity!$A$17)
    )
  ),
  ROW(),
  ""
)</f>
        <v/>
      </c>
    </row>
    <row r="5098" spans="21:21" x14ac:dyDescent="0.25">
      <c r="U5098" s="104" t="str">
        <f>IF(
  AND(
    TRIM(A5098)=TRIM(Enginuity!$A$1),
    TRIM(B5098)=TRIM(Enginuity!$A$17),
    Q5098&lt;&gt;"",
    Q5098&lt;&gt;0,
    OR(
      TRIM(C5098)=TRIM(Enginuity!$A$18),
      AND(UPPER(TRIM(M5098))="STD", TRIM(B5098)=TRIM(Enginuity!$A$17))
    ),
    OR(
      AND(LEFT(P5098,5)="1-Way", Enginuity!$B$13=1),
      AND(LEFT(P5098,5)="2-Way", OR(Enginuity!$B$13=2, Enginuity!$B$13=4)),
      AND(LEFT(P5098,5)="3-Way", OR(Enginuity!$B$13=3, Enginuity!$B$13=6)),
      AND(P5098="Inner Centre Jamb", OR(Enginuity!$B$13=4, Enginuity!$B$13=6)),
      AND(
        LEFT(P5098,5)&lt;&gt;"1-Way",
        LEFT(P5098,5)&lt;&gt;"2-Way",
        LEFT(P5098,5)&lt;&gt;"3-Way",
        P5098&lt;&gt;"Inner Centre Jamb"
      )
    ),
    IF(OR(Enginuity!$A$1="Frameless Glass",Enginuity!$A$1="Metal Work"),
      AND(TRIM(B5098)=TRIM(Enginuity!$A$17),TRIM(C5098)=TRIM(Enginuity!$A$18)),
      TRIM(B5098)=TRIM(Enginuity!$A$17)
    )
  ),
  ROW(),
  ""
)</f>
        <v/>
      </c>
    </row>
    <row r="5099" spans="21:21" x14ac:dyDescent="0.25">
      <c r="U5099" s="104" t="str">
        <f>IF(
  AND(
    TRIM(A5099)=TRIM(Enginuity!$A$1),
    TRIM(B5099)=TRIM(Enginuity!$A$17),
    Q5099&lt;&gt;"",
    Q5099&lt;&gt;0,
    OR(
      TRIM(C5099)=TRIM(Enginuity!$A$18),
      AND(UPPER(TRIM(M5099))="STD", TRIM(B5099)=TRIM(Enginuity!$A$17))
    ),
    OR(
      AND(LEFT(P5099,5)="1-Way", Enginuity!$B$13=1),
      AND(LEFT(P5099,5)="2-Way", OR(Enginuity!$B$13=2, Enginuity!$B$13=4)),
      AND(LEFT(P5099,5)="3-Way", OR(Enginuity!$B$13=3, Enginuity!$B$13=6)),
      AND(P5099="Inner Centre Jamb", OR(Enginuity!$B$13=4, Enginuity!$B$13=6)),
      AND(
        LEFT(P5099,5)&lt;&gt;"1-Way",
        LEFT(P5099,5)&lt;&gt;"2-Way",
        LEFT(P5099,5)&lt;&gt;"3-Way",
        P5099&lt;&gt;"Inner Centre Jamb"
      )
    ),
    IF(OR(Enginuity!$A$1="Frameless Glass",Enginuity!$A$1="Metal Work"),
      AND(TRIM(B5099)=TRIM(Enginuity!$A$17),TRIM(C5099)=TRIM(Enginuity!$A$18)),
      TRIM(B5099)=TRIM(Enginuity!$A$17)
    )
  ),
  ROW(),
  ""
)</f>
        <v/>
      </c>
    </row>
    <row r="5100" spans="21:21" x14ac:dyDescent="0.25">
      <c r="U5100" s="104" t="str">
        <f>IF(
  AND(
    TRIM(A5100)=TRIM(Enginuity!$A$1),
    TRIM(B5100)=TRIM(Enginuity!$A$17),
    Q5100&lt;&gt;"",
    Q5100&lt;&gt;0,
    OR(
      TRIM(C5100)=TRIM(Enginuity!$A$18),
      AND(UPPER(TRIM(M5100))="STD", TRIM(B5100)=TRIM(Enginuity!$A$17))
    ),
    OR(
      AND(LEFT(P5100,5)="1-Way", Enginuity!$B$13=1),
      AND(LEFT(P5100,5)="2-Way", OR(Enginuity!$B$13=2, Enginuity!$B$13=4)),
      AND(LEFT(P5100,5)="3-Way", OR(Enginuity!$B$13=3, Enginuity!$B$13=6)),
      AND(P5100="Inner Centre Jamb", OR(Enginuity!$B$13=4, Enginuity!$B$13=6)),
      AND(
        LEFT(P5100,5)&lt;&gt;"1-Way",
        LEFT(P5100,5)&lt;&gt;"2-Way",
        LEFT(P5100,5)&lt;&gt;"3-Way",
        P5100&lt;&gt;"Inner Centre Jamb"
      )
    ),
    IF(OR(Enginuity!$A$1="Frameless Glass",Enginuity!$A$1="Metal Work"),
      AND(TRIM(B5100)=TRIM(Enginuity!$A$17),TRIM(C5100)=TRIM(Enginuity!$A$18)),
      TRIM(B5100)=TRIM(Enginuity!$A$17)
    )
  ),
  ROW(),
  ""
)</f>
        <v/>
      </c>
    </row>
    <row r="5101" spans="21:21" x14ac:dyDescent="0.25">
      <c r="U5101" s="104" t="str">
        <f>IF(
  AND(
    TRIM(A5101)=TRIM(Enginuity!$A$1),
    TRIM(B5101)=TRIM(Enginuity!$A$17),
    Q5101&lt;&gt;"",
    Q5101&lt;&gt;0,
    OR(
      TRIM(C5101)=TRIM(Enginuity!$A$18),
      AND(UPPER(TRIM(M5101))="STD", TRIM(B5101)=TRIM(Enginuity!$A$17))
    ),
    OR(
      AND(LEFT(P5101,5)="1-Way", Enginuity!$B$13=1),
      AND(LEFT(P5101,5)="2-Way", OR(Enginuity!$B$13=2, Enginuity!$B$13=4)),
      AND(LEFT(P5101,5)="3-Way", OR(Enginuity!$B$13=3, Enginuity!$B$13=6)),
      AND(P5101="Inner Centre Jamb", OR(Enginuity!$B$13=4, Enginuity!$B$13=6)),
      AND(
        LEFT(P5101,5)&lt;&gt;"1-Way",
        LEFT(P5101,5)&lt;&gt;"2-Way",
        LEFT(P5101,5)&lt;&gt;"3-Way",
        P5101&lt;&gt;"Inner Centre Jamb"
      )
    ),
    IF(OR(Enginuity!$A$1="Frameless Glass",Enginuity!$A$1="Metal Work"),
      AND(TRIM(B5101)=TRIM(Enginuity!$A$17),TRIM(C5101)=TRIM(Enginuity!$A$18)),
      TRIM(B5101)=TRIM(Enginuity!$A$17)
    )
  ),
  ROW(),
  ""
)</f>
        <v/>
      </c>
    </row>
    <row r="5102" spans="21:21" x14ac:dyDescent="0.25">
      <c r="U5102" s="104" t="str">
        <f>IF(
  AND(
    TRIM(A5102)=TRIM(Enginuity!$A$1),
    TRIM(B5102)=TRIM(Enginuity!$A$17),
    Q5102&lt;&gt;"",
    Q5102&lt;&gt;0,
    OR(
      TRIM(C5102)=TRIM(Enginuity!$A$18),
      AND(UPPER(TRIM(M5102))="STD", TRIM(B5102)=TRIM(Enginuity!$A$17))
    ),
    OR(
      AND(LEFT(P5102,5)="1-Way", Enginuity!$B$13=1),
      AND(LEFT(P5102,5)="2-Way", OR(Enginuity!$B$13=2, Enginuity!$B$13=4)),
      AND(LEFT(P5102,5)="3-Way", OR(Enginuity!$B$13=3, Enginuity!$B$13=6)),
      AND(P5102="Inner Centre Jamb", OR(Enginuity!$B$13=4, Enginuity!$B$13=6)),
      AND(
        LEFT(P5102,5)&lt;&gt;"1-Way",
        LEFT(P5102,5)&lt;&gt;"2-Way",
        LEFT(P5102,5)&lt;&gt;"3-Way",
        P5102&lt;&gt;"Inner Centre Jamb"
      )
    ),
    IF(OR(Enginuity!$A$1="Frameless Glass",Enginuity!$A$1="Metal Work"),
      AND(TRIM(B5102)=TRIM(Enginuity!$A$17),TRIM(C5102)=TRIM(Enginuity!$A$18)),
      TRIM(B5102)=TRIM(Enginuity!$A$17)
    )
  ),
  ROW(),
  ""
)</f>
        <v/>
      </c>
    </row>
    <row r="5103" spans="21:21" x14ac:dyDescent="0.25">
      <c r="U5103" s="104" t="str">
        <f>IF(
  AND(
    TRIM(A5103)=TRIM(Enginuity!$A$1),
    TRIM(B5103)=TRIM(Enginuity!$A$17),
    Q5103&lt;&gt;"",
    Q5103&lt;&gt;0,
    OR(
      TRIM(C5103)=TRIM(Enginuity!$A$18),
      AND(UPPER(TRIM(M5103))="STD", TRIM(B5103)=TRIM(Enginuity!$A$17))
    ),
    OR(
      AND(LEFT(P5103,5)="1-Way", Enginuity!$B$13=1),
      AND(LEFT(P5103,5)="2-Way", OR(Enginuity!$B$13=2, Enginuity!$B$13=4)),
      AND(LEFT(P5103,5)="3-Way", OR(Enginuity!$B$13=3, Enginuity!$B$13=6)),
      AND(P5103="Inner Centre Jamb", OR(Enginuity!$B$13=4, Enginuity!$B$13=6)),
      AND(
        LEFT(P5103,5)&lt;&gt;"1-Way",
        LEFT(P5103,5)&lt;&gt;"2-Way",
        LEFT(P5103,5)&lt;&gt;"3-Way",
        P5103&lt;&gt;"Inner Centre Jamb"
      )
    ),
    IF(OR(Enginuity!$A$1="Frameless Glass",Enginuity!$A$1="Metal Work"),
      AND(TRIM(B5103)=TRIM(Enginuity!$A$17),TRIM(C5103)=TRIM(Enginuity!$A$18)),
      TRIM(B5103)=TRIM(Enginuity!$A$17)
    )
  ),
  ROW(),
  ""
)</f>
        <v/>
      </c>
    </row>
    <row r="5104" spans="21:21" x14ac:dyDescent="0.25">
      <c r="U5104" s="104" t="str">
        <f>IF(
  AND(
    TRIM(A5104)=TRIM(Enginuity!$A$1),
    TRIM(B5104)=TRIM(Enginuity!$A$17),
    Q5104&lt;&gt;"",
    Q5104&lt;&gt;0,
    OR(
      TRIM(C5104)=TRIM(Enginuity!$A$18),
      AND(UPPER(TRIM(M5104))="STD", TRIM(B5104)=TRIM(Enginuity!$A$17))
    ),
    OR(
      AND(LEFT(P5104,5)="1-Way", Enginuity!$B$13=1),
      AND(LEFT(P5104,5)="2-Way", OR(Enginuity!$B$13=2, Enginuity!$B$13=4)),
      AND(LEFT(P5104,5)="3-Way", OR(Enginuity!$B$13=3, Enginuity!$B$13=6)),
      AND(P5104="Inner Centre Jamb", OR(Enginuity!$B$13=4, Enginuity!$B$13=6)),
      AND(
        LEFT(P5104,5)&lt;&gt;"1-Way",
        LEFT(P5104,5)&lt;&gt;"2-Way",
        LEFT(P5104,5)&lt;&gt;"3-Way",
        P5104&lt;&gt;"Inner Centre Jamb"
      )
    ),
    IF(OR(Enginuity!$A$1="Frameless Glass",Enginuity!$A$1="Metal Work"),
      AND(TRIM(B5104)=TRIM(Enginuity!$A$17),TRIM(C5104)=TRIM(Enginuity!$A$18)),
      TRIM(B5104)=TRIM(Enginuity!$A$17)
    )
  ),
  ROW(),
  ""
)</f>
        <v/>
      </c>
    </row>
    <row r="5105" spans="21:21" x14ac:dyDescent="0.25">
      <c r="U5105" s="104" t="str">
        <f>IF(
  AND(
    TRIM(A5105)=TRIM(Enginuity!$A$1),
    TRIM(B5105)=TRIM(Enginuity!$A$17),
    Q5105&lt;&gt;"",
    Q5105&lt;&gt;0,
    OR(
      TRIM(C5105)=TRIM(Enginuity!$A$18),
      AND(UPPER(TRIM(M5105))="STD", TRIM(B5105)=TRIM(Enginuity!$A$17))
    ),
    OR(
      AND(LEFT(P5105,5)="1-Way", Enginuity!$B$13=1),
      AND(LEFT(P5105,5)="2-Way", OR(Enginuity!$B$13=2, Enginuity!$B$13=4)),
      AND(LEFT(P5105,5)="3-Way", OR(Enginuity!$B$13=3, Enginuity!$B$13=6)),
      AND(P5105="Inner Centre Jamb", OR(Enginuity!$B$13=4, Enginuity!$B$13=6)),
      AND(
        LEFT(P5105,5)&lt;&gt;"1-Way",
        LEFT(P5105,5)&lt;&gt;"2-Way",
        LEFT(P5105,5)&lt;&gt;"3-Way",
        P5105&lt;&gt;"Inner Centre Jamb"
      )
    ),
    IF(OR(Enginuity!$A$1="Frameless Glass",Enginuity!$A$1="Metal Work"),
      AND(TRIM(B5105)=TRIM(Enginuity!$A$17),TRIM(C5105)=TRIM(Enginuity!$A$18)),
      TRIM(B5105)=TRIM(Enginuity!$A$17)
    )
  ),
  ROW(),
  ""
)</f>
        <v/>
      </c>
    </row>
    <row r="5106" spans="21:21" x14ac:dyDescent="0.25">
      <c r="U5106" s="104" t="str">
        <f>IF(
  AND(
    TRIM(A5106)=TRIM(Enginuity!$A$1),
    TRIM(B5106)=TRIM(Enginuity!$A$17),
    Q5106&lt;&gt;"",
    Q5106&lt;&gt;0,
    OR(
      TRIM(C5106)=TRIM(Enginuity!$A$18),
      AND(UPPER(TRIM(M5106))="STD", TRIM(B5106)=TRIM(Enginuity!$A$17))
    ),
    OR(
      AND(LEFT(P5106,5)="1-Way", Enginuity!$B$13=1),
      AND(LEFT(P5106,5)="2-Way", OR(Enginuity!$B$13=2, Enginuity!$B$13=4)),
      AND(LEFT(P5106,5)="3-Way", OR(Enginuity!$B$13=3, Enginuity!$B$13=6)),
      AND(P5106="Inner Centre Jamb", OR(Enginuity!$B$13=4, Enginuity!$B$13=6)),
      AND(
        LEFT(P5106,5)&lt;&gt;"1-Way",
        LEFT(P5106,5)&lt;&gt;"2-Way",
        LEFT(P5106,5)&lt;&gt;"3-Way",
        P5106&lt;&gt;"Inner Centre Jamb"
      )
    ),
    IF(OR(Enginuity!$A$1="Frameless Glass",Enginuity!$A$1="Metal Work"),
      AND(TRIM(B5106)=TRIM(Enginuity!$A$17),TRIM(C5106)=TRIM(Enginuity!$A$18)),
      TRIM(B5106)=TRIM(Enginuity!$A$17)
    )
  ),
  ROW(),
  ""
)</f>
        <v/>
      </c>
    </row>
    <row r="5107" spans="21:21" x14ac:dyDescent="0.25">
      <c r="U5107" s="104" t="str">
        <f>IF(
  AND(
    TRIM(A5107)=TRIM(Enginuity!$A$1),
    TRIM(B5107)=TRIM(Enginuity!$A$17),
    Q5107&lt;&gt;"",
    Q5107&lt;&gt;0,
    OR(
      TRIM(C5107)=TRIM(Enginuity!$A$18),
      AND(UPPER(TRIM(M5107))="STD", TRIM(B5107)=TRIM(Enginuity!$A$17))
    ),
    OR(
      AND(LEFT(P5107,5)="1-Way", Enginuity!$B$13=1),
      AND(LEFT(P5107,5)="2-Way", OR(Enginuity!$B$13=2, Enginuity!$B$13=4)),
      AND(LEFT(P5107,5)="3-Way", OR(Enginuity!$B$13=3, Enginuity!$B$13=6)),
      AND(P5107="Inner Centre Jamb", OR(Enginuity!$B$13=4, Enginuity!$B$13=6)),
      AND(
        LEFT(P5107,5)&lt;&gt;"1-Way",
        LEFT(P5107,5)&lt;&gt;"2-Way",
        LEFT(P5107,5)&lt;&gt;"3-Way",
        P5107&lt;&gt;"Inner Centre Jamb"
      )
    ),
    IF(OR(Enginuity!$A$1="Frameless Glass",Enginuity!$A$1="Metal Work"),
      AND(TRIM(B5107)=TRIM(Enginuity!$A$17),TRIM(C5107)=TRIM(Enginuity!$A$18)),
      TRIM(B5107)=TRIM(Enginuity!$A$17)
    )
  ),
  ROW(),
  ""
)</f>
        <v/>
      </c>
    </row>
    <row r="5108" spans="21:21" x14ac:dyDescent="0.25">
      <c r="U5108" s="104" t="str">
        <f>IF(
  AND(
    TRIM(A5108)=TRIM(Enginuity!$A$1),
    TRIM(B5108)=TRIM(Enginuity!$A$17),
    Q5108&lt;&gt;"",
    Q5108&lt;&gt;0,
    OR(
      TRIM(C5108)=TRIM(Enginuity!$A$18),
      AND(UPPER(TRIM(M5108))="STD", TRIM(B5108)=TRIM(Enginuity!$A$17))
    ),
    OR(
      AND(LEFT(P5108,5)="1-Way", Enginuity!$B$13=1),
      AND(LEFT(P5108,5)="2-Way", OR(Enginuity!$B$13=2, Enginuity!$B$13=4)),
      AND(LEFT(P5108,5)="3-Way", OR(Enginuity!$B$13=3, Enginuity!$B$13=6)),
      AND(P5108="Inner Centre Jamb", OR(Enginuity!$B$13=4, Enginuity!$B$13=6)),
      AND(
        LEFT(P5108,5)&lt;&gt;"1-Way",
        LEFT(P5108,5)&lt;&gt;"2-Way",
        LEFT(P5108,5)&lt;&gt;"3-Way",
        P5108&lt;&gt;"Inner Centre Jamb"
      )
    ),
    IF(OR(Enginuity!$A$1="Frameless Glass",Enginuity!$A$1="Metal Work"),
      AND(TRIM(B5108)=TRIM(Enginuity!$A$17),TRIM(C5108)=TRIM(Enginuity!$A$18)),
      TRIM(B5108)=TRIM(Enginuity!$A$17)
    )
  ),
  ROW(),
  ""
)</f>
        <v/>
      </c>
    </row>
    <row r="5109" spans="21:21" x14ac:dyDescent="0.25">
      <c r="U5109" s="104" t="str">
        <f>IF(
  AND(
    TRIM(A5109)=TRIM(Enginuity!$A$1),
    TRIM(B5109)=TRIM(Enginuity!$A$17),
    Q5109&lt;&gt;"",
    Q5109&lt;&gt;0,
    OR(
      TRIM(C5109)=TRIM(Enginuity!$A$18),
      AND(UPPER(TRIM(M5109))="STD", TRIM(B5109)=TRIM(Enginuity!$A$17))
    ),
    OR(
      AND(LEFT(P5109,5)="1-Way", Enginuity!$B$13=1),
      AND(LEFT(P5109,5)="2-Way", OR(Enginuity!$B$13=2, Enginuity!$B$13=4)),
      AND(LEFT(P5109,5)="3-Way", OR(Enginuity!$B$13=3, Enginuity!$B$13=6)),
      AND(P5109="Inner Centre Jamb", OR(Enginuity!$B$13=4, Enginuity!$B$13=6)),
      AND(
        LEFT(P5109,5)&lt;&gt;"1-Way",
        LEFT(P5109,5)&lt;&gt;"2-Way",
        LEFT(P5109,5)&lt;&gt;"3-Way",
        P5109&lt;&gt;"Inner Centre Jamb"
      )
    ),
    IF(OR(Enginuity!$A$1="Frameless Glass",Enginuity!$A$1="Metal Work"),
      AND(TRIM(B5109)=TRIM(Enginuity!$A$17),TRIM(C5109)=TRIM(Enginuity!$A$18)),
      TRIM(B5109)=TRIM(Enginuity!$A$17)
    )
  ),
  ROW(),
  ""
)</f>
        <v/>
      </c>
    </row>
    <row r="5110" spans="21:21" x14ac:dyDescent="0.25">
      <c r="U5110" s="104" t="str">
        <f>IF(
  AND(
    TRIM(A5110)=TRIM(Enginuity!$A$1),
    TRIM(B5110)=TRIM(Enginuity!$A$17),
    Q5110&lt;&gt;"",
    Q5110&lt;&gt;0,
    OR(
      TRIM(C5110)=TRIM(Enginuity!$A$18),
      AND(UPPER(TRIM(M5110))="STD", TRIM(B5110)=TRIM(Enginuity!$A$17))
    ),
    OR(
      AND(LEFT(P5110,5)="1-Way", Enginuity!$B$13=1),
      AND(LEFT(P5110,5)="2-Way", OR(Enginuity!$B$13=2, Enginuity!$B$13=4)),
      AND(LEFT(P5110,5)="3-Way", OR(Enginuity!$B$13=3, Enginuity!$B$13=6)),
      AND(P5110="Inner Centre Jamb", OR(Enginuity!$B$13=4, Enginuity!$B$13=6)),
      AND(
        LEFT(P5110,5)&lt;&gt;"1-Way",
        LEFT(P5110,5)&lt;&gt;"2-Way",
        LEFT(P5110,5)&lt;&gt;"3-Way",
        P5110&lt;&gt;"Inner Centre Jamb"
      )
    ),
    IF(OR(Enginuity!$A$1="Frameless Glass",Enginuity!$A$1="Metal Work"),
      AND(TRIM(B5110)=TRIM(Enginuity!$A$17),TRIM(C5110)=TRIM(Enginuity!$A$18)),
      TRIM(B5110)=TRIM(Enginuity!$A$17)
    )
  ),
  ROW(),
  ""
)</f>
        <v/>
      </c>
    </row>
    <row r="5111" spans="21:21" x14ac:dyDescent="0.25">
      <c r="U5111" s="104" t="str">
        <f>IF(
  AND(
    TRIM(A5111)=TRIM(Enginuity!$A$1),
    TRIM(B5111)=TRIM(Enginuity!$A$17),
    Q5111&lt;&gt;"",
    Q5111&lt;&gt;0,
    OR(
      TRIM(C5111)=TRIM(Enginuity!$A$18),
      AND(UPPER(TRIM(M5111))="STD", TRIM(B5111)=TRIM(Enginuity!$A$17))
    ),
    OR(
      AND(LEFT(P5111,5)="1-Way", Enginuity!$B$13=1),
      AND(LEFT(P5111,5)="2-Way", OR(Enginuity!$B$13=2, Enginuity!$B$13=4)),
      AND(LEFT(P5111,5)="3-Way", OR(Enginuity!$B$13=3, Enginuity!$B$13=6)),
      AND(P5111="Inner Centre Jamb", OR(Enginuity!$B$13=4, Enginuity!$B$13=6)),
      AND(
        LEFT(P5111,5)&lt;&gt;"1-Way",
        LEFT(P5111,5)&lt;&gt;"2-Way",
        LEFT(P5111,5)&lt;&gt;"3-Way",
        P5111&lt;&gt;"Inner Centre Jamb"
      )
    ),
    IF(OR(Enginuity!$A$1="Frameless Glass",Enginuity!$A$1="Metal Work"),
      AND(TRIM(B5111)=TRIM(Enginuity!$A$17),TRIM(C5111)=TRIM(Enginuity!$A$18)),
      TRIM(B5111)=TRIM(Enginuity!$A$17)
    )
  ),
  ROW(),
  ""
)</f>
        <v/>
      </c>
    </row>
    <row r="5112" spans="21:21" x14ac:dyDescent="0.25">
      <c r="U5112" s="104" t="str">
        <f>IF(
  AND(
    TRIM(A5112)=TRIM(Enginuity!$A$1),
    TRIM(B5112)=TRIM(Enginuity!$A$17),
    Q5112&lt;&gt;"",
    Q5112&lt;&gt;0,
    OR(
      TRIM(C5112)=TRIM(Enginuity!$A$18),
      AND(UPPER(TRIM(M5112))="STD", TRIM(B5112)=TRIM(Enginuity!$A$17))
    ),
    OR(
      AND(LEFT(P5112,5)="1-Way", Enginuity!$B$13=1),
      AND(LEFT(P5112,5)="2-Way", OR(Enginuity!$B$13=2, Enginuity!$B$13=4)),
      AND(LEFT(P5112,5)="3-Way", OR(Enginuity!$B$13=3, Enginuity!$B$13=6)),
      AND(P5112="Inner Centre Jamb", OR(Enginuity!$B$13=4, Enginuity!$B$13=6)),
      AND(
        LEFT(P5112,5)&lt;&gt;"1-Way",
        LEFT(P5112,5)&lt;&gt;"2-Way",
        LEFT(P5112,5)&lt;&gt;"3-Way",
        P5112&lt;&gt;"Inner Centre Jamb"
      )
    ),
    IF(OR(Enginuity!$A$1="Frameless Glass",Enginuity!$A$1="Metal Work"),
      AND(TRIM(B5112)=TRIM(Enginuity!$A$17),TRIM(C5112)=TRIM(Enginuity!$A$18)),
      TRIM(B5112)=TRIM(Enginuity!$A$17)
    )
  ),
  ROW(),
  ""
)</f>
        <v/>
      </c>
    </row>
    <row r="5113" spans="21:21" x14ac:dyDescent="0.25">
      <c r="U5113" s="104" t="str">
        <f>IF(
  AND(
    TRIM(A5113)=TRIM(Enginuity!$A$1),
    TRIM(B5113)=TRIM(Enginuity!$A$17),
    Q5113&lt;&gt;"",
    Q5113&lt;&gt;0,
    OR(
      TRIM(C5113)=TRIM(Enginuity!$A$18),
      AND(UPPER(TRIM(M5113))="STD", TRIM(B5113)=TRIM(Enginuity!$A$17))
    ),
    OR(
      AND(LEFT(P5113,5)="1-Way", Enginuity!$B$13=1),
      AND(LEFT(P5113,5)="2-Way", OR(Enginuity!$B$13=2, Enginuity!$B$13=4)),
      AND(LEFT(P5113,5)="3-Way", OR(Enginuity!$B$13=3, Enginuity!$B$13=6)),
      AND(P5113="Inner Centre Jamb", OR(Enginuity!$B$13=4, Enginuity!$B$13=6)),
      AND(
        LEFT(P5113,5)&lt;&gt;"1-Way",
        LEFT(P5113,5)&lt;&gt;"2-Way",
        LEFT(P5113,5)&lt;&gt;"3-Way",
        P5113&lt;&gt;"Inner Centre Jamb"
      )
    ),
    IF(OR(Enginuity!$A$1="Frameless Glass",Enginuity!$A$1="Metal Work"),
      AND(TRIM(B5113)=TRIM(Enginuity!$A$17),TRIM(C5113)=TRIM(Enginuity!$A$18)),
      TRIM(B5113)=TRIM(Enginuity!$A$17)
    )
  ),
  ROW(),
  ""
)</f>
        <v/>
      </c>
    </row>
    <row r="5114" spans="21:21" x14ac:dyDescent="0.25">
      <c r="U5114" s="104" t="str">
        <f>IF(
  AND(
    TRIM(A5114)=TRIM(Enginuity!$A$1),
    TRIM(B5114)=TRIM(Enginuity!$A$17),
    Q5114&lt;&gt;"",
    Q5114&lt;&gt;0,
    OR(
      TRIM(C5114)=TRIM(Enginuity!$A$18),
      AND(UPPER(TRIM(M5114))="STD", TRIM(B5114)=TRIM(Enginuity!$A$17))
    ),
    OR(
      AND(LEFT(P5114,5)="1-Way", Enginuity!$B$13=1),
      AND(LEFT(P5114,5)="2-Way", OR(Enginuity!$B$13=2, Enginuity!$B$13=4)),
      AND(LEFT(P5114,5)="3-Way", OR(Enginuity!$B$13=3, Enginuity!$B$13=6)),
      AND(P5114="Inner Centre Jamb", OR(Enginuity!$B$13=4, Enginuity!$B$13=6)),
      AND(
        LEFT(P5114,5)&lt;&gt;"1-Way",
        LEFT(P5114,5)&lt;&gt;"2-Way",
        LEFT(P5114,5)&lt;&gt;"3-Way",
        P5114&lt;&gt;"Inner Centre Jamb"
      )
    ),
    IF(OR(Enginuity!$A$1="Frameless Glass",Enginuity!$A$1="Metal Work"),
      AND(TRIM(B5114)=TRIM(Enginuity!$A$17),TRIM(C5114)=TRIM(Enginuity!$A$18)),
      TRIM(B5114)=TRIM(Enginuity!$A$17)
    )
  ),
  ROW(),
  ""
)</f>
        <v/>
      </c>
    </row>
    <row r="5115" spans="21:21" x14ac:dyDescent="0.25">
      <c r="U5115" s="104" t="str">
        <f>IF(
  AND(
    TRIM(A5115)=TRIM(Enginuity!$A$1),
    TRIM(B5115)=TRIM(Enginuity!$A$17),
    Q5115&lt;&gt;"",
    Q5115&lt;&gt;0,
    OR(
      TRIM(C5115)=TRIM(Enginuity!$A$18),
      AND(UPPER(TRIM(M5115))="STD", TRIM(B5115)=TRIM(Enginuity!$A$17))
    ),
    OR(
      AND(LEFT(P5115,5)="1-Way", Enginuity!$B$13=1),
      AND(LEFT(P5115,5)="2-Way", OR(Enginuity!$B$13=2, Enginuity!$B$13=4)),
      AND(LEFT(P5115,5)="3-Way", OR(Enginuity!$B$13=3, Enginuity!$B$13=6)),
      AND(P5115="Inner Centre Jamb", OR(Enginuity!$B$13=4, Enginuity!$B$13=6)),
      AND(
        LEFT(P5115,5)&lt;&gt;"1-Way",
        LEFT(P5115,5)&lt;&gt;"2-Way",
        LEFT(P5115,5)&lt;&gt;"3-Way",
        P5115&lt;&gt;"Inner Centre Jamb"
      )
    ),
    IF(OR(Enginuity!$A$1="Frameless Glass",Enginuity!$A$1="Metal Work"),
      AND(TRIM(B5115)=TRIM(Enginuity!$A$17),TRIM(C5115)=TRIM(Enginuity!$A$18)),
      TRIM(B5115)=TRIM(Enginuity!$A$17)
    )
  ),
  ROW(),
  ""
)</f>
        <v/>
      </c>
    </row>
    <row r="5116" spans="21:21" x14ac:dyDescent="0.25">
      <c r="U5116" s="104" t="str">
        <f>IF(
  AND(
    TRIM(A5116)=TRIM(Enginuity!$A$1),
    TRIM(B5116)=TRIM(Enginuity!$A$17),
    Q5116&lt;&gt;"",
    Q5116&lt;&gt;0,
    OR(
      TRIM(C5116)=TRIM(Enginuity!$A$18),
      AND(UPPER(TRIM(M5116))="STD", TRIM(B5116)=TRIM(Enginuity!$A$17))
    ),
    OR(
      AND(LEFT(P5116,5)="1-Way", Enginuity!$B$13=1),
      AND(LEFT(P5116,5)="2-Way", OR(Enginuity!$B$13=2, Enginuity!$B$13=4)),
      AND(LEFT(P5116,5)="3-Way", OR(Enginuity!$B$13=3, Enginuity!$B$13=6)),
      AND(P5116="Inner Centre Jamb", OR(Enginuity!$B$13=4, Enginuity!$B$13=6)),
      AND(
        LEFT(P5116,5)&lt;&gt;"1-Way",
        LEFT(P5116,5)&lt;&gt;"2-Way",
        LEFT(P5116,5)&lt;&gt;"3-Way",
        P5116&lt;&gt;"Inner Centre Jamb"
      )
    ),
    IF(OR(Enginuity!$A$1="Frameless Glass",Enginuity!$A$1="Metal Work"),
      AND(TRIM(B5116)=TRIM(Enginuity!$A$17),TRIM(C5116)=TRIM(Enginuity!$A$18)),
      TRIM(B5116)=TRIM(Enginuity!$A$17)
    )
  ),
  ROW(),
  ""
)</f>
        <v/>
      </c>
    </row>
    <row r="5117" spans="21:21" x14ac:dyDescent="0.25">
      <c r="U5117" s="104" t="str">
        <f>IF(
  AND(
    TRIM(A5117)=TRIM(Enginuity!$A$1),
    TRIM(B5117)=TRIM(Enginuity!$A$17),
    Q5117&lt;&gt;"",
    Q5117&lt;&gt;0,
    OR(
      TRIM(C5117)=TRIM(Enginuity!$A$18),
      AND(UPPER(TRIM(M5117))="STD", TRIM(B5117)=TRIM(Enginuity!$A$17))
    ),
    OR(
      AND(LEFT(P5117,5)="1-Way", Enginuity!$B$13=1),
      AND(LEFT(P5117,5)="2-Way", OR(Enginuity!$B$13=2, Enginuity!$B$13=4)),
      AND(LEFT(P5117,5)="3-Way", OR(Enginuity!$B$13=3, Enginuity!$B$13=6)),
      AND(P5117="Inner Centre Jamb", OR(Enginuity!$B$13=4, Enginuity!$B$13=6)),
      AND(
        LEFT(P5117,5)&lt;&gt;"1-Way",
        LEFT(P5117,5)&lt;&gt;"2-Way",
        LEFT(P5117,5)&lt;&gt;"3-Way",
        P5117&lt;&gt;"Inner Centre Jamb"
      )
    ),
    IF(OR(Enginuity!$A$1="Frameless Glass",Enginuity!$A$1="Metal Work"),
      AND(TRIM(B5117)=TRIM(Enginuity!$A$17),TRIM(C5117)=TRIM(Enginuity!$A$18)),
      TRIM(B5117)=TRIM(Enginuity!$A$17)
    )
  ),
  ROW(),
  ""
)</f>
        <v/>
      </c>
    </row>
    <row r="5118" spans="21:21" x14ac:dyDescent="0.25">
      <c r="U5118" s="104" t="str">
        <f>IF(
  AND(
    TRIM(A5118)=TRIM(Enginuity!$A$1),
    TRIM(B5118)=TRIM(Enginuity!$A$17),
    Q5118&lt;&gt;"",
    Q5118&lt;&gt;0,
    OR(
      TRIM(C5118)=TRIM(Enginuity!$A$18),
      AND(UPPER(TRIM(M5118))="STD", TRIM(B5118)=TRIM(Enginuity!$A$17))
    ),
    OR(
      AND(LEFT(P5118,5)="1-Way", Enginuity!$B$13=1),
      AND(LEFT(P5118,5)="2-Way", OR(Enginuity!$B$13=2, Enginuity!$B$13=4)),
      AND(LEFT(P5118,5)="3-Way", OR(Enginuity!$B$13=3, Enginuity!$B$13=6)),
      AND(P5118="Inner Centre Jamb", OR(Enginuity!$B$13=4, Enginuity!$B$13=6)),
      AND(
        LEFT(P5118,5)&lt;&gt;"1-Way",
        LEFT(P5118,5)&lt;&gt;"2-Way",
        LEFT(P5118,5)&lt;&gt;"3-Way",
        P5118&lt;&gt;"Inner Centre Jamb"
      )
    ),
    IF(OR(Enginuity!$A$1="Frameless Glass",Enginuity!$A$1="Metal Work"),
      AND(TRIM(B5118)=TRIM(Enginuity!$A$17),TRIM(C5118)=TRIM(Enginuity!$A$18)),
      TRIM(B5118)=TRIM(Enginuity!$A$17)
    )
  ),
  ROW(),
  ""
)</f>
        <v/>
      </c>
    </row>
    <row r="5119" spans="21:21" x14ac:dyDescent="0.25">
      <c r="U5119" s="104" t="str">
        <f>IF(
  AND(
    TRIM(A5119)=TRIM(Enginuity!$A$1),
    TRIM(B5119)=TRIM(Enginuity!$A$17),
    Q5119&lt;&gt;"",
    Q5119&lt;&gt;0,
    OR(
      TRIM(C5119)=TRIM(Enginuity!$A$18),
      AND(UPPER(TRIM(M5119))="STD", TRIM(B5119)=TRIM(Enginuity!$A$17))
    ),
    OR(
      AND(LEFT(P5119,5)="1-Way", Enginuity!$B$13=1),
      AND(LEFT(P5119,5)="2-Way", OR(Enginuity!$B$13=2, Enginuity!$B$13=4)),
      AND(LEFT(P5119,5)="3-Way", OR(Enginuity!$B$13=3, Enginuity!$B$13=6)),
      AND(P5119="Inner Centre Jamb", OR(Enginuity!$B$13=4, Enginuity!$B$13=6)),
      AND(
        LEFT(P5119,5)&lt;&gt;"1-Way",
        LEFT(P5119,5)&lt;&gt;"2-Way",
        LEFT(P5119,5)&lt;&gt;"3-Way",
        P5119&lt;&gt;"Inner Centre Jamb"
      )
    ),
    IF(OR(Enginuity!$A$1="Frameless Glass",Enginuity!$A$1="Metal Work"),
      AND(TRIM(B5119)=TRIM(Enginuity!$A$17),TRIM(C5119)=TRIM(Enginuity!$A$18)),
      TRIM(B5119)=TRIM(Enginuity!$A$17)
    )
  ),
  ROW(),
  ""
)</f>
        <v/>
      </c>
    </row>
    <row r="5120" spans="21:21" x14ac:dyDescent="0.25">
      <c r="U5120" s="104" t="str">
        <f>IF(
  AND(
    TRIM(A5120)=TRIM(Enginuity!$A$1),
    TRIM(B5120)=TRIM(Enginuity!$A$17),
    Q5120&lt;&gt;"",
    Q5120&lt;&gt;0,
    OR(
      TRIM(C5120)=TRIM(Enginuity!$A$18),
      AND(UPPER(TRIM(M5120))="STD", TRIM(B5120)=TRIM(Enginuity!$A$17))
    ),
    OR(
      AND(LEFT(P5120,5)="1-Way", Enginuity!$B$13=1),
      AND(LEFT(P5120,5)="2-Way", OR(Enginuity!$B$13=2, Enginuity!$B$13=4)),
      AND(LEFT(P5120,5)="3-Way", OR(Enginuity!$B$13=3, Enginuity!$B$13=6)),
      AND(P5120="Inner Centre Jamb", OR(Enginuity!$B$13=4, Enginuity!$B$13=6)),
      AND(
        LEFT(P5120,5)&lt;&gt;"1-Way",
        LEFT(P5120,5)&lt;&gt;"2-Way",
        LEFT(P5120,5)&lt;&gt;"3-Way",
        P5120&lt;&gt;"Inner Centre Jamb"
      )
    ),
    IF(OR(Enginuity!$A$1="Frameless Glass",Enginuity!$A$1="Metal Work"),
      AND(TRIM(B5120)=TRIM(Enginuity!$A$17),TRIM(C5120)=TRIM(Enginuity!$A$18)),
      TRIM(B5120)=TRIM(Enginuity!$A$17)
    )
  ),
  ROW(),
  ""
)</f>
        <v/>
      </c>
    </row>
    <row r="5121" spans="21:21" x14ac:dyDescent="0.25">
      <c r="U5121" s="104" t="str">
        <f>IF(
  AND(
    TRIM(A5121)=TRIM(Enginuity!$A$1),
    TRIM(B5121)=TRIM(Enginuity!$A$17),
    Q5121&lt;&gt;"",
    Q5121&lt;&gt;0,
    OR(
      TRIM(C5121)=TRIM(Enginuity!$A$18),
      AND(UPPER(TRIM(M5121))="STD", TRIM(B5121)=TRIM(Enginuity!$A$17))
    ),
    OR(
      AND(LEFT(P5121,5)="1-Way", Enginuity!$B$13=1),
      AND(LEFT(P5121,5)="2-Way", OR(Enginuity!$B$13=2, Enginuity!$B$13=4)),
      AND(LEFT(P5121,5)="3-Way", OR(Enginuity!$B$13=3, Enginuity!$B$13=6)),
      AND(P5121="Inner Centre Jamb", OR(Enginuity!$B$13=4, Enginuity!$B$13=6)),
      AND(
        LEFT(P5121,5)&lt;&gt;"1-Way",
        LEFT(P5121,5)&lt;&gt;"2-Way",
        LEFT(P5121,5)&lt;&gt;"3-Way",
        P5121&lt;&gt;"Inner Centre Jamb"
      )
    ),
    IF(OR(Enginuity!$A$1="Frameless Glass",Enginuity!$A$1="Metal Work"),
      AND(TRIM(B5121)=TRIM(Enginuity!$A$17),TRIM(C5121)=TRIM(Enginuity!$A$18)),
      TRIM(B5121)=TRIM(Enginuity!$A$17)
    )
  ),
  ROW(),
  ""
)</f>
        <v/>
      </c>
    </row>
    <row r="5122" spans="21:21" x14ac:dyDescent="0.25">
      <c r="U5122" s="104" t="str">
        <f>IF(
  AND(
    TRIM(A5122)=TRIM(Enginuity!$A$1),
    TRIM(B5122)=TRIM(Enginuity!$A$17),
    Q5122&lt;&gt;"",
    Q5122&lt;&gt;0,
    OR(
      TRIM(C5122)=TRIM(Enginuity!$A$18),
      AND(UPPER(TRIM(M5122))="STD", TRIM(B5122)=TRIM(Enginuity!$A$17))
    ),
    OR(
      AND(LEFT(P5122,5)="1-Way", Enginuity!$B$13=1),
      AND(LEFT(P5122,5)="2-Way", OR(Enginuity!$B$13=2, Enginuity!$B$13=4)),
      AND(LEFT(P5122,5)="3-Way", OR(Enginuity!$B$13=3, Enginuity!$B$13=6)),
      AND(P5122="Inner Centre Jamb", OR(Enginuity!$B$13=4, Enginuity!$B$13=6)),
      AND(
        LEFT(P5122,5)&lt;&gt;"1-Way",
        LEFT(P5122,5)&lt;&gt;"2-Way",
        LEFT(P5122,5)&lt;&gt;"3-Way",
        P5122&lt;&gt;"Inner Centre Jamb"
      )
    ),
    IF(OR(Enginuity!$A$1="Frameless Glass",Enginuity!$A$1="Metal Work"),
      AND(TRIM(B5122)=TRIM(Enginuity!$A$17),TRIM(C5122)=TRIM(Enginuity!$A$18)),
      TRIM(B5122)=TRIM(Enginuity!$A$17)
    )
  ),
  ROW(),
  ""
)</f>
        <v/>
      </c>
    </row>
    <row r="5123" spans="21:21" x14ac:dyDescent="0.25">
      <c r="U5123" s="104" t="str">
        <f>IF(
  AND(
    TRIM(A5123)=TRIM(Enginuity!$A$1),
    TRIM(B5123)=TRIM(Enginuity!$A$17),
    Q5123&lt;&gt;"",
    Q5123&lt;&gt;0,
    OR(
      TRIM(C5123)=TRIM(Enginuity!$A$18),
      AND(UPPER(TRIM(M5123))="STD", TRIM(B5123)=TRIM(Enginuity!$A$17))
    ),
    OR(
      AND(LEFT(P5123,5)="1-Way", Enginuity!$B$13=1),
      AND(LEFT(P5123,5)="2-Way", OR(Enginuity!$B$13=2, Enginuity!$B$13=4)),
      AND(LEFT(P5123,5)="3-Way", OR(Enginuity!$B$13=3, Enginuity!$B$13=6)),
      AND(P5123="Inner Centre Jamb", OR(Enginuity!$B$13=4, Enginuity!$B$13=6)),
      AND(
        LEFT(P5123,5)&lt;&gt;"1-Way",
        LEFT(P5123,5)&lt;&gt;"2-Way",
        LEFT(P5123,5)&lt;&gt;"3-Way",
        P5123&lt;&gt;"Inner Centre Jamb"
      )
    ),
    IF(OR(Enginuity!$A$1="Frameless Glass",Enginuity!$A$1="Metal Work"),
      AND(TRIM(B5123)=TRIM(Enginuity!$A$17),TRIM(C5123)=TRIM(Enginuity!$A$18)),
      TRIM(B5123)=TRIM(Enginuity!$A$17)
    )
  ),
  ROW(),
  ""
)</f>
        <v/>
      </c>
    </row>
    <row r="5124" spans="21:21" x14ac:dyDescent="0.25">
      <c r="U5124" s="104" t="str">
        <f>IF(
  AND(
    TRIM(A5124)=TRIM(Enginuity!$A$1),
    TRIM(B5124)=TRIM(Enginuity!$A$17),
    Q5124&lt;&gt;"",
    Q5124&lt;&gt;0,
    OR(
      TRIM(C5124)=TRIM(Enginuity!$A$18),
      AND(UPPER(TRIM(M5124))="STD", TRIM(B5124)=TRIM(Enginuity!$A$17))
    ),
    OR(
      AND(LEFT(P5124,5)="1-Way", Enginuity!$B$13=1),
      AND(LEFT(P5124,5)="2-Way", OR(Enginuity!$B$13=2, Enginuity!$B$13=4)),
      AND(LEFT(P5124,5)="3-Way", OR(Enginuity!$B$13=3, Enginuity!$B$13=6)),
      AND(P5124="Inner Centre Jamb", OR(Enginuity!$B$13=4, Enginuity!$B$13=6)),
      AND(
        LEFT(P5124,5)&lt;&gt;"1-Way",
        LEFT(P5124,5)&lt;&gt;"2-Way",
        LEFT(P5124,5)&lt;&gt;"3-Way",
        P5124&lt;&gt;"Inner Centre Jamb"
      )
    ),
    IF(OR(Enginuity!$A$1="Frameless Glass",Enginuity!$A$1="Metal Work"),
      AND(TRIM(B5124)=TRIM(Enginuity!$A$17),TRIM(C5124)=TRIM(Enginuity!$A$18)),
      TRIM(B5124)=TRIM(Enginuity!$A$17)
    )
  ),
  ROW(),
  ""
)</f>
        <v/>
      </c>
    </row>
    <row r="5125" spans="21:21" x14ac:dyDescent="0.25">
      <c r="U5125" s="104" t="str">
        <f>IF(
  AND(
    TRIM(A5125)=TRIM(Enginuity!$A$1),
    TRIM(B5125)=TRIM(Enginuity!$A$17),
    Q5125&lt;&gt;"",
    Q5125&lt;&gt;0,
    OR(
      TRIM(C5125)=TRIM(Enginuity!$A$18),
      AND(UPPER(TRIM(M5125))="STD", TRIM(B5125)=TRIM(Enginuity!$A$17))
    ),
    OR(
      AND(LEFT(P5125,5)="1-Way", Enginuity!$B$13=1),
      AND(LEFT(P5125,5)="2-Way", OR(Enginuity!$B$13=2, Enginuity!$B$13=4)),
      AND(LEFT(P5125,5)="3-Way", OR(Enginuity!$B$13=3, Enginuity!$B$13=6)),
      AND(P5125="Inner Centre Jamb", OR(Enginuity!$B$13=4, Enginuity!$B$13=6)),
      AND(
        LEFT(P5125,5)&lt;&gt;"1-Way",
        LEFT(P5125,5)&lt;&gt;"2-Way",
        LEFT(P5125,5)&lt;&gt;"3-Way",
        P5125&lt;&gt;"Inner Centre Jamb"
      )
    ),
    IF(OR(Enginuity!$A$1="Frameless Glass",Enginuity!$A$1="Metal Work"),
      AND(TRIM(B5125)=TRIM(Enginuity!$A$17),TRIM(C5125)=TRIM(Enginuity!$A$18)),
      TRIM(B5125)=TRIM(Enginuity!$A$17)
    )
  ),
  ROW(),
  ""
)</f>
        <v/>
      </c>
    </row>
    <row r="5126" spans="21:21" x14ac:dyDescent="0.25">
      <c r="U5126" s="104" t="str">
        <f>IF(
  AND(
    TRIM(A5126)=TRIM(Enginuity!$A$1),
    TRIM(B5126)=TRIM(Enginuity!$A$17),
    Q5126&lt;&gt;"",
    Q5126&lt;&gt;0,
    OR(
      TRIM(C5126)=TRIM(Enginuity!$A$18),
      AND(UPPER(TRIM(M5126))="STD", TRIM(B5126)=TRIM(Enginuity!$A$17))
    ),
    OR(
      AND(LEFT(P5126,5)="1-Way", Enginuity!$B$13=1),
      AND(LEFT(P5126,5)="2-Way", OR(Enginuity!$B$13=2, Enginuity!$B$13=4)),
      AND(LEFT(P5126,5)="3-Way", OR(Enginuity!$B$13=3, Enginuity!$B$13=6)),
      AND(P5126="Inner Centre Jamb", OR(Enginuity!$B$13=4, Enginuity!$B$13=6)),
      AND(
        LEFT(P5126,5)&lt;&gt;"1-Way",
        LEFT(P5126,5)&lt;&gt;"2-Way",
        LEFT(P5126,5)&lt;&gt;"3-Way",
        P5126&lt;&gt;"Inner Centre Jamb"
      )
    ),
    IF(OR(Enginuity!$A$1="Frameless Glass",Enginuity!$A$1="Metal Work"),
      AND(TRIM(B5126)=TRIM(Enginuity!$A$17),TRIM(C5126)=TRIM(Enginuity!$A$18)),
      TRIM(B5126)=TRIM(Enginuity!$A$17)
    )
  ),
  ROW(),
  ""
)</f>
        <v/>
      </c>
    </row>
    <row r="5127" spans="21:21" x14ac:dyDescent="0.25">
      <c r="U5127" s="104" t="str">
        <f>IF(
  AND(
    TRIM(A5127)=TRIM(Enginuity!$A$1),
    TRIM(B5127)=TRIM(Enginuity!$A$17),
    Q5127&lt;&gt;"",
    Q5127&lt;&gt;0,
    OR(
      TRIM(C5127)=TRIM(Enginuity!$A$18),
      AND(UPPER(TRIM(M5127))="STD", TRIM(B5127)=TRIM(Enginuity!$A$17))
    ),
    OR(
      AND(LEFT(P5127,5)="1-Way", Enginuity!$B$13=1),
      AND(LEFT(P5127,5)="2-Way", OR(Enginuity!$B$13=2, Enginuity!$B$13=4)),
      AND(LEFT(P5127,5)="3-Way", OR(Enginuity!$B$13=3, Enginuity!$B$13=6)),
      AND(P5127="Inner Centre Jamb", OR(Enginuity!$B$13=4, Enginuity!$B$13=6)),
      AND(
        LEFT(P5127,5)&lt;&gt;"1-Way",
        LEFT(P5127,5)&lt;&gt;"2-Way",
        LEFT(P5127,5)&lt;&gt;"3-Way",
        P5127&lt;&gt;"Inner Centre Jamb"
      )
    ),
    IF(OR(Enginuity!$A$1="Frameless Glass",Enginuity!$A$1="Metal Work"),
      AND(TRIM(B5127)=TRIM(Enginuity!$A$17),TRIM(C5127)=TRIM(Enginuity!$A$18)),
      TRIM(B5127)=TRIM(Enginuity!$A$17)
    )
  ),
  ROW(),
  ""
)</f>
        <v/>
      </c>
    </row>
    <row r="5128" spans="21:21" x14ac:dyDescent="0.25">
      <c r="U5128" s="104" t="str">
        <f>IF(
  AND(
    TRIM(A5128)=TRIM(Enginuity!$A$1),
    TRIM(B5128)=TRIM(Enginuity!$A$17),
    Q5128&lt;&gt;"",
    Q5128&lt;&gt;0,
    OR(
      TRIM(C5128)=TRIM(Enginuity!$A$18),
      AND(UPPER(TRIM(M5128))="STD", TRIM(B5128)=TRIM(Enginuity!$A$17))
    ),
    OR(
      AND(LEFT(P5128,5)="1-Way", Enginuity!$B$13=1),
      AND(LEFT(P5128,5)="2-Way", OR(Enginuity!$B$13=2, Enginuity!$B$13=4)),
      AND(LEFT(P5128,5)="3-Way", OR(Enginuity!$B$13=3, Enginuity!$B$13=6)),
      AND(P5128="Inner Centre Jamb", OR(Enginuity!$B$13=4, Enginuity!$B$13=6)),
      AND(
        LEFT(P5128,5)&lt;&gt;"1-Way",
        LEFT(P5128,5)&lt;&gt;"2-Way",
        LEFT(P5128,5)&lt;&gt;"3-Way",
        P5128&lt;&gt;"Inner Centre Jamb"
      )
    ),
    IF(OR(Enginuity!$A$1="Frameless Glass",Enginuity!$A$1="Metal Work"),
      AND(TRIM(B5128)=TRIM(Enginuity!$A$17),TRIM(C5128)=TRIM(Enginuity!$A$18)),
      TRIM(B5128)=TRIM(Enginuity!$A$17)
    )
  ),
  ROW(),
  ""
)</f>
        <v/>
      </c>
    </row>
    <row r="5129" spans="21:21" x14ac:dyDescent="0.25">
      <c r="U5129" s="104" t="str">
        <f>IF(
  AND(
    TRIM(A5129)=TRIM(Enginuity!$A$1),
    TRIM(B5129)=TRIM(Enginuity!$A$17),
    Q5129&lt;&gt;"",
    Q5129&lt;&gt;0,
    OR(
      TRIM(C5129)=TRIM(Enginuity!$A$18),
      AND(UPPER(TRIM(M5129))="STD", TRIM(B5129)=TRIM(Enginuity!$A$17))
    ),
    OR(
      AND(LEFT(P5129,5)="1-Way", Enginuity!$B$13=1),
      AND(LEFT(P5129,5)="2-Way", OR(Enginuity!$B$13=2, Enginuity!$B$13=4)),
      AND(LEFT(P5129,5)="3-Way", OR(Enginuity!$B$13=3, Enginuity!$B$13=6)),
      AND(P5129="Inner Centre Jamb", OR(Enginuity!$B$13=4, Enginuity!$B$13=6)),
      AND(
        LEFT(P5129,5)&lt;&gt;"1-Way",
        LEFT(P5129,5)&lt;&gt;"2-Way",
        LEFT(P5129,5)&lt;&gt;"3-Way",
        P5129&lt;&gt;"Inner Centre Jamb"
      )
    ),
    IF(OR(Enginuity!$A$1="Frameless Glass",Enginuity!$A$1="Metal Work"),
      AND(TRIM(B5129)=TRIM(Enginuity!$A$17),TRIM(C5129)=TRIM(Enginuity!$A$18)),
      TRIM(B5129)=TRIM(Enginuity!$A$17)
    )
  ),
  ROW(),
  ""
)</f>
        <v/>
      </c>
    </row>
    <row r="5130" spans="21:21" x14ac:dyDescent="0.25">
      <c r="U5130" s="104" t="str">
        <f>IF(
  AND(
    TRIM(A5130)=TRIM(Enginuity!$A$1),
    TRIM(B5130)=TRIM(Enginuity!$A$17),
    Q5130&lt;&gt;"",
    Q5130&lt;&gt;0,
    OR(
      TRIM(C5130)=TRIM(Enginuity!$A$18),
      AND(UPPER(TRIM(M5130))="STD", TRIM(B5130)=TRIM(Enginuity!$A$17))
    ),
    OR(
      AND(LEFT(P5130,5)="1-Way", Enginuity!$B$13=1),
      AND(LEFT(P5130,5)="2-Way", OR(Enginuity!$B$13=2, Enginuity!$B$13=4)),
      AND(LEFT(P5130,5)="3-Way", OR(Enginuity!$B$13=3, Enginuity!$B$13=6)),
      AND(P5130="Inner Centre Jamb", OR(Enginuity!$B$13=4, Enginuity!$B$13=6)),
      AND(
        LEFT(P5130,5)&lt;&gt;"1-Way",
        LEFT(P5130,5)&lt;&gt;"2-Way",
        LEFT(P5130,5)&lt;&gt;"3-Way",
        P5130&lt;&gt;"Inner Centre Jamb"
      )
    ),
    IF(OR(Enginuity!$A$1="Frameless Glass",Enginuity!$A$1="Metal Work"),
      AND(TRIM(B5130)=TRIM(Enginuity!$A$17),TRIM(C5130)=TRIM(Enginuity!$A$18)),
      TRIM(B5130)=TRIM(Enginuity!$A$17)
    )
  ),
  ROW(),
  ""
)</f>
        <v/>
      </c>
    </row>
    <row r="5131" spans="21:21" x14ac:dyDescent="0.25">
      <c r="U5131" s="104" t="str">
        <f>IF(
  AND(
    TRIM(A5131)=TRIM(Enginuity!$A$1),
    TRIM(B5131)=TRIM(Enginuity!$A$17),
    Q5131&lt;&gt;"",
    Q5131&lt;&gt;0,
    OR(
      TRIM(C5131)=TRIM(Enginuity!$A$18),
      AND(UPPER(TRIM(M5131))="STD", TRIM(B5131)=TRIM(Enginuity!$A$17))
    ),
    OR(
      AND(LEFT(P5131,5)="1-Way", Enginuity!$B$13=1),
      AND(LEFT(P5131,5)="2-Way", OR(Enginuity!$B$13=2, Enginuity!$B$13=4)),
      AND(LEFT(P5131,5)="3-Way", OR(Enginuity!$B$13=3, Enginuity!$B$13=6)),
      AND(P5131="Inner Centre Jamb", OR(Enginuity!$B$13=4, Enginuity!$B$13=6)),
      AND(
        LEFT(P5131,5)&lt;&gt;"1-Way",
        LEFT(P5131,5)&lt;&gt;"2-Way",
        LEFT(P5131,5)&lt;&gt;"3-Way",
        P5131&lt;&gt;"Inner Centre Jamb"
      )
    ),
    IF(OR(Enginuity!$A$1="Frameless Glass",Enginuity!$A$1="Metal Work"),
      AND(TRIM(B5131)=TRIM(Enginuity!$A$17),TRIM(C5131)=TRIM(Enginuity!$A$18)),
      TRIM(B5131)=TRIM(Enginuity!$A$17)
    )
  ),
  ROW(),
  ""
)</f>
        <v/>
      </c>
    </row>
    <row r="5132" spans="21:21" x14ac:dyDescent="0.25">
      <c r="U5132" s="104" t="str">
        <f>IF(
  AND(
    TRIM(A5132)=TRIM(Enginuity!$A$1),
    TRIM(B5132)=TRIM(Enginuity!$A$17),
    Q5132&lt;&gt;"",
    Q5132&lt;&gt;0,
    OR(
      TRIM(C5132)=TRIM(Enginuity!$A$18),
      AND(UPPER(TRIM(M5132))="STD", TRIM(B5132)=TRIM(Enginuity!$A$17))
    ),
    OR(
      AND(LEFT(P5132,5)="1-Way", Enginuity!$B$13=1),
      AND(LEFT(P5132,5)="2-Way", OR(Enginuity!$B$13=2, Enginuity!$B$13=4)),
      AND(LEFT(P5132,5)="3-Way", OR(Enginuity!$B$13=3, Enginuity!$B$13=6)),
      AND(P5132="Inner Centre Jamb", OR(Enginuity!$B$13=4, Enginuity!$B$13=6)),
      AND(
        LEFT(P5132,5)&lt;&gt;"1-Way",
        LEFT(P5132,5)&lt;&gt;"2-Way",
        LEFT(P5132,5)&lt;&gt;"3-Way",
        P5132&lt;&gt;"Inner Centre Jamb"
      )
    ),
    IF(OR(Enginuity!$A$1="Frameless Glass",Enginuity!$A$1="Metal Work"),
      AND(TRIM(B5132)=TRIM(Enginuity!$A$17),TRIM(C5132)=TRIM(Enginuity!$A$18)),
      TRIM(B5132)=TRIM(Enginuity!$A$17)
    )
  ),
  ROW(),
  ""
)</f>
        <v/>
      </c>
    </row>
    <row r="5133" spans="21:21" x14ac:dyDescent="0.25">
      <c r="U5133" s="104" t="str">
        <f>IF(
  AND(
    TRIM(A5133)=TRIM(Enginuity!$A$1),
    TRIM(B5133)=TRIM(Enginuity!$A$17),
    Q5133&lt;&gt;"",
    Q5133&lt;&gt;0,
    OR(
      TRIM(C5133)=TRIM(Enginuity!$A$18),
      AND(UPPER(TRIM(M5133))="STD", TRIM(B5133)=TRIM(Enginuity!$A$17))
    ),
    OR(
      AND(LEFT(P5133,5)="1-Way", Enginuity!$B$13=1),
      AND(LEFT(P5133,5)="2-Way", OR(Enginuity!$B$13=2, Enginuity!$B$13=4)),
      AND(LEFT(P5133,5)="3-Way", OR(Enginuity!$B$13=3, Enginuity!$B$13=6)),
      AND(P5133="Inner Centre Jamb", OR(Enginuity!$B$13=4, Enginuity!$B$13=6)),
      AND(
        LEFT(P5133,5)&lt;&gt;"1-Way",
        LEFT(P5133,5)&lt;&gt;"2-Way",
        LEFT(P5133,5)&lt;&gt;"3-Way",
        P5133&lt;&gt;"Inner Centre Jamb"
      )
    ),
    IF(OR(Enginuity!$A$1="Frameless Glass",Enginuity!$A$1="Metal Work"),
      AND(TRIM(B5133)=TRIM(Enginuity!$A$17),TRIM(C5133)=TRIM(Enginuity!$A$18)),
      TRIM(B5133)=TRIM(Enginuity!$A$17)
    )
  ),
  ROW(),
  ""
)</f>
        <v/>
      </c>
    </row>
    <row r="5134" spans="21:21" x14ac:dyDescent="0.25">
      <c r="U5134" s="104" t="str">
        <f>IF(
  AND(
    TRIM(A5134)=TRIM(Enginuity!$A$1),
    TRIM(B5134)=TRIM(Enginuity!$A$17),
    Q5134&lt;&gt;"",
    Q5134&lt;&gt;0,
    OR(
      TRIM(C5134)=TRIM(Enginuity!$A$18),
      AND(UPPER(TRIM(M5134))="STD", TRIM(B5134)=TRIM(Enginuity!$A$17))
    ),
    OR(
      AND(LEFT(P5134,5)="1-Way", Enginuity!$B$13=1),
      AND(LEFT(P5134,5)="2-Way", OR(Enginuity!$B$13=2, Enginuity!$B$13=4)),
      AND(LEFT(P5134,5)="3-Way", OR(Enginuity!$B$13=3, Enginuity!$B$13=6)),
      AND(P5134="Inner Centre Jamb", OR(Enginuity!$B$13=4, Enginuity!$B$13=6)),
      AND(
        LEFT(P5134,5)&lt;&gt;"1-Way",
        LEFT(P5134,5)&lt;&gt;"2-Way",
        LEFT(P5134,5)&lt;&gt;"3-Way",
        P5134&lt;&gt;"Inner Centre Jamb"
      )
    ),
    IF(OR(Enginuity!$A$1="Frameless Glass",Enginuity!$A$1="Metal Work"),
      AND(TRIM(B5134)=TRIM(Enginuity!$A$17),TRIM(C5134)=TRIM(Enginuity!$A$18)),
      TRIM(B5134)=TRIM(Enginuity!$A$17)
    )
  ),
  ROW(),
  ""
)</f>
        <v/>
      </c>
    </row>
    <row r="5135" spans="21:21" x14ac:dyDescent="0.25">
      <c r="U5135" s="104" t="str">
        <f>IF(
  AND(
    TRIM(A5135)=TRIM(Enginuity!$A$1),
    TRIM(B5135)=TRIM(Enginuity!$A$17),
    Q5135&lt;&gt;"",
    Q5135&lt;&gt;0,
    OR(
      TRIM(C5135)=TRIM(Enginuity!$A$18),
      AND(UPPER(TRIM(M5135))="STD", TRIM(B5135)=TRIM(Enginuity!$A$17))
    ),
    OR(
      AND(LEFT(P5135,5)="1-Way", Enginuity!$B$13=1),
      AND(LEFT(P5135,5)="2-Way", OR(Enginuity!$B$13=2, Enginuity!$B$13=4)),
      AND(LEFT(P5135,5)="3-Way", OR(Enginuity!$B$13=3, Enginuity!$B$13=6)),
      AND(P5135="Inner Centre Jamb", OR(Enginuity!$B$13=4, Enginuity!$B$13=6)),
      AND(
        LEFT(P5135,5)&lt;&gt;"1-Way",
        LEFT(P5135,5)&lt;&gt;"2-Way",
        LEFT(P5135,5)&lt;&gt;"3-Way",
        P5135&lt;&gt;"Inner Centre Jamb"
      )
    ),
    IF(OR(Enginuity!$A$1="Frameless Glass",Enginuity!$A$1="Metal Work"),
      AND(TRIM(B5135)=TRIM(Enginuity!$A$17),TRIM(C5135)=TRIM(Enginuity!$A$18)),
      TRIM(B5135)=TRIM(Enginuity!$A$17)
    )
  ),
  ROW(),
  ""
)</f>
        <v/>
      </c>
    </row>
    <row r="5136" spans="21:21" x14ac:dyDescent="0.25">
      <c r="U5136" s="104" t="str">
        <f>IF(
  AND(
    TRIM(A5136)=TRIM(Enginuity!$A$1),
    TRIM(B5136)=TRIM(Enginuity!$A$17),
    Q5136&lt;&gt;"",
    Q5136&lt;&gt;0,
    OR(
      TRIM(C5136)=TRIM(Enginuity!$A$18),
      AND(UPPER(TRIM(M5136))="STD", TRIM(B5136)=TRIM(Enginuity!$A$17))
    ),
    OR(
      AND(LEFT(P5136,5)="1-Way", Enginuity!$B$13=1),
      AND(LEFT(P5136,5)="2-Way", OR(Enginuity!$B$13=2, Enginuity!$B$13=4)),
      AND(LEFT(P5136,5)="3-Way", OR(Enginuity!$B$13=3, Enginuity!$B$13=6)),
      AND(P5136="Inner Centre Jamb", OR(Enginuity!$B$13=4, Enginuity!$B$13=6)),
      AND(
        LEFT(P5136,5)&lt;&gt;"1-Way",
        LEFT(P5136,5)&lt;&gt;"2-Way",
        LEFT(P5136,5)&lt;&gt;"3-Way",
        P5136&lt;&gt;"Inner Centre Jamb"
      )
    ),
    IF(OR(Enginuity!$A$1="Frameless Glass",Enginuity!$A$1="Metal Work"),
      AND(TRIM(B5136)=TRIM(Enginuity!$A$17),TRIM(C5136)=TRIM(Enginuity!$A$18)),
      TRIM(B5136)=TRIM(Enginuity!$A$17)
    )
  ),
  ROW(),
  ""
)</f>
        <v/>
      </c>
    </row>
    <row r="5137" spans="21:21" x14ac:dyDescent="0.25">
      <c r="U5137" s="104" t="str">
        <f>IF(
  AND(
    TRIM(A5137)=TRIM(Enginuity!$A$1),
    TRIM(B5137)=TRIM(Enginuity!$A$17),
    Q5137&lt;&gt;"",
    Q5137&lt;&gt;0,
    OR(
      TRIM(C5137)=TRIM(Enginuity!$A$18),
      AND(UPPER(TRIM(M5137))="STD", TRIM(B5137)=TRIM(Enginuity!$A$17))
    ),
    OR(
      AND(LEFT(P5137,5)="1-Way", Enginuity!$B$13=1),
      AND(LEFT(P5137,5)="2-Way", OR(Enginuity!$B$13=2, Enginuity!$B$13=4)),
      AND(LEFT(P5137,5)="3-Way", OR(Enginuity!$B$13=3, Enginuity!$B$13=6)),
      AND(P5137="Inner Centre Jamb", OR(Enginuity!$B$13=4, Enginuity!$B$13=6)),
      AND(
        LEFT(P5137,5)&lt;&gt;"1-Way",
        LEFT(P5137,5)&lt;&gt;"2-Way",
        LEFT(P5137,5)&lt;&gt;"3-Way",
        P5137&lt;&gt;"Inner Centre Jamb"
      )
    ),
    IF(OR(Enginuity!$A$1="Frameless Glass",Enginuity!$A$1="Metal Work"),
      AND(TRIM(B5137)=TRIM(Enginuity!$A$17),TRIM(C5137)=TRIM(Enginuity!$A$18)),
      TRIM(B5137)=TRIM(Enginuity!$A$17)
    )
  ),
  ROW(),
  ""
)</f>
        <v/>
      </c>
    </row>
    <row r="5138" spans="21:21" x14ac:dyDescent="0.25">
      <c r="U5138" s="104" t="str">
        <f>IF(
  AND(
    TRIM(A5138)=TRIM(Enginuity!$A$1),
    TRIM(B5138)=TRIM(Enginuity!$A$17),
    Q5138&lt;&gt;"",
    Q5138&lt;&gt;0,
    OR(
      TRIM(C5138)=TRIM(Enginuity!$A$18),
      AND(UPPER(TRIM(M5138))="STD", TRIM(B5138)=TRIM(Enginuity!$A$17))
    ),
    OR(
      AND(LEFT(P5138,5)="1-Way", Enginuity!$B$13=1),
      AND(LEFT(P5138,5)="2-Way", OR(Enginuity!$B$13=2, Enginuity!$B$13=4)),
      AND(LEFT(P5138,5)="3-Way", OR(Enginuity!$B$13=3, Enginuity!$B$13=6)),
      AND(P5138="Inner Centre Jamb", OR(Enginuity!$B$13=4, Enginuity!$B$13=6)),
      AND(
        LEFT(P5138,5)&lt;&gt;"1-Way",
        LEFT(P5138,5)&lt;&gt;"2-Way",
        LEFT(P5138,5)&lt;&gt;"3-Way",
        P5138&lt;&gt;"Inner Centre Jamb"
      )
    ),
    IF(OR(Enginuity!$A$1="Frameless Glass",Enginuity!$A$1="Metal Work"),
      AND(TRIM(B5138)=TRIM(Enginuity!$A$17),TRIM(C5138)=TRIM(Enginuity!$A$18)),
      TRIM(B5138)=TRIM(Enginuity!$A$17)
    )
  ),
  ROW(),
  ""
)</f>
        <v/>
      </c>
    </row>
    <row r="5139" spans="21:21" x14ac:dyDescent="0.25">
      <c r="U5139" s="104" t="str">
        <f>IF(
  AND(
    TRIM(A5139)=TRIM(Enginuity!$A$1),
    TRIM(B5139)=TRIM(Enginuity!$A$17),
    Q5139&lt;&gt;"",
    Q5139&lt;&gt;0,
    OR(
      TRIM(C5139)=TRIM(Enginuity!$A$18),
      AND(UPPER(TRIM(M5139))="STD", TRIM(B5139)=TRIM(Enginuity!$A$17))
    ),
    OR(
      AND(LEFT(P5139,5)="1-Way", Enginuity!$B$13=1),
      AND(LEFT(P5139,5)="2-Way", OR(Enginuity!$B$13=2, Enginuity!$B$13=4)),
      AND(LEFT(P5139,5)="3-Way", OR(Enginuity!$B$13=3, Enginuity!$B$13=6)),
      AND(P5139="Inner Centre Jamb", OR(Enginuity!$B$13=4, Enginuity!$B$13=6)),
      AND(
        LEFT(P5139,5)&lt;&gt;"1-Way",
        LEFT(P5139,5)&lt;&gt;"2-Way",
        LEFT(P5139,5)&lt;&gt;"3-Way",
        P5139&lt;&gt;"Inner Centre Jamb"
      )
    ),
    IF(OR(Enginuity!$A$1="Frameless Glass",Enginuity!$A$1="Metal Work"),
      AND(TRIM(B5139)=TRIM(Enginuity!$A$17),TRIM(C5139)=TRIM(Enginuity!$A$18)),
      TRIM(B5139)=TRIM(Enginuity!$A$17)
    )
  ),
  ROW(),
  ""
)</f>
        <v/>
      </c>
    </row>
    <row r="5140" spans="21:21" x14ac:dyDescent="0.25">
      <c r="U5140" s="104" t="str">
        <f>IF(
  AND(
    TRIM(A5140)=TRIM(Enginuity!$A$1),
    TRIM(B5140)=TRIM(Enginuity!$A$17),
    Q5140&lt;&gt;"",
    Q5140&lt;&gt;0,
    OR(
      TRIM(C5140)=TRIM(Enginuity!$A$18),
      AND(UPPER(TRIM(M5140))="STD", TRIM(B5140)=TRIM(Enginuity!$A$17))
    ),
    OR(
      AND(LEFT(P5140,5)="1-Way", Enginuity!$B$13=1),
      AND(LEFT(P5140,5)="2-Way", OR(Enginuity!$B$13=2, Enginuity!$B$13=4)),
      AND(LEFT(P5140,5)="3-Way", OR(Enginuity!$B$13=3, Enginuity!$B$13=6)),
      AND(P5140="Inner Centre Jamb", OR(Enginuity!$B$13=4, Enginuity!$B$13=6)),
      AND(
        LEFT(P5140,5)&lt;&gt;"1-Way",
        LEFT(P5140,5)&lt;&gt;"2-Way",
        LEFT(P5140,5)&lt;&gt;"3-Way",
        P5140&lt;&gt;"Inner Centre Jamb"
      )
    ),
    IF(OR(Enginuity!$A$1="Frameless Glass",Enginuity!$A$1="Metal Work"),
      AND(TRIM(B5140)=TRIM(Enginuity!$A$17),TRIM(C5140)=TRIM(Enginuity!$A$18)),
      TRIM(B5140)=TRIM(Enginuity!$A$17)
    )
  ),
  ROW(),
  ""
)</f>
        <v/>
      </c>
    </row>
    <row r="5141" spans="21:21" x14ac:dyDescent="0.25">
      <c r="U5141" s="104" t="str">
        <f>IF(
  AND(
    TRIM(A5141)=TRIM(Enginuity!$A$1),
    TRIM(B5141)=TRIM(Enginuity!$A$17),
    Q5141&lt;&gt;"",
    Q5141&lt;&gt;0,
    OR(
      TRIM(C5141)=TRIM(Enginuity!$A$18),
      AND(UPPER(TRIM(M5141))="STD", TRIM(B5141)=TRIM(Enginuity!$A$17))
    ),
    OR(
      AND(LEFT(P5141,5)="1-Way", Enginuity!$B$13=1),
      AND(LEFT(P5141,5)="2-Way", OR(Enginuity!$B$13=2, Enginuity!$B$13=4)),
      AND(LEFT(P5141,5)="3-Way", OR(Enginuity!$B$13=3, Enginuity!$B$13=6)),
      AND(P5141="Inner Centre Jamb", OR(Enginuity!$B$13=4, Enginuity!$B$13=6)),
      AND(
        LEFT(P5141,5)&lt;&gt;"1-Way",
        LEFT(P5141,5)&lt;&gt;"2-Way",
        LEFT(P5141,5)&lt;&gt;"3-Way",
        P5141&lt;&gt;"Inner Centre Jamb"
      )
    ),
    IF(OR(Enginuity!$A$1="Frameless Glass",Enginuity!$A$1="Metal Work"),
      AND(TRIM(B5141)=TRIM(Enginuity!$A$17),TRIM(C5141)=TRIM(Enginuity!$A$18)),
      TRIM(B5141)=TRIM(Enginuity!$A$17)
    )
  ),
  ROW(),
  ""
)</f>
        <v/>
      </c>
    </row>
    <row r="5142" spans="21:21" x14ac:dyDescent="0.25">
      <c r="U5142" s="104" t="str">
        <f>IF(
  AND(
    TRIM(A5142)=TRIM(Enginuity!$A$1),
    TRIM(B5142)=TRIM(Enginuity!$A$17),
    Q5142&lt;&gt;"",
    Q5142&lt;&gt;0,
    OR(
      TRIM(C5142)=TRIM(Enginuity!$A$18),
      AND(UPPER(TRIM(M5142))="STD", TRIM(B5142)=TRIM(Enginuity!$A$17))
    ),
    OR(
      AND(LEFT(P5142,5)="1-Way", Enginuity!$B$13=1),
      AND(LEFT(P5142,5)="2-Way", OR(Enginuity!$B$13=2, Enginuity!$B$13=4)),
      AND(LEFT(P5142,5)="3-Way", OR(Enginuity!$B$13=3, Enginuity!$B$13=6)),
      AND(P5142="Inner Centre Jamb", OR(Enginuity!$B$13=4, Enginuity!$B$13=6)),
      AND(
        LEFT(P5142,5)&lt;&gt;"1-Way",
        LEFT(P5142,5)&lt;&gt;"2-Way",
        LEFT(P5142,5)&lt;&gt;"3-Way",
        P5142&lt;&gt;"Inner Centre Jamb"
      )
    ),
    IF(OR(Enginuity!$A$1="Frameless Glass",Enginuity!$A$1="Metal Work"),
      AND(TRIM(B5142)=TRIM(Enginuity!$A$17),TRIM(C5142)=TRIM(Enginuity!$A$18)),
      TRIM(B5142)=TRIM(Enginuity!$A$17)
    )
  ),
  ROW(),
  ""
)</f>
        <v/>
      </c>
    </row>
    <row r="5143" spans="21:21" x14ac:dyDescent="0.25">
      <c r="U5143" s="104" t="str">
        <f>IF(
  AND(
    TRIM(A5143)=TRIM(Enginuity!$A$1),
    TRIM(B5143)=TRIM(Enginuity!$A$17),
    Q5143&lt;&gt;"",
    Q5143&lt;&gt;0,
    OR(
      TRIM(C5143)=TRIM(Enginuity!$A$18),
      AND(UPPER(TRIM(M5143))="STD", TRIM(B5143)=TRIM(Enginuity!$A$17))
    ),
    OR(
      AND(LEFT(P5143,5)="1-Way", Enginuity!$B$13=1),
      AND(LEFT(P5143,5)="2-Way", OR(Enginuity!$B$13=2, Enginuity!$B$13=4)),
      AND(LEFT(P5143,5)="3-Way", OR(Enginuity!$B$13=3, Enginuity!$B$13=6)),
      AND(P5143="Inner Centre Jamb", OR(Enginuity!$B$13=4, Enginuity!$B$13=6)),
      AND(
        LEFT(P5143,5)&lt;&gt;"1-Way",
        LEFT(P5143,5)&lt;&gt;"2-Way",
        LEFT(P5143,5)&lt;&gt;"3-Way",
        P5143&lt;&gt;"Inner Centre Jamb"
      )
    ),
    IF(OR(Enginuity!$A$1="Frameless Glass",Enginuity!$A$1="Metal Work"),
      AND(TRIM(B5143)=TRIM(Enginuity!$A$17),TRIM(C5143)=TRIM(Enginuity!$A$18)),
      TRIM(B5143)=TRIM(Enginuity!$A$17)
    )
  ),
  ROW(),
  ""
)</f>
        <v/>
      </c>
    </row>
    <row r="5144" spans="21:21" x14ac:dyDescent="0.25">
      <c r="U5144" s="104" t="str">
        <f>IF(
  AND(
    TRIM(A5144)=TRIM(Enginuity!$A$1),
    TRIM(B5144)=TRIM(Enginuity!$A$17),
    Q5144&lt;&gt;"",
    Q5144&lt;&gt;0,
    OR(
      TRIM(C5144)=TRIM(Enginuity!$A$18),
      AND(UPPER(TRIM(M5144))="STD", TRIM(B5144)=TRIM(Enginuity!$A$17))
    ),
    OR(
      AND(LEFT(P5144,5)="1-Way", Enginuity!$B$13=1),
      AND(LEFT(P5144,5)="2-Way", OR(Enginuity!$B$13=2, Enginuity!$B$13=4)),
      AND(LEFT(P5144,5)="3-Way", OR(Enginuity!$B$13=3, Enginuity!$B$13=6)),
      AND(P5144="Inner Centre Jamb", OR(Enginuity!$B$13=4, Enginuity!$B$13=6)),
      AND(
        LEFT(P5144,5)&lt;&gt;"1-Way",
        LEFT(P5144,5)&lt;&gt;"2-Way",
        LEFT(P5144,5)&lt;&gt;"3-Way",
        P5144&lt;&gt;"Inner Centre Jamb"
      )
    ),
    IF(OR(Enginuity!$A$1="Frameless Glass",Enginuity!$A$1="Metal Work"),
      AND(TRIM(B5144)=TRIM(Enginuity!$A$17),TRIM(C5144)=TRIM(Enginuity!$A$18)),
      TRIM(B5144)=TRIM(Enginuity!$A$17)
    )
  ),
  ROW(),
  ""
)</f>
        <v/>
      </c>
    </row>
    <row r="5145" spans="21:21" x14ac:dyDescent="0.25">
      <c r="U5145" s="104" t="str">
        <f>IF(
  AND(
    TRIM(A5145)=TRIM(Enginuity!$A$1),
    TRIM(B5145)=TRIM(Enginuity!$A$17),
    Q5145&lt;&gt;"",
    Q5145&lt;&gt;0,
    OR(
      TRIM(C5145)=TRIM(Enginuity!$A$18),
      AND(UPPER(TRIM(M5145))="STD", TRIM(B5145)=TRIM(Enginuity!$A$17))
    ),
    OR(
      AND(LEFT(P5145,5)="1-Way", Enginuity!$B$13=1),
      AND(LEFT(P5145,5)="2-Way", OR(Enginuity!$B$13=2, Enginuity!$B$13=4)),
      AND(LEFT(P5145,5)="3-Way", OR(Enginuity!$B$13=3, Enginuity!$B$13=6)),
      AND(P5145="Inner Centre Jamb", OR(Enginuity!$B$13=4, Enginuity!$B$13=6)),
      AND(
        LEFT(P5145,5)&lt;&gt;"1-Way",
        LEFT(P5145,5)&lt;&gt;"2-Way",
        LEFT(P5145,5)&lt;&gt;"3-Way",
        P5145&lt;&gt;"Inner Centre Jamb"
      )
    ),
    IF(OR(Enginuity!$A$1="Frameless Glass",Enginuity!$A$1="Metal Work"),
      AND(TRIM(B5145)=TRIM(Enginuity!$A$17),TRIM(C5145)=TRIM(Enginuity!$A$18)),
      TRIM(B5145)=TRIM(Enginuity!$A$17)
    )
  ),
  ROW(),
  ""
)</f>
        <v/>
      </c>
    </row>
    <row r="5146" spans="21:21" x14ac:dyDescent="0.25">
      <c r="U5146" s="104" t="str">
        <f>IF(
  AND(
    TRIM(A5146)=TRIM(Enginuity!$A$1),
    TRIM(B5146)=TRIM(Enginuity!$A$17),
    Q5146&lt;&gt;"",
    Q5146&lt;&gt;0,
    OR(
      TRIM(C5146)=TRIM(Enginuity!$A$18),
      AND(UPPER(TRIM(M5146))="STD", TRIM(B5146)=TRIM(Enginuity!$A$17))
    ),
    OR(
      AND(LEFT(P5146,5)="1-Way", Enginuity!$B$13=1),
      AND(LEFT(P5146,5)="2-Way", OR(Enginuity!$B$13=2, Enginuity!$B$13=4)),
      AND(LEFT(P5146,5)="3-Way", OR(Enginuity!$B$13=3, Enginuity!$B$13=6)),
      AND(P5146="Inner Centre Jamb", OR(Enginuity!$B$13=4, Enginuity!$B$13=6)),
      AND(
        LEFT(P5146,5)&lt;&gt;"1-Way",
        LEFT(P5146,5)&lt;&gt;"2-Way",
        LEFT(P5146,5)&lt;&gt;"3-Way",
        P5146&lt;&gt;"Inner Centre Jamb"
      )
    ),
    IF(OR(Enginuity!$A$1="Frameless Glass",Enginuity!$A$1="Metal Work"),
      AND(TRIM(B5146)=TRIM(Enginuity!$A$17),TRIM(C5146)=TRIM(Enginuity!$A$18)),
      TRIM(B5146)=TRIM(Enginuity!$A$17)
    )
  ),
  ROW(),
  ""
)</f>
        <v/>
      </c>
    </row>
    <row r="5147" spans="21:21" x14ac:dyDescent="0.25">
      <c r="U5147" s="104" t="str">
        <f>IF(
  AND(
    TRIM(A5147)=TRIM(Enginuity!$A$1),
    TRIM(B5147)=TRIM(Enginuity!$A$17),
    Q5147&lt;&gt;"",
    Q5147&lt;&gt;0,
    OR(
      TRIM(C5147)=TRIM(Enginuity!$A$18),
      AND(UPPER(TRIM(M5147))="STD", TRIM(B5147)=TRIM(Enginuity!$A$17))
    ),
    OR(
      AND(LEFT(P5147,5)="1-Way", Enginuity!$B$13=1),
      AND(LEFT(P5147,5)="2-Way", OR(Enginuity!$B$13=2, Enginuity!$B$13=4)),
      AND(LEFT(P5147,5)="3-Way", OR(Enginuity!$B$13=3, Enginuity!$B$13=6)),
      AND(P5147="Inner Centre Jamb", OR(Enginuity!$B$13=4, Enginuity!$B$13=6)),
      AND(
        LEFT(P5147,5)&lt;&gt;"1-Way",
        LEFT(P5147,5)&lt;&gt;"2-Way",
        LEFT(P5147,5)&lt;&gt;"3-Way",
        P5147&lt;&gt;"Inner Centre Jamb"
      )
    ),
    IF(OR(Enginuity!$A$1="Frameless Glass",Enginuity!$A$1="Metal Work"),
      AND(TRIM(B5147)=TRIM(Enginuity!$A$17),TRIM(C5147)=TRIM(Enginuity!$A$18)),
      TRIM(B5147)=TRIM(Enginuity!$A$17)
    )
  ),
  ROW(),
  ""
)</f>
        <v/>
      </c>
    </row>
    <row r="5148" spans="21:21" x14ac:dyDescent="0.25">
      <c r="U5148" s="104" t="str">
        <f>IF(
  AND(
    TRIM(A5148)=TRIM(Enginuity!$A$1),
    TRIM(B5148)=TRIM(Enginuity!$A$17),
    Q5148&lt;&gt;"",
    Q5148&lt;&gt;0,
    OR(
      TRIM(C5148)=TRIM(Enginuity!$A$18),
      AND(UPPER(TRIM(M5148))="STD", TRIM(B5148)=TRIM(Enginuity!$A$17))
    ),
    OR(
      AND(LEFT(P5148,5)="1-Way", Enginuity!$B$13=1),
      AND(LEFT(P5148,5)="2-Way", OR(Enginuity!$B$13=2, Enginuity!$B$13=4)),
      AND(LEFT(P5148,5)="3-Way", OR(Enginuity!$B$13=3, Enginuity!$B$13=6)),
      AND(P5148="Inner Centre Jamb", OR(Enginuity!$B$13=4, Enginuity!$B$13=6)),
      AND(
        LEFT(P5148,5)&lt;&gt;"1-Way",
        LEFT(P5148,5)&lt;&gt;"2-Way",
        LEFT(P5148,5)&lt;&gt;"3-Way",
        P5148&lt;&gt;"Inner Centre Jamb"
      )
    ),
    IF(OR(Enginuity!$A$1="Frameless Glass",Enginuity!$A$1="Metal Work"),
      AND(TRIM(B5148)=TRIM(Enginuity!$A$17),TRIM(C5148)=TRIM(Enginuity!$A$18)),
      TRIM(B5148)=TRIM(Enginuity!$A$17)
    )
  ),
  ROW(),
  ""
)</f>
        <v/>
      </c>
    </row>
    <row r="5149" spans="21:21" x14ac:dyDescent="0.25">
      <c r="U5149" s="104" t="str">
        <f>IF(
  AND(
    TRIM(A5149)=TRIM(Enginuity!$A$1),
    TRIM(B5149)=TRIM(Enginuity!$A$17),
    Q5149&lt;&gt;"",
    Q5149&lt;&gt;0,
    OR(
      TRIM(C5149)=TRIM(Enginuity!$A$18),
      AND(UPPER(TRIM(M5149))="STD", TRIM(B5149)=TRIM(Enginuity!$A$17))
    ),
    OR(
      AND(LEFT(P5149,5)="1-Way", Enginuity!$B$13=1),
      AND(LEFT(P5149,5)="2-Way", OR(Enginuity!$B$13=2, Enginuity!$B$13=4)),
      AND(LEFT(P5149,5)="3-Way", OR(Enginuity!$B$13=3, Enginuity!$B$13=6)),
      AND(P5149="Inner Centre Jamb", OR(Enginuity!$B$13=4, Enginuity!$B$13=6)),
      AND(
        LEFT(P5149,5)&lt;&gt;"1-Way",
        LEFT(P5149,5)&lt;&gt;"2-Way",
        LEFT(P5149,5)&lt;&gt;"3-Way",
        P5149&lt;&gt;"Inner Centre Jamb"
      )
    ),
    IF(OR(Enginuity!$A$1="Frameless Glass",Enginuity!$A$1="Metal Work"),
      AND(TRIM(B5149)=TRIM(Enginuity!$A$17),TRIM(C5149)=TRIM(Enginuity!$A$18)),
      TRIM(B5149)=TRIM(Enginuity!$A$17)
    )
  ),
  ROW(),
  ""
)</f>
        <v/>
      </c>
    </row>
    <row r="5150" spans="21:21" x14ac:dyDescent="0.25">
      <c r="U5150" s="104" t="str">
        <f>IF(
  AND(
    TRIM(A5150)=TRIM(Enginuity!$A$1),
    TRIM(B5150)=TRIM(Enginuity!$A$17),
    Q5150&lt;&gt;"",
    Q5150&lt;&gt;0,
    OR(
      TRIM(C5150)=TRIM(Enginuity!$A$18),
      AND(UPPER(TRIM(M5150))="STD", TRIM(B5150)=TRIM(Enginuity!$A$17))
    ),
    OR(
      AND(LEFT(P5150,5)="1-Way", Enginuity!$B$13=1),
      AND(LEFT(P5150,5)="2-Way", OR(Enginuity!$B$13=2, Enginuity!$B$13=4)),
      AND(LEFT(P5150,5)="3-Way", OR(Enginuity!$B$13=3, Enginuity!$B$13=6)),
      AND(P5150="Inner Centre Jamb", OR(Enginuity!$B$13=4, Enginuity!$B$13=6)),
      AND(
        LEFT(P5150,5)&lt;&gt;"1-Way",
        LEFT(P5150,5)&lt;&gt;"2-Way",
        LEFT(P5150,5)&lt;&gt;"3-Way",
        P5150&lt;&gt;"Inner Centre Jamb"
      )
    ),
    IF(OR(Enginuity!$A$1="Frameless Glass",Enginuity!$A$1="Metal Work"),
      AND(TRIM(B5150)=TRIM(Enginuity!$A$17),TRIM(C5150)=TRIM(Enginuity!$A$18)),
      TRIM(B5150)=TRIM(Enginuity!$A$17)
    )
  ),
  ROW(),
  ""
)</f>
        <v/>
      </c>
    </row>
    <row r="5151" spans="21:21" x14ac:dyDescent="0.25">
      <c r="U5151" s="104" t="str">
        <f>IF(
  AND(
    TRIM(A5151)=TRIM(Enginuity!$A$1),
    TRIM(B5151)=TRIM(Enginuity!$A$17),
    Q5151&lt;&gt;"",
    Q5151&lt;&gt;0,
    OR(
      TRIM(C5151)=TRIM(Enginuity!$A$18),
      AND(UPPER(TRIM(M5151))="STD", TRIM(B5151)=TRIM(Enginuity!$A$17))
    ),
    OR(
      AND(LEFT(P5151,5)="1-Way", Enginuity!$B$13=1),
      AND(LEFT(P5151,5)="2-Way", OR(Enginuity!$B$13=2, Enginuity!$B$13=4)),
      AND(LEFT(P5151,5)="3-Way", OR(Enginuity!$B$13=3, Enginuity!$B$13=6)),
      AND(P5151="Inner Centre Jamb", OR(Enginuity!$B$13=4, Enginuity!$B$13=6)),
      AND(
        LEFT(P5151,5)&lt;&gt;"1-Way",
        LEFT(P5151,5)&lt;&gt;"2-Way",
        LEFT(P5151,5)&lt;&gt;"3-Way",
        P5151&lt;&gt;"Inner Centre Jamb"
      )
    ),
    IF(OR(Enginuity!$A$1="Frameless Glass",Enginuity!$A$1="Metal Work"),
      AND(TRIM(B5151)=TRIM(Enginuity!$A$17),TRIM(C5151)=TRIM(Enginuity!$A$18)),
      TRIM(B5151)=TRIM(Enginuity!$A$17)
    )
  ),
  ROW(),
  ""
)</f>
        <v/>
      </c>
    </row>
    <row r="5152" spans="21:21" x14ac:dyDescent="0.25">
      <c r="U5152" s="104" t="str">
        <f>IF(
  AND(
    TRIM(A5152)=TRIM(Enginuity!$A$1),
    TRIM(B5152)=TRIM(Enginuity!$A$17),
    Q5152&lt;&gt;"",
    Q5152&lt;&gt;0,
    OR(
      TRIM(C5152)=TRIM(Enginuity!$A$18),
      AND(UPPER(TRIM(M5152))="STD", TRIM(B5152)=TRIM(Enginuity!$A$17))
    ),
    OR(
      AND(LEFT(P5152,5)="1-Way", Enginuity!$B$13=1),
      AND(LEFT(P5152,5)="2-Way", OR(Enginuity!$B$13=2, Enginuity!$B$13=4)),
      AND(LEFT(P5152,5)="3-Way", OR(Enginuity!$B$13=3, Enginuity!$B$13=6)),
      AND(P5152="Inner Centre Jamb", OR(Enginuity!$B$13=4, Enginuity!$B$13=6)),
      AND(
        LEFT(P5152,5)&lt;&gt;"1-Way",
        LEFT(P5152,5)&lt;&gt;"2-Way",
        LEFT(P5152,5)&lt;&gt;"3-Way",
        P5152&lt;&gt;"Inner Centre Jamb"
      )
    ),
    IF(OR(Enginuity!$A$1="Frameless Glass",Enginuity!$A$1="Metal Work"),
      AND(TRIM(B5152)=TRIM(Enginuity!$A$17),TRIM(C5152)=TRIM(Enginuity!$A$18)),
      TRIM(B5152)=TRIM(Enginuity!$A$17)
    )
  ),
  ROW(),
  ""
)</f>
        <v/>
      </c>
    </row>
    <row r="5153" spans="21:21" x14ac:dyDescent="0.25">
      <c r="U5153" s="104" t="str">
        <f>IF(
  AND(
    TRIM(A5153)=TRIM(Enginuity!$A$1),
    TRIM(B5153)=TRIM(Enginuity!$A$17),
    Q5153&lt;&gt;"",
    Q5153&lt;&gt;0,
    OR(
      TRIM(C5153)=TRIM(Enginuity!$A$18),
      AND(UPPER(TRIM(M5153))="STD", TRIM(B5153)=TRIM(Enginuity!$A$17))
    ),
    OR(
      AND(LEFT(P5153,5)="1-Way", Enginuity!$B$13=1),
      AND(LEFT(P5153,5)="2-Way", OR(Enginuity!$B$13=2, Enginuity!$B$13=4)),
      AND(LEFT(P5153,5)="3-Way", OR(Enginuity!$B$13=3, Enginuity!$B$13=6)),
      AND(P5153="Inner Centre Jamb", OR(Enginuity!$B$13=4, Enginuity!$B$13=6)),
      AND(
        LEFT(P5153,5)&lt;&gt;"1-Way",
        LEFT(P5153,5)&lt;&gt;"2-Way",
        LEFT(P5153,5)&lt;&gt;"3-Way",
        P5153&lt;&gt;"Inner Centre Jamb"
      )
    ),
    IF(OR(Enginuity!$A$1="Frameless Glass",Enginuity!$A$1="Metal Work"),
      AND(TRIM(B5153)=TRIM(Enginuity!$A$17),TRIM(C5153)=TRIM(Enginuity!$A$18)),
      TRIM(B5153)=TRIM(Enginuity!$A$17)
    )
  ),
  ROW(),
  ""
)</f>
        <v/>
      </c>
    </row>
    <row r="5154" spans="21:21" x14ac:dyDescent="0.25">
      <c r="U5154" s="104" t="str">
        <f>IF(
  AND(
    TRIM(A5154)=TRIM(Enginuity!$A$1),
    TRIM(B5154)=TRIM(Enginuity!$A$17),
    Q5154&lt;&gt;"",
    Q5154&lt;&gt;0,
    OR(
      TRIM(C5154)=TRIM(Enginuity!$A$18),
      AND(UPPER(TRIM(M5154))="STD", TRIM(B5154)=TRIM(Enginuity!$A$17))
    ),
    OR(
      AND(LEFT(P5154,5)="1-Way", Enginuity!$B$13=1),
      AND(LEFT(P5154,5)="2-Way", OR(Enginuity!$B$13=2, Enginuity!$B$13=4)),
      AND(LEFT(P5154,5)="3-Way", OR(Enginuity!$B$13=3, Enginuity!$B$13=6)),
      AND(P5154="Inner Centre Jamb", OR(Enginuity!$B$13=4, Enginuity!$B$13=6)),
      AND(
        LEFT(P5154,5)&lt;&gt;"1-Way",
        LEFT(P5154,5)&lt;&gt;"2-Way",
        LEFT(P5154,5)&lt;&gt;"3-Way",
        P5154&lt;&gt;"Inner Centre Jamb"
      )
    ),
    IF(OR(Enginuity!$A$1="Frameless Glass",Enginuity!$A$1="Metal Work"),
      AND(TRIM(B5154)=TRIM(Enginuity!$A$17),TRIM(C5154)=TRIM(Enginuity!$A$18)),
      TRIM(B5154)=TRIM(Enginuity!$A$17)
    )
  ),
  ROW(),
  ""
)</f>
        <v/>
      </c>
    </row>
    <row r="5155" spans="21:21" x14ac:dyDescent="0.25">
      <c r="U5155" s="104" t="str">
        <f>IF(
  AND(
    TRIM(A5155)=TRIM(Enginuity!$A$1),
    TRIM(B5155)=TRIM(Enginuity!$A$17),
    Q5155&lt;&gt;"",
    Q5155&lt;&gt;0,
    OR(
      TRIM(C5155)=TRIM(Enginuity!$A$18),
      AND(UPPER(TRIM(M5155))="STD", TRIM(B5155)=TRIM(Enginuity!$A$17))
    ),
    OR(
      AND(LEFT(P5155,5)="1-Way", Enginuity!$B$13=1),
      AND(LEFT(P5155,5)="2-Way", OR(Enginuity!$B$13=2, Enginuity!$B$13=4)),
      AND(LEFT(P5155,5)="3-Way", OR(Enginuity!$B$13=3, Enginuity!$B$13=6)),
      AND(P5155="Inner Centre Jamb", OR(Enginuity!$B$13=4, Enginuity!$B$13=6)),
      AND(
        LEFT(P5155,5)&lt;&gt;"1-Way",
        LEFT(P5155,5)&lt;&gt;"2-Way",
        LEFT(P5155,5)&lt;&gt;"3-Way",
        P5155&lt;&gt;"Inner Centre Jamb"
      )
    ),
    IF(OR(Enginuity!$A$1="Frameless Glass",Enginuity!$A$1="Metal Work"),
      AND(TRIM(B5155)=TRIM(Enginuity!$A$17),TRIM(C5155)=TRIM(Enginuity!$A$18)),
      TRIM(B5155)=TRIM(Enginuity!$A$17)
    )
  ),
  ROW(),
  ""
)</f>
        <v/>
      </c>
    </row>
    <row r="5156" spans="21:21" x14ac:dyDescent="0.25">
      <c r="U5156" s="104" t="str">
        <f>IF(
  AND(
    TRIM(A5156)=TRIM(Enginuity!$A$1),
    TRIM(B5156)=TRIM(Enginuity!$A$17),
    Q5156&lt;&gt;"",
    Q5156&lt;&gt;0,
    OR(
      TRIM(C5156)=TRIM(Enginuity!$A$18),
      AND(UPPER(TRIM(M5156))="STD", TRIM(B5156)=TRIM(Enginuity!$A$17))
    ),
    OR(
      AND(LEFT(P5156,5)="1-Way", Enginuity!$B$13=1),
      AND(LEFT(P5156,5)="2-Way", OR(Enginuity!$B$13=2, Enginuity!$B$13=4)),
      AND(LEFT(P5156,5)="3-Way", OR(Enginuity!$B$13=3, Enginuity!$B$13=6)),
      AND(P5156="Inner Centre Jamb", OR(Enginuity!$B$13=4, Enginuity!$B$13=6)),
      AND(
        LEFT(P5156,5)&lt;&gt;"1-Way",
        LEFT(P5156,5)&lt;&gt;"2-Way",
        LEFT(P5156,5)&lt;&gt;"3-Way",
        P5156&lt;&gt;"Inner Centre Jamb"
      )
    ),
    IF(OR(Enginuity!$A$1="Frameless Glass",Enginuity!$A$1="Metal Work"),
      AND(TRIM(B5156)=TRIM(Enginuity!$A$17),TRIM(C5156)=TRIM(Enginuity!$A$18)),
      TRIM(B5156)=TRIM(Enginuity!$A$17)
    )
  ),
  ROW(),
  ""
)</f>
        <v/>
      </c>
    </row>
    <row r="5157" spans="21:21" x14ac:dyDescent="0.25">
      <c r="U5157" s="104" t="str">
        <f>IF(
  AND(
    TRIM(A5157)=TRIM(Enginuity!$A$1),
    TRIM(B5157)=TRIM(Enginuity!$A$17),
    Q5157&lt;&gt;"",
    Q5157&lt;&gt;0,
    OR(
      TRIM(C5157)=TRIM(Enginuity!$A$18),
      AND(UPPER(TRIM(M5157))="STD", TRIM(B5157)=TRIM(Enginuity!$A$17))
    ),
    OR(
      AND(LEFT(P5157,5)="1-Way", Enginuity!$B$13=1),
      AND(LEFT(P5157,5)="2-Way", OR(Enginuity!$B$13=2, Enginuity!$B$13=4)),
      AND(LEFT(P5157,5)="3-Way", OR(Enginuity!$B$13=3, Enginuity!$B$13=6)),
      AND(P5157="Inner Centre Jamb", OR(Enginuity!$B$13=4, Enginuity!$B$13=6)),
      AND(
        LEFT(P5157,5)&lt;&gt;"1-Way",
        LEFT(P5157,5)&lt;&gt;"2-Way",
        LEFT(P5157,5)&lt;&gt;"3-Way",
        P5157&lt;&gt;"Inner Centre Jamb"
      )
    ),
    IF(OR(Enginuity!$A$1="Frameless Glass",Enginuity!$A$1="Metal Work"),
      AND(TRIM(B5157)=TRIM(Enginuity!$A$17),TRIM(C5157)=TRIM(Enginuity!$A$18)),
      TRIM(B5157)=TRIM(Enginuity!$A$17)
    )
  ),
  ROW(),
  ""
)</f>
        <v/>
      </c>
    </row>
    <row r="5158" spans="21:21" x14ac:dyDescent="0.25">
      <c r="U5158" s="104" t="str">
        <f>IF(
  AND(
    TRIM(A5158)=TRIM(Enginuity!$A$1),
    TRIM(B5158)=TRIM(Enginuity!$A$17),
    Q5158&lt;&gt;"",
    Q5158&lt;&gt;0,
    OR(
      TRIM(C5158)=TRIM(Enginuity!$A$18),
      AND(UPPER(TRIM(M5158))="STD", TRIM(B5158)=TRIM(Enginuity!$A$17))
    ),
    OR(
      AND(LEFT(P5158,5)="1-Way", Enginuity!$B$13=1),
      AND(LEFT(P5158,5)="2-Way", OR(Enginuity!$B$13=2, Enginuity!$B$13=4)),
      AND(LEFT(P5158,5)="3-Way", OR(Enginuity!$B$13=3, Enginuity!$B$13=6)),
      AND(P5158="Inner Centre Jamb", OR(Enginuity!$B$13=4, Enginuity!$B$13=6)),
      AND(
        LEFT(P5158,5)&lt;&gt;"1-Way",
        LEFT(P5158,5)&lt;&gt;"2-Way",
        LEFT(P5158,5)&lt;&gt;"3-Way",
        P5158&lt;&gt;"Inner Centre Jamb"
      )
    ),
    IF(OR(Enginuity!$A$1="Frameless Glass",Enginuity!$A$1="Metal Work"),
      AND(TRIM(B5158)=TRIM(Enginuity!$A$17),TRIM(C5158)=TRIM(Enginuity!$A$18)),
      TRIM(B5158)=TRIM(Enginuity!$A$17)
    )
  ),
  ROW(),
  ""
)</f>
        <v/>
      </c>
    </row>
    <row r="5159" spans="21:21" x14ac:dyDescent="0.25">
      <c r="U5159" s="104" t="str">
        <f>IF(
  AND(
    TRIM(A5159)=TRIM(Enginuity!$A$1),
    TRIM(B5159)=TRIM(Enginuity!$A$17),
    Q5159&lt;&gt;"",
    Q5159&lt;&gt;0,
    OR(
      TRIM(C5159)=TRIM(Enginuity!$A$18),
      AND(UPPER(TRIM(M5159))="STD", TRIM(B5159)=TRIM(Enginuity!$A$17))
    ),
    OR(
      AND(LEFT(P5159,5)="1-Way", Enginuity!$B$13=1),
      AND(LEFT(P5159,5)="2-Way", OR(Enginuity!$B$13=2, Enginuity!$B$13=4)),
      AND(LEFT(P5159,5)="3-Way", OR(Enginuity!$B$13=3, Enginuity!$B$13=6)),
      AND(P5159="Inner Centre Jamb", OR(Enginuity!$B$13=4, Enginuity!$B$13=6)),
      AND(
        LEFT(P5159,5)&lt;&gt;"1-Way",
        LEFT(P5159,5)&lt;&gt;"2-Way",
        LEFT(P5159,5)&lt;&gt;"3-Way",
        P5159&lt;&gt;"Inner Centre Jamb"
      )
    ),
    IF(OR(Enginuity!$A$1="Frameless Glass",Enginuity!$A$1="Metal Work"),
      AND(TRIM(B5159)=TRIM(Enginuity!$A$17),TRIM(C5159)=TRIM(Enginuity!$A$18)),
      TRIM(B5159)=TRIM(Enginuity!$A$17)
    )
  ),
  ROW(),
  ""
)</f>
        <v/>
      </c>
    </row>
    <row r="5160" spans="21:21" x14ac:dyDescent="0.25">
      <c r="U5160" s="104" t="str">
        <f>IF(
  AND(
    TRIM(A5160)=TRIM(Enginuity!$A$1),
    TRIM(B5160)=TRIM(Enginuity!$A$17),
    Q5160&lt;&gt;"",
    Q5160&lt;&gt;0,
    OR(
      TRIM(C5160)=TRIM(Enginuity!$A$18),
      AND(UPPER(TRIM(M5160))="STD", TRIM(B5160)=TRIM(Enginuity!$A$17))
    ),
    OR(
      AND(LEFT(P5160,5)="1-Way", Enginuity!$B$13=1),
      AND(LEFT(P5160,5)="2-Way", OR(Enginuity!$B$13=2, Enginuity!$B$13=4)),
      AND(LEFT(P5160,5)="3-Way", OR(Enginuity!$B$13=3, Enginuity!$B$13=6)),
      AND(P5160="Inner Centre Jamb", OR(Enginuity!$B$13=4, Enginuity!$B$13=6)),
      AND(
        LEFT(P5160,5)&lt;&gt;"1-Way",
        LEFT(P5160,5)&lt;&gt;"2-Way",
        LEFT(P5160,5)&lt;&gt;"3-Way",
        P5160&lt;&gt;"Inner Centre Jamb"
      )
    ),
    IF(OR(Enginuity!$A$1="Frameless Glass",Enginuity!$A$1="Metal Work"),
      AND(TRIM(B5160)=TRIM(Enginuity!$A$17),TRIM(C5160)=TRIM(Enginuity!$A$18)),
      TRIM(B5160)=TRIM(Enginuity!$A$17)
    )
  ),
  ROW(),
  ""
)</f>
        <v/>
      </c>
    </row>
    <row r="5161" spans="21:21" x14ac:dyDescent="0.25">
      <c r="U5161" s="104" t="str">
        <f>IF(
  AND(
    TRIM(A5161)=TRIM(Enginuity!$A$1),
    TRIM(B5161)=TRIM(Enginuity!$A$17),
    Q5161&lt;&gt;"",
    Q5161&lt;&gt;0,
    OR(
      TRIM(C5161)=TRIM(Enginuity!$A$18),
      AND(UPPER(TRIM(M5161))="STD", TRIM(B5161)=TRIM(Enginuity!$A$17))
    ),
    OR(
      AND(LEFT(P5161,5)="1-Way", Enginuity!$B$13=1),
      AND(LEFT(P5161,5)="2-Way", OR(Enginuity!$B$13=2, Enginuity!$B$13=4)),
      AND(LEFT(P5161,5)="3-Way", OR(Enginuity!$B$13=3, Enginuity!$B$13=6)),
      AND(P5161="Inner Centre Jamb", OR(Enginuity!$B$13=4, Enginuity!$B$13=6)),
      AND(
        LEFT(P5161,5)&lt;&gt;"1-Way",
        LEFT(P5161,5)&lt;&gt;"2-Way",
        LEFT(P5161,5)&lt;&gt;"3-Way",
        P5161&lt;&gt;"Inner Centre Jamb"
      )
    ),
    IF(OR(Enginuity!$A$1="Frameless Glass",Enginuity!$A$1="Metal Work"),
      AND(TRIM(B5161)=TRIM(Enginuity!$A$17),TRIM(C5161)=TRIM(Enginuity!$A$18)),
      TRIM(B5161)=TRIM(Enginuity!$A$17)
    )
  ),
  ROW(),
  ""
)</f>
        <v/>
      </c>
    </row>
    <row r="5162" spans="21:21" x14ac:dyDescent="0.25">
      <c r="U5162" s="104" t="str">
        <f>IF(
  AND(
    TRIM(A5162)=TRIM(Enginuity!$A$1),
    TRIM(B5162)=TRIM(Enginuity!$A$17),
    Q5162&lt;&gt;"",
    Q5162&lt;&gt;0,
    OR(
      TRIM(C5162)=TRIM(Enginuity!$A$18),
      AND(UPPER(TRIM(M5162))="STD", TRIM(B5162)=TRIM(Enginuity!$A$17))
    ),
    OR(
      AND(LEFT(P5162,5)="1-Way", Enginuity!$B$13=1),
      AND(LEFT(P5162,5)="2-Way", OR(Enginuity!$B$13=2, Enginuity!$B$13=4)),
      AND(LEFT(P5162,5)="3-Way", OR(Enginuity!$B$13=3, Enginuity!$B$13=6)),
      AND(P5162="Inner Centre Jamb", OR(Enginuity!$B$13=4, Enginuity!$B$13=6)),
      AND(
        LEFT(P5162,5)&lt;&gt;"1-Way",
        LEFT(P5162,5)&lt;&gt;"2-Way",
        LEFT(P5162,5)&lt;&gt;"3-Way",
        P5162&lt;&gt;"Inner Centre Jamb"
      )
    ),
    IF(OR(Enginuity!$A$1="Frameless Glass",Enginuity!$A$1="Metal Work"),
      AND(TRIM(B5162)=TRIM(Enginuity!$A$17),TRIM(C5162)=TRIM(Enginuity!$A$18)),
      TRIM(B5162)=TRIM(Enginuity!$A$17)
    )
  ),
  ROW(),
  ""
)</f>
        <v/>
      </c>
    </row>
    <row r="5163" spans="21:21" x14ac:dyDescent="0.25">
      <c r="U5163" s="104" t="str">
        <f>IF(
  AND(
    TRIM(A5163)=TRIM(Enginuity!$A$1),
    TRIM(B5163)=TRIM(Enginuity!$A$17),
    Q5163&lt;&gt;"",
    Q5163&lt;&gt;0,
    OR(
      TRIM(C5163)=TRIM(Enginuity!$A$18),
      AND(UPPER(TRIM(M5163))="STD", TRIM(B5163)=TRIM(Enginuity!$A$17))
    ),
    OR(
      AND(LEFT(P5163,5)="1-Way", Enginuity!$B$13=1),
      AND(LEFT(P5163,5)="2-Way", OR(Enginuity!$B$13=2, Enginuity!$B$13=4)),
      AND(LEFT(P5163,5)="3-Way", OR(Enginuity!$B$13=3, Enginuity!$B$13=6)),
      AND(P5163="Inner Centre Jamb", OR(Enginuity!$B$13=4, Enginuity!$B$13=6)),
      AND(
        LEFT(P5163,5)&lt;&gt;"1-Way",
        LEFT(P5163,5)&lt;&gt;"2-Way",
        LEFT(P5163,5)&lt;&gt;"3-Way",
        P5163&lt;&gt;"Inner Centre Jamb"
      )
    ),
    IF(OR(Enginuity!$A$1="Frameless Glass",Enginuity!$A$1="Metal Work"),
      AND(TRIM(B5163)=TRIM(Enginuity!$A$17),TRIM(C5163)=TRIM(Enginuity!$A$18)),
      TRIM(B5163)=TRIM(Enginuity!$A$17)
    )
  ),
  ROW(),
  ""
)</f>
        <v/>
      </c>
    </row>
    <row r="5164" spans="21:21" x14ac:dyDescent="0.25">
      <c r="U5164" s="104" t="str">
        <f>IF(
  AND(
    TRIM(A5164)=TRIM(Enginuity!$A$1),
    TRIM(B5164)=TRIM(Enginuity!$A$17),
    Q5164&lt;&gt;"",
    Q5164&lt;&gt;0,
    OR(
      TRIM(C5164)=TRIM(Enginuity!$A$18),
      AND(UPPER(TRIM(M5164))="STD", TRIM(B5164)=TRIM(Enginuity!$A$17))
    ),
    OR(
      AND(LEFT(P5164,5)="1-Way", Enginuity!$B$13=1),
      AND(LEFT(P5164,5)="2-Way", OR(Enginuity!$B$13=2, Enginuity!$B$13=4)),
      AND(LEFT(P5164,5)="3-Way", OR(Enginuity!$B$13=3, Enginuity!$B$13=6)),
      AND(P5164="Inner Centre Jamb", OR(Enginuity!$B$13=4, Enginuity!$B$13=6)),
      AND(
        LEFT(P5164,5)&lt;&gt;"1-Way",
        LEFT(P5164,5)&lt;&gt;"2-Way",
        LEFT(P5164,5)&lt;&gt;"3-Way",
        P5164&lt;&gt;"Inner Centre Jamb"
      )
    ),
    IF(OR(Enginuity!$A$1="Frameless Glass",Enginuity!$A$1="Metal Work"),
      AND(TRIM(B5164)=TRIM(Enginuity!$A$17),TRIM(C5164)=TRIM(Enginuity!$A$18)),
      TRIM(B5164)=TRIM(Enginuity!$A$17)
    )
  ),
  ROW(),
  ""
)</f>
        <v/>
      </c>
    </row>
    <row r="5165" spans="21:21" x14ac:dyDescent="0.25">
      <c r="U5165" s="104" t="str">
        <f>IF(
  AND(
    TRIM(A5165)=TRIM(Enginuity!$A$1),
    TRIM(B5165)=TRIM(Enginuity!$A$17),
    Q5165&lt;&gt;"",
    Q5165&lt;&gt;0,
    OR(
      TRIM(C5165)=TRIM(Enginuity!$A$18),
      AND(UPPER(TRIM(M5165))="STD", TRIM(B5165)=TRIM(Enginuity!$A$17))
    ),
    OR(
      AND(LEFT(P5165,5)="1-Way", Enginuity!$B$13=1),
      AND(LEFT(P5165,5)="2-Way", OR(Enginuity!$B$13=2, Enginuity!$B$13=4)),
      AND(LEFT(P5165,5)="3-Way", OR(Enginuity!$B$13=3, Enginuity!$B$13=6)),
      AND(P5165="Inner Centre Jamb", OR(Enginuity!$B$13=4, Enginuity!$B$13=6)),
      AND(
        LEFT(P5165,5)&lt;&gt;"1-Way",
        LEFT(P5165,5)&lt;&gt;"2-Way",
        LEFT(P5165,5)&lt;&gt;"3-Way",
        P5165&lt;&gt;"Inner Centre Jamb"
      )
    ),
    IF(OR(Enginuity!$A$1="Frameless Glass",Enginuity!$A$1="Metal Work"),
      AND(TRIM(B5165)=TRIM(Enginuity!$A$17),TRIM(C5165)=TRIM(Enginuity!$A$18)),
      TRIM(B5165)=TRIM(Enginuity!$A$17)
    )
  ),
  ROW(),
  ""
)</f>
        <v/>
      </c>
    </row>
    <row r="5166" spans="21:21" x14ac:dyDescent="0.25">
      <c r="U5166" s="104" t="str">
        <f>IF(
  AND(
    TRIM(A5166)=TRIM(Enginuity!$A$1),
    TRIM(B5166)=TRIM(Enginuity!$A$17),
    Q5166&lt;&gt;"",
    Q5166&lt;&gt;0,
    OR(
      TRIM(C5166)=TRIM(Enginuity!$A$18),
      AND(UPPER(TRIM(M5166))="STD", TRIM(B5166)=TRIM(Enginuity!$A$17))
    ),
    OR(
      AND(LEFT(P5166,5)="1-Way", Enginuity!$B$13=1),
      AND(LEFT(P5166,5)="2-Way", OR(Enginuity!$B$13=2, Enginuity!$B$13=4)),
      AND(LEFT(P5166,5)="3-Way", OR(Enginuity!$B$13=3, Enginuity!$B$13=6)),
      AND(P5166="Inner Centre Jamb", OR(Enginuity!$B$13=4, Enginuity!$B$13=6)),
      AND(
        LEFT(P5166,5)&lt;&gt;"1-Way",
        LEFT(P5166,5)&lt;&gt;"2-Way",
        LEFT(P5166,5)&lt;&gt;"3-Way",
        P5166&lt;&gt;"Inner Centre Jamb"
      )
    ),
    IF(OR(Enginuity!$A$1="Frameless Glass",Enginuity!$A$1="Metal Work"),
      AND(TRIM(B5166)=TRIM(Enginuity!$A$17),TRIM(C5166)=TRIM(Enginuity!$A$18)),
      TRIM(B5166)=TRIM(Enginuity!$A$17)
    )
  ),
  ROW(),
  ""
)</f>
        <v/>
      </c>
    </row>
    <row r="5167" spans="21:21" x14ac:dyDescent="0.25">
      <c r="U5167" s="104" t="str">
        <f>IF(
  AND(
    TRIM(A5167)=TRIM(Enginuity!$A$1),
    TRIM(B5167)=TRIM(Enginuity!$A$17),
    Q5167&lt;&gt;"",
    Q5167&lt;&gt;0,
    OR(
      TRIM(C5167)=TRIM(Enginuity!$A$18),
      AND(UPPER(TRIM(M5167))="STD", TRIM(B5167)=TRIM(Enginuity!$A$17))
    ),
    OR(
      AND(LEFT(P5167,5)="1-Way", Enginuity!$B$13=1),
      AND(LEFT(P5167,5)="2-Way", OR(Enginuity!$B$13=2, Enginuity!$B$13=4)),
      AND(LEFT(P5167,5)="3-Way", OR(Enginuity!$B$13=3, Enginuity!$B$13=6)),
      AND(P5167="Inner Centre Jamb", OR(Enginuity!$B$13=4, Enginuity!$B$13=6)),
      AND(
        LEFT(P5167,5)&lt;&gt;"1-Way",
        LEFT(P5167,5)&lt;&gt;"2-Way",
        LEFT(P5167,5)&lt;&gt;"3-Way",
        P5167&lt;&gt;"Inner Centre Jamb"
      )
    ),
    IF(OR(Enginuity!$A$1="Frameless Glass",Enginuity!$A$1="Metal Work"),
      AND(TRIM(B5167)=TRIM(Enginuity!$A$17),TRIM(C5167)=TRIM(Enginuity!$A$18)),
      TRIM(B5167)=TRIM(Enginuity!$A$17)
    )
  ),
  ROW(),
  ""
)</f>
        <v/>
      </c>
    </row>
    <row r="5168" spans="21:21" x14ac:dyDescent="0.25">
      <c r="U5168" s="104" t="str">
        <f>IF(
  AND(
    TRIM(A5168)=TRIM(Enginuity!$A$1),
    TRIM(B5168)=TRIM(Enginuity!$A$17),
    Q5168&lt;&gt;"",
    Q5168&lt;&gt;0,
    OR(
      TRIM(C5168)=TRIM(Enginuity!$A$18),
      AND(UPPER(TRIM(M5168))="STD", TRIM(B5168)=TRIM(Enginuity!$A$17))
    ),
    OR(
      AND(LEFT(P5168,5)="1-Way", Enginuity!$B$13=1),
      AND(LEFT(P5168,5)="2-Way", OR(Enginuity!$B$13=2, Enginuity!$B$13=4)),
      AND(LEFT(P5168,5)="3-Way", OR(Enginuity!$B$13=3, Enginuity!$B$13=6)),
      AND(P5168="Inner Centre Jamb", OR(Enginuity!$B$13=4, Enginuity!$B$13=6)),
      AND(
        LEFT(P5168,5)&lt;&gt;"1-Way",
        LEFT(P5168,5)&lt;&gt;"2-Way",
        LEFT(P5168,5)&lt;&gt;"3-Way",
        P5168&lt;&gt;"Inner Centre Jamb"
      )
    ),
    IF(OR(Enginuity!$A$1="Frameless Glass",Enginuity!$A$1="Metal Work"),
      AND(TRIM(B5168)=TRIM(Enginuity!$A$17),TRIM(C5168)=TRIM(Enginuity!$A$18)),
      TRIM(B5168)=TRIM(Enginuity!$A$17)
    )
  ),
  ROW(),
  ""
)</f>
        <v/>
      </c>
    </row>
    <row r="5169" spans="21:21" x14ac:dyDescent="0.25">
      <c r="U5169" s="104" t="str">
        <f>IF(
  AND(
    TRIM(A5169)=TRIM(Enginuity!$A$1),
    TRIM(B5169)=TRIM(Enginuity!$A$17),
    Q5169&lt;&gt;"",
    Q5169&lt;&gt;0,
    OR(
      TRIM(C5169)=TRIM(Enginuity!$A$18),
      AND(UPPER(TRIM(M5169))="STD", TRIM(B5169)=TRIM(Enginuity!$A$17))
    ),
    OR(
      AND(LEFT(P5169,5)="1-Way", Enginuity!$B$13=1),
      AND(LEFT(P5169,5)="2-Way", OR(Enginuity!$B$13=2, Enginuity!$B$13=4)),
      AND(LEFT(P5169,5)="3-Way", OR(Enginuity!$B$13=3, Enginuity!$B$13=6)),
      AND(P5169="Inner Centre Jamb", OR(Enginuity!$B$13=4, Enginuity!$B$13=6)),
      AND(
        LEFT(P5169,5)&lt;&gt;"1-Way",
        LEFT(P5169,5)&lt;&gt;"2-Way",
        LEFT(P5169,5)&lt;&gt;"3-Way",
        P5169&lt;&gt;"Inner Centre Jamb"
      )
    ),
    IF(OR(Enginuity!$A$1="Frameless Glass",Enginuity!$A$1="Metal Work"),
      AND(TRIM(B5169)=TRIM(Enginuity!$A$17),TRIM(C5169)=TRIM(Enginuity!$A$18)),
      TRIM(B5169)=TRIM(Enginuity!$A$17)
    )
  ),
  ROW(),
  ""
)</f>
        <v/>
      </c>
    </row>
    <row r="5170" spans="21:21" x14ac:dyDescent="0.25">
      <c r="U5170" s="104" t="str">
        <f>IF(
  AND(
    TRIM(A5170)=TRIM(Enginuity!$A$1),
    TRIM(B5170)=TRIM(Enginuity!$A$17),
    Q5170&lt;&gt;"",
    Q5170&lt;&gt;0,
    OR(
      TRIM(C5170)=TRIM(Enginuity!$A$18),
      AND(UPPER(TRIM(M5170))="STD", TRIM(B5170)=TRIM(Enginuity!$A$17))
    ),
    OR(
      AND(LEFT(P5170,5)="1-Way", Enginuity!$B$13=1),
      AND(LEFT(P5170,5)="2-Way", OR(Enginuity!$B$13=2, Enginuity!$B$13=4)),
      AND(LEFT(P5170,5)="3-Way", OR(Enginuity!$B$13=3, Enginuity!$B$13=6)),
      AND(P5170="Inner Centre Jamb", OR(Enginuity!$B$13=4, Enginuity!$B$13=6)),
      AND(
        LEFT(P5170,5)&lt;&gt;"1-Way",
        LEFT(P5170,5)&lt;&gt;"2-Way",
        LEFT(P5170,5)&lt;&gt;"3-Way",
        P5170&lt;&gt;"Inner Centre Jamb"
      )
    ),
    IF(OR(Enginuity!$A$1="Frameless Glass",Enginuity!$A$1="Metal Work"),
      AND(TRIM(B5170)=TRIM(Enginuity!$A$17),TRIM(C5170)=TRIM(Enginuity!$A$18)),
      TRIM(B5170)=TRIM(Enginuity!$A$17)
    )
  ),
  ROW(),
  ""
)</f>
        <v/>
      </c>
    </row>
    <row r="5171" spans="21:21" x14ac:dyDescent="0.25">
      <c r="U5171" s="104" t="str">
        <f>IF(
  AND(
    TRIM(A5171)=TRIM(Enginuity!$A$1),
    TRIM(B5171)=TRIM(Enginuity!$A$17),
    Q5171&lt;&gt;"",
    Q5171&lt;&gt;0,
    OR(
      TRIM(C5171)=TRIM(Enginuity!$A$18),
      AND(UPPER(TRIM(M5171))="STD", TRIM(B5171)=TRIM(Enginuity!$A$17))
    ),
    OR(
      AND(LEFT(P5171,5)="1-Way", Enginuity!$B$13=1),
      AND(LEFT(P5171,5)="2-Way", OR(Enginuity!$B$13=2, Enginuity!$B$13=4)),
      AND(LEFT(P5171,5)="3-Way", OR(Enginuity!$B$13=3, Enginuity!$B$13=6)),
      AND(P5171="Inner Centre Jamb", OR(Enginuity!$B$13=4, Enginuity!$B$13=6)),
      AND(
        LEFT(P5171,5)&lt;&gt;"1-Way",
        LEFT(P5171,5)&lt;&gt;"2-Way",
        LEFT(P5171,5)&lt;&gt;"3-Way",
        P5171&lt;&gt;"Inner Centre Jamb"
      )
    ),
    IF(OR(Enginuity!$A$1="Frameless Glass",Enginuity!$A$1="Metal Work"),
      AND(TRIM(B5171)=TRIM(Enginuity!$A$17),TRIM(C5171)=TRIM(Enginuity!$A$18)),
      TRIM(B5171)=TRIM(Enginuity!$A$17)
    )
  ),
  ROW(),
  ""
)</f>
        <v/>
      </c>
    </row>
    <row r="5172" spans="21:21" x14ac:dyDescent="0.25">
      <c r="U5172" s="104" t="str">
        <f>IF(
  AND(
    TRIM(A5172)=TRIM(Enginuity!$A$1),
    TRIM(B5172)=TRIM(Enginuity!$A$17),
    Q5172&lt;&gt;"",
    Q5172&lt;&gt;0,
    OR(
      TRIM(C5172)=TRIM(Enginuity!$A$18),
      AND(UPPER(TRIM(M5172))="STD", TRIM(B5172)=TRIM(Enginuity!$A$17))
    ),
    OR(
      AND(LEFT(P5172,5)="1-Way", Enginuity!$B$13=1),
      AND(LEFT(P5172,5)="2-Way", OR(Enginuity!$B$13=2, Enginuity!$B$13=4)),
      AND(LEFT(P5172,5)="3-Way", OR(Enginuity!$B$13=3, Enginuity!$B$13=6)),
      AND(P5172="Inner Centre Jamb", OR(Enginuity!$B$13=4, Enginuity!$B$13=6)),
      AND(
        LEFT(P5172,5)&lt;&gt;"1-Way",
        LEFT(P5172,5)&lt;&gt;"2-Way",
        LEFT(P5172,5)&lt;&gt;"3-Way",
        P5172&lt;&gt;"Inner Centre Jamb"
      )
    ),
    IF(OR(Enginuity!$A$1="Frameless Glass",Enginuity!$A$1="Metal Work"),
      AND(TRIM(B5172)=TRIM(Enginuity!$A$17),TRIM(C5172)=TRIM(Enginuity!$A$18)),
      TRIM(B5172)=TRIM(Enginuity!$A$17)
    )
  ),
  ROW(),
  ""
)</f>
        <v/>
      </c>
    </row>
    <row r="5173" spans="21:21" x14ac:dyDescent="0.25">
      <c r="U5173" s="104" t="str">
        <f>IF(
  AND(
    TRIM(A5173)=TRIM(Enginuity!$A$1),
    TRIM(B5173)=TRIM(Enginuity!$A$17),
    Q5173&lt;&gt;"",
    Q5173&lt;&gt;0,
    OR(
      TRIM(C5173)=TRIM(Enginuity!$A$18),
      AND(UPPER(TRIM(M5173))="STD", TRIM(B5173)=TRIM(Enginuity!$A$17))
    ),
    OR(
      AND(LEFT(P5173,5)="1-Way", Enginuity!$B$13=1),
      AND(LEFT(P5173,5)="2-Way", OR(Enginuity!$B$13=2, Enginuity!$B$13=4)),
      AND(LEFT(P5173,5)="3-Way", OR(Enginuity!$B$13=3, Enginuity!$B$13=6)),
      AND(P5173="Inner Centre Jamb", OR(Enginuity!$B$13=4, Enginuity!$B$13=6)),
      AND(
        LEFT(P5173,5)&lt;&gt;"1-Way",
        LEFT(P5173,5)&lt;&gt;"2-Way",
        LEFT(P5173,5)&lt;&gt;"3-Way",
        P5173&lt;&gt;"Inner Centre Jamb"
      )
    ),
    IF(OR(Enginuity!$A$1="Frameless Glass",Enginuity!$A$1="Metal Work"),
      AND(TRIM(B5173)=TRIM(Enginuity!$A$17),TRIM(C5173)=TRIM(Enginuity!$A$18)),
      TRIM(B5173)=TRIM(Enginuity!$A$17)
    )
  ),
  ROW(),
  ""
)</f>
        <v/>
      </c>
    </row>
    <row r="5174" spans="21:21" x14ac:dyDescent="0.25">
      <c r="U5174" s="104" t="str">
        <f>IF(
  AND(
    TRIM(A5174)=TRIM(Enginuity!$A$1),
    TRIM(B5174)=TRIM(Enginuity!$A$17),
    Q5174&lt;&gt;"",
    Q5174&lt;&gt;0,
    OR(
      TRIM(C5174)=TRIM(Enginuity!$A$18),
      AND(UPPER(TRIM(M5174))="STD", TRIM(B5174)=TRIM(Enginuity!$A$17))
    ),
    OR(
      AND(LEFT(P5174,5)="1-Way", Enginuity!$B$13=1),
      AND(LEFT(P5174,5)="2-Way", OR(Enginuity!$B$13=2, Enginuity!$B$13=4)),
      AND(LEFT(P5174,5)="3-Way", OR(Enginuity!$B$13=3, Enginuity!$B$13=6)),
      AND(P5174="Inner Centre Jamb", OR(Enginuity!$B$13=4, Enginuity!$B$13=6)),
      AND(
        LEFT(P5174,5)&lt;&gt;"1-Way",
        LEFT(P5174,5)&lt;&gt;"2-Way",
        LEFT(P5174,5)&lt;&gt;"3-Way",
        P5174&lt;&gt;"Inner Centre Jamb"
      )
    ),
    IF(OR(Enginuity!$A$1="Frameless Glass",Enginuity!$A$1="Metal Work"),
      AND(TRIM(B5174)=TRIM(Enginuity!$A$17),TRIM(C5174)=TRIM(Enginuity!$A$18)),
      TRIM(B5174)=TRIM(Enginuity!$A$17)
    )
  ),
  ROW(),
  ""
)</f>
        <v/>
      </c>
    </row>
    <row r="5175" spans="21:21" x14ac:dyDescent="0.25">
      <c r="U5175" s="104" t="str">
        <f>IF(
  AND(
    TRIM(A5175)=TRIM(Enginuity!$A$1),
    TRIM(B5175)=TRIM(Enginuity!$A$17),
    Q5175&lt;&gt;"",
    Q5175&lt;&gt;0,
    OR(
      TRIM(C5175)=TRIM(Enginuity!$A$18),
      AND(UPPER(TRIM(M5175))="STD", TRIM(B5175)=TRIM(Enginuity!$A$17))
    ),
    OR(
      AND(LEFT(P5175,5)="1-Way", Enginuity!$B$13=1),
      AND(LEFT(P5175,5)="2-Way", OR(Enginuity!$B$13=2, Enginuity!$B$13=4)),
      AND(LEFT(P5175,5)="3-Way", OR(Enginuity!$B$13=3, Enginuity!$B$13=6)),
      AND(P5175="Inner Centre Jamb", OR(Enginuity!$B$13=4, Enginuity!$B$13=6)),
      AND(
        LEFT(P5175,5)&lt;&gt;"1-Way",
        LEFT(P5175,5)&lt;&gt;"2-Way",
        LEFT(P5175,5)&lt;&gt;"3-Way",
        P5175&lt;&gt;"Inner Centre Jamb"
      )
    ),
    IF(OR(Enginuity!$A$1="Frameless Glass",Enginuity!$A$1="Metal Work"),
      AND(TRIM(B5175)=TRIM(Enginuity!$A$17),TRIM(C5175)=TRIM(Enginuity!$A$18)),
      TRIM(B5175)=TRIM(Enginuity!$A$17)
    )
  ),
  ROW(),
  ""
)</f>
        <v/>
      </c>
    </row>
    <row r="5176" spans="21:21" x14ac:dyDescent="0.25">
      <c r="U5176" s="104" t="str">
        <f>IF(
  AND(
    TRIM(A5176)=TRIM(Enginuity!$A$1),
    TRIM(B5176)=TRIM(Enginuity!$A$17),
    Q5176&lt;&gt;"",
    Q5176&lt;&gt;0,
    OR(
      TRIM(C5176)=TRIM(Enginuity!$A$18),
      AND(UPPER(TRIM(M5176))="STD", TRIM(B5176)=TRIM(Enginuity!$A$17))
    ),
    OR(
      AND(LEFT(P5176,5)="1-Way", Enginuity!$B$13=1),
      AND(LEFT(P5176,5)="2-Way", OR(Enginuity!$B$13=2, Enginuity!$B$13=4)),
      AND(LEFT(P5176,5)="3-Way", OR(Enginuity!$B$13=3, Enginuity!$B$13=6)),
      AND(P5176="Inner Centre Jamb", OR(Enginuity!$B$13=4, Enginuity!$B$13=6)),
      AND(
        LEFT(P5176,5)&lt;&gt;"1-Way",
        LEFT(P5176,5)&lt;&gt;"2-Way",
        LEFT(P5176,5)&lt;&gt;"3-Way",
        P5176&lt;&gt;"Inner Centre Jamb"
      )
    ),
    IF(OR(Enginuity!$A$1="Frameless Glass",Enginuity!$A$1="Metal Work"),
      AND(TRIM(B5176)=TRIM(Enginuity!$A$17),TRIM(C5176)=TRIM(Enginuity!$A$18)),
      TRIM(B5176)=TRIM(Enginuity!$A$17)
    )
  ),
  ROW(),
  ""
)</f>
        <v/>
      </c>
    </row>
    <row r="5177" spans="21:21" x14ac:dyDescent="0.25">
      <c r="U5177" s="104" t="str">
        <f>IF(
  AND(
    TRIM(A5177)=TRIM(Enginuity!$A$1),
    TRIM(B5177)=TRIM(Enginuity!$A$17),
    Q5177&lt;&gt;"",
    Q5177&lt;&gt;0,
    OR(
      TRIM(C5177)=TRIM(Enginuity!$A$18),
      AND(UPPER(TRIM(M5177))="STD", TRIM(B5177)=TRIM(Enginuity!$A$17))
    ),
    OR(
      AND(LEFT(P5177,5)="1-Way", Enginuity!$B$13=1),
      AND(LEFT(P5177,5)="2-Way", OR(Enginuity!$B$13=2, Enginuity!$B$13=4)),
      AND(LEFT(P5177,5)="3-Way", OR(Enginuity!$B$13=3, Enginuity!$B$13=6)),
      AND(P5177="Inner Centre Jamb", OR(Enginuity!$B$13=4, Enginuity!$B$13=6)),
      AND(
        LEFT(P5177,5)&lt;&gt;"1-Way",
        LEFT(P5177,5)&lt;&gt;"2-Way",
        LEFT(P5177,5)&lt;&gt;"3-Way",
        P5177&lt;&gt;"Inner Centre Jamb"
      )
    ),
    IF(OR(Enginuity!$A$1="Frameless Glass",Enginuity!$A$1="Metal Work"),
      AND(TRIM(B5177)=TRIM(Enginuity!$A$17),TRIM(C5177)=TRIM(Enginuity!$A$18)),
      TRIM(B5177)=TRIM(Enginuity!$A$17)
    )
  ),
  ROW(),
  ""
)</f>
        <v/>
      </c>
    </row>
    <row r="5178" spans="21:21" x14ac:dyDescent="0.25">
      <c r="U5178" s="104" t="str">
        <f>IF(
  AND(
    TRIM(A5178)=TRIM(Enginuity!$A$1),
    TRIM(B5178)=TRIM(Enginuity!$A$17),
    Q5178&lt;&gt;"",
    Q5178&lt;&gt;0,
    OR(
      TRIM(C5178)=TRIM(Enginuity!$A$18),
      AND(UPPER(TRIM(M5178))="STD", TRIM(B5178)=TRIM(Enginuity!$A$17))
    ),
    OR(
      AND(LEFT(P5178,5)="1-Way", Enginuity!$B$13=1),
      AND(LEFT(P5178,5)="2-Way", OR(Enginuity!$B$13=2, Enginuity!$B$13=4)),
      AND(LEFT(P5178,5)="3-Way", OR(Enginuity!$B$13=3, Enginuity!$B$13=6)),
      AND(P5178="Inner Centre Jamb", OR(Enginuity!$B$13=4, Enginuity!$B$13=6)),
      AND(
        LEFT(P5178,5)&lt;&gt;"1-Way",
        LEFT(P5178,5)&lt;&gt;"2-Way",
        LEFT(P5178,5)&lt;&gt;"3-Way",
        P5178&lt;&gt;"Inner Centre Jamb"
      )
    ),
    IF(OR(Enginuity!$A$1="Frameless Glass",Enginuity!$A$1="Metal Work"),
      AND(TRIM(B5178)=TRIM(Enginuity!$A$17),TRIM(C5178)=TRIM(Enginuity!$A$18)),
      TRIM(B5178)=TRIM(Enginuity!$A$17)
    )
  ),
  ROW(),
  ""
)</f>
        <v/>
      </c>
    </row>
    <row r="5179" spans="21:21" x14ac:dyDescent="0.25">
      <c r="U5179" s="104" t="str">
        <f>IF(
  AND(
    TRIM(A5179)=TRIM(Enginuity!$A$1),
    TRIM(B5179)=TRIM(Enginuity!$A$17),
    Q5179&lt;&gt;"",
    Q5179&lt;&gt;0,
    OR(
      TRIM(C5179)=TRIM(Enginuity!$A$18),
      AND(UPPER(TRIM(M5179))="STD", TRIM(B5179)=TRIM(Enginuity!$A$17))
    ),
    OR(
      AND(LEFT(P5179,5)="1-Way", Enginuity!$B$13=1),
      AND(LEFT(P5179,5)="2-Way", OR(Enginuity!$B$13=2, Enginuity!$B$13=4)),
      AND(LEFT(P5179,5)="3-Way", OR(Enginuity!$B$13=3, Enginuity!$B$13=6)),
      AND(P5179="Inner Centre Jamb", OR(Enginuity!$B$13=4, Enginuity!$B$13=6)),
      AND(
        LEFT(P5179,5)&lt;&gt;"1-Way",
        LEFT(P5179,5)&lt;&gt;"2-Way",
        LEFT(P5179,5)&lt;&gt;"3-Way",
        P5179&lt;&gt;"Inner Centre Jamb"
      )
    ),
    IF(OR(Enginuity!$A$1="Frameless Glass",Enginuity!$A$1="Metal Work"),
      AND(TRIM(B5179)=TRIM(Enginuity!$A$17),TRIM(C5179)=TRIM(Enginuity!$A$18)),
      TRIM(B5179)=TRIM(Enginuity!$A$17)
    )
  ),
  ROW(),
  ""
)</f>
        <v/>
      </c>
    </row>
    <row r="5180" spans="21:21" x14ac:dyDescent="0.25">
      <c r="U5180" s="104" t="str">
        <f>IF(
  AND(
    TRIM(A5180)=TRIM(Enginuity!$A$1),
    TRIM(B5180)=TRIM(Enginuity!$A$17),
    Q5180&lt;&gt;"",
    Q5180&lt;&gt;0,
    OR(
      TRIM(C5180)=TRIM(Enginuity!$A$18),
      AND(UPPER(TRIM(M5180))="STD", TRIM(B5180)=TRIM(Enginuity!$A$17))
    ),
    OR(
      AND(LEFT(P5180,5)="1-Way", Enginuity!$B$13=1),
      AND(LEFT(P5180,5)="2-Way", OR(Enginuity!$B$13=2, Enginuity!$B$13=4)),
      AND(LEFT(P5180,5)="3-Way", OR(Enginuity!$B$13=3, Enginuity!$B$13=6)),
      AND(P5180="Inner Centre Jamb", OR(Enginuity!$B$13=4, Enginuity!$B$13=6)),
      AND(
        LEFT(P5180,5)&lt;&gt;"1-Way",
        LEFT(P5180,5)&lt;&gt;"2-Way",
        LEFT(P5180,5)&lt;&gt;"3-Way",
        P5180&lt;&gt;"Inner Centre Jamb"
      )
    ),
    IF(OR(Enginuity!$A$1="Frameless Glass",Enginuity!$A$1="Metal Work"),
      AND(TRIM(B5180)=TRIM(Enginuity!$A$17),TRIM(C5180)=TRIM(Enginuity!$A$18)),
      TRIM(B5180)=TRIM(Enginuity!$A$17)
    )
  ),
  ROW(),
  ""
)</f>
        <v/>
      </c>
    </row>
    <row r="5181" spans="21:21" x14ac:dyDescent="0.25">
      <c r="U5181" s="104" t="str">
        <f>IF(
  AND(
    TRIM(A5181)=TRIM(Enginuity!$A$1),
    TRIM(B5181)=TRIM(Enginuity!$A$17),
    Q5181&lt;&gt;"",
    Q5181&lt;&gt;0,
    OR(
      TRIM(C5181)=TRIM(Enginuity!$A$18),
      AND(UPPER(TRIM(M5181))="STD", TRIM(B5181)=TRIM(Enginuity!$A$17))
    ),
    OR(
      AND(LEFT(P5181,5)="1-Way", Enginuity!$B$13=1),
      AND(LEFT(P5181,5)="2-Way", OR(Enginuity!$B$13=2, Enginuity!$B$13=4)),
      AND(LEFT(P5181,5)="3-Way", OR(Enginuity!$B$13=3, Enginuity!$B$13=6)),
      AND(P5181="Inner Centre Jamb", OR(Enginuity!$B$13=4, Enginuity!$B$13=6)),
      AND(
        LEFT(P5181,5)&lt;&gt;"1-Way",
        LEFT(P5181,5)&lt;&gt;"2-Way",
        LEFT(P5181,5)&lt;&gt;"3-Way",
        P5181&lt;&gt;"Inner Centre Jamb"
      )
    ),
    IF(OR(Enginuity!$A$1="Frameless Glass",Enginuity!$A$1="Metal Work"),
      AND(TRIM(B5181)=TRIM(Enginuity!$A$17),TRIM(C5181)=TRIM(Enginuity!$A$18)),
      TRIM(B5181)=TRIM(Enginuity!$A$17)
    )
  ),
  ROW(),
  ""
)</f>
        <v/>
      </c>
    </row>
    <row r="5182" spans="21:21" x14ac:dyDescent="0.25">
      <c r="U5182" s="104" t="str">
        <f>IF(
  AND(
    TRIM(A5182)=TRIM(Enginuity!$A$1),
    TRIM(B5182)=TRIM(Enginuity!$A$17),
    Q5182&lt;&gt;"",
    Q5182&lt;&gt;0,
    OR(
      TRIM(C5182)=TRIM(Enginuity!$A$18),
      AND(UPPER(TRIM(M5182))="STD", TRIM(B5182)=TRIM(Enginuity!$A$17))
    ),
    OR(
      AND(LEFT(P5182,5)="1-Way", Enginuity!$B$13=1),
      AND(LEFT(P5182,5)="2-Way", OR(Enginuity!$B$13=2, Enginuity!$B$13=4)),
      AND(LEFT(P5182,5)="3-Way", OR(Enginuity!$B$13=3, Enginuity!$B$13=6)),
      AND(P5182="Inner Centre Jamb", OR(Enginuity!$B$13=4, Enginuity!$B$13=6)),
      AND(
        LEFT(P5182,5)&lt;&gt;"1-Way",
        LEFT(P5182,5)&lt;&gt;"2-Way",
        LEFT(P5182,5)&lt;&gt;"3-Way",
        P5182&lt;&gt;"Inner Centre Jamb"
      )
    ),
    IF(OR(Enginuity!$A$1="Frameless Glass",Enginuity!$A$1="Metal Work"),
      AND(TRIM(B5182)=TRIM(Enginuity!$A$17),TRIM(C5182)=TRIM(Enginuity!$A$18)),
      TRIM(B5182)=TRIM(Enginuity!$A$17)
    )
  ),
  ROW(),
  ""
)</f>
        <v/>
      </c>
    </row>
    <row r="5183" spans="21:21" x14ac:dyDescent="0.25">
      <c r="U5183" s="104" t="str">
        <f>IF(
  AND(
    TRIM(A5183)=TRIM(Enginuity!$A$1),
    TRIM(B5183)=TRIM(Enginuity!$A$17),
    Q5183&lt;&gt;"",
    Q5183&lt;&gt;0,
    OR(
      TRIM(C5183)=TRIM(Enginuity!$A$18),
      AND(UPPER(TRIM(M5183))="STD", TRIM(B5183)=TRIM(Enginuity!$A$17))
    ),
    OR(
      AND(LEFT(P5183,5)="1-Way", Enginuity!$B$13=1),
      AND(LEFT(P5183,5)="2-Way", OR(Enginuity!$B$13=2, Enginuity!$B$13=4)),
      AND(LEFT(P5183,5)="3-Way", OR(Enginuity!$B$13=3, Enginuity!$B$13=6)),
      AND(P5183="Inner Centre Jamb", OR(Enginuity!$B$13=4, Enginuity!$B$13=6)),
      AND(
        LEFT(P5183,5)&lt;&gt;"1-Way",
        LEFT(P5183,5)&lt;&gt;"2-Way",
        LEFT(P5183,5)&lt;&gt;"3-Way",
        P5183&lt;&gt;"Inner Centre Jamb"
      )
    ),
    IF(OR(Enginuity!$A$1="Frameless Glass",Enginuity!$A$1="Metal Work"),
      AND(TRIM(B5183)=TRIM(Enginuity!$A$17),TRIM(C5183)=TRIM(Enginuity!$A$18)),
      TRIM(B5183)=TRIM(Enginuity!$A$17)
    )
  ),
  ROW(),
  ""
)</f>
        <v/>
      </c>
    </row>
    <row r="5184" spans="21:21" x14ac:dyDescent="0.25">
      <c r="U5184" s="104" t="str">
        <f>IF(
  AND(
    TRIM(A5184)=TRIM(Enginuity!$A$1),
    TRIM(B5184)=TRIM(Enginuity!$A$17),
    Q5184&lt;&gt;"",
    Q5184&lt;&gt;0,
    OR(
      TRIM(C5184)=TRIM(Enginuity!$A$18),
      AND(UPPER(TRIM(M5184))="STD", TRIM(B5184)=TRIM(Enginuity!$A$17))
    ),
    OR(
      AND(LEFT(P5184,5)="1-Way", Enginuity!$B$13=1),
      AND(LEFT(P5184,5)="2-Way", OR(Enginuity!$B$13=2, Enginuity!$B$13=4)),
      AND(LEFT(P5184,5)="3-Way", OR(Enginuity!$B$13=3, Enginuity!$B$13=6)),
      AND(P5184="Inner Centre Jamb", OR(Enginuity!$B$13=4, Enginuity!$B$13=6)),
      AND(
        LEFT(P5184,5)&lt;&gt;"1-Way",
        LEFT(P5184,5)&lt;&gt;"2-Way",
        LEFT(P5184,5)&lt;&gt;"3-Way",
        P5184&lt;&gt;"Inner Centre Jamb"
      )
    ),
    IF(OR(Enginuity!$A$1="Frameless Glass",Enginuity!$A$1="Metal Work"),
      AND(TRIM(B5184)=TRIM(Enginuity!$A$17),TRIM(C5184)=TRIM(Enginuity!$A$18)),
      TRIM(B5184)=TRIM(Enginuity!$A$17)
    )
  ),
  ROW(),
  ""
)</f>
        <v/>
      </c>
    </row>
    <row r="5185" spans="21:21" x14ac:dyDescent="0.25">
      <c r="U5185" s="104" t="str">
        <f>IF(
  AND(
    TRIM(A5185)=TRIM(Enginuity!$A$1),
    TRIM(B5185)=TRIM(Enginuity!$A$17),
    Q5185&lt;&gt;"",
    Q5185&lt;&gt;0,
    OR(
      TRIM(C5185)=TRIM(Enginuity!$A$18),
      AND(UPPER(TRIM(M5185))="STD", TRIM(B5185)=TRIM(Enginuity!$A$17))
    ),
    OR(
      AND(LEFT(P5185,5)="1-Way", Enginuity!$B$13=1),
      AND(LEFT(P5185,5)="2-Way", OR(Enginuity!$B$13=2, Enginuity!$B$13=4)),
      AND(LEFT(P5185,5)="3-Way", OR(Enginuity!$B$13=3, Enginuity!$B$13=6)),
      AND(P5185="Inner Centre Jamb", OR(Enginuity!$B$13=4, Enginuity!$B$13=6)),
      AND(
        LEFT(P5185,5)&lt;&gt;"1-Way",
        LEFT(P5185,5)&lt;&gt;"2-Way",
        LEFT(P5185,5)&lt;&gt;"3-Way",
        P5185&lt;&gt;"Inner Centre Jamb"
      )
    ),
    IF(OR(Enginuity!$A$1="Frameless Glass",Enginuity!$A$1="Metal Work"),
      AND(TRIM(B5185)=TRIM(Enginuity!$A$17),TRIM(C5185)=TRIM(Enginuity!$A$18)),
      TRIM(B5185)=TRIM(Enginuity!$A$17)
    )
  ),
  ROW(),
  ""
)</f>
        <v/>
      </c>
    </row>
    <row r="5186" spans="21:21" x14ac:dyDescent="0.25">
      <c r="U5186" s="104" t="str">
        <f>IF(
  AND(
    TRIM(A5186)=TRIM(Enginuity!$A$1),
    TRIM(B5186)=TRIM(Enginuity!$A$17),
    Q5186&lt;&gt;"",
    Q5186&lt;&gt;0,
    OR(
      TRIM(C5186)=TRIM(Enginuity!$A$18),
      AND(UPPER(TRIM(M5186))="STD", TRIM(B5186)=TRIM(Enginuity!$A$17))
    ),
    OR(
      AND(LEFT(P5186,5)="1-Way", Enginuity!$B$13=1),
      AND(LEFT(P5186,5)="2-Way", OR(Enginuity!$B$13=2, Enginuity!$B$13=4)),
      AND(LEFT(P5186,5)="3-Way", OR(Enginuity!$B$13=3, Enginuity!$B$13=6)),
      AND(P5186="Inner Centre Jamb", OR(Enginuity!$B$13=4, Enginuity!$B$13=6)),
      AND(
        LEFT(P5186,5)&lt;&gt;"1-Way",
        LEFT(P5186,5)&lt;&gt;"2-Way",
        LEFT(P5186,5)&lt;&gt;"3-Way",
        P5186&lt;&gt;"Inner Centre Jamb"
      )
    ),
    IF(OR(Enginuity!$A$1="Frameless Glass",Enginuity!$A$1="Metal Work"),
      AND(TRIM(B5186)=TRIM(Enginuity!$A$17),TRIM(C5186)=TRIM(Enginuity!$A$18)),
      TRIM(B5186)=TRIM(Enginuity!$A$17)
    )
  ),
  ROW(),
  ""
)</f>
        <v/>
      </c>
    </row>
    <row r="5187" spans="21:21" x14ac:dyDescent="0.25">
      <c r="U5187" s="104" t="str">
        <f>IF(
  AND(
    TRIM(A5187)=TRIM(Enginuity!$A$1),
    TRIM(B5187)=TRIM(Enginuity!$A$17),
    Q5187&lt;&gt;"",
    Q5187&lt;&gt;0,
    OR(
      TRIM(C5187)=TRIM(Enginuity!$A$18),
      AND(UPPER(TRIM(M5187))="STD", TRIM(B5187)=TRIM(Enginuity!$A$17))
    ),
    OR(
      AND(LEFT(P5187,5)="1-Way", Enginuity!$B$13=1),
      AND(LEFT(P5187,5)="2-Way", OR(Enginuity!$B$13=2, Enginuity!$B$13=4)),
      AND(LEFT(P5187,5)="3-Way", OR(Enginuity!$B$13=3, Enginuity!$B$13=6)),
      AND(P5187="Inner Centre Jamb", OR(Enginuity!$B$13=4, Enginuity!$B$13=6)),
      AND(
        LEFT(P5187,5)&lt;&gt;"1-Way",
        LEFT(P5187,5)&lt;&gt;"2-Way",
        LEFT(P5187,5)&lt;&gt;"3-Way",
        P5187&lt;&gt;"Inner Centre Jamb"
      )
    ),
    IF(OR(Enginuity!$A$1="Frameless Glass",Enginuity!$A$1="Metal Work"),
      AND(TRIM(B5187)=TRIM(Enginuity!$A$17),TRIM(C5187)=TRIM(Enginuity!$A$18)),
      TRIM(B5187)=TRIM(Enginuity!$A$17)
    )
  ),
  ROW(),
  ""
)</f>
        <v/>
      </c>
    </row>
    <row r="5188" spans="21:21" x14ac:dyDescent="0.25">
      <c r="U5188" s="104" t="str">
        <f>IF(
  AND(
    TRIM(A5188)=TRIM(Enginuity!$A$1),
    TRIM(B5188)=TRIM(Enginuity!$A$17),
    Q5188&lt;&gt;"",
    Q5188&lt;&gt;0,
    OR(
      TRIM(C5188)=TRIM(Enginuity!$A$18),
      AND(UPPER(TRIM(M5188))="STD", TRIM(B5188)=TRIM(Enginuity!$A$17))
    ),
    OR(
      AND(LEFT(P5188,5)="1-Way", Enginuity!$B$13=1),
      AND(LEFT(P5188,5)="2-Way", OR(Enginuity!$B$13=2, Enginuity!$B$13=4)),
      AND(LEFT(P5188,5)="3-Way", OR(Enginuity!$B$13=3, Enginuity!$B$13=6)),
      AND(P5188="Inner Centre Jamb", OR(Enginuity!$B$13=4, Enginuity!$B$13=6)),
      AND(
        LEFT(P5188,5)&lt;&gt;"1-Way",
        LEFT(P5188,5)&lt;&gt;"2-Way",
        LEFT(P5188,5)&lt;&gt;"3-Way",
        P5188&lt;&gt;"Inner Centre Jamb"
      )
    ),
    IF(OR(Enginuity!$A$1="Frameless Glass",Enginuity!$A$1="Metal Work"),
      AND(TRIM(B5188)=TRIM(Enginuity!$A$17),TRIM(C5188)=TRIM(Enginuity!$A$18)),
      TRIM(B5188)=TRIM(Enginuity!$A$17)
    )
  ),
  ROW(),
  ""
)</f>
        <v/>
      </c>
    </row>
    <row r="5189" spans="21:21" x14ac:dyDescent="0.25">
      <c r="U5189" s="104" t="str">
        <f>IF(
  AND(
    TRIM(A5189)=TRIM(Enginuity!$A$1),
    TRIM(B5189)=TRIM(Enginuity!$A$17),
    Q5189&lt;&gt;"",
    Q5189&lt;&gt;0,
    OR(
      TRIM(C5189)=TRIM(Enginuity!$A$18),
      AND(UPPER(TRIM(M5189))="STD", TRIM(B5189)=TRIM(Enginuity!$A$17))
    ),
    OR(
      AND(LEFT(P5189,5)="1-Way", Enginuity!$B$13=1),
      AND(LEFT(P5189,5)="2-Way", OR(Enginuity!$B$13=2, Enginuity!$B$13=4)),
      AND(LEFT(P5189,5)="3-Way", OR(Enginuity!$B$13=3, Enginuity!$B$13=6)),
      AND(P5189="Inner Centre Jamb", OR(Enginuity!$B$13=4, Enginuity!$B$13=6)),
      AND(
        LEFT(P5189,5)&lt;&gt;"1-Way",
        LEFT(P5189,5)&lt;&gt;"2-Way",
        LEFT(P5189,5)&lt;&gt;"3-Way",
        P5189&lt;&gt;"Inner Centre Jamb"
      )
    ),
    IF(OR(Enginuity!$A$1="Frameless Glass",Enginuity!$A$1="Metal Work"),
      AND(TRIM(B5189)=TRIM(Enginuity!$A$17),TRIM(C5189)=TRIM(Enginuity!$A$18)),
      TRIM(B5189)=TRIM(Enginuity!$A$17)
    )
  ),
  ROW(),
  ""
)</f>
        <v/>
      </c>
    </row>
    <row r="5190" spans="21:21" x14ac:dyDescent="0.25">
      <c r="U5190" s="104" t="str">
        <f>IF(
  AND(
    TRIM(A5190)=TRIM(Enginuity!$A$1),
    TRIM(B5190)=TRIM(Enginuity!$A$17),
    Q5190&lt;&gt;"",
    Q5190&lt;&gt;0,
    OR(
      TRIM(C5190)=TRIM(Enginuity!$A$18),
      AND(UPPER(TRIM(M5190))="STD", TRIM(B5190)=TRIM(Enginuity!$A$17))
    ),
    OR(
      AND(LEFT(P5190,5)="1-Way", Enginuity!$B$13=1),
      AND(LEFT(P5190,5)="2-Way", OR(Enginuity!$B$13=2, Enginuity!$B$13=4)),
      AND(LEFT(P5190,5)="3-Way", OR(Enginuity!$B$13=3, Enginuity!$B$13=6)),
      AND(P5190="Inner Centre Jamb", OR(Enginuity!$B$13=4, Enginuity!$B$13=6)),
      AND(
        LEFT(P5190,5)&lt;&gt;"1-Way",
        LEFT(P5190,5)&lt;&gt;"2-Way",
        LEFT(P5190,5)&lt;&gt;"3-Way",
        P5190&lt;&gt;"Inner Centre Jamb"
      )
    ),
    IF(OR(Enginuity!$A$1="Frameless Glass",Enginuity!$A$1="Metal Work"),
      AND(TRIM(B5190)=TRIM(Enginuity!$A$17),TRIM(C5190)=TRIM(Enginuity!$A$18)),
      TRIM(B5190)=TRIM(Enginuity!$A$17)
    )
  ),
  ROW(),
  ""
)</f>
        <v/>
      </c>
    </row>
    <row r="5191" spans="21:21" x14ac:dyDescent="0.25">
      <c r="U5191" s="104" t="str">
        <f>IF(
  AND(
    TRIM(A5191)=TRIM(Enginuity!$A$1),
    TRIM(B5191)=TRIM(Enginuity!$A$17),
    Q5191&lt;&gt;"",
    Q5191&lt;&gt;0,
    OR(
      TRIM(C5191)=TRIM(Enginuity!$A$18),
      AND(UPPER(TRIM(M5191))="STD", TRIM(B5191)=TRIM(Enginuity!$A$17))
    ),
    OR(
      AND(LEFT(P5191,5)="1-Way", Enginuity!$B$13=1),
      AND(LEFT(P5191,5)="2-Way", OR(Enginuity!$B$13=2, Enginuity!$B$13=4)),
      AND(LEFT(P5191,5)="3-Way", OR(Enginuity!$B$13=3, Enginuity!$B$13=6)),
      AND(P5191="Inner Centre Jamb", OR(Enginuity!$B$13=4, Enginuity!$B$13=6)),
      AND(
        LEFT(P5191,5)&lt;&gt;"1-Way",
        LEFT(P5191,5)&lt;&gt;"2-Way",
        LEFT(P5191,5)&lt;&gt;"3-Way",
        P5191&lt;&gt;"Inner Centre Jamb"
      )
    ),
    IF(OR(Enginuity!$A$1="Frameless Glass",Enginuity!$A$1="Metal Work"),
      AND(TRIM(B5191)=TRIM(Enginuity!$A$17),TRIM(C5191)=TRIM(Enginuity!$A$18)),
      TRIM(B5191)=TRIM(Enginuity!$A$17)
    )
  ),
  ROW(),
  ""
)</f>
        <v/>
      </c>
    </row>
    <row r="5192" spans="21:21" x14ac:dyDescent="0.25">
      <c r="U5192" s="104" t="str">
        <f>IF(
  AND(
    TRIM(A5192)=TRIM(Enginuity!$A$1),
    TRIM(B5192)=TRIM(Enginuity!$A$17),
    Q5192&lt;&gt;"",
    Q5192&lt;&gt;0,
    OR(
      TRIM(C5192)=TRIM(Enginuity!$A$18),
      AND(UPPER(TRIM(M5192))="STD", TRIM(B5192)=TRIM(Enginuity!$A$17))
    ),
    OR(
      AND(LEFT(P5192,5)="1-Way", Enginuity!$B$13=1),
      AND(LEFT(P5192,5)="2-Way", OR(Enginuity!$B$13=2, Enginuity!$B$13=4)),
      AND(LEFT(P5192,5)="3-Way", OR(Enginuity!$B$13=3, Enginuity!$B$13=6)),
      AND(P5192="Inner Centre Jamb", OR(Enginuity!$B$13=4, Enginuity!$B$13=6)),
      AND(
        LEFT(P5192,5)&lt;&gt;"1-Way",
        LEFT(P5192,5)&lt;&gt;"2-Way",
        LEFT(P5192,5)&lt;&gt;"3-Way",
        P5192&lt;&gt;"Inner Centre Jamb"
      )
    ),
    IF(OR(Enginuity!$A$1="Frameless Glass",Enginuity!$A$1="Metal Work"),
      AND(TRIM(B5192)=TRIM(Enginuity!$A$17),TRIM(C5192)=TRIM(Enginuity!$A$18)),
      TRIM(B5192)=TRIM(Enginuity!$A$17)
    )
  ),
  ROW(),
  ""
)</f>
        <v/>
      </c>
    </row>
    <row r="5193" spans="21:21" x14ac:dyDescent="0.25">
      <c r="U5193" s="104" t="str">
        <f>IF(
  AND(
    TRIM(A5193)=TRIM(Enginuity!$A$1),
    TRIM(B5193)=TRIM(Enginuity!$A$17),
    Q5193&lt;&gt;"",
    Q5193&lt;&gt;0,
    OR(
      TRIM(C5193)=TRIM(Enginuity!$A$18),
      AND(UPPER(TRIM(M5193))="STD", TRIM(B5193)=TRIM(Enginuity!$A$17))
    ),
    OR(
      AND(LEFT(P5193,5)="1-Way", Enginuity!$B$13=1),
      AND(LEFT(P5193,5)="2-Way", OR(Enginuity!$B$13=2, Enginuity!$B$13=4)),
      AND(LEFT(P5193,5)="3-Way", OR(Enginuity!$B$13=3, Enginuity!$B$13=6)),
      AND(P5193="Inner Centre Jamb", OR(Enginuity!$B$13=4, Enginuity!$B$13=6)),
      AND(
        LEFT(P5193,5)&lt;&gt;"1-Way",
        LEFT(P5193,5)&lt;&gt;"2-Way",
        LEFT(P5193,5)&lt;&gt;"3-Way",
        P5193&lt;&gt;"Inner Centre Jamb"
      )
    ),
    IF(OR(Enginuity!$A$1="Frameless Glass",Enginuity!$A$1="Metal Work"),
      AND(TRIM(B5193)=TRIM(Enginuity!$A$17),TRIM(C5193)=TRIM(Enginuity!$A$18)),
      TRIM(B5193)=TRIM(Enginuity!$A$17)
    )
  ),
  ROW(),
  ""
)</f>
        <v/>
      </c>
    </row>
    <row r="5194" spans="21:21" x14ac:dyDescent="0.25">
      <c r="U5194" s="104" t="str">
        <f>IF(
  AND(
    TRIM(A5194)=TRIM(Enginuity!$A$1),
    TRIM(B5194)=TRIM(Enginuity!$A$17),
    Q5194&lt;&gt;"",
    Q5194&lt;&gt;0,
    OR(
      TRIM(C5194)=TRIM(Enginuity!$A$18),
      AND(UPPER(TRIM(M5194))="STD", TRIM(B5194)=TRIM(Enginuity!$A$17))
    ),
    OR(
      AND(LEFT(P5194,5)="1-Way", Enginuity!$B$13=1),
      AND(LEFT(P5194,5)="2-Way", OR(Enginuity!$B$13=2, Enginuity!$B$13=4)),
      AND(LEFT(P5194,5)="3-Way", OR(Enginuity!$B$13=3, Enginuity!$B$13=6)),
      AND(P5194="Inner Centre Jamb", OR(Enginuity!$B$13=4, Enginuity!$B$13=6)),
      AND(
        LEFT(P5194,5)&lt;&gt;"1-Way",
        LEFT(P5194,5)&lt;&gt;"2-Way",
        LEFT(P5194,5)&lt;&gt;"3-Way",
        P5194&lt;&gt;"Inner Centre Jamb"
      )
    ),
    IF(OR(Enginuity!$A$1="Frameless Glass",Enginuity!$A$1="Metal Work"),
      AND(TRIM(B5194)=TRIM(Enginuity!$A$17),TRIM(C5194)=TRIM(Enginuity!$A$18)),
      TRIM(B5194)=TRIM(Enginuity!$A$17)
    )
  ),
  ROW(),
  ""
)</f>
        <v/>
      </c>
    </row>
    <row r="5195" spans="21:21" x14ac:dyDescent="0.25">
      <c r="U5195" s="104" t="str">
        <f>IF(
  AND(
    TRIM(A5195)=TRIM(Enginuity!$A$1),
    TRIM(B5195)=TRIM(Enginuity!$A$17),
    Q5195&lt;&gt;"",
    Q5195&lt;&gt;0,
    OR(
      TRIM(C5195)=TRIM(Enginuity!$A$18),
      AND(UPPER(TRIM(M5195))="STD", TRIM(B5195)=TRIM(Enginuity!$A$17))
    ),
    OR(
      AND(LEFT(P5195,5)="1-Way", Enginuity!$B$13=1),
      AND(LEFT(P5195,5)="2-Way", OR(Enginuity!$B$13=2, Enginuity!$B$13=4)),
      AND(LEFT(P5195,5)="3-Way", OR(Enginuity!$B$13=3, Enginuity!$B$13=6)),
      AND(P5195="Inner Centre Jamb", OR(Enginuity!$B$13=4, Enginuity!$B$13=6)),
      AND(
        LEFT(P5195,5)&lt;&gt;"1-Way",
        LEFT(P5195,5)&lt;&gt;"2-Way",
        LEFT(P5195,5)&lt;&gt;"3-Way",
        P5195&lt;&gt;"Inner Centre Jamb"
      )
    ),
    IF(OR(Enginuity!$A$1="Frameless Glass",Enginuity!$A$1="Metal Work"),
      AND(TRIM(B5195)=TRIM(Enginuity!$A$17),TRIM(C5195)=TRIM(Enginuity!$A$18)),
      TRIM(B5195)=TRIM(Enginuity!$A$17)
    )
  ),
  ROW(),
  ""
)</f>
        <v/>
      </c>
    </row>
    <row r="5196" spans="21:21" x14ac:dyDescent="0.25">
      <c r="U5196" s="104" t="str">
        <f>IF(
  AND(
    TRIM(A5196)=TRIM(Enginuity!$A$1),
    TRIM(B5196)=TRIM(Enginuity!$A$17),
    Q5196&lt;&gt;"",
    Q5196&lt;&gt;0,
    OR(
      TRIM(C5196)=TRIM(Enginuity!$A$18),
      AND(UPPER(TRIM(M5196))="STD", TRIM(B5196)=TRIM(Enginuity!$A$17))
    ),
    OR(
      AND(LEFT(P5196,5)="1-Way", Enginuity!$B$13=1),
      AND(LEFT(P5196,5)="2-Way", OR(Enginuity!$B$13=2, Enginuity!$B$13=4)),
      AND(LEFT(P5196,5)="3-Way", OR(Enginuity!$B$13=3, Enginuity!$B$13=6)),
      AND(P5196="Inner Centre Jamb", OR(Enginuity!$B$13=4, Enginuity!$B$13=6)),
      AND(
        LEFT(P5196,5)&lt;&gt;"1-Way",
        LEFT(P5196,5)&lt;&gt;"2-Way",
        LEFT(P5196,5)&lt;&gt;"3-Way",
        P5196&lt;&gt;"Inner Centre Jamb"
      )
    ),
    IF(OR(Enginuity!$A$1="Frameless Glass",Enginuity!$A$1="Metal Work"),
      AND(TRIM(B5196)=TRIM(Enginuity!$A$17),TRIM(C5196)=TRIM(Enginuity!$A$18)),
      TRIM(B5196)=TRIM(Enginuity!$A$17)
    )
  ),
  ROW(),
  ""
)</f>
        <v/>
      </c>
    </row>
    <row r="5197" spans="21:21" x14ac:dyDescent="0.25">
      <c r="U5197" s="104" t="str">
        <f>IF(
  AND(
    TRIM(A5197)=TRIM(Enginuity!$A$1),
    TRIM(B5197)=TRIM(Enginuity!$A$17),
    Q5197&lt;&gt;"",
    Q5197&lt;&gt;0,
    OR(
      TRIM(C5197)=TRIM(Enginuity!$A$18),
      AND(UPPER(TRIM(M5197))="STD", TRIM(B5197)=TRIM(Enginuity!$A$17))
    ),
    OR(
      AND(LEFT(P5197,5)="1-Way", Enginuity!$B$13=1),
      AND(LEFT(P5197,5)="2-Way", OR(Enginuity!$B$13=2, Enginuity!$B$13=4)),
      AND(LEFT(P5197,5)="3-Way", OR(Enginuity!$B$13=3, Enginuity!$B$13=6)),
      AND(P5197="Inner Centre Jamb", OR(Enginuity!$B$13=4, Enginuity!$B$13=6)),
      AND(
        LEFT(P5197,5)&lt;&gt;"1-Way",
        LEFT(P5197,5)&lt;&gt;"2-Way",
        LEFT(P5197,5)&lt;&gt;"3-Way",
        P5197&lt;&gt;"Inner Centre Jamb"
      )
    ),
    IF(OR(Enginuity!$A$1="Frameless Glass",Enginuity!$A$1="Metal Work"),
      AND(TRIM(B5197)=TRIM(Enginuity!$A$17),TRIM(C5197)=TRIM(Enginuity!$A$18)),
      TRIM(B5197)=TRIM(Enginuity!$A$17)
    )
  ),
  ROW(),
  ""
)</f>
        <v/>
      </c>
    </row>
    <row r="5198" spans="21:21" x14ac:dyDescent="0.25">
      <c r="U5198" s="104" t="str">
        <f>IF(
  AND(
    TRIM(A5198)=TRIM(Enginuity!$A$1),
    TRIM(B5198)=TRIM(Enginuity!$A$17),
    Q5198&lt;&gt;"",
    Q5198&lt;&gt;0,
    OR(
      TRIM(C5198)=TRIM(Enginuity!$A$18),
      AND(UPPER(TRIM(M5198))="STD", TRIM(B5198)=TRIM(Enginuity!$A$17))
    ),
    OR(
      AND(LEFT(P5198,5)="1-Way", Enginuity!$B$13=1),
      AND(LEFT(P5198,5)="2-Way", OR(Enginuity!$B$13=2, Enginuity!$B$13=4)),
      AND(LEFT(P5198,5)="3-Way", OR(Enginuity!$B$13=3, Enginuity!$B$13=6)),
      AND(P5198="Inner Centre Jamb", OR(Enginuity!$B$13=4, Enginuity!$B$13=6)),
      AND(
        LEFT(P5198,5)&lt;&gt;"1-Way",
        LEFT(P5198,5)&lt;&gt;"2-Way",
        LEFT(P5198,5)&lt;&gt;"3-Way",
        P5198&lt;&gt;"Inner Centre Jamb"
      )
    ),
    IF(OR(Enginuity!$A$1="Frameless Glass",Enginuity!$A$1="Metal Work"),
      AND(TRIM(B5198)=TRIM(Enginuity!$A$17),TRIM(C5198)=TRIM(Enginuity!$A$18)),
      TRIM(B5198)=TRIM(Enginuity!$A$17)
    )
  ),
  ROW(),
  ""
)</f>
        <v/>
      </c>
    </row>
    <row r="5199" spans="21:21" x14ac:dyDescent="0.25">
      <c r="U5199" s="104" t="str">
        <f>IF(
  AND(
    TRIM(A5199)=TRIM(Enginuity!$A$1),
    TRIM(B5199)=TRIM(Enginuity!$A$17),
    Q5199&lt;&gt;"",
    Q5199&lt;&gt;0,
    OR(
      TRIM(C5199)=TRIM(Enginuity!$A$18),
      AND(UPPER(TRIM(M5199))="STD", TRIM(B5199)=TRIM(Enginuity!$A$17))
    ),
    OR(
      AND(LEFT(P5199,5)="1-Way", Enginuity!$B$13=1),
      AND(LEFT(P5199,5)="2-Way", OR(Enginuity!$B$13=2, Enginuity!$B$13=4)),
      AND(LEFT(P5199,5)="3-Way", OR(Enginuity!$B$13=3, Enginuity!$B$13=6)),
      AND(P5199="Inner Centre Jamb", OR(Enginuity!$B$13=4, Enginuity!$B$13=6)),
      AND(
        LEFT(P5199,5)&lt;&gt;"1-Way",
        LEFT(P5199,5)&lt;&gt;"2-Way",
        LEFT(P5199,5)&lt;&gt;"3-Way",
        P5199&lt;&gt;"Inner Centre Jamb"
      )
    ),
    IF(OR(Enginuity!$A$1="Frameless Glass",Enginuity!$A$1="Metal Work"),
      AND(TRIM(B5199)=TRIM(Enginuity!$A$17),TRIM(C5199)=TRIM(Enginuity!$A$18)),
      TRIM(B5199)=TRIM(Enginuity!$A$17)
    )
  ),
  ROW(),
  ""
)</f>
        <v/>
      </c>
    </row>
    <row r="5200" spans="21:21" x14ac:dyDescent="0.25">
      <c r="U5200" s="104" t="str">
        <f>IF(
  AND(
    TRIM(A5200)=TRIM(Enginuity!$A$1),
    TRIM(B5200)=TRIM(Enginuity!$A$17),
    Q5200&lt;&gt;"",
    Q5200&lt;&gt;0,
    OR(
      TRIM(C5200)=TRIM(Enginuity!$A$18),
      AND(UPPER(TRIM(M5200))="STD", TRIM(B5200)=TRIM(Enginuity!$A$17))
    ),
    OR(
      AND(LEFT(P5200,5)="1-Way", Enginuity!$B$13=1),
      AND(LEFT(P5200,5)="2-Way", OR(Enginuity!$B$13=2, Enginuity!$B$13=4)),
      AND(LEFT(P5200,5)="3-Way", OR(Enginuity!$B$13=3, Enginuity!$B$13=6)),
      AND(P5200="Inner Centre Jamb", OR(Enginuity!$B$13=4, Enginuity!$B$13=6)),
      AND(
        LEFT(P5200,5)&lt;&gt;"1-Way",
        LEFT(P5200,5)&lt;&gt;"2-Way",
        LEFT(P5200,5)&lt;&gt;"3-Way",
        P5200&lt;&gt;"Inner Centre Jamb"
      )
    ),
    IF(OR(Enginuity!$A$1="Frameless Glass",Enginuity!$A$1="Metal Work"),
      AND(TRIM(B5200)=TRIM(Enginuity!$A$17),TRIM(C5200)=TRIM(Enginuity!$A$18)),
      TRIM(B5200)=TRIM(Enginuity!$A$17)
    )
  ),
  ROW(),
  ""
)</f>
        <v/>
      </c>
    </row>
    <row r="5201" spans="21:21" x14ac:dyDescent="0.25">
      <c r="U5201" s="104" t="str">
        <f>IF(
  AND(
    TRIM(A5201)=TRIM(Enginuity!$A$1),
    TRIM(B5201)=TRIM(Enginuity!$A$17),
    Q5201&lt;&gt;"",
    Q5201&lt;&gt;0,
    OR(
      TRIM(C5201)=TRIM(Enginuity!$A$18),
      AND(UPPER(TRIM(M5201))="STD", TRIM(B5201)=TRIM(Enginuity!$A$17))
    ),
    OR(
      AND(LEFT(P5201,5)="1-Way", Enginuity!$B$13=1),
      AND(LEFT(P5201,5)="2-Way", OR(Enginuity!$B$13=2, Enginuity!$B$13=4)),
      AND(LEFT(P5201,5)="3-Way", OR(Enginuity!$B$13=3, Enginuity!$B$13=6)),
      AND(P5201="Inner Centre Jamb", OR(Enginuity!$B$13=4, Enginuity!$B$13=6)),
      AND(
        LEFT(P5201,5)&lt;&gt;"1-Way",
        LEFT(P5201,5)&lt;&gt;"2-Way",
        LEFT(P5201,5)&lt;&gt;"3-Way",
        P5201&lt;&gt;"Inner Centre Jamb"
      )
    ),
    IF(OR(Enginuity!$A$1="Frameless Glass",Enginuity!$A$1="Metal Work"),
      AND(TRIM(B5201)=TRIM(Enginuity!$A$17),TRIM(C5201)=TRIM(Enginuity!$A$18)),
      TRIM(B5201)=TRIM(Enginuity!$A$17)
    )
  ),
  ROW(),
  ""
)</f>
        <v/>
      </c>
    </row>
    <row r="5202" spans="21:21" x14ac:dyDescent="0.25">
      <c r="U5202" s="104" t="str">
        <f>IF(
  AND(
    TRIM(A5202)=TRIM(Enginuity!$A$1),
    TRIM(B5202)=TRIM(Enginuity!$A$17),
    Q5202&lt;&gt;"",
    Q5202&lt;&gt;0,
    OR(
      TRIM(C5202)=TRIM(Enginuity!$A$18),
      AND(UPPER(TRIM(M5202))="STD", TRIM(B5202)=TRIM(Enginuity!$A$17))
    ),
    OR(
      AND(LEFT(P5202,5)="1-Way", Enginuity!$B$13=1),
      AND(LEFT(P5202,5)="2-Way", OR(Enginuity!$B$13=2, Enginuity!$B$13=4)),
      AND(LEFT(P5202,5)="3-Way", OR(Enginuity!$B$13=3, Enginuity!$B$13=6)),
      AND(P5202="Inner Centre Jamb", OR(Enginuity!$B$13=4, Enginuity!$B$13=6)),
      AND(
        LEFT(P5202,5)&lt;&gt;"1-Way",
        LEFT(P5202,5)&lt;&gt;"2-Way",
        LEFT(P5202,5)&lt;&gt;"3-Way",
        P5202&lt;&gt;"Inner Centre Jamb"
      )
    ),
    IF(OR(Enginuity!$A$1="Frameless Glass",Enginuity!$A$1="Metal Work"),
      AND(TRIM(B5202)=TRIM(Enginuity!$A$17),TRIM(C5202)=TRIM(Enginuity!$A$18)),
      TRIM(B5202)=TRIM(Enginuity!$A$17)
    )
  ),
  ROW(),
  ""
)</f>
        <v/>
      </c>
    </row>
    <row r="5203" spans="21:21" x14ac:dyDescent="0.25">
      <c r="U5203" s="104" t="str">
        <f>IF(
  AND(
    TRIM(A5203)=TRIM(Enginuity!$A$1),
    TRIM(B5203)=TRIM(Enginuity!$A$17),
    Q5203&lt;&gt;"",
    Q5203&lt;&gt;0,
    OR(
      TRIM(C5203)=TRIM(Enginuity!$A$18),
      AND(UPPER(TRIM(M5203))="STD", TRIM(B5203)=TRIM(Enginuity!$A$17))
    ),
    OR(
      AND(LEFT(P5203,5)="1-Way", Enginuity!$B$13=1),
      AND(LEFT(P5203,5)="2-Way", OR(Enginuity!$B$13=2, Enginuity!$B$13=4)),
      AND(LEFT(P5203,5)="3-Way", OR(Enginuity!$B$13=3, Enginuity!$B$13=6)),
      AND(P5203="Inner Centre Jamb", OR(Enginuity!$B$13=4, Enginuity!$B$13=6)),
      AND(
        LEFT(P5203,5)&lt;&gt;"1-Way",
        LEFT(P5203,5)&lt;&gt;"2-Way",
        LEFT(P5203,5)&lt;&gt;"3-Way",
        P5203&lt;&gt;"Inner Centre Jamb"
      )
    ),
    IF(OR(Enginuity!$A$1="Frameless Glass",Enginuity!$A$1="Metal Work"),
      AND(TRIM(B5203)=TRIM(Enginuity!$A$17),TRIM(C5203)=TRIM(Enginuity!$A$18)),
      TRIM(B5203)=TRIM(Enginuity!$A$17)
    )
  ),
  ROW(),
  ""
)</f>
        <v/>
      </c>
    </row>
    <row r="5204" spans="21:21" x14ac:dyDescent="0.25">
      <c r="U5204" s="104" t="str">
        <f>IF(
  AND(
    TRIM(A5204)=TRIM(Enginuity!$A$1),
    TRIM(B5204)=TRIM(Enginuity!$A$17),
    Q5204&lt;&gt;"",
    Q5204&lt;&gt;0,
    OR(
      TRIM(C5204)=TRIM(Enginuity!$A$18),
      AND(UPPER(TRIM(M5204))="STD", TRIM(B5204)=TRIM(Enginuity!$A$17))
    ),
    OR(
      AND(LEFT(P5204,5)="1-Way", Enginuity!$B$13=1),
      AND(LEFT(P5204,5)="2-Way", OR(Enginuity!$B$13=2, Enginuity!$B$13=4)),
      AND(LEFT(P5204,5)="3-Way", OR(Enginuity!$B$13=3, Enginuity!$B$13=6)),
      AND(P5204="Inner Centre Jamb", OR(Enginuity!$B$13=4, Enginuity!$B$13=6)),
      AND(
        LEFT(P5204,5)&lt;&gt;"1-Way",
        LEFT(P5204,5)&lt;&gt;"2-Way",
        LEFT(P5204,5)&lt;&gt;"3-Way",
        P5204&lt;&gt;"Inner Centre Jamb"
      )
    ),
    IF(OR(Enginuity!$A$1="Frameless Glass",Enginuity!$A$1="Metal Work"),
      AND(TRIM(B5204)=TRIM(Enginuity!$A$17),TRIM(C5204)=TRIM(Enginuity!$A$18)),
      TRIM(B5204)=TRIM(Enginuity!$A$17)
    )
  ),
  ROW(),
  ""
)</f>
        <v/>
      </c>
    </row>
    <row r="5205" spans="21:21" x14ac:dyDescent="0.25">
      <c r="U5205" s="104" t="str">
        <f>IF(
  AND(
    TRIM(A5205)=TRIM(Enginuity!$A$1),
    TRIM(B5205)=TRIM(Enginuity!$A$17),
    Q5205&lt;&gt;"",
    Q5205&lt;&gt;0,
    OR(
      TRIM(C5205)=TRIM(Enginuity!$A$18),
      AND(UPPER(TRIM(M5205))="STD", TRIM(B5205)=TRIM(Enginuity!$A$17))
    ),
    OR(
      AND(LEFT(P5205,5)="1-Way", Enginuity!$B$13=1),
      AND(LEFT(P5205,5)="2-Way", OR(Enginuity!$B$13=2, Enginuity!$B$13=4)),
      AND(LEFT(P5205,5)="3-Way", OR(Enginuity!$B$13=3, Enginuity!$B$13=6)),
      AND(P5205="Inner Centre Jamb", OR(Enginuity!$B$13=4, Enginuity!$B$13=6)),
      AND(
        LEFT(P5205,5)&lt;&gt;"1-Way",
        LEFT(P5205,5)&lt;&gt;"2-Way",
        LEFT(P5205,5)&lt;&gt;"3-Way",
        P5205&lt;&gt;"Inner Centre Jamb"
      )
    ),
    IF(OR(Enginuity!$A$1="Frameless Glass",Enginuity!$A$1="Metal Work"),
      AND(TRIM(B5205)=TRIM(Enginuity!$A$17),TRIM(C5205)=TRIM(Enginuity!$A$18)),
      TRIM(B5205)=TRIM(Enginuity!$A$17)
    )
  ),
  ROW(),
  ""
)</f>
        <v/>
      </c>
    </row>
    <row r="5206" spans="21:21" x14ac:dyDescent="0.25">
      <c r="U5206" s="104" t="str">
        <f>IF(
  AND(
    TRIM(A5206)=TRIM(Enginuity!$A$1),
    TRIM(B5206)=TRIM(Enginuity!$A$17),
    Q5206&lt;&gt;"",
    Q5206&lt;&gt;0,
    OR(
      TRIM(C5206)=TRIM(Enginuity!$A$18),
      AND(UPPER(TRIM(M5206))="STD", TRIM(B5206)=TRIM(Enginuity!$A$17))
    ),
    OR(
      AND(LEFT(P5206,5)="1-Way", Enginuity!$B$13=1),
      AND(LEFT(P5206,5)="2-Way", OR(Enginuity!$B$13=2, Enginuity!$B$13=4)),
      AND(LEFT(P5206,5)="3-Way", OR(Enginuity!$B$13=3, Enginuity!$B$13=6)),
      AND(P5206="Inner Centre Jamb", OR(Enginuity!$B$13=4, Enginuity!$B$13=6)),
      AND(
        LEFT(P5206,5)&lt;&gt;"1-Way",
        LEFT(P5206,5)&lt;&gt;"2-Way",
        LEFT(P5206,5)&lt;&gt;"3-Way",
        P5206&lt;&gt;"Inner Centre Jamb"
      )
    ),
    IF(OR(Enginuity!$A$1="Frameless Glass",Enginuity!$A$1="Metal Work"),
      AND(TRIM(B5206)=TRIM(Enginuity!$A$17),TRIM(C5206)=TRIM(Enginuity!$A$18)),
      TRIM(B5206)=TRIM(Enginuity!$A$17)
    )
  ),
  ROW(),
  ""
)</f>
        <v/>
      </c>
    </row>
    <row r="5207" spans="21:21" x14ac:dyDescent="0.25">
      <c r="U5207" s="104" t="str">
        <f>IF(
  AND(
    TRIM(A5207)=TRIM(Enginuity!$A$1),
    TRIM(B5207)=TRIM(Enginuity!$A$17),
    Q5207&lt;&gt;"",
    Q5207&lt;&gt;0,
    OR(
      TRIM(C5207)=TRIM(Enginuity!$A$18),
      AND(UPPER(TRIM(M5207))="STD", TRIM(B5207)=TRIM(Enginuity!$A$17))
    ),
    OR(
      AND(LEFT(P5207,5)="1-Way", Enginuity!$B$13=1),
      AND(LEFT(P5207,5)="2-Way", OR(Enginuity!$B$13=2, Enginuity!$B$13=4)),
      AND(LEFT(P5207,5)="3-Way", OR(Enginuity!$B$13=3, Enginuity!$B$13=6)),
      AND(P5207="Inner Centre Jamb", OR(Enginuity!$B$13=4, Enginuity!$B$13=6)),
      AND(
        LEFT(P5207,5)&lt;&gt;"1-Way",
        LEFT(P5207,5)&lt;&gt;"2-Way",
        LEFT(P5207,5)&lt;&gt;"3-Way",
        P5207&lt;&gt;"Inner Centre Jamb"
      )
    ),
    IF(OR(Enginuity!$A$1="Frameless Glass",Enginuity!$A$1="Metal Work"),
      AND(TRIM(B5207)=TRIM(Enginuity!$A$17),TRIM(C5207)=TRIM(Enginuity!$A$18)),
      TRIM(B5207)=TRIM(Enginuity!$A$17)
    )
  ),
  ROW(),
  ""
)</f>
        <v/>
      </c>
    </row>
    <row r="5208" spans="21:21" x14ac:dyDescent="0.25">
      <c r="U5208" s="104" t="str">
        <f>IF(
  AND(
    TRIM(A5208)=TRIM(Enginuity!$A$1),
    TRIM(B5208)=TRIM(Enginuity!$A$17),
    Q5208&lt;&gt;"",
    Q5208&lt;&gt;0,
    OR(
      TRIM(C5208)=TRIM(Enginuity!$A$18),
      AND(UPPER(TRIM(M5208))="STD", TRIM(B5208)=TRIM(Enginuity!$A$17))
    ),
    OR(
      AND(LEFT(P5208,5)="1-Way", Enginuity!$B$13=1),
      AND(LEFT(P5208,5)="2-Way", OR(Enginuity!$B$13=2, Enginuity!$B$13=4)),
      AND(LEFT(P5208,5)="3-Way", OR(Enginuity!$B$13=3, Enginuity!$B$13=6)),
      AND(P5208="Inner Centre Jamb", OR(Enginuity!$B$13=4, Enginuity!$B$13=6)),
      AND(
        LEFT(P5208,5)&lt;&gt;"1-Way",
        LEFT(P5208,5)&lt;&gt;"2-Way",
        LEFT(P5208,5)&lt;&gt;"3-Way",
        P5208&lt;&gt;"Inner Centre Jamb"
      )
    ),
    IF(OR(Enginuity!$A$1="Frameless Glass",Enginuity!$A$1="Metal Work"),
      AND(TRIM(B5208)=TRIM(Enginuity!$A$17),TRIM(C5208)=TRIM(Enginuity!$A$18)),
      TRIM(B5208)=TRIM(Enginuity!$A$17)
    )
  ),
  ROW(),
  ""
)</f>
        <v/>
      </c>
    </row>
    <row r="5209" spans="21:21" x14ac:dyDescent="0.25">
      <c r="U5209" s="104" t="str">
        <f>IF(
  AND(
    TRIM(A5209)=TRIM(Enginuity!$A$1),
    TRIM(B5209)=TRIM(Enginuity!$A$17),
    Q5209&lt;&gt;"",
    Q5209&lt;&gt;0,
    OR(
      TRIM(C5209)=TRIM(Enginuity!$A$18),
      AND(UPPER(TRIM(M5209))="STD", TRIM(B5209)=TRIM(Enginuity!$A$17))
    ),
    OR(
      AND(LEFT(P5209,5)="1-Way", Enginuity!$B$13=1),
      AND(LEFT(P5209,5)="2-Way", OR(Enginuity!$B$13=2, Enginuity!$B$13=4)),
      AND(LEFT(P5209,5)="3-Way", OR(Enginuity!$B$13=3, Enginuity!$B$13=6)),
      AND(P5209="Inner Centre Jamb", OR(Enginuity!$B$13=4, Enginuity!$B$13=6)),
      AND(
        LEFT(P5209,5)&lt;&gt;"1-Way",
        LEFT(P5209,5)&lt;&gt;"2-Way",
        LEFT(P5209,5)&lt;&gt;"3-Way",
        P5209&lt;&gt;"Inner Centre Jamb"
      )
    ),
    IF(OR(Enginuity!$A$1="Frameless Glass",Enginuity!$A$1="Metal Work"),
      AND(TRIM(B5209)=TRIM(Enginuity!$A$17),TRIM(C5209)=TRIM(Enginuity!$A$18)),
      TRIM(B5209)=TRIM(Enginuity!$A$17)
    )
  ),
  ROW(),
  ""
)</f>
        <v/>
      </c>
    </row>
    <row r="5210" spans="21:21" x14ac:dyDescent="0.25">
      <c r="U5210" s="104" t="str">
        <f>IF(
  AND(
    TRIM(A5210)=TRIM(Enginuity!$A$1),
    TRIM(B5210)=TRIM(Enginuity!$A$17),
    Q5210&lt;&gt;"",
    Q5210&lt;&gt;0,
    OR(
      TRIM(C5210)=TRIM(Enginuity!$A$18),
      AND(UPPER(TRIM(M5210))="STD", TRIM(B5210)=TRIM(Enginuity!$A$17))
    ),
    OR(
      AND(LEFT(P5210,5)="1-Way", Enginuity!$B$13=1),
      AND(LEFT(P5210,5)="2-Way", OR(Enginuity!$B$13=2, Enginuity!$B$13=4)),
      AND(LEFT(P5210,5)="3-Way", OR(Enginuity!$B$13=3, Enginuity!$B$13=6)),
      AND(P5210="Inner Centre Jamb", OR(Enginuity!$B$13=4, Enginuity!$B$13=6)),
      AND(
        LEFT(P5210,5)&lt;&gt;"1-Way",
        LEFT(P5210,5)&lt;&gt;"2-Way",
        LEFT(P5210,5)&lt;&gt;"3-Way",
        P5210&lt;&gt;"Inner Centre Jamb"
      )
    ),
    IF(OR(Enginuity!$A$1="Frameless Glass",Enginuity!$A$1="Metal Work"),
      AND(TRIM(B5210)=TRIM(Enginuity!$A$17),TRIM(C5210)=TRIM(Enginuity!$A$18)),
      TRIM(B5210)=TRIM(Enginuity!$A$17)
    )
  ),
  ROW(),
  ""
)</f>
        <v/>
      </c>
    </row>
    <row r="5211" spans="21:21" x14ac:dyDescent="0.25">
      <c r="U5211" s="104" t="str">
        <f>IF(
  AND(
    TRIM(A5211)=TRIM(Enginuity!$A$1),
    TRIM(B5211)=TRIM(Enginuity!$A$17),
    Q5211&lt;&gt;"",
    Q5211&lt;&gt;0,
    OR(
      TRIM(C5211)=TRIM(Enginuity!$A$18),
      AND(UPPER(TRIM(M5211))="STD", TRIM(B5211)=TRIM(Enginuity!$A$17))
    ),
    OR(
      AND(LEFT(P5211,5)="1-Way", Enginuity!$B$13=1),
      AND(LEFT(P5211,5)="2-Way", OR(Enginuity!$B$13=2, Enginuity!$B$13=4)),
      AND(LEFT(P5211,5)="3-Way", OR(Enginuity!$B$13=3, Enginuity!$B$13=6)),
      AND(P5211="Inner Centre Jamb", OR(Enginuity!$B$13=4, Enginuity!$B$13=6)),
      AND(
        LEFT(P5211,5)&lt;&gt;"1-Way",
        LEFT(P5211,5)&lt;&gt;"2-Way",
        LEFT(P5211,5)&lt;&gt;"3-Way",
        P5211&lt;&gt;"Inner Centre Jamb"
      )
    ),
    IF(OR(Enginuity!$A$1="Frameless Glass",Enginuity!$A$1="Metal Work"),
      AND(TRIM(B5211)=TRIM(Enginuity!$A$17),TRIM(C5211)=TRIM(Enginuity!$A$18)),
      TRIM(B5211)=TRIM(Enginuity!$A$17)
    )
  ),
  ROW(),
  ""
)</f>
        <v/>
      </c>
    </row>
    <row r="5212" spans="21:21" x14ac:dyDescent="0.25">
      <c r="U5212" s="104" t="str">
        <f>IF(
  AND(
    TRIM(A5212)=TRIM(Enginuity!$A$1),
    TRIM(B5212)=TRIM(Enginuity!$A$17),
    Q5212&lt;&gt;"",
    Q5212&lt;&gt;0,
    OR(
      TRIM(C5212)=TRIM(Enginuity!$A$18),
      AND(UPPER(TRIM(M5212))="STD", TRIM(B5212)=TRIM(Enginuity!$A$17))
    ),
    OR(
      AND(LEFT(P5212,5)="1-Way", Enginuity!$B$13=1),
      AND(LEFT(P5212,5)="2-Way", OR(Enginuity!$B$13=2, Enginuity!$B$13=4)),
      AND(LEFT(P5212,5)="3-Way", OR(Enginuity!$B$13=3, Enginuity!$B$13=6)),
      AND(P5212="Inner Centre Jamb", OR(Enginuity!$B$13=4, Enginuity!$B$13=6)),
      AND(
        LEFT(P5212,5)&lt;&gt;"1-Way",
        LEFT(P5212,5)&lt;&gt;"2-Way",
        LEFT(P5212,5)&lt;&gt;"3-Way",
        P5212&lt;&gt;"Inner Centre Jamb"
      )
    ),
    IF(OR(Enginuity!$A$1="Frameless Glass",Enginuity!$A$1="Metal Work"),
      AND(TRIM(B5212)=TRIM(Enginuity!$A$17),TRIM(C5212)=TRIM(Enginuity!$A$18)),
      TRIM(B5212)=TRIM(Enginuity!$A$17)
    )
  ),
  ROW(),
  ""
)</f>
        <v/>
      </c>
    </row>
    <row r="5213" spans="21:21" x14ac:dyDescent="0.25">
      <c r="U5213" s="104" t="str">
        <f>IF(
  AND(
    TRIM(A5213)=TRIM(Enginuity!$A$1),
    TRIM(B5213)=TRIM(Enginuity!$A$17),
    Q5213&lt;&gt;"",
    Q5213&lt;&gt;0,
    OR(
      TRIM(C5213)=TRIM(Enginuity!$A$18),
      AND(UPPER(TRIM(M5213))="STD", TRIM(B5213)=TRIM(Enginuity!$A$17))
    ),
    OR(
      AND(LEFT(P5213,5)="1-Way", Enginuity!$B$13=1),
      AND(LEFT(P5213,5)="2-Way", OR(Enginuity!$B$13=2, Enginuity!$B$13=4)),
      AND(LEFT(P5213,5)="3-Way", OR(Enginuity!$B$13=3, Enginuity!$B$13=6)),
      AND(P5213="Inner Centre Jamb", OR(Enginuity!$B$13=4, Enginuity!$B$13=6)),
      AND(
        LEFT(P5213,5)&lt;&gt;"1-Way",
        LEFT(P5213,5)&lt;&gt;"2-Way",
        LEFT(P5213,5)&lt;&gt;"3-Way",
        P5213&lt;&gt;"Inner Centre Jamb"
      )
    ),
    IF(OR(Enginuity!$A$1="Frameless Glass",Enginuity!$A$1="Metal Work"),
      AND(TRIM(B5213)=TRIM(Enginuity!$A$17),TRIM(C5213)=TRIM(Enginuity!$A$18)),
      TRIM(B5213)=TRIM(Enginuity!$A$17)
    )
  ),
  ROW(),
  ""
)</f>
        <v/>
      </c>
    </row>
    <row r="5214" spans="21:21" x14ac:dyDescent="0.25">
      <c r="U5214" s="104" t="str">
        <f>IF(
  AND(
    TRIM(A5214)=TRIM(Enginuity!$A$1),
    TRIM(B5214)=TRIM(Enginuity!$A$17),
    Q5214&lt;&gt;"",
    Q5214&lt;&gt;0,
    OR(
      TRIM(C5214)=TRIM(Enginuity!$A$18),
      AND(UPPER(TRIM(M5214))="STD", TRIM(B5214)=TRIM(Enginuity!$A$17))
    ),
    OR(
      AND(LEFT(P5214,5)="1-Way", Enginuity!$B$13=1),
      AND(LEFT(P5214,5)="2-Way", OR(Enginuity!$B$13=2, Enginuity!$B$13=4)),
      AND(LEFT(P5214,5)="3-Way", OR(Enginuity!$B$13=3, Enginuity!$B$13=6)),
      AND(P5214="Inner Centre Jamb", OR(Enginuity!$B$13=4, Enginuity!$B$13=6)),
      AND(
        LEFT(P5214,5)&lt;&gt;"1-Way",
        LEFT(P5214,5)&lt;&gt;"2-Way",
        LEFT(P5214,5)&lt;&gt;"3-Way",
        P5214&lt;&gt;"Inner Centre Jamb"
      )
    ),
    IF(OR(Enginuity!$A$1="Frameless Glass",Enginuity!$A$1="Metal Work"),
      AND(TRIM(B5214)=TRIM(Enginuity!$A$17),TRIM(C5214)=TRIM(Enginuity!$A$18)),
      TRIM(B5214)=TRIM(Enginuity!$A$17)
    )
  ),
  ROW(),
  ""
)</f>
        <v/>
      </c>
    </row>
    <row r="5215" spans="21:21" x14ac:dyDescent="0.25">
      <c r="U5215" s="104" t="str">
        <f>IF(
  AND(
    TRIM(A5215)=TRIM(Enginuity!$A$1),
    TRIM(B5215)=TRIM(Enginuity!$A$17),
    Q5215&lt;&gt;"",
    Q5215&lt;&gt;0,
    OR(
      TRIM(C5215)=TRIM(Enginuity!$A$18),
      AND(UPPER(TRIM(M5215))="STD", TRIM(B5215)=TRIM(Enginuity!$A$17))
    ),
    OR(
      AND(LEFT(P5215,5)="1-Way", Enginuity!$B$13=1),
      AND(LEFT(P5215,5)="2-Way", OR(Enginuity!$B$13=2, Enginuity!$B$13=4)),
      AND(LEFT(P5215,5)="3-Way", OR(Enginuity!$B$13=3, Enginuity!$B$13=6)),
      AND(P5215="Inner Centre Jamb", OR(Enginuity!$B$13=4, Enginuity!$B$13=6)),
      AND(
        LEFT(P5215,5)&lt;&gt;"1-Way",
        LEFT(P5215,5)&lt;&gt;"2-Way",
        LEFT(P5215,5)&lt;&gt;"3-Way",
        P5215&lt;&gt;"Inner Centre Jamb"
      )
    ),
    IF(OR(Enginuity!$A$1="Frameless Glass",Enginuity!$A$1="Metal Work"),
      AND(TRIM(B5215)=TRIM(Enginuity!$A$17),TRIM(C5215)=TRIM(Enginuity!$A$18)),
      TRIM(B5215)=TRIM(Enginuity!$A$17)
    )
  ),
  ROW(),
  ""
)</f>
        <v/>
      </c>
    </row>
    <row r="5216" spans="21:21" x14ac:dyDescent="0.25">
      <c r="U5216" s="104" t="str">
        <f>IF(
  AND(
    TRIM(A5216)=TRIM(Enginuity!$A$1),
    TRIM(B5216)=TRIM(Enginuity!$A$17),
    Q5216&lt;&gt;"",
    Q5216&lt;&gt;0,
    OR(
      TRIM(C5216)=TRIM(Enginuity!$A$18),
      AND(UPPER(TRIM(M5216))="STD", TRIM(B5216)=TRIM(Enginuity!$A$17))
    ),
    OR(
      AND(LEFT(P5216,5)="1-Way", Enginuity!$B$13=1),
      AND(LEFT(P5216,5)="2-Way", OR(Enginuity!$B$13=2, Enginuity!$B$13=4)),
      AND(LEFT(P5216,5)="3-Way", OR(Enginuity!$B$13=3, Enginuity!$B$13=6)),
      AND(P5216="Inner Centre Jamb", OR(Enginuity!$B$13=4, Enginuity!$B$13=6)),
      AND(
        LEFT(P5216,5)&lt;&gt;"1-Way",
        LEFT(P5216,5)&lt;&gt;"2-Way",
        LEFT(P5216,5)&lt;&gt;"3-Way",
        P5216&lt;&gt;"Inner Centre Jamb"
      )
    ),
    IF(OR(Enginuity!$A$1="Frameless Glass",Enginuity!$A$1="Metal Work"),
      AND(TRIM(B5216)=TRIM(Enginuity!$A$17),TRIM(C5216)=TRIM(Enginuity!$A$18)),
      TRIM(B5216)=TRIM(Enginuity!$A$17)
    )
  ),
  ROW(),
  ""
)</f>
        <v/>
      </c>
    </row>
    <row r="5217" spans="21:21" x14ac:dyDescent="0.25">
      <c r="U5217" s="104" t="str">
        <f>IF(
  AND(
    TRIM(A5217)=TRIM(Enginuity!$A$1),
    TRIM(B5217)=TRIM(Enginuity!$A$17),
    Q5217&lt;&gt;"",
    Q5217&lt;&gt;0,
    OR(
      TRIM(C5217)=TRIM(Enginuity!$A$18),
      AND(UPPER(TRIM(M5217))="STD", TRIM(B5217)=TRIM(Enginuity!$A$17))
    ),
    OR(
      AND(LEFT(P5217,5)="1-Way", Enginuity!$B$13=1),
      AND(LEFT(P5217,5)="2-Way", OR(Enginuity!$B$13=2, Enginuity!$B$13=4)),
      AND(LEFT(P5217,5)="3-Way", OR(Enginuity!$B$13=3, Enginuity!$B$13=6)),
      AND(P5217="Inner Centre Jamb", OR(Enginuity!$B$13=4, Enginuity!$B$13=6)),
      AND(
        LEFT(P5217,5)&lt;&gt;"1-Way",
        LEFT(P5217,5)&lt;&gt;"2-Way",
        LEFT(P5217,5)&lt;&gt;"3-Way",
        P5217&lt;&gt;"Inner Centre Jamb"
      )
    ),
    IF(OR(Enginuity!$A$1="Frameless Glass",Enginuity!$A$1="Metal Work"),
      AND(TRIM(B5217)=TRIM(Enginuity!$A$17),TRIM(C5217)=TRIM(Enginuity!$A$18)),
      TRIM(B5217)=TRIM(Enginuity!$A$17)
    )
  ),
  ROW(),
  ""
)</f>
        <v/>
      </c>
    </row>
    <row r="5218" spans="21:21" x14ac:dyDescent="0.25">
      <c r="U5218" s="104" t="str">
        <f>IF(
  AND(
    TRIM(A5218)=TRIM(Enginuity!$A$1),
    TRIM(B5218)=TRIM(Enginuity!$A$17),
    Q5218&lt;&gt;"",
    Q5218&lt;&gt;0,
    OR(
      TRIM(C5218)=TRIM(Enginuity!$A$18),
      AND(UPPER(TRIM(M5218))="STD", TRIM(B5218)=TRIM(Enginuity!$A$17))
    ),
    OR(
      AND(LEFT(P5218,5)="1-Way", Enginuity!$B$13=1),
      AND(LEFT(P5218,5)="2-Way", OR(Enginuity!$B$13=2, Enginuity!$B$13=4)),
      AND(LEFT(P5218,5)="3-Way", OR(Enginuity!$B$13=3, Enginuity!$B$13=6)),
      AND(P5218="Inner Centre Jamb", OR(Enginuity!$B$13=4, Enginuity!$B$13=6)),
      AND(
        LEFT(P5218,5)&lt;&gt;"1-Way",
        LEFT(P5218,5)&lt;&gt;"2-Way",
        LEFT(P5218,5)&lt;&gt;"3-Way",
        P5218&lt;&gt;"Inner Centre Jamb"
      )
    ),
    IF(OR(Enginuity!$A$1="Frameless Glass",Enginuity!$A$1="Metal Work"),
      AND(TRIM(B5218)=TRIM(Enginuity!$A$17),TRIM(C5218)=TRIM(Enginuity!$A$18)),
      TRIM(B5218)=TRIM(Enginuity!$A$17)
    )
  ),
  ROW(),
  ""
)</f>
        <v/>
      </c>
    </row>
    <row r="5219" spans="21:21" x14ac:dyDescent="0.25">
      <c r="U5219" s="104" t="str">
        <f>IF(
  AND(
    TRIM(A5219)=TRIM(Enginuity!$A$1),
    TRIM(B5219)=TRIM(Enginuity!$A$17),
    Q5219&lt;&gt;"",
    Q5219&lt;&gt;0,
    OR(
      TRIM(C5219)=TRIM(Enginuity!$A$18),
      AND(UPPER(TRIM(M5219))="STD", TRIM(B5219)=TRIM(Enginuity!$A$17))
    ),
    OR(
      AND(LEFT(P5219,5)="1-Way", Enginuity!$B$13=1),
      AND(LEFT(P5219,5)="2-Way", OR(Enginuity!$B$13=2, Enginuity!$B$13=4)),
      AND(LEFT(P5219,5)="3-Way", OR(Enginuity!$B$13=3, Enginuity!$B$13=6)),
      AND(P5219="Inner Centre Jamb", OR(Enginuity!$B$13=4, Enginuity!$B$13=6)),
      AND(
        LEFT(P5219,5)&lt;&gt;"1-Way",
        LEFT(P5219,5)&lt;&gt;"2-Way",
        LEFT(P5219,5)&lt;&gt;"3-Way",
        P5219&lt;&gt;"Inner Centre Jamb"
      )
    ),
    IF(OR(Enginuity!$A$1="Frameless Glass",Enginuity!$A$1="Metal Work"),
      AND(TRIM(B5219)=TRIM(Enginuity!$A$17),TRIM(C5219)=TRIM(Enginuity!$A$18)),
      TRIM(B5219)=TRIM(Enginuity!$A$17)
    )
  ),
  ROW(),
  ""
)</f>
        <v/>
      </c>
    </row>
    <row r="5220" spans="21:21" x14ac:dyDescent="0.25">
      <c r="U5220" s="104" t="str">
        <f>IF(
  AND(
    TRIM(A5220)=TRIM(Enginuity!$A$1),
    TRIM(B5220)=TRIM(Enginuity!$A$17),
    Q5220&lt;&gt;"",
    Q5220&lt;&gt;0,
    OR(
      TRIM(C5220)=TRIM(Enginuity!$A$18),
      AND(UPPER(TRIM(M5220))="STD", TRIM(B5220)=TRIM(Enginuity!$A$17))
    ),
    OR(
      AND(LEFT(P5220,5)="1-Way", Enginuity!$B$13=1),
      AND(LEFT(P5220,5)="2-Way", OR(Enginuity!$B$13=2, Enginuity!$B$13=4)),
      AND(LEFT(P5220,5)="3-Way", OR(Enginuity!$B$13=3, Enginuity!$B$13=6)),
      AND(P5220="Inner Centre Jamb", OR(Enginuity!$B$13=4, Enginuity!$B$13=6)),
      AND(
        LEFT(P5220,5)&lt;&gt;"1-Way",
        LEFT(P5220,5)&lt;&gt;"2-Way",
        LEFT(P5220,5)&lt;&gt;"3-Way",
        P5220&lt;&gt;"Inner Centre Jamb"
      )
    ),
    IF(OR(Enginuity!$A$1="Frameless Glass",Enginuity!$A$1="Metal Work"),
      AND(TRIM(B5220)=TRIM(Enginuity!$A$17),TRIM(C5220)=TRIM(Enginuity!$A$18)),
      TRIM(B5220)=TRIM(Enginuity!$A$17)
    )
  ),
  ROW(),
  ""
)</f>
        <v/>
      </c>
    </row>
    <row r="5221" spans="21:21" x14ac:dyDescent="0.25">
      <c r="U5221" s="104" t="str">
        <f>IF(
  AND(
    TRIM(A5221)=TRIM(Enginuity!$A$1),
    TRIM(B5221)=TRIM(Enginuity!$A$17),
    Q5221&lt;&gt;"",
    Q5221&lt;&gt;0,
    OR(
      TRIM(C5221)=TRIM(Enginuity!$A$18),
      AND(UPPER(TRIM(M5221))="STD", TRIM(B5221)=TRIM(Enginuity!$A$17))
    ),
    OR(
      AND(LEFT(P5221,5)="1-Way", Enginuity!$B$13=1),
      AND(LEFT(P5221,5)="2-Way", OR(Enginuity!$B$13=2, Enginuity!$B$13=4)),
      AND(LEFT(P5221,5)="3-Way", OR(Enginuity!$B$13=3, Enginuity!$B$13=6)),
      AND(P5221="Inner Centre Jamb", OR(Enginuity!$B$13=4, Enginuity!$B$13=6)),
      AND(
        LEFT(P5221,5)&lt;&gt;"1-Way",
        LEFT(P5221,5)&lt;&gt;"2-Way",
        LEFT(P5221,5)&lt;&gt;"3-Way",
        P5221&lt;&gt;"Inner Centre Jamb"
      )
    ),
    IF(OR(Enginuity!$A$1="Frameless Glass",Enginuity!$A$1="Metal Work"),
      AND(TRIM(B5221)=TRIM(Enginuity!$A$17),TRIM(C5221)=TRIM(Enginuity!$A$18)),
      TRIM(B5221)=TRIM(Enginuity!$A$17)
    )
  ),
  ROW(),
  ""
)</f>
        <v/>
      </c>
    </row>
    <row r="5222" spans="21:21" x14ac:dyDescent="0.25">
      <c r="U5222" s="104" t="str">
        <f>IF(
  AND(
    TRIM(A5222)=TRIM(Enginuity!$A$1),
    TRIM(B5222)=TRIM(Enginuity!$A$17),
    Q5222&lt;&gt;"",
    Q5222&lt;&gt;0,
    OR(
      TRIM(C5222)=TRIM(Enginuity!$A$18),
      AND(UPPER(TRIM(M5222))="STD", TRIM(B5222)=TRIM(Enginuity!$A$17))
    ),
    OR(
      AND(LEFT(P5222,5)="1-Way", Enginuity!$B$13=1),
      AND(LEFT(P5222,5)="2-Way", OR(Enginuity!$B$13=2, Enginuity!$B$13=4)),
      AND(LEFT(P5222,5)="3-Way", OR(Enginuity!$B$13=3, Enginuity!$B$13=6)),
      AND(P5222="Inner Centre Jamb", OR(Enginuity!$B$13=4, Enginuity!$B$13=6)),
      AND(
        LEFT(P5222,5)&lt;&gt;"1-Way",
        LEFT(P5222,5)&lt;&gt;"2-Way",
        LEFT(P5222,5)&lt;&gt;"3-Way",
        P5222&lt;&gt;"Inner Centre Jamb"
      )
    ),
    IF(OR(Enginuity!$A$1="Frameless Glass",Enginuity!$A$1="Metal Work"),
      AND(TRIM(B5222)=TRIM(Enginuity!$A$17),TRIM(C5222)=TRIM(Enginuity!$A$18)),
      TRIM(B5222)=TRIM(Enginuity!$A$17)
    )
  ),
  ROW(),
  ""
)</f>
        <v/>
      </c>
    </row>
    <row r="5223" spans="21:21" x14ac:dyDescent="0.25">
      <c r="U5223" s="104" t="str">
        <f>IF(
  AND(
    TRIM(A5223)=TRIM(Enginuity!$A$1),
    TRIM(B5223)=TRIM(Enginuity!$A$17),
    Q5223&lt;&gt;"",
    Q5223&lt;&gt;0,
    OR(
      TRIM(C5223)=TRIM(Enginuity!$A$18),
      AND(UPPER(TRIM(M5223))="STD", TRIM(B5223)=TRIM(Enginuity!$A$17))
    ),
    OR(
      AND(LEFT(P5223,5)="1-Way", Enginuity!$B$13=1),
      AND(LEFT(P5223,5)="2-Way", OR(Enginuity!$B$13=2, Enginuity!$B$13=4)),
      AND(LEFT(P5223,5)="3-Way", OR(Enginuity!$B$13=3, Enginuity!$B$13=6)),
      AND(P5223="Inner Centre Jamb", OR(Enginuity!$B$13=4, Enginuity!$B$13=6)),
      AND(
        LEFT(P5223,5)&lt;&gt;"1-Way",
        LEFT(P5223,5)&lt;&gt;"2-Way",
        LEFT(P5223,5)&lt;&gt;"3-Way",
        P5223&lt;&gt;"Inner Centre Jamb"
      )
    ),
    IF(OR(Enginuity!$A$1="Frameless Glass",Enginuity!$A$1="Metal Work"),
      AND(TRIM(B5223)=TRIM(Enginuity!$A$17),TRIM(C5223)=TRIM(Enginuity!$A$18)),
      TRIM(B5223)=TRIM(Enginuity!$A$17)
    )
  ),
  ROW(),
  ""
)</f>
        <v/>
      </c>
    </row>
    <row r="5224" spans="21:21" x14ac:dyDescent="0.25">
      <c r="U5224" s="104" t="str">
        <f>IF(
  AND(
    TRIM(A5224)=TRIM(Enginuity!$A$1),
    TRIM(B5224)=TRIM(Enginuity!$A$17),
    Q5224&lt;&gt;"",
    Q5224&lt;&gt;0,
    OR(
      TRIM(C5224)=TRIM(Enginuity!$A$18),
      AND(UPPER(TRIM(M5224))="STD", TRIM(B5224)=TRIM(Enginuity!$A$17))
    ),
    OR(
      AND(LEFT(P5224,5)="1-Way", Enginuity!$B$13=1),
      AND(LEFT(P5224,5)="2-Way", OR(Enginuity!$B$13=2, Enginuity!$B$13=4)),
      AND(LEFT(P5224,5)="3-Way", OR(Enginuity!$B$13=3, Enginuity!$B$13=6)),
      AND(P5224="Inner Centre Jamb", OR(Enginuity!$B$13=4, Enginuity!$B$13=6)),
      AND(
        LEFT(P5224,5)&lt;&gt;"1-Way",
        LEFT(P5224,5)&lt;&gt;"2-Way",
        LEFT(P5224,5)&lt;&gt;"3-Way",
        P5224&lt;&gt;"Inner Centre Jamb"
      )
    ),
    IF(OR(Enginuity!$A$1="Frameless Glass",Enginuity!$A$1="Metal Work"),
      AND(TRIM(B5224)=TRIM(Enginuity!$A$17),TRIM(C5224)=TRIM(Enginuity!$A$18)),
      TRIM(B5224)=TRIM(Enginuity!$A$17)
    )
  ),
  ROW(),
  ""
)</f>
        <v/>
      </c>
    </row>
    <row r="5225" spans="21:21" x14ac:dyDescent="0.25">
      <c r="U5225" s="104" t="str">
        <f>IF(
  AND(
    TRIM(A5225)=TRIM(Enginuity!$A$1),
    TRIM(B5225)=TRIM(Enginuity!$A$17),
    Q5225&lt;&gt;"",
    Q5225&lt;&gt;0,
    OR(
      TRIM(C5225)=TRIM(Enginuity!$A$18),
      AND(UPPER(TRIM(M5225))="STD", TRIM(B5225)=TRIM(Enginuity!$A$17))
    ),
    OR(
      AND(LEFT(P5225,5)="1-Way", Enginuity!$B$13=1),
      AND(LEFT(P5225,5)="2-Way", OR(Enginuity!$B$13=2, Enginuity!$B$13=4)),
      AND(LEFT(P5225,5)="3-Way", OR(Enginuity!$B$13=3, Enginuity!$B$13=6)),
      AND(P5225="Inner Centre Jamb", OR(Enginuity!$B$13=4, Enginuity!$B$13=6)),
      AND(
        LEFT(P5225,5)&lt;&gt;"1-Way",
        LEFT(P5225,5)&lt;&gt;"2-Way",
        LEFT(P5225,5)&lt;&gt;"3-Way",
        P5225&lt;&gt;"Inner Centre Jamb"
      )
    ),
    IF(OR(Enginuity!$A$1="Frameless Glass",Enginuity!$A$1="Metal Work"),
      AND(TRIM(B5225)=TRIM(Enginuity!$A$17),TRIM(C5225)=TRIM(Enginuity!$A$18)),
      TRIM(B5225)=TRIM(Enginuity!$A$17)
    )
  ),
  ROW(),
  ""
)</f>
        <v/>
      </c>
    </row>
    <row r="5226" spans="21:21" x14ac:dyDescent="0.25">
      <c r="U5226" s="104" t="str">
        <f>IF(
  AND(
    TRIM(A5226)=TRIM(Enginuity!$A$1),
    TRIM(B5226)=TRIM(Enginuity!$A$17),
    Q5226&lt;&gt;"",
    Q5226&lt;&gt;0,
    OR(
      TRIM(C5226)=TRIM(Enginuity!$A$18),
      AND(UPPER(TRIM(M5226))="STD", TRIM(B5226)=TRIM(Enginuity!$A$17))
    ),
    OR(
      AND(LEFT(P5226,5)="1-Way", Enginuity!$B$13=1),
      AND(LEFT(P5226,5)="2-Way", OR(Enginuity!$B$13=2, Enginuity!$B$13=4)),
      AND(LEFT(P5226,5)="3-Way", OR(Enginuity!$B$13=3, Enginuity!$B$13=6)),
      AND(P5226="Inner Centre Jamb", OR(Enginuity!$B$13=4, Enginuity!$B$13=6)),
      AND(
        LEFT(P5226,5)&lt;&gt;"1-Way",
        LEFT(P5226,5)&lt;&gt;"2-Way",
        LEFT(P5226,5)&lt;&gt;"3-Way",
        P5226&lt;&gt;"Inner Centre Jamb"
      )
    ),
    IF(OR(Enginuity!$A$1="Frameless Glass",Enginuity!$A$1="Metal Work"),
      AND(TRIM(B5226)=TRIM(Enginuity!$A$17),TRIM(C5226)=TRIM(Enginuity!$A$18)),
      TRIM(B5226)=TRIM(Enginuity!$A$17)
    )
  ),
  ROW(),
  ""
)</f>
        <v/>
      </c>
    </row>
    <row r="5227" spans="21:21" x14ac:dyDescent="0.25">
      <c r="U5227" s="104" t="str">
        <f>IF(
  AND(
    TRIM(A5227)=TRIM(Enginuity!$A$1),
    TRIM(B5227)=TRIM(Enginuity!$A$17),
    Q5227&lt;&gt;"",
    Q5227&lt;&gt;0,
    OR(
      TRIM(C5227)=TRIM(Enginuity!$A$18),
      AND(UPPER(TRIM(M5227))="STD", TRIM(B5227)=TRIM(Enginuity!$A$17))
    ),
    OR(
      AND(LEFT(P5227,5)="1-Way", Enginuity!$B$13=1),
      AND(LEFT(P5227,5)="2-Way", OR(Enginuity!$B$13=2, Enginuity!$B$13=4)),
      AND(LEFT(P5227,5)="3-Way", OR(Enginuity!$B$13=3, Enginuity!$B$13=6)),
      AND(P5227="Inner Centre Jamb", OR(Enginuity!$B$13=4, Enginuity!$B$13=6)),
      AND(
        LEFT(P5227,5)&lt;&gt;"1-Way",
        LEFT(P5227,5)&lt;&gt;"2-Way",
        LEFT(P5227,5)&lt;&gt;"3-Way",
        P5227&lt;&gt;"Inner Centre Jamb"
      )
    ),
    IF(OR(Enginuity!$A$1="Frameless Glass",Enginuity!$A$1="Metal Work"),
      AND(TRIM(B5227)=TRIM(Enginuity!$A$17),TRIM(C5227)=TRIM(Enginuity!$A$18)),
      TRIM(B5227)=TRIM(Enginuity!$A$17)
    )
  ),
  ROW(),
  ""
)</f>
        <v/>
      </c>
    </row>
    <row r="5228" spans="21:21" x14ac:dyDescent="0.25">
      <c r="U5228" s="104" t="str">
        <f>IF(
  AND(
    TRIM(A5228)=TRIM(Enginuity!$A$1),
    TRIM(B5228)=TRIM(Enginuity!$A$17),
    Q5228&lt;&gt;"",
    Q5228&lt;&gt;0,
    OR(
      TRIM(C5228)=TRIM(Enginuity!$A$18),
      AND(UPPER(TRIM(M5228))="STD", TRIM(B5228)=TRIM(Enginuity!$A$17))
    ),
    OR(
      AND(LEFT(P5228,5)="1-Way", Enginuity!$B$13=1),
      AND(LEFT(P5228,5)="2-Way", OR(Enginuity!$B$13=2, Enginuity!$B$13=4)),
      AND(LEFT(P5228,5)="3-Way", OR(Enginuity!$B$13=3, Enginuity!$B$13=6)),
      AND(P5228="Inner Centre Jamb", OR(Enginuity!$B$13=4, Enginuity!$B$13=6)),
      AND(
        LEFT(P5228,5)&lt;&gt;"1-Way",
        LEFT(P5228,5)&lt;&gt;"2-Way",
        LEFT(P5228,5)&lt;&gt;"3-Way",
        P5228&lt;&gt;"Inner Centre Jamb"
      )
    ),
    IF(OR(Enginuity!$A$1="Frameless Glass",Enginuity!$A$1="Metal Work"),
      AND(TRIM(B5228)=TRIM(Enginuity!$A$17),TRIM(C5228)=TRIM(Enginuity!$A$18)),
      TRIM(B5228)=TRIM(Enginuity!$A$17)
    )
  ),
  ROW(),
  ""
)</f>
        <v/>
      </c>
    </row>
    <row r="5229" spans="21:21" x14ac:dyDescent="0.25">
      <c r="U5229" s="104" t="str">
        <f>IF(
  AND(
    TRIM(A5229)=TRIM(Enginuity!$A$1),
    TRIM(B5229)=TRIM(Enginuity!$A$17),
    Q5229&lt;&gt;"",
    Q5229&lt;&gt;0,
    OR(
      TRIM(C5229)=TRIM(Enginuity!$A$18),
      AND(UPPER(TRIM(M5229))="STD", TRIM(B5229)=TRIM(Enginuity!$A$17))
    ),
    OR(
      AND(LEFT(P5229,5)="1-Way", Enginuity!$B$13=1),
      AND(LEFT(P5229,5)="2-Way", OR(Enginuity!$B$13=2, Enginuity!$B$13=4)),
      AND(LEFT(P5229,5)="3-Way", OR(Enginuity!$B$13=3, Enginuity!$B$13=6)),
      AND(P5229="Inner Centre Jamb", OR(Enginuity!$B$13=4, Enginuity!$B$13=6)),
      AND(
        LEFT(P5229,5)&lt;&gt;"1-Way",
        LEFT(P5229,5)&lt;&gt;"2-Way",
        LEFT(P5229,5)&lt;&gt;"3-Way",
        P5229&lt;&gt;"Inner Centre Jamb"
      )
    ),
    IF(OR(Enginuity!$A$1="Frameless Glass",Enginuity!$A$1="Metal Work"),
      AND(TRIM(B5229)=TRIM(Enginuity!$A$17),TRIM(C5229)=TRIM(Enginuity!$A$18)),
      TRIM(B5229)=TRIM(Enginuity!$A$17)
    )
  ),
  ROW(),
  ""
)</f>
        <v/>
      </c>
    </row>
    <row r="5230" spans="21:21" x14ac:dyDescent="0.25">
      <c r="U5230" s="104" t="str">
        <f>IF(
  AND(
    TRIM(A5230)=TRIM(Enginuity!$A$1),
    TRIM(B5230)=TRIM(Enginuity!$A$17),
    Q5230&lt;&gt;"",
    Q5230&lt;&gt;0,
    OR(
      TRIM(C5230)=TRIM(Enginuity!$A$18),
      AND(UPPER(TRIM(M5230))="STD", TRIM(B5230)=TRIM(Enginuity!$A$17))
    ),
    OR(
      AND(LEFT(P5230,5)="1-Way", Enginuity!$B$13=1),
      AND(LEFT(P5230,5)="2-Way", OR(Enginuity!$B$13=2, Enginuity!$B$13=4)),
      AND(LEFT(P5230,5)="3-Way", OR(Enginuity!$B$13=3, Enginuity!$B$13=6)),
      AND(P5230="Inner Centre Jamb", OR(Enginuity!$B$13=4, Enginuity!$B$13=6)),
      AND(
        LEFT(P5230,5)&lt;&gt;"1-Way",
        LEFT(P5230,5)&lt;&gt;"2-Way",
        LEFT(P5230,5)&lt;&gt;"3-Way",
        P5230&lt;&gt;"Inner Centre Jamb"
      )
    ),
    IF(OR(Enginuity!$A$1="Frameless Glass",Enginuity!$A$1="Metal Work"),
      AND(TRIM(B5230)=TRIM(Enginuity!$A$17),TRIM(C5230)=TRIM(Enginuity!$A$18)),
      TRIM(B5230)=TRIM(Enginuity!$A$17)
    )
  ),
  ROW(),
  ""
)</f>
        <v/>
      </c>
    </row>
    <row r="5231" spans="21:21" x14ac:dyDescent="0.25">
      <c r="U5231" s="104" t="str">
        <f>IF(
  AND(
    TRIM(A5231)=TRIM(Enginuity!$A$1),
    TRIM(B5231)=TRIM(Enginuity!$A$17),
    Q5231&lt;&gt;"",
    Q5231&lt;&gt;0,
    OR(
      TRIM(C5231)=TRIM(Enginuity!$A$18),
      AND(UPPER(TRIM(M5231))="STD", TRIM(B5231)=TRIM(Enginuity!$A$17))
    ),
    OR(
      AND(LEFT(P5231,5)="1-Way", Enginuity!$B$13=1),
      AND(LEFT(P5231,5)="2-Way", OR(Enginuity!$B$13=2, Enginuity!$B$13=4)),
      AND(LEFT(P5231,5)="3-Way", OR(Enginuity!$B$13=3, Enginuity!$B$13=6)),
      AND(P5231="Inner Centre Jamb", OR(Enginuity!$B$13=4, Enginuity!$B$13=6)),
      AND(
        LEFT(P5231,5)&lt;&gt;"1-Way",
        LEFT(P5231,5)&lt;&gt;"2-Way",
        LEFT(P5231,5)&lt;&gt;"3-Way",
        P5231&lt;&gt;"Inner Centre Jamb"
      )
    ),
    IF(OR(Enginuity!$A$1="Frameless Glass",Enginuity!$A$1="Metal Work"),
      AND(TRIM(B5231)=TRIM(Enginuity!$A$17),TRIM(C5231)=TRIM(Enginuity!$A$18)),
      TRIM(B5231)=TRIM(Enginuity!$A$17)
    )
  ),
  ROW(),
  ""
)</f>
        <v/>
      </c>
    </row>
    <row r="5232" spans="21:21" x14ac:dyDescent="0.25">
      <c r="U5232" s="104" t="str">
        <f>IF(
  AND(
    TRIM(A5232)=TRIM(Enginuity!$A$1),
    TRIM(B5232)=TRIM(Enginuity!$A$17),
    Q5232&lt;&gt;"",
    Q5232&lt;&gt;0,
    OR(
      TRIM(C5232)=TRIM(Enginuity!$A$18),
      AND(UPPER(TRIM(M5232))="STD", TRIM(B5232)=TRIM(Enginuity!$A$17))
    ),
    OR(
      AND(LEFT(P5232,5)="1-Way", Enginuity!$B$13=1),
      AND(LEFT(P5232,5)="2-Way", OR(Enginuity!$B$13=2, Enginuity!$B$13=4)),
      AND(LEFT(P5232,5)="3-Way", OR(Enginuity!$B$13=3, Enginuity!$B$13=6)),
      AND(P5232="Inner Centre Jamb", OR(Enginuity!$B$13=4, Enginuity!$B$13=6)),
      AND(
        LEFT(P5232,5)&lt;&gt;"1-Way",
        LEFT(P5232,5)&lt;&gt;"2-Way",
        LEFT(P5232,5)&lt;&gt;"3-Way",
        P5232&lt;&gt;"Inner Centre Jamb"
      )
    ),
    IF(OR(Enginuity!$A$1="Frameless Glass",Enginuity!$A$1="Metal Work"),
      AND(TRIM(B5232)=TRIM(Enginuity!$A$17),TRIM(C5232)=TRIM(Enginuity!$A$18)),
      TRIM(B5232)=TRIM(Enginuity!$A$17)
    )
  ),
  ROW(),
  ""
)</f>
        <v/>
      </c>
    </row>
    <row r="5233" spans="21:21" x14ac:dyDescent="0.25">
      <c r="U5233" s="104" t="str">
        <f>IF(
  AND(
    TRIM(A5233)=TRIM(Enginuity!$A$1),
    TRIM(B5233)=TRIM(Enginuity!$A$17),
    Q5233&lt;&gt;"",
    Q5233&lt;&gt;0,
    OR(
      TRIM(C5233)=TRIM(Enginuity!$A$18),
      AND(UPPER(TRIM(M5233))="STD", TRIM(B5233)=TRIM(Enginuity!$A$17))
    ),
    OR(
      AND(LEFT(P5233,5)="1-Way", Enginuity!$B$13=1),
      AND(LEFT(P5233,5)="2-Way", OR(Enginuity!$B$13=2, Enginuity!$B$13=4)),
      AND(LEFT(P5233,5)="3-Way", OR(Enginuity!$B$13=3, Enginuity!$B$13=6)),
      AND(P5233="Inner Centre Jamb", OR(Enginuity!$B$13=4, Enginuity!$B$13=6)),
      AND(
        LEFT(P5233,5)&lt;&gt;"1-Way",
        LEFT(P5233,5)&lt;&gt;"2-Way",
        LEFT(P5233,5)&lt;&gt;"3-Way",
        P5233&lt;&gt;"Inner Centre Jamb"
      )
    ),
    IF(OR(Enginuity!$A$1="Frameless Glass",Enginuity!$A$1="Metal Work"),
      AND(TRIM(B5233)=TRIM(Enginuity!$A$17),TRIM(C5233)=TRIM(Enginuity!$A$18)),
      TRIM(B5233)=TRIM(Enginuity!$A$17)
    )
  ),
  ROW(),
  ""
)</f>
        <v/>
      </c>
    </row>
    <row r="5234" spans="21:21" x14ac:dyDescent="0.25">
      <c r="U5234" s="104" t="str">
        <f>IF(
  AND(
    TRIM(A5234)=TRIM(Enginuity!$A$1),
    TRIM(B5234)=TRIM(Enginuity!$A$17),
    Q5234&lt;&gt;"",
    Q5234&lt;&gt;0,
    OR(
      TRIM(C5234)=TRIM(Enginuity!$A$18),
      AND(UPPER(TRIM(M5234))="STD", TRIM(B5234)=TRIM(Enginuity!$A$17))
    ),
    OR(
      AND(LEFT(P5234,5)="1-Way", Enginuity!$B$13=1),
      AND(LEFT(P5234,5)="2-Way", OR(Enginuity!$B$13=2, Enginuity!$B$13=4)),
      AND(LEFT(P5234,5)="3-Way", OR(Enginuity!$B$13=3, Enginuity!$B$13=6)),
      AND(P5234="Inner Centre Jamb", OR(Enginuity!$B$13=4, Enginuity!$B$13=6)),
      AND(
        LEFT(P5234,5)&lt;&gt;"1-Way",
        LEFT(P5234,5)&lt;&gt;"2-Way",
        LEFT(P5234,5)&lt;&gt;"3-Way",
        P5234&lt;&gt;"Inner Centre Jamb"
      )
    ),
    IF(OR(Enginuity!$A$1="Frameless Glass",Enginuity!$A$1="Metal Work"),
      AND(TRIM(B5234)=TRIM(Enginuity!$A$17),TRIM(C5234)=TRIM(Enginuity!$A$18)),
      TRIM(B5234)=TRIM(Enginuity!$A$17)
    )
  ),
  ROW(),
  ""
)</f>
        <v/>
      </c>
    </row>
    <row r="5235" spans="21:21" x14ac:dyDescent="0.25">
      <c r="U5235" s="104" t="str">
        <f>IF(
  AND(
    TRIM(A5235)=TRIM(Enginuity!$A$1),
    TRIM(B5235)=TRIM(Enginuity!$A$17),
    Q5235&lt;&gt;"",
    Q5235&lt;&gt;0,
    OR(
      TRIM(C5235)=TRIM(Enginuity!$A$18),
      AND(UPPER(TRIM(M5235))="STD", TRIM(B5235)=TRIM(Enginuity!$A$17))
    ),
    OR(
      AND(LEFT(P5235,5)="1-Way", Enginuity!$B$13=1),
      AND(LEFT(P5235,5)="2-Way", OR(Enginuity!$B$13=2, Enginuity!$B$13=4)),
      AND(LEFT(P5235,5)="3-Way", OR(Enginuity!$B$13=3, Enginuity!$B$13=6)),
      AND(P5235="Inner Centre Jamb", OR(Enginuity!$B$13=4, Enginuity!$B$13=6)),
      AND(
        LEFT(P5235,5)&lt;&gt;"1-Way",
        LEFT(P5235,5)&lt;&gt;"2-Way",
        LEFT(P5235,5)&lt;&gt;"3-Way",
        P5235&lt;&gt;"Inner Centre Jamb"
      )
    ),
    IF(OR(Enginuity!$A$1="Frameless Glass",Enginuity!$A$1="Metal Work"),
      AND(TRIM(B5235)=TRIM(Enginuity!$A$17),TRIM(C5235)=TRIM(Enginuity!$A$18)),
      TRIM(B5235)=TRIM(Enginuity!$A$17)
    )
  ),
  ROW(),
  ""
)</f>
        <v/>
      </c>
    </row>
    <row r="5236" spans="21:21" x14ac:dyDescent="0.25">
      <c r="U5236" s="104" t="str">
        <f>IF(
  AND(
    TRIM(A5236)=TRIM(Enginuity!$A$1),
    TRIM(B5236)=TRIM(Enginuity!$A$17),
    Q5236&lt;&gt;"",
    Q5236&lt;&gt;0,
    OR(
      TRIM(C5236)=TRIM(Enginuity!$A$18),
      AND(UPPER(TRIM(M5236))="STD", TRIM(B5236)=TRIM(Enginuity!$A$17))
    ),
    OR(
      AND(LEFT(P5236,5)="1-Way", Enginuity!$B$13=1),
      AND(LEFT(P5236,5)="2-Way", OR(Enginuity!$B$13=2, Enginuity!$B$13=4)),
      AND(LEFT(P5236,5)="3-Way", OR(Enginuity!$B$13=3, Enginuity!$B$13=6)),
      AND(P5236="Inner Centre Jamb", OR(Enginuity!$B$13=4, Enginuity!$B$13=6)),
      AND(
        LEFT(P5236,5)&lt;&gt;"1-Way",
        LEFT(P5236,5)&lt;&gt;"2-Way",
        LEFT(P5236,5)&lt;&gt;"3-Way",
        P5236&lt;&gt;"Inner Centre Jamb"
      )
    ),
    IF(OR(Enginuity!$A$1="Frameless Glass",Enginuity!$A$1="Metal Work"),
      AND(TRIM(B5236)=TRIM(Enginuity!$A$17),TRIM(C5236)=TRIM(Enginuity!$A$18)),
      TRIM(B5236)=TRIM(Enginuity!$A$17)
    )
  ),
  ROW(),
  ""
)</f>
        <v/>
      </c>
    </row>
    <row r="5237" spans="21:21" x14ac:dyDescent="0.25">
      <c r="U5237" s="104" t="str">
        <f>IF(
  AND(
    TRIM(A5237)=TRIM(Enginuity!$A$1),
    TRIM(B5237)=TRIM(Enginuity!$A$17),
    Q5237&lt;&gt;"",
    Q5237&lt;&gt;0,
    OR(
      TRIM(C5237)=TRIM(Enginuity!$A$18),
      AND(UPPER(TRIM(M5237))="STD", TRIM(B5237)=TRIM(Enginuity!$A$17))
    ),
    OR(
      AND(LEFT(P5237,5)="1-Way", Enginuity!$B$13=1),
      AND(LEFT(P5237,5)="2-Way", OR(Enginuity!$B$13=2, Enginuity!$B$13=4)),
      AND(LEFT(P5237,5)="3-Way", OR(Enginuity!$B$13=3, Enginuity!$B$13=6)),
      AND(P5237="Inner Centre Jamb", OR(Enginuity!$B$13=4, Enginuity!$B$13=6)),
      AND(
        LEFT(P5237,5)&lt;&gt;"1-Way",
        LEFT(P5237,5)&lt;&gt;"2-Way",
        LEFT(P5237,5)&lt;&gt;"3-Way",
        P5237&lt;&gt;"Inner Centre Jamb"
      )
    ),
    IF(OR(Enginuity!$A$1="Frameless Glass",Enginuity!$A$1="Metal Work"),
      AND(TRIM(B5237)=TRIM(Enginuity!$A$17),TRIM(C5237)=TRIM(Enginuity!$A$18)),
      TRIM(B5237)=TRIM(Enginuity!$A$17)
    )
  ),
  ROW(),
  ""
)</f>
        <v/>
      </c>
    </row>
    <row r="5238" spans="21:21" x14ac:dyDescent="0.25">
      <c r="U5238" s="104" t="str">
        <f>IF(
  AND(
    TRIM(A5238)=TRIM(Enginuity!$A$1),
    TRIM(B5238)=TRIM(Enginuity!$A$17),
    Q5238&lt;&gt;"",
    Q5238&lt;&gt;0,
    OR(
      TRIM(C5238)=TRIM(Enginuity!$A$18),
      AND(UPPER(TRIM(M5238))="STD", TRIM(B5238)=TRIM(Enginuity!$A$17))
    ),
    OR(
      AND(LEFT(P5238,5)="1-Way", Enginuity!$B$13=1),
      AND(LEFT(P5238,5)="2-Way", OR(Enginuity!$B$13=2, Enginuity!$B$13=4)),
      AND(LEFT(P5238,5)="3-Way", OR(Enginuity!$B$13=3, Enginuity!$B$13=6)),
      AND(P5238="Inner Centre Jamb", OR(Enginuity!$B$13=4, Enginuity!$B$13=6)),
      AND(
        LEFT(P5238,5)&lt;&gt;"1-Way",
        LEFT(P5238,5)&lt;&gt;"2-Way",
        LEFT(P5238,5)&lt;&gt;"3-Way",
        P5238&lt;&gt;"Inner Centre Jamb"
      )
    ),
    IF(OR(Enginuity!$A$1="Frameless Glass",Enginuity!$A$1="Metal Work"),
      AND(TRIM(B5238)=TRIM(Enginuity!$A$17),TRIM(C5238)=TRIM(Enginuity!$A$18)),
      TRIM(B5238)=TRIM(Enginuity!$A$17)
    )
  ),
  ROW(),
  ""
)</f>
        <v/>
      </c>
    </row>
    <row r="5239" spans="21:21" x14ac:dyDescent="0.25">
      <c r="U5239" s="104" t="str">
        <f>IF(
  AND(
    TRIM(A5239)=TRIM(Enginuity!$A$1),
    TRIM(B5239)=TRIM(Enginuity!$A$17),
    Q5239&lt;&gt;"",
    Q5239&lt;&gt;0,
    OR(
      TRIM(C5239)=TRIM(Enginuity!$A$18),
      AND(UPPER(TRIM(M5239))="STD", TRIM(B5239)=TRIM(Enginuity!$A$17))
    ),
    OR(
      AND(LEFT(P5239,5)="1-Way", Enginuity!$B$13=1),
      AND(LEFT(P5239,5)="2-Way", OR(Enginuity!$B$13=2, Enginuity!$B$13=4)),
      AND(LEFT(P5239,5)="3-Way", OR(Enginuity!$B$13=3, Enginuity!$B$13=6)),
      AND(P5239="Inner Centre Jamb", OR(Enginuity!$B$13=4, Enginuity!$B$13=6)),
      AND(
        LEFT(P5239,5)&lt;&gt;"1-Way",
        LEFT(P5239,5)&lt;&gt;"2-Way",
        LEFT(P5239,5)&lt;&gt;"3-Way",
        P5239&lt;&gt;"Inner Centre Jamb"
      )
    ),
    IF(OR(Enginuity!$A$1="Frameless Glass",Enginuity!$A$1="Metal Work"),
      AND(TRIM(B5239)=TRIM(Enginuity!$A$17),TRIM(C5239)=TRIM(Enginuity!$A$18)),
      TRIM(B5239)=TRIM(Enginuity!$A$17)
    )
  ),
  ROW(),
  ""
)</f>
        <v/>
      </c>
    </row>
    <row r="5240" spans="21:21" x14ac:dyDescent="0.25">
      <c r="U5240" s="104" t="str">
        <f>IF(
  AND(
    TRIM(A5240)=TRIM(Enginuity!$A$1),
    TRIM(B5240)=TRIM(Enginuity!$A$17),
    Q5240&lt;&gt;"",
    Q5240&lt;&gt;0,
    OR(
      TRIM(C5240)=TRIM(Enginuity!$A$18),
      AND(UPPER(TRIM(M5240))="STD", TRIM(B5240)=TRIM(Enginuity!$A$17))
    ),
    OR(
      AND(LEFT(P5240,5)="1-Way", Enginuity!$B$13=1),
      AND(LEFT(P5240,5)="2-Way", OR(Enginuity!$B$13=2, Enginuity!$B$13=4)),
      AND(LEFT(P5240,5)="3-Way", OR(Enginuity!$B$13=3, Enginuity!$B$13=6)),
      AND(P5240="Inner Centre Jamb", OR(Enginuity!$B$13=4, Enginuity!$B$13=6)),
      AND(
        LEFT(P5240,5)&lt;&gt;"1-Way",
        LEFT(P5240,5)&lt;&gt;"2-Way",
        LEFT(P5240,5)&lt;&gt;"3-Way",
        P5240&lt;&gt;"Inner Centre Jamb"
      )
    ),
    IF(OR(Enginuity!$A$1="Frameless Glass",Enginuity!$A$1="Metal Work"),
      AND(TRIM(B5240)=TRIM(Enginuity!$A$17),TRIM(C5240)=TRIM(Enginuity!$A$18)),
      TRIM(B5240)=TRIM(Enginuity!$A$17)
    )
  ),
  ROW(),
  ""
)</f>
        <v/>
      </c>
    </row>
    <row r="5241" spans="21:21" x14ac:dyDescent="0.25">
      <c r="U5241" s="104" t="str">
        <f>IF(
  AND(
    TRIM(A5241)=TRIM(Enginuity!$A$1),
    TRIM(B5241)=TRIM(Enginuity!$A$17),
    Q5241&lt;&gt;"",
    Q5241&lt;&gt;0,
    OR(
      TRIM(C5241)=TRIM(Enginuity!$A$18),
      AND(UPPER(TRIM(M5241))="STD", TRIM(B5241)=TRIM(Enginuity!$A$17))
    ),
    OR(
      AND(LEFT(P5241,5)="1-Way", Enginuity!$B$13=1),
      AND(LEFT(P5241,5)="2-Way", OR(Enginuity!$B$13=2, Enginuity!$B$13=4)),
      AND(LEFT(P5241,5)="3-Way", OR(Enginuity!$B$13=3, Enginuity!$B$13=6)),
      AND(P5241="Inner Centre Jamb", OR(Enginuity!$B$13=4, Enginuity!$B$13=6)),
      AND(
        LEFT(P5241,5)&lt;&gt;"1-Way",
        LEFT(P5241,5)&lt;&gt;"2-Way",
        LEFT(P5241,5)&lt;&gt;"3-Way",
        P5241&lt;&gt;"Inner Centre Jamb"
      )
    ),
    IF(OR(Enginuity!$A$1="Frameless Glass",Enginuity!$A$1="Metal Work"),
      AND(TRIM(B5241)=TRIM(Enginuity!$A$17),TRIM(C5241)=TRIM(Enginuity!$A$18)),
      TRIM(B5241)=TRIM(Enginuity!$A$17)
    )
  ),
  ROW(),
  ""
)</f>
        <v/>
      </c>
    </row>
    <row r="5242" spans="21:21" x14ac:dyDescent="0.25">
      <c r="U5242" s="104" t="str">
        <f>IF(
  AND(
    TRIM(A5242)=TRIM(Enginuity!$A$1),
    TRIM(B5242)=TRIM(Enginuity!$A$17),
    Q5242&lt;&gt;"",
    Q5242&lt;&gt;0,
    OR(
      TRIM(C5242)=TRIM(Enginuity!$A$18),
      AND(UPPER(TRIM(M5242))="STD", TRIM(B5242)=TRIM(Enginuity!$A$17))
    ),
    OR(
      AND(LEFT(P5242,5)="1-Way", Enginuity!$B$13=1),
      AND(LEFT(P5242,5)="2-Way", OR(Enginuity!$B$13=2, Enginuity!$B$13=4)),
      AND(LEFT(P5242,5)="3-Way", OR(Enginuity!$B$13=3, Enginuity!$B$13=6)),
      AND(P5242="Inner Centre Jamb", OR(Enginuity!$B$13=4, Enginuity!$B$13=6)),
      AND(
        LEFT(P5242,5)&lt;&gt;"1-Way",
        LEFT(P5242,5)&lt;&gt;"2-Way",
        LEFT(P5242,5)&lt;&gt;"3-Way",
        P5242&lt;&gt;"Inner Centre Jamb"
      )
    ),
    IF(OR(Enginuity!$A$1="Frameless Glass",Enginuity!$A$1="Metal Work"),
      AND(TRIM(B5242)=TRIM(Enginuity!$A$17),TRIM(C5242)=TRIM(Enginuity!$A$18)),
      TRIM(B5242)=TRIM(Enginuity!$A$17)
    )
  ),
  ROW(),
  ""
)</f>
        <v/>
      </c>
    </row>
    <row r="5243" spans="21:21" x14ac:dyDescent="0.25">
      <c r="U5243" s="104" t="str">
        <f>IF(
  AND(
    TRIM(A5243)=TRIM(Enginuity!$A$1),
    TRIM(B5243)=TRIM(Enginuity!$A$17),
    Q5243&lt;&gt;"",
    Q5243&lt;&gt;0,
    OR(
      TRIM(C5243)=TRIM(Enginuity!$A$18),
      AND(UPPER(TRIM(M5243))="STD", TRIM(B5243)=TRIM(Enginuity!$A$17))
    ),
    OR(
      AND(LEFT(P5243,5)="1-Way", Enginuity!$B$13=1),
      AND(LEFT(P5243,5)="2-Way", OR(Enginuity!$B$13=2, Enginuity!$B$13=4)),
      AND(LEFT(P5243,5)="3-Way", OR(Enginuity!$B$13=3, Enginuity!$B$13=6)),
      AND(P5243="Inner Centre Jamb", OR(Enginuity!$B$13=4, Enginuity!$B$13=6)),
      AND(
        LEFT(P5243,5)&lt;&gt;"1-Way",
        LEFT(P5243,5)&lt;&gt;"2-Way",
        LEFT(P5243,5)&lt;&gt;"3-Way",
        P5243&lt;&gt;"Inner Centre Jamb"
      )
    ),
    IF(OR(Enginuity!$A$1="Frameless Glass",Enginuity!$A$1="Metal Work"),
      AND(TRIM(B5243)=TRIM(Enginuity!$A$17),TRIM(C5243)=TRIM(Enginuity!$A$18)),
      TRIM(B5243)=TRIM(Enginuity!$A$17)
    )
  ),
  ROW(),
  ""
)</f>
        <v/>
      </c>
    </row>
    <row r="5244" spans="21:21" x14ac:dyDescent="0.25">
      <c r="U5244" s="104" t="str">
        <f>IF(
  AND(
    TRIM(A5244)=TRIM(Enginuity!$A$1),
    TRIM(B5244)=TRIM(Enginuity!$A$17),
    Q5244&lt;&gt;"",
    Q5244&lt;&gt;0,
    OR(
      TRIM(C5244)=TRIM(Enginuity!$A$18),
      AND(UPPER(TRIM(M5244))="STD", TRIM(B5244)=TRIM(Enginuity!$A$17))
    ),
    OR(
      AND(LEFT(P5244,5)="1-Way", Enginuity!$B$13=1),
      AND(LEFT(P5244,5)="2-Way", OR(Enginuity!$B$13=2, Enginuity!$B$13=4)),
      AND(LEFT(P5244,5)="3-Way", OR(Enginuity!$B$13=3, Enginuity!$B$13=6)),
      AND(P5244="Inner Centre Jamb", OR(Enginuity!$B$13=4, Enginuity!$B$13=6)),
      AND(
        LEFT(P5244,5)&lt;&gt;"1-Way",
        LEFT(P5244,5)&lt;&gt;"2-Way",
        LEFT(P5244,5)&lt;&gt;"3-Way",
        P5244&lt;&gt;"Inner Centre Jamb"
      )
    ),
    IF(OR(Enginuity!$A$1="Frameless Glass",Enginuity!$A$1="Metal Work"),
      AND(TRIM(B5244)=TRIM(Enginuity!$A$17),TRIM(C5244)=TRIM(Enginuity!$A$18)),
      TRIM(B5244)=TRIM(Enginuity!$A$17)
    )
  ),
  ROW(),
  ""
)</f>
        <v/>
      </c>
    </row>
    <row r="5245" spans="21:21" x14ac:dyDescent="0.25">
      <c r="U5245" s="104" t="str">
        <f>IF(
  AND(
    TRIM(A5245)=TRIM(Enginuity!$A$1),
    TRIM(B5245)=TRIM(Enginuity!$A$17),
    Q5245&lt;&gt;"",
    Q5245&lt;&gt;0,
    OR(
      TRIM(C5245)=TRIM(Enginuity!$A$18),
      AND(UPPER(TRIM(M5245))="STD", TRIM(B5245)=TRIM(Enginuity!$A$17))
    ),
    OR(
      AND(LEFT(P5245,5)="1-Way", Enginuity!$B$13=1),
      AND(LEFT(P5245,5)="2-Way", OR(Enginuity!$B$13=2, Enginuity!$B$13=4)),
      AND(LEFT(P5245,5)="3-Way", OR(Enginuity!$B$13=3, Enginuity!$B$13=6)),
      AND(P5245="Inner Centre Jamb", OR(Enginuity!$B$13=4, Enginuity!$B$13=6)),
      AND(
        LEFT(P5245,5)&lt;&gt;"1-Way",
        LEFT(P5245,5)&lt;&gt;"2-Way",
        LEFT(P5245,5)&lt;&gt;"3-Way",
        P5245&lt;&gt;"Inner Centre Jamb"
      )
    ),
    IF(OR(Enginuity!$A$1="Frameless Glass",Enginuity!$A$1="Metal Work"),
      AND(TRIM(B5245)=TRIM(Enginuity!$A$17),TRIM(C5245)=TRIM(Enginuity!$A$18)),
      TRIM(B5245)=TRIM(Enginuity!$A$17)
    )
  ),
  ROW(),
  ""
)</f>
        <v/>
      </c>
    </row>
    <row r="5246" spans="21:21" x14ac:dyDescent="0.25">
      <c r="U5246" s="104" t="str">
        <f>IF(
  AND(
    TRIM(A5246)=TRIM(Enginuity!$A$1),
    TRIM(B5246)=TRIM(Enginuity!$A$17),
    Q5246&lt;&gt;"",
    Q5246&lt;&gt;0,
    OR(
      TRIM(C5246)=TRIM(Enginuity!$A$18),
      AND(UPPER(TRIM(M5246))="STD", TRIM(B5246)=TRIM(Enginuity!$A$17))
    ),
    OR(
      AND(LEFT(P5246,5)="1-Way", Enginuity!$B$13=1),
      AND(LEFT(P5246,5)="2-Way", OR(Enginuity!$B$13=2, Enginuity!$B$13=4)),
      AND(LEFT(P5246,5)="3-Way", OR(Enginuity!$B$13=3, Enginuity!$B$13=6)),
      AND(P5246="Inner Centre Jamb", OR(Enginuity!$B$13=4, Enginuity!$B$13=6)),
      AND(
        LEFT(P5246,5)&lt;&gt;"1-Way",
        LEFT(P5246,5)&lt;&gt;"2-Way",
        LEFT(P5246,5)&lt;&gt;"3-Way",
        P5246&lt;&gt;"Inner Centre Jamb"
      )
    ),
    IF(OR(Enginuity!$A$1="Frameless Glass",Enginuity!$A$1="Metal Work"),
      AND(TRIM(B5246)=TRIM(Enginuity!$A$17),TRIM(C5246)=TRIM(Enginuity!$A$18)),
      TRIM(B5246)=TRIM(Enginuity!$A$17)
    )
  ),
  ROW(),
  ""
)</f>
        <v/>
      </c>
    </row>
    <row r="5247" spans="21:21" x14ac:dyDescent="0.25">
      <c r="U5247" s="104" t="str">
        <f>IF(
  AND(
    TRIM(A5247)=TRIM(Enginuity!$A$1),
    TRIM(B5247)=TRIM(Enginuity!$A$17),
    Q5247&lt;&gt;"",
    Q5247&lt;&gt;0,
    OR(
      TRIM(C5247)=TRIM(Enginuity!$A$18),
      AND(UPPER(TRIM(M5247))="STD", TRIM(B5247)=TRIM(Enginuity!$A$17))
    ),
    OR(
      AND(LEFT(P5247,5)="1-Way", Enginuity!$B$13=1),
      AND(LEFT(P5247,5)="2-Way", OR(Enginuity!$B$13=2, Enginuity!$B$13=4)),
      AND(LEFT(P5247,5)="3-Way", OR(Enginuity!$B$13=3, Enginuity!$B$13=6)),
      AND(P5247="Inner Centre Jamb", OR(Enginuity!$B$13=4, Enginuity!$B$13=6)),
      AND(
        LEFT(P5247,5)&lt;&gt;"1-Way",
        LEFT(P5247,5)&lt;&gt;"2-Way",
        LEFT(P5247,5)&lt;&gt;"3-Way",
        P5247&lt;&gt;"Inner Centre Jamb"
      )
    ),
    IF(OR(Enginuity!$A$1="Frameless Glass",Enginuity!$A$1="Metal Work"),
      AND(TRIM(B5247)=TRIM(Enginuity!$A$17),TRIM(C5247)=TRIM(Enginuity!$A$18)),
      TRIM(B5247)=TRIM(Enginuity!$A$17)
    )
  ),
  ROW(),
  ""
)</f>
        <v/>
      </c>
    </row>
    <row r="5248" spans="21:21" x14ac:dyDescent="0.25">
      <c r="U5248" s="104" t="str">
        <f>IF(
  AND(
    TRIM(A5248)=TRIM(Enginuity!$A$1),
    TRIM(B5248)=TRIM(Enginuity!$A$17),
    Q5248&lt;&gt;"",
    Q5248&lt;&gt;0,
    OR(
      TRIM(C5248)=TRIM(Enginuity!$A$18),
      AND(UPPER(TRIM(M5248))="STD", TRIM(B5248)=TRIM(Enginuity!$A$17))
    ),
    OR(
      AND(LEFT(P5248,5)="1-Way", Enginuity!$B$13=1),
      AND(LEFT(P5248,5)="2-Way", OR(Enginuity!$B$13=2, Enginuity!$B$13=4)),
      AND(LEFT(P5248,5)="3-Way", OR(Enginuity!$B$13=3, Enginuity!$B$13=6)),
      AND(P5248="Inner Centre Jamb", OR(Enginuity!$B$13=4, Enginuity!$B$13=6)),
      AND(
        LEFT(P5248,5)&lt;&gt;"1-Way",
        LEFT(P5248,5)&lt;&gt;"2-Way",
        LEFT(P5248,5)&lt;&gt;"3-Way",
        P5248&lt;&gt;"Inner Centre Jamb"
      )
    ),
    IF(OR(Enginuity!$A$1="Frameless Glass",Enginuity!$A$1="Metal Work"),
      AND(TRIM(B5248)=TRIM(Enginuity!$A$17),TRIM(C5248)=TRIM(Enginuity!$A$18)),
      TRIM(B5248)=TRIM(Enginuity!$A$17)
    )
  ),
  ROW(),
  ""
)</f>
        <v/>
      </c>
    </row>
    <row r="5249" spans="21:21" x14ac:dyDescent="0.25">
      <c r="U5249" s="104" t="str">
        <f>IF(
  AND(
    TRIM(A5249)=TRIM(Enginuity!$A$1),
    TRIM(B5249)=TRIM(Enginuity!$A$17),
    Q5249&lt;&gt;"",
    Q5249&lt;&gt;0,
    OR(
      TRIM(C5249)=TRIM(Enginuity!$A$18),
      AND(UPPER(TRIM(M5249))="STD", TRIM(B5249)=TRIM(Enginuity!$A$17))
    ),
    OR(
      AND(LEFT(P5249,5)="1-Way", Enginuity!$B$13=1),
      AND(LEFT(P5249,5)="2-Way", OR(Enginuity!$B$13=2, Enginuity!$B$13=4)),
      AND(LEFT(P5249,5)="3-Way", OR(Enginuity!$B$13=3, Enginuity!$B$13=6)),
      AND(P5249="Inner Centre Jamb", OR(Enginuity!$B$13=4, Enginuity!$B$13=6)),
      AND(
        LEFT(P5249,5)&lt;&gt;"1-Way",
        LEFT(P5249,5)&lt;&gt;"2-Way",
        LEFT(P5249,5)&lt;&gt;"3-Way",
        P5249&lt;&gt;"Inner Centre Jamb"
      )
    ),
    IF(OR(Enginuity!$A$1="Frameless Glass",Enginuity!$A$1="Metal Work"),
      AND(TRIM(B5249)=TRIM(Enginuity!$A$17),TRIM(C5249)=TRIM(Enginuity!$A$18)),
      TRIM(B5249)=TRIM(Enginuity!$A$17)
    )
  ),
  ROW(),
  ""
)</f>
        <v/>
      </c>
    </row>
    <row r="5250" spans="21:21" x14ac:dyDescent="0.25">
      <c r="U5250" s="104" t="str">
        <f>IF(
  AND(
    TRIM(A5250)=TRIM(Enginuity!$A$1),
    TRIM(B5250)=TRIM(Enginuity!$A$17),
    Q5250&lt;&gt;"",
    Q5250&lt;&gt;0,
    OR(
      TRIM(C5250)=TRIM(Enginuity!$A$18),
      AND(UPPER(TRIM(M5250))="STD", TRIM(B5250)=TRIM(Enginuity!$A$17))
    ),
    OR(
      AND(LEFT(P5250,5)="1-Way", Enginuity!$B$13=1),
      AND(LEFT(P5250,5)="2-Way", OR(Enginuity!$B$13=2, Enginuity!$B$13=4)),
      AND(LEFT(P5250,5)="3-Way", OR(Enginuity!$B$13=3, Enginuity!$B$13=6)),
      AND(P5250="Inner Centre Jamb", OR(Enginuity!$B$13=4, Enginuity!$B$13=6)),
      AND(
        LEFT(P5250,5)&lt;&gt;"1-Way",
        LEFT(P5250,5)&lt;&gt;"2-Way",
        LEFT(P5250,5)&lt;&gt;"3-Way",
        P5250&lt;&gt;"Inner Centre Jamb"
      )
    ),
    IF(OR(Enginuity!$A$1="Frameless Glass",Enginuity!$A$1="Metal Work"),
      AND(TRIM(B5250)=TRIM(Enginuity!$A$17),TRIM(C5250)=TRIM(Enginuity!$A$18)),
      TRIM(B5250)=TRIM(Enginuity!$A$17)
    )
  ),
  ROW(),
  ""
)</f>
        <v/>
      </c>
    </row>
    <row r="5251" spans="21:21" x14ac:dyDescent="0.25">
      <c r="U5251" s="104" t="str">
        <f>IF(
  AND(
    TRIM(A5251)=TRIM(Enginuity!$A$1),
    TRIM(B5251)=TRIM(Enginuity!$A$17),
    Q5251&lt;&gt;"",
    Q5251&lt;&gt;0,
    OR(
      TRIM(C5251)=TRIM(Enginuity!$A$18),
      AND(UPPER(TRIM(M5251))="STD", TRIM(B5251)=TRIM(Enginuity!$A$17))
    ),
    OR(
      AND(LEFT(P5251,5)="1-Way", Enginuity!$B$13=1),
      AND(LEFT(P5251,5)="2-Way", OR(Enginuity!$B$13=2, Enginuity!$B$13=4)),
      AND(LEFT(P5251,5)="3-Way", OR(Enginuity!$B$13=3, Enginuity!$B$13=6)),
      AND(P5251="Inner Centre Jamb", OR(Enginuity!$B$13=4, Enginuity!$B$13=6)),
      AND(
        LEFT(P5251,5)&lt;&gt;"1-Way",
        LEFT(P5251,5)&lt;&gt;"2-Way",
        LEFT(P5251,5)&lt;&gt;"3-Way",
        P5251&lt;&gt;"Inner Centre Jamb"
      )
    ),
    IF(OR(Enginuity!$A$1="Frameless Glass",Enginuity!$A$1="Metal Work"),
      AND(TRIM(B5251)=TRIM(Enginuity!$A$17),TRIM(C5251)=TRIM(Enginuity!$A$18)),
      TRIM(B5251)=TRIM(Enginuity!$A$17)
    )
  ),
  ROW(),
  ""
)</f>
        <v/>
      </c>
    </row>
    <row r="5252" spans="21:21" x14ac:dyDescent="0.25">
      <c r="U5252" s="104" t="str">
        <f>IF(
  AND(
    TRIM(A5252)=TRIM(Enginuity!$A$1),
    TRIM(B5252)=TRIM(Enginuity!$A$17),
    Q5252&lt;&gt;"",
    Q5252&lt;&gt;0,
    OR(
      TRIM(C5252)=TRIM(Enginuity!$A$18),
      AND(UPPER(TRIM(M5252))="STD", TRIM(B5252)=TRIM(Enginuity!$A$17))
    ),
    OR(
      AND(LEFT(P5252,5)="1-Way", Enginuity!$B$13=1),
      AND(LEFT(P5252,5)="2-Way", OR(Enginuity!$B$13=2, Enginuity!$B$13=4)),
      AND(LEFT(P5252,5)="3-Way", OR(Enginuity!$B$13=3, Enginuity!$B$13=6)),
      AND(P5252="Inner Centre Jamb", OR(Enginuity!$B$13=4, Enginuity!$B$13=6)),
      AND(
        LEFT(P5252,5)&lt;&gt;"1-Way",
        LEFT(P5252,5)&lt;&gt;"2-Way",
        LEFT(P5252,5)&lt;&gt;"3-Way",
        P5252&lt;&gt;"Inner Centre Jamb"
      )
    ),
    IF(OR(Enginuity!$A$1="Frameless Glass",Enginuity!$A$1="Metal Work"),
      AND(TRIM(B5252)=TRIM(Enginuity!$A$17),TRIM(C5252)=TRIM(Enginuity!$A$18)),
      TRIM(B5252)=TRIM(Enginuity!$A$17)
    )
  ),
  ROW(),
  ""
)</f>
        <v/>
      </c>
    </row>
    <row r="5253" spans="21:21" x14ac:dyDescent="0.25">
      <c r="U5253" s="104" t="str">
        <f>IF(
  AND(
    TRIM(A5253)=TRIM(Enginuity!$A$1),
    TRIM(B5253)=TRIM(Enginuity!$A$17),
    Q5253&lt;&gt;"",
    Q5253&lt;&gt;0,
    OR(
      TRIM(C5253)=TRIM(Enginuity!$A$18),
      AND(UPPER(TRIM(M5253))="STD", TRIM(B5253)=TRIM(Enginuity!$A$17))
    ),
    OR(
      AND(LEFT(P5253,5)="1-Way", Enginuity!$B$13=1),
      AND(LEFT(P5253,5)="2-Way", OR(Enginuity!$B$13=2, Enginuity!$B$13=4)),
      AND(LEFT(P5253,5)="3-Way", OR(Enginuity!$B$13=3, Enginuity!$B$13=6)),
      AND(P5253="Inner Centre Jamb", OR(Enginuity!$B$13=4, Enginuity!$B$13=6)),
      AND(
        LEFT(P5253,5)&lt;&gt;"1-Way",
        LEFT(P5253,5)&lt;&gt;"2-Way",
        LEFT(P5253,5)&lt;&gt;"3-Way",
        P5253&lt;&gt;"Inner Centre Jamb"
      )
    ),
    IF(OR(Enginuity!$A$1="Frameless Glass",Enginuity!$A$1="Metal Work"),
      AND(TRIM(B5253)=TRIM(Enginuity!$A$17),TRIM(C5253)=TRIM(Enginuity!$A$18)),
      TRIM(B5253)=TRIM(Enginuity!$A$17)
    )
  ),
  ROW(),
  ""
)</f>
        <v/>
      </c>
    </row>
    <row r="5254" spans="21:21" x14ac:dyDescent="0.25">
      <c r="U5254" s="104" t="str">
        <f>IF(
  AND(
    TRIM(A5254)=TRIM(Enginuity!$A$1),
    TRIM(B5254)=TRIM(Enginuity!$A$17),
    Q5254&lt;&gt;"",
    Q5254&lt;&gt;0,
    OR(
      TRIM(C5254)=TRIM(Enginuity!$A$18),
      AND(UPPER(TRIM(M5254))="STD", TRIM(B5254)=TRIM(Enginuity!$A$17))
    ),
    OR(
      AND(LEFT(P5254,5)="1-Way", Enginuity!$B$13=1),
      AND(LEFT(P5254,5)="2-Way", OR(Enginuity!$B$13=2, Enginuity!$B$13=4)),
      AND(LEFT(P5254,5)="3-Way", OR(Enginuity!$B$13=3, Enginuity!$B$13=6)),
      AND(P5254="Inner Centre Jamb", OR(Enginuity!$B$13=4, Enginuity!$B$13=6)),
      AND(
        LEFT(P5254,5)&lt;&gt;"1-Way",
        LEFT(P5254,5)&lt;&gt;"2-Way",
        LEFT(P5254,5)&lt;&gt;"3-Way",
        P5254&lt;&gt;"Inner Centre Jamb"
      )
    ),
    IF(OR(Enginuity!$A$1="Frameless Glass",Enginuity!$A$1="Metal Work"),
      AND(TRIM(B5254)=TRIM(Enginuity!$A$17),TRIM(C5254)=TRIM(Enginuity!$A$18)),
      TRIM(B5254)=TRIM(Enginuity!$A$17)
    )
  ),
  ROW(),
  ""
)</f>
        <v/>
      </c>
    </row>
    <row r="5255" spans="21:21" x14ac:dyDescent="0.25">
      <c r="U5255" s="104" t="str">
        <f>IF(
  AND(
    TRIM(A5255)=TRIM(Enginuity!$A$1),
    TRIM(B5255)=TRIM(Enginuity!$A$17),
    Q5255&lt;&gt;"",
    Q5255&lt;&gt;0,
    OR(
      TRIM(C5255)=TRIM(Enginuity!$A$18),
      AND(UPPER(TRIM(M5255))="STD", TRIM(B5255)=TRIM(Enginuity!$A$17))
    ),
    OR(
      AND(LEFT(P5255,5)="1-Way", Enginuity!$B$13=1),
      AND(LEFT(P5255,5)="2-Way", OR(Enginuity!$B$13=2, Enginuity!$B$13=4)),
      AND(LEFT(P5255,5)="3-Way", OR(Enginuity!$B$13=3, Enginuity!$B$13=6)),
      AND(P5255="Inner Centre Jamb", OR(Enginuity!$B$13=4, Enginuity!$B$13=6)),
      AND(
        LEFT(P5255,5)&lt;&gt;"1-Way",
        LEFT(P5255,5)&lt;&gt;"2-Way",
        LEFT(P5255,5)&lt;&gt;"3-Way",
        P5255&lt;&gt;"Inner Centre Jamb"
      )
    ),
    IF(OR(Enginuity!$A$1="Frameless Glass",Enginuity!$A$1="Metal Work"),
      AND(TRIM(B5255)=TRIM(Enginuity!$A$17),TRIM(C5255)=TRIM(Enginuity!$A$18)),
      TRIM(B5255)=TRIM(Enginuity!$A$17)
    )
  ),
  ROW(),
  ""
)</f>
        <v/>
      </c>
    </row>
    <row r="5256" spans="21:21" x14ac:dyDescent="0.25">
      <c r="U5256" s="104" t="str">
        <f>IF(
  AND(
    TRIM(A5256)=TRIM(Enginuity!$A$1),
    TRIM(B5256)=TRIM(Enginuity!$A$17),
    Q5256&lt;&gt;"",
    Q5256&lt;&gt;0,
    OR(
      TRIM(C5256)=TRIM(Enginuity!$A$18),
      AND(UPPER(TRIM(M5256))="STD", TRIM(B5256)=TRIM(Enginuity!$A$17))
    ),
    OR(
      AND(LEFT(P5256,5)="1-Way", Enginuity!$B$13=1),
      AND(LEFT(P5256,5)="2-Way", OR(Enginuity!$B$13=2, Enginuity!$B$13=4)),
      AND(LEFT(P5256,5)="3-Way", OR(Enginuity!$B$13=3, Enginuity!$B$13=6)),
      AND(P5256="Inner Centre Jamb", OR(Enginuity!$B$13=4, Enginuity!$B$13=6)),
      AND(
        LEFT(P5256,5)&lt;&gt;"1-Way",
        LEFT(P5256,5)&lt;&gt;"2-Way",
        LEFT(P5256,5)&lt;&gt;"3-Way",
        P5256&lt;&gt;"Inner Centre Jamb"
      )
    ),
    IF(OR(Enginuity!$A$1="Frameless Glass",Enginuity!$A$1="Metal Work"),
      AND(TRIM(B5256)=TRIM(Enginuity!$A$17),TRIM(C5256)=TRIM(Enginuity!$A$18)),
      TRIM(B5256)=TRIM(Enginuity!$A$17)
    )
  ),
  ROW(),
  ""
)</f>
        <v/>
      </c>
    </row>
    <row r="5257" spans="21:21" x14ac:dyDescent="0.25">
      <c r="U5257" s="104" t="str">
        <f>IF(
  AND(
    TRIM(A5257)=TRIM(Enginuity!$A$1),
    TRIM(B5257)=TRIM(Enginuity!$A$17),
    Q5257&lt;&gt;"",
    Q5257&lt;&gt;0,
    OR(
      TRIM(C5257)=TRIM(Enginuity!$A$18),
      AND(UPPER(TRIM(M5257))="STD", TRIM(B5257)=TRIM(Enginuity!$A$17))
    ),
    OR(
      AND(LEFT(P5257,5)="1-Way", Enginuity!$B$13=1),
      AND(LEFT(P5257,5)="2-Way", OR(Enginuity!$B$13=2, Enginuity!$B$13=4)),
      AND(LEFT(P5257,5)="3-Way", OR(Enginuity!$B$13=3, Enginuity!$B$13=6)),
      AND(P5257="Inner Centre Jamb", OR(Enginuity!$B$13=4, Enginuity!$B$13=6)),
      AND(
        LEFT(P5257,5)&lt;&gt;"1-Way",
        LEFT(P5257,5)&lt;&gt;"2-Way",
        LEFT(P5257,5)&lt;&gt;"3-Way",
        P5257&lt;&gt;"Inner Centre Jamb"
      )
    ),
    IF(OR(Enginuity!$A$1="Frameless Glass",Enginuity!$A$1="Metal Work"),
      AND(TRIM(B5257)=TRIM(Enginuity!$A$17),TRIM(C5257)=TRIM(Enginuity!$A$18)),
      TRIM(B5257)=TRIM(Enginuity!$A$17)
    )
  ),
  ROW(),
  ""
)</f>
        <v/>
      </c>
    </row>
    <row r="5258" spans="21:21" x14ac:dyDescent="0.25">
      <c r="U5258" s="104" t="str">
        <f>IF(
  AND(
    TRIM(A5258)=TRIM(Enginuity!$A$1),
    TRIM(B5258)=TRIM(Enginuity!$A$17),
    Q5258&lt;&gt;"",
    Q5258&lt;&gt;0,
    OR(
      TRIM(C5258)=TRIM(Enginuity!$A$18),
      AND(UPPER(TRIM(M5258))="STD", TRIM(B5258)=TRIM(Enginuity!$A$17))
    ),
    OR(
      AND(LEFT(P5258,5)="1-Way", Enginuity!$B$13=1),
      AND(LEFT(P5258,5)="2-Way", OR(Enginuity!$B$13=2, Enginuity!$B$13=4)),
      AND(LEFT(P5258,5)="3-Way", OR(Enginuity!$B$13=3, Enginuity!$B$13=6)),
      AND(P5258="Inner Centre Jamb", OR(Enginuity!$B$13=4, Enginuity!$B$13=6)),
      AND(
        LEFT(P5258,5)&lt;&gt;"1-Way",
        LEFT(P5258,5)&lt;&gt;"2-Way",
        LEFT(P5258,5)&lt;&gt;"3-Way",
        P5258&lt;&gt;"Inner Centre Jamb"
      )
    ),
    IF(OR(Enginuity!$A$1="Frameless Glass",Enginuity!$A$1="Metal Work"),
      AND(TRIM(B5258)=TRIM(Enginuity!$A$17),TRIM(C5258)=TRIM(Enginuity!$A$18)),
      TRIM(B5258)=TRIM(Enginuity!$A$17)
    )
  ),
  ROW(),
  ""
)</f>
        <v/>
      </c>
    </row>
    <row r="5259" spans="21:21" x14ac:dyDescent="0.25">
      <c r="U5259" s="104" t="str">
        <f>IF(
  AND(
    TRIM(A5259)=TRIM(Enginuity!$A$1),
    TRIM(B5259)=TRIM(Enginuity!$A$17),
    Q5259&lt;&gt;"",
    Q5259&lt;&gt;0,
    OR(
      TRIM(C5259)=TRIM(Enginuity!$A$18),
      AND(UPPER(TRIM(M5259))="STD", TRIM(B5259)=TRIM(Enginuity!$A$17))
    ),
    OR(
      AND(LEFT(P5259,5)="1-Way", Enginuity!$B$13=1),
      AND(LEFT(P5259,5)="2-Way", OR(Enginuity!$B$13=2, Enginuity!$B$13=4)),
      AND(LEFT(P5259,5)="3-Way", OR(Enginuity!$B$13=3, Enginuity!$B$13=6)),
      AND(P5259="Inner Centre Jamb", OR(Enginuity!$B$13=4, Enginuity!$B$13=6)),
      AND(
        LEFT(P5259,5)&lt;&gt;"1-Way",
        LEFT(P5259,5)&lt;&gt;"2-Way",
        LEFT(P5259,5)&lt;&gt;"3-Way",
        P5259&lt;&gt;"Inner Centre Jamb"
      )
    ),
    IF(OR(Enginuity!$A$1="Frameless Glass",Enginuity!$A$1="Metal Work"),
      AND(TRIM(B5259)=TRIM(Enginuity!$A$17),TRIM(C5259)=TRIM(Enginuity!$A$18)),
      TRIM(B5259)=TRIM(Enginuity!$A$17)
    )
  ),
  ROW(),
  ""
)</f>
        <v/>
      </c>
    </row>
    <row r="5260" spans="21:21" x14ac:dyDescent="0.25">
      <c r="U5260" s="104" t="str">
        <f>IF(
  AND(
    TRIM(A5260)=TRIM(Enginuity!$A$1),
    TRIM(B5260)=TRIM(Enginuity!$A$17),
    Q5260&lt;&gt;"",
    Q5260&lt;&gt;0,
    OR(
      TRIM(C5260)=TRIM(Enginuity!$A$18),
      AND(UPPER(TRIM(M5260))="STD", TRIM(B5260)=TRIM(Enginuity!$A$17))
    ),
    OR(
      AND(LEFT(P5260,5)="1-Way", Enginuity!$B$13=1),
      AND(LEFT(P5260,5)="2-Way", OR(Enginuity!$B$13=2, Enginuity!$B$13=4)),
      AND(LEFT(P5260,5)="3-Way", OR(Enginuity!$B$13=3, Enginuity!$B$13=6)),
      AND(P5260="Inner Centre Jamb", OR(Enginuity!$B$13=4, Enginuity!$B$13=6)),
      AND(
        LEFT(P5260,5)&lt;&gt;"1-Way",
        LEFT(P5260,5)&lt;&gt;"2-Way",
        LEFT(P5260,5)&lt;&gt;"3-Way",
        P5260&lt;&gt;"Inner Centre Jamb"
      )
    ),
    IF(OR(Enginuity!$A$1="Frameless Glass",Enginuity!$A$1="Metal Work"),
      AND(TRIM(B5260)=TRIM(Enginuity!$A$17),TRIM(C5260)=TRIM(Enginuity!$A$18)),
      TRIM(B5260)=TRIM(Enginuity!$A$17)
    )
  ),
  ROW(),
  ""
)</f>
        <v/>
      </c>
    </row>
    <row r="5261" spans="21:21" x14ac:dyDescent="0.25">
      <c r="U5261" s="104" t="str">
        <f>IF(
  AND(
    TRIM(A5261)=TRIM(Enginuity!$A$1),
    TRIM(B5261)=TRIM(Enginuity!$A$17),
    Q5261&lt;&gt;"",
    Q5261&lt;&gt;0,
    OR(
      TRIM(C5261)=TRIM(Enginuity!$A$18),
      AND(UPPER(TRIM(M5261))="STD", TRIM(B5261)=TRIM(Enginuity!$A$17))
    ),
    OR(
      AND(LEFT(P5261,5)="1-Way", Enginuity!$B$13=1),
      AND(LEFT(P5261,5)="2-Way", OR(Enginuity!$B$13=2, Enginuity!$B$13=4)),
      AND(LEFT(P5261,5)="3-Way", OR(Enginuity!$B$13=3, Enginuity!$B$13=6)),
      AND(P5261="Inner Centre Jamb", OR(Enginuity!$B$13=4, Enginuity!$B$13=6)),
      AND(
        LEFT(P5261,5)&lt;&gt;"1-Way",
        LEFT(P5261,5)&lt;&gt;"2-Way",
        LEFT(P5261,5)&lt;&gt;"3-Way",
        P5261&lt;&gt;"Inner Centre Jamb"
      )
    ),
    IF(OR(Enginuity!$A$1="Frameless Glass",Enginuity!$A$1="Metal Work"),
      AND(TRIM(B5261)=TRIM(Enginuity!$A$17),TRIM(C5261)=TRIM(Enginuity!$A$18)),
      TRIM(B5261)=TRIM(Enginuity!$A$17)
    )
  ),
  ROW(),
  ""
)</f>
        <v/>
      </c>
    </row>
    <row r="5262" spans="21:21" x14ac:dyDescent="0.25">
      <c r="U5262" s="104" t="str">
        <f>IF(
  AND(
    TRIM(A5262)=TRIM(Enginuity!$A$1),
    TRIM(B5262)=TRIM(Enginuity!$A$17),
    Q5262&lt;&gt;"",
    Q5262&lt;&gt;0,
    OR(
      TRIM(C5262)=TRIM(Enginuity!$A$18),
      AND(UPPER(TRIM(M5262))="STD", TRIM(B5262)=TRIM(Enginuity!$A$17))
    ),
    OR(
      AND(LEFT(P5262,5)="1-Way", Enginuity!$B$13=1),
      AND(LEFT(P5262,5)="2-Way", OR(Enginuity!$B$13=2, Enginuity!$B$13=4)),
      AND(LEFT(P5262,5)="3-Way", OR(Enginuity!$B$13=3, Enginuity!$B$13=6)),
      AND(P5262="Inner Centre Jamb", OR(Enginuity!$B$13=4, Enginuity!$B$13=6)),
      AND(
        LEFT(P5262,5)&lt;&gt;"1-Way",
        LEFT(P5262,5)&lt;&gt;"2-Way",
        LEFT(P5262,5)&lt;&gt;"3-Way",
        P5262&lt;&gt;"Inner Centre Jamb"
      )
    ),
    IF(OR(Enginuity!$A$1="Frameless Glass",Enginuity!$A$1="Metal Work"),
      AND(TRIM(B5262)=TRIM(Enginuity!$A$17),TRIM(C5262)=TRIM(Enginuity!$A$18)),
      TRIM(B5262)=TRIM(Enginuity!$A$17)
    )
  ),
  ROW(),
  ""
)</f>
        <v/>
      </c>
    </row>
    <row r="5263" spans="21:21" x14ac:dyDescent="0.25">
      <c r="U5263" s="104" t="str">
        <f>IF(
  AND(
    TRIM(A5263)=TRIM(Enginuity!$A$1),
    TRIM(B5263)=TRIM(Enginuity!$A$17),
    Q5263&lt;&gt;"",
    Q5263&lt;&gt;0,
    OR(
      TRIM(C5263)=TRIM(Enginuity!$A$18),
      AND(UPPER(TRIM(M5263))="STD", TRIM(B5263)=TRIM(Enginuity!$A$17))
    ),
    OR(
      AND(LEFT(P5263,5)="1-Way", Enginuity!$B$13=1),
      AND(LEFT(P5263,5)="2-Way", OR(Enginuity!$B$13=2, Enginuity!$B$13=4)),
      AND(LEFT(P5263,5)="3-Way", OR(Enginuity!$B$13=3, Enginuity!$B$13=6)),
      AND(P5263="Inner Centre Jamb", OR(Enginuity!$B$13=4, Enginuity!$B$13=6)),
      AND(
        LEFT(P5263,5)&lt;&gt;"1-Way",
        LEFT(P5263,5)&lt;&gt;"2-Way",
        LEFT(P5263,5)&lt;&gt;"3-Way",
        P5263&lt;&gt;"Inner Centre Jamb"
      )
    ),
    IF(OR(Enginuity!$A$1="Frameless Glass",Enginuity!$A$1="Metal Work"),
      AND(TRIM(B5263)=TRIM(Enginuity!$A$17),TRIM(C5263)=TRIM(Enginuity!$A$18)),
      TRIM(B5263)=TRIM(Enginuity!$A$17)
    )
  ),
  ROW(),
  ""
)</f>
        <v/>
      </c>
    </row>
    <row r="5264" spans="21:21" x14ac:dyDescent="0.25">
      <c r="U5264" s="104" t="str">
        <f>IF(
  AND(
    TRIM(A5264)=TRIM(Enginuity!$A$1),
    TRIM(B5264)=TRIM(Enginuity!$A$17),
    Q5264&lt;&gt;"",
    Q5264&lt;&gt;0,
    OR(
      TRIM(C5264)=TRIM(Enginuity!$A$18),
      AND(UPPER(TRIM(M5264))="STD", TRIM(B5264)=TRIM(Enginuity!$A$17))
    ),
    OR(
      AND(LEFT(P5264,5)="1-Way", Enginuity!$B$13=1),
      AND(LEFT(P5264,5)="2-Way", OR(Enginuity!$B$13=2, Enginuity!$B$13=4)),
      AND(LEFT(P5264,5)="3-Way", OR(Enginuity!$B$13=3, Enginuity!$B$13=6)),
      AND(P5264="Inner Centre Jamb", OR(Enginuity!$B$13=4, Enginuity!$B$13=6)),
      AND(
        LEFT(P5264,5)&lt;&gt;"1-Way",
        LEFT(P5264,5)&lt;&gt;"2-Way",
        LEFT(P5264,5)&lt;&gt;"3-Way",
        P5264&lt;&gt;"Inner Centre Jamb"
      )
    ),
    IF(OR(Enginuity!$A$1="Frameless Glass",Enginuity!$A$1="Metal Work"),
      AND(TRIM(B5264)=TRIM(Enginuity!$A$17),TRIM(C5264)=TRIM(Enginuity!$A$18)),
      TRIM(B5264)=TRIM(Enginuity!$A$17)
    )
  ),
  ROW(),
  ""
)</f>
        <v/>
      </c>
    </row>
    <row r="5265" spans="21:21" x14ac:dyDescent="0.25">
      <c r="U5265" s="104" t="str">
        <f>IF(
  AND(
    TRIM(A5265)=TRIM(Enginuity!$A$1),
    TRIM(B5265)=TRIM(Enginuity!$A$17),
    Q5265&lt;&gt;"",
    Q5265&lt;&gt;0,
    OR(
      TRIM(C5265)=TRIM(Enginuity!$A$18),
      AND(UPPER(TRIM(M5265))="STD", TRIM(B5265)=TRIM(Enginuity!$A$17))
    ),
    OR(
      AND(LEFT(P5265,5)="1-Way", Enginuity!$B$13=1),
      AND(LEFT(P5265,5)="2-Way", OR(Enginuity!$B$13=2, Enginuity!$B$13=4)),
      AND(LEFT(P5265,5)="3-Way", OR(Enginuity!$B$13=3, Enginuity!$B$13=6)),
      AND(P5265="Inner Centre Jamb", OR(Enginuity!$B$13=4, Enginuity!$B$13=6)),
      AND(
        LEFT(P5265,5)&lt;&gt;"1-Way",
        LEFT(P5265,5)&lt;&gt;"2-Way",
        LEFT(P5265,5)&lt;&gt;"3-Way",
        P5265&lt;&gt;"Inner Centre Jamb"
      )
    ),
    IF(OR(Enginuity!$A$1="Frameless Glass",Enginuity!$A$1="Metal Work"),
      AND(TRIM(B5265)=TRIM(Enginuity!$A$17),TRIM(C5265)=TRIM(Enginuity!$A$18)),
      TRIM(B5265)=TRIM(Enginuity!$A$17)
    )
  ),
  ROW(),
  ""
)</f>
        <v/>
      </c>
    </row>
    <row r="5266" spans="21:21" x14ac:dyDescent="0.25">
      <c r="U5266" s="104" t="str">
        <f>IF(
  AND(
    TRIM(A5266)=TRIM(Enginuity!$A$1),
    TRIM(B5266)=TRIM(Enginuity!$A$17),
    Q5266&lt;&gt;"",
    Q5266&lt;&gt;0,
    OR(
      TRIM(C5266)=TRIM(Enginuity!$A$18),
      AND(UPPER(TRIM(M5266))="STD", TRIM(B5266)=TRIM(Enginuity!$A$17))
    ),
    OR(
      AND(LEFT(P5266,5)="1-Way", Enginuity!$B$13=1),
      AND(LEFT(P5266,5)="2-Way", OR(Enginuity!$B$13=2, Enginuity!$B$13=4)),
      AND(LEFT(P5266,5)="3-Way", OR(Enginuity!$B$13=3, Enginuity!$B$13=6)),
      AND(P5266="Inner Centre Jamb", OR(Enginuity!$B$13=4, Enginuity!$B$13=6)),
      AND(
        LEFT(P5266,5)&lt;&gt;"1-Way",
        LEFT(P5266,5)&lt;&gt;"2-Way",
        LEFT(P5266,5)&lt;&gt;"3-Way",
        P5266&lt;&gt;"Inner Centre Jamb"
      )
    ),
    IF(OR(Enginuity!$A$1="Frameless Glass",Enginuity!$A$1="Metal Work"),
      AND(TRIM(B5266)=TRIM(Enginuity!$A$17),TRIM(C5266)=TRIM(Enginuity!$A$18)),
      TRIM(B5266)=TRIM(Enginuity!$A$17)
    )
  ),
  ROW(),
  ""
)</f>
        <v/>
      </c>
    </row>
    <row r="5267" spans="21:21" x14ac:dyDescent="0.25">
      <c r="U5267" s="104" t="str">
        <f>IF(
  AND(
    TRIM(A5267)=TRIM(Enginuity!$A$1),
    TRIM(B5267)=TRIM(Enginuity!$A$17),
    Q5267&lt;&gt;"",
    Q5267&lt;&gt;0,
    OR(
      TRIM(C5267)=TRIM(Enginuity!$A$18),
      AND(UPPER(TRIM(M5267))="STD", TRIM(B5267)=TRIM(Enginuity!$A$17))
    ),
    OR(
      AND(LEFT(P5267,5)="1-Way", Enginuity!$B$13=1),
      AND(LEFT(P5267,5)="2-Way", OR(Enginuity!$B$13=2, Enginuity!$B$13=4)),
      AND(LEFT(P5267,5)="3-Way", OR(Enginuity!$B$13=3, Enginuity!$B$13=6)),
      AND(P5267="Inner Centre Jamb", OR(Enginuity!$B$13=4, Enginuity!$B$13=6)),
      AND(
        LEFT(P5267,5)&lt;&gt;"1-Way",
        LEFT(P5267,5)&lt;&gt;"2-Way",
        LEFT(P5267,5)&lt;&gt;"3-Way",
        P5267&lt;&gt;"Inner Centre Jamb"
      )
    ),
    IF(OR(Enginuity!$A$1="Frameless Glass",Enginuity!$A$1="Metal Work"),
      AND(TRIM(B5267)=TRIM(Enginuity!$A$17),TRIM(C5267)=TRIM(Enginuity!$A$18)),
      TRIM(B5267)=TRIM(Enginuity!$A$17)
    )
  ),
  ROW(),
  ""
)</f>
        <v/>
      </c>
    </row>
    <row r="5268" spans="21:21" x14ac:dyDescent="0.25">
      <c r="U5268" s="104" t="str">
        <f>IF(
  AND(
    TRIM(A5268)=TRIM(Enginuity!$A$1),
    TRIM(B5268)=TRIM(Enginuity!$A$17),
    Q5268&lt;&gt;"",
    Q5268&lt;&gt;0,
    OR(
      TRIM(C5268)=TRIM(Enginuity!$A$18),
      AND(UPPER(TRIM(M5268))="STD", TRIM(B5268)=TRIM(Enginuity!$A$17))
    ),
    OR(
      AND(LEFT(P5268,5)="1-Way", Enginuity!$B$13=1),
      AND(LEFT(P5268,5)="2-Way", OR(Enginuity!$B$13=2, Enginuity!$B$13=4)),
      AND(LEFT(P5268,5)="3-Way", OR(Enginuity!$B$13=3, Enginuity!$B$13=6)),
      AND(P5268="Inner Centre Jamb", OR(Enginuity!$B$13=4, Enginuity!$B$13=6)),
      AND(
        LEFT(P5268,5)&lt;&gt;"1-Way",
        LEFT(P5268,5)&lt;&gt;"2-Way",
        LEFT(P5268,5)&lt;&gt;"3-Way",
        P5268&lt;&gt;"Inner Centre Jamb"
      )
    ),
    IF(OR(Enginuity!$A$1="Frameless Glass",Enginuity!$A$1="Metal Work"),
      AND(TRIM(B5268)=TRIM(Enginuity!$A$17),TRIM(C5268)=TRIM(Enginuity!$A$18)),
      TRIM(B5268)=TRIM(Enginuity!$A$17)
    )
  ),
  ROW(),
  ""
)</f>
        <v/>
      </c>
    </row>
    <row r="5269" spans="21:21" x14ac:dyDescent="0.25">
      <c r="U5269" s="104" t="str">
        <f>IF(
  AND(
    TRIM(A5269)=TRIM(Enginuity!$A$1),
    TRIM(B5269)=TRIM(Enginuity!$A$17),
    Q5269&lt;&gt;"",
    Q5269&lt;&gt;0,
    OR(
      TRIM(C5269)=TRIM(Enginuity!$A$18),
      AND(UPPER(TRIM(M5269))="STD", TRIM(B5269)=TRIM(Enginuity!$A$17))
    ),
    OR(
      AND(LEFT(P5269,5)="1-Way", Enginuity!$B$13=1),
      AND(LEFT(P5269,5)="2-Way", OR(Enginuity!$B$13=2, Enginuity!$B$13=4)),
      AND(LEFT(P5269,5)="3-Way", OR(Enginuity!$B$13=3, Enginuity!$B$13=6)),
      AND(P5269="Inner Centre Jamb", OR(Enginuity!$B$13=4, Enginuity!$B$13=6)),
      AND(
        LEFT(P5269,5)&lt;&gt;"1-Way",
        LEFT(P5269,5)&lt;&gt;"2-Way",
        LEFT(P5269,5)&lt;&gt;"3-Way",
        P5269&lt;&gt;"Inner Centre Jamb"
      )
    ),
    IF(OR(Enginuity!$A$1="Frameless Glass",Enginuity!$A$1="Metal Work"),
      AND(TRIM(B5269)=TRIM(Enginuity!$A$17),TRIM(C5269)=TRIM(Enginuity!$A$18)),
      TRIM(B5269)=TRIM(Enginuity!$A$17)
    )
  ),
  ROW(),
  ""
)</f>
        <v/>
      </c>
    </row>
    <row r="5270" spans="21:21" x14ac:dyDescent="0.25">
      <c r="U5270" s="104" t="str">
        <f>IF(
  AND(
    TRIM(A5270)=TRIM(Enginuity!$A$1),
    TRIM(B5270)=TRIM(Enginuity!$A$17),
    Q5270&lt;&gt;"",
    Q5270&lt;&gt;0,
    OR(
      TRIM(C5270)=TRIM(Enginuity!$A$18),
      AND(UPPER(TRIM(M5270))="STD", TRIM(B5270)=TRIM(Enginuity!$A$17))
    ),
    OR(
      AND(LEFT(P5270,5)="1-Way", Enginuity!$B$13=1),
      AND(LEFT(P5270,5)="2-Way", OR(Enginuity!$B$13=2, Enginuity!$B$13=4)),
      AND(LEFT(P5270,5)="3-Way", OR(Enginuity!$B$13=3, Enginuity!$B$13=6)),
      AND(P5270="Inner Centre Jamb", OR(Enginuity!$B$13=4, Enginuity!$B$13=6)),
      AND(
        LEFT(P5270,5)&lt;&gt;"1-Way",
        LEFT(P5270,5)&lt;&gt;"2-Way",
        LEFT(P5270,5)&lt;&gt;"3-Way",
        P5270&lt;&gt;"Inner Centre Jamb"
      )
    ),
    IF(OR(Enginuity!$A$1="Frameless Glass",Enginuity!$A$1="Metal Work"),
      AND(TRIM(B5270)=TRIM(Enginuity!$A$17),TRIM(C5270)=TRIM(Enginuity!$A$18)),
      TRIM(B5270)=TRIM(Enginuity!$A$17)
    )
  ),
  ROW(),
  ""
)</f>
        <v/>
      </c>
    </row>
    <row r="5271" spans="21:21" x14ac:dyDescent="0.25">
      <c r="U5271" s="104" t="str">
        <f>IF(
  AND(
    TRIM(A5271)=TRIM(Enginuity!$A$1),
    TRIM(B5271)=TRIM(Enginuity!$A$17),
    Q5271&lt;&gt;"",
    Q5271&lt;&gt;0,
    OR(
      TRIM(C5271)=TRIM(Enginuity!$A$18),
      AND(UPPER(TRIM(M5271))="STD", TRIM(B5271)=TRIM(Enginuity!$A$17))
    ),
    OR(
      AND(LEFT(P5271,5)="1-Way", Enginuity!$B$13=1),
      AND(LEFT(P5271,5)="2-Way", OR(Enginuity!$B$13=2, Enginuity!$B$13=4)),
      AND(LEFT(P5271,5)="3-Way", OR(Enginuity!$B$13=3, Enginuity!$B$13=6)),
      AND(P5271="Inner Centre Jamb", OR(Enginuity!$B$13=4, Enginuity!$B$13=6)),
      AND(
        LEFT(P5271,5)&lt;&gt;"1-Way",
        LEFT(P5271,5)&lt;&gt;"2-Way",
        LEFT(P5271,5)&lt;&gt;"3-Way",
        P5271&lt;&gt;"Inner Centre Jamb"
      )
    ),
    IF(OR(Enginuity!$A$1="Frameless Glass",Enginuity!$A$1="Metal Work"),
      AND(TRIM(B5271)=TRIM(Enginuity!$A$17),TRIM(C5271)=TRIM(Enginuity!$A$18)),
      TRIM(B5271)=TRIM(Enginuity!$A$17)
    )
  ),
  ROW(),
  ""
)</f>
        <v/>
      </c>
    </row>
    <row r="5272" spans="21:21" x14ac:dyDescent="0.25">
      <c r="U5272" s="104" t="str">
        <f>IF(
  AND(
    TRIM(A5272)=TRIM(Enginuity!$A$1),
    TRIM(B5272)=TRIM(Enginuity!$A$17),
    Q5272&lt;&gt;"",
    Q5272&lt;&gt;0,
    OR(
      TRIM(C5272)=TRIM(Enginuity!$A$18),
      AND(UPPER(TRIM(M5272))="STD", TRIM(B5272)=TRIM(Enginuity!$A$17))
    ),
    OR(
      AND(LEFT(P5272,5)="1-Way", Enginuity!$B$13=1),
      AND(LEFT(P5272,5)="2-Way", OR(Enginuity!$B$13=2, Enginuity!$B$13=4)),
      AND(LEFT(P5272,5)="3-Way", OR(Enginuity!$B$13=3, Enginuity!$B$13=6)),
      AND(P5272="Inner Centre Jamb", OR(Enginuity!$B$13=4, Enginuity!$B$13=6)),
      AND(
        LEFT(P5272,5)&lt;&gt;"1-Way",
        LEFT(P5272,5)&lt;&gt;"2-Way",
        LEFT(P5272,5)&lt;&gt;"3-Way",
        P5272&lt;&gt;"Inner Centre Jamb"
      )
    ),
    IF(OR(Enginuity!$A$1="Frameless Glass",Enginuity!$A$1="Metal Work"),
      AND(TRIM(B5272)=TRIM(Enginuity!$A$17),TRIM(C5272)=TRIM(Enginuity!$A$18)),
      TRIM(B5272)=TRIM(Enginuity!$A$17)
    )
  ),
  ROW(),
  ""
)</f>
        <v/>
      </c>
    </row>
    <row r="5273" spans="21:21" x14ac:dyDescent="0.25">
      <c r="U5273" s="104" t="str">
        <f>IF(
  AND(
    TRIM(A5273)=TRIM(Enginuity!$A$1),
    TRIM(B5273)=TRIM(Enginuity!$A$17),
    Q5273&lt;&gt;"",
    Q5273&lt;&gt;0,
    OR(
      TRIM(C5273)=TRIM(Enginuity!$A$18),
      AND(UPPER(TRIM(M5273))="STD", TRIM(B5273)=TRIM(Enginuity!$A$17))
    ),
    OR(
      AND(LEFT(P5273,5)="1-Way", Enginuity!$B$13=1),
      AND(LEFT(P5273,5)="2-Way", OR(Enginuity!$B$13=2, Enginuity!$B$13=4)),
      AND(LEFT(P5273,5)="3-Way", OR(Enginuity!$B$13=3, Enginuity!$B$13=6)),
      AND(P5273="Inner Centre Jamb", OR(Enginuity!$B$13=4, Enginuity!$B$13=6)),
      AND(
        LEFT(P5273,5)&lt;&gt;"1-Way",
        LEFT(P5273,5)&lt;&gt;"2-Way",
        LEFT(P5273,5)&lt;&gt;"3-Way",
        P5273&lt;&gt;"Inner Centre Jamb"
      )
    ),
    IF(OR(Enginuity!$A$1="Frameless Glass",Enginuity!$A$1="Metal Work"),
      AND(TRIM(B5273)=TRIM(Enginuity!$A$17),TRIM(C5273)=TRIM(Enginuity!$A$18)),
      TRIM(B5273)=TRIM(Enginuity!$A$17)
    )
  ),
  ROW(),
  ""
)</f>
        <v/>
      </c>
    </row>
    <row r="5274" spans="21:21" x14ac:dyDescent="0.25">
      <c r="U5274" s="104" t="str">
        <f>IF(
  AND(
    TRIM(A5274)=TRIM(Enginuity!$A$1),
    TRIM(B5274)=TRIM(Enginuity!$A$17),
    Q5274&lt;&gt;"",
    Q5274&lt;&gt;0,
    OR(
      TRIM(C5274)=TRIM(Enginuity!$A$18),
      AND(UPPER(TRIM(M5274))="STD", TRIM(B5274)=TRIM(Enginuity!$A$17))
    ),
    OR(
      AND(LEFT(P5274,5)="1-Way", Enginuity!$B$13=1),
      AND(LEFT(P5274,5)="2-Way", OR(Enginuity!$B$13=2, Enginuity!$B$13=4)),
      AND(LEFT(P5274,5)="3-Way", OR(Enginuity!$B$13=3, Enginuity!$B$13=6)),
      AND(P5274="Inner Centre Jamb", OR(Enginuity!$B$13=4, Enginuity!$B$13=6)),
      AND(
        LEFT(P5274,5)&lt;&gt;"1-Way",
        LEFT(P5274,5)&lt;&gt;"2-Way",
        LEFT(P5274,5)&lt;&gt;"3-Way",
        P5274&lt;&gt;"Inner Centre Jamb"
      )
    ),
    IF(OR(Enginuity!$A$1="Frameless Glass",Enginuity!$A$1="Metal Work"),
      AND(TRIM(B5274)=TRIM(Enginuity!$A$17),TRIM(C5274)=TRIM(Enginuity!$A$18)),
      TRIM(B5274)=TRIM(Enginuity!$A$17)
    )
  ),
  ROW(),
  ""
)</f>
        <v/>
      </c>
    </row>
    <row r="5275" spans="21:21" x14ac:dyDescent="0.25">
      <c r="U5275" s="104" t="str">
        <f>IF(
  AND(
    TRIM(A5275)=TRIM(Enginuity!$A$1),
    TRIM(B5275)=TRIM(Enginuity!$A$17),
    Q5275&lt;&gt;"",
    Q5275&lt;&gt;0,
    OR(
      TRIM(C5275)=TRIM(Enginuity!$A$18),
      AND(UPPER(TRIM(M5275))="STD", TRIM(B5275)=TRIM(Enginuity!$A$17))
    ),
    OR(
      AND(LEFT(P5275,5)="1-Way", Enginuity!$B$13=1),
      AND(LEFT(P5275,5)="2-Way", OR(Enginuity!$B$13=2, Enginuity!$B$13=4)),
      AND(LEFT(P5275,5)="3-Way", OR(Enginuity!$B$13=3, Enginuity!$B$13=6)),
      AND(P5275="Inner Centre Jamb", OR(Enginuity!$B$13=4, Enginuity!$B$13=6)),
      AND(
        LEFT(P5275,5)&lt;&gt;"1-Way",
        LEFT(P5275,5)&lt;&gt;"2-Way",
        LEFT(P5275,5)&lt;&gt;"3-Way",
        P5275&lt;&gt;"Inner Centre Jamb"
      )
    ),
    IF(OR(Enginuity!$A$1="Frameless Glass",Enginuity!$A$1="Metal Work"),
      AND(TRIM(B5275)=TRIM(Enginuity!$A$17),TRIM(C5275)=TRIM(Enginuity!$A$18)),
      TRIM(B5275)=TRIM(Enginuity!$A$17)
    )
  ),
  ROW(),
  ""
)</f>
        <v/>
      </c>
    </row>
    <row r="5276" spans="21:21" x14ac:dyDescent="0.25">
      <c r="U5276" s="104" t="str">
        <f>IF(
  AND(
    TRIM(A5276)=TRIM(Enginuity!$A$1),
    TRIM(B5276)=TRIM(Enginuity!$A$17),
    Q5276&lt;&gt;"",
    Q5276&lt;&gt;0,
    OR(
      TRIM(C5276)=TRIM(Enginuity!$A$18),
      AND(UPPER(TRIM(M5276))="STD", TRIM(B5276)=TRIM(Enginuity!$A$17))
    ),
    OR(
      AND(LEFT(P5276,5)="1-Way", Enginuity!$B$13=1),
      AND(LEFT(P5276,5)="2-Way", OR(Enginuity!$B$13=2, Enginuity!$B$13=4)),
      AND(LEFT(P5276,5)="3-Way", OR(Enginuity!$B$13=3, Enginuity!$B$13=6)),
      AND(P5276="Inner Centre Jamb", OR(Enginuity!$B$13=4, Enginuity!$B$13=6)),
      AND(
        LEFT(P5276,5)&lt;&gt;"1-Way",
        LEFT(P5276,5)&lt;&gt;"2-Way",
        LEFT(P5276,5)&lt;&gt;"3-Way",
        P5276&lt;&gt;"Inner Centre Jamb"
      )
    ),
    IF(OR(Enginuity!$A$1="Frameless Glass",Enginuity!$A$1="Metal Work"),
      AND(TRIM(B5276)=TRIM(Enginuity!$A$17),TRIM(C5276)=TRIM(Enginuity!$A$18)),
      TRIM(B5276)=TRIM(Enginuity!$A$17)
    )
  ),
  ROW(),
  ""
)</f>
        <v/>
      </c>
    </row>
    <row r="5277" spans="21:21" x14ac:dyDescent="0.25">
      <c r="U5277" s="104" t="str">
        <f>IF(
  AND(
    TRIM(A5277)=TRIM(Enginuity!$A$1),
    TRIM(B5277)=TRIM(Enginuity!$A$17),
    Q5277&lt;&gt;"",
    Q5277&lt;&gt;0,
    OR(
      TRIM(C5277)=TRIM(Enginuity!$A$18),
      AND(UPPER(TRIM(M5277))="STD", TRIM(B5277)=TRIM(Enginuity!$A$17))
    ),
    OR(
      AND(LEFT(P5277,5)="1-Way", Enginuity!$B$13=1),
      AND(LEFT(P5277,5)="2-Way", OR(Enginuity!$B$13=2, Enginuity!$B$13=4)),
      AND(LEFT(P5277,5)="3-Way", OR(Enginuity!$B$13=3, Enginuity!$B$13=6)),
      AND(P5277="Inner Centre Jamb", OR(Enginuity!$B$13=4, Enginuity!$B$13=6)),
      AND(
        LEFT(P5277,5)&lt;&gt;"1-Way",
        LEFT(P5277,5)&lt;&gt;"2-Way",
        LEFT(P5277,5)&lt;&gt;"3-Way",
        P5277&lt;&gt;"Inner Centre Jamb"
      )
    ),
    IF(OR(Enginuity!$A$1="Frameless Glass",Enginuity!$A$1="Metal Work"),
      AND(TRIM(B5277)=TRIM(Enginuity!$A$17),TRIM(C5277)=TRIM(Enginuity!$A$18)),
      TRIM(B5277)=TRIM(Enginuity!$A$17)
    )
  ),
  ROW(),
  ""
)</f>
        <v/>
      </c>
    </row>
    <row r="5278" spans="21:21" x14ac:dyDescent="0.25">
      <c r="U5278" s="104" t="str">
        <f>IF(
  AND(
    TRIM(A5278)=TRIM(Enginuity!$A$1),
    TRIM(B5278)=TRIM(Enginuity!$A$17),
    Q5278&lt;&gt;"",
    Q5278&lt;&gt;0,
    OR(
      TRIM(C5278)=TRIM(Enginuity!$A$18),
      AND(UPPER(TRIM(M5278))="STD", TRIM(B5278)=TRIM(Enginuity!$A$17))
    ),
    OR(
      AND(LEFT(P5278,5)="1-Way", Enginuity!$B$13=1),
      AND(LEFT(P5278,5)="2-Way", OR(Enginuity!$B$13=2, Enginuity!$B$13=4)),
      AND(LEFT(P5278,5)="3-Way", OR(Enginuity!$B$13=3, Enginuity!$B$13=6)),
      AND(P5278="Inner Centre Jamb", OR(Enginuity!$B$13=4, Enginuity!$B$13=6)),
      AND(
        LEFT(P5278,5)&lt;&gt;"1-Way",
        LEFT(P5278,5)&lt;&gt;"2-Way",
        LEFT(P5278,5)&lt;&gt;"3-Way",
        P5278&lt;&gt;"Inner Centre Jamb"
      )
    ),
    IF(OR(Enginuity!$A$1="Frameless Glass",Enginuity!$A$1="Metal Work"),
      AND(TRIM(B5278)=TRIM(Enginuity!$A$17),TRIM(C5278)=TRIM(Enginuity!$A$18)),
      TRIM(B5278)=TRIM(Enginuity!$A$17)
    )
  ),
  ROW(),
  ""
)</f>
        <v/>
      </c>
    </row>
    <row r="5279" spans="21:21" x14ac:dyDescent="0.25">
      <c r="U5279" s="104" t="str">
        <f>IF(
  AND(
    TRIM(A5279)=TRIM(Enginuity!$A$1),
    TRIM(B5279)=TRIM(Enginuity!$A$17),
    Q5279&lt;&gt;"",
    Q5279&lt;&gt;0,
    OR(
      TRIM(C5279)=TRIM(Enginuity!$A$18),
      AND(UPPER(TRIM(M5279))="STD", TRIM(B5279)=TRIM(Enginuity!$A$17))
    ),
    OR(
      AND(LEFT(P5279,5)="1-Way", Enginuity!$B$13=1),
      AND(LEFT(P5279,5)="2-Way", OR(Enginuity!$B$13=2, Enginuity!$B$13=4)),
      AND(LEFT(P5279,5)="3-Way", OR(Enginuity!$B$13=3, Enginuity!$B$13=6)),
      AND(P5279="Inner Centre Jamb", OR(Enginuity!$B$13=4, Enginuity!$B$13=6)),
      AND(
        LEFT(P5279,5)&lt;&gt;"1-Way",
        LEFT(P5279,5)&lt;&gt;"2-Way",
        LEFT(P5279,5)&lt;&gt;"3-Way",
        P5279&lt;&gt;"Inner Centre Jamb"
      )
    ),
    IF(OR(Enginuity!$A$1="Frameless Glass",Enginuity!$A$1="Metal Work"),
      AND(TRIM(B5279)=TRIM(Enginuity!$A$17),TRIM(C5279)=TRIM(Enginuity!$A$18)),
      TRIM(B5279)=TRIM(Enginuity!$A$17)
    )
  ),
  ROW(),
  ""
)</f>
        <v/>
      </c>
    </row>
    <row r="5280" spans="21:21" x14ac:dyDescent="0.25">
      <c r="U5280" s="104" t="str">
        <f>IF(
  AND(
    TRIM(A5280)=TRIM(Enginuity!$A$1),
    TRIM(B5280)=TRIM(Enginuity!$A$17),
    Q5280&lt;&gt;"",
    Q5280&lt;&gt;0,
    OR(
      TRIM(C5280)=TRIM(Enginuity!$A$18),
      AND(UPPER(TRIM(M5280))="STD", TRIM(B5280)=TRIM(Enginuity!$A$17))
    ),
    OR(
      AND(LEFT(P5280,5)="1-Way", Enginuity!$B$13=1),
      AND(LEFT(P5280,5)="2-Way", OR(Enginuity!$B$13=2, Enginuity!$B$13=4)),
      AND(LEFT(P5280,5)="3-Way", OR(Enginuity!$B$13=3, Enginuity!$B$13=6)),
      AND(P5280="Inner Centre Jamb", OR(Enginuity!$B$13=4, Enginuity!$B$13=6)),
      AND(
        LEFT(P5280,5)&lt;&gt;"1-Way",
        LEFT(P5280,5)&lt;&gt;"2-Way",
        LEFT(P5280,5)&lt;&gt;"3-Way",
        P5280&lt;&gt;"Inner Centre Jamb"
      )
    ),
    IF(OR(Enginuity!$A$1="Frameless Glass",Enginuity!$A$1="Metal Work"),
      AND(TRIM(B5280)=TRIM(Enginuity!$A$17),TRIM(C5280)=TRIM(Enginuity!$A$18)),
      TRIM(B5280)=TRIM(Enginuity!$A$17)
    )
  ),
  ROW(),
  ""
)</f>
        <v/>
      </c>
    </row>
    <row r="5281" spans="21:21" x14ac:dyDescent="0.25">
      <c r="U5281" s="104" t="str">
        <f>IF(
  AND(
    TRIM(A5281)=TRIM(Enginuity!$A$1),
    TRIM(B5281)=TRIM(Enginuity!$A$17),
    Q5281&lt;&gt;"",
    Q5281&lt;&gt;0,
    OR(
      TRIM(C5281)=TRIM(Enginuity!$A$18),
      AND(UPPER(TRIM(M5281))="STD", TRIM(B5281)=TRIM(Enginuity!$A$17))
    ),
    OR(
      AND(LEFT(P5281,5)="1-Way", Enginuity!$B$13=1),
      AND(LEFT(P5281,5)="2-Way", OR(Enginuity!$B$13=2, Enginuity!$B$13=4)),
      AND(LEFT(P5281,5)="3-Way", OR(Enginuity!$B$13=3, Enginuity!$B$13=6)),
      AND(P5281="Inner Centre Jamb", OR(Enginuity!$B$13=4, Enginuity!$B$13=6)),
      AND(
        LEFT(P5281,5)&lt;&gt;"1-Way",
        LEFT(P5281,5)&lt;&gt;"2-Way",
        LEFT(P5281,5)&lt;&gt;"3-Way",
        P5281&lt;&gt;"Inner Centre Jamb"
      )
    ),
    IF(OR(Enginuity!$A$1="Frameless Glass",Enginuity!$A$1="Metal Work"),
      AND(TRIM(B5281)=TRIM(Enginuity!$A$17),TRIM(C5281)=TRIM(Enginuity!$A$18)),
      TRIM(B5281)=TRIM(Enginuity!$A$17)
    )
  ),
  ROW(),
  ""
)</f>
        <v/>
      </c>
    </row>
    <row r="5282" spans="21:21" x14ac:dyDescent="0.25">
      <c r="U5282" s="104" t="str">
        <f>IF(
  AND(
    TRIM(A5282)=TRIM(Enginuity!$A$1),
    TRIM(B5282)=TRIM(Enginuity!$A$17),
    Q5282&lt;&gt;"",
    Q5282&lt;&gt;0,
    OR(
      TRIM(C5282)=TRIM(Enginuity!$A$18),
      AND(UPPER(TRIM(M5282))="STD", TRIM(B5282)=TRIM(Enginuity!$A$17))
    ),
    OR(
      AND(LEFT(P5282,5)="1-Way", Enginuity!$B$13=1),
      AND(LEFT(P5282,5)="2-Way", OR(Enginuity!$B$13=2, Enginuity!$B$13=4)),
      AND(LEFT(P5282,5)="3-Way", OR(Enginuity!$B$13=3, Enginuity!$B$13=6)),
      AND(P5282="Inner Centre Jamb", OR(Enginuity!$B$13=4, Enginuity!$B$13=6)),
      AND(
        LEFT(P5282,5)&lt;&gt;"1-Way",
        LEFT(P5282,5)&lt;&gt;"2-Way",
        LEFT(P5282,5)&lt;&gt;"3-Way",
        P5282&lt;&gt;"Inner Centre Jamb"
      )
    ),
    IF(OR(Enginuity!$A$1="Frameless Glass",Enginuity!$A$1="Metal Work"),
      AND(TRIM(B5282)=TRIM(Enginuity!$A$17),TRIM(C5282)=TRIM(Enginuity!$A$18)),
      TRIM(B5282)=TRIM(Enginuity!$A$17)
    )
  ),
  ROW(),
  ""
)</f>
        <v/>
      </c>
    </row>
    <row r="5283" spans="21:21" x14ac:dyDescent="0.25">
      <c r="U5283" s="104" t="str">
        <f>IF(
  AND(
    TRIM(A5283)=TRIM(Enginuity!$A$1),
    TRIM(B5283)=TRIM(Enginuity!$A$17),
    Q5283&lt;&gt;"",
    Q5283&lt;&gt;0,
    OR(
      TRIM(C5283)=TRIM(Enginuity!$A$18),
      AND(UPPER(TRIM(M5283))="STD", TRIM(B5283)=TRIM(Enginuity!$A$17))
    ),
    OR(
      AND(LEFT(P5283,5)="1-Way", Enginuity!$B$13=1),
      AND(LEFT(P5283,5)="2-Way", OR(Enginuity!$B$13=2, Enginuity!$B$13=4)),
      AND(LEFT(P5283,5)="3-Way", OR(Enginuity!$B$13=3, Enginuity!$B$13=6)),
      AND(P5283="Inner Centre Jamb", OR(Enginuity!$B$13=4, Enginuity!$B$13=6)),
      AND(
        LEFT(P5283,5)&lt;&gt;"1-Way",
        LEFT(P5283,5)&lt;&gt;"2-Way",
        LEFT(P5283,5)&lt;&gt;"3-Way",
        P5283&lt;&gt;"Inner Centre Jamb"
      )
    ),
    IF(OR(Enginuity!$A$1="Frameless Glass",Enginuity!$A$1="Metal Work"),
      AND(TRIM(B5283)=TRIM(Enginuity!$A$17),TRIM(C5283)=TRIM(Enginuity!$A$18)),
      TRIM(B5283)=TRIM(Enginuity!$A$17)
    )
  ),
  ROW(),
  ""
)</f>
        <v/>
      </c>
    </row>
    <row r="5284" spans="21:21" x14ac:dyDescent="0.25">
      <c r="U5284" s="104" t="str">
        <f>IF(
  AND(
    TRIM(A5284)=TRIM(Enginuity!$A$1),
    TRIM(B5284)=TRIM(Enginuity!$A$17),
    Q5284&lt;&gt;"",
    Q5284&lt;&gt;0,
    OR(
      TRIM(C5284)=TRIM(Enginuity!$A$18),
      AND(UPPER(TRIM(M5284))="STD", TRIM(B5284)=TRIM(Enginuity!$A$17))
    ),
    OR(
      AND(LEFT(P5284,5)="1-Way", Enginuity!$B$13=1),
      AND(LEFT(P5284,5)="2-Way", OR(Enginuity!$B$13=2, Enginuity!$B$13=4)),
      AND(LEFT(P5284,5)="3-Way", OR(Enginuity!$B$13=3, Enginuity!$B$13=6)),
      AND(P5284="Inner Centre Jamb", OR(Enginuity!$B$13=4, Enginuity!$B$13=6)),
      AND(
        LEFT(P5284,5)&lt;&gt;"1-Way",
        LEFT(P5284,5)&lt;&gt;"2-Way",
        LEFT(P5284,5)&lt;&gt;"3-Way",
        P5284&lt;&gt;"Inner Centre Jamb"
      )
    ),
    IF(OR(Enginuity!$A$1="Frameless Glass",Enginuity!$A$1="Metal Work"),
      AND(TRIM(B5284)=TRIM(Enginuity!$A$17),TRIM(C5284)=TRIM(Enginuity!$A$18)),
      TRIM(B5284)=TRIM(Enginuity!$A$17)
    )
  ),
  ROW(),
  ""
)</f>
        <v/>
      </c>
    </row>
    <row r="5285" spans="21:21" x14ac:dyDescent="0.25">
      <c r="U5285" s="104" t="str">
        <f>IF(
  AND(
    TRIM(A5285)=TRIM(Enginuity!$A$1),
    TRIM(B5285)=TRIM(Enginuity!$A$17),
    Q5285&lt;&gt;"",
    Q5285&lt;&gt;0,
    OR(
      TRIM(C5285)=TRIM(Enginuity!$A$18),
      AND(UPPER(TRIM(M5285))="STD", TRIM(B5285)=TRIM(Enginuity!$A$17))
    ),
    OR(
      AND(LEFT(P5285,5)="1-Way", Enginuity!$B$13=1),
      AND(LEFT(P5285,5)="2-Way", OR(Enginuity!$B$13=2, Enginuity!$B$13=4)),
      AND(LEFT(P5285,5)="3-Way", OR(Enginuity!$B$13=3, Enginuity!$B$13=6)),
      AND(P5285="Inner Centre Jamb", OR(Enginuity!$B$13=4, Enginuity!$B$13=6)),
      AND(
        LEFT(P5285,5)&lt;&gt;"1-Way",
        LEFT(P5285,5)&lt;&gt;"2-Way",
        LEFT(P5285,5)&lt;&gt;"3-Way",
        P5285&lt;&gt;"Inner Centre Jamb"
      )
    ),
    IF(OR(Enginuity!$A$1="Frameless Glass",Enginuity!$A$1="Metal Work"),
      AND(TRIM(B5285)=TRIM(Enginuity!$A$17),TRIM(C5285)=TRIM(Enginuity!$A$18)),
      TRIM(B5285)=TRIM(Enginuity!$A$17)
    )
  ),
  ROW(),
  ""
)</f>
        <v/>
      </c>
    </row>
    <row r="5286" spans="21:21" x14ac:dyDescent="0.25">
      <c r="U5286" s="104" t="str">
        <f>IF(
  AND(
    TRIM(A5286)=TRIM(Enginuity!$A$1),
    TRIM(B5286)=TRIM(Enginuity!$A$17),
    Q5286&lt;&gt;"",
    Q5286&lt;&gt;0,
    OR(
      TRIM(C5286)=TRIM(Enginuity!$A$18),
      AND(UPPER(TRIM(M5286))="STD", TRIM(B5286)=TRIM(Enginuity!$A$17))
    ),
    OR(
      AND(LEFT(P5286,5)="1-Way", Enginuity!$B$13=1),
      AND(LEFT(P5286,5)="2-Way", OR(Enginuity!$B$13=2, Enginuity!$B$13=4)),
      AND(LEFT(P5286,5)="3-Way", OR(Enginuity!$B$13=3, Enginuity!$B$13=6)),
      AND(P5286="Inner Centre Jamb", OR(Enginuity!$B$13=4, Enginuity!$B$13=6)),
      AND(
        LEFT(P5286,5)&lt;&gt;"1-Way",
        LEFT(P5286,5)&lt;&gt;"2-Way",
        LEFT(P5286,5)&lt;&gt;"3-Way",
        P5286&lt;&gt;"Inner Centre Jamb"
      )
    ),
    IF(OR(Enginuity!$A$1="Frameless Glass",Enginuity!$A$1="Metal Work"),
      AND(TRIM(B5286)=TRIM(Enginuity!$A$17),TRIM(C5286)=TRIM(Enginuity!$A$18)),
      TRIM(B5286)=TRIM(Enginuity!$A$17)
    )
  ),
  ROW(),
  ""
)</f>
        <v/>
      </c>
    </row>
    <row r="5287" spans="21:21" x14ac:dyDescent="0.25">
      <c r="U5287" s="104" t="str">
        <f>IF(
  AND(
    TRIM(A5287)=TRIM(Enginuity!$A$1),
    TRIM(B5287)=TRIM(Enginuity!$A$17),
    Q5287&lt;&gt;"",
    Q5287&lt;&gt;0,
    OR(
      TRIM(C5287)=TRIM(Enginuity!$A$18),
      AND(UPPER(TRIM(M5287))="STD", TRIM(B5287)=TRIM(Enginuity!$A$17))
    ),
    OR(
      AND(LEFT(P5287,5)="1-Way", Enginuity!$B$13=1),
      AND(LEFT(P5287,5)="2-Way", OR(Enginuity!$B$13=2, Enginuity!$B$13=4)),
      AND(LEFT(P5287,5)="3-Way", OR(Enginuity!$B$13=3, Enginuity!$B$13=6)),
      AND(P5287="Inner Centre Jamb", OR(Enginuity!$B$13=4, Enginuity!$B$13=6)),
      AND(
        LEFT(P5287,5)&lt;&gt;"1-Way",
        LEFT(P5287,5)&lt;&gt;"2-Way",
        LEFT(P5287,5)&lt;&gt;"3-Way",
        P5287&lt;&gt;"Inner Centre Jamb"
      )
    ),
    IF(OR(Enginuity!$A$1="Frameless Glass",Enginuity!$A$1="Metal Work"),
      AND(TRIM(B5287)=TRIM(Enginuity!$A$17),TRIM(C5287)=TRIM(Enginuity!$A$18)),
      TRIM(B5287)=TRIM(Enginuity!$A$17)
    )
  ),
  ROW(),
  ""
)</f>
        <v/>
      </c>
    </row>
    <row r="5288" spans="21:21" x14ac:dyDescent="0.25">
      <c r="U5288" s="104" t="str">
        <f>IF(
  AND(
    TRIM(A5288)=TRIM(Enginuity!$A$1),
    TRIM(B5288)=TRIM(Enginuity!$A$17),
    Q5288&lt;&gt;"",
    Q5288&lt;&gt;0,
    OR(
      TRIM(C5288)=TRIM(Enginuity!$A$18),
      AND(UPPER(TRIM(M5288))="STD", TRIM(B5288)=TRIM(Enginuity!$A$17))
    ),
    OR(
      AND(LEFT(P5288,5)="1-Way", Enginuity!$B$13=1),
      AND(LEFT(P5288,5)="2-Way", OR(Enginuity!$B$13=2, Enginuity!$B$13=4)),
      AND(LEFT(P5288,5)="3-Way", OR(Enginuity!$B$13=3, Enginuity!$B$13=6)),
      AND(P5288="Inner Centre Jamb", OR(Enginuity!$B$13=4, Enginuity!$B$13=6)),
      AND(
        LEFT(P5288,5)&lt;&gt;"1-Way",
        LEFT(P5288,5)&lt;&gt;"2-Way",
        LEFT(P5288,5)&lt;&gt;"3-Way",
        P5288&lt;&gt;"Inner Centre Jamb"
      )
    ),
    IF(OR(Enginuity!$A$1="Frameless Glass",Enginuity!$A$1="Metal Work"),
      AND(TRIM(B5288)=TRIM(Enginuity!$A$17),TRIM(C5288)=TRIM(Enginuity!$A$18)),
      TRIM(B5288)=TRIM(Enginuity!$A$17)
    )
  ),
  ROW(),
  ""
)</f>
        <v/>
      </c>
    </row>
    <row r="5289" spans="21:21" x14ac:dyDescent="0.25">
      <c r="U5289" s="104" t="str">
        <f>IF(
  AND(
    TRIM(A5289)=TRIM(Enginuity!$A$1),
    TRIM(B5289)=TRIM(Enginuity!$A$17),
    Q5289&lt;&gt;"",
    Q5289&lt;&gt;0,
    OR(
      TRIM(C5289)=TRIM(Enginuity!$A$18),
      AND(UPPER(TRIM(M5289))="STD", TRIM(B5289)=TRIM(Enginuity!$A$17))
    ),
    OR(
      AND(LEFT(P5289,5)="1-Way", Enginuity!$B$13=1),
      AND(LEFT(P5289,5)="2-Way", OR(Enginuity!$B$13=2, Enginuity!$B$13=4)),
      AND(LEFT(P5289,5)="3-Way", OR(Enginuity!$B$13=3, Enginuity!$B$13=6)),
      AND(P5289="Inner Centre Jamb", OR(Enginuity!$B$13=4, Enginuity!$B$13=6)),
      AND(
        LEFT(P5289,5)&lt;&gt;"1-Way",
        LEFT(P5289,5)&lt;&gt;"2-Way",
        LEFT(P5289,5)&lt;&gt;"3-Way",
        P5289&lt;&gt;"Inner Centre Jamb"
      )
    ),
    IF(OR(Enginuity!$A$1="Frameless Glass",Enginuity!$A$1="Metal Work"),
      AND(TRIM(B5289)=TRIM(Enginuity!$A$17),TRIM(C5289)=TRIM(Enginuity!$A$18)),
      TRIM(B5289)=TRIM(Enginuity!$A$17)
    )
  ),
  ROW(),
  ""
)</f>
        <v/>
      </c>
    </row>
    <row r="5290" spans="21:21" x14ac:dyDescent="0.25">
      <c r="U5290" s="104" t="str">
        <f>IF(
  AND(
    TRIM(A5290)=TRIM(Enginuity!$A$1),
    TRIM(B5290)=TRIM(Enginuity!$A$17),
    Q5290&lt;&gt;"",
    Q5290&lt;&gt;0,
    OR(
      TRIM(C5290)=TRIM(Enginuity!$A$18),
      AND(UPPER(TRIM(M5290))="STD", TRIM(B5290)=TRIM(Enginuity!$A$17))
    ),
    OR(
      AND(LEFT(P5290,5)="1-Way", Enginuity!$B$13=1),
      AND(LEFT(P5290,5)="2-Way", OR(Enginuity!$B$13=2, Enginuity!$B$13=4)),
      AND(LEFT(P5290,5)="3-Way", OR(Enginuity!$B$13=3, Enginuity!$B$13=6)),
      AND(P5290="Inner Centre Jamb", OR(Enginuity!$B$13=4, Enginuity!$B$13=6)),
      AND(
        LEFT(P5290,5)&lt;&gt;"1-Way",
        LEFT(P5290,5)&lt;&gt;"2-Way",
        LEFT(P5290,5)&lt;&gt;"3-Way",
        P5290&lt;&gt;"Inner Centre Jamb"
      )
    ),
    IF(OR(Enginuity!$A$1="Frameless Glass",Enginuity!$A$1="Metal Work"),
      AND(TRIM(B5290)=TRIM(Enginuity!$A$17),TRIM(C5290)=TRIM(Enginuity!$A$18)),
      TRIM(B5290)=TRIM(Enginuity!$A$17)
    )
  ),
  ROW(),
  ""
)</f>
        <v/>
      </c>
    </row>
    <row r="5291" spans="21:21" x14ac:dyDescent="0.25">
      <c r="U5291" s="104" t="str">
        <f>IF(
  AND(
    TRIM(A5291)=TRIM(Enginuity!$A$1),
    TRIM(B5291)=TRIM(Enginuity!$A$17),
    Q5291&lt;&gt;"",
    Q5291&lt;&gt;0,
    OR(
      TRIM(C5291)=TRIM(Enginuity!$A$18),
      AND(UPPER(TRIM(M5291))="STD", TRIM(B5291)=TRIM(Enginuity!$A$17))
    ),
    OR(
      AND(LEFT(P5291,5)="1-Way", Enginuity!$B$13=1),
      AND(LEFT(P5291,5)="2-Way", OR(Enginuity!$B$13=2, Enginuity!$B$13=4)),
      AND(LEFT(P5291,5)="3-Way", OR(Enginuity!$B$13=3, Enginuity!$B$13=6)),
      AND(P5291="Inner Centre Jamb", OR(Enginuity!$B$13=4, Enginuity!$B$13=6)),
      AND(
        LEFT(P5291,5)&lt;&gt;"1-Way",
        LEFT(P5291,5)&lt;&gt;"2-Way",
        LEFT(P5291,5)&lt;&gt;"3-Way",
        P5291&lt;&gt;"Inner Centre Jamb"
      )
    ),
    IF(OR(Enginuity!$A$1="Frameless Glass",Enginuity!$A$1="Metal Work"),
      AND(TRIM(B5291)=TRIM(Enginuity!$A$17),TRIM(C5291)=TRIM(Enginuity!$A$18)),
      TRIM(B5291)=TRIM(Enginuity!$A$17)
    )
  ),
  ROW(),
  ""
)</f>
        <v/>
      </c>
    </row>
    <row r="5292" spans="21:21" x14ac:dyDescent="0.25">
      <c r="U5292" s="104" t="str">
        <f>IF(
  AND(
    TRIM(A5292)=TRIM(Enginuity!$A$1),
    TRIM(B5292)=TRIM(Enginuity!$A$17),
    Q5292&lt;&gt;"",
    Q5292&lt;&gt;0,
    OR(
      TRIM(C5292)=TRIM(Enginuity!$A$18),
      AND(UPPER(TRIM(M5292))="STD", TRIM(B5292)=TRIM(Enginuity!$A$17))
    ),
    OR(
      AND(LEFT(P5292,5)="1-Way", Enginuity!$B$13=1),
      AND(LEFT(P5292,5)="2-Way", OR(Enginuity!$B$13=2, Enginuity!$B$13=4)),
      AND(LEFT(P5292,5)="3-Way", OR(Enginuity!$B$13=3, Enginuity!$B$13=6)),
      AND(P5292="Inner Centre Jamb", OR(Enginuity!$B$13=4, Enginuity!$B$13=6)),
      AND(
        LEFT(P5292,5)&lt;&gt;"1-Way",
        LEFT(P5292,5)&lt;&gt;"2-Way",
        LEFT(P5292,5)&lt;&gt;"3-Way",
        P5292&lt;&gt;"Inner Centre Jamb"
      )
    ),
    IF(OR(Enginuity!$A$1="Frameless Glass",Enginuity!$A$1="Metal Work"),
      AND(TRIM(B5292)=TRIM(Enginuity!$A$17),TRIM(C5292)=TRIM(Enginuity!$A$18)),
      TRIM(B5292)=TRIM(Enginuity!$A$17)
    )
  ),
  ROW(),
  ""
)</f>
        <v/>
      </c>
    </row>
    <row r="5293" spans="21:21" x14ac:dyDescent="0.25">
      <c r="U5293" s="104" t="str">
        <f>IF(
  AND(
    TRIM(A5293)=TRIM(Enginuity!$A$1),
    TRIM(B5293)=TRIM(Enginuity!$A$17),
    Q5293&lt;&gt;"",
    Q5293&lt;&gt;0,
    OR(
      TRIM(C5293)=TRIM(Enginuity!$A$18),
      AND(UPPER(TRIM(M5293))="STD", TRIM(B5293)=TRIM(Enginuity!$A$17))
    ),
    OR(
      AND(LEFT(P5293,5)="1-Way", Enginuity!$B$13=1),
      AND(LEFT(P5293,5)="2-Way", OR(Enginuity!$B$13=2, Enginuity!$B$13=4)),
      AND(LEFT(P5293,5)="3-Way", OR(Enginuity!$B$13=3, Enginuity!$B$13=6)),
      AND(P5293="Inner Centre Jamb", OR(Enginuity!$B$13=4, Enginuity!$B$13=6)),
      AND(
        LEFT(P5293,5)&lt;&gt;"1-Way",
        LEFT(P5293,5)&lt;&gt;"2-Way",
        LEFT(P5293,5)&lt;&gt;"3-Way",
        P5293&lt;&gt;"Inner Centre Jamb"
      )
    ),
    IF(OR(Enginuity!$A$1="Frameless Glass",Enginuity!$A$1="Metal Work"),
      AND(TRIM(B5293)=TRIM(Enginuity!$A$17),TRIM(C5293)=TRIM(Enginuity!$A$18)),
      TRIM(B5293)=TRIM(Enginuity!$A$17)
    )
  ),
  ROW(),
  ""
)</f>
        <v/>
      </c>
    </row>
    <row r="5294" spans="21:21" x14ac:dyDescent="0.25">
      <c r="U5294" s="104" t="str">
        <f>IF(
  AND(
    TRIM(A5294)=TRIM(Enginuity!$A$1),
    TRIM(B5294)=TRIM(Enginuity!$A$17),
    Q5294&lt;&gt;"",
    Q5294&lt;&gt;0,
    OR(
      TRIM(C5294)=TRIM(Enginuity!$A$18),
      AND(UPPER(TRIM(M5294))="STD", TRIM(B5294)=TRIM(Enginuity!$A$17))
    ),
    OR(
      AND(LEFT(P5294,5)="1-Way", Enginuity!$B$13=1),
      AND(LEFT(P5294,5)="2-Way", OR(Enginuity!$B$13=2, Enginuity!$B$13=4)),
      AND(LEFT(P5294,5)="3-Way", OR(Enginuity!$B$13=3, Enginuity!$B$13=6)),
      AND(P5294="Inner Centre Jamb", OR(Enginuity!$B$13=4, Enginuity!$B$13=6)),
      AND(
        LEFT(P5294,5)&lt;&gt;"1-Way",
        LEFT(P5294,5)&lt;&gt;"2-Way",
        LEFT(P5294,5)&lt;&gt;"3-Way",
        P5294&lt;&gt;"Inner Centre Jamb"
      )
    ),
    IF(OR(Enginuity!$A$1="Frameless Glass",Enginuity!$A$1="Metal Work"),
      AND(TRIM(B5294)=TRIM(Enginuity!$A$17),TRIM(C5294)=TRIM(Enginuity!$A$18)),
      TRIM(B5294)=TRIM(Enginuity!$A$17)
    )
  ),
  ROW(),
  ""
)</f>
        <v/>
      </c>
    </row>
    <row r="5295" spans="21:21" x14ac:dyDescent="0.25">
      <c r="U5295" s="104" t="str">
        <f>IF(
  AND(
    TRIM(A5295)=TRIM(Enginuity!$A$1),
    TRIM(B5295)=TRIM(Enginuity!$A$17),
    Q5295&lt;&gt;"",
    Q5295&lt;&gt;0,
    OR(
      TRIM(C5295)=TRIM(Enginuity!$A$18),
      AND(UPPER(TRIM(M5295))="STD", TRIM(B5295)=TRIM(Enginuity!$A$17))
    ),
    OR(
      AND(LEFT(P5295,5)="1-Way", Enginuity!$B$13=1),
      AND(LEFT(P5295,5)="2-Way", OR(Enginuity!$B$13=2, Enginuity!$B$13=4)),
      AND(LEFT(P5295,5)="3-Way", OR(Enginuity!$B$13=3, Enginuity!$B$13=6)),
      AND(P5295="Inner Centre Jamb", OR(Enginuity!$B$13=4, Enginuity!$B$13=6)),
      AND(
        LEFT(P5295,5)&lt;&gt;"1-Way",
        LEFT(P5295,5)&lt;&gt;"2-Way",
        LEFT(P5295,5)&lt;&gt;"3-Way",
        P5295&lt;&gt;"Inner Centre Jamb"
      )
    ),
    IF(OR(Enginuity!$A$1="Frameless Glass",Enginuity!$A$1="Metal Work"),
      AND(TRIM(B5295)=TRIM(Enginuity!$A$17),TRIM(C5295)=TRIM(Enginuity!$A$18)),
      TRIM(B5295)=TRIM(Enginuity!$A$17)
    )
  ),
  ROW(),
  ""
)</f>
        <v/>
      </c>
    </row>
    <row r="5296" spans="21:21" x14ac:dyDescent="0.25">
      <c r="U5296" s="104" t="str">
        <f>IF(
  AND(
    TRIM(A5296)=TRIM(Enginuity!$A$1),
    TRIM(B5296)=TRIM(Enginuity!$A$17),
    Q5296&lt;&gt;"",
    Q5296&lt;&gt;0,
    OR(
      TRIM(C5296)=TRIM(Enginuity!$A$18),
      AND(UPPER(TRIM(M5296))="STD", TRIM(B5296)=TRIM(Enginuity!$A$17))
    ),
    OR(
      AND(LEFT(P5296,5)="1-Way", Enginuity!$B$13=1),
      AND(LEFT(P5296,5)="2-Way", OR(Enginuity!$B$13=2, Enginuity!$B$13=4)),
      AND(LEFT(P5296,5)="3-Way", OR(Enginuity!$B$13=3, Enginuity!$B$13=6)),
      AND(P5296="Inner Centre Jamb", OR(Enginuity!$B$13=4, Enginuity!$B$13=6)),
      AND(
        LEFT(P5296,5)&lt;&gt;"1-Way",
        LEFT(P5296,5)&lt;&gt;"2-Way",
        LEFT(P5296,5)&lt;&gt;"3-Way",
        P5296&lt;&gt;"Inner Centre Jamb"
      )
    ),
    IF(OR(Enginuity!$A$1="Frameless Glass",Enginuity!$A$1="Metal Work"),
      AND(TRIM(B5296)=TRIM(Enginuity!$A$17),TRIM(C5296)=TRIM(Enginuity!$A$18)),
      TRIM(B5296)=TRIM(Enginuity!$A$17)
    )
  ),
  ROW(),
  ""
)</f>
        <v/>
      </c>
    </row>
    <row r="5297" spans="21:21" x14ac:dyDescent="0.25">
      <c r="U5297" s="104" t="str">
        <f>IF(
  AND(
    TRIM(A5297)=TRIM(Enginuity!$A$1),
    TRIM(B5297)=TRIM(Enginuity!$A$17),
    Q5297&lt;&gt;"",
    Q5297&lt;&gt;0,
    OR(
      TRIM(C5297)=TRIM(Enginuity!$A$18),
      AND(UPPER(TRIM(M5297))="STD", TRIM(B5297)=TRIM(Enginuity!$A$17))
    ),
    OR(
      AND(LEFT(P5297,5)="1-Way", Enginuity!$B$13=1),
      AND(LEFT(P5297,5)="2-Way", OR(Enginuity!$B$13=2, Enginuity!$B$13=4)),
      AND(LEFT(P5297,5)="3-Way", OR(Enginuity!$B$13=3, Enginuity!$B$13=6)),
      AND(P5297="Inner Centre Jamb", OR(Enginuity!$B$13=4, Enginuity!$B$13=6)),
      AND(
        LEFT(P5297,5)&lt;&gt;"1-Way",
        LEFT(P5297,5)&lt;&gt;"2-Way",
        LEFT(P5297,5)&lt;&gt;"3-Way",
        P5297&lt;&gt;"Inner Centre Jamb"
      )
    ),
    IF(OR(Enginuity!$A$1="Frameless Glass",Enginuity!$A$1="Metal Work"),
      AND(TRIM(B5297)=TRIM(Enginuity!$A$17),TRIM(C5297)=TRIM(Enginuity!$A$18)),
      TRIM(B5297)=TRIM(Enginuity!$A$17)
    )
  ),
  ROW(),
  ""
)</f>
        <v/>
      </c>
    </row>
    <row r="5298" spans="21:21" x14ac:dyDescent="0.25">
      <c r="U5298" s="104" t="str">
        <f>IF(
  AND(
    TRIM(A5298)=TRIM(Enginuity!$A$1),
    TRIM(B5298)=TRIM(Enginuity!$A$17),
    Q5298&lt;&gt;"",
    Q5298&lt;&gt;0,
    OR(
      TRIM(C5298)=TRIM(Enginuity!$A$18),
      AND(UPPER(TRIM(M5298))="STD", TRIM(B5298)=TRIM(Enginuity!$A$17))
    ),
    OR(
      AND(LEFT(P5298,5)="1-Way", Enginuity!$B$13=1),
      AND(LEFT(P5298,5)="2-Way", OR(Enginuity!$B$13=2, Enginuity!$B$13=4)),
      AND(LEFT(P5298,5)="3-Way", OR(Enginuity!$B$13=3, Enginuity!$B$13=6)),
      AND(P5298="Inner Centre Jamb", OR(Enginuity!$B$13=4, Enginuity!$B$13=6)),
      AND(
        LEFT(P5298,5)&lt;&gt;"1-Way",
        LEFT(P5298,5)&lt;&gt;"2-Way",
        LEFT(P5298,5)&lt;&gt;"3-Way",
        P5298&lt;&gt;"Inner Centre Jamb"
      )
    ),
    IF(OR(Enginuity!$A$1="Frameless Glass",Enginuity!$A$1="Metal Work"),
      AND(TRIM(B5298)=TRIM(Enginuity!$A$17),TRIM(C5298)=TRIM(Enginuity!$A$18)),
      TRIM(B5298)=TRIM(Enginuity!$A$17)
    )
  ),
  ROW(),
  ""
)</f>
        <v/>
      </c>
    </row>
    <row r="5299" spans="21:21" x14ac:dyDescent="0.25">
      <c r="U5299" s="104" t="str">
        <f>IF(
  AND(
    TRIM(A5299)=TRIM(Enginuity!$A$1),
    TRIM(B5299)=TRIM(Enginuity!$A$17),
    Q5299&lt;&gt;"",
    Q5299&lt;&gt;0,
    OR(
      TRIM(C5299)=TRIM(Enginuity!$A$18),
      AND(UPPER(TRIM(M5299))="STD", TRIM(B5299)=TRIM(Enginuity!$A$17))
    ),
    OR(
      AND(LEFT(P5299,5)="1-Way", Enginuity!$B$13=1),
      AND(LEFT(P5299,5)="2-Way", OR(Enginuity!$B$13=2, Enginuity!$B$13=4)),
      AND(LEFT(P5299,5)="3-Way", OR(Enginuity!$B$13=3, Enginuity!$B$13=6)),
      AND(P5299="Inner Centre Jamb", OR(Enginuity!$B$13=4, Enginuity!$B$13=6)),
      AND(
        LEFT(P5299,5)&lt;&gt;"1-Way",
        LEFT(P5299,5)&lt;&gt;"2-Way",
        LEFT(P5299,5)&lt;&gt;"3-Way",
        P5299&lt;&gt;"Inner Centre Jamb"
      )
    ),
    IF(OR(Enginuity!$A$1="Frameless Glass",Enginuity!$A$1="Metal Work"),
      AND(TRIM(B5299)=TRIM(Enginuity!$A$17),TRIM(C5299)=TRIM(Enginuity!$A$18)),
      TRIM(B5299)=TRIM(Enginuity!$A$17)
    )
  ),
  ROW(),
  ""
)</f>
        <v/>
      </c>
    </row>
    <row r="5300" spans="21:21" x14ac:dyDescent="0.25">
      <c r="U5300" s="104" t="str">
        <f>IF(
  AND(
    TRIM(A5300)=TRIM(Enginuity!$A$1),
    TRIM(B5300)=TRIM(Enginuity!$A$17),
    Q5300&lt;&gt;"",
    Q5300&lt;&gt;0,
    OR(
      TRIM(C5300)=TRIM(Enginuity!$A$18),
      AND(UPPER(TRIM(M5300))="STD", TRIM(B5300)=TRIM(Enginuity!$A$17))
    ),
    OR(
      AND(LEFT(P5300,5)="1-Way", Enginuity!$B$13=1),
      AND(LEFT(P5300,5)="2-Way", OR(Enginuity!$B$13=2, Enginuity!$B$13=4)),
      AND(LEFT(P5300,5)="3-Way", OR(Enginuity!$B$13=3, Enginuity!$B$13=6)),
      AND(P5300="Inner Centre Jamb", OR(Enginuity!$B$13=4, Enginuity!$B$13=6)),
      AND(
        LEFT(P5300,5)&lt;&gt;"1-Way",
        LEFT(P5300,5)&lt;&gt;"2-Way",
        LEFT(P5300,5)&lt;&gt;"3-Way",
        P5300&lt;&gt;"Inner Centre Jamb"
      )
    ),
    IF(OR(Enginuity!$A$1="Frameless Glass",Enginuity!$A$1="Metal Work"),
      AND(TRIM(B5300)=TRIM(Enginuity!$A$17),TRIM(C5300)=TRIM(Enginuity!$A$18)),
      TRIM(B5300)=TRIM(Enginuity!$A$17)
    )
  ),
  ROW(),
  ""
)</f>
        <v/>
      </c>
    </row>
    <row r="5301" spans="21:21" x14ac:dyDescent="0.25">
      <c r="U5301" s="104" t="str">
        <f>IF(
  AND(
    TRIM(A5301)=TRIM(Enginuity!$A$1),
    TRIM(B5301)=TRIM(Enginuity!$A$17),
    Q5301&lt;&gt;"",
    Q5301&lt;&gt;0,
    OR(
      TRIM(C5301)=TRIM(Enginuity!$A$18),
      AND(UPPER(TRIM(M5301))="STD", TRIM(B5301)=TRIM(Enginuity!$A$17))
    ),
    OR(
      AND(LEFT(P5301,5)="1-Way", Enginuity!$B$13=1),
      AND(LEFT(P5301,5)="2-Way", OR(Enginuity!$B$13=2, Enginuity!$B$13=4)),
      AND(LEFT(P5301,5)="3-Way", OR(Enginuity!$B$13=3, Enginuity!$B$13=6)),
      AND(P5301="Inner Centre Jamb", OR(Enginuity!$B$13=4, Enginuity!$B$13=6)),
      AND(
        LEFT(P5301,5)&lt;&gt;"1-Way",
        LEFT(P5301,5)&lt;&gt;"2-Way",
        LEFT(P5301,5)&lt;&gt;"3-Way",
        P5301&lt;&gt;"Inner Centre Jamb"
      )
    ),
    IF(OR(Enginuity!$A$1="Frameless Glass",Enginuity!$A$1="Metal Work"),
      AND(TRIM(B5301)=TRIM(Enginuity!$A$17),TRIM(C5301)=TRIM(Enginuity!$A$18)),
      TRIM(B5301)=TRIM(Enginuity!$A$17)
    )
  ),
  ROW(),
  ""
)</f>
        <v/>
      </c>
    </row>
    <row r="5302" spans="21:21" x14ac:dyDescent="0.25">
      <c r="U5302" s="104" t="str">
        <f>IF(
  AND(
    TRIM(A5302)=TRIM(Enginuity!$A$1),
    TRIM(B5302)=TRIM(Enginuity!$A$17),
    Q5302&lt;&gt;"",
    Q5302&lt;&gt;0,
    OR(
      TRIM(C5302)=TRIM(Enginuity!$A$18),
      AND(UPPER(TRIM(M5302))="STD", TRIM(B5302)=TRIM(Enginuity!$A$17))
    ),
    OR(
      AND(LEFT(P5302,5)="1-Way", Enginuity!$B$13=1),
      AND(LEFT(P5302,5)="2-Way", OR(Enginuity!$B$13=2, Enginuity!$B$13=4)),
      AND(LEFT(P5302,5)="3-Way", OR(Enginuity!$B$13=3, Enginuity!$B$13=6)),
      AND(P5302="Inner Centre Jamb", OR(Enginuity!$B$13=4, Enginuity!$B$13=6)),
      AND(
        LEFT(P5302,5)&lt;&gt;"1-Way",
        LEFT(P5302,5)&lt;&gt;"2-Way",
        LEFT(P5302,5)&lt;&gt;"3-Way",
        P5302&lt;&gt;"Inner Centre Jamb"
      )
    ),
    IF(OR(Enginuity!$A$1="Frameless Glass",Enginuity!$A$1="Metal Work"),
      AND(TRIM(B5302)=TRIM(Enginuity!$A$17),TRIM(C5302)=TRIM(Enginuity!$A$18)),
      TRIM(B5302)=TRIM(Enginuity!$A$17)
    )
  ),
  ROW(),
  ""
)</f>
        <v/>
      </c>
    </row>
    <row r="5303" spans="21:21" x14ac:dyDescent="0.25">
      <c r="U5303" s="104" t="str">
        <f>IF(
  AND(
    TRIM(A5303)=TRIM(Enginuity!$A$1),
    TRIM(B5303)=TRIM(Enginuity!$A$17),
    Q5303&lt;&gt;"",
    Q5303&lt;&gt;0,
    OR(
      TRIM(C5303)=TRIM(Enginuity!$A$18),
      AND(UPPER(TRIM(M5303))="STD", TRIM(B5303)=TRIM(Enginuity!$A$17))
    ),
    OR(
      AND(LEFT(P5303,5)="1-Way", Enginuity!$B$13=1),
      AND(LEFT(P5303,5)="2-Way", OR(Enginuity!$B$13=2, Enginuity!$B$13=4)),
      AND(LEFT(P5303,5)="3-Way", OR(Enginuity!$B$13=3, Enginuity!$B$13=6)),
      AND(P5303="Inner Centre Jamb", OR(Enginuity!$B$13=4, Enginuity!$B$13=6)),
      AND(
        LEFT(P5303,5)&lt;&gt;"1-Way",
        LEFT(P5303,5)&lt;&gt;"2-Way",
        LEFT(P5303,5)&lt;&gt;"3-Way",
        P5303&lt;&gt;"Inner Centre Jamb"
      )
    ),
    IF(OR(Enginuity!$A$1="Frameless Glass",Enginuity!$A$1="Metal Work"),
      AND(TRIM(B5303)=TRIM(Enginuity!$A$17),TRIM(C5303)=TRIM(Enginuity!$A$18)),
      TRIM(B5303)=TRIM(Enginuity!$A$17)
    )
  ),
  ROW(),
  ""
)</f>
        <v/>
      </c>
    </row>
    <row r="5304" spans="21:21" x14ac:dyDescent="0.25">
      <c r="U5304" s="104" t="str">
        <f>IF(
  AND(
    TRIM(A5304)=TRIM(Enginuity!$A$1),
    TRIM(B5304)=TRIM(Enginuity!$A$17),
    Q5304&lt;&gt;"",
    Q5304&lt;&gt;0,
    OR(
      TRIM(C5304)=TRIM(Enginuity!$A$18),
      AND(UPPER(TRIM(M5304))="STD", TRIM(B5304)=TRIM(Enginuity!$A$17))
    ),
    OR(
      AND(LEFT(P5304,5)="1-Way", Enginuity!$B$13=1),
      AND(LEFT(P5304,5)="2-Way", OR(Enginuity!$B$13=2, Enginuity!$B$13=4)),
      AND(LEFT(P5304,5)="3-Way", OR(Enginuity!$B$13=3, Enginuity!$B$13=6)),
      AND(P5304="Inner Centre Jamb", OR(Enginuity!$B$13=4, Enginuity!$B$13=6)),
      AND(
        LEFT(P5304,5)&lt;&gt;"1-Way",
        LEFT(P5304,5)&lt;&gt;"2-Way",
        LEFT(P5304,5)&lt;&gt;"3-Way",
        P5304&lt;&gt;"Inner Centre Jamb"
      )
    ),
    IF(OR(Enginuity!$A$1="Frameless Glass",Enginuity!$A$1="Metal Work"),
      AND(TRIM(B5304)=TRIM(Enginuity!$A$17),TRIM(C5304)=TRIM(Enginuity!$A$18)),
      TRIM(B5304)=TRIM(Enginuity!$A$17)
    )
  ),
  ROW(),
  ""
)</f>
        <v/>
      </c>
    </row>
    <row r="5305" spans="21:21" x14ac:dyDescent="0.25">
      <c r="U5305" s="104" t="str">
        <f>IF(
  AND(
    TRIM(A5305)=TRIM(Enginuity!$A$1),
    TRIM(B5305)=TRIM(Enginuity!$A$17),
    Q5305&lt;&gt;"",
    Q5305&lt;&gt;0,
    OR(
      TRIM(C5305)=TRIM(Enginuity!$A$18),
      AND(UPPER(TRIM(M5305))="STD", TRIM(B5305)=TRIM(Enginuity!$A$17))
    ),
    OR(
      AND(LEFT(P5305,5)="1-Way", Enginuity!$B$13=1),
      AND(LEFT(P5305,5)="2-Way", OR(Enginuity!$B$13=2, Enginuity!$B$13=4)),
      AND(LEFT(P5305,5)="3-Way", OR(Enginuity!$B$13=3, Enginuity!$B$13=6)),
      AND(P5305="Inner Centre Jamb", OR(Enginuity!$B$13=4, Enginuity!$B$13=6)),
      AND(
        LEFT(P5305,5)&lt;&gt;"1-Way",
        LEFT(P5305,5)&lt;&gt;"2-Way",
        LEFT(P5305,5)&lt;&gt;"3-Way",
        P5305&lt;&gt;"Inner Centre Jamb"
      )
    ),
    IF(OR(Enginuity!$A$1="Frameless Glass",Enginuity!$A$1="Metal Work"),
      AND(TRIM(B5305)=TRIM(Enginuity!$A$17),TRIM(C5305)=TRIM(Enginuity!$A$18)),
      TRIM(B5305)=TRIM(Enginuity!$A$17)
    )
  ),
  ROW(),
  ""
)</f>
        <v/>
      </c>
    </row>
    <row r="5306" spans="21:21" x14ac:dyDescent="0.25">
      <c r="U5306" s="104" t="str">
        <f>IF(
  AND(
    TRIM(A5306)=TRIM(Enginuity!$A$1),
    TRIM(B5306)=TRIM(Enginuity!$A$17),
    Q5306&lt;&gt;"",
    Q5306&lt;&gt;0,
    OR(
      TRIM(C5306)=TRIM(Enginuity!$A$18),
      AND(UPPER(TRIM(M5306))="STD", TRIM(B5306)=TRIM(Enginuity!$A$17))
    ),
    OR(
      AND(LEFT(P5306,5)="1-Way", Enginuity!$B$13=1),
      AND(LEFT(P5306,5)="2-Way", OR(Enginuity!$B$13=2, Enginuity!$B$13=4)),
      AND(LEFT(P5306,5)="3-Way", OR(Enginuity!$B$13=3, Enginuity!$B$13=6)),
      AND(P5306="Inner Centre Jamb", OR(Enginuity!$B$13=4, Enginuity!$B$13=6)),
      AND(
        LEFT(P5306,5)&lt;&gt;"1-Way",
        LEFT(P5306,5)&lt;&gt;"2-Way",
        LEFT(P5306,5)&lt;&gt;"3-Way",
        P5306&lt;&gt;"Inner Centre Jamb"
      )
    ),
    IF(OR(Enginuity!$A$1="Frameless Glass",Enginuity!$A$1="Metal Work"),
      AND(TRIM(B5306)=TRIM(Enginuity!$A$17),TRIM(C5306)=TRIM(Enginuity!$A$18)),
      TRIM(B5306)=TRIM(Enginuity!$A$17)
    )
  ),
  ROW(),
  ""
)</f>
        <v/>
      </c>
    </row>
    <row r="5307" spans="21:21" x14ac:dyDescent="0.25">
      <c r="U5307" s="104" t="str">
        <f>IF(
  AND(
    TRIM(A5307)=TRIM(Enginuity!$A$1),
    TRIM(B5307)=TRIM(Enginuity!$A$17),
    Q5307&lt;&gt;"",
    Q5307&lt;&gt;0,
    OR(
      TRIM(C5307)=TRIM(Enginuity!$A$18),
      AND(UPPER(TRIM(M5307))="STD", TRIM(B5307)=TRIM(Enginuity!$A$17))
    ),
    OR(
      AND(LEFT(P5307,5)="1-Way", Enginuity!$B$13=1),
      AND(LEFT(P5307,5)="2-Way", OR(Enginuity!$B$13=2, Enginuity!$B$13=4)),
      AND(LEFT(P5307,5)="3-Way", OR(Enginuity!$B$13=3, Enginuity!$B$13=6)),
      AND(P5307="Inner Centre Jamb", OR(Enginuity!$B$13=4, Enginuity!$B$13=6)),
      AND(
        LEFT(P5307,5)&lt;&gt;"1-Way",
        LEFT(P5307,5)&lt;&gt;"2-Way",
        LEFT(P5307,5)&lt;&gt;"3-Way",
        P5307&lt;&gt;"Inner Centre Jamb"
      )
    ),
    IF(OR(Enginuity!$A$1="Frameless Glass",Enginuity!$A$1="Metal Work"),
      AND(TRIM(B5307)=TRIM(Enginuity!$A$17),TRIM(C5307)=TRIM(Enginuity!$A$18)),
      TRIM(B5307)=TRIM(Enginuity!$A$17)
    )
  ),
  ROW(),
  ""
)</f>
        <v/>
      </c>
    </row>
    <row r="5308" spans="21:21" x14ac:dyDescent="0.25">
      <c r="U5308" s="104" t="str">
        <f>IF(
  AND(
    TRIM(A5308)=TRIM(Enginuity!$A$1),
    TRIM(B5308)=TRIM(Enginuity!$A$17),
    Q5308&lt;&gt;"",
    Q5308&lt;&gt;0,
    OR(
      TRIM(C5308)=TRIM(Enginuity!$A$18),
      AND(UPPER(TRIM(M5308))="STD", TRIM(B5308)=TRIM(Enginuity!$A$17))
    ),
    OR(
      AND(LEFT(P5308,5)="1-Way", Enginuity!$B$13=1),
      AND(LEFT(P5308,5)="2-Way", OR(Enginuity!$B$13=2, Enginuity!$B$13=4)),
      AND(LEFT(P5308,5)="3-Way", OR(Enginuity!$B$13=3, Enginuity!$B$13=6)),
      AND(P5308="Inner Centre Jamb", OR(Enginuity!$B$13=4, Enginuity!$B$13=6)),
      AND(
        LEFT(P5308,5)&lt;&gt;"1-Way",
        LEFT(P5308,5)&lt;&gt;"2-Way",
        LEFT(P5308,5)&lt;&gt;"3-Way",
        P5308&lt;&gt;"Inner Centre Jamb"
      )
    ),
    IF(OR(Enginuity!$A$1="Frameless Glass",Enginuity!$A$1="Metal Work"),
      AND(TRIM(B5308)=TRIM(Enginuity!$A$17),TRIM(C5308)=TRIM(Enginuity!$A$18)),
      TRIM(B5308)=TRIM(Enginuity!$A$17)
    )
  ),
  ROW(),
  ""
)</f>
        <v/>
      </c>
    </row>
    <row r="5309" spans="21:21" x14ac:dyDescent="0.25">
      <c r="U5309" s="104" t="str">
        <f>IF(
  AND(
    TRIM(A5309)=TRIM(Enginuity!$A$1),
    TRIM(B5309)=TRIM(Enginuity!$A$17),
    Q5309&lt;&gt;"",
    Q5309&lt;&gt;0,
    OR(
      TRIM(C5309)=TRIM(Enginuity!$A$18),
      AND(UPPER(TRIM(M5309))="STD", TRIM(B5309)=TRIM(Enginuity!$A$17))
    ),
    OR(
      AND(LEFT(P5309,5)="1-Way", Enginuity!$B$13=1),
      AND(LEFT(P5309,5)="2-Way", OR(Enginuity!$B$13=2, Enginuity!$B$13=4)),
      AND(LEFT(P5309,5)="3-Way", OR(Enginuity!$B$13=3, Enginuity!$B$13=6)),
      AND(P5309="Inner Centre Jamb", OR(Enginuity!$B$13=4, Enginuity!$B$13=6)),
      AND(
        LEFT(P5309,5)&lt;&gt;"1-Way",
        LEFT(P5309,5)&lt;&gt;"2-Way",
        LEFT(P5309,5)&lt;&gt;"3-Way",
        P5309&lt;&gt;"Inner Centre Jamb"
      )
    ),
    IF(OR(Enginuity!$A$1="Frameless Glass",Enginuity!$A$1="Metal Work"),
      AND(TRIM(B5309)=TRIM(Enginuity!$A$17),TRIM(C5309)=TRIM(Enginuity!$A$18)),
      TRIM(B5309)=TRIM(Enginuity!$A$17)
    )
  ),
  ROW(),
  ""
)</f>
        <v/>
      </c>
    </row>
    <row r="5310" spans="21:21" x14ac:dyDescent="0.25">
      <c r="U5310" s="104" t="str">
        <f>IF(
  AND(
    TRIM(A5310)=TRIM(Enginuity!$A$1),
    TRIM(B5310)=TRIM(Enginuity!$A$17),
    Q5310&lt;&gt;"",
    Q5310&lt;&gt;0,
    OR(
      TRIM(C5310)=TRIM(Enginuity!$A$18),
      AND(UPPER(TRIM(M5310))="STD", TRIM(B5310)=TRIM(Enginuity!$A$17))
    ),
    OR(
      AND(LEFT(P5310,5)="1-Way", Enginuity!$B$13=1),
      AND(LEFT(P5310,5)="2-Way", OR(Enginuity!$B$13=2, Enginuity!$B$13=4)),
      AND(LEFT(P5310,5)="3-Way", OR(Enginuity!$B$13=3, Enginuity!$B$13=6)),
      AND(P5310="Inner Centre Jamb", OR(Enginuity!$B$13=4, Enginuity!$B$13=6)),
      AND(
        LEFT(P5310,5)&lt;&gt;"1-Way",
        LEFT(P5310,5)&lt;&gt;"2-Way",
        LEFT(P5310,5)&lt;&gt;"3-Way",
        P5310&lt;&gt;"Inner Centre Jamb"
      )
    ),
    IF(OR(Enginuity!$A$1="Frameless Glass",Enginuity!$A$1="Metal Work"),
      AND(TRIM(B5310)=TRIM(Enginuity!$A$17),TRIM(C5310)=TRIM(Enginuity!$A$18)),
      TRIM(B5310)=TRIM(Enginuity!$A$17)
    )
  ),
  ROW(),
  ""
)</f>
        <v/>
      </c>
    </row>
    <row r="5311" spans="21:21" x14ac:dyDescent="0.25">
      <c r="U5311" s="104" t="str">
        <f>IF(
  AND(
    TRIM(A5311)=TRIM(Enginuity!$A$1),
    TRIM(B5311)=TRIM(Enginuity!$A$17),
    Q5311&lt;&gt;"",
    Q5311&lt;&gt;0,
    OR(
      TRIM(C5311)=TRIM(Enginuity!$A$18),
      AND(UPPER(TRIM(M5311))="STD", TRIM(B5311)=TRIM(Enginuity!$A$17))
    ),
    OR(
      AND(LEFT(P5311,5)="1-Way", Enginuity!$B$13=1),
      AND(LEFT(P5311,5)="2-Way", OR(Enginuity!$B$13=2, Enginuity!$B$13=4)),
      AND(LEFT(P5311,5)="3-Way", OR(Enginuity!$B$13=3, Enginuity!$B$13=6)),
      AND(P5311="Inner Centre Jamb", OR(Enginuity!$B$13=4, Enginuity!$B$13=6)),
      AND(
        LEFT(P5311,5)&lt;&gt;"1-Way",
        LEFT(P5311,5)&lt;&gt;"2-Way",
        LEFT(P5311,5)&lt;&gt;"3-Way",
        P5311&lt;&gt;"Inner Centre Jamb"
      )
    ),
    IF(OR(Enginuity!$A$1="Frameless Glass",Enginuity!$A$1="Metal Work"),
      AND(TRIM(B5311)=TRIM(Enginuity!$A$17),TRIM(C5311)=TRIM(Enginuity!$A$18)),
      TRIM(B5311)=TRIM(Enginuity!$A$17)
    )
  ),
  ROW(),
  ""
)</f>
        <v/>
      </c>
    </row>
    <row r="5312" spans="21:21" x14ac:dyDescent="0.25">
      <c r="U5312" s="104" t="str">
        <f>IF(
  AND(
    TRIM(A5312)=TRIM(Enginuity!$A$1),
    TRIM(B5312)=TRIM(Enginuity!$A$17),
    Q5312&lt;&gt;"",
    Q5312&lt;&gt;0,
    OR(
      TRIM(C5312)=TRIM(Enginuity!$A$18),
      AND(UPPER(TRIM(M5312))="STD", TRIM(B5312)=TRIM(Enginuity!$A$17))
    ),
    OR(
      AND(LEFT(P5312,5)="1-Way", Enginuity!$B$13=1),
      AND(LEFT(P5312,5)="2-Way", OR(Enginuity!$B$13=2, Enginuity!$B$13=4)),
      AND(LEFT(P5312,5)="3-Way", OR(Enginuity!$B$13=3, Enginuity!$B$13=6)),
      AND(P5312="Inner Centre Jamb", OR(Enginuity!$B$13=4, Enginuity!$B$13=6)),
      AND(
        LEFT(P5312,5)&lt;&gt;"1-Way",
        LEFT(P5312,5)&lt;&gt;"2-Way",
        LEFT(P5312,5)&lt;&gt;"3-Way",
        P5312&lt;&gt;"Inner Centre Jamb"
      )
    ),
    IF(OR(Enginuity!$A$1="Frameless Glass",Enginuity!$A$1="Metal Work"),
      AND(TRIM(B5312)=TRIM(Enginuity!$A$17),TRIM(C5312)=TRIM(Enginuity!$A$18)),
      TRIM(B5312)=TRIM(Enginuity!$A$17)
    )
  ),
  ROW(),
  ""
)</f>
        <v/>
      </c>
    </row>
    <row r="5313" spans="21:21" x14ac:dyDescent="0.25">
      <c r="U5313" s="104" t="str">
        <f>IF(
  AND(
    TRIM(A5313)=TRIM(Enginuity!$A$1),
    TRIM(B5313)=TRIM(Enginuity!$A$17),
    Q5313&lt;&gt;"",
    Q5313&lt;&gt;0,
    OR(
      TRIM(C5313)=TRIM(Enginuity!$A$18),
      AND(UPPER(TRIM(M5313))="STD", TRIM(B5313)=TRIM(Enginuity!$A$17))
    ),
    OR(
      AND(LEFT(P5313,5)="1-Way", Enginuity!$B$13=1),
      AND(LEFT(P5313,5)="2-Way", OR(Enginuity!$B$13=2, Enginuity!$B$13=4)),
      AND(LEFT(P5313,5)="3-Way", OR(Enginuity!$B$13=3, Enginuity!$B$13=6)),
      AND(P5313="Inner Centre Jamb", OR(Enginuity!$B$13=4, Enginuity!$B$13=6)),
      AND(
        LEFT(P5313,5)&lt;&gt;"1-Way",
        LEFT(P5313,5)&lt;&gt;"2-Way",
        LEFT(P5313,5)&lt;&gt;"3-Way",
        P5313&lt;&gt;"Inner Centre Jamb"
      )
    ),
    IF(OR(Enginuity!$A$1="Frameless Glass",Enginuity!$A$1="Metal Work"),
      AND(TRIM(B5313)=TRIM(Enginuity!$A$17),TRIM(C5313)=TRIM(Enginuity!$A$18)),
      TRIM(B5313)=TRIM(Enginuity!$A$17)
    )
  ),
  ROW(),
  ""
)</f>
        <v/>
      </c>
    </row>
    <row r="5314" spans="21:21" x14ac:dyDescent="0.25">
      <c r="U5314" s="104" t="str">
        <f>IF(
  AND(
    TRIM(A5314)=TRIM(Enginuity!$A$1),
    TRIM(B5314)=TRIM(Enginuity!$A$17),
    Q5314&lt;&gt;"",
    Q5314&lt;&gt;0,
    OR(
      TRIM(C5314)=TRIM(Enginuity!$A$18),
      AND(UPPER(TRIM(M5314))="STD", TRIM(B5314)=TRIM(Enginuity!$A$17))
    ),
    OR(
      AND(LEFT(P5314,5)="1-Way", Enginuity!$B$13=1),
      AND(LEFT(P5314,5)="2-Way", OR(Enginuity!$B$13=2, Enginuity!$B$13=4)),
      AND(LEFT(P5314,5)="3-Way", OR(Enginuity!$B$13=3, Enginuity!$B$13=6)),
      AND(P5314="Inner Centre Jamb", OR(Enginuity!$B$13=4, Enginuity!$B$13=6)),
      AND(
        LEFT(P5314,5)&lt;&gt;"1-Way",
        LEFT(P5314,5)&lt;&gt;"2-Way",
        LEFT(P5314,5)&lt;&gt;"3-Way",
        P5314&lt;&gt;"Inner Centre Jamb"
      )
    ),
    IF(OR(Enginuity!$A$1="Frameless Glass",Enginuity!$A$1="Metal Work"),
      AND(TRIM(B5314)=TRIM(Enginuity!$A$17),TRIM(C5314)=TRIM(Enginuity!$A$18)),
      TRIM(B5314)=TRIM(Enginuity!$A$17)
    )
  ),
  ROW(),
  ""
)</f>
        <v/>
      </c>
    </row>
    <row r="5315" spans="21:21" x14ac:dyDescent="0.25">
      <c r="U5315" s="104" t="str">
        <f>IF(
  AND(
    TRIM(A5315)=TRIM(Enginuity!$A$1),
    TRIM(B5315)=TRIM(Enginuity!$A$17),
    Q5315&lt;&gt;"",
    Q5315&lt;&gt;0,
    OR(
      TRIM(C5315)=TRIM(Enginuity!$A$18),
      AND(UPPER(TRIM(M5315))="STD", TRIM(B5315)=TRIM(Enginuity!$A$17))
    ),
    OR(
      AND(LEFT(P5315,5)="1-Way", Enginuity!$B$13=1),
      AND(LEFT(P5315,5)="2-Way", OR(Enginuity!$B$13=2, Enginuity!$B$13=4)),
      AND(LEFT(P5315,5)="3-Way", OR(Enginuity!$B$13=3, Enginuity!$B$13=6)),
      AND(P5315="Inner Centre Jamb", OR(Enginuity!$B$13=4, Enginuity!$B$13=6)),
      AND(
        LEFT(P5315,5)&lt;&gt;"1-Way",
        LEFT(P5315,5)&lt;&gt;"2-Way",
        LEFT(P5315,5)&lt;&gt;"3-Way",
        P5315&lt;&gt;"Inner Centre Jamb"
      )
    ),
    IF(OR(Enginuity!$A$1="Frameless Glass",Enginuity!$A$1="Metal Work"),
      AND(TRIM(B5315)=TRIM(Enginuity!$A$17),TRIM(C5315)=TRIM(Enginuity!$A$18)),
      TRIM(B5315)=TRIM(Enginuity!$A$17)
    )
  ),
  ROW(),
  ""
)</f>
        <v/>
      </c>
    </row>
    <row r="5316" spans="21:21" x14ac:dyDescent="0.25">
      <c r="U5316" s="104" t="str">
        <f>IF(
  AND(
    TRIM(A5316)=TRIM(Enginuity!$A$1),
    TRIM(B5316)=TRIM(Enginuity!$A$17),
    Q5316&lt;&gt;"",
    Q5316&lt;&gt;0,
    OR(
      TRIM(C5316)=TRIM(Enginuity!$A$18),
      AND(UPPER(TRIM(M5316))="STD", TRIM(B5316)=TRIM(Enginuity!$A$17))
    ),
    OR(
      AND(LEFT(P5316,5)="1-Way", Enginuity!$B$13=1),
      AND(LEFT(P5316,5)="2-Way", OR(Enginuity!$B$13=2, Enginuity!$B$13=4)),
      AND(LEFT(P5316,5)="3-Way", OR(Enginuity!$B$13=3, Enginuity!$B$13=6)),
      AND(P5316="Inner Centre Jamb", OR(Enginuity!$B$13=4, Enginuity!$B$13=6)),
      AND(
        LEFT(P5316,5)&lt;&gt;"1-Way",
        LEFT(P5316,5)&lt;&gt;"2-Way",
        LEFT(P5316,5)&lt;&gt;"3-Way",
        P5316&lt;&gt;"Inner Centre Jamb"
      )
    ),
    IF(OR(Enginuity!$A$1="Frameless Glass",Enginuity!$A$1="Metal Work"),
      AND(TRIM(B5316)=TRIM(Enginuity!$A$17),TRIM(C5316)=TRIM(Enginuity!$A$18)),
      TRIM(B5316)=TRIM(Enginuity!$A$17)
    )
  ),
  ROW(),
  ""
)</f>
        <v/>
      </c>
    </row>
    <row r="5317" spans="21:21" x14ac:dyDescent="0.25">
      <c r="U5317" s="104" t="str">
        <f>IF(
  AND(
    TRIM(A5317)=TRIM(Enginuity!$A$1),
    TRIM(B5317)=TRIM(Enginuity!$A$17),
    Q5317&lt;&gt;"",
    Q5317&lt;&gt;0,
    OR(
      TRIM(C5317)=TRIM(Enginuity!$A$18),
      AND(UPPER(TRIM(M5317))="STD", TRIM(B5317)=TRIM(Enginuity!$A$17))
    ),
    OR(
      AND(LEFT(P5317,5)="1-Way", Enginuity!$B$13=1),
      AND(LEFT(P5317,5)="2-Way", OR(Enginuity!$B$13=2, Enginuity!$B$13=4)),
      AND(LEFT(P5317,5)="3-Way", OR(Enginuity!$B$13=3, Enginuity!$B$13=6)),
      AND(P5317="Inner Centre Jamb", OR(Enginuity!$B$13=4, Enginuity!$B$13=6)),
      AND(
        LEFT(P5317,5)&lt;&gt;"1-Way",
        LEFT(P5317,5)&lt;&gt;"2-Way",
        LEFT(P5317,5)&lt;&gt;"3-Way",
        P5317&lt;&gt;"Inner Centre Jamb"
      )
    ),
    IF(OR(Enginuity!$A$1="Frameless Glass",Enginuity!$A$1="Metal Work"),
      AND(TRIM(B5317)=TRIM(Enginuity!$A$17),TRIM(C5317)=TRIM(Enginuity!$A$18)),
      TRIM(B5317)=TRIM(Enginuity!$A$17)
    )
  ),
  ROW(),
  ""
)</f>
        <v/>
      </c>
    </row>
    <row r="5318" spans="21:21" x14ac:dyDescent="0.25">
      <c r="U5318" s="104" t="str">
        <f>IF(
  AND(
    TRIM(A5318)=TRIM(Enginuity!$A$1),
    TRIM(B5318)=TRIM(Enginuity!$A$17),
    Q5318&lt;&gt;"",
    Q5318&lt;&gt;0,
    OR(
      TRIM(C5318)=TRIM(Enginuity!$A$18),
      AND(UPPER(TRIM(M5318))="STD", TRIM(B5318)=TRIM(Enginuity!$A$17))
    ),
    OR(
      AND(LEFT(P5318,5)="1-Way", Enginuity!$B$13=1),
      AND(LEFT(P5318,5)="2-Way", OR(Enginuity!$B$13=2, Enginuity!$B$13=4)),
      AND(LEFT(P5318,5)="3-Way", OR(Enginuity!$B$13=3, Enginuity!$B$13=6)),
      AND(P5318="Inner Centre Jamb", OR(Enginuity!$B$13=4, Enginuity!$B$13=6)),
      AND(
        LEFT(P5318,5)&lt;&gt;"1-Way",
        LEFT(P5318,5)&lt;&gt;"2-Way",
        LEFT(P5318,5)&lt;&gt;"3-Way",
        P5318&lt;&gt;"Inner Centre Jamb"
      )
    ),
    IF(OR(Enginuity!$A$1="Frameless Glass",Enginuity!$A$1="Metal Work"),
      AND(TRIM(B5318)=TRIM(Enginuity!$A$17),TRIM(C5318)=TRIM(Enginuity!$A$18)),
      TRIM(B5318)=TRIM(Enginuity!$A$17)
    )
  ),
  ROW(),
  ""
)</f>
        <v/>
      </c>
    </row>
    <row r="5319" spans="21:21" x14ac:dyDescent="0.25">
      <c r="U5319" s="104" t="str">
        <f>IF(
  AND(
    TRIM(A5319)=TRIM(Enginuity!$A$1),
    TRIM(B5319)=TRIM(Enginuity!$A$17),
    Q5319&lt;&gt;"",
    Q5319&lt;&gt;0,
    OR(
      TRIM(C5319)=TRIM(Enginuity!$A$18),
      AND(UPPER(TRIM(M5319))="STD", TRIM(B5319)=TRIM(Enginuity!$A$17))
    ),
    OR(
      AND(LEFT(P5319,5)="1-Way", Enginuity!$B$13=1),
      AND(LEFT(P5319,5)="2-Way", OR(Enginuity!$B$13=2, Enginuity!$B$13=4)),
      AND(LEFT(P5319,5)="3-Way", OR(Enginuity!$B$13=3, Enginuity!$B$13=6)),
      AND(P5319="Inner Centre Jamb", OR(Enginuity!$B$13=4, Enginuity!$B$13=6)),
      AND(
        LEFT(P5319,5)&lt;&gt;"1-Way",
        LEFT(P5319,5)&lt;&gt;"2-Way",
        LEFT(P5319,5)&lt;&gt;"3-Way",
        P5319&lt;&gt;"Inner Centre Jamb"
      )
    ),
    IF(OR(Enginuity!$A$1="Frameless Glass",Enginuity!$A$1="Metal Work"),
      AND(TRIM(B5319)=TRIM(Enginuity!$A$17),TRIM(C5319)=TRIM(Enginuity!$A$18)),
      TRIM(B5319)=TRIM(Enginuity!$A$17)
    )
  ),
  ROW(),
  ""
)</f>
        <v/>
      </c>
    </row>
    <row r="5320" spans="21:21" x14ac:dyDescent="0.25">
      <c r="U5320" s="104" t="str">
        <f>IF(
  AND(
    TRIM(A5320)=TRIM(Enginuity!$A$1),
    TRIM(B5320)=TRIM(Enginuity!$A$17),
    Q5320&lt;&gt;"",
    Q5320&lt;&gt;0,
    OR(
      TRIM(C5320)=TRIM(Enginuity!$A$18),
      AND(UPPER(TRIM(M5320))="STD", TRIM(B5320)=TRIM(Enginuity!$A$17))
    ),
    OR(
      AND(LEFT(P5320,5)="1-Way", Enginuity!$B$13=1),
      AND(LEFT(P5320,5)="2-Way", OR(Enginuity!$B$13=2, Enginuity!$B$13=4)),
      AND(LEFT(P5320,5)="3-Way", OR(Enginuity!$B$13=3, Enginuity!$B$13=6)),
      AND(P5320="Inner Centre Jamb", OR(Enginuity!$B$13=4, Enginuity!$B$13=6)),
      AND(
        LEFT(P5320,5)&lt;&gt;"1-Way",
        LEFT(P5320,5)&lt;&gt;"2-Way",
        LEFT(P5320,5)&lt;&gt;"3-Way",
        P5320&lt;&gt;"Inner Centre Jamb"
      )
    ),
    IF(OR(Enginuity!$A$1="Frameless Glass",Enginuity!$A$1="Metal Work"),
      AND(TRIM(B5320)=TRIM(Enginuity!$A$17),TRIM(C5320)=TRIM(Enginuity!$A$18)),
      TRIM(B5320)=TRIM(Enginuity!$A$17)
    )
  ),
  ROW(),
  ""
)</f>
        <v/>
      </c>
    </row>
    <row r="5321" spans="21:21" x14ac:dyDescent="0.25">
      <c r="U5321" s="104" t="str">
        <f>IF(
  AND(
    TRIM(A5321)=TRIM(Enginuity!$A$1),
    TRIM(B5321)=TRIM(Enginuity!$A$17),
    Q5321&lt;&gt;"",
    Q5321&lt;&gt;0,
    OR(
      TRIM(C5321)=TRIM(Enginuity!$A$18),
      AND(UPPER(TRIM(M5321))="STD", TRIM(B5321)=TRIM(Enginuity!$A$17))
    ),
    OR(
      AND(LEFT(P5321,5)="1-Way", Enginuity!$B$13=1),
      AND(LEFT(P5321,5)="2-Way", OR(Enginuity!$B$13=2, Enginuity!$B$13=4)),
      AND(LEFT(P5321,5)="3-Way", OR(Enginuity!$B$13=3, Enginuity!$B$13=6)),
      AND(P5321="Inner Centre Jamb", OR(Enginuity!$B$13=4, Enginuity!$B$13=6)),
      AND(
        LEFT(P5321,5)&lt;&gt;"1-Way",
        LEFT(P5321,5)&lt;&gt;"2-Way",
        LEFT(P5321,5)&lt;&gt;"3-Way",
        P5321&lt;&gt;"Inner Centre Jamb"
      )
    ),
    IF(OR(Enginuity!$A$1="Frameless Glass",Enginuity!$A$1="Metal Work"),
      AND(TRIM(B5321)=TRIM(Enginuity!$A$17),TRIM(C5321)=TRIM(Enginuity!$A$18)),
      TRIM(B5321)=TRIM(Enginuity!$A$17)
    )
  ),
  ROW(),
  ""
)</f>
        <v/>
      </c>
    </row>
    <row r="5322" spans="21:21" x14ac:dyDescent="0.25">
      <c r="U5322" s="104" t="str">
        <f>IF(
  AND(
    TRIM(A5322)=TRIM(Enginuity!$A$1),
    TRIM(B5322)=TRIM(Enginuity!$A$17),
    Q5322&lt;&gt;"",
    Q5322&lt;&gt;0,
    OR(
      TRIM(C5322)=TRIM(Enginuity!$A$18),
      AND(UPPER(TRIM(M5322))="STD", TRIM(B5322)=TRIM(Enginuity!$A$17))
    ),
    OR(
      AND(LEFT(P5322,5)="1-Way", Enginuity!$B$13=1),
      AND(LEFT(P5322,5)="2-Way", OR(Enginuity!$B$13=2, Enginuity!$B$13=4)),
      AND(LEFT(P5322,5)="3-Way", OR(Enginuity!$B$13=3, Enginuity!$B$13=6)),
      AND(P5322="Inner Centre Jamb", OR(Enginuity!$B$13=4, Enginuity!$B$13=6)),
      AND(
        LEFT(P5322,5)&lt;&gt;"1-Way",
        LEFT(P5322,5)&lt;&gt;"2-Way",
        LEFT(P5322,5)&lt;&gt;"3-Way",
        P5322&lt;&gt;"Inner Centre Jamb"
      )
    ),
    IF(OR(Enginuity!$A$1="Frameless Glass",Enginuity!$A$1="Metal Work"),
      AND(TRIM(B5322)=TRIM(Enginuity!$A$17),TRIM(C5322)=TRIM(Enginuity!$A$18)),
      TRIM(B5322)=TRIM(Enginuity!$A$17)
    )
  ),
  ROW(),
  ""
)</f>
        <v/>
      </c>
    </row>
    <row r="5323" spans="21:21" x14ac:dyDescent="0.25">
      <c r="U5323" s="104" t="str">
        <f>IF(
  AND(
    TRIM(A5323)=TRIM(Enginuity!$A$1),
    TRIM(B5323)=TRIM(Enginuity!$A$17),
    Q5323&lt;&gt;"",
    Q5323&lt;&gt;0,
    OR(
      TRIM(C5323)=TRIM(Enginuity!$A$18),
      AND(UPPER(TRIM(M5323))="STD", TRIM(B5323)=TRIM(Enginuity!$A$17))
    ),
    OR(
      AND(LEFT(P5323,5)="1-Way", Enginuity!$B$13=1),
      AND(LEFT(P5323,5)="2-Way", OR(Enginuity!$B$13=2, Enginuity!$B$13=4)),
      AND(LEFT(P5323,5)="3-Way", OR(Enginuity!$B$13=3, Enginuity!$B$13=6)),
      AND(P5323="Inner Centre Jamb", OR(Enginuity!$B$13=4, Enginuity!$B$13=6)),
      AND(
        LEFT(P5323,5)&lt;&gt;"1-Way",
        LEFT(P5323,5)&lt;&gt;"2-Way",
        LEFT(P5323,5)&lt;&gt;"3-Way",
        P5323&lt;&gt;"Inner Centre Jamb"
      )
    ),
    IF(OR(Enginuity!$A$1="Frameless Glass",Enginuity!$A$1="Metal Work"),
      AND(TRIM(B5323)=TRIM(Enginuity!$A$17),TRIM(C5323)=TRIM(Enginuity!$A$18)),
      TRIM(B5323)=TRIM(Enginuity!$A$17)
    )
  ),
  ROW(),
  ""
)</f>
        <v/>
      </c>
    </row>
    <row r="5324" spans="21:21" x14ac:dyDescent="0.25">
      <c r="U5324" s="104" t="str">
        <f>IF(
  AND(
    TRIM(A5324)=TRIM(Enginuity!$A$1),
    TRIM(B5324)=TRIM(Enginuity!$A$17),
    Q5324&lt;&gt;"",
    Q5324&lt;&gt;0,
    OR(
      TRIM(C5324)=TRIM(Enginuity!$A$18),
      AND(UPPER(TRIM(M5324))="STD", TRIM(B5324)=TRIM(Enginuity!$A$17))
    ),
    OR(
      AND(LEFT(P5324,5)="1-Way", Enginuity!$B$13=1),
      AND(LEFT(P5324,5)="2-Way", OR(Enginuity!$B$13=2, Enginuity!$B$13=4)),
      AND(LEFT(P5324,5)="3-Way", OR(Enginuity!$B$13=3, Enginuity!$B$13=6)),
      AND(P5324="Inner Centre Jamb", OR(Enginuity!$B$13=4, Enginuity!$B$13=6)),
      AND(
        LEFT(P5324,5)&lt;&gt;"1-Way",
        LEFT(P5324,5)&lt;&gt;"2-Way",
        LEFT(P5324,5)&lt;&gt;"3-Way",
        P5324&lt;&gt;"Inner Centre Jamb"
      )
    ),
    IF(OR(Enginuity!$A$1="Frameless Glass",Enginuity!$A$1="Metal Work"),
      AND(TRIM(B5324)=TRIM(Enginuity!$A$17),TRIM(C5324)=TRIM(Enginuity!$A$18)),
      TRIM(B5324)=TRIM(Enginuity!$A$17)
    )
  ),
  ROW(),
  ""
)</f>
        <v/>
      </c>
    </row>
    <row r="5325" spans="21:21" x14ac:dyDescent="0.25">
      <c r="U5325" s="104" t="str">
        <f>IF(
  AND(
    TRIM(A5325)=TRIM(Enginuity!$A$1),
    TRIM(B5325)=TRIM(Enginuity!$A$17),
    Q5325&lt;&gt;"",
    Q5325&lt;&gt;0,
    OR(
      TRIM(C5325)=TRIM(Enginuity!$A$18),
      AND(UPPER(TRIM(M5325))="STD", TRIM(B5325)=TRIM(Enginuity!$A$17))
    ),
    OR(
      AND(LEFT(P5325,5)="1-Way", Enginuity!$B$13=1),
      AND(LEFT(P5325,5)="2-Way", OR(Enginuity!$B$13=2, Enginuity!$B$13=4)),
      AND(LEFT(P5325,5)="3-Way", OR(Enginuity!$B$13=3, Enginuity!$B$13=6)),
      AND(P5325="Inner Centre Jamb", OR(Enginuity!$B$13=4, Enginuity!$B$13=6)),
      AND(
        LEFT(P5325,5)&lt;&gt;"1-Way",
        LEFT(P5325,5)&lt;&gt;"2-Way",
        LEFT(P5325,5)&lt;&gt;"3-Way",
        P5325&lt;&gt;"Inner Centre Jamb"
      )
    ),
    IF(OR(Enginuity!$A$1="Frameless Glass",Enginuity!$A$1="Metal Work"),
      AND(TRIM(B5325)=TRIM(Enginuity!$A$17),TRIM(C5325)=TRIM(Enginuity!$A$18)),
      TRIM(B5325)=TRIM(Enginuity!$A$17)
    )
  ),
  ROW(),
  ""
)</f>
        <v/>
      </c>
    </row>
    <row r="5326" spans="21:21" x14ac:dyDescent="0.25">
      <c r="U5326" s="104" t="str">
        <f>IF(
  AND(
    TRIM(A5326)=TRIM(Enginuity!$A$1),
    TRIM(B5326)=TRIM(Enginuity!$A$17),
    Q5326&lt;&gt;"",
    Q5326&lt;&gt;0,
    OR(
      TRIM(C5326)=TRIM(Enginuity!$A$18),
      AND(UPPER(TRIM(M5326))="STD", TRIM(B5326)=TRIM(Enginuity!$A$17))
    ),
    OR(
      AND(LEFT(P5326,5)="1-Way", Enginuity!$B$13=1),
      AND(LEFT(P5326,5)="2-Way", OR(Enginuity!$B$13=2, Enginuity!$B$13=4)),
      AND(LEFT(P5326,5)="3-Way", OR(Enginuity!$B$13=3, Enginuity!$B$13=6)),
      AND(P5326="Inner Centre Jamb", OR(Enginuity!$B$13=4, Enginuity!$B$13=6)),
      AND(
        LEFT(P5326,5)&lt;&gt;"1-Way",
        LEFT(P5326,5)&lt;&gt;"2-Way",
        LEFT(P5326,5)&lt;&gt;"3-Way",
        P5326&lt;&gt;"Inner Centre Jamb"
      )
    ),
    IF(OR(Enginuity!$A$1="Frameless Glass",Enginuity!$A$1="Metal Work"),
      AND(TRIM(B5326)=TRIM(Enginuity!$A$17),TRIM(C5326)=TRIM(Enginuity!$A$18)),
      TRIM(B5326)=TRIM(Enginuity!$A$17)
    )
  ),
  ROW(),
  ""
)</f>
        <v/>
      </c>
    </row>
    <row r="5327" spans="21:21" x14ac:dyDescent="0.25">
      <c r="U5327" s="104" t="str">
        <f>IF(
  AND(
    TRIM(A5327)=TRIM(Enginuity!$A$1),
    TRIM(B5327)=TRIM(Enginuity!$A$17),
    Q5327&lt;&gt;"",
    Q5327&lt;&gt;0,
    OR(
      TRIM(C5327)=TRIM(Enginuity!$A$18),
      AND(UPPER(TRIM(M5327))="STD", TRIM(B5327)=TRIM(Enginuity!$A$17))
    ),
    OR(
      AND(LEFT(P5327,5)="1-Way", Enginuity!$B$13=1),
      AND(LEFT(P5327,5)="2-Way", OR(Enginuity!$B$13=2, Enginuity!$B$13=4)),
      AND(LEFT(P5327,5)="3-Way", OR(Enginuity!$B$13=3, Enginuity!$B$13=6)),
      AND(P5327="Inner Centre Jamb", OR(Enginuity!$B$13=4, Enginuity!$B$13=6)),
      AND(
        LEFT(P5327,5)&lt;&gt;"1-Way",
        LEFT(P5327,5)&lt;&gt;"2-Way",
        LEFT(P5327,5)&lt;&gt;"3-Way",
        P5327&lt;&gt;"Inner Centre Jamb"
      )
    ),
    IF(OR(Enginuity!$A$1="Frameless Glass",Enginuity!$A$1="Metal Work"),
      AND(TRIM(B5327)=TRIM(Enginuity!$A$17),TRIM(C5327)=TRIM(Enginuity!$A$18)),
      TRIM(B5327)=TRIM(Enginuity!$A$17)
    )
  ),
  ROW(),
  ""
)</f>
        <v/>
      </c>
    </row>
    <row r="5328" spans="21:21" x14ac:dyDescent="0.25">
      <c r="U5328" s="104" t="str">
        <f>IF(
  AND(
    TRIM(A5328)=TRIM(Enginuity!$A$1),
    TRIM(B5328)=TRIM(Enginuity!$A$17),
    Q5328&lt;&gt;"",
    Q5328&lt;&gt;0,
    OR(
      TRIM(C5328)=TRIM(Enginuity!$A$18),
      AND(UPPER(TRIM(M5328))="STD", TRIM(B5328)=TRIM(Enginuity!$A$17))
    ),
    OR(
      AND(LEFT(P5328,5)="1-Way", Enginuity!$B$13=1),
      AND(LEFT(P5328,5)="2-Way", OR(Enginuity!$B$13=2, Enginuity!$B$13=4)),
      AND(LEFT(P5328,5)="3-Way", OR(Enginuity!$B$13=3, Enginuity!$B$13=6)),
      AND(P5328="Inner Centre Jamb", OR(Enginuity!$B$13=4, Enginuity!$B$13=6)),
      AND(
        LEFT(P5328,5)&lt;&gt;"1-Way",
        LEFT(P5328,5)&lt;&gt;"2-Way",
        LEFT(P5328,5)&lt;&gt;"3-Way",
        P5328&lt;&gt;"Inner Centre Jamb"
      )
    ),
    IF(OR(Enginuity!$A$1="Frameless Glass",Enginuity!$A$1="Metal Work"),
      AND(TRIM(B5328)=TRIM(Enginuity!$A$17),TRIM(C5328)=TRIM(Enginuity!$A$18)),
      TRIM(B5328)=TRIM(Enginuity!$A$17)
    )
  ),
  ROW(),
  ""
)</f>
        <v/>
      </c>
    </row>
    <row r="5329" spans="21:21" x14ac:dyDescent="0.25">
      <c r="U5329" s="104" t="str">
        <f>IF(
  AND(
    TRIM(A5329)=TRIM(Enginuity!$A$1),
    TRIM(B5329)=TRIM(Enginuity!$A$17),
    Q5329&lt;&gt;"",
    Q5329&lt;&gt;0,
    OR(
      TRIM(C5329)=TRIM(Enginuity!$A$18),
      AND(UPPER(TRIM(M5329))="STD", TRIM(B5329)=TRIM(Enginuity!$A$17))
    ),
    OR(
      AND(LEFT(P5329,5)="1-Way", Enginuity!$B$13=1),
      AND(LEFT(P5329,5)="2-Way", OR(Enginuity!$B$13=2, Enginuity!$B$13=4)),
      AND(LEFT(P5329,5)="3-Way", OR(Enginuity!$B$13=3, Enginuity!$B$13=6)),
      AND(P5329="Inner Centre Jamb", OR(Enginuity!$B$13=4, Enginuity!$B$13=6)),
      AND(
        LEFT(P5329,5)&lt;&gt;"1-Way",
        LEFT(P5329,5)&lt;&gt;"2-Way",
        LEFT(P5329,5)&lt;&gt;"3-Way",
        P5329&lt;&gt;"Inner Centre Jamb"
      )
    ),
    IF(OR(Enginuity!$A$1="Frameless Glass",Enginuity!$A$1="Metal Work"),
      AND(TRIM(B5329)=TRIM(Enginuity!$A$17),TRIM(C5329)=TRIM(Enginuity!$A$18)),
      TRIM(B5329)=TRIM(Enginuity!$A$17)
    )
  ),
  ROW(),
  ""
)</f>
        <v/>
      </c>
    </row>
    <row r="5330" spans="21:21" x14ac:dyDescent="0.25">
      <c r="U5330" s="104" t="str">
        <f>IF(
  AND(
    TRIM(A5330)=TRIM(Enginuity!$A$1),
    TRIM(B5330)=TRIM(Enginuity!$A$17),
    Q5330&lt;&gt;"",
    Q5330&lt;&gt;0,
    OR(
      TRIM(C5330)=TRIM(Enginuity!$A$18),
      AND(UPPER(TRIM(M5330))="STD", TRIM(B5330)=TRIM(Enginuity!$A$17))
    ),
    OR(
      AND(LEFT(P5330,5)="1-Way", Enginuity!$B$13=1),
      AND(LEFT(P5330,5)="2-Way", OR(Enginuity!$B$13=2, Enginuity!$B$13=4)),
      AND(LEFT(P5330,5)="3-Way", OR(Enginuity!$B$13=3, Enginuity!$B$13=6)),
      AND(P5330="Inner Centre Jamb", OR(Enginuity!$B$13=4, Enginuity!$B$13=6)),
      AND(
        LEFT(P5330,5)&lt;&gt;"1-Way",
        LEFT(P5330,5)&lt;&gt;"2-Way",
        LEFT(P5330,5)&lt;&gt;"3-Way",
        P5330&lt;&gt;"Inner Centre Jamb"
      )
    ),
    IF(OR(Enginuity!$A$1="Frameless Glass",Enginuity!$A$1="Metal Work"),
      AND(TRIM(B5330)=TRIM(Enginuity!$A$17),TRIM(C5330)=TRIM(Enginuity!$A$18)),
      TRIM(B5330)=TRIM(Enginuity!$A$17)
    )
  ),
  ROW(),
  ""
)</f>
        <v/>
      </c>
    </row>
    <row r="5331" spans="21:21" x14ac:dyDescent="0.25">
      <c r="U5331" s="104" t="str">
        <f>IF(
  AND(
    TRIM(A5331)=TRIM(Enginuity!$A$1),
    TRIM(B5331)=TRIM(Enginuity!$A$17),
    Q5331&lt;&gt;"",
    Q5331&lt;&gt;0,
    OR(
      TRIM(C5331)=TRIM(Enginuity!$A$18),
      AND(UPPER(TRIM(M5331))="STD", TRIM(B5331)=TRIM(Enginuity!$A$17))
    ),
    OR(
      AND(LEFT(P5331,5)="1-Way", Enginuity!$B$13=1),
      AND(LEFT(P5331,5)="2-Way", OR(Enginuity!$B$13=2, Enginuity!$B$13=4)),
      AND(LEFT(P5331,5)="3-Way", OR(Enginuity!$B$13=3, Enginuity!$B$13=6)),
      AND(P5331="Inner Centre Jamb", OR(Enginuity!$B$13=4, Enginuity!$B$13=6)),
      AND(
        LEFT(P5331,5)&lt;&gt;"1-Way",
        LEFT(P5331,5)&lt;&gt;"2-Way",
        LEFT(P5331,5)&lt;&gt;"3-Way",
        P5331&lt;&gt;"Inner Centre Jamb"
      )
    ),
    IF(OR(Enginuity!$A$1="Frameless Glass",Enginuity!$A$1="Metal Work"),
      AND(TRIM(B5331)=TRIM(Enginuity!$A$17),TRIM(C5331)=TRIM(Enginuity!$A$18)),
      TRIM(B5331)=TRIM(Enginuity!$A$17)
    )
  ),
  ROW(),
  ""
)</f>
        <v/>
      </c>
    </row>
    <row r="5332" spans="21:21" x14ac:dyDescent="0.25">
      <c r="U5332" s="104" t="str">
        <f>IF(
  AND(
    TRIM(A5332)=TRIM(Enginuity!$A$1),
    TRIM(B5332)=TRIM(Enginuity!$A$17),
    Q5332&lt;&gt;"",
    Q5332&lt;&gt;0,
    OR(
      TRIM(C5332)=TRIM(Enginuity!$A$18),
      AND(UPPER(TRIM(M5332))="STD", TRIM(B5332)=TRIM(Enginuity!$A$17))
    ),
    OR(
      AND(LEFT(P5332,5)="1-Way", Enginuity!$B$13=1),
      AND(LEFT(P5332,5)="2-Way", OR(Enginuity!$B$13=2, Enginuity!$B$13=4)),
      AND(LEFT(P5332,5)="3-Way", OR(Enginuity!$B$13=3, Enginuity!$B$13=6)),
      AND(P5332="Inner Centre Jamb", OR(Enginuity!$B$13=4, Enginuity!$B$13=6)),
      AND(
        LEFT(P5332,5)&lt;&gt;"1-Way",
        LEFT(P5332,5)&lt;&gt;"2-Way",
        LEFT(P5332,5)&lt;&gt;"3-Way",
        P5332&lt;&gt;"Inner Centre Jamb"
      )
    ),
    IF(OR(Enginuity!$A$1="Frameless Glass",Enginuity!$A$1="Metal Work"),
      AND(TRIM(B5332)=TRIM(Enginuity!$A$17),TRIM(C5332)=TRIM(Enginuity!$A$18)),
      TRIM(B5332)=TRIM(Enginuity!$A$17)
    )
  ),
  ROW(),
  ""
)</f>
        <v/>
      </c>
    </row>
    <row r="5333" spans="21:21" x14ac:dyDescent="0.25">
      <c r="U5333" s="104" t="str">
        <f>IF(
  AND(
    TRIM(A5333)=TRIM(Enginuity!$A$1),
    TRIM(B5333)=TRIM(Enginuity!$A$17),
    Q5333&lt;&gt;"",
    Q5333&lt;&gt;0,
    OR(
      TRIM(C5333)=TRIM(Enginuity!$A$18),
      AND(UPPER(TRIM(M5333))="STD", TRIM(B5333)=TRIM(Enginuity!$A$17))
    ),
    OR(
      AND(LEFT(P5333,5)="1-Way", Enginuity!$B$13=1),
      AND(LEFT(P5333,5)="2-Way", OR(Enginuity!$B$13=2, Enginuity!$B$13=4)),
      AND(LEFT(P5333,5)="3-Way", OR(Enginuity!$B$13=3, Enginuity!$B$13=6)),
      AND(P5333="Inner Centre Jamb", OR(Enginuity!$B$13=4, Enginuity!$B$13=6)),
      AND(
        LEFT(P5333,5)&lt;&gt;"1-Way",
        LEFT(P5333,5)&lt;&gt;"2-Way",
        LEFT(P5333,5)&lt;&gt;"3-Way",
        P5333&lt;&gt;"Inner Centre Jamb"
      )
    ),
    IF(OR(Enginuity!$A$1="Frameless Glass",Enginuity!$A$1="Metal Work"),
      AND(TRIM(B5333)=TRIM(Enginuity!$A$17),TRIM(C5333)=TRIM(Enginuity!$A$18)),
      TRIM(B5333)=TRIM(Enginuity!$A$17)
    )
  ),
  ROW(),
  ""
)</f>
        <v/>
      </c>
    </row>
    <row r="5334" spans="21:21" x14ac:dyDescent="0.25">
      <c r="U5334" s="104" t="str">
        <f>IF(
  AND(
    TRIM(A5334)=TRIM(Enginuity!$A$1),
    TRIM(B5334)=TRIM(Enginuity!$A$17),
    Q5334&lt;&gt;"",
    Q5334&lt;&gt;0,
    OR(
      TRIM(C5334)=TRIM(Enginuity!$A$18),
      AND(UPPER(TRIM(M5334))="STD", TRIM(B5334)=TRIM(Enginuity!$A$17))
    ),
    OR(
      AND(LEFT(P5334,5)="1-Way", Enginuity!$B$13=1),
      AND(LEFT(P5334,5)="2-Way", OR(Enginuity!$B$13=2, Enginuity!$B$13=4)),
      AND(LEFT(P5334,5)="3-Way", OR(Enginuity!$B$13=3, Enginuity!$B$13=6)),
      AND(P5334="Inner Centre Jamb", OR(Enginuity!$B$13=4, Enginuity!$B$13=6)),
      AND(
        LEFT(P5334,5)&lt;&gt;"1-Way",
        LEFT(P5334,5)&lt;&gt;"2-Way",
        LEFT(P5334,5)&lt;&gt;"3-Way",
        P5334&lt;&gt;"Inner Centre Jamb"
      )
    ),
    IF(OR(Enginuity!$A$1="Frameless Glass",Enginuity!$A$1="Metal Work"),
      AND(TRIM(B5334)=TRIM(Enginuity!$A$17),TRIM(C5334)=TRIM(Enginuity!$A$18)),
      TRIM(B5334)=TRIM(Enginuity!$A$17)
    )
  ),
  ROW(),
  ""
)</f>
        <v/>
      </c>
    </row>
    <row r="5335" spans="21:21" x14ac:dyDescent="0.25">
      <c r="U5335" s="104" t="str">
        <f>IF(
  AND(
    TRIM(A5335)=TRIM(Enginuity!$A$1),
    TRIM(B5335)=TRIM(Enginuity!$A$17),
    Q5335&lt;&gt;"",
    Q5335&lt;&gt;0,
    OR(
      TRIM(C5335)=TRIM(Enginuity!$A$18),
      AND(UPPER(TRIM(M5335))="STD", TRIM(B5335)=TRIM(Enginuity!$A$17))
    ),
    OR(
      AND(LEFT(P5335,5)="1-Way", Enginuity!$B$13=1),
      AND(LEFT(P5335,5)="2-Way", OR(Enginuity!$B$13=2, Enginuity!$B$13=4)),
      AND(LEFT(P5335,5)="3-Way", OR(Enginuity!$B$13=3, Enginuity!$B$13=6)),
      AND(P5335="Inner Centre Jamb", OR(Enginuity!$B$13=4, Enginuity!$B$13=6)),
      AND(
        LEFT(P5335,5)&lt;&gt;"1-Way",
        LEFT(P5335,5)&lt;&gt;"2-Way",
        LEFT(P5335,5)&lt;&gt;"3-Way",
        P5335&lt;&gt;"Inner Centre Jamb"
      )
    ),
    IF(OR(Enginuity!$A$1="Frameless Glass",Enginuity!$A$1="Metal Work"),
      AND(TRIM(B5335)=TRIM(Enginuity!$A$17),TRIM(C5335)=TRIM(Enginuity!$A$18)),
      TRIM(B5335)=TRIM(Enginuity!$A$17)
    )
  ),
  ROW(),
  ""
)</f>
        <v/>
      </c>
    </row>
    <row r="5336" spans="21:21" x14ac:dyDescent="0.25">
      <c r="U5336" s="104" t="str">
        <f>IF(
  AND(
    TRIM(A5336)=TRIM(Enginuity!$A$1),
    TRIM(B5336)=TRIM(Enginuity!$A$17),
    Q5336&lt;&gt;"",
    Q5336&lt;&gt;0,
    OR(
      TRIM(C5336)=TRIM(Enginuity!$A$18),
      AND(UPPER(TRIM(M5336))="STD", TRIM(B5336)=TRIM(Enginuity!$A$17))
    ),
    OR(
      AND(LEFT(P5336,5)="1-Way", Enginuity!$B$13=1),
      AND(LEFT(P5336,5)="2-Way", OR(Enginuity!$B$13=2, Enginuity!$B$13=4)),
      AND(LEFT(P5336,5)="3-Way", OR(Enginuity!$B$13=3, Enginuity!$B$13=6)),
      AND(P5336="Inner Centre Jamb", OR(Enginuity!$B$13=4, Enginuity!$B$13=6)),
      AND(
        LEFT(P5336,5)&lt;&gt;"1-Way",
        LEFT(P5336,5)&lt;&gt;"2-Way",
        LEFT(P5336,5)&lt;&gt;"3-Way",
        P5336&lt;&gt;"Inner Centre Jamb"
      )
    ),
    IF(OR(Enginuity!$A$1="Frameless Glass",Enginuity!$A$1="Metal Work"),
      AND(TRIM(B5336)=TRIM(Enginuity!$A$17),TRIM(C5336)=TRIM(Enginuity!$A$18)),
      TRIM(B5336)=TRIM(Enginuity!$A$17)
    )
  ),
  ROW(),
  ""
)</f>
        <v/>
      </c>
    </row>
    <row r="5337" spans="21:21" x14ac:dyDescent="0.25">
      <c r="U5337" s="104" t="str">
        <f>IF(
  AND(
    TRIM(A5337)=TRIM(Enginuity!$A$1),
    TRIM(B5337)=TRIM(Enginuity!$A$17),
    Q5337&lt;&gt;"",
    Q5337&lt;&gt;0,
    OR(
      TRIM(C5337)=TRIM(Enginuity!$A$18),
      AND(UPPER(TRIM(M5337))="STD", TRIM(B5337)=TRIM(Enginuity!$A$17))
    ),
    OR(
      AND(LEFT(P5337,5)="1-Way", Enginuity!$B$13=1),
      AND(LEFT(P5337,5)="2-Way", OR(Enginuity!$B$13=2, Enginuity!$B$13=4)),
      AND(LEFT(P5337,5)="3-Way", OR(Enginuity!$B$13=3, Enginuity!$B$13=6)),
      AND(P5337="Inner Centre Jamb", OR(Enginuity!$B$13=4, Enginuity!$B$13=6)),
      AND(
        LEFT(P5337,5)&lt;&gt;"1-Way",
        LEFT(P5337,5)&lt;&gt;"2-Way",
        LEFT(P5337,5)&lt;&gt;"3-Way",
        P5337&lt;&gt;"Inner Centre Jamb"
      )
    ),
    IF(OR(Enginuity!$A$1="Frameless Glass",Enginuity!$A$1="Metal Work"),
      AND(TRIM(B5337)=TRIM(Enginuity!$A$17),TRIM(C5337)=TRIM(Enginuity!$A$18)),
      TRIM(B5337)=TRIM(Enginuity!$A$17)
    )
  ),
  ROW(),
  ""
)</f>
        <v/>
      </c>
    </row>
    <row r="5338" spans="21:21" x14ac:dyDescent="0.25">
      <c r="U5338" s="104" t="str">
        <f>IF(
  AND(
    TRIM(A5338)=TRIM(Enginuity!$A$1),
    TRIM(B5338)=TRIM(Enginuity!$A$17),
    Q5338&lt;&gt;"",
    Q5338&lt;&gt;0,
    OR(
      TRIM(C5338)=TRIM(Enginuity!$A$18),
      AND(UPPER(TRIM(M5338))="STD", TRIM(B5338)=TRIM(Enginuity!$A$17))
    ),
    OR(
      AND(LEFT(P5338,5)="1-Way", Enginuity!$B$13=1),
      AND(LEFT(P5338,5)="2-Way", OR(Enginuity!$B$13=2, Enginuity!$B$13=4)),
      AND(LEFT(P5338,5)="3-Way", OR(Enginuity!$B$13=3, Enginuity!$B$13=6)),
      AND(P5338="Inner Centre Jamb", OR(Enginuity!$B$13=4, Enginuity!$B$13=6)),
      AND(
        LEFT(P5338,5)&lt;&gt;"1-Way",
        LEFT(P5338,5)&lt;&gt;"2-Way",
        LEFT(P5338,5)&lt;&gt;"3-Way",
        P5338&lt;&gt;"Inner Centre Jamb"
      )
    ),
    IF(OR(Enginuity!$A$1="Frameless Glass",Enginuity!$A$1="Metal Work"),
      AND(TRIM(B5338)=TRIM(Enginuity!$A$17),TRIM(C5338)=TRIM(Enginuity!$A$18)),
      TRIM(B5338)=TRIM(Enginuity!$A$17)
    )
  ),
  ROW(),
  ""
)</f>
        <v/>
      </c>
    </row>
    <row r="5339" spans="21:21" x14ac:dyDescent="0.25">
      <c r="U5339" s="104" t="str">
        <f>IF(
  AND(
    TRIM(A5339)=TRIM(Enginuity!$A$1),
    TRIM(B5339)=TRIM(Enginuity!$A$17),
    Q5339&lt;&gt;"",
    Q5339&lt;&gt;0,
    OR(
      TRIM(C5339)=TRIM(Enginuity!$A$18),
      AND(UPPER(TRIM(M5339))="STD", TRIM(B5339)=TRIM(Enginuity!$A$17))
    ),
    OR(
      AND(LEFT(P5339,5)="1-Way", Enginuity!$B$13=1),
      AND(LEFT(P5339,5)="2-Way", OR(Enginuity!$B$13=2, Enginuity!$B$13=4)),
      AND(LEFT(P5339,5)="3-Way", OR(Enginuity!$B$13=3, Enginuity!$B$13=6)),
      AND(P5339="Inner Centre Jamb", OR(Enginuity!$B$13=4, Enginuity!$B$13=6)),
      AND(
        LEFT(P5339,5)&lt;&gt;"1-Way",
        LEFT(P5339,5)&lt;&gt;"2-Way",
        LEFT(P5339,5)&lt;&gt;"3-Way",
        P5339&lt;&gt;"Inner Centre Jamb"
      )
    ),
    IF(OR(Enginuity!$A$1="Frameless Glass",Enginuity!$A$1="Metal Work"),
      AND(TRIM(B5339)=TRIM(Enginuity!$A$17),TRIM(C5339)=TRIM(Enginuity!$A$18)),
      TRIM(B5339)=TRIM(Enginuity!$A$17)
    )
  ),
  ROW(),
  ""
)</f>
        <v/>
      </c>
    </row>
    <row r="5340" spans="21:21" x14ac:dyDescent="0.25">
      <c r="U5340" s="104" t="str">
        <f>IF(
  AND(
    TRIM(A5340)=TRIM(Enginuity!$A$1),
    TRIM(B5340)=TRIM(Enginuity!$A$17),
    Q5340&lt;&gt;"",
    Q5340&lt;&gt;0,
    OR(
      TRIM(C5340)=TRIM(Enginuity!$A$18),
      AND(UPPER(TRIM(M5340))="STD", TRIM(B5340)=TRIM(Enginuity!$A$17))
    ),
    OR(
      AND(LEFT(P5340,5)="1-Way", Enginuity!$B$13=1),
      AND(LEFT(P5340,5)="2-Way", OR(Enginuity!$B$13=2, Enginuity!$B$13=4)),
      AND(LEFT(P5340,5)="3-Way", OR(Enginuity!$B$13=3, Enginuity!$B$13=6)),
      AND(P5340="Inner Centre Jamb", OR(Enginuity!$B$13=4, Enginuity!$B$13=6)),
      AND(
        LEFT(P5340,5)&lt;&gt;"1-Way",
        LEFT(P5340,5)&lt;&gt;"2-Way",
        LEFT(P5340,5)&lt;&gt;"3-Way",
        P5340&lt;&gt;"Inner Centre Jamb"
      )
    ),
    IF(OR(Enginuity!$A$1="Frameless Glass",Enginuity!$A$1="Metal Work"),
      AND(TRIM(B5340)=TRIM(Enginuity!$A$17),TRIM(C5340)=TRIM(Enginuity!$A$18)),
      TRIM(B5340)=TRIM(Enginuity!$A$17)
    )
  ),
  ROW(),
  ""
)</f>
        <v/>
      </c>
    </row>
    <row r="5341" spans="21:21" x14ac:dyDescent="0.25">
      <c r="U5341" s="104" t="str">
        <f>IF(
  AND(
    TRIM(A5341)=TRIM(Enginuity!$A$1),
    TRIM(B5341)=TRIM(Enginuity!$A$17),
    Q5341&lt;&gt;"",
    Q5341&lt;&gt;0,
    OR(
      TRIM(C5341)=TRIM(Enginuity!$A$18),
      AND(UPPER(TRIM(M5341))="STD", TRIM(B5341)=TRIM(Enginuity!$A$17))
    ),
    OR(
      AND(LEFT(P5341,5)="1-Way", Enginuity!$B$13=1),
      AND(LEFT(P5341,5)="2-Way", OR(Enginuity!$B$13=2, Enginuity!$B$13=4)),
      AND(LEFT(P5341,5)="3-Way", OR(Enginuity!$B$13=3, Enginuity!$B$13=6)),
      AND(P5341="Inner Centre Jamb", OR(Enginuity!$B$13=4, Enginuity!$B$13=6)),
      AND(
        LEFT(P5341,5)&lt;&gt;"1-Way",
        LEFT(P5341,5)&lt;&gt;"2-Way",
        LEFT(P5341,5)&lt;&gt;"3-Way",
        P5341&lt;&gt;"Inner Centre Jamb"
      )
    ),
    IF(OR(Enginuity!$A$1="Frameless Glass",Enginuity!$A$1="Metal Work"),
      AND(TRIM(B5341)=TRIM(Enginuity!$A$17),TRIM(C5341)=TRIM(Enginuity!$A$18)),
      TRIM(B5341)=TRIM(Enginuity!$A$17)
    )
  ),
  ROW(),
  ""
)</f>
        <v/>
      </c>
    </row>
    <row r="5342" spans="21:21" x14ac:dyDescent="0.25">
      <c r="U5342" s="104" t="str">
        <f>IF(
  AND(
    TRIM(A5342)=TRIM(Enginuity!$A$1),
    TRIM(B5342)=TRIM(Enginuity!$A$17),
    Q5342&lt;&gt;"",
    Q5342&lt;&gt;0,
    OR(
      TRIM(C5342)=TRIM(Enginuity!$A$18),
      AND(UPPER(TRIM(M5342))="STD", TRIM(B5342)=TRIM(Enginuity!$A$17))
    ),
    OR(
      AND(LEFT(P5342,5)="1-Way", Enginuity!$B$13=1),
      AND(LEFT(P5342,5)="2-Way", OR(Enginuity!$B$13=2, Enginuity!$B$13=4)),
      AND(LEFT(P5342,5)="3-Way", OR(Enginuity!$B$13=3, Enginuity!$B$13=6)),
      AND(P5342="Inner Centre Jamb", OR(Enginuity!$B$13=4, Enginuity!$B$13=6)),
      AND(
        LEFT(P5342,5)&lt;&gt;"1-Way",
        LEFT(P5342,5)&lt;&gt;"2-Way",
        LEFT(P5342,5)&lt;&gt;"3-Way",
        P5342&lt;&gt;"Inner Centre Jamb"
      )
    ),
    IF(OR(Enginuity!$A$1="Frameless Glass",Enginuity!$A$1="Metal Work"),
      AND(TRIM(B5342)=TRIM(Enginuity!$A$17),TRIM(C5342)=TRIM(Enginuity!$A$18)),
      TRIM(B5342)=TRIM(Enginuity!$A$17)
    )
  ),
  ROW(),
  ""
)</f>
        <v/>
      </c>
    </row>
    <row r="5343" spans="21:21" x14ac:dyDescent="0.25">
      <c r="U5343" s="104" t="str">
        <f>IF(
  AND(
    TRIM(A5343)=TRIM(Enginuity!$A$1),
    TRIM(B5343)=TRIM(Enginuity!$A$17),
    Q5343&lt;&gt;"",
    Q5343&lt;&gt;0,
    OR(
      TRIM(C5343)=TRIM(Enginuity!$A$18),
      AND(UPPER(TRIM(M5343))="STD", TRIM(B5343)=TRIM(Enginuity!$A$17))
    ),
    OR(
      AND(LEFT(P5343,5)="1-Way", Enginuity!$B$13=1),
      AND(LEFT(P5343,5)="2-Way", OR(Enginuity!$B$13=2, Enginuity!$B$13=4)),
      AND(LEFT(P5343,5)="3-Way", OR(Enginuity!$B$13=3, Enginuity!$B$13=6)),
      AND(P5343="Inner Centre Jamb", OR(Enginuity!$B$13=4, Enginuity!$B$13=6)),
      AND(
        LEFT(P5343,5)&lt;&gt;"1-Way",
        LEFT(P5343,5)&lt;&gt;"2-Way",
        LEFT(P5343,5)&lt;&gt;"3-Way",
        P5343&lt;&gt;"Inner Centre Jamb"
      )
    ),
    IF(OR(Enginuity!$A$1="Frameless Glass",Enginuity!$A$1="Metal Work"),
      AND(TRIM(B5343)=TRIM(Enginuity!$A$17),TRIM(C5343)=TRIM(Enginuity!$A$18)),
      TRIM(B5343)=TRIM(Enginuity!$A$17)
    )
  ),
  ROW(),
  ""
)</f>
        <v/>
      </c>
    </row>
    <row r="5344" spans="21:21" x14ac:dyDescent="0.25">
      <c r="U5344" s="104" t="str">
        <f>IF(
  AND(
    TRIM(A5344)=TRIM(Enginuity!$A$1),
    TRIM(B5344)=TRIM(Enginuity!$A$17),
    Q5344&lt;&gt;"",
    Q5344&lt;&gt;0,
    OR(
      TRIM(C5344)=TRIM(Enginuity!$A$18),
      AND(UPPER(TRIM(M5344))="STD", TRIM(B5344)=TRIM(Enginuity!$A$17))
    ),
    OR(
      AND(LEFT(P5344,5)="1-Way", Enginuity!$B$13=1),
      AND(LEFT(P5344,5)="2-Way", OR(Enginuity!$B$13=2, Enginuity!$B$13=4)),
      AND(LEFT(P5344,5)="3-Way", OR(Enginuity!$B$13=3, Enginuity!$B$13=6)),
      AND(P5344="Inner Centre Jamb", OR(Enginuity!$B$13=4, Enginuity!$B$13=6)),
      AND(
        LEFT(P5344,5)&lt;&gt;"1-Way",
        LEFT(P5344,5)&lt;&gt;"2-Way",
        LEFT(P5344,5)&lt;&gt;"3-Way",
        P5344&lt;&gt;"Inner Centre Jamb"
      )
    ),
    IF(OR(Enginuity!$A$1="Frameless Glass",Enginuity!$A$1="Metal Work"),
      AND(TRIM(B5344)=TRIM(Enginuity!$A$17),TRIM(C5344)=TRIM(Enginuity!$A$18)),
      TRIM(B5344)=TRIM(Enginuity!$A$17)
    )
  ),
  ROW(),
  ""
)</f>
        <v/>
      </c>
    </row>
    <row r="5345" spans="21:21" x14ac:dyDescent="0.25">
      <c r="U5345" s="104" t="str">
        <f>IF(
  AND(
    TRIM(A5345)=TRIM(Enginuity!$A$1),
    TRIM(B5345)=TRIM(Enginuity!$A$17),
    Q5345&lt;&gt;"",
    Q5345&lt;&gt;0,
    OR(
      TRIM(C5345)=TRIM(Enginuity!$A$18),
      AND(UPPER(TRIM(M5345))="STD", TRIM(B5345)=TRIM(Enginuity!$A$17))
    ),
    OR(
      AND(LEFT(P5345,5)="1-Way", Enginuity!$B$13=1),
      AND(LEFT(P5345,5)="2-Way", OR(Enginuity!$B$13=2, Enginuity!$B$13=4)),
      AND(LEFT(P5345,5)="3-Way", OR(Enginuity!$B$13=3, Enginuity!$B$13=6)),
      AND(P5345="Inner Centre Jamb", OR(Enginuity!$B$13=4, Enginuity!$B$13=6)),
      AND(
        LEFT(P5345,5)&lt;&gt;"1-Way",
        LEFT(P5345,5)&lt;&gt;"2-Way",
        LEFT(P5345,5)&lt;&gt;"3-Way",
        P5345&lt;&gt;"Inner Centre Jamb"
      )
    ),
    IF(OR(Enginuity!$A$1="Frameless Glass",Enginuity!$A$1="Metal Work"),
      AND(TRIM(B5345)=TRIM(Enginuity!$A$17),TRIM(C5345)=TRIM(Enginuity!$A$18)),
      TRIM(B5345)=TRIM(Enginuity!$A$17)
    )
  ),
  ROW(),
  ""
)</f>
        <v/>
      </c>
    </row>
    <row r="5346" spans="21:21" x14ac:dyDescent="0.25">
      <c r="U5346" s="104" t="str">
        <f>IF(
  AND(
    TRIM(A5346)=TRIM(Enginuity!$A$1),
    TRIM(B5346)=TRIM(Enginuity!$A$17),
    Q5346&lt;&gt;"",
    Q5346&lt;&gt;0,
    OR(
      TRIM(C5346)=TRIM(Enginuity!$A$18),
      AND(UPPER(TRIM(M5346))="STD", TRIM(B5346)=TRIM(Enginuity!$A$17))
    ),
    OR(
      AND(LEFT(P5346,5)="1-Way", Enginuity!$B$13=1),
      AND(LEFT(P5346,5)="2-Way", OR(Enginuity!$B$13=2, Enginuity!$B$13=4)),
      AND(LEFT(P5346,5)="3-Way", OR(Enginuity!$B$13=3, Enginuity!$B$13=6)),
      AND(P5346="Inner Centre Jamb", OR(Enginuity!$B$13=4, Enginuity!$B$13=6)),
      AND(
        LEFT(P5346,5)&lt;&gt;"1-Way",
        LEFT(P5346,5)&lt;&gt;"2-Way",
        LEFT(P5346,5)&lt;&gt;"3-Way",
        P5346&lt;&gt;"Inner Centre Jamb"
      )
    ),
    IF(OR(Enginuity!$A$1="Frameless Glass",Enginuity!$A$1="Metal Work"),
      AND(TRIM(B5346)=TRIM(Enginuity!$A$17),TRIM(C5346)=TRIM(Enginuity!$A$18)),
      TRIM(B5346)=TRIM(Enginuity!$A$17)
    )
  ),
  ROW(),
  ""
)</f>
        <v/>
      </c>
    </row>
    <row r="5347" spans="21:21" x14ac:dyDescent="0.25">
      <c r="U5347" s="104" t="str">
        <f>IF(
  AND(
    TRIM(A5347)=TRIM(Enginuity!$A$1),
    TRIM(B5347)=TRIM(Enginuity!$A$17),
    Q5347&lt;&gt;"",
    Q5347&lt;&gt;0,
    OR(
      TRIM(C5347)=TRIM(Enginuity!$A$18),
      AND(UPPER(TRIM(M5347))="STD", TRIM(B5347)=TRIM(Enginuity!$A$17))
    ),
    OR(
      AND(LEFT(P5347,5)="1-Way", Enginuity!$B$13=1),
      AND(LEFT(P5347,5)="2-Way", OR(Enginuity!$B$13=2, Enginuity!$B$13=4)),
      AND(LEFT(P5347,5)="3-Way", OR(Enginuity!$B$13=3, Enginuity!$B$13=6)),
      AND(P5347="Inner Centre Jamb", OR(Enginuity!$B$13=4, Enginuity!$B$13=6)),
      AND(
        LEFT(P5347,5)&lt;&gt;"1-Way",
        LEFT(P5347,5)&lt;&gt;"2-Way",
        LEFT(P5347,5)&lt;&gt;"3-Way",
        P5347&lt;&gt;"Inner Centre Jamb"
      )
    ),
    IF(OR(Enginuity!$A$1="Frameless Glass",Enginuity!$A$1="Metal Work"),
      AND(TRIM(B5347)=TRIM(Enginuity!$A$17),TRIM(C5347)=TRIM(Enginuity!$A$18)),
      TRIM(B5347)=TRIM(Enginuity!$A$17)
    )
  ),
  ROW(),
  ""
)</f>
        <v/>
      </c>
    </row>
    <row r="5348" spans="21:21" x14ac:dyDescent="0.25">
      <c r="U5348" s="104" t="str">
        <f>IF(
  AND(
    TRIM(A5348)=TRIM(Enginuity!$A$1),
    TRIM(B5348)=TRIM(Enginuity!$A$17),
    Q5348&lt;&gt;"",
    Q5348&lt;&gt;0,
    OR(
      TRIM(C5348)=TRIM(Enginuity!$A$18),
      AND(UPPER(TRIM(M5348))="STD", TRIM(B5348)=TRIM(Enginuity!$A$17))
    ),
    OR(
      AND(LEFT(P5348,5)="1-Way", Enginuity!$B$13=1),
      AND(LEFT(P5348,5)="2-Way", OR(Enginuity!$B$13=2, Enginuity!$B$13=4)),
      AND(LEFT(P5348,5)="3-Way", OR(Enginuity!$B$13=3, Enginuity!$B$13=6)),
      AND(P5348="Inner Centre Jamb", OR(Enginuity!$B$13=4, Enginuity!$B$13=6)),
      AND(
        LEFT(P5348,5)&lt;&gt;"1-Way",
        LEFT(P5348,5)&lt;&gt;"2-Way",
        LEFT(P5348,5)&lt;&gt;"3-Way",
        P5348&lt;&gt;"Inner Centre Jamb"
      )
    ),
    IF(OR(Enginuity!$A$1="Frameless Glass",Enginuity!$A$1="Metal Work"),
      AND(TRIM(B5348)=TRIM(Enginuity!$A$17),TRIM(C5348)=TRIM(Enginuity!$A$18)),
      TRIM(B5348)=TRIM(Enginuity!$A$17)
    )
  ),
  ROW(),
  ""
)</f>
        <v/>
      </c>
    </row>
    <row r="5349" spans="21:21" x14ac:dyDescent="0.25">
      <c r="U5349" s="104" t="str">
        <f>IF(
  AND(
    TRIM(A5349)=TRIM(Enginuity!$A$1),
    TRIM(B5349)=TRIM(Enginuity!$A$17),
    Q5349&lt;&gt;"",
    Q5349&lt;&gt;0,
    OR(
      TRIM(C5349)=TRIM(Enginuity!$A$18),
      AND(UPPER(TRIM(M5349))="STD", TRIM(B5349)=TRIM(Enginuity!$A$17))
    ),
    OR(
      AND(LEFT(P5349,5)="1-Way", Enginuity!$B$13=1),
      AND(LEFT(P5349,5)="2-Way", OR(Enginuity!$B$13=2, Enginuity!$B$13=4)),
      AND(LEFT(P5349,5)="3-Way", OR(Enginuity!$B$13=3, Enginuity!$B$13=6)),
      AND(P5349="Inner Centre Jamb", OR(Enginuity!$B$13=4, Enginuity!$B$13=6)),
      AND(
        LEFT(P5349,5)&lt;&gt;"1-Way",
        LEFT(P5349,5)&lt;&gt;"2-Way",
        LEFT(P5349,5)&lt;&gt;"3-Way",
        P5349&lt;&gt;"Inner Centre Jamb"
      )
    ),
    IF(OR(Enginuity!$A$1="Frameless Glass",Enginuity!$A$1="Metal Work"),
      AND(TRIM(B5349)=TRIM(Enginuity!$A$17),TRIM(C5349)=TRIM(Enginuity!$A$18)),
      TRIM(B5349)=TRIM(Enginuity!$A$17)
    )
  ),
  ROW(),
  ""
)</f>
        <v/>
      </c>
    </row>
    <row r="5350" spans="21:21" x14ac:dyDescent="0.25">
      <c r="U5350" s="104" t="str">
        <f>IF(
  AND(
    TRIM(A5350)=TRIM(Enginuity!$A$1),
    TRIM(B5350)=TRIM(Enginuity!$A$17),
    Q5350&lt;&gt;"",
    Q5350&lt;&gt;0,
    OR(
      TRIM(C5350)=TRIM(Enginuity!$A$18),
      AND(UPPER(TRIM(M5350))="STD", TRIM(B5350)=TRIM(Enginuity!$A$17))
    ),
    OR(
      AND(LEFT(P5350,5)="1-Way", Enginuity!$B$13=1),
      AND(LEFT(P5350,5)="2-Way", OR(Enginuity!$B$13=2, Enginuity!$B$13=4)),
      AND(LEFT(P5350,5)="3-Way", OR(Enginuity!$B$13=3, Enginuity!$B$13=6)),
      AND(P5350="Inner Centre Jamb", OR(Enginuity!$B$13=4, Enginuity!$B$13=6)),
      AND(
        LEFT(P5350,5)&lt;&gt;"1-Way",
        LEFT(P5350,5)&lt;&gt;"2-Way",
        LEFT(P5350,5)&lt;&gt;"3-Way",
        P5350&lt;&gt;"Inner Centre Jamb"
      )
    ),
    IF(OR(Enginuity!$A$1="Frameless Glass",Enginuity!$A$1="Metal Work"),
      AND(TRIM(B5350)=TRIM(Enginuity!$A$17),TRIM(C5350)=TRIM(Enginuity!$A$18)),
      TRIM(B5350)=TRIM(Enginuity!$A$17)
    )
  ),
  ROW(),
  ""
)</f>
        <v/>
      </c>
    </row>
    <row r="5351" spans="21:21" x14ac:dyDescent="0.25">
      <c r="U5351" s="104" t="str">
        <f>IF(
  AND(
    TRIM(A5351)=TRIM(Enginuity!$A$1),
    TRIM(B5351)=TRIM(Enginuity!$A$17),
    Q5351&lt;&gt;"",
    Q5351&lt;&gt;0,
    OR(
      TRIM(C5351)=TRIM(Enginuity!$A$18),
      AND(UPPER(TRIM(M5351))="STD", TRIM(B5351)=TRIM(Enginuity!$A$17))
    ),
    OR(
      AND(LEFT(P5351,5)="1-Way", Enginuity!$B$13=1),
      AND(LEFT(P5351,5)="2-Way", OR(Enginuity!$B$13=2, Enginuity!$B$13=4)),
      AND(LEFT(P5351,5)="3-Way", OR(Enginuity!$B$13=3, Enginuity!$B$13=6)),
      AND(P5351="Inner Centre Jamb", OR(Enginuity!$B$13=4, Enginuity!$B$13=6)),
      AND(
        LEFT(P5351,5)&lt;&gt;"1-Way",
        LEFT(P5351,5)&lt;&gt;"2-Way",
        LEFT(P5351,5)&lt;&gt;"3-Way",
        P5351&lt;&gt;"Inner Centre Jamb"
      )
    ),
    IF(OR(Enginuity!$A$1="Frameless Glass",Enginuity!$A$1="Metal Work"),
      AND(TRIM(B5351)=TRIM(Enginuity!$A$17),TRIM(C5351)=TRIM(Enginuity!$A$18)),
      TRIM(B5351)=TRIM(Enginuity!$A$17)
    )
  ),
  ROW(),
  ""
)</f>
        <v/>
      </c>
    </row>
    <row r="5352" spans="21:21" x14ac:dyDescent="0.25">
      <c r="U5352" s="104" t="str">
        <f>IF(
  AND(
    TRIM(A5352)=TRIM(Enginuity!$A$1),
    TRIM(B5352)=TRIM(Enginuity!$A$17),
    Q5352&lt;&gt;"",
    Q5352&lt;&gt;0,
    OR(
      TRIM(C5352)=TRIM(Enginuity!$A$18),
      AND(UPPER(TRIM(M5352))="STD", TRIM(B5352)=TRIM(Enginuity!$A$17))
    ),
    OR(
      AND(LEFT(P5352,5)="1-Way", Enginuity!$B$13=1),
      AND(LEFT(P5352,5)="2-Way", OR(Enginuity!$B$13=2, Enginuity!$B$13=4)),
      AND(LEFT(P5352,5)="3-Way", OR(Enginuity!$B$13=3, Enginuity!$B$13=6)),
      AND(P5352="Inner Centre Jamb", OR(Enginuity!$B$13=4, Enginuity!$B$13=6)),
      AND(
        LEFT(P5352,5)&lt;&gt;"1-Way",
        LEFT(P5352,5)&lt;&gt;"2-Way",
        LEFT(P5352,5)&lt;&gt;"3-Way",
        P5352&lt;&gt;"Inner Centre Jamb"
      )
    ),
    IF(OR(Enginuity!$A$1="Frameless Glass",Enginuity!$A$1="Metal Work"),
      AND(TRIM(B5352)=TRIM(Enginuity!$A$17),TRIM(C5352)=TRIM(Enginuity!$A$18)),
      TRIM(B5352)=TRIM(Enginuity!$A$17)
    )
  ),
  ROW(),
  ""
)</f>
        <v/>
      </c>
    </row>
    <row r="5353" spans="21:21" x14ac:dyDescent="0.25">
      <c r="U5353" s="104" t="str">
        <f>IF(
  AND(
    TRIM(A5353)=TRIM(Enginuity!$A$1),
    TRIM(B5353)=TRIM(Enginuity!$A$17),
    Q5353&lt;&gt;"",
    Q5353&lt;&gt;0,
    OR(
      TRIM(C5353)=TRIM(Enginuity!$A$18),
      AND(UPPER(TRIM(M5353))="STD", TRIM(B5353)=TRIM(Enginuity!$A$17))
    ),
    OR(
      AND(LEFT(P5353,5)="1-Way", Enginuity!$B$13=1),
      AND(LEFT(P5353,5)="2-Way", OR(Enginuity!$B$13=2, Enginuity!$B$13=4)),
      AND(LEFT(P5353,5)="3-Way", OR(Enginuity!$B$13=3, Enginuity!$B$13=6)),
      AND(P5353="Inner Centre Jamb", OR(Enginuity!$B$13=4, Enginuity!$B$13=6)),
      AND(
        LEFT(P5353,5)&lt;&gt;"1-Way",
        LEFT(P5353,5)&lt;&gt;"2-Way",
        LEFT(P5353,5)&lt;&gt;"3-Way",
        P5353&lt;&gt;"Inner Centre Jamb"
      )
    ),
    IF(OR(Enginuity!$A$1="Frameless Glass",Enginuity!$A$1="Metal Work"),
      AND(TRIM(B5353)=TRIM(Enginuity!$A$17),TRIM(C5353)=TRIM(Enginuity!$A$18)),
      TRIM(B5353)=TRIM(Enginuity!$A$17)
    )
  ),
  ROW(),
  ""
)</f>
        <v/>
      </c>
    </row>
    <row r="5354" spans="21:21" x14ac:dyDescent="0.25">
      <c r="U5354" s="104" t="str">
        <f>IF(
  AND(
    TRIM(A5354)=TRIM(Enginuity!$A$1),
    TRIM(B5354)=TRIM(Enginuity!$A$17),
    Q5354&lt;&gt;"",
    Q5354&lt;&gt;0,
    OR(
      TRIM(C5354)=TRIM(Enginuity!$A$18),
      AND(UPPER(TRIM(M5354))="STD", TRIM(B5354)=TRIM(Enginuity!$A$17))
    ),
    OR(
      AND(LEFT(P5354,5)="1-Way", Enginuity!$B$13=1),
      AND(LEFT(P5354,5)="2-Way", OR(Enginuity!$B$13=2, Enginuity!$B$13=4)),
      AND(LEFT(P5354,5)="3-Way", OR(Enginuity!$B$13=3, Enginuity!$B$13=6)),
      AND(P5354="Inner Centre Jamb", OR(Enginuity!$B$13=4, Enginuity!$B$13=6)),
      AND(
        LEFT(P5354,5)&lt;&gt;"1-Way",
        LEFT(P5354,5)&lt;&gt;"2-Way",
        LEFT(P5354,5)&lt;&gt;"3-Way",
        P5354&lt;&gt;"Inner Centre Jamb"
      )
    ),
    IF(OR(Enginuity!$A$1="Frameless Glass",Enginuity!$A$1="Metal Work"),
      AND(TRIM(B5354)=TRIM(Enginuity!$A$17),TRIM(C5354)=TRIM(Enginuity!$A$18)),
      TRIM(B5354)=TRIM(Enginuity!$A$17)
    )
  ),
  ROW(),
  ""
)</f>
        <v/>
      </c>
    </row>
    <row r="5355" spans="21:21" x14ac:dyDescent="0.25">
      <c r="U5355" s="104" t="str">
        <f>IF(
  AND(
    TRIM(A5355)=TRIM(Enginuity!$A$1),
    TRIM(B5355)=TRIM(Enginuity!$A$17),
    Q5355&lt;&gt;"",
    Q5355&lt;&gt;0,
    OR(
      TRIM(C5355)=TRIM(Enginuity!$A$18),
      AND(UPPER(TRIM(M5355))="STD", TRIM(B5355)=TRIM(Enginuity!$A$17))
    ),
    OR(
      AND(LEFT(P5355,5)="1-Way", Enginuity!$B$13=1),
      AND(LEFT(P5355,5)="2-Way", OR(Enginuity!$B$13=2, Enginuity!$B$13=4)),
      AND(LEFT(P5355,5)="3-Way", OR(Enginuity!$B$13=3, Enginuity!$B$13=6)),
      AND(P5355="Inner Centre Jamb", OR(Enginuity!$B$13=4, Enginuity!$B$13=6)),
      AND(
        LEFT(P5355,5)&lt;&gt;"1-Way",
        LEFT(P5355,5)&lt;&gt;"2-Way",
        LEFT(P5355,5)&lt;&gt;"3-Way",
        P5355&lt;&gt;"Inner Centre Jamb"
      )
    ),
    IF(OR(Enginuity!$A$1="Frameless Glass",Enginuity!$A$1="Metal Work"),
      AND(TRIM(B5355)=TRIM(Enginuity!$A$17),TRIM(C5355)=TRIM(Enginuity!$A$18)),
      TRIM(B5355)=TRIM(Enginuity!$A$17)
    )
  ),
  ROW(),
  ""
)</f>
        <v/>
      </c>
    </row>
    <row r="5356" spans="21:21" x14ac:dyDescent="0.25">
      <c r="U5356" s="104" t="str">
        <f>IF(
  AND(
    TRIM(A5356)=TRIM(Enginuity!$A$1),
    TRIM(B5356)=TRIM(Enginuity!$A$17),
    Q5356&lt;&gt;"",
    Q5356&lt;&gt;0,
    OR(
      TRIM(C5356)=TRIM(Enginuity!$A$18),
      AND(UPPER(TRIM(M5356))="STD", TRIM(B5356)=TRIM(Enginuity!$A$17))
    ),
    OR(
      AND(LEFT(P5356,5)="1-Way", Enginuity!$B$13=1),
      AND(LEFT(P5356,5)="2-Way", OR(Enginuity!$B$13=2, Enginuity!$B$13=4)),
      AND(LEFT(P5356,5)="3-Way", OR(Enginuity!$B$13=3, Enginuity!$B$13=6)),
      AND(P5356="Inner Centre Jamb", OR(Enginuity!$B$13=4, Enginuity!$B$13=6)),
      AND(
        LEFT(P5356,5)&lt;&gt;"1-Way",
        LEFT(P5356,5)&lt;&gt;"2-Way",
        LEFT(P5356,5)&lt;&gt;"3-Way",
        P5356&lt;&gt;"Inner Centre Jamb"
      )
    ),
    IF(OR(Enginuity!$A$1="Frameless Glass",Enginuity!$A$1="Metal Work"),
      AND(TRIM(B5356)=TRIM(Enginuity!$A$17),TRIM(C5356)=TRIM(Enginuity!$A$18)),
      TRIM(B5356)=TRIM(Enginuity!$A$17)
    )
  ),
  ROW(),
  ""
)</f>
        <v/>
      </c>
    </row>
    <row r="5357" spans="21:21" x14ac:dyDescent="0.25">
      <c r="U5357" s="104" t="str">
        <f>IF(
  AND(
    TRIM(A5357)=TRIM(Enginuity!$A$1),
    TRIM(B5357)=TRIM(Enginuity!$A$17),
    Q5357&lt;&gt;"",
    Q5357&lt;&gt;0,
    OR(
      TRIM(C5357)=TRIM(Enginuity!$A$18),
      AND(UPPER(TRIM(M5357))="STD", TRIM(B5357)=TRIM(Enginuity!$A$17))
    ),
    OR(
      AND(LEFT(P5357,5)="1-Way", Enginuity!$B$13=1),
      AND(LEFT(P5357,5)="2-Way", OR(Enginuity!$B$13=2, Enginuity!$B$13=4)),
      AND(LEFT(P5357,5)="3-Way", OR(Enginuity!$B$13=3, Enginuity!$B$13=6)),
      AND(P5357="Inner Centre Jamb", OR(Enginuity!$B$13=4, Enginuity!$B$13=6)),
      AND(
        LEFT(P5357,5)&lt;&gt;"1-Way",
        LEFT(P5357,5)&lt;&gt;"2-Way",
        LEFT(P5357,5)&lt;&gt;"3-Way",
        P5357&lt;&gt;"Inner Centre Jamb"
      )
    ),
    IF(OR(Enginuity!$A$1="Frameless Glass",Enginuity!$A$1="Metal Work"),
      AND(TRIM(B5357)=TRIM(Enginuity!$A$17),TRIM(C5357)=TRIM(Enginuity!$A$18)),
      TRIM(B5357)=TRIM(Enginuity!$A$17)
    )
  ),
  ROW(),
  ""
)</f>
        <v/>
      </c>
    </row>
    <row r="5358" spans="21:21" x14ac:dyDescent="0.25">
      <c r="U5358" s="104" t="str">
        <f>IF(
  AND(
    TRIM(A5358)=TRIM(Enginuity!$A$1),
    TRIM(B5358)=TRIM(Enginuity!$A$17),
    Q5358&lt;&gt;"",
    Q5358&lt;&gt;0,
    OR(
      TRIM(C5358)=TRIM(Enginuity!$A$18),
      AND(UPPER(TRIM(M5358))="STD", TRIM(B5358)=TRIM(Enginuity!$A$17))
    ),
    OR(
      AND(LEFT(P5358,5)="1-Way", Enginuity!$B$13=1),
      AND(LEFT(P5358,5)="2-Way", OR(Enginuity!$B$13=2, Enginuity!$B$13=4)),
      AND(LEFT(P5358,5)="3-Way", OR(Enginuity!$B$13=3, Enginuity!$B$13=6)),
      AND(P5358="Inner Centre Jamb", OR(Enginuity!$B$13=4, Enginuity!$B$13=6)),
      AND(
        LEFT(P5358,5)&lt;&gt;"1-Way",
        LEFT(P5358,5)&lt;&gt;"2-Way",
        LEFT(P5358,5)&lt;&gt;"3-Way",
        P5358&lt;&gt;"Inner Centre Jamb"
      )
    ),
    IF(OR(Enginuity!$A$1="Frameless Glass",Enginuity!$A$1="Metal Work"),
      AND(TRIM(B5358)=TRIM(Enginuity!$A$17),TRIM(C5358)=TRIM(Enginuity!$A$18)),
      TRIM(B5358)=TRIM(Enginuity!$A$17)
    )
  ),
  ROW(),
  ""
)</f>
        <v/>
      </c>
    </row>
    <row r="5359" spans="21:21" x14ac:dyDescent="0.25">
      <c r="U5359" s="104" t="str">
        <f>IF(
  AND(
    TRIM(A5359)=TRIM(Enginuity!$A$1),
    TRIM(B5359)=TRIM(Enginuity!$A$17),
    Q5359&lt;&gt;"",
    Q5359&lt;&gt;0,
    OR(
      TRIM(C5359)=TRIM(Enginuity!$A$18),
      AND(UPPER(TRIM(M5359))="STD", TRIM(B5359)=TRIM(Enginuity!$A$17))
    ),
    OR(
      AND(LEFT(P5359,5)="1-Way", Enginuity!$B$13=1),
      AND(LEFT(P5359,5)="2-Way", OR(Enginuity!$B$13=2, Enginuity!$B$13=4)),
      AND(LEFT(P5359,5)="3-Way", OR(Enginuity!$B$13=3, Enginuity!$B$13=6)),
      AND(P5359="Inner Centre Jamb", OR(Enginuity!$B$13=4, Enginuity!$B$13=6)),
      AND(
        LEFT(P5359,5)&lt;&gt;"1-Way",
        LEFT(P5359,5)&lt;&gt;"2-Way",
        LEFT(P5359,5)&lt;&gt;"3-Way",
        P5359&lt;&gt;"Inner Centre Jamb"
      )
    ),
    IF(OR(Enginuity!$A$1="Frameless Glass",Enginuity!$A$1="Metal Work"),
      AND(TRIM(B5359)=TRIM(Enginuity!$A$17),TRIM(C5359)=TRIM(Enginuity!$A$18)),
      TRIM(B5359)=TRIM(Enginuity!$A$17)
    )
  ),
  ROW(),
  ""
)</f>
        <v/>
      </c>
    </row>
    <row r="5360" spans="21:21" x14ac:dyDescent="0.25">
      <c r="U5360" s="104" t="str">
        <f>IF(
  AND(
    TRIM(A5360)=TRIM(Enginuity!$A$1),
    TRIM(B5360)=TRIM(Enginuity!$A$17),
    Q5360&lt;&gt;"",
    Q5360&lt;&gt;0,
    OR(
      TRIM(C5360)=TRIM(Enginuity!$A$18),
      AND(UPPER(TRIM(M5360))="STD", TRIM(B5360)=TRIM(Enginuity!$A$17))
    ),
    OR(
      AND(LEFT(P5360,5)="1-Way", Enginuity!$B$13=1),
      AND(LEFT(P5360,5)="2-Way", OR(Enginuity!$B$13=2, Enginuity!$B$13=4)),
      AND(LEFT(P5360,5)="3-Way", OR(Enginuity!$B$13=3, Enginuity!$B$13=6)),
      AND(P5360="Inner Centre Jamb", OR(Enginuity!$B$13=4, Enginuity!$B$13=6)),
      AND(
        LEFT(P5360,5)&lt;&gt;"1-Way",
        LEFT(P5360,5)&lt;&gt;"2-Way",
        LEFT(P5360,5)&lt;&gt;"3-Way",
        P5360&lt;&gt;"Inner Centre Jamb"
      )
    ),
    IF(OR(Enginuity!$A$1="Frameless Glass",Enginuity!$A$1="Metal Work"),
      AND(TRIM(B5360)=TRIM(Enginuity!$A$17),TRIM(C5360)=TRIM(Enginuity!$A$18)),
      TRIM(B5360)=TRIM(Enginuity!$A$17)
    )
  ),
  ROW(),
  ""
)</f>
        <v/>
      </c>
    </row>
    <row r="5361" spans="21:21" x14ac:dyDescent="0.25">
      <c r="U5361" s="104" t="str">
        <f>IF(
  AND(
    TRIM(A5361)=TRIM(Enginuity!$A$1),
    TRIM(B5361)=TRIM(Enginuity!$A$17),
    Q5361&lt;&gt;"",
    Q5361&lt;&gt;0,
    OR(
      TRIM(C5361)=TRIM(Enginuity!$A$18),
      AND(UPPER(TRIM(M5361))="STD", TRIM(B5361)=TRIM(Enginuity!$A$17))
    ),
    OR(
      AND(LEFT(P5361,5)="1-Way", Enginuity!$B$13=1),
      AND(LEFT(P5361,5)="2-Way", OR(Enginuity!$B$13=2, Enginuity!$B$13=4)),
      AND(LEFT(P5361,5)="3-Way", OR(Enginuity!$B$13=3, Enginuity!$B$13=6)),
      AND(P5361="Inner Centre Jamb", OR(Enginuity!$B$13=4, Enginuity!$B$13=6)),
      AND(
        LEFT(P5361,5)&lt;&gt;"1-Way",
        LEFT(P5361,5)&lt;&gt;"2-Way",
        LEFT(P5361,5)&lt;&gt;"3-Way",
        P5361&lt;&gt;"Inner Centre Jamb"
      )
    ),
    IF(OR(Enginuity!$A$1="Frameless Glass",Enginuity!$A$1="Metal Work"),
      AND(TRIM(B5361)=TRIM(Enginuity!$A$17),TRIM(C5361)=TRIM(Enginuity!$A$18)),
      TRIM(B5361)=TRIM(Enginuity!$A$17)
    )
  ),
  ROW(),
  ""
)</f>
        <v/>
      </c>
    </row>
    <row r="5362" spans="21:21" x14ac:dyDescent="0.25">
      <c r="U5362" s="104" t="str">
        <f>IF(
  AND(
    TRIM(A5362)=TRIM(Enginuity!$A$1),
    TRIM(B5362)=TRIM(Enginuity!$A$17),
    Q5362&lt;&gt;"",
    Q5362&lt;&gt;0,
    OR(
      TRIM(C5362)=TRIM(Enginuity!$A$18),
      AND(UPPER(TRIM(M5362))="STD", TRIM(B5362)=TRIM(Enginuity!$A$17))
    ),
    OR(
      AND(LEFT(P5362,5)="1-Way", Enginuity!$B$13=1),
      AND(LEFT(P5362,5)="2-Way", OR(Enginuity!$B$13=2, Enginuity!$B$13=4)),
      AND(LEFT(P5362,5)="3-Way", OR(Enginuity!$B$13=3, Enginuity!$B$13=6)),
      AND(P5362="Inner Centre Jamb", OR(Enginuity!$B$13=4, Enginuity!$B$13=6)),
      AND(
        LEFT(P5362,5)&lt;&gt;"1-Way",
        LEFT(P5362,5)&lt;&gt;"2-Way",
        LEFT(P5362,5)&lt;&gt;"3-Way",
        P5362&lt;&gt;"Inner Centre Jamb"
      )
    ),
    IF(OR(Enginuity!$A$1="Frameless Glass",Enginuity!$A$1="Metal Work"),
      AND(TRIM(B5362)=TRIM(Enginuity!$A$17),TRIM(C5362)=TRIM(Enginuity!$A$18)),
      TRIM(B5362)=TRIM(Enginuity!$A$17)
    )
  ),
  ROW(),
  ""
)</f>
        <v/>
      </c>
    </row>
    <row r="5363" spans="21:21" x14ac:dyDescent="0.25">
      <c r="U5363" s="104" t="str">
        <f>IF(
  AND(
    TRIM(A5363)=TRIM(Enginuity!$A$1),
    TRIM(B5363)=TRIM(Enginuity!$A$17),
    Q5363&lt;&gt;"",
    Q5363&lt;&gt;0,
    OR(
      TRIM(C5363)=TRIM(Enginuity!$A$18),
      AND(UPPER(TRIM(M5363))="STD", TRIM(B5363)=TRIM(Enginuity!$A$17))
    ),
    OR(
      AND(LEFT(P5363,5)="1-Way", Enginuity!$B$13=1),
      AND(LEFT(P5363,5)="2-Way", OR(Enginuity!$B$13=2, Enginuity!$B$13=4)),
      AND(LEFT(P5363,5)="3-Way", OR(Enginuity!$B$13=3, Enginuity!$B$13=6)),
      AND(P5363="Inner Centre Jamb", OR(Enginuity!$B$13=4, Enginuity!$B$13=6)),
      AND(
        LEFT(P5363,5)&lt;&gt;"1-Way",
        LEFT(P5363,5)&lt;&gt;"2-Way",
        LEFT(P5363,5)&lt;&gt;"3-Way",
        P5363&lt;&gt;"Inner Centre Jamb"
      )
    ),
    IF(OR(Enginuity!$A$1="Frameless Glass",Enginuity!$A$1="Metal Work"),
      AND(TRIM(B5363)=TRIM(Enginuity!$A$17),TRIM(C5363)=TRIM(Enginuity!$A$18)),
      TRIM(B5363)=TRIM(Enginuity!$A$17)
    )
  ),
  ROW(),
  ""
)</f>
        <v/>
      </c>
    </row>
    <row r="5364" spans="21:21" x14ac:dyDescent="0.25">
      <c r="U5364" s="104" t="str">
        <f>IF(
  AND(
    TRIM(A5364)=TRIM(Enginuity!$A$1),
    TRIM(B5364)=TRIM(Enginuity!$A$17),
    Q5364&lt;&gt;"",
    Q5364&lt;&gt;0,
    OR(
      TRIM(C5364)=TRIM(Enginuity!$A$18),
      AND(UPPER(TRIM(M5364))="STD", TRIM(B5364)=TRIM(Enginuity!$A$17))
    ),
    OR(
      AND(LEFT(P5364,5)="1-Way", Enginuity!$B$13=1),
      AND(LEFT(P5364,5)="2-Way", OR(Enginuity!$B$13=2, Enginuity!$B$13=4)),
      AND(LEFT(P5364,5)="3-Way", OR(Enginuity!$B$13=3, Enginuity!$B$13=6)),
      AND(P5364="Inner Centre Jamb", OR(Enginuity!$B$13=4, Enginuity!$B$13=6)),
      AND(
        LEFT(P5364,5)&lt;&gt;"1-Way",
        LEFT(P5364,5)&lt;&gt;"2-Way",
        LEFT(P5364,5)&lt;&gt;"3-Way",
        P5364&lt;&gt;"Inner Centre Jamb"
      )
    ),
    IF(OR(Enginuity!$A$1="Frameless Glass",Enginuity!$A$1="Metal Work"),
      AND(TRIM(B5364)=TRIM(Enginuity!$A$17),TRIM(C5364)=TRIM(Enginuity!$A$18)),
      TRIM(B5364)=TRIM(Enginuity!$A$17)
    )
  ),
  ROW(),
  ""
)</f>
        <v/>
      </c>
    </row>
    <row r="5365" spans="21:21" x14ac:dyDescent="0.25">
      <c r="U5365" s="104" t="str">
        <f>IF(
  AND(
    TRIM(A5365)=TRIM(Enginuity!$A$1),
    TRIM(B5365)=TRIM(Enginuity!$A$17),
    Q5365&lt;&gt;"",
    Q5365&lt;&gt;0,
    OR(
      TRIM(C5365)=TRIM(Enginuity!$A$18),
      AND(UPPER(TRIM(M5365))="STD", TRIM(B5365)=TRIM(Enginuity!$A$17))
    ),
    OR(
      AND(LEFT(P5365,5)="1-Way", Enginuity!$B$13=1),
      AND(LEFT(P5365,5)="2-Way", OR(Enginuity!$B$13=2, Enginuity!$B$13=4)),
      AND(LEFT(P5365,5)="3-Way", OR(Enginuity!$B$13=3, Enginuity!$B$13=6)),
      AND(P5365="Inner Centre Jamb", OR(Enginuity!$B$13=4, Enginuity!$B$13=6)),
      AND(
        LEFT(P5365,5)&lt;&gt;"1-Way",
        LEFT(P5365,5)&lt;&gt;"2-Way",
        LEFT(P5365,5)&lt;&gt;"3-Way",
        P5365&lt;&gt;"Inner Centre Jamb"
      )
    ),
    IF(OR(Enginuity!$A$1="Frameless Glass",Enginuity!$A$1="Metal Work"),
      AND(TRIM(B5365)=TRIM(Enginuity!$A$17),TRIM(C5365)=TRIM(Enginuity!$A$18)),
      TRIM(B5365)=TRIM(Enginuity!$A$17)
    )
  ),
  ROW(),
  ""
)</f>
        <v/>
      </c>
    </row>
    <row r="5366" spans="21:21" x14ac:dyDescent="0.25">
      <c r="U5366" s="104" t="str">
        <f>IF(
  AND(
    TRIM(A5366)=TRIM(Enginuity!$A$1),
    TRIM(B5366)=TRIM(Enginuity!$A$17),
    Q5366&lt;&gt;"",
    Q5366&lt;&gt;0,
    OR(
      TRIM(C5366)=TRIM(Enginuity!$A$18),
      AND(UPPER(TRIM(M5366))="STD", TRIM(B5366)=TRIM(Enginuity!$A$17))
    ),
    OR(
      AND(LEFT(P5366,5)="1-Way", Enginuity!$B$13=1),
      AND(LEFT(P5366,5)="2-Way", OR(Enginuity!$B$13=2, Enginuity!$B$13=4)),
      AND(LEFT(P5366,5)="3-Way", OR(Enginuity!$B$13=3, Enginuity!$B$13=6)),
      AND(P5366="Inner Centre Jamb", OR(Enginuity!$B$13=4, Enginuity!$B$13=6)),
      AND(
        LEFT(P5366,5)&lt;&gt;"1-Way",
        LEFT(P5366,5)&lt;&gt;"2-Way",
        LEFT(P5366,5)&lt;&gt;"3-Way",
        P5366&lt;&gt;"Inner Centre Jamb"
      )
    ),
    IF(OR(Enginuity!$A$1="Frameless Glass",Enginuity!$A$1="Metal Work"),
      AND(TRIM(B5366)=TRIM(Enginuity!$A$17),TRIM(C5366)=TRIM(Enginuity!$A$18)),
      TRIM(B5366)=TRIM(Enginuity!$A$17)
    )
  ),
  ROW(),
  ""
)</f>
        <v/>
      </c>
    </row>
    <row r="5367" spans="21:21" x14ac:dyDescent="0.25">
      <c r="U5367" s="104" t="str">
        <f>IF(
  AND(
    TRIM(A5367)=TRIM(Enginuity!$A$1),
    TRIM(B5367)=TRIM(Enginuity!$A$17),
    Q5367&lt;&gt;"",
    Q5367&lt;&gt;0,
    OR(
      TRIM(C5367)=TRIM(Enginuity!$A$18),
      AND(UPPER(TRIM(M5367))="STD", TRIM(B5367)=TRIM(Enginuity!$A$17))
    ),
    OR(
      AND(LEFT(P5367,5)="1-Way", Enginuity!$B$13=1),
      AND(LEFT(P5367,5)="2-Way", OR(Enginuity!$B$13=2, Enginuity!$B$13=4)),
      AND(LEFT(P5367,5)="3-Way", OR(Enginuity!$B$13=3, Enginuity!$B$13=6)),
      AND(P5367="Inner Centre Jamb", OR(Enginuity!$B$13=4, Enginuity!$B$13=6)),
      AND(
        LEFT(P5367,5)&lt;&gt;"1-Way",
        LEFT(P5367,5)&lt;&gt;"2-Way",
        LEFT(P5367,5)&lt;&gt;"3-Way",
        P5367&lt;&gt;"Inner Centre Jamb"
      )
    ),
    IF(OR(Enginuity!$A$1="Frameless Glass",Enginuity!$A$1="Metal Work"),
      AND(TRIM(B5367)=TRIM(Enginuity!$A$17),TRIM(C5367)=TRIM(Enginuity!$A$18)),
      TRIM(B5367)=TRIM(Enginuity!$A$17)
    )
  ),
  ROW(),
  ""
)</f>
        <v/>
      </c>
    </row>
    <row r="5368" spans="21:21" x14ac:dyDescent="0.25">
      <c r="U5368" s="104" t="str">
        <f>IF(
  AND(
    TRIM(A5368)=TRIM(Enginuity!$A$1),
    TRIM(B5368)=TRIM(Enginuity!$A$17),
    Q5368&lt;&gt;"",
    Q5368&lt;&gt;0,
    OR(
      TRIM(C5368)=TRIM(Enginuity!$A$18),
      AND(UPPER(TRIM(M5368))="STD", TRIM(B5368)=TRIM(Enginuity!$A$17))
    ),
    OR(
      AND(LEFT(P5368,5)="1-Way", Enginuity!$B$13=1),
      AND(LEFT(P5368,5)="2-Way", OR(Enginuity!$B$13=2, Enginuity!$B$13=4)),
      AND(LEFT(P5368,5)="3-Way", OR(Enginuity!$B$13=3, Enginuity!$B$13=6)),
      AND(P5368="Inner Centre Jamb", OR(Enginuity!$B$13=4, Enginuity!$B$13=6)),
      AND(
        LEFT(P5368,5)&lt;&gt;"1-Way",
        LEFT(P5368,5)&lt;&gt;"2-Way",
        LEFT(P5368,5)&lt;&gt;"3-Way",
        P5368&lt;&gt;"Inner Centre Jamb"
      )
    ),
    IF(OR(Enginuity!$A$1="Frameless Glass",Enginuity!$A$1="Metal Work"),
      AND(TRIM(B5368)=TRIM(Enginuity!$A$17),TRIM(C5368)=TRIM(Enginuity!$A$18)),
      TRIM(B5368)=TRIM(Enginuity!$A$17)
    )
  ),
  ROW(),
  ""
)</f>
        <v/>
      </c>
    </row>
    <row r="5369" spans="21:21" x14ac:dyDescent="0.25">
      <c r="U5369" s="104" t="str">
        <f>IF(
  AND(
    TRIM(A5369)=TRIM(Enginuity!$A$1),
    TRIM(B5369)=TRIM(Enginuity!$A$17),
    Q5369&lt;&gt;"",
    Q5369&lt;&gt;0,
    OR(
      TRIM(C5369)=TRIM(Enginuity!$A$18),
      AND(UPPER(TRIM(M5369))="STD", TRIM(B5369)=TRIM(Enginuity!$A$17))
    ),
    OR(
      AND(LEFT(P5369,5)="1-Way", Enginuity!$B$13=1),
      AND(LEFT(P5369,5)="2-Way", OR(Enginuity!$B$13=2, Enginuity!$B$13=4)),
      AND(LEFT(P5369,5)="3-Way", OR(Enginuity!$B$13=3, Enginuity!$B$13=6)),
      AND(P5369="Inner Centre Jamb", OR(Enginuity!$B$13=4, Enginuity!$B$13=6)),
      AND(
        LEFT(P5369,5)&lt;&gt;"1-Way",
        LEFT(P5369,5)&lt;&gt;"2-Way",
        LEFT(P5369,5)&lt;&gt;"3-Way",
        P5369&lt;&gt;"Inner Centre Jamb"
      )
    ),
    IF(OR(Enginuity!$A$1="Frameless Glass",Enginuity!$A$1="Metal Work"),
      AND(TRIM(B5369)=TRIM(Enginuity!$A$17),TRIM(C5369)=TRIM(Enginuity!$A$18)),
      TRIM(B5369)=TRIM(Enginuity!$A$17)
    )
  ),
  ROW(),
  ""
)</f>
        <v/>
      </c>
    </row>
    <row r="5370" spans="21:21" x14ac:dyDescent="0.25">
      <c r="U5370" s="104" t="str">
        <f>IF(
  AND(
    TRIM(A5370)=TRIM(Enginuity!$A$1),
    TRIM(B5370)=TRIM(Enginuity!$A$17),
    Q5370&lt;&gt;"",
    Q5370&lt;&gt;0,
    OR(
      TRIM(C5370)=TRIM(Enginuity!$A$18),
      AND(UPPER(TRIM(M5370))="STD", TRIM(B5370)=TRIM(Enginuity!$A$17))
    ),
    OR(
      AND(LEFT(P5370,5)="1-Way", Enginuity!$B$13=1),
      AND(LEFT(P5370,5)="2-Way", OR(Enginuity!$B$13=2, Enginuity!$B$13=4)),
      AND(LEFT(P5370,5)="3-Way", OR(Enginuity!$B$13=3, Enginuity!$B$13=6)),
      AND(P5370="Inner Centre Jamb", OR(Enginuity!$B$13=4, Enginuity!$B$13=6)),
      AND(
        LEFT(P5370,5)&lt;&gt;"1-Way",
        LEFT(P5370,5)&lt;&gt;"2-Way",
        LEFT(P5370,5)&lt;&gt;"3-Way",
        P5370&lt;&gt;"Inner Centre Jamb"
      )
    ),
    IF(OR(Enginuity!$A$1="Frameless Glass",Enginuity!$A$1="Metal Work"),
      AND(TRIM(B5370)=TRIM(Enginuity!$A$17),TRIM(C5370)=TRIM(Enginuity!$A$18)),
      TRIM(B5370)=TRIM(Enginuity!$A$17)
    )
  ),
  ROW(),
  ""
)</f>
        <v/>
      </c>
    </row>
    <row r="5371" spans="21:21" x14ac:dyDescent="0.25">
      <c r="U5371" s="104" t="str">
        <f>IF(
  AND(
    TRIM(A5371)=TRIM(Enginuity!$A$1),
    TRIM(B5371)=TRIM(Enginuity!$A$17),
    Q5371&lt;&gt;"",
    Q5371&lt;&gt;0,
    OR(
      TRIM(C5371)=TRIM(Enginuity!$A$18),
      AND(UPPER(TRIM(M5371))="STD", TRIM(B5371)=TRIM(Enginuity!$A$17))
    ),
    OR(
      AND(LEFT(P5371,5)="1-Way", Enginuity!$B$13=1),
      AND(LEFT(P5371,5)="2-Way", OR(Enginuity!$B$13=2, Enginuity!$B$13=4)),
      AND(LEFT(P5371,5)="3-Way", OR(Enginuity!$B$13=3, Enginuity!$B$13=6)),
      AND(P5371="Inner Centre Jamb", OR(Enginuity!$B$13=4, Enginuity!$B$13=6)),
      AND(
        LEFT(P5371,5)&lt;&gt;"1-Way",
        LEFT(P5371,5)&lt;&gt;"2-Way",
        LEFT(P5371,5)&lt;&gt;"3-Way",
        P5371&lt;&gt;"Inner Centre Jamb"
      )
    ),
    IF(OR(Enginuity!$A$1="Frameless Glass",Enginuity!$A$1="Metal Work"),
      AND(TRIM(B5371)=TRIM(Enginuity!$A$17),TRIM(C5371)=TRIM(Enginuity!$A$18)),
      TRIM(B5371)=TRIM(Enginuity!$A$17)
    )
  ),
  ROW(),
  ""
)</f>
        <v/>
      </c>
    </row>
    <row r="5372" spans="21:21" x14ac:dyDescent="0.25">
      <c r="U5372" s="104" t="str">
        <f>IF(
  AND(
    TRIM(A5372)=TRIM(Enginuity!$A$1),
    TRIM(B5372)=TRIM(Enginuity!$A$17),
    Q5372&lt;&gt;"",
    Q5372&lt;&gt;0,
    OR(
      TRIM(C5372)=TRIM(Enginuity!$A$18),
      AND(UPPER(TRIM(M5372))="STD", TRIM(B5372)=TRIM(Enginuity!$A$17))
    ),
    OR(
      AND(LEFT(P5372,5)="1-Way", Enginuity!$B$13=1),
      AND(LEFT(P5372,5)="2-Way", OR(Enginuity!$B$13=2, Enginuity!$B$13=4)),
      AND(LEFT(P5372,5)="3-Way", OR(Enginuity!$B$13=3, Enginuity!$B$13=6)),
      AND(P5372="Inner Centre Jamb", OR(Enginuity!$B$13=4, Enginuity!$B$13=6)),
      AND(
        LEFT(P5372,5)&lt;&gt;"1-Way",
        LEFT(P5372,5)&lt;&gt;"2-Way",
        LEFT(P5372,5)&lt;&gt;"3-Way",
        P5372&lt;&gt;"Inner Centre Jamb"
      )
    ),
    IF(OR(Enginuity!$A$1="Frameless Glass",Enginuity!$A$1="Metal Work"),
      AND(TRIM(B5372)=TRIM(Enginuity!$A$17),TRIM(C5372)=TRIM(Enginuity!$A$18)),
      TRIM(B5372)=TRIM(Enginuity!$A$17)
    )
  ),
  ROW(),
  ""
)</f>
        <v/>
      </c>
    </row>
    <row r="5373" spans="21:21" x14ac:dyDescent="0.25">
      <c r="U5373" s="104" t="str">
        <f>IF(
  AND(
    TRIM(A5373)=TRIM(Enginuity!$A$1),
    TRIM(B5373)=TRIM(Enginuity!$A$17),
    Q5373&lt;&gt;"",
    Q5373&lt;&gt;0,
    OR(
      TRIM(C5373)=TRIM(Enginuity!$A$18),
      AND(UPPER(TRIM(M5373))="STD", TRIM(B5373)=TRIM(Enginuity!$A$17))
    ),
    OR(
      AND(LEFT(P5373,5)="1-Way", Enginuity!$B$13=1),
      AND(LEFT(P5373,5)="2-Way", OR(Enginuity!$B$13=2, Enginuity!$B$13=4)),
      AND(LEFT(P5373,5)="3-Way", OR(Enginuity!$B$13=3, Enginuity!$B$13=6)),
      AND(P5373="Inner Centre Jamb", OR(Enginuity!$B$13=4, Enginuity!$B$13=6)),
      AND(
        LEFT(P5373,5)&lt;&gt;"1-Way",
        LEFT(P5373,5)&lt;&gt;"2-Way",
        LEFT(P5373,5)&lt;&gt;"3-Way",
        P5373&lt;&gt;"Inner Centre Jamb"
      )
    ),
    IF(OR(Enginuity!$A$1="Frameless Glass",Enginuity!$A$1="Metal Work"),
      AND(TRIM(B5373)=TRIM(Enginuity!$A$17),TRIM(C5373)=TRIM(Enginuity!$A$18)),
      TRIM(B5373)=TRIM(Enginuity!$A$17)
    )
  ),
  ROW(),
  ""
)</f>
        <v/>
      </c>
    </row>
    <row r="5374" spans="21:21" x14ac:dyDescent="0.25">
      <c r="U5374" s="104" t="str">
        <f>IF(
  AND(
    TRIM(A5374)=TRIM(Enginuity!$A$1),
    TRIM(B5374)=TRIM(Enginuity!$A$17),
    Q5374&lt;&gt;"",
    Q5374&lt;&gt;0,
    OR(
      TRIM(C5374)=TRIM(Enginuity!$A$18),
      AND(UPPER(TRIM(M5374))="STD", TRIM(B5374)=TRIM(Enginuity!$A$17))
    ),
    OR(
      AND(LEFT(P5374,5)="1-Way", Enginuity!$B$13=1),
      AND(LEFT(P5374,5)="2-Way", OR(Enginuity!$B$13=2, Enginuity!$B$13=4)),
      AND(LEFT(P5374,5)="3-Way", OR(Enginuity!$B$13=3, Enginuity!$B$13=6)),
      AND(P5374="Inner Centre Jamb", OR(Enginuity!$B$13=4, Enginuity!$B$13=6)),
      AND(
        LEFT(P5374,5)&lt;&gt;"1-Way",
        LEFT(P5374,5)&lt;&gt;"2-Way",
        LEFT(P5374,5)&lt;&gt;"3-Way",
        P5374&lt;&gt;"Inner Centre Jamb"
      )
    ),
    IF(OR(Enginuity!$A$1="Frameless Glass",Enginuity!$A$1="Metal Work"),
      AND(TRIM(B5374)=TRIM(Enginuity!$A$17),TRIM(C5374)=TRIM(Enginuity!$A$18)),
      TRIM(B5374)=TRIM(Enginuity!$A$17)
    )
  ),
  ROW(),
  ""
)</f>
        <v/>
      </c>
    </row>
    <row r="5375" spans="21:21" x14ac:dyDescent="0.25">
      <c r="U5375" s="104" t="str">
        <f>IF(
  AND(
    TRIM(A5375)=TRIM(Enginuity!$A$1),
    TRIM(B5375)=TRIM(Enginuity!$A$17),
    Q5375&lt;&gt;"",
    Q5375&lt;&gt;0,
    OR(
      TRIM(C5375)=TRIM(Enginuity!$A$18),
      AND(UPPER(TRIM(M5375))="STD", TRIM(B5375)=TRIM(Enginuity!$A$17))
    ),
    OR(
      AND(LEFT(P5375,5)="1-Way", Enginuity!$B$13=1),
      AND(LEFT(P5375,5)="2-Way", OR(Enginuity!$B$13=2, Enginuity!$B$13=4)),
      AND(LEFT(P5375,5)="3-Way", OR(Enginuity!$B$13=3, Enginuity!$B$13=6)),
      AND(P5375="Inner Centre Jamb", OR(Enginuity!$B$13=4, Enginuity!$B$13=6)),
      AND(
        LEFT(P5375,5)&lt;&gt;"1-Way",
        LEFT(P5375,5)&lt;&gt;"2-Way",
        LEFT(P5375,5)&lt;&gt;"3-Way",
        P5375&lt;&gt;"Inner Centre Jamb"
      )
    ),
    IF(OR(Enginuity!$A$1="Frameless Glass",Enginuity!$A$1="Metal Work"),
      AND(TRIM(B5375)=TRIM(Enginuity!$A$17),TRIM(C5375)=TRIM(Enginuity!$A$18)),
      TRIM(B5375)=TRIM(Enginuity!$A$17)
    )
  ),
  ROW(),
  ""
)</f>
        <v/>
      </c>
    </row>
    <row r="5376" spans="21:21" x14ac:dyDescent="0.25">
      <c r="U5376" s="104" t="str">
        <f>IF(
  AND(
    TRIM(A5376)=TRIM(Enginuity!$A$1),
    TRIM(B5376)=TRIM(Enginuity!$A$17),
    Q5376&lt;&gt;"",
    Q5376&lt;&gt;0,
    OR(
      TRIM(C5376)=TRIM(Enginuity!$A$18),
      AND(UPPER(TRIM(M5376))="STD", TRIM(B5376)=TRIM(Enginuity!$A$17))
    ),
    OR(
      AND(LEFT(P5376,5)="1-Way", Enginuity!$B$13=1),
      AND(LEFT(P5376,5)="2-Way", OR(Enginuity!$B$13=2, Enginuity!$B$13=4)),
      AND(LEFT(P5376,5)="3-Way", OR(Enginuity!$B$13=3, Enginuity!$B$13=6)),
      AND(P5376="Inner Centre Jamb", OR(Enginuity!$B$13=4, Enginuity!$B$13=6)),
      AND(
        LEFT(P5376,5)&lt;&gt;"1-Way",
        LEFT(P5376,5)&lt;&gt;"2-Way",
        LEFT(P5376,5)&lt;&gt;"3-Way",
        P5376&lt;&gt;"Inner Centre Jamb"
      )
    ),
    IF(OR(Enginuity!$A$1="Frameless Glass",Enginuity!$A$1="Metal Work"),
      AND(TRIM(B5376)=TRIM(Enginuity!$A$17),TRIM(C5376)=TRIM(Enginuity!$A$18)),
      TRIM(B5376)=TRIM(Enginuity!$A$17)
    )
  ),
  ROW(),
  ""
)</f>
        <v/>
      </c>
    </row>
    <row r="5377" spans="21:21" x14ac:dyDescent="0.25">
      <c r="U5377" s="104" t="str">
        <f>IF(
  AND(
    TRIM(A5377)=TRIM(Enginuity!$A$1),
    TRIM(B5377)=TRIM(Enginuity!$A$17),
    Q5377&lt;&gt;"",
    Q5377&lt;&gt;0,
    OR(
      TRIM(C5377)=TRIM(Enginuity!$A$18),
      AND(UPPER(TRIM(M5377))="STD", TRIM(B5377)=TRIM(Enginuity!$A$17))
    ),
    OR(
      AND(LEFT(P5377,5)="1-Way", Enginuity!$B$13=1),
      AND(LEFT(P5377,5)="2-Way", OR(Enginuity!$B$13=2, Enginuity!$B$13=4)),
      AND(LEFT(P5377,5)="3-Way", OR(Enginuity!$B$13=3, Enginuity!$B$13=6)),
      AND(P5377="Inner Centre Jamb", OR(Enginuity!$B$13=4, Enginuity!$B$13=6)),
      AND(
        LEFT(P5377,5)&lt;&gt;"1-Way",
        LEFT(P5377,5)&lt;&gt;"2-Way",
        LEFT(P5377,5)&lt;&gt;"3-Way",
        P5377&lt;&gt;"Inner Centre Jamb"
      )
    ),
    IF(OR(Enginuity!$A$1="Frameless Glass",Enginuity!$A$1="Metal Work"),
      AND(TRIM(B5377)=TRIM(Enginuity!$A$17),TRIM(C5377)=TRIM(Enginuity!$A$18)),
      TRIM(B5377)=TRIM(Enginuity!$A$17)
    )
  ),
  ROW(),
  ""
)</f>
        <v/>
      </c>
    </row>
    <row r="5378" spans="21:21" x14ac:dyDescent="0.25">
      <c r="U5378" s="104" t="str">
        <f>IF(
  AND(
    TRIM(A5378)=TRIM(Enginuity!$A$1),
    TRIM(B5378)=TRIM(Enginuity!$A$17),
    Q5378&lt;&gt;"",
    Q5378&lt;&gt;0,
    OR(
      TRIM(C5378)=TRIM(Enginuity!$A$18),
      AND(UPPER(TRIM(M5378))="STD", TRIM(B5378)=TRIM(Enginuity!$A$17))
    ),
    OR(
      AND(LEFT(P5378,5)="1-Way", Enginuity!$B$13=1),
      AND(LEFT(P5378,5)="2-Way", OR(Enginuity!$B$13=2, Enginuity!$B$13=4)),
      AND(LEFT(P5378,5)="3-Way", OR(Enginuity!$B$13=3, Enginuity!$B$13=6)),
      AND(P5378="Inner Centre Jamb", OR(Enginuity!$B$13=4, Enginuity!$B$13=6)),
      AND(
        LEFT(P5378,5)&lt;&gt;"1-Way",
        LEFT(P5378,5)&lt;&gt;"2-Way",
        LEFT(P5378,5)&lt;&gt;"3-Way",
        P5378&lt;&gt;"Inner Centre Jamb"
      )
    ),
    IF(OR(Enginuity!$A$1="Frameless Glass",Enginuity!$A$1="Metal Work"),
      AND(TRIM(B5378)=TRIM(Enginuity!$A$17),TRIM(C5378)=TRIM(Enginuity!$A$18)),
      TRIM(B5378)=TRIM(Enginuity!$A$17)
    )
  ),
  ROW(),
  ""
)</f>
        <v/>
      </c>
    </row>
    <row r="5379" spans="21:21" x14ac:dyDescent="0.25">
      <c r="U5379" s="104" t="str">
        <f>IF(
  AND(
    TRIM(A5379)=TRIM(Enginuity!$A$1),
    TRIM(B5379)=TRIM(Enginuity!$A$17),
    Q5379&lt;&gt;"",
    Q5379&lt;&gt;0,
    OR(
      TRIM(C5379)=TRIM(Enginuity!$A$18),
      AND(UPPER(TRIM(M5379))="STD", TRIM(B5379)=TRIM(Enginuity!$A$17))
    ),
    OR(
      AND(LEFT(P5379,5)="1-Way", Enginuity!$B$13=1),
      AND(LEFT(P5379,5)="2-Way", OR(Enginuity!$B$13=2, Enginuity!$B$13=4)),
      AND(LEFT(P5379,5)="3-Way", OR(Enginuity!$B$13=3, Enginuity!$B$13=6)),
      AND(P5379="Inner Centre Jamb", OR(Enginuity!$B$13=4, Enginuity!$B$13=6)),
      AND(
        LEFT(P5379,5)&lt;&gt;"1-Way",
        LEFT(P5379,5)&lt;&gt;"2-Way",
        LEFT(P5379,5)&lt;&gt;"3-Way",
        P5379&lt;&gt;"Inner Centre Jamb"
      )
    ),
    IF(OR(Enginuity!$A$1="Frameless Glass",Enginuity!$A$1="Metal Work"),
      AND(TRIM(B5379)=TRIM(Enginuity!$A$17),TRIM(C5379)=TRIM(Enginuity!$A$18)),
      TRIM(B5379)=TRIM(Enginuity!$A$17)
    )
  ),
  ROW(),
  ""
)</f>
        <v/>
      </c>
    </row>
    <row r="5380" spans="21:21" x14ac:dyDescent="0.25">
      <c r="U5380" s="104" t="str">
        <f>IF(
  AND(
    TRIM(A5380)=TRIM(Enginuity!$A$1),
    TRIM(B5380)=TRIM(Enginuity!$A$17),
    Q5380&lt;&gt;"",
    Q5380&lt;&gt;0,
    OR(
      TRIM(C5380)=TRIM(Enginuity!$A$18),
      AND(UPPER(TRIM(M5380))="STD", TRIM(B5380)=TRIM(Enginuity!$A$17))
    ),
    OR(
      AND(LEFT(P5380,5)="1-Way", Enginuity!$B$13=1),
      AND(LEFT(P5380,5)="2-Way", OR(Enginuity!$B$13=2, Enginuity!$B$13=4)),
      AND(LEFT(P5380,5)="3-Way", OR(Enginuity!$B$13=3, Enginuity!$B$13=6)),
      AND(P5380="Inner Centre Jamb", OR(Enginuity!$B$13=4, Enginuity!$B$13=6)),
      AND(
        LEFT(P5380,5)&lt;&gt;"1-Way",
        LEFT(P5380,5)&lt;&gt;"2-Way",
        LEFT(P5380,5)&lt;&gt;"3-Way",
        P5380&lt;&gt;"Inner Centre Jamb"
      )
    ),
    IF(OR(Enginuity!$A$1="Frameless Glass",Enginuity!$A$1="Metal Work"),
      AND(TRIM(B5380)=TRIM(Enginuity!$A$17),TRIM(C5380)=TRIM(Enginuity!$A$18)),
      TRIM(B5380)=TRIM(Enginuity!$A$17)
    )
  ),
  ROW(),
  ""
)</f>
        <v/>
      </c>
    </row>
    <row r="5381" spans="21:21" x14ac:dyDescent="0.25">
      <c r="U5381" s="104" t="str">
        <f>IF(
  AND(
    TRIM(A5381)=TRIM(Enginuity!$A$1),
    TRIM(B5381)=TRIM(Enginuity!$A$17),
    Q5381&lt;&gt;"",
    Q5381&lt;&gt;0,
    OR(
      TRIM(C5381)=TRIM(Enginuity!$A$18),
      AND(UPPER(TRIM(M5381))="STD", TRIM(B5381)=TRIM(Enginuity!$A$17))
    ),
    OR(
      AND(LEFT(P5381,5)="1-Way", Enginuity!$B$13=1),
      AND(LEFT(P5381,5)="2-Way", OR(Enginuity!$B$13=2, Enginuity!$B$13=4)),
      AND(LEFT(P5381,5)="3-Way", OR(Enginuity!$B$13=3, Enginuity!$B$13=6)),
      AND(P5381="Inner Centre Jamb", OR(Enginuity!$B$13=4, Enginuity!$B$13=6)),
      AND(
        LEFT(P5381,5)&lt;&gt;"1-Way",
        LEFT(P5381,5)&lt;&gt;"2-Way",
        LEFT(P5381,5)&lt;&gt;"3-Way",
        P5381&lt;&gt;"Inner Centre Jamb"
      )
    ),
    IF(OR(Enginuity!$A$1="Frameless Glass",Enginuity!$A$1="Metal Work"),
      AND(TRIM(B5381)=TRIM(Enginuity!$A$17),TRIM(C5381)=TRIM(Enginuity!$A$18)),
      TRIM(B5381)=TRIM(Enginuity!$A$17)
    )
  ),
  ROW(),
  ""
)</f>
        <v/>
      </c>
    </row>
    <row r="5382" spans="21:21" x14ac:dyDescent="0.25">
      <c r="U5382" s="104" t="str">
        <f>IF(
  AND(
    TRIM(A5382)=TRIM(Enginuity!$A$1),
    TRIM(B5382)=TRIM(Enginuity!$A$17),
    Q5382&lt;&gt;"",
    Q5382&lt;&gt;0,
    OR(
      TRIM(C5382)=TRIM(Enginuity!$A$18),
      AND(UPPER(TRIM(M5382))="STD", TRIM(B5382)=TRIM(Enginuity!$A$17))
    ),
    OR(
      AND(LEFT(P5382,5)="1-Way", Enginuity!$B$13=1),
      AND(LEFT(P5382,5)="2-Way", OR(Enginuity!$B$13=2, Enginuity!$B$13=4)),
      AND(LEFT(P5382,5)="3-Way", OR(Enginuity!$B$13=3, Enginuity!$B$13=6)),
      AND(P5382="Inner Centre Jamb", OR(Enginuity!$B$13=4, Enginuity!$B$13=6)),
      AND(
        LEFT(P5382,5)&lt;&gt;"1-Way",
        LEFT(P5382,5)&lt;&gt;"2-Way",
        LEFT(P5382,5)&lt;&gt;"3-Way",
        P5382&lt;&gt;"Inner Centre Jamb"
      )
    ),
    IF(OR(Enginuity!$A$1="Frameless Glass",Enginuity!$A$1="Metal Work"),
      AND(TRIM(B5382)=TRIM(Enginuity!$A$17),TRIM(C5382)=TRIM(Enginuity!$A$18)),
      TRIM(B5382)=TRIM(Enginuity!$A$17)
    )
  ),
  ROW(),
  ""
)</f>
        <v/>
      </c>
    </row>
    <row r="5383" spans="21:21" x14ac:dyDescent="0.25">
      <c r="U5383" s="104" t="str">
        <f>IF(
  AND(
    TRIM(A5383)=TRIM(Enginuity!$A$1),
    TRIM(B5383)=TRIM(Enginuity!$A$17),
    Q5383&lt;&gt;"",
    Q5383&lt;&gt;0,
    OR(
      TRIM(C5383)=TRIM(Enginuity!$A$18),
      AND(UPPER(TRIM(M5383))="STD", TRIM(B5383)=TRIM(Enginuity!$A$17))
    ),
    OR(
      AND(LEFT(P5383,5)="1-Way", Enginuity!$B$13=1),
      AND(LEFT(P5383,5)="2-Way", OR(Enginuity!$B$13=2, Enginuity!$B$13=4)),
      AND(LEFT(P5383,5)="3-Way", OR(Enginuity!$B$13=3, Enginuity!$B$13=6)),
      AND(P5383="Inner Centre Jamb", OR(Enginuity!$B$13=4, Enginuity!$B$13=6)),
      AND(
        LEFT(P5383,5)&lt;&gt;"1-Way",
        LEFT(P5383,5)&lt;&gt;"2-Way",
        LEFT(P5383,5)&lt;&gt;"3-Way",
        P5383&lt;&gt;"Inner Centre Jamb"
      )
    ),
    IF(OR(Enginuity!$A$1="Frameless Glass",Enginuity!$A$1="Metal Work"),
      AND(TRIM(B5383)=TRIM(Enginuity!$A$17),TRIM(C5383)=TRIM(Enginuity!$A$18)),
      TRIM(B5383)=TRIM(Enginuity!$A$17)
    )
  ),
  ROW(),
  ""
)</f>
        <v/>
      </c>
    </row>
    <row r="5384" spans="21:21" x14ac:dyDescent="0.25">
      <c r="U5384" s="104" t="str">
        <f>IF(
  AND(
    TRIM(A5384)=TRIM(Enginuity!$A$1),
    TRIM(B5384)=TRIM(Enginuity!$A$17),
    Q5384&lt;&gt;"",
    Q5384&lt;&gt;0,
    OR(
      TRIM(C5384)=TRIM(Enginuity!$A$18),
      AND(UPPER(TRIM(M5384))="STD", TRIM(B5384)=TRIM(Enginuity!$A$17))
    ),
    OR(
      AND(LEFT(P5384,5)="1-Way", Enginuity!$B$13=1),
      AND(LEFT(P5384,5)="2-Way", OR(Enginuity!$B$13=2, Enginuity!$B$13=4)),
      AND(LEFT(P5384,5)="3-Way", OR(Enginuity!$B$13=3, Enginuity!$B$13=6)),
      AND(P5384="Inner Centre Jamb", OR(Enginuity!$B$13=4, Enginuity!$B$13=6)),
      AND(
        LEFT(P5384,5)&lt;&gt;"1-Way",
        LEFT(P5384,5)&lt;&gt;"2-Way",
        LEFT(P5384,5)&lt;&gt;"3-Way",
        P5384&lt;&gt;"Inner Centre Jamb"
      )
    ),
    IF(OR(Enginuity!$A$1="Frameless Glass",Enginuity!$A$1="Metal Work"),
      AND(TRIM(B5384)=TRIM(Enginuity!$A$17),TRIM(C5384)=TRIM(Enginuity!$A$18)),
      TRIM(B5384)=TRIM(Enginuity!$A$17)
    )
  ),
  ROW(),
  ""
)</f>
        <v/>
      </c>
    </row>
    <row r="5385" spans="21:21" x14ac:dyDescent="0.25">
      <c r="U5385" s="104" t="str">
        <f>IF(
  AND(
    TRIM(A5385)=TRIM(Enginuity!$A$1),
    TRIM(B5385)=TRIM(Enginuity!$A$17),
    Q5385&lt;&gt;"",
    Q5385&lt;&gt;0,
    OR(
      TRIM(C5385)=TRIM(Enginuity!$A$18),
      AND(UPPER(TRIM(M5385))="STD", TRIM(B5385)=TRIM(Enginuity!$A$17))
    ),
    OR(
      AND(LEFT(P5385,5)="1-Way", Enginuity!$B$13=1),
      AND(LEFT(P5385,5)="2-Way", OR(Enginuity!$B$13=2, Enginuity!$B$13=4)),
      AND(LEFT(P5385,5)="3-Way", OR(Enginuity!$B$13=3, Enginuity!$B$13=6)),
      AND(P5385="Inner Centre Jamb", OR(Enginuity!$B$13=4, Enginuity!$B$13=6)),
      AND(
        LEFT(P5385,5)&lt;&gt;"1-Way",
        LEFT(P5385,5)&lt;&gt;"2-Way",
        LEFT(P5385,5)&lt;&gt;"3-Way",
        P5385&lt;&gt;"Inner Centre Jamb"
      )
    ),
    IF(OR(Enginuity!$A$1="Frameless Glass",Enginuity!$A$1="Metal Work"),
      AND(TRIM(B5385)=TRIM(Enginuity!$A$17),TRIM(C5385)=TRIM(Enginuity!$A$18)),
      TRIM(B5385)=TRIM(Enginuity!$A$17)
    )
  ),
  ROW(),
  ""
)</f>
        <v/>
      </c>
    </row>
    <row r="5386" spans="21:21" x14ac:dyDescent="0.25">
      <c r="U5386" s="104" t="str">
        <f>IF(
  AND(
    TRIM(A5386)=TRIM(Enginuity!$A$1),
    TRIM(B5386)=TRIM(Enginuity!$A$17),
    Q5386&lt;&gt;"",
    Q5386&lt;&gt;0,
    OR(
      TRIM(C5386)=TRIM(Enginuity!$A$18),
      AND(UPPER(TRIM(M5386))="STD", TRIM(B5386)=TRIM(Enginuity!$A$17))
    ),
    OR(
      AND(LEFT(P5386,5)="1-Way", Enginuity!$B$13=1),
      AND(LEFT(P5386,5)="2-Way", OR(Enginuity!$B$13=2, Enginuity!$B$13=4)),
      AND(LEFT(P5386,5)="3-Way", OR(Enginuity!$B$13=3, Enginuity!$B$13=6)),
      AND(P5386="Inner Centre Jamb", OR(Enginuity!$B$13=4, Enginuity!$B$13=6)),
      AND(
        LEFT(P5386,5)&lt;&gt;"1-Way",
        LEFT(P5386,5)&lt;&gt;"2-Way",
        LEFT(P5386,5)&lt;&gt;"3-Way",
        P5386&lt;&gt;"Inner Centre Jamb"
      )
    ),
    IF(OR(Enginuity!$A$1="Frameless Glass",Enginuity!$A$1="Metal Work"),
      AND(TRIM(B5386)=TRIM(Enginuity!$A$17),TRIM(C5386)=TRIM(Enginuity!$A$18)),
      TRIM(B5386)=TRIM(Enginuity!$A$17)
    )
  ),
  ROW(),
  ""
)</f>
        <v/>
      </c>
    </row>
    <row r="5387" spans="21:21" x14ac:dyDescent="0.25">
      <c r="U5387" s="104" t="str">
        <f>IF(
  AND(
    TRIM(A5387)=TRIM(Enginuity!$A$1),
    TRIM(B5387)=TRIM(Enginuity!$A$17),
    Q5387&lt;&gt;"",
    Q5387&lt;&gt;0,
    OR(
      TRIM(C5387)=TRIM(Enginuity!$A$18),
      AND(UPPER(TRIM(M5387))="STD", TRIM(B5387)=TRIM(Enginuity!$A$17))
    ),
    OR(
      AND(LEFT(P5387,5)="1-Way", Enginuity!$B$13=1),
      AND(LEFT(P5387,5)="2-Way", OR(Enginuity!$B$13=2, Enginuity!$B$13=4)),
      AND(LEFT(P5387,5)="3-Way", OR(Enginuity!$B$13=3, Enginuity!$B$13=6)),
      AND(P5387="Inner Centre Jamb", OR(Enginuity!$B$13=4, Enginuity!$B$13=6)),
      AND(
        LEFT(P5387,5)&lt;&gt;"1-Way",
        LEFT(P5387,5)&lt;&gt;"2-Way",
        LEFT(P5387,5)&lt;&gt;"3-Way",
        P5387&lt;&gt;"Inner Centre Jamb"
      )
    ),
    IF(OR(Enginuity!$A$1="Frameless Glass",Enginuity!$A$1="Metal Work"),
      AND(TRIM(B5387)=TRIM(Enginuity!$A$17),TRIM(C5387)=TRIM(Enginuity!$A$18)),
      TRIM(B5387)=TRIM(Enginuity!$A$17)
    )
  ),
  ROW(),
  ""
)</f>
        <v/>
      </c>
    </row>
    <row r="5388" spans="21:21" x14ac:dyDescent="0.25">
      <c r="U5388" s="104" t="str">
        <f>IF(
  AND(
    TRIM(A5388)=TRIM(Enginuity!$A$1),
    TRIM(B5388)=TRIM(Enginuity!$A$17),
    Q5388&lt;&gt;"",
    Q5388&lt;&gt;0,
    OR(
      TRIM(C5388)=TRIM(Enginuity!$A$18),
      AND(UPPER(TRIM(M5388))="STD", TRIM(B5388)=TRIM(Enginuity!$A$17))
    ),
    OR(
      AND(LEFT(P5388,5)="1-Way", Enginuity!$B$13=1),
      AND(LEFT(P5388,5)="2-Way", OR(Enginuity!$B$13=2, Enginuity!$B$13=4)),
      AND(LEFT(P5388,5)="3-Way", OR(Enginuity!$B$13=3, Enginuity!$B$13=6)),
      AND(P5388="Inner Centre Jamb", OR(Enginuity!$B$13=4, Enginuity!$B$13=6)),
      AND(
        LEFT(P5388,5)&lt;&gt;"1-Way",
        LEFT(P5388,5)&lt;&gt;"2-Way",
        LEFT(P5388,5)&lt;&gt;"3-Way",
        P5388&lt;&gt;"Inner Centre Jamb"
      )
    ),
    IF(OR(Enginuity!$A$1="Frameless Glass",Enginuity!$A$1="Metal Work"),
      AND(TRIM(B5388)=TRIM(Enginuity!$A$17),TRIM(C5388)=TRIM(Enginuity!$A$18)),
      TRIM(B5388)=TRIM(Enginuity!$A$17)
    )
  ),
  ROW(),
  ""
)</f>
        <v/>
      </c>
    </row>
    <row r="5389" spans="21:21" x14ac:dyDescent="0.25">
      <c r="U5389" s="104" t="str">
        <f>IF(
  AND(
    TRIM(A5389)=TRIM(Enginuity!$A$1),
    TRIM(B5389)=TRIM(Enginuity!$A$17),
    Q5389&lt;&gt;"",
    Q5389&lt;&gt;0,
    OR(
      TRIM(C5389)=TRIM(Enginuity!$A$18),
      AND(UPPER(TRIM(M5389))="STD", TRIM(B5389)=TRIM(Enginuity!$A$17))
    ),
    OR(
      AND(LEFT(P5389,5)="1-Way", Enginuity!$B$13=1),
      AND(LEFT(P5389,5)="2-Way", OR(Enginuity!$B$13=2, Enginuity!$B$13=4)),
      AND(LEFT(P5389,5)="3-Way", OR(Enginuity!$B$13=3, Enginuity!$B$13=6)),
      AND(P5389="Inner Centre Jamb", OR(Enginuity!$B$13=4, Enginuity!$B$13=6)),
      AND(
        LEFT(P5389,5)&lt;&gt;"1-Way",
        LEFT(P5389,5)&lt;&gt;"2-Way",
        LEFT(P5389,5)&lt;&gt;"3-Way",
        P5389&lt;&gt;"Inner Centre Jamb"
      )
    ),
    IF(OR(Enginuity!$A$1="Frameless Glass",Enginuity!$A$1="Metal Work"),
      AND(TRIM(B5389)=TRIM(Enginuity!$A$17),TRIM(C5389)=TRIM(Enginuity!$A$18)),
      TRIM(B5389)=TRIM(Enginuity!$A$17)
    )
  ),
  ROW(),
  ""
)</f>
        <v/>
      </c>
    </row>
    <row r="5390" spans="21:21" x14ac:dyDescent="0.25">
      <c r="U5390" s="104" t="str">
        <f>IF(
  AND(
    TRIM(A5390)=TRIM(Enginuity!$A$1),
    TRIM(B5390)=TRIM(Enginuity!$A$17),
    Q5390&lt;&gt;"",
    Q5390&lt;&gt;0,
    OR(
      TRIM(C5390)=TRIM(Enginuity!$A$18),
      AND(UPPER(TRIM(M5390))="STD", TRIM(B5390)=TRIM(Enginuity!$A$17))
    ),
    OR(
      AND(LEFT(P5390,5)="1-Way", Enginuity!$B$13=1),
      AND(LEFT(P5390,5)="2-Way", OR(Enginuity!$B$13=2, Enginuity!$B$13=4)),
      AND(LEFT(P5390,5)="3-Way", OR(Enginuity!$B$13=3, Enginuity!$B$13=6)),
      AND(P5390="Inner Centre Jamb", OR(Enginuity!$B$13=4, Enginuity!$B$13=6)),
      AND(
        LEFT(P5390,5)&lt;&gt;"1-Way",
        LEFT(P5390,5)&lt;&gt;"2-Way",
        LEFT(P5390,5)&lt;&gt;"3-Way",
        P5390&lt;&gt;"Inner Centre Jamb"
      )
    ),
    IF(OR(Enginuity!$A$1="Frameless Glass",Enginuity!$A$1="Metal Work"),
      AND(TRIM(B5390)=TRIM(Enginuity!$A$17),TRIM(C5390)=TRIM(Enginuity!$A$18)),
      TRIM(B5390)=TRIM(Enginuity!$A$17)
    )
  ),
  ROW(),
  ""
)</f>
        <v/>
      </c>
    </row>
    <row r="5391" spans="21:21" x14ac:dyDescent="0.25">
      <c r="U5391" s="104" t="str">
        <f>IF(
  AND(
    TRIM(A5391)=TRIM(Enginuity!$A$1),
    TRIM(B5391)=TRIM(Enginuity!$A$17),
    Q5391&lt;&gt;"",
    Q5391&lt;&gt;0,
    OR(
      TRIM(C5391)=TRIM(Enginuity!$A$18),
      AND(UPPER(TRIM(M5391))="STD", TRIM(B5391)=TRIM(Enginuity!$A$17))
    ),
    OR(
      AND(LEFT(P5391,5)="1-Way", Enginuity!$B$13=1),
      AND(LEFT(P5391,5)="2-Way", OR(Enginuity!$B$13=2, Enginuity!$B$13=4)),
      AND(LEFT(P5391,5)="3-Way", OR(Enginuity!$B$13=3, Enginuity!$B$13=6)),
      AND(P5391="Inner Centre Jamb", OR(Enginuity!$B$13=4, Enginuity!$B$13=6)),
      AND(
        LEFT(P5391,5)&lt;&gt;"1-Way",
        LEFT(P5391,5)&lt;&gt;"2-Way",
        LEFT(P5391,5)&lt;&gt;"3-Way",
        P5391&lt;&gt;"Inner Centre Jamb"
      )
    ),
    IF(OR(Enginuity!$A$1="Frameless Glass",Enginuity!$A$1="Metal Work"),
      AND(TRIM(B5391)=TRIM(Enginuity!$A$17),TRIM(C5391)=TRIM(Enginuity!$A$18)),
      TRIM(B5391)=TRIM(Enginuity!$A$17)
    )
  ),
  ROW(),
  ""
)</f>
        <v/>
      </c>
    </row>
    <row r="5392" spans="21:21" x14ac:dyDescent="0.25">
      <c r="U5392" s="104" t="str">
        <f>IF(
  AND(
    TRIM(A5392)=TRIM(Enginuity!$A$1),
    TRIM(B5392)=TRIM(Enginuity!$A$17),
    Q5392&lt;&gt;"",
    Q5392&lt;&gt;0,
    OR(
      TRIM(C5392)=TRIM(Enginuity!$A$18),
      AND(UPPER(TRIM(M5392))="STD", TRIM(B5392)=TRIM(Enginuity!$A$17))
    ),
    OR(
      AND(LEFT(P5392,5)="1-Way", Enginuity!$B$13=1),
      AND(LEFT(P5392,5)="2-Way", OR(Enginuity!$B$13=2, Enginuity!$B$13=4)),
      AND(LEFT(P5392,5)="3-Way", OR(Enginuity!$B$13=3, Enginuity!$B$13=6)),
      AND(P5392="Inner Centre Jamb", OR(Enginuity!$B$13=4, Enginuity!$B$13=6)),
      AND(
        LEFT(P5392,5)&lt;&gt;"1-Way",
        LEFT(P5392,5)&lt;&gt;"2-Way",
        LEFT(P5392,5)&lt;&gt;"3-Way",
        P5392&lt;&gt;"Inner Centre Jamb"
      )
    ),
    IF(OR(Enginuity!$A$1="Frameless Glass",Enginuity!$A$1="Metal Work"),
      AND(TRIM(B5392)=TRIM(Enginuity!$A$17),TRIM(C5392)=TRIM(Enginuity!$A$18)),
      TRIM(B5392)=TRIM(Enginuity!$A$17)
    )
  ),
  ROW(),
  ""
)</f>
        <v/>
      </c>
    </row>
    <row r="5393" spans="21:21" x14ac:dyDescent="0.25">
      <c r="U5393" s="104" t="str">
        <f>IF(
  AND(
    TRIM(A5393)=TRIM(Enginuity!$A$1),
    TRIM(B5393)=TRIM(Enginuity!$A$17),
    Q5393&lt;&gt;"",
    Q5393&lt;&gt;0,
    OR(
      TRIM(C5393)=TRIM(Enginuity!$A$18),
      AND(UPPER(TRIM(M5393))="STD", TRIM(B5393)=TRIM(Enginuity!$A$17))
    ),
    OR(
      AND(LEFT(P5393,5)="1-Way", Enginuity!$B$13=1),
      AND(LEFT(P5393,5)="2-Way", OR(Enginuity!$B$13=2, Enginuity!$B$13=4)),
      AND(LEFT(P5393,5)="3-Way", OR(Enginuity!$B$13=3, Enginuity!$B$13=6)),
      AND(P5393="Inner Centre Jamb", OR(Enginuity!$B$13=4, Enginuity!$B$13=6)),
      AND(
        LEFT(P5393,5)&lt;&gt;"1-Way",
        LEFT(P5393,5)&lt;&gt;"2-Way",
        LEFT(P5393,5)&lt;&gt;"3-Way",
        P5393&lt;&gt;"Inner Centre Jamb"
      )
    ),
    IF(OR(Enginuity!$A$1="Frameless Glass",Enginuity!$A$1="Metal Work"),
      AND(TRIM(B5393)=TRIM(Enginuity!$A$17),TRIM(C5393)=TRIM(Enginuity!$A$18)),
      TRIM(B5393)=TRIM(Enginuity!$A$17)
    )
  ),
  ROW(),
  ""
)</f>
        <v/>
      </c>
    </row>
    <row r="5394" spans="21:21" x14ac:dyDescent="0.25">
      <c r="U5394" s="104" t="str">
        <f>IF(
  AND(
    TRIM(A5394)=TRIM(Enginuity!$A$1),
    TRIM(B5394)=TRIM(Enginuity!$A$17),
    Q5394&lt;&gt;"",
    Q5394&lt;&gt;0,
    OR(
      TRIM(C5394)=TRIM(Enginuity!$A$18),
      AND(UPPER(TRIM(M5394))="STD", TRIM(B5394)=TRIM(Enginuity!$A$17))
    ),
    OR(
      AND(LEFT(P5394,5)="1-Way", Enginuity!$B$13=1),
      AND(LEFT(P5394,5)="2-Way", OR(Enginuity!$B$13=2, Enginuity!$B$13=4)),
      AND(LEFT(P5394,5)="3-Way", OR(Enginuity!$B$13=3, Enginuity!$B$13=6)),
      AND(P5394="Inner Centre Jamb", OR(Enginuity!$B$13=4, Enginuity!$B$13=6)),
      AND(
        LEFT(P5394,5)&lt;&gt;"1-Way",
        LEFT(P5394,5)&lt;&gt;"2-Way",
        LEFT(P5394,5)&lt;&gt;"3-Way",
        P5394&lt;&gt;"Inner Centre Jamb"
      )
    ),
    IF(OR(Enginuity!$A$1="Frameless Glass",Enginuity!$A$1="Metal Work"),
      AND(TRIM(B5394)=TRIM(Enginuity!$A$17),TRIM(C5394)=TRIM(Enginuity!$A$18)),
      TRIM(B5394)=TRIM(Enginuity!$A$17)
    )
  ),
  ROW(),
  ""
)</f>
        <v/>
      </c>
    </row>
    <row r="5395" spans="21:21" x14ac:dyDescent="0.25">
      <c r="U5395" s="104" t="str">
        <f>IF(
  AND(
    TRIM(A5395)=TRIM(Enginuity!$A$1),
    TRIM(B5395)=TRIM(Enginuity!$A$17),
    Q5395&lt;&gt;"",
    Q5395&lt;&gt;0,
    OR(
      TRIM(C5395)=TRIM(Enginuity!$A$18),
      AND(UPPER(TRIM(M5395))="STD", TRIM(B5395)=TRIM(Enginuity!$A$17))
    ),
    OR(
      AND(LEFT(P5395,5)="1-Way", Enginuity!$B$13=1),
      AND(LEFT(P5395,5)="2-Way", OR(Enginuity!$B$13=2, Enginuity!$B$13=4)),
      AND(LEFT(P5395,5)="3-Way", OR(Enginuity!$B$13=3, Enginuity!$B$13=6)),
      AND(P5395="Inner Centre Jamb", OR(Enginuity!$B$13=4, Enginuity!$B$13=6)),
      AND(
        LEFT(P5395,5)&lt;&gt;"1-Way",
        LEFT(P5395,5)&lt;&gt;"2-Way",
        LEFT(P5395,5)&lt;&gt;"3-Way",
        P5395&lt;&gt;"Inner Centre Jamb"
      )
    ),
    IF(OR(Enginuity!$A$1="Frameless Glass",Enginuity!$A$1="Metal Work"),
      AND(TRIM(B5395)=TRIM(Enginuity!$A$17),TRIM(C5395)=TRIM(Enginuity!$A$18)),
      TRIM(B5395)=TRIM(Enginuity!$A$17)
    )
  ),
  ROW(),
  ""
)</f>
        <v/>
      </c>
    </row>
    <row r="5396" spans="21:21" x14ac:dyDescent="0.25">
      <c r="U5396" s="104" t="str">
        <f>IF(
  AND(
    TRIM(A5396)=TRIM(Enginuity!$A$1),
    TRIM(B5396)=TRIM(Enginuity!$A$17),
    Q5396&lt;&gt;"",
    Q5396&lt;&gt;0,
    OR(
      TRIM(C5396)=TRIM(Enginuity!$A$18),
      AND(UPPER(TRIM(M5396))="STD", TRIM(B5396)=TRIM(Enginuity!$A$17))
    ),
    OR(
      AND(LEFT(P5396,5)="1-Way", Enginuity!$B$13=1),
      AND(LEFT(P5396,5)="2-Way", OR(Enginuity!$B$13=2, Enginuity!$B$13=4)),
      AND(LEFT(P5396,5)="3-Way", OR(Enginuity!$B$13=3, Enginuity!$B$13=6)),
      AND(P5396="Inner Centre Jamb", OR(Enginuity!$B$13=4, Enginuity!$B$13=6)),
      AND(
        LEFT(P5396,5)&lt;&gt;"1-Way",
        LEFT(P5396,5)&lt;&gt;"2-Way",
        LEFT(P5396,5)&lt;&gt;"3-Way",
        P5396&lt;&gt;"Inner Centre Jamb"
      )
    ),
    IF(OR(Enginuity!$A$1="Frameless Glass",Enginuity!$A$1="Metal Work"),
      AND(TRIM(B5396)=TRIM(Enginuity!$A$17),TRIM(C5396)=TRIM(Enginuity!$A$18)),
      TRIM(B5396)=TRIM(Enginuity!$A$17)
    )
  ),
  ROW(),
  ""
)</f>
        <v/>
      </c>
    </row>
    <row r="5397" spans="21:21" x14ac:dyDescent="0.25">
      <c r="U5397" s="104" t="str">
        <f>IF(
  AND(
    TRIM(A5397)=TRIM(Enginuity!$A$1),
    TRIM(B5397)=TRIM(Enginuity!$A$17),
    Q5397&lt;&gt;"",
    Q5397&lt;&gt;0,
    OR(
      TRIM(C5397)=TRIM(Enginuity!$A$18),
      AND(UPPER(TRIM(M5397))="STD", TRIM(B5397)=TRIM(Enginuity!$A$17))
    ),
    OR(
      AND(LEFT(P5397,5)="1-Way", Enginuity!$B$13=1),
      AND(LEFT(P5397,5)="2-Way", OR(Enginuity!$B$13=2, Enginuity!$B$13=4)),
      AND(LEFT(P5397,5)="3-Way", OR(Enginuity!$B$13=3, Enginuity!$B$13=6)),
      AND(P5397="Inner Centre Jamb", OR(Enginuity!$B$13=4, Enginuity!$B$13=6)),
      AND(
        LEFT(P5397,5)&lt;&gt;"1-Way",
        LEFT(P5397,5)&lt;&gt;"2-Way",
        LEFT(P5397,5)&lt;&gt;"3-Way",
        P5397&lt;&gt;"Inner Centre Jamb"
      )
    ),
    IF(OR(Enginuity!$A$1="Frameless Glass",Enginuity!$A$1="Metal Work"),
      AND(TRIM(B5397)=TRIM(Enginuity!$A$17),TRIM(C5397)=TRIM(Enginuity!$A$18)),
      TRIM(B5397)=TRIM(Enginuity!$A$17)
    )
  ),
  ROW(),
  ""
)</f>
        <v/>
      </c>
    </row>
    <row r="5398" spans="21:21" x14ac:dyDescent="0.25">
      <c r="U5398" s="104" t="str">
        <f>IF(
  AND(
    TRIM(A5398)=TRIM(Enginuity!$A$1),
    TRIM(B5398)=TRIM(Enginuity!$A$17),
    Q5398&lt;&gt;"",
    Q5398&lt;&gt;0,
    OR(
      TRIM(C5398)=TRIM(Enginuity!$A$18),
      AND(UPPER(TRIM(M5398))="STD", TRIM(B5398)=TRIM(Enginuity!$A$17))
    ),
    OR(
      AND(LEFT(P5398,5)="1-Way", Enginuity!$B$13=1),
      AND(LEFT(P5398,5)="2-Way", OR(Enginuity!$B$13=2, Enginuity!$B$13=4)),
      AND(LEFT(P5398,5)="3-Way", OR(Enginuity!$B$13=3, Enginuity!$B$13=6)),
      AND(P5398="Inner Centre Jamb", OR(Enginuity!$B$13=4, Enginuity!$B$13=6)),
      AND(
        LEFT(P5398,5)&lt;&gt;"1-Way",
        LEFT(P5398,5)&lt;&gt;"2-Way",
        LEFT(P5398,5)&lt;&gt;"3-Way",
        P5398&lt;&gt;"Inner Centre Jamb"
      )
    ),
    IF(OR(Enginuity!$A$1="Frameless Glass",Enginuity!$A$1="Metal Work"),
      AND(TRIM(B5398)=TRIM(Enginuity!$A$17),TRIM(C5398)=TRIM(Enginuity!$A$18)),
      TRIM(B5398)=TRIM(Enginuity!$A$17)
    )
  ),
  ROW(),
  ""
)</f>
        <v/>
      </c>
    </row>
    <row r="5399" spans="21:21" x14ac:dyDescent="0.25">
      <c r="U5399" s="104" t="str">
        <f>IF(
  AND(
    TRIM(A5399)=TRIM(Enginuity!$A$1),
    TRIM(B5399)=TRIM(Enginuity!$A$17),
    Q5399&lt;&gt;"",
    Q5399&lt;&gt;0,
    OR(
      TRIM(C5399)=TRIM(Enginuity!$A$18),
      AND(UPPER(TRIM(M5399))="STD", TRIM(B5399)=TRIM(Enginuity!$A$17))
    ),
    OR(
      AND(LEFT(P5399,5)="1-Way", Enginuity!$B$13=1),
      AND(LEFT(P5399,5)="2-Way", OR(Enginuity!$B$13=2, Enginuity!$B$13=4)),
      AND(LEFT(P5399,5)="3-Way", OR(Enginuity!$B$13=3, Enginuity!$B$13=6)),
      AND(P5399="Inner Centre Jamb", OR(Enginuity!$B$13=4, Enginuity!$B$13=6)),
      AND(
        LEFT(P5399,5)&lt;&gt;"1-Way",
        LEFT(P5399,5)&lt;&gt;"2-Way",
        LEFT(P5399,5)&lt;&gt;"3-Way",
        P5399&lt;&gt;"Inner Centre Jamb"
      )
    ),
    IF(OR(Enginuity!$A$1="Frameless Glass",Enginuity!$A$1="Metal Work"),
      AND(TRIM(B5399)=TRIM(Enginuity!$A$17),TRIM(C5399)=TRIM(Enginuity!$A$18)),
      TRIM(B5399)=TRIM(Enginuity!$A$17)
    )
  ),
  ROW(),
  ""
)</f>
        <v/>
      </c>
    </row>
    <row r="5400" spans="21:21" x14ac:dyDescent="0.25">
      <c r="U5400" s="104" t="str">
        <f>IF(
  AND(
    TRIM(A5400)=TRIM(Enginuity!$A$1),
    TRIM(B5400)=TRIM(Enginuity!$A$17),
    Q5400&lt;&gt;"",
    Q5400&lt;&gt;0,
    OR(
      TRIM(C5400)=TRIM(Enginuity!$A$18),
      AND(UPPER(TRIM(M5400))="STD", TRIM(B5400)=TRIM(Enginuity!$A$17))
    ),
    OR(
      AND(LEFT(P5400,5)="1-Way", Enginuity!$B$13=1),
      AND(LEFT(P5400,5)="2-Way", OR(Enginuity!$B$13=2, Enginuity!$B$13=4)),
      AND(LEFT(P5400,5)="3-Way", OR(Enginuity!$B$13=3, Enginuity!$B$13=6)),
      AND(P5400="Inner Centre Jamb", OR(Enginuity!$B$13=4, Enginuity!$B$13=6)),
      AND(
        LEFT(P5400,5)&lt;&gt;"1-Way",
        LEFT(P5400,5)&lt;&gt;"2-Way",
        LEFT(P5400,5)&lt;&gt;"3-Way",
        P5400&lt;&gt;"Inner Centre Jamb"
      )
    ),
    IF(OR(Enginuity!$A$1="Frameless Glass",Enginuity!$A$1="Metal Work"),
      AND(TRIM(B5400)=TRIM(Enginuity!$A$17),TRIM(C5400)=TRIM(Enginuity!$A$18)),
      TRIM(B5400)=TRIM(Enginuity!$A$17)
    )
  ),
  ROW(),
  ""
)</f>
        <v/>
      </c>
    </row>
    <row r="5401" spans="21:21" x14ac:dyDescent="0.25">
      <c r="U5401" s="104" t="str">
        <f>IF(
  AND(
    TRIM(A5401)=TRIM(Enginuity!$A$1),
    TRIM(B5401)=TRIM(Enginuity!$A$17),
    Q5401&lt;&gt;"",
    Q5401&lt;&gt;0,
    OR(
      TRIM(C5401)=TRIM(Enginuity!$A$18),
      AND(UPPER(TRIM(M5401))="STD", TRIM(B5401)=TRIM(Enginuity!$A$17))
    ),
    OR(
      AND(LEFT(P5401,5)="1-Way", Enginuity!$B$13=1),
      AND(LEFT(P5401,5)="2-Way", OR(Enginuity!$B$13=2, Enginuity!$B$13=4)),
      AND(LEFT(P5401,5)="3-Way", OR(Enginuity!$B$13=3, Enginuity!$B$13=6)),
      AND(P5401="Inner Centre Jamb", OR(Enginuity!$B$13=4, Enginuity!$B$13=6)),
      AND(
        LEFT(P5401,5)&lt;&gt;"1-Way",
        LEFT(P5401,5)&lt;&gt;"2-Way",
        LEFT(P5401,5)&lt;&gt;"3-Way",
        P5401&lt;&gt;"Inner Centre Jamb"
      )
    ),
    IF(OR(Enginuity!$A$1="Frameless Glass",Enginuity!$A$1="Metal Work"),
      AND(TRIM(B5401)=TRIM(Enginuity!$A$17),TRIM(C5401)=TRIM(Enginuity!$A$18)),
      TRIM(B5401)=TRIM(Enginuity!$A$17)
    )
  ),
  ROW(),
  ""
)</f>
        <v/>
      </c>
    </row>
    <row r="5402" spans="21:21" x14ac:dyDescent="0.25">
      <c r="U5402" s="104" t="str">
        <f>IF(
  AND(
    TRIM(A5402)=TRIM(Enginuity!$A$1),
    TRIM(B5402)=TRIM(Enginuity!$A$17),
    Q5402&lt;&gt;"",
    Q5402&lt;&gt;0,
    OR(
      TRIM(C5402)=TRIM(Enginuity!$A$18),
      AND(UPPER(TRIM(M5402))="STD", TRIM(B5402)=TRIM(Enginuity!$A$17))
    ),
    OR(
      AND(LEFT(P5402,5)="1-Way", Enginuity!$B$13=1),
      AND(LEFT(P5402,5)="2-Way", OR(Enginuity!$B$13=2, Enginuity!$B$13=4)),
      AND(LEFT(P5402,5)="3-Way", OR(Enginuity!$B$13=3, Enginuity!$B$13=6)),
      AND(P5402="Inner Centre Jamb", OR(Enginuity!$B$13=4, Enginuity!$B$13=6)),
      AND(
        LEFT(P5402,5)&lt;&gt;"1-Way",
        LEFT(P5402,5)&lt;&gt;"2-Way",
        LEFT(P5402,5)&lt;&gt;"3-Way",
        P5402&lt;&gt;"Inner Centre Jamb"
      )
    ),
    IF(OR(Enginuity!$A$1="Frameless Glass",Enginuity!$A$1="Metal Work"),
      AND(TRIM(B5402)=TRIM(Enginuity!$A$17),TRIM(C5402)=TRIM(Enginuity!$A$18)),
      TRIM(B5402)=TRIM(Enginuity!$A$17)
    )
  ),
  ROW(),
  ""
)</f>
        <v/>
      </c>
    </row>
    <row r="5403" spans="21:21" x14ac:dyDescent="0.25">
      <c r="U5403" s="104" t="str">
        <f>IF(
  AND(
    TRIM(A5403)=TRIM(Enginuity!$A$1),
    TRIM(B5403)=TRIM(Enginuity!$A$17),
    Q5403&lt;&gt;"",
    Q5403&lt;&gt;0,
    OR(
      TRIM(C5403)=TRIM(Enginuity!$A$18),
      AND(UPPER(TRIM(M5403))="STD", TRIM(B5403)=TRIM(Enginuity!$A$17))
    ),
    OR(
      AND(LEFT(P5403,5)="1-Way", Enginuity!$B$13=1),
      AND(LEFT(P5403,5)="2-Way", OR(Enginuity!$B$13=2, Enginuity!$B$13=4)),
      AND(LEFT(P5403,5)="3-Way", OR(Enginuity!$B$13=3, Enginuity!$B$13=6)),
      AND(P5403="Inner Centre Jamb", OR(Enginuity!$B$13=4, Enginuity!$B$13=6)),
      AND(
        LEFT(P5403,5)&lt;&gt;"1-Way",
        LEFT(P5403,5)&lt;&gt;"2-Way",
        LEFT(P5403,5)&lt;&gt;"3-Way",
        P5403&lt;&gt;"Inner Centre Jamb"
      )
    ),
    IF(OR(Enginuity!$A$1="Frameless Glass",Enginuity!$A$1="Metal Work"),
      AND(TRIM(B5403)=TRIM(Enginuity!$A$17),TRIM(C5403)=TRIM(Enginuity!$A$18)),
      TRIM(B5403)=TRIM(Enginuity!$A$17)
    )
  ),
  ROW(),
  ""
)</f>
        <v/>
      </c>
    </row>
    <row r="5404" spans="21:21" x14ac:dyDescent="0.25">
      <c r="U5404" s="104" t="str">
        <f>IF(
  AND(
    TRIM(A5404)=TRIM(Enginuity!$A$1),
    TRIM(B5404)=TRIM(Enginuity!$A$17),
    Q5404&lt;&gt;"",
    Q5404&lt;&gt;0,
    OR(
      TRIM(C5404)=TRIM(Enginuity!$A$18),
      AND(UPPER(TRIM(M5404))="STD", TRIM(B5404)=TRIM(Enginuity!$A$17))
    ),
    OR(
      AND(LEFT(P5404,5)="1-Way", Enginuity!$B$13=1),
      AND(LEFT(P5404,5)="2-Way", OR(Enginuity!$B$13=2, Enginuity!$B$13=4)),
      AND(LEFT(P5404,5)="3-Way", OR(Enginuity!$B$13=3, Enginuity!$B$13=6)),
      AND(P5404="Inner Centre Jamb", OR(Enginuity!$B$13=4, Enginuity!$B$13=6)),
      AND(
        LEFT(P5404,5)&lt;&gt;"1-Way",
        LEFT(P5404,5)&lt;&gt;"2-Way",
        LEFT(P5404,5)&lt;&gt;"3-Way",
        P5404&lt;&gt;"Inner Centre Jamb"
      )
    ),
    IF(OR(Enginuity!$A$1="Frameless Glass",Enginuity!$A$1="Metal Work"),
      AND(TRIM(B5404)=TRIM(Enginuity!$A$17),TRIM(C5404)=TRIM(Enginuity!$A$18)),
      TRIM(B5404)=TRIM(Enginuity!$A$17)
    )
  ),
  ROW(),
  ""
)</f>
        <v/>
      </c>
    </row>
    <row r="5405" spans="21:21" x14ac:dyDescent="0.25">
      <c r="U5405" s="104" t="str">
        <f>IF(
  AND(
    TRIM(A5405)=TRIM(Enginuity!$A$1),
    TRIM(B5405)=TRIM(Enginuity!$A$17),
    Q5405&lt;&gt;"",
    Q5405&lt;&gt;0,
    OR(
      TRIM(C5405)=TRIM(Enginuity!$A$18),
      AND(UPPER(TRIM(M5405))="STD", TRIM(B5405)=TRIM(Enginuity!$A$17))
    ),
    OR(
      AND(LEFT(P5405,5)="1-Way", Enginuity!$B$13=1),
      AND(LEFT(P5405,5)="2-Way", OR(Enginuity!$B$13=2, Enginuity!$B$13=4)),
      AND(LEFT(P5405,5)="3-Way", OR(Enginuity!$B$13=3, Enginuity!$B$13=6)),
      AND(P5405="Inner Centre Jamb", OR(Enginuity!$B$13=4, Enginuity!$B$13=6)),
      AND(
        LEFT(P5405,5)&lt;&gt;"1-Way",
        LEFT(P5405,5)&lt;&gt;"2-Way",
        LEFT(P5405,5)&lt;&gt;"3-Way",
        P5405&lt;&gt;"Inner Centre Jamb"
      )
    ),
    IF(OR(Enginuity!$A$1="Frameless Glass",Enginuity!$A$1="Metal Work"),
      AND(TRIM(B5405)=TRIM(Enginuity!$A$17),TRIM(C5405)=TRIM(Enginuity!$A$18)),
      TRIM(B5405)=TRIM(Enginuity!$A$17)
    )
  ),
  ROW(),
  ""
)</f>
        <v/>
      </c>
    </row>
    <row r="5406" spans="21:21" x14ac:dyDescent="0.25">
      <c r="U5406" s="104" t="str">
        <f>IF(
  AND(
    TRIM(A5406)=TRIM(Enginuity!$A$1),
    TRIM(B5406)=TRIM(Enginuity!$A$17),
    Q5406&lt;&gt;"",
    Q5406&lt;&gt;0,
    OR(
      TRIM(C5406)=TRIM(Enginuity!$A$18),
      AND(UPPER(TRIM(M5406))="STD", TRIM(B5406)=TRIM(Enginuity!$A$17))
    ),
    OR(
      AND(LEFT(P5406,5)="1-Way", Enginuity!$B$13=1),
      AND(LEFT(P5406,5)="2-Way", OR(Enginuity!$B$13=2, Enginuity!$B$13=4)),
      AND(LEFT(P5406,5)="3-Way", OR(Enginuity!$B$13=3, Enginuity!$B$13=6)),
      AND(P5406="Inner Centre Jamb", OR(Enginuity!$B$13=4, Enginuity!$B$13=6)),
      AND(
        LEFT(P5406,5)&lt;&gt;"1-Way",
        LEFT(P5406,5)&lt;&gt;"2-Way",
        LEFT(P5406,5)&lt;&gt;"3-Way",
        P5406&lt;&gt;"Inner Centre Jamb"
      )
    ),
    IF(OR(Enginuity!$A$1="Frameless Glass",Enginuity!$A$1="Metal Work"),
      AND(TRIM(B5406)=TRIM(Enginuity!$A$17),TRIM(C5406)=TRIM(Enginuity!$A$18)),
      TRIM(B5406)=TRIM(Enginuity!$A$17)
    )
  ),
  ROW(),
  ""
)</f>
        <v/>
      </c>
    </row>
    <row r="5407" spans="21:21" x14ac:dyDescent="0.25">
      <c r="U5407" s="104" t="str">
        <f>IF(
  AND(
    TRIM(A5407)=TRIM(Enginuity!$A$1),
    TRIM(B5407)=TRIM(Enginuity!$A$17),
    Q5407&lt;&gt;"",
    Q5407&lt;&gt;0,
    OR(
      TRIM(C5407)=TRIM(Enginuity!$A$18),
      AND(UPPER(TRIM(M5407))="STD", TRIM(B5407)=TRIM(Enginuity!$A$17))
    ),
    OR(
      AND(LEFT(P5407,5)="1-Way", Enginuity!$B$13=1),
      AND(LEFT(P5407,5)="2-Way", OR(Enginuity!$B$13=2, Enginuity!$B$13=4)),
      AND(LEFT(P5407,5)="3-Way", OR(Enginuity!$B$13=3, Enginuity!$B$13=6)),
      AND(P5407="Inner Centre Jamb", OR(Enginuity!$B$13=4, Enginuity!$B$13=6)),
      AND(
        LEFT(P5407,5)&lt;&gt;"1-Way",
        LEFT(P5407,5)&lt;&gt;"2-Way",
        LEFT(P5407,5)&lt;&gt;"3-Way",
        P5407&lt;&gt;"Inner Centre Jamb"
      )
    ),
    IF(OR(Enginuity!$A$1="Frameless Glass",Enginuity!$A$1="Metal Work"),
      AND(TRIM(B5407)=TRIM(Enginuity!$A$17),TRIM(C5407)=TRIM(Enginuity!$A$18)),
      TRIM(B5407)=TRIM(Enginuity!$A$17)
    )
  ),
  ROW(),
  ""
)</f>
        <v/>
      </c>
    </row>
    <row r="5408" spans="21:21" x14ac:dyDescent="0.25">
      <c r="U5408" s="104" t="str">
        <f>IF(
  AND(
    TRIM(A5408)=TRIM(Enginuity!$A$1),
    TRIM(B5408)=TRIM(Enginuity!$A$17),
    Q5408&lt;&gt;"",
    Q5408&lt;&gt;0,
    OR(
      TRIM(C5408)=TRIM(Enginuity!$A$18),
      AND(UPPER(TRIM(M5408))="STD", TRIM(B5408)=TRIM(Enginuity!$A$17))
    ),
    OR(
      AND(LEFT(P5408,5)="1-Way", Enginuity!$B$13=1),
      AND(LEFT(P5408,5)="2-Way", OR(Enginuity!$B$13=2, Enginuity!$B$13=4)),
      AND(LEFT(P5408,5)="3-Way", OR(Enginuity!$B$13=3, Enginuity!$B$13=6)),
      AND(P5408="Inner Centre Jamb", OR(Enginuity!$B$13=4, Enginuity!$B$13=6)),
      AND(
        LEFT(P5408,5)&lt;&gt;"1-Way",
        LEFT(P5408,5)&lt;&gt;"2-Way",
        LEFT(P5408,5)&lt;&gt;"3-Way",
        P5408&lt;&gt;"Inner Centre Jamb"
      )
    ),
    IF(OR(Enginuity!$A$1="Frameless Glass",Enginuity!$A$1="Metal Work"),
      AND(TRIM(B5408)=TRIM(Enginuity!$A$17),TRIM(C5408)=TRIM(Enginuity!$A$18)),
      TRIM(B5408)=TRIM(Enginuity!$A$17)
    )
  ),
  ROW(),
  ""
)</f>
        <v/>
      </c>
    </row>
    <row r="5409" spans="21:21" x14ac:dyDescent="0.25">
      <c r="U5409" s="104" t="str">
        <f>IF(
  AND(
    TRIM(A5409)=TRIM(Enginuity!$A$1),
    TRIM(B5409)=TRIM(Enginuity!$A$17),
    Q5409&lt;&gt;"",
    Q5409&lt;&gt;0,
    OR(
      TRIM(C5409)=TRIM(Enginuity!$A$18),
      AND(UPPER(TRIM(M5409))="STD", TRIM(B5409)=TRIM(Enginuity!$A$17))
    ),
    OR(
      AND(LEFT(P5409,5)="1-Way", Enginuity!$B$13=1),
      AND(LEFT(P5409,5)="2-Way", OR(Enginuity!$B$13=2, Enginuity!$B$13=4)),
      AND(LEFT(P5409,5)="3-Way", OR(Enginuity!$B$13=3, Enginuity!$B$13=6)),
      AND(P5409="Inner Centre Jamb", OR(Enginuity!$B$13=4, Enginuity!$B$13=6)),
      AND(
        LEFT(P5409,5)&lt;&gt;"1-Way",
        LEFT(P5409,5)&lt;&gt;"2-Way",
        LEFT(P5409,5)&lt;&gt;"3-Way",
        P5409&lt;&gt;"Inner Centre Jamb"
      )
    ),
    IF(OR(Enginuity!$A$1="Frameless Glass",Enginuity!$A$1="Metal Work"),
      AND(TRIM(B5409)=TRIM(Enginuity!$A$17),TRIM(C5409)=TRIM(Enginuity!$A$18)),
      TRIM(B5409)=TRIM(Enginuity!$A$17)
    )
  ),
  ROW(),
  ""
)</f>
        <v/>
      </c>
    </row>
    <row r="5410" spans="21:21" x14ac:dyDescent="0.25">
      <c r="U5410" s="104" t="str">
        <f>IF(
  AND(
    TRIM(A5410)=TRIM(Enginuity!$A$1),
    TRIM(B5410)=TRIM(Enginuity!$A$17),
    Q5410&lt;&gt;"",
    Q5410&lt;&gt;0,
    OR(
      TRIM(C5410)=TRIM(Enginuity!$A$18),
      AND(UPPER(TRIM(M5410))="STD", TRIM(B5410)=TRIM(Enginuity!$A$17))
    ),
    OR(
      AND(LEFT(P5410,5)="1-Way", Enginuity!$B$13=1),
      AND(LEFT(P5410,5)="2-Way", OR(Enginuity!$B$13=2, Enginuity!$B$13=4)),
      AND(LEFT(P5410,5)="3-Way", OR(Enginuity!$B$13=3, Enginuity!$B$13=6)),
      AND(P5410="Inner Centre Jamb", OR(Enginuity!$B$13=4, Enginuity!$B$13=6)),
      AND(
        LEFT(P5410,5)&lt;&gt;"1-Way",
        LEFT(P5410,5)&lt;&gt;"2-Way",
        LEFT(P5410,5)&lt;&gt;"3-Way",
        P5410&lt;&gt;"Inner Centre Jamb"
      )
    ),
    IF(OR(Enginuity!$A$1="Frameless Glass",Enginuity!$A$1="Metal Work"),
      AND(TRIM(B5410)=TRIM(Enginuity!$A$17),TRIM(C5410)=TRIM(Enginuity!$A$18)),
      TRIM(B5410)=TRIM(Enginuity!$A$17)
    )
  ),
  ROW(),
  ""
)</f>
        <v/>
      </c>
    </row>
    <row r="5411" spans="21:21" x14ac:dyDescent="0.25">
      <c r="U5411" s="104" t="str">
        <f>IF(
  AND(
    TRIM(A5411)=TRIM(Enginuity!$A$1),
    TRIM(B5411)=TRIM(Enginuity!$A$17),
    Q5411&lt;&gt;"",
    Q5411&lt;&gt;0,
    OR(
      TRIM(C5411)=TRIM(Enginuity!$A$18),
      AND(UPPER(TRIM(M5411))="STD", TRIM(B5411)=TRIM(Enginuity!$A$17))
    ),
    OR(
      AND(LEFT(P5411,5)="1-Way", Enginuity!$B$13=1),
      AND(LEFT(P5411,5)="2-Way", OR(Enginuity!$B$13=2, Enginuity!$B$13=4)),
      AND(LEFT(P5411,5)="3-Way", OR(Enginuity!$B$13=3, Enginuity!$B$13=6)),
      AND(P5411="Inner Centre Jamb", OR(Enginuity!$B$13=4, Enginuity!$B$13=6)),
      AND(
        LEFT(P5411,5)&lt;&gt;"1-Way",
        LEFT(P5411,5)&lt;&gt;"2-Way",
        LEFT(P5411,5)&lt;&gt;"3-Way",
        P5411&lt;&gt;"Inner Centre Jamb"
      )
    ),
    IF(OR(Enginuity!$A$1="Frameless Glass",Enginuity!$A$1="Metal Work"),
      AND(TRIM(B5411)=TRIM(Enginuity!$A$17),TRIM(C5411)=TRIM(Enginuity!$A$18)),
      TRIM(B5411)=TRIM(Enginuity!$A$17)
    )
  ),
  ROW(),
  ""
)</f>
        <v/>
      </c>
    </row>
    <row r="5412" spans="21:21" x14ac:dyDescent="0.25">
      <c r="U5412" s="104" t="str">
        <f>IF(
  AND(
    TRIM(A5412)=TRIM(Enginuity!$A$1),
    TRIM(B5412)=TRIM(Enginuity!$A$17),
    Q5412&lt;&gt;"",
    Q5412&lt;&gt;0,
    OR(
      TRIM(C5412)=TRIM(Enginuity!$A$18),
      AND(UPPER(TRIM(M5412))="STD", TRIM(B5412)=TRIM(Enginuity!$A$17))
    ),
    OR(
      AND(LEFT(P5412,5)="1-Way", Enginuity!$B$13=1),
      AND(LEFT(P5412,5)="2-Way", OR(Enginuity!$B$13=2, Enginuity!$B$13=4)),
      AND(LEFT(P5412,5)="3-Way", OR(Enginuity!$B$13=3, Enginuity!$B$13=6)),
      AND(P5412="Inner Centre Jamb", OR(Enginuity!$B$13=4, Enginuity!$B$13=6)),
      AND(
        LEFT(P5412,5)&lt;&gt;"1-Way",
        LEFT(P5412,5)&lt;&gt;"2-Way",
        LEFT(P5412,5)&lt;&gt;"3-Way",
        P5412&lt;&gt;"Inner Centre Jamb"
      )
    ),
    IF(OR(Enginuity!$A$1="Frameless Glass",Enginuity!$A$1="Metal Work"),
      AND(TRIM(B5412)=TRIM(Enginuity!$A$17),TRIM(C5412)=TRIM(Enginuity!$A$18)),
      TRIM(B5412)=TRIM(Enginuity!$A$17)
    )
  ),
  ROW(),
  ""
)</f>
        <v/>
      </c>
    </row>
    <row r="5413" spans="21:21" x14ac:dyDescent="0.25">
      <c r="U5413" s="104" t="str">
        <f>IF(
  AND(
    TRIM(A5413)=TRIM(Enginuity!$A$1),
    TRIM(B5413)=TRIM(Enginuity!$A$17),
    Q5413&lt;&gt;"",
    Q5413&lt;&gt;0,
    OR(
      TRIM(C5413)=TRIM(Enginuity!$A$18),
      AND(UPPER(TRIM(M5413))="STD", TRIM(B5413)=TRIM(Enginuity!$A$17))
    ),
    OR(
      AND(LEFT(P5413,5)="1-Way", Enginuity!$B$13=1),
      AND(LEFT(P5413,5)="2-Way", OR(Enginuity!$B$13=2, Enginuity!$B$13=4)),
      AND(LEFT(P5413,5)="3-Way", OR(Enginuity!$B$13=3, Enginuity!$B$13=6)),
      AND(P5413="Inner Centre Jamb", OR(Enginuity!$B$13=4, Enginuity!$B$13=6)),
      AND(
        LEFT(P5413,5)&lt;&gt;"1-Way",
        LEFT(P5413,5)&lt;&gt;"2-Way",
        LEFT(P5413,5)&lt;&gt;"3-Way",
        P5413&lt;&gt;"Inner Centre Jamb"
      )
    ),
    IF(OR(Enginuity!$A$1="Frameless Glass",Enginuity!$A$1="Metal Work"),
      AND(TRIM(B5413)=TRIM(Enginuity!$A$17),TRIM(C5413)=TRIM(Enginuity!$A$18)),
      TRIM(B5413)=TRIM(Enginuity!$A$17)
    )
  ),
  ROW(),
  ""
)</f>
        <v/>
      </c>
    </row>
    <row r="5414" spans="21:21" x14ac:dyDescent="0.25">
      <c r="U5414" s="104" t="str">
        <f>IF(
  AND(
    TRIM(A5414)=TRIM(Enginuity!$A$1),
    TRIM(B5414)=TRIM(Enginuity!$A$17),
    Q5414&lt;&gt;"",
    Q5414&lt;&gt;0,
    OR(
      TRIM(C5414)=TRIM(Enginuity!$A$18),
      AND(UPPER(TRIM(M5414))="STD", TRIM(B5414)=TRIM(Enginuity!$A$17))
    ),
    OR(
      AND(LEFT(P5414,5)="1-Way", Enginuity!$B$13=1),
      AND(LEFT(P5414,5)="2-Way", OR(Enginuity!$B$13=2, Enginuity!$B$13=4)),
      AND(LEFT(P5414,5)="3-Way", OR(Enginuity!$B$13=3, Enginuity!$B$13=6)),
      AND(P5414="Inner Centre Jamb", OR(Enginuity!$B$13=4, Enginuity!$B$13=6)),
      AND(
        LEFT(P5414,5)&lt;&gt;"1-Way",
        LEFT(P5414,5)&lt;&gt;"2-Way",
        LEFT(P5414,5)&lt;&gt;"3-Way",
        P5414&lt;&gt;"Inner Centre Jamb"
      )
    ),
    IF(OR(Enginuity!$A$1="Frameless Glass",Enginuity!$A$1="Metal Work"),
      AND(TRIM(B5414)=TRIM(Enginuity!$A$17),TRIM(C5414)=TRIM(Enginuity!$A$18)),
      TRIM(B5414)=TRIM(Enginuity!$A$17)
    )
  ),
  ROW(),
  ""
)</f>
        <v/>
      </c>
    </row>
    <row r="5415" spans="21:21" x14ac:dyDescent="0.25">
      <c r="U5415" s="104" t="str">
        <f>IF(
  AND(
    TRIM(A5415)=TRIM(Enginuity!$A$1),
    TRIM(B5415)=TRIM(Enginuity!$A$17),
    Q5415&lt;&gt;"",
    Q5415&lt;&gt;0,
    OR(
      TRIM(C5415)=TRIM(Enginuity!$A$18),
      AND(UPPER(TRIM(M5415))="STD", TRIM(B5415)=TRIM(Enginuity!$A$17))
    ),
    OR(
      AND(LEFT(P5415,5)="1-Way", Enginuity!$B$13=1),
      AND(LEFT(P5415,5)="2-Way", OR(Enginuity!$B$13=2, Enginuity!$B$13=4)),
      AND(LEFT(P5415,5)="3-Way", OR(Enginuity!$B$13=3, Enginuity!$B$13=6)),
      AND(P5415="Inner Centre Jamb", OR(Enginuity!$B$13=4, Enginuity!$B$13=6)),
      AND(
        LEFT(P5415,5)&lt;&gt;"1-Way",
        LEFT(P5415,5)&lt;&gt;"2-Way",
        LEFT(P5415,5)&lt;&gt;"3-Way",
        P5415&lt;&gt;"Inner Centre Jamb"
      )
    ),
    IF(OR(Enginuity!$A$1="Frameless Glass",Enginuity!$A$1="Metal Work"),
      AND(TRIM(B5415)=TRIM(Enginuity!$A$17),TRIM(C5415)=TRIM(Enginuity!$A$18)),
      TRIM(B5415)=TRIM(Enginuity!$A$17)
    )
  ),
  ROW(),
  ""
)</f>
        <v/>
      </c>
    </row>
    <row r="5416" spans="21:21" x14ac:dyDescent="0.25">
      <c r="U5416" s="104" t="str">
        <f>IF(
  AND(
    TRIM(A5416)=TRIM(Enginuity!$A$1),
    TRIM(B5416)=TRIM(Enginuity!$A$17),
    Q5416&lt;&gt;"",
    Q5416&lt;&gt;0,
    OR(
      TRIM(C5416)=TRIM(Enginuity!$A$18),
      AND(UPPER(TRIM(M5416))="STD", TRIM(B5416)=TRIM(Enginuity!$A$17))
    ),
    OR(
      AND(LEFT(P5416,5)="1-Way", Enginuity!$B$13=1),
      AND(LEFT(P5416,5)="2-Way", OR(Enginuity!$B$13=2, Enginuity!$B$13=4)),
      AND(LEFT(P5416,5)="3-Way", OR(Enginuity!$B$13=3, Enginuity!$B$13=6)),
      AND(P5416="Inner Centre Jamb", OR(Enginuity!$B$13=4, Enginuity!$B$13=6)),
      AND(
        LEFT(P5416,5)&lt;&gt;"1-Way",
        LEFT(P5416,5)&lt;&gt;"2-Way",
        LEFT(P5416,5)&lt;&gt;"3-Way",
        P5416&lt;&gt;"Inner Centre Jamb"
      )
    ),
    IF(OR(Enginuity!$A$1="Frameless Glass",Enginuity!$A$1="Metal Work"),
      AND(TRIM(B5416)=TRIM(Enginuity!$A$17),TRIM(C5416)=TRIM(Enginuity!$A$18)),
      TRIM(B5416)=TRIM(Enginuity!$A$17)
    )
  ),
  ROW(),
  ""
)</f>
        <v/>
      </c>
    </row>
    <row r="5417" spans="21:21" x14ac:dyDescent="0.25">
      <c r="U5417" s="104" t="str">
        <f>IF(
  AND(
    TRIM(A5417)=TRIM(Enginuity!$A$1),
    TRIM(B5417)=TRIM(Enginuity!$A$17),
    Q5417&lt;&gt;"",
    Q5417&lt;&gt;0,
    OR(
      TRIM(C5417)=TRIM(Enginuity!$A$18),
      AND(UPPER(TRIM(M5417))="STD", TRIM(B5417)=TRIM(Enginuity!$A$17))
    ),
    OR(
      AND(LEFT(P5417,5)="1-Way", Enginuity!$B$13=1),
      AND(LEFT(P5417,5)="2-Way", OR(Enginuity!$B$13=2, Enginuity!$B$13=4)),
      AND(LEFT(P5417,5)="3-Way", OR(Enginuity!$B$13=3, Enginuity!$B$13=6)),
      AND(P5417="Inner Centre Jamb", OR(Enginuity!$B$13=4, Enginuity!$B$13=6)),
      AND(
        LEFT(P5417,5)&lt;&gt;"1-Way",
        LEFT(P5417,5)&lt;&gt;"2-Way",
        LEFT(P5417,5)&lt;&gt;"3-Way",
        P5417&lt;&gt;"Inner Centre Jamb"
      )
    ),
    IF(OR(Enginuity!$A$1="Frameless Glass",Enginuity!$A$1="Metal Work"),
      AND(TRIM(B5417)=TRIM(Enginuity!$A$17),TRIM(C5417)=TRIM(Enginuity!$A$18)),
      TRIM(B5417)=TRIM(Enginuity!$A$17)
    )
  ),
  ROW(),
  ""
)</f>
        <v/>
      </c>
    </row>
    <row r="5418" spans="21:21" x14ac:dyDescent="0.25">
      <c r="U5418" s="104" t="str">
        <f>IF(
  AND(
    TRIM(A5418)=TRIM(Enginuity!$A$1),
    TRIM(B5418)=TRIM(Enginuity!$A$17),
    Q5418&lt;&gt;"",
    Q5418&lt;&gt;0,
    OR(
      TRIM(C5418)=TRIM(Enginuity!$A$18),
      AND(UPPER(TRIM(M5418))="STD", TRIM(B5418)=TRIM(Enginuity!$A$17))
    ),
    OR(
      AND(LEFT(P5418,5)="1-Way", Enginuity!$B$13=1),
      AND(LEFT(P5418,5)="2-Way", OR(Enginuity!$B$13=2, Enginuity!$B$13=4)),
      AND(LEFT(P5418,5)="3-Way", OR(Enginuity!$B$13=3, Enginuity!$B$13=6)),
      AND(P5418="Inner Centre Jamb", OR(Enginuity!$B$13=4, Enginuity!$B$13=6)),
      AND(
        LEFT(P5418,5)&lt;&gt;"1-Way",
        LEFT(P5418,5)&lt;&gt;"2-Way",
        LEFT(P5418,5)&lt;&gt;"3-Way",
        P5418&lt;&gt;"Inner Centre Jamb"
      )
    ),
    IF(OR(Enginuity!$A$1="Frameless Glass",Enginuity!$A$1="Metal Work"),
      AND(TRIM(B5418)=TRIM(Enginuity!$A$17),TRIM(C5418)=TRIM(Enginuity!$A$18)),
      TRIM(B5418)=TRIM(Enginuity!$A$17)
    )
  ),
  ROW(),
  ""
)</f>
        <v/>
      </c>
    </row>
    <row r="5419" spans="21:21" x14ac:dyDescent="0.25">
      <c r="U5419" s="104" t="str">
        <f>IF(
  AND(
    TRIM(A5419)=TRIM(Enginuity!$A$1),
    TRIM(B5419)=TRIM(Enginuity!$A$17),
    Q5419&lt;&gt;"",
    Q5419&lt;&gt;0,
    OR(
      TRIM(C5419)=TRIM(Enginuity!$A$18),
      AND(UPPER(TRIM(M5419))="STD", TRIM(B5419)=TRIM(Enginuity!$A$17))
    ),
    OR(
      AND(LEFT(P5419,5)="1-Way", Enginuity!$B$13=1),
      AND(LEFT(P5419,5)="2-Way", OR(Enginuity!$B$13=2, Enginuity!$B$13=4)),
      AND(LEFT(P5419,5)="3-Way", OR(Enginuity!$B$13=3, Enginuity!$B$13=6)),
      AND(P5419="Inner Centre Jamb", OR(Enginuity!$B$13=4, Enginuity!$B$13=6)),
      AND(
        LEFT(P5419,5)&lt;&gt;"1-Way",
        LEFT(P5419,5)&lt;&gt;"2-Way",
        LEFT(P5419,5)&lt;&gt;"3-Way",
        P5419&lt;&gt;"Inner Centre Jamb"
      )
    ),
    IF(OR(Enginuity!$A$1="Frameless Glass",Enginuity!$A$1="Metal Work"),
      AND(TRIM(B5419)=TRIM(Enginuity!$A$17),TRIM(C5419)=TRIM(Enginuity!$A$18)),
      TRIM(B5419)=TRIM(Enginuity!$A$17)
    )
  ),
  ROW(),
  ""
)</f>
        <v/>
      </c>
    </row>
    <row r="5420" spans="21:21" x14ac:dyDescent="0.25">
      <c r="U5420" s="104" t="str">
        <f>IF(
  AND(
    TRIM(A5420)=TRIM(Enginuity!$A$1),
    TRIM(B5420)=TRIM(Enginuity!$A$17),
    Q5420&lt;&gt;"",
    Q5420&lt;&gt;0,
    OR(
      TRIM(C5420)=TRIM(Enginuity!$A$18),
      AND(UPPER(TRIM(M5420))="STD", TRIM(B5420)=TRIM(Enginuity!$A$17))
    ),
    OR(
      AND(LEFT(P5420,5)="1-Way", Enginuity!$B$13=1),
      AND(LEFT(P5420,5)="2-Way", OR(Enginuity!$B$13=2, Enginuity!$B$13=4)),
      AND(LEFT(P5420,5)="3-Way", OR(Enginuity!$B$13=3, Enginuity!$B$13=6)),
      AND(P5420="Inner Centre Jamb", OR(Enginuity!$B$13=4, Enginuity!$B$13=6)),
      AND(
        LEFT(P5420,5)&lt;&gt;"1-Way",
        LEFT(P5420,5)&lt;&gt;"2-Way",
        LEFT(P5420,5)&lt;&gt;"3-Way",
        P5420&lt;&gt;"Inner Centre Jamb"
      )
    ),
    IF(OR(Enginuity!$A$1="Frameless Glass",Enginuity!$A$1="Metal Work"),
      AND(TRIM(B5420)=TRIM(Enginuity!$A$17),TRIM(C5420)=TRIM(Enginuity!$A$18)),
      TRIM(B5420)=TRIM(Enginuity!$A$17)
    )
  ),
  ROW(),
  ""
)</f>
        <v/>
      </c>
    </row>
    <row r="5421" spans="21:21" x14ac:dyDescent="0.25">
      <c r="U5421" s="104" t="str">
        <f>IF(
  AND(
    TRIM(A5421)=TRIM(Enginuity!$A$1),
    TRIM(B5421)=TRIM(Enginuity!$A$17),
    Q5421&lt;&gt;"",
    Q5421&lt;&gt;0,
    OR(
      TRIM(C5421)=TRIM(Enginuity!$A$18),
      AND(UPPER(TRIM(M5421))="STD", TRIM(B5421)=TRIM(Enginuity!$A$17))
    ),
    OR(
      AND(LEFT(P5421,5)="1-Way", Enginuity!$B$13=1),
      AND(LEFT(P5421,5)="2-Way", OR(Enginuity!$B$13=2, Enginuity!$B$13=4)),
      AND(LEFT(P5421,5)="3-Way", OR(Enginuity!$B$13=3, Enginuity!$B$13=6)),
      AND(P5421="Inner Centre Jamb", OR(Enginuity!$B$13=4, Enginuity!$B$13=6)),
      AND(
        LEFT(P5421,5)&lt;&gt;"1-Way",
        LEFT(P5421,5)&lt;&gt;"2-Way",
        LEFT(P5421,5)&lt;&gt;"3-Way",
        P5421&lt;&gt;"Inner Centre Jamb"
      )
    ),
    IF(OR(Enginuity!$A$1="Frameless Glass",Enginuity!$A$1="Metal Work"),
      AND(TRIM(B5421)=TRIM(Enginuity!$A$17),TRIM(C5421)=TRIM(Enginuity!$A$18)),
      TRIM(B5421)=TRIM(Enginuity!$A$17)
    )
  ),
  ROW(),
  ""
)</f>
        <v/>
      </c>
    </row>
    <row r="5422" spans="21:21" x14ac:dyDescent="0.25">
      <c r="U5422" s="104" t="str">
        <f>IF(
  AND(
    TRIM(A5422)=TRIM(Enginuity!$A$1),
    TRIM(B5422)=TRIM(Enginuity!$A$17),
    Q5422&lt;&gt;"",
    Q5422&lt;&gt;0,
    OR(
      TRIM(C5422)=TRIM(Enginuity!$A$18),
      AND(UPPER(TRIM(M5422))="STD", TRIM(B5422)=TRIM(Enginuity!$A$17))
    ),
    OR(
      AND(LEFT(P5422,5)="1-Way", Enginuity!$B$13=1),
      AND(LEFT(P5422,5)="2-Way", OR(Enginuity!$B$13=2, Enginuity!$B$13=4)),
      AND(LEFT(P5422,5)="3-Way", OR(Enginuity!$B$13=3, Enginuity!$B$13=6)),
      AND(P5422="Inner Centre Jamb", OR(Enginuity!$B$13=4, Enginuity!$B$13=6)),
      AND(
        LEFT(P5422,5)&lt;&gt;"1-Way",
        LEFT(P5422,5)&lt;&gt;"2-Way",
        LEFT(P5422,5)&lt;&gt;"3-Way",
        P5422&lt;&gt;"Inner Centre Jamb"
      )
    ),
    IF(OR(Enginuity!$A$1="Frameless Glass",Enginuity!$A$1="Metal Work"),
      AND(TRIM(B5422)=TRIM(Enginuity!$A$17),TRIM(C5422)=TRIM(Enginuity!$A$18)),
      TRIM(B5422)=TRIM(Enginuity!$A$17)
    )
  ),
  ROW(),
  ""
)</f>
        <v/>
      </c>
    </row>
    <row r="5423" spans="21:21" x14ac:dyDescent="0.25">
      <c r="U5423" s="104" t="str">
        <f>IF(
  AND(
    TRIM(A5423)=TRIM(Enginuity!$A$1),
    TRIM(B5423)=TRIM(Enginuity!$A$17),
    Q5423&lt;&gt;"",
    Q5423&lt;&gt;0,
    OR(
      TRIM(C5423)=TRIM(Enginuity!$A$18),
      AND(UPPER(TRIM(M5423))="STD", TRIM(B5423)=TRIM(Enginuity!$A$17))
    ),
    OR(
      AND(LEFT(P5423,5)="1-Way", Enginuity!$B$13=1),
      AND(LEFT(P5423,5)="2-Way", OR(Enginuity!$B$13=2, Enginuity!$B$13=4)),
      AND(LEFT(P5423,5)="3-Way", OR(Enginuity!$B$13=3, Enginuity!$B$13=6)),
      AND(P5423="Inner Centre Jamb", OR(Enginuity!$B$13=4, Enginuity!$B$13=6)),
      AND(
        LEFT(P5423,5)&lt;&gt;"1-Way",
        LEFT(P5423,5)&lt;&gt;"2-Way",
        LEFT(P5423,5)&lt;&gt;"3-Way",
        P5423&lt;&gt;"Inner Centre Jamb"
      )
    ),
    IF(OR(Enginuity!$A$1="Frameless Glass",Enginuity!$A$1="Metal Work"),
      AND(TRIM(B5423)=TRIM(Enginuity!$A$17),TRIM(C5423)=TRIM(Enginuity!$A$18)),
      TRIM(B5423)=TRIM(Enginuity!$A$17)
    )
  ),
  ROW(),
  ""
)</f>
        <v/>
      </c>
    </row>
    <row r="5424" spans="21:21" x14ac:dyDescent="0.25">
      <c r="U5424" s="104" t="str">
        <f>IF(
  AND(
    TRIM(A5424)=TRIM(Enginuity!$A$1),
    TRIM(B5424)=TRIM(Enginuity!$A$17),
    Q5424&lt;&gt;"",
    Q5424&lt;&gt;0,
    OR(
      TRIM(C5424)=TRIM(Enginuity!$A$18),
      AND(UPPER(TRIM(M5424))="STD", TRIM(B5424)=TRIM(Enginuity!$A$17))
    ),
    OR(
      AND(LEFT(P5424,5)="1-Way", Enginuity!$B$13=1),
      AND(LEFT(P5424,5)="2-Way", OR(Enginuity!$B$13=2, Enginuity!$B$13=4)),
      AND(LEFT(P5424,5)="3-Way", OR(Enginuity!$B$13=3, Enginuity!$B$13=6)),
      AND(P5424="Inner Centre Jamb", OR(Enginuity!$B$13=4, Enginuity!$B$13=6)),
      AND(
        LEFT(P5424,5)&lt;&gt;"1-Way",
        LEFT(P5424,5)&lt;&gt;"2-Way",
        LEFT(P5424,5)&lt;&gt;"3-Way",
        P5424&lt;&gt;"Inner Centre Jamb"
      )
    ),
    IF(OR(Enginuity!$A$1="Frameless Glass",Enginuity!$A$1="Metal Work"),
      AND(TRIM(B5424)=TRIM(Enginuity!$A$17),TRIM(C5424)=TRIM(Enginuity!$A$18)),
      TRIM(B5424)=TRIM(Enginuity!$A$17)
    )
  ),
  ROW(),
  ""
)</f>
        <v/>
      </c>
    </row>
    <row r="5425" spans="21:21" x14ac:dyDescent="0.25">
      <c r="U5425" s="104" t="str">
        <f>IF(
  AND(
    TRIM(A5425)=TRIM(Enginuity!$A$1),
    TRIM(B5425)=TRIM(Enginuity!$A$17),
    Q5425&lt;&gt;"",
    Q5425&lt;&gt;0,
    OR(
      TRIM(C5425)=TRIM(Enginuity!$A$18),
      AND(UPPER(TRIM(M5425))="STD", TRIM(B5425)=TRIM(Enginuity!$A$17))
    ),
    OR(
      AND(LEFT(P5425,5)="1-Way", Enginuity!$B$13=1),
      AND(LEFT(P5425,5)="2-Way", OR(Enginuity!$B$13=2, Enginuity!$B$13=4)),
      AND(LEFT(P5425,5)="3-Way", OR(Enginuity!$B$13=3, Enginuity!$B$13=6)),
      AND(P5425="Inner Centre Jamb", OR(Enginuity!$B$13=4, Enginuity!$B$13=6)),
      AND(
        LEFT(P5425,5)&lt;&gt;"1-Way",
        LEFT(P5425,5)&lt;&gt;"2-Way",
        LEFT(P5425,5)&lt;&gt;"3-Way",
        P5425&lt;&gt;"Inner Centre Jamb"
      )
    ),
    IF(OR(Enginuity!$A$1="Frameless Glass",Enginuity!$A$1="Metal Work"),
      AND(TRIM(B5425)=TRIM(Enginuity!$A$17),TRIM(C5425)=TRIM(Enginuity!$A$18)),
      TRIM(B5425)=TRIM(Enginuity!$A$17)
    )
  ),
  ROW(),
  ""
)</f>
        <v/>
      </c>
    </row>
    <row r="5426" spans="21:21" x14ac:dyDescent="0.25">
      <c r="U5426" s="104" t="str">
        <f>IF(
  AND(
    TRIM(A5426)=TRIM(Enginuity!$A$1),
    TRIM(B5426)=TRIM(Enginuity!$A$17),
    Q5426&lt;&gt;"",
    Q5426&lt;&gt;0,
    OR(
      TRIM(C5426)=TRIM(Enginuity!$A$18),
      AND(UPPER(TRIM(M5426))="STD", TRIM(B5426)=TRIM(Enginuity!$A$17))
    ),
    OR(
      AND(LEFT(P5426,5)="1-Way", Enginuity!$B$13=1),
      AND(LEFT(P5426,5)="2-Way", OR(Enginuity!$B$13=2, Enginuity!$B$13=4)),
      AND(LEFT(P5426,5)="3-Way", OR(Enginuity!$B$13=3, Enginuity!$B$13=6)),
      AND(P5426="Inner Centre Jamb", OR(Enginuity!$B$13=4, Enginuity!$B$13=6)),
      AND(
        LEFT(P5426,5)&lt;&gt;"1-Way",
        LEFT(P5426,5)&lt;&gt;"2-Way",
        LEFT(P5426,5)&lt;&gt;"3-Way",
        P5426&lt;&gt;"Inner Centre Jamb"
      )
    ),
    IF(OR(Enginuity!$A$1="Frameless Glass",Enginuity!$A$1="Metal Work"),
      AND(TRIM(B5426)=TRIM(Enginuity!$A$17),TRIM(C5426)=TRIM(Enginuity!$A$18)),
      TRIM(B5426)=TRIM(Enginuity!$A$17)
    )
  ),
  ROW(),
  ""
)</f>
        <v/>
      </c>
    </row>
    <row r="5427" spans="21:21" x14ac:dyDescent="0.25">
      <c r="U5427" s="104" t="str">
        <f>IF(
  AND(
    TRIM(A5427)=TRIM(Enginuity!$A$1),
    TRIM(B5427)=TRIM(Enginuity!$A$17),
    Q5427&lt;&gt;"",
    Q5427&lt;&gt;0,
    OR(
      TRIM(C5427)=TRIM(Enginuity!$A$18),
      AND(UPPER(TRIM(M5427))="STD", TRIM(B5427)=TRIM(Enginuity!$A$17))
    ),
    OR(
      AND(LEFT(P5427,5)="1-Way", Enginuity!$B$13=1),
      AND(LEFT(P5427,5)="2-Way", OR(Enginuity!$B$13=2, Enginuity!$B$13=4)),
      AND(LEFT(P5427,5)="3-Way", OR(Enginuity!$B$13=3, Enginuity!$B$13=6)),
      AND(P5427="Inner Centre Jamb", OR(Enginuity!$B$13=4, Enginuity!$B$13=6)),
      AND(
        LEFT(P5427,5)&lt;&gt;"1-Way",
        LEFT(P5427,5)&lt;&gt;"2-Way",
        LEFT(P5427,5)&lt;&gt;"3-Way",
        P5427&lt;&gt;"Inner Centre Jamb"
      )
    ),
    IF(OR(Enginuity!$A$1="Frameless Glass",Enginuity!$A$1="Metal Work"),
      AND(TRIM(B5427)=TRIM(Enginuity!$A$17),TRIM(C5427)=TRIM(Enginuity!$A$18)),
      TRIM(B5427)=TRIM(Enginuity!$A$17)
    )
  ),
  ROW(),
  ""
)</f>
        <v/>
      </c>
    </row>
    <row r="5428" spans="21:21" x14ac:dyDescent="0.25">
      <c r="U5428" s="104" t="str">
        <f>IF(
  AND(
    TRIM(A5428)=TRIM(Enginuity!$A$1),
    TRIM(B5428)=TRIM(Enginuity!$A$17),
    Q5428&lt;&gt;"",
    Q5428&lt;&gt;0,
    OR(
      TRIM(C5428)=TRIM(Enginuity!$A$18),
      AND(UPPER(TRIM(M5428))="STD", TRIM(B5428)=TRIM(Enginuity!$A$17))
    ),
    OR(
      AND(LEFT(P5428,5)="1-Way", Enginuity!$B$13=1),
      AND(LEFT(P5428,5)="2-Way", OR(Enginuity!$B$13=2, Enginuity!$B$13=4)),
      AND(LEFT(P5428,5)="3-Way", OR(Enginuity!$B$13=3, Enginuity!$B$13=6)),
      AND(P5428="Inner Centre Jamb", OR(Enginuity!$B$13=4, Enginuity!$B$13=6)),
      AND(
        LEFT(P5428,5)&lt;&gt;"1-Way",
        LEFT(P5428,5)&lt;&gt;"2-Way",
        LEFT(P5428,5)&lt;&gt;"3-Way",
        P5428&lt;&gt;"Inner Centre Jamb"
      )
    ),
    IF(OR(Enginuity!$A$1="Frameless Glass",Enginuity!$A$1="Metal Work"),
      AND(TRIM(B5428)=TRIM(Enginuity!$A$17),TRIM(C5428)=TRIM(Enginuity!$A$18)),
      TRIM(B5428)=TRIM(Enginuity!$A$17)
    )
  ),
  ROW(),
  ""
)</f>
        <v/>
      </c>
    </row>
    <row r="5429" spans="21:21" x14ac:dyDescent="0.25">
      <c r="U5429" s="104" t="str">
        <f>IF(
  AND(
    TRIM(A5429)=TRIM(Enginuity!$A$1),
    TRIM(B5429)=TRIM(Enginuity!$A$17),
    Q5429&lt;&gt;"",
    Q5429&lt;&gt;0,
    OR(
      TRIM(C5429)=TRIM(Enginuity!$A$18),
      AND(UPPER(TRIM(M5429))="STD", TRIM(B5429)=TRIM(Enginuity!$A$17))
    ),
    OR(
      AND(LEFT(P5429,5)="1-Way", Enginuity!$B$13=1),
      AND(LEFT(P5429,5)="2-Way", OR(Enginuity!$B$13=2, Enginuity!$B$13=4)),
      AND(LEFT(P5429,5)="3-Way", OR(Enginuity!$B$13=3, Enginuity!$B$13=6)),
      AND(P5429="Inner Centre Jamb", OR(Enginuity!$B$13=4, Enginuity!$B$13=6)),
      AND(
        LEFT(P5429,5)&lt;&gt;"1-Way",
        LEFT(P5429,5)&lt;&gt;"2-Way",
        LEFT(P5429,5)&lt;&gt;"3-Way",
        P5429&lt;&gt;"Inner Centre Jamb"
      )
    ),
    IF(OR(Enginuity!$A$1="Frameless Glass",Enginuity!$A$1="Metal Work"),
      AND(TRIM(B5429)=TRIM(Enginuity!$A$17),TRIM(C5429)=TRIM(Enginuity!$A$18)),
      TRIM(B5429)=TRIM(Enginuity!$A$17)
    )
  ),
  ROW(),
  ""
)</f>
        <v/>
      </c>
    </row>
    <row r="5430" spans="21:21" x14ac:dyDescent="0.25">
      <c r="U5430" s="104" t="str">
        <f>IF(
  AND(
    TRIM(A5430)=TRIM(Enginuity!$A$1),
    TRIM(B5430)=TRIM(Enginuity!$A$17),
    Q5430&lt;&gt;"",
    Q5430&lt;&gt;0,
    OR(
      TRIM(C5430)=TRIM(Enginuity!$A$18),
      AND(UPPER(TRIM(M5430))="STD", TRIM(B5430)=TRIM(Enginuity!$A$17))
    ),
    OR(
      AND(LEFT(P5430,5)="1-Way", Enginuity!$B$13=1),
      AND(LEFT(P5430,5)="2-Way", OR(Enginuity!$B$13=2, Enginuity!$B$13=4)),
      AND(LEFT(P5430,5)="3-Way", OR(Enginuity!$B$13=3, Enginuity!$B$13=6)),
      AND(P5430="Inner Centre Jamb", OR(Enginuity!$B$13=4, Enginuity!$B$13=6)),
      AND(
        LEFT(P5430,5)&lt;&gt;"1-Way",
        LEFT(P5430,5)&lt;&gt;"2-Way",
        LEFT(P5430,5)&lt;&gt;"3-Way",
        P5430&lt;&gt;"Inner Centre Jamb"
      )
    ),
    IF(OR(Enginuity!$A$1="Frameless Glass",Enginuity!$A$1="Metal Work"),
      AND(TRIM(B5430)=TRIM(Enginuity!$A$17),TRIM(C5430)=TRIM(Enginuity!$A$18)),
      TRIM(B5430)=TRIM(Enginuity!$A$17)
    )
  ),
  ROW(),
  ""
)</f>
        <v/>
      </c>
    </row>
    <row r="5431" spans="21:21" x14ac:dyDescent="0.25">
      <c r="U5431" s="104" t="str">
        <f>IF(
  AND(
    TRIM(A5431)=TRIM(Enginuity!$A$1),
    TRIM(B5431)=TRIM(Enginuity!$A$17),
    Q5431&lt;&gt;"",
    Q5431&lt;&gt;0,
    OR(
      TRIM(C5431)=TRIM(Enginuity!$A$18),
      AND(UPPER(TRIM(M5431))="STD", TRIM(B5431)=TRIM(Enginuity!$A$17))
    ),
    OR(
      AND(LEFT(P5431,5)="1-Way", Enginuity!$B$13=1),
      AND(LEFT(P5431,5)="2-Way", OR(Enginuity!$B$13=2, Enginuity!$B$13=4)),
      AND(LEFT(P5431,5)="3-Way", OR(Enginuity!$B$13=3, Enginuity!$B$13=6)),
      AND(P5431="Inner Centre Jamb", OR(Enginuity!$B$13=4, Enginuity!$B$13=6)),
      AND(
        LEFT(P5431,5)&lt;&gt;"1-Way",
        LEFT(P5431,5)&lt;&gt;"2-Way",
        LEFT(P5431,5)&lt;&gt;"3-Way",
        P5431&lt;&gt;"Inner Centre Jamb"
      )
    ),
    IF(OR(Enginuity!$A$1="Frameless Glass",Enginuity!$A$1="Metal Work"),
      AND(TRIM(B5431)=TRIM(Enginuity!$A$17),TRIM(C5431)=TRIM(Enginuity!$A$18)),
      TRIM(B5431)=TRIM(Enginuity!$A$17)
    )
  ),
  ROW(),
  ""
)</f>
        <v/>
      </c>
    </row>
    <row r="5432" spans="21:21" x14ac:dyDescent="0.25">
      <c r="U5432" s="104" t="str">
        <f>IF(
  AND(
    TRIM(A5432)=TRIM(Enginuity!$A$1),
    TRIM(B5432)=TRIM(Enginuity!$A$17),
    Q5432&lt;&gt;"",
    Q5432&lt;&gt;0,
    OR(
      TRIM(C5432)=TRIM(Enginuity!$A$18),
      AND(UPPER(TRIM(M5432))="STD", TRIM(B5432)=TRIM(Enginuity!$A$17))
    ),
    OR(
      AND(LEFT(P5432,5)="1-Way", Enginuity!$B$13=1),
      AND(LEFT(P5432,5)="2-Way", OR(Enginuity!$B$13=2, Enginuity!$B$13=4)),
      AND(LEFT(P5432,5)="3-Way", OR(Enginuity!$B$13=3, Enginuity!$B$13=6)),
      AND(P5432="Inner Centre Jamb", OR(Enginuity!$B$13=4, Enginuity!$B$13=6)),
      AND(
        LEFT(P5432,5)&lt;&gt;"1-Way",
        LEFT(P5432,5)&lt;&gt;"2-Way",
        LEFT(P5432,5)&lt;&gt;"3-Way",
        P5432&lt;&gt;"Inner Centre Jamb"
      )
    ),
    IF(OR(Enginuity!$A$1="Frameless Glass",Enginuity!$A$1="Metal Work"),
      AND(TRIM(B5432)=TRIM(Enginuity!$A$17),TRIM(C5432)=TRIM(Enginuity!$A$18)),
      TRIM(B5432)=TRIM(Enginuity!$A$17)
    )
  ),
  ROW(),
  ""
)</f>
        <v/>
      </c>
    </row>
    <row r="5433" spans="21:21" x14ac:dyDescent="0.25">
      <c r="U5433" s="104" t="str">
        <f>IF(
  AND(
    TRIM(A5433)=TRIM(Enginuity!$A$1),
    TRIM(B5433)=TRIM(Enginuity!$A$17),
    Q5433&lt;&gt;"",
    Q5433&lt;&gt;0,
    OR(
      TRIM(C5433)=TRIM(Enginuity!$A$18),
      AND(UPPER(TRIM(M5433))="STD", TRIM(B5433)=TRIM(Enginuity!$A$17))
    ),
    OR(
      AND(LEFT(P5433,5)="1-Way", Enginuity!$B$13=1),
      AND(LEFT(P5433,5)="2-Way", OR(Enginuity!$B$13=2, Enginuity!$B$13=4)),
      AND(LEFT(P5433,5)="3-Way", OR(Enginuity!$B$13=3, Enginuity!$B$13=6)),
      AND(P5433="Inner Centre Jamb", OR(Enginuity!$B$13=4, Enginuity!$B$13=6)),
      AND(
        LEFT(P5433,5)&lt;&gt;"1-Way",
        LEFT(P5433,5)&lt;&gt;"2-Way",
        LEFT(P5433,5)&lt;&gt;"3-Way",
        P5433&lt;&gt;"Inner Centre Jamb"
      )
    ),
    IF(OR(Enginuity!$A$1="Frameless Glass",Enginuity!$A$1="Metal Work"),
      AND(TRIM(B5433)=TRIM(Enginuity!$A$17),TRIM(C5433)=TRIM(Enginuity!$A$18)),
      TRIM(B5433)=TRIM(Enginuity!$A$17)
    )
  ),
  ROW(),
  ""
)</f>
        <v/>
      </c>
    </row>
    <row r="5434" spans="21:21" x14ac:dyDescent="0.25">
      <c r="U5434" s="104" t="str">
        <f>IF(
  AND(
    TRIM(A5434)=TRIM(Enginuity!$A$1),
    TRIM(B5434)=TRIM(Enginuity!$A$17),
    Q5434&lt;&gt;"",
    Q5434&lt;&gt;0,
    OR(
      TRIM(C5434)=TRIM(Enginuity!$A$18),
      AND(UPPER(TRIM(M5434))="STD", TRIM(B5434)=TRIM(Enginuity!$A$17))
    ),
    OR(
      AND(LEFT(P5434,5)="1-Way", Enginuity!$B$13=1),
      AND(LEFT(P5434,5)="2-Way", OR(Enginuity!$B$13=2, Enginuity!$B$13=4)),
      AND(LEFT(P5434,5)="3-Way", OR(Enginuity!$B$13=3, Enginuity!$B$13=6)),
      AND(P5434="Inner Centre Jamb", OR(Enginuity!$B$13=4, Enginuity!$B$13=6)),
      AND(
        LEFT(P5434,5)&lt;&gt;"1-Way",
        LEFT(P5434,5)&lt;&gt;"2-Way",
        LEFT(P5434,5)&lt;&gt;"3-Way",
        P5434&lt;&gt;"Inner Centre Jamb"
      )
    ),
    IF(OR(Enginuity!$A$1="Frameless Glass",Enginuity!$A$1="Metal Work"),
      AND(TRIM(B5434)=TRIM(Enginuity!$A$17),TRIM(C5434)=TRIM(Enginuity!$A$18)),
      TRIM(B5434)=TRIM(Enginuity!$A$17)
    )
  ),
  ROW(),
  ""
)</f>
        <v/>
      </c>
    </row>
    <row r="5435" spans="21:21" x14ac:dyDescent="0.25">
      <c r="U5435" s="104" t="str">
        <f>IF(
  AND(
    TRIM(A5435)=TRIM(Enginuity!$A$1),
    TRIM(B5435)=TRIM(Enginuity!$A$17),
    Q5435&lt;&gt;"",
    Q5435&lt;&gt;0,
    OR(
      TRIM(C5435)=TRIM(Enginuity!$A$18),
      AND(UPPER(TRIM(M5435))="STD", TRIM(B5435)=TRIM(Enginuity!$A$17))
    ),
    OR(
      AND(LEFT(P5435,5)="1-Way", Enginuity!$B$13=1),
      AND(LEFT(P5435,5)="2-Way", OR(Enginuity!$B$13=2, Enginuity!$B$13=4)),
      AND(LEFT(P5435,5)="3-Way", OR(Enginuity!$B$13=3, Enginuity!$B$13=6)),
      AND(P5435="Inner Centre Jamb", OR(Enginuity!$B$13=4, Enginuity!$B$13=6)),
      AND(
        LEFT(P5435,5)&lt;&gt;"1-Way",
        LEFT(P5435,5)&lt;&gt;"2-Way",
        LEFT(P5435,5)&lt;&gt;"3-Way",
        P5435&lt;&gt;"Inner Centre Jamb"
      )
    ),
    IF(OR(Enginuity!$A$1="Frameless Glass",Enginuity!$A$1="Metal Work"),
      AND(TRIM(B5435)=TRIM(Enginuity!$A$17),TRIM(C5435)=TRIM(Enginuity!$A$18)),
      TRIM(B5435)=TRIM(Enginuity!$A$17)
    )
  ),
  ROW(),
  ""
)</f>
        <v/>
      </c>
    </row>
    <row r="5436" spans="21:21" x14ac:dyDescent="0.25">
      <c r="U5436" s="104" t="str">
        <f>IF(
  AND(
    TRIM(A5436)=TRIM(Enginuity!$A$1),
    TRIM(B5436)=TRIM(Enginuity!$A$17),
    Q5436&lt;&gt;"",
    Q5436&lt;&gt;0,
    OR(
      TRIM(C5436)=TRIM(Enginuity!$A$18),
      AND(UPPER(TRIM(M5436))="STD", TRIM(B5436)=TRIM(Enginuity!$A$17))
    ),
    OR(
      AND(LEFT(P5436,5)="1-Way", Enginuity!$B$13=1),
      AND(LEFT(P5436,5)="2-Way", OR(Enginuity!$B$13=2, Enginuity!$B$13=4)),
      AND(LEFT(P5436,5)="3-Way", OR(Enginuity!$B$13=3, Enginuity!$B$13=6)),
      AND(P5436="Inner Centre Jamb", OR(Enginuity!$B$13=4, Enginuity!$B$13=6)),
      AND(
        LEFT(P5436,5)&lt;&gt;"1-Way",
        LEFT(P5436,5)&lt;&gt;"2-Way",
        LEFT(P5436,5)&lt;&gt;"3-Way",
        P5436&lt;&gt;"Inner Centre Jamb"
      )
    ),
    IF(OR(Enginuity!$A$1="Frameless Glass",Enginuity!$A$1="Metal Work"),
      AND(TRIM(B5436)=TRIM(Enginuity!$A$17),TRIM(C5436)=TRIM(Enginuity!$A$18)),
      TRIM(B5436)=TRIM(Enginuity!$A$17)
    )
  ),
  ROW(),
  ""
)</f>
        <v/>
      </c>
    </row>
    <row r="5437" spans="21:21" x14ac:dyDescent="0.25">
      <c r="U5437" s="104" t="str">
        <f>IF(
  AND(
    TRIM(A5437)=TRIM(Enginuity!$A$1),
    TRIM(B5437)=TRIM(Enginuity!$A$17),
    Q5437&lt;&gt;"",
    Q5437&lt;&gt;0,
    OR(
      TRIM(C5437)=TRIM(Enginuity!$A$18),
      AND(UPPER(TRIM(M5437))="STD", TRIM(B5437)=TRIM(Enginuity!$A$17))
    ),
    OR(
      AND(LEFT(P5437,5)="1-Way", Enginuity!$B$13=1),
      AND(LEFT(P5437,5)="2-Way", OR(Enginuity!$B$13=2, Enginuity!$B$13=4)),
      AND(LEFT(P5437,5)="3-Way", OR(Enginuity!$B$13=3, Enginuity!$B$13=6)),
      AND(P5437="Inner Centre Jamb", OR(Enginuity!$B$13=4, Enginuity!$B$13=6)),
      AND(
        LEFT(P5437,5)&lt;&gt;"1-Way",
        LEFT(P5437,5)&lt;&gt;"2-Way",
        LEFT(P5437,5)&lt;&gt;"3-Way",
        P5437&lt;&gt;"Inner Centre Jamb"
      )
    ),
    IF(OR(Enginuity!$A$1="Frameless Glass",Enginuity!$A$1="Metal Work"),
      AND(TRIM(B5437)=TRIM(Enginuity!$A$17),TRIM(C5437)=TRIM(Enginuity!$A$18)),
      TRIM(B5437)=TRIM(Enginuity!$A$17)
    )
  ),
  ROW(),
  ""
)</f>
        <v/>
      </c>
    </row>
    <row r="5438" spans="21:21" x14ac:dyDescent="0.25">
      <c r="U5438" s="104" t="str">
        <f>IF(
  AND(
    TRIM(A5438)=TRIM(Enginuity!$A$1),
    TRIM(B5438)=TRIM(Enginuity!$A$17),
    Q5438&lt;&gt;"",
    Q5438&lt;&gt;0,
    OR(
      TRIM(C5438)=TRIM(Enginuity!$A$18),
      AND(UPPER(TRIM(M5438))="STD", TRIM(B5438)=TRIM(Enginuity!$A$17))
    ),
    OR(
      AND(LEFT(P5438,5)="1-Way", Enginuity!$B$13=1),
      AND(LEFT(P5438,5)="2-Way", OR(Enginuity!$B$13=2, Enginuity!$B$13=4)),
      AND(LEFT(P5438,5)="3-Way", OR(Enginuity!$B$13=3, Enginuity!$B$13=6)),
      AND(P5438="Inner Centre Jamb", OR(Enginuity!$B$13=4, Enginuity!$B$13=6)),
      AND(
        LEFT(P5438,5)&lt;&gt;"1-Way",
        LEFT(P5438,5)&lt;&gt;"2-Way",
        LEFT(P5438,5)&lt;&gt;"3-Way",
        P5438&lt;&gt;"Inner Centre Jamb"
      )
    ),
    IF(OR(Enginuity!$A$1="Frameless Glass",Enginuity!$A$1="Metal Work"),
      AND(TRIM(B5438)=TRIM(Enginuity!$A$17),TRIM(C5438)=TRIM(Enginuity!$A$18)),
      TRIM(B5438)=TRIM(Enginuity!$A$17)
    )
  ),
  ROW(),
  ""
)</f>
        <v/>
      </c>
    </row>
    <row r="5439" spans="21:21" x14ac:dyDescent="0.25">
      <c r="U5439" s="104" t="str">
        <f>IF(
  AND(
    TRIM(A5439)=TRIM(Enginuity!$A$1),
    TRIM(B5439)=TRIM(Enginuity!$A$17),
    Q5439&lt;&gt;"",
    Q5439&lt;&gt;0,
    OR(
      TRIM(C5439)=TRIM(Enginuity!$A$18),
      AND(UPPER(TRIM(M5439))="STD", TRIM(B5439)=TRIM(Enginuity!$A$17))
    ),
    OR(
      AND(LEFT(P5439,5)="1-Way", Enginuity!$B$13=1),
      AND(LEFT(P5439,5)="2-Way", OR(Enginuity!$B$13=2, Enginuity!$B$13=4)),
      AND(LEFT(P5439,5)="3-Way", OR(Enginuity!$B$13=3, Enginuity!$B$13=6)),
      AND(P5439="Inner Centre Jamb", OR(Enginuity!$B$13=4, Enginuity!$B$13=6)),
      AND(
        LEFT(P5439,5)&lt;&gt;"1-Way",
        LEFT(P5439,5)&lt;&gt;"2-Way",
        LEFT(P5439,5)&lt;&gt;"3-Way",
        P5439&lt;&gt;"Inner Centre Jamb"
      )
    ),
    IF(OR(Enginuity!$A$1="Frameless Glass",Enginuity!$A$1="Metal Work"),
      AND(TRIM(B5439)=TRIM(Enginuity!$A$17),TRIM(C5439)=TRIM(Enginuity!$A$18)),
      TRIM(B5439)=TRIM(Enginuity!$A$17)
    )
  ),
  ROW(),
  ""
)</f>
        <v/>
      </c>
    </row>
    <row r="5440" spans="21:21" x14ac:dyDescent="0.25">
      <c r="U5440" s="104" t="str">
        <f>IF(
  AND(
    TRIM(A5440)=TRIM(Enginuity!$A$1),
    TRIM(B5440)=TRIM(Enginuity!$A$17),
    Q5440&lt;&gt;"",
    Q5440&lt;&gt;0,
    OR(
      TRIM(C5440)=TRIM(Enginuity!$A$18),
      AND(UPPER(TRIM(M5440))="STD", TRIM(B5440)=TRIM(Enginuity!$A$17))
    ),
    OR(
      AND(LEFT(P5440,5)="1-Way", Enginuity!$B$13=1),
      AND(LEFT(P5440,5)="2-Way", OR(Enginuity!$B$13=2, Enginuity!$B$13=4)),
      AND(LEFT(P5440,5)="3-Way", OR(Enginuity!$B$13=3, Enginuity!$B$13=6)),
      AND(P5440="Inner Centre Jamb", OR(Enginuity!$B$13=4, Enginuity!$B$13=6)),
      AND(
        LEFT(P5440,5)&lt;&gt;"1-Way",
        LEFT(P5440,5)&lt;&gt;"2-Way",
        LEFT(P5440,5)&lt;&gt;"3-Way",
        P5440&lt;&gt;"Inner Centre Jamb"
      )
    ),
    IF(OR(Enginuity!$A$1="Frameless Glass",Enginuity!$A$1="Metal Work"),
      AND(TRIM(B5440)=TRIM(Enginuity!$A$17),TRIM(C5440)=TRIM(Enginuity!$A$18)),
      TRIM(B5440)=TRIM(Enginuity!$A$17)
    )
  ),
  ROW(),
  ""
)</f>
        <v/>
      </c>
    </row>
    <row r="5441" spans="21:21" x14ac:dyDescent="0.25">
      <c r="U5441" s="104" t="str">
        <f>IF(
  AND(
    TRIM(A5441)=TRIM(Enginuity!$A$1),
    TRIM(B5441)=TRIM(Enginuity!$A$17),
    Q5441&lt;&gt;"",
    Q5441&lt;&gt;0,
    OR(
      TRIM(C5441)=TRIM(Enginuity!$A$18),
      AND(UPPER(TRIM(M5441))="STD", TRIM(B5441)=TRIM(Enginuity!$A$17))
    ),
    OR(
      AND(LEFT(P5441,5)="1-Way", Enginuity!$B$13=1),
      AND(LEFT(P5441,5)="2-Way", OR(Enginuity!$B$13=2, Enginuity!$B$13=4)),
      AND(LEFT(P5441,5)="3-Way", OR(Enginuity!$B$13=3, Enginuity!$B$13=6)),
      AND(P5441="Inner Centre Jamb", OR(Enginuity!$B$13=4, Enginuity!$B$13=6)),
      AND(
        LEFT(P5441,5)&lt;&gt;"1-Way",
        LEFT(P5441,5)&lt;&gt;"2-Way",
        LEFT(P5441,5)&lt;&gt;"3-Way",
        P5441&lt;&gt;"Inner Centre Jamb"
      )
    ),
    IF(OR(Enginuity!$A$1="Frameless Glass",Enginuity!$A$1="Metal Work"),
      AND(TRIM(B5441)=TRIM(Enginuity!$A$17),TRIM(C5441)=TRIM(Enginuity!$A$18)),
      TRIM(B5441)=TRIM(Enginuity!$A$17)
    )
  ),
  ROW(),
  ""
)</f>
        <v/>
      </c>
    </row>
    <row r="5442" spans="21:21" x14ac:dyDescent="0.25">
      <c r="U5442" s="104" t="str">
        <f>IF(
  AND(
    TRIM(A5442)=TRIM(Enginuity!$A$1),
    TRIM(B5442)=TRIM(Enginuity!$A$17),
    Q5442&lt;&gt;"",
    Q5442&lt;&gt;0,
    OR(
      TRIM(C5442)=TRIM(Enginuity!$A$18),
      AND(UPPER(TRIM(M5442))="STD", TRIM(B5442)=TRIM(Enginuity!$A$17))
    ),
    OR(
      AND(LEFT(P5442,5)="1-Way", Enginuity!$B$13=1),
      AND(LEFT(P5442,5)="2-Way", OR(Enginuity!$B$13=2, Enginuity!$B$13=4)),
      AND(LEFT(P5442,5)="3-Way", OR(Enginuity!$B$13=3, Enginuity!$B$13=6)),
      AND(P5442="Inner Centre Jamb", OR(Enginuity!$B$13=4, Enginuity!$B$13=6)),
      AND(
        LEFT(P5442,5)&lt;&gt;"1-Way",
        LEFT(P5442,5)&lt;&gt;"2-Way",
        LEFT(P5442,5)&lt;&gt;"3-Way",
        P5442&lt;&gt;"Inner Centre Jamb"
      )
    ),
    IF(OR(Enginuity!$A$1="Frameless Glass",Enginuity!$A$1="Metal Work"),
      AND(TRIM(B5442)=TRIM(Enginuity!$A$17),TRIM(C5442)=TRIM(Enginuity!$A$18)),
      TRIM(B5442)=TRIM(Enginuity!$A$17)
    )
  ),
  ROW(),
  ""
)</f>
        <v/>
      </c>
    </row>
    <row r="5443" spans="21:21" x14ac:dyDescent="0.25">
      <c r="U5443" s="104" t="str">
        <f>IF(
  AND(
    TRIM(A5443)=TRIM(Enginuity!$A$1),
    TRIM(B5443)=TRIM(Enginuity!$A$17),
    Q5443&lt;&gt;"",
    Q5443&lt;&gt;0,
    OR(
      TRIM(C5443)=TRIM(Enginuity!$A$18),
      AND(UPPER(TRIM(M5443))="STD", TRIM(B5443)=TRIM(Enginuity!$A$17))
    ),
    OR(
      AND(LEFT(P5443,5)="1-Way", Enginuity!$B$13=1),
      AND(LEFT(P5443,5)="2-Way", OR(Enginuity!$B$13=2, Enginuity!$B$13=4)),
      AND(LEFT(P5443,5)="3-Way", OR(Enginuity!$B$13=3, Enginuity!$B$13=6)),
      AND(P5443="Inner Centre Jamb", OR(Enginuity!$B$13=4, Enginuity!$B$13=6)),
      AND(
        LEFT(P5443,5)&lt;&gt;"1-Way",
        LEFT(P5443,5)&lt;&gt;"2-Way",
        LEFT(P5443,5)&lt;&gt;"3-Way",
        P5443&lt;&gt;"Inner Centre Jamb"
      )
    ),
    IF(OR(Enginuity!$A$1="Frameless Glass",Enginuity!$A$1="Metal Work"),
      AND(TRIM(B5443)=TRIM(Enginuity!$A$17),TRIM(C5443)=TRIM(Enginuity!$A$18)),
      TRIM(B5443)=TRIM(Enginuity!$A$17)
    )
  ),
  ROW(),
  ""
)</f>
        <v/>
      </c>
    </row>
    <row r="5444" spans="21:21" x14ac:dyDescent="0.25">
      <c r="U5444" s="104" t="str">
        <f>IF(
  AND(
    TRIM(A5444)=TRIM(Enginuity!$A$1),
    TRIM(B5444)=TRIM(Enginuity!$A$17),
    Q5444&lt;&gt;"",
    Q5444&lt;&gt;0,
    OR(
      TRIM(C5444)=TRIM(Enginuity!$A$18),
      AND(UPPER(TRIM(M5444))="STD", TRIM(B5444)=TRIM(Enginuity!$A$17))
    ),
    OR(
      AND(LEFT(P5444,5)="1-Way", Enginuity!$B$13=1),
      AND(LEFT(P5444,5)="2-Way", OR(Enginuity!$B$13=2, Enginuity!$B$13=4)),
      AND(LEFT(P5444,5)="3-Way", OR(Enginuity!$B$13=3, Enginuity!$B$13=6)),
      AND(P5444="Inner Centre Jamb", OR(Enginuity!$B$13=4, Enginuity!$B$13=6)),
      AND(
        LEFT(P5444,5)&lt;&gt;"1-Way",
        LEFT(P5444,5)&lt;&gt;"2-Way",
        LEFT(P5444,5)&lt;&gt;"3-Way",
        P5444&lt;&gt;"Inner Centre Jamb"
      )
    ),
    IF(OR(Enginuity!$A$1="Frameless Glass",Enginuity!$A$1="Metal Work"),
      AND(TRIM(B5444)=TRIM(Enginuity!$A$17),TRIM(C5444)=TRIM(Enginuity!$A$18)),
      TRIM(B5444)=TRIM(Enginuity!$A$17)
    )
  ),
  ROW(),
  ""
)</f>
        <v/>
      </c>
    </row>
    <row r="5445" spans="21:21" x14ac:dyDescent="0.25">
      <c r="U5445" s="104" t="str">
        <f>IF(
  AND(
    TRIM(A5445)=TRIM(Enginuity!$A$1),
    TRIM(B5445)=TRIM(Enginuity!$A$17),
    Q5445&lt;&gt;"",
    Q5445&lt;&gt;0,
    OR(
      TRIM(C5445)=TRIM(Enginuity!$A$18),
      AND(UPPER(TRIM(M5445))="STD", TRIM(B5445)=TRIM(Enginuity!$A$17))
    ),
    OR(
      AND(LEFT(P5445,5)="1-Way", Enginuity!$B$13=1),
      AND(LEFT(P5445,5)="2-Way", OR(Enginuity!$B$13=2, Enginuity!$B$13=4)),
      AND(LEFT(P5445,5)="3-Way", OR(Enginuity!$B$13=3, Enginuity!$B$13=6)),
      AND(P5445="Inner Centre Jamb", OR(Enginuity!$B$13=4, Enginuity!$B$13=6)),
      AND(
        LEFT(P5445,5)&lt;&gt;"1-Way",
        LEFT(P5445,5)&lt;&gt;"2-Way",
        LEFT(P5445,5)&lt;&gt;"3-Way",
        P5445&lt;&gt;"Inner Centre Jamb"
      )
    ),
    IF(OR(Enginuity!$A$1="Frameless Glass",Enginuity!$A$1="Metal Work"),
      AND(TRIM(B5445)=TRIM(Enginuity!$A$17),TRIM(C5445)=TRIM(Enginuity!$A$18)),
      TRIM(B5445)=TRIM(Enginuity!$A$17)
    )
  ),
  ROW(),
  ""
)</f>
        <v/>
      </c>
    </row>
    <row r="5446" spans="21:21" x14ac:dyDescent="0.25">
      <c r="U5446" s="104" t="str">
        <f>IF(
  AND(
    TRIM(A5446)=TRIM(Enginuity!$A$1),
    TRIM(B5446)=TRIM(Enginuity!$A$17),
    Q5446&lt;&gt;"",
    Q5446&lt;&gt;0,
    OR(
      TRIM(C5446)=TRIM(Enginuity!$A$18),
      AND(UPPER(TRIM(M5446))="STD", TRIM(B5446)=TRIM(Enginuity!$A$17))
    ),
    OR(
      AND(LEFT(P5446,5)="1-Way", Enginuity!$B$13=1),
      AND(LEFT(P5446,5)="2-Way", OR(Enginuity!$B$13=2, Enginuity!$B$13=4)),
      AND(LEFT(P5446,5)="3-Way", OR(Enginuity!$B$13=3, Enginuity!$B$13=6)),
      AND(P5446="Inner Centre Jamb", OR(Enginuity!$B$13=4, Enginuity!$B$13=6)),
      AND(
        LEFT(P5446,5)&lt;&gt;"1-Way",
        LEFT(P5446,5)&lt;&gt;"2-Way",
        LEFT(P5446,5)&lt;&gt;"3-Way",
        P5446&lt;&gt;"Inner Centre Jamb"
      )
    ),
    IF(OR(Enginuity!$A$1="Frameless Glass",Enginuity!$A$1="Metal Work"),
      AND(TRIM(B5446)=TRIM(Enginuity!$A$17),TRIM(C5446)=TRIM(Enginuity!$A$18)),
      TRIM(B5446)=TRIM(Enginuity!$A$17)
    )
  ),
  ROW(),
  ""
)</f>
        <v/>
      </c>
    </row>
    <row r="5447" spans="21:21" x14ac:dyDescent="0.25">
      <c r="U5447" s="104" t="str">
        <f>IF(
  AND(
    TRIM(A5447)=TRIM(Enginuity!$A$1),
    TRIM(B5447)=TRIM(Enginuity!$A$17),
    Q5447&lt;&gt;"",
    Q5447&lt;&gt;0,
    OR(
      TRIM(C5447)=TRIM(Enginuity!$A$18),
      AND(UPPER(TRIM(M5447))="STD", TRIM(B5447)=TRIM(Enginuity!$A$17))
    ),
    OR(
      AND(LEFT(P5447,5)="1-Way", Enginuity!$B$13=1),
      AND(LEFT(P5447,5)="2-Way", OR(Enginuity!$B$13=2, Enginuity!$B$13=4)),
      AND(LEFT(P5447,5)="3-Way", OR(Enginuity!$B$13=3, Enginuity!$B$13=6)),
      AND(P5447="Inner Centre Jamb", OR(Enginuity!$B$13=4, Enginuity!$B$13=6)),
      AND(
        LEFT(P5447,5)&lt;&gt;"1-Way",
        LEFT(P5447,5)&lt;&gt;"2-Way",
        LEFT(P5447,5)&lt;&gt;"3-Way",
        P5447&lt;&gt;"Inner Centre Jamb"
      )
    ),
    IF(OR(Enginuity!$A$1="Frameless Glass",Enginuity!$A$1="Metal Work"),
      AND(TRIM(B5447)=TRIM(Enginuity!$A$17),TRIM(C5447)=TRIM(Enginuity!$A$18)),
      TRIM(B5447)=TRIM(Enginuity!$A$17)
    )
  ),
  ROW(),
  ""
)</f>
        <v/>
      </c>
    </row>
    <row r="5448" spans="21:21" x14ac:dyDescent="0.25">
      <c r="U5448" s="104" t="str">
        <f>IF(
  AND(
    TRIM(A5448)=TRIM(Enginuity!$A$1),
    TRIM(B5448)=TRIM(Enginuity!$A$17),
    Q5448&lt;&gt;"",
    Q5448&lt;&gt;0,
    OR(
      TRIM(C5448)=TRIM(Enginuity!$A$18),
      AND(UPPER(TRIM(M5448))="STD", TRIM(B5448)=TRIM(Enginuity!$A$17))
    ),
    OR(
      AND(LEFT(P5448,5)="1-Way", Enginuity!$B$13=1),
      AND(LEFT(P5448,5)="2-Way", OR(Enginuity!$B$13=2, Enginuity!$B$13=4)),
      AND(LEFT(P5448,5)="3-Way", OR(Enginuity!$B$13=3, Enginuity!$B$13=6)),
      AND(P5448="Inner Centre Jamb", OR(Enginuity!$B$13=4, Enginuity!$B$13=6)),
      AND(
        LEFT(P5448,5)&lt;&gt;"1-Way",
        LEFT(P5448,5)&lt;&gt;"2-Way",
        LEFT(P5448,5)&lt;&gt;"3-Way",
        P5448&lt;&gt;"Inner Centre Jamb"
      )
    ),
    IF(OR(Enginuity!$A$1="Frameless Glass",Enginuity!$A$1="Metal Work"),
      AND(TRIM(B5448)=TRIM(Enginuity!$A$17),TRIM(C5448)=TRIM(Enginuity!$A$18)),
      TRIM(B5448)=TRIM(Enginuity!$A$17)
    )
  ),
  ROW(),
  ""
)</f>
        <v/>
      </c>
    </row>
    <row r="5449" spans="21:21" x14ac:dyDescent="0.25">
      <c r="U5449" s="104" t="str">
        <f>IF(
  AND(
    TRIM(A5449)=TRIM(Enginuity!$A$1),
    TRIM(B5449)=TRIM(Enginuity!$A$17),
    Q5449&lt;&gt;"",
    Q5449&lt;&gt;0,
    OR(
      TRIM(C5449)=TRIM(Enginuity!$A$18),
      AND(UPPER(TRIM(M5449))="STD", TRIM(B5449)=TRIM(Enginuity!$A$17))
    ),
    OR(
      AND(LEFT(P5449,5)="1-Way", Enginuity!$B$13=1),
      AND(LEFT(P5449,5)="2-Way", OR(Enginuity!$B$13=2, Enginuity!$B$13=4)),
      AND(LEFT(P5449,5)="3-Way", OR(Enginuity!$B$13=3, Enginuity!$B$13=6)),
      AND(P5449="Inner Centre Jamb", OR(Enginuity!$B$13=4, Enginuity!$B$13=6)),
      AND(
        LEFT(P5449,5)&lt;&gt;"1-Way",
        LEFT(P5449,5)&lt;&gt;"2-Way",
        LEFT(P5449,5)&lt;&gt;"3-Way",
        P5449&lt;&gt;"Inner Centre Jamb"
      )
    ),
    IF(OR(Enginuity!$A$1="Frameless Glass",Enginuity!$A$1="Metal Work"),
      AND(TRIM(B5449)=TRIM(Enginuity!$A$17),TRIM(C5449)=TRIM(Enginuity!$A$18)),
      TRIM(B5449)=TRIM(Enginuity!$A$17)
    )
  ),
  ROW(),
  ""
)</f>
        <v/>
      </c>
    </row>
    <row r="5450" spans="21:21" x14ac:dyDescent="0.25">
      <c r="U5450" s="104" t="str">
        <f>IF(
  AND(
    TRIM(A5450)=TRIM(Enginuity!$A$1),
    TRIM(B5450)=TRIM(Enginuity!$A$17),
    Q5450&lt;&gt;"",
    Q5450&lt;&gt;0,
    OR(
      TRIM(C5450)=TRIM(Enginuity!$A$18),
      AND(UPPER(TRIM(M5450))="STD", TRIM(B5450)=TRIM(Enginuity!$A$17))
    ),
    OR(
      AND(LEFT(P5450,5)="1-Way", Enginuity!$B$13=1),
      AND(LEFT(P5450,5)="2-Way", OR(Enginuity!$B$13=2, Enginuity!$B$13=4)),
      AND(LEFT(P5450,5)="3-Way", OR(Enginuity!$B$13=3, Enginuity!$B$13=6)),
      AND(P5450="Inner Centre Jamb", OR(Enginuity!$B$13=4, Enginuity!$B$13=6)),
      AND(
        LEFT(P5450,5)&lt;&gt;"1-Way",
        LEFT(P5450,5)&lt;&gt;"2-Way",
        LEFT(P5450,5)&lt;&gt;"3-Way",
        P5450&lt;&gt;"Inner Centre Jamb"
      )
    ),
    IF(OR(Enginuity!$A$1="Frameless Glass",Enginuity!$A$1="Metal Work"),
      AND(TRIM(B5450)=TRIM(Enginuity!$A$17),TRIM(C5450)=TRIM(Enginuity!$A$18)),
      TRIM(B5450)=TRIM(Enginuity!$A$17)
    )
  ),
  ROW(),
  ""
)</f>
        <v/>
      </c>
    </row>
    <row r="5451" spans="21:21" x14ac:dyDescent="0.25">
      <c r="U5451" s="104" t="str">
        <f>IF(
  AND(
    TRIM(A5451)=TRIM(Enginuity!$A$1),
    TRIM(B5451)=TRIM(Enginuity!$A$17),
    Q5451&lt;&gt;"",
    Q5451&lt;&gt;0,
    OR(
      TRIM(C5451)=TRIM(Enginuity!$A$18),
      AND(UPPER(TRIM(M5451))="STD", TRIM(B5451)=TRIM(Enginuity!$A$17))
    ),
    OR(
      AND(LEFT(P5451,5)="1-Way", Enginuity!$B$13=1),
      AND(LEFT(P5451,5)="2-Way", OR(Enginuity!$B$13=2, Enginuity!$B$13=4)),
      AND(LEFT(P5451,5)="3-Way", OR(Enginuity!$B$13=3, Enginuity!$B$13=6)),
      AND(P5451="Inner Centre Jamb", OR(Enginuity!$B$13=4, Enginuity!$B$13=6)),
      AND(
        LEFT(P5451,5)&lt;&gt;"1-Way",
        LEFT(P5451,5)&lt;&gt;"2-Way",
        LEFT(P5451,5)&lt;&gt;"3-Way",
        P5451&lt;&gt;"Inner Centre Jamb"
      )
    ),
    IF(OR(Enginuity!$A$1="Frameless Glass",Enginuity!$A$1="Metal Work"),
      AND(TRIM(B5451)=TRIM(Enginuity!$A$17),TRIM(C5451)=TRIM(Enginuity!$A$18)),
      TRIM(B5451)=TRIM(Enginuity!$A$17)
    )
  ),
  ROW(),
  ""
)</f>
        <v/>
      </c>
    </row>
    <row r="5452" spans="21:21" x14ac:dyDescent="0.25">
      <c r="U5452" s="104" t="str">
        <f>IF(
  AND(
    TRIM(A5452)=TRIM(Enginuity!$A$1),
    TRIM(B5452)=TRIM(Enginuity!$A$17),
    Q5452&lt;&gt;"",
    Q5452&lt;&gt;0,
    OR(
      TRIM(C5452)=TRIM(Enginuity!$A$18),
      AND(UPPER(TRIM(M5452))="STD", TRIM(B5452)=TRIM(Enginuity!$A$17))
    ),
    OR(
      AND(LEFT(P5452,5)="1-Way", Enginuity!$B$13=1),
      AND(LEFT(P5452,5)="2-Way", OR(Enginuity!$B$13=2, Enginuity!$B$13=4)),
      AND(LEFT(P5452,5)="3-Way", OR(Enginuity!$B$13=3, Enginuity!$B$13=6)),
      AND(P5452="Inner Centre Jamb", OR(Enginuity!$B$13=4, Enginuity!$B$13=6)),
      AND(
        LEFT(P5452,5)&lt;&gt;"1-Way",
        LEFT(P5452,5)&lt;&gt;"2-Way",
        LEFT(P5452,5)&lt;&gt;"3-Way",
        P5452&lt;&gt;"Inner Centre Jamb"
      )
    ),
    IF(OR(Enginuity!$A$1="Frameless Glass",Enginuity!$A$1="Metal Work"),
      AND(TRIM(B5452)=TRIM(Enginuity!$A$17),TRIM(C5452)=TRIM(Enginuity!$A$18)),
      TRIM(B5452)=TRIM(Enginuity!$A$17)
    )
  ),
  ROW(),
  ""
)</f>
        <v/>
      </c>
    </row>
    <row r="5453" spans="21:21" x14ac:dyDescent="0.25">
      <c r="U5453" s="104" t="str">
        <f>IF(
  AND(
    TRIM(A5453)=TRIM(Enginuity!$A$1),
    TRIM(B5453)=TRIM(Enginuity!$A$17),
    Q5453&lt;&gt;"",
    Q5453&lt;&gt;0,
    OR(
      TRIM(C5453)=TRIM(Enginuity!$A$18),
      AND(UPPER(TRIM(M5453))="STD", TRIM(B5453)=TRIM(Enginuity!$A$17))
    ),
    OR(
      AND(LEFT(P5453,5)="1-Way", Enginuity!$B$13=1),
      AND(LEFT(P5453,5)="2-Way", OR(Enginuity!$B$13=2, Enginuity!$B$13=4)),
      AND(LEFT(P5453,5)="3-Way", OR(Enginuity!$B$13=3, Enginuity!$B$13=6)),
      AND(P5453="Inner Centre Jamb", OR(Enginuity!$B$13=4, Enginuity!$B$13=6)),
      AND(
        LEFT(P5453,5)&lt;&gt;"1-Way",
        LEFT(P5453,5)&lt;&gt;"2-Way",
        LEFT(P5453,5)&lt;&gt;"3-Way",
        P5453&lt;&gt;"Inner Centre Jamb"
      )
    ),
    IF(OR(Enginuity!$A$1="Frameless Glass",Enginuity!$A$1="Metal Work"),
      AND(TRIM(B5453)=TRIM(Enginuity!$A$17),TRIM(C5453)=TRIM(Enginuity!$A$18)),
      TRIM(B5453)=TRIM(Enginuity!$A$17)
    )
  ),
  ROW(),
  ""
)</f>
        <v/>
      </c>
    </row>
    <row r="5454" spans="21:21" x14ac:dyDescent="0.25">
      <c r="U5454" s="104" t="str">
        <f>IF(
  AND(
    TRIM(A5454)=TRIM(Enginuity!$A$1),
    TRIM(B5454)=TRIM(Enginuity!$A$17),
    Q5454&lt;&gt;"",
    Q5454&lt;&gt;0,
    OR(
      TRIM(C5454)=TRIM(Enginuity!$A$18),
      AND(UPPER(TRIM(M5454))="STD", TRIM(B5454)=TRIM(Enginuity!$A$17))
    ),
    OR(
      AND(LEFT(P5454,5)="1-Way", Enginuity!$B$13=1),
      AND(LEFT(P5454,5)="2-Way", OR(Enginuity!$B$13=2, Enginuity!$B$13=4)),
      AND(LEFT(P5454,5)="3-Way", OR(Enginuity!$B$13=3, Enginuity!$B$13=6)),
      AND(P5454="Inner Centre Jamb", OR(Enginuity!$B$13=4, Enginuity!$B$13=6)),
      AND(
        LEFT(P5454,5)&lt;&gt;"1-Way",
        LEFT(P5454,5)&lt;&gt;"2-Way",
        LEFT(P5454,5)&lt;&gt;"3-Way",
        P5454&lt;&gt;"Inner Centre Jamb"
      )
    ),
    IF(OR(Enginuity!$A$1="Frameless Glass",Enginuity!$A$1="Metal Work"),
      AND(TRIM(B5454)=TRIM(Enginuity!$A$17),TRIM(C5454)=TRIM(Enginuity!$A$18)),
      TRIM(B5454)=TRIM(Enginuity!$A$17)
    )
  ),
  ROW(),
  ""
)</f>
        <v/>
      </c>
    </row>
    <row r="5455" spans="21:21" x14ac:dyDescent="0.25">
      <c r="U5455" s="104" t="str">
        <f>IF(
  AND(
    TRIM(A5455)=TRIM(Enginuity!$A$1),
    TRIM(B5455)=TRIM(Enginuity!$A$17),
    Q5455&lt;&gt;"",
    Q5455&lt;&gt;0,
    OR(
      TRIM(C5455)=TRIM(Enginuity!$A$18),
      AND(UPPER(TRIM(M5455))="STD", TRIM(B5455)=TRIM(Enginuity!$A$17))
    ),
    OR(
      AND(LEFT(P5455,5)="1-Way", Enginuity!$B$13=1),
      AND(LEFT(P5455,5)="2-Way", OR(Enginuity!$B$13=2, Enginuity!$B$13=4)),
      AND(LEFT(P5455,5)="3-Way", OR(Enginuity!$B$13=3, Enginuity!$B$13=6)),
      AND(P5455="Inner Centre Jamb", OR(Enginuity!$B$13=4, Enginuity!$B$13=6)),
      AND(
        LEFT(P5455,5)&lt;&gt;"1-Way",
        LEFT(P5455,5)&lt;&gt;"2-Way",
        LEFT(P5455,5)&lt;&gt;"3-Way",
        P5455&lt;&gt;"Inner Centre Jamb"
      )
    ),
    IF(OR(Enginuity!$A$1="Frameless Glass",Enginuity!$A$1="Metal Work"),
      AND(TRIM(B5455)=TRIM(Enginuity!$A$17),TRIM(C5455)=TRIM(Enginuity!$A$18)),
      TRIM(B5455)=TRIM(Enginuity!$A$17)
    )
  ),
  ROW(),
  ""
)</f>
        <v/>
      </c>
    </row>
    <row r="5456" spans="21:21" x14ac:dyDescent="0.25">
      <c r="U5456" s="104" t="str">
        <f>IF(
  AND(
    TRIM(A5456)=TRIM(Enginuity!$A$1),
    TRIM(B5456)=TRIM(Enginuity!$A$17),
    Q5456&lt;&gt;"",
    Q5456&lt;&gt;0,
    OR(
      TRIM(C5456)=TRIM(Enginuity!$A$18),
      AND(UPPER(TRIM(M5456))="STD", TRIM(B5456)=TRIM(Enginuity!$A$17))
    ),
    OR(
      AND(LEFT(P5456,5)="1-Way", Enginuity!$B$13=1),
      AND(LEFT(P5456,5)="2-Way", OR(Enginuity!$B$13=2, Enginuity!$B$13=4)),
      AND(LEFT(P5456,5)="3-Way", OR(Enginuity!$B$13=3, Enginuity!$B$13=6)),
      AND(P5456="Inner Centre Jamb", OR(Enginuity!$B$13=4, Enginuity!$B$13=6)),
      AND(
        LEFT(P5456,5)&lt;&gt;"1-Way",
        LEFT(P5456,5)&lt;&gt;"2-Way",
        LEFT(P5456,5)&lt;&gt;"3-Way",
        P5456&lt;&gt;"Inner Centre Jamb"
      )
    ),
    IF(OR(Enginuity!$A$1="Frameless Glass",Enginuity!$A$1="Metal Work"),
      AND(TRIM(B5456)=TRIM(Enginuity!$A$17),TRIM(C5456)=TRIM(Enginuity!$A$18)),
      TRIM(B5456)=TRIM(Enginuity!$A$17)
    )
  ),
  ROW(),
  ""
)</f>
        <v/>
      </c>
    </row>
    <row r="5457" spans="21:21" x14ac:dyDescent="0.25">
      <c r="U5457" s="104" t="str">
        <f>IF(
  AND(
    TRIM(A5457)=TRIM(Enginuity!$A$1),
    TRIM(B5457)=TRIM(Enginuity!$A$17),
    Q5457&lt;&gt;"",
    Q5457&lt;&gt;0,
    OR(
      TRIM(C5457)=TRIM(Enginuity!$A$18),
      AND(UPPER(TRIM(M5457))="STD", TRIM(B5457)=TRIM(Enginuity!$A$17))
    ),
    OR(
      AND(LEFT(P5457,5)="1-Way", Enginuity!$B$13=1),
      AND(LEFT(P5457,5)="2-Way", OR(Enginuity!$B$13=2, Enginuity!$B$13=4)),
      AND(LEFT(P5457,5)="3-Way", OR(Enginuity!$B$13=3, Enginuity!$B$13=6)),
      AND(P5457="Inner Centre Jamb", OR(Enginuity!$B$13=4, Enginuity!$B$13=6)),
      AND(
        LEFT(P5457,5)&lt;&gt;"1-Way",
        LEFT(P5457,5)&lt;&gt;"2-Way",
        LEFT(P5457,5)&lt;&gt;"3-Way",
        P5457&lt;&gt;"Inner Centre Jamb"
      )
    ),
    IF(OR(Enginuity!$A$1="Frameless Glass",Enginuity!$A$1="Metal Work"),
      AND(TRIM(B5457)=TRIM(Enginuity!$A$17),TRIM(C5457)=TRIM(Enginuity!$A$18)),
      TRIM(B5457)=TRIM(Enginuity!$A$17)
    )
  ),
  ROW(),
  ""
)</f>
        <v/>
      </c>
    </row>
    <row r="5458" spans="21:21" x14ac:dyDescent="0.25">
      <c r="U5458" s="104" t="str">
        <f>IF(
  AND(
    TRIM(A5458)=TRIM(Enginuity!$A$1),
    TRIM(B5458)=TRIM(Enginuity!$A$17),
    Q5458&lt;&gt;"",
    Q5458&lt;&gt;0,
    OR(
      TRIM(C5458)=TRIM(Enginuity!$A$18),
      AND(UPPER(TRIM(M5458))="STD", TRIM(B5458)=TRIM(Enginuity!$A$17))
    ),
    OR(
      AND(LEFT(P5458,5)="1-Way", Enginuity!$B$13=1),
      AND(LEFT(P5458,5)="2-Way", OR(Enginuity!$B$13=2, Enginuity!$B$13=4)),
      AND(LEFT(P5458,5)="3-Way", OR(Enginuity!$B$13=3, Enginuity!$B$13=6)),
      AND(P5458="Inner Centre Jamb", OR(Enginuity!$B$13=4, Enginuity!$B$13=6)),
      AND(
        LEFT(P5458,5)&lt;&gt;"1-Way",
        LEFT(P5458,5)&lt;&gt;"2-Way",
        LEFT(P5458,5)&lt;&gt;"3-Way",
        P5458&lt;&gt;"Inner Centre Jamb"
      )
    ),
    IF(OR(Enginuity!$A$1="Frameless Glass",Enginuity!$A$1="Metal Work"),
      AND(TRIM(B5458)=TRIM(Enginuity!$A$17),TRIM(C5458)=TRIM(Enginuity!$A$18)),
      TRIM(B5458)=TRIM(Enginuity!$A$17)
    )
  ),
  ROW(),
  ""
)</f>
        <v/>
      </c>
    </row>
    <row r="5459" spans="21:21" x14ac:dyDescent="0.25">
      <c r="U5459" s="104" t="str">
        <f>IF(
  AND(
    TRIM(A5459)=TRIM(Enginuity!$A$1),
    TRIM(B5459)=TRIM(Enginuity!$A$17),
    Q5459&lt;&gt;"",
    Q5459&lt;&gt;0,
    OR(
      TRIM(C5459)=TRIM(Enginuity!$A$18),
      AND(UPPER(TRIM(M5459))="STD", TRIM(B5459)=TRIM(Enginuity!$A$17))
    ),
    OR(
      AND(LEFT(P5459,5)="1-Way", Enginuity!$B$13=1),
      AND(LEFT(P5459,5)="2-Way", OR(Enginuity!$B$13=2, Enginuity!$B$13=4)),
      AND(LEFT(P5459,5)="3-Way", OR(Enginuity!$B$13=3, Enginuity!$B$13=6)),
      AND(P5459="Inner Centre Jamb", OR(Enginuity!$B$13=4, Enginuity!$B$13=6)),
      AND(
        LEFT(P5459,5)&lt;&gt;"1-Way",
        LEFT(P5459,5)&lt;&gt;"2-Way",
        LEFT(P5459,5)&lt;&gt;"3-Way",
        P5459&lt;&gt;"Inner Centre Jamb"
      )
    ),
    IF(OR(Enginuity!$A$1="Frameless Glass",Enginuity!$A$1="Metal Work"),
      AND(TRIM(B5459)=TRIM(Enginuity!$A$17),TRIM(C5459)=TRIM(Enginuity!$A$18)),
      TRIM(B5459)=TRIM(Enginuity!$A$17)
    )
  ),
  ROW(),
  ""
)</f>
        <v/>
      </c>
    </row>
    <row r="5460" spans="21:21" x14ac:dyDescent="0.25">
      <c r="U5460" s="104" t="str">
        <f>IF(
  AND(
    TRIM(A5460)=TRIM(Enginuity!$A$1),
    TRIM(B5460)=TRIM(Enginuity!$A$17),
    Q5460&lt;&gt;"",
    Q5460&lt;&gt;0,
    OR(
      TRIM(C5460)=TRIM(Enginuity!$A$18),
      AND(UPPER(TRIM(M5460))="STD", TRIM(B5460)=TRIM(Enginuity!$A$17))
    ),
    OR(
      AND(LEFT(P5460,5)="1-Way", Enginuity!$B$13=1),
      AND(LEFT(P5460,5)="2-Way", OR(Enginuity!$B$13=2, Enginuity!$B$13=4)),
      AND(LEFT(P5460,5)="3-Way", OR(Enginuity!$B$13=3, Enginuity!$B$13=6)),
      AND(P5460="Inner Centre Jamb", OR(Enginuity!$B$13=4, Enginuity!$B$13=6)),
      AND(
        LEFT(P5460,5)&lt;&gt;"1-Way",
        LEFT(P5460,5)&lt;&gt;"2-Way",
        LEFT(P5460,5)&lt;&gt;"3-Way",
        P5460&lt;&gt;"Inner Centre Jamb"
      )
    ),
    IF(OR(Enginuity!$A$1="Frameless Glass",Enginuity!$A$1="Metal Work"),
      AND(TRIM(B5460)=TRIM(Enginuity!$A$17),TRIM(C5460)=TRIM(Enginuity!$A$18)),
      TRIM(B5460)=TRIM(Enginuity!$A$17)
    )
  ),
  ROW(),
  ""
)</f>
        <v/>
      </c>
    </row>
    <row r="5461" spans="21:21" x14ac:dyDescent="0.25">
      <c r="U5461" s="104" t="str">
        <f>IF(
  AND(
    TRIM(A5461)=TRIM(Enginuity!$A$1),
    TRIM(B5461)=TRIM(Enginuity!$A$17),
    Q5461&lt;&gt;"",
    Q5461&lt;&gt;0,
    OR(
      TRIM(C5461)=TRIM(Enginuity!$A$18),
      AND(UPPER(TRIM(M5461))="STD", TRIM(B5461)=TRIM(Enginuity!$A$17))
    ),
    OR(
      AND(LEFT(P5461,5)="1-Way", Enginuity!$B$13=1),
      AND(LEFT(P5461,5)="2-Way", OR(Enginuity!$B$13=2, Enginuity!$B$13=4)),
      AND(LEFT(P5461,5)="3-Way", OR(Enginuity!$B$13=3, Enginuity!$B$13=6)),
      AND(P5461="Inner Centre Jamb", OR(Enginuity!$B$13=4, Enginuity!$B$13=6)),
      AND(
        LEFT(P5461,5)&lt;&gt;"1-Way",
        LEFT(P5461,5)&lt;&gt;"2-Way",
        LEFT(P5461,5)&lt;&gt;"3-Way",
        P5461&lt;&gt;"Inner Centre Jamb"
      )
    ),
    IF(OR(Enginuity!$A$1="Frameless Glass",Enginuity!$A$1="Metal Work"),
      AND(TRIM(B5461)=TRIM(Enginuity!$A$17),TRIM(C5461)=TRIM(Enginuity!$A$18)),
      TRIM(B5461)=TRIM(Enginuity!$A$17)
    )
  ),
  ROW(),
  ""
)</f>
        <v/>
      </c>
    </row>
    <row r="5462" spans="21:21" x14ac:dyDescent="0.25">
      <c r="U5462" s="104" t="str">
        <f>IF(
  AND(
    TRIM(A5462)=TRIM(Enginuity!$A$1),
    TRIM(B5462)=TRIM(Enginuity!$A$17),
    Q5462&lt;&gt;"",
    Q5462&lt;&gt;0,
    OR(
      TRIM(C5462)=TRIM(Enginuity!$A$18),
      AND(UPPER(TRIM(M5462))="STD", TRIM(B5462)=TRIM(Enginuity!$A$17))
    ),
    OR(
      AND(LEFT(P5462,5)="1-Way", Enginuity!$B$13=1),
      AND(LEFT(P5462,5)="2-Way", OR(Enginuity!$B$13=2, Enginuity!$B$13=4)),
      AND(LEFT(P5462,5)="3-Way", OR(Enginuity!$B$13=3, Enginuity!$B$13=6)),
      AND(P5462="Inner Centre Jamb", OR(Enginuity!$B$13=4, Enginuity!$B$13=6)),
      AND(
        LEFT(P5462,5)&lt;&gt;"1-Way",
        LEFT(P5462,5)&lt;&gt;"2-Way",
        LEFT(P5462,5)&lt;&gt;"3-Way",
        P5462&lt;&gt;"Inner Centre Jamb"
      )
    ),
    IF(OR(Enginuity!$A$1="Frameless Glass",Enginuity!$A$1="Metal Work"),
      AND(TRIM(B5462)=TRIM(Enginuity!$A$17),TRIM(C5462)=TRIM(Enginuity!$A$18)),
      TRIM(B5462)=TRIM(Enginuity!$A$17)
    )
  ),
  ROW(),
  ""
)</f>
        <v/>
      </c>
    </row>
    <row r="5463" spans="21:21" x14ac:dyDescent="0.25">
      <c r="U5463" s="104" t="str">
        <f>IF(
  AND(
    TRIM(A5463)=TRIM(Enginuity!$A$1),
    TRIM(B5463)=TRIM(Enginuity!$A$17),
    Q5463&lt;&gt;"",
    Q5463&lt;&gt;0,
    OR(
      TRIM(C5463)=TRIM(Enginuity!$A$18),
      AND(UPPER(TRIM(M5463))="STD", TRIM(B5463)=TRIM(Enginuity!$A$17))
    ),
    OR(
      AND(LEFT(P5463,5)="1-Way", Enginuity!$B$13=1),
      AND(LEFT(P5463,5)="2-Way", OR(Enginuity!$B$13=2, Enginuity!$B$13=4)),
      AND(LEFT(P5463,5)="3-Way", OR(Enginuity!$B$13=3, Enginuity!$B$13=6)),
      AND(P5463="Inner Centre Jamb", OR(Enginuity!$B$13=4, Enginuity!$B$13=6)),
      AND(
        LEFT(P5463,5)&lt;&gt;"1-Way",
        LEFT(P5463,5)&lt;&gt;"2-Way",
        LEFT(P5463,5)&lt;&gt;"3-Way",
        P5463&lt;&gt;"Inner Centre Jamb"
      )
    ),
    IF(OR(Enginuity!$A$1="Frameless Glass",Enginuity!$A$1="Metal Work"),
      AND(TRIM(B5463)=TRIM(Enginuity!$A$17),TRIM(C5463)=TRIM(Enginuity!$A$18)),
      TRIM(B5463)=TRIM(Enginuity!$A$17)
    )
  ),
  ROW(),
  ""
)</f>
        <v/>
      </c>
    </row>
    <row r="5464" spans="21:21" x14ac:dyDescent="0.25">
      <c r="U5464" s="104" t="str">
        <f>IF(
  AND(
    TRIM(A5464)=TRIM(Enginuity!$A$1),
    TRIM(B5464)=TRIM(Enginuity!$A$17),
    Q5464&lt;&gt;"",
    Q5464&lt;&gt;0,
    OR(
      TRIM(C5464)=TRIM(Enginuity!$A$18),
      AND(UPPER(TRIM(M5464))="STD", TRIM(B5464)=TRIM(Enginuity!$A$17))
    ),
    OR(
      AND(LEFT(P5464,5)="1-Way", Enginuity!$B$13=1),
      AND(LEFT(P5464,5)="2-Way", OR(Enginuity!$B$13=2, Enginuity!$B$13=4)),
      AND(LEFT(P5464,5)="3-Way", OR(Enginuity!$B$13=3, Enginuity!$B$13=6)),
      AND(P5464="Inner Centre Jamb", OR(Enginuity!$B$13=4, Enginuity!$B$13=6)),
      AND(
        LEFT(P5464,5)&lt;&gt;"1-Way",
        LEFT(P5464,5)&lt;&gt;"2-Way",
        LEFT(P5464,5)&lt;&gt;"3-Way",
        P5464&lt;&gt;"Inner Centre Jamb"
      )
    ),
    IF(OR(Enginuity!$A$1="Frameless Glass",Enginuity!$A$1="Metal Work"),
      AND(TRIM(B5464)=TRIM(Enginuity!$A$17),TRIM(C5464)=TRIM(Enginuity!$A$18)),
      TRIM(B5464)=TRIM(Enginuity!$A$17)
    )
  ),
  ROW(),
  ""
)</f>
        <v/>
      </c>
    </row>
    <row r="5465" spans="21:21" x14ac:dyDescent="0.25">
      <c r="U5465" s="104" t="str">
        <f>IF(
  AND(
    TRIM(A5465)=TRIM(Enginuity!$A$1),
    TRIM(B5465)=TRIM(Enginuity!$A$17),
    Q5465&lt;&gt;"",
    Q5465&lt;&gt;0,
    OR(
      TRIM(C5465)=TRIM(Enginuity!$A$18),
      AND(UPPER(TRIM(M5465))="STD", TRIM(B5465)=TRIM(Enginuity!$A$17))
    ),
    OR(
      AND(LEFT(P5465,5)="1-Way", Enginuity!$B$13=1),
      AND(LEFT(P5465,5)="2-Way", OR(Enginuity!$B$13=2, Enginuity!$B$13=4)),
      AND(LEFT(P5465,5)="3-Way", OR(Enginuity!$B$13=3, Enginuity!$B$13=6)),
      AND(P5465="Inner Centre Jamb", OR(Enginuity!$B$13=4, Enginuity!$B$13=6)),
      AND(
        LEFT(P5465,5)&lt;&gt;"1-Way",
        LEFT(P5465,5)&lt;&gt;"2-Way",
        LEFT(P5465,5)&lt;&gt;"3-Way",
        P5465&lt;&gt;"Inner Centre Jamb"
      )
    ),
    IF(OR(Enginuity!$A$1="Frameless Glass",Enginuity!$A$1="Metal Work"),
      AND(TRIM(B5465)=TRIM(Enginuity!$A$17),TRIM(C5465)=TRIM(Enginuity!$A$18)),
      TRIM(B5465)=TRIM(Enginuity!$A$17)
    )
  ),
  ROW(),
  ""
)</f>
        <v/>
      </c>
    </row>
    <row r="5466" spans="21:21" x14ac:dyDescent="0.25">
      <c r="U5466" s="104" t="str">
        <f>IF(
  AND(
    TRIM(A5466)=TRIM(Enginuity!$A$1),
    TRIM(B5466)=TRIM(Enginuity!$A$17),
    Q5466&lt;&gt;"",
    Q5466&lt;&gt;0,
    OR(
      TRIM(C5466)=TRIM(Enginuity!$A$18),
      AND(UPPER(TRIM(M5466))="STD", TRIM(B5466)=TRIM(Enginuity!$A$17))
    ),
    OR(
      AND(LEFT(P5466,5)="1-Way", Enginuity!$B$13=1),
      AND(LEFT(P5466,5)="2-Way", OR(Enginuity!$B$13=2, Enginuity!$B$13=4)),
      AND(LEFT(P5466,5)="3-Way", OR(Enginuity!$B$13=3, Enginuity!$B$13=6)),
      AND(P5466="Inner Centre Jamb", OR(Enginuity!$B$13=4, Enginuity!$B$13=6)),
      AND(
        LEFT(P5466,5)&lt;&gt;"1-Way",
        LEFT(P5466,5)&lt;&gt;"2-Way",
        LEFT(P5466,5)&lt;&gt;"3-Way",
        P5466&lt;&gt;"Inner Centre Jamb"
      )
    ),
    IF(OR(Enginuity!$A$1="Frameless Glass",Enginuity!$A$1="Metal Work"),
      AND(TRIM(B5466)=TRIM(Enginuity!$A$17),TRIM(C5466)=TRIM(Enginuity!$A$18)),
      TRIM(B5466)=TRIM(Enginuity!$A$17)
    )
  ),
  ROW(),
  ""
)</f>
        <v/>
      </c>
    </row>
    <row r="5467" spans="21:21" x14ac:dyDescent="0.25">
      <c r="U5467" s="104" t="str">
        <f>IF(
  AND(
    TRIM(A5467)=TRIM(Enginuity!$A$1),
    TRIM(B5467)=TRIM(Enginuity!$A$17),
    Q5467&lt;&gt;"",
    Q5467&lt;&gt;0,
    OR(
      TRIM(C5467)=TRIM(Enginuity!$A$18),
      AND(UPPER(TRIM(M5467))="STD", TRIM(B5467)=TRIM(Enginuity!$A$17))
    ),
    OR(
      AND(LEFT(P5467,5)="1-Way", Enginuity!$B$13=1),
      AND(LEFT(P5467,5)="2-Way", OR(Enginuity!$B$13=2, Enginuity!$B$13=4)),
      AND(LEFT(P5467,5)="3-Way", OR(Enginuity!$B$13=3, Enginuity!$B$13=6)),
      AND(P5467="Inner Centre Jamb", OR(Enginuity!$B$13=4, Enginuity!$B$13=6)),
      AND(
        LEFT(P5467,5)&lt;&gt;"1-Way",
        LEFT(P5467,5)&lt;&gt;"2-Way",
        LEFT(P5467,5)&lt;&gt;"3-Way",
        P5467&lt;&gt;"Inner Centre Jamb"
      )
    ),
    IF(OR(Enginuity!$A$1="Frameless Glass",Enginuity!$A$1="Metal Work"),
      AND(TRIM(B5467)=TRIM(Enginuity!$A$17),TRIM(C5467)=TRIM(Enginuity!$A$18)),
      TRIM(B5467)=TRIM(Enginuity!$A$17)
    )
  ),
  ROW(),
  ""
)</f>
        <v/>
      </c>
    </row>
    <row r="5468" spans="21:21" x14ac:dyDescent="0.25">
      <c r="U5468" s="104" t="str">
        <f>IF(
  AND(
    TRIM(A5468)=TRIM(Enginuity!$A$1),
    TRIM(B5468)=TRIM(Enginuity!$A$17),
    Q5468&lt;&gt;"",
    Q5468&lt;&gt;0,
    OR(
      TRIM(C5468)=TRIM(Enginuity!$A$18),
      AND(UPPER(TRIM(M5468))="STD", TRIM(B5468)=TRIM(Enginuity!$A$17))
    ),
    OR(
      AND(LEFT(P5468,5)="1-Way", Enginuity!$B$13=1),
      AND(LEFT(P5468,5)="2-Way", OR(Enginuity!$B$13=2, Enginuity!$B$13=4)),
      AND(LEFT(P5468,5)="3-Way", OR(Enginuity!$B$13=3, Enginuity!$B$13=6)),
      AND(P5468="Inner Centre Jamb", OR(Enginuity!$B$13=4, Enginuity!$B$13=6)),
      AND(
        LEFT(P5468,5)&lt;&gt;"1-Way",
        LEFT(P5468,5)&lt;&gt;"2-Way",
        LEFT(P5468,5)&lt;&gt;"3-Way",
        P5468&lt;&gt;"Inner Centre Jamb"
      )
    ),
    IF(OR(Enginuity!$A$1="Frameless Glass",Enginuity!$A$1="Metal Work"),
      AND(TRIM(B5468)=TRIM(Enginuity!$A$17),TRIM(C5468)=TRIM(Enginuity!$A$18)),
      TRIM(B5468)=TRIM(Enginuity!$A$17)
    )
  ),
  ROW(),
  ""
)</f>
        <v/>
      </c>
    </row>
    <row r="5469" spans="21:21" x14ac:dyDescent="0.25">
      <c r="U5469" s="104" t="str">
        <f>IF(
  AND(
    TRIM(A5469)=TRIM(Enginuity!$A$1),
    TRIM(B5469)=TRIM(Enginuity!$A$17),
    Q5469&lt;&gt;"",
    Q5469&lt;&gt;0,
    OR(
      TRIM(C5469)=TRIM(Enginuity!$A$18),
      AND(UPPER(TRIM(M5469))="STD", TRIM(B5469)=TRIM(Enginuity!$A$17))
    ),
    OR(
      AND(LEFT(P5469,5)="1-Way", Enginuity!$B$13=1),
      AND(LEFT(P5469,5)="2-Way", OR(Enginuity!$B$13=2, Enginuity!$B$13=4)),
      AND(LEFT(P5469,5)="3-Way", OR(Enginuity!$B$13=3, Enginuity!$B$13=6)),
      AND(P5469="Inner Centre Jamb", OR(Enginuity!$B$13=4, Enginuity!$B$13=6)),
      AND(
        LEFT(P5469,5)&lt;&gt;"1-Way",
        LEFT(P5469,5)&lt;&gt;"2-Way",
        LEFT(P5469,5)&lt;&gt;"3-Way",
        P5469&lt;&gt;"Inner Centre Jamb"
      )
    ),
    IF(OR(Enginuity!$A$1="Frameless Glass",Enginuity!$A$1="Metal Work"),
      AND(TRIM(B5469)=TRIM(Enginuity!$A$17),TRIM(C5469)=TRIM(Enginuity!$A$18)),
      TRIM(B5469)=TRIM(Enginuity!$A$17)
    )
  ),
  ROW(),
  ""
)</f>
        <v/>
      </c>
    </row>
    <row r="5470" spans="21:21" x14ac:dyDescent="0.25">
      <c r="U5470" s="104" t="str">
        <f>IF(
  AND(
    TRIM(A5470)=TRIM(Enginuity!$A$1),
    TRIM(B5470)=TRIM(Enginuity!$A$17),
    Q5470&lt;&gt;"",
    Q5470&lt;&gt;0,
    OR(
      TRIM(C5470)=TRIM(Enginuity!$A$18),
      AND(UPPER(TRIM(M5470))="STD", TRIM(B5470)=TRIM(Enginuity!$A$17))
    ),
    OR(
      AND(LEFT(P5470,5)="1-Way", Enginuity!$B$13=1),
      AND(LEFT(P5470,5)="2-Way", OR(Enginuity!$B$13=2, Enginuity!$B$13=4)),
      AND(LEFT(P5470,5)="3-Way", OR(Enginuity!$B$13=3, Enginuity!$B$13=6)),
      AND(P5470="Inner Centre Jamb", OR(Enginuity!$B$13=4, Enginuity!$B$13=6)),
      AND(
        LEFT(P5470,5)&lt;&gt;"1-Way",
        LEFT(P5470,5)&lt;&gt;"2-Way",
        LEFT(P5470,5)&lt;&gt;"3-Way",
        P5470&lt;&gt;"Inner Centre Jamb"
      )
    ),
    IF(OR(Enginuity!$A$1="Frameless Glass",Enginuity!$A$1="Metal Work"),
      AND(TRIM(B5470)=TRIM(Enginuity!$A$17),TRIM(C5470)=TRIM(Enginuity!$A$18)),
      TRIM(B5470)=TRIM(Enginuity!$A$17)
    )
  ),
  ROW(),
  ""
)</f>
        <v/>
      </c>
    </row>
    <row r="5471" spans="21:21" x14ac:dyDescent="0.25">
      <c r="U5471" s="104" t="str">
        <f>IF(
  AND(
    TRIM(A5471)=TRIM(Enginuity!$A$1),
    TRIM(B5471)=TRIM(Enginuity!$A$17),
    Q5471&lt;&gt;"",
    Q5471&lt;&gt;0,
    OR(
      TRIM(C5471)=TRIM(Enginuity!$A$18),
      AND(UPPER(TRIM(M5471))="STD", TRIM(B5471)=TRIM(Enginuity!$A$17))
    ),
    OR(
      AND(LEFT(P5471,5)="1-Way", Enginuity!$B$13=1),
      AND(LEFT(P5471,5)="2-Way", OR(Enginuity!$B$13=2, Enginuity!$B$13=4)),
      AND(LEFT(P5471,5)="3-Way", OR(Enginuity!$B$13=3, Enginuity!$B$13=6)),
      AND(P5471="Inner Centre Jamb", OR(Enginuity!$B$13=4, Enginuity!$B$13=6)),
      AND(
        LEFT(P5471,5)&lt;&gt;"1-Way",
        LEFT(P5471,5)&lt;&gt;"2-Way",
        LEFT(P5471,5)&lt;&gt;"3-Way",
        P5471&lt;&gt;"Inner Centre Jamb"
      )
    ),
    IF(OR(Enginuity!$A$1="Frameless Glass",Enginuity!$A$1="Metal Work"),
      AND(TRIM(B5471)=TRIM(Enginuity!$A$17),TRIM(C5471)=TRIM(Enginuity!$A$18)),
      TRIM(B5471)=TRIM(Enginuity!$A$17)
    )
  ),
  ROW(),
  ""
)</f>
        <v/>
      </c>
    </row>
    <row r="5472" spans="21:21" x14ac:dyDescent="0.25">
      <c r="U5472" s="104" t="str">
        <f>IF(
  AND(
    TRIM(A5472)=TRIM(Enginuity!$A$1),
    TRIM(B5472)=TRIM(Enginuity!$A$17),
    Q5472&lt;&gt;"",
    Q5472&lt;&gt;0,
    OR(
      TRIM(C5472)=TRIM(Enginuity!$A$18),
      AND(UPPER(TRIM(M5472))="STD", TRIM(B5472)=TRIM(Enginuity!$A$17))
    ),
    OR(
      AND(LEFT(P5472,5)="1-Way", Enginuity!$B$13=1),
      AND(LEFT(P5472,5)="2-Way", OR(Enginuity!$B$13=2, Enginuity!$B$13=4)),
      AND(LEFT(P5472,5)="3-Way", OR(Enginuity!$B$13=3, Enginuity!$B$13=6)),
      AND(P5472="Inner Centre Jamb", OR(Enginuity!$B$13=4, Enginuity!$B$13=6)),
      AND(
        LEFT(P5472,5)&lt;&gt;"1-Way",
        LEFT(P5472,5)&lt;&gt;"2-Way",
        LEFT(P5472,5)&lt;&gt;"3-Way",
        P5472&lt;&gt;"Inner Centre Jamb"
      )
    ),
    IF(OR(Enginuity!$A$1="Frameless Glass",Enginuity!$A$1="Metal Work"),
      AND(TRIM(B5472)=TRIM(Enginuity!$A$17),TRIM(C5472)=TRIM(Enginuity!$A$18)),
      TRIM(B5472)=TRIM(Enginuity!$A$17)
    )
  ),
  ROW(),
  ""
)</f>
        <v/>
      </c>
    </row>
    <row r="5473" spans="21:21" x14ac:dyDescent="0.25">
      <c r="U5473" s="104" t="str">
        <f>IF(
  AND(
    TRIM(A5473)=TRIM(Enginuity!$A$1),
    TRIM(B5473)=TRIM(Enginuity!$A$17),
    Q5473&lt;&gt;"",
    Q5473&lt;&gt;0,
    OR(
      TRIM(C5473)=TRIM(Enginuity!$A$18),
      AND(UPPER(TRIM(M5473))="STD", TRIM(B5473)=TRIM(Enginuity!$A$17))
    ),
    OR(
      AND(LEFT(P5473,5)="1-Way", Enginuity!$B$13=1),
      AND(LEFT(P5473,5)="2-Way", OR(Enginuity!$B$13=2, Enginuity!$B$13=4)),
      AND(LEFT(P5473,5)="3-Way", OR(Enginuity!$B$13=3, Enginuity!$B$13=6)),
      AND(P5473="Inner Centre Jamb", OR(Enginuity!$B$13=4, Enginuity!$B$13=6)),
      AND(
        LEFT(P5473,5)&lt;&gt;"1-Way",
        LEFT(P5473,5)&lt;&gt;"2-Way",
        LEFT(P5473,5)&lt;&gt;"3-Way",
        P5473&lt;&gt;"Inner Centre Jamb"
      )
    ),
    IF(OR(Enginuity!$A$1="Frameless Glass",Enginuity!$A$1="Metal Work"),
      AND(TRIM(B5473)=TRIM(Enginuity!$A$17),TRIM(C5473)=TRIM(Enginuity!$A$18)),
      TRIM(B5473)=TRIM(Enginuity!$A$17)
    )
  ),
  ROW(),
  ""
)</f>
        <v/>
      </c>
    </row>
    <row r="5474" spans="21:21" x14ac:dyDescent="0.25">
      <c r="U5474" s="104" t="str">
        <f>IF(
  AND(
    TRIM(A5474)=TRIM(Enginuity!$A$1),
    TRIM(B5474)=TRIM(Enginuity!$A$17),
    Q5474&lt;&gt;"",
    Q5474&lt;&gt;0,
    OR(
      TRIM(C5474)=TRIM(Enginuity!$A$18),
      AND(UPPER(TRIM(M5474))="STD", TRIM(B5474)=TRIM(Enginuity!$A$17))
    ),
    OR(
      AND(LEFT(P5474,5)="1-Way", Enginuity!$B$13=1),
      AND(LEFT(P5474,5)="2-Way", OR(Enginuity!$B$13=2, Enginuity!$B$13=4)),
      AND(LEFT(P5474,5)="3-Way", OR(Enginuity!$B$13=3, Enginuity!$B$13=6)),
      AND(P5474="Inner Centre Jamb", OR(Enginuity!$B$13=4, Enginuity!$B$13=6)),
      AND(
        LEFT(P5474,5)&lt;&gt;"1-Way",
        LEFT(P5474,5)&lt;&gt;"2-Way",
        LEFT(P5474,5)&lt;&gt;"3-Way",
        P5474&lt;&gt;"Inner Centre Jamb"
      )
    ),
    IF(OR(Enginuity!$A$1="Frameless Glass",Enginuity!$A$1="Metal Work"),
      AND(TRIM(B5474)=TRIM(Enginuity!$A$17),TRIM(C5474)=TRIM(Enginuity!$A$18)),
      TRIM(B5474)=TRIM(Enginuity!$A$17)
    )
  ),
  ROW(),
  ""
)</f>
        <v/>
      </c>
    </row>
    <row r="5475" spans="21:21" x14ac:dyDescent="0.25">
      <c r="U5475" s="104" t="str">
        <f>IF(
  AND(
    TRIM(A5475)=TRIM(Enginuity!$A$1),
    TRIM(B5475)=TRIM(Enginuity!$A$17),
    Q5475&lt;&gt;"",
    Q5475&lt;&gt;0,
    OR(
      TRIM(C5475)=TRIM(Enginuity!$A$18),
      AND(UPPER(TRIM(M5475))="STD", TRIM(B5475)=TRIM(Enginuity!$A$17))
    ),
    OR(
      AND(LEFT(P5475,5)="1-Way", Enginuity!$B$13=1),
      AND(LEFT(P5475,5)="2-Way", OR(Enginuity!$B$13=2, Enginuity!$B$13=4)),
      AND(LEFT(P5475,5)="3-Way", OR(Enginuity!$B$13=3, Enginuity!$B$13=6)),
      AND(P5475="Inner Centre Jamb", OR(Enginuity!$B$13=4, Enginuity!$B$13=6)),
      AND(
        LEFT(P5475,5)&lt;&gt;"1-Way",
        LEFT(P5475,5)&lt;&gt;"2-Way",
        LEFT(P5475,5)&lt;&gt;"3-Way",
        P5475&lt;&gt;"Inner Centre Jamb"
      )
    ),
    IF(OR(Enginuity!$A$1="Frameless Glass",Enginuity!$A$1="Metal Work"),
      AND(TRIM(B5475)=TRIM(Enginuity!$A$17),TRIM(C5475)=TRIM(Enginuity!$A$18)),
      TRIM(B5475)=TRIM(Enginuity!$A$17)
    )
  ),
  ROW(),
  ""
)</f>
        <v/>
      </c>
    </row>
    <row r="5476" spans="21:21" x14ac:dyDescent="0.25">
      <c r="U5476" s="104" t="str">
        <f>IF(
  AND(
    TRIM(A5476)=TRIM(Enginuity!$A$1),
    TRIM(B5476)=TRIM(Enginuity!$A$17),
    Q5476&lt;&gt;"",
    Q5476&lt;&gt;0,
    OR(
      TRIM(C5476)=TRIM(Enginuity!$A$18),
      AND(UPPER(TRIM(M5476))="STD", TRIM(B5476)=TRIM(Enginuity!$A$17))
    ),
    OR(
      AND(LEFT(P5476,5)="1-Way", Enginuity!$B$13=1),
      AND(LEFT(P5476,5)="2-Way", OR(Enginuity!$B$13=2, Enginuity!$B$13=4)),
      AND(LEFT(P5476,5)="3-Way", OR(Enginuity!$B$13=3, Enginuity!$B$13=6)),
      AND(P5476="Inner Centre Jamb", OR(Enginuity!$B$13=4, Enginuity!$B$13=6)),
      AND(
        LEFT(P5476,5)&lt;&gt;"1-Way",
        LEFT(P5476,5)&lt;&gt;"2-Way",
        LEFT(P5476,5)&lt;&gt;"3-Way",
        P5476&lt;&gt;"Inner Centre Jamb"
      )
    ),
    IF(OR(Enginuity!$A$1="Frameless Glass",Enginuity!$A$1="Metal Work"),
      AND(TRIM(B5476)=TRIM(Enginuity!$A$17),TRIM(C5476)=TRIM(Enginuity!$A$18)),
      TRIM(B5476)=TRIM(Enginuity!$A$17)
    )
  ),
  ROW(),
  ""
)</f>
        <v/>
      </c>
    </row>
    <row r="5477" spans="21:21" x14ac:dyDescent="0.25">
      <c r="U5477" s="104" t="str">
        <f>IF(
  AND(
    TRIM(A5477)=TRIM(Enginuity!$A$1),
    TRIM(B5477)=TRIM(Enginuity!$A$17),
    Q5477&lt;&gt;"",
    Q5477&lt;&gt;0,
    OR(
      TRIM(C5477)=TRIM(Enginuity!$A$18),
      AND(UPPER(TRIM(M5477))="STD", TRIM(B5477)=TRIM(Enginuity!$A$17))
    ),
    OR(
      AND(LEFT(P5477,5)="1-Way", Enginuity!$B$13=1),
      AND(LEFT(P5477,5)="2-Way", OR(Enginuity!$B$13=2, Enginuity!$B$13=4)),
      AND(LEFT(P5477,5)="3-Way", OR(Enginuity!$B$13=3, Enginuity!$B$13=6)),
      AND(P5477="Inner Centre Jamb", OR(Enginuity!$B$13=4, Enginuity!$B$13=6)),
      AND(
        LEFT(P5477,5)&lt;&gt;"1-Way",
        LEFT(P5477,5)&lt;&gt;"2-Way",
        LEFT(P5477,5)&lt;&gt;"3-Way",
        P5477&lt;&gt;"Inner Centre Jamb"
      )
    ),
    IF(OR(Enginuity!$A$1="Frameless Glass",Enginuity!$A$1="Metal Work"),
      AND(TRIM(B5477)=TRIM(Enginuity!$A$17),TRIM(C5477)=TRIM(Enginuity!$A$18)),
      TRIM(B5477)=TRIM(Enginuity!$A$17)
    )
  ),
  ROW(),
  ""
)</f>
        <v/>
      </c>
    </row>
    <row r="5478" spans="21:21" x14ac:dyDescent="0.25">
      <c r="U5478" s="104" t="str">
        <f>IF(
  AND(
    TRIM(A5478)=TRIM(Enginuity!$A$1),
    TRIM(B5478)=TRIM(Enginuity!$A$17),
    Q5478&lt;&gt;"",
    Q5478&lt;&gt;0,
    OR(
      TRIM(C5478)=TRIM(Enginuity!$A$18),
      AND(UPPER(TRIM(M5478))="STD", TRIM(B5478)=TRIM(Enginuity!$A$17))
    ),
    OR(
      AND(LEFT(P5478,5)="1-Way", Enginuity!$B$13=1),
      AND(LEFT(P5478,5)="2-Way", OR(Enginuity!$B$13=2, Enginuity!$B$13=4)),
      AND(LEFT(P5478,5)="3-Way", OR(Enginuity!$B$13=3, Enginuity!$B$13=6)),
      AND(P5478="Inner Centre Jamb", OR(Enginuity!$B$13=4, Enginuity!$B$13=6)),
      AND(
        LEFT(P5478,5)&lt;&gt;"1-Way",
        LEFT(P5478,5)&lt;&gt;"2-Way",
        LEFT(P5478,5)&lt;&gt;"3-Way",
        P5478&lt;&gt;"Inner Centre Jamb"
      )
    ),
    IF(OR(Enginuity!$A$1="Frameless Glass",Enginuity!$A$1="Metal Work"),
      AND(TRIM(B5478)=TRIM(Enginuity!$A$17),TRIM(C5478)=TRIM(Enginuity!$A$18)),
      TRIM(B5478)=TRIM(Enginuity!$A$17)
    )
  ),
  ROW(),
  ""
)</f>
        <v/>
      </c>
    </row>
    <row r="5479" spans="21:21" x14ac:dyDescent="0.25">
      <c r="U5479" s="104" t="str">
        <f>IF(
  AND(
    TRIM(A5479)=TRIM(Enginuity!$A$1),
    TRIM(B5479)=TRIM(Enginuity!$A$17),
    Q5479&lt;&gt;"",
    Q5479&lt;&gt;0,
    OR(
      TRIM(C5479)=TRIM(Enginuity!$A$18),
      AND(UPPER(TRIM(M5479))="STD", TRIM(B5479)=TRIM(Enginuity!$A$17))
    ),
    OR(
      AND(LEFT(P5479,5)="1-Way", Enginuity!$B$13=1),
      AND(LEFT(P5479,5)="2-Way", OR(Enginuity!$B$13=2, Enginuity!$B$13=4)),
      AND(LEFT(P5479,5)="3-Way", OR(Enginuity!$B$13=3, Enginuity!$B$13=6)),
      AND(P5479="Inner Centre Jamb", OR(Enginuity!$B$13=4, Enginuity!$B$13=6)),
      AND(
        LEFT(P5479,5)&lt;&gt;"1-Way",
        LEFT(P5479,5)&lt;&gt;"2-Way",
        LEFT(P5479,5)&lt;&gt;"3-Way",
        P5479&lt;&gt;"Inner Centre Jamb"
      )
    ),
    IF(OR(Enginuity!$A$1="Frameless Glass",Enginuity!$A$1="Metal Work"),
      AND(TRIM(B5479)=TRIM(Enginuity!$A$17),TRIM(C5479)=TRIM(Enginuity!$A$18)),
      TRIM(B5479)=TRIM(Enginuity!$A$17)
    )
  ),
  ROW(),
  ""
)</f>
        <v/>
      </c>
    </row>
    <row r="5480" spans="21:21" x14ac:dyDescent="0.25">
      <c r="U5480" s="104" t="str">
        <f>IF(
  AND(
    TRIM(A5480)=TRIM(Enginuity!$A$1),
    TRIM(B5480)=TRIM(Enginuity!$A$17),
    Q5480&lt;&gt;"",
    Q5480&lt;&gt;0,
    OR(
      TRIM(C5480)=TRIM(Enginuity!$A$18),
      AND(UPPER(TRIM(M5480))="STD", TRIM(B5480)=TRIM(Enginuity!$A$17))
    ),
    OR(
      AND(LEFT(P5480,5)="1-Way", Enginuity!$B$13=1),
      AND(LEFT(P5480,5)="2-Way", OR(Enginuity!$B$13=2, Enginuity!$B$13=4)),
      AND(LEFT(P5480,5)="3-Way", OR(Enginuity!$B$13=3, Enginuity!$B$13=6)),
      AND(P5480="Inner Centre Jamb", OR(Enginuity!$B$13=4, Enginuity!$B$13=6)),
      AND(
        LEFT(P5480,5)&lt;&gt;"1-Way",
        LEFT(P5480,5)&lt;&gt;"2-Way",
        LEFT(P5480,5)&lt;&gt;"3-Way",
        P5480&lt;&gt;"Inner Centre Jamb"
      )
    ),
    IF(OR(Enginuity!$A$1="Frameless Glass",Enginuity!$A$1="Metal Work"),
      AND(TRIM(B5480)=TRIM(Enginuity!$A$17),TRIM(C5480)=TRIM(Enginuity!$A$18)),
      TRIM(B5480)=TRIM(Enginuity!$A$17)
    )
  ),
  ROW(),
  ""
)</f>
        <v/>
      </c>
    </row>
    <row r="5481" spans="21:21" x14ac:dyDescent="0.25">
      <c r="U5481" s="104" t="str">
        <f>IF(
  AND(
    TRIM(A5481)=TRIM(Enginuity!$A$1),
    TRIM(B5481)=TRIM(Enginuity!$A$17),
    Q5481&lt;&gt;"",
    Q5481&lt;&gt;0,
    OR(
      TRIM(C5481)=TRIM(Enginuity!$A$18),
      AND(UPPER(TRIM(M5481))="STD", TRIM(B5481)=TRIM(Enginuity!$A$17))
    ),
    OR(
      AND(LEFT(P5481,5)="1-Way", Enginuity!$B$13=1),
      AND(LEFT(P5481,5)="2-Way", OR(Enginuity!$B$13=2, Enginuity!$B$13=4)),
      AND(LEFT(P5481,5)="3-Way", OR(Enginuity!$B$13=3, Enginuity!$B$13=6)),
      AND(P5481="Inner Centre Jamb", OR(Enginuity!$B$13=4, Enginuity!$B$13=6)),
      AND(
        LEFT(P5481,5)&lt;&gt;"1-Way",
        LEFT(P5481,5)&lt;&gt;"2-Way",
        LEFT(P5481,5)&lt;&gt;"3-Way",
        P5481&lt;&gt;"Inner Centre Jamb"
      )
    ),
    IF(OR(Enginuity!$A$1="Frameless Glass",Enginuity!$A$1="Metal Work"),
      AND(TRIM(B5481)=TRIM(Enginuity!$A$17),TRIM(C5481)=TRIM(Enginuity!$A$18)),
      TRIM(B5481)=TRIM(Enginuity!$A$17)
    )
  ),
  ROW(),
  ""
)</f>
        <v/>
      </c>
    </row>
    <row r="5482" spans="21:21" x14ac:dyDescent="0.25">
      <c r="U5482" s="104" t="str">
        <f>IF(
  AND(
    TRIM(A5482)=TRIM(Enginuity!$A$1),
    TRIM(B5482)=TRIM(Enginuity!$A$17),
    Q5482&lt;&gt;"",
    Q5482&lt;&gt;0,
    OR(
      TRIM(C5482)=TRIM(Enginuity!$A$18),
      AND(UPPER(TRIM(M5482))="STD", TRIM(B5482)=TRIM(Enginuity!$A$17))
    ),
    OR(
      AND(LEFT(P5482,5)="1-Way", Enginuity!$B$13=1),
      AND(LEFT(P5482,5)="2-Way", OR(Enginuity!$B$13=2, Enginuity!$B$13=4)),
      AND(LEFT(P5482,5)="3-Way", OR(Enginuity!$B$13=3, Enginuity!$B$13=6)),
      AND(P5482="Inner Centre Jamb", OR(Enginuity!$B$13=4, Enginuity!$B$13=6)),
      AND(
        LEFT(P5482,5)&lt;&gt;"1-Way",
        LEFT(P5482,5)&lt;&gt;"2-Way",
        LEFT(P5482,5)&lt;&gt;"3-Way",
        P5482&lt;&gt;"Inner Centre Jamb"
      )
    ),
    IF(OR(Enginuity!$A$1="Frameless Glass",Enginuity!$A$1="Metal Work"),
      AND(TRIM(B5482)=TRIM(Enginuity!$A$17),TRIM(C5482)=TRIM(Enginuity!$A$18)),
      TRIM(B5482)=TRIM(Enginuity!$A$17)
    )
  ),
  ROW(),
  ""
)</f>
        <v/>
      </c>
    </row>
    <row r="5483" spans="21:21" x14ac:dyDescent="0.25">
      <c r="U5483" s="104" t="str">
        <f>IF(
  AND(
    TRIM(A5483)=TRIM(Enginuity!$A$1),
    TRIM(B5483)=TRIM(Enginuity!$A$17),
    Q5483&lt;&gt;"",
    Q5483&lt;&gt;0,
    OR(
      TRIM(C5483)=TRIM(Enginuity!$A$18),
      AND(UPPER(TRIM(M5483))="STD", TRIM(B5483)=TRIM(Enginuity!$A$17))
    ),
    OR(
      AND(LEFT(P5483,5)="1-Way", Enginuity!$B$13=1),
      AND(LEFT(P5483,5)="2-Way", OR(Enginuity!$B$13=2, Enginuity!$B$13=4)),
      AND(LEFT(P5483,5)="3-Way", OR(Enginuity!$B$13=3, Enginuity!$B$13=6)),
      AND(P5483="Inner Centre Jamb", OR(Enginuity!$B$13=4, Enginuity!$B$13=6)),
      AND(
        LEFT(P5483,5)&lt;&gt;"1-Way",
        LEFT(P5483,5)&lt;&gt;"2-Way",
        LEFT(P5483,5)&lt;&gt;"3-Way",
        P5483&lt;&gt;"Inner Centre Jamb"
      )
    ),
    IF(OR(Enginuity!$A$1="Frameless Glass",Enginuity!$A$1="Metal Work"),
      AND(TRIM(B5483)=TRIM(Enginuity!$A$17),TRIM(C5483)=TRIM(Enginuity!$A$18)),
      TRIM(B5483)=TRIM(Enginuity!$A$17)
    )
  ),
  ROW(),
  ""
)</f>
        <v/>
      </c>
    </row>
    <row r="5484" spans="21:21" x14ac:dyDescent="0.25">
      <c r="U5484" s="104" t="str">
        <f>IF(
  AND(
    TRIM(A5484)=TRIM(Enginuity!$A$1),
    TRIM(B5484)=TRIM(Enginuity!$A$17),
    Q5484&lt;&gt;"",
    Q5484&lt;&gt;0,
    OR(
      TRIM(C5484)=TRIM(Enginuity!$A$18),
      AND(UPPER(TRIM(M5484))="STD", TRIM(B5484)=TRIM(Enginuity!$A$17))
    ),
    OR(
      AND(LEFT(P5484,5)="1-Way", Enginuity!$B$13=1),
      AND(LEFT(P5484,5)="2-Way", OR(Enginuity!$B$13=2, Enginuity!$B$13=4)),
      AND(LEFT(P5484,5)="3-Way", OR(Enginuity!$B$13=3, Enginuity!$B$13=6)),
      AND(P5484="Inner Centre Jamb", OR(Enginuity!$B$13=4, Enginuity!$B$13=6)),
      AND(
        LEFT(P5484,5)&lt;&gt;"1-Way",
        LEFT(P5484,5)&lt;&gt;"2-Way",
        LEFT(P5484,5)&lt;&gt;"3-Way",
        P5484&lt;&gt;"Inner Centre Jamb"
      )
    ),
    IF(OR(Enginuity!$A$1="Frameless Glass",Enginuity!$A$1="Metal Work"),
      AND(TRIM(B5484)=TRIM(Enginuity!$A$17),TRIM(C5484)=TRIM(Enginuity!$A$18)),
      TRIM(B5484)=TRIM(Enginuity!$A$17)
    )
  ),
  ROW(),
  ""
)</f>
        <v/>
      </c>
    </row>
    <row r="5485" spans="21:21" x14ac:dyDescent="0.25">
      <c r="U5485" s="104" t="str">
        <f>IF(
  AND(
    TRIM(A5485)=TRIM(Enginuity!$A$1),
    TRIM(B5485)=TRIM(Enginuity!$A$17),
    Q5485&lt;&gt;"",
    Q5485&lt;&gt;0,
    OR(
      TRIM(C5485)=TRIM(Enginuity!$A$18),
      AND(UPPER(TRIM(M5485))="STD", TRIM(B5485)=TRIM(Enginuity!$A$17))
    ),
    OR(
      AND(LEFT(P5485,5)="1-Way", Enginuity!$B$13=1),
      AND(LEFT(P5485,5)="2-Way", OR(Enginuity!$B$13=2, Enginuity!$B$13=4)),
      AND(LEFT(P5485,5)="3-Way", OR(Enginuity!$B$13=3, Enginuity!$B$13=6)),
      AND(P5485="Inner Centre Jamb", OR(Enginuity!$B$13=4, Enginuity!$B$13=6)),
      AND(
        LEFT(P5485,5)&lt;&gt;"1-Way",
        LEFT(P5485,5)&lt;&gt;"2-Way",
        LEFT(P5485,5)&lt;&gt;"3-Way",
        P5485&lt;&gt;"Inner Centre Jamb"
      )
    ),
    IF(OR(Enginuity!$A$1="Frameless Glass",Enginuity!$A$1="Metal Work"),
      AND(TRIM(B5485)=TRIM(Enginuity!$A$17),TRIM(C5485)=TRIM(Enginuity!$A$18)),
      TRIM(B5485)=TRIM(Enginuity!$A$17)
    )
  ),
  ROW(),
  ""
)</f>
        <v/>
      </c>
    </row>
    <row r="5486" spans="21:21" x14ac:dyDescent="0.25">
      <c r="U5486" s="104" t="str">
        <f>IF(
  AND(
    TRIM(A5486)=TRIM(Enginuity!$A$1),
    TRIM(B5486)=TRIM(Enginuity!$A$17),
    Q5486&lt;&gt;"",
    Q5486&lt;&gt;0,
    OR(
      TRIM(C5486)=TRIM(Enginuity!$A$18),
      AND(UPPER(TRIM(M5486))="STD", TRIM(B5486)=TRIM(Enginuity!$A$17))
    ),
    OR(
      AND(LEFT(P5486,5)="1-Way", Enginuity!$B$13=1),
      AND(LEFT(P5486,5)="2-Way", OR(Enginuity!$B$13=2, Enginuity!$B$13=4)),
      AND(LEFT(P5486,5)="3-Way", OR(Enginuity!$B$13=3, Enginuity!$B$13=6)),
      AND(P5486="Inner Centre Jamb", OR(Enginuity!$B$13=4, Enginuity!$B$13=6)),
      AND(
        LEFT(P5486,5)&lt;&gt;"1-Way",
        LEFT(P5486,5)&lt;&gt;"2-Way",
        LEFT(P5486,5)&lt;&gt;"3-Way",
        P5486&lt;&gt;"Inner Centre Jamb"
      )
    ),
    IF(OR(Enginuity!$A$1="Frameless Glass",Enginuity!$A$1="Metal Work"),
      AND(TRIM(B5486)=TRIM(Enginuity!$A$17),TRIM(C5486)=TRIM(Enginuity!$A$18)),
      TRIM(B5486)=TRIM(Enginuity!$A$17)
    )
  ),
  ROW(),
  ""
)</f>
        <v/>
      </c>
    </row>
    <row r="5487" spans="21:21" x14ac:dyDescent="0.25">
      <c r="U5487" s="104" t="str">
        <f>IF(
  AND(
    TRIM(A5487)=TRIM(Enginuity!$A$1),
    TRIM(B5487)=TRIM(Enginuity!$A$17),
    Q5487&lt;&gt;"",
    Q5487&lt;&gt;0,
    OR(
      TRIM(C5487)=TRIM(Enginuity!$A$18),
      AND(UPPER(TRIM(M5487))="STD", TRIM(B5487)=TRIM(Enginuity!$A$17))
    ),
    OR(
      AND(LEFT(P5487,5)="1-Way", Enginuity!$B$13=1),
      AND(LEFT(P5487,5)="2-Way", OR(Enginuity!$B$13=2, Enginuity!$B$13=4)),
      AND(LEFT(P5487,5)="3-Way", OR(Enginuity!$B$13=3, Enginuity!$B$13=6)),
      AND(P5487="Inner Centre Jamb", OR(Enginuity!$B$13=4, Enginuity!$B$13=6)),
      AND(
        LEFT(P5487,5)&lt;&gt;"1-Way",
        LEFT(P5487,5)&lt;&gt;"2-Way",
        LEFT(P5487,5)&lt;&gt;"3-Way",
        P5487&lt;&gt;"Inner Centre Jamb"
      )
    ),
    IF(OR(Enginuity!$A$1="Frameless Glass",Enginuity!$A$1="Metal Work"),
      AND(TRIM(B5487)=TRIM(Enginuity!$A$17),TRIM(C5487)=TRIM(Enginuity!$A$18)),
      TRIM(B5487)=TRIM(Enginuity!$A$17)
    )
  ),
  ROW(),
  ""
)</f>
        <v/>
      </c>
    </row>
    <row r="5488" spans="21:21" x14ac:dyDescent="0.25">
      <c r="U5488" s="104" t="str">
        <f>IF(
  AND(
    TRIM(A5488)=TRIM(Enginuity!$A$1),
    TRIM(B5488)=TRIM(Enginuity!$A$17),
    Q5488&lt;&gt;"",
    Q5488&lt;&gt;0,
    OR(
      TRIM(C5488)=TRIM(Enginuity!$A$18),
      AND(UPPER(TRIM(M5488))="STD", TRIM(B5488)=TRIM(Enginuity!$A$17))
    ),
    OR(
      AND(LEFT(P5488,5)="1-Way", Enginuity!$B$13=1),
      AND(LEFT(P5488,5)="2-Way", OR(Enginuity!$B$13=2, Enginuity!$B$13=4)),
      AND(LEFT(P5488,5)="3-Way", OR(Enginuity!$B$13=3, Enginuity!$B$13=6)),
      AND(P5488="Inner Centre Jamb", OR(Enginuity!$B$13=4, Enginuity!$B$13=6)),
      AND(
        LEFT(P5488,5)&lt;&gt;"1-Way",
        LEFT(P5488,5)&lt;&gt;"2-Way",
        LEFT(P5488,5)&lt;&gt;"3-Way",
        P5488&lt;&gt;"Inner Centre Jamb"
      )
    ),
    IF(OR(Enginuity!$A$1="Frameless Glass",Enginuity!$A$1="Metal Work"),
      AND(TRIM(B5488)=TRIM(Enginuity!$A$17),TRIM(C5488)=TRIM(Enginuity!$A$18)),
      TRIM(B5488)=TRIM(Enginuity!$A$17)
    )
  ),
  ROW(),
  ""
)</f>
        <v/>
      </c>
    </row>
    <row r="5489" spans="21:21" x14ac:dyDescent="0.25">
      <c r="U5489" s="104" t="str">
        <f>IF(
  AND(
    TRIM(A5489)=TRIM(Enginuity!$A$1),
    TRIM(B5489)=TRIM(Enginuity!$A$17),
    Q5489&lt;&gt;"",
    Q5489&lt;&gt;0,
    OR(
      TRIM(C5489)=TRIM(Enginuity!$A$18),
      AND(UPPER(TRIM(M5489))="STD", TRIM(B5489)=TRIM(Enginuity!$A$17))
    ),
    OR(
      AND(LEFT(P5489,5)="1-Way", Enginuity!$B$13=1),
      AND(LEFT(P5489,5)="2-Way", OR(Enginuity!$B$13=2, Enginuity!$B$13=4)),
      AND(LEFT(P5489,5)="3-Way", OR(Enginuity!$B$13=3, Enginuity!$B$13=6)),
      AND(P5489="Inner Centre Jamb", OR(Enginuity!$B$13=4, Enginuity!$B$13=6)),
      AND(
        LEFT(P5489,5)&lt;&gt;"1-Way",
        LEFT(P5489,5)&lt;&gt;"2-Way",
        LEFT(P5489,5)&lt;&gt;"3-Way",
        P5489&lt;&gt;"Inner Centre Jamb"
      )
    ),
    IF(OR(Enginuity!$A$1="Frameless Glass",Enginuity!$A$1="Metal Work"),
      AND(TRIM(B5489)=TRIM(Enginuity!$A$17),TRIM(C5489)=TRIM(Enginuity!$A$18)),
      TRIM(B5489)=TRIM(Enginuity!$A$17)
    )
  ),
  ROW(),
  ""
)</f>
        <v/>
      </c>
    </row>
    <row r="5490" spans="21:21" x14ac:dyDescent="0.25">
      <c r="U5490" s="104" t="str">
        <f>IF(
  AND(
    TRIM(A5490)=TRIM(Enginuity!$A$1),
    TRIM(B5490)=TRIM(Enginuity!$A$17),
    Q5490&lt;&gt;"",
    Q5490&lt;&gt;0,
    OR(
      TRIM(C5490)=TRIM(Enginuity!$A$18),
      AND(UPPER(TRIM(M5490))="STD", TRIM(B5490)=TRIM(Enginuity!$A$17))
    ),
    OR(
      AND(LEFT(P5490,5)="1-Way", Enginuity!$B$13=1),
      AND(LEFT(P5490,5)="2-Way", OR(Enginuity!$B$13=2, Enginuity!$B$13=4)),
      AND(LEFT(P5490,5)="3-Way", OR(Enginuity!$B$13=3, Enginuity!$B$13=6)),
      AND(P5490="Inner Centre Jamb", OR(Enginuity!$B$13=4, Enginuity!$B$13=6)),
      AND(
        LEFT(P5490,5)&lt;&gt;"1-Way",
        LEFT(P5490,5)&lt;&gt;"2-Way",
        LEFT(P5490,5)&lt;&gt;"3-Way",
        P5490&lt;&gt;"Inner Centre Jamb"
      )
    ),
    IF(OR(Enginuity!$A$1="Frameless Glass",Enginuity!$A$1="Metal Work"),
      AND(TRIM(B5490)=TRIM(Enginuity!$A$17),TRIM(C5490)=TRIM(Enginuity!$A$18)),
      TRIM(B5490)=TRIM(Enginuity!$A$17)
    )
  ),
  ROW(),
  ""
)</f>
        <v/>
      </c>
    </row>
    <row r="5491" spans="21:21" x14ac:dyDescent="0.25">
      <c r="U5491" s="104" t="str">
        <f>IF(
  AND(
    TRIM(A5491)=TRIM(Enginuity!$A$1),
    TRIM(B5491)=TRIM(Enginuity!$A$17),
    Q5491&lt;&gt;"",
    Q5491&lt;&gt;0,
    OR(
      TRIM(C5491)=TRIM(Enginuity!$A$18),
      AND(UPPER(TRIM(M5491))="STD", TRIM(B5491)=TRIM(Enginuity!$A$17))
    ),
    OR(
      AND(LEFT(P5491,5)="1-Way", Enginuity!$B$13=1),
      AND(LEFT(P5491,5)="2-Way", OR(Enginuity!$B$13=2, Enginuity!$B$13=4)),
      AND(LEFT(P5491,5)="3-Way", OR(Enginuity!$B$13=3, Enginuity!$B$13=6)),
      AND(P5491="Inner Centre Jamb", OR(Enginuity!$B$13=4, Enginuity!$B$13=6)),
      AND(
        LEFT(P5491,5)&lt;&gt;"1-Way",
        LEFT(P5491,5)&lt;&gt;"2-Way",
        LEFT(P5491,5)&lt;&gt;"3-Way",
        P5491&lt;&gt;"Inner Centre Jamb"
      )
    ),
    IF(OR(Enginuity!$A$1="Frameless Glass",Enginuity!$A$1="Metal Work"),
      AND(TRIM(B5491)=TRIM(Enginuity!$A$17),TRIM(C5491)=TRIM(Enginuity!$A$18)),
      TRIM(B5491)=TRIM(Enginuity!$A$17)
    )
  ),
  ROW(),
  ""
)</f>
        <v/>
      </c>
    </row>
    <row r="5492" spans="21:21" x14ac:dyDescent="0.25">
      <c r="U5492" s="104" t="str">
        <f>IF(
  AND(
    TRIM(A5492)=TRIM(Enginuity!$A$1),
    TRIM(B5492)=TRIM(Enginuity!$A$17),
    Q5492&lt;&gt;"",
    Q5492&lt;&gt;0,
    OR(
      TRIM(C5492)=TRIM(Enginuity!$A$18),
      AND(UPPER(TRIM(M5492))="STD", TRIM(B5492)=TRIM(Enginuity!$A$17))
    ),
    OR(
      AND(LEFT(P5492,5)="1-Way", Enginuity!$B$13=1),
      AND(LEFT(P5492,5)="2-Way", OR(Enginuity!$B$13=2, Enginuity!$B$13=4)),
      AND(LEFT(P5492,5)="3-Way", OR(Enginuity!$B$13=3, Enginuity!$B$13=6)),
      AND(P5492="Inner Centre Jamb", OR(Enginuity!$B$13=4, Enginuity!$B$13=6)),
      AND(
        LEFT(P5492,5)&lt;&gt;"1-Way",
        LEFT(P5492,5)&lt;&gt;"2-Way",
        LEFT(P5492,5)&lt;&gt;"3-Way",
        P5492&lt;&gt;"Inner Centre Jamb"
      )
    ),
    IF(OR(Enginuity!$A$1="Frameless Glass",Enginuity!$A$1="Metal Work"),
      AND(TRIM(B5492)=TRIM(Enginuity!$A$17),TRIM(C5492)=TRIM(Enginuity!$A$18)),
      TRIM(B5492)=TRIM(Enginuity!$A$17)
    )
  ),
  ROW(),
  ""
)</f>
        <v/>
      </c>
    </row>
    <row r="5493" spans="21:21" x14ac:dyDescent="0.25">
      <c r="U5493" s="104" t="str">
        <f>IF(
  AND(
    TRIM(A5493)=TRIM(Enginuity!$A$1),
    TRIM(B5493)=TRIM(Enginuity!$A$17),
    Q5493&lt;&gt;"",
    Q5493&lt;&gt;0,
    OR(
      TRIM(C5493)=TRIM(Enginuity!$A$18),
      AND(UPPER(TRIM(M5493))="STD", TRIM(B5493)=TRIM(Enginuity!$A$17))
    ),
    OR(
      AND(LEFT(P5493,5)="1-Way", Enginuity!$B$13=1),
      AND(LEFT(P5493,5)="2-Way", OR(Enginuity!$B$13=2, Enginuity!$B$13=4)),
      AND(LEFT(P5493,5)="3-Way", OR(Enginuity!$B$13=3, Enginuity!$B$13=6)),
      AND(P5493="Inner Centre Jamb", OR(Enginuity!$B$13=4, Enginuity!$B$13=6)),
      AND(
        LEFT(P5493,5)&lt;&gt;"1-Way",
        LEFT(P5493,5)&lt;&gt;"2-Way",
        LEFT(P5493,5)&lt;&gt;"3-Way",
        P5493&lt;&gt;"Inner Centre Jamb"
      )
    ),
    IF(OR(Enginuity!$A$1="Frameless Glass",Enginuity!$A$1="Metal Work"),
      AND(TRIM(B5493)=TRIM(Enginuity!$A$17),TRIM(C5493)=TRIM(Enginuity!$A$18)),
      TRIM(B5493)=TRIM(Enginuity!$A$17)
    )
  ),
  ROW(),
  ""
)</f>
        <v/>
      </c>
    </row>
    <row r="5494" spans="21:21" x14ac:dyDescent="0.25">
      <c r="U5494" s="104" t="str">
        <f>IF(
  AND(
    TRIM(A5494)=TRIM(Enginuity!$A$1),
    TRIM(B5494)=TRIM(Enginuity!$A$17),
    Q5494&lt;&gt;"",
    Q5494&lt;&gt;0,
    OR(
      TRIM(C5494)=TRIM(Enginuity!$A$18),
      AND(UPPER(TRIM(M5494))="STD", TRIM(B5494)=TRIM(Enginuity!$A$17))
    ),
    OR(
      AND(LEFT(P5494,5)="1-Way", Enginuity!$B$13=1),
      AND(LEFT(P5494,5)="2-Way", OR(Enginuity!$B$13=2, Enginuity!$B$13=4)),
      AND(LEFT(P5494,5)="3-Way", OR(Enginuity!$B$13=3, Enginuity!$B$13=6)),
      AND(P5494="Inner Centre Jamb", OR(Enginuity!$B$13=4, Enginuity!$B$13=6)),
      AND(
        LEFT(P5494,5)&lt;&gt;"1-Way",
        LEFT(P5494,5)&lt;&gt;"2-Way",
        LEFT(P5494,5)&lt;&gt;"3-Way",
        P5494&lt;&gt;"Inner Centre Jamb"
      )
    ),
    IF(OR(Enginuity!$A$1="Frameless Glass",Enginuity!$A$1="Metal Work"),
      AND(TRIM(B5494)=TRIM(Enginuity!$A$17),TRIM(C5494)=TRIM(Enginuity!$A$18)),
      TRIM(B5494)=TRIM(Enginuity!$A$17)
    )
  ),
  ROW(),
  ""
)</f>
        <v/>
      </c>
    </row>
    <row r="5495" spans="21:21" x14ac:dyDescent="0.25">
      <c r="U5495" s="104" t="str">
        <f>IF(
  AND(
    TRIM(A5495)=TRIM(Enginuity!$A$1),
    TRIM(B5495)=TRIM(Enginuity!$A$17),
    Q5495&lt;&gt;"",
    Q5495&lt;&gt;0,
    OR(
      TRIM(C5495)=TRIM(Enginuity!$A$18),
      AND(UPPER(TRIM(M5495))="STD", TRIM(B5495)=TRIM(Enginuity!$A$17))
    ),
    OR(
      AND(LEFT(P5495,5)="1-Way", Enginuity!$B$13=1),
      AND(LEFT(P5495,5)="2-Way", OR(Enginuity!$B$13=2, Enginuity!$B$13=4)),
      AND(LEFT(P5495,5)="3-Way", OR(Enginuity!$B$13=3, Enginuity!$B$13=6)),
      AND(P5495="Inner Centre Jamb", OR(Enginuity!$B$13=4, Enginuity!$B$13=6)),
      AND(
        LEFT(P5495,5)&lt;&gt;"1-Way",
        LEFT(P5495,5)&lt;&gt;"2-Way",
        LEFT(P5495,5)&lt;&gt;"3-Way",
        P5495&lt;&gt;"Inner Centre Jamb"
      )
    ),
    IF(OR(Enginuity!$A$1="Frameless Glass",Enginuity!$A$1="Metal Work"),
      AND(TRIM(B5495)=TRIM(Enginuity!$A$17),TRIM(C5495)=TRIM(Enginuity!$A$18)),
      TRIM(B5495)=TRIM(Enginuity!$A$17)
    )
  ),
  ROW(),
  ""
)</f>
        <v/>
      </c>
    </row>
    <row r="5496" spans="21:21" x14ac:dyDescent="0.25">
      <c r="U5496" s="104" t="str">
        <f>IF(
  AND(
    TRIM(A5496)=TRIM(Enginuity!$A$1),
    TRIM(B5496)=TRIM(Enginuity!$A$17),
    Q5496&lt;&gt;"",
    Q5496&lt;&gt;0,
    OR(
      TRIM(C5496)=TRIM(Enginuity!$A$18),
      AND(UPPER(TRIM(M5496))="STD", TRIM(B5496)=TRIM(Enginuity!$A$17))
    ),
    OR(
      AND(LEFT(P5496,5)="1-Way", Enginuity!$B$13=1),
      AND(LEFT(P5496,5)="2-Way", OR(Enginuity!$B$13=2, Enginuity!$B$13=4)),
      AND(LEFT(P5496,5)="3-Way", OR(Enginuity!$B$13=3, Enginuity!$B$13=6)),
      AND(P5496="Inner Centre Jamb", OR(Enginuity!$B$13=4, Enginuity!$B$13=6)),
      AND(
        LEFT(P5496,5)&lt;&gt;"1-Way",
        LEFT(P5496,5)&lt;&gt;"2-Way",
        LEFT(P5496,5)&lt;&gt;"3-Way",
        P5496&lt;&gt;"Inner Centre Jamb"
      )
    ),
    IF(OR(Enginuity!$A$1="Frameless Glass",Enginuity!$A$1="Metal Work"),
      AND(TRIM(B5496)=TRIM(Enginuity!$A$17),TRIM(C5496)=TRIM(Enginuity!$A$18)),
      TRIM(B5496)=TRIM(Enginuity!$A$17)
    )
  ),
  ROW(),
  ""
)</f>
        <v/>
      </c>
    </row>
    <row r="5497" spans="21:21" x14ac:dyDescent="0.25">
      <c r="U5497" s="104" t="str">
        <f>IF(
  AND(
    TRIM(A5497)=TRIM(Enginuity!$A$1),
    TRIM(B5497)=TRIM(Enginuity!$A$17),
    Q5497&lt;&gt;"",
    Q5497&lt;&gt;0,
    OR(
      TRIM(C5497)=TRIM(Enginuity!$A$18),
      AND(UPPER(TRIM(M5497))="STD", TRIM(B5497)=TRIM(Enginuity!$A$17))
    ),
    OR(
      AND(LEFT(P5497,5)="1-Way", Enginuity!$B$13=1),
      AND(LEFT(P5497,5)="2-Way", OR(Enginuity!$B$13=2, Enginuity!$B$13=4)),
      AND(LEFT(P5497,5)="3-Way", OR(Enginuity!$B$13=3, Enginuity!$B$13=6)),
      AND(P5497="Inner Centre Jamb", OR(Enginuity!$B$13=4, Enginuity!$B$13=6)),
      AND(
        LEFT(P5497,5)&lt;&gt;"1-Way",
        LEFT(P5497,5)&lt;&gt;"2-Way",
        LEFT(P5497,5)&lt;&gt;"3-Way",
        P5497&lt;&gt;"Inner Centre Jamb"
      )
    ),
    IF(OR(Enginuity!$A$1="Frameless Glass",Enginuity!$A$1="Metal Work"),
      AND(TRIM(B5497)=TRIM(Enginuity!$A$17),TRIM(C5497)=TRIM(Enginuity!$A$18)),
      TRIM(B5497)=TRIM(Enginuity!$A$17)
    )
  ),
  ROW(),
  ""
)</f>
        <v/>
      </c>
    </row>
    <row r="5498" spans="21:21" x14ac:dyDescent="0.25">
      <c r="U5498" s="104" t="str">
        <f>IF(
  AND(
    TRIM(A5498)=TRIM(Enginuity!$A$1),
    TRIM(B5498)=TRIM(Enginuity!$A$17),
    Q5498&lt;&gt;"",
    Q5498&lt;&gt;0,
    OR(
      TRIM(C5498)=TRIM(Enginuity!$A$18),
      AND(UPPER(TRIM(M5498))="STD", TRIM(B5498)=TRIM(Enginuity!$A$17))
    ),
    OR(
      AND(LEFT(P5498,5)="1-Way", Enginuity!$B$13=1),
      AND(LEFT(P5498,5)="2-Way", OR(Enginuity!$B$13=2, Enginuity!$B$13=4)),
      AND(LEFT(P5498,5)="3-Way", OR(Enginuity!$B$13=3, Enginuity!$B$13=6)),
      AND(P5498="Inner Centre Jamb", OR(Enginuity!$B$13=4, Enginuity!$B$13=6)),
      AND(
        LEFT(P5498,5)&lt;&gt;"1-Way",
        LEFT(P5498,5)&lt;&gt;"2-Way",
        LEFT(P5498,5)&lt;&gt;"3-Way",
        P5498&lt;&gt;"Inner Centre Jamb"
      )
    ),
    IF(OR(Enginuity!$A$1="Frameless Glass",Enginuity!$A$1="Metal Work"),
      AND(TRIM(B5498)=TRIM(Enginuity!$A$17),TRIM(C5498)=TRIM(Enginuity!$A$18)),
      TRIM(B5498)=TRIM(Enginuity!$A$17)
    )
  ),
  ROW(),
  ""
)</f>
        <v/>
      </c>
    </row>
    <row r="5499" spans="21:21" x14ac:dyDescent="0.25">
      <c r="U5499" s="104" t="str">
        <f>IF(
  AND(
    TRIM(A5499)=TRIM(Enginuity!$A$1),
    TRIM(B5499)=TRIM(Enginuity!$A$17),
    Q5499&lt;&gt;"",
    Q5499&lt;&gt;0,
    OR(
      TRIM(C5499)=TRIM(Enginuity!$A$18),
      AND(UPPER(TRIM(M5499))="STD", TRIM(B5499)=TRIM(Enginuity!$A$17))
    ),
    OR(
      AND(LEFT(P5499,5)="1-Way", Enginuity!$B$13=1),
      AND(LEFT(P5499,5)="2-Way", OR(Enginuity!$B$13=2, Enginuity!$B$13=4)),
      AND(LEFT(P5499,5)="3-Way", OR(Enginuity!$B$13=3, Enginuity!$B$13=6)),
      AND(P5499="Inner Centre Jamb", OR(Enginuity!$B$13=4, Enginuity!$B$13=6)),
      AND(
        LEFT(P5499,5)&lt;&gt;"1-Way",
        LEFT(P5499,5)&lt;&gt;"2-Way",
        LEFT(P5499,5)&lt;&gt;"3-Way",
        P5499&lt;&gt;"Inner Centre Jamb"
      )
    ),
    IF(OR(Enginuity!$A$1="Frameless Glass",Enginuity!$A$1="Metal Work"),
      AND(TRIM(B5499)=TRIM(Enginuity!$A$17),TRIM(C5499)=TRIM(Enginuity!$A$18)),
      TRIM(B5499)=TRIM(Enginuity!$A$17)
    )
  ),
  ROW(),
  ""
)</f>
        <v/>
      </c>
    </row>
    <row r="5500" spans="21:21" x14ac:dyDescent="0.25">
      <c r="U5500" s="104" t="str">
        <f>IF(
  AND(
    TRIM(A5500)=TRIM(Enginuity!$A$1),
    TRIM(B5500)=TRIM(Enginuity!$A$17),
    Q5500&lt;&gt;"",
    Q5500&lt;&gt;0,
    OR(
      TRIM(C5500)=TRIM(Enginuity!$A$18),
      AND(UPPER(TRIM(M5500))="STD", TRIM(B5500)=TRIM(Enginuity!$A$17))
    ),
    OR(
      AND(LEFT(P5500,5)="1-Way", Enginuity!$B$13=1),
      AND(LEFT(P5500,5)="2-Way", OR(Enginuity!$B$13=2, Enginuity!$B$13=4)),
      AND(LEFT(P5500,5)="3-Way", OR(Enginuity!$B$13=3, Enginuity!$B$13=6)),
      AND(P5500="Inner Centre Jamb", OR(Enginuity!$B$13=4, Enginuity!$B$13=6)),
      AND(
        LEFT(P5500,5)&lt;&gt;"1-Way",
        LEFT(P5500,5)&lt;&gt;"2-Way",
        LEFT(P5500,5)&lt;&gt;"3-Way",
        P5500&lt;&gt;"Inner Centre Jamb"
      )
    ),
    IF(OR(Enginuity!$A$1="Frameless Glass",Enginuity!$A$1="Metal Work"),
      AND(TRIM(B5500)=TRIM(Enginuity!$A$17),TRIM(C5500)=TRIM(Enginuity!$A$18)),
      TRIM(B5500)=TRIM(Enginuity!$A$17)
    )
  ),
  ROW(),
  ""
)</f>
        <v/>
      </c>
    </row>
    <row r="5501" spans="21:21" x14ac:dyDescent="0.25">
      <c r="U5501" s="104" t="str">
        <f>IF(
  AND(
    TRIM(A5501)=TRIM(Enginuity!$A$1),
    TRIM(B5501)=TRIM(Enginuity!$A$17),
    Q5501&lt;&gt;"",
    Q5501&lt;&gt;0,
    OR(
      TRIM(C5501)=TRIM(Enginuity!$A$18),
      AND(UPPER(TRIM(M5501))="STD", TRIM(B5501)=TRIM(Enginuity!$A$17))
    ),
    OR(
      AND(LEFT(P5501,5)="1-Way", Enginuity!$B$13=1),
      AND(LEFT(P5501,5)="2-Way", OR(Enginuity!$B$13=2, Enginuity!$B$13=4)),
      AND(LEFT(P5501,5)="3-Way", OR(Enginuity!$B$13=3, Enginuity!$B$13=6)),
      AND(P5501="Inner Centre Jamb", OR(Enginuity!$B$13=4, Enginuity!$B$13=6)),
      AND(
        LEFT(P5501,5)&lt;&gt;"1-Way",
        LEFT(P5501,5)&lt;&gt;"2-Way",
        LEFT(P5501,5)&lt;&gt;"3-Way",
        P5501&lt;&gt;"Inner Centre Jamb"
      )
    ),
    IF(OR(Enginuity!$A$1="Frameless Glass",Enginuity!$A$1="Metal Work"),
      AND(TRIM(B5501)=TRIM(Enginuity!$A$17),TRIM(C5501)=TRIM(Enginuity!$A$18)),
      TRIM(B5501)=TRIM(Enginuity!$A$17)
    )
  ),
  ROW(),
  ""
)</f>
        <v/>
      </c>
    </row>
    <row r="5502" spans="21:21" x14ac:dyDescent="0.25">
      <c r="U5502" s="104" t="str">
        <f>IF(
  AND(
    TRIM(A5502)=TRIM(Enginuity!$A$1),
    TRIM(B5502)=TRIM(Enginuity!$A$17),
    Q5502&lt;&gt;"",
    Q5502&lt;&gt;0,
    OR(
      TRIM(C5502)=TRIM(Enginuity!$A$18),
      AND(UPPER(TRIM(M5502))="STD", TRIM(B5502)=TRIM(Enginuity!$A$17))
    ),
    OR(
      AND(LEFT(P5502,5)="1-Way", Enginuity!$B$13=1),
      AND(LEFT(P5502,5)="2-Way", OR(Enginuity!$B$13=2, Enginuity!$B$13=4)),
      AND(LEFT(P5502,5)="3-Way", OR(Enginuity!$B$13=3, Enginuity!$B$13=6)),
      AND(P5502="Inner Centre Jamb", OR(Enginuity!$B$13=4, Enginuity!$B$13=6)),
      AND(
        LEFT(P5502,5)&lt;&gt;"1-Way",
        LEFT(P5502,5)&lt;&gt;"2-Way",
        LEFT(P5502,5)&lt;&gt;"3-Way",
        P5502&lt;&gt;"Inner Centre Jamb"
      )
    ),
    IF(OR(Enginuity!$A$1="Frameless Glass",Enginuity!$A$1="Metal Work"),
      AND(TRIM(B5502)=TRIM(Enginuity!$A$17),TRIM(C5502)=TRIM(Enginuity!$A$18)),
      TRIM(B5502)=TRIM(Enginuity!$A$17)
    )
  ),
  ROW(),
  ""
)</f>
        <v/>
      </c>
    </row>
    <row r="5503" spans="21:21" x14ac:dyDescent="0.25">
      <c r="U5503" s="104" t="str">
        <f>IF(
  AND(
    TRIM(A5503)=TRIM(Enginuity!$A$1),
    TRIM(B5503)=TRIM(Enginuity!$A$17),
    Q5503&lt;&gt;"",
    Q5503&lt;&gt;0,
    OR(
      TRIM(C5503)=TRIM(Enginuity!$A$18),
      AND(UPPER(TRIM(M5503))="STD", TRIM(B5503)=TRIM(Enginuity!$A$17))
    ),
    OR(
      AND(LEFT(P5503,5)="1-Way", Enginuity!$B$13=1),
      AND(LEFT(P5503,5)="2-Way", OR(Enginuity!$B$13=2, Enginuity!$B$13=4)),
      AND(LEFT(P5503,5)="3-Way", OR(Enginuity!$B$13=3, Enginuity!$B$13=6)),
      AND(P5503="Inner Centre Jamb", OR(Enginuity!$B$13=4, Enginuity!$B$13=6)),
      AND(
        LEFT(P5503,5)&lt;&gt;"1-Way",
        LEFT(P5503,5)&lt;&gt;"2-Way",
        LEFT(P5503,5)&lt;&gt;"3-Way",
        P5503&lt;&gt;"Inner Centre Jamb"
      )
    ),
    IF(OR(Enginuity!$A$1="Frameless Glass",Enginuity!$A$1="Metal Work"),
      AND(TRIM(B5503)=TRIM(Enginuity!$A$17),TRIM(C5503)=TRIM(Enginuity!$A$18)),
      TRIM(B5503)=TRIM(Enginuity!$A$17)
    )
  ),
  ROW(),
  ""
)</f>
        <v/>
      </c>
    </row>
    <row r="5504" spans="21:21" x14ac:dyDescent="0.25">
      <c r="U5504" s="104" t="str">
        <f>IF(
  AND(
    TRIM(A5504)=TRIM(Enginuity!$A$1),
    TRIM(B5504)=TRIM(Enginuity!$A$17),
    Q5504&lt;&gt;"",
    Q5504&lt;&gt;0,
    OR(
      TRIM(C5504)=TRIM(Enginuity!$A$18),
      AND(UPPER(TRIM(M5504))="STD", TRIM(B5504)=TRIM(Enginuity!$A$17))
    ),
    OR(
      AND(LEFT(P5504,5)="1-Way", Enginuity!$B$13=1),
      AND(LEFT(P5504,5)="2-Way", OR(Enginuity!$B$13=2, Enginuity!$B$13=4)),
      AND(LEFT(P5504,5)="3-Way", OR(Enginuity!$B$13=3, Enginuity!$B$13=6)),
      AND(P5504="Inner Centre Jamb", OR(Enginuity!$B$13=4, Enginuity!$B$13=6)),
      AND(
        LEFT(P5504,5)&lt;&gt;"1-Way",
        LEFT(P5504,5)&lt;&gt;"2-Way",
        LEFT(P5504,5)&lt;&gt;"3-Way",
        P5504&lt;&gt;"Inner Centre Jamb"
      )
    ),
    IF(OR(Enginuity!$A$1="Frameless Glass",Enginuity!$A$1="Metal Work"),
      AND(TRIM(B5504)=TRIM(Enginuity!$A$17),TRIM(C5504)=TRIM(Enginuity!$A$18)),
      TRIM(B5504)=TRIM(Enginuity!$A$17)
    )
  ),
  ROW(),
  ""
)</f>
        <v/>
      </c>
    </row>
    <row r="5505" spans="21:21" x14ac:dyDescent="0.25">
      <c r="U5505" s="104" t="str">
        <f>IF(
  AND(
    TRIM(A5505)=TRIM(Enginuity!$A$1),
    TRIM(B5505)=TRIM(Enginuity!$A$17),
    Q5505&lt;&gt;"",
    Q5505&lt;&gt;0,
    OR(
      TRIM(C5505)=TRIM(Enginuity!$A$18),
      AND(UPPER(TRIM(M5505))="STD", TRIM(B5505)=TRIM(Enginuity!$A$17))
    ),
    OR(
      AND(LEFT(P5505,5)="1-Way", Enginuity!$B$13=1),
      AND(LEFT(P5505,5)="2-Way", OR(Enginuity!$B$13=2, Enginuity!$B$13=4)),
      AND(LEFT(P5505,5)="3-Way", OR(Enginuity!$B$13=3, Enginuity!$B$13=6)),
      AND(P5505="Inner Centre Jamb", OR(Enginuity!$B$13=4, Enginuity!$B$13=6)),
      AND(
        LEFT(P5505,5)&lt;&gt;"1-Way",
        LEFT(P5505,5)&lt;&gt;"2-Way",
        LEFT(P5505,5)&lt;&gt;"3-Way",
        P5505&lt;&gt;"Inner Centre Jamb"
      )
    ),
    IF(OR(Enginuity!$A$1="Frameless Glass",Enginuity!$A$1="Metal Work"),
      AND(TRIM(B5505)=TRIM(Enginuity!$A$17),TRIM(C5505)=TRIM(Enginuity!$A$18)),
      TRIM(B5505)=TRIM(Enginuity!$A$17)
    )
  ),
  ROW(),
  ""
)</f>
        <v/>
      </c>
    </row>
    <row r="5506" spans="21:21" x14ac:dyDescent="0.25">
      <c r="U5506" s="104" t="str">
        <f>IF(
  AND(
    TRIM(A5506)=TRIM(Enginuity!$A$1),
    TRIM(B5506)=TRIM(Enginuity!$A$17),
    Q5506&lt;&gt;"",
    Q5506&lt;&gt;0,
    OR(
      TRIM(C5506)=TRIM(Enginuity!$A$18),
      AND(UPPER(TRIM(M5506))="STD", TRIM(B5506)=TRIM(Enginuity!$A$17))
    ),
    OR(
      AND(LEFT(P5506,5)="1-Way", Enginuity!$B$13=1),
      AND(LEFT(P5506,5)="2-Way", OR(Enginuity!$B$13=2, Enginuity!$B$13=4)),
      AND(LEFT(P5506,5)="3-Way", OR(Enginuity!$B$13=3, Enginuity!$B$13=6)),
      AND(P5506="Inner Centre Jamb", OR(Enginuity!$B$13=4, Enginuity!$B$13=6)),
      AND(
        LEFT(P5506,5)&lt;&gt;"1-Way",
        LEFT(P5506,5)&lt;&gt;"2-Way",
        LEFT(P5506,5)&lt;&gt;"3-Way",
        P5506&lt;&gt;"Inner Centre Jamb"
      )
    ),
    IF(OR(Enginuity!$A$1="Frameless Glass",Enginuity!$A$1="Metal Work"),
      AND(TRIM(B5506)=TRIM(Enginuity!$A$17),TRIM(C5506)=TRIM(Enginuity!$A$18)),
      TRIM(B5506)=TRIM(Enginuity!$A$17)
    )
  ),
  ROW(),
  ""
)</f>
        <v/>
      </c>
    </row>
    <row r="5507" spans="21:21" x14ac:dyDescent="0.25">
      <c r="U5507" s="104" t="str">
        <f>IF(
  AND(
    TRIM(A5507)=TRIM(Enginuity!$A$1),
    TRIM(B5507)=TRIM(Enginuity!$A$17),
    Q5507&lt;&gt;"",
    Q5507&lt;&gt;0,
    OR(
      TRIM(C5507)=TRIM(Enginuity!$A$18),
      AND(UPPER(TRIM(M5507))="STD", TRIM(B5507)=TRIM(Enginuity!$A$17))
    ),
    OR(
      AND(LEFT(P5507,5)="1-Way", Enginuity!$B$13=1),
      AND(LEFT(P5507,5)="2-Way", OR(Enginuity!$B$13=2, Enginuity!$B$13=4)),
      AND(LEFT(P5507,5)="3-Way", OR(Enginuity!$B$13=3, Enginuity!$B$13=6)),
      AND(P5507="Inner Centre Jamb", OR(Enginuity!$B$13=4, Enginuity!$B$13=6)),
      AND(
        LEFT(P5507,5)&lt;&gt;"1-Way",
        LEFT(P5507,5)&lt;&gt;"2-Way",
        LEFT(P5507,5)&lt;&gt;"3-Way",
        P5507&lt;&gt;"Inner Centre Jamb"
      )
    ),
    IF(OR(Enginuity!$A$1="Frameless Glass",Enginuity!$A$1="Metal Work"),
      AND(TRIM(B5507)=TRIM(Enginuity!$A$17),TRIM(C5507)=TRIM(Enginuity!$A$18)),
      TRIM(B5507)=TRIM(Enginuity!$A$17)
    )
  ),
  ROW(),
  ""
)</f>
        <v/>
      </c>
    </row>
    <row r="5508" spans="21:21" x14ac:dyDescent="0.25">
      <c r="U5508" s="104" t="str">
        <f>IF(
  AND(
    TRIM(A5508)=TRIM(Enginuity!$A$1),
    TRIM(B5508)=TRIM(Enginuity!$A$17),
    Q5508&lt;&gt;"",
    Q5508&lt;&gt;0,
    OR(
      TRIM(C5508)=TRIM(Enginuity!$A$18),
      AND(UPPER(TRIM(M5508))="STD", TRIM(B5508)=TRIM(Enginuity!$A$17))
    ),
    OR(
      AND(LEFT(P5508,5)="1-Way", Enginuity!$B$13=1),
      AND(LEFT(P5508,5)="2-Way", OR(Enginuity!$B$13=2, Enginuity!$B$13=4)),
      AND(LEFT(P5508,5)="3-Way", OR(Enginuity!$B$13=3, Enginuity!$B$13=6)),
      AND(P5508="Inner Centre Jamb", OR(Enginuity!$B$13=4, Enginuity!$B$13=6)),
      AND(
        LEFT(P5508,5)&lt;&gt;"1-Way",
        LEFT(P5508,5)&lt;&gt;"2-Way",
        LEFT(P5508,5)&lt;&gt;"3-Way",
        P5508&lt;&gt;"Inner Centre Jamb"
      )
    ),
    IF(OR(Enginuity!$A$1="Frameless Glass",Enginuity!$A$1="Metal Work"),
      AND(TRIM(B5508)=TRIM(Enginuity!$A$17),TRIM(C5508)=TRIM(Enginuity!$A$18)),
      TRIM(B5508)=TRIM(Enginuity!$A$17)
    )
  ),
  ROW(),
  ""
)</f>
        <v/>
      </c>
    </row>
    <row r="5509" spans="21:21" x14ac:dyDescent="0.25">
      <c r="U5509" s="104" t="str">
        <f>IF(
  AND(
    TRIM(A5509)=TRIM(Enginuity!$A$1),
    TRIM(B5509)=TRIM(Enginuity!$A$17),
    Q5509&lt;&gt;"",
    Q5509&lt;&gt;0,
    OR(
      TRIM(C5509)=TRIM(Enginuity!$A$18),
      AND(UPPER(TRIM(M5509))="STD", TRIM(B5509)=TRIM(Enginuity!$A$17))
    ),
    OR(
      AND(LEFT(P5509,5)="1-Way", Enginuity!$B$13=1),
      AND(LEFT(P5509,5)="2-Way", OR(Enginuity!$B$13=2, Enginuity!$B$13=4)),
      AND(LEFT(P5509,5)="3-Way", OR(Enginuity!$B$13=3, Enginuity!$B$13=6)),
      AND(P5509="Inner Centre Jamb", OR(Enginuity!$B$13=4, Enginuity!$B$13=6)),
      AND(
        LEFT(P5509,5)&lt;&gt;"1-Way",
        LEFT(P5509,5)&lt;&gt;"2-Way",
        LEFT(P5509,5)&lt;&gt;"3-Way",
        P5509&lt;&gt;"Inner Centre Jamb"
      )
    ),
    IF(OR(Enginuity!$A$1="Frameless Glass",Enginuity!$A$1="Metal Work"),
      AND(TRIM(B5509)=TRIM(Enginuity!$A$17),TRIM(C5509)=TRIM(Enginuity!$A$18)),
      TRIM(B5509)=TRIM(Enginuity!$A$17)
    )
  ),
  ROW(),
  ""
)</f>
        <v/>
      </c>
    </row>
    <row r="5510" spans="21:21" x14ac:dyDescent="0.25">
      <c r="U5510" s="104" t="str">
        <f>IF(
  AND(
    TRIM(A5510)=TRIM(Enginuity!$A$1),
    TRIM(B5510)=TRIM(Enginuity!$A$17),
    Q5510&lt;&gt;"",
    Q5510&lt;&gt;0,
    OR(
      TRIM(C5510)=TRIM(Enginuity!$A$18),
      AND(UPPER(TRIM(M5510))="STD", TRIM(B5510)=TRIM(Enginuity!$A$17))
    ),
    OR(
      AND(LEFT(P5510,5)="1-Way", Enginuity!$B$13=1),
      AND(LEFT(P5510,5)="2-Way", OR(Enginuity!$B$13=2, Enginuity!$B$13=4)),
      AND(LEFT(P5510,5)="3-Way", OR(Enginuity!$B$13=3, Enginuity!$B$13=6)),
      AND(P5510="Inner Centre Jamb", OR(Enginuity!$B$13=4, Enginuity!$B$13=6)),
      AND(
        LEFT(P5510,5)&lt;&gt;"1-Way",
        LEFT(P5510,5)&lt;&gt;"2-Way",
        LEFT(P5510,5)&lt;&gt;"3-Way",
        P5510&lt;&gt;"Inner Centre Jamb"
      )
    ),
    IF(OR(Enginuity!$A$1="Frameless Glass",Enginuity!$A$1="Metal Work"),
      AND(TRIM(B5510)=TRIM(Enginuity!$A$17),TRIM(C5510)=TRIM(Enginuity!$A$18)),
      TRIM(B5510)=TRIM(Enginuity!$A$17)
    )
  ),
  ROW(),
  ""
)</f>
        <v/>
      </c>
    </row>
    <row r="5511" spans="21:21" x14ac:dyDescent="0.25">
      <c r="U5511" s="104" t="str">
        <f>IF(
  AND(
    TRIM(A5511)=TRIM(Enginuity!$A$1),
    TRIM(B5511)=TRIM(Enginuity!$A$17),
    Q5511&lt;&gt;"",
    Q5511&lt;&gt;0,
    OR(
      TRIM(C5511)=TRIM(Enginuity!$A$18),
      AND(UPPER(TRIM(M5511))="STD", TRIM(B5511)=TRIM(Enginuity!$A$17))
    ),
    OR(
      AND(LEFT(P5511,5)="1-Way", Enginuity!$B$13=1),
      AND(LEFT(P5511,5)="2-Way", OR(Enginuity!$B$13=2, Enginuity!$B$13=4)),
      AND(LEFT(P5511,5)="3-Way", OR(Enginuity!$B$13=3, Enginuity!$B$13=6)),
      AND(P5511="Inner Centre Jamb", OR(Enginuity!$B$13=4, Enginuity!$B$13=6)),
      AND(
        LEFT(P5511,5)&lt;&gt;"1-Way",
        LEFT(P5511,5)&lt;&gt;"2-Way",
        LEFT(P5511,5)&lt;&gt;"3-Way",
        P5511&lt;&gt;"Inner Centre Jamb"
      )
    ),
    IF(OR(Enginuity!$A$1="Frameless Glass",Enginuity!$A$1="Metal Work"),
      AND(TRIM(B5511)=TRIM(Enginuity!$A$17),TRIM(C5511)=TRIM(Enginuity!$A$18)),
      TRIM(B5511)=TRIM(Enginuity!$A$17)
    )
  ),
  ROW(),
  ""
)</f>
        <v/>
      </c>
    </row>
    <row r="5512" spans="21:21" x14ac:dyDescent="0.25">
      <c r="U5512" s="104" t="str">
        <f>IF(
  AND(
    TRIM(A5512)=TRIM(Enginuity!$A$1),
    TRIM(B5512)=TRIM(Enginuity!$A$17),
    Q5512&lt;&gt;"",
    Q5512&lt;&gt;0,
    OR(
      TRIM(C5512)=TRIM(Enginuity!$A$18),
      AND(UPPER(TRIM(M5512))="STD", TRIM(B5512)=TRIM(Enginuity!$A$17))
    ),
    OR(
      AND(LEFT(P5512,5)="1-Way", Enginuity!$B$13=1),
      AND(LEFT(P5512,5)="2-Way", OR(Enginuity!$B$13=2, Enginuity!$B$13=4)),
      AND(LEFT(P5512,5)="3-Way", OR(Enginuity!$B$13=3, Enginuity!$B$13=6)),
      AND(P5512="Inner Centre Jamb", OR(Enginuity!$B$13=4, Enginuity!$B$13=6)),
      AND(
        LEFT(P5512,5)&lt;&gt;"1-Way",
        LEFT(P5512,5)&lt;&gt;"2-Way",
        LEFT(P5512,5)&lt;&gt;"3-Way",
        P5512&lt;&gt;"Inner Centre Jamb"
      )
    ),
    IF(OR(Enginuity!$A$1="Frameless Glass",Enginuity!$A$1="Metal Work"),
      AND(TRIM(B5512)=TRIM(Enginuity!$A$17),TRIM(C5512)=TRIM(Enginuity!$A$18)),
      TRIM(B5512)=TRIM(Enginuity!$A$17)
    )
  ),
  ROW(),
  ""
)</f>
        <v/>
      </c>
    </row>
    <row r="5513" spans="21:21" x14ac:dyDescent="0.25">
      <c r="U5513" s="104" t="str">
        <f>IF(
  AND(
    TRIM(A5513)=TRIM(Enginuity!$A$1),
    TRIM(B5513)=TRIM(Enginuity!$A$17),
    Q5513&lt;&gt;"",
    Q5513&lt;&gt;0,
    OR(
      TRIM(C5513)=TRIM(Enginuity!$A$18),
      AND(UPPER(TRIM(M5513))="STD", TRIM(B5513)=TRIM(Enginuity!$A$17))
    ),
    OR(
      AND(LEFT(P5513,5)="1-Way", Enginuity!$B$13=1),
      AND(LEFT(P5513,5)="2-Way", OR(Enginuity!$B$13=2, Enginuity!$B$13=4)),
      AND(LEFT(P5513,5)="3-Way", OR(Enginuity!$B$13=3, Enginuity!$B$13=6)),
      AND(P5513="Inner Centre Jamb", OR(Enginuity!$B$13=4, Enginuity!$B$13=6)),
      AND(
        LEFT(P5513,5)&lt;&gt;"1-Way",
        LEFT(P5513,5)&lt;&gt;"2-Way",
        LEFT(P5513,5)&lt;&gt;"3-Way",
        P5513&lt;&gt;"Inner Centre Jamb"
      )
    ),
    IF(OR(Enginuity!$A$1="Frameless Glass",Enginuity!$A$1="Metal Work"),
      AND(TRIM(B5513)=TRIM(Enginuity!$A$17),TRIM(C5513)=TRIM(Enginuity!$A$18)),
      TRIM(B5513)=TRIM(Enginuity!$A$17)
    )
  ),
  ROW(),
  ""
)</f>
        <v/>
      </c>
    </row>
    <row r="5514" spans="21:21" x14ac:dyDescent="0.25">
      <c r="U5514" s="104" t="str">
        <f>IF(
  AND(
    TRIM(A5514)=TRIM(Enginuity!$A$1),
    TRIM(B5514)=TRIM(Enginuity!$A$17),
    Q5514&lt;&gt;"",
    Q5514&lt;&gt;0,
    OR(
      TRIM(C5514)=TRIM(Enginuity!$A$18),
      AND(UPPER(TRIM(M5514))="STD", TRIM(B5514)=TRIM(Enginuity!$A$17))
    ),
    OR(
      AND(LEFT(P5514,5)="1-Way", Enginuity!$B$13=1),
      AND(LEFT(P5514,5)="2-Way", OR(Enginuity!$B$13=2, Enginuity!$B$13=4)),
      AND(LEFT(P5514,5)="3-Way", OR(Enginuity!$B$13=3, Enginuity!$B$13=6)),
      AND(P5514="Inner Centre Jamb", OR(Enginuity!$B$13=4, Enginuity!$B$13=6)),
      AND(
        LEFT(P5514,5)&lt;&gt;"1-Way",
        LEFT(P5514,5)&lt;&gt;"2-Way",
        LEFT(P5514,5)&lt;&gt;"3-Way",
        P5514&lt;&gt;"Inner Centre Jamb"
      )
    ),
    IF(OR(Enginuity!$A$1="Frameless Glass",Enginuity!$A$1="Metal Work"),
      AND(TRIM(B5514)=TRIM(Enginuity!$A$17),TRIM(C5514)=TRIM(Enginuity!$A$18)),
      TRIM(B5514)=TRIM(Enginuity!$A$17)
    )
  ),
  ROW(),
  ""
)</f>
        <v/>
      </c>
    </row>
    <row r="5515" spans="21:21" x14ac:dyDescent="0.25">
      <c r="U5515" s="104" t="str">
        <f>IF(
  AND(
    TRIM(A5515)=TRIM(Enginuity!$A$1),
    TRIM(B5515)=TRIM(Enginuity!$A$17),
    Q5515&lt;&gt;"",
    Q5515&lt;&gt;0,
    OR(
      TRIM(C5515)=TRIM(Enginuity!$A$18),
      AND(UPPER(TRIM(M5515))="STD", TRIM(B5515)=TRIM(Enginuity!$A$17))
    ),
    OR(
      AND(LEFT(P5515,5)="1-Way", Enginuity!$B$13=1),
      AND(LEFT(P5515,5)="2-Way", OR(Enginuity!$B$13=2, Enginuity!$B$13=4)),
      AND(LEFT(P5515,5)="3-Way", OR(Enginuity!$B$13=3, Enginuity!$B$13=6)),
      AND(P5515="Inner Centre Jamb", OR(Enginuity!$B$13=4, Enginuity!$B$13=6)),
      AND(
        LEFT(P5515,5)&lt;&gt;"1-Way",
        LEFT(P5515,5)&lt;&gt;"2-Way",
        LEFT(P5515,5)&lt;&gt;"3-Way",
        P5515&lt;&gt;"Inner Centre Jamb"
      )
    ),
    IF(OR(Enginuity!$A$1="Frameless Glass",Enginuity!$A$1="Metal Work"),
      AND(TRIM(B5515)=TRIM(Enginuity!$A$17),TRIM(C5515)=TRIM(Enginuity!$A$18)),
      TRIM(B5515)=TRIM(Enginuity!$A$17)
    )
  ),
  ROW(),
  ""
)</f>
        <v/>
      </c>
    </row>
    <row r="5516" spans="21:21" x14ac:dyDescent="0.25">
      <c r="U5516" s="104" t="str">
        <f>IF(
  AND(
    TRIM(A5516)=TRIM(Enginuity!$A$1),
    TRIM(B5516)=TRIM(Enginuity!$A$17),
    Q5516&lt;&gt;"",
    Q5516&lt;&gt;0,
    OR(
      TRIM(C5516)=TRIM(Enginuity!$A$18),
      AND(UPPER(TRIM(M5516))="STD", TRIM(B5516)=TRIM(Enginuity!$A$17))
    ),
    OR(
      AND(LEFT(P5516,5)="1-Way", Enginuity!$B$13=1),
      AND(LEFT(P5516,5)="2-Way", OR(Enginuity!$B$13=2, Enginuity!$B$13=4)),
      AND(LEFT(P5516,5)="3-Way", OR(Enginuity!$B$13=3, Enginuity!$B$13=6)),
      AND(P5516="Inner Centre Jamb", OR(Enginuity!$B$13=4, Enginuity!$B$13=6)),
      AND(
        LEFT(P5516,5)&lt;&gt;"1-Way",
        LEFT(P5516,5)&lt;&gt;"2-Way",
        LEFT(P5516,5)&lt;&gt;"3-Way",
        P5516&lt;&gt;"Inner Centre Jamb"
      )
    ),
    IF(OR(Enginuity!$A$1="Frameless Glass",Enginuity!$A$1="Metal Work"),
      AND(TRIM(B5516)=TRIM(Enginuity!$A$17),TRIM(C5516)=TRIM(Enginuity!$A$18)),
      TRIM(B5516)=TRIM(Enginuity!$A$17)
    )
  ),
  ROW(),
  ""
)</f>
        <v/>
      </c>
    </row>
    <row r="5517" spans="21:21" x14ac:dyDescent="0.25">
      <c r="U5517" s="104" t="str">
        <f>IF(
  AND(
    TRIM(A5517)=TRIM(Enginuity!$A$1),
    TRIM(B5517)=TRIM(Enginuity!$A$17),
    Q5517&lt;&gt;"",
    Q5517&lt;&gt;0,
    OR(
      TRIM(C5517)=TRIM(Enginuity!$A$18),
      AND(UPPER(TRIM(M5517))="STD", TRIM(B5517)=TRIM(Enginuity!$A$17))
    ),
    OR(
      AND(LEFT(P5517,5)="1-Way", Enginuity!$B$13=1),
      AND(LEFT(P5517,5)="2-Way", OR(Enginuity!$B$13=2, Enginuity!$B$13=4)),
      AND(LEFT(P5517,5)="3-Way", OR(Enginuity!$B$13=3, Enginuity!$B$13=6)),
      AND(P5517="Inner Centre Jamb", OR(Enginuity!$B$13=4, Enginuity!$B$13=6)),
      AND(
        LEFT(P5517,5)&lt;&gt;"1-Way",
        LEFT(P5517,5)&lt;&gt;"2-Way",
        LEFT(P5517,5)&lt;&gt;"3-Way",
        P5517&lt;&gt;"Inner Centre Jamb"
      )
    ),
    IF(OR(Enginuity!$A$1="Frameless Glass",Enginuity!$A$1="Metal Work"),
      AND(TRIM(B5517)=TRIM(Enginuity!$A$17),TRIM(C5517)=TRIM(Enginuity!$A$18)),
      TRIM(B5517)=TRIM(Enginuity!$A$17)
    )
  ),
  ROW(),
  ""
)</f>
        <v/>
      </c>
    </row>
    <row r="5518" spans="21:21" x14ac:dyDescent="0.25">
      <c r="U5518" s="104" t="str">
        <f>IF(
  AND(
    TRIM(A5518)=TRIM(Enginuity!$A$1),
    TRIM(B5518)=TRIM(Enginuity!$A$17),
    Q5518&lt;&gt;"",
    Q5518&lt;&gt;0,
    OR(
      TRIM(C5518)=TRIM(Enginuity!$A$18),
      AND(UPPER(TRIM(M5518))="STD", TRIM(B5518)=TRIM(Enginuity!$A$17))
    ),
    OR(
      AND(LEFT(P5518,5)="1-Way", Enginuity!$B$13=1),
      AND(LEFT(P5518,5)="2-Way", OR(Enginuity!$B$13=2, Enginuity!$B$13=4)),
      AND(LEFT(P5518,5)="3-Way", OR(Enginuity!$B$13=3, Enginuity!$B$13=6)),
      AND(P5518="Inner Centre Jamb", OR(Enginuity!$B$13=4, Enginuity!$B$13=6)),
      AND(
        LEFT(P5518,5)&lt;&gt;"1-Way",
        LEFT(P5518,5)&lt;&gt;"2-Way",
        LEFT(P5518,5)&lt;&gt;"3-Way",
        P5518&lt;&gt;"Inner Centre Jamb"
      )
    ),
    IF(OR(Enginuity!$A$1="Frameless Glass",Enginuity!$A$1="Metal Work"),
      AND(TRIM(B5518)=TRIM(Enginuity!$A$17),TRIM(C5518)=TRIM(Enginuity!$A$18)),
      TRIM(B5518)=TRIM(Enginuity!$A$17)
    )
  ),
  ROW(),
  ""
)</f>
        <v/>
      </c>
    </row>
    <row r="5519" spans="21:21" x14ac:dyDescent="0.25">
      <c r="U5519" s="104" t="str">
        <f>IF(
  AND(
    TRIM(A5519)=TRIM(Enginuity!$A$1),
    TRIM(B5519)=TRIM(Enginuity!$A$17),
    Q5519&lt;&gt;"",
    Q5519&lt;&gt;0,
    OR(
      TRIM(C5519)=TRIM(Enginuity!$A$18),
      AND(UPPER(TRIM(M5519))="STD", TRIM(B5519)=TRIM(Enginuity!$A$17))
    ),
    OR(
      AND(LEFT(P5519,5)="1-Way", Enginuity!$B$13=1),
      AND(LEFT(P5519,5)="2-Way", OR(Enginuity!$B$13=2, Enginuity!$B$13=4)),
      AND(LEFT(P5519,5)="3-Way", OR(Enginuity!$B$13=3, Enginuity!$B$13=6)),
      AND(P5519="Inner Centre Jamb", OR(Enginuity!$B$13=4, Enginuity!$B$13=6)),
      AND(
        LEFT(P5519,5)&lt;&gt;"1-Way",
        LEFT(P5519,5)&lt;&gt;"2-Way",
        LEFT(P5519,5)&lt;&gt;"3-Way",
        P5519&lt;&gt;"Inner Centre Jamb"
      )
    ),
    IF(OR(Enginuity!$A$1="Frameless Glass",Enginuity!$A$1="Metal Work"),
      AND(TRIM(B5519)=TRIM(Enginuity!$A$17),TRIM(C5519)=TRIM(Enginuity!$A$18)),
      TRIM(B5519)=TRIM(Enginuity!$A$17)
    )
  ),
  ROW(),
  ""
)</f>
        <v/>
      </c>
    </row>
    <row r="5520" spans="21:21" x14ac:dyDescent="0.25">
      <c r="U5520" s="104" t="str">
        <f>IF(
  AND(
    TRIM(A5520)=TRIM(Enginuity!$A$1),
    TRIM(B5520)=TRIM(Enginuity!$A$17),
    Q5520&lt;&gt;"",
    Q5520&lt;&gt;0,
    OR(
      TRIM(C5520)=TRIM(Enginuity!$A$18),
      AND(UPPER(TRIM(M5520))="STD", TRIM(B5520)=TRIM(Enginuity!$A$17))
    ),
    OR(
      AND(LEFT(P5520,5)="1-Way", Enginuity!$B$13=1),
      AND(LEFT(P5520,5)="2-Way", OR(Enginuity!$B$13=2, Enginuity!$B$13=4)),
      AND(LEFT(P5520,5)="3-Way", OR(Enginuity!$B$13=3, Enginuity!$B$13=6)),
      AND(P5520="Inner Centre Jamb", OR(Enginuity!$B$13=4, Enginuity!$B$13=6)),
      AND(
        LEFT(P5520,5)&lt;&gt;"1-Way",
        LEFT(P5520,5)&lt;&gt;"2-Way",
        LEFT(P5520,5)&lt;&gt;"3-Way",
        P5520&lt;&gt;"Inner Centre Jamb"
      )
    ),
    IF(OR(Enginuity!$A$1="Frameless Glass",Enginuity!$A$1="Metal Work"),
      AND(TRIM(B5520)=TRIM(Enginuity!$A$17),TRIM(C5520)=TRIM(Enginuity!$A$18)),
      TRIM(B5520)=TRIM(Enginuity!$A$17)
    )
  ),
  ROW(),
  ""
)</f>
        <v/>
      </c>
    </row>
    <row r="5521" spans="21:21" x14ac:dyDescent="0.25">
      <c r="U5521" s="104" t="str">
        <f>IF(
  AND(
    TRIM(A5521)=TRIM(Enginuity!$A$1),
    TRIM(B5521)=TRIM(Enginuity!$A$17),
    Q5521&lt;&gt;"",
    Q5521&lt;&gt;0,
    OR(
      TRIM(C5521)=TRIM(Enginuity!$A$18),
      AND(UPPER(TRIM(M5521))="STD", TRIM(B5521)=TRIM(Enginuity!$A$17))
    ),
    OR(
      AND(LEFT(P5521,5)="1-Way", Enginuity!$B$13=1),
      AND(LEFT(P5521,5)="2-Way", OR(Enginuity!$B$13=2, Enginuity!$B$13=4)),
      AND(LEFT(P5521,5)="3-Way", OR(Enginuity!$B$13=3, Enginuity!$B$13=6)),
      AND(P5521="Inner Centre Jamb", OR(Enginuity!$B$13=4, Enginuity!$B$13=6)),
      AND(
        LEFT(P5521,5)&lt;&gt;"1-Way",
        LEFT(P5521,5)&lt;&gt;"2-Way",
        LEFT(P5521,5)&lt;&gt;"3-Way",
        P5521&lt;&gt;"Inner Centre Jamb"
      )
    ),
    IF(OR(Enginuity!$A$1="Frameless Glass",Enginuity!$A$1="Metal Work"),
      AND(TRIM(B5521)=TRIM(Enginuity!$A$17),TRIM(C5521)=TRIM(Enginuity!$A$18)),
      TRIM(B5521)=TRIM(Enginuity!$A$17)
    )
  ),
  ROW(),
  ""
)</f>
        <v/>
      </c>
    </row>
    <row r="5522" spans="21:21" x14ac:dyDescent="0.25">
      <c r="U5522" s="104" t="str">
        <f>IF(
  AND(
    TRIM(A5522)=TRIM(Enginuity!$A$1),
    TRIM(B5522)=TRIM(Enginuity!$A$17),
    Q5522&lt;&gt;"",
    Q5522&lt;&gt;0,
    OR(
      TRIM(C5522)=TRIM(Enginuity!$A$18),
      AND(UPPER(TRIM(M5522))="STD", TRIM(B5522)=TRIM(Enginuity!$A$17))
    ),
    OR(
      AND(LEFT(P5522,5)="1-Way", Enginuity!$B$13=1),
      AND(LEFT(P5522,5)="2-Way", OR(Enginuity!$B$13=2, Enginuity!$B$13=4)),
      AND(LEFT(P5522,5)="3-Way", OR(Enginuity!$B$13=3, Enginuity!$B$13=6)),
      AND(P5522="Inner Centre Jamb", OR(Enginuity!$B$13=4, Enginuity!$B$13=6)),
      AND(
        LEFT(P5522,5)&lt;&gt;"1-Way",
        LEFT(P5522,5)&lt;&gt;"2-Way",
        LEFT(P5522,5)&lt;&gt;"3-Way",
        P5522&lt;&gt;"Inner Centre Jamb"
      )
    ),
    IF(OR(Enginuity!$A$1="Frameless Glass",Enginuity!$A$1="Metal Work"),
      AND(TRIM(B5522)=TRIM(Enginuity!$A$17),TRIM(C5522)=TRIM(Enginuity!$A$18)),
      TRIM(B5522)=TRIM(Enginuity!$A$17)
    )
  ),
  ROW(),
  ""
)</f>
        <v/>
      </c>
    </row>
    <row r="5523" spans="21:21" x14ac:dyDescent="0.25">
      <c r="U5523" s="104" t="str">
        <f>IF(
  AND(
    TRIM(A5523)=TRIM(Enginuity!$A$1),
    TRIM(B5523)=TRIM(Enginuity!$A$17),
    Q5523&lt;&gt;"",
    Q5523&lt;&gt;0,
    OR(
      TRIM(C5523)=TRIM(Enginuity!$A$18),
      AND(UPPER(TRIM(M5523))="STD", TRIM(B5523)=TRIM(Enginuity!$A$17))
    ),
    OR(
      AND(LEFT(P5523,5)="1-Way", Enginuity!$B$13=1),
      AND(LEFT(P5523,5)="2-Way", OR(Enginuity!$B$13=2, Enginuity!$B$13=4)),
      AND(LEFT(P5523,5)="3-Way", OR(Enginuity!$B$13=3, Enginuity!$B$13=6)),
      AND(P5523="Inner Centre Jamb", OR(Enginuity!$B$13=4, Enginuity!$B$13=6)),
      AND(
        LEFT(P5523,5)&lt;&gt;"1-Way",
        LEFT(P5523,5)&lt;&gt;"2-Way",
        LEFT(P5523,5)&lt;&gt;"3-Way",
        P5523&lt;&gt;"Inner Centre Jamb"
      )
    ),
    IF(OR(Enginuity!$A$1="Frameless Glass",Enginuity!$A$1="Metal Work"),
      AND(TRIM(B5523)=TRIM(Enginuity!$A$17),TRIM(C5523)=TRIM(Enginuity!$A$18)),
      TRIM(B5523)=TRIM(Enginuity!$A$17)
    )
  ),
  ROW(),
  ""
)</f>
        <v/>
      </c>
    </row>
    <row r="5524" spans="21:21" x14ac:dyDescent="0.25">
      <c r="U5524" s="104" t="str">
        <f>IF(
  AND(
    TRIM(A5524)=TRIM(Enginuity!$A$1),
    TRIM(B5524)=TRIM(Enginuity!$A$17),
    Q5524&lt;&gt;"",
    Q5524&lt;&gt;0,
    OR(
      TRIM(C5524)=TRIM(Enginuity!$A$18),
      AND(UPPER(TRIM(M5524))="STD", TRIM(B5524)=TRIM(Enginuity!$A$17))
    ),
    OR(
      AND(LEFT(P5524,5)="1-Way", Enginuity!$B$13=1),
      AND(LEFT(P5524,5)="2-Way", OR(Enginuity!$B$13=2, Enginuity!$B$13=4)),
      AND(LEFT(P5524,5)="3-Way", OR(Enginuity!$B$13=3, Enginuity!$B$13=6)),
      AND(P5524="Inner Centre Jamb", OR(Enginuity!$B$13=4, Enginuity!$B$13=6)),
      AND(
        LEFT(P5524,5)&lt;&gt;"1-Way",
        LEFT(P5524,5)&lt;&gt;"2-Way",
        LEFT(P5524,5)&lt;&gt;"3-Way",
        P5524&lt;&gt;"Inner Centre Jamb"
      )
    ),
    IF(OR(Enginuity!$A$1="Frameless Glass",Enginuity!$A$1="Metal Work"),
      AND(TRIM(B5524)=TRIM(Enginuity!$A$17),TRIM(C5524)=TRIM(Enginuity!$A$18)),
      TRIM(B5524)=TRIM(Enginuity!$A$17)
    )
  ),
  ROW(),
  ""
)</f>
        <v/>
      </c>
    </row>
    <row r="5525" spans="21:21" x14ac:dyDescent="0.25">
      <c r="U5525" s="104" t="str">
        <f>IF(
  AND(
    TRIM(A5525)=TRIM(Enginuity!$A$1),
    TRIM(B5525)=TRIM(Enginuity!$A$17),
    Q5525&lt;&gt;"",
    Q5525&lt;&gt;0,
    OR(
      TRIM(C5525)=TRIM(Enginuity!$A$18),
      AND(UPPER(TRIM(M5525))="STD", TRIM(B5525)=TRIM(Enginuity!$A$17))
    ),
    OR(
      AND(LEFT(P5525,5)="1-Way", Enginuity!$B$13=1),
      AND(LEFT(P5525,5)="2-Way", OR(Enginuity!$B$13=2, Enginuity!$B$13=4)),
      AND(LEFT(P5525,5)="3-Way", OR(Enginuity!$B$13=3, Enginuity!$B$13=6)),
      AND(P5525="Inner Centre Jamb", OR(Enginuity!$B$13=4, Enginuity!$B$13=6)),
      AND(
        LEFT(P5525,5)&lt;&gt;"1-Way",
        LEFT(P5525,5)&lt;&gt;"2-Way",
        LEFT(P5525,5)&lt;&gt;"3-Way",
        P5525&lt;&gt;"Inner Centre Jamb"
      )
    ),
    IF(OR(Enginuity!$A$1="Frameless Glass",Enginuity!$A$1="Metal Work"),
      AND(TRIM(B5525)=TRIM(Enginuity!$A$17),TRIM(C5525)=TRIM(Enginuity!$A$18)),
      TRIM(B5525)=TRIM(Enginuity!$A$17)
    )
  ),
  ROW(),
  ""
)</f>
        <v/>
      </c>
    </row>
    <row r="5526" spans="21:21" x14ac:dyDescent="0.25">
      <c r="U5526" s="104" t="str">
        <f>IF(
  AND(
    TRIM(A5526)=TRIM(Enginuity!$A$1),
    TRIM(B5526)=TRIM(Enginuity!$A$17),
    Q5526&lt;&gt;"",
    Q5526&lt;&gt;0,
    OR(
      TRIM(C5526)=TRIM(Enginuity!$A$18),
      AND(UPPER(TRIM(M5526))="STD", TRIM(B5526)=TRIM(Enginuity!$A$17))
    ),
    OR(
      AND(LEFT(P5526,5)="1-Way", Enginuity!$B$13=1),
      AND(LEFT(P5526,5)="2-Way", OR(Enginuity!$B$13=2, Enginuity!$B$13=4)),
      AND(LEFT(P5526,5)="3-Way", OR(Enginuity!$B$13=3, Enginuity!$B$13=6)),
      AND(P5526="Inner Centre Jamb", OR(Enginuity!$B$13=4, Enginuity!$B$13=6)),
      AND(
        LEFT(P5526,5)&lt;&gt;"1-Way",
        LEFT(P5526,5)&lt;&gt;"2-Way",
        LEFT(P5526,5)&lt;&gt;"3-Way",
        P5526&lt;&gt;"Inner Centre Jamb"
      )
    ),
    IF(OR(Enginuity!$A$1="Frameless Glass",Enginuity!$A$1="Metal Work"),
      AND(TRIM(B5526)=TRIM(Enginuity!$A$17),TRIM(C5526)=TRIM(Enginuity!$A$18)),
      TRIM(B5526)=TRIM(Enginuity!$A$17)
    )
  ),
  ROW(),
  ""
)</f>
        <v/>
      </c>
    </row>
    <row r="5527" spans="21:21" x14ac:dyDescent="0.25">
      <c r="U5527" s="104" t="str">
        <f>IF(
  AND(
    TRIM(A5527)=TRIM(Enginuity!$A$1),
    TRIM(B5527)=TRIM(Enginuity!$A$17),
    Q5527&lt;&gt;"",
    Q5527&lt;&gt;0,
    OR(
      TRIM(C5527)=TRIM(Enginuity!$A$18),
      AND(UPPER(TRIM(M5527))="STD", TRIM(B5527)=TRIM(Enginuity!$A$17))
    ),
    OR(
      AND(LEFT(P5527,5)="1-Way", Enginuity!$B$13=1),
      AND(LEFT(P5527,5)="2-Way", OR(Enginuity!$B$13=2, Enginuity!$B$13=4)),
      AND(LEFT(P5527,5)="3-Way", OR(Enginuity!$B$13=3, Enginuity!$B$13=6)),
      AND(P5527="Inner Centre Jamb", OR(Enginuity!$B$13=4, Enginuity!$B$13=6)),
      AND(
        LEFT(P5527,5)&lt;&gt;"1-Way",
        LEFT(P5527,5)&lt;&gt;"2-Way",
        LEFT(P5527,5)&lt;&gt;"3-Way",
        P5527&lt;&gt;"Inner Centre Jamb"
      )
    ),
    IF(OR(Enginuity!$A$1="Frameless Glass",Enginuity!$A$1="Metal Work"),
      AND(TRIM(B5527)=TRIM(Enginuity!$A$17),TRIM(C5527)=TRIM(Enginuity!$A$18)),
      TRIM(B5527)=TRIM(Enginuity!$A$17)
    )
  ),
  ROW(),
  ""
)</f>
        <v/>
      </c>
    </row>
    <row r="5528" spans="21:21" x14ac:dyDescent="0.25">
      <c r="U5528" s="104" t="str">
        <f>IF(
  AND(
    TRIM(A5528)=TRIM(Enginuity!$A$1),
    TRIM(B5528)=TRIM(Enginuity!$A$17),
    Q5528&lt;&gt;"",
    Q5528&lt;&gt;0,
    OR(
      TRIM(C5528)=TRIM(Enginuity!$A$18),
      AND(UPPER(TRIM(M5528))="STD", TRIM(B5528)=TRIM(Enginuity!$A$17))
    ),
    OR(
      AND(LEFT(P5528,5)="1-Way", Enginuity!$B$13=1),
      AND(LEFT(P5528,5)="2-Way", OR(Enginuity!$B$13=2, Enginuity!$B$13=4)),
      AND(LEFT(P5528,5)="3-Way", OR(Enginuity!$B$13=3, Enginuity!$B$13=6)),
      AND(P5528="Inner Centre Jamb", OR(Enginuity!$B$13=4, Enginuity!$B$13=6)),
      AND(
        LEFT(P5528,5)&lt;&gt;"1-Way",
        LEFT(P5528,5)&lt;&gt;"2-Way",
        LEFT(P5528,5)&lt;&gt;"3-Way",
        P5528&lt;&gt;"Inner Centre Jamb"
      )
    ),
    IF(OR(Enginuity!$A$1="Frameless Glass",Enginuity!$A$1="Metal Work"),
      AND(TRIM(B5528)=TRIM(Enginuity!$A$17),TRIM(C5528)=TRIM(Enginuity!$A$18)),
      TRIM(B5528)=TRIM(Enginuity!$A$17)
    )
  ),
  ROW(),
  ""
)</f>
        <v/>
      </c>
    </row>
    <row r="5529" spans="21:21" x14ac:dyDescent="0.25">
      <c r="U5529" s="104" t="str">
        <f>IF(
  AND(
    TRIM(A5529)=TRIM(Enginuity!$A$1),
    TRIM(B5529)=TRIM(Enginuity!$A$17),
    Q5529&lt;&gt;"",
    Q5529&lt;&gt;0,
    OR(
      TRIM(C5529)=TRIM(Enginuity!$A$18),
      AND(UPPER(TRIM(M5529))="STD", TRIM(B5529)=TRIM(Enginuity!$A$17))
    ),
    OR(
      AND(LEFT(P5529,5)="1-Way", Enginuity!$B$13=1),
      AND(LEFT(P5529,5)="2-Way", OR(Enginuity!$B$13=2, Enginuity!$B$13=4)),
      AND(LEFT(P5529,5)="3-Way", OR(Enginuity!$B$13=3, Enginuity!$B$13=6)),
      AND(P5529="Inner Centre Jamb", OR(Enginuity!$B$13=4, Enginuity!$B$13=6)),
      AND(
        LEFT(P5529,5)&lt;&gt;"1-Way",
        LEFT(P5529,5)&lt;&gt;"2-Way",
        LEFT(P5529,5)&lt;&gt;"3-Way",
        P5529&lt;&gt;"Inner Centre Jamb"
      )
    ),
    IF(OR(Enginuity!$A$1="Frameless Glass",Enginuity!$A$1="Metal Work"),
      AND(TRIM(B5529)=TRIM(Enginuity!$A$17),TRIM(C5529)=TRIM(Enginuity!$A$18)),
      TRIM(B5529)=TRIM(Enginuity!$A$17)
    )
  ),
  ROW(),
  ""
)</f>
        <v/>
      </c>
    </row>
    <row r="5530" spans="21:21" x14ac:dyDescent="0.25">
      <c r="U5530" s="104" t="str">
        <f>IF(
  AND(
    TRIM(A5530)=TRIM(Enginuity!$A$1),
    TRIM(B5530)=TRIM(Enginuity!$A$17),
    Q5530&lt;&gt;"",
    Q5530&lt;&gt;0,
    OR(
      TRIM(C5530)=TRIM(Enginuity!$A$18),
      AND(UPPER(TRIM(M5530))="STD", TRIM(B5530)=TRIM(Enginuity!$A$17))
    ),
    OR(
      AND(LEFT(P5530,5)="1-Way", Enginuity!$B$13=1),
      AND(LEFT(P5530,5)="2-Way", OR(Enginuity!$B$13=2, Enginuity!$B$13=4)),
      AND(LEFT(P5530,5)="3-Way", OR(Enginuity!$B$13=3, Enginuity!$B$13=6)),
      AND(P5530="Inner Centre Jamb", OR(Enginuity!$B$13=4, Enginuity!$B$13=6)),
      AND(
        LEFT(P5530,5)&lt;&gt;"1-Way",
        LEFT(P5530,5)&lt;&gt;"2-Way",
        LEFT(P5530,5)&lt;&gt;"3-Way",
        P5530&lt;&gt;"Inner Centre Jamb"
      )
    ),
    IF(OR(Enginuity!$A$1="Frameless Glass",Enginuity!$A$1="Metal Work"),
      AND(TRIM(B5530)=TRIM(Enginuity!$A$17),TRIM(C5530)=TRIM(Enginuity!$A$18)),
      TRIM(B5530)=TRIM(Enginuity!$A$17)
    )
  ),
  ROW(),
  ""
)</f>
        <v/>
      </c>
    </row>
    <row r="5531" spans="21:21" x14ac:dyDescent="0.25">
      <c r="U5531" s="104" t="str">
        <f>IF(
  AND(
    TRIM(A5531)=TRIM(Enginuity!$A$1),
    TRIM(B5531)=TRIM(Enginuity!$A$17),
    Q5531&lt;&gt;"",
    Q5531&lt;&gt;0,
    OR(
      TRIM(C5531)=TRIM(Enginuity!$A$18),
      AND(UPPER(TRIM(M5531))="STD", TRIM(B5531)=TRIM(Enginuity!$A$17))
    ),
    OR(
      AND(LEFT(P5531,5)="1-Way", Enginuity!$B$13=1),
      AND(LEFT(P5531,5)="2-Way", OR(Enginuity!$B$13=2, Enginuity!$B$13=4)),
      AND(LEFT(P5531,5)="3-Way", OR(Enginuity!$B$13=3, Enginuity!$B$13=6)),
      AND(P5531="Inner Centre Jamb", OR(Enginuity!$B$13=4, Enginuity!$B$13=6)),
      AND(
        LEFT(P5531,5)&lt;&gt;"1-Way",
        LEFT(P5531,5)&lt;&gt;"2-Way",
        LEFT(P5531,5)&lt;&gt;"3-Way",
        P5531&lt;&gt;"Inner Centre Jamb"
      )
    ),
    IF(OR(Enginuity!$A$1="Frameless Glass",Enginuity!$A$1="Metal Work"),
      AND(TRIM(B5531)=TRIM(Enginuity!$A$17),TRIM(C5531)=TRIM(Enginuity!$A$18)),
      TRIM(B5531)=TRIM(Enginuity!$A$17)
    )
  ),
  ROW(),
  ""
)</f>
        <v/>
      </c>
    </row>
    <row r="5532" spans="21:21" x14ac:dyDescent="0.25">
      <c r="U5532" s="104" t="str">
        <f>IF(
  AND(
    TRIM(A5532)=TRIM(Enginuity!$A$1),
    TRIM(B5532)=TRIM(Enginuity!$A$17),
    Q5532&lt;&gt;"",
    Q5532&lt;&gt;0,
    OR(
      TRIM(C5532)=TRIM(Enginuity!$A$18),
      AND(UPPER(TRIM(M5532))="STD", TRIM(B5532)=TRIM(Enginuity!$A$17))
    ),
    OR(
      AND(LEFT(P5532,5)="1-Way", Enginuity!$B$13=1),
      AND(LEFT(P5532,5)="2-Way", OR(Enginuity!$B$13=2, Enginuity!$B$13=4)),
      AND(LEFT(P5532,5)="3-Way", OR(Enginuity!$B$13=3, Enginuity!$B$13=6)),
      AND(P5532="Inner Centre Jamb", OR(Enginuity!$B$13=4, Enginuity!$B$13=6)),
      AND(
        LEFT(P5532,5)&lt;&gt;"1-Way",
        LEFT(P5532,5)&lt;&gt;"2-Way",
        LEFT(P5532,5)&lt;&gt;"3-Way",
        P5532&lt;&gt;"Inner Centre Jamb"
      )
    ),
    IF(OR(Enginuity!$A$1="Frameless Glass",Enginuity!$A$1="Metal Work"),
      AND(TRIM(B5532)=TRIM(Enginuity!$A$17),TRIM(C5532)=TRIM(Enginuity!$A$18)),
      TRIM(B5532)=TRIM(Enginuity!$A$17)
    )
  ),
  ROW(),
  ""
)</f>
        <v/>
      </c>
    </row>
    <row r="5533" spans="21:21" x14ac:dyDescent="0.25">
      <c r="U5533" s="104" t="str">
        <f>IF(
  AND(
    TRIM(A5533)=TRIM(Enginuity!$A$1),
    TRIM(B5533)=TRIM(Enginuity!$A$17),
    Q5533&lt;&gt;"",
    Q5533&lt;&gt;0,
    OR(
      TRIM(C5533)=TRIM(Enginuity!$A$18),
      AND(UPPER(TRIM(M5533))="STD", TRIM(B5533)=TRIM(Enginuity!$A$17))
    ),
    OR(
      AND(LEFT(P5533,5)="1-Way", Enginuity!$B$13=1),
      AND(LEFT(P5533,5)="2-Way", OR(Enginuity!$B$13=2, Enginuity!$B$13=4)),
      AND(LEFT(P5533,5)="3-Way", OR(Enginuity!$B$13=3, Enginuity!$B$13=6)),
      AND(P5533="Inner Centre Jamb", OR(Enginuity!$B$13=4, Enginuity!$B$13=6)),
      AND(
        LEFT(P5533,5)&lt;&gt;"1-Way",
        LEFT(P5533,5)&lt;&gt;"2-Way",
        LEFT(P5533,5)&lt;&gt;"3-Way",
        P5533&lt;&gt;"Inner Centre Jamb"
      )
    ),
    IF(OR(Enginuity!$A$1="Frameless Glass",Enginuity!$A$1="Metal Work"),
      AND(TRIM(B5533)=TRIM(Enginuity!$A$17),TRIM(C5533)=TRIM(Enginuity!$A$18)),
      TRIM(B5533)=TRIM(Enginuity!$A$17)
    )
  ),
  ROW(),
  ""
)</f>
        <v/>
      </c>
    </row>
    <row r="5534" spans="21:21" x14ac:dyDescent="0.25">
      <c r="U5534" s="104" t="str">
        <f>IF(
  AND(
    TRIM(A5534)=TRIM(Enginuity!$A$1),
    TRIM(B5534)=TRIM(Enginuity!$A$17),
    Q5534&lt;&gt;"",
    Q5534&lt;&gt;0,
    OR(
      TRIM(C5534)=TRIM(Enginuity!$A$18),
      AND(UPPER(TRIM(M5534))="STD", TRIM(B5534)=TRIM(Enginuity!$A$17))
    ),
    OR(
      AND(LEFT(P5534,5)="1-Way", Enginuity!$B$13=1),
      AND(LEFT(P5534,5)="2-Way", OR(Enginuity!$B$13=2, Enginuity!$B$13=4)),
      AND(LEFT(P5534,5)="3-Way", OR(Enginuity!$B$13=3, Enginuity!$B$13=6)),
      AND(P5534="Inner Centre Jamb", OR(Enginuity!$B$13=4, Enginuity!$B$13=6)),
      AND(
        LEFT(P5534,5)&lt;&gt;"1-Way",
        LEFT(P5534,5)&lt;&gt;"2-Way",
        LEFT(P5534,5)&lt;&gt;"3-Way",
        P5534&lt;&gt;"Inner Centre Jamb"
      )
    ),
    IF(OR(Enginuity!$A$1="Frameless Glass",Enginuity!$A$1="Metal Work"),
      AND(TRIM(B5534)=TRIM(Enginuity!$A$17),TRIM(C5534)=TRIM(Enginuity!$A$18)),
      TRIM(B5534)=TRIM(Enginuity!$A$17)
    )
  ),
  ROW(),
  ""
)</f>
        <v/>
      </c>
    </row>
    <row r="5535" spans="21:21" x14ac:dyDescent="0.25">
      <c r="U5535" s="104" t="str">
        <f>IF(
  AND(
    TRIM(A5535)=TRIM(Enginuity!$A$1),
    TRIM(B5535)=TRIM(Enginuity!$A$17),
    Q5535&lt;&gt;"",
    Q5535&lt;&gt;0,
    OR(
      TRIM(C5535)=TRIM(Enginuity!$A$18),
      AND(UPPER(TRIM(M5535))="STD", TRIM(B5535)=TRIM(Enginuity!$A$17))
    ),
    OR(
      AND(LEFT(P5535,5)="1-Way", Enginuity!$B$13=1),
      AND(LEFT(P5535,5)="2-Way", OR(Enginuity!$B$13=2, Enginuity!$B$13=4)),
      AND(LEFT(P5535,5)="3-Way", OR(Enginuity!$B$13=3, Enginuity!$B$13=6)),
      AND(P5535="Inner Centre Jamb", OR(Enginuity!$B$13=4, Enginuity!$B$13=6)),
      AND(
        LEFT(P5535,5)&lt;&gt;"1-Way",
        LEFT(P5535,5)&lt;&gt;"2-Way",
        LEFT(P5535,5)&lt;&gt;"3-Way",
        P5535&lt;&gt;"Inner Centre Jamb"
      )
    ),
    IF(OR(Enginuity!$A$1="Frameless Glass",Enginuity!$A$1="Metal Work"),
      AND(TRIM(B5535)=TRIM(Enginuity!$A$17),TRIM(C5535)=TRIM(Enginuity!$A$18)),
      TRIM(B5535)=TRIM(Enginuity!$A$17)
    )
  ),
  ROW(),
  ""
)</f>
        <v/>
      </c>
    </row>
    <row r="5536" spans="21:21" x14ac:dyDescent="0.25">
      <c r="U5536" s="104" t="str">
        <f>IF(
  AND(
    TRIM(A5536)=TRIM(Enginuity!$A$1),
    TRIM(B5536)=TRIM(Enginuity!$A$17),
    Q5536&lt;&gt;"",
    Q5536&lt;&gt;0,
    OR(
      TRIM(C5536)=TRIM(Enginuity!$A$18),
      AND(UPPER(TRIM(M5536))="STD", TRIM(B5536)=TRIM(Enginuity!$A$17))
    ),
    OR(
      AND(LEFT(P5536,5)="1-Way", Enginuity!$B$13=1),
      AND(LEFT(P5536,5)="2-Way", OR(Enginuity!$B$13=2, Enginuity!$B$13=4)),
      AND(LEFT(P5536,5)="3-Way", OR(Enginuity!$B$13=3, Enginuity!$B$13=6)),
      AND(P5536="Inner Centre Jamb", OR(Enginuity!$B$13=4, Enginuity!$B$13=6)),
      AND(
        LEFT(P5536,5)&lt;&gt;"1-Way",
        LEFT(P5536,5)&lt;&gt;"2-Way",
        LEFT(P5536,5)&lt;&gt;"3-Way",
        P5536&lt;&gt;"Inner Centre Jamb"
      )
    ),
    IF(OR(Enginuity!$A$1="Frameless Glass",Enginuity!$A$1="Metal Work"),
      AND(TRIM(B5536)=TRIM(Enginuity!$A$17),TRIM(C5536)=TRIM(Enginuity!$A$18)),
      TRIM(B5536)=TRIM(Enginuity!$A$17)
    )
  ),
  ROW(),
  ""
)</f>
        <v/>
      </c>
    </row>
    <row r="5537" spans="21:21" x14ac:dyDescent="0.25">
      <c r="U5537" s="104" t="str">
        <f>IF(
  AND(
    TRIM(A5537)=TRIM(Enginuity!$A$1),
    TRIM(B5537)=TRIM(Enginuity!$A$17),
    Q5537&lt;&gt;"",
    Q5537&lt;&gt;0,
    OR(
      TRIM(C5537)=TRIM(Enginuity!$A$18),
      AND(UPPER(TRIM(M5537))="STD", TRIM(B5537)=TRIM(Enginuity!$A$17))
    ),
    OR(
      AND(LEFT(P5537,5)="1-Way", Enginuity!$B$13=1),
      AND(LEFT(P5537,5)="2-Way", OR(Enginuity!$B$13=2, Enginuity!$B$13=4)),
      AND(LEFT(P5537,5)="3-Way", OR(Enginuity!$B$13=3, Enginuity!$B$13=6)),
      AND(P5537="Inner Centre Jamb", OR(Enginuity!$B$13=4, Enginuity!$B$13=6)),
      AND(
        LEFT(P5537,5)&lt;&gt;"1-Way",
        LEFT(P5537,5)&lt;&gt;"2-Way",
        LEFT(P5537,5)&lt;&gt;"3-Way",
        P5537&lt;&gt;"Inner Centre Jamb"
      )
    ),
    IF(OR(Enginuity!$A$1="Frameless Glass",Enginuity!$A$1="Metal Work"),
      AND(TRIM(B5537)=TRIM(Enginuity!$A$17),TRIM(C5537)=TRIM(Enginuity!$A$18)),
      TRIM(B5537)=TRIM(Enginuity!$A$17)
    )
  ),
  ROW(),
  ""
)</f>
        <v/>
      </c>
    </row>
    <row r="5538" spans="21:21" x14ac:dyDescent="0.25">
      <c r="U5538" s="104" t="str">
        <f>IF(
  AND(
    TRIM(A5538)=TRIM(Enginuity!$A$1),
    TRIM(B5538)=TRIM(Enginuity!$A$17),
    Q5538&lt;&gt;"",
    Q5538&lt;&gt;0,
    OR(
      TRIM(C5538)=TRIM(Enginuity!$A$18),
      AND(UPPER(TRIM(M5538))="STD", TRIM(B5538)=TRIM(Enginuity!$A$17))
    ),
    OR(
      AND(LEFT(P5538,5)="1-Way", Enginuity!$B$13=1),
      AND(LEFT(P5538,5)="2-Way", OR(Enginuity!$B$13=2, Enginuity!$B$13=4)),
      AND(LEFT(P5538,5)="3-Way", OR(Enginuity!$B$13=3, Enginuity!$B$13=6)),
      AND(P5538="Inner Centre Jamb", OR(Enginuity!$B$13=4, Enginuity!$B$13=6)),
      AND(
        LEFT(P5538,5)&lt;&gt;"1-Way",
        LEFT(P5538,5)&lt;&gt;"2-Way",
        LEFT(P5538,5)&lt;&gt;"3-Way",
        P5538&lt;&gt;"Inner Centre Jamb"
      )
    ),
    IF(OR(Enginuity!$A$1="Frameless Glass",Enginuity!$A$1="Metal Work"),
      AND(TRIM(B5538)=TRIM(Enginuity!$A$17),TRIM(C5538)=TRIM(Enginuity!$A$18)),
      TRIM(B5538)=TRIM(Enginuity!$A$17)
    )
  ),
  ROW(),
  ""
)</f>
        <v/>
      </c>
    </row>
    <row r="5539" spans="21:21" x14ac:dyDescent="0.25">
      <c r="U5539" s="104" t="str">
        <f>IF(
  AND(
    TRIM(A5539)=TRIM(Enginuity!$A$1),
    TRIM(B5539)=TRIM(Enginuity!$A$17),
    Q5539&lt;&gt;"",
    Q5539&lt;&gt;0,
    OR(
      TRIM(C5539)=TRIM(Enginuity!$A$18),
      AND(UPPER(TRIM(M5539))="STD", TRIM(B5539)=TRIM(Enginuity!$A$17))
    ),
    OR(
      AND(LEFT(P5539,5)="1-Way", Enginuity!$B$13=1),
      AND(LEFT(P5539,5)="2-Way", OR(Enginuity!$B$13=2, Enginuity!$B$13=4)),
      AND(LEFT(P5539,5)="3-Way", OR(Enginuity!$B$13=3, Enginuity!$B$13=6)),
      AND(P5539="Inner Centre Jamb", OR(Enginuity!$B$13=4, Enginuity!$B$13=6)),
      AND(
        LEFT(P5539,5)&lt;&gt;"1-Way",
        LEFT(P5539,5)&lt;&gt;"2-Way",
        LEFT(P5539,5)&lt;&gt;"3-Way",
        P5539&lt;&gt;"Inner Centre Jamb"
      )
    ),
    IF(OR(Enginuity!$A$1="Frameless Glass",Enginuity!$A$1="Metal Work"),
      AND(TRIM(B5539)=TRIM(Enginuity!$A$17),TRIM(C5539)=TRIM(Enginuity!$A$18)),
      TRIM(B5539)=TRIM(Enginuity!$A$17)
    )
  ),
  ROW(),
  ""
)</f>
        <v/>
      </c>
    </row>
    <row r="5540" spans="21:21" x14ac:dyDescent="0.25">
      <c r="U5540" s="104" t="str">
        <f>IF(
  AND(
    TRIM(A5540)=TRIM(Enginuity!$A$1),
    TRIM(B5540)=TRIM(Enginuity!$A$17),
    Q5540&lt;&gt;"",
    Q5540&lt;&gt;0,
    OR(
      TRIM(C5540)=TRIM(Enginuity!$A$18),
      AND(UPPER(TRIM(M5540))="STD", TRIM(B5540)=TRIM(Enginuity!$A$17))
    ),
    OR(
      AND(LEFT(P5540,5)="1-Way", Enginuity!$B$13=1),
      AND(LEFT(P5540,5)="2-Way", OR(Enginuity!$B$13=2, Enginuity!$B$13=4)),
      AND(LEFT(P5540,5)="3-Way", OR(Enginuity!$B$13=3, Enginuity!$B$13=6)),
      AND(P5540="Inner Centre Jamb", OR(Enginuity!$B$13=4, Enginuity!$B$13=6)),
      AND(
        LEFT(P5540,5)&lt;&gt;"1-Way",
        LEFT(P5540,5)&lt;&gt;"2-Way",
        LEFT(P5540,5)&lt;&gt;"3-Way",
        P5540&lt;&gt;"Inner Centre Jamb"
      )
    ),
    IF(OR(Enginuity!$A$1="Frameless Glass",Enginuity!$A$1="Metal Work"),
      AND(TRIM(B5540)=TRIM(Enginuity!$A$17),TRIM(C5540)=TRIM(Enginuity!$A$18)),
      TRIM(B5540)=TRIM(Enginuity!$A$17)
    )
  ),
  ROW(),
  ""
)</f>
        <v/>
      </c>
    </row>
    <row r="5541" spans="21:21" x14ac:dyDescent="0.25">
      <c r="U5541" s="104" t="str">
        <f>IF(
  AND(
    TRIM(A5541)=TRIM(Enginuity!$A$1),
    TRIM(B5541)=TRIM(Enginuity!$A$17),
    Q5541&lt;&gt;"",
    Q5541&lt;&gt;0,
    OR(
      TRIM(C5541)=TRIM(Enginuity!$A$18),
      AND(UPPER(TRIM(M5541))="STD", TRIM(B5541)=TRIM(Enginuity!$A$17))
    ),
    OR(
      AND(LEFT(P5541,5)="1-Way", Enginuity!$B$13=1),
      AND(LEFT(P5541,5)="2-Way", OR(Enginuity!$B$13=2, Enginuity!$B$13=4)),
      AND(LEFT(P5541,5)="3-Way", OR(Enginuity!$B$13=3, Enginuity!$B$13=6)),
      AND(P5541="Inner Centre Jamb", OR(Enginuity!$B$13=4, Enginuity!$B$13=6)),
      AND(
        LEFT(P5541,5)&lt;&gt;"1-Way",
        LEFT(P5541,5)&lt;&gt;"2-Way",
        LEFT(P5541,5)&lt;&gt;"3-Way",
        P5541&lt;&gt;"Inner Centre Jamb"
      )
    ),
    IF(OR(Enginuity!$A$1="Frameless Glass",Enginuity!$A$1="Metal Work"),
      AND(TRIM(B5541)=TRIM(Enginuity!$A$17),TRIM(C5541)=TRIM(Enginuity!$A$18)),
      TRIM(B5541)=TRIM(Enginuity!$A$17)
    )
  ),
  ROW(),
  ""
)</f>
        <v/>
      </c>
    </row>
    <row r="5542" spans="21:21" x14ac:dyDescent="0.25">
      <c r="U5542" s="104" t="str">
        <f>IF(
  AND(
    TRIM(A5542)=TRIM(Enginuity!$A$1),
    TRIM(B5542)=TRIM(Enginuity!$A$17),
    Q5542&lt;&gt;"",
    Q5542&lt;&gt;0,
    OR(
      TRIM(C5542)=TRIM(Enginuity!$A$18),
      AND(UPPER(TRIM(M5542))="STD", TRIM(B5542)=TRIM(Enginuity!$A$17))
    ),
    OR(
      AND(LEFT(P5542,5)="1-Way", Enginuity!$B$13=1),
      AND(LEFT(P5542,5)="2-Way", OR(Enginuity!$B$13=2, Enginuity!$B$13=4)),
      AND(LEFT(P5542,5)="3-Way", OR(Enginuity!$B$13=3, Enginuity!$B$13=6)),
      AND(P5542="Inner Centre Jamb", OR(Enginuity!$B$13=4, Enginuity!$B$13=6)),
      AND(
        LEFT(P5542,5)&lt;&gt;"1-Way",
        LEFT(P5542,5)&lt;&gt;"2-Way",
        LEFT(P5542,5)&lt;&gt;"3-Way",
        P5542&lt;&gt;"Inner Centre Jamb"
      )
    ),
    IF(OR(Enginuity!$A$1="Frameless Glass",Enginuity!$A$1="Metal Work"),
      AND(TRIM(B5542)=TRIM(Enginuity!$A$17),TRIM(C5542)=TRIM(Enginuity!$A$18)),
      TRIM(B5542)=TRIM(Enginuity!$A$17)
    )
  ),
  ROW(),
  ""
)</f>
        <v/>
      </c>
    </row>
    <row r="5543" spans="21:21" x14ac:dyDescent="0.25">
      <c r="U5543" s="104" t="str">
        <f>IF(
  AND(
    TRIM(A5543)=TRIM(Enginuity!$A$1),
    TRIM(B5543)=TRIM(Enginuity!$A$17),
    Q5543&lt;&gt;"",
    Q5543&lt;&gt;0,
    OR(
      TRIM(C5543)=TRIM(Enginuity!$A$18),
      AND(UPPER(TRIM(M5543))="STD", TRIM(B5543)=TRIM(Enginuity!$A$17))
    ),
    OR(
      AND(LEFT(P5543,5)="1-Way", Enginuity!$B$13=1),
      AND(LEFT(P5543,5)="2-Way", OR(Enginuity!$B$13=2, Enginuity!$B$13=4)),
      AND(LEFT(P5543,5)="3-Way", OR(Enginuity!$B$13=3, Enginuity!$B$13=6)),
      AND(P5543="Inner Centre Jamb", OR(Enginuity!$B$13=4, Enginuity!$B$13=6)),
      AND(
        LEFT(P5543,5)&lt;&gt;"1-Way",
        LEFT(P5543,5)&lt;&gt;"2-Way",
        LEFT(P5543,5)&lt;&gt;"3-Way",
        P5543&lt;&gt;"Inner Centre Jamb"
      )
    ),
    IF(OR(Enginuity!$A$1="Frameless Glass",Enginuity!$A$1="Metal Work"),
      AND(TRIM(B5543)=TRIM(Enginuity!$A$17),TRIM(C5543)=TRIM(Enginuity!$A$18)),
      TRIM(B5543)=TRIM(Enginuity!$A$17)
    )
  ),
  ROW(),
  ""
)</f>
        <v/>
      </c>
    </row>
    <row r="5544" spans="21:21" x14ac:dyDescent="0.25">
      <c r="U5544" s="104" t="str">
        <f>IF(
  AND(
    TRIM(A5544)=TRIM(Enginuity!$A$1),
    TRIM(B5544)=TRIM(Enginuity!$A$17),
    Q5544&lt;&gt;"",
    Q5544&lt;&gt;0,
    OR(
      TRIM(C5544)=TRIM(Enginuity!$A$18),
      AND(UPPER(TRIM(M5544))="STD", TRIM(B5544)=TRIM(Enginuity!$A$17))
    ),
    OR(
      AND(LEFT(P5544,5)="1-Way", Enginuity!$B$13=1),
      AND(LEFT(P5544,5)="2-Way", OR(Enginuity!$B$13=2, Enginuity!$B$13=4)),
      AND(LEFT(P5544,5)="3-Way", OR(Enginuity!$B$13=3, Enginuity!$B$13=6)),
      AND(P5544="Inner Centre Jamb", OR(Enginuity!$B$13=4, Enginuity!$B$13=6)),
      AND(
        LEFT(P5544,5)&lt;&gt;"1-Way",
        LEFT(P5544,5)&lt;&gt;"2-Way",
        LEFT(P5544,5)&lt;&gt;"3-Way",
        P5544&lt;&gt;"Inner Centre Jamb"
      )
    ),
    IF(OR(Enginuity!$A$1="Frameless Glass",Enginuity!$A$1="Metal Work"),
      AND(TRIM(B5544)=TRIM(Enginuity!$A$17),TRIM(C5544)=TRIM(Enginuity!$A$18)),
      TRIM(B5544)=TRIM(Enginuity!$A$17)
    )
  ),
  ROW(),
  ""
)</f>
        <v/>
      </c>
    </row>
    <row r="5545" spans="21:21" x14ac:dyDescent="0.25">
      <c r="U5545" s="104" t="str">
        <f>IF(
  AND(
    TRIM(A5545)=TRIM(Enginuity!$A$1),
    TRIM(B5545)=TRIM(Enginuity!$A$17),
    Q5545&lt;&gt;"",
    Q5545&lt;&gt;0,
    OR(
      TRIM(C5545)=TRIM(Enginuity!$A$18),
      AND(UPPER(TRIM(M5545))="STD", TRIM(B5545)=TRIM(Enginuity!$A$17))
    ),
    OR(
      AND(LEFT(P5545,5)="1-Way", Enginuity!$B$13=1),
      AND(LEFT(P5545,5)="2-Way", OR(Enginuity!$B$13=2, Enginuity!$B$13=4)),
      AND(LEFT(P5545,5)="3-Way", OR(Enginuity!$B$13=3, Enginuity!$B$13=6)),
      AND(P5545="Inner Centre Jamb", OR(Enginuity!$B$13=4, Enginuity!$B$13=6)),
      AND(
        LEFT(P5545,5)&lt;&gt;"1-Way",
        LEFT(P5545,5)&lt;&gt;"2-Way",
        LEFT(P5545,5)&lt;&gt;"3-Way",
        P5545&lt;&gt;"Inner Centre Jamb"
      )
    ),
    IF(OR(Enginuity!$A$1="Frameless Glass",Enginuity!$A$1="Metal Work"),
      AND(TRIM(B5545)=TRIM(Enginuity!$A$17),TRIM(C5545)=TRIM(Enginuity!$A$18)),
      TRIM(B5545)=TRIM(Enginuity!$A$17)
    )
  ),
  ROW(),
  ""
)</f>
        <v/>
      </c>
    </row>
    <row r="5546" spans="21:21" x14ac:dyDescent="0.25">
      <c r="U5546" s="104" t="str">
        <f>IF(
  AND(
    TRIM(A5546)=TRIM(Enginuity!$A$1),
    TRIM(B5546)=TRIM(Enginuity!$A$17),
    Q5546&lt;&gt;"",
    Q5546&lt;&gt;0,
    OR(
      TRIM(C5546)=TRIM(Enginuity!$A$18),
      AND(UPPER(TRIM(M5546))="STD", TRIM(B5546)=TRIM(Enginuity!$A$17))
    ),
    OR(
      AND(LEFT(P5546,5)="1-Way", Enginuity!$B$13=1),
      AND(LEFT(P5546,5)="2-Way", OR(Enginuity!$B$13=2, Enginuity!$B$13=4)),
      AND(LEFT(P5546,5)="3-Way", OR(Enginuity!$B$13=3, Enginuity!$B$13=6)),
      AND(P5546="Inner Centre Jamb", OR(Enginuity!$B$13=4, Enginuity!$B$13=6)),
      AND(
        LEFT(P5546,5)&lt;&gt;"1-Way",
        LEFT(P5546,5)&lt;&gt;"2-Way",
        LEFT(P5546,5)&lt;&gt;"3-Way",
        P5546&lt;&gt;"Inner Centre Jamb"
      )
    ),
    IF(OR(Enginuity!$A$1="Frameless Glass",Enginuity!$A$1="Metal Work"),
      AND(TRIM(B5546)=TRIM(Enginuity!$A$17),TRIM(C5546)=TRIM(Enginuity!$A$18)),
      TRIM(B5546)=TRIM(Enginuity!$A$17)
    )
  ),
  ROW(),
  ""
)</f>
        <v/>
      </c>
    </row>
    <row r="5547" spans="21:21" x14ac:dyDescent="0.25">
      <c r="U5547" s="104" t="str">
        <f>IF(
  AND(
    TRIM(A5547)=TRIM(Enginuity!$A$1),
    TRIM(B5547)=TRIM(Enginuity!$A$17),
    Q5547&lt;&gt;"",
    Q5547&lt;&gt;0,
    OR(
      TRIM(C5547)=TRIM(Enginuity!$A$18),
      AND(UPPER(TRIM(M5547))="STD", TRIM(B5547)=TRIM(Enginuity!$A$17))
    ),
    OR(
      AND(LEFT(P5547,5)="1-Way", Enginuity!$B$13=1),
      AND(LEFT(P5547,5)="2-Way", OR(Enginuity!$B$13=2, Enginuity!$B$13=4)),
      AND(LEFT(P5547,5)="3-Way", OR(Enginuity!$B$13=3, Enginuity!$B$13=6)),
      AND(P5547="Inner Centre Jamb", OR(Enginuity!$B$13=4, Enginuity!$B$13=6)),
      AND(
        LEFT(P5547,5)&lt;&gt;"1-Way",
        LEFT(P5547,5)&lt;&gt;"2-Way",
        LEFT(P5547,5)&lt;&gt;"3-Way",
        P5547&lt;&gt;"Inner Centre Jamb"
      )
    ),
    IF(OR(Enginuity!$A$1="Frameless Glass",Enginuity!$A$1="Metal Work"),
      AND(TRIM(B5547)=TRIM(Enginuity!$A$17),TRIM(C5547)=TRIM(Enginuity!$A$18)),
      TRIM(B5547)=TRIM(Enginuity!$A$17)
    )
  ),
  ROW(),
  ""
)</f>
        <v/>
      </c>
    </row>
    <row r="5548" spans="21:21" x14ac:dyDescent="0.25">
      <c r="U5548" s="104" t="str">
        <f>IF(
  AND(
    TRIM(A5548)=TRIM(Enginuity!$A$1),
    TRIM(B5548)=TRIM(Enginuity!$A$17),
    Q5548&lt;&gt;"",
    Q5548&lt;&gt;0,
    OR(
      TRIM(C5548)=TRIM(Enginuity!$A$18),
      AND(UPPER(TRIM(M5548))="STD", TRIM(B5548)=TRIM(Enginuity!$A$17))
    ),
    OR(
      AND(LEFT(P5548,5)="1-Way", Enginuity!$B$13=1),
      AND(LEFT(P5548,5)="2-Way", OR(Enginuity!$B$13=2, Enginuity!$B$13=4)),
      AND(LEFT(P5548,5)="3-Way", OR(Enginuity!$B$13=3, Enginuity!$B$13=6)),
      AND(P5548="Inner Centre Jamb", OR(Enginuity!$B$13=4, Enginuity!$B$13=6)),
      AND(
        LEFT(P5548,5)&lt;&gt;"1-Way",
        LEFT(P5548,5)&lt;&gt;"2-Way",
        LEFT(P5548,5)&lt;&gt;"3-Way",
        P5548&lt;&gt;"Inner Centre Jamb"
      )
    ),
    IF(OR(Enginuity!$A$1="Frameless Glass",Enginuity!$A$1="Metal Work"),
      AND(TRIM(B5548)=TRIM(Enginuity!$A$17),TRIM(C5548)=TRIM(Enginuity!$A$18)),
      TRIM(B5548)=TRIM(Enginuity!$A$17)
    )
  ),
  ROW(),
  ""
)</f>
        <v/>
      </c>
    </row>
    <row r="5549" spans="21:21" x14ac:dyDescent="0.25">
      <c r="U5549" s="104" t="str">
        <f>IF(
  AND(
    TRIM(A5549)=TRIM(Enginuity!$A$1),
    TRIM(B5549)=TRIM(Enginuity!$A$17),
    Q5549&lt;&gt;"",
    Q5549&lt;&gt;0,
    OR(
      TRIM(C5549)=TRIM(Enginuity!$A$18),
      AND(UPPER(TRIM(M5549))="STD", TRIM(B5549)=TRIM(Enginuity!$A$17))
    ),
    OR(
      AND(LEFT(P5549,5)="1-Way", Enginuity!$B$13=1),
      AND(LEFT(P5549,5)="2-Way", OR(Enginuity!$B$13=2, Enginuity!$B$13=4)),
      AND(LEFT(P5549,5)="3-Way", OR(Enginuity!$B$13=3, Enginuity!$B$13=6)),
      AND(P5549="Inner Centre Jamb", OR(Enginuity!$B$13=4, Enginuity!$B$13=6)),
      AND(
        LEFT(P5549,5)&lt;&gt;"1-Way",
        LEFT(P5549,5)&lt;&gt;"2-Way",
        LEFT(P5549,5)&lt;&gt;"3-Way",
        P5549&lt;&gt;"Inner Centre Jamb"
      )
    ),
    IF(OR(Enginuity!$A$1="Frameless Glass",Enginuity!$A$1="Metal Work"),
      AND(TRIM(B5549)=TRIM(Enginuity!$A$17),TRIM(C5549)=TRIM(Enginuity!$A$18)),
      TRIM(B5549)=TRIM(Enginuity!$A$17)
    )
  ),
  ROW(),
  ""
)</f>
        <v/>
      </c>
    </row>
    <row r="5550" spans="21:21" x14ac:dyDescent="0.25">
      <c r="U5550" s="104" t="str">
        <f>IF(
  AND(
    TRIM(A5550)=TRIM(Enginuity!$A$1),
    TRIM(B5550)=TRIM(Enginuity!$A$17),
    Q5550&lt;&gt;"",
    Q5550&lt;&gt;0,
    OR(
      TRIM(C5550)=TRIM(Enginuity!$A$18),
      AND(UPPER(TRIM(M5550))="STD", TRIM(B5550)=TRIM(Enginuity!$A$17))
    ),
    OR(
      AND(LEFT(P5550,5)="1-Way", Enginuity!$B$13=1),
      AND(LEFT(P5550,5)="2-Way", OR(Enginuity!$B$13=2, Enginuity!$B$13=4)),
      AND(LEFT(P5550,5)="3-Way", OR(Enginuity!$B$13=3, Enginuity!$B$13=6)),
      AND(P5550="Inner Centre Jamb", OR(Enginuity!$B$13=4, Enginuity!$B$13=6)),
      AND(
        LEFT(P5550,5)&lt;&gt;"1-Way",
        LEFT(P5550,5)&lt;&gt;"2-Way",
        LEFT(P5550,5)&lt;&gt;"3-Way",
        P5550&lt;&gt;"Inner Centre Jamb"
      )
    ),
    IF(OR(Enginuity!$A$1="Frameless Glass",Enginuity!$A$1="Metal Work"),
      AND(TRIM(B5550)=TRIM(Enginuity!$A$17),TRIM(C5550)=TRIM(Enginuity!$A$18)),
      TRIM(B5550)=TRIM(Enginuity!$A$17)
    )
  ),
  ROW(),
  ""
)</f>
        <v/>
      </c>
    </row>
    <row r="5551" spans="21:21" x14ac:dyDescent="0.25">
      <c r="U5551" s="104" t="str">
        <f>IF(
  AND(
    TRIM(A5551)=TRIM(Enginuity!$A$1),
    TRIM(B5551)=TRIM(Enginuity!$A$17),
    Q5551&lt;&gt;"",
    Q5551&lt;&gt;0,
    OR(
      TRIM(C5551)=TRIM(Enginuity!$A$18),
      AND(UPPER(TRIM(M5551))="STD", TRIM(B5551)=TRIM(Enginuity!$A$17))
    ),
    OR(
      AND(LEFT(P5551,5)="1-Way", Enginuity!$B$13=1),
      AND(LEFT(P5551,5)="2-Way", OR(Enginuity!$B$13=2, Enginuity!$B$13=4)),
      AND(LEFT(P5551,5)="3-Way", OR(Enginuity!$B$13=3, Enginuity!$B$13=6)),
      AND(P5551="Inner Centre Jamb", OR(Enginuity!$B$13=4, Enginuity!$B$13=6)),
      AND(
        LEFT(P5551,5)&lt;&gt;"1-Way",
        LEFT(P5551,5)&lt;&gt;"2-Way",
        LEFT(P5551,5)&lt;&gt;"3-Way",
        P5551&lt;&gt;"Inner Centre Jamb"
      )
    ),
    IF(OR(Enginuity!$A$1="Frameless Glass",Enginuity!$A$1="Metal Work"),
      AND(TRIM(B5551)=TRIM(Enginuity!$A$17),TRIM(C5551)=TRIM(Enginuity!$A$18)),
      TRIM(B5551)=TRIM(Enginuity!$A$17)
    )
  ),
  ROW(),
  ""
)</f>
        <v/>
      </c>
    </row>
    <row r="5552" spans="21:21" x14ac:dyDescent="0.25">
      <c r="U5552" s="104" t="str">
        <f>IF(
  AND(
    TRIM(A5552)=TRIM(Enginuity!$A$1),
    TRIM(B5552)=TRIM(Enginuity!$A$17),
    Q5552&lt;&gt;"",
    Q5552&lt;&gt;0,
    OR(
      TRIM(C5552)=TRIM(Enginuity!$A$18),
      AND(UPPER(TRIM(M5552))="STD", TRIM(B5552)=TRIM(Enginuity!$A$17))
    ),
    OR(
      AND(LEFT(P5552,5)="1-Way", Enginuity!$B$13=1),
      AND(LEFT(P5552,5)="2-Way", OR(Enginuity!$B$13=2, Enginuity!$B$13=4)),
      AND(LEFT(P5552,5)="3-Way", OR(Enginuity!$B$13=3, Enginuity!$B$13=6)),
      AND(P5552="Inner Centre Jamb", OR(Enginuity!$B$13=4, Enginuity!$B$13=6)),
      AND(
        LEFT(P5552,5)&lt;&gt;"1-Way",
        LEFT(P5552,5)&lt;&gt;"2-Way",
        LEFT(P5552,5)&lt;&gt;"3-Way",
        P5552&lt;&gt;"Inner Centre Jamb"
      )
    ),
    IF(OR(Enginuity!$A$1="Frameless Glass",Enginuity!$A$1="Metal Work"),
      AND(TRIM(B5552)=TRIM(Enginuity!$A$17),TRIM(C5552)=TRIM(Enginuity!$A$18)),
      TRIM(B5552)=TRIM(Enginuity!$A$17)
    )
  ),
  ROW(),
  ""
)</f>
        <v/>
      </c>
    </row>
    <row r="5553" spans="21:21" x14ac:dyDescent="0.25">
      <c r="U5553" s="104" t="str">
        <f>IF(
  AND(
    TRIM(A5553)=TRIM(Enginuity!$A$1),
    TRIM(B5553)=TRIM(Enginuity!$A$17),
    Q5553&lt;&gt;"",
    Q5553&lt;&gt;0,
    OR(
      TRIM(C5553)=TRIM(Enginuity!$A$18),
      AND(UPPER(TRIM(M5553))="STD", TRIM(B5553)=TRIM(Enginuity!$A$17))
    ),
    OR(
      AND(LEFT(P5553,5)="1-Way", Enginuity!$B$13=1),
      AND(LEFT(P5553,5)="2-Way", OR(Enginuity!$B$13=2, Enginuity!$B$13=4)),
      AND(LEFT(P5553,5)="3-Way", OR(Enginuity!$B$13=3, Enginuity!$B$13=6)),
      AND(P5553="Inner Centre Jamb", OR(Enginuity!$B$13=4, Enginuity!$B$13=6)),
      AND(
        LEFT(P5553,5)&lt;&gt;"1-Way",
        LEFT(P5553,5)&lt;&gt;"2-Way",
        LEFT(P5553,5)&lt;&gt;"3-Way",
        P5553&lt;&gt;"Inner Centre Jamb"
      )
    ),
    IF(OR(Enginuity!$A$1="Frameless Glass",Enginuity!$A$1="Metal Work"),
      AND(TRIM(B5553)=TRIM(Enginuity!$A$17),TRIM(C5553)=TRIM(Enginuity!$A$18)),
      TRIM(B5553)=TRIM(Enginuity!$A$17)
    )
  ),
  ROW(),
  ""
)</f>
        <v/>
      </c>
    </row>
    <row r="5554" spans="21:21" x14ac:dyDescent="0.25">
      <c r="U5554" s="104" t="str">
        <f>IF(
  AND(
    TRIM(A5554)=TRIM(Enginuity!$A$1),
    TRIM(B5554)=TRIM(Enginuity!$A$17),
    Q5554&lt;&gt;"",
    Q5554&lt;&gt;0,
    OR(
      TRIM(C5554)=TRIM(Enginuity!$A$18),
      AND(UPPER(TRIM(M5554))="STD", TRIM(B5554)=TRIM(Enginuity!$A$17))
    ),
    OR(
      AND(LEFT(P5554,5)="1-Way", Enginuity!$B$13=1),
      AND(LEFT(P5554,5)="2-Way", OR(Enginuity!$B$13=2, Enginuity!$B$13=4)),
      AND(LEFT(P5554,5)="3-Way", OR(Enginuity!$B$13=3, Enginuity!$B$13=6)),
      AND(P5554="Inner Centre Jamb", OR(Enginuity!$B$13=4, Enginuity!$B$13=6)),
      AND(
        LEFT(P5554,5)&lt;&gt;"1-Way",
        LEFT(P5554,5)&lt;&gt;"2-Way",
        LEFT(P5554,5)&lt;&gt;"3-Way",
        P5554&lt;&gt;"Inner Centre Jamb"
      )
    ),
    IF(OR(Enginuity!$A$1="Frameless Glass",Enginuity!$A$1="Metal Work"),
      AND(TRIM(B5554)=TRIM(Enginuity!$A$17),TRIM(C5554)=TRIM(Enginuity!$A$18)),
      TRIM(B5554)=TRIM(Enginuity!$A$17)
    )
  ),
  ROW(),
  ""
)</f>
        <v/>
      </c>
    </row>
    <row r="5555" spans="21:21" x14ac:dyDescent="0.25">
      <c r="U5555" s="104" t="str">
        <f>IF(
  AND(
    TRIM(A5555)=TRIM(Enginuity!$A$1),
    TRIM(B5555)=TRIM(Enginuity!$A$17),
    Q5555&lt;&gt;"",
    Q5555&lt;&gt;0,
    OR(
      TRIM(C5555)=TRIM(Enginuity!$A$18),
      AND(UPPER(TRIM(M5555))="STD", TRIM(B5555)=TRIM(Enginuity!$A$17))
    ),
    OR(
      AND(LEFT(P5555,5)="1-Way", Enginuity!$B$13=1),
      AND(LEFT(P5555,5)="2-Way", OR(Enginuity!$B$13=2, Enginuity!$B$13=4)),
      AND(LEFT(P5555,5)="3-Way", OR(Enginuity!$B$13=3, Enginuity!$B$13=6)),
      AND(P5555="Inner Centre Jamb", OR(Enginuity!$B$13=4, Enginuity!$B$13=6)),
      AND(
        LEFT(P5555,5)&lt;&gt;"1-Way",
        LEFT(P5555,5)&lt;&gt;"2-Way",
        LEFT(P5555,5)&lt;&gt;"3-Way",
        P5555&lt;&gt;"Inner Centre Jamb"
      )
    ),
    IF(OR(Enginuity!$A$1="Frameless Glass",Enginuity!$A$1="Metal Work"),
      AND(TRIM(B5555)=TRIM(Enginuity!$A$17),TRIM(C5555)=TRIM(Enginuity!$A$18)),
      TRIM(B5555)=TRIM(Enginuity!$A$17)
    )
  ),
  ROW(),
  ""
)</f>
        <v/>
      </c>
    </row>
    <row r="5556" spans="21:21" x14ac:dyDescent="0.25">
      <c r="U5556" s="104" t="str">
        <f>IF(
  AND(
    TRIM(A5556)=TRIM(Enginuity!$A$1),
    TRIM(B5556)=TRIM(Enginuity!$A$17),
    Q5556&lt;&gt;"",
    Q5556&lt;&gt;0,
    OR(
      TRIM(C5556)=TRIM(Enginuity!$A$18),
      AND(UPPER(TRIM(M5556))="STD", TRIM(B5556)=TRIM(Enginuity!$A$17))
    ),
    OR(
      AND(LEFT(P5556,5)="1-Way", Enginuity!$B$13=1),
      AND(LEFT(P5556,5)="2-Way", OR(Enginuity!$B$13=2, Enginuity!$B$13=4)),
      AND(LEFT(P5556,5)="3-Way", OR(Enginuity!$B$13=3, Enginuity!$B$13=6)),
      AND(P5556="Inner Centre Jamb", OR(Enginuity!$B$13=4, Enginuity!$B$13=6)),
      AND(
        LEFT(P5556,5)&lt;&gt;"1-Way",
        LEFT(P5556,5)&lt;&gt;"2-Way",
        LEFT(P5556,5)&lt;&gt;"3-Way",
        P5556&lt;&gt;"Inner Centre Jamb"
      )
    ),
    IF(OR(Enginuity!$A$1="Frameless Glass",Enginuity!$A$1="Metal Work"),
      AND(TRIM(B5556)=TRIM(Enginuity!$A$17),TRIM(C5556)=TRIM(Enginuity!$A$18)),
      TRIM(B5556)=TRIM(Enginuity!$A$17)
    )
  ),
  ROW(),
  ""
)</f>
        <v/>
      </c>
    </row>
    <row r="5557" spans="21:21" x14ac:dyDescent="0.25">
      <c r="U5557" s="104" t="str">
        <f>IF(
  AND(
    TRIM(A5557)=TRIM(Enginuity!$A$1),
    TRIM(B5557)=TRIM(Enginuity!$A$17),
    Q5557&lt;&gt;"",
    Q5557&lt;&gt;0,
    OR(
      TRIM(C5557)=TRIM(Enginuity!$A$18),
      AND(UPPER(TRIM(M5557))="STD", TRIM(B5557)=TRIM(Enginuity!$A$17))
    ),
    OR(
      AND(LEFT(P5557,5)="1-Way", Enginuity!$B$13=1),
      AND(LEFT(P5557,5)="2-Way", OR(Enginuity!$B$13=2, Enginuity!$B$13=4)),
      AND(LEFT(P5557,5)="3-Way", OR(Enginuity!$B$13=3, Enginuity!$B$13=6)),
      AND(P5557="Inner Centre Jamb", OR(Enginuity!$B$13=4, Enginuity!$B$13=6)),
      AND(
        LEFT(P5557,5)&lt;&gt;"1-Way",
        LEFT(P5557,5)&lt;&gt;"2-Way",
        LEFT(P5557,5)&lt;&gt;"3-Way",
        P5557&lt;&gt;"Inner Centre Jamb"
      )
    ),
    IF(OR(Enginuity!$A$1="Frameless Glass",Enginuity!$A$1="Metal Work"),
      AND(TRIM(B5557)=TRIM(Enginuity!$A$17),TRIM(C5557)=TRIM(Enginuity!$A$18)),
      TRIM(B5557)=TRIM(Enginuity!$A$17)
    )
  ),
  ROW(),
  ""
)</f>
        <v/>
      </c>
    </row>
    <row r="5558" spans="21:21" x14ac:dyDescent="0.25">
      <c r="U5558" s="104" t="str">
        <f>IF(
  AND(
    TRIM(A5558)=TRIM(Enginuity!$A$1),
    TRIM(B5558)=TRIM(Enginuity!$A$17),
    Q5558&lt;&gt;"",
    Q5558&lt;&gt;0,
    OR(
      TRIM(C5558)=TRIM(Enginuity!$A$18),
      AND(UPPER(TRIM(M5558))="STD", TRIM(B5558)=TRIM(Enginuity!$A$17))
    ),
    OR(
      AND(LEFT(P5558,5)="1-Way", Enginuity!$B$13=1),
      AND(LEFT(P5558,5)="2-Way", OR(Enginuity!$B$13=2, Enginuity!$B$13=4)),
      AND(LEFT(P5558,5)="3-Way", OR(Enginuity!$B$13=3, Enginuity!$B$13=6)),
      AND(P5558="Inner Centre Jamb", OR(Enginuity!$B$13=4, Enginuity!$B$13=6)),
      AND(
        LEFT(P5558,5)&lt;&gt;"1-Way",
        LEFT(P5558,5)&lt;&gt;"2-Way",
        LEFT(P5558,5)&lt;&gt;"3-Way",
        P5558&lt;&gt;"Inner Centre Jamb"
      )
    ),
    IF(OR(Enginuity!$A$1="Frameless Glass",Enginuity!$A$1="Metal Work"),
      AND(TRIM(B5558)=TRIM(Enginuity!$A$17),TRIM(C5558)=TRIM(Enginuity!$A$18)),
      TRIM(B5558)=TRIM(Enginuity!$A$17)
    )
  ),
  ROW(),
  ""
)</f>
        <v/>
      </c>
    </row>
    <row r="5559" spans="21:21" x14ac:dyDescent="0.25">
      <c r="U5559" s="104" t="str">
        <f>IF(
  AND(
    TRIM(A5559)=TRIM(Enginuity!$A$1),
    TRIM(B5559)=TRIM(Enginuity!$A$17),
    Q5559&lt;&gt;"",
    Q5559&lt;&gt;0,
    OR(
      TRIM(C5559)=TRIM(Enginuity!$A$18),
      AND(UPPER(TRIM(M5559))="STD", TRIM(B5559)=TRIM(Enginuity!$A$17))
    ),
    OR(
      AND(LEFT(P5559,5)="1-Way", Enginuity!$B$13=1),
      AND(LEFT(P5559,5)="2-Way", OR(Enginuity!$B$13=2, Enginuity!$B$13=4)),
      AND(LEFT(P5559,5)="3-Way", OR(Enginuity!$B$13=3, Enginuity!$B$13=6)),
      AND(P5559="Inner Centre Jamb", OR(Enginuity!$B$13=4, Enginuity!$B$13=6)),
      AND(
        LEFT(P5559,5)&lt;&gt;"1-Way",
        LEFT(P5559,5)&lt;&gt;"2-Way",
        LEFT(P5559,5)&lt;&gt;"3-Way",
        P5559&lt;&gt;"Inner Centre Jamb"
      )
    ),
    IF(OR(Enginuity!$A$1="Frameless Glass",Enginuity!$A$1="Metal Work"),
      AND(TRIM(B5559)=TRIM(Enginuity!$A$17),TRIM(C5559)=TRIM(Enginuity!$A$18)),
      TRIM(B5559)=TRIM(Enginuity!$A$17)
    )
  ),
  ROW(),
  ""
)</f>
        <v/>
      </c>
    </row>
    <row r="5560" spans="21:21" x14ac:dyDescent="0.25">
      <c r="U5560" s="104" t="str">
        <f>IF(
  AND(
    TRIM(A5560)=TRIM(Enginuity!$A$1),
    TRIM(B5560)=TRIM(Enginuity!$A$17),
    Q5560&lt;&gt;"",
    Q5560&lt;&gt;0,
    OR(
      TRIM(C5560)=TRIM(Enginuity!$A$18),
      AND(UPPER(TRIM(M5560))="STD", TRIM(B5560)=TRIM(Enginuity!$A$17))
    ),
    OR(
      AND(LEFT(P5560,5)="1-Way", Enginuity!$B$13=1),
      AND(LEFT(P5560,5)="2-Way", OR(Enginuity!$B$13=2, Enginuity!$B$13=4)),
      AND(LEFT(P5560,5)="3-Way", OR(Enginuity!$B$13=3, Enginuity!$B$13=6)),
      AND(P5560="Inner Centre Jamb", OR(Enginuity!$B$13=4, Enginuity!$B$13=6)),
      AND(
        LEFT(P5560,5)&lt;&gt;"1-Way",
        LEFT(P5560,5)&lt;&gt;"2-Way",
        LEFT(P5560,5)&lt;&gt;"3-Way",
        P5560&lt;&gt;"Inner Centre Jamb"
      )
    ),
    IF(OR(Enginuity!$A$1="Frameless Glass",Enginuity!$A$1="Metal Work"),
      AND(TRIM(B5560)=TRIM(Enginuity!$A$17),TRIM(C5560)=TRIM(Enginuity!$A$18)),
      TRIM(B5560)=TRIM(Enginuity!$A$17)
    )
  ),
  ROW(),
  ""
)</f>
        <v/>
      </c>
    </row>
    <row r="5561" spans="21:21" x14ac:dyDescent="0.25">
      <c r="U5561" s="104" t="str">
        <f>IF(
  AND(
    TRIM(A5561)=TRIM(Enginuity!$A$1),
    TRIM(B5561)=TRIM(Enginuity!$A$17),
    Q5561&lt;&gt;"",
    Q5561&lt;&gt;0,
    OR(
      TRIM(C5561)=TRIM(Enginuity!$A$18),
      AND(UPPER(TRIM(M5561))="STD", TRIM(B5561)=TRIM(Enginuity!$A$17))
    ),
    OR(
      AND(LEFT(P5561,5)="1-Way", Enginuity!$B$13=1),
      AND(LEFT(P5561,5)="2-Way", OR(Enginuity!$B$13=2, Enginuity!$B$13=4)),
      AND(LEFT(P5561,5)="3-Way", OR(Enginuity!$B$13=3, Enginuity!$B$13=6)),
      AND(P5561="Inner Centre Jamb", OR(Enginuity!$B$13=4, Enginuity!$B$13=6)),
      AND(
        LEFT(P5561,5)&lt;&gt;"1-Way",
        LEFT(P5561,5)&lt;&gt;"2-Way",
        LEFT(P5561,5)&lt;&gt;"3-Way",
        P5561&lt;&gt;"Inner Centre Jamb"
      )
    ),
    IF(OR(Enginuity!$A$1="Frameless Glass",Enginuity!$A$1="Metal Work"),
      AND(TRIM(B5561)=TRIM(Enginuity!$A$17),TRIM(C5561)=TRIM(Enginuity!$A$18)),
      TRIM(B5561)=TRIM(Enginuity!$A$17)
    )
  ),
  ROW(),
  ""
)</f>
        <v/>
      </c>
    </row>
    <row r="5562" spans="21:21" x14ac:dyDescent="0.25">
      <c r="U5562" s="104" t="str">
        <f>IF(
  AND(
    TRIM(A5562)=TRIM(Enginuity!$A$1),
    TRIM(B5562)=TRIM(Enginuity!$A$17),
    Q5562&lt;&gt;"",
    Q5562&lt;&gt;0,
    OR(
      TRIM(C5562)=TRIM(Enginuity!$A$18),
      AND(UPPER(TRIM(M5562))="STD", TRIM(B5562)=TRIM(Enginuity!$A$17))
    ),
    OR(
      AND(LEFT(P5562,5)="1-Way", Enginuity!$B$13=1),
      AND(LEFT(P5562,5)="2-Way", OR(Enginuity!$B$13=2, Enginuity!$B$13=4)),
      AND(LEFT(P5562,5)="3-Way", OR(Enginuity!$B$13=3, Enginuity!$B$13=6)),
      AND(P5562="Inner Centre Jamb", OR(Enginuity!$B$13=4, Enginuity!$B$13=6)),
      AND(
        LEFT(P5562,5)&lt;&gt;"1-Way",
        LEFT(P5562,5)&lt;&gt;"2-Way",
        LEFT(P5562,5)&lt;&gt;"3-Way",
        P5562&lt;&gt;"Inner Centre Jamb"
      )
    ),
    IF(OR(Enginuity!$A$1="Frameless Glass",Enginuity!$A$1="Metal Work"),
      AND(TRIM(B5562)=TRIM(Enginuity!$A$17),TRIM(C5562)=TRIM(Enginuity!$A$18)),
      TRIM(B5562)=TRIM(Enginuity!$A$17)
    )
  ),
  ROW(),
  ""
)</f>
        <v/>
      </c>
    </row>
    <row r="5563" spans="21:21" x14ac:dyDescent="0.25">
      <c r="U5563" s="104" t="str">
        <f>IF(
  AND(
    TRIM(A5563)=TRIM(Enginuity!$A$1),
    TRIM(B5563)=TRIM(Enginuity!$A$17),
    Q5563&lt;&gt;"",
    Q5563&lt;&gt;0,
    OR(
      TRIM(C5563)=TRIM(Enginuity!$A$18),
      AND(UPPER(TRIM(M5563))="STD", TRIM(B5563)=TRIM(Enginuity!$A$17))
    ),
    OR(
      AND(LEFT(P5563,5)="1-Way", Enginuity!$B$13=1),
      AND(LEFT(P5563,5)="2-Way", OR(Enginuity!$B$13=2, Enginuity!$B$13=4)),
      AND(LEFT(P5563,5)="3-Way", OR(Enginuity!$B$13=3, Enginuity!$B$13=6)),
      AND(P5563="Inner Centre Jamb", OR(Enginuity!$B$13=4, Enginuity!$B$13=6)),
      AND(
        LEFT(P5563,5)&lt;&gt;"1-Way",
        LEFT(P5563,5)&lt;&gt;"2-Way",
        LEFT(P5563,5)&lt;&gt;"3-Way",
        P5563&lt;&gt;"Inner Centre Jamb"
      )
    ),
    IF(OR(Enginuity!$A$1="Frameless Glass",Enginuity!$A$1="Metal Work"),
      AND(TRIM(B5563)=TRIM(Enginuity!$A$17),TRIM(C5563)=TRIM(Enginuity!$A$18)),
      TRIM(B5563)=TRIM(Enginuity!$A$17)
    )
  ),
  ROW(),
  ""
)</f>
        <v/>
      </c>
    </row>
    <row r="5564" spans="21:21" x14ac:dyDescent="0.25">
      <c r="U5564" s="104" t="str">
        <f>IF(
  AND(
    TRIM(A5564)=TRIM(Enginuity!$A$1),
    TRIM(B5564)=TRIM(Enginuity!$A$17),
    Q5564&lt;&gt;"",
    Q5564&lt;&gt;0,
    OR(
      TRIM(C5564)=TRIM(Enginuity!$A$18),
      AND(UPPER(TRIM(M5564))="STD", TRIM(B5564)=TRIM(Enginuity!$A$17))
    ),
    OR(
      AND(LEFT(P5564,5)="1-Way", Enginuity!$B$13=1),
      AND(LEFT(P5564,5)="2-Way", OR(Enginuity!$B$13=2, Enginuity!$B$13=4)),
      AND(LEFT(P5564,5)="3-Way", OR(Enginuity!$B$13=3, Enginuity!$B$13=6)),
      AND(P5564="Inner Centre Jamb", OR(Enginuity!$B$13=4, Enginuity!$B$13=6)),
      AND(
        LEFT(P5564,5)&lt;&gt;"1-Way",
        LEFT(P5564,5)&lt;&gt;"2-Way",
        LEFT(P5564,5)&lt;&gt;"3-Way",
        P5564&lt;&gt;"Inner Centre Jamb"
      )
    ),
    IF(OR(Enginuity!$A$1="Frameless Glass",Enginuity!$A$1="Metal Work"),
      AND(TRIM(B5564)=TRIM(Enginuity!$A$17),TRIM(C5564)=TRIM(Enginuity!$A$18)),
      TRIM(B5564)=TRIM(Enginuity!$A$17)
    )
  ),
  ROW(),
  ""
)</f>
        <v/>
      </c>
    </row>
    <row r="5565" spans="21:21" x14ac:dyDescent="0.25">
      <c r="U5565" s="104" t="str">
        <f>IF(
  AND(
    TRIM(A5565)=TRIM(Enginuity!$A$1),
    TRIM(B5565)=TRIM(Enginuity!$A$17),
    Q5565&lt;&gt;"",
    Q5565&lt;&gt;0,
    OR(
      TRIM(C5565)=TRIM(Enginuity!$A$18),
      AND(UPPER(TRIM(M5565))="STD", TRIM(B5565)=TRIM(Enginuity!$A$17))
    ),
    OR(
      AND(LEFT(P5565,5)="1-Way", Enginuity!$B$13=1),
      AND(LEFT(P5565,5)="2-Way", OR(Enginuity!$B$13=2, Enginuity!$B$13=4)),
      AND(LEFT(P5565,5)="3-Way", OR(Enginuity!$B$13=3, Enginuity!$B$13=6)),
      AND(P5565="Inner Centre Jamb", OR(Enginuity!$B$13=4, Enginuity!$B$13=6)),
      AND(
        LEFT(P5565,5)&lt;&gt;"1-Way",
        LEFT(P5565,5)&lt;&gt;"2-Way",
        LEFT(P5565,5)&lt;&gt;"3-Way",
        P5565&lt;&gt;"Inner Centre Jamb"
      )
    ),
    IF(OR(Enginuity!$A$1="Frameless Glass",Enginuity!$A$1="Metal Work"),
      AND(TRIM(B5565)=TRIM(Enginuity!$A$17),TRIM(C5565)=TRIM(Enginuity!$A$18)),
      TRIM(B5565)=TRIM(Enginuity!$A$17)
    )
  ),
  ROW(),
  ""
)</f>
        <v/>
      </c>
    </row>
    <row r="5566" spans="21:21" x14ac:dyDescent="0.25">
      <c r="U5566" s="104" t="str">
        <f>IF(
  AND(
    TRIM(A5566)=TRIM(Enginuity!$A$1),
    TRIM(B5566)=TRIM(Enginuity!$A$17),
    Q5566&lt;&gt;"",
    Q5566&lt;&gt;0,
    OR(
      TRIM(C5566)=TRIM(Enginuity!$A$18),
      AND(UPPER(TRIM(M5566))="STD", TRIM(B5566)=TRIM(Enginuity!$A$17))
    ),
    OR(
      AND(LEFT(P5566,5)="1-Way", Enginuity!$B$13=1),
      AND(LEFT(P5566,5)="2-Way", OR(Enginuity!$B$13=2, Enginuity!$B$13=4)),
      AND(LEFT(P5566,5)="3-Way", OR(Enginuity!$B$13=3, Enginuity!$B$13=6)),
      AND(P5566="Inner Centre Jamb", OR(Enginuity!$B$13=4, Enginuity!$B$13=6)),
      AND(
        LEFT(P5566,5)&lt;&gt;"1-Way",
        LEFT(P5566,5)&lt;&gt;"2-Way",
        LEFT(P5566,5)&lt;&gt;"3-Way",
        P5566&lt;&gt;"Inner Centre Jamb"
      )
    ),
    IF(OR(Enginuity!$A$1="Frameless Glass",Enginuity!$A$1="Metal Work"),
      AND(TRIM(B5566)=TRIM(Enginuity!$A$17),TRIM(C5566)=TRIM(Enginuity!$A$18)),
      TRIM(B5566)=TRIM(Enginuity!$A$17)
    )
  ),
  ROW(),
  ""
)</f>
        <v/>
      </c>
    </row>
    <row r="5567" spans="21:21" x14ac:dyDescent="0.25">
      <c r="U5567" s="104" t="str">
        <f>IF(
  AND(
    TRIM(A5567)=TRIM(Enginuity!$A$1),
    TRIM(B5567)=TRIM(Enginuity!$A$17),
    Q5567&lt;&gt;"",
    Q5567&lt;&gt;0,
    OR(
      TRIM(C5567)=TRIM(Enginuity!$A$18),
      AND(UPPER(TRIM(M5567))="STD", TRIM(B5567)=TRIM(Enginuity!$A$17))
    ),
    OR(
      AND(LEFT(P5567,5)="1-Way", Enginuity!$B$13=1),
      AND(LEFT(P5567,5)="2-Way", OR(Enginuity!$B$13=2, Enginuity!$B$13=4)),
      AND(LEFT(P5567,5)="3-Way", OR(Enginuity!$B$13=3, Enginuity!$B$13=6)),
      AND(P5567="Inner Centre Jamb", OR(Enginuity!$B$13=4, Enginuity!$B$13=6)),
      AND(
        LEFT(P5567,5)&lt;&gt;"1-Way",
        LEFT(P5567,5)&lt;&gt;"2-Way",
        LEFT(P5567,5)&lt;&gt;"3-Way",
        P5567&lt;&gt;"Inner Centre Jamb"
      )
    ),
    IF(OR(Enginuity!$A$1="Frameless Glass",Enginuity!$A$1="Metal Work"),
      AND(TRIM(B5567)=TRIM(Enginuity!$A$17),TRIM(C5567)=TRIM(Enginuity!$A$18)),
      TRIM(B5567)=TRIM(Enginuity!$A$17)
    )
  ),
  ROW(),
  ""
)</f>
        <v/>
      </c>
    </row>
    <row r="5568" spans="21:21" x14ac:dyDescent="0.25">
      <c r="U5568" s="104" t="str">
        <f>IF(
  AND(
    TRIM(A5568)=TRIM(Enginuity!$A$1),
    TRIM(B5568)=TRIM(Enginuity!$A$17),
    Q5568&lt;&gt;"",
    Q5568&lt;&gt;0,
    OR(
      TRIM(C5568)=TRIM(Enginuity!$A$18),
      AND(UPPER(TRIM(M5568))="STD", TRIM(B5568)=TRIM(Enginuity!$A$17))
    ),
    OR(
      AND(LEFT(P5568,5)="1-Way", Enginuity!$B$13=1),
      AND(LEFT(P5568,5)="2-Way", OR(Enginuity!$B$13=2, Enginuity!$B$13=4)),
      AND(LEFT(P5568,5)="3-Way", OR(Enginuity!$B$13=3, Enginuity!$B$13=6)),
      AND(P5568="Inner Centre Jamb", OR(Enginuity!$B$13=4, Enginuity!$B$13=6)),
      AND(
        LEFT(P5568,5)&lt;&gt;"1-Way",
        LEFT(P5568,5)&lt;&gt;"2-Way",
        LEFT(P5568,5)&lt;&gt;"3-Way",
        P5568&lt;&gt;"Inner Centre Jamb"
      )
    ),
    IF(OR(Enginuity!$A$1="Frameless Glass",Enginuity!$A$1="Metal Work"),
      AND(TRIM(B5568)=TRIM(Enginuity!$A$17),TRIM(C5568)=TRIM(Enginuity!$A$18)),
      TRIM(B5568)=TRIM(Enginuity!$A$17)
    )
  ),
  ROW(),
  ""
)</f>
        <v/>
      </c>
    </row>
    <row r="5569" spans="21:21" x14ac:dyDescent="0.25">
      <c r="U5569" s="104" t="str">
        <f>IF(
  AND(
    TRIM(A5569)=TRIM(Enginuity!$A$1),
    TRIM(B5569)=TRIM(Enginuity!$A$17),
    Q5569&lt;&gt;"",
    Q5569&lt;&gt;0,
    OR(
      TRIM(C5569)=TRIM(Enginuity!$A$18),
      AND(UPPER(TRIM(M5569))="STD", TRIM(B5569)=TRIM(Enginuity!$A$17))
    ),
    OR(
      AND(LEFT(P5569,5)="1-Way", Enginuity!$B$13=1),
      AND(LEFT(P5569,5)="2-Way", OR(Enginuity!$B$13=2, Enginuity!$B$13=4)),
      AND(LEFT(P5569,5)="3-Way", OR(Enginuity!$B$13=3, Enginuity!$B$13=6)),
      AND(P5569="Inner Centre Jamb", OR(Enginuity!$B$13=4, Enginuity!$B$13=6)),
      AND(
        LEFT(P5569,5)&lt;&gt;"1-Way",
        LEFT(P5569,5)&lt;&gt;"2-Way",
        LEFT(P5569,5)&lt;&gt;"3-Way",
        P5569&lt;&gt;"Inner Centre Jamb"
      )
    ),
    IF(OR(Enginuity!$A$1="Frameless Glass",Enginuity!$A$1="Metal Work"),
      AND(TRIM(B5569)=TRIM(Enginuity!$A$17),TRIM(C5569)=TRIM(Enginuity!$A$18)),
      TRIM(B5569)=TRIM(Enginuity!$A$17)
    )
  ),
  ROW(),
  ""
)</f>
        <v/>
      </c>
    </row>
    <row r="5570" spans="21:21" x14ac:dyDescent="0.25">
      <c r="U5570" s="104" t="str">
        <f>IF(
  AND(
    TRIM(A5570)=TRIM(Enginuity!$A$1),
    TRIM(B5570)=TRIM(Enginuity!$A$17),
    Q5570&lt;&gt;"",
    Q5570&lt;&gt;0,
    OR(
      TRIM(C5570)=TRIM(Enginuity!$A$18),
      AND(UPPER(TRIM(M5570))="STD", TRIM(B5570)=TRIM(Enginuity!$A$17))
    ),
    OR(
      AND(LEFT(P5570,5)="1-Way", Enginuity!$B$13=1),
      AND(LEFT(P5570,5)="2-Way", OR(Enginuity!$B$13=2, Enginuity!$B$13=4)),
      AND(LEFT(P5570,5)="3-Way", OR(Enginuity!$B$13=3, Enginuity!$B$13=6)),
      AND(P5570="Inner Centre Jamb", OR(Enginuity!$B$13=4, Enginuity!$B$13=6)),
      AND(
        LEFT(P5570,5)&lt;&gt;"1-Way",
        LEFT(P5570,5)&lt;&gt;"2-Way",
        LEFT(P5570,5)&lt;&gt;"3-Way",
        P5570&lt;&gt;"Inner Centre Jamb"
      )
    ),
    IF(OR(Enginuity!$A$1="Frameless Glass",Enginuity!$A$1="Metal Work"),
      AND(TRIM(B5570)=TRIM(Enginuity!$A$17),TRIM(C5570)=TRIM(Enginuity!$A$18)),
      TRIM(B5570)=TRIM(Enginuity!$A$17)
    )
  ),
  ROW(),
  ""
)</f>
        <v/>
      </c>
    </row>
    <row r="5571" spans="21:21" x14ac:dyDescent="0.25">
      <c r="U5571" s="104" t="str">
        <f>IF(
  AND(
    TRIM(A5571)=TRIM(Enginuity!$A$1),
    TRIM(B5571)=TRIM(Enginuity!$A$17),
    Q5571&lt;&gt;"",
    Q5571&lt;&gt;0,
    OR(
      TRIM(C5571)=TRIM(Enginuity!$A$18),
      AND(UPPER(TRIM(M5571))="STD", TRIM(B5571)=TRIM(Enginuity!$A$17))
    ),
    OR(
      AND(LEFT(P5571,5)="1-Way", Enginuity!$B$13=1),
      AND(LEFT(P5571,5)="2-Way", OR(Enginuity!$B$13=2, Enginuity!$B$13=4)),
      AND(LEFT(P5571,5)="3-Way", OR(Enginuity!$B$13=3, Enginuity!$B$13=6)),
      AND(P5571="Inner Centre Jamb", OR(Enginuity!$B$13=4, Enginuity!$B$13=6)),
      AND(
        LEFT(P5571,5)&lt;&gt;"1-Way",
        LEFT(P5571,5)&lt;&gt;"2-Way",
        LEFT(P5571,5)&lt;&gt;"3-Way",
        P5571&lt;&gt;"Inner Centre Jamb"
      )
    ),
    IF(OR(Enginuity!$A$1="Frameless Glass",Enginuity!$A$1="Metal Work"),
      AND(TRIM(B5571)=TRIM(Enginuity!$A$17),TRIM(C5571)=TRIM(Enginuity!$A$18)),
      TRIM(B5571)=TRIM(Enginuity!$A$17)
    )
  ),
  ROW(),
  ""
)</f>
        <v/>
      </c>
    </row>
    <row r="5572" spans="21:21" x14ac:dyDescent="0.25">
      <c r="U5572" s="104" t="str">
        <f>IF(
  AND(
    TRIM(A5572)=TRIM(Enginuity!$A$1),
    TRIM(B5572)=TRIM(Enginuity!$A$17),
    Q5572&lt;&gt;"",
    Q5572&lt;&gt;0,
    OR(
      TRIM(C5572)=TRIM(Enginuity!$A$18),
      AND(UPPER(TRIM(M5572))="STD", TRIM(B5572)=TRIM(Enginuity!$A$17))
    ),
    OR(
      AND(LEFT(P5572,5)="1-Way", Enginuity!$B$13=1),
      AND(LEFT(P5572,5)="2-Way", OR(Enginuity!$B$13=2, Enginuity!$B$13=4)),
      AND(LEFT(P5572,5)="3-Way", OR(Enginuity!$B$13=3, Enginuity!$B$13=6)),
      AND(P5572="Inner Centre Jamb", OR(Enginuity!$B$13=4, Enginuity!$B$13=6)),
      AND(
        LEFT(P5572,5)&lt;&gt;"1-Way",
        LEFT(P5572,5)&lt;&gt;"2-Way",
        LEFT(P5572,5)&lt;&gt;"3-Way",
        P5572&lt;&gt;"Inner Centre Jamb"
      )
    ),
    IF(OR(Enginuity!$A$1="Frameless Glass",Enginuity!$A$1="Metal Work"),
      AND(TRIM(B5572)=TRIM(Enginuity!$A$17),TRIM(C5572)=TRIM(Enginuity!$A$18)),
      TRIM(B5572)=TRIM(Enginuity!$A$17)
    )
  ),
  ROW(),
  ""
)</f>
        <v/>
      </c>
    </row>
    <row r="5573" spans="21:21" x14ac:dyDescent="0.25">
      <c r="U5573" s="104" t="str">
        <f>IF(
  AND(
    TRIM(A5573)=TRIM(Enginuity!$A$1),
    TRIM(B5573)=TRIM(Enginuity!$A$17),
    Q5573&lt;&gt;"",
    Q5573&lt;&gt;0,
    OR(
      TRIM(C5573)=TRIM(Enginuity!$A$18),
      AND(UPPER(TRIM(M5573))="STD", TRIM(B5573)=TRIM(Enginuity!$A$17))
    ),
    OR(
      AND(LEFT(P5573,5)="1-Way", Enginuity!$B$13=1),
      AND(LEFT(P5573,5)="2-Way", OR(Enginuity!$B$13=2, Enginuity!$B$13=4)),
      AND(LEFT(P5573,5)="3-Way", OR(Enginuity!$B$13=3, Enginuity!$B$13=6)),
      AND(P5573="Inner Centre Jamb", OR(Enginuity!$B$13=4, Enginuity!$B$13=6)),
      AND(
        LEFT(P5573,5)&lt;&gt;"1-Way",
        LEFT(P5573,5)&lt;&gt;"2-Way",
        LEFT(P5573,5)&lt;&gt;"3-Way",
        P5573&lt;&gt;"Inner Centre Jamb"
      )
    ),
    IF(OR(Enginuity!$A$1="Frameless Glass",Enginuity!$A$1="Metal Work"),
      AND(TRIM(B5573)=TRIM(Enginuity!$A$17),TRIM(C5573)=TRIM(Enginuity!$A$18)),
      TRIM(B5573)=TRIM(Enginuity!$A$17)
    )
  ),
  ROW(),
  ""
)</f>
        <v/>
      </c>
    </row>
    <row r="5574" spans="21:21" x14ac:dyDescent="0.25">
      <c r="U5574" s="104" t="str">
        <f>IF(
  AND(
    TRIM(A5574)=TRIM(Enginuity!$A$1),
    TRIM(B5574)=TRIM(Enginuity!$A$17),
    Q5574&lt;&gt;"",
    Q5574&lt;&gt;0,
    OR(
      TRIM(C5574)=TRIM(Enginuity!$A$18),
      AND(UPPER(TRIM(M5574))="STD", TRIM(B5574)=TRIM(Enginuity!$A$17))
    ),
    OR(
      AND(LEFT(P5574,5)="1-Way", Enginuity!$B$13=1),
      AND(LEFT(P5574,5)="2-Way", OR(Enginuity!$B$13=2, Enginuity!$B$13=4)),
      AND(LEFT(P5574,5)="3-Way", OR(Enginuity!$B$13=3, Enginuity!$B$13=6)),
      AND(P5574="Inner Centre Jamb", OR(Enginuity!$B$13=4, Enginuity!$B$13=6)),
      AND(
        LEFT(P5574,5)&lt;&gt;"1-Way",
        LEFT(P5574,5)&lt;&gt;"2-Way",
        LEFT(P5574,5)&lt;&gt;"3-Way",
        P5574&lt;&gt;"Inner Centre Jamb"
      )
    ),
    IF(OR(Enginuity!$A$1="Frameless Glass",Enginuity!$A$1="Metal Work"),
      AND(TRIM(B5574)=TRIM(Enginuity!$A$17),TRIM(C5574)=TRIM(Enginuity!$A$18)),
      TRIM(B5574)=TRIM(Enginuity!$A$17)
    )
  ),
  ROW(),
  ""
)</f>
        <v/>
      </c>
    </row>
    <row r="5575" spans="21:21" x14ac:dyDescent="0.25">
      <c r="U5575" s="104" t="str">
        <f>IF(
  AND(
    TRIM(A5575)=TRIM(Enginuity!$A$1),
    TRIM(B5575)=TRIM(Enginuity!$A$17),
    Q5575&lt;&gt;"",
    Q5575&lt;&gt;0,
    OR(
      TRIM(C5575)=TRIM(Enginuity!$A$18),
      AND(UPPER(TRIM(M5575))="STD", TRIM(B5575)=TRIM(Enginuity!$A$17))
    ),
    OR(
      AND(LEFT(P5575,5)="1-Way", Enginuity!$B$13=1),
      AND(LEFT(P5575,5)="2-Way", OR(Enginuity!$B$13=2, Enginuity!$B$13=4)),
      AND(LEFT(P5575,5)="3-Way", OR(Enginuity!$B$13=3, Enginuity!$B$13=6)),
      AND(P5575="Inner Centre Jamb", OR(Enginuity!$B$13=4, Enginuity!$B$13=6)),
      AND(
        LEFT(P5575,5)&lt;&gt;"1-Way",
        LEFT(P5575,5)&lt;&gt;"2-Way",
        LEFT(P5575,5)&lt;&gt;"3-Way",
        P5575&lt;&gt;"Inner Centre Jamb"
      )
    ),
    IF(OR(Enginuity!$A$1="Frameless Glass",Enginuity!$A$1="Metal Work"),
      AND(TRIM(B5575)=TRIM(Enginuity!$A$17),TRIM(C5575)=TRIM(Enginuity!$A$18)),
      TRIM(B5575)=TRIM(Enginuity!$A$17)
    )
  ),
  ROW(),
  ""
)</f>
        <v/>
      </c>
    </row>
    <row r="5576" spans="21:21" x14ac:dyDescent="0.25">
      <c r="U5576" s="104" t="str">
        <f>IF(
  AND(
    TRIM(A5576)=TRIM(Enginuity!$A$1),
    TRIM(B5576)=TRIM(Enginuity!$A$17),
    Q5576&lt;&gt;"",
    Q5576&lt;&gt;0,
    OR(
      TRIM(C5576)=TRIM(Enginuity!$A$18),
      AND(UPPER(TRIM(M5576))="STD", TRIM(B5576)=TRIM(Enginuity!$A$17))
    ),
    OR(
      AND(LEFT(P5576,5)="1-Way", Enginuity!$B$13=1),
      AND(LEFT(P5576,5)="2-Way", OR(Enginuity!$B$13=2, Enginuity!$B$13=4)),
      AND(LEFT(P5576,5)="3-Way", OR(Enginuity!$B$13=3, Enginuity!$B$13=6)),
      AND(P5576="Inner Centre Jamb", OR(Enginuity!$B$13=4, Enginuity!$B$13=6)),
      AND(
        LEFT(P5576,5)&lt;&gt;"1-Way",
        LEFT(P5576,5)&lt;&gt;"2-Way",
        LEFT(P5576,5)&lt;&gt;"3-Way",
        P5576&lt;&gt;"Inner Centre Jamb"
      )
    ),
    IF(OR(Enginuity!$A$1="Frameless Glass",Enginuity!$A$1="Metal Work"),
      AND(TRIM(B5576)=TRIM(Enginuity!$A$17),TRIM(C5576)=TRIM(Enginuity!$A$18)),
      TRIM(B5576)=TRIM(Enginuity!$A$17)
    )
  ),
  ROW(),
  ""
)</f>
        <v/>
      </c>
    </row>
    <row r="5577" spans="21:21" x14ac:dyDescent="0.25">
      <c r="U5577" s="104" t="str">
        <f>IF(
  AND(
    TRIM(A5577)=TRIM(Enginuity!$A$1),
    TRIM(B5577)=TRIM(Enginuity!$A$17),
    Q5577&lt;&gt;"",
    Q5577&lt;&gt;0,
    OR(
      TRIM(C5577)=TRIM(Enginuity!$A$18),
      AND(UPPER(TRIM(M5577))="STD", TRIM(B5577)=TRIM(Enginuity!$A$17))
    ),
    OR(
      AND(LEFT(P5577,5)="1-Way", Enginuity!$B$13=1),
      AND(LEFT(P5577,5)="2-Way", OR(Enginuity!$B$13=2, Enginuity!$B$13=4)),
      AND(LEFT(P5577,5)="3-Way", OR(Enginuity!$B$13=3, Enginuity!$B$13=6)),
      AND(P5577="Inner Centre Jamb", OR(Enginuity!$B$13=4, Enginuity!$B$13=6)),
      AND(
        LEFT(P5577,5)&lt;&gt;"1-Way",
        LEFT(P5577,5)&lt;&gt;"2-Way",
        LEFT(P5577,5)&lt;&gt;"3-Way",
        P5577&lt;&gt;"Inner Centre Jamb"
      )
    ),
    IF(OR(Enginuity!$A$1="Frameless Glass",Enginuity!$A$1="Metal Work"),
      AND(TRIM(B5577)=TRIM(Enginuity!$A$17),TRIM(C5577)=TRIM(Enginuity!$A$18)),
      TRIM(B5577)=TRIM(Enginuity!$A$17)
    )
  ),
  ROW(),
  ""
)</f>
        <v/>
      </c>
    </row>
    <row r="5578" spans="21:21" x14ac:dyDescent="0.25">
      <c r="U5578" s="104" t="str">
        <f>IF(
  AND(
    TRIM(A5578)=TRIM(Enginuity!$A$1),
    TRIM(B5578)=TRIM(Enginuity!$A$17),
    Q5578&lt;&gt;"",
    Q5578&lt;&gt;0,
    OR(
      TRIM(C5578)=TRIM(Enginuity!$A$18),
      AND(UPPER(TRIM(M5578))="STD", TRIM(B5578)=TRIM(Enginuity!$A$17))
    ),
    OR(
      AND(LEFT(P5578,5)="1-Way", Enginuity!$B$13=1),
      AND(LEFT(P5578,5)="2-Way", OR(Enginuity!$B$13=2, Enginuity!$B$13=4)),
      AND(LEFT(P5578,5)="3-Way", OR(Enginuity!$B$13=3, Enginuity!$B$13=6)),
      AND(P5578="Inner Centre Jamb", OR(Enginuity!$B$13=4, Enginuity!$B$13=6)),
      AND(
        LEFT(P5578,5)&lt;&gt;"1-Way",
        LEFT(P5578,5)&lt;&gt;"2-Way",
        LEFT(P5578,5)&lt;&gt;"3-Way",
        P5578&lt;&gt;"Inner Centre Jamb"
      )
    ),
    IF(OR(Enginuity!$A$1="Frameless Glass",Enginuity!$A$1="Metal Work"),
      AND(TRIM(B5578)=TRIM(Enginuity!$A$17),TRIM(C5578)=TRIM(Enginuity!$A$18)),
      TRIM(B5578)=TRIM(Enginuity!$A$17)
    )
  ),
  ROW(),
  ""
)</f>
        <v/>
      </c>
    </row>
    <row r="5579" spans="21:21" x14ac:dyDescent="0.25">
      <c r="U5579" s="104" t="str">
        <f>IF(
  AND(
    TRIM(A5579)=TRIM(Enginuity!$A$1),
    TRIM(B5579)=TRIM(Enginuity!$A$17),
    Q5579&lt;&gt;"",
    Q5579&lt;&gt;0,
    OR(
      TRIM(C5579)=TRIM(Enginuity!$A$18),
      AND(UPPER(TRIM(M5579))="STD", TRIM(B5579)=TRIM(Enginuity!$A$17))
    ),
    OR(
      AND(LEFT(P5579,5)="1-Way", Enginuity!$B$13=1),
      AND(LEFT(P5579,5)="2-Way", OR(Enginuity!$B$13=2, Enginuity!$B$13=4)),
      AND(LEFT(P5579,5)="3-Way", OR(Enginuity!$B$13=3, Enginuity!$B$13=6)),
      AND(P5579="Inner Centre Jamb", OR(Enginuity!$B$13=4, Enginuity!$B$13=6)),
      AND(
        LEFT(P5579,5)&lt;&gt;"1-Way",
        LEFT(P5579,5)&lt;&gt;"2-Way",
        LEFT(P5579,5)&lt;&gt;"3-Way",
        P5579&lt;&gt;"Inner Centre Jamb"
      )
    ),
    IF(OR(Enginuity!$A$1="Frameless Glass",Enginuity!$A$1="Metal Work"),
      AND(TRIM(B5579)=TRIM(Enginuity!$A$17),TRIM(C5579)=TRIM(Enginuity!$A$18)),
      TRIM(B5579)=TRIM(Enginuity!$A$17)
    )
  ),
  ROW(),
  ""
)</f>
        <v/>
      </c>
    </row>
    <row r="5580" spans="21:21" x14ac:dyDescent="0.25">
      <c r="U5580" s="104" t="str">
        <f>IF(
  AND(
    TRIM(A5580)=TRIM(Enginuity!$A$1),
    TRIM(B5580)=TRIM(Enginuity!$A$17),
    Q5580&lt;&gt;"",
    Q5580&lt;&gt;0,
    OR(
      TRIM(C5580)=TRIM(Enginuity!$A$18),
      AND(UPPER(TRIM(M5580))="STD", TRIM(B5580)=TRIM(Enginuity!$A$17))
    ),
    OR(
      AND(LEFT(P5580,5)="1-Way", Enginuity!$B$13=1),
      AND(LEFT(P5580,5)="2-Way", OR(Enginuity!$B$13=2, Enginuity!$B$13=4)),
      AND(LEFT(P5580,5)="3-Way", OR(Enginuity!$B$13=3, Enginuity!$B$13=6)),
      AND(P5580="Inner Centre Jamb", OR(Enginuity!$B$13=4, Enginuity!$B$13=6)),
      AND(
        LEFT(P5580,5)&lt;&gt;"1-Way",
        LEFT(P5580,5)&lt;&gt;"2-Way",
        LEFT(P5580,5)&lt;&gt;"3-Way",
        P5580&lt;&gt;"Inner Centre Jamb"
      )
    ),
    IF(OR(Enginuity!$A$1="Frameless Glass",Enginuity!$A$1="Metal Work"),
      AND(TRIM(B5580)=TRIM(Enginuity!$A$17),TRIM(C5580)=TRIM(Enginuity!$A$18)),
      TRIM(B5580)=TRIM(Enginuity!$A$17)
    )
  ),
  ROW(),
  ""
)</f>
        <v/>
      </c>
    </row>
    <row r="5581" spans="21:21" x14ac:dyDescent="0.25">
      <c r="U5581" s="104" t="str">
        <f>IF(
  AND(
    TRIM(A5581)=TRIM(Enginuity!$A$1),
    TRIM(B5581)=TRIM(Enginuity!$A$17),
    Q5581&lt;&gt;"",
    Q5581&lt;&gt;0,
    OR(
      TRIM(C5581)=TRIM(Enginuity!$A$18),
      AND(UPPER(TRIM(M5581))="STD", TRIM(B5581)=TRIM(Enginuity!$A$17))
    ),
    OR(
      AND(LEFT(P5581,5)="1-Way", Enginuity!$B$13=1),
      AND(LEFT(P5581,5)="2-Way", OR(Enginuity!$B$13=2, Enginuity!$B$13=4)),
      AND(LEFT(P5581,5)="3-Way", OR(Enginuity!$B$13=3, Enginuity!$B$13=6)),
      AND(P5581="Inner Centre Jamb", OR(Enginuity!$B$13=4, Enginuity!$B$13=6)),
      AND(
        LEFT(P5581,5)&lt;&gt;"1-Way",
        LEFT(P5581,5)&lt;&gt;"2-Way",
        LEFT(P5581,5)&lt;&gt;"3-Way",
        P5581&lt;&gt;"Inner Centre Jamb"
      )
    ),
    IF(OR(Enginuity!$A$1="Frameless Glass",Enginuity!$A$1="Metal Work"),
      AND(TRIM(B5581)=TRIM(Enginuity!$A$17),TRIM(C5581)=TRIM(Enginuity!$A$18)),
      TRIM(B5581)=TRIM(Enginuity!$A$17)
    )
  ),
  ROW(),
  ""
)</f>
        <v/>
      </c>
    </row>
    <row r="5582" spans="21:21" x14ac:dyDescent="0.25">
      <c r="U5582" s="104" t="str">
        <f>IF(
  AND(
    TRIM(A5582)=TRIM(Enginuity!$A$1),
    TRIM(B5582)=TRIM(Enginuity!$A$17),
    Q5582&lt;&gt;"",
    Q5582&lt;&gt;0,
    OR(
      TRIM(C5582)=TRIM(Enginuity!$A$18),
      AND(UPPER(TRIM(M5582))="STD", TRIM(B5582)=TRIM(Enginuity!$A$17))
    ),
    OR(
      AND(LEFT(P5582,5)="1-Way", Enginuity!$B$13=1),
      AND(LEFT(P5582,5)="2-Way", OR(Enginuity!$B$13=2, Enginuity!$B$13=4)),
      AND(LEFT(P5582,5)="3-Way", OR(Enginuity!$B$13=3, Enginuity!$B$13=6)),
      AND(P5582="Inner Centre Jamb", OR(Enginuity!$B$13=4, Enginuity!$B$13=6)),
      AND(
        LEFT(P5582,5)&lt;&gt;"1-Way",
        LEFT(P5582,5)&lt;&gt;"2-Way",
        LEFT(P5582,5)&lt;&gt;"3-Way",
        P5582&lt;&gt;"Inner Centre Jamb"
      )
    ),
    IF(OR(Enginuity!$A$1="Frameless Glass",Enginuity!$A$1="Metal Work"),
      AND(TRIM(B5582)=TRIM(Enginuity!$A$17),TRIM(C5582)=TRIM(Enginuity!$A$18)),
      TRIM(B5582)=TRIM(Enginuity!$A$17)
    )
  ),
  ROW(),
  ""
)</f>
        <v/>
      </c>
    </row>
    <row r="5583" spans="21:21" x14ac:dyDescent="0.25">
      <c r="U5583" s="104" t="str">
        <f>IF(
  AND(
    TRIM(A5583)=TRIM(Enginuity!$A$1),
    TRIM(B5583)=TRIM(Enginuity!$A$17),
    Q5583&lt;&gt;"",
    Q5583&lt;&gt;0,
    OR(
      TRIM(C5583)=TRIM(Enginuity!$A$18),
      AND(UPPER(TRIM(M5583))="STD", TRIM(B5583)=TRIM(Enginuity!$A$17))
    ),
    OR(
      AND(LEFT(P5583,5)="1-Way", Enginuity!$B$13=1),
      AND(LEFT(P5583,5)="2-Way", OR(Enginuity!$B$13=2, Enginuity!$B$13=4)),
      AND(LEFT(P5583,5)="3-Way", OR(Enginuity!$B$13=3, Enginuity!$B$13=6)),
      AND(P5583="Inner Centre Jamb", OR(Enginuity!$B$13=4, Enginuity!$B$13=6)),
      AND(
        LEFT(P5583,5)&lt;&gt;"1-Way",
        LEFT(P5583,5)&lt;&gt;"2-Way",
        LEFT(P5583,5)&lt;&gt;"3-Way",
        P5583&lt;&gt;"Inner Centre Jamb"
      )
    ),
    IF(OR(Enginuity!$A$1="Frameless Glass",Enginuity!$A$1="Metal Work"),
      AND(TRIM(B5583)=TRIM(Enginuity!$A$17),TRIM(C5583)=TRIM(Enginuity!$A$18)),
      TRIM(B5583)=TRIM(Enginuity!$A$17)
    )
  ),
  ROW(),
  ""
)</f>
        <v/>
      </c>
    </row>
    <row r="5584" spans="21:21" x14ac:dyDescent="0.25">
      <c r="U5584" s="104" t="str">
        <f>IF(
  AND(
    TRIM(A5584)=TRIM(Enginuity!$A$1),
    TRIM(B5584)=TRIM(Enginuity!$A$17),
    Q5584&lt;&gt;"",
    Q5584&lt;&gt;0,
    OR(
      TRIM(C5584)=TRIM(Enginuity!$A$18),
      AND(UPPER(TRIM(M5584))="STD", TRIM(B5584)=TRIM(Enginuity!$A$17))
    ),
    OR(
      AND(LEFT(P5584,5)="1-Way", Enginuity!$B$13=1),
      AND(LEFT(P5584,5)="2-Way", OR(Enginuity!$B$13=2, Enginuity!$B$13=4)),
      AND(LEFT(P5584,5)="3-Way", OR(Enginuity!$B$13=3, Enginuity!$B$13=6)),
      AND(P5584="Inner Centre Jamb", OR(Enginuity!$B$13=4, Enginuity!$B$13=6)),
      AND(
        LEFT(P5584,5)&lt;&gt;"1-Way",
        LEFT(P5584,5)&lt;&gt;"2-Way",
        LEFT(P5584,5)&lt;&gt;"3-Way",
        P5584&lt;&gt;"Inner Centre Jamb"
      )
    ),
    IF(OR(Enginuity!$A$1="Frameless Glass",Enginuity!$A$1="Metal Work"),
      AND(TRIM(B5584)=TRIM(Enginuity!$A$17),TRIM(C5584)=TRIM(Enginuity!$A$18)),
      TRIM(B5584)=TRIM(Enginuity!$A$17)
    )
  ),
  ROW(),
  ""
)</f>
        <v/>
      </c>
    </row>
    <row r="5585" spans="21:21" x14ac:dyDescent="0.25">
      <c r="U5585" s="104" t="str">
        <f>IF(
  AND(
    TRIM(A5585)=TRIM(Enginuity!$A$1),
    TRIM(B5585)=TRIM(Enginuity!$A$17),
    Q5585&lt;&gt;"",
    Q5585&lt;&gt;0,
    OR(
      TRIM(C5585)=TRIM(Enginuity!$A$18),
      AND(UPPER(TRIM(M5585))="STD", TRIM(B5585)=TRIM(Enginuity!$A$17))
    ),
    OR(
      AND(LEFT(P5585,5)="1-Way", Enginuity!$B$13=1),
      AND(LEFT(P5585,5)="2-Way", OR(Enginuity!$B$13=2, Enginuity!$B$13=4)),
      AND(LEFT(P5585,5)="3-Way", OR(Enginuity!$B$13=3, Enginuity!$B$13=6)),
      AND(P5585="Inner Centre Jamb", OR(Enginuity!$B$13=4, Enginuity!$B$13=6)),
      AND(
        LEFT(P5585,5)&lt;&gt;"1-Way",
        LEFT(P5585,5)&lt;&gt;"2-Way",
        LEFT(P5585,5)&lt;&gt;"3-Way",
        P5585&lt;&gt;"Inner Centre Jamb"
      )
    ),
    IF(OR(Enginuity!$A$1="Frameless Glass",Enginuity!$A$1="Metal Work"),
      AND(TRIM(B5585)=TRIM(Enginuity!$A$17),TRIM(C5585)=TRIM(Enginuity!$A$18)),
      TRIM(B5585)=TRIM(Enginuity!$A$17)
    )
  ),
  ROW(),
  ""
)</f>
        <v/>
      </c>
    </row>
    <row r="5586" spans="21:21" x14ac:dyDescent="0.25">
      <c r="U5586" s="104" t="str">
        <f>IF(
  AND(
    TRIM(A5586)=TRIM(Enginuity!$A$1),
    TRIM(B5586)=TRIM(Enginuity!$A$17),
    Q5586&lt;&gt;"",
    Q5586&lt;&gt;0,
    OR(
      TRIM(C5586)=TRIM(Enginuity!$A$18),
      AND(UPPER(TRIM(M5586))="STD", TRIM(B5586)=TRIM(Enginuity!$A$17))
    ),
    OR(
      AND(LEFT(P5586,5)="1-Way", Enginuity!$B$13=1),
      AND(LEFT(P5586,5)="2-Way", OR(Enginuity!$B$13=2, Enginuity!$B$13=4)),
      AND(LEFT(P5586,5)="3-Way", OR(Enginuity!$B$13=3, Enginuity!$B$13=6)),
      AND(P5586="Inner Centre Jamb", OR(Enginuity!$B$13=4, Enginuity!$B$13=6)),
      AND(
        LEFT(P5586,5)&lt;&gt;"1-Way",
        LEFT(P5586,5)&lt;&gt;"2-Way",
        LEFT(P5586,5)&lt;&gt;"3-Way",
        P5586&lt;&gt;"Inner Centre Jamb"
      )
    ),
    IF(OR(Enginuity!$A$1="Frameless Glass",Enginuity!$A$1="Metal Work"),
      AND(TRIM(B5586)=TRIM(Enginuity!$A$17),TRIM(C5586)=TRIM(Enginuity!$A$18)),
      TRIM(B5586)=TRIM(Enginuity!$A$17)
    )
  ),
  ROW(),
  ""
)</f>
        <v/>
      </c>
    </row>
    <row r="5587" spans="21:21" x14ac:dyDescent="0.25">
      <c r="U5587" s="104" t="str">
        <f>IF(
  AND(
    TRIM(A5587)=TRIM(Enginuity!$A$1),
    TRIM(B5587)=TRIM(Enginuity!$A$17),
    Q5587&lt;&gt;"",
    Q5587&lt;&gt;0,
    OR(
      TRIM(C5587)=TRIM(Enginuity!$A$18),
      AND(UPPER(TRIM(M5587))="STD", TRIM(B5587)=TRIM(Enginuity!$A$17))
    ),
    OR(
      AND(LEFT(P5587,5)="1-Way", Enginuity!$B$13=1),
      AND(LEFT(P5587,5)="2-Way", OR(Enginuity!$B$13=2, Enginuity!$B$13=4)),
      AND(LEFT(P5587,5)="3-Way", OR(Enginuity!$B$13=3, Enginuity!$B$13=6)),
      AND(P5587="Inner Centre Jamb", OR(Enginuity!$B$13=4, Enginuity!$B$13=6)),
      AND(
        LEFT(P5587,5)&lt;&gt;"1-Way",
        LEFT(P5587,5)&lt;&gt;"2-Way",
        LEFT(P5587,5)&lt;&gt;"3-Way",
        P5587&lt;&gt;"Inner Centre Jamb"
      )
    ),
    IF(OR(Enginuity!$A$1="Frameless Glass",Enginuity!$A$1="Metal Work"),
      AND(TRIM(B5587)=TRIM(Enginuity!$A$17),TRIM(C5587)=TRIM(Enginuity!$A$18)),
      TRIM(B5587)=TRIM(Enginuity!$A$17)
    )
  ),
  ROW(),
  ""
)</f>
        <v/>
      </c>
    </row>
    <row r="5588" spans="21:21" x14ac:dyDescent="0.25">
      <c r="U5588" s="104" t="str">
        <f>IF(
  AND(
    TRIM(A5588)=TRIM(Enginuity!$A$1),
    TRIM(B5588)=TRIM(Enginuity!$A$17),
    Q5588&lt;&gt;"",
    Q5588&lt;&gt;0,
    OR(
      TRIM(C5588)=TRIM(Enginuity!$A$18),
      AND(UPPER(TRIM(M5588))="STD", TRIM(B5588)=TRIM(Enginuity!$A$17))
    ),
    OR(
      AND(LEFT(P5588,5)="1-Way", Enginuity!$B$13=1),
      AND(LEFT(P5588,5)="2-Way", OR(Enginuity!$B$13=2, Enginuity!$B$13=4)),
      AND(LEFT(P5588,5)="3-Way", OR(Enginuity!$B$13=3, Enginuity!$B$13=6)),
      AND(P5588="Inner Centre Jamb", OR(Enginuity!$B$13=4, Enginuity!$B$13=6)),
      AND(
        LEFT(P5588,5)&lt;&gt;"1-Way",
        LEFT(P5588,5)&lt;&gt;"2-Way",
        LEFT(P5588,5)&lt;&gt;"3-Way",
        P5588&lt;&gt;"Inner Centre Jamb"
      )
    ),
    IF(OR(Enginuity!$A$1="Frameless Glass",Enginuity!$A$1="Metal Work"),
      AND(TRIM(B5588)=TRIM(Enginuity!$A$17),TRIM(C5588)=TRIM(Enginuity!$A$18)),
      TRIM(B5588)=TRIM(Enginuity!$A$17)
    )
  ),
  ROW(),
  ""
)</f>
        <v/>
      </c>
    </row>
    <row r="5589" spans="21:21" x14ac:dyDescent="0.25">
      <c r="U5589" s="103"/>
    </row>
    <row r="5590" spans="21:21" x14ac:dyDescent="0.25">
      <c r="U5590" s="103"/>
    </row>
  </sheetData>
  <sortState xmlns:xlrd2="http://schemas.microsoft.com/office/spreadsheetml/2017/richdata2" ref="BA484:BB503">
    <sortCondition ref="BA484:BA503"/>
  </sortState>
  <phoneticPr fontId="3" type="noConversion"/>
  <pageMargins left="0.7" right="0.7" top="0.75" bottom="0.75" header="0.3" footer="0.3"/>
  <pageSetup orientation="portrait" horizontalDpi="1200" verticalDpi="1200" r:id="rId1"/>
  <ignoredErrors>
    <ignoredError sqref="Q1740" 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4B22C-EC45-44B5-B63E-C0EBD1C262F1}">
  <sheetPr codeName="Sheet14"/>
  <dimension ref="A1:T31"/>
  <sheetViews>
    <sheetView zoomScale="75" zoomScaleNormal="75" workbookViewId="0">
      <selection activeCell="N11" sqref="N11"/>
    </sheetView>
  </sheetViews>
  <sheetFormatPr defaultRowHeight="15" x14ac:dyDescent="0.25"/>
  <cols>
    <col min="1" max="1" width="14.28515625" style="370" bestFit="1" customWidth="1"/>
    <col min="2" max="2" width="13.28515625" style="370" bestFit="1" customWidth="1"/>
    <col min="3" max="3" width="12.85546875" style="370" bestFit="1" customWidth="1"/>
    <col min="4" max="4" width="12.7109375" style="370" bestFit="1" customWidth="1"/>
    <col min="5" max="5" width="12" style="370" bestFit="1" customWidth="1"/>
    <col min="6" max="12" width="8.7109375" style="370" bestFit="1" customWidth="1"/>
    <col min="13" max="16" width="9.140625" style="370"/>
    <col min="17" max="17" width="13.28515625" style="370" bestFit="1" customWidth="1"/>
    <col min="18" max="18" width="9.140625" style="370"/>
    <col min="19" max="19" width="9.140625" style="1"/>
    <col min="20" max="16384" width="9.140625" style="370"/>
  </cols>
  <sheetData>
    <row r="1" spans="1:20" x14ac:dyDescent="0.25">
      <c r="A1" s="1" t="s">
        <v>1829</v>
      </c>
      <c r="B1" s="1" t="s">
        <v>1830</v>
      </c>
      <c r="C1" s="1" t="s">
        <v>1831</v>
      </c>
      <c r="D1" s="1" t="s">
        <v>1832</v>
      </c>
      <c r="E1" s="1" t="s">
        <v>1833</v>
      </c>
      <c r="F1" s="1" t="s">
        <v>1834</v>
      </c>
      <c r="G1" s="1" t="s">
        <v>1835</v>
      </c>
      <c r="H1" s="1" t="s">
        <v>1836</v>
      </c>
      <c r="I1" s="1" t="s">
        <v>1837</v>
      </c>
      <c r="J1" s="1" t="s">
        <v>1838</v>
      </c>
      <c r="K1" s="1" t="s">
        <v>1839</v>
      </c>
      <c r="L1" s="1" t="s">
        <v>1840</v>
      </c>
      <c r="M1" s="1" t="s">
        <v>1841</v>
      </c>
      <c r="N1" s="1" t="s">
        <v>1842</v>
      </c>
      <c r="O1" s="1" t="s">
        <v>1844</v>
      </c>
      <c r="P1" s="1" t="s">
        <v>1843</v>
      </c>
      <c r="Q1" s="1" t="s">
        <v>1790</v>
      </c>
      <c r="R1" s="1" t="s">
        <v>102</v>
      </c>
      <c r="S1" s="1" t="s">
        <v>1845</v>
      </c>
      <c r="T1" s="1" t="s">
        <v>430</v>
      </c>
    </row>
    <row r="2" spans="1:20" x14ac:dyDescent="0.25">
      <c r="A2" s="398"/>
      <c r="B2" s="370" t="s">
        <v>1846</v>
      </c>
      <c r="P2" s="370" t="str">
        <f>IF(OR($S2="",$S2=0),"",COUNTIF($S$2:S2,"&lt;&gt;0"))</f>
        <v/>
      </c>
    </row>
    <row r="3" spans="1:20" x14ac:dyDescent="0.25">
      <c r="B3" s="370" t="s">
        <v>1848</v>
      </c>
      <c r="P3" s="370" t="str">
        <f>IF(OR($S3="",$S3=0),"",COUNTIF($S$2:S3,"&lt;&gt;0"))</f>
        <v/>
      </c>
    </row>
    <row r="4" spans="1:20" x14ac:dyDescent="0.25">
      <c r="B4" s="370" t="s">
        <v>382</v>
      </c>
      <c r="P4" s="370" t="str">
        <f>IF(OR($S4="",$S4=0),"",COUNTIF($S$2:S4,"&lt;&gt;0"))</f>
        <v/>
      </c>
    </row>
    <row r="5" spans="1:20" x14ac:dyDescent="0.25">
      <c r="B5" s="370" t="s">
        <v>1847</v>
      </c>
      <c r="P5" s="370" t="str">
        <f>IF(OR($S5="",$S5=0),"",COUNTIF($S$2:S5,"&lt;&gt;0"))</f>
        <v/>
      </c>
    </row>
    <row r="6" spans="1:20" x14ac:dyDescent="0.25">
      <c r="P6" s="370" t="str">
        <f>IF(OR($S6="",$S6=0),"",COUNTIF($S$2:S6,"&lt;&gt;0"))</f>
        <v/>
      </c>
    </row>
    <row r="7" spans="1:20" x14ac:dyDescent="0.25">
      <c r="P7" s="370" t="str">
        <f>IF(OR($S7="",$S7=0),"",COUNTIF($S$2:S7,"&lt;&gt;0"))</f>
        <v/>
      </c>
    </row>
    <row r="8" spans="1:20" x14ac:dyDescent="0.25">
      <c r="P8" s="370" t="str">
        <f>IF(OR($S8="",$S8=0),"",COUNTIF($S$2:S8,"&lt;&gt;0"))</f>
        <v/>
      </c>
    </row>
    <row r="9" spans="1:20" x14ac:dyDescent="0.25">
      <c r="P9" s="370" t="str">
        <f>IF(OR($S9="",$S9=0),"",COUNTIF($S$2:S9,"&lt;&gt;0"))</f>
        <v/>
      </c>
    </row>
    <row r="10" spans="1:20" x14ac:dyDescent="0.25">
      <c r="P10" s="370" t="str">
        <f>IF(OR($S10="",$S10=0),"",COUNTIF($S$2:S10,"&lt;&gt;0"))</f>
        <v/>
      </c>
    </row>
    <row r="11" spans="1:20" x14ac:dyDescent="0.25">
      <c r="P11" s="370" t="str">
        <f>IF(OR($S11="",$S11=0),"",COUNTIF($S$2:S11,"&lt;&gt;0"))</f>
        <v/>
      </c>
    </row>
    <row r="12" spans="1:20" x14ac:dyDescent="0.25">
      <c r="P12" s="370" t="str">
        <f>IF(OR($S12="",$S12=0),"",COUNTIF($S$2:S12,"&lt;&gt;0"))</f>
        <v/>
      </c>
    </row>
    <row r="13" spans="1:20" x14ac:dyDescent="0.25">
      <c r="P13" s="370" t="str">
        <f>IF(OR($S13="",$S13=0),"",COUNTIF($S$2:S13,"&lt;&gt;0"))</f>
        <v/>
      </c>
    </row>
    <row r="14" spans="1:20" x14ac:dyDescent="0.25">
      <c r="P14" s="370" t="str">
        <f>IF(OR($S14="",$S14=0),"",COUNTIF($S$2:S14,"&lt;&gt;0"))</f>
        <v/>
      </c>
    </row>
    <row r="15" spans="1:20" x14ac:dyDescent="0.25">
      <c r="P15" s="370" t="str">
        <f>IF(OR($S15="",$S15=0),"",COUNTIF($S$2:S15,"&lt;&gt;0"))</f>
        <v/>
      </c>
    </row>
    <row r="16" spans="1:20" x14ac:dyDescent="0.25">
      <c r="P16" s="370" t="str">
        <f>IF(OR($S16="",$S16=0),"",COUNTIF($S$2:S16,"&lt;&gt;0"))</f>
        <v/>
      </c>
    </row>
    <row r="17" spans="16:16" x14ac:dyDescent="0.25">
      <c r="P17" s="370" t="str">
        <f>IF(OR($S17="",$S17=0),"",COUNTIF($S$2:S17,"&lt;&gt;0"))</f>
        <v/>
      </c>
    </row>
    <row r="18" spans="16:16" x14ac:dyDescent="0.25">
      <c r="P18" s="370" t="str">
        <f>IF(OR($S18="",$S18=0),"",COUNTIF($S$2:S18,"&lt;&gt;0"))</f>
        <v/>
      </c>
    </row>
    <row r="19" spans="16:16" x14ac:dyDescent="0.25">
      <c r="P19" s="370" t="str">
        <f>IF(OR($S19="",$S19=0),"",COUNTIF($S$2:S19,"&lt;&gt;0"))</f>
        <v/>
      </c>
    </row>
    <row r="20" spans="16:16" x14ac:dyDescent="0.25">
      <c r="P20" s="370" t="str">
        <f>IF(OR($S20="",$S20=0),"",COUNTIF($S$2:S20,"&lt;&gt;0"))</f>
        <v/>
      </c>
    </row>
    <row r="21" spans="16:16" x14ac:dyDescent="0.25">
      <c r="P21" s="370" t="str">
        <f>IF(OR($S21="",$S21=0),"",COUNTIF($S$2:S21,"&lt;&gt;0"))</f>
        <v/>
      </c>
    </row>
    <row r="22" spans="16:16" x14ac:dyDescent="0.25">
      <c r="P22" s="370" t="str">
        <f>IF(OR($S22="",$S22=0),"",COUNTIF($S$2:S22,"&lt;&gt;0"))</f>
        <v/>
      </c>
    </row>
    <row r="23" spans="16:16" x14ac:dyDescent="0.25">
      <c r="P23" s="370" t="str">
        <f>IF(OR($S23="",$S23=0),"",COUNTIF($S$2:S23,"&lt;&gt;0"))</f>
        <v/>
      </c>
    </row>
    <row r="24" spans="16:16" x14ac:dyDescent="0.25">
      <c r="P24" s="370" t="str">
        <f>IF(OR($S24="",$S24=0),"",COUNTIF($S$2:S24,"&lt;&gt;0"))</f>
        <v/>
      </c>
    </row>
    <row r="25" spans="16:16" x14ac:dyDescent="0.25">
      <c r="P25" s="370" t="str">
        <f>IF(OR($S25="",$S25=0),"",COUNTIF($S$2:S25,"&lt;&gt;0"))</f>
        <v/>
      </c>
    </row>
    <row r="26" spans="16:16" x14ac:dyDescent="0.25">
      <c r="P26" s="370" t="str">
        <f>IF(OR($S26="",$S26=0),"",COUNTIF($S$2:S26,"&lt;&gt;0"))</f>
        <v/>
      </c>
    </row>
    <row r="27" spans="16:16" x14ac:dyDescent="0.25">
      <c r="P27" s="370" t="str">
        <f>IF(OR($S27="",$S27=0),"",COUNTIF($S$2:S27,"&lt;&gt;0"))</f>
        <v/>
      </c>
    </row>
    <row r="28" spans="16:16" x14ac:dyDescent="0.25">
      <c r="P28" s="370" t="str">
        <f>IF(OR($S28="",$S28=0),"",COUNTIF($S$2:S28,"&lt;&gt;0"))</f>
        <v/>
      </c>
    </row>
    <row r="29" spans="16:16" x14ac:dyDescent="0.25">
      <c r="P29" s="370" t="str">
        <f>IF(OR($S29="",$S29=0),"",COUNTIF($S$2:S29,"&lt;&gt;0"))</f>
        <v/>
      </c>
    </row>
    <row r="30" spans="16:16" x14ac:dyDescent="0.25">
      <c r="P30" s="370" t="str">
        <f>IF(OR($S30="",$S30=0),"",COUNTIF($S$2:S30,"&lt;&gt;0"))</f>
        <v/>
      </c>
    </row>
    <row r="31" spans="16:16" x14ac:dyDescent="0.25">
      <c r="P31" s="370" t="str">
        <f>IF(OR($S31="",$S31=0),"",COUNTIF($S$2:S31,"&lt;&gt;0"))</f>
        <v/>
      </c>
    </row>
  </sheetData>
  <conditionalFormatting sqref="P1:T1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D74C5-93B3-4993-93AB-F291D5D96C18}">
  <sheetPr codeName="Sheet4"/>
  <dimension ref="A1:AA25"/>
  <sheetViews>
    <sheetView zoomScale="75" zoomScaleNormal="75" workbookViewId="0">
      <selection sqref="A1:K25"/>
    </sheetView>
  </sheetViews>
  <sheetFormatPr defaultRowHeight="15" x14ac:dyDescent="0.25"/>
  <cols>
    <col min="1" max="1" width="25.7109375" bestFit="1" customWidth="1"/>
    <col min="2" max="2" width="9.7109375" bestFit="1" customWidth="1"/>
    <col min="3" max="3" width="6.42578125" style="269" bestFit="1" customWidth="1"/>
    <col min="4" max="4" width="8.7109375" bestFit="1" customWidth="1"/>
    <col min="5" max="5" width="14.42578125" bestFit="1" customWidth="1"/>
    <col min="6" max="6" width="19.42578125" bestFit="1" customWidth="1"/>
    <col min="7" max="7" width="12.85546875" bestFit="1" customWidth="1"/>
    <col min="8" max="8" width="16.7109375" bestFit="1" customWidth="1"/>
    <col min="9" max="9" width="17.85546875" bestFit="1" customWidth="1"/>
    <col min="10" max="10" width="13.7109375" bestFit="1" customWidth="1"/>
    <col min="11" max="11" width="15.140625" customWidth="1"/>
    <col min="17" max="17" width="25.7109375" bestFit="1" customWidth="1"/>
    <col min="18" max="18" width="10.28515625" bestFit="1" customWidth="1"/>
    <col min="19" max="19" width="6.42578125" bestFit="1" customWidth="1"/>
    <col min="20" max="20" width="8.7109375" bestFit="1" customWidth="1"/>
    <col min="21" max="21" width="11.7109375" bestFit="1" customWidth="1"/>
    <col min="22" max="22" width="16.7109375" bestFit="1" customWidth="1"/>
    <col min="23" max="23" width="10.85546875" bestFit="1" customWidth="1"/>
    <col min="24" max="24" width="16.7109375" bestFit="1" customWidth="1"/>
    <col min="25" max="25" width="17.7109375" bestFit="1" customWidth="1"/>
    <col min="26" max="26" width="13.7109375" bestFit="1" customWidth="1"/>
    <col min="27" max="27" width="15.140625" bestFit="1" customWidth="1"/>
  </cols>
  <sheetData>
    <row r="1" spans="1:27" ht="15" customHeight="1" x14ac:dyDescent="0.25">
      <c r="A1" s="430" t="s">
        <v>1473</v>
      </c>
      <c r="B1" s="431"/>
      <c r="C1" s="431"/>
      <c r="D1" s="431"/>
      <c r="E1" s="431"/>
      <c r="F1" s="431"/>
      <c r="G1" s="431"/>
      <c r="H1" s="431"/>
      <c r="I1" s="431"/>
      <c r="J1" s="431"/>
      <c r="K1" s="431"/>
      <c r="Q1" s="430" t="s">
        <v>1473</v>
      </c>
      <c r="R1" s="431"/>
      <c r="S1" s="431"/>
      <c r="T1" s="431"/>
      <c r="U1" s="431"/>
      <c r="V1" s="431"/>
      <c r="W1" s="431"/>
      <c r="X1" s="431"/>
      <c r="Y1" s="431"/>
      <c r="Z1" s="431"/>
      <c r="AA1" s="431"/>
    </row>
    <row r="2" spans="1:27" ht="15" customHeight="1" x14ac:dyDescent="0.25">
      <c r="A2" s="432" t="s">
        <v>1474</v>
      </c>
      <c r="B2" s="431"/>
      <c r="C2" s="431"/>
      <c r="D2" s="431"/>
      <c r="E2" s="431"/>
      <c r="F2" s="431"/>
      <c r="G2" s="431"/>
      <c r="H2" s="431"/>
      <c r="I2" s="431"/>
      <c r="J2" s="431"/>
      <c r="K2" s="431"/>
      <c r="Q2" s="432" t="s">
        <v>1474</v>
      </c>
      <c r="R2" s="431"/>
      <c r="S2" s="431"/>
      <c r="T2" s="431"/>
      <c r="U2" s="431"/>
      <c r="V2" s="431"/>
      <c r="W2" s="431"/>
      <c r="X2" s="431"/>
      <c r="Y2" s="431"/>
      <c r="Z2" s="431"/>
      <c r="AA2" s="431"/>
    </row>
    <row r="3" spans="1:27" ht="15" customHeight="1" x14ac:dyDescent="0.25">
      <c r="A3" s="258" t="s">
        <v>1475</v>
      </c>
      <c r="B3" s="259">
        <v>21.4</v>
      </c>
      <c r="C3"/>
      <c r="F3" s="436" t="s">
        <v>1512</v>
      </c>
      <c r="G3" s="437"/>
      <c r="H3" s="437"/>
      <c r="I3" s="438"/>
      <c r="Q3" s="258" t="s">
        <v>1475</v>
      </c>
      <c r="R3" s="259">
        <v>25</v>
      </c>
      <c r="S3" s="269"/>
      <c r="V3" s="433" t="s">
        <v>1476</v>
      </c>
      <c r="W3" s="434"/>
      <c r="X3" s="434"/>
      <c r="Y3" s="435"/>
    </row>
    <row r="4" spans="1:27" ht="15" customHeight="1" x14ac:dyDescent="0.25">
      <c r="A4" s="258" t="s">
        <v>1477</v>
      </c>
      <c r="B4" s="260">
        <v>6.1</v>
      </c>
      <c r="C4"/>
      <c r="F4" s="275"/>
      <c r="I4" s="276"/>
      <c r="Q4" s="258" t="s">
        <v>1477</v>
      </c>
      <c r="R4" s="260">
        <v>6.1</v>
      </c>
      <c r="S4" s="269"/>
    </row>
    <row r="5" spans="1:27" ht="15" customHeight="1" x14ac:dyDescent="0.25">
      <c r="A5" s="258" t="s">
        <v>1478</v>
      </c>
      <c r="B5" s="261">
        <f>B4/0.3048</f>
        <v>20.01312335958005</v>
      </c>
      <c r="C5"/>
      <c r="F5" s="277" t="s">
        <v>1479</v>
      </c>
      <c r="G5" s="262" t="s">
        <v>1480</v>
      </c>
      <c r="H5" s="262" t="s">
        <v>1481</v>
      </c>
      <c r="I5" s="278" t="s">
        <v>1482</v>
      </c>
      <c r="Q5" s="258" t="s">
        <v>1478</v>
      </c>
      <c r="R5" s="261">
        <f>R4/0.3048</f>
        <v>20.01312335958005</v>
      </c>
      <c r="S5" s="269"/>
      <c r="V5" s="262" t="s">
        <v>1479</v>
      </c>
      <c r="W5" s="262" t="s">
        <v>1480</v>
      </c>
      <c r="X5" s="262" t="s">
        <v>1481</v>
      </c>
      <c r="Y5" s="262" t="s">
        <v>1482</v>
      </c>
    </row>
    <row r="6" spans="1:27" ht="15" customHeight="1" x14ac:dyDescent="0.25">
      <c r="A6" s="258" t="s">
        <v>1483</v>
      </c>
      <c r="B6" s="263" t="s">
        <v>1476</v>
      </c>
      <c r="C6"/>
      <c r="F6" s="279">
        <v>1.2</v>
      </c>
      <c r="G6" s="280">
        <v>1.3</v>
      </c>
      <c r="H6" s="280">
        <v>4</v>
      </c>
      <c r="I6" s="281">
        <v>4.4000000000000004</v>
      </c>
      <c r="Q6" s="258" t="s">
        <v>1483</v>
      </c>
      <c r="R6" s="263" t="s">
        <v>1476</v>
      </c>
      <c r="S6" s="269"/>
      <c r="V6" s="264">
        <v>1.2</v>
      </c>
      <c r="W6" s="264">
        <v>1.3</v>
      </c>
      <c r="X6" s="264">
        <v>4</v>
      </c>
      <c r="Y6" s="264">
        <v>4.4000000000000004</v>
      </c>
    </row>
    <row r="7" spans="1:27" ht="15" customHeight="1" x14ac:dyDescent="0.25">
      <c r="A7" s="258" t="s">
        <v>1484</v>
      </c>
      <c r="B7" s="263" t="s">
        <v>1482</v>
      </c>
      <c r="C7"/>
      <c r="F7" s="436" t="s">
        <v>1511</v>
      </c>
      <c r="G7" s="437"/>
      <c r="H7" s="437"/>
      <c r="I7" s="438"/>
      <c r="Q7" s="258" t="s">
        <v>1484</v>
      </c>
      <c r="R7" s="263" t="s">
        <v>1480</v>
      </c>
      <c r="S7" s="269"/>
      <c r="V7" s="433" t="s">
        <v>1485</v>
      </c>
      <c r="W7" s="434"/>
      <c r="X7" s="434"/>
      <c r="Y7" s="435"/>
    </row>
    <row r="8" spans="1:27" ht="15" customHeight="1" x14ac:dyDescent="0.25">
      <c r="A8" s="258" t="s">
        <v>1486</v>
      </c>
      <c r="B8" s="259">
        <f>IF($B$6="WINGIAB",INDEX($F$6:$I$6,MATCH($B$7,$F$5:$I$5,0)),INDEX($F$10:$I$10,MATCH($B$7,$F$9:$I$9,0)))</f>
        <v>4.4000000000000004</v>
      </c>
      <c r="C8"/>
      <c r="F8" s="275"/>
      <c r="I8" s="276"/>
      <c r="Q8" s="258" t="s">
        <v>1486</v>
      </c>
      <c r="R8" s="259">
        <f>IF($R$6="WINGIAB",INDEX($V$6:$Y$6,MATCH($R$7,$V$5:$Y$5,0)),INDEX($V$10:$Y$10,MATCH($R$7,$V$9:$Y$9,0)))</f>
        <v>1.3</v>
      </c>
      <c r="S8" s="269"/>
    </row>
    <row r="9" spans="1:27" ht="15" customHeight="1" x14ac:dyDescent="0.25">
      <c r="A9" s="258" t="s">
        <v>1510</v>
      </c>
      <c r="B9" s="274">
        <v>0.05</v>
      </c>
      <c r="C9"/>
      <c r="F9" s="277" t="s">
        <v>1479</v>
      </c>
      <c r="G9" s="262" t="s">
        <v>1480</v>
      </c>
      <c r="H9" s="262" t="s">
        <v>1481</v>
      </c>
      <c r="I9" s="278" t="s">
        <v>1482</v>
      </c>
      <c r="Q9" s="273" t="s">
        <v>1502</v>
      </c>
      <c r="S9" s="269"/>
      <c r="V9" s="262" t="s">
        <v>1479</v>
      </c>
      <c r="W9" s="262" t="s">
        <v>1480</v>
      </c>
      <c r="X9" s="262" t="s">
        <v>1481</v>
      </c>
      <c r="Y9" s="262" t="s">
        <v>1482</v>
      </c>
    </row>
    <row r="10" spans="1:27" ht="15" customHeight="1" x14ac:dyDescent="0.25">
      <c r="C10"/>
      <c r="F10" s="279">
        <v>1.2</v>
      </c>
      <c r="G10" s="280">
        <v>1.3</v>
      </c>
      <c r="H10" s="280">
        <v>4</v>
      </c>
      <c r="I10" s="281">
        <v>4.4000000000000004</v>
      </c>
      <c r="S10" s="269"/>
      <c r="V10" s="264">
        <v>1.2</v>
      </c>
      <c r="W10" s="264">
        <v>1.3</v>
      </c>
      <c r="X10" s="264">
        <v>4</v>
      </c>
      <c r="Y10" s="264">
        <v>4.4000000000000004</v>
      </c>
    </row>
    <row r="11" spans="1:27" ht="15" customHeight="1" x14ac:dyDescent="0.25">
      <c r="A11" s="432" t="s">
        <v>1487</v>
      </c>
      <c r="B11" s="431"/>
      <c r="C11" s="431"/>
      <c r="D11" s="431"/>
      <c r="E11" s="431"/>
      <c r="F11" s="431"/>
      <c r="G11" s="431"/>
      <c r="H11" s="431"/>
      <c r="I11" s="431"/>
      <c r="J11" s="431"/>
      <c r="K11" s="431"/>
      <c r="L11">
        <v>6060</v>
      </c>
      <c r="M11">
        <f>L11/304.8</f>
        <v>19.881889763779526</v>
      </c>
      <c r="Q11" s="432" t="s">
        <v>1487</v>
      </c>
      <c r="R11" s="431"/>
      <c r="S11" s="431"/>
      <c r="T11" s="431"/>
      <c r="U11" s="431"/>
      <c r="V11" s="431"/>
      <c r="W11" s="431"/>
      <c r="X11" s="431"/>
      <c r="Y11" s="431"/>
      <c r="Z11" s="431"/>
      <c r="AA11" s="431"/>
    </row>
    <row r="12" spans="1:27" ht="15" customHeight="1" x14ac:dyDescent="0.25">
      <c r="A12" s="262" t="s">
        <v>1488</v>
      </c>
      <c r="B12" s="262" t="s">
        <v>1509</v>
      </c>
      <c r="C12" s="262" t="s">
        <v>1489</v>
      </c>
      <c r="D12" s="262" t="s">
        <v>1490</v>
      </c>
      <c r="E12" s="262" t="s">
        <v>1508</v>
      </c>
      <c r="F12" s="262" t="s">
        <v>1507</v>
      </c>
      <c r="G12" s="262" t="s">
        <v>1506</v>
      </c>
      <c r="H12" s="262" t="s">
        <v>1505</v>
      </c>
      <c r="I12" s="262" t="s">
        <v>1504</v>
      </c>
      <c r="J12" s="262" t="s">
        <v>1503</v>
      </c>
      <c r="K12" s="262" t="s">
        <v>1497</v>
      </c>
      <c r="Q12" s="262" t="s">
        <v>1488</v>
      </c>
      <c r="R12" s="262" t="s">
        <v>1499</v>
      </c>
      <c r="S12" s="270" t="s">
        <v>1489</v>
      </c>
      <c r="T12" s="262" t="s">
        <v>1490</v>
      </c>
      <c r="U12" s="262" t="s">
        <v>1491</v>
      </c>
      <c r="V12" s="262" t="s">
        <v>1492</v>
      </c>
      <c r="W12" s="262" t="s">
        <v>1493</v>
      </c>
      <c r="X12" s="262" t="s">
        <v>1494</v>
      </c>
      <c r="Y12" s="262" t="s">
        <v>1495</v>
      </c>
      <c r="Z12" s="262" t="s">
        <v>1496</v>
      </c>
      <c r="AA12" s="262" t="s">
        <v>1497</v>
      </c>
    </row>
    <row r="13" spans="1:27" ht="15" customHeight="1" x14ac:dyDescent="0.25">
      <c r="A13" s="265" t="s">
        <v>1767</v>
      </c>
      <c r="B13" s="266">
        <v>1</v>
      </c>
      <c r="C13" s="272">
        <v>0.47499999999999998</v>
      </c>
      <c r="D13" s="272">
        <v>333.05</v>
      </c>
      <c r="E13" s="264">
        <f t="shared" ref="E13:E24" si="0">$B$4*C13*$B$3*(1+$B$9)</f>
        <v>65.106824999999986</v>
      </c>
      <c r="F13" s="264">
        <f t="shared" ref="F13:F24" si="1">(D13/1000)*$B$4*10.7639104167*$B$8*(1+$B$9)</f>
        <v>101.03022570619349</v>
      </c>
      <c r="G13" s="264">
        <f t="shared" ref="G13:G24" si="2">E13+F13</f>
        <v>166.13705070619346</v>
      </c>
      <c r="H13" s="264">
        <f t="shared" ref="H13:H24" si="3">E13/$B$5</f>
        <v>3.2532065999999999</v>
      </c>
      <c r="I13" s="264">
        <f t="shared" ref="I13:I24" si="4">F13/$B$5</f>
        <v>5.0481988188930789</v>
      </c>
      <c r="J13" s="264">
        <f>G13/$B$5</f>
        <v>8.3014054188930775</v>
      </c>
      <c r="K13" s="264">
        <f>G13*B13</f>
        <v>166.13705070619346</v>
      </c>
      <c r="L13" s="78">
        <f>K13/M11</f>
        <v>8.3562001741332956</v>
      </c>
      <c r="Q13" s="265" t="s">
        <v>1767</v>
      </c>
      <c r="R13" s="266">
        <v>1</v>
      </c>
      <c r="S13" s="260">
        <v>0.871</v>
      </c>
      <c r="T13" s="266">
        <v>250</v>
      </c>
      <c r="U13" s="264">
        <f t="shared" ref="U13:U24" si="5">$R$4*S13*$R$3</f>
        <v>132.82749999999999</v>
      </c>
      <c r="V13" s="264">
        <f t="shared" ref="V13:V24" si="6">(T13/1000)*$R$4*10.7639104167*$R$8</f>
        <v>21.339452401107749</v>
      </c>
      <c r="W13" s="264">
        <f t="shared" ref="W13:W24" si="7">U13+V13</f>
        <v>154.16695240110772</v>
      </c>
      <c r="X13" s="264">
        <f t="shared" ref="X13:X24" si="8">U13/$R$5</f>
        <v>6.6370200000000006</v>
      </c>
      <c r="Y13" s="264">
        <f t="shared" ref="Y13:Y24" si="9">V13/$R$5</f>
        <v>1.0662729658783021</v>
      </c>
      <c r="Z13" s="264">
        <f t="shared" ref="Z13:Z24" si="10">W13/$R$5</f>
        <v>7.703292965878302</v>
      </c>
      <c r="AA13" s="264">
        <f t="shared" ref="AA13:AA24" si="11">W13*R13</f>
        <v>154.16695240110772</v>
      </c>
    </row>
    <row r="14" spans="1:27" ht="15" customHeight="1" x14ac:dyDescent="0.25">
      <c r="A14" s="265"/>
      <c r="B14" s="266"/>
      <c r="C14" s="272"/>
      <c r="D14" s="272"/>
      <c r="E14" s="264">
        <f t="shared" si="0"/>
        <v>0</v>
      </c>
      <c r="F14" s="264">
        <f t="shared" si="1"/>
        <v>0</v>
      </c>
      <c r="G14" s="264">
        <f t="shared" si="2"/>
        <v>0</v>
      </c>
      <c r="H14" s="264">
        <f t="shared" si="3"/>
        <v>0</v>
      </c>
      <c r="I14" s="264">
        <f t="shared" si="4"/>
        <v>0</v>
      </c>
      <c r="J14" s="264">
        <f t="shared" ref="J14:J24" si="12">G14/$B$5</f>
        <v>0</v>
      </c>
      <c r="K14" s="264">
        <f t="shared" ref="K14:K24" si="13">G14*B14</f>
        <v>0</v>
      </c>
      <c r="Q14" s="265" t="s">
        <v>1768</v>
      </c>
      <c r="R14" s="266">
        <v>1</v>
      </c>
      <c r="S14" s="260">
        <v>0.73899999999999999</v>
      </c>
      <c r="T14" s="266">
        <v>209</v>
      </c>
      <c r="U14" s="264">
        <f t="shared" si="5"/>
        <v>112.69749999999999</v>
      </c>
      <c r="V14" s="264">
        <f t="shared" si="6"/>
        <v>17.839782207326078</v>
      </c>
      <c r="W14" s="264">
        <f t="shared" si="7"/>
        <v>130.53728220732606</v>
      </c>
      <c r="X14" s="264">
        <f t="shared" si="8"/>
        <v>5.6311800000000005</v>
      </c>
      <c r="Y14" s="264">
        <f t="shared" si="9"/>
        <v>0.89140419947426053</v>
      </c>
      <c r="Z14" s="264">
        <f t="shared" si="10"/>
        <v>6.5225841994742604</v>
      </c>
      <c r="AA14" s="264">
        <f t="shared" si="11"/>
        <v>130.53728220732606</v>
      </c>
    </row>
    <row r="15" spans="1:27" ht="15" customHeight="1" x14ac:dyDescent="0.25">
      <c r="A15" s="265"/>
      <c r="B15" s="266"/>
      <c r="C15" s="272"/>
      <c r="D15" s="272"/>
      <c r="E15" s="264">
        <f t="shared" si="0"/>
        <v>0</v>
      </c>
      <c r="F15" s="264">
        <f t="shared" si="1"/>
        <v>0</v>
      </c>
      <c r="G15" s="264">
        <f t="shared" si="2"/>
        <v>0</v>
      </c>
      <c r="H15" s="264">
        <f t="shared" si="3"/>
        <v>0</v>
      </c>
      <c r="I15" s="264">
        <f t="shared" si="4"/>
        <v>0</v>
      </c>
      <c r="J15" s="264">
        <f t="shared" si="12"/>
        <v>0</v>
      </c>
      <c r="K15" s="264">
        <f t="shared" si="13"/>
        <v>0</v>
      </c>
      <c r="Q15" s="265" t="s">
        <v>1769</v>
      </c>
      <c r="R15" s="266">
        <v>1</v>
      </c>
      <c r="S15" s="260">
        <v>0.125</v>
      </c>
      <c r="T15" s="266">
        <v>89</v>
      </c>
      <c r="U15" s="264">
        <f t="shared" si="5"/>
        <v>19.0625</v>
      </c>
      <c r="V15" s="264">
        <f t="shared" si="6"/>
        <v>7.5968450547943585</v>
      </c>
      <c r="W15" s="264">
        <f t="shared" si="7"/>
        <v>26.659345054794358</v>
      </c>
      <c r="X15" s="264">
        <f t="shared" si="8"/>
        <v>0.95250000000000012</v>
      </c>
      <c r="Y15" s="264">
        <f t="shared" si="9"/>
        <v>0.37959317585267555</v>
      </c>
      <c r="Z15" s="264">
        <f t="shared" si="10"/>
        <v>1.3320931758526757</v>
      </c>
      <c r="AA15" s="264">
        <f t="shared" si="11"/>
        <v>26.659345054794358</v>
      </c>
    </row>
    <row r="16" spans="1:27" ht="15" customHeight="1" x14ac:dyDescent="0.25">
      <c r="A16" s="265"/>
      <c r="B16" s="266"/>
      <c r="C16" s="272"/>
      <c r="D16" s="272"/>
      <c r="E16" s="264">
        <f t="shared" si="0"/>
        <v>0</v>
      </c>
      <c r="F16" s="264">
        <f t="shared" si="1"/>
        <v>0</v>
      </c>
      <c r="G16" s="264">
        <f t="shared" si="2"/>
        <v>0</v>
      </c>
      <c r="H16" s="264">
        <f t="shared" si="3"/>
        <v>0</v>
      </c>
      <c r="I16" s="264">
        <f t="shared" si="4"/>
        <v>0</v>
      </c>
      <c r="J16" s="264">
        <f t="shared" si="12"/>
        <v>0</v>
      </c>
      <c r="K16" s="264">
        <f t="shared" si="13"/>
        <v>0</v>
      </c>
      <c r="Q16" s="265" t="s">
        <v>1770</v>
      </c>
      <c r="R16" s="266">
        <v>1</v>
      </c>
      <c r="S16" s="260">
        <v>1.05</v>
      </c>
      <c r="T16" s="266">
        <v>328</v>
      </c>
      <c r="U16" s="264">
        <f t="shared" si="5"/>
        <v>160.125</v>
      </c>
      <c r="V16" s="264">
        <f t="shared" si="6"/>
        <v>27.99736155025337</v>
      </c>
      <c r="W16" s="264">
        <f t="shared" si="7"/>
        <v>188.12236155025337</v>
      </c>
      <c r="X16" s="264">
        <f t="shared" si="8"/>
        <v>8.0010000000000012</v>
      </c>
      <c r="Y16" s="264">
        <f t="shared" si="9"/>
        <v>1.3989501312323325</v>
      </c>
      <c r="Z16" s="264">
        <f t="shared" si="10"/>
        <v>9.3999501312323339</v>
      </c>
      <c r="AA16" s="264">
        <f t="shared" si="11"/>
        <v>188.12236155025337</v>
      </c>
    </row>
    <row r="17" spans="1:27" ht="15" customHeight="1" x14ac:dyDescent="0.25">
      <c r="A17" s="265"/>
      <c r="B17" s="266"/>
      <c r="C17" s="272"/>
      <c r="D17" s="272"/>
      <c r="E17" s="264">
        <f t="shared" si="0"/>
        <v>0</v>
      </c>
      <c r="F17" s="264">
        <f t="shared" si="1"/>
        <v>0</v>
      </c>
      <c r="G17" s="264">
        <f t="shared" si="2"/>
        <v>0</v>
      </c>
      <c r="H17" s="264">
        <f t="shared" si="3"/>
        <v>0</v>
      </c>
      <c r="I17" s="264">
        <f t="shared" si="4"/>
        <v>0</v>
      </c>
      <c r="J17" s="264">
        <f t="shared" si="12"/>
        <v>0</v>
      </c>
      <c r="K17" s="264">
        <f t="shared" si="13"/>
        <v>0</v>
      </c>
      <c r="Q17" s="265"/>
      <c r="R17" s="266"/>
      <c r="S17" s="271"/>
      <c r="T17" s="272"/>
      <c r="U17" s="264">
        <f t="shared" si="5"/>
        <v>0</v>
      </c>
      <c r="V17" s="264">
        <f t="shared" si="6"/>
        <v>0</v>
      </c>
      <c r="W17" s="264">
        <f t="shared" si="7"/>
        <v>0</v>
      </c>
      <c r="X17" s="264">
        <f t="shared" si="8"/>
        <v>0</v>
      </c>
      <c r="Y17" s="264">
        <f t="shared" si="9"/>
        <v>0</v>
      </c>
      <c r="Z17" s="264">
        <f t="shared" si="10"/>
        <v>0</v>
      </c>
      <c r="AA17" s="264">
        <f t="shared" si="11"/>
        <v>0</v>
      </c>
    </row>
    <row r="18" spans="1:27" ht="15" customHeight="1" x14ac:dyDescent="0.25">
      <c r="A18" s="265"/>
      <c r="B18" s="266"/>
      <c r="C18" s="272"/>
      <c r="D18" s="272"/>
      <c r="E18" s="264">
        <f t="shared" si="0"/>
        <v>0</v>
      </c>
      <c r="F18" s="264">
        <f t="shared" si="1"/>
        <v>0</v>
      </c>
      <c r="G18" s="264">
        <f t="shared" si="2"/>
        <v>0</v>
      </c>
      <c r="H18" s="264">
        <f t="shared" si="3"/>
        <v>0</v>
      </c>
      <c r="I18" s="264">
        <f t="shared" si="4"/>
        <v>0</v>
      </c>
      <c r="J18" s="264">
        <f t="shared" si="12"/>
        <v>0</v>
      </c>
      <c r="K18" s="264">
        <f t="shared" si="13"/>
        <v>0</v>
      </c>
      <c r="Q18" s="265"/>
      <c r="R18" s="266"/>
      <c r="S18" s="271"/>
      <c r="T18" s="272"/>
      <c r="U18" s="264">
        <f t="shared" si="5"/>
        <v>0</v>
      </c>
      <c r="V18" s="264">
        <f t="shared" si="6"/>
        <v>0</v>
      </c>
      <c r="W18" s="264">
        <f t="shared" si="7"/>
        <v>0</v>
      </c>
      <c r="X18" s="264">
        <f t="shared" si="8"/>
        <v>0</v>
      </c>
      <c r="Y18" s="264">
        <f t="shared" si="9"/>
        <v>0</v>
      </c>
      <c r="Z18" s="264">
        <f t="shared" si="10"/>
        <v>0</v>
      </c>
      <c r="AA18" s="264">
        <f t="shared" si="11"/>
        <v>0</v>
      </c>
    </row>
    <row r="19" spans="1:27" ht="15" customHeight="1" x14ac:dyDescent="0.25">
      <c r="A19" s="265"/>
      <c r="B19" s="266"/>
      <c r="C19" s="272"/>
      <c r="D19" s="272"/>
      <c r="E19" s="264">
        <f t="shared" si="0"/>
        <v>0</v>
      </c>
      <c r="F19" s="264">
        <f t="shared" si="1"/>
        <v>0</v>
      </c>
      <c r="G19" s="264">
        <f t="shared" si="2"/>
        <v>0</v>
      </c>
      <c r="H19" s="264">
        <f t="shared" si="3"/>
        <v>0</v>
      </c>
      <c r="I19" s="264">
        <f t="shared" si="4"/>
        <v>0</v>
      </c>
      <c r="J19" s="264">
        <f t="shared" si="12"/>
        <v>0</v>
      </c>
      <c r="K19" s="264">
        <f t="shared" si="13"/>
        <v>0</v>
      </c>
      <c r="Q19" s="265"/>
      <c r="R19" s="266"/>
      <c r="S19" s="271"/>
      <c r="T19" s="272"/>
      <c r="U19" s="264">
        <f t="shared" si="5"/>
        <v>0</v>
      </c>
      <c r="V19" s="264">
        <f t="shared" si="6"/>
        <v>0</v>
      </c>
      <c r="W19" s="264">
        <f t="shared" si="7"/>
        <v>0</v>
      </c>
      <c r="X19" s="264">
        <f t="shared" si="8"/>
        <v>0</v>
      </c>
      <c r="Y19" s="264">
        <f t="shared" si="9"/>
        <v>0</v>
      </c>
      <c r="Z19" s="264">
        <f t="shared" si="10"/>
        <v>0</v>
      </c>
      <c r="AA19" s="264">
        <f t="shared" si="11"/>
        <v>0</v>
      </c>
    </row>
    <row r="20" spans="1:27" ht="15" customHeight="1" x14ac:dyDescent="0.25">
      <c r="A20" s="265"/>
      <c r="B20" s="266"/>
      <c r="C20" s="272"/>
      <c r="D20" s="272"/>
      <c r="E20" s="264">
        <f t="shared" si="0"/>
        <v>0</v>
      </c>
      <c r="F20" s="264">
        <f t="shared" si="1"/>
        <v>0</v>
      </c>
      <c r="G20" s="264">
        <f t="shared" si="2"/>
        <v>0</v>
      </c>
      <c r="H20" s="264">
        <f t="shared" si="3"/>
        <v>0</v>
      </c>
      <c r="I20" s="264">
        <f t="shared" si="4"/>
        <v>0</v>
      </c>
      <c r="J20" s="264">
        <f t="shared" si="12"/>
        <v>0</v>
      </c>
      <c r="K20" s="264">
        <f t="shared" si="13"/>
        <v>0</v>
      </c>
      <c r="Q20" s="265"/>
      <c r="R20" s="266"/>
      <c r="S20" s="271"/>
      <c r="T20" s="272"/>
      <c r="U20" s="264">
        <f t="shared" si="5"/>
        <v>0</v>
      </c>
      <c r="V20" s="264">
        <f t="shared" si="6"/>
        <v>0</v>
      </c>
      <c r="W20" s="264">
        <f t="shared" si="7"/>
        <v>0</v>
      </c>
      <c r="X20" s="264">
        <f t="shared" si="8"/>
        <v>0</v>
      </c>
      <c r="Y20" s="264">
        <f t="shared" si="9"/>
        <v>0</v>
      </c>
      <c r="Z20" s="264">
        <f t="shared" si="10"/>
        <v>0</v>
      </c>
      <c r="AA20" s="264">
        <f t="shared" si="11"/>
        <v>0</v>
      </c>
    </row>
    <row r="21" spans="1:27" ht="15" customHeight="1" x14ac:dyDescent="0.25">
      <c r="A21" s="265"/>
      <c r="B21" s="266"/>
      <c r="C21" s="272"/>
      <c r="D21" s="272"/>
      <c r="E21" s="264">
        <f t="shared" si="0"/>
        <v>0</v>
      </c>
      <c r="F21" s="264">
        <f t="shared" si="1"/>
        <v>0</v>
      </c>
      <c r="G21" s="264">
        <f t="shared" si="2"/>
        <v>0</v>
      </c>
      <c r="H21" s="264">
        <f t="shared" si="3"/>
        <v>0</v>
      </c>
      <c r="I21" s="264">
        <f t="shared" si="4"/>
        <v>0</v>
      </c>
      <c r="J21" s="264">
        <f t="shared" si="12"/>
        <v>0</v>
      </c>
      <c r="K21" s="264">
        <f t="shared" si="13"/>
        <v>0</v>
      </c>
      <c r="Q21" s="265"/>
      <c r="R21" s="266"/>
      <c r="S21" s="271"/>
      <c r="T21" s="272"/>
      <c r="U21" s="264">
        <f t="shared" si="5"/>
        <v>0</v>
      </c>
      <c r="V21" s="264">
        <f t="shared" si="6"/>
        <v>0</v>
      </c>
      <c r="W21" s="264">
        <f t="shared" si="7"/>
        <v>0</v>
      </c>
      <c r="X21" s="264">
        <f t="shared" si="8"/>
        <v>0</v>
      </c>
      <c r="Y21" s="264">
        <f t="shared" si="9"/>
        <v>0</v>
      </c>
      <c r="Z21" s="264">
        <f t="shared" si="10"/>
        <v>0</v>
      </c>
      <c r="AA21" s="264">
        <f t="shared" si="11"/>
        <v>0</v>
      </c>
    </row>
    <row r="22" spans="1:27" ht="15" customHeight="1" x14ac:dyDescent="0.25">
      <c r="A22" s="265"/>
      <c r="B22" s="266"/>
      <c r="C22" s="272"/>
      <c r="D22" s="272"/>
      <c r="E22" s="264">
        <f t="shared" si="0"/>
        <v>0</v>
      </c>
      <c r="F22" s="264">
        <f t="shared" si="1"/>
        <v>0</v>
      </c>
      <c r="G22" s="264">
        <f t="shared" si="2"/>
        <v>0</v>
      </c>
      <c r="H22" s="264">
        <f t="shared" si="3"/>
        <v>0</v>
      </c>
      <c r="I22" s="264">
        <f t="shared" si="4"/>
        <v>0</v>
      </c>
      <c r="J22" s="264">
        <f t="shared" si="12"/>
        <v>0</v>
      </c>
      <c r="K22" s="264">
        <f t="shared" si="13"/>
        <v>0</v>
      </c>
      <c r="Q22" s="265"/>
      <c r="R22" s="266"/>
      <c r="S22" s="271"/>
      <c r="T22" s="272"/>
      <c r="U22" s="264">
        <f t="shared" si="5"/>
        <v>0</v>
      </c>
      <c r="V22" s="264">
        <f t="shared" si="6"/>
        <v>0</v>
      </c>
      <c r="W22" s="264">
        <f t="shared" si="7"/>
        <v>0</v>
      </c>
      <c r="X22" s="264">
        <f t="shared" si="8"/>
        <v>0</v>
      </c>
      <c r="Y22" s="264">
        <f t="shared" si="9"/>
        <v>0</v>
      </c>
      <c r="Z22" s="264">
        <f t="shared" si="10"/>
        <v>0</v>
      </c>
      <c r="AA22" s="264">
        <f t="shared" si="11"/>
        <v>0</v>
      </c>
    </row>
    <row r="23" spans="1:27" ht="15" customHeight="1" x14ac:dyDescent="0.25">
      <c r="A23" s="265"/>
      <c r="B23" s="266"/>
      <c r="C23" s="272"/>
      <c r="D23" s="272"/>
      <c r="E23" s="264">
        <f t="shared" si="0"/>
        <v>0</v>
      </c>
      <c r="F23" s="264">
        <f t="shared" si="1"/>
        <v>0</v>
      </c>
      <c r="G23" s="264">
        <f t="shared" si="2"/>
        <v>0</v>
      </c>
      <c r="H23" s="264">
        <f t="shared" si="3"/>
        <v>0</v>
      </c>
      <c r="I23" s="264">
        <f t="shared" si="4"/>
        <v>0</v>
      </c>
      <c r="J23" s="264">
        <f t="shared" si="12"/>
        <v>0</v>
      </c>
      <c r="K23" s="264">
        <f t="shared" si="13"/>
        <v>0</v>
      </c>
      <c r="Q23" s="265"/>
      <c r="R23" s="266"/>
      <c r="S23" s="271"/>
      <c r="T23" s="272"/>
      <c r="U23" s="264">
        <f t="shared" si="5"/>
        <v>0</v>
      </c>
      <c r="V23" s="264">
        <f t="shared" si="6"/>
        <v>0</v>
      </c>
      <c r="W23" s="264">
        <f t="shared" si="7"/>
        <v>0</v>
      </c>
      <c r="X23" s="264">
        <f t="shared" si="8"/>
        <v>0</v>
      </c>
      <c r="Y23" s="264">
        <f t="shared" si="9"/>
        <v>0</v>
      </c>
      <c r="Z23" s="264">
        <f t="shared" si="10"/>
        <v>0</v>
      </c>
      <c r="AA23" s="264">
        <f t="shared" si="11"/>
        <v>0</v>
      </c>
    </row>
    <row r="24" spans="1:27" ht="15" customHeight="1" x14ac:dyDescent="0.25">
      <c r="A24" s="265"/>
      <c r="B24" s="266"/>
      <c r="C24" s="272"/>
      <c r="D24" s="272"/>
      <c r="E24" s="264">
        <f t="shared" si="0"/>
        <v>0</v>
      </c>
      <c r="F24" s="264">
        <f t="shared" si="1"/>
        <v>0</v>
      </c>
      <c r="G24" s="264">
        <f t="shared" si="2"/>
        <v>0</v>
      </c>
      <c r="H24" s="264">
        <f t="shared" si="3"/>
        <v>0</v>
      </c>
      <c r="I24" s="264">
        <f t="shared" si="4"/>
        <v>0</v>
      </c>
      <c r="J24" s="264">
        <f t="shared" si="12"/>
        <v>0</v>
      </c>
      <c r="K24" s="264">
        <f t="shared" si="13"/>
        <v>0</v>
      </c>
      <c r="Q24" s="265"/>
      <c r="R24" s="266"/>
      <c r="S24" s="271"/>
      <c r="T24" s="272"/>
      <c r="U24" s="264">
        <f t="shared" si="5"/>
        <v>0</v>
      </c>
      <c r="V24" s="264">
        <f t="shared" si="6"/>
        <v>0</v>
      </c>
      <c r="W24" s="264">
        <f t="shared" si="7"/>
        <v>0</v>
      </c>
      <c r="X24" s="264">
        <f t="shared" si="8"/>
        <v>0</v>
      </c>
      <c r="Y24" s="264">
        <f t="shared" si="9"/>
        <v>0</v>
      </c>
      <c r="Z24" s="264">
        <f t="shared" si="10"/>
        <v>0</v>
      </c>
      <c r="AA24" s="264">
        <f t="shared" si="11"/>
        <v>0</v>
      </c>
    </row>
    <row r="25" spans="1:27" ht="15" customHeight="1" x14ac:dyDescent="0.25">
      <c r="C25"/>
      <c r="J25" s="267" t="s">
        <v>1498</v>
      </c>
      <c r="K25" s="268">
        <f>SUM(K13:K24)</f>
        <v>166.13705070619346</v>
      </c>
      <c r="S25" s="269"/>
      <c r="Z25" s="267" t="s">
        <v>1498</v>
      </c>
      <c r="AA25" s="268">
        <f>SUM(AA13:AA24)</f>
        <v>499.48594121348151</v>
      </c>
    </row>
  </sheetData>
  <mergeCells count="10">
    <mergeCell ref="A2:K2"/>
    <mergeCell ref="A11:K11"/>
    <mergeCell ref="A1:K1"/>
    <mergeCell ref="F3:I3"/>
    <mergeCell ref="F7:I7"/>
    <mergeCell ref="Q1:AA1"/>
    <mergeCell ref="Q2:AA2"/>
    <mergeCell ref="V3:Y3"/>
    <mergeCell ref="V7:Y7"/>
    <mergeCell ref="Q11:AA11"/>
  </mergeCells>
  <dataValidations count="2">
    <dataValidation type="list" sqref="R7 B7" xr:uid="{DE07BA18-1219-40A5-9D21-3B8E4E9C2291}">
      <formula1>"SMOOTH,SAND,W.GRAIN I/DOOR,W.GRAIN O/DOOR"</formula1>
    </dataValidation>
    <dataValidation type="list" sqref="R6 B6" xr:uid="{96597DB1-7939-4F33-958E-5CC836A2B16E}">
      <formula1>"WINGIAB,SUPERB"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0B5F7-D58A-4624-9781-D2478BD543BD}">
  <sheetPr codeName="Sheet5"/>
  <dimension ref="A1:AN63"/>
  <sheetViews>
    <sheetView zoomScale="75" zoomScaleNormal="75" workbookViewId="0">
      <selection activeCell="B16" sqref="B16"/>
    </sheetView>
  </sheetViews>
  <sheetFormatPr defaultRowHeight="15" x14ac:dyDescent="0.25"/>
  <cols>
    <col min="1" max="1" width="32.140625" bestFit="1" customWidth="1"/>
    <col min="2" max="3" width="15.7109375" customWidth="1"/>
    <col min="4" max="4" width="3.5703125" bestFit="1" customWidth="1"/>
    <col min="5" max="5" width="4.5703125" bestFit="1" customWidth="1"/>
    <col min="6" max="6" width="7.42578125" bestFit="1" customWidth="1"/>
    <col min="7" max="7" width="7.7109375" bestFit="1" customWidth="1"/>
    <col min="8" max="8" width="10" bestFit="1" customWidth="1"/>
    <col min="10" max="10" width="11.140625" bestFit="1" customWidth="1"/>
    <col min="12" max="12" width="1.7109375" customWidth="1"/>
    <col min="13" max="13" width="7.42578125" bestFit="1" customWidth="1"/>
    <col min="14" max="14" width="3.5703125" bestFit="1" customWidth="1"/>
    <col min="15" max="15" width="7.42578125" bestFit="1" customWidth="1"/>
    <col min="16" max="16" width="7.7109375" bestFit="1" customWidth="1"/>
    <col min="18" max="18" width="11.140625" bestFit="1" customWidth="1"/>
    <col min="20" max="20" width="1.7109375" customWidth="1"/>
    <col min="21" max="21" width="3.7109375" customWidth="1"/>
    <col min="22" max="22" width="39.42578125" bestFit="1" customWidth="1"/>
    <col min="23" max="23" width="7" bestFit="1" customWidth="1"/>
    <col min="24" max="33" width="5.7109375" style="325" customWidth="1"/>
    <col min="34" max="34" width="6.5703125" style="331" bestFit="1" customWidth="1"/>
    <col min="35" max="35" width="12.5703125" bestFit="1" customWidth="1"/>
    <col min="36" max="36" width="9.42578125" bestFit="1" customWidth="1"/>
    <col min="37" max="38" width="7.5703125" bestFit="1" customWidth="1"/>
    <col min="39" max="39" width="7.140625" bestFit="1" customWidth="1"/>
    <col min="40" max="40" width="11" bestFit="1" customWidth="1"/>
  </cols>
  <sheetData>
    <row r="1" spans="1:40" ht="18.75" x14ac:dyDescent="0.25">
      <c r="A1" s="355" t="s">
        <v>1692</v>
      </c>
      <c r="T1" s="282"/>
      <c r="V1" s="439" t="s">
        <v>1520</v>
      </c>
      <c r="W1" s="439"/>
      <c r="AI1" s="148" t="s">
        <v>1753</v>
      </c>
      <c r="AJ1" s="148" t="s">
        <v>1752</v>
      </c>
      <c r="AK1" s="148" t="s">
        <v>1757</v>
      </c>
      <c r="AL1" s="375" t="s">
        <v>1757</v>
      </c>
      <c r="AM1" s="148" t="s">
        <v>1757</v>
      </c>
      <c r="AN1" s="148" t="s">
        <v>1752</v>
      </c>
    </row>
    <row r="2" spans="1:40" x14ac:dyDescent="0.25">
      <c r="A2" s="356" t="s">
        <v>1693</v>
      </c>
      <c r="B2" s="356" t="s">
        <v>1694</v>
      </c>
      <c r="C2" s="356" t="s">
        <v>1581</v>
      </c>
      <c r="D2" s="1" t="s">
        <v>175</v>
      </c>
      <c r="E2" t="s">
        <v>1631</v>
      </c>
      <c r="F2" s="1" t="s">
        <v>1465</v>
      </c>
      <c r="G2" s="1" t="s">
        <v>1466</v>
      </c>
      <c r="H2" s="1" t="s">
        <v>1632</v>
      </c>
      <c r="I2" s="328" t="s">
        <v>1467</v>
      </c>
      <c r="J2" s="328" t="s">
        <v>1468</v>
      </c>
      <c r="K2" s="328" t="s">
        <v>1469</v>
      </c>
      <c r="L2" s="282"/>
      <c r="N2" s="1" t="str">
        <f>D2</f>
        <v>#</v>
      </c>
      <c r="O2" s="1" t="str">
        <f t="shared" ref="O2:P12" si="0">F2</f>
        <v>WIDTH</v>
      </c>
      <c r="P2" s="1" t="str">
        <f t="shared" si="0"/>
        <v>HEIGHT</v>
      </c>
      <c r="Q2" s="94" t="str">
        <f>I2</f>
        <v>LOUVERS</v>
      </c>
      <c r="R2" s="94" t="str">
        <f>J2</f>
        <v>U CHANNEL</v>
      </c>
      <c r="S2" s="94" t="str">
        <f>K2</f>
        <v>HOLLOW</v>
      </c>
      <c r="T2" s="282"/>
      <c r="V2" s="234" t="s">
        <v>1528</v>
      </c>
      <c r="W2" s="322"/>
      <c r="X2" s="327" cm="1">
        <f t="array" ref="X2:AE2">TRANSPOSE(D3:D10)</f>
        <v>1</v>
      </c>
      <c r="Y2" s="327">
        <v>2</v>
      </c>
      <c r="Z2" s="327">
        <v>3</v>
      </c>
      <c r="AA2" s="327">
        <v>4</v>
      </c>
      <c r="AB2" s="327">
        <v>5</v>
      </c>
      <c r="AC2" s="327">
        <v>6</v>
      </c>
      <c r="AD2" s="327">
        <v>7</v>
      </c>
      <c r="AE2" s="327">
        <v>8</v>
      </c>
      <c r="AF2" s="330">
        <v>9</v>
      </c>
      <c r="AG2" s="330">
        <v>10</v>
      </c>
      <c r="AH2" s="327" t="s">
        <v>1630</v>
      </c>
      <c r="AI2" s="163"/>
      <c r="AJ2" s="163" t="s">
        <v>1756</v>
      </c>
      <c r="AK2" s="163" t="s">
        <v>1758</v>
      </c>
      <c r="AL2" s="190" t="s">
        <v>99</v>
      </c>
      <c r="AM2" s="163" t="s">
        <v>1706</v>
      </c>
      <c r="AN2" s="163" t="s">
        <v>1763</v>
      </c>
    </row>
    <row r="3" spans="1:40" x14ac:dyDescent="0.25">
      <c r="A3" s="338" t="s">
        <v>1470</v>
      </c>
      <c r="B3" s="379">
        <v>1</v>
      </c>
      <c r="C3" s="358"/>
      <c r="D3" s="102">
        <v>1</v>
      </c>
      <c r="E3" s="282">
        <v>1</v>
      </c>
      <c r="F3" s="102">
        <v>480</v>
      </c>
      <c r="G3" s="102">
        <v>2835</v>
      </c>
      <c r="H3" s="102">
        <v>1</v>
      </c>
      <c r="I3" s="328">
        <f>$C$38</f>
        <v>40</v>
      </c>
      <c r="J3" s="328">
        <f>$C$39</f>
        <v>14</v>
      </c>
      <c r="K3" s="328">
        <f>$C$40</f>
        <v>8</v>
      </c>
      <c r="L3" s="282"/>
      <c r="N3" s="1">
        <f>D3</f>
        <v>1</v>
      </c>
      <c r="O3" s="1">
        <f>F3</f>
        <v>480</v>
      </c>
      <c r="P3" s="1">
        <f t="shared" si="0"/>
        <v>2835</v>
      </c>
      <c r="Q3" s="329">
        <f>I3</f>
        <v>40</v>
      </c>
      <c r="R3" s="329">
        <f t="shared" ref="R3:S5" si="1">J3</f>
        <v>14</v>
      </c>
      <c r="S3" s="329">
        <f t="shared" si="1"/>
        <v>8</v>
      </c>
      <c r="T3" s="282"/>
      <c r="V3" s="107" t="s">
        <v>1521</v>
      </c>
      <c r="W3" s="107">
        <v>2</v>
      </c>
      <c r="X3" s="332">
        <v>2</v>
      </c>
      <c r="Y3" s="332"/>
      <c r="Z3" s="332"/>
      <c r="AA3" s="332"/>
      <c r="AB3" s="332"/>
      <c r="AC3" s="332"/>
      <c r="AD3" s="332"/>
      <c r="AE3" s="332"/>
      <c r="AF3" s="332"/>
      <c r="AG3" s="332"/>
      <c r="AH3" s="331">
        <f>SUM(X3:AG3)</f>
        <v>2</v>
      </c>
      <c r="AI3" s="254" t="s">
        <v>1761</v>
      </c>
      <c r="AJ3" s="15" t="s">
        <v>1762</v>
      </c>
      <c r="AK3" s="377">
        <v>51</v>
      </c>
      <c r="AL3" s="377">
        <v>32</v>
      </c>
      <c r="AM3" s="377">
        <v>10</v>
      </c>
      <c r="AN3" s="148">
        <v>31.75</v>
      </c>
    </row>
    <row r="4" spans="1:40" x14ac:dyDescent="0.25">
      <c r="A4" s="338" t="s">
        <v>1695</v>
      </c>
      <c r="B4" s="379">
        <f>Enginuity!B3*304.8</f>
        <v>6096</v>
      </c>
      <c r="C4" s="358"/>
      <c r="D4" s="102">
        <v>2</v>
      </c>
      <c r="E4" s="282">
        <v>1</v>
      </c>
      <c r="F4" s="102">
        <v>2700</v>
      </c>
      <c r="G4" s="102">
        <v>2835</v>
      </c>
      <c r="H4" s="102">
        <v>3</v>
      </c>
      <c r="I4" s="328">
        <f t="shared" ref="I4:I12" si="2">$C$38</f>
        <v>40</v>
      </c>
      <c r="J4" s="359">
        <f>$C$39</f>
        <v>14</v>
      </c>
      <c r="K4" s="328">
        <f t="shared" ref="K4:K12" si="3">$C$40</f>
        <v>8</v>
      </c>
      <c r="L4" s="282"/>
      <c r="N4" s="1">
        <f t="shared" ref="N4:N12" si="4">D4</f>
        <v>2</v>
      </c>
      <c r="O4" s="1">
        <f t="shared" si="0"/>
        <v>2700</v>
      </c>
      <c r="P4" s="1">
        <f t="shared" si="0"/>
        <v>2835</v>
      </c>
      <c r="Q4" s="329">
        <f t="shared" ref="Q4:Q5" si="5">I4</f>
        <v>40</v>
      </c>
      <c r="R4" s="329">
        <f t="shared" si="1"/>
        <v>14</v>
      </c>
      <c r="S4" s="329">
        <f t="shared" si="1"/>
        <v>8</v>
      </c>
      <c r="T4" s="282"/>
      <c r="V4" s="107" t="s">
        <v>1527</v>
      </c>
      <c r="W4" s="107">
        <v>8</v>
      </c>
      <c r="X4" s="332">
        <v>8</v>
      </c>
      <c r="Y4" s="332"/>
      <c r="Z4" s="332"/>
      <c r="AA4" s="332"/>
      <c r="AB4" s="332"/>
      <c r="AC4" s="332"/>
      <c r="AD4" s="332"/>
      <c r="AE4" s="332"/>
      <c r="AF4" s="332"/>
      <c r="AG4" s="332"/>
      <c r="AH4" s="331">
        <f t="shared" ref="AH4:AH17" si="6">SUM(X4:AG4)</f>
        <v>8</v>
      </c>
      <c r="AI4" s="254" t="s">
        <v>1754</v>
      </c>
      <c r="AJ4" s="15" t="s">
        <v>1759</v>
      </c>
      <c r="AK4" s="377">
        <v>124.3</v>
      </c>
      <c r="AL4" s="377">
        <v>49.5</v>
      </c>
      <c r="AM4" s="377">
        <v>25.4</v>
      </c>
      <c r="AN4" s="94" t="s">
        <v>1765</v>
      </c>
    </row>
    <row r="5" spans="1:40" x14ac:dyDescent="0.25">
      <c r="A5" s="338" t="s">
        <v>1696</v>
      </c>
      <c r="B5" s="379">
        <f>Enginuity!B4*304.8</f>
        <v>3962.4</v>
      </c>
      <c r="C5" s="358"/>
      <c r="D5" s="102">
        <v>3</v>
      </c>
      <c r="E5" s="282">
        <v>1</v>
      </c>
      <c r="F5" s="102">
        <v>2500</v>
      </c>
      <c r="G5" s="102">
        <v>2840</v>
      </c>
      <c r="H5" s="102">
        <v>3</v>
      </c>
      <c r="I5" s="328">
        <f t="shared" si="2"/>
        <v>40</v>
      </c>
      <c r="J5" s="328">
        <f t="shared" ref="J5:J12" si="7">$C$39</f>
        <v>14</v>
      </c>
      <c r="K5" s="328">
        <f t="shared" si="3"/>
        <v>8</v>
      </c>
      <c r="L5" s="282"/>
      <c r="N5" s="1">
        <f t="shared" si="4"/>
        <v>3</v>
      </c>
      <c r="O5" s="1">
        <f t="shared" si="0"/>
        <v>2500</v>
      </c>
      <c r="P5" s="1">
        <f t="shared" si="0"/>
        <v>2840</v>
      </c>
      <c r="Q5" s="329">
        <f t="shared" si="5"/>
        <v>40</v>
      </c>
      <c r="R5" s="329">
        <f t="shared" si="1"/>
        <v>14</v>
      </c>
      <c r="S5" s="329">
        <f t="shared" si="1"/>
        <v>8</v>
      </c>
      <c r="T5" s="282"/>
      <c r="V5" s="107" t="s">
        <v>1516</v>
      </c>
      <c r="W5" s="107">
        <v>12</v>
      </c>
      <c r="X5" s="332">
        <v>12</v>
      </c>
      <c r="Y5" s="332"/>
      <c r="Z5" s="332"/>
      <c r="AA5" s="332"/>
      <c r="AB5" s="332"/>
      <c r="AC5" s="332"/>
      <c r="AD5" s="332"/>
      <c r="AE5" s="332"/>
      <c r="AF5" s="332"/>
      <c r="AG5" s="332"/>
      <c r="AH5" s="331">
        <f t="shared" si="6"/>
        <v>12</v>
      </c>
      <c r="AI5" s="254" t="s">
        <v>1755</v>
      </c>
      <c r="AJ5" s="15" t="s">
        <v>1500</v>
      </c>
      <c r="AK5" s="377">
        <v>51</v>
      </c>
      <c r="AL5" s="377">
        <v>32</v>
      </c>
      <c r="AM5" s="377">
        <v>10</v>
      </c>
      <c r="AN5" s="378" t="s">
        <v>1501</v>
      </c>
    </row>
    <row r="6" spans="1:40" x14ac:dyDescent="0.25">
      <c r="A6" s="338" t="s">
        <v>1471</v>
      </c>
      <c r="B6" s="379">
        <f>Enginuity!B13</f>
        <v>7</v>
      </c>
      <c r="C6" s="358"/>
      <c r="D6" s="102">
        <v>4</v>
      </c>
      <c r="E6" s="282">
        <v>1</v>
      </c>
      <c r="F6" s="102">
        <v>2490</v>
      </c>
      <c r="G6" s="102">
        <v>2840</v>
      </c>
      <c r="H6" s="102">
        <v>3</v>
      </c>
      <c r="I6" s="328">
        <f t="shared" si="2"/>
        <v>40</v>
      </c>
      <c r="J6" s="328">
        <f t="shared" si="7"/>
        <v>14</v>
      </c>
      <c r="K6" s="328">
        <f t="shared" si="3"/>
        <v>8</v>
      </c>
      <c r="L6" s="282"/>
      <c r="N6" s="1">
        <f t="shared" si="4"/>
        <v>4</v>
      </c>
      <c r="O6" s="1">
        <f t="shared" si="0"/>
        <v>2490</v>
      </c>
      <c r="P6" s="1">
        <f t="shared" si="0"/>
        <v>2840</v>
      </c>
      <c r="Q6" s="329"/>
      <c r="R6" s="329"/>
      <c r="S6" s="329"/>
      <c r="T6" s="282"/>
      <c r="V6" s="107" t="s">
        <v>1522</v>
      </c>
      <c r="W6" s="107">
        <v>1.5</v>
      </c>
      <c r="X6" s="332">
        <v>1.5</v>
      </c>
      <c r="Y6" s="332"/>
      <c r="Z6" s="332"/>
      <c r="AA6" s="332"/>
      <c r="AB6" s="332"/>
      <c r="AC6" s="332"/>
      <c r="AD6" s="332"/>
      <c r="AE6" s="332"/>
      <c r="AF6" s="332"/>
      <c r="AG6" s="332"/>
      <c r="AH6" s="331">
        <f t="shared" si="6"/>
        <v>1.5</v>
      </c>
      <c r="AI6" s="254" t="s">
        <v>1755</v>
      </c>
      <c r="AJ6" s="15" t="s">
        <v>1760</v>
      </c>
      <c r="AK6" s="377">
        <v>121.6</v>
      </c>
      <c r="AL6" s="377">
        <v>73.72</v>
      </c>
      <c r="AM6" s="377">
        <v>25.4</v>
      </c>
      <c r="AN6" s="94" t="s">
        <v>1764</v>
      </c>
    </row>
    <row r="7" spans="1:40" x14ac:dyDescent="0.25">
      <c r="A7" s="338" t="s">
        <v>1697</v>
      </c>
      <c r="B7" s="380"/>
      <c r="C7" s="358" t="s">
        <v>1698</v>
      </c>
      <c r="D7" s="102">
        <v>5</v>
      </c>
      <c r="E7" s="282">
        <v>1</v>
      </c>
      <c r="F7" s="102">
        <v>2510</v>
      </c>
      <c r="G7" s="102">
        <v>2835</v>
      </c>
      <c r="H7" s="102">
        <v>3</v>
      </c>
      <c r="I7" s="328">
        <f t="shared" si="2"/>
        <v>40</v>
      </c>
      <c r="J7" s="328">
        <f t="shared" si="7"/>
        <v>14</v>
      </c>
      <c r="K7" s="328">
        <f t="shared" si="3"/>
        <v>8</v>
      </c>
      <c r="L7" s="282"/>
      <c r="N7" s="1">
        <f t="shared" si="4"/>
        <v>5</v>
      </c>
      <c r="O7" s="1">
        <f t="shared" si="0"/>
        <v>2510</v>
      </c>
      <c r="P7" s="1">
        <f t="shared" si="0"/>
        <v>2835</v>
      </c>
      <c r="Q7" s="329"/>
      <c r="R7" s="329"/>
      <c r="S7" s="329"/>
      <c r="T7" s="282"/>
      <c r="V7" s="107" t="s">
        <v>1523</v>
      </c>
      <c r="W7" s="107">
        <v>1</v>
      </c>
      <c r="X7" s="332">
        <v>1</v>
      </c>
      <c r="Y7" s="332"/>
      <c r="Z7" s="332"/>
      <c r="AA7" s="332"/>
      <c r="AB7" s="332"/>
      <c r="AC7" s="332"/>
      <c r="AD7" s="332"/>
      <c r="AE7" s="332"/>
      <c r="AF7" s="332"/>
      <c r="AG7" s="332"/>
      <c r="AH7" s="331">
        <f t="shared" si="6"/>
        <v>1</v>
      </c>
      <c r="AI7" s="254"/>
      <c r="AJ7" s="94"/>
      <c r="AK7" s="377"/>
      <c r="AL7" s="377"/>
      <c r="AM7" s="377"/>
      <c r="AN7" s="94"/>
    </row>
    <row r="8" spans="1:40" x14ac:dyDescent="0.25">
      <c r="A8" s="338" t="s">
        <v>1699</v>
      </c>
      <c r="B8" s="381"/>
      <c r="C8" s="358" t="s">
        <v>1700</v>
      </c>
      <c r="D8" s="102">
        <v>6</v>
      </c>
      <c r="E8" s="282">
        <v>1</v>
      </c>
      <c r="F8" s="102">
        <v>2480</v>
      </c>
      <c r="G8" s="102">
        <v>2840</v>
      </c>
      <c r="H8" s="102">
        <v>3</v>
      </c>
      <c r="I8" s="328">
        <f t="shared" si="2"/>
        <v>40</v>
      </c>
      <c r="J8" s="328">
        <f t="shared" si="7"/>
        <v>14</v>
      </c>
      <c r="K8" s="328">
        <f t="shared" si="3"/>
        <v>8</v>
      </c>
      <c r="L8" s="282"/>
      <c r="N8" s="1">
        <f t="shared" si="4"/>
        <v>6</v>
      </c>
      <c r="O8" s="1">
        <f t="shared" si="0"/>
        <v>2480</v>
      </c>
      <c r="P8" s="1">
        <f t="shared" si="0"/>
        <v>2840</v>
      </c>
      <c r="Q8" s="329"/>
      <c r="R8" s="329"/>
      <c r="S8" s="329"/>
      <c r="T8" s="282"/>
      <c r="X8" s="332"/>
      <c r="Y8" s="332"/>
      <c r="Z8" s="332"/>
      <c r="AA8" s="332"/>
      <c r="AB8" s="332"/>
      <c r="AC8" s="332"/>
      <c r="AD8" s="332"/>
      <c r="AE8" s="332"/>
      <c r="AF8" s="332"/>
      <c r="AG8" s="332"/>
      <c r="AI8" s="254"/>
      <c r="AJ8" s="94"/>
      <c r="AK8" s="377"/>
      <c r="AL8" s="377"/>
      <c r="AM8" s="377"/>
      <c r="AN8" s="94"/>
    </row>
    <row r="9" spans="1:40" ht="15" customHeight="1" x14ac:dyDescent="0.25">
      <c r="A9" s="338" t="s">
        <v>1701</v>
      </c>
      <c r="B9" s="381" t="s">
        <v>1702</v>
      </c>
      <c r="C9" s="360" t="s">
        <v>1703</v>
      </c>
      <c r="D9" s="102">
        <v>7</v>
      </c>
      <c r="E9" s="282">
        <v>1</v>
      </c>
      <c r="F9" s="102">
        <v>1050</v>
      </c>
      <c r="G9" s="102">
        <v>2400</v>
      </c>
      <c r="H9" s="102">
        <v>1</v>
      </c>
      <c r="I9" s="328">
        <f t="shared" si="2"/>
        <v>40</v>
      </c>
      <c r="J9" s="328">
        <f t="shared" si="7"/>
        <v>14</v>
      </c>
      <c r="K9" s="328">
        <f t="shared" si="3"/>
        <v>8</v>
      </c>
      <c r="L9" s="282"/>
      <c r="N9" s="1">
        <f t="shared" si="4"/>
        <v>7</v>
      </c>
      <c r="O9" s="1">
        <f t="shared" si="0"/>
        <v>1050</v>
      </c>
      <c r="P9" s="1">
        <f t="shared" si="0"/>
        <v>2400</v>
      </c>
      <c r="Q9" s="329"/>
      <c r="R9" s="329"/>
      <c r="S9" s="329"/>
      <c r="T9" s="282"/>
      <c r="V9" s="324" t="s">
        <v>1517</v>
      </c>
      <c r="W9" s="323"/>
      <c r="X9" s="332"/>
      <c r="Y9" s="332"/>
      <c r="Z9" s="332"/>
      <c r="AA9" s="332"/>
      <c r="AB9" s="332"/>
      <c r="AC9" s="332"/>
      <c r="AD9" s="332"/>
      <c r="AE9" s="332"/>
      <c r="AF9" s="332"/>
      <c r="AG9" s="332"/>
      <c r="AI9" s="254"/>
      <c r="AJ9" s="94"/>
      <c r="AK9" s="377"/>
      <c r="AL9" s="377"/>
      <c r="AM9" s="377"/>
      <c r="AN9" s="94"/>
    </row>
    <row r="10" spans="1:40" x14ac:dyDescent="0.25">
      <c r="A10" s="338" t="s">
        <v>1704</v>
      </c>
      <c r="B10" s="379">
        <f>AK6</f>
        <v>121.6</v>
      </c>
      <c r="C10" s="358"/>
      <c r="D10" s="102">
        <v>8</v>
      </c>
      <c r="E10" s="282">
        <v>1</v>
      </c>
      <c r="F10" s="102">
        <v>2500</v>
      </c>
      <c r="G10" s="102">
        <v>2840</v>
      </c>
      <c r="H10" s="102">
        <v>3</v>
      </c>
      <c r="I10" s="328">
        <f t="shared" si="2"/>
        <v>40</v>
      </c>
      <c r="J10" s="328">
        <f t="shared" si="7"/>
        <v>14</v>
      </c>
      <c r="K10" s="328">
        <f t="shared" si="3"/>
        <v>8</v>
      </c>
      <c r="L10" s="282"/>
      <c r="N10" s="1">
        <f t="shared" si="4"/>
        <v>8</v>
      </c>
      <c r="O10" s="1">
        <f t="shared" si="0"/>
        <v>2500</v>
      </c>
      <c r="P10" s="1">
        <f t="shared" si="0"/>
        <v>2840</v>
      </c>
      <c r="Q10" s="329"/>
      <c r="R10" s="329"/>
      <c r="S10" s="329"/>
      <c r="T10" s="282"/>
      <c r="V10" s="107" t="s">
        <v>1518</v>
      </c>
      <c r="W10" s="107">
        <f>C25</f>
        <v>280</v>
      </c>
      <c r="X10" s="332">
        <v>65</v>
      </c>
      <c r="Y10" s="332"/>
      <c r="Z10" s="332"/>
      <c r="AA10" s="332"/>
      <c r="AB10" s="332"/>
      <c r="AC10" s="332"/>
      <c r="AD10" s="332"/>
      <c r="AE10" s="332"/>
      <c r="AF10" s="332"/>
      <c r="AG10" s="332"/>
      <c r="AH10" s="331">
        <f t="shared" si="6"/>
        <v>65</v>
      </c>
      <c r="AI10" s="254"/>
      <c r="AJ10" s="94"/>
      <c r="AK10" s="377"/>
      <c r="AL10" s="377"/>
      <c r="AM10" s="377"/>
      <c r="AN10" s="94"/>
    </row>
    <row r="11" spans="1:40" x14ac:dyDescent="0.25">
      <c r="A11" s="338" t="s">
        <v>1705</v>
      </c>
      <c r="B11" s="379">
        <f>AL6</f>
        <v>73.72</v>
      </c>
      <c r="C11" s="358"/>
      <c r="D11" s="102">
        <v>9</v>
      </c>
      <c r="E11" s="282">
        <v>1</v>
      </c>
      <c r="F11" s="102">
        <v>2500</v>
      </c>
      <c r="G11" s="102">
        <v>2840</v>
      </c>
      <c r="H11" s="102">
        <v>3</v>
      </c>
      <c r="I11" s="328">
        <f t="shared" si="2"/>
        <v>40</v>
      </c>
      <c r="J11" s="328">
        <f t="shared" si="7"/>
        <v>14</v>
      </c>
      <c r="K11" s="328">
        <f t="shared" si="3"/>
        <v>8</v>
      </c>
      <c r="L11" s="282"/>
      <c r="N11" s="1">
        <f t="shared" si="4"/>
        <v>9</v>
      </c>
      <c r="O11" s="1">
        <f t="shared" si="0"/>
        <v>2500</v>
      </c>
      <c r="P11" s="1">
        <f t="shared" si="0"/>
        <v>2840</v>
      </c>
      <c r="Q11" s="329"/>
      <c r="R11" s="329"/>
      <c r="S11" s="329"/>
      <c r="T11" s="282"/>
      <c r="V11" s="107" t="s">
        <v>1530</v>
      </c>
      <c r="W11" s="107">
        <v>225</v>
      </c>
      <c r="X11" s="332">
        <v>225</v>
      </c>
      <c r="Y11" s="332"/>
      <c r="Z11" s="332"/>
      <c r="AA11" s="332"/>
      <c r="AB11" s="332"/>
      <c r="AC11" s="332"/>
      <c r="AD11" s="332"/>
      <c r="AE11" s="332"/>
      <c r="AF11" s="332"/>
      <c r="AG11" s="332"/>
      <c r="AH11" s="331">
        <f t="shared" si="6"/>
        <v>225</v>
      </c>
      <c r="AI11" s="254"/>
      <c r="AJ11" s="94"/>
      <c r="AK11" s="377"/>
      <c r="AL11" s="377"/>
      <c r="AM11" s="377"/>
      <c r="AN11" s="94"/>
    </row>
    <row r="12" spans="1:40" x14ac:dyDescent="0.25">
      <c r="A12" s="338" t="s">
        <v>1706</v>
      </c>
      <c r="B12" s="379">
        <f>AM6</f>
        <v>25.4</v>
      </c>
      <c r="C12" s="358"/>
      <c r="D12" s="102"/>
      <c r="E12" s="282"/>
      <c r="F12" s="102"/>
      <c r="G12" s="102"/>
      <c r="H12" s="102"/>
      <c r="I12" s="328">
        <f t="shared" si="2"/>
        <v>40</v>
      </c>
      <c r="J12" s="328">
        <f t="shared" si="7"/>
        <v>14</v>
      </c>
      <c r="K12" s="328">
        <f t="shared" si="3"/>
        <v>8</v>
      </c>
      <c r="L12" s="282"/>
      <c r="N12" s="1">
        <f t="shared" si="4"/>
        <v>0</v>
      </c>
      <c r="O12" s="1">
        <f t="shared" si="0"/>
        <v>0</v>
      </c>
      <c r="P12" s="1">
        <f t="shared" si="0"/>
        <v>0</v>
      </c>
      <c r="Q12" s="329"/>
      <c r="R12" s="329"/>
      <c r="S12" s="329"/>
      <c r="T12" s="282"/>
      <c r="X12" s="332"/>
      <c r="Y12" s="332"/>
      <c r="Z12" s="332"/>
      <c r="AA12" s="332"/>
      <c r="AB12" s="332"/>
      <c r="AC12" s="332"/>
      <c r="AD12" s="332"/>
      <c r="AE12" s="332"/>
      <c r="AF12" s="332"/>
      <c r="AG12" s="332"/>
      <c r="AI12" s="254"/>
      <c r="AJ12" s="94"/>
      <c r="AK12" s="377"/>
      <c r="AL12" s="377"/>
      <c r="AM12" s="377"/>
      <c r="AN12" s="94"/>
    </row>
    <row r="13" spans="1:40" x14ac:dyDescent="0.25">
      <c r="A13" s="338" t="s">
        <v>1707</v>
      </c>
      <c r="B13" s="379">
        <f>AM3/2</f>
        <v>5</v>
      </c>
      <c r="C13" s="358"/>
      <c r="I13" s="254"/>
      <c r="J13" s="94"/>
      <c r="K13" s="254"/>
      <c r="L13" s="282"/>
      <c r="Q13" s="254"/>
      <c r="R13" s="94"/>
      <c r="S13" s="254"/>
      <c r="T13" s="282"/>
      <c r="V13" s="324" t="s">
        <v>1472</v>
      </c>
      <c r="W13" s="323"/>
      <c r="X13" s="332"/>
      <c r="Y13" s="332"/>
      <c r="Z13" s="332"/>
      <c r="AA13" s="332"/>
      <c r="AB13" s="332"/>
      <c r="AC13" s="332"/>
      <c r="AD13" s="332"/>
      <c r="AE13" s="332"/>
      <c r="AF13" s="332"/>
      <c r="AG13" s="332"/>
      <c r="AI13" s="254"/>
      <c r="AJ13" s="94"/>
      <c r="AK13" s="377"/>
      <c r="AL13" s="377"/>
      <c r="AM13" s="377"/>
      <c r="AN13" s="94"/>
    </row>
    <row r="14" spans="1:40" x14ac:dyDescent="0.25">
      <c r="A14" s="338" t="s">
        <v>1708</v>
      </c>
      <c r="B14" s="357"/>
      <c r="C14" s="358"/>
      <c r="I14" s="254"/>
      <c r="J14" s="94"/>
      <c r="K14" s="254"/>
      <c r="L14" s="282"/>
      <c r="Q14" s="254"/>
      <c r="R14" s="94"/>
      <c r="S14" s="254"/>
      <c r="T14" s="282"/>
      <c r="V14" s="107" t="s">
        <v>1524</v>
      </c>
      <c r="W14" s="107">
        <f>IF(W5&lt;=0,0,W11/W5)</f>
        <v>18.75</v>
      </c>
      <c r="X14" s="332">
        <v>18.75</v>
      </c>
      <c r="Y14" s="332"/>
      <c r="Z14" s="332"/>
      <c r="AA14" s="332"/>
      <c r="AB14" s="332"/>
      <c r="AC14" s="332"/>
      <c r="AD14" s="332"/>
      <c r="AE14" s="332"/>
      <c r="AF14" s="332"/>
      <c r="AG14" s="332"/>
      <c r="AH14" s="331">
        <f t="shared" si="6"/>
        <v>18.75</v>
      </c>
      <c r="AI14" s="254"/>
      <c r="AJ14" s="94"/>
      <c r="AK14" s="377"/>
      <c r="AL14" s="377"/>
      <c r="AM14" s="377"/>
      <c r="AN14" s="94"/>
    </row>
    <row r="15" spans="1:40" x14ac:dyDescent="0.25">
      <c r="A15" s="338" t="s">
        <v>1709</v>
      </c>
      <c r="B15" s="380">
        <v>25.4</v>
      </c>
      <c r="C15" s="358"/>
      <c r="D15" s="1"/>
      <c r="E15" s="1"/>
      <c r="F15" s="1"/>
      <c r="G15" s="1"/>
      <c r="I15" s="94">
        <f>SUM(I3:I11)</f>
        <v>360</v>
      </c>
      <c r="J15" s="94">
        <f>SUM(J3:J11)</f>
        <v>126</v>
      </c>
      <c r="K15" s="94">
        <f>SUM(K3:K11)</f>
        <v>72</v>
      </c>
      <c r="L15" s="282"/>
      <c r="O15" s="1"/>
      <c r="P15" s="1"/>
      <c r="Q15" s="94">
        <f>SUM(Q3:Q12)</f>
        <v>120</v>
      </c>
      <c r="R15" s="94">
        <f>SUM(R3:R11)</f>
        <v>42</v>
      </c>
      <c r="S15" s="94">
        <f>SUM(S3:S11)</f>
        <v>24</v>
      </c>
      <c r="T15" s="282"/>
      <c r="V15" s="107" t="s">
        <v>1525</v>
      </c>
      <c r="W15" s="107">
        <f>IF(W14=0,0,W14*(W3/2)*W7)</f>
        <v>18.75</v>
      </c>
      <c r="X15" s="332">
        <v>18.75</v>
      </c>
      <c r="Y15" s="332"/>
      <c r="Z15" s="332"/>
      <c r="AA15" s="332"/>
      <c r="AB15" s="332"/>
      <c r="AC15" s="332"/>
      <c r="AD15" s="332"/>
      <c r="AE15" s="332"/>
      <c r="AF15" s="332"/>
      <c r="AG15" s="332"/>
      <c r="AH15" s="331">
        <f t="shared" si="6"/>
        <v>18.75</v>
      </c>
      <c r="AI15" s="254"/>
      <c r="AJ15" s="94"/>
      <c r="AK15" s="377"/>
      <c r="AL15" s="377"/>
      <c r="AM15" s="377"/>
      <c r="AN15" s="94"/>
    </row>
    <row r="16" spans="1:40" x14ac:dyDescent="0.25">
      <c r="A16" s="338" t="s">
        <v>1710</v>
      </c>
      <c r="B16" s="380">
        <v>25.4</v>
      </c>
      <c r="C16" s="358"/>
      <c r="L16" s="282"/>
      <c r="T16" s="282"/>
      <c r="V16" s="107" t="s">
        <v>1515</v>
      </c>
      <c r="W16" s="107">
        <f>IF(W15=0,0,W10/W15)</f>
        <v>14.933333333333334</v>
      </c>
      <c r="X16" s="332">
        <v>3.4666666670000001</v>
      </c>
      <c r="Y16" s="332"/>
      <c r="Z16" s="332"/>
      <c r="AA16" s="332"/>
      <c r="AB16" s="332"/>
      <c r="AC16" s="332"/>
      <c r="AD16" s="332"/>
      <c r="AE16" s="332"/>
      <c r="AF16" s="332"/>
      <c r="AG16" s="332"/>
      <c r="AH16" s="331">
        <f t="shared" si="6"/>
        <v>3.4666666670000001</v>
      </c>
      <c r="AI16" s="254"/>
      <c r="AJ16" s="94"/>
      <c r="AK16" s="377"/>
      <c r="AL16" s="377"/>
      <c r="AM16" s="377"/>
      <c r="AN16" s="94"/>
    </row>
    <row r="17" spans="1:40" x14ac:dyDescent="0.25">
      <c r="A17" s="338" t="s">
        <v>1711</v>
      </c>
      <c r="B17" s="357">
        <v>6060</v>
      </c>
      <c r="C17" s="358"/>
      <c r="L17" s="282"/>
      <c r="T17" s="282"/>
      <c r="V17" s="107" t="s">
        <v>1519</v>
      </c>
      <c r="W17" s="107">
        <f>IF(W4=0,0,W16/W4)</f>
        <v>1.8666666666666667</v>
      </c>
      <c r="X17" s="332">
        <v>0.43333333299999999</v>
      </c>
      <c r="Y17" s="332"/>
      <c r="Z17" s="332"/>
      <c r="AA17" s="332"/>
      <c r="AB17" s="332"/>
      <c r="AC17" s="332"/>
      <c r="AD17" s="332"/>
      <c r="AE17" s="332"/>
      <c r="AF17" s="332"/>
      <c r="AG17" s="332"/>
      <c r="AH17" s="331">
        <f t="shared" si="6"/>
        <v>0.43333333299999999</v>
      </c>
      <c r="AI17" s="254"/>
      <c r="AJ17" s="94"/>
      <c r="AK17" s="377"/>
      <c r="AL17" s="377"/>
      <c r="AM17" s="377"/>
      <c r="AN17" s="94"/>
    </row>
    <row r="18" spans="1:40" x14ac:dyDescent="0.25">
      <c r="A18" s="338" t="s">
        <v>1712</v>
      </c>
      <c r="B18" s="357">
        <v>1</v>
      </c>
      <c r="C18" s="358"/>
      <c r="L18" s="282"/>
      <c r="T18" s="282"/>
      <c r="V18" s="107" t="s">
        <v>1526</v>
      </c>
      <c r="W18" s="107">
        <f>W17*1.15</f>
        <v>2.1466666666666665</v>
      </c>
      <c r="X18" s="332">
        <v>0.49833333299999999</v>
      </c>
      <c r="Y18" s="332"/>
      <c r="Z18" s="332"/>
      <c r="AA18" s="332"/>
      <c r="AB18" s="332"/>
      <c r="AC18" s="332"/>
      <c r="AD18" s="332"/>
      <c r="AE18" s="332"/>
      <c r="AF18" s="332"/>
      <c r="AG18" s="332"/>
      <c r="AH18" s="331">
        <f>SUM(X18:AG18)</f>
        <v>0.49833333299999999</v>
      </c>
      <c r="AI18" s="376"/>
      <c r="AJ18" s="163"/>
      <c r="AK18" s="164"/>
      <c r="AL18" s="164"/>
      <c r="AM18" s="164"/>
      <c r="AN18" s="163"/>
    </row>
    <row r="19" spans="1:40" x14ac:dyDescent="0.25">
      <c r="A19" s="338" t="s">
        <v>1713</v>
      </c>
      <c r="B19" s="357">
        <v>2</v>
      </c>
      <c r="C19" s="358"/>
      <c r="L19" s="282"/>
      <c r="T19" s="282"/>
    </row>
    <row r="20" spans="1:40" x14ac:dyDescent="0.25">
      <c r="A20" s="338" t="s">
        <v>1714</v>
      </c>
      <c r="B20" s="357">
        <v>3</v>
      </c>
      <c r="C20" s="358"/>
      <c r="L20" s="282"/>
      <c r="T20" s="282"/>
    </row>
    <row r="21" spans="1:40" x14ac:dyDescent="0.25">
      <c r="A21" s="338" t="s">
        <v>1715</v>
      </c>
      <c r="B21" s="357"/>
      <c r="C21" s="358"/>
    </row>
    <row r="22" spans="1:40" x14ac:dyDescent="0.25">
      <c r="A22" s="338" t="s">
        <v>1715</v>
      </c>
      <c r="B22" s="357"/>
      <c r="C22" s="358"/>
    </row>
    <row r="23" spans="1:40" x14ac:dyDescent="0.25">
      <c r="A23" s="338"/>
      <c r="B23" s="357"/>
      <c r="C23" s="358"/>
    </row>
    <row r="24" spans="1:40" x14ac:dyDescent="0.25">
      <c r="A24" s="356" t="s">
        <v>1716</v>
      </c>
      <c r="B24" s="361" t="s">
        <v>1717</v>
      </c>
      <c r="C24" s="361" t="s">
        <v>1718</v>
      </c>
    </row>
    <row r="25" spans="1:40" x14ac:dyDescent="0.25">
      <c r="A25" s="338" t="s">
        <v>1719</v>
      </c>
      <c r="B25" s="357">
        <f>IF(OR($C$50="",$C$47="",$B$12=""),"",IF(TRIM($B$8)="",ROUND(($C$50-$B$12)/$C$47,0),IF(UPPER(TRIM($B$8))="EG",ROUND((($C$50-$B$12-$C$48)/$C$47)+1,0),IF(UPPER(TRIM($B$8))="2EB",ROUND((($C$50-$B$12-(2*$C$48))/$C$47)+2,0),""))))</f>
        <v>40</v>
      </c>
      <c r="C25" s="362">
        <f>B25*$B$6</f>
        <v>280</v>
      </c>
    </row>
    <row r="26" spans="1:40" x14ac:dyDescent="0.25">
      <c r="A26" s="338" t="s">
        <v>1720</v>
      </c>
      <c r="B26" s="357">
        <f>IF(OR($C$49="",$B$6=""),"",ROUND(($C$49/$B$6)-(2*$B$18),3))</f>
        <v>861.6</v>
      </c>
      <c r="C26" s="362">
        <f>B26</f>
        <v>861.6</v>
      </c>
    </row>
    <row r="27" spans="1:40" x14ac:dyDescent="0.25">
      <c r="A27" s="338" t="s">
        <v>1721</v>
      </c>
      <c r="B27" s="357">
        <f>$C$46</f>
        <v>97.179487179487182</v>
      </c>
      <c r="C27" s="362">
        <f>B27</f>
        <v>97.179487179487182</v>
      </c>
    </row>
    <row r="28" spans="1:40" x14ac:dyDescent="0.25">
      <c r="A28" s="338" t="s">
        <v>1722</v>
      </c>
      <c r="B28" s="363">
        <f>$C$47</f>
        <v>97.179487179487182</v>
      </c>
      <c r="C28" s="382">
        <f>B28</f>
        <v>97.179487179487182</v>
      </c>
    </row>
    <row r="29" spans="1:40" x14ac:dyDescent="0.25">
      <c r="A29" s="338" t="s">
        <v>1723</v>
      </c>
      <c r="B29" s="364">
        <f>ROUND($C$48,10)</f>
        <v>97.179487179500001</v>
      </c>
      <c r="C29" s="365">
        <f>B29</f>
        <v>97.179487179500001</v>
      </c>
      <c r="E29" s="370"/>
      <c r="F29" s="370"/>
      <c r="G29" s="370"/>
      <c r="H29" s="370"/>
      <c r="I29" s="370"/>
      <c r="J29" s="371"/>
      <c r="L29" s="1"/>
      <c r="M29" s="1"/>
      <c r="N29" s="1"/>
      <c r="O29" s="1"/>
      <c r="P29" s="1"/>
      <c r="Q29" s="1"/>
      <c r="V29" s="4"/>
      <c r="Y29" s="326"/>
      <c r="Z29" s="326"/>
      <c r="AA29" s="326"/>
      <c r="AB29" s="326"/>
      <c r="AC29" s="326"/>
      <c r="AD29" s="326"/>
      <c r="AE29" s="326"/>
      <c r="AF29" s="326"/>
      <c r="AG29" s="326"/>
    </row>
    <row r="30" spans="1:40" x14ac:dyDescent="0.25">
      <c r="A30" s="338" t="s">
        <v>1724</v>
      </c>
      <c r="B30" s="357">
        <f>IF($B$19="","",$B$19)</f>
        <v>2</v>
      </c>
      <c r="C30" s="362">
        <f>IF(B30="","",B30*$B$6)</f>
        <v>14</v>
      </c>
      <c r="E30" s="370"/>
      <c r="F30" s="370"/>
      <c r="G30" s="370"/>
      <c r="H30" s="370"/>
      <c r="I30" s="370"/>
      <c r="J30" s="371"/>
      <c r="L30" s="1"/>
      <c r="M30" s="1"/>
      <c r="N30" s="1"/>
      <c r="O30" s="1"/>
      <c r="P30" s="1"/>
      <c r="Q30" s="1"/>
      <c r="Y30" s="326"/>
      <c r="Z30" s="326"/>
      <c r="AA30" s="326"/>
      <c r="AB30" s="326"/>
      <c r="AC30" s="326"/>
      <c r="AD30" s="326"/>
      <c r="AE30" s="326"/>
      <c r="AF30" s="326"/>
      <c r="AG30" s="326"/>
    </row>
    <row r="31" spans="1:40" x14ac:dyDescent="0.25">
      <c r="A31" s="338" t="s">
        <v>1725</v>
      </c>
      <c r="B31" s="363">
        <f>$C$50</f>
        <v>3911.6</v>
      </c>
      <c r="C31" s="366">
        <f>B31</f>
        <v>3911.6</v>
      </c>
      <c r="E31" s="16"/>
      <c r="F31" s="16"/>
      <c r="G31" s="16"/>
      <c r="H31" s="16"/>
      <c r="I31" s="16"/>
      <c r="J31" s="372"/>
      <c r="L31" s="1"/>
      <c r="M31" s="1"/>
      <c r="N31" s="1"/>
      <c r="O31" s="1"/>
      <c r="P31" s="1"/>
      <c r="Q31" s="1"/>
      <c r="Y31" s="326"/>
      <c r="Z31" s="326"/>
      <c r="AA31" s="326"/>
      <c r="AB31" s="326"/>
      <c r="AC31" s="326"/>
      <c r="AD31" s="326"/>
      <c r="AE31" s="326"/>
      <c r="AF31" s="326"/>
      <c r="AG31" s="326"/>
    </row>
    <row r="32" spans="1:40" x14ac:dyDescent="0.25">
      <c r="A32" s="338" t="s">
        <v>1726</v>
      </c>
      <c r="B32" s="357" t="str">
        <f>IF($B$6=1,$C$53,"")</f>
        <v/>
      </c>
      <c r="C32" s="362">
        <f>$C$53</f>
        <v>2</v>
      </c>
      <c r="E32" s="373"/>
      <c r="F32" s="373"/>
      <c r="G32" s="373"/>
      <c r="H32" s="373"/>
      <c r="I32" s="373"/>
      <c r="J32" s="373"/>
      <c r="L32" s="1"/>
      <c r="M32" s="1"/>
      <c r="N32" s="1"/>
      <c r="O32" s="1"/>
      <c r="P32" s="1"/>
      <c r="Q32" s="1"/>
      <c r="Y32" s="326"/>
      <c r="Z32" s="326"/>
      <c r="AA32" s="326"/>
      <c r="AB32" s="326"/>
      <c r="AC32" s="326"/>
      <c r="AD32" s="326"/>
      <c r="AE32" s="326"/>
      <c r="AF32" s="326"/>
      <c r="AG32" s="326"/>
    </row>
    <row r="33" spans="1:33" x14ac:dyDescent="0.25">
      <c r="A33" s="338" t="s">
        <v>1727</v>
      </c>
      <c r="B33" s="357" t="str">
        <f>IF($B$6=1,$C$51,"")</f>
        <v/>
      </c>
      <c r="C33" s="362">
        <f>$C$51</f>
        <v>3962.4</v>
      </c>
      <c r="E33" s="370"/>
      <c r="F33" s="370"/>
      <c r="G33" s="370"/>
      <c r="H33" s="370"/>
      <c r="I33" s="370"/>
      <c r="J33" s="374"/>
      <c r="L33" s="1"/>
      <c r="M33" s="1"/>
      <c r="N33" s="1"/>
      <c r="O33" s="1"/>
      <c r="P33" s="1"/>
      <c r="Q33" s="1"/>
      <c r="Y33" s="326"/>
      <c r="Z33" s="326"/>
      <c r="AA33" s="326"/>
      <c r="AB33" s="326"/>
      <c r="AC33" s="326"/>
      <c r="AD33" s="326"/>
      <c r="AE33" s="326"/>
      <c r="AF33" s="326"/>
      <c r="AG33" s="326"/>
    </row>
    <row r="34" spans="1:33" x14ac:dyDescent="0.25">
      <c r="A34" s="338" t="s">
        <v>1728</v>
      </c>
      <c r="B34" s="357" t="str">
        <f>IF($B$6=1,$C$54,"")</f>
        <v/>
      </c>
      <c r="C34" s="362">
        <f>$C$54</f>
        <v>2</v>
      </c>
      <c r="E34" s="370"/>
      <c r="F34" s="370"/>
      <c r="G34" s="370"/>
      <c r="H34" s="370"/>
      <c r="I34" s="370"/>
      <c r="J34" s="374"/>
      <c r="L34" s="1"/>
      <c r="M34" s="1"/>
      <c r="N34" s="1"/>
      <c r="O34" s="1"/>
      <c r="P34" s="1"/>
      <c r="Q34" s="1"/>
      <c r="Y34" s="326"/>
      <c r="Z34" s="326"/>
      <c r="AA34" s="326"/>
      <c r="AB34" s="326"/>
      <c r="AC34" s="326"/>
      <c r="AD34" s="326"/>
      <c r="AE34" s="326"/>
      <c r="AF34" s="326"/>
      <c r="AG34" s="326"/>
    </row>
    <row r="35" spans="1:33" x14ac:dyDescent="0.25">
      <c r="A35" s="338" t="s">
        <v>1729</v>
      </c>
      <c r="B35" s="357" t="str">
        <f>IF($B$6=1,$C$52,"")</f>
        <v/>
      </c>
      <c r="C35" s="362">
        <f>$C$52</f>
        <v>6045.2</v>
      </c>
      <c r="E35" s="1"/>
      <c r="F35" s="1"/>
      <c r="G35" s="1"/>
      <c r="H35" s="1"/>
      <c r="I35" s="1"/>
      <c r="J35" s="1"/>
      <c r="L35" s="1"/>
      <c r="M35" s="1"/>
      <c r="N35" s="1"/>
      <c r="O35" s="1"/>
      <c r="P35" s="1"/>
      <c r="Q35" s="1"/>
      <c r="Y35" s="326"/>
      <c r="Z35" s="326"/>
      <c r="AA35" s="326"/>
      <c r="AB35" s="326"/>
      <c r="AC35" s="326"/>
      <c r="AD35" s="326"/>
      <c r="AE35" s="326"/>
      <c r="AF35" s="326"/>
      <c r="AG35" s="326"/>
    </row>
    <row r="36" spans="1:33" x14ac:dyDescent="0.25">
      <c r="A36" s="338" t="s">
        <v>1730</v>
      </c>
      <c r="B36" s="357" t="str">
        <f>IF($B$6=1,$C$55,"")</f>
        <v/>
      </c>
      <c r="C36" s="362">
        <f>$C$55</f>
        <v>6</v>
      </c>
      <c r="E36" s="1"/>
      <c r="F36" s="1"/>
      <c r="G36" s="1"/>
      <c r="H36" s="1"/>
      <c r="I36" s="1"/>
      <c r="J36" s="1"/>
      <c r="L36" s="1"/>
      <c r="M36" s="1"/>
      <c r="N36" s="1"/>
      <c r="O36" s="1"/>
      <c r="P36" s="1"/>
      <c r="Q36" s="1"/>
      <c r="V36" s="1"/>
      <c r="Y36" s="326"/>
      <c r="Z36" s="326"/>
      <c r="AA36" s="326"/>
      <c r="AB36" s="326"/>
      <c r="AC36" s="326"/>
      <c r="AD36" s="326"/>
      <c r="AE36" s="326"/>
      <c r="AF36" s="326"/>
      <c r="AG36" s="326"/>
    </row>
    <row r="37" spans="1:33" x14ac:dyDescent="0.25">
      <c r="A37" s="338" t="s">
        <v>1731</v>
      </c>
      <c r="B37" s="357" t="str">
        <f>IF($B$6=1,$C$56,"")</f>
        <v/>
      </c>
      <c r="C37" s="362">
        <f>$C$56</f>
        <v>3911.6</v>
      </c>
      <c r="E37" s="1"/>
      <c r="F37" s="1"/>
      <c r="G37" s="1"/>
      <c r="H37" s="1"/>
      <c r="I37" s="1"/>
      <c r="J37" s="1"/>
      <c r="L37" s="1"/>
      <c r="M37" s="1"/>
      <c r="N37" s="1"/>
      <c r="O37" s="1"/>
      <c r="P37" s="1"/>
      <c r="Q37" s="1"/>
      <c r="Y37" s="326"/>
      <c r="Z37" s="326"/>
      <c r="AA37" s="326"/>
      <c r="AB37" s="326"/>
      <c r="AC37" s="326"/>
      <c r="AD37" s="326"/>
      <c r="AE37" s="326"/>
      <c r="AF37" s="326"/>
      <c r="AG37" s="326"/>
    </row>
    <row r="38" spans="1:33" x14ac:dyDescent="0.25">
      <c r="A38" s="338" t="s">
        <v>1732</v>
      </c>
      <c r="B38" s="357">
        <f>IF(OR($B$3="",$B$6="",$C$57=""),"",ROUND($C$57/($B$3*$B$6),3))</f>
        <v>5.7140000000000004</v>
      </c>
      <c r="C38" s="362">
        <f>$C$57</f>
        <v>40</v>
      </c>
      <c r="E38" s="1"/>
      <c r="F38" s="1"/>
      <c r="G38" s="1"/>
      <c r="H38" s="1"/>
      <c r="I38" s="1"/>
      <c r="J38" s="1"/>
      <c r="L38" s="1"/>
      <c r="M38" s="1"/>
      <c r="N38" s="1"/>
      <c r="O38" s="1"/>
      <c r="P38" s="1"/>
      <c r="Q38" s="1"/>
      <c r="Y38" s="326"/>
      <c r="Z38" s="326"/>
      <c r="AA38" s="326"/>
      <c r="AB38" s="326"/>
      <c r="AC38" s="326"/>
      <c r="AD38" s="326"/>
      <c r="AE38" s="326"/>
      <c r="AF38" s="326"/>
      <c r="AG38" s="326"/>
    </row>
    <row r="39" spans="1:33" x14ac:dyDescent="0.25">
      <c r="A39" s="338" t="s">
        <v>1733</v>
      </c>
      <c r="B39" s="357">
        <f>IF(OR($B$3="",$B$6="",$C$58=""),"",ROUND($C$58/($B$3*$B$6),3))</f>
        <v>2</v>
      </c>
      <c r="C39" s="362">
        <f>$C$58</f>
        <v>14</v>
      </c>
      <c r="I39" s="1"/>
      <c r="P39" s="1"/>
      <c r="Y39" s="326"/>
      <c r="Z39" s="326"/>
      <c r="AA39" s="326"/>
      <c r="AB39" s="326"/>
      <c r="AC39" s="326"/>
      <c r="AD39" s="326"/>
      <c r="AE39" s="326"/>
      <c r="AF39" s="326"/>
      <c r="AG39" s="326"/>
    </row>
    <row r="40" spans="1:33" x14ac:dyDescent="0.25">
      <c r="A40" s="338" t="s">
        <v>1734</v>
      </c>
      <c r="B40" s="357">
        <f>IF(OR($B$3="",$B$6="",$C$61=""),"",ROUND($C$61/($B$3*$B$6),3))</f>
        <v>1.143</v>
      </c>
      <c r="C40" s="362">
        <f>$C$61</f>
        <v>8</v>
      </c>
      <c r="I40" s="1"/>
      <c r="P40" s="1"/>
      <c r="V40" s="1"/>
      <c r="Y40" s="326"/>
      <c r="Z40" s="326"/>
      <c r="AA40" s="326"/>
      <c r="AB40" s="326"/>
      <c r="AC40" s="326"/>
      <c r="AD40" s="326"/>
      <c r="AE40" s="326"/>
      <c r="AF40" s="326"/>
      <c r="AG40" s="326"/>
    </row>
    <row r="41" spans="1:33" x14ac:dyDescent="0.25">
      <c r="A41" s="338" t="s">
        <v>1715</v>
      </c>
      <c r="B41" s="357"/>
      <c r="C41" s="362"/>
      <c r="I41" s="1"/>
      <c r="P41" s="1"/>
      <c r="Y41" s="326"/>
      <c r="Z41" s="326"/>
      <c r="AA41" s="326"/>
      <c r="AB41" s="326"/>
      <c r="AC41" s="326"/>
      <c r="AD41" s="326"/>
      <c r="AE41" s="326"/>
      <c r="AF41" s="326"/>
      <c r="AG41" s="326"/>
    </row>
    <row r="42" spans="1:33" x14ac:dyDescent="0.25">
      <c r="A42" s="338" t="s">
        <v>1715</v>
      </c>
      <c r="B42" s="357"/>
      <c r="C42" s="362"/>
      <c r="F42" s="1"/>
      <c r="G42" s="1"/>
      <c r="H42" s="1"/>
      <c r="I42" s="1"/>
      <c r="J42" s="1"/>
      <c r="M42" s="1"/>
      <c r="N42" s="1"/>
      <c r="O42" s="1"/>
      <c r="P42" s="1"/>
      <c r="Q42" s="1"/>
      <c r="Y42" s="326"/>
      <c r="Z42" s="326"/>
      <c r="AA42" s="326"/>
      <c r="AB42" s="326"/>
      <c r="AC42" s="326"/>
      <c r="AD42" s="326"/>
      <c r="AE42" s="326"/>
      <c r="AF42" s="326"/>
      <c r="AG42" s="326"/>
    </row>
    <row r="43" spans="1:33" x14ac:dyDescent="0.25">
      <c r="A43" s="338" t="s">
        <v>1715</v>
      </c>
      <c r="B43" s="357"/>
      <c r="C43" s="362"/>
      <c r="Y43" s="326"/>
      <c r="Z43" s="326"/>
      <c r="AA43" s="326"/>
      <c r="AB43" s="326"/>
      <c r="AC43" s="326"/>
      <c r="AD43" s="326"/>
      <c r="AE43" s="326"/>
      <c r="AF43" s="326"/>
      <c r="AG43" s="326"/>
    </row>
    <row r="44" spans="1:33" x14ac:dyDescent="0.25">
      <c r="A44" s="338"/>
      <c r="B44" s="362"/>
      <c r="C44" s="362"/>
      <c r="Y44" s="326"/>
      <c r="Z44" s="326"/>
      <c r="AA44" s="326"/>
      <c r="AB44" s="326"/>
      <c r="AC44" s="326"/>
      <c r="AD44" s="326"/>
      <c r="AE44" s="326"/>
      <c r="AF44" s="326"/>
      <c r="AG44" s="326"/>
    </row>
    <row r="45" spans="1:33" x14ac:dyDescent="0.25">
      <c r="A45" s="356" t="s">
        <v>1735</v>
      </c>
      <c r="B45" s="356" t="s">
        <v>423</v>
      </c>
      <c r="C45" s="356" t="s">
        <v>1736</v>
      </c>
      <c r="Y45" s="326"/>
      <c r="Z45" s="326"/>
      <c r="AA45" s="326"/>
      <c r="AB45" s="326"/>
      <c r="AC45" s="326"/>
      <c r="AD45" s="326"/>
      <c r="AE45" s="326"/>
      <c r="AF45" s="326"/>
      <c r="AG45" s="326"/>
    </row>
    <row r="46" spans="1:33" x14ac:dyDescent="0.25">
      <c r="A46" s="338" t="s">
        <v>1737</v>
      </c>
      <c r="B46" s="367" t="str">
        <f t="shared" ref="B46:B61" ca="1" si="8">_xlfn.FORMULATEXT(C46)</f>
        <v>=IFERROR(($C$50-$B$10)/(MAX(2,ROUND((($C$50-$B$10)/MAX(0.001,$B$10-$B$12))+1,0))-1),"")</v>
      </c>
      <c r="C46" s="337">
        <f>IFERROR(($C$50-$B$10)/(MAX(2,ROUND((($C$50-$B$10)/MAX(0.001,$B$10-$B$12))+1,0))-1),"")</f>
        <v>97.179487179487182</v>
      </c>
    </row>
    <row r="47" spans="1:33" x14ac:dyDescent="0.25">
      <c r="A47" s="338" t="s">
        <v>1738</v>
      </c>
      <c r="B47" s="367" t="str">
        <f t="shared" ca="1" si="8"/>
        <v>=IF(OR(TRIM($B$7)="",TRIM($B$8)=""),$C$46,$B$7)</v>
      </c>
      <c r="C47" s="337">
        <f>IF(OR(TRIM($B$7)="",TRIM($B$8)=""),$C$46,$B$7)</f>
        <v>97.179487179487182</v>
      </c>
    </row>
    <row r="48" spans="1:33" x14ac:dyDescent="0.25">
      <c r="A48" s="338" t="s">
        <v>1739</v>
      </c>
      <c r="B48" s="367" t="str">
        <f t="shared" ca="1" si="8"/>
        <v>=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v>
      </c>
      <c r="C48" s="366">
        <f>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f>
        <v>97.179487179500001</v>
      </c>
    </row>
    <row r="49" spans="1:3" x14ac:dyDescent="0.25">
      <c r="A49" s="338" t="s">
        <v>1740</v>
      </c>
      <c r="B49" s="367" t="str">
        <f t="shared" ca="1" si="8"/>
        <v>=IF(OR($B$4="",$B$16=""),"",ROUND($B$4-(2*$B$16),3))</v>
      </c>
      <c r="C49" s="337">
        <f>IF(OR($B$4="",$B$16=""),"",ROUND($B$4-(2*$B$16),3))</f>
        <v>6045.2</v>
      </c>
    </row>
    <row r="50" spans="1:3" x14ac:dyDescent="0.25">
      <c r="A50" s="368" t="s">
        <v>1741</v>
      </c>
      <c r="B50" s="367" t="str">
        <f t="shared" ca="1" si="8"/>
        <v>=IF(OR($B$5="",$B$15=""),"",ROUND($B$5-(2*$B$15),3))</v>
      </c>
      <c r="C50" s="337">
        <f>IF(OR($B$5="",$B$15=""),"",ROUND($B$5-(2*$B$15),3))</f>
        <v>3911.6</v>
      </c>
    </row>
    <row r="51" spans="1:3" x14ac:dyDescent="0.25">
      <c r="A51" s="338" t="s">
        <v>1742</v>
      </c>
      <c r="B51" s="367" t="str">
        <f t="shared" ca="1" si="8"/>
        <v>=IF(UPPER(LEFT(TRIM($B$9),8))="VERTICAL",ROUND($B$5,3),ROUND($B$5-(2*$B$15),3))</v>
      </c>
      <c r="C51" s="337">
        <f>IF(UPPER(LEFT(TRIM($B$9),8))="VERTICAL",ROUND($B$5,3),ROUND($B$5-(2*$B$15),3))</f>
        <v>3962.4</v>
      </c>
    </row>
    <row r="52" spans="1:3" x14ac:dyDescent="0.25">
      <c r="A52" s="338" t="s">
        <v>1743</v>
      </c>
      <c r="B52" s="367" t="str">
        <f t="shared" ca="1" si="8"/>
        <v>=IF(UPPER(LEFT(TRIM($B$9),8))="VERTICAL",ROUND($B$4-(2*$B$16),3),ROUND($B$4,3))</v>
      </c>
      <c r="C52" s="337">
        <f>IF(UPPER(LEFT(TRIM($B$9),8))="VERTICAL",ROUND($B$4-(2*$B$16),3),ROUND($B$4,3))</f>
        <v>6045.2</v>
      </c>
    </row>
    <row r="53" spans="1:3" x14ac:dyDescent="0.25">
      <c r="A53" s="338" t="s">
        <v>1744</v>
      </c>
      <c r="B53" s="367" t="str">
        <f t="shared" ca="1" si="8"/>
        <v>=2</v>
      </c>
      <c r="C53" s="337">
        <f>2</f>
        <v>2</v>
      </c>
    </row>
    <row r="54" spans="1:3" x14ac:dyDescent="0.25">
      <c r="A54" s="338" t="s">
        <v>1745</v>
      </c>
      <c r="B54" s="367" t="str">
        <f t="shared" ca="1" si="8"/>
        <v>=2</v>
      </c>
      <c r="C54" s="337">
        <f>2</f>
        <v>2</v>
      </c>
    </row>
    <row r="55" spans="1:3" x14ac:dyDescent="0.25">
      <c r="A55" s="338" t="s">
        <v>1746</v>
      </c>
      <c r="B55" s="367" t="str">
        <f t="shared" ca="1" si="8"/>
        <v>=MAX($B$6-1,0)</v>
      </c>
      <c r="C55" s="337">
        <f>MAX($B$6-1,0)</f>
        <v>6</v>
      </c>
    </row>
    <row r="56" spans="1:3" x14ac:dyDescent="0.25">
      <c r="A56" s="338" t="s">
        <v>1747</v>
      </c>
      <c r="B56" s="367" t="str">
        <f t="shared" ca="1" si="8"/>
        <v>=$C$50</v>
      </c>
      <c r="C56" s="337">
        <f>$C$50</f>
        <v>3911.6</v>
      </c>
    </row>
    <row r="57" spans="1:3" x14ac:dyDescent="0.25">
      <c r="A57" s="338" t="s">
        <v>1748</v>
      </c>
      <c r="B57" s="367" t="str">
        <f t="shared" ca="1" si="8"/>
        <v>=IF(OR($C$25="",$B$26="",$B$17=""),"",ROUNDUP(($C$25*$B$3)/INT(($B$17+$B$20)/($B$26+$B$20)),0))</v>
      </c>
      <c r="C57" s="337">
        <f>IF(OR($C$25="",$B$26="",$B$17=""),"",ROUNDUP(($C$25*$B$3)/INT(($B$17+$B$20)/($B$26+$B$20)),0))</f>
        <v>40</v>
      </c>
    </row>
    <row r="58" spans="1:3" ht="15" customHeight="1" x14ac:dyDescent="0.25">
      <c r="A58" s="338" t="s">
        <v>1749</v>
      </c>
      <c r="B58" s="367" t="str">
        <f t="shared" ca="1" si="8"/>
        <v>=IF(OR($C$30="",$B$31="",$B$17=""),"",ROUNDUP(($C$30*$B$3)/INT(($B$17+$B$20)/($B$31+$B$20)),0))</v>
      </c>
      <c r="C58" s="337">
        <f>IF(OR($C$30="",$B$31="",$B$17=""),"",ROUNDUP(($C$30*$B$3)/INT(($B$17+$B$20)/($B$31+$B$20)),0))</f>
        <v>14</v>
      </c>
    </row>
    <row r="59" spans="1:3" ht="15" customHeight="1" x14ac:dyDescent="0.25">
      <c r="A59" s="338" t="s">
        <v>1750</v>
      </c>
      <c r="B59" s="367" t="str">
        <f t="shared" ca="1" si="8"/>
        <v>=IF($B$17="","",CEILING((((($C$53*$C$51)+($C$54*$C$52))*$B$3)+MAX((($C$53+$C$54)*$B$3)-1,0)*$B$20)/$B$17,1))</v>
      </c>
      <c r="C59" s="337">
        <f>IF($B$17="","",CEILING((((($C$53*$C$51)+($C$54*$C$52))*$B$3)+MAX((($C$53+$C$54)*$B$3)-1,0)*$B$20)/$B$17,1))</f>
        <v>4</v>
      </c>
    </row>
    <row r="60" spans="1:3" x14ac:dyDescent="0.25">
      <c r="A60" s="338" t="s">
        <v>1751</v>
      </c>
      <c r="B60" s="367" t="str">
        <f t="shared" ca="1" si="8"/>
        <v>=IF($C$55=0,0,ROUNDUP(($C$55*$B$3)/INT(($B$17+$B$20)/($C$56+$B$20)),0))</v>
      </c>
      <c r="C60" s="337">
        <f>IF($C$55=0,0,ROUNDUP(($C$55*$B$3)/INT(($B$17+$B$20)/($C$56+$B$20)),0))</f>
        <v>6</v>
      </c>
    </row>
    <row r="61" spans="1:3" x14ac:dyDescent="0.25">
      <c r="A61" s="338" t="s">
        <v>1734</v>
      </c>
      <c r="B61" s="367" t="str">
        <f t="shared" ca="1" si="8"/>
        <v>=IF($B$17="","",CEILING((((((($C$53*$C$51)+($C$54*$C$52)+($C$55*$C$56))*$B$3)+MAX((($C$53+$C$54+$C$55)*$B$3)-1,0)*$B$20)/$B$17)),1))</v>
      </c>
      <c r="C61" s="337">
        <f>IF($B$17="","",CEILING((((((($C$53*$C$51)+($C$54*$C$52)+($C$55*$C$56))*$B$3)+MAX((($C$53+$C$54+$C$55)*$B$3)-1,0)*$B$20)/$B$17)),1))</f>
        <v>8</v>
      </c>
    </row>
    <row r="62" spans="1:3" x14ac:dyDescent="0.25">
      <c r="A62" s="369"/>
      <c r="B62" s="369"/>
      <c r="C62" s="369"/>
    </row>
    <row r="63" spans="1:3" x14ac:dyDescent="0.25">
      <c r="A63" s="369"/>
      <c r="B63" s="369"/>
      <c r="C63" s="369"/>
    </row>
  </sheetData>
  <sortState xmlns:xlrd2="http://schemas.microsoft.com/office/spreadsheetml/2017/richdata2" ref="AI3:AN6">
    <sortCondition ref="AI3:AI6"/>
  </sortState>
  <mergeCells count="1">
    <mergeCell ref="V1:W1"/>
  </mergeCell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E870-0E55-4FF4-A961-E0D092649D28}">
  <sheetPr codeName="Sheet10"/>
  <dimension ref="A1:BC83"/>
  <sheetViews>
    <sheetView zoomScale="75" zoomScaleNormal="75" workbookViewId="0">
      <selection activeCell="V36" sqref="V36"/>
    </sheetView>
  </sheetViews>
  <sheetFormatPr defaultRowHeight="15" x14ac:dyDescent="0.25"/>
  <cols>
    <col min="1" max="1" width="32.5703125" bestFit="1" customWidth="1"/>
    <col min="2" max="2" width="9.85546875" bestFit="1" customWidth="1"/>
    <col min="3" max="3" width="10.5703125" bestFit="1" customWidth="1"/>
    <col min="4" max="4" width="1.7109375" customWidth="1"/>
    <col min="5" max="5" width="23.28515625" bestFit="1" customWidth="1"/>
    <col min="6" max="6" width="8.42578125" style="1" bestFit="1" customWidth="1"/>
    <col min="7" max="7" width="9.85546875" bestFit="1" customWidth="1"/>
    <col min="8" max="8" width="10" bestFit="1" customWidth="1"/>
    <col min="9" max="9" width="20.7109375" customWidth="1"/>
    <col min="10" max="10" width="9.7109375" style="37" customWidth="1"/>
    <col min="11" max="31" width="5.7109375" customWidth="1"/>
    <col min="32" max="32" width="1.7109375" customWidth="1"/>
    <col min="33" max="33" width="18.42578125" bestFit="1" customWidth="1"/>
    <col min="34" max="34" width="11" bestFit="1" customWidth="1"/>
    <col min="35" max="35" width="14.42578125" bestFit="1" customWidth="1"/>
    <col min="36" max="36" width="8" bestFit="1" customWidth="1"/>
    <col min="37" max="37" width="11.42578125" bestFit="1" customWidth="1"/>
    <col min="38" max="38" width="9.140625" bestFit="1" customWidth="1"/>
    <col min="39" max="39" width="17.140625" bestFit="1" customWidth="1"/>
    <col min="40" max="40" width="20.85546875" customWidth="1"/>
    <col min="41" max="42" width="3.42578125" bestFit="1" customWidth="1"/>
    <col min="43" max="43" width="4.5703125" bestFit="1" customWidth="1"/>
    <col min="44" max="52" width="3.5703125" bestFit="1" customWidth="1"/>
    <col min="53" max="53" width="4.7109375" bestFit="1" customWidth="1"/>
    <col min="54" max="54" width="1.7109375" customWidth="1"/>
    <col min="55" max="55" width="18.42578125" bestFit="1" customWidth="1"/>
    <col min="56" max="56" width="11" bestFit="1" customWidth="1"/>
    <col min="57" max="57" width="14.42578125" bestFit="1" customWidth="1"/>
    <col min="58" max="58" width="8" bestFit="1" customWidth="1"/>
    <col min="59" max="59" width="11.42578125" bestFit="1" customWidth="1"/>
    <col min="60" max="60" width="18.28515625" bestFit="1" customWidth="1"/>
    <col min="61" max="61" width="20.85546875" bestFit="1" customWidth="1"/>
  </cols>
  <sheetData>
    <row r="1" spans="1:55" ht="15" customHeight="1" x14ac:dyDescent="0.25">
      <c r="A1" s="445" t="s">
        <v>1533</v>
      </c>
      <c r="B1" s="431"/>
      <c r="C1" s="431"/>
      <c r="D1" s="431"/>
      <c r="E1" s="431"/>
      <c r="F1" s="431"/>
      <c r="G1" s="431"/>
      <c r="H1" s="431"/>
      <c r="I1" s="431"/>
      <c r="K1" s="446" t="s">
        <v>1534</v>
      </c>
      <c r="L1" s="447"/>
      <c r="M1" s="447"/>
      <c r="N1" s="447"/>
      <c r="O1" s="447"/>
      <c r="P1" s="447"/>
      <c r="Q1" s="447"/>
      <c r="R1" s="447"/>
      <c r="S1" s="447"/>
      <c r="T1" s="447"/>
      <c r="U1" s="447"/>
      <c r="V1" s="447"/>
      <c r="W1" s="447"/>
      <c r="X1" s="447"/>
      <c r="Y1" s="447"/>
      <c r="Z1" s="447"/>
      <c r="AA1" s="447"/>
      <c r="AB1" s="447"/>
      <c r="AC1" s="447"/>
      <c r="AD1" s="447"/>
      <c r="AG1" s="286" t="s">
        <v>1538</v>
      </c>
      <c r="BC1" s="1"/>
    </row>
    <row r="2" spans="1:55" ht="15" customHeight="1" x14ac:dyDescent="0.25">
      <c r="A2" s="448" t="s">
        <v>1535</v>
      </c>
      <c r="B2" s="431"/>
      <c r="C2" s="431"/>
      <c r="D2" s="431"/>
      <c r="E2" s="431"/>
      <c r="F2" s="431"/>
      <c r="G2" s="431"/>
      <c r="H2" s="431"/>
      <c r="I2" s="431"/>
      <c r="K2" s="283">
        <v>1</v>
      </c>
      <c r="L2" s="283">
        <v>2</v>
      </c>
      <c r="M2" s="283">
        <v>3</v>
      </c>
      <c r="N2" s="283">
        <v>4</v>
      </c>
      <c r="O2" s="283">
        <v>5</v>
      </c>
      <c r="P2" s="283">
        <v>6</v>
      </c>
      <c r="Q2" s="283">
        <v>7</v>
      </c>
      <c r="R2" s="283">
        <v>8</v>
      </c>
      <c r="S2" s="283">
        <v>9</v>
      </c>
      <c r="T2" s="283">
        <v>10</v>
      </c>
      <c r="U2" s="283">
        <v>11</v>
      </c>
      <c r="V2" s="283">
        <v>12</v>
      </c>
      <c r="W2" s="283">
        <v>13</v>
      </c>
      <c r="X2" s="283">
        <v>14</v>
      </c>
      <c r="Y2" s="283">
        <v>15</v>
      </c>
      <c r="Z2" s="283">
        <v>16</v>
      </c>
      <c r="AA2" s="283">
        <v>17</v>
      </c>
      <c r="AB2" s="283">
        <v>18</v>
      </c>
      <c r="AC2" s="283">
        <v>19</v>
      </c>
      <c r="AD2" s="283">
        <v>20</v>
      </c>
      <c r="AG2" s="1"/>
      <c r="BC2" s="1"/>
    </row>
    <row r="3" spans="1:55" ht="15" customHeight="1" x14ac:dyDescent="0.25">
      <c r="C3" s="4"/>
      <c r="K3" s="284" t="str" cm="1">
        <f t="array" ref="K3">_xlfn.LET(
_xlpm.i, COLUMNS($K$3:K3),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1K</v>
      </c>
      <c r="L3" s="284" t="str" cm="1">
        <f t="array" ref="L3">_xlfn.LET(
_xlpm.i, COLUMNS($K$3:L3),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2B</v>
      </c>
      <c r="M3" s="284" t="str" cm="1">
        <f t="array" ref="M3">_xlfn.LET(
_xlpm.i, COLUMNS($K$3:M3),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3B</v>
      </c>
      <c r="N3" s="284" t="str" cm="1">
        <f t="array" ref="N3">_xlfn.LET(
_xlpm.i, COLUMNS($K$3:N3),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O3" s="284" t="str" cm="1">
        <f t="array" ref="O3">_xlfn.LET(
_xlpm.i, COLUMNS($K$3:O3),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P3" s="284" t="str" cm="1">
        <f t="array" ref="P3">_xlfn.LET(
_xlpm.i, COLUMNS($K$3:P3),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Q3" s="284" t="str" cm="1">
        <f t="array" ref="Q3">_xlfn.LET(
_xlpm.i, COLUMNS($K$3:Q3),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R3" s="284" t="str" cm="1">
        <f t="array" ref="R3">_xlfn.LET(
_xlpm.i, COLUMNS($K$3:R3),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S3" s="284" t="str" cm="1">
        <f t="array" ref="S3">_xlfn.LET(
_xlpm.i, COLUMNS($K$3:S3),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T3" s="284" t="str" cm="1">
        <f t="array" ref="T3">_xlfn.LET(
_xlpm.i, COLUMNS($K$3:T3),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U3" s="284" t="str" cm="1">
        <f t="array" ref="U3">_xlfn.LET(
_xlpm.i, COLUMNS($K$3:U3),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V3" s="284" t="str" cm="1">
        <f t="array" ref="V3">_xlfn.LET(
_xlpm.i, COLUMNS($K$3:V3),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W3" s="284" t="str" cm="1">
        <f t="array" ref="W3">_xlfn.LET(
_xlpm.i, COLUMNS($K$3:W3),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X3" s="284" t="str" cm="1">
        <f t="array" ref="X3">_xlfn.LET(
_xlpm.i, COLUMNS($K$3:X3),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Y3" s="284" t="str" cm="1">
        <f t="array" ref="Y3">_xlfn.LET(
_xlpm.i, COLUMNS($K$3:Y3),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Z3" s="284" t="str" cm="1">
        <f t="array" ref="Z3">_xlfn.LET(
_xlpm.i, COLUMNS($K$3:Z3),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A3" s="284" t="str" cm="1">
        <f t="array" ref="AA3">_xlfn.LET(
_xlpm.i, COLUMNS($K$3:AA3),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B3" s="284" t="str" cm="1">
        <f t="array" ref="AB3">_xlfn.LET(
_xlpm.i, COLUMNS($K$3:AB3),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C3" s="284" t="str" cm="1">
        <f t="array" ref="AC3">_xlfn.LET(
_xlpm.i, COLUMNS($K$3:AC3),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D3" s="284" t="str" cm="1">
        <f t="array" ref="AD3">_xlfn.LET(
_xlpm.i, COLUMNS($K$3:AD3),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G3" s="314" t="s">
        <v>1568</v>
      </c>
      <c r="AH3" s="314" t="s">
        <v>1569</v>
      </c>
      <c r="AI3" s="314" t="s">
        <v>1570</v>
      </c>
      <c r="AJ3" s="314" t="s">
        <v>1571</v>
      </c>
      <c r="AK3" s="315" t="s">
        <v>1572</v>
      </c>
      <c r="AL3" s="289" t="s">
        <v>1628</v>
      </c>
      <c r="AM3" s="320" t="s">
        <v>1625</v>
      </c>
      <c r="AN3" s="316" t="s">
        <v>1626</v>
      </c>
      <c r="BC3" s="1"/>
    </row>
    <row r="4" spans="1:55" ht="15" customHeight="1" x14ac:dyDescent="0.25">
      <c r="A4" s="440" t="s">
        <v>1536</v>
      </c>
      <c r="B4" s="440"/>
      <c r="C4" s="303"/>
      <c r="D4" s="181"/>
      <c r="E4" s="440" t="s">
        <v>1537</v>
      </c>
      <c r="F4" s="441"/>
      <c r="G4" s="441"/>
      <c r="H4" s="441"/>
      <c r="I4" s="441"/>
      <c r="J4" s="37" t="s">
        <v>1784</v>
      </c>
      <c r="K4" s="4">
        <v>560</v>
      </c>
      <c r="L4" s="4">
        <v>570</v>
      </c>
      <c r="M4" s="4">
        <v>575</v>
      </c>
      <c r="AG4" s="317" t="s">
        <v>1622</v>
      </c>
      <c r="AH4" s="318">
        <v>45.89</v>
      </c>
      <c r="AI4" s="318">
        <v>23.2</v>
      </c>
      <c r="AJ4" s="318">
        <v>10.36</v>
      </c>
      <c r="AK4" s="319">
        <v>7.2284615384615396</v>
      </c>
      <c r="AL4" s="107">
        <v>42</v>
      </c>
      <c r="AM4" s="321">
        <f>AH4+AI4+AJ4+AK4</f>
        <v>86.678461538461548</v>
      </c>
      <c r="AN4" s="313">
        <f>AH4+AI4</f>
        <v>69.09</v>
      </c>
    </row>
    <row r="5" spans="1:55" ht="15" customHeight="1" x14ac:dyDescent="0.25">
      <c r="A5" s="287" t="s">
        <v>1539</v>
      </c>
      <c r="B5" s="288">
        <v>1820</v>
      </c>
      <c r="C5" s="304"/>
      <c r="D5" s="308"/>
      <c r="E5" s="289" t="s">
        <v>1540</v>
      </c>
      <c r="F5" s="289" t="s">
        <v>1541</v>
      </c>
      <c r="G5" s="289" t="s">
        <v>1542</v>
      </c>
      <c r="H5" s="289" t="s">
        <v>1543</v>
      </c>
      <c r="I5" s="289" t="s">
        <v>1544</v>
      </c>
      <c r="J5" s="385" t="s">
        <v>1785</v>
      </c>
      <c r="K5" s="4">
        <v>2055</v>
      </c>
      <c r="L5" s="4">
        <v>2055</v>
      </c>
      <c r="M5" s="4">
        <v>2055</v>
      </c>
      <c r="AG5" s="317" t="s">
        <v>1618</v>
      </c>
      <c r="AH5" s="318">
        <v>45</v>
      </c>
      <c r="AI5" s="318">
        <v>3.95</v>
      </c>
      <c r="AJ5" s="318">
        <v>10.36</v>
      </c>
      <c r="AK5" s="319">
        <v>7.2284615384615396</v>
      </c>
      <c r="AL5" s="107">
        <v>19.05</v>
      </c>
      <c r="AM5" s="321">
        <f>AH5+AI5+AJ5+AK5</f>
        <v>66.538461538461547</v>
      </c>
      <c r="AN5" s="313">
        <v>69</v>
      </c>
    </row>
    <row r="6" spans="1:55" ht="15" customHeight="1" x14ac:dyDescent="0.25">
      <c r="A6" s="287" t="s">
        <v>1565</v>
      </c>
      <c r="B6" s="288">
        <v>2100</v>
      </c>
      <c r="C6" s="304"/>
      <c r="D6" s="308"/>
      <c r="E6" s="287" t="s">
        <v>1566</v>
      </c>
      <c r="F6" s="301">
        <f>B35</f>
        <v>1</v>
      </c>
      <c r="G6" s="354">
        <f>B40</f>
        <v>1915.3215384615382</v>
      </c>
      <c r="H6" s="354">
        <f>B41</f>
        <v>419.86666666666667</v>
      </c>
      <c r="I6" s="302" t="str">
        <f>IF(G6="","",IF(G6="","",IF(IF(ROUND(((G6/25.4)-INT(G6/25.4))*16,0)=16,0,ROUND(((G6/25.4)-INT(G6/25.4))*16,0))=0,TEXT(INT(G6/25.4)+IF(ROUND(((G6/25.4)-INT(G6/25.4))*16,0)=16,1,0),"0"),TEXT(INT(G6/25.4)+IF(ROUND(((G6/25.4)-INT(G6/25.4))*16,0)=16,1,0),"0")&amp;" "&amp;TEXT(IF(ROUND(((G6/25.4)-INT(G6/25.4))*16,0)=16,0,ROUND(((G6/25.4)-INT(G6/25.4))*16,0)),"0")&amp;"/16"))&amp;" x "&amp;IF(H6="","",IF(IF(ROUND(((H6/25.4)-INT(H6/25.4))*16,0)=16,0,ROUND(((H6/25.4)-INT(H6/25.4))*16,0))=0,TEXT(INT(H6/25.4)+IF(ROUND(((H6/25.4)-INT(H6/25.4))*16,0)=16,1,0),"0"),TEXT(INT(H6/25.4)+IF(ROUND(((H6/25.4)-INT(H6/25.4))*16,0)=16,1,0),"0")&amp;" "&amp;TEXT(IF(ROUND(((H6/25.4)-INT(H6/25.4))*16,0)=16,0,ROUND(((H6/25.4)-INT(H6/25.4))*16,0)),"0")&amp;"/16")))</f>
        <v>75 7/16 x 16 8/16</v>
      </c>
      <c r="J6" s="386" t="s">
        <v>1786</v>
      </c>
      <c r="K6" s="4"/>
      <c r="L6" s="4"/>
      <c r="M6" s="4"/>
      <c r="AG6" s="317" t="s">
        <v>1623</v>
      </c>
      <c r="AH6" s="318">
        <v>45</v>
      </c>
      <c r="AI6" s="318">
        <v>21.2</v>
      </c>
      <c r="AJ6" s="318">
        <v>10.36</v>
      </c>
      <c r="AK6" s="319">
        <v>7.2284615384615396</v>
      </c>
      <c r="AL6" s="107"/>
      <c r="AM6" s="321">
        <f>AH6+AI6+AJ6+AK6</f>
        <v>83.788461538461547</v>
      </c>
      <c r="AN6" s="313">
        <f>AH6+AI6</f>
        <v>66.2</v>
      </c>
    </row>
    <row r="7" spans="1:55" ht="15" customHeight="1" x14ac:dyDescent="0.25">
      <c r="A7" s="287" t="s">
        <v>1573</v>
      </c>
      <c r="B7" s="295">
        <v>3</v>
      </c>
      <c r="C7" s="304"/>
      <c r="D7" s="308"/>
      <c r="E7" s="287" t="s">
        <v>1574</v>
      </c>
      <c r="F7" s="301">
        <f>B34</f>
        <v>2</v>
      </c>
      <c r="G7" s="354">
        <f>B40</f>
        <v>1915.3215384615382</v>
      </c>
      <c r="H7" s="354">
        <f>B42</f>
        <v>432.56666666666672</v>
      </c>
      <c r="I7" s="302" t="str">
        <f>IF(G7="","",IF(G7="","",IF(IF(ROUND(((G7/25.4)-INT(G7/25.4))*16,0)=16,0,ROUND(((G7/25.4)-INT(G7/25.4))*16,0))=0,TEXT(INT(G7/25.4)+IF(ROUND(((G7/25.4)-INT(G7/25.4))*16,0)=16,1,0),"0"),TEXT(INT(G7/25.4)+IF(ROUND(((G7/25.4)-INT(G7/25.4))*16,0)=16,1,0),"0")&amp;" "&amp;TEXT(IF(ROUND(((G7/25.4)-INT(G7/25.4))*16,0)=16,0,ROUND(((G7/25.4)-INT(G7/25.4))*16,0)),"0")&amp;"/16"))&amp;" x "&amp;IF(H7="","",IF(IF(ROUND(((H7/25.4)-INT(H7/25.4))*16,0)=16,0,ROUND(((H7/25.4)-INT(H7/25.4))*16,0))=0,TEXT(INT(H7/25.4)+IF(ROUND(((H7/25.4)-INT(H7/25.4))*16,0)=16,1,0),"0"),TEXT(INT(H7/25.4)+IF(ROUND(((H7/25.4)-INT(H7/25.4))*16,0)=16,1,0),"0")&amp;" "&amp;TEXT(IF(ROUND(((H7/25.4)-INT(H7/25.4))*16,0)=16,0,ROUND(((H7/25.4)-INT(H7/25.4))*16,0)),"0")&amp;"/16")))</f>
        <v>75 7/16 x 17</v>
      </c>
      <c r="J7" s="37" t="s">
        <v>1787</v>
      </c>
      <c r="K7" s="4"/>
      <c r="L7" s="4"/>
      <c r="M7" s="4"/>
      <c r="AG7" s="317" t="s">
        <v>1624</v>
      </c>
      <c r="AH7" s="318">
        <v>45</v>
      </c>
      <c r="AI7" s="318">
        <v>0</v>
      </c>
      <c r="AJ7" s="318">
        <v>10.36</v>
      </c>
      <c r="AK7" s="319">
        <v>7.2284615384615396</v>
      </c>
      <c r="AL7" s="107"/>
      <c r="AM7" s="321">
        <f>AH7+AI7+AJ7+AK7</f>
        <v>62.588461538461537</v>
      </c>
      <c r="AN7" s="313">
        <v>50.8</v>
      </c>
    </row>
    <row r="8" spans="1:55" ht="15" customHeight="1" x14ac:dyDescent="0.25">
      <c r="A8" s="287" t="s">
        <v>1576</v>
      </c>
      <c r="B8" s="295">
        <v>2</v>
      </c>
      <c r="C8" s="304"/>
      <c r="D8" s="308"/>
      <c r="E8" s="285"/>
      <c r="F8" s="307"/>
      <c r="G8" s="384">
        <f>IF(F6+F7=0,"",(G6*F6+G7*F7)/(F6+F7))</f>
        <v>1915.3215384615385</v>
      </c>
      <c r="H8" s="384">
        <f>H6*F6+H7*F7</f>
        <v>1285</v>
      </c>
      <c r="I8" s="285"/>
      <c r="J8" s="156"/>
      <c r="K8" s="290" t="s">
        <v>1529</v>
      </c>
      <c r="L8" s="290" t="s">
        <v>1545</v>
      </c>
      <c r="M8" s="290" t="s">
        <v>1546</v>
      </c>
      <c r="N8" s="290" t="s">
        <v>1547</v>
      </c>
      <c r="O8" s="290" t="s">
        <v>1548</v>
      </c>
      <c r="P8" s="290" t="s">
        <v>1549</v>
      </c>
      <c r="Q8" s="290" t="s">
        <v>1550</v>
      </c>
      <c r="R8" s="290" t="s">
        <v>1551</v>
      </c>
      <c r="S8" s="290" t="s">
        <v>1552</v>
      </c>
      <c r="T8" s="290" t="s">
        <v>1553</v>
      </c>
      <c r="U8" s="290" t="s">
        <v>1554</v>
      </c>
      <c r="V8" s="290" t="s">
        <v>1555</v>
      </c>
      <c r="W8" s="290" t="s">
        <v>1556</v>
      </c>
      <c r="X8" s="290" t="s">
        <v>1557</v>
      </c>
      <c r="Y8" s="290" t="s">
        <v>1558</v>
      </c>
      <c r="Z8" s="290" t="s">
        <v>1559</v>
      </c>
      <c r="AA8" s="290" t="s">
        <v>1560</v>
      </c>
      <c r="AB8" s="290" t="s">
        <v>1561</v>
      </c>
      <c r="AC8" s="290" t="s">
        <v>1562</v>
      </c>
      <c r="AD8" s="290" t="s">
        <v>1563</v>
      </c>
      <c r="AE8" s="290" t="s">
        <v>1564</v>
      </c>
    </row>
    <row r="9" spans="1:55" ht="15" customHeight="1" x14ac:dyDescent="0.25">
      <c r="A9" s="287" t="s">
        <v>1577</v>
      </c>
      <c r="B9" s="295">
        <v>1</v>
      </c>
      <c r="C9" s="304"/>
      <c r="D9" s="308"/>
      <c r="E9" s="440" t="s">
        <v>1578</v>
      </c>
      <c r="F9" s="441"/>
      <c r="G9" s="441"/>
      <c r="H9" s="441"/>
      <c r="I9" s="441"/>
      <c r="K9" s="293">
        <v>1</v>
      </c>
      <c r="L9" s="294" t="s">
        <v>1567</v>
      </c>
      <c r="M9" s="294"/>
      <c r="N9" s="294"/>
      <c r="O9" s="294"/>
      <c r="P9" s="294"/>
      <c r="Q9" s="294"/>
      <c r="R9" s="294"/>
      <c r="S9" s="294"/>
      <c r="T9" s="294"/>
      <c r="U9" s="294"/>
      <c r="V9" s="294" t="s">
        <v>1567</v>
      </c>
      <c r="W9" s="294"/>
      <c r="X9" s="294"/>
      <c r="Y9" s="294"/>
      <c r="Z9" s="294"/>
      <c r="AA9" s="294"/>
      <c r="AB9" s="294"/>
      <c r="AC9" s="294"/>
      <c r="AD9" s="294"/>
      <c r="AE9" s="294"/>
    </row>
    <row r="10" spans="1:55" ht="15" customHeight="1" x14ac:dyDescent="0.25">
      <c r="A10" s="287" t="s">
        <v>1579</v>
      </c>
      <c r="B10" s="296" t="s">
        <v>1622</v>
      </c>
      <c r="C10" s="304"/>
      <c r="D10" s="308"/>
      <c r="E10" s="289" t="s">
        <v>1540</v>
      </c>
      <c r="F10" s="289" t="s">
        <v>1541</v>
      </c>
      <c r="G10" s="289" t="s">
        <v>1459</v>
      </c>
      <c r="H10" s="289" t="s">
        <v>1580</v>
      </c>
      <c r="I10" s="289" t="s">
        <v>1581</v>
      </c>
      <c r="K10" s="293">
        <v>2</v>
      </c>
      <c r="L10" s="294" t="s">
        <v>1575</v>
      </c>
      <c r="M10" s="294" t="s">
        <v>1567</v>
      </c>
      <c r="N10" s="294"/>
      <c r="O10" s="294"/>
      <c r="P10" s="294"/>
      <c r="Q10" s="294"/>
      <c r="R10" s="294"/>
      <c r="S10" s="294"/>
      <c r="T10" s="294"/>
      <c r="U10" s="294"/>
      <c r="V10" s="294" t="s">
        <v>1567</v>
      </c>
      <c r="W10" s="294" t="s">
        <v>1575</v>
      </c>
      <c r="X10" s="294"/>
      <c r="Y10" s="294"/>
      <c r="Z10" s="294"/>
      <c r="AA10" s="294"/>
      <c r="AB10" s="294"/>
      <c r="AC10" s="294"/>
      <c r="AD10" s="294"/>
      <c r="AE10" s="294"/>
    </row>
    <row r="11" spans="1:55" ht="15" customHeight="1" x14ac:dyDescent="0.25">
      <c r="A11" s="287" t="s">
        <v>1612</v>
      </c>
      <c r="B11" s="296" t="s">
        <v>1611</v>
      </c>
      <c r="C11" s="304"/>
      <c r="D11" s="308"/>
      <c r="E11" s="287" t="s">
        <v>1582</v>
      </c>
      <c r="F11" s="301">
        <v>1</v>
      </c>
      <c r="G11" s="354">
        <f>B5</f>
        <v>1820</v>
      </c>
      <c r="H11" s="302" t="str">
        <f t="shared" ref="H11:H17" si="0">IF(G11="","",IF(IF(ROUND(((G11/25.4)-INT(G11/25.4))*16,0)=16,0,ROUND(((G11/25.4)-INT(G11/25.4))*16,0))=0,TEXT(INT(G11/25.4)+IF(ROUND(((G11/25.4)-INT(G11/25.4))*16,0)=16,1,0),"0"),TEXT(INT(G11/25.4)+IF(ROUND(((G11/25.4)-INT(G11/25.4))*16,0)=16,1,0),"0")&amp;" "&amp;TEXT(IF(ROUND(((G11/25.4)-INT(G11/25.4))*16,0)=16,0,ROUND(((G11/25.4)-INT(G11/25.4))*16,0)),"0")&amp;"/16"))</f>
        <v>71 10/16</v>
      </c>
      <c r="I11" s="292"/>
      <c r="K11" s="293">
        <v>3</v>
      </c>
      <c r="L11" s="294" t="s">
        <v>1575</v>
      </c>
      <c r="M11" s="294" t="s">
        <v>1567</v>
      </c>
      <c r="N11" s="294" t="s">
        <v>1575</v>
      </c>
      <c r="O11" s="294"/>
      <c r="P11" s="294"/>
      <c r="Q11" s="294"/>
      <c r="R11" s="294"/>
      <c r="S11" s="294"/>
      <c r="T11" s="294"/>
      <c r="U11" s="294"/>
      <c r="V11" s="294" t="s">
        <v>1575</v>
      </c>
      <c r="W11" s="294" t="s">
        <v>1567</v>
      </c>
      <c r="X11" s="294" t="s">
        <v>1575</v>
      </c>
      <c r="Y11" s="294"/>
      <c r="Z11" s="294"/>
      <c r="AA11" s="294"/>
      <c r="AB11" s="294"/>
      <c r="AC11" s="294"/>
      <c r="AD11" s="294"/>
      <c r="AE11" s="294"/>
      <c r="BC11" s="1"/>
    </row>
    <row r="12" spans="1:55" ht="15" customHeight="1" x14ac:dyDescent="0.25">
      <c r="A12" s="287" t="s">
        <v>1629</v>
      </c>
      <c r="B12" s="296" t="s">
        <v>1611</v>
      </c>
      <c r="C12" s="304"/>
      <c r="D12" s="308"/>
      <c r="E12" s="287" t="s">
        <v>1583</v>
      </c>
      <c r="F12" s="301">
        <v>1</v>
      </c>
      <c r="G12" s="354">
        <f>B5</f>
        <v>1820</v>
      </c>
      <c r="H12" s="302" t="str">
        <f t="shared" si="0"/>
        <v>71 10/16</v>
      </c>
      <c r="I12" s="292"/>
      <c r="K12" s="293">
        <v>4</v>
      </c>
      <c r="L12" s="294" t="s">
        <v>1567</v>
      </c>
      <c r="M12" s="294" t="s">
        <v>1575</v>
      </c>
      <c r="N12" s="294" t="s">
        <v>1575</v>
      </c>
      <c r="O12" s="294" t="s">
        <v>1567</v>
      </c>
      <c r="P12" s="294"/>
      <c r="Q12" s="294"/>
      <c r="R12" s="294"/>
      <c r="S12" s="294"/>
      <c r="T12" s="294"/>
      <c r="U12" s="294"/>
      <c r="V12" s="294" t="s">
        <v>1567</v>
      </c>
      <c r="W12" s="294" t="s">
        <v>1575</v>
      </c>
      <c r="X12" s="294" t="s">
        <v>1575</v>
      </c>
      <c r="Y12" s="294" t="s">
        <v>1567</v>
      </c>
      <c r="Z12" s="294"/>
      <c r="AA12" s="294"/>
      <c r="AB12" s="294"/>
      <c r="AC12" s="294"/>
      <c r="AD12" s="294"/>
      <c r="AE12" s="294"/>
      <c r="BC12" s="1"/>
    </row>
    <row r="13" spans="1:55" ht="15" customHeight="1" x14ac:dyDescent="0.25">
      <c r="A13" s="297" t="s">
        <v>1584</v>
      </c>
      <c r="B13" s="298" t="str">
        <f>IF(B7=B8+B9,"OK","CHECK")</f>
        <v>OK</v>
      </c>
      <c r="C13" s="304"/>
      <c r="D13" s="181"/>
      <c r="E13" s="287" t="s">
        <v>1585</v>
      </c>
      <c r="F13" s="301">
        <v>2</v>
      </c>
      <c r="G13" s="354">
        <f>B38</f>
        <v>2072.91</v>
      </c>
      <c r="H13" s="302" t="str">
        <f t="shared" si="0"/>
        <v>81 10/16</v>
      </c>
      <c r="I13" s="292"/>
      <c r="K13" s="293">
        <v>5</v>
      </c>
      <c r="L13" s="294" t="s">
        <v>1575</v>
      </c>
      <c r="M13" s="294" t="s">
        <v>1567</v>
      </c>
      <c r="N13" s="294" t="s">
        <v>1575</v>
      </c>
      <c r="O13" s="294" t="s">
        <v>1567</v>
      </c>
      <c r="P13" s="294" t="s">
        <v>1575</v>
      </c>
      <c r="Q13" s="294"/>
      <c r="R13" s="294"/>
      <c r="S13" s="294"/>
      <c r="T13" s="294"/>
      <c r="U13" s="294"/>
      <c r="V13" s="294" t="s">
        <v>1575</v>
      </c>
      <c r="W13" s="294" t="s">
        <v>1567</v>
      </c>
      <c r="X13" s="294" t="s">
        <v>1575</v>
      </c>
      <c r="Y13" s="294" t="s">
        <v>1567</v>
      </c>
      <c r="Z13" s="294" t="s">
        <v>1575</v>
      </c>
      <c r="AA13" s="294"/>
      <c r="AB13" s="294"/>
      <c r="AC13" s="294"/>
      <c r="AD13" s="294"/>
      <c r="AE13" s="294"/>
      <c r="BC13" s="1"/>
    </row>
    <row r="14" spans="1:55" ht="15" customHeight="1" x14ac:dyDescent="0.25">
      <c r="A14" s="285"/>
      <c r="B14" s="285"/>
      <c r="C14" s="305"/>
      <c r="D14" s="308"/>
      <c r="E14" s="287" t="s">
        <v>1586</v>
      </c>
      <c r="F14" s="301">
        <f>B7*2</f>
        <v>6</v>
      </c>
      <c r="G14" s="354">
        <f>B39</f>
        <v>2055.3215384615382</v>
      </c>
      <c r="H14" s="302" t="str">
        <f t="shared" si="0"/>
        <v>80 15/16</v>
      </c>
      <c r="I14" s="292"/>
      <c r="K14" s="293">
        <v>6</v>
      </c>
      <c r="L14" s="294" t="s">
        <v>1575</v>
      </c>
      <c r="M14" s="294" t="s">
        <v>1567</v>
      </c>
      <c r="N14" s="294" t="s">
        <v>1575</v>
      </c>
      <c r="O14" s="294" t="s">
        <v>1575</v>
      </c>
      <c r="P14" s="294" t="s">
        <v>1567</v>
      </c>
      <c r="Q14" s="294" t="s">
        <v>1575</v>
      </c>
      <c r="R14" s="294"/>
      <c r="S14" s="294"/>
      <c r="T14" s="294"/>
      <c r="U14" s="294"/>
      <c r="V14" s="294" t="s">
        <v>1575</v>
      </c>
      <c r="W14" s="294" t="s">
        <v>1567</v>
      </c>
      <c r="X14" s="294" t="s">
        <v>1575</v>
      </c>
      <c r="Y14" s="294" t="s">
        <v>1575</v>
      </c>
      <c r="Z14" s="294" t="s">
        <v>1567</v>
      </c>
      <c r="AA14" s="294" t="s">
        <v>1575</v>
      </c>
      <c r="AB14" s="294"/>
      <c r="AC14" s="294"/>
      <c r="AD14" s="294"/>
      <c r="AE14" s="294"/>
      <c r="BC14" s="1"/>
    </row>
    <row r="15" spans="1:55" ht="15" customHeight="1" x14ac:dyDescent="0.25">
      <c r="A15" s="442" t="s">
        <v>1587</v>
      </c>
      <c r="B15" s="443"/>
      <c r="C15" s="305"/>
      <c r="D15" s="181"/>
      <c r="E15" s="287" t="s">
        <v>1588</v>
      </c>
      <c r="F15" s="301">
        <f>B34*2</f>
        <v>4</v>
      </c>
      <c r="G15" s="354">
        <f>B37</f>
        <v>572.56666666666672</v>
      </c>
      <c r="H15" s="302" t="str">
        <f t="shared" si="0"/>
        <v>22 9/16</v>
      </c>
      <c r="I15" s="292" t="s">
        <v>1621</v>
      </c>
      <c r="K15" s="293">
        <v>7</v>
      </c>
      <c r="L15" s="294" t="s">
        <v>1575</v>
      </c>
      <c r="M15" s="294" t="s">
        <v>1567</v>
      </c>
      <c r="N15" s="294" t="s">
        <v>1575</v>
      </c>
      <c r="O15" s="294" t="s">
        <v>1575</v>
      </c>
      <c r="P15" s="294" t="s">
        <v>1567</v>
      </c>
      <c r="Q15" s="294" t="s">
        <v>1575</v>
      </c>
      <c r="R15" s="294" t="s">
        <v>1567</v>
      </c>
      <c r="S15" s="294"/>
      <c r="T15" s="294"/>
      <c r="U15" s="294"/>
      <c r="V15" s="294" t="s">
        <v>1567</v>
      </c>
      <c r="W15" s="294" t="s">
        <v>1575</v>
      </c>
      <c r="X15" s="294" t="s">
        <v>1567</v>
      </c>
      <c r="Y15" s="294" t="s">
        <v>1575</v>
      </c>
      <c r="Z15" s="294" t="s">
        <v>1575</v>
      </c>
      <c r="AA15" s="294" t="s">
        <v>1567</v>
      </c>
      <c r="AB15" s="294" t="s">
        <v>1575</v>
      </c>
      <c r="AC15" s="294"/>
      <c r="AD15" s="294"/>
      <c r="AE15" s="294"/>
      <c r="BC15" s="1"/>
    </row>
    <row r="16" spans="1:55" ht="15" customHeight="1" x14ac:dyDescent="0.25">
      <c r="A16" s="287" t="s">
        <v>1589</v>
      </c>
      <c r="B16" s="299">
        <v>65.56</v>
      </c>
      <c r="C16" s="304"/>
      <c r="D16" s="181"/>
      <c r="E16" s="287" t="s">
        <v>1590</v>
      </c>
      <c r="F16" s="301">
        <f>B35*2</f>
        <v>2</v>
      </c>
      <c r="G16" s="354">
        <f>B36</f>
        <v>559.86666666666667</v>
      </c>
      <c r="H16" s="302" t="str">
        <f t="shared" si="0"/>
        <v>22 1/16</v>
      </c>
      <c r="I16" s="292" t="s">
        <v>1621</v>
      </c>
      <c r="K16" s="293">
        <v>8</v>
      </c>
      <c r="L16" s="294" t="s">
        <v>1567</v>
      </c>
      <c r="M16" s="294" t="s">
        <v>1575</v>
      </c>
      <c r="N16" s="294" t="s">
        <v>1575</v>
      </c>
      <c r="O16" s="294" t="s">
        <v>1567</v>
      </c>
      <c r="P16" s="294" t="s">
        <v>1567</v>
      </c>
      <c r="Q16" s="294" t="s">
        <v>1575</v>
      </c>
      <c r="R16" s="294" t="s">
        <v>1575</v>
      </c>
      <c r="S16" s="294" t="s">
        <v>1567</v>
      </c>
      <c r="T16" s="294"/>
      <c r="U16" s="294"/>
      <c r="V16" s="294" t="s">
        <v>1567</v>
      </c>
      <c r="W16" s="294" t="s">
        <v>1575</v>
      </c>
      <c r="X16" s="294" t="s">
        <v>1575</v>
      </c>
      <c r="Y16" s="294" t="s">
        <v>1567</v>
      </c>
      <c r="Z16" s="294" t="s">
        <v>1567</v>
      </c>
      <c r="AA16" s="294" t="s">
        <v>1575</v>
      </c>
      <c r="AB16" s="294" t="s">
        <v>1575</v>
      </c>
      <c r="AC16" s="294" t="s">
        <v>1567</v>
      </c>
      <c r="AD16" s="294"/>
      <c r="AE16" s="294"/>
      <c r="BC16" s="1"/>
    </row>
    <row r="17" spans="1:55" ht="15" customHeight="1" x14ac:dyDescent="0.25">
      <c r="A17" s="287" t="s">
        <v>1591</v>
      </c>
      <c r="B17" s="288">
        <v>7.05</v>
      </c>
      <c r="C17" s="304"/>
      <c r="D17" s="308"/>
      <c r="E17" s="287" t="s">
        <v>1620</v>
      </c>
      <c r="F17" s="301">
        <f>IF(B11="Yes",2,0)</f>
        <v>2</v>
      </c>
      <c r="G17" s="354">
        <f>B39</f>
        <v>2055.3215384615382</v>
      </c>
      <c r="H17" s="302" t="str">
        <f t="shared" si="0"/>
        <v>80 15/16</v>
      </c>
      <c r="I17" s="292"/>
      <c r="K17" s="293">
        <v>9</v>
      </c>
      <c r="L17" s="294" t="s">
        <v>1575</v>
      </c>
      <c r="M17" s="294" t="s">
        <v>1567</v>
      </c>
      <c r="N17" s="294" t="s">
        <v>1575</v>
      </c>
      <c r="O17" s="294" t="s">
        <v>1567</v>
      </c>
      <c r="P17" s="294" t="s">
        <v>1575</v>
      </c>
      <c r="Q17" s="294" t="s">
        <v>1567</v>
      </c>
      <c r="R17" s="294" t="s">
        <v>1575</v>
      </c>
      <c r="S17" s="294" t="s">
        <v>1567</v>
      </c>
      <c r="T17" s="294" t="s">
        <v>1575</v>
      </c>
      <c r="U17" s="294"/>
      <c r="V17" s="294" t="s">
        <v>1575</v>
      </c>
      <c r="W17" s="294" t="s">
        <v>1567</v>
      </c>
      <c r="X17" s="294" t="s">
        <v>1575</v>
      </c>
      <c r="Y17" s="294" t="s">
        <v>1567</v>
      </c>
      <c r="Z17" s="294" t="s">
        <v>1575</v>
      </c>
      <c r="AA17" s="294" t="s">
        <v>1567</v>
      </c>
      <c r="AB17" s="294" t="s">
        <v>1575</v>
      </c>
      <c r="AC17" s="294" t="s">
        <v>1567</v>
      </c>
      <c r="AD17" s="294" t="s">
        <v>1575</v>
      </c>
      <c r="AE17" s="294"/>
      <c r="BC17" s="1"/>
    </row>
    <row r="18" spans="1:55" ht="15" customHeight="1" x14ac:dyDescent="0.25">
      <c r="A18" s="287" t="s">
        <v>1592</v>
      </c>
      <c r="B18" s="288">
        <v>6.5949999999999998</v>
      </c>
      <c r="C18" s="304"/>
      <c r="D18" s="308"/>
      <c r="H18" s="383" t="s">
        <v>78</v>
      </c>
      <c r="I18" s="387" t="s">
        <v>1788</v>
      </c>
      <c r="K18" s="293">
        <v>10</v>
      </c>
      <c r="L18" s="294" t="s">
        <v>1575</v>
      </c>
      <c r="M18" s="294" t="s">
        <v>1567</v>
      </c>
      <c r="N18" s="294" t="s">
        <v>1575</v>
      </c>
      <c r="O18" s="294" t="s">
        <v>1567</v>
      </c>
      <c r="P18" s="294" t="s">
        <v>1575</v>
      </c>
      <c r="Q18" s="294" t="s">
        <v>1567</v>
      </c>
      <c r="R18" s="294" t="s">
        <v>1575</v>
      </c>
      <c r="S18" s="294" t="s">
        <v>1567</v>
      </c>
      <c r="T18" s="294" t="s">
        <v>1575</v>
      </c>
      <c r="U18" s="294" t="s">
        <v>1567</v>
      </c>
      <c r="V18" s="294" t="s">
        <v>1567</v>
      </c>
      <c r="W18" s="294" t="s">
        <v>1575</v>
      </c>
      <c r="X18" s="294" t="s">
        <v>1567</v>
      </c>
      <c r="Y18" s="294" t="s">
        <v>1575</v>
      </c>
      <c r="Z18" s="294" t="s">
        <v>1567</v>
      </c>
      <c r="AA18" s="294" t="s">
        <v>1575</v>
      </c>
      <c r="AB18" s="294" t="s">
        <v>1567</v>
      </c>
      <c r="AC18" s="294" t="s">
        <v>1575</v>
      </c>
      <c r="AD18" s="294" t="s">
        <v>1567</v>
      </c>
      <c r="AE18" s="294" t="s">
        <v>1575</v>
      </c>
      <c r="BC18" s="1"/>
    </row>
    <row r="19" spans="1:55" ht="15" customHeight="1" x14ac:dyDescent="0.25">
      <c r="A19" s="287" t="s">
        <v>1613</v>
      </c>
      <c r="B19" s="288">
        <v>25.608000000000001</v>
      </c>
      <c r="C19" s="304"/>
      <c r="D19" s="308"/>
      <c r="E19" s="312" t="s">
        <v>1619</v>
      </c>
      <c r="F19" s="10">
        <v>6060</v>
      </c>
      <c r="H19" s="388" t="s">
        <v>1784</v>
      </c>
      <c r="I19" s="387" t="str">
        <f>IF((IF(OR(F15="",G15=""),0,F15/2*G15)+IF(OR(F16="",G16=""),0,F16/2*G16))&gt;SUM(K3:AD4),"Cal. +"&amp;TEXT((IF(OR(F15="",G15=""),0,F15/2*G15)+IF(OR(F16="",G16=""),0,F16/2*G16))-SUM(K3:AD4),"0.0")&amp;"mm",IF((IF(OR(F15="",G15=""),0,F15/2*G15)+IF(OR(F16="",G16=""),0,F16/2*G16))&lt;SUM(K3:AD4),"Manual Fab. +"&amp;TEXT(SUM(K3:AD4)-(IF(OR(F15="",G15=""),0,F15/2*G15)+IF(OR(F16="",G16=""),0,F16/2*G16)),"0.0")&amp;"mm","✓ OK"))</f>
        <v>✓ OK</v>
      </c>
      <c r="J19" s="386"/>
      <c r="BC19" s="1"/>
    </row>
    <row r="20" spans="1:55" ht="15" customHeight="1" x14ac:dyDescent="0.25">
      <c r="A20" s="287" t="s">
        <v>1691</v>
      </c>
      <c r="B20" s="288">
        <v>3.137</v>
      </c>
      <c r="C20" s="304"/>
      <c r="D20" s="308"/>
      <c r="E20" s="311" t="s">
        <v>1617</v>
      </c>
      <c r="F20" s="10" t="s">
        <v>98</v>
      </c>
      <c r="H20" s="309" t="s">
        <v>1785</v>
      </c>
      <c r="I20" s="387" t="str">
        <f>IF((IF(OR(F16="",G16=""),0,F16/2*G16)+IF(OR(F17="",G17=""),0,F17/2*G17))&gt;SUM(K4:AD5),"Cal. +"&amp;TEXT((IF(OR(F16="",G16=""),0,F16/2*G16)+IF(OR(F17="",G17=""),0,F17/2*G17))-SUM(K4:AD5),"0.0")&amp;"mm",IF((IF(OR(F16="",G16=""),0,F16/2*G16)+IF(OR(F17="",G17=""),0,F17/2*G17))&lt;SUM(K4:AD5),"Manual Fab. +"&amp;TEXT(SUM(K4:AD5)-(IF(OR(F16="",G16=""),0,F16/2*G16)+IF(OR(F17="",G17=""),0,F17/2*G17)),"0.0")&amp;"mm","✓ OK"))</f>
        <v>Manual Fab. +5254.8mm</v>
      </c>
      <c r="BC20" s="1"/>
    </row>
    <row r="21" spans="1:55" ht="15" customHeight="1" x14ac:dyDescent="0.25">
      <c r="A21" s="287" t="s">
        <v>1593</v>
      </c>
      <c r="B21" s="288">
        <v>12.7</v>
      </c>
      <c r="C21" s="304"/>
      <c r="D21" s="308"/>
      <c r="E21" s="309" t="s">
        <v>1614</v>
      </c>
      <c r="F21" s="10">
        <f>_xlfn.LET(_xlpm.usable,$F$19,
_xlpm.pcs,IFERROR(_xlfn.XLOOKUP("*TOP TRACK*",$E$11:$E$17,$F$11:$F$17,0,2),0),
_xlpm.len,IFERROR(_xlfn.XLOOKUP("*TOP TRACK*",$E$11:$E$17,$G$11:$G$17,0,2),0),
IF(OR(_xlpm.pcs=0,_xlpm.len=0),0,
   CEILING(_xlpm.pcs/MAX(1,INT(_xlpm.usable/_xlpm.len)),1)
))</f>
        <v>1</v>
      </c>
      <c r="H21" s="389" t="s">
        <v>1786</v>
      </c>
      <c r="I21" s="387" t="str">
        <f>IF((IF(OR(F17="",G17=""),0,F17/2*G17)+IF(OR(F18="",G18=""),0,F18/2*G18))&gt;SUM(K5:AD6),"Cal. +"&amp;TEXT((IF(OR(F17="",G17=""),0,F17/2*G17)+IF(OR(F18="",G18=""),0,F18/2*G18))-SUM(K5:AD6),"0.0")&amp;"mm",IF((IF(OR(F17="",G17=""),0,F17/2*G17)+IF(OR(F18="",G18=""),0,F18/2*G18))&lt;SUM(K5:AD6),"Manual Fab. +"&amp;TEXT(SUM(K5:AD6)-(IF(OR(F17="",G17=""),0,F17/2*G17)+IF(OR(F18="",G18=""),0,F18/2*G18)),"0.0")&amp;"mm","✓ OK"))</f>
        <v>Manual Fab. +4109.7mm</v>
      </c>
      <c r="BC21" s="1"/>
    </row>
    <row r="22" spans="1:55" ht="15" customHeight="1" x14ac:dyDescent="0.25">
      <c r="A22" s="287" t="s">
        <v>1532</v>
      </c>
      <c r="B22" s="288">
        <v>140</v>
      </c>
      <c r="C22" s="304"/>
      <c r="D22" s="308"/>
      <c r="E22" s="309" t="s">
        <v>1615</v>
      </c>
      <c r="F22" s="10">
        <f>_xlfn.LET(_xlpm.usable,$F$19,
_xlpm.pcs,IFERROR(_xlfn.XLOOKUP("*BOTTOM TRACK*",$E$11:$E$17,$F$11:$F$17,0,2),0),
_xlpm.len,IFERROR(_xlfn.XLOOKUP("*BOTTOM TRACK*",$E$11:$E$17,$G$11:$G$17,0,2),0),
IF(OR(_xlpm.pcs=0,_xlpm.len=0),0,
   CEILING(_xlpm.pcs/MAX(1,INT(_xlpm.usable/_xlpm.len)),1)
))</f>
        <v>1</v>
      </c>
      <c r="H22" s="388" t="s">
        <v>1787</v>
      </c>
      <c r="I22" s="387" t="str">
        <f>IF((IF(OR(F18="",G18=""),0,F18/2*G18)+IF(OR(F19="",G19=""),0,F19/2*G19))&gt;SUM(K6:AD7),"Cal. +"&amp;TEXT((IF(OR(F18="",G18=""),0,F18/2*G18)+IF(OR(F19="",G19=""),0,F19/2*G19))-SUM(K6:AD7),"0.0")&amp;"mm",IF((IF(OR(F18="",G18=""),0,F18/2*G18)+IF(OR(F19="",G19=""),0,F19/2*G19))&lt;SUM(K6:AD7),"Manual Fab. +"&amp;TEXT(SUM(K6:AD7)-(IF(OR(F18="",G18=""),0,F18/2*G18)+IF(OR(F19="",G19=""),0,F19/2*G19)),"0.0")&amp;"mm","✓ OK"))</f>
        <v>✓ OK</v>
      </c>
      <c r="BC22" s="300"/>
    </row>
    <row r="23" spans="1:55" ht="15" customHeight="1" x14ac:dyDescent="0.25">
      <c r="A23" s="287" t="s">
        <v>1627</v>
      </c>
      <c r="B23" s="288"/>
      <c r="C23" s="304"/>
      <c r="D23" s="308"/>
      <c r="E23" s="309" t="s">
        <v>235</v>
      </c>
      <c r="F23" s="10">
        <f>_xlfn.LET(_xlpm.usable,$F$19,
_xlpm.pcs,IFERROR(_xlfn.XLOOKUP("*SIDE JAMB*",$E$11:$E$17,$F$11:$F$17,0,2),0),
_xlpm.len,IFERROR(_xlfn.XLOOKUP("*SIDE JAMB*",$E$11:$E$17,$G$11:$G$17,0,2),0),
IF(OR(_xlpm.pcs=0,_xlpm.len=0),0,
   CEILING(_xlpm.pcs/MAX(1,INT(_xlpm.usable/_xlpm.len)),1)
))</f>
        <v>1</v>
      </c>
      <c r="BC23" s="300"/>
    </row>
    <row r="24" spans="1:55" ht="15" customHeight="1" x14ac:dyDescent="0.25">
      <c r="A24" s="287" t="s">
        <v>1627</v>
      </c>
      <c r="B24" s="288"/>
      <c r="C24" s="304"/>
      <c r="D24" s="308"/>
      <c r="E24" s="309" t="s">
        <v>1616</v>
      </c>
      <c r="F24" s="10">
        <f>_xlfn.LET(_xlpm.usable,$F$19,
_xlpm.hpcs,IFERROR(_xlfn.XLOOKUP("*INNER*HEIGHT*",$E$11:$E$17,$F$11:$F$17,0,2),0),
_xlpm.hlen,IFERROR(_xlfn.XLOOKUP("*INNER*HEIGHT*",$E$11:$E$17,$G$11:$G$17,0,2),0),
_xlpm.bpcs,IFERROR(_xlfn.XLOOKUP("*WIDTH PANEL B*",$E$11:$E$17,$F$11:$F$17,0,2),0),
_xlpm.blen,IFERROR(_xlfn.XLOOKUP("*WIDTH PANEL B*",$E$11:$E$17,$G$11:$G$17,0,2),0),
_xlpm.kpcs,IFERROR(_xlfn.XLOOKUP("*WIDTH PANEL K*",$E$11:$E$17,$F$11:$F$17,0,2),0),
_xlpm.klen,IFERROR(_xlfn.XLOOKUP("*WIDTH PANEL K*",$E$11:$E$17,$G$11:$G$17,0,2),0),
_xlpm.tot, _xlpm.hpcs*_xlpm.hlen + _xlpm.bpcs*_xlpm.blen + _xlpm.kpcs*_xlpm.klen,
IF(_xlpm.tot=0,0,CEILING(_xlpm.tot/_xlpm.usable,1))
)</f>
        <v>3</v>
      </c>
      <c r="BC24" s="300"/>
    </row>
    <row r="25" spans="1:55" ht="15" customHeight="1" x14ac:dyDescent="0.25">
      <c r="A25" s="285"/>
      <c r="B25" s="285"/>
      <c r="C25" s="305"/>
      <c r="D25" s="181"/>
      <c r="E25" s="309" t="s">
        <v>304</v>
      </c>
      <c r="F25" s="10">
        <f>_xlfn.LET(_xlpm.usable,$F$19,
_xlpm.pcs,IFERROR(_xlfn.XLOOKUP("*CENTRE CLIP*",$E$11:$E$17,$F$11:$F$17,0,2),0),
_xlpm.len,IFERROR(_xlfn.XLOOKUP("*CENTRE CLIP*",$E$11:$E$17,$G$11:$G$17,0,2),0),
IF(OR(_xlpm.pcs=0,_xlpm.len=0),0,
   CEILING(_xlpm.pcs/MAX(1,INT(_xlpm.usable/_xlpm.len)),1)
))</f>
        <v>1</v>
      </c>
      <c r="BC25" s="300"/>
    </row>
    <row r="26" spans="1:55" ht="15" customHeight="1" x14ac:dyDescent="0.25">
      <c r="A26" s="442" t="s">
        <v>1594</v>
      </c>
      <c r="B26" s="443"/>
      <c r="C26" s="444"/>
      <c r="D26" s="181"/>
      <c r="E26" s="310"/>
      <c r="BC26" s="1"/>
    </row>
    <row r="27" spans="1:55" ht="15" customHeight="1" x14ac:dyDescent="0.25">
      <c r="A27" s="287" t="s">
        <v>1607</v>
      </c>
      <c r="B27" s="301">
        <f>$B$7+1</f>
        <v>4</v>
      </c>
      <c r="C27" s="306"/>
      <c r="D27" s="181"/>
      <c r="BC27" s="1"/>
    </row>
    <row r="28" spans="1:55" ht="15" customHeight="1" x14ac:dyDescent="0.25">
      <c r="A28" s="287" t="s">
        <v>1608</v>
      </c>
      <c r="B28" s="301">
        <f>IF($B$8&gt;0,1,0)+IF($B$9&gt;0,1,0)</f>
        <v>2</v>
      </c>
      <c r="C28" s="306"/>
      <c r="D28" s="308"/>
      <c r="BC28" s="1"/>
    </row>
    <row r="29" spans="1:55" ht="15" customHeight="1" x14ac:dyDescent="0.25">
      <c r="A29" s="287" t="s">
        <v>1609</v>
      </c>
      <c r="B29" s="301">
        <f>B27-B28</f>
        <v>2</v>
      </c>
      <c r="C29" s="306"/>
      <c r="D29" s="308"/>
      <c r="BC29" s="1"/>
    </row>
    <row r="30" spans="1:55" ht="15" customHeight="1" x14ac:dyDescent="0.25">
      <c r="A30" s="287" t="s">
        <v>1610</v>
      </c>
      <c r="B30" s="291">
        <f>($B$28*$B$17) + (MAX(0,$B$29-IF($B$11="Yes",1,0))*$B$18)</f>
        <v>20.695</v>
      </c>
      <c r="C30" s="302" t="str">
        <f>IF(B30="","",IF(IF(ROUND(((B30/25.4)-INT(B30/25.4))*16,0)=16,0,ROUND(((B30/25.4)-INT(B30/25.4))*16,0))=0,TEXT(INT(B30/25.4)+IF(ROUND(((B30/25.4)-INT(B30/25.4))*16,0)=16,1,0),"0"),TEXT(INT(B30/25.4)+IF(ROUND(((B30/25.4)-INT(B30/25.4))*16,0)=16,1,0),"0")&amp;" "&amp;TEXT(IF(ROUND(((B30/25.4)-INT(B30/25.4))*16,0)=16,0,ROUND(((B30/25.4)-INT(B30/25.4))*16,0)),"0")&amp;"/16"))</f>
        <v>0 13/16</v>
      </c>
      <c r="D30" s="308"/>
      <c r="BC30" s="1"/>
    </row>
    <row r="31" spans="1:55" ht="15" customHeight="1" x14ac:dyDescent="0.25">
      <c r="A31" s="287" t="s">
        <v>1595</v>
      </c>
      <c r="B31" s="291">
        <f>IF($B$11="Yes",$B$19,0)</f>
        <v>25.608000000000001</v>
      </c>
      <c r="C31" s="302" t="str">
        <f>IF(B31="","",IF(IF(ROUND(((B31/25.4)-INT(B31/25.4))*16,0)=16,0,ROUND(((B31/25.4)-INT(B31/25.4))*16,0))=0,TEXT(INT(B31/25.4)+IF(ROUND(((B31/25.4)-INT(B31/25.4))*16,0)=16,1,0),"0"),TEXT(INT(B31/25.4)+IF(ROUND(((B31/25.4)-INT(B31/25.4))*16,0)=16,1,0),"0")&amp;" "&amp;TEXT(IF(ROUND(((B31/25.4)-INT(B31/25.4))*16,0)=16,0,ROUND(((B31/25.4)-INT(B31/25.4))*16,0)),"0")&amp;"/16"))</f>
        <v>1</v>
      </c>
      <c r="D31" s="308"/>
      <c r="BC31" s="1"/>
    </row>
    <row r="32" spans="1:55" ht="15" customHeight="1" x14ac:dyDescent="0.25">
      <c r="A32" s="287" t="s">
        <v>1596</v>
      </c>
      <c r="B32" s="291">
        <f>$B$16 + B30 + B31+B20</f>
        <v>115</v>
      </c>
      <c r="C32" s="302" t="str">
        <f>IF(B32="","",IF(IF(ROUND(((B32/25.4)-INT(B32/25.4))*16,0)=16,0,ROUND(((B32/25.4)-INT(B32/25.4))*16,0))=0,TEXT(INT(B32/25.4)+IF(ROUND(((B32/25.4)-INT(B32/25.4))*16,0)=16,1,0),"0"),TEXT(INT(B32/25.4)+IF(ROUND(((B32/25.4)-INT(B32/25.4))*16,0)=16,1,0),"0")&amp;" "&amp;TEXT(IF(ROUND(((B32/25.4)-INT(B32/25.4))*16,0)=16,0,ROUND(((B32/25.4)-INT(B32/25.4))*16,0)),"0")&amp;"/16"))</f>
        <v>4 8/16</v>
      </c>
      <c r="D32" s="308"/>
      <c r="BC32" s="1"/>
    </row>
    <row r="33" spans="1:55" ht="15" customHeight="1" x14ac:dyDescent="0.25">
      <c r="A33" s="287" t="s">
        <v>1597</v>
      </c>
      <c r="B33" s="291">
        <f>$B$5-$B$32</f>
        <v>1705</v>
      </c>
      <c r="C33" s="302" t="str">
        <f>IF(B33="","",IF(IF(ROUND(((B33/25.4)-INT(B33/25.4))*16,0)=16,0,ROUND(((B33/25.4)-INT(B33/25.4))*16,0))=0,TEXT(INT(B33/25.4)+IF(ROUND(((B33/25.4)-INT(B33/25.4))*16,0)=16,1,0),"0"),TEXT(INT(B33/25.4)+IF(ROUND(((B33/25.4)-INT(B33/25.4))*16,0)=16,1,0),"0")&amp;" "&amp;TEXT(IF(ROUND(((B33/25.4)-INT(B33/25.4))*16,0)=16,0,ROUND(((B33/25.4)-INT(B33/25.4))*16,0)),"0")&amp;"/16"))</f>
        <v>67 2/16</v>
      </c>
      <c r="D33" s="308"/>
      <c r="BC33" s="1"/>
    </row>
    <row r="34" spans="1:55" ht="15" customHeight="1" x14ac:dyDescent="0.25">
      <c r="A34" s="287" t="s">
        <v>1598</v>
      </c>
      <c r="B34" s="301" cm="1">
        <f t="array" ref="B34">SUMPRODUCT(--(RIGHT($K$3:$AD$3,1)="B"))</f>
        <v>2</v>
      </c>
      <c r="C34" s="306"/>
      <c r="D34" s="308"/>
      <c r="BC34" s="1"/>
    </row>
    <row r="35" spans="1:55" ht="15" customHeight="1" x14ac:dyDescent="0.25">
      <c r="A35" s="287" t="s">
        <v>1599</v>
      </c>
      <c r="B35" s="301" cm="1">
        <f t="array" ref="B35">SUMPRODUCT(--(RIGHT($K$3:$AD$3,1)="K"))</f>
        <v>1</v>
      </c>
      <c r="C35" s="306"/>
      <c r="D35" s="308"/>
      <c r="BC35" s="1"/>
    </row>
    <row r="36" spans="1:55" ht="15" customHeight="1" x14ac:dyDescent="0.25">
      <c r="A36" s="287" t="s">
        <v>1600</v>
      </c>
      <c r="B36" s="291">
        <f>IF(B7=0,"",(B33 - B34*$B$21)/B7)</f>
        <v>559.86666666666667</v>
      </c>
      <c r="C36" s="302" t="str">
        <f t="shared" ref="C36:C42" si="1">IF(B36="","",IF(IF(ROUND(((B36/25.4)-INT(B36/25.4))*16,0)=16,0,ROUND(((B36/25.4)-INT(B36/25.4))*16,0))=0,TEXT(INT(B36/25.4)+IF(ROUND(((B36/25.4)-INT(B36/25.4))*16,0)=16,1,0),"0"),TEXT(INT(B36/25.4)+IF(ROUND(((B36/25.4)-INT(B36/25.4))*16,0)=16,1,0),"0")&amp;" "&amp;TEXT(IF(ROUND(((B36/25.4)-INT(B36/25.4))*16,0)=16,0,ROUND(((B36/25.4)-INT(B36/25.4))*16,0)),"0")&amp;"/16"))</f>
        <v>22 1/16</v>
      </c>
      <c r="D36" s="308"/>
      <c r="BC36" s="1"/>
    </row>
    <row r="37" spans="1:55" ht="15" customHeight="1" x14ac:dyDescent="0.25">
      <c r="A37" s="287" t="s">
        <v>1601</v>
      </c>
      <c r="B37" s="291">
        <f>IF(B7=0,"",B36+$B$21)</f>
        <v>572.56666666666672</v>
      </c>
      <c r="C37" s="302" t="str">
        <f t="shared" si="1"/>
        <v>22 9/16</v>
      </c>
      <c r="D37" s="308"/>
      <c r="BC37" s="1"/>
    </row>
    <row r="38" spans="1:55" ht="15" customHeight="1" x14ac:dyDescent="0.25">
      <c r="A38" s="287" t="s">
        <v>1602</v>
      </c>
      <c r="B38" s="291">
        <f>$B$6 + IF($B$12="Yes", _xlfn.XLOOKUP($B$10,$AG$4:$AG$7,$AL$4:$AL$7,0), 0)
 - _xlfn.XLOOKUP($B$10,$AG$4:$AG$7,$AN$4:$AN$7,0)</f>
        <v>2072.91</v>
      </c>
      <c r="C38" s="302" t="str">
        <f t="shared" si="1"/>
        <v>81 10/16</v>
      </c>
      <c r="D38" s="308"/>
      <c r="J38" s="386"/>
      <c r="BC38" s="1"/>
    </row>
    <row r="39" spans="1:55" ht="15" customHeight="1" x14ac:dyDescent="0.25">
      <c r="A39" s="287" t="s">
        <v>1603</v>
      </c>
      <c r="B39" s="291">
        <f>$B$6 + IF($B$12="Yes", _xlfn.XLOOKUP($B$10,$AG$4:$AG$7,$AL$4:$AL$7,0), 0)
 - _xlfn.XLOOKUP($B$10,$AG$4:$AG$7,$AM$4:$AM$7,0)</f>
        <v>2055.3215384615382</v>
      </c>
      <c r="C39" s="302" t="str">
        <f t="shared" si="1"/>
        <v>80 15/16</v>
      </c>
      <c r="D39" s="308"/>
      <c r="BC39" s="1"/>
    </row>
    <row r="40" spans="1:55" ht="15" customHeight="1" x14ac:dyDescent="0.25">
      <c r="A40" s="287" t="s">
        <v>1604</v>
      </c>
      <c r="B40" s="291">
        <f>B39-$B$22</f>
        <v>1915.3215384615382</v>
      </c>
      <c r="C40" s="302" t="str">
        <f t="shared" si="1"/>
        <v>75 7/16</v>
      </c>
      <c r="D40" s="308"/>
      <c r="BC40" s="1"/>
    </row>
    <row r="41" spans="1:55" ht="15" customHeight="1" x14ac:dyDescent="0.25">
      <c r="A41" s="287" t="s">
        <v>1605</v>
      </c>
      <c r="B41" s="291">
        <f>B36-$B$22</f>
        <v>419.86666666666667</v>
      </c>
      <c r="C41" s="302" t="str">
        <f t="shared" si="1"/>
        <v>16 8/16</v>
      </c>
      <c r="D41" s="308"/>
      <c r="BC41" s="1"/>
    </row>
    <row r="42" spans="1:55" ht="15" customHeight="1" x14ac:dyDescent="0.25">
      <c r="A42" s="287" t="s">
        <v>1606</v>
      </c>
      <c r="B42" s="291">
        <f>B37-$B$22</f>
        <v>432.56666666666672</v>
      </c>
      <c r="C42" s="302" t="str">
        <f t="shared" si="1"/>
        <v>17</v>
      </c>
      <c r="D42" s="308"/>
      <c r="BC42" s="1"/>
    </row>
    <row r="43" spans="1:55" ht="15" customHeight="1" x14ac:dyDescent="0.25">
      <c r="C43" s="4"/>
      <c r="BC43" s="1"/>
    </row>
    <row r="44" spans="1:55" ht="15" customHeight="1" x14ac:dyDescent="0.25">
      <c r="C44" s="4"/>
      <c r="BC44" s="1"/>
    </row>
    <row r="45" spans="1:55" ht="15" customHeight="1" x14ac:dyDescent="0.25">
      <c r="C45" s="4"/>
      <c r="BC45" s="1"/>
    </row>
    <row r="46" spans="1:55" ht="15" customHeight="1" x14ac:dyDescent="0.25">
      <c r="C46" s="4"/>
      <c r="BC46" s="1"/>
    </row>
    <row r="47" spans="1:55" ht="15" customHeight="1" x14ac:dyDescent="0.25">
      <c r="C47" s="4"/>
      <c r="BC47" s="1"/>
    </row>
    <row r="48" spans="1:55" ht="15" customHeight="1" x14ac:dyDescent="0.25">
      <c r="C48" s="4"/>
      <c r="BC48" s="1"/>
    </row>
    <row r="49" spans="3:55" ht="15" customHeight="1" x14ac:dyDescent="0.25">
      <c r="C49" s="4"/>
      <c r="BC49" s="1"/>
    </row>
    <row r="50" spans="3:55" ht="15" customHeight="1" x14ac:dyDescent="0.25">
      <c r="C50" s="4"/>
      <c r="BC50" s="1"/>
    </row>
    <row r="51" spans="3:55" ht="15" customHeight="1" x14ac:dyDescent="0.25"/>
    <row r="52" spans="3:55" ht="15" customHeight="1" x14ac:dyDescent="0.25"/>
    <row r="53" spans="3:55" ht="15" customHeight="1" x14ac:dyDescent="0.25"/>
    <row r="54" spans="3:55" ht="15" customHeight="1" x14ac:dyDescent="0.25"/>
    <row r="55" spans="3:55" ht="15" customHeight="1" x14ac:dyDescent="0.25"/>
    <row r="56" spans="3:55" ht="15" customHeight="1" x14ac:dyDescent="0.25"/>
    <row r="57" spans="3:55" ht="15" customHeight="1" x14ac:dyDescent="0.25"/>
    <row r="58" spans="3:55" ht="15" customHeight="1" x14ac:dyDescent="0.25"/>
    <row r="59" spans="3:55" ht="15" customHeight="1" x14ac:dyDescent="0.25"/>
    <row r="60" spans="3:55" ht="15" customHeight="1" x14ac:dyDescent="0.25"/>
    <row r="61" spans="3:55" ht="15" customHeight="1" x14ac:dyDescent="0.25"/>
    <row r="62" spans="3:55" ht="15" customHeight="1" x14ac:dyDescent="0.25"/>
    <row r="63" spans="3:55" ht="15" customHeight="1" x14ac:dyDescent="0.25"/>
    <row r="64" spans="3:5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</sheetData>
  <mergeCells count="8">
    <mergeCell ref="E9:I9"/>
    <mergeCell ref="A26:C26"/>
    <mergeCell ref="A15:B15"/>
    <mergeCell ref="A1:I1"/>
    <mergeCell ref="K1:AD1"/>
    <mergeCell ref="A2:I2"/>
    <mergeCell ref="A4:B4"/>
    <mergeCell ref="E4:I4"/>
  </mergeCells>
  <dataValidations count="2">
    <dataValidation type="list" sqref="B11:B12" xr:uid="{F9CDDE69-520D-4991-B863-AD5E7997E42D}">
      <formula1>"Yes,No"</formula1>
    </dataValidation>
    <dataValidation type="list" sqref="B10" xr:uid="{C7FBF03B-B5A2-4F20-8D13-CA87EBE397EE}">
      <formula1>$AG$4:$AG$7</formula1>
    </dataValidation>
  </dataValidations>
  <pageMargins left="0.7" right="0.7" top="0.75" bottom="0.75" header="0.3" footer="0.3"/>
  <ignoredErrors>
    <ignoredError sqref="G16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9BCC0-BBD1-4C83-A4FF-77066989CD01}">
  <sheetPr codeName="Sheet11"/>
  <dimension ref="A1:I48"/>
  <sheetViews>
    <sheetView zoomScale="75" zoomScaleNormal="75" workbookViewId="0">
      <selection activeCell="I23" sqref="I23"/>
    </sheetView>
  </sheetViews>
  <sheetFormatPr defaultRowHeight="15" x14ac:dyDescent="0.25"/>
  <cols>
    <col min="1" max="1" width="36.7109375" bestFit="1" customWidth="1"/>
    <col min="2" max="2" width="13.140625" bestFit="1" customWidth="1"/>
    <col min="3" max="3" width="32.28515625" bestFit="1" customWidth="1"/>
    <col min="5" max="5" width="24.85546875" bestFit="1" customWidth="1"/>
    <col min="6" max="6" width="8.7109375" bestFit="1" customWidth="1"/>
    <col min="7" max="8" width="11" bestFit="1" customWidth="1"/>
    <col min="9" max="9" width="16.85546875" bestFit="1" customWidth="1"/>
  </cols>
  <sheetData>
    <row r="1" spans="1:9" ht="15" customHeight="1" x14ac:dyDescent="0.25">
      <c r="A1" s="449" t="s">
        <v>1633</v>
      </c>
      <c r="B1" s="431"/>
      <c r="C1" s="431"/>
      <c r="D1" s="431"/>
      <c r="E1" s="431"/>
      <c r="F1" s="431"/>
      <c r="G1" s="431"/>
      <c r="H1" s="431"/>
      <c r="I1" s="431"/>
    </row>
    <row r="2" spans="1:9" ht="15" customHeight="1" x14ac:dyDescent="0.25"/>
    <row r="3" spans="1:9" ht="15" customHeight="1" x14ac:dyDescent="0.25">
      <c r="A3" s="450" t="s">
        <v>1634</v>
      </c>
      <c r="B3" s="451"/>
      <c r="C3" s="451"/>
      <c r="E3" s="450" t="s">
        <v>1537</v>
      </c>
      <c r="F3" s="451"/>
      <c r="G3" s="451"/>
      <c r="H3" s="451"/>
      <c r="I3" s="451"/>
    </row>
    <row r="4" spans="1:9" ht="15" customHeight="1" x14ac:dyDescent="0.25">
      <c r="A4" s="335" t="s">
        <v>1539</v>
      </c>
      <c r="B4" s="348">
        <v>2689.5250000000001</v>
      </c>
      <c r="C4" s="349" t="s">
        <v>1635</v>
      </c>
      <c r="E4" s="334" t="s">
        <v>1540</v>
      </c>
      <c r="F4" s="334" t="s">
        <v>1541</v>
      </c>
      <c r="G4" s="334" t="s">
        <v>1542</v>
      </c>
      <c r="H4" s="334" t="s">
        <v>1543</v>
      </c>
      <c r="I4" s="334" t="s">
        <v>1544</v>
      </c>
    </row>
    <row r="5" spans="1:9" ht="15" customHeight="1" x14ac:dyDescent="0.25">
      <c r="A5" s="335" t="s">
        <v>1565</v>
      </c>
      <c r="B5" s="348">
        <v>2355</v>
      </c>
      <c r="C5" s="349" t="s">
        <v>1636</v>
      </c>
      <c r="E5" s="350" t="s">
        <v>1566</v>
      </c>
      <c r="F5" s="351">
        <f>B39</f>
        <v>2</v>
      </c>
      <c r="G5" s="351" t="e">
        <f ca="1">B46</f>
        <v>#NAME?</v>
      </c>
      <c r="H5" s="351">
        <f>B47</f>
        <v>493.74374999999998</v>
      </c>
      <c r="I5" s="350" t="e">
        <f ca="1">_xludf.LET(h,G5/25.4,hw,INT(h),hf,ROUND(MOD(h,1)*16,0),HW2,hw+(hf=16),HF2,IF(hf=16,0,hf),w,H5/25.4,ww,INT(w),wf,ROUND(MOD(w,1)*16,0),WW2,ww+(wf=16),WF2,IF(wf=16,0,wf),TEXT(HW2,"0")&amp;IF(HF2=0,""," "&amp;HF2&amp;"/16")&amp;" x "&amp;TEXT(WW2,"0")&amp;IF(WF2=0,""," "&amp;WF2&amp;"/16"))</f>
        <v>#NAME?</v>
      </c>
    </row>
    <row r="6" spans="1:9" ht="15" customHeight="1" x14ac:dyDescent="0.25">
      <c r="A6" s="335" t="s">
        <v>1637</v>
      </c>
      <c r="B6" s="348">
        <v>0</v>
      </c>
      <c r="C6" s="349" t="s">
        <v>1638</v>
      </c>
      <c r="E6" s="350" t="s">
        <v>1574</v>
      </c>
      <c r="F6" s="351">
        <f>B40</f>
        <v>2</v>
      </c>
      <c r="G6" s="351" t="e">
        <f ca="1">B46</f>
        <v>#NAME?</v>
      </c>
      <c r="H6" s="351">
        <f>B48</f>
        <v>506.44375000000002</v>
      </c>
      <c r="I6" s="350" t="e">
        <f ca="1">_xludf.LET(h,G6/25.4,hw,INT(h),hf,ROUND(MOD(h,1)*16,0),HW2,hw+(hf=16),HF2,IF(hf=16,0,hf),w,H6/25.4,ww,INT(w),wf,ROUND(MOD(w,1)*16,0),WW2,ww+(wf=16),WF2,IF(wf=16,0,wf),TEXT(HW2,"0")&amp;IF(HF2=0,""," "&amp;HF2&amp;"/16")&amp;" x "&amp;TEXT(WW2,"0")&amp;IF(WF2=0,""," "&amp;WF2&amp;"/16"))</f>
        <v>#NAME?</v>
      </c>
    </row>
    <row r="7" spans="1:9" ht="15" customHeight="1" x14ac:dyDescent="0.25">
      <c r="A7" s="335" t="s">
        <v>1639</v>
      </c>
      <c r="B7" s="348">
        <v>2</v>
      </c>
      <c r="C7" s="349" t="s">
        <v>1640</v>
      </c>
      <c r="E7" s="350"/>
      <c r="F7" s="350"/>
      <c r="G7" s="350"/>
      <c r="H7" s="350"/>
      <c r="I7" s="350"/>
    </row>
    <row r="8" spans="1:9" ht="15" customHeight="1" x14ac:dyDescent="0.25">
      <c r="A8" s="335" t="s">
        <v>1641</v>
      </c>
      <c r="B8" s="348">
        <v>0</v>
      </c>
      <c r="C8" s="349" t="s">
        <v>1642</v>
      </c>
    </row>
    <row r="9" spans="1:9" ht="15" customHeight="1" x14ac:dyDescent="0.25">
      <c r="A9" s="335" t="s">
        <v>1643</v>
      </c>
      <c r="B9" s="348">
        <v>2</v>
      </c>
      <c r="C9" s="349" t="s">
        <v>1644</v>
      </c>
      <c r="E9" s="450" t="s">
        <v>1578</v>
      </c>
      <c r="F9" s="451"/>
      <c r="G9" s="451"/>
      <c r="H9" s="451"/>
      <c r="I9" s="451"/>
    </row>
    <row r="10" spans="1:9" ht="15" customHeight="1" x14ac:dyDescent="0.25">
      <c r="A10" s="335" t="s">
        <v>1573</v>
      </c>
      <c r="B10" s="348">
        <f>B11+B12</f>
        <v>4</v>
      </c>
      <c r="C10" s="349" t="e">
        <f>LeftTotal+RightTotal</f>
        <v>#NAME?</v>
      </c>
      <c r="E10" s="334" t="s">
        <v>1540</v>
      </c>
      <c r="F10" s="334" t="s">
        <v>1541</v>
      </c>
      <c r="G10" s="334" t="s">
        <v>1459</v>
      </c>
      <c r="H10" s="334" t="s">
        <v>1580</v>
      </c>
      <c r="I10" s="334" t="s">
        <v>1581</v>
      </c>
    </row>
    <row r="11" spans="1:9" ht="15" customHeight="1" x14ac:dyDescent="0.25">
      <c r="A11" s="335" t="s">
        <v>1576</v>
      </c>
      <c r="B11" s="348">
        <f>B6+B7</f>
        <v>2</v>
      </c>
      <c r="C11" s="349" t="e">
        <f>LeftFix+LeftAction</f>
        <v>#NAME?</v>
      </c>
      <c r="E11" s="350" t="s">
        <v>1582</v>
      </c>
      <c r="F11" s="351">
        <v>1</v>
      </c>
      <c r="G11" s="351">
        <f>B4</f>
        <v>2689.5250000000001</v>
      </c>
      <c r="H11" s="350" t="e">
        <f ca="1">_xludf.LET(x,G11/25.4,w,INT(x),f,ROUND(MOD(x,1)*16,0),W2,w+(f=16),F2,IF(f=16,0,f),TEXT(W2,"0")&amp;IF(F2=0,""," "&amp;F2&amp;"/16"))</f>
        <v>#NAME?</v>
      </c>
      <c r="I11" s="350"/>
    </row>
    <row r="12" spans="1:9" ht="15" customHeight="1" x14ac:dyDescent="0.25">
      <c r="A12" s="335" t="s">
        <v>1577</v>
      </c>
      <c r="B12" s="348">
        <f>B8+B9</f>
        <v>2</v>
      </c>
      <c r="C12" s="349" t="e">
        <f>RightFix+RightAction</f>
        <v>#NAME?</v>
      </c>
      <c r="E12" s="350" t="s">
        <v>1583</v>
      </c>
      <c r="F12" s="351">
        <v>1</v>
      </c>
      <c r="G12" s="351">
        <f>B4</f>
        <v>2689.5250000000001</v>
      </c>
      <c r="H12" s="350" t="e">
        <f ca="1">_xludf.LET(x,G12/25.4,w,INT(x),f,ROUND(MOD(x,1)*16,0),W2,w+(f=16),F2,IF(f=16,0,f),TEXT(W2,"0")&amp;IF(F2=0,""," "&amp;F2&amp;"/16"))</f>
        <v>#NAME?</v>
      </c>
      <c r="I12" s="350"/>
    </row>
    <row r="13" spans="1:9" ht="15" customHeight="1" x14ac:dyDescent="0.25">
      <c r="A13" s="335" t="s">
        <v>1579</v>
      </c>
      <c r="B13" s="352" t="s">
        <v>1622</v>
      </c>
      <c r="C13" s="349" t="s">
        <v>1645</v>
      </c>
      <c r="E13" s="350" t="s">
        <v>1585</v>
      </c>
      <c r="F13" s="351">
        <v>2</v>
      </c>
      <c r="G13" s="351" t="e">
        <f ca="1">B45</f>
        <v>#NAME?</v>
      </c>
      <c r="H13" s="350" t="e">
        <f ca="1">_xludf.LET(x,G13/25.4,w,INT(x),f,ROUND(MOD(x,1)*16,0),W2,w+(f=16),F2,IF(f=16,0,f),TEXT(W2,"0")&amp;IF(F2=0,""," "&amp;F2&amp;"/16"))</f>
        <v>#NAME?</v>
      </c>
      <c r="I13" s="350"/>
    </row>
    <row r="14" spans="1:9" ht="15" customHeight="1" x14ac:dyDescent="0.25">
      <c r="A14" s="335" t="s">
        <v>1612</v>
      </c>
      <c r="B14" s="352" t="s">
        <v>1611</v>
      </c>
      <c r="C14" s="349" t="s">
        <v>1646</v>
      </c>
      <c r="E14" s="350" t="s">
        <v>1586</v>
      </c>
      <c r="F14" s="351">
        <f>B10*2</f>
        <v>8</v>
      </c>
      <c r="G14" s="351" t="e">
        <f ca="1">B44</f>
        <v>#NAME?</v>
      </c>
      <c r="H14" s="350" t="e">
        <f ca="1">_xludf.LET(x,G14/25.4,w,INT(x),f,ROUND(MOD(x,1)*16,0),W2,w+(f=16),F2,IF(f=16,0,f),TEXT(W2,"0")&amp;IF(F2=0,""," "&amp;F2&amp;"/16"))</f>
        <v>#NAME?</v>
      </c>
      <c r="I14" s="350"/>
    </row>
    <row r="15" spans="1:9" ht="15" customHeight="1" x14ac:dyDescent="0.25">
      <c r="A15" s="335" t="s">
        <v>1629</v>
      </c>
      <c r="B15" s="352" t="s">
        <v>1611</v>
      </c>
      <c r="C15" s="349" t="s">
        <v>1646</v>
      </c>
      <c r="E15" s="350" t="s">
        <v>1588</v>
      </c>
      <c r="F15" s="351">
        <f>B40*2</f>
        <v>4</v>
      </c>
      <c r="G15" s="351">
        <f>B42</f>
        <v>648.44375000000002</v>
      </c>
      <c r="H15" s="350" t="e">
        <f ca="1">_xludf.LET(x,G15/25.4,w,INT(x),f,ROUND(MOD(x,1)*16,0),W2,w+(f=16),F2,IF(f=16,0,f),TEXT(W2,"0")&amp;IF(F2=0,""," "&amp;F2&amp;"/16"))</f>
        <v>#NAME?</v>
      </c>
      <c r="I15" s="350" t="s">
        <v>1621</v>
      </c>
    </row>
    <row r="16" spans="1:9" ht="15" customHeight="1" x14ac:dyDescent="0.25">
      <c r="A16" s="335" t="s">
        <v>1647</v>
      </c>
      <c r="B16" s="352" t="s">
        <v>1648</v>
      </c>
      <c r="C16" s="349" t="s">
        <v>1649</v>
      </c>
      <c r="E16" s="350" t="s">
        <v>1590</v>
      </c>
      <c r="F16" s="351">
        <f>B39*2</f>
        <v>4</v>
      </c>
      <c r="G16" s="351">
        <f>B41</f>
        <v>635.74374999999998</v>
      </c>
      <c r="H16" s="350" t="e">
        <f ca="1">_xludf.LET(x,G16/25.4,w,INT(x),f,ROUND(MOD(x,1)*16,0),W2,w+(f=16),F2,IF(f=16,0,f),TEXT(W2,"0")&amp;IF(F2=0,""," "&amp;F2&amp;"/16"))</f>
        <v>#NAME?</v>
      </c>
      <c r="I16" s="350" t="s">
        <v>1621</v>
      </c>
    </row>
    <row r="17" spans="1:9" ht="15" customHeight="1" x14ac:dyDescent="0.25">
      <c r="E17" s="350" t="s">
        <v>1620</v>
      </c>
      <c r="F17" s="351">
        <f>IF(B14="Yes",2,0)</f>
        <v>2</v>
      </c>
      <c r="G17" s="351" t="e">
        <f ca="1">B44</f>
        <v>#NAME?</v>
      </c>
      <c r="H17" s="350" t="e">
        <f ca="1">_xludf.LET(x,G17/25.4,w,INT(x),f,ROUND(MOD(x,1)*16,0),W2,w+(f=16),F2,IF(f=16,0,f),TEXT(W2,"0")&amp;IF(F2=0,""," "&amp;F2&amp;"/16"))</f>
        <v>#NAME?</v>
      </c>
      <c r="I17" s="350"/>
    </row>
    <row r="18" spans="1:9" ht="15" customHeight="1" x14ac:dyDescent="0.25">
      <c r="A18" s="432" t="s">
        <v>1587</v>
      </c>
      <c r="B18" s="431"/>
      <c r="C18" s="431"/>
    </row>
    <row r="19" spans="1:9" ht="15" customHeight="1" x14ac:dyDescent="0.25">
      <c r="A19" s="335" t="s">
        <v>1650</v>
      </c>
      <c r="B19" s="348">
        <v>16</v>
      </c>
      <c r="C19" s="349" t="s">
        <v>1651</v>
      </c>
      <c r="E19" s="335" t="s">
        <v>1619</v>
      </c>
      <c r="F19" s="348">
        <f>B28</f>
        <v>6060</v>
      </c>
    </row>
    <row r="20" spans="1:9" ht="15" customHeight="1" x14ac:dyDescent="0.25">
      <c r="A20" s="335" t="s">
        <v>1652</v>
      </c>
      <c r="B20" s="348">
        <v>18</v>
      </c>
      <c r="C20" s="349" t="s">
        <v>1653</v>
      </c>
      <c r="E20" s="333" t="s">
        <v>1617</v>
      </c>
      <c r="F20" s="336" t="s">
        <v>98</v>
      </c>
    </row>
    <row r="21" spans="1:9" ht="15" customHeight="1" x14ac:dyDescent="0.25">
      <c r="A21" s="335" t="s">
        <v>1654</v>
      </c>
      <c r="B21" s="348">
        <v>64</v>
      </c>
      <c r="C21" s="349" t="s">
        <v>1655</v>
      </c>
      <c r="E21" s="350" t="s">
        <v>1614</v>
      </c>
      <c r="F21" s="353">
        <f>CEILING(G11/$F$19,1)</f>
        <v>1</v>
      </c>
    </row>
    <row r="22" spans="1:9" ht="15" customHeight="1" x14ac:dyDescent="0.25">
      <c r="A22" s="335" t="s">
        <v>1591</v>
      </c>
      <c r="B22" s="348">
        <v>9.5250000000000004</v>
      </c>
      <c r="C22" s="349"/>
      <c r="E22" s="350" t="s">
        <v>1615</v>
      </c>
      <c r="F22" s="353">
        <f>CEILING(G12/$F$19,1)</f>
        <v>1</v>
      </c>
    </row>
    <row r="23" spans="1:9" ht="15" customHeight="1" x14ac:dyDescent="0.25">
      <c r="A23" s="335" t="s">
        <v>1592</v>
      </c>
      <c r="B23" s="348">
        <v>6.35</v>
      </c>
      <c r="C23" s="349"/>
      <c r="E23" s="350" t="s">
        <v>235</v>
      </c>
      <c r="F23" s="353" t="e">
        <f ca="1">CEILING((G13*F13)/$F$19,1)</f>
        <v>#NAME?</v>
      </c>
    </row>
    <row r="24" spans="1:9" ht="15" customHeight="1" x14ac:dyDescent="0.25">
      <c r="A24" s="335" t="s">
        <v>1613</v>
      </c>
      <c r="B24" s="348">
        <v>25.4</v>
      </c>
      <c r="C24" s="349"/>
      <c r="E24" s="350" t="s">
        <v>1616</v>
      </c>
      <c r="F24" s="353" t="e">
        <f ca="1">CEILING((F14*G14 + F15*G15 + F16*G16)/$F$19,1)</f>
        <v>#NAME?</v>
      </c>
    </row>
    <row r="25" spans="1:9" ht="15" customHeight="1" x14ac:dyDescent="0.25">
      <c r="A25" s="335" t="s">
        <v>1531</v>
      </c>
      <c r="B25" s="348">
        <v>20.25</v>
      </c>
      <c r="C25" s="349"/>
      <c r="E25" s="350" t="s">
        <v>304</v>
      </c>
      <c r="F25" s="353" t="e">
        <f ca="1">IF(F17=0,0,CEILING((F17*G17)/$F$19,1))</f>
        <v>#NAME?</v>
      </c>
    </row>
    <row r="26" spans="1:9" ht="15" customHeight="1" x14ac:dyDescent="0.25">
      <c r="A26" s="335" t="s">
        <v>1656</v>
      </c>
      <c r="B26" s="348">
        <v>12.7</v>
      </c>
      <c r="C26" s="349" t="s">
        <v>1657</v>
      </c>
    </row>
    <row r="27" spans="1:9" ht="15" customHeight="1" x14ac:dyDescent="0.25">
      <c r="A27" s="335" t="s">
        <v>1532</v>
      </c>
      <c r="B27" s="348">
        <v>142</v>
      </c>
      <c r="C27" s="349" t="s">
        <v>1658</v>
      </c>
    </row>
    <row r="28" spans="1:9" ht="15" customHeight="1" x14ac:dyDescent="0.25">
      <c r="A28" s="335" t="s">
        <v>1659</v>
      </c>
      <c r="B28" s="348">
        <v>6060</v>
      </c>
      <c r="C28" s="349" t="s">
        <v>1660</v>
      </c>
    </row>
    <row r="29" spans="1:9" ht="15" customHeight="1" x14ac:dyDescent="0.25">
      <c r="A29" s="335" t="s">
        <v>1589</v>
      </c>
      <c r="B29" s="353">
        <f>B21+IF(B16="WITH",2*B20,0)</f>
        <v>64</v>
      </c>
      <c r="C29" s="349" t="s">
        <v>1661</v>
      </c>
    </row>
    <row r="30" spans="1:9" ht="15" customHeight="1" x14ac:dyDescent="0.25"/>
    <row r="31" spans="1:9" ht="15" customHeight="1" x14ac:dyDescent="0.25">
      <c r="A31" s="432" t="s">
        <v>1594</v>
      </c>
      <c r="B31" s="431"/>
      <c r="C31" s="431"/>
    </row>
    <row r="32" spans="1:9" ht="15" customHeight="1" x14ac:dyDescent="0.25">
      <c r="A32" s="335" t="s">
        <v>1607</v>
      </c>
      <c r="B32" s="353">
        <f>B10+1</f>
        <v>5</v>
      </c>
      <c r="C32" s="349"/>
    </row>
    <row r="33" spans="1:3" ht="15" customHeight="1" x14ac:dyDescent="0.25">
      <c r="A33" s="335" t="s">
        <v>1608</v>
      </c>
      <c r="B33" s="353">
        <f>IF(B11&gt;0,1,0)+IF(B12&gt;0,1,0)</f>
        <v>2</v>
      </c>
      <c r="C33" s="349"/>
    </row>
    <row r="34" spans="1:3" ht="15" customHeight="1" x14ac:dyDescent="0.25">
      <c r="A34" s="335" t="s">
        <v>1609</v>
      </c>
      <c r="B34" s="353">
        <f>B32-B33</f>
        <v>3</v>
      </c>
      <c r="C34" s="349"/>
    </row>
    <row r="35" spans="1:3" ht="15" customHeight="1" x14ac:dyDescent="0.25">
      <c r="A35" s="335" t="s">
        <v>1610</v>
      </c>
      <c r="B35" s="353">
        <f>B32*B23</f>
        <v>31.75</v>
      </c>
      <c r="C35" s="349" t="s">
        <v>1662</v>
      </c>
    </row>
    <row r="36" spans="1:3" ht="15" customHeight="1" x14ac:dyDescent="0.25">
      <c r="A36" s="335" t="s">
        <v>1595</v>
      </c>
      <c r="B36" s="353">
        <f>IF(B14="Yes",B24,0)</f>
        <v>25.4</v>
      </c>
      <c r="C36" s="349"/>
    </row>
    <row r="37" spans="1:3" ht="15" customHeight="1" x14ac:dyDescent="0.25">
      <c r="A37" s="335" t="s">
        <v>1596</v>
      </c>
      <c r="B37" s="353">
        <f>B29+B35+B36</f>
        <v>121.15</v>
      </c>
      <c r="C37" s="349"/>
    </row>
    <row r="38" spans="1:3" ht="15" customHeight="1" x14ac:dyDescent="0.25">
      <c r="A38" s="335" t="s">
        <v>1597</v>
      </c>
      <c r="B38" s="353">
        <f>B4-B37</f>
        <v>2568.375</v>
      </c>
      <c r="C38" s="349"/>
    </row>
    <row r="39" spans="1:3" ht="15" customHeight="1" x14ac:dyDescent="0.25">
      <c r="A39" s="335" t="s">
        <v>1599</v>
      </c>
      <c r="B39" s="353">
        <f>ROUNDUP(B10/2,0)</f>
        <v>2</v>
      </c>
      <c r="C39" s="349" t="s">
        <v>1663</v>
      </c>
    </row>
    <row r="40" spans="1:3" ht="15" customHeight="1" x14ac:dyDescent="0.25">
      <c r="A40" s="335" t="s">
        <v>1598</v>
      </c>
      <c r="B40" s="353">
        <f>B10-B39</f>
        <v>2</v>
      </c>
      <c r="C40" s="349" t="s">
        <v>1663</v>
      </c>
    </row>
    <row r="41" spans="1:3" ht="15" customHeight="1" x14ac:dyDescent="0.25">
      <c r="A41" s="335" t="s">
        <v>1600</v>
      </c>
      <c r="B41" s="353">
        <f>(B38 - B40*B26)/B10</f>
        <v>635.74374999999998</v>
      </c>
      <c r="C41" s="349" t="s">
        <v>1664</v>
      </c>
    </row>
    <row r="42" spans="1:3" ht="15" customHeight="1" x14ac:dyDescent="0.25">
      <c r="A42" s="335" t="s">
        <v>1601</v>
      </c>
      <c r="B42" s="353">
        <f>B41+B26</f>
        <v>648.44375000000002</v>
      </c>
      <c r="C42" s="349"/>
    </row>
    <row r="43" spans="1:3" ht="15" customHeight="1" x14ac:dyDescent="0.25">
      <c r="A43" s="335" t="s">
        <v>1665</v>
      </c>
      <c r="B43" s="353" t="e">
        <f ca="1">B5+IF(B15="Yes",_xludf.XLOOKUP(B13,$AG$2:$AG$7,$AL$2:$AL$7,0),0)</f>
        <v>#NAME?</v>
      </c>
      <c r="C43" s="349" t="s">
        <v>1666</v>
      </c>
    </row>
    <row r="44" spans="1:3" ht="15" customHeight="1" x14ac:dyDescent="0.25">
      <c r="A44" s="335" t="s">
        <v>1603</v>
      </c>
      <c r="B44" s="353" t="e">
        <f ca="1">B43-_xludf.XLOOKUP(B13,$AG$2:$AG$7,$AM$2:$AM$7,0)</f>
        <v>#NAME?</v>
      </c>
      <c r="C44" s="349" t="s">
        <v>1667</v>
      </c>
    </row>
    <row r="45" spans="1:3" ht="15" customHeight="1" x14ac:dyDescent="0.25">
      <c r="A45" s="335" t="s">
        <v>1602</v>
      </c>
      <c r="B45" s="353" t="e">
        <f ca="1">B43-_xludf.XLOOKUP(B13,$AG$2:$AG$7,$AN$2:$AN$7,0)</f>
        <v>#NAME?</v>
      </c>
      <c r="C45" s="349" t="s">
        <v>1668</v>
      </c>
    </row>
    <row r="46" spans="1:3" ht="15" customHeight="1" x14ac:dyDescent="0.25">
      <c r="A46" s="335" t="s">
        <v>1604</v>
      </c>
      <c r="B46" s="353" t="e">
        <f ca="1">B44-B27</f>
        <v>#NAME?</v>
      </c>
      <c r="C46" s="349"/>
    </row>
    <row r="47" spans="1:3" ht="15" customHeight="1" x14ac:dyDescent="0.25">
      <c r="A47" s="335" t="s">
        <v>1605</v>
      </c>
      <c r="B47" s="353">
        <f>B41-B27</f>
        <v>493.74374999999998</v>
      </c>
      <c r="C47" s="349"/>
    </row>
    <row r="48" spans="1:3" ht="15" customHeight="1" x14ac:dyDescent="0.25">
      <c r="A48" s="335" t="s">
        <v>1606</v>
      </c>
      <c r="B48" s="353">
        <f>B42-B27</f>
        <v>506.44375000000002</v>
      </c>
      <c r="C48" s="349"/>
    </row>
  </sheetData>
  <mergeCells count="6">
    <mergeCell ref="A31:C31"/>
    <mergeCell ref="A1:I1"/>
    <mergeCell ref="A3:C3"/>
    <mergeCell ref="E3:I3"/>
    <mergeCell ref="E9:I9"/>
    <mergeCell ref="A18:C18"/>
  </mergeCells>
  <dataValidations count="3">
    <dataValidation type="list" sqref="B16" xr:uid="{1D19FB63-0397-47BC-9D54-7E9DF9DAB11D}">
      <formula1>"WITHOUT,WITH"</formula1>
    </dataValidation>
    <dataValidation type="list" sqref="B14:B15" xr:uid="{E3D5D203-3D21-4FCB-BF5E-6D25450538DB}">
      <formula1>"Yes,No"</formula1>
    </dataValidation>
    <dataValidation type="list" sqref="B13" xr:uid="{07E72773-5AF0-4956-8F1C-F674BC00D317}">
      <formula1>$AG$2:$AG$5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C772F-E58E-44ED-B16E-1CA0045EACB0}">
  <sheetPr codeName="Sheet8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 t="s">
        <v>412</v>
      </c>
    </row>
    <row r="2" spans="1:6" x14ac:dyDescent="0.25">
      <c r="A2" t="s">
        <v>413</v>
      </c>
      <c r="B2" s="123">
        <v>45878.705104166664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420</v>
      </c>
      <c r="E6" t="s">
        <v>421</v>
      </c>
      <c r="F6" t="s">
        <v>422</v>
      </c>
    </row>
    <row r="7" spans="1:6" x14ac:dyDescent="0.25">
      <c r="A7" t="s">
        <v>418</v>
      </c>
      <c r="B7" t="s">
        <v>424</v>
      </c>
      <c r="C7" t="s">
        <v>425</v>
      </c>
      <c r="D7" t="s">
        <v>425</v>
      </c>
      <c r="E7" t="s">
        <v>425</v>
      </c>
      <c r="F7" t="s">
        <v>425</v>
      </c>
    </row>
    <row r="8" spans="1:6" x14ac:dyDescent="0.25">
      <c r="A8" t="s">
        <v>418</v>
      </c>
      <c r="B8" t="s">
        <v>418</v>
      </c>
      <c r="C8" t="s">
        <v>418</v>
      </c>
      <c r="D8" t="s">
        <v>418</v>
      </c>
      <c r="E8" t="s">
        <v>418</v>
      </c>
      <c r="F8" t="s">
        <v>418</v>
      </c>
    </row>
    <row r="9" spans="1:6" x14ac:dyDescent="0.25">
      <c r="A9" t="s">
        <v>418</v>
      </c>
      <c r="B9" t="s">
        <v>418</v>
      </c>
      <c r="C9" t="s">
        <v>418</v>
      </c>
      <c r="D9" t="s">
        <v>418</v>
      </c>
      <c r="E9" t="s">
        <v>418</v>
      </c>
      <c r="F9" t="s">
        <v>418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">
        <v>425</v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">
        <v>418</v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">
        <v>418</v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">
        <v>418</v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">
        <v>425</v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">
        <v>418</v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">
        <v>418</v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">
        <v>418</v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">
        <v>418</v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">
        <v>418</v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">
        <v>418</v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">
        <v>418</v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">
        <v>418</v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">
        <v>418</v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">
        <v>418</v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">
        <v>418</v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">
        <v>418</v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">
        <v>418</v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">
        <v>418</v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">
        <v>418</v>
      </c>
    </row>
    <row r="30" spans="1:6" x14ac:dyDescent="0.25">
      <c r="A30" t="s">
        <v>418</v>
      </c>
      <c r="B30" t="s">
        <v>418</v>
      </c>
      <c r="C30" t="s">
        <v>418</v>
      </c>
      <c r="D30" t="s">
        <v>418</v>
      </c>
      <c r="E30" t="s">
        <v>418</v>
      </c>
      <c r="F30" t="s">
        <v>418</v>
      </c>
    </row>
    <row r="31" spans="1:6" x14ac:dyDescent="0.25">
      <c r="A31" t="s">
        <v>418</v>
      </c>
      <c r="B31" t="s">
        <v>426</v>
      </c>
      <c r="C31" t="s">
        <v>427</v>
      </c>
      <c r="D31" t="s">
        <v>427</v>
      </c>
      <c r="E31" t="s">
        <v>428</v>
      </c>
      <c r="F31" t="s">
        <v>429</v>
      </c>
    </row>
    <row r="32" spans="1:6" x14ac:dyDescent="0.25">
      <c r="A32" t="s">
        <v>418</v>
      </c>
      <c r="B32" t="s">
        <v>418</v>
      </c>
      <c r="C32" t="s">
        <v>418</v>
      </c>
      <c r="D32" t="s">
        <v>418</v>
      </c>
      <c r="E32" t="s">
        <v>418</v>
      </c>
      <c r="F32" t="s">
        <v>418</v>
      </c>
    </row>
    <row r="33" spans="1:6" x14ac:dyDescent="0.25">
      <c r="A33" t="s">
        <v>418</v>
      </c>
      <c r="B33" t="s">
        <v>418</v>
      </c>
      <c r="C33" t="s">
        <v>418</v>
      </c>
      <c r="D33" t="s">
        <v>418</v>
      </c>
      <c r="E33" t="s">
        <v>418</v>
      </c>
      <c r="F33" t="s">
        <v>418</v>
      </c>
    </row>
    <row r="34" spans="1:6" x14ac:dyDescent="0.25">
      <c r="A34" t="s">
        <v>418</v>
      </c>
      <c r="B34" t="s">
        <v>418</v>
      </c>
      <c r="C34" t="s">
        <v>418</v>
      </c>
      <c r="D34" t="s">
        <v>418</v>
      </c>
      <c r="E34" t="s">
        <v>418</v>
      </c>
      <c r="F34" t="s">
        <v>418</v>
      </c>
    </row>
    <row r="35" spans="1:6" x14ac:dyDescent="0.25">
      <c r="A35" t="s">
        <v>418</v>
      </c>
      <c r="B35" t="s">
        <v>418</v>
      </c>
      <c r="C35" t="s">
        <v>418</v>
      </c>
      <c r="D35" t="s">
        <v>418</v>
      </c>
      <c r="E35" t="s">
        <v>418</v>
      </c>
      <c r="F35" t="s">
        <v>418</v>
      </c>
    </row>
    <row r="36" spans="1:6" x14ac:dyDescent="0.25">
      <c r="A36" t="s">
        <v>418</v>
      </c>
      <c r="B36" t="s">
        <v>418</v>
      </c>
      <c r="C36" t="s">
        <v>418</v>
      </c>
      <c r="D36" t="s">
        <v>418</v>
      </c>
      <c r="E36" t="s">
        <v>418</v>
      </c>
      <c r="F36" t="s">
        <v>418</v>
      </c>
    </row>
    <row r="37" spans="1:6" x14ac:dyDescent="0.25">
      <c r="A37" t="s">
        <v>418</v>
      </c>
      <c r="B37" t="s">
        <v>418</v>
      </c>
      <c r="C37" t="s">
        <v>418</v>
      </c>
      <c r="D37" t="s">
        <v>418</v>
      </c>
      <c r="E37" t="s">
        <v>418</v>
      </c>
      <c r="F37" t="s">
        <v>418</v>
      </c>
    </row>
    <row r="38" spans="1:6" x14ac:dyDescent="0.25">
      <c r="A38" t="s">
        <v>418</v>
      </c>
      <c r="B38" t="s">
        <v>418</v>
      </c>
      <c r="C38" t="s">
        <v>418</v>
      </c>
      <c r="D38" t="s">
        <v>418</v>
      </c>
      <c r="E38" t="s">
        <v>418</v>
      </c>
      <c r="F38" t="s">
        <v>418</v>
      </c>
    </row>
    <row r="39" spans="1:6" x14ac:dyDescent="0.25">
      <c r="A39" t="s">
        <v>418</v>
      </c>
      <c r="B39" t="s">
        <v>418</v>
      </c>
      <c r="C39" t="s">
        <v>418</v>
      </c>
      <c r="D39" t="s">
        <v>418</v>
      </c>
      <c r="E39" t="s">
        <v>418</v>
      </c>
      <c r="F39" t="s">
        <v>418</v>
      </c>
    </row>
    <row r="40" spans="1:6" x14ac:dyDescent="0.25">
      <c r="A40" t="s">
        <v>418</v>
      </c>
      <c r="B40" t="s">
        <v>418</v>
      </c>
      <c r="C40" t="s">
        <v>418</v>
      </c>
      <c r="D40" t="s">
        <v>418</v>
      </c>
      <c r="E40" t="s">
        <v>418</v>
      </c>
      <c r="F40" t="s">
        <v>418</v>
      </c>
    </row>
    <row r="41" spans="1:6" x14ac:dyDescent="0.25">
      <c r="A41" t="s">
        <v>418</v>
      </c>
      <c r="B41" t="s">
        <v>418</v>
      </c>
      <c r="C41" t="s">
        <v>418</v>
      </c>
      <c r="D41" t="s">
        <v>418</v>
      </c>
      <c r="E41" t="s">
        <v>418</v>
      </c>
      <c r="F41" t="s">
        <v>418</v>
      </c>
    </row>
    <row r="42" spans="1:6" x14ac:dyDescent="0.25">
      <c r="A42" t="s">
        <v>418</v>
      </c>
      <c r="B42" t="s">
        <v>418</v>
      </c>
      <c r="C42" t="s">
        <v>418</v>
      </c>
      <c r="D42" t="s">
        <v>418</v>
      </c>
      <c r="E42" t="s">
        <v>418</v>
      </c>
      <c r="F42" t="s">
        <v>418</v>
      </c>
    </row>
    <row r="43" spans="1:6" x14ac:dyDescent="0.25">
      <c r="A43" t="s">
        <v>418</v>
      </c>
      <c r="B43" t="s">
        <v>418</v>
      </c>
      <c r="C43" t="s">
        <v>418</v>
      </c>
      <c r="D43" t="s">
        <v>418</v>
      </c>
      <c r="E43" t="s">
        <v>418</v>
      </c>
      <c r="F43" t="s">
        <v>418</v>
      </c>
    </row>
    <row r="44" spans="1:6" x14ac:dyDescent="0.25">
      <c r="A44" t="s">
        <v>418</v>
      </c>
      <c r="B44" t="s">
        <v>418</v>
      </c>
      <c r="C44" t="s">
        <v>418</v>
      </c>
      <c r="D44" t="s">
        <v>418</v>
      </c>
      <c r="E44" t="s">
        <v>418</v>
      </c>
      <c r="F44" t="s">
        <v>418</v>
      </c>
    </row>
    <row r="45" spans="1:6" x14ac:dyDescent="0.25">
      <c r="A45" t="s">
        <v>418</v>
      </c>
      <c r="B45" t="s">
        <v>418</v>
      </c>
      <c r="C45" t="s">
        <v>418</v>
      </c>
      <c r="D45" t="s">
        <v>418</v>
      </c>
      <c r="E45" t="s">
        <v>418</v>
      </c>
      <c r="F45" t="s">
        <v>418</v>
      </c>
    </row>
    <row r="46" spans="1:6" x14ac:dyDescent="0.25">
      <c r="A46" t="s">
        <v>418</v>
      </c>
      <c r="B46" t="s">
        <v>418</v>
      </c>
      <c r="C46" t="s">
        <v>418</v>
      </c>
      <c r="D46" t="s">
        <v>418</v>
      </c>
      <c r="E46" t="s">
        <v>418</v>
      </c>
      <c r="F46" t="s">
        <v>418</v>
      </c>
    </row>
    <row r="47" spans="1:6" x14ac:dyDescent="0.25">
      <c r="A47" t="s">
        <v>418</v>
      </c>
      <c r="B47" t="s">
        <v>418</v>
      </c>
      <c r="C47" t="s">
        <v>418</v>
      </c>
      <c r="D47" t="s">
        <v>418</v>
      </c>
      <c r="E47" t="s">
        <v>418</v>
      </c>
      <c r="F47" t="s">
        <v>418</v>
      </c>
    </row>
    <row r="48" spans="1:6" x14ac:dyDescent="0.25">
      <c r="A48" t="s">
        <v>418</v>
      </c>
      <c r="B48" t="s">
        <v>418</v>
      </c>
      <c r="C48" t="s">
        <v>418</v>
      </c>
      <c r="D48" t="s">
        <v>418</v>
      </c>
      <c r="E48" t="s">
        <v>418</v>
      </c>
      <c r="F48" t="s">
        <v>418</v>
      </c>
    </row>
    <row r="49" spans="1:6" x14ac:dyDescent="0.25">
      <c r="A49" t="s">
        <v>418</v>
      </c>
      <c r="B49" t="s">
        <v>418</v>
      </c>
      <c r="C49" t="s">
        <v>418</v>
      </c>
      <c r="D49" t="s">
        <v>418</v>
      </c>
      <c r="E49" t="s">
        <v>418</v>
      </c>
      <c r="F49" t="s">
        <v>418</v>
      </c>
    </row>
    <row r="50" spans="1:6" x14ac:dyDescent="0.25">
      <c r="A50" t="s">
        <v>418</v>
      </c>
      <c r="B50" t="s">
        <v>418</v>
      </c>
      <c r="C50" t="s">
        <v>418</v>
      </c>
      <c r="D50" t="s">
        <v>418</v>
      </c>
      <c r="E50" t="s">
        <v>418</v>
      </c>
      <c r="F50" t="s">
        <v>418</v>
      </c>
    </row>
    <row r="51" spans="1:6" x14ac:dyDescent="0.25">
      <c r="A51" t="s">
        <v>418</v>
      </c>
      <c r="B51" t="s">
        <v>418</v>
      </c>
      <c r="C51" t="s">
        <v>418</v>
      </c>
      <c r="D51" t="s">
        <v>418</v>
      </c>
      <c r="E51" t="s">
        <v>418</v>
      </c>
      <c r="F51" t="s">
        <v>418</v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418</v>
      </c>
      <c r="F52" t="s">
        <v>418</v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418</v>
      </c>
      <c r="F53" t="s">
        <v>418</v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CDAC8-E81A-4DB2-890B-9FEFE8B9791F}">
  <sheetPr codeName="Sheet9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>
        <v>1</v>
      </c>
    </row>
    <row r="2" spans="1:6" x14ac:dyDescent="0.25">
      <c r="A2" t="s">
        <v>413</v>
      </c>
      <c r="B2" s="123">
        <v>45883.626817129632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431</v>
      </c>
      <c r="E6" t="s">
        <v>432</v>
      </c>
      <c r="F6" t="s">
        <v>433</v>
      </c>
    </row>
    <row r="7" spans="1:6" x14ac:dyDescent="0.25">
      <c r="A7" t="s">
        <v>418</v>
      </c>
      <c r="B7" t="str">
        <f>XEV8 &amp; XEU7 &amp; "W X " &amp; XEV9 &amp; XEU7 &amp; "H " &amp; " " &amp; XEU6 &amp; " " &amp; XEV18 &amp; " Panel " &amp; XEU22 &amp; " " &amp; XEU23 &amp; " " &amp; XEU24 &amp; " " &amp; XEU25 &amp; " " &amp; XEU26 &amp; " " &amp; XEU27</f>
        <v xml:space="preserve">W X H    Panel      </v>
      </c>
      <c r="C7" t="str">
        <f>IF(XEU16="","",XEU16)</f>
        <v/>
      </c>
      <c r="D7" t="str">
        <f>IF(XEV16="","",XEV16)</f>
        <v/>
      </c>
      <c r="E7" t="str">
        <f>IF(XEV42="","",XEV42)</f>
        <v/>
      </c>
      <c r="F7" t="str">
        <f>IF(OR(NOT(ISNUMBER(D7)),NOT(ISNUMBER(E7))),"",D7*E7)</f>
        <v/>
      </c>
    </row>
    <row r="8" spans="1:6" x14ac:dyDescent="0.25">
      <c r="A8" t="s">
        <v>418</v>
      </c>
      <c r="B8" t="s">
        <v>418</v>
      </c>
      <c r="C8" t="str">
        <f>IF(XEU16="","",XEU16)</f>
        <v/>
      </c>
      <c r="D8" t="str">
        <f>IF(SUM(D10:D29)=0,"",SUM(D10:D29))</f>
        <v/>
      </c>
      <c r="E8" t="s">
        <v>438</v>
      </c>
      <c r="F8" t="str">
        <f>IF(SUM(F10:F29)=0,"",SUM(F10:F29))</f>
        <v/>
      </c>
    </row>
    <row r="9" spans="1:6" x14ac:dyDescent="0.25">
      <c r="A9" t="s">
        <v>434</v>
      </c>
      <c r="B9" t="s">
        <v>798</v>
      </c>
      <c r="C9" t="s">
        <v>419</v>
      </c>
      <c r="D9" t="s">
        <v>431</v>
      </c>
      <c r="E9" t="s">
        <v>432</v>
      </c>
      <c r="F9" t="s">
        <v>433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tr">
        <f t="shared" ref="F10:F29" si="0">IF(OR(NOT(ISNUMBER(D10)),NOT(ISNUMBER(E10))),"",D10*E10)</f>
        <v/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tr">
        <f t="shared" si="0"/>
        <v/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tr">
        <f t="shared" si="0"/>
        <v/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tr">
        <f t="shared" si="0"/>
        <v/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tr">
        <f t="shared" si="0"/>
        <v/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tr">
        <f t="shared" si="0"/>
        <v/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tr">
        <f t="shared" si="0"/>
        <v/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tr">
        <f t="shared" si="0"/>
        <v/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tr">
        <f t="shared" si="0"/>
        <v/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tr">
        <f t="shared" si="0"/>
        <v/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tr">
        <f t="shared" si="0"/>
        <v/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tr">
        <f t="shared" si="0"/>
        <v/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tr">
        <f t="shared" si="0"/>
        <v/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tr">
        <f t="shared" si="0"/>
        <v/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tr">
        <f t="shared" si="0"/>
        <v/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tr">
        <f t="shared" si="0"/>
        <v/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tr">
        <f t="shared" si="0"/>
        <v/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tr">
        <f t="shared" si="0"/>
        <v/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tr">
        <f t="shared" si="0"/>
        <v/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tr">
        <f t="shared" si="0"/>
        <v/>
      </c>
    </row>
    <row r="30" spans="1:6" x14ac:dyDescent="0.25">
      <c r="A30" t="s">
        <v>418</v>
      </c>
      <c r="B30" t="s">
        <v>418</v>
      </c>
      <c r="C30" t="s">
        <v>418</v>
      </c>
      <c r="D30" t="str">
        <f>IF(D7="","",D7)</f>
        <v/>
      </c>
      <c r="E30" t="str">
        <f>IF(XEV38="","",XEV38)</f>
        <v/>
      </c>
      <c r="F30" t="s">
        <v>418</v>
      </c>
    </row>
    <row r="31" spans="1:6" x14ac:dyDescent="0.25">
      <c r="A31" t="s">
        <v>434</v>
      </c>
      <c r="B31" t="s">
        <v>800</v>
      </c>
      <c r="C31" t="s">
        <v>419</v>
      </c>
      <c r="D31" t="s">
        <v>431</v>
      </c>
      <c r="E31" t="s">
        <v>432</v>
      </c>
      <c r="F31" t="s">
        <v>433</v>
      </c>
    </row>
    <row r="32" spans="1:6" x14ac:dyDescent="0.25">
      <c r="A32" t="str">
        <f t="shared" ref="A32:C51" si="1">IF(A10="","",A10)</f>
        <v>§BLK§</v>
      </c>
      <c r="B32" t="str">
        <f t="shared" si="1"/>
        <v>§BLK§</v>
      </c>
      <c r="C32" t="str">
        <f t="shared" si="1"/>
        <v>§BLK§</v>
      </c>
      <c r="D32" t="s">
        <v>418</v>
      </c>
      <c r="E32" t="s">
        <v>418</v>
      </c>
      <c r="F32" t="str">
        <f t="shared" ref="F32:F51" si="2">IF(OR(NOT(ISNUMBER(D32)),NOT(ISNUMBER(E32))),"",D32*E32)</f>
        <v/>
      </c>
    </row>
    <row r="33" spans="1:6" x14ac:dyDescent="0.25">
      <c r="A33" t="str">
        <f t="shared" si="1"/>
        <v>§BLK§</v>
      </c>
      <c r="B33" t="str">
        <f t="shared" si="1"/>
        <v>§BLK§</v>
      </c>
      <c r="C33" t="str">
        <f t="shared" si="1"/>
        <v>§BLK§</v>
      </c>
      <c r="D33" t="s">
        <v>418</v>
      </c>
      <c r="E33" t="s">
        <v>418</v>
      </c>
      <c r="F33" t="str">
        <f t="shared" si="2"/>
        <v/>
      </c>
    </row>
    <row r="34" spans="1:6" x14ac:dyDescent="0.25">
      <c r="A34" t="str">
        <f t="shared" si="1"/>
        <v>§BLK§</v>
      </c>
      <c r="B34" t="str">
        <f t="shared" si="1"/>
        <v>§BLK§</v>
      </c>
      <c r="C34" t="str">
        <f t="shared" si="1"/>
        <v>§BLK§</v>
      </c>
      <c r="D34" t="s">
        <v>418</v>
      </c>
      <c r="E34" t="s">
        <v>418</v>
      </c>
      <c r="F34" t="str">
        <f t="shared" si="2"/>
        <v/>
      </c>
    </row>
    <row r="35" spans="1:6" x14ac:dyDescent="0.25">
      <c r="A35" t="str">
        <f t="shared" si="1"/>
        <v>§BLK§</v>
      </c>
      <c r="B35" t="str">
        <f t="shared" si="1"/>
        <v>§BLK§</v>
      </c>
      <c r="C35" t="str">
        <f t="shared" si="1"/>
        <v>§BLK§</v>
      </c>
      <c r="D35" t="s">
        <v>418</v>
      </c>
      <c r="E35" t="s">
        <v>418</v>
      </c>
      <c r="F35" t="str">
        <f t="shared" si="2"/>
        <v/>
      </c>
    </row>
    <row r="36" spans="1:6" x14ac:dyDescent="0.25">
      <c r="A36" t="str">
        <f t="shared" si="1"/>
        <v>§BLK§</v>
      </c>
      <c r="B36" t="str">
        <f t="shared" si="1"/>
        <v>§BLK§</v>
      </c>
      <c r="C36" t="str">
        <f t="shared" si="1"/>
        <v>§BLK§</v>
      </c>
      <c r="D36" t="s">
        <v>418</v>
      </c>
      <c r="E36" t="s">
        <v>418</v>
      </c>
      <c r="F36" t="str">
        <f t="shared" si="2"/>
        <v/>
      </c>
    </row>
    <row r="37" spans="1:6" x14ac:dyDescent="0.25">
      <c r="A37" t="str">
        <f t="shared" si="1"/>
        <v>§BLK§</v>
      </c>
      <c r="B37" t="str">
        <f t="shared" si="1"/>
        <v>§BLK§</v>
      </c>
      <c r="C37" t="str">
        <f t="shared" si="1"/>
        <v>§BLK§</v>
      </c>
      <c r="D37" t="s">
        <v>418</v>
      </c>
      <c r="E37" t="s">
        <v>418</v>
      </c>
      <c r="F37" t="str">
        <f t="shared" si="2"/>
        <v/>
      </c>
    </row>
    <row r="38" spans="1:6" x14ac:dyDescent="0.25">
      <c r="A38" t="str">
        <f t="shared" si="1"/>
        <v>§BLK§</v>
      </c>
      <c r="B38" t="str">
        <f t="shared" si="1"/>
        <v>§BLK§</v>
      </c>
      <c r="C38" t="str">
        <f t="shared" si="1"/>
        <v>§BLK§</v>
      </c>
      <c r="D38" t="s">
        <v>418</v>
      </c>
      <c r="E38" t="s">
        <v>418</v>
      </c>
      <c r="F38" t="str">
        <f t="shared" si="2"/>
        <v/>
      </c>
    </row>
    <row r="39" spans="1:6" x14ac:dyDescent="0.25">
      <c r="A39" t="str">
        <f t="shared" si="1"/>
        <v>§BLK§</v>
      </c>
      <c r="B39" t="str">
        <f t="shared" si="1"/>
        <v>§BLK§</v>
      </c>
      <c r="C39" t="str">
        <f t="shared" si="1"/>
        <v>§BLK§</v>
      </c>
      <c r="D39" t="s">
        <v>418</v>
      </c>
      <c r="E39" t="s">
        <v>418</v>
      </c>
      <c r="F39" t="str">
        <f t="shared" si="2"/>
        <v/>
      </c>
    </row>
    <row r="40" spans="1:6" x14ac:dyDescent="0.25">
      <c r="A40" t="str">
        <f t="shared" si="1"/>
        <v>§BLK§</v>
      </c>
      <c r="B40" t="str">
        <f t="shared" si="1"/>
        <v>§BLK§</v>
      </c>
      <c r="C40" t="str">
        <f t="shared" si="1"/>
        <v>§BLK§</v>
      </c>
      <c r="D40" t="s">
        <v>418</v>
      </c>
      <c r="E40" t="s">
        <v>418</v>
      </c>
      <c r="F40" t="str">
        <f t="shared" si="2"/>
        <v/>
      </c>
    </row>
    <row r="41" spans="1:6" x14ac:dyDescent="0.25">
      <c r="A41" t="str">
        <f t="shared" si="1"/>
        <v>§BLK§</v>
      </c>
      <c r="B41" t="str">
        <f t="shared" si="1"/>
        <v>§BLK§</v>
      </c>
      <c r="C41" t="str">
        <f t="shared" si="1"/>
        <v>§BLK§</v>
      </c>
      <c r="D41" t="s">
        <v>418</v>
      </c>
      <c r="E41" t="s">
        <v>418</v>
      </c>
      <c r="F41" t="str">
        <f t="shared" si="2"/>
        <v/>
      </c>
    </row>
    <row r="42" spans="1:6" x14ac:dyDescent="0.25">
      <c r="A42" t="str">
        <f t="shared" si="1"/>
        <v>§BLK§</v>
      </c>
      <c r="B42" t="str">
        <f t="shared" si="1"/>
        <v>§BLK§</v>
      </c>
      <c r="C42" t="str">
        <f t="shared" si="1"/>
        <v>§BLK§</v>
      </c>
      <c r="D42" t="s">
        <v>418</v>
      </c>
      <c r="E42" t="s">
        <v>418</v>
      </c>
      <c r="F42" t="str">
        <f t="shared" si="2"/>
        <v/>
      </c>
    </row>
    <row r="43" spans="1:6" x14ac:dyDescent="0.25">
      <c r="A43" t="str">
        <f t="shared" si="1"/>
        <v>§BLK§</v>
      </c>
      <c r="B43" t="str">
        <f t="shared" si="1"/>
        <v>§BLK§</v>
      </c>
      <c r="C43" t="str">
        <f t="shared" si="1"/>
        <v>§BLK§</v>
      </c>
      <c r="D43" t="s">
        <v>418</v>
      </c>
      <c r="E43" t="s">
        <v>418</v>
      </c>
      <c r="F43" t="str">
        <f t="shared" si="2"/>
        <v/>
      </c>
    </row>
    <row r="44" spans="1:6" x14ac:dyDescent="0.25">
      <c r="A44" t="str">
        <f t="shared" si="1"/>
        <v>§BLK§</v>
      </c>
      <c r="B44" t="str">
        <f t="shared" si="1"/>
        <v>§BLK§</v>
      </c>
      <c r="C44" t="str">
        <f t="shared" si="1"/>
        <v>§BLK§</v>
      </c>
      <c r="D44" t="s">
        <v>418</v>
      </c>
      <c r="E44" t="s">
        <v>418</v>
      </c>
      <c r="F44" t="str">
        <f t="shared" si="2"/>
        <v/>
      </c>
    </row>
    <row r="45" spans="1:6" x14ac:dyDescent="0.25">
      <c r="A45" t="str">
        <f t="shared" si="1"/>
        <v>§BLK§</v>
      </c>
      <c r="B45" t="str">
        <f t="shared" si="1"/>
        <v>§BLK§</v>
      </c>
      <c r="C45" t="str">
        <f t="shared" si="1"/>
        <v>§BLK§</v>
      </c>
      <c r="D45" t="s">
        <v>418</v>
      </c>
      <c r="E45" t="s">
        <v>418</v>
      </c>
      <c r="F45" t="str">
        <f t="shared" si="2"/>
        <v/>
      </c>
    </row>
    <row r="46" spans="1:6" x14ac:dyDescent="0.25">
      <c r="A46" t="str">
        <f t="shared" si="1"/>
        <v>§BLK§</v>
      </c>
      <c r="B46" t="str">
        <f t="shared" si="1"/>
        <v>§BLK§</v>
      </c>
      <c r="C46" t="str">
        <f t="shared" si="1"/>
        <v>§BLK§</v>
      </c>
      <c r="D46" t="s">
        <v>418</v>
      </c>
      <c r="E46" t="s">
        <v>418</v>
      </c>
      <c r="F46" t="str">
        <f t="shared" si="2"/>
        <v/>
      </c>
    </row>
    <row r="47" spans="1:6" x14ac:dyDescent="0.25">
      <c r="A47" t="str">
        <f t="shared" si="1"/>
        <v>§BLK§</v>
      </c>
      <c r="B47" t="str">
        <f t="shared" si="1"/>
        <v>§BLK§</v>
      </c>
      <c r="C47" t="str">
        <f t="shared" si="1"/>
        <v>§BLK§</v>
      </c>
      <c r="D47" t="s">
        <v>418</v>
      </c>
      <c r="E47" t="s">
        <v>418</v>
      </c>
      <c r="F47" t="str">
        <f t="shared" si="2"/>
        <v/>
      </c>
    </row>
    <row r="48" spans="1:6" x14ac:dyDescent="0.25">
      <c r="A48" t="str">
        <f t="shared" si="1"/>
        <v>§BLK§</v>
      </c>
      <c r="B48" t="str">
        <f t="shared" si="1"/>
        <v>§BLK§</v>
      </c>
      <c r="C48" t="str">
        <f t="shared" si="1"/>
        <v>§BLK§</v>
      </c>
      <c r="D48" t="s">
        <v>418</v>
      </c>
      <c r="E48" t="s">
        <v>418</v>
      </c>
      <c r="F48" t="str">
        <f t="shared" si="2"/>
        <v/>
      </c>
    </row>
    <row r="49" spans="1:6" x14ac:dyDescent="0.25">
      <c r="A49" t="str">
        <f t="shared" si="1"/>
        <v>§BLK§</v>
      </c>
      <c r="B49" t="str">
        <f t="shared" si="1"/>
        <v>§BLK§</v>
      </c>
      <c r="C49" t="str">
        <f t="shared" si="1"/>
        <v>§BLK§</v>
      </c>
      <c r="D49" t="s">
        <v>418</v>
      </c>
      <c r="E49" t="s">
        <v>418</v>
      </c>
      <c r="F49" t="str">
        <f t="shared" si="2"/>
        <v/>
      </c>
    </row>
    <row r="50" spans="1:6" x14ac:dyDescent="0.25">
      <c r="A50" t="str">
        <f t="shared" si="1"/>
        <v>§BLK§</v>
      </c>
      <c r="B50" t="str">
        <f t="shared" si="1"/>
        <v>§BLK§</v>
      </c>
      <c r="C50" t="str">
        <f t="shared" si="1"/>
        <v>§BLK§</v>
      </c>
      <c r="D50" t="s">
        <v>418</v>
      </c>
      <c r="E50" t="s">
        <v>418</v>
      </c>
      <c r="F50" t="str">
        <f t="shared" si="2"/>
        <v/>
      </c>
    </row>
    <row r="51" spans="1:6" x14ac:dyDescent="0.25">
      <c r="A51" t="str">
        <f t="shared" si="1"/>
        <v>§BLK§</v>
      </c>
      <c r="B51" t="str">
        <f t="shared" si="1"/>
        <v>§BLK§</v>
      </c>
      <c r="C51" t="str">
        <f t="shared" si="1"/>
        <v>§BLK§</v>
      </c>
      <c r="D51" t="s">
        <v>418</v>
      </c>
      <c r="E51" t="s">
        <v>418</v>
      </c>
      <c r="F51" t="str">
        <f t="shared" si="2"/>
        <v/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439</v>
      </c>
      <c r="F52" t="str">
        <f>IF(SUM(F32:F51)=0,"",SUM(F32:F51))</f>
        <v/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440</v>
      </c>
      <c r="F53" t="str">
        <f>IF(AND(COUNT(F10:F29)=0,COUNT(F32:F51)=0),"",SUM(F10:F29)-SUM(F32:F51))</f>
        <v/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Enginuity</vt:lpstr>
      <vt:lpstr>CalcEngine</vt:lpstr>
      <vt:lpstr>CostData</vt:lpstr>
      <vt:lpstr>SharedBlock</vt:lpstr>
      <vt:lpstr>Dropdown</vt:lpstr>
      <vt:lpstr>EnginuityMap</vt:lpstr>
      <vt:lpstr>AllMaterialsbak</vt:lpstr>
      <vt:lpstr>DealerEngine</vt:lpstr>
      <vt:lpstr>Powdercoated</vt:lpstr>
      <vt:lpstr>C.Louvers</vt:lpstr>
      <vt:lpstr>C.FDE</vt:lpstr>
      <vt:lpstr>C.Telescopic SLD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Din</dc:creator>
  <cp:lastModifiedBy>Pa` Din</cp:lastModifiedBy>
  <cp:lastPrinted>2025-10-14T04:00:34Z</cp:lastPrinted>
  <dcterms:created xsi:type="dcterms:W3CDTF">2015-06-05T18:17:20Z</dcterms:created>
  <dcterms:modified xsi:type="dcterms:W3CDTF">2026-04-18T09:24:05Z</dcterms:modified>
</cp:coreProperties>
</file>